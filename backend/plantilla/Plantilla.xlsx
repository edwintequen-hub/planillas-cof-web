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Planilla" sheetId="1" state="visible" r:id="rId1"/>
  </sheets>
  <definedNames>
    <definedName name="_xlnm._FilterDatabase" localSheetId="0" hidden="1">'Planilla'!$HL$1:$HO$1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-F400]h:mm:ss\ AM/PM"/>
    <numFmt numFmtId="165" formatCode="0.0%"/>
    <numFmt numFmtId="166" formatCode="0.0"/>
    <numFmt numFmtId="167" formatCode="h:mm;@"/>
  </numFmts>
  <fonts count="24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rial"/>
      <family val="2"/>
      <sz val="10"/>
    </font>
    <font>
      <name val="Arial"/>
      <family val="2"/>
      <b val="1"/>
      <color theme="0"/>
      <sz val="10"/>
    </font>
    <font>
      <name val="Arial"/>
      <family val="2"/>
      <sz val="12"/>
    </font>
    <font>
      <name val="Arial"/>
      <family val="2"/>
      <color indexed="8"/>
      <sz val="12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00"/>
      <sz val="11"/>
    </font>
    <font>
      <name val="Arial"/>
      <family val="2"/>
      <color theme="0" tint="-0.499984740745262"/>
      <sz val="10"/>
    </font>
    <font>
      <name val="Arial"/>
      <family val="2"/>
      <color rgb="FFFF0000"/>
      <sz val="10"/>
    </font>
    <font>
      <name val="Arial"/>
      <family val="2"/>
      <color rgb="FF00B050"/>
      <sz val="10"/>
    </font>
    <font>
      <name val="Arial"/>
      <family val="2"/>
      <b val="1"/>
      <color rgb="FFFF0000"/>
      <sz val="10"/>
    </font>
    <font>
      <name val="Arial"/>
      <family val="2"/>
      <b val="1"/>
      <sz val="10"/>
    </font>
    <font>
      <name val="Arial"/>
      <family val="2"/>
      <b val="1"/>
      <color rgb="FF00B050"/>
      <sz val="10"/>
    </font>
    <font>
      <name val="Arial"/>
      <family val="2"/>
      <color theme="0"/>
      <sz val="9"/>
    </font>
    <font>
      <name val="Aptos Narrow"/>
      <family val="2"/>
      <sz val="8"/>
      <scheme val="minor"/>
    </font>
    <font>
      <name val="Aptos Narrow"/>
      <family val="2"/>
      <color rgb="FF000000"/>
      <sz val="11"/>
      <scheme val="minor"/>
    </font>
    <font>
      <name val="Aptos"/>
      <family val="2"/>
      <color rgb="FF000000"/>
      <sz val="12"/>
    </font>
    <font>
      <name val="Aptos Narrow"/>
      <family val="2"/>
      <b val="1"/>
      <color theme="1"/>
      <sz val="13"/>
      <scheme val="minor"/>
    </font>
    <font>
      <name val="Aptos Narrow"/>
      <family val="2"/>
      <b val="1"/>
      <color theme="1"/>
      <sz val="14"/>
      <scheme val="minor"/>
    </font>
    <font>
      <b val="1"/>
    </font>
  </fonts>
  <fills count="22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E26B0A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B183"/>
        <bgColor rgb="FFF4B183"/>
      </patternFill>
    </fill>
    <fill>
      <patternFill patternType="solid">
        <fgColor rgb="FFC6EFCE"/>
        <bgColor rgb="FFC6EFCE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1" fillId="0" borderId="0"/>
    <xf numFmtId="9" fontId="1" fillId="0" borderId="0"/>
    <xf numFmtId="0" fontId="4" fillId="0" borderId="0"/>
  </cellStyleXfs>
  <cellXfs count="132">
    <xf numFmtId="0" fontId="0" fillId="0" borderId="0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164" fontId="5" fillId="2" borderId="5" applyAlignment="1" pivotButton="0" quotePrefix="0" xfId="2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164" fontId="0" fillId="5" borderId="6" applyAlignment="1" pivotButton="0" quotePrefix="0" xfId="0">
      <alignment horizontal="center" vertical="center"/>
    </xf>
    <xf numFmtId="165" fontId="0" fillId="5" borderId="7" applyAlignment="1" pivotButton="0" quotePrefix="0" xfId="1">
      <alignment horizontal="center" vertical="center"/>
    </xf>
    <xf numFmtId="0" fontId="7" fillId="3" borderId="7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7" fillId="3" borderId="10" applyAlignment="1" pivotButton="0" quotePrefix="0" xfId="0">
      <alignment horizontal="center" vertical="center"/>
    </xf>
    <xf numFmtId="0" fontId="6" fillId="3" borderId="3" applyAlignment="1" pivotButton="0" quotePrefix="0" xfId="0">
      <alignment horizontal="center" vertical="center"/>
    </xf>
    <xf numFmtId="0" fontId="6" fillId="3" borderId="11" applyAlignment="1" pivotButton="0" quotePrefix="0" xfId="0">
      <alignment horizontal="center" vertical="center"/>
    </xf>
    <xf numFmtId="0" fontId="7" fillId="3" borderId="12" applyAlignment="1" pivotButton="0" quotePrefix="0" xfId="0">
      <alignment horizontal="center" vertical="center"/>
    </xf>
    <xf numFmtId="0" fontId="8" fillId="4" borderId="7" pivotButton="0" quotePrefix="0" xfId="0"/>
    <xf numFmtId="0" fontId="0" fillId="0" borderId="0" applyAlignment="1" pivotButton="0" quotePrefix="0" xfId="0">
      <alignment horizontal="center"/>
    </xf>
    <xf numFmtId="0" fontId="9" fillId="0" borderId="7" pivotButton="0" quotePrefix="0" xfId="0"/>
    <xf numFmtId="0" fontId="9" fillId="0" borderId="14" pivotButton="0" quotePrefix="0" xfId="0"/>
    <xf numFmtId="0" fontId="9" fillId="0" borderId="6" pivotButton="0" quotePrefix="0" xfId="0"/>
    <xf numFmtId="0" fontId="9" fillId="0" borderId="15" pivotButton="0" quotePrefix="0" xfId="0"/>
    <xf numFmtId="0" fontId="9" fillId="7" borderId="7" pivotButton="0" quotePrefix="0" xfId="0"/>
    <xf numFmtId="0" fontId="10" fillId="0" borderId="7" pivotButton="0" quotePrefix="0" xfId="0"/>
    <xf numFmtId="0" fontId="0" fillId="0" borderId="16" applyAlignment="1" pivotButton="0" quotePrefix="0" xfId="0">
      <alignment horizontal="center" wrapText="1"/>
    </xf>
    <xf numFmtId="0" fontId="9" fillId="8" borderId="7" pivotButton="0" quotePrefix="0" xfId="0"/>
    <xf numFmtId="0" fontId="10" fillId="0" borderId="6" pivotButton="0" quotePrefix="0" xfId="0"/>
    <xf numFmtId="0" fontId="9" fillId="9" borderId="6" pivotButton="0" quotePrefix="0" xfId="0"/>
    <xf numFmtId="0" fontId="9" fillId="8" borderId="6" pivotButton="0" quotePrefix="0" xfId="0"/>
    <xf numFmtId="0" fontId="0" fillId="0" borderId="7" pivotButton="0" quotePrefix="0" xfId="0"/>
    <xf numFmtId="0" fontId="0" fillId="10" borderId="7" pivotButton="0" quotePrefix="0" xfId="0"/>
    <xf numFmtId="166" fontId="0" fillId="5" borderId="6" applyAlignment="1" pivotButton="0" quotePrefix="0" xfId="0">
      <alignment horizontal="center" vertical="center"/>
    </xf>
    <xf numFmtId="166" fontId="0" fillId="6" borderId="6" applyAlignment="1" pivotButton="0" quotePrefix="0" xfId="0">
      <alignment horizontal="center" vertical="center"/>
    </xf>
    <xf numFmtId="167" fontId="0" fillId="5" borderId="6" applyAlignment="1" pivotButton="0" quotePrefix="0" xfId="0">
      <alignment horizontal="center" vertical="center"/>
    </xf>
    <xf numFmtId="165" fontId="0" fillId="5" borderId="6" applyAlignment="1" pivotButton="0" quotePrefix="0" xfId="1">
      <alignment horizontal="center" vertical="center"/>
    </xf>
    <xf numFmtId="0" fontId="11" fillId="0" borderId="0" applyAlignment="1" pivotButton="0" quotePrefix="0" xfId="0">
      <alignment horizontal="left"/>
    </xf>
    <xf numFmtId="0" fontId="12" fillId="3" borderId="0" pivotButton="0" quotePrefix="0" xfId="0"/>
    <xf numFmtId="0" fontId="0" fillId="3" borderId="0" pivotButton="0" quotePrefix="0" xfId="0"/>
    <xf numFmtId="0" fontId="13" fillId="0" borderId="0" pivotButton="0" quotePrefix="0" xfId="0"/>
    <xf numFmtId="20" fontId="14" fillId="3" borderId="0" pivotButton="0" quotePrefix="0" xfId="0"/>
    <xf numFmtId="0" fontId="15" fillId="0" borderId="0" pivotButton="0" quotePrefix="0" xfId="0"/>
    <xf numFmtId="0" fontId="16" fillId="0" borderId="0" pivotButton="0" quotePrefix="0" xfId="0"/>
    <xf numFmtId="164" fontId="14" fillId="3" borderId="0" applyAlignment="1" pivotButton="0" quotePrefix="0" xfId="0">
      <alignment horizontal="center" vertical="center"/>
    </xf>
    <xf numFmtId="20" fontId="15" fillId="11" borderId="0" pivotButton="0" quotePrefix="0" xfId="0"/>
    <xf numFmtId="0" fontId="14" fillId="3" borderId="0" pivotButton="0" quotePrefix="0" xfId="0"/>
    <xf numFmtId="166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3" fillId="12" borderId="7" pivotButton="0" quotePrefix="0" xfId="0"/>
    <xf numFmtId="0" fontId="17" fillId="13" borderId="1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14" fillId="3" borderId="0" applyAlignment="1" pivotButton="0" quotePrefix="0" xfId="0">
      <alignment horizontal="center" wrapText="1"/>
    </xf>
    <xf numFmtId="0" fontId="0" fillId="0" borderId="7" applyAlignment="1" pivotButton="0" quotePrefix="0" xfId="0">
      <alignment horizontal="center"/>
    </xf>
    <xf numFmtId="0" fontId="6" fillId="3" borderId="1" applyAlignment="1" pivotButton="0" quotePrefix="0" xfId="0">
      <alignment horizontal="center" vertical="center"/>
    </xf>
    <xf numFmtId="0" fontId="0" fillId="0" borderId="0" applyAlignment="1" applyProtection="1" pivotButton="0" quotePrefix="0" xfId="0">
      <alignment horizontal="center" vertical="center"/>
      <protection locked="0" hidden="0"/>
    </xf>
    <xf numFmtId="9" fontId="0" fillId="0" borderId="7" applyAlignment="1" pivotButton="0" quotePrefix="0" xfId="1">
      <alignment horizontal="center" vertical="center"/>
    </xf>
    <xf numFmtId="1" fontId="0" fillId="0" borderId="7" applyAlignment="1" pivotButton="0" quotePrefix="0" xfId="0">
      <alignment horizontal="center" vertical="center"/>
    </xf>
    <xf numFmtId="166" fontId="0" fillId="0" borderId="7" applyAlignment="1" pivotButton="0" quotePrefix="0" xfId="1">
      <alignment horizontal="center" vertical="center"/>
    </xf>
    <xf numFmtId="165" fontId="0" fillId="0" borderId="7" applyAlignment="1" pivotButton="0" quotePrefix="0" xfId="1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4" borderId="3" applyAlignment="1" pivotButton="0" quotePrefix="0" xfId="0">
      <alignment horizontal="center" vertical="center"/>
    </xf>
    <xf numFmtId="0" fontId="5" fillId="15" borderId="7" applyAlignment="1" pivotButton="0" quotePrefix="0" xfId="2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0" fillId="14" borderId="11" applyAlignment="1" pivotButton="0" quotePrefix="0" xfId="0">
      <alignment horizontal="center" vertical="center"/>
    </xf>
    <xf numFmtId="0" fontId="5" fillId="15" borderId="8" applyAlignment="1" pivotButton="0" quotePrefix="0" xfId="2">
      <alignment horizontal="center" vertical="center" wrapText="1"/>
    </xf>
    <xf numFmtId="0" fontId="5" fillId="15" borderId="5" applyAlignment="1" pivotButton="0" quotePrefix="0" xfId="2">
      <alignment horizontal="center" vertical="center" wrapText="1"/>
    </xf>
    <xf numFmtId="0" fontId="5" fillId="15" borderId="9" applyAlignment="1" pivotButton="0" quotePrefix="0" xfId="2">
      <alignment horizontal="center" vertical="center" wrapText="1"/>
    </xf>
    <xf numFmtId="9" fontId="0" fillId="0" borderId="6" applyAlignment="1" pivotButton="0" quotePrefix="0" xfId="1">
      <alignment horizontal="center" vertical="center"/>
    </xf>
    <xf numFmtId="1" fontId="0" fillId="0" borderId="6" applyAlignment="1" pivotButton="0" quotePrefix="0" xfId="0">
      <alignment horizontal="center" vertical="center"/>
    </xf>
    <xf numFmtId="0" fontId="5" fillId="15" borderId="11" applyAlignment="1" pivotButton="0" quotePrefix="0" xfId="2">
      <alignment horizontal="center" vertical="center" wrapText="1"/>
    </xf>
    <xf numFmtId="0" fontId="5" fillId="15" borderId="12" applyAlignment="1" pivotButton="0" quotePrefix="0" xfId="2">
      <alignment horizontal="center" vertical="center" wrapText="1"/>
    </xf>
    <xf numFmtId="0" fontId="5" fillId="15" borderId="13" applyAlignment="1" pivotButton="0" quotePrefix="0" xfId="2">
      <alignment horizontal="center" vertical="center" wrapText="1"/>
    </xf>
    <xf numFmtId="0" fontId="0" fillId="0" borderId="7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/>
    </xf>
    <xf numFmtId="0" fontId="20" fillId="17" borderId="0" applyAlignment="1" pivotButton="0" quotePrefix="0" xfId="0">
      <alignment horizontal="left" vertical="center" wrapText="1"/>
    </xf>
    <xf numFmtId="0" fontId="0" fillId="4" borderId="10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/>
    </xf>
    <xf numFmtId="0" fontId="0" fillId="4" borderId="10" applyAlignment="1" pivotButton="0" quotePrefix="0" xfId="0">
      <alignment horizontal="center" vertical="center"/>
    </xf>
    <xf numFmtId="20" fontId="0" fillId="3" borderId="10" applyAlignment="1" pivotButton="0" quotePrefix="0" xfId="0">
      <alignment horizontal="center" vertical="center"/>
    </xf>
    <xf numFmtId="164" fontId="0" fillId="16" borderId="10" applyAlignment="1" pivotButton="0" quotePrefix="0" xfId="0">
      <alignment horizontal="center" vertical="center"/>
    </xf>
    <xf numFmtId="20" fontId="0" fillId="5" borderId="10" applyAlignment="1" pivotButton="0" quotePrefix="0" xfId="0">
      <alignment horizontal="center" vertical="center"/>
    </xf>
    <xf numFmtId="20" fontId="0" fillId="6" borderId="10" applyAlignment="1" pivotButton="0" quotePrefix="0" xfId="0">
      <alignment horizontal="center" vertical="center"/>
    </xf>
    <xf numFmtId="20" fontId="0" fillId="0" borderId="10" applyAlignment="1" pivotButton="0" quotePrefix="0" xfId="0">
      <alignment horizontal="center" vertical="center"/>
    </xf>
    <xf numFmtId="165" fontId="1" fillId="5" borderId="10" applyAlignment="1" pivotButton="0" quotePrefix="0" xfId="1">
      <alignment horizontal="center" vertical="center"/>
    </xf>
    <xf numFmtId="164" fontId="0" fillId="0" borderId="10" applyAlignment="1" pivotButton="0" quotePrefix="0" xfId="0">
      <alignment horizontal="center" vertical="center"/>
    </xf>
    <xf numFmtId="0" fontId="0" fillId="4" borderId="7" applyAlignment="1" pivotButton="0" quotePrefix="0" xfId="0">
      <alignment horizontal="center" vertical="center" wrapText="1"/>
    </xf>
    <xf numFmtId="0" fontId="0" fillId="4" borderId="7" applyAlignment="1" pivotButton="0" quotePrefix="0" xfId="0">
      <alignment horizontal="center" vertical="center"/>
    </xf>
    <xf numFmtId="20" fontId="0" fillId="3" borderId="7" applyAlignment="1" pivotButton="0" quotePrefix="0" xfId="0">
      <alignment horizontal="center" vertical="center"/>
    </xf>
    <xf numFmtId="164" fontId="0" fillId="16" borderId="7" applyAlignment="1" pivotButton="0" quotePrefix="0" xfId="0">
      <alignment horizontal="center" vertical="center"/>
    </xf>
    <xf numFmtId="20" fontId="0" fillId="5" borderId="7" applyAlignment="1" pivotButton="0" quotePrefix="0" xfId="0">
      <alignment horizontal="center" vertical="center"/>
    </xf>
    <xf numFmtId="20" fontId="0" fillId="6" borderId="7" applyAlignment="1" pivotButton="0" quotePrefix="0" xfId="0">
      <alignment horizontal="center" vertical="center"/>
    </xf>
    <xf numFmtId="20" fontId="0" fillId="0" borderId="7" applyAlignment="1" pivotButton="0" quotePrefix="0" xfId="0">
      <alignment horizontal="center" vertical="center"/>
    </xf>
    <xf numFmtId="165" fontId="1" fillId="5" borderId="7" applyAlignment="1" pivotButton="0" quotePrefix="0" xfId="1">
      <alignment horizontal="center" vertical="center"/>
    </xf>
    <xf numFmtId="164" fontId="0" fillId="0" borderId="7" applyAlignment="1" pivotButton="0" quotePrefix="0" xfId="0">
      <alignment horizontal="center" vertical="center"/>
    </xf>
    <xf numFmtId="0" fontId="0" fillId="4" borderId="12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0" fillId="4" borderId="12" applyAlignment="1" pivotButton="0" quotePrefix="0" xfId="0">
      <alignment horizontal="center" vertical="center"/>
    </xf>
    <xf numFmtId="20" fontId="0" fillId="3" borderId="12" applyAlignment="1" pivotButton="0" quotePrefix="0" xfId="0">
      <alignment horizontal="center" vertical="center"/>
    </xf>
    <xf numFmtId="164" fontId="0" fillId="16" borderId="12" applyAlignment="1" pivotButton="0" quotePrefix="0" xfId="0">
      <alignment horizontal="center" vertical="center"/>
    </xf>
    <xf numFmtId="20" fontId="0" fillId="5" borderId="12" applyAlignment="1" pivotButton="0" quotePrefix="0" xfId="0">
      <alignment horizontal="center" vertical="center"/>
    </xf>
    <xf numFmtId="20" fontId="0" fillId="6" borderId="12" applyAlignment="1" pivotButton="0" quotePrefix="0" xfId="0">
      <alignment horizontal="center" vertical="center"/>
    </xf>
    <xf numFmtId="20" fontId="0" fillId="0" borderId="12" applyAlignment="1" pivotButton="0" quotePrefix="0" xfId="0">
      <alignment horizontal="center" vertical="center"/>
    </xf>
    <xf numFmtId="165" fontId="1" fillId="5" borderId="12" applyAlignment="1" pivotButton="0" quotePrefix="0" xfId="1">
      <alignment horizontal="center" vertical="center"/>
    </xf>
    <xf numFmtId="164" fontId="0" fillId="0" borderId="1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164" fontId="0" fillId="0" borderId="4" applyAlignment="1" pivotButton="0" quotePrefix="0" xfId="0">
      <alignment horizontal="center" vertical="center"/>
    </xf>
    <xf numFmtId="164" fontId="0" fillId="0" borderId="13" applyAlignment="1" pivotButton="0" quotePrefix="0" xfId="0">
      <alignment horizontal="center" vertical="center"/>
    </xf>
    <xf numFmtId="0" fontId="7" fillId="18" borderId="7" applyAlignment="1" pivotButton="0" quotePrefix="0" xfId="0">
      <alignment horizontal="center" vertical="center"/>
    </xf>
    <xf numFmtId="0" fontId="7" fillId="19" borderId="7" applyAlignment="1" pivotButton="0" quotePrefix="0" xfId="0">
      <alignment horizontal="center" vertical="center"/>
    </xf>
    <xf numFmtId="0" fontId="21" fillId="0" borderId="0" pivotButton="0" quotePrefix="0" xfId="0"/>
    <xf numFmtId="0" fontId="22" fillId="0" borderId="0" pivotButton="0" quotePrefix="0" xfId="0"/>
    <xf numFmtId="0" fontId="5" fillId="15" borderId="1" applyAlignment="1" pivotButton="0" quotePrefix="0" xfId="2">
      <alignment horizontal="center" vertical="center" wrapText="1"/>
    </xf>
    <xf numFmtId="0" fontId="5" fillId="15" borderId="10" applyAlignment="1" pivotButton="0" quotePrefix="0" xfId="2">
      <alignment horizontal="center" vertical="center" wrapText="1"/>
    </xf>
    <xf numFmtId="0" fontId="5" fillId="15" borderId="2" applyAlignment="1" pivotButton="0" quotePrefix="0" xfId="2">
      <alignment horizontal="center" vertical="center" wrapText="1"/>
    </xf>
    <xf numFmtId="0" fontId="0" fillId="20" borderId="0" pivotButton="0" quotePrefix="0" xfId="0"/>
    <xf numFmtId="0" fontId="0" fillId="21" borderId="0" pivotButton="0" quotePrefix="0" xfId="0"/>
    <xf numFmtId="0" fontId="0" fillId="2" borderId="0" pivotButton="0" quotePrefix="0" xfId="0"/>
    <xf numFmtId="166" fontId="4" fillId="0" borderId="0" pivotButton="0" quotePrefix="0" xfId="0"/>
    <xf numFmtId="0" fontId="0" fillId="0" borderId="20" pivotButton="0" quotePrefix="0" xfId="0"/>
    <xf numFmtId="0" fontId="0" fillId="0" borderId="21" pivotButton="0" quotePrefix="0" xfId="0"/>
    <xf numFmtId="165" fontId="1" fillId="5" borderId="10" applyAlignment="1" pivotButton="0" quotePrefix="0" xfId="1">
      <alignment horizontal="center" vertical="center"/>
    </xf>
    <xf numFmtId="165" fontId="0" fillId="5" borderId="6" applyAlignment="1" pivotButton="0" quotePrefix="0" xfId="1">
      <alignment horizontal="center" vertical="center"/>
    </xf>
    <xf numFmtId="165" fontId="1" fillId="5" borderId="7" applyAlignment="1" pivotButton="0" quotePrefix="0" xfId="1">
      <alignment horizontal="center" vertical="center"/>
    </xf>
    <xf numFmtId="165" fontId="0" fillId="5" borderId="7" applyAlignment="1" pivotButton="0" quotePrefix="0" xfId="1">
      <alignment horizontal="center" vertical="center"/>
    </xf>
    <xf numFmtId="166" fontId="0" fillId="0" borderId="7" applyAlignment="1" pivotButton="0" quotePrefix="0" xfId="1">
      <alignment horizontal="center" vertical="center"/>
    </xf>
    <xf numFmtId="165" fontId="0" fillId="0" borderId="7" applyAlignment="1" pivotButton="0" quotePrefix="0" xfId="1">
      <alignment horizontal="center" vertical="center"/>
    </xf>
    <xf numFmtId="165" fontId="1" fillId="5" borderId="12" applyAlignment="1" pivotButton="0" quotePrefix="0" xfId="1">
      <alignment horizontal="center" vertical="center"/>
    </xf>
    <xf numFmtId="166" fontId="0" fillId="5" borderId="6" applyAlignment="1" pivotButton="0" quotePrefix="0" xfId="0">
      <alignment horizontal="center" vertical="center"/>
    </xf>
    <xf numFmtId="166" fontId="0" fillId="6" borderId="6" applyAlignment="1" pivotButton="0" quotePrefix="0" xfId="0">
      <alignment horizontal="center" vertical="center"/>
    </xf>
    <xf numFmtId="167" fontId="0" fillId="5" borderId="6" applyAlignment="1" pivotButton="0" quotePrefix="0" xfId="0">
      <alignment horizontal="center" vertical="center"/>
    </xf>
    <xf numFmtId="165" fontId="23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left" vertical="center"/>
    </xf>
  </cellXfs>
  <cellStyles count="3">
    <cellStyle name="Normal" xfId="0" builtinId="0"/>
    <cellStyle name="Porcentaje" xfId="1" builtinId="5"/>
    <cellStyle name="Normal 2" xfId="2"/>
  </cellStyles>
  <dxfs count="64"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6" tint="0.3999450666829432"/>
        </patternFill>
      </fill>
    </dxf>
    <dxf>
      <fill>
        <patternFill>
          <bgColor theme="9" tint="0.3999450666829432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"/>
        </patternFill>
      </fill>
    </dxf>
    <dxf>
      <fill>
        <patternFill>
          <bgColor theme="6" tint="0.3999450666829432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6" tint="0.3999450666829432"/>
        </patternFill>
      </fill>
    </dxf>
    <dxf>
      <fill>
        <patternFill>
          <bgColor theme="9" tint="0.3999450666829432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theme="0"/>
      </font>
      <fill>
        <patternFill>
          <bgColor theme="7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color rgb="FF006100"/>
      </font>
      <fill>
        <patternFill>
          <bgColor rgb="FFC6EFCE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9" tint="0.3999450666829432"/>
        </patternFill>
      </fill>
    </dxf>
    <dxf>
      <fill>
        <patternFill>
          <bgColor theme="6" tint="0.3999450666829432"/>
        </patternFill>
      </fill>
    </dxf>
    <dxf>
      <fill>
        <patternFill>
          <bgColor theme="0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color theme="0"/>
      </font>
      <fill>
        <patternFill>
          <bgColor theme="7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1"/>
        <color rgb="00000000"/>
      </font>
      <fill>
        <patternFill patternType="solid">
          <fgColor rgb="00FFD966"/>
        </patternFill>
      </fill>
    </dxf>
    <dxf>
      <font>
        <b val="1"/>
        <color rgb="00000000"/>
      </font>
      <fill>
        <patternFill patternType="solid">
          <fgColor rgb="0000B050"/>
        </patternFill>
      </fill>
    </dxf>
    <dxf>
      <font>
        <b val="1"/>
        <color rgb="00FFFFFF"/>
      </font>
      <fill>
        <patternFill patternType="solid">
          <fgColor rgb="00C00000"/>
        </patternFill>
      </fill>
    </dxf>
    <dxf>
      <font>
        <b val="1"/>
        <color rgb="FF000000"/>
      </font>
      <fill>
        <patternFill patternType="solid">
          <fgColor rgb="FFFFD966"/>
          <bgColor rgb="FFFFD966"/>
        </patternFill>
      </fill>
    </dxf>
    <dxf>
      <font>
        <b val="1"/>
        <color rgb="FF000000"/>
      </font>
      <fill>
        <patternFill patternType="solid">
          <fgColor rgb="FF00B050"/>
          <bgColor rgb="FF00B05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669637</colOff>
      <row>0</row>
      <rowOff>11545</rowOff>
    </from>
    <to>
      <col>2</col>
      <colOff>981363</colOff>
      <row>0</row>
      <rowOff>679870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69637" y="11545"/>
          <a:ext cx="2297544" cy="66832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30</col>
      <colOff>577273</colOff>
      <row>0</row>
      <rowOff>57727</rowOff>
    </from>
    <to>
      <col>32</col>
      <colOff>888999</colOff>
      <row>1</row>
      <rowOff>44870</rowOff>
    </to>
    <pic>
      <nvPicPr>
        <cNvPr id="3" name="Imagen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3127182" y="57727"/>
          <a:ext cx="2297544" cy="668325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Hoja1">
    <outlinePr summaryBelow="1" summaryRight="1"/>
    <pageSetUpPr/>
  </sheetPr>
  <dimension ref="A1:IB9933"/>
  <sheetViews>
    <sheetView showGridLines="0" tabSelected="1" topLeftCell="E1" zoomScale="55" zoomScaleNormal="55" workbookViewId="0">
      <selection activeCell="AZ11" sqref="AZ11:BA11"/>
    </sheetView>
  </sheetViews>
  <sheetFormatPr baseColWidth="10" defaultRowHeight="14.5"/>
  <cols>
    <col width="17.453125" bestFit="1" customWidth="1" min="2" max="2"/>
    <col width="18.36328125" customWidth="1" min="3" max="3"/>
    <col width="12.81640625" bestFit="1" customWidth="1" min="4" max="4"/>
    <col width="11.1796875" bestFit="1" customWidth="1" min="5" max="5"/>
    <col hidden="1" width="8.90625" customWidth="1" min="6" max="6"/>
    <col hidden="1" width="10.90625" customWidth="1" min="10" max="20"/>
    <col width="13.1796875" customWidth="1" min="23" max="23"/>
    <col width="15.54296875" customWidth="1" min="24" max="24"/>
    <col width="17.453125" bestFit="1" customWidth="1" min="32" max="32"/>
    <col width="23.6328125" customWidth="1" min="33" max="33"/>
    <col width="13.08984375" bestFit="1" customWidth="1" min="35" max="35"/>
    <col hidden="1" width="13" customWidth="1" min="36" max="36"/>
    <col hidden="1" width="10.90625" customWidth="1" min="40" max="50"/>
    <col width="13.1796875" customWidth="1" min="53" max="53"/>
    <col width="15.54296875" customWidth="1" min="54" max="54"/>
    <col width="16.81640625" customWidth="1" min="58" max="58"/>
    <col width="11.453125" customWidth="1" style="43" min="61" max="76"/>
    <col hidden="1" width="16.26953125" customWidth="1" min="159" max="159"/>
    <col hidden="1" width="20.54296875" customWidth="1" min="160" max="160"/>
    <col hidden="1" width="21.54296875" customWidth="1" min="161" max="161"/>
    <col hidden="1" width="20.26953125" customWidth="1" min="162" max="162"/>
    <col hidden="1" width="14.81640625" customWidth="1" min="163" max="163"/>
    <col hidden="1" width="16.453125" customWidth="1" min="164" max="164"/>
    <col hidden="1" width="18.7265625" customWidth="1" min="165" max="165"/>
    <col hidden="1" width="19.90625" customWidth="1" min="166" max="166"/>
    <col hidden="1" width="7.7265625" customWidth="1" min="167" max="167"/>
    <col hidden="1" width="13.81640625" customWidth="1" min="168" max="168"/>
    <col hidden="1" width="29.6328125" customWidth="1" min="169" max="169"/>
    <col hidden="1" width="41.7265625" customWidth="1" min="170" max="170"/>
    <col hidden="1" width="19.6328125" customWidth="1" min="171" max="171"/>
    <col hidden="1" width="13.6328125" customWidth="1" min="172" max="172"/>
    <col hidden="1" width="8.36328125" customWidth="1" min="173" max="173"/>
    <col hidden="1" width="13" customWidth="1" min="174" max="174"/>
    <col hidden="1" width="20.54296875" customWidth="1" min="175" max="175"/>
    <col hidden="1" width="9.81640625" customWidth="1" min="176" max="176"/>
    <col hidden="1" width="8.81640625" customWidth="1" min="177" max="177"/>
    <col hidden="1" width="5.36328125" customWidth="1" min="178" max="178"/>
    <col hidden="1" width="13" customWidth="1" min="179" max="181"/>
    <col hidden="1" width="27.1796875" customWidth="1" style="14" min="182" max="182"/>
    <col hidden="1" width="8.54296875" customWidth="1" min="183" max="183"/>
    <col hidden="1" width="8.1796875" customWidth="1" min="184" max="184"/>
    <col hidden="1" width="8.54296875" customWidth="1" min="185" max="192"/>
    <col hidden="1" width="9.36328125" customWidth="1" min="193" max="193"/>
    <col hidden="1" width="9" customWidth="1" min="194" max="194"/>
    <col hidden="1" width="9.36328125" customWidth="1" min="195" max="202"/>
    <col hidden="1" width="9.6328125" customWidth="1" min="203" max="203"/>
    <col hidden="1" width="9.36328125" customWidth="1" min="204" max="204"/>
    <col hidden="1" width="9.6328125" customWidth="1" min="205" max="206"/>
    <col hidden="1" width="8.26953125" customWidth="1" min="207" max="208"/>
    <col hidden="1" width="4.7265625" customWidth="1" style="35" min="209" max="209"/>
    <col hidden="1" width="5.453125" customWidth="1" style="35" min="210" max="210"/>
    <col hidden="1" width="5.7265625" customWidth="1" min="211" max="211"/>
    <col hidden="1" width="13" customWidth="1" min="212" max="212"/>
    <col hidden="1" width="5" customWidth="1" min="213" max="213"/>
    <col hidden="1" width="13" customWidth="1" min="214" max="214"/>
    <col hidden="1" width="15.453125" customWidth="1" min="215" max="215"/>
    <col hidden="1" width="13" customWidth="1" style="14" min="216" max="216"/>
    <col hidden="1" width="13" customWidth="1" min="217" max="221"/>
    <col hidden="1" width="26.453125" customWidth="1" min="222" max="222"/>
    <col hidden="1" width="13" customWidth="1" min="223" max="235"/>
    <col hidden="1" width="75.7265625" customWidth="1" min="236" max="236"/>
  </cols>
  <sheetData>
    <row r="1" ht="54" customHeight="1">
      <c r="BH1" s="43" t="n"/>
      <c r="FC1" s="13" t="inlineStr">
        <is>
          <t>Diccio</t>
        </is>
      </c>
      <c r="FD1" s="13" t="inlineStr">
        <is>
          <t>N° Interno</t>
        </is>
      </c>
      <c r="FE1" s="13" t="inlineStr">
        <is>
          <t>N° Chasis</t>
        </is>
      </c>
      <c r="FF1" s="13" t="inlineStr">
        <is>
          <t>N Motor</t>
        </is>
      </c>
      <c r="FG1" s="13" t="inlineStr">
        <is>
          <t>Marca chasis</t>
        </is>
      </c>
      <c r="FH1" s="13" t="inlineStr">
        <is>
          <t>Modelo Chasis</t>
        </is>
      </c>
      <c r="FI1" s="13" t="inlineStr">
        <is>
          <t>Marca Carrocería</t>
        </is>
      </c>
      <c r="FJ1" s="13" t="inlineStr">
        <is>
          <t>Modelo Carrocería</t>
        </is>
      </c>
      <c r="FK1" s="13" t="inlineStr">
        <is>
          <t>Año</t>
        </is>
      </c>
      <c r="FL1" s="13" t="inlineStr">
        <is>
          <t>Tipo de Bus</t>
        </is>
      </c>
      <c r="FM1" s="13" t="inlineStr">
        <is>
          <t>Nombre Terminal Asignado</t>
        </is>
      </c>
      <c r="FN1" s="13" t="inlineStr">
        <is>
          <t xml:space="preserve">Dirección Terminal </t>
        </is>
      </c>
      <c r="FO1" s="13" t="inlineStr">
        <is>
          <t xml:space="preserve">Comuna </t>
        </is>
      </c>
      <c r="FP1" s="13" t="inlineStr">
        <is>
          <t>Tipo de bus</t>
        </is>
      </c>
      <c r="FS1" s="14" t="inlineStr">
        <is>
          <t>3003 / SFWZ-16|</t>
        </is>
      </c>
      <c r="FT1" t="inlineStr">
        <is>
          <t>SFWZ-16|</t>
        </is>
      </c>
      <c r="FU1" t="inlineStr">
        <is>
          <t>SFWZ-16</t>
        </is>
      </c>
      <c r="FV1">
        <f>VLOOKUP(FU1,FD:FL,9,0)</f>
        <v/>
      </c>
      <c r="FZ1" s="48" t="n"/>
      <c r="GA1" s="32" t="inlineStr">
        <is>
          <t>SI(A13&lt;&gt;"";BUSCARH(VALOR(TEXTO(G13;"h:mm:ss"));SI($C$6="Laboral";$FT$4:$GR$227;SI($C$6="Sábado";$FT$231:$GR$452;$FT$456:$GR$656));BUSCARV($C$4;Input!$GZ$2:$HB$99;3;0)+SI(C$5="Ida";0;1);1);"")</t>
        </is>
      </c>
      <c r="GB1" s="32" t="n"/>
      <c r="GC1" s="32" t="n"/>
      <c r="GD1" s="32" t="n"/>
      <c r="GE1" s="32" t="n"/>
      <c r="GF1" s="32" t="n"/>
      <c r="GG1" s="32" t="n"/>
      <c r="GH1" s="32" t="n"/>
      <c r="GI1" s="32" t="n"/>
      <c r="GJ1" s="32" t="n"/>
      <c r="GK1" s="32" t="n"/>
      <c r="GL1" s="32" t="n"/>
      <c r="GM1" s="32" t="n"/>
      <c r="GN1" s="32" t="n"/>
      <c r="GO1" s="32" t="n"/>
      <c r="GP1" s="32" t="n"/>
      <c r="GQ1" s="32" t="n"/>
      <c r="GR1" s="32" t="n"/>
      <c r="GS1" s="32" t="n"/>
      <c r="GT1" s="32" t="n"/>
      <c r="GU1" s="32" t="n"/>
      <c r="GV1" s="32" t="n"/>
      <c r="GW1" s="32" t="n"/>
      <c r="GX1" s="32" t="n"/>
      <c r="GY1" s="32" t="n"/>
      <c r="GZ1" s="32" t="n"/>
      <c r="HA1" s="32" t="n">
        <v>84</v>
      </c>
      <c r="HB1" s="32" t="n">
        <v>85</v>
      </c>
      <c r="HC1" s="32" t="n">
        <v>86</v>
      </c>
      <c r="HE1" t="inlineStr">
        <is>
          <t>ZTS</t>
        </is>
      </c>
      <c r="HF1" t="inlineStr">
        <is>
          <t>SERVICIO TS</t>
        </is>
      </c>
      <c r="HG1" t="inlineStr">
        <is>
          <t>SERVICIO UN</t>
        </is>
      </c>
      <c r="HH1" s="14" t="inlineStr">
        <is>
          <t>POS</t>
        </is>
      </c>
      <c r="HL1" t="inlineStr">
        <is>
          <t>unidad</t>
        </is>
      </c>
      <c r="HM1" t="inlineStr">
        <is>
          <t>servicio</t>
        </is>
      </c>
      <c r="HN1" s="44" t="inlineStr">
        <is>
          <t>Terminal</t>
        </is>
      </c>
      <c r="HO1" s="45" t="inlineStr">
        <is>
          <t>CODIGO TS SERVICIO</t>
        </is>
      </c>
    </row>
    <row r="2" ht="15" customHeight="1" thickBot="1">
      <c r="BH2" s="43" t="n"/>
      <c r="FC2" t="inlineStr">
        <is>
          <t>Diccionario 1</t>
        </is>
      </c>
      <c r="FD2" s="15" t="inlineStr"/>
      <c r="FE2" s="15" t="inlineStr">
        <is>
          <t>De Baja</t>
        </is>
      </c>
      <c r="FF2" s="15" t="inlineStr">
        <is>
          <t>De Baja</t>
        </is>
      </c>
      <c r="FG2" s="15" t="inlineStr">
        <is>
          <t>De Baja</t>
        </is>
      </c>
      <c r="FH2" s="15" t="inlineStr">
        <is>
          <t>De Baja</t>
        </is>
      </c>
      <c r="FI2" s="15" t="inlineStr">
        <is>
          <t>De Baja</t>
        </is>
      </c>
      <c r="FJ2" s="15" t="inlineStr">
        <is>
          <t>De Baja</t>
        </is>
      </c>
      <c r="FK2" s="15" t="inlineStr">
        <is>
          <t>De Baja</t>
        </is>
      </c>
      <c r="FL2" s="15" t="inlineStr">
        <is>
          <t>De Baja</t>
        </is>
      </c>
      <c r="FM2" s="15" t="inlineStr">
        <is>
          <t>De Baja</t>
        </is>
      </c>
      <c r="FN2" s="15" t="inlineStr">
        <is>
          <t>De Baja</t>
        </is>
      </c>
      <c r="FO2" s="15" t="inlineStr">
        <is>
          <t>De Baja</t>
        </is>
      </c>
      <c r="FS2" s="14" t="inlineStr">
        <is>
          <t>3003 / SFWZ-16|</t>
        </is>
      </c>
      <c r="FT2" t="inlineStr">
        <is>
          <t>SFWZ-16|</t>
        </is>
      </c>
      <c r="FU2" t="inlineStr">
        <is>
          <t>SFWZ-16</t>
        </is>
      </c>
      <c r="FV2">
        <f>VLOOKUP(FU2,FD:FL,9,0)</f>
        <v/>
      </c>
      <c r="FZ2" s="49" t="inlineStr">
        <is>
          <t>INTERVALO PROGRAMADO</t>
        </is>
      </c>
      <c r="GA2" s="33" t="n"/>
      <c r="GB2" s="34" t="n"/>
      <c r="GC2" s="34" t="n"/>
      <c r="GD2" s="34" t="n"/>
      <c r="GE2" s="34" t="n"/>
      <c r="GF2" s="34" t="n"/>
      <c r="GG2" s="34" t="n"/>
      <c r="GH2" s="34" t="n"/>
      <c r="GI2" s="34" t="n"/>
      <c r="GJ2" s="34" t="n"/>
      <c r="GK2" s="34" t="n"/>
      <c r="GL2" s="34" t="n"/>
      <c r="GM2" s="34" t="n"/>
      <c r="GN2" s="34" t="n"/>
      <c r="GO2" s="34" t="n"/>
      <c r="GP2" s="34" t="n"/>
      <c r="GQ2" s="34" t="n"/>
      <c r="GR2" s="34" t="n"/>
      <c r="GS2" s="34" t="n"/>
      <c r="GT2" s="34" t="n"/>
      <c r="GU2" s="34" t="n"/>
      <c r="GV2" s="34" t="n"/>
      <c r="GW2" s="34" t="n"/>
      <c r="GX2" s="34" t="n"/>
      <c r="HE2" t="inlineStr">
        <is>
          <t>U9</t>
        </is>
      </c>
      <c r="HF2" s="46" t="inlineStr">
        <is>
          <t>B01</t>
        </is>
      </c>
      <c r="HG2" s="46" t="inlineStr">
        <is>
          <t>B01</t>
        </is>
      </c>
      <c r="HH2" s="47" t="n">
        <v>3</v>
      </c>
      <c r="HL2" t="inlineStr">
        <is>
          <t>AlfaU9</t>
        </is>
      </c>
      <c r="HM2" s="46" t="inlineStr">
        <is>
          <t>B01</t>
        </is>
      </c>
      <c r="HN2" s="26" t="inlineStr">
        <is>
          <t>Condell</t>
        </is>
      </c>
      <c r="HO2" s="14" t="n">
        <v>801</v>
      </c>
    </row>
    <row r="3" ht="18.5" customHeight="1">
      <c r="B3" s="58" t="inlineStr">
        <is>
          <t>Terminal</t>
        </is>
      </c>
      <c r="C3" s="1" t="n"/>
      <c r="E3" s="110" t="inlineStr">
        <is>
          <t>Diccionario</t>
        </is>
      </c>
      <c r="V3" s="114" t="n"/>
      <c r="W3" s="130">
        <f>IFERROR(SUMPRODUCT(--ISNUMBER($W$13:$W$547),--ISNUMBER($X$13:$X$547),--(MOD($X$13:$X$547-$W$13:$W$547+0.5,1)-0.5&gt;=-1/1440),--(MOD($X$13:$X$547-$W$13:$W$547+0.5,1)-0.5&lt;=4/1440))/SUMPRODUCT(--ISNUMBER($W$13:$W$547),--ISNUMBER($X$13:$X$547)),0)</f>
        <v/>
      </c>
      <c r="X3" s="131" t="inlineStr">
        <is>
          <t>% OK</t>
        </is>
      </c>
      <c r="AF3" s="58" t="inlineStr">
        <is>
          <t>Terminal</t>
        </is>
      </c>
      <c r="AG3" s="1" t="n"/>
      <c r="AI3" s="110" t="inlineStr">
        <is>
          <t>Diccionario</t>
        </is>
      </c>
      <c r="AZ3" s="114" t="n"/>
      <c r="BA3" s="130">
        <f>IFERROR(SUMPRODUCT(--ISNUMBER($BA$13:$BA$547),--ISNUMBER($BB$13:$BB$547),--(MOD($BB$13:$BB$547-$BA$13:$BA$547+0.5,1)-0.5&gt;=-1/1440),--(MOD($BB$13:$BB$547-$BA$13:$BA$547+0.5,1)-0.5&lt;=4/1440))/SUMPRODUCT(--ISNUMBER($BA$13:$BA$547),--ISNUMBER($BB$13:$BB$547)),0)</f>
        <v/>
      </c>
      <c r="BB3" s="131" t="inlineStr">
        <is>
          <t>% OK</t>
        </is>
      </c>
      <c r="BH3" s="53" t="n"/>
      <c r="BI3" s="53" t="n"/>
      <c r="BJ3" s="53" t="n"/>
      <c r="BK3" s="53" t="n"/>
      <c r="BL3" s="53" t="n"/>
      <c r="BM3" s="53" t="n"/>
      <c r="BN3" s="53" t="n"/>
      <c r="BO3" s="53" t="n"/>
      <c r="BP3" s="53" t="n"/>
      <c r="BQ3" s="53" t="n"/>
      <c r="BR3" s="53" t="n"/>
      <c r="BS3" s="53" t="n"/>
      <c r="BT3" s="53" t="n"/>
      <c r="BU3" s="53" t="n"/>
      <c r="BV3" s="53" t="n"/>
      <c r="BW3" s="53" t="n"/>
      <c r="BX3" s="53" t="n"/>
      <c r="FC3" t="inlineStr">
        <is>
          <t>Diccionario 1</t>
        </is>
      </c>
      <c r="FD3" s="15" t="n">
        <v>1000</v>
      </c>
      <c r="FE3" s="15" t="inlineStr">
        <is>
          <t>D8478292K2PL</t>
        </is>
      </c>
      <c r="FF3" s="15" t="inlineStr">
        <is>
          <t>YV3T7U524KA195142</t>
        </is>
      </c>
      <c r="FG3" s="15" t="inlineStr">
        <is>
          <t>Volvo</t>
        </is>
      </c>
      <c r="FH3" s="15" t="inlineStr">
        <is>
          <t>B8R</t>
        </is>
      </c>
      <c r="FI3" s="15" t="inlineStr">
        <is>
          <t>MARCOPOLO</t>
        </is>
      </c>
      <c r="FJ3" s="15" t="inlineStr">
        <is>
          <t>TORINO</t>
        </is>
      </c>
      <c r="FK3" s="15" t="n">
        <v>2019</v>
      </c>
      <c r="FL3" s="15" t="inlineStr">
        <is>
          <t>B2PAL</t>
        </is>
      </c>
      <c r="FM3" s="15" t="inlineStr">
        <is>
          <t>LOS LIBERTADORES</t>
        </is>
      </c>
      <c r="FN3" s="15" t="inlineStr">
        <is>
          <t>Los Liberadores 6450, Lote 4A</t>
        </is>
      </c>
      <c r="FO3" s="15" t="inlineStr">
        <is>
          <t>Huechuraba</t>
        </is>
      </c>
      <c r="FP3" s="16" t="inlineStr">
        <is>
          <t>B</t>
        </is>
      </c>
      <c r="FS3" s="14" t="inlineStr">
        <is>
          <t>3003 / SFWZ-16|</t>
        </is>
      </c>
      <c r="FT3" t="inlineStr">
        <is>
          <t>SFWZ-16|</t>
        </is>
      </c>
      <c r="FU3" t="inlineStr">
        <is>
          <t>SFWZ-16</t>
        </is>
      </c>
      <c r="FV3">
        <f>VLOOKUP(FU3,FD:FL,9,0)</f>
        <v/>
      </c>
      <c r="FZ3" s="50" t="inlineStr">
        <is>
          <t>LABORAL</t>
        </is>
      </c>
      <c r="GA3" s="36" t="inlineStr">
        <is>
          <t>P1</t>
        </is>
      </c>
      <c r="GB3" s="36" t="inlineStr">
        <is>
          <t>P2</t>
        </is>
      </c>
      <c r="GC3" s="36" t="inlineStr">
        <is>
          <t>P3</t>
        </is>
      </c>
      <c r="GD3" s="36" t="inlineStr">
        <is>
          <t>P4</t>
        </is>
      </c>
      <c r="GE3" s="36" t="inlineStr">
        <is>
          <t>P5</t>
        </is>
      </c>
      <c r="GF3" s="36" t="inlineStr">
        <is>
          <t>P6</t>
        </is>
      </c>
      <c r="GG3" s="36" t="inlineStr">
        <is>
          <t>P7</t>
        </is>
      </c>
      <c r="GH3" s="36" t="inlineStr">
        <is>
          <t>P8</t>
        </is>
      </c>
      <c r="GI3" s="36" t="inlineStr">
        <is>
          <t>P9</t>
        </is>
      </c>
      <c r="GJ3" s="36" t="inlineStr">
        <is>
          <t>P10</t>
        </is>
      </c>
      <c r="GK3" s="36" t="inlineStr">
        <is>
          <t>P11</t>
        </is>
      </c>
      <c r="GL3" s="36" t="inlineStr">
        <is>
          <t>P12</t>
        </is>
      </c>
      <c r="GM3" s="36" t="inlineStr">
        <is>
          <t>P13</t>
        </is>
      </c>
      <c r="GN3" s="36" t="inlineStr">
        <is>
          <t>P14</t>
        </is>
      </c>
      <c r="GO3" s="36" t="inlineStr">
        <is>
          <t>P15</t>
        </is>
      </c>
      <c r="GP3" s="36" t="inlineStr">
        <is>
          <t>P16</t>
        </is>
      </c>
      <c r="GQ3" s="36" t="inlineStr">
        <is>
          <t>P17</t>
        </is>
      </c>
      <c r="GR3" s="36" t="inlineStr">
        <is>
          <t>P18</t>
        </is>
      </c>
      <c r="GS3" s="36" t="inlineStr">
        <is>
          <t>P19</t>
        </is>
      </c>
      <c r="GT3" s="36" t="inlineStr">
        <is>
          <t>P20</t>
        </is>
      </c>
      <c r="GU3" s="36" t="inlineStr">
        <is>
          <t>P21</t>
        </is>
      </c>
      <c r="GV3" s="36" t="inlineStr">
        <is>
          <t>P22</t>
        </is>
      </c>
      <c r="GW3" s="36" t="inlineStr">
        <is>
          <t>P23</t>
        </is>
      </c>
      <c r="GX3" s="36" t="inlineStr">
        <is>
          <t>P24</t>
        </is>
      </c>
      <c r="GY3" s="37" t="n"/>
      <c r="GZ3" s="37" t="n"/>
      <c r="HB3" s="38" t="n"/>
      <c r="HC3" s="37" t="n"/>
      <c r="HD3" s="37" t="n"/>
      <c r="HE3" t="inlineStr">
        <is>
          <t>U9</t>
        </is>
      </c>
      <c r="HF3" s="46" t="inlineStr">
        <is>
          <t>B03</t>
        </is>
      </c>
      <c r="HG3" s="46" t="inlineStr">
        <is>
          <t>B03</t>
        </is>
      </c>
      <c r="HH3" s="14" t="n">
        <v>4</v>
      </c>
      <c r="HL3" t="inlineStr">
        <is>
          <t>AlfaU9</t>
        </is>
      </c>
      <c r="HM3" s="46" t="inlineStr">
        <is>
          <t>B03</t>
        </is>
      </c>
      <c r="HN3" s="26" t="inlineStr">
        <is>
          <t>El Retiro</t>
        </is>
      </c>
      <c r="HO3" s="14" t="n">
        <v>803</v>
      </c>
    </row>
    <row r="4" ht="17" customHeight="1">
      <c r="B4" s="59" t="inlineStr">
        <is>
          <t>Servicio</t>
        </is>
      </c>
      <c r="C4" s="2" t="n"/>
      <c r="E4" s="107" t="n"/>
      <c r="G4" s="109" t="inlineStr">
        <is>
          <t>Vacío a Cabezal</t>
        </is>
      </c>
      <c r="V4" s="115" t="n"/>
      <c r="W4" s="130">
        <f>IFERROR(SUMPRODUCT(--ISNUMBER($W$13:$W$547),--ISNUMBER($X$13:$X$547),--(MOD($X$13:$X$547-$W$13:$W$547+0.5,1)-0.5&lt;-1/1440))/SUMPRODUCT(--ISNUMBER($W$13:$W$547),--ISNUMBER($X$13:$X$547)),0)</f>
        <v/>
      </c>
      <c r="X4" s="131" t="inlineStr">
        <is>
          <t>% ADELANTADO</t>
        </is>
      </c>
      <c r="AF4" s="59" t="inlineStr">
        <is>
          <t>Servicio</t>
        </is>
      </c>
      <c r="AG4" s="2" t="n"/>
      <c r="AI4" s="107" t="n"/>
      <c r="AK4" s="109" t="inlineStr">
        <is>
          <t>Vacío a Cabezal</t>
        </is>
      </c>
      <c r="AZ4" s="115" t="n"/>
      <c r="BA4" s="130">
        <f>IFERROR(SUMPRODUCT(--ISNUMBER($BA$13:$BA$547),--ISNUMBER($BB$13:$BB$547),--(MOD($BB$13:$BB$547-$BA$13:$BA$547+0.5,1)-0.5&lt;-1/1440))/SUMPRODUCT(--ISNUMBER($BA$13:$BA$547),--ISNUMBER($BB$13:$BB$547)),0)</f>
        <v/>
      </c>
      <c r="BB4" s="131" t="inlineStr">
        <is>
          <t>% ADELANTADO</t>
        </is>
      </c>
      <c r="BH4" s="53" t="n"/>
      <c r="BI4" s="53" t="n"/>
      <c r="BJ4" s="53" t="n"/>
      <c r="BK4" s="53" t="n"/>
      <c r="BL4" s="53" t="n"/>
      <c r="BM4" s="53" t="n"/>
      <c r="BN4" s="53" t="n"/>
      <c r="BO4" s="53" t="n"/>
      <c r="BP4" s="53" t="n"/>
      <c r="BQ4" s="53" t="n"/>
      <c r="BR4" s="53" t="n"/>
      <c r="BS4" s="53" t="n"/>
      <c r="BT4" s="53" t="n"/>
      <c r="BU4" s="53" t="n"/>
      <c r="BV4" s="53" t="n"/>
      <c r="BW4" s="53" t="n"/>
      <c r="BX4" s="53" t="n"/>
      <c r="FC4" t="inlineStr">
        <is>
          <t>Diccionario 1</t>
        </is>
      </c>
      <c r="FD4" s="15" t="n">
        <v>1096</v>
      </c>
      <c r="FE4" s="15" t="inlineStr">
        <is>
          <t>D8482685K2PL</t>
        </is>
      </c>
      <c r="FF4" s="15" t="inlineStr">
        <is>
          <t>YV3T7U521KA195230</t>
        </is>
      </c>
      <c r="FG4" s="15" t="inlineStr">
        <is>
          <t>Volvo</t>
        </is>
      </c>
      <c r="FH4" s="15" t="inlineStr">
        <is>
          <t>B8R</t>
        </is>
      </c>
      <c r="FI4" s="15" t="inlineStr">
        <is>
          <t>MARCOPOLO</t>
        </is>
      </c>
      <c r="FJ4" s="15" t="inlineStr">
        <is>
          <t>TORINO</t>
        </is>
      </c>
      <c r="FK4" s="15" t="n">
        <v>2019</v>
      </c>
      <c r="FL4" s="15" t="inlineStr">
        <is>
          <t>B2PAL</t>
        </is>
      </c>
      <c r="FM4" s="15" t="inlineStr">
        <is>
          <t>LOS LIBERTADORES</t>
        </is>
      </c>
      <c r="FN4" s="15" t="inlineStr">
        <is>
          <t>Los Liberadores 6450, Lote 4A</t>
        </is>
      </c>
      <c r="FO4" s="15" t="inlineStr">
        <is>
          <t>Huechuraba</t>
        </is>
      </c>
      <c r="FP4" t="inlineStr">
        <is>
          <t>B</t>
        </is>
      </c>
      <c r="FS4" s="14" t="inlineStr">
        <is>
          <t>3003 / SFWZ-16|</t>
        </is>
      </c>
      <c r="FT4" t="inlineStr">
        <is>
          <t>SFWZ-16|</t>
        </is>
      </c>
      <c r="FU4" t="inlineStr">
        <is>
          <t>SFWZ-16</t>
        </is>
      </c>
      <c r="FV4">
        <f>VLOOKUP(FU4,FD:FL,9,0)</f>
        <v/>
      </c>
      <c r="FZ4" s="50" t="inlineStr">
        <is>
          <t>MH</t>
        </is>
      </c>
      <c r="GA4" s="39" t="n">
        <v>0</v>
      </c>
      <c r="GB4" s="39" t="n">
        <v>0.04166666666666666</v>
      </c>
      <c r="GC4" s="39" t="n">
        <v>0.08333333333333333</v>
      </c>
      <c r="GD4" s="39" t="n">
        <v>0.125</v>
      </c>
      <c r="GE4" s="39" t="n">
        <v>0.1666666666666667</v>
      </c>
      <c r="GF4" s="39" t="n">
        <v>0.2083333333333333</v>
      </c>
      <c r="GG4" s="39" t="n">
        <v>0.25</v>
      </c>
      <c r="GH4" s="39" t="n">
        <v>0.2916666666666667</v>
      </c>
      <c r="GI4" s="39" t="n">
        <v>0.3333333333333333</v>
      </c>
      <c r="GJ4" s="39" t="n">
        <v>0.375</v>
      </c>
      <c r="GK4" s="39" t="n">
        <v>0.4166666666666667</v>
      </c>
      <c r="GL4" s="39" t="n">
        <v>0.4583333333333333</v>
      </c>
      <c r="GM4" s="39" t="n">
        <v>0.5</v>
      </c>
      <c r="GN4" s="39" t="n">
        <v>0.5416666666666666</v>
      </c>
      <c r="GO4" s="39" t="n">
        <v>0.5833333333333334</v>
      </c>
      <c r="GP4" s="39" t="n">
        <v>0.625</v>
      </c>
      <c r="GQ4" s="39" t="n">
        <v>0.6666666666666666</v>
      </c>
      <c r="GR4" s="39" t="n">
        <v>0.7083333333333334</v>
      </c>
      <c r="GS4" s="39" t="n">
        <v>0.75</v>
      </c>
      <c r="GT4" s="39" t="n">
        <v>0.7916666666666666</v>
      </c>
      <c r="GU4" s="39" t="n">
        <v>0.8333333333333334</v>
      </c>
      <c r="GV4" s="39" t="n">
        <v>0.875</v>
      </c>
      <c r="GW4" s="39" t="n">
        <v>0.9166666666666666</v>
      </c>
      <c r="GX4" s="39" t="n">
        <v>0.9583333333333334</v>
      </c>
      <c r="GY4" s="40" t="n"/>
      <c r="GZ4" s="40" t="n"/>
      <c r="HA4" s="35" t="n">
        <v>1</v>
      </c>
      <c r="HB4" s="38" t="n"/>
      <c r="HC4" s="37" t="n"/>
      <c r="HD4" s="37" t="n"/>
      <c r="HE4" t="inlineStr">
        <is>
          <t>U9</t>
        </is>
      </c>
      <c r="HF4" s="46" t="n">
        <v>105</v>
      </c>
      <c r="HG4" s="46" t="n">
        <v>105</v>
      </c>
      <c r="HH4" s="14" t="n">
        <v>5</v>
      </c>
      <c r="HL4" t="inlineStr">
        <is>
          <t>AlfaU9</t>
        </is>
      </c>
      <c r="HM4" s="46" t="n">
        <v>105</v>
      </c>
      <c r="HN4" s="26" t="inlineStr">
        <is>
          <t>El Retiro</t>
        </is>
      </c>
      <c r="HO4" s="14" t="n">
        <v>805</v>
      </c>
    </row>
    <row r="5" ht="17" customHeight="1">
      <c r="B5" s="59" t="inlineStr">
        <is>
          <t>Sentido</t>
        </is>
      </c>
      <c r="C5" s="2" t="inlineStr">
        <is>
          <t>IDA</t>
        </is>
      </c>
      <c r="E5" s="108" t="n"/>
      <c r="G5" s="109" t="inlineStr">
        <is>
          <t>Vacío a Patio</t>
        </is>
      </c>
      <c r="V5" s="116" t="n"/>
      <c r="W5" s="130">
        <f>IFERROR(SUMPRODUCT(--ISNUMBER($W$13:$W$547),--ISNUMBER($X$13:$X$547),--(MOD($X$13:$X$547-$W$13:$W$547+0.5,1)-0.5&gt;4/1440))/SUMPRODUCT(--ISNUMBER($W$13:$W$547),--ISNUMBER($X$13:$X$547)),0)</f>
        <v/>
      </c>
      <c r="X5" s="131" t="inlineStr">
        <is>
          <t>% ATRASADO</t>
        </is>
      </c>
      <c r="AF5" s="59" t="inlineStr">
        <is>
          <t>Sentido</t>
        </is>
      </c>
      <c r="AG5" s="2" t="inlineStr">
        <is>
          <t>REG</t>
        </is>
      </c>
      <c r="AI5" s="108" t="n"/>
      <c r="AK5" s="109" t="inlineStr">
        <is>
          <t>Vacío a Patio</t>
        </is>
      </c>
      <c r="AZ5" s="116" t="n"/>
      <c r="BA5" s="130">
        <f>IFERROR(SUMPRODUCT(--ISNUMBER($BA$13:$BA$547),--ISNUMBER($BB$13:$BB$547),--(MOD($BB$13:$BB$547-$BA$13:$BA$547+0.5,1)-0.5&gt;4/1440))/SUMPRODUCT(--ISNUMBER($BA$13:$BA$547),--ISNUMBER($BB$13:$BB$547)),0)</f>
        <v/>
      </c>
      <c r="BB5" s="131" t="inlineStr">
        <is>
          <t>% ATRASADO</t>
        </is>
      </c>
      <c r="BI5" s="53" t="n"/>
      <c r="BJ5" s="53" t="n"/>
      <c r="BK5" s="53" t="n"/>
      <c r="BL5" s="53" t="n"/>
      <c r="BM5" s="53" t="n"/>
      <c r="BN5" s="53" t="n"/>
      <c r="BO5" s="53" t="n"/>
      <c r="BP5" s="53" t="n"/>
      <c r="BQ5" s="53" t="n"/>
      <c r="BR5" s="53" t="n"/>
      <c r="BS5" s="53" t="n"/>
      <c r="BT5" s="53" t="n"/>
      <c r="BU5" s="53" t="n"/>
      <c r="BV5" s="53" t="n"/>
      <c r="BW5" s="53" t="n"/>
      <c r="BX5" s="53" t="n"/>
      <c r="FC5" t="inlineStr">
        <is>
          <t>Diccionario 1</t>
        </is>
      </c>
      <c r="FD5" s="15" t="n">
        <v>1002</v>
      </c>
      <c r="FE5" s="15" t="inlineStr">
        <is>
          <t>D8483833K2PL</t>
        </is>
      </c>
      <c r="FF5" s="15" t="inlineStr">
        <is>
          <t>YV3T7U520KA195641</t>
        </is>
      </c>
      <c r="FG5" s="15" t="inlineStr">
        <is>
          <t>Volvo</t>
        </is>
      </c>
      <c r="FH5" s="15" t="inlineStr">
        <is>
          <t>B8R</t>
        </is>
      </c>
      <c r="FI5" s="15" t="inlineStr">
        <is>
          <t>MARCOPOLO</t>
        </is>
      </c>
      <c r="FJ5" s="15" t="inlineStr">
        <is>
          <t>TORINO</t>
        </is>
      </c>
      <c r="FK5" s="15" t="n">
        <v>2019</v>
      </c>
      <c r="FL5" s="15" t="inlineStr">
        <is>
          <t>B2PAL</t>
        </is>
      </c>
      <c r="FM5" s="15" t="inlineStr">
        <is>
          <t>LOS LIBERTADORES</t>
        </is>
      </c>
      <c r="FN5" s="15" t="inlineStr">
        <is>
          <t>Los Liberadores 6450, Lote 4A</t>
        </is>
      </c>
      <c r="FO5" s="15" t="inlineStr">
        <is>
          <t>Huechuraba</t>
        </is>
      </c>
      <c r="FP5" t="inlineStr">
        <is>
          <t>B</t>
        </is>
      </c>
      <c r="FS5" s="14" t="inlineStr">
        <is>
          <t>3003 / SFWZ-16|</t>
        </is>
      </c>
      <c r="FT5" t="inlineStr">
        <is>
          <t>SFWZ-16|</t>
        </is>
      </c>
      <c r="FU5" t="inlineStr">
        <is>
          <t>SFWZ-16</t>
        </is>
      </c>
      <c r="FV5">
        <f>VLOOKUP(FU5,FD:FL,9,0)</f>
        <v/>
      </c>
      <c r="FZ5" s="50" t="inlineStr">
        <is>
          <t>LP</t>
        </is>
      </c>
      <c r="GA5" s="41" t="n">
        <v>1</v>
      </c>
      <c r="GB5" s="41" t="n">
        <v>1</v>
      </c>
      <c r="GC5" s="41" t="n">
        <v>1</v>
      </c>
      <c r="GD5" s="41" t="n">
        <v>1</v>
      </c>
      <c r="GE5" s="41" t="n">
        <v>1</v>
      </c>
      <c r="GF5" s="41" t="n">
        <v>1</v>
      </c>
      <c r="GG5" s="41" t="n">
        <v>1</v>
      </c>
      <c r="GH5" s="41" t="n">
        <v>1</v>
      </c>
      <c r="GI5" s="41" t="n">
        <v>1</v>
      </c>
      <c r="GJ5" s="41" t="n">
        <v>1</v>
      </c>
      <c r="GK5" s="41" t="n">
        <v>1</v>
      </c>
      <c r="GL5" s="41" t="n">
        <v>1</v>
      </c>
      <c r="GM5" s="41" t="n">
        <v>1</v>
      </c>
      <c r="GN5" s="41" t="n">
        <v>1</v>
      </c>
      <c r="GO5" s="41" t="n">
        <v>1</v>
      </c>
      <c r="GP5" s="41" t="n">
        <v>1</v>
      </c>
      <c r="GQ5" s="41" t="n">
        <v>1</v>
      </c>
      <c r="GR5" s="41" t="n">
        <v>1</v>
      </c>
      <c r="GS5" s="41" t="n">
        <v>1</v>
      </c>
      <c r="GT5" s="41" t="n">
        <v>1</v>
      </c>
      <c r="GU5" s="41" t="n">
        <v>1</v>
      </c>
      <c r="GV5" s="41" t="n">
        <v>1</v>
      </c>
      <c r="GW5" s="41" t="n">
        <v>1</v>
      </c>
      <c r="GX5" s="41" t="n">
        <v>1</v>
      </c>
      <c r="GY5" s="37" t="n"/>
      <c r="GZ5" s="37" t="n"/>
      <c r="HA5" s="35" t="n">
        <v>2</v>
      </c>
      <c r="HB5" s="38" t="n"/>
      <c r="HC5" s="37" t="n"/>
      <c r="HD5" s="37" t="n"/>
      <c r="HE5" t="inlineStr">
        <is>
          <t>U9</t>
        </is>
      </c>
      <c r="HF5" s="46" t="inlineStr">
        <is>
          <t>B07</t>
        </is>
      </c>
      <c r="HG5" s="46" t="inlineStr">
        <is>
          <t>B07</t>
        </is>
      </c>
      <c r="HH5" s="14" t="n">
        <v>8</v>
      </c>
      <c r="HL5" t="inlineStr">
        <is>
          <t>AlfaU9</t>
        </is>
      </c>
      <c r="HM5" s="46" t="inlineStr">
        <is>
          <t>B07</t>
        </is>
      </c>
      <c r="HN5" s="26" t="inlineStr">
        <is>
          <t>Santa Marta</t>
        </is>
      </c>
      <c r="HO5" s="14" t="n">
        <v>807</v>
      </c>
    </row>
    <row r="6" ht="15" customHeight="1" thickBot="1">
      <c r="B6" s="62" t="inlineStr">
        <is>
          <t>tipo de día</t>
        </is>
      </c>
      <c r="C6" s="61" t="n"/>
      <c r="W6" s="130">
        <f>SUM(W3:W5)</f>
        <v/>
      </c>
      <c r="X6" s="131" t="inlineStr">
        <is>
          <t>% TOTAL</t>
        </is>
      </c>
      <c r="AF6" s="62" t="inlineStr">
        <is>
          <t>tipo de día</t>
        </is>
      </c>
      <c r="AG6" s="61" t="n"/>
      <c r="BA6" s="130">
        <f>SUM(BA3:BA5)</f>
        <v/>
      </c>
      <c r="BB6" s="131" t="inlineStr">
        <is>
          <t>% TOTAL</t>
        </is>
      </c>
      <c r="BI6" s="53" t="n"/>
      <c r="BJ6" s="53" t="n"/>
      <c r="BK6" s="53" t="n"/>
      <c r="BL6" s="53" t="n"/>
      <c r="BM6" s="53" t="n"/>
      <c r="BN6" s="53" t="n"/>
      <c r="BO6" s="53" t="n"/>
      <c r="BP6" s="53" t="n"/>
      <c r="BQ6" s="53" t="n"/>
      <c r="BR6" s="53" t="n"/>
      <c r="BS6" s="53" t="n"/>
      <c r="BT6" s="53" t="n"/>
      <c r="BU6" s="53" t="n"/>
      <c r="BV6" s="53" t="n"/>
      <c r="BW6" s="53" t="n"/>
      <c r="BX6" s="53" t="n"/>
      <c r="FC6" t="inlineStr">
        <is>
          <t>Diccionario 1</t>
        </is>
      </c>
      <c r="FD6" s="15" t="n">
        <v>1003</v>
      </c>
      <c r="FE6" s="15" t="inlineStr">
        <is>
          <t>D8483530K2PL</t>
        </is>
      </c>
      <c r="FF6" s="15" t="inlineStr">
        <is>
          <t>YV3T7U522KA195642</t>
        </is>
      </c>
      <c r="FG6" s="15" t="inlineStr">
        <is>
          <t>Volvo</t>
        </is>
      </c>
      <c r="FH6" s="15" t="inlineStr">
        <is>
          <t>B8R</t>
        </is>
      </c>
      <c r="FI6" s="15" t="inlineStr">
        <is>
          <t>MARCOPOLO</t>
        </is>
      </c>
      <c r="FJ6" s="15" t="inlineStr">
        <is>
          <t>TORINO</t>
        </is>
      </c>
      <c r="FK6" s="15" t="n">
        <v>2019</v>
      </c>
      <c r="FL6" s="15" t="inlineStr">
        <is>
          <t>B2PAL</t>
        </is>
      </c>
      <c r="FM6" s="15" t="inlineStr">
        <is>
          <t>LOS LIBERTADORES</t>
        </is>
      </c>
      <c r="FN6" s="15" t="inlineStr">
        <is>
          <t>Los Liberadores 6450, Lote 4A</t>
        </is>
      </c>
      <c r="FO6" s="15" t="inlineStr">
        <is>
          <t>Huechuraba</t>
        </is>
      </c>
      <c r="FP6" t="inlineStr">
        <is>
          <t>B</t>
        </is>
      </c>
      <c r="FS6" s="14" t="inlineStr">
        <is>
          <t>3004 / SFWZ-31|</t>
        </is>
      </c>
      <c r="FT6" t="inlineStr">
        <is>
          <t>SFWZ-31|</t>
        </is>
      </c>
      <c r="FU6" t="inlineStr">
        <is>
          <t>SFWZ-31</t>
        </is>
      </c>
      <c r="FV6">
        <f>VLOOKUP(FU6,FD:FL,9,0)</f>
        <v/>
      </c>
      <c r="FZ6" s="51" t="inlineStr">
        <is>
          <t>B01</t>
        </is>
      </c>
      <c r="GA6" s="117" t="n">
        <v>28.92</v>
      </c>
      <c r="GB6" s="117" t="n">
        <v>0</v>
      </c>
      <c r="GC6" s="117" t="n">
        <v>0</v>
      </c>
      <c r="GD6" s="117" t="n">
        <v>0</v>
      </c>
      <c r="GE6" s="117" t="n">
        <v>0</v>
      </c>
      <c r="GF6" s="117" t="n">
        <v>8.85</v>
      </c>
      <c r="GG6" s="117" t="n">
        <v>15.76</v>
      </c>
      <c r="GH6" s="14" t="n">
        <v>13.79</v>
      </c>
      <c r="GI6" s="14" t="n">
        <v>14.87</v>
      </c>
      <c r="GJ6" s="14" t="n">
        <v>16.63</v>
      </c>
      <c r="GK6" s="117" t="n">
        <v>16.95</v>
      </c>
      <c r="GL6" s="117" t="n">
        <v>16.38</v>
      </c>
      <c r="GM6" s="117" t="n">
        <v>15.68</v>
      </c>
      <c r="GN6" s="117" t="n">
        <v>15.93</v>
      </c>
      <c r="GO6" s="117" t="n">
        <v>16.02</v>
      </c>
      <c r="GP6" s="117" t="n">
        <v>15.485</v>
      </c>
      <c r="GQ6" s="117" t="n">
        <v>14.685</v>
      </c>
      <c r="GR6" s="117" t="n">
        <v>13.585</v>
      </c>
      <c r="GS6" s="117" t="n">
        <v>14.31</v>
      </c>
      <c r="GT6" s="117" t="n">
        <v>16.51</v>
      </c>
      <c r="GU6" s="117" t="n">
        <v>18.045</v>
      </c>
      <c r="GV6" s="117" t="n">
        <v>19.45</v>
      </c>
      <c r="GW6" s="117" t="n">
        <v>22.085</v>
      </c>
      <c r="GX6" s="117" t="n">
        <v>24.735</v>
      </c>
      <c r="HA6" s="35" t="n">
        <v>3</v>
      </c>
      <c r="HE6" t="inlineStr">
        <is>
          <t>U9</t>
        </is>
      </c>
      <c r="HF6" s="46" t="inlineStr">
        <is>
          <t>B08</t>
        </is>
      </c>
      <c r="HG6" s="46" t="inlineStr">
        <is>
          <t>B08</t>
        </is>
      </c>
      <c r="HH6" s="14" t="n">
        <v>10</v>
      </c>
      <c r="HL6" t="inlineStr">
        <is>
          <t>AlfaU9</t>
        </is>
      </c>
      <c r="HM6" s="46" t="inlineStr">
        <is>
          <t>B08</t>
        </is>
      </c>
      <c r="HN6" s="26" t="inlineStr">
        <is>
          <t>Santa Marta</t>
        </is>
      </c>
      <c r="HO6" s="14" t="n">
        <v>808</v>
      </c>
    </row>
    <row r="7">
      <c r="BI7" s="53" t="n"/>
      <c r="BJ7" s="53" t="n"/>
      <c r="BK7" s="53" t="n"/>
      <c r="BL7" s="53" t="n"/>
      <c r="BM7" s="53" t="n"/>
      <c r="BN7" s="53" t="n"/>
      <c r="BO7" s="53" t="n"/>
      <c r="BP7" s="53" t="n"/>
      <c r="BQ7" s="53" t="n"/>
      <c r="BR7" s="53" t="n"/>
      <c r="BS7" s="53" t="n"/>
      <c r="BT7" s="53" t="n"/>
      <c r="BU7" s="53" t="n"/>
      <c r="BV7" s="53" t="n"/>
      <c r="BW7" s="53" t="n"/>
      <c r="BX7" s="53" t="n"/>
      <c r="FC7" t="inlineStr">
        <is>
          <t>Diccionario 1</t>
        </is>
      </c>
      <c r="FD7" s="15" t="n">
        <v>1004</v>
      </c>
      <c r="FE7" s="15" t="inlineStr">
        <is>
          <t>D8483789K2PL</t>
        </is>
      </c>
      <c r="FF7" s="15" t="inlineStr">
        <is>
          <t>YV3T7U524KA195643</t>
        </is>
      </c>
      <c r="FG7" s="15" t="inlineStr">
        <is>
          <t>Volvo</t>
        </is>
      </c>
      <c r="FH7" s="15" t="inlineStr">
        <is>
          <t>B8R</t>
        </is>
      </c>
      <c r="FI7" s="15" t="inlineStr">
        <is>
          <t>MARCOPOLO</t>
        </is>
      </c>
      <c r="FJ7" s="15" t="inlineStr">
        <is>
          <t>TORINO</t>
        </is>
      </c>
      <c r="FK7" s="15" t="n">
        <v>2019</v>
      </c>
      <c r="FL7" s="15" t="inlineStr">
        <is>
          <t>B2PAL</t>
        </is>
      </c>
      <c r="FM7" s="15" t="inlineStr">
        <is>
          <t>SAN JOSE</t>
        </is>
      </c>
      <c r="FN7" s="15" t="inlineStr">
        <is>
          <t>San José 030 (José Besa 669)</t>
        </is>
      </c>
      <c r="FO7" s="15" t="inlineStr">
        <is>
          <t>San Bernardo</t>
        </is>
      </c>
      <c r="FP7" t="inlineStr">
        <is>
          <t>B</t>
        </is>
      </c>
      <c r="FS7" s="14" t="inlineStr">
        <is>
          <t>3004 / SFWZ-31|</t>
        </is>
      </c>
      <c r="FT7" t="inlineStr">
        <is>
          <t>SFWZ-31|</t>
        </is>
      </c>
      <c r="FU7" t="inlineStr">
        <is>
          <t>SFWZ-31</t>
        </is>
      </c>
      <c r="FV7">
        <f>VLOOKUP(FU7,FD:FL,9,0)</f>
        <v/>
      </c>
      <c r="FZ7" s="51" t="inlineStr">
        <is>
          <t>B03</t>
        </is>
      </c>
      <c r="GA7" s="117" t="n">
        <v>0</v>
      </c>
      <c r="GB7" s="117" t="n">
        <v>0</v>
      </c>
      <c r="GC7" s="117" t="n">
        <v>0</v>
      </c>
      <c r="GD7" s="117" t="n">
        <v>0</v>
      </c>
      <c r="GE7" s="117" t="n">
        <v>0</v>
      </c>
      <c r="GF7" s="117" t="n">
        <v>17.585</v>
      </c>
      <c r="GG7" s="117" t="n">
        <v>14.575</v>
      </c>
      <c r="GH7" s="14" t="n">
        <v>14.64</v>
      </c>
      <c r="GI7" s="14" t="n">
        <v>15.78</v>
      </c>
      <c r="GJ7" s="14" t="n">
        <v>16.4</v>
      </c>
      <c r="GK7" s="117" t="n">
        <v>16.01</v>
      </c>
      <c r="GL7" s="117" t="n">
        <v>15.555</v>
      </c>
      <c r="GM7" s="117" t="n">
        <v>15.34</v>
      </c>
      <c r="GN7" s="117" t="n">
        <v>15.045</v>
      </c>
      <c r="GO7" s="117" t="n">
        <v>14.625</v>
      </c>
      <c r="GP7" s="117" t="n">
        <v>14.175</v>
      </c>
      <c r="GQ7" s="117" t="n">
        <v>13.545</v>
      </c>
      <c r="GR7" s="117" t="n">
        <v>13.395</v>
      </c>
      <c r="GS7" s="117" t="n">
        <v>15.2</v>
      </c>
      <c r="GT7" s="117" t="n">
        <v>16.955</v>
      </c>
      <c r="GU7" s="117" t="n">
        <v>18.275</v>
      </c>
      <c r="GV7" s="117" t="n">
        <v>19.905</v>
      </c>
      <c r="GW7" s="117" t="n">
        <v>21.615</v>
      </c>
      <c r="GX7" s="117" t="n">
        <v>0</v>
      </c>
      <c r="HA7" s="35" t="n">
        <v>4</v>
      </c>
      <c r="HB7" s="35" t="n">
        <v>1</v>
      </c>
      <c r="HE7" t="inlineStr">
        <is>
          <t>U9</t>
        </is>
      </c>
      <c r="HF7" s="46" t="inlineStr">
        <is>
          <t>B09</t>
        </is>
      </c>
      <c r="HG7" s="46" t="inlineStr">
        <is>
          <t>B09</t>
        </is>
      </c>
      <c r="HH7" s="14" t="n">
        <v>12</v>
      </c>
      <c r="HL7" t="inlineStr">
        <is>
          <t>AlfaU9</t>
        </is>
      </c>
      <c r="HM7" s="46" t="inlineStr">
        <is>
          <t>B09</t>
        </is>
      </c>
      <c r="HN7" s="26" t="inlineStr">
        <is>
          <t>El Retiro</t>
        </is>
      </c>
      <c r="HO7" s="14" t="n">
        <v>809</v>
      </c>
    </row>
    <row r="8">
      <c r="BI8" s="53" t="n"/>
      <c r="BJ8" s="53" t="n"/>
      <c r="BK8" s="53" t="n"/>
      <c r="BL8" s="53" t="n"/>
      <c r="BM8" s="53" t="n"/>
      <c r="BN8" s="53" t="n"/>
      <c r="BO8" s="53" t="n"/>
      <c r="BP8" s="53" t="n"/>
      <c r="BQ8" s="53" t="n"/>
      <c r="BR8" s="53" t="n"/>
      <c r="BS8" s="53" t="n"/>
      <c r="BT8" s="53" t="n"/>
      <c r="BU8" s="53" t="n"/>
      <c r="BV8" s="53" t="n"/>
      <c r="BW8" s="53" t="n"/>
      <c r="BX8" s="53" t="n"/>
      <c r="FC8" t="inlineStr">
        <is>
          <t>Diccionario 1</t>
        </is>
      </c>
      <c r="FD8" s="15" t="n">
        <v>1005</v>
      </c>
      <c r="FE8" s="15" t="inlineStr">
        <is>
          <t>D8484480K2PL</t>
        </is>
      </c>
      <c r="FF8" s="15" t="inlineStr">
        <is>
          <t>YV3T7U524KA195688</t>
        </is>
      </c>
      <c r="FG8" s="15" t="inlineStr">
        <is>
          <t>Volvo</t>
        </is>
      </c>
      <c r="FH8" s="15" t="inlineStr">
        <is>
          <t>B8R</t>
        </is>
      </c>
      <c r="FI8" s="15" t="inlineStr">
        <is>
          <t>MARCOPOLO</t>
        </is>
      </c>
      <c r="FJ8" s="15" t="inlineStr">
        <is>
          <t>TORINO</t>
        </is>
      </c>
      <c r="FK8" s="15" t="n">
        <v>2019</v>
      </c>
      <c r="FL8" s="15" t="inlineStr">
        <is>
          <t>B2PAL</t>
        </is>
      </c>
      <c r="FM8" s="15" t="inlineStr">
        <is>
          <t>SAN JOSE</t>
        </is>
      </c>
      <c r="FN8" s="15" t="inlineStr">
        <is>
          <t>San José 030 (José Besa 669)</t>
        </is>
      </c>
      <c r="FO8" s="15" t="inlineStr">
        <is>
          <t>San Bernardo</t>
        </is>
      </c>
      <c r="FP8" t="inlineStr">
        <is>
          <t>B</t>
        </is>
      </c>
      <c r="FS8" s="14" t="inlineStr">
        <is>
          <t>3004 / SFWZ-31|</t>
        </is>
      </c>
      <c r="FT8" t="inlineStr">
        <is>
          <t>SFWZ-31|</t>
        </is>
      </c>
      <c r="FU8" t="inlineStr">
        <is>
          <t>SFWZ-31</t>
        </is>
      </c>
      <c r="FV8">
        <f>VLOOKUP(FU8,FD:FL,9,0)</f>
        <v/>
      </c>
      <c r="FZ8" s="51" t="n">
        <v>105</v>
      </c>
      <c r="GA8" s="117" t="n">
        <v>0</v>
      </c>
      <c r="GB8" s="117" t="n">
        <v>0</v>
      </c>
      <c r="GC8" s="117" t="n">
        <v>0</v>
      </c>
      <c r="GD8" s="117" t="n">
        <v>0</v>
      </c>
      <c r="GE8" s="117" t="n">
        <v>0</v>
      </c>
      <c r="GF8" s="117" t="n">
        <v>18.435</v>
      </c>
      <c r="GG8" s="117" t="n">
        <v>15.275</v>
      </c>
      <c r="GH8" s="117" t="n">
        <v>14.62</v>
      </c>
      <c r="GI8" s="117" t="n">
        <v>16.635</v>
      </c>
      <c r="GJ8" s="117" t="n">
        <v>17.05</v>
      </c>
      <c r="GK8" s="117" t="n">
        <v>16.82</v>
      </c>
      <c r="GL8" s="117" t="n">
        <v>16.61</v>
      </c>
      <c r="GM8" s="117" t="n">
        <v>16.31</v>
      </c>
      <c r="GN8" s="117" t="n">
        <v>16.055</v>
      </c>
      <c r="GO8" s="117" t="n">
        <v>15.29</v>
      </c>
      <c r="GP8" s="117" t="n">
        <v>14.71</v>
      </c>
      <c r="GQ8" s="117" t="n">
        <v>13.055</v>
      </c>
      <c r="GR8" s="117" t="n">
        <v>12.495</v>
      </c>
      <c r="GS8" s="117" t="n">
        <v>14.34</v>
      </c>
      <c r="GT8" s="117" t="n">
        <v>16.7</v>
      </c>
      <c r="GU8" s="117" t="n">
        <v>18.44</v>
      </c>
      <c r="GV8" s="117" t="n">
        <v>19.865</v>
      </c>
      <c r="GW8" s="117" t="n">
        <v>21.83</v>
      </c>
      <c r="GX8" s="117" t="n">
        <v>23.995</v>
      </c>
      <c r="HA8" s="35" t="n">
        <v>5</v>
      </c>
      <c r="HB8" s="35" t="n">
        <v>2</v>
      </c>
      <c r="HE8" t="inlineStr">
        <is>
          <t>U9</t>
        </is>
      </c>
      <c r="HF8" s="46" t="inlineStr">
        <is>
          <t>B10</t>
        </is>
      </c>
      <c r="HG8" s="46" t="inlineStr">
        <is>
          <t>B10</t>
        </is>
      </c>
      <c r="HH8" s="14" t="n">
        <v>13</v>
      </c>
      <c r="HL8" t="inlineStr">
        <is>
          <t>AlfaU9</t>
        </is>
      </c>
      <c r="HM8" s="46" t="inlineStr">
        <is>
          <t>B10</t>
        </is>
      </c>
      <c r="HN8" s="26" t="inlineStr">
        <is>
          <t>Santa Marta</t>
        </is>
      </c>
      <c r="HO8" s="14" t="n">
        <v>810</v>
      </c>
    </row>
    <row r="9">
      <c r="BI9" s="53" t="n"/>
      <c r="BJ9" s="53" t="n"/>
      <c r="BK9" s="53" t="n"/>
      <c r="BL9" s="53" t="n"/>
      <c r="BM9" s="53" t="n"/>
      <c r="BN9" s="53" t="n"/>
      <c r="BO9" s="53" t="n"/>
      <c r="BP9" s="53" t="n"/>
      <c r="BQ9" s="53" t="n"/>
      <c r="BR9" s="53" t="n"/>
      <c r="BS9" s="53" t="n"/>
      <c r="BT9" s="53" t="n"/>
      <c r="BU9" s="53" t="n"/>
      <c r="BV9" s="53" t="n"/>
      <c r="BW9" s="53" t="n"/>
      <c r="BX9" s="53" t="n"/>
      <c r="FC9" t="inlineStr">
        <is>
          <t>Diccionario 1</t>
        </is>
      </c>
      <c r="FD9" s="15" t="n">
        <v>1006</v>
      </c>
      <c r="FE9" s="15" t="inlineStr">
        <is>
          <t>D8484637K2PL</t>
        </is>
      </c>
      <c r="FF9" s="15" t="inlineStr">
        <is>
          <t>YV3T7U528KA195712</t>
        </is>
      </c>
      <c r="FG9" s="15" t="inlineStr">
        <is>
          <t>Volvo</t>
        </is>
      </c>
      <c r="FH9" s="15" t="inlineStr">
        <is>
          <t>B8R</t>
        </is>
      </c>
      <c r="FI9" s="15" t="inlineStr">
        <is>
          <t>MARCOPOLO</t>
        </is>
      </c>
      <c r="FJ9" s="15" t="inlineStr">
        <is>
          <t>TORINO</t>
        </is>
      </c>
      <c r="FK9" s="15" t="n">
        <v>2019</v>
      </c>
      <c r="FL9" s="15" t="inlineStr">
        <is>
          <t>B2PAL</t>
        </is>
      </c>
      <c r="FM9" s="15" t="inlineStr">
        <is>
          <t>SAN JOSE</t>
        </is>
      </c>
      <c r="FN9" s="15" t="inlineStr">
        <is>
          <t>San José 030 (José Besa 669)</t>
        </is>
      </c>
      <c r="FO9" s="15" t="inlineStr">
        <is>
          <t>San Bernardo</t>
        </is>
      </c>
      <c r="FP9" t="inlineStr">
        <is>
          <t>B</t>
        </is>
      </c>
      <c r="FS9" s="14" t="inlineStr">
        <is>
          <t>3004 / SFWZ-31|</t>
        </is>
      </c>
      <c r="FT9" t="inlineStr">
        <is>
          <t>SFWZ-31|</t>
        </is>
      </c>
      <c r="FU9" t="inlineStr">
        <is>
          <t>SFWZ-31</t>
        </is>
      </c>
      <c r="FV9">
        <f>VLOOKUP(FU9,FD:FL,9,0)</f>
        <v/>
      </c>
      <c r="FZ9" s="51" t="n">
        <v>105</v>
      </c>
      <c r="GA9" s="117" t="n">
        <v>0</v>
      </c>
      <c r="GB9" s="117" t="n">
        <v>0</v>
      </c>
      <c r="GC9" s="117" t="n">
        <v>0</v>
      </c>
      <c r="GD9" s="117" t="n">
        <v>0</v>
      </c>
      <c r="GE9" s="117" t="n">
        <v>0</v>
      </c>
      <c r="GF9" s="117" t="n">
        <v>19.51</v>
      </c>
      <c r="GG9" s="117" t="n">
        <v>15.235</v>
      </c>
      <c r="GH9" s="117" t="n">
        <v>14.655</v>
      </c>
      <c r="GI9" s="117" t="n">
        <v>16.62</v>
      </c>
      <c r="GJ9" s="117" t="n">
        <v>17.48</v>
      </c>
      <c r="GK9" s="117" t="n">
        <v>17.01</v>
      </c>
      <c r="GL9" s="117" t="n">
        <v>16.145</v>
      </c>
      <c r="GM9" s="117" t="n">
        <v>15.605</v>
      </c>
      <c r="GN9" s="117" t="n">
        <v>16.08</v>
      </c>
      <c r="GO9" s="117" t="n">
        <v>15.86</v>
      </c>
      <c r="GP9" s="117" t="n">
        <v>15.355</v>
      </c>
      <c r="GQ9" s="117" t="n">
        <v>14.66</v>
      </c>
      <c r="GR9" s="117" t="n">
        <v>13.605</v>
      </c>
      <c r="GS9" s="117" t="n">
        <v>14.395</v>
      </c>
      <c r="GT9" s="117" t="n">
        <v>17.055</v>
      </c>
      <c r="GU9" s="117" t="n">
        <v>18.48</v>
      </c>
      <c r="GV9" s="117" t="n">
        <v>19.235</v>
      </c>
      <c r="GW9" s="117" t="n">
        <v>20.845</v>
      </c>
      <c r="GX9" s="117" t="n">
        <v>22.865</v>
      </c>
      <c r="HA9" s="35" t="n">
        <v>6</v>
      </c>
      <c r="HB9" s="35" t="n">
        <v>3</v>
      </c>
      <c r="HE9" t="inlineStr">
        <is>
          <t>U9</t>
        </is>
      </c>
      <c r="HF9" s="46" t="n">
        <v>120</v>
      </c>
      <c r="HG9" s="46" t="n">
        <v>120</v>
      </c>
      <c r="HH9" s="14" t="n">
        <v>14</v>
      </c>
      <c r="HL9" t="inlineStr">
        <is>
          <t>AlfaU9</t>
        </is>
      </c>
      <c r="HM9" s="46" t="n">
        <v>120</v>
      </c>
      <c r="HN9" s="26" t="inlineStr">
        <is>
          <t>Condell</t>
        </is>
      </c>
      <c r="HO9" s="14" t="n">
        <v>812</v>
      </c>
    </row>
    <row r="10" ht="15" customHeight="1" thickBot="1">
      <c r="BI10" s="53" t="n"/>
      <c r="BJ10" s="53" t="n"/>
      <c r="BK10" s="53" t="n"/>
      <c r="BL10" s="53" t="n"/>
      <c r="BM10" s="53" t="n"/>
      <c r="BN10" s="53" t="n"/>
      <c r="BO10" s="53" t="n"/>
      <c r="BP10" s="53" t="n"/>
      <c r="BQ10" s="53" t="n"/>
      <c r="BR10" s="53" t="n"/>
      <c r="BS10" s="53" t="n"/>
      <c r="BT10" s="53" t="n"/>
      <c r="BU10" s="53" t="n"/>
      <c r="BV10" s="53" t="n"/>
      <c r="BW10" s="53" t="n"/>
      <c r="BX10" s="53" t="n"/>
      <c r="FC10" t="inlineStr">
        <is>
          <t>Diccionario 1</t>
        </is>
      </c>
      <c r="FD10" s="15" t="n">
        <v>1007</v>
      </c>
      <c r="FE10" s="15" t="inlineStr">
        <is>
          <t>D8484676K2PL</t>
        </is>
      </c>
      <c r="FF10" s="15" t="inlineStr">
        <is>
          <t>YV3T7U52XKA195713</t>
        </is>
      </c>
      <c r="FG10" s="15" t="inlineStr">
        <is>
          <t>Volvo</t>
        </is>
      </c>
      <c r="FH10" s="15" t="inlineStr">
        <is>
          <t>B8R</t>
        </is>
      </c>
      <c r="FI10" s="15" t="inlineStr">
        <is>
          <t>MARCOPOLO</t>
        </is>
      </c>
      <c r="FJ10" s="15" t="inlineStr">
        <is>
          <t>TORINO</t>
        </is>
      </c>
      <c r="FK10" s="15" t="n">
        <v>2019</v>
      </c>
      <c r="FL10" s="15" t="inlineStr">
        <is>
          <t>B2PAL</t>
        </is>
      </c>
      <c r="FM10" s="15" t="inlineStr">
        <is>
          <t>LOS LIBERTADORES</t>
        </is>
      </c>
      <c r="FN10" s="15" t="inlineStr">
        <is>
          <t>Los Liberadores 6450, Lote 4A</t>
        </is>
      </c>
      <c r="FO10" s="15" t="inlineStr">
        <is>
          <t>Huechuraba</t>
        </is>
      </c>
      <c r="FP10" t="inlineStr">
        <is>
          <t>B</t>
        </is>
      </c>
      <c r="FS10" s="14" t="inlineStr">
        <is>
          <t>3004 / SFWZ-31|</t>
        </is>
      </c>
      <c r="FT10" t="inlineStr">
        <is>
          <t>SFWZ-31|</t>
        </is>
      </c>
      <c r="FU10" t="inlineStr">
        <is>
          <t>SFWZ-31</t>
        </is>
      </c>
      <c r="FV10">
        <f>VLOOKUP(FU10,FD:FL,9,0)</f>
        <v/>
      </c>
      <c r="FZ10" s="51" t="inlineStr">
        <is>
          <t>105c</t>
        </is>
      </c>
      <c r="GA10" s="117" t="n">
        <v>0</v>
      </c>
      <c r="GB10" s="117" t="n">
        <v>0</v>
      </c>
      <c r="GC10" s="117" t="n">
        <v>0</v>
      </c>
      <c r="GD10" s="117" t="n">
        <v>0</v>
      </c>
      <c r="GE10" s="117" t="n">
        <v>0</v>
      </c>
      <c r="GF10" s="117" t="n">
        <v>10.78</v>
      </c>
      <c r="GG10" s="117" t="n">
        <v>19.005</v>
      </c>
      <c r="GH10" s="117" t="n">
        <v>16.43</v>
      </c>
      <c r="GI10" s="117" t="n">
        <v>18.565</v>
      </c>
      <c r="GJ10" s="117" t="n">
        <v>9.805</v>
      </c>
      <c r="GK10" s="117" t="n">
        <v>0</v>
      </c>
      <c r="GL10" s="117" t="n">
        <v>0</v>
      </c>
      <c r="GM10" s="117" t="n">
        <v>0</v>
      </c>
      <c r="GN10" s="117" t="n">
        <v>0</v>
      </c>
      <c r="GO10" s="117" t="n">
        <v>0</v>
      </c>
      <c r="GP10" s="117" t="n">
        <v>0</v>
      </c>
      <c r="GQ10" s="117" t="n">
        <v>8.115</v>
      </c>
      <c r="GR10" s="117" t="n">
        <v>14.65</v>
      </c>
      <c r="GS10" s="117" t="n">
        <v>15.24</v>
      </c>
      <c r="GT10" s="117" t="n">
        <v>18.095</v>
      </c>
      <c r="GU10" s="117" t="n">
        <v>19.5</v>
      </c>
      <c r="GV10" s="117" t="n">
        <v>0</v>
      </c>
      <c r="GW10" s="117" t="n">
        <v>0</v>
      </c>
      <c r="GX10" s="117" t="n">
        <v>0</v>
      </c>
      <c r="HA10" s="35" t="n">
        <v>7</v>
      </c>
      <c r="HB10" s="35" t="n">
        <v>4</v>
      </c>
      <c r="HE10" t="inlineStr">
        <is>
          <t>U9</t>
        </is>
      </c>
      <c r="HF10" s="46" t="inlineStr">
        <is>
          <t>B13</t>
        </is>
      </c>
      <c r="HG10" s="46" t="inlineStr">
        <is>
          <t>B13</t>
        </is>
      </c>
      <c r="HH10" s="14" t="n">
        <v>16</v>
      </c>
      <c r="HL10" t="inlineStr">
        <is>
          <t>AlfaU9</t>
        </is>
      </c>
      <c r="HM10" s="46" t="inlineStr">
        <is>
          <t>B13</t>
        </is>
      </c>
      <c r="HN10" s="26" t="inlineStr">
        <is>
          <t>Santa Marta</t>
        </is>
      </c>
      <c r="HO10" s="14" t="n">
        <v>813</v>
      </c>
    </row>
    <row r="11" ht="15" customHeight="1" thickBot="1">
      <c r="BI11" s="111">
        <f>C4&amp;" "&amp;C5</f>
        <v/>
      </c>
      <c r="BJ11" s="118" t="n"/>
      <c r="BK11" s="118" t="n"/>
      <c r="BL11" s="118" t="n"/>
      <c r="BM11" s="118" t="n"/>
      <c r="BN11" s="118" t="n"/>
      <c r="BO11" s="119" t="n"/>
      <c r="BR11" s="111">
        <f>AG4&amp;" "&amp;MID(AG5,1,3)</f>
        <v/>
      </c>
      <c r="BS11" s="118" t="n"/>
      <c r="BT11" s="118" t="n"/>
      <c r="BU11" s="118" t="n"/>
      <c r="BV11" s="118" t="n"/>
      <c r="BW11" s="118" t="n"/>
      <c r="BX11" s="119" t="n"/>
      <c r="FC11" t="inlineStr">
        <is>
          <t>Diccionario 1</t>
        </is>
      </c>
      <c r="FD11" s="15" t="n">
        <v>1008</v>
      </c>
      <c r="FE11" s="15" t="inlineStr">
        <is>
          <t>D8484733K2PL</t>
        </is>
      </c>
      <c r="FF11" s="15" t="inlineStr">
        <is>
          <t>YV3T7U526KA195742</t>
        </is>
      </c>
      <c r="FG11" s="15" t="inlineStr">
        <is>
          <t>Volvo</t>
        </is>
      </c>
      <c r="FH11" s="15" t="inlineStr">
        <is>
          <t>B8R</t>
        </is>
      </c>
      <c r="FI11" s="15" t="inlineStr">
        <is>
          <t>MARCOPOLO</t>
        </is>
      </c>
      <c r="FJ11" s="15" t="inlineStr">
        <is>
          <t>TORINO</t>
        </is>
      </c>
      <c r="FK11" s="15" t="n">
        <v>2019</v>
      </c>
      <c r="FL11" s="15" t="inlineStr">
        <is>
          <t>B2PAL</t>
        </is>
      </c>
      <c r="FM11" s="15" t="inlineStr">
        <is>
          <t>LOS LIBERTADORES</t>
        </is>
      </c>
      <c r="FN11" s="15" t="inlineStr">
        <is>
          <t>Los Liberadores 6450, Lote 4A</t>
        </is>
      </c>
      <c r="FO11" s="15" t="inlineStr">
        <is>
          <t>Huechuraba</t>
        </is>
      </c>
      <c r="FP11" t="inlineStr">
        <is>
          <t>B</t>
        </is>
      </c>
      <c r="FS11" s="14" t="inlineStr">
        <is>
          <t>3004 / SFWZ-31|</t>
        </is>
      </c>
      <c r="FT11" t="inlineStr">
        <is>
          <t>SFWZ-31|</t>
        </is>
      </c>
      <c r="FU11" t="inlineStr">
        <is>
          <t>SFWZ-31</t>
        </is>
      </c>
      <c r="FV11">
        <f>VLOOKUP(FU11,FD:FL,9,0)</f>
        <v/>
      </c>
      <c r="FZ11" s="51" t="inlineStr">
        <is>
          <t>B07</t>
        </is>
      </c>
      <c r="GA11" s="117" t="n">
        <v>0</v>
      </c>
      <c r="GB11" s="117" t="n">
        <v>0</v>
      </c>
      <c r="GC11" s="117" t="n">
        <v>0</v>
      </c>
      <c r="GD11" s="117" t="n">
        <v>0</v>
      </c>
      <c r="GE11" s="117" t="n">
        <v>0</v>
      </c>
      <c r="GF11" s="117" t="n">
        <v>12.58</v>
      </c>
      <c r="GG11" s="117" t="n">
        <v>20.03</v>
      </c>
      <c r="GH11" s="117" t="n">
        <v>17.86</v>
      </c>
      <c r="GI11" s="117" t="n">
        <v>21.28</v>
      </c>
      <c r="GJ11" s="117" t="n">
        <v>23.915</v>
      </c>
      <c r="GK11" s="117" t="n">
        <v>24.295</v>
      </c>
      <c r="GL11" s="117" t="n">
        <v>24.33</v>
      </c>
      <c r="GM11" s="117" t="n">
        <v>24.31</v>
      </c>
      <c r="GN11" s="117" t="n">
        <v>24.125</v>
      </c>
      <c r="GO11" s="117" t="n">
        <v>24.315</v>
      </c>
      <c r="GP11" s="117" t="n">
        <v>23.335</v>
      </c>
      <c r="GQ11" s="117" t="n">
        <v>19.745</v>
      </c>
      <c r="GR11" s="117" t="n">
        <v>15.08</v>
      </c>
      <c r="GS11" s="117" t="n">
        <v>17.465</v>
      </c>
      <c r="GT11" s="117" t="n">
        <v>23.745</v>
      </c>
      <c r="GU11" s="117" t="n">
        <v>27.27</v>
      </c>
      <c r="GV11" s="117" t="n">
        <v>29.185</v>
      </c>
      <c r="GW11" s="117" t="n">
        <v>28.615</v>
      </c>
      <c r="GX11" s="117" t="n">
        <v>0</v>
      </c>
      <c r="HA11" s="35" t="n">
        <v>8</v>
      </c>
      <c r="HB11" s="35" t="n">
        <v>5</v>
      </c>
      <c r="HE11" t="inlineStr">
        <is>
          <t>U9</t>
        </is>
      </c>
      <c r="HF11" s="46" t="inlineStr">
        <is>
          <t>B16</t>
        </is>
      </c>
      <c r="HG11" s="46" t="inlineStr">
        <is>
          <t>B16</t>
        </is>
      </c>
      <c r="HH11" s="14" t="n">
        <v>17</v>
      </c>
      <c r="HL11" t="inlineStr">
        <is>
          <t>AlfaU9</t>
        </is>
      </c>
      <c r="HM11" s="46" t="inlineStr">
        <is>
          <t>B16</t>
        </is>
      </c>
      <c r="HN11" s="26" t="inlineStr">
        <is>
          <t>Santa Marta</t>
        </is>
      </c>
      <c r="HO11" s="14" t="n">
        <v>816</v>
      </c>
    </row>
    <row r="12" ht="52.5" customHeight="1" thickBot="1">
      <c r="A12" s="63" t="inlineStr">
        <is>
          <t>Periodo</t>
        </is>
      </c>
      <c r="B12" s="64" t="inlineStr">
        <is>
          <t>TB Programado</t>
        </is>
      </c>
      <c r="C12" s="64" t="inlineStr">
        <is>
          <t>Tipo de Salida</t>
        </is>
      </c>
      <c r="D12" s="64" t="inlineStr">
        <is>
          <t>Cumple TB</t>
        </is>
      </c>
      <c r="E12" s="64" t="inlineStr">
        <is>
          <t>Bus</t>
        </is>
      </c>
      <c r="F12" s="64" t="inlineStr">
        <is>
          <t>Media Hora despacho</t>
        </is>
      </c>
      <c r="G12" s="64">
        <f>"H Sale Terminal"&amp;""&amp;C3</f>
        <v/>
      </c>
      <c r="H12" s="64" t="inlineStr">
        <is>
          <t>Cumple despacho</t>
        </is>
      </c>
      <c r="I12" s="64" t="inlineStr">
        <is>
          <t>H. Sale Real</t>
        </is>
      </c>
      <c r="J12" s="64" t="inlineStr">
        <is>
          <t>KM PERIODO</t>
        </is>
      </c>
      <c r="K12" s="64" t="inlineStr">
        <is>
          <t>KM PROMEDIO</t>
        </is>
      </c>
      <c r="L12" s="64" t="inlineStr">
        <is>
          <t>IR_REAL_PROM</t>
        </is>
      </c>
      <c r="M12" s="64" t="inlineStr">
        <is>
          <t>IR_PROG_PROM</t>
        </is>
      </c>
      <c r="N12" s="64" t="inlineStr">
        <is>
          <t>IR_PROG_DESVEST</t>
        </is>
      </c>
      <c r="O12" s="64" t="inlineStr">
        <is>
          <t>IR_REAL_DESVEST</t>
        </is>
      </c>
      <c r="P12" s="64" t="inlineStr">
        <is>
          <t>TE_IDEAL</t>
        </is>
      </c>
      <c r="Q12" s="64" t="inlineStr">
        <is>
          <t>TE_OBS</t>
        </is>
      </c>
      <c r="R12" s="64" t="inlineStr">
        <is>
          <t>TE_OBS_NET</t>
        </is>
      </c>
      <c r="S12" s="64" t="inlineStr">
        <is>
          <t>IR_REAL</t>
        </is>
      </c>
      <c r="T12" s="64" t="inlineStr">
        <is>
          <t>IR_PROG</t>
        </is>
      </c>
      <c r="U12" s="64">
        <f>"H llegada Terminal"&amp;""&amp;AG3</f>
        <v/>
      </c>
      <c r="V12" s="64" t="inlineStr">
        <is>
          <t>Corta Palo</t>
        </is>
      </c>
      <c r="W12" s="64" t="inlineStr">
        <is>
          <t>PUNTO DE CONTROL</t>
        </is>
      </c>
      <c r="X12" s="64" t="inlineStr">
        <is>
          <t>SALIDA REAL PUNTO DE CONTROL</t>
        </is>
      </c>
      <c r="Y12" s="64" t="inlineStr">
        <is>
          <t>Hora de Llegada Real</t>
        </is>
      </c>
      <c r="Z12" s="3" t="inlineStr">
        <is>
          <t>IE</t>
        </is>
      </c>
      <c r="AA12" s="64" t="inlineStr">
        <is>
          <t>Causa Perdidas</t>
        </is>
      </c>
      <c r="AB12" s="65" t="inlineStr">
        <is>
          <t>observación</t>
        </is>
      </c>
      <c r="AE12" s="63" t="inlineStr">
        <is>
          <t>Periodo</t>
        </is>
      </c>
      <c r="AF12" s="64" t="inlineStr">
        <is>
          <t>TB Programado</t>
        </is>
      </c>
      <c r="AG12" s="64" t="inlineStr">
        <is>
          <t>Tipo de Salida</t>
        </is>
      </c>
      <c r="AH12" s="64" t="inlineStr">
        <is>
          <t>Cumple TB</t>
        </is>
      </c>
      <c r="AI12" s="64" t="inlineStr">
        <is>
          <t>Bus</t>
        </is>
      </c>
      <c r="AJ12" s="64" t="inlineStr">
        <is>
          <t>Media Hora despcaho</t>
        </is>
      </c>
      <c r="AK12" s="64">
        <f>"H Sale Terminal"&amp;""&amp;AG3</f>
        <v/>
      </c>
      <c r="AL12" s="64" t="inlineStr">
        <is>
          <t>Cumple despacho</t>
        </is>
      </c>
      <c r="AM12" s="64" t="inlineStr">
        <is>
          <t>H. Sale Real</t>
        </is>
      </c>
      <c r="AN12" s="64" t="inlineStr">
        <is>
          <t>KM PERIODO</t>
        </is>
      </c>
      <c r="AO12" s="64" t="inlineStr">
        <is>
          <t>KM PROMEDIO</t>
        </is>
      </c>
      <c r="AP12" s="64" t="inlineStr">
        <is>
          <t>IR_REAL_PROM</t>
        </is>
      </c>
      <c r="AQ12" s="64" t="inlineStr">
        <is>
          <t>IR_PROG_PROM</t>
        </is>
      </c>
      <c r="AR12" s="64" t="inlineStr">
        <is>
          <t>IR_PROG_DESVEST</t>
        </is>
      </c>
      <c r="AS12" s="64" t="inlineStr">
        <is>
          <t>IR_PROG_DESVEST</t>
        </is>
      </c>
      <c r="AT12" s="64" t="inlineStr">
        <is>
          <t>TE_IDEAL</t>
        </is>
      </c>
      <c r="AU12" s="64" t="inlineStr">
        <is>
          <t>TE_OBS</t>
        </is>
      </c>
      <c r="AV12" s="64" t="inlineStr">
        <is>
          <t>TE_OBS_NET</t>
        </is>
      </c>
      <c r="AW12" s="64" t="inlineStr">
        <is>
          <t>IR_REAL</t>
        </is>
      </c>
      <c r="AX12" s="64" t="inlineStr">
        <is>
          <t>IR_PROG</t>
        </is>
      </c>
      <c r="AY12" s="64">
        <f>"H llegada Terminal"&amp;""&amp;C3</f>
        <v/>
      </c>
      <c r="AZ12" s="64" t="inlineStr">
        <is>
          <t>Corta Palo</t>
        </is>
      </c>
      <c r="BA12" s="64" t="inlineStr">
        <is>
          <t>PUNTO DE CONTROL</t>
        </is>
      </c>
      <c r="BB12" s="64" t="inlineStr">
        <is>
          <t>SALIDA REAL PUNTO DE CONTROL</t>
        </is>
      </c>
      <c r="BC12" s="64" t="inlineStr">
        <is>
          <t>Hora de Legada Real</t>
        </is>
      </c>
      <c r="BD12" s="3" t="inlineStr">
        <is>
          <t>IE</t>
        </is>
      </c>
      <c r="BE12" s="64" t="inlineStr">
        <is>
          <t>Causa Perdidas</t>
        </is>
      </c>
      <c r="BF12" s="65" t="inlineStr">
        <is>
          <t>observación</t>
        </is>
      </c>
      <c r="BI12" s="68" t="inlineStr">
        <is>
          <t>Periodo</t>
        </is>
      </c>
      <c r="BJ12" s="69" t="inlineStr">
        <is>
          <t>Teórico</t>
        </is>
      </c>
      <c r="BK12" s="69" t="inlineStr">
        <is>
          <t>Real</t>
        </is>
      </c>
      <c r="BL12" s="69" t="inlineStr">
        <is>
          <t>ICF-P</t>
        </is>
      </c>
      <c r="BM12" s="69" t="inlineStr">
        <is>
          <t>TE Obs</t>
        </is>
      </c>
      <c r="BN12" s="69" t="inlineStr">
        <is>
          <t>TE Ideal</t>
        </is>
      </c>
      <c r="BO12" s="70" t="inlineStr">
        <is>
          <t>IE</t>
        </is>
      </c>
      <c r="BR12" s="68" t="inlineStr">
        <is>
          <t>Periodo</t>
        </is>
      </c>
      <c r="BS12" s="69" t="inlineStr">
        <is>
          <t>Teórico</t>
        </is>
      </c>
      <c r="BT12" s="69" t="inlineStr">
        <is>
          <t>Real</t>
        </is>
      </c>
      <c r="BU12" s="69" t="inlineStr">
        <is>
          <t>ICF-P</t>
        </is>
      </c>
      <c r="BV12" s="69" t="inlineStr">
        <is>
          <t>TE Obs</t>
        </is>
      </c>
      <c r="BW12" s="69" t="inlineStr">
        <is>
          <t>TE Ideal</t>
        </is>
      </c>
      <c r="BX12" s="70" t="inlineStr">
        <is>
          <t>IE</t>
        </is>
      </c>
      <c r="FC12" t="inlineStr">
        <is>
          <t>Diccionario 1</t>
        </is>
      </c>
      <c r="FD12" s="15" t="n">
        <v>1009</v>
      </c>
      <c r="FE12" s="15" t="inlineStr">
        <is>
          <t>D8481621K2PL</t>
        </is>
      </c>
      <c r="FF12" s="15" t="inlineStr">
        <is>
          <t>YV3T7U528KA195175</t>
        </is>
      </c>
      <c r="FG12" s="15" t="inlineStr">
        <is>
          <t>Volvo</t>
        </is>
      </c>
      <c r="FH12" s="15" t="inlineStr">
        <is>
          <t>B8R</t>
        </is>
      </c>
      <c r="FI12" s="15" t="inlineStr">
        <is>
          <t>MARCOPOLO</t>
        </is>
      </c>
      <c r="FJ12" s="15" t="inlineStr">
        <is>
          <t>TORINO</t>
        </is>
      </c>
      <c r="FK12" s="15" t="n">
        <v>2019</v>
      </c>
      <c r="FL12" s="15" t="inlineStr">
        <is>
          <t>B2PAL</t>
        </is>
      </c>
      <c r="FM12" s="15" t="inlineStr">
        <is>
          <t>LOS LIBERTADORES</t>
        </is>
      </c>
      <c r="FN12" s="15" t="inlineStr">
        <is>
          <t>Los Liberadores 6450, Lote 4A</t>
        </is>
      </c>
      <c r="FO12" s="15" t="inlineStr">
        <is>
          <t>Huechuraba</t>
        </is>
      </c>
      <c r="FP12" t="inlineStr">
        <is>
          <t>B</t>
        </is>
      </c>
      <c r="FS12" s="14" t="inlineStr">
        <is>
          <t>3004 / SFWZ-31|</t>
        </is>
      </c>
      <c r="FT12" t="inlineStr">
        <is>
          <t>SFWZ-31|</t>
        </is>
      </c>
      <c r="FU12" t="inlineStr">
        <is>
          <t>SFWZ-31</t>
        </is>
      </c>
      <c r="FV12">
        <f>VLOOKUP(FU12,FD:FL,9,0)</f>
        <v/>
      </c>
      <c r="FZ12" s="51" t="inlineStr">
        <is>
          <t>B07y</t>
        </is>
      </c>
      <c r="GA12" s="117" t="n">
        <v>0</v>
      </c>
      <c r="GB12" s="117" t="n">
        <v>0</v>
      </c>
      <c r="GC12" s="117" t="n">
        <v>0</v>
      </c>
      <c r="GD12" s="117" t="n">
        <v>0</v>
      </c>
      <c r="GE12" s="117" t="n">
        <v>0</v>
      </c>
      <c r="GF12" s="117" t="n">
        <v>0</v>
      </c>
      <c r="GG12" s="117" t="n">
        <v>11.345</v>
      </c>
      <c r="GH12" s="117" t="n">
        <v>10.845</v>
      </c>
      <c r="GI12" s="117" t="n">
        <v>0</v>
      </c>
      <c r="GJ12" s="117" t="n">
        <v>0</v>
      </c>
      <c r="GK12" s="117" t="n">
        <v>0</v>
      </c>
      <c r="GL12" s="117" t="n">
        <v>0</v>
      </c>
      <c r="GM12" s="117" t="n">
        <v>0</v>
      </c>
      <c r="GN12" s="117" t="n">
        <v>0</v>
      </c>
      <c r="GO12" s="117" t="n">
        <v>0</v>
      </c>
      <c r="GP12" s="117" t="n">
        <v>0</v>
      </c>
      <c r="GQ12" s="117" t="n">
        <v>0</v>
      </c>
      <c r="GR12" s="117" t="n">
        <v>0</v>
      </c>
      <c r="GS12" s="117" t="n">
        <v>0</v>
      </c>
      <c r="GT12" s="117" t="n">
        <v>0</v>
      </c>
      <c r="GU12" s="117" t="n">
        <v>0</v>
      </c>
      <c r="GV12" s="117" t="n">
        <v>0</v>
      </c>
      <c r="GW12" s="117" t="n">
        <v>0</v>
      </c>
      <c r="GX12" s="117" t="n">
        <v>0</v>
      </c>
      <c r="HA12" s="35" t="n">
        <v>9</v>
      </c>
      <c r="HB12" s="35" t="n">
        <v>6</v>
      </c>
      <c r="HE12" t="inlineStr">
        <is>
          <t>U9</t>
        </is>
      </c>
      <c r="HF12" s="46" t="inlineStr">
        <is>
          <t>B17</t>
        </is>
      </c>
      <c r="HG12" s="46" t="inlineStr">
        <is>
          <t>B17</t>
        </is>
      </c>
      <c r="HH12" s="14" t="n">
        <v>19</v>
      </c>
      <c r="HL12" t="inlineStr">
        <is>
          <t>AlfaU9</t>
        </is>
      </c>
      <c r="HM12" s="46" t="inlineStr">
        <is>
          <t>B17</t>
        </is>
      </c>
      <c r="HN12" s="26" t="inlineStr">
        <is>
          <t>Condell</t>
        </is>
      </c>
      <c r="HO12" s="14" t="n">
        <v>817</v>
      </c>
    </row>
    <row r="13" ht="15.5" customHeight="1">
      <c r="A13" s="52">
        <f>HOUR(G13)+1</f>
        <v/>
      </c>
      <c r="B13" s="9" t="n"/>
      <c r="C13" s="9" t="n"/>
      <c r="D13" s="75">
        <f>IFERROR(
IF(AND(OR(Planilla!B13="C",Planilla!B13="c"), VLOOKUP(E13,FD:FP,13,0)="C"), "OK",IF(AND(OR(Planilla!B13="C",Planilla!B13="c"), OR(VLOOKUP(E13,FD:FP,13,0)="B", VLOOKUP(E13,FD:FP,13,0)="A")), "DEFICIT",IF(
AND(OR(Planilla!B13="B", Planilla!B13="BPAL"), VLOOKUP(E13,FD:FP,13,0)="B"), "OK",IF(AND(OR(Planilla!B13="B", Planilla!B13="BPAL"), VLOOKUP(E13,FD:FP,13,0)="A"), "DEFICIT",IF(AND(OR(Planilla!B13="B", Planilla!B13="BPAL"), VLOOKUP(E13,FD:FP,13,0)="C"), "SOBREOFERTA",IF(AND(Planilla!B13="A", VLOOKUP(E13,FD:FP,13,0)="A"), "OK",IF(
AND(Planilla!B13="A", OR(VLOOKUP(E13,FD:FP,13,0)="B", VLOOKUP(E13,FD:FP,13,0)="C")), "SOBREOFERTA",""
))))))),"")</f>
        <v/>
      </c>
      <c r="E13" s="76" t="n"/>
      <c r="F13" s="77" t="n"/>
      <c r="G13" s="78" t="n"/>
      <c r="H13" s="79">
        <f>IF(I13="","",IF(AND((I13-G13)&gt;=TIME(0,0,0),(I13-G13)&lt;TIME(0,3,0)),"OK",IF(AND((I13-G13)&gt;=TIME(0,3,0),(I13-G13)&lt;TIME(0,5,0)),"RETRASO DE 3-5 MIN",IF(AND((I13-G13)&gt;=TIME(0,5,0),(I13-G13)&lt;TIME(0,10,0)),"RETRASO DE 5-10 MIN",IF((I13-G13)&gt;=TIME(0,10,0),"RETRASO &gt;10 MIN",         IF(AND((G13-I13)&gt;=TIME(0,0,0),(G13-I13)&lt;TIME(0,3,0)),"OK",IF((G13-I13)&gt;=TIME(0,3,0),"ADELANTADO")))))))</f>
        <v/>
      </c>
      <c r="I13" s="80" t="n"/>
      <c r="J13" s="80">
        <f>IF(A13&lt;&gt;"",HLOOKUP(VALUE(TEXT(G13,"h:mm:ss")),IF($C$6="Laboral",$FZ$4:$GX$227,IF($C$6="Sábado",$FZ$231:$GX$452,$FZ$456:$GX$656)),VLOOKUP($C$4,$HF$2:$HH$99,3,0)+IF(C$5="Ida",0,1),1),"")</f>
        <v/>
      </c>
      <c r="K13" s="80">
        <f>IF(A14&lt;&gt;A13,AVERAGEIF(A$9:A13,A13,J$9:J13),"")</f>
        <v/>
      </c>
      <c r="L13" s="80">
        <f>IFERROR(IF(A14&lt;&gt;A13,AVERAGEIF(A$9:A13,A13,S$9:S13),""),"")</f>
        <v/>
      </c>
      <c r="M13" s="80">
        <f>IFERROR(IF(A14&lt;&gt;A13,AVERAGEIF(A$9:A13,A13,T$9:T13),""),"")</f>
        <v/>
      </c>
      <c r="N13" s="80">
        <f t="array" ref="N13">IFERROR(IF(A14&lt;&gt;A13,_xlfn.STDEV.P(IF(A$9:A13=A13,T$9:T13)),""),"")</f>
        <v/>
      </c>
      <c r="O13" s="80">
        <f t="array" ref="O13">IFERROR(IF(A14&lt;&gt;A13,_xlfn.STDEV.P(IF(A$9:A13=A13,S$9:S13)),""),"")</f>
        <v/>
      </c>
      <c r="P13" s="81">
        <f>IFERROR(IF(A13&lt;&gt;A14,MAX((((M13*24*60)/2)*(1+POWER((((N13*24*60) / (M13*24*60) )),2))) + ((M13*24*60 )*-0.1 + (K13*0.015)) +1,(((M13*24*60)/2)*(1+POWER((((N13*24*60) / (M13*24*60 ))),2)))),""),"")</f>
        <v/>
      </c>
      <c r="Q13" s="81">
        <f>IF(AND(O13&lt;&gt;"",L13&lt;&gt;""),IF(A13&lt;&gt;A14,((L13*24*60) / 2 ) * (1 + POWER(((O13*24*60) / (L13*24*60)),2)),""),"")</f>
        <v/>
      </c>
      <c r="R13" s="81">
        <f>IF(Q13&lt;&gt;"",MAX(P13,Q13),"")</f>
        <v/>
      </c>
      <c r="S13" s="80">
        <f>IF(I13&lt;&gt;"H. Sale Real",IF(AND(I14&lt;&gt;"",LEFT(C14,2)&lt;&gt;"Va"),IF(AND(I13&lt;&gt;"",LEFT(C13,2)&lt;&gt;"Va",I13&lt;&gt;"H. Sale Real"),IF(I14-I13&lt;0.208333333333333,I14-I13,""),IF(AND(I12&lt;&gt;"",LEFT(C12,2)&lt;&gt;"Va",I12&lt;&gt;"H. Sale Real"),IF(I14-I12&lt;0.208333333333333,I14-I12,""),IF(AND(I11&lt;&gt;"",LEFT(C11,2)&lt;&gt;"Va",I11&lt;&gt;"H. Sale Real"),IF(I14-I11&lt;0.208333333333333,I14-I11,""),IF(AND(I10&lt;&gt;"",LEFT(C10,2)&lt;&gt;"Va",I10&lt;&gt;"H. Sale Real"),IF(I14-I10&lt;0.208333333333333,I14-I10,""),IF(AND(I9&lt;&gt;"",LEFT(C9,2)&lt;&gt;"Va",I9&lt;&gt;"H. Sale Real"),IF(I14-I9&lt;0.208333333333333,I14-I9,""),""))))),""),"")</f>
        <v/>
      </c>
      <c r="T13" s="80">
        <f>IF(G13&lt;&gt;"H. Sale Real",IF(AND(G14&lt;&gt;"",LEFT(C14,2)&lt;&gt;"Va"),IF(AND(G13&lt;&gt;"",LEFT(C13,2)&lt;&gt;"Va",G13&lt;&gt;"H. Sale Real"),IF(G14-G13&lt;0.208333333333333,G14-G13,""),IF(AND(G12&lt;&gt;"",LEFT(C12,2)&lt;&gt;"Va",G12&lt;&gt;"H. Sale Real"),IF(G14-G12&lt;0.208333333333333,G14-G12,""),IF(AND(G11&lt;&gt;"",LEFT(C11,2)&lt;&gt;"Va",G11&lt;&gt;"H. Sale Real"),IF(G14-G11&lt;0.208333333333333,G14-G11,""),IF(AND(G10&lt;&gt;"",LEFT(C10,2)&lt;&gt;"Va",G10&lt;&gt;"H. Sale Real"),IF(G14-G10&lt;0.208333333333333,G14-G10,""),IF(AND(G9&lt;&gt;"",LEFT(C9,2)&lt;&gt;"Va",G9&lt;&gt;"H. Sale Real"),IF(G14-G9&lt;0.208333333333333,G14-G9,""),""))))),""),"")</f>
        <v/>
      </c>
      <c r="U13" s="78" t="n"/>
      <c r="V13" s="80" t="n"/>
      <c r="W13" s="78" t="n"/>
      <c r="X13" s="80" t="n"/>
      <c r="Y13" s="82" t="n"/>
      <c r="Z13" s="120">
        <f>IF(G13&lt;&gt;"",IF(AND(Z12&lt;&gt;"IE",P13&lt;&gt;0,R13&lt;&gt;""),IF(IFERROR((P13/R13),0) &lt;=1,IFERROR(P13/R13,""),1),""),"")</f>
        <v/>
      </c>
      <c r="AA13" s="84" t="n"/>
      <c r="AB13" s="1" t="n"/>
      <c r="AE13" s="52">
        <f>HOUR(AK13)+1</f>
        <v/>
      </c>
      <c r="AF13" s="9" t="n"/>
      <c r="AG13" s="9" t="n"/>
      <c r="AH13" s="77" t="n"/>
      <c r="AI13" s="76" t="n"/>
      <c r="AJ13" s="77" t="n"/>
      <c r="AK13" s="78" t="n"/>
      <c r="AL13" s="79">
        <f>IF(AM13="","",IF(AND((AM13-AK13)&gt;=TIME(0,0,0),(AM13-AK13)&lt;TIME(0,3,0)),"OK",IF(AND((AM13-AK13)&gt;=TIME(0,3,0),(AM13-AK13)&lt;TIME(0,5,0)),"RETRASO DE 3-5 MIN",IF(AND((AM13-AK13)&gt;=TIME(0,5,0),(AM13-AK13)&lt;TIME(0,10,0)),"RETRASO DE 5-10 MIN",IF((AM13-AK13)&gt;=TIME(0,10,0),"RETRASO &gt;10 MIN",         IF(AND((AK13-AM13)&gt;=TIME(0,0,0),(AK13-AM13)&lt;TIME(0,3,0)),"OK",IF((AK13-AM13)&gt;=TIME(0,3,0),"ADELANTADO")))))))</f>
        <v/>
      </c>
      <c r="AM13" s="82" t="n"/>
      <c r="AN13" s="80">
        <f>IF(AE13&lt;&gt;"",HLOOKUP(VALUE(TEXT(AK13,"h:mm:ss")),IF($C$6="Laboral",$FZ$4:$GX$227,IF($C$6="Sábado",$FZ$231:$GX$452,$FZ$456:$GX$656)),VLOOKUP($C$4,$HF$2:$HH$99,3,0)+IF(AG$5="Ida",0,1),1),"")</f>
        <v/>
      </c>
      <c r="AO13" s="80">
        <f>IF(AE14&lt;&gt;AE13,AVERAGEIF(AE$9:AE13,AE13,AN$9:AN13),"")</f>
        <v/>
      </c>
      <c r="AP13" s="80">
        <f>IFERROR(IF(AE14&lt;&gt;AE13,AVERAGEIF(AE$9:AE13,AE13,AW$9:AW13),""),"")</f>
        <v/>
      </c>
      <c r="AQ13" s="80">
        <f>IFERROR(IF(AE14&lt;&gt;AE13,AVERAGEIF(AE$9:AE13,AE13,AX$9:AX13),""),"")</f>
        <v/>
      </c>
      <c r="AR13" s="80">
        <f t="array" ref="AR13">IFERROR(IF(AE14&lt;&gt;AE13,_xlfn.STDEV.P(IF(AE$9:AE13=AE13,AX$9:AX13)),""),"")</f>
        <v/>
      </c>
      <c r="AS13" s="80">
        <f t="array" ref="AS13">IFERROR(IF(AE14&lt;&gt;AE13,_xlfn.STDEV.P(IF(AE$9:AE13=AE13,AW$9:AW13)),""),"")</f>
        <v/>
      </c>
      <c r="AT13" s="81">
        <f>IFERROR(IF(AE13&lt;&gt;AE14,MAX((((AQ13*24*60)/2)*(1+POWER((((AR13*24*60) / (AQ13*24*60) )),2))) + ((AQ13*24*60 )*-0.1 + (AO13*0.015)) +1,(((AQ13*24*60)/2)*(1+POWER((((AR13*24*60) / (AQ13*24*60 ))),2)))),""),"")</f>
        <v/>
      </c>
      <c r="AU13" s="81">
        <f>IF(AND(AS13&lt;&gt;"",AP13&lt;&gt;""),IF(AE13&lt;&gt;AE14,((AP13*24*60) / 2 ) * (1 + POWER(((AS13*24*60) / (AP13*24*60)),2)),""),"")</f>
        <v/>
      </c>
      <c r="AV13" s="81">
        <f>IF(AU13&lt;&gt;"",MAX(AT13,AU13),"")</f>
        <v/>
      </c>
      <c r="AW13" s="80">
        <f>IF(AM13&lt;&gt;"H. Sale Real",IF(AND(AM14&lt;&gt;"",LEFT(AG14,2)&lt;&gt;"Va"),IF(AND(AM13&lt;&gt;"",LEFT(AG13,2)&lt;&gt;"Va",AM13&lt;&gt;"H. Sale Real"),IF(AM14-AM13&lt;0.208333333333333,AM14-AM13,""),IF(AND(AM12&lt;&gt;"",LEFT(AG12,2)&lt;&gt;"Va",AM12&lt;&gt;"H. Sale Real"),IF(AM14-AM12&lt;0.208333333333333,AM14-AM12,""),IF(AND(AM11&lt;&gt;"",LEFT(AG11,2)&lt;&gt;"Va",AM11&lt;&gt;"H. Sale Real"),IF(AM14-AM11&lt;0.208333333333333,AM14-AM11,""),IF(AND(AM10&lt;&gt;"",LEFT(AG10,2)&lt;&gt;"Va",AM10&lt;&gt;"H. Sale Real"),IF(AM14-AM10&lt;0.208333333333333,AM14-AM10,""),IF(AND(AM9&lt;&gt;"",LEFT(AG9,2)&lt;&gt;"Va",AM9&lt;&gt;"H. Sale Real"),IF(AM14-AM9&lt;0.208333333333333,AM14-AM9,""),""))))),""),"")</f>
        <v/>
      </c>
      <c r="AX13" s="80">
        <f>IF(AK13&lt;&gt;"H. Sale Real",IF(AND(AK14&lt;&gt;"",LEFT(AG14,2)&lt;&gt;"Va"),IF(AND(AK13&lt;&gt;"",LEFT(AG13,2)&lt;&gt;"Va",AK13&lt;&gt;"H. Sale Real"),IF(AK14-AK13&lt;0.208333333333333,AK14-AK13,""),IF(AND(AK12&lt;&gt;"",LEFT(AG12,2)&lt;&gt;"Va",AK12&lt;&gt;"H. Sale Real"),IF(AK14-AK12&lt;0.208333333333333,AK14-AK12,""),IF(AND(AK11&lt;&gt;"",LEFT(AG11,2)&lt;&gt;"NC",AK11&lt;&gt;"H. Sale Real"),IF(AK14-AK11&lt;0.208333333333333,AK14-AK11,""),IF(AND(AK10&lt;&gt;"",LEFT(AG10,2)&lt;&gt;"Va",AK10&lt;&gt;"H. Sale Real"),IF(AK14-AK10&lt;0.208333333333333,AK14-AK10,""),IF(AND(AK9&lt;&gt;"",LEFT(AG9,2)&lt;&gt;"Va",AK9&lt;&gt;"H. Sale Real"),IF(AK14-AK9&lt;0.208333333333333,AK14-AK9,""),""))))),""),"")</f>
        <v/>
      </c>
      <c r="AY13" s="78" t="n"/>
      <c r="AZ13" s="80" t="n"/>
      <c r="BA13" s="78" t="n"/>
      <c r="BB13" s="80" t="n"/>
      <c r="BC13" s="82" t="n"/>
      <c r="BD13" s="120">
        <f>IF(AK13&lt;&gt;"",IF(AND(BD12&lt;&gt;"IE",AT13&lt;&gt;0,AV13&lt;&gt;""),IF(IFERROR((AT13/AV13),0) &lt;=1,IFERROR(AT13/AV13,""),1),""),"")</f>
        <v/>
      </c>
      <c r="BE13" s="84" t="n"/>
      <c r="BF13" s="104" t="n"/>
      <c r="BI13" s="4" t="n">
        <v>1</v>
      </c>
      <c r="BJ13" s="4">
        <f>COUNTIFS($A:$A,$BI13,$C:$C,$BI$11)</f>
        <v/>
      </c>
      <c r="BK13" s="4">
        <f>BJ13-COUNTIFS($A:$A,$BI13,$C:$C,$BI$11,$H:$H,"")</f>
        <v/>
      </c>
      <c r="BL13" s="66">
        <f>IFERROR((BK13/BJ13),"")</f>
        <v/>
      </c>
      <c r="BM13" s="4">
        <f>_xlfn.XLOOKUP(BI13,$A:$A,$R:$R,"0",0,-1)</f>
        <v/>
      </c>
      <c r="BN13" s="67">
        <f>_xlfn.XLOOKUP(BI13,$A:$A,$P:$P,"0",0,-1)</f>
        <v/>
      </c>
      <c r="BO13" s="121">
        <f>_xlfn.XLOOKUP(BI13,$A:$A,$Z:$Z,"",0,-1)</f>
        <v/>
      </c>
      <c r="BR13" s="4" t="n">
        <v>1</v>
      </c>
      <c r="BS13" s="4">
        <f>COUNTIFS($AE:$AE,$BR13,$AG:$AG,$BR$11)</f>
        <v/>
      </c>
      <c r="BT13" s="4">
        <f>BS13-COUNTIFS($AE:$AE,$BR13,$AG:$AG,$BR$11,$AL:$AL,"")</f>
        <v/>
      </c>
      <c r="BU13" s="66">
        <f>IFERROR((BT13/BS13),"")</f>
        <v/>
      </c>
      <c r="BV13" s="4">
        <f>_xlfn.XLOOKUP(BR13,$AE:$AE,$AV:$AV,"0",0,-1)</f>
        <v/>
      </c>
      <c r="BW13" s="67">
        <f>_xlfn.XLOOKUP(BR13,$AE:$AE,$AT:$AT,"0",0,-1)</f>
        <v/>
      </c>
      <c r="BX13" s="121">
        <f>_xlfn.XLOOKUP(BR13,$AE:$AE,$BD:$BD,"",0,-1)</f>
        <v/>
      </c>
      <c r="FC13" t="inlineStr">
        <is>
          <t>Diccionario 1</t>
        </is>
      </c>
      <c r="FD13" s="15" t="n">
        <v>1010</v>
      </c>
      <c r="FE13" s="15" t="inlineStr">
        <is>
          <t>D8482769K2PL</t>
        </is>
      </c>
      <c r="FF13" s="15" t="inlineStr">
        <is>
          <t>YV3T7U522KA195303</t>
        </is>
      </c>
      <c r="FG13" s="15" t="inlineStr">
        <is>
          <t>Volvo</t>
        </is>
      </c>
      <c r="FH13" s="15" t="inlineStr">
        <is>
          <t>B8R</t>
        </is>
      </c>
      <c r="FI13" s="15" t="inlineStr">
        <is>
          <t>MARCOPOLO</t>
        </is>
      </c>
      <c r="FJ13" s="15" t="inlineStr">
        <is>
          <t>TORINO</t>
        </is>
      </c>
      <c r="FK13" s="15" t="n">
        <v>2019</v>
      </c>
      <c r="FL13" s="15" t="inlineStr">
        <is>
          <t>B2PAL</t>
        </is>
      </c>
      <c r="FM13" s="15" t="inlineStr">
        <is>
          <t>LOS LIBERTADORES</t>
        </is>
      </c>
      <c r="FN13" s="15" t="inlineStr">
        <is>
          <t>Los Liberadores 6450, Lote 4A</t>
        </is>
      </c>
      <c r="FO13" s="15" t="inlineStr">
        <is>
          <t>Huechuraba</t>
        </is>
      </c>
      <c r="FP13" t="inlineStr">
        <is>
          <t>B</t>
        </is>
      </c>
      <c r="FS13" s="14" t="inlineStr">
        <is>
          <t>3004 / SFWZ-31|</t>
        </is>
      </c>
      <c r="FT13" t="inlineStr">
        <is>
          <t>SFWZ-31|</t>
        </is>
      </c>
      <c r="FU13" t="inlineStr">
        <is>
          <t>SFWZ-31</t>
        </is>
      </c>
      <c r="FV13">
        <f>VLOOKUP(FU13,FD:FL,9,0)</f>
        <v/>
      </c>
      <c r="FZ13" s="51" t="inlineStr">
        <is>
          <t>B08</t>
        </is>
      </c>
      <c r="GA13" s="117" t="n">
        <v>14.46</v>
      </c>
      <c r="GB13" s="117" t="n">
        <v>0</v>
      </c>
      <c r="GC13" s="117" t="n">
        <v>0</v>
      </c>
      <c r="GD13" s="117" t="n">
        <v>0</v>
      </c>
      <c r="GE13" s="117" t="n">
        <v>0</v>
      </c>
      <c r="GF13" s="117" t="n">
        <v>9.73</v>
      </c>
      <c r="GG13" s="117" t="n">
        <v>14.47</v>
      </c>
      <c r="GH13" s="117" t="n">
        <v>12.28</v>
      </c>
      <c r="GI13" s="117" t="n">
        <v>14.715</v>
      </c>
      <c r="GJ13" s="117" t="n">
        <v>16.955</v>
      </c>
      <c r="GK13" s="117" t="n">
        <v>17.62</v>
      </c>
      <c r="GL13" s="117" t="n">
        <v>17.205</v>
      </c>
      <c r="GM13" s="117" t="n">
        <v>16.905</v>
      </c>
      <c r="GN13" s="117" t="n">
        <v>16.73</v>
      </c>
      <c r="GO13" s="117" t="n">
        <v>17.195</v>
      </c>
      <c r="GP13" s="117" t="n">
        <v>16.89</v>
      </c>
      <c r="GQ13" s="117" t="n">
        <v>15.54</v>
      </c>
      <c r="GR13" s="117" t="n">
        <v>12.46</v>
      </c>
      <c r="GS13" s="117" t="n">
        <v>13.01</v>
      </c>
      <c r="GT13" s="117" t="n">
        <v>17.045</v>
      </c>
      <c r="GU13" s="117" t="n">
        <v>20.16</v>
      </c>
      <c r="GV13" s="117" t="n">
        <v>22.21</v>
      </c>
      <c r="GW13" s="117" t="n">
        <v>24.05</v>
      </c>
      <c r="GX13" s="117" t="n">
        <v>26.41</v>
      </c>
      <c r="HA13" s="35" t="n">
        <v>10</v>
      </c>
      <c r="HB13" s="35" t="n">
        <v>7</v>
      </c>
      <c r="HE13" t="inlineStr">
        <is>
          <t>U9</t>
        </is>
      </c>
      <c r="HF13" s="46" t="inlineStr">
        <is>
          <t>B18</t>
        </is>
      </c>
      <c r="HG13" s="46" t="inlineStr">
        <is>
          <t>B18</t>
        </is>
      </c>
      <c r="HH13" s="14" t="n">
        <v>20</v>
      </c>
      <c r="HL13" t="inlineStr">
        <is>
          <t>AlfaU9</t>
        </is>
      </c>
      <c r="HM13" s="46" t="inlineStr">
        <is>
          <t>B18</t>
        </is>
      </c>
      <c r="HN13" s="26" t="inlineStr">
        <is>
          <t>Santa Marta</t>
        </is>
      </c>
      <c r="HO13" s="14" t="n">
        <v>818</v>
      </c>
    </row>
    <row r="14" ht="15.5" customHeight="1">
      <c r="A14" s="10">
        <f>HOUR(G14)+1</f>
        <v/>
      </c>
      <c r="B14" s="7" t="n"/>
      <c r="C14" s="7" t="n"/>
      <c r="D14" s="85">
        <f>IFERROR(
IF(AND(OR(Planilla!B14="C",Planilla!B14="c"), VLOOKUP(E14,FD:FP,13,0)="C"), "OK",IF(AND(OR(Planilla!B14="C",Planilla!B14="c"), OR(VLOOKUP(E14,FD:FP,13,0)="B", VLOOKUP(E14,FD:FP,13,0)="A")), "DEFICIT",IF(
AND(OR(Planilla!B14="B", Planilla!B14="BPAL"), VLOOKUP(E14,FD:FP,13,0)="B"), "OK",IF(AND(OR(Planilla!B14="B", Planilla!B14="BPAL"), VLOOKUP(E14,FD:FP,13,0)="A"), "DEFICIT",IF(AND(OR(Planilla!B14="B", Planilla!B14="BPAL"), VLOOKUP(E14,FD:FP,13,0)="C"), "SOBREOFERTA",IF(AND(Planilla!B14="A", VLOOKUP(E14,FD:FP,13,0)="A"), "OK",IF(
AND(Planilla!B14="A", OR(VLOOKUP(E14,FD:FP,13,0)="B", VLOOKUP(E14,FD:FP,13,0)="C")), "SOBREOFERTA",""
))))))),"")</f>
        <v/>
      </c>
      <c r="E14" s="8" t="n"/>
      <c r="F14" s="86" t="n"/>
      <c r="G14" s="87" t="n"/>
      <c r="H14" s="88">
        <f>IF(I14="","",IF(AND((I14-G14)&gt;=TIME(0,0,0),(I14-G14)&lt;TIME(0,3,0)),"OK",IF(AND((I14-G14)&gt;=TIME(0,3,0),(I14-G14)&lt;TIME(0,5,0)),"RETRASO DE 3-5 MIN",IF(AND((I14-G14)&gt;=TIME(0,5,0),(I14-G14)&lt;TIME(0,10,0)),"RETRASO DE 5-10 MIN",IF((I14-G14)&gt;=TIME(0,10,0),"RETRASO &gt;10 MIN",         IF(AND((G14-I14)&gt;=TIME(0,0,0),(G14-I14)&lt;TIME(0,3,0)),"OK",IF((G14-I14)&gt;=TIME(0,3,0),"ADELANTADO")))))))</f>
        <v/>
      </c>
      <c r="I14" s="89" t="n"/>
      <c r="J14" s="89">
        <f>IF(A14&lt;&gt;"",HLOOKUP(VALUE(TEXT(G14,"h:mm:ss")),IF($C$6="Laboral",$FZ$4:$GX$227,IF($C$6="Sábado",$FZ$231:$GX$452,$FZ$456:$GX$656)),VLOOKUP($C$4,$HF$2:$HH$99,3,0)+IF(C$5="Ida",0,1),1),"")</f>
        <v/>
      </c>
      <c r="K14" s="89">
        <f>IF(A15&lt;&gt;A14,AVERAGEIF(A$9:A14,A14,J$9:J14),"")</f>
        <v/>
      </c>
      <c r="L14" s="89">
        <f>IFERROR(IF(A15&lt;&gt;A14,AVERAGEIF(A$9:A14,A14,S$9:S14),""),"")</f>
        <v/>
      </c>
      <c r="M14" s="89">
        <f>IFERROR(IF(A15&lt;&gt;A14,AVERAGEIF(A$9:A14,A14,T$9:T14),""),"")</f>
        <v/>
      </c>
      <c r="N14" s="89">
        <f t="array" ref="N14">IFERROR(IF(A15&lt;&gt;A14,_xlfn.STDEV.P(IF(A$9:A14=A14,T$9:T14)),""),"")</f>
        <v/>
      </c>
      <c r="O14" s="89">
        <f t="array" ref="O14">IFERROR(IF(A15&lt;&gt;A14,_xlfn.STDEV.P(IF(A$9:A14=A14,S$9:S14)),""),"")</f>
        <v/>
      </c>
      <c r="P14" s="90">
        <f>IFERROR(IF(A14&lt;&gt;A15,MAX((((M14*24*60)/2)*(1+POWER((((N14*24*60) / (M14*24*60) )),2))) + ((M14*24*60 )*-0.1 + (K14*0.015)) +1,(((M14*24*60)/2)*(1+POWER((((N14*24*60) / (M14*24*60 ))),2)))),""),"")</f>
        <v/>
      </c>
      <c r="Q14" s="90">
        <f>IF(AND(O14&lt;&gt;"",L14&lt;&gt;""),IF(A14&lt;&gt;A15,((L14*24*60) / 2 ) * (1 + POWER(((O14*24*60) / (L14*24*60)),2)),""),"")</f>
        <v/>
      </c>
      <c r="R14" s="90">
        <f>IF(Q14&lt;&gt;"",MAX(P14,Q14),"")</f>
        <v/>
      </c>
      <c r="S14" s="89">
        <f>IF(I14&lt;&gt;"H. Sale Real",IF(AND(I15&lt;&gt;"",LEFT(C15,2)&lt;&gt;"Va"),IF(AND(I14&lt;&gt;"",LEFT(C14,2)&lt;&gt;"Va",I14&lt;&gt;"H. Sale Real"),IF(I15-I14&lt;0.208333333333333,I15-I14,""),IF(AND(I13&lt;&gt;"",LEFT(C13,2)&lt;&gt;"Va",I13&lt;&gt;"H. Sale Real"),IF(I15-I13&lt;0.208333333333333,I15-I13,""),IF(AND(I12&lt;&gt;"",LEFT(C12,2)&lt;&gt;"Va",I12&lt;&gt;"H. Sale Real"),IF(I15-I12&lt;0.208333333333333,I15-I12,""),IF(AND(I11&lt;&gt;"",LEFT(C11,2)&lt;&gt;"Va",I11&lt;&gt;"H. Sale Real"),IF(I15-I11&lt;0.208333333333333,I15-I11,""),IF(AND(I10&lt;&gt;"",LEFT(C10,2)&lt;&gt;"Va",I10&lt;&gt;"H. Sale Real"),IF(I15-I10&lt;0.208333333333333,I15-I10,""),""))))),""),"")</f>
        <v/>
      </c>
      <c r="T14" s="89">
        <f>IF(G14&lt;&gt;"H. Sale Real",IF(AND(G15&lt;&gt;"",LEFT(C15,2)&lt;&gt;"Va"),IF(AND(G14&lt;&gt;"",LEFT(C14,2)&lt;&gt;"Va",G14&lt;&gt;"H. Sale Real"),IF(G15-G14&lt;0.208333333333333,G15-G14,""),IF(AND(G13&lt;&gt;"",LEFT(C13,2)&lt;&gt;"Va",G13&lt;&gt;"H. Sale Real"),IF(G15-G13&lt;0.208333333333333,G15-G13,""),IF(AND(G12&lt;&gt;"",LEFT(C12,2)&lt;&gt;"Va",G12&lt;&gt;"H. Sale Real"),IF(G15-G12&lt;0.208333333333333,G15-G12,""),IF(AND(G11&lt;&gt;"",LEFT(C11,2)&lt;&gt;"Va",G11&lt;&gt;"H. Sale Real"),IF(G15-G11&lt;0.208333333333333,G15-G11,""),IF(AND(G10&lt;&gt;"",LEFT(C10,2)&lt;&gt;"Va",G10&lt;&gt;"H. Sale Real"),IF(G15-G10&lt;0.208333333333333,G15-G10,""),""))))),""),"")</f>
        <v/>
      </c>
      <c r="U14" s="87" t="n"/>
      <c r="V14" s="89" t="n"/>
      <c r="W14" s="87" t="n"/>
      <c r="X14" s="89" t="n"/>
      <c r="Y14" s="91" t="n"/>
      <c r="Z14" s="122">
        <f>IF(G14&lt;&gt;"",IF(AND(Z13&lt;&gt;"IE",P14&lt;&gt;0,R14&lt;&gt;""),IF(IFERROR((P14/R14),0) &lt;=1,IFERROR(P14/R14,""),1),""),"")</f>
        <v/>
      </c>
      <c r="AA14" s="93" t="n"/>
      <c r="AB14" s="2" t="n"/>
      <c r="AE14" s="10">
        <f>HOUR(AK14)+1</f>
        <v/>
      </c>
      <c r="AF14" s="7" t="n"/>
      <c r="AG14" s="7" t="n"/>
      <c r="AH14" s="86" t="n"/>
      <c r="AI14" s="8" t="n"/>
      <c r="AJ14" s="86" t="n"/>
      <c r="AK14" s="87" t="n"/>
      <c r="AL14" s="88">
        <f>IF(AM14="","",IF(AND((AM14-AK14)&gt;=TIME(0,0,0),(AM14-AK14)&lt;TIME(0,3,0)),"OK",IF(AND((AM14-AK14)&gt;=TIME(0,3,0),(AM14-AK14)&lt;TIME(0,5,0)),"RETRASO DE 3-5 MIN",IF(AND((AM14-AK14)&gt;=TIME(0,5,0),(AM14-AK14)&lt;TIME(0,10,0)),"RETRASO DE 5-10 MIN",IF((AM14-AK14)&gt;=TIME(0,10,0),"RETRASO &gt;10 MIN",         IF(AND((AK14-AM14)&gt;=TIME(0,0,0),(AK14-AM14)&lt;TIME(0,3,0)),"OK",IF((AK14-AM14)&gt;=TIME(0,3,0),"ADELANTADO")))))))</f>
        <v/>
      </c>
      <c r="AM14" s="91" t="n"/>
      <c r="AN14" s="89">
        <f>IF(AE14&lt;&gt;"",HLOOKUP(VALUE(TEXT(AK14,"h:mm:ss")),IF($C$6="Laboral",$FZ$4:$GX$227,IF($C$6="Sábado",$FZ$231:$GX$452,$FZ$456:$GX$656)),VLOOKUP($C$4,$HF$2:$HH$99,3,0)+IF(AG$5="Ida",0,1),1),"")</f>
        <v/>
      </c>
      <c r="AO14" s="89">
        <f>IF(AE15&lt;&gt;AE14,AVERAGEIF(AE$9:AE14,AE14,AN$9:AN14),"")</f>
        <v/>
      </c>
      <c r="AP14" s="89">
        <f>IFERROR(IF(AE15&lt;&gt;AE14,AVERAGEIF(AE$9:AE14,AE14,AW$9:AW14),""),"")</f>
        <v/>
      </c>
      <c r="AQ14" s="89">
        <f>IFERROR(IF(AE15&lt;&gt;AE14,AVERAGEIF(AE$9:AE14,AE14,AX$9:AX14),""),"")</f>
        <v/>
      </c>
      <c r="AR14" s="89">
        <f t="array" ref="AR14">IFERROR(IF(AE15&lt;&gt;AE14,_xlfn.STDEV.P(IF(AE$9:AE14=AE14,AX$9:AX14)),""),"")</f>
        <v/>
      </c>
      <c r="AS14" s="89">
        <f t="array" ref="AS14">IFERROR(IF(AE15&lt;&gt;AE14,_xlfn.STDEV.P(IF(AE$9:AE14=AE14,AW$9:AW14)),""),"")</f>
        <v/>
      </c>
      <c r="AT14" s="90">
        <f>IFERROR(IF(AE14&lt;&gt;AE15,MAX((((AQ14*24*60)/2)*(1+POWER((((AR14*24*60) / (AQ14*24*60) )),2))) + ((AQ14*24*60 )*-0.1 + (AO14*0.015)) +1,(((AQ14*24*60)/2)*(1+POWER((((AR14*24*60) / (AQ14*24*60 ))),2)))),""),"")</f>
        <v/>
      </c>
      <c r="AU14" s="90">
        <f>IF(AND(AS14&lt;&gt;"",AP14&lt;&gt;""),IF(AE14&lt;&gt;AE15,((AP14*24*60) / 2 ) * (1 + POWER(((AS14*24*60) / (AP14*24*60)),2)),""),"")</f>
        <v/>
      </c>
      <c r="AV14" s="90">
        <f>IF(AU14&lt;&gt;"",MAX(AT14,AU14),"")</f>
        <v/>
      </c>
      <c r="AW14" s="89">
        <f>IF(AM14&lt;&gt;"H. Sale Real",IF(AND(AM15&lt;&gt;"",LEFT(AG15,2)&lt;&gt;"Va"),IF(AND(AM14&lt;&gt;"",LEFT(AG14,2)&lt;&gt;"Va",AM14&lt;&gt;"H. Sale Real"),IF(AM15-AM14&lt;0.208333333333333,AM15-AM14,""),IF(AND(AM13&lt;&gt;"",LEFT(AG13,2)&lt;&gt;"Va",AM13&lt;&gt;"H. Sale Real"),IF(AM15-AM13&lt;0.208333333333333,AM15-AM13,""),IF(AND(AM12&lt;&gt;"",LEFT(AG12,2)&lt;&gt;"Va",AM12&lt;&gt;"H. Sale Real"),IF(AM15-AM12&lt;0.208333333333333,AM15-AM12,""),IF(AND(AM11&lt;&gt;"",LEFT(AG11,2)&lt;&gt;"Va",AM11&lt;&gt;"H. Sale Real"),IF(AM15-AM11&lt;0.208333333333333,AM15-AM11,""),IF(AND(AM10&lt;&gt;"",LEFT(AG10,2)&lt;&gt;"Va",AM10&lt;&gt;"H. Sale Real"),IF(AM15-AM10&lt;0.208333333333333,AM15-AM10,""),""))))),""),"")</f>
        <v/>
      </c>
      <c r="AX14" s="89">
        <f>IF(AK14&lt;&gt;"H. Sale Real",IF(AND(AK15&lt;&gt;"",LEFT(AG15,2)&lt;&gt;"Va"),IF(AND(AK14&lt;&gt;"",LEFT(AG14,2)&lt;&gt;"Va",AK14&lt;&gt;"H. Sale Real"),IF(AK15-AK14&lt;0.208333333333333,AK15-AK14,""),IF(AND(AK13&lt;&gt;"",LEFT(AG13,2)&lt;&gt;"Va",AK13&lt;&gt;"H. Sale Real"),IF(AK15-AK13&lt;0.208333333333333,AK15-AK13,""),IF(AND(AK12&lt;&gt;"",LEFT(AG12,2)&lt;&gt;"NC",AK12&lt;&gt;"H. Sale Real"),IF(AK15-AK12&lt;0.208333333333333,AK15-AK12,""),IF(AND(AK11&lt;&gt;"",LEFT(AG11,2)&lt;&gt;"Va",AK11&lt;&gt;"H. Sale Real"),IF(AK15-AK11&lt;0.208333333333333,AK15-AK11,""),IF(AND(AK10&lt;&gt;"",LEFT(AG10,2)&lt;&gt;"Va",AK10&lt;&gt;"H. Sale Real"),IF(AK15-AK10&lt;0.208333333333333,AK15-AK10,""),""))))),""),"")</f>
        <v/>
      </c>
      <c r="AY14" s="87" t="n"/>
      <c r="AZ14" s="89" t="n"/>
      <c r="BA14" s="87" t="n"/>
      <c r="BB14" s="89" t="n"/>
      <c r="BC14" s="91" t="n"/>
      <c r="BD14" s="122">
        <f>IF(AK14&lt;&gt;"",IF(AND(BD13&lt;&gt;"IE",AT14&lt;&gt;0,AV14&lt;&gt;""),IF(IFERROR((AT14/AV14),0) &lt;=1,IFERROR(AT14/AV14,""),1),""),"")</f>
        <v/>
      </c>
      <c r="BE14" s="93" t="n"/>
      <c r="BF14" s="105" t="n"/>
      <c r="BI14" s="8" t="n">
        <v>2</v>
      </c>
      <c r="BJ14" s="8">
        <f>COUNTIFS($A:$A,$BI14,$C:$C,$BI$11)</f>
        <v/>
      </c>
      <c r="BK14" s="8">
        <f>BJ14-COUNTIFS($A:$A,$BI14,$C:$C,$BI$11,$H:$H,"")</f>
        <v/>
      </c>
      <c r="BL14" s="54">
        <f>IFERROR((BK14/BJ14),"")</f>
        <v/>
      </c>
      <c r="BM14" s="8">
        <f>_xlfn.XLOOKUP(BI14,$A:$A,$R:$R,"0",0,-1)</f>
        <v/>
      </c>
      <c r="BN14" s="55">
        <f>_xlfn.XLOOKUP(BI14,$A:$A,$P:$P,"0",0,-1)</f>
        <v/>
      </c>
      <c r="BO14" s="123">
        <f>_xlfn.XLOOKUP(BI14,$A:$A,$Z:$Z,"",0,-1)</f>
        <v/>
      </c>
      <c r="BR14" s="8" t="n">
        <v>2</v>
      </c>
      <c r="BS14" s="8">
        <f>COUNTIFS($AE:$AE,$BR14,$AG:$AG,$BR$11)</f>
        <v/>
      </c>
      <c r="BT14" s="8">
        <f>BS14-COUNTIFS($AE:$AE,$BR14,$AG:$AG,$BR$11,$AL:$AL,"")</f>
        <v/>
      </c>
      <c r="BU14" s="54">
        <f>IFERROR((BT14/BS14),"")</f>
        <v/>
      </c>
      <c r="BV14" s="8">
        <f>_xlfn.XLOOKUP(BR14,$AE:$AE,$AV:$AV,"0",0,-1)</f>
        <v/>
      </c>
      <c r="BW14" s="55">
        <f>_xlfn.XLOOKUP(BR14,$AE:$AE,$AT:$AT,"0",0,-1)</f>
        <v/>
      </c>
      <c r="BX14" s="123">
        <f>_xlfn.XLOOKUP(BR14,$AE:$AE,$BD:$BD,"",0,-1)</f>
        <v/>
      </c>
      <c r="FC14" t="inlineStr">
        <is>
          <t>Diccionario 1</t>
        </is>
      </c>
      <c r="FD14" s="15" t="n">
        <v>1011</v>
      </c>
      <c r="FE14" s="15" t="inlineStr">
        <is>
          <t>D8478205K2PL</t>
        </is>
      </c>
      <c r="FF14" s="15" t="inlineStr">
        <is>
          <t>YV3T7U520KA195140</t>
        </is>
      </c>
      <c r="FG14" s="15" t="inlineStr">
        <is>
          <t>Volvo</t>
        </is>
      </c>
      <c r="FH14" s="15" t="inlineStr">
        <is>
          <t>B8R</t>
        </is>
      </c>
      <c r="FI14" s="15" t="inlineStr">
        <is>
          <t>MARCOPOLO</t>
        </is>
      </c>
      <c r="FJ14" s="15" t="inlineStr">
        <is>
          <t>TORINO</t>
        </is>
      </c>
      <c r="FK14" s="15" t="n">
        <v>2019</v>
      </c>
      <c r="FL14" s="15" t="inlineStr">
        <is>
          <t>B2PAL</t>
        </is>
      </c>
      <c r="FM14" s="15" t="inlineStr">
        <is>
          <t>LOS LIBERTADORES</t>
        </is>
      </c>
      <c r="FN14" s="15" t="inlineStr">
        <is>
          <t>Los Liberadores 6450, Lote 4A</t>
        </is>
      </c>
      <c r="FO14" s="15" t="inlineStr">
        <is>
          <t>Huechuraba</t>
        </is>
      </c>
      <c r="FP14" t="inlineStr">
        <is>
          <t>B</t>
        </is>
      </c>
      <c r="FS14" s="14" t="inlineStr">
        <is>
          <t>3005 / SFWZ-39|</t>
        </is>
      </c>
      <c r="FT14" t="inlineStr">
        <is>
          <t>SFWZ-39|</t>
        </is>
      </c>
      <c r="FU14" t="inlineStr">
        <is>
          <t>SFWZ-39</t>
        </is>
      </c>
      <c r="FV14">
        <f>VLOOKUP(FU14,FD:FL,9,0)</f>
        <v/>
      </c>
      <c r="FZ14" s="51" t="inlineStr">
        <is>
          <t>B08</t>
        </is>
      </c>
      <c r="GA14" s="117" t="n">
        <v>0</v>
      </c>
      <c r="GB14" s="117" t="n">
        <v>0</v>
      </c>
      <c r="GC14" s="117" t="n">
        <v>0</v>
      </c>
      <c r="GD14" s="117" t="n">
        <v>0</v>
      </c>
      <c r="GE14" s="117" t="n">
        <v>14.545</v>
      </c>
      <c r="GF14" s="117" t="n">
        <v>26.045</v>
      </c>
      <c r="GG14" s="117" t="n">
        <v>18.89</v>
      </c>
      <c r="GH14" s="117" t="n">
        <v>13.08</v>
      </c>
      <c r="GI14" s="117" t="n">
        <v>16.9</v>
      </c>
      <c r="GJ14" s="117" t="n">
        <v>18.97</v>
      </c>
      <c r="GK14" s="117" t="n">
        <v>18.605</v>
      </c>
      <c r="GL14" s="117" t="n">
        <v>18.11</v>
      </c>
      <c r="GM14" s="117" t="n">
        <v>17.29</v>
      </c>
      <c r="GN14" s="117" t="n">
        <v>17.27</v>
      </c>
      <c r="GO14" s="117" t="n">
        <v>17.1</v>
      </c>
      <c r="GP14" s="117" t="n">
        <v>16.02</v>
      </c>
      <c r="GQ14" s="117" t="n">
        <v>15.145</v>
      </c>
      <c r="GR14" s="117" t="n">
        <v>13.705</v>
      </c>
      <c r="GS14" s="117" t="n">
        <v>13.455</v>
      </c>
      <c r="GT14" s="117" t="n">
        <v>16.795</v>
      </c>
      <c r="GU14" s="117" t="n">
        <v>19.67</v>
      </c>
      <c r="GV14" s="117" t="n">
        <v>21.5</v>
      </c>
      <c r="GW14" s="117" t="n">
        <v>23.315</v>
      </c>
      <c r="GX14" s="117" t="n">
        <v>26.9</v>
      </c>
      <c r="HA14" s="35" t="n">
        <v>11</v>
      </c>
      <c r="HB14" s="35" t="n">
        <v>8</v>
      </c>
      <c r="HE14" t="inlineStr">
        <is>
          <t>U9</t>
        </is>
      </c>
      <c r="HF14" s="46" t="inlineStr">
        <is>
          <t>B20</t>
        </is>
      </c>
      <c r="HG14" s="46" t="inlineStr">
        <is>
          <t>B20</t>
        </is>
      </c>
      <c r="HH14" s="14" t="n">
        <v>24</v>
      </c>
      <c r="HL14" t="inlineStr">
        <is>
          <t>AlfaU9</t>
        </is>
      </c>
      <c r="HM14" s="46" t="inlineStr">
        <is>
          <t>B20</t>
        </is>
      </c>
      <c r="HN14" s="26" t="inlineStr">
        <is>
          <t>El Retiro</t>
        </is>
      </c>
      <c r="HO14" s="14" t="n">
        <v>820</v>
      </c>
    </row>
    <row r="15" ht="15.5" customHeight="1">
      <c r="A15" s="10">
        <f>HOUR(G15)+1</f>
        <v/>
      </c>
      <c r="B15" s="7" t="n"/>
      <c r="C15" s="7" t="n"/>
      <c r="D15" s="85">
        <f>IFERROR(
IF(AND(OR(Planilla!B15="C",Planilla!B15="c"), VLOOKUP(E15,FD:FP,13,0)="C"), "OK",IF(AND(OR(Planilla!B15="C",Planilla!B15="c"), OR(VLOOKUP(E15,FD:FP,13,0)="B", VLOOKUP(E15,FD:FP,13,0)="A")), "DEFICIT",IF(
AND(OR(Planilla!B15="B", Planilla!B15="BPAL"), VLOOKUP(E15,FD:FP,13,0)="B"), "OK",IF(AND(OR(Planilla!B15="B", Planilla!B15="BPAL"), VLOOKUP(E15,FD:FP,13,0)="A"), "DEFICIT",IF(AND(OR(Planilla!B15="B", Planilla!B15="BPAL"), VLOOKUP(E15,FD:FP,13,0)="C"), "SOBREOFERTA",IF(AND(Planilla!B15="A", VLOOKUP(E15,FD:FP,13,0)="A"), "OK",IF(
AND(Planilla!B15="A", OR(VLOOKUP(E15,FD:FP,13,0)="B", VLOOKUP(E15,FD:FP,13,0)="C")), "SOBREOFERTA",""
))))))),"")</f>
        <v/>
      </c>
      <c r="E15" s="8" t="n"/>
      <c r="F15" s="86" t="n"/>
      <c r="G15" s="87" t="n"/>
      <c r="H15" s="88">
        <f>IF(I15="","",IF(AND((I15-G15)&gt;=TIME(0,0,0),(I15-G15)&lt;TIME(0,3,0)),"OK",IF(AND((I15-G15)&gt;=TIME(0,3,0),(I15-G15)&lt;TIME(0,5,0)),"RETRASO DE 3-5 MIN",IF(AND((I15-G15)&gt;=TIME(0,5,0),(I15-G15)&lt;TIME(0,10,0)),"RETRASO DE 5-10 MIN",IF((I15-G15)&gt;=TIME(0,10,0),"RETRASO &gt;10 MIN", IF(AND((G15-I15)&gt;=TIME(0,0,0),(G15-I15)&lt;TIME(0,3,0)),"OK",IF((G15-I15)&gt;=TIME(0,3,0),"ADELANTADO")))))))</f>
        <v/>
      </c>
      <c r="I15" s="89" t="n"/>
      <c r="J15" s="89">
        <f>IF(A15&lt;&gt;"",HLOOKUP(VALUE(TEXT(G15,"h:mm:ss")),IF($C$6="Laboral",$FZ$4:$GX$227,IF($C$6="Sábado",$FZ$231:$GX$452,$FZ$456:$GX$656)),VLOOKUP($C$4,$HF$2:$HH$99,3,0)+IF(C$5="Ida",0,1),1),"")</f>
        <v/>
      </c>
      <c r="K15" s="89">
        <f>IF(A16&lt;&gt;A15,AVERAGEIF(A$9:A15,A15,J$9:J15),"")</f>
        <v/>
      </c>
      <c r="L15" s="89">
        <f>IFERROR(IF(A16&lt;&gt;A15,AVERAGEIF(A$9:A15,A15,S$9:S15),""),"")</f>
        <v/>
      </c>
      <c r="M15" s="89">
        <f>IFERROR(IF(A16&lt;&gt;A15,AVERAGEIF(A$9:A15,A15,T$9:T15),""),"")</f>
        <v/>
      </c>
      <c r="N15" s="89">
        <f t="array" ref="N15">IFERROR(IF(A16&lt;&gt;A15,_xlfn.STDEV.P(IF(A$9:A15=A15,T$9:T15)),""),"")</f>
        <v/>
      </c>
      <c r="O15" s="89">
        <f t="array" ref="O15">IFERROR(IF(A16&lt;&gt;A15,_xlfn.STDEV.P(IF(A$9:A15=A15,S$9:S15)),""),"")</f>
        <v/>
      </c>
      <c r="P15" s="90">
        <f>IFERROR(IF(A15&lt;&gt;A16,MAX((((M15*24*60)/2)*(1+POWER((((N15*24*60) / (M15*24*60) )),2))) + ((M15*24*60 )*-0.1 + (K15*0.015)) +1,(((M15*24*60)/2)*(1+POWER((((N15*24*60) / (M15*24*60 ))),2)))),""),"")</f>
        <v/>
      </c>
      <c r="Q15" s="90">
        <f>IF(AND(O15&lt;&gt;"",L15&lt;&gt;""),IF(A15&lt;&gt;A16,((L15*24*60) / 2 ) * (1 + POWER(((O15*24*60) / (L15*24*60)),2)),""),"")</f>
        <v/>
      </c>
      <c r="R15" s="90">
        <f>IF(Q15&lt;&gt;"",MAX(P15,Q15),"")</f>
        <v/>
      </c>
      <c r="S15" s="89">
        <f>IF(I15&lt;&gt;"H. Sale Real",IF(AND(I16&lt;&gt;"",LEFT(C16,2)&lt;&gt;"Va"),IF(AND(I15&lt;&gt;"",LEFT(C15,2)&lt;&gt;"Va",I15&lt;&gt;"H. Sale Real"),IF(I16-I15&lt;0.208333333333333,I16-I15,""),IF(AND(I14&lt;&gt;"",LEFT(C14,2)&lt;&gt;"Va",I14&lt;&gt;"H. Sale Real"),IF(I16-I14&lt;0.208333333333333,I16-I14,""),IF(AND(I13&lt;&gt;"",LEFT(C13,2)&lt;&gt;"Va",I13&lt;&gt;"H. Sale Real"),IF(I16-I13&lt;0.208333333333333,I16-I13,""),IF(AND(I12&lt;&gt;"",LEFT(C12,2)&lt;&gt;"Va",I12&lt;&gt;"H. Sale Real"),IF(I16-I12&lt;0.208333333333333,I16-I12,""),IF(AND(I11&lt;&gt;"",LEFT(C11,2)&lt;&gt;"Va",I11&lt;&gt;"H. Sale Real"),IF(I16-I11&lt;0.208333333333333,I16-I11,""),""))))),""),"")</f>
        <v/>
      </c>
      <c r="T15" s="89">
        <f>IF(G15&lt;&gt;"H. Sale Real",IF(AND(G16&lt;&gt;"",LEFT(C16,2)&lt;&gt;"Va"),IF(AND(G15&lt;&gt;"",LEFT(C15,2)&lt;&gt;"Va",G15&lt;&gt;"H. Sale Real"),IF(G16-G15&lt;0.208333333333333,G16-G15,""),IF(AND(G14&lt;&gt;"",LEFT(C14,2)&lt;&gt;"Va",G14&lt;&gt;"H. Sale Real"),IF(G16-G14&lt;0.208333333333333,G16-G14,""),IF(AND(G13&lt;&gt;"",LEFT(C13,2)&lt;&gt;"Va",G13&lt;&gt;"H. Sale Real"),IF(G16-G13&lt;0.208333333333333,G16-G13,""),IF(AND(G12&lt;&gt;"",LEFT(C12,2)&lt;&gt;"Va",G12&lt;&gt;"H. Sale Real"),IF(G16-G12&lt;0.208333333333333,G16-G12,""),IF(AND(G11&lt;&gt;"",LEFT(C11,2)&lt;&gt;"Va",G11&lt;&gt;"H. Sale Real"),IF(G16-G11&lt;0.208333333333333,G16-G11,""),""))))),""),"")</f>
        <v/>
      </c>
      <c r="U15" s="87" t="n"/>
      <c r="V15" s="89" t="n"/>
      <c r="W15" s="87" t="n"/>
      <c r="X15" s="89" t="n"/>
      <c r="Y15" s="91" t="n"/>
      <c r="Z15" s="122">
        <f>IF(G15&lt;&gt;"",IF(AND(Z14&lt;&gt;"IE",P15&lt;&gt;0,R15&lt;&gt;""),IF(IFERROR((P15/R15),0) &lt;=1,IFERROR(P15/R15,""),1),""),"")</f>
        <v/>
      </c>
      <c r="AA15" s="93" t="n"/>
      <c r="AB15" s="2" t="n"/>
      <c r="AE15" s="10">
        <f>HOUR(AK15)+1</f>
        <v/>
      </c>
      <c r="AF15" s="7" t="n"/>
      <c r="AG15" s="7" t="n"/>
      <c r="AH15" s="86" t="n"/>
      <c r="AI15" s="8" t="n"/>
      <c r="AJ15" s="86" t="n"/>
      <c r="AK15" s="87" t="n"/>
      <c r="AL15" s="88">
        <f>IF(AM15="","",IF(AND((AM15-AK15)&gt;=TIME(0,0,0),(AM15-AK15)&lt;TIME(0,3,0)),"OK",IF(AND((AM15-AK15)&gt;=TIME(0,3,0),(AM15-AK15)&lt;TIME(0,5,0)),"RETRASO DE 3-5 MIN",IF(AND((AM15-AK15)&gt;=TIME(0,5,0),(AM15-AK15)&lt;TIME(0,10,0)),"RETRASO DE 5-10 MIN",IF((AM15-AK15)&gt;=TIME(0,10,0),"RETRASO &gt;10 MIN", IF(AND((AK15-AM15)&gt;=TIME(0,0,0),(AK15-AM15)&lt;TIME(0,3,0)),"OK",IF((AK15-AM15)&gt;=TIME(0,3,0),"ADELANTADO")))))))</f>
        <v/>
      </c>
      <c r="AM15" s="91" t="n"/>
      <c r="AN15" s="89">
        <f>IF(AE15&lt;&gt;"",HLOOKUP(VALUE(TEXT(AK15,"h:mm:ss")),IF($C$6="Laboral",$FZ$4:$GX$227,IF($C$6="Sábado",$FZ$231:$GX$452,$FZ$456:$GX$656)),VLOOKUP($C$4,$HF$2:$HH$99,3,0)+IF(AG$5="Ida",0,1),1),"")</f>
        <v/>
      </c>
      <c r="AO15" s="89">
        <f>IF(AE16&lt;&gt;AE15,AVERAGEIF(AE$9:AE15,AE15,AN$9:AN15),"")</f>
        <v/>
      </c>
      <c r="AP15" s="89">
        <f>IFERROR(IF(AE16&lt;&gt;AE15,AVERAGEIF(AE$9:AE15,AE15,AW$9:AW15),""),"")</f>
        <v/>
      </c>
      <c r="AQ15" s="89">
        <f>IFERROR(IF(AE16&lt;&gt;AE15,AVERAGEIF(AE$9:AE15,AE15,AX$9:AX15),""),"")</f>
        <v/>
      </c>
      <c r="AR15" s="89">
        <f t="array" ref="AR15">IFERROR(IF(AE16&lt;&gt;AE15,_xlfn.STDEV.P(IF(AE$9:AE15=AE15,AX$9:AX15)),""),"")</f>
        <v/>
      </c>
      <c r="AS15" s="89">
        <f t="array" ref="AS15">IFERROR(IF(AE16&lt;&gt;AE15,_xlfn.STDEV.P(IF(AE$9:AE15=AE15,AW$9:AW15)),""),"")</f>
        <v/>
      </c>
      <c r="AT15" s="90">
        <f>IFERROR(IF(AE15&lt;&gt;AE16,MAX((((AQ15*24*60)/2)*(1+POWER((((AR15*24*60) / (AQ15*24*60) )),2))) + ((AQ15*24*60 )*-0.1 + (AO15*0.015)) +1,(((AQ15*24*60)/2)*(1+POWER((((AR15*24*60) / (AQ15*24*60 ))),2)))),""),"")</f>
        <v/>
      </c>
      <c r="AU15" s="90">
        <f>IF(AND(AS15&lt;&gt;"",AP15&lt;&gt;""),IF(AE15&lt;&gt;AE16,((AP15*24*60) / 2 ) * (1 + POWER(((AS15*24*60) / (AP15*24*60)),2)),""),"")</f>
        <v/>
      </c>
      <c r="AV15" s="90">
        <f>IF(AU15&lt;&gt;"",MAX(AT15,AU15),"")</f>
        <v/>
      </c>
      <c r="AW15" s="89">
        <f>IF(AM15&lt;&gt;"H. Sale Real",IF(AND(AM16&lt;&gt;"",LEFT(AG16,2)&lt;&gt;"Va"),IF(AND(AM15&lt;&gt;"",LEFT(AG15,2)&lt;&gt;"Va",AM15&lt;&gt;"H. Sale Real"),IF(AM16-AM15&lt;0.208333333333333,AM16-AM15,""),IF(AND(AM14&lt;&gt;"",LEFT(AG14,2)&lt;&gt;"Va",AM14&lt;&gt;"H. Sale Real"),IF(AM16-AM14&lt;0.208333333333333,AM16-AM14,""),IF(AND(AM13&lt;&gt;"",LEFT(AG13,2)&lt;&gt;"Va",AM13&lt;&gt;"H. Sale Real"),IF(AM16-AM13&lt;0.208333333333333,AM16-AM13,""),IF(AND(AM12&lt;&gt;"",LEFT(AG12,2)&lt;&gt;"Va",AM12&lt;&gt;"H. Sale Real"),IF(AM16-AM12&lt;0.208333333333333,AM16-AM12,""),IF(AND(AM11&lt;&gt;"",LEFT(AG11,2)&lt;&gt;"Va",AM11&lt;&gt;"H. Sale Real"),IF(AM16-AM11&lt;0.208333333333333,AM16-AM11,""),""))))),""),"")</f>
        <v/>
      </c>
      <c r="AX15" s="89">
        <f>IF(AK15&lt;&gt;"H. Sale Real",IF(AND(AK16&lt;&gt;"",LEFT(AG16,2)&lt;&gt;"Va"),IF(AND(AK15&lt;&gt;"",LEFT(AG15,2)&lt;&gt;"Va",AK15&lt;&gt;"H. Sale Real"),IF(AK16-AK15&lt;0.208333333333333,AK16-AK15,""),IF(AND(AK14&lt;&gt;"",LEFT(AG14,2)&lt;&gt;"Va",AK14&lt;&gt;"H. Sale Real"),IF(AK16-AK14&lt;0.208333333333333,AK16-AK14,""),IF(AND(AK13&lt;&gt;"",LEFT(AG13,2)&lt;&gt;"NC",AK13&lt;&gt;"H. Sale Real"),IF(AK16-AK13&lt;0.208333333333333,AK16-AK13,""),IF(AND(AK12&lt;&gt;"",LEFT(AG12,2)&lt;&gt;"Va",AK12&lt;&gt;"H. Sale Real"),IF(AK16-AK12&lt;0.208333333333333,AK16-AK12,""),IF(AND(AK11&lt;&gt;"",LEFT(AG11,2)&lt;&gt;"Va",AK11&lt;&gt;"H. Sale Real"),IF(AK16-AK11&lt;0.208333333333333,AK16-AK11,""),""))))),""),"")</f>
        <v/>
      </c>
      <c r="AY15" s="87" t="n"/>
      <c r="AZ15" s="89" t="n"/>
      <c r="BA15" s="87" t="n"/>
      <c r="BB15" s="89" t="n"/>
      <c r="BC15" s="91" t="n"/>
      <c r="BD15" s="122">
        <f>IF(AK15&lt;&gt;"",IF(AND(BD14&lt;&gt;"IE",AT15&lt;&gt;0,AV15&lt;&gt;""),IF(IFERROR((AT15/AV15),0) &lt;=1,IFERROR(AT15/AV15,""),1),""),"")</f>
        <v/>
      </c>
      <c r="BE15" s="93" t="n"/>
      <c r="BF15" s="105" t="n"/>
      <c r="BI15" s="8" t="n">
        <v>3</v>
      </c>
      <c r="BJ15" s="8">
        <f>COUNTIFS($A:$A,$BI15,$C:$C,$BI$11)</f>
        <v/>
      </c>
      <c r="BK15" s="8">
        <f>BJ15-COUNTIFS($A:$A,$BI15,$C:$C,$BI$11,$H:$H,"")</f>
        <v/>
      </c>
      <c r="BL15" s="54">
        <f>IFERROR((BK15/BJ15),"")</f>
        <v/>
      </c>
      <c r="BM15" s="8">
        <f>_xlfn.XLOOKUP(BI15,$A:$A,$R:$R,"0",0,-1)</f>
        <v/>
      </c>
      <c r="BN15" s="55">
        <f>_xlfn.XLOOKUP(BI15,$A:$A,$P:$P,"0",0,-1)</f>
        <v/>
      </c>
      <c r="BO15" s="123">
        <f>_xlfn.XLOOKUP(BI15,$A:$A,$Z:$Z,"",0,-1)</f>
        <v/>
      </c>
      <c r="BR15" s="8" t="n">
        <v>3</v>
      </c>
      <c r="BS15" s="8">
        <f>COUNTIFS($AE:$AE,$BR15,$AG:$AG,$BR$11)</f>
        <v/>
      </c>
      <c r="BT15" s="8">
        <f>BS15-COUNTIFS($AE:$AE,$BR15,$AG:$AG,$BR$11,$AL:$AL,"")</f>
        <v/>
      </c>
      <c r="BU15" s="54">
        <f>IFERROR((BT15/BS15),"")</f>
        <v/>
      </c>
      <c r="BV15" s="8">
        <f>_xlfn.XLOOKUP(BR15,$AE:$AE,$AV:$AV,"0",0,-1)</f>
        <v/>
      </c>
      <c r="BW15" s="55">
        <f>_xlfn.XLOOKUP(BR15,$AE:$AE,$AT:$AT,"0",0,-1)</f>
        <v/>
      </c>
      <c r="BX15" s="123">
        <f>_xlfn.XLOOKUP(BR15,$AE:$AE,$BD:$BD,"",0,-1)</f>
        <v/>
      </c>
      <c r="FC15" t="inlineStr">
        <is>
          <t>Diccionario 1</t>
        </is>
      </c>
      <c r="FD15" s="15" t="n">
        <v>1012</v>
      </c>
      <c r="FE15" s="15" t="inlineStr">
        <is>
          <t>D8481556K2PL</t>
        </is>
      </c>
      <c r="FF15" s="15" t="inlineStr">
        <is>
          <t>YV3T7U521KA195177</t>
        </is>
      </c>
      <c r="FG15" s="15" t="inlineStr">
        <is>
          <t>Volvo</t>
        </is>
      </c>
      <c r="FH15" s="15" t="inlineStr">
        <is>
          <t>B8R</t>
        </is>
      </c>
      <c r="FI15" s="15" t="inlineStr">
        <is>
          <t>MARCOPOLO</t>
        </is>
      </c>
      <c r="FJ15" s="15" t="inlineStr">
        <is>
          <t>TORINO</t>
        </is>
      </c>
      <c r="FK15" s="15" t="n">
        <v>2019</v>
      </c>
      <c r="FL15" s="15" t="inlineStr">
        <is>
          <t>B2PAL</t>
        </is>
      </c>
      <c r="FM15" s="15" t="inlineStr">
        <is>
          <t>SAN JOSE</t>
        </is>
      </c>
      <c r="FN15" s="15" t="inlineStr">
        <is>
          <t>San José 030 (José Besa 669)</t>
        </is>
      </c>
      <c r="FO15" s="15" t="inlineStr">
        <is>
          <t>San Bernardo</t>
        </is>
      </c>
      <c r="FP15" t="inlineStr">
        <is>
          <t>B</t>
        </is>
      </c>
      <c r="FS15" s="14" t="inlineStr">
        <is>
          <t>3005 / SFWZ-39|</t>
        </is>
      </c>
      <c r="FT15" t="inlineStr">
        <is>
          <t>SFWZ-39|</t>
        </is>
      </c>
      <c r="FU15" t="inlineStr">
        <is>
          <t>SFWZ-39</t>
        </is>
      </c>
      <c r="FV15">
        <f>VLOOKUP(FU15,FD:FL,9,0)</f>
        <v/>
      </c>
      <c r="FZ15" s="51" t="inlineStr">
        <is>
          <t>B09</t>
        </is>
      </c>
      <c r="GA15" s="117" t="n">
        <v>0</v>
      </c>
      <c r="GB15" s="117" t="n">
        <v>0</v>
      </c>
      <c r="GC15" s="117" t="n">
        <v>0</v>
      </c>
      <c r="GD15" s="117" t="n">
        <v>0</v>
      </c>
      <c r="GE15" s="117" t="n">
        <v>13.245</v>
      </c>
      <c r="GF15" s="117" t="n">
        <v>23.725</v>
      </c>
      <c r="GG15" s="117" t="n">
        <v>18.46</v>
      </c>
      <c r="GH15" s="117" t="n">
        <v>17.055</v>
      </c>
      <c r="GI15" s="117" t="n">
        <v>20.3</v>
      </c>
      <c r="GJ15" s="117" t="n">
        <v>21.73</v>
      </c>
      <c r="GK15" s="117" t="n">
        <v>21.455</v>
      </c>
      <c r="GL15" s="117" t="n">
        <v>20.605</v>
      </c>
      <c r="GM15" s="117" t="n">
        <v>19.165</v>
      </c>
      <c r="GN15" s="117" t="n">
        <v>18.745</v>
      </c>
      <c r="GO15" s="117" t="n">
        <v>18.565</v>
      </c>
      <c r="GP15" s="117" t="n">
        <v>17.68</v>
      </c>
      <c r="GQ15" s="117" t="n">
        <v>17.115</v>
      </c>
      <c r="GR15" s="117" t="n">
        <v>16.725</v>
      </c>
      <c r="GS15" s="117" t="n">
        <v>18.5</v>
      </c>
      <c r="GT15" s="117" t="n">
        <v>21.01</v>
      </c>
      <c r="GU15" s="117" t="n">
        <v>23.135</v>
      </c>
      <c r="GV15" s="117" t="n">
        <v>25.075</v>
      </c>
      <c r="GW15" s="117" t="n">
        <v>26.45</v>
      </c>
      <c r="GX15" s="117" t="n">
        <v>0</v>
      </c>
      <c r="HA15" s="35" t="n">
        <v>12</v>
      </c>
      <c r="HB15" s="35" t="n">
        <v>9</v>
      </c>
      <c r="HE15" t="inlineStr">
        <is>
          <t>U9</t>
        </is>
      </c>
      <c r="HF15" s="46" t="n">
        <v>722</v>
      </c>
      <c r="HG15" s="46" t="n">
        <v>722</v>
      </c>
      <c r="HH15" s="14" t="n">
        <v>25</v>
      </c>
      <c r="HL15" t="inlineStr">
        <is>
          <t>AlfaU9</t>
        </is>
      </c>
      <c r="HM15" s="46" t="n">
        <v>722</v>
      </c>
      <c r="HN15" s="26" t="inlineStr">
        <is>
          <t>Santa Marta</t>
        </is>
      </c>
      <c r="HO15" s="14" t="n">
        <v>822</v>
      </c>
    </row>
    <row r="16" ht="15.5" customHeight="1">
      <c r="A16" s="10">
        <f>HOUR(G16)+1</f>
        <v/>
      </c>
      <c r="B16" s="7" t="n"/>
      <c r="C16" s="7" t="n"/>
      <c r="D16" s="85">
        <f>IFERROR(
IF(AND(OR(Planilla!B16="C",Planilla!B16="c"), VLOOKUP(E16,FD:FP,13,0)="C"), "OK",IF(AND(OR(Planilla!B16="C",Planilla!B16="c"), OR(VLOOKUP(E16,FD:FP,13,0)="B", VLOOKUP(E16,FD:FP,13,0)="A")), "DEFICIT",IF(
AND(OR(Planilla!B16="B", Planilla!B16="BPAL"), VLOOKUP(E16,FD:FP,13,0)="B"), "OK",IF(AND(OR(Planilla!B16="B", Planilla!B16="BPAL"), VLOOKUP(E16,FD:FP,13,0)="A"), "DEFICIT",IF(AND(OR(Planilla!B16="B", Planilla!B16="BPAL"), VLOOKUP(E16,FD:FP,13,0)="C"), "SOBREOFERTA",IF(AND(Planilla!B16="A", VLOOKUP(E16,FD:FP,13,0)="A"), "OK",IF(
AND(Planilla!B16="A", OR(VLOOKUP(E16,FD:FP,13,0)="B", VLOOKUP(E16,FD:FP,13,0)="C")), "SOBREOFERTA",""
))))))),"")</f>
        <v/>
      </c>
      <c r="E16" s="8" t="n"/>
      <c r="F16" s="86" t="n"/>
      <c r="G16" s="87" t="n"/>
      <c r="H16" s="88">
        <f>IF(I16="","",IF(AND((I16-G16)&gt;=TIME(0,0,0),(I16-G16)&lt;TIME(0,3,0)),"OK",IF(AND((I16-G16)&gt;=TIME(0,3,0),(I16-G16)&lt;TIME(0,5,0)),"RETRASO DE 3-5 MIN",IF(AND((I16-G16)&gt;=TIME(0,5,0),(I16-G16)&lt;TIME(0,10,0)),"RETRASO DE 5-10 MIN",IF((I16-G16)&gt;=TIME(0,10,0),"RETRASO &gt;10 MIN", IF(AND((G16-I16)&gt;=TIME(0,0,0),(G16-I16)&lt;TIME(0,3,0)),"OK",IF((G16-I16)&gt;=TIME(0,3,0),"ADELANTADO")))))))</f>
        <v/>
      </c>
      <c r="I16" s="89" t="n"/>
      <c r="J16" s="89">
        <f>IF(A16&lt;&gt;"",HLOOKUP(VALUE(TEXT(G16,"h:mm:ss")),IF($C$6="Laboral",$FZ$4:$GX$227,IF($C$6="Sábado",$FZ$231:$GX$452,$FZ$456:$GX$656)),VLOOKUP($C$4,$HF$2:$HH$99,3,0)+IF(C$5="Ida",0,1),1),"")</f>
        <v/>
      </c>
      <c r="K16" s="89">
        <f>IF(A17&lt;&gt;A16,AVERAGEIF(A$9:A16,A16,J$9:J16),"")</f>
        <v/>
      </c>
      <c r="L16" s="89">
        <f>IFERROR(IF(A17&lt;&gt;A16,AVERAGEIF(A$9:A16,A16,S$9:S16),""),"")</f>
        <v/>
      </c>
      <c r="M16" s="89">
        <f>IFERROR(IF(A17&lt;&gt;A16,AVERAGEIF(A$9:A16,A16,T$9:T16),""),"")</f>
        <v/>
      </c>
      <c r="N16" s="89">
        <f t="array" ref="N16">IFERROR(IF(A17&lt;&gt;A16,_xlfn.STDEV.P(IF(A$9:A16=A16,T$9:T16)),""),"")</f>
        <v/>
      </c>
      <c r="O16" s="89">
        <f t="array" ref="O16">IFERROR(IF(A17&lt;&gt;A16,_xlfn.STDEV.P(IF(A$9:A16=A16,S$9:S16)),""),"")</f>
        <v/>
      </c>
      <c r="P16" s="90">
        <f>IFERROR(IF(A16&lt;&gt;A17,MAX((((M16*24*60)/2)*(1+POWER((((N16*24*60) / (M16*24*60) )),2))) + ((M16*24*60 )*-0.1 + (K16*0.015)) +1,(((M16*24*60)/2)*(1+POWER((((N16*24*60) / (M16*24*60 ))),2)))),""),"")</f>
        <v/>
      </c>
      <c r="Q16" s="90">
        <f>IF(AND(O16&lt;&gt;"",L16&lt;&gt;""),IF(A16&lt;&gt;A17,((L16*24*60) / 2 ) * (1 + POWER(((O16*24*60) / (L16*24*60)),2)),""),"")</f>
        <v/>
      </c>
      <c r="R16" s="90">
        <f>IF(Q16&lt;&gt;"",MAX(P16,Q16),"")</f>
        <v/>
      </c>
      <c r="S16" s="89">
        <f>IF(I16&lt;&gt;"H. Sale Real",IF(AND(I17&lt;&gt;"",LEFT(C17,2)&lt;&gt;"Va"),IF(AND(I16&lt;&gt;"",LEFT(C16,2)&lt;&gt;"Va",I16&lt;&gt;"H. Sale Real"),IF(I17-I16&lt;0.208333333333333,I17-I16,""),IF(AND(I15&lt;&gt;"",LEFT(C15,2)&lt;&gt;"Va",I15&lt;&gt;"H. Sale Real"),IF(I17-I15&lt;0.208333333333333,I17-I15,""),IF(AND(I14&lt;&gt;"",LEFT(C14,2)&lt;&gt;"Va",I14&lt;&gt;"H. Sale Real"),IF(I17-I14&lt;0.208333333333333,I17-I14,""),IF(AND(I13&lt;&gt;"",LEFT(C13,2)&lt;&gt;"Va",I13&lt;&gt;"H. Sale Real"),IF(I17-I13&lt;0.208333333333333,I17-I13,""),IF(AND(I12&lt;&gt;"",LEFT(C12,2)&lt;&gt;"Va",I12&lt;&gt;"H. Sale Real"),IF(I17-I12&lt;0.208333333333333,I17-I12,""),""))))),""),"")</f>
        <v/>
      </c>
      <c r="T16" s="89">
        <f>IF(G16&lt;&gt;"H. Sale Real",IF(AND(G17&lt;&gt;"",LEFT(C17,2)&lt;&gt;"Va"),IF(AND(G16&lt;&gt;"",LEFT(C16,2)&lt;&gt;"Va",G16&lt;&gt;"H. Sale Real"),IF(G17-G16&lt;0.208333333333333,G17-G16,""),IF(AND(G15&lt;&gt;"",LEFT(C15,2)&lt;&gt;"Va",G15&lt;&gt;"H. Sale Real"),IF(G17-G15&lt;0.208333333333333,G17-G15,""),IF(AND(G14&lt;&gt;"",LEFT(C14,2)&lt;&gt;"Va",G14&lt;&gt;"H. Sale Real"),IF(G17-G14&lt;0.208333333333333,G17-G14,""),IF(AND(G13&lt;&gt;"",LEFT(C13,2)&lt;&gt;"Va",G13&lt;&gt;"H. Sale Real"),IF(G17-G13&lt;0.208333333333333,G17-G13,""),IF(AND(G12&lt;&gt;"",LEFT(C12,2)&lt;&gt;"Va",G12&lt;&gt;"H. Sale Real"),IF(G17-G12&lt;0.208333333333333,G17-G12,""),""))))),""),"")</f>
        <v/>
      </c>
      <c r="U16" s="87" t="n"/>
      <c r="V16" s="89" t="n"/>
      <c r="W16" s="87" t="n"/>
      <c r="X16" s="89" t="n"/>
      <c r="Y16" s="91" t="n"/>
      <c r="Z16" s="122">
        <f>IF(G16&lt;&gt;"",IF(AND(Z15&lt;&gt;"IE",P16&lt;&gt;0,R16&lt;&gt;""),IF(IFERROR((P16/R16),0) &lt;=1,IFERROR(P16/R16,""),1),""),"")</f>
        <v/>
      </c>
      <c r="AA16" s="93" t="n"/>
      <c r="AB16" s="2" t="n"/>
      <c r="AE16" s="10">
        <f>HOUR(AK16)+1</f>
        <v/>
      </c>
      <c r="AF16" s="7" t="n"/>
      <c r="AG16" s="7" t="n"/>
      <c r="AH16" s="86" t="n"/>
      <c r="AI16" s="8" t="n"/>
      <c r="AJ16" s="86" t="n"/>
      <c r="AK16" s="87" t="n"/>
      <c r="AL16" s="88">
        <f>IF(AM16="","",IF(AND((AM16-AK16)&gt;=TIME(0,0,0),(AM16-AK16)&lt;TIME(0,3,0)),"OK",IF(AND((AM16-AK16)&gt;=TIME(0,3,0),(AM16-AK16)&lt;TIME(0,5,0)),"RETRASO DE 3-5 MIN",IF(AND((AM16-AK16)&gt;=TIME(0,5,0),(AM16-AK16)&lt;TIME(0,10,0)),"RETRASO DE 5-10 MIN",IF((AM16-AK16)&gt;=TIME(0,10,0),"RETRASO &gt;10 MIN", IF(AND((AK16-AM16)&gt;=TIME(0,0,0),(AK16-AM16)&lt;TIME(0,3,0)),"OK",IF((AK16-AM16)&gt;=TIME(0,3,0),"ADELANTADO")))))))</f>
        <v/>
      </c>
      <c r="AM16" s="91" t="n"/>
      <c r="AN16" s="89">
        <f>IF(AE16&lt;&gt;"",HLOOKUP(VALUE(TEXT(AK16,"h:mm:ss")),IF($C$6="Laboral",$FZ$4:$GX$227,IF($C$6="Sábado",$FZ$231:$GX$452,$FZ$456:$GX$656)),VLOOKUP($C$4,$HF$2:$HH$99,3,0)+IF(AG$5="Ida",0,1),1),"")</f>
        <v/>
      </c>
      <c r="AO16" s="89">
        <f>IF(AE17&lt;&gt;AE16,AVERAGEIF(AE$9:AE16,AE16,AN$9:AN16),"")</f>
        <v/>
      </c>
      <c r="AP16" s="89">
        <f>IFERROR(IF(AE17&lt;&gt;AE16,AVERAGEIF(AE$9:AE16,AE16,AW$9:AW16),""),"")</f>
        <v/>
      </c>
      <c r="AQ16" s="89">
        <f>IFERROR(IF(AE17&lt;&gt;AE16,AVERAGEIF(AE$9:AE16,AE16,AX$9:AX16),""),"")</f>
        <v/>
      </c>
      <c r="AR16" s="89">
        <f t="array" ref="AR16">IFERROR(IF(AE17&lt;&gt;AE16,_xlfn.STDEV.P(IF(AE$9:AE16=AE16,AX$9:AX16)),""),"")</f>
        <v/>
      </c>
      <c r="AS16" s="89">
        <f t="array" ref="AS16">IFERROR(IF(AE17&lt;&gt;AE16,_xlfn.STDEV.P(IF(AE$9:AE16=AE16,AW$9:AW16)),""),"")</f>
        <v/>
      </c>
      <c r="AT16" s="90">
        <f>IFERROR(IF(AE16&lt;&gt;AE17,MAX((((AQ16*24*60)/2)*(1+POWER((((AR16*24*60) / (AQ16*24*60) )),2))) + ((AQ16*24*60 )*-0.1 + (AO16*0.015)) +1,(((AQ16*24*60)/2)*(1+POWER((((AR16*24*60) / (AQ16*24*60 ))),2)))),""),"")</f>
        <v/>
      </c>
      <c r="AU16" s="90">
        <f>IF(AND(AS16&lt;&gt;"",AP16&lt;&gt;""),IF(AE16&lt;&gt;AE17,((AP16*24*60) / 2 ) * (1 + POWER(((AS16*24*60) / (AP16*24*60)),2)),""),"")</f>
        <v/>
      </c>
      <c r="AV16" s="90">
        <f>IF(AU16&lt;&gt;"",MAX(AT16,AU16),"")</f>
        <v/>
      </c>
      <c r="AW16" s="89">
        <f>IF(AM16&lt;&gt;"H. Sale Real",IF(AND(AM17&lt;&gt;"",LEFT(AG17,2)&lt;&gt;"Va"),IF(AND(AM16&lt;&gt;"",LEFT(AG16,2)&lt;&gt;"Va",AM16&lt;&gt;"H. Sale Real"),IF(AM17-AM16&lt;0.208333333333333,AM17-AM16,""),IF(AND(AM15&lt;&gt;"",LEFT(AG15,2)&lt;&gt;"Va",AM15&lt;&gt;"H. Sale Real"),IF(AM17-AM15&lt;0.208333333333333,AM17-AM15,""),IF(AND(AM14&lt;&gt;"",LEFT(AG14,2)&lt;&gt;"Va",AM14&lt;&gt;"H. Sale Real"),IF(AM17-AM14&lt;0.208333333333333,AM17-AM14,""),IF(AND(AM13&lt;&gt;"",LEFT(AG13,2)&lt;&gt;"Va",AM13&lt;&gt;"H. Sale Real"),IF(AM17-AM13&lt;0.208333333333333,AM17-AM13,""),IF(AND(AM12&lt;&gt;"",LEFT(AG12,2)&lt;&gt;"Va",AM12&lt;&gt;"H. Sale Real"),IF(AM17-AM12&lt;0.208333333333333,AM17-AM12,""),""))))),""),"")</f>
        <v/>
      </c>
      <c r="AX16" s="89">
        <f>IF(AK16&lt;&gt;"H. Sale Real",IF(AND(AK17&lt;&gt;"",LEFT(AG17,2)&lt;&gt;"Va"),IF(AND(AK16&lt;&gt;"",LEFT(AG16,2)&lt;&gt;"Va",AK16&lt;&gt;"H. Sale Real"),IF(AK17-AK16&lt;0.208333333333333,AK17-AK16,""),IF(AND(AK15&lt;&gt;"",LEFT(AG15,2)&lt;&gt;"Va",AK15&lt;&gt;"H. Sale Real"),IF(AK17-AK15&lt;0.208333333333333,AK17-AK15,""),IF(AND(AK14&lt;&gt;"",LEFT(AG14,2)&lt;&gt;"NC",AK14&lt;&gt;"H. Sale Real"),IF(AK17-AK14&lt;0.208333333333333,AK17-AK14,""),IF(AND(AK13&lt;&gt;"",LEFT(AG13,2)&lt;&gt;"Va",AK13&lt;&gt;"H. Sale Real"),IF(AK17-AK13&lt;0.208333333333333,AK17-AK13,""),IF(AND(AK12&lt;&gt;"",LEFT(AG12,2)&lt;&gt;"Va",AK12&lt;&gt;"H. Sale Real"),IF(AK17-AK12&lt;0.208333333333333,AK17-AK12,""),""))))),""),"")</f>
        <v/>
      </c>
      <c r="AY16" s="87" t="n"/>
      <c r="AZ16" s="89" t="n"/>
      <c r="BA16" s="87" t="n"/>
      <c r="BB16" s="89" t="n"/>
      <c r="BC16" s="91" t="n"/>
      <c r="BD16" s="122">
        <f>IF(AK16&lt;&gt;"",IF(AND(BD15&lt;&gt;"IE",AT16&lt;&gt;0,AV16&lt;&gt;""),IF(IFERROR((AT16/AV16),0) &lt;=1,IFERROR(AT16/AV16,""),1),""),"")</f>
        <v/>
      </c>
      <c r="BE16" s="93" t="n"/>
      <c r="BF16" s="105" t="n"/>
      <c r="BI16" s="8" t="n">
        <v>4</v>
      </c>
      <c r="BJ16" s="8">
        <f>COUNTIFS($A:$A,$BI16,$C:$C,$BI$11)</f>
        <v/>
      </c>
      <c r="BK16" s="8">
        <f>BJ16-COUNTIFS($A:$A,$BI16,$C:$C,$BI$11,$H:$H,"")</f>
        <v/>
      </c>
      <c r="BL16" s="54">
        <f>IFERROR((BK16/BJ16),"")</f>
        <v/>
      </c>
      <c r="BM16" s="8">
        <f>_xlfn.XLOOKUP(BI16,$A:$A,$R:$R,"0",0,-1)</f>
        <v/>
      </c>
      <c r="BN16" s="55">
        <f>_xlfn.XLOOKUP(BI16,$A:$A,$P:$P,"0",0,-1)</f>
        <v/>
      </c>
      <c r="BO16" s="123">
        <f>_xlfn.XLOOKUP(BI16,$A:$A,$Z:$Z,"",0,-1)</f>
        <v/>
      </c>
      <c r="BR16" s="8" t="n">
        <v>4</v>
      </c>
      <c r="BS16" s="8">
        <f>COUNTIFS($AE:$AE,$BR16,$AG:$AG,$BR$11)</f>
        <v/>
      </c>
      <c r="BT16" s="8">
        <f>BS16-COUNTIFS($AE:$AE,$BR16,$AG:$AG,$BR$11,$AL:$AL,"")</f>
        <v/>
      </c>
      <c r="BU16" s="54">
        <f>IFERROR((BT16/BS16),"")</f>
        <v/>
      </c>
      <c r="BV16" s="8">
        <f>_xlfn.XLOOKUP(BR16,$AE:$AE,$AV:$AV,"0",0,-1)</f>
        <v/>
      </c>
      <c r="BW16" s="55">
        <f>_xlfn.XLOOKUP(BR16,$AE:$AE,$AT:$AT,"0",0,-1)</f>
        <v/>
      </c>
      <c r="BX16" s="123">
        <f>_xlfn.XLOOKUP(BR16,$AE:$AE,$BD:$BD,"",0,-1)</f>
        <v/>
      </c>
      <c r="FC16" t="inlineStr">
        <is>
          <t>Diccionario 1</t>
        </is>
      </c>
      <c r="FD16" s="15" t="n">
        <v>1013</v>
      </c>
      <c r="FE16" s="15" t="inlineStr">
        <is>
          <t>D8482482K2PL</t>
        </is>
      </c>
      <c r="FF16" s="15" t="inlineStr">
        <is>
          <t>YV3T7U523KA195326</t>
        </is>
      </c>
      <c r="FG16" s="15" t="inlineStr">
        <is>
          <t>Volvo</t>
        </is>
      </c>
      <c r="FH16" s="15" t="inlineStr">
        <is>
          <t>B8R</t>
        </is>
      </c>
      <c r="FI16" s="15" t="inlineStr">
        <is>
          <t>MARCOPOLO</t>
        </is>
      </c>
      <c r="FJ16" s="15" t="inlineStr">
        <is>
          <t>TORINO</t>
        </is>
      </c>
      <c r="FK16" s="15" t="n">
        <v>2019</v>
      </c>
      <c r="FL16" s="15" t="inlineStr">
        <is>
          <t>B2PAL</t>
        </is>
      </c>
      <c r="FM16" s="15" t="inlineStr">
        <is>
          <t>LOS LIBERTADORES</t>
        </is>
      </c>
      <c r="FN16" s="15" t="inlineStr">
        <is>
          <t>Los Liberadores 6450, Lote 4A</t>
        </is>
      </c>
      <c r="FO16" s="15" t="inlineStr">
        <is>
          <t>Huechuraba</t>
        </is>
      </c>
      <c r="FP16" t="inlineStr">
        <is>
          <t>B</t>
        </is>
      </c>
      <c r="FS16" s="14" t="inlineStr">
        <is>
          <t>3005 / SFWZ-39|</t>
        </is>
      </c>
      <c r="FT16" t="inlineStr">
        <is>
          <t>SFWZ-39|</t>
        </is>
      </c>
      <c r="FU16" t="inlineStr">
        <is>
          <t>SFWZ-39</t>
        </is>
      </c>
      <c r="FV16">
        <f>VLOOKUP(FU16,FD:FL,9,0)</f>
        <v/>
      </c>
      <c r="FZ16" s="51" t="inlineStr">
        <is>
          <t>B10</t>
        </is>
      </c>
      <c r="GA16" s="117" t="n">
        <v>0</v>
      </c>
      <c r="GB16" s="117" t="n">
        <v>0</v>
      </c>
      <c r="GC16" s="117" t="n">
        <v>0</v>
      </c>
      <c r="GD16" s="117" t="n">
        <v>0</v>
      </c>
      <c r="GE16" s="117" t="n">
        <v>0</v>
      </c>
      <c r="GF16" s="117" t="n">
        <v>9.58</v>
      </c>
      <c r="GG16" s="117" t="n">
        <v>15.145</v>
      </c>
      <c r="GH16" s="117" t="n">
        <v>12.605</v>
      </c>
      <c r="GI16" s="117" t="n">
        <v>14.385</v>
      </c>
      <c r="GJ16" s="117" t="n">
        <v>15.19</v>
      </c>
      <c r="GK16" s="117" t="n">
        <v>15.085</v>
      </c>
      <c r="GL16" s="117" t="n">
        <v>14.8</v>
      </c>
      <c r="GM16" s="117" t="n">
        <v>14.43</v>
      </c>
      <c r="GN16" s="117" t="n">
        <v>14.59</v>
      </c>
      <c r="GO16" s="117" t="n">
        <v>14.42</v>
      </c>
      <c r="GP16" s="117" t="n">
        <v>13.86</v>
      </c>
      <c r="GQ16" s="117" t="n">
        <v>12.755</v>
      </c>
      <c r="GR16" s="117" t="n">
        <v>11.79</v>
      </c>
      <c r="GS16" s="117" t="n">
        <v>12.895</v>
      </c>
      <c r="GT16" s="117" t="n">
        <v>14.885</v>
      </c>
      <c r="GU16" s="117" t="n">
        <v>16.585</v>
      </c>
      <c r="GV16" s="117" t="n">
        <v>17.96</v>
      </c>
      <c r="GW16" s="117" t="n">
        <v>20.45</v>
      </c>
      <c r="GX16" s="117" t="n">
        <v>23.575</v>
      </c>
      <c r="HA16" s="35" t="n">
        <v>13</v>
      </c>
      <c r="HB16" s="35" t="n">
        <v>10</v>
      </c>
      <c r="HE16" t="inlineStr">
        <is>
          <t>U9</t>
        </is>
      </c>
      <c r="HF16" s="46" t="inlineStr">
        <is>
          <t>B24</t>
        </is>
      </c>
      <c r="HG16" s="46" t="inlineStr">
        <is>
          <t>B24</t>
        </is>
      </c>
      <c r="HH16" s="14" t="n">
        <v>27</v>
      </c>
      <c r="HL16" t="inlineStr">
        <is>
          <t>AlfaU9</t>
        </is>
      </c>
      <c r="HM16" s="46" t="inlineStr">
        <is>
          <t>B24</t>
        </is>
      </c>
      <c r="HN16" s="26" t="inlineStr">
        <is>
          <t>Condell</t>
        </is>
      </c>
      <c r="HO16" s="14" t="n">
        <v>824</v>
      </c>
    </row>
    <row r="17" ht="15.5" customHeight="1">
      <c r="A17" s="10">
        <f>HOUR(G17)+1</f>
        <v/>
      </c>
      <c r="B17" s="7" t="n"/>
      <c r="C17" s="7" t="n"/>
      <c r="D17" s="85">
        <f>IFERROR(
IF(AND(OR(Planilla!B17="C",Planilla!B17="c"), VLOOKUP(E17,FD:FP,13,0)="C"), "OK",IF(AND(OR(Planilla!B17="C",Planilla!B17="c"), OR(VLOOKUP(E17,FD:FP,13,0)="B", VLOOKUP(E17,FD:FP,13,0)="A")), "DEFICIT",IF(
AND(OR(Planilla!B17="B", Planilla!B17="BPAL"), VLOOKUP(E17,FD:FP,13,0)="B"), "OK",IF(AND(OR(Planilla!B17="B", Planilla!B17="BPAL"), VLOOKUP(E17,FD:FP,13,0)="A"), "DEFICIT",IF(AND(OR(Planilla!B17="B", Planilla!B17="BPAL"), VLOOKUP(E17,FD:FP,13,0)="C"), "SOBREOFERTA",IF(AND(Planilla!B17="A", VLOOKUP(E17,FD:FP,13,0)="A"), "OK",IF(
AND(Planilla!B17="A", OR(VLOOKUP(E17,FD:FP,13,0)="B", VLOOKUP(E17,FD:FP,13,0)="C")), "SOBREOFERTA",""
))))))),"")</f>
        <v/>
      </c>
      <c r="E17" s="8" t="n"/>
      <c r="F17" s="86" t="n"/>
      <c r="G17" s="87" t="n"/>
      <c r="H17" s="88">
        <f>IF(I17="","",IF(AND((I17-G17)&gt;=TIME(0,0,0),(I17-G17)&lt;TIME(0,3,0)),"OK",IF(AND((I17-G17)&gt;=TIME(0,3,0),(I17-G17)&lt;TIME(0,5,0)),"RETRASO DE 3-5 MIN",IF(AND((I17-G17)&gt;=TIME(0,5,0),(I17-G17)&lt;TIME(0,10,0)),"RETRASO DE 5-10 MIN",IF((I17-G17)&gt;=TIME(0,10,0),"RETRASO &gt;10 MIN", IF(AND((G17-I17)&gt;=TIME(0,0,0),(G17-I17)&lt;TIME(0,3,0)),"OK",IF((G17-I17)&gt;=TIME(0,3,0),"ADELANTADO")))))))</f>
        <v/>
      </c>
      <c r="I17" s="89" t="n"/>
      <c r="J17" s="89">
        <f>IF(A17&lt;&gt;"",HLOOKUP(VALUE(TEXT(G17,"h:mm:ss")),IF($C$6="Laboral",$FZ$4:$GX$227,IF($C$6="Sábado",$FZ$231:$GX$452,$FZ$456:$GX$656)),VLOOKUP($C$4,$HF$2:$HH$99,3,0)+IF(C$5="Ida",0,1),1),"")</f>
        <v/>
      </c>
      <c r="K17" s="89">
        <f>IF(A18&lt;&gt;A17,AVERAGEIF(A$9:A17,A17,J$9:J17),"")</f>
        <v/>
      </c>
      <c r="L17" s="89">
        <f>IFERROR(IF(A18&lt;&gt;A17,AVERAGEIF(A$9:A17,A17,S$9:S17),""),"")</f>
        <v/>
      </c>
      <c r="M17" s="89">
        <f>IFERROR(IF(A18&lt;&gt;A17,AVERAGEIF(A$9:A17,A17,T$9:T17),""),"")</f>
        <v/>
      </c>
      <c r="N17" s="89">
        <f t="array" ref="N17">IFERROR(IF(A18&lt;&gt;A17,_xlfn.STDEV.P(IF(A$9:A17=A17,T$9:T17)),""),"")</f>
        <v/>
      </c>
      <c r="O17" s="89">
        <f t="array" ref="O17">IFERROR(IF(A18&lt;&gt;A17,_xlfn.STDEV.P(IF(A$9:A17=A17,S$9:S17)),""),"")</f>
        <v/>
      </c>
      <c r="P17" s="90">
        <f>IFERROR(IF(A17&lt;&gt;A18,MAX((((M17*24*60)/2)*(1+POWER((((N17*24*60) / (M17*24*60) )),2))) + ((M17*24*60 )*-0.1 + (K17*0.015)) +1,(((M17*24*60)/2)*(1+POWER((((N17*24*60) / (M17*24*60 ))),2)))),""),"")</f>
        <v/>
      </c>
      <c r="Q17" s="90">
        <f>IF(AND(O17&lt;&gt;"",L17&lt;&gt;""),IF(A17&lt;&gt;A18,((L17*24*60) / 2 ) * (1 + POWER(((O17*24*60) / (L17*24*60)),2)),""),"")</f>
        <v/>
      </c>
      <c r="R17" s="90">
        <f>IF(Q17&lt;&gt;"",MAX(P17,Q17),"")</f>
        <v/>
      </c>
      <c r="S17" s="89">
        <f>IF(I17&lt;&gt;"H. Sale Real",IF(AND(I18&lt;&gt;"",LEFT(C18,2)&lt;&gt;"Va"),IF(AND(I17&lt;&gt;"",LEFT(C17,2)&lt;&gt;"Va",I17&lt;&gt;"H. Sale Real"),IF(I18-I17&lt;0.208333333333333,I18-I17,""),IF(AND(I16&lt;&gt;"",LEFT(C16,2)&lt;&gt;"Va",I16&lt;&gt;"H. Sale Real"),IF(I18-I16&lt;0.208333333333333,I18-I16,""),IF(AND(I15&lt;&gt;"",LEFT(C15,2)&lt;&gt;"Va",I15&lt;&gt;"H. Sale Real"),IF(I18-I15&lt;0.208333333333333,I18-I15,""),IF(AND(I14&lt;&gt;"",LEFT(C14,2)&lt;&gt;"Va",I14&lt;&gt;"H. Sale Real"),IF(I18-I14&lt;0.208333333333333,I18-I14,""),IF(AND(I13&lt;&gt;"",LEFT(C13,2)&lt;&gt;"Va",I13&lt;&gt;"H. Sale Real"),IF(I18-I13&lt;0.208333333333333,I18-I13,""),""))))),""),"")</f>
        <v/>
      </c>
      <c r="T17" s="89">
        <f>IF(G17&lt;&gt;"H. Sale Real",IF(AND(G18&lt;&gt;"",LEFT(C18,2)&lt;&gt;"Va"),IF(AND(G17&lt;&gt;"",LEFT(C17,2)&lt;&gt;"Va",G17&lt;&gt;"H. Sale Real"),IF(G18-G17&lt;0.208333333333333,G18-G17,""),IF(AND(G16&lt;&gt;"",LEFT(C16,2)&lt;&gt;"Va",G16&lt;&gt;"H. Sale Real"),IF(G18-G16&lt;0.208333333333333,G18-G16,""),IF(AND(G15&lt;&gt;"",LEFT(C15,2)&lt;&gt;"Va",G15&lt;&gt;"H. Sale Real"),IF(G18-G15&lt;0.208333333333333,G18-G15,""),IF(AND(G14&lt;&gt;"",LEFT(C14,2)&lt;&gt;"Va",G14&lt;&gt;"H. Sale Real"),IF(G18-G14&lt;0.208333333333333,G18-G14,""),IF(AND(G13&lt;&gt;"",LEFT(C13,2)&lt;&gt;"Va",G13&lt;&gt;"H. Sale Real"),IF(G18-G13&lt;0.208333333333333,G18-G13,""),""))))),""),"")</f>
        <v/>
      </c>
      <c r="U17" s="87" t="n"/>
      <c r="V17" s="89" t="n"/>
      <c r="W17" s="87" t="n"/>
      <c r="X17" s="89" t="n"/>
      <c r="Y17" s="91" t="n"/>
      <c r="Z17" s="122">
        <f>IF(G17&lt;&gt;"",IF(AND(Z16&lt;&gt;"IE",P17&lt;&gt;0,R17&lt;&gt;""),IF(IFERROR((P17/R17),0) &lt;=1,IFERROR(P17/R17,""),1),""),"")</f>
        <v/>
      </c>
      <c r="AA17" s="93" t="n"/>
      <c r="AB17" s="2" t="n"/>
      <c r="AE17" s="10">
        <f>HOUR(AK17)+1</f>
        <v/>
      </c>
      <c r="AF17" s="7" t="n"/>
      <c r="AG17" s="7" t="n"/>
      <c r="AH17" s="86" t="n"/>
      <c r="AI17" s="8" t="n"/>
      <c r="AJ17" s="86" t="n"/>
      <c r="AK17" s="87" t="n"/>
      <c r="AL17" s="88">
        <f>IF(AM17="","",IF(AND((AM17-AK17)&gt;=TIME(0,0,0),(AM17-AK17)&lt;TIME(0,3,0)),"OK",IF(AND((AM17-AK17)&gt;=TIME(0,3,0),(AM17-AK17)&lt;TIME(0,5,0)),"RETRASO DE 3-5 MIN",IF(AND((AM17-AK17)&gt;=TIME(0,5,0),(AM17-AK17)&lt;TIME(0,10,0)),"RETRASO DE 5-10 MIN",IF((AM17-AK17)&gt;=TIME(0,10,0),"RETRASO &gt;10 MIN", IF(AND((AK17-AM17)&gt;=TIME(0,0,0),(AK17-AM17)&lt;TIME(0,3,0)),"OK",IF((AK17-AM17)&gt;=TIME(0,3,0),"ADELANTADO")))))))</f>
        <v/>
      </c>
      <c r="AM17" s="91" t="n"/>
      <c r="AN17" s="89">
        <f>IF(AE17&lt;&gt;"",HLOOKUP(VALUE(TEXT(AK17,"h:mm:ss")),IF($C$6="Laboral",$FZ$4:$GX$227,IF($C$6="Sábado",$FZ$231:$GX$452,$FZ$456:$GX$656)),VLOOKUP($C$4,$HF$2:$HH$99,3,0)+IF(AG$5="Ida",0,1),1),"")</f>
        <v/>
      </c>
      <c r="AO17" s="89">
        <f>IF(AE18&lt;&gt;AE17,AVERAGEIF(AE$9:AE17,AE17,AN$9:AN17),"")</f>
        <v/>
      </c>
      <c r="AP17" s="89">
        <f>IFERROR(IF(AE18&lt;&gt;AE17,AVERAGEIF(AE$9:AE17,AE17,AW$9:AW17),""),"")</f>
        <v/>
      </c>
      <c r="AQ17" s="89">
        <f>IFERROR(IF(AE18&lt;&gt;AE17,AVERAGEIF(AE$9:AE17,AE17,AX$9:AX17),""),"")</f>
        <v/>
      </c>
      <c r="AR17" s="89">
        <f t="array" ref="AR17">IFERROR(IF(AE18&lt;&gt;AE17,_xlfn.STDEV.P(IF(AE$9:AE17=AE17,AX$9:AX17)),""),"")</f>
        <v/>
      </c>
      <c r="AS17" s="89">
        <f t="array" ref="AS17">IFERROR(IF(AE18&lt;&gt;AE17,_xlfn.STDEV.P(IF(AE$9:AE17=AE17,AW$9:AW17)),""),"")</f>
        <v/>
      </c>
      <c r="AT17" s="90">
        <f>IFERROR(IF(AE17&lt;&gt;AE18,MAX((((AQ17*24*60)/2)*(1+POWER((((AR17*24*60) / (AQ17*24*60) )),2))) + ((AQ17*24*60 )*-0.1 + (AO17*0.015)) +1,(((AQ17*24*60)/2)*(1+POWER((((AR17*24*60) / (AQ17*24*60 ))),2)))),""),"")</f>
        <v/>
      </c>
      <c r="AU17" s="90">
        <f>IF(AND(AS17&lt;&gt;"",AP17&lt;&gt;""),IF(AE17&lt;&gt;AE18,((AP17*24*60) / 2 ) * (1 + POWER(((AS17*24*60) / (AP17*24*60)),2)),""),"")</f>
        <v/>
      </c>
      <c r="AV17" s="90">
        <f>IF(AU17&lt;&gt;"",MAX(AT17,AU17),"")</f>
        <v/>
      </c>
      <c r="AW17" s="89">
        <f>IF(AM17&lt;&gt;"H. Sale Real",IF(AND(AM18&lt;&gt;"",LEFT(AG18,2)&lt;&gt;"Va"),IF(AND(AM17&lt;&gt;"",LEFT(AG17,2)&lt;&gt;"Va",AM17&lt;&gt;"H. Sale Real"),IF(AM18-AM17&lt;0.208333333333333,AM18-AM17,""),IF(AND(AM16&lt;&gt;"",LEFT(AG16,2)&lt;&gt;"Va",AM16&lt;&gt;"H. Sale Real"),IF(AM18-AM16&lt;0.208333333333333,AM18-AM16,""),IF(AND(AM15&lt;&gt;"",LEFT(AG15,2)&lt;&gt;"Va",AM15&lt;&gt;"H. Sale Real"),IF(AM18-AM15&lt;0.208333333333333,AM18-AM15,""),IF(AND(AM14&lt;&gt;"",LEFT(AG14,2)&lt;&gt;"Va",AM14&lt;&gt;"H. Sale Real"),IF(AM18-AM14&lt;0.208333333333333,AM18-AM14,""),IF(AND(AM13&lt;&gt;"",LEFT(AG13,2)&lt;&gt;"Va",AM13&lt;&gt;"H. Sale Real"),IF(AM18-AM13&lt;0.208333333333333,AM18-AM13,""),""))))),""),"")</f>
        <v/>
      </c>
      <c r="AX17" s="89">
        <f>IF(AK17&lt;&gt;"H. Sale Real",IF(AND(AK18&lt;&gt;"",LEFT(AG18,2)&lt;&gt;"Va"),IF(AND(AK17&lt;&gt;"",LEFT(AG17,2)&lt;&gt;"Va",AK17&lt;&gt;"H. Sale Real"),IF(AK18-AK17&lt;0.208333333333333,AK18-AK17,""),IF(AND(AK16&lt;&gt;"",LEFT(AG16,2)&lt;&gt;"Va",AK16&lt;&gt;"H. Sale Real"),IF(AK18-AK16&lt;0.208333333333333,AK18-AK16,""),IF(AND(AK15&lt;&gt;"",LEFT(AG15,2)&lt;&gt;"NC",AK15&lt;&gt;"H. Sale Real"),IF(AK18-AK15&lt;0.208333333333333,AK18-AK15,""),IF(AND(AK14&lt;&gt;"",LEFT(AG14,2)&lt;&gt;"Va",AK14&lt;&gt;"H. Sale Real"),IF(AK18-AK14&lt;0.208333333333333,AK18-AK14,""),IF(AND(AK13&lt;&gt;"",LEFT(AG13,2)&lt;&gt;"Va",AK13&lt;&gt;"H. Sale Real"),IF(AK18-AK13&lt;0.208333333333333,AK18-AK13,""),""))))),""),"")</f>
        <v/>
      </c>
      <c r="AY17" s="87" t="n"/>
      <c r="AZ17" s="89" t="n"/>
      <c r="BA17" s="87" t="n"/>
      <c r="BB17" s="89" t="n"/>
      <c r="BC17" s="91" t="n"/>
      <c r="BD17" s="122">
        <f>IF(AK17&lt;&gt;"",IF(AND(BD16&lt;&gt;"IE",AT17&lt;&gt;0,AV17&lt;&gt;""),IF(IFERROR((AT17/AV17),0) &lt;=1,IFERROR(AT17/AV17,""),1),""),"")</f>
        <v/>
      </c>
      <c r="BE17" s="93" t="n"/>
      <c r="BF17" s="105" t="n"/>
      <c r="BI17" s="8" t="n">
        <v>5</v>
      </c>
      <c r="BJ17" s="8">
        <f>COUNTIFS($A:$A,$BI17,$C:$C,$BI$11)</f>
        <v/>
      </c>
      <c r="BK17" s="8">
        <f>BJ17-COUNTIFS($A:$A,$BI17,$C:$C,$BI$11,$H:$H,"")</f>
        <v/>
      </c>
      <c r="BL17" s="54">
        <f>IFERROR((BK17/BJ17),"")</f>
        <v/>
      </c>
      <c r="BM17" s="8">
        <f>_xlfn.XLOOKUP(BI17,$A:$A,$R:$R,"0",0,-1)</f>
        <v/>
      </c>
      <c r="BN17" s="55">
        <f>_xlfn.XLOOKUP(BI17,$A:$A,$P:$P,"0",0,-1)</f>
        <v/>
      </c>
      <c r="BO17" s="123">
        <f>_xlfn.XLOOKUP(BI17,$A:$A,$Z:$Z,"",0,-1)</f>
        <v/>
      </c>
      <c r="BR17" s="8" t="n">
        <v>5</v>
      </c>
      <c r="BS17" s="8">
        <f>COUNTIFS($AE:$AE,$BR17,$AG:$AG,$BR$11)</f>
        <v/>
      </c>
      <c r="BT17" s="8">
        <f>BS17-COUNTIFS($AE:$AE,$BR17,$AG:$AG,$BR$11,$AL:$AL,"")</f>
        <v/>
      </c>
      <c r="BU17" s="54">
        <f>IFERROR((BT17/BS17),"")</f>
        <v/>
      </c>
      <c r="BV17" s="8">
        <f>_xlfn.XLOOKUP(BR17,$AE:$AE,$AV:$AV,"0",0,-1)</f>
        <v/>
      </c>
      <c r="BW17" s="55">
        <f>_xlfn.XLOOKUP(BR17,$AE:$AE,$AT:$AT,"0",0,-1)</f>
        <v/>
      </c>
      <c r="BX17" s="123">
        <f>_xlfn.XLOOKUP(BR17,$AE:$AE,$BD:$BD,"",0,-1)</f>
        <v/>
      </c>
      <c r="FC17" t="inlineStr">
        <is>
          <t>Diccionario 1</t>
        </is>
      </c>
      <c r="FD17" s="15" t="n">
        <v>1014</v>
      </c>
      <c r="FE17" s="15" t="inlineStr">
        <is>
          <t>D8482478K2PL</t>
        </is>
      </c>
      <c r="FF17" s="15" t="inlineStr">
        <is>
          <t>YV3T7U525KA195327</t>
        </is>
      </c>
      <c r="FG17" s="15" t="inlineStr">
        <is>
          <t>Volvo</t>
        </is>
      </c>
      <c r="FH17" s="15" t="inlineStr">
        <is>
          <t>B8R</t>
        </is>
      </c>
      <c r="FI17" s="15" t="inlineStr">
        <is>
          <t>MARCOPOLO</t>
        </is>
      </c>
      <c r="FJ17" s="15" t="inlineStr">
        <is>
          <t>TORINO</t>
        </is>
      </c>
      <c r="FK17" s="15" t="n">
        <v>2019</v>
      </c>
      <c r="FL17" s="15" t="inlineStr">
        <is>
          <t>B2PAL</t>
        </is>
      </c>
      <c r="FM17" s="15" t="inlineStr">
        <is>
          <t>LOS LIBERTADORES</t>
        </is>
      </c>
      <c r="FN17" s="15" t="inlineStr">
        <is>
          <t>Los Liberadores 6450, Lote 4A</t>
        </is>
      </c>
      <c r="FO17" s="15" t="inlineStr">
        <is>
          <t>Huechuraba</t>
        </is>
      </c>
      <c r="FP17" t="inlineStr">
        <is>
          <t>B</t>
        </is>
      </c>
      <c r="FS17" s="14" t="inlineStr">
        <is>
          <t>3005 / SFWZ-39|</t>
        </is>
      </c>
      <c r="FT17" t="inlineStr">
        <is>
          <t>SFWZ-39|</t>
        </is>
      </c>
      <c r="FU17" t="inlineStr">
        <is>
          <t>SFWZ-39</t>
        </is>
      </c>
      <c r="FV17">
        <f>VLOOKUP(FU17,FD:FL,9,0)</f>
        <v/>
      </c>
      <c r="FZ17" s="51" t="n">
        <v>120</v>
      </c>
      <c r="GA17" s="117" t="n">
        <v>0</v>
      </c>
      <c r="GB17" s="117" t="n">
        <v>0</v>
      </c>
      <c r="GC17" s="117" t="n">
        <v>0</v>
      </c>
      <c r="GD17" s="117" t="n">
        <v>0</v>
      </c>
      <c r="GE17" s="117" t="n">
        <v>27.31</v>
      </c>
      <c r="GF17" s="117" t="n">
        <v>22.005</v>
      </c>
      <c r="GG17" s="117" t="n">
        <v>16.685</v>
      </c>
      <c r="GH17" s="117" t="n">
        <v>14.945</v>
      </c>
      <c r="GI17" s="117" t="n">
        <v>16.83</v>
      </c>
      <c r="GJ17" s="117" t="n">
        <v>17.985</v>
      </c>
      <c r="GK17" s="117" t="n">
        <v>18.065</v>
      </c>
      <c r="GL17" s="117" t="n">
        <v>17.725</v>
      </c>
      <c r="GM17" s="117" t="n">
        <v>17.03</v>
      </c>
      <c r="GN17" s="117" t="n">
        <v>17.105</v>
      </c>
      <c r="GO17" s="117" t="n">
        <v>16.605</v>
      </c>
      <c r="GP17" s="117" t="n">
        <v>15.62</v>
      </c>
      <c r="GQ17" s="117" t="n">
        <v>13.25</v>
      </c>
      <c r="GR17" s="117" t="n">
        <v>11.98</v>
      </c>
      <c r="GS17" s="117" t="n">
        <v>14.1</v>
      </c>
      <c r="GT17" s="117" t="n">
        <v>17.32</v>
      </c>
      <c r="GU17" s="117" t="n">
        <v>19.92</v>
      </c>
      <c r="GV17" s="117" t="n">
        <v>21.765</v>
      </c>
      <c r="GW17" s="117" t="n">
        <v>23.685</v>
      </c>
      <c r="GX17" s="117" t="n">
        <v>25.535</v>
      </c>
      <c r="HA17" s="35" t="n">
        <v>14</v>
      </c>
      <c r="HB17" s="35" t="n">
        <v>11</v>
      </c>
      <c r="HE17" t="inlineStr">
        <is>
          <t>U9</t>
        </is>
      </c>
      <c r="HF17" s="46" t="inlineStr">
        <is>
          <t>B25</t>
        </is>
      </c>
      <c r="HG17" s="46" t="inlineStr">
        <is>
          <t>B25</t>
        </is>
      </c>
      <c r="HH17" s="14" t="n">
        <v>28</v>
      </c>
      <c r="HL17" t="inlineStr">
        <is>
          <t>AlfaU9</t>
        </is>
      </c>
      <c r="HM17" s="46" t="inlineStr">
        <is>
          <t>B25</t>
        </is>
      </c>
      <c r="HN17" s="26" t="inlineStr">
        <is>
          <t>Santa Marta</t>
        </is>
      </c>
      <c r="HO17" s="14" t="n">
        <v>825</v>
      </c>
    </row>
    <row r="18" ht="15.5" customHeight="1">
      <c r="A18" s="10">
        <f>HOUR(G18)+1</f>
        <v/>
      </c>
      <c r="B18" s="7" t="n"/>
      <c r="C18" s="7" t="n"/>
      <c r="D18" s="85">
        <f>IFERROR(
IF(AND(OR(Planilla!B18="C",Planilla!B18="c"), VLOOKUP(E18,FD:FP,13,0)="C"), "OK",IF(AND(OR(Planilla!B18="C",Planilla!B18="c"), OR(VLOOKUP(E18,FD:FP,13,0)="B", VLOOKUP(E18,FD:FP,13,0)="A")), "DEFICIT",IF(
AND(OR(Planilla!B18="B", Planilla!B18="BPAL"), VLOOKUP(E18,FD:FP,13,0)="B"), "OK",IF(AND(OR(Planilla!B18="B", Planilla!B18="BPAL"), VLOOKUP(E18,FD:FP,13,0)="A"), "DEFICIT",IF(AND(OR(Planilla!B18="B", Planilla!B18="BPAL"), VLOOKUP(E18,FD:FP,13,0)="C"), "SOBREOFERTA",IF(AND(Planilla!B18="A", VLOOKUP(E18,FD:FP,13,0)="A"), "OK",IF(
AND(Planilla!B18="A", OR(VLOOKUP(E18,FD:FP,13,0)="B", VLOOKUP(E18,FD:FP,13,0)="C")), "SOBREOFERTA",""
))))))),"")</f>
        <v/>
      </c>
      <c r="E18" s="8" t="n"/>
      <c r="F18" s="86" t="n"/>
      <c r="G18" s="87" t="n"/>
      <c r="H18" s="88">
        <f>IF(I18="","",IF(AND((I18-G18)&gt;=TIME(0,0,0),(I18-G18)&lt;TIME(0,3,0)),"OK",IF(AND((I18-G18)&gt;=TIME(0,3,0),(I18-G18)&lt;TIME(0,5,0)),"RETRASO DE 3-5 MIN",IF(AND((I18-G18)&gt;=TIME(0,5,0),(I18-G18)&lt;TIME(0,10,0)),"RETRASO DE 5-10 MIN",IF((I18-G18)&gt;=TIME(0,10,0),"RETRASO &gt;10 MIN", IF(AND((G18-I18)&gt;=TIME(0,0,0),(G18-I18)&lt;TIME(0,3,0)),"OK",IF((G18-I18)&gt;=TIME(0,3,0),"ADELANTADO")))))))</f>
        <v/>
      </c>
      <c r="I18" s="89" t="n"/>
      <c r="J18" s="89">
        <f>IF(A18&lt;&gt;"",HLOOKUP(VALUE(TEXT(G18,"h:mm:ss")),IF($C$6="Laboral",$FZ$4:$GX$227,IF($C$6="Sábado",$FZ$231:$GX$452,$FZ$456:$GX$656)),VLOOKUP($C$4,$HF$2:$HH$99,3,0)+IF(C$5="Ida",0,1),1),"")</f>
        <v/>
      </c>
      <c r="K18" s="89">
        <f>IF(A19&lt;&gt;A18,AVERAGEIF(A$9:A18,A18,J$9:J18),"")</f>
        <v/>
      </c>
      <c r="L18" s="89">
        <f>IFERROR(IF(A19&lt;&gt;A18,AVERAGEIF(A$9:A18,A18,S$9:S18),""),"")</f>
        <v/>
      </c>
      <c r="M18" s="89">
        <f>IFERROR(IF(A19&lt;&gt;A18,AVERAGEIF(A$9:A18,A18,T$9:T18),""),"")</f>
        <v/>
      </c>
      <c r="N18" s="89">
        <f t="array" ref="N18">IFERROR(IF(A19&lt;&gt;A18,_xlfn.STDEV.P(IF(A$9:A18=A18,T$9:T18)),""),"")</f>
        <v/>
      </c>
      <c r="O18" s="89">
        <f t="array" ref="O18">IFERROR(IF(A19&lt;&gt;A18,_xlfn.STDEV.P(IF(A$9:A18=A18,S$9:S18)),""),"")</f>
        <v/>
      </c>
      <c r="P18" s="90">
        <f>IFERROR(IF(A18&lt;&gt;A19,MAX((((M18*24*60)/2)*(1+POWER((((N18*24*60) / (M18*24*60) )),2))) + ((M18*24*60 )*-0.1 + (K18*0.015)) +1,(((M18*24*60)/2)*(1+POWER((((N18*24*60) / (M18*24*60 ))),2)))),""),"")</f>
        <v/>
      </c>
      <c r="Q18" s="90">
        <f>IF(AND(O18&lt;&gt;"",L18&lt;&gt;""),IF(A18&lt;&gt;A19,((L18*24*60) / 2 ) * (1 + POWER(((O18*24*60) / (L18*24*60)),2)),""),"")</f>
        <v/>
      </c>
      <c r="R18" s="90">
        <f>IF(Q18&lt;&gt;"",MAX(P18,Q18),"")</f>
        <v/>
      </c>
      <c r="S18" s="89">
        <f>IF(I18&lt;&gt;"H. Sale Real",IF(AND(I19&lt;&gt;"",LEFT(C19,2)&lt;&gt;"Va"),IF(AND(I18&lt;&gt;"",LEFT(C18,2)&lt;&gt;"Va",I18&lt;&gt;"H. Sale Real"),IF(I19-I18&lt;0.208333333333333,I19-I18,""),IF(AND(I17&lt;&gt;"",LEFT(C17,2)&lt;&gt;"Va",I17&lt;&gt;"H. Sale Real"),IF(I19-I17&lt;0.208333333333333,I19-I17,""),IF(AND(I16&lt;&gt;"",LEFT(C16,2)&lt;&gt;"Va",I16&lt;&gt;"H. Sale Real"),IF(I19-I16&lt;0.208333333333333,I19-I16,""),IF(AND(I15&lt;&gt;"",LEFT(C15,2)&lt;&gt;"Va",I15&lt;&gt;"H. Sale Real"),IF(I19-I15&lt;0.208333333333333,I19-I15,""),IF(AND(I14&lt;&gt;"",LEFT(C14,2)&lt;&gt;"Va",I14&lt;&gt;"H. Sale Real"),IF(I19-I14&lt;0.208333333333333,I19-I14,""),""))))),""),"")</f>
        <v/>
      </c>
      <c r="T18" s="89">
        <f>IF(G18&lt;&gt;"H. Sale Real",IF(AND(G19&lt;&gt;"",LEFT(C19,2)&lt;&gt;"Va"),IF(AND(G18&lt;&gt;"",LEFT(C18,2)&lt;&gt;"Va",G18&lt;&gt;"H. Sale Real"),IF(G19-G18&lt;0.208333333333333,G19-G18,""),IF(AND(G17&lt;&gt;"",LEFT(C17,2)&lt;&gt;"Va",G17&lt;&gt;"H. Sale Real"),IF(G19-G17&lt;0.208333333333333,G19-G17,""),IF(AND(G16&lt;&gt;"",LEFT(C16,2)&lt;&gt;"Va",G16&lt;&gt;"H. Sale Real"),IF(G19-G16&lt;0.208333333333333,G19-G16,""),IF(AND(G15&lt;&gt;"",LEFT(C15,2)&lt;&gt;"Va",G15&lt;&gt;"H. Sale Real"),IF(G19-G15&lt;0.208333333333333,G19-G15,""),IF(AND(G14&lt;&gt;"",LEFT(C14,2)&lt;&gt;"Va",G14&lt;&gt;"H. Sale Real"),IF(G19-G14&lt;0.208333333333333,G19-G14,""),""))))),""),"")</f>
        <v/>
      </c>
      <c r="U18" s="87" t="n"/>
      <c r="V18" s="89" t="n"/>
      <c r="W18" s="87" t="n"/>
      <c r="X18" s="89" t="n"/>
      <c r="Y18" s="91" t="n"/>
      <c r="Z18" s="122">
        <f>IF(G18&lt;&gt;"",IF(AND(Z17&lt;&gt;"IE",P18&lt;&gt;0,R18&lt;&gt;""),IF(IFERROR((P18/R18),0) &lt;=1,IFERROR(P18/R18,""),1),""),"")</f>
        <v/>
      </c>
      <c r="AA18" s="93" t="n"/>
      <c r="AB18" s="2" t="n"/>
      <c r="AE18" s="10">
        <f>HOUR(AK18)+1</f>
        <v/>
      </c>
      <c r="AF18" s="7" t="n"/>
      <c r="AG18" s="7" t="n"/>
      <c r="AH18" s="86" t="n"/>
      <c r="AI18" s="8" t="n"/>
      <c r="AJ18" s="86" t="n"/>
      <c r="AK18" s="87" t="n"/>
      <c r="AL18" s="88">
        <f>IF(AM18="","",IF(AND((AM18-AK18)&gt;=TIME(0,0,0),(AM18-AK18)&lt;TIME(0,3,0)),"OK",IF(AND((AM18-AK18)&gt;=TIME(0,3,0),(AM18-AK18)&lt;TIME(0,5,0)),"RETRASO DE 3-5 MIN",IF(AND((AM18-AK18)&gt;=TIME(0,5,0),(AM18-AK18)&lt;TIME(0,10,0)),"RETRASO DE 5-10 MIN",IF((AM18-AK18)&gt;=TIME(0,10,0),"RETRASO &gt;10 MIN", IF(AND((AK18-AM18)&gt;=TIME(0,0,0),(AK18-AM18)&lt;TIME(0,3,0)),"OK",IF((AK18-AM18)&gt;=TIME(0,3,0),"ADELANTADO")))))))</f>
        <v/>
      </c>
      <c r="AM18" s="91" t="n"/>
      <c r="AN18" s="89">
        <f>IF(AE18&lt;&gt;"",HLOOKUP(VALUE(TEXT(AK18,"h:mm:ss")),IF($C$6="Laboral",$FZ$4:$GX$227,IF($C$6="Sábado",$FZ$231:$GX$452,$FZ$456:$GX$656)),VLOOKUP($C$4,$HF$2:$HH$99,3,0)+IF(AG$5="Ida",0,1),1),"")</f>
        <v/>
      </c>
      <c r="AO18" s="89">
        <f>IF(AE19&lt;&gt;AE18,AVERAGEIF(AE$9:AE18,AE18,AN$9:AN18),"")</f>
        <v/>
      </c>
      <c r="AP18" s="89">
        <f>IFERROR(IF(AE19&lt;&gt;AE18,AVERAGEIF(AE$9:AE18,AE18,AW$9:AW18),""),"")</f>
        <v/>
      </c>
      <c r="AQ18" s="89">
        <f>IFERROR(IF(AE19&lt;&gt;AE18,AVERAGEIF(AE$9:AE18,AE18,AX$9:AX18),""),"")</f>
        <v/>
      </c>
      <c r="AR18" s="89">
        <f t="array" ref="AR18">IFERROR(IF(AE19&lt;&gt;AE18,_xlfn.STDEV.P(IF(AE$9:AE18=AE18,AX$9:AX18)),""),"")</f>
        <v/>
      </c>
      <c r="AS18" s="89">
        <f t="array" ref="AS18">IFERROR(IF(AE19&lt;&gt;AE18,_xlfn.STDEV.P(IF(AE$9:AE18=AE18,AW$9:AW18)),""),"")</f>
        <v/>
      </c>
      <c r="AT18" s="90">
        <f>IFERROR(IF(AE18&lt;&gt;AE19,MAX((((AQ18*24*60)/2)*(1+POWER((((AR18*24*60) / (AQ18*24*60) )),2))) + ((AQ18*24*60 )*-0.1 + (AO18*0.015)) +1,(((AQ18*24*60)/2)*(1+POWER((((AR18*24*60) / (AQ18*24*60 ))),2)))),""),"")</f>
        <v/>
      </c>
      <c r="AU18" s="90">
        <f>IF(AND(AS18&lt;&gt;"",AP18&lt;&gt;""),IF(AE18&lt;&gt;AE19,((AP18*24*60) / 2 ) * (1 + POWER(((AS18*24*60) / (AP18*24*60)),2)),""),"")</f>
        <v/>
      </c>
      <c r="AV18" s="90">
        <f>IF(AU18&lt;&gt;"",MAX(AT18,AU18),"")</f>
        <v/>
      </c>
      <c r="AW18" s="89">
        <f>IF(AM18&lt;&gt;"H. Sale Real",IF(AND(AM19&lt;&gt;"",LEFT(AG19,2)&lt;&gt;"Va"),IF(AND(AM18&lt;&gt;"",LEFT(AG18,2)&lt;&gt;"Va",AM18&lt;&gt;"H. Sale Real"),IF(AM19-AM18&lt;0.208333333333333,AM19-AM18,""),IF(AND(AM17&lt;&gt;"",LEFT(AG17,2)&lt;&gt;"Va",AM17&lt;&gt;"H. Sale Real"),IF(AM19-AM17&lt;0.208333333333333,AM19-AM17,""),IF(AND(AM16&lt;&gt;"",LEFT(AG16,2)&lt;&gt;"Va",AM16&lt;&gt;"H. Sale Real"),IF(AM19-AM16&lt;0.208333333333333,AM19-AM16,""),IF(AND(AM15&lt;&gt;"",LEFT(AG15,2)&lt;&gt;"Va",AM15&lt;&gt;"H. Sale Real"),IF(AM19-AM15&lt;0.208333333333333,AM19-AM15,""),IF(AND(AM14&lt;&gt;"",LEFT(AG14,2)&lt;&gt;"Va",AM14&lt;&gt;"H. Sale Real"),IF(AM19-AM14&lt;0.208333333333333,AM19-AM14,""),""))))),""),"")</f>
        <v/>
      </c>
      <c r="AX18" s="89">
        <f>IF(AK18&lt;&gt;"H. Sale Real",IF(AND(AK19&lt;&gt;"",LEFT(AG19,2)&lt;&gt;"Va"),IF(AND(AK18&lt;&gt;"",LEFT(AG18,2)&lt;&gt;"Va",AK18&lt;&gt;"H. Sale Real"),IF(AK19-AK18&lt;0.208333333333333,AK19-AK18,""),IF(AND(AK17&lt;&gt;"",LEFT(AG17,2)&lt;&gt;"Va",AK17&lt;&gt;"H. Sale Real"),IF(AK19-AK17&lt;0.208333333333333,AK19-AK17,""),IF(AND(AK16&lt;&gt;"",LEFT(AG16,2)&lt;&gt;"NC",AK16&lt;&gt;"H. Sale Real"),IF(AK19-AK16&lt;0.208333333333333,AK19-AK16,""),IF(AND(AK15&lt;&gt;"",LEFT(AG15,2)&lt;&gt;"Va",AK15&lt;&gt;"H. Sale Real"),IF(AK19-AK15&lt;0.208333333333333,AK19-AK15,""),IF(AND(AK14&lt;&gt;"",LEFT(AG14,2)&lt;&gt;"Va",AK14&lt;&gt;"H. Sale Real"),IF(AK19-AK14&lt;0.208333333333333,AK19-AK14,""),""))))),""),"")</f>
        <v/>
      </c>
      <c r="AY18" s="87" t="n"/>
      <c r="AZ18" s="89" t="n"/>
      <c r="BA18" s="87" t="n"/>
      <c r="BB18" s="89" t="n"/>
      <c r="BC18" s="91" t="n"/>
      <c r="BD18" s="122">
        <f>IF(AK18&lt;&gt;"",IF(AND(BD17&lt;&gt;"IE",AT18&lt;&gt;0,AV18&lt;&gt;""),IF(IFERROR((AT18/AV18),0) &lt;=1,IFERROR(AT18/AV18,""),1),""),"")</f>
        <v/>
      </c>
      <c r="BE18" s="93" t="n"/>
      <c r="BF18" s="105" t="n"/>
      <c r="BI18" s="8" t="n">
        <v>6</v>
      </c>
      <c r="BJ18" s="8">
        <f>COUNTIFS($A:$A,$BI18,$C:$C,$BI$11)</f>
        <v/>
      </c>
      <c r="BK18" s="8">
        <f>BJ18-COUNTIFS($A:$A,$BI18,$C:$C,$BI$11,$H:$H,"")</f>
        <v/>
      </c>
      <c r="BL18" s="54">
        <f>IFERROR((BK18/BJ18),"")</f>
        <v/>
      </c>
      <c r="BM18" s="8">
        <f>_xlfn.XLOOKUP(BI18,$A:$A,$R:$R,"0",0,-1)</f>
        <v/>
      </c>
      <c r="BN18" s="55">
        <f>_xlfn.XLOOKUP(BI18,$A:$A,$P:$P,"0",0,-1)</f>
        <v/>
      </c>
      <c r="BO18" s="123">
        <f>_xlfn.XLOOKUP(BI18,$A:$A,$Z:$Z,"",0,-1)</f>
        <v/>
      </c>
      <c r="BR18" s="8" t="n">
        <v>6</v>
      </c>
      <c r="BS18" s="8">
        <f>COUNTIFS($AE:$AE,$BR18,$AG:$AG,$BR$11)</f>
        <v/>
      </c>
      <c r="BT18" s="8">
        <f>BS18-COUNTIFS($AE:$AE,$BR18,$AG:$AG,$BR$11,$AL:$AL,"")</f>
        <v/>
      </c>
      <c r="BU18" s="54">
        <f>IFERROR((BT18/BS18),"")</f>
        <v/>
      </c>
      <c r="BV18" s="8">
        <f>_xlfn.XLOOKUP(BR18,$AE:$AE,$AV:$AV,"0",0,-1)</f>
        <v/>
      </c>
      <c r="BW18" s="55">
        <f>_xlfn.XLOOKUP(BR18,$AE:$AE,$AT:$AT,"0",0,-1)</f>
        <v/>
      </c>
      <c r="BX18" s="123">
        <f>_xlfn.XLOOKUP(BR18,$AE:$AE,$BD:$BD,"",0,-1)</f>
        <v/>
      </c>
      <c r="FC18" t="inlineStr">
        <is>
          <t>Diccionario 1</t>
        </is>
      </c>
      <c r="FD18" s="15" t="n">
        <v>1015</v>
      </c>
      <c r="FE18" s="15" t="inlineStr">
        <is>
          <t>D8482400K2PL</t>
        </is>
      </c>
      <c r="FF18" s="15" t="inlineStr">
        <is>
          <t>YV3T7U527KA195328</t>
        </is>
      </c>
      <c r="FG18" s="15" t="inlineStr">
        <is>
          <t>Volvo</t>
        </is>
      </c>
      <c r="FH18" s="15" t="inlineStr">
        <is>
          <t>B8R</t>
        </is>
      </c>
      <c r="FI18" s="15" t="inlineStr">
        <is>
          <t>MARCOPOLO</t>
        </is>
      </c>
      <c r="FJ18" s="15" t="inlineStr">
        <is>
          <t>TORINO</t>
        </is>
      </c>
      <c r="FK18" s="15" t="n">
        <v>2019</v>
      </c>
      <c r="FL18" s="15" t="inlineStr">
        <is>
          <t>B2PAL</t>
        </is>
      </c>
      <c r="FM18" s="15" t="inlineStr">
        <is>
          <t>LOS LIBERTADORES</t>
        </is>
      </c>
      <c r="FN18" s="15" t="inlineStr">
        <is>
          <t>Los Liberadores 6450, Lote 4A</t>
        </is>
      </c>
      <c r="FO18" s="15" t="inlineStr">
        <is>
          <t>Huechuraba</t>
        </is>
      </c>
      <c r="FP18" t="inlineStr">
        <is>
          <t>B</t>
        </is>
      </c>
      <c r="FS18" s="14" t="inlineStr">
        <is>
          <t>3005 / SFWZ-39|</t>
        </is>
      </c>
      <c r="FT18" t="inlineStr">
        <is>
          <t>SFWZ-39|</t>
        </is>
      </c>
      <c r="FU18" t="inlineStr">
        <is>
          <t>SFWZ-39</t>
        </is>
      </c>
      <c r="FV18">
        <f>VLOOKUP(FU18,FD:FL,9,0)</f>
        <v/>
      </c>
      <c r="FZ18" s="51" t="n">
        <v>120</v>
      </c>
      <c r="GA18" s="117" t="n">
        <v>28.4</v>
      </c>
      <c r="GB18" s="117" t="n">
        <v>0</v>
      </c>
      <c r="GC18" s="117" t="n">
        <v>0</v>
      </c>
      <c r="GD18" s="117" t="n">
        <v>0</v>
      </c>
      <c r="GE18" s="117" t="n">
        <v>0</v>
      </c>
      <c r="GF18" s="117" t="n">
        <v>9.81</v>
      </c>
      <c r="GG18" s="117" t="n">
        <v>16.66</v>
      </c>
      <c r="GH18" s="117" t="n">
        <v>14.92</v>
      </c>
      <c r="GI18" s="117" t="n">
        <v>16.59</v>
      </c>
      <c r="GJ18" s="117" t="n">
        <v>17.285</v>
      </c>
      <c r="GK18" s="117" t="n">
        <v>17.34</v>
      </c>
      <c r="GL18" s="117" t="n">
        <v>17.32</v>
      </c>
      <c r="GM18" s="117" t="n">
        <v>16.87</v>
      </c>
      <c r="GN18" s="117" t="n">
        <v>16.99</v>
      </c>
      <c r="GO18" s="117" t="n">
        <v>16.855</v>
      </c>
      <c r="GP18" s="117" t="n">
        <v>16.6</v>
      </c>
      <c r="GQ18" s="117" t="n">
        <v>16.175</v>
      </c>
      <c r="GR18" s="117" t="n">
        <v>14.875</v>
      </c>
      <c r="GS18" s="117" t="n">
        <v>15.675</v>
      </c>
      <c r="GT18" s="117" t="n">
        <v>17.97</v>
      </c>
      <c r="GU18" s="117" t="n">
        <v>19.545</v>
      </c>
      <c r="GV18" s="117" t="n">
        <v>20.605</v>
      </c>
      <c r="GW18" s="117" t="n">
        <v>23.055</v>
      </c>
      <c r="GX18" s="117" t="n">
        <v>25.725</v>
      </c>
      <c r="HA18" s="35" t="n">
        <v>15</v>
      </c>
      <c r="HB18" s="35" t="n">
        <v>12</v>
      </c>
      <c r="HE18" t="inlineStr">
        <is>
          <t>U9</t>
        </is>
      </c>
      <c r="HF18" s="46" t="inlineStr">
        <is>
          <t>B26</t>
        </is>
      </c>
      <c r="HG18" s="46" t="inlineStr">
        <is>
          <t>B26</t>
        </is>
      </c>
      <c r="HH18" s="14" t="n">
        <v>29</v>
      </c>
      <c r="HL18" t="inlineStr">
        <is>
          <t>AlfaU9</t>
        </is>
      </c>
      <c r="HM18" s="46" t="inlineStr">
        <is>
          <t>B26</t>
        </is>
      </c>
      <c r="HN18" s="26" t="inlineStr">
        <is>
          <t>Santa Marta</t>
        </is>
      </c>
      <c r="HO18" s="14" t="n">
        <v>826</v>
      </c>
      <c r="IB18" s="71" t="inlineStr">
        <is>
          <t>NO Valida Servicio Sentido Correcto</t>
        </is>
      </c>
    </row>
    <row r="19" ht="15.5" customHeight="1">
      <c r="A19" s="10">
        <f>HOUR(G19)+1</f>
        <v/>
      </c>
      <c r="B19" s="7" t="n"/>
      <c r="C19" s="7" t="n"/>
      <c r="D19" s="85">
        <f>IFERROR(
IF(AND(OR(Planilla!B19="C",Planilla!B19="c"), VLOOKUP(E19,FD:FP,13,0)="C"), "OK",IF(AND(OR(Planilla!B19="C",Planilla!B19="c"), OR(VLOOKUP(E19,FD:FP,13,0)="B", VLOOKUP(E19,FD:FP,13,0)="A")), "DEFICIT",IF(
AND(OR(Planilla!B19="B", Planilla!B19="BPAL"), VLOOKUP(E19,FD:FP,13,0)="B"), "OK",IF(AND(OR(Planilla!B19="B", Planilla!B19="BPAL"), VLOOKUP(E19,FD:FP,13,0)="A"), "DEFICIT",IF(AND(OR(Planilla!B19="B", Planilla!B19="BPAL"), VLOOKUP(E19,FD:FP,13,0)="C"), "SOBREOFERTA",IF(AND(Planilla!B19="A", VLOOKUP(E19,FD:FP,13,0)="A"), "OK",IF(
AND(Planilla!B19="A", OR(VLOOKUP(E19,FD:FP,13,0)="B", VLOOKUP(E19,FD:FP,13,0)="C")), "SOBREOFERTA",""
))))))),"")</f>
        <v/>
      </c>
      <c r="E19" s="8" t="n"/>
      <c r="F19" s="86" t="n"/>
      <c r="G19" s="87" t="n"/>
      <c r="H19" s="88">
        <f>IF(I19="","",IF(AND((I19-G19)&gt;=TIME(0,0,0),(I19-G19)&lt;TIME(0,3,0)),"OK",IF(AND((I19-G19)&gt;=TIME(0,3,0),(I19-G19)&lt;TIME(0,5,0)),"RETRASO DE 3-5 MIN",IF(AND((I19-G19)&gt;=TIME(0,5,0),(I19-G19)&lt;TIME(0,10,0)),"RETRASO DE 5-10 MIN",IF((I19-G19)&gt;=TIME(0,10,0),"RETRASO &gt;10 MIN", IF(AND((G19-I19)&gt;=TIME(0,0,0),(G19-I19)&lt;TIME(0,3,0)),"OK",IF((G19-I19)&gt;=TIME(0,3,0),"ADELANTADO")))))))</f>
        <v/>
      </c>
      <c r="I19" s="89" t="n"/>
      <c r="J19" s="89">
        <f>IF(A19&lt;&gt;"",HLOOKUP(VALUE(TEXT(G19,"h:mm:ss")),IF($C$6="Laboral",$FZ$4:$GX$227,IF($C$6="Sábado",$FZ$231:$GX$452,$FZ$456:$GX$656)),VLOOKUP($C$4,$HF$2:$HH$99,3,0)+IF(C$5="Ida",0,1),1),"")</f>
        <v/>
      </c>
      <c r="K19" s="89">
        <f>IF(A20&lt;&gt;A19,AVERAGEIF(A$9:A19,A19,J$9:J19),"")</f>
        <v/>
      </c>
      <c r="L19" s="89">
        <f>IFERROR(IF(A20&lt;&gt;A19,AVERAGEIF(A$9:A19,A19,S$9:S19),""),"")</f>
        <v/>
      </c>
      <c r="M19" s="89">
        <f>IFERROR(IF(A20&lt;&gt;A19,AVERAGEIF(A$9:A19,A19,T$9:T19),""),"")</f>
        <v/>
      </c>
      <c r="N19" s="89">
        <f t="array" ref="N19">IFERROR(IF(A20&lt;&gt;A19,_xlfn.STDEV.P(IF(A$9:A19=A19,T$9:T19)),""),"")</f>
        <v/>
      </c>
      <c r="O19" s="89">
        <f t="array" ref="O19">IFERROR(IF(A20&lt;&gt;A19,_xlfn.STDEV.P(IF(A$9:A19=A19,S$9:S19)),""),"")</f>
        <v/>
      </c>
      <c r="P19" s="90">
        <f>IFERROR(IF(A19&lt;&gt;A20,MAX((((M19*24*60)/2)*(1+POWER((((N19*24*60) / (M19*24*60) )),2))) + ((M19*24*60 )*-0.1 + (K19*0.015)) +1,(((M19*24*60)/2)*(1+POWER((((N19*24*60) / (M19*24*60 ))),2)))),""),"")</f>
        <v/>
      </c>
      <c r="Q19" s="90">
        <f>IF(AND(O19&lt;&gt;"",L19&lt;&gt;""),IF(A19&lt;&gt;A20,((L19*24*60) / 2 ) * (1 + POWER(((O19*24*60) / (L19*24*60)),2)),""),"")</f>
        <v/>
      </c>
      <c r="R19" s="90">
        <f>IF(Q19&lt;&gt;"",MAX(P19,Q19),"")</f>
        <v/>
      </c>
      <c r="S19" s="89">
        <f>IF(I19&lt;&gt;"H. Sale Real",IF(AND(I20&lt;&gt;"",LEFT(C20,2)&lt;&gt;"Va"),IF(AND(I19&lt;&gt;"",LEFT(C19,2)&lt;&gt;"Va",I19&lt;&gt;"H. Sale Real"),IF(I20-I19&lt;0.208333333333333,I20-I19,""),IF(AND(I18&lt;&gt;"",LEFT(C18,2)&lt;&gt;"Va",I18&lt;&gt;"H. Sale Real"),IF(I20-I18&lt;0.208333333333333,I20-I18,""),IF(AND(I17&lt;&gt;"",LEFT(C17,2)&lt;&gt;"Va",I17&lt;&gt;"H. Sale Real"),IF(I20-I17&lt;0.208333333333333,I20-I17,""),IF(AND(I16&lt;&gt;"",LEFT(C16,2)&lt;&gt;"Va",I16&lt;&gt;"H. Sale Real"),IF(I20-I16&lt;0.208333333333333,I20-I16,""),IF(AND(I15&lt;&gt;"",LEFT(C15,2)&lt;&gt;"Va",I15&lt;&gt;"H. Sale Real"),IF(I20-I15&lt;0.208333333333333,I20-I15,""),""))))),""),"")</f>
        <v/>
      </c>
      <c r="T19" s="89">
        <f>IF(G19&lt;&gt;"H. Sale Real",IF(AND(G20&lt;&gt;"",LEFT(C20,2)&lt;&gt;"Va"),IF(AND(G19&lt;&gt;"",LEFT(C19,2)&lt;&gt;"Va",G19&lt;&gt;"H. Sale Real"),IF(G20-G19&lt;0.208333333333333,G20-G19,""),IF(AND(G18&lt;&gt;"",LEFT(C18,2)&lt;&gt;"Va",G18&lt;&gt;"H. Sale Real"),IF(G20-G18&lt;0.208333333333333,G20-G18,""),IF(AND(G17&lt;&gt;"",LEFT(C17,2)&lt;&gt;"Va",G17&lt;&gt;"H. Sale Real"),IF(G20-G17&lt;0.208333333333333,G20-G17,""),IF(AND(G16&lt;&gt;"",LEFT(C16,2)&lt;&gt;"Va",G16&lt;&gt;"H. Sale Real"),IF(G20-G16&lt;0.208333333333333,G20-G16,""),IF(AND(G15&lt;&gt;"",LEFT(C15,2)&lt;&gt;"Va",G15&lt;&gt;"H. Sale Real"),IF(G20-G15&lt;0.208333333333333,G20-G15,""),""))))),""),"")</f>
        <v/>
      </c>
      <c r="U19" s="87" t="n"/>
      <c r="V19" s="89" t="n"/>
      <c r="W19" s="87" t="n"/>
      <c r="X19" s="89" t="n"/>
      <c r="Y19" s="91" t="n"/>
      <c r="Z19" s="122">
        <f>IF(G19&lt;&gt;"",IF(AND(Z18&lt;&gt;"IE",P19&lt;&gt;0,R19&lt;&gt;""),IF(IFERROR((P19/R19),0) &lt;=1,IFERROR(P19/R19,""),1),""),"")</f>
        <v/>
      </c>
      <c r="AA19" s="93" t="n"/>
      <c r="AB19" s="2" t="n"/>
      <c r="AE19" s="10">
        <f>HOUR(AK19)+1</f>
        <v/>
      </c>
      <c r="AF19" s="7" t="n"/>
      <c r="AG19" s="7" t="n"/>
      <c r="AH19" s="86" t="n"/>
      <c r="AI19" s="8" t="n"/>
      <c r="AJ19" s="86" t="n"/>
      <c r="AK19" s="87" t="n"/>
      <c r="AL19" s="88">
        <f>IF(AM19="","",IF(AND((AM19-AK19)&gt;=TIME(0,0,0),(AM19-AK19)&lt;TIME(0,3,0)),"OK",IF(AND((AM19-AK19)&gt;=TIME(0,3,0),(AM19-AK19)&lt;TIME(0,5,0)),"RETRASO DE 3-5 MIN",IF(AND((AM19-AK19)&gt;=TIME(0,5,0),(AM19-AK19)&lt;TIME(0,10,0)),"RETRASO DE 5-10 MIN",IF((AM19-AK19)&gt;=TIME(0,10,0),"RETRASO &gt;10 MIN", IF(AND((AK19-AM19)&gt;=TIME(0,0,0),(AK19-AM19)&lt;TIME(0,3,0)),"OK",IF((AK19-AM19)&gt;=TIME(0,3,0),"ADELANTADO")))))))</f>
        <v/>
      </c>
      <c r="AM19" s="91" t="n"/>
      <c r="AN19" s="89">
        <f>IF(AE19&lt;&gt;"",HLOOKUP(VALUE(TEXT(AK19,"h:mm:ss")),IF($C$6="Laboral",$FZ$4:$GX$227,IF($C$6="Sábado",$FZ$231:$GX$452,$FZ$456:$GX$656)),VLOOKUP($C$4,$HF$2:$HH$99,3,0)+IF(AG$5="Ida",0,1),1),"")</f>
        <v/>
      </c>
      <c r="AO19" s="89">
        <f>IF(AE20&lt;&gt;AE19,AVERAGEIF(AE$9:AE19,AE19,AN$9:AN19),"")</f>
        <v/>
      </c>
      <c r="AP19" s="89">
        <f>IFERROR(IF(AE20&lt;&gt;AE19,AVERAGEIF(AE$9:AE19,AE19,AW$9:AW19),""),"")</f>
        <v/>
      </c>
      <c r="AQ19" s="89">
        <f>IFERROR(IF(AE20&lt;&gt;AE19,AVERAGEIF(AE$9:AE19,AE19,AX$9:AX19),""),"")</f>
        <v/>
      </c>
      <c r="AR19" s="89">
        <f t="array" ref="AR19">IFERROR(IF(AE20&lt;&gt;AE19,_xlfn.STDEV.P(IF(AE$9:AE19=AE19,AX$9:AX19)),""),"")</f>
        <v/>
      </c>
      <c r="AS19" s="89">
        <f t="array" ref="AS19">IFERROR(IF(AE20&lt;&gt;AE19,_xlfn.STDEV.P(IF(AE$9:AE19=AE19,AW$9:AW19)),""),"")</f>
        <v/>
      </c>
      <c r="AT19" s="90">
        <f>IFERROR(IF(AE19&lt;&gt;AE20,MAX((((AQ19*24*60)/2)*(1+POWER((((AR19*24*60) / (AQ19*24*60) )),2))) + ((AQ19*24*60 )*-0.1 + (AO19*0.015)) +1,(((AQ19*24*60)/2)*(1+POWER((((AR19*24*60) / (AQ19*24*60 ))),2)))),""),"")</f>
        <v/>
      </c>
      <c r="AU19" s="90">
        <f>IF(AND(AS19&lt;&gt;"",AP19&lt;&gt;""),IF(AE19&lt;&gt;AE20,((AP19*24*60) / 2 ) * (1 + POWER(((AS19*24*60) / (AP19*24*60)),2)),""),"")</f>
        <v/>
      </c>
      <c r="AV19" s="90">
        <f>IF(AU19&lt;&gt;"",MAX(AT19,AU19),"")</f>
        <v/>
      </c>
      <c r="AW19" s="89">
        <f>IF(AM19&lt;&gt;"H. Sale Real",IF(AND(AM20&lt;&gt;"",LEFT(AG20,2)&lt;&gt;"Va"),IF(AND(AM19&lt;&gt;"",LEFT(AG19,2)&lt;&gt;"Va",AM19&lt;&gt;"H. Sale Real"),IF(AM20-AM19&lt;0.208333333333333,AM20-AM19,""),IF(AND(AM18&lt;&gt;"",LEFT(AG18,2)&lt;&gt;"Va",AM18&lt;&gt;"H. Sale Real"),IF(AM20-AM18&lt;0.208333333333333,AM20-AM18,""),IF(AND(AM17&lt;&gt;"",LEFT(AG17,2)&lt;&gt;"Va",AM17&lt;&gt;"H. Sale Real"),IF(AM20-AM17&lt;0.208333333333333,AM20-AM17,""),IF(AND(AM16&lt;&gt;"",LEFT(AG16,2)&lt;&gt;"Va",AM16&lt;&gt;"H. Sale Real"),IF(AM20-AM16&lt;0.208333333333333,AM20-AM16,""),IF(AND(AM15&lt;&gt;"",LEFT(AG15,2)&lt;&gt;"Va",AM15&lt;&gt;"H. Sale Real"),IF(AM20-AM15&lt;0.208333333333333,AM20-AM15,""),""))))),""),"")</f>
        <v/>
      </c>
      <c r="AX19" s="89">
        <f>IF(AK19&lt;&gt;"H. Sale Real",IF(AND(AK20&lt;&gt;"",LEFT(AG20,2)&lt;&gt;"Va"),IF(AND(AK19&lt;&gt;"",LEFT(AG19,2)&lt;&gt;"Va",AK19&lt;&gt;"H. Sale Real"),IF(AK20-AK19&lt;0.208333333333333,AK20-AK19,""),IF(AND(AK18&lt;&gt;"",LEFT(AG18,2)&lt;&gt;"Va",AK18&lt;&gt;"H. Sale Real"),IF(AK20-AK18&lt;0.208333333333333,AK20-AK18,""),IF(AND(AK17&lt;&gt;"",LEFT(AG17,2)&lt;&gt;"NC",AK17&lt;&gt;"H. Sale Real"),IF(AK20-AK17&lt;0.208333333333333,AK20-AK17,""),IF(AND(AK16&lt;&gt;"",LEFT(AG16,2)&lt;&gt;"Va",AK16&lt;&gt;"H. Sale Real"),IF(AK20-AK16&lt;0.208333333333333,AK20-AK16,""),IF(AND(AK15&lt;&gt;"",LEFT(AG15,2)&lt;&gt;"Va",AK15&lt;&gt;"H. Sale Real"),IF(AK20-AK15&lt;0.208333333333333,AK20-AK15,""),""))))),""),"")</f>
        <v/>
      </c>
      <c r="AY19" s="87" t="n"/>
      <c r="AZ19" s="89" t="n"/>
      <c r="BA19" s="87" t="n"/>
      <c r="BB19" s="89" t="n"/>
      <c r="BC19" s="91" t="n"/>
      <c r="BD19" s="122">
        <f>IF(AK19&lt;&gt;"",IF(AND(BD18&lt;&gt;"IE",AT19&lt;&gt;0,AV19&lt;&gt;""),IF(IFERROR((AT19/AV19),0) &lt;=1,IFERROR(AT19/AV19,""),1),""),"")</f>
        <v/>
      </c>
      <c r="BE19" s="93" t="n"/>
      <c r="BF19" s="105" t="n"/>
      <c r="BI19" s="8" t="n">
        <v>7</v>
      </c>
      <c r="BJ19" s="8">
        <f>COUNTIFS($A:$A,$BI19,$C:$C,$BI$11)</f>
        <v/>
      </c>
      <c r="BK19" s="8">
        <f>BJ19-COUNTIFS($A:$A,$BI19,$C:$C,$BI$11,$H:$H,"")</f>
        <v/>
      </c>
      <c r="BL19" s="54">
        <f>IFERROR((BK19/BJ19),"")</f>
        <v/>
      </c>
      <c r="BM19" s="8">
        <f>_xlfn.XLOOKUP(BI19,$A:$A,$R:$R,"0",0,-1)</f>
        <v/>
      </c>
      <c r="BN19" s="55">
        <f>_xlfn.XLOOKUP(BI19,$A:$A,$P:$P,"0",0,-1)</f>
        <v/>
      </c>
      <c r="BO19" s="123">
        <f>_xlfn.XLOOKUP(BI19,$A:$A,$Z:$Z,"",0,-1)</f>
        <v/>
      </c>
      <c r="BR19" s="8" t="n">
        <v>7</v>
      </c>
      <c r="BS19" s="8">
        <f>COUNTIFS($AE:$AE,$BR19,$AG:$AG,$BR$11)</f>
        <v/>
      </c>
      <c r="BT19" s="8">
        <f>BS19-COUNTIFS($AE:$AE,$BR19,$AG:$AG,$BR$11,$AL:$AL,"")</f>
        <v/>
      </c>
      <c r="BU19" s="54">
        <f>IFERROR((BT19/BS19),"")</f>
        <v/>
      </c>
      <c r="BV19" s="8">
        <f>_xlfn.XLOOKUP(BR19,$AE:$AE,$AV:$AV,"0",0,-1)</f>
        <v/>
      </c>
      <c r="BW19" s="55">
        <f>_xlfn.XLOOKUP(BR19,$AE:$AE,$AT:$AT,"0",0,-1)</f>
        <v/>
      </c>
      <c r="BX19" s="123">
        <f>_xlfn.XLOOKUP(BR19,$AE:$AE,$BD:$BD,"",0,-1)</f>
        <v/>
      </c>
      <c r="FC19" t="inlineStr">
        <is>
          <t>Diccionario 1</t>
        </is>
      </c>
      <c r="FD19" s="15" t="n">
        <v>1016</v>
      </c>
      <c r="FE19" s="15" t="inlineStr">
        <is>
          <t>D8482554K2PL</t>
        </is>
      </c>
      <c r="FF19" s="15" t="inlineStr">
        <is>
          <t>YV3T7U520KA195350</t>
        </is>
      </c>
      <c r="FG19" s="15" t="inlineStr">
        <is>
          <t>Volvo</t>
        </is>
      </c>
      <c r="FH19" s="15" t="inlineStr">
        <is>
          <t>B8R</t>
        </is>
      </c>
      <c r="FI19" s="15" t="inlineStr">
        <is>
          <t>MARCOPOLO</t>
        </is>
      </c>
      <c r="FJ19" s="15" t="inlineStr">
        <is>
          <t>TORINO</t>
        </is>
      </c>
      <c r="FK19" s="15" t="n">
        <v>2019</v>
      </c>
      <c r="FL19" s="15" t="inlineStr">
        <is>
          <t>B2PAL</t>
        </is>
      </c>
      <c r="FM19" s="15" t="inlineStr">
        <is>
          <t>LOS LIBERTADORES</t>
        </is>
      </c>
      <c r="FN19" s="15" t="inlineStr">
        <is>
          <t>Los Liberadores 6450, Lote 4A</t>
        </is>
      </c>
      <c r="FO19" s="15" t="inlineStr">
        <is>
          <t>Huechuraba</t>
        </is>
      </c>
      <c r="FP19" t="inlineStr">
        <is>
          <t>B</t>
        </is>
      </c>
      <c r="FS19" s="14" t="inlineStr">
        <is>
          <t>3005 / SFWZ-39|</t>
        </is>
      </c>
      <c r="FT19" t="inlineStr">
        <is>
          <t>SFWZ-39|</t>
        </is>
      </c>
      <c r="FU19" t="inlineStr">
        <is>
          <t>SFWZ-39</t>
        </is>
      </c>
      <c r="FV19">
        <f>VLOOKUP(FU19,FD:FL,9,0)</f>
        <v/>
      </c>
      <c r="FZ19" s="51" t="inlineStr">
        <is>
          <t>B13</t>
        </is>
      </c>
      <c r="GA19" s="117" t="n">
        <v>0</v>
      </c>
      <c r="GB19" s="117" t="n">
        <v>0</v>
      </c>
      <c r="GC19" s="117" t="n">
        <v>0</v>
      </c>
      <c r="GD19" s="117" t="n">
        <v>0</v>
      </c>
      <c r="GE19" s="117" t="n">
        <v>0</v>
      </c>
      <c r="GF19" s="117" t="n">
        <v>10.95</v>
      </c>
      <c r="GG19" s="117" t="n">
        <v>17.215</v>
      </c>
      <c r="GH19" s="117" t="n">
        <v>15.91</v>
      </c>
      <c r="GI19" s="117" t="n">
        <v>20.64</v>
      </c>
      <c r="GJ19" s="117" t="n">
        <v>21.68</v>
      </c>
      <c r="GK19" s="117" t="n">
        <v>21.71</v>
      </c>
      <c r="GL19" s="117" t="n">
        <v>21.15</v>
      </c>
      <c r="GM19" s="117" t="n">
        <v>20.03</v>
      </c>
      <c r="GN19" s="117" t="n">
        <v>19.74</v>
      </c>
      <c r="GO19" s="117" t="n">
        <v>19.425</v>
      </c>
      <c r="GP19" s="117" t="n">
        <v>18.245</v>
      </c>
      <c r="GQ19" s="117" t="n">
        <v>17.18</v>
      </c>
      <c r="GR19" s="117" t="n">
        <v>15.395</v>
      </c>
      <c r="GS19" s="117" t="n">
        <v>16.515</v>
      </c>
      <c r="GT19" s="117" t="n">
        <v>19.52</v>
      </c>
      <c r="GU19" s="117" t="n">
        <v>21.55</v>
      </c>
      <c r="GV19" s="117" t="n">
        <v>23.33</v>
      </c>
      <c r="GW19" s="117" t="n">
        <v>25.055</v>
      </c>
      <c r="GX19" s="117" t="n">
        <v>26.63</v>
      </c>
      <c r="HA19" s="35" t="n">
        <v>16</v>
      </c>
      <c r="HB19" s="35" t="n">
        <v>13</v>
      </c>
      <c r="HE19" t="inlineStr">
        <is>
          <t>U9</t>
        </is>
      </c>
      <c r="HF19" s="46" t="inlineStr">
        <is>
          <t>B28</t>
        </is>
      </c>
      <c r="HG19" s="46" t="inlineStr">
        <is>
          <t>B28</t>
        </is>
      </c>
      <c r="HH19" s="14" t="n">
        <v>31</v>
      </c>
      <c r="HL19" t="inlineStr">
        <is>
          <t>AlfaU9</t>
        </is>
      </c>
      <c r="HM19" s="46" t="inlineStr">
        <is>
          <t>B28</t>
        </is>
      </c>
      <c r="HN19" s="26" t="inlineStr">
        <is>
          <t>Condell</t>
        </is>
      </c>
      <c r="HO19" s="14" t="n">
        <v>828</v>
      </c>
      <c r="IB19" s="72" t="inlineStr">
        <is>
          <t>Congestión en Ruta</t>
        </is>
      </c>
    </row>
    <row r="20" ht="15.5" customHeight="1">
      <c r="A20" s="10">
        <f>HOUR(G20)+1</f>
        <v/>
      </c>
      <c r="B20" s="7" t="n"/>
      <c r="C20" s="7" t="n"/>
      <c r="D20" s="85">
        <f>IFERROR(
IF(AND(OR(Planilla!B20="C",Planilla!B20="c"), VLOOKUP(E20,FD:FP,13,0)="C"), "OK",IF(AND(OR(Planilla!B20="C",Planilla!B20="c"), OR(VLOOKUP(E20,FD:FP,13,0)="B", VLOOKUP(E20,FD:FP,13,0)="A")), "DEFICIT",IF(
AND(OR(Planilla!B20="B", Planilla!B20="BPAL"), VLOOKUP(E20,FD:FP,13,0)="B"), "OK",IF(AND(OR(Planilla!B20="B", Planilla!B20="BPAL"), VLOOKUP(E20,FD:FP,13,0)="A"), "DEFICIT",IF(AND(OR(Planilla!B20="B", Planilla!B20="BPAL"), VLOOKUP(E20,FD:FP,13,0)="C"), "SOBREOFERTA",IF(AND(Planilla!B20="A", VLOOKUP(E20,FD:FP,13,0)="A"), "OK",IF(
AND(Planilla!B20="A", OR(VLOOKUP(E20,FD:FP,13,0)="B", VLOOKUP(E20,FD:FP,13,0)="C")), "SOBREOFERTA",""
))))))),"")</f>
        <v/>
      </c>
      <c r="E20" s="8" t="n"/>
      <c r="F20" s="86" t="n"/>
      <c r="G20" s="87" t="n"/>
      <c r="H20" s="88">
        <f>IF(I20="","",IF(AND((I20-G20)&gt;=TIME(0,0,0),(I20-G20)&lt;TIME(0,3,0)),"OK",IF(AND((I20-G20)&gt;=TIME(0,3,0),(I20-G20)&lt;TIME(0,5,0)),"RETRASO DE 3-5 MIN",IF(AND((I20-G20)&gt;=TIME(0,5,0),(I20-G20)&lt;TIME(0,10,0)),"RETRASO DE 5-10 MIN",IF((I20-G20)&gt;=TIME(0,10,0),"RETRASO &gt;10 MIN", IF(AND((G20-I20)&gt;=TIME(0,0,0),(G20-I20)&lt;TIME(0,3,0)),"OK",IF((G20-I20)&gt;=TIME(0,3,0),"ADELANTADO")))))))</f>
        <v/>
      </c>
      <c r="I20" s="89" t="n"/>
      <c r="J20" s="89">
        <f>IF(A20&lt;&gt;"",HLOOKUP(VALUE(TEXT(G20,"h:mm:ss")),IF($C$6="Laboral",$FZ$4:$GX$227,IF($C$6="Sábado",$FZ$231:$GX$452,$FZ$456:$GX$656)),VLOOKUP($C$4,$HF$2:$HH$99,3,0)+IF(C$5="Ida",0,1),1),"")</f>
        <v/>
      </c>
      <c r="K20" s="89">
        <f>IF(A21&lt;&gt;A20,AVERAGEIF(A$9:A20,A20,J$9:J20),"")</f>
        <v/>
      </c>
      <c r="L20" s="89">
        <f>IFERROR(IF(A21&lt;&gt;A20,AVERAGEIF(A$9:A20,A20,S$9:S20),""),"")</f>
        <v/>
      </c>
      <c r="M20" s="89">
        <f>IFERROR(IF(A21&lt;&gt;A20,AVERAGEIF(A$9:A20,A20,T$9:T20),""),"")</f>
        <v/>
      </c>
      <c r="N20" s="89">
        <f t="array" ref="N20">IFERROR(IF(A21&lt;&gt;A20,_xlfn.STDEV.P(IF(A$9:A20=A20,T$9:T20)),""),"")</f>
        <v/>
      </c>
      <c r="O20" s="89">
        <f t="array" ref="O20">IFERROR(IF(A21&lt;&gt;A20,_xlfn.STDEV.P(IF(A$9:A20=A20,S$9:S20)),""),"")</f>
        <v/>
      </c>
      <c r="P20" s="90">
        <f>IFERROR(IF(A20&lt;&gt;A21,MAX((((M20*24*60)/2)*(1+POWER((((N20*24*60) / (M20*24*60) )),2))) + ((M20*24*60 )*-0.1 + (K20*0.015)) +1,(((M20*24*60)/2)*(1+POWER((((N20*24*60) / (M20*24*60 ))),2)))),""),"")</f>
        <v/>
      </c>
      <c r="Q20" s="90">
        <f>IF(AND(O20&lt;&gt;"",L20&lt;&gt;""),IF(A20&lt;&gt;A21,((L20*24*60) / 2 ) * (1 + POWER(((O20*24*60) / (L20*24*60)),2)),""),"")</f>
        <v/>
      </c>
      <c r="R20" s="90">
        <f>IF(Q20&lt;&gt;"",MAX(P20,Q20),"")</f>
        <v/>
      </c>
      <c r="S20" s="89">
        <f>IF(I20&lt;&gt;"H. Sale Real",IF(AND(I21&lt;&gt;"",LEFT(C21,2)&lt;&gt;"Va"),IF(AND(I20&lt;&gt;"",LEFT(C20,2)&lt;&gt;"Va",I20&lt;&gt;"H. Sale Real"),IF(I21-I20&lt;0.208333333333333,I21-I20,""),IF(AND(I19&lt;&gt;"",LEFT(C19,2)&lt;&gt;"Va",I19&lt;&gt;"H. Sale Real"),IF(I21-I19&lt;0.208333333333333,I21-I19,""),IF(AND(I18&lt;&gt;"",LEFT(C18,2)&lt;&gt;"Va",I18&lt;&gt;"H. Sale Real"),IF(I21-I18&lt;0.208333333333333,I21-I18,""),IF(AND(I17&lt;&gt;"",LEFT(C17,2)&lt;&gt;"Va",I17&lt;&gt;"H. Sale Real"),IF(I21-I17&lt;0.208333333333333,I21-I17,""),IF(AND(I16&lt;&gt;"",LEFT(C16,2)&lt;&gt;"Va",I16&lt;&gt;"H. Sale Real"),IF(I21-I16&lt;0.208333333333333,I21-I16,""),""))))),""),"")</f>
        <v/>
      </c>
      <c r="T20" s="89">
        <f>IF(G20&lt;&gt;"H. Sale Real",IF(AND(G21&lt;&gt;"",LEFT(C21,2)&lt;&gt;"Va"),IF(AND(G20&lt;&gt;"",LEFT(C20,2)&lt;&gt;"Va",G20&lt;&gt;"H. Sale Real"),IF(G21-G20&lt;0.208333333333333,G21-G20,""),IF(AND(G19&lt;&gt;"",LEFT(C19,2)&lt;&gt;"Va",G19&lt;&gt;"H. Sale Real"),IF(G21-G19&lt;0.208333333333333,G21-G19,""),IF(AND(G18&lt;&gt;"",LEFT(C18,2)&lt;&gt;"Va",G18&lt;&gt;"H. Sale Real"),IF(G21-G18&lt;0.208333333333333,G21-G18,""),IF(AND(G17&lt;&gt;"",LEFT(C17,2)&lt;&gt;"Va",G17&lt;&gt;"H. Sale Real"),IF(G21-G17&lt;0.208333333333333,G21-G17,""),IF(AND(G16&lt;&gt;"",LEFT(C16,2)&lt;&gt;"Va",G16&lt;&gt;"H. Sale Real"),IF(G21-G16&lt;0.208333333333333,G21-G16,""),""))))),""),"")</f>
        <v/>
      </c>
      <c r="U20" s="87" t="n"/>
      <c r="V20" s="89" t="n"/>
      <c r="W20" s="87" t="n"/>
      <c r="X20" s="89" t="n"/>
      <c r="Y20" s="91" t="n"/>
      <c r="Z20" s="122">
        <f>IF(G20&lt;&gt;"",IF(AND(Z19&lt;&gt;"IE",P20&lt;&gt;0,R20&lt;&gt;""),IF(IFERROR((P20/R20),0) &lt;=1,IFERROR(P20/R20,""),1),""),"")</f>
        <v/>
      </c>
      <c r="AA20" s="93" t="n"/>
      <c r="AB20" s="2" t="n"/>
      <c r="AE20" s="10">
        <f>HOUR(AK20)+1</f>
        <v/>
      </c>
      <c r="AF20" s="7" t="n"/>
      <c r="AG20" s="7" t="n"/>
      <c r="AH20" s="86" t="n"/>
      <c r="AI20" s="8" t="n"/>
      <c r="AJ20" s="86" t="n"/>
      <c r="AK20" s="87" t="n"/>
      <c r="AL20" s="88">
        <f>IF(AM20="","",IF(AND((AM20-AK20)&gt;=TIME(0,0,0),(AM20-AK20)&lt;TIME(0,3,0)),"OK",IF(AND((AM20-AK20)&gt;=TIME(0,3,0),(AM20-AK20)&lt;TIME(0,5,0)),"RETRASO DE 3-5 MIN",IF(AND((AM20-AK20)&gt;=TIME(0,5,0),(AM20-AK20)&lt;TIME(0,10,0)),"RETRASO DE 5-10 MIN",IF((AM20-AK20)&gt;=TIME(0,10,0),"RETRASO &gt;10 MIN", IF(AND((AK20-AM20)&gt;=TIME(0,0,0),(AK20-AM20)&lt;TIME(0,3,0)),"OK",IF((AK20-AM20)&gt;=TIME(0,3,0),"ADELANTADO")))))))</f>
        <v/>
      </c>
      <c r="AM20" s="91" t="n"/>
      <c r="AN20" s="89">
        <f>IF(AE20&lt;&gt;"",HLOOKUP(VALUE(TEXT(AK20,"h:mm:ss")),IF($C$6="Laboral",$FZ$4:$GX$227,IF($C$6="Sábado",$FZ$231:$GX$452,$FZ$456:$GX$656)),VLOOKUP($C$4,$HF$2:$HH$99,3,0)+IF(AG$5="Ida",0,1),1),"")</f>
        <v/>
      </c>
      <c r="AO20" s="89">
        <f>IF(AE21&lt;&gt;AE20,AVERAGEIF(AE$9:AE20,AE20,AN$9:AN20),"")</f>
        <v/>
      </c>
      <c r="AP20" s="89">
        <f>IFERROR(IF(AE21&lt;&gt;AE20,AVERAGEIF(AE$9:AE20,AE20,AW$9:AW20),""),"")</f>
        <v/>
      </c>
      <c r="AQ20" s="89">
        <f>IFERROR(IF(AE21&lt;&gt;AE20,AVERAGEIF(AE$9:AE20,AE20,AX$9:AX20),""),"")</f>
        <v/>
      </c>
      <c r="AR20" s="89">
        <f t="array" ref="AR20">IFERROR(IF(AE21&lt;&gt;AE20,_xlfn.STDEV.P(IF(AE$9:AE20=AE20,AX$9:AX20)),""),"")</f>
        <v/>
      </c>
      <c r="AS20" s="89">
        <f t="array" ref="AS20">IFERROR(IF(AE21&lt;&gt;AE20,_xlfn.STDEV.P(IF(AE$9:AE20=AE20,AW$9:AW20)),""),"")</f>
        <v/>
      </c>
      <c r="AT20" s="90">
        <f>IFERROR(IF(AE20&lt;&gt;AE21,MAX((((AQ20*24*60)/2)*(1+POWER((((AR20*24*60) / (AQ20*24*60) )),2))) + ((AQ20*24*60 )*-0.1 + (AO20*0.015)) +1,(((AQ20*24*60)/2)*(1+POWER((((AR20*24*60) / (AQ20*24*60 ))),2)))),""),"")</f>
        <v/>
      </c>
      <c r="AU20" s="90">
        <f>IF(AND(AS20&lt;&gt;"",AP20&lt;&gt;""),IF(AE20&lt;&gt;AE21,((AP20*24*60) / 2 ) * (1 + POWER(((AS20*24*60) / (AP20*24*60)),2)),""),"")</f>
        <v/>
      </c>
      <c r="AV20" s="90">
        <f>IF(AU20&lt;&gt;"",MAX(AT20,AU20),"")</f>
        <v/>
      </c>
      <c r="AW20" s="89">
        <f>IF(AM20&lt;&gt;"H. Sale Real",IF(AND(AM21&lt;&gt;"",LEFT(AG21,2)&lt;&gt;"Va"),IF(AND(AM20&lt;&gt;"",LEFT(AG20,2)&lt;&gt;"Va",AM20&lt;&gt;"H. Sale Real"),IF(AM21-AM20&lt;0.208333333333333,AM21-AM20,""),IF(AND(AM19&lt;&gt;"",LEFT(AG19,2)&lt;&gt;"Va",AM19&lt;&gt;"H. Sale Real"),IF(AM21-AM19&lt;0.208333333333333,AM21-AM19,""),IF(AND(AM18&lt;&gt;"",LEFT(AG18,2)&lt;&gt;"Va",AM18&lt;&gt;"H. Sale Real"),IF(AM21-AM18&lt;0.208333333333333,AM21-AM18,""),IF(AND(AM17&lt;&gt;"",LEFT(AG17,2)&lt;&gt;"Va",AM17&lt;&gt;"H. Sale Real"),IF(AM21-AM17&lt;0.208333333333333,AM21-AM17,""),IF(AND(AM16&lt;&gt;"",LEFT(AG16,2)&lt;&gt;"Va",AM16&lt;&gt;"H. Sale Real"),IF(AM21-AM16&lt;0.208333333333333,AM21-AM16,""),""))))),""),"")</f>
        <v/>
      </c>
      <c r="AX20" s="89">
        <f>IF(AK20&lt;&gt;"H. Sale Real",IF(AND(AK21&lt;&gt;"",LEFT(AG21,2)&lt;&gt;"Va"),IF(AND(AK20&lt;&gt;"",LEFT(AG20,2)&lt;&gt;"Va",AK20&lt;&gt;"H. Sale Real"),IF(AK21-AK20&lt;0.208333333333333,AK21-AK20,""),IF(AND(AK19&lt;&gt;"",LEFT(AG19,2)&lt;&gt;"Va",AK19&lt;&gt;"H. Sale Real"),IF(AK21-AK19&lt;0.208333333333333,AK21-AK19,""),IF(AND(AK18&lt;&gt;"",LEFT(AG18,2)&lt;&gt;"NC",AK18&lt;&gt;"H. Sale Real"),IF(AK21-AK18&lt;0.208333333333333,AK21-AK18,""),IF(AND(AK17&lt;&gt;"",LEFT(AG17,2)&lt;&gt;"Va",AK17&lt;&gt;"H. Sale Real"),IF(AK21-AK17&lt;0.208333333333333,AK21-AK17,""),IF(AND(AK16&lt;&gt;"",LEFT(AG16,2)&lt;&gt;"Va",AK16&lt;&gt;"H. Sale Real"),IF(AK21-AK16&lt;0.208333333333333,AK21-AK16,""),""))))),""),"")</f>
        <v/>
      </c>
      <c r="AY20" s="87" t="n"/>
      <c r="AZ20" s="89" t="n"/>
      <c r="BA20" s="87" t="n"/>
      <c r="BB20" s="89" t="n"/>
      <c r="BC20" s="91" t="n"/>
      <c r="BD20" s="122">
        <f>IF(AK20&lt;&gt;"",IF(AND(BD19&lt;&gt;"IE",AT20&lt;&gt;0,AV20&lt;&gt;""),IF(IFERROR((AT20/AV20),0) &lt;=1,IFERROR(AT20/AV20,""),1),""),"")</f>
        <v/>
      </c>
      <c r="BE20" s="93" t="n"/>
      <c r="BF20" s="105" t="n"/>
      <c r="BI20" s="8" t="n">
        <v>8</v>
      </c>
      <c r="BJ20" s="8">
        <f>COUNTIFS($A:$A,$BI20,$C:$C,$BI$11)</f>
        <v/>
      </c>
      <c r="BK20" s="8">
        <f>BJ20-COUNTIFS($A:$A,$BI20,$C:$C,$BI$11,$H:$H,"")</f>
        <v/>
      </c>
      <c r="BL20" s="54">
        <f>IFERROR((BK20/BJ20),"")</f>
        <v/>
      </c>
      <c r="BM20" s="8">
        <f>_xlfn.XLOOKUP(BI20,$A:$A,$R:$R,"0",0,-1)</f>
        <v/>
      </c>
      <c r="BN20" s="55">
        <f>_xlfn.XLOOKUP(BI20,$A:$A,$P:$P,"0",0,-1)</f>
        <v/>
      </c>
      <c r="BO20" s="123">
        <f>_xlfn.XLOOKUP(BI20,$A:$A,$Z:$Z,"",0,-1)</f>
        <v/>
      </c>
      <c r="BR20" s="8" t="n">
        <v>8</v>
      </c>
      <c r="BS20" s="8">
        <f>COUNTIFS($AE:$AE,$BR20,$AG:$AG,$BR$11)</f>
        <v/>
      </c>
      <c r="BT20" s="8">
        <f>BS20-COUNTIFS($AE:$AE,$BR20,$AG:$AG,$BR$11,$AL:$AL,"")</f>
        <v/>
      </c>
      <c r="BU20" s="54">
        <f>IFERROR((BT20/BS20),"")</f>
        <v/>
      </c>
      <c r="BV20" s="8">
        <f>_xlfn.XLOOKUP(BR20,$AE:$AE,$AV:$AV,"0",0,-1)</f>
        <v/>
      </c>
      <c r="BW20" s="55">
        <f>_xlfn.XLOOKUP(BR20,$AE:$AE,$AT:$AT,"0",0,-1)</f>
        <v/>
      </c>
      <c r="BX20" s="123">
        <f>_xlfn.XLOOKUP(BR20,$AE:$AE,$BD:$BD,"",0,-1)</f>
        <v/>
      </c>
      <c r="FC20" t="inlineStr">
        <is>
          <t>Diccionario 1</t>
        </is>
      </c>
      <c r="FD20" s="15" t="n">
        <v>1017</v>
      </c>
      <c r="FE20" s="15" t="inlineStr">
        <is>
          <t>D8482519K2PL</t>
        </is>
      </c>
      <c r="FF20" s="15" t="inlineStr">
        <is>
          <t>YV3T7U522KA195351</t>
        </is>
      </c>
      <c r="FG20" s="15" t="inlineStr">
        <is>
          <t>Volvo</t>
        </is>
      </c>
      <c r="FH20" s="15" t="inlineStr">
        <is>
          <t>B8R</t>
        </is>
      </c>
      <c r="FI20" s="15" t="inlineStr">
        <is>
          <t>MARCOPOLO</t>
        </is>
      </c>
      <c r="FJ20" s="15" t="inlineStr">
        <is>
          <t>TORINO</t>
        </is>
      </c>
      <c r="FK20" s="15" t="n">
        <v>2019</v>
      </c>
      <c r="FL20" s="15" t="inlineStr">
        <is>
          <t>B2PAL</t>
        </is>
      </c>
      <c r="FM20" s="15" t="inlineStr">
        <is>
          <t>LOS LIBERTADORES</t>
        </is>
      </c>
      <c r="FN20" s="15" t="inlineStr">
        <is>
          <t>Los Liberadores 6450, Lote 4A</t>
        </is>
      </c>
      <c r="FO20" s="15" t="inlineStr">
        <is>
          <t>Huechuraba</t>
        </is>
      </c>
      <c r="FP20" t="inlineStr">
        <is>
          <t>B</t>
        </is>
      </c>
      <c r="FS20" s="14" t="inlineStr">
        <is>
          <t>3005 / SFWZ-39|</t>
        </is>
      </c>
      <c r="FT20" t="inlineStr">
        <is>
          <t>SFWZ-39|</t>
        </is>
      </c>
      <c r="FU20" t="inlineStr">
        <is>
          <t>SFWZ-39</t>
        </is>
      </c>
      <c r="FV20">
        <f>VLOOKUP(FU20,FD:FL,9,0)</f>
        <v/>
      </c>
      <c r="FZ20" s="51" t="inlineStr">
        <is>
          <t>B16</t>
        </is>
      </c>
      <c r="GA20" s="117" t="n">
        <v>0</v>
      </c>
      <c r="GB20" s="117" t="n">
        <v>0</v>
      </c>
      <c r="GC20" s="117" t="n">
        <v>0</v>
      </c>
      <c r="GD20" s="117" t="n">
        <v>0</v>
      </c>
      <c r="GE20" s="117" t="n">
        <v>0</v>
      </c>
      <c r="GF20" s="117" t="n">
        <v>24.86</v>
      </c>
      <c r="GG20" s="117" t="n">
        <v>18.845</v>
      </c>
      <c r="GH20" s="117" t="n">
        <v>13.46</v>
      </c>
      <c r="GI20" s="117" t="n">
        <v>16.78</v>
      </c>
      <c r="GJ20" s="117" t="n">
        <v>18.18</v>
      </c>
      <c r="GK20" s="117" t="n">
        <v>18.21</v>
      </c>
      <c r="GL20" s="117" t="n">
        <v>18.44</v>
      </c>
      <c r="GM20" s="117" t="n">
        <v>18.355</v>
      </c>
      <c r="GN20" s="117" t="n">
        <v>18.035</v>
      </c>
      <c r="GO20" s="117" t="n">
        <v>17.52</v>
      </c>
      <c r="GP20" s="117" t="n">
        <v>16.245</v>
      </c>
      <c r="GQ20" s="117" t="n">
        <v>14.92</v>
      </c>
      <c r="GR20" s="117" t="n">
        <v>13.635</v>
      </c>
      <c r="GS20" s="117" t="n">
        <v>13.735</v>
      </c>
      <c r="GT20" s="117" t="n">
        <v>15.735</v>
      </c>
      <c r="GU20" s="117" t="n">
        <v>19.16</v>
      </c>
      <c r="GV20" s="117" t="n">
        <v>20.955</v>
      </c>
      <c r="GW20" s="117" t="n">
        <v>22.95</v>
      </c>
      <c r="GX20" s="117" t="n">
        <v>25.495</v>
      </c>
      <c r="HA20" s="35" t="n">
        <v>17</v>
      </c>
      <c r="HB20" s="35" t="n">
        <v>14</v>
      </c>
      <c r="HE20" t="inlineStr">
        <is>
          <t>U9</t>
        </is>
      </c>
      <c r="HF20" s="46" t="inlineStr">
        <is>
          <t>B29</t>
        </is>
      </c>
      <c r="HG20" s="46" t="inlineStr">
        <is>
          <t>B29</t>
        </is>
      </c>
      <c r="HH20" s="14" t="n">
        <v>32</v>
      </c>
      <c r="HL20" t="inlineStr">
        <is>
          <t>AlfaU9</t>
        </is>
      </c>
      <c r="HM20" s="46" t="inlineStr">
        <is>
          <t>B29</t>
        </is>
      </c>
      <c r="HN20" s="26" t="inlineStr">
        <is>
          <t>El Retiro</t>
        </is>
      </c>
      <c r="HO20" s="14" t="n">
        <v>829</v>
      </c>
      <c r="IB20" s="73" t="inlineStr">
        <is>
          <t>Máquina Panne Ruta</t>
        </is>
      </c>
    </row>
    <row r="21" ht="16" customHeight="1">
      <c r="A21" s="10">
        <f>HOUR(G21)+1</f>
        <v/>
      </c>
      <c r="B21" s="7" t="n"/>
      <c r="C21" s="7" t="n"/>
      <c r="D21" s="85">
        <f>IFERROR(
IF(AND(OR(Planilla!B21="C",Planilla!B21="c"), VLOOKUP(E21,FD:FP,13,0)="C"), "OK",IF(AND(OR(Planilla!B21="C",Planilla!B21="c"), OR(VLOOKUP(E21,FD:FP,13,0)="B", VLOOKUP(E21,FD:FP,13,0)="A")), "DEFICIT",IF(
AND(OR(Planilla!B21="B", Planilla!B21="BPAL"), VLOOKUP(E21,FD:FP,13,0)="B"), "OK",IF(AND(OR(Planilla!B21="B", Planilla!B21="BPAL"), VLOOKUP(E21,FD:FP,13,0)="A"), "DEFICIT",IF(AND(OR(Planilla!B21="B", Planilla!B21="BPAL"), VLOOKUP(E21,FD:FP,13,0)="C"), "SOBREOFERTA",IF(AND(Planilla!B21="A", VLOOKUP(E21,FD:FP,13,0)="A"), "OK",IF(
AND(Planilla!B21="A", OR(VLOOKUP(E21,FD:FP,13,0)="B", VLOOKUP(E21,FD:FP,13,0)="C")), "SOBREOFERTA",""
))))))),"")</f>
        <v/>
      </c>
      <c r="E21" s="8" t="n"/>
      <c r="F21" s="86" t="n"/>
      <c r="G21" s="87" t="n"/>
      <c r="H21" s="88">
        <f>IF(I21="","",IF(AND((I21-G21)&gt;=TIME(0,0,0),(I21-G21)&lt;TIME(0,3,0)),"OK",IF(AND((I21-G21)&gt;=TIME(0,3,0),(I21-G21)&lt;TIME(0,5,0)),"RETRASO DE 3-5 MIN",IF(AND((I21-G21)&gt;=TIME(0,5,0),(I21-G21)&lt;TIME(0,10,0)),"RETRASO DE 5-10 MIN",IF((I21-G21)&gt;=TIME(0,10,0),"RETRASO &gt;10 MIN", IF(AND((G21-I21)&gt;=TIME(0,0,0),(G21-I21)&lt;TIME(0,3,0)),"OK",IF((G21-I21)&gt;=TIME(0,3,0),"ADELANTADO")))))))</f>
        <v/>
      </c>
      <c r="I21" s="89" t="n"/>
      <c r="J21" s="89">
        <f>IF(A21&lt;&gt;"",HLOOKUP(VALUE(TEXT(G21,"h:mm:ss")),IF($C$6="Laboral",$FZ$4:$GX$227,IF($C$6="Sábado",$FZ$231:$GX$452,$FZ$456:$GX$656)),VLOOKUP($C$4,$HF$2:$HH$99,3,0)+IF(C$5="Ida",0,1),1),"")</f>
        <v/>
      </c>
      <c r="K21" s="89">
        <f>IF(A22&lt;&gt;A21,AVERAGEIF(A$9:A21,A21,J$9:J21),"")</f>
        <v/>
      </c>
      <c r="L21" s="89">
        <f>IFERROR(IF(A22&lt;&gt;A21,AVERAGEIF(A$9:A21,A21,S$9:S21),""),"")</f>
        <v/>
      </c>
      <c r="M21" s="89">
        <f>IFERROR(IF(A22&lt;&gt;A21,AVERAGEIF(A$9:A21,A21,T$9:T21),""),"")</f>
        <v/>
      </c>
      <c r="N21" s="89">
        <f t="array" ref="N21">IFERROR(IF(A22&lt;&gt;A21,_xlfn.STDEV.P(IF(A$9:A21=A21,T$9:T21)),""),"")</f>
        <v/>
      </c>
      <c r="O21" s="89">
        <f t="array" ref="O21">IFERROR(IF(A22&lt;&gt;A21,_xlfn.STDEV.P(IF(A$9:A21=A21,S$9:S21)),""),"")</f>
        <v/>
      </c>
      <c r="P21" s="90">
        <f>IFERROR(IF(A21&lt;&gt;A22,MAX((((M21*24*60)/2)*(1+POWER((((N21*24*60) / (M21*24*60) )),2))) + ((M21*24*60 )*-0.1 + (K21*0.015)) +1,(((M21*24*60)/2)*(1+POWER((((N21*24*60) / (M21*24*60 ))),2)))),""),"")</f>
        <v/>
      </c>
      <c r="Q21" s="90">
        <f>IF(AND(O21&lt;&gt;"",L21&lt;&gt;""),IF(A21&lt;&gt;A22,((L21*24*60) / 2 ) * (1 + POWER(((O21*24*60) / (L21*24*60)),2)),""),"")</f>
        <v/>
      </c>
      <c r="R21" s="90">
        <f>IF(Q21&lt;&gt;"",MAX(P21,Q21),"")</f>
        <v/>
      </c>
      <c r="S21" s="89">
        <f>IF(I21&lt;&gt;"H. Sale Real",IF(AND(I22&lt;&gt;"",LEFT(C22,2)&lt;&gt;"Va"),IF(AND(I21&lt;&gt;"",LEFT(C21,2)&lt;&gt;"Va",I21&lt;&gt;"H. Sale Real"),IF(I22-I21&lt;0.208333333333333,I22-I21,""),IF(AND(I20&lt;&gt;"",LEFT(C20,2)&lt;&gt;"Va",I20&lt;&gt;"H. Sale Real"),IF(I22-I20&lt;0.208333333333333,I22-I20,""),IF(AND(I19&lt;&gt;"",LEFT(C19,2)&lt;&gt;"Va",I19&lt;&gt;"H. Sale Real"),IF(I22-I19&lt;0.208333333333333,I22-I19,""),IF(AND(I18&lt;&gt;"",LEFT(C18,2)&lt;&gt;"Va",I18&lt;&gt;"H. Sale Real"),IF(I22-I18&lt;0.208333333333333,I22-I18,""),IF(AND(I17&lt;&gt;"",LEFT(C17,2)&lt;&gt;"Va",I17&lt;&gt;"H. Sale Real"),IF(I22-I17&lt;0.208333333333333,I22-I17,""),""))))),""),"")</f>
        <v/>
      </c>
      <c r="T21" s="89">
        <f>IF(G21&lt;&gt;"H. Sale Real",IF(AND(G22&lt;&gt;"",LEFT(C22,2)&lt;&gt;"Va"),IF(AND(G21&lt;&gt;"",LEFT(C21,2)&lt;&gt;"Va",G21&lt;&gt;"H. Sale Real"),IF(G22-G21&lt;0.208333333333333,G22-G21,""),IF(AND(G20&lt;&gt;"",LEFT(C20,2)&lt;&gt;"Va",G20&lt;&gt;"H. Sale Real"),IF(G22-G20&lt;0.208333333333333,G22-G20,""),IF(AND(G19&lt;&gt;"",LEFT(C19,2)&lt;&gt;"Va",G19&lt;&gt;"H. Sale Real"),IF(G22-G19&lt;0.208333333333333,G22-G19,""),IF(AND(G18&lt;&gt;"",LEFT(C18,2)&lt;&gt;"Va",G18&lt;&gt;"H. Sale Real"),IF(G22-G18&lt;0.208333333333333,G22-G18,""),IF(AND(G17&lt;&gt;"",LEFT(C17,2)&lt;&gt;"Va",G17&lt;&gt;"H. Sale Real"),IF(G22-G17&lt;0.208333333333333,G22-G17,""),""))))),""),"")</f>
        <v/>
      </c>
      <c r="U21" s="87" t="n"/>
      <c r="V21" s="89" t="n"/>
      <c r="W21" s="87" t="n"/>
      <c r="X21" s="89" t="n"/>
      <c r="Y21" s="91" t="n"/>
      <c r="Z21" s="122">
        <f>IF(G21&lt;&gt;"",IF(AND(Z20&lt;&gt;"IE",P21&lt;&gt;0,R21&lt;&gt;""),IF(IFERROR((P21/R21),0) &lt;=1,IFERROR(P21/R21,""),1),""),"")</f>
        <v/>
      </c>
      <c r="AA21" s="93" t="n"/>
      <c r="AB21" s="2" t="n"/>
      <c r="AE21" s="10">
        <f>HOUR(AK21)+1</f>
        <v/>
      </c>
      <c r="AF21" s="7" t="n"/>
      <c r="AG21" s="7" t="n"/>
      <c r="AH21" s="86" t="n"/>
      <c r="AI21" s="8" t="n"/>
      <c r="AJ21" s="86" t="n"/>
      <c r="AK21" s="87" t="n"/>
      <c r="AL21" s="88">
        <f>IF(AM21="","",IF(AND((AM21-AK21)&gt;=TIME(0,0,0),(AM21-AK21)&lt;TIME(0,3,0)),"OK",IF(AND((AM21-AK21)&gt;=TIME(0,3,0),(AM21-AK21)&lt;TIME(0,5,0)),"RETRASO DE 3-5 MIN",IF(AND((AM21-AK21)&gt;=TIME(0,5,0),(AM21-AK21)&lt;TIME(0,10,0)),"RETRASO DE 5-10 MIN",IF((AM21-AK21)&gt;=TIME(0,10,0),"RETRASO &gt;10 MIN", IF(AND((AK21-AM21)&gt;=TIME(0,0,0),(AK21-AM21)&lt;TIME(0,3,0)),"OK",IF((AK21-AM21)&gt;=TIME(0,3,0),"ADELANTADO")))))))</f>
        <v/>
      </c>
      <c r="AM21" s="91" t="n"/>
      <c r="AN21" s="89">
        <f>IF(AE21&lt;&gt;"",HLOOKUP(VALUE(TEXT(AK21,"h:mm:ss")),IF($C$6="Laboral",$FZ$4:$GX$227,IF($C$6="Sábado",$FZ$231:$GX$452,$FZ$456:$GX$656)),VLOOKUP($C$4,$HF$2:$HH$99,3,0)+IF(AG$5="Ida",0,1),1),"")</f>
        <v/>
      </c>
      <c r="AO21" s="89">
        <f>IF(AE22&lt;&gt;AE21,AVERAGEIF(AE$9:AE21,AE21,AN$9:AN21),"")</f>
        <v/>
      </c>
      <c r="AP21" s="89">
        <f>IFERROR(IF(AE22&lt;&gt;AE21,AVERAGEIF(AE$9:AE21,AE21,AW$9:AW21),""),"")</f>
        <v/>
      </c>
      <c r="AQ21" s="89">
        <f>IFERROR(IF(AE22&lt;&gt;AE21,AVERAGEIF(AE$9:AE21,AE21,AX$9:AX21),""),"")</f>
        <v/>
      </c>
      <c r="AR21" s="89">
        <f t="array" ref="AR21">IFERROR(IF(AE22&lt;&gt;AE21,_xlfn.STDEV.P(IF(AE$9:AE21=AE21,AX$9:AX21)),""),"")</f>
        <v/>
      </c>
      <c r="AS21" s="89">
        <f t="array" ref="AS21">IFERROR(IF(AE22&lt;&gt;AE21,_xlfn.STDEV.P(IF(AE$9:AE21=AE21,AW$9:AW21)),""),"")</f>
        <v/>
      </c>
      <c r="AT21" s="90">
        <f>IFERROR(IF(AE21&lt;&gt;AE22,MAX((((AQ21*24*60)/2)*(1+POWER((((AR21*24*60) / (AQ21*24*60) )),2))) + ((AQ21*24*60 )*-0.1 + (AO21*0.015)) +1,(((AQ21*24*60)/2)*(1+POWER((((AR21*24*60) / (AQ21*24*60 ))),2)))),""),"")</f>
        <v/>
      </c>
      <c r="AU21" s="90">
        <f>IF(AND(AS21&lt;&gt;"",AP21&lt;&gt;""),IF(AE21&lt;&gt;AE22,((AP21*24*60) / 2 ) * (1 + POWER(((AS21*24*60) / (AP21*24*60)),2)),""),"")</f>
        <v/>
      </c>
      <c r="AV21" s="90">
        <f>IF(AU21&lt;&gt;"",MAX(AT21,AU21),"")</f>
        <v/>
      </c>
      <c r="AW21" s="89">
        <f>IF(AM21&lt;&gt;"H. Sale Real",IF(AND(AM22&lt;&gt;"",LEFT(AG22,2)&lt;&gt;"Va"),IF(AND(AM21&lt;&gt;"",LEFT(AG21,2)&lt;&gt;"Va",AM21&lt;&gt;"H. Sale Real"),IF(AM22-AM21&lt;0.208333333333333,AM22-AM21,""),IF(AND(AM20&lt;&gt;"",LEFT(AG20,2)&lt;&gt;"Va",AM20&lt;&gt;"H. Sale Real"),IF(AM22-AM20&lt;0.208333333333333,AM22-AM20,""),IF(AND(AM19&lt;&gt;"",LEFT(AG19,2)&lt;&gt;"Va",AM19&lt;&gt;"H. Sale Real"),IF(AM22-AM19&lt;0.208333333333333,AM22-AM19,""),IF(AND(AM18&lt;&gt;"",LEFT(AG18,2)&lt;&gt;"Va",AM18&lt;&gt;"H. Sale Real"),IF(AM22-AM18&lt;0.208333333333333,AM22-AM18,""),IF(AND(AM17&lt;&gt;"",LEFT(AG17,2)&lt;&gt;"Va",AM17&lt;&gt;"H. Sale Real"),IF(AM22-AM17&lt;0.208333333333333,AM22-AM17,""),""))))),""),"")</f>
        <v/>
      </c>
      <c r="AX21" s="89">
        <f>IF(AK21&lt;&gt;"H. Sale Real",IF(AND(AK22&lt;&gt;"",LEFT(AG22,2)&lt;&gt;"Va"),IF(AND(AK21&lt;&gt;"",LEFT(AG21,2)&lt;&gt;"Va",AK21&lt;&gt;"H. Sale Real"),IF(AK22-AK21&lt;0.208333333333333,AK22-AK21,""),IF(AND(AK20&lt;&gt;"",LEFT(AG20,2)&lt;&gt;"Va",AK20&lt;&gt;"H. Sale Real"),IF(AK22-AK20&lt;0.208333333333333,AK22-AK20,""),IF(AND(AK19&lt;&gt;"",LEFT(AG19,2)&lt;&gt;"NC",AK19&lt;&gt;"H. Sale Real"),IF(AK22-AK19&lt;0.208333333333333,AK22-AK19,""),IF(AND(AK18&lt;&gt;"",LEFT(AG18,2)&lt;&gt;"Va",AK18&lt;&gt;"H. Sale Real"),IF(AK22-AK18&lt;0.208333333333333,AK22-AK18,""),IF(AND(AK17&lt;&gt;"",LEFT(AG17,2)&lt;&gt;"Va",AK17&lt;&gt;"H. Sale Real"),IF(AK22-AK17&lt;0.208333333333333,AK22-AK17,""),""))))),""),"")</f>
        <v/>
      </c>
      <c r="AY21" s="87" t="n"/>
      <c r="AZ21" s="89" t="n"/>
      <c r="BA21" s="87" t="n"/>
      <c r="BB21" s="89" t="n"/>
      <c r="BC21" s="91" t="n"/>
      <c r="BD21" s="122">
        <f>IF(AK21&lt;&gt;"",IF(AND(BD20&lt;&gt;"IE",AT21&lt;&gt;0,AV21&lt;&gt;""),IF(IFERROR((AT21/AV21),0) &lt;=1,IFERROR(AT21/AV21,""),1),""),"")</f>
        <v/>
      </c>
      <c r="BE21" s="93" t="n"/>
      <c r="BF21" s="105" t="n"/>
      <c r="BI21" s="8" t="n">
        <v>9</v>
      </c>
      <c r="BJ21" s="8">
        <f>COUNTIFS($A:$A,$BI21,$C:$C,$BI$11)</f>
        <v/>
      </c>
      <c r="BK21" s="8">
        <f>BJ21-COUNTIFS($A:$A,$BI21,$C:$C,$BI$11,$H:$H,"")</f>
        <v/>
      </c>
      <c r="BL21" s="54">
        <f>IFERROR((BK21/BJ21),"")</f>
        <v/>
      </c>
      <c r="BM21" s="8">
        <f>_xlfn.XLOOKUP(BI21,$A:$A,$R:$R,"0",0,-1)</f>
        <v/>
      </c>
      <c r="BN21" s="55">
        <f>_xlfn.XLOOKUP(BI21,$A:$A,$P:$P,"0",0,-1)</f>
        <v/>
      </c>
      <c r="BO21" s="123">
        <f>_xlfn.XLOOKUP(BI21,$A:$A,$Z:$Z,"",0,-1)</f>
        <v/>
      </c>
      <c r="BR21" s="8" t="n">
        <v>9</v>
      </c>
      <c r="BS21" s="8">
        <f>COUNTIFS($AE:$AE,$BR21,$AG:$AG,$BR$11)</f>
        <v/>
      </c>
      <c r="BT21" s="8">
        <f>BS21-COUNTIFS($AE:$AE,$BR21,$AG:$AG,$BR$11,$AL:$AL,"")</f>
        <v/>
      </c>
      <c r="BU21" s="54">
        <f>IFERROR((BT21/BS21),"")</f>
        <v/>
      </c>
      <c r="BV21" s="8">
        <f>_xlfn.XLOOKUP(BR21,$AE:$AE,$AV:$AV,"0",0,-1)</f>
        <v/>
      </c>
      <c r="BW21" s="55">
        <f>_xlfn.XLOOKUP(BR21,$AE:$AE,$AT:$AT,"0",0,-1)</f>
        <v/>
      </c>
      <c r="BX21" s="123">
        <f>_xlfn.XLOOKUP(BR21,$AE:$AE,$BD:$BD,"",0,-1)</f>
        <v/>
      </c>
      <c r="FC21" t="inlineStr">
        <is>
          <t>Diccionario 1</t>
        </is>
      </c>
      <c r="FD21" s="15" t="n">
        <v>1018</v>
      </c>
      <c r="FE21" s="15" t="inlineStr">
        <is>
          <t>D8482509K2PL</t>
        </is>
      </c>
      <c r="FF21" s="15" t="inlineStr">
        <is>
          <t>YV3T7U524KA195352</t>
        </is>
      </c>
      <c r="FG21" s="15" t="inlineStr">
        <is>
          <t>Volvo</t>
        </is>
      </c>
      <c r="FH21" s="15" t="inlineStr">
        <is>
          <t>B8R</t>
        </is>
      </c>
      <c r="FI21" s="15" t="inlineStr">
        <is>
          <t>MARCOPOLO</t>
        </is>
      </c>
      <c r="FJ21" s="15" t="inlineStr">
        <is>
          <t>TORINO</t>
        </is>
      </c>
      <c r="FK21" s="15" t="n">
        <v>2019</v>
      </c>
      <c r="FL21" s="15" t="inlineStr">
        <is>
          <t>B2PAL</t>
        </is>
      </c>
      <c r="FM21" s="15" t="inlineStr">
        <is>
          <t>LOS LIBERTADORES</t>
        </is>
      </c>
      <c r="FN21" s="15" t="inlineStr">
        <is>
          <t>Los Liberadores 6450, Lote 4A</t>
        </is>
      </c>
      <c r="FO21" s="15" t="inlineStr">
        <is>
          <t>Huechuraba</t>
        </is>
      </c>
      <c r="FP21" t="inlineStr">
        <is>
          <t>B</t>
        </is>
      </c>
      <c r="FS21" s="14" t="inlineStr">
        <is>
          <t>3005 / SFWZ-39|</t>
        </is>
      </c>
      <c r="FT21" t="inlineStr">
        <is>
          <t>SFWZ-39|</t>
        </is>
      </c>
      <c r="FU21" t="inlineStr">
        <is>
          <t>SFWZ-39</t>
        </is>
      </c>
      <c r="FV21">
        <f>VLOOKUP(FU21,FD:FL,9,0)</f>
        <v/>
      </c>
      <c r="FZ21" s="51" t="inlineStr">
        <is>
          <t>B16</t>
        </is>
      </c>
      <c r="GA21" s="117" t="n">
        <v>0</v>
      </c>
      <c r="GB21" s="117" t="n">
        <v>0</v>
      </c>
      <c r="GC21" s="117" t="n">
        <v>0</v>
      </c>
      <c r="GD21" s="117" t="n">
        <v>0</v>
      </c>
      <c r="GE21" s="117" t="n">
        <v>0</v>
      </c>
      <c r="GF21" s="117" t="n">
        <v>13.945</v>
      </c>
      <c r="GG21" s="117" t="n">
        <v>22.27</v>
      </c>
      <c r="GH21" s="117" t="n">
        <v>14.425</v>
      </c>
      <c r="GI21" s="117" t="n">
        <v>16.58</v>
      </c>
      <c r="GJ21" s="117" t="n">
        <v>17.49</v>
      </c>
      <c r="GK21" s="117" t="n">
        <v>17.9</v>
      </c>
      <c r="GL21" s="117" t="n">
        <v>17.81</v>
      </c>
      <c r="GM21" s="117" t="n">
        <v>17.285</v>
      </c>
      <c r="GN21" s="117" t="n">
        <v>16.465</v>
      </c>
      <c r="GO21" s="117" t="n">
        <v>16.53</v>
      </c>
      <c r="GP21" s="117" t="n">
        <v>16.385</v>
      </c>
      <c r="GQ21" s="117" t="n">
        <v>15.72</v>
      </c>
      <c r="GR21" s="117" t="n">
        <v>14.105</v>
      </c>
      <c r="GS21" s="117" t="n">
        <v>11.91</v>
      </c>
      <c r="GT21" s="117" t="n">
        <v>12.745</v>
      </c>
      <c r="GU21" s="117" t="n">
        <v>16.27</v>
      </c>
      <c r="GV21" s="117" t="n">
        <v>19.015</v>
      </c>
      <c r="GW21" s="117" t="n">
        <v>22</v>
      </c>
      <c r="GX21" s="117" t="n">
        <v>25.2</v>
      </c>
      <c r="HA21" s="35" t="n">
        <v>18</v>
      </c>
      <c r="HB21" s="35" t="n">
        <v>15</v>
      </c>
      <c r="HE21" t="inlineStr">
        <is>
          <t>U9</t>
        </is>
      </c>
      <c r="HF21" s="46" t="inlineStr">
        <is>
          <t>B32</t>
        </is>
      </c>
      <c r="HG21" s="46" t="inlineStr">
        <is>
          <t>B32</t>
        </is>
      </c>
      <c r="HH21" s="14" t="n">
        <v>34</v>
      </c>
      <c r="HL21" t="inlineStr">
        <is>
          <t>AlfaU9</t>
        </is>
      </c>
      <c r="HM21" s="46" t="inlineStr">
        <is>
          <t>B32</t>
        </is>
      </c>
      <c r="HN21" s="26" t="inlineStr">
        <is>
          <t>Santa Marta</t>
        </is>
      </c>
      <c r="HO21" s="14" t="n">
        <v>832</v>
      </c>
      <c r="IB21" s="74" t="inlineStr">
        <is>
          <t>Problema de Abastecimiento de Conductores</t>
        </is>
      </c>
    </row>
    <row r="22" ht="16" customHeight="1">
      <c r="A22" s="10">
        <f>HOUR(G22)+1</f>
        <v/>
      </c>
      <c r="B22" s="7" t="n"/>
      <c r="C22" s="7" t="n"/>
      <c r="D22" s="85">
        <f>IFERROR(
IF(AND(OR(Planilla!B22="C",Planilla!B22="c"), VLOOKUP(E22,FD:FP,13,0)="C"), "OK",IF(AND(OR(Planilla!B22="C",Planilla!B22="c"), OR(VLOOKUP(E22,FD:FP,13,0)="B", VLOOKUP(E22,FD:FP,13,0)="A")), "DEFICIT",IF(
AND(OR(Planilla!B22="B", Planilla!B22="BPAL"), VLOOKUP(E22,FD:FP,13,0)="B"), "OK",IF(AND(OR(Planilla!B22="B", Planilla!B22="BPAL"), VLOOKUP(E22,FD:FP,13,0)="A"), "DEFICIT",IF(AND(OR(Planilla!B22="B", Planilla!B22="BPAL"), VLOOKUP(E22,FD:FP,13,0)="C"), "SOBREOFERTA",IF(AND(Planilla!B22="A", VLOOKUP(E22,FD:FP,13,0)="A"), "OK",IF(
AND(Planilla!B22="A", OR(VLOOKUP(E22,FD:FP,13,0)="B", VLOOKUP(E22,FD:FP,13,0)="C")), "SOBREOFERTA",""
))))))),"")</f>
        <v/>
      </c>
      <c r="E22" s="8" t="n"/>
      <c r="F22" s="86" t="n"/>
      <c r="G22" s="87" t="n"/>
      <c r="H22" s="88">
        <f>IF(I22="","",IF(AND((I22-G22)&gt;=TIME(0,0,0),(I22-G22)&lt;TIME(0,3,0)),"OK",IF(AND((I22-G22)&gt;=TIME(0,3,0),(I22-G22)&lt;TIME(0,5,0)),"RETRASO DE 3-5 MIN",IF(AND((I22-G22)&gt;=TIME(0,5,0),(I22-G22)&lt;TIME(0,10,0)),"RETRASO DE 5-10 MIN",IF((I22-G22)&gt;=TIME(0,10,0),"RETRASO &gt;10 MIN", IF(AND((G22-I22)&gt;=TIME(0,0,0),(G22-I22)&lt;TIME(0,3,0)),"OK",IF((G22-I22)&gt;=TIME(0,3,0),"ADELANTADO")))))))</f>
        <v/>
      </c>
      <c r="I22" s="89" t="n"/>
      <c r="J22" s="89">
        <f>IF(A22&lt;&gt;"",HLOOKUP(VALUE(TEXT(G22,"h:mm:ss")),IF($C$6="Laboral",$FZ$4:$GX$227,IF($C$6="Sábado",$FZ$231:$GX$452,$FZ$456:$GX$656)),VLOOKUP($C$4,$HF$2:$HH$99,3,0)+IF(C$5="Ida",0,1),1),"")</f>
        <v/>
      </c>
      <c r="K22" s="89">
        <f>IF(A23&lt;&gt;A22,AVERAGEIF(A$9:A22,A22,J$9:J22),"")</f>
        <v/>
      </c>
      <c r="L22" s="89">
        <f>IFERROR(IF(A23&lt;&gt;A22,AVERAGEIF(A$9:A22,A22,S$9:S22),""),"")</f>
        <v/>
      </c>
      <c r="M22" s="89">
        <f>IFERROR(IF(A23&lt;&gt;A22,AVERAGEIF(A$9:A22,A22,T$9:T22),""),"")</f>
        <v/>
      </c>
      <c r="N22" s="89">
        <f t="array" ref="N22">IFERROR(IF(A23&lt;&gt;A22,_xlfn.STDEV.P(IF(A$9:A22=A22,T$9:T22)),""),"")</f>
        <v/>
      </c>
      <c r="O22" s="89">
        <f t="array" ref="O22">IFERROR(IF(A23&lt;&gt;A22,_xlfn.STDEV.P(IF(A$9:A22=A22,S$9:S22)),""),"")</f>
        <v/>
      </c>
      <c r="P22" s="90">
        <f>IFERROR(IF(A22&lt;&gt;A23,MAX((((M22*24*60)/2)*(1+POWER((((N22*24*60) / (M22*24*60) )),2))) + ((M22*24*60 )*-0.1 + (K22*0.015)) +1,(((M22*24*60)/2)*(1+POWER((((N22*24*60) / (M22*24*60 ))),2)))),""),"")</f>
        <v/>
      </c>
      <c r="Q22" s="90">
        <f>IF(AND(O22&lt;&gt;"",L22&lt;&gt;""),IF(A22&lt;&gt;A23,((L22*24*60) / 2 ) * (1 + POWER(((O22*24*60) / (L22*24*60)),2)),""),"")</f>
        <v/>
      </c>
      <c r="R22" s="90">
        <f>IF(Q22&lt;&gt;"",MAX(P22,Q22),"")</f>
        <v/>
      </c>
      <c r="S22" s="89">
        <f>IF(I22&lt;&gt;"H. Sale Real",IF(AND(I23&lt;&gt;"",LEFT(C23,2)&lt;&gt;"Va"),IF(AND(I22&lt;&gt;"",LEFT(C22,2)&lt;&gt;"Va",I22&lt;&gt;"H. Sale Real"),IF(I23-I22&lt;0.208333333333333,I23-I22,""),IF(AND(I21&lt;&gt;"",LEFT(C21,2)&lt;&gt;"Va",I21&lt;&gt;"H. Sale Real"),IF(I23-I21&lt;0.208333333333333,I23-I21,""),IF(AND(I20&lt;&gt;"",LEFT(C20,2)&lt;&gt;"Va",I20&lt;&gt;"H. Sale Real"),IF(I23-I20&lt;0.208333333333333,I23-I20,""),IF(AND(I19&lt;&gt;"",LEFT(C19,2)&lt;&gt;"Va",I19&lt;&gt;"H. Sale Real"),IF(I23-I19&lt;0.208333333333333,I23-I19,""),IF(AND(I18&lt;&gt;"",LEFT(C18,2)&lt;&gt;"Va",I18&lt;&gt;"H. Sale Real"),IF(I23-I18&lt;0.208333333333333,I23-I18,""),""))))),""),"")</f>
        <v/>
      </c>
      <c r="T22" s="89">
        <f>IF(G22&lt;&gt;"H. Sale Real",IF(AND(G23&lt;&gt;"",LEFT(C23,2)&lt;&gt;"Va"),IF(AND(G22&lt;&gt;"",LEFT(C22,2)&lt;&gt;"Va",G22&lt;&gt;"H. Sale Real"),IF(G23-G22&lt;0.208333333333333,G23-G22,""),IF(AND(G21&lt;&gt;"",LEFT(C21,2)&lt;&gt;"Va",G21&lt;&gt;"H. Sale Real"),IF(G23-G21&lt;0.208333333333333,G23-G21,""),IF(AND(G20&lt;&gt;"",LEFT(C20,2)&lt;&gt;"Va",G20&lt;&gt;"H. Sale Real"),IF(G23-G20&lt;0.208333333333333,G23-G20,""),IF(AND(G19&lt;&gt;"",LEFT(C19,2)&lt;&gt;"Va",G19&lt;&gt;"H. Sale Real"),IF(G23-G19&lt;0.208333333333333,G23-G19,""),IF(AND(G18&lt;&gt;"",LEFT(C18,2)&lt;&gt;"Va",G18&lt;&gt;"H. Sale Real"),IF(G23-G18&lt;0.208333333333333,G23-G18,""),""))))),""),"")</f>
        <v/>
      </c>
      <c r="U22" s="87" t="n"/>
      <c r="V22" s="89" t="n"/>
      <c r="W22" s="87" t="n"/>
      <c r="X22" s="89" t="n"/>
      <c r="Y22" s="91" t="n"/>
      <c r="Z22" s="122">
        <f>IF(G22&lt;&gt;"",IF(AND(Z21&lt;&gt;"IE",P22&lt;&gt;0,R22&lt;&gt;""),IF(IFERROR((P22/R22),0) &lt;=1,IFERROR(P22/R22,""),1),""),"")</f>
        <v/>
      </c>
      <c r="AA22" s="93" t="n"/>
      <c r="AB22" s="2" t="n"/>
      <c r="AE22" s="10">
        <f>HOUR(AK22)+1</f>
        <v/>
      </c>
      <c r="AF22" s="7" t="n"/>
      <c r="AG22" s="7" t="n"/>
      <c r="AH22" s="86" t="n"/>
      <c r="AI22" s="8" t="n"/>
      <c r="AJ22" s="86" t="n"/>
      <c r="AK22" s="87" t="n"/>
      <c r="AL22" s="88">
        <f>IF(AM22="","",IF(AND((AM22-AK22)&gt;=TIME(0,0,0),(AM22-AK22)&lt;TIME(0,3,0)),"OK",IF(AND((AM22-AK22)&gt;=TIME(0,3,0),(AM22-AK22)&lt;TIME(0,5,0)),"RETRASO DE 3-5 MIN",IF(AND((AM22-AK22)&gt;=TIME(0,5,0),(AM22-AK22)&lt;TIME(0,10,0)),"RETRASO DE 5-10 MIN",IF((AM22-AK22)&gt;=TIME(0,10,0),"RETRASO &gt;10 MIN", IF(AND((AK22-AM22)&gt;=TIME(0,0,0),(AK22-AM22)&lt;TIME(0,3,0)),"OK",IF((AK22-AM22)&gt;=TIME(0,3,0),"ADELANTADO")))))))</f>
        <v/>
      </c>
      <c r="AM22" s="91" t="n"/>
      <c r="AN22" s="89">
        <f>IF(AE22&lt;&gt;"",HLOOKUP(VALUE(TEXT(AK22,"h:mm:ss")),IF($C$6="Laboral",$FZ$4:$GX$227,IF($C$6="Sábado",$FZ$231:$GX$452,$FZ$456:$GX$656)),VLOOKUP($C$4,$HF$2:$HH$99,3,0)+IF(AG$5="Ida",0,1),1),"")</f>
        <v/>
      </c>
      <c r="AO22" s="89">
        <f>IF(AE23&lt;&gt;AE22,AVERAGEIF(AE$9:AE22,AE22,AN$9:AN22),"")</f>
        <v/>
      </c>
      <c r="AP22" s="89">
        <f>IFERROR(IF(AE23&lt;&gt;AE22,AVERAGEIF(AE$9:AE22,AE22,AW$9:AW22),""),"")</f>
        <v/>
      </c>
      <c r="AQ22" s="89">
        <f>IFERROR(IF(AE23&lt;&gt;AE22,AVERAGEIF(AE$9:AE22,AE22,AX$9:AX22),""),"")</f>
        <v/>
      </c>
      <c r="AR22" s="89">
        <f t="array" ref="AR22">IFERROR(IF(AE23&lt;&gt;AE22,_xlfn.STDEV.P(IF(AE$9:AE22=AE22,AX$9:AX22)),""),"")</f>
        <v/>
      </c>
      <c r="AS22" s="89">
        <f t="array" ref="AS22">IFERROR(IF(AE23&lt;&gt;AE22,_xlfn.STDEV.P(IF(AE$9:AE22=AE22,AW$9:AW22)),""),"")</f>
        <v/>
      </c>
      <c r="AT22" s="90">
        <f>IFERROR(IF(AE22&lt;&gt;AE23,MAX((((AQ22*24*60)/2)*(1+POWER((((AR22*24*60) / (AQ22*24*60) )),2))) + ((AQ22*24*60 )*-0.1 + (AO22*0.015)) +1,(((AQ22*24*60)/2)*(1+POWER((((AR22*24*60) / (AQ22*24*60 ))),2)))),""),"")</f>
        <v/>
      </c>
      <c r="AU22" s="90">
        <f>IF(AND(AS22&lt;&gt;"",AP22&lt;&gt;""),IF(AE22&lt;&gt;AE23,((AP22*24*60) / 2 ) * (1 + POWER(((AS22*24*60) / (AP22*24*60)),2)),""),"")</f>
        <v/>
      </c>
      <c r="AV22" s="90">
        <f>IF(AU22&lt;&gt;"",MAX(AT22,AU22),"")</f>
        <v/>
      </c>
      <c r="AW22" s="89">
        <f>IF(AM22&lt;&gt;"H. Sale Real",IF(AND(AM23&lt;&gt;"",LEFT(AG23,2)&lt;&gt;"Va"),IF(AND(AM22&lt;&gt;"",LEFT(AG22,2)&lt;&gt;"Va",AM22&lt;&gt;"H. Sale Real"),IF(AM23-AM22&lt;0.208333333333333,AM23-AM22,""),IF(AND(AM21&lt;&gt;"",LEFT(AG21,2)&lt;&gt;"Va",AM21&lt;&gt;"H. Sale Real"),IF(AM23-AM21&lt;0.208333333333333,AM23-AM21,""),IF(AND(AM20&lt;&gt;"",LEFT(AG20,2)&lt;&gt;"Va",AM20&lt;&gt;"H. Sale Real"),IF(AM23-AM20&lt;0.208333333333333,AM23-AM20,""),IF(AND(AM19&lt;&gt;"",LEFT(AG19,2)&lt;&gt;"Va",AM19&lt;&gt;"H. Sale Real"),IF(AM23-AM19&lt;0.208333333333333,AM23-AM19,""),IF(AND(AM18&lt;&gt;"",LEFT(AG18,2)&lt;&gt;"Va",AM18&lt;&gt;"H. Sale Real"),IF(AM23-AM18&lt;0.208333333333333,AM23-AM18,""),""))))),""),"")</f>
        <v/>
      </c>
      <c r="AX22" s="89">
        <f>IF(AK22&lt;&gt;"H. Sale Real",IF(AND(AK23&lt;&gt;"",LEFT(AG23,2)&lt;&gt;"Va"),IF(AND(AK22&lt;&gt;"",LEFT(AG22,2)&lt;&gt;"Va",AK22&lt;&gt;"H. Sale Real"),IF(AK23-AK22&lt;0.208333333333333,AK23-AK22,""),IF(AND(AK21&lt;&gt;"",LEFT(AG21,2)&lt;&gt;"Va",AK21&lt;&gt;"H. Sale Real"),IF(AK23-AK21&lt;0.208333333333333,AK23-AK21,""),IF(AND(AK20&lt;&gt;"",LEFT(AG20,2)&lt;&gt;"NC",AK20&lt;&gt;"H. Sale Real"),IF(AK23-AK20&lt;0.208333333333333,AK23-AK20,""),IF(AND(AK19&lt;&gt;"",LEFT(AG19,2)&lt;&gt;"Va",AK19&lt;&gt;"H. Sale Real"),IF(AK23-AK19&lt;0.208333333333333,AK23-AK19,""),IF(AND(AK18&lt;&gt;"",LEFT(AG18,2)&lt;&gt;"Va",AK18&lt;&gt;"H. Sale Real"),IF(AK23-AK18&lt;0.208333333333333,AK23-AK18,""),""))))),""),"")</f>
        <v/>
      </c>
      <c r="AY22" s="87" t="n"/>
      <c r="AZ22" s="89" t="n"/>
      <c r="BA22" s="87" t="n"/>
      <c r="BB22" s="89" t="n"/>
      <c r="BC22" s="91" t="n"/>
      <c r="BD22" s="122">
        <f>IF(AK22&lt;&gt;"",IF(AND(BD21&lt;&gt;"IE",AT22&lt;&gt;0,AV22&lt;&gt;""),IF(IFERROR((AT22/AV22),0) &lt;=1,IFERROR(AT22/AV22,""),1),""),"")</f>
        <v/>
      </c>
      <c r="BE22" s="93" t="n"/>
      <c r="BF22" s="105" t="n"/>
      <c r="BI22" s="8" t="n">
        <v>10</v>
      </c>
      <c r="BJ22" s="8">
        <f>COUNTIFS($A:$A,$BI22,$C:$C,$BI$11)</f>
        <v/>
      </c>
      <c r="BK22" s="8">
        <f>BJ22-COUNTIFS($A:$A,$BI22,$C:$C,$BI$11,$H:$H,"")</f>
        <v/>
      </c>
      <c r="BL22" s="54">
        <f>IFERROR((BK22/BJ22),"")</f>
        <v/>
      </c>
      <c r="BM22" s="8">
        <f>_xlfn.XLOOKUP(BI22,$A:$A,$R:$R,"0",0,-1)</f>
        <v/>
      </c>
      <c r="BN22" s="55">
        <f>_xlfn.XLOOKUP(BI22,$A:$A,$P:$P,"0",0,-1)</f>
        <v/>
      </c>
      <c r="BO22" s="123">
        <f>_xlfn.XLOOKUP(BI22,$A:$A,$Z:$Z,"",0,-1)</f>
        <v/>
      </c>
      <c r="BR22" s="8" t="n">
        <v>10</v>
      </c>
      <c r="BS22" s="8">
        <f>COUNTIFS($AE:$AE,$BR22,$AG:$AG,$BR$11)</f>
        <v/>
      </c>
      <c r="BT22" s="8">
        <f>BS22-COUNTIFS($AE:$AE,$BR22,$AG:$AG,$BR$11,$AL:$AL,"")</f>
        <v/>
      </c>
      <c r="BU22" s="54">
        <f>IFERROR((BT22/BS22),"")</f>
        <v/>
      </c>
      <c r="BV22" s="8">
        <f>_xlfn.XLOOKUP(BR22,$AE:$AE,$AV:$AV,"0",0,-1)</f>
        <v/>
      </c>
      <c r="BW22" s="55">
        <f>_xlfn.XLOOKUP(BR22,$AE:$AE,$AT:$AT,"0",0,-1)</f>
        <v/>
      </c>
      <c r="BX22" s="123">
        <f>_xlfn.XLOOKUP(BR22,$AE:$AE,$BD:$BD,"",0,-1)</f>
        <v/>
      </c>
      <c r="FC22" t="inlineStr">
        <is>
          <t>Diccionario 1</t>
        </is>
      </c>
      <c r="FD22" s="15" t="n">
        <v>1019</v>
      </c>
      <c r="FE22" s="15" t="inlineStr">
        <is>
          <t>D8478282K2PL</t>
        </is>
      </c>
      <c r="FF22" s="15" t="inlineStr">
        <is>
          <t>YV3T7U526KA195143</t>
        </is>
      </c>
      <c r="FG22" s="15" t="inlineStr">
        <is>
          <t>Volvo</t>
        </is>
      </c>
      <c r="FH22" s="15" t="inlineStr">
        <is>
          <t>B8R</t>
        </is>
      </c>
      <c r="FI22" s="15" t="inlineStr">
        <is>
          <t>MARCOPOLO</t>
        </is>
      </c>
      <c r="FJ22" s="15" t="inlineStr">
        <is>
          <t>TORINO</t>
        </is>
      </c>
      <c r="FK22" s="15" t="n">
        <v>2019</v>
      </c>
      <c r="FL22" s="15" t="inlineStr">
        <is>
          <t>B2PAL</t>
        </is>
      </c>
      <c r="FM22" s="15" t="inlineStr">
        <is>
          <t>LOS LIBERTADORES</t>
        </is>
      </c>
      <c r="FN22" s="15" t="inlineStr">
        <is>
          <t>Los Liberadores 6450, Lote 4A</t>
        </is>
      </c>
      <c r="FO22" s="15" t="inlineStr">
        <is>
          <t>Huechuraba</t>
        </is>
      </c>
      <c r="FP22" t="inlineStr">
        <is>
          <t>B</t>
        </is>
      </c>
      <c r="FS22" s="14" t="inlineStr">
        <is>
          <t>3006 / SFVZ-94|</t>
        </is>
      </c>
      <c r="FT22" t="inlineStr">
        <is>
          <t>SFVZ-94|</t>
        </is>
      </c>
      <c r="FU22" t="inlineStr">
        <is>
          <t>SFVZ-94</t>
        </is>
      </c>
      <c r="FV22">
        <f>VLOOKUP(FU22,FD:FL,9,0)</f>
        <v/>
      </c>
      <c r="FZ22" s="51" t="inlineStr">
        <is>
          <t>B17</t>
        </is>
      </c>
      <c r="GA22" s="117" t="n">
        <v>0</v>
      </c>
      <c r="GB22" s="117" t="n">
        <v>0</v>
      </c>
      <c r="GC22" s="117" t="n">
        <v>0</v>
      </c>
      <c r="GD22" s="117" t="n">
        <v>0</v>
      </c>
      <c r="GE22" s="117" t="n">
        <v>0</v>
      </c>
      <c r="GF22" s="117" t="n">
        <v>19.515</v>
      </c>
      <c r="GG22" s="117" t="n">
        <v>15.71</v>
      </c>
      <c r="GH22" s="117" t="n">
        <v>13.255</v>
      </c>
      <c r="GI22" s="117" t="n">
        <v>14.735</v>
      </c>
      <c r="GJ22" s="117" t="n">
        <v>15.74</v>
      </c>
      <c r="GK22" s="117" t="n">
        <v>15.465</v>
      </c>
      <c r="GL22" s="117" t="n">
        <v>15.135</v>
      </c>
      <c r="GM22" s="117" t="n">
        <v>15.295</v>
      </c>
      <c r="GN22" s="117" t="n">
        <v>15.625</v>
      </c>
      <c r="GO22" s="117" t="n">
        <v>15.64</v>
      </c>
      <c r="GP22" s="117" t="n">
        <v>15.085</v>
      </c>
      <c r="GQ22" s="117" t="n">
        <v>14.175</v>
      </c>
      <c r="GR22" s="117" t="n">
        <v>13.67</v>
      </c>
      <c r="GS22" s="117" t="n">
        <v>14.765</v>
      </c>
      <c r="GT22" s="117" t="n">
        <v>16.58</v>
      </c>
      <c r="GU22" s="117" t="n">
        <v>18.86</v>
      </c>
      <c r="GV22" s="117" t="n">
        <v>20.13</v>
      </c>
      <c r="GW22" s="117" t="n">
        <v>21.71</v>
      </c>
      <c r="GX22" s="117" t="n">
        <v>23.565</v>
      </c>
      <c r="HA22" s="35" t="n">
        <v>19</v>
      </c>
      <c r="HB22" s="35" t="n">
        <v>16</v>
      </c>
      <c r="HE22" t="inlineStr">
        <is>
          <t>U9</t>
        </is>
      </c>
      <c r="HF22" s="46" t="inlineStr">
        <is>
          <t>B36</t>
        </is>
      </c>
      <c r="HG22" s="46" t="inlineStr">
        <is>
          <t>B36</t>
        </is>
      </c>
      <c r="HH22" s="14" t="n">
        <v>35</v>
      </c>
      <c r="HL22" t="inlineStr">
        <is>
          <t>AlfaU9</t>
        </is>
      </c>
      <c r="HM22" s="46" t="inlineStr">
        <is>
          <t>B36</t>
        </is>
      </c>
      <c r="HN22" s="26" t="inlineStr">
        <is>
          <t>Santa Marta</t>
        </is>
      </c>
      <c r="HO22" s="14" t="n">
        <v>836</v>
      </c>
      <c r="IB22" s="74" t="inlineStr">
        <is>
          <t>Situación a Revisar</t>
        </is>
      </c>
    </row>
    <row r="23" ht="15.5" customHeight="1">
      <c r="A23" s="10">
        <f>HOUR(G23)+1</f>
        <v/>
      </c>
      <c r="B23" s="7" t="n"/>
      <c r="C23" s="7" t="n"/>
      <c r="D23" s="85">
        <f>IFERROR(
IF(AND(OR(Planilla!B23="C",Planilla!B23="c"), VLOOKUP(E23,FD:FP,13,0)="C"), "OK",IF(AND(OR(Planilla!B23="C",Planilla!B23="c"), OR(VLOOKUP(E23,FD:FP,13,0)="B", VLOOKUP(E23,FD:FP,13,0)="A")), "DEFICIT",IF(
AND(OR(Planilla!B23="B", Planilla!B23="BPAL"), VLOOKUP(E23,FD:FP,13,0)="B"), "OK",IF(AND(OR(Planilla!B23="B", Planilla!B23="BPAL"), VLOOKUP(E23,FD:FP,13,0)="A"), "DEFICIT",IF(AND(OR(Planilla!B23="B", Planilla!B23="BPAL"), VLOOKUP(E23,FD:FP,13,0)="C"), "SOBREOFERTA",IF(AND(Planilla!B23="A", VLOOKUP(E23,FD:FP,13,0)="A"), "OK",IF(
AND(Planilla!B23="A", OR(VLOOKUP(E23,FD:FP,13,0)="B", VLOOKUP(E23,FD:FP,13,0)="C")), "SOBREOFERTA",""
))))))),"")</f>
        <v/>
      </c>
      <c r="E23" s="8" t="n"/>
      <c r="F23" s="86" t="n"/>
      <c r="G23" s="87" t="n"/>
      <c r="H23" s="88">
        <f>IF(I23="","",IF(AND((I23-G23)&gt;=TIME(0,0,0),(I23-G23)&lt;TIME(0,3,0)),"OK",IF(AND((I23-G23)&gt;=TIME(0,3,0),(I23-G23)&lt;TIME(0,5,0)),"RETRASO DE 3-5 MIN",IF(AND((I23-G23)&gt;=TIME(0,5,0),(I23-G23)&lt;TIME(0,10,0)),"RETRASO DE 5-10 MIN",IF((I23-G23)&gt;=TIME(0,10,0),"RETRASO &gt;10 MIN", IF(AND((G23-I23)&gt;=TIME(0,0,0),(G23-I23)&lt;TIME(0,3,0)),"OK",IF((G23-I23)&gt;=TIME(0,3,0),"ADELANTADO")))))))</f>
        <v/>
      </c>
      <c r="I23" s="89" t="n"/>
      <c r="J23" s="89">
        <f>IF(A23&lt;&gt;"",HLOOKUP(VALUE(TEXT(G23,"h:mm:ss")),IF($C$6="Laboral",$FZ$4:$GX$227,IF($C$6="Sábado",$FZ$231:$GX$452,$FZ$456:$GX$656)),VLOOKUP($C$4,$HF$2:$HH$99,3,0)+IF(C$5="Ida",0,1),1),"")</f>
        <v/>
      </c>
      <c r="K23" s="89">
        <f>IF(A24&lt;&gt;A23,AVERAGEIF(A$9:A23,A23,J$9:J23),"")</f>
        <v/>
      </c>
      <c r="L23" s="89">
        <f>IFERROR(IF(A24&lt;&gt;A23,AVERAGEIF(A$9:A23,A23,S$9:S23),""),"")</f>
        <v/>
      </c>
      <c r="M23" s="89">
        <f>IFERROR(IF(A24&lt;&gt;A23,AVERAGEIF(A$9:A23,A23,T$9:T23),""),"")</f>
        <v/>
      </c>
      <c r="N23" s="89">
        <f t="array" ref="N23">IFERROR(IF(A24&lt;&gt;A23,_xlfn.STDEV.P(IF(A$9:A23=A23,T$9:T23)),""),"")</f>
        <v/>
      </c>
      <c r="O23" s="89">
        <f t="array" ref="O23">IFERROR(IF(A24&lt;&gt;A23,_xlfn.STDEV.P(IF(A$9:A23=A23,S$9:S23)),""),"")</f>
        <v/>
      </c>
      <c r="P23" s="90">
        <f>IFERROR(IF(A23&lt;&gt;A24,MAX((((M23*24*60)/2)*(1+POWER((((N23*24*60) / (M23*24*60) )),2))) + ((M23*24*60 )*-0.1 + (K23*0.015)) +1,(((M23*24*60)/2)*(1+POWER((((N23*24*60) / (M23*24*60 ))),2)))),""),"")</f>
        <v/>
      </c>
      <c r="Q23" s="90">
        <f>IF(AND(O23&lt;&gt;"",L23&lt;&gt;""),IF(A23&lt;&gt;A24,((L23*24*60) / 2 ) * (1 + POWER(((O23*24*60) / (L23*24*60)),2)),""),"")</f>
        <v/>
      </c>
      <c r="R23" s="90">
        <f>IF(Q23&lt;&gt;"",MAX(P23,Q23),"")</f>
        <v/>
      </c>
      <c r="S23" s="89">
        <f>IF(I23&lt;&gt;"H. Sale Real",IF(AND(I24&lt;&gt;"",LEFT(C24,2)&lt;&gt;"Va"),IF(AND(I23&lt;&gt;"",LEFT(C23,2)&lt;&gt;"Va",I23&lt;&gt;"H. Sale Real"),IF(I24-I23&lt;0.208333333333333,I24-I23,""),IF(AND(I22&lt;&gt;"",LEFT(C22,2)&lt;&gt;"Va",I22&lt;&gt;"H. Sale Real"),IF(I24-I22&lt;0.208333333333333,I24-I22,""),IF(AND(I21&lt;&gt;"",LEFT(C21,2)&lt;&gt;"Va",I21&lt;&gt;"H. Sale Real"),IF(I24-I21&lt;0.208333333333333,I24-I21,""),IF(AND(I20&lt;&gt;"",LEFT(C20,2)&lt;&gt;"Va",I20&lt;&gt;"H. Sale Real"),IF(I24-I20&lt;0.208333333333333,I24-I20,""),IF(AND(I19&lt;&gt;"",LEFT(C19,2)&lt;&gt;"Va",I19&lt;&gt;"H. Sale Real"),IF(I24-I19&lt;0.208333333333333,I24-I19,""),""))))),""),"")</f>
        <v/>
      </c>
      <c r="T23" s="89">
        <f>IF(G23&lt;&gt;"H. Sale Real",IF(AND(G24&lt;&gt;"",LEFT(C24,2)&lt;&gt;"Va"),IF(AND(G23&lt;&gt;"",LEFT(C23,2)&lt;&gt;"Va",G23&lt;&gt;"H. Sale Real"),IF(G24-G23&lt;0.208333333333333,G24-G23,""),IF(AND(G22&lt;&gt;"",LEFT(C22,2)&lt;&gt;"Va",G22&lt;&gt;"H. Sale Real"),IF(G24-G22&lt;0.208333333333333,G24-G22,""),IF(AND(G21&lt;&gt;"",LEFT(C21,2)&lt;&gt;"Va",G21&lt;&gt;"H. Sale Real"),IF(G24-G21&lt;0.208333333333333,G24-G21,""),IF(AND(G20&lt;&gt;"",LEFT(C20,2)&lt;&gt;"Va",G20&lt;&gt;"H. Sale Real"),IF(G24-G20&lt;0.208333333333333,G24-G20,""),IF(AND(G19&lt;&gt;"",LEFT(C19,2)&lt;&gt;"Va",G19&lt;&gt;"H. Sale Real"),IF(G24-G19&lt;0.208333333333333,G24-G19,""),""))))),""),"")</f>
        <v/>
      </c>
      <c r="U23" s="87" t="n"/>
      <c r="V23" s="89" t="n"/>
      <c r="W23" s="87" t="n"/>
      <c r="X23" s="89" t="n"/>
      <c r="Y23" s="91" t="n"/>
      <c r="Z23" s="122">
        <f>IF(G23&lt;&gt;"",IF(AND(Z22&lt;&gt;"IE",P23&lt;&gt;0,R23&lt;&gt;""),IF(IFERROR((P23/R23),0) &lt;=1,IFERROR(P23/R23,""),1),""),"")</f>
        <v/>
      </c>
      <c r="AA23" s="93" t="n"/>
      <c r="AB23" s="2" t="n"/>
      <c r="AE23" s="10">
        <f>HOUR(AK23)+1</f>
        <v/>
      </c>
      <c r="AF23" s="7" t="n"/>
      <c r="AG23" s="7" t="n"/>
      <c r="AH23" s="86" t="n"/>
      <c r="AI23" s="8" t="n"/>
      <c r="AJ23" s="86" t="n"/>
      <c r="AK23" s="87" t="n"/>
      <c r="AL23" s="88">
        <f>IF(AM23="","",IF(AND((AM23-AK23)&gt;=TIME(0,0,0),(AM23-AK23)&lt;TIME(0,3,0)),"OK",IF(AND((AM23-AK23)&gt;=TIME(0,3,0),(AM23-AK23)&lt;TIME(0,5,0)),"RETRASO DE 3-5 MIN",IF(AND((AM23-AK23)&gt;=TIME(0,5,0),(AM23-AK23)&lt;TIME(0,10,0)),"RETRASO DE 5-10 MIN",IF((AM23-AK23)&gt;=TIME(0,10,0),"RETRASO &gt;10 MIN", IF(AND((AK23-AM23)&gt;=TIME(0,0,0),(AK23-AM23)&lt;TIME(0,3,0)),"OK",IF((AK23-AM23)&gt;=TIME(0,3,0),"ADELANTADO")))))))</f>
        <v/>
      </c>
      <c r="AM23" s="91" t="n"/>
      <c r="AN23" s="89">
        <f>IF(AE23&lt;&gt;"",HLOOKUP(VALUE(TEXT(AK23,"h:mm:ss")),IF($C$6="Laboral",$FZ$4:$GX$227,IF($C$6="Sábado",$FZ$231:$GX$452,$FZ$456:$GX$656)),VLOOKUP($C$4,$HF$2:$HH$99,3,0)+IF(AG$5="Ida",0,1),1),"")</f>
        <v/>
      </c>
      <c r="AO23" s="89">
        <f>IF(AE24&lt;&gt;AE23,AVERAGEIF(AE$9:AE23,AE23,AN$9:AN23),"")</f>
        <v/>
      </c>
      <c r="AP23" s="89">
        <f>IFERROR(IF(AE24&lt;&gt;AE23,AVERAGEIF(AE$9:AE23,AE23,AW$9:AW23),""),"")</f>
        <v/>
      </c>
      <c r="AQ23" s="89">
        <f>IFERROR(IF(AE24&lt;&gt;AE23,AVERAGEIF(AE$9:AE23,AE23,AX$9:AX23),""),"")</f>
        <v/>
      </c>
      <c r="AR23" s="89">
        <f t="array" ref="AR23">IFERROR(IF(AE24&lt;&gt;AE23,_xlfn.STDEV.P(IF(AE$9:AE23=AE23,AX$9:AX23)),""),"")</f>
        <v/>
      </c>
      <c r="AS23" s="89">
        <f t="array" ref="AS23">IFERROR(IF(AE24&lt;&gt;AE23,_xlfn.STDEV.P(IF(AE$9:AE23=AE23,AW$9:AW23)),""),"")</f>
        <v/>
      </c>
      <c r="AT23" s="90">
        <f>IFERROR(IF(AE23&lt;&gt;AE24,MAX((((AQ23*24*60)/2)*(1+POWER((((AR23*24*60) / (AQ23*24*60) )),2))) + ((AQ23*24*60 )*-0.1 + (AO23*0.015)) +1,(((AQ23*24*60)/2)*(1+POWER((((AR23*24*60) / (AQ23*24*60 ))),2)))),""),"")</f>
        <v/>
      </c>
      <c r="AU23" s="90">
        <f>IF(AND(AS23&lt;&gt;"",AP23&lt;&gt;""),IF(AE23&lt;&gt;AE24,((AP23*24*60) / 2 ) * (1 + POWER(((AS23*24*60) / (AP23*24*60)),2)),""),"")</f>
        <v/>
      </c>
      <c r="AV23" s="90">
        <f>IF(AU23&lt;&gt;"",MAX(AT23,AU23),"")</f>
        <v/>
      </c>
      <c r="AW23" s="89">
        <f>IF(AM23&lt;&gt;"H. Sale Real",IF(AND(AM24&lt;&gt;"",LEFT(AG24,2)&lt;&gt;"Va"),IF(AND(AM23&lt;&gt;"",LEFT(AG23,2)&lt;&gt;"Va",AM23&lt;&gt;"H. Sale Real"),IF(AM24-AM23&lt;0.208333333333333,AM24-AM23,""),IF(AND(AM22&lt;&gt;"",LEFT(AG22,2)&lt;&gt;"Va",AM22&lt;&gt;"H. Sale Real"),IF(AM24-AM22&lt;0.208333333333333,AM24-AM22,""),IF(AND(AM21&lt;&gt;"",LEFT(AG21,2)&lt;&gt;"Va",AM21&lt;&gt;"H. Sale Real"),IF(AM24-AM21&lt;0.208333333333333,AM24-AM21,""),IF(AND(AM20&lt;&gt;"",LEFT(AG20,2)&lt;&gt;"Va",AM20&lt;&gt;"H. Sale Real"),IF(AM24-AM20&lt;0.208333333333333,AM24-AM20,""),IF(AND(AM19&lt;&gt;"",LEFT(AG19,2)&lt;&gt;"Va",AM19&lt;&gt;"H. Sale Real"),IF(AM24-AM19&lt;0.208333333333333,AM24-AM19,""),""))))),""),"")</f>
        <v/>
      </c>
      <c r="AX23" s="89">
        <f>IF(AK23&lt;&gt;"H. Sale Real",IF(AND(AK24&lt;&gt;"",LEFT(AG24,2)&lt;&gt;"Va"),IF(AND(AK23&lt;&gt;"",LEFT(AG23,2)&lt;&gt;"Va",AK23&lt;&gt;"H. Sale Real"),IF(AK24-AK23&lt;0.208333333333333,AK24-AK23,""),IF(AND(AK22&lt;&gt;"",LEFT(AG22,2)&lt;&gt;"Va",AK22&lt;&gt;"H. Sale Real"),IF(AK24-AK22&lt;0.208333333333333,AK24-AK22,""),IF(AND(AK21&lt;&gt;"",LEFT(AG21,2)&lt;&gt;"NC",AK21&lt;&gt;"H. Sale Real"),IF(AK24-AK21&lt;0.208333333333333,AK24-AK21,""),IF(AND(AK20&lt;&gt;"",LEFT(AG20,2)&lt;&gt;"Va",AK20&lt;&gt;"H. Sale Real"),IF(AK24-AK20&lt;0.208333333333333,AK24-AK20,""),IF(AND(AK19&lt;&gt;"",LEFT(AG19,2)&lt;&gt;"Va",AK19&lt;&gt;"H. Sale Real"),IF(AK24-AK19&lt;0.208333333333333,AK24-AK19,""),""))))),""),"")</f>
        <v/>
      </c>
      <c r="AY23" s="87" t="n"/>
      <c r="AZ23" s="89" t="n"/>
      <c r="BA23" s="87" t="n"/>
      <c r="BB23" s="89" t="n"/>
      <c r="BC23" s="91" t="n"/>
      <c r="BD23" s="122">
        <f>IF(AK23&lt;&gt;"",IF(AND(BD22&lt;&gt;"IE",AT23&lt;&gt;0,AV23&lt;&gt;""),IF(IFERROR((AT23/AV23),0) &lt;=1,IFERROR(AT23/AV23,""),1),""),"")</f>
        <v/>
      </c>
      <c r="BE23" s="93" t="n"/>
      <c r="BF23" s="105" t="n"/>
      <c r="BI23" s="8" t="n">
        <v>11</v>
      </c>
      <c r="BJ23" s="8">
        <f>COUNTIFS($A:$A,$BI23,$C:$C,$BI$11)</f>
        <v/>
      </c>
      <c r="BK23" s="8">
        <f>BJ23-COUNTIFS($A:$A,$BI23,$C:$C,$BI$11,$H:$H,"")</f>
        <v/>
      </c>
      <c r="BL23" s="54">
        <f>IFERROR((BK23/BJ23),"")</f>
        <v/>
      </c>
      <c r="BM23" s="8">
        <f>_xlfn.XLOOKUP(BI23,$A:$A,$R:$R,"0",0,-1)</f>
        <v/>
      </c>
      <c r="BN23" s="55">
        <f>_xlfn.XLOOKUP(BI23,$A:$A,$P:$P,"0",0,-1)</f>
        <v/>
      </c>
      <c r="BO23" s="123">
        <f>_xlfn.XLOOKUP(BI23,$A:$A,$Z:$Z,"",0,-1)</f>
        <v/>
      </c>
      <c r="BR23" s="8" t="n">
        <v>11</v>
      </c>
      <c r="BS23" s="8">
        <f>COUNTIFS($AE:$AE,$BR23,$AG:$AG,$BR$11)</f>
        <v/>
      </c>
      <c r="BT23" s="8">
        <f>BS23-COUNTIFS($AE:$AE,$BR23,$AG:$AG,$BR$11,$AL:$AL,"")</f>
        <v/>
      </c>
      <c r="BU23" s="54">
        <f>IFERROR((BT23/BS23),"")</f>
        <v/>
      </c>
      <c r="BV23" s="8">
        <f>_xlfn.XLOOKUP(BR23,$AE:$AE,$AV:$AV,"0",0,-1)</f>
        <v/>
      </c>
      <c r="BW23" s="55">
        <f>_xlfn.XLOOKUP(BR23,$AE:$AE,$AT:$AT,"0",0,-1)</f>
        <v/>
      </c>
      <c r="BX23" s="123">
        <f>_xlfn.XLOOKUP(BR23,$AE:$AE,$BD:$BD,"",0,-1)</f>
        <v/>
      </c>
      <c r="FC23" t="inlineStr">
        <is>
          <t>Diccionario 1</t>
        </is>
      </c>
      <c r="FD23" s="15" t="n">
        <v>1020</v>
      </c>
      <c r="FE23" s="15" t="inlineStr">
        <is>
          <t>D8482576K2PL</t>
        </is>
      </c>
      <c r="FF23" s="15" t="inlineStr">
        <is>
          <t>YV3T7U523KA195357</t>
        </is>
      </c>
      <c r="FG23" s="15" t="inlineStr">
        <is>
          <t>Volvo</t>
        </is>
      </c>
      <c r="FH23" s="15" t="inlineStr">
        <is>
          <t>B8R</t>
        </is>
      </c>
      <c r="FI23" s="15" t="inlineStr">
        <is>
          <t>MARCOPOLO</t>
        </is>
      </c>
      <c r="FJ23" s="15" t="inlineStr">
        <is>
          <t>TORINO</t>
        </is>
      </c>
      <c r="FK23" s="15" t="n">
        <v>2019</v>
      </c>
      <c r="FL23" s="15" t="inlineStr">
        <is>
          <t>B2PAL</t>
        </is>
      </c>
      <c r="FM23" s="15" t="inlineStr">
        <is>
          <t>LOS LIBERTADORES</t>
        </is>
      </c>
      <c r="FN23" s="15" t="inlineStr">
        <is>
          <t>Los Liberadores 6450, Lote 4A</t>
        </is>
      </c>
      <c r="FO23" s="15" t="inlineStr">
        <is>
          <t>Huechuraba</t>
        </is>
      </c>
      <c r="FP23" t="inlineStr">
        <is>
          <t>B</t>
        </is>
      </c>
      <c r="FS23" s="14" t="inlineStr">
        <is>
          <t>3006 / SFVZ-94|</t>
        </is>
      </c>
      <c r="FT23" t="inlineStr">
        <is>
          <t>SFVZ-94|</t>
        </is>
      </c>
      <c r="FU23" t="inlineStr">
        <is>
          <t>SFVZ-94</t>
        </is>
      </c>
      <c r="FV23">
        <f>VLOOKUP(FU23,FD:FL,9,0)</f>
        <v/>
      </c>
      <c r="FZ23" s="51" t="inlineStr">
        <is>
          <t>B18</t>
        </is>
      </c>
      <c r="GA23" s="117" t="n">
        <v>18.21</v>
      </c>
      <c r="GB23" s="117" t="n">
        <v>0</v>
      </c>
      <c r="GC23" s="117" t="n">
        <v>0</v>
      </c>
      <c r="GD23" s="117" t="n">
        <v>0</v>
      </c>
      <c r="GE23" s="117" t="n">
        <v>0</v>
      </c>
      <c r="GF23" s="117" t="n">
        <v>11.705</v>
      </c>
      <c r="GG23" s="117" t="n">
        <v>19.09</v>
      </c>
      <c r="GH23" s="117" t="n">
        <v>15.435</v>
      </c>
      <c r="GI23" s="117" t="n">
        <v>18.54</v>
      </c>
      <c r="GJ23" s="117" t="n">
        <v>21.87</v>
      </c>
      <c r="GK23" s="117" t="n">
        <v>23.255</v>
      </c>
      <c r="GL23" s="117" t="n">
        <v>23.18</v>
      </c>
      <c r="GM23" s="117" t="n">
        <v>23.15</v>
      </c>
      <c r="GN23" s="117" t="n">
        <v>23.46</v>
      </c>
      <c r="GO23" s="117" t="n">
        <v>23.915</v>
      </c>
      <c r="GP23" s="117" t="n">
        <v>23.77</v>
      </c>
      <c r="GQ23" s="117" t="n">
        <v>22.61</v>
      </c>
      <c r="GR23" s="117" t="n">
        <v>17.535</v>
      </c>
      <c r="GS23" s="117" t="n">
        <v>16.815</v>
      </c>
      <c r="GT23" s="117" t="n">
        <v>21.705</v>
      </c>
      <c r="GU23" s="117" t="n">
        <v>26.01</v>
      </c>
      <c r="GV23" s="117" t="n">
        <v>28.9</v>
      </c>
      <c r="GW23" s="117" t="n">
        <v>31.125</v>
      </c>
      <c r="GX23" s="117" t="n">
        <v>31.125</v>
      </c>
      <c r="HA23" s="35" t="n">
        <v>20</v>
      </c>
      <c r="HB23" s="35" t="n">
        <v>17</v>
      </c>
      <c r="HE23" t="inlineStr">
        <is>
          <t>U9</t>
        </is>
      </c>
      <c r="HF23" s="46" t="inlineStr">
        <is>
          <t>B37</t>
        </is>
      </c>
      <c r="HG23" s="46" t="inlineStr">
        <is>
          <t>B37</t>
        </is>
      </c>
      <c r="HH23" s="14" t="n">
        <v>30</v>
      </c>
      <c r="HL23" t="inlineStr">
        <is>
          <t>AlfaU9</t>
        </is>
      </c>
      <c r="HM23" s="46" t="inlineStr">
        <is>
          <t>B37</t>
        </is>
      </c>
      <c r="HN23" s="26" t="inlineStr">
        <is>
          <t>Santa Marta</t>
        </is>
      </c>
      <c r="HO23" s="14" t="n">
        <v>837</v>
      </c>
      <c r="IB23" s="53" t="inlineStr">
        <is>
          <t>No cuadra con Digicar</t>
        </is>
      </c>
    </row>
    <row r="24" ht="16" customHeight="1">
      <c r="A24" s="10">
        <f>HOUR(G24)+1</f>
        <v/>
      </c>
      <c r="B24" s="7" t="n"/>
      <c r="C24" s="7" t="n"/>
      <c r="D24" s="85">
        <f>IFERROR(
IF(AND(OR(Planilla!B24="C",Planilla!B24="c"), VLOOKUP(E24,FD:FP,13,0)="C"), "OK",IF(AND(OR(Planilla!B24="C",Planilla!B24="c"), OR(VLOOKUP(E24,FD:FP,13,0)="B", VLOOKUP(E24,FD:FP,13,0)="A")), "DEFICIT",IF(
AND(OR(Planilla!B24="B", Planilla!B24="BPAL"), VLOOKUP(E24,FD:FP,13,0)="B"), "OK",IF(AND(OR(Planilla!B24="B", Planilla!B24="BPAL"), VLOOKUP(E24,FD:FP,13,0)="A"), "DEFICIT",IF(AND(OR(Planilla!B24="B", Planilla!B24="BPAL"), VLOOKUP(E24,FD:FP,13,0)="C"), "SOBREOFERTA",IF(AND(Planilla!B24="A", VLOOKUP(E24,FD:FP,13,0)="A"), "OK",IF(
AND(Planilla!B24="A", OR(VLOOKUP(E24,FD:FP,13,0)="B", VLOOKUP(E24,FD:FP,13,0)="C")), "SOBREOFERTA",""
))))))),"")</f>
        <v/>
      </c>
      <c r="E24" s="8" t="n"/>
      <c r="F24" s="86" t="n"/>
      <c r="G24" s="87" t="n"/>
      <c r="H24" s="88">
        <f>IF(I24="","",IF(AND((I24-G24)&gt;=TIME(0,0,0),(I24-G24)&lt;TIME(0,3,0)),"OK",IF(AND((I24-G24)&gt;=TIME(0,3,0),(I24-G24)&lt;TIME(0,5,0)),"RETRASO DE 3-5 MIN",IF(AND((I24-G24)&gt;=TIME(0,5,0),(I24-G24)&lt;TIME(0,10,0)),"RETRASO DE 5-10 MIN",IF((I24-G24)&gt;=TIME(0,10,0),"RETRASO &gt;10 MIN", IF(AND((G24-I24)&gt;=TIME(0,0,0),(G24-I24)&lt;TIME(0,3,0)),"OK",IF((G24-I24)&gt;=TIME(0,3,0),"ADELANTADO")))))))</f>
        <v/>
      </c>
      <c r="I24" s="89" t="n"/>
      <c r="J24" s="89">
        <f>IF(A24&lt;&gt;"",HLOOKUP(VALUE(TEXT(G24,"h:mm:ss")),IF($C$6="Laboral",$FZ$4:$GX$227,IF($C$6="Sábado",$FZ$231:$GX$452,$FZ$456:$GX$656)),VLOOKUP($C$4,$HF$2:$HH$99,3,0)+IF(C$5="Ida",0,1),1),"")</f>
        <v/>
      </c>
      <c r="K24" s="89">
        <f>IF(A25&lt;&gt;A24,AVERAGEIF(A$9:A24,A24,J$9:J24),"")</f>
        <v/>
      </c>
      <c r="L24" s="89">
        <f>IFERROR(IF(A25&lt;&gt;A24,AVERAGEIF(A$9:A24,A24,S$9:S24),""),"")</f>
        <v/>
      </c>
      <c r="M24" s="89">
        <f>IFERROR(IF(A25&lt;&gt;A24,AVERAGEIF(A$9:A24,A24,T$9:T24),""),"")</f>
        <v/>
      </c>
      <c r="N24" s="89">
        <f t="array" ref="N24">IFERROR(IF(A25&lt;&gt;A24,_xlfn.STDEV.P(IF(A$9:A24=A24,T$9:T24)),""),"")</f>
        <v/>
      </c>
      <c r="O24" s="89">
        <f t="array" ref="O24">IFERROR(IF(A25&lt;&gt;A24,_xlfn.STDEV.P(IF(A$9:A24=A24,S$9:S24)),""),"")</f>
        <v/>
      </c>
      <c r="P24" s="90">
        <f>IFERROR(IF(A24&lt;&gt;A25,MAX((((M24*24*60)/2)*(1+POWER((((N24*24*60) / (M24*24*60) )),2))) + ((M24*24*60 )*-0.1 + (K24*0.015)) +1,(((M24*24*60)/2)*(1+POWER((((N24*24*60) / (M24*24*60 ))),2)))),""),"")</f>
        <v/>
      </c>
      <c r="Q24" s="90">
        <f>IF(AND(O24&lt;&gt;"",L24&lt;&gt;""),IF(A24&lt;&gt;A25,((L24*24*60) / 2 ) * (1 + POWER(((O24*24*60) / (L24*24*60)),2)),""),"")</f>
        <v/>
      </c>
      <c r="R24" s="90">
        <f>IF(Q24&lt;&gt;"",MAX(P24,Q24),"")</f>
        <v/>
      </c>
      <c r="S24" s="89">
        <f>IF(I24&lt;&gt;"H. Sale Real",IF(AND(I25&lt;&gt;"",LEFT(C25,2)&lt;&gt;"Va"),IF(AND(I24&lt;&gt;"",LEFT(C24,2)&lt;&gt;"Va",I24&lt;&gt;"H. Sale Real"),IF(I25-I24&lt;0.208333333333333,I25-I24,""),IF(AND(I23&lt;&gt;"",LEFT(C23,2)&lt;&gt;"Va",I23&lt;&gt;"H. Sale Real"),IF(I25-I23&lt;0.208333333333333,I25-I23,""),IF(AND(I22&lt;&gt;"",LEFT(C22,2)&lt;&gt;"Va",I22&lt;&gt;"H. Sale Real"),IF(I25-I22&lt;0.208333333333333,I25-I22,""),IF(AND(I21&lt;&gt;"",LEFT(C21,2)&lt;&gt;"Va",I21&lt;&gt;"H. Sale Real"),IF(I25-I21&lt;0.208333333333333,I25-I21,""),IF(AND(I20&lt;&gt;"",LEFT(C20,2)&lt;&gt;"Va",I20&lt;&gt;"H. Sale Real"),IF(I25-I20&lt;0.208333333333333,I25-I20,""),""))))),""),"")</f>
        <v/>
      </c>
      <c r="T24" s="89">
        <f>IF(G24&lt;&gt;"H. Sale Real",IF(AND(G25&lt;&gt;"",LEFT(C25,2)&lt;&gt;"Va"),IF(AND(G24&lt;&gt;"",LEFT(C24,2)&lt;&gt;"Va",G24&lt;&gt;"H. Sale Real"),IF(G25-G24&lt;0.208333333333333,G25-G24,""),IF(AND(G23&lt;&gt;"",LEFT(C23,2)&lt;&gt;"Va",G23&lt;&gt;"H. Sale Real"),IF(G25-G23&lt;0.208333333333333,G25-G23,""),IF(AND(G22&lt;&gt;"",LEFT(C22,2)&lt;&gt;"Va",G22&lt;&gt;"H. Sale Real"),IF(G25-G22&lt;0.208333333333333,G25-G22,""),IF(AND(G21&lt;&gt;"",LEFT(C21,2)&lt;&gt;"Va",G21&lt;&gt;"H. Sale Real"),IF(G25-G21&lt;0.208333333333333,G25-G21,""),IF(AND(G20&lt;&gt;"",LEFT(C20,2)&lt;&gt;"Va",G20&lt;&gt;"H. Sale Real"),IF(G25-G20&lt;0.208333333333333,G25-G20,""),""))))),""),"")</f>
        <v/>
      </c>
      <c r="U24" s="87" t="n"/>
      <c r="V24" s="89" t="n"/>
      <c r="W24" s="87" t="n"/>
      <c r="X24" s="89" t="n"/>
      <c r="Y24" s="91" t="n"/>
      <c r="Z24" s="122">
        <f>IF(G24&lt;&gt;"",IF(AND(Z23&lt;&gt;"IE",P24&lt;&gt;0,R24&lt;&gt;""),IF(IFERROR((P24/R24),0) &lt;=1,IFERROR(P24/R24,""),1),""),"")</f>
        <v/>
      </c>
      <c r="AA24" s="93" t="n"/>
      <c r="AB24" s="2" t="n"/>
      <c r="AE24" s="10">
        <f>HOUR(AK24)+1</f>
        <v/>
      </c>
      <c r="AF24" s="7" t="n"/>
      <c r="AG24" s="7" t="n"/>
      <c r="AH24" s="86" t="n"/>
      <c r="AI24" s="8" t="n"/>
      <c r="AJ24" s="86" t="n"/>
      <c r="AK24" s="87" t="n"/>
      <c r="AL24" s="88">
        <f>IF(AM24="","",IF(AND((AM24-AK24)&gt;=TIME(0,0,0),(AM24-AK24)&lt;TIME(0,3,0)),"OK",IF(AND((AM24-AK24)&gt;=TIME(0,3,0),(AM24-AK24)&lt;TIME(0,5,0)),"RETRASO DE 3-5 MIN",IF(AND((AM24-AK24)&gt;=TIME(0,5,0),(AM24-AK24)&lt;TIME(0,10,0)),"RETRASO DE 5-10 MIN",IF((AM24-AK24)&gt;=TIME(0,10,0),"RETRASO &gt;10 MIN", IF(AND((AK24-AM24)&gt;=TIME(0,0,0),(AK24-AM24)&lt;TIME(0,3,0)),"OK",IF((AK24-AM24)&gt;=TIME(0,3,0),"ADELANTADO")))))))</f>
        <v/>
      </c>
      <c r="AM24" s="91" t="n"/>
      <c r="AN24" s="89">
        <f>IF(AE24&lt;&gt;"",HLOOKUP(VALUE(TEXT(AK24,"h:mm:ss")),IF($C$6="Laboral",$FZ$4:$GX$227,IF($C$6="Sábado",$FZ$231:$GX$452,$FZ$456:$GX$656)),VLOOKUP($C$4,$HF$2:$HH$99,3,0)+IF(AG$5="Ida",0,1),1),"")</f>
        <v/>
      </c>
      <c r="AO24" s="89">
        <f>IF(AE25&lt;&gt;AE24,AVERAGEIF(AE$9:AE24,AE24,AN$9:AN24),"")</f>
        <v/>
      </c>
      <c r="AP24" s="89">
        <f>IFERROR(IF(AE25&lt;&gt;AE24,AVERAGEIF(AE$9:AE24,AE24,AW$9:AW24),""),"")</f>
        <v/>
      </c>
      <c r="AQ24" s="89">
        <f>IFERROR(IF(AE25&lt;&gt;AE24,AVERAGEIF(AE$9:AE24,AE24,AX$9:AX24),""),"")</f>
        <v/>
      </c>
      <c r="AR24" s="89">
        <f t="array" ref="AR24">IFERROR(IF(AE25&lt;&gt;AE24,_xlfn.STDEV.P(IF(AE$9:AE24=AE24,AX$9:AX24)),""),"")</f>
        <v/>
      </c>
      <c r="AS24" s="89">
        <f t="array" ref="AS24">IFERROR(IF(AE25&lt;&gt;AE24,_xlfn.STDEV.P(IF(AE$9:AE24=AE24,AW$9:AW24)),""),"")</f>
        <v/>
      </c>
      <c r="AT24" s="90">
        <f>IFERROR(IF(AE24&lt;&gt;AE25,MAX((((AQ24*24*60)/2)*(1+POWER((((AR24*24*60) / (AQ24*24*60) )),2))) + ((AQ24*24*60 )*-0.1 + (AO24*0.015)) +1,(((AQ24*24*60)/2)*(1+POWER((((AR24*24*60) / (AQ24*24*60 ))),2)))),""),"")</f>
        <v/>
      </c>
      <c r="AU24" s="90">
        <f>IF(AND(AS24&lt;&gt;"",AP24&lt;&gt;""),IF(AE24&lt;&gt;AE25,((AP24*24*60) / 2 ) * (1 + POWER(((AS24*24*60) / (AP24*24*60)),2)),""),"")</f>
        <v/>
      </c>
      <c r="AV24" s="90">
        <f>IF(AU24&lt;&gt;"",MAX(AT24,AU24),"")</f>
        <v/>
      </c>
      <c r="AW24" s="89">
        <f>IF(AM24&lt;&gt;"H. Sale Real",IF(AND(AM25&lt;&gt;"",LEFT(AG25,2)&lt;&gt;"Va"),IF(AND(AM24&lt;&gt;"",LEFT(AG24,2)&lt;&gt;"Va",AM24&lt;&gt;"H. Sale Real"),IF(AM25-AM24&lt;0.208333333333333,AM25-AM24,""),IF(AND(AM23&lt;&gt;"",LEFT(AG23,2)&lt;&gt;"Va",AM23&lt;&gt;"H. Sale Real"),IF(AM25-AM23&lt;0.208333333333333,AM25-AM23,""),IF(AND(AM22&lt;&gt;"",LEFT(AG22,2)&lt;&gt;"Va",AM22&lt;&gt;"H. Sale Real"),IF(AM25-AM22&lt;0.208333333333333,AM25-AM22,""),IF(AND(AM21&lt;&gt;"",LEFT(AG21,2)&lt;&gt;"Va",AM21&lt;&gt;"H. Sale Real"),IF(AM25-AM21&lt;0.208333333333333,AM25-AM21,""),IF(AND(AM20&lt;&gt;"",LEFT(AG20,2)&lt;&gt;"Va",AM20&lt;&gt;"H. Sale Real"),IF(AM25-AM20&lt;0.208333333333333,AM25-AM20,""),""))))),""),"")</f>
        <v/>
      </c>
      <c r="AX24" s="89">
        <f>IF(AK24&lt;&gt;"H. Sale Real",IF(AND(AK25&lt;&gt;"",LEFT(AG25,2)&lt;&gt;"Va"),IF(AND(AK24&lt;&gt;"",LEFT(AG24,2)&lt;&gt;"Va",AK24&lt;&gt;"H. Sale Real"),IF(AK25-AK24&lt;0.208333333333333,AK25-AK24,""),IF(AND(AK23&lt;&gt;"",LEFT(AG23,2)&lt;&gt;"Va",AK23&lt;&gt;"H. Sale Real"),IF(AK25-AK23&lt;0.208333333333333,AK25-AK23,""),IF(AND(AK22&lt;&gt;"",LEFT(AG22,2)&lt;&gt;"NC",AK22&lt;&gt;"H. Sale Real"),IF(AK25-AK22&lt;0.208333333333333,AK25-AK22,""),IF(AND(AK21&lt;&gt;"",LEFT(AG21,2)&lt;&gt;"Va",AK21&lt;&gt;"H. Sale Real"),IF(AK25-AK21&lt;0.208333333333333,AK25-AK21,""),IF(AND(AK20&lt;&gt;"",LEFT(AG20,2)&lt;&gt;"Va",AK20&lt;&gt;"H. Sale Real"),IF(AK25-AK20&lt;0.208333333333333,AK25-AK20,""),""))))),""),"")</f>
        <v/>
      </c>
      <c r="AY24" s="87" t="n"/>
      <c r="AZ24" s="89" t="n"/>
      <c r="BA24" s="87" t="n"/>
      <c r="BB24" s="89" t="n"/>
      <c r="BC24" s="91" t="n"/>
      <c r="BD24" s="122">
        <f>IF(AK24&lt;&gt;"",IF(AND(BD23&lt;&gt;"IE",AT24&lt;&gt;0,AV24&lt;&gt;""),IF(IFERROR((AT24/AV24),0) &lt;=1,IFERROR(AT24/AV24,""),1),""),"")</f>
        <v/>
      </c>
      <c r="BE24" s="93" t="n"/>
      <c r="BF24" s="105" t="n"/>
      <c r="BI24" s="8" t="n">
        <v>12</v>
      </c>
      <c r="BJ24" s="8">
        <f>COUNTIFS($A:$A,$BI24,$C:$C,$BI$11)</f>
        <v/>
      </c>
      <c r="BK24" s="8">
        <f>BJ24-COUNTIFS($A:$A,$BI24,$C:$C,$BI$11,$H:$H,"")</f>
        <v/>
      </c>
      <c r="BL24" s="54">
        <f>IFERROR((BK24/BJ24),"")</f>
        <v/>
      </c>
      <c r="BM24" s="8">
        <f>_xlfn.XLOOKUP(BI24,$A:$A,$R:$R,"0",0,-1)</f>
        <v/>
      </c>
      <c r="BN24" s="55">
        <f>_xlfn.XLOOKUP(BI24,$A:$A,$P:$P,"0",0,-1)</f>
        <v/>
      </c>
      <c r="BO24" s="123">
        <f>_xlfn.XLOOKUP(BI24,$A:$A,$Z:$Z,"",0,-1)</f>
        <v/>
      </c>
      <c r="BR24" s="8" t="n">
        <v>12</v>
      </c>
      <c r="BS24" s="8">
        <f>COUNTIFS($AE:$AE,$BR24,$AG:$AG,$BR$11)</f>
        <v/>
      </c>
      <c r="BT24" s="8">
        <f>BS24-COUNTIFS($AE:$AE,$BR24,$AG:$AG,$BR$11,$AL:$AL,"")</f>
        <v/>
      </c>
      <c r="BU24" s="54">
        <f>IFERROR((BT24/BS24),"")</f>
        <v/>
      </c>
      <c r="BV24" s="8">
        <f>_xlfn.XLOOKUP(BR24,$AE:$AE,$AV:$AV,"0",0,-1)</f>
        <v/>
      </c>
      <c r="BW24" s="55">
        <f>_xlfn.XLOOKUP(BR24,$AE:$AE,$AT:$AT,"0",0,-1)</f>
        <v/>
      </c>
      <c r="BX24" s="123">
        <f>_xlfn.XLOOKUP(BR24,$AE:$AE,$BD:$BD,"",0,-1)</f>
        <v/>
      </c>
      <c r="FC24" t="inlineStr">
        <is>
          <t>Diccionario 1</t>
        </is>
      </c>
      <c r="FD24" s="15" t="n">
        <v>1021</v>
      </c>
      <c r="FE24" s="15" t="inlineStr">
        <is>
          <t>D8482502K2PL</t>
        </is>
      </c>
      <c r="FF24" s="15" t="inlineStr">
        <is>
          <t>YV3T7U523KA195360</t>
        </is>
      </c>
      <c r="FG24" s="15" t="inlineStr">
        <is>
          <t>Volvo</t>
        </is>
      </c>
      <c r="FH24" s="15" t="inlineStr">
        <is>
          <t>B8R</t>
        </is>
      </c>
      <c r="FI24" s="15" t="inlineStr">
        <is>
          <t>MARCOPOLO</t>
        </is>
      </c>
      <c r="FJ24" s="15" t="inlineStr">
        <is>
          <t>TORINO</t>
        </is>
      </c>
      <c r="FK24" s="15" t="n">
        <v>2019</v>
      </c>
      <c r="FL24" s="15" t="inlineStr">
        <is>
          <t>B2PAL</t>
        </is>
      </c>
      <c r="FM24" s="15" t="inlineStr">
        <is>
          <t>LOS LIBERTADORES</t>
        </is>
      </c>
      <c r="FN24" s="15" t="inlineStr">
        <is>
          <t>Los Liberadores 6450, Lote 4A</t>
        </is>
      </c>
      <c r="FO24" s="15" t="inlineStr">
        <is>
          <t>Huechuraba</t>
        </is>
      </c>
      <c r="FP24" t="inlineStr">
        <is>
          <t>B</t>
        </is>
      </c>
      <c r="FS24" s="14" t="inlineStr">
        <is>
          <t>3006 / SFVZ-94|</t>
        </is>
      </c>
      <c r="FT24" t="inlineStr">
        <is>
          <t>SFVZ-94|</t>
        </is>
      </c>
      <c r="FU24" t="inlineStr">
        <is>
          <t>SFVZ-94</t>
        </is>
      </c>
      <c r="FV24">
        <f>VLOOKUP(FU24,FD:FL,9,0)</f>
        <v/>
      </c>
      <c r="FZ24" s="51" t="inlineStr">
        <is>
          <t>B18</t>
        </is>
      </c>
      <c r="GA24" s="117" t="n">
        <v>0</v>
      </c>
      <c r="GB24" s="117" t="n">
        <v>0</v>
      </c>
      <c r="GC24" s="117" t="n">
        <v>0</v>
      </c>
      <c r="GD24" s="117" t="n">
        <v>0</v>
      </c>
      <c r="GE24" s="117" t="n">
        <v>0</v>
      </c>
      <c r="GF24" s="117" t="n">
        <v>25.505</v>
      </c>
      <c r="GG24" s="117" t="n">
        <v>18.24</v>
      </c>
      <c r="GH24" s="117" t="n">
        <v>13.375</v>
      </c>
      <c r="GI24" s="117" t="n">
        <v>16.31</v>
      </c>
      <c r="GJ24" s="117" t="n">
        <v>18.185</v>
      </c>
      <c r="GK24" s="117" t="n">
        <v>18.57</v>
      </c>
      <c r="GL24" s="117" t="n">
        <v>18.21</v>
      </c>
      <c r="GM24" s="117" t="n">
        <v>17.125</v>
      </c>
      <c r="GN24" s="117" t="n">
        <v>17.22</v>
      </c>
      <c r="GO24" s="117" t="n">
        <v>17.465</v>
      </c>
      <c r="GP24" s="117" t="n">
        <v>16.485</v>
      </c>
      <c r="GQ24" s="117" t="n">
        <v>15.45</v>
      </c>
      <c r="GR24" s="117" t="n">
        <v>13.52</v>
      </c>
      <c r="GS24" s="117" t="n">
        <v>12.96</v>
      </c>
      <c r="GT24" s="117" t="n">
        <v>15.92</v>
      </c>
      <c r="GU24" s="117" t="n">
        <v>19.525</v>
      </c>
      <c r="GV24" s="117" t="n">
        <v>21.65</v>
      </c>
      <c r="GW24" s="117" t="n">
        <v>23.63</v>
      </c>
      <c r="GX24" s="117" t="n">
        <v>26.02</v>
      </c>
      <c r="HA24" s="35" t="n">
        <v>21</v>
      </c>
      <c r="HB24" s="35" t="n">
        <v>18</v>
      </c>
      <c r="HE24" t="inlineStr">
        <is>
          <t>U9</t>
        </is>
      </c>
      <c r="HF24" s="46" t="n">
        <v>410</v>
      </c>
      <c r="HG24" s="46" t="n">
        <v>410</v>
      </c>
      <c r="HH24" s="14" t="n">
        <v>36</v>
      </c>
      <c r="HL24" t="inlineStr">
        <is>
          <t>AlfaU9</t>
        </is>
      </c>
      <c r="HM24" s="46" t="n">
        <v>410</v>
      </c>
      <c r="HN24" s="26" t="inlineStr">
        <is>
          <t>Condell</t>
        </is>
      </c>
      <c r="HO24" s="14" t="n">
        <v>841</v>
      </c>
      <c r="IB24" s="74" t="inlineStr">
        <is>
          <t>Problema en Despacho</t>
        </is>
      </c>
    </row>
    <row r="25" ht="16" customHeight="1">
      <c r="A25" s="10">
        <f>HOUR(G25)+1</f>
        <v/>
      </c>
      <c r="B25" s="7" t="n"/>
      <c r="C25" s="7" t="n"/>
      <c r="D25" s="85">
        <f>IFERROR(
IF(AND(OR(Planilla!B25="C",Planilla!B25="c"), VLOOKUP(E25,FD:FP,13,0)="C"), "OK",IF(AND(OR(Planilla!B25="C",Planilla!B25="c"), OR(VLOOKUP(E25,FD:FP,13,0)="B", VLOOKUP(E25,FD:FP,13,0)="A")), "DEFICIT",IF(
AND(OR(Planilla!B25="B", Planilla!B25="BPAL"), VLOOKUP(E25,FD:FP,13,0)="B"), "OK",IF(AND(OR(Planilla!B25="B", Planilla!B25="BPAL"), VLOOKUP(E25,FD:FP,13,0)="A"), "DEFICIT",IF(AND(OR(Planilla!B25="B", Planilla!B25="BPAL"), VLOOKUP(E25,FD:FP,13,0)="C"), "SOBREOFERTA",IF(AND(Planilla!B25="A", VLOOKUP(E25,FD:FP,13,0)="A"), "OK",IF(
AND(Planilla!B25="A", OR(VLOOKUP(E25,FD:FP,13,0)="B", VLOOKUP(E25,FD:FP,13,0)="C")), "SOBREOFERTA",""
))))))),"")</f>
        <v/>
      </c>
      <c r="E25" s="8" t="n"/>
      <c r="F25" s="86" t="n"/>
      <c r="G25" s="87" t="n"/>
      <c r="H25" s="88">
        <f>IF(I25="","",IF(AND((I25-G25)&gt;=TIME(0,0,0),(I25-G25)&lt;TIME(0,3,0)),"OK",IF(AND((I25-G25)&gt;=TIME(0,3,0),(I25-G25)&lt;TIME(0,5,0)),"RETRASO DE 3-5 MIN",IF(AND((I25-G25)&gt;=TIME(0,5,0),(I25-G25)&lt;TIME(0,10,0)),"RETRASO DE 5-10 MIN",IF((I25-G25)&gt;=TIME(0,10,0),"RETRASO &gt;10 MIN", IF(AND((G25-I25)&gt;=TIME(0,0,0),(G25-I25)&lt;TIME(0,3,0)),"OK",IF((G25-I25)&gt;=TIME(0,3,0),"ADELANTADO")))))))</f>
        <v/>
      </c>
      <c r="I25" s="89" t="n"/>
      <c r="J25" s="89">
        <f>IF(A25&lt;&gt;"",HLOOKUP(VALUE(TEXT(G25,"h:mm:ss")),IF($C$6="Laboral",$FZ$4:$GX$227,IF($C$6="Sábado",$FZ$231:$GX$452,$FZ$456:$GX$656)),VLOOKUP($C$4,$HF$2:$HH$99,3,0)+IF(C$5="Ida",0,1),1),"")</f>
        <v/>
      </c>
      <c r="K25" s="89">
        <f>IF(A26&lt;&gt;A25,AVERAGEIF(A$9:A25,A25,J$9:J25),"")</f>
        <v/>
      </c>
      <c r="L25" s="89">
        <f>IFERROR(IF(A26&lt;&gt;A25,AVERAGEIF(A$9:A25,A25,S$9:S25),""),"")</f>
        <v/>
      </c>
      <c r="M25" s="89">
        <f>IFERROR(IF(A26&lt;&gt;A25,AVERAGEIF(A$9:A25,A25,T$9:T25),""),"")</f>
        <v/>
      </c>
      <c r="N25" s="89">
        <f t="array" ref="N25">IFERROR(IF(A26&lt;&gt;A25,_xlfn.STDEV.P(IF(A$9:A25=A25,T$9:T25)),""),"")</f>
        <v/>
      </c>
      <c r="O25" s="89">
        <f t="array" ref="O25">IFERROR(IF(A26&lt;&gt;A25,_xlfn.STDEV.P(IF(A$9:A25=A25,S$9:S25)),""),"")</f>
        <v/>
      </c>
      <c r="P25" s="90">
        <f>IFERROR(IF(A25&lt;&gt;A26,MAX((((M25*24*60)/2)*(1+POWER((((N25*24*60) / (M25*24*60) )),2))) + ((M25*24*60 )*-0.1 + (K25*0.015)) +1,(((M25*24*60)/2)*(1+POWER((((N25*24*60) / (M25*24*60 ))),2)))),""),"")</f>
        <v/>
      </c>
      <c r="Q25" s="90">
        <f>IF(AND(O25&lt;&gt;"",L25&lt;&gt;""),IF(A25&lt;&gt;A26,((L25*24*60) / 2 ) * (1 + POWER(((O25*24*60) / (L25*24*60)),2)),""),"")</f>
        <v/>
      </c>
      <c r="R25" s="90">
        <f>IF(Q25&lt;&gt;"",MAX(P25,Q25),"")</f>
        <v/>
      </c>
      <c r="S25" s="89">
        <f>IF(I25&lt;&gt;"H. Sale Real",IF(AND(I26&lt;&gt;"",LEFT(C26,2)&lt;&gt;"Va"),IF(AND(I25&lt;&gt;"",LEFT(C25,2)&lt;&gt;"Va",I25&lt;&gt;"H. Sale Real"),IF(I26-I25&lt;0.208333333333333,I26-I25,""),IF(AND(I24&lt;&gt;"",LEFT(C24,2)&lt;&gt;"Va",I24&lt;&gt;"H. Sale Real"),IF(I26-I24&lt;0.208333333333333,I26-I24,""),IF(AND(I23&lt;&gt;"",LEFT(C23,2)&lt;&gt;"Va",I23&lt;&gt;"H. Sale Real"),IF(I26-I23&lt;0.208333333333333,I26-I23,""),IF(AND(I22&lt;&gt;"",LEFT(C22,2)&lt;&gt;"Va",I22&lt;&gt;"H. Sale Real"),IF(I26-I22&lt;0.208333333333333,I26-I22,""),IF(AND(I21&lt;&gt;"",LEFT(C21,2)&lt;&gt;"Va",I21&lt;&gt;"H. Sale Real"),IF(I26-I21&lt;0.208333333333333,I26-I21,""),""))))),""),"")</f>
        <v/>
      </c>
      <c r="T25" s="89">
        <f>IF(G25&lt;&gt;"H. Sale Real",IF(AND(G26&lt;&gt;"",LEFT(C26,2)&lt;&gt;"Va"),IF(AND(G25&lt;&gt;"",LEFT(C25,2)&lt;&gt;"Va",G25&lt;&gt;"H. Sale Real"),IF(G26-G25&lt;0.208333333333333,G26-G25,""),IF(AND(G24&lt;&gt;"",LEFT(C24,2)&lt;&gt;"Va",G24&lt;&gt;"H. Sale Real"),IF(G26-G24&lt;0.208333333333333,G26-G24,""),IF(AND(G23&lt;&gt;"",LEFT(C23,2)&lt;&gt;"Va",G23&lt;&gt;"H. Sale Real"),IF(G26-G23&lt;0.208333333333333,G26-G23,""),IF(AND(G22&lt;&gt;"",LEFT(C22,2)&lt;&gt;"Va",G22&lt;&gt;"H. Sale Real"),IF(G26-G22&lt;0.208333333333333,G26-G22,""),IF(AND(G21&lt;&gt;"",LEFT(C21,2)&lt;&gt;"Va",G21&lt;&gt;"H. Sale Real"),IF(G26-G21&lt;0.208333333333333,G26-G21,""),""))))),""),"")</f>
        <v/>
      </c>
      <c r="U25" s="87" t="n"/>
      <c r="V25" s="89" t="n"/>
      <c r="W25" s="87" t="n"/>
      <c r="X25" s="89" t="n"/>
      <c r="Y25" s="91" t="n"/>
      <c r="Z25" s="122">
        <f>IF(G25&lt;&gt;"",IF(AND(Z24&lt;&gt;"IE",P25&lt;&gt;0,R25&lt;&gt;""),IF(IFERROR((P25/R25),0) &lt;=1,IFERROR(P25/R25,""),1),""),"")</f>
        <v/>
      </c>
      <c r="AA25" s="93" t="n"/>
      <c r="AB25" s="2" t="n"/>
      <c r="AE25" s="10">
        <f>HOUR(AK25)+1</f>
        <v/>
      </c>
      <c r="AF25" s="7" t="n"/>
      <c r="AG25" s="7" t="n"/>
      <c r="AH25" s="86" t="n"/>
      <c r="AI25" s="8" t="n"/>
      <c r="AJ25" s="86" t="n"/>
      <c r="AK25" s="87" t="n"/>
      <c r="AL25" s="88">
        <f>IF(AM25="","",IF(AND((AM25-AK25)&gt;=TIME(0,0,0),(AM25-AK25)&lt;TIME(0,3,0)),"OK",IF(AND((AM25-AK25)&gt;=TIME(0,3,0),(AM25-AK25)&lt;TIME(0,5,0)),"RETRASO DE 3-5 MIN",IF(AND((AM25-AK25)&gt;=TIME(0,5,0),(AM25-AK25)&lt;TIME(0,10,0)),"RETRASO DE 5-10 MIN",IF((AM25-AK25)&gt;=TIME(0,10,0),"RETRASO &gt;10 MIN", IF(AND((AK25-AM25)&gt;=TIME(0,0,0),(AK25-AM25)&lt;TIME(0,3,0)),"OK",IF((AK25-AM25)&gt;=TIME(0,3,0),"ADELANTADO")))))))</f>
        <v/>
      </c>
      <c r="AM25" s="91" t="n"/>
      <c r="AN25" s="89">
        <f>IF(AE25&lt;&gt;"",HLOOKUP(VALUE(TEXT(AK25,"h:mm:ss")),IF($C$6="Laboral",$FZ$4:$GX$227,IF($C$6="Sábado",$FZ$231:$GX$452,$FZ$456:$GX$656)),VLOOKUP($C$4,$HF$2:$HH$99,3,0)+IF(AG$5="Ida",0,1),1),"")</f>
        <v/>
      </c>
      <c r="AO25" s="89">
        <f>IF(AE26&lt;&gt;AE25,AVERAGEIF(AE$9:AE25,AE25,AN$9:AN25),"")</f>
        <v/>
      </c>
      <c r="AP25" s="89">
        <f>IFERROR(IF(AE26&lt;&gt;AE25,AVERAGEIF(AE$9:AE25,AE25,AW$9:AW25),""),"")</f>
        <v/>
      </c>
      <c r="AQ25" s="89">
        <f>IFERROR(IF(AE26&lt;&gt;AE25,AVERAGEIF(AE$9:AE25,AE25,AX$9:AX25),""),"")</f>
        <v/>
      </c>
      <c r="AR25" s="89">
        <f t="array" ref="AR25">IFERROR(IF(AE26&lt;&gt;AE25,_xlfn.STDEV.P(IF(AE$9:AE25=AE25,AX$9:AX25)),""),"")</f>
        <v/>
      </c>
      <c r="AS25" s="89">
        <f t="array" ref="AS25">IFERROR(IF(AE26&lt;&gt;AE25,_xlfn.STDEV.P(IF(AE$9:AE25=AE25,AW$9:AW25)),""),"")</f>
        <v/>
      </c>
      <c r="AT25" s="90">
        <f>IFERROR(IF(AE25&lt;&gt;AE26,MAX((((AQ25*24*60)/2)*(1+POWER((((AR25*24*60) / (AQ25*24*60) )),2))) + ((AQ25*24*60 )*-0.1 + (AO25*0.015)) +1,(((AQ25*24*60)/2)*(1+POWER((((AR25*24*60) / (AQ25*24*60 ))),2)))),""),"")</f>
        <v/>
      </c>
      <c r="AU25" s="90">
        <f>IF(AND(AS25&lt;&gt;"",AP25&lt;&gt;""),IF(AE25&lt;&gt;AE26,((AP25*24*60) / 2 ) * (1 + POWER(((AS25*24*60) / (AP25*24*60)),2)),""),"")</f>
        <v/>
      </c>
      <c r="AV25" s="90">
        <f>IF(AU25&lt;&gt;"",MAX(AT25,AU25),"")</f>
        <v/>
      </c>
      <c r="AW25" s="89">
        <f>IF(AM25&lt;&gt;"H. Sale Real",IF(AND(AM26&lt;&gt;"",LEFT(AG26,2)&lt;&gt;"Va"),IF(AND(AM25&lt;&gt;"",LEFT(AG25,2)&lt;&gt;"Va",AM25&lt;&gt;"H. Sale Real"),IF(AM26-AM25&lt;0.208333333333333,AM26-AM25,""),IF(AND(AM24&lt;&gt;"",LEFT(AG24,2)&lt;&gt;"Va",AM24&lt;&gt;"H. Sale Real"),IF(AM26-AM24&lt;0.208333333333333,AM26-AM24,""),IF(AND(AM23&lt;&gt;"",LEFT(AG23,2)&lt;&gt;"Va",AM23&lt;&gt;"H. Sale Real"),IF(AM26-AM23&lt;0.208333333333333,AM26-AM23,""),IF(AND(AM22&lt;&gt;"",LEFT(AG22,2)&lt;&gt;"Va",AM22&lt;&gt;"H. Sale Real"),IF(AM26-AM22&lt;0.208333333333333,AM26-AM22,""),IF(AND(AM21&lt;&gt;"",LEFT(AG21,2)&lt;&gt;"Va",AM21&lt;&gt;"H. Sale Real"),IF(AM26-AM21&lt;0.208333333333333,AM26-AM21,""),""))))),""),"")</f>
        <v/>
      </c>
      <c r="AX25" s="89">
        <f>IF(AK25&lt;&gt;"H. Sale Real",IF(AND(AK26&lt;&gt;"",LEFT(AG26,2)&lt;&gt;"Va"),IF(AND(AK25&lt;&gt;"",LEFT(AG25,2)&lt;&gt;"Va",AK25&lt;&gt;"H. Sale Real"),IF(AK26-AK25&lt;0.208333333333333,AK26-AK25,""),IF(AND(AK24&lt;&gt;"",LEFT(AG24,2)&lt;&gt;"Va",AK24&lt;&gt;"H. Sale Real"),IF(AK26-AK24&lt;0.208333333333333,AK26-AK24,""),IF(AND(AK23&lt;&gt;"",LEFT(AG23,2)&lt;&gt;"NC",AK23&lt;&gt;"H. Sale Real"),IF(AK26-AK23&lt;0.208333333333333,AK26-AK23,""),IF(AND(AK22&lt;&gt;"",LEFT(AG22,2)&lt;&gt;"Va",AK22&lt;&gt;"H. Sale Real"),IF(AK26-AK22&lt;0.208333333333333,AK26-AK22,""),IF(AND(AK21&lt;&gt;"",LEFT(AG21,2)&lt;&gt;"Va",AK21&lt;&gt;"H. Sale Real"),IF(AK26-AK21&lt;0.208333333333333,AK26-AK21,""),""))))),""),"")</f>
        <v/>
      </c>
      <c r="AY25" s="87" t="n"/>
      <c r="AZ25" s="89" t="n"/>
      <c r="BA25" s="87" t="n"/>
      <c r="BB25" s="89" t="n"/>
      <c r="BC25" s="91" t="n"/>
      <c r="BD25" s="122">
        <f>IF(AK25&lt;&gt;"",IF(AND(BD24&lt;&gt;"IE",AT25&lt;&gt;0,AV25&lt;&gt;""),IF(IFERROR((AT25/AV25),0) &lt;=1,IFERROR(AT25/AV25,""),1),""),"")</f>
        <v/>
      </c>
      <c r="BE25" s="93" t="n"/>
      <c r="BF25" s="105" t="n"/>
      <c r="BI25" s="8" t="n">
        <v>13</v>
      </c>
      <c r="BJ25" s="8">
        <f>COUNTIFS($A:$A,$BI25,$C:$C,$BI$11)</f>
        <v/>
      </c>
      <c r="BK25" s="8">
        <f>BJ25-COUNTIFS($A:$A,$BI25,$C:$C,$BI$11,$H:$H,"")</f>
        <v/>
      </c>
      <c r="BL25" s="54">
        <f>IFERROR((BK25/BJ25),"")</f>
        <v/>
      </c>
      <c r="BM25" s="8">
        <f>_xlfn.XLOOKUP(BI25,$A:$A,$R:$R,"0",0,-1)</f>
        <v/>
      </c>
      <c r="BN25" s="55">
        <f>_xlfn.XLOOKUP(BI25,$A:$A,$P:$P,"0",0,-1)</f>
        <v/>
      </c>
      <c r="BO25" s="123">
        <f>_xlfn.XLOOKUP(BI25,$A:$A,$Z:$Z,"",0,-1)</f>
        <v/>
      </c>
      <c r="BR25" s="8" t="n">
        <v>13</v>
      </c>
      <c r="BS25" s="8">
        <f>COUNTIFS($AE:$AE,$BR25,$AG:$AG,$BR$11)</f>
        <v/>
      </c>
      <c r="BT25" s="8">
        <f>BS25-COUNTIFS($AE:$AE,$BR25,$AG:$AG,$BR$11,$AL:$AL,"")</f>
        <v/>
      </c>
      <c r="BU25" s="54">
        <f>IFERROR((BT25/BS25),"")</f>
        <v/>
      </c>
      <c r="BV25" s="8">
        <f>_xlfn.XLOOKUP(BR25,$AE:$AE,$AV:$AV,"0",0,-1)</f>
        <v/>
      </c>
      <c r="BW25" s="55">
        <f>_xlfn.XLOOKUP(BR25,$AE:$AE,$AT:$AT,"0",0,-1)</f>
        <v/>
      </c>
      <c r="BX25" s="123">
        <f>_xlfn.XLOOKUP(BR25,$AE:$AE,$BD:$BD,"",0,-1)</f>
        <v/>
      </c>
      <c r="FC25" t="inlineStr">
        <is>
          <t>Diccionario 1</t>
        </is>
      </c>
      <c r="FD25" s="15" t="n">
        <v>1022</v>
      </c>
      <c r="FE25" s="15" t="inlineStr">
        <is>
          <t>D8482597K2PL</t>
        </is>
      </c>
      <c r="FF25" s="15" t="inlineStr">
        <is>
          <t>YV3T7U525KA195361</t>
        </is>
      </c>
      <c r="FG25" s="15" t="inlineStr">
        <is>
          <t>Volvo</t>
        </is>
      </c>
      <c r="FH25" s="15" t="inlineStr">
        <is>
          <t>B8R</t>
        </is>
      </c>
      <c r="FI25" s="15" t="inlineStr">
        <is>
          <t>MARCOPOLO</t>
        </is>
      </c>
      <c r="FJ25" s="15" t="inlineStr">
        <is>
          <t>TORINO</t>
        </is>
      </c>
      <c r="FK25" s="15" t="n">
        <v>2019</v>
      </c>
      <c r="FL25" s="15" t="inlineStr">
        <is>
          <t>B2PAL</t>
        </is>
      </c>
      <c r="FM25" s="15" t="inlineStr">
        <is>
          <t>LOS LIBERTADORES</t>
        </is>
      </c>
      <c r="FN25" s="15" t="inlineStr">
        <is>
          <t>Los Liberadores 6450, Lote 4A</t>
        </is>
      </c>
      <c r="FO25" s="15" t="inlineStr">
        <is>
          <t>Huechuraba</t>
        </is>
      </c>
      <c r="FP25" t="inlineStr">
        <is>
          <t>B</t>
        </is>
      </c>
      <c r="FS25" s="14" t="inlineStr">
        <is>
          <t>3006 / SFVZ-94|</t>
        </is>
      </c>
      <c r="FT25" t="inlineStr">
        <is>
          <t>SFVZ-94|</t>
        </is>
      </c>
      <c r="FU25" t="inlineStr">
        <is>
          <t>SFVZ-94</t>
        </is>
      </c>
      <c r="FV25">
        <f>VLOOKUP(FU25,FD:FL,9,0)</f>
        <v/>
      </c>
      <c r="FZ25" s="51" t="inlineStr">
        <is>
          <t>B18e</t>
        </is>
      </c>
      <c r="GA25" s="117" t="n">
        <v>0</v>
      </c>
      <c r="GB25" s="117" t="n">
        <v>0</v>
      </c>
      <c r="GC25" s="117" t="n">
        <v>0</v>
      </c>
      <c r="GD25" s="117" t="n">
        <v>0</v>
      </c>
      <c r="GE25" s="117" t="n">
        <v>0</v>
      </c>
      <c r="GF25" s="117" t="n">
        <v>8.865</v>
      </c>
      <c r="GG25" s="117" t="n">
        <v>16.89</v>
      </c>
      <c r="GH25" s="117" t="n">
        <v>14.37</v>
      </c>
      <c r="GI25" s="117" t="n">
        <v>18.21</v>
      </c>
      <c r="GJ25" s="117" t="n">
        <v>21.705</v>
      </c>
      <c r="GK25" s="117" t="n">
        <v>22.92</v>
      </c>
      <c r="GL25" s="117" t="n">
        <v>22.89</v>
      </c>
      <c r="GM25" s="117" t="n">
        <v>22.845</v>
      </c>
      <c r="GN25" s="117" t="n">
        <v>22.64</v>
      </c>
      <c r="GO25" s="117" t="n">
        <v>22.905</v>
      </c>
      <c r="GP25" s="117" t="n">
        <v>23.225</v>
      </c>
      <c r="GQ25" s="117" t="n">
        <v>22.125</v>
      </c>
      <c r="GR25" s="117" t="n">
        <v>18.355</v>
      </c>
      <c r="GS25" s="117" t="n">
        <v>17.675</v>
      </c>
      <c r="GT25" s="117" t="n">
        <v>21</v>
      </c>
      <c r="GU25" s="117" t="n">
        <v>25.715</v>
      </c>
      <c r="GV25" s="117" t="n">
        <v>29.595</v>
      </c>
      <c r="GW25" s="117" t="n">
        <v>32.285</v>
      </c>
      <c r="GX25" s="117" t="n">
        <v>16.83</v>
      </c>
      <c r="HA25" s="35" t="n">
        <v>22</v>
      </c>
      <c r="HB25" s="35" t="n">
        <v>19</v>
      </c>
      <c r="HE25" t="inlineStr">
        <is>
          <t>U8</t>
        </is>
      </c>
      <c r="HF25" s="46" t="inlineStr">
        <is>
          <t>B02</t>
        </is>
      </c>
      <c r="HG25" s="46" t="inlineStr">
        <is>
          <t>B02</t>
        </is>
      </c>
      <c r="HH25" s="14" t="n">
        <v>40</v>
      </c>
      <c r="HL25" t="inlineStr">
        <is>
          <t>OmegaU8</t>
        </is>
      </c>
      <c r="HM25" s="46" t="inlineStr">
        <is>
          <t>B02</t>
        </is>
      </c>
      <c r="HN25" s="26" t="inlineStr">
        <is>
          <t>Aguirre Luco</t>
        </is>
      </c>
      <c r="HO25" s="14" t="n">
        <v>902</v>
      </c>
      <c r="IB25" s="74" t="inlineStr">
        <is>
          <t>Mala Gestion Terminal</t>
        </is>
      </c>
    </row>
    <row r="26" ht="16" customHeight="1">
      <c r="A26" s="10">
        <f>HOUR(G26)+1</f>
        <v/>
      </c>
      <c r="B26" s="7" t="n"/>
      <c r="C26" s="7" t="n"/>
      <c r="D26" s="85">
        <f>IFERROR(
IF(AND(OR(Planilla!B26="C",Planilla!B26="c"), VLOOKUP(E26,FD:FP,13,0)="C"), "OK",IF(AND(OR(Planilla!B26="C",Planilla!B26="c"), OR(VLOOKUP(E26,FD:FP,13,0)="B", VLOOKUP(E26,FD:FP,13,0)="A")), "DEFICIT",IF(
AND(OR(Planilla!B26="B", Planilla!B26="BPAL"), VLOOKUP(E26,FD:FP,13,0)="B"), "OK",IF(AND(OR(Planilla!B26="B", Planilla!B26="BPAL"), VLOOKUP(E26,FD:FP,13,0)="A"), "DEFICIT",IF(AND(OR(Planilla!B26="B", Planilla!B26="BPAL"), VLOOKUP(E26,FD:FP,13,0)="C"), "SOBREOFERTA",IF(AND(Planilla!B26="A", VLOOKUP(E26,FD:FP,13,0)="A"), "OK",IF(
AND(Planilla!B26="A", OR(VLOOKUP(E26,FD:FP,13,0)="B", VLOOKUP(E26,FD:FP,13,0)="C")), "SOBREOFERTA",""
))))))),"")</f>
        <v/>
      </c>
      <c r="E26" s="8" t="n"/>
      <c r="F26" s="86" t="n"/>
      <c r="G26" s="87" t="n"/>
      <c r="H26" s="88">
        <f>IF(I26="","",IF(AND((I26-G26)&gt;=TIME(0,0,0),(I26-G26)&lt;TIME(0,3,0)),"OK",IF(AND((I26-G26)&gt;=TIME(0,3,0),(I26-G26)&lt;TIME(0,5,0)),"RETRASO DE 3-5 MIN",IF(AND((I26-G26)&gt;=TIME(0,5,0),(I26-G26)&lt;TIME(0,10,0)),"RETRASO DE 5-10 MIN",IF((I26-G26)&gt;=TIME(0,10,0),"RETRASO &gt;10 MIN", IF(AND((G26-I26)&gt;=TIME(0,0,0),(G26-I26)&lt;TIME(0,3,0)),"OK",IF((G26-I26)&gt;=TIME(0,3,0),"ADELANTADO")))))))</f>
        <v/>
      </c>
      <c r="I26" s="89" t="n"/>
      <c r="J26" s="89">
        <f>IF(A26&lt;&gt;"",HLOOKUP(VALUE(TEXT(G26,"h:mm:ss")),IF($C$6="Laboral",$FZ$4:$GX$227,IF($C$6="Sábado",$FZ$231:$GX$452,$FZ$456:$GX$656)),VLOOKUP($C$4,$HF$2:$HH$99,3,0)+IF(C$5="Ida",0,1),1),"")</f>
        <v/>
      </c>
      <c r="K26" s="89">
        <f>IF(A27&lt;&gt;A26,AVERAGEIF(A$9:A26,A26,J$9:J26),"")</f>
        <v/>
      </c>
      <c r="L26" s="89">
        <f>IFERROR(IF(A27&lt;&gt;A26,AVERAGEIF(A$9:A26,A26,S$9:S26),""),"")</f>
        <v/>
      </c>
      <c r="M26" s="89">
        <f>IFERROR(IF(A27&lt;&gt;A26,AVERAGEIF(A$9:A26,A26,T$9:T26),""),"")</f>
        <v/>
      </c>
      <c r="N26" s="89">
        <f t="array" ref="N26">IFERROR(IF(A27&lt;&gt;A26,_xlfn.STDEV.P(IF(A$9:A26=A26,T$9:T26)),""),"")</f>
        <v/>
      </c>
      <c r="O26" s="89">
        <f t="array" ref="O26">IFERROR(IF(A27&lt;&gt;A26,_xlfn.STDEV.P(IF(A$9:A26=A26,S$9:S26)),""),"")</f>
        <v/>
      </c>
      <c r="P26" s="90">
        <f>IFERROR(IF(A26&lt;&gt;A27,MAX((((M26*24*60)/2)*(1+POWER((((N26*24*60) / (M26*24*60) )),2))) + ((M26*24*60 )*-0.1 + (K26*0.015)) +1,(((M26*24*60)/2)*(1+POWER((((N26*24*60) / (M26*24*60 ))),2)))),""),"")</f>
        <v/>
      </c>
      <c r="Q26" s="90">
        <f>IF(AND(O26&lt;&gt;"",L26&lt;&gt;""),IF(A26&lt;&gt;A27,((L26*24*60) / 2 ) * (1 + POWER(((O26*24*60) / (L26*24*60)),2)),""),"")</f>
        <v/>
      </c>
      <c r="R26" s="90">
        <f>IF(Q26&lt;&gt;"",MAX(P26,Q26),"")</f>
        <v/>
      </c>
      <c r="S26" s="89">
        <f>IF(I26&lt;&gt;"H. Sale Real",IF(AND(I27&lt;&gt;"",LEFT(C27,2)&lt;&gt;"Va"),IF(AND(I26&lt;&gt;"",LEFT(C26,2)&lt;&gt;"Va",I26&lt;&gt;"H. Sale Real"),IF(I27-I26&lt;0.208333333333333,I27-I26,""),IF(AND(I25&lt;&gt;"",LEFT(C25,2)&lt;&gt;"Va",I25&lt;&gt;"H. Sale Real"),IF(I27-I25&lt;0.208333333333333,I27-I25,""),IF(AND(I24&lt;&gt;"",LEFT(C24,2)&lt;&gt;"Va",I24&lt;&gt;"H. Sale Real"),IF(I27-I24&lt;0.208333333333333,I27-I24,""),IF(AND(I23&lt;&gt;"",LEFT(C23,2)&lt;&gt;"Va",I23&lt;&gt;"H. Sale Real"),IF(I27-I23&lt;0.208333333333333,I27-I23,""),IF(AND(I22&lt;&gt;"",LEFT(C22,2)&lt;&gt;"Va",I22&lt;&gt;"H. Sale Real"),IF(I27-I22&lt;0.208333333333333,I27-I22,""),""))))),""),"")</f>
        <v/>
      </c>
      <c r="T26" s="89">
        <f>IF(G26&lt;&gt;"H. Sale Real",IF(AND(G27&lt;&gt;"",LEFT(C27,2)&lt;&gt;"Va"),IF(AND(G26&lt;&gt;"",LEFT(C26,2)&lt;&gt;"Va",G26&lt;&gt;"H. Sale Real"),IF(G27-G26&lt;0.208333333333333,G27-G26,""),IF(AND(G25&lt;&gt;"",LEFT(C25,2)&lt;&gt;"Va",G25&lt;&gt;"H. Sale Real"),IF(G27-G25&lt;0.208333333333333,G27-G25,""),IF(AND(G24&lt;&gt;"",LEFT(C24,2)&lt;&gt;"Va",G24&lt;&gt;"H. Sale Real"),IF(G27-G24&lt;0.208333333333333,G27-G24,""),IF(AND(G23&lt;&gt;"",LEFT(C23,2)&lt;&gt;"Va",G23&lt;&gt;"H. Sale Real"),IF(G27-G23&lt;0.208333333333333,G27-G23,""),IF(AND(G22&lt;&gt;"",LEFT(C22,2)&lt;&gt;"Va",G22&lt;&gt;"H. Sale Real"),IF(G27-G22&lt;0.208333333333333,G27-G22,""),""))))),""),"")</f>
        <v/>
      </c>
      <c r="U26" s="87" t="n"/>
      <c r="V26" s="89" t="n"/>
      <c r="W26" s="87" t="n"/>
      <c r="X26" s="89" t="n"/>
      <c r="Y26" s="91" t="n"/>
      <c r="Z26" s="122">
        <f>IF(G26&lt;&gt;"",IF(AND(Z25&lt;&gt;"IE",P26&lt;&gt;0,R26&lt;&gt;""),IF(IFERROR((P26/R26),0) &lt;=1,IFERROR(P26/R26,""),1),""),"")</f>
        <v/>
      </c>
      <c r="AA26" s="93" t="n"/>
      <c r="AB26" s="2" t="n"/>
      <c r="AE26" s="10">
        <f>HOUR(AK26)+1</f>
        <v/>
      </c>
      <c r="AF26" s="7" t="n"/>
      <c r="AG26" s="7" t="n"/>
      <c r="AH26" s="86" t="n"/>
      <c r="AI26" s="8" t="n"/>
      <c r="AJ26" s="86" t="n"/>
      <c r="AK26" s="87" t="n"/>
      <c r="AL26" s="88">
        <f>IF(AM26="","",IF(AND((AM26-AK26)&gt;=TIME(0,0,0),(AM26-AK26)&lt;TIME(0,3,0)),"OK",IF(AND((AM26-AK26)&gt;=TIME(0,3,0),(AM26-AK26)&lt;TIME(0,5,0)),"RETRASO DE 3-5 MIN",IF(AND((AM26-AK26)&gt;=TIME(0,5,0),(AM26-AK26)&lt;TIME(0,10,0)),"RETRASO DE 5-10 MIN",IF((AM26-AK26)&gt;=TIME(0,10,0),"RETRASO &gt;10 MIN", IF(AND((AK26-AM26)&gt;=TIME(0,0,0),(AK26-AM26)&lt;TIME(0,3,0)),"OK",IF((AK26-AM26)&gt;=TIME(0,3,0),"ADELANTADO")))))))</f>
        <v/>
      </c>
      <c r="AM26" s="91" t="n"/>
      <c r="AN26" s="89">
        <f>IF(AE26&lt;&gt;"",HLOOKUP(VALUE(TEXT(AK26,"h:mm:ss")),IF($C$6="Laboral",$FZ$4:$GX$227,IF($C$6="Sábado",$FZ$231:$GX$452,$FZ$456:$GX$656)),VLOOKUP($C$4,$HF$2:$HH$99,3,0)+IF(AG$5="Ida",0,1),1),"")</f>
        <v/>
      </c>
      <c r="AO26" s="89">
        <f>IF(AE27&lt;&gt;AE26,AVERAGEIF(AE$9:AE26,AE26,AN$9:AN26),"")</f>
        <v/>
      </c>
      <c r="AP26" s="89">
        <f>IFERROR(IF(AE27&lt;&gt;AE26,AVERAGEIF(AE$9:AE26,AE26,AW$9:AW26),""),"")</f>
        <v/>
      </c>
      <c r="AQ26" s="89">
        <f>IFERROR(IF(AE27&lt;&gt;AE26,AVERAGEIF(AE$9:AE26,AE26,AX$9:AX26),""),"")</f>
        <v/>
      </c>
      <c r="AR26" s="89">
        <f t="array" ref="AR26">IFERROR(IF(AE27&lt;&gt;AE26,_xlfn.STDEV.P(IF(AE$9:AE26=AE26,AX$9:AX26)),""),"")</f>
        <v/>
      </c>
      <c r="AS26" s="89">
        <f t="array" ref="AS26">IFERROR(IF(AE27&lt;&gt;AE26,_xlfn.STDEV.P(IF(AE$9:AE26=AE26,AW$9:AW26)),""),"")</f>
        <v/>
      </c>
      <c r="AT26" s="90">
        <f>IFERROR(IF(AE26&lt;&gt;AE27,MAX((((AQ26*24*60)/2)*(1+POWER((((AR26*24*60) / (AQ26*24*60) )),2))) + ((AQ26*24*60 )*-0.1 + (AO26*0.015)) +1,(((AQ26*24*60)/2)*(1+POWER((((AR26*24*60) / (AQ26*24*60 ))),2)))),""),"")</f>
        <v/>
      </c>
      <c r="AU26" s="90">
        <f>IF(AND(AS26&lt;&gt;"",AP26&lt;&gt;""),IF(AE26&lt;&gt;AE27,((AP26*24*60) / 2 ) * (1 + POWER(((AS26*24*60) / (AP26*24*60)),2)),""),"")</f>
        <v/>
      </c>
      <c r="AV26" s="90">
        <f>IF(AU26&lt;&gt;"",MAX(AT26,AU26),"")</f>
        <v/>
      </c>
      <c r="AW26" s="89">
        <f>IF(AM26&lt;&gt;"H. Sale Real",IF(AND(AM27&lt;&gt;"",LEFT(AG27,2)&lt;&gt;"Va"),IF(AND(AM26&lt;&gt;"",LEFT(AG26,2)&lt;&gt;"Va",AM26&lt;&gt;"H. Sale Real"),IF(AM27-AM26&lt;0.208333333333333,AM27-AM26,""),IF(AND(AM25&lt;&gt;"",LEFT(AG25,2)&lt;&gt;"Va",AM25&lt;&gt;"H. Sale Real"),IF(AM27-AM25&lt;0.208333333333333,AM27-AM25,""),IF(AND(AM24&lt;&gt;"",LEFT(AG24,2)&lt;&gt;"Va",AM24&lt;&gt;"H. Sale Real"),IF(AM27-AM24&lt;0.208333333333333,AM27-AM24,""),IF(AND(AM23&lt;&gt;"",LEFT(AG23,2)&lt;&gt;"Va",AM23&lt;&gt;"H. Sale Real"),IF(AM27-AM23&lt;0.208333333333333,AM27-AM23,""),IF(AND(AM22&lt;&gt;"",LEFT(AG22,2)&lt;&gt;"Va",AM22&lt;&gt;"H. Sale Real"),IF(AM27-AM22&lt;0.208333333333333,AM27-AM22,""),""))))),""),"")</f>
        <v/>
      </c>
      <c r="AX26" s="89">
        <f>IF(AK26&lt;&gt;"H. Sale Real",IF(AND(AK27&lt;&gt;"",LEFT(AG27,2)&lt;&gt;"Va"),IF(AND(AK26&lt;&gt;"",LEFT(AG26,2)&lt;&gt;"Va",AK26&lt;&gt;"H. Sale Real"),IF(AK27-AK26&lt;0.208333333333333,AK27-AK26,""),IF(AND(AK25&lt;&gt;"",LEFT(AG25,2)&lt;&gt;"Va",AK25&lt;&gt;"H. Sale Real"),IF(AK27-AK25&lt;0.208333333333333,AK27-AK25,""),IF(AND(AK24&lt;&gt;"",LEFT(AG24,2)&lt;&gt;"NC",AK24&lt;&gt;"H. Sale Real"),IF(AK27-AK24&lt;0.208333333333333,AK27-AK24,""),IF(AND(AK23&lt;&gt;"",LEFT(AG23,2)&lt;&gt;"Va",AK23&lt;&gt;"H. Sale Real"),IF(AK27-AK23&lt;0.208333333333333,AK27-AK23,""),IF(AND(AK22&lt;&gt;"",LEFT(AG22,2)&lt;&gt;"Va",AK22&lt;&gt;"H. Sale Real"),IF(AK27-AK22&lt;0.208333333333333,AK27-AK22,""),""))))),""),"")</f>
        <v/>
      </c>
      <c r="AY26" s="87" t="n"/>
      <c r="AZ26" s="89" t="n"/>
      <c r="BA26" s="87" t="n"/>
      <c r="BB26" s="89" t="n"/>
      <c r="BC26" s="91" t="n"/>
      <c r="BD26" s="122">
        <f>IF(AK26&lt;&gt;"",IF(AND(BD25&lt;&gt;"IE",AT26&lt;&gt;0,AV26&lt;&gt;""),IF(IFERROR((AT26/AV26),0) &lt;=1,IFERROR(AT26/AV26,""),1),""),"")</f>
        <v/>
      </c>
      <c r="BE26" s="93" t="n"/>
      <c r="BF26" s="105" t="n"/>
      <c r="BI26" s="8" t="n">
        <v>14</v>
      </c>
      <c r="BJ26" s="8">
        <f>COUNTIFS($A:$A,$BI26,$C:$C,$BI$11)</f>
        <v/>
      </c>
      <c r="BK26" s="8">
        <f>BJ26-COUNTIFS($A:$A,$BI26,$C:$C,$BI$11,$H:$H,"")</f>
        <v/>
      </c>
      <c r="BL26" s="54">
        <f>IFERROR((BK26/BJ26),"")</f>
        <v/>
      </c>
      <c r="BM26" s="8">
        <f>_xlfn.XLOOKUP(BI26,$A:$A,$R:$R,"0",0,-1)</f>
        <v/>
      </c>
      <c r="BN26" s="55">
        <f>_xlfn.XLOOKUP(BI26,$A:$A,$P:$P,"0",0,-1)</f>
        <v/>
      </c>
      <c r="BO26" s="123">
        <f>_xlfn.XLOOKUP(BI26,$A:$A,$Z:$Z,"",0,-1)</f>
        <v/>
      </c>
      <c r="BR26" s="8" t="n">
        <v>14</v>
      </c>
      <c r="BS26" s="8">
        <f>COUNTIFS($AE:$AE,$BR26,$AG:$AG,$BR$11)</f>
        <v/>
      </c>
      <c r="BT26" s="8">
        <f>BS26-COUNTIFS($AE:$AE,$BR26,$AG:$AG,$BR$11,$AL:$AL,"")</f>
        <v/>
      </c>
      <c r="BU26" s="54">
        <f>IFERROR((BT26/BS26),"")</f>
        <v/>
      </c>
      <c r="BV26" s="8">
        <f>_xlfn.XLOOKUP(BR26,$AE:$AE,$AV:$AV,"0",0,-1)</f>
        <v/>
      </c>
      <c r="BW26" s="55">
        <f>_xlfn.XLOOKUP(BR26,$AE:$AE,$AT:$AT,"0",0,-1)</f>
        <v/>
      </c>
      <c r="BX26" s="123">
        <f>_xlfn.XLOOKUP(BR26,$AE:$AE,$BD:$BD,"",0,-1)</f>
        <v/>
      </c>
      <c r="FC26" t="inlineStr">
        <is>
          <t>Diccionario 1</t>
        </is>
      </c>
      <c r="FD26" s="15" t="n">
        <v>1023</v>
      </c>
      <c r="FE26" s="15" t="inlineStr">
        <is>
          <t>D8481798K2PL</t>
        </is>
      </c>
      <c r="FF26" s="15" t="inlineStr">
        <is>
          <t>YV3T7U527KA195460</t>
        </is>
      </c>
      <c r="FG26" s="15" t="inlineStr">
        <is>
          <t>Volvo</t>
        </is>
      </c>
      <c r="FH26" s="15" t="inlineStr">
        <is>
          <t>B8R</t>
        </is>
      </c>
      <c r="FI26" s="15" t="inlineStr">
        <is>
          <t>MARCOPOLO</t>
        </is>
      </c>
      <c r="FJ26" s="15" t="inlineStr">
        <is>
          <t>TORINO</t>
        </is>
      </c>
      <c r="FK26" s="15" t="n">
        <v>2019</v>
      </c>
      <c r="FL26" s="15" t="inlineStr">
        <is>
          <t>B2PAL</t>
        </is>
      </c>
      <c r="FM26" s="15" t="inlineStr">
        <is>
          <t>LOS LIBERTADORES</t>
        </is>
      </c>
      <c r="FN26" s="15" t="inlineStr">
        <is>
          <t>Los Liberadores 6450, Lote 4A</t>
        </is>
      </c>
      <c r="FO26" s="15" t="inlineStr">
        <is>
          <t>Huechuraba</t>
        </is>
      </c>
      <c r="FP26" t="inlineStr">
        <is>
          <t>B</t>
        </is>
      </c>
      <c r="FS26" s="14" t="inlineStr">
        <is>
          <t>3006 / SFVZ-94|</t>
        </is>
      </c>
      <c r="FT26" t="inlineStr">
        <is>
          <t>SFVZ-94|</t>
        </is>
      </c>
      <c r="FU26" t="inlineStr">
        <is>
          <t>SFVZ-94</t>
        </is>
      </c>
      <c r="FV26">
        <f>VLOOKUP(FU26,FD:FL,9,0)</f>
        <v/>
      </c>
      <c r="FZ26" s="51" t="inlineStr">
        <is>
          <t>B18e</t>
        </is>
      </c>
      <c r="GA26" s="117" t="n">
        <v>0</v>
      </c>
      <c r="GB26" s="117" t="n">
        <v>0</v>
      </c>
      <c r="GC26" s="117" t="n">
        <v>0</v>
      </c>
      <c r="GD26" s="117" t="n">
        <v>0</v>
      </c>
      <c r="GE26" s="117" t="n">
        <v>0</v>
      </c>
      <c r="GF26" s="117" t="n">
        <v>34.16</v>
      </c>
      <c r="GG26" s="117" t="n">
        <v>22</v>
      </c>
      <c r="GH26" s="117" t="n">
        <v>14.01</v>
      </c>
      <c r="GI26" s="117" t="n">
        <v>16.555</v>
      </c>
      <c r="GJ26" s="117" t="n">
        <v>22.46</v>
      </c>
      <c r="GK26" s="117" t="n">
        <v>23.895</v>
      </c>
      <c r="GL26" s="117" t="n">
        <v>23.1</v>
      </c>
      <c r="GM26" s="117" t="n">
        <v>21.965</v>
      </c>
      <c r="GN26" s="117" t="n">
        <v>21.425</v>
      </c>
      <c r="GO26" s="117" t="n">
        <v>20.77</v>
      </c>
      <c r="GP26" s="117" t="n">
        <v>20.37</v>
      </c>
      <c r="GQ26" s="117" t="n">
        <v>19.345</v>
      </c>
      <c r="GR26" s="117" t="n">
        <v>17.09</v>
      </c>
      <c r="GS26" s="117" t="n">
        <v>15.43</v>
      </c>
      <c r="GT26" s="117" t="n">
        <v>17.51</v>
      </c>
      <c r="GU26" s="117" t="n">
        <v>20.47</v>
      </c>
      <c r="GV26" s="117" t="n">
        <v>23.225</v>
      </c>
      <c r="GW26" s="117" t="n">
        <v>24.445</v>
      </c>
      <c r="GX26" s="117" t="n">
        <v>0</v>
      </c>
      <c r="HA26" s="35" t="n">
        <v>23</v>
      </c>
      <c r="HB26" s="35" t="n">
        <v>20</v>
      </c>
      <c r="HE26" t="inlineStr">
        <is>
          <t>U8</t>
        </is>
      </c>
      <c r="HF26" s="46" t="inlineStr">
        <is>
          <t>B04</t>
        </is>
      </c>
      <c r="HG26" s="46" t="inlineStr">
        <is>
          <t>B04</t>
        </is>
      </c>
      <c r="HH26" s="14" t="n">
        <v>42</v>
      </c>
      <c r="HL26" t="inlineStr">
        <is>
          <t>OmegaU8</t>
        </is>
      </c>
      <c r="HM26" s="46" t="inlineStr">
        <is>
          <t>B04</t>
        </is>
      </c>
      <c r="HN26" s="26" t="inlineStr">
        <is>
          <t>Aguirre Luco</t>
        </is>
      </c>
      <c r="HO26" s="14" t="n">
        <v>904</v>
      </c>
      <c r="IB26" s="74" t="inlineStr">
        <is>
          <t xml:space="preserve">Tiempos de Viaje </t>
        </is>
      </c>
    </row>
    <row r="27" ht="16" customHeight="1">
      <c r="A27" s="10">
        <f>HOUR(G27)+1</f>
        <v/>
      </c>
      <c r="B27" s="7" t="n"/>
      <c r="C27" s="7" t="n"/>
      <c r="D27" s="85">
        <f>IFERROR(
IF(AND(OR(Planilla!B27="C",Planilla!B27="c"), VLOOKUP(E27,FD:FP,13,0)="C"), "OK",IF(AND(OR(Planilla!B27="C",Planilla!B27="c"), OR(VLOOKUP(E27,FD:FP,13,0)="B", VLOOKUP(E27,FD:FP,13,0)="A")), "DEFICIT",IF(
AND(OR(Planilla!B27="B", Planilla!B27="BPAL"), VLOOKUP(E27,FD:FP,13,0)="B"), "OK",IF(AND(OR(Planilla!B27="B", Planilla!B27="BPAL"), VLOOKUP(E27,FD:FP,13,0)="A"), "DEFICIT",IF(AND(OR(Planilla!B27="B", Planilla!B27="BPAL"), VLOOKUP(E27,FD:FP,13,0)="C"), "SOBREOFERTA",IF(AND(Planilla!B27="A", VLOOKUP(E27,FD:FP,13,0)="A"), "OK",IF(
AND(Planilla!B27="A", OR(VLOOKUP(E27,FD:FP,13,0)="B", VLOOKUP(E27,FD:FP,13,0)="C")), "SOBREOFERTA",""
))))))),"")</f>
        <v/>
      </c>
      <c r="E27" s="8" t="n"/>
      <c r="F27" s="86" t="n"/>
      <c r="G27" s="87" t="n"/>
      <c r="H27" s="88">
        <f>IF(I27="","",IF(AND((I27-G27)&gt;=TIME(0,0,0),(I27-G27)&lt;TIME(0,3,0)),"OK",IF(AND((I27-G27)&gt;=TIME(0,3,0),(I27-G27)&lt;TIME(0,5,0)),"RETRASO DE 3-5 MIN",IF(AND((I27-G27)&gt;=TIME(0,5,0),(I27-G27)&lt;TIME(0,10,0)),"RETRASO DE 5-10 MIN",IF((I27-G27)&gt;=TIME(0,10,0),"RETRASO &gt;10 MIN", IF(AND((G27-I27)&gt;=TIME(0,0,0),(G27-I27)&lt;TIME(0,3,0)),"OK",IF((G27-I27)&gt;=TIME(0,3,0),"ADELANTADO")))))))</f>
        <v/>
      </c>
      <c r="I27" s="89" t="n"/>
      <c r="J27" s="89">
        <f>IF(A27&lt;&gt;"",HLOOKUP(VALUE(TEXT(G27,"h:mm:ss")),IF($C$6="Laboral",$FZ$4:$GX$227,IF($C$6="Sábado",$FZ$231:$GX$452,$FZ$456:$GX$656)),VLOOKUP($C$4,$HF$2:$HH$99,3,0)+IF(C$5="Ida",0,1),1),"")</f>
        <v/>
      </c>
      <c r="K27" s="89">
        <f>IF(A28&lt;&gt;A27,AVERAGEIF(A$9:A27,A27,J$9:J27),"")</f>
        <v/>
      </c>
      <c r="L27" s="89">
        <f>IFERROR(IF(A28&lt;&gt;A27,AVERAGEIF(A$9:A27,A27,S$9:S27),""),"")</f>
        <v/>
      </c>
      <c r="M27" s="89">
        <f>IFERROR(IF(A28&lt;&gt;A27,AVERAGEIF(A$9:A27,A27,T$9:T27),""),"")</f>
        <v/>
      </c>
      <c r="N27" s="89">
        <f t="array" ref="N27">IFERROR(IF(A28&lt;&gt;A27,_xlfn.STDEV.P(IF(A$9:A27=A27,T$9:T27)),""),"")</f>
        <v/>
      </c>
      <c r="O27" s="89">
        <f t="array" ref="O27">IFERROR(IF(A28&lt;&gt;A27,_xlfn.STDEV.P(IF(A$9:A27=A27,S$9:S27)),""),"")</f>
        <v/>
      </c>
      <c r="P27" s="90">
        <f>IFERROR(IF(A27&lt;&gt;A28,MAX((((M27*24*60)/2)*(1+POWER((((N27*24*60) / (M27*24*60) )),2))) + ((M27*24*60 )*-0.1 + (K27*0.015)) +1,(((M27*24*60)/2)*(1+POWER((((N27*24*60) / (M27*24*60 ))),2)))),""),"")</f>
        <v/>
      </c>
      <c r="Q27" s="90">
        <f>IF(AND(O27&lt;&gt;"",L27&lt;&gt;""),IF(A27&lt;&gt;A28,((L27*24*60) / 2 ) * (1 + POWER(((O27*24*60) / (L27*24*60)),2)),""),"")</f>
        <v/>
      </c>
      <c r="R27" s="90">
        <f>IF(Q27&lt;&gt;"",MAX(P27,Q27),"")</f>
        <v/>
      </c>
      <c r="S27" s="89">
        <f>IF(I27&lt;&gt;"H. Sale Real",IF(AND(I28&lt;&gt;"",LEFT(C28,2)&lt;&gt;"Va"),IF(AND(I27&lt;&gt;"",LEFT(C27,2)&lt;&gt;"Va",I27&lt;&gt;"H. Sale Real"),IF(I28-I27&lt;0.208333333333333,I28-I27,""),IF(AND(I26&lt;&gt;"",LEFT(C26,2)&lt;&gt;"Va",I26&lt;&gt;"H. Sale Real"),IF(I28-I26&lt;0.208333333333333,I28-I26,""),IF(AND(I25&lt;&gt;"",LEFT(C25,2)&lt;&gt;"Va",I25&lt;&gt;"H. Sale Real"),IF(I28-I25&lt;0.208333333333333,I28-I25,""),IF(AND(I24&lt;&gt;"",LEFT(C24,2)&lt;&gt;"Va",I24&lt;&gt;"H. Sale Real"),IF(I28-I24&lt;0.208333333333333,I28-I24,""),IF(AND(I23&lt;&gt;"",LEFT(C23,2)&lt;&gt;"Va",I23&lt;&gt;"H. Sale Real"),IF(I28-I23&lt;0.208333333333333,I28-I23,""),""))))),""),"")</f>
        <v/>
      </c>
      <c r="T27" s="89">
        <f>IF(G27&lt;&gt;"H. Sale Real",IF(AND(G28&lt;&gt;"",LEFT(C28,2)&lt;&gt;"Va"),IF(AND(G27&lt;&gt;"",LEFT(C27,2)&lt;&gt;"Va",G27&lt;&gt;"H. Sale Real"),IF(G28-G27&lt;0.208333333333333,G28-G27,""),IF(AND(G26&lt;&gt;"",LEFT(C26,2)&lt;&gt;"Va",G26&lt;&gt;"H. Sale Real"),IF(G28-G26&lt;0.208333333333333,G28-G26,""),IF(AND(G25&lt;&gt;"",LEFT(C25,2)&lt;&gt;"Va",G25&lt;&gt;"H. Sale Real"),IF(G28-G25&lt;0.208333333333333,G28-G25,""),IF(AND(G24&lt;&gt;"",LEFT(C24,2)&lt;&gt;"Va",G24&lt;&gt;"H. Sale Real"),IF(G28-G24&lt;0.208333333333333,G28-G24,""),IF(AND(G23&lt;&gt;"",LEFT(C23,2)&lt;&gt;"Va",G23&lt;&gt;"H. Sale Real"),IF(G28-G23&lt;0.208333333333333,G28-G23,""),""))))),""),"")</f>
        <v/>
      </c>
      <c r="U27" s="87" t="n"/>
      <c r="V27" s="89" t="n"/>
      <c r="W27" s="87" t="n"/>
      <c r="X27" s="89" t="n"/>
      <c r="Y27" s="91" t="n"/>
      <c r="Z27" s="122">
        <f>IF(G27&lt;&gt;"",IF(AND(Z26&lt;&gt;"IE",P27&lt;&gt;0,R27&lt;&gt;""),IF(IFERROR((P27/R27),0) &lt;=1,IFERROR(P27/R27,""),1),""),"")</f>
        <v/>
      </c>
      <c r="AA27" s="93" t="n"/>
      <c r="AB27" s="2" t="n"/>
      <c r="AE27" s="10">
        <f>HOUR(AK27)+1</f>
        <v/>
      </c>
      <c r="AF27" s="7" t="n"/>
      <c r="AG27" s="7" t="n"/>
      <c r="AH27" s="86" t="n"/>
      <c r="AI27" s="8" t="n"/>
      <c r="AJ27" s="86" t="n"/>
      <c r="AK27" s="87" t="n"/>
      <c r="AL27" s="88">
        <f>IF(AM27="","",IF(AND((AM27-AK27)&gt;=TIME(0,0,0),(AM27-AK27)&lt;TIME(0,3,0)),"OK",IF(AND((AM27-AK27)&gt;=TIME(0,3,0),(AM27-AK27)&lt;TIME(0,5,0)),"RETRASO DE 3-5 MIN",IF(AND((AM27-AK27)&gt;=TIME(0,5,0),(AM27-AK27)&lt;TIME(0,10,0)),"RETRASO DE 5-10 MIN",IF((AM27-AK27)&gt;=TIME(0,10,0),"RETRASO &gt;10 MIN", IF(AND((AK27-AM27)&gt;=TIME(0,0,0),(AK27-AM27)&lt;TIME(0,3,0)),"OK",IF((AK27-AM27)&gt;=TIME(0,3,0),"ADELANTADO")))))))</f>
        <v/>
      </c>
      <c r="AM27" s="91" t="n"/>
      <c r="AN27" s="89">
        <f>IF(AE27&lt;&gt;"",HLOOKUP(VALUE(TEXT(AK27,"h:mm:ss")),IF($C$6="Laboral",$FZ$4:$GX$227,IF($C$6="Sábado",$FZ$231:$GX$452,$FZ$456:$GX$656)),VLOOKUP($C$4,$HF$2:$HH$99,3,0)+IF(AG$5="Ida",0,1),1),"")</f>
        <v/>
      </c>
      <c r="AO27" s="89">
        <f>IF(AE28&lt;&gt;AE27,AVERAGEIF(AE$9:AE27,AE27,AN$9:AN27),"")</f>
        <v/>
      </c>
      <c r="AP27" s="89">
        <f>IFERROR(IF(AE28&lt;&gt;AE27,AVERAGEIF(AE$9:AE27,AE27,AW$9:AW27),""),"")</f>
        <v/>
      </c>
      <c r="AQ27" s="89">
        <f>IFERROR(IF(AE28&lt;&gt;AE27,AVERAGEIF(AE$9:AE27,AE27,AX$9:AX27),""),"")</f>
        <v/>
      </c>
      <c r="AR27" s="89">
        <f t="array" ref="AR27">IFERROR(IF(AE28&lt;&gt;AE27,_xlfn.STDEV.P(IF(AE$9:AE27=AE27,AX$9:AX27)),""),"")</f>
        <v/>
      </c>
      <c r="AS27" s="89">
        <f t="array" ref="AS27">IFERROR(IF(AE28&lt;&gt;AE27,_xlfn.STDEV.P(IF(AE$9:AE27=AE27,AW$9:AW27)),""),"")</f>
        <v/>
      </c>
      <c r="AT27" s="90">
        <f>IFERROR(IF(AE27&lt;&gt;AE28,MAX((((AQ27*24*60)/2)*(1+POWER((((AR27*24*60) / (AQ27*24*60) )),2))) + ((AQ27*24*60 )*-0.1 + (AO27*0.015)) +1,(((AQ27*24*60)/2)*(1+POWER((((AR27*24*60) / (AQ27*24*60 ))),2)))),""),"")</f>
        <v/>
      </c>
      <c r="AU27" s="90">
        <f>IF(AND(AS27&lt;&gt;"",AP27&lt;&gt;""),IF(AE27&lt;&gt;AE28,((AP27*24*60) / 2 ) * (1 + POWER(((AS27*24*60) / (AP27*24*60)),2)),""),"")</f>
        <v/>
      </c>
      <c r="AV27" s="90">
        <f>IF(AU27&lt;&gt;"",MAX(AT27,AU27),"")</f>
        <v/>
      </c>
      <c r="AW27" s="89">
        <f>IF(AM27&lt;&gt;"H. Sale Real",IF(AND(AM28&lt;&gt;"",LEFT(AG28,2)&lt;&gt;"Va"),IF(AND(AM27&lt;&gt;"",LEFT(AG27,2)&lt;&gt;"Va",AM27&lt;&gt;"H. Sale Real"),IF(AM28-AM27&lt;0.208333333333333,AM28-AM27,""),IF(AND(AM26&lt;&gt;"",LEFT(AG26,2)&lt;&gt;"Va",AM26&lt;&gt;"H. Sale Real"),IF(AM28-AM26&lt;0.208333333333333,AM28-AM26,""),IF(AND(AM25&lt;&gt;"",LEFT(AG25,2)&lt;&gt;"Va",AM25&lt;&gt;"H. Sale Real"),IF(AM28-AM25&lt;0.208333333333333,AM28-AM25,""),IF(AND(AM24&lt;&gt;"",LEFT(AG24,2)&lt;&gt;"Va",AM24&lt;&gt;"H. Sale Real"),IF(AM28-AM24&lt;0.208333333333333,AM28-AM24,""),IF(AND(AM23&lt;&gt;"",LEFT(AG23,2)&lt;&gt;"Va",AM23&lt;&gt;"H. Sale Real"),IF(AM28-AM23&lt;0.208333333333333,AM28-AM23,""),""))))),""),"")</f>
        <v/>
      </c>
      <c r="AX27" s="89">
        <f>IF(AK27&lt;&gt;"H. Sale Real",IF(AND(AK28&lt;&gt;"",LEFT(AG28,2)&lt;&gt;"Va"),IF(AND(AK27&lt;&gt;"",LEFT(AG27,2)&lt;&gt;"Va",AK27&lt;&gt;"H. Sale Real"),IF(AK28-AK27&lt;0.208333333333333,AK28-AK27,""),IF(AND(AK26&lt;&gt;"",LEFT(AG26,2)&lt;&gt;"Va",AK26&lt;&gt;"H. Sale Real"),IF(AK28-AK26&lt;0.208333333333333,AK28-AK26,""),IF(AND(AK25&lt;&gt;"",LEFT(AG25,2)&lt;&gt;"NC",AK25&lt;&gt;"H. Sale Real"),IF(AK28-AK25&lt;0.208333333333333,AK28-AK25,""),IF(AND(AK24&lt;&gt;"",LEFT(AG24,2)&lt;&gt;"Va",AK24&lt;&gt;"H. Sale Real"),IF(AK28-AK24&lt;0.208333333333333,AK28-AK24,""),IF(AND(AK23&lt;&gt;"",LEFT(AG23,2)&lt;&gt;"Va",AK23&lt;&gt;"H. Sale Real"),IF(AK28-AK23&lt;0.208333333333333,AK28-AK23,""),""))))),""),"")</f>
        <v/>
      </c>
      <c r="AY27" s="87" t="n"/>
      <c r="AZ27" s="89" t="n"/>
      <c r="BA27" s="87" t="n"/>
      <c r="BB27" s="89" t="n"/>
      <c r="BC27" s="91" t="n"/>
      <c r="BD27" s="122">
        <f>IF(AK27&lt;&gt;"",IF(AND(BD26&lt;&gt;"IE",AT27&lt;&gt;0,AV27&lt;&gt;""),IF(IFERROR((AT27/AV27),0) &lt;=1,IFERROR(AT27/AV27,""),1),""),"")</f>
        <v/>
      </c>
      <c r="BE27" s="93" t="n"/>
      <c r="BF27" s="105" t="n"/>
      <c r="BI27" s="8" t="n">
        <v>15</v>
      </c>
      <c r="BJ27" s="8">
        <f>COUNTIFS($A:$A,$BI27,$C:$C,$BI$11)</f>
        <v/>
      </c>
      <c r="BK27" s="8">
        <f>BJ27-COUNTIFS($A:$A,$BI27,$C:$C,$BI$11,$H:$H,"")</f>
        <v/>
      </c>
      <c r="BL27" s="54">
        <f>IFERROR((BK27/BJ27),"")</f>
        <v/>
      </c>
      <c r="BM27" s="8">
        <f>_xlfn.XLOOKUP(BI27,$A:$A,$R:$R,"0",0,-1)</f>
        <v/>
      </c>
      <c r="BN27" s="55">
        <f>_xlfn.XLOOKUP(BI27,$A:$A,$P:$P,"0",0,-1)</f>
        <v/>
      </c>
      <c r="BO27" s="123">
        <f>_xlfn.XLOOKUP(BI27,$A:$A,$Z:$Z,"",0,-1)</f>
        <v/>
      </c>
      <c r="BR27" s="8" t="n">
        <v>15</v>
      </c>
      <c r="BS27" s="8">
        <f>COUNTIFS($AE:$AE,$BR27,$AG:$AG,$BR$11)</f>
        <v/>
      </c>
      <c r="BT27" s="8">
        <f>BS27-COUNTIFS($AE:$AE,$BR27,$AG:$AG,$BR$11,$AL:$AL,"")</f>
        <v/>
      </c>
      <c r="BU27" s="54">
        <f>IFERROR((BT27/BS27),"")</f>
        <v/>
      </c>
      <c r="BV27" s="8">
        <f>_xlfn.XLOOKUP(BR27,$AE:$AE,$AV:$AV,"0",0,-1)</f>
        <v/>
      </c>
      <c r="BW27" s="55">
        <f>_xlfn.XLOOKUP(BR27,$AE:$AE,$AT:$AT,"0",0,-1)</f>
        <v/>
      </c>
      <c r="BX27" s="123">
        <f>_xlfn.XLOOKUP(BR27,$AE:$AE,$BD:$BD,"",0,-1)</f>
        <v/>
      </c>
      <c r="FC27" t="inlineStr">
        <is>
          <t>Diccionario 1</t>
        </is>
      </c>
      <c r="FD27" s="15" t="n">
        <v>1024</v>
      </c>
      <c r="FE27" s="15" t="inlineStr">
        <is>
          <t>D8481794K2PL</t>
        </is>
      </c>
      <c r="FF27" s="15" t="inlineStr">
        <is>
          <t>YV3T7U529KA195461</t>
        </is>
      </c>
      <c r="FG27" s="15" t="inlineStr">
        <is>
          <t>Volvo</t>
        </is>
      </c>
      <c r="FH27" s="15" t="inlineStr">
        <is>
          <t>B8R</t>
        </is>
      </c>
      <c r="FI27" s="15" t="inlineStr">
        <is>
          <t>MARCOPOLO</t>
        </is>
      </c>
      <c r="FJ27" s="15" t="inlineStr">
        <is>
          <t>TORINO</t>
        </is>
      </c>
      <c r="FK27" s="15" t="n">
        <v>2019</v>
      </c>
      <c r="FL27" s="15" t="inlineStr">
        <is>
          <t>B2PAL</t>
        </is>
      </c>
      <c r="FM27" s="15" t="inlineStr">
        <is>
          <t>LOS LIBERTADORES</t>
        </is>
      </c>
      <c r="FN27" s="15" t="inlineStr">
        <is>
          <t>Los Liberadores 6450, Lote 4A</t>
        </is>
      </c>
      <c r="FO27" s="15" t="inlineStr">
        <is>
          <t>Huechuraba</t>
        </is>
      </c>
      <c r="FP27" t="inlineStr">
        <is>
          <t>B</t>
        </is>
      </c>
      <c r="FS27" s="14" t="inlineStr">
        <is>
          <t>3007 / SFWB-50|</t>
        </is>
      </c>
      <c r="FT27" t="inlineStr">
        <is>
          <t>SFWB-50|</t>
        </is>
      </c>
      <c r="FU27" t="inlineStr">
        <is>
          <t>SFWB-50</t>
        </is>
      </c>
      <c r="FV27">
        <f>VLOOKUP(FU27,FD:FL,9,0)</f>
        <v/>
      </c>
      <c r="FZ27" s="51" t="inlineStr">
        <is>
          <t>B20</t>
        </is>
      </c>
      <c r="GA27" s="117" t="n">
        <v>0</v>
      </c>
      <c r="GB27" s="117" t="n">
        <v>0</v>
      </c>
      <c r="GC27" s="117" t="n">
        <v>0</v>
      </c>
      <c r="GD27" s="117" t="n">
        <v>0</v>
      </c>
      <c r="GE27" s="117" t="n">
        <v>0</v>
      </c>
      <c r="GF27" s="117" t="n">
        <v>8.925000000000001</v>
      </c>
      <c r="GG27" s="117" t="n">
        <v>16.07</v>
      </c>
      <c r="GH27" s="117" t="n">
        <v>16.025</v>
      </c>
      <c r="GI27" s="117" t="n">
        <v>17.375</v>
      </c>
      <c r="GJ27" s="117" t="n">
        <v>18.3</v>
      </c>
      <c r="GK27" s="117" t="n">
        <v>17.955</v>
      </c>
      <c r="GL27" s="117" t="n">
        <v>17.63</v>
      </c>
      <c r="GM27" s="117" t="n">
        <v>17.615</v>
      </c>
      <c r="GN27" s="117" t="n">
        <v>17.755</v>
      </c>
      <c r="GO27" s="117" t="n">
        <v>17.295</v>
      </c>
      <c r="GP27" s="117" t="n">
        <v>16.815</v>
      </c>
      <c r="GQ27" s="117" t="n">
        <v>15.605</v>
      </c>
      <c r="GR27" s="117" t="n">
        <v>14.895</v>
      </c>
      <c r="GS27" s="117" t="n">
        <v>16.64</v>
      </c>
      <c r="GT27" s="117" t="n">
        <v>19.025</v>
      </c>
      <c r="GU27" s="117" t="n">
        <v>20.635</v>
      </c>
      <c r="GV27" s="117" t="n">
        <v>22.51</v>
      </c>
      <c r="GW27" s="117" t="n">
        <v>24.19</v>
      </c>
      <c r="GX27" s="117" t="n">
        <v>0</v>
      </c>
      <c r="HA27" s="35" t="n">
        <v>24</v>
      </c>
      <c r="HB27" s="35" t="n">
        <v>21</v>
      </c>
      <c r="HE27" t="inlineStr">
        <is>
          <t>U8</t>
        </is>
      </c>
      <c r="HF27" s="46" t="inlineStr">
        <is>
          <t>C18</t>
        </is>
      </c>
      <c r="HG27" s="46" t="inlineStr">
        <is>
          <t>C18</t>
        </is>
      </c>
      <c r="HH27" s="14" t="n">
        <v>43</v>
      </c>
      <c r="HL27" t="inlineStr">
        <is>
          <t>OmegaU8</t>
        </is>
      </c>
      <c r="HM27" s="46" t="inlineStr">
        <is>
          <t>C18</t>
        </is>
      </c>
      <c r="HN27" s="26" t="inlineStr">
        <is>
          <t>Aguirre Luco</t>
        </is>
      </c>
      <c r="HO27" s="14" t="n">
        <v>918</v>
      </c>
      <c r="IB27" s="74" t="inlineStr">
        <is>
          <t>Desvío autorizado CMB</t>
        </is>
      </c>
    </row>
    <row r="28" ht="16" customHeight="1">
      <c r="A28" s="10">
        <f>HOUR(G28)+1</f>
        <v/>
      </c>
      <c r="B28" s="7" t="n"/>
      <c r="C28" s="7" t="n"/>
      <c r="D28" s="85">
        <f>IFERROR(
IF(AND(OR(Planilla!B28="C",Planilla!B28="c"), VLOOKUP(E28,FD:FP,13,0)="C"), "OK",IF(AND(OR(Planilla!B28="C",Planilla!B28="c"), OR(VLOOKUP(E28,FD:FP,13,0)="B", VLOOKUP(E28,FD:FP,13,0)="A")), "DEFICIT",IF(
AND(OR(Planilla!B28="B", Planilla!B28="BPAL"), VLOOKUP(E28,FD:FP,13,0)="B"), "OK",IF(AND(OR(Planilla!B28="B", Planilla!B28="BPAL"), VLOOKUP(E28,FD:FP,13,0)="A"), "DEFICIT",IF(AND(OR(Planilla!B28="B", Planilla!B28="BPAL"), VLOOKUP(E28,FD:FP,13,0)="C"), "SOBREOFERTA",IF(AND(Planilla!B28="A", VLOOKUP(E28,FD:FP,13,0)="A"), "OK",IF(
AND(Planilla!B28="A", OR(VLOOKUP(E28,FD:FP,13,0)="B", VLOOKUP(E28,FD:FP,13,0)="C")), "SOBREOFERTA",""
))))))),"")</f>
        <v/>
      </c>
      <c r="E28" s="8" t="n"/>
      <c r="F28" s="86" t="n"/>
      <c r="G28" s="87" t="n"/>
      <c r="H28" s="88">
        <f>IF(I28="","",IF(AND((I28-G28)&gt;=TIME(0,0,0),(I28-G28)&lt;TIME(0,3,0)),"OK",IF(AND((I28-G28)&gt;=TIME(0,3,0),(I28-G28)&lt;TIME(0,5,0)),"RETRASO DE 3-5 MIN",IF(AND((I28-G28)&gt;=TIME(0,5,0),(I28-G28)&lt;TIME(0,10,0)),"RETRASO DE 5-10 MIN",IF((I28-G28)&gt;=TIME(0,10,0),"RETRASO &gt;10 MIN", IF(AND((G28-I28)&gt;=TIME(0,0,0),(G28-I28)&lt;TIME(0,3,0)),"OK",IF((G28-I28)&gt;=TIME(0,3,0),"ADELANTADO")))))))</f>
        <v/>
      </c>
      <c r="I28" s="89" t="n"/>
      <c r="J28" s="89">
        <f>IF(A28&lt;&gt;"",HLOOKUP(VALUE(TEXT(G28,"h:mm:ss")),IF($C$6="Laboral",$FZ$4:$GX$227,IF($C$6="Sábado",$FZ$231:$GX$452,$FZ$456:$GX$656)),VLOOKUP($C$4,$HF$2:$HH$99,3,0)+IF(C$5="Ida",0,1),1),"")</f>
        <v/>
      </c>
      <c r="K28" s="89">
        <f>IF(A29&lt;&gt;A28,AVERAGEIF(A$9:A28,A28,J$9:J28),"")</f>
        <v/>
      </c>
      <c r="L28" s="89">
        <f>IFERROR(IF(A29&lt;&gt;A28,AVERAGEIF(A$9:A28,A28,S$9:S28),""),"")</f>
        <v/>
      </c>
      <c r="M28" s="89">
        <f>IFERROR(IF(A29&lt;&gt;A28,AVERAGEIF(A$9:A28,A28,T$9:T28),""),"")</f>
        <v/>
      </c>
      <c r="N28" s="89">
        <f t="array" ref="N28">IFERROR(IF(A29&lt;&gt;A28,_xlfn.STDEV.P(IF(A$9:A28=A28,T$9:T28)),""),"")</f>
        <v/>
      </c>
      <c r="O28" s="89">
        <f t="array" ref="O28">IFERROR(IF(A29&lt;&gt;A28,_xlfn.STDEV.P(IF(A$9:A28=A28,S$9:S28)),""),"")</f>
        <v/>
      </c>
      <c r="P28" s="90">
        <f>IFERROR(IF(A28&lt;&gt;A29,MAX((((M28*24*60)/2)*(1+POWER((((N28*24*60) / (M28*24*60) )),2))) + ((M28*24*60 )*-0.1 + (K28*0.015)) +1,(((M28*24*60)/2)*(1+POWER((((N28*24*60) / (M28*24*60 ))),2)))),""),"")</f>
        <v/>
      </c>
      <c r="Q28" s="90">
        <f>IF(AND(O28&lt;&gt;"",L28&lt;&gt;""),IF(A28&lt;&gt;A29,((L28*24*60) / 2 ) * (1 + POWER(((O28*24*60) / (L28*24*60)),2)),""),"")</f>
        <v/>
      </c>
      <c r="R28" s="90">
        <f>IF(Q28&lt;&gt;"",MAX(P28,Q28),"")</f>
        <v/>
      </c>
      <c r="S28" s="89">
        <f>IF(I28&lt;&gt;"H. Sale Real",IF(AND(I29&lt;&gt;"",LEFT(C29,2)&lt;&gt;"Va"),IF(AND(I28&lt;&gt;"",LEFT(C28,2)&lt;&gt;"Va",I28&lt;&gt;"H. Sale Real"),IF(I29-I28&lt;0.208333333333333,I29-I28,""),IF(AND(I27&lt;&gt;"",LEFT(C27,2)&lt;&gt;"Va",I27&lt;&gt;"H. Sale Real"),IF(I29-I27&lt;0.208333333333333,I29-I27,""),IF(AND(I26&lt;&gt;"",LEFT(C26,2)&lt;&gt;"Va",I26&lt;&gt;"H. Sale Real"),IF(I29-I26&lt;0.208333333333333,I29-I26,""),IF(AND(I25&lt;&gt;"",LEFT(C25,2)&lt;&gt;"Va",I25&lt;&gt;"H. Sale Real"),IF(I29-I25&lt;0.208333333333333,I29-I25,""),IF(AND(I24&lt;&gt;"",LEFT(C24,2)&lt;&gt;"Va",I24&lt;&gt;"H. Sale Real"),IF(I29-I24&lt;0.208333333333333,I29-I24,""),""))))),""),"")</f>
        <v/>
      </c>
      <c r="T28" s="89">
        <f>IF(G28&lt;&gt;"H. Sale Real",IF(AND(G29&lt;&gt;"",LEFT(C29,2)&lt;&gt;"Va"),IF(AND(G28&lt;&gt;"",LEFT(C28,2)&lt;&gt;"Va",G28&lt;&gt;"H. Sale Real"),IF(G29-G28&lt;0.208333333333333,G29-G28,""),IF(AND(G27&lt;&gt;"",LEFT(C27,2)&lt;&gt;"Va",G27&lt;&gt;"H. Sale Real"),IF(G29-G27&lt;0.208333333333333,G29-G27,""),IF(AND(G26&lt;&gt;"",LEFT(C26,2)&lt;&gt;"Va",G26&lt;&gt;"H. Sale Real"),IF(G29-G26&lt;0.208333333333333,G29-G26,""),IF(AND(G25&lt;&gt;"",LEFT(C25,2)&lt;&gt;"Va",G25&lt;&gt;"H. Sale Real"),IF(G29-G25&lt;0.208333333333333,G29-G25,""),IF(AND(G24&lt;&gt;"",LEFT(C24,2)&lt;&gt;"Va",G24&lt;&gt;"H. Sale Real"),IF(G29-G24&lt;0.208333333333333,G29-G24,""),""))))),""),"")</f>
        <v/>
      </c>
      <c r="U28" s="87" t="n"/>
      <c r="V28" s="89" t="n"/>
      <c r="W28" s="87" t="n"/>
      <c r="X28" s="89" t="n"/>
      <c r="Y28" s="91" t="n"/>
      <c r="Z28" s="122">
        <f>IF(G28&lt;&gt;"",IF(AND(Z27&lt;&gt;"IE",P28&lt;&gt;0,R28&lt;&gt;""),IF(IFERROR((P28/R28),0) &lt;=1,IFERROR(P28/R28,""),1),""),"")</f>
        <v/>
      </c>
      <c r="AA28" s="93" t="n"/>
      <c r="AB28" s="2" t="n"/>
      <c r="AE28" s="10">
        <f>HOUR(AK28)+1</f>
        <v/>
      </c>
      <c r="AF28" s="7" t="n"/>
      <c r="AG28" s="7" t="n"/>
      <c r="AH28" s="86" t="n"/>
      <c r="AI28" s="8" t="n"/>
      <c r="AJ28" s="86" t="n"/>
      <c r="AK28" s="87" t="n"/>
      <c r="AL28" s="88">
        <f>IF(AM28="","",IF(AND((AM28-AK28)&gt;=TIME(0,0,0),(AM28-AK28)&lt;TIME(0,3,0)),"OK",IF(AND((AM28-AK28)&gt;=TIME(0,3,0),(AM28-AK28)&lt;TIME(0,5,0)),"RETRASO DE 3-5 MIN",IF(AND((AM28-AK28)&gt;=TIME(0,5,0),(AM28-AK28)&lt;TIME(0,10,0)),"RETRASO DE 5-10 MIN",IF((AM28-AK28)&gt;=TIME(0,10,0),"RETRASO &gt;10 MIN", IF(AND((AK28-AM28)&gt;=TIME(0,0,0),(AK28-AM28)&lt;TIME(0,3,0)),"OK",IF((AK28-AM28)&gt;=TIME(0,3,0),"ADELANTADO")))))))</f>
        <v/>
      </c>
      <c r="AM28" s="91" t="n"/>
      <c r="AN28" s="89">
        <f>IF(AE28&lt;&gt;"",HLOOKUP(VALUE(TEXT(AK28,"h:mm:ss")),IF($C$6="Laboral",$FZ$4:$GX$227,IF($C$6="Sábado",$FZ$231:$GX$452,$FZ$456:$GX$656)),VLOOKUP($C$4,$HF$2:$HH$99,3,0)+IF(AG$5="Ida",0,1),1),"")</f>
        <v/>
      </c>
      <c r="AO28" s="89">
        <f>IF(AE29&lt;&gt;AE28,AVERAGEIF(AE$9:AE28,AE28,AN$9:AN28),"")</f>
        <v/>
      </c>
      <c r="AP28" s="89">
        <f>IFERROR(IF(AE29&lt;&gt;AE28,AVERAGEIF(AE$9:AE28,AE28,AW$9:AW28),""),"")</f>
        <v/>
      </c>
      <c r="AQ28" s="89">
        <f>IFERROR(IF(AE29&lt;&gt;AE28,AVERAGEIF(AE$9:AE28,AE28,AX$9:AX28),""),"")</f>
        <v/>
      </c>
      <c r="AR28" s="89">
        <f t="array" ref="AR28">IFERROR(IF(AE29&lt;&gt;AE28,_xlfn.STDEV.P(IF(AE$9:AE28=AE28,AX$9:AX28)),""),"")</f>
        <v/>
      </c>
      <c r="AS28" s="89">
        <f t="array" ref="AS28">IFERROR(IF(AE29&lt;&gt;AE28,_xlfn.STDEV.P(IF(AE$9:AE28=AE28,AW$9:AW28)),""),"")</f>
        <v/>
      </c>
      <c r="AT28" s="90">
        <f>IFERROR(IF(AE28&lt;&gt;AE29,MAX((((AQ28*24*60)/2)*(1+POWER((((AR28*24*60) / (AQ28*24*60) )),2))) + ((AQ28*24*60 )*-0.1 + (AO28*0.015)) +1,(((AQ28*24*60)/2)*(1+POWER((((AR28*24*60) / (AQ28*24*60 ))),2)))),""),"")</f>
        <v/>
      </c>
      <c r="AU28" s="90">
        <f>IF(AND(AS28&lt;&gt;"",AP28&lt;&gt;""),IF(AE28&lt;&gt;AE29,((AP28*24*60) / 2 ) * (1 + POWER(((AS28*24*60) / (AP28*24*60)),2)),""),"")</f>
        <v/>
      </c>
      <c r="AV28" s="90">
        <f>IF(AU28&lt;&gt;"",MAX(AT28,AU28),"")</f>
        <v/>
      </c>
      <c r="AW28" s="89">
        <f>IF(AM28&lt;&gt;"H. Sale Real",IF(AND(AM29&lt;&gt;"",LEFT(AG29,2)&lt;&gt;"Va"),IF(AND(AM28&lt;&gt;"",LEFT(AG28,2)&lt;&gt;"Va",AM28&lt;&gt;"H. Sale Real"),IF(AM29-AM28&lt;0.208333333333333,AM29-AM28,""),IF(AND(AM27&lt;&gt;"",LEFT(AG27,2)&lt;&gt;"Va",AM27&lt;&gt;"H. Sale Real"),IF(AM29-AM27&lt;0.208333333333333,AM29-AM27,""),IF(AND(AM26&lt;&gt;"",LEFT(AG26,2)&lt;&gt;"Va",AM26&lt;&gt;"H. Sale Real"),IF(AM29-AM26&lt;0.208333333333333,AM29-AM26,""),IF(AND(AM25&lt;&gt;"",LEFT(AG25,2)&lt;&gt;"Va",AM25&lt;&gt;"H. Sale Real"),IF(AM29-AM25&lt;0.208333333333333,AM29-AM25,""),IF(AND(AM24&lt;&gt;"",LEFT(AG24,2)&lt;&gt;"Va",AM24&lt;&gt;"H. Sale Real"),IF(AM29-AM24&lt;0.208333333333333,AM29-AM24,""),""))))),""),"")</f>
        <v/>
      </c>
      <c r="AX28" s="89">
        <f>IF(AK28&lt;&gt;"H. Sale Real",IF(AND(AK29&lt;&gt;"",LEFT(AG29,2)&lt;&gt;"Va"),IF(AND(AK28&lt;&gt;"",LEFT(AG28,2)&lt;&gt;"Va",AK28&lt;&gt;"H. Sale Real"),IF(AK29-AK28&lt;0.208333333333333,AK29-AK28,""),IF(AND(AK27&lt;&gt;"",LEFT(AG27,2)&lt;&gt;"Va",AK27&lt;&gt;"H. Sale Real"),IF(AK29-AK27&lt;0.208333333333333,AK29-AK27,""),IF(AND(AK26&lt;&gt;"",LEFT(AG26,2)&lt;&gt;"NC",AK26&lt;&gt;"H. Sale Real"),IF(AK29-AK26&lt;0.208333333333333,AK29-AK26,""),IF(AND(AK25&lt;&gt;"",LEFT(AG25,2)&lt;&gt;"Va",AK25&lt;&gt;"H. Sale Real"),IF(AK29-AK25&lt;0.208333333333333,AK29-AK25,""),IF(AND(AK24&lt;&gt;"",LEFT(AG24,2)&lt;&gt;"Va",AK24&lt;&gt;"H. Sale Real"),IF(AK29-AK24&lt;0.208333333333333,AK29-AK24,""),""))))),""),"")</f>
        <v/>
      </c>
      <c r="AY28" s="87" t="n"/>
      <c r="AZ28" s="89" t="n"/>
      <c r="BA28" s="87" t="n"/>
      <c r="BB28" s="89" t="n"/>
      <c r="BC28" s="91" t="n"/>
      <c r="BD28" s="122">
        <f>IF(AK28&lt;&gt;"",IF(AND(BD27&lt;&gt;"IE",AT28&lt;&gt;0,AV28&lt;&gt;""),IF(IFERROR((AT28/AV28),0) &lt;=1,IFERROR(AT28/AV28,""),1),""),"")</f>
        <v/>
      </c>
      <c r="BE28" s="93" t="n"/>
      <c r="BF28" s="105" t="n"/>
      <c r="BI28" s="8" t="n">
        <v>16</v>
      </c>
      <c r="BJ28" s="8">
        <f>COUNTIFS($A:$A,$BI28,$C:$C,$BI$11)</f>
        <v/>
      </c>
      <c r="BK28" s="8">
        <f>BJ28-COUNTIFS($A:$A,$BI28,$C:$C,$BI$11,$H:$H,"")</f>
        <v/>
      </c>
      <c r="BL28" s="54">
        <f>IFERROR((BK28/BJ28),"")</f>
        <v/>
      </c>
      <c r="BM28" s="8">
        <f>_xlfn.XLOOKUP(BI28,$A:$A,$R:$R,"0",0,-1)</f>
        <v/>
      </c>
      <c r="BN28" s="55">
        <f>_xlfn.XLOOKUP(BI28,$A:$A,$P:$P,"0",0,-1)</f>
        <v/>
      </c>
      <c r="BO28" s="123">
        <f>_xlfn.XLOOKUP(BI28,$A:$A,$Z:$Z,"",0,-1)</f>
        <v/>
      </c>
      <c r="BR28" s="8" t="n">
        <v>16</v>
      </c>
      <c r="BS28" s="8">
        <f>COUNTIFS($AE:$AE,$BR28,$AG:$AG,$BR$11)</f>
        <v/>
      </c>
      <c r="BT28" s="8">
        <f>BS28-COUNTIFS($AE:$AE,$BR28,$AG:$AG,$BR$11,$AL:$AL,"")</f>
        <v/>
      </c>
      <c r="BU28" s="54">
        <f>IFERROR((BT28/BS28),"")</f>
        <v/>
      </c>
      <c r="BV28" s="8">
        <f>_xlfn.XLOOKUP(BR28,$AE:$AE,$AV:$AV,"0",0,-1)</f>
        <v/>
      </c>
      <c r="BW28" s="55">
        <f>_xlfn.XLOOKUP(BR28,$AE:$AE,$AT:$AT,"0",0,-1)</f>
        <v/>
      </c>
      <c r="BX28" s="123">
        <f>_xlfn.XLOOKUP(BR28,$AE:$AE,$BD:$BD,"",0,-1)</f>
        <v/>
      </c>
      <c r="FC28" t="inlineStr">
        <is>
          <t>Diccionario 1</t>
        </is>
      </c>
      <c r="FD28" s="15" t="n">
        <v>1025</v>
      </c>
      <c r="FE28" s="15" t="inlineStr">
        <is>
          <t>D8483045K2PL</t>
        </is>
      </c>
      <c r="FF28" s="15" t="inlineStr">
        <is>
          <t>YV3T7U520KA195462</t>
        </is>
      </c>
      <c r="FG28" s="15" t="inlineStr">
        <is>
          <t>Volvo</t>
        </is>
      </c>
      <c r="FH28" s="15" t="inlineStr">
        <is>
          <t>B8R</t>
        </is>
      </c>
      <c r="FI28" s="15" t="inlineStr">
        <is>
          <t>MARCOPOLO</t>
        </is>
      </c>
      <c r="FJ28" s="15" t="inlineStr">
        <is>
          <t>TORINO</t>
        </is>
      </c>
      <c r="FK28" s="15" t="n">
        <v>2019</v>
      </c>
      <c r="FL28" s="15" t="inlineStr">
        <is>
          <t>B2PAL</t>
        </is>
      </c>
      <c r="FM28" s="15" t="inlineStr">
        <is>
          <t>LOS LIBERTADORES</t>
        </is>
      </c>
      <c r="FN28" s="15" t="inlineStr">
        <is>
          <t>Los Liberadores 6450, Lote 4A</t>
        </is>
      </c>
      <c r="FO28" s="15" t="inlineStr">
        <is>
          <t>Huechuraba</t>
        </is>
      </c>
      <c r="FP28" t="inlineStr">
        <is>
          <t>B</t>
        </is>
      </c>
      <c r="FS28" s="14" t="inlineStr">
        <is>
          <t>3007 / SFWB-50|</t>
        </is>
      </c>
      <c r="FT28" t="inlineStr">
        <is>
          <t>SFWB-50|</t>
        </is>
      </c>
      <c r="FU28" t="inlineStr">
        <is>
          <t>SFWB-50</t>
        </is>
      </c>
      <c r="FV28">
        <f>VLOOKUP(FU28,FD:FL,9,0)</f>
        <v/>
      </c>
      <c r="FZ28" s="51" t="n">
        <v>722</v>
      </c>
      <c r="GA28" s="117" t="n">
        <v>0</v>
      </c>
      <c r="GB28" s="117" t="n">
        <v>0</v>
      </c>
      <c r="GC28" s="117" t="n">
        <v>0</v>
      </c>
      <c r="GD28" s="117" t="n">
        <v>0</v>
      </c>
      <c r="GE28" s="117" t="n">
        <v>33.34999999999999</v>
      </c>
      <c r="GF28" s="117" t="n">
        <v>28.915</v>
      </c>
      <c r="GG28" s="117" t="n">
        <v>20.485</v>
      </c>
      <c r="GH28" s="117" t="n">
        <v>15.51</v>
      </c>
      <c r="GI28" s="117" t="n">
        <v>16.905</v>
      </c>
      <c r="GJ28" s="117" t="n">
        <v>19.285</v>
      </c>
      <c r="GK28" s="117" t="n">
        <v>20.875</v>
      </c>
      <c r="GL28" s="117" t="n">
        <v>20.73</v>
      </c>
      <c r="GM28" s="117" t="n">
        <v>19.905</v>
      </c>
      <c r="GN28" s="117" t="n">
        <v>19.655</v>
      </c>
      <c r="GO28" s="117" t="n">
        <v>19.46</v>
      </c>
      <c r="GP28" s="117" t="n">
        <v>18.505</v>
      </c>
      <c r="GQ28" s="117" t="n">
        <v>17.405</v>
      </c>
      <c r="GR28" s="117" t="n">
        <v>16.31</v>
      </c>
      <c r="GS28" s="117" t="n">
        <v>16.535</v>
      </c>
      <c r="GT28" s="117" t="n">
        <v>19.545</v>
      </c>
      <c r="GU28" s="117" t="n">
        <v>21.92</v>
      </c>
      <c r="GV28" s="117" t="n">
        <v>23.85</v>
      </c>
      <c r="GW28" s="117" t="n">
        <v>25.92</v>
      </c>
      <c r="GX28" s="117" t="n">
        <v>27.725</v>
      </c>
      <c r="HA28" s="35" t="n">
        <v>25</v>
      </c>
      <c r="HB28" s="35" t="n">
        <v>22</v>
      </c>
      <c r="HE28" t="inlineStr">
        <is>
          <t>U8</t>
        </is>
      </c>
      <c r="HF28" s="46" t="inlineStr">
        <is>
          <t>B19</t>
        </is>
      </c>
      <c r="HG28" s="46" t="inlineStr">
        <is>
          <t>B19</t>
        </is>
      </c>
      <c r="HH28" s="14" t="n">
        <v>45</v>
      </c>
      <c r="HL28" t="inlineStr">
        <is>
          <t>OmegaU8</t>
        </is>
      </c>
      <c r="HM28" s="46" t="inlineStr">
        <is>
          <t>B19</t>
        </is>
      </c>
      <c r="HN28" s="26" t="inlineStr">
        <is>
          <t>Aguirre Luco</t>
        </is>
      </c>
      <c r="HO28" s="14" t="n">
        <v>919</v>
      </c>
      <c r="IB28" s="74" t="inlineStr">
        <is>
          <t>Panne en Taller</t>
        </is>
      </c>
    </row>
    <row r="29" ht="16" customHeight="1">
      <c r="A29" s="10">
        <f>HOUR(G29)+1</f>
        <v/>
      </c>
      <c r="B29" s="7" t="n"/>
      <c r="C29" s="7" t="n"/>
      <c r="D29" s="85">
        <f>IFERROR(
IF(AND(OR(Planilla!B29="C",Planilla!B29="c"), VLOOKUP(E29,FD:FP,13,0)="C"), "OK",IF(AND(OR(Planilla!B29="C",Planilla!B29="c"), OR(VLOOKUP(E29,FD:FP,13,0)="B", VLOOKUP(E29,FD:FP,13,0)="A")), "DEFICIT",IF(
AND(OR(Planilla!B29="B", Planilla!B29="BPAL"), VLOOKUP(E29,FD:FP,13,0)="B"), "OK",IF(AND(OR(Planilla!B29="B", Planilla!B29="BPAL"), VLOOKUP(E29,FD:FP,13,0)="A"), "DEFICIT",IF(AND(OR(Planilla!B29="B", Planilla!B29="BPAL"), VLOOKUP(E29,FD:FP,13,0)="C"), "SOBREOFERTA",IF(AND(Planilla!B29="A", VLOOKUP(E29,FD:FP,13,0)="A"), "OK",IF(
AND(Planilla!B29="A", OR(VLOOKUP(E29,FD:FP,13,0)="B", VLOOKUP(E29,FD:FP,13,0)="C")), "SOBREOFERTA",""
))))))),"")</f>
        <v/>
      </c>
      <c r="E29" s="8" t="n"/>
      <c r="F29" s="86" t="n"/>
      <c r="G29" s="87" t="n"/>
      <c r="H29" s="88">
        <f>IF(I29="","",IF(AND((I29-G29)&gt;=TIME(0,0,0),(I29-G29)&lt;TIME(0,3,0)),"OK",IF(AND((I29-G29)&gt;=TIME(0,3,0),(I29-G29)&lt;TIME(0,5,0)),"RETRASO DE 3-5 MIN",IF(AND((I29-G29)&gt;=TIME(0,5,0),(I29-G29)&lt;TIME(0,10,0)),"RETRASO DE 5-10 MIN",IF((I29-G29)&gt;=TIME(0,10,0),"RETRASO &gt;10 MIN", IF(AND((G29-I29)&gt;=TIME(0,0,0),(G29-I29)&lt;TIME(0,3,0)),"OK",IF((G29-I29)&gt;=TIME(0,3,0),"ADELANTADO")))))))</f>
        <v/>
      </c>
      <c r="I29" s="89" t="n"/>
      <c r="J29" s="89">
        <f>IF(A29&lt;&gt;"",HLOOKUP(VALUE(TEXT(G29,"h:mm:ss")),IF($C$6="Laboral",$FZ$4:$GX$227,IF($C$6="Sábado",$FZ$231:$GX$452,$FZ$456:$GX$656)),VLOOKUP($C$4,$HF$2:$HH$99,3,0)+IF(C$5="Ida",0,1),1),"")</f>
        <v/>
      </c>
      <c r="K29" s="89">
        <f>IF(A30&lt;&gt;A29,AVERAGEIF(A$9:A29,A29,J$9:J29),"")</f>
        <v/>
      </c>
      <c r="L29" s="89">
        <f>IFERROR(IF(A30&lt;&gt;A29,AVERAGEIF(A$9:A29,A29,S$9:S29),""),"")</f>
        <v/>
      </c>
      <c r="M29" s="89">
        <f>IFERROR(IF(A30&lt;&gt;A29,AVERAGEIF(A$9:A29,A29,T$9:T29),""),"")</f>
        <v/>
      </c>
      <c r="N29" s="89">
        <f t="array" ref="N29">IFERROR(IF(A30&lt;&gt;A29,_xlfn.STDEV.P(IF(A$9:A29=A29,T$9:T29)),""),"")</f>
        <v/>
      </c>
      <c r="O29" s="89">
        <f t="array" ref="O29">IFERROR(IF(A30&lt;&gt;A29,_xlfn.STDEV.P(IF(A$9:A29=A29,S$9:S29)),""),"")</f>
        <v/>
      </c>
      <c r="P29" s="90">
        <f>IFERROR(IF(A29&lt;&gt;A30,MAX((((M29*24*60)/2)*(1+POWER((((N29*24*60) / (M29*24*60) )),2))) + ((M29*24*60 )*-0.1 + (K29*0.015)) +1,(((M29*24*60)/2)*(1+POWER((((N29*24*60) / (M29*24*60 ))),2)))),""),"")</f>
        <v/>
      </c>
      <c r="Q29" s="90">
        <f>IF(AND(O29&lt;&gt;"",L29&lt;&gt;""),IF(A29&lt;&gt;A30,((L29*24*60) / 2 ) * (1 + POWER(((O29*24*60) / (L29*24*60)),2)),""),"")</f>
        <v/>
      </c>
      <c r="R29" s="90">
        <f>IF(Q29&lt;&gt;"",MAX(P29,Q29),"")</f>
        <v/>
      </c>
      <c r="S29" s="89">
        <f>IF(I29&lt;&gt;"H. Sale Real",IF(AND(I30&lt;&gt;"",LEFT(C30,2)&lt;&gt;"Va"),IF(AND(I29&lt;&gt;"",LEFT(C29,2)&lt;&gt;"Va",I29&lt;&gt;"H. Sale Real"),IF(I30-I29&lt;0.208333333333333,I30-I29,""),IF(AND(I28&lt;&gt;"",LEFT(C28,2)&lt;&gt;"Va",I28&lt;&gt;"H. Sale Real"),IF(I30-I28&lt;0.208333333333333,I30-I28,""),IF(AND(I27&lt;&gt;"",LEFT(C27,2)&lt;&gt;"Va",I27&lt;&gt;"H. Sale Real"),IF(I30-I27&lt;0.208333333333333,I30-I27,""),IF(AND(I26&lt;&gt;"",LEFT(C26,2)&lt;&gt;"Va",I26&lt;&gt;"H. Sale Real"),IF(I30-I26&lt;0.208333333333333,I30-I26,""),IF(AND(I25&lt;&gt;"",LEFT(C25,2)&lt;&gt;"Va",I25&lt;&gt;"H. Sale Real"),IF(I30-I25&lt;0.208333333333333,I30-I25,""),""))))),""),"")</f>
        <v/>
      </c>
      <c r="T29" s="89">
        <f>IF(G29&lt;&gt;"H. Sale Real",IF(AND(G30&lt;&gt;"",LEFT(C30,2)&lt;&gt;"Va"),IF(AND(G29&lt;&gt;"",LEFT(C29,2)&lt;&gt;"Va",G29&lt;&gt;"H. Sale Real"),IF(G30-G29&lt;0.208333333333333,G30-G29,""),IF(AND(G28&lt;&gt;"",LEFT(C28,2)&lt;&gt;"Va",G28&lt;&gt;"H. Sale Real"),IF(G30-G28&lt;0.208333333333333,G30-G28,""),IF(AND(G27&lt;&gt;"",LEFT(C27,2)&lt;&gt;"Va",G27&lt;&gt;"H. Sale Real"),IF(G30-G27&lt;0.208333333333333,G30-G27,""),IF(AND(G26&lt;&gt;"",LEFT(C26,2)&lt;&gt;"Va",G26&lt;&gt;"H. Sale Real"),IF(G30-G26&lt;0.208333333333333,G30-G26,""),IF(AND(G25&lt;&gt;"",LEFT(C25,2)&lt;&gt;"Va",G25&lt;&gt;"H. Sale Real"),IF(G30-G25&lt;0.208333333333333,G30-G25,""),""))))),""),"")</f>
        <v/>
      </c>
      <c r="U29" s="87" t="n"/>
      <c r="V29" s="89" t="n"/>
      <c r="W29" s="87" t="n"/>
      <c r="X29" s="89" t="n"/>
      <c r="Y29" s="91" t="n"/>
      <c r="Z29" s="122">
        <f>IF(G29&lt;&gt;"",IF(AND(Z28&lt;&gt;"IE",P29&lt;&gt;0,R29&lt;&gt;""),IF(IFERROR((P29/R29),0) &lt;=1,IFERROR(P29/R29,""),1),""),"")</f>
        <v/>
      </c>
      <c r="AA29" s="93" t="n"/>
      <c r="AB29" s="2" t="n"/>
      <c r="AE29" s="10">
        <f>HOUR(AK29)+1</f>
        <v/>
      </c>
      <c r="AF29" s="7" t="n"/>
      <c r="AG29" s="7" t="n"/>
      <c r="AH29" s="86" t="n"/>
      <c r="AI29" s="8" t="n"/>
      <c r="AJ29" s="86" t="n"/>
      <c r="AK29" s="87" t="n"/>
      <c r="AL29" s="88">
        <f>IF(AM29="","",IF(AND((AM29-AK29)&gt;=TIME(0,0,0),(AM29-AK29)&lt;TIME(0,3,0)),"OK",IF(AND((AM29-AK29)&gt;=TIME(0,3,0),(AM29-AK29)&lt;TIME(0,5,0)),"RETRASO DE 3-5 MIN",IF(AND((AM29-AK29)&gt;=TIME(0,5,0),(AM29-AK29)&lt;TIME(0,10,0)),"RETRASO DE 5-10 MIN",IF((AM29-AK29)&gt;=TIME(0,10,0),"RETRASO &gt;10 MIN", IF(AND((AK29-AM29)&gt;=TIME(0,0,0),(AK29-AM29)&lt;TIME(0,3,0)),"OK",IF((AK29-AM29)&gt;=TIME(0,3,0),"ADELANTADO")))))))</f>
        <v/>
      </c>
      <c r="AM29" s="91" t="n"/>
      <c r="AN29" s="89">
        <f>IF(AE29&lt;&gt;"",HLOOKUP(VALUE(TEXT(AK29,"h:mm:ss")),IF($C$6="Laboral",$FZ$4:$GX$227,IF($C$6="Sábado",$FZ$231:$GX$452,$FZ$456:$GX$656)),VLOOKUP($C$4,$HF$2:$HH$99,3,0)+IF(AG$5="Ida",0,1),1),"")</f>
        <v/>
      </c>
      <c r="AO29" s="89">
        <f>IF(AE30&lt;&gt;AE29,AVERAGEIF(AE$9:AE29,AE29,AN$9:AN29),"")</f>
        <v/>
      </c>
      <c r="AP29" s="89">
        <f>IFERROR(IF(AE30&lt;&gt;AE29,AVERAGEIF(AE$9:AE29,AE29,AW$9:AW29),""),"")</f>
        <v/>
      </c>
      <c r="AQ29" s="89">
        <f>IFERROR(IF(AE30&lt;&gt;AE29,AVERAGEIF(AE$9:AE29,AE29,AX$9:AX29),""),"")</f>
        <v/>
      </c>
      <c r="AR29" s="89">
        <f t="array" ref="AR29">IFERROR(IF(AE30&lt;&gt;AE29,_xlfn.STDEV.P(IF(AE$9:AE29=AE29,AX$9:AX29)),""),"")</f>
        <v/>
      </c>
      <c r="AS29" s="89">
        <f t="array" ref="AS29">IFERROR(IF(AE30&lt;&gt;AE29,_xlfn.STDEV.P(IF(AE$9:AE29=AE29,AW$9:AW29)),""),"")</f>
        <v/>
      </c>
      <c r="AT29" s="90">
        <f>IFERROR(IF(AE29&lt;&gt;AE30,MAX((((AQ29*24*60)/2)*(1+POWER((((AR29*24*60) / (AQ29*24*60) )),2))) + ((AQ29*24*60 )*-0.1 + (AO29*0.015)) +1,(((AQ29*24*60)/2)*(1+POWER((((AR29*24*60) / (AQ29*24*60 ))),2)))),""),"")</f>
        <v/>
      </c>
      <c r="AU29" s="90">
        <f>IF(AND(AS29&lt;&gt;"",AP29&lt;&gt;""),IF(AE29&lt;&gt;AE30,((AP29*24*60) / 2 ) * (1 + POWER(((AS29*24*60) / (AP29*24*60)),2)),""),"")</f>
        <v/>
      </c>
      <c r="AV29" s="90">
        <f>IF(AU29&lt;&gt;"",MAX(AT29,AU29),"")</f>
        <v/>
      </c>
      <c r="AW29" s="89">
        <f>IF(AM29&lt;&gt;"H. Sale Real",IF(AND(AM30&lt;&gt;"",LEFT(AG30,2)&lt;&gt;"Va"),IF(AND(AM29&lt;&gt;"",LEFT(AG29,2)&lt;&gt;"Va",AM29&lt;&gt;"H. Sale Real"),IF(AM30-AM29&lt;0.208333333333333,AM30-AM29,""),IF(AND(AM28&lt;&gt;"",LEFT(AG28,2)&lt;&gt;"Va",AM28&lt;&gt;"H. Sale Real"),IF(AM30-AM28&lt;0.208333333333333,AM30-AM28,""),IF(AND(AM27&lt;&gt;"",LEFT(AG27,2)&lt;&gt;"Va",AM27&lt;&gt;"H. Sale Real"),IF(AM30-AM27&lt;0.208333333333333,AM30-AM27,""),IF(AND(AM26&lt;&gt;"",LEFT(AG26,2)&lt;&gt;"Va",AM26&lt;&gt;"H. Sale Real"),IF(AM30-AM26&lt;0.208333333333333,AM30-AM26,""),IF(AND(AM25&lt;&gt;"",LEFT(AG25,2)&lt;&gt;"Va",AM25&lt;&gt;"H. Sale Real"),IF(AM30-AM25&lt;0.208333333333333,AM30-AM25,""),""))))),""),"")</f>
        <v/>
      </c>
      <c r="AX29" s="89">
        <f>IF(AK29&lt;&gt;"H. Sale Real",IF(AND(AK30&lt;&gt;"",LEFT(AG30,2)&lt;&gt;"Va"),IF(AND(AK29&lt;&gt;"",LEFT(AG29,2)&lt;&gt;"Va",AK29&lt;&gt;"H. Sale Real"),IF(AK30-AK29&lt;0.208333333333333,AK30-AK29,""),IF(AND(AK28&lt;&gt;"",LEFT(AG28,2)&lt;&gt;"Va",AK28&lt;&gt;"H. Sale Real"),IF(AK30-AK28&lt;0.208333333333333,AK30-AK28,""),IF(AND(AK27&lt;&gt;"",LEFT(AG27,2)&lt;&gt;"NC",AK27&lt;&gt;"H. Sale Real"),IF(AK30-AK27&lt;0.208333333333333,AK30-AK27,""),IF(AND(AK26&lt;&gt;"",LEFT(AG26,2)&lt;&gt;"Va",AK26&lt;&gt;"H. Sale Real"),IF(AK30-AK26&lt;0.208333333333333,AK30-AK26,""),IF(AND(AK25&lt;&gt;"",LEFT(AG25,2)&lt;&gt;"Va",AK25&lt;&gt;"H. Sale Real"),IF(AK30-AK25&lt;0.208333333333333,AK30-AK25,""),""))))),""),"")</f>
        <v/>
      </c>
      <c r="AY29" s="87" t="n"/>
      <c r="AZ29" s="89" t="n"/>
      <c r="BA29" s="87" t="n"/>
      <c r="BB29" s="89" t="n"/>
      <c r="BC29" s="91" t="n"/>
      <c r="BD29" s="122">
        <f>IF(AK29&lt;&gt;"",IF(AND(BD28&lt;&gt;"IE",AT29&lt;&gt;0,AV29&lt;&gt;""),IF(IFERROR((AT29/AV29),0) &lt;=1,IFERROR(AT29/AV29,""),1),""),"")</f>
        <v/>
      </c>
      <c r="BE29" s="93" t="n"/>
      <c r="BF29" s="105" t="n"/>
      <c r="BI29" s="8" t="n">
        <v>17</v>
      </c>
      <c r="BJ29" s="8">
        <f>COUNTIFS($A:$A,$BI29,$C:$C,$BI$11)</f>
        <v/>
      </c>
      <c r="BK29" s="8">
        <f>BJ29-COUNTIFS($A:$A,$BI29,$C:$C,$BI$11,$H:$H,"")</f>
        <v/>
      </c>
      <c r="BL29" s="54">
        <f>IFERROR((BK29/BJ29),"")</f>
        <v/>
      </c>
      <c r="BM29" s="8">
        <f>_xlfn.XLOOKUP(BI29,$A:$A,$R:$R,"0",0,-1)</f>
        <v/>
      </c>
      <c r="BN29" s="55">
        <f>_xlfn.XLOOKUP(BI29,$A:$A,$P:$P,"0",0,-1)</f>
        <v/>
      </c>
      <c r="BO29" s="123">
        <f>_xlfn.XLOOKUP(BI29,$A:$A,$Z:$Z,"",0,-1)</f>
        <v/>
      </c>
      <c r="BR29" s="8" t="n">
        <v>17</v>
      </c>
      <c r="BS29" s="8">
        <f>COUNTIFS($AE:$AE,$BR29,$AG:$AG,$BR$11)</f>
        <v/>
      </c>
      <c r="BT29" s="8">
        <f>BS29-COUNTIFS($AE:$AE,$BR29,$AG:$AG,$BR$11,$AL:$AL,"")</f>
        <v/>
      </c>
      <c r="BU29" s="54">
        <f>IFERROR((BT29/BS29),"")</f>
        <v/>
      </c>
      <c r="BV29" s="8">
        <f>_xlfn.XLOOKUP(BR29,$AE:$AE,$AV:$AV,"0",0,-1)</f>
        <v/>
      </c>
      <c r="BW29" s="55">
        <f>_xlfn.XLOOKUP(BR29,$AE:$AE,$AT:$AT,"0",0,-1)</f>
        <v/>
      </c>
      <c r="BX29" s="123">
        <f>_xlfn.XLOOKUP(BR29,$AE:$AE,$BD:$BD,"",0,-1)</f>
        <v/>
      </c>
      <c r="FC29" t="inlineStr">
        <is>
          <t>Diccionario 1</t>
        </is>
      </c>
      <c r="FD29" s="15" t="n">
        <v>1026</v>
      </c>
      <c r="FE29" s="15" t="inlineStr">
        <is>
          <t>D8483063K2PL</t>
        </is>
      </c>
      <c r="FF29" s="15" t="inlineStr">
        <is>
          <t>YV3T7U522KA195463</t>
        </is>
      </c>
      <c r="FG29" s="15" t="inlineStr">
        <is>
          <t>Volvo</t>
        </is>
      </c>
      <c r="FH29" s="15" t="inlineStr">
        <is>
          <t>B8R</t>
        </is>
      </c>
      <c r="FI29" s="15" t="inlineStr">
        <is>
          <t>MARCOPOLO</t>
        </is>
      </c>
      <c r="FJ29" s="15" t="inlineStr">
        <is>
          <t>TORINO</t>
        </is>
      </c>
      <c r="FK29" s="15" t="n">
        <v>2019</v>
      </c>
      <c r="FL29" s="15" t="inlineStr">
        <is>
          <t>B2PAL</t>
        </is>
      </c>
      <c r="FM29" s="15" t="inlineStr">
        <is>
          <t>LOS LIBERTADORES</t>
        </is>
      </c>
      <c r="FN29" s="15" t="inlineStr">
        <is>
          <t>Los Liberadores 6450, Lote 4A</t>
        </is>
      </c>
      <c r="FO29" s="15" t="inlineStr">
        <is>
          <t>Huechuraba</t>
        </is>
      </c>
      <c r="FP29" t="inlineStr">
        <is>
          <t>B</t>
        </is>
      </c>
      <c r="FS29" s="14" t="inlineStr">
        <is>
          <t>3007 / SFWB-50|</t>
        </is>
      </c>
      <c r="FT29" t="inlineStr">
        <is>
          <t>SFWB-50|</t>
        </is>
      </c>
      <c r="FU29" t="inlineStr">
        <is>
          <t>SFWB-50</t>
        </is>
      </c>
      <c r="FV29">
        <f>VLOOKUP(FU29,FD:FL,9,0)</f>
        <v/>
      </c>
      <c r="FZ29" s="51" t="n">
        <v>722</v>
      </c>
      <c r="GA29" s="117" t="n">
        <v>31.885</v>
      </c>
      <c r="GB29" s="117" t="n">
        <v>16.595</v>
      </c>
      <c r="GC29" s="117" t="n">
        <v>0</v>
      </c>
      <c r="GD29" s="117" t="n">
        <v>0</v>
      </c>
      <c r="GE29" s="117" t="n">
        <v>0</v>
      </c>
      <c r="GF29" s="117" t="n">
        <v>31.7</v>
      </c>
      <c r="GG29" s="117" t="n">
        <v>24.445</v>
      </c>
      <c r="GH29" s="117" t="n">
        <v>17.905</v>
      </c>
      <c r="GI29" s="117" t="n">
        <v>18.37</v>
      </c>
      <c r="GJ29" s="117" t="n">
        <v>21.83</v>
      </c>
      <c r="GK29" s="117" t="n">
        <v>23.075</v>
      </c>
      <c r="GL29" s="117" t="n">
        <v>22.29</v>
      </c>
      <c r="GM29" s="117" t="n">
        <v>20.965</v>
      </c>
      <c r="GN29" s="117" t="n">
        <v>20.16</v>
      </c>
      <c r="GO29" s="117" t="n">
        <v>19.785</v>
      </c>
      <c r="GP29" s="117" t="n">
        <v>18.25</v>
      </c>
      <c r="GQ29" s="117" t="n">
        <v>16.44</v>
      </c>
      <c r="GR29" s="117" t="n">
        <v>14.33</v>
      </c>
      <c r="GS29" s="117" t="n">
        <v>15.94</v>
      </c>
      <c r="GT29" s="117" t="n">
        <v>19.19</v>
      </c>
      <c r="GU29" s="117" t="n">
        <v>21.99</v>
      </c>
      <c r="GV29" s="117" t="n">
        <v>24.335</v>
      </c>
      <c r="GW29" s="117" t="n">
        <v>26.73</v>
      </c>
      <c r="GX29" s="117" t="n">
        <v>28.725</v>
      </c>
      <c r="HA29" s="35" t="n">
        <v>26</v>
      </c>
      <c r="HB29" s="35" t="n">
        <v>23</v>
      </c>
      <c r="HE29" t="inlineStr">
        <is>
          <t>U8</t>
        </is>
      </c>
      <c r="HF29" s="46" t="inlineStr">
        <is>
          <t>F02</t>
        </is>
      </c>
      <c r="HG29" s="46" t="inlineStr">
        <is>
          <t>F02</t>
        </is>
      </c>
      <c r="HH29" s="14" t="n">
        <v>46</v>
      </c>
      <c r="HL29" t="inlineStr">
        <is>
          <t>OmegaU8</t>
        </is>
      </c>
      <c r="HM29" s="46" t="inlineStr">
        <is>
          <t>F02</t>
        </is>
      </c>
      <c r="HN29" s="26" t="inlineStr">
        <is>
          <t>Pie Andino</t>
        </is>
      </c>
      <c r="HO29" s="14" t="n">
        <v>922</v>
      </c>
      <c r="IB29" s="74" t="inlineStr">
        <is>
          <t>MáquinaAccidente en Ruta</t>
        </is>
      </c>
    </row>
    <row r="30" ht="16" customHeight="1">
      <c r="A30" s="10">
        <f>HOUR(G30)+1</f>
        <v/>
      </c>
      <c r="B30" s="7" t="n"/>
      <c r="C30" s="7" t="n"/>
      <c r="D30" s="85">
        <f>IFERROR(
IF(AND(OR(Planilla!B30="C",Planilla!B30="c"), VLOOKUP(E30,FD:FP,13,0)="C"), "OK",IF(AND(OR(Planilla!B30="C",Planilla!B30="c"), OR(VLOOKUP(E30,FD:FP,13,0)="B", VLOOKUP(E30,FD:FP,13,0)="A")), "DEFICIT",IF(
AND(OR(Planilla!B30="B", Planilla!B30="BPAL"), VLOOKUP(E30,FD:FP,13,0)="B"), "OK",IF(AND(OR(Planilla!B30="B", Planilla!B30="BPAL"), VLOOKUP(E30,FD:FP,13,0)="A"), "DEFICIT",IF(AND(OR(Planilla!B30="B", Planilla!B30="BPAL"), VLOOKUP(E30,FD:FP,13,0)="C"), "SOBREOFERTA",IF(AND(Planilla!B30="A", VLOOKUP(E30,FD:FP,13,0)="A"), "OK",IF(
AND(Planilla!B30="A", OR(VLOOKUP(E30,FD:FP,13,0)="B", VLOOKUP(E30,FD:FP,13,0)="C")), "SOBREOFERTA",""
))))))),"")</f>
        <v/>
      </c>
      <c r="E30" s="8" t="n"/>
      <c r="F30" s="86" t="n"/>
      <c r="G30" s="87" t="n"/>
      <c r="H30" s="88">
        <f>IF(I30="","",IF(AND((I30-G30)&gt;=TIME(0,0,0),(I30-G30)&lt;TIME(0,3,0)),"OK",IF(AND((I30-G30)&gt;=TIME(0,3,0),(I30-G30)&lt;TIME(0,5,0)),"RETRASO DE 3-5 MIN",IF(AND((I30-G30)&gt;=TIME(0,5,0),(I30-G30)&lt;TIME(0,10,0)),"RETRASO DE 5-10 MIN",IF((I30-G30)&gt;=TIME(0,10,0),"RETRASO &gt;10 MIN", IF(AND((G30-I30)&gt;=TIME(0,0,0),(G30-I30)&lt;TIME(0,3,0)),"OK",IF((G30-I30)&gt;=TIME(0,3,0),"ADELANTADO")))))))</f>
        <v/>
      </c>
      <c r="I30" s="89" t="n"/>
      <c r="J30" s="89">
        <f>IF(A30&lt;&gt;"",HLOOKUP(VALUE(TEXT(G30,"h:mm:ss")),IF($C$6="Laboral",$FZ$4:$GX$227,IF($C$6="Sábado",$FZ$231:$GX$452,$FZ$456:$GX$656)),VLOOKUP($C$4,$HF$2:$HH$99,3,0)+IF(C$5="Ida",0,1),1),"")</f>
        <v/>
      </c>
      <c r="K30" s="89">
        <f>IF(A31&lt;&gt;A30,AVERAGEIF(A$9:A30,A30,J$9:J30),"")</f>
        <v/>
      </c>
      <c r="L30" s="89">
        <f>IFERROR(IF(A31&lt;&gt;A30,AVERAGEIF(A$9:A30,A30,S$9:S30),""),"")</f>
        <v/>
      </c>
      <c r="M30" s="89">
        <f>IFERROR(IF(A31&lt;&gt;A30,AVERAGEIF(A$9:A30,A30,T$9:T30),""),"")</f>
        <v/>
      </c>
      <c r="N30" s="89">
        <f t="array" ref="N30">IFERROR(IF(A31&lt;&gt;A30,_xlfn.STDEV.P(IF(A$9:A30=A30,T$9:T30)),""),"")</f>
        <v/>
      </c>
      <c r="O30" s="89">
        <f t="array" ref="O30">IFERROR(IF(A31&lt;&gt;A30,_xlfn.STDEV.P(IF(A$9:A30=A30,S$9:S30)),""),"")</f>
        <v/>
      </c>
      <c r="P30" s="90">
        <f>IFERROR(IF(A30&lt;&gt;A31,MAX((((M30*24*60)/2)*(1+POWER((((N30*24*60) / (M30*24*60) )),2))) + ((M30*24*60 )*-0.1 + (K30*0.015)) +1,(((M30*24*60)/2)*(1+POWER((((N30*24*60) / (M30*24*60 ))),2)))),""),"")</f>
        <v/>
      </c>
      <c r="Q30" s="90">
        <f>IF(AND(O30&lt;&gt;"",L30&lt;&gt;""),IF(A30&lt;&gt;A31,((L30*24*60) / 2 ) * (1 + POWER(((O30*24*60) / (L30*24*60)),2)),""),"")</f>
        <v/>
      </c>
      <c r="R30" s="90">
        <f>IF(Q30&lt;&gt;"",MAX(P30,Q30),"")</f>
        <v/>
      </c>
      <c r="S30" s="89">
        <f>IF(I30&lt;&gt;"H. Sale Real",IF(AND(I31&lt;&gt;"",LEFT(C31,2)&lt;&gt;"Va"),IF(AND(I30&lt;&gt;"",LEFT(C30,2)&lt;&gt;"Va",I30&lt;&gt;"H. Sale Real"),IF(I31-I30&lt;0.208333333333333,I31-I30,""),IF(AND(I29&lt;&gt;"",LEFT(C29,2)&lt;&gt;"Va",I29&lt;&gt;"H. Sale Real"),IF(I31-I29&lt;0.208333333333333,I31-I29,""),IF(AND(I28&lt;&gt;"",LEFT(C28,2)&lt;&gt;"Va",I28&lt;&gt;"H. Sale Real"),IF(I31-I28&lt;0.208333333333333,I31-I28,""),IF(AND(I27&lt;&gt;"",LEFT(C27,2)&lt;&gt;"Va",I27&lt;&gt;"H. Sale Real"),IF(I31-I27&lt;0.208333333333333,I31-I27,""),IF(AND(I26&lt;&gt;"",LEFT(C26,2)&lt;&gt;"Va",I26&lt;&gt;"H. Sale Real"),IF(I31-I26&lt;0.208333333333333,I31-I26,""),""))))),""),"")</f>
        <v/>
      </c>
      <c r="T30" s="89">
        <f>IF(G30&lt;&gt;"H. Sale Real",IF(AND(G31&lt;&gt;"",LEFT(C31,2)&lt;&gt;"Va"),IF(AND(G30&lt;&gt;"",LEFT(C30,2)&lt;&gt;"Va",G30&lt;&gt;"H. Sale Real"),IF(G31-G30&lt;0.208333333333333,G31-G30,""),IF(AND(G29&lt;&gt;"",LEFT(C29,2)&lt;&gt;"Va",G29&lt;&gt;"H. Sale Real"),IF(G31-G29&lt;0.208333333333333,G31-G29,""),IF(AND(G28&lt;&gt;"",LEFT(C28,2)&lt;&gt;"Va",G28&lt;&gt;"H. Sale Real"),IF(G31-G28&lt;0.208333333333333,G31-G28,""),IF(AND(G27&lt;&gt;"",LEFT(C27,2)&lt;&gt;"Va",G27&lt;&gt;"H. Sale Real"),IF(G31-G27&lt;0.208333333333333,G31-G27,""),IF(AND(G26&lt;&gt;"",LEFT(C26,2)&lt;&gt;"Va",G26&lt;&gt;"H. Sale Real"),IF(G31-G26&lt;0.208333333333333,G31-G26,""),""))))),""),"")</f>
        <v/>
      </c>
      <c r="U30" s="87" t="n"/>
      <c r="V30" s="89" t="n"/>
      <c r="W30" s="87" t="n"/>
      <c r="X30" s="89" t="n"/>
      <c r="Y30" s="91" t="n"/>
      <c r="Z30" s="122">
        <f>IF(G30&lt;&gt;"",IF(AND(Z29&lt;&gt;"IE",P30&lt;&gt;0,R30&lt;&gt;""),IF(IFERROR((P30/R30),0) &lt;=1,IFERROR(P30/R30,""),1),""),"")</f>
        <v/>
      </c>
      <c r="AA30" s="93" t="n"/>
      <c r="AB30" s="2" t="n"/>
      <c r="AE30" s="10">
        <f>HOUR(AK30)+1</f>
        <v/>
      </c>
      <c r="AF30" s="7" t="n"/>
      <c r="AG30" s="7" t="n"/>
      <c r="AH30" s="86" t="n"/>
      <c r="AI30" s="8" t="n"/>
      <c r="AJ30" s="86" t="n"/>
      <c r="AK30" s="87" t="n"/>
      <c r="AL30" s="88">
        <f>IF(AM30="","",IF(AND((AM30-AK30)&gt;=TIME(0,0,0),(AM30-AK30)&lt;TIME(0,3,0)),"OK",IF(AND((AM30-AK30)&gt;=TIME(0,3,0),(AM30-AK30)&lt;TIME(0,5,0)),"RETRASO DE 3-5 MIN",IF(AND((AM30-AK30)&gt;=TIME(0,5,0),(AM30-AK30)&lt;TIME(0,10,0)),"RETRASO DE 5-10 MIN",IF((AM30-AK30)&gt;=TIME(0,10,0),"RETRASO &gt;10 MIN", IF(AND((AK30-AM30)&gt;=TIME(0,0,0),(AK30-AM30)&lt;TIME(0,3,0)),"OK",IF((AK30-AM30)&gt;=TIME(0,3,0),"ADELANTADO")))))))</f>
        <v/>
      </c>
      <c r="AM30" s="91" t="n"/>
      <c r="AN30" s="89">
        <f>IF(AE30&lt;&gt;"",HLOOKUP(VALUE(TEXT(AK30,"h:mm:ss")),IF($C$6="Laboral",$FZ$4:$GX$227,IF($C$6="Sábado",$FZ$231:$GX$452,$FZ$456:$GX$656)),VLOOKUP($C$4,$HF$2:$HH$99,3,0)+IF(AG$5="Ida",0,1),1),"")</f>
        <v/>
      </c>
      <c r="AO30" s="89">
        <f>IF(AE31&lt;&gt;AE30,AVERAGEIF(AE$9:AE30,AE30,AN$9:AN30),"")</f>
        <v/>
      </c>
      <c r="AP30" s="89">
        <f>IFERROR(IF(AE31&lt;&gt;AE30,AVERAGEIF(AE$9:AE30,AE30,AW$9:AW30),""),"")</f>
        <v/>
      </c>
      <c r="AQ30" s="89">
        <f>IFERROR(IF(AE31&lt;&gt;AE30,AVERAGEIF(AE$9:AE30,AE30,AX$9:AX30),""),"")</f>
        <v/>
      </c>
      <c r="AR30" s="89">
        <f t="array" ref="AR30">IFERROR(IF(AE31&lt;&gt;AE30,_xlfn.STDEV.P(IF(AE$9:AE30=AE30,AX$9:AX30)),""),"")</f>
        <v/>
      </c>
      <c r="AS30" s="89">
        <f t="array" ref="AS30">IFERROR(IF(AE31&lt;&gt;AE30,_xlfn.STDEV.P(IF(AE$9:AE30=AE30,AW$9:AW30)),""),"")</f>
        <v/>
      </c>
      <c r="AT30" s="90">
        <f>IFERROR(IF(AE30&lt;&gt;AE31,MAX((((AQ30*24*60)/2)*(1+POWER((((AR30*24*60) / (AQ30*24*60) )),2))) + ((AQ30*24*60 )*-0.1 + (AO30*0.015)) +1,(((AQ30*24*60)/2)*(1+POWER((((AR30*24*60) / (AQ30*24*60 ))),2)))),""),"")</f>
        <v/>
      </c>
      <c r="AU30" s="90">
        <f>IF(AND(AS30&lt;&gt;"",AP30&lt;&gt;""),IF(AE30&lt;&gt;AE31,((AP30*24*60) / 2 ) * (1 + POWER(((AS30*24*60) / (AP30*24*60)),2)),""),"")</f>
        <v/>
      </c>
      <c r="AV30" s="90">
        <f>IF(AU30&lt;&gt;"",MAX(AT30,AU30),"")</f>
        <v/>
      </c>
      <c r="AW30" s="89">
        <f>IF(AM30&lt;&gt;"H. Sale Real",IF(AND(AM31&lt;&gt;"",LEFT(AG31,2)&lt;&gt;"Va"),IF(AND(AM30&lt;&gt;"",LEFT(AG30,2)&lt;&gt;"Va",AM30&lt;&gt;"H. Sale Real"),IF(AM31-AM30&lt;0.208333333333333,AM31-AM30,""),IF(AND(AM29&lt;&gt;"",LEFT(AG29,2)&lt;&gt;"Va",AM29&lt;&gt;"H. Sale Real"),IF(AM31-AM29&lt;0.208333333333333,AM31-AM29,""),IF(AND(AM28&lt;&gt;"",LEFT(AG28,2)&lt;&gt;"Va",AM28&lt;&gt;"H. Sale Real"),IF(AM31-AM28&lt;0.208333333333333,AM31-AM28,""),IF(AND(AM27&lt;&gt;"",LEFT(AG27,2)&lt;&gt;"Va",AM27&lt;&gt;"H. Sale Real"),IF(AM31-AM27&lt;0.208333333333333,AM31-AM27,""),IF(AND(AM26&lt;&gt;"",LEFT(AG26,2)&lt;&gt;"Va",AM26&lt;&gt;"H. Sale Real"),IF(AM31-AM26&lt;0.208333333333333,AM31-AM26,""),""))))),""),"")</f>
        <v/>
      </c>
      <c r="AX30" s="89">
        <f>IF(AK30&lt;&gt;"H. Sale Real",IF(AND(AK31&lt;&gt;"",LEFT(AG31,2)&lt;&gt;"Va"),IF(AND(AK30&lt;&gt;"",LEFT(AG30,2)&lt;&gt;"Va",AK30&lt;&gt;"H. Sale Real"),IF(AK31-AK30&lt;0.208333333333333,AK31-AK30,""),IF(AND(AK29&lt;&gt;"",LEFT(AG29,2)&lt;&gt;"Va",AK29&lt;&gt;"H. Sale Real"),IF(AK31-AK29&lt;0.208333333333333,AK31-AK29,""),IF(AND(AK28&lt;&gt;"",LEFT(AG28,2)&lt;&gt;"NC",AK28&lt;&gt;"H. Sale Real"),IF(AK31-AK28&lt;0.208333333333333,AK31-AK28,""),IF(AND(AK27&lt;&gt;"",LEFT(AG27,2)&lt;&gt;"Va",AK27&lt;&gt;"H. Sale Real"),IF(AK31-AK27&lt;0.208333333333333,AK31-AK27,""),IF(AND(AK26&lt;&gt;"",LEFT(AG26,2)&lt;&gt;"Va",AK26&lt;&gt;"H. Sale Real"),IF(AK31-AK26&lt;0.208333333333333,AK31-AK26,""),""))))),""),"")</f>
        <v/>
      </c>
      <c r="AY30" s="87" t="n"/>
      <c r="AZ30" s="89" t="n"/>
      <c r="BA30" s="87" t="n"/>
      <c r="BB30" s="89" t="n"/>
      <c r="BC30" s="91" t="n"/>
      <c r="BD30" s="122">
        <f>IF(AK30&lt;&gt;"",IF(AND(BD29&lt;&gt;"IE",AT30&lt;&gt;0,AV30&lt;&gt;""),IF(IFERROR((AT30/AV30),0) &lt;=1,IFERROR(AT30/AV30,""),1),""),"")</f>
        <v/>
      </c>
      <c r="BE30" s="93" t="n"/>
      <c r="BF30" s="105" t="n"/>
      <c r="BI30" s="8" t="n">
        <v>18</v>
      </c>
      <c r="BJ30" s="8">
        <f>COUNTIFS($A:$A,$BI30,$C:$C,$BI$11)</f>
        <v/>
      </c>
      <c r="BK30" s="8">
        <f>BJ30-COUNTIFS($A:$A,$BI30,$C:$C,$BI$11,$H:$H,"")</f>
        <v/>
      </c>
      <c r="BL30" s="54">
        <f>IFERROR((BK30/BJ30),"")</f>
        <v/>
      </c>
      <c r="BM30" s="8">
        <f>_xlfn.XLOOKUP(BI30,$A:$A,$R:$R,"0",0,-1)</f>
        <v/>
      </c>
      <c r="BN30" s="55">
        <f>_xlfn.XLOOKUP(BI30,$A:$A,$P:$P,"0",0,-1)</f>
        <v/>
      </c>
      <c r="BO30" s="123">
        <f>_xlfn.XLOOKUP(BI30,$A:$A,$Z:$Z,"",0,-1)</f>
        <v/>
      </c>
      <c r="BR30" s="8" t="n">
        <v>18</v>
      </c>
      <c r="BS30" s="8">
        <f>COUNTIFS($AE:$AE,$BR30,$AG:$AG,$BR$11)</f>
        <v/>
      </c>
      <c r="BT30" s="8">
        <f>BS30-COUNTIFS($AE:$AE,$BR30,$AG:$AG,$BR$11,$AL:$AL,"")</f>
        <v/>
      </c>
      <c r="BU30" s="54">
        <f>IFERROR((BT30/BS30),"")</f>
        <v/>
      </c>
      <c r="BV30" s="8">
        <f>_xlfn.XLOOKUP(BR30,$AE:$AE,$AV:$AV,"0",0,-1)</f>
        <v/>
      </c>
      <c r="BW30" s="55">
        <f>_xlfn.XLOOKUP(BR30,$AE:$AE,$AT:$AT,"0",0,-1)</f>
        <v/>
      </c>
      <c r="BX30" s="123">
        <f>_xlfn.XLOOKUP(BR30,$AE:$AE,$BD:$BD,"",0,-1)</f>
        <v/>
      </c>
      <c r="FC30" t="inlineStr">
        <is>
          <t>Diccionario 1</t>
        </is>
      </c>
      <c r="FD30" s="15" t="n">
        <v>1027</v>
      </c>
      <c r="FE30" s="15" t="inlineStr">
        <is>
          <t>D8483109K2PL</t>
        </is>
      </c>
      <c r="FF30" s="15" t="inlineStr">
        <is>
          <t>YV3T7U523KA195486</t>
        </is>
      </c>
      <c r="FG30" s="15" t="inlineStr">
        <is>
          <t>Volvo</t>
        </is>
      </c>
      <c r="FH30" s="15" t="inlineStr">
        <is>
          <t>B8R</t>
        </is>
      </c>
      <c r="FI30" s="15" t="inlineStr">
        <is>
          <t>MARCOPOLO</t>
        </is>
      </c>
      <c r="FJ30" s="15" t="inlineStr">
        <is>
          <t>TORINO</t>
        </is>
      </c>
      <c r="FK30" s="15" t="n">
        <v>2019</v>
      </c>
      <c r="FL30" s="15" t="inlineStr">
        <is>
          <t>B2PAL</t>
        </is>
      </c>
      <c r="FM30" s="15" t="inlineStr">
        <is>
          <t>LOS LIBERTADORES</t>
        </is>
      </c>
      <c r="FN30" s="15" t="inlineStr">
        <is>
          <t>Los Liberadores 6450, Lote 4A</t>
        </is>
      </c>
      <c r="FO30" s="15" t="inlineStr">
        <is>
          <t>Huechuraba</t>
        </is>
      </c>
      <c r="FP30" t="inlineStr">
        <is>
          <t>B</t>
        </is>
      </c>
      <c r="FS30" s="14" t="inlineStr">
        <is>
          <t>3007 / SFWB-50|</t>
        </is>
      </c>
      <c r="FT30" t="inlineStr">
        <is>
          <t>SFWB-50|</t>
        </is>
      </c>
      <c r="FU30" t="inlineStr">
        <is>
          <t>SFWB-50</t>
        </is>
      </c>
      <c r="FV30">
        <f>VLOOKUP(FU30,FD:FL,9,0)</f>
        <v/>
      </c>
      <c r="FZ30" s="51" t="inlineStr">
        <is>
          <t>B24</t>
        </is>
      </c>
      <c r="GA30" s="117" t="n">
        <v>0</v>
      </c>
      <c r="GB30" s="117" t="n">
        <v>0</v>
      </c>
      <c r="GC30" s="117" t="n">
        <v>0</v>
      </c>
      <c r="GD30" s="117" t="n">
        <v>0</v>
      </c>
      <c r="GE30" s="117" t="n">
        <v>0</v>
      </c>
      <c r="GF30" s="117" t="n">
        <v>8.42</v>
      </c>
      <c r="GG30" s="117" t="n">
        <v>14.68</v>
      </c>
      <c r="GH30" s="117" t="n">
        <v>13.505</v>
      </c>
      <c r="GI30" s="117" t="n">
        <v>14.505</v>
      </c>
      <c r="GJ30" s="117" t="n">
        <v>15.18</v>
      </c>
      <c r="GK30" s="117" t="n">
        <v>14.885</v>
      </c>
      <c r="GL30" s="117" t="n">
        <v>14.41</v>
      </c>
      <c r="GM30" s="117" t="n">
        <v>14.24</v>
      </c>
      <c r="GN30" s="117" t="n">
        <v>14.65</v>
      </c>
      <c r="GO30" s="117" t="n">
        <v>14.555</v>
      </c>
      <c r="GP30" s="117" t="n">
        <v>14.03</v>
      </c>
      <c r="GQ30" s="117" t="n">
        <v>13.07</v>
      </c>
      <c r="GR30" s="117" t="n">
        <v>12.885</v>
      </c>
      <c r="GS30" s="117" t="n">
        <v>14.365</v>
      </c>
      <c r="GT30" s="117" t="n">
        <v>16.175</v>
      </c>
      <c r="GU30" s="117" t="n">
        <v>17.535</v>
      </c>
      <c r="GV30" s="117" t="n">
        <v>19.54</v>
      </c>
      <c r="GW30" s="117" t="n">
        <v>21.275</v>
      </c>
      <c r="GX30" s="117" t="n">
        <v>0</v>
      </c>
      <c r="HA30" s="35" t="n">
        <v>27</v>
      </c>
      <c r="HB30" s="35" t="n">
        <v>24</v>
      </c>
      <c r="HE30" t="inlineStr">
        <is>
          <t>U8</t>
        </is>
      </c>
      <c r="HF30" s="46" t="inlineStr">
        <is>
          <t>F05</t>
        </is>
      </c>
      <c r="HG30" s="46" t="inlineStr">
        <is>
          <t>F05</t>
        </is>
      </c>
      <c r="HH30" s="14" t="n">
        <v>48</v>
      </c>
      <c r="HL30" t="inlineStr">
        <is>
          <t>OmegaU8</t>
        </is>
      </c>
      <c r="HM30" s="46" t="inlineStr">
        <is>
          <t>F05</t>
        </is>
      </c>
      <c r="HN30" s="26" t="inlineStr">
        <is>
          <t>Pie Andino</t>
        </is>
      </c>
      <c r="HO30" s="14" t="n">
        <v>925</v>
      </c>
      <c r="IB30" s="74" t="inlineStr">
        <is>
          <t>Problema con Carga de Buses Eléctricos</t>
        </is>
      </c>
    </row>
    <row r="31" ht="16" customHeight="1">
      <c r="A31" s="10">
        <f>HOUR(G31)+1</f>
        <v/>
      </c>
      <c r="B31" s="7" t="n"/>
      <c r="C31" s="7" t="n"/>
      <c r="D31" s="85">
        <f>IFERROR(
IF(AND(OR(Planilla!B31="C",Planilla!B31="c"), VLOOKUP(E31,FD:FP,13,0)="C"), "OK",IF(AND(OR(Planilla!B31="C",Planilla!B31="c"), OR(VLOOKUP(E31,FD:FP,13,0)="B", VLOOKUP(E31,FD:FP,13,0)="A")), "DEFICIT",IF(
AND(OR(Planilla!B31="B", Planilla!B31="BPAL"), VLOOKUP(E31,FD:FP,13,0)="B"), "OK",IF(AND(OR(Planilla!B31="B", Planilla!B31="BPAL"), VLOOKUP(E31,FD:FP,13,0)="A"), "DEFICIT",IF(AND(OR(Planilla!B31="B", Planilla!B31="BPAL"), VLOOKUP(E31,FD:FP,13,0)="C"), "SOBREOFERTA",IF(AND(Planilla!B31="A", VLOOKUP(E31,FD:FP,13,0)="A"), "OK",IF(
AND(Planilla!B31="A", OR(VLOOKUP(E31,FD:FP,13,0)="B", VLOOKUP(E31,FD:FP,13,0)="C")), "SOBREOFERTA",""
))))))),"")</f>
        <v/>
      </c>
      <c r="E31" s="8" t="n"/>
      <c r="F31" s="86" t="n"/>
      <c r="G31" s="87" t="n"/>
      <c r="H31" s="88">
        <f>IF(I31="","",IF(AND((I31-G31)&gt;=TIME(0,0,0),(I31-G31)&lt;TIME(0,3,0)),"OK",IF(AND((I31-G31)&gt;=TIME(0,3,0),(I31-G31)&lt;TIME(0,5,0)),"RETRASO DE 3-5 MIN",IF(AND((I31-G31)&gt;=TIME(0,5,0),(I31-G31)&lt;TIME(0,10,0)),"RETRASO DE 5-10 MIN",IF((I31-G31)&gt;=TIME(0,10,0),"RETRASO &gt;10 MIN", IF(AND((G31-I31)&gt;=TIME(0,0,0),(G31-I31)&lt;TIME(0,3,0)),"OK",IF((G31-I31)&gt;=TIME(0,3,0),"ADELANTADO")))))))</f>
        <v/>
      </c>
      <c r="I31" s="89" t="n"/>
      <c r="J31" s="89">
        <f>IF(A31&lt;&gt;"",HLOOKUP(VALUE(TEXT(G31,"h:mm:ss")),IF($C$6="Laboral",$FZ$4:$GX$227,IF($C$6="Sábado",$FZ$231:$GX$452,$FZ$456:$GX$656)),VLOOKUP($C$4,$HF$2:$HH$99,3,0)+IF(C$5="Ida",0,1),1),"")</f>
        <v/>
      </c>
      <c r="K31" s="89">
        <f>IF(A32&lt;&gt;A31,AVERAGEIF(A$9:A31,A31,J$9:J31),"")</f>
        <v/>
      </c>
      <c r="L31" s="89">
        <f>IFERROR(IF(A32&lt;&gt;A31,AVERAGEIF(A$9:A31,A31,S$9:S31),""),"")</f>
        <v/>
      </c>
      <c r="M31" s="89">
        <f>IFERROR(IF(A32&lt;&gt;A31,AVERAGEIF(A$9:A31,A31,T$9:T31),""),"")</f>
        <v/>
      </c>
      <c r="N31" s="89">
        <f t="array" ref="N31">IFERROR(IF(A32&lt;&gt;A31,_xlfn.STDEV.P(IF(A$9:A31=A31,T$9:T31)),""),"")</f>
        <v/>
      </c>
      <c r="O31" s="89">
        <f t="array" ref="O31">IFERROR(IF(A32&lt;&gt;A31,_xlfn.STDEV.P(IF(A$9:A31=A31,S$9:S31)),""),"")</f>
        <v/>
      </c>
      <c r="P31" s="90">
        <f>IFERROR(IF(A31&lt;&gt;A32,MAX((((M31*24*60)/2)*(1+POWER((((N31*24*60) / (M31*24*60) )),2))) + ((M31*24*60 )*-0.1 + (K31*0.015)) +1,(((M31*24*60)/2)*(1+POWER((((N31*24*60) / (M31*24*60 ))),2)))),""),"")</f>
        <v/>
      </c>
      <c r="Q31" s="90">
        <f>IF(AND(O31&lt;&gt;"",L31&lt;&gt;""),IF(A31&lt;&gt;A32,((L31*24*60) / 2 ) * (1 + POWER(((O31*24*60) / (L31*24*60)),2)),""),"")</f>
        <v/>
      </c>
      <c r="R31" s="90">
        <f>IF(Q31&lt;&gt;"",MAX(P31,Q31),"")</f>
        <v/>
      </c>
      <c r="S31" s="89">
        <f>IF(I31&lt;&gt;"H. Sale Real",IF(AND(I32&lt;&gt;"",LEFT(C32,2)&lt;&gt;"Va"),IF(AND(I31&lt;&gt;"",LEFT(C31,2)&lt;&gt;"Va",I31&lt;&gt;"H. Sale Real"),IF(I32-I31&lt;0.208333333333333,I32-I31,""),IF(AND(I30&lt;&gt;"",LEFT(C30,2)&lt;&gt;"Va",I30&lt;&gt;"H. Sale Real"),IF(I32-I30&lt;0.208333333333333,I32-I30,""),IF(AND(I29&lt;&gt;"",LEFT(C29,2)&lt;&gt;"Va",I29&lt;&gt;"H. Sale Real"),IF(I32-I29&lt;0.208333333333333,I32-I29,""),IF(AND(I28&lt;&gt;"",LEFT(C28,2)&lt;&gt;"Va",I28&lt;&gt;"H. Sale Real"),IF(I32-I28&lt;0.208333333333333,I32-I28,""),IF(AND(I27&lt;&gt;"",LEFT(C27,2)&lt;&gt;"Va",I27&lt;&gt;"H. Sale Real"),IF(I32-I27&lt;0.208333333333333,I32-I27,""),""))))),""),"")</f>
        <v/>
      </c>
      <c r="T31" s="89">
        <f>IF(G31&lt;&gt;"H. Sale Real",IF(AND(G32&lt;&gt;"",LEFT(C32,2)&lt;&gt;"Va"),IF(AND(G31&lt;&gt;"",LEFT(C31,2)&lt;&gt;"Va",G31&lt;&gt;"H. Sale Real"),IF(G32-G31&lt;0.208333333333333,G32-G31,""),IF(AND(G30&lt;&gt;"",LEFT(C30,2)&lt;&gt;"Va",G30&lt;&gt;"H. Sale Real"),IF(G32-G30&lt;0.208333333333333,G32-G30,""),IF(AND(G29&lt;&gt;"",LEFT(C29,2)&lt;&gt;"Va",G29&lt;&gt;"H. Sale Real"),IF(G32-G29&lt;0.208333333333333,G32-G29,""),IF(AND(G28&lt;&gt;"",LEFT(C28,2)&lt;&gt;"Va",G28&lt;&gt;"H. Sale Real"),IF(G32-G28&lt;0.208333333333333,G32-G28,""),IF(AND(G27&lt;&gt;"",LEFT(C27,2)&lt;&gt;"Va",G27&lt;&gt;"H. Sale Real"),IF(G32-G27&lt;0.208333333333333,G32-G27,""),""))))),""),"")</f>
        <v/>
      </c>
      <c r="U31" s="87" t="n"/>
      <c r="V31" s="89" t="n"/>
      <c r="W31" s="87" t="n"/>
      <c r="X31" s="89" t="n"/>
      <c r="Y31" s="91" t="n"/>
      <c r="Z31" s="122">
        <f>IF(G31&lt;&gt;"",IF(AND(Z30&lt;&gt;"IE",P31&lt;&gt;0,R31&lt;&gt;""),IF(IFERROR((P31/R31),0) &lt;=1,IFERROR(P31/R31,""),1),""),"")</f>
        <v/>
      </c>
      <c r="AA31" s="93" t="n"/>
      <c r="AB31" s="2" t="n"/>
      <c r="AE31" s="10">
        <f>HOUR(AK31)+1</f>
        <v/>
      </c>
      <c r="AF31" s="7" t="n"/>
      <c r="AG31" s="7" t="n"/>
      <c r="AH31" s="86" t="n"/>
      <c r="AI31" s="8" t="n"/>
      <c r="AJ31" s="86" t="n"/>
      <c r="AK31" s="87" t="n"/>
      <c r="AL31" s="88">
        <f>IF(AM31="","",IF(AND((AM31-AK31)&gt;=TIME(0,0,0),(AM31-AK31)&lt;TIME(0,3,0)),"OK",IF(AND((AM31-AK31)&gt;=TIME(0,3,0),(AM31-AK31)&lt;TIME(0,5,0)),"RETRASO DE 3-5 MIN",IF(AND((AM31-AK31)&gt;=TIME(0,5,0),(AM31-AK31)&lt;TIME(0,10,0)),"RETRASO DE 5-10 MIN",IF((AM31-AK31)&gt;=TIME(0,10,0),"RETRASO &gt;10 MIN", IF(AND((AK31-AM31)&gt;=TIME(0,0,0),(AK31-AM31)&lt;TIME(0,3,0)),"OK",IF((AK31-AM31)&gt;=TIME(0,3,0),"ADELANTADO")))))))</f>
        <v/>
      </c>
      <c r="AM31" s="91" t="n"/>
      <c r="AN31" s="89">
        <f>IF(AE31&lt;&gt;"",HLOOKUP(VALUE(TEXT(AK31,"h:mm:ss")),IF($C$6="Laboral",$FZ$4:$GX$227,IF($C$6="Sábado",$FZ$231:$GX$452,$FZ$456:$GX$656)),VLOOKUP($C$4,$HF$2:$HH$99,3,0)+IF(AG$5="Ida",0,1),1),"")</f>
        <v/>
      </c>
      <c r="AO31" s="89">
        <f>IF(AE32&lt;&gt;AE31,AVERAGEIF(AE$9:AE31,AE31,AN$9:AN31),"")</f>
        <v/>
      </c>
      <c r="AP31" s="89">
        <f>IFERROR(IF(AE32&lt;&gt;AE31,AVERAGEIF(AE$9:AE31,AE31,AW$9:AW31),""),"")</f>
        <v/>
      </c>
      <c r="AQ31" s="89">
        <f>IFERROR(IF(AE32&lt;&gt;AE31,AVERAGEIF(AE$9:AE31,AE31,AX$9:AX31),""),"")</f>
        <v/>
      </c>
      <c r="AR31" s="89">
        <f t="array" ref="AR31">IFERROR(IF(AE32&lt;&gt;AE31,_xlfn.STDEV.P(IF(AE$9:AE31=AE31,AX$9:AX31)),""),"")</f>
        <v/>
      </c>
      <c r="AS31" s="89">
        <f t="array" ref="AS31">IFERROR(IF(AE32&lt;&gt;AE31,_xlfn.STDEV.P(IF(AE$9:AE31=AE31,AW$9:AW31)),""),"")</f>
        <v/>
      </c>
      <c r="AT31" s="90">
        <f>IFERROR(IF(AE31&lt;&gt;AE32,MAX((((AQ31*24*60)/2)*(1+POWER((((AR31*24*60) / (AQ31*24*60) )),2))) + ((AQ31*24*60 )*-0.1 + (AO31*0.015)) +1,(((AQ31*24*60)/2)*(1+POWER((((AR31*24*60) / (AQ31*24*60 ))),2)))),""),"")</f>
        <v/>
      </c>
      <c r="AU31" s="90">
        <f>IF(AND(AS31&lt;&gt;"",AP31&lt;&gt;""),IF(AE31&lt;&gt;AE32,((AP31*24*60) / 2 ) * (1 + POWER(((AS31*24*60) / (AP31*24*60)),2)),""),"")</f>
        <v/>
      </c>
      <c r="AV31" s="90">
        <f>IF(AU31&lt;&gt;"",MAX(AT31,AU31),"")</f>
        <v/>
      </c>
      <c r="AW31" s="89">
        <f>IF(AM31&lt;&gt;"H. Sale Real",IF(AND(AM32&lt;&gt;"",LEFT(AG32,2)&lt;&gt;"Va"),IF(AND(AM31&lt;&gt;"",LEFT(AG31,2)&lt;&gt;"Va",AM31&lt;&gt;"H. Sale Real"),IF(AM32-AM31&lt;0.208333333333333,AM32-AM31,""),IF(AND(AM30&lt;&gt;"",LEFT(AG30,2)&lt;&gt;"Va",AM30&lt;&gt;"H. Sale Real"),IF(AM32-AM30&lt;0.208333333333333,AM32-AM30,""),IF(AND(AM29&lt;&gt;"",LEFT(AG29,2)&lt;&gt;"Va",AM29&lt;&gt;"H. Sale Real"),IF(AM32-AM29&lt;0.208333333333333,AM32-AM29,""),IF(AND(AM28&lt;&gt;"",LEFT(AG28,2)&lt;&gt;"Va",AM28&lt;&gt;"H. Sale Real"),IF(AM32-AM28&lt;0.208333333333333,AM32-AM28,""),IF(AND(AM27&lt;&gt;"",LEFT(AG27,2)&lt;&gt;"Va",AM27&lt;&gt;"H. Sale Real"),IF(AM32-AM27&lt;0.208333333333333,AM32-AM27,""),""))))),""),"")</f>
        <v/>
      </c>
      <c r="AX31" s="89">
        <f>IF(AK31&lt;&gt;"H. Sale Real",IF(AND(AK32&lt;&gt;"",LEFT(AG32,2)&lt;&gt;"Va"),IF(AND(AK31&lt;&gt;"",LEFT(AG31,2)&lt;&gt;"Va",AK31&lt;&gt;"H. Sale Real"),IF(AK32-AK31&lt;0.208333333333333,AK32-AK31,""),IF(AND(AK30&lt;&gt;"",LEFT(AG30,2)&lt;&gt;"Va",AK30&lt;&gt;"H. Sale Real"),IF(AK32-AK30&lt;0.208333333333333,AK32-AK30,""),IF(AND(AK29&lt;&gt;"",LEFT(AG29,2)&lt;&gt;"NC",AK29&lt;&gt;"H. Sale Real"),IF(AK32-AK29&lt;0.208333333333333,AK32-AK29,""),IF(AND(AK28&lt;&gt;"",LEFT(AG28,2)&lt;&gt;"Va",AK28&lt;&gt;"H. Sale Real"),IF(AK32-AK28&lt;0.208333333333333,AK32-AK28,""),IF(AND(AK27&lt;&gt;"",LEFT(AG27,2)&lt;&gt;"Va",AK27&lt;&gt;"H. Sale Real"),IF(AK32-AK27&lt;0.208333333333333,AK32-AK27,""),""))))),""),"")</f>
        <v/>
      </c>
      <c r="AY31" s="87" t="n"/>
      <c r="AZ31" s="89" t="n"/>
      <c r="BA31" s="87" t="n"/>
      <c r="BB31" s="89" t="n"/>
      <c r="BC31" s="91" t="n"/>
      <c r="BD31" s="122">
        <f>IF(AK31&lt;&gt;"",IF(AND(BD30&lt;&gt;"IE",AT31&lt;&gt;0,AV31&lt;&gt;""),IF(IFERROR((AT31/AV31),0) &lt;=1,IFERROR(AT31/AV31,""),1),""),"")</f>
        <v/>
      </c>
      <c r="BE31" s="93" t="n"/>
      <c r="BF31" s="105" t="n"/>
      <c r="BI31" s="8" t="n">
        <v>19</v>
      </c>
      <c r="BJ31" s="8">
        <f>COUNTIFS($A:$A,$BI31,$C:$C,$BI$11)</f>
        <v/>
      </c>
      <c r="BK31" s="8">
        <f>BJ31-COUNTIFS($A:$A,$BI31,$C:$C,$BI$11,$H:$H,"")</f>
        <v/>
      </c>
      <c r="BL31" s="54">
        <f>IFERROR((BK31/BJ31),"")</f>
        <v/>
      </c>
      <c r="BM31" s="8">
        <f>_xlfn.XLOOKUP(BI31,$A:$A,$R:$R,"0",0,-1)</f>
        <v/>
      </c>
      <c r="BN31" s="55">
        <f>_xlfn.XLOOKUP(BI31,$A:$A,$P:$P,"0",0,-1)</f>
        <v/>
      </c>
      <c r="BO31" s="123">
        <f>_xlfn.XLOOKUP(BI31,$A:$A,$Z:$Z,"",0,-1)</f>
        <v/>
      </c>
      <c r="BR31" s="8" t="n">
        <v>19</v>
      </c>
      <c r="BS31" s="8">
        <f>COUNTIFS($AE:$AE,$BR31,$AG:$AG,$BR$11)</f>
        <v/>
      </c>
      <c r="BT31" s="8">
        <f>BS31-COUNTIFS($AE:$AE,$BR31,$AG:$AG,$BR$11,$AL:$AL,"")</f>
        <v/>
      </c>
      <c r="BU31" s="54">
        <f>IFERROR((BT31/BS31),"")</f>
        <v/>
      </c>
      <c r="BV31" s="8">
        <f>_xlfn.XLOOKUP(BR31,$AE:$AE,$AV:$AV,"0",0,-1)</f>
        <v/>
      </c>
      <c r="BW31" s="55">
        <f>_xlfn.XLOOKUP(BR31,$AE:$AE,$AT:$AT,"0",0,-1)</f>
        <v/>
      </c>
      <c r="BX31" s="123">
        <f>_xlfn.XLOOKUP(BR31,$AE:$AE,$BD:$BD,"",0,-1)</f>
        <v/>
      </c>
      <c r="FC31" t="inlineStr">
        <is>
          <t>Diccionario 1</t>
        </is>
      </c>
      <c r="FD31" s="15" t="inlineStr"/>
      <c r="FE31" s="15" t="inlineStr">
        <is>
          <t>D8483197K2PL</t>
        </is>
      </c>
      <c r="FF31" s="15" t="inlineStr">
        <is>
          <t>YV3T7U526KA195532</t>
        </is>
      </c>
      <c r="FG31" s="15" t="inlineStr">
        <is>
          <t>Volvo</t>
        </is>
      </c>
      <c r="FH31" s="15" t="inlineStr">
        <is>
          <t>B8R</t>
        </is>
      </c>
      <c r="FI31" s="15" t="inlineStr">
        <is>
          <t>MARCOPOLO</t>
        </is>
      </c>
      <c r="FJ31" s="15" t="inlineStr">
        <is>
          <t>TORINO</t>
        </is>
      </c>
      <c r="FK31" s="15" t="n">
        <v>2019</v>
      </c>
      <c r="FL31" s="15" t="inlineStr">
        <is>
          <t>B2PAL</t>
        </is>
      </c>
      <c r="FM31" s="15" t="inlineStr">
        <is>
          <t>LOS LIBERTADORES</t>
        </is>
      </c>
      <c r="FN31" s="15" t="inlineStr">
        <is>
          <t>Los Liberadores 6450, Lote 4A</t>
        </is>
      </c>
      <c r="FO31" s="15" t="inlineStr">
        <is>
          <t>Huechuraba</t>
        </is>
      </c>
      <c r="FP31" t="inlineStr">
        <is>
          <t>B</t>
        </is>
      </c>
      <c r="FS31" s="14" t="inlineStr">
        <is>
          <t>3007 / SFWB-50|</t>
        </is>
      </c>
      <c r="FT31" t="inlineStr">
        <is>
          <t>SFWB-50|</t>
        </is>
      </c>
      <c r="FU31" t="inlineStr">
        <is>
          <t>SFWB-50</t>
        </is>
      </c>
      <c r="FV31">
        <f>VLOOKUP(FU31,FD:FL,9,0)</f>
        <v/>
      </c>
      <c r="FZ31" s="51" t="inlineStr">
        <is>
          <t>B25</t>
        </is>
      </c>
      <c r="GA31" s="117" t="n">
        <v>0</v>
      </c>
      <c r="GB31" s="117" t="n">
        <v>0</v>
      </c>
      <c r="GC31" s="117" t="n">
        <v>0</v>
      </c>
      <c r="GD31" s="117" t="n">
        <v>0</v>
      </c>
      <c r="GE31" s="117" t="n">
        <v>0</v>
      </c>
      <c r="GF31" s="117" t="n">
        <v>24.68</v>
      </c>
      <c r="GG31" s="117" t="n">
        <v>18.955</v>
      </c>
      <c r="GH31" s="117" t="n">
        <v>13.84</v>
      </c>
      <c r="GI31" s="117" t="n">
        <v>15.39</v>
      </c>
      <c r="GJ31" s="117" t="n">
        <v>16.61</v>
      </c>
      <c r="GK31" s="117" t="n">
        <v>17.035</v>
      </c>
      <c r="GL31" s="117" t="n">
        <v>16.835</v>
      </c>
      <c r="GM31" s="117" t="n">
        <v>16.45</v>
      </c>
      <c r="GN31" s="117" t="n">
        <v>16.125</v>
      </c>
      <c r="GO31" s="117" t="n">
        <v>15.79</v>
      </c>
      <c r="GP31" s="117" t="n">
        <v>15.615</v>
      </c>
      <c r="GQ31" s="117" t="n">
        <v>15.41</v>
      </c>
      <c r="GR31" s="117" t="n">
        <v>15.515</v>
      </c>
      <c r="GS31" s="117" t="n">
        <v>16.07</v>
      </c>
      <c r="GT31" s="117" t="n">
        <v>17.365</v>
      </c>
      <c r="GU31" s="117" t="n">
        <v>19.575</v>
      </c>
      <c r="GV31" s="117" t="n">
        <v>21.48</v>
      </c>
      <c r="GW31" s="117" t="n">
        <v>23.475</v>
      </c>
      <c r="GX31" s="117" t="n">
        <v>24.195</v>
      </c>
      <c r="HA31" s="35" t="n">
        <v>28</v>
      </c>
      <c r="HB31" s="35" t="n">
        <v>25</v>
      </c>
      <c r="HE31" t="inlineStr">
        <is>
          <t>U8</t>
        </is>
      </c>
      <c r="HF31" s="46" t="inlineStr">
        <is>
          <t>F06</t>
        </is>
      </c>
      <c r="HG31" s="46" t="inlineStr">
        <is>
          <t>F06</t>
        </is>
      </c>
      <c r="HH31" s="14" t="n">
        <v>50</v>
      </c>
      <c r="HL31" t="inlineStr">
        <is>
          <t>OmegaU8</t>
        </is>
      </c>
      <c r="HM31" s="46" t="inlineStr">
        <is>
          <t>F06</t>
        </is>
      </c>
      <c r="HN31" s="26" t="inlineStr">
        <is>
          <t>Pie Andino</t>
        </is>
      </c>
      <c r="HO31" s="14" t="n">
        <v>926</v>
      </c>
      <c r="IB31" s="74" t="inlineStr">
        <is>
          <t>Pérdidas por No enviar NC</t>
        </is>
      </c>
    </row>
    <row r="32" ht="16" customHeight="1">
      <c r="A32" s="10">
        <f>HOUR(G32)+1</f>
        <v/>
      </c>
      <c r="B32" s="7" t="n"/>
      <c r="C32" s="7" t="n"/>
      <c r="D32" s="85">
        <f>IFERROR(
IF(AND(OR(Planilla!B32="C",Planilla!B32="c"), VLOOKUP(E32,FD:FP,13,0)="C"), "OK",IF(AND(OR(Planilla!B32="C",Planilla!B32="c"), OR(VLOOKUP(E32,FD:FP,13,0)="B", VLOOKUP(E32,FD:FP,13,0)="A")), "DEFICIT",IF(
AND(OR(Planilla!B32="B", Planilla!B32="BPAL"), VLOOKUP(E32,FD:FP,13,0)="B"), "OK",IF(AND(OR(Planilla!B32="B", Planilla!B32="BPAL"), VLOOKUP(E32,FD:FP,13,0)="A"), "DEFICIT",IF(AND(OR(Planilla!B32="B", Planilla!B32="BPAL"), VLOOKUP(E32,FD:FP,13,0)="C"), "SOBREOFERTA",IF(AND(Planilla!B32="A", VLOOKUP(E32,FD:FP,13,0)="A"), "OK",IF(
AND(Planilla!B32="A", OR(VLOOKUP(E32,FD:FP,13,0)="B", VLOOKUP(E32,FD:FP,13,0)="C")), "SOBREOFERTA",""
))))))),"")</f>
        <v/>
      </c>
      <c r="E32" s="8" t="n"/>
      <c r="F32" s="86" t="n"/>
      <c r="G32" s="87" t="n"/>
      <c r="H32" s="88">
        <f>IF(I32="","",IF(AND((I32-G32)&gt;=TIME(0,0,0),(I32-G32)&lt;TIME(0,3,0)),"OK",IF(AND((I32-G32)&gt;=TIME(0,3,0),(I32-G32)&lt;TIME(0,5,0)),"RETRASO DE 3-5 MIN",IF(AND((I32-G32)&gt;=TIME(0,5,0),(I32-G32)&lt;TIME(0,10,0)),"RETRASO DE 5-10 MIN",IF((I32-G32)&gt;=TIME(0,10,0),"RETRASO &gt;10 MIN", IF(AND((G32-I32)&gt;=TIME(0,0,0),(G32-I32)&lt;TIME(0,3,0)),"OK",IF((G32-I32)&gt;=TIME(0,3,0),"ADELANTADO")))))))</f>
        <v/>
      </c>
      <c r="I32" s="89" t="n"/>
      <c r="J32" s="89">
        <f>IF(A32&lt;&gt;"",HLOOKUP(VALUE(TEXT(G32,"h:mm:ss")),IF($C$6="Laboral",$FZ$4:$GX$227,IF($C$6="Sábado",$FZ$231:$GX$452,$FZ$456:$GX$656)),VLOOKUP($C$4,$HF$2:$HH$99,3,0)+IF(C$5="Ida",0,1),1),"")</f>
        <v/>
      </c>
      <c r="K32" s="89">
        <f>IF(A33&lt;&gt;A32,AVERAGEIF(A$9:A32,A32,J$9:J32),"")</f>
        <v/>
      </c>
      <c r="L32" s="89">
        <f>IFERROR(IF(A33&lt;&gt;A32,AVERAGEIF(A$9:A32,A32,S$9:S32),""),"")</f>
        <v/>
      </c>
      <c r="M32" s="89">
        <f>IFERROR(IF(A33&lt;&gt;A32,AVERAGEIF(A$9:A32,A32,T$9:T32),""),"")</f>
        <v/>
      </c>
      <c r="N32" s="89">
        <f t="array" ref="N32">IFERROR(IF(A33&lt;&gt;A32,_xlfn.STDEV.P(IF(A$9:A32=A32,T$9:T32)),""),"")</f>
        <v/>
      </c>
      <c r="O32" s="89">
        <f t="array" ref="O32">IFERROR(IF(A33&lt;&gt;A32,_xlfn.STDEV.P(IF(A$9:A32=A32,S$9:S32)),""),"")</f>
        <v/>
      </c>
      <c r="P32" s="90">
        <f>IFERROR(IF(A32&lt;&gt;A33,MAX((((M32*24*60)/2)*(1+POWER((((N32*24*60) / (M32*24*60) )),2))) + ((M32*24*60 )*-0.1 + (K32*0.015)) +1,(((M32*24*60)/2)*(1+POWER((((N32*24*60) / (M32*24*60 ))),2)))),""),"")</f>
        <v/>
      </c>
      <c r="Q32" s="90">
        <f>IF(AND(O32&lt;&gt;"",L32&lt;&gt;""),IF(A32&lt;&gt;A33,((L32*24*60) / 2 ) * (1 + POWER(((O32*24*60) / (L32*24*60)),2)),""),"")</f>
        <v/>
      </c>
      <c r="R32" s="90">
        <f>IF(Q32&lt;&gt;"",MAX(P32,Q32),"")</f>
        <v/>
      </c>
      <c r="S32" s="89">
        <f>IF(I32&lt;&gt;"H. Sale Real",IF(AND(I33&lt;&gt;"",LEFT(C33,2)&lt;&gt;"Va"),IF(AND(I32&lt;&gt;"",LEFT(C32,2)&lt;&gt;"Va",I32&lt;&gt;"H. Sale Real"),IF(I33-I32&lt;0.208333333333333,I33-I32,""),IF(AND(I31&lt;&gt;"",LEFT(C31,2)&lt;&gt;"Va",I31&lt;&gt;"H. Sale Real"),IF(I33-I31&lt;0.208333333333333,I33-I31,""),IF(AND(I30&lt;&gt;"",LEFT(C30,2)&lt;&gt;"Va",I30&lt;&gt;"H. Sale Real"),IF(I33-I30&lt;0.208333333333333,I33-I30,""),IF(AND(I29&lt;&gt;"",LEFT(C29,2)&lt;&gt;"Va",I29&lt;&gt;"H. Sale Real"),IF(I33-I29&lt;0.208333333333333,I33-I29,""),IF(AND(I28&lt;&gt;"",LEFT(C28,2)&lt;&gt;"Va",I28&lt;&gt;"H. Sale Real"),IF(I33-I28&lt;0.208333333333333,I33-I28,""),""))))),""),"")</f>
        <v/>
      </c>
      <c r="T32" s="89">
        <f>IF(G32&lt;&gt;"H. Sale Real",IF(AND(G33&lt;&gt;"",LEFT(C33,2)&lt;&gt;"Va"),IF(AND(G32&lt;&gt;"",LEFT(C32,2)&lt;&gt;"Va",G32&lt;&gt;"H. Sale Real"),IF(G33-G32&lt;0.208333333333333,G33-G32,""),IF(AND(G31&lt;&gt;"",LEFT(C31,2)&lt;&gt;"Va",G31&lt;&gt;"H. Sale Real"),IF(G33-G31&lt;0.208333333333333,G33-G31,""),IF(AND(G30&lt;&gt;"",LEFT(C30,2)&lt;&gt;"Va",G30&lt;&gt;"H. Sale Real"),IF(G33-G30&lt;0.208333333333333,G33-G30,""),IF(AND(G29&lt;&gt;"",LEFT(C29,2)&lt;&gt;"Va",G29&lt;&gt;"H. Sale Real"),IF(G33-G29&lt;0.208333333333333,G33-G29,""),IF(AND(G28&lt;&gt;"",LEFT(C28,2)&lt;&gt;"Va",G28&lt;&gt;"H. Sale Real"),IF(G33-G28&lt;0.208333333333333,G33-G28,""),""))))),""),"")</f>
        <v/>
      </c>
      <c r="U32" s="87" t="n"/>
      <c r="V32" s="89" t="n"/>
      <c r="W32" s="87" t="n"/>
      <c r="X32" s="89" t="n"/>
      <c r="Y32" s="91" t="n"/>
      <c r="Z32" s="122">
        <f>IF(G32&lt;&gt;"",IF(AND(Z31&lt;&gt;"IE",P32&lt;&gt;0,R32&lt;&gt;""),IF(IFERROR((P32/R32),0) &lt;=1,IFERROR(P32/R32,""),1),""),"")</f>
        <v/>
      </c>
      <c r="AA32" s="93" t="n"/>
      <c r="AB32" s="2" t="n"/>
      <c r="AE32" s="10">
        <f>HOUR(AK32)+1</f>
        <v/>
      </c>
      <c r="AF32" s="7" t="n"/>
      <c r="AG32" s="7" t="n"/>
      <c r="AH32" s="86" t="n"/>
      <c r="AI32" s="8" t="n"/>
      <c r="AJ32" s="86" t="n"/>
      <c r="AK32" s="87" t="n"/>
      <c r="AL32" s="88">
        <f>IF(AM32="","",IF(AND((AM32-AK32)&gt;=TIME(0,0,0),(AM32-AK32)&lt;TIME(0,3,0)),"OK",IF(AND((AM32-AK32)&gt;=TIME(0,3,0),(AM32-AK32)&lt;TIME(0,5,0)),"RETRASO DE 3-5 MIN",IF(AND((AM32-AK32)&gt;=TIME(0,5,0),(AM32-AK32)&lt;TIME(0,10,0)),"RETRASO DE 5-10 MIN",IF((AM32-AK32)&gt;=TIME(0,10,0),"RETRASO &gt;10 MIN", IF(AND((AK32-AM32)&gt;=TIME(0,0,0),(AK32-AM32)&lt;TIME(0,3,0)),"OK",IF((AK32-AM32)&gt;=TIME(0,3,0),"ADELANTADO")))))))</f>
        <v/>
      </c>
      <c r="AM32" s="91" t="n"/>
      <c r="AN32" s="89">
        <f>IF(AE32&lt;&gt;"",HLOOKUP(VALUE(TEXT(AK32,"h:mm:ss")),IF($C$6="Laboral",$FZ$4:$GX$227,IF($C$6="Sábado",$FZ$231:$GX$452,$FZ$456:$GX$656)),VLOOKUP($C$4,$HF$2:$HH$99,3,0)+IF(AG$5="Ida",0,1),1),"")</f>
        <v/>
      </c>
      <c r="AO32" s="89">
        <f>IF(AE33&lt;&gt;AE32,AVERAGEIF(AE$9:AE32,AE32,AN$9:AN32),"")</f>
        <v/>
      </c>
      <c r="AP32" s="89">
        <f>IFERROR(IF(AE33&lt;&gt;AE32,AVERAGEIF(AE$9:AE32,AE32,AW$9:AW32),""),"")</f>
        <v/>
      </c>
      <c r="AQ32" s="89">
        <f>IFERROR(IF(AE33&lt;&gt;AE32,AVERAGEIF(AE$9:AE32,AE32,AX$9:AX32),""),"")</f>
        <v/>
      </c>
      <c r="AR32" s="89">
        <f t="array" ref="AR32">IFERROR(IF(AE33&lt;&gt;AE32,_xlfn.STDEV.P(IF(AE$9:AE32=AE32,AX$9:AX32)),""),"")</f>
        <v/>
      </c>
      <c r="AS32" s="89">
        <f t="array" ref="AS32">IFERROR(IF(AE33&lt;&gt;AE32,_xlfn.STDEV.P(IF(AE$9:AE32=AE32,AW$9:AW32)),""),"")</f>
        <v/>
      </c>
      <c r="AT32" s="90">
        <f>IFERROR(IF(AE32&lt;&gt;AE33,MAX((((AQ32*24*60)/2)*(1+POWER((((AR32*24*60) / (AQ32*24*60) )),2))) + ((AQ32*24*60 )*-0.1 + (AO32*0.015)) +1,(((AQ32*24*60)/2)*(1+POWER((((AR32*24*60) / (AQ32*24*60 ))),2)))),""),"")</f>
        <v/>
      </c>
      <c r="AU32" s="90">
        <f>IF(AND(AS32&lt;&gt;"",AP32&lt;&gt;""),IF(AE32&lt;&gt;AE33,((AP32*24*60) / 2 ) * (1 + POWER(((AS32*24*60) / (AP32*24*60)),2)),""),"")</f>
        <v/>
      </c>
      <c r="AV32" s="90">
        <f>IF(AU32&lt;&gt;"",MAX(AT32,AU32),"")</f>
        <v/>
      </c>
      <c r="AW32" s="89">
        <f>IF(AM32&lt;&gt;"H. Sale Real",IF(AND(AM33&lt;&gt;"",LEFT(AG33,2)&lt;&gt;"Va"),IF(AND(AM32&lt;&gt;"",LEFT(AG32,2)&lt;&gt;"Va",AM32&lt;&gt;"H. Sale Real"),IF(AM33-AM32&lt;0.208333333333333,AM33-AM32,""),IF(AND(AM31&lt;&gt;"",LEFT(AG31,2)&lt;&gt;"Va",AM31&lt;&gt;"H. Sale Real"),IF(AM33-AM31&lt;0.208333333333333,AM33-AM31,""),IF(AND(AM30&lt;&gt;"",LEFT(AG30,2)&lt;&gt;"Va",AM30&lt;&gt;"H. Sale Real"),IF(AM33-AM30&lt;0.208333333333333,AM33-AM30,""),IF(AND(AM29&lt;&gt;"",LEFT(AG29,2)&lt;&gt;"Va",AM29&lt;&gt;"H. Sale Real"),IF(AM33-AM29&lt;0.208333333333333,AM33-AM29,""),IF(AND(AM28&lt;&gt;"",LEFT(AG28,2)&lt;&gt;"Va",AM28&lt;&gt;"H. Sale Real"),IF(AM33-AM28&lt;0.208333333333333,AM33-AM28,""),""))))),""),"")</f>
        <v/>
      </c>
      <c r="AX32" s="89">
        <f>IF(AK32&lt;&gt;"H. Sale Real",IF(AND(AK33&lt;&gt;"",LEFT(AG33,2)&lt;&gt;"Va"),IF(AND(AK32&lt;&gt;"",LEFT(AG32,2)&lt;&gt;"Va",AK32&lt;&gt;"H. Sale Real"),IF(AK33-AK32&lt;0.208333333333333,AK33-AK32,""),IF(AND(AK31&lt;&gt;"",LEFT(AG31,2)&lt;&gt;"Va",AK31&lt;&gt;"H. Sale Real"),IF(AK33-AK31&lt;0.208333333333333,AK33-AK31,""),IF(AND(AK30&lt;&gt;"",LEFT(AG30,2)&lt;&gt;"NC",AK30&lt;&gt;"H. Sale Real"),IF(AK33-AK30&lt;0.208333333333333,AK33-AK30,""),IF(AND(AK29&lt;&gt;"",LEFT(AG29,2)&lt;&gt;"Va",AK29&lt;&gt;"H. Sale Real"),IF(AK33-AK29&lt;0.208333333333333,AK33-AK29,""),IF(AND(AK28&lt;&gt;"",LEFT(AG28,2)&lt;&gt;"Va",AK28&lt;&gt;"H. Sale Real"),IF(AK33-AK28&lt;0.208333333333333,AK33-AK28,""),""))))),""),"")</f>
        <v/>
      </c>
      <c r="AY32" s="87" t="n"/>
      <c r="AZ32" s="89" t="n"/>
      <c r="BA32" s="87" t="n"/>
      <c r="BB32" s="89" t="n"/>
      <c r="BC32" s="91" t="n"/>
      <c r="BD32" s="122">
        <f>IF(AK32&lt;&gt;"",IF(AND(BD31&lt;&gt;"IE",AT32&lt;&gt;0,AV32&lt;&gt;""),IF(IFERROR((AT32/AV32),0) &lt;=1,IFERROR(AT32/AV32,""),1),""),"")</f>
        <v/>
      </c>
      <c r="BE32" s="93" t="n"/>
      <c r="BF32" s="105" t="n"/>
      <c r="BI32" s="8" t="n">
        <v>20</v>
      </c>
      <c r="BJ32" s="8">
        <f>COUNTIFS($A:$A,$BI32,$C:$C,$BI$11)</f>
        <v/>
      </c>
      <c r="BK32" s="8">
        <f>BJ32-COUNTIFS($A:$A,$BI32,$C:$C,$BI$11,$H:$H,"")</f>
        <v/>
      </c>
      <c r="BL32" s="54">
        <f>IFERROR((BK32/BJ32),"")</f>
        <v/>
      </c>
      <c r="BM32" s="8">
        <f>_xlfn.XLOOKUP(BI32,$A:$A,$R:$R,"0",0,-1)</f>
        <v/>
      </c>
      <c r="BN32" s="55">
        <f>_xlfn.XLOOKUP(BI32,$A:$A,$P:$P,"0",0,-1)</f>
        <v/>
      </c>
      <c r="BO32" s="123">
        <f>_xlfn.XLOOKUP(BI32,$A:$A,$Z:$Z,"",0,-1)</f>
        <v/>
      </c>
      <c r="BR32" s="8" t="n">
        <v>20</v>
      </c>
      <c r="BS32" s="8">
        <f>COUNTIFS($AE:$AE,$BR32,$AG:$AG,$BR$11)</f>
        <v/>
      </c>
      <c r="BT32" s="8">
        <f>BS32-COUNTIFS($AE:$AE,$BR32,$AG:$AG,$BR$11,$AL:$AL,"")</f>
        <v/>
      </c>
      <c r="BU32" s="54">
        <f>IFERROR((BT32/BS32),"")</f>
        <v/>
      </c>
      <c r="BV32" s="8">
        <f>_xlfn.XLOOKUP(BR32,$AE:$AE,$AV:$AV,"0",0,-1)</f>
        <v/>
      </c>
      <c r="BW32" s="55">
        <f>_xlfn.XLOOKUP(BR32,$AE:$AE,$AT:$AT,"0",0,-1)</f>
        <v/>
      </c>
      <c r="BX32" s="123">
        <f>_xlfn.XLOOKUP(BR32,$AE:$AE,$BD:$BD,"",0,-1)</f>
        <v/>
      </c>
      <c r="FC32" t="inlineStr">
        <is>
          <t>Diccionario 1</t>
        </is>
      </c>
      <c r="FD32" s="15" t="n">
        <v>1029</v>
      </c>
      <c r="FE32" s="15" t="inlineStr">
        <is>
          <t>D8483194K2PL</t>
        </is>
      </c>
      <c r="FF32" s="15" t="inlineStr">
        <is>
          <t>YV3T7U528KA195533</t>
        </is>
      </c>
      <c r="FG32" s="15" t="inlineStr">
        <is>
          <t>Volvo</t>
        </is>
      </c>
      <c r="FH32" s="15" t="inlineStr">
        <is>
          <t>B8R</t>
        </is>
      </c>
      <c r="FI32" s="15" t="inlineStr">
        <is>
          <t>MARCOPOLO</t>
        </is>
      </c>
      <c r="FJ32" s="15" t="inlineStr">
        <is>
          <t>TORINO</t>
        </is>
      </c>
      <c r="FK32" s="15" t="n">
        <v>2019</v>
      </c>
      <c r="FL32" s="15" t="inlineStr">
        <is>
          <t>B2PAL</t>
        </is>
      </c>
      <c r="FM32" s="15" t="inlineStr">
        <is>
          <t>LOS LIBERTADORES</t>
        </is>
      </c>
      <c r="FN32" s="15" t="inlineStr">
        <is>
          <t>Los Liberadores 6450, Lote 4A</t>
        </is>
      </c>
      <c r="FO32" s="15" t="inlineStr">
        <is>
          <t>Huechuraba</t>
        </is>
      </c>
      <c r="FP32" t="inlineStr">
        <is>
          <t>B</t>
        </is>
      </c>
      <c r="FS32" s="14" t="inlineStr">
        <is>
          <t>3008 / SFWB-58|</t>
        </is>
      </c>
      <c r="FT32" t="inlineStr">
        <is>
          <t>SFWB-58|</t>
        </is>
      </c>
      <c r="FU32" t="inlineStr">
        <is>
          <t>SFWB-58</t>
        </is>
      </c>
      <c r="FV32">
        <f>VLOOKUP(FU32,FD:FL,9,0)</f>
        <v/>
      </c>
      <c r="FZ32" s="51" t="inlineStr">
        <is>
          <t>B26</t>
        </is>
      </c>
      <c r="GA32" s="117" t="n">
        <v>0</v>
      </c>
      <c r="GB32" s="117" t="n">
        <v>0</v>
      </c>
      <c r="GC32" s="117" t="n">
        <v>0</v>
      </c>
      <c r="GD32" s="117" t="n">
        <v>0</v>
      </c>
      <c r="GE32" s="117" t="n">
        <v>26.96</v>
      </c>
      <c r="GF32" s="117" t="n">
        <v>21.89</v>
      </c>
      <c r="GG32" s="117" t="n">
        <v>16.5</v>
      </c>
      <c r="GH32" s="117" t="n">
        <v>13.85</v>
      </c>
      <c r="GI32" s="117" t="n">
        <v>14.625</v>
      </c>
      <c r="GJ32" s="117" t="n">
        <v>15.375</v>
      </c>
      <c r="GK32" s="117" t="n">
        <v>15.5</v>
      </c>
      <c r="GL32" s="117" t="n">
        <v>15.085</v>
      </c>
      <c r="GM32" s="117" t="n">
        <v>14.66</v>
      </c>
      <c r="GN32" s="117" t="n">
        <v>14.635</v>
      </c>
      <c r="GO32" s="117" t="n">
        <v>14.7</v>
      </c>
      <c r="GP32" s="117" t="n">
        <v>14.245</v>
      </c>
      <c r="GQ32" s="117" t="n">
        <v>13.445</v>
      </c>
      <c r="GR32" s="117" t="n">
        <v>12.97</v>
      </c>
      <c r="GS32" s="117" t="n">
        <v>13.95</v>
      </c>
      <c r="GT32" s="117" t="n">
        <v>16.335</v>
      </c>
      <c r="GU32" s="117" t="n">
        <v>18.695</v>
      </c>
      <c r="GV32" s="117" t="n">
        <v>20.245</v>
      </c>
      <c r="GW32" s="117" t="n">
        <v>21.805</v>
      </c>
      <c r="GX32" s="117" t="n">
        <v>24.145</v>
      </c>
      <c r="HA32" s="35" t="n">
        <v>29</v>
      </c>
      <c r="HB32" s="35" t="n">
        <v>26</v>
      </c>
      <c r="HE32" t="inlineStr">
        <is>
          <t>U8</t>
        </is>
      </c>
      <c r="HF32" s="46" t="inlineStr">
        <is>
          <t>F09</t>
        </is>
      </c>
      <c r="HG32" s="46" t="inlineStr">
        <is>
          <t>F09</t>
        </is>
      </c>
      <c r="HH32" s="14" t="n">
        <v>52</v>
      </c>
      <c r="HL32" t="inlineStr">
        <is>
          <t>OmegaU8</t>
        </is>
      </c>
      <c r="HM32" s="46" t="inlineStr">
        <is>
          <t>F09</t>
        </is>
      </c>
      <c r="HN32" s="26" t="inlineStr">
        <is>
          <t>Pie Andino</t>
        </is>
      </c>
      <c r="HO32" s="14" t="n">
        <v>929</v>
      </c>
      <c r="IB32" s="74" t="inlineStr">
        <is>
          <t>Problema en validadores o torniquete</t>
        </is>
      </c>
    </row>
    <row r="33" ht="16" customHeight="1">
      <c r="A33" s="10">
        <f>HOUR(G33)+1</f>
        <v/>
      </c>
      <c r="B33" s="7" t="n"/>
      <c r="C33" s="7" t="n"/>
      <c r="D33" s="85">
        <f>IFERROR(
IF(AND(OR(Planilla!B33="C",Planilla!B33="c"), VLOOKUP(E33,FD:FP,13,0)="C"), "OK",IF(AND(OR(Planilla!B33="C",Planilla!B33="c"), OR(VLOOKUP(E33,FD:FP,13,0)="B", VLOOKUP(E33,FD:FP,13,0)="A")), "DEFICIT",IF(
AND(OR(Planilla!B33="B", Planilla!B33="BPAL"), VLOOKUP(E33,FD:FP,13,0)="B"), "OK",IF(AND(OR(Planilla!B33="B", Planilla!B33="BPAL"), VLOOKUP(E33,FD:FP,13,0)="A"), "DEFICIT",IF(AND(OR(Planilla!B33="B", Planilla!B33="BPAL"), VLOOKUP(E33,FD:FP,13,0)="C"), "SOBREOFERTA",IF(AND(Planilla!B33="A", VLOOKUP(E33,FD:FP,13,0)="A"), "OK",IF(
AND(Planilla!B33="A", OR(VLOOKUP(E33,FD:FP,13,0)="B", VLOOKUP(E33,FD:FP,13,0)="C")), "SOBREOFERTA",""
))))))),"")</f>
        <v/>
      </c>
      <c r="E33" s="8" t="n"/>
      <c r="F33" s="86" t="n"/>
      <c r="G33" s="87" t="n"/>
      <c r="H33" s="88">
        <f>IF(I33="","",IF(AND((I33-G33)&gt;=TIME(0,0,0),(I33-G33)&lt;TIME(0,3,0)),"OK",IF(AND((I33-G33)&gt;=TIME(0,3,0),(I33-G33)&lt;TIME(0,5,0)),"RETRASO DE 3-5 MIN",IF(AND((I33-G33)&gt;=TIME(0,5,0),(I33-G33)&lt;TIME(0,10,0)),"RETRASO DE 5-10 MIN",IF((I33-G33)&gt;=TIME(0,10,0),"RETRASO &gt;10 MIN", IF(AND((G33-I33)&gt;=TIME(0,0,0),(G33-I33)&lt;TIME(0,3,0)),"OK",IF((G33-I33)&gt;=TIME(0,3,0),"ADELANTADO")))))))</f>
        <v/>
      </c>
      <c r="I33" s="89" t="n"/>
      <c r="J33" s="89">
        <f>IF(A33&lt;&gt;"",HLOOKUP(VALUE(TEXT(G33,"h:mm:ss")),IF($C$6="Laboral",$FZ$4:$GX$227,IF($C$6="Sábado",$FZ$231:$GX$452,$FZ$456:$GX$656)),VLOOKUP($C$4,$HF$2:$HH$99,3,0)+IF(C$5="Ida",0,1),1),"")</f>
        <v/>
      </c>
      <c r="K33" s="89">
        <f>IF(A34&lt;&gt;A33,AVERAGEIF(A$9:A33,A33,J$9:J33),"")</f>
        <v/>
      </c>
      <c r="L33" s="89">
        <f>IFERROR(IF(A34&lt;&gt;A33,AVERAGEIF(A$9:A33,A33,S$9:S33),""),"")</f>
        <v/>
      </c>
      <c r="M33" s="89">
        <f>IFERROR(IF(A34&lt;&gt;A33,AVERAGEIF(A$9:A33,A33,T$9:T33),""),"")</f>
        <v/>
      </c>
      <c r="N33" s="89">
        <f t="array" ref="N33">IFERROR(IF(A34&lt;&gt;A33,_xlfn.STDEV.P(IF(A$9:A33=A33,T$9:T33)),""),"")</f>
        <v/>
      </c>
      <c r="O33" s="89">
        <f t="array" ref="O33">IFERROR(IF(A34&lt;&gt;A33,_xlfn.STDEV.P(IF(A$9:A33=A33,S$9:S33)),""),"")</f>
        <v/>
      </c>
      <c r="P33" s="90">
        <f>IFERROR(IF(A33&lt;&gt;A34,MAX((((M33*24*60)/2)*(1+POWER((((N33*24*60) / (M33*24*60) )),2))) + ((M33*24*60 )*-0.1 + (K33*0.015)) +1,(((M33*24*60)/2)*(1+POWER((((N33*24*60) / (M33*24*60 ))),2)))),""),"")</f>
        <v/>
      </c>
      <c r="Q33" s="90">
        <f>IF(AND(O33&lt;&gt;"",L33&lt;&gt;""),IF(A33&lt;&gt;A34,((L33*24*60) / 2 ) * (1 + POWER(((O33*24*60) / (L33*24*60)),2)),""),"")</f>
        <v/>
      </c>
      <c r="R33" s="90">
        <f>IF(Q33&lt;&gt;"",MAX(P33,Q33),"")</f>
        <v/>
      </c>
      <c r="S33" s="89">
        <f>IF(I33&lt;&gt;"H. Sale Real",IF(AND(I34&lt;&gt;"",LEFT(C34,2)&lt;&gt;"Va"),IF(AND(I33&lt;&gt;"",LEFT(C33,2)&lt;&gt;"Va",I33&lt;&gt;"H. Sale Real"),IF(I34-I33&lt;0.208333333333333,I34-I33,""),IF(AND(I32&lt;&gt;"",LEFT(C32,2)&lt;&gt;"Va",I32&lt;&gt;"H. Sale Real"),IF(I34-I32&lt;0.208333333333333,I34-I32,""),IF(AND(I31&lt;&gt;"",LEFT(C31,2)&lt;&gt;"Va",I31&lt;&gt;"H. Sale Real"),IF(I34-I31&lt;0.208333333333333,I34-I31,""),IF(AND(I30&lt;&gt;"",LEFT(C30,2)&lt;&gt;"Va",I30&lt;&gt;"H. Sale Real"),IF(I34-I30&lt;0.208333333333333,I34-I30,""),IF(AND(I29&lt;&gt;"",LEFT(C29,2)&lt;&gt;"Va",I29&lt;&gt;"H. Sale Real"),IF(I34-I29&lt;0.208333333333333,I34-I29,""),""))))),""),"")</f>
        <v/>
      </c>
      <c r="T33" s="89">
        <f>IF(G33&lt;&gt;"H. Sale Real",IF(AND(G34&lt;&gt;"",LEFT(C34,2)&lt;&gt;"Va"),IF(AND(G33&lt;&gt;"",LEFT(C33,2)&lt;&gt;"Va",G33&lt;&gt;"H. Sale Real"),IF(G34-G33&lt;0.208333333333333,G34-G33,""),IF(AND(G32&lt;&gt;"",LEFT(C32,2)&lt;&gt;"Va",G32&lt;&gt;"H. Sale Real"),IF(G34-G32&lt;0.208333333333333,G34-G32,""),IF(AND(G31&lt;&gt;"",LEFT(C31,2)&lt;&gt;"Va",G31&lt;&gt;"H. Sale Real"),IF(G34-G31&lt;0.208333333333333,G34-G31,""),IF(AND(G30&lt;&gt;"",LEFT(C30,2)&lt;&gt;"Va",G30&lt;&gt;"H. Sale Real"),IF(G34-G30&lt;0.208333333333333,G34-G30,""),IF(AND(G29&lt;&gt;"",LEFT(C29,2)&lt;&gt;"Va",G29&lt;&gt;"H. Sale Real"),IF(G34-G29&lt;0.208333333333333,G34-G29,""),""))))),""),"")</f>
        <v/>
      </c>
      <c r="U33" s="87" t="n"/>
      <c r="V33" s="89" t="n"/>
      <c r="W33" s="87" t="n"/>
      <c r="X33" s="89" t="n"/>
      <c r="Y33" s="91" t="n"/>
      <c r="Z33" s="122">
        <f>IF(G33&lt;&gt;"",IF(AND(Z32&lt;&gt;"IE",P33&lt;&gt;0,R33&lt;&gt;""),IF(IFERROR((P33/R33),0) &lt;=1,IFERROR(P33/R33,""),1),""),"")</f>
        <v/>
      </c>
      <c r="AA33" s="93" t="n"/>
      <c r="AB33" s="2" t="n"/>
      <c r="AE33" s="10">
        <f>HOUR(AK33)+1</f>
        <v/>
      </c>
      <c r="AF33" s="7" t="n"/>
      <c r="AG33" s="7" t="n"/>
      <c r="AH33" s="86" t="n"/>
      <c r="AI33" s="8" t="n"/>
      <c r="AJ33" s="86" t="n"/>
      <c r="AK33" s="87" t="n"/>
      <c r="AL33" s="88">
        <f>IF(AM33="","",IF(AND((AM33-AK33)&gt;=TIME(0,0,0),(AM33-AK33)&lt;TIME(0,3,0)),"OK",IF(AND((AM33-AK33)&gt;=TIME(0,3,0),(AM33-AK33)&lt;TIME(0,5,0)),"RETRASO DE 3-5 MIN",IF(AND((AM33-AK33)&gt;=TIME(0,5,0),(AM33-AK33)&lt;TIME(0,10,0)),"RETRASO DE 5-10 MIN",IF((AM33-AK33)&gt;=TIME(0,10,0),"RETRASO &gt;10 MIN", IF(AND((AK33-AM33)&gt;=TIME(0,0,0),(AK33-AM33)&lt;TIME(0,3,0)),"OK",IF((AK33-AM33)&gt;=TIME(0,3,0),"ADELANTADO")))))))</f>
        <v/>
      </c>
      <c r="AM33" s="91" t="n"/>
      <c r="AN33" s="89">
        <f>IF(AE33&lt;&gt;"",HLOOKUP(VALUE(TEXT(AK33,"h:mm:ss")),IF($C$6="Laboral",$FZ$4:$GX$227,IF($C$6="Sábado",$FZ$231:$GX$452,$FZ$456:$GX$656)),VLOOKUP($C$4,$HF$2:$HH$99,3,0)+IF(AG$5="Ida",0,1),1),"")</f>
        <v/>
      </c>
      <c r="AO33" s="89">
        <f>IF(AE34&lt;&gt;AE33,AVERAGEIF(AE$9:AE33,AE33,AN$9:AN33),"")</f>
        <v/>
      </c>
      <c r="AP33" s="89">
        <f>IFERROR(IF(AE34&lt;&gt;AE33,AVERAGEIF(AE$9:AE33,AE33,AW$9:AW33),""),"")</f>
        <v/>
      </c>
      <c r="AQ33" s="89">
        <f>IFERROR(IF(AE34&lt;&gt;AE33,AVERAGEIF(AE$9:AE33,AE33,AX$9:AX33),""),"")</f>
        <v/>
      </c>
      <c r="AR33" s="89">
        <f t="array" ref="AR33">IFERROR(IF(AE34&lt;&gt;AE33,_xlfn.STDEV.P(IF(AE$9:AE33=AE33,AX$9:AX33)),""),"")</f>
        <v/>
      </c>
      <c r="AS33" s="89">
        <f t="array" ref="AS33">IFERROR(IF(AE34&lt;&gt;AE33,_xlfn.STDEV.P(IF(AE$9:AE33=AE33,AW$9:AW33)),""),"")</f>
        <v/>
      </c>
      <c r="AT33" s="90">
        <f>IFERROR(IF(AE33&lt;&gt;AE34,MAX((((AQ33*24*60)/2)*(1+POWER((((AR33*24*60) / (AQ33*24*60) )),2))) + ((AQ33*24*60 )*-0.1 + (AO33*0.015)) +1,(((AQ33*24*60)/2)*(1+POWER((((AR33*24*60) / (AQ33*24*60 ))),2)))),""),"")</f>
        <v/>
      </c>
      <c r="AU33" s="90">
        <f>IF(AND(AS33&lt;&gt;"",AP33&lt;&gt;""),IF(AE33&lt;&gt;AE34,((AP33*24*60) / 2 ) * (1 + POWER(((AS33*24*60) / (AP33*24*60)),2)),""),"")</f>
        <v/>
      </c>
      <c r="AV33" s="90">
        <f>IF(AU33&lt;&gt;"",MAX(AT33,AU33),"")</f>
        <v/>
      </c>
      <c r="AW33" s="89">
        <f>IF(AM33&lt;&gt;"H. Sale Real",IF(AND(AM34&lt;&gt;"",LEFT(AG34,2)&lt;&gt;"Va"),IF(AND(AM33&lt;&gt;"",LEFT(AG33,2)&lt;&gt;"Va",AM33&lt;&gt;"H. Sale Real"),IF(AM34-AM33&lt;0.208333333333333,AM34-AM33,""),IF(AND(AM32&lt;&gt;"",LEFT(AG32,2)&lt;&gt;"Va",AM32&lt;&gt;"H. Sale Real"),IF(AM34-AM32&lt;0.208333333333333,AM34-AM32,""),IF(AND(AM31&lt;&gt;"",LEFT(AG31,2)&lt;&gt;"Va",AM31&lt;&gt;"H. Sale Real"),IF(AM34-AM31&lt;0.208333333333333,AM34-AM31,""),IF(AND(AM30&lt;&gt;"",LEFT(AG30,2)&lt;&gt;"Va",AM30&lt;&gt;"H. Sale Real"),IF(AM34-AM30&lt;0.208333333333333,AM34-AM30,""),IF(AND(AM29&lt;&gt;"",LEFT(AG29,2)&lt;&gt;"Va",AM29&lt;&gt;"H. Sale Real"),IF(AM34-AM29&lt;0.208333333333333,AM34-AM29,""),""))))),""),"")</f>
        <v/>
      </c>
      <c r="AX33" s="89">
        <f>IF(AK33&lt;&gt;"H. Sale Real",IF(AND(AK34&lt;&gt;"",LEFT(AG34,2)&lt;&gt;"Va"),IF(AND(AK33&lt;&gt;"",LEFT(AG33,2)&lt;&gt;"Va",AK33&lt;&gt;"H. Sale Real"),IF(AK34-AK33&lt;0.208333333333333,AK34-AK33,""),IF(AND(AK32&lt;&gt;"",LEFT(AG32,2)&lt;&gt;"Va",AK32&lt;&gt;"H. Sale Real"),IF(AK34-AK32&lt;0.208333333333333,AK34-AK32,""),IF(AND(AK31&lt;&gt;"",LEFT(AG31,2)&lt;&gt;"NC",AK31&lt;&gt;"H. Sale Real"),IF(AK34-AK31&lt;0.208333333333333,AK34-AK31,""),IF(AND(AK30&lt;&gt;"",LEFT(AG30,2)&lt;&gt;"Va",AK30&lt;&gt;"H. Sale Real"),IF(AK34-AK30&lt;0.208333333333333,AK34-AK30,""),IF(AND(AK29&lt;&gt;"",LEFT(AG29,2)&lt;&gt;"Va",AK29&lt;&gt;"H. Sale Real"),IF(AK34-AK29&lt;0.208333333333333,AK34-AK29,""),""))))),""),"")</f>
        <v/>
      </c>
      <c r="AY33" s="87" t="n"/>
      <c r="AZ33" s="89" t="n"/>
      <c r="BA33" s="87" t="n"/>
      <c r="BB33" s="89" t="n"/>
      <c r="BC33" s="91" t="n"/>
      <c r="BD33" s="122">
        <f>IF(AK33&lt;&gt;"",IF(AND(BD32&lt;&gt;"IE",AT33&lt;&gt;0,AV33&lt;&gt;""),IF(IFERROR((AT33/AV33),0) &lt;=1,IFERROR(AT33/AV33,""),1),""),"")</f>
        <v/>
      </c>
      <c r="BE33" s="93" t="n"/>
      <c r="BF33" s="105" t="n"/>
      <c r="BI33" s="8" t="n">
        <v>21</v>
      </c>
      <c r="BJ33" s="8">
        <f>COUNTIFS($A:$A,$BI33,$C:$C,$BI$11)</f>
        <v/>
      </c>
      <c r="BK33" s="8">
        <f>BJ33-COUNTIFS($A:$A,$BI33,$C:$C,$BI$11,$H:$H,"")</f>
        <v/>
      </c>
      <c r="BL33" s="54">
        <f>IFERROR((BK33/BJ33),"")</f>
        <v/>
      </c>
      <c r="BM33" s="8">
        <f>_xlfn.XLOOKUP(BI33,$A:$A,$R:$R,"0",0,-1)</f>
        <v/>
      </c>
      <c r="BN33" s="55">
        <f>_xlfn.XLOOKUP(BI33,$A:$A,$P:$P,"0",0,-1)</f>
        <v/>
      </c>
      <c r="BO33" s="123">
        <f>_xlfn.XLOOKUP(BI33,$A:$A,$Z:$Z,"",0,-1)</f>
        <v/>
      </c>
      <c r="BR33" s="8" t="n">
        <v>21</v>
      </c>
      <c r="BS33" s="8">
        <f>COUNTIFS($AE:$AE,$BR33,$AG:$AG,$BR$11)</f>
        <v/>
      </c>
      <c r="BT33" s="8">
        <f>BS33-COUNTIFS($AE:$AE,$BR33,$AG:$AG,$BR$11,$AL:$AL,"")</f>
        <v/>
      </c>
      <c r="BU33" s="54">
        <f>IFERROR((BT33/BS33),"")</f>
        <v/>
      </c>
      <c r="BV33" s="8">
        <f>_xlfn.XLOOKUP(BR33,$AE:$AE,$AV:$AV,"0",0,-1)</f>
        <v/>
      </c>
      <c r="BW33" s="55">
        <f>_xlfn.XLOOKUP(BR33,$AE:$AE,$AT:$AT,"0",0,-1)</f>
        <v/>
      </c>
      <c r="BX33" s="123">
        <f>_xlfn.XLOOKUP(BR33,$AE:$AE,$BD:$BD,"",0,-1)</f>
        <v/>
      </c>
      <c r="FC33" t="inlineStr">
        <is>
          <t>Diccionario 1</t>
        </is>
      </c>
      <c r="FD33" s="15" t="n">
        <v>1030</v>
      </c>
      <c r="FE33" s="15" t="inlineStr">
        <is>
          <t>D8478297K2PL</t>
        </is>
      </c>
      <c r="FF33" s="15" t="inlineStr">
        <is>
          <t>YV3T7U528KA195144</t>
        </is>
      </c>
      <c r="FG33" s="15" t="inlineStr">
        <is>
          <t>Volvo</t>
        </is>
      </c>
      <c r="FH33" s="15" t="inlineStr">
        <is>
          <t>B8R</t>
        </is>
      </c>
      <c r="FI33" s="15" t="inlineStr">
        <is>
          <t>MARCOPOLO</t>
        </is>
      </c>
      <c r="FJ33" s="15" t="inlineStr">
        <is>
          <t>TORINO</t>
        </is>
      </c>
      <c r="FK33" s="15" t="n">
        <v>2019</v>
      </c>
      <c r="FL33" s="15" t="inlineStr">
        <is>
          <t>B2PAL</t>
        </is>
      </c>
      <c r="FM33" s="15" t="inlineStr">
        <is>
          <t>LOS LIBERTADORES</t>
        </is>
      </c>
      <c r="FN33" s="15" t="inlineStr">
        <is>
          <t>Los Liberadores 6450, Lote 4A</t>
        </is>
      </c>
      <c r="FO33" s="15" t="inlineStr">
        <is>
          <t>Huechuraba</t>
        </is>
      </c>
      <c r="FP33" t="inlineStr">
        <is>
          <t>B</t>
        </is>
      </c>
      <c r="FS33" s="14" t="inlineStr">
        <is>
          <t>3008 / SFWB-58|</t>
        </is>
      </c>
      <c r="FT33" t="inlineStr">
        <is>
          <t>SFWB-58|</t>
        </is>
      </c>
      <c r="FU33" t="inlineStr">
        <is>
          <t>SFWB-58</t>
        </is>
      </c>
      <c r="FV33">
        <f>VLOOKUP(FU33,FD:FL,9,0)</f>
        <v/>
      </c>
      <c r="FZ33" s="51" t="inlineStr">
        <is>
          <t>B37</t>
        </is>
      </c>
      <c r="GA33" s="117" t="n">
        <v>0</v>
      </c>
      <c r="GB33" s="117" t="n">
        <v>0</v>
      </c>
      <c r="GC33" s="117" t="n">
        <v>0</v>
      </c>
      <c r="GD33" s="117" t="n">
        <v>0</v>
      </c>
      <c r="GE33" s="117" t="n">
        <v>0</v>
      </c>
      <c r="GF33" s="117" t="n">
        <v>12.58</v>
      </c>
      <c r="GG33" s="117" t="n">
        <v>20.03</v>
      </c>
      <c r="GH33" s="117" t="n">
        <v>17.86</v>
      </c>
      <c r="GI33" s="117" t="n">
        <v>21.28</v>
      </c>
      <c r="GJ33" s="117" t="n">
        <v>23.915</v>
      </c>
      <c r="GK33" s="117" t="n">
        <v>24.295</v>
      </c>
      <c r="GL33" s="117" t="n">
        <v>24.33</v>
      </c>
      <c r="GM33" s="117" t="n">
        <v>24.31</v>
      </c>
      <c r="GN33" s="117" t="n">
        <v>24.125</v>
      </c>
      <c r="GO33" s="117" t="n">
        <v>24.315</v>
      </c>
      <c r="GP33" s="117" t="n">
        <v>23.335</v>
      </c>
      <c r="GQ33" s="117" t="n">
        <v>19.745</v>
      </c>
      <c r="GR33" s="117" t="n">
        <v>15.08</v>
      </c>
      <c r="GS33" s="117" t="n">
        <v>17.465</v>
      </c>
      <c r="GT33" s="117" t="n">
        <v>23.745</v>
      </c>
      <c r="GU33" s="117" t="n">
        <v>27.27</v>
      </c>
      <c r="GV33" s="117" t="n">
        <v>29.185</v>
      </c>
      <c r="GW33" s="117" t="n">
        <v>28.615</v>
      </c>
      <c r="GX33" s="117" t="n">
        <v>0</v>
      </c>
      <c r="HA33" s="35" t="n">
        <v>30</v>
      </c>
      <c r="HB33" s="35" t="n">
        <v>27</v>
      </c>
      <c r="HE33" t="inlineStr">
        <is>
          <t>U8</t>
        </is>
      </c>
      <c r="HF33" s="46" t="inlineStr">
        <is>
          <t>F12</t>
        </is>
      </c>
      <c r="HG33" s="46" t="inlineStr">
        <is>
          <t>F12</t>
        </is>
      </c>
      <c r="HH33" s="14" t="n">
        <v>55</v>
      </c>
      <c r="HL33" t="inlineStr">
        <is>
          <t>OmegaU8</t>
        </is>
      </c>
      <c r="HM33" s="46" t="inlineStr">
        <is>
          <t>F12</t>
        </is>
      </c>
      <c r="HN33" s="26" t="inlineStr">
        <is>
          <t>Juanita</t>
        </is>
      </c>
      <c r="HO33" s="14" t="n">
        <v>932</v>
      </c>
      <c r="IB33" s="74" t="inlineStr">
        <is>
          <t>Apoyo a metro</t>
        </is>
      </c>
    </row>
    <row r="34" ht="15.5" customHeight="1">
      <c r="A34" s="10">
        <f>HOUR(G34)+1</f>
        <v/>
      </c>
      <c r="B34" s="7" t="n"/>
      <c r="C34" s="7" t="n"/>
      <c r="D34" s="85">
        <f>IFERROR(
IF(AND(OR(Planilla!B34="C",Planilla!B34="c"), VLOOKUP(E34,FD:FP,13,0)="C"), "OK",IF(AND(OR(Planilla!B34="C",Planilla!B34="c"), OR(VLOOKUP(E34,FD:FP,13,0)="B", VLOOKUP(E34,FD:FP,13,0)="A")), "DEFICIT",IF(
AND(OR(Planilla!B34="B", Planilla!B34="BPAL"), VLOOKUP(E34,FD:FP,13,0)="B"), "OK",IF(AND(OR(Planilla!B34="B", Planilla!B34="BPAL"), VLOOKUP(E34,FD:FP,13,0)="A"), "DEFICIT",IF(AND(OR(Planilla!B34="B", Planilla!B34="BPAL"), VLOOKUP(E34,FD:FP,13,0)="C"), "SOBREOFERTA",IF(AND(Planilla!B34="A", VLOOKUP(E34,FD:FP,13,0)="A"), "OK",IF(
AND(Planilla!B34="A", OR(VLOOKUP(E34,FD:FP,13,0)="B", VLOOKUP(E34,FD:FP,13,0)="C")), "SOBREOFERTA",""
))))))),"")</f>
        <v/>
      </c>
      <c r="E34" s="8" t="n"/>
      <c r="F34" s="86" t="n"/>
      <c r="G34" s="87" t="n"/>
      <c r="H34" s="88">
        <f>IF(I34="","",IF(AND((I34-G34)&gt;=TIME(0,0,0),(I34-G34)&lt;TIME(0,3,0)),"OK",IF(AND((I34-G34)&gt;=TIME(0,3,0),(I34-G34)&lt;TIME(0,5,0)),"RETRASO DE 3-5 MIN",IF(AND((I34-G34)&gt;=TIME(0,5,0),(I34-G34)&lt;TIME(0,10,0)),"RETRASO DE 5-10 MIN",IF((I34-G34)&gt;=TIME(0,10,0),"RETRASO &gt;10 MIN", IF(AND((G34-I34)&gt;=TIME(0,0,0),(G34-I34)&lt;TIME(0,3,0)),"OK",IF((G34-I34)&gt;=TIME(0,3,0),"ADELANTADO")))))))</f>
        <v/>
      </c>
      <c r="I34" s="89" t="n"/>
      <c r="J34" s="89">
        <f>IF(A34&lt;&gt;"",HLOOKUP(VALUE(TEXT(G34,"h:mm:ss")),IF($C$6="Laboral",$FZ$4:$GX$227,IF($C$6="Sábado",$FZ$231:$GX$452,$FZ$456:$GX$656)),VLOOKUP($C$4,$HF$2:$HH$99,3,0)+IF(C$5="Ida",0,1),1),"")</f>
        <v/>
      </c>
      <c r="K34" s="89">
        <f>IF(A35&lt;&gt;A34,AVERAGEIF(A$9:A34,A34,J$9:J34),"")</f>
        <v/>
      </c>
      <c r="L34" s="89">
        <f>IFERROR(IF(A35&lt;&gt;A34,AVERAGEIF(A$9:A34,A34,S$9:S34),""),"")</f>
        <v/>
      </c>
      <c r="M34" s="89">
        <f>IFERROR(IF(A35&lt;&gt;A34,AVERAGEIF(A$9:A34,A34,T$9:T34),""),"")</f>
        <v/>
      </c>
      <c r="N34" s="89">
        <f t="array" ref="N34">IFERROR(IF(A35&lt;&gt;A34,_xlfn.STDEV.P(IF(A$9:A34=A34,T$9:T34)),""),"")</f>
        <v/>
      </c>
      <c r="O34" s="89">
        <f t="array" ref="O34">IFERROR(IF(A35&lt;&gt;A34,_xlfn.STDEV.P(IF(A$9:A34=A34,S$9:S34)),""),"")</f>
        <v/>
      </c>
      <c r="P34" s="90">
        <f>IFERROR(IF(A34&lt;&gt;A35,MAX((((M34*24*60)/2)*(1+POWER((((N34*24*60) / (M34*24*60) )),2))) + ((M34*24*60 )*-0.1 + (K34*0.015)) +1,(((M34*24*60)/2)*(1+POWER((((N34*24*60) / (M34*24*60 ))),2)))),""),"")</f>
        <v/>
      </c>
      <c r="Q34" s="90">
        <f>IF(AND(O34&lt;&gt;"",L34&lt;&gt;""),IF(A34&lt;&gt;A35,((L34*24*60) / 2 ) * (1 + POWER(((O34*24*60) / (L34*24*60)),2)),""),"")</f>
        <v/>
      </c>
      <c r="R34" s="90">
        <f>IF(Q34&lt;&gt;"",MAX(P34,Q34),"")</f>
        <v/>
      </c>
      <c r="S34" s="89">
        <f>IF(I34&lt;&gt;"H. Sale Real",IF(AND(I35&lt;&gt;"",LEFT(C35,2)&lt;&gt;"Va"),IF(AND(I34&lt;&gt;"",LEFT(C34,2)&lt;&gt;"Va",I34&lt;&gt;"H. Sale Real"),IF(I35-I34&lt;0.208333333333333,I35-I34,""),IF(AND(I33&lt;&gt;"",LEFT(C33,2)&lt;&gt;"Va",I33&lt;&gt;"H. Sale Real"),IF(I35-I33&lt;0.208333333333333,I35-I33,""),IF(AND(I32&lt;&gt;"",LEFT(C32,2)&lt;&gt;"Va",I32&lt;&gt;"H. Sale Real"),IF(I35-I32&lt;0.208333333333333,I35-I32,""),IF(AND(I31&lt;&gt;"",LEFT(C31,2)&lt;&gt;"Va",I31&lt;&gt;"H. Sale Real"),IF(I35-I31&lt;0.208333333333333,I35-I31,""),IF(AND(I30&lt;&gt;"",LEFT(C30,2)&lt;&gt;"Va",I30&lt;&gt;"H. Sale Real"),IF(I35-I30&lt;0.208333333333333,I35-I30,""),""))))),""),"")</f>
        <v/>
      </c>
      <c r="T34" s="89">
        <f>IF(G34&lt;&gt;"H. Sale Real",IF(AND(G35&lt;&gt;"",LEFT(C35,2)&lt;&gt;"Va"),IF(AND(G34&lt;&gt;"",LEFT(C34,2)&lt;&gt;"Va",G34&lt;&gt;"H. Sale Real"),IF(G35-G34&lt;0.208333333333333,G35-G34,""),IF(AND(G33&lt;&gt;"",LEFT(C33,2)&lt;&gt;"Va",G33&lt;&gt;"H. Sale Real"),IF(G35-G33&lt;0.208333333333333,G35-G33,""),IF(AND(G32&lt;&gt;"",LEFT(C32,2)&lt;&gt;"Va",G32&lt;&gt;"H. Sale Real"),IF(G35-G32&lt;0.208333333333333,G35-G32,""),IF(AND(G31&lt;&gt;"",LEFT(C31,2)&lt;&gt;"Va",G31&lt;&gt;"H. Sale Real"),IF(G35-G31&lt;0.208333333333333,G35-G31,""),IF(AND(G30&lt;&gt;"",LEFT(C30,2)&lt;&gt;"Va",G30&lt;&gt;"H. Sale Real"),IF(G35-G30&lt;0.208333333333333,G35-G30,""),""))))),""),"")</f>
        <v/>
      </c>
      <c r="U34" s="87" t="n"/>
      <c r="V34" s="89" t="n"/>
      <c r="W34" s="87" t="n"/>
      <c r="X34" s="89" t="n"/>
      <c r="Y34" s="91" t="n"/>
      <c r="Z34" s="122">
        <f>IF(G34&lt;&gt;"",IF(AND(Z33&lt;&gt;"IE",P34&lt;&gt;0,R34&lt;&gt;""),IF(IFERROR((P34/R34),0) &lt;=1,IFERROR(P34/R34,""),1),""),"")</f>
        <v/>
      </c>
      <c r="AA34" s="93" t="n"/>
      <c r="AB34" s="2" t="n"/>
      <c r="AE34" s="10">
        <f>HOUR(AK34)+1</f>
        <v/>
      </c>
      <c r="AF34" s="7" t="n"/>
      <c r="AG34" s="7" t="n"/>
      <c r="AH34" s="86" t="n"/>
      <c r="AI34" s="8" t="n"/>
      <c r="AJ34" s="86" t="n"/>
      <c r="AK34" s="87" t="n"/>
      <c r="AL34" s="88">
        <f>IF(AM34="","",IF(AND((AM34-AK34)&gt;=TIME(0,0,0),(AM34-AK34)&lt;TIME(0,3,0)),"OK",IF(AND((AM34-AK34)&gt;=TIME(0,3,0),(AM34-AK34)&lt;TIME(0,5,0)),"RETRASO DE 3-5 MIN",IF(AND((AM34-AK34)&gt;=TIME(0,5,0),(AM34-AK34)&lt;TIME(0,10,0)),"RETRASO DE 5-10 MIN",IF((AM34-AK34)&gt;=TIME(0,10,0),"RETRASO &gt;10 MIN", IF(AND((AK34-AM34)&gt;=TIME(0,0,0),(AK34-AM34)&lt;TIME(0,3,0)),"OK",IF((AK34-AM34)&gt;=TIME(0,3,0),"ADELANTADO")))))))</f>
        <v/>
      </c>
      <c r="AM34" s="91" t="n"/>
      <c r="AN34" s="89">
        <f>IF(AE34&lt;&gt;"",HLOOKUP(VALUE(TEXT(AK34,"h:mm:ss")),IF($C$6="Laboral",$FZ$4:$GX$227,IF($C$6="Sábado",$FZ$231:$GX$452,$FZ$456:$GX$656)),VLOOKUP($C$4,$HF$2:$HH$99,3,0)+IF(AG$5="Ida",0,1),1),"")</f>
        <v/>
      </c>
      <c r="AO34" s="89">
        <f>IF(AE35&lt;&gt;AE34,AVERAGEIF(AE$9:AE34,AE34,AN$9:AN34),"")</f>
        <v/>
      </c>
      <c r="AP34" s="89">
        <f>IFERROR(IF(AE35&lt;&gt;AE34,AVERAGEIF(AE$9:AE34,AE34,AW$9:AW34),""),"")</f>
        <v/>
      </c>
      <c r="AQ34" s="89">
        <f>IFERROR(IF(AE35&lt;&gt;AE34,AVERAGEIF(AE$9:AE34,AE34,AX$9:AX34),""),"")</f>
        <v/>
      </c>
      <c r="AR34" s="89">
        <f t="array" ref="AR34">IFERROR(IF(AE35&lt;&gt;AE34,_xlfn.STDEV.P(IF(AE$9:AE34=AE34,AX$9:AX34)),""),"")</f>
        <v/>
      </c>
      <c r="AS34" s="89">
        <f t="array" ref="AS34">IFERROR(IF(AE35&lt;&gt;AE34,_xlfn.STDEV.P(IF(AE$9:AE34=AE34,AW$9:AW34)),""),"")</f>
        <v/>
      </c>
      <c r="AT34" s="90">
        <f>IFERROR(IF(AE34&lt;&gt;AE35,MAX((((AQ34*24*60)/2)*(1+POWER((((AR34*24*60) / (AQ34*24*60) )),2))) + ((AQ34*24*60 )*-0.1 + (AO34*0.015)) +1,(((AQ34*24*60)/2)*(1+POWER((((AR34*24*60) / (AQ34*24*60 ))),2)))),""),"")</f>
        <v/>
      </c>
      <c r="AU34" s="90">
        <f>IF(AND(AS34&lt;&gt;"",AP34&lt;&gt;""),IF(AE34&lt;&gt;AE35,((AP34*24*60) / 2 ) * (1 + POWER(((AS34*24*60) / (AP34*24*60)),2)),""),"")</f>
        <v/>
      </c>
      <c r="AV34" s="90">
        <f>IF(AU34&lt;&gt;"",MAX(AT34,AU34),"")</f>
        <v/>
      </c>
      <c r="AW34" s="89">
        <f>IF(AM34&lt;&gt;"H. Sale Real",IF(AND(AM35&lt;&gt;"",LEFT(AG35,2)&lt;&gt;"Va"),IF(AND(AM34&lt;&gt;"",LEFT(AG34,2)&lt;&gt;"Va",AM34&lt;&gt;"H. Sale Real"),IF(AM35-AM34&lt;0.208333333333333,AM35-AM34,""),IF(AND(AM33&lt;&gt;"",LEFT(AG33,2)&lt;&gt;"Va",AM33&lt;&gt;"H. Sale Real"),IF(AM35-AM33&lt;0.208333333333333,AM35-AM33,""),IF(AND(AM32&lt;&gt;"",LEFT(AG32,2)&lt;&gt;"Va",AM32&lt;&gt;"H. Sale Real"),IF(AM35-AM32&lt;0.208333333333333,AM35-AM32,""),IF(AND(AM31&lt;&gt;"",LEFT(AG31,2)&lt;&gt;"Va",AM31&lt;&gt;"H. Sale Real"),IF(AM35-AM31&lt;0.208333333333333,AM35-AM31,""),IF(AND(AM30&lt;&gt;"",LEFT(AG30,2)&lt;&gt;"Va",AM30&lt;&gt;"H. Sale Real"),IF(AM35-AM30&lt;0.208333333333333,AM35-AM30,""),""))))),""),"")</f>
        <v/>
      </c>
      <c r="AX34" s="89">
        <f>IF(AK34&lt;&gt;"H. Sale Real",IF(AND(AK35&lt;&gt;"",LEFT(AG35,2)&lt;&gt;"Va"),IF(AND(AK34&lt;&gt;"",LEFT(AG34,2)&lt;&gt;"Va",AK34&lt;&gt;"H. Sale Real"),IF(AK35-AK34&lt;0.208333333333333,AK35-AK34,""),IF(AND(AK33&lt;&gt;"",LEFT(AG33,2)&lt;&gt;"Va",AK33&lt;&gt;"H. Sale Real"),IF(AK35-AK33&lt;0.208333333333333,AK35-AK33,""),IF(AND(AK32&lt;&gt;"",LEFT(AG32,2)&lt;&gt;"NC",AK32&lt;&gt;"H. Sale Real"),IF(AK35-AK32&lt;0.208333333333333,AK35-AK32,""),IF(AND(AK31&lt;&gt;"",LEFT(AG31,2)&lt;&gt;"Va",AK31&lt;&gt;"H. Sale Real"),IF(AK35-AK31&lt;0.208333333333333,AK35-AK31,""),IF(AND(AK30&lt;&gt;"",LEFT(AG30,2)&lt;&gt;"Va",AK30&lt;&gt;"H. Sale Real"),IF(AK35-AK30&lt;0.208333333333333,AK35-AK30,""),""))))),""),"")</f>
        <v/>
      </c>
      <c r="AY34" s="87" t="n"/>
      <c r="AZ34" s="89" t="n"/>
      <c r="BA34" s="87" t="n"/>
      <c r="BB34" s="89" t="n"/>
      <c r="BC34" s="91" t="n"/>
      <c r="BD34" s="122">
        <f>IF(AK34&lt;&gt;"",IF(AND(BD33&lt;&gt;"IE",AT34&lt;&gt;0,AV34&lt;&gt;""),IF(IFERROR((AT34/AV34),0) &lt;=1,IFERROR(AT34/AV34,""),1),""),"")</f>
        <v/>
      </c>
      <c r="BE34" s="93" t="n"/>
      <c r="BF34" s="105" t="n"/>
      <c r="BI34" s="8" t="n">
        <v>22</v>
      </c>
      <c r="BJ34" s="8">
        <f>COUNTIFS($A:$A,$BI34,$C:$C,$BI$11)</f>
        <v/>
      </c>
      <c r="BK34" s="8">
        <f>BJ34-COUNTIFS($A:$A,$BI34,$C:$C,$BI$11,$H:$H,"")</f>
        <v/>
      </c>
      <c r="BL34" s="54">
        <f>IFERROR((BK34/BJ34),"")</f>
        <v/>
      </c>
      <c r="BM34" s="8">
        <f>_xlfn.XLOOKUP(BI34,$A:$A,$R:$R,"0",0,-1)</f>
        <v/>
      </c>
      <c r="BN34" s="55">
        <f>_xlfn.XLOOKUP(BI34,$A:$A,$P:$P,"0",0,-1)</f>
        <v/>
      </c>
      <c r="BO34" s="123">
        <f>_xlfn.XLOOKUP(BI34,$A:$A,$Z:$Z,"",0,-1)</f>
        <v/>
      </c>
      <c r="BR34" s="8" t="n">
        <v>22</v>
      </c>
      <c r="BS34" s="8">
        <f>COUNTIFS($AE:$AE,$BR34,$AG:$AG,$BR$11)</f>
        <v/>
      </c>
      <c r="BT34" s="8">
        <f>BS34-COUNTIFS($AE:$AE,$BR34,$AG:$AG,$BR$11,$AL:$AL,"")</f>
        <v/>
      </c>
      <c r="BU34" s="54">
        <f>IFERROR((BT34/BS34),"")</f>
        <v/>
      </c>
      <c r="BV34" s="8">
        <f>_xlfn.XLOOKUP(BR34,$AE:$AE,$AV:$AV,"0",0,-1)</f>
        <v/>
      </c>
      <c r="BW34" s="55">
        <f>_xlfn.XLOOKUP(BR34,$AE:$AE,$AT:$AT,"0",0,-1)</f>
        <v/>
      </c>
      <c r="BX34" s="123">
        <f>_xlfn.XLOOKUP(BR34,$AE:$AE,$BD:$BD,"",0,-1)</f>
        <v/>
      </c>
      <c r="FC34" t="inlineStr">
        <is>
          <t>Diccionario 1</t>
        </is>
      </c>
      <c r="FD34" s="15" t="n">
        <v>1031</v>
      </c>
      <c r="FE34" s="15" t="inlineStr">
        <is>
          <t>D8483221K2PL</t>
        </is>
      </c>
      <c r="FF34" s="15" t="inlineStr">
        <is>
          <t>YV3T7U521KA195535</t>
        </is>
      </c>
      <c r="FG34" s="15" t="inlineStr">
        <is>
          <t>Volvo</t>
        </is>
      </c>
      <c r="FH34" s="15" t="inlineStr">
        <is>
          <t>B8R</t>
        </is>
      </c>
      <c r="FI34" s="15" t="inlineStr">
        <is>
          <t>MARCOPOLO</t>
        </is>
      </c>
      <c r="FJ34" s="15" t="inlineStr">
        <is>
          <t>TORINO</t>
        </is>
      </c>
      <c r="FK34" s="15" t="n">
        <v>2019</v>
      </c>
      <c r="FL34" s="15" t="inlineStr">
        <is>
          <t>B2PAL</t>
        </is>
      </c>
      <c r="FM34" s="15" t="inlineStr">
        <is>
          <t>LOS LIBERTADORES</t>
        </is>
      </c>
      <c r="FN34" s="15" t="inlineStr">
        <is>
          <t>Los Liberadores 6450, Lote 4A</t>
        </is>
      </c>
      <c r="FO34" s="15" t="inlineStr">
        <is>
          <t>Huechuraba</t>
        </is>
      </c>
      <c r="FP34" t="inlineStr">
        <is>
          <t>B</t>
        </is>
      </c>
      <c r="FS34" s="14" t="inlineStr">
        <is>
          <t>3009 / SFVZ-87|</t>
        </is>
      </c>
      <c r="FT34" t="inlineStr">
        <is>
          <t>SFVZ-87|</t>
        </is>
      </c>
      <c r="FU34" t="inlineStr">
        <is>
          <t>SFVZ-87</t>
        </is>
      </c>
      <c r="FV34">
        <f>VLOOKUP(FU34,FD:FL,9,0)</f>
        <v/>
      </c>
      <c r="FZ34" s="51" t="inlineStr">
        <is>
          <t>B28</t>
        </is>
      </c>
      <c r="GA34" s="117" t="n">
        <v>0</v>
      </c>
      <c r="GB34" s="117" t="n">
        <v>0</v>
      </c>
      <c r="GC34" s="117" t="n">
        <v>0</v>
      </c>
      <c r="GD34" s="117" t="n">
        <v>0</v>
      </c>
      <c r="GE34" s="117" t="n">
        <v>0</v>
      </c>
      <c r="GF34" s="117" t="n">
        <v>9.050000000000001</v>
      </c>
      <c r="GG34" s="117" t="n">
        <v>15.485</v>
      </c>
      <c r="GH34" s="117" t="n">
        <v>14.3</v>
      </c>
      <c r="GI34" s="117" t="n">
        <v>16.135</v>
      </c>
      <c r="GJ34" s="117" t="n">
        <v>16.665</v>
      </c>
      <c r="GK34" s="117" t="n">
        <v>16.38</v>
      </c>
      <c r="GL34" s="117" t="n">
        <v>15.895</v>
      </c>
      <c r="GM34" s="117" t="n">
        <v>15.64</v>
      </c>
      <c r="GN34" s="117" t="n">
        <v>15.72</v>
      </c>
      <c r="GO34" s="117" t="n">
        <v>15.645</v>
      </c>
      <c r="GP34" s="117" t="n">
        <v>15.31</v>
      </c>
      <c r="GQ34" s="117" t="n">
        <v>14.51</v>
      </c>
      <c r="GR34" s="117" t="n">
        <v>13.965</v>
      </c>
      <c r="GS34" s="117" t="n">
        <v>15.335</v>
      </c>
      <c r="GT34" s="117" t="n">
        <v>17.59</v>
      </c>
      <c r="GU34" s="117" t="n">
        <v>18.88</v>
      </c>
      <c r="GV34" s="117" t="n">
        <v>20.27</v>
      </c>
      <c r="GW34" s="117" t="n">
        <v>22.23</v>
      </c>
      <c r="GX34" s="117" t="n">
        <v>23.7</v>
      </c>
      <c r="HA34" s="35" t="n">
        <v>31</v>
      </c>
      <c r="HB34" s="35" t="n">
        <v>28</v>
      </c>
      <c r="HE34" t="inlineStr">
        <is>
          <t>U8</t>
        </is>
      </c>
      <c r="HF34" s="46" t="inlineStr">
        <is>
          <t>B33</t>
        </is>
      </c>
      <c r="HG34" s="46" t="inlineStr">
        <is>
          <t>B33</t>
        </is>
      </c>
      <c r="HH34" s="14" t="n">
        <v>59</v>
      </c>
      <c r="HL34" t="inlineStr">
        <is>
          <t>OmegaU8</t>
        </is>
      </c>
      <c r="HM34" s="46" t="inlineStr">
        <is>
          <t>B33</t>
        </is>
      </c>
      <c r="HN34" s="26" t="inlineStr">
        <is>
          <t>Aguirre Luco</t>
        </is>
      </c>
      <c r="HO34" s="14" t="n">
        <v>933</v>
      </c>
      <c r="IB34" s="72" t="inlineStr">
        <is>
          <t>Falta de Buses</t>
        </is>
      </c>
    </row>
    <row r="35" ht="15.5" customHeight="1">
      <c r="A35" s="10">
        <f>HOUR(G35)+1</f>
        <v/>
      </c>
      <c r="B35" s="7" t="n"/>
      <c r="C35" s="7" t="n"/>
      <c r="D35" s="85">
        <f>IFERROR(
IF(AND(OR(Planilla!B35="C",Planilla!B35="c"), VLOOKUP(E35,FD:FP,13,0)="C"), "OK",IF(AND(OR(Planilla!B35="C",Planilla!B35="c"), OR(VLOOKUP(E35,FD:FP,13,0)="B", VLOOKUP(E35,FD:FP,13,0)="A")), "DEFICIT",IF(
AND(OR(Planilla!B35="B", Planilla!B35="BPAL"), VLOOKUP(E35,FD:FP,13,0)="B"), "OK",IF(AND(OR(Planilla!B35="B", Planilla!B35="BPAL"), VLOOKUP(E35,FD:FP,13,0)="A"), "DEFICIT",IF(AND(OR(Planilla!B35="B", Planilla!B35="BPAL"), VLOOKUP(E35,FD:FP,13,0)="C"), "SOBREOFERTA",IF(AND(Planilla!B35="A", VLOOKUP(E35,FD:FP,13,0)="A"), "OK",IF(
AND(Planilla!B35="A", OR(VLOOKUP(E35,FD:FP,13,0)="B", VLOOKUP(E35,FD:FP,13,0)="C")), "SOBREOFERTA",""
))))))),"")</f>
        <v/>
      </c>
      <c r="E35" s="8" t="n"/>
      <c r="F35" s="86" t="n"/>
      <c r="G35" s="87" t="n"/>
      <c r="H35" s="88">
        <f>IF(I35="","",IF(AND((I35-G35)&gt;=TIME(0,0,0),(I35-G35)&lt;TIME(0,3,0)),"OK",IF(AND((I35-G35)&gt;=TIME(0,3,0),(I35-G35)&lt;TIME(0,5,0)),"RETRASO DE 3-5 MIN",IF(AND((I35-G35)&gt;=TIME(0,5,0),(I35-G35)&lt;TIME(0,10,0)),"RETRASO DE 5-10 MIN",IF((I35-G35)&gt;=TIME(0,10,0),"RETRASO &gt;10 MIN", IF(AND((G35-I35)&gt;=TIME(0,0,0),(G35-I35)&lt;TIME(0,3,0)),"OK",IF((G35-I35)&gt;=TIME(0,3,0),"ADELANTADO")))))))</f>
        <v/>
      </c>
      <c r="I35" s="89" t="n"/>
      <c r="J35" s="89">
        <f>IF(A35&lt;&gt;"",HLOOKUP(VALUE(TEXT(G35,"h:mm:ss")),IF($C$6="Laboral",$FZ$4:$GX$227,IF($C$6="Sábado",$FZ$231:$GX$452,$FZ$456:$GX$656)),VLOOKUP($C$4,$HF$2:$HH$99,3,0)+IF(C$5="Ida",0,1),1),"")</f>
        <v/>
      </c>
      <c r="K35" s="89">
        <f>IF(A36&lt;&gt;A35,AVERAGEIF(A$9:A35,A35,J$9:J35),"")</f>
        <v/>
      </c>
      <c r="L35" s="89">
        <f>IFERROR(IF(A36&lt;&gt;A35,AVERAGEIF(A$9:A35,A35,S$9:S35),""),"")</f>
        <v/>
      </c>
      <c r="M35" s="89">
        <f>IFERROR(IF(A36&lt;&gt;A35,AVERAGEIF(A$9:A35,A35,T$9:T35),""),"")</f>
        <v/>
      </c>
      <c r="N35" s="89">
        <f t="array" ref="N35">IFERROR(IF(A36&lt;&gt;A35,_xlfn.STDEV.P(IF(A$9:A35=A35,T$9:T35)),""),"")</f>
        <v/>
      </c>
      <c r="O35" s="89">
        <f t="array" ref="O35">IFERROR(IF(A36&lt;&gt;A35,_xlfn.STDEV.P(IF(A$9:A35=A35,S$9:S35)),""),"")</f>
        <v/>
      </c>
      <c r="P35" s="90">
        <f>IFERROR(IF(A35&lt;&gt;A36,MAX((((M35*24*60)/2)*(1+POWER((((N35*24*60) / (M35*24*60) )),2))) + ((M35*24*60 )*-0.1 + (K35*0.015)) +1,(((M35*24*60)/2)*(1+POWER((((N35*24*60) / (M35*24*60 ))),2)))),""),"")</f>
        <v/>
      </c>
      <c r="Q35" s="90">
        <f>IF(AND(O35&lt;&gt;"",L35&lt;&gt;""),IF(A35&lt;&gt;A36,((L35*24*60) / 2 ) * (1 + POWER(((O35*24*60) / (L35*24*60)),2)),""),"")</f>
        <v/>
      </c>
      <c r="R35" s="90">
        <f>IF(Q35&lt;&gt;"",MAX(P35,Q35),"")</f>
        <v/>
      </c>
      <c r="S35" s="89">
        <f>IF(I35&lt;&gt;"H. Sale Real",IF(AND(I36&lt;&gt;"",LEFT(C36,2)&lt;&gt;"Va"),IF(AND(I35&lt;&gt;"",LEFT(C35,2)&lt;&gt;"Va",I35&lt;&gt;"H. Sale Real"),IF(I36-I35&lt;0.208333333333333,I36-I35,""),IF(AND(I34&lt;&gt;"",LEFT(C34,2)&lt;&gt;"Va",I34&lt;&gt;"H. Sale Real"),IF(I36-I34&lt;0.208333333333333,I36-I34,""),IF(AND(I33&lt;&gt;"",LEFT(C33,2)&lt;&gt;"Va",I33&lt;&gt;"H. Sale Real"),IF(I36-I33&lt;0.208333333333333,I36-I33,""),IF(AND(I32&lt;&gt;"",LEFT(C32,2)&lt;&gt;"Va",I32&lt;&gt;"H. Sale Real"),IF(I36-I32&lt;0.208333333333333,I36-I32,""),IF(AND(I31&lt;&gt;"",LEFT(C31,2)&lt;&gt;"Va",I31&lt;&gt;"H. Sale Real"),IF(I36-I31&lt;0.208333333333333,I36-I31,""),""))))),""),"")</f>
        <v/>
      </c>
      <c r="T35" s="89">
        <f>IF(G35&lt;&gt;"H. Sale Real",IF(AND(G36&lt;&gt;"",LEFT(C36,2)&lt;&gt;"Va"),IF(AND(G35&lt;&gt;"",LEFT(C35,2)&lt;&gt;"Va",G35&lt;&gt;"H. Sale Real"),IF(G36-G35&lt;0.208333333333333,G36-G35,""),IF(AND(G34&lt;&gt;"",LEFT(C34,2)&lt;&gt;"Va",G34&lt;&gt;"H. Sale Real"),IF(G36-G34&lt;0.208333333333333,G36-G34,""),IF(AND(G33&lt;&gt;"",LEFT(C33,2)&lt;&gt;"Va",G33&lt;&gt;"H. Sale Real"),IF(G36-G33&lt;0.208333333333333,G36-G33,""),IF(AND(G32&lt;&gt;"",LEFT(C32,2)&lt;&gt;"Va",G32&lt;&gt;"H. Sale Real"),IF(G36-G32&lt;0.208333333333333,G36-G32,""),IF(AND(G31&lt;&gt;"",LEFT(C31,2)&lt;&gt;"Va",G31&lt;&gt;"H. Sale Real"),IF(G36-G31&lt;0.208333333333333,G36-G31,""),""))))),""),"")</f>
        <v/>
      </c>
      <c r="U35" s="87" t="n"/>
      <c r="V35" s="89" t="n"/>
      <c r="W35" s="87" t="n"/>
      <c r="X35" s="89" t="n"/>
      <c r="Y35" s="91" t="n"/>
      <c r="Z35" s="122">
        <f>IF(G35&lt;&gt;"",IF(AND(Z34&lt;&gt;"IE",P35&lt;&gt;0,R35&lt;&gt;""),IF(IFERROR((P35/R35),0) &lt;=1,IFERROR(P35/R35,""),1),""),"")</f>
        <v/>
      </c>
      <c r="AA35" s="93" t="n"/>
      <c r="AB35" s="2" t="n"/>
      <c r="AE35" s="10">
        <f>HOUR(AK35)+1</f>
        <v/>
      </c>
      <c r="AF35" s="7" t="n"/>
      <c r="AG35" s="7" t="n"/>
      <c r="AH35" s="86" t="n"/>
      <c r="AI35" s="8" t="n"/>
      <c r="AJ35" s="86" t="n"/>
      <c r="AK35" s="87" t="n"/>
      <c r="AL35" s="88">
        <f>IF(AM35="","",IF(AND((AM35-AK35)&gt;=TIME(0,0,0),(AM35-AK35)&lt;TIME(0,3,0)),"OK",IF(AND((AM35-AK35)&gt;=TIME(0,3,0),(AM35-AK35)&lt;TIME(0,5,0)),"RETRASO DE 3-5 MIN",IF(AND((AM35-AK35)&gt;=TIME(0,5,0),(AM35-AK35)&lt;TIME(0,10,0)),"RETRASO DE 5-10 MIN",IF((AM35-AK35)&gt;=TIME(0,10,0),"RETRASO &gt;10 MIN", IF(AND((AK35-AM35)&gt;=TIME(0,0,0),(AK35-AM35)&lt;TIME(0,3,0)),"OK",IF((AK35-AM35)&gt;=TIME(0,3,0),"ADELANTADO")))))))</f>
        <v/>
      </c>
      <c r="AM35" s="91" t="n"/>
      <c r="AN35" s="89">
        <f>IF(AE35&lt;&gt;"",HLOOKUP(VALUE(TEXT(AK35,"h:mm:ss")),IF($C$6="Laboral",$FZ$4:$GX$227,IF($C$6="Sábado",$FZ$231:$GX$452,$FZ$456:$GX$656)),VLOOKUP($C$4,$HF$2:$HH$99,3,0)+IF(AG$5="Ida",0,1),1),"")</f>
        <v/>
      </c>
      <c r="AO35" s="89">
        <f>IF(AE36&lt;&gt;AE35,AVERAGEIF(AE$9:AE35,AE35,AN$9:AN35),"")</f>
        <v/>
      </c>
      <c r="AP35" s="89">
        <f>IFERROR(IF(AE36&lt;&gt;AE35,AVERAGEIF(AE$9:AE35,AE35,AW$9:AW35),""),"")</f>
        <v/>
      </c>
      <c r="AQ35" s="89">
        <f>IFERROR(IF(AE36&lt;&gt;AE35,AVERAGEIF(AE$9:AE35,AE35,AX$9:AX35),""),"")</f>
        <v/>
      </c>
      <c r="AR35" s="89">
        <f t="array" ref="AR35">IFERROR(IF(AE36&lt;&gt;AE35,_xlfn.STDEV.P(IF(AE$9:AE35=AE35,AX$9:AX35)),""),"")</f>
        <v/>
      </c>
      <c r="AS35" s="89">
        <f t="array" ref="AS35">IFERROR(IF(AE36&lt;&gt;AE35,_xlfn.STDEV.P(IF(AE$9:AE35=AE35,AW$9:AW35)),""),"")</f>
        <v/>
      </c>
      <c r="AT35" s="90">
        <f>IFERROR(IF(AE35&lt;&gt;AE36,MAX((((AQ35*24*60)/2)*(1+POWER((((AR35*24*60) / (AQ35*24*60) )),2))) + ((AQ35*24*60 )*-0.1 + (AO35*0.015)) +1,(((AQ35*24*60)/2)*(1+POWER((((AR35*24*60) / (AQ35*24*60 ))),2)))),""),"")</f>
        <v/>
      </c>
      <c r="AU35" s="90">
        <f>IF(AND(AS35&lt;&gt;"",AP35&lt;&gt;""),IF(AE35&lt;&gt;AE36,((AP35*24*60) / 2 ) * (1 + POWER(((AS35*24*60) / (AP35*24*60)),2)),""),"")</f>
        <v/>
      </c>
      <c r="AV35" s="90">
        <f>IF(AU35&lt;&gt;"",MAX(AT35,AU35),"")</f>
        <v/>
      </c>
      <c r="AW35" s="89">
        <f>IF(AM35&lt;&gt;"H. Sale Real",IF(AND(AM36&lt;&gt;"",LEFT(AG36,2)&lt;&gt;"Va"),IF(AND(AM35&lt;&gt;"",LEFT(AG35,2)&lt;&gt;"Va",AM35&lt;&gt;"H. Sale Real"),IF(AM36-AM35&lt;0.208333333333333,AM36-AM35,""),IF(AND(AM34&lt;&gt;"",LEFT(AG34,2)&lt;&gt;"Va",AM34&lt;&gt;"H. Sale Real"),IF(AM36-AM34&lt;0.208333333333333,AM36-AM34,""),IF(AND(AM33&lt;&gt;"",LEFT(AG33,2)&lt;&gt;"Va",AM33&lt;&gt;"H. Sale Real"),IF(AM36-AM33&lt;0.208333333333333,AM36-AM33,""),IF(AND(AM32&lt;&gt;"",LEFT(AG32,2)&lt;&gt;"Va",AM32&lt;&gt;"H. Sale Real"),IF(AM36-AM32&lt;0.208333333333333,AM36-AM32,""),IF(AND(AM31&lt;&gt;"",LEFT(AG31,2)&lt;&gt;"Va",AM31&lt;&gt;"H. Sale Real"),IF(AM36-AM31&lt;0.208333333333333,AM36-AM31,""),""))))),""),"")</f>
        <v/>
      </c>
      <c r="AX35" s="89">
        <f>IF(AK35&lt;&gt;"H. Sale Real",IF(AND(AK36&lt;&gt;"",LEFT(AG36,2)&lt;&gt;"Va"),IF(AND(AK35&lt;&gt;"",LEFT(AG35,2)&lt;&gt;"Va",AK35&lt;&gt;"H. Sale Real"),IF(AK36-AK35&lt;0.208333333333333,AK36-AK35,""),IF(AND(AK34&lt;&gt;"",LEFT(AG34,2)&lt;&gt;"Va",AK34&lt;&gt;"H. Sale Real"),IF(AK36-AK34&lt;0.208333333333333,AK36-AK34,""),IF(AND(AK33&lt;&gt;"",LEFT(AG33,2)&lt;&gt;"NC",AK33&lt;&gt;"H. Sale Real"),IF(AK36-AK33&lt;0.208333333333333,AK36-AK33,""),IF(AND(AK32&lt;&gt;"",LEFT(AG32,2)&lt;&gt;"Va",AK32&lt;&gt;"H. Sale Real"),IF(AK36-AK32&lt;0.208333333333333,AK36-AK32,""),IF(AND(AK31&lt;&gt;"",LEFT(AG31,2)&lt;&gt;"Va",AK31&lt;&gt;"H. Sale Real"),IF(AK36-AK31&lt;0.208333333333333,AK36-AK31,""),""))))),""),"")</f>
        <v/>
      </c>
      <c r="AY35" s="87" t="n"/>
      <c r="AZ35" s="89" t="n"/>
      <c r="BA35" s="87" t="n"/>
      <c r="BB35" s="89" t="n"/>
      <c r="BC35" s="91" t="n"/>
      <c r="BD35" s="122">
        <f>IF(AK35&lt;&gt;"",IF(AND(BD34&lt;&gt;"IE",AT35&lt;&gt;0,AV35&lt;&gt;""),IF(IFERROR((AT35/AV35),0) &lt;=1,IFERROR(AT35/AV35,""),1),""),"")</f>
        <v/>
      </c>
      <c r="BE35" s="93" t="n"/>
      <c r="BF35" s="105" t="n"/>
      <c r="BI35" s="8" t="n">
        <v>23</v>
      </c>
      <c r="BJ35" s="8">
        <f>COUNTIFS($A:$A,$BI35,$C:$C,$BI$11)</f>
        <v/>
      </c>
      <c r="BK35" s="8">
        <f>BJ35-COUNTIFS($A:$A,$BI35,$C:$C,$BI$11,$H:$H,"")</f>
        <v/>
      </c>
      <c r="BL35" s="54">
        <f>IFERROR((BK35/BJ35),"")</f>
        <v/>
      </c>
      <c r="BM35" s="8">
        <f>_xlfn.XLOOKUP(BI35,$A:$A,$R:$R,"0",0,-1)</f>
        <v/>
      </c>
      <c r="BN35" s="55">
        <f>_xlfn.XLOOKUP(BI35,$A:$A,$P:$P,"0",0,-1)</f>
        <v/>
      </c>
      <c r="BO35" s="123">
        <f>_xlfn.XLOOKUP(BI35,$A:$A,$Z:$Z,"",0,-1)</f>
        <v/>
      </c>
      <c r="BR35" s="8" t="n">
        <v>23</v>
      </c>
      <c r="BS35" s="8">
        <f>COUNTIFS($AE:$AE,$BR35,$AG:$AG,$BR$11)</f>
        <v/>
      </c>
      <c r="BT35" s="8">
        <f>BS35-COUNTIFS($AE:$AE,$BR35,$AG:$AG,$BR$11,$AL:$AL,"")</f>
        <v/>
      </c>
      <c r="BU35" s="54">
        <f>IFERROR((BT35/BS35),"")</f>
        <v/>
      </c>
      <c r="BV35" s="8">
        <f>_xlfn.XLOOKUP(BR35,$AE:$AE,$AV:$AV,"0",0,-1)</f>
        <v/>
      </c>
      <c r="BW35" s="55">
        <f>_xlfn.XLOOKUP(BR35,$AE:$AE,$AT:$AT,"0",0,-1)</f>
        <v/>
      </c>
      <c r="BX35" s="123">
        <f>_xlfn.XLOOKUP(BR35,$AE:$AE,$BD:$BD,"",0,-1)</f>
        <v/>
      </c>
      <c r="FC35" t="inlineStr">
        <is>
          <t>Diccionario 1</t>
        </is>
      </c>
      <c r="FD35" s="15" t="n">
        <v>1032</v>
      </c>
      <c r="FE35" s="15" t="inlineStr">
        <is>
          <t>D89303077</t>
        </is>
      </c>
      <c r="FF35" s="15" t="inlineStr">
        <is>
          <t>YV3T7U523KA195553</t>
        </is>
      </c>
      <c r="FG35" s="15" t="inlineStr">
        <is>
          <t>Volvo</t>
        </is>
      </c>
      <c r="FH35" s="15" t="inlineStr">
        <is>
          <t>B8R</t>
        </is>
      </c>
      <c r="FI35" s="15" t="inlineStr">
        <is>
          <t>MARCOPOLO</t>
        </is>
      </c>
      <c r="FJ35" s="15" t="inlineStr">
        <is>
          <t>TORINO</t>
        </is>
      </c>
      <c r="FK35" s="15" t="n">
        <v>2019</v>
      </c>
      <c r="FL35" s="15" t="inlineStr">
        <is>
          <t>B2PAL</t>
        </is>
      </c>
      <c r="FM35" s="15" t="inlineStr">
        <is>
          <t>LOS LIBERTADORES</t>
        </is>
      </c>
      <c r="FN35" s="15" t="inlineStr">
        <is>
          <t>Los Liberadores 6450, Lote 4A</t>
        </is>
      </c>
      <c r="FO35" s="15" t="inlineStr">
        <is>
          <t>Huechuraba</t>
        </is>
      </c>
      <c r="FP35" t="inlineStr">
        <is>
          <t>B</t>
        </is>
      </c>
      <c r="FS35" s="14" t="inlineStr">
        <is>
          <t>3009 / SFVZ-87|</t>
        </is>
      </c>
      <c r="FT35" t="inlineStr">
        <is>
          <t>SFVZ-87|</t>
        </is>
      </c>
      <c r="FU35" t="inlineStr">
        <is>
          <t>SFVZ-87</t>
        </is>
      </c>
      <c r="FV35">
        <f>VLOOKUP(FU35,FD:FL,9,0)</f>
        <v/>
      </c>
      <c r="FZ35" s="51" t="inlineStr">
        <is>
          <t>B29</t>
        </is>
      </c>
      <c r="GA35" s="117" t="n">
        <v>0</v>
      </c>
      <c r="GB35" s="117" t="n">
        <v>0</v>
      </c>
      <c r="GC35" s="117" t="n">
        <v>0</v>
      </c>
      <c r="GD35" s="117" t="n">
        <v>0</v>
      </c>
      <c r="GE35" s="117" t="n">
        <v>0</v>
      </c>
      <c r="GF35" s="117" t="n">
        <v>20.69</v>
      </c>
      <c r="GG35" s="117" t="n">
        <v>17.48</v>
      </c>
      <c r="GH35" s="117" t="n">
        <v>17.125</v>
      </c>
      <c r="GI35" s="117" t="n">
        <v>18.695</v>
      </c>
      <c r="GJ35" s="117" t="n">
        <v>19.6</v>
      </c>
      <c r="GK35" s="117" t="n">
        <v>19.4</v>
      </c>
      <c r="GL35" s="117" t="n">
        <v>19.15</v>
      </c>
      <c r="GM35" s="117" t="n">
        <v>18.975</v>
      </c>
      <c r="GN35" s="117" t="n">
        <v>18.855</v>
      </c>
      <c r="GO35" s="117" t="n">
        <v>18.28</v>
      </c>
      <c r="GP35" s="117" t="n">
        <v>17.71</v>
      </c>
      <c r="GQ35" s="117" t="n">
        <v>16.515</v>
      </c>
      <c r="GR35" s="117" t="n">
        <v>16.125</v>
      </c>
      <c r="GS35" s="117" t="n">
        <v>17.955</v>
      </c>
      <c r="GT35" s="117" t="n">
        <v>19.895</v>
      </c>
      <c r="GU35" s="117" t="n">
        <v>21.43</v>
      </c>
      <c r="GV35" s="117" t="n">
        <v>23.075</v>
      </c>
      <c r="GW35" s="117" t="n">
        <v>24.855</v>
      </c>
      <c r="GX35" s="117" t="n">
        <v>0</v>
      </c>
      <c r="HA35" s="35" t="n">
        <v>32</v>
      </c>
      <c r="HB35" s="35" t="n">
        <v>29</v>
      </c>
      <c r="HE35" t="inlineStr">
        <is>
          <t>U8</t>
        </is>
      </c>
      <c r="HF35" s="46" t="inlineStr">
        <is>
          <t>F15</t>
        </is>
      </c>
      <c r="HG35" s="46" t="inlineStr">
        <is>
          <t>F15</t>
        </is>
      </c>
      <c r="HH35" s="14" t="n">
        <v>60</v>
      </c>
      <c r="HL35" t="inlineStr">
        <is>
          <t>OmegaU8</t>
        </is>
      </c>
      <c r="HM35" s="46" t="inlineStr">
        <is>
          <t>F15</t>
        </is>
      </c>
      <c r="HN35" s="26" t="inlineStr">
        <is>
          <t>Juanita</t>
        </is>
      </c>
      <c r="HO35" s="14" t="n">
        <v>935</v>
      </c>
    </row>
    <row r="36" ht="15.5" customHeight="1">
      <c r="A36" s="10">
        <f>HOUR(G36)+1</f>
        <v/>
      </c>
      <c r="B36" s="7" t="n"/>
      <c r="C36" s="7" t="n"/>
      <c r="D36" s="85">
        <f>IFERROR(
IF(AND(OR(Planilla!B36="C",Planilla!B36="c"), VLOOKUP(E36,FD:FP,13,0)="C"), "OK",IF(AND(OR(Planilla!B36="C",Planilla!B36="c"), OR(VLOOKUP(E36,FD:FP,13,0)="B", VLOOKUP(E36,FD:FP,13,0)="A")), "DEFICIT",IF(
AND(OR(Planilla!B36="B", Planilla!B36="BPAL"), VLOOKUP(E36,FD:FP,13,0)="B"), "OK",IF(AND(OR(Planilla!B36="B", Planilla!B36="BPAL"), VLOOKUP(E36,FD:FP,13,0)="A"), "DEFICIT",IF(AND(OR(Planilla!B36="B", Planilla!B36="BPAL"), VLOOKUP(E36,FD:FP,13,0)="C"), "SOBREOFERTA",IF(AND(Planilla!B36="A", VLOOKUP(E36,FD:FP,13,0)="A"), "OK",IF(
AND(Planilla!B36="A", OR(VLOOKUP(E36,FD:FP,13,0)="B", VLOOKUP(E36,FD:FP,13,0)="C")), "SOBREOFERTA",""
))))))),"")</f>
        <v/>
      </c>
      <c r="E36" s="8" t="n"/>
      <c r="F36" s="86" t="n"/>
      <c r="G36" s="87" t="n"/>
      <c r="H36" s="88">
        <f>IF(I36="","",IF(AND((I36-G36)&gt;=TIME(0,0,0),(I36-G36)&lt;TIME(0,3,0)),"OK",IF(AND((I36-G36)&gt;=TIME(0,3,0),(I36-G36)&lt;TIME(0,5,0)),"RETRASO DE 3-5 MIN",IF(AND((I36-G36)&gt;=TIME(0,5,0),(I36-G36)&lt;TIME(0,10,0)),"RETRASO DE 5-10 MIN",IF((I36-G36)&gt;=TIME(0,10,0),"RETRASO &gt;10 MIN", IF(AND((G36-I36)&gt;=TIME(0,0,0),(G36-I36)&lt;TIME(0,3,0)),"OK",IF((G36-I36)&gt;=TIME(0,3,0),"ADELANTADO")))))))</f>
        <v/>
      </c>
      <c r="I36" s="89" t="n"/>
      <c r="J36" s="89">
        <f>IF(A36&lt;&gt;"",HLOOKUP(VALUE(TEXT(G36,"h:mm:ss")),IF($C$6="Laboral",$FZ$4:$GX$227,IF($C$6="Sábado",$FZ$231:$GX$452,$FZ$456:$GX$656)),VLOOKUP($C$4,$HF$2:$HH$99,3,0)+IF(C$5="Ida",0,1),1),"")</f>
        <v/>
      </c>
      <c r="K36" s="89">
        <f>IF(A37&lt;&gt;A36,AVERAGEIF(A$9:A36,A36,J$9:J36),"")</f>
        <v/>
      </c>
      <c r="L36" s="89">
        <f>IFERROR(IF(A37&lt;&gt;A36,AVERAGEIF(A$9:A36,A36,S$9:S36),""),"")</f>
        <v/>
      </c>
      <c r="M36" s="89">
        <f>IFERROR(IF(A37&lt;&gt;A36,AVERAGEIF(A$9:A36,A36,T$9:T36),""),"")</f>
        <v/>
      </c>
      <c r="N36" s="89">
        <f t="array" ref="N36">IFERROR(IF(A37&lt;&gt;A36,_xlfn.STDEV.P(IF(A$9:A36=A36,T$9:T36)),""),"")</f>
        <v/>
      </c>
      <c r="O36" s="89">
        <f t="array" ref="O36">IFERROR(IF(A37&lt;&gt;A36,_xlfn.STDEV.P(IF(A$9:A36=A36,S$9:S36)),""),"")</f>
        <v/>
      </c>
      <c r="P36" s="90">
        <f>IFERROR(IF(A36&lt;&gt;A37,MAX((((M36*24*60)/2)*(1+POWER((((N36*24*60) / (M36*24*60) )),2))) + ((M36*24*60 )*-0.1 + (K36*0.015)) +1,(((M36*24*60)/2)*(1+POWER((((N36*24*60) / (M36*24*60 ))),2)))),""),"")</f>
        <v/>
      </c>
      <c r="Q36" s="90">
        <f>IF(AND(O36&lt;&gt;"",L36&lt;&gt;""),IF(A36&lt;&gt;A37,((L36*24*60) / 2 ) * (1 + POWER(((O36*24*60) / (L36*24*60)),2)),""),"")</f>
        <v/>
      </c>
      <c r="R36" s="90">
        <f>IF(Q36&lt;&gt;"",MAX(P36,Q36),"")</f>
        <v/>
      </c>
      <c r="S36" s="89">
        <f>IF(I36&lt;&gt;"H. Sale Real",IF(AND(I37&lt;&gt;"",LEFT(C37,2)&lt;&gt;"Va"),IF(AND(I36&lt;&gt;"",LEFT(C36,2)&lt;&gt;"Va",I36&lt;&gt;"H. Sale Real"),IF(I37-I36&lt;0.208333333333333,I37-I36,""),IF(AND(I35&lt;&gt;"",LEFT(C35,2)&lt;&gt;"Va",I35&lt;&gt;"H. Sale Real"),IF(I37-I35&lt;0.208333333333333,I37-I35,""),IF(AND(I34&lt;&gt;"",LEFT(C34,2)&lt;&gt;"Va",I34&lt;&gt;"H. Sale Real"),IF(I37-I34&lt;0.208333333333333,I37-I34,""),IF(AND(I33&lt;&gt;"",LEFT(C33,2)&lt;&gt;"Va",I33&lt;&gt;"H. Sale Real"),IF(I37-I33&lt;0.208333333333333,I37-I33,""),IF(AND(I32&lt;&gt;"",LEFT(C32,2)&lt;&gt;"Va",I32&lt;&gt;"H. Sale Real"),IF(I37-I32&lt;0.208333333333333,I37-I32,""),""))))),""),"")</f>
        <v/>
      </c>
      <c r="T36" s="89">
        <f>IF(G36&lt;&gt;"H. Sale Real",IF(AND(G37&lt;&gt;"",LEFT(C37,2)&lt;&gt;"Va"),IF(AND(G36&lt;&gt;"",LEFT(C36,2)&lt;&gt;"Va",G36&lt;&gt;"H. Sale Real"),IF(G37-G36&lt;0.208333333333333,G37-G36,""),IF(AND(G35&lt;&gt;"",LEFT(C35,2)&lt;&gt;"Va",G35&lt;&gt;"H. Sale Real"),IF(G37-G35&lt;0.208333333333333,G37-G35,""),IF(AND(G34&lt;&gt;"",LEFT(C34,2)&lt;&gt;"Va",G34&lt;&gt;"H. Sale Real"),IF(G37-G34&lt;0.208333333333333,G37-G34,""),IF(AND(G33&lt;&gt;"",LEFT(C33,2)&lt;&gt;"Va",G33&lt;&gt;"H. Sale Real"),IF(G37-G33&lt;0.208333333333333,G37-G33,""),IF(AND(G32&lt;&gt;"",LEFT(C32,2)&lt;&gt;"Va",G32&lt;&gt;"H. Sale Real"),IF(G37-G32&lt;0.208333333333333,G37-G32,""),""))))),""),"")</f>
        <v/>
      </c>
      <c r="U36" s="87" t="n"/>
      <c r="V36" s="89" t="n"/>
      <c r="W36" s="87" t="n"/>
      <c r="X36" s="89" t="n"/>
      <c r="Y36" s="91" t="n"/>
      <c r="Z36" s="122">
        <f>IF(G36&lt;&gt;"",IF(AND(Z35&lt;&gt;"IE",P36&lt;&gt;0,R36&lt;&gt;""),IF(IFERROR((P36/R36),0) &lt;=1,IFERROR(P36/R36,""),1),""),"")</f>
        <v/>
      </c>
      <c r="AA36" s="93" t="n"/>
      <c r="AB36" s="2" t="n"/>
      <c r="AE36" s="10">
        <f>HOUR(AK36)+1</f>
        <v/>
      </c>
      <c r="AF36" s="7" t="n"/>
      <c r="AG36" s="7" t="n"/>
      <c r="AH36" s="86" t="n"/>
      <c r="AI36" s="8" t="n"/>
      <c r="AJ36" s="86" t="n"/>
      <c r="AK36" s="87" t="n"/>
      <c r="AL36" s="88">
        <f>IF(AM36="","",IF(AND((AM36-AK36)&gt;=TIME(0,0,0),(AM36-AK36)&lt;TIME(0,3,0)),"OK",IF(AND((AM36-AK36)&gt;=TIME(0,3,0),(AM36-AK36)&lt;TIME(0,5,0)),"RETRASO DE 3-5 MIN",IF(AND((AM36-AK36)&gt;=TIME(0,5,0),(AM36-AK36)&lt;TIME(0,10,0)),"RETRASO DE 5-10 MIN",IF((AM36-AK36)&gt;=TIME(0,10,0),"RETRASO &gt;10 MIN", IF(AND((AK36-AM36)&gt;=TIME(0,0,0),(AK36-AM36)&lt;TIME(0,3,0)),"OK",IF((AK36-AM36)&gt;=TIME(0,3,0),"ADELANTADO")))))))</f>
        <v/>
      </c>
      <c r="AM36" s="91" t="n"/>
      <c r="AN36" s="89">
        <f>IF(AE36&lt;&gt;"",HLOOKUP(VALUE(TEXT(AK36,"h:mm:ss")),IF($C$6="Laboral",$FZ$4:$GX$227,IF($C$6="Sábado",$FZ$231:$GX$452,$FZ$456:$GX$656)),VLOOKUP($C$4,$HF$2:$HH$99,3,0)+IF(AG$5="Ida",0,1),1),"")</f>
        <v/>
      </c>
      <c r="AO36" s="89">
        <f>IF(AE37&lt;&gt;AE36,AVERAGEIF(AE$9:AE36,AE36,AN$9:AN36),"")</f>
        <v/>
      </c>
      <c r="AP36" s="89">
        <f>IFERROR(IF(AE37&lt;&gt;AE36,AVERAGEIF(AE$9:AE36,AE36,AW$9:AW36),""),"")</f>
        <v/>
      </c>
      <c r="AQ36" s="89">
        <f>IFERROR(IF(AE37&lt;&gt;AE36,AVERAGEIF(AE$9:AE36,AE36,AX$9:AX36),""),"")</f>
        <v/>
      </c>
      <c r="AR36" s="89">
        <f t="array" ref="AR36">IFERROR(IF(AE37&lt;&gt;AE36,_xlfn.STDEV.P(IF(AE$9:AE36=AE36,AX$9:AX36)),""),"")</f>
        <v/>
      </c>
      <c r="AS36" s="89">
        <f t="array" ref="AS36">IFERROR(IF(AE37&lt;&gt;AE36,_xlfn.STDEV.P(IF(AE$9:AE36=AE36,AW$9:AW36)),""),"")</f>
        <v/>
      </c>
      <c r="AT36" s="90">
        <f>IFERROR(IF(AE36&lt;&gt;AE37,MAX((((AQ36*24*60)/2)*(1+POWER((((AR36*24*60) / (AQ36*24*60) )),2))) + ((AQ36*24*60 )*-0.1 + (AO36*0.015)) +1,(((AQ36*24*60)/2)*(1+POWER((((AR36*24*60) / (AQ36*24*60 ))),2)))),""),"")</f>
        <v/>
      </c>
      <c r="AU36" s="90">
        <f>IF(AND(AS36&lt;&gt;"",AP36&lt;&gt;""),IF(AE36&lt;&gt;AE37,((AP36*24*60) / 2 ) * (1 + POWER(((AS36*24*60) / (AP36*24*60)),2)),""),"")</f>
        <v/>
      </c>
      <c r="AV36" s="90">
        <f>IF(AU36&lt;&gt;"",MAX(AT36,AU36),"")</f>
        <v/>
      </c>
      <c r="AW36" s="89">
        <f>IF(AM36&lt;&gt;"H. Sale Real",IF(AND(AM37&lt;&gt;"",LEFT(AG37,2)&lt;&gt;"Va"),IF(AND(AM36&lt;&gt;"",LEFT(AG36,2)&lt;&gt;"Va",AM36&lt;&gt;"H. Sale Real"),IF(AM37-AM36&lt;0.208333333333333,AM37-AM36,""),IF(AND(AM35&lt;&gt;"",LEFT(AG35,2)&lt;&gt;"Va",AM35&lt;&gt;"H. Sale Real"),IF(AM37-AM35&lt;0.208333333333333,AM37-AM35,""),IF(AND(AM34&lt;&gt;"",LEFT(AG34,2)&lt;&gt;"Va",AM34&lt;&gt;"H. Sale Real"),IF(AM37-AM34&lt;0.208333333333333,AM37-AM34,""),IF(AND(AM33&lt;&gt;"",LEFT(AG33,2)&lt;&gt;"Va",AM33&lt;&gt;"H. Sale Real"),IF(AM37-AM33&lt;0.208333333333333,AM37-AM33,""),IF(AND(AM32&lt;&gt;"",LEFT(AG32,2)&lt;&gt;"Va",AM32&lt;&gt;"H. Sale Real"),IF(AM37-AM32&lt;0.208333333333333,AM37-AM32,""),""))))),""),"")</f>
        <v/>
      </c>
      <c r="AX36" s="89">
        <f>IF(AK36&lt;&gt;"H. Sale Real",IF(AND(AK37&lt;&gt;"",LEFT(AG37,2)&lt;&gt;"Va"),IF(AND(AK36&lt;&gt;"",LEFT(AG36,2)&lt;&gt;"Va",AK36&lt;&gt;"H. Sale Real"),IF(AK37-AK36&lt;0.208333333333333,AK37-AK36,""),IF(AND(AK35&lt;&gt;"",LEFT(AG35,2)&lt;&gt;"Va",AK35&lt;&gt;"H. Sale Real"),IF(AK37-AK35&lt;0.208333333333333,AK37-AK35,""),IF(AND(AK34&lt;&gt;"",LEFT(AG34,2)&lt;&gt;"NC",AK34&lt;&gt;"H. Sale Real"),IF(AK37-AK34&lt;0.208333333333333,AK37-AK34,""),IF(AND(AK33&lt;&gt;"",LEFT(AG33,2)&lt;&gt;"Va",AK33&lt;&gt;"H. Sale Real"),IF(AK37-AK33&lt;0.208333333333333,AK37-AK33,""),IF(AND(AK32&lt;&gt;"",LEFT(AG32,2)&lt;&gt;"Va",AK32&lt;&gt;"H. Sale Real"),IF(AK37-AK32&lt;0.208333333333333,AK37-AK32,""),""))))),""),"")</f>
        <v/>
      </c>
      <c r="AY36" s="87" t="n"/>
      <c r="AZ36" s="89" t="n"/>
      <c r="BA36" s="87" t="n"/>
      <c r="BB36" s="89" t="n"/>
      <c r="BC36" s="91" t="n"/>
      <c r="BD36" s="122">
        <f>IF(AK36&lt;&gt;"",IF(AND(BD35&lt;&gt;"IE",AT36&lt;&gt;0,AV36&lt;&gt;""),IF(IFERROR((AT36/AV36),0) &lt;=1,IFERROR(AT36/AV36,""),1),""),"")</f>
        <v/>
      </c>
      <c r="BE36" s="93" t="n"/>
      <c r="BF36" s="105" t="n"/>
      <c r="BI36" s="8" t="n">
        <v>24</v>
      </c>
      <c r="BJ36" s="8">
        <f>COUNTIFS($A:$A,$BI36,$C:$C,$BI$11)</f>
        <v/>
      </c>
      <c r="BK36" s="8">
        <f>BJ36-COUNTIFS($A:$A,$BI36,$C:$C,$BI$11,$H:$H,"")</f>
        <v/>
      </c>
      <c r="BL36" s="54">
        <f>IFERROR((BK36/BJ36),"")</f>
        <v/>
      </c>
      <c r="BM36" s="8">
        <f>_xlfn.XLOOKUP(BI36,$A:$A,$R:$R,"0",0,-1)</f>
        <v/>
      </c>
      <c r="BN36" s="55">
        <f>_xlfn.XLOOKUP(BI36,$A:$A,$P:$P,"0",0,-1)</f>
        <v/>
      </c>
      <c r="BO36" s="123">
        <f>_xlfn.XLOOKUP(BI36,$A:$A,$Z:$Z,"",0,-1)</f>
        <v/>
      </c>
      <c r="BR36" s="8" t="n">
        <v>24</v>
      </c>
      <c r="BS36" s="8">
        <f>COUNTIFS($AE:$AE,$BR36,$AG:$AG,$BR$11)</f>
        <v/>
      </c>
      <c r="BT36" s="8">
        <f>BS36-COUNTIFS($AE:$AE,$BR36,$AG:$AG,$BR$11,$AL:$AL,"")</f>
        <v/>
      </c>
      <c r="BU36" s="54">
        <f>IFERROR((BT36/BS36),"")</f>
        <v/>
      </c>
      <c r="BV36" s="8">
        <f>_xlfn.XLOOKUP(BR36,$AE:$AE,$AV:$AV,"0",0,-1)</f>
        <v/>
      </c>
      <c r="BW36" s="55">
        <f>_xlfn.XLOOKUP(BR36,$AE:$AE,$AT:$AT,"0",0,-1)</f>
        <v/>
      </c>
      <c r="BX36" s="123">
        <f>_xlfn.XLOOKUP(BR36,$AE:$AE,$BD:$BD,"",0,-1)</f>
        <v/>
      </c>
      <c r="FC36" t="inlineStr">
        <is>
          <t>Diccionario 1</t>
        </is>
      </c>
      <c r="FD36" s="15" t="n">
        <v>1033</v>
      </c>
      <c r="FE36" s="15" t="inlineStr">
        <is>
          <t>D8483453K2PL</t>
        </is>
      </c>
      <c r="FF36" s="15" t="inlineStr">
        <is>
          <t>YV3T7U527KA195572</t>
        </is>
      </c>
      <c r="FG36" s="15" t="inlineStr">
        <is>
          <t>Volvo</t>
        </is>
      </c>
      <c r="FH36" s="15" t="inlineStr">
        <is>
          <t>B8R</t>
        </is>
      </c>
      <c r="FI36" s="15" t="inlineStr">
        <is>
          <t>MARCOPOLO</t>
        </is>
      </c>
      <c r="FJ36" s="15" t="inlineStr">
        <is>
          <t>TORINO</t>
        </is>
      </c>
      <c r="FK36" s="15" t="n">
        <v>2019</v>
      </c>
      <c r="FL36" s="15" t="inlineStr">
        <is>
          <t>B2PAL</t>
        </is>
      </c>
      <c r="FM36" s="15" t="inlineStr">
        <is>
          <t>LOS LIBERTADORES</t>
        </is>
      </c>
      <c r="FN36" s="15" t="inlineStr">
        <is>
          <t>Los Liberadores 6450, Lote 4A</t>
        </is>
      </c>
      <c r="FO36" s="15" t="inlineStr">
        <is>
          <t>Huechuraba</t>
        </is>
      </c>
      <c r="FP36" t="inlineStr">
        <is>
          <t>B</t>
        </is>
      </c>
      <c r="FS36" s="14" t="inlineStr">
        <is>
          <t>3009 / SFVZ-87|</t>
        </is>
      </c>
      <c r="FT36" t="inlineStr">
        <is>
          <t>SFVZ-87|</t>
        </is>
      </c>
      <c r="FU36" t="inlineStr">
        <is>
          <t>SFVZ-87</t>
        </is>
      </c>
      <c r="FV36">
        <f>VLOOKUP(FU36,FD:FL,9,0)</f>
        <v/>
      </c>
      <c r="FZ36" s="51" t="inlineStr">
        <is>
          <t>B30n</t>
        </is>
      </c>
      <c r="GA36" s="117" t="n">
        <v>25.005</v>
      </c>
      <c r="GB36" s="117" t="n">
        <v>24.945</v>
      </c>
      <c r="GC36" s="117" t="n">
        <v>25.08</v>
      </c>
      <c r="GD36" s="117" t="n">
        <v>24.93</v>
      </c>
      <c r="GE36" s="117" t="n">
        <v>23.705</v>
      </c>
      <c r="GF36" s="117" t="n">
        <v>11.215</v>
      </c>
      <c r="GG36" s="117" t="n">
        <v>0</v>
      </c>
      <c r="GH36" s="117" t="n">
        <v>0</v>
      </c>
      <c r="GI36" s="117" t="n">
        <v>0</v>
      </c>
      <c r="GJ36" s="117" t="n">
        <v>0</v>
      </c>
      <c r="GK36" s="117" t="n">
        <v>0</v>
      </c>
      <c r="GL36" s="117" t="n">
        <v>0</v>
      </c>
      <c r="GM36" s="117" t="n">
        <v>0</v>
      </c>
      <c r="GN36" s="117" t="n">
        <v>0</v>
      </c>
      <c r="GO36" s="117" t="n">
        <v>0</v>
      </c>
      <c r="GP36" s="117" t="n">
        <v>0</v>
      </c>
      <c r="GQ36" s="117" t="n">
        <v>0</v>
      </c>
      <c r="GR36" s="117" t="n">
        <v>0</v>
      </c>
      <c r="GS36" s="117" t="n">
        <v>0</v>
      </c>
      <c r="GT36" s="117" t="n">
        <v>0</v>
      </c>
      <c r="GU36" s="117" t="n">
        <v>0</v>
      </c>
      <c r="GV36" s="117" t="n">
        <v>0</v>
      </c>
      <c r="GW36" s="117" t="n">
        <v>11.37</v>
      </c>
      <c r="GX36" s="117" t="n">
        <v>23.035</v>
      </c>
      <c r="HA36" s="35" t="n">
        <v>33</v>
      </c>
      <c r="HB36" s="35" t="n">
        <v>30</v>
      </c>
      <c r="HE36" t="inlineStr">
        <is>
          <t>U8</t>
        </is>
      </c>
      <c r="HF36" s="46" t="inlineStr">
        <is>
          <t>F18</t>
        </is>
      </c>
      <c r="HG36" s="46" t="inlineStr">
        <is>
          <t>F18</t>
        </is>
      </c>
      <c r="HH36" s="14" t="n">
        <v>62</v>
      </c>
      <c r="HL36" t="inlineStr">
        <is>
          <t>OmegaU8</t>
        </is>
      </c>
      <c r="HM36" s="46" t="inlineStr">
        <is>
          <t>F18</t>
        </is>
      </c>
      <c r="HN36" s="26" t="inlineStr">
        <is>
          <t>Juanita</t>
        </is>
      </c>
      <c r="HO36" s="14" t="n">
        <v>938</v>
      </c>
    </row>
    <row r="37" ht="15.5" customHeight="1">
      <c r="A37" s="10">
        <f>HOUR(G37)+1</f>
        <v/>
      </c>
      <c r="B37" s="7" t="n"/>
      <c r="C37" s="7" t="n"/>
      <c r="D37" s="85">
        <f>IFERROR(
IF(AND(OR(Planilla!B37="C",Planilla!B37="c"), VLOOKUP(E37,FD:FP,13,0)="C"), "OK",IF(AND(OR(Planilla!B37="C",Planilla!B37="c"), OR(VLOOKUP(E37,FD:FP,13,0)="B", VLOOKUP(E37,FD:FP,13,0)="A")), "DEFICIT",IF(
AND(OR(Planilla!B37="B", Planilla!B37="BPAL"), VLOOKUP(E37,FD:FP,13,0)="B"), "OK",IF(AND(OR(Planilla!B37="B", Planilla!B37="BPAL"), VLOOKUP(E37,FD:FP,13,0)="A"), "DEFICIT",IF(AND(OR(Planilla!B37="B", Planilla!B37="BPAL"), VLOOKUP(E37,FD:FP,13,0)="C"), "SOBREOFERTA",IF(AND(Planilla!B37="A", VLOOKUP(E37,FD:FP,13,0)="A"), "OK",IF(
AND(Planilla!B37="A", OR(VLOOKUP(E37,FD:FP,13,0)="B", VLOOKUP(E37,FD:FP,13,0)="C")), "SOBREOFERTA",""
))))))),"")</f>
        <v/>
      </c>
      <c r="E37" s="8" t="n"/>
      <c r="F37" s="86" t="n"/>
      <c r="G37" s="87" t="n"/>
      <c r="H37" s="88">
        <f>IF(I37="","",IF(AND((I37-G37)&gt;=TIME(0,0,0),(I37-G37)&lt;TIME(0,3,0)),"OK",IF(AND((I37-G37)&gt;=TIME(0,3,0),(I37-G37)&lt;TIME(0,5,0)),"RETRASO DE 3-5 MIN",IF(AND((I37-G37)&gt;=TIME(0,5,0),(I37-G37)&lt;TIME(0,10,0)),"RETRASO DE 5-10 MIN",IF((I37-G37)&gt;=TIME(0,10,0),"RETRASO &gt;10 MIN", IF(AND((G37-I37)&gt;=TIME(0,0,0),(G37-I37)&lt;TIME(0,3,0)),"OK",IF((G37-I37)&gt;=TIME(0,3,0),"ADELANTADO")))))))</f>
        <v/>
      </c>
      <c r="I37" s="89" t="n"/>
      <c r="J37" s="89">
        <f>IF(A37&lt;&gt;"",HLOOKUP(VALUE(TEXT(G37,"h:mm:ss")),IF($C$6="Laboral",$FZ$4:$GX$227,IF($C$6="Sábado",$FZ$231:$GX$452,$FZ$456:$GX$656)),VLOOKUP($C$4,$HF$2:$HH$99,3,0)+IF(C$5="Ida",0,1),1),"")</f>
        <v/>
      </c>
      <c r="K37" s="89">
        <f>IF(A38&lt;&gt;A37,AVERAGEIF(A$9:A37,A37,J$9:J37),"")</f>
        <v/>
      </c>
      <c r="L37" s="89">
        <f>IFERROR(IF(A38&lt;&gt;A37,AVERAGEIF(A$9:A37,A37,S$9:S37),""),"")</f>
        <v/>
      </c>
      <c r="M37" s="89">
        <f>IFERROR(IF(A38&lt;&gt;A37,AVERAGEIF(A$9:A37,A37,T$9:T37),""),"")</f>
        <v/>
      </c>
      <c r="N37" s="89">
        <f t="array" ref="N37">IFERROR(IF(A38&lt;&gt;A37,_xlfn.STDEV.P(IF(A$9:A37=A37,T$9:T37)),""),"")</f>
        <v/>
      </c>
      <c r="O37" s="89">
        <f t="array" ref="O37">IFERROR(IF(A38&lt;&gt;A37,_xlfn.STDEV.P(IF(A$9:A37=A37,S$9:S37)),""),"")</f>
        <v/>
      </c>
      <c r="P37" s="90">
        <f>IFERROR(IF(A37&lt;&gt;A38,MAX((((M37*24*60)/2)*(1+POWER((((N37*24*60) / (M37*24*60) )),2))) + ((M37*24*60 )*-0.1 + (K37*0.015)) +1,(((M37*24*60)/2)*(1+POWER((((N37*24*60) / (M37*24*60 ))),2)))),""),"")</f>
        <v/>
      </c>
      <c r="Q37" s="90">
        <f>IF(AND(O37&lt;&gt;"",L37&lt;&gt;""),IF(A37&lt;&gt;A38,((L37*24*60) / 2 ) * (1 + POWER(((O37*24*60) / (L37*24*60)),2)),""),"")</f>
        <v/>
      </c>
      <c r="R37" s="90">
        <f>IF(Q37&lt;&gt;"",MAX(P37,Q37),"")</f>
        <v/>
      </c>
      <c r="S37" s="89">
        <f>IF(I37&lt;&gt;"H. Sale Real",IF(AND(I38&lt;&gt;"",LEFT(C38,2)&lt;&gt;"Va"),IF(AND(I37&lt;&gt;"",LEFT(C37,2)&lt;&gt;"Va",I37&lt;&gt;"H. Sale Real"),IF(I38-I37&lt;0.208333333333333,I38-I37,""),IF(AND(I36&lt;&gt;"",LEFT(C36,2)&lt;&gt;"Va",I36&lt;&gt;"H. Sale Real"),IF(I38-I36&lt;0.208333333333333,I38-I36,""),IF(AND(I35&lt;&gt;"",LEFT(C35,2)&lt;&gt;"Va",I35&lt;&gt;"H. Sale Real"),IF(I38-I35&lt;0.208333333333333,I38-I35,""),IF(AND(I34&lt;&gt;"",LEFT(C34,2)&lt;&gt;"Va",I34&lt;&gt;"H. Sale Real"),IF(I38-I34&lt;0.208333333333333,I38-I34,""),IF(AND(I33&lt;&gt;"",LEFT(C33,2)&lt;&gt;"Va",I33&lt;&gt;"H. Sale Real"),IF(I38-I33&lt;0.208333333333333,I38-I33,""),""))))),""),"")</f>
        <v/>
      </c>
      <c r="T37" s="89">
        <f>IF(G37&lt;&gt;"H. Sale Real",IF(AND(G38&lt;&gt;"",LEFT(C38,2)&lt;&gt;"Va"),IF(AND(G37&lt;&gt;"",LEFT(C37,2)&lt;&gt;"Va",G37&lt;&gt;"H. Sale Real"),IF(G38-G37&lt;0.208333333333333,G38-G37,""),IF(AND(G36&lt;&gt;"",LEFT(C36,2)&lt;&gt;"Va",G36&lt;&gt;"H. Sale Real"),IF(G38-G36&lt;0.208333333333333,G38-G36,""),IF(AND(G35&lt;&gt;"",LEFT(C35,2)&lt;&gt;"Va",G35&lt;&gt;"H. Sale Real"),IF(G38-G35&lt;0.208333333333333,G38-G35,""),IF(AND(G34&lt;&gt;"",LEFT(C34,2)&lt;&gt;"Va",G34&lt;&gt;"H. Sale Real"),IF(G38-G34&lt;0.208333333333333,G38-G34,""),IF(AND(G33&lt;&gt;"",LEFT(C33,2)&lt;&gt;"Va",G33&lt;&gt;"H. Sale Real"),IF(G38-G33&lt;0.208333333333333,G38-G33,""),""))))),""),"")</f>
        <v/>
      </c>
      <c r="U37" s="87" t="n"/>
      <c r="V37" s="89" t="n"/>
      <c r="W37" s="87" t="n"/>
      <c r="X37" s="89" t="n"/>
      <c r="Y37" s="91" t="n"/>
      <c r="Z37" s="122">
        <f>IF(G37&lt;&gt;"",IF(AND(Z36&lt;&gt;"IE",P37&lt;&gt;0,R37&lt;&gt;""),IF(IFERROR((P37/R37),0) &lt;=1,IFERROR(P37/R37,""),1),""),"")</f>
        <v/>
      </c>
      <c r="AA37" s="93" t="n"/>
      <c r="AB37" s="2" t="n"/>
      <c r="AE37" s="10">
        <f>HOUR(AK37)+1</f>
        <v/>
      </c>
      <c r="AF37" s="7" t="n"/>
      <c r="AG37" s="7" t="n"/>
      <c r="AH37" s="86" t="n"/>
      <c r="AI37" s="8" t="n"/>
      <c r="AJ37" s="86" t="n"/>
      <c r="AK37" s="87" t="n"/>
      <c r="AL37" s="88">
        <f>IF(AM37="","",IF(AND((AM37-AK37)&gt;=TIME(0,0,0),(AM37-AK37)&lt;TIME(0,3,0)),"OK",IF(AND((AM37-AK37)&gt;=TIME(0,3,0),(AM37-AK37)&lt;TIME(0,5,0)),"RETRASO DE 3-5 MIN",IF(AND((AM37-AK37)&gt;=TIME(0,5,0),(AM37-AK37)&lt;TIME(0,10,0)),"RETRASO DE 5-10 MIN",IF((AM37-AK37)&gt;=TIME(0,10,0),"RETRASO &gt;10 MIN", IF(AND((AK37-AM37)&gt;=TIME(0,0,0),(AK37-AM37)&lt;TIME(0,3,0)),"OK",IF((AK37-AM37)&gt;=TIME(0,3,0),"ADELANTADO")))))))</f>
        <v/>
      </c>
      <c r="AM37" s="91" t="n"/>
      <c r="AN37" s="89">
        <f>IF(AE37&lt;&gt;"",HLOOKUP(VALUE(TEXT(AK37,"h:mm:ss")),IF($C$6="Laboral",$FZ$4:$GX$227,IF($C$6="Sábado",$FZ$231:$GX$452,$FZ$456:$GX$656)),VLOOKUP($C$4,$HF$2:$HH$99,3,0)+IF(AG$5="Ida",0,1),1),"")</f>
        <v/>
      </c>
      <c r="AO37" s="89">
        <f>IF(AE38&lt;&gt;AE37,AVERAGEIF(AE$9:AE37,AE37,AN$9:AN37),"")</f>
        <v/>
      </c>
      <c r="AP37" s="89">
        <f>IFERROR(IF(AE38&lt;&gt;AE37,AVERAGEIF(AE$9:AE37,AE37,AW$9:AW37),""),"")</f>
        <v/>
      </c>
      <c r="AQ37" s="89">
        <f>IFERROR(IF(AE38&lt;&gt;AE37,AVERAGEIF(AE$9:AE37,AE37,AX$9:AX37),""),"")</f>
        <v/>
      </c>
      <c r="AR37" s="89">
        <f t="array" ref="AR37">IFERROR(IF(AE38&lt;&gt;AE37,_xlfn.STDEV.P(IF(AE$9:AE37=AE37,AX$9:AX37)),""),"")</f>
        <v/>
      </c>
      <c r="AS37" s="89">
        <f t="array" ref="AS37">IFERROR(IF(AE38&lt;&gt;AE37,_xlfn.STDEV.P(IF(AE$9:AE37=AE37,AW$9:AW37)),""),"")</f>
        <v/>
      </c>
      <c r="AT37" s="90">
        <f>IFERROR(IF(AE37&lt;&gt;AE38,MAX((((AQ37*24*60)/2)*(1+POWER((((AR37*24*60) / (AQ37*24*60) )),2))) + ((AQ37*24*60 )*-0.1 + (AO37*0.015)) +1,(((AQ37*24*60)/2)*(1+POWER((((AR37*24*60) / (AQ37*24*60 ))),2)))),""),"")</f>
        <v/>
      </c>
      <c r="AU37" s="90">
        <f>IF(AND(AS37&lt;&gt;"",AP37&lt;&gt;""),IF(AE37&lt;&gt;AE38,((AP37*24*60) / 2 ) * (1 + POWER(((AS37*24*60) / (AP37*24*60)),2)),""),"")</f>
        <v/>
      </c>
      <c r="AV37" s="90">
        <f>IF(AU37&lt;&gt;"",MAX(AT37,AU37),"")</f>
        <v/>
      </c>
      <c r="AW37" s="89">
        <f>IF(AM37&lt;&gt;"H. Sale Real",IF(AND(AM38&lt;&gt;"",LEFT(AG38,2)&lt;&gt;"Va"),IF(AND(AM37&lt;&gt;"",LEFT(AG37,2)&lt;&gt;"Va",AM37&lt;&gt;"H. Sale Real"),IF(AM38-AM37&lt;0.208333333333333,AM38-AM37,""),IF(AND(AM36&lt;&gt;"",LEFT(AG36,2)&lt;&gt;"Va",AM36&lt;&gt;"H. Sale Real"),IF(AM38-AM36&lt;0.208333333333333,AM38-AM36,""),IF(AND(AM35&lt;&gt;"",LEFT(AG35,2)&lt;&gt;"Va",AM35&lt;&gt;"H. Sale Real"),IF(AM38-AM35&lt;0.208333333333333,AM38-AM35,""),IF(AND(AM34&lt;&gt;"",LEFT(AG34,2)&lt;&gt;"Va",AM34&lt;&gt;"H. Sale Real"),IF(AM38-AM34&lt;0.208333333333333,AM38-AM34,""),IF(AND(AM33&lt;&gt;"",LEFT(AG33,2)&lt;&gt;"Va",AM33&lt;&gt;"H. Sale Real"),IF(AM38-AM33&lt;0.208333333333333,AM38-AM33,""),""))))),""),"")</f>
        <v/>
      </c>
      <c r="AX37" s="89">
        <f>IF(AK37&lt;&gt;"H. Sale Real",IF(AND(AK38&lt;&gt;"",LEFT(AG38,2)&lt;&gt;"Va"),IF(AND(AK37&lt;&gt;"",LEFT(AG37,2)&lt;&gt;"Va",AK37&lt;&gt;"H. Sale Real"),IF(AK38-AK37&lt;0.208333333333333,AK38-AK37,""),IF(AND(AK36&lt;&gt;"",LEFT(AG36,2)&lt;&gt;"Va",AK36&lt;&gt;"H. Sale Real"),IF(AK38-AK36&lt;0.208333333333333,AK38-AK36,""),IF(AND(AK35&lt;&gt;"",LEFT(AG35,2)&lt;&gt;"NC",AK35&lt;&gt;"H. Sale Real"),IF(AK38-AK35&lt;0.208333333333333,AK38-AK35,""),IF(AND(AK34&lt;&gt;"",LEFT(AG34,2)&lt;&gt;"Va",AK34&lt;&gt;"H. Sale Real"),IF(AK38-AK34&lt;0.208333333333333,AK38-AK34,""),IF(AND(AK33&lt;&gt;"",LEFT(AG33,2)&lt;&gt;"Va",AK33&lt;&gt;"H. Sale Real"),IF(AK38-AK33&lt;0.208333333333333,AK38-AK33,""),""))))),""),"")</f>
        <v/>
      </c>
      <c r="AY37" s="87" t="n"/>
      <c r="AZ37" s="89" t="n"/>
      <c r="BA37" s="87" t="n"/>
      <c r="BB37" s="89" t="n"/>
      <c r="BC37" s="91" t="n"/>
      <c r="BD37" s="122">
        <f>IF(AK37&lt;&gt;"",IF(AND(BD36&lt;&gt;"IE",AT37&lt;&gt;0,AV37&lt;&gt;""),IF(IFERROR((AT37/AV37),0) &lt;=1,IFERROR(AT37/AV37,""),1),""),"")</f>
        <v/>
      </c>
      <c r="BE37" s="93" t="n"/>
      <c r="BF37" s="105" t="n"/>
      <c r="FC37" t="inlineStr">
        <is>
          <t>Diccionario 1</t>
        </is>
      </c>
      <c r="FD37" s="15" t="n">
        <v>1034</v>
      </c>
      <c r="FE37" s="15" t="inlineStr">
        <is>
          <t>D8483890K2PL</t>
        </is>
      </c>
      <c r="FF37" s="15" t="inlineStr">
        <is>
          <t>YV3T7U520KA195574</t>
        </is>
      </c>
      <c r="FG37" s="15" t="inlineStr">
        <is>
          <t>Volvo</t>
        </is>
      </c>
      <c r="FH37" s="15" t="inlineStr">
        <is>
          <t>B8R</t>
        </is>
      </c>
      <c r="FI37" s="15" t="inlineStr">
        <is>
          <t>MARCOPOLO</t>
        </is>
      </c>
      <c r="FJ37" s="15" t="inlineStr">
        <is>
          <t>TORINO</t>
        </is>
      </c>
      <c r="FK37" s="15" t="n">
        <v>2019</v>
      </c>
      <c r="FL37" s="15" t="inlineStr">
        <is>
          <t>B2PAL</t>
        </is>
      </c>
      <c r="FM37" s="15" t="inlineStr">
        <is>
          <t>LOS LIBERTADORES</t>
        </is>
      </c>
      <c r="FN37" s="15" t="inlineStr">
        <is>
          <t>Los Liberadores 6450, Lote 4A</t>
        </is>
      </c>
      <c r="FO37" s="15" t="inlineStr">
        <is>
          <t>Huechuraba</t>
        </is>
      </c>
      <c r="FP37" t="inlineStr">
        <is>
          <t>B</t>
        </is>
      </c>
      <c r="FS37" s="14" t="inlineStr">
        <is>
          <t>3009 / SFVZ-87|</t>
        </is>
      </c>
      <c r="FT37" t="inlineStr">
        <is>
          <t>SFVZ-87|</t>
        </is>
      </c>
      <c r="FU37" t="inlineStr">
        <is>
          <t>SFVZ-87</t>
        </is>
      </c>
      <c r="FV37">
        <f>VLOOKUP(FU37,FD:FL,9,0)</f>
        <v/>
      </c>
      <c r="FZ37" s="51" t="inlineStr">
        <is>
          <t>B32</t>
        </is>
      </c>
      <c r="GA37" s="117" t="n">
        <v>0</v>
      </c>
      <c r="GB37" s="117" t="n">
        <v>0</v>
      </c>
      <c r="GC37" s="117" t="n">
        <v>0</v>
      </c>
      <c r="GD37" s="117" t="n">
        <v>0</v>
      </c>
      <c r="GE37" s="117" t="n">
        <v>0</v>
      </c>
      <c r="GF37" s="117" t="n">
        <v>10.685</v>
      </c>
      <c r="GG37" s="117" t="n">
        <v>16.86</v>
      </c>
      <c r="GH37" s="117" t="n">
        <v>12.385</v>
      </c>
      <c r="GI37" s="117" t="n">
        <v>15.665</v>
      </c>
      <c r="GJ37" s="117" t="n">
        <v>17.7</v>
      </c>
      <c r="GK37" s="117" t="n">
        <v>17.755</v>
      </c>
      <c r="GL37" s="117" t="n">
        <v>17.5</v>
      </c>
      <c r="GM37" s="117" t="n">
        <v>16.4</v>
      </c>
      <c r="GN37" s="117" t="n">
        <v>16.58</v>
      </c>
      <c r="GO37" s="117" t="n">
        <v>16.88</v>
      </c>
      <c r="GP37" s="117" t="n">
        <v>15.705</v>
      </c>
      <c r="GQ37" s="117" t="n">
        <v>14.925</v>
      </c>
      <c r="GR37" s="117" t="n">
        <v>13.975</v>
      </c>
      <c r="GS37" s="117" t="n">
        <v>13.42</v>
      </c>
      <c r="GT37" s="117" t="n">
        <v>16.03</v>
      </c>
      <c r="GU37" s="117" t="n">
        <v>19.13</v>
      </c>
      <c r="GV37" s="117" t="n">
        <v>21.045</v>
      </c>
      <c r="GW37" s="117" t="n">
        <v>22.675</v>
      </c>
      <c r="GX37" s="117" t="n">
        <v>12.13</v>
      </c>
      <c r="HA37" s="35" t="n">
        <v>34</v>
      </c>
      <c r="HB37" s="35" t="n">
        <v>31</v>
      </c>
      <c r="HE37" t="inlineStr">
        <is>
          <t>U8</t>
        </is>
      </c>
      <c r="HF37" s="46" t="inlineStr">
        <is>
          <t>F20</t>
        </is>
      </c>
      <c r="HG37" s="46" t="inlineStr">
        <is>
          <t>F20</t>
        </is>
      </c>
      <c r="HH37" s="14" t="n">
        <v>64</v>
      </c>
      <c r="HL37" t="inlineStr">
        <is>
          <t>OmegaU8</t>
        </is>
      </c>
      <c r="HM37" s="46" t="inlineStr">
        <is>
          <t>F20</t>
        </is>
      </c>
      <c r="HN37" s="26" t="inlineStr">
        <is>
          <t>Pie Andino</t>
        </is>
      </c>
      <c r="HO37" s="14" t="n">
        <v>940</v>
      </c>
    </row>
    <row r="38" ht="15.5" customHeight="1">
      <c r="A38" s="10">
        <f>HOUR(G38)+1</f>
        <v/>
      </c>
      <c r="B38" s="7" t="n"/>
      <c r="C38" s="7" t="n"/>
      <c r="D38" s="85">
        <f>IFERROR(
IF(AND(OR(Planilla!B38="C",Planilla!B38="c"), VLOOKUP(E38,FD:FP,13,0)="C"), "OK",IF(AND(OR(Planilla!B38="C",Planilla!B38="c"), OR(VLOOKUP(E38,FD:FP,13,0)="B", VLOOKUP(E38,FD:FP,13,0)="A")), "DEFICIT",IF(
AND(OR(Planilla!B38="B", Planilla!B38="BPAL"), VLOOKUP(E38,FD:FP,13,0)="B"), "OK",IF(AND(OR(Planilla!B38="B", Planilla!B38="BPAL"), VLOOKUP(E38,FD:FP,13,0)="A"), "DEFICIT",IF(AND(OR(Planilla!B38="B", Planilla!B38="BPAL"), VLOOKUP(E38,FD:FP,13,0)="C"), "SOBREOFERTA",IF(AND(Planilla!B38="A", VLOOKUP(E38,FD:FP,13,0)="A"), "OK",IF(
AND(Planilla!B38="A", OR(VLOOKUP(E38,FD:FP,13,0)="B", VLOOKUP(E38,FD:FP,13,0)="C")), "SOBREOFERTA",""
))))))),"")</f>
        <v/>
      </c>
      <c r="E38" s="8" t="n"/>
      <c r="F38" s="86" t="n"/>
      <c r="G38" s="87" t="n"/>
      <c r="H38" s="88">
        <f>IF(I38="","",IF(AND((I38-G38)&gt;=TIME(0,0,0),(I38-G38)&lt;TIME(0,3,0)),"OK",IF(AND((I38-G38)&gt;=TIME(0,3,0),(I38-G38)&lt;TIME(0,5,0)),"RETRASO DE 3-5 MIN",IF(AND((I38-G38)&gt;=TIME(0,5,0),(I38-G38)&lt;TIME(0,10,0)),"RETRASO DE 5-10 MIN",IF((I38-G38)&gt;=TIME(0,10,0),"RETRASO &gt;10 MIN", IF(AND((G38-I38)&gt;=TIME(0,0,0),(G38-I38)&lt;TIME(0,3,0)),"OK",IF((G38-I38)&gt;=TIME(0,3,0),"ADELANTADO")))))))</f>
        <v/>
      </c>
      <c r="I38" s="89" t="n"/>
      <c r="J38" s="89">
        <f>IF(A38&lt;&gt;"",HLOOKUP(VALUE(TEXT(G38,"h:mm:ss")),IF($C$6="Laboral",$FZ$4:$GX$227,IF($C$6="Sábado",$FZ$231:$GX$452,$FZ$456:$GX$656)),VLOOKUP($C$4,$HF$2:$HH$99,3,0)+IF(C$5="Ida",0,1),1),"")</f>
        <v/>
      </c>
      <c r="K38" s="89">
        <f>IF(A39&lt;&gt;A38,AVERAGEIF(A$9:A38,A38,J$9:J38),"")</f>
        <v/>
      </c>
      <c r="L38" s="89">
        <f>IFERROR(IF(A39&lt;&gt;A38,AVERAGEIF(A$9:A38,A38,S$9:S38),""),"")</f>
        <v/>
      </c>
      <c r="M38" s="89">
        <f>IFERROR(IF(A39&lt;&gt;A38,AVERAGEIF(A$9:A38,A38,T$9:T38),""),"")</f>
        <v/>
      </c>
      <c r="N38" s="89">
        <f t="array" ref="N38">IFERROR(IF(A39&lt;&gt;A38,_xlfn.STDEV.P(IF(A$9:A38=A38,T$9:T38)),""),"")</f>
        <v/>
      </c>
      <c r="O38" s="89">
        <f t="array" ref="O38">IFERROR(IF(A39&lt;&gt;A38,_xlfn.STDEV.P(IF(A$9:A38=A38,S$9:S38)),""),"")</f>
        <v/>
      </c>
      <c r="P38" s="90">
        <f>IFERROR(IF(A38&lt;&gt;A39,MAX((((M38*24*60)/2)*(1+POWER((((N38*24*60) / (M38*24*60) )),2))) + ((M38*24*60 )*-0.1 + (K38*0.015)) +1,(((M38*24*60)/2)*(1+POWER((((N38*24*60) / (M38*24*60 ))),2)))),""),"")</f>
        <v/>
      </c>
      <c r="Q38" s="90">
        <f>IF(AND(O38&lt;&gt;"",L38&lt;&gt;""),IF(A38&lt;&gt;A39,((L38*24*60) / 2 ) * (1 + POWER(((O38*24*60) / (L38*24*60)),2)),""),"")</f>
        <v/>
      </c>
      <c r="R38" s="90">
        <f>IF(Q38&lt;&gt;"",MAX(P38,Q38),"")</f>
        <v/>
      </c>
      <c r="S38" s="89">
        <f>IF(I38&lt;&gt;"H. Sale Real",IF(AND(I39&lt;&gt;"",LEFT(C39,2)&lt;&gt;"Va"),IF(AND(I38&lt;&gt;"",LEFT(C38,2)&lt;&gt;"Va",I38&lt;&gt;"H. Sale Real"),IF(I39-I38&lt;0.208333333333333,I39-I38,""),IF(AND(I37&lt;&gt;"",LEFT(C37,2)&lt;&gt;"Va",I37&lt;&gt;"H. Sale Real"),IF(I39-I37&lt;0.208333333333333,I39-I37,""),IF(AND(I36&lt;&gt;"",LEFT(C36,2)&lt;&gt;"Va",I36&lt;&gt;"H. Sale Real"),IF(I39-I36&lt;0.208333333333333,I39-I36,""),IF(AND(I35&lt;&gt;"",LEFT(C35,2)&lt;&gt;"Va",I35&lt;&gt;"H. Sale Real"),IF(I39-I35&lt;0.208333333333333,I39-I35,""),IF(AND(I34&lt;&gt;"",LEFT(C34,2)&lt;&gt;"Va",I34&lt;&gt;"H. Sale Real"),IF(I39-I34&lt;0.208333333333333,I39-I34,""),""))))),""),"")</f>
        <v/>
      </c>
      <c r="T38" s="89">
        <f>IF(G38&lt;&gt;"H. Sale Real",IF(AND(G39&lt;&gt;"",LEFT(C39,2)&lt;&gt;"Va"),IF(AND(G38&lt;&gt;"",LEFT(C38,2)&lt;&gt;"Va",G38&lt;&gt;"H. Sale Real"),IF(G39-G38&lt;0.208333333333333,G39-G38,""),IF(AND(G37&lt;&gt;"",LEFT(C37,2)&lt;&gt;"Va",G37&lt;&gt;"H. Sale Real"),IF(G39-G37&lt;0.208333333333333,G39-G37,""),IF(AND(G36&lt;&gt;"",LEFT(C36,2)&lt;&gt;"Va",G36&lt;&gt;"H. Sale Real"),IF(G39-G36&lt;0.208333333333333,G39-G36,""),IF(AND(G35&lt;&gt;"",LEFT(C35,2)&lt;&gt;"Va",G35&lt;&gt;"H. Sale Real"),IF(G39-G35&lt;0.208333333333333,G39-G35,""),IF(AND(G34&lt;&gt;"",LEFT(C34,2)&lt;&gt;"Va",G34&lt;&gt;"H. Sale Real"),IF(G39-G34&lt;0.208333333333333,G39-G34,""),""))))),""),"")</f>
        <v/>
      </c>
      <c r="U38" s="87" t="n"/>
      <c r="V38" s="89" t="n"/>
      <c r="W38" s="87" t="n"/>
      <c r="X38" s="89" t="n"/>
      <c r="Y38" s="91" t="n"/>
      <c r="Z38" s="122">
        <f>IF(G38&lt;&gt;"",IF(AND(Z37&lt;&gt;"IE",P38&lt;&gt;0,R38&lt;&gt;""),IF(IFERROR((P38/R38),0) &lt;=1,IFERROR(P38/R38,""),1),""),"")</f>
        <v/>
      </c>
      <c r="AA38" s="93" t="n"/>
      <c r="AB38" s="2" t="n"/>
      <c r="AE38" s="10">
        <f>HOUR(AK38)+1</f>
        <v/>
      </c>
      <c r="AF38" s="7" t="n"/>
      <c r="AG38" s="7" t="n"/>
      <c r="AH38" s="86" t="n"/>
      <c r="AI38" s="8" t="n"/>
      <c r="AJ38" s="86" t="n"/>
      <c r="AK38" s="87" t="n"/>
      <c r="AL38" s="88">
        <f>IF(AM38="","",IF(AND((AM38-AK38)&gt;=TIME(0,0,0),(AM38-AK38)&lt;TIME(0,3,0)),"OK",IF(AND((AM38-AK38)&gt;=TIME(0,3,0),(AM38-AK38)&lt;TIME(0,5,0)),"RETRASO DE 3-5 MIN",IF(AND((AM38-AK38)&gt;=TIME(0,5,0),(AM38-AK38)&lt;TIME(0,10,0)),"RETRASO DE 5-10 MIN",IF((AM38-AK38)&gt;=TIME(0,10,0),"RETRASO &gt;10 MIN", IF(AND((AK38-AM38)&gt;=TIME(0,0,0),(AK38-AM38)&lt;TIME(0,3,0)),"OK",IF((AK38-AM38)&gt;=TIME(0,3,0),"ADELANTADO")))))))</f>
        <v/>
      </c>
      <c r="AM38" s="91" t="n"/>
      <c r="AN38" s="89">
        <f>IF(AE38&lt;&gt;"",HLOOKUP(VALUE(TEXT(AK38,"h:mm:ss")),IF($C$6="Laboral",$FZ$4:$GX$227,IF($C$6="Sábado",$FZ$231:$GX$452,$FZ$456:$GX$656)),VLOOKUP($C$4,$HF$2:$HH$99,3,0)+IF(AG$5="Ida",0,1),1),"")</f>
        <v/>
      </c>
      <c r="AO38" s="89">
        <f>IF(AE39&lt;&gt;AE38,AVERAGEIF(AE$9:AE38,AE38,AN$9:AN38),"")</f>
        <v/>
      </c>
      <c r="AP38" s="89">
        <f>IFERROR(IF(AE39&lt;&gt;AE38,AVERAGEIF(AE$9:AE38,AE38,AW$9:AW38),""),"")</f>
        <v/>
      </c>
      <c r="AQ38" s="89">
        <f>IFERROR(IF(AE39&lt;&gt;AE38,AVERAGEIF(AE$9:AE38,AE38,AX$9:AX38),""),"")</f>
        <v/>
      </c>
      <c r="AR38" s="89">
        <f t="array" ref="AR38">IFERROR(IF(AE39&lt;&gt;AE38,_xlfn.STDEV.P(IF(AE$9:AE38=AE38,AX$9:AX38)),""),"")</f>
        <v/>
      </c>
      <c r="AS38" s="89">
        <f t="array" ref="AS38">IFERROR(IF(AE39&lt;&gt;AE38,_xlfn.STDEV.P(IF(AE$9:AE38=AE38,AW$9:AW38)),""),"")</f>
        <v/>
      </c>
      <c r="AT38" s="90">
        <f>IFERROR(IF(AE38&lt;&gt;AE39,MAX((((AQ38*24*60)/2)*(1+POWER((((AR38*24*60) / (AQ38*24*60) )),2))) + ((AQ38*24*60 )*-0.1 + (AO38*0.015)) +1,(((AQ38*24*60)/2)*(1+POWER((((AR38*24*60) / (AQ38*24*60 ))),2)))),""),"")</f>
        <v/>
      </c>
      <c r="AU38" s="90">
        <f>IF(AND(AS38&lt;&gt;"",AP38&lt;&gt;""),IF(AE38&lt;&gt;AE39,((AP38*24*60) / 2 ) * (1 + POWER(((AS38*24*60) / (AP38*24*60)),2)),""),"")</f>
        <v/>
      </c>
      <c r="AV38" s="90">
        <f>IF(AU38&lt;&gt;"",MAX(AT38,AU38),"")</f>
        <v/>
      </c>
      <c r="AW38" s="89">
        <f>IF(AM38&lt;&gt;"H. Sale Real",IF(AND(AM39&lt;&gt;"",LEFT(AG39,2)&lt;&gt;"Va"),IF(AND(AM38&lt;&gt;"",LEFT(AG38,2)&lt;&gt;"Va",AM38&lt;&gt;"H. Sale Real"),IF(AM39-AM38&lt;0.208333333333333,AM39-AM38,""),IF(AND(AM37&lt;&gt;"",LEFT(AG37,2)&lt;&gt;"Va",AM37&lt;&gt;"H. Sale Real"),IF(AM39-AM37&lt;0.208333333333333,AM39-AM37,""),IF(AND(AM36&lt;&gt;"",LEFT(AG36,2)&lt;&gt;"Va",AM36&lt;&gt;"H. Sale Real"),IF(AM39-AM36&lt;0.208333333333333,AM39-AM36,""),IF(AND(AM35&lt;&gt;"",LEFT(AG35,2)&lt;&gt;"Va",AM35&lt;&gt;"H. Sale Real"),IF(AM39-AM35&lt;0.208333333333333,AM39-AM35,""),IF(AND(AM34&lt;&gt;"",LEFT(AG34,2)&lt;&gt;"Va",AM34&lt;&gt;"H. Sale Real"),IF(AM39-AM34&lt;0.208333333333333,AM39-AM34,""),""))))),""),"")</f>
        <v/>
      </c>
      <c r="AX38" s="89">
        <f>IF(AK38&lt;&gt;"H. Sale Real",IF(AND(AK39&lt;&gt;"",LEFT(AG39,2)&lt;&gt;"Va"),IF(AND(AK38&lt;&gt;"",LEFT(AG38,2)&lt;&gt;"Va",AK38&lt;&gt;"H. Sale Real"),IF(AK39-AK38&lt;0.208333333333333,AK39-AK38,""),IF(AND(AK37&lt;&gt;"",LEFT(AG37,2)&lt;&gt;"Va",AK37&lt;&gt;"H. Sale Real"),IF(AK39-AK37&lt;0.208333333333333,AK39-AK37,""),IF(AND(AK36&lt;&gt;"",LEFT(AG36,2)&lt;&gt;"NC",AK36&lt;&gt;"H. Sale Real"),IF(AK39-AK36&lt;0.208333333333333,AK39-AK36,""),IF(AND(AK35&lt;&gt;"",LEFT(AG35,2)&lt;&gt;"Va",AK35&lt;&gt;"H. Sale Real"),IF(AK39-AK35&lt;0.208333333333333,AK39-AK35,""),IF(AND(AK34&lt;&gt;"",LEFT(AG34,2)&lt;&gt;"Va",AK34&lt;&gt;"H. Sale Real"),IF(AK39-AK34&lt;0.208333333333333,AK39-AK34,""),""))))),""),"")</f>
        <v/>
      </c>
      <c r="AY38" s="87" t="n"/>
      <c r="AZ38" s="89" t="n"/>
      <c r="BA38" s="87" t="n"/>
      <c r="BB38" s="89" t="n"/>
      <c r="BC38" s="91" t="n"/>
      <c r="BD38" s="122">
        <f>IF(AK38&lt;&gt;"",IF(AND(BD37&lt;&gt;"IE",AT38&lt;&gt;0,AV38&lt;&gt;""),IF(IFERROR((AT38/AV38),0) &lt;=1,IFERROR(AT38/AV38,""),1),""),"")</f>
        <v/>
      </c>
      <c r="BE38" s="93" t="n"/>
      <c r="BF38" s="105" t="n"/>
      <c r="FC38" t="inlineStr">
        <is>
          <t>Diccionario 1</t>
        </is>
      </c>
      <c r="FD38" s="15" t="n">
        <v>1035</v>
      </c>
      <c r="FE38" s="15" t="inlineStr">
        <is>
          <t>D8478276K2PL</t>
        </is>
      </c>
      <c r="FF38" s="15" t="inlineStr">
        <is>
          <t>YV3T7U522KA195141</t>
        </is>
      </c>
      <c r="FG38" s="15" t="inlineStr">
        <is>
          <t>Volvo</t>
        </is>
      </c>
      <c r="FH38" s="15" t="inlineStr">
        <is>
          <t>B8R</t>
        </is>
      </c>
      <c r="FI38" s="15" t="inlineStr">
        <is>
          <t>MARCOPOLO</t>
        </is>
      </c>
      <c r="FJ38" s="15" t="inlineStr">
        <is>
          <t>TORINO</t>
        </is>
      </c>
      <c r="FK38" s="15" t="n">
        <v>2019</v>
      </c>
      <c r="FL38" s="15" t="inlineStr">
        <is>
          <t>B2PAL</t>
        </is>
      </c>
      <c r="FM38" s="15" t="inlineStr">
        <is>
          <t>LOS LIBERTADORES</t>
        </is>
      </c>
      <c r="FN38" s="15" t="inlineStr">
        <is>
          <t>Los Liberadores 6450, Lote 4A</t>
        </is>
      </c>
      <c r="FO38" s="15" t="inlineStr">
        <is>
          <t>Huechuraba</t>
        </is>
      </c>
      <c r="FP38" t="inlineStr">
        <is>
          <t>B</t>
        </is>
      </c>
      <c r="FS38" s="14" t="inlineStr">
        <is>
          <t>3011 / SFWB-46|</t>
        </is>
      </c>
      <c r="FT38" t="inlineStr">
        <is>
          <t>SFWB-46|</t>
        </is>
      </c>
      <c r="FU38" t="inlineStr">
        <is>
          <t>SFWB-46</t>
        </is>
      </c>
      <c r="FV38">
        <f>VLOOKUP(FU38,FD:FL,9,0)</f>
        <v/>
      </c>
      <c r="FZ38" s="51" t="inlineStr">
        <is>
          <t>B36</t>
        </is>
      </c>
      <c r="GA38" s="117" t="n">
        <v>0</v>
      </c>
      <c r="GB38" s="117" t="n">
        <v>0</v>
      </c>
      <c r="GC38" s="117" t="n">
        <v>0</v>
      </c>
      <c r="GD38" s="117" t="n">
        <v>0</v>
      </c>
      <c r="GE38" s="117" t="n">
        <v>0</v>
      </c>
      <c r="GF38" s="117" t="n">
        <v>11.24</v>
      </c>
      <c r="GG38" s="117" t="n">
        <v>16.94</v>
      </c>
      <c r="GH38" s="117" t="n">
        <v>12.12</v>
      </c>
      <c r="GI38" s="117" t="n">
        <v>15.875</v>
      </c>
      <c r="GJ38" s="117" t="n">
        <v>17.87</v>
      </c>
      <c r="GK38" s="117" t="n">
        <v>18.55</v>
      </c>
      <c r="GL38" s="117" t="n">
        <v>18.495</v>
      </c>
      <c r="GM38" s="117" t="n">
        <v>17.78</v>
      </c>
      <c r="GN38" s="117" t="n">
        <v>17.36</v>
      </c>
      <c r="GO38" s="117" t="n">
        <v>17.095</v>
      </c>
      <c r="GP38" s="117" t="n">
        <v>15.615</v>
      </c>
      <c r="GQ38" s="117" t="n">
        <v>14.02</v>
      </c>
      <c r="GR38" s="117" t="n">
        <v>12.49</v>
      </c>
      <c r="GS38" s="117" t="n">
        <v>13.34</v>
      </c>
      <c r="GT38" s="117" t="n">
        <v>16.165</v>
      </c>
      <c r="GU38" s="117" t="n">
        <v>19.185</v>
      </c>
      <c r="GV38" s="117" t="n">
        <v>20.695</v>
      </c>
      <c r="GW38" s="117" t="n">
        <v>21.865</v>
      </c>
      <c r="GX38" s="117" t="n">
        <v>11.555</v>
      </c>
      <c r="HA38" s="35" t="n">
        <v>35</v>
      </c>
      <c r="HB38" s="35" t="n">
        <v>32</v>
      </c>
      <c r="HE38" t="inlineStr">
        <is>
          <t>U8</t>
        </is>
      </c>
      <c r="HF38" s="46" t="inlineStr">
        <is>
          <t>F25</t>
        </is>
      </c>
      <c r="HG38" s="46" t="inlineStr">
        <is>
          <t>F25</t>
        </is>
      </c>
      <c r="HH38" s="14" t="n">
        <v>66</v>
      </c>
      <c r="HL38" t="inlineStr">
        <is>
          <t>OmegaU8</t>
        </is>
      </c>
      <c r="HM38" s="46" t="inlineStr">
        <is>
          <t>F25</t>
        </is>
      </c>
      <c r="HN38" s="26" t="inlineStr">
        <is>
          <t>Juanita</t>
        </is>
      </c>
      <c r="HO38" s="14" t="n">
        <v>945</v>
      </c>
    </row>
    <row r="39" ht="15.5" customHeight="1">
      <c r="A39" s="10">
        <f>HOUR(G39)+1</f>
        <v/>
      </c>
      <c r="B39" s="7" t="n"/>
      <c r="C39" s="7" t="n"/>
      <c r="D39" s="85">
        <f>IFERROR(
IF(AND(OR(Planilla!B39="C",Planilla!B39="c"), VLOOKUP(E39,FD:FP,13,0)="C"), "OK",IF(AND(OR(Planilla!B39="C",Planilla!B39="c"), OR(VLOOKUP(E39,FD:FP,13,0)="B", VLOOKUP(E39,FD:FP,13,0)="A")), "DEFICIT",IF(
AND(OR(Planilla!B39="B", Planilla!B39="BPAL"), VLOOKUP(E39,FD:FP,13,0)="B"), "OK",IF(AND(OR(Planilla!B39="B", Planilla!B39="BPAL"), VLOOKUP(E39,FD:FP,13,0)="A"), "DEFICIT",IF(AND(OR(Planilla!B39="B", Planilla!B39="BPAL"), VLOOKUP(E39,FD:FP,13,0)="C"), "SOBREOFERTA",IF(AND(Planilla!B39="A", VLOOKUP(E39,FD:FP,13,0)="A"), "OK",IF(
AND(Planilla!B39="A", OR(VLOOKUP(E39,FD:FP,13,0)="B", VLOOKUP(E39,FD:FP,13,0)="C")), "SOBREOFERTA",""
))))))),"")</f>
        <v/>
      </c>
      <c r="E39" s="8" t="n"/>
      <c r="F39" s="86" t="n"/>
      <c r="G39" s="87" t="n"/>
      <c r="H39" s="88">
        <f>IF(I39="","",IF(AND((I39-G39)&gt;=TIME(0,0,0),(I39-G39)&lt;TIME(0,3,0)),"OK",IF(AND((I39-G39)&gt;=TIME(0,3,0),(I39-G39)&lt;TIME(0,5,0)),"RETRASO DE 3-5 MIN",IF(AND((I39-G39)&gt;=TIME(0,5,0),(I39-G39)&lt;TIME(0,10,0)),"RETRASO DE 5-10 MIN",IF((I39-G39)&gt;=TIME(0,10,0),"RETRASO &gt;10 MIN", IF(AND((G39-I39)&gt;=TIME(0,0,0),(G39-I39)&lt;TIME(0,3,0)),"OK",IF((G39-I39)&gt;=TIME(0,3,0),"ADELANTADO")))))))</f>
        <v/>
      </c>
      <c r="I39" s="89" t="n"/>
      <c r="J39" s="89">
        <f>IF(A39&lt;&gt;"",HLOOKUP(VALUE(TEXT(G39,"h:mm:ss")),IF($C$6="Laboral",$FZ$4:$GX$227,IF($C$6="Sábado",$FZ$231:$GX$452,$FZ$456:$GX$656)),VLOOKUP($C$4,$HF$2:$HH$99,3,0)+IF(C$5="Ida",0,1),1),"")</f>
        <v/>
      </c>
      <c r="K39" s="89">
        <f>IF(A40&lt;&gt;A39,AVERAGEIF(A$9:A39,A39,J$9:J39),"")</f>
        <v/>
      </c>
      <c r="L39" s="89">
        <f>IFERROR(IF(A40&lt;&gt;A39,AVERAGEIF(A$9:A39,A39,S$9:S39),""),"")</f>
        <v/>
      </c>
      <c r="M39" s="89">
        <f>IFERROR(IF(A40&lt;&gt;A39,AVERAGEIF(A$9:A39,A39,T$9:T39),""),"")</f>
        <v/>
      </c>
      <c r="N39" s="89">
        <f t="array" ref="N39">IFERROR(IF(A40&lt;&gt;A39,_xlfn.STDEV.P(IF(A$9:A39=A39,T$9:T39)),""),"")</f>
        <v/>
      </c>
      <c r="O39" s="89">
        <f t="array" ref="O39">IFERROR(IF(A40&lt;&gt;A39,_xlfn.STDEV.P(IF(A$9:A39=A39,S$9:S39)),""),"")</f>
        <v/>
      </c>
      <c r="P39" s="90">
        <f>IFERROR(IF(A39&lt;&gt;A40,MAX((((M39*24*60)/2)*(1+POWER((((N39*24*60) / (M39*24*60) )),2))) + ((M39*24*60 )*-0.1 + (K39*0.015)) +1,(((M39*24*60)/2)*(1+POWER((((N39*24*60) / (M39*24*60 ))),2)))),""),"")</f>
        <v/>
      </c>
      <c r="Q39" s="90">
        <f>IF(AND(O39&lt;&gt;"",L39&lt;&gt;""),IF(A39&lt;&gt;A40,((L39*24*60) / 2 ) * (1 + POWER(((O39*24*60) / (L39*24*60)),2)),""),"")</f>
        <v/>
      </c>
      <c r="R39" s="90">
        <f>IF(Q39&lt;&gt;"",MAX(P39,Q39),"")</f>
        <v/>
      </c>
      <c r="S39" s="89">
        <f>IF(I39&lt;&gt;"H. Sale Real",IF(AND(I40&lt;&gt;"",LEFT(C40,2)&lt;&gt;"Va"),IF(AND(I39&lt;&gt;"",LEFT(C39,2)&lt;&gt;"Va",I39&lt;&gt;"H. Sale Real"),IF(I40-I39&lt;0.208333333333333,I40-I39,""),IF(AND(I38&lt;&gt;"",LEFT(C38,2)&lt;&gt;"Va",I38&lt;&gt;"H. Sale Real"),IF(I40-I38&lt;0.208333333333333,I40-I38,""),IF(AND(I37&lt;&gt;"",LEFT(C37,2)&lt;&gt;"Va",I37&lt;&gt;"H. Sale Real"),IF(I40-I37&lt;0.208333333333333,I40-I37,""),IF(AND(I36&lt;&gt;"",LEFT(C36,2)&lt;&gt;"Va",I36&lt;&gt;"H. Sale Real"),IF(I40-I36&lt;0.208333333333333,I40-I36,""),IF(AND(I35&lt;&gt;"",LEFT(C35,2)&lt;&gt;"Va",I35&lt;&gt;"H. Sale Real"),IF(I40-I35&lt;0.208333333333333,I40-I35,""),""))))),""),"")</f>
        <v/>
      </c>
      <c r="T39" s="89">
        <f>IF(G39&lt;&gt;"H. Sale Real",IF(AND(G40&lt;&gt;"",LEFT(C40,2)&lt;&gt;"Va"),IF(AND(G39&lt;&gt;"",LEFT(C39,2)&lt;&gt;"Va",G39&lt;&gt;"H. Sale Real"),IF(G40-G39&lt;0.208333333333333,G40-G39,""),IF(AND(G38&lt;&gt;"",LEFT(C38,2)&lt;&gt;"Va",G38&lt;&gt;"H. Sale Real"),IF(G40-G38&lt;0.208333333333333,G40-G38,""),IF(AND(G37&lt;&gt;"",LEFT(C37,2)&lt;&gt;"Va",G37&lt;&gt;"H. Sale Real"),IF(G40-G37&lt;0.208333333333333,G40-G37,""),IF(AND(G36&lt;&gt;"",LEFT(C36,2)&lt;&gt;"Va",G36&lt;&gt;"H. Sale Real"),IF(G40-G36&lt;0.208333333333333,G40-G36,""),IF(AND(G35&lt;&gt;"",LEFT(C35,2)&lt;&gt;"Va",G35&lt;&gt;"H. Sale Real"),IF(G40-G35&lt;0.208333333333333,G40-G35,""),""))))),""),"")</f>
        <v/>
      </c>
      <c r="U39" s="87" t="n"/>
      <c r="V39" s="89" t="n"/>
      <c r="W39" s="87" t="n"/>
      <c r="X39" s="89" t="n"/>
      <c r="Y39" s="91" t="n"/>
      <c r="Z39" s="122">
        <f>IF(G39&lt;&gt;"",IF(AND(Z38&lt;&gt;"IE",P39&lt;&gt;0,R39&lt;&gt;""),IF(IFERROR((P39/R39),0) &lt;=1,IFERROR(P39/R39,""),1),""),"")</f>
        <v/>
      </c>
      <c r="AA39" s="93" t="n"/>
      <c r="AB39" s="2" t="n"/>
      <c r="AE39" s="10">
        <f>HOUR(AK39)+1</f>
        <v/>
      </c>
      <c r="AF39" s="7" t="n"/>
      <c r="AG39" s="7" t="n"/>
      <c r="AH39" s="86" t="n"/>
      <c r="AI39" s="8" t="n"/>
      <c r="AJ39" s="86" t="n"/>
      <c r="AK39" s="87" t="n"/>
      <c r="AL39" s="88">
        <f>IF(AM39="","",IF(AND((AM39-AK39)&gt;=TIME(0,0,0),(AM39-AK39)&lt;TIME(0,3,0)),"OK",IF(AND((AM39-AK39)&gt;=TIME(0,3,0),(AM39-AK39)&lt;TIME(0,5,0)),"RETRASO DE 3-5 MIN",IF(AND((AM39-AK39)&gt;=TIME(0,5,0),(AM39-AK39)&lt;TIME(0,10,0)),"RETRASO DE 5-10 MIN",IF((AM39-AK39)&gt;=TIME(0,10,0),"RETRASO &gt;10 MIN", IF(AND((AK39-AM39)&gt;=TIME(0,0,0),(AK39-AM39)&lt;TIME(0,3,0)),"OK",IF((AK39-AM39)&gt;=TIME(0,3,0),"ADELANTADO")))))))</f>
        <v/>
      </c>
      <c r="AM39" s="91" t="n"/>
      <c r="AN39" s="89">
        <f>IF(AE39&lt;&gt;"",HLOOKUP(VALUE(TEXT(AK39,"h:mm:ss")),IF($C$6="Laboral",$FZ$4:$GX$227,IF($C$6="Sábado",$FZ$231:$GX$452,$FZ$456:$GX$656)),VLOOKUP($C$4,$HF$2:$HH$99,3,0)+IF(AG$5="Ida",0,1),1),"")</f>
        <v/>
      </c>
      <c r="AO39" s="89">
        <f>IF(AE40&lt;&gt;AE39,AVERAGEIF(AE$9:AE39,AE39,AN$9:AN39),"")</f>
        <v/>
      </c>
      <c r="AP39" s="89">
        <f>IFERROR(IF(AE40&lt;&gt;AE39,AVERAGEIF(AE$9:AE39,AE39,AW$9:AW39),""),"")</f>
        <v/>
      </c>
      <c r="AQ39" s="89">
        <f>IFERROR(IF(AE40&lt;&gt;AE39,AVERAGEIF(AE$9:AE39,AE39,AX$9:AX39),""),"")</f>
        <v/>
      </c>
      <c r="AR39" s="89">
        <f t="array" ref="AR39">IFERROR(IF(AE40&lt;&gt;AE39,_xlfn.STDEV.P(IF(AE$9:AE39=AE39,AX$9:AX39)),""),"")</f>
        <v/>
      </c>
      <c r="AS39" s="89">
        <f t="array" ref="AS39">IFERROR(IF(AE40&lt;&gt;AE39,_xlfn.STDEV.P(IF(AE$9:AE39=AE39,AW$9:AW39)),""),"")</f>
        <v/>
      </c>
      <c r="AT39" s="90">
        <f>IFERROR(IF(AE39&lt;&gt;AE40,MAX((((AQ39*24*60)/2)*(1+POWER((((AR39*24*60) / (AQ39*24*60) )),2))) + ((AQ39*24*60 )*-0.1 + (AO39*0.015)) +1,(((AQ39*24*60)/2)*(1+POWER((((AR39*24*60) / (AQ39*24*60 ))),2)))),""),"")</f>
        <v/>
      </c>
      <c r="AU39" s="90">
        <f>IF(AND(AS39&lt;&gt;"",AP39&lt;&gt;""),IF(AE39&lt;&gt;AE40,((AP39*24*60) / 2 ) * (1 + POWER(((AS39*24*60) / (AP39*24*60)),2)),""),"")</f>
        <v/>
      </c>
      <c r="AV39" s="90">
        <f>IF(AU39&lt;&gt;"",MAX(AT39,AU39),"")</f>
        <v/>
      </c>
      <c r="AW39" s="89">
        <f>IF(AM39&lt;&gt;"H. Sale Real",IF(AND(AM40&lt;&gt;"",LEFT(AG40,2)&lt;&gt;"Va"),IF(AND(AM39&lt;&gt;"",LEFT(AG39,2)&lt;&gt;"Va",AM39&lt;&gt;"H. Sale Real"),IF(AM40-AM39&lt;0.208333333333333,AM40-AM39,""),IF(AND(AM38&lt;&gt;"",LEFT(AG38,2)&lt;&gt;"Va",AM38&lt;&gt;"H. Sale Real"),IF(AM40-AM38&lt;0.208333333333333,AM40-AM38,""),IF(AND(AM37&lt;&gt;"",LEFT(AG37,2)&lt;&gt;"Va",AM37&lt;&gt;"H. Sale Real"),IF(AM40-AM37&lt;0.208333333333333,AM40-AM37,""),IF(AND(AM36&lt;&gt;"",LEFT(AG36,2)&lt;&gt;"Va",AM36&lt;&gt;"H. Sale Real"),IF(AM40-AM36&lt;0.208333333333333,AM40-AM36,""),IF(AND(AM35&lt;&gt;"",LEFT(AG35,2)&lt;&gt;"Va",AM35&lt;&gt;"H. Sale Real"),IF(AM40-AM35&lt;0.208333333333333,AM40-AM35,""),""))))),""),"")</f>
        <v/>
      </c>
      <c r="AX39" s="89">
        <f>IF(AK39&lt;&gt;"H. Sale Real",IF(AND(AK40&lt;&gt;"",LEFT(AG40,2)&lt;&gt;"Va"),IF(AND(AK39&lt;&gt;"",LEFT(AG39,2)&lt;&gt;"Va",AK39&lt;&gt;"H. Sale Real"),IF(AK40-AK39&lt;0.208333333333333,AK40-AK39,""),IF(AND(AK38&lt;&gt;"",LEFT(AG38,2)&lt;&gt;"Va",AK38&lt;&gt;"H. Sale Real"),IF(AK40-AK38&lt;0.208333333333333,AK40-AK38,""),IF(AND(AK37&lt;&gt;"",LEFT(AG37,2)&lt;&gt;"NC",AK37&lt;&gt;"H. Sale Real"),IF(AK40-AK37&lt;0.208333333333333,AK40-AK37,""),IF(AND(AK36&lt;&gt;"",LEFT(AG36,2)&lt;&gt;"Va",AK36&lt;&gt;"H. Sale Real"),IF(AK40-AK36&lt;0.208333333333333,AK40-AK36,""),IF(AND(AK35&lt;&gt;"",LEFT(AG35,2)&lt;&gt;"Va",AK35&lt;&gt;"H. Sale Real"),IF(AK40-AK35&lt;0.208333333333333,AK40-AK35,""),""))))),""),"")</f>
        <v/>
      </c>
      <c r="AY39" s="87" t="n"/>
      <c r="AZ39" s="89" t="n"/>
      <c r="BA39" s="87" t="n"/>
      <c r="BB39" s="89" t="n"/>
      <c r="BC39" s="91" t="n"/>
      <c r="BD39" s="122">
        <f>IF(AK39&lt;&gt;"",IF(AND(BD38&lt;&gt;"IE",AT39&lt;&gt;0,AV39&lt;&gt;""),IF(IFERROR((AT39/AV39),0) &lt;=1,IFERROR(AT39/AV39,""),1),""),"")</f>
        <v/>
      </c>
      <c r="BE39" s="93" t="n"/>
      <c r="BF39" s="105" t="n"/>
      <c r="BJ39" s="60" t="inlineStr">
        <is>
          <t>Teórico</t>
        </is>
      </c>
      <c r="BK39" s="60" t="inlineStr">
        <is>
          <t>Real</t>
        </is>
      </c>
      <c r="BL39" s="60" t="inlineStr">
        <is>
          <t>ICF-P</t>
        </is>
      </c>
      <c r="BM39" s="60" t="inlineStr">
        <is>
          <t>TE Obs</t>
        </is>
      </c>
      <c r="BN39" s="60" t="inlineStr">
        <is>
          <t>TE Ideal</t>
        </is>
      </c>
      <c r="BO39" s="60" t="inlineStr">
        <is>
          <t>IE</t>
        </is>
      </c>
      <c r="BS39" s="60" t="inlineStr">
        <is>
          <t>Teórico</t>
        </is>
      </c>
      <c r="BT39" s="60" t="inlineStr">
        <is>
          <t>Real</t>
        </is>
      </c>
      <c r="BU39" s="60" t="inlineStr">
        <is>
          <t>ICF-P</t>
        </is>
      </c>
      <c r="BV39" s="60" t="inlineStr">
        <is>
          <t>TE Obs</t>
        </is>
      </c>
      <c r="BW39" s="60" t="inlineStr">
        <is>
          <t>TE Ideal</t>
        </is>
      </c>
      <c r="BX39" s="60" t="inlineStr">
        <is>
          <t>IE</t>
        </is>
      </c>
      <c r="FC39" t="inlineStr">
        <is>
          <t>Diccionario 1</t>
        </is>
      </c>
      <c r="FD39" s="15" t="n">
        <v>1036</v>
      </c>
      <c r="FE39" s="15" t="inlineStr">
        <is>
          <t>D8481604K2PL</t>
        </is>
      </c>
      <c r="FF39" s="15" t="inlineStr">
        <is>
          <t>YV3T7U52XKA195145</t>
        </is>
      </c>
      <c r="FG39" s="15" t="inlineStr">
        <is>
          <t>Volvo</t>
        </is>
      </c>
      <c r="FH39" s="15" t="inlineStr">
        <is>
          <t>B8R</t>
        </is>
      </c>
      <c r="FI39" s="15" t="inlineStr">
        <is>
          <t>MARCOPOLO</t>
        </is>
      </c>
      <c r="FJ39" s="15" t="inlineStr">
        <is>
          <t>TORINO</t>
        </is>
      </c>
      <c r="FK39" s="15" t="n">
        <v>2019</v>
      </c>
      <c r="FL39" s="15" t="inlineStr">
        <is>
          <t>B2PAL</t>
        </is>
      </c>
      <c r="FM39" s="15" t="inlineStr">
        <is>
          <t>LOS LIBERTADORES</t>
        </is>
      </c>
      <c r="FN39" s="15" t="inlineStr">
        <is>
          <t>Los Liberadores 6450, Lote 4A</t>
        </is>
      </c>
      <c r="FO39" s="15" t="inlineStr">
        <is>
          <t>Huechuraba</t>
        </is>
      </c>
      <c r="FP39" t="inlineStr">
        <is>
          <t>B</t>
        </is>
      </c>
      <c r="FS39" s="14" t="inlineStr">
        <is>
          <t>3011 / SFWB-46|</t>
        </is>
      </c>
      <c r="FT39" t="inlineStr">
        <is>
          <t>SFWB-46|</t>
        </is>
      </c>
      <c r="FU39" t="inlineStr">
        <is>
          <t>SFWB-46</t>
        </is>
      </c>
      <c r="FV39">
        <f>VLOOKUP(FU39,FD:FL,9,0)</f>
        <v/>
      </c>
      <c r="FZ39" s="51" t="n">
        <v>410</v>
      </c>
      <c r="GA39" s="117" t="n">
        <v>0</v>
      </c>
      <c r="GB39" s="117" t="n">
        <v>0</v>
      </c>
      <c r="GC39" s="117" t="n">
        <v>0</v>
      </c>
      <c r="GD39" s="117" t="n">
        <v>0</v>
      </c>
      <c r="GE39" s="117" t="n">
        <v>0</v>
      </c>
      <c r="GF39" s="117" t="n">
        <v>27</v>
      </c>
      <c r="GG39" s="117" t="n">
        <v>23.25</v>
      </c>
      <c r="GH39" s="117" t="n">
        <v>16.405</v>
      </c>
      <c r="GI39" s="117" t="n">
        <v>18.235</v>
      </c>
      <c r="GJ39" s="117" t="n">
        <v>21.87</v>
      </c>
      <c r="GK39" s="117" t="n">
        <v>23.55</v>
      </c>
      <c r="GL39" s="117" t="n">
        <v>24.11</v>
      </c>
      <c r="GM39" s="117" t="n">
        <v>23.845</v>
      </c>
      <c r="GN39" s="117" t="n">
        <v>23.715</v>
      </c>
      <c r="GO39" s="117" t="n">
        <v>23.91</v>
      </c>
      <c r="GP39" s="117" t="n">
        <v>23.585</v>
      </c>
      <c r="GQ39" s="117" t="n">
        <v>21.705</v>
      </c>
      <c r="GR39" s="117" t="n">
        <v>19.26</v>
      </c>
      <c r="GS39" s="117" t="n">
        <v>21.145</v>
      </c>
      <c r="GT39" s="117" t="n">
        <v>26.19</v>
      </c>
      <c r="GU39" s="117" t="n">
        <v>28.32</v>
      </c>
      <c r="GV39" s="117" t="n">
        <v>30.265</v>
      </c>
      <c r="GW39" s="117" t="n">
        <v>31.95</v>
      </c>
      <c r="GX39" s="117" t="n">
        <v>32.53</v>
      </c>
      <c r="HA39" s="35" t="n">
        <v>36</v>
      </c>
      <c r="HB39" s="35" t="n">
        <v>33</v>
      </c>
      <c r="HE39" t="inlineStr">
        <is>
          <t>U8</t>
        </is>
      </c>
      <c r="HF39" s="46" t="inlineStr">
        <is>
          <t>F33</t>
        </is>
      </c>
      <c r="HG39" s="46" t="inlineStr">
        <is>
          <t>F33</t>
        </is>
      </c>
      <c r="HH39" s="14" t="n">
        <v>72</v>
      </c>
      <c r="HL39" t="inlineStr">
        <is>
          <t>OmegaU8</t>
        </is>
      </c>
      <c r="HM39" s="46" t="inlineStr">
        <is>
          <t>F33</t>
        </is>
      </c>
      <c r="HN39" s="26" t="inlineStr">
        <is>
          <t>Juanita</t>
        </is>
      </c>
      <c r="HO39" s="14" t="n">
        <v>953</v>
      </c>
    </row>
    <row r="40" ht="15.5" customHeight="1">
      <c r="A40" s="10">
        <f>HOUR(G40)+1</f>
        <v/>
      </c>
      <c r="B40" s="7" t="n"/>
      <c r="C40" s="7" t="n"/>
      <c r="D40" s="85">
        <f>IFERROR(
IF(AND(OR(Planilla!B40="C",Planilla!B40="c"), VLOOKUP(E40,FD:FP,13,0)="C"), "OK",IF(AND(OR(Planilla!B40="C",Planilla!B40="c"), OR(VLOOKUP(E40,FD:FP,13,0)="B", VLOOKUP(E40,FD:FP,13,0)="A")), "DEFICIT",IF(
AND(OR(Planilla!B40="B", Planilla!B40="BPAL"), VLOOKUP(E40,FD:FP,13,0)="B"), "OK",IF(AND(OR(Planilla!B40="B", Planilla!B40="BPAL"), VLOOKUP(E40,FD:FP,13,0)="A"), "DEFICIT",IF(AND(OR(Planilla!B40="B", Planilla!B40="BPAL"), VLOOKUP(E40,FD:FP,13,0)="C"), "SOBREOFERTA",IF(AND(Planilla!B40="A", VLOOKUP(E40,FD:FP,13,0)="A"), "OK",IF(
AND(Planilla!B40="A", OR(VLOOKUP(E40,FD:FP,13,0)="B", VLOOKUP(E40,FD:FP,13,0)="C")), "SOBREOFERTA",""
))))))),"")</f>
        <v/>
      </c>
      <c r="E40" s="8" t="n"/>
      <c r="F40" s="86" t="n"/>
      <c r="G40" s="87" t="n"/>
      <c r="H40" s="88">
        <f>IF(I40="","",IF(AND((I40-G40)&gt;=TIME(0,0,0),(I40-G40)&lt;TIME(0,3,0)),"OK",IF(AND((I40-G40)&gt;=TIME(0,3,0),(I40-G40)&lt;TIME(0,5,0)),"RETRASO DE 3-5 MIN",IF(AND((I40-G40)&gt;=TIME(0,5,0),(I40-G40)&lt;TIME(0,10,0)),"RETRASO DE 5-10 MIN",IF((I40-G40)&gt;=TIME(0,10,0),"RETRASO &gt;10 MIN", IF(AND((G40-I40)&gt;=TIME(0,0,0),(G40-I40)&lt;TIME(0,3,0)),"OK",IF((G40-I40)&gt;=TIME(0,3,0),"ADELANTADO")))))))</f>
        <v/>
      </c>
      <c r="I40" s="89" t="n"/>
      <c r="J40" s="89">
        <f>IF(A40&lt;&gt;"",HLOOKUP(VALUE(TEXT(G40,"h:mm:ss")),IF($C$6="Laboral",$FZ$4:$GX$227,IF($C$6="Sábado",$FZ$231:$GX$452,$FZ$456:$GX$656)),VLOOKUP($C$4,$HF$2:$HH$99,3,0)+IF(C$5="Ida",0,1),1),"")</f>
        <v/>
      </c>
      <c r="K40" s="89">
        <f>IF(A41&lt;&gt;A40,AVERAGEIF(A$9:A40,A40,J$9:J40),"")</f>
        <v/>
      </c>
      <c r="L40" s="89">
        <f>IFERROR(IF(A41&lt;&gt;A40,AVERAGEIF(A$9:A40,A40,S$9:S40),""),"")</f>
        <v/>
      </c>
      <c r="M40" s="89">
        <f>IFERROR(IF(A41&lt;&gt;A40,AVERAGEIF(A$9:A40,A40,T$9:T40),""),"")</f>
        <v/>
      </c>
      <c r="N40" s="89">
        <f t="array" ref="N40">IFERROR(IF(A41&lt;&gt;A40,_xlfn.STDEV.P(IF(A$9:A40=A40,T$9:T40)),""),"")</f>
        <v/>
      </c>
      <c r="O40" s="89">
        <f t="array" ref="O40">IFERROR(IF(A41&lt;&gt;A40,_xlfn.STDEV.P(IF(A$9:A40=A40,S$9:S40)),""),"")</f>
        <v/>
      </c>
      <c r="P40" s="90">
        <f>IFERROR(IF(A40&lt;&gt;A41,MAX((((M40*24*60)/2)*(1+POWER((((N40*24*60) / (M40*24*60) )),2))) + ((M40*24*60 )*-0.1 + (K40*0.015)) +1,(((M40*24*60)/2)*(1+POWER((((N40*24*60) / (M40*24*60 ))),2)))),""),"")</f>
        <v/>
      </c>
      <c r="Q40" s="90">
        <f>IF(AND(O40&lt;&gt;"",L40&lt;&gt;""),IF(A40&lt;&gt;A41,((L40*24*60) / 2 ) * (1 + POWER(((O40*24*60) / (L40*24*60)),2)),""),"")</f>
        <v/>
      </c>
      <c r="R40" s="90">
        <f>IF(Q40&lt;&gt;"",MAX(P40,Q40),"")</f>
        <v/>
      </c>
      <c r="S40" s="89">
        <f>IF(I40&lt;&gt;"H. Sale Real",IF(AND(I41&lt;&gt;"",LEFT(C41,2)&lt;&gt;"Va"),IF(AND(I40&lt;&gt;"",LEFT(C40,2)&lt;&gt;"Va",I40&lt;&gt;"H. Sale Real"),IF(I41-I40&lt;0.208333333333333,I41-I40,""),IF(AND(I39&lt;&gt;"",LEFT(C39,2)&lt;&gt;"Va",I39&lt;&gt;"H. Sale Real"),IF(I41-I39&lt;0.208333333333333,I41-I39,""),IF(AND(I38&lt;&gt;"",LEFT(C38,2)&lt;&gt;"Va",I38&lt;&gt;"H. Sale Real"),IF(I41-I38&lt;0.208333333333333,I41-I38,""),IF(AND(I37&lt;&gt;"",LEFT(C37,2)&lt;&gt;"Va",I37&lt;&gt;"H. Sale Real"),IF(I41-I37&lt;0.208333333333333,I41-I37,""),IF(AND(I36&lt;&gt;"",LEFT(C36,2)&lt;&gt;"Va",I36&lt;&gt;"H. Sale Real"),IF(I41-I36&lt;0.208333333333333,I41-I36,""),""))))),""),"")</f>
        <v/>
      </c>
      <c r="T40" s="89">
        <f>IF(G40&lt;&gt;"H. Sale Real",IF(AND(G41&lt;&gt;"",LEFT(C41,2)&lt;&gt;"Va"),IF(AND(G40&lt;&gt;"",LEFT(C40,2)&lt;&gt;"Va",G40&lt;&gt;"H. Sale Real"),IF(G41-G40&lt;0.208333333333333,G41-G40,""),IF(AND(G39&lt;&gt;"",LEFT(C39,2)&lt;&gt;"Va",G39&lt;&gt;"H. Sale Real"),IF(G41-G39&lt;0.208333333333333,G41-G39,""),IF(AND(G38&lt;&gt;"",LEFT(C38,2)&lt;&gt;"Va",G38&lt;&gt;"H. Sale Real"),IF(G41-G38&lt;0.208333333333333,G41-G38,""),IF(AND(G37&lt;&gt;"",LEFT(C37,2)&lt;&gt;"Va",G37&lt;&gt;"H. Sale Real"),IF(G41-G37&lt;0.208333333333333,G41-G37,""),IF(AND(G36&lt;&gt;"",LEFT(C36,2)&lt;&gt;"Va",G36&lt;&gt;"H. Sale Real"),IF(G41-G36&lt;0.208333333333333,G41-G36,""),""))))),""),"")</f>
        <v/>
      </c>
      <c r="U40" s="87" t="n"/>
      <c r="V40" s="89" t="n"/>
      <c r="W40" s="87" t="n"/>
      <c r="X40" s="89" t="n"/>
      <c r="Y40" s="91" t="n"/>
      <c r="Z40" s="122">
        <f>IF(G40&lt;&gt;"",IF(AND(Z39&lt;&gt;"IE",P40&lt;&gt;0,R40&lt;&gt;""),IF(IFERROR((P40/R40),0) &lt;=1,IFERROR(P40/R40,""),1),""),"")</f>
        <v/>
      </c>
      <c r="AA40" s="93" t="n"/>
      <c r="AB40" s="2" t="n"/>
      <c r="AE40" s="10">
        <f>HOUR(AK40)+1</f>
        <v/>
      </c>
      <c r="AF40" s="7" t="n"/>
      <c r="AG40" s="7" t="n"/>
      <c r="AH40" s="86" t="n"/>
      <c r="AI40" s="8" t="n"/>
      <c r="AJ40" s="86" t="n"/>
      <c r="AK40" s="87" t="n"/>
      <c r="AL40" s="88">
        <f>IF(AM40="","",IF(AND((AM40-AK40)&gt;=TIME(0,0,0),(AM40-AK40)&lt;TIME(0,3,0)),"OK",IF(AND((AM40-AK40)&gt;=TIME(0,3,0),(AM40-AK40)&lt;TIME(0,5,0)),"RETRASO DE 3-5 MIN",IF(AND((AM40-AK40)&gt;=TIME(0,5,0),(AM40-AK40)&lt;TIME(0,10,0)),"RETRASO DE 5-10 MIN",IF((AM40-AK40)&gt;=TIME(0,10,0),"RETRASO &gt;10 MIN", IF(AND((AK40-AM40)&gt;=TIME(0,0,0),(AK40-AM40)&lt;TIME(0,3,0)),"OK",IF((AK40-AM40)&gt;=TIME(0,3,0),"ADELANTADO")))))))</f>
        <v/>
      </c>
      <c r="AM40" s="91" t="n"/>
      <c r="AN40" s="89">
        <f>IF(AE40&lt;&gt;"",HLOOKUP(VALUE(TEXT(AK40,"h:mm:ss")),IF($C$6="Laboral",$FZ$4:$GX$227,IF($C$6="Sábado",$FZ$231:$GX$452,$FZ$456:$GX$656)),VLOOKUP($C$4,$HF$2:$HH$99,3,0)+IF(AG$5="Ida",0,1),1),"")</f>
        <v/>
      </c>
      <c r="AO40" s="89">
        <f>IF(AE41&lt;&gt;AE40,AVERAGEIF(AE$9:AE40,AE40,AN$9:AN40),"")</f>
        <v/>
      </c>
      <c r="AP40" s="89">
        <f>IFERROR(IF(AE41&lt;&gt;AE40,AVERAGEIF(AE$9:AE40,AE40,AW$9:AW40),""),"")</f>
        <v/>
      </c>
      <c r="AQ40" s="89">
        <f>IFERROR(IF(AE41&lt;&gt;AE40,AVERAGEIF(AE$9:AE40,AE40,AX$9:AX40),""),"")</f>
        <v/>
      </c>
      <c r="AR40" s="89">
        <f t="array" ref="AR40">IFERROR(IF(AE41&lt;&gt;AE40,_xlfn.STDEV.P(IF(AE$9:AE40=AE40,AX$9:AX40)),""),"")</f>
        <v/>
      </c>
      <c r="AS40" s="89">
        <f t="array" ref="AS40">IFERROR(IF(AE41&lt;&gt;AE40,_xlfn.STDEV.P(IF(AE$9:AE40=AE40,AW$9:AW40)),""),"")</f>
        <v/>
      </c>
      <c r="AT40" s="90">
        <f>IFERROR(IF(AE40&lt;&gt;AE41,MAX((((AQ40*24*60)/2)*(1+POWER((((AR40*24*60) / (AQ40*24*60) )),2))) + ((AQ40*24*60 )*-0.1 + (AO40*0.015)) +1,(((AQ40*24*60)/2)*(1+POWER((((AR40*24*60) / (AQ40*24*60 ))),2)))),""),"")</f>
        <v/>
      </c>
      <c r="AU40" s="90">
        <f>IF(AND(AS40&lt;&gt;"",AP40&lt;&gt;""),IF(AE40&lt;&gt;AE41,((AP40*24*60) / 2 ) * (1 + POWER(((AS40*24*60) / (AP40*24*60)),2)),""),"")</f>
        <v/>
      </c>
      <c r="AV40" s="90">
        <f>IF(AU40&lt;&gt;"",MAX(AT40,AU40),"")</f>
        <v/>
      </c>
      <c r="AW40" s="89">
        <f>IF(AM40&lt;&gt;"H. Sale Real",IF(AND(AM41&lt;&gt;"",LEFT(AG41,2)&lt;&gt;"Va"),IF(AND(AM40&lt;&gt;"",LEFT(AG40,2)&lt;&gt;"Va",AM40&lt;&gt;"H. Sale Real"),IF(AM41-AM40&lt;0.208333333333333,AM41-AM40,""),IF(AND(AM39&lt;&gt;"",LEFT(AG39,2)&lt;&gt;"Va",AM39&lt;&gt;"H. Sale Real"),IF(AM41-AM39&lt;0.208333333333333,AM41-AM39,""),IF(AND(AM38&lt;&gt;"",LEFT(AG38,2)&lt;&gt;"Va",AM38&lt;&gt;"H. Sale Real"),IF(AM41-AM38&lt;0.208333333333333,AM41-AM38,""),IF(AND(AM37&lt;&gt;"",LEFT(AG37,2)&lt;&gt;"Va",AM37&lt;&gt;"H. Sale Real"),IF(AM41-AM37&lt;0.208333333333333,AM41-AM37,""),IF(AND(AM36&lt;&gt;"",LEFT(AG36,2)&lt;&gt;"Va",AM36&lt;&gt;"H. Sale Real"),IF(AM41-AM36&lt;0.208333333333333,AM41-AM36,""),""))))),""),"")</f>
        <v/>
      </c>
      <c r="AX40" s="89">
        <f>IF(AK40&lt;&gt;"H. Sale Real",IF(AND(AK41&lt;&gt;"",LEFT(AG41,2)&lt;&gt;"Va"),IF(AND(AK40&lt;&gt;"",LEFT(AG40,2)&lt;&gt;"Va",AK40&lt;&gt;"H. Sale Real"),IF(AK41-AK40&lt;0.208333333333333,AK41-AK40,""),IF(AND(AK39&lt;&gt;"",LEFT(AG39,2)&lt;&gt;"Va",AK39&lt;&gt;"H. Sale Real"),IF(AK41-AK39&lt;0.208333333333333,AK41-AK39,""),IF(AND(AK38&lt;&gt;"",LEFT(AG38,2)&lt;&gt;"NC",AK38&lt;&gt;"H. Sale Real"),IF(AK41-AK38&lt;0.208333333333333,AK41-AK38,""),IF(AND(AK37&lt;&gt;"",LEFT(AG37,2)&lt;&gt;"Va",AK37&lt;&gt;"H. Sale Real"),IF(AK41-AK37&lt;0.208333333333333,AK41-AK37,""),IF(AND(AK36&lt;&gt;"",LEFT(AG36,2)&lt;&gt;"Va",AK36&lt;&gt;"H. Sale Real"),IF(AK41-AK36&lt;0.208333333333333,AK41-AK36,""),""))))),""),"")</f>
        <v/>
      </c>
      <c r="AY40" s="87" t="n"/>
      <c r="AZ40" s="89" t="n"/>
      <c r="BA40" s="87" t="n"/>
      <c r="BB40" s="89" t="n"/>
      <c r="BC40" s="91" t="n"/>
      <c r="BD40" s="122">
        <f>IF(AK40&lt;&gt;"",IF(AND(BD39&lt;&gt;"IE",AT40&lt;&gt;0,AV40&lt;&gt;""),IF(IFERROR((AT40/AV40),0) &lt;=1,IFERROR(AT40/AV40,""),1),""),"")</f>
        <v/>
      </c>
      <c r="BE40" s="93" t="n"/>
      <c r="BF40" s="105" t="n"/>
      <c r="BI40" s="60" t="inlineStr">
        <is>
          <t>ICF-P Día</t>
        </is>
      </c>
      <c r="BJ40" s="8">
        <f>SUM(BJ13:BJ36)</f>
        <v/>
      </c>
      <c r="BK40" s="8">
        <f>SUM(BK13:BK36)</f>
        <v/>
      </c>
      <c r="BL40" s="54">
        <f>BK40/BJ40</f>
        <v/>
      </c>
      <c r="BM40" s="124">
        <f>SUM(BM13:BM36)</f>
        <v/>
      </c>
      <c r="BN40" s="124">
        <f t="array" ref="BN40">SUMPRODUCT((BM13:BM36&lt;&gt;"")*(BN13:BN36))</f>
        <v/>
      </c>
      <c r="BO40" s="125">
        <f>IF(BN40/BM40 &gt; 1, 1,BN40/BM40)</f>
        <v/>
      </c>
      <c r="BR40" s="60" t="inlineStr">
        <is>
          <t>ICF-P Día</t>
        </is>
      </c>
      <c r="BS40" s="8">
        <f>SUM(BS13:BS36)</f>
        <v/>
      </c>
      <c r="BT40" s="8">
        <f>SUM(BT13:BT36)</f>
        <v/>
      </c>
      <c r="BU40" s="54">
        <f>BT40/BS40</f>
        <v/>
      </c>
      <c r="BV40" s="124">
        <f>SUM(BV13:BV36)</f>
        <v/>
      </c>
      <c r="BW40" s="124">
        <f t="array" ref="BW40">SUMPRODUCT((BV13:BV36&lt;&gt;"")*(BW13:BW36))</f>
        <v/>
      </c>
      <c r="BX40" s="125">
        <f>IF(BW40/BV40 &gt; 1, 1,BW40/BV40)</f>
        <v/>
      </c>
      <c r="FC40" t="inlineStr">
        <is>
          <t>Diccionario 1</t>
        </is>
      </c>
      <c r="FD40" s="15" t="n">
        <v>1037</v>
      </c>
      <c r="FE40" s="15" t="inlineStr">
        <is>
          <t>D8481609K2PL</t>
        </is>
      </c>
      <c r="FF40" s="15" t="inlineStr">
        <is>
          <t>YV3T7U521KA195146</t>
        </is>
      </c>
      <c r="FG40" s="15" t="inlineStr">
        <is>
          <t>Volvo</t>
        </is>
      </c>
      <c r="FH40" s="15" t="inlineStr">
        <is>
          <t>B8R</t>
        </is>
      </c>
      <c r="FI40" s="15" t="inlineStr">
        <is>
          <t>MARCOPOLO</t>
        </is>
      </c>
      <c r="FJ40" s="15" t="inlineStr">
        <is>
          <t>TORINO</t>
        </is>
      </c>
      <c r="FK40" s="15" t="n">
        <v>2019</v>
      </c>
      <c r="FL40" s="15" t="inlineStr">
        <is>
          <t>B2PAL</t>
        </is>
      </c>
      <c r="FM40" s="15" t="inlineStr">
        <is>
          <t>LOS LIBERTADORES</t>
        </is>
      </c>
      <c r="FN40" s="15" t="inlineStr">
        <is>
          <t>Los Liberadores 6450, Lote 4A</t>
        </is>
      </c>
      <c r="FO40" s="15" t="inlineStr">
        <is>
          <t>Huechuraba</t>
        </is>
      </c>
      <c r="FP40" t="inlineStr">
        <is>
          <t>B</t>
        </is>
      </c>
      <c r="FS40" s="14" t="inlineStr">
        <is>
          <t>3011 / SFWB-46|</t>
        </is>
      </c>
      <c r="FT40" t="inlineStr">
        <is>
          <t>SFWB-46|</t>
        </is>
      </c>
      <c r="FU40" t="inlineStr">
        <is>
          <t>SFWB-46</t>
        </is>
      </c>
      <c r="FV40">
        <f>VLOOKUP(FU40,FD:FL,9,0)</f>
        <v/>
      </c>
      <c r="FZ40" s="51" t="n">
        <v>410</v>
      </c>
      <c r="GA40" s="117" t="n">
        <v>28.09</v>
      </c>
      <c r="GB40" s="117" t="n">
        <v>0</v>
      </c>
      <c r="GC40" s="117" t="n">
        <v>0</v>
      </c>
      <c r="GD40" s="117" t="n">
        <v>0</v>
      </c>
      <c r="GE40" s="117" t="n">
        <v>0</v>
      </c>
      <c r="GF40" s="117" t="n">
        <v>12.695</v>
      </c>
      <c r="GG40" s="117" t="n">
        <v>22.885</v>
      </c>
      <c r="GH40" s="117" t="n">
        <v>18.1</v>
      </c>
      <c r="GI40" s="117" t="n">
        <v>19.4</v>
      </c>
      <c r="GJ40" s="117" t="n">
        <v>20.235</v>
      </c>
      <c r="GK40" s="117" t="n">
        <v>20.115</v>
      </c>
      <c r="GL40" s="117" t="n">
        <v>19.565</v>
      </c>
      <c r="GM40" s="117" t="n">
        <v>19.035</v>
      </c>
      <c r="GN40" s="117" t="n">
        <v>18.705</v>
      </c>
      <c r="GO40" s="117" t="n">
        <v>18.49</v>
      </c>
      <c r="GP40" s="117" t="n">
        <v>17.93</v>
      </c>
      <c r="GQ40" s="117" t="n">
        <v>17.225</v>
      </c>
      <c r="GR40" s="117" t="n">
        <v>16.435</v>
      </c>
      <c r="GS40" s="117" t="n">
        <v>16.425</v>
      </c>
      <c r="GT40" s="117" t="n">
        <v>18.8</v>
      </c>
      <c r="GU40" s="117" t="n">
        <v>21.07</v>
      </c>
      <c r="GV40" s="117" t="n">
        <v>22.605</v>
      </c>
      <c r="GW40" s="117" t="n">
        <v>23.595</v>
      </c>
      <c r="GX40" s="117" t="n">
        <v>25.605</v>
      </c>
      <c r="HA40" s="35" t="n">
        <v>37</v>
      </c>
      <c r="HB40" s="35" t="n">
        <v>34</v>
      </c>
      <c r="HE40" t="inlineStr">
        <is>
          <t>U8</t>
        </is>
      </c>
      <c r="HF40" s="46" t="n">
        <v>102</v>
      </c>
      <c r="HG40" s="46" t="n">
        <v>102</v>
      </c>
      <c r="HH40" s="14" t="n">
        <v>74</v>
      </c>
      <c r="HL40" t="inlineStr">
        <is>
          <t>OmegaU8</t>
        </is>
      </c>
      <c r="HM40" s="46" t="n">
        <v>102</v>
      </c>
      <c r="HN40" s="26" t="inlineStr">
        <is>
          <t>Pie Andino</t>
        </is>
      </c>
      <c r="HO40" s="14" t="n">
        <v>962</v>
      </c>
    </row>
    <row r="41" ht="15.5" customHeight="1">
      <c r="A41" s="10">
        <f>HOUR(G41)+1</f>
        <v/>
      </c>
      <c r="B41" s="7" t="n"/>
      <c r="C41" s="7" t="n"/>
      <c r="D41" s="85">
        <f>IFERROR(
IF(AND(OR(Planilla!B41="C",Planilla!B41="c"), VLOOKUP(E41,FD:FP,13,0)="C"), "OK",IF(AND(OR(Planilla!B41="C",Planilla!B41="c"), OR(VLOOKUP(E41,FD:FP,13,0)="B", VLOOKUP(E41,FD:FP,13,0)="A")), "DEFICIT",IF(
AND(OR(Planilla!B41="B", Planilla!B41="BPAL"), VLOOKUP(E41,FD:FP,13,0)="B"), "OK",IF(AND(OR(Planilla!B41="B", Planilla!B41="BPAL"), VLOOKUP(E41,FD:FP,13,0)="A"), "DEFICIT",IF(AND(OR(Planilla!B41="B", Planilla!B41="BPAL"), VLOOKUP(E41,FD:FP,13,0)="C"), "SOBREOFERTA",IF(AND(Planilla!B41="A", VLOOKUP(E41,FD:FP,13,0)="A"), "OK",IF(
AND(Planilla!B41="A", OR(VLOOKUP(E41,FD:FP,13,0)="B", VLOOKUP(E41,FD:FP,13,0)="C")), "SOBREOFERTA",""
))))))),"")</f>
        <v/>
      </c>
      <c r="E41" s="8" t="n"/>
      <c r="F41" s="86" t="n"/>
      <c r="G41" s="87" t="n"/>
      <c r="H41" s="88">
        <f>IF(I41="","",IF(AND((I41-G41)&gt;=TIME(0,0,0),(I41-G41)&lt;TIME(0,3,0)),"OK",IF(AND((I41-G41)&gt;=TIME(0,3,0),(I41-G41)&lt;TIME(0,5,0)),"RETRASO DE 3-5 MIN",IF(AND((I41-G41)&gt;=TIME(0,5,0),(I41-G41)&lt;TIME(0,10,0)),"RETRASO DE 5-10 MIN",IF((I41-G41)&gt;=TIME(0,10,0),"RETRASO &gt;10 MIN", IF(AND((G41-I41)&gt;=TIME(0,0,0),(G41-I41)&lt;TIME(0,3,0)),"OK",IF((G41-I41)&gt;=TIME(0,3,0),"ADELANTADO")))))))</f>
        <v/>
      </c>
      <c r="I41" s="89" t="n"/>
      <c r="J41" s="89">
        <f>IF(A41&lt;&gt;"",HLOOKUP(VALUE(TEXT(G41,"h:mm:ss")),IF($C$6="Laboral",$FZ$4:$GX$227,IF($C$6="Sábado",$FZ$231:$GX$452,$FZ$456:$GX$656)),VLOOKUP($C$4,$HF$2:$HH$99,3,0)+IF(C$5="Ida",0,1),1),"")</f>
        <v/>
      </c>
      <c r="K41" s="89">
        <f>IF(A42&lt;&gt;A41,AVERAGEIF(A$9:A41,A41,J$9:J41),"")</f>
        <v/>
      </c>
      <c r="L41" s="89">
        <f>IFERROR(IF(A42&lt;&gt;A41,AVERAGEIF(A$9:A41,A41,S$9:S41),""),"")</f>
        <v/>
      </c>
      <c r="M41" s="89">
        <f>IFERROR(IF(A42&lt;&gt;A41,AVERAGEIF(A$9:A41,A41,T$9:T41),""),"")</f>
        <v/>
      </c>
      <c r="N41" s="89">
        <f t="array" ref="N41">IFERROR(IF(A42&lt;&gt;A41,_xlfn.STDEV.P(IF(A$9:A41=A41,T$9:T41)),""),"")</f>
        <v/>
      </c>
      <c r="O41" s="89">
        <f t="array" ref="O41">IFERROR(IF(A42&lt;&gt;A41,_xlfn.STDEV.P(IF(A$9:A41=A41,S$9:S41)),""),"")</f>
        <v/>
      </c>
      <c r="P41" s="90">
        <f>IFERROR(IF(A41&lt;&gt;A42,MAX((((M41*24*60)/2)*(1+POWER((((N41*24*60) / (M41*24*60) )),2))) + ((M41*24*60 )*-0.1 + (K41*0.015)) +1,(((M41*24*60)/2)*(1+POWER((((N41*24*60) / (M41*24*60 ))),2)))),""),"")</f>
        <v/>
      </c>
      <c r="Q41" s="90">
        <f>IF(AND(O41&lt;&gt;"",L41&lt;&gt;""),IF(A41&lt;&gt;A42,((L41*24*60) / 2 ) * (1 + POWER(((O41*24*60) / (L41*24*60)),2)),""),"")</f>
        <v/>
      </c>
      <c r="R41" s="90">
        <f>IF(Q41&lt;&gt;"",MAX(P41,Q41),"")</f>
        <v/>
      </c>
      <c r="S41" s="89">
        <f>IF(I41&lt;&gt;"H. Sale Real",IF(AND(I42&lt;&gt;"",LEFT(C42,2)&lt;&gt;"Va"),IF(AND(I41&lt;&gt;"",LEFT(C41,2)&lt;&gt;"Va",I41&lt;&gt;"H. Sale Real"),IF(I42-I41&lt;0.208333333333333,I42-I41,""),IF(AND(I40&lt;&gt;"",LEFT(C40,2)&lt;&gt;"Va",I40&lt;&gt;"H. Sale Real"),IF(I42-I40&lt;0.208333333333333,I42-I40,""),IF(AND(I39&lt;&gt;"",LEFT(C39,2)&lt;&gt;"Va",I39&lt;&gt;"H. Sale Real"),IF(I42-I39&lt;0.208333333333333,I42-I39,""),IF(AND(I38&lt;&gt;"",LEFT(C38,2)&lt;&gt;"Va",I38&lt;&gt;"H. Sale Real"),IF(I42-I38&lt;0.208333333333333,I42-I38,""),IF(AND(I37&lt;&gt;"",LEFT(C37,2)&lt;&gt;"Va",I37&lt;&gt;"H. Sale Real"),IF(I42-I37&lt;0.208333333333333,I42-I37,""),""))))),""),"")</f>
        <v/>
      </c>
      <c r="T41" s="89">
        <f>IF(G41&lt;&gt;"H. Sale Real",IF(AND(G42&lt;&gt;"",LEFT(C42,2)&lt;&gt;"Va"),IF(AND(G41&lt;&gt;"",LEFT(C41,2)&lt;&gt;"Va",G41&lt;&gt;"H. Sale Real"),IF(G42-G41&lt;0.208333333333333,G42-G41,""),IF(AND(G40&lt;&gt;"",LEFT(C40,2)&lt;&gt;"Va",G40&lt;&gt;"H. Sale Real"),IF(G42-G40&lt;0.208333333333333,G42-G40,""),IF(AND(G39&lt;&gt;"",LEFT(C39,2)&lt;&gt;"Va",G39&lt;&gt;"H. Sale Real"),IF(G42-G39&lt;0.208333333333333,G42-G39,""),IF(AND(G38&lt;&gt;"",LEFT(C38,2)&lt;&gt;"Va",G38&lt;&gt;"H. Sale Real"),IF(G42-G38&lt;0.208333333333333,G42-G38,""),IF(AND(G37&lt;&gt;"",LEFT(C37,2)&lt;&gt;"Va",G37&lt;&gt;"H. Sale Real"),IF(G42-G37&lt;0.208333333333333,G42-G37,""),""))))),""),"")</f>
        <v/>
      </c>
      <c r="U41" s="87" t="n"/>
      <c r="V41" s="89" t="n"/>
      <c r="W41" s="87" t="n"/>
      <c r="X41" s="89" t="n"/>
      <c r="Y41" s="91" t="n"/>
      <c r="Z41" s="122">
        <f>IF(G41&lt;&gt;"",IF(AND(Z40&lt;&gt;"IE",P41&lt;&gt;0,R41&lt;&gt;""),IF(IFERROR((P41/R41),0) &lt;=1,IFERROR(P41/R41,""),1),""),"")</f>
        <v/>
      </c>
      <c r="AA41" s="93" t="n"/>
      <c r="AB41" s="2" t="n"/>
      <c r="AE41" s="10">
        <f>HOUR(AK41)+1</f>
        <v/>
      </c>
      <c r="AF41" s="7" t="n"/>
      <c r="AG41" s="7" t="n"/>
      <c r="AH41" s="86" t="n"/>
      <c r="AI41" s="8" t="n"/>
      <c r="AJ41" s="86" t="n"/>
      <c r="AK41" s="87" t="n"/>
      <c r="AL41" s="88">
        <f>IF(AM41="","",IF(AND((AM41-AK41)&gt;=TIME(0,0,0),(AM41-AK41)&lt;TIME(0,3,0)),"OK",IF(AND((AM41-AK41)&gt;=TIME(0,3,0),(AM41-AK41)&lt;TIME(0,5,0)),"RETRASO DE 3-5 MIN",IF(AND((AM41-AK41)&gt;=TIME(0,5,0),(AM41-AK41)&lt;TIME(0,10,0)),"RETRASO DE 5-10 MIN",IF((AM41-AK41)&gt;=TIME(0,10,0),"RETRASO &gt;10 MIN", IF(AND((AK41-AM41)&gt;=TIME(0,0,0),(AK41-AM41)&lt;TIME(0,3,0)),"OK",IF((AK41-AM41)&gt;=TIME(0,3,0),"ADELANTADO")))))))</f>
        <v/>
      </c>
      <c r="AM41" s="91" t="n"/>
      <c r="AN41" s="89">
        <f>IF(AE41&lt;&gt;"",HLOOKUP(VALUE(TEXT(AK41,"h:mm:ss")),IF($C$6="Laboral",$FZ$4:$GX$227,IF($C$6="Sábado",$FZ$231:$GX$452,$FZ$456:$GX$656)),VLOOKUP($C$4,$HF$2:$HH$99,3,0)+IF(AG$5="Ida",0,1),1),"")</f>
        <v/>
      </c>
      <c r="AO41" s="89">
        <f>IF(AE42&lt;&gt;AE41,AVERAGEIF(AE$9:AE41,AE41,AN$9:AN41),"")</f>
        <v/>
      </c>
      <c r="AP41" s="89">
        <f>IFERROR(IF(AE42&lt;&gt;AE41,AVERAGEIF(AE$9:AE41,AE41,AW$9:AW41),""),"")</f>
        <v/>
      </c>
      <c r="AQ41" s="89">
        <f>IFERROR(IF(AE42&lt;&gt;AE41,AVERAGEIF(AE$9:AE41,AE41,AX$9:AX41),""),"")</f>
        <v/>
      </c>
      <c r="AR41" s="89">
        <f t="array" ref="AR41">IFERROR(IF(AE42&lt;&gt;AE41,_xlfn.STDEV.P(IF(AE$9:AE41=AE41,AX$9:AX41)),""),"")</f>
        <v/>
      </c>
      <c r="AS41" s="89">
        <f t="array" ref="AS41">IFERROR(IF(AE42&lt;&gt;AE41,_xlfn.STDEV.P(IF(AE$9:AE41=AE41,AW$9:AW41)),""),"")</f>
        <v/>
      </c>
      <c r="AT41" s="90">
        <f>IFERROR(IF(AE41&lt;&gt;AE42,MAX((((AQ41*24*60)/2)*(1+POWER((((AR41*24*60) / (AQ41*24*60) )),2))) + ((AQ41*24*60 )*-0.1 + (AO41*0.015)) +1,(((AQ41*24*60)/2)*(1+POWER((((AR41*24*60) / (AQ41*24*60 ))),2)))),""),"")</f>
        <v/>
      </c>
      <c r="AU41" s="90">
        <f>IF(AND(AS41&lt;&gt;"",AP41&lt;&gt;""),IF(AE41&lt;&gt;AE42,((AP41*24*60) / 2 ) * (1 + POWER(((AS41*24*60) / (AP41*24*60)),2)),""),"")</f>
        <v/>
      </c>
      <c r="AV41" s="90">
        <f>IF(AU41&lt;&gt;"",MAX(AT41,AU41),"")</f>
        <v/>
      </c>
      <c r="AW41" s="89">
        <f>IF(AM41&lt;&gt;"H. Sale Real",IF(AND(AM42&lt;&gt;"",LEFT(AG42,2)&lt;&gt;"Va"),IF(AND(AM41&lt;&gt;"",LEFT(AG41,2)&lt;&gt;"Va",AM41&lt;&gt;"H. Sale Real"),IF(AM42-AM41&lt;0.208333333333333,AM42-AM41,""),IF(AND(AM40&lt;&gt;"",LEFT(AG40,2)&lt;&gt;"Va",AM40&lt;&gt;"H. Sale Real"),IF(AM42-AM40&lt;0.208333333333333,AM42-AM40,""),IF(AND(AM39&lt;&gt;"",LEFT(AG39,2)&lt;&gt;"Va",AM39&lt;&gt;"H. Sale Real"),IF(AM42-AM39&lt;0.208333333333333,AM42-AM39,""),IF(AND(AM38&lt;&gt;"",LEFT(AG38,2)&lt;&gt;"Va",AM38&lt;&gt;"H. Sale Real"),IF(AM42-AM38&lt;0.208333333333333,AM42-AM38,""),IF(AND(AM37&lt;&gt;"",LEFT(AG37,2)&lt;&gt;"Va",AM37&lt;&gt;"H. Sale Real"),IF(AM42-AM37&lt;0.208333333333333,AM42-AM37,""),""))))),""),"")</f>
        <v/>
      </c>
      <c r="AX41" s="89">
        <f>IF(AK41&lt;&gt;"H. Sale Real",IF(AND(AK42&lt;&gt;"",LEFT(AG42,2)&lt;&gt;"Va"),IF(AND(AK41&lt;&gt;"",LEFT(AG41,2)&lt;&gt;"Va",AK41&lt;&gt;"H. Sale Real"),IF(AK42-AK41&lt;0.208333333333333,AK42-AK41,""),IF(AND(AK40&lt;&gt;"",LEFT(AG40,2)&lt;&gt;"Va",AK40&lt;&gt;"H. Sale Real"),IF(AK42-AK40&lt;0.208333333333333,AK42-AK40,""),IF(AND(AK39&lt;&gt;"",LEFT(AG39,2)&lt;&gt;"NC",AK39&lt;&gt;"H. Sale Real"),IF(AK42-AK39&lt;0.208333333333333,AK42-AK39,""),IF(AND(AK38&lt;&gt;"",LEFT(AG38,2)&lt;&gt;"Va",AK38&lt;&gt;"H. Sale Real"),IF(AK42-AK38&lt;0.208333333333333,AK42-AK38,""),IF(AND(AK37&lt;&gt;"",LEFT(AG37,2)&lt;&gt;"Va",AK37&lt;&gt;"H. Sale Real"),IF(AK42-AK37&lt;0.208333333333333,AK42-AK37,""),""))))),""),"")</f>
        <v/>
      </c>
      <c r="AY41" s="87" t="n"/>
      <c r="AZ41" s="89" t="n"/>
      <c r="BA41" s="87" t="n"/>
      <c r="BB41" s="89" t="n"/>
      <c r="BC41" s="91" t="n"/>
      <c r="BD41" s="122">
        <f>IF(AK41&lt;&gt;"",IF(AND(BD40&lt;&gt;"IE",AT41&lt;&gt;0,AV41&lt;&gt;""),IF(IFERROR((AT41/AV41),0) &lt;=1,IFERROR(AT41/AV41,""),1),""),"")</f>
        <v/>
      </c>
      <c r="BE41" s="93" t="n"/>
      <c r="BF41" s="105" t="n"/>
      <c r="FC41" t="inlineStr">
        <is>
          <t>Diccionario 1</t>
        </is>
      </c>
      <c r="FD41" s="15" t="n">
        <v>1038</v>
      </c>
      <c r="FE41" s="15" t="inlineStr">
        <is>
          <t>D8478221K2PL</t>
        </is>
      </c>
      <c r="FF41" s="15" t="inlineStr">
        <is>
          <t>YV3T7U523KA195147</t>
        </is>
      </c>
      <c r="FG41" s="15" t="inlineStr">
        <is>
          <t>Volvo</t>
        </is>
      </c>
      <c r="FH41" s="15" t="inlineStr">
        <is>
          <t>B8R</t>
        </is>
      </c>
      <c r="FI41" s="15" t="inlineStr">
        <is>
          <t>MARCOPOLO</t>
        </is>
      </c>
      <c r="FJ41" s="15" t="inlineStr">
        <is>
          <t>TORINO</t>
        </is>
      </c>
      <c r="FK41" s="15" t="n">
        <v>2019</v>
      </c>
      <c r="FL41" s="15" t="inlineStr">
        <is>
          <t>B2PAL</t>
        </is>
      </c>
      <c r="FM41" s="15" t="inlineStr">
        <is>
          <t>LOS LIBERTADORES</t>
        </is>
      </c>
      <c r="FN41" s="15" t="inlineStr">
        <is>
          <t>Los Liberadores 6450, Lote 4A</t>
        </is>
      </c>
      <c r="FO41" s="15" t="inlineStr">
        <is>
          <t>Huechuraba</t>
        </is>
      </c>
      <c r="FP41" t="inlineStr">
        <is>
          <t>B</t>
        </is>
      </c>
      <c r="FS41" s="14" t="inlineStr">
        <is>
          <t>3011 / SFWB-46|</t>
        </is>
      </c>
      <c r="FT41" t="inlineStr">
        <is>
          <t>SFWB-46|</t>
        </is>
      </c>
      <c r="FU41" t="inlineStr">
        <is>
          <t>SFWB-46</t>
        </is>
      </c>
      <c r="FV41">
        <f>VLOOKUP(FU41,FD:FL,9,0)</f>
        <v/>
      </c>
      <c r="FZ41" s="51" t="inlineStr">
        <is>
          <t>410e</t>
        </is>
      </c>
      <c r="GA41" s="117" t="n">
        <v>0</v>
      </c>
      <c r="GB41" s="117" t="n">
        <v>0</v>
      </c>
      <c r="GC41" s="117" t="n">
        <v>0</v>
      </c>
      <c r="GD41" s="117" t="n">
        <v>0</v>
      </c>
      <c r="GE41" s="117" t="n">
        <v>0</v>
      </c>
      <c r="GF41" s="117" t="n">
        <v>14.2</v>
      </c>
      <c r="GG41" s="117" t="n">
        <v>25.665</v>
      </c>
      <c r="GH41" s="117" t="n">
        <v>18.535</v>
      </c>
      <c r="GI41" s="117" t="n">
        <v>8.58</v>
      </c>
      <c r="GJ41" s="117" t="n">
        <v>0</v>
      </c>
      <c r="GK41" s="117" t="n">
        <v>0</v>
      </c>
      <c r="GL41" s="117" t="n">
        <v>0</v>
      </c>
      <c r="GM41" s="117" t="n">
        <v>0</v>
      </c>
      <c r="GN41" s="117" t="n">
        <v>0</v>
      </c>
      <c r="GO41" s="117" t="n">
        <v>0</v>
      </c>
      <c r="GP41" s="117" t="n">
        <v>0</v>
      </c>
      <c r="GQ41" s="117" t="n">
        <v>0</v>
      </c>
      <c r="GR41" s="117" t="n">
        <v>0</v>
      </c>
      <c r="GS41" s="117" t="n">
        <v>0</v>
      </c>
      <c r="GT41" s="117" t="n">
        <v>0</v>
      </c>
      <c r="GU41" s="117" t="n">
        <v>0</v>
      </c>
      <c r="GV41" s="117" t="n">
        <v>0</v>
      </c>
      <c r="GW41" s="117" t="n">
        <v>0</v>
      </c>
      <c r="GX41" s="117" t="n">
        <v>0</v>
      </c>
      <c r="HA41" s="35" t="n">
        <v>38</v>
      </c>
      <c r="HB41" s="35" t="n">
        <v>35</v>
      </c>
      <c r="HE41" t="inlineStr">
        <is>
          <t>U8</t>
        </is>
      </c>
      <c r="HF41" s="46" t="n">
        <v>124</v>
      </c>
      <c r="HG41" s="46" t="n">
        <v>124</v>
      </c>
      <c r="HH41" s="14" t="n">
        <v>78</v>
      </c>
      <c r="HL41" t="inlineStr">
        <is>
          <t>OmegaU8</t>
        </is>
      </c>
      <c r="HM41" s="46" t="n">
        <v>124</v>
      </c>
      <c r="HN41" s="26" t="inlineStr">
        <is>
          <t>Juanita</t>
        </is>
      </c>
      <c r="HO41" s="14" t="n">
        <v>964</v>
      </c>
    </row>
    <row r="42" ht="15.5" customHeight="1">
      <c r="A42" s="10">
        <f>HOUR(G42)+1</f>
        <v/>
      </c>
      <c r="B42" s="7" t="n"/>
      <c r="C42" s="7" t="n"/>
      <c r="D42" s="85">
        <f>IFERROR(
IF(AND(OR(Planilla!B42="C",Planilla!B42="c"), VLOOKUP(E42,FD:FP,13,0)="C"), "OK",IF(AND(OR(Planilla!B42="C",Planilla!B42="c"), OR(VLOOKUP(E42,FD:FP,13,0)="B", VLOOKUP(E42,FD:FP,13,0)="A")), "DEFICIT",IF(
AND(OR(Planilla!B42="B", Planilla!B42="BPAL"), VLOOKUP(E42,FD:FP,13,0)="B"), "OK",IF(AND(OR(Planilla!B42="B", Planilla!B42="BPAL"), VLOOKUP(E42,FD:FP,13,0)="A"), "DEFICIT",IF(AND(OR(Planilla!B42="B", Planilla!B42="BPAL"), VLOOKUP(E42,FD:FP,13,0)="C"), "SOBREOFERTA",IF(AND(Planilla!B42="A", VLOOKUP(E42,FD:FP,13,0)="A"), "OK",IF(
AND(Planilla!B42="A", OR(VLOOKUP(E42,FD:FP,13,0)="B", VLOOKUP(E42,FD:FP,13,0)="C")), "SOBREOFERTA",""
))))))),"")</f>
        <v/>
      </c>
      <c r="E42" s="8" t="n"/>
      <c r="F42" s="86" t="n"/>
      <c r="G42" s="87" t="n"/>
      <c r="H42" s="88">
        <f>IF(I42="","",IF(AND((I42-G42)&gt;=TIME(0,0,0),(I42-G42)&lt;TIME(0,3,0)),"OK",IF(AND((I42-G42)&gt;=TIME(0,3,0),(I42-G42)&lt;TIME(0,5,0)),"RETRASO DE 3-5 MIN",IF(AND((I42-G42)&gt;=TIME(0,5,0),(I42-G42)&lt;TIME(0,10,0)),"RETRASO DE 5-10 MIN",IF((I42-G42)&gt;=TIME(0,10,0),"RETRASO &gt;10 MIN", IF(AND((G42-I42)&gt;=TIME(0,0,0),(G42-I42)&lt;TIME(0,3,0)),"OK",IF((G42-I42)&gt;=TIME(0,3,0),"ADELANTADO")))))))</f>
        <v/>
      </c>
      <c r="I42" s="89" t="n"/>
      <c r="J42" s="89">
        <f>IF(A42&lt;&gt;"",HLOOKUP(VALUE(TEXT(G42,"h:mm:ss")),IF($C$6="Laboral",$FZ$4:$GX$227,IF($C$6="Sábado",$FZ$231:$GX$452,$FZ$456:$GX$656)),VLOOKUP($C$4,$HF$2:$HH$99,3,0)+IF(C$5="Ida",0,1),1),"")</f>
        <v/>
      </c>
      <c r="K42" s="89">
        <f>IF(A43&lt;&gt;A42,AVERAGEIF(A$9:A42,A42,J$9:J42),"")</f>
        <v/>
      </c>
      <c r="L42" s="89">
        <f>IFERROR(IF(A43&lt;&gt;A42,AVERAGEIF(A$9:A42,A42,S$9:S42),""),"")</f>
        <v/>
      </c>
      <c r="M42" s="89">
        <f>IFERROR(IF(A43&lt;&gt;A42,AVERAGEIF(A$9:A42,A42,T$9:T42),""),"")</f>
        <v/>
      </c>
      <c r="N42" s="89">
        <f t="array" ref="N42">IFERROR(IF(A43&lt;&gt;A42,_xlfn.STDEV.P(IF(A$9:A42=A42,T$9:T42)),""),"")</f>
        <v/>
      </c>
      <c r="O42" s="89">
        <f t="array" ref="O42">IFERROR(IF(A43&lt;&gt;A42,_xlfn.STDEV.P(IF(A$9:A42=A42,S$9:S42)),""),"")</f>
        <v/>
      </c>
      <c r="P42" s="90">
        <f>IFERROR(IF(A42&lt;&gt;A43,MAX((((M42*24*60)/2)*(1+POWER((((N42*24*60) / (M42*24*60) )),2))) + ((M42*24*60 )*-0.1 + (K42*0.015)) +1,(((M42*24*60)/2)*(1+POWER((((N42*24*60) / (M42*24*60 ))),2)))),""),"")</f>
        <v/>
      </c>
      <c r="Q42" s="90">
        <f>IF(AND(O42&lt;&gt;"",L42&lt;&gt;""),IF(A42&lt;&gt;A43,((L42*24*60) / 2 ) * (1 + POWER(((O42*24*60) / (L42*24*60)),2)),""),"")</f>
        <v/>
      </c>
      <c r="R42" s="90">
        <f>IF(Q42&lt;&gt;"",MAX(P42,Q42),"")</f>
        <v/>
      </c>
      <c r="S42" s="89">
        <f>IF(I42&lt;&gt;"H. Sale Real",IF(AND(I43&lt;&gt;"",LEFT(C43,2)&lt;&gt;"Va"),IF(AND(I42&lt;&gt;"",LEFT(C42,2)&lt;&gt;"Va",I42&lt;&gt;"H. Sale Real"),IF(I43-I42&lt;0.208333333333333,I43-I42,""),IF(AND(I41&lt;&gt;"",LEFT(C41,2)&lt;&gt;"Va",I41&lt;&gt;"H. Sale Real"),IF(I43-I41&lt;0.208333333333333,I43-I41,""),IF(AND(I40&lt;&gt;"",LEFT(C40,2)&lt;&gt;"Va",I40&lt;&gt;"H. Sale Real"),IF(I43-I40&lt;0.208333333333333,I43-I40,""),IF(AND(I39&lt;&gt;"",LEFT(C39,2)&lt;&gt;"Va",I39&lt;&gt;"H. Sale Real"),IF(I43-I39&lt;0.208333333333333,I43-I39,""),IF(AND(I38&lt;&gt;"",LEFT(C38,2)&lt;&gt;"Va",I38&lt;&gt;"H. Sale Real"),IF(I43-I38&lt;0.208333333333333,I43-I38,""),""))))),""),"")</f>
        <v/>
      </c>
      <c r="T42" s="89">
        <f>IF(G42&lt;&gt;"H. Sale Real",IF(AND(G43&lt;&gt;"",LEFT(C43,2)&lt;&gt;"Va"),IF(AND(G42&lt;&gt;"",LEFT(C42,2)&lt;&gt;"Va",G42&lt;&gt;"H. Sale Real"),IF(G43-G42&lt;0.208333333333333,G43-G42,""),IF(AND(G41&lt;&gt;"",LEFT(C41,2)&lt;&gt;"Va",G41&lt;&gt;"H. Sale Real"),IF(G43-G41&lt;0.208333333333333,G43-G41,""),IF(AND(G40&lt;&gt;"",LEFT(C40,2)&lt;&gt;"Va",G40&lt;&gt;"H. Sale Real"),IF(G43-G40&lt;0.208333333333333,G43-G40,""),IF(AND(G39&lt;&gt;"",LEFT(C39,2)&lt;&gt;"Va",G39&lt;&gt;"H. Sale Real"),IF(G43-G39&lt;0.208333333333333,G43-G39,""),IF(AND(G38&lt;&gt;"",LEFT(C38,2)&lt;&gt;"Va",G38&lt;&gt;"H. Sale Real"),IF(G43-G38&lt;0.208333333333333,G43-G38,""),""))))),""),"")</f>
        <v/>
      </c>
      <c r="U42" s="87" t="n"/>
      <c r="V42" s="89" t="n"/>
      <c r="W42" s="87" t="n"/>
      <c r="X42" s="89" t="n"/>
      <c r="Y42" s="91" t="n"/>
      <c r="Z42" s="122">
        <f>IF(G42&lt;&gt;"",IF(AND(Z41&lt;&gt;"IE",P42&lt;&gt;0,R42&lt;&gt;""),IF(IFERROR((P42/R42),0) &lt;=1,IFERROR(P42/R42,""),1),""),"")</f>
        <v/>
      </c>
      <c r="AA42" s="93" t="n"/>
      <c r="AB42" s="2" t="n"/>
      <c r="AE42" s="10">
        <f>HOUR(AK42)+1</f>
        <v/>
      </c>
      <c r="AF42" s="7" t="n"/>
      <c r="AG42" s="7" t="n"/>
      <c r="AH42" s="86" t="n"/>
      <c r="AI42" s="8" t="n"/>
      <c r="AJ42" s="86" t="n"/>
      <c r="AK42" s="87" t="n"/>
      <c r="AL42" s="88">
        <f>IF(AM42="","",IF(AND((AM42-AK42)&gt;=TIME(0,0,0),(AM42-AK42)&lt;TIME(0,3,0)),"OK",IF(AND((AM42-AK42)&gt;=TIME(0,3,0),(AM42-AK42)&lt;TIME(0,5,0)),"RETRASO DE 3-5 MIN",IF(AND((AM42-AK42)&gt;=TIME(0,5,0),(AM42-AK42)&lt;TIME(0,10,0)),"RETRASO DE 5-10 MIN",IF((AM42-AK42)&gt;=TIME(0,10,0),"RETRASO &gt;10 MIN", IF(AND((AK42-AM42)&gt;=TIME(0,0,0),(AK42-AM42)&lt;TIME(0,3,0)),"OK",IF((AK42-AM42)&gt;=TIME(0,3,0),"ADELANTADO")))))))</f>
        <v/>
      </c>
      <c r="AM42" s="91" t="n"/>
      <c r="AN42" s="89">
        <f>IF(AE42&lt;&gt;"",HLOOKUP(VALUE(TEXT(AK42,"h:mm:ss")),IF($C$6="Laboral",$FZ$4:$GX$227,IF($C$6="Sábado",$FZ$231:$GX$452,$FZ$456:$GX$656)),VLOOKUP($C$4,$HF$2:$HH$99,3,0)+IF(AG$5="Ida",0,1),1),"")</f>
        <v/>
      </c>
      <c r="AO42" s="89">
        <f>IF(AE43&lt;&gt;AE42,AVERAGEIF(AE$9:AE42,AE42,AN$9:AN42),"")</f>
        <v/>
      </c>
      <c r="AP42" s="89">
        <f>IFERROR(IF(AE43&lt;&gt;AE42,AVERAGEIF(AE$9:AE42,AE42,AW$9:AW42),""),"")</f>
        <v/>
      </c>
      <c r="AQ42" s="89">
        <f>IFERROR(IF(AE43&lt;&gt;AE42,AVERAGEIF(AE$9:AE42,AE42,AX$9:AX42),""),"")</f>
        <v/>
      </c>
      <c r="AR42" s="89">
        <f t="array" ref="AR42">IFERROR(IF(AE43&lt;&gt;AE42,_xlfn.STDEV.P(IF(AE$9:AE42=AE42,AX$9:AX42)),""),"")</f>
        <v/>
      </c>
      <c r="AS42" s="89">
        <f t="array" ref="AS42">IFERROR(IF(AE43&lt;&gt;AE42,_xlfn.STDEV.P(IF(AE$9:AE42=AE42,AW$9:AW42)),""),"")</f>
        <v/>
      </c>
      <c r="AT42" s="90">
        <f>IFERROR(IF(AE42&lt;&gt;AE43,MAX((((AQ42*24*60)/2)*(1+POWER((((AR42*24*60) / (AQ42*24*60) )),2))) + ((AQ42*24*60 )*-0.1 + (AO42*0.015)) +1,(((AQ42*24*60)/2)*(1+POWER((((AR42*24*60) / (AQ42*24*60 ))),2)))),""),"")</f>
        <v/>
      </c>
      <c r="AU42" s="90">
        <f>IF(AND(AS42&lt;&gt;"",AP42&lt;&gt;""),IF(AE42&lt;&gt;AE43,((AP42*24*60) / 2 ) * (1 + POWER(((AS42*24*60) / (AP42*24*60)),2)),""),"")</f>
        <v/>
      </c>
      <c r="AV42" s="90">
        <f>IF(AU42&lt;&gt;"",MAX(AT42,AU42),"")</f>
        <v/>
      </c>
      <c r="AW42" s="89">
        <f>IF(AM42&lt;&gt;"H. Sale Real",IF(AND(AM43&lt;&gt;"",LEFT(AG43,2)&lt;&gt;"Va"),IF(AND(AM42&lt;&gt;"",LEFT(AG42,2)&lt;&gt;"Va",AM42&lt;&gt;"H. Sale Real"),IF(AM43-AM42&lt;0.208333333333333,AM43-AM42,""),IF(AND(AM41&lt;&gt;"",LEFT(AG41,2)&lt;&gt;"Va",AM41&lt;&gt;"H. Sale Real"),IF(AM43-AM41&lt;0.208333333333333,AM43-AM41,""),IF(AND(AM40&lt;&gt;"",LEFT(AG40,2)&lt;&gt;"Va",AM40&lt;&gt;"H. Sale Real"),IF(AM43-AM40&lt;0.208333333333333,AM43-AM40,""),IF(AND(AM39&lt;&gt;"",LEFT(AG39,2)&lt;&gt;"Va",AM39&lt;&gt;"H. Sale Real"),IF(AM43-AM39&lt;0.208333333333333,AM43-AM39,""),IF(AND(AM38&lt;&gt;"",LEFT(AG38,2)&lt;&gt;"Va",AM38&lt;&gt;"H. Sale Real"),IF(AM43-AM38&lt;0.208333333333333,AM43-AM38,""),""))))),""),"")</f>
        <v/>
      </c>
      <c r="AX42" s="89">
        <f>IF(AK42&lt;&gt;"H. Sale Real",IF(AND(AK43&lt;&gt;"",LEFT(AG43,2)&lt;&gt;"Va"),IF(AND(AK42&lt;&gt;"",LEFT(AG42,2)&lt;&gt;"Va",AK42&lt;&gt;"H. Sale Real"),IF(AK43-AK42&lt;0.208333333333333,AK43-AK42,""),IF(AND(AK41&lt;&gt;"",LEFT(AG41,2)&lt;&gt;"Va",AK41&lt;&gt;"H. Sale Real"),IF(AK43-AK41&lt;0.208333333333333,AK43-AK41,""),IF(AND(AK40&lt;&gt;"",LEFT(AG40,2)&lt;&gt;"NC",AK40&lt;&gt;"H. Sale Real"),IF(AK43-AK40&lt;0.208333333333333,AK43-AK40,""),IF(AND(AK39&lt;&gt;"",LEFT(AG39,2)&lt;&gt;"Va",AK39&lt;&gt;"H. Sale Real"),IF(AK43-AK39&lt;0.208333333333333,AK43-AK39,""),IF(AND(AK38&lt;&gt;"",LEFT(AG38,2)&lt;&gt;"Va",AK38&lt;&gt;"H. Sale Real"),IF(AK43-AK38&lt;0.208333333333333,AK43-AK38,""),""))))),""),"")</f>
        <v/>
      </c>
      <c r="AY42" s="87" t="n"/>
      <c r="AZ42" s="89" t="n"/>
      <c r="BA42" s="87" t="n"/>
      <c r="BB42" s="89" t="n"/>
      <c r="BC42" s="91" t="n"/>
      <c r="BD42" s="122">
        <f>IF(AK42&lt;&gt;"",IF(AND(BD41&lt;&gt;"IE",AT42&lt;&gt;0,AV42&lt;&gt;""),IF(IFERROR((AT42/AV42),0) &lt;=1,IFERROR(AT42/AV42,""),1),""),"")</f>
        <v/>
      </c>
      <c r="BE42" s="93" t="n"/>
      <c r="BF42" s="105" t="n"/>
      <c r="FC42" t="inlineStr">
        <is>
          <t>Diccionario 1</t>
        </is>
      </c>
      <c r="FD42" s="15" t="n">
        <v>1039</v>
      </c>
      <c r="FE42" s="15" t="inlineStr">
        <is>
          <t>D8478290K2PL</t>
        </is>
      </c>
      <c r="FF42" s="15" t="inlineStr">
        <is>
          <t>YV3T7U525KA195148</t>
        </is>
      </c>
      <c r="FG42" s="15" t="inlineStr">
        <is>
          <t>Volvo</t>
        </is>
      </c>
      <c r="FH42" s="15" t="inlineStr">
        <is>
          <t>B8R</t>
        </is>
      </c>
      <c r="FI42" s="15" t="inlineStr">
        <is>
          <t>MARCOPOLO</t>
        </is>
      </c>
      <c r="FJ42" s="15" t="inlineStr">
        <is>
          <t>TORINO</t>
        </is>
      </c>
      <c r="FK42" s="15" t="n">
        <v>2019</v>
      </c>
      <c r="FL42" s="15" t="inlineStr">
        <is>
          <t>B2PAL</t>
        </is>
      </c>
      <c r="FM42" s="15" t="inlineStr">
        <is>
          <t>LOS LIBERTADORES</t>
        </is>
      </c>
      <c r="FN42" s="15" t="inlineStr">
        <is>
          <t>Los Liberadores 6450, Lote 4A</t>
        </is>
      </c>
      <c r="FO42" s="15" t="inlineStr">
        <is>
          <t>Huechuraba</t>
        </is>
      </c>
      <c r="FP42" t="inlineStr">
        <is>
          <t>B</t>
        </is>
      </c>
      <c r="FS42" s="14" t="inlineStr">
        <is>
          <t>3012 / SFWB-72|</t>
        </is>
      </c>
      <c r="FT42" t="inlineStr">
        <is>
          <t>SFWB-72|</t>
        </is>
      </c>
      <c r="FU42" t="inlineStr">
        <is>
          <t>SFWB-72</t>
        </is>
      </c>
      <c r="FV42">
        <f>VLOOKUP(FU42,FD:FL,9,0)</f>
        <v/>
      </c>
      <c r="FZ42" s="51" t="inlineStr">
        <is>
          <t>410y</t>
        </is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30.925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HA42" s="35" t="n">
        <v>39</v>
      </c>
      <c r="HB42" s="35" t="n">
        <v>36</v>
      </c>
      <c r="HE42" t="inlineStr">
        <is>
          <t>U8</t>
        </is>
      </c>
      <c r="HF42" s="46" t="n">
        <v>712</v>
      </c>
      <c r="HG42" s="46" t="n">
        <v>712</v>
      </c>
      <c r="HH42" s="14" t="n">
        <v>80</v>
      </c>
      <c r="HL42" t="inlineStr">
        <is>
          <t>OmegaU8</t>
        </is>
      </c>
      <c r="HM42" s="46" t="n">
        <v>712</v>
      </c>
      <c r="HN42" s="26" t="inlineStr">
        <is>
          <t>Pie Andino</t>
        </is>
      </c>
      <c r="HO42" s="14" t="n">
        <v>967</v>
      </c>
    </row>
    <row r="43" ht="15.5" customHeight="1">
      <c r="A43" s="10">
        <f>HOUR(G43)+1</f>
        <v/>
      </c>
      <c r="B43" s="7" t="n"/>
      <c r="C43" s="7" t="n"/>
      <c r="D43" s="85">
        <f>IFERROR(
IF(AND(OR(Planilla!B43="C",Planilla!B43="c"), VLOOKUP(E43,FD:FP,13,0)="C"), "OK",IF(AND(OR(Planilla!B43="C",Planilla!B43="c"), OR(VLOOKUP(E43,FD:FP,13,0)="B", VLOOKUP(E43,FD:FP,13,0)="A")), "DEFICIT",IF(
AND(OR(Planilla!B43="B", Planilla!B43="BPAL"), VLOOKUP(E43,FD:FP,13,0)="B"), "OK",IF(AND(OR(Planilla!B43="B", Planilla!B43="BPAL"), VLOOKUP(E43,FD:FP,13,0)="A"), "DEFICIT",IF(AND(OR(Planilla!B43="B", Planilla!B43="BPAL"), VLOOKUP(E43,FD:FP,13,0)="C"), "SOBREOFERTA",IF(AND(Planilla!B43="A", VLOOKUP(E43,FD:FP,13,0)="A"), "OK",IF(
AND(Planilla!B43="A", OR(VLOOKUP(E43,FD:FP,13,0)="B", VLOOKUP(E43,FD:FP,13,0)="C")), "SOBREOFERTA",""
))))))),"")</f>
        <v/>
      </c>
      <c r="E43" s="8" t="n"/>
      <c r="F43" s="86" t="n"/>
      <c r="G43" s="87" t="n"/>
      <c r="H43" s="88">
        <f>IF(I43="","",IF(AND((I43-G43)&gt;=TIME(0,0,0),(I43-G43)&lt;TIME(0,3,0)),"OK",IF(AND((I43-G43)&gt;=TIME(0,3,0),(I43-G43)&lt;TIME(0,5,0)),"RETRASO DE 3-5 MIN",IF(AND((I43-G43)&gt;=TIME(0,5,0),(I43-G43)&lt;TIME(0,10,0)),"RETRASO DE 5-10 MIN",IF((I43-G43)&gt;=TIME(0,10,0),"RETRASO &gt;10 MIN", IF(AND((G43-I43)&gt;=TIME(0,0,0),(G43-I43)&lt;TIME(0,3,0)),"OK",IF((G43-I43)&gt;=TIME(0,3,0),"ADELANTADO")))))))</f>
        <v/>
      </c>
      <c r="I43" s="89" t="n"/>
      <c r="J43" s="89">
        <f>IF(A43&lt;&gt;"",HLOOKUP(VALUE(TEXT(G43,"h:mm:ss")),IF($C$6="Laboral",$FZ$4:$GX$227,IF($C$6="Sábado",$FZ$231:$GX$452,$FZ$456:$GX$656)),VLOOKUP($C$4,$HF$2:$HH$99,3,0)+IF(C$5="Ida",0,1),1),"")</f>
        <v/>
      </c>
      <c r="K43" s="89">
        <f>IF(A44&lt;&gt;A43,AVERAGEIF(A$9:A43,A43,J$9:J43),"")</f>
        <v/>
      </c>
      <c r="L43" s="89">
        <f>IFERROR(IF(A44&lt;&gt;A43,AVERAGEIF(A$9:A43,A43,S$9:S43),""),"")</f>
        <v/>
      </c>
      <c r="M43" s="89">
        <f>IFERROR(IF(A44&lt;&gt;A43,AVERAGEIF(A$9:A43,A43,T$9:T43),""),"")</f>
        <v/>
      </c>
      <c r="N43" s="89">
        <f t="array" ref="N43">IFERROR(IF(A44&lt;&gt;A43,_xlfn.STDEV.P(IF(A$9:A43=A43,T$9:T43)),""),"")</f>
        <v/>
      </c>
      <c r="O43" s="89">
        <f t="array" ref="O43">IFERROR(IF(A44&lt;&gt;A43,_xlfn.STDEV.P(IF(A$9:A43=A43,S$9:S43)),""),"")</f>
        <v/>
      </c>
      <c r="P43" s="90">
        <f>IFERROR(IF(A43&lt;&gt;A44,MAX((((M43*24*60)/2)*(1+POWER((((N43*24*60) / (M43*24*60) )),2))) + ((M43*24*60 )*-0.1 + (K43*0.015)) +1,(((M43*24*60)/2)*(1+POWER((((N43*24*60) / (M43*24*60 ))),2)))),""),"")</f>
        <v/>
      </c>
      <c r="Q43" s="90">
        <f>IF(AND(O43&lt;&gt;"",L43&lt;&gt;""),IF(A43&lt;&gt;A44,((L43*24*60) / 2 ) * (1 + POWER(((O43*24*60) / (L43*24*60)),2)),""),"")</f>
        <v/>
      </c>
      <c r="R43" s="90">
        <f>IF(Q43&lt;&gt;"",MAX(P43,Q43),"")</f>
        <v/>
      </c>
      <c r="S43" s="89">
        <f>IF(I43&lt;&gt;"H. Sale Real",IF(AND(I44&lt;&gt;"",LEFT(C44,2)&lt;&gt;"Va"),IF(AND(I43&lt;&gt;"",LEFT(C43,2)&lt;&gt;"Va",I43&lt;&gt;"H. Sale Real"),IF(I44-I43&lt;0.208333333333333,I44-I43,""),IF(AND(I42&lt;&gt;"",LEFT(C42,2)&lt;&gt;"Va",I42&lt;&gt;"H. Sale Real"),IF(I44-I42&lt;0.208333333333333,I44-I42,""),IF(AND(I41&lt;&gt;"",LEFT(C41,2)&lt;&gt;"Va",I41&lt;&gt;"H. Sale Real"),IF(I44-I41&lt;0.208333333333333,I44-I41,""),IF(AND(I40&lt;&gt;"",LEFT(C40,2)&lt;&gt;"Va",I40&lt;&gt;"H. Sale Real"),IF(I44-I40&lt;0.208333333333333,I44-I40,""),IF(AND(I39&lt;&gt;"",LEFT(C39,2)&lt;&gt;"Va",I39&lt;&gt;"H. Sale Real"),IF(I44-I39&lt;0.208333333333333,I44-I39,""),""))))),""),"")</f>
        <v/>
      </c>
      <c r="T43" s="89">
        <f>IF(G43&lt;&gt;"H. Sale Real",IF(AND(G44&lt;&gt;"",LEFT(C44,2)&lt;&gt;"Va"),IF(AND(G43&lt;&gt;"",LEFT(C43,2)&lt;&gt;"Va",G43&lt;&gt;"H. Sale Real"),IF(G44-G43&lt;0.208333333333333,G44-G43,""),IF(AND(G42&lt;&gt;"",LEFT(C42,2)&lt;&gt;"Va",G42&lt;&gt;"H. Sale Real"),IF(G44-G42&lt;0.208333333333333,G44-G42,""),IF(AND(G41&lt;&gt;"",LEFT(C41,2)&lt;&gt;"Va",G41&lt;&gt;"H. Sale Real"),IF(G44-G41&lt;0.208333333333333,G44-G41,""),IF(AND(G40&lt;&gt;"",LEFT(C40,2)&lt;&gt;"Va",G40&lt;&gt;"H. Sale Real"),IF(G44-G40&lt;0.208333333333333,G44-G40,""),IF(AND(G39&lt;&gt;"",LEFT(C39,2)&lt;&gt;"Va",G39&lt;&gt;"H. Sale Real"),IF(G44-G39&lt;0.208333333333333,G44-G39,""),""))))),""),"")</f>
        <v/>
      </c>
      <c r="U43" s="87" t="n"/>
      <c r="V43" s="89" t="n"/>
      <c r="W43" s="87" t="n"/>
      <c r="X43" s="89" t="n"/>
      <c r="Y43" s="91" t="n"/>
      <c r="Z43" s="122">
        <f>IF(G43&lt;&gt;"",IF(AND(Z42&lt;&gt;"IE",P43&lt;&gt;0,R43&lt;&gt;""),IF(IFERROR((P43/R43),0) &lt;=1,IFERROR(P43/R43,""),1),""),"")</f>
        <v/>
      </c>
      <c r="AA43" s="93" t="n"/>
      <c r="AB43" s="2" t="n"/>
      <c r="AE43" s="10">
        <f>HOUR(AK43)+1</f>
        <v/>
      </c>
      <c r="AF43" s="7" t="n"/>
      <c r="AG43" s="7" t="n"/>
      <c r="AH43" s="86" t="n"/>
      <c r="AI43" s="8" t="n"/>
      <c r="AJ43" s="86" t="n"/>
      <c r="AK43" s="87" t="n"/>
      <c r="AL43" s="88">
        <f>IF(AM43="","",IF(AND((AM43-AK43)&gt;=TIME(0,0,0),(AM43-AK43)&lt;TIME(0,3,0)),"OK",IF(AND((AM43-AK43)&gt;=TIME(0,3,0),(AM43-AK43)&lt;TIME(0,5,0)),"RETRASO DE 3-5 MIN",IF(AND((AM43-AK43)&gt;=TIME(0,5,0),(AM43-AK43)&lt;TIME(0,10,0)),"RETRASO DE 5-10 MIN",IF((AM43-AK43)&gt;=TIME(0,10,0),"RETRASO &gt;10 MIN", IF(AND((AK43-AM43)&gt;=TIME(0,0,0),(AK43-AM43)&lt;TIME(0,3,0)),"OK",IF((AK43-AM43)&gt;=TIME(0,3,0),"ADELANTADO")))))))</f>
        <v/>
      </c>
      <c r="AM43" s="91" t="n"/>
      <c r="AN43" s="89">
        <f>IF(AE43&lt;&gt;"",HLOOKUP(VALUE(TEXT(AK43,"h:mm:ss")),IF($C$6="Laboral",$FZ$4:$GX$227,IF($C$6="Sábado",$FZ$231:$GX$452,$FZ$456:$GX$656)),VLOOKUP($C$4,$HF$2:$HH$99,3,0)+IF(AG$5="Ida",0,1),1),"")</f>
        <v/>
      </c>
      <c r="AO43" s="89">
        <f>IF(AE44&lt;&gt;AE43,AVERAGEIF(AE$9:AE43,AE43,AN$9:AN43),"")</f>
        <v/>
      </c>
      <c r="AP43" s="89">
        <f>IFERROR(IF(AE44&lt;&gt;AE43,AVERAGEIF(AE$9:AE43,AE43,AW$9:AW43),""),"")</f>
        <v/>
      </c>
      <c r="AQ43" s="89">
        <f>IFERROR(IF(AE44&lt;&gt;AE43,AVERAGEIF(AE$9:AE43,AE43,AX$9:AX43),""),"")</f>
        <v/>
      </c>
      <c r="AR43" s="89">
        <f t="array" ref="AR43">IFERROR(IF(AE44&lt;&gt;AE43,_xlfn.STDEV.P(IF(AE$9:AE43=AE43,AX$9:AX43)),""),"")</f>
        <v/>
      </c>
      <c r="AS43" s="89">
        <f t="array" ref="AS43">IFERROR(IF(AE44&lt;&gt;AE43,_xlfn.STDEV.P(IF(AE$9:AE43=AE43,AW$9:AW43)),""),"")</f>
        <v/>
      </c>
      <c r="AT43" s="90">
        <f>IFERROR(IF(AE43&lt;&gt;AE44,MAX((((AQ43*24*60)/2)*(1+POWER((((AR43*24*60) / (AQ43*24*60) )),2))) + ((AQ43*24*60 )*-0.1 + (AO43*0.015)) +1,(((AQ43*24*60)/2)*(1+POWER((((AR43*24*60) / (AQ43*24*60 ))),2)))),""),"")</f>
        <v/>
      </c>
      <c r="AU43" s="90">
        <f>IF(AND(AS43&lt;&gt;"",AP43&lt;&gt;""),IF(AE43&lt;&gt;AE44,((AP43*24*60) / 2 ) * (1 + POWER(((AS43*24*60) / (AP43*24*60)),2)),""),"")</f>
        <v/>
      </c>
      <c r="AV43" s="90">
        <f>IF(AU43&lt;&gt;"",MAX(AT43,AU43),"")</f>
        <v/>
      </c>
      <c r="AW43" s="89">
        <f>IF(AM43&lt;&gt;"H. Sale Real",IF(AND(AM44&lt;&gt;"",LEFT(AG44,2)&lt;&gt;"Va"),IF(AND(AM43&lt;&gt;"",LEFT(AG43,2)&lt;&gt;"Va",AM43&lt;&gt;"H. Sale Real"),IF(AM44-AM43&lt;0.208333333333333,AM44-AM43,""),IF(AND(AM42&lt;&gt;"",LEFT(AG42,2)&lt;&gt;"Va",AM42&lt;&gt;"H. Sale Real"),IF(AM44-AM42&lt;0.208333333333333,AM44-AM42,""),IF(AND(AM41&lt;&gt;"",LEFT(AG41,2)&lt;&gt;"Va",AM41&lt;&gt;"H. Sale Real"),IF(AM44-AM41&lt;0.208333333333333,AM44-AM41,""),IF(AND(AM40&lt;&gt;"",LEFT(AG40,2)&lt;&gt;"Va",AM40&lt;&gt;"H. Sale Real"),IF(AM44-AM40&lt;0.208333333333333,AM44-AM40,""),IF(AND(AM39&lt;&gt;"",LEFT(AG39,2)&lt;&gt;"Va",AM39&lt;&gt;"H. Sale Real"),IF(AM44-AM39&lt;0.208333333333333,AM44-AM39,""),""))))),""),"")</f>
        <v/>
      </c>
      <c r="AX43" s="89">
        <f>IF(AK43&lt;&gt;"H. Sale Real",IF(AND(AK44&lt;&gt;"",LEFT(AG44,2)&lt;&gt;"Va"),IF(AND(AK43&lt;&gt;"",LEFT(AG43,2)&lt;&gt;"Va",AK43&lt;&gt;"H. Sale Real"),IF(AK44-AK43&lt;0.208333333333333,AK44-AK43,""),IF(AND(AK42&lt;&gt;"",LEFT(AG42,2)&lt;&gt;"Va",AK42&lt;&gt;"H. Sale Real"),IF(AK44-AK42&lt;0.208333333333333,AK44-AK42,""),IF(AND(AK41&lt;&gt;"",LEFT(AG41,2)&lt;&gt;"NC",AK41&lt;&gt;"H. Sale Real"),IF(AK44-AK41&lt;0.208333333333333,AK44-AK41,""),IF(AND(AK40&lt;&gt;"",LEFT(AG40,2)&lt;&gt;"Va",AK40&lt;&gt;"H. Sale Real"),IF(AK44-AK40&lt;0.208333333333333,AK44-AK40,""),IF(AND(AK39&lt;&gt;"",LEFT(AG39,2)&lt;&gt;"Va",AK39&lt;&gt;"H. Sale Real"),IF(AK44-AK39&lt;0.208333333333333,AK44-AK39,""),""))))),""),"")</f>
        <v/>
      </c>
      <c r="AY43" s="87" t="n"/>
      <c r="AZ43" s="89" t="n"/>
      <c r="BA43" s="87" t="n"/>
      <c r="BB43" s="89" t="n"/>
      <c r="BC43" s="91" t="n"/>
      <c r="BD43" s="122">
        <f>IF(AK43&lt;&gt;"",IF(AND(BD42&lt;&gt;"IE",AT43&lt;&gt;0,AV43&lt;&gt;""),IF(IFERROR((AT43/AV43),0) &lt;=1,IFERROR(AT43/AV43,""),1),""),"")</f>
        <v/>
      </c>
      <c r="BE43" s="93" t="n"/>
      <c r="BF43" s="105" t="n"/>
      <c r="FC43" t="inlineStr">
        <is>
          <t>Diccionario 1</t>
        </is>
      </c>
      <c r="FD43" s="15" t="n">
        <v>1040</v>
      </c>
      <c r="FE43" s="15" t="inlineStr">
        <is>
          <t>D8481517K2PL</t>
        </is>
      </c>
      <c r="FF43" s="15" t="inlineStr">
        <is>
          <t>YV3T7U520KA195171</t>
        </is>
      </c>
      <c r="FG43" s="15" t="inlineStr">
        <is>
          <t>Volvo</t>
        </is>
      </c>
      <c r="FH43" s="15" t="inlineStr">
        <is>
          <t>B8R</t>
        </is>
      </c>
      <c r="FI43" s="15" t="inlineStr">
        <is>
          <t>MARCOPOLO</t>
        </is>
      </c>
      <c r="FJ43" s="15" t="inlineStr">
        <is>
          <t>TORINO</t>
        </is>
      </c>
      <c r="FK43" s="15" t="n">
        <v>2019</v>
      </c>
      <c r="FL43" s="15" t="inlineStr">
        <is>
          <t>B2PAL</t>
        </is>
      </c>
      <c r="FM43" s="15" t="inlineStr">
        <is>
          <t>LOS LIBERTADORES</t>
        </is>
      </c>
      <c r="FN43" s="15" t="inlineStr">
        <is>
          <t>Los Liberadores 6450, Lote 4A</t>
        </is>
      </c>
      <c r="FO43" s="15" t="inlineStr">
        <is>
          <t>Huechuraba</t>
        </is>
      </c>
      <c r="FP43" t="inlineStr">
        <is>
          <t>B</t>
        </is>
      </c>
      <c r="FS43" s="14" t="inlineStr">
        <is>
          <t>3012 / SFWB-72|</t>
        </is>
      </c>
      <c r="FT43" t="inlineStr">
        <is>
          <t>SFWB-72|</t>
        </is>
      </c>
      <c r="FU43" t="inlineStr">
        <is>
          <t>SFWB-72</t>
        </is>
      </c>
      <c r="FV43">
        <f>VLOOKUP(FU43,FD:FL,9,0)</f>
        <v/>
      </c>
      <c r="FZ43" s="51" t="inlineStr">
        <is>
          <t>B02</t>
        </is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8.699999999999999</v>
      </c>
      <c r="GG43" t="n">
        <v>14.505</v>
      </c>
      <c r="GH43" t="n">
        <v>13.39</v>
      </c>
      <c r="GI43" t="n">
        <v>14.435</v>
      </c>
      <c r="GJ43" t="n">
        <v>14.595</v>
      </c>
      <c r="GK43" t="n">
        <v>14.195</v>
      </c>
      <c r="GL43" t="n">
        <v>13.675</v>
      </c>
      <c r="GM43" t="n">
        <v>13.73</v>
      </c>
      <c r="GN43" t="n">
        <v>13.79</v>
      </c>
      <c r="GO43" t="n">
        <v>13.67</v>
      </c>
      <c r="GP43" t="n">
        <v>13.27</v>
      </c>
      <c r="GQ43" t="n">
        <v>12.95</v>
      </c>
      <c r="GR43" t="n">
        <v>13.305</v>
      </c>
      <c r="GS43" t="n">
        <v>14.38</v>
      </c>
      <c r="GT43" t="n">
        <v>16.015</v>
      </c>
      <c r="GU43" t="n">
        <v>17.875</v>
      </c>
      <c r="GV43" t="n">
        <v>18.83</v>
      </c>
      <c r="GW43" t="n">
        <v>9.734999999999999</v>
      </c>
      <c r="GX43" t="n">
        <v>0</v>
      </c>
      <c r="HA43" s="35" t="n">
        <v>40</v>
      </c>
      <c r="HB43" s="35" t="n">
        <v>37</v>
      </c>
      <c r="HE43" t="inlineStr">
        <is>
          <t>U9</t>
        </is>
      </c>
      <c r="HF43" s="46" t="inlineStr">
        <is>
          <t>105c</t>
        </is>
      </c>
      <c r="HG43" s="46" t="inlineStr">
        <is>
          <t>105c</t>
        </is>
      </c>
      <c r="HH43" s="14" t="n">
        <v>7</v>
      </c>
      <c r="HL43" t="inlineStr">
        <is>
          <t>AlfaU9</t>
        </is>
      </c>
      <c r="HM43" s="46" t="inlineStr">
        <is>
          <t>105c</t>
        </is>
      </c>
      <c r="HN43" s="26" t="inlineStr">
        <is>
          <t>Santa Margarita</t>
        </is>
      </c>
      <c r="HO43" s="14" t="inlineStr">
        <is>
          <t>805c</t>
        </is>
      </c>
    </row>
    <row r="44" ht="15.5" customHeight="1">
      <c r="A44" s="10">
        <f>HOUR(G44)+1</f>
        <v/>
      </c>
      <c r="B44" s="7" t="n"/>
      <c r="C44" s="7" t="n"/>
      <c r="D44" s="85">
        <f>IFERROR(
IF(AND(OR(Planilla!B44="C",Planilla!B44="c"), VLOOKUP(E44,FD:FP,13,0)="C"), "OK",IF(AND(OR(Planilla!B44="C",Planilla!B44="c"), OR(VLOOKUP(E44,FD:FP,13,0)="B", VLOOKUP(E44,FD:FP,13,0)="A")), "DEFICIT",IF(
AND(OR(Planilla!B44="B", Planilla!B44="BPAL"), VLOOKUP(E44,FD:FP,13,0)="B"), "OK",IF(AND(OR(Planilla!B44="B", Planilla!B44="BPAL"), VLOOKUP(E44,FD:FP,13,0)="A"), "DEFICIT",IF(AND(OR(Planilla!B44="B", Planilla!B44="BPAL"), VLOOKUP(E44,FD:FP,13,0)="C"), "SOBREOFERTA",IF(AND(Planilla!B44="A", VLOOKUP(E44,FD:FP,13,0)="A"), "OK",IF(
AND(Planilla!B44="A", OR(VLOOKUP(E44,FD:FP,13,0)="B", VLOOKUP(E44,FD:FP,13,0)="C")), "SOBREOFERTA",""
))))))),"")</f>
        <v/>
      </c>
      <c r="E44" s="8" t="n"/>
      <c r="F44" s="86" t="n"/>
      <c r="G44" s="87" t="n"/>
      <c r="H44" s="88">
        <f>IF(I44="","",IF(AND((I44-G44)&gt;=TIME(0,0,0),(I44-G44)&lt;TIME(0,3,0)),"OK",IF(AND((I44-G44)&gt;=TIME(0,3,0),(I44-G44)&lt;TIME(0,5,0)),"RETRASO DE 3-5 MIN",IF(AND((I44-G44)&gt;=TIME(0,5,0),(I44-G44)&lt;TIME(0,10,0)),"RETRASO DE 5-10 MIN",IF((I44-G44)&gt;=TIME(0,10,0),"RETRASO &gt;10 MIN", IF(AND((G44-I44)&gt;=TIME(0,0,0),(G44-I44)&lt;TIME(0,3,0)),"OK",IF((G44-I44)&gt;=TIME(0,3,0),"ADELANTADO")))))))</f>
        <v/>
      </c>
      <c r="I44" s="89" t="n"/>
      <c r="J44" s="89">
        <f>IF(A44&lt;&gt;"",HLOOKUP(VALUE(TEXT(G44,"h:mm:ss")),IF($C$6="Laboral",$FZ$4:$GX$227,IF($C$6="Sábado",$FZ$231:$GX$452,$FZ$456:$GX$656)),VLOOKUP($C$4,$HF$2:$HH$99,3,0)+IF(C$5="Ida",0,1),1),"")</f>
        <v/>
      </c>
      <c r="K44" s="89">
        <f>IF(A45&lt;&gt;A44,AVERAGEIF(A$9:A44,A44,J$9:J44),"")</f>
        <v/>
      </c>
      <c r="L44" s="89">
        <f>IFERROR(IF(A45&lt;&gt;A44,AVERAGEIF(A$9:A44,A44,S$9:S44),""),"")</f>
        <v/>
      </c>
      <c r="M44" s="89">
        <f>IFERROR(IF(A45&lt;&gt;A44,AVERAGEIF(A$9:A44,A44,T$9:T44),""),"")</f>
        <v/>
      </c>
      <c r="N44" s="89">
        <f t="array" ref="N44">IFERROR(IF(A45&lt;&gt;A44,_xlfn.STDEV.P(IF(A$9:A44=A44,T$9:T44)),""),"")</f>
        <v/>
      </c>
      <c r="O44" s="89">
        <f t="array" ref="O44">IFERROR(IF(A45&lt;&gt;A44,_xlfn.STDEV.P(IF(A$9:A44=A44,S$9:S44)),""),"")</f>
        <v/>
      </c>
      <c r="P44" s="90">
        <f>IFERROR(IF(A44&lt;&gt;A45,MAX((((M44*24*60)/2)*(1+POWER((((N44*24*60) / (M44*24*60) )),2))) + ((M44*24*60 )*-0.1 + (K44*0.015)) +1,(((M44*24*60)/2)*(1+POWER((((N44*24*60) / (M44*24*60 ))),2)))),""),"")</f>
        <v/>
      </c>
      <c r="Q44" s="90">
        <f>IF(AND(O44&lt;&gt;"",L44&lt;&gt;""),IF(A44&lt;&gt;A45,((L44*24*60) / 2 ) * (1 + POWER(((O44*24*60) / (L44*24*60)),2)),""),"")</f>
        <v/>
      </c>
      <c r="R44" s="90">
        <f>IF(Q44&lt;&gt;"",MAX(P44,Q44),"")</f>
        <v/>
      </c>
      <c r="S44" s="89">
        <f>IF(I44&lt;&gt;"H. Sale Real",IF(AND(I45&lt;&gt;"",LEFT(C45,2)&lt;&gt;"Va"),IF(AND(I44&lt;&gt;"",LEFT(C44,2)&lt;&gt;"Va",I44&lt;&gt;"H. Sale Real"),IF(I45-I44&lt;0.208333333333333,I45-I44,""),IF(AND(I43&lt;&gt;"",LEFT(C43,2)&lt;&gt;"Va",I43&lt;&gt;"H. Sale Real"),IF(I45-I43&lt;0.208333333333333,I45-I43,""),IF(AND(I42&lt;&gt;"",LEFT(C42,2)&lt;&gt;"Va",I42&lt;&gt;"H. Sale Real"),IF(I45-I42&lt;0.208333333333333,I45-I42,""),IF(AND(I41&lt;&gt;"",LEFT(C41,2)&lt;&gt;"Va",I41&lt;&gt;"H. Sale Real"),IF(I45-I41&lt;0.208333333333333,I45-I41,""),IF(AND(I40&lt;&gt;"",LEFT(C40,2)&lt;&gt;"Va",I40&lt;&gt;"H. Sale Real"),IF(I45-I40&lt;0.208333333333333,I45-I40,""),""))))),""),"")</f>
        <v/>
      </c>
      <c r="T44" s="89">
        <f>IF(G44&lt;&gt;"H. Sale Real",IF(AND(G45&lt;&gt;"",LEFT(C45,2)&lt;&gt;"Va"),IF(AND(G44&lt;&gt;"",LEFT(C44,2)&lt;&gt;"Va",G44&lt;&gt;"H. Sale Real"),IF(G45-G44&lt;0.208333333333333,G45-G44,""),IF(AND(G43&lt;&gt;"",LEFT(C43,2)&lt;&gt;"Va",G43&lt;&gt;"H. Sale Real"),IF(G45-G43&lt;0.208333333333333,G45-G43,""),IF(AND(G42&lt;&gt;"",LEFT(C42,2)&lt;&gt;"Va",G42&lt;&gt;"H. Sale Real"),IF(G45-G42&lt;0.208333333333333,G45-G42,""),IF(AND(G41&lt;&gt;"",LEFT(C41,2)&lt;&gt;"Va",G41&lt;&gt;"H. Sale Real"),IF(G45-G41&lt;0.208333333333333,G45-G41,""),IF(AND(G40&lt;&gt;"",LEFT(C40,2)&lt;&gt;"Va",G40&lt;&gt;"H. Sale Real"),IF(G45-G40&lt;0.208333333333333,G45-G40,""),""))))),""),"")</f>
        <v/>
      </c>
      <c r="U44" s="87" t="n"/>
      <c r="V44" s="89" t="n"/>
      <c r="W44" s="87" t="n"/>
      <c r="X44" s="89" t="n"/>
      <c r="Y44" s="91" t="n"/>
      <c r="Z44" s="122">
        <f>IF(G44&lt;&gt;"",IF(AND(Z43&lt;&gt;"IE",P44&lt;&gt;0,R44&lt;&gt;""),IF(IFERROR((P44/R44),0) &lt;=1,IFERROR(P44/R44,""),1),""),"")</f>
        <v/>
      </c>
      <c r="AA44" s="93" t="n"/>
      <c r="AB44" s="2" t="n"/>
      <c r="AE44" s="10">
        <f>HOUR(AK44)+1</f>
        <v/>
      </c>
      <c r="AF44" s="7" t="n"/>
      <c r="AG44" s="7" t="n"/>
      <c r="AH44" s="86" t="n"/>
      <c r="AI44" s="8" t="n"/>
      <c r="AJ44" s="86" t="n"/>
      <c r="AK44" s="87" t="n"/>
      <c r="AL44" s="88">
        <f>IF(AM44="","",IF(AND((AM44-AK44)&gt;=TIME(0,0,0),(AM44-AK44)&lt;TIME(0,3,0)),"OK",IF(AND((AM44-AK44)&gt;=TIME(0,3,0),(AM44-AK44)&lt;TIME(0,5,0)),"RETRASO DE 3-5 MIN",IF(AND((AM44-AK44)&gt;=TIME(0,5,0),(AM44-AK44)&lt;TIME(0,10,0)),"RETRASO DE 5-10 MIN",IF((AM44-AK44)&gt;=TIME(0,10,0),"RETRASO &gt;10 MIN", IF(AND((AK44-AM44)&gt;=TIME(0,0,0),(AK44-AM44)&lt;TIME(0,3,0)),"OK",IF((AK44-AM44)&gt;=TIME(0,3,0),"ADELANTADO")))))))</f>
        <v/>
      </c>
      <c r="AM44" s="91" t="n"/>
      <c r="AN44" s="89">
        <f>IF(AE44&lt;&gt;"",HLOOKUP(VALUE(TEXT(AK44,"h:mm:ss")),IF($C$6="Laboral",$FZ$4:$GX$227,IF($C$6="Sábado",$FZ$231:$GX$452,$FZ$456:$GX$656)),VLOOKUP($C$4,$HF$2:$HH$99,3,0)+IF(AG$5="Ida",0,1),1),"")</f>
        <v/>
      </c>
      <c r="AO44" s="89">
        <f>IF(AE45&lt;&gt;AE44,AVERAGEIF(AE$9:AE44,AE44,AN$9:AN44),"")</f>
        <v/>
      </c>
      <c r="AP44" s="89">
        <f>IFERROR(IF(AE45&lt;&gt;AE44,AVERAGEIF(AE$9:AE44,AE44,AW$9:AW44),""),"")</f>
        <v/>
      </c>
      <c r="AQ44" s="89">
        <f>IFERROR(IF(AE45&lt;&gt;AE44,AVERAGEIF(AE$9:AE44,AE44,AX$9:AX44),""),"")</f>
        <v/>
      </c>
      <c r="AR44" s="89">
        <f t="array" ref="AR44">IFERROR(IF(AE45&lt;&gt;AE44,_xlfn.STDEV.P(IF(AE$9:AE44=AE44,AX$9:AX44)),""),"")</f>
        <v/>
      </c>
      <c r="AS44" s="89">
        <f t="array" ref="AS44">IFERROR(IF(AE45&lt;&gt;AE44,_xlfn.STDEV.P(IF(AE$9:AE44=AE44,AW$9:AW44)),""),"")</f>
        <v/>
      </c>
      <c r="AT44" s="90">
        <f>IFERROR(IF(AE44&lt;&gt;AE45,MAX((((AQ44*24*60)/2)*(1+POWER((((AR44*24*60) / (AQ44*24*60) )),2))) + ((AQ44*24*60 )*-0.1 + (AO44*0.015)) +1,(((AQ44*24*60)/2)*(1+POWER((((AR44*24*60) / (AQ44*24*60 ))),2)))),""),"")</f>
        <v/>
      </c>
      <c r="AU44" s="90">
        <f>IF(AND(AS44&lt;&gt;"",AP44&lt;&gt;""),IF(AE44&lt;&gt;AE45,((AP44*24*60) / 2 ) * (1 + POWER(((AS44*24*60) / (AP44*24*60)),2)),""),"")</f>
        <v/>
      </c>
      <c r="AV44" s="90">
        <f>IF(AU44&lt;&gt;"",MAX(AT44,AU44),"")</f>
        <v/>
      </c>
      <c r="AW44" s="89">
        <f>IF(AM44&lt;&gt;"H. Sale Real",IF(AND(AM45&lt;&gt;"",LEFT(AG45,2)&lt;&gt;"Va"),IF(AND(AM44&lt;&gt;"",LEFT(AG44,2)&lt;&gt;"Va",AM44&lt;&gt;"H. Sale Real"),IF(AM45-AM44&lt;0.208333333333333,AM45-AM44,""),IF(AND(AM43&lt;&gt;"",LEFT(AG43,2)&lt;&gt;"Va",AM43&lt;&gt;"H. Sale Real"),IF(AM45-AM43&lt;0.208333333333333,AM45-AM43,""),IF(AND(AM42&lt;&gt;"",LEFT(AG42,2)&lt;&gt;"Va",AM42&lt;&gt;"H. Sale Real"),IF(AM45-AM42&lt;0.208333333333333,AM45-AM42,""),IF(AND(AM41&lt;&gt;"",LEFT(AG41,2)&lt;&gt;"Va",AM41&lt;&gt;"H. Sale Real"),IF(AM45-AM41&lt;0.208333333333333,AM45-AM41,""),IF(AND(AM40&lt;&gt;"",LEFT(AG40,2)&lt;&gt;"Va",AM40&lt;&gt;"H. Sale Real"),IF(AM45-AM40&lt;0.208333333333333,AM45-AM40,""),""))))),""),"")</f>
        <v/>
      </c>
      <c r="AX44" s="89">
        <f>IF(AK44&lt;&gt;"H. Sale Real",IF(AND(AK45&lt;&gt;"",LEFT(AG45,2)&lt;&gt;"Va"),IF(AND(AK44&lt;&gt;"",LEFT(AG44,2)&lt;&gt;"Va",AK44&lt;&gt;"H. Sale Real"),IF(AK45-AK44&lt;0.208333333333333,AK45-AK44,""),IF(AND(AK43&lt;&gt;"",LEFT(AG43,2)&lt;&gt;"Va",AK43&lt;&gt;"H. Sale Real"),IF(AK45-AK43&lt;0.208333333333333,AK45-AK43,""),IF(AND(AK42&lt;&gt;"",LEFT(AG42,2)&lt;&gt;"NC",AK42&lt;&gt;"H. Sale Real"),IF(AK45-AK42&lt;0.208333333333333,AK45-AK42,""),IF(AND(AK41&lt;&gt;"",LEFT(AG41,2)&lt;&gt;"Va",AK41&lt;&gt;"H. Sale Real"),IF(AK45-AK41&lt;0.208333333333333,AK45-AK41,""),IF(AND(AK40&lt;&gt;"",LEFT(AG40,2)&lt;&gt;"Va",AK40&lt;&gt;"H. Sale Real"),IF(AK45-AK40&lt;0.208333333333333,AK45-AK40,""),""))))),""),"")</f>
        <v/>
      </c>
      <c r="AY44" s="87" t="n"/>
      <c r="AZ44" s="89" t="n"/>
      <c r="BA44" s="87" t="n"/>
      <c r="BB44" s="89" t="n"/>
      <c r="BC44" s="91" t="n"/>
      <c r="BD44" s="122">
        <f>IF(AK44&lt;&gt;"",IF(AND(BD43&lt;&gt;"IE",AT44&lt;&gt;0,AV44&lt;&gt;""),IF(IFERROR((AT44/AV44),0) &lt;=1,IFERROR(AT44/AV44,""),1),""),"")</f>
        <v/>
      </c>
      <c r="BE44" s="93" t="n"/>
      <c r="BF44" s="105" t="n"/>
      <c r="FC44" t="inlineStr">
        <is>
          <t>Diccionario 1</t>
        </is>
      </c>
      <c r="FD44" s="15" t="n">
        <v>1041</v>
      </c>
      <c r="FE44" s="15" t="inlineStr">
        <is>
          <t>D8481625K2PL</t>
        </is>
      </c>
      <c r="FF44" s="15" t="inlineStr">
        <is>
          <t>YV3T7U526KA195174</t>
        </is>
      </c>
      <c r="FG44" s="15" t="inlineStr">
        <is>
          <t>Volvo</t>
        </is>
      </c>
      <c r="FH44" s="15" t="inlineStr">
        <is>
          <t>B8R</t>
        </is>
      </c>
      <c r="FI44" s="15" t="inlineStr">
        <is>
          <t>MARCOPOLO</t>
        </is>
      </c>
      <c r="FJ44" s="15" t="inlineStr">
        <is>
          <t>TORINO</t>
        </is>
      </c>
      <c r="FK44" s="15" t="n">
        <v>2019</v>
      </c>
      <c r="FL44" s="15" t="inlineStr">
        <is>
          <t>B2PAL</t>
        </is>
      </c>
      <c r="FM44" s="15" t="inlineStr">
        <is>
          <t>LOS LIBERTADORES</t>
        </is>
      </c>
      <c r="FN44" s="15" t="inlineStr">
        <is>
          <t>Los Liberadores 6450, Lote 4A</t>
        </is>
      </c>
      <c r="FO44" s="15" t="inlineStr">
        <is>
          <t>Huechuraba</t>
        </is>
      </c>
      <c r="FP44" t="inlineStr">
        <is>
          <t>B</t>
        </is>
      </c>
      <c r="FS44" s="14" t="inlineStr">
        <is>
          <t>3012 / SFWB-72|</t>
        </is>
      </c>
      <c r="FT44" t="inlineStr">
        <is>
          <t>SFWB-72|</t>
        </is>
      </c>
      <c r="FU44" t="inlineStr">
        <is>
          <t>SFWB-72</t>
        </is>
      </c>
      <c r="FV44">
        <f>VLOOKUP(FU44,FD:FL,9,0)</f>
        <v/>
      </c>
      <c r="FZ44" s="51" t="inlineStr">
        <is>
          <t>B02n</t>
        </is>
      </c>
      <c r="GA44" t="n">
        <v>24.595</v>
      </c>
      <c r="GB44" t="n">
        <v>25.695</v>
      </c>
      <c r="GC44" t="n">
        <v>26.6</v>
      </c>
      <c r="GD44" t="n">
        <v>26.475</v>
      </c>
      <c r="GE44" t="n">
        <v>26</v>
      </c>
      <c r="GF44" t="n">
        <v>12.13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10.955</v>
      </c>
      <c r="GX44" t="n">
        <v>22.565</v>
      </c>
      <c r="HA44" s="35" t="n">
        <v>41</v>
      </c>
      <c r="HB44" s="35" t="n">
        <v>38</v>
      </c>
      <c r="HE44" t="inlineStr">
        <is>
          <t>U9</t>
        </is>
      </c>
      <c r="HF44" s="46" t="inlineStr">
        <is>
          <t>B07y</t>
        </is>
      </c>
      <c r="HG44" s="46" t="inlineStr">
        <is>
          <t>B07y</t>
        </is>
      </c>
      <c r="HH44" s="14" t="n">
        <v>9</v>
      </c>
      <c r="HL44" t="inlineStr">
        <is>
          <t>AlfaU9</t>
        </is>
      </c>
      <c r="HM44" s="46" t="inlineStr">
        <is>
          <t>B07y</t>
        </is>
      </c>
      <c r="HN44" s="26" t="inlineStr">
        <is>
          <t>Santa Marta</t>
        </is>
      </c>
      <c r="HO44" s="14" t="inlineStr">
        <is>
          <t>807y</t>
        </is>
      </c>
    </row>
    <row r="45" ht="15.5" customHeight="1">
      <c r="A45" s="10">
        <f>HOUR(G45)+1</f>
        <v/>
      </c>
      <c r="B45" s="7" t="n"/>
      <c r="C45" s="7" t="n"/>
      <c r="D45" s="85">
        <f>IFERROR(
IF(AND(OR(Planilla!B45="C",Planilla!B45="c"), VLOOKUP(E45,FD:FP,13,0)="C"), "OK",IF(AND(OR(Planilla!B45="C",Planilla!B45="c"), OR(VLOOKUP(E45,FD:FP,13,0)="B", VLOOKUP(E45,FD:FP,13,0)="A")), "DEFICIT",IF(
AND(OR(Planilla!B45="B", Planilla!B45="BPAL"), VLOOKUP(E45,FD:FP,13,0)="B"), "OK",IF(AND(OR(Planilla!B45="B", Planilla!B45="BPAL"), VLOOKUP(E45,FD:FP,13,0)="A"), "DEFICIT",IF(AND(OR(Planilla!B45="B", Planilla!B45="BPAL"), VLOOKUP(E45,FD:FP,13,0)="C"), "SOBREOFERTA",IF(AND(Planilla!B45="A", VLOOKUP(E45,FD:FP,13,0)="A"), "OK",IF(
AND(Planilla!B45="A", OR(VLOOKUP(E45,FD:FP,13,0)="B", VLOOKUP(E45,FD:FP,13,0)="C")), "SOBREOFERTA",""
))))))),"")</f>
        <v/>
      </c>
      <c r="E45" s="8" t="n"/>
      <c r="F45" s="86" t="n"/>
      <c r="G45" s="87" t="n"/>
      <c r="H45" s="88">
        <f>IF(I45="","",IF(AND((I45-G45)&gt;=TIME(0,0,0),(I45-G45)&lt;TIME(0,3,0)),"OK",IF(AND((I45-G45)&gt;=TIME(0,3,0),(I45-G45)&lt;TIME(0,5,0)),"RETRASO DE 3-5 MIN",IF(AND((I45-G45)&gt;=TIME(0,5,0),(I45-G45)&lt;TIME(0,10,0)),"RETRASO DE 5-10 MIN",IF((I45-G45)&gt;=TIME(0,10,0),"RETRASO &gt;10 MIN", IF(AND((G45-I45)&gt;=TIME(0,0,0),(G45-I45)&lt;TIME(0,3,0)),"OK",IF((G45-I45)&gt;=TIME(0,3,0),"ADELANTADO")))))))</f>
        <v/>
      </c>
      <c r="I45" s="89" t="n"/>
      <c r="J45" s="89">
        <f>IF(A45&lt;&gt;"",HLOOKUP(VALUE(TEXT(G45,"h:mm:ss")),IF($C$6="Laboral",$FZ$4:$GX$227,IF($C$6="Sábado",$FZ$231:$GX$452,$FZ$456:$GX$656)),VLOOKUP($C$4,$HF$2:$HH$99,3,0)+IF(C$5="Ida",0,1),1),"")</f>
        <v/>
      </c>
      <c r="K45" s="89">
        <f>IF(A46&lt;&gt;A45,AVERAGEIF(A$9:A45,A45,J$9:J45),"")</f>
        <v/>
      </c>
      <c r="L45" s="89">
        <f>IFERROR(IF(A46&lt;&gt;A45,AVERAGEIF(A$9:A45,A45,S$9:S45),""),"")</f>
        <v/>
      </c>
      <c r="M45" s="89">
        <f>IFERROR(IF(A46&lt;&gt;A45,AVERAGEIF(A$9:A45,A45,T$9:T45),""),"")</f>
        <v/>
      </c>
      <c r="N45" s="89">
        <f t="array" ref="N45">IFERROR(IF(A46&lt;&gt;A45,_xlfn.STDEV.P(IF(A$9:A45=A45,T$9:T45)),""),"")</f>
        <v/>
      </c>
      <c r="O45" s="89">
        <f t="array" ref="O45">IFERROR(IF(A46&lt;&gt;A45,_xlfn.STDEV.P(IF(A$9:A45=A45,S$9:S45)),""),"")</f>
        <v/>
      </c>
      <c r="P45" s="90">
        <f>IFERROR(IF(A45&lt;&gt;A46,MAX((((M45*24*60)/2)*(1+POWER((((N45*24*60) / (M45*24*60) )),2))) + ((M45*24*60 )*-0.1 + (K45*0.015)) +1,(((M45*24*60)/2)*(1+POWER((((N45*24*60) / (M45*24*60 ))),2)))),""),"")</f>
        <v/>
      </c>
      <c r="Q45" s="90">
        <f>IF(AND(O45&lt;&gt;"",L45&lt;&gt;""),IF(A45&lt;&gt;A46,((L45*24*60) / 2 ) * (1 + POWER(((O45*24*60) / (L45*24*60)),2)),""),"")</f>
        <v/>
      </c>
      <c r="R45" s="90">
        <f>IF(Q45&lt;&gt;"",MAX(P45,Q45),"")</f>
        <v/>
      </c>
      <c r="S45" s="89">
        <f>IF(I45&lt;&gt;"H. Sale Real",IF(AND(I46&lt;&gt;"",LEFT(C46,2)&lt;&gt;"Va"),IF(AND(I45&lt;&gt;"",LEFT(C45,2)&lt;&gt;"Va",I45&lt;&gt;"H. Sale Real"),IF(I46-I45&lt;0.208333333333333,I46-I45,""),IF(AND(I44&lt;&gt;"",LEFT(C44,2)&lt;&gt;"Va",I44&lt;&gt;"H. Sale Real"),IF(I46-I44&lt;0.208333333333333,I46-I44,""),IF(AND(I43&lt;&gt;"",LEFT(C43,2)&lt;&gt;"Va",I43&lt;&gt;"H. Sale Real"),IF(I46-I43&lt;0.208333333333333,I46-I43,""),IF(AND(I42&lt;&gt;"",LEFT(C42,2)&lt;&gt;"Va",I42&lt;&gt;"H. Sale Real"),IF(I46-I42&lt;0.208333333333333,I46-I42,""),IF(AND(I41&lt;&gt;"",LEFT(C41,2)&lt;&gt;"Va",I41&lt;&gt;"H. Sale Real"),IF(I46-I41&lt;0.208333333333333,I46-I41,""),""))))),""),"")</f>
        <v/>
      </c>
      <c r="T45" s="89">
        <f>IF(G45&lt;&gt;"H. Sale Real",IF(AND(G46&lt;&gt;"",LEFT(C46,2)&lt;&gt;"Va"),IF(AND(G45&lt;&gt;"",LEFT(C45,2)&lt;&gt;"Va",G45&lt;&gt;"H. Sale Real"),IF(G46-G45&lt;0.208333333333333,G46-G45,""),IF(AND(G44&lt;&gt;"",LEFT(C44,2)&lt;&gt;"Va",G44&lt;&gt;"H. Sale Real"),IF(G46-G44&lt;0.208333333333333,G46-G44,""),IF(AND(G43&lt;&gt;"",LEFT(C43,2)&lt;&gt;"Va",G43&lt;&gt;"H. Sale Real"),IF(G46-G43&lt;0.208333333333333,G46-G43,""),IF(AND(G42&lt;&gt;"",LEFT(C42,2)&lt;&gt;"Va",G42&lt;&gt;"H. Sale Real"),IF(G46-G42&lt;0.208333333333333,G46-G42,""),IF(AND(G41&lt;&gt;"",LEFT(C41,2)&lt;&gt;"Va",G41&lt;&gt;"H. Sale Real"),IF(G46-G41&lt;0.208333333333333,G46-G41,""),""))))),""),"")</f>
        <v/>
      </c>
      <c r="U45" s="87" t="n"/>
      <c r="V45" s="89" t="n"/>
      <c r="W45" s="87" t="n"/>
      <c r="X45" s="89" t="n"/>
      <c r="Y45" s="91" t="n"/>
      <c r="Z45" s="122">
        <f>IF(G45&lt;&gt;"",IF(AND(Z44&lt;&gt;"IE",P45&lt;&gt;0,R45&lt;&gt;""),IF(IFERROR((P45/R45),0) &lt;=1,IFERROR(P45/R45,""),1),""),"")</f>
        <v/>
      </c>
      <c r="AA45" s="93" t="n"/>
      <c r="AB45" s="2" t="n"/>
      <c r="AE45" s="10">
        <f>HOUR(AK45)+1</f>
        <v/>
      </c>
      <c r="AF45" s="7" t="n"/>
      <c r="AG45" s="7" t="n"/>
      <c r="AH45" s="86" t="n"/>
      <c r="AI45" s="8" t="n"/>
      <c r="AJ45" s="86" t="n"/>
      <c r="AK45" s="87" t="n"/>
      <c r="AL45" s="88">
        <f>IF(AM45="","",IF(AND((AM45-AK45)&gt;=TIME(0,0,0),(AM45-AK45)&lt;TIME(0,3,0)),"OK",IF(AND((AM45-AK45)&gt;=TIME(0,3,0),(AM45-AK45)&lt;TIME(0,5,0)),"RETRASO DE 3-5 MIN",IF(AND((AM45-AK45)&gt;=TIME(0,5,0),(AM45-AK45)&lt;TIME(0,10,0)),"RETRASO DE 5-10 MIN",IF((AM45-AK45)&gt;=TIME(0,10,0),"RETRASO &gt;10 MIN", IF(AND((AK45-AM45)&gt;=TIME(0,0,0),(AK45-AM45)&lt;TIME(0,3,0)),"OK",IF((AK45-AM45)&gt;=TIME(0,3,0),"ADELANTADO")))))))</f>
        <v/>
      </c>
      <c r="AM45" s="91" t="n"/>
      <c r="AN45" s="89">
        <f>IF(AE45&lt;&gt;"",HLOOKUP(VALUE(TEXT(AK45,"h:mm:ss")),IF($C$6="Laboral",$FZ$4:$GX$227,IF($C$6="Sábado",$FZ$231:$GX$452,$FZ$456:$GX$656)),VLOOKUP($C$4,$HF$2:$HH$99,3,0)+IF(AG$5="Ida",0,1),1),"")</f>
        <v/>
      </c>
      <c r="AO45" s="89">
        <f>IF(AE46&lt;&gt;AE45,AVERAGEIF(AE$9:AE45,AE45,AN$9:AN45),"")</f>
        <v/>
      </c>
      <c r="AP45" s="89">
        <f>IFERROR(IF(AE46&lt;&gt;AE45,AVERAGEIF(AE$9:AE45,AE45,AW$9:AW45),""),"")</f>
        <v/>
      </c>
      <c r="AQ45" s="89">
        <f>IFERROR(IF(AE46&lt;&gt;AE45,AVERAGEIF(AE$9:AE45,AE45,AX$9:AX45),""),"")</f>
        <v/>
      </c>
      <c r="AR45" s="89">
        <f t="array" ref="AR45">IFERROR(IF(AE46&lt;&gt;AE45,_xlfn.STDEV.P(IF(AE$9:AE45=AE45,AX$9:AX45)),""),"")</f>
        <v/>
      </c>
      <c r="AS45" s="89">
        <f t="array" ref="AS45">IFERROR(IF(AE46&lt;&gt;AE45,_xlfn.STDEV.P(IF(AE$9:AE45=AE45,AW$9:AW45)),""),"")</f>
        <v/>
      </c>
      <c r="AT45" s="90">
        <f>IFERROR(IF(AE45&lt;&gt;AE46,MAX((((AQ45*24*60)/2)*(1+POWER((((AR45*24*60) / (AQ45*24*60) )),2))) + ((AQ45*24*60 )*-0.1 + (AO45*0.015)) +1,(((AQ45*24*60)/2)*(1+POWER((((AR45*24*60) / (AQ45*24*60 ))),2)))),""),"")</f>
        <v/>
      </c>
      <c r="AU45" s="90">
        <f>IF(AND(AS45&lt;&gt;"",AP45&lt;&gt;""),IF(AE45&lt;&gt;AE46,((AP45*24*60) / 2 ) * (1 + POWER(((AS45*24*60) / (AP45*24*60)),2)),""),"")</f>
        <v/>
      </c>
      <c r="AV45" s="90">
        <f>IF(AU45&lt;&gt;"",MAX(AT45,AU45),"")</f>
        <v/>
      </c>
      <c r="AW45" s="89">
        <f>IF(AM45&lt;&gt;"H. Sale Real",IF(AND(AM46&lt;&gt;"",LEFT(AG46,2)&lt;&gt;"Va"),IF(AND(AM45&lt;&gt;"",LEFT(AG45,2)&lt;&gt;"Va",AM45&lt;&gt;"H. Sale Real"),IF(AM46-AM45&lt;0.208333333333333,AM46-AM45,""),IF(AND(AM44&lt;&gt;"",LEFT(AG44,2)&lt;&gt;"Va",AM44&lt;&gt;"H. Sale Real"),IF(AM46-AM44&lt;0.208333333333333,AM46-AM44,""),IF(AND(AM43&lt;&gt;"",LEFT(AG43,2)&lt;&gt;"Va",AM43&lt;&gt;"H. Sale Real"),IF(AM46-AM43&lt;0.208333333333333,AM46-AM43,""),IF(AND(AM42&lt;&gt;"",LEFT(AG42,2)&lt;&gt;"Va",AM42&lt;&gt;"H. Sale Real"),IF(AM46-AM42&lt;0.208333333333333,AM46-AM42,""),IF(AND(AM41&lt;&gt;"",LEFT(AG41,2)&lt;&gt;"Va",AM41&lt;&gt;"H. Sale Real"),IF(AM46-AM41&lt;0.208333333333333,AM46-AM41,""),""))))),""),"")</f>
        <v/>
      </c>
      <c r="AX45" s="89">
        <f>IF(AK45&lt;&gt;"H. Sale Real",IF(AND(AK46&lt;&gt;"",LEFT(AG46,2)&lt;&gt;"Va"),IF(AND(AK45&lt;&gt;"",LEFT(AG45,2)&lt;&gt;"Va",AK45&lt;&gt;"H. Sale Real"),IF(AK46-AK45&lt;0.208333333333333,AK46-AK45,""),IF(AND(AK44&lt;&gt;"",LEFT(AG44,2)&lt;&gt;"Va",AK44&lt;&gt;"H. Sale Real"),IF(AK46-AK44&lt;0.208333333333333,AK46-AK44,""),IF(AND(AK43&lt;&gt;"",LEFT(AG43,2)&lt;&gt;"NC",AK43&lt;&gt;"H. Sale Real"),IF(AK46-AK43&lt;0.208333333333333,AK46-AK43,""),IF(AND(AK42&lt;&gt;"",LEFT(AG42,2)&lt;&gt;"Va",AK42&lt;&gt;"H. Sale Real"),IF(AK46-AK42&lt;0.208333333333333,AK46-AK42,""),IF(AND(AK41&lt;&gt;"",LEFT(AG41,2)&lt;&gt;"Va",AK41&lt;&gt;"H. Sale Real"),IF(AK46-AK41&lt;0.208333333333333,AK46-AK41,""),""))))),""),"")</f>
        <v/>
      </c>
      <c r="AY45" s="87" t="n"/>
      <c r="AZ45" s="89" t="n"/>
      <c r="BA45" s="87" t="n"/>
      <c r="BB45" s="89" t="n"/>
      <c r="BC45" s="91" t="n"/>
      <c r="BD45" s="122">
        <f>IF(AK45&lt;&gt;"",IF(AND(BD44&lt;&gt;"IE",AT45&lt;&gt;0,AV45&lt;&gt;""),IF(IFERROR((AT45/AV45),0) &lt;=1,IFERROR(AT45/AV45,""),1),""),"")</f>
        <v/>
      </c>
      <c r="BE45" s="93" t="n"/>
      <c r="BF45" s="105" t="n"/>
      <c r="FC45" t="inlineStr">
        <is>
          <t>Diccionario 1</t>
        </is>
      </c>
      <c r="FD45" s="15" t="n">
        <v>1042</v>
      </c>
      <c r="FE45" s="15" t="inlineStr">
        <is>
          <t>D8481615K2PL</t>
        </is>
      </c>
      <c r="FF45" s="15" t="inlineStr">
        <is>
          <t>YV3T7U524KA195173</t>
        </is>
      </c>
      <c r="FG45" s="15" t="inlineStr">
        <is>
          <t>Volvo</t>
        </is>
      </c>
      <c r="FH45" s="15" t="inlineStr">
        <is>
          <t>B8R</t>
        </is>
      </c>
      <c r="FI45" s="15" t="inlineStr">
        <is>
          <t>MARCOPOLO</t>
        </is>
      </c>
      <c r="FJ45" s="15" t="inlineStr">
        <is>
          <t>TORINO</t>
        </is>
      </c>
      <c r="FK45" s="15" t="n">
        <v>2019</v>
      </c>
      <c r="FL45" s="15" t="inlineStr">
        <is>
          <t>B2PAL</t>
        </is>
      </c>
      <c r="FM45" s="15" t="inlineStr">
        <is>
          <t>LOS LIBERTADORES</t>
        </is>
      </c>
      <c r="FN45" s="15" t="inlineStr">
        <is>
          <t>Los Liberadores 6450, Lote 4A</t>
        </is>
      </c>
      <c r="FO45" s="15" t="inlineStr">
        <is>
          <t>Huechuraba</t>
        </is>
      </c>
      <c r="FP45" t="inlineStr">
        <is>
          <t>B</t>
        </is>
      </c>
      <c r="FS45" s="14" t="inlineStr">
        <is>
          <t>3012 / SFWB-72|</t>
        </is>
      </c>
      <c r="FT45" t="inlineStr">
        <is>
          <t>SFWB-72|</t>
        </is>
      </c>
      <c r="FU45" t="inlineStr">
        <is>
          <t>SFWB-72</t>
        </is>
      </c>
      <c r="FV45">
        <f>VLOOKUP(FU45,FD:FL,9,0)</f>
        <v/>
      </c>
      <c r="FZ45" s="51" t="inlineStr">
        <is>
          <t>B04</t>
        </is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19.165</v>
      </c>
      <c r="GG45" t="n">
        <v>15.26</v>
      </c>
      <c r="GH45" t="n">
        <v>13.47</v>
      </c>
      <c r="GI45" t="n">
        <v>14.89</v>
      </c>
      <c r="GJ45" t="n">
        <v>15.685</v>
      </c>
      <c r="GK45" t="n">
        <v>15.995</v>
      </c>
      <c r="GL45" t="n">
        <v>15.765</v>
      </c>
      <c r="GM45" t="n">
        <v>15.49</v>
      </c>
      <c r="GN45" t="n">
        <v>15.485</v>
      </c>
      <c r="GO45" t="n">
        <v>15.095</v>
      </c>
      <c r="GP45" t="n">
        <v>14.615</v>
      </c>
      <c r="GQ45" t="n">
        <v>13.63</v>
      </c>
      <c r="GR45" t="n">
        <v>12.71</v>
      </c>
      <c r="GS45" t="n">
        <v>14.45</v>
      </c>
      <c r="GT45" t="n">
        <v>16.99</v>
      </c>
      <c r="GU45" t="n">
        <v>19.38</v>
      </c>
      <c r="GV45" t="n">
        <v>20.59</v>
      </c>
      <c r="GW45" t="n">
        <v>21.655</v>
      </c>
      <c r="GX45" t="n">
        <v>11.745</v>
      </c>
      <c r="HA45" s="35" t="n">
        <v>42</v>
      </c>
      <c r="HB45" s="35" t="n">
        <v>39</v>
      </c>
      <c r="HE45" t="inlineStr">
        <is>
          <t>U9</t>
        </is>
      </c>
      <c r="HF45" s="46" t="inlineStr">
        <is>
          <t>B18e</t>
        </is>
      </c>
      <c r="HG45" s="46" t="inlineStr">
        <is>
          <t>B18e</t>
        </is>
      </c>
      <c r="HH45" s="14" t="n">
        <v>22</v>
      </c>
      <c r="HL45" t="inlineStr">
        <is>
          <t>AlfaU9</t>
        </is>
      </c>
      <c r="HM45" s="46" t="inlineStr">
        <is>
          <t>B18e</t>
        </is>
      </c>
      <c r="HN45" s="26" t="inlineStr">
        <is>
          <t>Santa Marta</t>
        </is>
      </c>
      <c r="HO45" s="14" t="inlineStr">
        <is>
          <t>818e</t>
        </is>
      </c>
    </row>
    <row r="46" ht="15.5" customHeight="1">
      <c r="A46" s="10">
        <f>HOUR(G46)+1</f>
        <v/>
      </c>
      <c r="B46" s="7" t="n"/>
      <c r="C46" s="7" t="n"/>
      <c r="D46" s="85">
        <f>IFERROR(
IF(AND(OR(Planilla!B46="C",Planilla!B46="c"), VLOOKUP(E46,FD:FP,13,0)="C"), "OK",IF(AND(OR(Planilla!B46="C",Planilla!B46="c"), OR(VLOOKUP(E46,FD:FP,13,0)="B", VLOOKUP(E46,FD:FP,13,0)="A")), "DEFICIT",IF(
AND(OR(Planilla!B46="B", Planilla!B46="BPAL"), VLOOKUP(E46,FD:FP,13,0)="B"), "OK",IF(AND(OR(Planilla!B46="B", Planilla!B46="BPAL"), VLOOKUP(E46,FD:FP,13,0)="A"), "DEFICIT",IF(AND(OR(Planilla!B46="B", Planilla!B46="BPAL"), VLOOKUP(E46,FD:FP,13,0)="C"), "SOBREOFERTA",IF(AND(Planilla!B46="A", VLOOKUP(E46,FD:FP,13,0)="A"), "OK",IF(
AND(Planilla!B46="A", OR(VLOOKUP(E46,FD:FP,13,0)="B", VLOOKUP(E46,FD:FP,13,0)="C")), "SOBREOFERTA",""
))))))),"")</f>
        <v/>
      </c>
      <c r="E46" s="8" t="n"/>
      <c r="F46" s="86" t="n"/>
      <c r="G46" s="87" t="n"/>
      <c r="H46" s="88">
        <f>IF(I46="","",IF(AND((I46-G46)&gt;=TIME(0,0,0),(I46-G46)&lt;TIME(0,3,0)),"OK",IF(AND((I46-G46)&gt;=TIME(0,3,0),(I46-G46)&lt;TIME(0,5,0)),"RETRASO DE 3-5 MIN",IF(AND((I46-G46)&gt;=TIME(0,5,0),(I46-G46)&lt;TIME(0,10,0)),"RETRASO DE 5-10 MIN",IF((I46-G46)&gt;=TIME(0,10,0),"RETRASO &gt;10 MIN", IF(AND((G46-I46)&gt;=TIME(0,0,0),(G46-I46)&lt;TIME(0,3,0)),"OK",IF((G46-I46)&gt;=TIME(0,3,0),"ADELANTADO")))))))</f>
        <v/>
      </c>
      <c r="I46" s="89" t="n"/>
      <c r="J46" s="89">
        <f>IF(A46&lt;&gt;"",HLOOKUP(VALUE(TEXT(G46,"h:mm:ss")),IF($C$6="Laboral",$FZ$4:$GX$227,IF($C$6="Sábado",$FZ$231:$GX$452,$FZ$456:$GX$656)),VLOOKUP($C$4,$HF$2:$HH$99,3,0)+IF(C$5="Ida",0,1),1),"")</f>
        <v/>
      </c>
      <c r="K46" s="89">
        <f>IF(A47&lt;&gt;A46,AVERAGEIF(A$9:A46,A46,J$9:J46),"")</f>
        <v/>
      </c>
      <c r="L46" s="89">
        <f>IFERROR(IF(A47&lt;&gt;A46,AVERAGEIF(A$9:A46,A46,S$9:S46),""),"")</f>
        <v/>
      </c>
      <c r="M46" s="89">
        <f>IFERROR(IF(A47&lt;&gt;A46,AVERAGEIF(A$9:A46,A46,T$9:T46),""),"")</f>
        <v/>
      </c>
      <c r="N46" s="89">
        <f t="array" ref="N46">IFERROR(IF(A47&lt;&gt;A46,_xlfn.STDEV.P(IF(A$9:A46=A46,T$9:T46)),""),"")</f>
        <v/>
      </c>
      <c r="O46" s="89">
        <f t="array" ref="O46">IFERROR(IF(A47&lt;&gt;A46,_xlfn.STDEV.P(IF(A$9:A46=A46,S$9:S46)),""),"")</f>
        <v/>
      </c>
      <c r="P46" s="90">
        <f>IFERROR(IF(A46&lt;&gt;A47,MAX((((M46*24*60)/2)*(1+POWER((((N46*24*60) / (M46*24*60) )),2))) + ((M46*24*60 )*-0.1 + (K46*0.015)) +1,(((M46*24*60)/2)*(1+POWER((((N46*24*60) / (M46*24*60 ))),2)))),""),"")</f>
        <v/>
      </c>
      <c r="Q46" s="90">
        <f>IF(AND(O46&lt;&gt;"",L46&lt;&gt;""),IF(A46&lt;&gt;A47,((L46*24*60) / 2 ) * (1 + POWER(((O46*24*60) / (L46*24*60)),2)),""),"")</f>
        <v/>
      </c>
      <c r="R46" s="90">
        <f>IF(Q46&lt;&gt;"",MAX(P46,Q46),"")</f>
        <v/>
      </c>
      <c r="S46" s="89">
        <f>IF(I46&lt;&gt;"H. Sale Real",IF(AND(I47&lt;&gt;"",LEFT(C47,2)&lt;&gt;"Va"),IF(AND(I46&lt;&gt;"",LEFT(C46,2)&lt;&gt;"Va",I46&lt;&gt;"H. Sale Real"),IF(I47-I46&lt;0.208333333333333,I47-I46,""),IF(AND(I45&lt;&gt;"",LEFT(C45,2)&lt;&gt;"Va",I45&lt;&gt;"H. Sale Real"),IF(I47-I45&lt;0.208333333333333,I47-I45,""),IF(AND(I44&lt;&gt;"",LEFT(C44,2)&lt;&gt;"Va",I44&lt;&gt;"H. Sale Real"),IF(I47-I44&lt;0.208333333333333,I47-I44,""),IF(AND(I43&lt;&gt;"",LEFT(C43,2)&lt;&gt;"Va",I43&lt;&gt;"H. Sale Real"),IF(I47-I43&lt;0.208333333333333,I47-I43,""),IF(AND(I42&lt;&gt;"",LEFT(C42,2)&lt;&gt;"Va",I42&lt;&gt;"H. Sale Real"),IF(I47-I42&lt;0.208333333333333,I47-I42,""),""))))),""),"")</f>
        <v/>
      </c>
      <c r="T46" s="89">
        <f>IF(G46&lt;&gt;"H. Sale Real",IF(AND(G47&lt;&gt;"",LEFT(C47,2)&lt;&gt;"Va"),IF(AND(G46&lt;&gt;"",LEFT(C46,2)&lt;&gt;"Va",G46&lt;&gt;"H. Sale Real"),IF(G47-G46&lt;0.208333333333333,G47-G46,""),IF(AND(G45&lt;&gt;"",LEFT(C45,2)&lt;&gt;"Va",G45&lt;&gt;"H. Sale Real"),IF(G47-G45&lt;0.208333333333333,G47-G45,""),IF(AND(G44&lt;&gt;"",LEFT(C44,2)&lt;&gt;"Va",G44&lt;&gt;"H. Sale Real"),IF(G47-G44&lt;0.208333333333333,G47-G44,""),IF(AND(G43&lt;&gt;"",LEFT(C43,2)&lt;&gt;"Va",G43&lt;&gt;"H. Sale Real"),IF(G47-G43&lt;0.208333333333333,G47-G43,""),IF(AND(G42&lt;&gt;"",LEFT(C42,2)&lt;&gt;"Va",G42&lt;&gt;"H. Sale Real"),IF(G47-G42&lt;0.208333333333333,G47-G42,""),""))))),""),"")</f>
        <v/>
      </c>
      <c r="U46" s="87" t="n"/>
      <c r="V46" s="89" t="n"/>
      <c r="W46" s="87" t="n"/>
      <c r="X46" s="89" t="n"/>
      <c r="Y46" s="91" t="n"/>
      <c r="Z46" s="122">
        <f>IF(G46&lt;&gt;"",IF(AND(Z45&lt;&gt;"IE",P46&lt;&gt;0,R46&lt;&gt;""),IF(IFERROR((P46/R46),0) &lt;=1,IFERROR(P46/R46,""),1),""),"")</f>
        <v/>
      </c>
      <c r="AA46" s="93" t="n"/>
      <c r="AB46" s="2" t="n"/>
      <c r="AE46" s="10">
        <f>HOUR(AK46)+1</f>
        <v/>
      </c>
      <c r="AF46" s="7" t="n"/>
      <c r="AG46" s="7" t="n"/>
      <c r="AH46" s="86" t="n"/>
      <c r="AI46" s="8" t="n"/>
      <c r="AJ46" s="86" t="n"/>
      <c r="AK46" s="87" t="n"/>
      <c r="AL46" s="88">
        <f>IF(AM46="","",IF(AND((AM46-AK46)&gt;=TIME(0,0,0),(AM46-AK46)&lt;TIME(0,3,0)),"OK",IF(AND((AM46-AK46)&gt;=TIME(0,3,0),(AM46-AK46)&lt;TIME(0,5,0)),"RETRASO DE 3-5 MIN",IF(AND((AM46-AK46)&gt;=TIME(0,5,0),(AM46-AK46)&lt;TIME(0,10,0)),"RETRASO DE 5-10 MIN",IF((AM46-AK46)&gt;=TIME(0,10,0),"RETRASO &gt;10 MIN", IF(AND((AK46-AM46)&gt;=TIME(0,0,0),(AK46-AM46)&lt;TIME(0,3,0)),"OK",IF((AK46-AM46)&gt;=TIME(0,3,0),"ADELANTADO")))))))</f>
        <v/>
      </c>
      <c r="AM46" s="91" t="n"/>
      <c r="AN46" s="89">
        <f>IF(AE46&lt;&gt;"",HLOOKUP(VALUE(TEXT(AK46,"h:mm:ss")),IF($C$6="Laboral",$FZ$4:$GX$227,IF($C$6="Sábado",$FZ$231:$GX$452,$FZ$456:$GX$656)),VLOOKUP($C$4,$HF$2:$HH$99,3,0)+IF(AG$5="Ida",0,1),1),"")</f>
        <v/>
      </c>
      <c r="AO46" s="89">
        <f>IF(AE47&lt;&gt;AE46,AVERAGEIF(AE$9:AE46,AE46,AN$9:AN46),"")</f>
        <v/>
      </c>
      <c r="AP46" s="89">
        <f>IFERROR(IF(AE47&lt;&gt;AE46,AVERAGEIF(AE$9:AE46,AE46,AW$9:AW46),""),"")</f>
        <v/>
      </c>
      <c r="AQ46" s="89">
        <f>IFERROR(IF(AE47&lt;&gt;AE46,AVERAGEIF(AE$9:AE46,AE46,AX$9:AX46),""),"")</f>
        <v/>
      </c>
      <c r="AR46" s="89">
        <f t="array" ref="AR46">IFERROR(IF(AE47&lt;&gt;AE46,_xlfn.STDEV.P(IF(AE$9:AE46=AE46,AX$9:AX46)),""),"")</f>
        <v/>
      </c>
      <c r="AS46" s="89">
        <f t="array" ref="AS46">IFERROR(IF(AE47&lt;&gt;AE46,_xlfn.STDEV.P(IF(AE$9:AE46=AE46,AW$9:AW46)),""),"")</f>
        <v/>
      </c>
      <c r="AT46" s="90">
        <f>IFERROR(IF(AE46&lt;&gt;AE47,MAX((((AQ46*24*60)/2)*(1+POWER((((AR46*24*60) / (AQ46*24*60) )),2))) + ((AQ46*24*60 )*-0.1 + (AO46*0.015)) +1,(((AQ46*24*60)/2)*(1+POWER((((AR46*24*60) / (AQ46*24*60 ))),2)))),""),"")</f>
        <v/>
      </c>
      <c r="AU46" s="90">
        <f>IF(AND(AS46&lt;&gt;"",AP46&lt;&gt;""),IF(AE46&lt;&gt;AE47,((AP46*24*60) / 2 ) * (1 + POWER(((AS46*24*60) / (AP46*24*60)),2)),""),"")</f>
        <v/>
      </c>
      <c r="AV46" s="90">
        <f>IF(AU46&lt;&gt;"",MAX(AT46,AU46),"")</f>
        <v/>
      </c>
      <c r="AW46" s="89">
        <f>IF(AM46&lt;&gt;"H. Sale Real",IF(AND(AM47&lt;&gt;"",LEFT(AG47,2)&lt;&gt;"Va"),IF(AND(AM46&lt;&gt;"",LEFT(AG46,2)&lt;&gt;"Va",AM46&lt;&gt;"H. Sale Real"),IF(AM47-AM46&lt;0.208333333333333,AM47-AM46,""),IF(AND(AM45&lt;&gt;"",LEFT(AG45,2)&lt;&gt;"Va",AM45&lt;&gt;"H. Sale Real"),IF(AM47-AM45&lt;0.208333333333333,AM47-AM45,""),IF(AND(AM44&lt;&gt;"",LEFT(AG44,2)&lt;&gt;"Va",AM44&lt;&gt;"H. Sale Real"),IF(AM47-AM44&lt;0.208333333333333,AM47-AM44,""),IF(AND(AM43&lt;&gt;"",LEFT(AG43,2)&lt;&gt;"Va",AM43&lt;&gt;"H. Sale Real"),IF(AM47-AM43&lt;0.208333333333333,AM47-AM43,""),IF(AND(AM42&lt;&gt;"",LEFT(AG42,2)&lt;&gt;"Va",AM42&lt;&gt;"H. Sale Real"),IF(AM47-AM42&lt;0.208333333333333,AM47-AM42,""),""))))),""),"")</f>
        <v/>
      </c>
      <c r="AX46" s="89">
        <f>IF(AK46&lt;&gt;"H. Sale Real",IF(AND(AK47&lt;&gt;"",LEFT(AG47,2)&lt;&gt;"Va"),IF(AND(AK46&lt;&gt;"",LEFT(AG46,2)&lt;&gt;"Va",AK46&lt;&gt;"H. Sale Real"),IF(AK47-AK46&lt;0.208333333333333,AK47-AK46,""),IF(AND(AK45&lt;&gt;"",LEFT(AG45,2)&lt;&gt;"Va",AK45&lt;&gt;"H. Sale Real"),IF(AK47-AK45&lt;0.208333333333333,AK47-AK45,""),IF(AND(AK44&lt;&gt;"",LEFT(AG44,2)&lt;&gt;"NC",AK44&lt;&gt;"H. Sale Real"),IF(AK47-AK44&lt;0.208333333333333,AK47-AK44,""),IF(AND(AK43&lt;&gt;"",LEFT(AG43,2)&lt;&gt;"Va",AK43&lt;&gt;"H. Sale Real"),IF(AK47-AK43&lt;0.208333333333333,AK47-AK43,""),IF(AND(AK42&lt;&gt;"",LEFT(AG42,2)&lt;&gt;"Va",AK42&lt;&gt;"H. Sale Real"),IF(AK47-AK42&lt;0.208333333333333,AK47-AK42,""),""))))),""),"")</f>
        <v/>
      </c>
      <c r="AY46" s="87" t="n"/>
      <c r="AZ46" s="89" t="n"/>
      <c r="BA46" s="87" t="n"/>
      <c r="BB46" s="89" t="n"/>
      <c r="BC46" s="91" t="n"/>
      <c r="BD46" s="122">
        <f>IF(AK46&lt;&gt;"",IF(AND(BD45&lt;&gt;"IE",AT46&lt;&gt;0,AV46&lt;&gt;""),IF(IFERROR((AT46/AV46),0) &lt;=1,IFERROR(AT46/AV46,""),1),""),"")</f>
        <v/>
      </c>
      <c r="BE46" s="93" t="n"/>
      <c r="BF46" s="105" t="n"/>
      <c r="FC46" t="inlineStr">
        <is>
          <t>Diccionario 1</t>
        </is>
      </c>
      <c r="FD46" s="15" t="n">
        <v>1043</v>
      </c>
      <c r="FE46" s="15" t="inlineStr">
        <is>
          <t>D8481618K2PL</t>
        </is>
      </c>
      <c r="FF46" s="15" t="inlineStr">
        <is>
          <t>YV3T7U52XKA195176</t>
        </is>
      </c>
      <c r="FG46" s="15" t="inlineStr">
        <is>
          <t>Volvo</t>
        </is>
      </c>
      <c r="FH46" s="15" t="inlineStr">
        <is>
          <t>B8R</t>
        </is>
      </c>
      <c r="FI46" s="15" t="inlineStr">
        <is>
          <t>MARCOPOLO</t>
        </is>
      </c>
      <c r="FJ46" s="15" t="inlineStr">
        <is>
          <t>TORINO</t>
        </is>
      </c>
      <c r="FK46" s="15" t="n">
        <v>2019</v>
      </c>
      <c r="FL46" s="15" t="inlineStr">
        <is>
          <t>B2PAL</t>
        </is>
      </c>
      <c r="FM46" s="15" t="inlineStr">
        <is>
          <t>LOS LIBERTADORES</t>
        </is>
      </c>
      <c r="FN46" s="15" t="inlineStr">
        <is>
          <t>Los Liberadores 6450, Lote 4A</t>
        </is>
      </c>
      <c r="FO46" s="15" t="inlineStr">
        <is>
          <t>Huechuraba</t>
        </is>
      </c>
      <c r="FP46" t="inlineStr">
        <is>
          <t>B</t>
        </is>
      </c>
      <c r="FS46" s="14" t="inlineStr">
        <is>
          <t>3012 / SFWB-72|</t>
        </is>
      </c>
      <c r="FT46" t="inlineStr">
        <is>
          <t>SFWB-72|</t>
        </is>
      </c>
      <c r="FU46" t="inlineStr">
        <is>
          <t>SFWB-72</t>
        </is>
      </c>
      <c r="FV46">
        <f>VLOOKUP(FU46,FD:FL,9,0)</f>
        <v/>
      </c>
      <c r="FZ46" s="51" t="inlineStr">
        <is>
          <t>C18</t>
        </is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12.42</v>
      </c>
      <c r="GG46" t="n">
        <v>22.405</v>
      </c>
      <c r="GH46" t="n">
        <v>18.035</v>
      </c>
      <c r="GI46" t="n">
        <v>19.93</v>
      </c>
      <c r="GJ46" t="n">
        <v>21.93</v>
      </c>
      <c r="GK46" t="n">
        <v>22.845</v>
      </c>
      <c r="GL46" t="n">
        <v>22.315</v>
      </c>
      <c r="GM46" t="n">
        <v>21.025</v>
      </c>
      <c r="GN46" t="n">
        <v>20.55</v>
      </c>
      <c r="GO46" t="n">
        <v>20.39</v>
      </c>
      <c r="GP46" t="n">
        <v>19.585</v>
      </c>
      <c r="GQ46" t="n">
        <v>18.45</v>
      </c>
      <c r="GR46" t="n">
        <v>17.405</v>
      </c>
      <c r="GS46" t="n">
        <v>18.23</v>
      </c>
      <c r="GT46" t="n">
        <v>20.35</v>
      </c>
      <c r="GU46" t="n">
        <v>23.085</v>
      </c>
      <c r="GV46" t="n">
        <v>24.375</v>
      </c>
      <c r="GW46" t="n">
        <v>26.055</v>
      </c>
      <c r="GX46" t="n">
        <v>28.43</v>
      </c>
      <c r="HA46" s="35" t="n">
        <v>43</v>
      </c>
      <c r="HB46" s="35" t="n">
        <v>40</v>
      </c>
      <c r="HE46" t="inlineStr">
        <is>
          <t>U9</t>
        </is>
      </c>
      <c r="HF46" s="46" t="inlineStr">
        <is>
          <t>B30n</t>
        </is>
      </c>
      <c r="HG46" s="46" t="inlineStr">
        <is>
          <t>B30n</t>
        </is>
      </c>
      <c r="HH46" s="14" t="n">
        <v>33</v>
      </c>
      <c r="HL46" t="inlineStr">
        <is>
          <t>AlfaU9</t>
        </is>
      </c>
      <c r="HM46" s="46" t="inlineStr">
        <is>
          <t>B30n</t>
        </is>
      </c>
      <c r="HN46" s="26" t="inlineStr">
        <is>
          <t>El Retiro</t>
        </is>
      </c>
      <c r="HO46" s="14" t="inlineStr">
        <is>
          <t>830N</t>
        </is>
      </c>
    </row>
    <row r="47" ht="15.5" customHeight="1">
      <c r="A47" s="10">
        <f>HOUR(G47)+1</f>
        <v/>
      </c>
      <c r="B47" s="7" t="n"/>
      <c r="C47" s="7" t="n"/>
      <c r="D47" s="85">
        <f>IFERROR(
IF(AND(OR(Planilla!B47="C",Planilla!B47="c"), VLOOKUP(E47,FD:FP,13,0)="C"), "OK",IF(AND(OR(Planilla!B47="C",Planilla!B47="c"), OR(VLOOKUP(E47,FD:FP,13,0)="B", VLOOKUP(E47,FD:FP,13,0)="A")), "DEFICIT",IF(
AND(OR(Planilla!B47="B", Planilla!B47="BPAL"), VLOOKUP(E47,FD:FP,13,0)="B"), "OK",IF(AND(OR(Planilla!B47="B", Planilla!B47="BPAL"), VLOOKUP(E47,FD:FP,13,0)="A"), "DEFICIT",IF(AND(OR(Planilla!B47="B", Planilla!B47="BPAL"), VLOOKUP(E47,FD:FP,13,0)="C"), "SOBREOFERTA",IF(AND(Planilla!B47="A", VLOOKUP(E47,FD:FP,13,0)="A"), "OK",IF(
AND(Planilla!B47="A", OR(VLOOKUP(E47,FD:FP,13,0)="B", VLOOKUP(E47,FD:FP,13,0)="C")), "SOBREOFERTA",""
))))))),"")</f>
        <v/>
      </c>
      <c r="E47" s="8" t="n"/>
      <c r="F47" s="86" t="n"/>
      <c r="G47" s="87" t="n"/>
      <c r="H47" s="88">
        <f>IF(I47="","",IF(AND((I47-G47)&gt;=TIME(0,0,0),(I47-G47)&lt;TIME(0,3,0)),"OK",IF(AND((I47-G47)&gt;=TIME(0,3,0),(I47-G47)&lt;TIME(0,5,0)),"RETRASO DE 3-5 MIN",IF(AND((I47-G47)&gt;=TIME(0,5,0),(I47-G47)&lt;TIME(0,10,0)),"RETRASO DE 5-10 MIN",IF((I47-G47)&gt;=TIME(0,10,0),"RETRASO &gt;10 MIN", IF(AND((G47-I47)&gt;=TIME(0,0,0),(G47-I47)&lt;TIME(0,3,0)),"OK",IF((G47-I47)&gt;=TIME(0,3,0),"ADELANTADO")))))))</f>
        <v/>
      </c>
      <c r="I47" s="89" t="n"/>
      <c r="J47" s="89">
        <f>IF(A47&lt;&gt;"",HLOOKUP(VALUE(TEXT(G47,"h:mm:ss")),IF($C$6="Laboral",$FZ$4:$GX$227,IF($C$6="Sábado",$FZ$231:$GX$452,$FZ$456:$GX$656)),VLOOKUP($C$4,$HF$2:$HH$99,3,0)+IF(C$5="Ida",0,1),1),"")</f>
        <v/>
      </c>
      <c r="K47" s="89">
        <f>IF(A48&lt;&gt;A47,AVERAGEIF(A$9:A47,A47,J$9:J47),"")</f>
        <v/>
      </c>
      <c r="L47" s="89">
        <f>IFERROR(IF(A48&lt;&gt;A47,AVERAGEIF(A$9:A47,A47,S$9:S47),""),"")</f>
        <v/>
      </c>
      <c r="M47" s="89">
        <f>IFERROR(IF(A48&lt;&gt;A47,AVERAGEIF(A$9:A47,A47,T$9:T47),""),"")</f>
        <v/>
      </c>
      <c r="N47" s="89">
        <f t="array" ref="N47">IFERROR(IF(A48&lt;&gt;A47,_xlfn.STDEV.P(IF(A$9:A47=A47,T$9:T47)),""),"")</f>
        <v/>
      </c>
      <c r="O47" s="89">
        <f t="array" ref="O47">IFERROR(IF(A48&lt;&gt;A47,_xlfn.STDEV.P(IF(A$9:A47=A47,S$9:S47)),""),"")</f>
        <v/>
      </c>
      <c r="P47" s="90">
        <f>IFERROR(IF(A47&lt;&gt;A48,MAX((((M47*24*60)/2)*(1+POWER((((N47*24*60) / (M47*24*60) )),2))) + ((M47*24*60 )*-0.1 + (K47*0.015)) +1,(((M47*24*60)/2)*(1+POWER((((N47*24*60) / (M47*24*60 ))),2)))),""),"")</f>
        <v/>
      </c>
      <c r="Q47" s="90">
        <f>IF(AND(O47&lt;&gt;"",L47&lt;&gt;""),IF(A47&lt;&gt;A48,((L47*24*60) / 2 ) * (1 + POWER(((O47*24*60) / (L47*24*60)),2)),""),"")</f>
        <v/>
      </c>
      <c r="R47" s="90">
        <f>IF(Q47&lt;&gt;"",MAX(P47,Q47),"")</f>
        <v/>
      </c>
      <c r="S47" s="89">
        <f>IF(I47&lt;&gt;"H. Sale Real",IF(AND(I48&lt;&gt;"",LEFT(C48,2)&lt;&gt;"Va"),IF(AND(I47&lt;&gt;"",LEFT(C47,2)&lt;&gt;"Va",I47&lt;&gt;"H. Sale Real"),IF(I48-I47&lt;0.208333333333333,I48-I47,""),IF(AND(I46&lt;&gt;"",LEFT(C46,2)&lt;&gt;"Va",I46&lt;&gt;"H. Sale Real"),IF(I48-I46&lt;0.208333333333333,I48-I46,""),IF(AND(I45&lt;&gt;"",LEFT(C45,2)&lt;&gt;"Va",I45&lt;&gt;"H. Sale Real"),IF(I48-I45&lt;0.208333333333333,I48-I45,""),IF(AND(I44&lt;&gt;"",LEFT(C44,2)&lt;&gt;"Va",I44&lt;&gt;"H. Sale Real"),IF(I48-I44&lt;0.208333333333333,I48-I44,""),IF(AND(I43&lt;&gt;"",LEFT(C43,2)&lt;&gt;"Va",I43&lt;&gt;"H. Sale Real"),IF(I48-I43&lt;0.208333333333333,I48-I43,""),""))))),""),"")</f>
        <v/>
      </c>
      <c r="T47" s="89">
        <f>IF(G47&lt;&gt;"H. Sale Real",IF(AND(G48&lt;&gt;"",LEFT(C48,2)&lt;&gt;"Va"),IF(AND(G47&lt;&gt;"",LEFT(C47,2)&lt;&gt;"Va",G47&lt;&gt;"H. Sale Real"),IF(G48-G47&lt;0.208333333333333,G48-G47,""),IF(AND(G46&lt;&gt;"",LEFT(C46,2)&lt;&gt;"Va",G46&lt;&gt;"H. Sale Real"),IF(G48-G46&lt;0.208333333333333,G48-G46,""),IF(AND(G45&lt;&gt;"",LEFT(C45,2)&lt;&gt;"Va",G45&lt;&gt;"H. Sale Real"),IF(G48-G45&lt;0.208333333333333,G48-G45,""),IF(AND(G44&lt;&gt;"",LEFT(C44,2)&lt;&gt;"Va",G44&lt;&gt;"H. Sale Real"),IF(G48-G44&lt;0.208333333333333,G48-G44,""),IF(AND(G43&lt;&gt;"",LEFT(C43,2)&lt;&gt;"Va",G43&lt;&gt;"H. Sale Real"),IF(G48-G43&lt;0.208333333333333,G48-G43,""),""))))),""),"")</f>
        <v/>
      </c>
      <c r="U47" s="87" t="n"/>
      <c r="V47" s="89" t="n"/>
      <c r="W47" s="87" t="n"/>
      <c r="X47" s="89" t="n"/>
      <c r="Y47" s="91" t="n"/>
      <c r="Z47" s="122">
        <f>IF(G47&lt;&gt;"",IF(AND(Z46&lt;&gt;"IE",P47&lt;&gt;0,R47&lt;&gt;""),IF(IFERROR((P47/R47),0) &lt;=1,IFERROR(P47/R47,""),1),""),"")</f>
        <v/>
      </c>
      <c r="AA47" s="93" t="n"/>
      <c r="AB47" s="2" t="n"/>
      <c r="AE47" s="10">
        <f>HOUR(AK47)+1</f>
        <v/>
      </c>
      <c r="AF47" s="7" t="n"/>
      <c r="AG47" s="7" t="n"/>
      <c r="AH47" s="86" t="n"/>
      <c r="AI47" s="8" t="n"/>
      <c r="AJ47" s="86" t="n"/>
      <c r="AK47" s="87" t="n"/>
      <c r="AL47" s="88">
        <f>IF(AM47="","",IF(AND((AM47-AK47)&gt;=TIME(0,0,0),(AM47-AK47)&lt;TIME(0,3,0)),"OK",IF(AND((AM47-AK47)&gt;=TIME(0,3,0),(AM47-AK47)&lt;TIME(0,5,0)),"RETRASO DE 3-5 MIN",IF(AND((AM47-AK47)&gt;=TIME(0,5,0),(AM47-AK47)&lt;TIME(0,10,0)),"RETRASO DE 5-10 MIN",IF((AM47-AK47)&gt;=TIME(0,10,0),"RETRASO &gt;10 MIN", IF(AND((AK47-AM47)&gt;=TIME(0,0,0),(AK47-AM47)&lt;TIME(0,3,0)),"OK",IF((AK47-AM47)&gt;=TIME(0,3,0),"ADELANTADO")))))))</f>
        <v/>
      </c>
      <c r="AM47" s="91" t="n"/>
      <c r="AN47" s="89">
        <f>IF(AE47&lt;&gt;"",HLOOKUP(VALUE(TEXT(AK47,"h:mm:ss")),IF($C$6="Laboral",$FZ$4:$GX$227,IF($C$6="Sábado",$FZ$231:$GX$452,$FZ$456:$GX$656)),VLOOKUP($C$4,$HF$2:$HH$99,3,0)+IF(AG$5="Ida",0,1),1),"")</f>
        <v/>
      </c>
      <c r="AO47" s="89">
        <f>IF(AE48&lt;&gt;AE47,AVERAGEIF(AE$9:AE47,AE47,AN$9:AN47),"")</f>
        <v/>
      </c>
      <c r="AP47" s="89">
        <f>IFERROR(IF(AE48&lt;&gt;AE47,AVERAGEIF(AE$9:AE47,AE47,AW$9:AW47),""),"")</f>
        <v/>
      </c>
      <c r="AQ47" s="89">
        <f>IFERROR(IF(AE48&lt;&gt;AE47,AVERAGEIF(AE$9:AE47,AE47,AX$9:AX47),""),"")</f>
        <v/>
      </c>
      <c r="AR47" s="89">
        <f t="array" ref="AR47">IFERROR(IF(AE48&lt;&gt;AE47,_xlfn.STDEV.P(IF(AE$9:AE47=AE47,AX$9:AX47)),""),"")</f>
        <v/>
      </c>
      <c r="AS47" s="89">
        <f t="array" ref="AS47">IFERROR(IF(AE48&lt;&gt;AE47,_xlfn.STDEV.P(IF(AE$9:AE47=AE47,AW$9:AW47)),""),"")</f>
        <v/>
      </c>
      <c r="AT47" s="90">
        <f>IFERROR(IF(AE47&lt;&gt;AE48,MAX((((AQ47*24*60)/2)*(1+POWER((((AR47*24*60) / (AQ47*24*60) )),2))) + ((AQ47*24*60 )*-0.1 + (AO47*0.015)) +1,(((AQ47*24*60)/2)*(1+POWER((((AR47*24*60) / (AQ47*24*60 ))),2)))),""),"")</f>
        <v/>
      </c>
      <c r="AU47" s="90">
        <f>IF(AND(AS47&lt;&gt;"",AP47&lt;&gt;""),IF(AE47&lt;&gt;AE48,((AP47*24*60) / 2 ) * (1 + POWER(((AS47*24*60) / (AP47*24*60)),2)),""),"")</f>
        <v/>
      </c>
      <c r="AV47" s="90">
        <f>IF(AU47&lt;&gt;"",MAX(AT47,AU47),"")</f>
        <v/>
      </c>
      <c r="AW47" s="89">
        <f>IF(AM47&lt;&gt;"H. Sale Real",IF(AND(AM48&lt;&gt;"",LEFT(AG48,2)&lt;&gt;"Va"),IF(AND(AM47&lt;&gt;"",LEFT(AG47,2)&lt;&gt;"Va",AM47&lt;&gt;"H. Sale Real"),IF(AM48-AM47&lt;0.208333333333333,AM48-AM47,""),IF(AND(AM46&lt;&gt;"",LEFT(AG46,2)&lt;&gt;"Va",AM46&lt;&gt;"H. Sale Real"),IF(AM48-AM46&lt;0.208333333333333,AM48-AM46,""),IF(AND(AM45&lt;&gt;"",LEFT(AG45,2)&lt;&gt;"Va",AM45&lt;&gt;"H. Sale Real"),IF(AM48-AM45&lt;0.208333333333333,AM48-AM45,""),IF(AND(AM44&lt;&gt;"",LEFT(AG44,2)&lt;&gt;"Va",AM44&lt;&gt;"H. Sale Real"),IF(AM48-AM44&lt;0.208333333333333,AM48-AM44,""),IF(AND(AM43&lt;&gt;"",LEFT(AG43,2)&lt;&gt;"Va",AM43&lt;&gt;"H. Sale Real"),IF(AM48-AM43&lt;0.208333333333333,AM48-AM43,""),""))))),""),"")</f>
        <v/>
      </c>
      <c r="AX47" s="89">
        <f>IF(AK47&lt;&gt;"H. Sale Real",IF(AND(AK48&lt;&gt;"",LEFT(AG48,2)&lt;&gt;"Va"),IF(AND(AK47&lt;&gt;"",LEFT(AG47,2)&lt;&gt;"Va",AK47&lt;&gt;"H. Sale Real"),IF(AK48-AK47&lt;0.208333333333333,AK48-AK47,""),IF(AND(AK46&lt;&gt;"",LEFT(AG46,2)&lt;&gt;"Va",AK46&lt;&gt;"H. Sale Real"),IF(AK48-AK46&lt;0.208333333333333,AK48-AK46,""),IF(AND(AK45&lt;&gt;"",LEFT(AG45,2)&lt;&gt;"NC",AK45&lt;&gt;"H. Sale Real"),IF(AK48-AK45&lt;0.208333333333333,AK48-AK45,""),IF(AND(AK44&lt;&gt;"",LEFT(AG44,2)&lt;&gt;"Va",AK44&lt;&gt;"H. Sale Real"),IF(AK48-AK44&lt;0.208333333333333,AK48-AK44,""),IF(AND(AK43&lt;&gt;"",LEFT(AG43,2)&lt;&gt;"Va",AK43&lt;&gt;"H. Sale Real"),IF(AK48-AK43&lt;0.208333333333333,AK48-AK43,""),""))))),""),"")</f>
        <v/>
      </c>
      <c r="AY47" s="87" t="n"/>
      <c r="AZ47" s="89" t="n"/>
      <c r="BA47" s="87" t="n"/>
      <c r="BB47" s="89" t="n"/>
      <c r="BC47" s="91" t="n"/>
      <c r="BD47" s="122">
        <f>IF(AK47&lt;&gt;"",IF(AND(BD46&lt;&gt;"IE",AT47&lt;&gt;0,AV47&lt;&gt;""),IF(IFERROR((AT47/AV47),0) &lt;=1,IFERROR(AT47/AV47,""),1),""),"")</f>
        <v/>
      </c>
      <c r="BE47" s="93" t="n"/>
      <c r="BF47" s="105" t="n"/>
      <c r="FC47" t="inlineStr">
        <is>
          <t>Diccionario 1</t>
        </is>
      </c>
      <c r="FD47" s="15" t="n">
        <v>1044</v>
      </c>
      <c r="FE47" s="15" t="inlineStr">
        <is>
          <t>D8481639K2PL</t>
        </is>
      </c>
      <c r="FF47" s="15" t="inlineStr">
        <is>
          <t>YV3T7U523KA195178</t>
        </is>
      </c>
      <c r="FG47" s="15" t="inlineStr">
        <is>
          <t>Volvo</t>
        </is>
      </c>
      <c r="FH47" s="15" t="inlineStr">
        <is>
          <t>B8R</t>
        </is>
      </c>
      <c r="FI47" s="15" t="inlineStr">
        <is>
          <t>MARCOPOLO</t>
        </is>
      </c>
      <c r="FJ47" s="15" t="inlineStr">
        <is>
          <t>TORINO</t>
        </is>
      </c>
      <c r="FK47" s="15" t="n">
        <v>2019</v>
      </c>
      <c r="FL47" s="15" t="inlineStr">
        <is>
          <t>B2PAL</t>
        </is>
      </c>
      <c r="FM47" s="15" t="inlineStr">
        <is>
          <t>LOS LIBERTADORES</t>
        </is>
      </c>
      <c r="FN47" s="15" t="inlineStr">
        <is>
          <t>Los Liberadores 6450, Lote 4A</t>
        </is>
      </c>
      <c r="FO47" s="15" t="inlineStr">
        <is>
          <t>Huechuraba</t>
        </is>
      </c>
      <c r="FP47" t="inlineStr">
        <is>
          <t>B</t>
        </is>
      </c>
      <c r="FS47" s="14" t="inlineStr">
        <is>
          <t>3012 / SFWB-72|</t>
        </is>
      </c>
      <c r="FT47" t="inlineStr">
        <is>
          <t>SFWB-72|</t>
        </is>
      </c>
      <c r="FU47" t="inlineStr">
        <is>
          <t>SFWB-72</t>
        </is>
      </c>
      <c r="FV47">
        <f>VLOOKUP(FU47,FD:FL,9,0)</f>
        <v/>
      </c>
      <c r="FZ47" s="51" t="inlineStr">
        <is>
          <t>C18</t>
        </is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12.38</v>
      </c>
      <c r="GG47" t="n">
        <v>21.95</v>
      </c>
      <c r="GH47" t="n">
        <v>18.51</v>
      </c>
      <c r="GI47" t="n">
        <v>19.625</v>
      </c>
      <c r="GJ47" t="n">
        <v>22.255</v>
      </c>
      <c r="GK47" t="n">
        <v>22.975</v>
      </c>
      <c r="GL47" t="n">
        <v>22.55</v>
      </c>
      <c r="GM47" t="n">
        <v>21.91</v>
      </c>
      <c r="GN47" t="n">
        <v>21.385</v>
      </c>
      <c r="GO47" t="n">
        <v>21.41</v>
      </c>
      <c r="GP47" t="n">
        <v>20.75</v>
      </c>
      <c r="GQ47" t="n">
        <v>19.6</v>
      </c>
      <c r="GR47" t="n">
        <v>18.53</v>
      </c>
      <c r="GS47" t="n">
        <v>20.345</v>
      </c>
      <c r="GT47" t="n">
        <v>22.645</v>
      </c>
      <c r="GU47" t="n">
        <v>25.34</v>
      </c>
      <c r="GV47" t="n">
        <v>27.005</v>
      </c>
      <c r="GW47" t="n">
        <v>28.275</v>
      </c>
      <c r="GX47" t="n">
        <v>14.49</v>
      </c>
      <c r="HA47" s="35" t="n">
        <v>44</v>
      </c>
      <c r="HB47" s="35" t="n">
        <v>41</v>
      </c>
      <c r="HE47" t="inlineStr">
        <is>
          <t>U9</t>
        </is>
      </c>
      <c r="HF47" s="46" t="inlineStr">
        <is>
          <t>410e</t>
        </is>
      </c>
      <c r="HG47" s="46" t="inlineStr">
        <is>
          <t>410e</t>
        </is>
      </c>
      <c r="HH47" s="14" t="n">
        <v>38</v>
      </c>
      <c r="HL47" t="inlineStr">
        <is>
          <t>AlfaU9</t>
        </is>
      </c>
      <c r="HM47" s="46" t="inlineStr">
        <is>
          <t>410e</t>
        </is>
      </c>
      <c r="HN47" s="26" t="inlineStr">
        <is>
          <t>Condell</t>
        </is>
      </c>
      <c r="HO47" s="14" t="inlineStr">
        <is>
          <t>841e</t>
        </is>
      </c>
    </row>
    <row r="48" ht="15.5" customHeight="1">
      <c r="A48" s="10">
        <f>HOUR(G48)+1</f>
        <v/>
      </c>
      <c r="B48" s="7" t="n"/>
      <c r="C48" s="7" t="n"/>
      <c r="D48" s="85">
        <f>IFERROR(
IF(AND(OR(Planilla!B48="C",Planilla!B48="c"), VLOOKUP(E48,FD:FP,13,0)="C"), "OK",IF(AND(OR(Planilla!B48="C",Planilla!B48="c"), OR(VLOOKUP(E48,FD:FP,13,0)="B", VLOOKUP(E48,FD:FP,13,0)="A")), "DEFICIT",IF(
AND(OR(Planilla!B48="B", Planilla!B48="BPAL"), VLOOKUP(E48,FD:FP,13,0)="B"), "OK",IF(AND(OR(Planilla!B48="B", Planilla!B48="BPAL"), VLOOKUP(E48,FD:FP,13,0)="A"), "DEFICIT",IF(AND(OR(Planilla!B48="B", Planilla!B48="BPAL"), VLOOKUP(E48,FD:FP,13,0)="C"), "SOBREOFERTA",IF(AND(Planilla!B48="A", VLOOKUP(E48,FD:FP,13,0)="A"), "OK",IF(
AND(Planilla!B48="A", OR(VLOOKUP(E48,FD:FP,13,0)="B", VLOOKUP(E48,FD:FP,13,0)="C")), "SOBREOFERTA",""
))))))),"")</f>
        <v/>
      </c>
      <c r="E48" s="8" t="n"/>
      <c r="F48" s="86" t="n"/>
      <c r="G48" s="87" t="n"/>
      <c r="H48" s="88">
        <f>IF(I48="","",IF(AND((I48-G48)&gt;=TIME(0,0,0),(I48-G48)&lt;TIME(0,3,0)),"OK",IF(AND((I48-G48)&gt;=TIME(0,3,0),(I48-G48)&lt;TIME(0,5,0)),"RETRASO DE 3-5 MIN",IF(AND((I48-G48)&gt;=TIME(0,5,0),(I48-G48)&lt;TIME(0,10,0)),"RETRASO DE 5-10 MIN",IF((I48-G48)&gt;=TIME(0,10,0),"RETRASO &gt;10 MIN", IF(AND((G48-I48)&gt;=TIME(0,0,0),(G48-I48)&lt;TIME(0,3,0)),"OK",IF((G48-I48)&gt;=TIME(0,3,0),"ADELANTADO")))))))</f>
        <v/>
      </c>
      <c r="I48" s="89" t="n"/>
      <c r="J48" s="89">
        <f>IF(A48&lt;&gt;"",HLOOKUP(VALUE(TEXT(G48,"h:mm:ss")),IF($C$6="Laboral",$FZ$4:$GX$227,IF($C$6="Sábado",$FZ$231:$GX$452,$FZ$456:$GX$656)),VLOOKUP($C$4,$HF$2:$HH$99,3,0)+IF(C$5="Ida",0,1),1),"")</f>
        <v/>
      </c>
      <c r="K48" s="89">
        <f>IF(A49&lt;&gt;A48,AVERAGEIF(A$9:A48,A48,J$9:J48),"")</f>
        <v/>
      </c>
      <c r="L48" s="89">
        <f>IFERROR(IF(A49&lt;&gt;A48,AVERAGEIF(A$9:A48,A48,S$9:S48),""),"")</f>
        <v/>
      </c>
      <c r="M48" s="89">
        <f>IFERROR(IF(A49&lt;&gt;A48,AVERAGEIF(A$9:A48,A48,T$9:T48),""),"")</f>
        <v/>
      </c>
      <c r="N48" s="89">
        <f t="array" ref="N48">IFERROR(IF(A49&lt;&gt;A48,_xlfn.STDEV.P(IF(A$9:A48=A48,T$9:T48)),""),"")</f>
        <v/>
      </c>
      <c r="O48" s="89">
        <f t="array" ref="O48">IFERROR(IF(A49&lt;&gt;A48,_xlfn.STDEV.P(IF(A$9:A48=A48,S$9:S48)),""),"")</f>
        <v/>
      </c>
      <c r="P48" s="90">
        <f>IFERROR(IF(A48&lt;&gt;A49,MAX((((M48*24*60)/2)*(1+POWER((((N48*24*60) / (M48*24*60) )),2))) + ((M48*24*60 )*-0.1 + (K48*0.015)) +1,(((M48*24*60)/2)*(1+POWER((((N48*24*60) / (M48*24*60 ))),2)))),""),"")</f>
        <v/>
      </c>
      <c r="Q48" s="90">
        <f>IF(AND(O48&lt;&gt;"",L48&lt;&gt;""),IF(A48&lt;&gt;A49,((L48*24*60) / 2 ) * (1 + POWER(((O48*24*60) / (L48*24*60)),2)),""),"")</f>
        <v/>
      </c>
      <c r="R48" s="90">
        <f>IF(Q48&lt;&gt;"",MAX(P48,Q48),"")</f>
        <v/>
      </c>
      <c r="S48" s="89">
        <f>IF(I48&lt;&gt;"H. Sale Real",IF(AND(I49&lt;&gt;"",LEFT(C49,2)&lt;&gt;"Va"),IF(AND(I48&lt;&gt;"",LEFT(C48,2)&lt;&gt;"Va",I48&lt;&gt;"H. Sale Real"),IF(I49-I48&lt;0.208333333333333,I49-I48,""),IF(AND(I47&lt;&gt;"",LEFT(C47,2)&lt;&gt;"Va",I47&lt;&gt;"H. Sale Real"),IF(I49-I47&lt;0.208333333333333,I49-I47,""),IF(AND(I46&lt;&gt;"",LEFT(C46,2)&lt;&gt;"Va",I46&lt;&gt;"H. Sale Real"),IF(I49-I46&lt;0.208333333333333,I49-I46,""),IF(AND(I45&lt;&gt;"",LEFT(C45,2)&lt;&gt;"Va",I45&lt;&gt;"H. Sale Real"),IF(I49-I45&lt;0.208333333333333,I49-I45,""),IF(AND(I44&lt;&gt;"",LEFT(C44,2)&lt;&gt;"Va",I44&lt;&gt;"H. Sale Real"),IF(I49-I44&lt;0.208333333333333,I49-I44,""),""))))),""),"")</f>
        <v/>
      </c>
      <c r="T48" s="89">
        <f>IF(G48&lt;&gt;"H. Sale Real",IF(AND(G49&lt;&gt;"",LEFT(C49,2)&lt;&gt;"Va"),IF(AND(G48&lt;&gt;"",LEFT(C48,2)&lt;&gt;"Va",G48&lt;&gt;"H. Sale Real"),IF(G49-G48&lt;0.208333333333333,G49-G48,""),IF(AND(G47&lt;&gt;"",LEFT(C47,2)&lt;&gt;"Va",G47&lt;&gt;"H. Sale Real"),IF(G49-G47&lt;0.208333333333333,G49-G47,""),IF(AND(G46&lt;&gt;"",LEFT(C46,2)&lt;&gt;"Va",G46&lt;&gt;"H. Sale Real"),IF(G49-G46&lt;0.208333333333333,G49-G46,""),IF(AND(G45&lt;&gt;"",LEFT(C45,2)&lt;&gt;"Va",G45&lt;&gt;"H. Sale Real"),IF(G49-G45&lt;0.208333333333333,G49-G45,""),IF(AND(G44&lt;&gt;"",LEFT(C44,2)&lt;&gt;"Va",G44&lt;&gt;"H. Sale Real"),IF(G49-G44&lt;0.208333333333333,G49-G44,""),""))))),""),"")</f>
        <v/>
      </c>
      <c r="U48" s="87" t="n"/>
      <c r="V48" s="89" t="n"/>
      <c r="W48" s="87" t="n"/>
      <c r="X48" s="89" t="n"/>
      <c r="Y48" s="91" t="n"/>
      <c r="Z48" s="122">
        <f>IF(G48&lt;&gt;"",IF(AND(Z47&lt;&gt;"IE",P48&lt;&gt;0,R48&lt;&gt;""),IF(IFERROR((P48/R48),0) &lt;=1,IFERROR(P48/R48,""),1),""),"")</f>
        <v/>
      </c>
      <c r="AA48" s="93" t="n"/>
      <c r="AB48" s="2" t="n"/>
      <c r="AE48" s="10">
        <f>HOUR(AK48)+1</f>
        <v/>
      </c>
      <c r="AF48" s="7" t="n"/>
      <c r="AG48" s="7" t="n"/>
      <c r="AH48" s="86" t="n"/>
      <c r="AI48" s="8" t="n"/>
      <c r="AJ48" s="86" t="n"/>
      <c r="AK48" s="87" t="n"/>
      <c r="AL48" s="88">
        <f>IF(AM48="","",IF(AND((AM48-AK48)&gt;=TIME(0,0,0),(AM48-AK48)&lt;TIME(0,3,0)),"OK",IF(AND((AM48-AK48)&gt;=TIME(0,3,0),(AM48-AK48)&lt;TIME(0,5,0)),"RETRASO DE 3-5 MIN",IF(AND((AM48-AK48)&gt;=TIME(0,5,0),(AM48-AK48)&lt;TIME(0,10,0)),"RETRASO DE 5-10 MIN",IF((AM48-AK48)&gt;=TIME(0,10,0),"RETRASO &gt;10 MIN", IF(AND((AK48-AM48)&gt;=TIME(0,0,0),(AK48-AM48)&lt;TIME(0,3,0)),"OK",IF((AK48-AM48)&gt;=TIME(0,3,0),"ADELANTADO")))))))</f>
        <v/>
      </c>
      <c r="AM48" s="91" t="n"/>
      <c r="AN48" s="89">
        <f>IF(AE48&lt;&gt;"",HLOOKUP(VALUE(TEXT(AK48,"h:mm:ss")),IF($C$6="Laboral",$FZ$4:$GX$227,IF($C$6="Sábado",$FZ$231:$GX$452,$FZ$456:$GX$656)),VLOOKUP($C$4,$HF$2:$HH$99,3,0)+IF(AG$5="Ida",0,1),1),"")</f>
        <v/>
      </c>
      <c r="AO48" s="89">
        <f>IF(AE49&lt;&gt;AE48,AVERAGEIF(AE$9:AE48,AE48,AN$9:AN48),"")</f>
        <v/>
      </c>
      <c r="AP48" s="89">
        <f>IFERROR(IF(AE49&lt;&gt;AE48,AVERAGEIF(AE$9:AE48,AE48,AW$9:AW48),""),"")</f>
        <v/>
      </c>
      <c r="AQ48" s="89">
        <f>IFERROR(IF(AE49&lt;&gt;AE48,AVERAGEIF(AE$9:AE48,AE48,AX$9:AX48),""),"")</f>
        <v/>
      </c>
      <c r="AR48" s="89">
        <f t="array" ref="AR48">IFERROR(IF(AE49&lt;&gt;AE48,_xlfn.STDEV.P(IF(AE$9:AE48=AE48,AX$9:AX48)),""),"")</f>
        <v/>
      </c>
      <c r="AS48" s="89">
        <f t="array" ref="AS48">IFERROR(IF(AE49&lt;&gt;AE48,_xlfn.STDEV.P(IF(AE$9:AE48=AE48,AW$9:AW48)),""),"")</f>
        <v/>
      </c>
      <c r="AT48" s="90">
        <f>IFERROR(IF(AE48&lt;&gt;AE49,MAX((((AQ48*24*60)/2)*(1+POWER((((AR48*24*60) / (AQ48*24*60) )),2))) + ((AQ48*24*60 )*-0.1 + (AO48*0.015)) +1,(((AQ48*24*60)/2)*(1+POWER((((AR48*24*60) / (AQ48*24*60 ))),2)))),""),"")</f>
        <v/>
      </c>
      <c r="AU48" s="90">
        <f>IF(AND(AS48&lt;&gt;"",AP48&lt;&gt;""),IF(AE48&lt;&gt;AE49,((AP48*24*60) / 2 ) * (1 + POWER(((AS48*24*60) / (AP48*24*60)),2)),""),"")</f>
        <v/>
      </c>
      <c r="AV48" s="90">
        <f>IF(AU48&lt;&gt;"",MAX(AT48,AU48),"")</f>
        <v/>
      </c>
      <c r="AW48" s="89">
        <f>IF(AM48&lt;&gt;"H. Sale Real",IF(AND(AM49&lt;&gt;"",LEFT(AG49,2)&lt;&gt;"Va"),IF(AND(AM48&lt;&gt;"",LEFT(AG48,2)&lt;&gt;"Va",AM48&lt;&gt;"H. Sale Real"),IF(AM49-AM48&lt;0.208333333333333,AM49-AM48,""),IF(AND(AM47&lt;&gt;"",LEFT(AG47,2)&lt;&gt;"Va",AM47&lt;&gt;"H. Sale Real"),IF(AM49-AM47&lt;0.208333333333333,AM49-AM47,""),IF(AND(AM46&lt;&gt;"",LEFT(AG46,2)&lt;&gt;"Va",AM46&lt;&gt;"H. Sale Real"),IF(AM49-AM46&lt;0.208333333333333,AM49-AM46,""),IF(AND(AM45&lt;&gt;"",LEFT(AG45,2)&lt;&gt;"Va",AM45&lt;&gt;"H. Sale Real"),IF(AM49-AM45&lt;0.208333333333333,AM49-AM45,""),IF(AND(AM44&lt;&gt;"",LEFT(AG44,2)&lt;&gt;"Va",AM44&lt;&gt;"H. Sale Real"),IF(AM49-AM44&lt;0.208333333333333,AM49-AM44,""),""))))),""),"")</f>
        <v/>
      </c>
      <c r="AX48" s="89">
        <f>IF(AK48&lt;&gt;"H. Sale Real",IF(AND(AK49&lt;&gt;"",LEFT(AG49,2)&lt;&gt;"Va"),IF(AND(AK48&lt;&gt;"",LEFT(AG48,2)&lt;&gt;"Va",AK48&lt;&gt;"H. Sale Real"),IF(AK49-AK48&lt;0.208333333333333,AK49-AK48,""),IF(AND(AK47&lt;&gt;"",LEFT(AG47,2)&lt;&gt;"Va",AK47&lt;&gt;"H. Sale Real"),IF(AK49-AK47&lt;0.208333333333333,AK49-AK47,""),IF(AND(AK46&lt;&gt;"",LEFT(AG46,2)&lt;&gt;"NC",AK46&lt;&gt;"H. Sale Real"),IF(AK49-AK46&lt;0.208333333333333,AK49-AK46,""),IF(AND(AK45&lt;&gt;"",LEFT(AG45,2)&lt;&gt;"Va",AK45&lt;&gt;"H. Sale Real"),IF(AK49-AK45&lt;0.208333333333333,AK49-AK45,""),IF(AND(AK44&lt;&gt;"",LEFT(AG44,2)&lt;&gt;"Va",AK44&lt;&gt;"H. Sale Real"),IF(AK49-AK44&lt;0.208333333333333,AK49-AK44,""),""))))),""),"")</f>
        <v/>
      </c>
      <c r="AY48" s="87" t="n"/>
      <c r="AZ48" s="89" t="n"/>
      <c r="BA48" s="87" t="n"/>
      <c r="BB48" s="89" t="n"/>
      <c r="BC48" s="91" t="n"/>
      <c r="BD48" s="122">
        <f>IF(AK48&lt;&gt;"",IF(AND(BD47&lt;&gt;"IE",AT48&lt;&gt;0,AV48&lt;&gt;""),IF(IFERROR((AT48/AV48),0) &lt;=1,IFERROR(AT48/AV48,""),1),""),"")</f>
        <v/>
      </c>
      <c r="BE48" s="93" t="n"/>
      <c r="BF48" s="105" t="n"/>
      <c r="FC48" t="inlineStr">
        <is>
          <t>Diccionario 1</t>
        </is>
      </c>
      <c r="FD48" s="15" t="n">
        <v>1045</v>
      </c>
      <c r="FE48" s="15" t="inlineStr">
        <is>
          <t>D8481597K2PL</t>
        </is>
      </c>
      <c r="FF48" s="15" t="inlineStr">
        <is>
          <t>YV3T7U523KA195181</t>
        </is>
      </c>
      <c r="FG48" s="15" t="inlineStr">
        <is>
          <t>Volvo</t>
        </is>
      </c>
      <c r="FH48" s="15" t="inlineStr">
        <is>
          <t>B8R</t>
        </is>
      </c>
      <c r="FI48" s="15" t="inlineStr">
        <is>
          <t>MARCOPOLO</t>
        </is>
      </c>
      <c r="FJ48" s="15" t="inlineStr">
        <is>
          <t>TORINO</t>
        </is>
      </c>
      <c r="FK48" s="15" t="n">
        <v>2019</v>
      </c>
      <c r="FL48" s="15" t="inlineStr">
        <is>
          <t>B2PAL</t>
        </is>
      </c>
      <c r="FM48" s="15" t="inlineStr">
        <is>
          <t>LOS LIBERTADORES</t>
        </is>
      </c>
      <c r="FN48" s="15" t="inlineStr">
        <is>
          <t>Los Liberadores 6450, Lote 4A</t>
        </is>
      </c>
      <c r="FO48" s="15" t="inlineStr">
        <is>
          <t>Huechuraba</t>
        </is>
      </c>
      <c r="FP48" t="inlineStr">
        <is>
          <t>B</t>
        </is>
      </c>
      <c r="FS48" s="14" t="inlineStr">
        <is>
          <t>3013 / SFWZ-18|</t>
        </is>
      </c>
      <c r="FT48" t="inlineStr">
        <is>
          <t>SFWZ-18|</t>
        </is>
      </c>
      <c r="FU48" t="inlineStr">
        <is>
          <t>SFWZ-18</t>
        </is>
      </c>
      <c r="FV48">
        <f>VLOOKUP(FU48,FD:FL,9,0)</f>
        <v/>
      </c>
      <c r="FZ48" s="51" t="inlineStr">
        <is>
          <t>B19</t>
        </is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25.4</v>
      </c>
      <c r="GG48" t="n">
        <v>21.225</v>
      </c>
      <c r="GH48" t="n">
        <v>17.785</v>
      </c>
      <c r="GI48" t="n">
        <v>19.26</v>
      </c>
      <c r="GJ48" t="n">
        <v>20.875</v>
      </c>
      <c r="GK48" t="n">
        <v>21.24</v>
      </c>
      <c r="GL48" t="n">
        <v>20.82</v>
      </c>
      <c r="GM48" t="n">
        <v>19.85</v>
      </c>
      <c r="GN48" t="n">
        <v>19.18</v>
      </c>
      <c r="GO48" t="n">
        <v>19.11</v>
      </c>
      <c r="GP48" t="n">
        <v>18.425</v>
      </c>
      <c r="GQ48" t="n">
        <v>17.965</v>
      </c>
      <c r="GR48" t="n">
        <v>17.11</v>
      </c>
      <c r="GS48" t="n">
        <v>16.525</v>
      </c>
      <c r="GT48" t="n">
        <v>18.42</v>
      </c>
      <c r="GU48" t="n">
        <v>20.465</v>
      </c>
      <c r="GV48" t="n">
        <v>21.385</v>
      </c>
      <c r="GW48" t="n">
        <v>21.605</v>
      </c>
      <c r="GX48" t="n">
        <v>0</v>
      </c>
      <c r="HA48" s="35" t="n">
        <v>45</v>
      </c>
      <c r="HB48" s="35" t="n">
        <v>42</v>
      </c>
      <c r="HE48" t="inlineStr">
        <is>
          <t>U9</t>
        </is>
      </c>
      <c r="HF48" s="46" t="inlineStr">
        <is>
          <t>410y</t>
        </is>
      </c>
      <c r="HG48" s="46" t="inlineStr">
        <is>
          <t>410y</t>
        </is>
      </c>
      <c r="HH48" s="14" t="n">
        <v>39</v>
      </c>
      <c r="HL48" t="inlineStr">
        <is>
          <t>AlfaU9</t>
        </is>
      </c>
      <c r="HM48" s="46" t="inlineStr">
        <is>
          <t>410y</t>
        </is>
      </c>
      <c r="HN48" s="26" t="inlineStr">
        <is>
          <t>Condell</t>
        </is>
      </c>
      <c r="HO48" s="14" t="inlineStr">
        <is>
          <t>841y</t>
        </is>
      </c>
    </row>
    <row r="49" ht="15.5" customHeight="1">
      <c r="A49" s="10">
        <f>HOUR(G49)+1</f>
        <v/>
      </c>
      <c r="B49" s="7" t="n"/>
      <c r="C49" s="7" t="n"/>
      <c r="D49" s="85">
        <f>IFERROR(
IF(AND(OR(Planilla!B49="C",Planilla!B49="c"), VLOOKUP(E49,FD:FP,13,0)="C"), "OK",IF(AND(OR(Planilla!B49="C",Planilla!B49="c"), OR(VLOOKUP(E49,FD:FP,13,0)="B", VLOOKUP(E49,FD:FP,13,0)="A")), "DEFICIT",IF(
AND(OR(Planilla!B49="B", Planilla!B49="BPAL"), VLOOKUP(E49,FD:FP,13,0)="B"), "OK",IF(AND(OR(Planilla!B49="B", Planilla!B49="BPAL"), VLOOKUP(E49,FD:FP,13,0)="A"), "DEFICIT",IF(AND(OR(Planilla!B49="B", Planilla!B49="BPAL"), VLOOKUP(E49,FD:FP,13,0)="C"), "SOBREOFERTA",IF(AND(Planilla!B49="A", VLOOKUP(E49,FD:FP,13,0)="A"), "OK",IF(
AND(Planilla!B49="A", OR(VLOOKUP(E49,FD:FP,13,0)="B", VLOOKUP(E49,FD:FP,13,0)="C")), "SOBREOFERTA",""
))))))),"")</f>
        <v/>
      </c>
      <c r="E49" s="8" t="n"/>
      <c r="F49" s="86" t="n"/>
      <c r="G49" s="87" t="n"/>
      <c r="H49" s="88">
        <f>IF(I49="","",IF(AND((I49-G49)&gt;=TIME(0,0,0),(I49-G49)&lt;TIME(0,3,0)),"OK",IF(AND((I49-G49)&gt;=TIME(0,3,0),(I49-G49)&lt;TIME(0,5,0)),"RETRASO DE 3-5 MIN",IF(AND((I49-G49)&gt;=TIME(0,5,0),(I49-G49)&lt;TIME(0,10,0)),"RETRASO DE 5-10 MIN",IF((I49-G49)&gt;=TIME(0,10,0),"RETRASO &gt;10 MIN", IF(AND((G49-I49)&gt;=TIME(0,0,0),(G49-I49)&lt;TIME(0,3,0)),"OK",IF((G49-I49)&gt;=TIME(0,3,0),"ADELANTADO")))))))</f>
        <v/>
      </c>
      <c r="I49" s="89" t="n"/>
      <c r="J49" s="89">
        <f>IF(A49&lt;&gt;"",HLOOKUP(VALUE(TEXT(G49,"h:mm:ss")),IF($C$6="Laboral",$FZ$4:$GX$227,IF($C$6="Sábado",$FZ$231:$GX$452,$FZ$456:$GX$656)),VLOOKUP($C$4,$HF$2:$HH$99,3,0)+IF(C$5="Ida",0,1),1),"")</f>
        <v/>
      </c>
      <c r="K49" s="89">
        <f>IF(A50&lt;&gt;A49,AVERAGEIF(A$9:A49,A49,J$9:J49),"")</f>
        <v/>
      </c>
      <c r="L49" s="89">
        <f>IFERROR(IF(A50&lt;&gt;A49,AVERAGEIF(A$9:A49,A49,S$9:S49),""),"")</f>
        <v/>
      </c>
      <c r="M49" s="89">
        <f>IFERROR(IF(A50&lt;&gt;A49,AVERAGEIF(A$9:A49,A49,T$9:T49),""),"")</f>
        <v/>
      </c>
      <c r="N49" s="89">
        <f t="array" ref="N49">IFERROR(IF(A50&lt;&gt;A49,_xlfn.STDEV.P(IF(A$9:A49=A49,T$9:T49)),""),"")</f>
        <v/>
      </c>
      <c r="O49" s="89">
        <f t="array" ref="O49">IFERROR(IF(A50&lt;&gt;A49,_xlfn.STDEV.P(IF(A$9:A49=A49,S$9:S49)),""),"")</f>
        <v/>
      </c>
      <c r="P49" s="90">
        <f>IFERROR(IF(A49&lt;&gt;A50,MAX((((M49*24*60)/2)*(1+POWER((((N49*24*60) / (M49*24*60) )),2))) + ((M49*24*60 )*-0.1 + (K49*0.015)) +1,(((M49*24*60)/2)*(1+POWER((((N49*24*60) / (M49*24*60 ))),2)))),""),"")</f>
        <v/>
      </c>
      <c r="Q49" s="90">
        <f>IF(AND(O49&lt;&gt;"",L49&lt;&gt;""),IF(A49&lt;&gt;A50,((L49*24*60) / 2 ) * (1 + POWER(((O49*24*60) / (L49*24*60)),2)),""),"")</f>
        <v/>
      </c>
      <c r="R49" s="90">
        <f>IF(Q49&lt;&gt;"",MAX(P49,Q49),"")</f>
        <v/>
      </c>
      <c r="S49" s="89">
        <f>IF(I49&lt;&gt;"H. Sale Real",IF(AND(I50&lt;&gt;"",LEFT(C50,2)&lt;&gt;"Va"),IF(AND(I49&lt;&gt;"",LEFT(C49,2)&lt;&gt;"Va",I49&lt;&gt;"H. Sale Real"),IF(I50-I49&lt;0.208333333333333,I50-I49,""),IF(AND(I48&lt;&gt;"",LEFT(C48,2)&lt;&gt;"Va",I48&lt;&gt;"H. Sale Real"),IF(I50-I48&lt;0.208333333333333,I50-I48,""),IF(AND(I47&lt;&gt;"",LEFT(C47,2)&lt;&gt;"Va",I47&lt;&gt;"H. Sale Real"),IF(I50-I47&lt;0.208333333333333,I50-I47,""),IF(AND(I46&lt;&gt;"",LEFT(C46,2)&lt;&gt;"Va",I46&lt;&gt;"H. Sale Real"),IF(I50-I46&lt;0.208333333333333,I50-I46,""),IF(AND(I45&lt;&gt;"",LEFT(C45,2)&lt;&gt;"Va",I45&lt;&gt;"H. Sale Real"),IF(I50-I45&lt;0.208333333333333,I50-I45,""),""))))),""),"")</f>
        <v/>
      </c>
      <c r="T49" s="89">
        <f>IF(G49&lt;&gt;"H. Sale Real",IF(AND(G50&lt;&gt;"",LEFT(C50,2)&lt;&gt;"Va"),IF(AND(G49&lt;&gt;"",LEFT(C49,2)&lt;&gt;"Va",G49&lt;&gt;"H. Sale Real"),IF(G50-G49&lt;0.208333333333333,G50-G49,""),IF(AND(G48&lt;&gt;"",LEFT(C48,2)&lt;&gt;"Va",G48&lt;&gt;"H. Sale Real"),IF(G50-G48&lt;0.208333333333333,G50-G48,""),IF(AND(G47&lt;&gt;"",LEFT(C47,2)&lt;&gt;"Va",G47&lt;&gt;"H. Sale Real"),IF(G50-G47&lt;0.208333333333333,G50-G47,""),IF(AND(G46&lt;&gt;"",LEFT(C46,2)&lt;&gt;"Va",G46&lt;&gt;"H. Sale Real"),IF(G50-G46&lt;0.208333333333333,G50-G46,""),IF(AND(G45&lt;&gt;"",LEFT(C45,2)&lt;&gt;"Va",G45&lt;&gt;"H. Sale Real"),IF(G50-G45&lt;0.208333333333333,G50-G45,""),""))))),""),"")</f>
        <v/>
      </c>
      <c r="U49" s="87" t="n"/>
      <c r="V49" s="89" t="n"/>
      <c r="W49" s="87" t="n"/>
      <c r="X49" s="89" t="n"/>
      <c r="Y49" s="91" t="n"/>
      <c r="Z49" s="122">
        <f>IF(G49&lt;&gt;"",IF(AND(Z48&lt;&gt;"IE",P49&lt;&gt;0,R49&lt;&gt;""),IF(IFERROR((P49/R49),0) &lt;=1,IFERROR(P49/R49,""),1),""),"")</f>
        <v/>
      </c>
      <c r="AA49" s="93" t="n"/>
      <c r="AB49" s="2" t="n"/>
      <c r="AE49" s="10">
        <f>HOUR(AK49)+1</f>
        <v/>
      </c>
      <c r="AF49" s="7" t="n"/>
      <c r="AG49" s="7" t="n"/>
      <c r="AH49" s="86" t="n"/>
      <c r="AI49" s="8" t="n"/>
      <c r="AJ49" s="86" t="n"/>
      <c r="AK49" s="87" t="n"/>
      <c r="AL49" s="88">
        <f>IF(AM49="","",IF(AND((AM49-AK49)&gt;=TIME(0,0,0),(AM49-AK49)&lt;TIME(0,3,0)),"OK",IF(AND((AM49-AK49)&gt;=TIME(0,3,0),(AM49-AK49)&lt;TIME(0,5,0)),"RETRASO DE 3-5 MIN",IF(AND((AM49-AK49)&gt;=TIME(0,5,0),(AM49-AK49)&lt;TIME(0,10,0)),"RETRASO DE 5-10 MIN",IF((AM49-AK49)&gt;=TIME(0,10,0),"RETRASO &gt;10 MIN", IF(AND((AK49-AM49)&gt;=TIME(0,0,0),(AK49-AM49)&lt;TIME(0,3,0)),"OK",IF((AK49-AM49)&gt;=TIME(0,3,0),"ADELANTADO")))))))</f>
        <v/>
      </c>
      <c r="AM49" s="91" t="n"/>
      <c r="AN49" s="89">
        <f>IF(AE49&lt;&gt;"",HLOOKUP(VALUE(TEXT(AK49,"h:mm:ss")),IF($C$6="Laboral",$FZ$4:$GX$227,IF($C$6="Sábado",$FZ$231:$GX$452,$FZ$456:$GX$656)),VLOOKUP($C$4,$HF$2:$HH$99,3,0)+IF(AG$5="Ida",0,1),1),"")</f>
        <v/>
      </c>
      <c r="AO49" s="89">
        <f>IF(AE50&lt;&gt;AE49,AVERAGEIF(AE$9:AE49,AE49,AN$9:AN49),"")</f>
        <v/>
      </c>
      <c r="AP49" s="89">
        <f>IFERROR(IF(AE50&lt;&gt;AE49,AVERAGEIF(AE$9:AE49,AE49,AW$9:AW49),""),"")</f>
        <v/>
      </c>
      <c r="AQ49" s="89">
        <f>IFERROR(IF(AE50&lt;&gt;AE49,AVERAGEIF(AE$9:AE49,AE49,AX$9:AX49),""),"")</f>
        <v/>
      </c>
      <c r="AR49" s="89">
        <f t="array" ref="AR49">IFERROR(IF(AE50&lt;&gt;AE49,_xlfn.STDEV.P(IF(AE$9:AE49=AE49,AX$9:AX49)),""),"")</f>
        <v/>
      </c>
      <c r="AS49" s="89">
        <f t="array" ref="AS49">IFERROR(IF(AE50&lt;&gt;AE49,_xlfn.STDEV.P(IF(AE$9:AE49=AE49,AW$9:AW49)),""),"")</f>
        <v/>
      </c>
      <c r="AT49" s="90">
        <f>IFERROR(IF(AE49&lt;&gt;AE50,MAX((((AQ49*24*60)/2)*(1+POWER((((AR49*24*60) / (AQ49*24*60) )),2))) + ((AQ49*24*60 )*-0.1 + (AO49*0.015)) +1,(((AQ49*24*60)/2)*(1+POWER((((AR49*24*60) / (AQ49*24*60 ))),2)))),""),"")</f>
        <v/>
      </c>
      <c r="AU49" s="90">
        <f>IF(AND(AS49&lt;&gt;"",AP49&lt;&gt;""),IF(AE49&lt;&gt;AE50,((AP49*24*60) / 2 ) * (1 + POWER(((AS49*24*60) / (AP49*24*60)),2)),""),"")</f>
        <v/>
      </c>
      <c r="AV49" s="90">
        <f>IF(AU49&lt;&gt;"",MAX(AT49,AU49),"")</f>
        <v/>
      </c>
      <c r="AW49" s="89">
        <f>IF(AM49&lt;&gt;"H. Sale Real",IF(AND(AM50&lt;&gt;"",LEFT(AG50,2)&lt;&gt;"Va"),IF(AND(AM49&lt;&gt;"",LEFT(AG49,2)&lt;&gt;"Va",AM49&lt;&gt;"H. Sale Real"),IF(AM50-AM49&lt;0.208333333333333,AM50-AM49,""),IF(AND(AM48&lt;&gt;"",LEFT(AG48,2)&lt;&gt;"Va",AM48&lt;&gt;"H. Sale Real"),IF(AM50-AM48&lt;0.208333333333333,AM50-AM48,""),IF(AND(AM47&lt;&gt;"",LEFT(AG47,2)&lt;&gt;"Va",AM47&lt;&gt;"H. Sale Real"),IF(AM50-AM47&lt;0.208333333333333,AM50-AM47,""),IF(AND(AM46&lt;&gt;"",LEFT(AG46,2)&lt;&gt;"Va",AM46&lt;&gt;"H. Sale Real"),IF(AM50-AM46&lt;0.208333333333333,AM50-AM46,""),IF(AND(AM45&lt;&gt;"",LEFT(AG45,2)&lt;&gt;"Va",AM45&lt;&gt;"H. Sale Real"),IF(AM50-AM45&lt;0.208333333333333,AM50-AM45,""),""))))),""),"")</f>
        <v/>
      </c>
      <c r="AX49" s="89">
        <f>IF(AK49&lt;&gt;"H. Sale Real",IF(AND(AK50&lt;&gt;"",LEFT(AG50,2)&lt;&gt;"Va"),IF(AND(AK49&lt;&gt;"",LEFT(AG49,2)&lt;&gt;"Va",AK49&lt;&gt;"H. Sale Real"),IF(AK50-AK49&lt;0.208333333333333,AK50-AK49,""),IF(AND(AK48&lt;&gt;"",LEFT(AG48,2)&lt;&gt;"Va",AK48&lt;&gt;"H. Sale Real"),IF(AK50-AK48&lt;0.208333333333333,AK50-AK48,""),IF(AND(AK47&lt;&gt;"",LEFT(AG47,2)&lt;&gt;"NC",AK47&lt;&gt;"H. Sale Real"),IF(AK50-AK47&lt;0.208333333333333,AK50-AK47,""),IF(AND(AK46&lt;&gt;"",LEFT(AG46,2)&lt;&gt;"Va",AK46&lt;&gt;"H. Sale Real"),IF(AK50-AK46&lt;0.208333333333333,AK50-AK46,""),IF(AND(AK45&lt;&gt;"",LEFT(AG45,2)&lt;&gt;"Va",AK45&lt;&gt;"H. Sale Real"),IF(AK50-AK45&lt;0.208333333333333,AK50-AK45,""),""))))),""),"")</f>
        <v/>
      </c>
      <c r="AY49" s="87" t="n"/>
      <c r="AZ49" s="89" t="n"/>
      <c r="BA49" s="87" t="n"/>
      <c r="BB49" s="89" t="n"/>
      <c r="BC49" s="91" t="n"/>
      <c r="BD49" s="122">
        <f>IF(AK49&lt;&gt;"",IF(AND(BD48&lt;&gt;"IE",AT49&lt;&gt;0,AV49&lt;&gt;""),IF(IFERROR((AT49/AV49),0) &lt;=1,IFERROR(AT49/AV49,""),1),""),"")</f>
        <v/>
      </c>
      <c r="BE49" s="93" t="n"/>
      <c r="BF49" s="105" t="n"/>
      <c r="FC49" t="inlineStr">
        <is>
          <t>Diccionario 1</t>
        </is>
      </c>
      <c r="FD49" s="15" t="n">
        <v>1046</v>
      </c>
      <c r="FE49" s="15" t="inlineStr">
        <is>
          <t>D8481673K2PL</t>
        </is>
      </c>
      <c r="FF49" s="15" t="inlineStr">
        <is>
          <t>YV3T7U524KA195190</t>
        </is>
      </c>
      <c r="FG49" s="15" t="inlineStr">
        <is>
          <t>Volvo</t>
        </is>
      </c>
      <c r="FH49" s="15" t="inlineStr">
        <is>
          <t>B8R</t>
        </is>
      </c>
      <c r="FI49" s="15" t="inlineStr">
        <is>
          <t>MARCOPOLO</t>
        </is>
      </c>
      <c r="FJ49" s="15" t="inlineStr">
        <is>
          <t>TORINO</t>
        </is>
      </c>
      <c r="FK49" s="15" t="n">
        <v>2019</v>
      </c>
      <c r="FL49" s="15" t="inlineStr">
        <is>
          <t>B2PAL</t>
        </is>
      </c>
      <c r="FM49" s="15" t="inlineStr">
        <is>
          <t>LOS LIBERTADORES</t>
        </is>
      </c>
      <c r="FN49" s="15" t="inlineStr">
        <is>
          <t>Los Liberadores 6450, Lote 4A</t>
        </is>
      </c>
      <c r="FO49" s="15" t="inlineStr">
        <is>
          <t>Huechuraba</t>
        </is>
      </c>
      <c r="FP49" t="inlineStr">
        <is>
          <t>B</t>
        </is>
      </c>
      <c r="FS49" s="14" t="inlineStr">
        <is>
          <t>3013 / SFWZ-18|</t>
        </is>
      </c>
      <c r="FT49" t="inlineStr">
        <is>
          <t>SFWZ-18|</t>
        </is>
      </c>
      <c r="FU49" t="inlineStr">
        <is>
          <t>SFWZ-18</t>
        </is>
      </c>
      <c r="FV49">
        <f>VLOOKUP(FU49,FD:FL,9,0)</f>
        <v/>
      </c>
      <c r="FZ49" s="51" t="inlineStr">
        <is>
          <t>F02</t>
        </is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9.98</v>
      </c>
      <c r="GG49" t="n">
        <v>17.855</v>
      </c>
      <c r="GH49" t="n">
        <v>14.255</v>
      </c>
      <c r="GI49" t="n">
        <v>16.72</v>
      </c>
      <c r="GJ49" t="n">
        <v>18.325</v>
      </c>
      <c r="GK49" t="n">
        <v>18.42</v>
      </c>
      <c r="GL49" t="n">
        <v>17.845</v>
      </c>
      <c r="GM49" t="n">
        <v>17.085</v>
      </c>
      <c r="GN49" t="n">
        <v>16.9</v>
      </c>
      <c r="GO49" t="n">
        <v>16.92</v>
      </c>
      <c r="GP49" t="n">
        <v>15.89</v>
      </c>
      <c r="GQ49" t="n">
        <v>14.935</v>
      </c>
      <c r="GR49" t="n">
        <v>14.745</v>
      </c>
      <c r="GS49" t="n">
        <v>15.135</v>
      </c>
      <c r="GT49" t="n">
        <v>16.82</v>
      </c>
      <c r="GU49" t="n">
        <v>18.24</v>
      </c>
      <c r="GV49" t="n">
        <v>19.575</v>
      </c>
      <c r="GW49" t="n">
        <v>20.865</v>
      </c>
      <c r="GX49" t="n">
        <v>0</v>
      </c>
      <c r="HA49" s="35" t="n">
        <v>46</v>
      </c>
      <c r="HB49" s="35" t="n">
        <v>43</v>
      </c>
      <c r="HE49" t="inlineStr">
        <is>
          <t>U8</t>
        </is>
      </c>
      <c r="HF49" s="46" t="inlineStr">
        <is>
          <t>B02n</t>
        </is>
      </c>
      <c r="HG49" s="46" t="inlineStr">
        <is>
          <t>B02n</t>
        </is>
      </c>
      <c r="HH49" s="14" t="n">
        <v>41</v>
      </c>
      <c r="HL49" t="inlineStr">
        <is>
          <t>OmegaU8</t>
        </is>
      </c>
      <c r="HM49" s="46" t="inlineStr">
        <is>
          <t>B02n</t>
        </is>
      </c>
      <c r="HN49" s="26" t="inlineStr">
        <is>
          <t>Aguirre Luco</t>
        </is>
      </c>
      <c r="HO49" s="14" t="inlineStr">
        <is>
          <t>902N</t>
        </is>
      </c>
    </row>
    <row r="50" ht="15.5" customHeight="1">
      <c r="A50" s="10">
        <f>HOUR(G50)+1</f>
        <v/>
      </c>
      <c r="B50" s="7" t="n"/>
      <c r="C50" s="7" t="n"/>
      <c r="D50" s="85">
        <f>IFERROR(
IF(AND(OR(Planilla!B50="C",Planilla!B50="c"), VLOOKUP(E50,FD:FP,13,0)="C"), "OK",IF(AND(OR(Planilla!B50="C",Planilla!B50="c"), OR(VLOOKUP(E50,FD:FP,13,0)="B", VLOOKUP(E50,FD:FP,13,0)="A")), "DEFICIT",IF(
AND(OR(Planilla!B50="B", Planilla!B50="BPAL"), VLOOKUP(E50,FD:FP,13,0)="B"), "OK",IF(AND(OR(Planilla!B50="B", Planilla!B50="BPAL"), VLOOKUP(E50,FD:FP,13,0)="A"), "DEFICIT",IF(AND(OR(Planilla!B50="B", Planilla!B50="BPAL"), VLOOKUP(E50,FD:FP,13,0)="C"), "SOBREOFERTA",IF(AND(Planilla!B50="A", VLOOKUP(E50,FD:FP,13,0)="A"), "OK",IF(
AND(Planilla!B50="A", OR(VLOOKUP(E50,FD:FP,13,0)="B", VLOOKUP(E50,FD:FP,13,0)="C")), "SOBREOFERTA",""
))))))),"")</f>
        <v/>
      </c>
      <c r="E50" s="8" t="n"/>
      <c r="F50" s="86" t="n"/>
      <c r="G50" s="87" t="n"/>
      <c r="H50" s="88">
        <f>IF(I50="","",IF(AND((I50-G50)&gt;=TIME(0,0,0),(I50-G50)&lt;TIME(0,3,0)),"OK",IF(AND((I50-G50)&gt;=TIME(0,3,0),(I50-G50)&lt;TIME(0,5,0)),"RETRASO DE 3-5 MIN",IF(AND((I50-G50)&gt;=TIME(0,5,0),(I50-G50)&lt;TIME(0,10,0)),"RETRASO DE 5-10 MIN",IF((I50-G50)&gt;=TIME(0,10,0),"RETRASO &gt;10 MIN", IF(AND((G50-I50)&gt;=TIME(0,0,0),(G50-I50)&lt;TIME(0,3,0)),"OK",IF((G50-I50)&gt;=TIME(0,3,0),"ADELANTADO")))))))</f>
        <v/>
      </c>
      <c r="I50" s="89" t="n"/>
      <c r="J50" s="89">
        <f>IF(A50&lt;&gt;"",HLOOKUP(VALUE(TEXT(G50,"h:mm:ss")),IF($C$6="Laboral",$FZ$4:$GX$227,IF($C$6="Sábado",$FZ$231:$GX$452,$FZ$456:$GX$656)),VLOOKUP($C$4,$HF$2:$HH$99,3,0)+IF(C$5="Ida",0,1),1),"")</f>
        <v/>
      </c>
      <c r="K50" s="89">
        <f>IF(A51&lt;&gt;A50,AVERAGEIF(A$9:A50,A50,J$9:J50),"")</f>
        <v/>
      </c>
      <c r="L50" s="89">
        <f>IFERROR(IF(A51&lt;&gt;A50,AVERAGEIF(A$9:A50,A50,S$9:S50),""),"")</f>
        <v/>
      </c>
      <c r="M50" s="89">
        <f>IFERROR(IF(A51&lt;&gt;A50,AVERAGEIF(A$9:A50,A50,T$9:T50),""),"")</f>
        <v/>
      </c>
      <c r="N50" s="89">
        <f t="array" ref="N50">IFERROR(IF(A51&lt;&gt;A50,_xlfn.STDEV.P(IF(A$9:A50=A50,T$9:T50)),""),"")</f>
        <v/>
      </c>
      <c r="O50" s="89">
        <f t="array" ref="O50">IFERROR(IF(A51&lt;&gt;A50,_xlfn.STDEV.P(IF(A$9:A50=A50,S$9:S50)),""),"")</f>
        <v/>
      </c>
      <c r="P50" s="90">
        <f>IFERROR(IF(A50&lt;&gt;A51,MAX((((M50*24*60)/2)*(1+POWER((((N50*24*60) / (M50*24*60) )),2))) + ((M50*24*60 )*-0.1 + (K50*0.015)) +1,(((M50*24*60)/2)*(1+POWER((((N50*24*60) / (M50*24*60 ))),2)))),""),"")</f>
        <v/>
      </c>
      <c r="Q50" s="90">
        <f>IF(AND(O50&lt;&gt;"",L50&lt;&gt;""),IF(A50&lt;&gt;A51,((L50*24*60) / 2 ) * (1 + POWER(((O50*24*60) / (L50*24*60)),2)),""),"")</f>
        <v/>
      </c>
      <c r="R50" s="90">
        <f>IF(Q50&lt;&gt;"",MAX(P50,Q50),"")</f>
        <v/>
      </c>
      <c r="S50" s="89">
        <f>IF(I50&lt;&gt;"H. Sale Real",IF(AND(I51&lt;&gt;"",LEFT(C51,2)&lt;&gt;"Va"),IF(AND(I50&lt;&gt;"",LEFT(C50,2)&lt;&gt;"Va",I50&lt;&gt;"H. Sale Real"),IF(I51-I50&lt;0.208333333333333,I51-I50,""),IF(AND(I49&lt;&gt;"",LEFT(C49,2)&lt;&gt;"Va",I49&lt;&gt;"H. Sale Real"),IF(I51-I49&lt;0.208333333333333,I51-I49,""),IF(AND(I48&lt;&gt;"",LEFT(C48,2)&lt;&gt;"Va",I48&lt;&gt;"H. Sale Real"),IF(I51-I48&lt;0.208333333333333,I51-I48,""),IF(AND(I47&lt;&gt;"",LEFT(C47,2)&lt;&gt;"Va",I47&lt;&gt;"H. Sale Real"),IF(I51-I47&lt;0.208333333333333,I51-I47,""),IF(AND(I46&lt;&gt;"",LEFT(C46,2)&lt;&gt;"Va",I46&lt;&gt;"H. Sale Real"),IF(I51-I46&lt;0.208333333333333,I51-I46,""),""))))),""),"")</f>
        <v/>
      </c>
      <c r="T50" s="89">
        <f>IF(G50&lt;&gt;"H. Sale Real",IF(AND(G51&lt;&gt;"",LEFT(C51,2)&lt;&gt;"Va"),IF(AND(G50&lt;&gt;"",LEFT(C50,2)&lt;&gt;"Va",G50&lt;&gt;"H. Sale Real"),IF(G51-G50&lt;0.208333333333333,G51-G50,""),IF(AND(G49&lt;&gt;"",LEFT(C49,2)&lt;&gt;"Va",G49&lt;&gt;"H. Sale Real"),IF(G51-G49&lt;0.208333333333333,G51-G49,""),IF(AND(G48&lt;&gt;"",LEFT(C48,2)&lt;&gt;"Va",G48&lt;&gt;"H. Sale Real"),IF(G51-G48&lt;0.208333333333333,G51-G48,""),IF(AND(G47&lt;&gt;"",LEFT(C47,2)&lt;&gt;"Va",G47&lt;&gt;"H. Sale Real"),IF(G51-G47&lt;0.208333333333333,G51-G47,""),IF(AND(G46&lt;&gt;"",LEFT(C46,2)&lt;&gt;"Va",G46&lt;&gt;"H. Sale Real"),IF(G51-G46&lt;0.208333333333333,G51-G46,""),""))))),""),"")</f>
        <v/>
      </c>
      <c r="U50" s="87" t="n"/>
      <c r="V50" s="89" t="n"/>
      <c r="W50" s="87" t="n"/>
      <c r="X50" s="89" t="n"/>
      <c r="Y50" s="91" t="n"/>
      <c r="Z50" s="122">
        <f>IF(G50&lt;&gt;"",IF(AND(Z49&lt;&gt;"IE",P50&lt;&gt;0,R50&lt;&gt;""),IF(IFERROR((P50/R50),0) &lt;=1,IFERROR(P50/R50,""),1),""),"")</f>
        <v/>
      </c>
      <c r="AA50" s="93" t="n"/>
      <c r="AB50" s="2" t="n"/>
      <c r="AE50" s="10">
        <f>HOUR(AK50)+1</f>
        <v/>
      </c>
      <c r="AF50" s="7" t="n"/>
      <c r="AG50" s="7" t="n"/>
      <c r="AH50" s="86" t="n"/>
      <c r="AI50" s="8" t="n"/>
      <c r="AJ50" s="86" t="n"/>
      <c r="AK50" s="87" t="n"/>
      <c r="AL50" s="88">
        <f>IF(AM50="","",IF(AND((AM50-AK50)&gt;=TIME(0,0,0),(AM50-AK50)&lt;TIME(0,3,0)),"OK",IF(AND((AM50-AK50)&gt;=TIME(0,3,0),(AM50-AK50)&lt;TIME(0,5,0)),"RETRASO DE 3-5 MIN",IF(AND((AM50-AK50)&gt;=TIME(0,5,0),(AM50-AK50)&lt;TIME(0,10,0)),"RETRASO DE 5-10 MIN",IF((AM50-AK50)&gt;=TIME(0,10,0),"RETRASO &gt;10 MIN", IF(AND((AK50-AM50)&gt;=TIME(0,0,0),(AK50-AM50)&lt;TIME(0,3,0)),"OK",IF((AK50-AM50)&gt;=TIME(0,3,0),"ADELANTADO")))))))</f>
        <v/>
      </c>
      <c r="AM50" s="91" t="n"/>
      <c r="AN50" s="89">
        <f>IF(AE50&lt;&gt;"",HLOOKUP(VALUE(TEXT(AK50,"h:mm:ss")),IF($C$6="Laboral",$FZ$4:$GX$227,IF($C$6="Sábado",$FZ$231:$GX$452,$FZ$456:$GX$656)),VLOOKUP($C$4,$HF$2:$HH$99,3,0)+IF(AG$5="Ida",0,1),1),"")</f>
        <v/>
      </c>
      <c r="AO50" s="89">
        <f>IF(AE51&lt;&gt;AE50,AVERAGEIF(AE$9:AE50,AE50,AN$9:AN50),"")</f>
        <v/>
      </c>
      <c r="AP50" s="89">
        <f>IFERROR(IF(AE51&lt;&gt;AE50,AVERAGEIF(AE$9:AE50,AE50,AW$9:AW50),""),"")</f>
        <v/>
      </c>
      <c r="AQ50" s="89">
        <f>IFERROR(IF(AE51&lt;&gt;AE50,AVERAGEIF(AE$9:AE50,AE50,AX$9:AX50),""),"")</f>
        <v/>
      </c>
      <c r="AR50" s="89">
        <f t="array" ref="AR50">IFERROR(IF(AE51&lt;&gt;AE50,_xlfn.STDEV.P(IF(AE$9:AE50=AE50,AX$9:AX50)),""),"")</f>
        <v/>
      </c>
      <c r="AS50" s="89">
        <f t="array" ref="AS50">IFERROR(IF(AE51&lt;&gt;AE50,_xlfn.STDEV.P(IF(AE$9:AE50=AE50,AW$9:AW50)),""),"")</f>
        <v/>
      </c>
      <c r="AT50" s="90">
        <f>IFERROR(IF(AE50&lt;&gt;AE51,MAX((((AQ50*24*60)/2)*(1+POWER((((AR50*24*60) / (AQ50*24*60) )),2))) + ((AQ50*24*60 )*-0.1 + (AO50*0.015)) +1,(((AQ50*24*60)/2)*(1+POWER((((AR50*24*60) / (AQ50*24*60 ))),2)))),""),"")</f>
        <v/>
      </c>
      <c r="AU50" s="90">
        <f>IF(AND(AS50&lt;&gt;"",AP50&lt;&gt;""),IF(AE50&lt;&gt;AE51,((AP50*24*60) / 2 ) * (1 + POWER(((AS50*24*60) / (AP50*24*60)),2)),""),"")</f>
        <v/>
      </c>
      <c r="AV50" s="90">
        <f>IF(AU50&lt;&gt;"",MAX(AT50,AU50),"")</f>
        <v/>
      </c>
      <c r="AW50" s="89">
        <f>IF(AM50&lt;&gt;"H. Sale Real",IF(AND(AM51&lt;&gt;"",LEFT(AG51,2)&lt;&gt;"Va"),IF(AND(AM50&lt;&gt;"",LEFT(AG50,2)&lt;&gt;"Va",AM50&lt;&gt;"H. Sale Real"),IF(AM51-AM50&lt;0.208333333333333,AM51-AM50,""),IF(AND(AM49&lt;&gt;"",LEFT(AG49,2)&lt;&gt;"Va",AM49&lt;&gt;"H. Sale Real"),IF(AM51-AM49&lt;0.208333333333333,AM51-AM49,""),IF(AND(AM48&lt;&gt;"",LEFT(AG48,2)&lt;&gt;"Va",AM48&lt;&gt;"H. Sale Real"),IF(AM51-AM48&lt;0.208333333333333,AM51-AM48,""),IF(AND(AM47&lt;&gt;"",LEFT(AG47,2)&lt;&gt;"Va",AM47&lt;&gt;"H. Sale Real"),IF(AM51-AM47&lt;0.208333333333333,AM51-AM47,""),IF(AND(AM46&lt;&gt;"",LEFT(AG46,2)&lt;&gt;"Va",AM46&lt;&gt;"H. Sale Real"),IF(AM51-AM46&lt;0.208333333333333,AM51-AM46,""),""))))),""),"")</f>
        <v/>
      </c>
      <c r="AX50" s="89">
        <f>IF(AK50&lt;&gt;"H. Sale Real",IF(AND(AK51&lt;&gt;"",LEFT(AG51,2)&lt;&gt;"Va"),IF(AND(AK50&lt;&gt;"",LEFT(AG50,2)&lt;&gt;"Va",AK50&lt;&gt;"H. Sale Real"),IF(AK51-AK50&lt;0.208333333333333,AK51-AK50,""),IF(AND(AK49&lt;&gt;"",LEFT(AG49,2)&lt;&gt;"Va",AK49&lt;&gt;"H. Sale Real"),IF(AK51-AK49&lt;0.208333333333333,AK51-AK49,""),IF(AND(AK48&lt;&gt;"",LEFT(AG48,2)&lt;&gt;"NC",AK48&lt;&gt;"H. Sale Real"),IF(AK51-AK48&lt;0.208333333333333,AK51-AK48,""),IF(AND(AK47&lt;&gt;"",LEFT(AG47,2)&lt;&gt;"Va",AK47&lt;&gt;"H. Sale Real"),IF(AK51-AK47&lt;0.208333333333333,AK51-AK47,""),IF(AND(AK46&lt;&gt;"",LEFT(AG46,2)&lt;&gt;"Va",AK46&lt;&gt;"H. Sale Real"),IF(AK51-AK46&lt;0.208333333333333,AK51-AK46,""),""))))),""),"")</f>
        <v/>
      </c>
      <c r="AY50" s="87" t="n"/>
      <c r="AZ50" s="89" t="n"/>
      <c r="BA50" s="87" t="n"/>
      <c r="BB50" s="89" t="n"/>
      <c r="BC50" s="91" t="n"/>
      <c r="BD50" s="122">
        <f>IF(AK50&lt;&gt;"",IF(AND(BD49&lt;&gt;"IE",AT50&lt;&gt;0,AV50&lt;&gt;""),IF(IFERROR((AT50/AV50),0) &lt;=1,IFERROR(AT50/AV50,""),1),""),"")</f>
        <v/>
      </c>
      <c r="BE50" s="93" t="n"/>
      <c r="BF50" s="105" t="n"/>
      <c r="FC50" t="inlineStr">
        <is>
          <t>Diccionario 1</t>
        </is>
      </c>
      <c r="FD50" s="15" t="n">
        <v>1047</v>
      </c>
      <c r="FE50" s="15" t="inlineStr">
        <is>
          <t>D8481885K2PL</t>
        </is>
      </c>
      <c r="FF50" s="15" t="inlineStr">
        <is>
          <t>YV3T7U526KA195191</t>
        </is>
      </c>
      <c r="FG50" s="15" t="inlineStr">
        <is>
          <t>Volvo</t>
        </is>
      </c>
      <c r="FH50" s="15" t="inlineStr">
        <is>
          <t>B8R</t>
        </is>
      </c>
      <c r="FI50" s="15" t="inlineStr">
        <is>
          <t>MARCOPOLO</t>
        </is>
      </c>
      <c r="FJ50" s="15" t="inlineStr">
        <is>
          <t>TORINO</t>
        </is>
      </c>
      <c r="FK50" s="15" t="n">
        <v>2019</v>
      </c>
      <c r="FL50" s="15" t="inlineStr">
        <is>
          <t>B2PAL</t>
        </is>
      </c>
      <c r="FM50" s="15" t="inlineStr">
        <is>
          <t>LOS LIBERTADORES</t>
        </is>
      </c>
      <c r="FN50" s="15" t="inlineStr">
        <is>
          <t>Los Liberadores 6450, Lote 4A</t>
        </is>
      </c>
      <c r="FO50" s="15" t="inlineStr">
        <is>
          <t>Huechuraba</t>
        </is>
      </c>
      <c r="FP50" t="inlineStr">
        <is>
          <t>B</t>
        </is>
      </c>
      <c r="FS50" s="14" t="inlineStr">
        <is>
          <t>3013 / SFWZ-18|</t>
        </is>
      </c>
      <c r="FT50" t="inlineStr">
        <is>
          <t>SFWZ-18|</t>
        </is>
      </c>
      <c r="FU50" t="inlineStr">
        <is>
          <t>SFWZ-18</t>
        </is>
      </c>
      <c r="FV50">
        <f>VLOOKUP(FU50,FD:FL,9,0)</f>
        <v/>
      </c>
      <c r="FZ50" s="51" t="inlineStr">
        <is>
          <t>F03c</t>
        </is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19.53</v>
      </c>
      <c r="GG50" t="n">
        <v>15.425</v>
      </c>
      <c r="GH50" t="n">
        <v>12.665</v>
      </c>
      <c r="GI50" t="n">
        <v>13.875</v>
      </c>
      <c r="GJ50" t="n">
        <v>14.78</v>
      </c>
      <c r="GK50" t="n">
        <v>14.605</v>
      </c>
      <c r="GL50" t="n">
        <v>13.885</v>
      </c>
      <c r="GM50" t="n">
        <v>13.555</v>
      </c>
      <c r="GN50" t="n">
        <v>13.77</v>
      </c>
      <c r="GO50" t="n">
        <v>14.125</v>
      </c>
      <c r="GP50" t="n">
        <v>13.58</v>
      </c>
      <c r="GQ50" t="n">
        <v>12.48</v>
      </c>
      <c r="GR50" t="n">
        <v>11.465</v>
      </c>
      <c r="GS50" t="n">
        <v>12.63</v>
      </c>
      <c r="GT50" t="n">
        <v>14.31</v>
      </c>
      <c r="GU50" t="n">
        <v>16.7</v>
      </c>
      <c r="GV50" t="n">
        <v>18.27</v>
      </c>
      <c r="GW50" t="n">
        <v>20.37</v>
      </c>
      <c r="GX50" t="n">
        <v>11.09</v>
      </c>
      <c r="HA50" s="35" t="n">
        <v>47</v>
      </c>
      <c r="HB50" s="35" t="n">
        <v>44</v>
      </c>
      <c r="HE50" t="inlineStr">
        <is>
          <t>U8</t>
        </is>
      </c>
      <c r="HF50" s="46" t="inlineStr">
        <is>
          <t>F03c</t>
        </is>
      </c>
      <c r="HG50" s="46" t="inlineStr">
        <is>
          <t>F03c</t>
        </is>
      </c>
      <c r="HH50" s="14" t="n">
        <v>47</v>
      </c>
      <c r="HL50" t="inlineStr">
        <is>
          <t>OmegaU8</t>
        </is>
      </c>
      <c r="HM50" s="46" t="inlineStr">
        <is>
          <t>F03c</t>
        </is>
      </c>
      <c r="HN50" s="26" t="inlineStr">
        <is>
          <t>Pie Andino</t>
        </is>
      </c>
      <c r="HO50" s="14" t="inlineStr">
        <is>
          <t>923c</t>
        </is>
      </c>
    </row>
    <row r="51" ht="15.5" customHeight="1">
      <c r="A51" s="10">
        <f>HOUR(G51)+1</f>
        <v/>
      </c>
      <c r="B51" s="7" t="n"/>
      <c r="C51" s="7" t="n"/>
      <c r="D51" s="85">
        <f>IFERROR(
IF(AND(OR(Planilla!B51="C",Planilla!B51="c"), VLOOKUP(E51,FD:FP,13,0)="C"), "OK",IF(AND(OR(Planilla!B51="C",Planilla!B51="c"), OR(VLOOKUP(E51,FD:FP,13,0)="B", VLOOKUP(E51,FD:FP,13,0)="A")), "DEFICIT",IF(
AND(OR(Planilla!B51="B", Planilla!B51="BPAL"), VLOOKUP(E51,FD:FP,13,0)="B"), "OK",IF(AND(OR(Planilla!B51="B", Planilla!B51="BPAL"), VLOOKUP(E51,FD:FP,13,0)="A"), "DEFICIT",IF(AND(OR(Planilla!B51="B", Planilla!B51="BPAL"), VLOOKUP(E51,FD:FP,13,0)="C"), "SOBREOFERTA",IF(AND(Planilla!B51="A", VLOOKUP(E51,FD:FP,13,0)="A"), "OK",IF(
AND(Planilla!B51="A", OR(VLOOKUP(E51,FD:FP,13,0)="B", VLOOKUP(E51,FD:FP,13,0)="C")), "SOBREOFERTA",""
))))))),"")</f>
        <v/>
      </c>
      <c r="E51" s="8" t="n"/>
      <c r="F51" s="86" t="n"/>
      <c r="G51" s="87" t="n"/>
      <c r="H51" s="88">
        <f>IF(I51="","",IF(AND((I51-G51)&gt;=TIME(0,0,0),(I51-G51)&lt;TIME(0,3,0)),"OK",IF(AND((I51-G51)&gt;=TIME(0,3,0),(I51-G51)&lt;TIME(0,5,0)),"RETRASO DE 3-5 MIN",IF(AND((I51-G51)&gt;=TIME(0,5,0),(I51-G51)&lt;TIME(0,10,0)),"RETRASO DE 5-10 MIN",IF((I51-G51)&gt;=TIME(0,10,0),"RETRASO &gt;10 MIN", IF(AND((G51-I51)&gt;=TIME(0,0,0),(G51-I51)&lt;TIME(0,3,0)),"OK",IF((G51-I51)&gt;=TIME(0,3,0),"ADELANTADO")))))))</f>
        <v/>
      </c>
      <c r="I51" s="89" t="n"/>
      <c r="J51" s="89">
        <f>IF(A51&lt;&gt;"",HLOOKUP(VALUE(TEXT(G51,"h:mm:ss")),IF($C$6="Laboral",$FZ$4:$GX$227,IF($C$6="Sábado",$FZ$231:$GX$452,$FZ$456:$GX$656)),VLOOKUP($C$4,$HF$2:$HH$99,3,0)+IF(C$5="Ida",0,1),1),"")</f>
        <v/>
      </c>
      <c r="K51" s="89">
        <f>IF(A52&lt;&gt;A51,AVERAGEIF(A$9:A51,A51,J$9:J51),"")</f>
        <v/>
      </c>
      <c r="L51" s="89">
        <f>IFERROR(IF(A52&lt;&gt;A51,AVERAGEIF(A$9:A51,A51,S$9:S51),""),"")</f>
        <v/>
      </c>
      <c r="M51" s="89">
        <f>IFERROR(IF(A52&lt;&gt;A51,AVERAGEIF(A$9:A51,A51,T$9:T51),""),"")</f>
        <v/>
      </c>
      <c r="N51" s="89">
        <f t="array" ref="N51">IFERROR(IF(A52&lt;&gt;A51,_xlfn.STDEV.P(IF(A$9:A51=A51,T$9:T51)),""),"")</f>
        <v/>
      </c>
      <c r="O51" s="89">
        <f t="array" ref="O51">IFERROR(IF(A52&lt;&gt;A51,_xlfn.STDEV.P(IF(A$9:A51=A51,S$9:S51)),""),"")</f>
        <v/>
      </c>
      <c r="P51" s="90">
        <f>IFERROR(IF(A51&lt;&gt;A52,MAX((((M51*24*60)/2)*(1+POWER((((N51*24*60) / (M51*24*60) )),2))) + ((M51*24*60 )*-0.1 + (K51*0.015)) +1,(((M51*24*60)/2)*(1+POWER((((N51*24*60) / (M51*24*60 ))),2)))),""),"")</f>
        <v/>
      </c>
      <c r="Q51" s="90">
        <f>IF(AND(O51&lt;&gt;"",L51&lt;&gt;""),IF(A51&lt;&gt;A52,((L51*24*60) / 2 ) * (1 + POWER(((O51*24*60) / (L51*24*60)),2)),""),"")</f>
        <v/>
      </c>
      <c r="R51" s="90">
        <f>IF(Q51&lt;&gt;"",MAX(P51,Q51),"")</f>
        <v/>
      </c>
      <c r="S51" s="89">
        <f>IF(I51&lt;&gt;"H. Sale Real",IF(AND(I52&lt;&gt;"",LEFT(C52,2)&lt;&gt;"Va"),IF(AND(I51&lt;&gt;"",LEFT(C51,2)&lt;&gt;"Va",I51&lt;&gt;"H. Sale Real"),IF(I52-I51&lt;0.208333333333333,I52-I51,""),IF(AND(I50&lt;&gt;"",LEFT(C50,2)&lt;&gt;"Va",I50&lt;&gt;"H. Sale Real"),IF(I52-I50&lt;0.208333333333333,I52-I50,""),IF(AND(I49&lt;&gt;"",LEFT(C49,2)&lt;&gt;"Va",I49&lt;&gt;"H. Sale Real"),IF(I52-I49&lt;0.208333333333333,I52-I49,""),IF(AND(I48&lt;&gt;"",LEFT(C48,2)&lt;&gt;"Va",I48&lt;&gt;"H. Sale Real"),IF(I52-I48&lt;0.208333333333333,I52-I48,""),IF(AND(I47&lt;&gt;"",LEFT(C47,2)&lt;&gt;"Va",I47&lt;&gt;"H. Sale Real"),IF(I52-I47&lt;0.208333333333333,I52-I47,""),""))))),""),"")</f>
        <v/>
      </c>
      <c r="T51" s="89">
        <f>IF(G51&lt;&gt;"H. Sale Real",IF(AND(G52&lt;&gt;"",LEFT(C52,2)&lt;&gt;"Va"),IF(AND(G51&lt;&gt;"",LEFT(C51,2)&lt;&gt;"Va",G51&lt;&gt;"H. Sale Real"),IF(G52-G51&lt;0.208333333333333,G52-G51,""),IF(AND(G50&lt;&gt;"",LEFT(C50,2)&lt;&gt;"Va",G50&lt;&gt;"H. Sale Real"),IF(G52-G50&lt;0.208333333333333,G52-G50,""),IF(AND(G49&lt;&gt;"",LEFT(C49,2)&lt;&gt;"Va",G49&lt;&gt;"H. Sale Real"),IF(G52-G49&lt;0.208333333333333,G52-G49,""),IF(AND(G48&lt;&gt;"",LEFT(C48,2)&lt;&gt;"Va",G48&lt;&gt;"H. Sale Real"),IF(G52-G48&lt;0.208333333333333,G52-G48,""),IF(AND(G47&lt;&gt;"",LEFT(C47,2)&lt;&gt;"Va",G47&lt;&gt;"H. Sale Real"),IF(G52-G47&lt;0.208333333333333,G52-G47,""),""))))),""),"")</f>
        <v/>
      </c>
      <c r="U51" s="87" t="n"/>
      <c r="V51" s="89" t="n"/>
      <c r="W51" s="87" t="n"/>
      <c r="X51" s="89" t="n"/>
      <c r="Y51" s="91" t="n"/>
      <c r="Z51" s="122">
        <f>IF(G51&lt;&gt;"",IF(AND(Z50&lt;&gt;"IE",P51&lt;&gt;0,R51&lt;&gt;""),IF(IFERROR((P51/R51),0) &lt;=1,IFERROR(P51/R51,""),1),""),"")</f>
        <v/>
      </c>
      <c r="AA51" s="93" t="n"/>
      <c r="AB51" s="2" t="n"/>
      <c r="AE51" s="10">
        <f>HOUR(AK51)+1</f>
        <v/>
      </c>
      <c r="AF51" s="7" t="n"/>
      <c r="AG51" s="7" t="n"/>
      <c r="AH51" s="86" t="n"/>
      <c r="AI51" s="8" t="n"/>
      <c r="AJ51" s="86" t="n"/>
      <c r="AK51" s="87" t="n"/>
      <c r="AL51" s="88">
        <f>IF(AM51="","",IF(AND((AM51-AK51)&gt;=TIME(0,0,0),(AM51-AK51)&lt;TIME(0,3,0)),"OK",IF(AND((AM51-AK51)&gt;=TIME(0,3,0),(AM51-AK51)&lt;TIME(0,5,0)),"RETRASO DE 3-5 MIN",IF(AND((AM51-AK51)&gt;=TIME(0,5,0),(AM51-AK51)&lt;TIME(0,10,0)),"RETRASO DE 5-10 MIN",IF((AM51-AK51)&gt;=TIME(0,10,0),"RETRASO &gt;10 MIN", IF(AND((AK51-AM51)&gt;=TIME(0,0,0),(AK51-AM51)&lt;TIME(0,3,0)),"OK",IF((AK51-AM51)&gt;=TIME(0,3,0),"ADELANTADO")))))))</f>
        <v/>
      </c>
      <c r="AM51" s="91" t="n"/>
      <c r="AN51" s="89">
        <f>IF(AE51&lt;&gt;"",HLOOKUP(VALUE(TEXT(AK51,"h:mm:ss")),IF($C$6="Laboral",$FZ$4:$GX$227,IF($C$6="Sábado",$FZ$231:$GX$452,$FZ$456:$GX$656)),VLOOKUP($C$4,$HF$2:$HH$99,3,0)+IF(AG$5="Ida",0,1),1),"")</f>
        <v/>
      </c>
      <c r="AO51" s="89">
        <f>IF(AE52&lt;&gt;AE51,AVERAGEIF(AE$9:AE51,AE51,AN$9:AN51),"")</f>
        <v/>
      </c>
      <c r="AP51" s="89">
        <f>IFERROR(IF(AE52&lt;&gt;AE51,AVERAGEIF(AE$9:AE51,AE51,AW$9:AW51),""),"")</f>
        <v/>
      </c>
      <c r="AQ51" s="89">
        <f>IFERROR(IF(AE52&lt;&gt;AE51,AVERAGEIF(AE$9:AE51,AE51,AX$9:AX51),""),"")</f>
        <v/>
      </c>
      <c r="AR51" s="89">
        <f t="array" ref="AR51">IFERROR(IF(AE52&lt;&gt;AE51,_xlfn.STDEV.P(IF(AE$9:AE51=AE51,AX$9:AX51)),""),"")</f>
        <v/>
      </c>
      <c r="AS51" s="89">
        <f t="array" ref="AS51">IFERROR(IF(AE52&lt;&gt;AE51,_xlfn.STDEV.P(IF(AE$9:AE51=AE51,AW$9:AW51)),""),"")</f>
        <v/>
      </c>
      <c r="AT51" s="90">
        <f>IFERROR(IF(AE51&lt;&gt;AE52,MAX((((AQ51*24*60)/2)*(1+POWER((((AR51*24*60) / (AQ51*24*60) )),2))) + ((AQ51*24*60 )*-0.1 + (AO51*0.015)) +1,(((AQ51*24*60)/2)*(1+POWER((((AR51*24*60) / (AQ51*24*60 ))),2)))),""),"")</f>
        <v/>
      </c>
      <c r="AU51" s="90">
        <f>IF(AND(AS51&lt;&gt;"",AP51&lt;&gt;""),IF(AE51&lt;&gt;AE52,((AP51*24*60) / 2 ) * (1 + POWER(((AS51*24*60) / (AP51*24*60)),2)),""),"")</f>
        <v/>
      </c>
      <c r="AV51" s="90">
        <f>IF(AU51&lt;&gt;"",MAX(AT51,AU51),"")</f>
        <v/>
      </c>
      <c r="AW51" s="89">
        <f>IF(AM51&lt;&gt;"H. Sale Real",IF(AND(AM52&lt;&gt;"",LEFT(AG52,2)&lt;&gt;"Va"),IF(AND(AM51&lt;&gt;"",LEFT(AG51,2)&lt;&gt;"Va",AM51&lt;&gt;"H. Sale Real"),IF(AM52-AM51&lt;0.208333333333333,AM52-AM51,""),IF(AND(AM50&lt;&gt;"",LEFT(AG50,2)&lt;&gt;"Va",AM50&lt;&gt;"H. Sale Real"),IF(AM52-AM50&lt;0.208333333333333,AM52-AM50,""),IF(AND(AM49&lt;&gt;"",LEFT(AG49,2)&lt;&gt;"Va",AM49&lt;&gt;"H. Sale Real"),IF(AM52-AM49&lt;0.208333333333333,AM52-AM49,""),IF(AND(AM48&lt;&gt;"",LEFT(AG48,2)&lt;&gt;"Va",AM48&lt;&gt;"H. Sale Real"),IF(AM52-AM48&lt;0.208333333333333,AM52-AM48,""),IF(AND(AM47&lt;&gt;"",LEFT(AG47,2)&lt;&gt;"Va",AM47&lt;&gt;"H. Sale Real"),IF(AM52-AM47&lt;0.208333333333333,AM52-AM47,""),""))))),""),"")</f>
        <v/>
      </c>
      <c r="AX51" s="89">
        <f>IF(AK51&lt;&gt;"H. Sale Real",IF(AND(AK52&lt;&gt;"",LEFT(AG52,2)&lt;&gt;"Va"),IF(AND(AK51&lt;&gt;"",LEFT(AG51,2)&lt;&gt;"Va",AK51&lt;&gt;"H. Sale Real"),IF(AK52-AK51&lt;0.208333333333333,AK52-AK51,""),IF(AND(AK50&lt;&gt;"",LEFT(AG50,2)&lt;&gt;"Va",AK50&lt;&gt;"H. Sale Real"),IF(AK52-AK50&lt;0.208333333333333,AK52-AK50,""),IF(AND(AK49&lt;&gt;"",LEFT(AG49,2)&lt;&gt;"NC",AK49&lt;&gt;"H. Sale Real"),IF(AK52-AK49&lt;0.208333333333333,AK52-AK49,""),IF(AND(AK48&lt;&gt;"",LEFT(AG48,2)&lt;&gt;"Va",AK48&lt;&gt;"H. Sale Real"),IF(AK52-AK48&lt;0.208333333333333,AK52-AK48,""),IF(AND(AK47&lt;&gt;"",LEFT(AG47,2)&lt;&gt;"Va",AK47&lt;&gt;"H. Sale Real"),IF(AK52-AK47&lt;0.208333333333333,AK52-AK47,""),""))))),""),"")</f>
        <v/>
      </c>
      <c r="AY51" s="87" t="n"/>
      <c r="AZ51" s="89" t="n"/>
      <c r="BA51" s="87" t="n"/>
      <c r="BB51" s="89" t="n"/>
      <c r="BC51" s="91" t="n"/>
      <c r="BD51" s="122">
        <f>IF(AK51&lt;&gt;"",IF(AND(BD50&lt;&gt;"IE",AT51&lt;&gt;0,AV51&lt;&gt;""),IF(IFERROR((AT51/AV51),0) &lt;=1,IFERROR(AT51/AV51,""),1),""),"")</f>
        <v/>
      </c>
      <c r="BE51" s="93" t="n"/>
      <c r="BF51" s="105" t="n"/>
      <c r="FC51" t="inlineStr">
        <is>
          <t>Diccionario 1</t>
        </is>
      </c>
      <c r="FD51" s="15" t="n">
        <v>1048</v>
      </c>
      <c r="FE51" s="15" t="inlineStr">
        <is>
          <t>D8481866K2PL</t>
        </is>
      </c>
      <c r="FF51" s="15" t="inlineStr">
        <is>
          <t>YV3T7U528KA195192</t>
        </is>
      </c>
      <c r="FG51" s="15" t="inlineStr">
        <is>
          <t>Volvo</t>
        </is>
      </c>
      <c r="FH51" s="15" t="inlineStr">
        <is>
          <t>B8R</t>
        </is>
      </c>
      <c r="FI51" s="15" t="inlineStr">
        <is>
          <t>MARCOPOLO</t>
        </is>
      </c>
      <c r="FJ51" s="15" t="inlineStr">
        <is>
          <t>TORINO</t>
        </is>
      </c>
      <c r="FK51" s="15" t="n">
        <v>2019</v>
      </c>
      <c r="FL51" s="15" t="inlineStr">
        <is>
          <t>B2PAL</t>
        </is>
      </c>
      <c r="FM51" s="15" t="inlineStr">
        <is>
          <t>LOS LIBERTADORES</t>
        </is>
      </c>
      <c r="FN51" s="15" t="inlineStr">
        <is>
          <t>Los Liberadores 6450, Lote 4A</t>
        </is>
      </c>
      <c r="FO51" s="15" t="inlineStr">
        <is>
          <t>Huechuraba</t>
        </is>
      </c>
      <c r="FP51" t="inlineStr">
        <is>
          <t>B</t>
        </is>
      </c>
      <c r="FS51" s="14" t="inlineStr">
        <is>
          <t>3014 / SFWZ-26|</t>
        </is>
      </c>
      <c r="FT51" t="inlineStr">
        <is>
          <t>SFWZ-26|</t>
        </is>
      </c>
      <c r="FU51" t="inlineStr">
        <is>
          <t>SFWZ-26</t>
        </is>
      </c>
      <c r="FV51">
        <f>VLOOKUP(FU51,FD:FL,9,0)</f>
        <v/>
      </c>
      <c r="FZ51" s="51" t="inlineStr">
        <is>
          <t>F05</t>
        </is>
      </c>
      <c r="GA51" t="n">
        <v>26.85</v>
      </c>
      <c r="GB51" t="n">
        <v>0</v>
      </c>
      <c r="GC51" t="n">
        <v>0</v>
      </c>
      <c r="GD51" t="n">
        <v>0</v>
      </c>
      <c r="GE51" t="n">
        <v>0</v>
      </c>
      <c r="GF51" t="n">
        <v>10.465</v>
      </c>
      <c r="GG51" t="n">
        <v>17.715</v>
      </c>
      <c r="GH51" t="n">
        <v>14.27</v>
      </c>
      <c r="GI51" t="n">
        <v>15.98</v>
      </c>
      <c r="GJ51" t="n">
        <v>16.775</v>
      </c>
      <c r="GK51" t="n">
        <v>16.875</v>
      </c>
      <c r="GL51" t="n">
        <v>16.475</v>
      </c>
      <c r="GM51" t="n">
        <v>15.725</v>
      </c>
      <c r="GN51" t="n">
        <v>15.735</v>
      </c>
      <c r="GO51" t="n">
        <v>15.995</v>
      </c>
      <c r="GP51" t="n">
        <v>15.295</v>
      </c>
      <c r="GQ51" t="n">
        <v>14.295</v>
      </c>
      <c r="GR51" t="n">
        <v>12.89</v>
      </c>
      <c r="GS51" t="n">
        <v>13.205</v>
      </c>
      <c r="GT51" t="n">
        <v>14.63</v>
      </c>
      <c r="GU51" t="n">
        <v>17.39</v>
      </c>
      <c r="GV51" t="n">
        <v>18.65</v>
      </c>
      <c r="GW51" t="n">
        <v>20.08</v>
      </c>
      <c r="GX51" t="n">
        <v>23.215</v>
      </c>
      <c r="HA51" s="35" t="n">
        <v>48</v>
      </c>
      <c r="HB51" s="35" t="n">
        <v>45</v>
      </c>
      <c r="HE51" t="inlineStr">
        <is>
          <t>U8</t>
        </is>
      </c>
      <c r="HF51" s="46" t="inlineStr">
        <is>
          <t>F10c</t>
        </is>
      </c>
      <c r="HG51" s="46" t="inlineStr">
        <is>
          <t>F10c</t>
        </is>
      </c>
      <c r="HH51" s="14" t="n">
        <v>54</v>
      </c>
      <c r="HL51" t="inlineStr">
        <is>
          <t>OmegaU8</t>
        </is>
      </c>
      <c r="HM51" s="46" t="inlineStr">
        <is>
          <t>F10c</t>
        </is>
      </c>
      <c r="HN51" s="26" t="inlineStr">
        <is>
          <t>Juanita</t>
        </is>
      </c>
      <c r="HO51" s="14" t="inlineStr">
        <is>
          <t>930c</t>
        </is>
      </c>
    </row>
    <row r="52" ht="15.5" customHeight="1">
      <c r="A52" s="10">
        <f>HOUR(G52)+1</f>
        <v/>
      </c>
      <c r="B52" s="7" t="n"/>
      <c r="C52" s="7" t="n"/>
      <c r="D52" s="85">
        <f>IFERROR(
IF(AND(OR(Planilla!B52="C",Planilla!B52="c"), VLOOKUP(E52,FD:FP,13,0)="C"), "OK",IF(AND(OR(Planilla!B52="C",Planilla!B52="c"), OR(VLOOKUP(E52,FD:FP,13,0)="B", VLOOKUP(E52,FD:FP,13,0)="A")), "DEFICIT",IF(
AND(OR(Planilla!B52="B", Planilla!B52="BPAL"), VLOOKUP(E52,FD:FP,13,0)="B"), "OK",IF(AND(OR(Planilla!B52="B", Planilla!B52="BPAL"), VLOOKUP(E52,FD:FP,13,0)="A"), "DEFICIT",IF(AND(OR(Planilla!B52="B", Planilla!B52="BPAL"), VLOOKUP(E52,FD:FP,13,0)="C"), "SOBREOFERTA",IF(AND(Planilla!B52="A", VLOOKUP(E52,FD:FP,13,0)="A"), "OK",IF(
AND(Planilla!B52="A", OR(VLOOKUP(E52,FD:FP,13,0)="B", VLOOKUP(E52,FD:FP,13,0)="C")), "SOBREOFERTA",""
))))))),"")</f>
        <v/>
      </c>
      <c r="E52" s="8" t="n"/>
      <c r="F52" s="86" t="n"/>
      <c r="G52" s="87" t="n"/>
      <c r="H52" s="88">
        <f>IF(I52="","",IF(AND((I52-G52)&gt;=TIME(0,0,0),(I52-G52)&lt;TIME(0,3,0)),"OK",IF(AND((I52-G52)&gt;=TIME(0,3,0),(I52-G52)&lt;TIME(0,5,0)),"RETRASO DE 3-5 MIN",IF(AND((I52-G52)&gt;=TIME(0,5,0),(I52-G52)&lt;TIME(0,10,0)),"RETRASO DE 5-10 MIN",IF((I52-G52)&gt;=TIME(0,10,0),"RETRASO &gt;10 MIN", IF(AND((G52-I52)&gt;=TIME(0,0,0),(G52-I52)&lt;TIME(0,3,0)),"OK",IF((G52-I52)&gt;=TIME(0,3,0),"ADELANTADO")))))))</f>
        <v/>
      </c>
      <c r="I52" s="89" t="n"/>
      <c r="J52" s="89">
        <f>IF(A52&lt;&gt;"",HLOOKUP(VALUE(TEXT(G52,"h:mm:ss")),IF($C$6="Laboral",$FZ$4:$GX$227,IF($C$6="Sábado",$FZ$231:$GX$452,$FZ$456:$GX$656)),VLOOKUP($C$4,$HF$2:$HH$99,3,0)+IF(C$5="Ida",0,1),1),"")</f>
        <v/>
      </c>
      <c r="K52" s="89">
        <f>IF(A53&lt;&gt;A52,AVERAGEIF(A$9:A52,A52,J$9:J52),"")</f>
        <v/>
      </c>
      <c r="L52" s="89">
        <f>IFERROR(IF(A53&lt;&gt;A52,AVERAGEIF(A$9:A52,A52,S$9:S52),""),"")</f>
        <v/>
      </c>
      <c r="M52" s="89">
        <f>IFERROR(IF(A53&lt;&gt;A52,AVERAGEIF(A$9:A52,A52,T$9:T52),""),"")</f>
        <v/>
      </c>
      <c r="N52" s="89">
        <f t="array" ref="N52">IFERROR(IF(A53&lt;&gt;A52,_xlfn.STDEV.P(IF(A$9:A52=A52,T$9:T52)),""),"")</f>
        <v/>
      </c>
      <c r="O52" s="89">
        <f t="array" ref="O52">IFERROR(IF(A53&lt;&gt;A52,_xlfn.STDEV.P(IF(A$9:A52=A52,S$9:S52)),""),"")</f>
        <v/>
      </c>
      <c r="P52" s="90">
        <f>IFERROR(IF(A52&lt;&gt;A53,MAX((((M52*24*60)/2)*(1+POWER((((N52*24*60) / (M52*24*60) )),2))) + ((M52*24*60 )*-0.1 + (K52*0.015)) +1,(((M52*24*60)/2)*(1+POWER((((N52*24*60) / (M52*24*60 ))),2)))),""),"")</f>
        <v/>
      </c>
      <c r="Q52" s="90">
        <f>IF(AND(O52&lt;&gt;"",L52&lt;&gt;""),IF(A52&lt;&gt;A53,((L52*24*60) / 2 ) * (1 + POWER(((O52*24*60) / (L52*24*60)),2)),""),"")</f>
        <v/>
      </c>
      <c r="R52" s="90">
        <f>IF(Q52&lt;&gt;"",MAX(P52,Q52),"")</f>
        <v/>
      </c>
      <c r="S52" s="89">
        <f>IF(I52&lt;&gt;"H. Sale Real",IF(AND(I53&lt;&gt;"",LEFT(C53,2)&lt;&gt;"Va"),IF(AND(I52&lt;&gt;"",LEFT(C52,2)&lt;&gt;"Va",I52&lt;&gt;"H. Sale Real"),IF(I53-I52&lt;0.208333333333333,I53-I52,""),IF(AND(I51&lt;&gt;"",LEFT(C51,2)&lt;&gt;"Va",I51&lt;&gt;"H. Sale Real"),IF(I53-I51&lt;0.208333333333333,I53-I51,""),IF(AND(I50&lt;&gt;"",LEFT(C50,2)&lt;&gt;"Va",I50&lt;&gt;"H. Sale Real"),IF(I53-I50&lt;0.208333333333333,I53-I50,""),IF(AND(I49&lt;&gt;"",LEFT(C49,2)&lt;&gt;"Va",I49&lt;&gt;"H. Sale Real"),IF(I53-I49&lt;0.208333333333333,I53-I49,""),IF(AND(I48&lt;&gt;"",LEFT(C48,2)&lt;&gt;"Va",I48&lt;&gt;"H. Sale Real"),IF(I53-I48&lt;0.208333333333333,I53-I48,""),""))))),""),"")</f>
        <v/>
      </c>
      <c r="T52" s="89">
        <f>IF(G52&lt;&gt;"H. Sale Real",IF(AND(G53&lt;&gt;"",LEFT(C53,2)&lt;&gt;"Va"),IF(AND(G52&lt;&gt;"",LEFT(C52,2)&lt;&gt;"Va",G52&lt;&gt;"H. Sale Real"),IF(G53-G52&lt;0.208333333333333,G53-G52,""),IF(AND(G51&lt;&gt;"",LEFT(C51,2)&lt;&gt;"Va",G51&lt;&gt;"H. Sale Real"),IF(G53-G51&lt;0.208333333333333,G53-G51,""),IF(AND(G50&lt;&gt;"",LEFT(C50,2)&lt;&gt;"Va",G50&lt;&gt;"H. Sale Real"),IF(G53-G50&lt;0.208333333333333,G53-G50,""),IF(AND(G49&lt;&gt;"",LEFT(C49,2)&lt;&gt;"Va",G49&lt;&gt;"H. Sale Real"),IF(G53-G49&lt;0.208333333333333,G53-G49,""),IF(AND(G48&lt;&gt;"",LEFT(C48,2)&lt;&gt;"Va",G48&lt;&gt;"H. Sale Real"),IF(G53-G48&lt;0.208333333333333,G53-G48,""),""))))),""),"")</f>
        <v/>
      </c>
      <c r="U52" s="87" t="n"/>
      <c r="V52" s="89" t="n"/>
      <c r="W52" s="87" t="n"/>
      <c r="X52" s="89" t="n"/>
      <c r="Y52" s="91" t="n"/>
      <c r="Z52" s="122">
        <f>IF(G52&lt;&gt;"",IF(AND(Z51&lt;&gt;"IE",P52&lt;&gt;0,R52&lt;&gt;""),IF(IFERROR((P52/R52),0) &lt;=1,IFERROR(P52/R52,""),1),""),"")</f>
        <v/>
      </c>
      <c r="AA52" s="93" t="n"/>
      <c r="AB52" s="2" t="n"/>
      <c r="AE52" s="10">
        <f>HOUR(AK52)+1</f>
        <v/>
      </c>
      <c r="AF52" s="7" t="n"/>
      <c r="AG52" s="7" t="n"/>
      <c r="AH52" s="86" t="n"/>
      <c r="AI52" s="8" t="n"/>
      <c r="AJ52" s="86" t="n"/>
      <c r="AK52" s="87" t="n"/>
      <c r="AL52" s="88">
        <f>IF(AM52="","",IF(AND((AM52-AK52)&gt;=TIME(0,0,0),(AM52-AK52)&lt;TIME(0,3,0)),"OK",IF(AND((AM52-AK52)&gt;=TIME(0,3,0),(AM52-AK52)&lt;TIME(0,5,0)),"RETRASO DE 3-5 MIN",IF(AND((AM52-AK52)&gt;=TIME(0,5,0),(AM52-AK52)&lt;TIME(0,10,0)),"RETRASO DE 5-10 MIN",IF((AM52-AK52)&gt;=TIME(0,10,0),"RETRASO &gt;10 MIN", IF(AND((AK52-AM52)&gt;=TIME(0,0,0),(AK52-AM52)&lt;TIME(0,3,0)),"OK",IF((AK52-AM52)&gt;=TIME(0,3,0),"ADELANTADO")))))))</f>
        <v/>
      </c>
      <c r="AM52" s="91" t="n"/>
      <c r="AN52" s="89">
        <f>IF(AE52&lt;&gt;"",HLOOKUP(VALUE(TEXT(AK52,"h:mm:ss")),IF($C$6="Laboral",$FZ$4:$GX$227,IF($C$6="Sábado",$FZ$231:$GX$452,$FZ$456:$GX$656)),VLOOKUP($C$4,$HF$2:$HH$99,3,0)+IF(AG$5="Ida",0,1),1),"")</f>
        <v/>
      </c>
      <c r="AO52" s="89">
        <f>IF(AE53&lt;&gt;AE52,AVERAGEIF(AE$9:AE52,AE52,AN$9:AN52),"")</f>
        <v/>
      </c>
      <c r="AP52" s="89">
        <f>IFERROR(IF(AE53&lt;&gt;AE52,AVERAGEIF(AE$9:AE52,AE52,AW$9:AW52),""),"")</f>
        <v/>
      </c>
      <c r="AQ52" s="89">
        <f>IFERROR(IF(AE53&lt;&gt;AE52,AVERAGEIF(AE$9:AE52,AE52,AX$9:AX52),""),"")</f>
        <v/>
      </c>
      <c r="AR52" s="89">
        <f t="array" ref="AR52">IFERROR(IF(AE53&lt;&gt;AE52,_xlfn.STDEV.P(IF(AE$9:AE52=AE52,AX$9:AX52)),""),"")</f>
        <v/>
      </c>
      <c r="AS52" s="89">
        <f t="array" ref="AS52">IFERROR(IF(AE53&lt;&gt;AE52,_xlfn.STDEV.P(IF(AE$9:AE52=AE52,AW$9:AW52)),""),"")</f>
        <v/>
      </c>
      <c r="AT52" s="90">
        <f>IFERROR(IF(AE52&lt;&gt;AE53,MAX((((AQ52*24*60)/2)*(1+POWER((((AR52*24*60) / (AQ52*24*60) )),2))) + ((AQ52*24*60 )*-0.1 + (AO52*0.015)) +1,(((AQ52*24*60)/2)*(1+POWER((((AR52*24*60) / (AQ52*24*60 ))),2)))),""),"")</f>
        <v/>
      </c>
      <c r="AU52" s="90">
        <f>IF(AND(AS52&lt;&gt;"",AP52&lt;&gt;""),IF(AE52&lt;&gt;AE53,((AP52*24*60) / 2 ) * (1 + POWER(((AS52*24*60) / (AP52*24*60)),2)),""),"")</f>
        <v/>
      </c>
      <c r="AV52" s="90">
        <f>IF(AU52&lt;&gt;"",MAX(AT52,AU52),"")</f>
        <v/>
      </c>
      <c r="AW52" s="89">
        <f>IF(AM52&lt;&gt;"H. Sale Real",IF(AND(AM53&lt;&gt;"",LEFT(AG53,2)&lt;&gt;"Va"),IF(AND(AM52&lt;&gt;"",LEFT(AG52,2)&lt;&gt;"Va",AM52&lt;&gt;"H. Sale Real"),IF(AM53-AM52&lt;0.208333333333333,AM53-AM52,""),IF(AND(AM51&lt;&gt;"",LEFT(AG51,2)&lt;&gt;"Va",AM51&lt;&gt;"H. Sale Real"),IF(AM53-AM51&lt;0.208333333333333,AM53-AM51,""),IF(AND(AM50&lt;&gt;"",LEFT(AG50,2)&lt;&gt;"Va",AM50&lt;&gt;"H. Sale Real"),IF(AM53-AM50&lt;0.208333333333333,AM53-AM50,""),IF(AND(AM49&lt;&gt;"",LEFT(AG49,2)&lt;&gt;"Va",AM49&lt;&gt;"H. Sale Real"),IF(AM53-AM49&lt;0.208333333333333,AM53-AM49,""),IF(AND(AM48&lt;&gt;"",LEFT(AG48,2)&lt;&gt;"Va",AM48&lt;&gt;"H. Sale Real"),IF(AM53-AM48&lt;0.208333333333333,AM53-AM48,""),""))))),""),"")</f>
        <v/>
      </c>
      <c r="AX52" s="89">
        <f>IF(AK52&lt;&gt;"H. Sale Real",IF(AND(AK53&lt;&gt;"",LEFT(AG53,2)&lt;&gt;"Va"),IF(AND(AK52&lt;&gt;"",LEFT(AG52,2)&lt;&gt;"Va",AK52&lt;&gt;"H. Sale Real"),IF(AK53-AK52&lt;0.208333333333333,AK53-AK52,""),IF(AND(AK51&lt;&gt;"",LEFT(AG51,2)&lt;&gt;"Va",AK51&lt;&gt;"H. Sale Real"),IF(AK53-AK51&lt;0.208333333333333,AK53-AK51,""),IF(AND(AK50&lt;&gt;"",LEFT(AG50,2)&lt;&gt;"NC",AK50&lt;&gt;"H. Sale Real"),IF(AK53-AK50&lt;0.208333333333333,AK53-AK50,""),IF(AND(AK49&lt;&gt;"",LEFT(AG49,2)&lt;&gt;"Va",AK49&lt;&gt;"H. Sale Real"),IF(AK53-AK49&lt;0.208333333333333,AK53-AK49,""),IF(AND(AK48&lt;&gt;"",LEFT(AG48,2)&lt;&gt;"Va",AK48&lt;&gt;"H. Sale Real"),IF(AK53-AK48&lt;0.208333333333333,AK53-AK48,""),""))))),""),"")</f>
        <v/>
      </c>
      <c r="AY52" s="87" t="n"/>
      <c r="AZ52" s="89" t="n"/>
      <c r="BA52" s="87" t="n"/>
      <c r="BB52" s="89" t="n"/>
      <c r="BC52" s="91" t="n"/>
      <c r="BD52" s="122">
        <f>IF(AK52&lt;&gt;"",IF(AND(BD51&lt;&gt;"IE",AT52&lt;&gt;0,AV52&lt;&gt;""),IF(IFERROR((AT52/AV52),0) &lt;=1,IFERROR(AT52/AV52,""),1),""),"")</f>
        <v/>
      </c>
      <c r="BE52" s="93" t="n"/>
      <c r="BF52" s="105" t="n"/>
      <c r="FC52" t="inlineStr">
        <is>
          <t>Diccionario 1</t>
        </is>
      </c>
      <c r="FD52" s="15" t="n">
        <v>1049</v>
      </c>
      <c r="FE52" s="15" t="inlineStr">
        <is>
          <t>D8481887K2PL</t>
        </is>
      </c>
      <c r="FF52" s="15" t="inlineStr">
        <is>
          <t>YV3T7U52XKA195193</t>
        </is>
      </c>
      <c r="FG52" s="15" t="inlineStr">
        <is>
          <t>Volvo</t>
        </is>
      </c>
      <c r="FH52" s="15" t="inlineStr">
        <is>
          <t>B8R</t>
        </is>
      </c>
      <c r="FI52" s="15" t="inlineStr">
        <is>
          <t>MARCOPOLO</t>
        </is>
      </c>
      <c r="FJ52" s="15" t="inlineStr">
        <is>
          <t>TORINO</t>
        </is>
      </c>
      <c r="FK52" s="15" t="n">
        <v>2019</v>
      </c>
      <c r="FL52" s="15" t="inlineStr">
        <is>
          <t>B2PAL</t>
        </is>
      </c>
      <c r="FM52" s="15" t="inlineStr">
        <is>
          <t>LOS LIBERTADORES</t>
        </is>
      </c>
      <c r="FN52" s="15" t="inlineStr">
        <is>
          <t>Los Liberadores 6450, Lote 4A</t>
        </is>
      </c>
      <c r="FO52" s="15" t="inlineStr">
        <is>
          <t>Huechuraba</t>
        </is>
      </c>
      <c r="FP52" t="inlineStr">
        <is>
          <t>B</t>
        </is>
      </c>
      <c r="FS52" s="14" t="inlineStr">
        <is>
          <t>3014 / SFWZ-26|</t>
        </is>
      </c>
      <c r="FT52" t="inlineStr">
        <is>
          <t>SFWZ-26|</t>
        </is>
      </c>
      <c r="FU52" t="inlineStr">
        <is>
          <t>SFWZ-26</t>
        </is>
      </c>
      <c r="FV52">
        <f>VLOOKUP(FU52,FD:FL,9,0)</f>
        <v/>
      </c>
      <c r="FZ52" s="51" t="inlineStr">
        <is>
          <t>F05</t>
        </is>
      </c>
      <c r="GA52" t="n">
        <v>0</v>
      </c>
      <c r="GB52" t="n">
        <v>0</v>
      </c>
      <c r="GC52" t="n">
        <v>0</v>
      </c>
      <c r="GD52" t="n">
        <v>0</v>
      </c>
      <c r="GE52" t="n">
        <v>12.6</v>
      </c>
      <c r="GF52" t="n">
        <v>20.825</v>
      </c>
      <c r="GG52" t="n">
        <v>16.41</v>
      </c>
      <c r="GH52" t="n">
        <v>14.89</v>
      </c>
      <c r="GI52" t="n">
        <v>16.43</v>
      </c>
      <c r="GJ52" t="n">
        <v>17.43</v>
      </c>
      <c r="GK52" t="n">
        <v>17.34</v>
      </c>
      <c r="GL52" t="n">
        <v>16.925</v>
      </c>
      <c r="GM52" t="n">
        <v>16.55</v>
      </c>
      <c r="GN52" t="n">
        <v>16.74</v>
      </c>
      <c r="GO52" t="n">
        <v>16.23</v>
      </c>
      <c r="GP52" t="n">
        <v>15.85</v>
      </c>
      <c r="GQ52" t="n">
        <v>15.79</v>
      </c>
      <c r="GR52" t="n">
        <v>15.66</v>
      </c>
      <c r="GS52" t="n">
        <v>15.98</v>
      </c>
      <c r="GT52" t="n">
        <v>16.805</v>
      </c>
      <c r="GU52" t="n">
        <v>18.35</v>
      </c>
      <c r="GV52" t="n">
        <v>19.63</v>
      </c>
      <c r="GW52" t="n">
        <v>21.995</v>
      </c>
      <c r="GX52" t="n">
        <v>24.81</v>
      </c>
      <c r="HA52" s="35" t="n">
        <v>49</v>
      </c>
      <c r="HB52" s="35" t="n">
        <v>46</v>
      </c>
      <c r="HE52" t="inlineStr">
        <is>
          <t>U8</t>
        </is>
      </c>
      <c r="HF52" s="46" t="inlineStr">
        <is>
          <t>F12c</t>
        </is>
      </c>
      <c r="HG52" s="46" t="inlineStr">
        <is>
          <t>F12c</t>
        </is>
      </c>
      <c r="HH52" s="14" t="n">
        <v>57</v>
      </c>
      <c r="HL52" t="inlineStr">
        <is>
          <t>OmegaU8</t>
        </is>
      </c>
      <c r="HM52" s="46" t="inlineStr">
        <is>
          <t>F12c</t>
        </is>
      </c>
      <c r="HN52" s="26" t="inlineStr">
        <is>
          <t>Juanita</t>
        </is>
      </c>
      <c r="HO52" s="14" t="inlineStr">
        <is>
          <t>932c</t>
        </is>
      </c>
    </row>
    <row r="53" ht="15.5" customHeight="1">
      <c r="A53" s="10">
        <f>HOUR(G53)+1</f>
        <v/>
      </c>
      <c r="B53" s="7" t="n"/>
      <c r="C53" s="7" t="n"/>
      <c r="D53" s="85">
        <f>IFERROR(
IF(AND(OR(Planilla!B53="C",Planilla!B53="c"), VLOOKUP(E53,FD:FP,13,0)="C"), "OK",IF(AND(OR(Planilla!B53="C",Planilla!B53="c"), OR(VLOOKUP(E53,FD:FP,13,0)="B", VLOOKUP(E53,FD:FP,13,0)="A")), "DEFICIT",IF(
AND(OR(Planilla!B53="B", Planilla!B53="BPAL"), VLOOKUP(E53,FD:FP,13,0)="B"), "OK",IF(AND(OR(Planilla!B53="B", Planilla!B53="BPAL"), VLOOKUP(E53,FD:FP,13,0)="A"), "DEFICIT",IF(AND(OR(Planilla!B53="B", Planilla!B53="BPAL"), VLOOKUP(E53,FD:FP,13,0)="C"), "SOBREOFERTA",IF(AND(Planilla!B53="A", VLOOKUP(E53,FD:FP,13,0)="A"), "OK",IF(
AND(Planilla!B53="A", OR(VLOOKUP(E53,FD:FP,13,0)="B", VLOOKUP(E53,FD:FP,13,0)="C")), "SOBREOFERTA",""
))))))),"")</f>
        <v/>
      </c>
      <c r="E53" s="8" t="n"/>
      <c r="F53" s="86" t="n"/>
      <c r="G53" s="87" t="n"/>
      <c r="H53" s="88">
        <f>IF(I53="","",IF(AND((I53-G53)&gt;=TIME(0,0,0),(I53-G53)&lt;TIME(0,3,0)),"OK",IF(AND((I53-G53)&gt;=TIME(0,3,0),(I53-G53)&lt;TIME(0,5,0)),"RETRASO DE 3-5 MIN",IF(AND((I53-G53)&gt;=TIME(0,5,0),(I53-G53)&lt;TIME(0,10,0)),"RETRASO DE 5-10 MIN",IF((I53-G53)&gt;=TIME(0,10,0),"RETRASO &gt;10 MIN", IF(AND((G53-I53)&gt;=TIME(0,0,0),(G53-I53)&lt;TIME(0,3,0)),"OK",IF((G53-I53)&gt;=TIME(0,3,0),"ADELANTADO")))))))</f>
        <v/>
      </c>
      <c r="I53" s="89" t="n"/>
      <c r="J53" s="89">
        <f>IF(A53&lt;&gt;"",HLOOKUP(VALUE(TEXT(G53,"h:mm:ss")),IF($C$6="Laboral",$FZ$4:$GX$227,IF($C$6="Sábado",$FZ$231:$GX$452,$FZ$456:$GX$656)),VLOOKUP($C$4,$HF$2:$HH$99,3,0)+IF(C$5="Ida",0,1),1),"")</f>
        <v/>
      </c>
      <c r="K53" s="89">
        <f>IF(A54&lt;&gt;A53,AVERAGEIF(A$9:A53,A53,J$9:J53),"")</f>
        <v/>
      </c>
      <c r="L53" s="89">
        <f>IFERROR(IF(A54&lt;&gt;A53,AVERAGEIF(A$9:A53,A53,S$9:S53),""),"")</f>
        <v/>
      </c>
      <c r="M53" s="89">
        <f>IFERROR(IF(A54&lt;&gt;A53,AVERAGEIF(A$9:A53,A53,T$9:T53),""),"")</f>
        <v/>
      </c>
      <c r="N53" s="89">
        <f t="array" ref="N53">IFERROR(IF(A54&lt;&gt;A53,_xlfn.STDEV.P(IF(A$9:A53=A53,T$9:T53)),""),"")</f>
        <v/>
      </c>
      <c r="O53" s="89">
        <f t="array" ref="O53">IFERROR(IF(A54&lt;&gt;A53,_xlfn.STDEV.P(IF(A$9:A53=A53,S$9:S53)),""),"")</f>
        <v/>
      </c>
      <c r="P53" s="90">
        <f>IFERROR(IF(A53&lt;&gt;A54,MAX((((M53*24*60)/2)*(1+POWER((((N53*24*60) / (M53*24*60) )),2))) + ((M53*24*60 )*-0.1 + (K53*0.015)) +1,(((M53*24*60)/2)*(1+POWER((((N53*24*60) / (M53*24*60 ))),2)))),""),"")</f>
        <v/>
      </c>
      <c r="Q53" s="90">
        <f>IF(AND(O53&lt;&gt;"",L53&lt;&gt;""),IF(A53&lt;&gt;A54,((L53*24*60) / 2 ) * (1 + POWER(((O53*24*60) / (L53*24*60)),2)),""),"")</f>
        <v/>
      </c>
      <c r="R53" s="90">
        <f>IF(Q53&lt;&gt;"",MAX(P53,Q53),"")</f>
        <v/>
      </c>
      <c r="S53" s="89">
        <f>IF(I53&lt;&gt;"H. Sale Real",IF(AND(I54&lt;&gt;"",LEFT(C54,2)&lt;&gt;"Va"),IF(AND(I53&lt;&gt;"",LEFT(C53,2)&lt;&gt;"Va",I53&lt;&gt;"H. Sale Real"),IF(I54-I53&lt;0.208333333333333,I54-I53,""),IF(AND(I52&lt;&gt;"",LEFT(C52,2)&lt;&gt;"Va",I52&lt;&gt;"H. Sale Real"),IF(I54-I52&lt;0.208333333333333,I54-I52,""),IF(AND(I51&lt;&gt;"",LEFT(C51,2)&lt;&gt;"Va",I51&lt;&gt;"H. Sale Real"),IF(I54-I51&lt;0.208333333333333,I54-I51,""),IF(AND(I50&lt;&gt;"",LEFT(C50,2)&lt;&gt;"Va",I50&lt;&gt;"H. Sale Real"),IF(I54-I50&lt;0.208333333333333,I54-I50,""),IF(AND(I49&lt;&gt;"",LEFT(C49,2)&lt;&gt;"Va",I49&lt;&gt;"H. Sale Real"),IF(I54-I49&lt;0.208333333333333,I54-I49,""),""))))),""),"")</f>
        <v/>
      </c>
      <c r="T53" s="89">
        <f>IF(G53&lt;&gt;"H. Sale Real",IF(AND(G54&lt;&gt;"",LEFT(C54,2)&lt;&gt;"Va"),IF(AND(G53&lt;&gt;"",LEFT(C53,2)&lt;&gt;"Va",G53&lt;&gt;"H. Sale Real"),IF(G54-G53&lt;0.208333333333333,G54-G53,""),IF(AND(G52&lt;&gt;"",LEFT(C52,2)&lt;&gt;"Va",G52&lt;&gt;"H. Sale Real"),IF(G54-G52&lt;0.208333333333333,G54-G52,""),IF(AND(G51&lt;&gt;"",LEFT(C51,2)&lt;&gt;"Va",G51&lt;&gt;"H. Sale Real"),IF(G54-G51&lt;0.208333333333333,G54-G51,""),IF(AND(G50&lt;&gt;"",LEFT(C50,2)&lt;&gt;"Va",G50&lt;&gt;"H. Sale Real"),IF(G54-G50&lt;0.208333333333333,G54-G50,""),IF(AND(G49&lt;&gt;"",LEFT(C49,2)&lt;&gt;"Va",G49&lt;&gt;"H. Sale Real"),IF(G54-G49&lt;0.208333333333333,G54-G49,""),""))))),""),"")</f>
        <v/>
      </c>
      <c r="U53" s="87" t="n"/>
      <c r="V53" s="89" t="n"/>
      <c r="W53" s="87" t="n"/>
      <c r="X53" s="89" t="n"/>
      <c r="Y53" s="91" t="n"/>
      <c r="Z53" s="122">
        <f>IF(G53&lt;&gt;"",IF(AND(Z52&lt;&gt;"IE",P53&lt;&gt;0,R53&lt;&gt;""),IF(IFERROR((P53/R53),0) &lt;=1,IFERROR(P53/R53,""),1),""),"")</f>
        <v/>
      </c>
      <c r="AA53" s="93" t="n"/>
      <c r="AB53" s="2" t="n"/>
      <c r="AE53" s="10">
        <f>HOUR(AK53)+1</f>
        <v/>
      </c>
      <c r="AF53" s="7" t="n"/>
      <c r="AG53" s="7" t="n"/>
      <c r="AH53" s="86" t="n"/>
      <c r="AI53" s="8" t="n"/>
      <c r="AJ53" s="86" t="n"/>
      <c r="AK53" s="87" t="n"/>
      <c r="AL53" s="88">
        <f>IF(AM53="","",IF(AND((AM53-AK53)&gt;=TIME(0,0,0),(AM53-AK53)&lt;TIME(0,3,0)),"OK",IF(AND((AM53-AK53)&gt;=TIME(0,3,0),(AM53-AK53)&lt;TIME(0,5,0)),"RETRASO DE 3-5 MIN",IF(AND((AM53-AK53)&gt;=TIME(0,5,0),(AM53-AK53)&lt;TIME(0,10,0)),"RETRASO DE 5-10 MIN",IF((AM53-AK53)&gt;=TIME(0,10,0),"RETRASO &gt;10 MIN", IF(AND((AK53-AM53)&gt;=TIME(0,0,0),(AK53-AM53)&lt;TIME(0,3,0)),"OK",IF((AK53-AM53)&gt;=TIME(0,3,0),"ADELANTADO")))))))</f>
        <v/>
      </c>
      <c r="AM53" s="91" t="n"/>
      <c r="AN53" s="89">
        <f>IF(AE53&lt;&gt;"",HLOOKUP(VALUE(TEXT(AK53,"h:mm:ss")),IF($C$6="Laboral",$FZ$4:$GX$227,IF($C$6="Sábado",$FZ$231:$GX$452,$FZ$456:$GX$656)),VLOOKUP($C$4,$HF$2:$HH$99,3,0)+IF(AG$5="Ida",0,1),1),"")</f>
        <v/>
      </c>
      <c r="AO53" s="89">
        <f>IF(AE54&lt;&gt;AE53,AVERAGEIF(AE$9:AE53,AE53,AN$9:AN53),"")</f>
        <v/>
      </c>
      <c r="AP53" s="89">
        <f>IFERROR(IF(AE54&lt;&gt;AE53,AVERAGEIF(AE$9:AE53,AE53,AW$9:AW53),""),"")</f>
        <v/>
      </c>
      <c r="AQ53" s="89">
        <f>IFERROR(IF(AE54&lt;&gt;AE53,AVERAGEIF(AE$9:AE53,AE53,AX$9:AX53),""),"")</f>
        <v/>
      </c>
      <c r="AR53" s="89">
        <f t="array" ref="AR53">IFERROR(IF(AE54&lt;&gt;AE53,_xlfn.STDEV.P(IF(AE$9:AE53=AE53,AX$9:AX53)),""),"")</f>
        <v/>
      </c>
      <c r="AS53" s="89">
        <f t="array" ref="AS53">IFERROR(IF(AE54&lt;&gt;AE53,_xlfn.STDEV.P(IF(AE$9:AE53=AE53,AW$9:AW53)),""),"")</f>
        <v/>
      </c>
      <c r="AT53" s="90">
        <f>IFERROR(IF(AE53&lt;&gt;AE54,MAX((((AQ53*24*60)/2)*(1+POWER((((AR53*24*60) / (AQ53*24*60) )),2))) + ((AQ53*24*60 )*-0.1 + (AO53*0.015)) +1,(((AQ53*24*60)/2)*(1+POWER((((AR53*24*60) / (AQ53*24*60 ))),2)))),""),"")</f>
        <v/>
      </c>
      <c r="AU53" s="90">
        <f>IF(AND(AS53&lt;&gt;"",AP53&lt;&gt;""),IF(AE53&lt;&gt;AE54,((AP53*24*60) / 2 ) * (1 + POWER(((AS53*24*60) / (AP53*24*60)),2)),""),"")</f>
        <v/>
      </c>
      <c r="AV53" s="90">
        <f>IF(AU53&lt;&gt;"",MAX(AT53,AU53),"")</f>
        <v/>
      </c>
      <c r="AW53" s="89">
        <f>IF(AM53&lt;&gt;"H. Sale Real",IF(AND(AM54&lt;&gt;"",LEFT(AG54,2)&lt;&gt;"Va"),IF(AND(AM53&lt;&gt;"",LEFT(AG53,2)&lt;&gt;"Va",AM53&lt;&gt;"H. Sale Real"),IF(AM54-AM53&lt;0.208333333333333,AM54-AM53,""),IF(AND(AM52&lt;&gt;"",LEFT(AG52,2)&lt;&gt;"Va",AM52&lt;&gt;"H. Sale Real"),IF(AM54-AM52&lt;0.208333333333333,AM54-AM52,""),IF(AND(AM51&lt;&gt;"",LEFT(AG51,2)&lt;&gt;"Va",AM51&lt;&gt;"H. Sale Real"),IF(AM54-AM51&lt;0.208333333333333,AM54-AM51,""),IF(AND(AM50&lt;&gt;"",LEFT(AG50,2)&lt;&gt;"Va",AM50&lt;&gt;"H. Sale Real"),IF(AM54-AM50&lt;0.208333333333333,AM54-AM50,""),IF(AND(AM49&lt;&gt;"",LEFT(AG49,2)&lt;&gt;"Va",AM49&lt;&gt;"H. Sale Real"),IF(AM54-AM49&lt;0.208333333333333,AM54-AM49,""),""))))),""),"")</f>
        <v/>
      </c>
      <c r="AX53" s="89">
        <f>IF(AK53&lt;&gt;"H. Sale Real",IF(AND(AK54&lt;&gt;"",LEFT(AG54,2)&lt;&gt;"Va"),IF(AND(AK53&lt;&gt;"",LEFT(AG53,2)&lt;&gt;"Va",AK53&lt;&gt;"H. Sale Real"),IF(AK54-AK53&lt;0.208333333333333,AK54-AK53,""),IF(AND(AK52&lt;&gt;"",LEFT(AG52,2)&lt;&gt;"Va",AK52&lt;&gt;"H. Sale Real"),IF(AK54-AK52&lt;0.208333333333333,AK54-AK52,""),IF(AND(AK51&lt;&gt;"",LEFT(AG51,2)&lt;&gt;"NC",AK51&lt;&gt;"H. Sale Real"),IF(AK54-AK51&lt;0.208333333333333,AK54-AK51,""),IF(AND(AK50&lt;&gt;"",LEFT(AG50,2)&lt;&gt;"Va",AK50&lt;&gt;"H. Sale Real"),IF(AK54-AK50&lt;0.208333333333333,AK54-AK50,""),IF(AND(AK49&lt;&gt;"",LEFT(AG49,2)&lt;&gt;"Va",AK49&lt;&gt;"H. Sale Real"),IF(AK54-AK49&lt;0.208333333333333,AK54-AK49,""),""))))),""),"")</f>
        <v/>
      </c>
      <c r="AY53" s="87" t="n"/>
      <c r="AZ53" s="89" t="n"/>
      <c r="BA53" s="87" t="n"/>
      <c r="BB53" s="89" t="n"/>
      <c r="BC53" s="91" t="n"/>
      <c r="BD53" s="122">
        <f>IF(AK53&lt;&gt;"",IF(AND(BD52&lt;&gt;"IE",AT53&lt;&gt;0,AV53&lt;&gt;""),IF(IFERROR((AT53/AV53),0) &lt;=1,IFERROR(AT53/AV53,""),1),""),"")</f>
        <v/>
      </c>
      <c r="BE53" s="93" t="n"/>
      <c r="BF53" s="105" t="n"/>
      <c r="FC53" t="inlineStr">
        <is>
          <t>Diccionario 1</t>
        </is>
      </c>
      <c r="FD53" s="15" t="n">
        <v>1050</v>
      </c>
      <c r="FE53" s="15" t="inlineStr">
        <is>
          <t>D8481478K2PL</t>
        </is>
      </c>
      <c r="FF53" s="15" t="inlineStr">
        <is>
          <t>YV3T7U527KA195197</t>
        </is>
      </c>
      <c r="FG53" s="15" t="inlineStr">
        <is>
          <t>Volvo</t>
        </is>
      </c>
      <c r="FH53" s="15" t="inlineStr">
        <is>
          <t>B8R</t>
        </is>
      </c>
      <c r="FI53" s="15" t="inlineStr">
        <is>
          <t>MARCOPOLO</t>
        </is>
      </c>
      <c r="FJ53" s="15" t="inlineStr">
        <is>
          <t>TORINO</t>
        </is>
      </c>
      <c r="FK53" s="15" t="n">
        <v>2019</v>
      </c>
      <c r="FL53" s="15" t="inlineStr">
        <is>
          <t>B2PAL</t>
        </is>
      </c>
      <c r="FM53" s="15" t="inlineStr">
        <is>
          <t>LOS LIBERTADORES</t>
        </is>
      </c>
      <c r="FN53" s="15" t="inlineStr">
        <is>
          <t>Los Liberadores 6450, Lote 4A</t>
        </is>
      </c>
      <c r="FO53" s="15" t="inlineStr">
        <is>
          <t>Huechuraba</t>
        </is>
      </c>
      <c r="FP53" t="inlineStr">
        <is>
          <t>B</t>
        </is>
      </c>
      <c r="FS53" s="14" t="inlineStr">
        <is>
          <t>3014 / SFWZ-26|</t>
        </is>
      </c>
      <c r="FT53" t="inlineStr">
        <is>
          <t>SFWZ-26|</t>
        </is>
      </c>
      <c r="FU53" t="inlineStr">
        <is>
          <t>SFWZ-26</t>
        </is>
      </c>
      <c r="FV53">
        <f>VLOOKUP(FU53,FD:FL,9,0)</f>
        <v/>
      </c>
      <c r="FZ53" s="51" t="inlineStr">
        <is>
          <t>F06</t>
        </is>
      </c>
      <c r="GA53" t="n">
        <v>28.265</v>
      </c>
      <c r="GB53" t="n">
        <v>0</v>
      </c>
      <c r="GC53" t="n">
        <v>0</v>
      </c>
      <c r="GD53" t="n">
        <v>0</v>
      </c>
      <c r="GE53" t="n">
        <v>0</v>
      </c>
      <c r="GF53" t="n">
        <v>22.37</v>
      </c>
      <c r="GG53" t="n">
        <v>17.93</v>
      </c>
      <c r="GH53" t="n">
        <v>14.46</v>
      </c>
      <c r="GI53" t="n">
        <v>15.89</v>
      </c>
      <c r="GJ53" t="n">
        <v>16.855</v>
      </c>
      <c r="GK53" t="n">
        <v>16.78</v>
      </c>
      <c r="GL53" t="n">
        <v>16.455</v>
      </c>
      <c r="GM53" t="n">
        <v>15.78</v>
      </c>
      <c r="GN53" t="n">
        <v>15.87</v>
      </c>
      <c r="GO53" t="n">
        <v>16.185</v>
      </c>
      <c r="GP53" t="n">
        <v>15.47</v>
      </c>
      <c r="GQ53" t="n">
        <v>14.21</v>
      </c>
      <c r="GR53" t="n">
        <v>13.285</v>
      </c>
      <c r="GS53" t="n">
        <v>13.9</v>
      </c>
      <c r="GT53" t="n">
        <v>15.81</v>
      </c>
      <c r="GU53" t="n">
        <v>17.88</v>
      </c>
      <c r="GV53" t="n">
        <v>19.295</v>
      </c>
      <c r="GW53" t="n">
        <v>20.84</v>
      </c>
      <c r="GX53" t="n">
        <v>24.445</v>
      </c>
      <c r="HA53" s="35" t="n">
        <v>50</v>
      </c>
      <c r="HB53" s="35" t="n">
        <v>47</v>
      </c>
      <c r="HE53" t="inlineStr">
        <is>
          <t>U8</t>
        </is>
      </c>
      <c r="HF53" s="46" t="inlineStr">
        <is>
          <t>F25e</t>
        </is>
      </c>
      <c r="HG53" s="46" t="inlineStr">
        <is>
          <t>F25e</t>
        </is>
      </c>
      <c r="HH53" s="14" t="n">
        <v>68</v>
      </c>
      <c r="HL53" t="inlineStr">
        <is>
          <t>OmegaU8</t>
        </is>
      </c>
      <c r="HM53" s="46" t="inlineStr">
        <is>
          <t>F25e</t>
        </is>
      </c>
      <c r="HN53" s="26" t="inlineStr">
        <is>
          <t>Juanita</t>
        </is>
      </c>
      <c r="HO53" s="14" t="inlineStr">
        <is>
          <t>945e</t>
        </is>
      </c>
    </row>
    <row r="54" ht="15.5" customHeight="1">
      <c r="A54" s="10">
        <f>HOUR(G54)+1</f>
        <v/>
      </c>
      <c r="B54" s="7" t="n"/>
      <c r="C54" s="7" t="n"/>
      <c r="D54" s="85">
        <f>IFERROR(
IF(AND(OR(Planilla!B54="C",Planilla!B54="c"), VLOOKUP(E54,FD:FP,13,0)="C"), "OK",IF(AND(OR(Planilla!B54="C",Planilla!B54="c"), OR(VLOOKUP(E54,FD:FP,13,0)="B", VLOOKUP(E54,FD:FP,13,0)="A")), "DEFICIT",IF(
AND(OR(Planilla!B54="B", Planilla!B54="BPAL"), VLOOKUP(E54,FD:FP,13,0)="B"), "OK",IF(AND(OR(Planilla!B54="B", Planilla!B54="BPAL"), VLOOKUP(E54,FD:FP,13,0)="A"), "DEFICIT",IF(AND(OR(Planilla!B54="B", Planilla!B54="BPAL"), VLOOKUP(E54,FD:FP,13,0)="C"), "SOBREOFERTA",IF(AND(Planilla!B54="A", VLOOKUP(E54,FD:FP,13,0)="A"), "OK",IF(
AND(Planilla!B54="A", OR(VLOOKUP(E54,FD:FP,13,0)="B", VLOOKUP(E54,FD:FP,13,0)="C")), "SOBREOFERTA",""
))))))),"")</f>
        <v/>
      </c>
      <c r="E54" s="8" t="n"/>
      <c r="F54" s="86" t="n"/>
      <c r="G54" s="87" t="n"/>
      <c r="H54" s="88">
        <f>IF(I54="","",IF(AND((I54-G54)&gt;=TIME(0,0,0),(I54-G54)&lt;TIME(0,3,0)),"OK",IF(AND((I54-G54)&gt;=TIME(0,3,0),(I54-G54)&lt;TIME(0,5,0)),"RETRASO DE 3-5 MIN",IF(AND((I54-G54)&gt;=TIME(0,5,0),(I54-G54)&lt;TIME(0,10,0)),"RETRASO DE 5-10 MIN",IF((I54-G54)&gt;=TIME(0,10,0),"RETRASO &gt;10 MIN", IF(AND((G54-I54)&gt;=TIME(0,0,0),(G54-I54)&lt;TIME(0,3,0)),"OK",IF((G54-I54)&gt;=TIME(0,3,0),"ADELANTADO")))))))</f>
        <v/>
      </c>
      <c r="I54" s="89" t="n"/>
      <c r="J54" s="89">
        <f>IF(A54&lt;&gt;"",HLOOKUP(VALUE(TEXT(G54,"h:mm:ss")),IF($C$6="Laboral",$FZ$4:$GX$227,IF($C$6="Sábado",$FZ$231:$GX$452,$FZ$456:$GX$656)),VLOOKUP($C$4,$HF$2:$HH$99,3,0)+IF(C$5="Ida",0,1),1),"")</f>
        <v/>
      </c>
      <c r="K54" s="89">
        <f>IF(A55&lt;&gt;A54,AVERAGEIF(A$9:A54,A54,J$9:J54),"")</f>
        <v/>
      </c>
      <c r="L54" s="89">
        <f>IFERROR(IF(A55&lt;&gt;A54,AVERAGEIF(A$9:A54,A54,S$9:S54),""),"")</f>
        <v/>
      </c>
      <c r="M54" s="89">
        <f>IFERROR(IF(A55&lt;&gt;A54,AVERAGEIF(A$9:A54,A54,T$9:T54),""),"")</f>
        <v/>
      </c>
      <c r="N54" s="89">
        <f t="array" ref="N54">IFERROR(IF(A55&lt;&gt;A54,_xlfn.STDEV.P(IF(A$9:A54=A54,T$9:T54)),""),"")</f>
        <v/>
      </c>
      <c r="O54" s="89">
        <f t="array" ref="O54">IFERROR(IF(A55&lt;&gt;A54,_xlfn.STDEV.P(IF(A$9:A54=A54,S$9:S54)),""),"")</f>
        <v/>
      </c>
      <c r="P54" s="90">
        <f>IFERROR(IF(A54&lt;&gt;A55,MAX((((M54*24*60)/2)*(1+POWER((((N54*24*60) / (M54*24*60) )),2))) + ((M54*24*60 )*-0.1 + (K54*0.015)) +1,(((M54*24*60)/2)*(1+POWER((((N54*24*60) / (M54*24*60 ))),2)))),""),"")</f>
        <v/>
      </c>
      <c r="Q54" s="90">
        <f>IF(AND(O54&lt;&gt;"",L54&lt;&gt;""),IF(A54&lt;&gt;A55,((L54*24*60) / 2 ) * (1 + POWER(((O54*24*60) / (L54*24*60)),2)),""),"")</f>
        <v/>
      </c>
      <c r="R54" s="90">
        <f>IF(Q54&lt;&gt;"",MAX(P54,Q54),"")</f>
        <v/>
      </c>
      <c r="S54" s="89">
        <f>IF(I54&lt;&gt;"H. Sale Real",IF(AND(I55&lt;&gt;"",LEFT(C55,2)&lt;&gt;"Va"),IF(AND(I54&lt;&gt;"",LEFT(C54,2)&lt;&gt;"Va",I54&lt;&gt;"H. Sale Real"),IF(I55-I54&lt;0.208333333333333,I55-I54,""),IF(AND(I53&lt;&gt;"",LEFT(C53,2)&lt;&gt;"Va",I53&lt;&gt;"H. Sale Real"),IF(I55-I53&lt;0.208333333333333,I55-I53,""),IF(AND(I52&lt;&gt;"",LEFT(C52,2)&lt;&gt;"Va",I52&lt;&gt;"H. Sale Real"),IF(I55-I52&lt;0.208333333333333,I55-I52,""),IF(AND(I51&lt;&gt;"",LEFT(C51,2)&lt;&gt;"Va",I51&lt;&gt;"H. Sale Real"),IF(I55-I51&lt;0.208333333333333,I55-I51,""),IF(AND(I50&lt;&gt;"",LEFT(C50,2)&lt;&gt;"Va",I50&lt;&gt;"H. Sale Real"),IF(I55-I50&lt;0.208333333333333,I55-I50,""),""))))),""),"")</f>
        <v/>
      </c>
      <c r="T54" s="89">
        <f>IF(G54&lt;&gt;"H. Sale Real",IF(AND(G55&lt;&gt;"",LEFT(C55,2)&lt;&gt;"Va"),IF(AND(G54&lt;&gt;"",LEFT(C54,2)&lt;&gt;"Va",G54&lt;&gt;"H. Sale Real"),IF(G55-G54&lt;0.208333333333333,G55-G54,""),IF(AND(G53&lt;&gt;"",LEFT(C53,2)&lt;&gt;"Va",G53&lt;&gt;"H. Sale Real"),IF(G55-G53&lt;0.208333333333333,G55-G53,""),IF(AND(G52&lt;&gt;"",LEFT(C52,2)&lt;&gt;"Va",G52&lt;&gt;"H. Sale Real"),IF(G55-G52&lt;0.208333333333333,G55-G52,""),IF(AND(G51&lt;&gt;"",LEFT(C51,2)&lt;&gt;"Va",G51&lt;&gt;"H. Sale Real"),IF(G55-G51&lt;0.208333333333333,G55-G51,""),IF(AND(G50&lt;&gt;"",LEFT(C50,2)&lt;&gt;"Va",G50&lt;&gt;"H. Sale Real"),IF(G55-G50&lt;0.208333333333333,G55-G50,""),""))))),""),"")</f>
        <v/>
      </c>
      <c r="U54" s="87" t="n"/>
      <c r="V54" s="89" t="n"/>
      <c r="W54" s="87" t="n"/>
      <c r="X54" s="89" t="n"/>
      <c r="Y54" s="91" t="n"/>
      <c r="Z54" s="122">
        <f>IF(G54&lt;&gt;"",IF(AND(Z53&lt;&gt;"IE",P54&lt;&gt;0,R54&lt;&gt;""),IF(IFERROR((P54/R54),0) &lt;=1,IFERROR(P54/R54,""),1),""),"")</f>
        <v/>
      </c>
      <c r="AA54" s="93" t="n"/>
      <c r="AB54" s="2" t="n"/>
      <c r="AE54" s="10">
        <f>HOUR(AK54)+1</f>
        <v/>
      </c>
      <c r="AF54" s="7" t="n"/>
      <c r="AG54" s="7" t="n"/>
      <c r="AH54" s="86" t="n"/>
      <c r="AI54" s="8" t="n"/>
      <c r="AJ54" s="86" t="n"/>
      <c r="AK54" s="87" t="n"/>
      <c r="AL54" s="88">
        <f>IF(AM54="","",IF(AND((AM54-AK54)&gt;=TIME(0,0,0),(AM54-AK54)&lt;TIME(0,3,0)),"OK",IF(AND((AM54-AK54)&gt;=TIME(0,3,0),(AM54-AK54)&lt;TIME(0,5,0)),"RETRASO DE 3-5 MIN",IF(AND((AM54-AK54)&gt;=TIME(0,5,0),(AM54-AK54)&lt;TIME(0,10,0)),"RETRASO DE 5-10 MIN",IF((AM54-AK54)&gt;=TIME(0,10,0),"RETRASO &gt;10 MIN", IF(AND((AK54-AM54)&gt;=TIME(0,0,0),(AK54-AM54)&lt;TIME(0,3,0)),"OK",IF((AK54-AM54)&gt;=TIME(0,3,0),"ADELANTADO")))))))</f>
        <v/>
      </c>
      <c r="AM54" s="91" t="n"/>
      <c r="AN54" s="89">
        <f>IF(AE54&lt;&gt;"",HLOOKUP(VALUE(TEXT(AK54,"h:mm:ss")),IF($C$6="Laboral",$FZ$4:$GX$227,IF($C$6="Sábado",$FZ$231:$GX$452,$FZ$456:$GX$656)),VLOOKUP($C$4,$HF$2:$HH$99,3,0)+IF(AG$5="Ida",0,1),1),"")</f>
        <v/>
      </c>
      <c r="AO54" s="89">
        <f>IF(AE55&lt;&gt;AE54,AVERAGEIF(AE$9:AE54,AE54,AN$9:AN54),"")</f>
        <v/>
      </c>
      <c r="AP54" s="89">
        <f>IFERROR(IF(AE55&lt;&gt;AE54,AVERAGEIF(AE$9:AE54,AE54,AW$9:AW54),""),"")</f>
        <v/>
      </c>
      <c r="AQ54" s="89">
        <f>IFERROR(IF(AE55&lt;&gt;AE54,AVERAGEIF(AE$9:AE54,AE54,AX$9:AX54),""),"")</f>
        <v/>
      </c>
      <c r="AR54" s="89">
        <f t="array" ref="AR54">IFERROR(IF(AE55&lt;&gt;AE54,_xlfn.STDEV.P(IF(AE$9:AE54=AE54,AX$9:AX54)),""),"")</f>
        <v/>
      </c>
      <c r="AS54" s="89">
        <f t="array" ref="AS54">IFERROR(IF(AE55&lt;&gt;AE54,_xlfn.STDEV.P(IF(AE$9:AE54=AE54,AW$9:AW54)),""),"")</f>
        <v/>
      </c>
      <c r="AT54" s="90">
        <f>IFERROR(IF(AE54&lt;&gt;AE55,MAX((((AQ54*24*60)/2)*(1+POWER((((AR54*24*60) / (AQ54*24*60) )),2))) + ((AQ54*24*60 )*-0.1 + (AO54*0.015)) +1,(((AQ54*24*60)/2)*(1+POWER((((AR54*24*60) / (AQ54*24*60 ))),2)))),""),"")</f>
        <v/>
      </c>
      <c r="AU54" s="90">
        <f>IF(AND(AS54&lt;&gt;"",AP54&lt;&gt;""),IF(AE54&lt;&gt;AE55,((AP54*24*60) / 2 ) * (1 + POWER(((AS54*24*60) / (AP54*24*60)),2)),""),"")</f>
        <v/>
      </c>
      <c r="AV54" s="90">
        <f>IF(AU54&lt;&gt;"",MAX(AT54,AU54),"")</f>
        <v/>
      </c>
      <c r="AW54" s="89">
        <f>IF(AM54&lt;&gt;"H. Sale Real",IF(AND(AM55&lt;&gt;"",LEFT(AG55,2)&lt;&gt;"Va"),IF(AND(AM54&lt;&gt;"",LEFT(AG54,2)&lt;&gt;"Va",AM54&lt;&gt;"H. Sale Real"),IF(AM55-AM54&lt;0.208333333333333,AM55-AM54,""),IF(AND(AM53&lt;&gt;"",LEFT(AG53,2)&lt;&gt;"Va",AM53&lt;&gt;"H. Sale Real"),IF(AM55-AM53&lt;0.208333333333333,AM55-AM53,""),IF(AND(AM52&lt;&gt;"",LEFT(AG52,2)&lt;&gt;"Va",AM52&lt;&gt;"H. Sale Real"),IF(AM55-AM52&lt;0.208333333333333,AM55-AM52,""),IF(AND(AM51&lt;&gt;"",LEFT(AG51,2)&lt;&gt;"Va",AM51&lt;&gt;"H. Sale Real"),IF(AM55-AM51&lt;0.208333333333333,AM55-AM51,""),IF(AND(AM50&lt;&gt;"",LEFT(AG50,2)&lt;&gt;"Va",AM50&lt;&gt;"H. Sale Real"),IF(AM55-AM50&lt;0.208333333333333,AM55-AM50,""),""))))),""),"")</f>
        <v/>
      </c>
      <c r="AX54" s="89">
        <f>IF(AK54&lt;&gt;"H. Sale Real",IF(AND(AK55&lt;&gt;"",LEFT(AG55,2)&lt;&gt;"Va"),IF(AND(AK54&lt;&gt;"",LEFT(AG54,2)&lt;&gt;"Va",AK54&lt;&gt;"H. Sale Real"),IF(AK55-AK54&lt;0.208333333333333,AK55-AK54,""),IF(AND(AK53&lt;&gt;"",LEFT(AG53,2)&lt;&gt;"Va",AK53&lt;&gt;"H. Sale Real"),IF(AK55-AK53&lt;0.208333333333333,AK55-AK53,""),IF(AND(AK52&lt;&gt;"",LEFT(AG52,2)&lt;&gt;"NC",AK52&lt;&gt;"H. Sale Real"),IF(AK55-AK52&lt;0.208333333333333,AK55-AK52,""),IF(AND(AK51&lt;&gt;"",LEFT(AG51,2)&lt;&gt;"Va",AK51&lt;&gt;"H. Sale Real"),IF(AK55-AK51&lt;0.208333333333333,AK55-AK51,""),IF(AND(AK50&lt;&gt;"",LEFT(AG50,2)&lt;&gt;"Va",AK50&lt;&gt;"H. Sale Real"),IF(AK55-AK50&lt;0.208333333333333,AK55-AK50,""),""))))),""),"")</f>
        <v/>
      </c>
      <c r="AY54" s="87" t="n"/>
      <c r="AZ54" s="89" t="n"/>
      <c r="BA54" s="87" t="n"/>
      <c r="BB54" s="89" t="n"/>
      <c r="BC54" s="91" t="n"/>
      <c r="BD54" s="122">
        <f>IF(AK54&lt;&gt;"",IF(AND(BD53&lt;&gt;"IE",AT54&lt;&gt;0,AV54&lt;&gt;""),IF(IFERROR((AT54/AV54),0) &lt;=1,IFERROR(AT54/AV54,""),1),""),"")</f>
        <v/>
      </c>
      <c r="BE54" s="93" t="n"/>
      <c r="BF54" s="105" t="n"/>
      <c r="FC54" t="inlineStr">
        <is>
          <t>Diccionario 1</t>
        </is>
      </c>
      <c r="FD54" s="15" t="n">
        <v>1051</v>
      </c>
      <c r="FE54" s="15" t="inlineStr">
        <is>
          <t>D8481635K2PL</t>
        </is>
      </c>
      <c r="FF54" s="15" t="inlineStr">
        <is>
          <t>YV3T7U529KA195198</t>
        </is>
      </c>
      <c r="FG54" s="15" t="inlineStr">
        <is>
          <t>Volvo</t>
        </is>
      </c>
      <c r="FH54" s="15" t="inlineStr">
        <is>
          <t>B8R</t>
        </is>
      </c>
      <c r="FI54" s="15" t="inlineStr">
        <is>
          <t>MARCOPOLO</t>
        </is>
      </c>
      <c r="FJ54" s="15" t="inlineStr">
        <is>
          <t>TORINO</t>
        </is>
      </c>
      <c r="FK54" s="15" t="n">
        <v>2019</v>
      </c>
      <c r="FL54" s="15" t="inlineStr">
        <is>
          <t>B2PAL</t>
        </is>
      </c>
      <c r="FM54" s="15" t="inlineStr">
        <is>
          <t>LOS LIBERTADORES</t>
        </is>
      </c>
      <c r="FN54" s="15" t="inlineStr">
        <is>
          <t>Los Liberadores 6450, Lote 4A</t>
        </is>
      </c>
      <c r="FO54" s="15" t="inlineStr">
        <is>
          <t>Huechuraba</t>
        </is>
      </c>
      <c r="FP54" t="inlineStr">
        <is>
          <t>B</t>
        </is>
      </c>
      <c r="FS54" s="14" t="inlineStr">
        <is>
          <t>3014 / SFWZ-26|</t>
        </is>
      </c>
      <c r="FT54" t="inlineStr">
        <is>
          <t>SFWZ-26|</t>
        </is>
      </c>
      <c r="FU54" t="inlineStr">
        <is>
          <t>SFWZ-26</t>
        </is>
      </c>
      <c r="FV54">
        <f>VLOOKUP(FU54,FD:FL,9,0)</f>
        <v/>
      </c>
      <c r="FZ54" s="51" t="inlineStr">
        <is>
          <t>F06</t>
        </is>
      </c>
      <c r="GA54" t="n">
        <v>0</v>
      </c>
      <c r="GB54" t="n">
        <v>0</v>
      </c>
      <c r="GC54" t="n">
        <v>0</v>
      </c>
      <c r="GD54" t="n">
        <v>0</v>
      </c>
      <c r="GE54" t="n">
        <v>25.905</v>
      </c>
      <c r="GF54" t="n">
        <v>21.01</v>
      </c>
      <c r="GG54" t="n">
        <v>16.62</v>
      </c>
      <c r="GH54" t="n">
        <v>14.5</v>
      </c>
      <c r="GI54" t="n">
        <v>16.05</v>
      </c>
      <c r="GJ54" t="n">
        <v>16.835</v>
      </c>
      <c r="GK54" t="n">
        <v>16.82</v>
      </c>
      <c r="GL54" t="n">
        <v>16.345</v>
      </c>
      <c r="GM54" t="n">
        <v>15.95</v>
      </c>
      <c r="GN54" t="n">
        <v>16.32</v>
      </c>
      <c r="GO54" t="n">
        <v>16.19</v>
      </c>
      <c r="GP54" t="n">
        <v>15.6</v>
      </c>
      <c r="GQ54" t="n">
        <v>14.965</v>
      </c>
      <c r="GR54" t="n">
        <v>14.66</v>
      </c>
      <c r="GS54" t="n">
        <v>15.465</v>
      </c>
      <c r="GT54" t="n">
        <v>16.71</v>
      </c>
      <c r="GU54" t="n">
        <v>18.17</v>
      </c>
      <c r="GV54" t="n">
        <v>19.745</v>
      </c>
      <c r="GW54" t="n">
        <v>22.125</v>
      </c>
      <c r="GX54" t="n">
        <v>24.385</v>
      </c>
      <c r="HA54" s="35" t="n">
        <v>51</v>
      </c>
      <c r="HB54" s="35" t="n">
        <v>48</v>
      </c>
      <c r="HE54" t="inlineStr">
        <is>
          <t>U8</t>
        </is>
      </c>
      <c r="HF54" s="46" t="inlineStr">
        <is>
          <t>F30n</t>
        </is>
      </c>
      <c r="HG54" s="46" t="inlineStr">
        <is>
          <t>F30n</t>
        </is>
      </c>
      <c r="HH54" s="14" t="n">
        <v>70</v>
      </c>
      <c r="HL54" t="inlineStr">
        <is>
          <t>OmegaU8</t>
        </is>
      </c>
      <c r="HM54" s="46" t="inlineStr">
        <is>
          <t>F30n</t>
        </is>
      </c>
      <c r="HN54" s="26" t="inlineStr">
        <is>
          <t>Juanita</t>
        </is>
      </c>
      <c r="HO54" s="14" t="inlineStr">
        <is>
          <t>950N</t>
        </is>
      </c>
    </row>
    <row r="55" ht="15.5" customHeight="1">
      <c r="A55" s="10">
        <f>HOUR(G55)+1</f>
        <v/>
      </c>
      <c r="B55" s="7" t="n"/>
      <c r="C55" s="7" t="n"/>
      <c r="D55" s="85">
        <f>IFERROR(
IF(AND(OR(Planilla!B55="C",Planilla!B55="c"), VLOOKUP(E55,FD:FP,13,0)="C"), "OK",IF(AND(OR(Planilla!B55="C",Planilla!B55="c"), OR(VLOOKUP(E55,FD:FP,13,0)="B", VLOOKUP(E55,FD:FP,13,0)="A")), "DEFICIT",IF(
AND(OR(Planilla!B55="B", Planilla!B55="BPAL"), VLOOKUP(E55,FD:FP,13,0)="B"), "OK",IF(AND(OR(Planilla!B55="B", Planilla!B55="BPAL"), VLOOKUP(E55,FD:FP,13,0)="A"), "DEFICIT",IF(AND(OR(Planilla!B55="B", Planilla!B55="BPAL"), VLOOKUP(E55,FD:FP,13,0)="C"), "SOBREOFERTA",IF(AND(Planilla!B55="A", VLOOKUP(E55,FD:FP,13,0)="A"), "OK",IF(
AND(Planilla!B55="A", OR(VLOOKUP(E55,FD:FP,13,0)="B", VLOOKUP(E55,FD:FP,13,0)="C")), "SOBREOFERTA",""
))))))),"")</f>
        <v/>
      </c>
      <c r="E55" s="8" t="n"/>
      <c r="F55" s="86" t="n"/>
      <c r="G55" s="87" t="n"/>
      <c r="H55" s="88">
        <f>IF(I55="","",IF(AND((I55-G55)&gt;=TIME(0,0,0),(I55-G55)&lt;TIME(0,3,0)),"OK",IF(AND((I55-G55)&gt;=TIME(0,3,0),(I55-G55)&lt;TIME(0,5,0)),"RETRASO DE 3-5 MIN",IF(AND((I55-G55)&gt;=TIME(0,5,0),(I55-G55)&lt;TIME(0,10,0)),"RETRASO DE 5-10 MIN",IF((I55-G55)&gt;=TIME(0,10,0),"RETRASO &gt;10 MIN", IF(AND((G55-I55)&gt;=TIME(0,0,0),(G55-I55)&lt;TIME(0,3,0)),"OK",IF((G55-I55)&gt;=TIME(0,3,0),"ADELANTADO")))))))</f>
        <v/>
      </c>
      <c r="I55" s="89" t="n"/>
      <c r="J55" s="89">
        <f>IF(A55&lt;&gt;"",HLOOKUP(VALUE(TEXT(G55,"h:mm:ss")),IF($C$6="Laboral",$FZ$4:$GX$227,IF($C$6="Sábado",$FZ$231:$GX$452,$FZ$456:$GX$656)),VLOOKUP($C$4,$HF$2:$HH$99,3,0)+IF(C$5="Ida",0,1),1),"")</f>
        <v/>
      </c>
      <c r="K55" s="89">
        <f>IF(A56&lt;&gt;A55,AVERAGEIF(A$9:A55,A55,J$9:J55),"")</f>
        <v/>
      </c>
      <c r="L55" s="89">
        <f>IFERROR(IF(A56&lt;&gt;A55,AVERAGEIF(A$9:A55,A55,S$9:S55),""),"")</f>
        <v/>
      </c>
      <c r="M55" s="89">
        <f>IFERROR(IF(A56&lt;&gt;A55,AVERAGEIF(A$9:A55,A55,T$9:T55),""),"")</f>
        <v/>
      </c>
      <c r="N55" s="89">
        <f t="array" ref="N55">IFERROR(IF(A56&lt;&gt;A55,_xlfn.STDEV.P(IF(A$9:A55=A55,T$9:T55)),""),"")</f>
        <v/>
      </c>
      <c r="O55" s="89">
        <f t="array" ref="O55">IFERROR(IF(A56&lt;&gt;A55,_xlfn.STDEV.P(IF(A$9:A55=A55,S$9:S55)),""),"")</f>
        <v/>
      </c>
      <c r="P55" s="90">
        <f>IFERROR(IF(A55&lt;&gt;A56,MAX((((M55*24*60)/2)*(1+POWER((((N55*24*60) / (M55*24*60) )),2))) + ((M55*24*60 )*-0.1 + (K55*0.015)) +1,(((M55*24*60)/2)*(1+POWER((((N55*24*60) / (M55*24*60 ))),2)))),""),"")</f>
        <v/>
      </c>
      <c r="Q55" s="90">
        <f>IF(AND(O55&lt;&gt;"",L55&lt;&gt;""),IF(A55&lt;&gt;A56,((L55*24*60) / 2 ) * (1 + POWER(((O55*24*60) / (L55*24*60)),2)),""),"")</f>
        <v/>
      </c>
      <c r="R55" s="90">
        <f>IF(Q55&lt;&gt;"",MAX(P55,Q55),"")</f>
        <v/>
      </c>
      <c r="S55" s="89">
        <f>IF(I55&lt;&gt;"H. Sale Real",IF(AND(I56&lt;&gt;"",LEFT(C56,2)&lt;&gt;"Va"),IF(AND(I55&lt;&gt;"",LEFT(C55,2)&lt;&gt;"Va",I55&lt;&gt;"H. Sale Real"),IF(I56-I55&lt;0.208333333333333,I56-I55,""),IF(AND(I54&lt;&gt;"",LEFT(C54,2)&lt;&gt;"Va",I54&lt;&gt;"H. Sale Real"),IF(I56-I54&lt;0.208333333333333,I56-I54,""),IF(AND(I53&lt;&gt;"",LEFT(C53,2)&lt;&gt;"Va",I53&lt;&gt;"H. Sale Real"),IF(I56-I53&lt;0.208333333333333,I56-I53,""),IF(AND(I52&lt;&gt;"",LEFT(C52,2)&lt;&gt;"Va",I52&lt;&gt;"H. Sale Real"),IF(I56-I52&lt;0.208333333333333,I56-I52,""),IF(AND(I51&lt;&gt;"",LEFT(C51,2)&lt;&gt;"Va",I51&lt;&gt;"H. Sale Real"),IF(I56-I51&lt;0.208333333333333,I56-I51,""),""))))),""),"")</f>
        <v/>
      </c>
      <c r="T55" s="89">
        <f>IF(G55&lt;&gt;"H. Sale Real",IF(AND(G56&lt;&gt;"",LEFT(C56,2)&lt;&gt;"Va"),IF(AND(G55&lt;&gt;"",LEFT(C55,2)&lt;&gt;"Va",G55&lt;&gt;"H. Sale Real"),IF(G56-G55&lt;0.208333333333333,G56-G55,""),IF(AND(G54&lt;&gt;"",LEFT(C54,2)&lt;&gt;"Va",G54&lt;&gt;"H. Sale Real"),IF(G56-G54&lt;0.208333333333333,G56-G54,""),IF(AND(G53&lt;&gt;"",LEFT(C53,2)&lt;&gt;"Va",G53&lt;&gt;"H. Sale Real"),IF(G56-G53&lt;0.208333333333333,G56-G53,""),IF(AND(G52&lt;&gt;"",LEFT(C52,2)&lt;&gt;"Va",G52&lt;&gt;"H. Sale Real"),IF(G56-G52&lt;0.208333333333333,G56-G52,""),IF(AND(G51&lt;&gt;"",LEFT(C51,2)&lt;&gt;"Va",G51&lt;&gt;"H. Sale Real"),IF(G56-G51&lt;0.208333333333333,G56-G51,""),""))))),""),"")</f>
        <v/>
      </c>
      <c r="U55" s="87" t="n"/>
      <c r="V55" s="89" t="n"/>
      <c r="W55" s="87" t="n"/>
      <c r="X55" s="89" t="n"/>
      <c r="Y55" s="91" t="n"/>
      <c r="Z55" s="122">
        <f>IF(G55&lt;&gt;"",IF(AND(Z54&lt;&gt;"IE",P55&lt;&gt;0,R55&lt;&gt;""),IF(IFERROR((P55/R55),0) &lt;=1,IFERROR(P55/R55,""),1),""),"")</f>
        <v/>
      </c>
      <c r="AA55" s="93" t="n"/>
      <c r="AB55" s="2" t="n"/>
      <c r="AE55" s="10">
        <f>HOUR(AK55)+1</f>
        <v/>
      </c>
      <c r="AF55" s="7" t="n"/>
      <c r="AG55" s="7" t="n"/>
      <c r="AH55" s="86" t="n"/>
      <c r="AI55" s="8" t="n"/>
      <c r="AJ55" s="86" t="n"/>
      <c r="AK55" s="87" t="n"/>
      <c r="AL55" s="88">
        <f>IF(AM55="","",IF(AND((AM55-AK55)&gt;=TIME(0,0,0),(AM55-AK55)&lt;TIME(0,3,0)),"OK",IF(AND((AM55-AK55)&gt;=TIME(0,3,0),(AM55-AK55)&lt;TIME(0,5,0)),"RETRASO DE 3-5 MIN",IF(AND((AM55-AK55)&gt;=TIME(0,5,0),(AM55-AK55)&lt;TIME(0,10,0)),"RETRASO DE 5-10 MIN",IF((AM55-AK55)&gt;=TIME(0,10,0),"RETRASO &gt;10 MIN", IF(AND((AK55-AM55)&gt;=TIME(0,0,0),(AK55-AM55)&lt;TIME(0,3,0)),"OK",IF((AK55-AM55)&gt;=TIME(0,3,0),"ADELANTADO")))))))</f>
        <v/>
      </c>
      <c r="AM55" s="91" t="n"/>
      <c r="AN55" s="89">
        <f>IF(AE55&lt;&gt;"",HLOOKUP(VALUE(TEXT(AK55,"h:mm:ss")),IF($C$6="Laboral",$FZ$4:$GX$227,IF($C$6="Sábado",$FZ$231:$GX$452,$FZ$456:$GX$656)),VLOOKUP($C$4,$HF$2:$HH$99,3,0)+IF(AG$5="Ida",0,1),1),"")</f>
        <v/>
      </c>
      <c r="AO55" s="89">
        <f>IF(AE56&lt;&gt;AE55,AVERAGEIF(AE$9:AE55,AE55,AN$9:AN55),"")</f>
        <v/>
      </c>
      <c r="AP55" s="89">
        <f>IFERROR(IF(AE56&lt;&gt;AE55,AVERAGEIF(AE$9:AE55,AE55,AW$9:AW55),""),"")</f>
        <v/>
      </c>
      <c r="AQ55" s="89">
        <f>IFERROR(IF(AE56&lt;&gt;AE55,AVERAGEIF(AE$9:AE55,AE55,AX$9:AX55),""),"")</f>
        <v/>
      </c>
      <c r="AR55" s="89">
        <f t="array" ref="AR55">IFERROR(IF(AE56&lt;&gt;AE55,_xlfn.STDEV.P(IF(AE$9:AE55=AE55,AX$9:AX55)),""),"")</f>
        <v/>
      </c>
      <c r="AS55" s="89">
        <f t="array" ref="AS55">IFERROR(IF(AE56&lt;&gt;AE55,_xlfn.STDEV.P(IF(AE$9:AE55=AE55,AW$9:AW55)),""),"")</f>
        <v/>
      </c>
      <c r="AT55" s="90">
        <f>IFERROR(IF(AE55&lt;&gt;AE56,MAX((((AQ55*24*60)/2)*(1+POWER((((AR55*24*60) / (AQ55*24*60) )),2))) + ((AQ55*24*60 )*-0.1 + (AO55*0.015)) +1,(((AQ55*24*60)/2)*(1+POWER((((AR55*24*60) / (AQ55*24*60 ))),2)))),""),"")</f>
        <v/>
      </c>
      <c r="AU55" s="90">
        <f>IF(AND(AS55&lt;&gt;"",AP55&lt;&gt;""),IF(AE55&lt;&gt;AE56,((AP55*24*60) / 2 ) * (1 + POWER(((AS55*24*60) / (AP55*24*60)),2)),""),"")</f>
        <v/>
      </c>
      <c r="AV55" s="90">
        <f>IF(AU55&lt;&gt;"",MAX(AT55,AU55),"")</f>
        <v/>
      </c>
      <c r="AW55" s="89">
        <f>IF(AM55&lt;&gt;"H. Sale Real",IF(AND(AM56&lt;&gt;"",LEFT(AG56,2)&lt;&gt;"Va"),IF(AND(AM55&lt;&gt;"",LEFT(AG55,2)&lt;&gt;"Va",AM55&lt;&gt;"H. Sale Real"),IF(AM56-AM55&lt;0.208333333333333,AM56-AM55,""),IF(AND(AM54&lt;&gt;"",LEFT(AG54,2)&lt;&gt;"Va",AM54&lt;&gt;"H. Sale Real"),IF(AM56-AM54&lt;0.208333333333333,AM56-AM54,""),IF(AND(AM53&lt;&gt;"",LEFT(AG53,2)&lt;&gt;"Va",AM53&lt;&gt;"H. Sale Real"),IF(AM56-AM53&lt;0.208333333333333,AM56-AM53,""),IF(AND(AM52&lt;&gt;"",LEFT(AG52,2)&lt;&gt;"Va",AM52&lt;&gt;"H. Sale Real"),IF(AM56-AM52&lt;0.208333333333333,AM56-AM52,""),IF(AND(AM51&lt;&gt;"",LEFT(AG51,2)&lt;&gt;"Va",AM51&lt;&gt;"H. Sale Real"),IF(AM56-AM51&lt;0.208333333333333,AM56-AM51,""),""))))),""),"")</f>
        <v/>
      </c>
      <c r="AX55" s="89">
        <f>IF(AK55&lt;&gt;"H. Sale Real",IF(AND(AK56&lt;&gt;"",LEFT(AG56,2)&lt;&gt;"Va"),IF(AND(AK55&lt;&gt;"",LEFT(AG55,2)&lt;&gt;"Va",AK55&lt;&gt;"H. Sale Real"),IF(AK56-AK55&lt;0.208333333333333,AK56-AK55,""),IF(AND(AK54&lt;&gt;"",LEFT(AG54,2)&lt;&gt;"Va",AK54&lt;&gt;"H. Sale Real"),IF(AK56-AK54&lt;0.208333333333333,AK56-AK54,""),IF(AND(AK53&lt;&gt;"",LEFT(AG53,2)&lt;&gt;"NC",AK53&lt;&gt;"H. Sale Real"),IF(AK56-AK53&lt;0.208333333333333,AK56-AK53,""),IF(AND(AK52&lt;&gt;"",LEFT(AG52,2)&lt;&gt;"Va",AK52&lt;&gt;"H. Sale Real"),IF(AK56-AK52&lt;0.208333333333333,AK56-AK52,""),IF(AND(AK51&lt;&gt;"",LEFT(AG51,2)&lt;&gt;"Va",AK51&lt;&gt;"H. Sale Real"),IF(AK56-AK51&lt;0.208333333333333,AK56-AK51,""),""))))),""),"")</f>
        <v/>
      </c>
      <c r="AY55" s="87" t="n"/>
      <c r="AZ55" s="89" t="n"/>
      <c r="BA55" s="87" t="n"/>
      <c r="BB55" s="89" t="n"/>
      <c r="BC55" s="91" t="n"/>
      <c r="BD55" s="122">
        <f>IF(AK55&lt;&gt;"",IF(AND(BD54&lt;&gt;"IE",AT55&lt;&gt;0,AV55&lt;&gt;""),IF(IFERROR((AT55/AV55),0) &lt;=1,IFERROR(AT55/AV55,""),1),""),"")</f>
        <v/>
      </c>
      <c r="BE55" s="93" t="n"/>
      <c r="BF55" s="105" t="n"/>
      <c r="FC55" t="inlineStr">
        <is>
          <t>Diccionario 1</t>
        </is>
      </c>
      <c r="FD55" s="15" t="n">
        <v>1052</v>
      </c>
      <c r="FE55" s="15" t="inlineStr">
        <is>
          <t>D8481607K2PL</t>
        </is>
      </c>
      <c r="FF55" s="15" t="inlineStr">
        <is>
          <t>YV3T7U521KA195180</t>
        </is>
      </c>
      <c r="FG55" s="15" t="inlineStr">
        <is>
          <t>Volvo</t>
        </is>
      </c>
      <c r="FH55" s="15" t="inlineStr">
        <is>
          <t>B8R</t>
        </is>
      </c>
      <c r="FI55" s="15" t="inlineStr">
        <is>
          <t>MARCOPOLO</t>
        </is>
      </c>
      <c r="FJ55" s="15" t="inlineStr">
        <is>
          <t>TORINO</t>
        </is>
      </c>
      <c r="FK55" s="15" t="n">
        <v>2019</v>
      </c>
      <c r="FL55" s="15" t="inlineStr">
        <is>
          <t>B2PAL</t>
        </is>
      </c>
      <c r="FM55" s="15" t="inlineStr">
        <is>
          <t>LOS LIBERTADORES</t>
        </is>
      </c>
      <c r="FN55" s="15" t="inlineStr">
        <is>
          <t>Los Liberadores 6450, Lote 4A</t>
        </is>
      </c>
      <c r="FO55" s="15" t="inlineStr">
        <is>
          <t>Huechuraba</t>
        </is>
      </c>
      <c r="FP55" t="inlineStr">
        <is>
          <t>B</t>
        </is>
      </c>
      <c r="FS55" s="14" t="inlineStr">
        <is>
          <t>3015 / SFVZ-63|</t>
        </is>
      </c>
      <c r="FT55" t="inlineStr">
        <is>
          <t>SFVZ-63|</t>
        </is>
      </c>
      <c r="FU55" t="inlineStr">
        <is>
          <t>SFVZ-63</t>
        </is>
      </c>
      <c r="FV55">
        <f>VLOOKUP(FU55,FD:FL,9,0)</f>
        <v/>
      </c>
      <c r="FZ55" s="51" t="inlineStr">
        <is>
          <t>F09</t>
        </is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21.88</v>
      </c>
      <c r="GG55" t="n">
        <v>17.47</v>
      </c>
      <c r="GH55" t="n">
        <v>13.46</v>
      </c>
      <c r="GI55" t="n">
        <v>15.78</v>
      </c>
      <c r="GJ55" t="n">
        <v>17.74</v>
      </c>
      <c r="GK55" t="n">
        <v>18.22</v>
      </c>
      <c r="GL55" t="n">
        <v>17.92</v>
      </c>
      <c r="GM55" t="n">
        <v>16.8</v>
      </c>
      <c r="GN55" t="n">
        <v>16.41</v>
      </c>
      <c r="GO55" t="n">
        <v>16.57</v>
      </c>
      <c r="GP55" t="n">
        <v>15.57</v>
      </c>
      <c r="GQ55" t="n">
        <v>14.895</v>
      </c>
      <c r="GR55" t="n">
        <v>13.835</v>
      </c>
      <c r="GS55" t="n">
        <v>14.33</v>
      </c>
      <c r="GT55" t="n">
        <v>16.38</v>
      </c>
      <c r="GU55" t="n">
        <v>18.115</v>
      </c>
      <c r="GV55" t="n">
        <v>20.185</v>
      </c>
      <c r="GW55" t="n">
        <v>22.24</v>
      </c>
      <c r="GX55" t="n">
        <v>24.345</v>
      </c>
      <c r="HA55" s="35" t="n">
        <v>52</v>
      </c>
      <c r="HB55" s="35" t="n">
        <v>49</v>
      </c>
      <c r="HE55" t="inlineStr">
        <is>
          <t>U8</t>
        </is>
      </c>
      <c r="HF55" s="46" t="inlineStr">
        <is>
          <t>213e</t>
        </is>
      </c>
      <c r="HG55" s="46" t="inlineStr">
        <is>
          <t>213e</t>
        </is>
      </c>
      <c r="HH55" s="14" t="n">
        <v>76</v>
      </c>
      <c r="HL55" t="inlineStr">
        <is>
          <t>OmegaU8</t>
        </is>
      </c>
      <c r="HM55" s="46" t="inlineStr">
        <is>
          <t>213e</t>
        </is>
      </c>
      <c r="HN55" s="26" t="inlineStr">
        <is>
          <t>Juanita</t>
        </is>
      </c>
      <c r="HO55" s="14" t="inlineStr">
        <is>
          <t>963e</t>
        </is>
      </c>
    </row>
    <row r="56" ht="15.5" customHeight="1">
      <c r="A56" s="10">
        <f>HOUR(G56)+1</f>
        <v/>
      </c>
      <c r="B56" s="7" t="n"/>
      <c r="C56" s="7" t="n"/>
      <c r="D56" s="85">
        <f>IFERROR(
IF(AND(OR(Planilla!B56="C",Planilla!B56="c"), VLOOKUP(E56,FD:FP,13,0)="C"), "OK",IF(AND(OR(Planilla!B56="C",Planilla!B56="c"), OR(VLOOKUP(E56,FD:FP,13,0)="B", VLOOKUP(E56,FD:FP,13,0)="A")), "DEFICIT",IF(
AND(OR(Planilla!B56="B", Planilla!B56="BPAL"), VLOOKUP(E56,FD:FP,13,0)="B"), "OK",IF(AND(OR(Planilla!B56="B", Planilla!B56="BPAL"), VLOOKUP(E56,FD:FP,13,0)="A"), "DEFICIT",IF(AND(OR(Planilla!B56="B", Planilla!B56="BPAL"), VLOOKUP(E56,FD:FP,13,0)="C"), "SOBREOFERTA",IF(AND(Planilla!B56="A", VLOOKUP(E56,FD:FP,13,0)="A"), "OK",IF(
AND(Planilla!B56="A", OR(VLOOKUP(E56,FD:FP,13,0)="B", VLOOKUP(E56,FD:FP,13,0)="C")), "SOBREOFERTA",""
))))))),"")</f>
        <v/>
      </c>
      <c r="E56" s="8" t="n"/>
      <c r="F56" s="86" t="n"/>
      <c r="G56" s="87" t="n"/>
      <c r="H56" s="88">
        <f>IF(I56="","",IF(AND((I56-G56)&gt;=TIME(0,0,0),(I56-G56)&lt;TIME(0,3,0)),"OK",IF(AND((I56-G56)&gt;=TIME(0,3,0),(I56-G56)&lt;TIME(0,5,0)),"RETRASO DE 3-5 MIN",IF(AND((I56-G56)&gt;=TIME(0,5,0),(I56-G56)&lt;TIME(0,10,0)),"RETRASO DE 5-10 MIN",IF((I56-G56)&gt;=TIME(0,10,0),"RETRASO &gt;10 MIN", IF(AND((G56-I56)&gt;=TIME(0,0,0),(G56-I56)&lt;TIME(0,3,0)),"OK",IF((G56-I56)&gt;=TIME(0,3,0),"ADELANTADO")))))))</f>
        <v/>
      </c>
      <c r="I56" s="89" t="n"/>
      <c r="J56" s="89">
        <f>IF(A56&lt;&gt;"",HLOOKUP(VALUE(TEXT(G56,"h:mm:ss")),IF($C$6="Laboral",$FZ$4:$GX$227,IF($C$6="Sábado",$FZ$231:$GX$452,$FZ$456:$GX$656)),VLOOKUP($C$4,$HF$2:$HH$99,3,0)+IF(C$5="Ida",0,1),1),"")</f>
        <v/>
      </c>
      <c r="K56" s="89">
        <f>IF(A57&lt;&gt;A56,AVERAGEIF(A$9:A56,A56,J$9:J56),"")</f>
        <v/>
      </c>
      <c r="L56" s="89">
        <f>IFERROR(IF(A57&lt;&gt;A56,AVERAGEIF(A$9:A56,A56,S$9:S56),""),"")</f>
        <v/>
      </c>
      <c r="M56" s="89">
        <f>IFERROR(IF(A57&lt;&gt;A56,AVERAGEIF(A$9:A56,A56,T$9:T56),""),"")</f>
        <v/>
      </c>
      <c r="N56" s="89">
        <f t="array" ref="N56">IFERROR(IF(A57&lt;&gt;A56,_xlfn.STDEV.P(IF(A$9:A56=A56,T$9:T56)),""),"")</f>
        <v/>
      </c>
      <c r="O56" s="89">
        <f t="array" ref="O56">IFERROR(IF(A57&lt;&gt;A56,_xlfn.STDEV.P(IF(A$9:A56=A56,S$9:S56)),""),"")</f>
        <v/>
      </c>
      <c r="P56" s="90">
        <f>IFERROR(IF(A56&lt;&gt;A57,MAX((((M56*24*60)/2)*(1+POWER((((N56*24*60) / (M56*24*60) )),2))) + ((M56*24*60 )*-0.1 + (K56*0.015)) +1,(((M56*24*60)/2)*(1+POWER((((N56*24*60) / (M56*24*60 ))),2)))),""),"")</f>
        <v/>
      </c>
      <c r="Q56" s="90">
        <f>IF(AND(O56&lt;&gt;"",L56&lt;&gt;""),IF(A56&lt;&gt;A57,((L56*24*60) / 2 ) * (1 + POWER(((O56*24*60) / (L56*24*60)),2)),""),"")</f>
        <v/>
      </c>
      <c r="R56" s="90">
        <f>IF(Q56&lt;&gt;"",MAX(P56,Q56),"")</f>
        <v/>
      </c>
      <c r="S56" s="89">
        <f>IF(I56&lt;&gt;"H. Sale Real",IF(AND(I57&lt;&gt;"",LEFT(C57,2)&lt;&gt;"Va"),IF(AND(I56&lt;&gt;"",LEFT(C56,2)&lt;&gt;"Va",I56&lt;&gt;"H. Sale Real"),IF(I57-I56&lt;0.208333333333333,I57-I56,""),IF(AND(I55&lt;&gt;"",LEFT(C55,2)&lt;&gt;"Va",I55&lt;&gt;"H. Sale Real"),IF(I57-I55&lt;0.208333333333333,I57-I55,""),IF(AND(I54&lt;&gt;"",LEFT(C54,2)&lt;&gt;"Va",I54&lt;&gt;"H. Sale Real"),IF(I57-I54&lt;0.208333333333333,I57-I54,""),IF(AND(I53&lt;&gt;"",LEFT(C53,2)&lt;&gt;"Va",I53&lt;&gt;"H. Sale Real"),IF(I57-I53&lt;0.208333333333333,I57-I53,""),IF(AND(I52&lt;&gt;"",LEFT(C52,2)&lt;&gt;"Va",I52&lt;&gt;"H. Sale Real"),IF(I57-I52&lt;0.208333333333333,I57-I52,""),""))))),""),"")</f>
        <v/>
      </c>
      <c r="T56" s="89">
        <f>IF(G56&lt;&gt;"H. Sale Real",IF(AND(G57&lt;&gt;"",LEFT(C57,2)&lt;&gt;"Va"),IF(AND(G56&lt;&gt;"",LEFT(C56,2)&lt;&gt;"Va",G56&lt;&gt;"H. Sale Real"),IF(G57-G56&lt;0.208333333333333,G57-G56,""),IF(AND(G55&lt;&gt;"",LEFT(C55,2)&lt;&gt;"Va",G55&lt;&gt;"H. Sale Real"),IF(G57-G55&lt;0.208333333333333,G57-G55,""),IF(AND(G54&lt;&gt;"",LEFT(C54,2)&lt;&gt;"Va",G54&lt;&gt;"H. Sale Real"),IF(G57-G54&lt;0.208333333333333,G57-G54,""),IF(AND(G53&lt;&gt;"",LEFT(C53,2)&lt;&gt;"Va",G53&lt;&gt;"H. Sale Real"),IF(G57-G53&lt;0.208333333333333,G57-G53,""),IF(AND(G52&lt;&gt;"",LEFT(C52,2)&lt;&gt;"Va",G52&lt;&gt;"H. Sale Real"),IF(G57-G52&lt;0.208333333333333,G57-G52,""),""))))),""),"")</f>
        <v/>
      </c>
      <c r="U56" s="87" t="n"/>
      <c r="V56" s="89" t="n"/>
      <c r="W56" s="87" t="n"/>
      <c r="X56" s="89" t="n"/>
      <c r="Y56" s="91" t="n"/>
      <c r="Z56" s="122">
        <f>IF(G56&lt;&gt;"",IF(AND(Z55&lt;&gt;"IE",P56&lt;&gt;0,R56&lt;&gt;""),IF(IFERROR((P56/R56),0) &lt;=1,IFERROR(P56/R56,""),1),""),"")</f>
        <v/>
      </c>
      <c r="AA56" s="93" t="n"/>
      <c r="AB56" s="2" t="n"/>
      <c r="AE56" s="10">
        <f>HOUR(AK56)+1</f>
        <v/>
      </c>
      <c r="AF56" s="7" t="n"/>
      <c r="AG56" s="7" t="n"/>
      <c r="AH56" s="86" t="n"/>
      <c r="AI56" s="8" t="n"/>
      <c r="AJ56" s="86" t="n"/>
      <c r="AK56" s="87" t="n"/>
      <c r="AL56" s="88">
        <f>IF(AM56="","",IF(AND((AM56-AK56)&gt;=TIME(0,0,0),(AM56-AK56)&lt;TIME(0,3,0)),"OK",IF(AND((AM56-AK56)&gt;=TIME(0,3,0),(AM56-AK56)&lt;TIME(0,5,0)),"RETRASO DE 3-5 MIN",IF(AND((AM56-AK56)&gt;=TIME(0,5,0),(AM56-AK56)&lt;TIME(0,10,0)),"RETRASO DE 5-10 MIN",IF((AM56-AK56)&gt;=TIME(0,10,0),"RETRASO &gt;10 MIN", IF(AND((AK56-AM56)&gt;=TIME(0,0,0),(AK56-AM56)&lt;TIME(0,3,0)),"OK",IF((AK56-AM56)&gt;=TIME(0,3,0),"ADELANTADO")))))))</f>
        <v/>
      </c>
      <c r="AM56" s="91" t="n"/>
      <c r="AN56" s="89">
        <f>IF(AE56&lt;&gt;"",HLOOKUP(VALUE(TEXT(AK56,"h:mm:ss")),IF($C$6="Laboral",$FZ$4:$GX$227,IF($C$6="Sábado",$FZ$231:$GX$452,$FZ$456:$GX$656)),VLOOKUP($C$4,$HF$2:$HH$99,3,0)+IF(AG$5="Ida",0,1),1),"")</f>
        <v/>
      </c>
      <c r="AO56" s="89">
        <f>IF(AE57&lt;&gt;AE56,AVERAGEIF(AE$9:AE56,AE56,AN$9:AN56),"")</f>
        <v/>
      </c>
      <c r="AP56" s="89">
        <f>IFERROR(IF(AE57&lt;&gt;AE56,AVERAGEIF(AE$9:AE56,AE56,AW$9:AW56),""),"")</f>
        <v/>
      </c>
      <c r="AQ56" s="89">
        <f>IFERROR(IF(AE57&lt;&gt;AE56,AVERAGEIF(AE$9:AE56,AE56,AX$9:AX56),""),"")</f>
        <v/>
      </c>
      <c r="AR56" s="89">
        <f t="array" ref="AR56">IFERROR(IF(AE57&lt;&gt;AE56,_xlfn.STDEV.P(IF(AE$9:AE56=AE56,AX$9:AX56)),""),"")</f>
        <v/>
      </c>
      <c r="AS56" s="89">
        <f t="array" ref="AS56">IFERROR(IF(AE57&lt;&gt;AE56,_xlfn.STDEV.P(IF(AE$9:AE56=AE56,AW$9:AW56)),""),"")</f>
        <v/>
      </c>
      <c r="AT56" s="90">
        <f>IFERROR(IF(AE56&lt;&gt;AE57,MAX((((AQ56*24*60)/2)*(1+POWER((((AR56*24*60) / (AQ56*24*60) )),2))) + ((AQ56*24*60 )*-0.1 + (AO56*0.015)) +1,(((AQ56*24*60)/2)*(1+POWER((((AR56*24*60) / (AQ56*24*60 ))),2)))),""),"")</f>
        <v/>
      </c>
      <c r="AU56" s="90">
        <f>IF(AND(AS56&lt;&gt;"",AP56&lt;&gt;""),IF(AE56&lt;&gt;AE57,((AP56*24*60) / 2 ) * (1 + POWER(((AS56*24*60) / (AP56*24*60)),2)),""),"")</f>
        <v/>
      </c>
      <c r="AV56" s="90">
        <f>IF(AU56&lt;&gt;"",MAX(AT56,AU56),"")</f>
        <v/>
      </c>
      <c r="AW56" s="89">
        <f>IF(AM56&lt;&gt;"H. Sale Real",IF(AND(AM57&lt;&gt;"",LEFT(AG57,2)&lt;&gt;"Va"),IF(AND(AM56&lt;&gt;"",LEFT(AG56,2)&lt;&gt;"Va",AM56&lt;&gt;"H. Sale Real"),IF(AM57-AM56&lt;0.208333333333333,AM57-AM56,""),IF(AND(AM55&lt;&gt;"",LEFT(AG55,2)&lt;&gt;"Va",AM55&lt;&gt;"H. Sale Real"),IF(AM57-AM55&lt;0.208333333333333,AM57-AM55,""),IF(AND(AM54&lt;&gt;"",LEFT(AG54,2)&lt;&gt;"Va",AM54&lt;&gt;"H. Sale Real"),IF(AM57-AM54&lt;0.208333333333333,AM57-AM54,""),IF(AND(AM53&lt;&gt;"",LEFT(AG53,2)&lt;&gt;"Va",AM53&lt;&gt;"H. Sale Real"),IF(AM57-AM53&lt;0.208333333333333,AM57-AM53,""),IF(AND(AM52&lt;&gt;"",LEFT(AG52,2)&lt;&gt;"Va",AM52&lt;&gt;"H. Sale Real"),IF(AM57-AM52&lt;0.208333333333333,AM57-AM52,""),""))))),""),"")</f>
        <v/>
      </c>
      <c r="AX56" s="89">
        <f>IF(AK56&lt;&gt;"H. Sale Real",IF(AND(AK57&lt;&gt;"",LEFT(AG57,2)&lt;&gt;"Va"),IF(AND(AK56&lt;&gt;"",LEFT(AG56,2)&lt;&gt;"Va",AK56&lt;&gt;"H. Sale Real"),IF(AK57-AK56&lt;0.208333333333333,AK57-AK56,""),IF(AND(AK55&lt;&gt;"",LEFT(AG55,2)&lt;&gt;"Va",AK55&lt;&gt;"H. Sale Real"),IF(AK57-AK55&lt;0.208333333333333,AK57-AK55,""),IF(AND(AK54&lt;&gt;"",LEFT(AG54,2)&lt;&gt;"NC",AK54&lt;&gt;"H. Sale Real"),IF(AK57-AK54&lt;0.208333333333333,AK57-AK54,""),IF(AND(AK53&lt;&gt;"",LEFT(AG53,2)&lt;&gt;"Va",AK53&lt;&gt;"H. Sale Real"),IF(AK57-AK53&lt;0.208333333333333,AK57-AK53,""),IF(AND(AK52&lt;&gt;"",LEFT(AG52,2)&lt;&gt;"Va",AK52&lt;&gt;"H. Sale Real"),IF(AK57-AK52&lt;0.208333333333333,AK57-AK52,""),""))))),""),"")</f>
        <v/>
      </c>
      <c r="AY56" s="87" t="n"/>
      <c r="AZ56" s="89" t="n"/>
      <c r="BA56" s="87" t="n"/>
      <c r="BB56" s="89" t="n"/>
      <c r="BC56" s="91" t="n"/>
      <c r="BD56" s="122">
        <f>IF(AK56&lt;&gt;"",IF(AND(BD55&lt;&gt;"IE",AT56&lt;&gt;0,AV56&lt;&gt;""),IF(IFERROR((AT56/AV56),0) &lt;=1,IFERROR(AT56/AV56,""),1),""),"")</f>
        <v/>
      </c>
      <c r="BE56" s="93" t="n"/>
      <c r="BF56" s="105" t="n"/>
      <c r="FC56" t="inlineStr">
        <is>
          <t>Diccionario 1</t>
        </is>
      </c>
      <c r="FD56" s="15" t="n">
        <v>1053</v>
      </c>
      <c r="FE56" s="15" t="inlineStr">
        <is>
          <t>D8481488K2PL</t>
        </is>
      </c>
      <c r="FF56" s="15" t="inlineStr">
        <is>
          <t>YV3T7U525KA195229</t>
        </is>
      </c>
      <c r="FG56" s="15" t="inlineStr">
        <is>
          <t>Volvo</t>
        </is>
      </c>
      <c r="FH56" s="15" t="inlineStr">
        <is>
          <t>B8R</t>
        </is>
      </c>
      <c r="FI56" s="15" t="inlineStr">
        <is>
          <t>MARCOPOLO</t>
        </is>
      </c>
      <c r="FJ56" s="15" t="inlineStr">
        <is>
          <t>TORINO</t>
        </is>
      </c>
      <c r="FK56" s="15" t="n">
        <v>2019</v>
      </c>
      <c r="FL56" s="15" t="inlineStr">
        <is>
          <t>B2PAL</t>
        </is>
      </c>
      <c r="FM56" s="15" t="inlineStr">
        <is>
          <t>LOS LIBERTADORES</t>
        </is>
      </c>
      <c r="FN56" s="15" t="inlineStr">
        <is>
          <t>Los Liberadores 6450, Lote 4A</t>
        </is>
      </c>
      <c r="FO56" s="15" t="inlineStr">
        <is>
          <t>Huechuraba</t>
        </is>
      </c>
      <c r="FP56" t="inlineStr">
        <is>
          <t>B</t>
        </is>
      </c>
      <c r="FS56" s="14" t="inlineStr">
        <is>
          <t>3015 / SFVZ-63|</t>
        </is>
      </c>
      <c r="FT56" t="inlineStr">
        <is>
          <t>SFVZ-63|</t>
        </is>
      </c>
      <c r="FU56" t="inlineStr">
        <is>
          <t>SFVZ-63</t>
        </is>
      </c>
      <c r="FV56">
        <f>VLOOKUP(FU56,FD:FL,9,0)</f>
        <v/>
      </c>
      <c r="FZ56" s="51" t="inlineStr">
        <is>
          <t>F09</t>
        </is>
      </c>
      <c r="GA56" t="n">
        <v>13.61</v>
      </c>
      <c r="GB56" t="n">
        <v>0</v>
      </c>
      <c r="GC56" t="n">
        <v>0</v>
      </c>
      <c r="GD56" t="n">
        <v>0</v>
      </c>
      <c r="GE56" t="n">
        <v>0</v>
      </c>
      <c r="GF56" t="n">
        <v>10.94</v>
      </c>
      <c r="GG56" t="n">
        <v>19.465</v>
      </c>
      <c r="GH56" t="n">
        <v>13.885</v>
      </c>
      <c r="GI56" t="n">
        <v>17.02</v>
      </c>
      <c r="GJ56" t="n">
        <v>19.06</v>
      </c>
      <c r="GK56" t="n">
        <v>19.22</v>
      </c>
      <c r="GL56" t="n">
        <v>18.66</v>
      </c>
      <c r="GM56" t="n">
        <v>17.405</v>
      </c>
      <c r="GN56" t="n">
        <v>17.21</v>
      </c>
      <c r="GO56" t="n">
        <v>17.49</v>
      </c>
      <c r="GP56" t="n">
        <v>16.485</v>
      </c>
      <c r="GQ56" t="n">
        <v>16.235</v>
      </c>
      <c r="GR56" t="n">
        <v>15.51</v>
      </c>
      <c r="GS56" t="n">
        <v>15.22</v>
      </c>
      <c r="GT56" t="n">
        <v>16.63</v>
      </c>
      <c r="GU56" t="n">
        <v>18.275</v>
      </c>
      <c r="GV56" t="n">
        <v>19.62</v>
      </c>
      <c r="GW56" t="n">
        <v>20.79</v>
      </c>
      <c r="GX56" t="n">
        <v>22.94</v>
      </c>
      <c r="HA56" s="35" t="n">
        <v>53</v>
      </c>
      <c r="HB56" s="35" t="n">
        <v>50</v>
      </c>
    </row>
    <row r="57" ht="15.5" customHeight="1">
      <c r="A57" s="10">
        <f>HOUR(G57)+1</f>
        <v/>
      </c>
      <c r="B57" s="7" t="n"/>
      <c r="C57" s="7" t="n"/>
      <c r="D57" s="85">
        <f>IFERROR(
IF(AND(OR(Planilla!B57="C",Planilla!B57="c"), VLOOKUP(E57,FD:FP,13,0)="C"), "OK",IF(AND(OR(Planilla!B57="C",Planilla!B57="c"), OR(VLOOKUP(E57,FD:FP,13,0)="B", VLOOKUP(E57,FD:FP,13,0)="A")), "DEFICIT",IF(
AND(OR(Planilla!B57="B", Planilla!B57="BPAL"), VLOOKUP(E57,FD:FP,13,0)="B"), "OK",IF(AND(OR(Planilla!B57="B", Planilla!B57="BPAL"), VLOOKUP(E57,FD:FP,13,0)="A"), "DEFICIT",IF(AND(OR(Planilla!B57="B", Planilla!B57="BPAL"), VLOOKUP(E57,FD:FP,13,0)="C"), "SOBREOFERTA",IF(AND(Planilla!B57="A", VLOOKUP(E57,FD:FP,13,0)="A"), "OK",IF(
AND(Planilla!B57="A", OR(VLOOKUP(E57,FD:FP,13,0)="B", VLOOKUP(E57,FD:FP,13,0)="C")), "SOBREOFERTA",""
))))))),"")</f>
        <v/>
      </c>
      <c r="E57" s="8" t="n"/>
      <c r="F57" s="86" t="n"/>
      <c r="G57" s="87" t="n"/>
      <c r="H57" s="88">
        <f>IF(I57="","",IF(AND((I57-G57)&gt;=TIME(0,0,0),(I57-G57)&lt;TIME(0,3,0)),"OK",IF(AND((I57-G57)&gt;=TIME(0,3,0),(I57-G57)&lt;TIME(0,5,0)),"RETRASO DE 3-5 MIN",IF(AND((I57-G57)&gt;=TIME(0,5,0),(I57-G57)&lt;TIME(0,10,0)),"RETRASO DE 5-10 MIN",IF((I57-G57)&gt;=TIME(0,10,0),"RETRASO &gt;10 MIN", IF(AND((G57-I57)&gt;=TIME(0,0,0),(G57-I57)&lt;TIME(0,3,0)),"OK",IF((G57-I57)&gt;=TIME(0,3,0),"ADELANTADO")))))))</f>
        <v/>
      </c>
      <c r="I57" s="89" t="n"/>
      <c r="J57" s="89">
        <f>IF(A57&lt;&gt;"",HLOOKUP(VALUE(TEXT(G57,"h:mm:ss")),IF($C$6="Laboral",$FZ$4:$GX$227,IF($C$6="Sábado",$FZ$231:$GX$452,$FZ$456:$GX$656)),VLOOKUP($C$4,$HF$2:$HH$99,3,0)+IF(C$5="Ida",0,1),1),"")</f>
        <v/>
      </c>
      <c r="K57" s="89">
        <f>IF(A58&lt;&gt;A57,AVERAGEIF(A$9:A57,A57,J$9:J57),"")</f>
        <v/>
      </c>
      <c r="L57" s="89">
        <f>IFERROR(IF(A58&lt;&gt;A57,AVERAGEIF(A$9:A57,A57,S$9:S57),""),"")</f>
        <v/>
      </c>
      <c r="M57" s="89">
        <f>IFERROR(IF(A58&lt;&gt;A57,AVERAGEIF(A$9:A57,A57,T$9:T57),""),"")</f>
        <v/>
      </c>
      <c r="N57" s="89">
        <f t="array" ref="N57">IFERROR(IF(A58&lt;&gt;A57,_xlfn.STDEV.P(IF(A$9:A57=A57,T$9:T57)),""),"")</f>
        <v/>
      </c>
      <c r="O57" s="89">
        <f t="array" ref="O57">IFERROR(IF(A58&lt;&gt;A57,_xlfn.STDEV.P(IF(A$9:A57=A57,S$9:S57)),""),"")</f>
        <v/>
      </c>
      <c r="P57" s="90">
        <f>IFERROR(IF(A57&lt;&gt;A58,MAX((((M57*24*60)/2)*(1+POWER((((N57*24*60) / (M57*24*60) )),2))) + ((M57*24*60 )*-0.1 + (K57*0.015)) +1,(((M57*24*60)/2)*(1+POWER((((N57*24*60) / (M57*24*60 ))),2)))),""),"")</f>
        <v/>
      </c>
      <c r="Q57" s="90">
        <f>IF(AND(O57&lt;&gt;"",L57&lt;&gt;""),IF(A57&lt;&gt;A58,((L57*24*60) / 2 ) * (1 + POWER(((O57*24*60) / (L57*24*60)),2)),""),"")</f>
        <v/>
      </c>
      <c r="R57" s="90">
        <f>IF(Q57&lt;&gt;"",MAX(P57,Q57),"")</f>
        <v/>
      </c>
      <c r="S57" s="89">
        <f>IF(I57&lt;&gt;"H. Sale Real",IF(AND(I58&lt;&gt;"",LEFT(C58,2)&lt;&gt;"Va"),IF(AND(I57&lt;&gt;"",LEFT(C57,2)&lt;&gt;"Va",I57&lt;&gt;"H. Sale Real"),IF(I58-I57&lt;0.208333333333333,I58-I57,""),IF(AND(I56&lt;&gt;"",LEFT(C56,2)&lt;&gt;"Va",I56&lt;&gt;"H. Sale Real"),IF(I58-I56&lt;0.208333333333333,I58-I56,""),IF(AND(I55&lt;&gt;"",LEFT(C55,2)&lt;&gt;"Va",I55&lt;&gt;"H. Sale Real"),IF(I58-I55&lt;0.208333333333333,I58-I55,""),IF(AND(I54&lt;&gt;"",LEFT(C54,2)&lt;&gt;"Va",I54&lt;&gt;"H. Sale Real"),IF(I58-I54&lt;0.208333333333333,I58-I54,""),IF(AND(I53&lt;&gt;"",LEFT(C53,2)&lt;&gt;"Va",I53&lt;&gt;"H. Sale Real"),IF(I58-I53&lt;0.208333333333333,I58-I53,""),""))))),""),"")</f>
        <v/>
      </c>
      <c r="T57" s="89">
        <f>IF(G57&lt;&gt;"H. Sale Real",IF(AND(G58&lt;&gt;"",LEFT(C58,2)&lt;&gt;"Va"),IF(AND(G57&lt;&gt;"",LEFT(C57,2)&lt;&gt;"Va",G57&lt;&gt;"H. Sale Real"),IF(G58-G57&lt;0.208333333333333,G58-G57,""),IF(AND(G56&lt;&gt;"",LEFT(C56,2)&lt;&gt;"Va",G56&lt;&gt;"H. Sale Real"),IF(G58-G56&lt;0.208333333333333,G58-G56,""),IF(AND(G55&lt;&gt;"",LEFT(C55,2)&lt;&gt;"Va",G55&lt;&gt;"H. Sale Real"),IF(G58-G55&lt;0.208333333333333,G58-G55,""),IF(AND(G54&lt;&gt;"",LEFT(C54,2)&lt;&gt;"Va",G54&lt;&gt;"H. Sale Real"),IF(G58-G54&lt;0.208333333333333,G58-G54,""),IF(AND(G53&lt;&gt;"",LEFT(C53,2)&lt;&gt;"Va",G53&lt;&gt;"H. Sale Real"),IF(G58-G53&lt;0.208333333333333,G58-G53,""),""))))),""),"")</f>
        <v/>
      </c>
      <c r="U57" s="87" t="n"/>
      <c r="V57" s="89" t="n"/>
      <c r="W57" s="87" t="n"/>
      <c r="X57" s="89" t="n"/>
      <c r="Y57" s="91" t="n"/>
      <c r="Z57" s="122">
        <f>IF(G57&lt;&gt;"",IF(AND(Z56&lt;&gt;"IE",P57&lt;&gt;0,R57&lt;&gt;""),IF(IFERROR((P57/R57),0) &lt;=1,IFERROR(P57/R57,""),1),""),"")</f>
        <v/>
      </c>
      <c r="AA57" s="93" t="n"/>
      <c r="AB57" s="2" t="n"/>
      <c r="AE57" s="10">
        <f>HOUR(AK57)+1</f>
        <v/>
      </c>
      <c r="AF57" s="7" t="n"/>
      <c r="AG57" s="7" t="n"/>
      <c r="AH57" s="86" t="n"/>
      <c r="AI57" s="8" t="n"/>
      <c r="AJ57" s="86" t="n"/>
      <c r="AK57" s="87" t="n"/>
      <c r="AL57" s="88">
        <f>IF(AM57="","",IF(AND((AM57-AK57)&gt;=TIME(0,0,0),(AM57-AK57)&lt;TIME(0,3,0)),"OK",IF(AND((AM57-AK57)&gt;=TIME(0,3,0),(AM57-AK57)&lt;TIME(0,5,0)),"RETRASO DE 3-5 MIN",IF(AND((AM57-AK57)&gt;=TIME(0,5,0),(AM57-AK57)&lt;TIME(0,10,0)),"RETRASO DE 5-10 MIN",IF((AM57-AK57)&gt;=TIME(0,10,0),"RETRASO &gt;10 MIN", IF(AND((AK57-AM57)&gt;=TIME(0,0,0),(AK57-AM57)&lt;TIME(0,3,0)),"OK",IF((AK57-AM57)&gt;=TIME(0,3,0),"ADELANTADO")))))))</f>
        <v/>
      </c>
      <c r="AM57" s="91" t="n"/>
      <c r="AN57" s="89">
        <f>IF(AE57&lt;&gt;"",HLOOKUP(VALUE(TEXT(AK57,"h:mm:ss")),IF($C$6="Laboral",$FZ$4:$GX$227,IF($C$6="Sábado",$FZ$231:$GX$452,$FZ$456:$GX$656)),VLOOKUP($C$4,$HF$2:$HH$99,3,0)+IF(AG$5="Ida",0,1),1),"")</f>
        <v/>
      </c>
      <c r="AO57" s="89">
        <f>IF(AE58&lt;&gt;AE57,AVERAGEIF(AE$9:AE57,AE57,AN$9:AN57),"")</f>
        <v/>
      </c>
      <c r="AP57" s="89">
        <f>IFERROR(IF(AE58&lt;&gt;AE57,AVERAGEIF(AE$9:AE57,AE57,AW$9:AW57),""),"")</f>
        <v/>
      </c>
      <c r="AQ57" s="89">
        <f>IFERROR(IF(AE58&lt;&gt;AE57,AVERAGEIF(AE$9:AE57,AE57,AX$9:AX57),""),"")</f>
        <v/>
      </c>
      <c r="AR57" s="89">
        <f t="array" ref="AR57">IFERROR(IF(AE58&lt;&gt;AE57,_xlfn.STDEV.P(IF(AE$9:AE57=AE57,AX$9:AX57)),""),"")</f>
        <v/>
      </c>
      <c r="AS57" s="89">
        <f t="array" ref="AS57">IFERROR(IF(AE58&lt;&gt;AE57,_xlfn.STDEV.P(IF(AE$9:AE57=AE57,AW$9:AW57)),""),"")</f>
        <v/>
      </c>
      <c r="AT57" s="90">
        <f>IFERROR(IF(AE57&lt;&gt;AE58,MAX((((AQ57*24*60)/2)*(1+POWER((((AR57*24*60) / (AQ57*24*60) )),2))) + ((AQ57*24*60 )*-0.1 + (AO57*0.015)) +1,(((AQ57*24*60)/2)*(1+POWER((((AR57*24*60) / (AQ57*24*60 ))),2)))),""),"")</f>
        <v/>
      </c>
      <c r="AU57" s="90">
        <f>IF(AND(AS57&lt;&gt;"",AP57&lt;&gt;""),IF(AE57&lt;&gt;AE58,((AP57*24*60) / 2 ) * (1 + POWER(((AS57*24*60) / (AP57*24*60)),2)),""),"")</f>
        <v/>
      </c>
      <c r="AV57" s="90">
        <f>IF(AU57&lt;&gt;"",MAX(AT57,AU57),"")</f>
        <v/>
      </c>
      <c r="AW57" s="89">
        <f>IF(AM57&lt;&gt;"H. Sale Real",IF(AND(AM58&lt;&gt;"",LEFT(AG58,2)&lt;&gt;"Va"),IF(AND(AM57&lt;&gt;"",LEFT(AG57,2)&lt;&gt;"Va",AM57&lt;&gt;"H. Sale Real"),IF(AM58-AM57&lt;0.208333333333333,AM58-AM57,""),IF(AND(AM56&lt;&gt;"",LEFT(AG56,2)&lt;&gt;"Va",AM56&lt;&gt;"H. Sale Real"),IF(AM58-AM56&lt;0.208333333333333,AM58-AM56,""),IF(AND(AM55&lt;&gt;"",LEFT(AG55,2)&lt;&gt;"Va",AM55&lt;&gt;"H. Sale Real"),IF(AM58-AM55&lt;0.208333333333333,AM58-AM55,""),IF(AND(AM54&lt;&gt;"",LEFT(AG54,2)&lt;&gt;"Va",AM54&lt;&gt;"H. Sale Real"),IF(AM58-AM54&lt;0.208333333333333,AM58-AM54,""),IF(AND(AM53&lt;&gt;"",LEFT(AG53,2)&lt;&gt;"Va",AM53&lt;&gt;"H. Sale Real"),IF(AM58-AM53&lt;0.208333333333333,AM58-AM53,""),""))))),""),"")</f>
        <v/>
      </c>
      <c r="AX57" s="89">
        <f>IF(AK57&lt;&gt;"H. Sale Real",IF(AND(AK58&lt;&gt;"",LEFT(AG58,2)&lt;&gt;"Va"),IF(AND(AK57&lt;&gt;"",LEFT(AG57,2)&lt;&gt;"Va",AK57&lt;&gt;"H. Sale Real"),IF(AK58-AK57&lt;0.208333333333333,AK58-AK57,""),IF(AND(AK56&lt;&gt;"",LEFT(AG56,2)&lt;&gt;"Va",AK56&lt;&gt;"H. Sale Real"),IF(AK58-AK56&lt;0.208333333333333,AK58-AK56,""),IF(AND(AK55&lt;&gt;"",LEFT(AG55,2)&lt;&gt;"NC",AK55&lt;&gt;"H. Sale Real"),IF(AK58-AK55&lt;0.208333333333333,AK58-AK55,""),IF(AND(AK54&lt;&gt;"",LEFT(AG54,2)&lt;&gt;"Va",AK54&lt;&gt;"H. Sale Real"),IF(AK58-AK54&lt;0.208333333333333,AK58-AK54,""),IF(AND(AK53&lt;&gt;"",LEFT(AG53,2)&lt;&gt;"Va",AK53&lt;&gt;"H. Sale Real"),IF(AK58-AK53&lt;0.208333333333333,AK58-AK53,""),""))))),""),"")</f>
        <v/>
      </c>
      <c r="AY57" s="87" t="n"/>
      <c r="AZ57" s="89" t="n"/>
      <c r="BA57" s="87" t="n"/>
      <c r="BB57" s="89" t="n"/>
      <c r="BC57" s="91" t="n"/>
      <c r="BD57" s="122">
        <f>IF(AK57&lt;&gt;"",IF(AND(BD56&lt;&gt;"IE",AT57&lt;&gt;0,AV57&lt;&gt;""),IF(IFERROR((AT57/AV57),0) &lt;=1,IFERROR(AT57/AV57,""),1),""),"")</f>
        <v/>
      </c>
      <c r="BE57" s="93" t="n"/>
      <c r="BF57" s="105" t="n"/>
      <c r="FC57" t="inlineStr">
        <is>
          <t>Diccionario 1</t>
        </is>
      </c>
      <c r="FD57" s="15" t="n">
        <v>1054</v>
      </c>
      <c r="FE57" s="15" t="inlineStr">
        <is>
          <t>D8482670K2PL</t>
        </is>
      </c>
      <c r="FF57" s="15" t="inlineStr">
        <is>
          <t>YV3T7U523KA195231</t>
        </is>
      </c>
      <c r="FG57" s="15" t="inlineStr">
        <is>
          <t>Volvo</t>
        </is>
      </c>
      <c r="FH57" s="15" t="inlineStr">
        <is>
          <t>B8R</t>
        </is>
      </c>
      <c r="FI57" s="15" t="inlineStr">
        <is>
          <t>MARCOPOLO</t>
        </is>
      </c>
      <c r="FJ57" s="15" t="inlineStr">
        <is>
          <t>TORINO</t>
        </is>
      </c>
      <c r="FK57" s="15" t="n">
        <v>2019</v>
      </c>
      <c r="FL57" s="15" t="inlineStr">
        <is>
          <t>B2PAL</t>
        </is>
      </c>
      <c r="FM57" s="15" t="inlineStr">
        <is>
          <t>LOS LIBERTADORES</t>
        </is>
      </c>
      <c r="FN57" s="15" t="inlineStr">
        <is>
          <t>Los Liberadores 6450, Lote 4A</t>
        </is>
      </c>
      <c r="FO57" s="15" t="inlineStr">
        <is>
          <t>Huechuraba</t>
        </is>
      </c>
      <c r="FP57" t="inlineStr">
        <is>
          <t>B</t>
        </is>
      </c>
      <c r="FS57" s="14" t="inlineStr">
        <is>
          <t>3015 / SFVZ-63|</t>
        </is>
      </c>
      <c r="FT57" t="inlineStr">
        <is>
          <t>SFVZ-63|</t>
        </is>
      </c>
      <c r="FU57" t="inlineStr">
        <is>
          <t>SFVZ-63</t>
        </is>
      </c>
      <c r="FV57">
        <f>VLOOKUP(FU57,FD:FL,9,0)</f>
        <v/>
      </c>
      <c r="FZ57" s="51" t="inlineStr">
        <is>
          <t>F10c</t>
        </is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21.615</v>
      </c>
      <c r="GG57" t="n">
        <v>16.86</v>
      </c>
      <c r="GH57" t="n">
        <v>12.62</v>
      </c>
      <c r="GI57" t="n">
        <v>14.015</v>
      </c>
      <c r="GJ57" t="n">
        <v>14.93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11.685</v>
      </c>
      <c r="GS57" t="n">
        <v>12.405</v>
      </c>
      <c r="GT57" t="n">
        <v>14.4</v>
      </c>
      <c r="GU57" t="n">
        <v>16.745</v>
      </c>
      <c r="GV57" t="n">
        <v>8.955</v>
      </c>
      <c r="GW57" t="n">
        <v>0</v>
      </c>
      <c r="GX57" t="n">
        <v>0</v>
      </c>
      <c r="HA57" s="35" t="n">
        <v>54</v>
      </c>
      <c r="HB57" s="35" t="n">
        <v>51</v>
      </c>
    </row>
    <row r="58" ht="15.5" customHeight="1">
      <c r="A58" s="10">
        <f>HOUR(G58)+1</f>
        <v/>
      </c>
      <c r="B58" s="7" t="n"/>
      <c r="C58" s="7" t="n"/>
      <c r="D58" s="85">
        <f>IFERROR(
IF(AND(OR(Planilla!B58="C",Planilla!B58="c"), VLOOKUP(E58,FD:FP,13,0)="C"), "OK",IF(AND(OR(Planilla!B58="C",Planilla!B58="c"), OR(VLOOKUP(E58,FD:FP,13,0)="B", VLOOKUP(E58,FD:FP,13,0)="A")), "DEFICIT",IF(
AND(OR(Planilla!B58="B", Planilla!B58="BPAL"), VLOOKUP(E58,FD:FP,13,0)="B"), "OK",IF(AND(OR(Planilla!B58="B", Planilla!B58="BPAL"), VLOOKUP(E58,FD:FP,13,0)="A"), "DEFICIT",IF(AND(OR(Planilla!B58="B", Planilla!B58="BPAL"), VLOOKUP(E58,FD:FP,13,0)="C"), "SOBREOFERTA",IF(AND(Planilla!B58="A", VLOOKUP(E58,FD:FP,13,0)="A"), "OK",IF(
AND(Planilla!B58="A", OR(VLOOKUP(E58,FD:FP,13,0)="B", VLOOKUP(E58,FD:FP,13,0)="C")), "SOBREOFERTA",""
))))))),"")</f>
        <v/>
      </c>
      <c r="E58" s="8" t="n"/>
      <c r="F58" s="86" t="n"/>
      <c r="G58" s="87" t="n"/>
      <c r="H58" s="88">
        <f>IF(I58="","",IF(AND((I58-G58)&gt;=TIME(0,0,0),(I58-G58)&lt;TIME(0,3,0)),"OK",IF(AND((I58-G58)&gt;=TIME(0,3,0),(I58-G58)&lt;TIME(0,5,0)),"RETRASO DE 3-5 MIN",IF(AND((I58-G58)&gt;=TIME(0,5,0),(I58-G58)&lt;TIME(0,10,0)),"RETRASO DE 5-10 MIN",IF((I58-G58)&gt;=TIME(0,10,0),"RETRASO &gt;10 MIN", IF(AND((G58-I58)&gt;=TIME(0,0,0),(G58-I58)&lt;TIME(0,3,0)),"OK",IF((G58-I58)&gt;=TIME(0,3,0),"ADELANTADO")))))))</f>
        <v/>
      </c>
      <c r="I58" s="89" t="n"/>
      <c r="J58" s="89">
        <f>IF(A58&lt;&gt;"",HLOOKUP(VALUE(TEXT(G58,"h:mm:ss")),IF($C$6="Laboral",$FZ$4:$GX$227,IF($C$6="Sábado",$FZ$231:$GX$452,$FZ$456:$GX$656)),VLOOKUP($C$4,$HF$2:$HH$99,3,0)+IF(C$5="Ida",0,1),1),"")</f>
        <v/>
      </c>
      <c r="K58" s="89">
        <f>IF(A59&lt;&gt;A58,AVERAGEIF(A$9:A58,A58,J$9:J58),"")</f>
        <v/>
      </c>
      <c r="L58" s="89">
        <f>IFERROR(IF(A59&lt;&gt;A58,AVERAGEIF(A$9:A58,A58,S$9:S58),""),"")</f>
        <v/>
      </c>
      <c r="M58" s="89">
        <f>IFERROR(IF(A59&lt;&gt;A58,AVERAGEIF(A$9:A58,A58,T$9:T58),""),"")</f>
        <v/>
      </c>
      <c r="N58" s="89">
        <f t="array" ref="N58">IFERROR(IF(A59&lt;&gt;A58,_xlfn.STDEV.P(IF(A$9:A58=A58,T$9:T58)),""),"")</f>
        <v/>
      </c>
      <c r="O58" s="89">
        <f t="array" ref="O58">IFERROR(IF(A59&lt;&gt;A58,_xlfn.STDEV.P(IF(A$9:A58=A58,S$9:S58)),""),"")</f>
        <v/>
      </c>
      <c r="P58" s="90">
        <f>IFERROR(IF(A58&lt;&gt;A59,MAX((((M58*24*60)/2)*(1+POWER((((N58*24*60) / (M58*24*60) )),2))) + ((M58*24*60 )*-0.1 + (K58*0.015)) +1,(((M58*24*60)/2)*(1+POWER((((N58*24*60) / (M58*24*60 ))),2)))),""),"")</f>
        <v/>
      </c>
      <c r="Q58" s="90">
        <f>IF(AND(O58&lt;&gt;"",L58&lt;&gt;""),IF(A58&lt;&gt;A59,((L58*24*60) / 2 ) * (1 + POWER(((O58*24*60) / (L58*24*60)),2)),""),"")</f>
        <v/>
      </c>
      <c r="R58" s="90">
        <f>IF(Q58&lt;&gt;"",MAX(P58,Q58),"")</f>
        <v/>
      </c>
      <c r="S58" s="89">
        <f>IF(I58&lt;&gt;"H. Sale Real",IF(AND(I59&lt;&gt;"",LEFT(C59,2)&lt;&gt;"Va"),IF(AND(I58&lt;&gt;"",LEFT(C58,2)&lt;&gt;"Va",I58&lt;&gt;"H. Sale Real"),IF(I59-I58&lt;0.208333333333333,I59-I58,""),IF(AND(I57&lt;&gt;"",LEFT(C57,2)&lt;&gt;"Va",I57&lt;&gt;"H. Sale Real"),IF(I59-I57&lt;0.208333333333333,I59-I57,""),IF(AND(I56&lt;&gt;"",LEFT(C56,2)&lt;&gt;"Va",I56&lt;&gt;"H. Sale Real"),IF(I59-I56&lt;0.208333333333333,I59-I56,""),IF(AND(I55&lt;&gt;"",LEFT(C55,2)&lt;&gt;"Va",I55&lt;&gt;"H. Sale Real"),IF(I59-I55&lt;0.208333333333333,I59-I55,""),IF(AND(I54&lt;&gt;"",LEFT(C54,2)&lt;&gt;"Va",I54&lt;&gt;"H. Sale Real"),IF(I59-I54&lt;0.208333333333333,I59-I54,""),""))))),""),"")</f>
        <v/>
      </c>
      <c r="T58" s="89">
        <f>IF(G58&lt;&gt;"H. Sale Real",IF(AND(G59&lt;&gt;"",LEFT(C59,2)&lt;&gt;"Va"),IF(AND(G58&lt;&gt;"",LEFT(C58,2)&lt;&gt;"Va",G58&lt;&gt;"H. Sale Real"),IF(G59-G58&lt;0.208333333333333,G59-G58,""),IF(AND(G57&lt;&gt;"",LEFT(C57,2)&lt;&gt;"Va",G57&lt;&gt;"H. Sale Real"),IF(G59-G57&lt;0.208333333333333,G59-G57,""),IF(AND(G56&lt;&gt;"",LEFT(C56,2)&lt;&gt;"Va",G56&lt;&gt;"H. Sale Real"),IF(G59-G56&lt;0.208333333333333,G59-G56,""),IF(AND(G55&lt;&gt;"",LEFT(C55,2)&lt;&gt;"Va",G55&lt;&gt;"H. Sale Real"),IF(G59-G55&lt;0.208333333333333,G59-G55,""),IF(AND(G54&lt;&gt;"",LEFT(C54,2)&lt;&gt;"Va",G54&lt;&gt;"H. Sale Real"),IF(G59-G54&lt;0.208333333333333,G59-G54,""),""))))),""),"")</f>
        <v/>
      </c>
      <c r="U58" s="87" t="n"/>
      <c r="V58" s="89" t="n"/>
      <c r="W58" s="87" t="n"/>
      <c r="X58" s="89" t="n"/>
      <c r="Y58" s="91" t="n"/>
      <c r="Z58" s="122">
        <f>IF(G58&lt;&gt;"",IF(AND(Z57&lt;&gt;"IE",P58&lt;&gt;0,R58&lt;&gt;""),IF(IFERROR((P58/R58),0) &lt;=1,IFERROR(P58/R58,""),1),""),"")</f>
        <v/>
      </c>
      <c r="AA58" s="93" t="n"/>
      <c r="AB58" s="2" t="n"/>
      <c r="AE58" s="10">
        <f>HOUR(AK58)+1</f>
        <v/>
      </c>
      <c r="AF58" s="7" t="n"/>
      <c r="AG58" s="7" t="n"/>
      <c r="AH58" s="86" t="n"/>
      <c r="AI58" s="8" t="n"/>
      <c r="AJ58" s="86" t="n"/>
      <c r="AK58" s="87" t="n"/>
      <c r="AL58" s="88">
        <f>IF(AM58="","",IF(AND((AM58-AK58)&gt;=TIME(0,0,0),(AM58-AK58)&lt;TIME(0,3,0)),"OK",IF(AND((AM58-AK58)&gt;=TIME(0,3,0),(AM58-AK58)&lt;TIME(0,5,0)),"RETRASO DE 3-5 MIN",IF(AND((AM58-AK58)&gt;=TIME(0,5,0),(AM58-AK58)&lt;TIME(0,10,0)),"RETRASO DE 5-10 MIN",IF((AM58-AK58)&gt;=TIME(0,10,0),"RETRASO &gt;10 MIN", IF(AND((AK58-AM58)&gt;=TIME(0,0,0),(AK58-AM58)&lt;TIME(0,3,0)),"OK",IF((AK58-AM58)&gt;=TIME(0,3,0),"ADELANTADO")))))))</f>
        <v/>
      </c>
      <c r="AM58" s="91" t="n"/>
      <c r="AN58" s="89">
        <f>IF(AE58&lt;&gt;"",HLOOKUP(VALUE(TEXT(AK58,"h:mm:ss")),IF($C$6="Laboral",$FZ$4:$GX$227,IF($C$6="Sábado",$FZ$231:$GX$452,$FZ$456:$GX$656)),VLOOKUP($C$4,$HF$2:$HH$99,3,0)+IF(AG$5="Ida",0,1),1),"")</f>
        <v/>
      </c>
      <c r="AO58" s="89">
        <f>IF(AE59&lt;&gt;AE58,AVERAGEIF(AE$9:AE58,AE58,AN$9:AN58),"")</f>
        <v/>
      </c>
      <c r="AP58" s="89">
        <f>IFERROR(IF(AE59&lt;&gt;AE58,AVERAGEIF(AE$9:AE58,AE58,AW$9:AW58),""),"")</f>
        <v/>
      </c>
      <c r="AQ58" s="89">
        <f>IFERROR(IF(AE59&lt;&gt;AE58,AVERAGEIF(AE$9:AE58,AE58,AX$9:AX58),""),"")</f>
        <v/>
      </c>
      <c r="AR58" s="89">
        <f t="array" ref="AR58">IFERROR(IF(AE59&lt;&gt;AE58,_xlfn.STDEV.P(IF(AE$9:AE58=AE58,AX$9:AX58)),""),"")</f>
        <v/>
      </c>
      <c r="AS58" s="89">
        <f t="array" ref="AS58">IFERROR(IF(AE59&lt;&gt;AE58,_xlfn.STDEV.P(IF(AE$9:AE58=AE58,AW$9:AW58)),""),"")</f>
        <v/>
      </c>
      <c r="AT58" s="90">
        <f>IFERROR(IF(AE58&lt;&gt;AE59,MAX((((AQ58*24*60)/2)*(1+POWER((((AR58*24*60) / (AQ58*24*60) )),2))) + ((AQ58*24*60 )*-0.1 + (AO58*0.015)) +1,(((AQ58*24*60)/2)*(1+POWER((((AR58*24*60) / (AQ58*24*60 ))),2)))),""),"")</f>
        <v/>
      </c>
      <c r="AU58" s="90">
        <f>IF(AND(AS58&lt;&gt;"",AP58&lt;&gt;""),IF(AE58&lt;&gt;AE59,((AP58*24*60) / 2 ) * (1 + POWER(((AS58*24*60) / (AP58*24*60)),2)),""),"")</f>
        <v/>
      </c>
      <c r="AV58" s="90">
        <f>IF(AU58&lt;&gt;"",MAX(AT58,AU58),"")</f>
        <v/>
      </c>
      <c r="AW58" s="89">
        <f>IF(AM58&lt;&gt;"H. Sale Real",IF(AND(AM59&lt;&gt;"",LEFT(AG59,2)&lt;&gt;"Va"),IF(AND(AM58&lt;&gt;"",LEFT(AG58,2)&lt;&gt;"Va",AM58&lt;&gt;"H. Sale Real"),IF(AM59-AM58&lt;0.208333333333333,AM59-AM58,""),IF(AND(AM57&lt;&gt;"",LEFT(AG57,2)&lt;&gt;"Va",AM57&lt;&gt;"H. Sale Real"),IF(AM59-AM57&lt;0.208333333333333,AM59-AM57,""),IF(AND(AM56&lt;&gt;"",LEFT(AG56,2)&lt;&gt;"Va",AM56&lt;&gt;"H. Sale Real"),IF(AM59-AM56&lt;0.208333333333333,AM59-AM56,""),IF(AND(AM55&lt;&gt;"",LEFT(AG55,2)&lt;&gt;"Va",AM55&lt;&gt;"H. Sale Real"),IF(AM59-AM55&lt;0.208333333333333,AM59-AM55,""),IF(AND(AM54&lt;&gt;"",LEFT(AG54,2)&lt;&gt;"Va",AM54&lt;&gt;"H. Sale Real"),IF(AM59-AM54&lt;0.208333333333333,AM59-AM54,""),""))))),""),"")</f>
        <v/>
      </c>
      <c r="AX58" s="89">
        <f>IF(AK58&lt;&gt;"H. Sale Real",IF(AND(AK59&lt;&gt;"",LEFT(AG59,2)&lt;&gt;"Va"),IF(AND(AK58&lt;&gt;"",LEFT(AG58,2)&lt;&gt;"Va",AK58&lt;&gt;"H. Sale Real"),IF(AK59-AK58&lt;0.208333333333333,AK59-AK58,""),IF(AND(AK57&lt;&gt;"",LEFT(AG57,2)&lt;&gt;"Va",AK57&lt;&gt;"H. Sale Real"),IF(AK59-AK57&lt;0.208333333333333,AK59-AK57,""),IF(AND(AK56&lt;&gt;"",LEFT(AG56,2)&lt;&gt;"NC",AK56&lt;&gt;"H. Sale Real"),IF(AK59-AK56&lt;0.208333333333333,AK59-AK56,""),IF(AND(AK55&lt;&gt;"",LEFT(AG55,2)&lt;&gt;"Va",AK55&lt;&gt;"H. Sale Real"),IF(AK59-AK55&lt;0.208333333333333,AK59-AK55,""),IF(AND(AK54&lt;&gt;"",LEFT(AG54,2)&lt;&gt;"Va",AK54&lt;&gt;"H. Sale Real"),IF(AK59-AK54&lt;0.208333333333333,AK59-AK54,""),""))))),""),"")</f>
        <v/>
      </c>
      <c r="AY58" s="87" t="n"/>
      <c r="AZ58" s="89" t="n"/>
      <c r="BA58" s="87" t="n"/>
      <c r="BB58" s="89" t="n"/>
      <c r="BC58" s="91" t="n"/>
      <c r="BD58" s="122">
        <f>IF(AK58&lt;&gt;"",IF(AND(BD57&lt;&gt;"IE",AT58&lt;&gt;0,AV58&lt;&gt;""),IF(IFERROR((AT58/AV58),0) &lt;=1,IFERROR(AT58/AV58,""),1),""),"")</f>
        <v/>
      </c>
      <c r="BE58" s="93" t="n"/>
      <c r="BF58" s="105" t="n"/>
      <c r="FC58" t="inlineStr">
        <is>
          <t>Diccionario 1</t>
        </is>
      </c>
      <c r="FD58" s="15" t="n">
        <v>1055</v>
      </c>
      <c r="FE58" s="15" t="inlineStr">
        <is>
          <t>D8481984K2PL</t>
        </is>
      </c>
      <c r="FF58" s="15" t="inlineStr">
        <is>
          <t>YV3T7U524KA195268</t>
        </is>
      </c>
      <c r="FG58" s="15" t="inlineStr">
        <is>
          <t>Volvo</t>
        </is>
      </c>
      <c r="FH58" s="15" t="inlineStr">
        <is>
          <t>B8R</t>
        </is>
      </c>
      <c r="FI58" s="15" t="inlineStr">
        <is>
          <t>MARCOPOLO</t>
        </is>
      </c>
      <c r="FJ58" s="15" t="inlineStr">
        <is>
          <t>TORINO</t>
        </is>
      </c>
      <c r="FK58" s="15" t="n">
        <v>2019</v>
      </c>
      <c r="FL58" s="15" t="inlineStr">
        <is>
          <t>B2PAL</t>
        </is>
      </c>
      <c r="FM58" s="15" t="inlineStr">
        <is>
          <t>LOS LIBERTADORES</t>
        </is>
      </c>
      <c r="FN58" s="15" t="inlineStr">
        <is>
          <t>Los Liberadores 6450, Lote 4A</t>
        </is>
      </c>
      <c r="FO58" s="15" t="inlineStr">
        <is>
          <t>Huechuraba</t>
        </is>
      </c>
      <c r="FP58" t="inlineStr">
        <is>
          <t>B</t>
        </is>
      </c>
      <c r="FS58" s="14" t="inlineStr">
        <is>
          <t>3016 / SFWB-28|</t>
        </is>
      </c>
      <c r="FT58" t="inlineStr">
        <is>
          <t>SFWB-28|</t>
        </is>
      </c>
      <c r="FU58" t="inlineStr">
        <is>
          <t>SFWB-28</t>
        </is>
      </c>
      <c r="FV58">
        <f>VLOOKUP(FU58,FD:FL,9,0)</f>
        <v/>
      </c>
      <c r="FZ58" s="51" t="inlineStr">
        <is>
          <t>F12</t>
        </is>
      </c>
      <c r="GA58" t="n">
        <v>0</v>
      </c>
      <c r="GB58" t="n">
        <v>0</v>
      </c>
      <c r="GC58" t="n">
        <v>0</v>
      </c>
      <c r="GD58" t="n">
        <v>0</v>
      </c>
      <c r="GE58" t="n">
        <v>12.875</v>
      </c>
      <c r="GF58" t="n">
        <v>22.65</v>
      </c>
      <c r="GG58" t="n">
        <v>17.83</v>
      </c>
      <c r="GH58" t="n">
        <v>13.06</v>
      </c>
      <c r="GI58" t="n">
        <v>14.73</v>
      </c>
      <c r="GJ58" t="n">
        <v>16.53</v>
      </c>
      <c r="GK58" t="n">
        <v>16.78</v>
      </c>
      <c r="GL58" t="n">
        <v>16.415</v>
      </c>
      <c r="GM58" t="n">
        <v>16.195</v>
      </c>
      <c r="GN58" t="n">
        <v>16.26</v>
      </c>
      <c r="GO58" t="n">
        <v>16.53</v>
      </c>
      <c r="GP58" t="n">
        <v>15.39</v>
      </c>
      <c r="GQ58" t="n">
        <v>13.7</v>
      </c>
      <c r="GR58" t="n">
        <v>12.125</v>
      </c>
      <c r="GS58" t="n">
        <v>12.715</v>
      </c>
      <c r="GT58" t="n">
        <v>15.35</v>
      </c>
      <c r="GU58" t="n">
        <v>18.35</v>
      </c>
      <c r="GV58" t="n">
        <v>20.575</v>
      </c>
      <c r="GW58" t="n">
        <v>22.695</v>
      </c>
      <c r="GX58" t="n">
        <v>0</v>
      </c>
      <c r="HA58" s="35" t="n">
        <v>55</v>
      </c>
      <c r="HB58" s="35" t="n">
        <v>52</v>
      </c>
    </row>
    <row r="59" ht="15.5" customHeight="1">
      <c r="A59" s="10">
        <f>HOUR(G59)+1</f>
        <v/>
      </c>
      <c r="B59" s="7" t="n"/>
      <c r="C59" s="7" t="n"/>
      <c r="D59" s="85">
        <f>IFERROR(
IF(AND(OR(Planilla!B59="C",Planilla!B59="c"), VLOOKUP(E59,FD:FP,13,0)="C"), "OK",IF(AND(OR(Planilla!B59="C",Planilla!B59="c"), OR(VLOOKUP(E59,FD:FP,13,0)="B", VLOOKUP(E59,FD:FP,13,0)="A")), "DEFICIT",IF(
AND(OR(Planilla!B59="B", Planilla!B59="BPAL"), VLOOKUP(E59,FD:FP,13,0)="B"), "OK",IF(AND(OR(Planilla!B59="B", Planilla!B59="BPAL"), VLOOKUP(E59,FD:FP,13,0)="A"), "DEFICIT",IF(AND(OR(Planilla!B59="B", Planilla!B59="BPAL"), VLOOKUP(E59,FD:FP,13,0)="C"), "SOBREOFERTA",IF(AND(Planilla!B59="A", VLOOKUP(E59,FD:FP,13,0)="A"), "OK",IF(
AND(Planilla!B59="A", OR(VLOOKUP(E59,FD:FP,13,0)="B", VLOOKUP(E59,FD:FP,13,0)="C")), "SOBREOFERTA",""
))))))),"")</f>
        <v/>
      </c>
      <c r="E59" s="8" t="n"/>
      <c r="F59" s="86" t="n"/>
      <c r="G59" s="87" t="n"/>
      <c r="H59" s="88">
        <f>IF(I59="","",IF(AND((I59-G59)&gt;=TIME(0,0,0),(I59-G59)&lt;TIME(0,3,0)),"OK",IF(AND((I59-G59)&gt;=TIME(0,3,0),(I59-G59)&lt;TIME(0,5,0)),"RETRASO DE 3-5 MIN",IF(AND((I59-G59)&gt;=TIME(0,5,0),(I59-G59)&lt;TIME(0,10,0)),"RETRASO DE 5-10 MIN",IF((I59-G59)&gt;=TIME(0,10,0),"RETRASO &gt;10 MIN", IF(AND((G59-I59)&gt;=TIME(0,0,0),(G59-I59)&lt;TIME(0,3,0)),"OK",IF((G59-I59)&gt;=TIME(0,3,0),"ADELANTADO")))))))</f>
        <v/>
      </c>
      <c r="I59" s="89" t="n"/>
      <c r="J59" s="89">
        <f>IF(A59&lt;&gt;"",HLOOKUP(VALUE(TEXT(G59,"h:mm:ss")),IF($C$6="Laboral",$FZ$4:$GX$227,IF($C$6="Sábado",$FZ$231:$GX$452,$FZ$456:$GX$656)),VLOOKUP($C$4,$HF$2:$HH$99,3,0)+IF(C$5="Ida",0,1),1),"")</f>
        <v/>
      </c>
      <c r="K59" s="89">
        <f>IF(A60&lt;&gt;A59,AVERAGEIF(A$9:A59,A59,J$9:J59),"")</f>
        <v/>
      </c>
      <c r="L59" s="89">
        <f>IFERROR(IF(A60&lt;&gt;A59,AVERAGEIF(A$9:A59,A59,S$9:S59),""),"")</f>
        <v/>
      </c>
      <c r="M59" s="89">
        <f>IFERROR(IF(A60&lt;&gt;A59,AVERAGEIF(A$9:A59,A59,T$9:T59),""),"")</f>
        <v/>
      </c>
      <c r="N59" s="89">
        <f t="array" ref="N59">IFERROR(IF(A60&lt;&gt;A59,_xlfn.STDEV.P(IF(A$9:A59=A59,T$9:T59)),""),"")</f>
        <v/>
      </c>
      <c r="O59" s="89">
        <f t="array" ref="O59">IFERROR(IF(A60&lt;&gt;A59,_xlfn.STDEV.P(IF(A$9:A59=A59,S$9:S59)),""),"")</f>
        <v/>
      </c>
      <c r="P59" s="90">
        <f>IFERROR(IF(A59&lt;&gt;A60,MAX((((M59*24*60)/2)*(1+POWER((((N59*24*60) / (M59*24*60) )),2))) + ((M59*24*60 )*-0.1 + (K59*0.015)) +1,(((M59*24*60)/2)*(1+POWER((((N59*24*60) / (M59*24*60 ))),2)))),""),"")</f>
        <v/>
      </c>
      <c r="Q59" s="90">
        <f>IF(AND(O59&lt;&gt;"",L59&lt;&gt;""),IF(A59&lt;&gt;A60,((L59*24*60) / 2 ) * (1 + POWER(((O59*24*60) / (L59*24*60)),2)),""),"")</f>
        <v/>
      </c>
      <c r="R59" s="90">
        <f>IF(Q59&lt;&gt;"",MAX(P59,Q59),"")</f>
        <v/>
      </c>
      <c r="S59" s="89">
        <f>IF(I59&lt;&gt;"H. Sale Real",IF(AND(I60&lt;&gt;"",LEFT(C60,2)&lt;&gt;"Va"),IF(AND(I59&lt;&gt;"",LEFT(C59,2)&lt;&gt;"Va",I59&lt;&gt;"H. Sale Real"),IF(I60-I59&lt;0.208333333333333,I60-I59,""),IF(AND(I58&lt;&gt;"",LEFT(C58,2)&lt;&gt;"Va",I58&lt;&gt;"H. Sale Real"),IF(I60-I58&lt;0.208333333333333,I60-I58,""),IF(AND(I57&lt;&gt;"",LEFT(C57,2)&lt;&gt;"Va",I57&lt;&gt;"H. Sale Real"),IF(I60-I57&lt;0.208333333333333,I60-I57,""),IF(AND(I56&lt;&gt;"",LEFT(C56,2)&lt;&gt;"Va",I56&lt;&gt;"H. Sale Real"),IF(I60-I56&lt;0.208333333333333,I60-I56,""),IF(AND(I55&lt;&gt;"",LEFT(C55,2)&lt;&gt;"Va",I55&lt;&gt;"H. Sale Real"),IF(I60-I55&lt;0.208333333333333,I60-I55,""),""))))),""),"")</f>
        <v/>
      </c>
      <c r="T59" s="89">
        <f>IF(G59&lt;&gt;"H. Sale Real",IF(AND(G60&lt;&gt;"",LEFT(C60,2)&lt;&gt;"Va"),IF(AND(G59&lt;&gt;"",LEFT(C59,2)&lt;&gt;"Va",G59&lt;&gt;"H. Sale Real"),IF(G60-G59&lt;0.208333333333333,G60-G59,""),IF(AND(G58&lt;&gt;"",LEFT(C58,2)&lt;&gt;"Va",G58&lt;&gt;"H. Sale Real"),IF(G60-G58&lt;0.208333333333333,G60-G58,""),IF(AND(G57&lt;&gt;"",LEFT(C57,2)&lt;&gt;"Va",G57&lt;&gt;"H. Sale Real"),IF(G60-G57&lt;0.208333333333333,G60-G57,""),IF(AND(G56&lt;&gt;"",LEFT(C56,2)&lt;&gt;"Va",G56&lt;&gt;"H. Sale Real"),IF(G60-G56&lt;0.208333333333333,G60-G56,""),IF(AND(G55&lt;&gt;"",LEFT(C55,2)&lt;&gt;"Va",G55&lt;&gt;"H. Sale Real"),IF(G60-G55&lt;0.208333333333333,G60-G55,""),""))))),""),"")</f>
        <v/>
      </c>
      <c r="U59" s="87" t="n"/>
      <c r="V59" s="89" t="n"/>
      <c r="W59" s="87" t="n"/>
      <c r="X59" s="89" t="n"/>
      <c r="Y59" s="91" t="n"/>
      <c r="Z59" s="122">
        <f>IF(G59&lt;&gt;"",IF(AND(Z58&lt;&gt;"IE",P59&lt;&gt;0,R59&lt;&gt;""),IF(IFERROR((P59/R59),0) &lt;=1,IFERROR(P59/R59,""),1),""),"")</f>
        <v/>
      </c>
      <c r="AA59" s="93" t="n"/>
      <c r="AB59" s="2" t="n"/>
      <c r="AE59" s="10">
        <f>HOUR(AK59)+1</f>
        <v/>
      </c>
      <c r="AF59" s="7" t="n"/>
      <c r="AG59" s="7" t="n"/>
      <c r="AH59" s="86" t="n"/>
      <c r="AI59" s="8" t="n"/>
      <c r="AJ59" s="86" t="n"/>
      <c r="AK59" s="87" t="n"/>
      <c r="AL59" s="88">
        <f>IF(AM59="","",IF(AND((AM59-AK59)&gt;=TIME(0,0,0),(AM59-AK59)&lt;TIME(0,3,0)),"OK",IF(AND((AM59-AK59)&gt;=TIME(0,3,0),(AM59-AK59)&lt;TIME(0,5,0)),"RETRASO DE 3-5 MIN",IF(AND((AM59-AK59)&gt;=TIME(0,5,0),(AM59-AK59)&lt;TIME(0,10,0)),"RETRASO DE 5-10 MIN",IF((AM59-AK59)&gt;=TIME(0,10,0),"RETRASO &gt;10 MIN", IF(AND((AK59-AM59)&gt;=TIME(0,0,0),(AK59-AM59)&lt;TIME(0,3,0)),"OK",IF((AK59-AM59)&gt;=TIME(0,3,0),"ADELANTADO")))))))</f>
        <v/>
      </c>
      <c r="AM59" s="91" t="n"/>
      <c r="AN59" s="89">
        <f>IF(AE59&lt;&gt;"",HLOOKUP(VALUE(TEXT(AK59,"h:mm:ss")),IF($C$6="Laboral",$FZ$4:$GX$227,IF($C$6="Sábado",$FZ$231:$GX$452,$FZ$456:$GX$656)),VLOOKUP($C$4,$HF$2:$HH$99,3,0)+IF(AG$5="Ida",0,1),1),"")</f>
        <v/>
      </c>
      <c r="AO59" s="89">
        <f>IF(AE60&lt;&gt;AE59,AVERAGEIF(AE$9:AE59,AE59,AN$9:AN59),"")</f>
        <v/>
      </c>
      <c r="AP59" s="89">
        <f>IFERROR(IF(AE60&lt;&gt;AE59,AVERAGEIF(AE$9:AE59,AE59,AW$9:AW59),""),"")</f>
        <v/>
      </c>
      <c r="AQ59" s="89">
        <f>IFERROR(IF(AE60&lt;&gt;AE59,AVERAGEIF(AE$9:AE59,AE59,AX$9:AX59),""),"")</f>
        <v/>
      </c>
      <c r="AR59" s="89">
        <f t="array" ref="AR59">IFERROR(IF(AE60&lt;&gt;AE59,_xlfn.STDEV.P(IF(AE$9:AE59=AE59,AX$9:AX59)),""),"")</f>
        <v/>
      </c>
      <c r="AS59" s="89">
        <f t="array" ref="AS59">IFERROR(IF(AE60&lt;&gt;AE59,_xlfn.STDEV.P(IF(AE$9:AE59=AE59,AW$9:AW59)),""),"")</f>
        <v/>
      </c>
      <c r="AT59" s="90">
        <f>IFERROR(IF(AE59&lt;&gt;AE60,MAX((((AQ59*24*60)/2)*(1+POWER((((AR59*24*60) / (AQ59*24*60) )),2))) + ((AQ59*24*60 )*-0.1 + (AO59*0.015)) +1,(((AQ59*24*60)/2)*(1+POWER((((AR59*24*60) / (AQ59*24*60 ))),2)))),""),"")</f>
        <v/>
      </c>
      <c r="AU59" s="90">
        <f>IF(AND(AS59&lt;&gt;"",AP59&lt;&gt;""),IF(AE59&lt;&gt;AE60,((AP59*24*60) / 2 ) * (1 + POWER(((AS59*24*60) / (AP59*24*60)),2)),""),"")</f>
        <v/>
      </c>
      <c r="AV59" s="90">
        <f>IF(AU59&lt;&gt;"",MAX(AT59,AU59),"")</f>
        <v/>
      </c>
      <c r="AW59" s="89">
        <f>IF(AM59&lt;&gt;"H. Sale Real",IF(AND(AM60&lt;&gt;"",LEFT(AG60,2)&lt;&gt;"Va"),IF(AND(AM59&lt;&gt;"",LEFT(AG59,2)&lt;&gt;"Va",AM59&lt;&gt;"H. Sale Real"),IF(AM60-AM59&lt;0.208333333333333,AM60-AM59,""),IF(AND(AM58&lt;&gt;"",LEFT(AG58,2)&lt;&gt;"Va",AM58&lt;&gt;"H. Sale Real"),IF(AM60-AM58&lt;0.208333333333333,AM60-AM58,""),IF(AND(AM57&lt;&gt;"",LEFT(AG57,2)&lt;&gt;"Va",AM57&lt;&gt;"H. Sale Real"),IF(AM60-AM57&lt;0.208333333333333,AM60-AM57,""),IF(AND(AM56&lt;&gt;"",LEFT(AG56,2)&lt;&gt;"Va",AM56&lt;&gt;"H. Sale Real"),IF(AM60-AM56&lt;0.208333333333333,AM60-AM56,""),IF(AND(AM55&lt;&gt;"",LEFT(AG55,2)&lt;&gt;"Va",AM55&lt;&gt;"H. Sale Real"),IF(AM60-AM55&lt;0.208333333333333,AM60-AM55,""),""))))),""),"")</f>
        <v/>
      </c>
      <c r="AX59" s="89">
        <f>IF(AK59&lt;&gt;"H. Sale Real",IF(AND(AK60&lt;&gt;"",LEFT(AG60,2)&lt;&gt;"Va"),IF(AND(AK59&lt;&gt;"",LEFT(AG59,2)&lt;&gt;"Va",AK59&lt;&gt;"H. Sale Real"),IF(AK60-AK59&lt;0.208333333333333,AK60-AK59,""),IF(AND(AK58&lt;&gt;"",LEFT(AG58,2)&lt;&gt;"Va",AK58&lt;&gt;"H. Sale Real"),IF(AK60-AK58&lt;0.208333333333333,AK60-AK58,""),IF(AND(AK57&lt;&gt;"",LEFT(AG57,2)&lt;&gt;"NC",AK57&lt;&gt;"H. Sale Real"),IF(AK60-AK57&lt;0.208333333333333,AK60-AK57,""),IF(AND(AK56&lt;&gt;"",LEFT(AG56,2)&lt;&gt;"Va",AK56&lt;&gt;"H. Sale Real"),IF(AK60-AK56&lt;0.208333333333333,AK60-AK56,""),IF(AND(AK55&lt;&gt;"",LEFT(AG55,2)&lt;&gt;"Va",AK55&lt;&gt;"H. Sale Real"),IF(AK60-AK55&lt;0.208333333333333,AK60-AK55,""),""))))),""),"")</f>
        <v/>
      </c>
      <c r="AY59" s="87" t="n"/>
      <c r="AZ59" s="89" t="n"/>
      <c r="BA59" s="87" t="n"/>
      <c r="BB59" s="89" t="n"/>
      <c r="BC59" s="91" t="n"/>
      <c r="BD59" s="122">
        <f>IF(AK59&lt;&gt;"",IF(AND(BD58&lt;&gt;"IE",AT59&lt;&gt;0,AV59&lt;&gt;""),IF(IFERROR((AT59/AV59),0) &lt;=1,IFERROR(AT59/AV59,""),1),""),"")</f>
        <v/>
      </c>
      <c r="BE59" s="93" t="n"/>
      <c r="BF59" s="105" t="n"/>
      <c r="FC59" t="inlineStr">
        <is>
          <t>Diccionario 1</t>
        </is>
      </c>
      <c r="FD59" s="15" t="n">
        <v>1056</v>
      </c>
      <c r="FE59" s="15" t="inlineStr">
        <is>
          <t>D8481907K2PL</t>
        </is>
      </c>
      <c r="FF59" s="15" t="inlineStr">
        <is>
          <t>YV3T7U526KA195269</t>
        </is>
      </c>
      <c r="FG59" s="15" t="inlineStr">
        <is>
          <t>Volvo</t>
        </is>
      </c>
      <c r="FH59" s="15" t="inlineStr">
        <is>
          <t>B8R</t>
        </is>
      </c>
      <c r="FI59" s="15" t="inlineStr">
        <is>
          <t>MARCOPOLO</t>
        </is>
      </c>
      <c r="FJ59" s="15" t="inlineStr">
        <is>
          <t>TORINO</t>
        </is>
      </c>
      <c r="FK59" s="15" t="n">
        <v>2019</v>
      </c>
      <c r="FL59" s="15" t="inlineStr">
        <is>
          <t>B2PAL</t>
        </is>
      </c>
      <c r="FM59" s="15" t="inlineStr">
        <is>
          <t>LOS LIBERTADORES</t>
        </is>
      </c>
      <c r="FN59" s="15" t="inlineStr">
        <is>
          <t>Los Liberadores 6450, Lote 4A</t>
        </is>
      </c>
      <c r="FO59" s="15" t="inlineStr">
        <is>
          <t>Huechuraba</t>
        </is>
      </c>
      <c r="FP59" t="inlineStr">
        <is>
          <t>B</t>
        </is>
      </c>
      <c r="FS59" s="14" t="inlineStr">
        <is>
          <t>3016 / SFWB-28|</t>
        </is>
      </c>
      <c r="FT59" t="inlineStr">
        <is>
          <t>SFWB-28|</t>
        </is>
      </c>
      <c r="FU59" t="inlineStr">
        <is>
          <t>SFWB-28</t>
        </is>
      </c>
      <c r="FV59">
        <f>VLOOKUP(FU59,FD:FL,9,0)</f>
        <v/>
      </c>
      <c r="FZ59" s="51" t="inlineStr">
        <is>
          <t>F12</t>
        </is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11.58</v>
      </c>
      <c r="GG59" t="n">
        <v>20.605</v>
      </c>
      <c r="GH59" t="n">
        <v>14.63</v>
      </c>
      <c r="GI59" t="n">
        <v>15.17</v>
      </c>
      <c r="GJ59" t="n">
        <v>17.005</v>
      </c>
      <c r="GK59" t="n">
        <v>16.635</v>
      </c>
      <c r="GL59" t="n">
        <v>16.29</v>
      </c>
      <c r="GM59" t="n">
        <v>15.69</v>
      </c>
      <c r="GN59" t="n">
        <v>15.03</v>
      </c>
      <c r="GO59" t="n">
        <v>14.88</v>
      </c>
      <c r="GP59" t="n">
        <v>14.235</v>
      </c>
      <c r="GQ59" t="n">
        <v>13.585</v>
      </c>
      <c r="GR59" t="n">
        <v>12.35</v>
      </c>
      <c r="GS59" t="n">
        <v>12.12</v>
      </c>
      <c r="GT59" t="n">
        <v>14.025</v>
      </c>
      <c r="GU59" t="n">
        <v>16.845</v>
      </c>
      <c r="GV59" t="n">
        <v>19.075</v>
      </c>
      <c r="GW59" t="n">
        <v>20.47</v>
      </c>
      <c r="GX59" t="n">
        <v>21.725</v>
      </c>
      <c r="HA59" s="35" t="n">
        <v>56</v>
      </c>
      <c r="HB59" s="35" t="n">
        <v>53</v>
      </c>
    </row>
    <row r="60" ht="15.5" customHeight="1">
      <c r="A60" s="10">
        <f>HOUR(G60)+1</f>
        <v/>
      </c>
      <c r="B60" s="7" t="n"/>
      <c r="C60" s="7" t="n"/>
      <c r="D60" s="85">
        <f>IFERROR(
IF(AND(OR(Planilla!B60="C",Planilla!B60="c"), VLOOKUP(E60,FD:FP,13,0)="C"), "OK",IF(AND(OR(Planilla!B60="C",Planilla!B60="c"), OR(VLOOKUP(E60,FD:FP,13,0)="B", VLOOKUP(E60,FD:FP,13,0)="A")), "DEFICIT",IF(
AND(OR(Planilla!B60="B", Planilla!B60="BPAL"), VLOOKUP(E60,FD:FP,13,0)="B"), "OK",IF(AND(OR(Planilla!B60="B", Planilla!B60="BPAL"), VLOOKUP(E60,FD:FP,13,0)="A"), "DEFICIT",IF(AND(OR(Planilla!B60="B", Planilla!B60="BPAL"), VLOOKUP(E60,FD:FP,13,0)="C"), "SOBREOFERTA",IF(AND(Planilla!B60="A", VLOOKUP(E60,FD:FP,13,0)="A"), "OK",IF(
AND(Planilla!B60="A", OR(VLOOKUP(E60,FD:FP,13,0)="B", VLOOKUP(E60,FD:FP,13,0)="C")), "SOBREOFERTA",""
))))))),"")</f>
        <v/>
      </c>
      <c r="E60" s="8" t="n"/>
      <c r="F60" s="86" t="n"/>
      <c r="G60" s="87" t="n"/>
      <c r="H60" s="88">
        <f>IF(I60="","",IF(AND((I60-G60)&gt;=TIME(0,0,0),(I60-G60)&lt;TIME(0,3,0)),"OK",IF(AND((I60-G60)&gt;=TIME(0,3,0),(I60-G60)&lt;TIME(0,5,0)),"RETRASO DE 3-5 MIN",IF(AND((I60-G60)&gt;=TIME(0,5,0),(I60-G60)&lt;TIME(0,10,0)),"RETRASO DE 5-10 MIN",IF((I60-G60)&gt;=TIME(0,10,0),"RETRASO &gt;10 MIN", IF(AND((G60-I60)&gt;=TIME(0,0,0),(G60-I60)&lt;TIME(0,3,0)),"OK",IF((G60-I60)&gt;=TIME(0,3,0),"ADELANTADO")))))))</f>
        <v/>
      </c>
      <c r="I60" s="89" t="n"/>
      <c r="J60" s="89">
        <f>IF(A60&lt;&gt;"",HLOOKUP(VALUE(TEXT(G60,"h:mm:ss")),IF($C$6="Laboral",$FZ$4:$GX$227,IF($C$6="Sábado",$FZ$231:$GX$452,$FZ$456:$GX$656)),VLOOKUP($C$4,$HF$2:$HH$99,3,0)+IF(C$5="Ida",0,1),1),"")</f>
        <v/>
      </c>
      <c r="K60" s="89">
        <f>IF(A61&lt;&gt;A60,AVERAGEIF(A$9:A60,A60,J$9:J60),"")</f>
        <v/>
      </c>
      <c r="L60" s="89">
        <f>IFERROR(IF(A61&lt;&gt;A60,AVERAGEIF(A$9:A60,A60,S$9:S60),""),"")</f>
        <v/>
      </c>
      <c r="M60" s="89">
        <f>IFERROR(IF(A61&lt;&gt;A60,AVERAGEIF(A$9:A60,A60,T$9:T60),""),"")</f>
        <v/>
      </c>
      <c r="N60" s="89">
        <f t="array" ref="N60">IFERROR(IF(A61&lt;&gt;A60,_xlfn.STDEV.P(IF(A$9:A60=A60,T$9:T60)),""),"")</f>
        <v/>
      </c>
      <c r="O60" s="89">
        <f t="array" ref="O60">IFERROR(IF(A61&lt;&gt;A60,_xlfn.STDEV.P(IF(A$9:A60=A60,S$9:S60)),""),"")</f>
        <v/>
      </c>
      <c r="P60" s="90">
        <f>IFERROR(IF(A60&lt;&gt;A61,MAX((((M60*24*60)/2)*(1+POWER((((N60*24*60) / (M60*24*60) )),2))) + ((M60*24*60 )*-0.1 + (K60*0.015)) +1,(((M60*24*60)/2)*(1+POWER((((N60*24*60) / (M60*24*60 ))),2)))),""),"")</f>
        <v/>
      </c>
      <c r="Q60" s="90">
        <f>IF(AND(O60&lt;&gt;"",L60&lt;&gt;""),IF(A60&lt;&gt;A61,((L60*24*60) / 2 ) * (1 + POWER(((O60*24*60) / (L60*24*60)),2)),""),"")</f>
        <v/>
      </c>
      <c r="R60" s="90">
        <f>IF(Q60&lt;&gt;"",MAX(P60,Q60),"")</f>
        <v/>
      </c>
      <c r="S60" s="89">
        <f>IF(I60&lt;&gt;"H. Sale Real",IF(AND(I61&lt;&gt;"",LEFT(C61,2)&lt;&gt;"Va"),IF(AND(I60&lt;&gt;"",LEFT(C60,2)&lt;&gt;"Va",I60&lt;&gt;"H. Sale Real"),IF(I61-I60&lt;0.208333333333333,I61-I60,""),IF(AND(I59&lt;&gt;"",LEFT(C59,2)&lt;&gt;"Va",I59&lt;&gt;"H. Sale Real"),IF(I61-I59&lt;0.208333333333333,I61-I59,""),IF(AND(I58&lt;&gt;"",LEFT(C58,2)&lt;&gt;"Va",I58&lt;&gt;"H. Sale Real"),IF(I61-I58&lt;0.208333333333333,I61-I58,""),IF(AND(I57&lt;&gt;"",LEFT(C57,2)&lt;&gt;"Va",I57&lt;&gt;"H. Sale Real"),IF(I61-I57&lt;0.208333333333333,I61-I57,""),IF(AND(I56&lt;&gt;"",LEFT(C56,2)&lt;&gt;"Va",I56&lt;&gt;"H. Sale Real"),IF(I61-I56&lt;0.208333333333333,I61-I56,""),""))))),""),"")</f>
        <v/>
      </c>
      <c r="T60" s="89">
        <f>IF(G60&lt;&gt;"H. Sale Real",IF(AND(G61&lt;&gt;"",LEFT(C61,2)&lt;&gt;"Va"),IF(AND(G60&lt;&gt;"",LEFT(C60,2)&lt;&gt;"Va",G60&lt;&gt;"H. Sale Real"),IF(G61-G60&lt;0.208333333333333,G61-G60,""),IF(AND(G59&lt;&gt;"",LEFT(C59,2)&lt;&gt;"Va",G59&lt;&gt;"H. Sale Real"),IF(G61-G59&lt;0.208333333333333,G61-G59,""),IF(AND(G58&lt;&gt;"",LEFT(C58,2)&lt;&gt;"Va",G58&lt;&gt;"H. Sale Real"),IF(G61-G58&lt;0.208333333333333,G61-G58,""),IF(AND(G57&lt;&gt;"",LEFT(C57,2)&lt;&gt;"Va",G57&lt;&gt;"H. Sale Real"),IF(G61-G57&lt;0.208333333333333,G61-G57,""),IF(AND(G56&lt;&gt;"",LEFT(C56,2)&lt;&gt;"Va",G56&lt;&gt;"H. Sale Real"),IF(G61-G56&lt;0.208333333333333,G61-G56,""),""))))),""),"")</f>
        <v/>
      </c>
      <c r="U60" s="87" t="n"/>
      <c r="V60" s="89" t="n"/>
      <c r="W60" s="87" t="n"/>
      <c r="X60" s="89" t="n"/>
      <c r="Y60" s="91" t="n"/>
      <c r="Z60" s="122">
        <f>IF(G60&lt;&gt;"",IF(AND(Z59&lt;&gt;"IE",P60&lt;&gt;0,R60&lt;&gt;""),IF(IFERROR((P60/R60),0) &lt;=1,IFERROR(P60/R60,""),1),""),"")</f>
        <v/>
      </c>
      <c r="AA60" s="93" t="n"/>
      <c r="AB60" s="2" t="n"/>
      <c r="AE60" s="10">
        <f>HOUR(AK60)+1</f>
        <v/>
      </c>
      <c r="AF60" s="7" t="n"/>
      <c r="AG60" s="7" t="n"/>
      <c r="AH60" s="86" t="n"/>
      <c r="AI60" s="8" t="n"/>
      <c r="AJ60" s="86" t="n"/>
      <c r="AK60" s="87" t="n"/>
      <c r="AL60" s="88">
        <f>IF(AM60="","",IF(AND((AM60-AK60)&gt;=TIME(0,0,0),(AM60-AK60)&lt;TIME(0,3,0)),"OK",IF(AND((AM60-AK60)&gt;=TIME(0,3,0),(AM60-AK60)&lt;TIME(0,5,0)),"RETRASO DE 3-5 MIN",IF(AND((AM60-AK60)&gt;=TIME(0,5,0),(AM60-AK60)&lt;TIME(0,10,0)),"RETRASO DE 5-10 MIN",IF((AM60-AK60)&gt;=TIME(0,10,0),"RETRASO &gt;10 MIN", IF(AND((AK60-AM60)&gt;=TIME(0,0,0),(AK60-AM60)&lt;TIME(0,3,0)),"OK",IF((AK60-AM60)&gt;=TIME(0,3,0),"ADELANTADO")))))))</f>
        <v/>
      </c>
      <c r="AM60" s="91" t="n"/>
      <c r="AN60" s="89">
        <f>IF(AE60&lt;&gt;"",HLOOKUP(VALUE(TEXT(AK60,"h:mm:ss")),IF($C$6="Laboral",$FZ$4:$GX$227,IF($C$6="Sábado",$FZ$231:$GX$452,$FZ$456:$GX$656)),VLOOKUP($C$4,$HF$2:$HH$99,3,0)+IF(AG$5="Ida",0,1),1),"")</f>
        <v/>
      </c>
      <c r="AO60" s="89">
        <f>IF(AE61&lt;&gt;AE60,AVERAGEIF(AE$9:AE60,AE60,AN$9:AN60),"")</f>
        <v/>
      </c>
      <c r="AP60" s="89">
        <f>IFERROR(IF(AE61&lt;&gt;AE60,AVERAGEIF(AE$9:AE60,AE60,AW$9:AW60),""),"")</f>
        <v/>
      </c>
      <c r="AQ60" s="89">
        <f>IFERROR(IF(AE61&lt;&gt;AE60,AVERAGEIF(AE$9:AE60,AE60,AX$9:AX60),""),"")</f>
        <v/>
      </c>
      <c r="AR60" s="89">
        <f t="array" ref="AR60">IFERROR(IF(AE61&lt;&gt;AE60,_xlfn.STDEV.P(IF(AE$9:AE60=AE60,AX$9:AX60)),""),"")</f>
        <v/>
      </c>
      <c r="AS60" s="89">
        <f t="array" ref="AS60">IFERROR(IF(AE61&lt;&gt;AE60,_xlfn.STDEV.P(IF(AE$9:AE60=AE60,AW$9:AW60)),""),"")</f>
        <v/>
      </c>
      <c r="AT60" s="90">
        <f>IFERROR(IF(AE60&lt;&gt;AE61,MAX((((AQ60*24*60)/2)*(1+POWER((((AR60*24*60) / (AQ60*24*60) )),2))) + ((AQ60*24*60 )*-0.1 + (AO60*0.015)) +1,(((AQ60*24*60)/2)*(1+POWER((((AR60*24*60) / (AQ60*24*60 ))),2)))),""),"")</f>
        <v/>
      </c>
      <c r="AU60" s="90">
        <f>IF(AND(AS60&lt;&gt;"",AP60&lt;&gt;""),IF(AE60&lt;&gt;AE61,((AP60*24*60) / 2 ) * (1 + POWER(((AS60*24*60) / (AP60*24*60)),2)),""),"")</f>
        <v/>
      </c>
      <c r="AV60" s="90">
        <f>IF(AU60&lt;&gt;"",MAX(AT60,AU60),"")</f>
        <v/>
      </c>
      <c r="AW60" s="89">
        <f>IF(AM60&lt;&gt;"H. Sale Real",IF(AND(AM61&lt;&gt;"",LEFT(AG61,2)&lt;&gt;"Va"),IF(AND(AM60&lt;&gt;"",LEFT(AG60,2)&lt;&gt;"Va",AM60&lt;&gt;"H. Sale Real"),IF(AM61-AM60&lt;0.208333333333333,AM61-AM60,""),IF(AND(AM59&lt;&gt;"",LEFT(AG59,2)&lt;&gt;"Va",AM59&lt;&gt;"H. Sale Real"),IF(AM61-AM59&lt;0.208333333333333,AM61-AM59,""),IF(AND(AM58&lt;&gt;"",LEFT(AG58,2)&lt;&gt;"Va",AM58&lt;&gt;"H. Sale Real"),IF(AM61-AM58&lt;0.208333333333333,AM61-AM58,""),IF(AND(AM57&lt;&gt;"",LEFT(AG57,2)&lt;&gt;"Va",AM57&lt;&gt;"H. Sale Real"),IF(AM61-AM57&lt;0.208333333333333,AM61-AM57,""),IF(AND(AM56&lt;&gt;"",LEFT(AG56,2)&lt;&gt;"Va",AM56&lt;&gt;"H. Sale Real"),IF(AM61-AM56&lt;0.208333333333333,AM61-AM56,""),""))))),""),"")</f>
        <v/>
      </c>
      <c r="AX60" s="89">
        <f>IF(AK60&lt;&gt;"H. Sale Real",IF(AND(AK61&lt;&gt;"",LEFT(AG61,2)&lt;&gt;"Va"),IF(AND(AK60&lt;&gt;"",LEFT(AG60,2)&lt;&gt;"Va",AK60&lt;&gt;"H. Sale Real"),IF(AK61-AK60&lt;0.208333333333333,AK61-AK60,""),IF(AND(AK59&lt;&gt;"",LEFT(AG59,2)&lt;&gt;"Va",AK59&lt;&gt;"H. Sale Real"),IF(AK61-AK59&lt;0.208333333333333,AK61-AK59,""),IF(AND(AK58&lt;&gt;"",LEFT(AG58,2)&lt;&gt;"NC",AK58&lt;&gt;"H. Sale Real"),IF(AK61-AK58&lt;0.208333333333333,AK61-AK58,""),IF(AND(AK57&lt;&gt;"",LEFT(AG57,2)&lt;&gt;"Va",AK57&lt;&gt;"H. Sale Real"),IF(AK61-AK57&lt;0.208333333333333,AK61-AK57,""),IF(AND(AK56&lt;&gt;"",LEFT(AG56,2)&lt;&gt;"Va",AK56&lt;&gt;"H. Sale Real"),IF(AK61-AK56&lt;0.208333333333333,AK61-AK56,""),""))))),""),"")</f>
        <v/>
      </c>
      <c r="AY60" s="87" t="n"/>
      <c r="AZ60" s="89" t="n"/>
      <c r="BA60" s="87" t="n"/>
      <c r="BB60" s="89" t="n"/>
      <c r="BC60" s="91" t="n"/>
      <c r="BD60" s="122">
        <f>IF(AK60&lt;&gt;"",IF(AND(BD59&lt;&gt;"IE",AT60&lt;&gt;0,AV60&lt;&gt;""),IF(IFERROR((AT60/AV60),0) &lt;=1,IFERROR(AT60/AV60,""),1),""),"")</f>
        <v/>
      </c>
      <c r="BE60" s="93" t="n"/>
      <c r="BF60" s="105" t="n"/>
      <c r="FC60" t="inlineStr">
        <is>
          <t>Diccionario 1</t>
        </is>
      </c>
      <c r="FD60" s="15" t="n">
        <v>1057</v>
      </c>
      <c r="FE60" s="15" t="inlineStr">
        <is>
          <t>D8481955K2PL</t>
        </is>
      </c>
      <c r="FF60" s="15" t="inlineStr">
        <is>
          <t>YV3T7U522KA195270</t>
        </is>
      </c>
      <c r="FG60" s="15" t="inlineStr">
        <is>
          <t>Volvo</t>
        </is>
      </c>
      <c r="FH60" s="15" t="inlineStr">
        <is>
          <t>B8R</t>
        </is>
      </c>
      <c r="FI60" s="15" t="inlineStr">
        <is>
          <t>MARCOPOLO</t>
        </is>
      </c>
      <c r="FJ60" s="15" t="inlineStr">
        <is>
          <t>TORINO</t>
        </is>
      </c>
      <c r="FK60" s="15" t="n">
        <v>2019</v>
      </c>
      <c r="FL60" s="15" t="inlineStr">
        <is>
          <t>B2PAL</t>
        </is>
      </c>
      <c r="FM60" s="15" t="inlineStr">
        <is>
          <t>LOS LIBERTADORES</t>
        </is>
      </c>
      <c r="FN60" s="15" t="inlineStr">
        <is>
          <t>Los Liberadores 6450, Lote 4A</t>
        </is>
      </c>
      <c r="FO60" s="15" t="inlineStr">
        <is>
          <t>Huechuraba</t>
        </is>
      </c>
      <c r="FP60" t="inlineStr">
        <is>
          <t>B</t>
        </is>
      </c>
      <c r="FS60" s="14" t="inlineStr">
        <is>
          <t>3016 / SFWB-28|</t>
        </is>
      </c>
      <c r="FT60" t="inlineStr">
        <is>
          <t>SFWB-28|</t>
        </is>
      </c>
      <c r="FU60" t="inlineStr">
        <is>
          <t>SFWB-28</t>
        </is>
      </c>
      <c r="FV60">
        <f>VLOOKUP(FU60,FD:FL,9,0)</f>
        <v/>
      </c>
      <c r="FZ60" s="51" t="inlineStr">
        <is>
          <t>F12c</t>
        </is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8.895</v>
      </c>
      <c r="GG60" t="n">
        <v>16.76</v>
      </c>
      <c r="GH60" t="n">
        <v>13.78</v>
      </c>
      <c r="GI60" t="n">
        <v>15.335</v>
      </c>
      <c r="GJ60" t="n">
        <v>17.365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7.315</v>
      </c>
      <c r="GS60" t="n">
        <v>15.01</v>
      </c>
      <c r="GT60" t="n">
        <v>16.99</v>
      </c>
      <c r="GU60" t="n">
        <v>18.27</v>
      </c>
      <c r="GV60" t="n">
        <v>19.74</v>
      </c>
      <c r="GW60" t="n">
        <v>0</v>
      </c>
      <c r="GX60" t="n">
        <v>0</v>
      </c>
      <c r="HA60" s="35" t="n">
        <v>57</v>
      </c>
      <c r="HB60" s="35" t="n">
        <v>54</v>
      </c>
    </row>
    <row r="61" ht="15.5" customHeight="1">
      <c r="A61" s="10">
        <f>HOUR(G61)+1</f>
        <v/>
      </c>
      <c r="B61" s="7" t="n"/>
      <c r="C61" s="7" t="n"/>
      <c r="D61" s="85">
        <f>IFERROR(
IF(AND(OR(Planilla!B61="C",Planilla!B61="c"), VLOOKUP(E61,FD:FP,13,0)="C"), "OK",IF(AND(OR(Planilla!B61="C",Planilla!B61="c"), OR(VLOOKUP(E61,FD:FP,13,0)="B", VLOOKUP(E61,FD:FP,13,0)="A")), "DEFICIT",IF(
AND(OR(Planilla!B61="B", Planilla!B61="BPAL"), VLOOKUP(E61,FD:FP,13,0)="B"), "OK",IF(AND(OR(Planilla!B61="B", Planilla!B61="BPAL"), VLOOKUP(E61,FD:FP,13,0)="A"), "DEFICIT",IF(AND(OR(Planilla!B61="B", Planilla!B61="BPAL"), VLOOKUP(E61,FD:FP,13,0)="C"), "SOBREOFERTA",IF(AND(Planilla!B61="A", VLOOKUP(E61,FD:FP,13,0)="A"), "OK",IF(
AND(Planilla!B61="A", OR(VLOOKUP(E61,FD:FP,13,0)="B", VLOOKUP(E61,FD:FP,13,0)="C")), "SOBREOFERTA",""
))))))),"")</f>
        <v/>
      </c>
      <c r="E61" s="8" t="n"/>
      <c r="F61" s="86" t="n"/>
      <c r="G61" s="87" t="n"/>
      <c r="H61" s="88">
        <f>IF(I61="","",IF(AND((I61-G61)&gt;=TIME(0,0,0),(I61-G61)&lt;TIME(0,3,0)),"OK",IF(AND((I61-G61)&gt;=TIME(0,3,0),(I61-G61)&lt;TIME(0,5,0)),"RETRASO DE 3-5 MIN",IF(AND((I61-G61)&gt;=TIME(0,5,0),(I61-G61)&lt;TIME(0,10,0)),"RETRASO DE 5-10 MIN",IF((I61-G61)&gt;=TIME(0,10,0),"RETRASO &gt;10 MIN", IF(AND((G61-I61)&gt;=TIME(0,0,0),(G61-I61)&lt;TIME(0,3,0)),"OK",IF((G61-I61)&gt;=TIME(0,3,0),"ADELANTADO")))))))</f>
        <v/>
      </c>
      <c r="I61" s="89" t="n"/>
      <c r="J61" s="89">
        <f>IF(A61&lt;&gt;"",HLOOKUP(VALUE(TEXT(G61,"h:mm:ss")),IF($C$6="Laboral",$FZ$4:$GX$227,IF($C$6="Sábado",$FZ$231:$GX$452,$FZ$456:$GX$656)),VLOOKUP($C$4,$HF$2:$HH$99,3,0)+IF(C$5="Ida",0,1),1),"")</f>
        <v/>
      </c>
      <c r="K61" s="89">
        <f>IF(A62&lt;&gt;A61,AVERAGEIF(A$9:A61,A61,J$9:J61),"")</f>
        <v/>
      </c>
      <c r="L61" s="89">
        <f>IFERROR(IF(A62&lt;&gt;A61,AVERAGEIF(A$9:A61,A61,S$9:S61),""),"")</f>
        <v/>
      </c>
      <c r="M61" s="89">
        <f>IFERROR(IF(A62&lt;&gt;A61,AVERAGEIF(A$9:A61,A61,T$9:T61),""),"")</f>
        <v/>
      </c>
      <c r="N61" s="89">
        <f t="array" ref="N61">IFERROR(IF(A62&lt;&gt;A61,_xlfn.STDEV.P(IF(A$9:A61=A61,T$9:T61)),""),"")</f>
        <v/>
      </c>
      <c r="O61" s="89">
        <f t="array" ref="O61">IFERROR(IF(A62&lt;&gt;A61,_xlfn.STDEV.P(IF(A$9:A61=A61,S$9:S61)),""),"")</f>
        <v/>
      </c>
      <c r="P61" s="90">
        <f>IFERROR(IF(A61&lt;&gt;A62,MAX((((M61*24*60)/2)*(1+POWER((((N61*24*60) / (M61*24*60) )),2))) + ((M61*24*60 )*-0.1 + (K61*0.015)) +1,(((M61*24*60)/2)*(1+POWER((((N61*24*60) / (M61*24*60 ))),2)))),""),"")</f>
        <v/>
      </c>
      <c r="Q61" s="90">
        <f>IF(AND(O61&lt;&gt;"",L61&lt;&gt;""),IF(A61&lt;&gt;A62,((L61*24*60) / 2 ) * (1 + POWER(((O61*24*60) / (L61*24*60)),2)),""),"")</f>
        <v/>
      </c>
      <c r="R61" s="90">
        <f>IF(Q61&lt;&gt;"",MAX(P61,Q61),"")</f>
        <v/>
      </c>
      <c r="S61" s="89">
        <f>IF(I61&lt;&gt;"H. Sale Real",IF(AND(I62&lt;&gt;"",LEFT(C62,2)&lt;&gt;"Va"),IF(AND(I61&lt;&gt;"",LEFT(C61,2)&lt;&gt;"Va",I61&lt;&gt;"H. Sale Real"),IF(I62-I61&lt;0.208333333333333,I62-I61,""),IF(AND(I60&lt;&gt;"",LEFT(C60,2)&lt;&gt;"Va",I60&lt;&gt;"H. Sale Real"),IF(I62-I60&lt;0.208333333333333,I62-I60,""),IF(AND(I59&lt;&gt;"",LEFT(C59,2)&lt;&gt;"Va",I59&lt;&gt;"H. Sale Real"),IF(I62-I59&lt;0.208333333333333,I62-I59,""),IF(AND(I58&lt;&gt;"",LEFT(C58,2)&lt;&gt;"Va",I58&lt;&gt;"H. Sale Real"),IF(I62-I58&lt;0.208333333333333,I62-I58,""),IF(AND(I57&lt;&gt;"",LEFT(C57,2)&lt;&gt;"Va",I57&lt;&gt;"H. Sale Real"),IF(I62-I57&lt;0.208333333333333,I62-I57,""),""))))),""),"")</f>
        <v/>
      </c>
      <c r="T61" s="89">
        <f>IF(G61&lt;&gt;"H. Sale Real",IF(AND(G62&lt;&gt;"",LEFT(C62,2)&lt;&gt;"Va"),IF(AND(G61&lt;&gt;"",LEFT(C61,2)&lt;&gt;"Va",G61&lt;&gt;"H. Sale Real"),IF(G62-G61&lt;0.208333333333333,G62-G61,""),IF(AND(G60&lt;&gt;"",LEFT(C60,2)&lt;&gt;"Va",G60&lt;&gt;"H. Sale Real"),IF(G62-G60&lt;0.208333333333333,G62-G60,""),IF(AND(G59&lt;&gt;"",LEFT(C59,2)&lt;&gt;"Va",G59&lt;&gt;"H. Sale Real"),IF(G62-G59&lt;0.208333333333333,G62-G59,""),IF(AND(G58&lt;&gt;"",LEFT(C58,2)&lt;&gt;"Va",G58&lt;&gt;"H. Sale Real"),IF(G62-G58&lt;0.208333333333333,G62-G58,""),IF(AND(G57&lt;&gt;"",LEFT(C57,2)&lt;&gt;"Va",G57&lt;&gt;"H. Sale Real"),IF(G62-G57&lt;0.208333333333333,G62-G57,""),""))))),""),"")</f>
        <v/>
      </c>
      <c r="U61" s="87" t="n"/>
      <c r="V61" s="89" t="n"/>
      <c r="W61" s="87" t="n"/>
      <c r="X61" s="89" t="n"/>
      <c r="Y61" s="91" t="n"/>
      <c r="Z61" s="122">
        <f>IF(G61&lt;&gt;"",IF(AND(Z60&lt;&gt;"IE",P61&lt;&gt;0,R61&lt;&gt;""),IF(IFERROR((P61/R61),0) &lt;=1,IFERROR(P61/R61,""),1),""),"")</f>
        <v/>
      </c>
      <c r="AA61" s="93" t="n"/>
      <c r="AB61" s="2" t="n"/>
      <c r="AE61" s="10">
        <f>HOUR(AK61)+1</f>
        <v/>
      </c>
      <c r="AF61" s="7" t="n"/>
      <c r="AG61" s="7" t="n"/>
      <c r="AH61" s="86" t="n"/>
      <c r="AI61" s="8" t="n"/>
      <c r="AJ61" s="86" t="n"/>
      <c r="AK61" s="87" t="n"/>
      <c r="AL61" s="88">
        <f>IF(AM61="","",IF(AND((AM61-AK61)&gt;=TIME(0,0,0),(AM61-AK61)&lt;TIME(0,3,0)),"OK",IF(AND((AM61-AK61)&gt;=TIME(0,3,0),(AM61-AK61)&lt;TIME(0,5,0)),"RETRASO DE 3-5 MIN",IF(AND((AM61-AK61)&gt;=TIME(0,5,0),(AM61-AK61)&lt;TIME(0,10,0)),"RETRASO DE 5-10 MIN",IF((AM61-AK61)&gt;=TIME(0,10,0),"RETRASO &gt;10 MIN", IF(AND((AK61-AM61)&gt;=TIME(0,0,0),(AK61-AM61)&lt;TIME(0,3,0)),"OK",IF((AK61-AM61)&gt;=TIME(0,3,0),"ADELANTADO")))))))</f>
        <v/>
      </c>
      <c r="AM61" s="91" t="n"/>
      <c r="AN61" s="89">
        <f>IF(AE61&lt;&gt;"",HLOOKUP(VALUE(TEXT(AK61,"h:mm:ss")),IF($C$6="Laboral",$FZ$4:$GX$227,IF($C$6="Sábado",$FZ$231:$GX$452,$FZ$456:$GX$656)),VLOOKUP($C$4,$HF$2:$HH$99,3,0)+IF(AG$5="Ida",0,1),1),"")</f>
        <v/>
      </c>
      <c r="AO61" s="89">
        <f>IF(AE62&lt;&gt;AE61,AVERAGEIF(AE$9:AE61,AE61,AN$9:AN61),"")</f>
        <v/>
      </c>
      <c r="AP61" s="89">
        <f>IFERROR(IF(AE62&lt;&gt;AE61,AVERAGEIF(AE$9:AE61,AE61,AW$9:AW61),""),"")</f>
        <v/>
      </c>
      <c r="AQ61" s="89">
        <f>IFERROR(IF(AE62&lt;&gt;AE61,AVERAGEIF(AE$9:AE61,AE61,AX$9:AX61),""),"")</f>
        <v/>
      </c>
      <c r="AR61" s="89">
        <f t="array" ref="AR61">IFERROR(IF(AE62&lt;&gt;AE61,_xlfn.STDEV.P(IF(AE$9:AE61=AE61,AX$9:AX61)),""),"")</f>
        <v/>
      </c>
      <c r="AS61" s="89">
        <f t="array" ref="AS61">IFERROR(IF(AE62&lt;&gt;AE61,_xlfn.STDEV.P(IF(AE$9:AE61=AE61,AW$9:AW61)),""),"")</f>
        <v/>
      </c>
      <c r="AT61" s="90">
        <f>IFERROR(IF(AE61&lt;&gt;AE62,MAX((((AQ61*24*60)/2)*(1+POWER((((AR61*24*60) / (AQ61*24*60) )),2))) + ((AQ61*24*60 )*-0.1 + (AO61*0.015)) +1,(((AQ61*24*60)/2)*(1+POWER((((AR61*24*60) / (AQ61*24*60 ))),2)))),""),"")</f>
        <v/>
      </c>
      <c r="AU61" s="90">
        <f>IF(AND(AS61&lt;&gt;"",AP61&lt;&gt;""),IF(AE61&lt;&gt;AE62,((AP61*24*60) / 2 ) * (1 + POWER(((AS61*24*60) / (AP61*24*60)),2)),""),"")</f>
        <v/>
      </c>
      <c r="AV61" s="90">
        <f>IF(AU61&lt;&gt;"",MAX(AT61,AU61),"")</f>
        <v/>
      </c>
      <c r="AW61" s="89">
        <f>IF(AM61&lt;&gt;"H. Sale Real",IF(AND(AM62&lt;&gt;"",LEFT(AG62,2)&lt;&gt;"Va"),IF(AND(AM61&lt;&gt;"",LEFT(AG61,2)&lt;&gt;"Va",AM61&lt;&gt;"H. Sale Real"),IF(AM62-AM61&lt;0.208333333333333,AM62-AM61,""),IF(AND(AM60&lt;&gt;"",LEFT(AG60,2)&lt;&gt;"Va",AM60&lt;&gt;"H. Sale Real"),IF(AM62-AM60&lt;0.208333333333333,AM62-AM60,""),IF(AND(AM59&lt;&gt;"",LEFT(AG59,2)&lt;&gt;"Va",AM59&lt;&gt;"H. Sale Real"),IF(AM62-AM59&lt;0.208333333333333,AM62-AM59,""),IF(AND(AM58&lt;&gt;"",LEFT(AG58,2)&lt;&gt;"Va",AM58&lt;&gt;"H. Sale Real"),IF(AM62-AM58&lt;0.208333333333333,AM62-AM58,""),IF(AND(AM57&lt;&gt;"",LEFT(AG57,2)&lt;&gt;"Va",AM57&lt;&gt;"H. Sale Real"),IF(AM62-AM57&lt;0.208333333333333,AM62-AM57,""),""))))),""),"")</f>
        <v/>
      </c>
      <c r="AX61" s="89">
        <f>IF(AK61&lt;&gt;"H. Sale Real",IF(AND(AK62&lt;&gt;"",LEFT(AG62,2)&lt;&gt;"Va"),IF(AND(AK61&lt;&gt;"",LEFT(AG61,2)&lt;&gt;"Va",AK61&lt;&gt;"H. Sale Real"),IF(AK62-AK61&lt;0.208333333333333,AK62-AK61,""),IF(AND(AK60&lt;&gt;"",LEFT(AG60,2)&lt;&gt;"Va",AK60&lt;&gt;"H. Sale Real"),IF(AK62-AK60&lt;0.208333333333333,AK62-AK60,""),IF(AND(AK59&lt;&gt;"",LEFT(AG59,2)&lt;&gt;"NC",AK59&lt;&gt;"H. Sale Real"),IF(AK62-AK59&lt;0.208333333333333,AK62-AK59,""),IF(AND(AK58&lt;&gt;"",LEFT(AG58,2)&lt;&gt;"Va",AK58&lt;&gt;"H. Sale Real"),IF(AK62-AK58&lt;0.208333333333333,AK62-AK58,""),IF(AND(AK57&lt;&gt;"",LEFT(AG57,2)&lt;&gt;"Va",AK57&lt;&gt;"H. Sale Real"),IF(AK62-AK57&lt;0.208333333333333,AK62-AK57,""),""))))),""),"")</f>
        <v/>
      </c>
      <c r="AY61" s="87" t="n"/>
      <c r="AZ61" s="89" t="n"/>
      <c r="BA61" s="87" t="n"/>
      <c r="BB61" s="89" t="n"/>
      <c r="BC61" s="91" t="n"/>
      <c r="BD61" s="122">
        <f>IF(AK61&lt;&gt;"",IF(AND(BD60&lt;&gt;"IE",AT61&lt;&gt;0,AV61&lt;&gt;""),IF(IFERROR((AT61/AV61),0) &lt;=1,IFERROR(AT61/AV61,""),1),""),"")</f>
        <v/>
      </c>
      <c r="BE61" s="93" t="n"/>
      <c r="BF61" s="105" t="n"/>
      <c r="FC61" t="inlineStr">
        <is>
          <t>Diccionario 1</t>
        </is>
      </c>
      <c r="FD61" s="15" t="n">
        <v>1058</v>
      </c>
      <c r="FE61" s="15" t="inlineStr">
        <is>
          <t>D8482733K2PL</t>
        </is>
      </c>
      <c r="FF61" s="15" t="inlineStr">
        <is>
          <t>YV3T7U524KA195299</t>
        </is>
      </c>
      <c r="FG61" s="15" t="inlineStr">
        <is>
          <t>Volvo</t>
        </is>
      </c>
      <c r="FH61" s="15" t="inlineStr">
        <is>
          <t>B8R</t>
        </is>
      </c>
      <c r="FI61" s="15" t="inlineStr">
        <is>
          <t>MARCOPOLO</t>
        </is>
      </c>
      <c r="FJ61" s="15" t="inlineStr">
        <is>
          <t>TORINO</t>
        </is>
      </c>
      <c r="FK61" s="15" t="n">
        <v>2019</v>
      </c>
      <c r="FL61" s="15" t="inlineStr">
        <is>
          <t>B2PAL</t>
        </is>
      </c>
      <c r="FM61" s="15" t="inlineStr">
        <is>
          <t>LOS LIBERTADORES</t>
        </is>
      </c>
      <c r="FN61" s="15" t="inlineStr">
        <is>
          <t>Los Liberadores 6450, Lote 4A</t>
        </is>
      </c>
      <c r="FO61" s="15" t="inlineStr">
        <is>
          <t>Huechuraba</t>
        </is>
      </c>
      <c r="FP61" t="inlineStr">
        <is>
          <t>B</t>
        </is>
      </c>
      <c r="FS61" s="14" t="inlineStr">
        <is>
          <t>3016 / SFWB-28|</t>
        </is>
      </c>
      <c r="FT61" t="inlineStr">
        <is>
          <t>SFWB-28|</t>
        </is>
      </c>
      <c r="FU61" t="inlineStr">
        <is>
          <t>SFWB-28</t>
        </is>
      </c>
      <c r="FV61">
        <f>VLOOKUP(FU61,FD:FL,9,0)</f>
        <v/>
      </c>
      <c r="FZ61" s="51" t="inlineStr">
        <is>
          <t>F12c</t>
        </is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20.165</v>
      </c>
      <c r="GH61" t="n">
        <v>16.95</v>
      </c>
      <c r="GI61" t="n">
        <v>16.86</v>
      </c>
      <c r="GJ61" t="n">
        <v>17.71</v>
      </c>
      <c r="GK61" t="n">
        <v>17.72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6.49</v>
      </c>
      <c r="GS61" t="n">
        <v>13.39</v>
      </c>
      <c r="GT61" t="n">
        <v>14.26</v>
      </c>
      <c r="GU61" t="n">
        <v>16.305</v>
      </c>
      <c r="GV61" t="n">
        <v>17.94</v>
      </c>
      <c r="GW61" t="n">
        <v>0</v>
      </c>
      <c r="GX61" t="n">
        <v>0</v>
      </c>
      <c r="HA61" s="35" t="n">
        <v>58</v>
      </c>
      <c r="HB61" s="35" t="n">
        <v>55</v>
      </c>
    </row>
    <row r="62" ht="15.5" customHeight="1">
      <c r="A62" s="10">
        <f>HOUR(G62)+1</f>
        <v/>
      </c>
      <c r="B62" s="7" t="n"/>
      <c r="C62" s="7" t="n"/>
      <c r="D62" s="85">
        <f>IFERROR(
IF(AND(OR(Planilla!B62="C",Planilla!B62="c"), VLOOKUP(E62,FD:FP,13,0)="C"), "OK",IF(AND(OR(Planilla!B62="C",Planilla!B62="c"), OR(VLOOKUP(E62,FD:FP,13,0)="B", VLOOKUP(E62,FD:FP,13,0)="A")), "DEFICIT",IF(
AND(OR(Planilla!B62="B", Planilla!B62="BPAL"), VLOOKUP(E62,FD:FP,13,0)="B"), "OK",IF(AND(OR(Planilla!B62="B", Planilla!B62="BPAL"), VLOOKUP(E62,FD:FP,13,0)="A"), "DEFICIT",IF(AND(OR(Planilla!B62="B", Planilla!B62="BPAL"), VLOOKUP(E62,FD:FP,13,0)="C"), "SOBREOFERTA",IF(AND(Planilla!B62="A", VLOOKUP(E62,FD:FP,13,0)="A"), "OK",IF(
AND(Planilla!B62="A", OR(VLOOKUP(E62,FD:FP,13,0)="B", VLOOKUP(E62,FD:FP,13,0)="C")), "SOBREOFERTA",""
))))))),"")</f>
        <v/>
      </c>
      <c r="E62" s="8" t="n"/>
      <c r="F62" s="86" t="n"/>
      <c r="G62" s="87" t="n"/>
      <c r="H62" s="88">
        <f>IF(I62="","",IF(AND((I62-G62)&gt;=TIME(0,0,0),(I62-G62)&lt;TIME(0,3,0)),"OK",IF(AND((I62-G62)&gt;=TIME(0,3,0),(I62-G62)&lt;TIME(0,5,0)),"RETRASO DE 3-5 MIN",IF(AND((I62-G62)&gt;=TIME(0,5,0),(I62-G62)&lt;TIME(0,10,0)),"RETRASO DE 5-10 MIN",IF((I62-G62)&gt;=TIME(0,10,0),"RETRASO &gt;10 MIN", IF(AND((G62-I62)&gt;=TIME(0,0,0),(G62-I62)&lt;TIME(0,3,0)),"OK",IF((G62-I62)&gt;=TIME(0,3,0),"ADELANTADO")))))))</f>
        <v/>
      </c>
      <c r="I62" s="89" t="n"/>
      <c r="J62" s="89">
        <f>IF(A62&lt;&gt;"",HLOOKUP(VALUE(TEXT(G62,"h:mm:ss")),IF($C$6="Laboral",$FZ$4:$GX$227,IF($C$6="Sábado",$FZ$231:$GX$452,$FZ$456:$GX$656)),VLOOKUP($C$4,$HF$2:$HH$99,3,0)+IF(C$5="Ida",0,1),1),"")</f>
        <v/>
      </c>
      <c r="K62" s="89">
        <f>IF(A63&lt;&gt;A62,AVERAGEIF(A$9:A62,A62,J$9:J62),"")</f>
        <v/>
      </c>
      <c r="L62" s="89">
        <f>IFERROR(IF(A63&lt;&gt;A62,AVERAGEIF(A$9:A62,A62,S$9:S62),""),"")</f>
        <v/>
      </c>
      <c r="M62" s="89">
        <f>IFERROR(IF(A63&lt;&gt;A62,AVERAGEIF(A$9:A62,A62,T$9:T62),""),"")</f>
        <v/>
      </c>
      <c r="N62" s="89">
        <f t="array" ref="N62">IFERROR(IF(A63&lt;&gt;A62,_xlfn.STDEV.P(IF(A$9:A62=A62,T$9:T62)),""),"")</f>
        <v/>
      </c>
      <c r="O62" s="89">
        <f t="array" ref="O62">IFERROR(IF(A63&lt;&gt;A62,_xlfn.STDEV.P(IF(A$9:A62=A62,S$9:S62)),""),"")</f>
        <v/>
      </c>
      <c r="P62" s="90">
        <f>IFERROR(IF(A62&lt;&gt;A63,MAX((((M62*24*60)/2)*(1+POWER((((N62*24*60) / (M62*24*60) )),2))) + ((M62*24*60 )*-0.1 + (K62*0.015)) +1,(((M62*24*60)/2)*(1+POWER((((N62*24*60) / (M62*24*60 ))),2)))),""),"")</f>
        <v/>
      </c>
      <c r="Q62" s="90">
        <f>IF(AND(O62&lt;&gt;"",L62&lt;&gt;""),IF(A62&lt;&gt;A63,((L62*24*60) / 2 ) * (1 + POWER(((O62*24*60) / (L62*24*60)),2)),""),"")</f>
        <v/>
      </c>
      <c r="R62" s="90">
        <f>IF(Q62&lt;&gt;"",MAX(P62,Q62),"")</f>
        <v/>
      </c>
      <c r="S62" s="89">
        <f>IF(I62&lt;&gt;"H. Sale Real",IF(AND(I63&lt;&gt;"",LEFT(C63,2)&lt;&gt;"Va"),IF(AND(I62&lt;&gt;"",LEFT(C62,2)&lt;&gt;"Va",I62&lt;&gt;"H. Sale Real"),IF(I63-I62&lt;0.208333333333333,I63-I62,""),IF(AND(I61&lt;&gt;"",LEFT(C61,2)&lt;&gt;"Va",I61&lt;&gt;"H. Sale Real"),IF(I63-I61&lt;0.208333333333333,I63-I61,""),IF(AND(I60&lt;&gt;"",LEFT(C60,2)&lt;&gt;"Va",I60&lt;&gt;"H. Sale Real"),IF(I63-I60&lt;0.208333333333333,I63-I60,""),IF(AND(I59&lt;&gt;"",LEFT(C59,2)&lt;&gt;"Va",I59&lt;&gt;"H. Sale Real"),IF(I63-I59&lt;0.208333333333333,I63-I59,""),IF(AND(I58&lt;&gt;"",LEFT(C58,2)&lt;&gt;"Va",I58&lt;&gt;"H. Sale Real"),IF(I63-I58&lt;0.208333333333333,I63-I58,""),""))))),""),"")</f>
        <v/>
      </c>
      <c r="T62" s="89">
        <f>IF(G62&lt;&gt;"H. Sale Real",IF(AND(G63&lt;&gt;"",LEFT(C63,2)&lt;&gt;"Va"),IF(AND(G62&lt;&gt;"",LEFT(C62,2)&lt;&gt;"Va",G62&lt;&gt;"H. Sale Real"),IF(G63-G62&lt;0.208333333333333,G63-G62,""),IF(AND(G61&lt;&gt;"",LEFT(C61,2)&lt;&gt;"Va",G61&lt;&gt;"H. Sale Real"),IF(G63-G61&lt;0.208333333333333,G63-G61,""),IF(AND(G60&lt;&gt;"",LEFT(C60,2)&lt;&gt;"Va",G60&lt;&gt;"H. Sale Real"),IF(G63-G60&lt;0.208333333333333,G63-G60,""),IF(AND(G59&lt;&gt;"",LEFT(C59,2)&lt;&gt;"Va",G59&lt;&gt;"H. Sale Real"),IF(G63-G59&lt;0.208333333333333,G63-G59,""),IF(AND(G58&lt;&gt;"",LEFT(C58,2)&lt;&gt;"Va",G58&lt;&gt;"H. Sale Real"),IF(G63-G58&lt;0.208333333333333,G63-G58,""),""))))),""),"")</f>
        <v/>
      </c>
      <c r="U62" s="87" t="n"/>
      <c r="V62" s="89" t="n"/>
      <c r="W62" s="87" t="n"/>
      <c r="X62" s="89" t="n"/>
      <c r="Y62" s="91" t="n"/>
      <c r="Z62" s="122">
        <f>IF(G62&lt;&gt;"",IF(AND(Z61&lt;&gt;"IE",P62&lt;&gt;0,R62&lt;&gt;""),IF(IFERROR((P62/R62),0) &lt;=1,IFERROR(P62/R62,""),1),""),"")</f>
        <v/>
      </c>
      <c r="AA62" s="93" t="n"/>
      <c r="AB62" s="2" t="n"/>
      <c r="AE62" s="10">
        <f>HOUR(AK62)+1</f>
        <v/>
      </c>
      <c r="AF62" s="7" t="n"/>
      <c r="AG62" s="7" t="n"/>
      <c r="AH62" s="86" t="n"/>
      <c r="AI62" s="8" t="n"/>
      <c r="AJ62" s="86" t="n"/>
      <c r="AK62" s="87" t="n"/>
      <c r="AL62" s="88">
        <f>IF(AM62="","",IF(AND((AM62-AK62)&gt;=TIME(0,0,0),(AM62-AK62)&lt;TIME(0,3,0)),"OK",IF(AND((AM62-AK62)&gt;=TIME(0,3,0),(AM62-AK62)&lt;TIME(0,5,0)),"RETRASO DE 3-5 MIN",IF(AND((AM62-AK62)&gt;=TIME(0,5,0),(AM62-AK62)&lt;TIME(0,10,0)),"RETRASO DE 5-10 MIN",IF((AM62-AK62)&gt;=TIME(0,10,0),"RETRASO &gt;10 MIN", IF(AND((AK62-AM62)&gt;=TIME(0,0,0),(AK62-AM62)&lt;TIME(0,3,0)),"OK",IF((AK62-AM62)&gt;=TIME(0,3,0),"ADELANTADO")))))))</f>
        <v/>
      </c>
      <c r="AM62" s="91" t="n"/>
      <c r="AN62" s="89">
        <f>IF(AE62&lt;&gt;"",HLOOKUP(VALUE(TEXT(AK62,"h:mm:ss")),IF($C$6="Laboral",$FZ$4:$GX$227,IF($C$6="Sábado",$FZ$231:$GX$452,$FZ$456:$GX$656)),VLOOKUP($C$4,$HF$2:$HH$99,3,0)+IF(AG$5="Ida",0,1),1),"")</f>
        <v/>
      </c>
      <c r="AO62" s="89">
        <f>IF(AE63&lt;&gt;AE62,AVERAGEIF(AE$9:AE62,AE62,AN$9:AN62),"")</f>
        <v/>
      </c>
      <c r="AP62" s="89">
        <f>IFERROR(IF(AE63&lt;&gt;AE62,AVERAGEIF(AE$9:AE62,AE62,AW$9:AW62),""),"")</f>
        <v/>
      </c>
      <c r="AQ62" s="89">
        <f>IFERROR(IF(AE63&lt;&gt;AE62,AVERAGEIF(AE$9:AE62,AE62,AX$9:AX62),""),"")</f>
        <v/>
      </c>
      <c r="AR62" s="89">
        <f t="array" ref="AR62">IFERROR(IF(AE63&lt;&gt;AE62,_xlfn.STDEV.P(IF(AE$9:AE62=AE62,AX$9:AX62)),""),"")</f>
        <v/>
      </c>
      <c r="AS62" s="89">
        <f t="array" ref="AS62">IFERROR(IF(AE63&lt;&gt;AE62,_xlfn.STDEV.P(IF(AE$9:AE62=AE62,AW$9:AW62)),""),"")</f>
        <v/>
      </c>
      <c r="AT62" s="90">
        <f>IFERROR(IF(AE62&lt;&gt;AE63,MAX((((AQ62*24*60)/2)*(1+POWER((((AR62*24*60) / (AQ62*24*60) )),2))) + ((AQ62*24*60 )*-0.1 + (AO62*0.015)) +1,(((AQ62*24*60)/2)*(1+POWER((((AR62*24*60) / (AQ62*24*60 ))),2)))),""),"")</f>
        <v/>
      </c>
      <c r="AU62" s="90">
        <f>IF(AND(AS62&lt;&gt;"",AP62&lt;&gt;""),IF(AE62&lt;&gt;AE63,((AP62*24*60) / 2 ) * (1 + POWER(((AS62*24*60) / (AP62*24*60)),2)),""),"")</f>
        <v/>
      </c>
      <c r="AV62" s="90">
        <f>IF(AU62&lt;&gt;"",MAX(AT62,AU62),"")</f>
        <v/>
      </c>
      <c r="AW62" s="89">
        <f>IF(AM62&lt;&gt;"H. Sale Real",IF(AND(AM63&lt;&gt;"",LEFT(AG63,2)&lt;&gt;"Va"),IF(AND(AM62&lt;&gt;"",LEFT(AG62,2)&lt;&gt;"Va",AM62&lt;&gt;"H. Sale Real"),IF(AM63-AM62&lt;0.208333333333333,AM63-AM62,""),IF(AND(AM61&lt;&gt;"",LEFT(AG61,2)&lt;&gt;"Va",AM61&lt;&gt;"H. Sale Real"),IF(AM63-AM61&lt;0.208333333333333,AM63-AM61,""),IF(AND(AM60&lt;&gt;"",LEFT(AG60,2)&lt;&gt;"Va",AM60&lt;&gt;"H. Sale Real"),IF(AM63-AM60&lt;0.208333333333333,AM63-AM60,""),IF(AND(AM59&lt;&gt;"",LEFT(AG59,2)&lt;&gt;"Va",AM59&lt;&gt;"H. Sale Real"),IF(AM63-AM59&lt;0.208333333333333,AM63-AM59,""),IF(AND(AM58&lt;&gt;"",LEFT(AG58,2)&lt;&gt;"Va",AM58&lt;&gt;"H. Sale Real"),IF(AM63-AM58&lt;0.208333333333333,AM63-AM58,""),""))))),""),"")</f>
        <v/>
      </c>
      <c r="AX62" s="89">
        <f>IF(AK62&lt;&gt;"H. Sale Real",IF(AND(AK63&lt;&gt;"",LEFT(AG63,2)&lt;&gt;"Va"),IF(AND(AK62&lt;&gt;"",LEFT(AG62,2)&lt;&gt;"Va",AK62&lt;&gt;"H. Sale Real"),IF(AK63-AK62&lt;0.208333333333333,AK63-AK62,""),IF(AND(AK61&lt;&gt;"",LEFT(AG61,2)&lt;&gt;"Va",AK61&lt;&gt;"H. Sale Real"),IF(AK63-AK61&lt;0.208333333333333,AK63-AK61,""),IF(AND(AK60&lt;&gt;"",LEFT(AG60,2)&lt;&gt;"NC",AK60&lt;&gt;"H. Sale Real"),IF(AK63-AK60&lt;0.208333333333333,AK63-AK60,""),IF(AND(AK59&lt;&gt;"",LEFT(AG59,2)&lt;&gt;"Va",AK59&lt;&gt;"H. Sale Real"),IF(AK63-AK59&lt;0.208333333333333,AK63-AK59,""),IF(AND(AK58&lt;&gt;"",LEFT(AG58,2)&lt;&gt;"Va",AK58&lt;&gt;"H. Sale Real"),IF(AK63-AK58&lt;0.208333333333333,AK63-AK58,""),""))))),""),"")</f>
        <v/>
      </c>
      <c r="AY62" s="87" t="n"/>
      <c r="AZ62" s="89" t="n"/>
      <c r="BA62" s="87" t="n"/>
      <c r="BB62" s="89" t="n"/>
      <c r="BC62" s="91" t="n"/>
      <c r="BD62" s="122">
        <f>IF(AK62&lt;&gt;"",IF(AND(BD61&lt;&gt;"IE",AT62&lt;&gt;0,AV62&lt;&gt;""),IF(IFERROR((AT62/AV62),0) &lt;=1,IFERROR(AT62/AV62,""),1),""),"")</f>
        <v/>
      </c>
      <c r="BE62" s="93" t="n"/>
      <c r="BF62" s="105" t="n"/>
      <c r="FC62" t="inlineStr">
        <is>
          <t>Diccionario 1</t>
        </is>
      </c>
      <c r="FD62" s="15" t="n">
        <v>1059</v>
      </c>
      <c r="FE62" s="15" t="inlineStr">
        <is>
          <t>D8482727K2PL</t>
        </is>
      </c>
      <c r="FF62" s="15" t="inlineStr">
        <is>
          <t>YV3T7U527KA195300</t>
        </is>
      </c>
      <c r="FG62" s="15" t="inlineStr">
        <is>
          <t>Volvo</t>
        </is>
      </c>
      <c r="FH62" s="15" t="inlineStr">
        <is>
          <t>B8R</t>
        </is>
      </c>
      <c r="FI62" s="15" t="inlineStr">
        <is>
          <t>MARCOPOLO</t>
        </is>
      </c>
      <c r="FJ62" s="15" t="inlineStr">
        <is>
          <t>TORINO</t>
        </is>
      </c>
      <c r="FK62" s="15" t="n">
        <v>2019</v>
      </c>
      <c r="FL62" s="15" t="inlineStr">
        <is>
          <t>B2PAL</t>
        </is>
      </c>
      <c r="FM62" s="15" t="inlineStr">
        <is>
          <t>LOS LIBERTADORES</t>
        </is>
      </c>
      <c r="FN62" s="15" t="inlineStr">
        <is>
          <t>Los Liberadores 6450, Lote 4A</t>
        </is>
      </c>
      <c r="FO62" s="15" t="inlineStr">
        <is>
          <t>Huechuraba</t>
        </is>
      </c>
      <c r="FP62" t="inlineStr">
        <is>
          <t>B</t>
        </is>
      </c>
      <c r="FS62" s="14" t="inlineStr">
        <is>
          <t>3017 / SFWB-29|</t>
        </is>
      </c>
      <c r="FT62" t="inlineStr">
        <is>
          <t>SFWB-29|</t>
        </is>
      </c>
      <c r="FU62" t="inlineStr">
        <is>
          <t>SFWB-29</t>
        </is>
      </c>
      <c r="FV62">
        <f>VLOOKUP(FU62,FD:FL,9,0)</f>
        <v/>
      </c>
      <c r="FZ62" s="51" t="inlineStr">
        <is>
          <t>B33</t>
        </is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15.515</v>
      </c>
      <c r="GG62" t="n">
        <v>25.815</v>
      </c>
      <c r="GH62" t="n">
        <v>22.81</v>
      </c>
      <c r="GI62" t="n">
        <v>23.905</v>
      </c>
      <c r="GJ62" t="n">
        <v>25.555</v>
      </c>
      <c r="GK62" t="n">
        <v>26.115</v>
      </c>
      <c r="GL62" t="n">
        <v>26.15</v>
      </c>
      <c r="GM62" t="n">
        <v>26.045</v>
      </c>
      <c r="GN62" t="n">
        <v>25.905</v>
      </c>
      <c r="GO62" t="n">
        <v>25.37</v>
      </c>
      <c r="GP62" t="n">
        <v>24.725</v>
      </c>
      <c r="GQ62" t="n">
        <v>22.735</v>
      </c>
      <c r="GR62" t="n">
        <v>20.38</v>
      </c>
      <c r="GS62" t="n">
        <v>23.17</v>
      </c>
      <c r="GT62" t="n">
        <v>26.77</v>
      </c>
      <c r="GU62" t="n">
        <v>29.42</v>
      </c>
      <c r="GV62" t="n">
        <v>30.94</v>
      </c>
      <c r="GW62" t="n">
        <v>30.825</v>
      </c>
      <c r="GX62" t="n">
        <v>0</v>
      </c>
      <c r="HA62" s="35" t="n">
        <v>59</v>
      </c>
      <c r="HB62" s="35" t="n">
        <v>56</v>
      </c>
    </row>
    <row r="63" ht="15.5" customHeight="1">
      <c r="A63" s="10">
        <f>HOUR(G63)+1</f>
        <v/>
      </c>
      <c r="B63" s="7" t="n"/>
      <c r="C63" s="7" t="n"/>
      <c r="D63" s="85">
        <f>IFERROR(
IF(AND(OR(Planilla!B63="C",Planilla!B63="c"), VLOOKUP(E63,FD:FP,13,0)="C"), "OK",IF(AND(OR(Planilla!B63="C",Planilla!B63="c"), OR(VLOOKUP(E63,FD:FP,13,0)="B", VLOOKUP(E63,FD:FP,13,0)="A")), "DEFICIT",IF(
AND(OR(Planilla!B63="B", Planilla!B63="BPAL"), VLOOKUP(E63,FD:FP,13,0)="B"), "OK",IF(AND(OR(Planilla!B63="B", Planilla!B63="BPAL"), VLOOKUP(E63,FD:FP,13,0)="A"), "DEFICIT",IF(AND(OR(Planilla!B63="B", Planilla!B63="BPAL"), VLOOKUP(E63,FD:FP,13,0)="C"), "SOBREOFERTA",IF(AND(Planilla!B63="A", VLOOKUP(E63,FD:FP,13,0)="A"), "OK",IF(
AND(Planilla!B63="A", OR(VLOOKUP(E63,FD:FP,13,0)="B", VLOOKUP(E63,FD:FP,13,0)="C")), "SOBREOFERTA",""
))))))),"")</f>
        <v/>
      </c>
      <c r="E63" s="8" t="n"/>
      <c r="F63" s="86" t="n"/>
      <c r="G63" s="87" t="n"/>
      <c r="H63" s="88">
        <f>IF(I63="","",IF(AND((I63-G63)&gt;=TIME(0,0,0),(I63-G63)&lt;TIME(0,3,0)),"OK",IF(AND((I63-G63)&gt;=TIME(0,3,0),(I63-G63)&lt;TIME(0,5,0)),"RETRASO DE 3-5 MIN",IF(AND((I63-G63)&gt;=TIME(0,5,0),(I63-G63)&lt;TIME(0,10,0)),"RETRASO DE 5-10 MIN",IF((I63-G63)&gt;=TIME(0,10,0),"RETRASO &gt;10 MIN", IF(AND((G63-I63)&gt;=TIME(0,0,0),(G63-I63)&lt;TIME(0,3,0)),"OK",IF((G63-I63)&gt;=TIME(0,3,0),"ADELANTADO")))))))</f>
        <v/>
      </c>
      <c r="I63" s="89" t="n"/>
      <c r="J63" s="89">
        <f>IF(A63&lt;&gt;"",HLOOKUP(VALUE(TEXT(G63,"h:mm:ss")),IF($C$6="Laboral",$FZ$4:$GX$227,IF($C$6="Sábado",$FZ$231:$GX$452,$FZ$456:$GX$656)),VLOOKUP($C$4,$HF$2:$HH$99,3,0)+IF(C$5="Ida",0,1),1),"")</f>
        <v/>
      </c>
      <c r="K63" s="89">
        <f>IF(A64&lt;&gt;A63,AVERAGEIF(A$9:A63,A63,J$9:J63),"")</f>
        <v/>
      </c>
      <c r="L63" s="89">
        <f>IFERROR(IF(A64&lt;&gt;A63,AVERAGEIF(A$9:A63,A63,S$9:S63),""),"")</f>
        <v/>
      </c>
      <c r="M63" s="89">
        <f>IFERROR(IF(A64&lt;&gt;A63,AVERAGEIF(A$9:A63,A63,T$9:T63),""),"")</f>
        <v/>
      </c>
      <c r="N63" s="89">
        <f t="array" ref="N63">IFERROR(IF(A64&lt;&gt;A63,_xlfn.STDEV.P(IF(A$9:A63=A63,T$9:T63)),""),"")</f>
        <v/>
      </c>
      <c r="O63" s="89">
        <f t="array" ref="O63">IFERROR(IF(A64&lt;&gt;A63,_xlfn.STDEV.P(IF(A$9:A63=A63,S$9:S63)),""),"")</f>
        <v/>
      </c>
      <c r="P63" s="90">
        <f>IFERROR(IF(A63&lt;&gt;A64,MAX((((M63*24*60)/2)*(1+POWER((((N63*24*60) / (M63*24*60) )),2))) + ((M63*24*60 )*-0.1 + (K63*0.015)) +1,(((M63*24*60)/2)*(1+POWER((((N63*24*60) / (M63*24*60 ))),2)))),""),"")</f>
        <v/>
      </c>
      <c r="Q63" s="90">
        <f>IF(AND(O63&lt;&gt;"",L63&lt;&gt;""),IF(A63&lt;&gt;A64,((L63*24*60) / 2 ) * (1 + POWER(((O63*24*60) / (L63*24*60)),2)),""),"")</f>
        <v/>
      </c>
      <c r="R63" s="90">
        <f>IF(Q63&lt;&gt;"",MAX(P63,Q63),"")</f>
        <v/>
      </c>
      <c r="S63" s="89">
        <f>IF(I63&lt;&gt;"H. Sale Real",IF(AND(I64&lt;&gt;"",LEFT(C64,2)&lt;&gt;"Va"),IF(AND(I63&lt;&gt;"",LEFT(C63,2)&lt;&gt;"Va",I63&lt;&gt;"H. Sale Real"),IF(I64-I63&lt;0.208333333333333,I64-I63,""),IF(AND(I62&lt;&gt;"",LEFT(C62,2)&lt;&gt;"Va",I62&lt;&gt;"H. Sale Real"),IF(I64-I62&lt;0.208333333333333,I64-I62,""),IF(AND(I61&lt;&gt;"",LEFT(C61,2)&lt;&gt;"Va",I61&lt;&gt;"H. Sale Real"),IF(I64-I61&lt;0.208333333333333,I64-I61,""),IF(AND(I60&lt;&gt;"",LEFT(C60,2)&lt;&gt;"Va",I60&lt;&gt;"H. Sale Real"),IF(I64-I60&lt;0.208333333333333,I64-I60,""),IF(AND(I59&lt;&gt;"",LEFT(C59,2)&lt;&gt;"Va",I59&lt;&gt;"H. Sale Real"),IF(I64-I59&lt;0.208333333333333,I64-I59,""),""))))),""),"")</f>
        <v/>
      </c>
      <c r="T63" s="89">
        <f>IF(G63&lt;&gt;"H. Sale Real",IF(AND(G64&lt;&gt;"",LEFT(C64,2)&lt;&gt;"Va"),IF(AND(G63&lt;&gt;"",LEFT(C63,2)&lt;&gt;"Va",G63&lt;&gt;"H. Sale Real"),IF(G64-G63&lt;0.208333333333333,G64-G63,""),IF(AND(G62&lt;&gt;"",LEFT(C62,2)&lt;&gt;"Va",G62&lt;&gt;"H. Sale Real"),IF(G64-G62&lt;0.208333333333333,G64-G62,""),IF(AND(G61&lt;&gt;"",LEFT(C61,2)&lt;&gt;"Va",G61&lt;&gt;"H. Sale Real"),IF(G64-G61&lt;0.208333333333333,G64-G61,""),IF(AND(G60&lt;&gt;"",LEFT(C60,2)&lt;&gt;"Va",G60&lt;&gt;"H. Sale Real"),IF(G64-G60&lt;0.208333333333333,G64-G60,""),IF(AND(G59&lt;&gt;"",LEFT(C59,2)&lt;&gt;"Va",G59&lt;&gt;"H. Sale Real"),IF(G64-G59&lt;0.208333333333333,G64-G59,""),""))))),""),"")</f>
        <v/>
      </c>
      <c r="U63" s="87" t="n"/>
      <c r="V63" s="89" t="n"/>
      <c r="W63" s="87" t="n"/>
      <c r="X63" s="89" t="n"/>
      <c r="Y63" s="91" t="n"/>
      <c r="Z63" s="122">
        <f>IF(G63&lt;&gt;"",IF(AND(Z62&lt;&gt;"IE",P63&lt;&gt;0,R63&lt;&gt;""),IF(IFERROR((P63/R63),0) &lt;=1,IFERROR(P63/R63,""),1),""),"")</f>
        <v/>
      </c>
      <c r="AA63" s="93" t="n"/>
      <c r="AB63" s="2" t="n"/>
      <c r="AE63" s="10">
        <f>HOUR(AK63)+1</f>
        <v/>
      </c>
      <c r="AF63" s="7" t="n"/>
      <c r="AG63" s="7" t="n"/>
      <c r="AH63" s="86" t="n"/>
      <c r="AI63" s="8" t="n"/>
      <c r="AJ63" s="86" t="n"/>
      <c r="AK63" s="87" t="n"/>
      <c r="AL63" s="88">
        <f>IF(AM63="","",IF(AND((AM63-AK63)&gt;=TIME(0,0,0),(AM63-AK63)&lt;TIME(0,3,0)),"OK",IF(AND((AM63-AK63)&gt;=TIME(0,3,0),(AM63-AK63)&lt;TIME(0,5,0)),"RETRASO DE 3-5 MIN",IF(AND((AM63-AK63)&gt;=TIME(0,5,0),(AM63-AK63)&lt;TIME(0,10,0)),"RETRASO DE 5-10 MIN",IF((AM63-AK63)&gt;=TIME(0,10,0),"RETRASO &gt;10 MIN", IF(AND((AK63-AM63)&gt;=TIME(0,0,0),(AK63-AM63)&lt;TIME(0,3,0)),"OK",IF((AK63-AM63)&gt;=TIME(0,3,0),"ADELANTADO")))))))</f>
        <v/>
      </c>
      <c r="AM63" s="91" t="n"/>
      <c r="AN63" s="89">
        <f>IF(AE63&lt;&gt;"",HLOOKUP(VALUE(TEXT(AK63,"h:mm:ss")),IF($C$6="Laboral",$FZ$4:$GX$227,IF($C$6="Sábado",$FZ$231:$GX$452,$FZ$456:$GX$656)),VLOOKUP($C$4,$HF$2:$HH$99,3,0)+IF(AG$5="Ida",0,1),1),"")</f>
        <v/>
      </c>
      <c r="AO63" s="89">
        <f>IF(AE64&lt;&gt;AE63,AVERAGEIF(AE$9:AE63,AE63,AN$9:AN63),"")</f>
        <v/>
      </c>
      <c r="AP63" s="89">
        <f>IFERROR(IF(AE64&lt;&gt;AE63,AVERAGEIF(AE$9:AE63,AE63,AW$9:AW63),""),"")</f>
        <v/>
      </c>
      <c r="AQ63" s="89">
        <f>IFERROR(IF(AE64&lt;&gt;AE63,AVERAGEIF(AE$9:AE63,AE63,AX$9:AX63),""),"")</f>
        <v/>
      </c>
      <c r="AR63" s="89">
        <f t="array" ref="AR63">IFERROR(IF(AE64&lt;&gt;AE63,_xlfn.STDEV.P(IF(AE$9:AE63=AE63,AX$9:AX63)),""),"")</f>
        <v/>
      </c>
      <c r="AS63" s="89">
        <f t="array" ref="AS63">IFERROR(IF(AE64&lt;&gt;AE63,_xlfn.STDEV.P(IF(AE$9:AE63=AE63,AW$9:AW63)),""),"")</f>
        <v/>
      </c>
      <c r="AT63" s="90">
        <f>IFERROR(IF(AE63&lt;&gt;AE64,MAX((((AQ63*24*60)/2)*(1+POWER((((AR63*24*60) / (AQ63*24*60) )),2))) + ((AQ63*24*60 )*-0.1 + (AO63*0.015)) +1,(((AQ63*24*60)/2)*(1+POWER((((AR63*24*60) / (AQ63*24*60 ))),2)))),""),"")</f>
        <v/>
      </c>
      <c r="AU63" s="90">
        <f>IF(AND(AS63&lt;&gt;"",AP63&lt;&gt;""),IF(AE63&lt;&gt;AE64,((AP63*24*60) / 2 ) * (1 + POWER(((AS63*24*60) / (AP63*24*60)),2)),""),"")</f>
        <v/>
      </c>
      <c r="AV63" s="90">
        <f>IF(AU63&lt;&gt;"",MAX(AT63,AU63),"")</f>
        <v/>
      </c>
      <c r="AW63" s="89">
        <f>IF(AM63&lt;&gt;"H. Sale Real",IF(AND(AM64&lt;&gt;"",LEFT(AG64,2)&lt;&gt;"Va"),IF(AND(AM63&lt;&gt;"",LEFT(AG63,2)&lt;&gt;"Va",AM63&lt;&gt;"H. Sale Real"),IF(AM64-AM63&lt;0.208333333333333,AM64-AM63,""),IF(AND(AM62&lt;&gt;"",LEFT(AG62,2)&lt;&gt;"Va",AM62&lt;&gt;"H. Sale Real"),IF(AM64-AM62&lt;0.208333333333333,AM64-AM62,""),IF(AND(AM61&lt;&gt;"",LEFT(AG61,2)&lt;&gt;"Va",AM61&lt;&gt;"H. Sale Real"),IF(AM64-AM61&lt;0.208333333333333,AM64-AM61,""),IF(AND(AM60&lt;&gt;"",LEFT(AG60,2)&lt;&gt;"Va",AM60&lt;&gt;"H. Sale Real"),IF(AM64-AM60&lt;0.208333333333333,AM64-AM60,""),IF(AND(AM59&lt;&gt;"",LEFT(AG59,2)&lt;&gt;"Va",AM59&lt;&gt;"H. Sale Real"),IF(AM64-AM59&lt;0.208333333333333,AM64-AM59,""),""))))),""),"")</f>
        <v/>
      </c>
      <c r="AX63" s="89">
        <f>IF(AK63&lt;&gt;"H. Sale Real",IF(AND(AK64&lt;&gt;"",LEFT(AG64,2)&lt;&gt;"Va"),IF(AND(AK63&lt;&gt;"",LEFT(AG63,2)&lt;&gt;"Va",AK63&lt;&gt;"H. Sale Real"),IF(AK64-AK63&lt;0.208333333333333,AK64-AK63,""),IF(AND(AK62&lt;&gt;"",LEFT(AG62,2)&lt;&gt;"Va",AK62&lt;&gt;"H. Sale Real"),IF(AK64-AK62&lt;0.208333333333333,AK64-AK62,""),IF(AND(AK61&lt;&gt;"",LEFT(AG61,2)&lt;&gt;"NC",AK61&lt;&gt;"H. Sale Real"),IF(AK64-AK61&lt;0.208333333333333,AK64-AK61,""),IF(AND(AK60&lt;&gt;"",LEFT(AG60,2)&lt;&gt;"Va",AK60&lt;&gt;"H. Sale Real"),IF(AK64-AK60&lt;0.208333333333333,AK64-AK60,""),IF(AND(AK59&lt;&gt;"",LEFT(AG59,2)&lt;&gt;"Va",AK59&lt;&gt;"H. Sale Real"),IF(AK64-AK59&lt;0.208333333333333,AK64-AK59,""),""))))),""),"")</f>
        <v/>
      </c>
      <c r="AY63" s="87" t="n"/>
      <c r="AZ63" s="89" t="n"/>
      <c r="BA63" s="87" t="n"/>
      <c r="BB63" s="89" t="n"/>
      <c r="BC63" s="91" t="n"/>
      <c r="BD63" s="122">
        <f>IF(AK63&lt;&gt;"",IF(AND(BD62&lt;&gt;"IE",AT63&lt;&gt;0,AV63&lt;&gt;""),IF(IFERROR((AT63/AV63),0) &lt;=1,IFERROR(AT63/AV63,""),1),""),"")</f>
        <v/>
      </c>
      <c r="BE63" s="93" t="n"/>
      <c r="BF63" s="105" t="n"/>
      <c r="FC63" t="inlineStr">
        <is>
          <t>Diccionario 1</t>
        </is>
      </c>
      <c r="FD63" s="15" t="n">
        <v>1060</v>
      </c>
      <c r="FE63" s="15" t="inlineStr">
        <is>
          <t>D8482362K2PL</t>
        </is>
      </c>
      <c r="FF63" s="15" t="inlineStr">
        <is>
          <t>YV3T7U526KA195286</t>
        </is>
      </c>
      <c r="FG63" s="15" t="inlineStr">
        <is>
          <t>Volvo</t>
        </is>
      </c>
      <c r="FH63" s="15" t="inlineStr">
        <is>
          <t>B8R</t>
        </is>
      </c>
      <c r="FI63" s="15" t="inlineStr">
        <is>
          <t>MARCOPOLO</t>
        </is>
      </c>
      <c r="FJ63" s="15" t="inlineStr">
        <is>
          <t>TORINO</t>
        </is>
      </c>
      <c r="FK63" s="15" t="n">
        <v>2019</v>
      </c>
      <c r="FL63" s="15" t="inlineStr">
        <is>
          <t>B2PAL</t>
        </is>
      </c>
      <c r="FM63" s="15" t="inlineStr">
        <is>
          <t>LOS LIBERTADORES</t>
        </is>
      </c>
      <c r="FN63" s="15" t="inlineStr">
        <is>
          <t>Los Liberadores 6450, Lote 4A</t>
        </is>
      </c>
      <c r="FO63" s="15" t="inlineStr">
        <is>
          <t>Huechuraba</t>
        </is>
      </c>
      <c r="FP63" t="inlineStr">
        <is>
          <t>B</t>
        </is>
      </c>
      <c r="FS63" s="14" t="inlineStr">
        <is>
          <t>3017 / SFWB-29|</t>
        </is>
      </c>
      <c r="FT63" t="inlineStr">
        <is>
          <t>SFWB-29|</t>
        </is>
      </c>
      <c r="FU63" t="inlineStr">
        <is>
          <t>SFWB-29</t>
        </is>
      </c>
      <c r="FV63">
        <f>VLOOKUP(FU63,FD:FL,9,0)</f>
        <v/>
      </c>
      <c r="FZ63" s="51" t="inlineStr">
        <is>
          <t>F15</t>
        </is>
      </c>
      <c r="GA63" t="n">
        <v>0</v>
      </c>
      <c r="GB63" t="n">
        <v>0</v>
      </c>
      <c r="GC63" t="n">
        <v>0</v>
      </c>
      <c r="GD63" t="n">
        <v>0</v>
      </c>
      <c r="GE63" t="n">
        <v>13.24</v>
      </c>
      <c r="GF63" t="n">
        <v>22.585</v>
      </c>
      <c r="GG63" t="n">
        <v>17.55</v>
      </c>
      <c r="GH63" t="n">
        <v>13.255</v>
      </c>
      <c r="GI63" t="n">
        <v>15.36</v>
      </c>
      <c r="GJ63" t="n">
        <v>16.93</v>
      </c>
      <c r="GK63" t="n">
        <v>17.25</v>
      </c>
      <c r="GL63" t="n">
        <v>17.17</v>
      </c>
      <c r="GM63" t="n">
        <v>16.67</v>
      </c>
      <c r="GN63" t="n">
        <v>16.87</v>
      </c>
      <c r="GO63" t="n">
        <v>16.91</v>
      </c>
      <c r="GP63" t="n">
        <v>16.175</v>
      </c>
      <c r="GQ63" t="n">
        <v>15.545</v>
      </c>
      <c r="GR63" t="n">
        <v>14.13</v>
      </c>
      <c r="GS63" t="n">
        <v>14.625</v>
      </c>
      <c r="GT63" t="n">
        <v>16.78</v>
      </c>
      <c r="GU63" t="n">
        <v>18.84</v>
      </c>
      <c r="GV63" t="n">
        <v>20.73</v>
      </c>
      <c r="GW63" t="n">
        <v>22.47</v>
      </c>
      <c r="GX63" t="n">
        <v>0</v>
      </c>
      <c r="HA63" s="35" t="n">
        <v>60</v>
      </c>
      <c r="HB63" s="35" t="n">
        <v>57</v>
      </c>
    </row>
    <row r="64" ht="15.5" customHeight="1">
      <c r="A64" s="10">
        <f>HOUR(G64)+1</f>
        <v/>
      </c>
      <c r="B64" s="7" t="n"/>
      <c r="C64" s="7" t="n"/>
      <c r="D64" s="85">
        <f>IFERROR(
IF(AND(OR(Planilla!B64="C",Planilla!B64="c"), VLOOKUP(E64,FD:FP,13,0)="C"), "OK",IF(AND(OR(Planilla!B64="C",Planilla!B64="c"), OR(VLOOKUP(E64,FD:FP,13,0)="B", VLOOKUP(E64,FD:FP,13,0)="A")), "DEFICIT",IF(
AND(OR(Planilla!B64="B", Planilla!B64="BPAL"), VLOOKUP(E64,FD:FP,13,0)="B"), "OK",IF(AND(OR(Planilla!B64="B", Planilla!B64="BPAL"), VLOOKUP(E64,FD:FP,13,0)="A"), "DEFICIT",IF(AND(OR(Planilla!B64="B", Planilla!B64="BPAL"), VLOOKUP(E64,FD:FP,13,0)="C"), "SOBREOFERTA",IF(AND(Planilla!B64="A", VLOOKUP(E64,FD:FP,13,0)="A"), "OK",IF(
AND(Planilla!B64="A", OR(VLOOKUP(E64,FD:FP,13,0)="B", VLOOKUP(E64,FD:FP,13,0)="C")), "SOBREOFERTA",""
))))))),"")</f>
        <v/>
      </c>
      <c r="E64" s="8" t="n"/>
      <c r="F64" s="86" t="n"/>
      <c r="G64" s="87" t="n"/>
      <c r="H64" s="88">
        <f>IF(I64="","",IF(AND((I64-G64)&gt;=TIME(0,0,0),(I64-G64)&lt;TIME(0,3,0)),"OK",IF(AND((I64-G64)&gt;=TIME(0,3,0),(I64-G64)&lt;TIME(0,5,0)),"RETRASO DE 3-5 MIN",IF(AND((I64-G64)&gt;=TIME(0,5,0),(I64-G64)&lt;TIME(0,10,0)),"RETRASO DE 5-10 MIN",IF((I64-G64)&gt;=TIME(0,10,0),"RETRASO &gt;10 MIN", IF(AND((G64-I64)&gt;=TIME(0,0,0),(G64-I64)&lt;TIME(0,3,0)),"OK",IF((G64-I64)&gt;=TIME(0,3,0),"ADELANTADO")))))))</f>
        <v/>
      </c>
      <c r="I64" s="89" t="n"/>
      <c r="J64" s="89">
        <f>IF(A64&lt;&gt;"",HLOOKUP(VALUE(TEXT(G64,"h:mm:ss")),IF($C$6="Laboral",$FZ$4:$GX$227,IF($C$6="Sábado",$FZ$231:$GX$452,$FZ$456:$GX$656)),VLOOKUP($C$4,$HF$2:$HH$99,3,0)+IF(C$5="Ida",0,1),1),"")</f>
        <v/>
      </c>
      <c r="K64" s="89">
        <f>IF(A65&lt;&gt;A64,AVERAGEIF(A$9:A64,A64,J$9:J64),"")</f>
        <v/>
      </c>
      <c r="L64" s="89">
        <f>IFERROR(IF(A65&lt;&gt;A64,AVERAGEIF(A$9:A64,A64,S$9:S64),""),"")</f>
        <v/>
      </c>
      <c r="M64" s="89">
        <f>IFERROR(IF(A65&lt;&gt;A64,AVERAGEIF(A$9:A64,A64,T$9:T64),""),"")</f>
        <v/>
      </c>
      <c r="N64" s="89">
        <f t="array" ref="N64">IFERROR(IF(A65&lt;&gt;A64,_xlfn.STDEV.P(IF(A$9:A64=A64,T$9:T64)),""),"")</f>
        <v/>
      </c>
      <c r="O64" s="89">
        <f t="array" ref="O64">IFERROR(IF(A65&lt;&gt;A64,_xlfn.STDEV.P(IF(A$9:A64=A64,S$9:S64)),""),"")</f>
        <v/>
      </c>
      <c r="P64" s="90">
        <f>IFERROR(IF(A64&lt;&gt;A65,MAX((((M64*24*60)/2)*(1+POWER((((N64*24*60) / (M64*24*60) )),2))) + ((M64*24*60 )*-0.1 + (K64*0.015)) +1,(((M64*24*60)/2)*(1+POWER((((N64*24*60) / (M64*24*60 ))),2)))),""),"")</f>
        <v/>
      </c>
      <c r="Q64" s="90">
        <f>IF(AND(O64&lt;&gt;"",L64&lt;&gt;""),IF(A64&lt;&gt;A65,((L64*24*60) / 2 ) * (1 + POWER(((O64*24*60) / (L64*24*60)),2)),""),"")</f>
        <v/>
      </c>
      <c r="R64" s="90">
        <f>IF(Q64&lt;&gt;"",MAX(P64,Q64),"")</f>
        <v/>
      </c>
      <c r="S64" s="89">
        <f>IF(I64&lt;&gt;"H. Sale Real",IF(AND(I65&lt;&gt;"",LEFT(C65,2)&lt;&gt;"Va"),IF(AND(I64&lt;&gt;"",LEFT(C64,2)&lt;&gt;"Va",I64&lt;&gt;"H. Sale Real"),IF(I65-I64&lt;0.208333333333333,I65-I64,""),IF(AND(I63&lt;&gt;"",LEFT(C63,2)&lt;&gt;"Va",I63&lt;&gt;"H. Sale Real"),IF(I65-I63&lt;0.208333333333333,I65-I63,""),IF(AND(I62&lt;&gt;"",LEFT(C62,2)&lt;&gt;"Va",I62&lt;&gt;"H. Sale Real"),IF(I65-I62&lt;0.208333333333333,I65-I62,""),IF(AND(I61&lt;&gt;"",LEFT(C61,2)&lt;&gt;"Va",I61&lt;&gt;"H. Sale Real"),IF(I65-I61&lt;0.208333333333333,I65-I61,""),IF(AND(I60&lt;&gt;"",LEFT(C60,2)&lt;&gt;"Va",I60&lt;&gt;"H. Sale Real"),IF(I65-I60&lt;0.208333333333333,I65-I60,""),""))))),""),"")</f>
        <v/>
      </c>
      <c r="T64" s="89">
        <f>IF(G64&lt;&gt;"H. Sale Real",IF(AND(G65&lt;&gt;"",LEFT(C65,2)&lt;&gt;"Va"),IF(AND(G64&lt;&gt;"",LEFT(C64,2)&lt;&gt;"Va",G64&lt;&gt;"H. Sale Real"),IF(G65-G64&lt;0.208333333333333,G65-G64,""),IF(AND(G63&lt;&gt;"",LEFT(C63,2)&lt;&gt;"Va",G63&lt;&gt;"H. Sale Real"),IF(G65-G63&lt;0.208333333333333,G65-G63,""),IF(AND(G62&lt;&gt;"",LEFT(C62,2)&lt;&gt;"Va",G62&lt;&gt;"H. Sale Real"),IF(G65-G62&lt;0.208333333333333,G65-G62,""),IF(AND(G61&lt;&gt;"",LEFT(C61,2)&lt;&gt;"Va",G61&lt;&gt;"H. Sale Real"),IF(G65-G61&lt;0.208333333333333,G65-G61,""),IF(AND(G60&lt;&gt;"",LEFT(C60,2)&lt;&gt;"Va",G60&lt;&gt;"H. Sale Real"),IF(G65-G60&lt;0.208333333333333,G65-G60,""),""))))),""),"")</f>
        <v/>
      </c>
      <c r="U64" s="87" t="n"/>
      <c r="V64" s="89" t="n"/>
      <c r="W64" s="87" t="n"/>
      <c r="X64" s="89" t="n"/>
      <c r="Y64" s="91" t="n"/>
      <c r="Z64" s="122">
        <f>IF(G64&lt;&gt;"",IF(AND(Z63&lt;&gt;"IE",P64&lt;&gt;0,R64&lt;&gt;""),IF(IFERROR((P64/R64),0) &lt;=1,IFERROR(P64/R64,""),1),""),"")</f>
        <v/>
      </c>
      <c r="AA64" s="93" t="n"/>
      <c r="AB64" s="2" t="n"/>
      <c r="AE64" s="10">
        <f>HOUR(AK64)+1</f>
        <v/>
      </c>
      <c r="AF64" s="7" t="n"/>
      <c r="AG64" s="7" t="n"/>
      <c r="AH64" s="86" t="n"/>
      <c r="AI64" s="8" t="n"/>
      <c r="AJ64" s="86" t="n"/>
      <c r="AK64" s="87" t="n"/>
      <c r="AL64" s="88">
        <f>IF(AM64="","",IF(AND((AM64-AK64)&gt;=TIME(0,0,0),(AM64-AK64)&lt;TIME(0,3,0)),"OK",IF(AND((AM64-AK64)&gt;=TIME(0,3,0),(AM64-AK64)&lt;TIME(0,5,0)),"RETRASO DE 3-5 MIN",IF(AND((AM64-AK64)&gt;=TIME(0,5,0),(AM64-AK64)&lt;TIME(0,10,0)),"RETRASO DE 5-10 MIN",IF((AM64-AK64)&gt;=TIME(0,10,0),"RETRASO &gt;10 MIN", IF(AND((AK64-AM64)&gt;=TIME(0,0,0),(AK64-AM64)&lt;TIME(0,3,0)),"OK",IF((AK64-AM64)&gt;=TIME(0,3,0),"ADELANTADO")))))))</f>
        <v/>
      </c>
      <c r="AM64" s="91" t="n"/>
      <c r="AN64" s="89">
        <f>IF(AE64&lt;&gt;"",HLOOKUP(VALUE(TEXT(AK64,"h:mm:ss")),IF($C$6="Laboral",$FZ$4:$GX$227,IF($C$6="Sábado",$FZ$231:$GX$452,$FZ$456:$GX$656)),VLOOKUP($C$4,$HF$2:$HH$99,3,0)+IF(AG$5="Ida",0,1),1),"")</f>
        <v/>
      </c>
      <c r="AO64" s="89">
        <f>IF(AE65&lt;&gt;AE64,AVERAGEIF(AE$9:AE64,AE64,AN$9:AN64),"")</f>
        <v/>
      </c>
      <c r="AP64" s="89">
        <f>IFERROR(IF(AE65&lt;&gt;AE64,AVERAGEIF(AE$9:AE64,AE64,AW$9:AW64),""),"")</f>
        <v/>
      </c>
      <c r="AQ64" s="89">
        <f>IFERROR(IF(AE65&lt;&gt;AE64,AVERAGEIF(AE$9:AE64,AE64,AX$9:AX64),""),"")</f>
        <v/>
      </c>
      <c r="AR64" s="89">
        <f t="array" ref="AR64">IFERROR(IF(AE65&lt;&gt;AE64,_xlfn.STDEV.P(IF(AE$9:AE64=AE64,AX$9:AX64)),""),"")</f>
        <v/>
      </c>
      <c r="AS64" s="89">
        <f t="array" ref="AS64">IFERROR(IF(AE65&lt;&gt;AE64,_xlfn.STDEV.P(IF(AE$9:AE64=AE64,AW$9:AW64)),""),"")</f>
        <v/>
      </c>
      <c r="AT64" s="90">
        <f>IFERROR(IF(AE64&lt;&gt;AE65,MAX((((AQ64*24*60)/2)*(1+POWER((((AR64*24*60) / (AQ64*24*60) )),2))) + ((AQ64*24*60 )*-0.1 + (AO64*0.015)) +1,(((AQ64*24*60)/2)*(1+POWER((((AR64*24*60) / (AQ64*24*60 ))),2)))),""),"")</f>
        <v/>
      </c>
      <c r="AU64" s="90">
        <f>IF(AND(AS64&lt;&gt;"",AP64&lt;&gt;""),IF(AE64&lt;&gt;AE65,((AP64*24*60) / 2 ) * (1 + POWER(((AS64*24*60) / (AP64*24*60)),2)),""),"")</f>
        <v/>
      </c>
      <c r="AV64" s="90">
        <f>IF(AU64&lt;&gt;"",MAX(AT64,AU64),"")</f>
        <v/>
      </c>
      <c r="AW64" s="89">
        <f>IF(AM64&lt;&gt;"H. Sale Real",IF(AND(AM65&lt;&gt;"",LEFT(AG65,2)&lt;&gt;"Va"),IF(AND(AM64&lt;&gt;"",LEFT(AG64,2)&lt;&gt;"Va",AM64&lt;&gt;"H. Sale Real"),IF(AM65-AM64&lt;0.208333333333333,AM65-AM64,""),IF(AND(AM63&lt;&gt;"",LEFT(AG63,2)&lt;&gt;"Va",AM63&lt;&gt;"H. Sale Real"),IF(AM65-AM63&lt;0.208333333333333,AM65-AM63,""),IF(AND(AM62&lt;&gt;"",LEFT(AG62,2)&lt;&gt;"Va",AM62&lt;&gt;"H. Sale Real"),IF(AM65-AM62&lt;0.208333333333333,AM65-AM62,""),IF(AND(AM61&lt;&gt;"",LEFT(AG61,2)&lt;&gt;"Va",AM61&lt;&gt;"H. Sale Real"),IF(AM65-AM61&lt;0.208333333333333,AM65-AM61,""),IF(AND(AM60&lt;&gt;"",LEFT(AG60,2)&lt;&gt;"Va",AM60&lt;&gt;"H. Sale Real"),IF(AM65-AM60&lt;0.208333333333333,AM65-AM60,""),""))))),""),"")</f>
        <v/>
      </c>
      <c r="AX64" s="89">
        <f>IF(AK64&lt;&gt;"H. Sale Real",IF(AND(AK65&lt;&gt;"",LEFT(AG65,2)&lt;&gt;"Va"),IF(AND(AK64&lt;&gt;"",LEFT(AG64,2)&lt;&gt;"Va",AK64&lt;&gt;"H. Sale Real"),IF(AK65-AK64&lt;0.208333333333333,AK65-AK64,""),IF(AND(AK63&lt;&gt;"",LEFT(AG63,2)&lt;&gt;"Va",AK63&lt;&gt;"H. Sale Real"),IF(AK65-AK63&lt;0.208333333333333,AK65-AK63,""),IF(AND(AK62&lt;&gt;"",LEFT(AG62,2)&lt;&gt;"NC",AK62&lt;&gt;"H. Sale Real"),IF(AK65-AK62&lt;0.208333333333333,AK65-AK62,""),IF(AND(AK61&lt;&gt;"",LEFT(AG61,2)&lt;&gt;"Va",AK61&lt;&gt;"H. Sale Real"),IF(AK65-AK61&lt;0.208333333333333,AK65-AK61,""),IF(AND(AK60&lt;&gt;"",LEFT(AG60,2)&lt;&gt;"Va",AK60&lt;&gt;"H. Sale Real"),IF(AK65-AK60&lt;0.208333333333333,AK65-AK60,""),""))))),""),"")</f>
        <v/>
      </c>
      <c r="AY64" s="87" t="n"/>
      <c r="AZ64" s="89" t="n"/>
      <c r="BA64" s="87" t="n"/>
      <c r="BB64" s="89" t="n"/>
      <c r="BC64" s="91" t="n"/>
      <c r="BD64" s="122">
        <f>IF(AK64&lt;&gt;"",IF(AND(BD63&lt;&gt;"IE",AT64&lt;&gt;0,AV64&lt;&gt;""),IF(IFERROR((AT64/AV64),0) &lt;=1,IFERROR(AT64/AV64,""),1),""),"")</f>
        <v/>
      </c>
      <c r="BE64" s="93" t="n"/>
      <c r="BF64" s="105" t="n"/>
      <c r="FC64" t="inlineStr">
        <is>
          <t>Diccionario 1</t>
        </is>
      </c>
      <c r="FD64" s="15" t="n">
        <v>1061</v>
      </c>
      <c r="FE64" s="15" t="inlineStr">
        <is>
          <t>D8482765K2PL</t>
        </is>
      </c>
      <c r="FF64" s="15" t="inlineStr">
        <is>
          <t>YV3T7U520KA195302</t>
        </is>
      </c>
      <c r="FG64" s="15" t="inlineStr">
        <is>
          <t>Volvo</t>
        </is>
      </c>
      <c r="FH64" s="15" t="inlineStr">
        <is>
          <t>B8R</t>
        </is>
      </c>
      <c r="FI64" s="15" t="inlineStr">
        <is>
          <t>MARCOPOLO</t>
        </is>
      </c>
      <c r="FJ64" s="15" t="inlineStr">
        <is>
          <t>TORINO</t>
        </is>
      </c>
      <c r="FK64" s="15" t="n">
        <v>2019</v>
      </c>
      <c r="FL64" s="15" t="inlineStr">
        <is>
          <t>B2PAL</t>
        </is>
      </c>
      <c r="FM64" s="15" t="inlineStr">
        <is>
          <t>LOS LIBERTADORES</t>
        </is>
      </c>
      <c r="FN64" s="15" t="inlineStr">
        <is>
          <t>Los Liberadores 6450, Lote 4A</t>
        </is>
      </c>
      <c r="FO64" s="15" t="inlineStr">
        <is>
          <t>Huechuraba</t>
        </is>
      </c>
      <c r="FP64" t="inlineStr">
        <is>
          <t>B</t>
        </is>
      </c>
      <c r="FS64" s="14" t="inlineStr">
        <is>
          <t>3017 / SFWB-29|</t>
        </is>
      </c>
      <c r="FT64" t="inlineStr">
        <is>
          <t>SFWB-29|</t>
        </is>
      </c>
      <c r="FU64" t="inlineStr">
        <is>
          <t>SFWB-29</t>
        </is>
      </c>
      <c r="FV64">
        <f>VLOOKUP(FU64,FD:FL,9,0)</f>
        <v/>
      </c>
      <c r="FZ64" s="51" t="inlineStr">
        <is>
          <t>F15</t>
        </is>
      </c>
      <c r="GA64" t="n">
        <v>13.47</v>
      </c>
      <c r="GB64" t="n">
        <v>0</v>
      </c>
      <c r="GC64" t="n">
        <v>0</v>
      </c>
      <c r="GD64" t="n">
        <v>0</v>
      </c>
      <c r="GE64" t="n">
        <v>0</v>
      </c>
      <c r="GF64" t="n">
        <v>11.21</v>
      </c>
      <c r="GG64" t="n">
        <v>19.52</v>
      </c>
      <c r="GH64" t="n">
        <v>14.91</v>
      </c>
      <c r="GI64" t="n">
        <v>16.62</v>
      </c>
      <c r="GJ64" t="n">
        <v>17.925</v>
      </c>
      <c r="GK64" t="n">
        <v>18.05</v>
      </c>
      <c r="GL64" t="n">
        <v>17.145</v>
      </c>
      <c r="GM64" t="n">
        <v>16.58</v>
      </c>
      <c r="GN64" t="n">
        <v>16.61</v>
      </c>
      <c r="GO64" t="n">
        <v>16.125</v>
      </c>
      <c r="GP64" t="n">
        <v>15.08</v>
      </c>
      <c r="GQ64" t="n">
        <v>14.63</v>
      </c>
      <c r="GR64" t="n">
        <v>13.75</v>
      </c>
      <c r="GS64" t="n">
        <v>14.245</v>
      </c>
      <c r="GT64" t="n">
        <v>15.4</v>
      </c>
      <c r="GU64" t="n">
        <v>17.35</v>
      </c>
      <c r="GV64" t="n">
        <v>18.81</v>
      </c>
      <c r="GW64" t="n">
        <v>20.53</v>
      </c>
      <c r="GX64" t="n">
        <v>23</v>
      </c>
      <c r="HA64" s="35" t="n">
        <v>61</v>
      </c>
      <c r="HB64" s="35" t="n">
        <v>58</v>
      </c>
    </row>
    <row r="65" ht="15.5" customHeight="1">
      <c r="A65" s="10">
        <f>HOUR(G65)+1</f>
        <v/>
      </c>
      <c r="B65" s="7" t="n"/>
      <c r="C65" s="7" t="n"/>
      <c r="D65" s="85">
        <f>IFERROR(
IF(AND(OR(Planilla!B65="C",Planilla!B65="c"), VLOOKUP(E65,FD:FP,13,0)="C"), "OK",IF(AND(OR(Planilla!B65="C",Planilla!B65="c"), OR(VLOOKUP(E65,FD:FP,13,0)="B", VLOOKUP(E65,FD:FP,13,0)="A")), "DEFICIT",IF(
AND(OR(Planilla!B65="B", Planilla!B65="BPAL"), VLOOKUP(E65,FD:FP,13,0)="B"), "OK",IF(AND(OR(Planilla!B65="B", Planilla!B65="BPAL"), VLOOKUP(E65,FD:FP,13,0)="A"), "DEFICIT",IF(AND(OR(Planilla!B65="B", Planilla!B65="BPAL"), VLOOKUP(E65,FD:FP,13,0)="C"), "SOBREOFERTA",IF(AND(Planilla!B65="A", VLOOKUP(E65,FD:FP,13,0)="A"), "OK",IF(
AND(Planilla!B65="A", OR(VLOOKUP(E65,FD:FP,13,0)="B", VLOOKUP(E65,FD:FP,13,0)="C")), "SOBREOFERTA",""
))))))),"")</f>
        <v/>
      </c>
      <c r="E65" s="8" t="n"/>
      <c r="F65" s="86" t="n"/>
      <c r="G65" s="87" t="n"/>
      <c r="H65" s="88">
        <f>IF(I65="","",IF(AND((I65-G65)&gt;=TIME(0,0,0),(I65-G65)&lt;TIME(0,3,0)),"OK",IF(AND((I65-G65)&gt;=TIME(0,3,0),(I65-G65)&lt;TIME(0,5,0)),"RETRASO DE 3-5 MIN",IF(AND((I65-G65)&gt;=TIME(0,5,0),(I65-G65)&lt;TIME(0,10,0)),"RETRASO DE 5-10 MIN",IF((I65-G65)&gt;=TIME(0,10,0),"RETRASO &gt;10 MIN", IF(AND((G65-I65)&gt;=TIME(0,0,0),(G65-I65)&lt;TIME(0,3,0)),"OK",IF((G65-I65)&gt;=TIME(0,3,0),"ADELANTADO")))))))</f>
        <v/>
      </c>
      <c r="I65" s="89" t="n"/>
      <c r="J65" s="89">
        <f>IF(A65&lt;&gt;"",HLOOKUP(VALUE(TEXT(G65,"h:mm:ss")),IF($C$6="Laboral",$FZ$4:$GX$227,IF($C$6="Sábado",$FZ$231:$GX$452,$FZ$456:$GX$656)),VLOOKUP($C$4,$HF$2:$HH$99,3,0)+IF(C$5="Ida",0,1),1),"")</f>
        <v/>
      </c>
      <c r="K65" s="89">
        <f>IF(A66&lt;&gt;A65,AVERAGEIF(A$9:A65,A65,J$9:J65),"")</f>
        <v/>
      </c>
      <c r="L65" s="89">
        <f>IFERROR(IF(A66&lt;&gt;A65,AVERAGEIF(A$9:A65,A65,S$9:S65),""),"")</f>
        <v/>
      </c>
      <c r="M65" s="89">
        <f>IFERROR(IF(A66&lt;&gt;A65,AVERAGEIF(A$9:A65,A65,T$9:T65),""),"")</f>
        <v/>
      </c>
      <c r="N65" s="89">
        <f t="array" ref="N65">IFERROR(IF(A66&lt;&gt;A65,_xlfn.STDEV.P(IF(A$9:A65=A65,T$9:T65)),""),"")</f>
        <v/>
      </c>
      <c r="O65" s="89">
        <f t="array" ref="O65">IFERROR(IF(A66&lt;&gt;A65,_xlfn.STDEV.P(IF(A$9:A65=A65,S$9:S65)),""),"")</f>
        <v/>
      </c>
      <c r="P65" s="90">
        <f>IFERROR(IF(A65&lt;&gt;A66,MAX((((M65*24*60)/2)*(1+POWER((((N65*24*60) / (M65*24*60) )),2))) + ((M65*24*60 )*-0.1 + (K65*0.015)) +1,(((M65*24*60)/2)*(1+POWER((((N65*24*60) / (M65*24*60 ))),2)))),""),"")</f>
        <v/>
      </c>
      <c r="Q65" s="90">
        <f>IF(AND(O65&lt;&gt;"",L65&lt;&gt;""),IF(A65&lt;&gt;A66,((L65*24*60) / 2 ) * (1 + POWER(((O65*24*60) / (L65*24*60)),2)),""),"")</f>
        <v/>
      </c>
      <c r="R65" s="90">
        <f>IF(Q65&lt;&gt;"",MAX(P65,Q65),"")</f>
        <v/>
      </c>
      <c r="S65" s="89">
        <f>IF(I65&lt;&gt;"H. Sale Real",IF(AND(I66&lt;&gt;"",LEFT(C66,2)&lt;&gt;"Va"),IF(AND(I65&lt;&gt;"",LEFT(C65,2)&lt;&gt;"Va",I65&lt;&gt;"H. Sale Real"),IF(I66-I65&lt;0.208333333333333,I66-I65,""),IF(AND(I64&lt;&gt;"",LEFT(C64,2)&lt;&gt;"Va",I64&lt;&gt;"H. Sale Real"),IF(I66-I64&lt;0.208333333333333,I66-I64,""),IF(AND(I63&lt;&gt;"",LEFT(C63,2)&lt;&gt;"Va",I63&lt;&gt;"H. Sale Real"),IF(I66-I63&lt;0.208333333333333,I66-I63,""),IF(AND(I62&lt;&gt;"",LEFT(C62,2)&lt;&gt;"Va",I62&lt;&gt;"H. Sale Real"),IF(I66-I62&lt;0.208333333333333,I66-I62,""),IF(AND(I61&lt;&gt;"",LEFT(C61,2)&lt;&gt;"Va",I61&lt;&gt;"H. Sale Real"),IF(I66-I61&lt;0.208333333333333,I66-I61,""),""))))),""),"")</f>
        <v/>
      </c>
      <c r="T65" s="89">
        <f>IF(G65&lt;&gt;"H. Sale Real",IF(AND(G66&lt;&gt;"",LEFT(C66,2)&lt;&gt;"Va"),IF(AND(G65&lt;&gt;"",LEFT(C65,2)&lt;&gt;"Va",G65&lt;&gt;"H. Sale Real"),IF(G66-G65&lt;0.208333333333333,G66-G65,""),IF(AND(G64&lt;&gt;"",LEFT(C64,2)&lt;&gt;"Va",G64&lt;&gt;"H. Sale Real"),IF(G66-G64&lt;0.208333333333333,G66-G64,""),IF(AND(G63&lt;&gt;"",LEFT(C63,2)&lt;&gt;"Va",G63&lt;&gt;"H. Sale Real"),IF(G66-G63&lt;0.208333333333333,G66-G63,""),IF(AND(G62&lt;&gt;"",LEFT(C62,2)&lt;&gt;"Va",G62&lt;&gt;"H. Sale Real"),IF(G66-G62&lt;0.208333333333333,G66-G62,""),IF(AND(G61&lt;&gt;"",LEFT(C61,2)&lt;&gt;"Va",G61&lt;&gt;"H. Sale Real"),IF(G66-G61&lt;0.208333333333333,G66-G61,""),""))))),""),"")</f>
        <v/>
      </c>
      <c r="U65" s="87" t="n"/>
      <c r="V65" s="89" t="n"/>
      <c r="W65" s="87" t="n"/>
      <c r="X65" s="89" t="n"/>
      <c r="Y65" s="91" t="n"/>
      <c r="Z65" s="122">
        <f>IF(G65&lt;&gt;"",IF(AND(Z64&lt;&gt;"IE",P65&lt;&gt;0,R65&lt;&gt;""),IF(IFERROR((P65/R65),0) &lt;=1,IFERROR(P65/R65,""),1),""),"")</f>
        <v/>
      </c>
      <c r="AA65" s="93" t="n"/>
      <c r="AB65" s="2" t="n"/>
      <c r="AE65" s="10">
        <f>HOUR(AK65)+1</f>
        <v/>
      </c>
      <c r="AF65" s="7" t="n"/>
      <c r="AG65" s="7" t="n"/>
      <c r="AH65" s="86" t="n"/>
      <c r="AI65" s="8" t="n"/>
      <c r="AJ65" s="86" t="n"/>
      <c r="AK65" s="87" t="n"/>
      <c r="AL65" s="88">
        <f>IF(AM65="","",IF(AND((AM65-AK65)&gt;=TIME(0,0,0),(AM65-AK65)&lt;TIME(0,3,0)),"OK",IF(AND((AM65-AK65)&gt;=TIME(0,3,0),(AM65-AK65)&lt;TIME(0,5,0)),"RETRASO DE 3-5 MIN",IF(AND((AM65-AK65)&gt;=TIME(0,5,0),(AM65-AK65)&lt;TIME(0,10,0)),"RETRASO DE 5-10 MIN",IF((AM65-AK65)&gt;=TIME(0,10,0),"RETRASO &gt;10 MIN", IF(AND((AK65-AM65)&gt;=TIME(0,0,0),(AK65-AM65)&lt;TIME(0,3,0)),"OK",IF((AK65-AM65)&gt;=TIME(0,3,0),"ADELANTADO")))))))</f>
        <v/>
      </c>
      <c r="AM65" s="91" t="n"/>
      <c r="AN65" s="89">
        <f>IF(AE65&lt;&gt;"",HLOOKUP(VALUE(TEXT(AK65,"h:mm:ss")),IF($C$6="Laboral",$FZ$4:$GX$227,IF($C$6="Sábado",$FZ$231:$GX$452,$FZ$456:$GX$656)),VLOOKUP($C$4,$HF$2:$HH$99,3,0)+IF(AG$5="Ida",0,1),1),"")</f>
        <v/>
      </c>
      <c r="AO65" s="89">
        <f>IF(AE66&lt;&gt;AE65,AVERAGEIF(AE$9:AE65,AE65,AN$9:AN65),"")</f>
        <v/>
      </c>
      <c r="AP65" s="89">
        <f>IFERROR(IF(AE66&lt;&gt;AE65,AVERAGEIF(AE$9:AE65,AE65,AW$9:AW65),""),"")</f>
        <v/>
      </c>
      <c r="AQ65" s="89">
        <f>IFERROR(IF(AE66&lt;&gt;AE65,AVERAGEIF(AE$9:AE65,AE65,AX$9:AX65),""),"")</f>
        <v/>
      </c>
      <c r="AR65" s="89">
        <f t="array" ref="AR65">IFERROR(IF(AE66&lt;&gt;AE65,_xlfn.STDEV.P(IF(AE$9:AE65=AE65,AX$9:AX65)),""),"")</f>
        <v/>
      </c>
      <c r="AS65" s="89">
        <f t="array" ref="AS65">IFERROR(IF(AE66&lt;&gt;AE65,_xlfn.STDEV.P(IF(AE$9:AE65=AE65,AW$9:AW65)),""),"")</f>
        <v/>
      </c>
      <c r="AT65" s="90">
        <f>IFERROR(IF(AE65&lt;&gt;AE66,MAX((((AQ65*24*60)/2)*(1+POWER((((AR65*24*60) / (AQ65*24*60) )),2))) + ((AQ65*24*60 )*-0.1 + (AO65*0.015)) +1,(((AQ65*24*60)/2)*(1+POWER((((AR65*24*60) / (AQ65*24*60 ))),2)))),""),"")</f>
        <v/>
      </c>
      <c r="AU65" s="90">
        <f>IF(AND(AS65&lt;&gt;"",AP65&lt;&gt;""),IF(AE65&lt;&gt;AE66,((AP65*24*60) / 2 ) * (1 + POWER(((AS65*24*60) / (AP65*24*60)),2)),""),"")</f>
        <v/>
      </c>
      <c r="AV65" s="90">
        <f>IF(AU65&lt;&gt;"",MAX(AT65,AU65),"")</f>
        <v/>
      </c>
      <c r="AW65" s="89">
        <f>IF(AM65&lt;&gt;"H. Sale Real",IF(AND(AM66&lt;&gt;"",LEFT(AG66,2)&lt;&gt;"Va"),IF(AND(AM65&lt;&gt;"",LEFT(AG65,2)&lt;&gt;"Va",AM65&lt;&gt;"H. Sale Real"),IF(AM66-AM65&lt;0.208333333333333,AM66-AM65,""),IF(AND(AM64&lt;&gt;"",LEFT(AG64,2)&lt;&gt;"Va",AM64&lt;&gt;"H. Sale Real"),IF(AM66-AM64&lt;0.208333333333333,AM66-AM64,""),IF(AND(AM63&lt;&gt;"",LEFT(AG63,2)&lt;&gt;"Va",AM63&lt;&gt;"H. Sale Real"),IF(AM66-AM63&lt;0.208333333333333,AM66-AM63,""),IF(AND(AM62&lt;&gt;"",LEFT(AG62,2)&lt;&gt;"Va",AM62&lt;&gt;"H. Sale Real"),IF(AM66-AM62&lt;0.208333333333333,AM66-AM62,""),IF(AND(AM61&lt;&gt;"",LEFT(AG61,2)&lt;&gt;"Va",AM61&lt;&gt;"H. Sale Real"),IF(AM66-AM61&lt;0.208333333333333,AM66-AM61,""),""))))),""),"")</f>
        <v/>
      </c>
      <c r="AX65" s="89">
        <f>IF(AK65&lt;&gt;"H. Sale Real",IF(AND(AK66&lt;&gt;"",LEFT(AG66,2)&lt;&gt;"Va"),IF(AND(AK65&lt;&gt;"",LEFT(AG65,2)&lt;&gt;"Va",AK65&lt;&gt;"H. Sale Real"),IF(AK66-AK65&lt;0.208333333333333,AK66-AK65,""),IF(AND(AK64&lt;&gt;"",LEFT(AG64,2)&lt;&gt;"Va",AK64&lt;&gt;"H. Sale Real"),IF(AK66-AK64&lt;0.208333333333333,AK66-AK64,""),IF(AND(AK63&lt;&gt;"",LEFT(AG63,2)&lt;&gt;"NC",AK63&lt;&gt;"H. Sale Real"),IF(AK66-AK63&lt;0.208333333333333,AK66-AK63,""),IF(AND(AK62&lt;&gt;"",LEFT(AG62,2)&lt;&gt;"Va",AK62&lt;&gt;"H. Sale Real"),IF(AK66-AK62&lt;0.208333333333333,AK66-AK62,""),IF(AND(AK61&lt;&gt;"",LEFT(AG61,2)&lt;&gt;"Va",AK61&lt;&gt;"H. Sale Real"),IF(AK66-AK61&lt;0.208333333333333,AK66-AK61,""),""))))),""),"")</f>
        <v/>
      </c>
      <c r="AY65" s="87" t="n"/>
      <c r="AZ65" s="89" t="n"/>
      <c r="BA65" s="87" t="n"/>
      <c r="BB65" s="89" t="n"/>
      <c r="BC65" s="91" t="n"/>
      <c r="BD65" s="122">
        <f>IF(AK65&lt;&gt;"",IF(AND(BD64&lt;&gt;"IE",AT65&lt;&gt;0,AV65&lt;&gt;""),IF(IFERROR((AT65/AV65),0) &lt;=1,IFERROR(AT65/AV65,""),1),""),"")</f>
        <v/>
      </c>
      <c r="BE65" s="93" t="n"/>
      <c r="BF65" s="105" t="n"/>
      <c r="FC65" t="inlineStr">
        <is>
          <t>Diccionario 1</t>
        </is>
      </c>
      <c r="FD65" s="15" t="n">
        <v>1062</v>
      </c>
      <c r="FE65" s="15" t="inlineStr">
        <is>
          <t>D8482772K2PL</t>
        </is>
      </c>
      <c r="FF65" s="15" t="inlineStr">
        <is>
          <t>YV3T7U526KA195305</t>
        </is>
      </c>
      <c r="FG65" s="15" t="inlineStr">
        <is>
          <t>Volvo</t>
        </is>
      </c>
      <c r="FH65" s="15" t="inlineStr">
        <is>
          <t>B8R</t>
        </is>
      </c>
      <c r="FI65" s="15" t="inlineStr">
        <is>
          <t>MARCOPOLO</t>
        </is>
      </c>
      <c r="FJ65" s="15" t="inlineStr">
        <is>
          <t>TORINO</t>
        </is>
      </c>
      <c r="FK65" s="15" t="n">
        <v>2019</v>
      </c>
      <c r="FL65" s="15" t="inlineStr">
        <is>
          <t>B2PAL</t>
        </is>
      </c>
      <c r="FM65" s="15" t="inlineStr">
        <is>
          <t>LOS LIBERTADORES</t>
        </is>
      </c>
      <c r="FN65" s="15" t="inlineStr">
        <is>
          <t>Los Liberadores 6450, Lote 4A</t>
        </is>
      </c>
      <c r="FO65" s="15" t="inlineStr">
        <is>
          <t>Huechuraba</t>
        </is>
      </c>
      <c r="FP65" t="inlineStr">
        <is>
          <t>B</t>
        </is>
      </c>
      <c r="FS65" s="14" t="inlineStr">
        <is>
          <t>3019 / SFWB-44|</t>
        </is>
      </c>
      <c r="FT65" t="inlineStr">
        <is>
          <t>SFWB-44|</t>
        </is>
      </c>
      <c r="FU65" t="inlineStr">
        <is>
          <t>SFWB-44</t>
        </is>
      </c>
      <c r="FV65">
        <f>VLOOKUP(FU65,FD:FL,9,0)</f>
        <v/>
      </c>
      <c r="FZ65" s="51" t="inlineStr">
        <is>
          <t>F18</t>
        </is>
      </c>
      <c r="GA65" t="n">
        <v>0</v>
      </c>
      <c r="GB65" t="n">
        <v>0</v>
      </c>
      <c r="GC65" t="n">
        <v>0</v>
      </c>
      <c r="GD65" t="n">
        <v>0</v>
      </c>
      <c r="GE65" t="n">
        <v>12.455</v>
      </c>
      <c r="GF65" t="n">
        <v>21.62</v>
      </c>
      <c r="GG65" t="n">
        <v>17.255</v>
      </c>
      <c r="GH65" t="n">
        <v>13.25</v>
      </c>
      <c r="GI65" t="n">
        <v>14.815</v>
      </c>
      <c r="GJ65" t="n">
        <v>16.34</v>
      </c>
      <c r="GK65" t="n">
        <v>16.345</v>
      </c>
      <c r="GL65" t="n">
        <v>15.99</v>
      </c>
      <c r="GM65" t="n">
        <v>16.115</v>
      </c>
      <c r="GN65" t="n">
        <v>16.01</v>
      </c>
      <c r="GO65" t="n">
        <v>15.745</v>
      </c>
      <c r="GP65" t="n">
        <v>15.215</v>
      </c>
      <c r="GQ65" t="n">
        <v>14.55</v>
      </c>
      <c r="GR65" t="n">
        <v>13.115</v>
      </c>
      <c r="GS65" t="n">
        <v>13.72</v>
      </c>
      <c r="GT65" t="n">
        <v>16</v>
      </c>
      <c r="GU65" t="n">
        <v>18.445</v>
      </c>
      <c r="GV65" t="n">
        <v>20.445</v>
      </c>
      <c r="GW65" t="n">
        <v>22.19</v>
      </c>
      <c r="GX65" t="n">
        <v>11.675</v>
      </c>
      <c r="HA65" s="35" t="n">
        <v>62</v>
      </c>
      <c r="HB65" s="35" t="n">
        <v>59</v>
      </c>
    </row>
    <row r="66" ht="15.5" customHeight="1">
      <c r="A66" s="10">
        <f>HOUR(G66)+1</f>
        <v/>
      </c>
      <c r="B66" s="7" t="n"/>
      <c r="C66" s="7" t="n"/>
      <c r="D66" s="85">
        <f>IFERROR(
IF(AND(OR(Planilla!B66="C",Planilla!B66="c"), VLOOKUP(E66,FD:FP,13,0)="C"), "OK",IF(AND(OR(Planilla!B66="C",Planilla!B66="c"), OR(VLOOKUP(E66,FD:FP,13,0)="B", VLOOKUP(E66,FD:FP,13,0)="A")), "DEFICIT",IF(
AND(OR(Planilla!B66="B", Planilla!B66="BPAL"), VLOOKUP(E66,FD:FP,13,0)="B"), "OK",IF(AND(OR(Planilla!B66="B", Planilla!B66="BPAL"), VLOOKUP(E66,FD:FP,13,0)="A"), "DEFICIT",IF(AND(OR(Planilla!B66="B", Planilla!B66="BPAL"), VLOOKUP(E66,FD:FP,13,0)="C"), "SOBREOFERTA",IF(AND(Planilla!B66="A", VLOOKUP(E66,FD:FP,13,0)="A"), "OK",IF(
AND(Planilla!B66="A", OR(VLOOKUP(E66,FD:FP,13,0)="B", VLOOKUP(E66,FD:FP,13,0)="C")), "SOBREOFERTA",""
))))))),"")</f>
        <v/>
      </c>
      <c r="E66" s="8" t="n"/>
      <c r="F66" s="86" t="n"/>
      <c r="G66" s="87" t="n"/>
      <c r="H66" s="88">
        <f>IF(I66="","",IF(AND((I66-G66)&gt;=TIME(0,0,0),(I66-G66)&lt;TIME(0,3,0)),"OK",IF(AND((I66-G66)&gt;=TIME(0,3,0),(I66-G66)&lt;TIME(0,5,0)),"RETRASO DE 3-5 MIN",IF(AND((I66-G66)&gt;=TIME(0,5,0),(I66-G66)&lt;TIME(0,10,0)),"RETRASO DE 5-10 MIN",IF((I66-G66)&gt;=TIME(0,10,0),"RETRASO &gt;10 MIN", IF(AND((G66-I66)&gt;=TIME(0,0,0),(G66-I66)&lt;TIME(0,3,0)),"OK",IF((G66-I66)&gt;=TIME(0,3,0),"ADELANTADO")))))))</f>
        <v/>
      </c>
      <c r="I66" s="89" t="n"/>
      <c r="J66" s="89">
        <f>IF(A66&lt;&gt;"",HLOOKUP(VALUE(TEXT(G66,"h:mm:ss")),IF($C$6="Laboral",$FZ$4:$GX$227,IF($C$6="Sábado",$FZ$231:$GX$452,$FZ$456:$GX$656)),VLOOKUP($C$4,$HF$2:$HH$99,3,0)+IF(C$5="Ida",0,1),1),"")</f>
        <v/>
      </c>
      <c r="K66" s="89">
        <f>IF(A67&lt;&gt;A66,AVERAGEIF(A$9:A66,A66,J$9:J66),"")</f>
        <v/>
      </c>
      <c r="L66" s="89">
        <f>IFERROR(IF(A67&lt;&gt;A66,AVERAGEIF(A$9:A66,A66,S$9:S66),""),"")</f>
        <v/>
      </c>
      <c r="M66" s="89">
        <f>IFERROR(IF(A67&lt;&gt;A66,AVERAGEIF(A$9:A66,A66,T$9:T66),""),"")</f>
        <v/>
      </c>
      <c r="N66" s="89">
        <f t="array" ref="N66">IFERROR(IF(A67&lt;&gt;A66,_xlfn.STDEV.P(IF(A$9:A66=A66,T$9:T66)),""),"")</f>
        <v/>
      </c>
      <c r="O66" s="89">
        <f t="array" ref="O66">IFERROR(IF(A67&lt;&gt;A66,_xlfn.STDEV.P(IF(A$9:A66=A66,S$9:S66)),""),"")</f>
        <v/>
      </c>
      <c r="P66" s="90">
        <f>IFERROR(IF(A66&lt;&gt;A67,MAX((((M66*24*60)/2)*(1+POWER((((N66*24*60) / (M66*24*60) )),2))) + ((M66*24*60 )*-0.1 + (K66*0.015)) +1,(((M66*24*60)/2)*(1+POWER((((N66*24*60) / (M66*24*60 ))),2)))),""),"")</f>
        <v/>
      </c>
      <c r="Q66" s="90">
        <f>IF(AND(O66&lt;&gt;"",L66&lt;&gt;""),IF(A66&lt;&gt;A67,((L66*24*60) / 2 ) * (1 + POWER(((O66*24*60) / (L66*24*60)),2)),""),"")</f>
        <v/>
      </c>
      <c r="R66" s="90">
        <f>IF(Q66&lt;&gt;"",MAX(P66,Q66),"")</f>
        <v/>
      </c>
      <c r="S66" s="89">
        <f>IF(I66&lt;&gt;"H. Sale Real",IF(AND(I67&lt;&gt;"",LEFT(C67,2)&lt;&gt;"Va"),IF(AND(I66&lt;&gt;"",LEFT(C66,2)&lt;&gt;"Va",I66&lt;&gt;"H. Sale Real"),IF(I67-I66&lt;0.208333333333333,I67-I66,""),IF(AND(I65&lt;&gt;"",LEFT(C65,2)&lt;&gt;"Va",I65&lt;&gt;"H. Sale Real"),IF(I67-I65&lt;0.208333333333333,I67-I65,""),IF(AND(I64&lt;&gt;"",LEFT(C64,2)&lt;&gt;"Va",I64&lt;&gt;"H. Sale Real"),IF(I67-I64&lt;0.208333333333333,I67-I64,""),IF(AND(I63&lt;&gt;"",LEFT(C63,2)&lt;&gt;"Va",I63&lt;&gt;"H. Sale Real"),IF(I67-I63&lt;0.208333333333333,I67-I63,""),IF(AND(I62&lt;&gt;"",LEFT(C62,2)&lt;&gt;"Va",I62&lt;&gt;"H. Sale Real"),IF(I67-I62&lt;0.208333333333333,I67-I62,""),""))))),""),"")</f>
        <v/>
      </c>
      <c r="T66" s="89">
        <f>IF(G66&lt;&gt;"H. Sale Real",IF(AND(G67&lt;&gt;"",LEFT(C67,2)&lt;&gt;"Va"),IF(AND(G66&lt;&gt;"",LEFT(C66,2)&lt;&gt;"Va",G66&lt;&gt;"H. Sale Real"),IF(G67-G66&lt;0.208333333333333,G67-G66,""),IF(AND(G65&lt;&gt;"",LEFT(C65,2)&lt;&gt;"Va",G65&lt;&gt;"H. Sale Real"),IF(G67-G65&lt;0.208333333333333,G67-G65,""),IF(AND(G64&lt;&gt;"",LEFT(C64,2)&lt;&gt;"Va",G64&lt;&gt;"H. Sale Real"),IF(G67-G64&lt;0.208333333333333,G67-G64,""),IF(AND(G63&lt;&gt;"",LEFT(C63,2)&lt;&gt;"Va",G63&lt;&gt;"H. Sale Real"),IF(G67-G63&lt;0.208333333333333,G67-G63,""),IF(AND(G62&lt;&gt;"",LEFT(C62,2)&lt;&gt;"Va",G62&lt;&gt;"H. Sale Real"),IF(G67-G62&lt;0.208333333333333,G67-G62,""),""))))),""),"")</f>
        <v/>
      </c>
      <c r="U66" s="87" t="n"/>
      <c r="V66" s="89" t="n"/>
      <c r="W66" s="87" t="n"/>
      <c r="X66" s="89" t="n"/>
      <c r="Y66" s="91" t="n"/>
      <c r="Z66" s="122">
        <f>IF(G66&lt;&gt;"",IF(AND(Z65&lt;&gt;"IE",P66&lt;&gt;0,R66&lt;&gt;""),IF(IFERROR((P66/R66),0) &lt;=1,IFERROR(P66/R66,""),1),""),"")</f>
        <v/>
      </c>
      <c r="AA66" s="93" t="n"/>
      <c r="AB66" s="2" t="n"/>
      <c r="AE66" s="10">
        <f>HOUR(AK66)+1</f>
        <v/>
      </c>
      <c r="AF66" s="7" t="n"/>
      <c r="AG66" s="7" t="n"/>
      <c r="AH66" s="86" t="n"/>
      <c r="AI66" s="8" t="n"/>
      <c r="AJ66" s="86" t="n"/>
      <c r="AK66" s="87" t="n"/>
      <c r="AL66" s="88">
        <f>IF(AM66="","",IF(AND((AM66-AK66)&gt;=TIME(0,0,0),(AM66-AK66)&lt;TIME(0,3,0)),"OK",IF(AND((AM66-AK66)&gt;=TIME(0,3,0),(AM66-AK66)&lt;TIME(0,5,0)),"RETRASO DE 3-5 MIN",IF(AND((AM66-AK66)&gt;=TIME(0,5,0),(AM66-AK66)&lt;TIME(0,10,0)),"RETRASO DE 5-10 MIN",IF((AM66-AK66)&gt;=TIME(0,10,0),"RETRASO &gt;10 MIN", IF(AND((AK66-AM66)&gt;=TIME(0,0,0),(AK66-AM66)&lt;TIME(0,3,0)),"OK",IF((AK66-AM66)&gt;=TIME(0,3,0),"ADELANTADO")))))))</f>
        <v/>
      </c>
      <c r="AM66" s="91" t="n"/>
      <c r="AN66" s="89">
        <f>IF(AE66&lt;&gt;"",HLOOKUP(VALUE(TEXT(AK66,"h:mm:ss")),IF($C$6="Laboral",$FZ$4:$GX$227,IF($C$6="Sábado",$FZ$231:$GX$452,$FZ$456:$GX$656)),VLOOKUP($C$4,$HF$2:$HH$99,3,0)+IF(AG$5="Ida",0,1),1),"")</f>
        <v/>
      </c>
      <c r="AO66" s="89">
        <f>IF(AE67&lt;&gt;AE66,AVERAGEIF(AE$9:AE66,AE66,AN$9:AN66),"")</f>
        <v/>
      </c>
      <c r="AP66" s="89">
        <f>IFERROR(IF(AE67&lt;&gt;AE66,AVERAGEIF(AE$9:AE66,AE66,AW$9:AW66),""),"")</f>
        <v/>
      </c>
      <c r="AQ66" s="89">
        <f>IFERROR(IF(AE67&lt;&gt;AE66,AVERAGEIF(AE$9:AE66,AE66,AX$9:AX66),""),"")</f>
        <v/>
      </c>
      <c r="AR66" s="89">
        <f t="array" ref="AR66">IFERROR(IF(AE67&lt;&gt;AE66,_xlfn.STDEV.P(IF(AE$9:AE66=AE66,AX$9:AX66)),""),"")</f>
        <v/>
      </c>
      <c r="AS66" s="89">
        <f t="array" ref="AS66">IFERROR(IF(AE67&lt;&gt;AE66,_xlfn.STDEV.P(IF(AE$9:AE66=AE66,AW$9:AW66)),""),"")</f>
        <v/>
      </c>
      <c r="AT66" s="90">
        <f>IFERROR(IF(AE66&lt;&gt;AE67,MAX((((AQ66*24*60)/2)*(1+POWER((((AR66*24*60) / (AQ66*24*60) )),2))) + ((AQ66*24*60 )*-0.1 + (AO66*0.015)) +1,(((AQ66*24*60)/2)*(1+POWER((((AR66*24*60) / (AQ66*24*60 ))),2)))),""),"")</f>
        <v/>
      </c>
      <c r="AU66" s="90">
        <f>IF(AND(AS66&lt;&gt;"",AP66&lt;&gt;""),IF(AE66&lt;&gt;AE67,((AP66*24*60) / 2 ) * (1 + POWER(((AS66*24*60) / (AP66*24*60)),2)),""),"")</f>
        <v/>
      </c>
      <c r="AV66" s="90">
        <f>IF(AU66&lt;&gt;"",MAX(AT66,AU66),"")</f>
        <v/>
      </c>
      <c r="AW66" s="89">
        <f>IF(AM66&lt;&gt;"H. Sale Real",IF(AND(AM67&lt;&gt;"",LEFT(AG67,2)&lt;&gt;"Va"),IF(AND(AM66&lt;&gt;"",LEFT(AG66,2)&lt;&gt;"Va",AM66&lt;&gt;"H. Sale Real"),IF(AM67-AM66&lt;0.208333333333333,AM67-AM66,""),IF(AND(AM65&lt;&gt;"",LEFT(AG65,2)&lt;&gt;"Va",AM65&lt;&gt;"H. Sale Real"),IF(AM67-AM65&lt;0.208333333333333,AM67-AM65,""),IF(AND(AM64&lt;&gt;"",LEFT(AG64,2)&lt;&gt;"Va",AM64&lt;&gt;"H. Sale Real"),IF(AM67-AM64&lt;0.208333333333333,AM67-AM64,""),IF(AND(AM63&lt;&gt;"",LEFT(AG63,2)&lt;&gt;"Va",AM63&lt;&gt;"H. Sale Real"),IF(AM67-AM63&lt;0.208333333333333,AM67-AM63,""),IF(AND(AM62&lt;&gt;"",LEFT(AG62,2)&lt;&gt;"Va",AM62&lt;&gt;"H. Sale Real"),IF(AM67-AM62&lt;0.208333333333333,AM67-AM62,""),""))))),""),"")</f>
        <v/>
      </c>
      <c r="AX66" s="89">
        <f>IF(AK66&lt;&gt;"H. Sale Real",IF(AND(AK67&lt;&gt;"",LEFT(AG67,2)&lt;&gt;"Va"),IF(AND(AK66&lt;&gt;"",LEFT(AG66,2)&lt;&gt;"Va",AK66&lt;&gt;"H. Sale Real"),IF(AK67-AK66&lt;0.208333333333333,AK67-AK66,""),IF(AND(AK65&lt;&gt;"",LEFT(AG65,2)&lt;&gt;"Va",AK65&lt;&gt;"H. Sale Real"),IF(AK67-AK65&lt;0.208333333333333,AK67-AK65,""),IF(AND(AK64&lt;&gt;"",LEFT(AG64,2)&lt;&gt;"NC",AK64&lt;&gt;"H. Sale Real"),IF(AK67-AK64&lt;0.208333333333333,AK67-AK64,""),IF(AND(AK63&lt;&gt;"",LEFT(AG63,2)&lt;&gt;"Va",AK63&lt;&gt;"H. Sale Real"),IF(AK67-AK63&lt;0.208333333333333,AK67-AK63,""),IF(AND(AK62&lt;&gt;"",LEFT(AG62,2)&lt;&gt;"Va",AK62&lt;&gt;"H. Sale Real"),IF(AK67-AK62&lt;0.208333333333333,AK67-AK62,""),""))))),""),"")</f>
        <v/>
      </c>
      <c r="AY66" s="87" t="n"/>
      <c r="AZ66" s="89" t="n"/>
      <c r="BA66" s="87" t="n"/>
      <c r="BB66" s="89" t="n"/>
      <c r="BC66" s="91" t="n"/>
      <c r="BD66" s="122">
        <f>IF(AK66&lt;&gt;"",IF(AND(BD65&lt;&gt;"IE",AT66&lt;&gt;0,AV66&lt;&gt;""),IF(IFERROR((AT66/AV66),0) &lt;=1,IFERROR(AT66/AV66,""),1),""),"")</f>
        <v/>
      </c>
      <c r="BE66" s="93" t="n"/>
      <c r="BF66" s="105" t="n"/>
      <c r="FC66" t="inlineStr">
        <is>
          <t>Diccionario 1</t>
        </is>
      </c>
      <c r="FD66" s="15" t="n">
        <v>1063</v>
      </c>
      <c r="FE66" s="15" t="inlineStr">
        <is>
          <t>D8481853K2PL</t>
        </is>
      </c>
      <c r="FF66" s="15" t="inlineStr">
        <is>
          <t>YV3T7U523KA195195</t>
        </is>
      </c>
      <c r="FG66" s="15" t="inlineStr">
        <is>
          <t>Volvo</t>
        </is>
      </c>
      <c r="FH66" s="15" t="inlineStr">
        <is>
          <t>B8R</t>
        </is>
      </c>
      <c r="FI66" s="15" t="inlineStr">
        <is>
          <t>MARCOPOLO</t>
        </is>
      </c>
      <c r="FJ66" s="15" t="inlineStr">
        <is>
          <t>TORINO</t>
        </is>
      </c>
      <c r="FK66" s="15" t="n">
        <v>2019</v>
      </c>
      <c r="FL66" s="15" t="inlineStr">
        <is>
          <t>B2PAL</t>
        </is>
      </c>
      <c r="FM66" s="15" t="inlineStr">
        <is>
          <t>LOS LIBERTADORES</t>
        </is>
      </c>
      <c r="FN66" s="15" t="inlineStr">
        <is>
          <t>Los Liberadores 6450, Lote 4A</t>
        </is>
      </c>
      <c r="FO66" s="15" t="inlineStr">
        <is>
          <t>Huechuraba</t>
        </is>
      </c>
      <c r="FP66" t="inlineStr">
        <is>
          <t>B</t>
        </is>
      </c>
      <c r="FS66" s="14" t="inlineStr">
        <is>
          <t>3019 / SFWB-44|</t>
        </is>
      </c>
      <c r="FT66" t="inlineStr">
        <is>
          <t>SFWB-44|</t>
        </is>
      </c>
      <c r="FU66" t="inlineStr">
        <is>
          <t>SFWB-44</t>
        </is>
      </c>
      <c r="FV66">
        <f>VLOOKUP(FU66,FD:FL,9,0)</f>
        <v/>
      </c>
      <c r="FZ66" s="51" t="inlineStr">
        <is>
          <t>F18</t>
        </is>
      </c>
      <c r="GA66" t="n">
        <v>13.295</v>
      </c>
      <c r="GB66" t="n">
        <v>0</v>
      </c>
      <c r="GC66" t="n">
        <v>0</v>
      </c>
      <c r="GD66" t="n">
        <v>0</v>
      </c>
      <c r="GE66" t="n">
        <v>0</v>
      </c>
      <c r="GF66" t="n">
        <v>23.32</v>
      </c>
      <c r="GG66" t="n">
        <v>20.475</v>
      </c>
      <c r="GH66" t="n">
        <v>15.33</v>
      </c>
      <c r="GI66" t="n">
        <v>15.75</v>
      </c>
      <c r="GJ66" t="n">
        <v>17.17</v>
      </c>
      <c r="GK66" t="n">
        <v>17.045</v>
      </c>
      <c r="GL66" t="n">
        <v>16.47</v>
      </c>
      <c r="GM66" t="n">
        <v>15.72</v>
      </c>
      <c r="GN66" t="n">
        <v>15.195</v>
      </c>
      <c r="GO66" t="n">
        <v>15.18</v>
      </c>
      <c r="GP66" t="n">
        <v>13.99</v>
      </c>
      <c r="GQ66" t="n">
        <v>13.695</v>
      </c>
      <c r="GR66" t="n">
        <v>13.59</v>
      </c>
      <c r="GS66" t="n">
        <v>14.295</v>
      </c>
      <c r="GT66" t="n">
        <v>15.745</v>
      </c>
      <c r="GU66" t="n">
        <v>17.695</v>
      </c>
      <c r="GV66" t="n">
        <v>19.085</v>
      </c>
      <c r="GW66" t="n">
        <v>20.515</v>
      </c>
      <c r="GX66" t="n">
        <v>22.23</v>
      </c>
      <c r="HA66" s="35" t="n">
        <v>63</v>
      </c>
      <c r="HB66" s="35" t="n">
        <v>60</v>
      </c>
    </row>
    <row r="67" ht="15.5" customHeight="1">
      <c r="A67" s="10">
        <f>HOUR(G67)+1</f>
        <v/>
      </c>
      <c r="B67" s="7" t="n"/>
      <c r="C67" s="7" t="n"/>
      <c r="D67" s="85">
        <f>IFERROR(
IF(AND(OR(Planilla!B67="C",Planilla!B67="c"), VLOOKUP(E67,FD:FP,13,0)="C"), "OK",IF(AND(OR(Planilla!B67="C",Planilla!B67="c"), OR(VLOOKUP(E67,FD:FP,13,0)="B", VLOOKUP(E67,FD:FP,13,0)="A")), "DEFICIT",IF(
AND(OR(Planilla!B67="B", Planilla!B67="BPAL"), VLOOKUP(E67,FD:FP,13,0)="B"), "OK",IF(AND(OR(Planilla!B67="B", Planilla!B67="BPAL"), VLOOKUP(E67,FD:FP,13,0)="A"), "DEFICIT",IF(AND(OR(Planilla!B67="B", Planilla!B67="BPAL"), VLOOKUP(E67,FD:FP,13,0)="C"), "SOBREOFERTA",IF(AND(Planilla!B67="A", VLOOKUP(E67,FD:FP,13,0)="A"), "OK",IF(
AND(Planilla!B67="A", OR(VLOOKUP(E67,FD:FP,13,0)="B", VLOOKUP(E67,FD:FP,13,0)="C")), "SOBREOFERTA",""
))))))),"")</f>
        <v/>
      </c>
      <c r="E67" s="8" t="n"/>
      <c r="F67" s="86" t="n"/>
      <c r="G67" s="87" t="n"/>
      <c r="H67" s="88">
        <f>IF(I67="","",IF(AND((I67-G67)&gt;=TIME(0,0,0),(I67-G67)&lt;TIME(0,3,0)),"OK",IF(AND((I67-G67)&gt;=TIME(0,3,0),(I67-G67)&lt;TIME(0,5,0)),"RETRASO DE 3-5 MIN",IF(AND((I67-G67)&gt;=TIME(0,5,0),(I67-G67)&lt;TIME(0,10,0)),"RETRASO DE 5-10 MIN",IF((I67-G67)&gt;=TIME(0,10,0),"RETRASO &gt;10 MIN", IF(AND((G67-I67)&gt;=TIME(0,0,0),(G67-I67)&lt;TIME(0,3,0)),"OK",IF((G67-I67)&gt;=TIME(0,3,0),"ADELANTADO")))))))</f>
        <v/>
      </c>
      <c r="I67" s="89" t="n"/>
      <c r="J67" s="89">
        <f>IF(A67&lt;&gt;"",HLOOKUP(VALUE(TEXT(G67,"h:mm:ss")),IF($C$6="Laboral",$FZ$4:$GX$227,IF($C$6="Sábado",$FZ$231:$GX$452,$FZ$456:$GX$656)),VLOOKUP($C$4,$HF$2:$HH$99,3,0)+IF(C$5="Ida",0,1),1),"")</f>
        <v/>
      </c>
      <c r="K67" s="89">
        <f>IF(A68&lt;&gt;A67,AVERAGEIF(A$9:A67,A67,J$9:J67),"")</f>
        <v/>
      </c>
      <c r="L67" s="89">
        <f>IFERROR(IF(A68&lt;&gt;A67,AVERAGEIF(A$9:A67,A67,S$9:S67),""),"")</f>
        <v/>
      </c>
      <c r="M67" s="89">
        <f>IFERROR(IF(A68&lt;&gt;A67,AVERAGEIF(A$9:A67,A67,T$9:T67),""),"")</f>
        <v/>
      </c>
      <c r="N67" s="89">
        <f t="array" ref="N67">IFERROR(IF(A68&lt;&gt;A67,_xlfn.STDEV.P(IF(A$9:A67=A67,T$9:T67)),""),"")</f>
        <v/>
      </c>
      <c r="O67" s="89">
        <f t="array" ref="O67">IFERROR(IF(A68&lt;&gt;A67,_xlfn.STDEV.P(IF(A$9:A67=A67,S$9:S67)),""),"")</f>
        <v/>
      </c>
      <c r="P67" s="90">
        <f>IFERROR(IF(A67&lt;&gt;A68,MAX((((M67*24*60)/2)*(1+POWER((((N67*24*60) / (M67*24*60) )),2))) + ((M67*24*60 )*-0.1 + (K67*0.015)) +1,(((M67*24*60)/2)*(1+POWER((((N67*24*60) / (M67*24*60 ))),2)))),""),"")</f>
        <v/>
      </c>
      <c r="Q67" s="90">
        <f>IF(AND(O67&lt;&gt;"",L67&lt;&gt;""),IF(A67&lt;&gt;A68,((L67*24*60) / 2 ) * (1 + POWER(((O67*24*60) / (L67*24*60)),2)),""),"")</f>
        <v/>
      </c>
      <c r="R67" s="90">
        <f>IF(Q67&lt;&gt;"",MAX(P67,Q67),"")</f>
        <v/>
      </c>
      <c r="S67" s="89">
        <f>IF(I67&lt;&gt;"H. Sale Real",IF(AND(I68&lt;&gt;"",LEFT(C68,2)&lt;&gt;"Va"),IF(AND(I67&lt;&gt;"",LEFT(C67,2)&lt;&gt;"Va",I67&lt;&gt;"H. Sale Real"),IF(I68-I67&lt;0.208333333333333,I68-I67,""),IF(AND(I66&lt;&gt;"",LEFT(C66,2)&lt;&gt;"Va",I66&lt;&gt;"H. Sale Real"),IF(I68-I66&lt;0.208333333333333,I68-I66,""),IF(AND(I65&lt;&gt;"",LEFT(C65,2)&lt;&gt;"Va",I65&lt;&gt;"H. Sale Real"),IF(I68-I65&lt;0.208333333333333,I68-I65,""),IF(AND(I64&lt;&gt;"",LEFT(C64,2)&lt;&gt;"Va",I64&lt;&gt;"H. Sale Real"),IF(I68-I64&lt;0.208333333333333,I68-I64,""),IF(AND(I63&lt;&gt;"",LEFT(C63,2)&lt;&gt;"Va",I63&lt;&gt;"H. Sale Real"),IF(I68-I63&lt;0.208333333333333,I68-I63,""),""))))),""),"")</f>
        <v/>
      </c>
      <c r="T67" s="89">
        <f>IF(G67&lt;&gt;"H. Sale Real",IF(AND(G68&lt;&gt;"",LEFT(C68,2)&lt;&gt;"Va"),IF(AND(G67&lt;&gt;"",LEFT(C67,2)&lt;&gt;"Va",G67&lt;&gt;"H. Sale Real"),IF(G68-G67&lt;0.208333333333333,G68-G67,""),IF(AND(G66&lt;&gt;"",LEFT(C66,2)&lt;&gt;"Va",G66&lt;&gt;"H. Sale Real"),IF(G68-G66&lt;0.208333333333333,G68-G66,""),IF(AND(G65&lt;&gt;"",LEFT(C65,2)&lt;&gt;"Va",G65&lt;&gt;"H. Sale Real"),IF(G68-G65&lt;0.208333333333333,G68-G65,""),IF(AND(G64&lt;&gt;"",LEFT(C64,2)&lt;&gt;"Va",G64&lt;&gt;"H. Sale Real"),IF(G68-G64&lt;0.208333333333333,G68-G64,""),IF(AND(G63&lt;&gt;"",LEFT(C63,2)&lt;&gt;"Va",G63&lt;&gt;"H. Sale Real"),IF(G68-G63&lt;0.208333333333333,G68-G63,""),""))))),""),"")</f>
        <v/>
      </c>
      <c r="U67" s="87" t="n"/>
      <c r="V67" s="89" t="n"/>
      <c r="W67" s="87" t="n"/>
      <c r="X67" s="89" t="n"/>
      <c r="Y67" s="91" t="n"/>
      <c r="Z67" s="122">
        <f>IF(G67&lt;&gt;"",IF(AND(Z66&lt;&gt;"IE",P67&lt;&gt;0,R67&lt;&gt;""),IF(IFERROR((P67/R67),0) &lt;=1,IFERROR(P67/R67,""),1),""),"")</f>
        <v/>
      </c>
      <c r="AA67" s="93" t="n"/>
      <c r="AB67" s="2" t="n"/>
      <c r="AE67" s="10">
        <f>HOUR(AK67)+1</f>
        <v/>
      </c>
      <c r="AF67" s="7" t="n"/>
      <c r="AG67" s="7" t="n"/>
      <c r="AH67" s="86" t="n"/>
      <c r="AI67" s="8" t="n"/>
      <c r="AJ67" s="86" t="n"/>
      <c r="AK67" s="87" t="n"/>
      <c r="AL67" s="88">
        <f>IF(AM67="","",IF(AND((AM67-AK67)&gt;=TIME(0,0,0),(AM67-AK67)&lt;TIME(0,3,0)),"OK",IF(AND((AM67-AK67)&gt;=TIME(0,3,0),(AM67-AK67)&lt;TIME(0,5,0)),"RETRASO DE 3-5 MIN",IF(AND((AM67-AK67)&gt;=TIME(0,5,0),(AM67-AK67)&lt;TIME(0,10,0)),"RETRASO DE 5-10 MIN",IF((AM67-AK67)&gt;=TIME(0,10,0),"RETRASO &gt;10 MIN", IF(AND((AK67-AM67)&gt;=TIME(0,0,0),(AK67-AM67)&lt;TIME(0,3,0)),"OK",IF((AK67-AM67)&gt;=TIME(0,3,0),"ADELANTADO")))))))</f>
        <v/>
      </c>
      <c r="AM67" s="91" t="n"/>
      <c r="AN67" s="89">
        <f>IF(AE67&lt;&gt;"",HLOOKUP(VALUE(TEXT(AK67,"h:mm:ss")),IF($C$6="Laboral",$FZ$4:$GX$227,IF($C$6="Sábado",$FZ$231:$GX$452,$FZ$456:$GX$656)),VLOOKUP($C$4,$HF$2:$HH$99,3,0)+IF(AG$5="Ida",0,1),1),"")</f>
        <v/>
      </c>
      <c r="AO67" s="89">
        <f>IF(AE68&lt;&gt;AE67,AVERAGEIF(AE$9:AE67,AE67,AN$9:AN67),"")</f>
        <v/>
      </c>
      <c r="AP67" s="89">
        <f>IFERROR(IF(AE68&lt;&gt;AE67,AVERAGEIF(AE$9:AE67,AE67,AW$9:AW67),""),"")</f>
        <v/>
      </c>
      <c r="AQ67" s="89">
        <f>IFERROR(IF(AE68&lt;&gt;AE67,AVERAGEIF(AE$9:AE67,AE67,AX$9:AX67),""),"")</f>
        <v/>
      </c>
      <c r="AR67" s="89">
        <f t="array" ref="AR67">IFERROR(IF(AE68&lt;&gt;AE67,_xlfn.STDEV.P(IF(AE$9:AE67=AE67,AX$9:AX67)),""),"")</f>
        <v/>
      </c>
      <c r="AS67" s="89">
        <f t="array" ref="AS67">IFERROR(IF(AE68&lt;&gt;AE67,_xlfn.STDEV.P(IF(AE$9:AE67=AE67,AW$9:AW67)),""),"")</f>
        <v/>
      </c>
      <c r="AT67" s="90">
        <f>IFERROR(IF(AE67&lt;&gt;AE68,MAX((((AQ67*24*60)/2)*(1+POWER((((AR67*24*60) / (AQ67*24*60) )),2))) + ((AQ67*24*60 )*-0.1 + (AO67*0.015)) +1,(((AQ67*24*60)/2)*(1+POWER((((AR67*24*60) / (AQ67*24*60 ))),2)))),""),"")</f>
        <v/>
      </c>
      <c r="AU67" s="90">
        <f>IF(AND(AS67&lt;&gt;"",AP67&lt;&gt;""),IF(AE67&lt;&gt;AE68,((AP67*24*60) / 2 ) * (1 + POWER(((AS67*24*60) / (AP67*24*60)),2)),""),"")</f>
        <v/>
      </c>
      <c r="AV67" s="90">
        <f>IF(AU67&lt;&gt;"",MAX(AT67,AU67),"")</f>
        <v/>
      </c>
      <c r="AW67" s="89">
        <f>IF(AM67&lt;&gt;"H. Sale Real",IF(AND(AM68&lt;&gt;"",LEFT(AG68,2)&lt;&gt;"Va"),IF(AND(AM67&lt;&gt;"",LEFT(AG67,2)&lt;&gt;"Va",AM67&lt;&gt;"H. Sale Real"),IF(AM68-AM67&lt;0.208333333333333,AM68-AM67,""),IF(AND(AM66&lt;&gt;"",LEFT(AG66,2)&lt;&gt;"Va",AM66&lt;&gt;"H. Sale Real"),IF(AM68-AM66&lt;0.208333333333333,AM68-AM66,""),IF(AND(AM65&lt;&gt;"",LEFT(AG65,2)&lt;&gt;"Va",AM65&lt;&gt;"H. Sale Real"),IF(AM68-AM65&lt;0.208333333333333,AM68-AM65,""),IF(AND(AM64&lt;&gt;"",LEFT(AG64,2)&lt;&gt;"Va",AM64&lt;&gt;"H. Sale Real"),IF(AM68-AM64&lt;0.208333333333333,AM68-AM64,""),IF(AND(AM63&lt;&gt;"",LEFT(AG63,2)&lt;&gt;"Va",AM63&lt;&gt;"H. Sale Real"),IF(AM68-AM63&lt;0.208333333333333,AM68-AM63,""),""))))),""),"")</f>
        <v/>
      </c>
      <c r="AX67" s="89">
        <f>IF(AK67&lt;&gt;"H. Sale Real",IF(AND(AK68&lt;&gt;"",LEFT(AG68,2)&lt;&gt;"Va"),IF(AND(AK67&lt;&gt;"",LEFT(AG67,2)&lt;&gt;"Va",AK67&lt;&gt;"H. Sale Real"),IF(AK68-AK67&lt;0.208333333333333,AK68-AK67,""),IF(AND(AK66&lt;&gt;"",LEFT(AG66,2)&lt;&gt;"Va",AK66&lt;&gt;"H. Sale Real"),IF(AK68-AK66&lt;0.208333333333333,AK68-AK66,""),IF(AND(AK65&lt;&gt;"",LEFT(AG65,2)&lt;&gt;"NC",AK65&lt;&gt;"H. Sale Real"),IF(AK68-AK65&lt;0.208333333333333,AK68-AK65,""),IF(AND(AK64&lt;&gt;"",LEFT(AG64,2)&lt;&gt;"Va",AK64&lt;&gt;"H. Sale Real"),IF(AK68-AK64&lt;0.208333333333333,AK68-AK64,""),IF(AND(AK63&lt;&gt;"",LEFT(AG63,2)&lt;&gt;"Va",AK63&lt;&gt;"H. Sale Real"),IF(AK68-AK63&lt;0.208333333333333,AK68-AK63,""),""))))),""),"")</f>
        <v/>
      </c>
      <c r="AY67" s="87" t="n"/>
      <c r="AZ67" s="89" t="n"/>
      <c r="BA67" s="87" t="n"/>
      <c r="BB67" s="89" t="n"/>
      <c r="BC67" s="91" t="n"/>
      <c r="BD67" s="122">
        <f>IF(AK67&lt;&gt;"",IF(AND(BD66&lt;&gt;"IE",AT67&lt;&gt;0,AV67&lt;&gt;""),IF(IFERROR((AT67/AV67),0) &lt;=1,IFERROR(AT67/AV67,""),1),""),"")</f>
        <v/>
      </c>
      <c r="BE67" s="93" t="n"/>
      <c r="BF67" s="105" t="n"/>
      <c r="FC67" t="inlineStr">
        <is>
          <t>Diccionario 1</t>
        </is>
      </c>
      <c r="FD67" s="15" t="n">
        <v>1064</v>
      </c>
      <c r="FE67" s="15" t="inlineStr">
        <is>
          <t>D8482473K2PL</t>
        </is>
      </c>
      <c r="FF67" s="15" t="inlineStr">
        <is>
          <t>YV3T7U520KA195316</t>
        </is>
      </c>
      <c r="FG67" s="15" t="inlineStr">
        <is>
          <t>Volvo</t>
        </is>
      </c>
      <c r="FH67" s="15" t="inlineStr">
        <is>
          <t>B8R</t>
        </is>
      </c>
      <c r="FI67" s="15" t="inlineStr">
        <is>
          <t>MARCOPOLO</t>
        </is>
      </c>
      <c r="FJ67" s="15" t="inlineStr">
        <is>
          <t>TORINO</t>
        </is>
      </c>
      <c r="FK67" s="15" t="n">
        <v>2019</v>
      </c>
      <c r="FL67" s="15" t="inlineStr">
        <is>
          <t>B2PAL</t>
        </is>
      </c>
      <c r="FM67" s="15" t="inlineStr">
        <is>
          <t>LOS LIBERTADORES</t>
        </is>
      </c>
      <c r="FN67" s="15" t="inlineStr">
        <is>
          <t>Los Liberadores 6450, Lote 4A</t>
        </is>
      </c>
      <c r="FO67" s="15" t="inlineStr">
        <is>
          <t>Huechuraba</t>
        </is>
      </c>
      <c r="FP67" t="inlineStr">
        <is>
          <t>B</t>
        </is>
      </c>
      <c r="FS67" s="14" t="inlineStr">
        <is>
          <t>3019 / SFWB-44|</t>
        </is>
      </c>
      <c r="FT67" t="inlineStr">
        <is>
          <t>SFWB-44|</t>
        </is>
      </c>
      <c r="FU67" t="inlineStr">
        <is>
          <t>SFWB-44</t>
        </is>
      </c>
      <c r="FV67">
        <f>VLOOKUP(FU67,FD:FL,9,0)</f>
        <v/>
      </c>
      <c r="FZ67" s="51" t="inlineStr">
        <is>
          <t>F20</t>
        </is>
      </c>
      <c r="GA67" t="n">
        <v>30.495</v>
      </c>
      <c r="GB67" t="n">
        <v>31.32</v>
      </c>
      <c r="GC67" t="n">
        <v>31.35</v>
      </c>
      <c r="GD67" t="n">
        <v>31.55</v>
      </c>
      <c r="GE67" t="n">
        <v>30.11</v>
      </c>
      <c r="GF67" t="n">
        <v>25.53</v>
      </c>
      <c r="GG67" t="n">
        <v>19.23</v>
      </c>
      <c r="GH67" t="n">
        <v>15.43</v>
      </c>
      <c r="GI67" t="n">
        <v>17.015</v>
      </c>
      <c r="GJ67" t="n">
        <v>18.07</v>
      </c>
      <c r="GK67" t="n">
        <v>18.03</v>
      </c>
      <c r="GL67" t="n">
        <v>17.705</v>
      </c>
      <c r="GM67" t="n">
        <v>17.075</v>
      </c>
      <c r="GN67" t="n">
        <v>17.04</v>
      </c>
      <c r="GO67" t="n">
        <v>17.33</v>
      </c>
      <c r="GP67" t="n">
        <v>16.615</v>
      </c>
      <c r="GQ67" t="n">
        <v>15.44</v>
      </c>
      <c r="GR67" t="n">
        <v>14.065</v>
      </c>
      <c r="GS67" t="n">
        <v>13.95</v>
      </c>
      <c r="GT67" t="n">
        <v>15.7</v>
      </c>
      <c r="GU67" t="n">
        <v>18.305</v>
      </c>
      <c r="GV67" t="n">
        <v>20.43</v>
      </c>
      <c r="GW67" t="n">
        <v>22.505</v>
      </c>
      <c r="GX67" t="n">
        <v>26.53</v>
      </c>
      <c r="HA67" s="35" t="n">
        <v>64</v>
      </c>
      <c r="HB67" s="35" t="n">
        <v>61</v>
      </c>
    </row>
    <row r="68" ht="15.5" customHeight="1">
      <c r="A68" s="10">
        <f>HOUR(G68)+1</f>
        <v/>
      </c>
      <c r="B68" s="7" t="n"/>
      <c r="C68" s="7" t="n"/>
      <c r="D68" s="85">
        <f>IFERROR(
IF(AND(OR(Planilla!B68="C",Planilla!B68="c"), VLOOKUP(E68,FD:FP,13,0)="C"), "OK",IF(AND(OR(Planilla!B68="C",Planilla!B68="c"), OR(VLOOKUP(E68,FD:FP,13,0)="B", VLOOKUP(E68,FD:FP,13,0)="A")), "DEFICIT",IF(
AND(OR(Planilla!B68="B", Planilla!B68="BPAL"), VLOOKUP(E68,FD:FP,13,0)="B"), "OK",IF(AND(OR(Planilla!B68="B", Planilla!B68="BPAL"), VLOOKUP(E68,FD:FP,13,0)="A"), "DEFICIT",IF(AND(OR(Planilla!B68="B", Planilla!B68="BPAL"), VLOOKUP(E68,FD:FP,13,0)="C"), "SOBREOFERTA",IF(AND(Planilla!B68="A", VLOOKUP(E68,FD:FP,13,0)="A"), "OK",IF(
AND(Planilla!B68="A", OR(VLOOKUP(E68,FD:FP,13,0)="B", VLOOKUP(E68,FD:FP,13,0)="C")), "SOBREOFERTA",""
))))))),"")</f>
        <v/>
      </c>
      <c r="E68" s="8" t="n"/>
      <c r="F68" s="86" t="n"/>
      <c r="G68" s="87" t="n"/>
      <c r="H68" s="88">
        <f>IF(I68="","",IF(AND((I68-G68)&gt;=TIME(0,0,0),(I68-G68)&lt;TIME(0,3,0)),"OK",IF(AND((I68-G68)&gt;=TIME(0,3,0),(I68-G68)&lt;TIME(0,5,0)),"RETRASO DE 3-5 MIN",IF(AND((I68-G68)&gt;=TIME(0,5,0),(I68-G68)&lt;TIME(0,10,0)),"RETRASO DE 5-10 MIN",IF((I68-G68)&gt;=TIME(0,10,0),"RETRASO &gt;10 MIN", IF(AND((G68-I68)&gt;=TIME(0,0,0),(G68-I68)&lt;TIME(0,3,0)),"OK",IF((G68-I68)&gt;=TIME(0,3,0),"ADELANTADO")))))))</f>
        <v/>
      </c>
      <c r="I68" s="89" t="n"/>
      <c r="J68" s="89">
        <f>IF(A68&lt;&gt;"",HLOOKUP(VALUE(TEXT(G68,"h:mm:ss")),IF($C$6="Laboral",$FZ$4:$GX$227,IF($C$6="Sábado",$FZ$231:$GX$452,$FZ$456:$GX$656)),VLOOKUP($C$4,$HF$2:$HH$99,3,0)+IF(C$5="Ida",0,1),1),"")</f>
        <v/>
      </c>
      <c r="K68" s="89">
        <f>IF(A69&lt;&gt;A68,AVERAGEIF(A$9:A68,A68,J$9:J68),"")</f>
        <v/>
      </c>
      <c r="L68" s="89">
        <f>IFERROR(IF(A69&lt;&gt;A68,AVERAGEIF(A$9:A68,A68,S$9:S68),""),"")</f>
        <v/>
      </c>
      <c r="M68" s="89">
        <f>IFERROR(IF(A69&lt;&gt;A68,AVERAGEIF(A$9:A68,A68,T$9:T68),""),"")</f>
        <v/>
      </c>
      <c r="N68" s="89">
        <f t="array" ref="N68">IFERROR(IF(A69&lt;&gt;A68,_xlfn.STDEV.P(IF(A$9:A68=A68,T$9:T68)),""),"")</f>
        <v/>
      </c>
      <c r="O68" s="89">
        <f t="array" ref="O68">IFERROR(IF(A69&lt;&gt;A68,_xlfn.STDEV.P(IF(A$9:A68=A68,S$9:S68)),""),"")</f>
        <v/>
      </c>
      <c r="P68" s="90">
        <f>IFERROR(IF(A68&lt;&gt;A69,MAX((((M68*24*60)/2)*(1+POWER((((N68*24*60) / (M68*24*60) )),2))) + ((M68*24*60 )*-0.1 + (K68*0.015)) +1,(((M68*24*60)/2)*(1+POWER((((N68*24*60) / (M68*24*60 ))),2)))),""),"")</f>
        <v/>
      </c>
      <c r="Q68" s="90">
        <f>IF(AND(O68&lt;&gt;"",L68&lt;&gt;""),IF(A68&lt;&gt;A69,((L68*24*60) / 2 ) * (1 + POWER(((O68*24*60) / (L68*24*60)),2)),""),"")</f>
        <v/>
      </c>
      <c r="R68" s="90">
        <f>IF(Q68&lt;&gt;"",MAX(P68,Q68),"")</f>
        <v/>
      </c>
      <c r="S68" s="89">
        <f>IF(I68&lt;&gt;"H. Sale Real",IF(AND(I69&lt;&gt;"",LEFT(C69,2)&lt;&gt;"Va"),IF(AND(I68&lt;&gt;"",LEFT(C68,2)&lt;&gt;"Va",I68&lt;&gt;"H. Sale Real"),IF(I69-I68&lt;0.208333333333333,I69-I68,""),IF(AND(I67&lt;&gt;"",LEFT(C67,2)&lt;&gt;"Va",I67&lt;&gt;"H. Sale Real"),IF(I69-I67&lt;0.208333333333333,I69-I67,""),IF(AND(I66&lt;&gt;"",LEFT(C66,2)&lt;&gt;"Va",I66&lt;&gt;"H. Sale Real"),IF(I69-I66&lt;0.208333333333333,I69-I66,""),IF(AND(I65&lt;&gt;"",LEFT(C65,2)&lt;&gt;"Va",I65&lt;&gt;"H. Sale Real"),IF(I69-I65&lt;0.208333333333333,I69-I65,""),IF(AND(I64&lt;&gt;"",LEFT(C64,2)&lt;&gt;"Va",I64&lt;&gt;"H. Sale Real"),IF(I69-I64&lt;0.208333333333333,I69-I64,""),""))))),""),"")</f>
        <v/>
      </c>
      <c r="T68" s="89">
        <f>IF(G68&lt;&gt;"H. Sale Real",IF(AND(G69&lt;&gt;"",LEFT(C69,2)&lt;&gt;"Va"),IF(AND(G68&lt;&gt;"",LEFT(C68,2)&lt;&gt;"Va",G68&lt;&gt;"H. Sale Real"),IF(G69-G68&lt;0.208333333333333,G69-G68,""),IF(AND(G67&lt;&gt;"",LEFT(C67,2)&lt;&gt;"Va",G67&lt;&gt;"H. Sale Real"),IF(G69-G67&lt;0.208333333333333,G69-G67,""),IF(AND(G66&lt;&gt;"",LEFT(C66,2)&lt;&gt;"Va",G66&lt;&gt;"H. Sale Real"),IF(G69-G66&lt;0.208333333333333,G69-G66,""),IF(AND(G65&lt;&gt;"",LEFT(C65,2)&lt;&gt;"Va",G65&lt;&gt;"H. Sale Real"),IF(G69-G65&lt;0.208333333333333,G69-G65,""),IF(AND(G64&lt;&gt;"",LEFT(C64,2)&lt;&gt;"Va",G64&lt;&gt;"H. Sale Real"),IF(G69-G64&lt;0.208333333333333,G69-G64,""),""))))),""),"")</f>
        <v/>
      </c>
      <c r="U68" s="87" t="n"/>
      <c r="V68" s="89" t="n"/>
      <c r="W68" s="87" t="n"/>
      <c r="X68" s="89" t="n"/>
      <c r="Y68" s="91" t="n"/>
      <c r="Z68" s="122">
        <f>IF(G68&lt;&gt;"",IF(AND(Z67&lt;&gt;"IE",P68&lt;&gt;0,R68&lt;&gt;""),IF(IFERROR((P68/R68),0) &lt;=1,IFERROR(P68/R68,""),1),""),"")</f>
        <v/>
      </c>
      <c r="AA68" s="93" t="n"/>
      <c r="AB68" s="2" t="n"/>
      <c r="AE68" s="10">
        <f>HOUR(AK68)+1</f>
        <v/>
      </c>
      <c r="AF68" s="7" t="n"/>
      <c r="AG68" s="7" t="n"/>
      <c r="AH68" s="86" t="n"/>
      <c r="AI68" s="8" t="n"/>
      <c r="AJ68" s="86" t="n"/>
      <c r="AK68" s="87" t="n"/>
      <c r="AL68" s="88">
        <f>IF(AM68="","",IF(AND((AM68-AK68)&gt;=TIME(0,0,0),(AM68-AK68)&lt;TIME(0,3,0)),"OK",IF(AND((AM68-AK68)&gt;=TIME(0,3,0),(AM68-AK68)&lt;TIME(0,5,0)),"RETRASO DE 3-5 MIN",IF(AND((AM68-AK68)&gt;=TIME(0,5,0),(AM68-AK68)&lt;TIME(0,10,0)),"RETRASO DE 5-10 MIN",IF((AM68-AK68)&gt;=TIME(0,10,0),"RETRASO &gt;10 MIN", IF(AND((AK68-AM68)&gt;=TIME(0,0,0),(AK68-AM68)&lt;TIME(0,3,0)),"OK",IF((AK68-AM68)&gt;=TIME(0,3,0),"ADELANTADO")))))))</f>
        <v/>
      </c>
      <c r="AM68" s="91" t="n"/>
      <c r="AN68" s="89">
        <f>IF(AE68&lt;&gt;"",HLOOKUP(VALUE(TEXT(AK68,"h:mm:ss")),IF($C$6="Laboral",$FZ$4:$GX$227,IF($C$6="Sábado",$FZ$231:$GX$452,$FZ$456:$GX$656)),VLOOKUP($C$4,$HF$2:$HH$99,3,0)+IF(AG$5="Ida",0,1),1),"")</f>
        <v/>
      </c>
      <c r="AO68" s="89">
        <f>IF(AE69&lt;&gt;AE68,AVERAGEIF(AE$9:AE68,AE68,AN$9:AN68),"")</f>
        <v/>
      </c>
      <c r="AP68" s="89">
        <f>IFERROR(IF(AE69&lt;&gt;AE68,AVERAGEIF(AE$9:AE68,AE68,AW$9:AW68),""),"")</f>
        <v/>
      </c>
      <c r="AQ68" s="89">
        <f>IFERROR(IF(AE69&lt;&gt;AE68,AVERAGEIF(AE$9:AE68,AE68,AX$9:AX68),""),"")</f>
        <v/>
      </c>
      <c r="AR68" s="89">
        <f t="array" ref="AR68">IFERROR(IF(AE69&lt;&gt;AE68,_xlfn.STDEV.P(IF(AE$9:AE68=AE68,AX$9:AX68)),""),"")</f>
        <v/>
      </c>
      <c r="AS68" s="89">
        <f t="array" ref="AS68">IFERROR(IF(AE69&lt;&gt;AE68,_xlfn.STDEV.P(IF(AE$9:AE68=AE68,AW$9:AW68)),""),"")</f>
        <v/>
      </c>
      <c r="AT68" s="90">
        <f>IFERROR(IF(AE68&lt;&gt;AE69,MAX((((AQ68*24*60)/2)*(1+POWER((((AR68*24*60) / (AQ68*24*60) )),2))) + ((AQ68*24*60 )*-0.1 + (AO68*0.015)) +1,(((AQ68*24*60)/2)*(1+POWER((((AR68*24*60) / (AQ68*24*60 ))),2)))),""),"")</f>
        <v/>
      </c>
      <c r="AU68" s="90">
        <f>IF(AND(AS68&lt;&gt;"",AP68&lt;&gt;""),IF(AE68&lt;&gt;AE69,((AP68*24*60) / 2 ) * (1 + POWER(((AS68*24*60) / (AP68*24*60)),2)),""),"")</f>
        <v/>
      </c>
      <c r="AV68" s="90">
        <f>IF(AU68&lt;&gt;"",MAX(AT68,AU68),"")</f>
        <v/>
      </c>
      <c r="AW68" s="89">
        <f>IF(AM68&lt;&gt;"H. Sale Real",IF(AND(AM69&lt;&gt;"",LEFT(AG69,2)&lt;&gt;"Va"),IF(AND(AM68&lt;&gt;"",LEFT(AG68,2)&lt;&gt;"Va",AM68&lt;&gt;"H. Sale Real"),IF(AM69-AM68&lt;0.208333333333333,AM69-AM68,""),IF(AND(AM67&lt;&gt;"",LEFT(AG67,2)&lt;&gt;"Va",AM67&lt;&gt;"H. Sale Real"),IF(AM69-AM67&lt;0.208333333333333,AM69-AM67,""),IF(AND(AM66&lt;&gt;"",LEFT(AG66,2)&lt;&gt;"Va",AM66&lt;&gt;"H. Sale Real"),IF(AM69-AM66&lt;0.208333333333333,AM69-AM66,""),IF(AND(AM65&lt;&gt;"",LEFT(AG65,2)&lt;&gt;"Va",AM65&lt;&gt;"H. Sale Real"),IF(AM69-AM65&lt;0.208333333333333,AM69-AM65,""),IF(AND(AM64&lt;&gt;"",LEFT(AG64,2)&lt;&gt;"Va",AM64&lt;&gt;"H. Sale Real"),IF(AM69-AM64&lt;0.208333333333333,AM69-AM64,""),""))))),""),"")</f>
        <v/>
      </c>
      <c r="AX68" s="89">
        <f>IF(AK68&lt;&gt;"H. Sale Real",IF(AND(AK69&lt;&gt;"",LEFT(AG69,2)&lt;&gt;"Va"),IF(AND(AK68&lt;&gt;"",LEFT(AG68,2)&lt;&gt;"Va",AK68&lt;&gt;"H. Sale Real"),IF(AK69-AK68&lt;0.208333333333333,AK69-AK68,""),IF(AND(AK67&lt;&gt;"",LEFT(AG67,2)&lt;&gt;"Va",AK67&lt;&gt;"H. Sale Real"),IF(AK69-AK67&lt;0.208333333333333,AK69-AK67,""),IF(AND(AK66&lt;&gt;"",LEFT(AG66,2)&lt;&gt;"NC",AK66&lt;&gt;"H. Sale Real"),IF(AK69-AK66&lt;0.208333333333333,AK69-AK66,""),IF(AND(AK65&lt;&gt;"",LEFT(AG65,2)&lt;&gt;"Va",AK65&lt;&gt;"H. Sale Real"),IF(AK69-AK65&lt;0.208333333333333,AK69-AK65,""),IF(AND(AK64&lt;&gt;"",LEFT(AG64,2)&lt;&gt;"Va",AK64&lt;&gt;"H. Sale Real"),IF(AK69-AK64&lt;0.208333333333333,AK69-AK64,""),""))))),""),"")</f>
        <v/>
      </c>
      <c r="AY68" s="87" t="n"/>
      <c r="AZ68" s="89" t="n"/>
      <c r="BA68" s="87" t="n"/>
      <c r="BB68" s="89" t="n"/>
      <c r="BC68" s="91" t="n"/>
      <c r="BD68" s="122">
        <f>IF(AK68&lt;&gt;"",IF(AND(BD67&lt;&gt;"IE",AT68&lt;&gt;0,AV68&lt;&gt;""),IF(IFERROR((AT68/AV68),0) &lt;=1,IFERROR(AT68/AV68,""),1),""),"")</f>
        <v/>
      </c>
      <c r="BE68" s="93" t="n"/>
      <c r="BF68" s="105" t="n"/>
      <c r="FC68" t="inlineStr">
        <is>
          <t>Diccionario 1</t>
        </is>
      </c>
      <c r="FD68" s="15" t="n">
        <v>1065</v>
      </c>
      <c r="FE68" s="15" t="inlineStr">
        <is>
          <t>D8484011K2PL</t>
        </is>
      </c>
      <c r="FF68" s="15" t="inlineStr">
        <is>
          <t>YV3T7U522KA195592</t>
        </is>
      </c>
      <c r="FG68" s="15" t="inlineStr">
        <is>
          <t>Volvo</t>
        </is>
      </c>
      <c r="FH68" s="15" t="inlineStr">
        <is>
          <t>B8R</t>
        </is>
      </c>
      <c r="FI68" s="15" t="inlineStr">
        <is>
          <t>MARCOPOLO</t>
        </is>
      </c>
      <c r="FJ68" s="15" t="inlineStr">
        <is>
          <t>TORINO</t>
        </is>
      </c>
      <c r="FK68" s="15" t="n">
        <v>2019</v>
      </c>
      <c r="FL68" s="15" t="inlineStr">
        <is>
          <t>B2PAL</t>
        </is>
      </c>
      <c r="FM68" s="15" t="inlineStr">
        <is>
          <t>LOS LIBERTADORES</t>
        </is>
      </c>
      <c r="FN68" s="15" t="inlineStr">
        <is>
          <t>Los Liberadores 6450, Lote 4A</t>
        </is>
      </c>
      <c r="FO68" s="15" t="inlineStr">
        <is>
          <t>Huechuraba</t>
        </is>
      </c>
      <c r="FP68" t="inlineStr">
        <is>
          <t>B</t>
        </is>
      </c>
      <c r="FS68" s="14" t="inlineStr">
        <is>
          <t>3019 / SFWB-44|</t>
        </is>
      </c>
      <c r="FT68" t="inlineStr">
        <is>
          <t>SFWB-44|</t>
        </is>
      </c>
      <c r="FU68" t="inlineStr">
        <is>
          <t>SFWB-44</t>
        </is>
      </c>
      <c r="FV68">
        <f>VLOOKUP(FU68,FD:FL,9,0)</f>
        <v/>
      </c>
      <c r="FZ68" s="51" t="inlineStr">
        <is>
          <t>F20</t>
        </is>
      </c>
      <c r="GA68" t="n">
        <v>30.045</v>
      </c>
      <c r="GB68" t="n">
        <v>30.775</v>
      </c>
      <c r="GC68" t="n">
        <v>31.635</v>
      </c>
      <c r="GD68" t="n">
        <v>31.835</v>
      </c>
      <c r="GE68" t="n">
        <v>29.79</v>
      </c>
      <c r="GF68" t="n">
        <v>23.405</v>
      </c>
      <c r="GG68" t="n">
        <v>17.6</v>
      </c>
      <c r="GH68" t="n">
        <v>15.04</v>
      </c>
      <c r="GI68" t="n">
        <v>17.305</v>
      </c>
      <c r="GJ68" t="n">
        <v>18.445</v>
      </c>
      <c r="GK68" t="n">
        <v>18.625</v>
      </c>
      <c r="GL68" t="n">
        <v>18.145</v>
      </c>
      <c r="GM68" t="n">
        <v>17.56</v>
      </c>
      <c r="GN68" t="n">
        <v>17.75</v>
      </c>
      <c r="GO68" t="n">
        <v>17.54</v>
      </c>
      <c r="GP68" t="n">
        <v>16.77</v>
      </c>
      <c r="GQ68" t="n">
        <v>16.585</v>
      </c>
      <c r="GR68" t="n">
        <v>16.18</v>
      </c>
      <c r="GS68" t="n">
        <v>16.37</v>
      </c>
      <c r="GT68" t="n">
        <v>18.005</v>
      </c>
      <c r="GU68" t="n">
        <v>19.69</v>
      </c>
      <c r="GV68" t="n">
        <v>21.57</v>
      </c>
      <c r="GW68" t="n">
        <v>24.1</v>
      </c>
      <c r="GX68" t="n">
        <v>26.66</v>
      </c>
      <c r="HA68" s="35" t="n">
        <v>65</v>
      </c>
      <c r="HB68" s="35" t="n">
        <v>62</v>
      </c>
    </row>
    <row r="69" ht="15.5" customHeight="1">
      <c r="A69" s="10">
        <f>HOUR(G69)+1</f>
        <v/>
      </c>
      <c r="B69" s="7" t="n"/>
      <c r="C69" s="7" t="n"/>
      <c r="D69" s="85">
        <f>IFERROR(
IF(AND(OR(Planilla!B69="C",Planilla!B69="c"), VLOOKUP(E69,FD:FP,13,0)="C"), "OK",IF(AND(OR(Planilla!B69="C",Planilla!B69="c"), OR(VLOOKUP(E69,FD:FP,13,0)="B", VLOOKUP(E69,FD:FP,13,0)="A")), "DEFICIT",IF(
AND(OR(Planilla!B69="B", Planilla!B69="BPAL"), VLOOKUP(E69,FD:FP,13,0)="B"), "OK",IF(AND(OR(Planilla!B69="B", Planilla!B69="BPAL"), VLOOKUP(E69,FD:FP,13,0)="A"), "DEFICIT",IF(AND(OR(Planilla!B69="B", Planilla!B69="BPAL"), VLOOKUP(E69,FD:FP,13,0)="C"), "SOBREOFERTA",IF(AND(Planilla!B69="A", VLOOKUP(E69,FD:FP,13,0)="A"), "OK",IF(
AND(Planilla!B69="A", OR(VLOOKUP(E69,FD:FP,13,0)="B", VLOOKUP(E69,FD:FP,13,0)="C")), "SOBREOFERTA",""
))))))),"")</f>
        <v/>
      </c>
      <c r="E69" s="8" t="n"/>
      <c r="F69" s="86" t="n"/>
      <c r="G69" s="87" t="n"/>
      <c r="H69" s="88">
        <f>IF(I69="","",IF(AND((I69-G69)&gt;=TIME(0,0,0),(I69-G69)&lt;TIME(0,3,0)),"OK",IF(AND((I69-G69)&gt;=TIME(0,3,0),(I69-G69)&lt;TIME(0,5,0)),"RETRASO DE 3-5 MIN",IF(AND((I69-G69)&gt;=TIME(0,5,0),(I69-G69)&lt;TIME(0,10,0)),"RETRASO DE 5-10 MIN",IF((I69-G69)&gt;=TIME(0,10,0),"RETRASO &gt;10 MIN", IF(AND((G69-I69)&gt;=TIME(0,0,0),(G69-I69)&lt;TIME(0,3,0)),"OK",IF((G69-I69)&gt;=TIME(0,3,0),"ADELANTADO")))))))</f>
        <v/>
      </c>
      <c r="I69" s="89" t="n"/>
      <c r="J69" s="89">
        <f>IF(A69&lt;&gt;"",HLOOKUP(VALUE(TEXT(G69,"h:mm:ss")),IF($C$6="Laboral",$FZ$4:$GX$227,IF($C$6="Sábado",$FZ$231:$GX$452,$FZ$456:$GX$656)),VLOOKUP($C$4,$HF$2:$HH$99,3,0)+IF(C$5="Ida",0,1),1),"")</f>
        <v/>
      </c>
      <c r="K69" s="89">
        <f>IF(A70&lt;&gt;A69,AVERAGEIF(A$9:A69,A69,J$9:J69),"")</f>
        <v/>
      </c>
      <c r="L69" s="89">
        <f>IFERROR(IF(A70&lt;&gt;A69,AVERAGEIF(A$9:A69,A69,S$9:S69),""),"")</f>
        <v/>
      </c>
      <c r="M69" s="89">
        <f>IFERROR(IF(A70&lt;&gt;A69,AVERAGEIF(A$9:A69,A69,T$9:T69),""),"")</f>
        <v/>
      </c>
      <c r="N69" s="89">
        <f t="array" ref="N69">IFERROR(IF(A70&lt;&gt;A69,_xlfn.STDEV.P(IF(A$9:A69=A69,T$9:T69)),""),"")</f>
        <v/>
      </c>
      <c r="O69" s="89">
        <f t="array" ref="O69">IFERROR(IF(A70&lt;&gt;A69,_xlfn.STDEV.P(IF(A$9:A69=A69,S$9:S69)),""),"")</f>
        <v/>
      </c>
      <c r="P69" s="90">
        <f>IFERROR(IF(A69&lt;&gt;A70,MAX((((M69*24*60)/2)*(1+POWER((((N69*24*60) / (M69*24*60) )),2))) + ((M69*24*60 )*-0.1 + (K69*0.015)) +1,(((M69*24*60)/2)*(1+POWER((((N69*24*60) / (M69*24*60 ))),2)))),""),"")</f>
        <v/>
      </c>
      <c r="Q69" s="90">
        <f>IF(AND(O69&lt;&gt;"",L69&lt;&gt;""),IF(A69&lt;&gt;A70,((L69*24*60) / 2 ) * (1 + POWER(((O69*24*60) / (L69*24*60)),2)),""),"")</f>
        <v/>
      </c>
      <c r="R69" s="90">
        <f>IF(Q69&lt;&gt;"",MAX(P69,Q69),"")</f>
        <v/>
      </c>
      <c r="S69" s="89">
        <f>IF(I69&lt;&gt;"H. Sale Real",IF(AND(I70&lt;&gt;"",LEFT(C70,2)&lt;&gt;"Va"),IF(AND(I69&lt;&gt;"",LEFT(C69,2)&lt;&gt;"Va",I69&lt;&gt;"H. Sale Real"),IF(I70-I69&lt;0.208333333333333,I70-I69,""),IF(AND(I68&lt;&gt;"",LEFT(C68,2)&lt;&gt;"Va",I68&lt;&gt;"H. Sale Real"),IF(I70-I68&lt;0.208333333333333,I70-I68,""),IF(AND(I67&lt;&gt;"",LEFT(C67,2)&lt;&gt;"Va",I67&lt;&gt;"H. Sale Real"),IF(I70-I67&lt;0.208333333333333,I70-I67,""),IF(AND(I66&lt;&gt;"",LEFT(C66,2)&lt;&gt;"Va",I66&lt;&gt;"H. Sale Real"),IF(I70-I66&lt;0.208333333333333,I70-I66,""),IF(AND(I65&lt;&gt;"",LEFT(C65,2)&lt;&gt;"Va",I65&lt;&gt;"H. Sale Real"),IF(I70-I65&lt;0.208333333333333,I70-I65,""),""))))),""),"")</f>
        <v/>
      </c>
      <c r="T69" s="89">
        <f>IF(G69&lt;&gt;"H. Sale Real",IF(AND(G70&lt;&gt;"",LEFT(C70,2)&lt;&gt;"Va"),IF(AND(G69&lt;&gt;"",LEFT(C69,2)&lt;&gt;"Va",G69&lt;&gt;"H. Sale Real"),IF(G70-G69&lt;0.208333333333333,G70-G69,""),IF(AND(G68&lt;&gt;"",LEFT(C68,2)&lt;&gt;"Va",G68&lt;&gt;"H. Sale Real"),IF(G70-G68&lt;0.208333333333333,G70-G68,""),IF(AND(G67&lt;&gt;"",LEFT(C67,2)&lt;&gt;"Va",G67&lt;&gt;"H. Sale Real"),IF(G70-G67&lt;0.208333333333333,G70-G67,""),IF(AND(G66&lt;&gt;"",LEFT(C66,2)&lt;&gt;"Va",G66&lt;&gt;"H. Sale Real"),IF(G70-G66&lt;0.208333333333333,G70-G66,""),IF(AND(G65&lt;&gt;"",LEFT(C65,2)&lt;&gt;"Va",G65&lt;&gt;"H. Sale Real"),IF(G70-G65&lt;0.208333333333333,G70-G65,""),""))))),""),"")</f>
        <v/>
      </c>
      <c r="U69" s="87" t="n"/>
      <c r="V69" s="89" t="n"/>
      <c r="W69" s="87" t="n"/>
      <c r="X69" s="89" t="n"/>
      <c r="Y69" s="91" t="n"/>
      <c r="Z69" s="122">
        <f>IF(G69&lt;&gt;"",IF(AND(Z68&lt;&gt;"IE",P69&lt;&gt;0,R69&lt;&gt;""),IF(IFERROR((P69/R69),0) &lt;=1,IFERROR(P69/R69,""),1),""),"")</f>
        <v/>
      </c>
      <c r="AA69" s="93" t="n"/>
      <c r="AB69" s="2" t="n"/>
      <c r="AE69" s="10">
        <f>HOUR(AK69)+1</f>
        <v/>
      </c>
      <c r="AF69" s="7" t="n"/>
      <c r="AG69" s="7" t="n"/>
      <c r="AH69" s="86" t="n"/>
      <c r="AI69" s="8" t="n"/>
      <c r="AJ69" s="86" t="n"/>
      <c r="AK69" s="87" t="n"/>
      <c r="AL69" s="88">
        <f>IF(AM69="","",IF(AND((AM69-AK69)&gt;=TIME(0,0,0),(AM69-AK69)&lt;TIME(0,3,0)),"OK",IF(AND((AM69-AK69)&gt;=TIME(0,3,0),(AM69-AK69)&lt;TIME(0,5,0)),"RETRASO DE 3-5 MIN",IF(AND((AM69-AK69)&gt;=TIME(0,5,0),(AM69-AK69)&lt;TIME(0,10,0)),"RETRASO DE 5-10 MIN",IF((AM69-AK69)&gt;=TIME(0,10,0),"RETRASO &gt;10 MIN", IF(AND((AK69-AM69)&gt;=TIME(0,0,0),(AK69-AM69)&lt;TIME(0,3,0)),"OK",IF((AK69-AM69)&gt;=TIME(0,3,0),"ADELANTADO")))))))</f>
        <v/>
      </c>
      <c r="AM69" s="91" t="n"/>
      <c r="AN69" s="89">
        <f>IF(AE69&lt;&gt;"",HLOOKUP(VALUE(TEXT(AK69,"h:mm:ss")),IF($C$6="Laboral",$FZ$4:$GX$227,IF($C$6="Sábado",$FZ$231:$GX$452,$FZ$456:$GX$656)),VLOOKUP($C$4,$HF$2:$HH$99,3,0)+IF(AG$5="Ida",0,1),1),"")</f>
        <v/>
      </c>
      <c r="AO69" s="89">
        <f>IF(AE70&lt;&gt;AE69,AVERAGEIF(AE$9:AE69,AE69,AN$9:AN69),"")</f>
        <v/>
      </c>
      <c r="AP69" s="89">
        <f>IFERROR(IF(AE70&lt;&gt;AE69,AVERAGEIF(AE$9:AE69,AE69,AW$9:AW69),""),"")</f>
        <v/>
      </c>
      <c r="AQ69" s="89">
        <f>IFERROR(IF(AE70&lt;&gt;AE69,AVERAGEIF(AE$9:AE69,AE69,AX$9:AX69),""),"")</f>
        <v/>
      </c>
      <c r="AR69" s="89">
        <f t="array" ref="AR69">IFERROR(IF(AE70&lt;&gt;AE69,_xlfn.STDEV.P(IF(AE$9:AE69=AE69,AX$9:AX69)),""),"")</f>
        <v/>
      </c>
      <c r="AS69" s="89">
        <f t="array" ref="AS69">IFERROR(IF(AE70&lt;&gt;AE69,_xlfn.STDEV.P(IF(AE$9:AE69=AE69,AW$9:AW69)),""),"")</f>
        <v/>
      </c>
      <c r="AT69" s="90">
        <f>IFERROR(IF(AE69&lt;&gt;AE70,MAX((((AQ69*24*60)/2)*(1+POWER((((AR69*24*60) / (AQ69*24*60) )),2))) + ((AQ69*24*60 )*-0.1 + (AO69*0.015)) +1,(((AQ69*24*60)/2)*(1+POWER((((AR69*24*60) / (AQ69*24*60 ))),2)))),""),"")</f>
        <v/>
      </c>
      <c r="AU69" s="90">
        <f>IF(AND(AS69&lt;&gt;"",AP69&lt;&gt;""),IF(AE69&lt;&gt;AE70,((AP69*24*60) / 2 ) * (1 + POWER(((AS69*24*60) / (AP69*24*60)),2)),""),"")</f>
        <v/>
      </c>
      <c r="AV69" s="90">
        <f>IF(AU69&lt;&gt;"",MAX(AT69,AU69),"")</f>
        <v/>
      </c>
      <c r="AW69" s="89">
        <f>IF(AM69&lt;&gt;"H. Sale Real",IF(AND(AM70&lt;&gt;"",LEFT(AG70,2)&lt;&gt;"Va"),IF(AND(AM69&lt;&gt;"",LEFT(AG69,2)&lt;&gt;"Va",AM69&lt;&gt;"H. Sale Real"),IF(AM70-AM69&lt;0.208333333333333,AM70-AM69,""),IF(AND(AM68&lt;&gt;"",LEFT(AG68,2)&lt;&gt;"Va",AM68&lt;&gt;"H. Sale Real"),IF(AM70-AM68&lt;0.208333333333333,AM70-AM68,""),IF(AND(AM67&lt;&gt;"",LEFT(AG67,2)&lt;&gt;"Va",AM67&lt;&gt;"H. Sale Real"),IF(AM70-AM67&lt;0.208333333333333,AM70-AM67,""),IF(AND(AM66&lt;&gt;"",LEFT(AG66,2)&lt;&gt;"Va",AM66&lt;&gt;"H. Sale Real"),IF(AM70-AM66&lt;0.208333333333333,AM70-AM66,""),IF(AND(AM65&lt;&gt;"",LEFT(AG65,2)&lt;&gt;"Va",AM65&lt;&gt;"H. Sale Real"),IF(AM70-AM65&lt;0.208333333333333,AM70-AM65,""),""))))),""),"")</f>
        <v/>
      </c>
      <c r="AX69" s="89">
        <f>IF(AK69&lt;&gt;"H. Sale Real",IF(AND(AK70&lt;&gt;"",LEFT(AG70,2)&lt;&gt;"Va"),IF(AND(AK69&lt;&gt;"",LEFT(AG69,2)&lt;&gt;"Va",AK69&lt;&gt;"H. Sale Real"),IF(AK70-AK69&lt;0.208333333333333,AK70-AK69,""),IF(AND(AK68&lt;&gt;"",LEFT(AG68,2)&lt;&gt;"Va",AK68&lt;&gt;"H. Sale Real"),IF(AK70-AK68&lt;0.208333333333333,AK70-AK68,""),IF(AND(AK67&lt;&gt;"",LEFT(AG67,2)&lt;&gt;"NC",AK67&lt;&gt;"H. Sale Real"),IF(AK70-AK67&lt;0.208333333333333,AK70-AK67,""),IF(AND(AK66&lt;&gt;"",LEFT(AG66,2)&lt;&gt;"Va",AK66&lt;&gt;"H. Sale Real"),IF(AK70-AK66&lt;0.208333333333333,AK70-AK66,""),IF(AND(AK65&lt;&gt;"",LEFT(AG65,2)&lt;&gt;"Va",AK65&lt;&gt;"H. Sale Real"),IF(AK70-AK65&lt;0.208333333333333,AK70-AK65,""),""))))),""),"")</f>
        <v/>
      </c>
      <c r="AY69" s="87" t="n"/>
      <c r="AZ69" s="89" t="n"/>
      <c r="BA69" s="87" t="n"/>
      <c r="BB69" s="89" t="n"/>
      <c r="BC69" s="91" t="n"/>
      <c r="BD69" s="122">
        <f>IF(AK69&lt;&gt;"",IF(AND(BD68&lt;&gt;"IE",AT69&lt;&gt;0,AV69&lt;&gt;""),IF(IFERROR((AT69/AV69),0) &lt;=1,IFERROR(AT69/AV69,""),1),""),"")</f>
        <v/>
      </c>
      <c r="BE69" s="93" t="n"/>
      <c r="BF69" s="105" t="n"/>
      <c r="FC69" t="inlineStr">
        <is>
          <t>Diccionario 1</t>
        </is>
      </c>
      <c r="FD69" s="15" t="n">
        <v>1066</v>
      </c>
      <c r="FE69" s="15" t="inlineStr">
        <is>
          <t>D8483863K2PL</t>
        </is>
      </c>
      <c r="FF69" s="15" t="inlineStr">
        <is>
          <t>YV3T7U526KA195594</t>
        </is>
      </c>
      <c r="FG69" s="15" t="inlineStr">
        <is>
          <t>Volvo</t>
        </is>
      </c>
      <c r="FH69" s="15" t="inlineStr">
        <is>
          <t>B8R</t>
        </is>
      </c>
      <c r="FI69" s="15" t="inlineStr">
        <is>
          <t>MARCOPOLO</t>
        </is>
      </c>
      <c r="FJ69" s="15" t="inlineStr">
        <is>
          <t>TORINO</t>
        </is>
      </c>
      <c r="FK69" s="15" t="n">
        <v>2019</v>
      </c>
      <c r="FL69" s="15" t="inlineStr">
        <is>
          <t>B2PAL</t>
        </is>
      </c>
      <c r="FM69" s="15" t="inlineStr">
        <is>
          <t>LOS LIBERTADORES</t>
        </is>
      </c>
      <c r="FN69" s="15" t="inlineStr">
        <is>
          <t>Los Liberadores 6450, Lote 4A</t>
        </is>
      </c>
      <c r="FO69" s="15" t="inlineStr">
        <is>
          <t>Huechuraba</t>
        </is>
      </c>
      <c r="FP69" t="inlineStr">
        <is>
          <t>B</t>
        </is>
      </c>
      <c r="FS69" s="14" t="inlineStr">
        <is>
          <t>3019 / SFWB-44|</t>
        </is>
      </c>
      <c r="FT69" t="inlineStr">
        <is>
          <t>SFWB-44|</t>
        </is>
      </c>
      <c r="FU69" t="inlineStr">
        <is>
          <t>SFWB-44</t>
        </is>
      </c>
      <c r="FV69">
        <f>VLOOKUP(FU69,FD:FL,9,0)</f>
        <v/>
      </c>
      <c r="FZ69" s="51" t="inlineStr">
        <is>
          <t>F25</t>
        </is>
      </c>
      <c r="GA69" t="n">
        <v>15.77</v>
      </c>
      <c r="GB69" t="n">
        <v>0</v>
      </c>
      <c r="GC69" t="n">
        <v>0</v>
      </c>
      <c r="GD69" t="n">
        <v>0</v>
      </c>
      <c r="GE69" t="n">
        <v>12.53</v>
      </c>
      <c r="GF69" t="n">
        <v>21.56</v>
      </c>
      <c r="GG69" t="n">
        <v>16.645</v>
      </c>
      <c r="GH69" t="n">
        <v>14.03</v>
      </c>
      <c r="GI69" t="n">
        <v>16.27</v>
      </c>
      <c r="GJ69" t="n">
        <v>17.5</v>
      </c>
      <c r="GK69" t="n">
        <v>17.695</v>
      </c>
      <c r="GL69" t="n">
        <v>17.395</v>
      </c>
      <c r="GM69" t="n">
        <v>16.685</v>
      </c>
      <c r="GN69" t="n">
        <v>16.88</v>
      </c>
      <c r="GO69" t="n">
        <v>17.2</v>
      </c>
      <c r="GP69" t="n">
        <v>16.405</v>
      </c>
      <c r="GQ69" t="n">
        <v>15.49</v>
      </c>
      <c r="GR69" t="n">
        <v>14.505</v>
      </c>
      <c r="GS69" t="n">
        <v>14.93</v>
      </c>
      <c r="GT69" t="n">
        <v>16.69</v>
      </c>
      <c r="GU69" t="n">
        <v>18.79</v>
      </c>
      <c r="GV69" t="n">
        <v>21.06</v>
      </c>
      <c r="GW69" t="n">
        <v>22.955</v>
      </c>
      <c r="GX69" t="n">
        <v>25.4</v>
      </c>
      <c r="HA69" s="35" t="n">
        <v>66</v>
      </c>
      <c r="HB69" s="35" t="n">
        <v>63</v>
      </c>
    </row>
    <row r="70" ht="15.5" customHeight="1">
      <c r="A70" s="10">
        <f>HOUR(G70)+1</f>
        <v/>
      </c>
      <c r="B70" s="7" t="n"/>
      <c r="C70" s="7" t="n"/>
      <c r="D70" s="85">
        <f>IFERROR(
IF(AND(OR(Planilla!B70="C",Planilla!B70="c"), VLOOKUP(E70,FD:FP,13,0)="C"), "OK",IF(AND(OR(Planilla!B70="C",Planilla!B70="c"), OR(VLOOKUP(E70,FD:FP,13,0)="B", VLOOKUP(E70,FD:FP,13,0)="A")), "DEFICIT",IF(
AND(OR(Planilla!B70="B", Planilla!B70="BPAL"), VLOOKUP(E70,FD:FP,13,0)="B"), "OK",IF(AND(OR(Planilla!B70="B", Planilla!B70="BPAL"), VLOOKUP(E70,FD:FP,13,0)="A"), "DEFICIT",IF(AND(OR(Planilla!B70="B", Planilla!B70="BPAL"), VLOOKUP(E70,FD:FP,13,0)="C"), "SOBREOFERTA",IF(AND(Planilla!B70="A", VLOOKUP(E70,FD:FP,13,0)="A"), "OK",IF(
AND(Planilla!B70="A", OR(VLOOKUP(E70,FD:FP,13,0)="B", VLOOKUP(E70,FD:FP,13,0)="C")), "SOBREOFERTA",""
))))))),"")</f>
        <v/>
      </c>
      <c r="E70" s="8" t="n"/>
      <c r="F70" s="86" t="n"/>
      <c r="G70" s="87" t="n"/>
      <c r="H70" s="88">
        <f>IF(I70="","",IF(AND((I70-G70)&gt;=TIME(0,0,0),(I70-G70)&lt;TIME(0,3,0)),"OK",IF(AND((I70-G70)&gt;=TIME(0,3,0),(I70-G70)&lt;TIME(0,5,0)),"RETRASO DE 3-5 MIN",IF(AND((I70-G70)&gt;=TIME(0,5,0),(I70-G70)&lt;TIME(0,10,0)),"RETRASO DE 5-10 MIN",IF((I70-G70)&gt;=TIME(0,10,0),"RETRASO &gt;10 MIN", IF(AND((G70-I70)&gt;=TIME(0,0,0),(G70-I70)&lt;TIME(0,3,0)),"OK",IF((G70-I70)&gt;=TIME(0,3,0),"ADELANTADO")))))))</f>
        <v/>
      </c>
      <c r="I70" s="89" t="n"/>
      <c r="J70" s="89">
        <f>IF(A70&lt;&gt;"",HLOOKUP(VALUE(TEXT(G70,"h:mm:ss")),IF($C$6="Laboral",$FZ$4:$GX$227,IF($C$6="Sábado",$FZ$231:$GX$452,$FZ$456:$GX$656)),VLOOKUP($C$4,$HF$2:$HH$99,3,0)+IF(C$5="Ida",0,1),1),"")</f>
        <v/>
      </c>
      <c r="K70" s="89">
        <f>IF(A71&lt;&gt;A70,AVERAGEIF(A$9:A70,A70,J$9:J70),"")</f>
        <v/>
      </c>
      <c r="L70" s="89">
        <f>IFERROR(IF(A71&lt;&gt;A70,AVERAGEIF(A$9:A70,A70,S$9:S70),""),"")</f>
        <v/>
      </c>
      <c r="M70" s="89">
        <f>IFERROR(IF(A71&lt;&gt;A70,AVERAGEIF(A$9:A70,A70,T$9:T70),""),"")</f>
        <v/>
      </c>
      <c r="N70" s="89">
        <f t="array" ref="N70">IFERROR(IF(A71&lt;&gt;A70,_xlfn.STDEV.P(IF(A$9:A70=A70,T$9:T70)),""),"")</f>
        <v/>
      </c>
      <c r="O70" s="89">
        <f t="array" ref="O70">IFERROR(IF(A71&lt;&gt;A70,_xlfn.STDEV.P(IF(A$9:A70=A70,S$9:S70)),""),"")</f>
        <v/>
      </c>
      <c r="P70" s="90">
        <f>IFERROR(IF(A70&lt;&gt;A71,MAX((((M70*24*60)/2)*(1+POWER((((N70*24*60) / (M70*24*60) )),2))) + ((M70*24*60 )*-0.1 + (K70*0.015)) +1,(((M70*24*60)/2)*(1+POWER((((N70*24*60) / (M70*24*60 ))),2)))),""),"")</f>
        <v/>
      </c>
      <c r="Q70" s="90">
        <f>IF(AND(O70&lt;&gt;"",L70&lt;&gt;""),IF(A70&lt;&gt;A71,((L70*24*60) / 2 ) * (1 + POWER(((O70*24*60) / (L70*24*60)),2)),""),"")</f>
        <v/>
      </c>
      <c r="R70" s="90">
        <f>IF(Q70&lt;&gt;"",MAX(P70,Q70),"")</f>
        <v/>
      </c>
      <c r="S70" s="89">
        <f>IF(I70&lt;&gt;"H. Sale Real",IF(AND(I71&lt;&gt;"",LEFT(C71,2)&lt;&gt;"Va"),IF(AND(I70&lt;&gt;"",LEFT(C70,2)&lt;&gt;"Va",I70&lt;&gt;"H. Sale Real"),IF(I71-I70&lt;0.208333333333333,I71-I70,""),IF(AND(I69&lt;&gt;"",LEFT(C69,2)&lt;&gt;"Va",I69&lt;&gt;"H. Sale Real"),IF(I71-I69&lt;0.208333333333333,I71-I69,""),IF(AND(I68&lt;&gt;"",LEFT(C68,2)&lt;&gt;"Va",I68&lt;&gt;"H. Sale Real"),IF(I71-I68&lt;0.208333333333333,I71-I68,""),IF(AND(I67&lt;&gt;"",LEFT(C67,2)&lt;&gt;"Va",I67&lt;&gt;"H. Sale Real"),IF(I71-I67&lt;0.208333333333333,I71-I67,""),IF(AND(I66&lt;&gt;"",LEFT(C66,2)&lt;&gt;"Va",I66&lt;&gt;"H. Sale Real"),IF(I71-I66&lt;0.208333333333333,I71-I66,""),""))))),""),"")</f>
        <v/>
      </c>
      <c r="T70" s="89">
        <f>IF(G70&lt;&gt;"H. Sale Real",IF(AND(G71&lt;&gt;"",LEFT(C71,2)&lt;&gt;"Va"),IF(AND(G70&lt;&gt;"",LEFT(C70,2)&lt;&gt;"Va",G70&lt;&gt;"H. Sale Real"),IF(G71-G70&lt;0.208333333333333,G71-G70,""),IF(AND(G69&lt;&gt;"",LEFT(C69,2)&lt;&gt;"Va",G69&lt;&gt;"H. Sale Real"),IF(G71-G69&lt;0.208333333333333,G71-G69,""),IF(AND(G68&lt;&gt;"",LEFT(C68,2)&lt;&gt;"Va",G68&lt;&gt;"H. Sale Real"),IF(G71-G68&lt;0.208333333333333,G71-G68,""),IF(AND(G67&lt;&gt;"",LEFT(C67,2)&lt;&gt;"Va",G67&lt;&gt;"H. Sale Real"),IF(G71-G67&lt;0.208333333333333,G71-G67,""),IF(AND(G66&lt;&gt;"",LEFT(C66,2)&lt;&gt;"Va",G66&lt;&gt;"H. Sale Real"),IF(G71-G66&lt;0.208333333333333,G71-G66,""),""))))),""),"")</f>
        <v/>
      </c>
      <c r="U70" s="87" t="n"/>
      <c r="V70" s="89" t="n"/>
      <c r="W70" s="87" t="n"/>
      <c r="X70" s="89" t="n"/>
      <c r="Y70" s="91" t="n"/>
      <c r="Z70" s="122">
        <f>IF(G70&lt;&gt;"",IF(AND(Z69&lt;&gt;"IE",P70&lt;&gt;0,R70&lt;&gt;""),IF(IFERROR((P70/R70),0) &lt;=1,IFERROR(P70/R70,""),1),""),"")</f>
        <v/>
      </c>
      <c r="AA70" s="93" t="n"/>
      <c r="AB70" s="2" t="n"/>
      <c r="AE70" s="10">
        <f>HOUR(AK70)+1</f>
        <v/>
      </c>
      <c r="AF70" s="7" t="n"/>
      <c r="AG70" s="7" t="n"/>
      <c r="AH70" s="86" t="n"/>
      <c r="AI70" s="8" t="n"/>
      <c r="AJ70" s="86" t="n"/>
      <c r="AK70" s="87" t="n"/>
      <c r="AL70" s="88">
        <f>IF(AM70="","",IF(AND((AM70-AK70)&gt;=TIME(0,0,0),(AM70-AK70)&lt;TIME(0,3,0)),"OK",IF(AND((AM70-AK70)&gt;=TIME(0,3,0),(AM70-AK70)&lt;TIME(0,5,0)),"RETRASO DE 3-5 MIN",IF(AND((AM70-AK70)&gt;=TIME(0,5,0),(AM70-AK70)&lt;TIME(0,10,0)),"RETRASO DE 5-10 MIN",IF((AM70-AK70)&gt;=TIME(0,10,0),"RETRASO &gt;10 MIN", IF(AND((AK70-AM70)&gt;=TIME(0,0,0),(AK70-AM70)&lt;TIME(0,3,0)),"OK",IF((AK70-AM70)&gt;=TIME(0,3,0),"ADELANTADO")))))))</f>
        <v/>
      </c>
      <c r="AM70" s="91" t="n"/>
      <c r="AN70" s="89">
        <f>IF(AE70&lt;&gt;"",HLOOKUP(VALUE(TEXT(AK70,"h:mm:ss")),IF($C$6="Laboral",$FZ$4:$GX$227,IF($C$6="Sábado",$FZ$231:$GX$452,$FZ$456:$GX$656)),VLOOKUP($C$4,$HF$2:$HH$99,3,0)+IF(AG$5="Ida",0,1),1),"")</f>
        <v/>
      </c>
      <c r="AO70" s="89">
        <f>IF(AE71&lt;&gt;AE70,AVERAGEIF(AE$9:AE70,AE70,AN$9:AN70),"")</f>
        <v/>
      </c>
      <c r="AP70" s="89">
        <f>IFERROR(IF(AE71&lt;&gt;AE70,AVERAGEIF(AE$9:AE70,AE70,AW$9:AW70),""),"")</f>
        <v/>
      </c>
      <c r="AQ70" s="89">
        <f>IFERROR(IF(AE71&lt;&gt;AE70,AVERAGEIF(AE$9:AE70,AE70,AX$9:AX70),""),"")</f>
        <v/>
      </c>
      <c r="AR70" s="89">
        <f t="array" ref="AR70">IFERROR(IF(AE71&lt;&gt;AE70,_xlfn.STDEV.P(IF(AE$9:AE70=AE70,AX$9:AX70)),""),"")</f>
        <v/>
      </c>
      <c r="AS70" s="89">
        <f t="array" ref="AS70">IFERROR(IF(AE71&lt;&gt;AE70,_xlfn.STDEV.P(IF(AE$9:AE70=AE70,AW$9:AW70)),""),"")</f>
        <v/>
      </c>
      <c r="AT70" s="90">
        <f>IFERROR(IF(AE70&lt;&gt;AE71,MAX((((AQ70*24*60)/2)*(1+POWER((((AR70*24*60) / (AQ70*24*60) )),2))) + ((AQ70*24*60 )*-0.1 + (AO70*0.015)) +1,(((AQ70*24*60)/2)*(1+POWER((((AR70*24*60) / (AQ70*24*60 ))),2)))),""),"")</f>
        <v/>
      </c>
      <c r="AU70" s="90">
        <f>IF(AND(AS70&lt;&gt;"",AP70&lt;&gt;""),IF(AE70&lt;&gt;AE71,((AP70*24*60) / 2 ) * (1 + POWER(((AS70*24*60) / (AP70*24*60)),2)),""),"")</f>
        <v/>
      </c>
      <c r="AV70" s="90">
        <f>IF(AU70&lt;&gt;"",MAX(AT70,AU70),"")</f>
        <v/>
      </c>
      <c r="AW70" s="89">
        <f>IF(AM70&lt;&gt;"H. Sale Real",IF(AND(AM71&lt;&gt;"",LEFT(AG71,2)&lt;&gt;"Va"),IF(AND(AM70&lt;&gt;"",LEFT(AG70,2)&lt;&gt;"Va",AM70&lt;&gt;"H. Sale Real"),IF(AM71-AM70&lt;0.208333333333333,AM71-AM70,""),IF(AND(AM69&lt;&gt;"",LEFT(AG69,2)&lt;&gt;"Va",AM69&lt;&gt;"H. Sale Real"),IF(AM71-AM69&lt;0.208333333333333,AM71-AM69,""),IF(AND(AM68&lt;&gt;"",LEFT(AG68,2)&lt;&gt;"Va",AM68&lt;&gt;"H. Sale Real"),IF(AM71-AM68&lt;0.208333333333333,AM71-AM68,""),IF(AND(AM67&lt;&gt;"",LEFT(AG67,2)&lt;&gt;"Va",AM67&lt;&gt;"H. Sale Real"),IF(AM71-AM67&lt;0.208333333333333,AM71-AM67,""),IF(AND(AM66&lt;&gt;"",LEFT(AG66,2)&lt;&gt;"Va",AM66&lt;&gt;"H. Sale Real"),IF(AM71-AM66&lt;0.208333333333333,AM71-AM66,""),""))))),""),"")</f>
        <v/>
      </c>
      <c r="AX70" s="89">
        <f>IF(AK70&lt;&gt;"H. Sale Real",IF(AND(AK71&lt;&gt;"",LEFT(AG71,2)&lt;&gt;"Va"),IF(AND(AK70&lt;&gt;"",LEFT(AG70,2)&lt;&gt;"Va",AK70&lt;&gt;"H. Sale Real"),IF(AK71-AK70&lt;0.208333333333333,AK71-AK70,""),IF(AND(AK69&lt;&gt;"",LEFT(AG69,2)&lt;&gt;"Va",AK69&lt;&gt;"H. Sale Real"),IF(AK71-AK69&lt;0.208333333333333,AK71-AK69,""),IF(AND(AK68&lt;&gt;"",LEFT(AG68,2)&lt;&gt;"NC",AK68&lt;&gt;"H. Sale Real"),IF(AK71-AK68&lt;0.208333333333333,AK71-AK68,""),IF(AND(AK67&lt;&gt;"",LEFT(AG67,2)&lt;&gt;"Va",AK67&lt;&gt;"H. Sale Real"),IF(AK71-AK67&lt;0.208333333333333,AK71-AK67,""),IF(AND(AK66&lt;&gt;"",LEFT(AG66,2)&lt;&gt;"Va",AK66&lt;&gt;"H. Sale Real"),IF(AK71-AK66&lt;0.208333333333333,AK71-AK66,""),""))))),""),"")</f>
        <v/>
      </c>
      <c r="AY70" s="87" t="n"/>
      <c r="AZ70" s="89" t="n"/>
      <c r="BA70" s="87" t="n"/>
      <c r="BB70" s="89" t="n"/>
      <c r="BC70" s="91" t="n"/>
      <c r="BD70" s="122">
        <f>IF(AK70&lt;&gt;"",IF(AND(BD69&lt;&gt;"IE",AT70&lt;&gt;0,AV70&lt;&gt;""),IF(IFERROR((AT70/AV70),0) &lt;=1,IFERROR(AT70/AV70,""),1),""),"")</f>
        <v/>
      </c>
      <c r="BE70" s="93" t="n"/>
      <c r="BF70" s="105" t="n"/>
      <c r="FC70" t="inlineStr">
        <is>
          <t>Diccionario 1</t>
        </is>
      </c>
      <c r="FD70" s="15" t="n">
        <v>1067</v>
      </c>
      <c r="FE70" s="15" t="inlineStr">
        <is>
          <t>D8452415K2PL</t>
        </is>
      </c>
      <c r="FF70" s="15" t="inlineStr">
        <is>
          <t>YV3T7U529JA189190</t>
        </is>
      </c>
      <c r="FG70" s="15" t="inlineStr">
        <is>
          <t>Volvo</t>
        </is>
      </c>
      <c r="FH70" s="15" t="inlineStr">
        <is>
          <t>B8R</t>
        </is>
      </c>
      <c r="FI70" s="15" t="inlineStr">
        <is>
          <t>MARCOPOLO</t>
        </is>
      </c>
      <c r="FJ70" s="15" t="inlineStr">
        <is>
          <t>TORINO</t>
        </is>
      </c>
      <c r="FK70" s="15" t="n">
        <v>2019</v>
      </c>
      <c r="FL70" s="15" t="inlineStr">
        <is>
          <t>B2PAL</t>
        </is>
      </c>
      <c r="FM70" s="15" t="inlineStr">
        <is>
          <t>SAN JOSE</t>
        </is>
      </c>
      <c r="FN70" s="15" t="inlineStr">
        <is>
          <t>San José 030 (José Besa 669)</t>
        </is>
      </c>
      <c r="FO70" s="15" t="inlineStr">
        <is>
          <t>San Bernardo</t>
        </is>
      </c>
      <c r="FP70" t="inlineStr">
        <is>
          <t>B</t>
        </is>
      </c>
      <c r="FS70" s="14" t="inlineStr">
        <is>
          <t>3019 / SFWB-44|</t>
        </is>
      </c>
      <c r="FT70" t="inlineStr">
        <is>
          <t>SFWB-44|</t>
        </is>
      </c>
      <c r="FU70" t="inlineStr">
        <is>
          <t>SFWB-44</t>
        </is>
      </c>
      <c r="FV70">
        <f>VLOOKUP(FU70,FD:FL,9,0)</f>
        <v/>
      </c>
      <c r="FZ70" s="51" t="inlineStr">
        <is>
          <t>F25</t>
        </is>
      </c>
      <c r="GA70" t="n">
        <v>30.645</v>
      </c>
      <c r="GB70" t="n">
        <v>0</v>
      </c>
      <c r="GC70" t="n">
        <v>0</v>
      </c>
      <c r="GD70" t="n">
        <v>0</v>
      </c>
      <c r="GE70" t="n">
        <v>0</v>
      </c>
      <c r="GF70" t="n">
        <v>11.23</v>
      </c>
      <c r="GG70" t="n">
        <v>19.715</v>
      </c>
      <c r="GH70" t="n">
        <v>14.645</v>
      </c>
      <c r="GI70" t="n">
        <v>16.735</v>
      </c>
      <c r="GJ70" t="n">
        <v>18.08</v>
      </c>
      <c r="GK70" t="n">
        <v>18.73</v>
      </c>
      <c r="GL70" t="n">
        <v>18.165</v>
      </c>
      <c r="GM70" t="n">
        <v>17.29</v>
      </c>
      <c r="GN70" t="n">
        <v>17.125</v>
      </c>
      <c r="GO70" t="n">
        <v>16.835</v>
      </c>
      <c r="GP70" t="n">
        <v>15.845</v>
      </c>
      <c r="GQ70" t="n">
        <v>14.91</v>
      </c>
      <c r="GR70" t="n">
        <v>14.015</v>
      </c>
      <c r="GS70" t="n">
        <v>13.805</v>
      </c>
      <c r="GT70" t="n">
        <v>15.585</v>
      </c>
      <c r="GU70" t="n">
        <v>17.98</v>
      </c>
      <c r="GV70" t="n">
        <v>19.95</v>
      </c>
      <c r="GW70" t="n">
        <v>22.165</v>
      </c>
      <c r="GX70" t="n">
        <v>24.04</v>
      </c>
      <c r="HA70" s="35" t="n">
        <v>67</v>
      </c>
      <c r="HB70" s="35" t="n">
        <v>64</v>
      </c>
    </row>
    <row r="71" ht="15.5" customHeight="1">
      <c r="A71" s="10">
        <f>HOUR(G71)+1</f>
        <v/>
      </c>
      <c r="B71" s="7" t="n"/>
      <c r="C71" s="7" t="n"/>
      <c r="D71" s="85">
        <f>IFERROR(
IF(AND(OR(Planilla!B71="C",Planilla!B71="c"), VLOOKUP(E71,FD:FP,13,0)="C"), "OK",IF(AND(OR(Planilla!B71="C",Planilla!B71="c"), OR(VLOOKUP(E71,FD:FP,13,0)="B", VLOOKUP(E71,FD:FP,13,0)="A")), "DEFICIT",IF(
AND(OR(Planilla!B71="B", Planilla!B71="BPAL"), VLOOKUP(E71,FD:FP,13,0)="B"), "OK",IF(AND(OR(Planilla!B71="B", Planilla!B71="BPAL"), VLOOKUP(E71,FD:FP,13,0)="A"), "DEFICIT",IF(AND(OR(Planilla!B71="B", Planilla!B71="BPAL"), VLOOKUP(E71,FD:FP,13,0)="C"), "SOBREOFERTA",IF(AND(Planilla!B71="A", VLOOKUP(E71,FD:FP,13,0)="A"), "OK",IF(
AND(Planilla!B71="A", OR(VLOOKUP(E71,FD:FP,13,0)="B", VLOOKUP(E71,FD:FP,13,0)="C")), "SOBREOFERTA",""
))))))),"")</f>
        <v/>
      </c>
      <c r="E71" s="8" t="n"/>
      <c r="F71" s="86" t="n"/>
      <c r="G71" s="87" t="n"/>
      <c r="H71" s="88">
        <f>IF(I71="","",IF(AND((I71-G71)&gt;=TIME(0,0,0),(I71-G71)&lt;TIME(0,3,0)),"OK",IF(AND((I71-G71)&gt;=TIME(0,3,0),(I71-G71)&lt;TIME(0,5,0)),"RETRASO DE 3-5 MIN",IF(AND((I71-G71)&gt;=TIME(0,5,0),(I71-G71)&lt;TIME(0,10,0)),"RETRASO DE 5-10 MIN",IF((I71-G71)&gt;=TIME(0,10,0),"RETRASO &gt;10 MIN", IF(AND((G71-I71)&gt;=TIME(0,0,0),(G71-I71)&lt;TIME(0,3,0)),"OK",IF((G71-I71)&gt;=TIME(0,3,0),"ADELANTADO")))))))</f>
        <v/>
      </c>
      <c r="I71" s="89" t="n"/>
      <c r="J71" s="89">
        <f>IF(A71&lt;&gt;"",HLOOKUP(VALUE(TEXT(G71,"h:mm:ss")),IF($C$6="Laboral",$FZ$4:$GX$227,IF($C$6="Sábado",$FZ$231:$GX$452,$FZ$456:$GX$656)),VLOOKUP($C$4,$HF$2:$HH$99,3,0)+IF(C$5="Ida",0,1),1),"")</f>
        <v/>
      </c>
      <c r="K71" s="89">
        <f>IF(A72&lt;&gt;A71,AVERAGEIF(A$9:A71,A71,J$9:J71),"")</f>
        <v/>
      </c>
      <c r="L71" s="89">
        <f>IFERROR(IF(A72&lt;&gt;A71,AVERAGEIF(A$9:A71,A71,S$9:S71),""),"")</f>
        <v/>
      </c>
      <c r="M71" s="89">
        <f>IFERROR(IF(A72&lt;&gt;A71,AVERAGEIF(A$9:A71,A71,T$9:T71),""),"")</f>
        <v/>
      </c>
      <c r="N71" s="89">
        <f t="array" ref="N71">IFERROR(IF(A72&lt;&gt;A71,_xlfn.STDEV.P(IF(A$9:A71=A71,T$9:T71)),""),"")</f>
        <v/>
      </c>
      <c r="O71" s="89">
        <f t="array" ref="O71">IFERROR(IF(A72&lt;&gt;A71,_xlfn.STDEV.P(IF(A$9:A71=A71,S$9:S71)),""),"")</f>
        <v/>
      </c>
      <c r="P71" s="90">
        <f>IFERROR(IF(A71&lt;&gt;A72,MAX((((M71*24*60)/2)*(1+POWER((((N71*24*60) / (M71*24*60) )),2))) + ((M71*24*60 )*-0.1 + (K71*0.015)) +1,(((M71*24*60)/2)*(1+POWER((((N71*24*60) / (M71*24*60 ))),2)))),""),"")</f>
        <v/>
      </c>
      <c r="Q71" s="90">
        <f>IF(AND(O71&lt;&gt;"",L71&lt;&gt;""),IF(A71&lt;&gt;A72,((L71*24*60) / 2 ) * (1 + POWER(((O71*24*60) / (L71*24*60)),2)),""),"")</f>
        <v/>
      </c>
      <c r="R71" s="90">
        <f>IF(Q71&lt;&gt;"",MAX(P71,Q71),"")</f>
        <v/>
      </c>
      <c r="S71" s="89">
        <f>IF(I71&lt;&gt;"H. Sale Real",IF(AND(I72&lt;&gt;"",LEFT(C72,2)&lt;&gt;"Va"),IF(AND(I71&lt;&gt;"",LEFT(C71,2)&lt;&gt;"Va",I71&lt;&gt;"H. Sale Real"),IF(I72-I71&lt;0.208333333333333,I72-I71,""),IF(AND(I70&lt;&gt;"",LEFT(C70,2)&lt;&gt;"Va",I70&lt;&gt;"H. Sale Real"),IF(I72-I70&lt;0.208333333333333,I72-I70,""),IF(AND(I69&lt;&gt;"",LEFT(C69,2)&lt;&gt;"Va",I69&lt;&gt;"H. Sale Real"),IF(I72-I69&lt;0.208333333333333,I72-I69,""),IF(AND(I68&lt;&gt;"",LEFT(C68,2)&lt;&gt;"Va",I68&lt;&gt;"H. Sale Real"),IF(I72-I68&lt;0.208333333333333,I72-I68,""),IF(AND(I67&lt;&gt;"",LEFT(C67,2)&lt;&gt;"Va",I67&lt;&gt;"H. Sale Real"),IF(I72-I67&lt;0.208333333333333,I72-I67,""),""))))),""),"")</f>
        <v/>
      </c>
      <c r="T71" s="89">
        <f>IF(G71&lt;&gt;"H. Sale Real",IF(AND(G72&lt;&gt;"",LEFT(C72,2)&lt;&gt;"Va"),IF(AND(G71&lt;&gt;"",LEFT(C71,2)&lt;&gt;"Va",G71&lt;&gt;"H. Sale Real"),IF(G72-G71&lt;0.208333333333333,G72-G71,""),IF(AND(G70&lt;&gt;"",LEFT(C70,2)&lt;&gt;"Va",G70&lt;&gt;"H. Sale Real"),IF(G72-G70&lt;0.208333333333333,G72-G70,""),IF(AND(G69&lt;&gt;"",LEFT(C69,2)&lt;&gt;"Va",G69&lt;&gt;"H. Sale Real"),IF(G72-G69&lt;0.208333333333333,G72-G69,""),IF(AND(G68&lt;&gt;"",LEFT(C68,2)&lt;&gt;"Va",G68&lt;&gt;"H. Sale Real"),IF(G72-G68&lt;0.208333333333333,G72-G68,""),IF(AND(G67&lt;&gt;"",LEFT(C67,2)&lt;&gt;"Va",G67&lt;&gt;"H. Sale Real"),IF(G72-G67&lt;0.208333333333333,G72-G67,""),""))))),""),"")</f>
        <v/>
      </c>
      <c r="U71" s="87" t="n"/>
      <c r="V71" s="89" t="n"/>
      <c r="W71" s="87" t="n"/>
      <c r="X71" s="89" t="n"/>
      <c r="Y71" s="91" t="n"/>
      <c r="Z71" s="122">
        <f>IF(G71&lt;&gt;"",IF(AND(Z70&lt;&gt;"IE",P71&lt;&gt;0,R71&lt;&gt;""),IF(IFERROR((P71/R71),0) &lt;=1,IFERROR(P71/R71,""),1),""),"")</f>
        <v/>
      </c>
      <c r="AA71" s="93" t="n"/>
      <c r="AB71" s="2" t="n"/>
      <c r="AE71" s="10">
        <f>HOUR(AK71)+1</f>
        <v/>
      </c>
      <c r="AF71" s="7" t="n"/>
      <c r="AG71" s="7" t="n"/>
      <c r="AH71" s="86" t="n"/>
      <c r="AI71" s="8" t="n"/>
      <c r="AJ71" s="86" t="n"/>
      <c r="AK71" s="87" t="n"/>
      <c r="AL71" s="88">
        <f>IF(AM71="","",IF(AND((AM71-AK71)&gt;=TIME(0,0,0),(AM71-AK71)&lt;TIME(0,3,0)),"OK",IF(AND((AM71-AK71)&gt;=TIME(0,3,0),(AM71-AK71)&lt;TIME(0,5,0)),"RETRASO DE 3-5 MIN",IF(AND((AM71-AK71)&gt;=TIME(0,5,0),(AM71-AK71)&lt;TIME(0,10,0)),"RETRASO DE 5-10 MIN",IF((AM71-AK71)&gt;=TIME(0,10,0),"RETRASO &gt;10 MIN", IF(AND((AK71-AM71)&gt;=TIME(0,0,0),(AK71-AM71)&lt;TIME(0,3,0)),"OK",IF((AK71-AM71)&gt;=TIME(0,3,0),"ADELANTADO")))))))</f>
        <v/>
      </c>
      <c r="AM71" s="91" t="n"/>
      <c r="AN71" s="89">
        <f>IF(AE71&lt;&gt;"",HLOOKUP(VALUE(TEXT(AK71,"h:mm:ss")),IF($C$6="Laboral",$FZ$4:$GX$227,IF($C$6="Sábado",$FZ$231:$GX$452,$FZ$456:$GX$656)),VLOOKUP($C$4,$HF$2:$HH$99,3,0)+IF(AG$5="Ida",0,1),1),"")</f>
        <v/>
      </c>
      <c r="AO71" s="89">
        <f>IF(AE72&lt;&gt;AE71,AVERAGEIF(AE$9:AE71,AE71,AN$9:AN71),"")</f>
        <v/>
      </c>
      <c r="AP71" s="89">
        <f>IFERROR(IF(AE72&lt;&gt;AE71,AVERAGEIF(AE$9:AE71,AE71,AW$9:AW71),""),"")</f>
        <v/>
      </c>
      <c r="AQ71" s="89">
        <f>IFERROR(IF(AE72&lt;&gt;AE71,AVERAGEIF(AE$9:AE71,AE71,AX$9:AX71),""),"")</f>
        <v/>
      </c>
      <c r="AR71" s="89">
        <f t="array" ref="AR71">IFERROR(IF(AE72&lt;&gt;AE71,_xlfn.STDEV.P(IF(AE$9:AE71=AE71,AX$9:AX71)),""),"")</f>
        <v/>
      </c>
      <c r="AS71" s="89">
        <f t="array" ref="AS71">IFERROR(IF(AE72&lt;&gt;AE71,_xlfn.STDEV.P(IF(AE$9:AE71=AE71,AW$9:AW71)),""),"")</f>
        <v/>
      </c>
      <c r="AT71" s="90">
        <f>IFERROR(IF(AE71&lt;&gt;AE72,MAX((((AQ71*24*60)/2)*(1+POWER((((AR71*24*60) / (AQ71*24*60) )),2))) + ((AQ71*24*60 )*-0.1 + (AO71*0.015)) +1,(((AQ71*24*60)/2)*(1+POWER((((AR71*24*60) / (AQ71*24*60 ))),2)))),""),"")</f>
        <v/>
      </c>
      <c r="AU71" s="90">
        <f>IF(AND(AS71&lt;&gt;"",AP71&lt;&gt;""),IF(AE71&lt;&gt;AE72,((AP71*24*60) / 2 ) * (1 + POWER(((AS71*24*60) / (AP71*24*60)),2)),""),"")</f>
        <v/>
      </c>
      <c r="AV71" s="90">
        <f>IF(AU71&lt;&gt;"",MAX(AT71,AU71),"")</f>
        <v/>
      </c>
      <c r="AW71" s="89">
        <f>IF(AM71&lt;&gt;"H. Sale Real",IF(AND(AM72&lt;&gt;"",LEFT(AG72,2)&lt;&gt;"Va"),IF(AND(AM71&lt;&gt;"",LEFT(AG71,2)&lt;&gt;"Va",AM71&lt;&gt;"H. Sale Real"),IF(AM72-AM71&lt;0.208333333333333,AM72-AM71,""),IF(AND(AM70&lt;&gt;"",LEFT(AG70,2)&lt;&gt;"Va",AM70&lt;&gt;"H. Sale Real"),IF(AM72-AM70&lt;0.208333333333333,AM72-AM70,""),IF(AND(AM69&lt;&gt;"",LEFT(AG69,2)&lt;&gt;"Va",AM69&lt;&gt;"H. Sale Real"),IF(AM72-AM69&lt;0.208333333333333,AM72-AM69,""),IF(AND(AM68&lt;&gt;"",LEFT(AG68,2)&lt;&gt;"Va",AM68&lt;&gt;"H. Sale Real"),IF(AM72-AM68&lt;0.208333333333333,AM72-AM68,""),IF(AND(AM67&lt;&gt;"",LEFT(AG67,2)&lt;&gt;"Va",AM67&lt;&gt;"H. Sale Real"),IF(AM72-AM67&lt;0.208333333333333,AM72-AM67,""),""))))),""),"")</f>
        <v/>
      </c>
      <c r="AX71" s="89">
        <f>IF(AK71&lt;&gt;"H. Sale Real",IF(AND(AK72&lt;&gt;"",LEFT(AG72,2)&lt;&gt;"Va"),IF(AND(AK71&lt;&gt;"",LEFT(AG71,2)&lt;&gt;"Va",AK71&lt;&gt;"H. Sale Real"),IF(AK72-AK71&lt;0.208333333333333,AK72-AK71,""),IF(AND(AK70&lt;&gt;"",LEFT(AG70,2)&lt;&gt;"Va",AK70&lt;&gt;"H. Sale Real"),IF(AK72-AK70&lt;0.208333333333333,AK72-AK70,""),IF(AND(AK69&lt;&gt;"",LEFT(AG69,2)&lt;&gt;"NC",AK69&lt;&gt;"H. Sale Real"),IF(AK72-AK69&lt;0.208333333333333,AK72-AK69,""),IF(AND(AK68&lt;&gt;"",LEFT(AG68,2)&lt;&gt;"Va",AK68&lt;&gt;"H. Sale Real"),IF(AK72-AK68&lt;0.208333333333333,AK72-AK68,""),IF(AND(AK67&lt;&gt;"",LEFT(AG67,2)&lt;&gt;"Va",AK67&lt;&gt;"H. Sale Real"),IF(AK72-AK67&lt;0.208333333333333,AK72-AK67,""),""))))),""),"")</f>
        <v/>
      </c>
      <c r="AY71" s="87" t="n"/>
      <c r="AZ71" s="89" t="n"/>
      <c r="BA71" s="87" t="n"/>
      <c r="BB71" s="89" t="n"/>
      <c r="BC71" s="91" t="n"/>
      <c r="BD71" s="122">
        <f>IF(AK71&lt;&gt;"",IF(AND(BD70&lt;&gt;"IE",AT71&lt;&gt;0,AV71&lt;&gt;""),IF(IFERROR((AT71/AV71),0) &lt;=1,IFERROR(AT71/AV71,""),1),""),"")</f>
        <v/>
      </c>
      <c r="BE71" s="93" t="n"/>
      <c r="BF71" s="105" t="n"/>
      <c r="FC71" t="inlineStr">
        <is>
          <t>Diccionario 1</t>
        </is>
      </c>
      <c r="FD71" s="15" t="n">
        <v>1068</v>
      </c>
      <c r="FE71" s="15" t="inlineStr">
        <is>
          <t>D8481542K2PL</t>
        </is>
      </c>
      <c r="FF71" s="15" t="inlineStr">
        <is>
          <t>YV3T7U522KA195172</t>
        </is>
      </c>
      <c r="FG71" s="15" t="inlineStr">
        <is>
          <t>Volvo</t>
        </is>
      </c>
      <c r="FH71" s="15" t="inlineStr">
        <is>
          <t>B8R</t>
        </is>
      </c>
      <c r="FI71" s="15" t="inlineStr">
        <is>
          <t>MARCOPOLO</t>
        </is>
      </c>
      <c r="FJ71" s="15" t="inlineStr">
        <is>
          <t>TORINO</t>
        </is>
      </c>
      <c r="FK71" s="15" t="n">
        <v>2019</v>
      </c>
      <c r="FL71" s="15" t="inlineStr">
        <is>
          <t>B2PAL</t>
        </is>
      </c>
      <c r="FM71" s="15" t="inlineStr">
        <is>
          <t>LOS LIBERTADORES</t>
        </is>
      </c>
      <c r="FN71" s="15" t="inlineStr">
        <is>
          <t>Los Liberadores 6450, Lote 4A</t>
        </is>
      </c>
      <c r="FO71" s="15" t="inlineStr">
        <is>
          <t>Huechuraba</t>
        </is>
      </c>
      <c r="FP71" t="inlineStr">
        <is>
          <t>B</t>
        </is>
      </c>
      <c r="FS71" s="14" t="inlineStr">
        <is>
          <t>3019 / SFWB-44|</t>
        </is>
      </c>
      <c r="FT71" t="inlineStr">
        <is>
          <t>SFWB-44|</t>
        </is>
      </c>
      <c r="FU71" t="inlineStr">
        <is>
          <t>SFWB-44</t>
        </is>
      </c>
      <c r="FV71">
        <f>VLOOKUP(FU71,FD:FL,9,0)</f>
        <v/>
      </c>
      <c r="FZ71" s="51" t="inlineStr">
        <is>
          <t>F25e</t>
        </is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13.6</v>
      </c>
      <c r="GG71" t="n">
        <v>24.445</v>
      </c>
      <c r="GH71" t="n">
        <v>19.68</v>
      </c>
      <c r="GI71" t="n">
        <v>22.405</v>
      </c>
      <c r="GJ71" t="n">
        <v>12.155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12.465</v>
      </c>
      <c r="GR71" t="n">
        <v>23.29</v>
      </c>
      <c r="GS71" t="n">
        <v>27.345</v>
      </c>
      <c r="GT71" t="n">
        <v>32.76</v>
      </c>
      <c r="GU71" t="n">
        <v>34.53</v>
      </c>
      <c r="GV71" t="n">
        <v>0</v>
      </c>
      <c r="GW71" t="n">
        <v>0</v>
      </c>
      <c r="GX71" t="n">
        <v>0</v>
      </c>
      <c r="HA71" s="35" t="n">
        <v>68</v>
      </c>
      <c r="HB71" s="35" t="n">
        <v>65</v>
      </c>
    </row>
    <row r="72" ht="15.5" customHeight="1">
      <c r="A72" s="10">
        <f>HOUR(G72)+1</f>
        <v/>
      </c>
      <c r="B72" s="7" t="n"/>
      <c r="C72" s="7" t="n"/>
      <c r="D72" s="85">
        <f>IFERROR(
IF(AND(OR(Planilla!B72="C",Planilla!B72="c"), VLOOKUP(E72,FD:FP,13,0)="C"), "OK",IF(AND(OR(Planilla!B72="C",Planilla!B72="c"), OR(VLOOKUP(E72,FD:FP,13,0)="B", VLOOKUP(E72,FD:FP,13,0)="A")), "DEFICIT",IF(
AND(OR(Planilla!B72="B", Planilla!B72="BPAL"), VLOOKUP(E72,FD:FP,13,0)="B"), "OK",IF(AND(OR(Planilla!B72="B", Planilla!B72="BPAL"), VLOOKUP(E72,FD:FP,13,0)="A"), "DEFICIT",IF(AND(OR(Planilla!B72="B", Planilla!B72="BPAL"), VLOOKUP(E72,FD:FP,13,0)="C"), "SOBREOFERTA",IF(AND(Planilla!B72="A", VLOOKUP(E72,FD:FP,13,0)="A"), "OK",IF(
AND(Planilla!B72="A", OR(VLOOKUP(E72,FD:FP,13,0)="B", VLOOKUP(E72,FD:FP,13,0)="C")), "SOBREOFERTA",""
))))))),"")</f>
        <v/>
      </c>
      <c r="E72" s="8" t="n"/>
      <c r="F72" s="86" t="n"/>
      <c r="G72" s="87" t="n"/>
      <c r="H72" s="88">
        <f>IF(I72="","",IF(AND((I72-G72)&gt;=TIME(0,0,0),(I72-G72)&lt;TIME(0,3,0)),"OK",IF(AND((I72-G72)&gt;=TIME(0,3,0),(I72-G72)&lt;TIME(0,5,0)),"RETRASO DE 3-5 MIN",IF(AND((I72-G72)&gt;=TIME(0,5,0),(I72-G72)&lt;TIME(0,10,0)),"RETRASO DE 5-10 MIN",IF((I72-G72)&gt;=TIME(0,10,0),"RETRASO &gt;10 MIN", IF(AND((G72-I72)&gt;=TIME(0,0,0),(G72-I72)&lt;TIME(0,3,0)),"OK",IF((G72-I72)&gt;=TIME(0,3,0),"ADELANTADO")))))))</f>
        <v/>
      </c>
      <c r="I72" s="89" t="n"/>
      <c r="J72" s="89">
        <f>IF(A72&lt;&gt;"",HLOOKUP(VALUE(TEXT(G72,"h:mm:ss")),IF($C$6="Laboral",$FZ$4:$GX$227,IF($C$6="Sábado",$FZ$231:$GX$452,$FZ$456:$GX$656)),VLOOKUP($C$4,$HF$2:$HH$99,3,0)+IF(C$5="Ida",0,1),1),"")</f>
        <v/>
      </c>
      <c r="K72" s="89">
        <f>IF(A73&lt;&gt;A72,AVERAGEIF(A$9:A72,A72,J$9:J72),"")</f>
        <v/>
      </c>
      <c r="L72" s="89">
        <f>IFERROR(IF(A73&lt;&gt;A72,AVERAGEIF(A$9:A72,A72,S$9:S72),""),"")</f>
        <v/>
      </c>
      <c r="M72" s="89">
        <f>IFERROR(IF(A73&lt;&gt;A72,AVERAGEIF(A$9:A72,A72,T$9:T72),""),"")</f>
        <v/>
      </c>
      <c r="N72" s="89">
        <f t="array" ref="N72">IFERROR(IF(A73&lt;&gt;A72,_xlfn.STDEV.P(IF(A$9:A72=A72,T$9:T72)),""),"")</f>
        <v/>
      </c>
      <c r="O72" s="89">
        <f t="array" ref="O72">IFERROR(IF(A73&lt;&gt;A72,_xlfn.STDEV.P(IF(A$9:A72=A72,S$9:S72)),""),"")</f>
        <v/>
      </c>
      <c r="P72" s="90">
        <f>IFERROR(IF(A72&lt;&gt;A73,MAX((((M72*24*60)/2)*(1+POWER((((N72*24*60) / (M72*24*60) )),2))) + ((M72*24*60 )*-0.1 + (K72*0.015)) +1,(((M72*24*60)/2)*(1+POWER((((N72*24*60) / (M72*24*60 ))),2)))),""),"")</f>
        <v/>
      </c>
      <c r="Q72" s="90">
        <f>IF(AND(O72&lt;&gt;"",L72&lt;&gt;""),IF(A72&lt;&gt;A73,((L72*24*60) / 2 ) * (1 + POWER(((O72*24*60) / (L72*24*60)),2)),""),"")</f>
        <v/>
      </c>
      <c r="R72" s="90">
        <f>IF(Q72&lt;&gt;"",MAX(P72,Q72),"")</f>
        <v/>
      </c>
      <c r="S72" s="89">
        <f>IF(I72&lt;&gt;"H. Sale Real",IF(AND(I73&lt;&gt;"",LEFT(C73,2)&lt;&gt;"Va"),IF(AND(I72&lt;&gt;"",LEFT(C72,2)&lt;&gt;"Va",I72&lt;&gt;"H. Sale Real"),IF(I73-I72&lt;0.208333333333333,I73-I72,""),IF(AND(I71&lt;&gt;"",LEFT(C71,2)&lt;&gt;"Va",I71&lt;&gt;"H. Sale Real"),IF(I73-I71&lt;0.208333333333333,I73-I71,""),IF(AND(I70&lt;&gt;"",LEFT(C70,2)&lt;&gt;"Va",I70&lt;&gt;"H. Sale Real"),IF(I73-I70&lt;0.208333333333333,I73-I70,""),IF(AND(I69&lt;&gt;"",LEFT(C69,2)&lt;&gt;"Va",I69&lt;&gt;"H. Sale Real"),IF(I73-I69&lt;0.208333333333333,I73-I69,""),IF(AND(I68&lt;&gt;"",LEFT(C68,2)&lt;&gt;"Va",I68&lt;&gt;"H. Sale Real"),IF(I73-I68&lt;0.208333333333333,I73-I68,""),""))))),""),"")</f>
        <v/>
      </c>
      <c r="T72" s="89">
        <f>IF(G72&lt;&gt;"H. Sale Real",IF(AND(G73&lt;&gt;"",LEFT(C73,2)&lt;&gt;"Va"),IF(AND(G72&lt;&gt;"",LEFT(C72,2)&lt;&gt;"Va",G72&lt;&gt;"H. Sale Real"),IF(G73-G72&lt;0.208333333333333,G73-G72,""),IF(AND(G71&lt;&gt;"",LEFT(C71,2)&lt;&gt;"Va",G71&lt;&gt;"H. Sale Real"),IF(G73-G71&lt;0.208333333333333,G73-G71,""),IF(AND(G70&lt;&gt;"",LEFT(C70,2)&lt;&gt;"Va",G70&lt;&gt;"H. Sale Real"),IF(G73-G70&lt;0.208333333333333,G73-G70,""),IF(AND(G69&lt;&gt;"",LEFT(C69,2)&lt;&gt;"Va",G69&lt;&gt;"H. Sale Real"),IF(G73-G69&lt;0.208333333333333,G73-G69,""),IF(AND(G68&lt;&gt;"",LEFT(C68,2)&lt;&gt;"Va",G68&lt;&gt;"H. Sale Real"),IF(G73-G68&lt;0.208333333333333,G73-G68,""),""))))),""),"")</f>
        <v/>
      </c>
      <c r="U72" s="87" t="n"/>
      <c r="V72" s="89" t="n"/>
      <c r="W72" s="87" t="n"/>
      <c r="X72" s="89" t="n"/>
      <c r="Y72" s="91" t="n"/>
      <c r="Z72" s="122">
        <f>IF(G72&lt;&gt;"",IF(AND(Z71&lt;&gt;"IE",P72&lt;&gt;0,R72&lt;&gt;""),IF(IFERROR((P72/R72),0) &lt;=1,IFERROR(P72/R72,""),1),""),"")</f>
        <v/>
      </c>
      <c r="AA72" s="93" t="n"/>
      <c r="AB72" s="2" t="n"/>
      <c r="AE72" s="10">
        <f>HOUR(AK72)+1</f>
        <v/>
      </c>
      <c r="AF72" s="7" t="n"/>
      <c r="AG72" s="7" t="n"/>
      <c r="AH72" s="86" t="n"/>
      <c r="AI72" s="8" t="n"/>
      <c r="AJ72" s="86" t="n"/>
      <c r="AK72" s="87" t="n"/>
      <c r="AL72" s="88">
        <f>IF(AM72="","",IF(AND((AM72-AK72)&gt;=TIME(0,0,0),(AM72-AK72)&lt;TIME(0,3,0)),"OK",IF(AND((AM72-AK72)&gt;=TIME(0,3,0),(AM72-AK72)&lt;TIME(0,5,0)),"RETRASO DE 3-5 MIN",IF(AND((AM72-AK72)&gt;=TIME(0,5,0),(AM72-AK72)&lt;TIME(0,10,0)),"RETRASO DE 5-10 MIN",IF((AM72-AK72)&gt;=TIME(0,10,0),"RETRASO &gt;10 MIN", IF(AND((AK72-AM72)&gt;=TIME(0,0,0),(AK72-AM72)&lt;TIME(0,3,0)),"OK",IF((AK72-AM72)&gt;=TIME(0,3,0),"ADELANTADO")))))))</f>
        <v/>
      </c>
      <c r="AM72" s="91" t="n"/>
      <c r="AN72" s="89">
        <f>IF(AE72&lt;&gt;"",HLOOKUP(VALUE(TEXT(AK72,"h:mm:ss")),IF($C$6="Laboral",$FZ$4:$GX$227,IF($C$6="Sábado",$FZ$231:$GX$452,$FZ$456:$GX$656)),VLOOKUP($C$4,$HF$2:$HH$99,3,0)+IF(AG$5="Ida",0,1),1),"")</f>
        <v/>
      </c>
      <c r="AO72" s="89">
        <f>IF(AE73&lt;&gt;AE72,AVERAGEIF(AE$9:AE72,AE72,AN$9:AN72),"")</f>
        <v/>
      </c>
      <c r="AP72" s="89">
        <f>IFERROR(IF(AE73&lt;&gt;AE72,AVERAGEIF(AE$9:AE72,AE72,AW$9:AW72),""),"")</f>
        <v/>
      </c>
      <c r="AQ72" s="89">
        <f>IFERROR(IF(AE73&lt;&gt;AE72,AVERAGEIF(AE$9:AE72,AE72,AX$9:AX72),""),"")</f>
        <v/>
      </c>
      <c r="AR72" s="89">
        <f t="array" ref="AR72">IFERROR(IF(AE73&lt;&gt;AE72,_xlfn.STDEV.P(IF(AE$9:AE72=AE72,AX$9:AX72)),""),"")</f>
        <v/>
      </c>
      <c r="AS72" s="89">
        <f t="array" ref="AS72">IFERROR(IF(AE73&lt;&gt;AE72,_xlfn.STDEV.P(IF(AE$9:AE72=AE72,AW$9:AW72)),""),"")</f>
        <v/>
      </c>
      <c r="AT72" s="90">
        <f>IFERROR(IF(AE72&lt;&gt;AE73,MAX((((AQ72*24*60)/2)*(1+POWER((((AR72*24*60) / (AQ72*24*60) )),2))) + ((AQ72*24*60 )*-0.1 + (AO72*0.015)) +1,(((AQ72*24*60)/2)*(1+POWER((((AR72*24*60) / (AQ72*24*60 ))),2)))),""),"")</f>
        <v/>
      </c>
      <c r="AU72" s="90">
        <f>IF(AND(AS72&lt;&gt;"",AP72&lt;&gt;""),IF(AE72&lt;&gt;AE73,((AP72*24*60) / 2 ) * (1 + POWER(((AS72*24*60) / (AP72*24*60)),2)),""),"")</f>
        <v/>
      </c>
      <c r="AV72" s="90">
        <f>IF(AU72&lt;&gt;"",MAX(AT72,AU72),"")</f>
        <v/>
      </c>
      <c r="AW72" s="89">
        <f>IF(AM72&lt;&gt;"H. Sale Real",IF(AND(AM73&lt;&gt;"",LEFT(AG73,2)&lt;&gt;"Va"),IF(AND(AM72&lt;&gt;"",LEFT(AG72,2)&lt;&gt;"Va",AM72&lt;&gt;"H. Sale Real"),IF(AM73-AM72&lt;0.208333333333333,AM73-AM72,""),IF(AND(AM71&lt;&gt;"",LEFT(AG71,2)&lt;&gt;"Va",AM71&lt;&gt;"H. Sale Real"),IF(AM73-AM71&lt;0.208333333333333,AM73-AM71,""),IF(AND(AM70&lt;&gt;"",LEFT(AG70,2)&lt;&gt;"Va",AM70&lt;&gt;"H. Sale Real"),IF(AM73-AM70&lt;0.208333333333333,AM73-AM70,""),IF(AND(AM69&lt;&gt;"",LEFT(AG69,2)&lt;&gt;"Va",AM69&lt;&gt;"H. Sale Real"),IF(AM73-AM69&lt;0.208333333333333,AM73-AM69,""),IF(AND(AM68&lt;&gt;"",LEFT(AG68,2)&lt;&gt;"Va",AM68&lt;&gt;"H. Sale Real"),IF(AM73-AM68&lt;0.208333333333333,AM73-AM68,""),""))))),""),"")</f>
        <v/>
      </c>
      <c r="AX72" s="89">
        <f>IF(AK72&lt;&gt;"H. Sale Real",IF(AND(AK73&lt;&gt;"",LEFT(AG73,2)&lt;&gt;"Va"),IF(AND(AK72&lt;&gt;"",LEFT(AG72,2)&lt;&gt;"Va",AK72&lt;&gt;"H. Sale Real"),IF(AK73-AK72&lt;0.208333333333333,AK73-AK72,""),IF(AND(AK71&lt;&gt;"",LEFT(AG71,2)&lt;&gt;"Va",AK71&lt;&gt;"H. Sale Real"),IF(AK73-AK71&lt;0.208333333333333,AK73-AK71,""),IF(AND(AK70&lt;&gt;"",LEFT(AG70,2)&lt;&gt;"NC",AK70&lt;&gt;"H. Sale Real"),IF(AK73-AK70&lt;0.208333333333333,AK73-AK70,""),IF(AND(AK69&lt;&gt;"",LEFT(AG69,2)&lt;&gt;"Va",AK69&lt;&gt;"H. Sale Real"),IF(AK73-AK69&lt;0.208333333333333,AK73-AK69,""),IF(AND(AK68&lt;&gt;"",LEFT(AG68,2)&lt;&gt;"Va",AK68&lt;&gt;"H. Sale Real"),IF(AK73-AK68&lt;0.208333333333333,AK73-AK68,""),""))))),""),"")</f>
        <v/>
      </c>
      <c r="AY72" s="87" t="n"/>
      <c r="AZ72" s="89" t="n"/>
      <c r="BA72" s="87" t="n"/>
      <c r="BB72" s="89" t="n"/>
      <c r="BC72" s="91" t="n"/>
      <c r="BD72" s="122">
        <f>IF(AK72&lt;&gt;"",IF(AND(BD71&lt;&gt;"IE",AT72&lt;&gt;0,AV72&lt;&gt;""),IF(IFERROR((AT72/AV72),0) &lt;=1,IFERROR(AT72/AV72,""),1),""),"")</f>
        <v/>
      </c>
      <c r="BE72" s="93" t="n"/>
      <c r="BF72" s="105" t="n"/>
      <c r="FC72" t="inlineStr">
        <is>
          <t>Diccionario 1</t>
        </is>
      </c>
      <c r="FD72" s="15" t="n">
        <v>1069</v>
      </c>
      <c r="FE72" s="15" t="inlineStr">
        <is>
          <t>D8482361K2PL</t>
        </is>
      </c>
      <c r="FF72" s="15" t="inlineStr">
        <is>
          <t>YV3T7U528KA195287</t>
        </is>
      </c>
      <c r="FG72" s="15" t="inlineStr">
        <is>
          <t>Volvo</t>
        </is>
      </c>
      <c r="FH72" s="15" t="inlineStr">
        <is>
          <t>B8R</t>
        </is>
      </c>
      <c r="FI72" s="15" t="inlineStr">
        <is>
          <t>MARCOPOLO</t>
        </is>
      </c>
      <c r="FJ72" s="15" t="inlineStr">
        <is>
          <t>TORINO</t>
        </is>
      </c>
      <c r="FK72" s="15" t="n">
        <v>2019</v>
      </c>
      <c r="FL72" s="15" t="inlineStr">
        <is>
          <t>B2PAL</t>
        </is>
      </c>
      <c r="FM72" s="15" t="inlineStr">
        <is>
          <t>LOS LIBERTADORES</t>
        </is>
      </c>
      <c r="FN72" s="15" t="inlineStr">
        <is>
          <t>Los Liberadores 6450, Lote 4A</t>
        </is>
      </c>
      <c r="FO72" s="15" t="inlineStr">
        <is>
          <t>Huechuraba</t>
        </is>
      </c>
      <c r="FP72" t="inlineStr">
        <is>
          <t>B</t>
        </is>
      </c>
      <c r="FS72" s="14" t="inlineStr">
        <is>
          <t>3019 / SFWB-44|</t>
        </is>
      </c>
      <c r="FT72" t="inlineStr">
        <is>
          <t>SFWB-44|</t>
        </is>
      </c>
      <c r="FU72" t="inlineStr">
        <is>
          <t>SFWB-44</t>
        </is>
      </c>
      <c r="FV72">
        <f>VLOOKUP(FU72,FD:FL,9,0)</f>
        <v/>
      </c>
      <c r="FZ72" s="51" t="inlineStr">
        <is>
          <t>F25e</t>
        </is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18.105</v>
      </c>
      <c r="GH72" t="n">
        <v>29.27</v>
      </c>
      <c r="GI72" t="n">
        <v>30.13</v>
      </c>
      <c r="GJ72" t="n">
        <v>31.565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10.685</v>
      </c>
      <c r="GS72" t="n">
        <v>20.4</v>
      </c>
      <c r="GT72" t="n">
        <v>22.13</v>
      </c>
      <c r="GU72" t="n">
        <v>24.71</v>
      </c>
      <c r="GV72" t="n">
        <v>23.42</v>
      </c>
      <c r="GW72" t="n">
        <v>0</v>
      </c>
      <c r="GX72" t="n">
        <v>0</v>
      </c>
      <c r="HA72" s="35" t="n">
        <v>69</v>
      </c>
      <c r="HB72" s="35" t="n">
        <v>66</v>
      </c>
    </row>
    <row r="73" ht="15.5" customHeight="1">
      <c r="A73" s="10">
        <f>HOUR(G73)+1</f>
        <v/>
      </c>
      <c r="B73" s="7" t="n"/>
      <c r="C73" s="7" t="n"/>
      <c r="D73" s="85">
        <f>IFERROR(
IF(AND(OR(Planilla!B73="C",Planilla!B73="c"), VLOOKUP(E73,FD:FP,13,0)="C"), "OK",IF(AND(OR(Planilla!B73="C",Planilla!B73="c"), OR(VLOOKUP(E73,FD:FP,13,0)="B", VLOOKUP(E73,FD:FP,13,0)="A")), "DEFICIT",IF(
AND(OR(Planilla!B73="B", Planilla!B73="BPAL"), VLOOKUP(E73,FD:FP,13,0)="B"), "OK",IF(AND(OR(Planilla!B73="B", Planilla!B73="BPAL"), VLOOKUP(E73,FD:FP,13,0)="A"), "DEFICIT",IF(AND(OR(Planilla!B73="B", Planilla!B73="BPAL"), VLOOKUP(E73,FD:FP,13,0)="C"), "SOBREOFERTA",IF(AND(Planilla!B73="A", VLOOKUP(E73,FD:FP,13,0)="A"), "OK",IF(
AND(Planilla!B73="A", OR(VLOOKUP(E73,FD:FP,13,0)="B", VLOOKUP(E73,FD:FP,13,0)="C")), "SOBREOFERTA",""
))))))),"")</f>
        <v/>
      </c>
      <c r="E73" s="8" t="n"/>
      <c r="F73" s="86" t="n"/>
      <c r="G73" s="87" t="n"/>
      <c r="H73" s="88">
        <f>IF(I73="","",IF(AND((I73-G73)&gt;=TIME(0,0,0),(I73-G73)&lt;TIME(0,3,0)),"OK",IF(AND((I73-G73)&gt;=TIME(0,3,0),(I73-G73)&lt;TIME(0,5,0)),"RETRASO DE 3-5 MIN",IF(AND((I73-G73)&gt;=TIME(0,5,0),(I73-G73)&lt;TIME(0,10,0)),"RETRASO DE 5-10 MIN",IF((I73-G73)&gt;=TIME(0,10,0),"RETRASO &gt;10 MIN", IF(AND((G73-I73)&gt;=TIME(0,0,0),(G73-I73)&lt;TIME(0,3,0)),"OK",IF((G73-I73)&gt;=TIME(0,3,0),"ADELANTADO")))))))</f>
        <v/>
      </c>
      <c r="I73" s="89" t="n"/>
      <c r="J73" s="89">
        <f>IF(A73&lt;&gt;"",HLOOKUP(VALUE(TEXT(G73,"h:mm:ss")),IF($C$6="Laboral",$FZ$4:$GX$227,IF($C$6="Sábado",$FZ$231:$GX$452,$FZ$456:$GX$656)),VLOOKUP($C$4,$HF$2:$HH$99,3,0)+IF(C$5="Ida",0,1),1),"")</f>
        <v/>
      </c>
      <c r="K73" s="89">
        <f>IF(A74&lt;&gt;A73,AVERAGEIF(A$9:A73,A73,J$9:J73),"")</f>
        <v/>
      </c>
      <c r="L73" s="89">
        <f>IFERROR(IF(A74&lt;&gt;A73,AVERAGEIF(A$9:A73,A73,S$9:S73),""),"")</f>
        <v/>
      </c>
      <c r="M73" s="89">
        <f>IFERROR(IF(A74&lt;&gt;A73,AVERAGEIF(A$9:A73,A73,T$9:T73),""),"")</f>
        <v/>
      </c>
      <c r="N73" s="89">
        <f t="array" ref="N73">IFERROR(IF(A74&lt;&gt;A73,_xlfn.STDEV.P(IF(A$9:A73=A73,T$9:T73)),""),"")</f>
        <v/>
      </c>
      <c r="O73" s="89">
        <f t="array" ref="O73">IFERROR(IF(A74&lt;&gt;A73,_xlfn.STDEV.P(IF(A$9:A73=A73,S$9:S73)),""),"")</f>
        <v/>
      </c>
      <c r="P73" s="90">
        <f>IFERROR(IF(A73&lt;&gt;A74,MAX((((M73*24*60)/2)*(1+POWER((((N73*24*60) / (M73*24*60) )),2))) + ((M73*24*60 )*-0.1 + (K73*0.015)) +1,(((M73*24*60)/2)*(1+POWER((((N73*24*60) / (M73*24*60 ))),2)))),""),"")</f>
        <v/>
      </c>
      <c r="Q73" s="90">
        <f>IF(AND(O73&lt;&gt;"",L73&lt;&gt;""),IF(A73&lt;&gt;A74,((L73*24*60) / 2 ) * (1 + POWER(((O73*24*60) / (L73*24*60)),2)),""),"")</f>
        <v/>
      </c>
      <c r="R73" s="90">
        <f>IF(Q73&lt;&gt;"",MAX(P73,Q73),"")</f>
        <v/>
      </c>
      <c r="S73" s="89">
        <f>IF(I73&lt;&gt;"H. Sale Real",IF(AND(I74&lt;&gt;"",LEFT(C74,2)&lt;&gt;"Va"),IF(AND(I73&lt;&gt;"",LEFT(C73,2)&lt;&gt;"Va",I73&lt;&gt;"H. Sale Real"),IF(I74-I73&lt;0.208333333333333,I74-I73,""),IF(AND(I72&lt;&gt;"",LEFT(C72,2)&lt;&gt;"Va",I72&lt;&gt;"H. Sale Real"),IF(I74-I72&lt;0.208333333333333,I74-I72,""),IF(AND(I71&lt;&gt;"",LEFT(C71,2)&lt;&gt;"Va",I71&lt;&gt;"H. Sale Real"),IF(I74-I71&lt;0.208333333333333,I74-I71,""),IF(AND(I70&lt;&gt;"",LEFT(C70,2)&lt;&gt;"Va",I70&lt;&gt;"H. Sale Real"),IF(I74-I70&lt;0.208333333333333,I74-I70,""),IF(AND(I69&lt;&gt;"",LEFT(C69,2)&lt;&gt;"Va",I69&lt;&gt;"H. Sale Real"),IF(I74-I69&lt;0.208333333333333,I74-I69,""),""))))),""),"")</f>
        <v/>
      </c>
      <c r="T73" s="89">
        <f>IF(G73&lt;&gt;"H. Sale Real",IF(AND(G74&lt;&gt;"",LEFT(C74,2)&lt;&gt;"Va"),IF(AND(G73&lt;&gt;"",LEFT(C73,2)&lt;&gt;"Va",G73&lt;&gt;"H. Sale Real"),IF(G74-G73&lt;0.208333333333333,G74-G73,""),IF(AND(G72&lt;&gt;"",LEFT(C72,2)&lt;&gt;"Va",G72&lt;&gt;"H. Sale Real"),IF(G74-G72&lt;0.208333333333333,G74-G72,""),IF(AND(G71&lt;&gt;"",LEFT(C71,2)&lt;&gt;"Va",G71&lt;&gt;"H. Sale Real"),IF(G74-G71&lt;0.208333333333333,G74-G71,""),IF(AND(G70&lt;&gt;"",LEFT(C70,2)&lt;&gt;"Va",G70&lt;&gt;"H. Sale Real"),IF(G74-G70&lt;0.208333333333333,G74-G70,""),IF(AND(G69&lt;&gt;"",LEFT(C69,2)&lt;&gt;"Va",G69&lt;&gt;"H. Sale Real"),IF(G74-G69&lt;0.208333333333333,G74-G69,""),""))))),""),"")</f>
        <v/>
      </c>
      <c r="U73" s="87" t="n"/>
      <c r="V73" s="89" t="n"/>
      <c r="W73" s="87" t="n"/>
      <c r="X73" s="89" t="n"/>
      <c r="Y73" s="91" t="n"/>
      <c r="Z73" s="122">
        <f>IF(G73&lt;&gt;"",IF(AND(Z72&lt;&gt;"IE",P73&lt;&gt;0,R73&lt;&gt;""),IF(IFERROR((P73/R73),0) &lt;=1,IFERROR(P73/R73,""),1),""),"")</f>
        <v/>
      </c>
      <c r="AA73" s="93" t="n"/>
      <c r="AB73" s="2" t="n"/>
      <c r="AE73" s="10">
        <f>HOUR(AK73)+1</f>
        <v/>
      </c>
      <c r="AF73" s="7" t="n"/>
      <c r="AG73" s="7" t="n"/>
      <c r="AH73" s="86" t="n"/>
      <c r="AI73" s="8" t="n"/>
      <c r="AJ73" s="86" t="n"/>
      <c r="AK73" s="87" t="n"/>
      <c r="AL73" s="88">
        <f>IF(AM73="","",IF(AND((AM73-AK73)&gt;=TIME(0,0,0),(AM73-AK73)&lt;TIME(0,3,0)),"OK",IF(AND((AM73-AK73)&gt;=TIME(0,3,0),(AM73-AK73)&lt;TIME(0,5,0)),"RETRASO DE 3-5 MIN",IF(AND((AM73-AK73)&gt;=TIME(0,5,0),(AM73-AK73)&lt;TIME(0,10,0)),"RETRASO DE 5-10 MIN",IF((AM73-AK73)&gt;=TIME(0,10,0),"RETRASO &gt;10 MIN", IF(AND((AK73-AM73)&gt;=TIME(0,0,0),(AK73-AM73)&lt;TIME(0,3,0)),"OK",IF((AK73-AM73)&gt;=TIME(0,3,0),"ADELANTADO")))))))</f>
        <v/>
      </c>
      <c r="AM73" s="91" t="n"/>
      <c r="AN73" s="89">
        <f>IF(AE73&lt;&gt;"",HLOOKUP(VALUE(TEXT(AK73,"h:mm:ss")),IF($C$6="Laboral",$FZ$4:$GX$227,IF($C$6="Sábado",$FZ$231:$GX$452,$FZ$456:$GX$656)),VLOOKUP($C$4,$HF$2:$HH$99,3,0)+IF(AG$5="Ida",0,1),1),"")</f>
        <v/>
      </c>
      <c r="AO73" s="89">
        <f>IF(AE74&lt;&gt;AE73,AVERAGEIF(AE$9:AE73,AE73,AN$9:AN73),"")</f>
        <v/>
      </c>
      <c r="AP73" s="89">
        <f>IFERROR(IF(AE74&lt;&gt;AE73,AVERAGEIF(AE$9:AE73,AE73,AW$9:AW73),""),"")</f>
        <v/>
      </c>
      <c r="AQ73" s="89">
        <f>IFERROR(IF(AE74&lt;&gt;AE73,AVERAGEIF(AE$9:AE73,AE73,AX$9:AX73),""),"")</f>
        <v/>
      </c>
      <c r="AR73" s="89">
        <f t="array" ref="AR73">IFERROR(IF(AE74&lt;&gt;AE73,_xlfn.STDEV.P(IF(AE$9:AE73=AE73,AX$9:AX73)),""),"")</f>
        <v/>
      </c>
      <c r="AS73" s="89">
        <f t="array" ref="AS73">IFERROR(IF(AE74&lt;&gt;AE73,_xlfn.STDEV.P(IF(AE$9:AE73=AE73,AW$9:AW73)),""),"")</f>
        <v/>
      </c>
      <c r="AT73" s="90">
        <f>IFERROR(IF(AE73&lt;&gt;AE74,MAX((((AQ73*24*60)/2)*(1+POWER((((AR73*24*60) / (AQ73*24*60) )),2))) + ((AQ73*24*60 )*-0.1 + (AO73*0.015)) +1,(((AQ73*24*60)/2)*(1+POWER((((AR73*24*60) / (AQ73*24*60 ))),2)))),""),"")</f>
        <v/>
      </c>
      <c r="AU73" s="90">
        <f>IF(AND(AS73&lt;&gt;"",AP73&lt;&gt;""),IF(AE73&lt;&gt;AE74,((AP73*24*60) / 2 ) * (1 + POWER(((AS73*24*60) / (AP73*24*60)),2)),""),"")</f>
        <v/>
      </c>
      <c r="AV73" s="90">
        <f>IF(AU73&lt;&gt;"",MAX(AT73,AU73),"")</f>
        <v/>
      </c>
      <c r="AW73" s="89">
        <f>IF(AM73&lt;&gt;"H. Sale Real",IF(AND(AM74&lt;&gt;"",LEFT(AG74,2)&lt;&gt;"Va"),IF(AND(AM73&lt;&gt;"",LEFT(AG73,2)&lt;&gt;"Va",AM73&lt;&gt;"H. Sale Real"),IF(AM74-AM73&lt;0.208333333333333,AM74-AM73,""),IF(AND(AM72&lt;&gt;"",LEFT(AG72,2)&lt;&gt;"Va",AM72&lt;&gt;"H. Sale Real"),IF(AM74-AM72&lt;0.208333333333333,AM74-AM72,""),IF(AND(AM71&lt;&gt;"",LEFT(AG71,2)&lt;&gt;"Va",AM71&lt;&gt;"H. Sale Real"),IF(AM74-AM71&lt;0.208333333333333,AM74-AM71,""),IF(AND(AM70&lt;&gt;"",LEFT(AG70,2)&lt;&gt;"Va",AM70&lt;&gt;"H. Sale Real"),IF(AM74-AM70&lt;0.208333333333333,AM74-AM70,""),IF(AND(AM69&lt;&gt;"",LEFT(AG69,2)&lt;&gt;"Va",AM69&lt;&gt;"H. Sale Real"),IF(AM74-AM69&lt;0.208333333333333,AM74-AM69,""),""))))),""),"")</f>
        <v/>
      </c>
      <c r="AX73" s="89">
        <f>IF(AK73&lt;&gt;"H. Sale Real",IF(AND(AK74&lt;&gt;"",LEFT(AG74,2)&lt;&gt;"Va"),IF(AND(AK73&lt;&gt;"",LEFT(AG73,2)&lt;&gt;"Va",AK73&lt;&gt;"H. Sale Real"),IF(AK74-AK73&lt;0.208333333333333,AK74-AK73,""),IF(AND(AK72&lt;&gt;"",LEFT(AG72,2)&lt;&gt;"Va",AK72&lt;&gt;"H. Sale Real"),IF(AK74-AK72&lt;0.208333333333333,AK74-AK72,""),IF(AND(AK71&lt;&gt;"",LEFT(AG71,2)&lt;&gt;"NC",AK71&lt;&gt;"H. Sale Real"),IF(AK74-AK71&lt;0.208333333333333,AK74-AK71,""),IF(AND(AK70&lt;&gt;"",LEFT(AG70,2)&lt;&gt;"Va",AK70&lt;&gt;"H. Sale Real"),IF(AK74-AK70&lt;0.208333333333333,AK74-AK70,""),IF(AND(AK69&lt;&gt;"",LEFT(AG69,2)&lt;&gt;"Va",AK69&lt;&gt;"H. Sale Real"),IF(AK74-AK69&lt;0.208333333333333,AK74-AK69,""),""))))),""),"")</f>
        <v/>
      </c>
      <c r="AY73" s="87" t="n"/>
      <c r="AZ73" s="89" t="n"/>
      <c r="BA73" s="87" t="n"/>
      <c r="BB73" s="89" t="n"/>
      <c r="BC73" s="91" t="n"/>
      <c r="BD73" s="122">
        <f>IF(AK73&lt;&gt;"",IF(AND(BD72&lt;&gt;"IE",AT73&lt;&gt;0,AV73&lt;&gt;""),IF(IFERROR((AT73/AV73),0) &lt;=1,IFERROR(AT73/AV73,""),1),""),"")</f>
        <v/>
      </c>
      <c r="BE73" s="93" t="n"/>
      <c r="BF73" s="105" t="n"/>
      <c r="FC73" t="inlineStr">
        <is>
          <t>Diccionario 1</t>
        </is>
      </c>
      <c r="FD73" s="15" t="n">
        <v>1070</v>
      </c>
      <c r="FE73" s="15" t="inlineStr">
        <is>
          <t>D8482775K2PL</t>
        </is>
      </c>
      <c r="FF73" s="15" t="inlineStr">
        <is>
          <t>YV3T7U528KA195306</t>
        </is>
      </c>
      <c r="FG73" s="15" t="inlineStr">
        <is>
          <t>Volvo</t>
        </is>
      </c>
      <c r="FH73" s="15" t="inlineStr">
        <is>
          <t>B8R</t>
        </is>
      </c>
      <c r="FI73" s="15" t="inlineStr">
        <is>
          <t>MARCOPOLO</t>
        </is>
      </c>
      <c r="FJ73" s="15" t="inlineStr">
        <is>
          <t>TORINO</t>
        </is>
      </c>
      <c r="FK73" s="15" t="n">
        <v>2019</v>
      </c>
      <c r="FL73" s="15" t="inlineStr">
        <is>
          <t>B2PAL</t>
        </is>
      </c>
      <c r="FM73" s="15" t="inlineStr">
        <is>
          <t>LOS LIBERTADORES</t>
        </is>
      </c>
      <c r="FN73" s="15" t="inlineStr">
        <is>
          <t>Los Liberadores 6450, Lote 4A</t>
        </is>
      </c>
      <c r="FO73" s="15" t="inlineStr">
        <is>
          <t>Huechuraba</t>
        </is>
      </c>
      <c r="FP73" t="inlineStr">
        <is>
          <t>B</t>
        </is>
      </c>
      <c r="FS73" s="14" t="inlineStr">
        <is>
          <t>3020 / SFWZ-20|</t>
        </is>
      </c>
      <c r="FT73" t="inlineStr">
        <is>
          <t>SFWZ-20|</t>
        </is>
      </c>
      <c r="FU73" t="inlineStr">
        <is>
          <t>SFWZ-20</t>
        </is>
      </c>
      <c r="FV73">
        <f>VLOOKUP(FU73,FD:FL,9,0)</f>
        <v/>
      </c>
      <c r="FZ73" s="51" t="inlineStr">
        <is>
          <t>F30n</t>
        </is>
      </c>
      <c r="GA73" t="n">
        <v>28.78</v>
      </c>
      <c r="GB73" t="n">
        <v>29.775</v>
      </c>
      <c r="GC73" t="n">
        <v>30.505</v>
      </c>
      <c r="GD73" t="n">
        <v>30.57</v>
      </c>
      <c r="GE73" t="n">
        <v>26.69</v>
      </c>
      <c r="GF73" t="n">
        <v>12.005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27.125</v>
      </c>
      <c r="HA73" s="35" t="n">
        <v>70</v>
      </c>
      <c r="HB73" s="35" t="n">
        <v>67</v>
      </c>
    </row>
    <row r="74" ht="15.5" customHeight="1">
      <c r="A74" s="10">
        <f>HOUR(G74)+1</f>
        <v/>
      </c>
      <c r="B74" s="7" t="n"/>
      <c r="C74" s="7" t="n"/>
      <c r="D74" s="85">
        <f>IFERROR(
IF(AND(OR(Planilla!B74="C",Planilla!B74="c"), VLOOKUP(E74,FD:FP,13,0)="C"), "OK",IF(AND(OR(Planilla!B74="C",Planilla!B74="c"), OR(VLOOKUP(E74,FD:FP,13,0)="B", VLOOKUP(E74,FD:FP,13,0)="A")), "DEFICIT",IF(
AND(OR(Planilla!B74="B", Planilla!B74="BPAL"), VLOOKUP(E74,FD:FP,13,0)="B"), "OK",IF(AND(OR(Planilla!B74="B", Planilla!B74="BPAL"), VLOOKUP(E74,FD:FP,13,0)="A"), "DEFICIT",IF(AND(OR(Planilla!B74="B", Planilla!B74="BPAL"), VLOOKUP(E74,FD:FP,13,0)="C"), "SOBREOFERTA",IF(AND(Planilla!B74="A", VLOOKUP(E74,FD:FP,13,0)="A"), "OK",IF(
AND(Planilla!B74="A", OR(VLOOKUP(E74,FD:FP,13,0)="B", VLOOKUP(E74,FD:FP,13,0)="C")), "SOBREOFERTA",""
))))))),"")</f>
        <v/>
      </c>
      <c r="E74" s="8" t="n"/>
      <c r="F74" s="86" t="n"/>
      <c r="G74" s="87" t="n"/>
      <c r="H74" s="88">
        <f>IF(I74="","",IF(AND((I74-G74)&gt;=TIME(0,0,0),(I74-G74)&lt;TIME(0,3,0)),"OK",IF(AND((I74-G74)&gt;=TIME(0,3,0),(I74-G74)&lt;TIME(0,5,0)),"RETRASO DE 3-5 MIN",IF(AND((I74-G74)&gt;=TIME(0,5,0),(I74-G74)&lt;TIME(0,10,0)),"RETRASO DE 5-10 MIN",IF((I74-G74)&gt;=TIME(0,10,0),"RETRASO &gt;10 MIN", IF(AND((G74-I74)&gt;=TIME(0,0,0),(G74-I74)&lt;TIME(0,3,0)),"OK",IF((G74-I74)&gt;=TIME(0,3,0),"ADELANTADO")))))))</f>
        <v/>
      </c>
      <c r="I74" s="89" t="n"/>
      <c r="J74" s="89">
        <f>IF(A74&lt;&gt;"",HLOOKUP(VALUE(TEXT(G74,"h:mm:ss")),IF($C$6="Laboral",$FZ$4:$GX$227,IF($C$6="Sábado",$FZ$231:$GX$452,$FZ$456:$GX$656)),VLOOKUP($C$4,$HF$2:$HH$99,3,0)+IF(C$5="Ida",0,1),1),"")</f>
        <v/>
      </c>
      <c r="K74" s="89">
        <f>IF(A75&lt;&gt;A74,AVERAGEIF(A$9:A74,A74,J$9:J74),"")</f>
        <v/>
      </c>
      <c r="L74" s="89">
        <f>IFERROR(IF(A75&lt;&gt;A74,AVERAGEIF(A$9:A74,A74,S$9:S74),""),"")</f>
        <v/>
      </c>
      <c r="M74" s="89">
        <f>IFERROR(IF(A75&lt;&gt;A74,AVERAGEIF(A$9:A74,A74,T$9:T74),""),"")</f>
        <v/>
      </c>
      <c r="N74" s="89">
        <f t="array" ref="N74">IFERROR(IF(A75&lt;&gt;A74,_xlfn.STDEV.P(IF(A$9:A74=A74,T$9:T74)),""),"")</f>
        <v/>
      </c>
      <c r="O74" s="89">
        <f t="array" ref="O74">IFERROR(IF(A75&lt;&gt;A74,_xlfn.STDEV.P(IF(A$9:A74=A74,S$9:S74)),""),"")</f>
        <v/>
      </c>
      <c r="P74" s="90">
        <f>IFERROR(IF(A74&lt;&gt;A75,MAX((((M74*24*60)/2)*(1+POWER((((N74*24*60) / (M74*24*60) )),2))) + ((M74*24*60 )*-0.1 + (K74*0.015)) +1,(((M74*24*60)/2)*(1+POWER((((N74*24*60) / (M74*24*60 ))),2)))),""),"")</f>
        <v/>
      </c>
      <c r="Q74" s="90">
        <f>IF(AND(O74&lt;&gt;"",L74&lt;&gt;""),IF(A74&lt;&gt;A75,((L74*24*60) / 2 ) * (1 + POWER(((O74*24*60) / (L74*24*60)),2)),""),"")</f>
        <v/>
      </c>
      <c r="R74" s="90">
        <f>IF(Q74&lt;&gt;"",MAX(P74,Q74),"")</f>
        <v/>
      </c>
      <c r="S74" s="89">
        <f>IF(I74&lt;&gt;"H. Sale Real",IF(AND(I75&lt;&gt;"",LEFT(C75,2)&lt;&gt;"Va"),IF(AND(I74&lt;&gt;"",LEFT(C74,2)&lt;&gt;"Va",I74&lt;&gt;"H. Sale Real"),IF(I75-I74&lt;0.208333333333333,I75-I74,""),IF(AND(I73&lt;&gt;"",LEFT(C73,2)&lt;&gt;"Va",I73&lt;&gt;"H. Sale Real"),IF(I75-I73&lt;0.208333333333333,I75-I73,""),IF(AND(I72&lt;&gt;"",LEFT(C72,2)&lt;&gt;"Va",I72&lt;&gt;"H. Sale Real"),IF(I75-I72&lt;0.208333333333333,I75-I72,""),IF(AND(I71&lt;&gt;"",LEFT(C71,2)&lt;&gt;"Va",I71&lt;&gt;"H. Sale Real"),IF(I75-I71&lt;0.208333333333333,I75-I71,""),IF(AND(I70&lt;&gt;"",LEFT(C70,2)&lt;&gt;"Va",I70&lt;&gt;"H. Sale Real"),IF(I75-I70&lt;0.208333333333333,I75-I70,""),""))))),""),"")</f>
        <v/>
      </c>
      <c r="T74" s="89">
        <f>IF(G74&lt;&gt;"H. Sale Real",IF(AND(G75&lt;&gt;"",LEFT(C75,2)&lt;&gt;"Va"),IF(AND(G74&lt;&gt;"",LEFT(C74,2)&lt;&gt;"Va",G74&lt;&gt;"H. Sale Real"),IF(G75-G74&lt;0.208333333333333,G75-G74,""),IF(AND(G73&lt;&gt;"",LEFT(C73,2)&lt;&gt;"Va",G73&lt;&gt;"H. Sale Real"),IF(G75-G73&lt;0.208333333333333,G75-G73,""),IF(AND(G72&lt;&gt;"",LEFT(C72,2)&lt;&gt;"Va",G72&lt;&gt;"H. Sale Real"),IF(G75-G72&lt;0.208333333333333,G75-G72,""),IF(AND(G71&lt;&gt;"",LEFT(C71,2)&lt;&gt;"Va",G71&lt;&gt;"H. Sale Real"),IF(G75-G71&lt;0.208333333333333,G75-G71,""),IF(AND(G70&lt;&gt;"",LEFT(C70,2)&lt;&gt;"Va",G70&lt;&gt;"H. Sale Real"),IF(G75-G70&lt;0.208333333333333,G75-G70,""),""))))),""),"")</f>
        <v/>
      </c>
      <c r="U74" s="87" t="n"/>
      <c r="V74" s="89" t="n"/>
      <c r="W74" s="87" t="n"/>
      <c r="X74" s="89" t="n"/>
      <c r="Y74" s="91" t="n"/>
      <c r="Z74" s="122">
        <f>IF(G74&lt;&gt;"",IF(AND(Z73&lt;&gt;"IE",P74&lt;&gt;0,R74&lt;&gt;""),IF(IFERROR((P74/R74),0) &lt;=1,IFERROR(P74/R74,""),1),""),"")</f>
        <v/>
      </c>
      <c r="AA74" s="93" t="n"/>
      <c r="AB74" s="2" t="n"/>
      <c r="AE74" s="10">
        <f>HOUR(AK74)+1</f>
        <v/>
      </c>
      <c r="AF74" s="7" t="n"/>
      <c r="AG74" s="7" t="n"/>
      <c r="AH74" s="86" t="n"/>
      <c r="AI74" s="8" t="n"/>
      <c r="AJ74" s="86" t="n"/>
      <c r="AK74" s="87" t="n"/>
      <c r="AL74" s="88">
        <f>IF(AM74="","",IF(AND((AM74-AK74)&gt;=TIME(0,0,0),(AM74-AK74)&lt;TIME(0,3,0)),"OK",IF(AND((AM74-AK74)&gt;=TIME(0,3,0),(AM74-AK74)&lt;TIME(0,5,0)),"RETRASO DE 3-5 MIN",IF(AND((AM74-AK74)&gt;=TIME(0,5,0),(AM74-AK74)&lt;TIME(0,10,0)),"RETRASO DE 5-10 MIN",IF((AM74-AK74)&gt;=TIME(0,10,0),"RETRASO &gt;10 MIN", IF(AND((AK74-AM74)&gt;=TIME(0,0,0),(AK74-AM74)&lt;TIME(0,3,0)),"OK",IF((AK74-AM74)&gt;=TIME(0,3,0),"ADELANTADO")))))))</f>
        <v/>
      </c>
      <c r="AM74" s="91" t="n"/>
      <c r="AN74" s="89">
        <f>IF(AE74&lt;&gt;"",HLOOKUP(VALUE(TEXT(AK74,"h:mm:ss")),IF($C$6="Laboral",$FZ$4:$GX$227,IF($C$6="Sábado",$FZ$231:$GX$452,$FZ$456:$GX$656)),VLOOKUP($C$4,$HF$2:$HH$99,3,0)+IF(AG$5="Ida",0,1),1),"")</f>
        <v/>
      </c>
      <c r="AO74" s="89">
        <f>IF(AE75&lt;&gt;AE74,AVERAGEIF(AE$9:AE74,AE74,AN$9:AN74),"")</f>
        <v/>
      </c>
      <c r="AP74" s="89">
        <f>IFERROR(IF(AE75&lt;&gt;AE74,AVERAGEIF(AE$9:AE74,AE74,AW$9:AW74),""),"")</f>
        <v/>
      </c>
      <c r="AQ74" s="89">
        <f>IFERROR(IF(AE75&lt;&gt;AE74,AVERAGEIF(AE$9:AE74,AE74,AX$9:AX74),""),"")</f>
        <v/>
      </c>
      <c r="AR74" s="89">
        <f t="array" ref="AR74">IFERROR(IF(AE75&lt;&gt;AE74,_xlfn.STDEV.P(IF(AE$9:AE74=AE74,AX$9:AX74)),""),"")</f>
        <v/>
      </c>
      <c r="AS74" s="89">
        <f t="array" ref="AS74">IFERROR(IF(AE75&lt;&gt;AE74,_xlfn.STDEV.P(IF(AE$9:AE74=AE74,AW$9:AW74)),""),"")</f>
        <v/>
      </c>
      <c r="AT74" s="90">
        <f>IFERROR(IF(AE74&lt;&gt;AE75,MAX((((AQ74*24*60)/2)*(1+POWER((((AR74*24*60) / (AQ74*24*60) )),2))) + ((AQ74*24*60 )*-0.1 + (AO74*0.015)) +1,(((AQ74*24*60)/2)*(1+POWER((((AR74*24*60) / (AQ74*24*60 ))),2)))),""),"")</f>
        <v/>
      </c>
      <c r="AU74" s="90">
        <f>IF(AND(AS74&lt;&gt;"",AP74&lt;&gt;""),IF(AE74&lt;&gt;AE75,((AP74*24*60) / 2 ) * (1 + POWER(((AS74*24*60) / (AP74*24*60)),2)),""),"")</f>
        <v/>
      </c>
      <c r="AV74" s="90">
        <f>IF(AU74&lt;&gt;"",MAX(AT74,AU74),"")</f>
        <v/>
      </c>
      <c r="AW74" s="89">
        <f>IF(AM74&lt;&gt;"H. Sale Real",IF(AND(AM75&lt;&gt;"",LEFT(AG75,2)&lt;&gt;"Va"),IF(AND(AM74&lt;&gt;"",LEFT(AG74,2)&lt;&gt;"Va",AM74&lt;&gt;"H. Sale Real"),IF(AM75-AM74&lt;0.208333333333333,AM75-AM74,""),IF(AND(AM73&lt;&gt;"",LEFT(AG73,2)&lt;&gt;"Va",AM73&lt;&gt;"H. Sale Real"),IF(AM75-AM73&lt;0.208333333333333,AM75-AM73,""),IF(AND(AM72&lt;&gt;"",LEFT(AG72,2)&lt;&gt;"Va",AM72&lt;&gt;"H. Sale Real"),IF(AM75-AM72&lt;0.208333333333333,AM75-AM72,""),IF(AND(AM71&lt;&gt;"",LEFT(AG71,2)&lt;&gt;"Va",AM71&lt;&gt;"H. Sale Real"),IF(AM75-AM71&lt;0.208333333333333,AM75-AM71,""),IF(AND(AM70&lt;&gt;"",LEFT(AG70,2)&lt;&gt;"Va",AM70&lt;&gt;"H. Sale Real"),IF(AM75-AM70&lt;0.208333333333333,AM75-AM70,""),""))))),""),"")</f>
        <v/>
      </c>
      <c r="AX74" s="89">
        <f>IF(AK74&lt;&gt;"H. Sale Real",IF(AND(AK75&lt;&gt;"",LEFT(AG75,2)&lt;&gt;"Va"),IF(AND(AK74&lt;&gt;"",LEFT(AG74,2)&lt;&gt;"Va",AK74&lt;&gt;"H. Sale Real"),IF(AK75-AK74&lt;0.208333333333333,AK75-AK74,""),IF(AND(AK73&lt;&gt;"",LEFT(AG73,2)&lt;&gt;"Va",AK73&lt;&gt;"H. Sale Real"),IF(AK75-AK73&lt;0.208333333333333,AK75-AK73,""),IF(AND(AK72&lt;&gt;"",LEFT(AG72,2)&lt;&gt;"NC",AK72&lt;&gt;"H. Sale Real"),IF(AK75-AK72&lt;0.208333333333333,AK75-AK72,""),IF(AND(AK71&lt;&gt;"",LEFT(AG71,2)&lt;&gt;"Va",AK71&lt;&gt;"H. Sale Real"),IF(AK75-AK71&lt;0.208333333333333,AK75-AK71,""),IF(AND(AK70&lt;&gt;"",LEFT(AG70,2)&lt;&gt;"Va",AK70&lt;&gt;"H. Sale Real"),IF(AK75-AK70&lt;0.208333333333333,AK75-AK70,""),""))))),""),"")</f>
        <v/>
      </c>
      <c r="AY74" s="87" t="n"/>
      <c r="AZ74" s="89" t="n"/>
      <c r="BA74" s="87" t="n"/>
      <c r="BB74" s="89" t="n"/>
      <c r="BC74" s="91" t="n"/>
      <c r="BD74" s="122">
        <f>IF(AK74&lt;&gt;"",IF(AND(BD73&lt;&gt;"IE",AT74&lt;&gt;0,AV74&lt;&gt;""),IF(IFERROR((AT74/AV74),0) &lt;=1,IFERROR(AT74/AV74,""),1),""),"")</f>
        <v/>
      </c>
      <c r="BE74" s="93" t="n"/>
      <c r="BF74" s="105" t="n"/>
      <c r="FC74" t="inlineStr">
        <is>
          <t>Diccionario 1</t>
        </is>
      </c>
      <c r="FD74" s="15" t="n">
        <v>1071</v>
      </c>
      <c r="FE74" s="15" t="inlineStr">
        <is>
          <t>D8482721K2PL</t>
        </is>
      </c>
      <c r="FF74" s="15" t="inlineStr">
        <is>
          <t>YV3T7U52XKA195307</t>
        </is>
      </c>
      <c r="FG74" s="15" t="inlineStr">
        <is>
          <t>Volvo</t>
        </is>
      </c>
      <c r="FH74" s="15" t="inlineStr">
        <is>
          <t>B8R</t>
        </is>
      </c>
      <c r="FI74" s="15" t="inlineStr">
        <is>
          <t>MARCOPOLO</t>
        </is>
      </c>
      <c r="FJ74" s="15" t="inlineStr">
        <is>
          <t>TORINO</t>
        </is>
      </c>
      <c r="FK74" s="15" t="n">
        <v>2019</v>
      </c>
      <c r="FL74" s="15" t="inlineStr">
        <is>
          <t>B2PAL</t>
        </is>
      </c>
      <c r="FM74" s="15" t="inlineStr">
        <is>
          <t>LOS LIBERTADORES</t>
        </is>
      </c>
      <c r="FN74" s="15" t="inlineStr">
        <is>
          <t>Los Liberadores 6450, Lote 4A</t>
        </is>
      </c>
      <c r="FO74" s="15" t="inlineStr">
        <is>
          <t>Huechuraba</t>
        </is>
      </c>
      <c r="FP74" t="inlineStr">
        <is>
          <t>B</t>
        </is>
      </c>
      <c r="FS74" s="14" t="inlineStr">
        <is>
          <t>3020 / SFWZ-20|</t>
        </is>
      </c>
      <c r="FT74" t="inlineStr">
        <is>
          <t>SFWZ-20|</t>
        </is>
      </c>
      <c r="FU74" t="inlineStr">
        <is>
          <t>SFWZ-20</t>
        </is>
      </c>
      <c r="FV74">
        <f>VLOOKUP(FU74,FD:FL,9,0)</f>
        <v/>
      </c>
      <c r="FZ74" s="51" t="inlineStr">
        <is>
          <t>F30n</t>
        </is>
      </c>
      <c r="GA74" t="n">
        <v>27.285</v>
      </c>
      <c r="GB74" t="n">
        <v>29.085</v>
      </c>
      <c r="GC74" t="n">
        <v>29.55</v>
      </c>
      <c r="GD74" t="n">
        <v>30.05</v>
      </c>
      <c r="GE74" t="n">
        <v>29.155</v>
      </c>
      <c r="GF74" t="n">
        <v>27.575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26.495</v>
      </c>
      <c r="HA74" s="35" t="n">
        <v>71</v>
      </c>
      <c r="HB74" s="35" t="n">
        <v>68</v>
      </c>
    </row>
    <row r="75" ht="15.5" customHeight="1">
      <c r="A75" s="10">
        <f>HOUR(G75)+1</f>
        <v/>
      </c>
      <c r="B75" s="7" t="n"/>
      <c r="C75" s="7" t="n"/>
      <c r="D75" s="85">
        <f>IFERROR(
IF(AND(OR(Planilla!B75="C",Planilla!B75="c"), VLOOKUP(E75,FD:FP,13,0)="C"), "OK",IF(AND(OR(Planilla!B75="C",Planilla!B75="c"), OR(VLOOKUP(E75,FD:FP,13,0)="B", VLOOKUP(E75,FD:FP,13,0)="A")), "DEFICIT",IF(
AND(OR(Planilla!B75="B", Planilla!B75="BPAL"), VLOOKUP(E75,FD:FP,13,0)="B"), "OK",IF(AND(OR(Planilla!B75="B", Planilla!B75="BPAL"), VLOOKUP(E75,FD:FP,13,0)="A"), "DEFICIT",IF(AND(OR(Planilla!B75="B", Planilla!B75="BPAL"), VLOOKUP(E75,FD:FP,13,0)="C"), "SOBREOFERTA",IF(AND(Planilla!B75="A", VLOOKUP(E75,FD:FP,13,0)="A"), "OK",IF(
AND(Planilla!B75="A", OR(VLOOKUP(E75,FD:FP,13,0)="B", VLOOKUP(E75,FD:FP,13,0)="C")), "SOBREOFERTA",""
))))))),"")</f>
        <v/>
      </c>
      <c r="E75" s="8" t="n"/>
      <c r="F75" s="86" t="n"/>
      <c r="G75" s="87" t="n"/>
      <c r="H75" s="88">
        <f>IF(I75="","",IF(AND((I75-G75)&gt;=TIME(0,0,0),(I75-G75)&lt;TIME(0,3,0)),"OK",IF(AND((I75-G75)&gt;=TIME(0,3,0),(I75-G75)&lt;TIME(0,5,0)),"RETRASO DE 3-5 MIN",IF(AND((I75-G75)&gt;=TIME(0,5,0),(I75-G75)&lt;TIME(0,10,0)),"RETRASO DE 5-10 MIN",IF((I75-G75)&gt;=TIME(0,10,0),"RETRASO &gt;10 MIN", IF(AND((G75-I75)&gt;=TIME(0,0,0),(G75-I75)&lt;TIME(0,3,0)),"OK",IF((G75-I75)&gt;=TIME(0,3,0),"ADELANTADO")))))))</f>
        <v/>
      </c>
      <c r="I75" s="89" t="n"/>
      <c r="J75" s="89">
        <f>IF(A75&lt;&gt;"",HLOOKUP(VALUE(TEXT(G75,"h:mm:ss")),IF($C$6="Laboral",$FZ$4:$GX$227,IF($C$6="Sábado",$FZ$231:$GX$452,$FZ$456:$GX$656)),VLOOKUP($C$4,$HF$2:$HH$99,3,0)+IF(C$5="Ida",0,1),1),"")</f>
        <v/>
      </c>
      <c r="K75" s="89">
        <f>IF(A76&lt;&gt;A75,AVERAGEIF(A$9:A75,A75,J$9:J75),"")</f>
        <v/>
      </c>
      <c r="L75" s="89">
        <f>IFERROR(IF(A76&lt;&gt;A75,AVERAGEIF(A$9:A75,A75,S$9:S75),""),"")</f>
        <v/>
      </c>
      <c r="M75" s="89">
        <f>IFERROR(IF(A76&lt;&gt;A75,AVERAGEIF(A$9:A75,A75,T$9:T75),""),"")</f>
        <v/>
      </c>
      <c r="N75" s="89">
        <f t="array" ref="N75">IFERROR(IF(A76&lt;&gt;A75,_xlfn.STDEV.P(IF(A$9:A75=A75,T$9:T75)),""),"")</f>
        <v/>
      </c>
      <c r="O75" s="89">
        <f t="array" ref="O75">IFERROR(IF(A76&lt;&gt;A75,_xlfn.STDEV.P(IF(A$9:A75=A75,S$9:S75)),""),"")</f>
        <v/>
      </c>
      <c r="P75" s="90">
        <f>IFERROR(IF(A75&lt;&gt;A76,MAX((((M75*24*60)/2)*(1+POWER((((N75*24*60) / (M75*24*60) )),2))) + ((M75*24*60 )*-0.1 + (K75*0.015)) +1,(((M75*24*60)/2)*(1+POWER((((N75*24*60) / (M75*24*60 ))),2)))),""),"")</f>
        <v/>
      </c>
      <c r="Q75" s="90">
        <f>IF(AND(O75&lt;&gt;"",L75&lt;&gt;""),IF(A75&lt;&gt;A76,((L75*24*60) / 2 ) * (1 + POWER(((O75*24*60) / (L75*24*60)),2)),""),"")</f>
        <v/>
      </c>
      <c r="R75" s="90">
        <f>IF(Q75&lt;&gt;"",MAX(P75,Q75),"")</f>
        <v/>
      </c>
      <c r="S75" s="89">
        <f>IF(I75&lt;&gt;"H. Sale Real",IF(AND(I76&lt;&gt;"",LEFT(C76,2)&lt;&gt;"Va"),IF(AND(I75&lt;&gt;"",LEFT(C75,2)&lt;&gt;"Va",I75&lt;&gt;"H. Sale Real"),IF(I76-I75&lt;0.208333333333333,I76-I75,""),IF(AND(I74&lt;&gt;"",LEFT(C74,2)&lt;&gt;"Va",I74&lt;&gt;"H. Sale Real"),IF(I76-I74&lt;0.208333333333333,I76-I74,""),IF(AND(I73&lt;&gt;"",LEFT(C73,2)&lt;&gt;"Va",I73&lt;&gt;"H. Sale Real"),IF(I76-I73&lt;0.208333333333333,I76-I73,""),IF(AND(I72&lt;&gt;"",LEFT(C72,2)&lt;&gt;"Va",I72&lt;&gt;"H. Sale Real"),IF(I76-I72&lt;0.208333333333333,I76-I72,""),IF(AND(I71&lt;&gt;"",LEFT(C71,2)&lt;&gt;"Va",I71&lt;&gt;"H. Sale Real"),IF(I76-I71&lt;0.208333333333333,I76-I71,""),""))))),""),"")</f>
        <v/>
      </c>
      <c r="T75" s="89">
        <f>IF(G75&lt;&gt;"H. Sale Real",IF(AND(G76&lt;&gt;"",LEFT(C76,2)&lt;&gt;"Va"),IF(AND(G75&lt;&gt;"",LEFT(C75,2)&lt;&gt;"Va",G75&lt;&gt;"H. Sale Real"),IF(G76-G75&lt;0.208333333333333,G76-G75,""),IF(AND(G74&lt;&gt;"",LEFT(C74,2)&lt;&gt;"Va",G74&lt;&gt;"H. Sale Real"),IF(G76-G74&lt;0.208333333333333,G76-G74,""),IF(AND(G73&lt;&gt;"",LEFT(C73,2)&lt;&gt;"Va",G73&lt;&gt;"H. Sale Real"),IF(G76-G73&lt;0.208333333333333,G76-G73,""),IF(AND(G72&lt;&gt;"",LEFT(C72,2)&lt;&gt;"Va",G72&lt;&gt;"H. Sale Real"),IF(G76-G72&lt;0.208333333333333,G76-G72,""),IF(AND(G71&lt;&gt;"",LEFT(C71,2)&lt;&gt;"Va",G71&lt;&gt;"H. Sale Real"),IF(G76-G71&lt;0.208333333333333,G76-G71,""),""))))),""),"")</f>
        <v/>
      </c>
      <c r="U75" s="87" t="n"/>
      <c r="V75" s="89" t="n"/>
      <c r="W75" s="87" t="n"/>
      <c r="X75" s="89" t="n"/>
      <c r="Y75" s="91" t="n"/>
      <c r="Z75" s="122">
        <f>IF(G75&lt;&gt;"",IF(AND(Z74&lt;&gt;"IE",P75&lt;&gt;0,R75&lt;&gt;""),IF(IFERROR((P75/R75),0) &lt;=1,IFERROR(P75/R75,""),1),""),"")</f>
        <v/>
      </c>
      <c r="AA75" s="93" t="n"/>
      <c r="AB75" s="2" t="n"/>
      <c r="AE75" s="10">
        <f>HOUR(AK75)+1</f>
        <v/>
      </c>
      <c r="AF75" s="7" t="n"/>
      <c r="AG75" s="7" t="n"/>
      <c r="AH75" s="86" t="n"/>
      <c r="AI75" s="8" t="n"/>
      <c r="AJ75" s="86" t="n"/>
      <c r="AK75" s="87" t="n"/>
      <c r="AL75" s="88">
        <f>IF(AM75="","",IF(AND((AM75-AK75)&gt;=TIME(0,0,0),(AM75-AK75)&lt;TIME(0,3,0)),"OK",IF(AND((AM75-AK75)&gt;=TIME(0,3,0),(AM75-AK75)&lt;TIME(0,5,0)),"RETRASO DE 3-5 MIN",IF(AND((AM75-AK75)&gt;=TIME(0,5,0),(AM75-AK75)&lt;TIME(0,10,0)),"RETRASO DE 5-10 MIN",IF((AM75-AK75)&gt;=TIME(0,10,0),"RETRASO &gt;10 MIN", IF(AND((AK75-AM75)&gt;=TIME(0,0,0),(AK75-AM75)&lt;TIME(0,3,0)),"OK",IF((AK75-AM75)&gt;=TIME(0,3,0),"ADELANTADO")))))))</f>
        <v/>
      </c>
      <c r="AM75" s="91" t="n"/>
      <c r="AN75" s="89">
        <f>IF(AE75&lt;&gt;"",HLOOKUP(VALUE(TEXT(AK75,"h:mm:ss")),IF($C$6="Laboral",$FZ$4:$GX$227,IF($C$6="Sábado",$FZ$231:$GX$452,$FZ$456:$GX$656)),VLOOKUP($C$4,$HF$2:$HH$99,3,0)+IF(AG$5="Ida",0,1),1),"")</f>
        <v/>
      </c>
      <c r="AO75" s="89">
        <f>IF(AE76&lt;&gt;AE75,AVERAGEIF(AE$9:AE75,AE75,AN$9:AN75),"")</f>
        <v/>
      </c>
      <c r="AP75" s="89">
        <f>IFERROR(IF(AE76&lt;&gt;AE75,AVERAGEIF(AE$9:AE75,AE75,AW$9:AW75),""),"")</f>
        <v/>
      </c>
      <c r="AQ75" s="89">
        <f>IFERROR(IF(AE76&lt;&gt;AE75,AVERAGEIF(AE$9:AE75,AE75,AX$9:AX75),""),"")</f>
        <v/>
      </c>
      <c r="AR75" s="89">
        <f t="array" ref="AR75">IFERROR(IF(AE76&lt;&gt;AE75,_xlfn.STDEV.P(IF(AE$9:AE75=AE75,AX$9:AX75)),""),"")</f>
        <v/>
      </c>
      <c r="AS75" s="89">
        <f t="array" ref="AS75">IFERROR(IF(AE76&lt;&gt;AE75,_xlfn.STDEV.P(IF(AE$9:AE75=AE75,AW$9:AW75)),""),"")</f>
        <v/>
      </c>
      <c r="AT75" s="90">
        <f>IFERROR(IF(AE75&lt;&gt;AE76,MAX((((AQ75*24*60)/2)*(1+POWER((((AR75*24*60) / (AQ75*24*60) )),2))) + ((AQ75*24*60 )*-0.1 + (AO75*0.015)) +1,(((AQ75*24*60)/2)*(1+POWER((((AR75*24*60) / (AQ75*24*60 ))),2)))),""),"")</f>
        <v/>
      </c>
      <c r="AU75" s="90">
        <f>IF(AND(AS75&lt;&gt;"",AP75&lt;&gt;""),IF(AE75&lt;&gt;AE76,((AP75*24*60) / 2 ) * (1 + POWER(((AS75*24*60) / (AP75*24*60)),2)),""),"")</f>
        <v/>
      </c>
      <c r="AV75" s="90">
        <f>IF(AU75&lt;&gt;"",MAX(AT75,AU75),"")</f>
        <v/>
      </c>
      <c r="AW75" s="89">
        <f>IF(AM75&lt;&gt;"H. Sale Real",IF(AND(AM76&lt;&gt;"",LEFT(AG76,2)&lt;&gt;"Va"),IF(AND(AM75&lt;&gt;"",LEFT(AG75,2)&lt;&gt;"Va",AM75&lt;&gt;"H. Sale Real"),IF(AM76-AM75&lt;0.208333333333333,AM76-AM75,""),IF(AND(AM74&lt;&gt;"",LEFT(AG74,2)&lt;&gt;"Va",AM74&lt;&gt;"H. Sale Real"),IF(AM76-AM74&lt;0.208333333333333,AM76-AM74,""),IF(AND(AM73&lt;&gt;"",LEFT(AG73,2)&lt;&gt;"Va",AM73&lt;&gt;"H. Sale Real"),IF(AM76-AM73&lt;0.208333333333333,AM76-AM73,""),IF(AND(AM72&lt;&gt;"",LEFT(AG72,2)&lt;&gt;"Va",AM72&lt;&gt;"H. Sale Real"),IF(AM76-AM72&lt;0.208333333333333,AM76-AM72,""),IF(AND(AM71&lt;&gt;"",LEFT(AG71,2)&lt;&gt;"Va",AM71&lt;&gt;"H. Sale Real"),IF(AM76-AM71&lt;0.208333333333333,AM76-AM71,""),""))))),""),"")</f>
        <v/>
      </c>
      <c r="AX75" s="89">
        <f>IF(AK75&lt;&gt;"H. Sale Real",IF(AND(AK76&lt;&gt;"",LEFT(AG76,2)&lt;&gt;"Va"),IF(AND(AK75&lt;&gt;"",LEFT(AG75,2)&lt;&gt;"Va",AK75&lt;&gt;"H. Sale Real"),IF(AK76-AK75&lt;0.208333333333333,AK76-AK75,""),IF(AND(AK74&lt;&gt;"",LEFT(AG74,2)&lt;&gt;"Va",AK74&lt;&gt;"H. Sale Real"),IF(AK76-AK74&lt;0.208333333333333,AK76-AK74,""),IF(AND(AK73&lt;&gt;"",LEFT(AG73,2)&lt;&gt;"NC",AK73&lt;&gt;"H. Sale Real"),IF(AK76-AK73&lt;0.208333333333333,AK76-AK73,""),IF(AND(AK72&lt;&gt;"",LEFT(AG72,2)&lt;&gt;"Va",AK72&lt;&gt;"H. Sale Real"),IF(AK76-AK72&lt;0.208333333333333,AK76-AK72,""),IF(AND(AK71&lt;&gt;"",LEFT(AG71,2)&lt;&gt;"Va",AK71&lt;&gt;"H. Sale Real"),IF(AK76-AK71&lt;0.208333333333333,AK76-AK71,""),""))))),""),"")</f>
        <v/>
      </c>
      <c r="AY75" s="87" t="n"/>
      <c r="AZ75" s="89" t="n"/>
      <c r="BA75" s="87" t="n"/>
      <c r="BB75" s="89" t="n"/>
      <c r="BC75" s="91" t="n"/>
      <c r="BD75" s="122">
        <f>IF(AK75&lt;&gt;"",IF(AND(BD74&lt;&gt;"IE",AT75&lt;&gt;0,AV75&lt;&gt;""),IF(IFERROR((AT75/AV75),0) &lt;=1,IFERROR(AT75/AV75,""),1),""),"")</f>
        <v/>
      </c>
      <c r="BE75" s="93" t="n"/>
      <c r="BF75" s="105" t="n"/>
      <c r="FC75" t="inlineStr">
        <is>
          <t>Diccionario 1</t>
        </is>
      </c>
      <c r="FD75" s="15" t="n">
        <v>1072</v>
      </c>
      <c r="FE75" s="15" t="inlineStr">
        <is>
          <t>D8482748K2PL</t>
        </is>
      </c>
      <c r="FF75" s="15" t="inlineStr">
        <is>
          <t>YV3T7U521KA195308</t>
        </is>
      </c>
      <c r="FG75" s="15" t="inlineStr">
        <is>
          <t>Volvo</t>
        </is>
      </c>
      <c r="FH75" s="15" t="inlineStr">
        <is>
          <t>B8R</t>
        </is>
      </c>
      <c r="FI75" s="15" t="inlineStr">
        <is>
          <t>MARCOPOLO</t>
        </is>
      </c>
      <c r="FJ75" s="15" t="inlineStr">
        <is>
          <t>TORINO</t>
        </is>
      </c>
      <c r="FK75" s="15" t="n">
        <v>2019</v>
      </c>
      <c r="FL75" s="15" t="inlineStr">
        <is>
          <t>B2PAL</t>
        </is>
      </c>
      <c r="FM75" s="15" t="inlineStr">
        <is>
          <t>SAN JOSE</t>
        </is>
      </c>
      <c r="FN75" s="15" t="inlineStr">
        <is>
          <t>San José 030 (José Besa 669)</t>
        </is>
      </c>
      <c r="FO75" s="15" t="inlineStr">
        <is>
          <t>San Bernardo</t>
        </is>
      </c>
      <c r="FP75" t="inlineStr">
        <is>
          <t>B</t>
        </is>
      </c>
      <c r="FS75" s="14" t="inlineStr">
        <is>
          <t>3020 / SFWZ-20|</t>
        </is>
      </c>
      <c r="FT75" t="inlineStr">
        <is>
          <t>SFWZ-20|</t>
        </is>
      </c>
      <c r="FU75" t="inlineStr">
        <is>
          <t>SFWZ-20</t>
        </is>
      </c>
      <c r="FV75">
        <f>VLOOKUP(FU75,FD:FL,9,0)</f>
        <v/>
      </c>
      <c r="FZ75" s="51" t="inlineStr">
        <is>
          <t>F33</t>
        </is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20.88</v>
      </c>
      <c r="GG75" t="n">
        <v>17.155</v>
      </c>
      <c r="GH75" t="n">
        <v>13.325</v>
      </c>
      <c r="GI75" t="n">
        <v>14.75</v>
      </c>
      <c r="GJ75" t="n">
        <v>16.285</v>
      </c>
      <c r="GK75" t="n">
        <v>16.685</v>
      </c>
      <c r="GL75" t="n">
        <v>16.38</v>
      </c>
      <c r="GM75" t="n">
        <v>16.285</v>
      </c>
      <c r="GN75" t="n">
        <v>16.565</v>
      </c>
      <c r="GO75" t="n">
        <v>16.545</v>
      </c>
      <c r="GP75" t="n">
        <v>15.735</v>
      </c>
      <c r="GQ75" t="n">
        <v>14.575</v>
      </c>
      <c r="GR75" t="n">
        <v>12.745</v>
      </c>
      <c r="GS75" t="n">
        <v>13.165</v>
      </c>
      <c r="GT75" t="n">
        <v>15.055</v>
      </c>
      <c r="GU75" t="n">
        <v>17.415</v>
      </c>
      <c r="GV75" t="n">
        <v>19.095</v>
      </c>
      <c r="GW75" t="n">
        <v>20.84</v>
      </c>
      <c r="GX75" t="n">
        <v>23.05</v>
      </c>
      <c r="HA75" s="35" t="n">
        <v>72</v>
      </c>
      <c r="HB75" s="35" t="n">
        <v>69</v>
      </c>
    </row>
    <row r="76" ht="15.5" customHeight="1">
      <c r="A76" s="10">
        <f>HOUR(G76)+1</f>
        <v/>
      </c>
      <c r="B76" s="7" t="n"/>
      <c r="C76" s="7" t="n"/>
      <c r="D76" s="85">
        <f>IFERROR(
IF(AND(OR(Planilla!B76="C",Planilla!B76="c"), VLOOKUP(E76,FD:FP,13,0)="C"), "OK",IF(AND(OR(Planilla!B76="C",Planilla!B76="c"), OR(VLOOKUP(E76,FD:FP,13,0)="B", VLOOKUP(E76,FD:FP,13,0)="A")), "DEFICIT",IF(
AND(OR(Planilla!B76="B", Planilla!B76="BPAL"), VLOOKUP(E76,FD:FP,13,0)="B"), "OK",IF(AND(OR(Planilla!B76="B", Planilla!B76="BPAL"), VLOOKUP(E76,FD:FP,13,0)="A"), "DEFICIT",IF(AND(OR(Planilla!B76="B", Planilla!B76="BPAL"), VLOOKUP(E76,FD:FP,13,0)="C"), "SOBREOFERTA",IF(AND(Planilla!B76="A", VLOOKUP(E76,FD:FP,13,0)="A"), "OK",IF(
AND(Planilla!B76="A", OR(VLOOKUP(E76,FD:FP,13,0)="B", VLOOKUP(E76,FD:FP,13,0)="C")), "SOBREOFERTA",""
))))))),"")</f>
        <v/>
      </c>
      <c r="E76" s="8" t="n"/>
      <c r="F76" s="86" t="n"/>
      <c r="G76" s="87" t="n"/>
      <c r="H76" s="88">
        <f>IF(I76="","",IF(AND((I76-G76)&gt;=TIME(0,0,0),(I76-G76)&lt;TIME(0,3,0)),"OK",IF(AND((I76-G76)&gt;=TIME(0,3,0),(I76-G76)&lt;TIME(0,5,0)),"RETRASO DE 3-5 MIN",IF(AND((I76-G76)&gt;=TIME(0,5,0),(I76-G76)&lt;TIME(0,10,0)),"RETRASO DE 5-10 MIN",IF((I76-G76)&gt;=TIME(0,10,0),"RETRASO &gt;10 MIN", IF(AND((G76-I76)&gt;=TIME(0,0,0),(G76-I76)&lt;TIME(0,3,0)),"OK",IF((G76-I76)&gt;=TIME(0,3,0),"ADELANTADO")))))))</f>
        <v/>
      </c>
      <c r="I76" s="89" t="n"/>
      <c r="J76" s="89">
        <f>IF(A76&lt;&gt;"",HLOOKUP(VALUE(TEXT(G76,"h:mm:ss")),IF($C$6="Laboral",$FZ$4:$GX$227,IF($C$6="Sábado",$FZ$231:$GX$452,$FZ$456:$GX$656)),VLOOKUP($C$4,$HF$2:$HH$99,3,0)+IF(C$5="Ida",0,1),1),"")</f>
        <v/>
      </c>
      <c r="K76" s="89">
        <f>IF(A77&lt;&gt;A76,AVERAGEIF(A$9:A76,A76,J$9:J76),"")</f>
        <v/>
      </c>
      <c r="L76" s="89">
        <f>IFERROR(IF(A77&lt;&gt;A76,AVERAGEIF(A$9:A76,A76,S$9:S76),""),"")</f>
        <v/>
      </c>
      <c r="M76" s="89">
        <f>IFERROR(IF(A77&lt;&gt;A76,AVERAGEIF(A$9:A76,A76,T$9:T76),""),"")</f>
        <v/>
      </c>
      <c r="N76" s="89">
        <f t="array" ref="N76">IFERROR(IF(A77&lt;&gt;A76,_xlfn.STDEV.P(IF(A$9:A76=A76,T$9:T76)),""),"")</f>
        <v/>
      </c>
      <c r="O76" s="89">
        <f t="array" ref="O76">IFERROR(IF(A77&lt;&gt;A76,_xlfn.STDEV.P(IF(A$9:A76=A76,S$9:S76)),""),"")</f>
        <v/>
      </c>
      <c r="P76" s="90">
        <f>IFERROR(IF(A76&lt;&gt;A77,MAX((((M76*24*60)/2)*(1+POWER((((N76*24*60) / (M76*24*60) )),2))) + ((M76*24*60 )*-0.1 + (K76*0.015)) +1,(((M76*24*60)/2)*(1+POWER((((N76*24*60) / (M76*24*60 ))),2)))),""),"")</f>
        <v/>
      </c>
      <c r="Q76" s="90">
        <f>IF(AND(O76&lt;&gt;"",L76&lt;&gt;""),IF(A76&lt;&gt;A77,((L76*24*60) / 2 ) * (1 + POWER(((O76*24*60) / (L76*24*60)),2)),""),"")</f>
        <v/>
      </c>
      <c r="R76" s="90">
        <f>IF(Q76&lt;&gt;"",MAX(P76,Q76),"")</f>
        <v/>
      </c>
      <c r="S76" s="89">
        <f>IF(I76&lt;&gt;"H. Sale Real",IF(AND(I77&lt;&gt;"",LEFT(C77,2)&lt;&gt;"Va"),IF(AND(I76&lt;&gt;"",LEFT(C76,2)&lt;&gt;"Va",I76&lt;&gt;"H. Sale Real"),IF(I77-I76&lt;0.208333333333333,I77-I76,""),IF(AND(I75&lt;&gt;"",LEFT(C75,2)&lt;&gt;"Va",I75&lt;&gt;"H. Sale Real"),IF(I77-I75&lt;0.208333333333333,I77-I75,""),IF(AND(I74&lt;&gt;"",LEFT(C74,2)&lt;&gt;"Va",I74&lt;&gt;"H. Sale Real"),IF(I77-I74&lt;0.208333333333333,I77-I74,""),IF(AND(I73&lt;&gt;"",LEFT(C73,2)&lt;&gt;"Va",I73&lt;&gt;"H. Sale Real"),IF(I77-I73&lt;0.208333333333333,I77-I73,""),IF(AND(I72&lt;&gt;"",LEFT(C72,2)&lt;&gt;"Va",I72&lt;&gt;"H. Sale Real"),IF(I77-I72&lt;0.208333333333333,I77-I72,""),""))))),""),"")</f>
        <v/>
      </c>
      <c r="T76" s="89">
        <f>IF(G76&lt;&gt;"H. Sale Real",IF(AND(G77&lt;&gt;"",LEFT(C77,2)&lt;&gt;"Va"),IF(AND(G76&lt;&gt;"",LEFT(C76,2)&lt;&gt;"Va",G76&lt;&gt;"H. Sale Real"),IF(G77-G76&lt;0.208333333333333,G77-G76,""),IF(AND(G75&lt;&gt;"",LEFT(C75,2)&lt;&gt;"Va",G75&lt;&gt;"H. Sale Real"),IF(G77-G75&lt;0.208333333333333,G77-G75,""),IF(AND(G74&lt;&gt;"",LEFT(C74,2)&lt;&gt;"Va",G74&lt;&gt;"H. Sale Real"),IF(G77-G74&lt;0.208333333333333,G77-G74,""),IF(AND(G73&lt;&gt;"",LEFT(C73,2)&lt;&gt;"Va",G73&lt;&gt;"H. Sale Real"),IF(G77-G73&lt;0.208333333333333,G77-G73,""),IF(AND(G72&lt;&gt;"",LEFT(C72,2)&lt;&gt;"Va",G72&lt;&gt;"H. Sale Real"),IF(G77-G72&lt;0.208333333333333,G77-G72,""),""))))),""),"")</f>
        <v/>
      </c>
      <c r="U76" s="87" t="n"/>
      <c r="V76" s="89" t="n"/>
      <c r="W76" s="87" t="n"/>
      <c r="X76" s="89" t="n"/>
      <c r="Y76" s="91" t="n"/>
      <c r="Z76" s="122">
        <f>IF(G76&lt;&gt;"",IF(AND(Z75&lt;&gt;"IE",P76&lt;&gt;0,R76&lt;&gt;""),IF(IFERROR((P76/R76),0) &lt;=1,IFERROR(P76/R76,""),1),""),"")</f>
        <v/>
      </c>
      <c r="AA76" s="93" t="n"/>
      <c r="AB76" s="2" t="n"/>
      <c r="AE76" s="10">
        <f>HOUR(AK76)+1</f>
        <v/>
      </c>
      <c r="AF76" s="7" t="n"/>
      <c r="AG76" s="7" t="n"/>
      <c r="AH76" s="86" t="n"/>
      <c r="AI76" s="8" t="n"/>
      <c r="AJ76" s="86" t="n"/>
      <c r="AK76" s="87" t="n"/>
      <c r="AL76" s="88">
        <f>IF(AM76="","",IF(AND((AM76-AK76)&gt;=TIME(0,0,0),(AM76-AK76)&lt;TIME(0,3,0)),"OK",IF(AND((AM76-AK76)&gt;=TIME(0,3,0),(AM76-AK76)&lt;TIME(0,5,0)),"RETRASO DE 3-5 MIN",IF(AND((AM76-AK76)&gt;=TIME(0,5,0),(AM76-AK76)&lt;TIME(0,10,0)),"RETRASO DE 5-10 MIN",IF((AM76-AK76)&gt;=TIME(0,10,0),"RETRASO &gt;10 MIN", IF(AND((AK76-AM76)&gt;=TIME(0,0,0),(AK76-AM76)&lt;TIME(0,3,0)),"OK",IF((AK76-AM76)&gt;=TIME(0,3,0),"ADELANTADO")))))))</f>
        <v/>
      </c>
      <c r="AM76" s="91" t="n"/>
      <c r="AN76" s="89">
        <f>IF(AE76&lt;&gt;"",HLOOKUP(VALUE(TEXT(AK76,"h:mm:ss")),IF($C$6="Laboral",$FZ$4:$GX$227,IF($C$6="Sábado",$FZ$231:$GX$452,$FZ$456:$GX$656)),VLOOKUP($C$4,$HF$2:$HH$99,3,0)+IF(AG$5="Ida",0,1),1),"")</f>
        <v/>
      </c>
      <c r="AO76" s="89">
        <f>IF(AE77&lt;&gt;AE76,AVERAGEIF(AE$9:AE76,AE76,AN$9:AN76),"")</f>
        <v/>
      </c>
      <c r="AP76" s="89">
        <f>IFERROR(IF(AE77&lt;&gt;AE76,AVERAGEIF(AE$9:AE76,AE76,AW$9:AW76),""),"")</f>
        <v/>
      </c>
      <c r="AQ76" s="89">
        <f>IFERROR(IF(AE77&lt;&gt;AE76,AVERAGEIF(AE$9:AE76,AE76,AX$9:AX76),""),"")</f>
        <v/>
      </c>
      <c r="AR76" s="89">
        <f t="array" ref="AR76">IFERROR(IF(AE77&lt;&gt;AE76,_xlfn.STDEV.P(IF(AE$9:AE76=AE76,AX$9:AX76)),""),"")</f>
        <v/>
      </c>
      <c r="AS76" s="89">
        <f t="array" ref="AS76">IFERROR(IF(AE77&lt;&gt;AE76,_xlfn.STDEV.P(IF(AE$9:AE76=AE76,AW$9:AW76)),""),"")</f>
        <v/>
      </c>
      <c r="AT76" s="90">
        <f>IFERROR(IF(AE76&lt;&gt;AE77,MAX((((AQ76*24*60)/2)*(1+POWER((((AR76*24*60) / (AQ76*24*60) )),2))) + ((AQ76*24*60 )*-0.1 + (AO76*0.015)) +1,(((AQ76*24*60)/2)*(1+POWER((((AR76*24*60) / (AQ76*24*60 ))),2)))),""),"")</f>
        <v/>
      </c>
      <c r="AU76" s="90">
        <f>IF(AND(AS76&lt;&gt;"",AP76&lt;&gt;""),IF(AE76&lt;&gt;AE77,((AP76*24*60) / 2 ) * (1 + POWER(((AS76*24*60) / (AP76*24*60)),2)),""),"")</f>
        <v/>
      </c>
      <c r="AV76" s="90">
        <f>IF(AU76&lt;&gt;"",MAX(AT76,AU76),"")</f>
        <v/>
      </c>
      <c r="AW76" s="89">
        <f>IF(AM76&lt;&gt;"H. Sale Real",IF(AND(AM77&lt;&gt;"",LEFT(AG77,2)&lt;&gt;"Va"),IF(AND(AM76&lt;&gt;"",LEFT(AG76,2)&lt;&gt;"Va",AM76&lt;&gt;"H. Sale Real"),IF(AM77-AM76&lt;0.208333333333333,AM77-AM76,""),IF(AND(AM75&lt;&gt;"",LEFT(AG75,2)&lt;&gt;"Va",AM75&lt;&gt;"H. Sale Real"),IF(AM77-AM75&lt;0.208333333333333,AM77-AM75,""),IF(AND(AM74&lt;&gt;"",LEFT(AG74,2)&lt;&gt;"Va",AM74&lt;&gt;"H. Sale Real"),IF(AM77-AM74&lt;0.208333333333333,AM77-AM74,""),IF(AND(AM73&lt;&gt;"",LEFT(AG73,2)&lt;&gt;"Va",AM73&lt;&gt;"H. Sale Real"),IF(AM77-AM73&lt;0.208333333333333,AM77-AM73,""),IF(AND(AM72&lt;&gt;"",LEFT(AG72,2)&lt;&gt;"Va",AM72&lt;&gt;"H. Sale Real"),IF(AM77-AM72&lt;0.208333333333333,AM77-AM72,""),""))))),""),"")</f>
        <v/>
      </c>
      <c r="AX76" s="89">
        <f>IF(AK76&lt;&gt;"H. Sale Real",IF(AND(AK77&lt;&gt;"",LEFT(AG77,2)&lt;&gt;"Va"),IF(AND(AK76&lt;&gt;"",LEFT(AG76,2)&lt;&gt;"Va",AK76&lt;&gt;"H. Sale Real"),IF(AK77-AK76&lt;0.208333333333333,AK77-AK76,""),IF(AND(AK75&lt;&gt;"",LEFT(AG75,2)&lt;&gt;"Va",AK75&lt;&gt;"H. Sale Real"),IF(AK77-AK75&lt;0.208333333333333,AK77-AK75,""),IF(AND(AK74&lt;&gt;"",LEFT(AG74,2)&lt;&gt;"NC",AK74&lt;&gt;"H. Sale Real"),IF(AK77-AK74&lt;0.208333333333333,AK77-AK74,""),IF(AND(AK73&lt;&gt;"",LEFT(AG73,2)&lt;&gt;"Va",AK73&lt;&gt;"H. Sale Real"),IF(AK77-AK73&lt;0.208333333333333,AK77-AK73,""),IF(AND(AK72&lt;&gt;"",LEFT(AG72,2)&lt;&gt;"Va",AK72&lt;&gt;"H. Sale Real"),IF(AK77-AK72&lt;0.208333333333333,AK77-AK72,""),""))))),""),"")</f>
        <v/>
      </c>
      <c r="AY76" s="87" t="n"/>
      <c r="AZ76" s="89" t="n"/>
      <c r="BA76" s="87" t="n"/>
      <c r="BB76" s="89" t="n"/>
      <c r="BC76" s="91" t="n"/>
      <c r="BD76" s="122">
        <f>IF(AK76&lt;&gt;"",IF(AND(BD75&lt;&gt;"IE",AT76&lt;&gt;0,AV76&lt;&gt;""),IF(IFERROR((AT76/AV76),0) &lt;=1,IFERROR(AT76/AV76,""),1),""),"")</f>
        <v/>
      </c>
      <c r="BE76" s="93" t="n"/>
      <c r="BF76" s="105" t="n"/>
      <c r="FC76" t="inlineStr">
        <is>
          <t>Diccionario 1</t>
        </is>
      </c>
      <c r="FD76" s="15" t="n">
        <v>1073</v>
      </c>
      <c r="FE76" s="15" t="inlineStr">
        <is>
          <t>D8482485K2PL</t>
        </is>
      </c>
      <c r="FF76" s="15" t="inlineStr">
        <is>
          <t>YV3T7U522KA195317</t>
        </is>
      </c>
      <c r="FG76" s="15" t="inlineStr">
        <is>
          <t>Volvo</t>
        </is>
      </c>
      <c r="FH76" s="15" t="inlineStr">
        <is>
          <t>B8R</t>
        </is>
      </c>
      <c r="FI76" s="15" t="inlineStr">
        <is>
          <t>MARCOPOLO</t>
        </is>
      </c>
      <c r="FJ76" s="15" t="inlineStr">
        <is>
          <t>TORINO</t>
        </is>
      </c>
      <c r="FK76" s="15" t="n">
        <v>2019</v>
      </c>
      <c r="FL76" s="15" t="inlineStr">
        <is>
          <t>B2PAL</t>
        </is>
      </c>
      <c r="FM76" s="15" t="inlineStr">
        <is>
          <t>LOS LIBERTADORES</t>
        </is>
      </c>
      <c r="FN76" s="15" t="inlineStr">
        <is>
          <t>Los Liberadores 6450, Lote 4A</t>
        </is>
      </c>
      <c r="FO76" s="15" t="inlineStr">
        <is>
          <t>Huechuraba</t>
        </is>
      </c>
      <c r="FP76" t="inlineStr">
        <is>
          <t>B</t>
        </is>
      </c>
      <c r="FS76" s="14" t="inlineStr">
        <is>
          <t>3020 / SFWZ-20|</t>
        </is>
      </c>
      <c r="FT76" t="inlineStr">
        <is>
          <t>SFWZ-20|</t>
        </is>
      </c>
      <c r="FU76" t="inlineStr">
        <is>
          <t>SFWZ-20</t>
        </is>
      </c>
      <c r="FV76">
        <f>VLOOKUP(FU76,FD:FL,9,0)</f>
        <v/>
      </c>
      <c r="FZ76" s="51" t="inlineStr">
        <is>
          <t>F33</t>
        </is>
      </c>
      <c r="GA76" t="n">
        <v>13.2</v>
      </c>
      <c r="GB76" t="n">
        <v>0</v>
      </c>
      <c r="GC76" t="n">
        <v>0</v>
      </c>
      <c r="GD76" t="n">
        <v>0</v>
      </c>
      <c r="GE76" t="n">
        <v>0</v>
      </c>
      <c r="GF76" t="n">
        <v>11.9</v>
      </c>
      <c r="GG76" t="n">
        <v>20.885</v>
      </c>
      <c r="GH76" t="n">
        <v>15.925</v>
      </c>
      <c r="GI76" t="n">
        <v>16.135</v>
      </c>
      <c r="GJ76" t="n">
        <v>17.29</v>
      </c>
      <c r="GK76" t="n">
        <v>17.04</v>
      </c>
      <c r="GL76" t="n">
        <v>16.295</v>
      </c>
      <c r="GM76" t="n">
        <v>15.565</v>
      </c>
      <c r="GN76" t="n">
        <v>15.42</v>
      </c>
      <c r="GO76" t="n">
        <v>15.43</v>
      </c>
      <c r="GP76" t="n">
        <v>14.765</v>
      </c>
      <c r="GQ76" t="n">
        <v>14.115</v>
      </c>
      <c r="GR76" t="n">
        <v>12.815</v>
      </c>
      <c r="GS76" t="n">
        <v>12.33</v>
      </c>
      <c r="GT76" t="n">
        <v>13.915</v>
      </c>
      <c r="GU76" t="n">
        <v>16.185</v>
      </c>
      <c r="GV76" t="n">
        <v>18.185</v>
      </c>
      <c r="GW76" t="n">
        <v>19.69</v>
      </c>
      <c r="GX76" t="n">
        <v>21.725</v>
      </c>
      <c r="HA76" s="35" t="n">
        <v>73</v>
      </c>
      <c r="HB76" s="35" t="n">
        <v>70</v>
      </c>
    </row>
    <row r="77" ht="15.5" customHeight="1">
      <c r="A77" s="10">
        <f>HOUR(G77)+1</f>
        <v/>
      </c>
      <c r="B77" s="7" t="n"/>
      <c r="C77" s="7" t="n"/>
      <c r="D77" s="85">
        <f>IFERROR(
IF(AND(OR(Planilla!B77="C",Planilla!B77="c"), VLOOKUP(E77,FD:FP,13,0)="C"), "OK",IF(AND(OR(Planilla!B77="C",Planilla!B77="c"), OR(VLOOKUP(E77,FD:FP,13,0)="B", VLOOKUP(E77,FD:FP,13,0)="A")), "DEFICIT",IF(
AND(OR(Planilla!B77="B", Planilla!B77="BPAL"), VLOOKUP(E77,FD:FP,13,0)="B"), "OK",IF(AND(OR(Planilla!B77="B", Planilla!B77="BPAL"), VLOOKUP(E77,FD:FP,13,0)="A"), "DEFICIT",IF(AND(OR(Planilla!B77="B", Planilla!B77="BPAL"), VLOOKUP(E77,FD:FP,13,0)="C"), "SOBREOFERTA",IF(AND(Planilla!B77="A", VLOOKUP(E77,FD:FP,13,0)="A"), "OK",IF(
AND(Planilla!B77="A", OR(VLOOKUP(E77,FD:FP,13,0)="B", VLOOKUP(E77,FD:FP,13,0)="C")), "SOBREOFERTA",""
))))))),"")</f>
        <v/>
      </c>
      <c r="E77" s="8" t="n"/>
      <c r="F77" s="86" t="n"/>
      <c r="G77" s="87" t="n"/>
      <c r="H77" s="88">
        <f>IF(I77="","",IF(AND((I77-G77)&gt;=TIME(0,0,0),(I77-G77)&lt;TIME(0,3,0)),"OK",IF(AND((I77-G77)&gt;=TIME(0,3,0),(I77-G77)&lt;TIME(0,5,0)),"RETRASO DE 3-5 MIN",IF(AND((I77-G77)&gt;=TIME(0,5,0),(I77-G77)&lt;TIME(0,10,0)),"RETRASO DE 5-10 MIN",IF((I77-G77)&gt;=TIME(0,10,0),"RETRASO &gt;10 MIN", IF(AND((G77-I77)&gt;=TIME(0,0,0),(G77-I77)&lt;TIME(0,3,0)),"OK",IF((G77-I77)&gt;=TIME(0,3,0),"ADELANTADO")))))))</f>
        <v/>
      </c>
      <c r="I77" s="89" t="n"/>
      <c r="J77" s="89">
        <f>IF(A77&lt;&gt;"",HLOOKUP(VALUE(TEXT(G77,"h:mm:ss")),IF($C$6="Laboral",$FZ$4:$GX$227,IF($C$6="Sábado",$FZ$231:$GX$452,$FZ$456:$GX$656)),VLOOKUP($C$4,$HF$2:$HH$99,3,0)+IF(C$5="Ida",0,1),1),"")</f>
        <v/>
      </c>
      <c r="K77" s="89">
        <f>IF(A78&lt;&gt;A77,AVERAGEIF(A$9:A77,A77,J$9:J77),"")</f>
        <v/>
      </c>
      <c r="L77" s="89">
        <f>IFERROR(IF(A78&lt;&gt;A77,AVERAGEIF(A$9:A77,A77,S$9:S77),""),"")</f>
        <v/>
      </c>
      <c r="M77" s="89">
        <f>IFERROR(IF(A78&lt;&gt;A77,AVERAGEIF(A$9:A77,A77,T$9:T77),""),"")</f>
        <v/>
      </c>
      <c r="N77" s="89">
        <f t="array" ref="N77">IFERROR(IF(A78&lt;&gt;A77,_xlfn.STDEV.P(IF(A$9:A77=A77,T$9:T77)),""),"")</f>
        <v/>
      </c>
      <c r="O77" s="89">
        <f t="array" ref="O77">IFERROR(IF(A78&lt;&gt;A77,_xlfn.STDEV.P(IF(A$9:A77=A77,S$9:S77)),""),"")</f>
        <v/>
      </c>
      <c r="P77" s="90">
        <f>IFERROR(IF(A77&lt;&gt;A78,MAX((((M77*24*60)/2)*(1+POWER((((N77*24*60) / (M77*24*60) )),2))) + ((M77*24*60 )*-0.1 + (K77*0.015)) +1,(((M77*24*60)/2)*(1+POWER((((N77*24*60) / (M77*24*60 ))),2)))),""),"")</f>
        <v/>
      </c>
      <c r="Q77" s="90">
        <f>IF(AND(O77&lt;&gt;"",L77&lt;&gt;""),IF(A77&lt;&gt;A78,((L77*24*60) / 2 ) * (1 + POWER(((O77*24*60) / (L77*24*60)),2)),""),"")</f>
        <v/>
      </c>
      <c r="R77" s="90">
        <f>IF(Q77&lt;&gt;"",MAX(P77,Q77),"")</f>
        <v/>
      </c>
      <c r="S77" s="89">
        <f>IF(I77&lt;&gt;"H. Sale Real",IF(AND(I78&lt;&gt;"",LEFT(C78,2)&lt;&gt;"Va"),IF(AND(I77&lt;&gt;"",LEFT(C77,2)&lt;&gt;"Va",I77&lt;&gt;"H. Sale Real"),IF(I78-I77&lt;0.208333333333333,I78-I77,""),IF(AND(I76&lt;&gt;"",LEFT(C76,2)&lt;&gt;"Va",I76&lt;&gt;"H. Sale Real"),IF(I78-I76&lt;0.208333333333333,I78-I76,""),IF(AND(I75&lt;&gt;"",LEFT(C75,2)&lt;&gt;"Va",I75&lt;&gt;"H. Sale Real"),IF(I78-I75&lt;0.208333333333333,I78-I75,""),IF(AND(I74&lt;&gt;"",LEFT(C74,2)&lt;&gt;"Va",I74&lt;&gt;"H. Sale Real"),IF(I78-I74&lt;0.208333333333333,I78-I74,""),IF(AND(I73&lt;&gt;"",LEFT(C73,2)&lt;&gt;"Va",I73&lt;&gt;"H. Sale Real"),IF(I78-I73&lt;0.208333333333333,I78-I73,""),""))))),""),"")</f>
        <v/>
      </c>
      <c r="T77" s="89">
        <f>IF(G77&lt;&gt;"H. Sale Real",IF(AND(G78&lt;&gt;"",LEFT(C78,2)&lt;&gt;"Va"),IF(AND(G77&lt;&gt;"",LEFT(C77,2)&lt;&gt;"Va",G77&lt;&gt;"H. Sale Real"),IF(G78-G77&lt;0.208333333333333,G78-G77,""),IF(AND(G76&lt;&gt;"",LEFT(C76,2)&lt;&gt;"Va",G76&lt;&gt;"H. Sale Real"),IF(G78-G76&lt;0.208333333333333,G78-G76,""),IF(AND(G75&lt;&gt;"",LEFT(C75,2)&lt;&gt;"Va",G75&lt;&gt;"H. Sale Real"),IF(G78-G75&lt;0.208333333333333,G78-G75,""),IF(AND(G74&lt;&gt;"",LEFT(C74,2)&lt;&gt;"Va",G74&lt;&gt;"H. Sale Real"),IF(G78-G74&lt;0.208333333333333,G78-G74,""),IF(AND(G73&lt;&gt;"",LEFT(C73,2)&lt;&gt;"Va",G73&lt;&gt;"H. Sale Real"),IF(G78-G73&lt;0.208333333333333,G78-G73,""),""))))),""),"")</f>
        <v/>
      </c>
      <c r="U77" s="87" t="n"/>
      <c r="V77" s="89" t="n"/>
      <c r="W77" s="87" t="n"/>
      <c r="X77" s="89" t="n"/>
      <c r="Y77" s="91" t="n"/>
      <c r="Z77" s="122">
        <f>IF(G77&lt;&gt;"",IF(AND(Z76&lt;&gt;"IE",P77&lt;&gt;0,R77&lt;&gt;""),IF(IFERROR((P77/R77),0) &lt;=1,IFERROR(P77/R77,""),1),""),"")</f>
        <v/>
      </c>
      <c r="AA77" s="93" t="n"/>
      <c r="AB77" s="2" t="n"/>
      <c r="AE77" s="10">
        <f>HOUR(AK77)+1</f>
        <v/>
      </c>
      <c r="AF77" s="7" t="n"/>
      <c r="AG77" s="7" t="n"/>
      <c r="AH77" s="86" t="n"/>
      <c r="AI77" s="8" t="n"/>
      <c r="AJ77" s="86" t="n"/>
      <c r="AK77" s="87" t="n"/>
      <c r="AL77" s="88">
        <f>IF(AM77="","",IF(AND((AM77-AK77)&gt;=TIME(0,0,0),(AM77-AK77)&lt;TIME(0,3,0)),"OK",IF(AND((AM77-AK77)&gt;=TIME(0,3,0),(AM77-AK77)&lt;TIME(0,5,0)),"RETRASO DE 3-5 MIN",IF(AND((AM77-AK77)&gt;=TIME(0,5,0),(AM77-AK77)&lt;TIME(0,10,0)),"RETRASO DE 5-10 MIN",IF((AM77-AK77)&gt;=TIME(0,10,0),"RETRASO &gt;10 MIN", IF(AND((AK77-AM77)&gt;=TIME(0,0,0),(AK77-AM77)&lt;TIME(0,3,0)),"OK",IF((AK77-AM77)&gt;=TIME(0,3,0),"ADELANTADO")))))))</f>
        <v/>
      </c>
      <c r="AM77" s="91" t="n"/>
      <c r="AN77" s="89">
        <f>IF(AE77&lt;&gt;"",HLOOKUP(VALUE(TEXT(AK77,"h:mm:ss")),IF($C$6="Laboral",$FZ$4:$GX$227,IF($C$6="Sábado",$FZ$231:$GX$452,$FZ$456:$GX$656)),VLOOKUP($C$4,$HF$2:$HH$99,3,0)+IF(AG$5="Ida",0,1),1),"")</f>
        <v/>
      </c>
      <c r="AO77" s="89">
        <f>IF(AE78&lt;&gt;AE77,AVERAGEIF(AE$9:AE77,AE77,AN$9:AN77),"")</f>
        <v/>
      </c>
      <c r="AP77" s="89">
        <f>IFERROR(IF(AE78&lt;&gt;AE77,AVERAGEIF(AE$9:AE77,AE77,AW$9:AW77),""),"")</f>
        <v/>
      </c>
      <c r="AQ77" s="89">
        <f>IFERROR(IF(AE78&lt;&gt;AE77,AVERAGEIF(AE$9:AE77,AE77,AX$9:AX77),""),"")</f>
        <v/>
      </c>
      <c r="AR77" s="89">
        <f t="array" ref="AR77">IFERROR(IF(AE78&lt;&gt;AE77,_xlfn.STDEV.P(IF(AE$9:AE77=AE77,AX$9:AX77)),""),"")</f>
        <v/>
      </c>
      <c r="AS77" s="89">
        <f t="array" ref="AS77">IFERROR(IF(AE78&lt;&gt;AE77,_xlfn.STDEV.P(IF(AE$9:AE77=AE77,AW$9:AW77)),""),"")</f>
        <v/>
      </c>
      <c r="AT77" s="90">
        <f>IFERROR(IF(AE77&lt;&gt;AE78,MAX((((AQ77*24*60)/2)*(1+POWER((((AR77*24*60) / (AQ77*24*60) )),2))) + ((AQ77*24*60 )*-0.1 + (AO77*0.015)) +1,(((AQ77*24*60)/2)*(1+POWER((((AR77*24*60) / (AQ77*24*60 ))),2)))),""),"")</f>
        <v/>
      </c>
      <c r="AU77" s="90">
        <f>IF(AND(AS77&lt;&gt;"",AP77&lt;&gt;""),IF(AE77&lt;&gt;AE78,((AP77*24*60) / 2 ) * (1 + POWER(((AS77*24*60) / (AP77*24*60)),2)),""),"")</f>
        <v/>
      </c>
      <c r="AV77" s="90">
        <f>IF(AU77&lt;&gt;"",MAX(AT77,AU77),"")</f>
        <v/>
      </c>
      <c r="AW77" s="89">
        <f>IF(AM77&lt;&gt;"H. Sale Real",IF(AND(AM78&lt;&gt;"",LEFT(AG78,2)&lt;&gt;"Va"),IF(AND(AM77&lt;&gt;"",LEFT(AG77,2)&lt;&gt;"Va",AM77&lt;&gt;"H. Sale Real"),IF(AM78-AM77&lt;0.208333333333333,AM78-AM77,""),IF(AND(AM76&lt;&gt;"",LEFT(AG76,2)&lt;&gt;"Va",AM76&lt;&gt;"H. Sale Real"),IF(AM78-AM76&lt;0.208333333333333,AM78-AM76,""),IF(AND(AM75&lt;&gt;"",LEFT(AG75,2)&lt;&gt;"Va",AM75&lt;&gt;"H. Sale Real"),IF(AM78-AM75&lt;0.208333333333333,AM78-AM75,""),IF(AND(AM74&lt;&gt;"",LEFT(AG74,2)&lt;&gt;"Va",AM74&lt;&gt;"H. Sale Real"),IF(AM78-AM74&lt;0.208333333333333,AM78-AM74,""),IF(AND(AM73&lt;&gt;"",LEFT(AG73,2)&lt;&gt;"Va",AM73&lt;&gt;"H. Sale Real"),IF(AM78-AM73&lt;0.208333333333333,AM78-AM73,""),""))))),""),"")</f>
        <v/>
      </c>
      <c r="AX77" s="89">
        <f>IF(AK77&lt;&gt;"H. Sale Real",IF(AND(AK78&lt;&gt;"",LEFT(AG78,2)&lt;&gt;"Va"),IF(AND(AK77&lt;&gt;"",LEFT(AG77,2)&lt;&gt;"Va",AK77&lt;&gt;"H. Sale Real"),IF(AK78-AK77&lt;0.208333333333333,AK78-AK77,""),IF(AND(AK76&lt;&gt;"",LEFT(AG76,2)&lt;&gt;"Va",AK76&lt;&gt;"H. Sale Real"),IF(AK78-AK76&lt;0.208333333333333,AK78-AK76,""),IF(AND(AK75&lt;&gt;"",LEFT(AG75,2)&lt;&gt;"NC",AK75&lt;&gt;"H. Sale Real"),IF(AK78-AK75&lt;0.208333333333333,AK78-AK75,""),IF(AND(AK74&lt;&gt;"",LEFT(AG74,2)&lt;&gt;"Va",AK74&lt;&gt;"H. Sale Real"),IF(AK78-AK74&lt;0.208333333333333,AK78-AK74,""),IF(AND(AK73&lt;&gt;"",LEFT(AG73,2)&lt;&gt;"Va",AK73&lt;&gt;"H. Sale Real"),IF(AK78-AK73&lt;0.208333333333333,AK78-AK73,""),""))))),""),"")</f>
        <v/>
      </c>
      <c r="AY77" s="87" t="n"/>
      <c r="AZ77" s="89" t="n"/>
      <c r="BA77" s="87" t="n"/>
      <c r="BB77" s="89" t="n"/>
      <c r="BC77" s="91" t="n"/>
      <c r="BD77" s="122">
        <f>IF(AK77&lt;&gt;"",IF(AND(BD76&lt;&gt;"IE",AT77&lt;&gt;0,AV77&lt;&gt;""),IF(IFERROR((AT77/AV77),0) &lt;=1,IFERROR(AT77/AV77,""),1),""),"")</f>
        <v/>
      </c>
      <c r="BE77" s="93" t="n"/>
      <c r="BF77" s="105" t="n"/>
      <c r="FC77" t="inlineStr">
        <is>
          <t>Diccionario 1</t>
        </is>
      </c>
      <c r="FD77" s="15" t="n">
        <v>1074</v>
      </c>
      <c r="FE77" s="15" t="inlineStr">
        <is>
          <t>D8481452K2PL</t>
        </is>
      </c>
      <c r="FF77" s="15" t="inlineStr">
        <is>
          <t>YV3T7U525KA195196</t>
        </is>
      </c>
      <c r="FG77" s="15" t="inlineStr">
        <is>
          <t>Volvo</t>
        </is>
      </c>
      <c r="FH77" s="15" t="inlineStr">
        <is>
          <t>B8R</t>
        </is>
      </c>
      <c r="FI77" s="15" t="inlineStr">
        <is>
          <t>MARCOPOLO</t>
        </is>
      </c>
      <c r="FJ77" s="15" t="inlineStr">
        <is>
          <t>TORINO</t>
        </is>
      </c>
      <c r="FK77" s="15" t="n">
        <v>2019</v>
      </c>
      <c r="FL77" s="15" t="inlineStr">
        <is>
          <t>B2PAL</t>
        </is>
      </c>
      <c r="FM77" s="15" t="inlineStr">
        <is>
          <t>LOS LIBERTADORES</t>
        </is>
      </c>
      <c r="FN77" s="15" t="inlineStr">
        <is>
          <t>Los Liberadores 6450, Lote 4A</t>
        </is>
      </c>
      <c r="FO77" s="15" t="inlineStr">
        <is>
          <t>Huechuraba</t>
        </is>
      </c>
      <c r="FP77" t="inlineStr">
        <is>
          <t>B</t>
        </is>
      </c>
      <c r="FS77" s="14" t="inlineStr">
        <is>
          <t>3020 / SFWZ-20|</t>
        </is>
      </c>
      <c r="FT77" t="inlineStr">
        <is>
          <t>SFWZ-20|</t>
        </is>
      </c>
      <c r="FU77" t="inlineStr">
        <is>
          <t>SFWZ-20</t>
        </is>
      </c>
      <c r="FV77">
        <f>VLOOKUP(FU77,FD:FL,9,0)</f>
        <v/>
      </c>
      <c r="FZ77" s="51" t="n">
        <v>102</v>
      </c>
      <c r="GA77" t="n">
        <v>29.84</v>
      </c>
      <c r="GB77" t="n">
        <v>0</v>
      </c>
      <c r="GC77" t="n">
        <v>0</v>
      </c>
      <c r="GD77" t="n">
        <v>0</v>
      </c>
      <c r="GE77" t="n">
        <v>0</v>
      </c>
      <c r="GF77" t="n">
        <v>10.82</v>
      </c>
      <c r="GG77" t="n">
        <v>18.375</v>
      </c>
      <c r="GH77" t="n">
        <v>16.775</v>
      </c>
      <c r="GI77" t="n">
        <v>18.41</v>
      </c>
      <c r="GJ77" t="n">
        <v>19.555</v>
      </c>
      <c r="GK77" t="n">
        <v>19.675</v>
      </c>
      <c r="GL77" t="n">
        <v>18.91</v>
      </c>
      <c r="GM77" t="n">
        <v>17.865</v>
      </c>
      <c r="GN77" t="n">
        <v>17.695</v>
      </c>
      <c r="GO77" t="n">
        <v>17.42</v>
      </c>
      <c r="GP77" t="n">
        <v>16.345</v>
      </c>
      <c r="GQ77" t="n">
        <v>15.13</v>
      </c>
      <c r="GR77" t="n">
        <v>13.565</v>
      </c>
      <c r="GS77" t="n">
        <v>14.39</v>
      </c>
      <c r="GT77" t="n">
        <v>17.21</v>
      </c>
      <c r="GU77" t="n">
        <v>19.655</v>
      </c>
      <c r="GV77" t="n">
        <v>22.11</v>
      </c>
      <c r="GW77" t="n">
        <v>24.725</v>
      </c>
      <c r="GX77" t="n">
        <v>27.315</v>
      </c>
      <c r="HA77" s="35" t="n">
        <v>74</v>
      </c>
      <c r="HB77" s="35" t="n">
        <v>71</v>
      </c>
    </row>
    <row r="78" ht="15.5" customHeight="1">
      <c r="A78" s="10">
        <f>HOUR(G78)+1</f>
        <v/>
      </c>
      <c r="B78" s="7" t="n"/>
      <c r="C78" s="7" t="n"/>
      <c r="D78" s="85">
        <f>IFERROR(
IF(AND(OR(Planilla!B78="C",Planilla!B78="c"), VLOOKUP(E78,FD:FP,13,0)="C"), "OK",IF(AND(OR(Planilla!B78="C",Planilla!B78="c"), OR(VLOOKUP(E78,FD:FP,13,0)="B", VLOOKUP(E78,FD:FP,13,0)="A")), "DEFICIT",IF(
AND(OR(Planilla!B78="B", Planilla!B78="BPAL"), VLOOKUP(E78,FD:FP,13,0)="B"), "OK",IF(AND(OR(Planilla!B78="B", Planilla!B78="BPAL"), VLOOKUP(E78,FD:FP,13,0)="A"), "DEFICIT",IF(AND(OR(Planilla!B78="B", Planilla!B78="BPAL"), VLOOKUP(E78,FD:FP,13,0)="C"), "SOBREOFERTA",IF(AND(Planilla!B78="A", VLOOKUP(E78,FD:FP,13,0)="A"), "OK",IF(
AND(Planilla!B78="A", OR(VLOOKUP(E78,FD:FP,13,0)="B", VLOOKUP(E78,FD:FP,13,0)="C")), "SOBREOFERTA",""
))))))),"")</f>
        <v/>
      </c>
      <c r="E78" s="8" t="n"/>
      <c r="F78" s="86" t="n"/>
      <c r="G78" s="87" t="n"/>
      <c r="H78" s="88">
        <f>IF(I78="","",IF(AND((I78-G78)&gt;=TIME(0,0,0),(I78-G78)&lt;TIME(0,3,0)),"OK",IF(AND((I78-G78)&gt;=TIME(0,3,0),(I78-G78)&lt;TIME(0,5,0)),"RETRASO DE 3-5 MIN",IF(AND((I78-G78)&gt;=TIME(0,5,0),(I78-G78)&lt;TIME(0,10,0)),"RETRASO DE 5-10 MIN",IF((I78-G78)&gt;=TIME(0,10,0),"RETRASO &gt;10 MIN",         IF(AND((G78-I78)&gt;=TIME(0,0,0),(G78-I78)&lt;TIME(0,3,0)),"OK",IF((G78-I78)&gt;=TIME(0,3,0),"ADELANTADO")))))))</f>
        <v/>
      </c>
      <c r="I78" s="89" t="n"/>
      <c r="J78" s="89">
        <f>IF(A78&lt;&gt;"",HLOOKUP(VALUE(TEXT(G78,"h:mm:ss")),IF($C$6="Laboral",$FZ$4:$GX$227,IF($C$6="Sábado",$FZ$231:$GX$452,$FZ$456:$GX$656)),VLOOKUP($C$4,$HF$2:$HH$99,3,0)+IF(C$5="Ida",0,1),1),"")</f>
        <v/>
      </c>
      <c r="K78" s="89">
        <f>IF(A79&lt;&gt;A78,AVERAGEIF(A$9:A78,A78,J$9:J78),"")</f>
        <v/>
      </c>
      <c r="L78" s="89">
        <f>IFERROR(IF(A79&lt;&gt;A78,AVERAGEIF(A$9:A78,A78,S$9:S78),""),"")</f>
        <v/>
      </c>
      <c r="M78" s="89">
        <f>IFERROR(IF(A79&lt;&gt;A78,AVERAGEIF(A$9:A78,A78,T$9:T78),""),"")</f>
        <v/>
      </c>
      <c r="N78" s="89">
        <f t="array" ref="N78">IFERROR(IF(A79&lt;&gt;A78,_xlfn.STDEV.P(IF(A$9:A78=A78,T$9:T78)),""),"")</f>
        <v/>
      </c>
      <c r="O78" s="89">
        <f t="array" ref="O78">IFERROR(IF(A79&lt;&gt;A78,_xlfn.STDEV.P(IF(A$9:A78=A78,S$9:S78)),""),"")</f>
        <v/>
      </c>
      <c r="P78" s="90">
        <f>IFERROR(IF(A78&lt;&gt;A79,MAX((((M78*24*60)/2)*(1+POWER((((N78*24*60) / (M78*24*60) )),2))) + ((M78*24*60 )*-0.1 + (K78*0.015)) +1,(((M78*24*60)/2)*(1+POWER((((N78*24*60) / (M78*24*60 ))),2)))),""),"")</f>
        <v/>
      </c>
      <c r="Q78" s="90">
        <f>IF(AND(O78&lt;&gt;"",L78&lt;&gt;""),IF(A78&lt;&gt;A79,((L78*24*60) / 2 ) * (1 + POWER(((O78*24*60) / (L78*24*60)),2)),""),"")</f>
        <v/>
      </c>
      <c r="R78" s="90">
        <f>IF(Q78&lt;&gt;"",MAX(P78,Q78),"")</f>
        <v/>
      </c>
      <c r="S78" s="89">
        <f>IF(I78&lt;&gt;"H. Sale Real",IF(AND(I79&lt;&gt;"",LEFT(C79,2)&lt;&gt;"Va"),IF(AND(I78&lt;&gt;"",LEFT(C78,2)&lt;&gt;"Va",I78&lt;&gt;"H. Sale Real"),IF(I79-I78&lt;0.208333333333333,I79-I78,""),IF(AND(I77&lt;&gt;"",LEFT(C77,2)&lt;&gt;"Va",I77&lt;&gt;"H. Sale Real"),IF(I79-I77&lt;0.208333333333333,I79-I77,""),IF(AND(I76&lt;&gt;"",LEFT(C76,2)&lt;&gt;"Va",I76&lt;&gt;"H. Sale Real"),IF(I79-I76&lt;0.208333333333333,I79-I76,""),IF(AND(I75&lt;&gt;"",LEFT(C75,2)&lt;&gt;"Va",I75&lt;&gt;"H. Sale Real"),IF(I79-I75&lt;0.208333333333333,I79-I75,""),IF(AND(I74&lt;&gt;"",LEFT(C74,2)&lt;&gt;"Va",I74&lt;&gt;"H. Sale Real"),IF(I79-I74&lt;0.208333333333333,I79-I74,""),""))))),""),"")</f>
        <v/>
      </c>
      <c r="T78" s="89">
        <f>IF(G78&lt;&gt;"H. Sale Real",IF(AND(G79&lt;&gt;"",LEFT(C79,2)&lt;&gt;"Va"),IF(AND(G78&lt;&gt;"",LEFT(C78,2)&lt;&gt;"Va",G78&lt;&gt;"H. Sale Real"),IF(G79-G78&lt;0.208333333333333,G79-G78,""),IF(AND(G77&lt;&gt;"",LEFT(C77,2)&lt;&gt;"Va",G77&lt;&gt;"H. Sale Real"),IF(G79-G77&lt;0.208333333333333,G79-G77,""),IF(AND(G76&lt;&gt;"",LEFT(C76,2)&lt;&gt;"Va",G76&lt;&gt;"H. Sale Real"),IF(G79-G76&lt;0.208333333333333,G79-G76,""),IF(AND(G75&lt;&gt;"",LEFT(C75,2)&lt;&gt;"Va",G75&lt;&gt;"H. Sale Real"),IF(G79-G75&lt;0.208333333333333,G79-G75,""),IF(AND(G74&lt;&gt;"",LEFT(C74,2)&lt;&gt;"Va",G74&lt;&gt;"H. Sale Real"),IF(G79-G74&lt;0.208333333333333,G79-G74,""),""))))),""),"")</f>
        <v/>
      </c>
      <c r="U78" s="87" t="n"/>
      <c r="V78" s="89" t="n"/>
      <c r="W78" s="87" t="n"/>
      <c r="X78" s="89" t="n"/>
      <c r="Y78" s="91" t="n"/>
      <c r="Z78" s="122">
        <f>IF(G78&lt;&gt;"",IF(AND(Z77&lt;&gt;"IE",P78&lt;&gt;0,R78&lt;&gt;""),IF(IFERROR((P78/R78),0) &lt;=1,IFERROR(P78/R78,""),1),""),"")</f>
        <v/>
      </c>
      <c r="AA78" s="93" t="n"/>
      <c r="AB78" s="2" t="n"/>
      <c r="AE78" s="10">
        <f>HOUR(AK78)+1</f>
        <v/>
      </c>
      <c r="AF78" s="7" t="n"/>
      <c r="AG78" s="7" t="n"/>
      <c r="AH78" s="86" t="n"/>
      <c r="AI78" s="8" t="n"/>
      <c r="AJ78" s="86" t="n"/>
      <c r="AK78" s="87" t="n"/>
      <c r="AL78" s="88">
        <f>IF(AM78="","",IF(AND((AM78-AK78)&gt;=TIME(0,0,0),(AM78-AK78)&lt;TIME(0,3,0)),"OK",IF(AND((AM78-AK78)&gt;=TIME(0,3,0),(AM78-AK78)&lt;TIME(0,5,0)),"RETRASO DE 3-5 MIN",IF(AND((AM78-AK78)&gt;=TIME(0,5,0),(AM78-AK78)&lt;TIME(0,10,0)),"RETRASO DE 5-10 MIN",IF((AM78-AK78)&gt;=TIME(0,10,0),"RETRASO &gt;10 MIN",         IF(AND((AK78-AM78)&gt;=TIME(0,0,0),(AK78-AM78)&lt;TIME(0,3,0)),"OK",IF((AK78-AM78)&gt;=TIME(0,3,0),"ADELANTADO")))))))</f>
        <v/>
      </c>
      <c r="AM78" s="91" t="n"/>
      <c r="AN78" s="89">
        <f>IF(AE78&lt;&gt;"",HLOOKUP(VALUE(TEXT(AK78,"h:mm:ss")),IF($C$6="Laboral",$FZ$4:$GX$227,IF($C$6="Sábado",$FZ$231:$GX$452,$FZ$456:$GX$656)),VLOOKUP($C$4,$HF$2:$HH$99,3,0)+IF(AG$5="Ida",0,1),1),"")</f>
        <v/>
      </c>
      <c r="AO78" s="89">
        <f>IF(AE79&lt;&gt;AE78,AVERAGEIF(AE$9:AE78,AE78,AN$9:AN78),"")</f>
        <v/>
      </c>
      <c r="AP78" s="89">
        <f>IFERROR(IF(AE79&lt;&gt;AE78,AVERAGEIF(AE$9:AE78,AE78,AW$9:AW78),""),"")</f>
        <v/>
      </c>
      <c r="AQ78" s="89">
        <f>IFERROR(IF(AE79&lt;&gt;AE78,AVERAGEIF(AE$9:AE78,AE78,AX$9:AX78),""),"")</f>
        <v/>
      </c>
      <c r="AR78" s="89">
        <f t="array" ref="AR78">IFERROR(IF(AE79&lt;&gt;AE78,_xlfn.STDEV.P(IF(AE$9:AE78=AE78,AX$9:AX78)),""),"")</f>
        <v/>
      </c>
      <c r="AS78" s="89">
        <f t="array" ref="AS78">IFERROR(IF(AE79&lt;&gt;AE78,_xlfn.STDEV.P(IF(AE$9:AE78=AE78,AW$9:AW78)),""),"")</f>
        <v/>
      </c>
      <c r="AT78" s="90">
        <f>IFERROR(IF(AE78&lt;&gt;AE79,MAX((((AQ78*24*60)/2)*(1+POWER((((AR78*24*60) / (AQ78*24*60) )),2))) + ((AQ78*24*60 )*-0.1 + (AO78*0.015)) +1,(((AQ78*24*60)/2)*(1+POWER((((AR78*24*60) / (AQ78*24*60 ))),2)))),""),"")</f>
        <v/>
      </c>
      <c r="AU78" s="90">
        <f>IF(AND(AS78&lt;&gt;"",AP78&lt;&gt;""),IF(AE78&lt;&gt;AE79,((AP78*24*60) / 2 ) * (1 + POWER(((AS78*24*60) / (AP78*24*60)),2)),""),"")</f>
        <v/>
      </c>
      <c r="AV78" s="90">
        <f>IF(AU78&lt;&gt;"",MAX(AT78,AU78),"")</f>
        <v/>
      </c>
      <c r="AW78" s="89">
        <f>IF(AM78&lt;&gt;"H. Sale Real",IF(AND(AM79&lt;&gt;"",LEFT(AG79,2)&lt;&gt;"Va"),IF(AND(AM78&lt;&gt;"",LEFT(AG78,2)&lt;&gt;"Va",AM78&lt;&gt;"H. Sale Real"),IF(AM79-AM78&lt;0.208333333333333,AM79-AM78,""),IF(AND(AM77&lt;&gt;"",LEFT(AG77,2)&lt;&gt;"Va",AM77&lt;&gt;"H. Sale Real"),IF(AM79-AM77&lt;0.208333333333333,AM79-AM77,""),IF(AND(AM76&lt;&gt;"",LEFT(AG76,2)&lt;&gt;"Va",AM76&lt;&gt;"H. Sale Real"),IF(AM79-AM76&lt;0.208333333333333,AM79-AM76,""),IF(AND(AM75&lt;&gt;"",LEFT(AG75,2)&lt;&gt;"Va",AM75&lt;&gt;"H. Sale Real"),IF(AM79-AM75&lt;0.208333333333333,AM79-AM75,""),IF(AND(AM74&lt;&gt;"",LEFT(AG74,2)&lt;&gt;"Va",AM74&lt;&gt;"H. Sale Real"),IF(AM79-AM74&lt;0.208333333333333,AM79-AM74,""),""))))),""),"")</f>
        <v/>
      </c>
      <c r="AX78" s="89">
        <f>IF(AK78&lt;&gt;"H. Sale Real",IF(AND(AK79&lt;&gt;"",LEFT(AG79,2)&lt;&gt;"Va"),IF(AND(AK78&lt;&gt;"",LEFT(AG78,2)&lt;&gt;"Va",AK78&lt;&gt;"H. Sale Real"),IF(AK79-AK78&lt;0.208333333333333,AK79-AK78,""),IF(AND(AK77&lt;&gt;"",LEFT(AG77,2)&lt;&gt;"Va",AK77&lt;&gt;"H. Sale Real"),IF(AK79-AK77&lt;0.208333333333333,AK79-AK77,""),IF(AND(AK76&lt;&gt;"",LEFT(AG76,2)&lt;&gt;"NC",AK76&lt;&gt;"H. Sale Real"),IF(AK79-AK76&lt;0.208333333333333,AK79-AK76,""),IF(AND(AK75&lt;&gt;"",LEFT(AG75,2)&lt;&gt;"Va",AK75&lt;&gt;"H. Sale Real"),IF(AK79-AK75&lt;0.208333333333333,AK79-AK75,""),IF(AND(AK74&lt;&gt;"",LEFT(AG74,2)&lt;&gt;"Va",AK74&lt;&gt;"H. Sale Real"),IF(AK79-AK74&lt;0.208333333333333,AK79-AK74,""),""))))),""),"")</f>
        <v/>
      </c>
      <c r="AY78" s="87" t="n"/>
      <c r="AZ78" s="89" t="n"/>
      <c r="BA78" s="87" t="n"/>
      <c r="BB78" s="89" t="n"/>
      <c r="BC78" s="91" t="n"/>
      <c r="BD78" s="122">
        <f>IF(AK78&lt;&gt;"",IF(AND(BD77&lt;&gt;"IE",AT78&lt;&gt;0,AV78&lt;&gt;""),IF(IFERROR((AT78/AV78),0) &lt;=1,IFERROR(AT78/AV78,""),1),""),"")</f>
        <v/>
      </c>
      <c r="BE78" s="93" t="n"/>
      <c r="BF78" s="105" t="n"/>
      <c r="FC78" t="inlineStr">
        <is>
          <t>Diccionario 1</t>
        </is>
      </c>
      <c r="FD78" s="15" t="n">
        <v>1075</v>
      </c>
      <c r="FE78" s="15" t="inlineStr">
        <is>
          <t>D8482455K2PL</t>
        </is>
      </c>
      <c r="FF78" s="15" t="inlineStr">
        <is>
          <t>YV3T7U524KA195318</t>
        </is>
      </c>
      <c r="FG78" s="15" t="inlineStr">
        <is>
          <t>Volvo</t>
        </is>
      </c>
      <c r="FH78" s="15" t="inlineStr">
        <is>
          <t>B8R</t>
        </is>
      </c>
      <c r="FI78" s="15" t="inlineStr">
        <is>
          <t>MARCOPOLO</t>
        </is>
      </c>
      <c r="FJ78" s="15" t="inlineStr">
        <is>
          <t>TORINO</t>
        </is>
      </c>
      <c r="FK78" s="15" t="n">
        <v>2019</v>
      </c>
      <c r="FL78" s="15" t="inlineStr">
        <is>
          <t>B2PAL</t>
        </is>
      </c>
      <c r="FM78" s="15" t="inlineStr">
        <is>
          <t>LOS LIBERTADORES</t>
        </is>
      </c>
      <c r="FN78" s="15" t="inlineStr">
        <is>
          <t>Los Liberadores 6450, Lote 4A</t>
        </is>
      </c>
      <c r="FO78" s="15" t="inlineStr">
        <is>
          <t>Huechuraba</t>
        </is>
      </c>
      <c r="FP78" t="inlineStr">
        <is>
          <t>B</t>
        </is>
      </c>
      <c r="FS78" s="14" t="inlineStr">
        <is>
          <t>3021 / SFWZ-36|</t>
        </is>
      </c>
      <c r="FT78" t="inlineStr">
        <is>
          <t>SFWZ-36|</t>
        </is>
      </c>
      <c r="FU78" t="inlineStr">
        <is>
          <t>SFWZ-36</t>
        </is>
      </c>
      <c r="FV78">
        <f>VLOOKUP(FU78,FD:FL,9,0)</f>
        <v/>
      </c>
      <c r="FZ78" s="51" t="n">
        <v>102</v>
      </c>
      <c r="GA78" t="n">
        <v>32.015</v>
      </c>
      <c r="GB78" t="n">
        <v>0</v>
      </c>
      <c r="GC78" t="n">
        <v>0</v>
      </c>
      <c r="GD78" t="n">
        <v>0</v>
      </c>
      <c r="GE78" t="n">
        <v>0</v>
      </c>
      <c r="GF78" t="n">
        <v>10.215</v>
      </c>
      <c r="GG78" t="n">
        <v>17.16</v>
      </c>
      <c r="GH78" t="n">
        <v>15.23</v>
      </c>
      <c r="GI78" t="n">
        <v>18.23</v>
      </c>
      <c r="GJ78" t="n">
        <v>20.21</v>
      </c>
      <c r="GK78" t="n">
        <v>20.565</v>
      </c>
      <c r="GL78" t="n">
        <v>19.91</v>
      </c>
      <c r="GM78" t="n">
        <v>19.165</v>
      </c>
      <c r="GN78" t="n">
        <v>19.07</v>
      </c>
      <c r="GO78" t="n">
        <v>18.595</v>
      </c>
      <c r="GP78" t="n">
        <v>17.74</v>
      </c>
      <c r="GQ78" t="n">
        <v>16.335</v>
      </c>
      <c r="GR78" t="n">
        <v>15.675</v>
      </c>
      <c r="GS78" t="n">
        <v>17.195</v>
      </c>
      <c r="GT78" t="n">
        <v>19.66</v>
      </c>
      <c r="GU78" t="n">
        <v>21.52</v>
      </c>
      <c r="GV78" t="n">
        <v>23.585</v>
      </c>
      <c r="GW78" t="n">
        <v>26.17</v>
      </c>
      <c r="GX78" t="n">
        <v>28.96</v>
      </c>
      <c r="HA78" s="35" t="n">
        <v>75</v>
      </c>
      <c r="HB78" s="35" t="n">
        <v>72</v>
      </c>
    </row>
    <row r="79" ht="15.5" customHeight="1">
      <c r="A79" s="10">
        <f>HOUR(G79)+1</f>
        <v/>
      </c>
      <c r="B79" s="7" t="n"/>
      <c r="C79" s="7" t="n"/>
      <c r="D79" s="85">
        <f>IFERROR(
IF(AND(OR(Planilla!B79="C",Planilla!B79="c"), VLOOKUP(E79,FD:FP,13,0)="C"), "OK",IF(AND(OR(Planilla!B79="C",Planilla!B79="c"), OR(VLOOKUP(E79,FD:FP,13,0)="B", VLOOKUP(E79,FD:FP,13,0)="A")), "DEFICIT",IF(
AND(OR(Planilla!B79="B", Planilla!B79="BPAL"), VLOOKUP(E79,FD:FP,13,0)="B"), "OK",IF(AND(OR(Planilla!B79="B", Planilla!B79="BPAL"), VLOOKUP(E79,FD:FP,13,0)="A"), "DEFICIT",IF(AND(OR(Planilla!B79="B", Planilla!B79="BPAL"), VLOOKUP(E79,FD:FP,13,0)="C"), "SOBREOFERTA",IF(AND(Planilla!B79="A", VLOOKUP(E79,FD:FP,13,0)="A"), "OK",IF(
AND(Planilla!B79="A", OR(VLOOKUP(E79,FD:FP,13,0)="B", VLOOKUP(E79,FD:FP,13,0)="C")), "SOBREOFERTA",""
))))))),"")</f>
        <v/>
      </c>
      <c r="E79" s="8" t="n"/>
      <c r="F79" s="86" t="n"/>
      <c r="G79" s="87" t="n"/>
      <c r="H79" s="88">
        <f>IF(I79="","",IF(AND((I79-G79)&gt;=TIME(0,0,0),(I79-G79)&lt;TIME(0,3,0)),"OK",IF(AND((I79-G79)&gt;=TIME(0,3,0),(I79-G79)&lt;TIME(0,5,0)),"RETRASO DE 3-5 MIN",IF(AND((I79-G79)&gt;=TIME(0,5,0),(I79-G79)&lt;TIME(0,10,0)),"RETRASO DE 5-10 MIN",IF((I79-G79)&gt;=TIME(0,10,0),"RETRASO &gt;10 MIN", IF(AND((G79-I79)&gt;=TIME(0,0,0),(G79-I79)&lt;TIME(0,3,0)),"OK",IF((G79-I79)&gt;=TIME(0,3,0),"ADELANTADO")))))))</f>
        <v/>
      </c>
      <c r="I79" s="89" t="n"/>
      <c r="J79" s="89">
        <f>IF(A79&lt;&gt;"",HLOOKUP(VALUE(TEXT(G79,"h:mm:ss")),IF($C$6="Laboral",$FZ$4:$GX$227,IF($C$6="Sábado",$FZ$231:$GX$452,$FZ$456:$GX$656)),VLOOKUP($C$4,$HF$2:$HH$99,3,0)+IF(C$5="Ida",0,1),1),"")</f>
        <v/>
      </c>
      <c r="K79" s="89">
        <f>IF(A80&lt;&gt;A79,AVERAGEIF(A$9:A79,A79,J$9:J79),"")</f>
        <v/>
      </c>
      <c r="L79" s="89">
        <f>IFERROR(IF(A80&lt;&gt;A79,AVERAGEIF(A$9:A79,A79,S$9:S79),""),"")</f>
        <v/>
      </c>
      <c r="M79" s="89">
        <f>IFERROR(IF(A80&lt;&gt;A79,AVERAGEIF(A$9:A79,A79,T$9:T79),""),"")</f>
        <v/>
      </c>
      <c r="N79" s="89">
        <f t="array" ref="N79">IFERROR(IF(A80&lt;&gt;A79,_xlfn.STDEV.P(IF(A$9:A79=A79,T$9:T79)),""),"")</f>
        <v/>
      </c>
      <c r="O79" s="89">
        <f t="array" ref="O79">IFERROR(IF(A80&lt;&gt;A79,_xlfn.STDEV.P(IF(A$9:A79=A79,S$9:S79)),""),"")</f>
        <v/>
      </c>
      <c r="P79" s="90">
        <f>IFERROR(IF(A79&lt;&gt;A80,MAX((((M79*24*60)/2)*(1+POWER((((N79*24*60) / (M79*24*60) )),2))) + ((M79*24*60 )*-0.1 + (K79*0.015)) +1,(((M79*24*60)/2)*(1+POWER((((N79*24*60) / (M79*24*60 ))),2)))),""),"")</f>
        <v/>
      </c>
      <c r="Q79" s="90">
        <f>IF(AND(O79&lt;&gt;"",L79&lt;&gt;""),IF(A79&lt;&gt;A80,((L79*24*60) / 2 ) * (1 + POWER(((O79*24*60) / (L79*24*60)),2)),""),"")</f>
        <v/>
      </c>
      <c r="R79" s="90">
        <f>IF(Q79&lt;&gt;"",MAX(P79,Q79),"")</f>
        <v/>
      </c>
      <c r="S79" s="89">
        <f>IF(I79&lt;&gt;"H. Sale Real",IF(AND(I80&lt;&gt;"",LEFT(C80,2)&lt;&gt;"Va"),IF(AND(I79&lt;&gt;"",LEFT(C79,2)&lt;&gt;"Va",I79&lt;&gt;"H. Sale Real"),IF(I80-I79&lt;0.208333333333333,I80-I79,""),IF(AND(I78&lt;&gt;"",LEFT(C78,2)&lt;&gt;"Va",I78&lt;&gt;"H. Sale Real"),IF(I80-I78&lt;0.208333333333333,I80-I78,""),IF(AND(I77&lt;&gt;"",LEFT(C77,2)&lt;&gt;"Va",I77&lt;&gt;"H. Sale Real"),IF(I80-I77&lt;0.208333333333333,I80-I77,""),IF(AND(I76&lt;&gt;"",LEFT(C76,2)&lt;&gt;"Va",I76&lt;&gt;"H. Sale Real"),IF(I80-I76&lt;0.208333333333333,I80-I76,""),IF(AND(I75&lt;&gt;"",LEFT(C75,2)&lt;&gt;"Va",I75&lt;&gt;"H. Sale Real"),IF(I80-I75&lt;0.208333333333333,I80-I75,""),""))))),""),"")</f>
        <v/>
      </c>
      <c r="T79" s="89">
        <f>IF(G79&lt;&gt;"H. Sale Real",IF(AND(G80&lt;&gt;"",LEFT(C80,2)&lt;&gt;"Va"),IF(AND(G79&lt;&gt;"",LEFT(C79,2)&lt;&gt;"Va",G79&lt;&gt;"H. Sale Real"),IF(G80-G79&lt;0.208333333333333,G80-G79,""),IF(AND(G78&lt;&gt;"",LEFT(C78,2)&lt;&gt;"Va",G78&lt;&gt;"H. Sale Real"),IF(G80-G78&lt;0.208333333333333,G80-G78,""),IF(AND(G77&lt;&gt;"",LEFT(C77,2)&lt;&gt;"Va",G77&lt;&gt;"H. Sale Real"),IF(G80-G77&lt;0.208333333333333,G80-G77,""),IF(AND(G76&lt;&gt;"",LEFT(C76,2)&lt;&gt;"Va",G76&lt;&gt;"H. Sale Real"),IF(G80-G76&lt;0.208333333333333,G80-G76,""),IF(AND(G75&lt;&gt;"",LEFT(C75,2)&lt;&gt;"Va",G75&lt;&gt;"H. Sale Real"),IF(G80-G75&lt;0.208333333333333,G80-G75,""),""))))),""),"")</f>
        <v/>
      </c>
      <c r="U79" s="87" t="n"/>
      <c r="V79" s="89" t="n"/>
      <c r="W79" s="87" t="n"/>
      <c r="X79" s="89" t="n"/>
      <c r="Y79" s="91" t="n"/>
      <c r="Z79" s="122">
        <f>IF(G79&lt;&gt;"",IF(AND(Z78&lt;&gt;"IE",P79&lt;&gt;0,R79&lt;&gt;""),IF(IFERROR((P79/R79),0) &lt;=1,IFERROR(P79/R79,""),1),""),"")</f>
        <v/>
      </c>
      <c r="AA79" s="93" t="n"/>
      <c r="AB79" s="2" t="n"/>
      <c r="AE79" s="10">
        <f>HOUR(AK79)+1</f>
        <v/>
      </c>
      <c r="AF79" s="7" t="n"/>
      <c r="AG79" s="7" t="n"/>
      <c r="AH79" s="86" t="n"/>
      <c r="AI79" s="8" t="n"/>
      <c r="AJ79" s="86" t="n"/>
      <c r="AK79" s="87" t="n"/>
      <c r="AL79" s="88">
        <f>IF(AM79="","",IF(AND((AM79-AK79)&gt;=TIME(0,0,0),(AM79-AK79)&lt;TIME(0,3,0)),"OK",IF(AND((AM79-AK79)&gt;=TIME(0,3,0),(AM79-AK79)&lt;TIME(0,5,0)),"RETRASO DE 3-5 MIN",IF(AND((AM79-AK79)&gt;=TIME(0,5,0),(AM79-AK79)&lt;TIME(0,10,0)),"RETRASO DE 5-10 MIN",IF((AM79-AK79)&gt;=TIME(0,10,0),"RETRASO &gt;10 MIN", IF(AND((AK79-AM79)&gt;=TIME(0,0,0),(AK79-AM79)&lt;TIME(0,3,0)),"OK",IF((AK79-AM79)&gt;=TIME(0,3,0),"ADELANTADO")))))))</f>
        <v/>
      </c>
      <c r="AM79" s="91" t="n"/>
      <c r="AN79" s="89">
        <f>IF(AE79&lt;&gt;"",HLOOKUP(VALUE(TEXT(AK79,"h:mm:ss")),IF($C$6="Laboral",$FZ$4:$GX$227,IF($C$6="Sábado",$FZ$231:$GX$452,$FZ$456:$GX$656)),VLOOKUP($C$4,$HF$2:$HH$99,3,0)+IF(AG$5="Ida",0,1),1),"")</f>
        <v/>
      </c>
      <c r="AO79" s="89">
        <f>IF(AE80&lt;&gt;AE79,AVERAGEIF(AE$9:AE79,AE79,AN$9:AN79),"")</f>
        <v/>
      </c>
      <c r="AP79" s="89">
        <f>IFERROR(IF(AE80&lt;&gt;AE79,AVERAGEIF(AE$9:AE79,AE79,AW$9:AW79),""),"")</f>
        <v/>
      </c>
      <c r="AQ79" s="89">
        <f>IFERROR(IF(AE80&lt;&gt;AE79,AVERAGEIF(AE$9:AE79,AE79,AX$9:AX79),""),"")</f>
        <v/>
      </c>
      <c r="AR79" s="89">
        <f t="array" ref="AR79">IFERROR(IF(AE80&lt;&gt;AE79,_xlfn.STDEV.P(IF(AE$9:AE79=AE79,AX$9:AX79)),""),"")</f>
        <v/>
      </c>
      <c r="AS79" s="89">
        <f t="array" ref="AS79">IFERROR(IF(AE80&lt;&gt;AE79,_xlfn.STDEV.P(IF(AE$9:AE79=AE79,AW$9:AW79)),""),"")</f>
        <v/>
      </c>
      <c r="AT79" s="90">
        <f>IFERROR(IF(AE79&lt;&gt;AE80,MAX((((AQ79*24*60)/2)*(1+POWER((((AR79*24*60) / (AQ79*24*60) )),2))) + ((AQ79*24*60 )*-0.1 + (AO79*0.015)) +1,(((AQ79*24*60)/2)*(1+POWER((((AR79*24*60) / (AQ79*24*60 ))),2)))),""),"")</f>
        <v/>
      </c>
      <c r="AU79" s="90">
        <f>IF(AND(AS79&lt;&gt;"",AP79&lt;&gt;""),IF(AE79&lt;&gt;AE80,((AP79*24*60) / 2 ) * (1 + POWER(((AS79*24*60) / (AP79*24*60)),2)),""),"")</f>
        <v/>
      </c>
      <c r="AV79" s="90">
        <f>IF(AU79&lt;&gt;"",MAX(AT79,AU79),"")</f>
        <v/>
      </c>
      <c r="AW79" s="89">
        <f>IF(AM79&lt;&gt;"H. Sale Real",IF(AND(AM80&lt;&gt;"",LEFT(AG80,2)&lt;&gt;"Va"),IF(AND(AM79&lt;&gt;"",LEFT(AG79,2)&lt;&gt;"Va",AM79&lt;&gt;"H. Sale Real"),IF(AM80-AM79&lt;0.208333333333333,AM80-AM79,""),IF(AND(AM78&lt;&gt;"",LEFT(AG78,2)&lt;&gt;"Va",AM78&lt;&gt;"H. Sale Real"),IF(AM80-AM78&lt;0.208333333333333,AM80-AM78,""),IF(AND(AM77&lt;&gt;"",LEFT(AG77,2)&lt;&gt;"Va",AM77&lt;&gt;"H. Sale Real"),IF(AM80-AM77&lt;0.208333333333333,AM80-AM77,""),IF(AND(AM76&lt;&gt;"",LEFT(AG76,2)&lt;&gt;"Va",AM76&lt;&gt;"H. Sale Real"),IF(AM80-AM76&lt;0.208333333333333,AM80-AM76,""),IF(AND(AM75&lt;&gt;"",LEFT(AG75,2)&lt;&gt;"Va",AM75&lt;&gt;"H. Sale Real"),IF(AM80-AM75&lt;0.208333333333333,AM80-AM75,""),""))))),""),"")</f>
        <v/>
      </c>
      <c r="AX79" s="89">
        <f>IF(AK79&lt;&gt;"H. Sale Real",IF(AND(AK80&lt;&gt;"",LEFT(AG80,2)&lt;&gt;"Va"),IF(AND(AK79&lt;&gt;"",LEFT(AG79,2)&lt;&gt;"Va",AK79&lt;&gt;"H. Sale Real"),IF(AK80-AK79&lt;0.208333333333333,AK80-AK79,""),IF(AND(AK78&lt;&gt;"",LEFT(AG78,2)&lt;&gt;"Va",AK78&lt;&gt;"H. Sale Real"),IF(AK80-AK78&lt;0.208333333333333,AK80-AK78,""),IF(AND(AK77&lt;&gt;"",LEFT(AG77,2)&lt;&gt;"NC",AK77&lt;&gt;"H. Sale Real"),IF(AK80-AK77&lt;0.208333333333333,AK80-AK77,""),IF(AND(AK76&lt;&gt;"",LEFT(AG76,2)&lt;&gt;"Va",AK76&lt;&gt;"H. Sale Real"),IF(AK80-AK76&lt;0.208333333333333,AK80-AK76,""),IF(AND(AK75&lt;&gt;"",LEFT(AG75,2)&lt;&gt;"Va",AK75&lt;&gt;"H. Sale Real"),IF(AK80-AK75&lt;0.208333333333333,AK80-AK75,""),""))))),""),"")</f>
        <v/>
      </c>
      <c r="AY79" s="87" t="n"/>
      <c r="AZ79" s="89" t="n"/>
      <c r="BA79" s="87" t="n"/>
      <c r="BB79" s="89" t="n"/>
      <c r="BC79" s="91" t="n"/>
      <c r="BD79" s="122">
        <f>IF(AK79&lt;&gt;"",IF(AND(BD78&lt;&gt;"IE",AT79&lt;&gt;0,AV79&lt;&gt;""),IF(IFERROR((AT79/AV79),0) &lt;=1,IFERROR(AT79/AV79,""),1),""),"")</f>
        <v/>
      </c>
      <c r="BE79" s="93" t="n"/>
      <c r="BF79" s="105" t="n"/>
      <c r="FC79" t="inlineStr">
        <is>
          <t>Diccionario 1</t>
        </is>
      </c>
      <c r="FD79" s="15" t="n">
        <v>1076</v>
      </c>
      <c r="FE79" s="15" t="inlineStr">
        <is>
          <t>D8482471K2PL</t>
        </is>
      </c>
      <c r="FF79" s="15" t="inlineStr">
        <is>
          <t>YV3T7U526KA195319</t>
        </is>
      </c>
      <c r="FG79" s="15" t="inlineStr">
        <is>
          <t>Volvo</t>
        </is>
      </c>
      <c r="FH79" s="15" t="inlineStr">
        <is>
          <t>B8R</t>
        </is>
      </c>
      <c r="FI79" s="15" t="inlineStr">
        <is>
          <t>MARCOPOLO</t>
        </is>
      </c>
      <c r="FJ79" s="15" t="inlineStr">
        <is>
          <t>TORINO</t>
        </is>
      </c>
      <c r="FK79" s="15" t="n">
        <v>2019</v>
      </c>
      <c r="FL79" s="15" t="inlineStr">
        <is>
          <t>B2PAL</t>
        </is>
      </c>
      <c r="FM79" s="15" t="inlineStr">
        <is>
          <t>SAN JOSE</t>
        </is>
      </c>
      <c r="FN79" s="15" t="inlineStr">
        <is>
          <t>San José 030 (José Besa 669)</t>
        </is>
      </c>
      <c r="FO79" s="15" t="inlineStr">
        <is>
          <t>San Bernardo</t>
        </is>
      </c>
      <c r="FP79" t="inlineStr">
        <is>
          <t>B</t>
        </is>
      </c>
      <c r="FS79" s="14" t="inlineStr">
        <is>
          <t>3021 / SFWZ-36|</t>
        </is>
      </c>
      <c r="FT79" t="inlineStr">
        <is>
          <t>SFWZ-36|</t>
        </is>
      </c>
      <c r="FU79" t="inlineStr">
        <is>
          <t>SFWZ-36</t>
        </is>
      </c>
      <c r="FV79">
        <f>VLOOKUP(FU79,FD:FL,9,0)</f>
        <v/>
      </c>
      <c r="FZ79" s="51" t="inlineStr">
        <is>
          <t>213e</t>
        </is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12.31</v>
      </c>
      <c r="GG79" t="n">
        <v>22.21</v>
      </c>
      <c r="GH79" t="n">
        <v>19.7</v>
      </c>
      <c r="GI79" t="n">
        <v>20.47</v>
      </c>
      <c r="GJ79" t="n">
        <v>21.085</v>
      </c>
      <c r="GK79" t="n">
        <v>21.065</v>
      </c>
      <c r="GL79" t="n">
        <v>20.655</v>
      </c>
      <c r="GM79" t="n">
        <v>20.58</v>
      </c>
      <c r="GN79" t="n">
        <v>20.675</v>
      </c>
      <c r="GO79" t="n">
        <v>20.09</v>
      </c>
      <c r="GP79" t="n">
        <v>19.435</v>
      </c>
      <c r="GQ79" t="n">
        <v>18.935</v>
      </c>
      <c r="GR79" t="n">
        <v>18.215</v>
      </c>
      <c r="GS79" t="n">
        <v>18.23</v>
      </c>
      <c r="GT79" t="n">
        <v>19.87</v>
      </c>
      <c r="GU79" t="n">
        <v>21.505</v>
      </c>
      <c r="GV79" t="n">
        <v>22.84</v>
      </c>
      <c r="GW79" t="n">
        <v>24.17</v>
      </c>
      <c r="GX79" t="n">
        <v>26.03</v>
      </c>
      <c r="HA79" s="35" t="n">
        <v>76</v>
      </c>
      <c r="HB79" s="35" t="n">
        <v>73</v>
      </c>
    </row>
    <row r="80" ht="15.5" customHeight="1">
      <c r="A80" s="10">
        <f>HOUR(G80)+1</f>
        <v/>
      </c>
      <c r="B80" s="7" t="n"/>
      <c r="C80" s="7" t="n"/>
      <c r="D80" s="85">
        <f>IFERROR(
IF(AND(OR(Planilla!B80="C",Planilla!B80="c"), VLOOKUP(E80,FD:FP,13,0)="C"), "OK",IF(AND(OR(Planilla!B80="C",Planilla!B80="c"), OR(VLOOKUP(E80,FD:FP,13,0)="B", VLOOKUP(E80,FD:FP,13,0)="A")), "DEFICIT",IF(
AND(OR(Planilla!B80="B", Planilla!B80="BPAL"), VLOOKUP(E80,FD:FP,13,0)="B"), "OK",IF(AND(OR(Planilla!B80="B", Planilla!B80="BPAL"), VLOOKUP(E80,FD:FP,13,0)="A"), "DEFICIT",IF(AND(OR(Planilla!B80="B", Planilla!B80="BPAL"), VLOOKUP(E80,FD:FP,13,0)="C"), "SOBREOFERTA",IF(AND(Planilla!B80="A", VLOOKUP(E80,FD:FP,13,0)="A"), "OK",IF(
AND(Planilla!B80="A", OR(VLOOKUP(E80,FD:FP,13,0)="B", VLOOKUP(E80,FD:FP,13,0)="C")), "SOBREOFERTA",""
))))))),"")</f>
        <v/>
      </c>
      <c r="E80" s="8" t="n"/>
      <c r="F80" s="86" t="n"/>
      <c r="G80" s="87" t="n"/>
      <c r="H80" s="88">
        <f>IF(I80="","",IF(AND((I80-G80)&gt;=TIME(0,0,0),(I80-G80)&lt;TIME(0,3,0)),"OK",IF(AND((I80-G80)&gt;=TIME(0,3,0),(I80-G80)&lt;TIME(0,5,0)),"RETRASO DE 3-5 MIN",IF(AND((I80-G80)&gt;=TIME(0,5,0),(I80-G80)&lt;TIME(0,10,0)),"RETRASO DE 5-10 MIN",IF((I80-G80)&gt;=TIME(0,10,0),"RETRASO &gt;10 MIN", IF(AND((G80-I80)&gt;=TIME(0,0,0),(G80-I80)&lt;TIME(0,3,0)),"OK",IF((G80-I80)&gt;=TIME(0,3,0),"ADELANTADO")))))))</f>
        <v/>
      </c>
      <c r="I80" s="89" t="n"/>
      <c r="J80" s="89">
        <f>IF(A80&lt;&gt;"",HLOOKUP(VALUE(TEXT(G80,"h:mm:ss")),IF($C$6="Laboral",$FZ$4:$GX$227,IF($C$6="Sábado",$FZ$231:$GX$452,$FZ$456:$GX$656)),VLOOKUP($C$4,$HF$2:$HH$99,3,0)+IF(C$5="Ida",0,1),1),"")</f>
        <v/>
      </c>
      <c r="K80" s="89">
        <f>IF(A81&lt;&gt;A80,AVERAGEIF(A$9:A80,A80,J$9:J80),"")</f>
        <v/>
      </c>
      <c r="L80" s="89">
        <f>IFERROR(IF(A81&lt;&gt;A80,AVERAGEIF(A$9:A80,A80,S$9:S80),""),"")</f>
        <v/>
      </c>
      <c r="M80" s="89">
        <f>IFERROR(IF(A81&lt;&gt;A80,AVERAGEIF(A$9:A80,A80,T$9:T80),""),"")</f>
        <v/>
      </c>
      <c r="N80" s="89">
        <f t="array" ref="N80">IFERROR(IF(A81&lt;&gt;A80,_xlfn.STDEV.P(IF(A$9:A80=A80,T$9:T80)),""),"")</f>
        <v/>
      </c>
      <c r="O80" s="89">
        <f t="array" ref="O80">IFERROR(IF(A81&lt;&gt;A80,_xlfn.STDEV.P(IF(A$9:A80=A80,S$9:S80)),""),"")</f>
        <v/>
      </c>
      <c r="P80" s="90">
        <f>IFERROR(IF(A80&lt;&gt;A81,MAX((((M80*24*60)/2)*(1+POWER((((N80*24*60) / (M80*24*60) )),2))) + ((M80*24*60 )*-0.1 + (K80*0.015)) +1,(((M80*24*60)/2)*(1+POWER((((N80*24*60) / (M80*24*60 ))),2)))),""),"")</f>
        <v/>
      </c>
      <c r="Q80" s="90">
        <f>IF(AND(O80&lt;&gt;"",L80&lt;&gt;""),IF(A80&lt;&gt;A81,((L80*24*60) / 2 ) * (1 + POWER(((O80*24*60) / (L80*24*60)),2)),""),"")</f>
        <v/>
      </c>
      <c r="R80" s="90">
        <f>IF(Q80&lt;&gt;"",MAX(P80,Q80),"")</f>
        <v/>
      </c>
      <c r="S80" s="89">
        <f>IF(I80&lt;&gt;"H. Sale Real",IF(AND(I81&lt;&gt;"",LEFT(C81,2)&lt;&gt;"Va"),IF(AND(I80&lt;&gt;"",LEFT(C80,2)&lt;&gt;"Va",I80&lt;&gt;"H. Sale Real"),IF(I81-I80&lt;0.208333333333333,I81-I80,""),IF(AND(I79&lt;&gt;"",LEFT(C79,2)&lt;&gt;"Va",I79&lt;&gt;"H. Sale Real"),IF(I81-I79&lt;0.208333333333333,I81-I79,""),IF(AND(I78&lt;&gt;"",LEFT(C78,2)&lt;&gt;"Va",I78&lt;&gt;"H. Sale Real"),IF(I81-I78&lt;0.208333333333333,I81-I78,""),IF(AND(I77&lt;&gt;"",LEFT(C77,2)&lt;&gt;"Va",I77&lt;&gt;"H. Sale Real"),IF(I81-I77&lt;0.208333333333333,I81-I77,""),IF(AND(I76&lt;&gt;"",LEFT(C76,2)&lt;&gt;"Va",I76&lt;&gt;"H. Sale Real"),IF(I81-I76&lt;0.208333333333333,I81-I76,""),""))))),""),"")</f>
        <v/>
      </c>
      <c r="T80" s="89">
        <f>IF(G80&lt;&gt;"H. Sale Real",IF(AND(G81&lt;&gt;"",LEFT(C81,2)&lt;&gt;"Va"),IF(AND(G80&lt;&gt;"",LEFT(C80,2)&lt;&gt;"Va",G80&lt;&gt;"H. Sale Real"),IF(G81-G80&lt;0.208333333333333,G81-G80,""),IF(AND(G79&lt;&gt;"",LEFT(C79,2)&lt;&gt;"Va",G79&lt;&gt;"H. Sale Real"),IF(G81-G79&lt;0.208333333333333,G81-G79,""),IF(AND(G78&lt;&gt;"",LEFT(C78,2)&lt;&gt;"Va",G78&lt;&gt;"H. Sale Real"),IF(G81-G78&lt;0.208333333333333,G81-G78,""),IF(AND(G77&lt;&gt;"",LEFT(C77,2)&lt;&gt;"Va",G77&lt;&gt;"H. Sale Real"),IF(G81-G77&lt;0.208333333333333,G81-G77,""),IF(AND(G76&lt;&gt;"",LEFT(C76,2)&lt;&gt;"Va",G76&lt;&gt;"H. Sale Real"),IF(G81-G76&lt;0.208333333333333,G81-G76,""),""))))),""),"")</f>
        <v/>
      </c>
      <c r="U80" s="87" t="n"/>
      <c r="V80" s="89" t="n"/>
      <c r="W80" s="87" t="n"/>
      <c r="X80" s="89" t="n"/>
      <c r="Y80" s="91" t="n"/>
      <c r="Z80" s="122">
        <f>IF(G80&lt;&gt;"",IF(AND(Z79&lt;&gt;"IE",P80&lt;&gt;0,R80&lt;&gt;""),IF(IFERROR((P80/R80),0) &lt;=1,IFERROR(P80/R80,""),1),""),"")</f>
        <v/>
      </c>
      <c r="AA80" s="93" t="n"/>
      <c r="AB80" s="2" t="n"/>
      <c r="AE80" s="10">
        <f>HOUR(AK80)+1</f>
        <v/>
      </c>
      <c r="AF80" s="7" t="n"/>
      <c r="AG80" s="7" t="n"/>
      <c r="AH80" s="86" t="n"/>
      <c r="AI80" s="8" t="n"/>
      <c r="AJ80" s="86" t="n"/>
      <c r="AK80" s="87" t="n"/>
      <c r="AL80" s="88">
        <f>IF(AM80="","",IF(AND((AM80-AK80)&gt;=TIME(0,0,0),(AM80-AK80)&lt;TIME(0,3,0)),"OK",IF(AND((AM80-AK80)&gt;=TIME(0,3,0),(AM80-AK80)&lt;TIME(0,5,0)),"RETRASO DE 3-5 MIN",IF(AND((AM80-AK80)&gt;=TIME(0,5,0),(AM80-AK80)&lt;TIME(0,10,0)),"RETRASO DE 5-10 MIN",IF((AM80-AK80)&gt;=TIME(0,10,0),"RETRASO &gt;10 MIN", IF(AND((AK80-AM80)&gt;=TIME(0,0,0),(AK80-AM80)&lt;TIME(0,3,0)),"OK",IF((AK80-AM80)&gt;=TIME(0,3,0),"ADELANTADO")))))))</f>
        <v/>
      </c>
      <c r="AM80" s="91" t="n"/>
      <c r="AN80" s="89">
        <f>IF(AE80&lt;&gt;"",HLOOKUP(VALUE(TEXT(AK80,"h:mm:ss")),IF($C$6="Laboral",$FZ$4:$GX$227,IF($C$6="Sábado",$FZ$231:$GX$452,$FZ$456:$GX$656)),VLOOKUP($C$4,$HF$2:$HH$99,3,0)+IF(AG$5="Ida",0,1),1),"")</f>
        <v/>
      </c>
      <c r="AO80" s="89">
        <f>IF(AE81&lt;&gt;AE80,AVERAGEIF(AE$9:AE80,AE80,AN$9:AN80),"")</f>
        <v/>
      </c>
      <c r="AP80" s="89">
        <f>IFERROR(IF(AE81&lt;&gt;AE80,AVERAGEIF(AE$9:AE80,AE80,AW$9:AW80),""),"")</f>
        <v/>
      </c>
      <c r="AQ80" s="89">
        <f>IFERROR(IF(AE81&lt;&gt;AE80,AVERAGEIF(AE$9:AE80,AE80,AX$9:AX80),""),"")</f>
        <v/>
      </c>
      <c r="AR80" s="89">
        <f t="array" ref="AR80">IFERROR(IF(AE81&lt;&gt;AE80,_xlfn.STDEV.P(IF(AE$9:AE80=AE80,AX$9:AX80)),""),"")</f>
        <v/>
      </c>
      <c r="AS80" s="89">
        <f t="array" ref="AS80">IFERROR(IF(AE81&lt;&gt;AE80,_xlfn.STDEV.P(IF(AE$9:AE80=AE80,AW$9:AW80)),""),"")</f>
        <v/>
      </c>
      <c r="AT80" s="90">
        <f>IFERROR(IF(AE80&lt;&gt;AE81,MAX((((AQ80*24*60)/2)*(1+POWER((((AR80*24*60) / (AQ80*24*60) )),2))) + ((AQ80*24*60 )*-0.1 + (AO80*0.015)) +1,(((AQ80*24*60)/2)*(1+POWER((((AR80*24*60) / (AQ80*24*60 ))),2)))),""),"")</f>
        <v/>
      </c>
      <c r="AU80" s="90">
        <f>IF(AND(AS80&lt;&gt;"",AP80&lt;&gt;""),IF(AE80&lt;&gt;AE81,((AP80*24*60) / 2 ) * (1 + POWER(((AS80*24*60) / (AP80*24*60)),2)),""),"")</f>
        <v/>
      </c>
      <c r="AV80" s="90">
        <f>IF(AU80&lt;&gt;"",MAX(AT80,AU80),"")</f>
        <v/>
      </c>
      <c r="AW80" s="89">
        <f>IF(AM80&lt;&gt;"H. Sale Real",IF(AND(AM81&lt;&gt;"",LEFT(AG81,2)&lt;&gt;"Va"),IF(AND(AM80&lt;&gt;"",LEFT(AG80,2)&lt;&gt;"Va",AM80&lt;&gt;"H. Sale Real"),IF(AM81-AM80&lt;0.208333333333333,AM81-AM80,""),IF(AND(AM79&lt;&gt;"",LEFT(AG79,2)&lt;&gt;"Va",AM79&lt;&gt;"H. Sale Real"),IF(AM81-AM79&lt;0.208333333333333,AM81-AM79,""),IF(AND(AM78&lt;&gt;"",LEFT(AG78,2)&lt;&gt;"Va",AM78&lt;&gt;"H. Sale Real"),IF(AM81-AM78&lt;0.208333333333333,AM81-AM78,""),IF(AND(AM77&lt;&gt;"",LEFT(AG77,2)&lt;&gt;"Va",AM77&lt;&gt;"H. Sale Real"),IF(AM81-AM77&lt;0.208333333333333,AM81-AM77,""),IF(AND(AM76&lt;&gt;"",LEFT(AG76,2)&lt;&gt;"Va",AM76&lt;&gt;"H. Sale Real"),IF(AM81-AM76&lt;0.208333333333333,AM81-AM76,""),""))))),""),"")</f>
        <v/>
      </c>
      <c r="AX80" s="89">
        <f>IF(AK80&lt;&gt;"H. Sale Real",IF(AND(AK81&lt;&gt;"",LEFT(AG81,2)&lt;&gt;"Va"),IF(AND(AK80&lt;&gt;"",LEFT(AG80,2)&lt;&gt;"Va",AK80&lt;&gt;"H. Sale Real"),IF(AK81-AK80&lt;0.208333333333333,AK81-AK80,""),IF(AND(AK79&lt;&gt;"",LEFT(AG79,2)&lt;&gt;"Va",AK79&lt;&gt;"H. Sale Real"),IF(AK81-AK79&lt;0.208333333333333,AK81-AK79,""),IF(AND(AK78&lt;&gt;"",LEFT(AG78,2)&lt;&gt;"NC",AK78&lt;&gt;"H. Sale Real"),IF(AK81-AK78&lt;0.208333333333333,AK81-AK78,""),IF(AND(AK77&lt;&gt;"",LEFT(AG77,2)&lt;&gt;"Va",AK77&lt;&gt;"H. Sale Real"),IF(AK81-AK77&lt;0.208333333333333,AK81-AK77,""),IF(AND(AK76&lt;&gt;"",LEFT(AG76,2)&lt;&gt;"Va",AK76&lt;&gt;"H. Sale Real"),IF(AK81-AK76&lt;0.208333333333333,AK81-AK76,""),""))))),""),"")</f>
        <v/>
      </c>
      <c r="AY80" s="87" t="n"/>
      <c r="AZ80" s="89" t="n"/>
      <c r="BA80" s="87" t="n"/>
      <c r="BB80" s="89" t="n"/>
      <c r="BC80" s="91" t="n"/>
      <c r="BD80" s="122">
        <f>IF(AK80&lt;&gt;"",IF(AND(BD79&lt;&gt;"IE",AT80&lt;&gt;0,AV80&lt;&gt;""),IF(IFERROR((AT80/AV80),0) &lt;=1,IFERROR(AT80/AV80,""),1),""),"")</f>
        <v/>
      </c>
      <c r="BE80" s="93" t="n"/>
      <c r="BF80" s="105" t="n"/>
      <c r="FC80" t="inlineStr">
        <is>
          <t>Diccionario 1</t>
        </is>
      </c>
      <c r="FD80" s="15" t="n">
        <v>1077</v>
      </c>
      <c r="FE80" s="15" t="inlineStr">
        <is>
          <t>D8482458K2PL</t>
        </is>
      </c>
      <c r="FF80" s="15" t="inlineStr">
        <is>
          <t>YV3T7U522KA195320</t>
        </is>
      </c>
      <c r="FG80" s="15" t="inlineStr">
        <is>
          <t>Volvo</t>
        </is>
      </c>
      <c r="FH80" s="15" t="inlineStr">
        <is>
          <t>B8R</t>
        </is>
      </c>
      <c r="FI80" s="15" t="inlineStr">
        <is>
          <t>MARCOPOLO</t>
        </is>
      </c>
      <c r="FJ80" s="15" t="inlineStr">
        <is>
          <t>TORINO</t>
        </is>
      </c>
      <c r="FK80" s="15" t="n">
        <v>2019</v>
      </c>
      <c r="FL80" s="15" t="inlineStr">
        <is>
          <t>B2PAL</t>
        </is>
      </c>
      <c r="FM80" s="15" t="inlineStr">
        <is>
          <t>LOS LIBERTADORES</t>
        </is>
      </c>
      <c r="FN80" s="15" t="inlineStr">
        <is>
          <t>Los Liberadores 6450, Lote 4A</t>
        </is>
      </c>
      <c r="FO80" s="15" t="inlineStr">
        <is>
          <t>Huechuraba</t>
        </is>
      </c>
      <c r="FP80" t="inlineStr">
        <is>
          <t>B</t>
        </is>
      </c>
      <c r="FS80" s="14" t="inlineStr">
        <is>
          <t>3021 / SFWZ-36|</t>
        </is>
      </c>
      <c r="FT80" t="inlineStr">
        <is>
          <t>SFWZ-36|</t>
        </is>
      </c>
      <c r="FU80" t="inlineStr">
        <is>
          <t>SFWZ-36</t>
        </is>
      </c>
      <c r="FV80">
        <f>VLOOKUP(FU80,FD:FL,9,0)</f>
        <v/>
      </c>
      <c r="FZ80" s="51" t="inlineStr">
        <is>
          <t>213e</t>
        </is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23.575</v>
      </c>
      <c r="GG80" t="n">
        <v>20.04</v>
      </c>
      <c r="GH80" t="n">
        <v>18.165</v>
      </c>
      <c r="GI80" t="n">
        <v>19.025</v>
      </c>
      <c r="GJ80" t="n">
        <v>19.825</v>
      </c>
      <c r="GK80" t="n">
        <v>20.05</v>
      </c>
      <c r="GL80" t="n">
        <v>19.76</v>
      </c>
      <c r="GM80" t="n">
        <v>19.535</v>
      </c>
      <c r="GN80" t="n">
        <v>19.815</v>
      </c>
      <c r="GO80" t="n">
        <v>20.015</v>
      </c>
      <c r="GP80" t="n">
        <v>19.63</v>
      </c>
      <c r="GQ80" t="n">
        <v>18.705</v>
      </c>
      <c r="GR80" t="n">
        <v>17.565</v>
      </c>
      <c r="GS80" t="n">
        <v>18.235</v>
      </c>
      <c r="GT80" t="n">
        <v>19.905</v>
      </c>
      <c r="GU80" t="n">
        <v>21.765</v>
      </c>
      <c r="GV80" t="n">
        <v>24.005</v>
      </c>
      <c r="GW80" t="n">
        <v>25.76</v>
      </c>
      <c r="GX80" t="n">
        <v>0</v>
      </c>
      <c r="HA80" s="35" t="n">
        <v>77</v>
      </c>
      <c r="HB80" s="35" t="n">
        <v>74</v>
      </c>
    </row>
    <row r="81" ht="15.5" customHeight="1">
      <c r="A81" s="10">
        <f>HOUR(G81)+1</f>
        <v/>
      </c>
      <c r="B81" s="7" t="n"/>
      <c r="C81" s="7" t="n"/>
      <c r="D81" s="85">
        <f>IFERROR(
IF(AND(OR(Planilla!B81="C",Planilla!B81="c"), VLOOKUP(E81,FD:FP,13,0)="C"), "OK",IF(AND(OR(Planilla!B81="C",Planilla!B81="c"), OR(VLOOKUP(E81,FD:FP,13,0)="B", VLOOKUP(E81,FD:FP,13,0)="A")), "DEFICIT",IF(
AND(OR(Planilla!B81="B", Planilla!B81="BPAL"), VLOOKUP(E81,FD:FP,13,0)="B"), "OK",IF(AND(OR(Planilla!B81="B", Planilla!B81="BPAL"), VLOOKUP(E81,FD:FP,13,0)="A"), "DEFICIT",IF(AND(OR(Planilla!B81="B", Planilla!B81="BPAL"), VLOOKUP(E81,FD:FP,13,0)="C"), "SOBREOFERTA",IF(AND(Planilla!B81="A", VLOOKUP(E81,FD:FP,13,0)="A"), "OK",IF(
AND(Planilla!B81="A", OR(VLOOKUP(E81,FD:FP,13,0)="B", VLOOKUP(E81,FD:FP,13,0)="C")), "SOBREOFERTA",""
))))))),"")</f>
        <v/>
      </c>
      <c r="E81" s="8" t="n"/>
      <c r="F81" s="86" t="n"/>
      <c r="G81" s="87" t="n"/>
      <c r="H81" s="88">
        <f>IF(I81="","",IF(AND((I81-G81)&gt;=TIME(0,0,0),(I81-G81)&lt;TIME(0,3,0)),"OK",IF(AND((I81-G81)&gt;=TIME(0,3,0),(I81-G81)&lt;TIME(0,5,0)),"RETRASO DE 3-5 MIN",IF(AND((I81-G81)&gt;=TIME(0,5,0),(I81-G81)&lt;TIME(0,10,0)),"RETRASO DE 5-10 MIN",IF((I81-G81)&gt;=TIME(0,10,0),"RETRASO &gt;10 MIN", IF(AND((G81-I81)&gt;=TIME(0,0,0),(G81-I81)&lt;TIME(0,3,0)),"OK",IF((G81-I81)&gt;=TIME(0,3,0),"ADELANTADO")))))))</f>
        <v/>
      </c>
      <c r="I81" s="89" t="n"/>
      <c r="J81" s="89">
        <f>IF(A81&lt;&gt;"",HLOOKUP(VALUE(TEXT(G81,"h:mm:ss")),IF($C$6="Laboral",$FZ$4:$GX$227,IF($C$6="Sábado",$FZ$231:$GX$452,$FZ$456:$GX$656)),VLOOKUP($C$4,$HF$2:$HH$99,3,0)+IF(C$5="Ida",0,1),1),"")</f>
        <v/>
      </c>
      <c r="K81" s="89">
        <f>IF(A82&lt;&gt;A81,AVERAGEIF(A$9:A81,A81,J$9:J81),"")</f>
        <v/>
      </c>
      <c r="L81" s="89">
        <f>IFERROR(IF(A82&lt;&gt;A81,AVERAGEIF(A$9:A81,A81,S$9:S81),""),"")</f>
        <v/>
      </c>
      <c r="M81" s="89">
        <f>IFERROR(IF(A82&lt;&gt;A81,AVERAGEIF(A$9:A81,A81,T$9:T81),""),"")</f>
        <v/>
      </c>
      <c r="N81" s="89">
        <f t="array" ref="N81">IFERROR(IF(A82&lt;&gt;A81,_xlfn.STDEV.P(IF(A$9:A81=A81,T$9:T81)),""),"")</f>
        <v/>
      </c>
      <c r="O81" s="89">
        <f t="array" ref="O81">IFERROR(IF(A82&lt;&gt;A81,_xlfn.STDEV.P(IF(A$9:A81=A81,S$9:S81)),""),"")</f>
        <v/>
      </c>
      <c r="P81" s="90">
        <f>IFERROR(IF(A81&lt;&gt;A82,MAX((((M81*24*60)/2)*(1+POWER((((N81*24*60) / (M81*24*60) )),2))) + ((M81*24*60 )*-0.1 + (K81*0.015)) +1,(((M81*24*60)/2)*(1+POWER((((N81*24*60) / (M81*24*60 ))),2)))),""),"")</f>
        <v/>
      </c>
      <c r="Q81" s="90">
        <f>IF(AND(O81&lt;&gt;"",L81&lt;&gt;""),IF(A81&lt;&gt;A82,((L81*24*60) / 2 ) * (1 + POWER(((O81*24*60) / (L81*24*60)),2)),""),"")</f>
        <v/>
      </c>
      <c r="R81" s="90">
        <f>IF(Q81&lt;&gt;"",MAX(P81,Q81),"")</f>
        <v/>
      </c>
      <c r="S81" s="89">
        <f>IF(I81&lt;&gt;"H. Sale Real",IF(AND(I82&lt;&gt;"",LEFT(C82,2)&lt;&gt;"Va"),IF(AND(I81&lt;&gt;"",LEFT(C81,2)&lt;&gt;"Va",I81&lt;&gt;"H. Sale Real"),IF(I82-I81&lt;0.208333333333333,I82-I81,""),IF(AND(I80&lt;&gt;"",LEFT(C80,2)&lt;&gt;"Va",I80&lt;&gt;"H. Sale Real"),IF(I82-I80&lt;0.208333333333333,I82-I80,""),IF(AND(I79&lt;&gt;"",LEFT(C79,2)&lt;&gt;"Va",I79&lt;&gt;"H. Sale Real"),IF(I82-I79&lt;0.208333333333333,I82-I79,""),IF(AND(I78&lt;&gt;"",LEFT(C78,2)&lt;&gt;"Va",I78&lt;&gt;"H. Sale Real"),IF(I82-I78&lt;0.208333333333333,I82-I78,""),IF(AND(I77&lt;&gt;"",LEFT(C77,2)&lt;&gt;"Va",I77&lt;&gt;"H. Sale Real"),IF(I82-I77&lt;0.208333333333333,I82-I77,""),""))))),""),"")</f>
        <v/>
      </c>
      <c r="T81" s="89">
        <f>IF(G81&lt;&gt;"H. Sale Real",IF(AND(G82&lt;&gt;"",LEFT(C82,2)&lt;&gt;"Va"),IF(AND(G81&lt;&gt;"",LEFT(C81,2)&lt;&gt;"Va",G81&lt;&gt;"H. Sale Real"),IF(G82-G81&lt;0.208333333333333,G82-G81,""),IF(AND(G80&lt;&gt;"",LEFT(C80,2)&lt;&gt;"Va",G80&lt;&gt;"H. Sale Real"),IF(G82-G80&lt;0.208333333333333,G82-G80,""),IF(AND(G79&lt;&gt;"",LEFT(C79,2)&lt;&gt;"Va",G79&lt;&gt;"H. Sale Real"),IF(G82-G79&lt;0.208333333333333,G82-G79,""),IF(AND(G78&lt;&gt;"",LEFT(C78,2)&lt;&gt;"Va",G78&lt;&gt;"H. Sale Real"),IF(G82-G78&lt;0.208333333333333,G82-G78,""),IF(AND(G77&lt;&gt;"",LEFT(C77,2)&lt;&gt;"Va",G77&lt;&gt;"H. Sale Real"),IF(G82-G77&lt;0.208333333333333,G82-G77,""),""))))),""),"")</f>
        <v/>
      </c>
      <c r="U81" s="87" t="n"/>
      <c r="V81" s="89" t="n"/>
      <c r="W81" s="87" t="n"/>
      <c r="X81" s="89" t="n"/>
      <c r="Y81" s="91" t="n"/>
      <c r="Z81" s="122">
        <f>IF(G81&lt;&gt;"",IF(AND(Z80&lt;&gt;"IE",P81&lt;&gt;0,R81&lt;&gt;""),IF(IFERROR((P81/R81),0) &lt;=1,IFERROR(P81/R81,""),1),""),"")</f>
        <v/>
      </c>
      <c r="AA81" s="93" t="n"/>
      <c r="AB81" s="2" t="n"/>
      <c r="AE81" s="10">
        <f>HOUR(AK81)+1</f>
        <v/>
      </c>
      <c r="AF81" s="7" t="n"/>
      <c r="AG81" s="7" t="n"/>
      <c r="AH81" s="86" t="n"/>
      <c r="AI81" s="8" t="n"/>
      <c r="AJ81" s="86" t="n"/>
      <c r="AK81" s="87" t="n"/>
      <c r="AL81" s="88">
        <f>IF(AM81="","",IF(AND((AM81-AK81)&gt;=TIME(0,0,0),(AM81-AK81)&lt;TIME(0,3,0)),"OK",IF(AND((AM81-AK81)&gt;=TIME(0,3,0),(AM81-AK81)&lt;TIME(0,5,0)),"RETRASO DE 3-5 MIN",IF(AND((AM81-AK81)&gt;=TIME(0,5,0),(AM81-AK81)&lt;TIME(0,10,0)),"RETRASO DE 5-10 MIN",IF((AM81-AK81)&gt;=TIME(0,10,0),"RETRASO &gt;10 MIN", IF(AND((AK81-AM81)&gt;=TIME(0,0,0),(AK81-AM81)&lt;TIME(0,3,0)),"OK",IF((AK81-AM81)&gt;=TIME(0,3,0),"ADELANTADO")))))))</f>
        <v/>
      </c>
      <c r="AM81" s="91" t="n"/>
      <c r="AN81" s="89">
        <f>IF(AE81&lt;&gt;"",HLOOKUP(VALUE(TEXT(AK81,"h:mm:ss")),IF($C$6="Laboral",$FZ$4:$GX$227,IF($C$6="Sábado",$FZ$231:$GX$452,$FZ$456:$GX$656)),VLOOKUP($C$4,$HF$2:$HH$99,3,0)+IF(AG$5="Ida",0,1),1),"")</f>
        <v/>
      </c>
      <c r="AO81" s="89">
        <f>IF(AE82&lt;&gt;AE81,AVERAGEIF(AE$9:AE81,AE81,AN$9:AN81),"")</f>
        <v/>
      </c>
      <c r="AP81" s="89">
        <f>IFERROR(IF(AE82&lt;&gt;AE81,AVERAGEIF(AE$9:AE81,AE81,AW$9:AW81),""),"")</f>
        <v/>
      </c>
      <c r="AQ81" s="89">
        <f>IFERROR(IF(AE82&lt;&gt;AE81,AVERAGEIF(AE$9:AE81,AE81,AX$9:AX81),""),"")</f>
        <v/>
      </c>
      <c r="AR81" s="89">
        <f t="array" ref="AR81">IFERROR(IF(AE82&lt;&gt;AE81,_xlfn.STDEV.P(IF(AE$9:AE81=AE81,AX$9:AX81)),""),"")</f>
        <v/>
      </c>
      <c r="AS81" s="89">
        <f t="array" ref="AS81">IFERROR(IF(AE82&lt;&gt;AE81,_xlfn.STDEV.P(IF(AE$9:AE81=AE81,AW$9:AW81)),""),"")</f>
        <v/>
      </c>
      <c r="AT81" s="90">
        <f>IFERROR(IF(AE81&lt;&gt;AE82,MAX((((AQ81*24*60)/2)*(1+POWER((((AR81*24*60) / (AQ81*24*60) )),2))) + ((AQ81*24*60 )*-0.1 + (AO81*0.015)) +1,(((AQ81*24*60)/2)*(1+POWER((((AR81*24*60) / (AQ81*24*60 ))),2)))),""),"")</f>
        <v/>
      </c>
      <c r="AU81" s="90">
        <f>IF(AND(AS81&lt;&gt;"",AP81&lt;&gt;""),IF(AE81&lt;&gt;AE82,((AP81*24*60) / 2 ) * (1 + POWER(((AS81*24*60) / (AP81*24*60)),2)),""),"")</f>
        <v/>
      </c>
      <c r="AV81" s="90">
        <f>IF(AU81&lt;&gt;"",MAX(AT81,AU81),"")</f>
        <v/>
      </c>
      <c r="AW81" s="89">
        <f>IF(AM81&lt;&gt;"H. Sale Real",IF(AND(AM82&lt;&gt;"",LEFT(AG82,2)&lt;&gt;"Va"),IF(AND(AM81&lt;&gt;"",LEFT(AG81,2)&lt;&gt;"Va",AM81&lt;&gt;"H. Sale Real"),IF(AM82-AM81&lt;0.208333333333333,AM82-AM81,""),IF(AND(AM80&lt;&gt;"",LEFT(AG80,2)&lt;&gt;"Va",AM80&lt;&gt;"H. Sale Real"),IF(AM82-AM80&lt;0.208333333333333,AM82-AM80,""),IF(AND(AM79&lt;&gt;"",LEFT(AG79,2)&lt;&gt;"Va",AM79&lt;&gt;"H. Sale Real"),IF(AM82-AM79&lt;0.208333333333333,AM82-AM79,""),IF(AND(AM78&lt;&gt;"",LEFT(AG78,2)&lt;&gt;"Va",AM78&lt;&gt;"H. Sale Real"),IF(AM82-AM78&lt;0.208333333333333,AM82-AM78,""),IF(AND(AM77&lt;&gt;"",LEFT(AG77,2)&lt;&gt;"Va",AM77&lt;&gt;"H. Sale Real"),IF(AM82-AM77&lt;0.208333333333333,AM82-AM77,""),""))))),""),"")</f>
        <v/>
      </c>
      <c r="AX81" s="89">
        <f>IF(AK81&lt;&gt;"H. Sale Real",IF(AND(AK82&lt;&gt;"",LEFT(AG82,2)&lt;&gt;"Va"),IF(AND(AK81&lt;&gt;"",LEFT(AG81,2)&lt;&gt;"Va",AK81&lt;&gt;"H. Sale Real"),IF(AK82-AK81&lt;0.208333333333333,AK82-AK81,""),IF(AND(AK80&lt;&gt;"",LEFT(AG80,2)&lt;&gt;"Va",AK80&lt;&gt;"H. Sale Real"),IF(AK82-AK80&lt;0.208333333333333,AK82-AK80,""),IF(AND(AK79&lt;&gt;"",LEFT(AG79,2)&lt;&gt;"NC",AK79&lt;&gt;"H. Sale Real"),IF(AK82-AK79&lt;0.208333333333333,AK82-AK79,""),IF(AND(AK78&lt;&gt;"",LEFT(AG78,2)&lt;&gt;"Va",AK78&lt;&gt;"H. Sale Real"),IF(AK82-AK78&lt;0.208333333333333,AK82-AK78,""),IF(AND(AK77&lt;&gt;"",LEFT(AG77,2)&lt;&gt;"Va",AK77&lt;&gt;"H. Sale Real"),IF(AK82-AK77&lt;0.208333333333333,AK82-AK77,""),""))))),""),"")</f>
        <v/>
      </c>
      <c r="AY81" s="87" t="n"/>
      <c r="AZ81" s="89" t="n"/>
      <c r="BA81" s="87" t="n"/>
      <c r="BB81" s="89" t="n"/>
      <c r="BC81" s="91" t="n"/>
      <c r="BD81" s="122">
        <f>IF(AK81&lt;&gt;"",IF(AND(BD80&lt;&gt;"IE",AT81&lt;&gt;0,AV81&lt;&gt;""),IF(IFERROR((AT81/AV81),0) &lt;=1,IFERROR(AT81/AV81,""),1),""),"")</f>
        <v/>
      </c>
      <c r="BE81" s="93" t="n"/>
      <c r="BF81" s="105" t="n"/>
      <c r="FC81" t="inlineStr">
        <is>
          <t>Diccionario 1</t>
        </is>
      </c>
      <c r="FD81" s="15" t="n">
        <v>1078</v>
      </c>
      <c r="FE81" s="15" t="inlineStr">
        <is>
          <t>D8482397K2PL</t>
        </is>
      </c>
      <c r="FF81" s="15" t="inlineStr">
        <is>
          <t>YV3T7U524KA195321</t>
        </is>
      </c>
      <c r="FG81" s="15" t="inlineStr">
        <is>
          <t>Volvo</t>
        </is>
      </c>
      <c r="FH81" s="15" t="inlineStr">
        <is>
          <t>B8R</t>
        </is>
      </c>
      <c r="FI81" s="15" t="inlineStr">
        <is>
          <t>MARCOPOLO</t>
        </is>
      </c>
      <c r="FJ81" s="15" t="inlineStr">
        <is>
          <t>TORINO</t>
        </is>
      </c>
      <c r="FK81" s="15" t="n">
        <v>2019</v>
      </c>
      <c r="FL81" s="15" t="inlineStr">
        <is>
          <t>B2PAL</t>
        </is>
      </c>
      <c r="FM81" s="15" t="inlineStr">
        <is>
          <t>LOS LIBERTADORES</t>
        </is>
      </c>
      <c r="FN81" s="15" t="inlineStr">
        <is>
          <t>Los Liberadores 6450, Lote 4A</t>
        </is>
      </c>
      <c r="FO81" s="15" t="inlineStr">
        <is>
          <t>Huechuraba</t>
        </is>
      </c>
      <c r="FP81" t="inlineStr">
        <is>
          <t>B</t>
        </is>
      </c>
      <c r="FS81" s="14" t="inlineStr">
        <is>
          <t>3021 / SFWZ-36|</t>
        </is>
      </c>
      <c r="FT81" t="inlineStr">
        <is>
          <t>SFWZ-36|</t>
        </is>
      </c>
      <c r="FU81" t="inlineStr">
        <is>
          <t>SFWZ-36</t>
        </is>
      </c>
      <c r="FV81">
        <f>VLOOKUP(FU81,FD:FL,9,0)</f>
        <v/>
      </c>
      <c r="FZ81" s="51" t="n">
        <v>124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22.96</v>
      </c>
      <c r="GG81" t="n">
        <v>18.11</v>
      </c>
      <c r="GH81" t="n">
        <v>14.935</v>
      </c>
      <c r="GI81" t="n">
        <v>17.275</v>
      </c>
      <c r="GJ81" t="n">
        <v>17.935</v>
      </c>
      <c r="GK81" t="n">
        <v>17.59</v>
      </c>
      <c r="GL81" t="n">
        <v>17.065</v>
      </c>
      <c r="GM81" t="n">
        <v>16.24</v>
      </c>
      <c r="GN81" t="n">
        <v>16.05</v>
      </c>
      <c r="GO81" t="n">
        <v>15.84</v>
      </c>
      <c r="GP81" t="n">
        <v>14.93</v>
      </c>
      <c r="GQ81" t="n">
        <v>13.68</v>
      </c>
      <c r="GR81" t="n">
        <v>13.24</v>
      </c>
      <c r="GS81" t="n">
        <v>13.825</v>
      </c>
      <c r="GT81" t="n">
        <v>15.4</v>
      </c>
      <c r="GU81" t="n">
        <v>17.295</v>
      </c>
      <c r="GV81" t="n">
        <v>18.75</v>
      </c>
      <c r="GW81" t="n">
        <v>20.91</v>
      </c>
      <c r="GX81" t="n">
        <v>24.425</v>
      </c>
      <c r="HA81" s="35" t="n">
        <v>78</v>
      </c>
      <c r="HB81" s="35" t="n">
        <v>75</v>
      </c>
    </row>
    <row r="82" ht="15.5" customHeight="1">
      <c r="A82" s="10">
        <f>HOUR(G82)+1</f>
        <v/>
      </c>
      <c r="B82" s="7" t="n"/>
      <c r="C82" s="7" t="n"/>
      <c r="D82" s="85">
        <f>IFERROR(
IF(AND(OR(Planilla!B82="C",Planilla!B82="c"), VLOOKUP(E82,FD:FP,13,0)="C"), "OK",IF(AND(OR(Planilla!B82="C",Planilla!B82="c"), OR(VLOOKUP(E82,FD:FP,13,0)="B", VLOOKUP(E82,FD:FP,13,0)="A")), "DEFICIT",IF(
AND(OR(Planilla!B82="B", Planilla!B82="BPAL"), VLOOKUP(E82,FD:FP,13,0)="B"), "OK",IF(AND(OR(Planilla!B82="B", Planilla!B82="BPAL"), VLOOKUP(E82,FD:FP,13,0)="A"), "DEFICIT",IF(AND(OR(Planilla!B82="B", Planilla!B82="BPAL"), VLOOKUP(E82,FD:FP,13,0)="C"), "SOBREOFERTA",IF(AND(Planilla!B82="A", VLOOKUP(E82,FD:FP,13,0)="A"), "OK",IF(
AND(Planilla!B82="A", OR(VLOOKUP(E82,FD:FP,13,0)="B", VLOOKUP(E82,FD:FP,13,0)="C")), "SOBREOFERTA",""
))))))),"")</f>
        <v/>
      </c>
      <c r="E82" s="8" t="n"/>
      <c r="F82" s="86" t="n"/>
      <c r="G82" s="87" t="n"/>
      <c r="H82" s="88">
        <f>IF(I82="","",IF(AND((I82-G82)&gt;=TIME(0,0,0),(I82-G82)&lt;TIME(0,3,0)),"OK",IF(AND((I82-G82)&gt;=TIME(0,3,0),(I82-G82)&lt;TIME(0,5,0)),"RETRASO DE 3-5 MIN",IF(AND((I82-G82)&gt;=TIME(0,5,0),(I82-G82)&lt;TIME(0,10,0)),"RETRASO DE 5-10 MIN",IF((I82-G82)&gt;=TIME(0,10,0),"RETRASO &gt;10 MIN", IF(AND((G82-I82)&gt;=TIME(0,0,0),(G82-I82)&lt;TIME(0,3,0)),"OK",IF((G82-I82)&gt;=TIME(0,3,0),"ADELANTADO")))))))</f>
        <v/>
      </c>
      <c r="I82" s="89" t="n"/>
      <c r="J82" s="89">
        <f>IF(A82&lt;&gt;"",HLOOKUP(VALUE(TEXT(G82,"h:mm:ss")),IF($C$6="Laboral",$FZ$4:$GX$227,IF($C$6="Sábado",$FZ$231:$GX$452,$FZ$456:$GX$656)),VLOOKUP($C$4,$HF$2:$HH$99,3,0)+IF(C$5="Ida",0,1),1),"")</f>
        <v/>
      </c>
      <c r="K82" s="89">
        <f>IF(A83&lt;&gt;A82,AVERAGEIF(A$9:A82,A82,J$9:J82),"")</f>
        <v/>
      </c>
      <c r="L82" s="89">
        <f>IFERROR(IF(A83&lt;&gt;A82,AVERAGEIF(A$9:A82,A82,S$9:S82),""),"")</f>
        <v/>
      </c>
      <c r="M82" s="89">
        <f>IFERROR(IF(A83&lt;&gt;A82,AVERAGEIF(A$9:A82,A82,T$9:T82),""),"")</f>
        <v/>
      </c>
      <c r="N82" s="89">
        <f t="array" ref="N82">IFERROR(IF(A83&lt;&gt;A82,_xlfn.STDEV.P(IF(A$9:A82=A82,T$9:T82)),""),"")</f>
        <v/>
      </c>
      <c r="O82" s="89">
        <f t="array" ref="O82">IFERROR(IF(A83&lt;&gt;A82,_xlfn.STDEV.P(IF(A$9:A82=A82,S$9:S82)),""),"")</f>
        <v/>
      </c>
      <c r="P82" s="90">
        <f>IFERROR(IF(A82&lt;&gt;A83,MAX((((M82*24*60)/2)*(1+POWER((((N82*24*60) / (M82*24*60) )),2))) + ((M82*24*60 )*-0.1 + (K82*0.015)) +1,(((M82*24*60)/2)*(1+POWER((((N82*24*60) / (M82*24*60 ))),2)))),""),"")</f>
        <v/>
      </c>
      <c r="Q82" s="90">
        <f>IF(AND(O82&lt;&gt;"",L82&lt;&gt;""),IF(A82&lt;&gt;A83,((L82*24*60) / 2 ) * (1 + POWER(((O82*24*60) / (L82*24*60)),2)),""),"")</f>
        <v/>
      </c>
      <c r="R82" s="90">
        <f>IF(Q82&lt;&gt;"",MAX(P82,Q82),"")</f>
        <v/>
      </c>
      <c r="S82" s="89">
        <f>IF(I82&lt;&gt;"H. Sale Real",IF(AND(I83&lt;&gt;"",LEFT(C83,2)&lt;&gt;"Va"),IF(AND(I82&lt;&gt;"",LEFT(C82,2)&lt;&gt;"Va",I82&lt;&gt;"H. Sale Real"),IF(I83-I82&lt;0.208333333333333,I83-I82,""),IF(AND(I81&lt;&gt;"",LEFT(C81,2)&lt;&gt;"Va",I81&lt;&gt;"H. Sale Real"),IF(I83-I81&lt;0.208333333333333,I83-I81,""),IF(AND(I80&lt;&gt;"",LEFT(C80,2)&lt;&gt;"Va",I80&lt;&gt;"H. Sale Real"),IF(I83-I80&lt;0.208333333333333,I83-I80,""),IF(AND(I79&lt;&gt;"",LEFT(C79,2)&lt;&gt;"Va",I79&lt;&gt;"H. Sale Real"),IF(I83-I79&lt;0.208333333333333,I83-I79,""),IF(AND(I78&lt;&gt;"",LEFT(C78,2)&lt;&gt;"Va",I78&lt;&gt;"H. Sale Real"),IF(I83-I78&lt;0.208333333333333,I83-I78,""),""))))),""),"")</f>
        <v/>
      </c>
      <c r="T82" s="89">
        <f>IF(G82&lt;&gt;"H. Sale Real",IF(AND(G83&lt;&gt;"",LEFT(C83,2)&lt;&gt;"Va"),IF(AND(G82&lt;&gt;"",LEFT(C82,2)&lt;&gt;"Va",G82&lt;&gt;"H. Sale Real"),IF(G83-G82&lt;0.208333333333333,G83-G82,""),IF(AND(G81&lt;&gt;"",LEFT(C81,2)&lt;&gt;"Va",G81&lt;&gt;"H. Sale Real"),IF(G83-G81&lt;0.208333333333333,G83-G81,""),IF(AND(G80&lt;&gt;"",LEFT(C80,2)&lt;&gt;"Va",G80&lt;&gt;"H. Sale Real"),IF(G83-G80&lt;0.208333333333333,G83-G80,""),IF(AND(G79&lt;&gt;"",LEFT(C79,2)&lt;&gt;"Va",G79&lt;&gt;"H. Sale Real"),IF(G83-G79&lt;0.208333333333333,G83-G79,""),IF(AND(G78&lt;&gt;"",LEFT(C78,2)&lt;&gt;"Va",G78&lt;&gt;"H. Sale Real"),IF(G83-G78&lt;0.208333333333333,G83-G78,""),""))))),""),"")</f>
        <v/>
      </c>
      <c r="U82" s="87" t="n"/>
      <c r="V82" s="89" t="n"/>
      <c r="W82" s="87" t="n"/>
      <c r="X82" s="89" t="n"/>
      <c r="Y82" s="91" t="n"/>
      <c r="Z82" s="122">
        <f>IF(G82&lt;&gt;"",IF(AND(Z81&lt;&gt;"IE",P82&lt;&gt;0,R82&lt;&gt;""),IF(IFERROR((P82/R82),0) &lt;=1,IFERROR(P82/R82,""),1),""),"")</f>
        <v/>
      </c>
      <c r="AA82" s="93" t="n"/>
      <c r="AB82" s="2" t="n"/>
      <c r="AE82" s="10">
        <f>HOUR(AK82)+1</f>
        <v/>
      </c>
      <c r="AF82" s="7" t="n"/>
      <c r="AG82" s="7" t="n"/>
      <c r="AH82" s="86" t="n"/>
      <c r="AI82" s="8" t="n"/>
      <c r="AJ82" s="86" t="n"/>
      <c r="AK82" s="87" t="n"/>
      <c r="AL82" s="88">
        <f>IF(AM82="","",IF(AND((AM82-AK82)&gt;=TIME(0,0,0),(AM82-AK82)&lt;TIME(0,3,0)),"OK",IF(AND((AM82-AK82)&gt;=TIME(0,3,0),(AM82-AK82)&lt;TIME(0,5,0)),"RETRASO DE 3-5 MIN",IF(AND((AM82-AK82)&gt;=TIME(0,5,0),(AM82-AK82)&lt;TIME(0,10,0)),"RETRASO DE 5-10 MIN",IF((AM82-AK82)&gt;=TIME(0,10,0),"RETRASO &gt;10 MIN", IF(AND((AK82-AM82)&gt;=TIME(0,0,0),(AK82-AM82)&lt;TIME(0,3,0)),"OK",IF((AK82-AM82)&gt;=TIME(0,3,0),"ADELANTADO")))))))</f>
        <v/>
      </c>
      <c r="AM82" s="91" t="n"/>
      <c r="AN82" s="89">
        <f>IF(AE82&lt;&gt;"",HLOOKUP(VALUE(TEXT(AK82,"h:mm:ss")),IF($C$6="Laboral",$FZ$4:$GX$227,IF($C$6="Sábado",$FZ$231:$GX$452,$FZ$456:$GX$656)),VLOOKUP($C$4,$HF$2:$HH$99,3,0)+IF(AG$5="Ida",0,1),1),"")</f>
        <v/>
      </c>
      <c r="AO82" s="89">
        <f>IF(AE83&lt;&gt;AE82,AVERAGEIF(AE$9:AE82,AE82,AN$9:AN82),"")</f>
        <v/>
      </c>
      <c r="AP82" s="89">
        <f>IFERROR(IF(AE83&lt;&gt;AE82,AVERAGEIF(AE$9:AE82,AE82,AW$9:AW82),""),"")</f>
        <v/>
      </c>
      <c r="AQ82" s="89">
        <f>IFERROR(IF(AE83&lt;&gt;AE82,AVERAGEIF(AE$9:AE82,AE82,AX$9:AX82),""),"")</f>
        <v/>
      </c>
      <c r="AR82" s="89">
        <f t="array" ref="AR82">IFERROR(IF(AE83&lt;&gt;AE82,_xlfn.STDEV.P(IF(AE$9:AE82=AE82,AX$9:AX82)),""),"")</f>
        <v/>
      </c>
      <c r="AS82" s="89">
        <f t="array" ref="AS82">IFERROR(IF(AE83&lt;&gt;AE82,_xlfn.STDEV.P(IF(AE$9:AE82=AE82,AW$9:AW82)),""),"")</f>
        <v/>
      </c>
      <c r="AT82" s="90">
        <f>IFERROR(IF(AE82&lt;&gt;AE83,MAX((((AQ82*24*60)/2)*(1+POWER((((AR82*24*60) / (AQ82*24*60) )),2))) + ((AQ82*24*60 )*-0.1 + (AO82*0.015)) +1,(((AQ82*24*60)/2)*(1+POWER((((AR82*24*60) / (AQ82*24*60 ))),2)))),""),"")</f>
        <v/>
      </c>
      <c r="AU82" s="90">
        <f>IF(AND(AS82&lt;&gt;"",AP82&lt;&gt;""),IF(AE82&lt;&gt;AE83,((AP82*24*60) / 2 ) * (1 + POWER(((AS82*24*60) / (AP82*24*60)),2)),""),"")</f>
        <v/>
      </c>
      <c r="AV82" s="90">
        <f>IF(AU82&lt;&gt;"",MAX(AT82,AU82),"")</f>
        <v/>
      </c>
      <c r="AW82" s="89">
        <f>IF(AM82&lt;&gt;"H. Sale Real",IF(AND(AM83&lt;&gt;"",LEFT(AG83,2)&lt;&gt;"Va"),IF(AND(AM82&lt;&gt;"",LEFT(AG82,2)&lt;&gt;"Va",AM82&lt;&gt;"H. Sale Real"),IF(AM83-AM82&lt;0.208333333333333,AM83-AM82,""),IF(AND(AM81&lt;&gt;"",LEFT(AG81,2)&lt;&gt;"Va",AM81&lt;&gt;"H. Sale Real"),IF(AM83-AM81&lt;0.208333333333333,AM83-AM81,""),IF(AND(AM80&lt;&gt;"",LEFT(AG80,2)&lt;&gt;"Va",AM80&lt;&gt;"H. Sale Real"),IF(AM83-AM80&lt;0.208333333333333,AM83-AM80,""),IF(AND(AM79&lt;&gt;"",LEFT(AG79,2)&lt;&gt;"Va",AM79&lt;&gt;"H. Sale Real"),IF(AM83-AM79&lt;0.208333333333333,AM83-AM79,""),IF(AND(AM78&lt;&gt;"",LEFT(AG78,2)&lt;&gt;"Va",AM78&lt;&gt;"H. Sale Real"),IF(AM83-AM78&lt;0.208333333333333,AM83-AM78,""),""))))),""),"")</f>
        <v/>
      </c>
      <c r="AX82" s="89">
        <f>IF(AK82&lt;&gt;"H. Sale Real",IF(AND(AK83&lt;&gt;"",LEFT(AG83,2)&lt;&gt;"Va"),IF(AND(AK82&lt;&gt;"",LEFT(AG82,2)&lt;&gt;"Va",AK82&lt;&gt;"H. Sale Real"),IF(AK83-AK82&lt;0.208333333333333,AK83-AK82,""),IF(AND(AK81&lt;&gt;"",LEFT(AG81,2)&lt;&gt;"Va",AK81&lt;&gt;"H. Sale Real"),IF(AK83-AK81&lt;0.208333333333333,AK83-AK81,""),IF(AND(AK80&lt;&gt;"",LEFT(AG80,2)&lt;&gt;"NC",AK80&lt;&gt;"H. Sale Real"),IF(AK83-AK80&lt;0.208333333333333,AK83-AK80,""),IF(AND(AK79&lt;&gt;"",LEFT(AG79,2)&lt;&gt;"Va",AK79&lt;&gt;"H. Sale Real"),IF(AK83-AK79&lt;0.208333333333333,AK83-AK79,""),IF(AND(AK78&lt;&gt;"",LEFT(AG78,2)&lt;&gt;"Va",AK78&lt;&gt;"H. Sale Real"),IF(AK83-AK78&lt;0.208333333333333,AK83-AK78,""),""))))),""),"")</f>
        <v/>
      </c>
      <c r="AY82" s="87" t="n"/>
      <c r="AZ82" s="89" t="n"/>
      <c r="BA82" s="87" t="n"/>
      <c r="BB82" s="89" t="n"/>
      <c r="BC82" s="91" t="n"/>
      <c r="BD82" s="122">
        <f>IF(AK82&lt;&gt;"",IF(AND(BD81&lt;&gt;"IE",AT82&lt;&gt;0,AV82&lt;&gt;""),IF(IFERROR((AT82/AV82),0) &lt;=1,IFERROR(AT82/AV82,""),1),""),"")</f>
        <v/>
      </c>
      <c r="BE82" s="93" t="n"/>
      <c r="BF82" s="105" t="n"/>
      <c r="FC82" t="inlineStr">
        <is>
          <t>Diccionario 1</t>
        </is>
      </c>
      <c r="FD82" s="15" t="n">
        <v>1079</v>
      </c>
      <c r="FE82" s="15" t="inlineStr">
        <is>
          <t>D8482405K2PL</t>
        </is>
      </c>
      <c r="FF82" s="15" t="inlineStr">
        <is>
          <t>YV3T7U526KA195322</t>
        </is>
      </c>
      <c r="FG82" s="15" t="inlineStr">
        <is>
          <t>Volvo</t>
        </is>
      </c>
      <c r="FH82" s="15" t="inlineStr">
        <is>
          <t>B8R</t>
        </is>
      </c>
      <c r="FI82" s="15" t="inlineStr">
        <is>
          <t>MARCOPOLO</t>
        </is>
      </c>
      <c r="FJ82" s="15" t="inlineStr">
        <is>
          <t>TORINO</t>
        </is>
      </c>
      <c r="FK82" s="15" t="n">
        <v>2019</v>
      </c>
      <c r="FL82" s="15" t="inlineStr">
        <is>
          <t>B2PAL</t>
        </is>
      </c>
      <c r="FM82" s="15" t="inlineStr">
        <is>
          <t>SAN JOSE</t>
        </is>
      </c>
      <c r="FN82" s="15" t="inlineStr">
        <is>
          <t>San José 030 (José Besa 669)</t>
        </is>
      </c>
      <c r="FO82" s="15" t="inlineStr">
        <is>
          <t>San Bernardo</t>
        </is>
      </c>
      <c r="FP82" t="inlineStr">
        <is>
          <t>B</t>
        </is>
      </c>
      <c r="FS82" s="14" t="inlineStr">
        <is>
          <t>3021 / SFWZ-36|</t>
        </is>
      </c>
      <c r="FT82" t="inlineStr">
        <is>
          <t>SFWZ-36|</t>
        </is>
      </c>
      <c r="FU82" t="inlineStr">
        <is>
          <t>SFWZ-36</t>
        </is>
      </c>
      <c r="FV82">
        <f>VLOOKUP(FU82,FD:FL,9,0)</f>
        <v/>
      </c>
      <c r="FZ82" s="51" t="n">
        <v>124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19.705</v>
      </c>
      <c r="GG82" t="n">
        <v>15.61</v>
      </c>
      <c r="GH82" t="n">
        <v>14.915</v>
      </c>
      <c r="GI82" t="n">
        <v>17.06</v>
      </c>
      <c r="GJ82" t="n">
        <v>17.895</v>
      </c>
      <c r="GK82" t="n">
        <v>17.78</v>
      </c>
      <c r="GL82" t="n">
        <v>17.215</v>
      </c>
      <c r="GM82" t="n">
        <v>16.51</v>
      </c>
      <c r="GN82" t="n">
        <v>16.8</v>
      </c>
      <c r="GO82" t="n">
        <v>16.865</v>
      </c>
      <c r="GP82" t="n">
        <v>16.015</v>
      </c>
      <c r="GQ82" t="n">
        <v>14.86</v>
      </c>
      <c r="GR82" t="n">
        <v>14.375</v>
      </c>
      <c r="GS82" t="n">
        <v>15.365</v>
      </c>
      <c r="GT82" t="n">
        <v>17.585</v>
      </c>
      <c r="GU82" t="n">
        <v>19.34</v>
      </c>
      <c r="GV82" t="n">
        <v>21.39</v>
      </c>
      <c r="GW82" t="n">
        <v>24.225</v>
      </c>
      <c r="GX82" t="n">
        <v>26.88</v>
      </c>
      <c r="HA82" s="35" t="n">
        <v>79</v>
      </c>
      <c r="HB82" s="35" t="n">
        <v>76</v>
      </c>
    </row>
    <row r="83" ht="15.5" customHeight="1">
      <c r="A83" s="10">
        <f>HOUR(G83)+1</f>
        <v/>
      </c>
      <c r="B83" s="7" t="n"/>
      <c r="C83" s="7" t="n"/>
      <c r="D83" s="85">
        <f>IFERROR(
IF(AND(OR(Planilla!B83="C",Planilla!B83="c"), VLOOKUP(E83,FD:FP,13,0)="C"), "OK",IF(AND(OR(Planilla!B83="C",Planilla!B83="c"), OR(VLOOKUP(E83,FD:FP,13,0)="B", VLOOKUP(E83,FD:FP,13,0)="A")), "DEFICIT",IF(
AND(OR(Planilla!B83="B", Planilla!B83="BPAL"), VLOOKUP(E83,FD:FP,13,0)="B"), "OK",IF(AND(OR(Planilla!B83="B", Planilla!B83="BPAL"), VLOOKUP(E83,FD:FP,13,0)="A"), "DEFICIT",IF(AND(OR(Planilla!B83="B", Planilla!B83="BPAL"), VLOOKUP(E83,FD:FP,13,0)="C"), "SOBREOFERTA",IF(AND(Planilla!B83="A", VLOOKUP(E83,FD:FP,13,0)="A"), "OK",IF(
AND(Planilla!B83="A", OR(VLOOKUP(E83,FD:FP,13,0)="B", VLOOKUP(E83,FD:FP,13,0)="C")), "SOBREOFERTA",""
))))))),"")</f>
        <v/>
      </c>
      <c r="E83" s="8" t="n"/>
      <c r="F83" s="86" t="n"/>
      <c r="G83" s="87" t="n"/>
      <c r="H83" s="88">
        <f>IF(I83="","",IF(AND((I83-G83)&gt;=TIME(0,0,0),(I83-G83)&lt;TIME(0,3,0)),"OK",IF(AND((I83-G83)&gt;=TIME(0,3,0),(I83-G83)&lt;TIME(0,5,0)),"RETRASO DE 3-5 MIN",IF(AND((I83-G83)&gt;=TIME(0,5,0),(I83-G83)&lt;TIME(0,10,0)),"RETRASO DE 5-10 MIN",IF((I83-G83)&gt;=TIME(0,10,0),"RETRASO &gt;10 MIN", IF(AND((G83-I83)&gt;=TIME(0,0,0),(G83-I83)&lt;TIME(0,3,0)),"OK",IF((G83-I83)&gt;=TIME(0,3,0),"ADELANTADO")))))))</f>
        <v/>
      </c>
      <c r="I83" s="89" t="n"/>
      <c r="J83" s="89">
        <f>IF(A83&lt;&gt;"",HLOOKUP(VALUE(TEXT(G83,"h:mm:ss")),IF($C$6="Laboral",$FZ$4:$GX$227,IF($C$6="Sábado",$FZ$231:$GX$452,$FZ$456:$GX$656)),VLOOKUP($C$4,$HF$2:$HH$99,3,0)+IF(C$5="Ida",0,1),1),"")</f>
        <v/>
      </c>
      <c r="K83" s="89">
        <f>IF(A84&lt;&gt;A83,AVERAGEIF(A$9:A83,A83,J$9:J83),"")</f>
        <v/>
      </c>
      <c r="L83" s="89">
        <f>IFERROR(IF(A84&lt;&gt;A83,AVERAGEIF(A$9:A83,A83,S$9:S83),""),"")</f>
        <v/>
      </c>
      <c r="M83" s="89">
        <f>IFERROR(IF(A84&lt;&gt;A83,AVERAGEIF(A$9:A83,A83,T$9:T83),""),"")</f>
        <v/>
      </c>
      <c r="N83" s="89">
        <f t="array" ref="N83">IFERROR(IF(A84&lt;&gt;A83,_xlfn.STDEV.P(IF(A$9:A83=A83,T$9:T83)),""),"")</f>
        <v/>
      </c>
      <c r="O83" s="89">
        <f t="array" ref="O83">IFERROR(IF(A84&lt;&gt;A83,_xlfn.STDEV.P(IF(A$9:A83=A83,S$9:S83)),""),"")</f>
        <v/>
      </c>
      <c r="P83" s="90">
        <f>IFERROR(IF(A83&lt;&gt;A84,MAX((((M83*24*60)/2)*(1+POWER((((N83*24*60) / (M83*24*60) )),2))) + ((M83*24*60 )*-0.1 + (K83*0.015)) +1,(((M83*24*60)/2)*(1+POWER((((N83*24*60) / (M83*24*60 ))),2)))),""),"")</f>
        <v/>
      </c>
      <c r="Q83" s="90">
        <f>IF(AND(O83&lt;&gt;"",L83&lt;&gt;""),IF(A83&lt;&gt;A84,((L83*24*60) / 2 ) * (1 + POWER(((O83*24*60) / (L83*24*60)),2)),""),"")</f>
        <v/>
      </c>
      <c r="R83" s="90">
        <f>IF(Q83&lt;&gt;"",MAX(P83,Q83),"")</f>
        <v/>
      </c>
      <c r="S83" s="89">
        <f>IF(I83&lt;&gt;"H. Sale Real",IF(AND(I84&lt;&gt;"",LEFT(C84,2)&lt;&gt;"Va"),IF(AND(I83&lt;&gt;"",LEFT(C83,2)&lt;&gt;"Va",I83&lt;&gt;"H. Sale Real"),IF(I84-I83&lt;0.208333333333333,I84-I83,""),IF(AND(I82&lt;&gt;"",LEFT(C82,2)&lt;&gt;"Va",I82&lt;&gt;"H. Sale Real"),IF(I84-I82&lt;0.208333333333333,I84-I82,""),IF(AND(I81&lt;&gt;"",LEFT(C81,2)&lt;&gt;"Va",I81&lt;&gt;"H. Sale Real"),IF(I84-I81&lt;0.208333333333333,I84-I81,""),IF(AND(I80&lt;&gt;"",LEFT(C80,2)&lt;&gt;"Va",I80&lt;&gt;"H. Sale Real"),IF(I84-I80&lt;0.208333333333333,I84-I80,""),IF(AND(I79&lt;&gt;"",LEFT(C79,2)&lt;&gt;"Va",I79&lt;&gt;"H. Sale Real"),IF(I84-I79&lt;0.208333333333333,I84-I79,""),""))))),""),"")</f>
        <v/>
      </c>
      <c r="T83" s="89">
        <f>IF(G83&lt;&gt;"H. Sale Real",IF(AND(G84&lt;&gt;"",LEFT(C84,2)&lt;&gt;"Va"),IF(AND(G83&lt;&gt;"",LEFT(C83,2)&lt;&gt;"Va",G83&lt;&gt;"H. Sale Real"),IF(G84-G83&lt;0.208333333333333,G84-G83,""),IF(AND(G82&lt;&gt;"",LEFT(C82,2)&lt;&gt;"Va",G82&lt;&gt;"H. Sale Real"),IF(G84-G82&lt;0.208333333333333,G84-G82,""),IF(AND(G81&lt;&gt;"",LEFT(C81,2)&lt;&gt;"Va",G81&lt;&gt;"H. Sale Real"),IF(G84-G81&lt;0.208333333333333,G84-G81,""),IF(AND(G80&lt;&gt;"",LEFT(C80,2)&lt;&gt;"Va",G80&lt;&gt;"H. Sale Real"),IF(G84-G80&lt;0.208333333333333,G84-G80,""),IF(AND(G79&lt;&gt;"",LEFT(C79,2)&lt;&gt;"Va",G79&lt;&gt;"H. Sale Real"),IF(G84-G79&lt;0.208333333333333,G84-G79,""),""))))),""),"")</f>
        <v/>
      </c>
      <c r="U83" s="87" t="n"/>
      <c r="V83" s="89" t="n"/>
      <c r="W83" s="87" t="n"/>
      <c r="X83" s="89" t="n"/>
      <c r="Y83" s="91" t="n"/>
      <c r="Z83" s="122">
        <f>IF(G83&lt;&gt;"",IF(AND(Z82&lt;&gt;"IE",P83&lt;&gt;0,R83&lt;&gt;""),IF(IFERROR((P83/R83),0) &lt;=1,IFERROR(P83/R83,""),1),""),"")</f>
        <v/>
      </c>
      <c r="AA83" s="93" t="n"/>
      <c r="AB83" s="2" t="n"/>
      <c r="AE83" s="10">
        <f>HOUR(AK83)+1</f>
        <v/>
      </c>
      <c r="AF83" s="7" t="n"/>
      <c r="AG83" s="7" t="n"/>
      <c r="AH83" s="86" t="n"/>
      <c r="AI83" s="8" t="n"/>
      <c r="AJ83" s="86" t="n"/>
      <c r="AK83" s="87" t="n"/>
      <c r="AL83" s="88">
        <f>IF(AM83="","",IF(AND((AM83-AK83)&gt;=TIME(0,0,0),(AM83-AK83)&lt;TIME(0,3,0)),"OK",IF(AND((AM83-AK83)&gt;=TIME(0,3,0),(AM83-AK83)&lt;TIME(0,5,0)),"RETRASO DE 3-5 MIN",IF(AND((AM83-AK83)&gt;=TIME(0,5,0),(AM83-AK83)&lt;TIME(0,10,0)),"RETRASO DE 5-10 MIN",IF((AM83-AK83)&gt;=TIME(0,10,0),"RETRASO &gt;10 MIN", IF(AND((AK83-AM83)&gt;=TIME(0,0,0),(AK83-AM83)&lt;TIME(0,3,0)),"OK",IF((AK83-AM83)&gt;=TIME(0,3,0),"ADELANTADO")))))))</f>
        <v/>
      </c>
      <c r="AM83" s="91" t="n"/>
      <c r="AN83" s="89">
        <f>IF(AE83&lt;&gt;"",HLOOKUP(VALUE(TEXT(AK83,"h:mm:ss")),IF($C$6="Laboral",$FZ$4:$GX$227,IF($C$6="Sábado",$FZ$231:$GX$452,$FZ$456:$GX$656)),VLOOKUP($C$4,$HF$2:$HH$99,3,0)+IF(AG$5="Ida",0,1),1),"")</f>
        <v/>
      </c>
      <c r="AO83" s="89">
        <f>IF(AE84&lt;&gt;AE83,AVERAGEIF(AE$9:AE83,AE83,AN$9:AN83),"")</f>
        <v/>
      </c>
      <c r="AP83" s="89">
        <f>IFERROR(IF(AE84&lt;&gt;AE83,AVERAGEIF(AE$9:AE83,AE83,AW$9:AW83),""),"")</f>
        <v/>
      </c>
      <c r="AQ83" s="89">
        <f>IFERROR(IF(AE84&lt;&gt;AE83,AVERAGEIF(AE$9:AE83,AE83,AX$9:AX83),""),"")</f>
        <v/>
      </c>
      <c r="AR83" s="89">
        <f t="array" ref="AR83">IFERROR(IF(AE84&lt;&gt;AE83,_xlfn.STDEV.P(IF(AE$9:AE83=AE83,AX$9:AX83)),""),"")</f>
        <v/>
      </c>
      <c r="AS83" s="89">
        <f t="array" ref="AS83">IFERROR(IF(AE84&lt;&gt;AE83,_xlfn.STDEV.P(IF(AE$9:AE83=AE83,AW$9:AW83)),""),"")</f>
        <v/>
      </c>
      <c r="AT83" s="90">
        <f>IFERROR(IF(AE83&lt;&gt;AE84,MAX((((AQ83*24*60)/2)*(1+POWER((((AR83*24*60) / (AQ83*24*60) )),2))) + ((AQ83*24*60 )*-0.1 + (AO83*0.015)) +1,(((AQ83*24*60)/2)*(1+POWER((((AR83*24*60) / (AQ83*24*60 ))),2)))),""),"")</f>
        <v/>
      </c>
      <c r="AU83" s="90">
        <f>IF(AND(AS83&lt;&gt;"",AP83&lt;&gt;""),IF(AE83&lt;&gt;AE84,((AP83*24*60) / 2 ) * (1 + POWER(((AS83*24*60) / (AP83*24*60)),2)),""),"")</f>
        <v/>
      </c>
      <c r="AV83" s="90">
        <f>IF(AU83&lt;&gt;"",MAX(AT83,AU83),"")</f>
        <v/>
      </c>
      <c r="AW83" s="89">
        <f>IF(AM83&lt;&gt;"H. Sale Real",IF(AND(AM84&lt;&gt;"",LEFT(AG84,2)&lt;&gt;"Va"),IF(AND(AM83&lt;&gt;"",LEFT(AG83,2)&lt;&gt;"Va",AM83&lt;&gt;"H. Sale Real"),IF(AM84-AM83&lt;0.208333333333333,AM84-AM83,""),IF(AND(AM82&lt;&gt;"",LEFT(AG82,2)&lt;&gt;"Va",AM82&lt;&gt;"H. Sale Real"),IF(AM84-AM82&lt;0.208333333333333,AM84-AM82,""),IF(AND(AM81&lt;&gt;"",LEFT(AG81,2)&lt;&gt;"Va",AM81&lt;&gt;"H. Sale Real"),IF(AM84-AM81&lt;0.208333333333333,AM84-AM81,""),IF(AND(AM80&lt;&gt;"",LEFT(AG80,2)&lt;&gt;"Va",AM80&lt;&gt;"H. Sale Real"),IF(AM84-AM80&lt;0.208333333333333,AM84-AM80,""),IF(AND(AM79&lt;&gt;"",LEFT(AG79,2)&lt;&gt;"Va",AM79&lt;&gt;"H. Sale Real"),IF(AM84-AM79&lt;0.208333333333333,AM84-AM79,""),""))))),""),"")</f>
        <v/>
      </c>
      <c r="AX83" s="89">
        <f>IF(AK83&lt;&gt;"H. Sale Real",IF(AND(AK84&lt;&gt;"",LEFT(AG84,2)&lt;&gt;"Va"),IF(AND(AK83&lt;&gt;"",LEFT(AG83,2)&lt;&gt;"Va",AK83&lt;&gt;"H. Sale Real"),IF(AK84-AK83&lt;0.208333333333333,AK84-AK83,""),IF(AND(AK82&lt;&gt;"",LEFT(AG82,2)&lt;&gt;"Va",AK82&lt;&gt;"H. Sale Real"),IF(AK84-AK82&lt;0.208333333333333,AK84-AK82,""),IF(AND(AK81&lt;&gt;"",LEFT(AG81,2)&lt;&gt;"NC",AK81&lt;&gt;"H. Sale Real"),IF(AK84-AK81&lt;0.208333333333333,AK84-AK81,""),IF(AND(AK80&lt;&gt;"",LEFT(AG80,2)&lt;&gt;"Va",AK80&lt;&gt;"H. Sale Real"),IF(AK84-AK80&lt;0.208333333333333,AK84-AK80,""),IF(AND(AK79&lt;&gt;"",LEFT(AG79,2)&lt;&gt;"Va",AK79&lt;&gt;"H. Sale Real"),IF(AK84-AK79&lt;0.208333333333333,AK84-AK79,""),""))))),""),"")</f>
        <v/>
      </c>
      <c r="AY83" s="87" t="n"/>
      <c r="AZ83" s="89" t="n"/>
      <c r="BA83" s="87" t="n"/>
      <c r="BB83" s="89" t="n"/>
      <c r="BC83" s="91" t="n"/>
      <c r="BD83" s="122">
        <f>IF(AK83&lt;&gt;"",IF(AND(BD82&lt;&gt;"IE",AT83&lt;&gt;0,AV83&lt;&gt;""),IF(IFERROR((AT83/AV83),0) &lt;=1,IFERROR(AT83/AV83,""),1),""),"")</f>
        <v/>
      </c>
      <c r="BE83" s="93" t="n"/>
      <c r="BF83" s="105" t="n"/>
      <c r="FC83" t="inlineStr">
        <is>
          <t>Diccionario 1</t>
        </is>
      </c>
      <c r="FD83" s="15" t="n">
        <v>1080</v>
      </c>
      <c r="FE83" s="15" t="inlineStr">
        <is>
          <t>D8482402K2PL</t>
        </is>
      </c>
      <c r="FF83" s="15" t="inlineStr">
        <is>
          <t>YV3T7U528KA195323</t>
        </is>
      </c>
      <c r="FG83" s="15" t="inlineStr">
        <is>
          <t>Volvo</t>
        </is>
      </c>
      <c r="FH83" s="15" t="inlineStr">
        <is>
          <t>B8R</t>
        </is>
      </c>
      <c r="FI83" s="15" t="inlineStr">
        <is>
          <t>MARCOPOLO</t>
        </is>
      </c>
      <c r="FJ83" s="15" t="inlineStr">
        <is>
          <t>TORINO</t>
        </is>
      </c>
      <c r="FK83" s="15" t="n">
        <v>2019</v>
      </c>
      <c r="FL83" s="15" t="inlineStr">
        <is>
          <t>B2PAL</t>
        </is>
      </c>
      <c r="FM83" s="15" t="inlineStr">
        <is>
          <t>SAN JOSE</t>
        </is>
      </c>
      <c r="FN83" s="15" t="inlineStr">
        <is>
          <t>San José 030 (José Besa 669)</t>
        </is>
      </c>
      <c r="FO83" s="15" t="inlineStr">
        <is>
          <t>San Bernardo</t>
        </is>
      </c>
      <c r="FP83" t="inlineStr">
        <is>
          <t>B</t>
        </is>
      </c>
      <c r="FS83" s="14" t="inlineStr">
        <is>
          <t>3022 / SFWB-31|</t>
        </is>
      </c>
      <c r="FT83" t="inlineStr">
        <is>
          <t>SFWB-31|</t>
        </is>
      </c>
      <c r="FU83" t="inlineStr">
        <is>
          <t>SFWB-31</t>
        </is>
      </c>
      <c r="FV83">
        <f>VLOOKUP(FU83,FD:FL,9,0)</f>
        <v/>
      </c>
      <c r="FZ83" s="51" t="n">
        <v>712</v>
      </c>
      <c r="GA83" t="n">
        <v>31.58</v>
      </c>
      <c r="GB83" t="n">
        <v>32.985</v>
      </c>
      <c r="GC83" t="n">
        <v>34.34</v>
      </c>
      <c r="GD83" t="n">
        <v>33.655</v>
      </c>
      <c r="GE83" t="n">
        <v>29.23</v>
      </c>
      <c r="GF83" t="n">
        <v>21.35</v>
      </c>
      <c r="GG83" t="n">
        <v>15.135</v>
      </c>
      <c r="GH83" t="n">
        <v>15.875</v>
      </c>
      <c r="GI83" t="n">
        <v>18.445</v>
      </c>
      <c r="GJ83" t="n">
        <v>19.795</v>
      </c>
      <c r="GK83" t="n">
        <v>19.9</v>
      </c>
      <c r="GL83" t="n">
        <v>19.05</v>
      </c>
      <c r="GM83" t="n">
        <v>18.8</v>
      </c>
      <c r="GN83" t="n">
        <v>18.77</v>
      </c>
      <c r="GO83" t="n">
        <v>18.59</v>
      </c>
      <c r="GP83" t="n">
        <v>17.745</v>
      </c>
      <c r="GQ83" t="n">
        <v>16.375</v>
      </c>
      <c r="GR83" t="n">
        <v>16.89</v>
      </c>
      <c r="GS83" t="n">
        <v>19.425</v>
      </c>
      <c r="GT83" t="n">
        <v>22.18</v>
      </c>
      <c r="GU83" t="n">
        <v>24.535</v>
      </c>
      <c r="GV83" t="n">
        <v>26.595</v>
      </c>
      <c r="GW83" t="n">
        <v>28.33</v>
      </c>
      <c r="GX83" t="n">
        <v>29.6</v>
      </c>
      <c r="HA83" s="35" t="n">
        <v>80</v>
      </c>
      <c r="HB83" s="35" t="n">
        <v>77</v>
      </c>
    </row>
    <row r="84" ht="15.5" customHeight="1">
      <c r="A84" s="10">
        <f>HOUR(G84)+1</f>
        <v/>
      </c>
      <c r="B84" s="7" t="n"/>
      <c r="C84" s="7" t="n"/>
      <c r="D84" s="85">
        <f>IFERROR(
IF(AND(OR(Planilla!B84="C",Planilla!B84="c"), VLOOKUP(E84,FD:FP,13,0)="C"), "OK",IF(AND(OR(Planilla!B84="C",Planilla!B84="c"), OR(VLOOKUP(E84,FD:FP,13,0)="B", VLOOKUP(E84,FD:FP,13,0)="A")), "DEFICIT",IF(
AND(OR(Planilla!B84="B", Planilla!B84="BPAL"), VLOOKUP(E84,FD:FP,13,0)="B"), "OK",IF(AND(OR(Planilla!B84="B", Planilla!B84="BPAL"), VLOOKUP(E84,FD:FP,13,0)="A"), "DEFICIT",IF(AND(OR(Planilla!B84="B", Planilla!B84="BPAL"), VLOOKUP(E84,FD:FP,13,0)="C"), "SOBREOFERTA",IF(AND(Planilla!B84="A", VLOOKUP(E84,FD:FP,13,0)="A"), "OK",IF(
AND(Planilla!B84="A", OR(VLOOKUP(E84,FD:FP,13,0)="B", VLOOKUP(E84,FD:FP,13,0)="C")), "SOBREOFERTA",""
))))))),"")</f>
        <v/>
      </c>
      <c r="E84" s="8" t="n"/>
      <c r="F84" s="86" t="n"/>
      <c r="G84" s="87" t="n"/>
      <c r="H84" s="88">
        <f>IF(I84="","",IF(AND((I84-G84)&gt;=TIME(0,0,0),(I84-G84)&lt;TIME(0,3,0)),"OK",IF(AND((I84-G84)&gt;=TIME(0,3,0),(I84-G84)&lt;TIME(0,5,0)),"RETRASO DE 3-5 MIN",IF(AND((I84-G84)&gt;=TIME(0,5,0),(I84-G84)&lt;TIME(0,10,0)),"RETRASO DE 5-10 MIN",IF((I84-G84)&gt;=TIME(0,10,0),"RETRASO &gt;10 MIN", IF(AND((G84-I84)&gt;=TIME(0,0,0),(G84-I84)&lt;TIME(0,3,0)),"OK",IF((G84-I84)&gt;=TIME(0,3,0),"ADELANTADO")))))))</f>
        <v/>
      </c>
      <c r="I84" s="89" t="n"/>
      <c r="J84" s="89">
        <f>IF(A84&lt;&gt;"",HLOOKUP(VALUE(TEXT(G84,"h:mm:ss")),IF($C$6="Laboral",$FZ$4:$GX$227,IF($C$6="Sábado",$FZ$231:$GX$452,$FZ$456:$GX$656)),VLOOKUP($C$4,$HF$2:$HH$99,3,0)+IF(C$5="Ida",0,1),1),"")</f>
        <v/>
      </c>
      <c r="K84" s="89">
        <f>IF(A85&lt;&gt;A84,AVERAGEIF(A$9:A84,A84,J$9:J84),"")</f>
        <v/>
      </c>
      <c r="L84" s="89">
        <f>IFERROR(IF(A85&lt;&gt;A84,AVERAGEIF(A$9:A84,A84,S$9:S84),""),"")</f>
        <v/>
      </c>
      <c r="M84" s="89">
        <f>IFERROR(IF(A85&lt;&gt;A84,AVERAGEIF(A$9:A84,A84,T$9:T84),""),"")</f>
        <v/>
      </c>
      <c r="N84" s="89">
        <f t="array" ref="N84">IFERROR(IF(A85&lt;&gt;A84,_xlfn.STDEV.P(IF(A$9:A84=A84,T$9:T84)),""),"")</f>
        <v/>
      </c>
      <c r="O84" s="89">
        <f t="array" ref="O84">IFERROR(IF(A85&lt;&gt;A84,_xlfn.STDEV.P(IF(A$9:A84=A84,S$9:S84)),""),"")</f>
        <v/>
      </c>
      <c r="P84" s="90">
        <f>IFERROR(IF(A84&lt;&gt;A85,MAX((((M84*24*60)/2)*(1+POWER((((N84*24*60) / (M84*24*60) )),2))) + ((M84*24*60 )*-0.1 + (K84*0.015)) +1,(((M84*24*60)/2)*(1+POWER((((N84*24*60) / (M84*24*60 ))),2)))),""),"")</f>
        <v/>
      </c>
      <c r="Q84" s="90">
        <f>IF(AND(O84&lt;&gt;"",L84&lt;&gt;""),IF(A84&lt;&gt;A85,((L84*24*60) / 2 ) * (1 + POWER(((O84*24*60) / (L84*24*60)),2)),""),"")</f>
        <v/>
      </c>
      <c r="R84" s="90">
        <f>IF(Q84&lt;&gt;"",MAX(P84,Q84),"")</f>
        <v/>
      </c>
      <c r="S84" s="89">
        <f>IF(I84&lt;&gt;"H. Sale Real",IF(AND(I85&lt;&gt;"",LEFT(C85,2)&lt;&gt;"Va"),IF(AND(I84&lt;&gt;"",LEFT(C84,2)&lt;&gt;"Va",I84&lt;&gt;"H. Sale Real"),IF(I85-I84&lt;0.208333333333333,I85-I84,""),IF(AND(I83&lt;&gt;"",LEFT(C83,2)&lt;&gt;"Va",I83&lt;&gt;"H. Sale Real"),IF(I85-I83&lt;0.208333333333333,I85-I83,""),IF(AND(I82&lt;&gt;"",LEFT(C82,2)&lt;&gt;"Va",I82&lt;&gt;"H. Sale Real"),IF(I85-I82&lt;0.208333333333333,I85-I82,""),IF(AND(I81&lt;&gt;"",LEFT(C81,2)&lt;&gt;"Va",I81&lt;&gt;"H. Sale Real"),IF(I85-I81&lt;0.208333333333333,I85-I81,""),IF(AND(I80&lt;&gt;"",LEFT(C80,2)&lt;&gt;"Va",I80&lt;&gt;"H. Sale Real"),IF(I85-I80&lt;0.208333333333333,I85-I80,""),""))))),""),"")</f>
        <v/>
      </c>
      <c r="T84" s="89">
        <f>IF(G84&lt;&gt;"H. Sale Real",IF(AND(G85&lt;&gt;"",LEFT(C85,2)&lt;&gt;"Va"),IF(AND(G84&lt;&gt;"",LEFT(C84,2)&lt;&gt;"Va",G84&lt;&gt;"H. Sale Real"),IF(G85-G84&lt;0.208333333333333,G85-G84,""),IF(AND(G83&lt;&gt;"",LEFT(C83,2)&lt;&gt;"Va",G83&lt;&gt;"H. Sale Real"),IF(G85-G83&lt;0.208333333333333,G85-G83,""),IF(AND(G82&lt;&gt;"",LEFT(C82,2)&lt;&gt;"Va",G82&lt;&gt;"H. Sale Real"),IF(G85-G82&lt;0.208333333333333,G85-G82,""),IF(AND(G81&lt;&gt;"",LEFT(C81,2)&lt;&gt;"Va",G81&lt;&gt;"H. Sale Real"),IF(G85-G81&lt;0.208333333333333,G85-G81,""),IF(AND(G80&lt;&gt;"",LEFT(C80,2)&lt;&gt;"Va",G80&lt;&gt;"H. Sale Real"),IF(G85-G80&lt;0.208333333333333,G85-G80,""),""))))),""),"")</f>
        <v/>
      </c>
      <c r="U84" s="87" t="n"/>
      <c r="V84" s="89" t="n"/>
      <c r="W84" s="87" t="n"/>
      <c r="X84" s="89" t="n"/>
      <c r="Y84" s="91" t="n"/>
      <c r="Z84" s="122">
        <f>IF(G84&lt;&gt;"",IF(AND(Z83&lt;&gt;"IE",P84&lt;&gt;0,R84&lt;&gt;""),IF(IFERROR((P84/R84),0) &lt;=1,IFERROR(P84/R84,""),1),""),"")</f>
        <v/>
      </c>
      <c r="AA84" s="93" t="n"/>
      <c r="AB84" s="2" t="n"/>
      <c r="AE84" s="10">
        <f>HOUR(AK84)+1</f>
        <v/>
      </c>
      <c r="AF84" s="7" t="n"/>
      <c r="AG84" s="7" t="n"/>
      <c r="AH84" s="86" t="n"/>
      <c r="AI84" s="8" t="n"/>
      <c r="AJ84" s="86" t="n"/>
      <c r="AK84" s="87" t="n"/>
      <c r="AL84" s="88">
        <f>IF(AM84="","",IF(AND((AM84-AK84)&gt;=TIME(0,0,0),(AM84-AK84)&lt;TIME(0,3,0)),"OK",IF(AND((AM84-AK84)&gt;=TIME(0,3,0),(AM84-AK84)&lt;TIME(0,5,0)),"RETRASO DE 3-5 MIN",IF(AND((AM84-AK84)&gt;=TIME(0,5,0),(AM84-AK84)&lt;TIME(0,10,0)),"RETRASO DE 5-10 MIN",IF((AM84-AK84)&gt;=TIME(0,10,0),"RETRASO &gt;10 MIN", IF(AND((AK84-AM84)&gt;=TIME(0,0,0),(AK84-AM84)&lt;TIME(0,3,0)),"OK",IF((AK84-AM84)&gt;=TIME(0,3,0),"ADELANTADO")))))))</f>
        <v/>
      </c>
      <c r="AM84" s="91" t="n"/>
      <c r="AN84" s="89">
        <f>IF(AE84&lt;&gt;"",HLOOKUP(VALUE(TEXT(AK84,"h:mm:ss")),IF($C$6="Laboral",$FZ$4:$GX$227,IF($C$6="Sábado",$FZ$231:$GX$452,$FZ$456:$GX$656)),VLOOKUP($C$4,$HF$2:$HH$99,3,0)+IF(AG$5="Ida",0,1),1),"")</f>
        <v/>
      </c>
      <c r="AO84" s="89">
        <f>IF(AE85&lt;&gt;AE84,AVERAGEIF(AE$9:AE84,AE84,AN$9:AN84),"")</f>
        <v/>
      </c>
      <c r="AP84" s="89">
        <f>IFERROR(IF(AE85&lt;&gt;AE84,AVERAGEIF(AE$9:AE84,AE84,AW$9:AW84),""),"")</f>
        <v/>
      </c>
      <c r="AQ84" s="89">
        <f>IFERROR(IF(AE85&lt;&gt;AE84,AVERAGEIF(AE$9:AE84,AE84,AX$9:AX84),""),"")</f>
        <v/>
      </c>
      <c r="AR84" s="89">
        <f t="array" ref="AR84">IFERROR(IF(AE85&lt;&gt;AE84,_xlfn.STDEV.P(IF(AE$9:AE84=AE84,AX$9:AX84)),""),"")</f>
        <v/>
      </c>
      <c r="AS84" s="89">
        <f t="array" ref="AS84">IFERROR(IF(AE85&lt;&gt;AE84,_xlfn.STDEV.P(IF(AE$9:AE84=AE84,AW$9:AW84)),""),"")</f>
        <v/>
      </c>
      <c r="AT84" s="90">
        <f>IFERROR(IF(AE84&lt;&gt;AE85,MAX((((AQ84*24*60)/2)*(1+POWER((((AR84*24*60) / (AQ84*24*60) )),2))) + ((AQ84*24*60 )*-0.1 + (AO84*0.015)) +1,(((AQ84*24*60)/2)*(1+POWER((((AR84*24*60) / (AQ84*24*60 ))),2)))),""),"")</f>
        <v/>
      </c>
      <c r="AU84" s="90">
        <f>IF(AND(AS84&lt;&gt;"",AP84&lt;&gt;""),IF(AE84&lt;&gt;AE85,((AP84*24*60) / 2 ) * (1 + POWER(((AS84*24*60) / (AP84*24*60)),2)),""),"")</f>
        <v/>
      </c>
      <c r="AV84" s="90">
        <f>IF(AU84&lt;&gt;"",MAX(AT84,AU84),"")</f>
        <v/>
      </c>
      <c r="AW84" s="89">
        <f>IF(AM84&lt;&gt;"H. Sale Real",IF(AND(AM85&lt;&gt;"",LEFT(AG85,2)&lt;&gt;"Va"),IF(AND(AM84&lt;&gt;"",LEFT(AG84,2)&lt;&gt;"Va",AM84&lt;&gt;"H. Sale Real"),IF(AM85-AM84&lt;0.208333333333333,AM85-AM84,""),IF(AND(AM83&lt;&gt;"",LEFT(AG83,2)&lt;&gt;"Va",AM83&lt;&gt;"H. Sale Real"),IF(AM85-AM83&lt;0.208333333333333,AM85-AM83,""),IF(AND(AM82&lt;&gt;"",LEFT(AG82,2)&lt;&gt;"Va",AM82&lt;&gt;"H. Sale Real"),IF(AM85-AM82&lt;0.208333333333333,AM85-AM82,""),IF(AND(AM81&lt;&gt;"",LEFT(AG81,2)&lt;&gt;"Va",AM81&lt;&gt;"H. Sale Real"),IF(AM85-AM81&lt;0.208333333333333,AM85-AM81,""),IF(AND(AM80&lt;&gt;"",LEFT(AG80,2)&lt;&gt;"Va",AM80&lt;&gt;"H. Sale Real"),IF(AM85-AM80&lt;0.208333333333333,AM85-AM80,""),""))))),""),"")</f>
        <v/>
      </c>
      <c r="AX84" s="89">
        <f>IF(AK84&lt;&gt;"H. Sale Real",IF(AND(AK85&lt;&gt;"",LEFT(AG85,2)&lt;&gt;"Va"),IF(AND(AK84&lt;&gt;"",LEFT(AG84,2)&lt;&gt;"Va",AK84&lt;&gt;"H. Sale Real"),IF(AK85-AK84&lt;0.208333333333333,AK85-AK84,""),IF(AND(AK83&lt;&gt;"",LEFT(AG83,2)&lt;&gt;"Va",AK83&lt;&gt;"H. Sale Real"),IF(AK85-AK83&lt;0.208333333333333,AK85-AK83,""),IF(AND(AK82&lt;&gt;"",LEFT(AG82,2)&lt;&gt;"NC",AK82&lt;&gt;"H. Sale Real"),IF(AK85-AK82&lt;0.208333333333333,AK85-AK82,""),IF(AND(AK81&lt;&gt;"",LEFT(AG81,2)&lt;&gt;"Va",AK81&lt;&gt;"H. Sale Real"),IF(AK85-AK81&lt;0.208333333333333,AK85-AK81,""),IF(AND(AK80&lt;&gt;"",LEFT(AG80,2)&lt;&gt;"Va",AK80&lt;&gt;"H. Sale Real"),IF(AK85-AK80&lt;0.208333333333333,AK85-AK80,""),""))))),""),"")</f>
        <v/>
      </c>
      <c r="AY84" s="87" t="n"/>
      <c r="AZ84" s="89" t="n"/>
      <c r="BA84" s="87" t="n"/>
      <c r="BB84" s="89" t="n"/>
      <c r="BC84" s="91" t="n"/>
      <c r="BD84" s="122">
        <f>IF(AK84&lt;&gt;"",IF(AND(BD83&lt;&gt;"IE",AT84&lt;&gt;0,AV84&lt;&gt;""),IF(IFERROR((AT84/AV84),0) &lt;=1,IFERROR(AT84/AV84,""),1),""),"")</f>
        <v/>
      </c>
      <c r="BE84" s="93" t="n"/>
      <c r="BF84" s="105" t="n"/>
      <c r="FC84" t="inlineStr">
        <is>
          <t>Diccionario 1</t>
        </is>
      </c>
      <c r="FD84" s="15" t="n">
        <v>1081</v>
      </c>
      <c r="FE84" s="15" t="inlineStr">
        <is>
          <t>D8482422K2PL</t>
        </is>
      </c>
      <c r="FF84" s="15" t="inlineStr">
        <is>
          <t>YV3T7U521KA195325</t>
        </is>
      </c>
      <c r="FG84" s="15" t="inlineStr">
        <is>
          <t>Volvo</t>
        </is>
      </c>
      <c r="FH84" s="15" t="inlineStr">
        <is>
          <t>B8R</t>
        </is>
      </c>
      <c r="FI84" s="15" t="inlineStr">
        <is>
          <t>MARCOPOLO</t>
        </is>
      </c>
      <c r="FJ84" s="15" t="inlineStr">
        <is>
          <t>TORINO</t>
        </is>
      </c>
      <c r="FK84" s="15" t="n">
        <v>2019</v>
      </c>
      <c r="FL84" s="15" t="inlineStr">
        <is>
          <t>B2PAL</t>
        </is>
      </c>
      <c r="FM84" s="15" t="inlineStr">
        <is>
          <t>SAN JOSE</t>
        </is>
      </c>
      <c r="FN84" s="15" t="inlineStr">
        <is>
          <t>San José 030 (José Besa 669)</t>
        </is>
      </c>
      <c r="FO84" s="15" t="inlineStr">
        <is>
          <t>San Bernardo</t>
        </is>
      </c>
      <c r="FP84" t="inlineStr">
        <is>
          <t>B</t>
        </is>
      </c>
      <c r="FS84" s="14" t="inlineStr">
        <is>
          <t>3022 / SFWB-31|</t>
        </is>
      </c>
      <c r="FT84" t="inlineStr">
        <is>
          <t>SFWB-31|</t>
        </is>
      </c>
      <c r="FU84" t="inlineStr">
        <is>
          <t>SFWB-31</t>
        </is>
      </c>
      <c r="FV84">
        <f>VLOOKUP(FU84,FD:FL,9,0)</f>
        <v/>
      </c>
      <c r="FZ84" s="51" t="n">
        <v>712</v>
      </c>
      <c r="GA84" t="n">
        <v>30.995</v>
      </c>
      <c r="GB84" t="n">
        <v>31.685</v>
      </c>
      <c r="GC84" t="n">
        <v>32.32</v>
      </c>
      <c r="GD84" t="n">
        <v>33.055</v>
      </c>
      <c r="GE84" t="n">
        <v>31.71</v>
      </c>
      <c r="GF84" t="n">
        <v>26.57</v>
      </c>
      <c r="GG84" t="n">
        <v>20.41</v>
      </c>
      <c r="GH84" t="n">
        <v>18.93</v>
      </c>
      <c r="GI84" t="n">
        <v>20.305</v>
      </c>
      <c r="GJ84" t="n">
        <v>20.915</v>
      </c>
      <c r="GK84" t="n">
        <v>20.535</v>
      </c>
      <c r="GL84" t="n">
        <v>19.555</v>
      </c>
      <c r="GM84" t="n">
        <v>19.11</v>
      </c>
      <c r="GN84" t="n">
        <v>18.855</v>
      </c>
      <c r="GO84" t="n">
        <v>17.73</v>
      </c>
      <c r="GP84" t="n">
        <v>16.37</v>
      </c>
      <c r="GQ84" t="n">
        <v>15.305</v>
      </c>
      <c r="GR84" t="n">
        <v>14.91</v>
      </c>
      <c r="GS84" t="n">
        <v>16.445</v>
      </c>
      <c r="GT84" t="n">
        <v>18.89</v>
      </c>
      <c r="GU84" t="n">
        <v>21.755</v>
      </c>
      <c r="GV84" t="n">
        <v>24.1</v>
      </c>
      <c r="GW84" t="n">
        <v>26.515</v>
      </c>
      <c r="GX84" t="n">
        <v>28.23</v>
      </c>
      <c r="HA84" s="35" t="n">
        <v>81</v>
      </c>
      <c r="HB84" s="35" t="n">
        <v>78</v>
      </c>
    </row>
    <row r="85" ht="15.5" customHeight="1">
      <c r="A85" s="10">
        <f>HOUR(G85)+1</f>
        <v/>
      </c>
      <c r="B85" s="7" t="n"/>
      <c r="C85" s="7" t="n"/>
      <c r="D85" s="85">
        <f>IFERROR(
IF(AND(OR(Planilla!B85="C",Planilla!B85="c"), VLOOKUP(E85,FD:FP,13,0)="C"), "OK",IF(AND(OR(Planilla!B85="C",Planilla!B85="c"), OR(VLOOKUP(E85,FD:FP,13,0)="B", VLOOKUP(E85,FD:FP,13,0)="A")), "DEFICIT",IF(
AND(OR(Planilla!B85="B", Planilla!B85="BPAL"), VLOOKUP(E85,FD:FP,13,0)="B"), "OK",IF(AND(OR(Planilla!B85="B", Planilla!B85="BPAL"), VLOOKUP(E85,FD:FP,13,0)="A"), "DEFICIT",IF(AND(OR(Planilla!B85="B", Planilla!B85="BPAL"), VLOOKUP(E85,FD:FP,13,0)="C"), "SOBREOFERTA",IF(AND(Planilla!B85="A", VLOOKUP(E85,FD:FP,13,0)="A"), "OK",IF(
AND(Planilla!B85="A", OR(VLOOKUP(E85,FD:FP,13,0)="B", VLOOKUP(E85,FD:FP,13,0)="C")), "SOBREOFERTA",""
))))))),"")</f>
        <v/>
      </c>
      <c r="E85" s="8" t="n"/>
      <c r="F85" s="86" t="n"/>
      <c r="G85" s="87" t="n"/>
      <c r="H85" s="88">
        <f>IF(I85="","",IF(AND((I85-G85)&gt;=TIME(0,0,0),(I85-G85)&lt;TIME(0,3,0)),"OK",IF(AND((I85-G85)&gt;=TIME(0,3,0),(I85-G85)&lt;TIME(0,5,0)),"RETRASO DE 3-5 MIN",IF(AND((I85-G85)&gt;=TIME(0,5,0),(I85-G85)&lt;TIME(0,10,0)),"RETRASO DE 5-10 MIN",IF((I85-G85)&gt;=TIME(0,10,0),"RETRASO &gt;10 MIN", IF(AND((G85-I85)&gt;=TIME(0,0,0),(G85-I85)&lt;TIME(0,3,0)),"OK",IF((G85-I85)&gt;=TIME(0,3,0),"ADELANTADO")))))))</f>
        <v/>
      </c>
      <c r="I85" s="89" t="n"/>
      <c r="J85" s="89">
        <f>IF(A85&lt;&gt;"",HLOOKUP(VALUE(TEXT(G85,"h:mm:ss")),IF($C$6="Laboral",$FZ$4:$GX$227,IF($C$6="Sábado",$FZ$231:$GX$452,$FZ$456:$GX$656)),VLOOKUP($C$4,$HF$2:$HH$99,3,0)+IF(C$5="Ida",0,1),1),"")</f>
        <v/>
      </c>
      <c r="K85" s="89">
        <f>IF(A86&lt;&gt;A85,AVERAGEIF(A$9:A85,A85,J$9:J85),"")</f>
        <v/>
      </c>
      <c r="L85" s="89">
        <f>IFERROR(IF(A86&lt;&gt;A85,AVERAGEIF(A$9:A85,A85,S$9:S85),""),"")</f>
        <v/>
      </c>
      <c r="M85" s="89">
        <f>IFERROR(IF(A86&lt;&gt;A85,AVERAGEIF(A$9:A85,A85,T$9:T85),""),"")</f>
        <v/>
      </c>
      <c r="N85" s="89">
        <f t="array" ref="N85">IFERROR(IF(A86&lt;&gt;A85,_xlfn.STDEV.P(IF(A$9:A85=A85,T$9:T85)),""),"")</f>
        <v/>
      </c>
      <c r="O85" s="89">
        <f t="array" ref="O85">IFERROR(IF(A86&lt;&gt;A85,_xlfn.STDEV.P(IF(A$9:A85=A85,S$9:S85)),""),"")</f>
        <v/>
      </c>
      <c r="P85" s="90">
        <f>IFERROR(IF(A85&lt;&gt;A86,MAX((((M85*24*60)/2)*(1+POWER((((N85*24*60) / (M85*24*60) )),2))) + ((M85*24*60 )*-0.1 + (K85*0.015)) +1,(((M85*24*60)/2)*(1+POWER((((N85*24*60) / (M85*24*60 ))),2)))),""),"")</f>
        <v/>
      </c>
      <c r="Q85" s="90">
        <f>IF(AND(O85&lt;&gt;"",L85&lt;&gt;""),IF(A85&lt;&gt;A86,((L85*24*60) / 2 ) * (1 + POWER(((O85*24*60) / (L85*24*60)),2)),""),"")</f>
        <v/>
      </c>
      <c r="R85" s="90">
        <f>IF(Q85&lt;&gt;"",MAX(P85,Q85),"")</f>
        <v/>
      </c>
      <c r="S85" s="89">
        <f>IF(I85&lt;&gt;"H. Sale Real",IF(AND(I86&lt;&gt;"",LEFT(C86,2)&lt;&gt;"Va"),IF(AND(I85&lt;&gt;"",LEFT(C85,2)&lt;&gt;"Va",I85&lt;&gt;"H. Sale Real"),IF(I86-I85&lt;0.208333333333333,I86-I85,""),IF(AND(I84&lt;&gt;"",LEFT(C84,2)&lt;&gt;"Va",I84&lt;&gt;"H. Sale Real"),IF(I86-I84&lt;0.208333333333333,I86-I84,""),IF(AND(I83&lt;&gt;"",LEFT(C83,2)&lt;&gt;"Va",I83&lt;&gt;"H. Sale Real"),IF(I86-I83&lt;0.208333333333333,I86-I83,""),IF(AND(I82&lt;&gt;"",LEFT(C82,2)&lt;&gt;"Va",I82&lt;&gt;"H. Sale Real"),IF(I86-I82&lt;0.208333333333333,I86-I82,""),IF(AND(I81&lt;&gt;"",LEFT(C81,2)&lt;&gt;"Va",I81&lt;&gt;"H. Sale Real"),IF(I86-I81&lt;0.208333333333333,I86-I81,""),""))))),""),"")</f>
        <v/>
      </c>
      <c r="T85" s="89">
        <f>IF(G85&lt;&gt;"H. Sale Real",IF(AND(G86&lt;&gt;"",LEFT(C86,2)&lt;&gt;"Va"),IF(AND(G85&lt;&gt;"",LEFT(C85,2)&lt;&gt;"Va",G85&lt;&gt;"H. Sale Real"),IF(G86-G85&lt;0.208333333333333,G86-G85,""),IF(AND(G84&lt;&gt;"",LEFT(C84,2)&lt;&gt;"Va",G84&lt;&gt;"H. Sale Real"),IF(G86-G84&lt;0.208333333333333,G86-G84,""),IF(AND(G83&lt;&gt;"",LEFT(C83,2)&lt;&gt;"Va",G83&lt;&gt;"H. Sale Real"),IF(G86-G83&lt;0.208333333333333,G86-G83,""),IF(AND(G82&lt;&gt;"",LEFT(C82,2)&lt;&gt;"Va",G82&lt;&gt;"H. Sale Real"),IF(G86-G82&lt;0.208333333333333,G86-G82,""),IF(AND(G81&lt;&gt;"",LEFT(C81,2)&lt;&gt;"Va",G81&lt;&gt;"H. Sale Real"),IF(G86-G81&lt;0.208333333333333,G86-G81,""),""))))),""),"")</f>
        <v/>
      </c>
      <c r="U85" s="87" t="n"/>
      <c r="V85" s="89" t="n"/>
      <c r="W85" s="87" t="n"/>
      <c r="X85" s="89" t="n"/>
      <c r="Y85" s="91" t="n"/>
      <c r="Z85" s="122">
        <f>IF(G85&lt;&gt;"",IF(AND(Z84&lt;&gt;"IE",P85&lt;&gt;0,R85&lt;&gt;""),IF(IFERROR((P85/R85),0) &lt;=1,IFERROR(P85/R85,""),1),""),"")</f>
        <v/>
      </c>
      <c r="AA85" s="93" t="n"/>
      <c r="AB85" s="2" t="n"/>
      <c r="AE85" s="10">
        <f>HOUR(AK85)+1</f>
        <v/>
      </c>
      <c r="AF85" s="7" t="n"/>
      <c r="AG85" s="7" t="n"/>
      <c r="AH85" s="86" t="n"/>
      <c r="AI85" s="8" t="n"/>
      <c r="AJ85" s="86" t="n"/>
      <c r="AK85" s="87" t="n"/>
      <c r="AL85" s="88">
        <f>IF(AM85="","",IF(AND((AM85-AK85)&gt;=TIME(0,0,0),(AM85-AK85)&lt;TIME(0,3,0)),"OK",IF(AND((AM85-AK85)&gt;=TIME(0,3,0),(AM85-AK85)&lt;TIME(0,5,0)),"RETRASO DE 3-5 MIN",IF(AND((AM85-AK85)&gt;=TIME(0,5,0),(AM85-AK85)&lt;TIME(0,10,0)),"RETRASO DE 5-10 MIN",IF((AM85-AK85)&gt;=TIME(0,10,0),"RETRASO &gt;10 MIN", IF(AND((AK85-AM85)&gt;=TIME(0,0,0),(AK85-AM85)&lt;TIME(0,3,0)),"OK",IF((AK85-AM85)&gt;=TIME(0,3,0),"ADELANTADO")))))))</f>
        <v/>
      </c>
      <c r="AM85" s="91" t="n"/>
      <c r="AN85" s="89">
        <f>IF(AE85&lt;&gt;"",HLOOKUP(VALUE(TEXT(AK85,"h:mm:ss")),IF($C$6="Laboral",$FZ$4:$GX$227,IF($C$6="Sábado",$FZ$231:$GX$452,$FZ$456:$GX$656)),VLOOKUP($C$4,$HF$2:$HH$99,3,0)+IF(AG$5="Ida",0,1),1),"")</f>
        <v/>
      </c>
      <c r="AO85" s="89">
        <f>IF(AE86&lt;&gt;AE85,AVERAGEIF(AE$9:AE85,AE85,AN$9:AN85),"")</f>
        <v/>
      </c>
      <c r="AP85" s="89">
        <f>IFERROR(IF(AE86&lt;&gt;AE85,AVERAGEIF(AE$9:AE85,AE85,AW$9:AW85),""),"")</f>
        <v/>
      </c>
      <c r="AQ85" s="89">
        <f>IFERROR(IF(AE86&lt;&gt;AE85,AVERAGEIF(AE$9:AE85,AE85,AX$9:AX85),""),"")</f>
        <v/>
      </c>
      <c r="AR85" s="89">
        <f t="array" ref="AR85">IFERROR(IF(AE86&lt;&gt;AE85,_xlfn.STDEV.P(IF(AE$9:AE85=AE85,AX$9:AX85)),""),"")</f>
        <v/>
      </c>
      <c r="AS85" s="89">
        <f t="array" ref="AS85">IFERROR(IF(AE86&lt;&gt;AE85,_xlfn.STDEV.P(IF(AE$9:AE85=AE85,AW$9:AW85)),""),"")</f>
        <v/>
      </c>
      <c r="AT85" s="90">
        <f>IFERROR(IF(AE85&lt;&gt;AE86,MAX((((AQ85*24*60)/2)*(1+POWER((((AR85*24*60) / (AQ85*24*60) )),2))) + ((AQ85*24*60 )*-0.1 + (AO85*0.015)) +1,(((AQ85*24*60)/2)*(1+POWER((((AR85*24*60) / (AQ85*24*60 ))),2)))),""),"")</f>
        <v/>
      </c>
      <c r="AU85" s="90">
        <f>IF(AND(AS85&lt;&gt;"",AP85&lt;&gt;""),IF(AE85&lt;&gt;AE86,((AP85*24*60) / 2 ) * (1 + POWER(((AS85*24*60) / (AP85*24*60)),2)),""),"")</f>
        <v/>
      </c>
      <c r="AV85" s="90">
        <f>IF(AU85&lt;&gt;"",MAX(AT85,AU85),"")</f>
        <v/>
      </c>
      <c r="AW85" s="89">
        <f>IF(AM85&lt;&gt;"H. Sale Real",IF(AND(AM86&lt;&gt;"",LEFT(AG86,2)&lt;&gt;"Va"),IF(AND(AM85&lt;&gt;"",LEFT(AG85,2)&lt;&gt;"Va",AM85&lt;&gt;"H. Sale Real"),IF(AM86-AM85&lt;0.208333333333333,AM86-AM85,""),IF(AND(AM84&lt;&gt;"",LEFT(AG84,2)&lt;&gt;"Va",AM84&lt;&gt;"H. Sale Real"),IF(AM86-AM84&lt;0.208333333333333,AM86-AM84,""),IF(AND(AM83&lt;&gt;"",LEFT(AG83,2)&lt;&gt;"Va",AM83&lt;&gt;"H. Sale Real"),IF(AM86-AM83&lt;0.208333333333333,AM86-AM83,""),IF(AND(AM82&lt;&gt;"",LEFT(AG82,2)&lt;&gt;"Va",AM82&lt;&gt;"H. Sale Real"),IF(AM86-AM82&lt;0.208333333333333,AM86-AM82,""),IF(AND(AM81&lt;&gt;"",LEFT(AG81,2)&lt;&gt;"Va",AM81&lt;&gt;"H. Sale Real"),IF(AM86-AM81&lt;0.208333333333333,AM86-AM81,""),""))))),""),"")</f>
        <v/>
      </c>
      <c r="AX85" s="89">
        <f>IF(AK85&lt;&gt;"H. Sale Real",IF(AND(AK86&lt;&gt;"",LEFT(AG86,2)&lt;&gt;"Va"),IF(AND(AK85&lt;&gt;"",LEFT(AG85,2)&lt;&gt;"Va",AK85&lt;&gt;"H. Sale Real"),IF(AK86-AK85&lt;0.208333333333333,AK86-AK85,""),IF(AND(AK84&lt;&gt;"",LEFT(AG84,2)&lt;&gt;"Va",AK84&lt;&gt;"H. Sale Real"),IF(AK86-AK84&lt;0.208333333333333,AK86-AK84,""),IF(AND(AK83&lt;&gt;"",LEFT(AG83,2)&lt;&gt;"NC",AK83&lt;&gt;"H. Sale Real"),IF(AK86-AK83&lt;0.208333333333333,AK86-AK83,""),IF(AND(AK82&lt;&gt;"",LEFT(AG82,2)&lt;&gt;"Va",AK82&lt;&gt;"H. Sale Real"),IF(AK86-AK82&lt;0.208333333333333,AK86-AK82,""),IF(AND(AK81&lt;&gt;"",LEFT(AG81,2)&lt;&gt;"Va",AK81&lt;&gt;"H. Sale Real"),IF(AK86-AK81&lt;0.208333333333333,AK86-AK81,""),""))))),""),"")</f>
        <v/>
      </c>
      <c r="AY85" s="87" t="n"/>
      <c r="AZ85" s="89" t="n"/>
      <c r="BA85" s="87" t="n"/>
      <c r="BB85" s="89" t="n"/>
      <c r="BC85" s="91" t="n"/>
      <c r="BD85" s="122">
        <f>IF(AK85&lt;&gt;"",IF(AND(BD84&lt;&gt;"IE",AT85&lt;&gt;0,AV85&lt;&gt;""),IF(IFERROR((AT85/AV85),0) &lt;=1,IFERROR(AT85/AV85,""),1),""),"")</f>
        <v/>
      </c>
      <c r="BE85" s="93" t="n"/>
      <c r="BF85" s="105" t="n"/>
      <c r="FC85" t="inlineStr">
        <is>
          <t>Diccionario 1</t>
        </is>
      </c>
      <c r="FD85" s="15" t="n">
        <v>1082</v>
      </c>
      <c r="FE85" s="15" t="inlineStr">
        <is>
          <t>D8482534K2PL</t>
        </is>
      </c>
      <c r="FF85" s="15" t="inlineStr">
        <is>
          <t>YV3T7U527KA195359</t>
        </is>
      </c>
      <c r="FG85" s="15" t="inlineStr">
        <is>
          <t>Volvo</t>
        </is>
      </c>
      <c r="FH85" s="15" t="inlineStr">
        <is>
          <t>B8R</t>
        </is>
      </c>
      <c r="FI85" s="15" t="inlineStr">
        <is>
          <t>MARCOPOLO</t>
        </is>
      </c>
      <c r="FJ85" s="15" t="inlineStr">
        <is>
          <t>TORINO</t>
        </is>
      </c>
      <c r="FK85" s="15" t="n">
        <v>2019</v>
      </c>
      <c r="FL85" s="15" t="inlineStr">
        <is>
          <t>B2PAL</t>
        </is>
      </c>
      <c r="FM85" s="15" t="inlineStr">
        <is>
          <t>SAN JOSE</t>
        </is>
      </c>
      <c r="FN85" s="15" t="inlineStr">
        <is>
          <t>San José 030 (José Besa 669)</t>
        </is>
      </c>
      <c r="FO85" s="15" t="inlineStr">
        <is>
          <t>San Bernardo</t>
        </is>
      </c>
      <c r="FP85" t="inlineStr">
        <is>
          <t>B</t>
        </is>
      </c>
      <c r="FS85" s="14" t="inlineStr">
        <is>
          <t>3023 / SFWB-33|</t>
        </is>
      </c>
      <c r="FT85" t="inlineStr">
        <is>
          <t>SFWB-33|</t>
        </is>
      </c>
      <c r="FU85" t="inlineStr">
        <is>
          <t>SFWB-33</t>
        </is>
      </c>
      <c r="FV85">
        <f>VLOOKUP(FU85,FD:FL,9,0)</f>
        <v/>
      </c>
      <c r="HA85" s="35" t="n">
        <v>82</v>
      </c>
      <c r="HB85" s="35" t="n">
        <v>79</v>
      </c>
    </row>
    <row r="86" ht="15.5" customHeight="1">
      <c r="A86" s="10">
        <f>HOUR(G86)+1</f>
        <v/>
      </c>
      <c r="B86" s="7" t="n"/>
      <c r="C86" s="7" t="n"/>
      <c r="D86" s="85">
        <f>IFERROR(
IF(AND(OR(Planilla!B86="C",Planilla!B86="c"), VLOOKUP(E86,FD:FP,13,0)="C"), "OK",IF(AND(OR(Planilla!B86="C",Planilla!B86="c"), OR(VLOOKUP(E86,FD:FP,13,0)="B", VLOOKUP(E86,FD:FP,13,0)="A")), "DEFICIT",IF(
AND(OR(Planilla!B86="B", Planilla!B86="BPAL"), VLOOKUP(E86,FD:FP,13,0)="B"), "OK",IF(AND(OR(Planilla!B86="B", Planilla!B86="BPAL"), VLOOKUP(E86,FD:FP,13,0)="A"), "DEFICIT",IF(AND(OR(Planilla!B86="B", Planilla!B86="BPAL"), VLOOKUP(E86,FD:FP,13,0)="C"), "SOBREOFERTA",IF(AND(Planilla!B86="A", VLOOKUP(E86,FD:FP,13,0)="A"), "OK",IF(
AND(Planilla!B86="A", OR(VLOOKUP(E86,FD:FP,13,0)="B", VLOOKUP(E86,FD:FP,13,0)="C")), "SOBREOFERTA",""
))))))),"")</f>
        <v/>
      </c>
      <c r="E86" s="8" t="n"/>
      <c r="F86" s="86" t="n"/>
      <c r="G86" s="87" t="n"/>
      <c r="H86" s="88">
        <f>IF(I86="","",IF(AND((I86-G86)&gt;=TIME(0,0,0),(I86-G86)&lt;TIME(0,3,0)),"OK",IF(AND((I86-G86)&gt;=TIME(0,3,0),(I86-G86)&lt;TIME(0,5,0)),"RETRASO DE 3-5 MIN",IF(AND((I86-G86)&gt;=TIME(0,5,0),(I86-G86)&lt;TIME(0,10,0)),"RETRASO DE 5-10 MIN",IF((I86-G86)&gt;=TIME(0,10,0),"RETRASO &gt;10 MIN", IF(AND((G86-I86)&gt;=TIME(0,0,0),(G86-I86)&lt;TIME(0,3,0)),"OK",IF((G86-I86)&gt;=TIME(0,3,0),"ADELANTADO")))))))</f>
        <v/>
      </c>
      <c r="I86" s="89" t="n"/>
      <c r="J86" s="89">
        <f>IF(A86&lt;&gt;"",HLOOKUP(VALUE(TEXT(G86,"h:mm:ss")),IF($C$6="Laboral",$FZ$4:$GX$227,IF($C$6="Sábado",$FZ$231:$GX$452,$FZ$456:$GX$656)),VLOOKUP($C$4,$HF$2:$HH$99,3,0)+IF(C$5="Ida",0,1),1),"")</f>
        <v/>
      </c>
      <c r="K86" s="89">
        <f>IF(A87&lt;&gt;A86,AVERAGEIF(A$9:A86,A86,J$9:J86),"")</f>
        <v/>
      </c>
      <c r="L86" s="89">
        <f>IFERROR(IF(A87&lt;&gt;A86,AVERAGEIF(A$9:A86,A86,S$9:S86),""),"")</f>
        <v/>
      </c>
      <c r="M86" s="89">
        <f>IFERROR(IF(A87&lt;&gt;A86,AVERAGEIF(A$9:A86,A86,T$9:T86),""),"")</f>
        <v/>
      </c>
      <c r="N86" s="89">
        <f t="array" ref="N86">IFERROR(IF(A87&lt;&gt;A86,_xlfn.STDEV.P(IF(A$9:A86=A86,T$9:T86)),""),"")</f>
        <v/>
      </c>
      <c r="O86" s="89">
        <f t="array" ref="O86">IFERROR(IF(A87&lt;&gt;A86,_xlfn.STDEV.P(IF(A$9:A86=A86,S$9:S86)),""),"")</f>
        <v/>
      </c>
      <c r="P86" s="90">
        <f>IFERROR(IF(A86&lt;&gt;A87,MAX((((M86*24*60)/2)*(1+POWER((((N86*24*60) / (M86*24*60) )),2))) + ((M86*24*60 )*-0.1 + (K86*0.015)) +1,(((M86*24*60)/2)*(1+POWER((((N86*24*60) / (M86*24*60 ))),2)))),""),"")</f>
        <v/>
      </c>
      <c r="Q86" s="90">
        <f>IF(AND(O86&lt;&gt;"",L86&lt;&gt;""),IF(A86&lt;&gt;A87,((L86*24*60) / 2 ) * (1 + POWER(((O86*24*60) / (L86*24*60)),2)),""),"")</f>
        <v/>
      </c>
      <c r="R86" s="90">
        <f>IF(Q86&lt;&gt;"",MAX(P86,Q86),"")</f>
        <v/>
      </c>
      <c r="S86" s="89">
        <f>IF(I86&lt;&gt;"H. Sale Real",IF(AND(I87&lt;&gt;"",LEFT(C87,2)&lt;&gt;"Va"),IF(AND(I86&lt;&gt;"",LEFT(C86,2)&lt;&gt;"Va",I86&lt;&gt;"H. Sale Real"),IF(I87-I86&lt;0.208333333333333,I87-I86,""),IF(AND(I85&lt;&gt;"",LEFT(C85,2)&lt;&gt;"Va",I85&lt;&gt;"H. Sale Real"),IF(I87-I85&lt;0.208333333333333,I87-I85,""),IF(AND(I84&lt;&gt;"",LEFT(C84,2)&lt;&gt;"Va",I84&lt;&gt;"H. Sale Real"),IF(I87-I84&lt;0.208333333333333,I87-I84,""),IF(AND(I83&lt;&gt;"",LEFT(C83,2)&lt;&gt;"Va",I83&lt;&gt;"H. Sale Real"),IF(I87-I83&lt;0.208333333333333,I87-I83,""),IF(AND(I82&lt;&gt;"",LEFT(C82,2)&lt;&gt;"Va",I82&lt;&gt;"H. Sale Real"),IF(I87-I82&lt;0.208333333333333,I87-I82,""),""))))),""),"")</f>
        <v/>
      </c>
      <c r="T86" s="89">
        <f>IF(G86&lt;&gt;"H. Sale Real",IF(AND(G87&lt;&gt;"",LEFT(C87,2)&lt;&gt;"Va"),IF(AND(G86&lt;&gt;"",LEFT(C86,2)&lt;&gt;"Va",G86&lt;&gt;"H. Sale Real"),IF(G87-G86&lt;0.208333333333333,G87-G86,""),IF(AND(G85&lt;&gt;"",LEFT(C85,2)&lt;&gt;"Va",G85&lt;&gt;"H. Sale Real"),IF(G87-G85&lt;0.208333333333333,G87-G85,""),IF(AND(G84&lt;&gt;"",LEFT(C84,2)&lt;&gt;"Va",G84&lt;&gt;"H. Sale Real"),IF(G87-G84&lt;0.208333333333333,G87-G84,""),IF(AND(G83&lt;&gt;"",LEFT(C83,2)&lt;&gt;"Va",G83&lt;&gt;"H. Sale Real"),IF(G87-G83&lt;0.208333333333333,G87-G83,""),IF(AND(G82&lt;&gt;"",LEFT(C82,2)&lt;&gt;"Va",G82&lt;&gt;"H. Sale Real"),IF(G87-G82&lt;0.208333333333333,G87-G82,""),""))))),""),"")</f>
        <v/>
      </c>
      <c r="U86" s="87" t="n"/>
      <c r="V86" s="89" t="n"/>
      <c r="W86" s="87" t="n"/>
      <c r="X86" s="89" t="n"/>
      <c r="Y86" s="91" t="n"/>
      <c r="Z86" s="122">
        <f>IF(G86&lt;&gt;"",IF(AND(Z85&lt;&gt;"IE",P86&lt;&gt;0,R86&lt;&gt;""),IF(IFERROR((P86/R86),0) &lt;=1,IFERROR(P86/R86,""),1),""),"")</f>
        <v/>
      </c>
      <c r="AA86" s="93" t="n"/>
      <c r="AB86" s="2" t="n"/>
      <c r="AE86" s="10">
        <f>HOUR(AK86)+1</f>
        <v/>
      </c>
      <c r="AF86" s="7" t="n"/>
      <c r="AG86" s="7" t="n"/>
      <c r="AH86" s="86" t="n"/>
      <c r="AI86" s="8" t="n"/>
      <c r="AJ86" s="86" t="n"/>
      <c r="AK86" s="87" t="n"/>
      <c r="AL86" s="88">
        <f>IF(AM86="","",IF(AND((AM86-AK86)&gt;=TIME(0,0,0),(AM86-AK86)&lt;TIME(0,3,0)),"OK",IF(AND((AM86-AK86)&gt;=TIME(0,3,0),(AM86-AK86)&lt;TIME(0,5,0)),"RETRASO DE 3-5 MIN",IF(AND((AM86-AK86)&gt;=TIME(0,5,0),(AM86-AK86)&lt;TIME(0,10,0)),"RETRASO DE 5-10 MIN",IF((AM86-AK86)&gt;=TIME(0,10,0),"RETRASO &gt;10 MIN", IF(AND((AK86-AM86)&gt;=TIME(0,0,0),(AK86-AM86)&lt;TIME(0,3,0)),"OK",IF((AK86-AM86)&gt;=TIME(0,3,0),"ADELANTADO")))))))</f>
        <v/>
      </c>
      <c r="AM86" s="91" t="n"/>
      <c r="AN86" s="89">
        <f>IF(AE86&lt;&gt;"",HLOOKUP(VALUE(TEXT(AK86,"h:mm:ss")),IF($C$6="Laboral",$FZ$4:$GX$227,IF($C$6="Sábado",$FZ$231:$GX$452,$FZ$456:$GX$656)),VLOOKUP($C$4,$HF$2:$HH$99,3,0)+IF(AG$5="Ida",0,1),1),"")</f>
        <v/>
      </c>
      <c r="AO86" s="89">
        <f>IF(AE87&lt;&gt;AE86,AVERAGEIF(AE$9:AE86,AE86,AN$9:AN86),"")</f>
        <v/>
      </c>
      <c r="AP86" s="89">
        <f>IFERROR(IF(AE87&lt;&gt;AE86,AVERAGEIF(AE$9:AE86,AE86,AW$9:AW86),""),"")</f>
        <v/>
      </c>
      <c r="AQ86" s="89">
        <f>IFERROR(IF(AE87&lt;&gt;AE86,AVERAGEIF(AE$9:AE86,AE86,AX$9:AX86),""),"")</f>
        <v/>
      </c>
      <c r="AR86" s="89">
        <f t="array" ref="AR86">IFERROR(IF(AE87&lt;&gt;AE86,_xlfn.STDEV.P(IF(AE$9:AE86=AE86,AX$9:AX86)),""),"")</f>
        <v/>
      </c>
      <c r="AS86" s="89">
        <f t="array" ref="AS86">IFERROR(IF(AE87&lt;&gt;AE86,_xlfn.STDEV.P(IF(AE$9:AE86=AE86,AW$9:AW86)),""),"")</f>
        <v/>
      </c>
      <c r="AT86" s="90">
        <f>IFERROR(IF(AE86&lt;&gt;AE87,MAX((((AQ86*24*60)/2)*(1+POWER((((AR86*24*60) / (AQ86*24*60) )),2))) + ((AQ86*24*60 )*-0.1 + (AO86*0.015)) +1,(((AQ86*24*60)/2)*(1+POWER((((AR86*24*60) / (AQ86*24*60 ))),2)))),""),"")</f>
        <v/>
      </c>
      <c r="AU86" s="90">
        <f>IF(AND(AS86&lt;&gt;"",AP86&lt;&gt;""),IF(AE86&lt;&gt;AE87,((AP86*24*60) / 2 ) * (1 + POWER(((AS86*24*60) / (AP86*24*60)),2)),""),"")</f>
        <v/>
      </c>
      <c r="AV86" s="90">
        <f>IF(AU86&lt;&gt;"",MAX(AT86,AU86),"")</f>
        <v/>
      </c>
      <c r="AW86" s="89">
        <f>IF(AM86&lt;&gt;"H. Sale Real",IF(AND(AM87&lt;&gt;"",LEFT(AG87,2)&lt;&gt;"Va"),IF(AND(AM86&lt;&gt;"",LEFT(AG86,2)&lt;&gt;"Va",AM86&lt;&gt;"H. Sale Real"),IF(AM87-AM86&lt;0.208333333333333,AM87-AM86,""),IF(AND(AM85&lt;&gt;"",LEFT(AG85,2)&lt;&gt;"Va",AM85&lt;&gt;"H. Sale Real"),IF(AM87-AM85&lt;0.208333333333333,AM87-AM85,""),IF(AND(AM84&lt;&gt;"",LEFT(AG84,2)&lt;&gt;"Va",AM84&lt;&gt;"H. Sale Real"),IF(AM87-AM84&lt;0.208333333333333,AM87-AM84,""),IF(AND(AM83&lt;&gt;"",LEFT(AG83,2)&lt;&gt;"Va",AM83&lt;&gt;"H. Sale Real"),IF(AM87-AM83&lt;0.208333333333333,AM87-AM83,""),IF(AND(AM82&lt;&gt;"",LEFT(AG82,2)&lt;&gt;"Va",AM82&lt;&gt;"H. Sale Real"),IF(AM87-AM82&lt;0.208333333333333,AM87-AM82,""),""))))),""),"")</f>
        <v/>
      </c>
      <c r="AX86" s="89">
        <f>IF(AK86&lt;&gt;"H. Sale Real",IF(AND(AK87&lt;&gt;"",LEFT(AG87,2)&lt;&gt;"Va"),IF(AND(AK86&lt;&gt;"",LEFT(AG86,2)&lt;&gt;"Va",AK86&lt;&gt;"H. Sale Real"),IF(AK87-AK86&lt;0.208333333333333,AK87-AK86,""),IF(AND(AK85&lt;&gt;"",LEFT(AG85,2)&lt;&gt;"Va",AK85&lt;&gt;"H. Sale Real"),IF(AK87-AK85&lt;0.208333333333333,AK87-AK85,""),IF(AND(AK84&lt;&gt;"",LEFT(AG84,2)&lt;&gt;"NC",AK84&lt;&gt;"H. Sale Real"),IF(AK87-AK84&lt;0.208333333333333,AK87-AK84,""),IF(AND(AK83&lt;&gt;"",LEFT(AG83,2)&lt;&gt;"Va",AK83&lt;&gt;"H. Sale Real"),IF(AK87-AK83&lt;0.208333333333333,AK87-AK83,""),IF(AND(AK82&lt;&gt;"",LEFT(AG82,2)&lt;&gt;"Va",AK82&lt;&gt;"H. Sale Real"),IF(AK87-AK82&lt;0.208333333333333,AK87-AK82,""),""))))),""),"")</f>
        <v/>
      </c>
      <c r="AY86" s="87" t="n"/>
      <c r="AZ86" s="89" t="n"/>
      <c r="BA86" s="87" t="n"/>
      <c r="BB86" s="89" t="n"/>
      <c r="BC86" s="91" t="n"/>
      <c r="BD86" s="122">
        <f>IF(AK86&lt;&gt;"",IF(AND(BD85&lt;&gt;"IE",AT86&lt;&gt;0,AV86&lt;&gt;""),IF(IFERROR((AT86/AV86),0) &lt;=1,IFERROR(AT86/AV86,""),1),""),"")</f>
        <v/>
      </c>
      <c r="BE86" s="93" t="n"/>
      <c r="BF86" s="105" t="n"/>
      <c r="FC86" t="inlineStr">
        <is>
          <t>Diccionario 1</t>
        </is>
      </c>
      <c r="FD86" s="15" t="n">
        <v>1083</v>
      </c>
      <c r="FE86" s="15" t="inlineStr">
        <is>
          <t>D8482872K2PL</t>
        </is>
      </c>
      <c r="FF86" s="15" t="inlineStr">
        <is>
          <t>YV3T7U52XKA195405</t>
        </is>
      </c>
      <c r="FG86" s="15" t="inlineStr">
        <is>
          <t>Volvo</t>
        </is>
      </c>
      <c r="FH86" s="15" t="inlineStr">
        <is>
          <t>B8R</t>
        </is>
      </c>
      <c r="FI86" s="15" t="inlineStr">
        <is>
          <t>MARCOPOLO</t>
        </is>
      </c>
      <c r="FJ86" s="15" t="inlineStr">
        <is>
          <t>TORINO</t>
        </is>
      </c>
      <c r="FK86" s="15" t="n">
        <v>2019</v>
      </c>
      <c r="FL86" s="15" t="inlineStr">
        <is>
          <t>B2PAL</t>
        </is>
      </c>
      <c r="FM86" s="15" t="inlineStr">
        <is>
          <t>LOS LIBERTADORES</t>
        </is>
      </c>
      <c r="FN86" s="15" t="inlineStr">
        <is>
          <t>Los Liberadores 6450, Lote 4A</t>
        </is>
      </c>
      <c r="FO86" s="15" t="inlineStr">
        <is>
          <t>Huechuraba</t>
        </is>
      </c>
      <c r="FP86" t="inlineStr">
        <is>
          <t>B</t>
        </is>
      </c>
      <c r="FS86" s="14" t="inlineStr">
        <is>
          <t>3023 / SFWB-33|</t>
        </is>
      </c>
      <c r="FT86" t="inlineStr">
        <is>
          <t>SFWB-33|</t>
        </is>
      </c>
      <c r="FU86" t="inlineStr">
        <is>
          <t>SFWB-33</t>
        </is>
      </c>
      <c r="FV86">
        <f>VLOOKUP(FU86,FD:FL,9,0)</f>
        <v/>
      </c>
      <c r="HA86" s="35" t="n">
        <v>83</v>
      </c>
      <c r="HB86" s="35" t="n">
        <v>80</v>
      </c>
    </row>
    <row r="87" ht="15.5" customHeight="1">
      <c r="A87" s="10">
        <f>HOUR(G87)+1</f>
        <v/>
      </c>
      <c r="B87" s="7" t="n"/>
      <c r="C87" s="7" t="n"/>
      <c r="D87" s="85">
        <f>IFERROR(
IF(AND(OR(Planilla!B87="C",Planilla!B87="c"), VLOOKUP(E87,FD:FP,13,0)="C"), "OK",IF(AND(OR(Planilla!B87="C",Planilla!B87="c"), OR(VLOOKUP(E87,FD:FP,13,0)="B", VLOOKUP(E87,FD:FP,13,0)="A")), "DEFICIT",IF(
AND(OR(Planilla!B87="B", Planilla!B87="BPAL"), VLOOKUP(E87,FD:FP,13,0)="B"), "OK",IF(AND(OR(Planilla!B87="B", Planilla!B87="BPAL"), VLOOKUP(E87,FD:FP,13,0)="A"), "DEFICIT",IF(AND(OR(Planilla!B87="B", Planilla!B87="BPAL"), VLOOKUP(E87,FD:FP,13,0)="C"), "SOBREOFERTA",IF(AND(Planilla!B87="A", VLOOKUP(E87,FD:FP,13,0)="A"), "OK",IF(
AND(Planilla!B87="A", OR(VLOOKUP(E87,FD:FP,13,0)="B", VLOOKUP(E87,FD:FP,13,0)="C")), "SOBREOFERTA",""
))))))),"")</f>
        <v/>
      </c>
      <c r="E87" s="8" t="n"/>
      <c r="F87" s="86" t="n"/>
      <c r="G87" s="87" t="n"/>
      <c r="H87" s="88">
        <f>IF(I87="","",IF(AND((I87-G87)&gt;=TIME(0,0,0),(I87-G87)&lt;TIME(0,3,0)),"OK",IF(AND((I87-G87)&gt;=TIME(0,3,0),(I87-G87)&lt;TIME(0,5,0)),"RETRASO DE 3-5 MIN",IF(AND((I87-G87)&gt;=TIME(0,5,0),(I87-G87)&lt;TIME(0,10,0)),"RETRASO DE 5-10 MIN",IF((I87-G87)&gt;=TIME(0,10,0),"RETRASO &gt;10 MIN", IF(AND((G87-I87)&gt;=TIME(0,0,0),(G87-I87)&lt;TIME(0,3,0)),"OK",IF((G87-I87)&gt;=TIME(0,3,0),"ADELANTADO")))))))</f>
        <v/>
      </c>
      <c r="I87" s="89" t="n"/>
      <c r="J87" s="89">
        <f>IF(A87&lt;&gt;"",HLOOKUP(VALUE(TEXT(G87,"h:mm:ss")),IF($C$6="Laboral",$FZ$4:$GX$227,IF($C$6="Sábado",$FZ$231:$GX$452,$FZ$456:$GX$656)),VLOOKUP($C$4,$HF$2:$HH$99,3,0)+IF(C$5="Ida",0,1),1),"")</f>
        <v/>
      </c>
      <c r="K87" s="89">
        <f>IF(A88&lt;&gt;A87,AVERAGEIF(A$9:A87,A87,J$9:J87),"")</f>
        <v/>
      </c>
      <c r="L87" s="89">
        <f>IFERROR(IF(A88&lt;&gt;A87,AVERAGEIF(A$9:A87,A87,S$9:S87),""),"")</f>
        <v/>
      </c>
      <c r="M87" s="89">
        <f>IFERROR(IF(A88&lt;&gt;A87,AVERAGEIF(A$9:A87,A87,T$9:T87),""),"")</f>
        <v/>
      </c>
      <c r="N87" s="89">
        <f t="array" ref="N87">IFERROR(IF(A88&lt;&gt;A87,_xlfn.STDEV.P(IF(A$9:A87=A87,T$9:T87)),""),"")</f>
        <v/>
      </c>
      <c r="O87" s="89">
        <f t="array" ref="O87">IFERROR(IF(A88&lt;&gt;A87,_xlfn.STDEV.P(IF(A$9:A87=A87,S$9:S87)),""),"")</f>
        <v/>
      </c>
      <c r="P87" s="90">
        <f>IFERROR(IF(A87&lt;&gt;A88,MAX((((M87*24*60)/2)*(1+POWER((((N87*24*60) / (M87*24*60) )),2))) + ((M87*24*60 )*-0.1 + (K87*0.015)) +1,(((M87*24*60)/2)*(1+POWER((((N87*24*60) / (M87*24*60 ))),2)))),""),"")</f>
        <v/>
      </c>
      <c r="Q87" s="90">
        <f>IF(AND(O87&lt;&gt;"",L87&lt;&gt;""),IF(A87&lt;&gt;A88,((L87*24*60) / 2 ) * (1 + POWER(((O87*24*60) / (L87*24*60)),2)),""),"")</f>
        <v/>
      </c>
      <c r="R87" s="90">
        <f>IF(Q87&lt;&gt;"",MAX(P87,Q87),"")</f>
        <v/>
      </c>
      <c r="S87" s="89">
        <f>IF(I87&lt;&gt;"H. Sale Real",IF(AND(I88&lt;&gt;"",LEFT(C88,2)&lt;&gt;"Va"),IF(AND(I87&lt;&gt;"",LEFT(C87,2)&lt;&gt;"Va",I87&lt;&gt;"H. Sale Real"),IF(I88-I87&lt;0.208333333333333,I88-I87,""),IF(AND(I86&lt;&gt;"",LEFT(C86,2)&lt;&gt;"Va",I86&lt;&gt;"H. Sale Real"),IF(I88-I86&lt;0.208333333333333,I88-I86,""),IF(AND(I85&lt;&gt;"",LEFT(C85,2)&lt;&gt;"Va",I85&lt;&gt;"H. Sale Real"),IF(I88-I85&lt;0.208333333333333,I88-I85,""),IF(AND(I84&lt;&gt;"",LEFT(C84,2)&lt;&gt;"Va",I84&lt;&gt;"H. Sale Real"),IF(I88-I84&lt;0.208333333333333,I88-I84,""),IF(AND(I83&lt;&gt;"",LEFT(C83,2)&lt;&gt;"Va",I83&lt;&gt;"H. Sale Real"),IF(I88-I83&lt;0.208333333333333,I88-I83,""),""))))),""),"")</f>
        <v/>
      </c>
      <c r="T87" s="89">
        <f>IF(G87&lt;&gt;"H. Sale Real",IF(AND(G88&lt;&gt;"",LEFT(C88,2)&lt;&gt;"Va"),IF(AND(G87&lt;&gt;"",LEFT(C87,2)&lt;&gt;"Va",G87&lt;&gt;"H. Sale Real"),IF(G88-G87&lt;0.208333333333333,G88-G87,""),IF(AND(G86&lt;&gt;"",LEFT(C86,2)&lt;&gt;"Va",G86&lt;&gt;"H. Sale Real"),IF(G88-G86&lt;0.208333333333333,G88-G86,""),IF(AND(G85&lt;&gt;"",LEFT(C85,2)&lt;&gt;"Va",G85&lt;&gt;"H. Sale Real"),IF(G88-G85&lt;0.208333333333333,G88-G85,""),IF(AND(G84&lt;&gt;"",LEFT(C84,2)&lt;&gt;"Va",G84&lt;&gt;"H. Sale Real"),IF(G88-G84&lt;0.208333333333333,G88-G84,""),IF(AND(G83&lt;&gt;"",LEFT(C83,2)&lt;&gt;"Va",G83&lt;&gt;"H. Sale Real"),IF(G88-G83&lt;0.208333333333333,G88-G83,""),""))))),""),"")</f>
        <v/>
      </c>
      <c r="U87" s="87" t="n"/>
      <c r="V87" s="89" t="n"/>
      <c r="W87" s="87" t="n"/>
      <c r="X87" s="89" t="n"/>
      <c r="Y87" s="91" t="n"/>
      <c r="Z87" s="122">
        <f>IF(G87&lt;&gt;"",IF(AND(Z86&lt;&gt;"IE",P87&lt;&gt;0,R87&lt;&gt;""),IF(IFERROR((P87/R87),0) &lt;=1,IFERROR(P87/R87,""),1),""),"")</f>
        <v/>
      </c>
      <c r="AA87" s="93" t="n"/>
      <c r="AB87" s="2" t="n"/>
      <c r="AE87" s="10">
        <f>HOUR(AK87)+1</f>
        <v/>
      </c>
      <c r="AF87" s="7" t="n"/>
      <c r="AG87" s="7" t="n"/>
      <c r="AH87" s="86" t="n"/>
      <c r="AI87" s="8" t="n"/>
      <c r="AJ87" s="86" t="n"/>
      <c r="AK87" s="87" t="n"/>
      <c r="AL87" s="88">
        <f>IF(AM87="","",IF(AND((AM87-AK87)&gt;=TIME(0,0,0),(AM87-AK87)&lt;TIME(0,3,0)),"OK",IF(AND((AM87-AK87)&gt;=TIME(0,3,0),(AM87-AK87)&lt;TIME(0,5,0)),"RETRASO DE 3-5 MIN",IF(AND((AM87-AK87)&gt;=TIME(0,5,0),(AM87-AK87)&lt;TIME(0,10,0)),"RETRASO DE 5-10 MIN",IF((AM87-AK87)&gt;=TIME(0,10,0),"RETRASO &gt;10 MIN", IF(AND((AK87-AM87)&gt;=TIME(0,0,0),(AK87-AM87)&lt;TIME(0,3,0)),"OK",IF((AK87-AM87)&gt;=TIME(0,3,0),"ADELANTADO")))))))</f>
        <v/>
      </c>
      <c r="AM87" s="91" t="n"/>
      <c r="AN87" s="89">
        <f>IF(AE87&lt;&gt;"",HLOOKUP(VALUE(TEXT(AK87,"h:mm:ss")),IF($C$6="Laboral",$FZ$4:$GX$227,IF($C$6="Sábado",$FZ$231:$GX$452,$FZ$456:$GX$656)),VLOOKUP($C$4,$HF$2:$HH$99,3,0)+IF(AG$5="Ida",0,1),1),"")</f>
        <v/>
      </c>
      <c r="AO87" s="89">
        <f>IF(AE88&lt;&gt;AE87,AVERAGEIF(AE$9:AE87,AE87,AN$9:AN87),"")</f>
        <v/>
      </c>
      <c r="AP87" s="89">
        <f>IFERROR(IF(AE88&lt;&gt;AE87,AVERAGEIF(AE$9:AE87,AE87,AW$9:AW87),""),"")</f>
        <v/>
      </c>
      <c r="AQ87" s="89">
        <f>IFERROR(IF(AE88&lt;&gt;AE87,AVERAGEIF(AE$9:AE87,AE87,AX$9:AX87),""),"")</f>
        <v/>
      </c>
      <c r="AR87" s="89">
        <f t="array" ref="AR87">IFERROR(IF(AE88&lt;&gt;AE87,_xlfn.STDEV.P(IF(AE$9:AE87=AE87,AX$9:AX87)),""),"")</f>
        <v/>
      </c>
      <c r="AS87" s="89">
        <f t="array" ref="AS87">IFERROR(IF(AE88&lt;&gt;AE87,_xlfn.STDEV.P(IF(AE$9:AE87=AE87,AW$9:AW87)),""),"")</f>
        <v/>
      </c>
      <c r="AT87" s="90">
        <f>IFERROR(IF(AE87&lt;&gt;AE88,MAX((((AQ87*24*60)/2)*(1+POWER((((AR87*24*60) / (AQ87*24*60) )),2))) + ((AQ87*24*60 )*-0.1 + (AO87*0.015)) +1,(((AQ87*24*60)/2)*(1+POWER((((AR87*24*60) / (AQ87*24*60 ))),2)))),""),"")</f>
        <v/>
      </c>
      <c r="AU87" s="90">
        <f>IF(AND(AS87&lt;&gt;"",AP87&lt;&gt;""),IF(AE87&lt;&gt;AE88,((AP87*24*60) / 2 ) * (1 + POWER(((AS87*24*60) / (AP87*24*60)),2)),""),"")</f>
        <v/>
      </c>
      <c r="AV87" s="90">
        <f>IF(AU87&lt;&gt;"",MAX(AT87,AU87),"")</f>
        <v/>
      </c>
      <c r="AW87" s="89">
        <f>IF(AM87&lt;&gt;"H. Sale Real",IF(AND(AM88&lt;&gt;"",LEFT(AG88,2)&lt;&gt;"Va"),IF(AND(AM87&lt;&gt;"",LEFT(AG87,2)&lt;&gt;"Va",AM87&lt;&gt;"H. Sale Real"),IF(AM88-AM87&lt;0.208333333333333,AM88-AM87,""),IF(AND(AM86&lt;&gt;"",LEFT(AG86,2)&lt;&gt;"Va",AM86&lt;&gt;"H. Sale Real"),IF(AM88-AM86&lt;0.208333333333333,AM88-AM86,""),IF(AND(AM85&lt;&gt;"",LEFT(AG85,2)&lt;&gt;"Va",AM85&lt;&gt;"H. Sale Real"),IF(AM88-AM85&lt;0.208333333333333,AM88-AM85,""),IF(AND(AM84&lt;&gt;"",LEFT(AG84,2)&lt;&gt;"Va",AM84&lt;&gt;"H. Sale Real"),IF(AM88-AM84&lt;0.208333333333333,AM88-AM84,""),IF(AND(AM83&lt;&gt;"",LEFT(AG83,2)&lt;&gt;"Va",AM83&lt;&gt;"H. Sale Real"),IF(AM88-AM83&lt;0.208333333333333,AM88-AM83,""),""))))),""),"")</f>
        <v/>
      </c>
      <c r="AX87" s="89">
        <f>IF(AK87&lt;&gt;"H. Sale Real",IF(AND(AK88&lt;&gt;"",LEFT(AG88,2)&lt;&gt;"Va"),IF(AND(AK87&lt;&gt;"",LEFT(AG87,2)&lt;&gt;"Va",AK87&lt;&gt;"H. Sale Real"),IF(AK88-AK87&lt;0.208333333333333,AK88-AK87,""),IF(AND(AK86&lt;&gt;"",LEFT(AG86,2)&lt;&gt;"Va",AK86&lt;&gt;"H. Sale Real"),IF(AK88-AK86&lt;0.208333333333333,AK88-AK86,""),IF(AND(AK85&lt;&gt;"",LEFT(AG85,2)&lt;&gt;"NC",AK85&lt;&gt;"H. Sale Real"),IF(AK88-AK85&lt;0.208333333333333,AK88-AK85,""),IF(AND(AK84&lt;&gt;"",LEFT(AG84,2)&lt;&gt;"Va",AK84&lt;&gt;"H. Sale Real"),IF(AK88-AK84&lt;0.208333333333333,AK88-AK84,""),IF(AND(AK83&lt;&gt;"",LEFT(AG83,2)&lt;&gt;"Va",AK83&lt;&gt;"H. Sale Real"),IF(AK88-AK83&lt;0.208333333333333,AK88-AK83,""),""))))),""),"")</f>
        <v/>
      </c>
      <c r="AY87" s="87" t="n"/>
      <c r="AZ87" s="89" t="n"/>
      <c r="BA87" s="87" t="n"/>
      <c r="BB87" s="89" t="n"/>
      <c r="BC87" s="91" t="n"/>
      <c r="BD87" s="122">
        <f>IF(AK87&lt;&gt;"",IF(AND(BD86&lt;&gt;"IE",AT87&lt;&gt;0,AV87&lt;&gt;""),IF(IFERROR((AT87/AV87),0) &lt;=1,IFERROR(AT87/AV87,""),1),""),"")</f>
        <v/>
      </c>
      <c r="BE87" s="93" t="n"/>
      <c r="BF87" s="105" t="n"/>
      <c r="FC87" t="inlineStr">
        <is>
          <t>Diccionario 1</t>
        </is>
      </c>
      <c r="FD87" s="15" t="n">
        <v>1084</v>
      </c>
      <c r="FE87" s="15" t="inlineStr">
        <is>
          <t>D8482892K2PL</t>
        </is>
      </c>
      <c r="FF87" s="15" t="inlineStr">
        <is>
          <t>YV3T7U521KA195406</t>
        </is>
      </c>
      <c r="FG87" s="15" t="inlineStr">
        <is>
          <t>Volvo</t>
        </is>
      </c>
      <c r="FH87" s="15" t="inlineStr">
        <is>
          <t>B8R</t>
        </is>
      </c>
      <c r="FI87" s="15" t="inlineStr">
        <is>
          <t>MARCOPOLO</t>
        </is>
      </c>
      <c r="FJ87" s="15" t="inlineStr">
        <is>
          <t>TORINO</t>
        </is>
      </c>
      <c r="FK87" s="15" t="n">
        <v>2019</v>
      </c>
      <c r="FL87" s="15" t="inlineStr">
        <is>
          <t>B2PAL</t>
        </is>
      </c>
      <c r="FM87" s="15" t="inlineStr">
        <is>
          <t>SAN JOSE</t>
        </is>
      </c>
      <c r="FN87" s="15" t="inlineStr">
        <is>
          <t>San José 030 (José Besa 669)</t>
        </is>
      </c>
      <c r="FO87" s="15" t="inlineStr">
        <is>
          <t>San Bernardo</t>
        </is>
      </c>
      <c r="FP87" t="inlineStr">
        <is>
          <t>B</t>
        </is>
      </c>
      <c r="FS87" s="14" t="inlineStr">
        <is>
          <t>3023 / SFWB-33|</t>
        </is>
      </c>
      <c r="FT87" t="inlineStr">
        <is>
          <t>SFWB-33|</t>
        </is>
      </c>
      <c r="FU87" t="inlineStr">
        <is>
          <t>SFWB-33</t>
        </is>
      </c>
      <c r="FV87">
        <f>VLOOKUP(FU87,FD:FL,9,0)</f>
        <v/>
      </c>
      <c r="HA87" s="35" t="n">
        <v>84</v>
      </c>
      <c r="HB87" s="35" t="n">
        <v>81</v>
      </c>
    </row>
    <row r="88" ht="15.5" customHeight="1">
      <c r="A88" s="10">
        <f>HOUR(G88)+1</f>
        <v/>
      </c>
      <c r="B88" s="7" t="n"/>
      <c r="C88" s="7" t="n"/>
      <c r="D88" s="85">
        <f>IFERROR(
IF(AND(OR(Planilla!B88="C",Planilla!B88="c"), VLOOKUP(E88,FD:FP,13,0)="C"), "OK",IF(AND(OR(Planilla!B88="C",Planilla!B88="c"), OR(VLOOKUP(E88,FD:FP,13,0)="B", VLOOKUP(E88,FD:FP,13,0)="A")), "DEFICIT",IF(
AND(OR(Planilla!B88="B", Planilla!B88="BPAL"), VLOOKUP(E88,FD:FP,13,0)="B"), "OK",IF(AND(OR(Planilla!B88="B", Planilla!B88="BPAL"), VLOOKUP(E88,FD:FP,13,0)="A"), "DEFICIT",IF(AND(OR(Planilla!B88="B", Planilla!B88="BPAL"), VLOOKUP(E88,FD:FP,13,0)="C"), "SOBREOFERTA",IF(AND(Planilla!B88="A", VLOOKUP(E88,FD:FP,13,0)="A"), "OK",IF(
AND(Planilla!B88="A", OR(VLOOKUP(E88,FD:FP,13,0)="B", VLOOKUP(E88,FD:FP,13,0)="C")), "SOBREOFERTA",""
))))))),"")</f>
        <v/>
      </c>
      <c r="E88" s="8" t="n"/>
      <c r="F88" s="86" t="n"/>
      <c r="G88" s="87" t="n"/>
      <c r="H88" s="88">
        <f>IF(I88="","",IF(AND((I88-G88)&gt;=TIME(0,0,0),(I88-G88)&lt;TIME(0,3,0)),"OK",IF(AND((I88-G88)&gt;=TIME(0,3,0),(I88-G88)&lt;TIME(0,5,0)),"RETRASO DE 3-5 MIN",IF(AND((I88-G88)&gt;=TIME(0,5,0),(I88-G88)&lt;TIME(0,10,0)),"RETRASO DE 5-10 MIN",IF((I88-G88)&gt;=TIME(0,10,0),"RETRASO &gt;10 MIN", IF(AND((G88-I88)&gt;=TIME(0,0,0),(G88-I88)&lt;TIME(0,3,0)),"OK",IF((G88-I88)&gt;=TIME(0,3,0),"ADELANTADO")))))))</f>
        <v/>
      </c>
      <c r="I88" s="89" t="n"/>
      <c r="J88" s="89">
        <f>IF(A88&lt;&gt;"",HLOOKUP(VALUE(TEXT(G88,"h:mm:ss")),IF($C$6="Laboral",$FZ$4:$GX$227,IF($C$6="Sábado",$FZ$231:$GX$452,$FZ$456:$GX$656)),VLOOKUP($C$4,$HF$2:$HH$99,3,0)+IF(C$5="Ida",0,1),1),"")</f>
        <v/>
      </c>
      <c r="K88" s="89">
        <f>IF(A89&lt;&gt;A88,AVERAGEIF(A$9:A88,A88,J$9:J88),"")</f>
        <v/>
      </c>
      <c r="L88" s="89">
        <f>IFERROR(IF(A89&lt;&gt;A88,AVERAGEIF(A$9:A88,A88,S$9:S88),""),"")</f>
        <v/>
      </c>
      <c r="M88" s="89">
        <f>IFERROR(IF(A89&lt;&gt;A88,AVERAGEIF(A$9:A88,A88,T$9:T88),""),"")</f>
        <v/>
      </c>
      <c r="N88" s="89">
        <f t="array" ref="N88">IFERROR(IF(A89&lt;&gt;A88,_xlfn.STDEV.P(IF(A$9:A88=A88,T$9:T88)),""),"")</f>
        <v/>
      </c>
      <c r="O88" s="89">
        <f t="array" ref="O88">IFERROR(IF(A89&lt;&gt;A88,_xlfn.STDEV.P(IF(A$9:A88=A88,S$9:S88)),""),"")</f>
        <v/>
      </c>
      <c r="P88" s="90">
        <f>IFERROR(IF(A88&lt;&gt;A89,MAX((((M88*24*60)/2)*(1+POWER((((N88*24*60) / (M88*24*60) )),2))) + ((M88*24*60 )*-0.1 + (K88*0.015)) +1,(((M88*24*60)/2)*(1+POWER((((N88*24*60) / (M88*24*60 ))),2)))),""),"")</f>
        <v/>
      </c>
      <c r="Q88" s="90">
        <f>IF(AND(O88&lt;&gt;"",L88&lt;&gt;""),IF(A88&lt;&gt;A89,((L88*24*60) / 2 ) * (1 + POWER(((O88*24*60) / (L88*24*60)),2)),""),"")</f>
        <v/>
      </c>
      <c r="R88" s="90">
        <f>IF(Q88&lt;&gt;"",MAX(P88,Q88),"")</f>
        <v/>
      </c>
      <c r="S88" s="89">
        <f>IF(I88&lt;&gt;"H. Sale Real",IF(AND(I89&lt;&gt;"",LEFT(C89,2)&lt;&gt;"Va"),IF(AND(I88&lt;&gt;"",LEFT(C88,2)&lt;&gt;"Va",I88&lt;&gt;"H. Sale Real"),IF(I89-I88&lt;0.208333333333333,I89-I88,""),IF(AND(I87&lt;&gt;"",LEFT(C87,2)&lt;&gt;"Va",I87&lt;&gt;"H. Sale Real"),IF(I89-I87&lt;0.208333333333333,I89-I87,""),IF(AND(I86&lt;&gt;"",LEFT(C86,2)&lt;&gt;"Va",I86&lt;&gt;"H. Sale Real"),IF(I89-I86&lt;0.208333333333333,I89-I86,""),IF(AND(I85&lt;&gt;"",LEFT(C85,2)&lt;&gt;"Va",I85&lt;&gt;"H. Sale Real"),IF(I89-I85&lt;0.208333333333333,I89-I85,""),IF(AND(I84&lt;&gt;"",LEFT(C84,2)&lt;&gt;"Va",I84&lt;&gt;"H. Sale Real"),IF(I89-I84&lt;0.208333333333333,I89-I84,""),""))))),""),"")</f>
        <v/>
      </c>
      <c r="T88" s="89">
        <f>IF(G88&lt;&gt;"H. Sale Real",IF(AND(G89&lt;&gt;"",LEFT(C89,2)&lt;&gt;"Va"),IF(AND(G88&lt;&gt;"",LEFT(C88,2)&lt;&gt;"Va",G88&lt;&gt;"H. Sale Real"),IF(G89-G88&lt;0.208333333333333,G89-G88,""),IF(AND(G87&lt;&gt;"",LEFT(C87,2)&lt;&gt;"Va",G87&lt;&gt;"H. Sale Real"),IF(G89-G87&lt;0.208333333333333,G89-G87,""),IF(AND(G86&lt;&gt;"",LEFT(C86,2)&lt;&gt;"Va",G86&lt;&gt;"H. Sale Real"),IF(G89-G86&lt;0.208333333333333,G89-G86,""),IF(AND(G85&lt;&gt;"",LEFT(C85,2)&lt;&gt;"Va",G85&lt;&gt;"H. Sale Real"),IF(G89-G85&lt;0.208333333333333,G89-G85,""),IF(AND(G84&lt;&gt;"",LEFT(C84,2)&lt;&gt;"Va",G84&lt;&gt;"H. Sale Real"),IF(G89-G84&lt;0.208333333333333,G89-G84,""),""))))),""),"")</f>
        <v/>
      </c>
      <c r="U88" s="87" t="n"/>
      <c r="V88" s="89" t="n"/>
      <c r="W88" s="87" t="n"/>
      <c r="X88" s="89" t="n"/>
      <c r="Y88" s="91" t="n"/>
      <c r="Z88" s="122">
        <f>IF(G88&lt;&gt;"",IF(AND(Z87&lt;&gt;"IE",P88&lt;&gt;0,R88&lt;&gt;""),IF(IFERROR((P88/R88),0) &lt;=1,IFERROR(P88/R88,""),1),""),"")</f>
        <v/>
      </c>
      <c r="AA88" s="93" t="n"/>
      <c r="AB88" s="2" t="n"/>
      <c r="AE88" s="10">
        <f>HOUR(AK88)+1</f>
        <v/>
      </c>
      <c r="AF88" s="7" t="n"/>
      <c r="AG88" s="7" t="n"/>
      <c r="AH88" s="86" t="n"/>
      <c r="AI88" s="8" t="n"/>
      <c r="AJ88" s="86" t="n"/>
      <c r="AK88" s="87" t="n"/>
      <c r="AL88" s="88">
        <f>IF(AM88="","",IF(AND((AM88-AK88)&gt;=TIME(0,0,0),(AM88-AK88)&lt;TIME(0,3,0)),"OK",IF(AND((AM88-AK88)&gt;=TIME(0,3,0),(AM88-AK88)&lt;TIME(0,5,0)),"RETRASO DE 3-5 MIN",IF(AND((AM88-AK88)&gt;=TIME(0,5,0),(AM88-AK88)&lt;TIME(0,10,0)),"RETRASO DE 5-10 MIN",IF((AM88-AK88)&gt;=TIME(0,10,0),"RETRASO &gt;10 MIN", IF(AND((AK88-AM88)&gt;=TIME(0,0,0),(AK88-AM88)&lt;TIME(0,3,0)),"OK",IF((AK88-AM88)&gt;=TIME(0,3,0),"ADELANTADO")))))))</f>
        <v/>
      </c>
      <c r="AM88" s="91" t="n"/>
      <c r="AN88" s="89">
        <f>IF(AE88&lt;&gt;"",HLOOKUP(VALUE(TEXT(AK88,"h:mm:ss")),IF($C$6="Laboral",$FZ$4:$GX$227,IF($C$6="Sábado",$FZ$231:$GX$452,$FZ$456:$GX$656)),VLOOKUP($C$4,$HF$2:$HH$99,3,0)+IF(AG$5="Ida",0,1),1),"")</f>
        <v/>
      </c>
      <c r="AO88" s="89">
        <f>IF(AE89&lt;&gt;AE88,AVERAGEIF(AE$9:AE88,AE88,AN$9:AN88),"")</f>
        <v/>
      </c>
      <c r="AP88" s="89">
        <f>IFERROR(IF(AE89&lt;&gt;AE88,AVERAGEIF(AE$9:AE88,AE88,AW$9:AW88),""),"")</f>
        <v/>
      </c>
      <c r="AQ88" s="89">
        <f>IFERROR(IF(AE89&lt;&gt;AE88,AVERAGEIF(AE$9:AE88,AE88,AX$9:AX88),""),"")</f>
        <v/>
      </c>
      <c r="AR88" s="89">
        <f t="array" ref="AR88">IFERROR(IF(AE89&lt;&gt;AE88,_xlfn.STDEV.P(IF(AE$9:AE88=AE88,AX$9:AX88)),""),"")</f>
        <v/>
      </c>
      <c r="AS88" s="89">
        <f t="array" ref="AS88">IFERROR(IF(AE89&lt;&gt;AE88,_xlfn.STDEV.P(IF(AE$9:AE88=AE88,AW$9:AW88)),""),"")</f>
        <v/>
      </c>
      <c r="AT88" s="90">
        <f>IFERROR(IF(AE88&lt;&gt;AE89,MAX((((AQ88*24*60)/2)*(1+POWER((((AR88*24*60) / (AQ88*24*60) )),2))) + ((AQ88*24*60 )*-0.1 + (AO88*0.015)) +1,(((AQ88*24*60)/2)*(1+POWER((((AR88*24*60) / (AQ88*24*60 ))),2)))),""),"")</f>
        <v/>
      </c>
      <c r="AU88" s="90">
        <f>IF(AND(AS88&lt;&gt;"",AP88&lt;&gt;""),IF(AE88&lt;&gt;AE89,((AP88*24*60) / 2 ) * (1 + POWER(((AS88*24*60) / (AP88*24*60)),2)),""),"")</f>
        <v/>
      </c>
      <c r="AV88" s="90">
        <f>IF(AU88&lt;&gt;"",MAX(AT88,AU88),"")</f>
        <v/>
      </c>
      <c r="AW88" s="89">
        <f>IF(AM88&lt;&gt;"H. Sale Real",IF(AND(AM89&lt;&gt;"",LEFT(AG89,2)&lt;&gt;"Va"),IF(AND(AM88&lt;&gt;"",LEFT(AG88,2)&lt;&gt;"Va",AM88&lt;&gt;"H. Sale Real"),IF(AM89-AM88&lt;0.208333333333333,AM89-AM88,""),IF(AND(AM87&lt;&gt;"",LEFT(AG87,2)&lt;&gt;"Va",AM87&lt;&gt;"H. Sale Real"),IF(AM89-AM87&lt;0.208333333333333,AM89-AM87,""),IF(AND(AM86&lt;&gt;"",LEFT(AG86,2)&lt;&gt;"Va",AM86&lt;&gt;"H. Sale Real"),IF(AM89-AM86&lt;0.208333333333333,AM89-AM86,""),IF(AND(AM85&lt;&gt;"",LEFT(AG85,2)&lt;&gt;"Va",AM85&lt;&gt;"H. Sale Real"),IF(AM89-AM85&lt;0.208333333333333,AM89-AM85,""),IF(AND(AM84&lt;&gt;"",LEFT(AG84,2)&lt;&gt;"Va",AM84&lt;&gt;"H. Sale Real"),IF(AM89-AM84&lt;0.208333333333333,AM89-AM84,""),""))))),""),"")</f>
        <v/>
      </c>
      <c r="AX88" s="89">
        <f>IF(AK88&lt;&gt;"H. Sale Real",IF(AND(AK89&lt;&gt;"",LEFT(AG89,2)&lt;&gt;"Va"),IF(AND(AK88&lt;&gt;"",LEFT(AG88,2)&lt;&gt;"Va",AK88&lt;&gt;"H. Sale Real"),IF(AK89-AK88&lt;0.208333333333333,AK89-AK88,""),IF(AND(AK87&lt;&gt;"",LEFT(AG87,2)&lt;&gt;"Va",AK87&lt;&gt;"H. Sale Real"),IF(AK89-AK87&lt;0.208333333333333,AK89-AK87,""),IF(AND(AK86&lt;&gt;"",LEFT(AG86,2)&lt;&gt;"NC",AK86&lt;&gt;"H. Sale Real"),IF(AK89-AK86&lt;0.208333333333333,AK89-AK86,""),IF(AND(AK85&lt;&gt;"",LEFT(AG85,2)&lt;&gt;"Va",AK85&lt;&gt;"H. Sale Real"),IF(AK89-AK85&lt;0.208333333333333,AK89-AK85,""),IF(AND(AK84&lt;&gt;"",LEFT(AG84,2)&lt;&gt;"Va",AK84&lt;&gt;"H. Sale Real"),IF(AK89-AK84&lt;0.208333333333333,AK89-AK84,""),""))))),""),"")</f>
        <v/>
      </c>
      <c r="AY88" s="87" t="n"/>
      <c r="AZ88" s="89" t="n"/>
      <c r="BA88" s="87" t="n"/>
      <c r="BB88" s="89" t="n"/>
      <c r="BC88" s="91" t="n"/>
      <c r="BD88" s="122">
        <f>IF(AK88&lt;&gt;"",IF(AND(BD87&lt;&gt;"IE",AT88&lt;&gt;0,AV88&lt;&gt;""),IF(IFERROR((AT88/AV88),0) &lt;=1,IFERROR(AT88/AV88,""),1),""),"")</f>
        <v/>
      </c>
      <c r="BE88" s="93" t="n"/>
      <c r="BF88" s="105" t="n"/>
      <c r="FC88" t="inlineStr">
        <is>
          <t>Diccionario 1</t>
        </is>
      </c>
      <c r="FD88" s="15" t="n">
        <v>1085</v>
      </c>
      <c r="FE88" s="15" t="inlineStr">
        <is>
          <t>D8481676K2PL</t>
        </is>
      </c>
      <c r="FF88" s="15" t="inlineStr">
        <is>
          <t>YV3T7U520KA195199</t>
        </is>
      </c>
      <c r="FG88" s="15" t="inlineStr">
        <is>
          <t>Volvo</t>
        </is>
      </c>
      <c r="FH88" s="15" t="inlineStr">
        <is>
          <t>B8R</t>
        </is>
      </c>
      <c r="FI88" s="15" t="inlineStr">
        <is>
          <t>MARCOPOLO</t>
        </is>
      </c>
      <c r="FJ88" s="15" t="inlineStr">
        <is>
          <t>TORINO</t>
        </is>
      </c>
      <c r="FK88" s="15" t="n">
        <v>2019</v>
      </c>
      <c r="FL88" s="15" t="inlineStr">
        <is>
          <t>B2PAL</t>
        </is>
      </c>
      <c r="FM88" s="15" t="inlineStr">
        <is>
          <t>LOS LIBERTADORES</t>
        </is>
      </c>
      <c r="FN88" s="15" t="inlineStr">
        <is>
          <t>Los Liberadores 6450, Lote 4A</t>
        </is>
      </c>
      <c r="FO88" s="15" t="inlineStr">
        <is>
          <t>Huechuraba</t>
        </is>
      </c>
      <c r="FP88" t="inlineStr">
        <is>
          <t>B</t>
        </is>
      </c>
      <c r="FS88" s="14" t="inlineStr">
        <is>
          <t>3023 / SFWB-33|</t>
        </is>
      </c>
      <c r="FT88" t="inlineStr">
        <is>
          <t>SFWB-33|</t>
        </is>
      </c>
      <c r="FU88" t="inlineStr">
        <is>
          <t>SFWB-33</t>
        </is>
      </c>
      <c r="FV88">
        <f>VLOOKUP(FU88,FD:FL,9,0)</f>
        <v/>
      </c>
      <c r="HA88" s="35" t="n">
        <v>85</v>
      </c>
      <c r="HB88" s="35" t="n">
        <v>82</v>
      </c>
    </row>
    <row r="89" ht="15.5" customHeight="1">
      <c r="A89" s="10">
        <f>HOUR(G89)+1</f>
        <v/>
      </c>
      <c r="B89" s="7" t="n"/>
      <c r="C89" s="7" t="n"/>
      <c r="D89" s="85">
        <f>IFERROR(
IF(AND(OR(Planilla!B89="C",Planilla!B89="c"), VLOOKUP(E89,FD:FP,13,0)="C"), "OK",IF(AND(OR(Planilla!B89="C",Planilla!B89="c"), OR(VLOOKUP(E89,FD:FP,13,0)="B", VLOOKUP(E89,FD:FP,13,0)="A")), "DEFICIT",IF(
AND(OR(Planilla!B89="B", Planilla!B89="BPAL"), VLOOKUP(E89,FD:FP,13,0)="B"), "OK",IF(AND(OR(Planilla!B89="B", Planilla!B89="BPAL"), VLOOKUP(E89,FD:FP,13,0)="A"), "DEFICIT",IF(AND(OR(Planilla!B89="B", Planilla!B89="BPAL"), VLOOKUP(E89,FD:FP,13,0)="C"), "SOBREOFERTA",IF(AND(Planilla!B89="A", VLOOKUP(E89,FD:FP,13,0)="A"), "OK",IF(
AND(Planilla!B89="A", OR(VLOOKUP(E89,FD:FP,13,0)="B", VLOOKUP(E89,FD:FP,13,0)="C")), "SOBREOFERTA",""
))))))),"")</f>
        <v/>
      </c>
      <c r="E89" s="8" t="n"/>
      <c r="F89" s="86" t="n"/>
      <c r="G89" s="87" t="n"/>
      <c r="H89" s="88">
        <f>IF(I89="","",IF(AND((I89-G89)&gt;=TIME(0,0,0),(I89-G89)&lt;TIME(0,3,0)),"OK",IF(AND((I89-G89)&gt;=TIME(0,3,0),(I89-G89)&lt;TIME(0,5,0)),"RETRASO DE 3-5 MIN",IF(AND((I89-G89)&gt;=TIME(0,5,0),(I89-G89)&lt;TIME(0,10,0)),"RETRASO DE 5-10 MIN",IF((I89-G89)&gt;=TIME(0,10,0),"RETRASO &gt;10 MIN", IF(AND((G89-I89)&gt;=TIME(0,0,0),(G89-I89)&lt;TIME(0,3,0)),"OK",IF((G89-I89)&gt;=TIME(0,3,0),"ADELANTADO")))))))</f>
        <v/>
      </c>
      <c r="I89" s="89" t="n"/>
      <c r="J89" s="89">
        <f>IF(A89&lt;&gt;"",HLOOKUP(VALUE(TEXT(G89,"h:mm:ss")),IF($C$6="Laboral",$FZ$4:$GX$227,IF($C$6="Sábado",$FZ$231:$GX$452,$FZ$456:$GX$656)),VLOOKUP($C$4,$HF$2:$HH$99,3,0)+IF(C$5="Ida",0,1),1),"")</f>
        <v/>
      </c>
      <c r="K89" s="89">
        <f>IF(A90&lt;&gt;A89,AVERAGEIF(A$9:A89,A89,J$9:J89),"")</f>
        <v/>
      </c>
      <c r="L89" s="89">
        <f>IFERROR(IF(A90&lt;&gt;A89,AVERAGEIF(A$9:A89,A89,S$9:S89),""),"")</f>
        <v/>
      </c>
      <c r="M89" s="89">
        <f>IFERROR(IF(A90&lt;&gt;A89,AVERAGEIF(A$9:A89,A89,T$9:T89),""),"")</f>
        <v/>
      </c>
      <c r="N89" s="89">
        <f t="array" ref="N89">IFERROR(IF(A90&lt;&gt;A89,_xlfn.STDEV.P(IF(A$9:A89=A89,T$9:T89)),""),"")</f>
        <v/>
      </c>
      <c r="O89" s="89">
        <f t="array" ref="O89">IFERROR(IF(A90&lt;&gt;A89,_xlfn.STDEV.P(IF(A$9:A89=A89,S$9:S89)),""),"")</f>
        <v/>
      </c>
      <c r="P89" s="90">
        <f>IFERROR(IF(A89&lt;&gt;A90,MAX((((M89*24*60)/2)*(1+POWER((((N89*24*60) / (M89*24*60) )),2))) + ((M89*24*60 )*-0.1 + (K89*0.015)) +1,(((M89*24*60)/2)*(1+POWER((((N89*24*60) / (M89*24*60 ))),2)))),""),"")</f>
        <v/>
      </c>
      <c r="Q89" s="90">
        <f>IF(AND(O89&lt;&gt;"",L89&lt;&gt;""),IF(A89&lt;&gt;A90,((L89*24*60) / 2 ) * (1 + POWER(((O89*24*60) / (L89*24*60)),2)),""),"")</f>
        <v/>
      </c>
      <c r="R89" s="90">
        <f>IF(Q89&lt;&gt;"",MAX(P89,Q89),"")</f>
        <v/>
      </c>
      <c r="S89" s="89">
        <f>IF(I89&lt;&gt;"H. Sale Real",IF(AND(I90&lt;&gt;"",LEFT(C90,2)&lt;&gt;"Va"),IF(AND(I89&lt;&gt;"",LEFT(C89,2)&lt;&gt;"Va",I89&lt;&gt;"H. Sale Real"),IF(I90-I89&lt;0.208333333333333,I90-I89,""),IF(AND(I88&lt;&gt;"",LEFT(C88,2)&lt;&gt;"Va",I88&lt;&gt;"H. Sale Real"),IF(I90-I88&lt;0.208333333333333,I90-I88,""),IF(AND(I87&lt;&gt;"",LEFT(C87,2)&lt;&gt;"Va",I87&lt;&gt;"H. Sale Real"),IF(I90-I87&lt;0.208333333333333,I90-I87,""),IF(AND(I86&lt;&gt;"",LEFT(C86,2)&lt;&gt;"Va",I86&lt;&gt;"H. Sale Real"),IF(I90-I86&lt;0.208333333333333,I90-I86,""),IF(AND(I85&lt;&gt;"",LEFT(C85,2)&lt;&gt;"Va",I85&lt;&gt;"H. Sale Real"),IF(I90-I85&lt;0.208333333333333,I90-I85,""),""))))),""),"")</f>
        <v/>
      </c>
      <c r="T89" s="89">
        <f>IF(G89&lt;&gt;"H. Sale Real",IF(AND(G90&lt;&gt;"",LEFT(C90,2)&lt;&gt;"Va"),IF(AND(G89&lt;&gt;"",LEFT(C89,2)&lt;&gt;"Va",G89&lt;&gt;"H. Sale Real"),IF(G90-G89&lt;0.208333333333333,G90-G89,""),IF(AND(G88&lt;&gt;"",LEFT(C88,2)&lt;&gt;"Va",G88&lt;&gt;"H. Sale Real"),IF(G90-G88&lt;0.208333333333333,G90-G88,""),IF(AND(G87&lt;&gt;"",LEFT(C87,2)&lt;&gt;"Va",G87&lt;&gt;"H. Sale Real"),IF(G90-G87&lt;0.208333333333333,G90-G87,""),IF(AND(G86&lt;&gt;"",LEFT(C86,2)&lt;&gt;"Va",G86&lt;&gt;"H. Sale Real"),IF(G90-G86&lt;0.208333333333333,G90-G86,""),IF(AND(G85&lt;&gt;"",LEFT(C85,2)&lt;&gt;"Va",G85&lt;&gt;"H. Sale Real"),IF(G90-G85&lt;0.208333333333333,G90-G85,""),""))))),""),"")</f>
        <v/>
      </c>
      <c r="U89" s="87" t="n"/>
      <c r="V89" s="89" t="n"/>
      <c r="W89" s="87" t="n"/>
      <c r="X89" s="89" t="n"/>
      <c r="Y89" s="91" t="n"/>
      <c r="Z89" s="122">
        <f>IF(G89&lt;&gt;"",IF(AND(Z88&lt;&gt;"IE",P89&lt;&gt;0,R89&lt;&gt;""),IF(IFERROR((P89/R89),0) &lt;=1,IFERROR(P89/R89,""),1),""),"")</f>
        <v/>
      </c>
      <c r="AA89" s="93" t="n"/>
      <c r="AB89" s="2" t="n"/>
      <c r="AE89" s="10">
        <f>HOUR(AK89)+1</f>
        <v/>
      </c>
      <c r="AF89" s="7" t="n"/>
      <c r="AG89" s="7" t="n"/>
      <c r="AH89" s="86" t="n"/>
      <c r="AI89" s="8" t="n"/>
      <c r="AJ89" s="86" t="n"/>
      <c r="AK89" s="87" t="n"/>
      <c r="AL89" s="88">
        <f>IF(AM89="","",IF(AND((AM89-AK89)&gt;=TIME(0,0,0),(AM89-AK89)&lt;TIME(0,3,0)),"OK",IF(AND((AM89-AK89)&gt;=TIME(0,3,0),(AM89-AK89)&lt;TIME(0,5,0)),"RETRASO DE 3-5 MIN",IF(AND((AM89-AK89)&gt;=TIME(0,5,0),(AM89-AK89)&lt;TIME(0,10,0)),"RETRASO DE 5-10 MIN",IF((AM89-AK89)&gt;=TIME(0,10,0),"RETRASO &gt;10 MIN", IF(AND((AK89-AM89)&gt;=TIME(0,0,0),(AK89-AM89)&lt;TIME(0,3,0)),"OK",IF((AK89-AM89)&gt;=TIME(0,3,0),"ADELANTADO")))))))</f>
        <v/>
      </c>
      <c r="AM89" s="91" t="n"/>
      <c r="AN89" s="89">
        <f>IF(AE89&lt;&gt;"",HLOOKUP(VALUE(TEXT(AK89,"h:mm:ss")),IF($C$6="Laboral",$FZ$4:$GX$227,IF($C$6="Sábado",$FZ$231:$GX$452,$FZ$456:$GX$656)),VLOOKUP($C$4,$HF$2:$HH$99,3,0)+IF(AG$5="Ida",0,1),1),"")</f>
        <v/>
      </c>
      <c r="AO89" s="89">
        <f>IF(AE90&lt;&gt;AE89,AVERAGEIF(AE$9:AE89,AE89,AN$9:AN89),"")</f>
        <v/>
      </c>
      <c r="AP89" s="89">
        <f>IFERROR(IF(AE90&lt;&gt;AE89,AVERAGEIF(AE$9:AE89,AE89,AW$9:AW89),""),"")</f>
        <v/>
      </c>
      <c r="AQ89" s="89">
        <f>IFERROR(IF(AE90&lt;&gt;AE89,AVERAGEIF(AE$9:AE89,AE89,AX$9:AX89),""),"")</f>
        <v/>
      </c>
      <c r="AR89" s="89">
        <f t="array" ref="AR89">IFERROR(IF(AE90&lt;&gt;AE89,_xlfn.STDEV.P(IF(AE$9:AE89=AE89,AX$9:AX89)),""),"")</f>
        <v/>
      </c>
      <c r="AS89" s="89">
        <f t="array" ref="AS89">IFERROR(IF(AE90&lt;&gt;AE89,_xlfn.STDEV.P(IF(AE$9:AE89=AE89,AW$9:AW89)),""),"")</f>
        <v/>
      </c>
      <c r="AT89" s="90">
        <f>IFERROR(IF(AE89&lt;&gt;AE90,MAX((((AQ89*24*60)/2)*(1+POWER((((AR89*24*60) / (AQ89*24*60) )),2))) + ((AQ89*24*60 )*-0.1 + (AO89*0.015)) +1,(((AQ89*24*60)/2)*(1+POWER((((AR89*24*60) / (AQ89*24*60 ))),2)))),""),"")</f>
        <v/>
      </c>
      <c r="AU89" s="90">
        <f>IF(AND(AS89&lt;&gt;"",AP89&lt;&gt;""),IF(AE89&lt;&gt;AE90,((AP89*24*60) / 2 ) * (1 + POWER(((AS89*24*60) / (AP89*24*60)),2)),""),"")</f>
        <v/>
      </c>
      <c r="AV89" s="90">
        <f>IF(AU89&lt;&gt;"",MAX(AT89,AU89),"")</f>
        <v/>
      </c>
      <c r="AW89" s="89">
        <f>IF(AM89&lt;&gt;"H. Sale Real",IF(AND(AM90&lt;&gt;"",LEFT(AG90,2)&lt;&gt;"Va"),IF(AND(AM89&lt;&gt;"",LEFT(AG89,2)&lt;&gt;"Va",AM89&lt;&gt;"H. Sale Real"),IF(AM90-AM89&lt;0.208333333333333,AM90-AM89,""),IF(AND(AM88&lt;&gt;"",LEFT(AG88,2)&lt;&gt;"Va",AM88&lt;&gt;"H. Sale Real"),IF(AM90-AM88&lt;0.208333333333333,AM90-AM88,""),IF(AND(AM87&lt;&gt;"",LEFT(AG87,2)&lt;&gt;"Va",AM87&lt;&gt;"H. Sale Real"),IF(AM90-AM87&lt;0.208333333333333,AM90-AM87,""),IF(AND(AM86&lt;&gt;"",LEFT(AG86,2)&lt;&gt;"Va",AM86&lt;&gt;"H. Sale Real"),IF(AM90-AM86&lt;0.208333333333333,AM90-AM86,""),IF(AND(AM85&lt;&gt;"",LEFT(AG85,2)&lt;&gt;"Va",AM85&lt;&gt;"H. Sale Real"),IF(AM90-AM85&lt;0.208333333333333,AM90-AM85,""),""))))),""),"")</f>
        <v/>
      </c>
      <c r="AX89" s="89">
        <f>IF(AK89&lt;&gt;"H. Sale Real",IF(AND(AK90&lt;&gt;"",LEFT(AG90,2)&lt;&gt;"Va"),IF(AND(AK89&lt;&gt;"",LEFT(AG89,2)&lt;&gt;"Va",AK89&lt;&gt;"H. Sale Real"),IF(AK90-AK89&lt;0.208333333333333,AK90-AK89,""),IF(AND(AK88&lt;&gt;"",LEFT(AG88,2)&lt;&gt;"Va",AK88&lt;&gt;"H. Sale Real"),IF(AK90-AK88&lt;0.208333333333333,AK90-AK88,""),IF(AND(AK87&lt;&gt;"",LEFT(AG87,2)&lt;&gt;"NC",AK87&lt;&gt;"H. Sale Real"),IF(AK90-AK87&lt;0.208333333333333,AK90-AK87,""),IF(AND(AK86&lt;&gt;"",LEFT(AG86,2)&lt;&gt;"Va",AK86&lt;&gt;"H. Sale Real"),IF(AK90-AK86&lt;0.208333333333333,AK90-AK86,""),IF(AND(AK85&lt;&gt;"",LEFT(AG85,2)&lt;&gt;"Va",AK85&lt;&gt;"H. Sale Real"),IF(AK90-AK85&lt;0.208333333333333,AK90-AK85,""),""))))),""),"")</f>
        <v/>
      </c>
      <c r="AY89" s="87" t="n"/>
      <c r="AZ89" s="89" t="n"/>
      <c r="BA89" s="87" t="n"/>
      <c r="BB89" s="89" t="n"/>
      <c r="BC89" s="91" t="n"/>
      <c r="BD89" s="122">
        <f>IF(AK89&lt;&gt;"",IF(AND(BD88&lt;&gt;"IE",AT89&lt;&gt;0,AV89&lt;&gt;""),IF(IFERROR((AT89/AV89),0) &lt;=1,IFERROR(AT89/AV89,""),1),""),"")</f>
        <v/>
      </c>
      <c r="BE89" s="93" t="n"/>
      <c r="BF89" s="105" t="n"/>
      <c r="FC89" t="inlineStr">
        <is>
          <t>Diccionario 1</t>
        </is>
      </c>
      <c r="FD89" s="15" t="n">
        <v>1086</v>
      </c>
      <c r="FE89" s="15" t="inlineStr">
        <is>
          <t>D8481773K2PL</t>
        </is>
      </c>
      <c r="FF89" s="15" t="inlineStr">
        <is>
          <t>YV3T7U522KA195429</t>
        </is>
      </c>
      <c r="FG89" s="15" t="inlineStr">
        <is>
          <t>Volvo</t>
        </is>
      </c>
      <c r="FH89" s="15" t="inlineStr">
        <is>
          <t>B8R</t>
        </is>
      </c>
      <c r="FI89" s="15" t="inlineStr">
        <is>
          <t>MARCOPOLO</t>
        </is>
      </c>
      <c r="FJ89" s="15" t="inlineStr">
        <is>
          <t>TORINO</t>
        </is>
      </c>
      <c r="FK89" s="15" t="n">
        <v>2019</v>
      </c>
      <c r="FL89" s="15" t="inlineStr">
        <is>
          <t>B2PAL</t>
        </is>
      </c>
      <c r="FM89" s="15" t="inlineStr">
        <is>
          <t>LOS LIBERTADORES</t>
        </is>
      </c>
      <c r="FN89" s="15" t="inlineStr">
        <is>
          <t>Los Liberadores 6450, Lote 4A</t>
        </is>
      </c>
      <c r="FO89" s="15" t="inlineStr">
        <is>
          <t>Huechuraba</t>
        </is>
      </c>
      <c r="FP89" t="inlineStr">
        <is>
          <t>B</t>
        </is>
      </c>
      <c r="FS89" s="14" t="inlineStr">
        <is>
          <t>3023 / SFWB-33|</t>
        </is>
      </c>
      <c r="FT89" t="inlineStr">
        <is>
          <t>SFWB-33|</t>
        </is>
      </c>
      <c r="FU89" t="inlineStr">
        <is>
          <t>SFWB-33</t>
        </is>
      </c>
      <c r="FV89">
        <f>VLOOKUP(FU89,FD:FL,9,0)</f>
        <v/>
      </c>
      <c r="HA89" s="35" t="n">
        <v>86</v>
      </c>
      <c r="HB89" s="35" t="n">
        <v>83</v>
      </c>
    </row>
    <row r="90" ht="15.5" customHeight="1">
      <c r="A90" s="10">
        <f>HOUR(G90)+1</f>
        <v/>
      </c>
      <c r="B90" s="7" t="n"/>
      <c r="C90" s="7" t="n"/>
      <c r="D90" s="85">
        <f>IFERROR(
IF(AND(OR(Planilla!B90="C",Planilla!B90="c"), VLOOKUP(E90,FD:FP,13,0)="C"), "OK",IF(AND(OR(Planilla!B90="C",Planilla!B90="c"), OR(VLOOKUP(E90,FD:FP,13,0)="B", VLOOKUP(E90,FD:FP,13,0)="A")), "DEFICIT",IF(
AND(OR(Planilla!B90="B", Planilla!B90="BPAL"), VLOOKUP(E90,FD:FP,13,0)="B"), "OK",IF(AND(OR(Planilla!B90="B", Planilla!B90="BPAL"), VLOOKUP(E90,FD:FP,13,0)="A"), "DEFICIT",IF(AND(OR(Planilla!B90="B", Planilla!B90="BPAL"), VLOOKUP(E90,FD:FP,13,0)="C"), "SOBREOFERTA",IF(AND(Planilla!B90="A", VLOOKUP(E90,FD:FP,13,0)="A"), "OK",IF(
AND(Planilla!B90="A", OR(VLOOKUP(E90,FD:FP,13,0)="B", VLOOKUP(E90,FD:FP,13,0)="C")), "SOBREOFERTA",""
))))))),"")</f>
        <v/>
      </c>
      <c r="E90" s="8" t="n"/>
      <c r="F90" s="86" t="n"/>
      <c r="G90" s="87" t="n"/>
      <c r="H90" s="88">
        <f>IF(I90="","",IF(AND((I90-G90)&gt;=TIME(0,0,0),(I90-G90)&lt;TIME(0,3,0)),"OK",IF(AND((I90-G90)&gt;=TIME(0,3,0),(I90-G90)&lt;TIME(0,5,0)),"RETRASO DE 3-5 MIN",IF(AND((I90-G90)&gt;=TIME(0,5,0),(I90-G90)&lt;TIME(0,10,0)),"RETRASO DE 5-10 MIN",IF((I90-G90)&gt;=TIME(0,10,0),"RETRASO &gt;10 MIN", IF(AND((G90-I90)&gt;=TIME(0,0,0),(G90-I90)&lt;TIME(0,3,0)),"OK",IF((G90-I90)&gt;=TIME(0,3,0),"ADELANTADO")))))))</f>
        <v/>
      </c>
      <c r="I90" s="89" t="n"/>
      <c r="J90" s="89">
        <f>IF(A90&lt;&gt;"",HLOOKUP(VALUE(TEXT(G90,"h:mm:ss")),IF($C$6="Laboral",$FZ$4:$GX$227,IF($C$6="Sábado",$FZ$231:$GX$452,$FZ$456:$GX$656)),VLOOKUP($C$4,$HF$2:$HH$99,3,0)+IF(C$5="Ida",0,1),1),"")</f>
        <v/>
      </c>
      <c r="K90" s="89">
        <f>IF(A91&lt;&gt;A90,AVERAGEIF(A$9:A90,A90,J$9:J90),"")</f>
        <v/>
      </c>
      <c r="L90" s="89">
        <f>IFERROR(IF(A91&lt;&gt;A90,AVERAGEIF(A$9:A90,A90,S$9:S90),""),"")</f>
        <v/>
      </c>
      <c r="M90" s="89">
        <f>IFERROR(IF(A91&lt;&gt;A90,AVERAGEIF(A$9:A90,A90,T$9:T90),""),"")</f>
        <v/>
      </c>
      <c r="N90" s="89">
        <f t="array" ref="N90">IFERROR(IF(A91&lt;&gt;A90,_xlfn.STDEV.P(IF(A$9:A90=A90,T$9:T90)),""),"")</f>
        <v/>
      </c>
      <c r="O90" s="89">
        <f t="array" ref="O90">IFERROR(IF(A91&lt;&gt;A90,_xlfn.STDEV.P(IF(A$9:A90=A90,S$9:S90)),""),"")</f>
        <v/>
      </c>
      <c r="P90" s="90">
        <f>IFERROR(IF(A90&lt;&gt;A91,MAX((((M90*24*60)/2)*(1+POWER((((N90*24*60) / (M90*24*60) )),2))) + ((M90*24*60 )*-0.1 + (K90*0.015)) +1,(((M90*24*60)/2)*(1+POWER((((N90*24*60) / (M90*24*60 ))),2)))),""),"")</f>
        <v/>
      </c>
      <c r="Q90" s="90">
        <f>IF(AND(O90&lt;&gt;"",L90&lt;&gt;""),IF(A90&lt;&gt;A91,((L90*24*60) / 2 ) * (1 + POWER(((O90*24*60) / (L90*24*60)),2)),""),"")</f>
        <v/>
      </c>
      <c r="R90" s="90">
        <f>IF(Q90&lt;&gt;"",MAX(P90,Q90),"")</f>
        <v/>
      </c>
      <c r="S90" s="89">
        <f>IF(I90&lt;&gt;"H. Sale Real",IF(AND(I91&lt;&gt;"",LEFT(C91,2)&lt;&gt;"Va"),IF(AND(I90&lt;&gt;"",LEFT(C90,2)&lt;&gt;"Va",I90&lt;&gt;"H. Sale Real"),IF(I91-I90&lt;0.208333333333333,I91-I90,""),IF(AND(I89&lt;&gt;"",LEFT(C89,2)&lt;&gt;"Va",I89&lt;&gt;"H. Sale Real"),IF(I91-I89&lt;0.208333333333333,I91-I89,""),IF(AND(I88&lt;&gt;"",LEFT(C88,2)&lt;&gt;"Va",I88&lt;&gt;"H. Sale Real"),IF(I91-I88&lt;0.208333333333333,I91-I88,""),IF(AND(I87&lt;&gt;"",LEFT(C87,2)&lt;&gt;"Va",I87&lt;&gt;"H. Sale Real"),IF(I91-I87&lt;0.208333333333333,I91-I87,""),IF(AND(I86&lt;&gt;"",LEFT(C86,2)&lt;&gt;"Va",I86&lt;&gt;"H. Sale Real"),IF(I91-I86&lt;0.208333333333333,I91-I86,""),""))))),""),"")</f>
        <v/>
      </c>
      <c r="T90" s="89">
        <f>IF(G90&lt;&gt;"H. Sale Real",IF(AND(G91&lt;&gt;"",LEFT(C91,2)&lt;&gt;"Va"),IF(AND(G90&lt;&gt;"",LEFT(C90,2)&lt;&gt;"Va",G90&lt;&gt;"H. Sale Real"),IF(G91-G90&lt;0.208333333333333,G91-G90,""),IF(AND(G89&lt;&gt;"",LEFT(C89,2)&lt;&gt;"Va",G89&lt;&gt;"H. Sale Real"),IF(G91-G89&lt;0.208333333333333,G91-G89,""),IF(AND(G88&lt;&gt;"",LEFT(C88,2)&lt;&gt;"Va",G88&lt;&gt;"H. Sale Real"),IF(G91-G88&lt;0.208333333333333,G91-G88,""),IF(AND(G87&lt;&gt;"",LEFT(C87,2)&lt;&gt;"Va",G87&lt;&gt;"H. Sale Real"),IF(G91-G87&lt;0.208333333333333,G91-G87,""),IF(AND(G86&lt;&gt;"",LEFT(C86,2)&lt;&gt;"Va",G86&lt;&gt;"H. Sale Real"),IF(G91-G86&lt;0.208333333333333,G91-G86,""),""))))),""),"")</f>
        <v/>
      </c>
      <c r="U90" s="87" t="n"/>
      <c r="V90" s="89" t="n"/>
      <c r="W90" s="87" t="n"/>
      <c r="X90" s="89" t="n"/>
      <c r="Y90" s="91" t="n"/>
      <c r="Z90" s="122">
        <f>IF(G90&lt;&gt;"",IF(AND(Z89&lt;&gt;"IE",P90&lt;&gt;0,R90&lt;&gt;""),IF(IFERROR((P90/R90),0) &lt;=1,IFERROR(P90/R90,""),1),""),"")</f>
        <v/>
      </c>
      <c r="AA90" s="93" t="n"/>
      <c r="AB90" s="2" t="n"/>
      <c r="AE90" s="10">
        <f>HOUR(AK90)+1</f>
        <v/>
      </c>
      <c r="AF90" s="7" t="n"/>
      <c r="AG90" s="7" t="n"/>
      <c r="AH90" s="86" t="n"/>
      <c r="AI90" s="8" t="n"/>
      <c r="AJ90" s="86" t="n"/>
      <c r="AK90" s="87" t="n"/>
      <c r="AL90" s="88">
        <f>IF(AM90="","",IF(AND((AM90-AK90)&gt;=TIME(0,0,0),(AM90-AK90)&lt;TIME(0,3,0)),"OK",IF(AND((AM90-AK90)&gt;=TIME(0,3,0),(AM90-AK90)&lt;TIME(0,5,0)),"RETRASO DE 3-5 MIN",IF(AND((AM90-AK90)&gt;=TIME(0,5,0),(AM90-AK90)&lt;TIME(0,10,0)),"RETRASO DE 5-10 MIN",IF((AM90-AK90)&gt;=TIME(0,10,0),"RETRASO &gt;10 MIN", IF(AND((AK90-AM90)&gt;=TIME(0,0,0),(AK90-AM90)&lt;TIME(0,3,0)),"OK",IF((AK90-AM90)&gt;=TIME(0,3,0),"ADELANTADO")))))))</f>
        <v/>
      </c>
      <c r="AM90" s="91" t="n"/>
      <c r="AN90" s="89">
        <f>IF(AE90&lt;&gt;"",HLOOKUP(VALUE(TEXT(AK90,"h:mm:ss")),IF($C$6="Laboral",$FZ$4:$GX$227,IF($C$6="Sábado",$FZ$231:$GX$452,$FZ$456:$GX$656)),VLOOKUP($C$4,$HF$2:$HH$99,3,0)+IF(AG$5="Ida",0,1),1),"")</f>
        <v/>
      </c>
      <c r="AO90" s="89">
        <f>IF(AE91&lt;&gt;AE90,AVERAGEIF(AE$9:AE90,AE90,AN$9:AN90),"")</f>
        <v/>
      </c>
      <c r="AP90" s="89">
        <f>IFERROR(IF(AE91&lt;&gt;AE90,AVERAGEIF(AE$9:AE90,AE90,AW$9:AW90),""),"")</f>
        <v/>
      </c>
      <c r="AQ90" s="89">
        <f>IFERROR(IF(AE91&lt;&gt;AE90,AVERAGEIF(AE$9:AE90,AE90,AX$9:AX90),""),"")</f>
        <v/>
      </c>
      <c r="AR90" s="89">
        <f t="array" ref="AR90">IFERROR(IF(AE91&lt;&gt;AE90,_xlfn.STDEV.P(IF(AE$9:AE90=AE90,AX$9:AX90)),""),"")</f>
        <v/>
      </c>
      <c r="AS90" s="89">
        <f t="array" ref="AS90">IFERROR(IF(AE91&lt;&gt;AE90,_xlfn.STDEV.P(IF(AE$9:AE90=AE90,AW$9:AW90)),""),"")</f>
        <v/>
      </c>
      <c r="AT90" s="90">
        <f>IFERROR(IF(AE90&lt;&gt;AE91,MAX((((AQ90*24*60)/2)*(1+POWER((((AR90*24*60) / (AQ90*24*60) )),2))) + ((AQ90*24*60 )*-0.1 + (AO90*0.015)) +1,(((AQ90*24*60)/2)*(1+POWER((((AR90*24*60) / (AQ90*24*60 ))),2)))),""),"")</f>
        <v/>
      </c>
      <c r="AU90" s="90">
        <f>IF(AND(AS90&lt;&gt;"",AP90&lt;&gt;""),IF(AE90&lt;&gt;AE91,((AP90*24*60) / 2 ) * (1 + POWER(((AS90*24*60) / (AP90*24*60)),2)),""),"")</f>
        <v/>
      </c>
      <c r="AV90" s="90">
        <f>IF(AU90&lt;&gt;"",MAX(AT90,AU90),"")</f>
        <v/>
      </c>
      <c r="AW90" s="89">
        <f>IF(AM90&lt;&gt;"H. Sale Real",IF(AND(AM91&lt;&gt;"",LEFT(AG91,2)&lt;&gt;"Va"),IF(AND(AM90&lt;&gt;"",LEFT(AG90,2)&lt;&gt;"Va",AM90&lt;&gt;"H. Sale Real"),IF(AM91-AM90&lt;0.208333333333333,AM91-AM90,""),IF(AND(AM89&lt;&gt;"",LEFT(AG89,2)&lt;&gt;"Va",AM89&lt;&gt;"H. Sale Real"),IF(AM91-AM89&lt;0.208333333333333,AM91-AM89,""),IF(AND(AM88&lt;&gt;"",LEFT(AG88,2)&lt;&gt;"Va",AM88&lt;&gt;"H. Sale Real"),IF(AM91-AM88&lt;0.208333333333333,AM91-AM88,""),IF(AND(AM87&lt;&gt;"",LEFT(AG87,2)&lt;&gt;"Va",AM87&lt;&gt;"H. Sale Real"),IF(AM91-AM87&lt;0.208333333333333,AM91-AM87,""),IF(AND(AM86&lt;&gt;"",LEFT(AG86,2)&lt;&gt;"Va",AM86&lt;&gt;"H. Sale Real"),IF(AM91-AM86&lt;0.208333333333333,AM91-AM86,""),""))))),""),"")</f>
        <v/>
      </c>
      <c r="AX90" s="89">
        <f>IF(AK90&lt;&gt;"H. Sale Real",IF(AND(AK91&lt;&gt;"",LEFT(AG91,2)&lt;&gt;"Va"),IF(AND(AK90&lt;&gt;"",LEFT(AG90,2)&lt;&gt;"Va",AK90&lt;&gt;"H. Sale Real"),IF(AK91-AK90&lt;0.208333333333333,AK91-AK90,""),IF(AND(AK89&lt;&gt;"",LEFT(AG89,2)&lt;&gt;"Va",AK89&lt;&gt;"H. Sale Real"),IF(AK91-AK89&lt;0.208333333333333,AK91-AK89,""),IF(AND(AK88&lt;&gt;"",LEFT(AG88,2)&lt;&gt;"NC",AK88&lt;&gt;"H. Sale Real"),IF(AK91-AK88&lt;0.208333333333333,AK91-AK88,""),IF(AND(AK87&lt;&gt;"",LEFT(AG87,2)&lt;&gt;"Va",AK87&lt;&gt;"H. Sale Real"),IF(AK91-AK87&lt;0.208333333333333,AK91-AK87,""),IF(AND(AK86&lt;&gt;"",LEFT(AG86,2)&lt;&gt;"Va",AK86&lt;&gt;"H. Sale Real"),IF(AK91-AK86&lt;0.208333333333333,AK91-AK86,""),""))))),""),"")</f>
        <v/>
      </c>
      <c r="AY90" s="87" t="n"/>
      <c r="AZ90" s="89" t="n"/>
      <c r="BA90" s="87" t="n"/>
      <c r="BB90" s="89" t="n"/>
      <c r="BC90" s="91" t="n"/>
      <c r="BD90" s="122">
        <f>IF(AK90&lt;&gt;"",IF(AND(BD89&lt;&gt;"IE",AT90&lt;&gt;0,AV90&lt;&gt;""),IF(IFERROR((AT90/AV90),0) &lt;=1,IFERROR(AT90/AV90,""),1),""),"")</f>
        <v/>
      </c>
      <c r="BE90" s="93" t="n"/>
      <c r="BF90" s="105" t="n"/>
      <c r="FC90" t="inlineStr">
        <is>
          <t>Diccionario 1</t>
        </is>
      </c>
      <c r="FD90" s="15" t="n">
        <v>1087</v>
      </c>
      <c r="FE90" s="15" t="inlineStr">
        <is>
          <t>D8483496K2PL</t>
        </is>
      </c>
      <c r="FF90" s="15" t="inlineStr">
        <is>
          <t>YV3T7U52XKA195551</t>
        </is>
      </c>
      <c r="FG90" s="15" t="inlineStr">
        <is>
          <t>Volvo</t>
        </is>
      </c>
      <c r="FH90" s="15" t="inlineStr">
        <is>
          <t>B8R</t>
        </is>
      </c>
      <c r="FI90" s="15" t="inlineStr">
        <is>
          <t>MARCOPOLO</t>
        </is>
      </c>
      <c r="FJ90" s="15" t="inlineStr">
        <is>
          <t>TORINO</t>
        </is>
      </c>
      <c r="FK90" s="15" t="n">
        <v>2019</v>
      </c>
      <c r="FL90" s="15" t="inlineStr">
        <is>
          <t>B2PAL</t>
        </is>
      </c>
      <c r="FM90" s="15" t="inlineStr">
        <is>
          <t>SAN JOSE</t>
        </is>
      </c>
      <c r="FN90" s="15" t="inlineStr">
        <is>
          <t>San José 030 (José Besa 669)</t>
        </is>
      </c>
      <c r="FO90" s="15" t="inlineStr">
        <is>
          <t>San Bernardo</t>
        </is>
      </c>
      <c r="FP90" t="inlineStr">
        <is>
          <t>B</t>
        </is>
      </c>
      <c r="FS90" s="14" t="inlineStr">
        <is>
          <t>3023 / SFWB-33|</t>
        </is>
      </c>
      <c r="FT90" t="inlineStr">
        <is>
          <t>SFWB-33|</t>
        </is>
      </c>
      <c r="FU90" t="inlineStr">
        <is>
          <t>SFWB-33</t>
        </is>
      </c>
      <c r="FV90">
        <f>VLOOKUP(FU90,FD:FL,9,0)</f>
        <v/>
      </c>
      <c r="HA90" s="35" t="n">
        <v>87</v>
      </c>
      <c r="HB90" s="35" t="n">
        <v>84</v>
      </c>
    </row>
    <row r="91" ht="15.5" customHeight="1">
      <c r="A91" s="10">
        <f>HOUR(G91)+1</f>
        <v/>
      </c>
      <c r="B91" s="7" t="n"/>
      <c r="C91" s="7" t="n"/>
      <c r="D91" s="85">
        <f>IFERROR(
IF(AND(OR(Planilla!B91="C",Planilla!B91="c"), VLOOKUP(E91,FD:FP,13,0)="C"), "OK",IF(AND(OR(Planilla!B91="C",Planilla!B91="c"), OR(VLOOKUP(E91,FD:FP,13,0)="B", VLOOKUP(E91,FD:FP,13,0)="A")), "DEFICIT",IF(
AND(OR(Planilla!B91="B", Planilla!B91="BPAL"), VLOOKUP(E91,FD:FP,13,0)="B"), "OK",IF(AND(OR(Planilla!B91="B", Planilla!B91="BPAL"), VLOOKUP(E91,FD:FP,13,0)="A"), "DEFICIT",IF(AND(OR(Planilla!B91="B", Planilla!B91="BPAL"), VLOOKUP(E91,FD:FP,13,0)="C"), "SOBREOFERTA",IF(AND(Planilla!B91="A", VLOOKUP(E91,FD:FP,13,0)="A"), "OK",IF(
AND(Planilla!B91="A", OR(VLOOKUP(E91,FD:FP,13,0)="B", VLOOKUP(E91,FD:FP,13,0)="C")), "SOBREOFERTA",""
))))))),"")</f>
        <v/>
      </c>
      <c r="E91" s="8" t="n"/>
      <c r="F91" s="86" t="n"/>
      <c r="G91" s="87" t="n"/>
      <c r="H91" s="88">
        <f>IF(I91="","",IF(AND((I91-G91)&gt;=TIME(0,0,0),(I91-G91)&lt;TIME(0,3,0)),"OK",IF(AND((I91-G91)&gt;=TIME(0,3,0),(I91-G91)&lt;TIME(0,5,0)),"RETRASO DE 3-5 MIN",IF(AND((I91-G91)&gt;=TIME(0,5,0),(I91-G91)&lt;TIME(0,10,0)),"RETRASO DE 5-10 MIN",IF((I91-G91)&gt;=TIME(0,10,0),"RETRASO &gt;10 MIN", IF(AND((G91-I91)&gt;=TIME(0,0,0),(G91-I91)&lt;TIME(0,3,0)),"OK",IF((G91-I91)&gt;=TIME(0,3,0),"ADELANTADO")))))))</f>
        <v/>
      </c>
      <c r="I91" s="89" t="n"/>
      <c r="J91" s="89">
        <f>IF(A91&lt;&gt;"",HLOOKUP(VALUE(TEXT(G91,"h:mm:ss")),IF($C$6="Laboral",$FZ$4:$GX$227,IF($C$6="Sábado",$FZ$231:$GX$452,$FZ$456:$GX$656)),VLOOKUP($C$4,$HF$2:$HH$99,3,0)+IF(C$5="Ida",0,1),1),"")</f>
        <v/>
      </c>
      <c r="K91" s="89">
        <f>IF(A92&lt;&gt;A91,AVERAGEIF(A$9:A91,A91,J$9:J91),"")</f>
        <v/>
      </c>
      <c r="L91" s="89">
        <f>IFERROR(IF(A92&lt;&gt;A91,AVERAGEIF(A$9:A91,A91,S$9:S91),""),"")</f>
        <v/>
      </c>
      <c r="M91" s="89">
        <f>IFERROR(IF(A92&lt;&gt;A91,AVERAGEIF(A$9:A91,A91,T$9:T91),""),"")</f>
        <v/>
      </c>
      <c r="N91" s="89">
        <f t="array" ref="N91">IFERROR(IF(A92&lt;&gt;A91,_xlfn.STDEV.P(IF(A$9:A91=A91,T$9:T91)),""),"")</f>
        <v/>
      </c>
      <c r="O91" s="89">
        <f t="array" ref="O91">IFERROR(IF(A92&lt;&gt;A91,_xlfn.STDEV.P(IF(A$9:A91=A91,S$9:S91)),""),"")</f>
        <v/>
      </c>
      <c r="P91" s="90">
        <f>IFERROR(IF(A91&lt;&gt;A92,MAX((((M91*24*60)/2)*(1+POWER((((N91*24*60) / (M91*24*60) )),2))) + ((M91*24*60 )*-0.1 + (K91*0.015)) +1,(((M91*24*60)/2)*(1+POWER((((N91*24*60) / (M91*24*60 ))),2)))),""),"")</f>
        <v/>
      </c>
      <c r="Q91" s="90">
        <f>IF(AND(O91&lt;&gt;"",L91&lt;&gt;""),IF(A91&lt;&gt;A92,((L91*24*60) / 2 ) * (1 + POWER(((O91*24*60) / (L91*24*60)),2)),""),"")</f>
        <v/>
      </c>
      <c r="R91" s="90">
        <f>IF(Q91&lt;&gt;"",MAX(P91,Q91),"")</f>
        <v/>
      </c>
      <c r="S91" s="89">
        <f>IF(I91&lt;&gt;"H. Sale Real",IF(AND(I92&lt;&gt;"",LEFT(C92,2)&lt;&gt;"Va"),IF(AND(I91&lt;&gt;"",LEFT(C91,2)&lt;&gt;"Va",I91&lt;&gt;"H. Sale Real"),IF(I92-I91&lt;0.208333333333333,I92-I91,""),IF(AND(I90&lt;&gt;"",LEFT(C90,2)&lt;&gt;"Va",I90&lt;&gt;"H. Sale Real"),IF(I92-I90&lt;0.208333333333333,I92-I90,""),IF(AND(I89&lt;&gt;"",LEFT(C89,2)&lt;&gt;"Va",I89&lt;&gt;"H. Sale Real"),IF(I92-I89&lt;0.208333333333333,I92-I89,""),IF(AND(I88&lt;&gt;"",LEFT(C88,2)&lt;&gt;"Va",I88&lt;&gt;"H. Sale Real"),IF(I92-I88&lt;0.208333333333333,I92-I88,""),IF(AND(I87&lt;&gt;"",LEFT(C87,2)&lt;&gt;"Va",I87&lt;&gt;"H. Sale Real"),IF(I92-I87&lt;0.208333333333333,I92-I87,""),""))))),""),"")</f>
        <v/>
      </c>
      <c r="T91" s="89">
        <f>IF(G91&lt;&gt;"H. Sale Real",IF(AND(G92&lt;&gt;"",LEFT(C92,2)&lt;&gt;"Va"),IF(AND(G91&lt;&gt;"",LEFT(C91,2)&lt;&gt;"Va",G91&lt;&gt;"H. Sale Real"),IF(G92-G91&lt;0.208333333333333,G92-G91,""),IF(AND(G90&lt;&gt;"",LEFT(C90,2)&lt;&gt;"Va",G90&lt;&gt;"H. Sale Real"),IF(G92-G90&lt;0.208333333333333,G92-G90,""),IF(AND(G89&lt;&gt;"",LEFT(C89,2)&lt;&gt;"Va",G89&lt;&gt;"H. Sale Real"),IF(G92-G89&lt;0.208333333333333,G92-G89,""),IF(AND(G88&lt;&gt;"",LEFT(C88,2)&lt;&gt;"Va",G88&lt;&gt;"H. Sale Real"),IF(G92-G88&lt;0.208333333333333,G92-G88,""),IF(AND(G87&lt;&gt;"",LEFT(C87,2)&lt;&gt;"Va",G87&lt;&gt;"H. Sale Real"),IF(G92-G87&lt;0.208333333333333,G92-G87,""),""))))),""),"")</f>
        <v/>
      </c>
      <c r="U91" s="87" t="n"/>
      <c r="V91" s="89" t="n"/>
      <c r="W91" s="87" t="n"/>
      <c r="X91" s="89" t="n"/>
      <c r="Y91" s="91" t="n"/>
      <c r="Z91" s="122">
        <f>IF(G91&lt;&gt;"",IF(AND(Z90&lt;&gt;"IE",P91&lt;&gt;0,R91&lt;&gt;""),IF(IFERROR((P91/R91),0) &lt;=1,IFERROR(P91/R91,""),1),""),"")</f>
        <v/>
      </c>
      <c r="AA91" s="93" t="n"/>
      <c r="AB91" s="2" t="n"/>
      <c r="AE91" s="10">
        <f>HOUR(AK91)+1</f>
        <v/>
      </c>
      <c r="AF91" s="7" t="n"/>
      <c r="AG91" s="7" t="n"/>
      <c r="AH91" s="86" t="n"/>
      <c r="AI91" s="8" t="n"/>
      <c r="AJ91" s="86" t="n"/>
      <c r="AK91" s="87" t="n"/>
      <c r="AL91" s="88">
        <f>IF(AM91="","",IF(AND((AM91-AK91)&gt;=TIME(0,0,0),(AM91-AK91)&lt;TIME(0,3,0)),"OK",IF(AND((AM91-AK91)&gt;=TIME(0,3,0),(AM91-AK91)&lt;TIME(0,5,0)),"RETRASO DE 3-5 MIN",IF(AND((AM91-AK91)&gt;=TIME(0,5,0),(AM91-AK91)&lt;TIME(0,10,0)),"RETRASO DE 5-10 MIN",IF((AM91-AK91)&gt;=TIME(0,10,0),"RETRASO &gt;10 MIN", IF(AND((AK91-AM91)&gt;=TIME(0,0,0),(AK91-AM91)&lt;TIME(0,3,0)),"OK",IF((AK91-AM91)&gt;=TIME(0,3,0),"ADELANTADO")))))))</f>
        <v/>
      </c>
      <c r="AM91" s="91" t="n"/>
      <c r="AN91" s="89">
        <f>IF(AE91&lt;&gt;"",HLOOKUP(VALUE(TEXT(AK91,"h:mm:ss")),IF($C$6="Laboral",$FZ$4:$GX$227,IF($C$6="Sábado",$FZ$231:$GX$452,$FZ$456:$GX$656)),VLOOKUP($C$4,$HF$2:$HH$99,3,0)+IF(AG$5="Ida",0,1),1),"")</f>
        <v/>
      </c>
      <c r="AO91" s="89">
        <f>IF(AE92&lt;&gt;AE91,AVERAGEIF(AE$9:AE91,AE91,AN$9:AN91),"")</f>
        <v/>
      </c>
      <c r="AP91" s="89">
        <f>IFERROR(IF(AE92&lt;&gt;AE91,AVERAGEIF(AE$9:AE91,AE91,AW$9:AW91),""),"")</f>
        <v/>
      </c>
      <c r="AQ91" s="89">
        <f>IFERROR(IF(AE92&lt;&gt;AE91,AVERAGEIF(AE$9:AE91,AE91,AX$9:AX91),""),"")</f>
        <v/>
      </c>
      <c r="AR91" s="89">
        <f t="array" ref="AR91">IFERROR(IF(AE92&lt;&gt;AE91,_xlfn.STDEV.P(IF(AE$9:AE91=AE91,AX$9:AX91)),""),"")</f>
        <v/>
      </c>
      <c r="AS91" s="89">
        <f t="array" ref="AS91">IFERROR(IF(AE92&lt;&gt;AE91,_xlfn.STDEV.P(IF(AE$9:AE91=AE91,AW$9:AW91)),""),"")</f>
        <v/>
      </c>
      <c r="AT91" s="90">
        <f>IFERROR(IF(AE91&lt;&gt;AE92,MAX((((AQ91*24*60)/2)*(1+POWER((((AR91*24*60) / (AQ91*24*60) )),2))) + ((AQ91*24*60 )*-0.1 + (AO91*0.015)) +1,(((AQ91*24*60)/2)*(1+POWER((((AR91*24*60) / (AQ91*24*60 ))),2)))),""),"")</f>
        <v/>
      </c>
      <c r="AU91" s="90">
        <f>IF(AND(AS91&lt;&gt;"",AP91&lt;&gt;""),IF(AE91&lt;&gt;AE92,((AP91*24*60) / 2 ) * (1 + POWER(((AS91*24*60) / (AP91*24*60)),2)),""),"")</f>
        <v/>
      </c>
      <c r="AV91" s="90">
        <f>IF(AU91&lt;&gt;"",MAX(AT91,AU91),"")</f>
        <v/>
      </c>
      <c r="AW91" s="89">
        <f>IF(AM91&lt;&gt;"H. Sale Real",IF(AND(AM92&lt;&gt;"",LEFT(AG92,2)&lt;&gt;"Va"),IF(AND(AM91&lt;&gt;"",LEFT(AG91,2)&lt;&gt;"Va",AM91&lt;&gt;"H. Sale Real"),IF(AM92-AM91&lt;0.208333333333333,AM92-AM91,""),IF(AND(AM90&lt;&gt;"",LEFT(AG90,2)&lt;&gt;"Va",AM90&lt;&gt;"H. Sale Real"),IF(AM92-AM90&lt;0.208333333333333,AM92-AM90,""),IF(AND(AM89&lt;&gt;"",LEFT(AG89,2)&lt;&gt;"Va",AM89&lt;&gt;"H. Sale Real"),IF(AM92-AM89&lt;0.208333333333333,AM92-AM89,""),IF(AND(AM88&lt;&gt;"",LEFT(AG88,2)&lt;&gt;"Va",AM88&lt;&gt;"H. Sale Real"),IF(AM92-AM88&lt;0.208333333333333,AM92-AM88,""),IF(AND(AM87&lt;&gt;"",LEFT(AG87,2)&lt;&gt;"Va",AM87&lt;&gt;"H. Sale Real"),IF(AM92-AM87&lt;0.208333333333333,AM92-AM87,""),""))))),""),"")</f>
        <v/>
      </c>
      <c r="AX91" s="89">
        <f>IF(AK91&lt;&gt;"H. Sale Real",IF(AND(AK92&lt;&gt;"",LEFT(AG92,2)&lt;&gt;"Va"),IF(AND(AK91&lt;&gt;"",LEFT(AG91,2)&lt;&gt;"Va",AK91&lt;&gt;"H. Sale Real"),IF(AK92-AK91&lt;0.208333333333333,AK92-AK91,""),IF(AND(AK90&lt;&gt;"",LEFT(AG90,2)&lt;&gt;"Va",AK90&lt;&gt;"H. Sale Real"),IF(AK92-AK90&lt;0.208333333333333,AK92-AK90,""),IF(AND(AK89&lt;&gt;"",LEFT(AG89,2)&lt;&gt;"NC",AK89&lt;&gt;"H. Sale Real"),IF(AK92-AK89&lt;0.208333333333333,AK92-AK89,""),IF(AND(AK88&lt;&gt;"",LEFT(AG88,2)&lt;&gt;"Va",AK88&lt;&gt;"H. Sale Real"),IF(AK92-AK88&lt;0.208333333333333,AK92-AK88,""),IF(AND(AK87&lt;&gt;"",LEFT(AG87,2)&lt;&gt;"Va",AK87&lt;&gt;"H. Sale Real"),IF(AK92-AK87&lt;0.208333333333333,AK92-AK87,""),""))))),""),"")</f>
        <v/>
      </c>
      <c r="AY91" s="87" t="n"/>
      <c r="AZ91" s="89" t="n"/>
      <c r="BA91" s="87" t="n"/>
      <c r="BB91" s="89" t="n"/>
      <c r="BC91" s="91" t="n"/>
      <c r="BD91" s="122">
        <f>IF(AK91&lt;&gt;"",IF(AND(BD90&lt;&gt;"IE",AT91&lt;&gt;0,AV91&lt;&gt;""),IF(IFERROR((AT91/AV91),0) &lt;=1,IFERROR(AT91/AV91,""),1),""),"")</f>
        <v/>
      </c>
      <c r="BE91" s="93" t="n"/>
      <c r="BF91" s="105" t="n"/>
      <c r="FC91" t="inlineStr">
        <is>
          <t>Diccionario 1</t>
        </is>
      </c>
      <c r="FD91" s="15" t="n">
        <v>1088</v>
      </c>
      <c r="FE91" s="15" t="inlineStr">
        <is>
          <t>D8483527K2PL</t>
        </is>
      </c>
      <c r="FF91" s="15" t="inlineStr">
        <is>
          <t>YV3T7U521KA195552</t>
        </is>
      </c>
      <c r="FG91" s="15" t="inlineStr">
        <is>
          <t>Volvo</t>
        </is>
      </c>
      <c r="FH91" s="15" t="inlineStr">
        <is>
          <t>B8R</t>
        </is>
      </c>
      <c r="FI91" s="15" t="inlineStr">
        <is>
          <t>MARCOPOLO</t>
        </is>
      </c>
      <c r="FJ91" s="15" t="inlineStr">
        <is>
          <t>TORINO</t>
        </is>
      </c>
      <c r="FK91" s="15" t="n">
        <v>2019</v>
      </c>
      <c r="FL91" s="15" t="inlineStr">
        <is>
          <t>B2PAL</t>
        </is>
      </c>
      <c r="FM91" s="15" t="inlineStr">
        <is>
          <t>SAN JOSE</t>
        </is>
      </c>
      <c r="FN91" s="15" t="inlineStr">
        <is>
          <t>San José 030 (José Besa 669)</t>
        </is>
      </c>
      <c r="FO91" s="15" t="inlineStr">
        <is>
          <t>San Bernardo</t>
        </is>
      </c>
      <c r="FP91" t="inlineStr">
        <is>
          <t>B</t>
        </is>
      </c>
      <c r="FS91" s="14" t="inlineStr">
        <is>
          <t>3023 / SFWB-33|</t>
        </is>
      </c>
      <c r="FT91" t="inlineStr">
        <is>
          <t>SFWB-33|</t>
        </is>
      </c>
      <c r="FU91" t="inlineStr">
        <is>
          <t>SFWB-33</t>
        </is>
      </c>
      <c r="FV91">
        <f>VLOOKUP(FU91,FD:FL,9,0)</f>
        <v/>
      </c>
      <c r="HA91" s="35" t="n">
        <v>88</v>
      </c>
      <c r="HB91" s="35" t="n">
        <v>85</v>
      </c>
    </row>
    <row r="92" ht="15.5" customHeight="1">
      <c r="A92" s="10">
        <f>HOUR(G92)+1</f>
        <v/>
      </c>
      <c r="B92" s="7" t="n"/>
      <c r="C92" s="7" t="n"/>
      <c r="D92" s="85">
        <f>IFERROR(
IF(AND(OR(Planilla!B92="C",Planilla!B92="c"), VLOOKUP(E92,FD:FP,13,0)="C"), "OK",IF(AND(OR(Planilla!B92="C",Planilla!B92="c"), OR(VLOOKUP(E92,FD:FP,13,0)="B", VLOOKUP(E92,FD:FP,13,0)="A")), "DEFICIT",IF(
AND(OR(Planilla!B92="B", Planilla!B92="BPAL"), VLOOKUP(E92,FD:FP,13,0)="B"), "OK",IF(AND(OR(Planilla!B92="B", Planilla!B92="BPAL"), VLOOKUP(E92,FD:FP,13,0)="A"), "DEFICIT",IF(AND(OR(Planilla!B92="B", Planilla!B92="BPAL"), VLOOKUP(E92,FD:FP,13,0)="C"), "SOBREOFERTA",IF(AND(Planilla!B92="A", VLOOKUP(E92,FD:FP,13,0)="A"), "OK",IF(
AND(Planilla!B92="A", OR(VLOOKUP(E92,FD:FP,13,0)="B", VLOOKUP(E92,FD:FP,13,0)="C")), "SOBREOFERTA",""
))))))),"")</f>
        <v/>
      </c>
      <c r="E92" s="8" t="n"/>
      <c r="F92" s="86" t="n"/>
      <c r="G92" s="87" t="n"/>
      <c r="H92" s="88">
        <f>IF(I92="","",IF(AND((I92-G92)&gt;=TIME(0,0,0),(I92-G92)&lt;TIME(0,3,0)),"OK",IF(AND((I92-G92)&gt;=TIME(0,3,0),(I92-G92)&lt;TIME(0,5,0)),"RETRASO DE 3-5 MIN",IF(AND((I92-G92)&gt;=TIME(0,5,0),(I92-G92)&lt;TIME(0,10,0)),"RETRASO DE 5-10 MIN",IF((I92-G92)&gt;=TIME(0,10,0),"RETRASO &gt;10 MIN", IF(AND((G92-I92)&gt;=TIME(0,0,0),(G92-I92)&lt;TIME(0,3,0)),"OK",IF((G92-I92)&gt;=TIME(0,3,0),"ADELANTADO")))))))</f>
        <v/>
      </c>
      <c r="I92" s="89" t="n"/>
      <c r="J92" s="89">
        <f>IF(A92&lt;&gt;"",HLOOKUP(VALUE(TEXT(G92,"h:mm:ss")),IF($C$6="Laboral",$FZ$4:$GX$227,IF($C$6="Sábado",$FZ$231:$GX$452,$FZ$456:$GX$656)),VLOOKUP($C$4,$HF$2:$HH$99,3,0)+IF(C$5="Ida",0,1),1),"")</f>
        <v/>
      </c>
      <c r="K92" s="89">
        <f>IF(A93&lt;&gt;A92,AVERAGEIF(A$9:A92,A92,J$9:J92),"")</f>
        <v/>
      </c>
      <c r="L92" s="89">
        <f>IFERROR(IF(A93&lt;&gt;A92,AVERAGEIF(A$9:A92,A92,S$9:S92),""),"")</f>
        <v/>
      </c>
      <c r="M92" s="89">
        <f>IFERROR(IF(A93&lt;&gt;A92,AVERAGEIF(A$9:A92,A92,T$9:T92),""),"")</f>
        <v/>
      </c>
      <c r="N92" s="89">
        <f t="array" ref="N92">IFERROR(IF(A93&lt;&gt;A92,_xlfn.STDEV.P(IF(A$9:A92=A92,T$9:T92)),""),"")</f>
        <v/>
      </c>
      <c r="O92" s="89">
        <f t="array" ref="O92">IFERROR(IF(A93&lt;&gt;A92,_xlfn.STDEV.P(IF(A$9:A92=A92,S$9:S92)),""),"")</f>
        <v/>
      </c>
      <c r="P92" s="90">
        <f>IFERROR(IF(A92&lt;&gt;A93,MAX((((M92*24*60)/2)*(1+POWER((((N92*24*60) / (M92*24*60) )),2))) + ((M92*24*60 )*-0.1 + (K92*0.015)) +1,(((M92*24*60)/2)*(1+POWER((((N92*24*60) / (M92*24*60 ))),2)))),""),"")</f>
        <v/>
      </c>
      <c r="Q92" s="90">
        <f>IF(AND(O92&lt;&gt;"",L92&lt;&gt;""),IF(A92&lt;&gt;A93,((L92*24*60) / 2 ) * (1 + POWER(((O92*24*60) / (L92*24*60)),2)),""),"")</f>
        <v/>
      </c>
      <c r="R92" s="90">
        <f>IF(Q92&lt;&gt;"",MAX(P92,Q92),"")</f>
        <v/>
      </c>
      <c r="S92" s="89">
        <f>IF(I92&lt;&gt;"H. Sale Real",IF(AND(I93&lt;&gt;"",LEFT(C93,2)&lt;&gt;"Va"),IF(AND(I92&lt;&gt;"",LEFT(C92,2)&lt;&gt;"Va",I92&lt;&gt;"H. Sale Real"),IF(I93-I92&lt;0.208333333333333,I93-I92,""),IF(AND(I91&lt;&gt;"",LEFT(C91,2)&lt;&gt;"Va",I91&lt;&gt;"H. Sale Real"),IF(I93-I91&lt;0.208333333333333,I93-I91,""),IF(AND(I90&lt;&gt;"",LEFT(C90,2)&lt;&gt;"Va",I90&lt;&gt;"H. Sale Real"),IF(I93-I90&lt;0.208333333333333,I93-I90,""),IF(AND(I89&lt;&gt;"",LEFT(C89,2)&lt;&gt;"Va",I89&lt;&gt;"H. Sale Real"),IF(I93-I89&lt;0.208333333333333,I93-I89,""),IF(AND(I88&lt;&gt;"",LEFT(C88,2)&lt;&gt;"Va",I88&lt;&gt;"H. Sale Real"),IF(I93-I88&lt;0.208333333333333,I93-I88,""),""))))),""),"")</f>
        <v/>
      </c>
      <c r="T92" s="89">
        <f>IF(G92&lt;&gt;"H. Sale Real",IF(AND(G93&lt;&gt;"",LEFT(C93,2)&lt;&gt;"Va"),IF(AND(G92&lt;&gt;"",LEFT(C92,2)&lt;&gt;"Va",G92&lt;&gt;"H. Sale Real"),IF(G93-G92&lt;0.208333333333333,G93-G92,""),IF(AND(G91&lt;&gt;"",LEFT(C91,2)&lt;&gt;"Va",G91&lt;&gt;"H. Sale Real"),IF(G93-G91&lt;0.208333333333333,G93-G91,""),IF(AND(G90&lt;&gt;"",LEFT(C90,2)&lt;&gt;"Va",G90&lt;&gt;"H. Sale Real"),IF(G93-G90&lt;0.208333333333333,G93-G90,""),IF(AND(G89&lt;&gt;"",LEFT(C89,2)&lt;&gt;"Va",G89&lt;&gt;"H. Sale Real"),IF(G93-G89&lt;0.208333333333333,G93-G89,""),IF(AND(G88&lt;&gt;"",LEFT(C88,2)&lt;&gt;"Va",G88&lt;&gt;"H. Sale Real"),IF(G93-G88&lt;0.208333333333333,G93-G88,""),""))))),""),"")</f>
        <v/>
      </c>
      <c r="U92" s="87" t="n"/>
      <c r="V92" s="89" t="n"/>
      <c r="W92" s="87" t="n"/>
      <c r="X92" s="89" t="n"/>
      <c r="Y92" s="91" t="n"/>
      <c r="Z92" s="122">
        <f>IF(G92&lt;&gt;"",IF(AND(Z91&lt;&gt;"IE",P92&lt;&gt;0,R92&lt;&gt;""),IF(IFERROR((P92/R92),0) &lt;=1,IFERROR(P92/R92,""),1),""),"")</f>
        <v/>
      </c>
      <c r="AA92" s="93" t="n"/>
      <c r="AB92" s="2" t="n"/>
      <c r="AE92" s="10">
        <f>HOUR(AK92)+1</f>
        <v/>
      </c>
      <c r="AF92" s="7" t="n"/>
      <c r="AG92" s="7" t="n"/>
      <c r="AH92" s="86" t="n"/>
      <c r="AI92" s="8" t="n"/>
      <c r="AJ92" s="86" t="n"/>
      <c r="AK92" s="87" t="n"/>
      <c r="AL92" s="88">
        <f>IF(AM92="","",IF(AND((AM92-AK92)&gt;=TIME(0,0,0),(AM92-AK92)&lt;TIME(0,3,0)),"OK",IF(AND((AM92-AK92)&gt;=TIME(0,3,0),(AM92-AK92)&lt;TIME(0,5,0)),"RETRASO DE 3-5 MIN",IF(AND((AM92-AK92)&gt;=TIME(0,5,0),(AM92-AK92)&lt;TIME(0,10,0)),"RETRASO DE 5-10 MIN",IF((AM92-AK92)&gt;=TIME(0,10,0),"RETRASO &gt;10 MIN", IF(AND((AK92-AM92)&gt;=TIME(0,0,0),(AK92-AM92)&lt;TIME(0,3,0)),"OK",IF((AK92-AM92)&gt;=TIME(0,3,0),"ADELANTADO")))))))</f>
        <v/>
      </c>
      <c r="AM92" s="91" t="n"/>
      <c r="AN92" s="89">
        <f>IF(AE92&lt;&gt;"",HLOOKUP(VALUE(TEXT(AK92,"h:mm:ss")),IF($C$6="Laboral",$FZ$4:$GX$227,IF($C$6="Sábado",$FZ$231:$GX$452,$FZ$456:$GX$656)),VLOOKUP($C$4,$HF$2:$HH$99,3,0)+IF(AG$5="Ida",0,1),1),"")</f>
        <v/>
      </c>
      <c r="AO92" s="89">
        <f>IF(AE93&lt;&gt;AE92,AVERAGEIF(AE$9:AE92,AE92,AN$9:AN92),"")</f>
        <v/>
      </c>
      <c r="AP92" s="89">
        <f>IFERROR(IF(AE93&lt;&gt;AE92,AVERAGEIF(AE$9:AE92,AE92,AW$9:AW92),""),"")</f>
        <v/>
      </c>
      <c r="AQ92" s="89">
        <f>IFERROR(IF(AE93&lt;&gt;AE92,AVERAGEIF(AE$9:AE92,AE92,AX$9:AX92),""),"")</f>
        <v/>
      </c>
      <c r="AR92" s="89">
        <f t="array" ref="AR92">IFERROR(IF(AE93&lt;&gt;AE92,_xlfn.STDEV.P(IF(AE$9:AE92=AE92,AX$9:AX92)),""),"")</f>
        <v/>
      </c>
      <c r="AS92" s="89">
        <f t="array" ref="AS92">IFERROR(IF(AE93&lt;&gt;AE92,_xlfn.STDEV.P(IF(AE$9:AE92=AE92,AW$9:AW92)),""),"")</f>
        <v/>
      </c>
      <c r="AT92" s="90">
        <f>IFERROR(IF(AE92&lt;&gt;AE93,MAX((((AQ92*24*60)/2)*(1+POWER((((AR92*24*60) / (AQ92*24*60) )),2))) + ((AQ92*24*60 )*-0.1 + (AO92*0.015)) +1,(((AQ92*24*60)/2)*(1+POWER((((AR92*24*60) / (AQ92*24*60 ))),2)))),""),"")</f>
        <v/>
      </c>
      <c r="AU92" s="90">
        <f>IF(AND(AS92&lt;&gt;"",AP92&lt;&gt;""),IF(AE92&lt;&gt;AE93,((AP92*24*60) / 2 ) * (1 + POWER(((AS92*24*60) / (AP92*24*60)),2)),""),"")</f>
        <v/>
      </c>
      <c r="AV92" s="90">
        <f>IF(AU92&lt;&gt;"",MAX(AT92,AU92),"")</f>
        <v/>
      </c>
      <c r="AW92" s="89">
        <f>IF(AM92&lt;&gt;"H. Sale Real",IF(AND(AM93&lt;&gt;"",LEFT(AG93,2)&lt;&gt;"Va"),IF(AND(AM92&lt;&gt;"",LEFT(AG92,2)&lt;&gt;"Va",AM92&lt;&gt;"H. Sale Real"),IF(AM93-AM92&lt;0.208333333333333,AM93-AM92,""),IF(AND(AM91&lt;&gt;"",LEFT(AG91,2)&lt;&gt;"Va",AM91&lt;&gt;"H. Sale Real"),IF(AM93-AM91&lt;0.208333333333333,AM93-AM91,""),IF(AND(AM90&lt;&gt;"",LEFT(AG90,2)&lt;&gt;"Va",AM90&lt;&gt;"H. Sale Real"),IF(AM93-AM90&lt;0.208333333333333,AM93-AM90,""),IF(AND(AM89&lt;&gt;"",LEFT(AG89,2)&lt;&gt;"Va",AM89&lt;&gt;"H. Sale Real"),IF(AM93-AM89&lt;0.208333333333333,AM93-AM89,""),IF(AND(AM88&lt;&gt;"",LEFT(AG88,2)&lt;&gt;"Va",AM88&lt;&gt;"H. Sale Real"),IF(AM93-AM88&lt;0.208333333333333,AM93-AM88,""),""))))),""),"")</f>
        <v/>
      </c>
      <c r="AX92" s="89">
        <f>IF(AK92&lt;&gt;"H. Sale Real",IF(AND(AK93&lt;&gt;"",LEFT(AG93,2)&lt;&gt;"Va"),IF(AND(AK92&lt;&gt;"",LEFT(AG92,2)&lt;&gt;"Va",AK92&lt;&gt;"H. Sale Real"),IF(AK93-AK92&lt;0.208333333333333,AK93-AK92,""),IF(AND(AK91&lt;&gt;"",LEFT(AG91,2)&lt;&gt;"Va",AK91&lt;&gt;"H. Sale Real"),IF(AK93-AK91&lt;0.208333333333333,AK93-AK91,""),IF(AND(AK90&lt;&gt;"",LEFT(AG90,2)&lt;&gt;"NC",AK90&lt;&gt;"H. Sale Real"),IF(AK93-AK90&lt;0.208333333333333,AK93-AK90,""),IF(AND(AK89&lt;&gt;"",LEFT(AG89,2)&lt;&gt;"Va",AK89&lt;&gt;"H. Sale Real"),IF(AK93-AK89&lt;0.208333333333333,AK93-AK89,""),IF(AND(AK88&lt;&gt;"",LEFT(AG88,2)&lt;&gt;"Va",AK88&lt;&gt;"H. Sale Real"),IF(AK93-AK88&lt;0.208333333333333,AK93-AK88,""),""))))),""),"")</f>
        <v/>
      </c>
      <c r="AY92" s="87" t="n"/>
      <c r="AZ92" s="89" t="n"/>
      <c r="BA92" s="87" t="n"/>
      <c r="BB92" s="89" t="n"/>
      <c r="BC92" s="91" t="n"/>
      <c r="BD92" s="122">
        <f>IF(AK92&lt;&gt;"",IF(AND(BD91&lt;&gt;"IE",AT92&lt;&gt;0,AV92&lt;&gt;""),IF(IFERROR((AT92/AV92),0) &lt;=1,IFERROR(AT92/AV92,""),1),""),"")</f>
        <v/>
      </c>
      <c r="BE92" s="93" t="n"/>
      <c r="BF92" s="105" t="n"/>
      <c r="FC92" t="inlineStr">
        <is>
          <t>Diccionario 1</t>
        </is>
      </c>
      <c r="FD92" s="15" t="n">
        <v>1089</v>
      </c>
      <c r="FE92" s="15" t="inlineStr">
        <is>
          <t>D8483438K2PL</t>
        </is>
      </c>
      <c r="FF92" s="15" t="inlineStr">
        <is>
          <t>YV3T7U525KA195554</t>
        </is>
      </c>
      <c r="FG92" s="15" t="inlineStr">
        <is>
          <t>Volvo</t>
        </is>
      </c>
      <c r="FH92" s="15" t="inlineStr">
        <is>
          <t>B8R</t>
        </is>
      </c>
      <c r="FI92" s="15" t="inlineStr">
        <is>
          <t>MARCOPOLO</t>
        </is>
      </c>
      <c r="FJ92" s="15" t="inlineStr">
        <is>
          <t>TORINO</t>
        </is>
      </c>
      <c r="FK92" s="15" t="n">
        <v>2019</v>
      </c>
      <c r="FL92" s="15" t="inlineStr">
        <is>
          <t>B2PAL</t>
        </is>
      </c>
      <c r="FM92" s="15" t="inlineStr">
        <is>
          <t>SAN JOSE</t>
        </is>
      </c>
      <c r="FN92" s="15" t="inlineStr">
        <is>
          <t>San José 030 (José Besa 669)</t>
        </is>
      </c>
      <c r="FO92" s="15" t="inlineStr">
        <is>
          <t>San Bernardo</t>
        </is>
      </c>
      <c r="FP92" t="inlineStr">
        <is>
          <t>B</t>
        </is>
      </c>
      <c r="FS92" s="14" t="inlineStr">
        <is>
          <t>3024 / SFWB-76|</t>
        </is>
      </c>
      <c r="FT92" t="inlineStr">
        <is>
          <t>SFWB-76|</t>
        </is>
      </c>
      <c r="FU92" t="inlineStr">
        <is>
          <t>SFWB-76</t>
        </is>
      </c>
      <c r="FV92">
        <f>VLOOKUP(FU92,FD:FL,9,0)</f>
        <v/>
      </c>
      <c r="HA92" s="35" t="n">
        <v>89</v>
      </c>
      <c r="HB92" s="35" t="n">
        <v>86</v>
      </c>
    </row>
    <row r="93" ht="15.5" customHeight="1">
      <c r="A93" s="10">
        <f>HOUR(G93)+1</f>
        <v/>
      </c>
      <c r="B93" s="7" t="n"/>
      <c r="C93" s="7" t="n"/>
      <c r="D93" s="85">
        <f>IFERROR(
IF(AND(OR(Planilla!B93="C",Planilla!B93="c"), VLOOKUP(E93,FD:FP,13,0)="C"), "OK",IF(AND(OR(Planilla!B93="C",Planilla!B93="c"), OR(VLOOKUP(E93,FD:FP,13,0)="B", VLOOKUP(E93,FD:FP,13,0)="A")), "DEFICIT",IF(
AND(OR(Planilla!B93="B", Planilla!B93="BPAL"), VLOOKUP(E93,FD:FP,13,0)="B"), "OK",IF(AND(OR(Planilla!B93="B", Planilla!B93="BPAL"), VLOOKUP(E93,FD:FP,13,0)="A"), "DEFICIT",IF(AND(OR(Planilla!B93="B", Planilla!B93="BPAL"), VLOOKUP(E93,FD:FP,13,0)="C"), "SOBREOFERTA",IF(AND(Planilla!B93="A", VLOOKUP(E93,FD:FP,13,0)="A"), "OK",IF(
AND(Planilla!B93="A", OR(VLOOKUP(E93,FD:FP,13,0)="B", VLOOKUP(E93,FD:FP,13,0)="C")), "SOBREOFERTA",""
))))))),"")</f>
        <v/>
      </c>
      <c r="E93" s="8" t="n"/>
      <c r="F93" s="86" t="n"/>
      <c r="G93" s="87" t="n"/>
      <c r="H93" s="88">
        <f>IF(I93="","",IF(AND((I93-G93)&gt;=TIME(0,0,0),(I93-G93)&lt;TIME(0,3,0)),"OK",IF(AND((I93-G93)&gt;=TIME(0,3,0),(I93-G93)&lt;TIME(0,5,0)),"RETRASO DE 3-5 MIN",IF(AND((I93-G93)&gt;=TIME(0,5,0),(I93-G93)&lt;TIME(0,10,0)),"RETRASO DE 5-10 MIN",IF((I93-G93)&gt;=TIME(0,10,0),"RETRASO &gt;10 MIN", IF(AND((G93-I93)&gt;=TIME(0,0,0),(G93-I93)&lt;TIME(0,3,0)),"OK",IF((G93-I93)&gt;=TIME(0,3,0),"ADELANTADO")))))))</f>
        <v/>
      </c>
      <c r="I93" s="89" t="n"/>
      <c r="J93" s="89">
        <f>IF(A93&lt;&gt;"",HLOOKUP(VALUE(TEXT(G93,"h:mm:ss")),IF($C$6="Laboral",$FZ$4:$GX$227,IF($C$6="Sábado",$FZ$231:$GX$452,$FZ$456:$GX$656)),VLOOKUP($C$4,$HF$2:$HH$99,3,0)+IF(C$5="Ida",0,1),1),"")</f>
        <v/>
      </c>
      <c r="K93" s="89">
        <f>IF(A94&lt;&gt;A93,AVERAGEIF(A$9:A93,A93,J$9:J93),"")</f>
        <v/>
      </c>
      <c r="L93" s="89">
        <f>IFERROR(IF(A94&lt;&gt;A93,AVERAGEIF(A$9:A93,A93,S$9:S93),""),"")</f>
        <v/>
      </c>
      <c r="M93" s="89">
        <f>IFERROR(IF(A94&lt;&gt;A93,AVERAGEIF(A$9:A93,A93,T$9:T93),""),"")</f>
        <v/>
      </c>
      <c r="N93" s="89">
        <f t="array" ref="N93">IFERROR(IF(A94&lt;&gt;A93,_xlfn.STDEV.P(IF(A$9:A93=A93,T$9:T93)),""),"")</f>
        <v/>
      </c>
      <c r="O93" s="89">
        <f t="array" ref="O93">IFERROR(IF(A94&lt;&gt;A93,_xlfn.STDEV.P(IF(A$9:A93=A93,S$9:S93)),""),"")</f>
        <v/>
      </c>
      <c r="P93" s="90">
        <f>IFERROR(IF(A93&lt;&gt;A94,MAX((((M93*24*60)/2)*(1+POWER((((N93*24*60) / (M93*24*60) )),2))) + ((M93*24*60 )*-0.1 + (K93*0.015)) +1,(((M93*24*60)/2)*(1+POWER((((N93*24*60) / (M93*24*60 ))),2)))),""),"")</f>
        <v/>
      </c>
      <c r="Q93" s="90">
        <f>IF(AND(O93&lt;&gt;"",L93&lt;&gt;""),IF(A93&lt;&gt;A94,((L93*24*60) / 2 ) * (1 + POWER(((O93*24*60) / (L93*24*60)),2)),""),"")</f>
        <v/>
      </c>
      <c r="R93" s="90">
        <f>IF(Q93&lt;&gt;"",MAX(P93,Q93),"")</f>
        <v/>
      </c>
      <c r="S93" s="89">
        <f>IF(I93&lt;&gt;"H. Sale Real",IF(AND(I94&lt;&gt;"",LEFT(C94,2)&lt;&gt;"Va"),IF(AND(I93&lt;&gt;"",LEFT(C93,2)&lt;&gt;"Va",I93&lt;&gt;"H. Sale Real"),IF(I94-I93&lt;0.208333333333333,I94-I93,""),IF(AND(I92&lt;&gt;"",LEFT(C92,2)&lt;&gt;"Va",I92&lt;&gt;"H. Sale Real"),IF(I94-I92&lt;0.208333333333333,I94-I92,""),IF(AND(I91&lt;&gt;"",LEFT(C91,2)&lt;&gt;"Va",I91&lt;&gt;"H. Sale Real"),IF(I94-I91&lt;0.208333333333333,I94-I91,""),IF(AND(I90&lt;&gt;"",LEFT(C90,2)&lt;&gt;"Va",I90&lt;&gt;"H. Sale Real"),IF(I94-I90&lt;0.208333333333333,I94-I90,""),IF(AND(I89&lt;&gt;"",LEFT(C89,2)&lt;&gt;"Va",I89&lt;&gt;"H. Sale Real"),IF(I94-I89&lt;0.208333333333333,I94-I89,""),""))))),""),"")</f>
        <v/>
      </c>
      <c r="T93" s="89">
        <f>IF(G93&lt;&gt;"H. Sale Real",IF(AND(G94&lt;&gt;"",LEFT(C94,2)&lt;&gt;"Va"),IF(AND(G93&lt;&gt;"",LEFT(C93,2)&lt;&gt;"Va",G93&lt;&gt;"H. Sale Real"),IF(G94-G93&lt;0.208333333333333,G94-G93,""),IF(AND(G92&lt;&gt;"",LEFT(C92,2)&lt;&gt;"Va",G92&lt;&gt;"H. Sale Real"),IF(G94-G92&lt;0.208333333333333,G94-G92,""),IF(AND(G91&lt;&gt;"",LEFT(C91,2)&lt;&gt;"Va",G91&lt;&gt;"H. Sale Real"),IF(G94-G91&lt;0.208333333333333,G94-G91,""),IF(AND(G90&lt;&gt;"",LEFT(C90,2)&lt;&gt;"Va",G90&lt;&gt;"H. Sale Real"),IF(G94-G90&lt;0.208333333333333,G94-G90,""),IF(AND(G89&lt;&gt;"",LEFT(C89,2)&lt;&gt;"Va",G89&lt;&gt;"H. Sale Real"),IF(G94-G89&lt;0.208333333333333,G94-G89,""),""))))),""),"")</f>
        <v/>
      </c>
      <c r="U93" s="87" t="n"/>
      <c r="V93" s="89" t="n"/>
      <c r="W93" s="87" t="n"/>
      <c r="X93" s="89" t="n"/>
      <c r="Y93" s="91" t="n"/>
      <c r="Z93" s="122">
        <f>IF(G93&lt;&gt;"",IF(AND(Z92&lt;&gt;"IE",P93&lt;&gt;0,R93&lt;&gt;""),IF(IFERROR((P93/R93),0) &lt;=1,IFERROR(P93/R93,""),1),""),"")</f>
        <v/>
      </c>
      <c r="AA93" s="93" t="n"/>
      <c r="AB93" s="2" t="n"/>
      <c r="AE93" s="10">
        <f>HOUR(AK93)+1</f>
        <v/>
      </c>
      <c r="AF93" s="7" t="n"/>
      <c r="AG93" s="7" t="n"/>
      <c r="AH93" s="86" t="n"/>
      <c r="AI93" s="8" t="n"/>
      <c r="AJ93" s="86" t="n"/>
      <c r="AK93" s="87" t="n"/>
      <c r="AL93" s="88">
        <f>IF(AM93="","",IF(AND((AM93-AK93)&gt;=TIME(0,0,0),(AM93-AK93)&lt;TIME(0,3,0)),"OK",IF(AND((AM93-AK93)&gt;=TIME(0,3,0),(AM93-AK93)&lt;TIME(0,5,0)),"RETRASO DE 3-5 MIN",IF(AND((AM93-AK93)&gt;=TIME(0,5,0),(AM93-AK93)&lt;TIME(0,10,0)),"RETRASO DE 5-10 MIN",IF((AM93-AK93)&gt;=TIME(0,10,0),"RETRASO &gt;10 MIN", IF(AND((AK93-AM93)&gt;=TIME(0,0,0),(AK93-AM93)&lt;TIME(0,3,0)),"OK",IF((AK93-AM93)&gt;=TIME(0,3,0),"ADELANTADO")))))))</f>
        <v/>
      </c>
      <c r="AM93" s="91" t="n"/>
      <c r="AN93" s="89">
        <f>IF(AE93&lt;&gt;"",HLOOKUP(VALUE(TEXT(AK93,"h:mm:ss")),IF($C$6="Laboral",$FZ$4:$GX$227,IF($C$6="Sábado",$FZ$231:$GX$452,$FZ$456:$GX$656)),VLOOKUP($C$4,$HF$2:$HH$99,3,0)+IF(AG$5="Ida",0,1),1),"")</f>
        <v/>
      </c>
      <c r="AO93" s="89">
        <f>IF(AE94&lt;&gt;AE93,AVERAGEIF(AE$9:AE93,AE93,AN$9:AN93),"")</f>
        <v/>
      </c>
      <c r="AP93" s="89">
        <f>IFERROR(IF(AE94&lt;&gt;AE93,AVERAGEIF(AE$9:AE93,AE93,AW$9:AW93),""),"")</f>
        <v/>
      </c>
      <c r="AQ93" s="89">
        <f>IFERROR(IF(AE94&lt;&gt;AE93,AVERAGEIF(AE$9:AE93,AE93,AX$9:AX93),""),"")</f>
        <v/>
      </c>
      <c r="AR93" s="89">
        <f t="array" ref="AR93">IFERROR(IF(AE94&lt;&gt;AE93,_xlfn.STDEV.P(IF(AE$9:AE93=AE93,AX$9:AX93)),""),"")</f>
        <v/>
      </c>
      <c r="AS93" s="89">
        <f t="array" ref="AS93">IFERROR(IF(AE94&lt;&gt;AE93,_xlfn.STDEV.P(IF(AE$9:AE93=AE93,AW$9:AW93)),""),"")</f>
        <v/>
      </c>
      <c r="AT93" s="90">
        <f>IFERROR(IF(AE93&lt;&gt;AE94,MAX((((AQ93*24*60)/2)*(1+POWER((((AR93*24*60) / (AQ93*24*60) )),2))) + ((AQ93*24*60 )*-0.1 + (AO93*0.015)) +1,(((AQ93*24*60)/2)*(1+POWER((((AR93*24*60) / (AQ93*24*60 ))),2)))),""),"")</f>
        <v/>
      </c>
      <c r="AU93" s="90">
        <f>IF(AND(AS93&lt;&gt;"",AP93&lt;&gt;""),IF(AE93&lt;&gt;AE94,((AP93*24*60) / 2 ) * (1 + POWER(((AS93*24*60) / (AP93*24*60)),2)),""),"")</f>
        <v/>
      </c>
      <c r="AV93" s="90">
        <f>IF(AU93&lt;&gt;"",MAX(AT93,AU93),"")</f>
        <v/>
      </c>
      <c r="AW93" s="89">
        <f>IF(AM93&lt;&gt;"H. Sale Real",IF(AND(AM94&lt;&gt;"",LEFT(AG94,2)&lt;&gt;"Va"),IF(AND(AM93&lt;&gt;"",LEFT(AG93,2)&lt;&gt;"Va",AM93&lt;&gt;"H. Sale Real"),IF(AM94-AM93&lt;0.208333333333333,AM94-AM93,""),IF(AND(AM92&lt;&gt;"",LEFT(AG92,2)&lt;&gt;"Va",AM92&lt;&gt;"H. Sale Real"),IF(AM94-AM92&lt;0.208333333333333,AM94-AM92,""),IF(AND(AM91&lt;&gt;"",LEFT(AG91,2)&lt;&gt;"Va",AM91&lt;&gt;"H. Sale Real"),IF(AM94-AM91&lt;0.208333333333333,AM94-AM91,""),IF(AND(AM90&lt;&gt;"",LEFT(AG90,2)&lt;&gt;"Va",AM90&lt;&gt;"H. Sale Real"),IF(AM94-AM90&lt;0.208333333333333,AM94-AM90,""),IF(AND(AM89&lt;&gt;"",LEFT(AG89,2)&lt;&gt;"Va",AM89&lt;&gt;"H. Sale Real"),IF(AM94-AM89&lt;0.208333333333333,AM94-AM89,""),""))))),""),"")</f>
        <v/>
      </c>
      <c r="AX93" s="89">
        <f>IF(AK93&lt;&gt;"H. Sale Real",IF(AND(AK94&lt;&gt;"",LEFT(AG94,2)&lt;&gt;"Va"),IF(AND(AK93&lt;&gt;"",LEFT(AG93,2)&lt;&gt;"Va",AK93&lt;&gt;"H. Sale Real"),IF(AK94-AK93&lt;0.208333333333333,AK94-AK93,""),IF(AND(AK92&lt;&gt;"",LEFT(AG92,2)&lt;&gt;"Va",AK92&lt;&gt;"H. Sale Real"),IF(AK94-AK92&lt;0.208333333333333,AK94-AK92,""),IF(AND(AK91&lt;&gt;"",LEFT(AG91,2)&lt;&gt;"NC",AK91&lt;&gt;"H. Sale Real"),IF(AK94-AK91&lt;0.208333333333333,AK94-AK91,""),IF(AND(AK90&lt;&gt;"",LEFT(AG90,2)&lt;&gt;"Va",AK90&lt;&gt;"H. Sale Real"),IF(AK94-AK90&lt;0.208333333333333,AK94-AK90,""),IF(AND(AK89&lt;&gt;"",LEFT(AG89,2)&lt;&gt;"Va",AK89&lt;&gt;"H. Sale Real"),IF(AK94-AK89&lt;0.208333333333333,AK94-AK89,""),""))))),""),"")</f>
        <v/>
      </c>
      <c r="AY93" s="87" t="n"/>
      <c r="AZ93" s="89" t="n"/>
      <c r="BA93" s="87" t="n"/>
      <c r="BB93" s="89" t="n"/>
      <c r="BC93" s="91" t="n"/>
      <c r="BD93" s="122">
        <f>IF(AK93&lt;&gt;"",IF(AND(BD92&lt;&gt;"IE",AT93&lt;&gt;0,AV93&lt;&gt;""),IF(IFERROR((AT93/AV93),0) &lt;=1,IFERROR(AT93/AV93,""),1),""),"")</f>
        <v/>
      </c>
      <c r="BE93" s="93" t="n"/>
      <c r="BF93" s="105" t="n"/>
      <c r="FC93" t="inlineStr">
        <is>
          <t>Diccionario 1</t>
        </is>
      </c>
      <c r="FD93" s="15" t="n">
        <v>1090</v>
      </c>
      <c r="FE93" s="15" t="inlineStr">
        <is>
          <t>D8484688K2PL</t>
        </is>
      </c>
      <c r="FF93" s="15" t="inlineStr">
        <is>
          <t>YV3T7U521KA195714</t>
        </is>
      </c>
      <c r="FG93" s="15" t="inlineStr">
        <is>
          <t>Volvo</t>
        </is>
      </c>
      <c r="FH93" s="15" t="inlineStr">
        <is>
          <t>B8R</t>
        </is>
      </c>
      <c r="FI93" s="15" t="inlineStr">
        <is>
          <t>MARCOPOLO</t>
        </is>
      </c>
      <c r="FJ93" s="15" t="inlineStr">
        <is>
          <t>TORINO</t>
        </is>
      </c>
      <c r="FK93" s="15" t="n">
        <v>2019</v>
      </c>
      <c r="FL93" s="15" t="inlineStr">
        <is>
          <t>B2PAL</t>
        </is>
      </c>
      <c r="FM93" s="15" t="inlineStr">
        <is>
          <t>SAN JOSE</t>
        </is>
      </c>
      <c r="FN93" s="15" t="inlineStr">
        <is>
          <t>San José 030 (José Besa 669)</t>
        </is>
      </c>
      <c r="FO93" s="15" t="inlineStr">
        <is>
          <t>San Bernardo</t>
        </is>
      </c>
      <c r="FP93" t="inlineStr">
        <is>
          <t>B</t>
        </is>
      </c>
      <c r="FS93" s="14" t="inlineStr">
        <is>
          <t>3024 / SFWB-76|</t>
        </is>
      </c>
      <c r="FT93" t="inlineStr">
        <is>
          <t>SFWB-76|</t>
        </is>
      </c>
      <c r="FU93" t="inlineStr">
        <is>
          <t>SFWB-76</t>
        </is>
      </c>
      <c r="FV93">
        <f>VLOOKUP(FU93,FD:FL,9,0)</f>
        <v/>
      </c>
      <c r="HA93" s="35" t="n">
        <v>90</v>
      </c>
      <c r="HB93" s="35" t="n">
        <v>87</v>
      </c>
    </row>
    <row r="94" ht="15.5" customHeight="1">
      <c r="A94" s="10">
        <f>HOUR(G94)+1</f>
        <v/>
      </c>
      <c r="B94" s="7" t="n"/>
      <c r="C94" s="7" t="n"/>
      <c r="D94" s="85">
        <f>IFERROR(
IF(AND(OR(Planilla!B94="C",Planilla!B94="c"), VLOOKUP(E94,FD:FP,13,0)="C"), "OK",IF(AND(OR(Planilla!B94="C",Planilla!B94="c"), OR(VLOOKUP(E94,FD:FP,13,0)="B", VLOOKUP(E94,FD:FP,13,0)="A")), "DEFICIT",IF(
AND(OR(Planilla!B94="B", Planilla!B94="BPAL"), VLOOKUP(E94,FD:FP,13,0)="B"), "OK",IF(AND(OR(Planilla!B94="B", Planilla!B94="BPAL"), VLOOKUP(E94,FD:FP,13,0)="A"), "DEFICIT",IF(AND(OR(Planilla!B94="B", Planilla!B94="BPAL"), VLOOKUP(E94,FD:FP,13,0)="C"), "SOBREOFERTA",IF(AND(Planilla!B94="A", VLOOKUP(E94,FD:FP,13,0)="A"), "OK",IF(
AND(Planilla!B94="A", OR(VLOOKUP(E94,FD:FP,13,0)="B", VLOOKUP(E94,FD:FP,13,0)="C")), "SOBREOFERTA",""
))))))),"")</f>
        <v/>
      </c>
      <c r="E94" s="8" t="n"/>
      <c r="F94" s="86" t="n"/>
      <c r="G94" s="87" t="n"/>
      <c r="H94" s="88">
        <f>IF(I94="","",IF(AND((I94-G94)&gt;=TIME(0,0,0),(I94-G94)&lt;TIME(0,3,0)),"OK",IF(AND((I94-G94)&gt;=TIME(0,3,0),(I94-G94)&lt;TIME(0,5,0)),"RETRASO DE 3-5 MIN",IF(AND((I94-G94)&gt;=TIME(0,5,0),(I94-G94)&lt;TIME(0,10,0)),"RETRASO DE 5-10 MIN",IF((I94-G94)&gt;=TIME(0,10,0),"RETRASO &gt;10 MIN", IF(AND((G94-I94)&gt;=TIME(0,0,0),(G94-I94)&lt;TIME(0,3,0)),"OK",IF((G94-I94)&gt;=TIME(0,3,0),"ADELANTADO")))))))</f>
        <v/>
      </c>
      <c r="I94" s="89" t="n"/>
      <c r="J94" s="89">
        <f>IF(A94&lt;&gt;"",HLOOKUP(VALUE(TEXT(G94,"h:mm:ss")),IF($C$6="Laboral",$FZ$4:$GX$227,IF($C$6="Sábado",$FZ$231:$GX$452,$FZ$456:$GX$656)),VLOOKUP($C$4,$HF$2:$HH$99,3,0)+IF(C$5="Ida",0,1),1),"")</f>
        <v/>
      </c>
      <c r="K94" s="89">
        <f>IF(A95&lt;&gt;A94,AVERAGEIF(A$9:A94,A94,J$9:J94),"")</f>
        <v/>
      </c>
      <c r="L94" s="89">
        <f>IFERROR(IF(A95&lt;&gt;A94,AVERAGEIF(A$9:A94,A94,S$9:S94),""),"")</f>
        <v/>
      </c>
      <c r="M94" s="89">
        <f>IFERROR(IF(A95&lt;&gt;A94,AVERAGEIF(A$9:A94,A94,T$9:T94),""),"")</f>
        <v/>
      </c>
      <c r="N94" s="89">
        <f t="array" ref="N94">IFERROR(IF(A95&lt;&gt;A94,_xlfn.STDEV.P(IF(A$9:A94=A94,T$9:T94)),""),"")</f>
        <v/>
      </c>
      <c r="O94" s="89">
        <f t="array" ref="O94">IFERROR(IF(A95&lt;&gt;A94,_xlfn.STDEV.P(IF(A$9:A94=A94,S$9:S94)),""),"")</f>
        <v/>
      </c>
      <c r="P94" s="90">
        <f>IFERROR(IF(A94&lt;&gt;A95,MAX((((M94*24*60)/2)*(1+POWER((((N94*24*60) / (M94*24*60) )),2))) + ((M94*24*60 )*-0.1 + (K94*0.015)) +1,(((M94*24*60)/2)*(1+POWER((((N94*24*60) / (M94*24*60 ))),2)))),""),"")</f>
        <v/>
      </c>
      <c r="Q94" s="90">
        <f>IF(AND(O94&lt;&gt;"",L94&lt;&gt;""),IF(A94&lt;&gt;A95,((L94*24*60) / 2 ) * (1 + POWER(((O94*24*60) / (L94*24*60)),2)),""),"")</f>
        <v/>
      </c>
      <c r="R94" s="90">
        <f>IF(Q94&lt;&gt;"",MAX(P94,Q94),"")</f>
        <v/>
      </c>
      <c r="S94" s="89">
        <f>IF(I94&lt;&gt;"H. Sale Real",IF(AND(I95&lt;&gt;"",LEFT(C95,2)&lt;&gt;"Va"),IF(AND(I94&lt;&gt;"",LEFT(C94,2)&lt;&gt;"Va",I94&lt;&gt;"H. Sale Real"),IF(I95-I94&lt;0.208333333333333,I95-I94,""),IF(AND(I93&lt;&gt;"",LEFT(C93,2)&lt;&gt;"Va",I93&lt;&gt;"H. Sale Real"),IF(I95-I93&lt;0.208333333333333,I95-I93,""),IF(AND(I92&lt;&gt;"",LEFT(C92,2)&lt;&gt;"Va",I92&lt;&gt;"H. Sale Real"),IF(I95-I92&lt;0.208333333333333,I95-I92,""),IF(AND(I91&lt;&gt;"",LEFT(C91,2)&lt;&gt;"Va",I91&lt;&gt;"H. Sale Real"),IF(I95-I91&lt;0.208333333333333,I95-I91,""),IF(AND(I90&lt;&gt;"",LEFT(C90,2)&lt;&gt;"Va",I90&lt;&gt;"H. Sale Real"),IF(I95-I90&lt;0.208333333333333,I95-I90,""),""))))),""),"")</f>
        <v/>
      </c>
      <c r="T94" s="89">
        <f>IF(G94&lt;&gt;"H. Sale Real",IF(AND(G95&lt;&gt;"",LEFT(C95,2)&lt;&gt;"Va"),IF(AND(G94&lt;&gt;"",LEFT(C94,2)&lt;&gt;"Va",G94&lt;&gt;"H. Sale Real"),IF(G95-G94&lt;0.208333333333333,G95-G94,""),IF(AND(G93&lt;&gt;"",LEFT(C93,2)&lt;&gt;"Va",G93&lt;&gt;"H. Sale Real"),IF(G95-G93&lt;0.208333333333333,G95-G93,""),IF(AND(G92&lt;&gt;"",LEFT(C92,2)&lt;&gt;"Va",G92&lt;&gt;"H. Sale Real"),IF(G95-G92&lt;0.208333333333333,G95-G92,""),IF(AND(G91&lt;&gt;"",LEFT(C91,2)&lt;&gt;"Va",G91&lt;&gt;"H. Sale Real"),IF(G95-G91&lt;0.208333333333333,G95-G91,""),IF(AND(G90&lt;&gt;"",LEFT(C90,2)&lt;&gt;"Va",G90&lt;&gt;"H. Sale Real"),IF(G95-G90&lt;0.208333333333333,G95-G90,""),""))))),""),"")</f>
        <v/>
      </c>
      <c r="U94" s="87" t="n"/>
      <c r="V94" s="89" t="n"/>
      <c r="W94" s="87" t="n"/>
      <c r="X94" s="89" t="n"/>
      <c r="Y94" s="91" t="n"/>
      <c r="Z94" s="122">
        <f>IF(G94&lt;&gt;"",IF(AND(Z93&lt;&gt;"IE",P94&lt;&gt;0,R94&lt;&gt;""),IF(IFERROR((P94/R94),0) &lt;=1,IFERROR(P94/R94,""),1),""),"")</f>
        <v/>
      </c>
      <c r="AA94" s="93" t="n"/>
      <c r="AB94" s="2" t="n"/>
      <c r="AE94" s="10">
        <f>HOUR(AK94)+1</f>
        <v/>
      </c>
      <c r="AF94" s="7" t="n"/>
      <c r="AG94" s="7" t="n"/>
      <c r="AH94" s="86" t="n"/>
      <c r="AI94" s="8" t="n"/>
      <c r="AJ94" s="86" t="n"/>
      <c r="AK94" s="87" t="n"/>
      <c r="AL94" s="88">
        <f>IF(AM94="","",IF(AND((AM94-AK94)&gt;=TIME(0,0,0),(AM94-AK94)&lt;TIME(0,3,0)),"OK",IF(AND((AM94-AK94)&gt;=TIME(0,3,0),(AM94-AK94)&lt;TIME(0,5,0)),"RETRASO DE 3-5 MIN",IF(AND((AM94-AK94)&gt;=TIME(0,5,0),(AM94-AK94)&lt;TIME(0,10,0)),"RETRASO DE 5-10 MIN",IF((AM94-AK94)&gt;=TIME(0,10,0),"RETRASO &gt;10 MIN", IF(AND((AK94-AM94)&gt;=TIME(0,0,0),(AK94-AM94)&lt;TIME(0,3,0)),"OK",IF((AK94-AM94)&gt;=TIME(0,3,0),"ADELANTADO")))))))</f>
        <v/>
      </c>
      <c r="AM94" s="91" t="n"/>
      <c r="AN94" s="89">
        <f>IF(AE94&lt;&gt;"",HLOOKUP(VALUE(TEXT(AK94,"h:mm:ss")),IF($C$6="Laboral",$FZ$4:$GX$227,IF($C$6="Sábado",$FZ$231:$GX$452,$FZ$456:$GX$656)),VLOOKUP($C$4,$HF$2:$HH$99,3,0)+IF(AG$5="Ida",0,1),1),"")</f>
        <v/>
      </c>
      <c r="AO94" s="89">
        <f>IF(AE95&lt;&gt;AE94,AVERAGEIF(AE$9:AE94,AE94,AN$9:AN94),"")</f>
        <v/>
      </c>
      <c r="AP94" s="89">
        <f>IFERROR(IF(AE95&lt;&gt;AE94,AVERAGEIF(AE$9:AE94,AE94,AW$9:AW94),""),"")</f>
        <v/>
      </c>
      <c r="AQ94" s="89">
        <f>IFERROR(IF(AE95&lt;&gt;AE94,AVERAGEIF(AE$9:AE94,AE94,AX$9:AX94),""),"")</f>
        <v/>
      </c>
      <c r="AR94" s="89">
        <f t="array" ref="AR94">IFERROR(IF(AE95&lt;&gt;AE94,_xlfn.STDEV.P(IF(AE$9:AE94=AE94,AX$9:AX94)),""),"")</f>
        <v/>
      </c>
      <c r="AS94" s="89">
        <f t="array" ref="AS94">IFERROR(IF(AE95&lt;&gt;AE94,_xlfn.STDEV.P(IF(AE$9:AE94=AE94,AW$9:AW94)),""),"")</f>
        <v/>
      </c>
      <c r="AT94" s="90">
        <f>IFERROR(IF(AE94&lt;&gt;AE95,MAX((((AQ94*24*60)/2)*(1+POWER((((AR94*24*60) / (AQ94*24*60) )),2))) + ((AQ94*24*60 )*-0.1 + (AO94*0.015)) +1,(((AQ94*24*60)/2)*(1+POWER((((AR94*24*60) / (AQ94*24*60 ))),2)))),""),"")</f>
        <v/>
      </c>
      <c r="AU94" s="90">
        <f>IF(AND(AS94&lt;&gt;"",AP94&lt;&gt;""),IF(AE94&lt;&gt;AE95,((AP94*24*60) / 2 ) * (1 + POWER(((AS94*24*60) / (AP94*24*60)),2)),""),"")</f>
        <v/>
      </c>
      <c r="AV94" s="90">
        <f>IF(AU94&lt;&gt;"",MAX(AT94,AU94),"")</f>
        <v/>
      </c>
      <c r="AW94" s="89">
        <f>IF(AM94&lt;&gt;"H. Sale Real",IF(AND(AM95&lt;&gt;"",LEFT(AG95,2)&lt;&gt;"Va"),IF(AND(AM94&lt;&gt;"",LEFT(AG94,2)&lt;&gt;"Va",AM94&lt;&gt;"H. Sale Real"),IF(AM95-AM94&lt;0.208333333333333,AM95-AM94,""),IF(AND(AM93&lt;&gt;"",LEFT(AG93,2)&lt;&gt;"Va",AM93&lt;&gt;"H. Sale Real"),IF(AM95-AM93&lt;0.208333333333333,AM95-AM93,""),IF(AND(AM92&lt;&gt;"",LEFT(AG92,2)&lt;&gt;"Va",AM92&lt;&gt;"H. Sale Real"),IF(AM95-AM92&lt;0.208333333333333,AM95-AM92,""),IF(AND(AM91&lt;&gt;"",LEFT(AG91,2)&lt;&gt;"Va",AM91&lt;&gt;"H. Sale Real"),IF(AM95-AM91&lt;0.208333333333333,AM95-AM91,""),IF(AND(AM90&lt;&gt;"",LEFT(AG90,2)&lt;&gt;"Va",AM90&lt;&gt;"H. Sale Real"),IF(AM95-AM90&lt;0.208333333333333,AM95-AM90,""),""))))),""),"")</f>
        <v/>
      </c>
      <c r="AX94" s="89">
        <f>IF(AK94&lt;&gt;"H. Sale Real",IF(AND(AK95&lt;&gt;"",LEFT(AG95,2)&lt;&gt;"Va"),IF(AND(AK94&lt;&gt;"",LEFT(AG94,2)&lt;&gt;"Va",AK94&lt;&gt;"H. Sale Real"),IF(AK95-AK94&lt;0.208333333333333,AK95-AK94,""),IF(AND(AK93&lt;&gt;"",LEFT(AG93,2)&lt;&gt;"Va",AK93&lt;&gt;"H. Sale Real"),IF(AK95-AK93&lt;0.208333333333333,AK95-AK93,""),IF(AND(AK92&lt;&gt;"",LEFT(AG92,2)&lt;&gt;"NC",AK92&lt;&gt;"H. Sale Real"),IF(AK95-AK92&lt;0.208333333333333,AK95-AK92,""),IF(AND(AK91&lt;&gt;"",LEFT(AG91,2)&lt;&gt;"Va",AK91&lt;&gt;"H. Sale Real"),IF(AK95-AK91&lt;0.208333333333333,AK95-AK91,""),IF(AND(AK90&lt;&gt;"",LEFT(AG90,2)&lt;&gt;"Va",AK90&lt;&gt;"H. Sale Real"),IF(AK95-AK90&lt;0.208333333333333,AK95-AK90,""),""))))),""),"")</f>
        <v/>
      </c>
      <c r="AY94" s="87" t="n"/>
      <c r="AZ94" s="89" t="n"/>
      <c r="BA94" s="87" t="n"/>
      <c r="BB94" s="89" t="n"/>
      <c r="BC94" s="91" t="n"/>
      <c r="BD94" s="122">
        <f>IF(AK94&lt;&gt;"",IF(AND(BD93&lt;&gt;"IE",AT94&lt;&gt;0,AV94&lt;&gt;""),IF(IFERROR((AT94/AV94),0) &lt;=1,IFERROR(AT94/AV94,""),1),""),"")</f>
        <v/>
      </c>
      <c r="BE94" s="93" t="n"/>
      <c r="BF94" s="105" t="n"/>
      <c r="FC94" t="inlineStr">
        <is>
          <t>Diccionario 1</t>
        </is>
      </c>
      <c r="FD94" s="15" t="n">
        <v>1091</v>
      </c>
      <c r="FE94" s="15" t="inlineStr">
        <is>
          <t>D8482515K2PL</t>
        </is>
      </c>
      <c r="FF94" s="15" t="inlineStr">
        <is>
          <t>YV3T7U524KA195349</t>
        </is>
      </c>
      <c r="FG94" s="15" t="inlineStr">
        <is>
          <t>Volvo</t>
        </is>
      </c>
      <c r="FH94" s="15" t="inlineStr">
        <is>
          <t>B8R</t>
        </is>
      </c>
      <c r="FI94" s="15" t="inlineStr">
        <is>
          <t>MARCOPOLO</t>
        </is>
      </c>
      <c r="FJ94" s="15" t="inlineStr">
        <is>
          <t>TORINO</t>
        </is>
      </c>
      <c r="FK94" s="15" t="n">
        <v>2019</v>
      </c>
      <c r="FL94" s="15" t="inlineStr">
        <is>
          <t>B2PAL</t>
        </is>
      </c>
      <c r="FM94" s="15" t="inlineStr">
        <is>
          <t>LOS LIBERTADORES</t>
        </is>
      </c>
      <c r="FN94" s="15" t="inlineStr">
        <is>
          <t>Los Liberadores 6450, Lote 4A</t>
        </is>
      </c>
      <c r="FO94" s="15" t="inlineStr">
        <is>
          <t>Huechuraba</t>
        </is>
      </c>
      <c r="FP94" t="inlineStr">
        <is>
          <t>B</t>
        </is>
      </c>
      <c r="FS94" s="14" t="inlineStr">
        <is>
          <t>3024 / SFWB-76|</t>
        </is>
      </c>
      <c r="FT94" t="inlineStr">
        <is>
          <t>SFWB-76|</t>
        </is>
      </c>
      <c r="FU94" t="inlineStr">
        <is>
          <t>SFWB-76</t>
        </is>
      </c>
      <c r="FV94">
        <f>VLOOKUP(FU94,FD:FL,9,0)</f>
        <v/>
      </c>
      <c r="HA94" s="35" t="n">
        <v>91</v>
      </c>
      <c r="HB94" s="35" t="n">
        <v>88</v>
      </c>
    </row>
    <row r="95" ht="15.5" customHeight="1">
      <c r="A95" s="10">
        <f>HOUR(G95)+1</f>
        <v/>
      </c>
      <c r="B95" s="7" t="n"/>
      <c r="C95" s="7" t="n"/>
      <c r="D95" s="85">
        <f>IFERROR(
IF(AND(OR(Planilla!B95="C",Planilla!B95="c"), VLOOKUP(E95,FD:FP,13,0)="C"), "OK",IF(AND(OR(Planilla!B95="C",Planilla!B95="c"), OR(VLOOKUP(E95,FD:FP,13,0)="B", VLOOKUP(E95,FD:FP,13,0)="A")), "DEFICIT",IF(
AND(OR(Planilla!B95="B", Planilla!B95="BPAL"), VLOOKUP(E95,FD:FP,13,0)="B"), "OK",IF(AND(OR(Planilla!B95="B", Planilla!B95="BPAL"), VLOOKUP(E95,FD:FP,13,0)="A"), "DEFICIT",IF(AND(OR(Planilla!B95="B", Planilla!B95="BPAL"), VLOOKUP(E95,FD:FP,13,0)="C"), "SOBREOFERTA",IF(AND(Planilla!B95="A", VLOOKUP(E95,FD:FP,13,0)="A"), "OK",IF(
AND(Planilla!B95="A", OR(VLOOKUP(E95,FD:FP,13,0)="B", VLOOKUP(E95,FD:FP,13,0)="C")), "SOBREOFERTA",""
))))))),"")</f>
        <v/>
      </c>
      <c r="E95" s="8" t="n"/>
      <c r="F95" s="86" t="n"/>
      <c r="G95" s="87" t="n"/>
      <c r="H95" s="88">
        <f>IF(I95="","",IF(AND((I95-G95)&gt;=TIME(0,0,0),(I95-G95)&lt;TIME(0,3,0)),"OK",IF(AND((I95-G95)&gt;=TIME(0,3,0),(I95-G95)&lt;TIME(0,5,0)),"RETRASO DE 3-5 MIN",IF(AND((I95-G95)&gt;=TIME(0,5,0),(I95-G95)&lt;TIME(0,10,0)),"RETRASO DE 5-10 MIN",IF((I95-G95)&gt;=TIME(0,10,0),"RETRASO &gt;10 MIN", IF(AND((G95-I95)&gt;=TIME(0,0,0),(G95-I95)&lt;TIME(0,3,0)),"OK",IF((G95-I95)&gt;=TIME(0,3,0),"ADELANTADO")))))))</f>
        <v/>
      </c>
      <c r="I95" s="89" t="n"/>
      <c r="J95" s="89">
        <f>IF(A95&lt;&gt;"",HLOOKUP(VALUE(TEXT(G95,"h:mm:ss")),IF($C$6="Laboral",$FZ$4:$GX$227,IF($C$6="Sábado",$FZ$231:$GX$452,$FZ$456:$GX$656)),VLOOKUP($C$4,$HF$2:$HH$99,3,0)+IF(C$5="Ida",0,1),1),"")</f>
        <v/>
      </c>
      <c r="K95" s="89">
        <f>IF(A96&lt;&gt;A95,AVERAGEIF(A$9:A95,A95,J$9:J95),"")</f>
        <v/>
      </c>
      <c r="L95" s="89">
        <f>IFERROR(IF(A96&lt;&gt;A95,AVERAGEIF(A$9:A95,A95,S$9:S95),""),"")</f>
        <v/>
      </c>
      <c r="M95" s="89">
        <f>IFERROR(IF(A96&lt;&gt;A95,AVERAGEIF(A$9:A95,A95,T$9:T95),""),"")</f>
        <v/>
      </c>
      <c r="N95" s="89">
        <f t="array" ref="N95">IFERROR(IF(A96&lt;&gt;A95,_xlfn.STDEV.P(IF(A$9:A95=A95,T$9:T95)),""),"")</f>
        <v/>
      </c>
      <c r="O95" s="89">
        <f t="array" ref="O95">IFERROR(IF(A96&lt;&gt;A95,_xlfn.STDEV.P(IF(A$9:A95=A95,S$9:S95)),""),"")</f>
        <v/>
      </c>
      <c r="P95" s="90">
        <f>IFERROR(IF(A95&lt;&gt;A96,MAX((((M95*24*60)/2)*(1+POWER((((N95*24*60) / (M95*24*60) )),2))) + ((M95*24*60 )*-0.1 + (K95*0.015)) +1,(((M95*24*60)/2)*(1+POWER((((N95*24*60) / (M95*24*60 ))),2)))),""),"")</f>
        <v/>
      </c>
      <c r="Q95" s="90">
        <f>IF(AND(O95&lt;&gt;"",L95&lt;&gt;""),IF(A95&lt;&gt;A96,((L95*24*60) / 2 ) * (1 + POWER(((O95*24*60) / (L95*24*60)),2)),""),"")</f>
        <v/>
      </c>
      <c r="R95" s="90">
        <f>IF(Q95&lt;&gt;"",MAX(P95,Q95),"")</f>
        <v/>
      </c>
      <c r="S95" s="89">
        <f>IF(I95&lt;&gt;"H. Sale Real",IF(AND(I96&lt;&gt;"",LEFT(C96,2)&lt;&gt;"Va"),IF(AND(I95&lt;&gt;"",LEFT(C95,2)&lt;&gt;"Va",I95&lt;&gt;"H. Sale Real"),IF(I96-I95&lt;0.208333333333333,I96-I95,""),IF(AND(I94&lt;&gt;"",LEFT(C94,2)&lt;&gt;"Va",I94&lt;&gt;"H. Sale Real"),IF(I96-I94&lt;0.208333333333333,I96-I94,""),IF(AND(I93&lt;&gt;"",LEFT(C93,2)&lt;&gt;"Va",I93&lt;&gt;"H. Sale Real"),IF(I96-I93&lt;0.208333333333333,I96-I93,""),IF(AND(I92&lt;&gt;"",LEFT(C92,2)&lt;&gt;"Va",I92&lt;&gt;"H. Sale Real"),IF(I96-I92&lt;0.208333333333333,I96-I92,""),IF(AND(I91&lt;&gt;"",LEFT(C91,2)&lt;&gt;"Va",I91&lt;&gt;"H. Sale Real"),IF(I96-I91&lt;0.208333333333333,I96-I91,""),""))))),""),"")</f>
        <v/>
      </c>
      <c r="T95" s="89">
        <f>IF(G95&lt;&gt;"H. Sale Real",IF(AND(G96&lt;&gt;"",LEFT(C96,2)&lt;&gt;"Va"),IF(AND(G95&lt;&gt;"",LEFT(C95,2)&lt;&gt;"Va",G95&lt;&gt;"H. Sale Real"),IF(G96-G95&lt;0.208333333333333,G96-G95,""),IF(AND(G94&lt;&gt;"",LEFT(C94,2)&lt;&gt;"Va",G94&lt;&gt;"H. Sale Real"),IF(G96-G94&lt;0.208333333333333,G96-G94,""),IF(AND(G93&lt;&gt;"",LEFT(C93,2)&lt;&gt;"Va",G93&lt;&gt;"H. Sale Real"),IF(G96-G93&lt;0.208333333333333,G96-G93,""),IF(AND(G92&lt;&gt;"",LEFT(C92,2)&lt;&gt;"Va",G92&lt;&gt;"H. Sale Real"),IF(G96-G92&lt;0.208333333333333,G96-G92,""),IF(AND(G91&lt;&gt;"",LEFT(C91,2)&lt;&gt;"Va",G91&lt;&gt;"H. Sale Real"),IF(G96-G91&lt;0.208333333333333,G96-G91,""),""))))),""),"")</f>
        <v/>
      </c>
      <c r="U95" s="87" t="n"/>
      <c r="V95" s="89" t="n"/>
      <c r="W95" s="87" t="n"/>
      <c r="X95" s="89" t="n"/>
      <c r="Y95" s="91" t="n"/>
      <c r="Z95" s="122">
        <f>IF(G95&lt;&gt;"",IF(AND(Z94&lt;&gt;"IE",P95&lt;&gt;0,R95&lt;&gt;""),IF(IFERROR((P95/R95),0) &lt;=1,IFERROR(P95/R95,""),1),""),"")</f>
        <v/>
      </c>
      <c r="AA95" s="93" t="n"/>
      <c r="AB95" s="2" t="n"/>
      <c r="AE95" s="10">
        <f>HOUR(AK95)+1</f>
        <v/>
      </c>
      <c r="AF95" s="7" t="n"/>
      <c r="AG95" s="7" t="n"/>
      <c r="AH95" s="86" t="n"/>
      <c r="AI95" s="8" t="n"/>
      <c r="AJ95" s="86" t="n"/>
      <c r="AK95" s="87" t="n"/>
      <c r="AL95" s="88">
        <f>IF(AM95="","",IF(AND((AM95-AK95)&gt;=TIME(0,0,0),(AM95-AK95)&lt;TIME(0,3,0)),"OK",IF(AND((AM95-AK95)&gt;=TIME(0,3,0),(AM95-AK95)&lt;TIME(0,5,0)),"RETRASO DE 3-5 MIN",IF(AND((AM95-AK95)&gt;=TIME(0,5,0),(AM95-AK95)&lt;TIME(0,10,0)),"RETRASO DE 5-10 MIN",IF((AM95-AK95)&gt;=TIME(0,10,0),"RETRASO &gt;10 MIN", IF(AND((AK95-AM95)&gt;=TIME(0,0,0),(AK95-AM95)&lt;TIME(0,3,0)),"OK",IF((AK95-AM95)&gt;=TIME(0,3,0),"ADELANTADO")))))))</f>
        <v/>
      </c>
      <c r="AM95" s="91" t="n"/>
      <c r="AN95" s="89">
        <f>IF(AE95&lt;&gt;"",HLOOKUP(VALUE(TEXT(AK95,"h:mm:ss")),IF($C$6="Laboral",$FZ$4:$GX$227,IF($C$6="Sábado",$FZ$231:$GX$452,$FZ$456:$GX$656)),VLOOKUP($C$4,$HF$2:$HH$99,3,0)+IF(AG$5="Ida",0,1),1),"")</f>
        <v/>
      </c>
      <c r="AO95" s="89">
        <f>IF(AE96&lt;&gt;AE95,AVERAGEIF(AE$9:AE95,AE95,AN$9:AN95),"")</f>
        <v/>
      </c>
      <c r="AP95" s="89">
        <f>IFERROR(IF(AE96&lt;&gt;AE95,AVERAGEIF(AE$9:AE95,AE95,AW$9:AW95),""),"")</f>
        <v/>
      </c>
      <c r="AQ95" s="89">
        <f>IFERROR(IF(AE96&lt;&gt;AE95,AVERAGEIF(AE$9:AE95,AE95,AX$9:AX95),""),"")</f>
        <v/>
      </c>
      <c r="AR95" s="89">
        <f t="array" ref="AR95">IFERROR(IF(AE96&lt;&gt;AE95,_xlfn.STDEV.P(IF(AE$9:AE95=AE95,AX$9:AX95)),""),"")</f>
        <v/>
      </c>
      <c r="AS95" s="89">
        <f t="array" ref="AS95">IFERROR(IF(AE96&lt;&gt;AE95,_xlfn.STDEV.P(IF(AE$9:AE95=AE95,AW$9:AW95)),""),"")</f>
        <v/>
      </c>
      <c r="AT95" s="90">
        <f>IFERROR(IF(AE95&lt;&gt;AE96,MAX((((AQ95*24*60)/2)*(1+POWER((((AR95*24*60) / (AQ95*24*60) )),2))) + ((AQ95*24*60 )*-0.1 + (AO95*0.015)) +1,(((AQ95*24*60)/2)*(1+POWER((((AR95*24*60) / (AQ95*24*60 ))),2)))),""),"")</f>
        <v/>
      </c>
      <c r="AU95" s="90">
        <f>IF(AND(AS95&lt;&gt;"",AP95&lt;&gt;""),IF(AE95&lt;&gt;AE96,((AP95*24*60) / 2 ) * (1 + POWER(((AS95*24*60) / (AP95*24*60)),2)),""),"")</f>
        <v/>
      </c>
      <c r="AV95" s="90">
        <f>IF(AU95&lt;&gt;"",MAX(AT95,AU95),"")</f>
        <v/>
      </c>
      <c r="AW95" s="89">
        <f>IF(AM95&lt;&gt;"H. Sale Real",IF(AND(AM96&lt;&gt;"",LEFT(AG96,2)&lt;&gt;"Va"),IF(AND(AM95&lt;&gt;"",LEFT(AG95,2)&lt;&gt;"Va",AM95&lt;&gt;"H. Sale Real"),IF(AM96-AM95&lt;0.208333333333333,AM96-AM95,""),IF(AND(AM94&lt;&gt;"",LEFT(AG94,2)&lt;&gt;"Va",AM94&lt;&gt;"H. Sale Real"),IF(AM96-AM94&lt;0.208333333333333,AM96-AM94,""),IF(AND(AM93&lt;&gt;"",LEFT(AG93,2)&lt;&gt;"Va",AM93&lt;&gt;"H. Sale Real"),IF(AM96-AM93&lt;0.208333333333333,AM96-AM93,""),IF(AND(AM92&lt;&gt;"",LEFT(AG92,2)&lt;&gt;"Va",AM92&lt;&gt;"H. Sale Real"),IF(AM96-AM92&lt;0.208333333333333,AM96-AM92,""),IF(AND(AM91&lt;&gt;"",LEFT(AG91,2)&lt;&gt;"Va",AM91&lt;&gt;"H. Sale Real"),IF(AM96-AM91&lt;0.208333333333333,AM96-AM91,""),""))))),""),"")</f>
        <v/>
      </c>
      <c r="AX95" s="89">
        <f>IF(AK95&lt;&gt;"H. Sale Real",IF(AND(AK96&lt;&gt;"",LEFT(AG96,2)&lt;&gt;"Va"),IF(AND(AK95&lt;&gt;"",LEFT(AG95,2)&lt;&gt;"Va",AK95&lt;&gt;"H. Sale Real"),IF(AK96-AK95&lt;0.208333333333333,AK96-AK95,""),IF(AND(AK94&lt;&gt;"",LEFT(AG94,2)&lt;&gt;"Va",AK94&lt;&gt;"H. Sale Real"),IF(AK96-AK94&lt;0.208333333333333,AK96-AK94,""),IF(AND(AK93&lt;&gt;"",LEFT(AG93,2)&lt;&gt;"NC",AK93&lt;&gt;"H. Sale Real"),IF(AK96-AK93&lt;0.208333333333333,AK96-AK93,""),IF(AND(AK92&lt;&gt;"",LEFT(AG92,2)&lt;&gt;"Va",AK92&lt;&gt;"H. Sale Real"),IF(AK96-AK92&lt;0.208333333333333,AK96-AK92,""),IF(AND(AK91&lt;&gt;"",LEFT(AG91,2)&lt;&gt;"Va",AK91&lt;&gt;"H. Sale Real"),IF(AK96-AK91&lt;0.208333333333333,AK96-AK91,""),""))))),""),"")</f>
        <v/>
      </c>
      <c r="AY95" s="87" t="n"/>
      <c r="AZ95" s="89" t="n"/>
      <c r="BA95" s="87" t="n"/>
      <c r="BB95" s="89" t="n"/>
      <c r="BC95" s="91" t="n"/>
      <c r="BD95" s="122">
        <f>IF(AK95&lt;&gt;"",IF(AND(BD94&lt;&gt;"IE",AT95&lt;&gt;0,AV95&lt;&gt;""),IF(IFERROR((AT95/AV95),0) &lt;=1,IFERROR(AT95/AV95,""),1),""),"")</f>
        <v/>
      </c>
      <c r="BE95" s="93" t="n"/>
      <c r="BF95" s="105" t="n"/>
      <c r="FC95" t="inlineStr">
        <is>
          <t>Diccionario 1</t>
        </is>
      </c>
      <c r="FD95" s="15" t="n">
        <v>1092</v>
      </c>
      <c r="FE95" s="15" t="inlineStr">
        <is>
          <t>D8482526K2PL</t>
        </is>
      </c>
      <c r="FF95" s="15" t="inlineStr">
        <is>
          <t>YV3T7U526KA195353</t>
        </is>
      </c>
      <c r="FG95" s="15" t="inlineStr">
        <is>
          <t>Volvo</t>
        </is>
      </c>
      <c r="FH95" s="15" t="inlineStr">
        <is>
          <t>B8R</t>
        </is>
      </c>
      <c r="FI95" s="15" t="inlineStr">
        <is>
          <t>MARCOPOLO</t>
        </is>
      </c>
      <c r="FJ95" s="15" t="inlineStr">
        <is>
          <t>TORINO</t>
        </is>
      </c>
      <c r="FK95" s="15" t="n">
        <v>2019</v>
      </c>
      <c r="FL95" s="15" t="inlineStr">
        <is>
          <t>B2PAL</t>
        </is>
      </c>
      <c r="FM95" s="15" t="inlineStr">
        <is>
          <t>SAN JOSE</t>
        </is>
      </c>
      <c r="FN95" s="15" t="inlineStr">
        <is>
          <t>San José 030 (José Besa 669)</t>
        </is>
      </c>
      <c r="FO95" s="15" t="inlineStr">
        <is>
          <t>San Bernardo</t>
        </is>
      </c>
      <c r="FP95" t="inlineStr">
        <is>
          <t>B</t>
        </is>
      </c>
      <c r="FS95" s="14" t="inlineStr">
        <is>
          <t>3024 / SFWB-76|</t>
        </is>
      </c>
      <c r="FT95" t="inlineStr">
        <is>
          <t>SFWB-76|</t>
        </is>
      </c>
      <c r="FU95" t="inlineStr">
        <is>
          <t>SFWB-76</t>
        </is>
      </c>
      <c r="FV95">
        <f>VLOOKUP(FU95,FD:FL,9,0)</f>
        <v/>
      </c>
      <c r="HA95" s="35" t="n">
        <v>92</v>
      </c>
      <c r="HB95" s="35" t="n">
        <v>89</v>
      </c>
    </row>
    <row r="96" ht="15.5" customHeight="1">
      <c r="A96" s="10">
        <f>HOUR(G96)+1</f>
        <v/>
      </c>
      <c r="B96" s="7" t="n"/>
      <c r="C96" s="7" t="n"/>
      <c r="D96" s="85">
        <f>IFERROR(
IF(AND(OR(Planilla!B96="C",Planilla!B96="c"), VLOOKUP(E96,FD:FP,13,0)="C"), "OK",IF(AND(OR(Planilla!B96="C",Planilla!B96="c"), OR(VLOOKUP(E96,FD:FP,13,0)="B", VLOOKUP(E96,FD:FP,13,0)="A")), "DEFICIT",IF(
AND(OR(Planilla!B96="B", Planilla!B96="BPAL"), VLOOKUP(E96,FD:FP,13,0)="B"), "OK",IF(AND(OR(Planilla!B96="B", Planilla!B96="BPAL"), VLOOKUP(E96,FD:FP,13,0)="A"), "DEFICIT",IF(AND(OR(Planilla!B96="B", Planilla!B96="BPAL"), VLOOKUP(E96,FD:FP,13,0)="C"), "SOBREOFERTA",IF(AND(Planilla!B96="A", VLOOKUP(E96,FD:FP,13,0)="A"), "OK",IF(
AND(Planilla!B96="A", OR(VLOOKUP(E96,FD:FP,13,0)="B", VLOOKUP(E96,FD:FP,13,0)="C")), "SOBREOFERTA",""
))))))),"")</f>
        <v/>
      </c>
      <c r="E96" s="8" t="n"/>
      <c r="F96" s="86" t="n"/>
      <c r="G96" s="87" t="n"/>
      <c r="H96" s="88">
        <f>IF(I96="","",IF(AND((I96-G96)&gt;=TIME(0,0,0),(I96-G96)&lt;TIME(0,3,0)),"OK",IF(AND((I96-G96)&gt;=TIME(0,3,0),(I96-G96)&lt;TIME(0,5,0)),"RETRASO DE 3-5 MIN",IF(AND((I96-G96)&gt;=TIME(0,5,0),(I96-G96)&lt;TIME(0,10,0)),"RETRASO DE 5-10 MIN",IF((I96-G96)&gt;=TIME(0,10,0),"RETRASO &gt;10 MIN", IF(AND((G96-I96)&gt;=TIME(0,0,0),(G96-I96)&lt;TIME(0,3,0)),"OK",IF((G96-I96)&gt;=TIME(0,3,0),"ADELANTADO")))))))</f>
        <v/>
      </c>
      <c r="I96" s="89" t="n"/>
      <c r="J96" s="89">
        <f>IF(A96&lt;&gt;"",HLOOKUP(VALUE(TEXT(G96,"h:mm:ss")),IF($C$6="Laboral",$FZ$4:$GX$227,IF($C$6="Sábado",$FZ$231:$GX$452,$FZ$456:$GX$656)),VLOOKUP($C$4,$HF$2:$HH$99,3,0)+IF(C$5="Ida",0,1),1),"")</f>
        <v/>
      </c>
      <c r="K96" s="89">
        <f>IF(A97&lt;&gt;A96,AVERAGEIF(A$9:A96,A96,J$9:J96),"")</f>
        <v/>
      </c>
      <c r="L96" s="89">
        <f>IFERROR(IF(A97&lt;&gt;A96,AVERAGEIF(A$9:A96,A96,S$9:S96),""),"")</f>
        <v/>
      </c>
      <c r="M96" s="89">
        <f>IFERROR(IF(A97&lt;&gt;A96,AVERAGEIF(A$9:A96,A96,T$9:T96),""),"")</f>
        <v/>
      </c>
      <c r="N96" s="89">
        <f t="array" ref="N96">IFERROR(IF(A97&lt;&gt;A96,_xlfn.STDEV.P(IF(A$9:A96=A96,T$9:T96)),""),"")</f>
        <v/>
      </c>
      <c r="O96" s="89">
        <f t="array" ref="O96">IFERROR(IF(A97&lt;&gt;A96,_xlfn.STDEV.P(IF(A$9:A96=A96,S$9:S96)),""),"")</f>
        <v/>
      </c>
      <c r="P96" s="90">
        <f>IFERROR(IF(A96&lt;&gt;A97,MAX((((M96*24*60)/2)*(1+POWER((((N96*24*60) / (M96*24*60) )),2))) + ((M96*24*60 )*-0.1 + (K96*0.015)) +1,(((M96*24*60)/2)*(1+POWER((((N96*24*60) / (M96*24*60 ))),2)))),""),"")</f>
        <v/>
      </c>
      <c r="Q96" s="90">
        <f>IF(AND(O96&lt;&gt;"",L96&lt;&gt;""),IF(A96&lt;&gt;A97,((L96*24*60) / 2 ) * (1 + POWER(((O96*24*60) / (L96*24*60)),2)),""),"")</f>
        <v/>
      </c>
      <c r="R96" s="90">
        <f>IF(Q96&lt;&gt;"",MAX(P96,Q96),"")</f>
        <v/>
      </c>
      <c r="S96" s="89">
        <f>IF(I96&lt;&gt;"H. Sale Real",IF(AND(I97&lt;&gt;"",LEFT(C97,2)&lt;&gt;"Va"),IF(AND(I96&lt;&gt;"",LEFT(C96,2)&lt;&gt;"Va",I96&lt;&gt;"H. Sale Real"),IF(I97-I96&lt;0.208333333333333,I97-I96,""),IF(AND(I95&lt;&gt;"",LEFT(C95,2)&lt;&gt;"Va",I95&lt;&gt;"H. Sale Real"),IF(I97-I95&lt;0.208333333333333,I97-I95,""),IF(AND(I94&lt;&gt;"",LEFT(C94,2)&lt;&gt;"Va",I94&lt;&gt;"H. Sale Real"),IF(I97-I94&lt;0.208333333333333,I97-I94,""),IF(AND(I93&lt;&gt;"",LEFT(C93,2)&lt;&gt;"Va",I93&lt;&gt;"H. Sale Real"),IF(I97-I93&lt;0.208333333333333,I97-I93,""),IF(AND(I92&lt;&gt;"",LEFT(C92,2)&lt;&gt;"Va",I92&lt;&gt;"H. Sale Real"),IF(I97-I92&lt;0.208333333333333,I97-I92,""),""))))),""),"")</f>
        <v/>
      </c>
      <c r="T96" s="89">
        <f>IF(G96&lt;&gt;"H. Sale Real",IF(AND(G97&lt;&gt;"",LEFT(C97,2)&lt;&gt;"Va"),IF(AND(G96&lt;&gt;"",LEFT(C96,2)&lt;&gt;"Va",G96&lt;&gt;"H. Sale Real"),IF(G97-G96&lt;0.208333333333333,G97-G96,""),IF(AND(G95&lt;&gt;"",LEFT(C95,2)&lt;&gt;"Va",G95&lt;&gt;"H. Sale Real"),IF(G97-G95&lt;0.208333333333333,G97-G95,""),IF(AND(G94&lt;&gt;"",LEFT(C94,2)&lt;&gt;"Va",G94&lt;&gt;"H. Sale Real"),IF(G97-G94&lt;0.208333333333333,G97-G94,""),IF(AND(G93&lt;&gt;"",LEFT(C93,2)&lt;&gt;"Va",G93&lt;&gt;"H. Sale Real"),IF(G97-G93&lt;0.208333333333333,G97-G93,""),IF(AND(G92&lt;&gt;"",LEFT(C92,2)&lt;&gt;"Va",G92&lt;&gt;"H. Sale Real"),IF(G97-G92&lt;0.208333333333333,G97-G92,""),""))))),""),"")</f>
        <v/>
      </c>
      <c r="U96" s="87" t="n"/>
      <c r="V96" s="89" t="n"/>
      <c r="W96" s="87" t="n"/>
      <c r="X96" s="89" t="n"/>
      <c r="Y96" s="91" t="n"/>
      <c r="Z96" s="122">
        <f>IF(G96&lt;&gt;"",IF(AND(Z95&lt;&gt;"IE",P96&lt;&gt;0,R96&lt;&gt;""),IF(IFERROR((P96/R96),0) &lt;=1,IFERROR(P96/R96,""),1),""),"")</f>
        <v/>
      </c>
      <c r="AA96" s="93" t="n"/>
      <c r="AB96" s="2" t="n"/>
      <c r="AE96" s="10">
        <f>HOUR(AK96)+1</f>
        <v/>
      </c>
      <c r="AF96" s="7" t="n"/>
      <c r="AG96" s="7" t="n"/>
      <c r="AH96" s="86" t="n"/>
      <c r="AI96" s="8" t="n"/>
      <c r="AJ96" s="86" t="n"/>
      <c r="AK96" s="87" t="n"/>
      <c r="AL96" s="88">
        <f>IF(AM96="","",IF(AND((AM96-AK96)&gt;=TIME(0,0,0),(AM96-AK96)&lt;TIME(0,3,0)),"OK",IF(AND((AM96-AK96)&gt;=TIME(0,3,0),(AM96-AK96)&lt;TIME(0,5,0)),"RETRASO DE 3-5 MIN",IF(AND((AM96-AK96)&gt;=TIME(0,5,0),(AM96-AK96)&lt;TIME(0,10,0)),"RETRASO DE 5-10 MIN",IF((AM96-AK96)&gt;=TIME(0,10,0),"RETRASO &gt;10 MIN", IF(AND((AK96-AM96)&gt;=TIME(0,0,0),(AK96-AM96)&lt;TIME(0,3,0)),"OK",IF((AK96-AM96)&gt;=TIME(0,3,0),"ADELANTADO")))))))</f>
        <v/>
      </c>
      <c r="AM96" s="91" t="n"/>
      <c r="AN96" s="89">
        <f>IF(AE96&lt;&gt;"",HLOOKUP(VALUE(TEXT(AK96,"h:mm:ss")),IF($C$6="Laboral",$FZ$4:$GX$227,IF($C$6="Sábado",$FZ$231:$GX$452,$FZ$456:$GX$656)),VLOOKUP($C$4,$HF$2:$HH$99,3,0)+IF(AG$5="Ida",0,1),1),"")</f>
        <v/>
      </c>
      <c r="AO96" s="89">
        <f>IF(AE97&lt;&gt;AE96,AVERAGEIF(AE$9:AE96,AE96,AN$9:AN96),"")</f>
        <v/>
      </c>
      <c r="AP96" s="89">
        <f>IFERROR(IF(AE97&lt;&gt;AE96,AVERAGEIF(AE$9:AE96,AE96,AW$9:AW96),""),"")</f>
        <v/>
      </c>
      <c r="AQ96" s="89">
        <f>IFERROR(IF(AE97&lt;&gt;AE96,AVERAGEIF(AE$9:AE96,AE96,AX$9:AX96),""),"")</f>
        <v/>
      </c>
      <c r="AR96" s="89">
        <f t="array" ref="AR96">IFERROR(IF(AE97&lt;&gt;AE96,_xlfn.STDEV.P(IF(AE$9:AE96=AE96,AX$9:AX96)),""),"")</f>
        <v/>
      </c>
      <c r="AS96" s="89">
        <f t="array" ref="AS96">IFERROR(IF(AE97&lt;&gt;AE96,_xlfn.STDEV.P(IF(AE$9:AE96=AE96,AW$9:AW96)),""),"")</f>
        <v/>
      </c>
      <c r="AT96" s="90">
        <f>IFERROR(IF(AE96&lt;&gt;AE97,MAX((((AQ96*24*60)/2)*(1+POWER((((AR96*24*60) / (AQ96*24*60) )),2))) + ((AQ96*24*60 )*-0.1 + (AO96*0.015)) +1,(((AQ96*24*60)/2)*(1+POWER((((AR96*24*60) / (AQ96*24*60 ))),2)))),""),"")</f>
        <v/>
      </c>
      <c r="AU96" s="90">
        <f>IF(AND(AS96&lt;&gt;"",AP96&lt;&gt;""),IF(AE96&lt;&gt;AE97,((AP96*24*60) / 2 ) * (1 + POWER(((AS96*24*60) / (AP96*24*60)),2)),""),"")</f>
        <v/>
      </c>
      <c r="AV96" s="90">
        <f>IF(AU96&lt;&gt;"",MAX(AT96,AU96),"")</f>
        <v/>
      </c>
      <c r="AW96" s="89">
        <f>IF(AM96&lt;&gt;"H. Sale Real",IF(AND(AM97&lt;&gt;"",LEFT(AG97,2)&lt;&gt;"Va"),IF(AND(AM96&lt;&gt;"",LEFT(AG96,2)&lt;&gt;"Va",AM96&lt;&gt;"H. Sale Real"),IF(AM97-AM96&lt;0.208333333333333,AM97-AM96,""),IF(AND(AM95&lt;&gt;"",LEFT(AG95,2)&lt;&gt;"Va",AM95&lt;&gt;"H. Sale Real"),IF(AM97-AM95&lt;0.208333333333333,AM97-AM95,""),IF(AND(AM94&lt;&gt;"",LEFT(AG94,2)&lt;&gt;"Va",AM94&lt;&gt;"H. Sale Real"),IF(AM97-AM94&lt;0.208333333333333,AM97-AM94,""),IF(AND(AM93&lt;&gt;"",LEFT(AG93,2)&lt;&gt;"Va",AM93&lt;&gt;"H. Sale Real"),IF(AM97-AM93&lt;0.208333333333333,AM97-AM93,""),IF(AND(AM92&lt;&gt;"",LEFT(AG92,2)&lt;&gt;"Va",AM92&lt;&gt;"H. Sale Real"),IF(AM97-AM92&lt;0.208333333333333,AM97-AM92,""),""))))),""),"")</f>
        <v/>
      </c>
      <c r="AX96" s="89">
        <f>IF(AK96&lt;&gt;"H. Sale Real",IF(AND(AK97&lt;&gt;"",LEFT(AG97,2)&lt;&gt;"Va"),IF(AND(AK96&lt;&gt;"",LEFT(AG96,2)&lt;&gt;"Va",AK96&lt;&gt;"H. Sale Real"),IF(AK97-AK96&lt;0.208333333333333,AK97-AK96,""),IF(AND(AK95&lt;&gt;"",LEFT(AG95,2)&lt;&gt;"Va",AK95&lt;&gt;"H. Sale Real"),IF(AK97-AK95&lt;0.208333333333333,AK97-AK95,""),IF(AND(AK94&lt;&gt;"",LEFT(AG94,2)&lt;&gt;"NC",AK94&lt;&gt;"H. Sale Real"),IF(AK97-AK94&lt;0.208333333333333,AK97-AK94,""),IF(AND(AK93&lt;&gt;"",LEFT(AG93,2)&lt;&gt;"Va",AK93&lt;&gt;"H. Sale Real"),IF(AK97-AK93&lt;0.208333333333333,AK97-AK93,""),IF(AND(AK92&lt;&gt;"",LEFT(AG92,2)&lt;&gt;"Va",AK92&lt;&gt;"H. Sale Real"),IF(AK97-AK92&lt;0.208333333333333,AK97-AK92,""),""))))),""),"")</f>
        <v/>
      </c>
      <c r="AY96" s="87" t="n"/>
      <c r="AZ96" s="89" t="n"/>
      <c r="BA96" s="87" t="n"/>
      <c r="BB96" s="89" t="n"/>
      <c r="BC96" s="91" t="n"/>
      <c r="BD96" s="122">
        <f>IF(AK96&lt;&gt;"",IF(AND(BD95&lt;&gt;"IE",AT96&lt;&gt;0,AV96&lt;&gt;""),IF(IFERROR((AT96/AV96),0) &lt;=1,IFERROR(AT96/AV96,""),1),""),"")</f>
        <v/>
      </c>
      <c r="BE96" s="93" t="n"/>
      <c r="BF96" s="105" t="n"/>
      <c r="FC96" t="inlineStr">
        <is>
          <t>Diccionario 1</t>
        </is>
      </c>
      <c r="FD96" s="15" t="n">
        <v>1093</v>
      </c>
      <c r="FE96" s="15" t="inlineStr">
        <is>
          <t>D8482598K2PL</t>
        </is>
      </c>
      <c r="FF96" s="15" t="inlineStr">
        <is>
          <t>YV3T7U52XKA195355</t>
        </is>
      </c>
      <c r="FG96" s="15" t="inlineStr">
        <is>
          <t>Volvo</t>
        </is>
      </c>
      <c r="FH96" s="15" t="inlineStr">
        <is>
          <t>B8R</t>
        </is>
      </c>
      <c r="FI96" s="15" t="inlineStr">
        <is>
          <t>MARCOPOLO</t>
        </is>
      </c>
      <c r="FJ96" s="15" t="inlineStr">
        <is>
          <t>TORINO</t>
        </is>
      </c>
      <c r="FK96" s="15" t="n">
        <v>2019</v>
      </c>
      <c r="FL96" s="15" t="inlineStr">
        <is>
          <t>B2PAL</t>
        </is>
      </c>
      <c r="FM96" s="15" t="inlineStr">
        <is>
          <t>SAN JOSE</t>
        </is>
      </c>
      <c r="FN96" s="15" t="inlineStr">
        <is>
          <t>San José 030 (José Besa 669)</t>
        </is>
      </c>
      <c r="FO96" s="15" t="inlineStr">
        <is>
          <t>San Bernardo</t>
        </is>
      </c>
      <c r="FP96" t="inlineStr">
        <is>
          <t>B</t>
        </is>
      </c>
      <c r="FS96" s="14" t="inlineStr">
        <is>
          <t>3024 / SFWB-76|</t>
        </is>
      </c>
      <c r="FT96" t="inlineStr">
        <is>
          <t>SFWB-76|</t>
        </is>
      </c>
      <c r="FU96" t="inlineStr">
        <is>
          <t>SFWB-76</t>
        </is>
      </c>
      <c r="FV96">
        <f>VLOOKUP(FU96,FD:FL,9,0)</f>
        <v/>
      </c>
      <c r="HA96" s="35" t="n">
        <v>93</v>
      </c>
      <c r="HB96" s="35" t="n">
        <v>90</v>
      </c>
    </row>
    <row r="97" ht="15.5" customHeight="1">
      <c r="A97" s="10">
        <f>HOUR(G97)+1</f>
        <v/>
      </c>
      <c r="B97" s="7" t="n"/>
      <c r="C97" s="7" t="n"/>
      <c r="D97" s="85">
        <f>IFERROR(
IF(AND(OR(Planilla!B97="C",Planilla!B97="c"), VLOOKUP(E97,FD:FP,13,0)="C"), "OK",IF(AND(OR(Planilla!B97="C",Planilla!B97="c"), OR(VLOOKUP(E97,FD:FP,13,0)="B", VLOOKUP(E97,FD:FP,13,0)="A")), "DEFICIT",IF(
AND(OR(Planilla!B97="B", Planilla!B97="BPAL"), VLOOKUP(E97,FD:FP,13,0)="B"), "OK",IF(AND(OR(Planilla!B97="B", Planilla!B97="BPAL"), VLOOKUP(E97,FD:FP,13,0)="A"), "DEFICIT",IF(AND(OR(Planilla!B97="B", Planilla!B97="BPAL"), VLOOKUP(E97,FD:FP,13,0)="C"), "SOBREOFERTA",IF(AND(Planilla!B97="A", VLOOKUP(E97,FD:FP,13,0)="A"), "OK",IF(
AND(Planilla!B97="A", OR(VLOOKUP(E97,FD:FP,13,0)="B", VLOOKUP(E97,FD:FP,13,0)="C")), "SOBREOFERTA",""
))))))),"")</f>
        <v/>
      </c>
      <c r="E97" s="8" t="n"/>
      <c r="F97" s="86" t="n"/>
      <c r="G97" s="87" t="n"/>
      <c r="H97" s="88">
        <f>IF(I97="","",IF(AND((I97-G97)&gt;=TIME(0,0,0),(I97-G97)&lt;TIME(0,3,0)),"OK",IF(AND((I97-G97)&gt;=TIME(0,3,0),(I97-G97)&lt;TIME(0,5,0)),"RETRASO DE 3-5 MIN",IF(AND((I97-G97)&gt;=TIME(0,5,0),(I97-G97)&lt;TIME(0,10,0)),"RETRASO DE 5-10 MIN",IF((I97-G97)&gt;=TIME(0,10,0),"RETRASO &gt;10 MIN", IF(AND((G97-I97)&gt;=TIME(0,0,0),(G97-I97)&lt;TIME(0,3,0)),"OK",IF((G97-I97)&gt;=TIME(0,3,0),"ADELANTADO")))))))</f>
        <v/>
      </c>
      <c r="I97" s="89" t="n"/>
      <c r="J97" s="89">
        <f>IF(A97&lt;&gt;"",HLOOKUP(VALUE(TEXT(G97,"h:mm:ss")),IF($C$6="Laboral",$FZ$4:$GX$227,IF($C$6="Sábado",$FZ$231:$GX$452,$FZ$456:$GX$656)),VLOOKUP($C$4,$HF$2:$HH$99,3,0)+IF(C$5="Ida",0,1),1),"")</f>
        <v/>
      </c>
      <c r="K97" s="89">
        <f>IF(A98&lt;&gt;A97,AVERAGEIF(A$9:A97,A97,J$9:J97),"")</f>
        <v/>
      </c>
      <c r="L97" s="89">
        <f>IFERROR(IF(A98&lt;&gt;A97,AVERAGEIF(A$9:A97,A97,S$9:S97),""),"")</f>
        <v/>
      </c>
      <c r="M97" s="89">
        <f>IFERROR(IF(A98&lt;&gt;A97,AVERAGEIF(A$9:A97,A97,T$9:T97),""),"")</f>
        <v/>
      </c>
      <c r="N97" s="89">
        <f t="array" ref="N97">IFERROR(IF(A98&lt;&gt;A97,_xlfn.STDEV.P(IF(A$9:A97=A97,T$9:T97)),""),"")</f>
        <v/>
      </c>
      <c r="O97" s="89">
        <f t="array" ref="O97">IFERROR(IF(A98&lt;&gt;A97,_xlfn.STDEV.P(IF(A$9:A97=A97,S$9:S97)),""),"")</f>
        <v/>
      </c>
      <c r="P97" s="90">
        <f>IFERROR(IF(A97&lt;&gt;A98,MAX((((M97*24*60)/2)*(1+POWER((((N97*24*60) / (M97*24*60) )),2))) + ((M97*24*60 )*-0.1 + (K97*0.015)) +1,(((M97*24*60)/2)*(1+POWER((((N97*24*60) / (M97*24*60 ))),2)))),""),"")</f>
        <v/>
      </c>
      <c r="Q97" s="90">
        <f>IF(AND(O97&lt;&gt;"",L97&lt;&gt;""),IF(A97&lt;&gt;A98,((L97*24*60) / 2 ) * (1 + POWER(((O97*24*60) / (L97*24*60)),2)),""),"")</f>
        <v/>
      </c>
      <c r="R97" s="90">
        <f>IF(Q97&lt;&gt;"",MAX(P97,Q97),"")</f>
        <v/>
      </c>
      <c r="S97" s="89">
        <f>IF(I97&lt;&gt;"H. Sale Real",IF(AND(I98&lt;&gt;"",LEFT(C98,2)&lt;&gt;"Va"),IF(AND(I97&lt;&gt;"",LEFT(C97,2)&lt;&gt;"Va",I97&lt;&gt;"H. Sale Real"),IF(I98-I97&lt;0.208333333333333,I98-I97,""),IF(AND(I96&lt;&gt;"",LEFT(C96,2)&lt;&gt;"Va",I96&lt;&gt;"H. Sale Real"),IF(I98-I96&lt;0.208333333333333,I98-I96,""),IF(AND(I95&lt;&gt;"",LEFT(C95,2)&lt;&gt;"Va",I95&lt;&gt;"H. Sale Real"),IF(I98-I95&lt;0.208333333333333,I98-I95,""),IF(AND(I94&lt;&gt;"",LEFT(C94,2)&lt;&gt;"Va",I94&lt;&gt;"H. Sale Real"),IF(I98-I94&lt;0.208333333333333,I98-I94,""),IF(AND(I93&lt;&gt;"",LEFT(C93,2)&lt;&gt;"Va",I93&lt;&gt;"H. Sale Real"),IF(I98-I93&lt;0.208333333333333,I98-I93,""),""))))),""),"")</f>
        <v/>
      </c>
      <c r="T97" s="89">
        <f>IF(G97&lt;&gt;"H. Sale Real",IF(AND(G98&lt;&gt;"",LEFT(C98,2)&lt;&gt;"Va"),IF(AND(G97&lt;&gt;"",LEFT(C97,2)&lt;&gt;"Va",G97&lt;&gt;"H. Sale Real"),IF(G98-G97&lt;0.208333333333333,G98-G97,""),IF(AND(G96&lt;&gt;"",LEFT(C96,2)&lt;&gt;"Va",G96&lt;&gt;"H. Sale Real"),IF(G98-G96&lt;0.208333333333333,G98-G96,""),IF(AND(G95&lt;&gt;"",LEFT(C95,2)&lt;&gt;"Va",G95&lt;&gt;"H. Sale Real"),IF(G98-G95&lt;0.208333333333333,G98-G95,""),IF(AND(G94&lt;&gt;"",LEFT(C94,2)&lt;&gt;"Va",G94&lt;&gt;"H. Sale Real"),IF(G98-G94&lt;0.208333333333333,G98-G94,""),IF(AND(G93&lt;&gt;"",LEFT(C93,2)&lt;&gt;"Va",G93&lt;&gt;"H. Sale Real"),IF(G98-G93&lt;0.208333333333333,G98-G93,""),""))))),""),"")</f>
        <v/>
      </c>
      <c r="U97" s="87" t="n"/>
      <c r="V97" s="89" t="n"/>
      <c r="W97" s="87" t="n"/>
      <c r="X97" s="89" t="n"/>
      <c r="Y97" s="91" t="n"/>
      <c r="Z97" s="122">
        <f>IF(G97&lt;&gt;"",IF(AND(Z96&lt;&gt;"IE",P97&lt;&gt;0,R97&lt;&gt;""),IF(IFERROR((P97/R97),0) &lt;=1,IFERROR(P97/R97,""),1),""),"")</f>
        <v/>
      </c>
      <c r="AA97" s="93" t="n"/>
      <c r="AB97" s="2" t="n"/>
      <c r="AE97" s="10">
        <f>HOUR(AK97)+1</f>
        <v/>
      </c>
      <c r="AF97" s="7" t="n"/>
      <c r="AG97" s="7" t="n"/>
      <c r="AH97" s="86" t="n"/>
      <c r="AI97" s="8" t="n"/>
      <c r="AJ97" s="86" t="n"/>
      <c r="AK97" s="87" t="n"/>
      <c r="AL97" s="88">
        <f>IF(AM97="","",IF(AND((AM97-AK97)&gt;=TIME(0,0,0),(AM97-AK97)&lt;TIME(0,3,0)),"OK",IF(AND((AM97-AK97)&gt;=TIME(0,3,0),(AM97-AK97)&lt;TIME(0,5,0)),"RETRASO DE 3-5 MIN",IF(AND((AM97-AK97)&gt;=TIME(0,5,0),(AM97-AK97)&lt;TIME(0,10,0)),"RETRASO DE 5-10 MIN",IF((AM97-AK97)&gt;=TIME(0,10,0),"RETRASO &gt;10 MIN", IF(AND((AK97-AM97)&gt;=TIME(0,0,0),(AK97-AM97)&lt;TIME(0,3,0)),"OK",IF((AK97-AM97)&gt;=TIME(0,3,0),"ADELANTADO")))))))</f>
        <v/>
      </c>
      <c r="AM97" s="91" t="n"/>
      <c r="AN97" s="89">
        <f>IF(AE97&lt;&gt;"",HLOOKUP(VALUE(TEXT(AK97,"h:mm:ss")),IF($C$6="Laboral",$FZ$4:$GX$227,IF($C$6="Sábado",$FZ$231:$GX$452,$FZ$456:$GX$656)),VLOOKUP($C$4,$HF$2:$HH$99,3,0)+IF(AG$5="Ida",0,1),1),"")</f>
        <v/>
      </c>
      <c r="AO97" s="89">
        <f>IF(AE98&lt;&gt;AE97,AVERAGEIF(AE$9:AE97,AE97,AN$9:AN97),"")</f>
        <v/>
      </c>
      <c r="AP97" s="89">
        <f>IFERROR(IF(AE98&lt;&gt;AE97,AVERAGEIF(AE$9:AE97,AE97,AW$9:AW97),""),"")</f>
        <v/>
      </c>
      <c r="AQ97" s="89">
        <f>IFERROR(IF(AE98&lt;&gt;AE97,AVERAGEIF(AE$9:AE97,AE97,AX$9:AX97),""),"")</f>
        <v/>
      </c>
      <c r="AR97" s="89">
        <f t="array" ref="AR97">IFERROR(IF(AE98&lt;&gt;AE97,_xlfn.STDEV.P(IF(AE$9:AE97=AE97,AX$9:AX97)),""),"")</f>
        <v/>
      </c>
      <c r="AS97" s="89">
        <f t="array" ref="AS97">IFERROR(IF(AE98&lt;&gt;AE97,_xlfn.STDEV.P(IF(AE$9:AE97=AE97,AW$9:AW97)),""),"")</f>
        <v/>
      </c>
      <c r="AT97" s="90">
        <f>IFERROR(IF(AE97&lt;&gt;AE98,MAX((((AQ97*24*60)/2)*(1+POWER((((AR97*24*60) / (AQ97*24*60) )),2))) + ((AQ97*24*60 )*-0.1 + (AO97*0.015)) +1,(((AQ97*24*60)/2)*(1+POWER((((AR97*24*60) / (AQ97*24*60 ))),2)))),""),"")</f>
        <v/>
      </c>
      <c r="AU97" s="90">
        <f>IF(AND(AS97&lt;&gt;"",AP97&lt;&gt;""),IF(AE97&lt;&gt;AE98,((AP97*24*60) / 2 ) * (1 + POWER(((AS97*24*60) / (AP97*24*60)),2)),""),"")</f>
        <v/>
      </c>
      <c r="AV97" s="90">
        <f>IF(AU97&lt;&gt;"",MAX(AT97,AU97),"")</f>
        <v/>
      </c>
      <c r="AW97" s="89">
        <f>IF(AM97&lt;&gt;"H. Sale Real",IF(AND(AM98&lt;&gt;"",LEFT(AG98,2)&lt;&gt;"Va"),IF(AND(AM97&lt;&gt;"",LEFT(AG97,2)&lt;&gt;"Va",AM97&lt;&gt;"H. Sale Real"),IF(AM98-AM97&lt;0.208333333333333,AM98-AM97,""),IF(AND(AM96&lt;&gt;"",LEFT(AG96,2)&lt;&gt;"Va",AM96&lt;&gt;"H. Sale Real"),IF(AM98-AM96&lt;0.208333333333333,AM98-AM96,""),IF(AND(AM95&lt;&gt;"",LEFT(AG95,2)&lt;&gt;"Va",AM95&lt;&gt;"H. Sale Real"),IF(AM98-AM95&lt;0.208333333333333,AM98-AM95,""),IF(AND(AM94&lt;&gt;"",LEFT(AG94,2)&lt;&gt;"Va",AM94&lt;&gt;"H. Sale Real"),IF(AM98-AM94&lt;0.208333333333333,AM98-AM94,""),IF(AND(AM93&lt;&gt;"",LEFT(AG93,2)&lt;&gt;"Va",AM93&lt;&gt;"H. Sale Real"),IF(AM98-AM93&lt;0.208333333333333,AM98-AM93,""),""))))),""),"")</f>
        <v/>
      </c>
      <c r="AX97" s="89">
        <f>IF(AK97&lt;&gt;"H. Sale Real",IF(AND(AK98&lt;&gt;"",LEFT(AG98,2)&lt;&gt;"Va"),IF(AND(AK97&lt;&gt;"",LEFT(AG97,2)&lt;&gt;"Va",AK97&lt;&gt;"H. Sale Real"),IF(AK98-AK97&lt;0.208333333333333,AK98-AK97,""),IF(AND(AK96&lt;&gt;"",LEFT(AG96,2)&lt;&gt;"Va",AK96&lt;&gt;"H. Sale Real"),IF(AK98-AK96&lt;0.208333333333333,AK98-AK96,""),IF(AND(AK95&lt;&gt;"",LEFT(AG95,2)&lt;&gt;"NC",AK95&lt;&gt;"H. Sale Real"),IF(AK98-AK95&lt;0.208333333333333,AK98-AK95,""),IF(AND(AK94&lt;&gt;"",LEFT(AG94,2)&lt;&gt;"Va",AK94&lt;&gt;"H. Sale Real"),IF(AK98-AK94&lt;0.208333333333333,AK98-AK94,""),IF(AND(AK93&lt;&gt;"",LEFT(AG93,2)&lt;&gt;"Va",AK93&lt;&gt;"H. Sale Real"),IF(AK98-AK93&lt;0.208333333333333,AK98-AK93,""),""))))),""),"")</f>
        <v/>
      </c>
      <c r="AY97" s="87" t="n"/>
      <c r="AZ97" s="89" t="n"/>
      <c r="BA97" s="87" t="n"/>
      <c r="BB97" s="89" t="n"/>
      <c r="BC97" s="91" t="n"/>
      <c r="BD97" s="122">
        <f>IF(AK97&lt;&gt;"",IF(AND(BD96&lt;&gt;"IE",AT97&lt;&gt;0,AV97&lt;&gt;""),IF(IFERROR((AT97/AV97),0) &lt;=1,IFERROR(AT97/AV97,""),1),""),"")</f>
        <v/>
      </c>
      <c r="BE97" s="93" t="n"/>
      <c r="BF97" s="105" t="n"/>
      <c r="FC97" t="inlineStr">
        <is>
          <t>Diccionario 1</t>
        </is>
      </c>
      <c r="FD97" s="15" t="n">
        <v>1094</v>
      </c>
      <c r="FE97" s="15" t="inlineStr">
        <is>
          <t>D8483001K2PL</t>
        </is>
      </c>
      <c r="FF97" s="15" t="inlineStr">
        <is>
          <t>YV3T7U526KA195403</t>
        </is>
      </c>
      <c r="FG97" s="15" t="inlineStr">
        <is>
          <t>Volvo</t>
        </is>
      </c>
      <c r="FH97" s="15" t="inlineStr">
        <is>
          <t>B8R</t>
        </is>
      </c>
      <c r="FI97" s="15" t="inlineStr">
        <is>
          <t>MARCOPOLO</t>
        </is>
      </c>
      <c r="FJ97" s="15" t="inlineStr">
        <is>
          <t>TORINO</t>
        </is>
      </c>
      <c r="FK97" s="15" t="n">
        <v>2019</v>
      </c>
      <c r="FL97" s="15" t="inlineStr">
        <is>
          <t>B2PAL</t>
        </is>
      </c>
      <c r="FM97" s="15" t="inlineStr">
        <is>
          <t>LOS LIBERTADORES</t>
        </is>
      </c>
      <c r="FN97" s="15" t="inlineStr">
        <is>
          <t>Los Liberadores 6450, Lote 4A</t>
        </is>
      </c>
      <c r="FO97" s="15" t="inlineStr">
        <is>
          <t>Huechuraba</t>
        </is>
      </c>
      <c r="FP97" t="inlineStr">
        <is>
          <t>B</t>
        </is>
      </c>
      <c r="FS97" s="14" t="inlineStr">
        <is>
          <t>3025 / SFVZ-44|</t>
        </is>
      </c>
      <c r="FT97" t="inlineStr">
        <is>
          <t>SFVZ-44|</t>
        </is>
      </c>
      <c r="FU97" t="inlineStr">
        <is>
          <t>SFVZ-44</t>
        </is>
      </c>
      <c r="FV97">
        <f>VLOOKUP(FU97,FD:FL,9,0)</f>
        <v/>
      </c>
      <c r="HA97" s="35" t="n">
        <v>94</v>
      </c>
      <c r="HB97" s="35" t="n">
        <v>91</v>
      </c>
    </row>
    <row r="98" ht="15.5" customHeight="1">
      <c r="A98" s="10">
        <f>HOUR(G98)+1</f>
        <v/>
      </c>
      <c r="B98" s="7" t="n"/>
      <c r="C98" s="7" t="n"/>
      <c r="D98" s="85">
        <f>IFERROR(
IF(AND(OR(Planilla!B98="C",Planilla!B98="c"), VLOOKUP(E98,FD:FP,13,0)="C"), "OK",IF(AND(OR(Planilla!B98="C",Planilla!B98="c"), OR(VLOOKUP(E98,FD:FP,13,0)="B", VLOOKUP(E98,FD:FP,13,0)="A")), "DEFICIT",IF(
AND(OR(Planilla!B98="B", Planilla!B98="BPAL"), VLOOKUP(E98,FD:FP,13,0)="B"), "OK",IF(AND(OR(Planilla!B98="B", Planilla!B98="BPAL"), VLOOKUP(E98,FD:FP,13,0)="A"), "DEFICIT",IF(AND(OR(Planilla!B98="B", Planilla!B98="BPAL"), VLOOKUP(E98,FD:FP,13,0)="C"), "SOBREOFERTA",IF(AND(Planilla!B98="A", VLOOKUP(E98,FD:FP,13,0)="A"), "OK",IF(
AND(Planilla!B98="A", OR(VLOOKUP(E98,FD:FP,13,0)="B", VLOOKUP(E98,FD:FP,13,0)="C")), "SOBREOFERTA",""
))))))),"")</f>
        <v/>
      </c>
      <c r="E98" s="8" t="n"/>
      <c r="F98" s="86" t="n"/>
      <c r="G98" s="87" t="n"/>
      <c r="H98" s="88">
        <f>IF(I98="","",IF(AND((I98-G98)&gt;=TIME(0,0,0),(I98-G98)&lt;TIME(0,3,0)),"OK",IF(AND((I98-G98)&gt;=TIME(0,3,0),(I98-G98)&lt;TIME(0,5,0)),"RETRASO DE 3-5 MIN",IF(AND((I98-G98)&gt;=TIME(0,5,0),(I98-G98)&lt;TIME(0,10,0)),"RETRASO DE 5-10 MIN",IF((I98-G98)&gt;=TIME(0,10,0),"RETRASO &gt;10 MIN", IF(AND((G98-I98)&gt;=TIME(0,0,0),(G98-I98)&lt;TIME(0,3,0)),"OK",IF((G98-I98)&gt;=TIME(0,3,0),"ADELANTADO")))))))</f>
        <v/>
      </c>
      <c r="I98" s="89" t="n"/>
      <c r="J98" s="89">
        <f>IF(A98&lt;&gt;"",HLOOKUP(VALUE(TEXT(G98,"h:mm:ss")),IF($C$6="Laboral",$FZ$4:$GX$227,IF($C$6="Sábado",$FZ$231:$GX$452,$FZ$456:$GX$656)),VLOOKUP($C$4,$HF$2:$HH$99,3,0)+IF(C$5="Ida",0,1),1),"")</f>
        <v/>
      </c>
      <c r="K98" s="89">
        <f>IF(A99&lt;&gt;A98,AVERAGEIF(A$9:A98,A98,J$9:J98),"")</f>
        <v/>
      </c>
      <c r="L98" s="89">
        <f>IFERROR(IF(A99&lt;&gt;A98,AVERAGEIF(A$9:A98,A98,S$9:S98),""),"")</f>
        <v/>
      </c>
      <c r="M98" s="89">
        <f>IFERROR(IF(A99&lt;&gt;A98,AVERAGEIF(A$9:A98,A98,T$9:T98),""),"")</f>
        <v/>
      </c>
      <c r="N98" s="89">
        <f t="array" ref="N98">IFERROR(IF(A99&lt;&gt;A98,_xlfn.STDEV.P(IF(A$9:A98=A98,T$9:T98)),""),"")</f>
        <v/>
      </c>
      <c r="O98" s="89">
        <f t="array" ref="O98">IFERROR(IF(A99&lt;&gt;A98,_xlfn.STDEV.P(IF(A$9:A98=A98,S$9:S98)),""),"")</f>
        <v/>
      </c>
      <c r="P98" s="90">
        <f>IFERROR(IF(A98&lt;&gt;A99,MAX((((M98*24*60)/2)*(1+POWER((((N98*24*60) / (M98*24*60) )),2))) + ((M98*24*60 )*-0.1 + (K98*0.015)) +1,(((M98*24*60)/2)*(1+POWER((((N98*24*60) / (M98*24*60 ))),2)))),""),"")</f>
        <v/>
      </c>
      <c r="Q98" s="90">
        <f>IF(AND(O98&lt;&gt;"",L98&lt;&gt;""),IF(A98&lt;&gt;A99,((L98*24*60) / 2 ) * (1 + POWER(((O98*24*60) / (L98*24*60)),2)),""),"")</f>
        <v/>
      </c>
      <c r="R98" s="90">
        <f>IF(Q98&lt;&gt;"",MAX(P98,Q98),"")</f>
        <v/>
      </c>
      <c r="S98" s="89">
        <f>IF(I98&lt;&gt;"H. Sale Real",IF(AND(I99&lt;&gt;"",LEFT(C99,2)&lt;&gt;"Va"),IF(AND(I98&lt;&gt;"",LEFT(C98,2)&lt;&gt;"Va",I98&lt;&gt;"H. Sale Real"),IF(I99-I98&lt;0.208333333333333,I99-I98,""),IF(AND(I97&lt;&gt;"",LEFT(C97,2)&lt;&gt;"Va",I97&lt;&gt;"H. Sale Real"),IF(I99-I97&lt;0.208333333333333,I99-I97,""),IF(AND(I96&lt;&gt;"",LEFT(C96,2)&lt;&gt;"Va",I96&lt;&gt;"H. Sale Real"),IF(I99-I96&lt;0.208333333333333,I99-I96,""),IF(AND(I95&lt;&gt;"",LEFT(C95,2)&lt;&gt;"Va",I95&lt;&gt;"H. Sale Real"),IF(I99-I95&lt;0.208333333333333,I99-I95,""),IF(AND(I94&lt;&gt;"",LEFT(C94,2)&lt;&gt;"Va",I94&lt;&gt;"H. Sale Real"),IF(I99-I94&lt;0.208333333333333,I99-I94,""),""))))),""),"")</f>
        <v/>
      </c>
      <c r="T98" s="89">
        <f>IF(G98&lt;&gt;"H. Sale Real",IF(AND(G99&lt;&gt;"",LEFT(C99,2)&lt;&gt;"Va"),IF(AND(G98&lt;&gt;"",LEFT(C98,2)&lt;&gt;"Va",G98&lt;&gt;"H. Sale Real"),IF(G99-G98&lt;0.208333333333333,G99-G98,""),IF(AND(G97&lt;&gt;"",LEFT(C97,2)&lt;&gt;"Va",G97&lt;&gt;"H. Sale Real"),IF(G99-G97&lt;0.208333333333333,G99-G97,""),IF(AND(G96&lt;&gt;"",LEFT(C96,2)&lt;&gt;"Va",G96&lt;&gt;"H. Sale Real"),IF(G99-G96&lt;0.208333333333333,G99-G96,""),IF(AND(G95&lt;&gt;"",LEFT(C95,2)&lt;&gt;"Va",G95&lt;&gt;"H. Sale Real"),IF(G99-G95&lt;0.208333333333333,G99-G95,""),IF(AND(G94&lt;&gt;"",LEFT(C94,2)&lt;&gt;"Va",G94&lt;&gt;"H. Sale Real"),IF(G99-G94&lt;0.208333333333333,G99-G94,""),""))))),""),"")</f>
        <v/>
      </c>
      <c r="U98" s="87" t="n"/>
      <c r="V98" s="89" t="n"/>
      <c r="W98" s="87" t="n"/>
      <c r="X98" s="89" t="n"/>
      <c r="Y98" s="91" t="n"/>
      <c r="Z98" s="122">
        <f>IF(G98&lt;&gt;"",IF(AND(Z97&lt;&gt;"IE",P98&lt;&gt;0,R98&lt;&gt;""),IF(IFERROR((P98/R98),0) &lt;=1,IFERROR(P98/R98,""),1),""),"")</f>
        <v/>
      </c>
      <c r="AA98" s="93" t="n"/>
      <c r="AB98" s="2" t="n"/>
      <c r="AE98" s="10">
        <f>HOUR(AK98)+1</f>
        <v/>
      </c>
      <c r="AF98" s="7" t="n"/>
      <c r="AG98" s="7" t="n"/>
      <c r="AH98" s="86" t="n"/>
      <c r="AI98" s="8" t="n"/>
      <c r="AJ98" s="86" t="n"/>
      <c r="AK98" s="87" t="n"/>
      <c r="AL98" s="88">
        <f>IF(AM98="","",IF(AND((AM98-AK98)&gt;=TIME(0,0,0),(AM98-AK98)&lt;TIME(0,3,0)),"OK",IF(AND((AM98-AK98)&gt;=TIME(0,3,0),(AM98-AK98)&lt;TIME(0,5,0)),"RETRASO DE 3-5 MIN",IF(AND((AM98-AK98)&gt;=TIME(0,5,0),(AM98-AK98)&lt;TIME(0,10,0)),"RETRASO DE 5-10 MIN",IF((AM98-AK98)&gt;=TIME(0,10,0),"RETRASO &gt;10 MIN", IF(AND((AK98-AM98)&gt;=TIME(0,0,0),(AK98-AM98)&lt;TIME(0,3,0)),"OK",IF((AK98-AM98)&gt;=TIME(0,3,0),"ADELANTADO")))))))</f>
        <v/>
      </c>
      <c r="AM98" s="91" t="n"/>
      <c r="AN98" s="89">
        <f>IF(AE98&lt;&gt;"",HLOOKUP(VALUE(TEXT(AK98,"h:mm:ss")),IF($C$6="Laboral",$FZ$4:$GX$227,IF($C$6="Sábado",$FZ$231:$GX$452,$FZ$456:$GX$656)),VLOOKUP($C$4,$HF$2:$HH$99,3,0)+IF(AG$5="Ida",0,1),1),"")</f>
        <v/>
      </c>
      <c r="AO98" s="89">
        <f>IF(AE99&lt;&gt;AE98,AVERAGEIF(AE$9:AE98,AE98,AN$9:AN98),"")</f>
        <v/>
      </c>
      <c r="AP98" s="89">
        <f>IFERROR(IF(AE99&lt;&gt;AE98,AVERAGEIF(AE$9:AE98,AE98,AW$9:AW98),""),"")</f>
        <v/>
      </c>
      <c r="AQ98" s="89">
        <f>IFERROR(IF(AE99&lt;&gt;AE98,AVERAGEIF(AE$9:AE98,AE98,AX$9:AX98),""),"")</f>
        <v/>
      </c>
      <c r="AR98" s="89">
        <f t="array" ref="AR98">IFERROR(IF(AE99&lt;&gt;AE98,_xlfn.STDEV.P(IF(AE$9:AE98=AE98,AX$9:AX98)),""),"")</f>
        <v/>
      </c>
      <c r="AS98" s="89">
        <f t="array" ref="AS98">IFERROR(IF(AE99&lt;&gt;AE98,_xlfn.STDEV.P(IF(AE$9:AE98=AE98,AW$9:AW98)),""),"")</f>
        <v/>
      </c>
      <c r="AT98" s="90">
        <f>IFERROR(IF(AE98&lt;&gt;AE99,MAX((((AQ98*24*60)/2)*(1+POWER((((AR98*24*60) / (AQ98*24*60) )),2))) + ((AQ98*24*60 )*-0.1 + (AO98*0.015)) +1,(((AQ98*24*60)/2)*(1+POWER((((AR98*24*60) / (AQ98*24*60 ))),2)))),""),"")</f>
        <v/>
      </c>
      <c r="AU98" s="90">
        <f>IF(AND(AS98&lt;&gt;"",AP98&lt;&gt;""),IF(AE98&lt;&gt;AE99,((AP98*24*60) / 2 ) * (1 + POWER(((AS98*24*60) / (AP98*24*60)),2)),""),"")</f>
        <v/>
      </c>
      <c r="AV98" s="90">
        <f>IF(AU98&lt;&gt;"",MAX(AT98,AU98),"")</f>
        <v/>
      </c>
      <c r="AW98" s="89">
        <f>IF(AM98&lt;&gt;"H. Sale Real",IF(AND(AM99&lt;&gt;"",LEFT(AG99,2)&lt;&gt;"Va"),IF(AND(AM98&lt;&gt;"",LEFT(AG98,2)&lt;&gt;"Va",AM98&lt;&gt;"H. Sale Real"),IF(AM99-AM98&lt;0.208333333333333,AM99-AM98,""),IF(AND(AM97&lt;&gt;"",LEFT(AG97,2)&lt;&gt;"Va",AM97&lt;&gt;"H. Sale Real"),IF(AM99-AM97&lt;0.208333333333333,AM99-AM97,""),IF(AND(AM96&lt;&gt;"",LEFT(AG96,2)&lt;&gt;"Va",AM96&lt;&gt;"H. Sale Real"),IF(AM99-AM96&lt;0.208333333333333,AM99-AM96,""),IF(AND(AM95&lt;&gt;"",LEFT(AG95,2)&lt;&gt;"Va",AM95&lt;&gt;"H. Sale Real"),IF(AM99-AM95&lt;0.208333333333333,AM99-AM95,""),IF(AND(AM94&lt;&gt;"",LEFT(AG94,2)&lt;&gt;"Va",AM94&lt;&gt;"H. Sale Real"),IF(AM99-AM94&lt;0.208333333333333,AM99-AM94,""),""))))),""),"")</f>
        <v/>
      </c>
      <c r="AX98" s="89">
        <f>IF(AK98&lt;&gt;"H. Sale Real",IF(AND(AK99&lt;&gt;"",LEFT(AG99,2)&lt;&gt;"Va"),IF(AND(AK98&lt;&gt;"",LEFT(AG98,2)&lt;&gt;"Va",AK98&lt;&gt;"H. Sale Real"),IF(AK99-AK98&lt;0.208333333333333,AK99-AK98,""),IF(AND(AK97&lt;&gt;"",LEFT(AG97,2)&lt;&gt;"Va",AK97&lt;&gt;"H. Sale Real"),IF(AK99-AK97&lt;0.208333333333333,AK99-AK97,""),IF(AND(AK96&lt;&gt;"",LEFT(AG96,2)&lt;&gt;"NC",AK96&lt;&gt;"H. Sale Real"),IF(AK99-AK96&lt;0.208333333333333,AK99-AK96,""),IF(AND(AK95&lt;&gt;"",LEFT(AG95,2)&lt;&gt;"Va",AK95&lt;&gt;"H. Sale Real"),IF(AK99-AK95&lt;0.208333333333333,AK99-AK95,""),IF(AND(AK94&lt;&gt;"",LEFT(AG94,2)&lt;&gt;"Va",AK94&lt;&gt;"H. Sale Real"),IF(AK99-AK94&lt;0.208333333333333,AK99-AK94,""),""))))),""),"")</f>
        <v/>
      </c>
      <c r="AY98" s="87" t="n"/>
      <c r="AZ98" s="89" t="n"/>
      <c r="BA98" s="87" t="n"/>
      <c r="BB98" s="89" t="n"/>
      <c r="BC98" s="91" t="n"/>
      <c r="BD98" s="122">
        <f>IF(AK98&lt;&gt;"",IF(AND(BD97&lt;&gt;"IE",AT98&lt;&gt;0,AV98&lt;&gt;""),IF(IFERROR((AT98/AV98),0) &lt;=1,IFERROR(AT98/AV98,""),1),""),"")</f>
        <v/>
      </c>
      <c r="BE98" s="93" t="n"/>
      <c r="BF98" s="105" t="n"/>
      <c r="FC98" t="inlineStr">
        <is>
          <t>Diccionario 1</t>
        </is>
      </c>
      <c r="FD98" s="15" t="n">
        <v>1095</v>
      </c>
      <c r="FE98" s="15" t="inlineStr">
        <is>
          <t>D8483444K2PL</t>
        </is>
      </c>
      <c r="FF98" s="15" t="inlineStr">
        <is>
          <t>YV3T7U528KA195404</t>
        </is>
      </c>
      <c r="FG98" s="15" t="inlineStr">
        <is>
          <t>Volvo</t>
        </is>
      </c>
      <c r="FH98" s="15" t="inlineStr">
        <is>
          <t>B8R</t>
        </is>
      </c>
      <c r="FI98" s="15" t="inlineStr">
        <is>
          <t>MARCOPOLO</t>
        </is>
      </c>
      <c r="FJ98" s="15" t="inlineStr">
        <is>
          <t>TORINO</t>
        </is>
      </c>
      <c r="FK98" s="15" t="n">
        <v>2019</v>
      </c>
      <c r="FL98" s="15" t="inlineStr">
        <is>
          <t>B2PAL</t>
        </is>
      </c>
      <c r="FM98" s="15" t="inlineStr">
        <is>
          <t>SAN JOSE</t>
        </is>
      </c>
      <c r="FN98" s="15" t="inlineStr">
        <is>
          <t>San José 030 (José Besa 669)</t>
        </is>
      </c>
      <c r="FO98" s="15" t="inlineStr">
        <is>
          <t>San Bernardo</t>
        </is>
      </c>
      <c r="FP98" t="inlineStr">
        <is>
          <t>B</t>
        </is>
      </c>
      <c r="FS98" s="14" t="inlineStr">
        <is>
          <t>3025 / SFVZ-44|</t>
        </is>
      </c>
      <c r="FT98" t="inlineStr">
        <is>
          <t>SFVZ-44|</t>
        </is>
      </c>
      <c r="FU98" t="inlineStr">
        <is>
          <t>SFVZ-44</t>
        </is>
      </c>
      <c r="FV98">
        <f>VLOOKUP(FU98,FD:FL,9,0)</f>
        <v/>
      </c>
      <c r="HA98" s="35" t="n">
        <v>95</v>
      </c>
      <c r="HB98" s="35" t="n">
        <v>92</v>
      </c>
    </row>
    <row r="99" ht="15.5" customHeight="1">
      <c r="A99" s="10">
        <f>HOUR(G99)+1</f>
        <v/>
      </c>
      <c r="B99" s="7" t="n"/>
      <c r="C99" s="7" t="n"/>
      <c r="D99" s="85">
        <f>IFERROR(
IF(AND(OR(Planilla!B99="C",Planilla!B99="c"), VLOOKUP(E99,FD:FP,13,0)="C"), "OK",IF(AND(OR(Planilla!B99="C",Planilla!B99="c"), OR(VLOOKUP(E99,FD:FP,13,0)="B", VLOOKUP(E99,FD:FP,13,0)="A")), "DEFICIT",IF(
AND(OR(Planilla!B99="B", Planilla!B99="BPAL"), VLOOKUP(E99,FD:FP,13,0)="B"), "OK",IF(AND(OR(Planilla!B99="B", Planilla!B99="BPAL"), VLOOKUP(E99,FD:FP,13,0)="A"), "DEFICIT",IF(AND(OR(Planilla!B99="B", Planilla!B99="BPAL"), VLOOKUP(E99,FD:FP,13,0)="C"), "SOBREOFERTA",IF(AND(Planilla!B99="A", VLOOKUP(E99,FD:FP,13,0)="A"), "OK",IF(
AND(Planilla!B99="A", OR(VLOOKUP(E99,FD:FP,13,0)="B", VLOOKUP(E99,FD:FP,13,0)="C")), "SOBREOFERTA",""
))))))),"")</f>
        <v/>
      </c>
      <c r="E99" s="8" t="n"/>
      <c r="F99" s="86" t="n"/>
      <c r="G99" s="87" t="n"/>
      <c r="H99" s="88">
        <f>IF(I99="","",IF(AND((I99-G99)&gt;=TIME(0,0,0),(I99-G99)&lt;TIME(0,3,0)),"OK",IF(AND((I99-G99)&gt;=TIME(0,3,0),(I99-G99)&lt;TIME(0,5,0)),"RETRASO DE 3-5 MIN",IF(AND((I99-G99)&gt;=TIME(0,5,0),(I99-G99)&lt;TIME(0,10,0)),"RETRASO DE 5-10 MIN",IF((I99-G99)&gt;=TIME(0,10,0),"RETRASO &gt;10 MIN", IF(AND((G99-I99)&gt;=TIME(0,0,0),(G99-I99)&lt;TIME(0,3,0)),"OK",IF((G99-I99)&gt;=TIME(0,3,0),"ADELANTADO")))))))</f>
        <v/>
      </c>
      <c r="I99" s="89" t="n"/>
      <c r="J99" s="89">
        <f>IF(A99&lt;&gt;"",HLOOKUP(VALUE(TEXT(G99,"h:mm:ss")),IF($C$6="Laboral",$FZ$4:$GX$227,IF($C$6="Sábado",$FZ$231:$GX$452,$FZ$456:$GX$656)),VLOOKUP($C$4,$HF$2:$HH$99,3,0)+IF(C$5="Ida",0,1),1),"")</f>
        <v/>
      </c>
      <c r="K99" s="89">
        <f>IF(A100&lt;&gt;A99,AVERAGEIF(A$9:A99,A99,J$9:J99),"")</f>
        <v/>
      </c>
      <c r="L99" s="89">
        <f>IFERROR(IF(A100&lt;&gt;A99,AVERAGEIF(A$9:A99,A99,S$9:S99),""),"")</f>
        <v/>
      </c>
      <c r="M99" s="89">
        <f>IFERROR(IF(A100&lt;&gt;A99,AVERAGEIF(A$9:A99,A99,T$9:T99),""),"")</f>
        <v/>
      </c>
      <c r="N99" s="89">
        <f t="array" ref="N99">IFERROR(IF(A100&lt;&gt;A99,_xlfn.STDEV.P(IF(A$9:A99=A99,T$9:T99)),""),"")</f>
        <v/>
      </c>
      <c r="O99" s="89">
        <f t="array" ref="O99">IFERROR(IF(A100&lt;&gt;A99,_xlfn.STDEV.P(IF(A$9:A99=A99,S$9:S99)),""),"")</f>
        <v/>
      </c>
      <c r="P99" s="90">
        <f>IFERROR(IF(A99&lt;&gt;A100,MAX((((M99*24*60)/2)*(1+POWER((((N99*24*60) / (M99*24*60) )),2))) + ((M99*24*60 )*-0.1 + (K99*0.015)) +1,(((M99*24*60)/2)*(1+POWER((((N99*24*60) / (M99*24*60 ))),2)))),""),"")</f>
        <v/>
      </c>
      <c r="Q99" s="90">
        <f>IF(AND(O99&lt;&gt;"",L99&lt;&gt;""),IF(A99&lt;&gt;A100,((L99*24*60) / 2 ) * (1 + POWER(((O99*24*60) / (L99*24*60)),2)),""),"")</f>
        <v/>
      </c>
      <c r="R99" s="90">
        <f>IF(Q99&lt;&gt;"",MAX(P99,Q99),"")</f>
        <v/>
      </c>
      <c r="S99" s="89">
        <f>IF(I99&lt;&gt;"H. Sale Real",IF(AND(I100&lt;&gt;"",LEFT(C100,2)&lt;&gt;"Va"),IF(AND(I99&lt;&gt;"",LEFT(C99,2)&lt;&gt;"Va",I99&lt;&gt;"H. Sale Real"),IF(I100-I99&lt;0.208333333333333,I100-I99,""),IF(AND(I98&lt;&gt;"",LEFT(C98,2)&lt;&gt;"Va",I98&lt;&gt;"H. Sale Real"),IF(I100-I98&lt;0.208333333333333,I100-I98,""),IF(AND(I97&lt;&gt;"",LEFT(C97,2)&lt;&gt;"Va",I97&lt;&gt;"H. Sale Real"),IF(I100-I97&lt;0.208333333333333,I100-I97,""),IF(AND(I96&lt;&gt;"",LEFT(C96,2)&lt;&gt;"Va",I96&lt;&gt;"H. Sale Real"),IF(I100-I96&lt;0.208333333333333,I100-I96,""),IF(AND(I95&lt;&gt;"",LEFT(C95,2)&lt;&gt;"Va",I95&lt;&gt;"H. Sale Real"),IF(I100-I95&lt;0.208333333333333,I100-I95,""),""))))),""),"")</f>
        <v/>
      </c>
      <c r="T99" s="89">
        <f>IF(G99&lt;&gt;"H. Sale Real",IF(AND(G100&lt;&gt;"",LEFT(C100,2)&lt;&gt;"Va"),IF(AND(G99&lt;&gt;"",LEFT(C99,2)&lt;&gt;"Va",G99&lt;&gt;"H. Sale Real"),IF(G100-G99&lt;0.208333333333333,G100-G99,""),IF(AND(G98&lt;&gt;"",LEFT(C98,2)&lt;&gt;"Va",G98&lt;&gt;"H. Sale Real"),IF(G100-G98&lt;0.208333333333333,G100-G98,""),IF(AND(G97&lt;&gt;"",LEFT(C97,2)&lt;&gt;"Va",G97&lt;&gt;"H. Sale Real"),IF(G100-G97&lt;0.208333333333333,G100-G97,""),IF(AND(G96&lt;&gt;"",LEFT(C96,2)&lt;&gt;"Va",G96&lt;&gt;"H. Sale Real"),IF(G100-G96&lt;0.208333333333333,G100-G96,""),IF(AND(G95&lt;&gt;"",LEFT(C95,2)&lt;&gt;"Va",G95&lt;&gt;"H. Sale Real"),IF(G100-G95&lt;0.208333333333333,G100-G95,""),""))))),""),"")</f>
        <v/>
      </c>
      <c r="U99" s="87" t="n"/>
      <c r="V99" s="89" t="n"/>
      <c r="W99" s="87" t="n"/>
      <c r="X99" s="89" t="n"/>
      <c r="Y99" s="91" t="n"/>
      <c r="Z99" s="122">
        <f>IF(G99&lt;&gt;"",IF(AND(Z98&lt;&gt;"IE",P99&lt;&gt;0,R99&lt;&gt;""),IF(IFERROR((P99/R99),0) &lt;=1,IFERROR(P99/R99,""),1),""),"")</f>
        <v/>
      </c>
      <c r="AA99" s="93" t="n"/>
      <c r="AB99" s="2" t="n"/>
      <c r="AE99" s="10">
        <f>HOUR(AK99)+1</f>
        <v/>
      </c>
      <c r="AF99" s="7" t="n"/>
      <c r="AG99" s="7" t="n"/>
      <c r="AH99" s="86" t="n"/>
      <c r="AI99" s="8" t="n"/>
      <c r="AJ99" s="86" t="n"/>
      <c r="AK99" s="87" t="n"/>
      <c r="AL99" s="88">
        <f>IF(AM99="","",IF(AND((AM99-AK99)&gt;=TIME(0,0,0),(AM99-AK99)&lt;TIME(0,3,0)),"OK",IF(AND((AM99-AK99)&gt;=TIME(0,3,0),(AM99-AK99)&lt;TIME(0,5,0)),"RETRASO DE 3-5 MIN",IF(AND((AM99-AK99)&gt;=TIME(0,5,0),(AM99-AK99)&lt;TIME(0,10,0)),"RETRASO DE 5-10 MIN",IF((AM99-AK99)&gt;=TIME(0,10,0),"RETRASO &gt;10 MIN", IF(AND((AK99-AM99)&gt;=TIME(0,0,0),(AK99-AM99)&lt;TIME(0,3,0)),"OK",IF((AK99-AM99)&gt;=TIME(0,3,0),"ADELANTADO")))))))</f>
        <v/>
      </c>
      <c r="AM99" s="91" t="n"/>
      <c r="AN99" s="89">
        <f>IF(AE99&lt;&gt;"",HLOOKUP(VALUE(TEXT(AK99,"h:mm:ss")),IF($C$6="Laboral",$FZ$4:$GX$227,IF($C$6="Sábado",$FZ$231:$GX$452,$FZ$456:$GX$656)),VLOOKUP($C$4,$HF$2:$HH$99,3,0)+IF(AG$5="Ida",0,1),1),"")</f>
        <v/>
      </c>
      <c r="AO99" s="89">
        <f>IF(AE100&lt;&gt;AE99,AVERAGEIF(AE$9:AE99,AE99,AN$9:AN99),"")</f>
        <v/>
      </c>
      <c r="AP99" s="89">
        <f>IFERROR(IF(AE100&lt;&gt;AE99,AVERAGEIF(AE$9:AE99,AE99,AW$9:AW99),""),"")</f>
        <v/>
      </c>
      <c r="AQ99" s="89">
        <f>IFERROR(IF(AE100&lt;&gt;AE99,AVERAGEIF(AE$9:AE99,AE99,AX$9:AX99),""),"")</f>
        <v/>
      </c>
      <c r="AR99" s="89">
        <f t="array" ref="AR99">IFERROR(IF(AE100&lt;&gt;AE99,_xlfn.STDEV.P(IF(AE$9:AE99=AE99,AX$9:AX99)),""),"")</f>
        <v/>
      </c>
      <c r="AS99" s="89">
        <f t="array" ref="AS99">IFERROR(IF(AE100&lt;&gt;AE99,_xlfn.STDEV.P(IF(AE$9:AE99=AE99,AW$9:AW99)),""),"")</f>
        <v/>
      </c>
      <c r="AT99" s="90">
        <f>IFERROR(IF(AE99&lt;&gt;AE100,MAX((((AQ99*24*60)/2)*(1+POWER((((AR99*24*60) / (AQ99*24*60) )),2))) + ((AQ99*24*60 )*-0.1 + (AO99*0.015)) +1,(((AQ99*24*60)/2)*(1+POWER((((AR99*24*60) / (AQ99*24*60 ))),2)))),""),"")</f>
        <v/>
      </c>
      <c r="AU99" s="90">
        <f>IF(AND(AS99&lt;&gt;"",AP99&lt;&gt;""),IF(AE99&lt;&gt;AE100,((AP99*24*60) / 2 ) * (1 + POWER(((AS99*24*60) / (AP99*24*60)),2)),""),"")</f>
        <v/>
      </c>
      <c r="AV99" s="90">
        <f>IF(AU99&lt;&gt;"",MAX(AT99,AU99),"")</f>
        <v/>
      </c>
      <c r="AW99" s="89">
        <f>IF(AM99&lt;&gt;"H. Sale Real",IF(AND(AM100&lt;&gt;"",LEFT(AG100,2)&lt;&gt;"Va"),IF(AND(AM99&lt;&gt;"",LEFT(AG99,2)&lt;&gt;"Va",AM99&lt;&gt;"H. Sale Real"),IF(AM100-AM99&lt;0.208333333333333,AM100-AM99,""),IF(AND(AM98&lt;&gt;"",LEFT(AG98,2)&lt;&gt;"Va",AM98&lt;&gt;"H. Sale Real"),IF(AM100-AM98&lt;0.208333333333333,AM100-AM98,""),IF(AND(AM97&lt;&gt;"",LEFT(AG97,2)&lt;&gt;"Va",AM97&lt;&gt;"H. Sale Real"),IF(AM100-AM97&lt;0.208333333333333,AM100-AM97,""),IF(AND(AM96&lt;&gt;"",LEFT(AG96,2)&lt;&gt;"Va",AM96&lt;&gt;"H. Sale Real"),IF(AM100-AM96&lt;0.208333333333333,AM100-AM96,""),IF(AND(AM95&lt;&gt;"",LEFT(AG95,2)&lt;&gt;"Va",AM95&lt;&gt;"H. Sale Real"),IF(AM100-AM95&lt;0.208333333333333,AM100-AM95,""),""))))),""),"")</f>
        <v/>
      </c>
      <c r="AX99" s="89">
        <f>IF(AK99&lt;&gt;"H. Sale Real",IF(AND(AK100&lt;&gt;"",LEFT(AG100,2)&lt;&gt;"Va"),IF(AND(AK99&lt;&gt;"",LEFT(AG99,2)&lt;&gt;"Va",AK99&lt;&gt;"H. Sale Real"),IF(AK100-AK99&lt;0.208333333333333,AK100-AK99,""),IF(AND(AK98&lt;&gt;"",LEFT(AG98,2)&lt;&gt;"Va",AK98&lt;&gt;"H. Sale Real"),IF(AK100-AK98&lt;0.208333333333333,AK100-AK98,""),IF(AND(AK97&lt;&gt;"",LEFT(AG97,2)&lt;&gt;"NC",AK97&lt;&gt;"H. Sale Real"),IF(AK100-AK97&lt;0.208333333333333,AK100-AK97,""),IF(AND(AK96&lt;&gt;"",LEFT(AG96,2)&lt;&gt;"Va",AK96&lt;&gt;"H. Sale Real"),IF(AK100-AK96&lt;0.208333333333333,AK100-AK96,""),IF(AND(AK95&lt;&gt;"",LEFT(AG95,2)&lt;&gt;"Va",AK95&lt;&gt;"H. Sale Real"),IF(AK100-AK95&lt;0.208333333333333,AK100-AK95,""),""))))),""),"")</f>
        <v/>
      </c>
      <c r="AY99" s="87" t="n"/>
      <c r="AZ99" s="89" t="n"/>
      <c r="BA99" s="87" t="n"/>
      <c r="BB99" s="89" t="n"/>
      <c r="BC99" s="91" t="n"/>
      <c r="BD99" s="122">
        <f>IF(AK99&lt;&gt;"",IF(AND(BD98&lt;&gt;"IE",AT99&lt;&gt;0,AV99&lt;&gt;""),IF(IFERROR((AT99/AV99),0) &lt;=1,IFERROR(AT99/AV99,""),1),""),"")</f>
        <v/>
      </c>
      <c r="BE99" s="93" t="n"/>
      <c r="BF99" s="105" t="n"/>
      <c r="FC99" t="inlineStr">
        <is>
          <t>Diccionario 1</t>
        </is>
      </c>
      <c r="FD99" s="15" t="n">
        <v>1096</v>
      </c>
      <c r="FE99" s="15" t="inlineStr">
        <is>
          <t>D8481462K2PL</t>
        </is>
      </c>
      <c r="FF99" s="15" t="inlineStr">
        <is>
          <t>YV3T7U523KA195200</t>
        </is>
      </c>
      <c r="FG99" s="15" t="inlineStr">
        <is>
          <t>Volvo</t>
        </is>
      </c>
      <c r="FH99" s="15" t="inlineStr">
        <is>
          <t>B8R</t>
        </is>
      </c>
      <c r="FI99" s="15" t="inlineStr">
        <is>
          <t>MARCOPOLO</t>
        </is>
      </c>
      <c r="FJ99" s="15" t="inlineStr">
        <is>
          <t>TORINO</t>
        </is>
      </c>
      <c r="FK99" s="15" t="n">
        <v>2019</v>
      </c>
      <c r="FL99" s="15" t="inlineStr">
        <is>
          <t>B2PAL</t>
        </is>
      </c>
      <c r="FM99" s="15" t="inlineStr">
        <is>
          <t>LOS LIBERTADORES</t>
        </is>
      </c>
      <c r="FN99" s="15" t="inlineStr">
        <is>
          <t>Los Liberadores 6450, Lote 4A</t>
        </is>
      </c>
      <c r="FO99" s="15" t="inlineStr">
        <is>
          <t>Huechuraba</t>
        </is>
      </c>
      <c r="FP99" t="inlineStr">
        <is>
          <t>B</t>
        </is>
      </c>
      <c r="FS99" s="14" t="inlineStr">
        <is>
          <t>3025 / SFVZ-44|</t>
        </is>
      </c>
      <c r="FT99" t="inlineStr">
        <is>
          <t>SFVZ-44|</t>
        </is>
      </c>
      <c r="FU99" t="inlineStr">
        <is>
          <t>SFVZ-44</t>
        </is>
      </c>
      <c r="FV99">
        <f>VLOOKUP(FU99,FD:FL,9,0)</f>
        <v/>
      </c>
      <c r="HA99" s="35" t="n">
        <v>96</v>
      </c>
      <c r="HB99" s="35" t="n">
        <v>93</v>
      </c>
    </row>
    <row r="100" ht="15.5" customHeight="1">
      <c r="A100" s="10">
        <f>HOUR(G100)+1</f>
        <v/>
      </c>
      <c r="B100" s="7" t="n"/>
      <c r="C100" s="7" t="n"/>
      <c r="D100" s="85">
        <f>IFERROR(
IF(AND(OR(Planilla!B100="C",Planilla!B100="c"), VLOOKUP(E100,FD:FP,13,0)="C"), "OK",IF(AND(OR(Planilla!B100="C",Planilla!B100="c"), OR(VLOOKUP(E100,FD:FP,13,0)="B", VLOOKUP(E100,FD:FP,13,0)="A")), "DEFICIT",IF(
AND(OR(Planilla!B100="B", Planilla!B100="BPAL"), VLOOKUP(E100,FD:FP,13,0)="B"), "OK",IF(AND(OR(Planilla!B100="B", Planilla!B100="BPAL"), VLOOKUP(E100,FD:FP,13,0)="A"), "DEFICIT",IF(AND(OR(Planilla!B100="B", Planilla!B100="BPAL"), VLOOKUP(E100,FD:FP,13,0)="C"), "SOBREOFERTA",IF(AND(Planilla!B100="A", VLOOKUP(E100,FD:FP,13,0)="A"), "OK",IF(
AND(Planilla!B100="A", OR(VLOOKUP(E100,FD:FP,13,0)="B", VLOOKUP(E100,FD:FP,13,0)="C")), "SOBREOFERTA",""
))))))),"")</f>
        <v/>
      </c>
      <c r="E100" s="8" t="n"/>
      <c r="F100" s="86" t="n"/>
      <c r="G100" s="87" t="n"/>
      <c r="H100" s="88">
        <f>IF(I100="","",IF(AND((I100-G100)&gt;=TIME(0,0,0),(I100-G100)&lt;TIME(0,3,0)),"OK",IF(AND((I100-G100)&gt;=TIME(0,3,0),(I100-G100)&lt;TIME(0,5,0)),"RETRASO DE 3-5 MIN",IF(AND((I100-G100)&gt;=TIME(0,5,0),(I100-G100)&lt;TIME(0,10,0)),"RETRASO DE 5-10 MIN",IF((I100-G100)&gt;=TIME(0,10,0),"RETRASO &gt;10 MIN", IF(AND((G100-I100)&gt;=TIME(0,0,0),(G100-I100)&lt;TIME(0,3,0)),"OK",IF((G100-I100)&gt;=TIME(0,3,0),"ADELANTADO")))))))</f>
        <v/>
      </c>
      <c r="I100" s="89" t="n"/>
      <c r="J100" s="89">
        <f>IF(A100&lt;&gt;"",HLOOKUP(VALUE(TEXT(G100,"h:mm:ss")),IF($C$6="Laboral",$FZ$4:$GX$227,IF($C$6="Sábado",$FZ$231:$GX$452,$FZ$456:$GX$656)),VLOOKUP($C$4,$HF$2:$HH$99,3,0)+IF(C$5="Ida",0,1),1),"")</f>
        <v/>
      </c>
      <c r="K100" s="89">
        <f>IF(A101&lt;&gt;A100,AVERAGEIF(A$9:A100,A100,J$9:J100),"")</f>
        <v/>
      </c>
      <c r="L100" s="89">
        <f>IFERROR(IF(A101&lt;&gt;A100,AVERAGEIF(A$9:A100,A100,S$9:S100),""),"")</f>
        <v/>
      </c>
      <c r="M100" s="89">
        <f>IFERROR(IF(A101&lt;&gt;A100,AVERAGEIF(A$9:A100,A100,T$9:T100),""),"")</f>
        <v/>
      </c>
      <c r="N100" s="89">
        <f t="array" ref="N100">IFERROR(IF(A101&lt;&gt;A100,_xlfn.STDEV.P(IF(A$9:A100=A100,T$9:T100)),""),"")</f>
        <v/>
      </c>
      <c r="O100" s="89">
        <f t="array" ref="O100">IFERROR(IF(A101&lt;&gt;A100,_xlfn.STDEV.P(IF(A$9:A100=A100,S$9:S100)),""),"")</f>
        <v/>
      </c>
      <c r="P100" s="90">
        <f>IFERROR(IF(A100&lt;&gt;A101,MAX((((M100*24*60)/2)*(1+POWER((((N100*24*60) / (M100*24*60) )),2))) + ((M100*24*60 )*-0.1 + (K100*0.015)) +1,(((M100*24*60)/2)*(1+POWER((((N100*24*60) / (M100*24*60 ))),2)))),""),"")</f>
        <v/>
      </c>
      <c r="Q100" s="90">
        <f>IF(AND(O100&lt;&gt;"",L100&lt;&gt;""),IF(A100&lt;&gt;A101,((L100*24*60) / 2 ) * (1 + POWER(((O100*24*60) / (L100*24*60)),2)),""),"")</f>
        <v/>
      </c>
      <c r="R100" s="90">
        <f>IF(Q100&lt;&gt;"",MAX(P100,Q100),"")</f>
        <v/>
      </c>
      <c r="S100" s="89">
        <f>IF(I100&lt;&gt;"H. Sale Real",IF(AND(I101&lt;&gt;"",LEFT(C101,2)&lt;&gt;"Va"),IF(AND(I100&lt;&gt;"",LEFT(C100,2)&lt;&gt;"Va",I100&lt;&gt;"H. Sale Real"),IF(I101-I100&lt;0.208333333333333,I101-I100,""),IF(AND(I99&lt;&gt;"",LEFT(C99,2)&lt;&gt;"Va",I99&lt;&gt;"H. Sale Real"),IF(I101-I99&lt;0.208333333333333,I101-I99,""),IF(AND(I98&lt;&gt;"",LEFT(C98,2)&lt;&gt;"Va",I98&lt;&gt;"H. Sale Real"),IF(I101-I98&lt;0.208333333333333,I101-I98,""),IF(AND(I97&lt;&gt;"",LEFT(C97,2)&lt;&gt;"Va",I97&lt;&gt;"H. Sale Real"),IF(I101-I97&lt;0.208333333333333,I101-I97,""),IF(AND(I96&lt;&gt;"",LEFT(C96,2)&lt;&gt;"Va",I96&lt;&gt;"H. Sale Real"),IF(I101-I96&lt;0.208333333333333,I101-I96,""),""))))),""),"")</f>
        <v/>
      </c>
      <c r="T100" s="89">
        <f>IF(G100&lt;&gt;"H. Sale Real",IF(AND(G101&lt;&gt;"",LEFT(C101,2)&lt;&gt;"Va"),IF(AND(G100&lt;&gt;"",LEFT(C100,2)&lt;&gt;"Va",G100&lt;&gt;"H. Sale Real"),IF(G101-G100&lt;0.208333333333333,G101-G100,""),IF(AND(G99&lt;&gt;"",LEFT(C99,2)&lt;&gt;"Va",G99&lt;&gt;"H. Sale Real"),IF(G101-G99&lt;0.208333333333333,G101-G99,""),IF(AND(G98&lt;&gt;"",LEFT(C98,2)&lt;&gt;"Va",G98&lt;&gt;"H. Sale Real"),IF(G101-G98&lt;0.208333333333333,G101-G98,""),IF(AND(G97&lt;&gt;"",LEFT(C97,2)&lt;&gt;"Va",G97&lt;&gt;"H. Sale Real"),IF(G101-G97&lt;0.208333333333333,G101-G97,""),IF(AND(G96&lt;&gt;"",LEFT(C96,2)&lt;&gt;"Va",G96&lt;&gt;"H. Sale Real"),IF(G101-G96&lt;0.208333333333333,G101-G96,""),""))))),""),"")</f>
        <v/>
      </c>
      <c r="U100" s="87" t="n"/>
      <c r="V100" s="89" t="n"/>
      <c r="W100" s="87" t="n"/>
      <c r="X100" s="89" t="n"/>
      <c r="Y100" s="91" t="n"/>
      <c r="Z100" s="122">
        <f>IF(G100&lt;&gt;"",IF(AND(Z99&lt;&gt;"IE",P100&lt;&gt;0,R100&lt;&gt;""),IF(IFERROR((P100/R100),0) &lt;=1,IFERROR(P100/R100,""),1),""),"")</f>
        <v/>
      </c>
      <c r="AA100" s="93" t="n"/>
      <c r="AB100" s="2" t="n"/>
      <c r="AE100" s="10">
        <f>HOUR(AK100)+1</f>
        <v/>
      </c>
      <c r="AF100" s="7" t="n"/>
      <c r="AG100" s="7" t="n"/>
      <c r="AH100" s="86" t="n"/>
      <c r="AI100" s="8" t="n"/>
      <c r="AJ100" s="86" t="n"/>
      <c r="AK100" s="87" t="n"/>
      <c r="AL100" s="88">
        <f>IF(AM100="","",IF(AND((AM100-AK100)&gt;=TIME(0,0,0),(AM100-AK100)&lt;TIME(0,3,0)),"OK",IF(AND((AM100-AK100)&gt;=TIME(0,3,0),(AM100-AK100)&lt;TIME(0,5,0)),"RETRASO DE 3-5 MIN",IF(AND((AM100-AK100)&gt;=TIME(0,5,0),(AM100-AK100)&lt;TIME(0,10,0)),"RETRASO DE 5-10 MIN",IF((AM100-AK100)&gt;=TIME(0,10,0),"RETRASO &gt;10 MIN", IF(AND((AK100-AM100)&gt;=TIME(0,0,0),(AK100-AM100)&lt;TIME(0,3,0)),"OK",IF((AK100-AM100)&gt;=TIME(0,3,0),"ADELANTADO")))))))</f>
        <v/>
      </c>
      <c r="AM100" s="91" t="n"/>
      <c r="AN100" s="89">
        <f>IF(AE100&lt;&gt;"",HLOOKUP(VALUE(TEXT(AK100,"h:mm:ss")),IF($C$6="Laboral",$FZ$4:$GX$227,IF($C$6="Sábado",$FZ$231:$GX$452,$FZ$456:$GX$656)),VLOOKUP($C$4,$HF$2:$HH$99,3,0)+IF(AG$5="Ida",0,1),1),"")</f>
        <v/>
      </c>
      <c r="AO100" s="89">
        <f>IF(AE101&lt;&gt;AE100,AVERAGEIF(AE$9:AE100,AE100,AN$9:AN100),"")</f>
        <v/>
      </c>
      <c r="AP100" s="89">
        <f>IFERROR(IF(AE101&lt;&gt;AE100,AVERAGEIF(AE$9:AE100,AE100,AW$9:AW100),""),"")</f>
        <v/>
      </c>
      <c r="AQ100" s="89">
        <f>IFERROR(IF(AE101&lt;&gt;AE100,AVERAGEIF(AE$9:AE100,AE100,AX$9:AX100),""),"")</f>
        <v/>
      </c>
      <c r="AR100" s="89">
        <f t="array" ref="AR100">IFERROR(IF(AE101&lt;&gt;AE100,_xlfn.STDEV.P(IF(AE$9:AE100=AE100,AX$9:AX100)),""),"")</f>
        <v/>
      </c>
      <c r="AS100" s="89">
        <f t="array" ref="AS100">IFERROR(IF(AE101&lt;&gt;AE100,_xlfn.STDEV.P(IF(AE$9:AE100=AE100,AW$9:AW100)),""),"")</f>
        <v/>
      </c>
      <c r="AT100" s="90">
        <f>IFERROR(IF(AE100&lt;&gt;AE101,MAX((((AQ100*24*60)/2)*(1+POWER((((AR100*24*60) / (AQ100*24*60) )),2))) + ((AQ100*24*60 )*-0.1 + (AO100*0.015)) +1,(((AQ100*24*60)/2)*(1+POWER((((AR100*24*60) / (AQ100*24*60 ))),2)))),""),"")</f>
        <v/>
      </c>
      <c r="AU100" s="90">
        <f>IF(AND(AS100&lt;&gt;"",AP100&lt;&gt;""),IF(AE100&lt;&gt;AE101,((AP100*24*60) / 2 ) * (1 + POWER(((AS100*24*60) / (AP100*24*60)),2)),""),"")</f>
        <v/>
      </c>
      <c r="AV100" s="90">
        <f>IF(AU100&lt;&gt;"",MAX(AT100,AU100),"")</f>
        <v/>
      </c>
      <c r="AW100" s="89">
        <f>IF(AM100&lt;&gt;"H. Sale Real",IF(AND(AM101&lt;&gt;"",LEFT(AG101,2)&lt;&gt;"Va"),IF(AND(AM100&lt;&gt;"",LEFT(AG100,2)&lt;&gt;"Va",AM100&lt;&gt;"H. Sale Real"),IF(AM101-AM100&lt;0.208333333333333,AM101-AM100,""),IF(AND(AM99&lt;&gt;"",LEFT(AG99,2)&lt;&gt;"Va",AM99&lt;&gt;"H. Sale Real"),IF(AM101-AM99&lt;0.208333333333333,AM101-AM99,""),IF(AND(AM98&lt;&gt;"",LEFT(AG98,2)&lt;&gt;"Va",AM98&lt;&gt;"H. Sale Real"),IF(AM101-AM98&lt;0.208333333333333,AM101-AM98,""),IF(AND(AM97&lt;&gt;"",LEFT(AG97,2)&lt;&gt;"Va",AM97&lt;&gt;"H. Sale Real"),IF(AM101-AM97&lt;0.208333333333333,AM101-AM97,""),IF(AND(AM96&lt;&gt;"",LEFT(AG96,2)&lt;&gt;"Va",AM96&lt;&gt;"H. Sale Real"),IF(AM101-AM96&lt;0.208333333333333,AM101-AM96,""),""))))),""),"")</f>
        <v/>
      </c>
      <c r="AX100" s="89">
        <f>IF(AK100&lt;&gt;"H. Sale Real",IF(AND(AK101&lt;&gt;"",LEFT(AG101,2)&lt;&gt;"Va"),IF(AND(AK100&lt;&gt;"",LEFT(AG100,2)&lt;&gt;"Va",AK100&lt;&gt;"H. Sale Real"),IF(AK101-AK100&lt;0.208333333333333,AK101-AK100,""),IF(AND(AK99&lt;&gt;"",LEFT(AG99,2)&lt;&gt;"Va",AK99&lt;&gt;"H. Sale Real"),IF(AK101-AK99&lt;0.208333333333333,AK101-AK99,""),IF(AND(AK98&lt;&gt;"",LEFT(AG98,2)&lt;&gt;"NC",AK98&lt;&gt;"H. Sale Real"),IF(AK101-AK98&lt;0.208333333333333,AK101-AK98,""),IF(AND(AK97&lt;&gt;"",LEFT(AG97,2)&lt;&gt;"Va",AK97&lt;&gt;"H. Sale Real"),IF(AK101-AK97&lt;0.208333333333333,AK101-AK97,""),IF(AND(AK96&lt;&gt;"",LEFT(AG96,2)&lt;&gt;"Va",AK96&lt;&gt;"H. Sale Real"),IF(AK101-AK96&lt;0.208333333333333,AK101-AK96,""),""))))),""),"")</f>
        <v/>
      </c>
      <c r="AY100" s="87" t="n"/>
      <c r="AZ100" s="89" t="n"/>
      <c r="BA100" s="87" t="n"/>
      <c r="BB100" s="89" t="n"/>
      <c r="BC100" s="91" t="n"/>
      <c r="BD100" s="122">
        <f>IF(AK100&lt;&gt;"",IF(AND(BD99&lt;&gt;"IE",AT100&lt;&gt;0,AV100&lt;&gt;""),IF(IFERROR((AT100/AV100),0) &lt;=1,IFERROR(AT100/AV100,""),1),""),"")</f>
        <v/>
      </c>
      <c r="BE100" s="93" t="n"/>
      <c r="BF100" s="105" t="n"/>
      <c r="FC100" t="inlineStr">
        <is>
          <t>Diccionario 1</t>
        </is>
      </c>
      <c r="FD100" s="15" t="n">
        <v>1097</v>
      </c>
      <c r="FE100" s="15" t="inlineStr">
        <is>
          <t>D8481807K2PL</t>
        </is>
      </c>
      <c r="FF100" s="15" t="inlineStr">
        <is>
          <t>YV3T7U520KA195428</t>
        </is>
      </c>
      <c r="FG100" s="15" t="inlineStr">
        <is>
          <t>Volvo</t>
        </is>
      </c>
      <c r="FH100" s="15" t="inlineStr">
        <is>
          <t>B8R</t>
        </is>
      </c>
      <c r="FI100" s="15" t="inlineStr">
        <is>
          <t>MARCOPOLO</t>
        </is>
      </c>
      <c r="FJ100" s="15" t="inlineStr">
        <is>
          <t>TORINO</t>
        </is>
      </c>
      <c r="FK100" s="15" t="n">
        <v>2019</v>
      </c>
      <c r="FL100" s="15" t="inlineStr">
        <is>
          <t>B2PAL</t>
        </is>
      </c>
      <c r="FM100" s="15" t="inlineStr">
        <is>
          <t>SAN JOSE</t>
        </is>
      </c>
      <c r="FN100" s="15" t="inlineStr">
        <is>
          <t>San José 030 (José Besa 669)</t>
        </is>
      </c>
      <c r="FO100" s="15" t="inlineStr">
        <is>
          <t>San Bernardo</t>
        </is>
      </c>
      <c r="FP100" t="inlineStr">
        <is>
          <t>B</t>
        </is>
      </c>
      <c r="FS100" s="14" t="inlineStr">
        <is>
          <t>3025 / SFVZ-44|</t>
        </is>
      </c>
      <c r="FT100" t="inlineStr">
        <is>
          <t>SFVZ-44|</t>
        </is>
      </c>
      <c r="FU100" t="inlineStr">
        <is>
          <t>SFVZ-44</t>
        </is>
      </c>
      <c r="FV100">
        <f>VLOOKUP(FU100,FD:FL,9,0)</f>
        <v/>
      </c>
      <c r="HA100" s="35" t="n">
        <v>97</v>
      </c>
      <c r="HB100" s="35" t="n">
        <v>94</v>
      </c>
    </row>
    <row r="101" ht="15.5" customHeight="1">
      <c r="A101" s="10">
        <f>HOUR(G101)+1</f>
        <v/>
      </c>
      <c r="B101" s="7" t="n"/>
      <c r="C101" s="7" t="n"/>
      <c r="D101" s="85">
        <f>IFERROR(
IF(AND(OR(Planilla!B101="C",Planilla!B101="c"), VLOOKUP(E101,FD:FP,13,0)="C"), "OK",IF(AND(OR(Planilla!B101="C",Planilla!B101="c"), OR(VLOOKUP(E101,FD:FP,13,0)="B", VLOOKUP(E101,FD:FP,13,0)="A")), "DEFICIT",IF(
AND(OR(Planilla!B101="B", Planilla!B101="BPAL"), VLOOKUP(E101,FD:FP,13,0)="B"), "OK",IF(AND(OR(Planilla!B101="B", Planilla!B101="BPAL"), VLOOKUP(E101,FD:FP,13,0)="A"), "DEFICIT",IF(AND(OR(Planilla!B101="B", Planilla!B101="BPAL"), VLOOKUP(E101,FD:FP,13,0)="C"), "SOBREOFERTA",IF(AND(Planilla!B101="A", VLOOKUP(E101,FD:FP,13,0)="A"), "OK",IF(
AND(Planilla!B101="A", OR(VLOOKUP(E101,FD:FP,13,0)="B", VLOOKUP(E101,FD:FP,13,0)="C")), "SOBREOFERTA",""
))))))),"")</f>
        <v/>
      </c>
      <c r="E101" s="8" t="n"/>
      <c r="F101" s="86" t="n"/>
      <c r="G101" s="87" t="n"/>
      <c r="H101" s="88">
        <f>IF(I101="","",IF(AND((I101-G101)&gt;=TIME(0,0,0),(I101-G101)&lt;TIME(0,3,0)),"OK",IF(AND((I101-G101)&gt;=TIME(0,3,0),(I101-G101)&lt;TIME(0,5,0)),"RETRASO DE 3-5 MIN",IF(AND((I101-G101)&gt;=TIME(0,5,0),(I101-G101)&lt;TIME(0,10,0)),"RETRASO DE 5-10 MIN",IF((I101-G101)&gt;=TIME(0,10,0),"RETRASO &gt;10 MIN", IF(AND((G101-I101)&gt;=TIME(0,0,0),(G101-I101)&lt;TIME(0,3,0)),"OK",IF((G101-I101)&gt;=TIME(0,3,0),"ADELANTADO")))))))</f>
        <v/>
      </c>
      <c r="I101" s="89" t="n"/>
      <c r="J101" s="89">
        <f>IF(A101&lt;&gt;"",HLOOKUP(VALUE(TEXT(G101,"h:mm:ss")),IF($C$6="Laboral",$FZ$4:$GX$227,IF($C$6="Sábado",$FZ$231:$GX$452,$FZ$456:$GX$656)),VLOOKUP($C$4,$HF$2:$HH$99,3,0)+IF(C$5="Ida",0,1),1),"")</f>
        <v/>
      </c>
      <c r="K101" s="89">
        <f>IF(A102&lt;&gt;A101,AVERAGEIF(A$9:A101,A101,J$9:J101),"")</f>
        <v/>
      </c>
      <c r="L101" s="89">
        <f>IFERROR(IF(A102&lt;&gt;A101,AVERAGEIF(A$9:A101,A101,S$9:S101),""),"")</f>
        <v/>
      </c>
      <c r="M101" s="89">
        <f>IFERROR(IF(A102&lt;&gt;A101,AVERAGEIF(A$9:A101,A101,T$9:T101),""),"")</f>
        <v/>
      </c>
      <c r="N101" s="89">
        <f t="array" ref="N101">IFERROR(IF(A102&lt;&gt;A101,_xlfn.STDEV.P(IF(A$9:A101=A101,T$9:T101)),""),"")</f>
        <v/>
      </c>
      <c r="O101" s="89">
        <f t="array" ref="O101">IFERROR(IF(A102&lt;&gt;A101,_xlfn.STDEV.P(IF(A$9:A101=A101,S$9:S101)),""),"")</f>
        <v/>
      </c>
      <c r="P101" s="90">
        <f>IFERROR(IF(A101&lt;&gt;A102,MAX((((M101*24*60)/2)*(1+POWER((((N101*24*60) / (M101*24*60) )),2))) + ((M101*24*60 )*-0.1 + (K101*0.015)) +1,(((M101*24*60)/2)*(1+POWER((((N101*24*60) / (M101*24*60 ))),2)))),""),"")</f>
        <v/>
      </c>
      <c r="Q101" s="90">
        <f>IF(AND(O101&lt;&gt;"",L101&lt;&gt;""),IF(A101&lt;&gt;A102,((L101*24*60) / 2 ) * (1 + POWER(((O101*24*60) / (L101*24*60)),2)),""),"")</f>
        <v/>
      </c>
      <c r="R101" s="90">
        <f>IF(Q101&lt;&gt;"",MAX(P101,Q101),"")</f>
        <v/>
      </c>
      <c r="S101" s="89">
        <f>IF(I101&lt;&gt;"H. Sale Real",IF(AND(I102&lt;&gt;"",LEFT(C102,2)&lt;&gt;"Va"),IF(AND(I101&lt;&gt;"",LEFT(C101,2)&lt;&gt;"Va",I101&lt;&gt;"H. Sale Real"),IF(I102-I101&lt;0.208333333333333,I102-I101,""),IF(AND(I100&lt;&gt;"",LEFT(C100,2)&lt;&gt;"Va",I100&lt;&gt;"H. Sale Real"),IF(I102-I100&lt;0.208333333333333,I102-I100,""),IF(AND(I99&lt;&gt;"",LEFT(C99,2)&lt;&gt;"Va",I99&lt;&gt;"H. Sale Real"),IF(I102-I99&lt;0.208333333333333,I102-I99,""),IF(AND(I98&lt;&gt;"",LEFT(C98,2)&lt;&gt;"Va",I98&lt;&gt;"H. Sale Real"),IF(I102-I98&lt;0.208333333333333,I102-I98,""),IF(AND(I97&lt;&gt;"",LEFT(C97,2)&lt;&gt;"Va",I97&lt;&gt;"H. Sale Real"),IF(I102-I97&lt;0.208333333333333,I102-I97,""),""))))),""),"")</f>
        <v/>
      </c>
      <c r="T101" s="89">
        <f>IF(G101&lt;&gt;"H. Sale Real",IF(AND(G102&lt;&gt;"",LEFT(C102,2)&lt;&gt;"Va"),IF(AND(G101&lt;&gt;"",LEFT(C101,2)&lt;&gt;"Va",G101&lt;&gt;"H. Sale Real"),IF(G102-G101&lt;0.208333333333333,G102-G101,""),IF(AND(G100&lt;&gt;"",LEFT(C100,2)&lt;&gt;"Va",G100&lt;&gt;"H. Sale Real"),IF(G102-G100&lt;0.208333333333333,G102-G100,""),IF(AND(G99&lt;&gt;"",LEFT(C99,2)&lt;&gt;"Va",G99&lt;&gt;"H. Sale Real"),IF(G102-G99&lt;0.208333333333333,G102-G99,""),IF(AND(G98&lt;&gt;"",LEFT(C98,2)&lt;&gt;"Va",G98&lt;&gt;"H. Sale Real"),IF(G102-G98&lt;0.208333333333333,G102-G98,""),IF(AND(G97&lt;&gt;"",LEFT(C97,2)&lt;&gt;"Va",G97&lt;&gt;"H. Sale Real"),IF(G102-G97&lt;0.208333333333333,G102-G97,""),""))))),""),"")</f>
        <v/>
      </c>
      <c r="U101" s="87" t="n"/>
      <c r="V101" s="89" t="n"/>
      <c r="W101" s="87" t="n"/>
      <c r="X101" s="89" t="n"/>
      <c r="Y101" s="91" t="n"/>
      <c r="Z101" s="122">
        <f>IF(G101&lt;&gt;"",IF(AND(Z100&lt;&gt;"IE",P101&lt;&gt;0,R101&lt;&gt;""),IF(IFERROR((P101/R101),0) &lt;=1,IFERROR(P101/R101,""),1),""),"")</f>
        <v/>
      </c>
      <c r="AA101" s="93" t="n"/>
      <c r="AB101" s="2" t="n"/>
      <c r="AE101" s="10">
        <f>HOUR(AK101)+1</f>
        <v/>
      </c>
      <c r="AF101" s="7" t="n"/>
      <c r="AG101" s="7" t="n"/>
      <c r="AH101" s="86" t="n"/>
      <c r="AI101" s="8" t="n"/>
      <c r="AJ101" s="86" t="n"/>
      <c r="AK101" s="87" t="n"/>
      <c r="AL101" s="88">
        <f>IF(AM101="","",IF(AND((AM101-AK101)&gt;=TIME(0,0,0),(AM101-AK101)&lt;TIME(0,3,0)),"OK",IF(AND((AM101-AK101)&gt;=TIME(0,3,0),(AM101-AK101)&lt;TIME(0,5,0)),"RETRASO DE 3-5 MIN",IF(AND((AM101-AK101)&gt;=TIME(0,5,0),(AM101-AK101)&lt;TIME(0,10,0)),"RETRASO DE 5-10 MIN",IF((AM101-AK101)&gt;=TIME(0,10,0),"RETRASO &gt;10 MIN", IF(AND((AK101-AM101)&gt;=TIME(0,0,0),(AK101-AM101)&lt;TIME(0,3,0)),"OK",IF((AK101-AM101)&gt;=TIME(0,3,0),"ADELANTADO")))))))</f>
        <v/>
      </c>
      <c r="AM101" s="91" t="n"/>
      <c r="AN101" s="89">
        <f>IF(AE101&lt;&gt;"",HLOOKUP(VALUE(TEXT(AK101,"h:mm:ss")),IF($C$6="Laboral",$FZ$4:$GX$227,IF($C$6="Sábado",$FZ$231:$GX$452,$FZ$456:$GX$656)),VLOOKUP($C$4,$HF$2:$HH$99,3,0)+IF(AG$5="Ida",0,1),1),"")</f>
        <v/>
      </c>
      <c r="AO101" s="89">
        <f>IF(AE102&lt;&gt;AE101,AVERAGEIF(AE$9:AE101,AE101,AN$9:AN101),"")</f>
        <v/>
      </c>
      <c r="AP101" s="89">
        <f>IFERROR(IF(AE102&lt;&gt;AE101,AVERAGEIF(AE$9:AE101,AE101,AW$9:AW101),""),"")</f>
        <v/>
      </c>
      <c r="AQ101" s="89">
        <f>IFERROR(IF(AE102&lt;&gt;AE101,AVERAGEIF(AE$9:AE101,AE101,AX$9:AX101),""),"")</f>
        <v/>
      </c>
      <c r="AR101" s="89">
        <f t="array" ref="AR101">IFERROR(IF(AE102&lt;&gt;AE101,_xlfn.STDEV.P(IF(AE$9:AE101=AE101,AX$9:AX101)),""),"")</f>
        <v/>
      </c>
      <c r="AS101" s="89">
        <f t="array" ref="AS101">IFERROR(IF(AE102&lt;&gt;AE101,_xlfn.STDEV.P(IF(AE$9:AE101=AE101,AW$9:AW101)),""),"")</f>
        <v/>
      </c>
      <c r="AT101" s="90">
        <f>IFERROR(IF(AE101&lt;&gt;AE102,MAX((((AQ101*24*60)/2)*(1+POWER((((AR101*24*60) / (AQ101*24*60) )),2))) + ((AQ101*24*60 )*-0.1 + (AO101*0.015)) +1,(((AQ101*24*60)/2)*(1+POWER((((AR101*24*60) / (AQ101*24*60 ))),2)))),""),"")</f>
        <v/>
      </c>
      <c r="AU101" s="90">
        <f>IF(AND(AS101&lt;&gt;"",AP101&lt;&gt;""),IF(AE101&lt;&gt;AE102,((AP101*24*60) / 2 ) * (1 + POWER(((AS101*24*60) / (AP101*24*60)),2)),""),"")</f>
        <v/>
      </c>
      <c r="AV101" s="90">
        <f>IF(AU101&lt;&gt;"",MAX(AT101,AU101),"")</f>
        <v/>
      </c>
      <c r="AW101" s="89">
        <f>IF(AM101&lt;&gt;"H. Sale Real",IF(AND(AM102&lt;&gt;"",LEFT(AG102,2)&lt;&gt;"Va"),IF(AND(AM101&lt;&gt;"",LEFT(AG101,2)&lt;&gt;"Va",AM101&lt;&gt;"H. Sale Real"),IF(AM102-AM101&lt;0.208333333333333,AM102-AM101,""),IF(AND(AM100&lt;&gt;"",LEFT(AG100,2)&lt;&gt;"Va",AM100&lt;&gt;"H. Sale Real"),IF(AM102-AM100&lt;0.208333333333333,AM102-AM100,""),IF(AND(AM99&lt;&gt;"",LEFT(AG99,2)&lt;&gt;"Va",AM99&lt;&gt;"H. Sale Real"),IF(AM102-AM99&lt;0.208333333333333,AM102-AM99,""),IF(AND(AM98&lt;&gt;"",LEFT(AG98,2)&lt;&gt;"Va",AM98&lt;&gt;"H. Sale Real"),IF(AM102-AM98&lt;0.208333333333333,AM102-AM98,""),IF(AND(AM97&lt;&gt;"",LEFT(AG97,2)&lt;&gt;"Va",AM97&lt;&gt;"H. Sale Real"),IF(AM102-AM97&lt;0.208333333333333,AM102-AM97,""),""))))),""),"")</f>
        <v/>
      </c>
      <c r="AX101" s="89">
        <f>IF(AK101&lt;&gt;"H. Sale Real",IF(AND(AK102&lt;&gt;"",LEFT(AG102,2)&lt;&gt;"Va"),IF(AND(AK101&lt;&gt;"",LEFT(AG101,2)&lt;&gt;"Va",AK101&lt;&gt;"H. Sale Real"),IF(AK102-AK101&lt;0.208333333333333,AK102-AK101,""),IF(AND(AK100&lt;&gt;"",LEFT(AG100,2)&lt;&gt;"Va",AK100&lt;&gt;"H. Sale Real"),IF(AK102-AK100&lt;0.208333333333333,AK102-AK100,""),IF(AND(AK99&lt;&gt;"",LEFT(AG99,2)&lt;&gt;"NC",AK99&lt;&gt;"H. Sale Real"),IF(AK102-AK99&lt;0.208333333333333,AK102-AK99,""),IF(AND(AK98&lt;&gt;"",LEFT(AG98,2)&lt;&gt;"Va",AK98&lt;&gt;"H. Sale Real"),IF(AK102-AK98&lt;0.208333333333333,AK102-AK98,""),IF(AND(AK97&lt;&gt;"",LEFT(AG97,2)&lt;&gt;"Va",AK97&lt;&gt;"H. Sale Real"),IF(AK102-AK97&lt;0.208333333333333,AK102-AK97,""),""))))),""),"")</f>
        <v/>
      </c>
      <c r="AY101" s="87" t="n"/>
      <c r="AZ101" s="89" t="n"/>
      <c r="BA101" s="87" t="n"/>
      <c r="BB101" s="89" t="n"/>
      <c r="BC101" s="91" t="n"/>
      <c r="BD101" s="122">
        <f>IF(AK101&lt;&gt;"",IF(AND(BD100&lt;&gt;"IE",AT101&lt;&gt;0,AV101&lt;&gt;""),IF(IFERROR((AT101/AV101),0) &lt;=1,IFERROR(AT101/AV101,""),1),""),"")</f>
        <v/>
      </c>
      <c r="BE101" s="93" t="n"/>
      <c r="BF101" s="105" t="n"/>
      <c r="FC101" t="inlineStr">
        <is>
          <t>Diccionario 1</t>
        </is>
      </c>
      <c r="FD101" s="15" t="n">
        <v>1098</v>
      </c>
      <c r="FE101" s="15" t="inlineStr">
        <is>
          <t>D8481802K2PL</t>
        </is>
      </c>
      <c r="FF101" s="15" t="inlineStr">
        <is>
          <t>YV3T7U529KA195430</t>
        </is>
      </c>
      <c r="FG101" s="15" t="inlineStr">
        <is>
          <t>Volvo</t>
        </is>
      </c>
      <c r="FH101" s="15" t="inlineStr">
        <is>
          <t>B8R</t>
        </is>
      </c>
      <c r="FI101" s="15" t="inlineStr">
        <is>
          <t>MARCOPOLO</t>
        </is>
      </c>
      <c r="FJ101" s="15" t="inlineStr">
        <is>
          <t>TORINO</t>
        </is>
      </c>
      <c r="FK101" s="15" t="n">
        <v>2019</v>
      </c>
      <c r="FL101" s="15" t="inlineStr">
        <is>
          <t>B2PAL</t>
        </is>
      </c>
      <c r="FM101" s="15" t="inlineStr">
        <is>
          <t>SAN JOSE</t>
        </is>
      </c>
      <c r="FN101" s="15" t="inlineStr">
        <is>
          <t>San José 030 (José Besa 669)</t>
        </is>
      </c>
      <c r="FO101" s="15" t="inlineStr">
        <is>
          <t>San Bernardo</t>
        </is>
      </c>
      <c r="FP101" t="inlineStr">
        <is>
          <t>B</t>
        </is>
      </c>
      <c r="FS101" s="14" t="inlineStr">
        <is>
          <t>3026 / SFVZ-81|</t>
        </is>
      </c>
      <c r="FT101" t="inlineStr">
        <is>
          <t>SFVZ-81|</t>
        </is>
      </c>
      <c r="FU101" t="inlineStr">
        <is>
          <t>SFVZ-81</t>
        </is>
      </c>
      <c r="FV101">
        <f>VLOOKUP(FU101,FD:FL,9,0)</f>
        <v/>
      </c>
      <c r="HA101" s="35" t="n">
        <v>98</v>
      </c>
      <c r="HB101" s="35" t="n">
        <v>95</v>
      </c>
    </row>
    <row r="102" ht="15.5" customHeight="1">
      <c r="A102" s="10">
        <f>HOUR(G102)+1</f>
        <v/>
      </c>
      <c r="B102" s="7" t="n"/>
      <c r="C102" s="7" t="n"/>
      <c r="D102" s="85">
        <f>IFERROR(
IF(AND(OR(Planilla!B102="C",Planilla!B102="c"), VLOOKUP(E102,FD:FP,13,0)="C"), "OK",IF(AND(OR(Planilla!B102="C",Planilla!B102="c"), OR(VLOOKUP(E102,FD:FP,13,0)="B", VLOOKUP(E102,FD:FP,13,0)="A")), "DEFICIT",IF(
AND(OR(Planilla!B102="B", Planilla!B102="BPAL"), VLOOKUP(E102,FD:FP,13,0)="B"), "OK",IF(AND(OR(Planilla!B102="B", Planilla!B102="BPAL"), VLOOKUP(E102,FD:FP,13,0)="A"), "DEFICIT",IF(AND(OR(Planilla!B102="B", Planilla!B102="BPAL"), VLOOKUP(E102,FD:FP,13,0)="C"), "SOBREOFERTA",IF(AND(Planilla!B102="A", VLOOKUP(E102,FD:FP,13,0)="A"), "OK",IF(
AND(Planilla!B102="A", OR(VLOOKUP(E102,FD:FP,13,0)="B", VLOOKUP(E102,FD:FP,13,0)="C")), "SOBREOFERTA",""
))))))),"")</f>
        <v/>
      </c>
      <c r="E102" s="8" t="n"/>
      <c r="F102" s="86" t="n"/>
      <c r="G102" s="87" t="n"/>
      <c r="H102" s="88">
        <f>IF(I102="","",IF(AND((I102-G102)&gt;=TIME(0,0,0),(I102-G102)&lt;TIME(0,3,0)),"OK",IF(AND((I102-G102)&gt;=TIME(0,3,0),(I102-G102)&lt;TIME(0,5,0)),"RETRASO DE 3-5 MIN",IF(AND((I102-G102)&gt;=TIME(0,5,0),(I102-G102)&lt;TIME(0,10,0)),"RETRASO DE 5-10 MIN",IF((I102-G102)&gt;=TIME(0,10,0),"RETRASO &gt;10 MIN", IF(AND((G102-I102)&gt;=TIME(0,0,0),(G102-I102)&lt;TIME(0,3,0)),"OK",IF((G102-I102)&gt;=TIME(0,3,0),"ADELANTADO")))))))</f>
        <v/>
      </c>
      <c r="I102" s="89" t="n"/>
      <c r="J102" s="89">
        <f>IF(A102&lt;&gt;"",HLOOKUP(VALUE(TEXT(G102,"h:mm:ss")),IF($C$6="Laboral",$FZ$4:$GX$227,IF($C$6="Sábado",$FZ$231:$GX$452,$FZ$456:$GX$656)),VLOOKUP($C$4,$HF$2:$HH$99,3,0)+IF(C$5="Ida",0,1),1),"")</f>
        <v/>
      </c>
      <c r="K102" s="89">
        <f>IF(A103&lt;&gt;A102,AVERAGEIF(A$9:A102,A102,J$9:J102),"")</f>
        <v/>
      </c>
      <c r="L102" s="89">
        <f>IFERROR(IF(A103&lt;&gt;A102,AVERAGEIF(A$9:A102,A102,S$9:S102),""),"")</f>
        <v/>
      </c>
      <c r="M102" s="89">
        <f>IFERROR(IF(A103&lt;&gt;A102,AVERAGEIF(A$9:A102,A102,T$9:T102),""),"")</f>
        <v/>
      </c>
      <c r="N102" s="89">
        <f t="array" ref="N102">IFERROR(IF(A103&lt;&gt;A102,_xlfn.STDEV.P(IF(A$9:A102=A102,T$9:T102)),""),"")</f>
        <v/>
      </c>
      <c r="O102" s="89">
        <f t="array" ref="O102">IFERROR(IF(A103&lt;&gt;A102,_xlfn.STDEV.P(IF(A$9:A102=A102,S$9:S102)),""),"")</f>
        <v/>
      </c>
      <c r="P102" s="90">
        <f>IFERROR(IF(A102&lt;&gt;A103,MAX((((M102*24*60)/2)*(1+POWER((((N102*24*60) / (M102*24*60) )),2))) + ((M102*24*60 )*-0.1 + (K102*0.015)) +1,(((M102*24*60)/2)*(1+POWER((((N102*24*60) / (M102*24*60 ))),2)))),""),"")</f>
        <v/>
      </c>
      <c r="Q102" s="90">
        <f>IF(AND(O102&lt;&gt;"",L102&lt;&gt;""),IF(A102&lt;&gt;A103,((L102*24*60) / 2 ) * (1 + POWER(((O102*24*60) / (L102*24*60)),2)),""),"")</f>
        <v/>
      </c>
      <c r="R102" s="90">
        <f>IF(Q102&lt;&gt;"",MAX(P102,Q102),"")</f>
        <v/>
      </c>
      <c r="S102" s="89">
        <f>IF(I102&lt;&gt;"H. Sale Real",IF(AND(I103&lt;&gt;"",LEFT(C103,2)&lt;&gt;"Va"),IF(AND(I102&lt;&gt;"",LEFT(C102,2)&lt;&gt;"Va",I102&lt;&gt;"H. Sale Real"),IF(I103-I102&lt;0.208333333333333,I103-I102,""),IF(AND(I101&lt;&gt;"",LEFT(C101,2)&lt;&gt;"Va",I101&lt;&gt;"H. Sale Real"),IF(I103-I101&lt;0.208333333333333,I103-I101,""),IF(AND(I100&lt;&gt;"",LEFT(C100,2)&lt;&gt;"Va",I100&lt;&gt;"H. Sale Real"),IF(I103-I100&lt;0.208333333333333,I103-I100,""),IF(AND(I99&lt;&gt;"",LEFT(C99,2)&lt;&gt;"Va",I99&lt;&gt;"H. Sale Real"),IF(I103-I99&lt;0.208333333333333,I103-I99,""),IF(AND(I98&lt;&gt;"",LEFT(C98,2)&lt;&gt;"Va",I98&lt;&gt;"H. Sale Real"),IF(I103-I98&lt;0.208333333333333,I103-I98,""),""))))),""),"")</f>
        <v/>
      </c>
      <c r="T102" s="89">
        <f>IF(G102&lt;&gt;"H. Sale Real",IF(AND(G103&lt;&gt;"",LEFT(C103,2)&lt;&gt;"Va"),IF(AND(G102&lt;&gt;"",LEFT(C102,2)&lt;&gt;"Va",G102&lt;&gt;"H. Sale Real"),IF(G103-G102&lt;0.208333333333333,G103-G102,""),IF(AND(G101&lt;&gt;"",LEFT(C101,2)&lt;&gt;"Va",G101&lt;&gt;"H. Sale Real"),IF(G103-G101&lt;0.208333333333333,G103-G101,""),IF(AND(G100&lt;&gt;"",LEFT(C100,2)&lt;&gt;"Va",G100&lt;&gt;"H. Sale Real"),IF(G103-G100&lt;0.208333333333333,G103-G100,""),IF(AND(G99&lt;&gt;"",LEFT(C99,2)&lt;&gt;"Va",G99&lt;&gt;"H. Sale Real"),IF(G103-G99&lt;0.208333333333333,G103-G99,""),IF(AND(G98&lt;&gt;"",LEFT(C98,2)&lt;&gt;"Va",G98&lt;&gt;"H. Sale Real"),IF(G103-G98&lt;0.208333333333333,G103-G98,""),""))))),""),"")</f>
        <v/>
      </c>
      <c r="U102" s="87" t="n"/>
      <c r="V102" s="89" t="n"/>
      <c r="W102" s="87" t="n"/>
      <c r="X102" s="89" t="n"/>
      <c r="Y102" s="91" t="n"/>
      <c r="Z102" s="122">
        <f>IF(G102&lt;&gt;"",IF(AND(Z101&lt;&gt;"IE",P102&lt;&gt;0,R102&lt;&gt;""),IF(IFERROR((P102/R102),0) &lt;=1,IFERROR(P102/R102,""),1),""),"")</f>
        <v/>
      </c>
      <c r="AA102" s="93" t="n"/>
      <c r="AB102" s="2" t="n"/>
      <c r="AE102" s="10">
        <f>HOUR(AK102)+1</f>
        <v/>
      </c>
      <c r="AF102" s="7" t="n"/>
      <c r="AG102" s="7" t="n"/>
      <c r="AH102" s="86" t="n"/>
      <c r="AI102" s="8" t="n"/>
      <c r="AJ102" s="86" t="n"/>
      <c r="AK102" s="87" t="n"/>
      <c r="AL102" s="88">
        <f>IF(AM102="","",IF(AND((AM102-AK102)&gt;=TIME(0,0,0),(AM102-AK102)&lt;TIME(0,3,0)),"OK",IF(AND((AM102-AK102)&gt;=TIME(0,3,0),(AM102-AK102)&lt;TIME(0,5,0)),"RETRASO DE 3-5 MIN",IF(AND((AM102-AK102)&gt;=TIME(0,5,0),(AM102-AK102)&lt;TIME(0,10,0)),"RETRASO DE 5-10 MIN",IF((AM102-AK102)&gt;=TIME(0,10,0),"RETRASO &gt;10 MIN", IF(AND((AK102-AM102)&gt;=TIME(0,0,0),(AK102-AM102)&lt;TIME(0,3,0)),"OK",IF((AK102-AM102)&gt;=TIME(0,3,0),"ADELANTADO")))))))</f>
        <v/>
      </c>
      <c r="AM102" s="91" t="n"/>
      <c r="AN102" s="89">
        <f>IF(AE102&lt;&gt;"",HLOOKUP(VALUE(TEXT(AK102,"h:mm:ss")),IF($C$6="Laboral",$FZ$4:$GX$227,IF($C$6="Sábado",$FZ$231:$GX$452,$FZ$456:$GX$656)),VLOOKUP($C$4,$HF$2:$HH$99,3,0)+IF(AG$5="Ida",0,1),1),"")</f>
        <v/>
      </c>
      <c r="AO102" s="89">
        <f>IF(AE103&lt;&gt;AE102,AVERAGEIF(AE$9:AE102,AE102,AN$9:AN102),"")</f>
        <v/>
      </c>
      <c r="AP102" s="89">
        <f>IFERROR(IF(AE103&lt;&gt;AE102,AVERAGEIF(AE$9:AE102,AE102,AW$9:AW102),""),"")</f>
        <v/>
      </c>
      <c r="AQ102" s="89">
        <f>IFERROR(IF(AE103&lt;&gt;AE102,AVERAGEIF(AE$9:AE102,AE102,AX$9:AX102),""),"")</f>
        <v/>
      </c>
      <c r="AR102" s="89">
        <f t="array" ref="AR102">IFERROR(IF(AE103&lt;&gt;AE102,_xlfn.STDEV.P(IF(AE$9:AE102=AE102,AX$9:AX102)),""),"")</f>
        <v/>
      </c>
      <c r="AS102" s="89">
        <f t="array" ref="AS102">IFERROR(IF(AE103&lt;&gt;AE102,_xlfn.STDEV.P(IF(AE$9:AE102=AE102,AW$9:AW102)),""),"")</f>
        <v/>
      </c>
      <c r="AT102" s="90">
        <f>IFERROR(IF(AE102&lt;&gt;AE103,MAX((((AQ102*24*60)/2)*(1+POWER((((AR102*24*60) / (AQ102*24*60) )),2))) + ((AQ102*24*60 )*-0.1 + (AO102*0.015)) +1,(((AQ102*24*60)/2)*(1+POWER((((AR102*24*60) / (AQ102*24*60 ))),2)))),""),"")</f>
        <v/>
      </c>
      <c r="AU102" s="90">
        <f>IF(AND(AS102&lt;&gt;"",AP102&lt;&gt;""),IF(AE102&lt;&gt;AE103,((AP102*24*60) / 2 ) * (1 + POWER(((AS102*24*60) / (AP102*24*60)),2)),""),"")</f>
        <v/>
      </c>
      <c r="AV102" s="90">
        <f>IF(AU102&lt;&gt;"",MAX(AT102,AU102),"")</f>
        <v/>
      </c>
      <c r="AW102" s="89">
        <f>IF(AM102&lt;&gt;"H. Sale Real",IF(AND(AM103&lt;&gt;"",LEFT(AG103,2)&lt;&gt;"Va"),IF(AND(AM102&lt;&gt;"",LEFT(AG102,2)&lt;&gt;"Va",AM102&lt;&gt;"H. Sale Real"),IF(AM103-AM102&lt;0.208333333333333,AM103-AM102,""),IF(AND(AM101&lt;&gt;"",LEFT(AG101,2)&lt;&gt;"Va",AM101&lt;&gt;"H. Sale Real"),IF(AM103-AM101&lt;0.208333333333333,AM103-AM101,""),IF(AND(AM100&lt;&gt;"",LEFT(AG100,2)&lt;&gt;"Va",AM100&lt;&gt;"H. Sale Real"),IF(AM103-AM100&lt;0.208333333333333,AM103-AM100,""),IF(AND(AM99&lt;&gt;"",LEFT(AG99,2)&lt;&gt;"Va",AM99&lt;&gt;"H. Sale Real"),IF(AM103-AM99&lt;0.208333333333333,AM103-AM99,""),IF(AND(AM98&lt;&gt;"",LEFT(AG98,2)&lt;&gt;"Va",AM98&lt;&gt;"H. Sale Real"),IF(AM103-AM98&lt;0.208333333333333,AM103-AM98,""),""))))),""),"")</f>
        <v/>
      </c>
      <c r="AX102" s="89">
        <f>IF(AK102&lt;&gt;"H. Sale Real",IF(AND(AK103&lt;&gt;"",LEFT(AG103,2)&lt;&gt;"Va"),IF(AND(AK102&lt;&gt;"",LEFT(AG102,2)&lt;&gt;"Va",AK102&lt;&gt;"H. Sale Real"),IF(AK103-AK102&lt;0.208333333333333,AK103-AK102,""),IF(AND(AK101&lt;&gt;"",LEFT(AG101,2)&lt;&gt;"Va",AK101&lt;&gt;"H. Sale Real"),IF(AK103-AK101&lt;0.208333333333333,AK103-AK101,""),IF(AND(AK100&lt;&gt;"",LEFT(AG100,2)&lt;&gt;"NC",AK100&lt;&gt;"H. Sale Real"),IF(AK103-AK100&lt;0.208333333333333,AK103-AK100,""),IF(AND(AK99&lt;&gt;"",LEFT(AG99,2)&lt;&gt;"Va",AK99&lt;&gt;"H. Sale Real"),IF(AK103-AK99&lt;0.208333333333333,AK103-AK99,""),IF(AND(AK98&lt;&gt;"",LEFT(AG98,2)&lt;&gt;"Va",AK98&lt;&gt;"H. Sale Real"),IF(AK103-AK98&lt;0.208333333333333,AK103-AK98,""),""))))),""),"")</f>
        <v/>
      </c>
      <c r="AY102" s="87" t="n"/>
      <c r="AZ102" s="89" t="n"/>
      <c r="BA102" s="87" t="n"/>
      <c r="BB102" s="89" t="n"/>
      <c r="BC102" s="91" t="n"/>
      <c r="BD102" s="122">
        <f>IF(AK102&lt;&gt;"",IF(AND(BD101&lt;&gt;"IE",AT102&lt;&gt;0,AV102&lt;&gt;""),IF(IFERROR((AT102/AV102),0) &lt;=1,IFERROR(AT102/AV102,""),1),""),"")</f>
        <v/>
      </c>
      <c r="BE102" s="93" t="n"/>
      <c r="BF102" s="105" t="n"/>
      <c r="FC102" t="inlineStr">
        <is>
          <t>Diccionario 1</t>
        </is>
      </c>
      <c r="FD102" s="15" t="n">
        <v>1099</v>
      </c>
      <c r="FE102" s="15" t="inlineStr">
        <is>
          <t>D8481788K2PL</t>
        </is>
      </c>
      <c r="FF102" s="15" t="inlineStr">
        <is>
          <t>YV3T7U520KA195431</t>
        </is>
      </c>
      <c r="FG102" s="15" t="inlineStr">
        <is>
          <t>Volvo</t>
        </is>
      </c>
      <c r="FH102" s="15" t="inlineStr">
        <is>
          <t>B8R</t>
        </is>
      </c>
      <c r="FI102" s="15" t="inlineStr">
        <is>
          <t>MARCOPOLO</t>
        </is>
      </c>
      <c r="FJ102" s="15" t="inlineStr">
        <is>
          <t>TORINO</t>
        </is>
      </c>
      <c r="FK102" s="15" t="n">
        <v>2019</v>
      </c>
      <c r="FL102" s="15" t="inlineStr">
        <is>
          <t>B2PAL</t>
        </is>
      </c>
      <c r="FM102" s="15" t="inlineStr">
        <is>
          <t>SAN JOSE</t>
        </is>
      </c>
      <c r="FN102" s="15" t="inlineStr">
        <is>
          <t>San José 030 (José Besa 669)</t>
        </is>
      </c>
      <c r="FO102" s="15" t="inlineStr">
        <is>
          <t>San Bernardo</t>
        </is>
      </c>
      <c r="FP102" t="inlineStr">
        <is>
          <t>B</t>
        </is>
      </c>
      <c r="FS102" s="14" t="inlineStr">
        <is>
          <t>3026 / SFVZ-81|</t>
        </is>
      </c>
      <c r="FT102" t="inlineStr">
        <is>
          <t>SFVZ-81|</t>
        </is>
      </c>
      <c r="FU102" t="inlineStr">
        <is>
          <t>SFVZ-81</t>
        </is>
      </c>
      <c r="FV102">
        <f>VLOOKUP(FU102,FD:FL,9,0)</f>
        <v/>
      </c>
      <c r="HA102" s="35" t="n">
        <v>99</v>
      </c>
      <c r="HB102" s="35" t="n">
        <v>96</v>
      </c>
    </row>
    <row r="103" ht="15.5" customHeight="1">
      <c r="A103" s="10">
        <f>HOUR(G103)+1</f>
        <v/>
      </c>
      <c r="B103" s="7" t="n"/>
      <c r="C103" s="7" t="n"/>
      <c r="D103" s="85">
        <f>IFERROR(
IF(AND(OR(Planilla!B103="C",Planilla!B103="c"), VLOOKUP(E103,FD:FP,13,0)="C"), "OK",IF(AND(OR(Planilla!B103="C",Planilla!B103="c"), OR(VLOOKUP(E103,FD:FP,13,0)="B", VLOOKUP(E103,FD:FP,13,0)="A")), "DEFICIT",IF(
AND(OR(Planilla!B103="B", Planilla!B103="BPAL"), VLOOKUP(E103,FD:FP,13,0)="B"), "OK",IF(AND(OR(Planilla!B103="B", Planilla!B103="BPAL"), VLOOKUP(E103,FD:FP,13,0)="A"), "DEFICIT",IF(AND(OR(Planilla!B103="B", Planilla!B103="BPAL"), VLOOKUP(E103,FD:FP,13,0)="C"), "SOBREOFERTA",IF(AND(Planilla!B103="A", VLOOKUP(E103,FD:FP,13,0)="A"), "OK",IF(
AND(Planilla!B103="A", OR(VLOOKUP(E103,FD:FP,13,0)="B", VLOOKUP(E103,FD:FP,13,0)="C")), "SOBREOFERTA",""
))))))),"")</f>
        <v/>
      </c>
      <c r="E103" s="8" t="n"/>
      <c r="F103" s="86" t="n"/>
      <c r="G103" s="87" t="n"/>
      <c r="H103" s="88">
        <f>IF(I103="","",IF(AND((I103-G103)&gt;=TIME(0,0,0),(I103-G103)&lt;TIME(0,3,0)),"OK",IF(AND((I103-G103)&gt;=TIME(0,3,0),(I103-G103)&lt;TIME(0,5,0)),"RETRASO DE 3-5 MIN",IF(AND((I103-G103)&gt;=TIME(0,5,0),(I103-G103)&lt;TIME(0,10,0)),"RETRASO DE 5-10 MIN",IF((I103-G103)&gt;=TIME(0,10,0),"RETRASO &gt;10 MIN", IF(AND((G103-I103)&gt;=TIME(0,0,0),(G103-I103)&lt;TIME(0,3,0)),"OK",IF((G103-I103)&gt;=TIME(0,3,0),"ADELANTADO")))))))</f>
        <v/>
      </c>
      <c r="I103" s="89" t="n"/>
      <c r="J103" s="89">
        <f>IF(A103&lt;&gt;"",HLOOKUP(VALUE(TEXT(G103,"h:mm:ss")),IF($C$6="Laboral",$FZ$4:$GX$227,IF($C$6="Sábado",$FZ$231:$GX$452,$FZ$456:$GX$656)),VLOOKUP($C$4,$HF$2:$HH$99,3,0)+IF(C$5="Ida",0,1),1),"")</f>
        <v/>
      </c>
      <c r="K103" s="89">
        <f>IF(A104&lt;&gt;A103,AVERAGEIF(A$9:A103,A103,J$9:J103),"")</f>
        <v/>
      </c>
      <c r="L103" s="89">
        <f>IFERROR(IF(A104&lt;&gt;A103,AVERAGEIF(A$9:A103,A103,S$9:S103),""),"")</f>
        <v/>
      </c>
      <c r="M103" s="89">
        <f>IFERROR(IF(A104&lt;&gt;A103,AVERAGEIF(A$9:A103,A103,T$9:T103),""),"")</f>
        <v/>
      </c>
      <c r="N103" s="89">
        <f t="array" ref="N103">IFERROR(IF(A104&lt;&gt;A103,_xlfn.STDEV.P(IF(A$9:A103=A103,T$9:T103)),""),"")</f>
        <v/>
      </c>
      <c r="O103" s="89">
        <f t="array" ref="O103">IFERROR(IF(A104&lt;&gt;A103,_xlfn.STDEV.P(IF(A$9:A103=A103,S$9:S103)),""),"")</f>
        <v/>
      </c>
      <c r="P103" s="90">
        <f>IFERROR(IF(A103&lt;&gt;A104,MAX((((M103*24*60)/2)*(1+POWER((((N103*24*60) / (M103*24*60) )),2))) + ((M103*24*60 )*-0.1 + (K103*0.015)) +1,(((M103*24*60)/2)*(1+POWER((((N103*24*60) / (M103*24*60 ))),2)))),""),"")</f>
        <v/>
      </c>
      <c r="Q103" s="90">
        <f>IF(AND(O103&lt;&gt;"",L103&lt;&gt;""),IF(A103&lt;&gt;A104,((L103*24*60) / 2 ) * (1 + POWER(((O103*24*60) / (L103*24*60)),2)),""),"")</f>
        <v/>
      </c>
      <c r="R103" s="90">
        <f>IF(Q103&lt;&gt;"",MAX(P103,Q103),"")</f>
        <v/>
      </c>
      <c r="S103" s="89">
        <f>IF(I103&lt;&gt;"H. Sale Real",IF(AND(I104&lt;&gt;"",LEFT(C104,2)&lt;&gt;"Va"),IF(AND(I103&lt;&gt;"",LEFT(C103,2)&lt;&gt;"Va",I103&lt;&gt;"H. Sale Real"),IF(I104-I103&lt;0.208333333333333,I104-I103,""),IF(AND(I102&lt;&gt;"",LEFT(C102,2)&lt;&gt;"Va",I102&lt;&gt;"H. Sale Real"),IF(I104-I102&lt;0.208333333333333,I104-I102,""),IF(AND(I101&lt;&gt;"",LEFT(C101,2)&lt;&gt;"Va",I101&lt;&gt;"H. Sale Real"),IF(I104-I101&lt;0.208333333333333,I104-I101,""),IF(AND(I100&lt;&gt;"",LEFT(C100,2)&lt;&gt;"Va",I100&lt;&gt;"H. Sale Real"),IF(I104-I100&lt;0.208333333333333,I104-I100,""),IF(AND(I99&lt;&gt;"",LEFT(C99,2)&lt;&gt;"Va",I99&lt;&gt;"H. Sale Real"),IF(I104-I99&lt;0.208333333333333,I104-I99,""),""))))),""),"")</f>
        <v/>
      </c>
      <c r="T103" s="89">
        <f>IF(G103&lt;&gt;"H. Sale Real",IF(AND(G104&lt;&gt;"",LEFT(C104,2)&lt;&gt;"Va"),IF(AND(G103&lt;&gt;"",LEFT(C103,2)&lt;&gt;"Va",G103&lt;&gt;"H. Sale Real"),IF(G104-G103&lt;0.208333333333333,G104-G103,""),IF(AND(G102&lt;&gt;"",LEFT(C102,2)&lt;&gt;"Va",G102&lt;&gt;"H. Sale Real"),IF(G104-G102&lt;0.208333333333333,G104-G102,""),IF(AND(G101&lt;&gt;"",LEFT(C101,2)&lt;&gt;"Va",G101&lt;&gt;"H. Sale Real"),IF(G104-G101&lt;0.208333333333333,G104-G101,""),IF(AND(G100&lt;&gt;"",LEFT(C100,2)&lt;&gt;"Va",G100&lt;&gt;"H. Sale Real"),IF(G104-G100&lt;0.208333333333333,G104-G100,""),IF(AND(G99&lt;&gt;"",LEFT(C99,2)&lt;&gt;"Va",G99&lt;&gt;"H. Sale Real"),IF(G104-G99&lt;0.208333333333333,G104-G99,""),""))))),""),"")</f>
        <v/>
      </c>
      <c r="U103" s="87" t="n"/>
      <c r="V103" s="89" t="n"/>
      <c r="W103" s="87" t="n"/>
      <c r="X103" s="89" t="n"/>
      <c r="Y103" s="91" t="n"/>
      <c r="Z103" s="122">
        <f>IF(G103&lt;&gt;"",IF(AND(Z102&lt;&gt;"IE",P103&lt;&gt;0,R103&lt;&gt;""),IF(IFERROR((P103/R103),0) &lt;=1,IFERROR(P103/R103,""),1),""),"")</f>
        <v/>
      </c>
      <c r="AA103" s="93" t="n"/>
      <c r="AB103" s="2" t="n"/>
      <c r="AE103" s="10">
        <f>HOUR(AK103)+1</f>
        <v/>
      </c>
      <c r="AF103" s="7" t="n"/>
      <c r="AG103" s="7" t="n"/>
      <c r="AH103" s="86" t="n"/>
      <c r="AI103" s="8" t="n"/>
      <c r="AJ103" s="86" t="n"/>
      <c r="AK103" s="87" t="n"/>
      <c r="AL103" s="88">
        <f>IF(AM103="","",IF(AND((AM103-AK103)&gt;=TIME(0,0,0),(AM103-AK103)&lt;TIME(0,3,0)),"OK",IF(AND((AM103-AK103)&gt;=TIME(0,3,0),(AM103-AK103)&lt;TIME(0,5,0)),"RETRASO DE 3-5 MIN",IF(AND((AM103-AK103)&gt;=TIME(0,5,0),(AM103-AK103)&lt;TIME(0,10,0)),"RETRASO DE 5-10 MIN",IF((AM103-AK103)&gt;=TIME(0,10,0),"RETRASO &gt;10 MIN", IF(AND((AK103-AM103)&gt;=TIME(0,0,0),(AK103-AM103)&lt;TIME(0,3,0)),"OK",IF((AK103-AM103)&gt;=TIME(0,3,0),"ADELANTADO")))))))</f>
        <v/>
      </c>
      <c r="AM103" s="91" t="n"/>
      <c r="AN103" s="89">
        <f>IF(AE103&lt;&gt;"",HLOOKUP(VALUE(TEXT(AK103,"h:mm:ss")),IF($C$6="Laboral",$FZ$4:$GX$227,IF($C$6="Sábado",$FZ$231:$GX$452,$FZ$456:$GX$656)),VLOOKUP($C$4,$HF$2:$HH$99,3,0)+IF(AG$5="Ida",0,1),1),"")</f>
        <v/>
      </c>
      <c r="AO103" s="89">
        <f>IF(AE104&lt;&gt;AE103,AVERAGEIF(AE$9:AE103,AE103,AN$9:AN103),"")</f>
        <v/>
      </c>
      <c r="AP103" s="89">
        <f>IFERROR(IF(AE104&lt;&gt;AE103,AVERAGEIF(AE$9:AE103,AE103,AW$9:AW103),""),"")</f>
        <v/>
      </c>
      <c r="AQ103" s="89">
        <f>IFERROR(IF(AE104&lt;&gt;AE103,AVERAGEIF(AE$9:AE103,AE103,AX$9:AX103),""),"")</f>
        <v/>
      </c>
      <c r="AR103" s="89">
        <f t="array" ref="AR103">IFERROR(IF(AE104&lt;&gt;AE103,_xlfn.STDEV.P(IF(AE$9:AE103=AE103,AX$9:AX103)),""),"")</f>
        <v/>
      </c>
      <c r="AS103" s="89">
        <f t="array" ref="AS103">IFERROR(IF(AE104&lt;&gt;AE103,_xlfn.STDEV.P(IF(AE$9:AE103=AE103,AW$9:AW103)),""),"")</f>
        <v/>
      </c>
      <c r="AT103" s="90">
        <f>IFERROR(IF(AE103&lt;&gt;AE104,MAX((((AQ103*24*60)/2)*(1+POWER((((AR103*24*60) / (AQ103*24*60) )),2))) + ((AQ103*24*60 )*-0.1 + (AO103*0.015)) +1,(((AQ103*24*60)/2)*(1+POWER((((AR103*24*60) / (AQ103*24*60 ))),2)))),""),"")</f>
        <v/>
      </c>
      <c r="AU103" s="90">
        <f>IF(AND(AS103&lt;&gt;"",AP103&lt;&gt;""),IF(AE103&lt;&gt;AE104,((AP103*24*60) / 2 ) * (1 + POWER(((AS103*24*60) / (AP103*24*60)),2)),""),"")</f>
        <v/>
      </c>
      <c r="AV103" s="90">
        <f>IF(AU103&lt;&gt;"",MAX(AT103,AU103),"")</f>
        <v/>
      </c>
      <c r="AW103" s="89">
        <f>IF(AM103&lt;&gt;"H. Sale Real",IF(AND(AM104&lt;&gt;"",LEFT(AG104,2)&lt;&gt;"Va"),IF(AND(AM103&lt;&gt;"",LEFT(AG103,2)&lt;&gt;"Va",AM103&lt;&gt;"H. Sale Real"),IF(AM104-AM103&lt;0.208333333333333,AM104-AM103,""),IF(AND(AM102&lt;&gt;"",LEFT(AG102,2)&lt;&gt;"Va",AM102&lt;&gt;"H. Sale Real"),IF(AM104-AM102&lt;0.208333333333333,AM104-AM102,""),IF(AND(AM101&lt;&gt;"",LEFT(AG101,2)&lt;&gt;"Va",AM101&lt;&gt;"H. Sale Real"),IF(AM104-AM101&lt;0.208333333333333,AM104-AM101,""),IF(AND(AM100&lt;&gt;"",LEFT(AG100,2)&lt;&gt;"Va",AM100&lt;&gt;"H. Sale Real"),IF(AM104-AM100&lt;0.208333333333333,AM104-AM100,""),IF(AND(AM99&lt;&gt;"",LEFT(AG99,2)&lt;&gt;"Va",AM99&lt;&gt;"H. Sale Real"),IF(AM104-AM99&lt;0.208333333333333,AM104-AM99,""),""))))),""),"")</f>
        <v/>
      </c>
      <c r="AX103" s="89">
        <f>IF(AK103&lt;&gt;"H. Sale Real",IF(AND(AK104&lt;&gt;"",LEFT(AG104,2)&lt;&gt;"Va"),IF(AND(AK103&lt;&gt;"",LEFT(AG103,2)&lt;&gt;"Va",AK103&lt;&gt;"H. Sale Real"),IF(AK104-AK103&lt;0.208333333333333,AK104-AK103,""),IF(AND(AK102&lt;&gt;"",LEFT(AG102,2)&lt;&gt;"Va",AK102&lt;&gt;"H. Sale Real"),IF(AK104-AK102&lt;0.208333333333333,AK104-AK102,""),IF(AND(AK101&lt;&gt;"",LEFT(AG101,2)&lt;&gt;"NC",AK101&lt;&gt;"H. Sale Real"),IF(AK104-AK101&lt;0.208333333333333,AK104-AK101,""),IF(AND(AK100&lt;&gt;"",LEFT(AG100,2)&lt;&gt;"Va",AK100&lt;&gt;"H. Sale Real"),IF(AK104-AK100&lt;0.208333333333333,AK104-AK100,""),IF(AND(AK99&lt;&gt;"",LEFT(AG99,2)&lt;&gt;"Va",AK99&lt;&gt;"H. Sale Real"),IF(AK104-AK99&lt;0.208333333333333,AK104-AK99,""),""))))),""),"")</f>
        <v/>
      </c>
      <c r="AY103" s="87" t="n"/>
      <c r="AZ103" s="89" t="n"/>
      <c r="BA103" s="87" t="n"/>
      <c r="BB103" s="89" t="n"/>
      <c r="BC103" s="91" t="n"/>
      <c r="BD103" s="122">
        <f>IF(AK103&lt;&gt;"",IF(AND(BD102&lt;&gt;"IE",AT103&lt;&gt;0,AV103&lt;&gt;""),IF(IFERROR((AT103/AV103),0) &lt;=1,IFERROR(AT103/AV103,""),1),""),"")</f>
        <v/>
      </c>
      <c r="BE103" s="93" t="n"/>
      <c r="BF103" s="105" t="n"/>
      <c r="FC103" t="inlineStr">
        <is>
          <t>Diccionario 1</t>
        </is>
      </c>
      <c r="FD103" s="15" t="n">
        <v>1028</v>
      </c>
      <c r="FE103" s="15" t="inlineStr">
        <is>
          <t>D8483123K2PL</t>
        </is>
      </c>
      <c r="FF103" s="15" t="inlineStr">
        <is>
          <t>YV3T7U525KA195487</t>
        </is>
      </c>
      <c r="FG103" s="15" t="inlineStr">
        <is>
          <t>Volvo</t>
        </is>
      </c>
      <c r="FH103" s="15" t="inlineStr">
        <is>
          <t>B8R</t>
        </is>
      </c>
      <c r="FI103" s="15" t="inlineStr">
        <is>
          <t>MARCOPOLO</t>
        </is>
      </c>
      <c r="FJ103" s="15" t="inlineStr">
        <is>
          <t>TORINO</t>
        </is>
      </c>
      <c r="FK103" s="15" t="n">
        <v>2019</v>
      </c>
      <c r="FL103" s="15" t="inlineStr">
        <is>
          <t>B2PAL</t>
        </is>
      </c>
      <c r="FM103" s="15" t="inlineStr">
        <is>
          <t>SAN JOSE</t>
        </is>
      </c>
      <c r="FN103" s="15" t="inlineStr">
        <is>
          <t>San José 030 (José Besa 669)</t>
        </is>
      </c>
      <c r="FO103" s="15" t="inlineStr">
        <is>
          <t>San Bernardo</t>
        </is>
      </c>
      <c r="FP103" t="inlineStr">
        <is>
          <t>B</t>
        </is>
      </c>
      <c r="FS103" s="14" t="inlineStr">
        <is>
          <t>3026 / SFVZ-81|</t>
        </is>
      </c>
      <c r="FT103" t="inlineStr">
        <is>
          <t>SFVZ-81|</t>
        </is>
      </c>
      <c r="FU103" t="inlineStr">
        <is>
          <t>SFVZ-81</t>
        </is>
      </c>
      <c r="FV103">
        <f>VLOOKUP(FU103,FD:FL,9,0)</f>
        <v/>
      </c>
      <c r="HA103" s="35" t="n">
        <v>100</v>
      </c>
      <c r="HB103" s="35" t="n">
        <v>97</v>
      </c>
    </row>
    <row r="104" ht="15.5" customHeight="1">
      <c r="A104" s="10">
        <f>HOUR(G104)+1</f>
        <v/>
      </c>
      <c r="B104" s="7" t="n"/>
      <c r="C104" s="7" t="n"/>
      <c r="D104" s="85">
        <f>IFERROR(
IF(AND(OR(Planilla!B104="C",Planilla!B104="c"), VLOOKUP(E104,FD:FP,13,0)="C"), "OK",IF(AND(OR(Planilla!B104="C",Planilla!B104="c"), OR(VLOOKUP(E104,FD:FP,13,0)="B", VLOOKUP(E104,FD:FP,13,0)="A")), "DEFICIT",IF(
AND(OR(Planilla!B104="B", Planilla!B104="BPAL"), VLOOKUP(E104,FD:FP,13,0)="B"), "OK",IF(AND(OR(Planilla!B104="B", Planilla!B104="BPAL"), VLOOKUP(E104,FD:FP,13,0)="A"), "DEFICIT",IF(AND(OR(Planilla!B104="B", Planilla!B104="BPAL"), VLOOKUP(E104,FD:FP,13,0)="C"), "SOBREOFERTA",IF(AND(Planilla!B104="A", VLOOKUP(E104,FD:FP,13,0)="A"), "OK",IF(
AND(Planilla!B104="A", OR(VLOOKUP(E104,FD:FP,13,0)="B", VLOOKUP(E104,FD:FP,13,0)="C")), "SOBREOFERTA",""
))))))),"")</f>
        <v/>
      </c>
      <c r="E104" s="8" t="n"/>
      <c r="F104" s="86" t="n"/>
      <c r="G104" s="87" t="n"/>
      <c r="H104" s="88">
        <f>IF(I104="","",IF(AND((I104-G104)&gt;=TIME(0,0,0),(I104-G104)&lt;TIME(0,3,0)),"OK",IF(AND((I104-G104)&gt;=TIME(0,3,0),(I104-G104)&lt;TIME(0,5,0)),"RETRASO DE 3-5 MIN",IF(AND((I104-G104)&gt;=TIME(0,5,0),(I104-G104)&lt;TIME(0,10,0)),"RETRASO DE 5-10 MIN",IF((I104-G104)&gt;=TIME(0,10,0),"RETRASO &gt;10 MIN", IF(AND((G104-I104)&gt;=TIME(0,0,0),(G104-I104)&lt;TIME(0,3,0)),"OK",IF((G104-I104)&gt;=TIME(0,3,0),"ADELANTADO")))))))</f>
        <v/>
      </c>
      <c r="I104" s="89" t="n"/>
      <c r="J104" s="89">
        <f>IF(A104&lt;&gt;"",HLOOKUP(VALUE(TEXT(G104,"h:mm:ss")),IF($C$6="Laboral",$FZ$4:$GX$227,IF($C$6="Sábado",$FZ$231:$GX$452,$FZ$456:$GX$656)),VLOOKUP($C$4,$HF$2:$HH$99,3,0)+IF(C$5="Ida",0,1),1),"")</f>
        <v/>
      </c>
      <c r="K104" s="89">
        <f>IF(A105&lt;&gt;A104,AVERAGEIF(A$9:A104,A104,J$9:J104),"")</f>
        <v/>
      </c>
      <c r="L104" s="89">
        <f>IFERROR(IF(A105&lt;&gt;A104,AVERAGEIF(A$9:A104,A104,S$9:S104),""),"")</f>
        <v/>
      </c>
      <c r="M104" s="89">
        <f>IFERROR(IF(A105&lt;&gt;A104,AVERAGEIF(A$9:A104,A104,T$9:T104),""),"")</f>
        <v/>
      </c>
      <c r="N104" s="89">
        <f t="array" ref="N104">IFERROR(IF(A105&lt;&gt;A104,_xlfn.STDEV.P(IF(A$9:A104=A104,T$9:T104)),""),"")</f>
        <v/>
      </c>
      <c r="O104" s="89">
        <f t="array" ref="O104">IFERROR(IF(A105&lt;&gt;A104,_xlfn.STDEV.P(IF(A$9:A104=A104,S$9:S104)),""),"")</f>
        <v/>
      </c>
      <c r="P104" s="90">
        <f>IFERROR(IF(A104&lt;&gt;A105,MAX((((M104*24*60)/2)*(1+POWER((((N104*24*60) / (M104*24*60) )),2))) + ((M104*24*60 )*-0.1 + (K104*0.015)) +1,(((M104*24*60)/2)*(1+POWER((((N104*24*60) / (M104*24*60 ))),2)))),""),"")</f>
        <v/>
      </c>
      <c r="Q104" s="90">
        <f>IF(AND(O104&lt;&gt;"",L104&lt;&gt;""),IF(A104&lt;&gt;A105,((L104*24*60) / 2 ) * (1 + POWER(((O104*24*60) / (L104*24*60)),2)),""),"")</f>
        <v/>
      </c>
      <c r="R104" s="90">
        <f>IF(Q104&lt;&gt;"",MAX(P104,Q104),"")</f>
        <v/>
      </c>
      <c r="S104" s="89">
        <f>IF(I104&lt;&gt;"H. Sale Real",IF(AND(I105&lt;&gt;"",LEFT(C105,2)&lt;&gt;"Va"),IF(AND(I104&lt;&gt;"",LEFT(C104,2)&lt;&gt;"Va",I104&lt;&gt;"H. Sale Real"),IF(I105-I104&lt;0.208333333333333,I105-I104,""),IF(AND(I103&lt;&gt;"",LEFT(C103,2)&lt;&gt;"Va",I103&lt;&gt;"H. Sale Real"),IF(I105-I103&lt;0.208333333333333,I105-I103,""),IF(AND(I102&lt;&gt;"",LEFT(C102,2)&lt;&gt;"Va",I102&lt;&gt;"H. Sale Real"),IF(I105-I102&lt;0.208333333333333,I105-I102,""),IF(AND(I101&lt;&gt;"",LEFT(C101,2)&lt;&gt;"Va",I101&lt;&gt;"H. Sale Real"),IF(I105-I101&lt;0.208333333333333,I105-I101,""),IF(AND(I100&lt;&gt;"",LEFT(C100,2)&lt;&gt;"Va",I100&lt;&gt;"H. Sale Real"),IF(I105-I100&lt;0.208333333333333,I105-I100,""),""))))),""),"")</f>
        <v/>
      </c>
      <c r="T104" s="89">
        <f>IF(G104&lt;&gt;"H. Sale Real",IF(AND(G105&lt;&gt;"",LEFT(C105,2)&lt;&gt;"Va"),IF(AND(G104&lt;&gt;"",LEFT(C104,2)&lt;&gt;"Va",G104&lt;&gt;"H. Sale Real"),IF(G105-G104&lt;0.208333333333333,G105-G104,""),IF(AND(G103&lt;&gt;"",LEFT(C103,2)&lt;&gt;"Va",G103&lt;&gt;"H. Sale Real"),IF(G105-G103&lt;0.208333333333333,G105-G103,""),IF(AND(G102&lt;&gt;"",LEFT(C102,2)&lt;&gt;"Va",G102&lt;&gt;"H. Sale Real"),IF(G105-G102&lt;0.208333333333333,G105-G102,""),IF(AND(G101&lt;&gt;"",LEFT(C101,2)&lt;&gt;"Va",G101&lt;&gt;"H. Sale Real"),IF(G105-G101&lt;0.208333333333333,G105-G101,""),IF(AND(G100&lt;&gt;"",LEFT(C100,2)&lt;&gt;"Va",G100&lt;&gt;"H. Sale Real"),IF(G105-G100&lt;0.208333333333333,G105-G100,""),""))))),""),"")</f>
        <v/>
      </c>
      <c r="U104" s="87" t="n"/>
      <c r="V104" s="89" t="n"/>
      <c r="W104" s="87" t="n"/>
      <c r="X104" s="89" t="n"/>
      <c r="Y104" s="91" t="n"/>
      <c r="Z104" s="122">
        <f>IF(G104&lt;&gt;"",IF(AND(Z103&lt;&gt;"IE",P104&lt;&gt;0,R104&lt;&gt;""),IF(IFERROR((P104/R104),0) &lt;=1,IFERROR(P104/R104,""),1),""),"")</f>
        <v/>
      </c>
      <c r="AA104" s="93" t="n"/>
      <c r="AB104" s="2" t="n"/>
      <c r="AE104" s="10">
        <f>HOUR(AK104)+1</f>
        <v/>
      </c>
      <c r="AF104" s="7" t="n"/>
      <c r="AG104" s="7" t="n"/>
      <c r="AH104" s="86" t="n"/>
      <c r="AI104" s="8" t="n"/>
      <c r="AJ104" s="86" t="n"/>
      <c r="AK104" s="87" t="n"/>
      <c r="AL104" s="88">
        <f>IF(AM104="","",IF(AND((AM104-AK104)&gt;=TIME(0,0,0),(AM104-AK104)&lt;TIME(0,3,0)),"OK",IF(AND((AM104-AK104)&gt;=TIME(0,3,0),(AM104-AK104)&lt;TIME(0,5,0)),"RETRASO DE 3-5 MIN",IF(AND((AM104-AK104)&gt;=TIME(0,5,0),(AM104-AK104)&lt;TIME(0,10,0)),"RETRASO DE 5-10 MIN",IF((AM104-AK104)&gt;=TIME(0,10,0),"RETRASO &gt;10 MIN", IF(AND((AK104-AM104)&gt;=TIME(0,0,0),(AK104-AM104)&lt;TIME(0,3,0)),"OK",IF((AK104-AM104)&gt;=TIME(0,3,0),"ADELANTADO")))))))</f>
        <v/>
      </c>
      <c r="AM104" s="91" t="n"/>
      <c r="AN104" s="89">
        <f>IF(AE104&lt;&gt;"",HLOOKUP(VALUE(TEXT(AK104,"h:mm:ss")),IF($C$6="Laboral",$FZ$4:$GX$227,IF($C$6="Sábado",$FZ$231:$GX$452,$FZ$456:$GX$656)),VLOOKUP($C$4,$HF$2:$HH$99,3,0)+IF(AG$5="Ida",0,1),1),"")</f>
        <v/>
      </c>
      <c r="AO104" s="89">
        <f>IF(AE105&lt;&gt;AE104,AVERAGEIF(AE$9:AE104,AE104,AN$9:AN104),"")</f>
        <v/>
      </c>
      <c r="AP104" s="89">
        <f>IFERROR(IF(AE105&lt;&gt;AE104,AVERAGEIF(AE$9:AE104,AE104,AW$9:AW104),""),"")</f>
        <v/>
      </c>
      <c r="AQ104" s="89">
        <f>IFERROR(IF(AE105&lt;&gt;AE104,AVERAGEIF(AE$9:AE104,AE104,AX$9:AX104),""),"")</f>
        <v/>
      </c>
      <c r="AR104" s="89">
        <f t="array" ref="AR104">IFERROR(IF(AE105&lt;&gt;AE104,_xlfn.STDEV.P(IF(AE$9:AE104=AE104,AX$9:AX104)),""),"")</f>
        <v/>
      </c>
      <c r="AS104" s="89">
        <f t="array" ref="AS104">IFERROR(IF(AE105&lt;&gt;AE104,_xlfn.STDEV.P(IF(AE$9:AE104=AE104,AW$9:AW104)),""),"")</f>
        <v/>
      </c>
      <c r="AT104" s="90">
        <f>IFERROR(IF(AE104&lt;&gt;AE105,MAX((((AQ104*24*60)/2)*(1+POWER((((AR104*24*60) / (AQ104*24*60) )),2))) + ((AQ104*24*60 )*-0.1 + (AO104*0.015)) +1,(((AQ104*24*60)/2)*(1+POWER((((AR104*24*60) / (AQ104*24*60 ))),2)))),""),"")</f>
        <v/>
      </c>
      <c r="AU104" s="90">
        <f>IF(AND(AS104&lt;&gt;"",AP104&lt;&gt;""),IF(AE104&lt;&gt;AE105,((AP104*24*60) / 2 ) * (1 + POWER(((AS104*24*60) / (AP104*24*60)),2)),""),"")</f>
        <v/>
      </c>
      <c r="AV104" s="90">
        <f>IF(AU104&lt;&gt;"",MAX(AT104,AU104),"")</f>
        <v/>
      </c>
      <c r="AW104" s="89">
        <f>IF(AM104&lt;&gt;"H. Sale Real",IF(AND(AM105&lt;&gt;"",LEFT(AG105,2)&lt;&gt;"Va"),IF(AND(AM104&lt;&gt;"",LEFT(AG104,2)&lt;&gt;"Va",AM104&lt;&gt;"H. Sale Real"),IF(AM105-AM104&lt;0.208333333333333,AM105-AM104,""),IF(AND(AM103&lt;&gt;"",LEFT(AG103,2)&lt;&gt;"Va",AM103&lt;&gt;"H. Sale Real"),IF(AM105-AM103&lt;0.208333333333333,AM105-AM103,""),IF(AND(AM102&lt;&gt;"",LEFT(AG102,2)&lt;&gt;"Va",AM102&lt;&gt;"H. Sale Real"),IF(AM105-AM102&lt;0.208333333333333,AM105-AM102,""),IF(AND(AM101&lt;&gt;"",LEFT(AG101,2)&lt;&gt;"Va",AM101&lt;&gt;"H. Sale Real"),IF(AM105-AM101&lt;0.208333333333333,AM105-AM101,""),IF(AND(AM100&lt;&gt;"",LEFT(AG100,2)&lt;&gt;"Va",AM100&lt;&gt;"H. Sale Real"),IF(AM105-AM100&lt;0.208333333333333,AM105-AM100,""),""))))),""),"")</f>
        <v/>
      </c>
      <c r="AX104" s="89">
        <f>IF(AK104&lt;&gt;"H. Sale Real",IF(AND(AK105&lt;&gt;"",LEFT(AG105,2)&lt;&gt;"Va"),IF(AND(AK104&lt;&gt;"",LEFT(AG104,2)&lt;&gt;"Va",AK104&lt;&gt;"H. Sale Real"),IF(AK105-AK104&lt;0.208333333333333,AK105-AK104,""),IF(AND(AK103&lt;&gt;"",LEFT(AG103,2)&lt;&gt;"Va",AK103&lt;&gt;"H. Sale Real"),IF(AK105-AK103&lt;0.208333333333333,AK105-AK103,""),IF(AND(AK102&lt;&gt;"",LEFT(AG102,2)&lt;&gt;"NC",AK102&lt;&gt;"H. Sale Real"),IF(AK105-AK102&lt;0.208333333333333,AK105-AK102,""),IF(AND(AK101&lt;&gt;"",LEFT(AG101,2)&lt;&gt;"Va",AK101&lt;&gt;"H. Sale Real"),IF(AK105-AK101&lt;0.208333333333333,AK105-AK101,""),IF(AND(AK100&lt;&gt;"",LEFT(AG100,2)&lt;&gt;"Va",AK100&lt;&gt;"H. Sale Real"),IF(AK105-AK100&lt;0.208333333333333,AK105-AK100,""),""))))),""),"")</f>
        <v/>
      </c>
      <c r="AY104" s="87" t="n"/>
      <c r="AZ104" s="89" t="n"/>
      <c r="BA104" s="87" t="n"/>
      <c r="BB104" s="89" t="n"/>
      <c r="BC104" s="91" t="n"/>
      <c r="BD104" s="122">
        <f>IF(AK104&lt;&gt;"",IF(AND(BD103&lt;&gt;"IE",AT104&lt;&gt;0,AV104&lt;&gt;""),IF(IFERROR((AT104/AV104),0) &lt;=1,IFERROR(AT104/AV104,""),1),""),"")</f>
        <v/>
      </c>
      <c r="BE104" s="93" t="n"/>
      <c r="BF104" s="105" t="n"/>
      <c r="FC104" t="inlineStr">
        <is>
          <t>Diccionario 1</t>
        </is>
      </c>
      <c r="FD104" s="15" t="n">
        <v>1101</v>
      </c>
      <c r="FE104" s="15" t="inlineStr">
        <is>
          <t>D8483090K2PL</t>
        </is>
      </c>
      <c r="FF104" s="15" t="inlineStr">
        <is>
          <t>YV3T7U527KA195488</t>
        </is>
      </c>
      <c r="FG104" s="15" t="inlineStr">
        <is>
          <t>Volvo</t>
        </is>
      </c>
      <c r="FH104" s="15" t="inlineStr">
        <is>
          <t>B8R</t>
        </is>
      </c>
      <c r="FI104" s="15" t="inlineStr">
        <is>
          <t>MARCOPOLO</t>
        </is>
      </c>
      <c r="FJ104" s="15" t="inlineStr">
        <is>
          <t>TORINO</t>
        </is>
      </c>
      <c r="FK104" s="15" t="n">
        <v>2019</v>
      </c>
      <c r="FL104" s="15" t="inlineStr">
        <is>
          <t>B2PAL</t>
        </is>
      </c>
      <c r="FM104" s="15" t="inlineStr">
        <is>
          <t>SAN JOSE</t>
        </is>
      </c>
      <c r="FN104" s="15" t="inlineStr">
        <is>
          <t>San José 030 (José Besa 669)</t>
        </is>
      </c>
      <c r="FO104" s="15" t="inlineStr">
        <is>
          <t>San Bernardo</t>
        </is>
      </c>
      <c r="FP104" t="inlineStr">
        <is>
          <t>B</t>
        </is>
      </c>
      <c r="FS104" s="14" t="inlineStr">
        <is>
          <t>3026 / SFVZ-81|</t>
        </is>
      </c>
      <c r="FT104" t="inlineStr">
        <is>
          <t>SFVZ-81|</t>
        </is>
      </c>
      <c r="FU104" t="inlineStr">
        <is>
          <t>SFVZ-81</t>
        </is>
      </c>
      <c r="FV104">
        <f>VLOOKUP(FU104,FD:FL,9,0)</f>
        <v/>
      </c>
      <c r="HA104" s="35" t="n">
        <v>101</v>
      </c>
      <c r="HB104" s="35" t="n">
        <v>98</v>
      </c>
    </row>
    <row r="105" ht="15.5" customHeight="1">
      <c r="A105" s="10">
        <f>HOUR(G105)+1</f>
        <v/>
      </c>
      <c r="B105" s="7" t="n"/>
      <c r="C105" s="7" t="n"/>
      <c r="D105" s="85">
        <f>IFERROR(
IF(AND(OR(Planilla!B105="C",Planilla!B105="c"), VLOOKUP(E105,FD:FP,13,0)="C"), "OK",IF(AND(OR(Planilla!B105="C",Planilla!B105="c"), OR(VLOOKUP(E105,FD:FP,13,0)="B", VLOOKUP(E105,FD:FP,13,0)="A")), "DEFICIT",IF(
AND(OR(Planilla!B105="B", Planilla!B105="BPAL"), VLOOKUP(E105,FD:FP,13,0)="B"), "OK",IF(AND(OR(Planilla!B105="B", Planilla!B105="BPAL"), VLOOKUP(E105,FD:FP,13,0)="A"), "DEFICIT",IF(AND(OR(Planilla!B105="B", Planilla!B105="BPAL"), VLOOKUP(E105,FD:FP,13,0)="C"), "SOBREOFERTA",IF(AND(Planilla!B105="A", VLOOKUP(E105,FD:FP,13,0)="A"), "OK",IF(
AND(Planilla!B105="A", OR(VLOOKUP(E105,FD:FP,13,0)="B", VLOOKUP(E105,FD:FP,13,0)="C")), "SOBREOFERTA",""
))))))),"")</f>
        <v/>
      </c>
      <c r="E105" s="8" t="n"/>
      <c r="F105" s="86" t="n"/>
      <c r="G105" s="87" t="n"/>
      <c r="H105" s="88">
        <f>IF(I105="","",IF(AND((I105-G105)&gt;=TIME(0,0,0),(I105-G105)&lt;TIME(0,3,0)),"OK",IF(AND((I105-G105)&gt;=TIME(0,3,0),(I105-G105)&lt;TIME(0,5,0)),"RETRASO DE 3-5 MIN",IF(AND((I105-G105)&gt;=TIME(0,5,0),(I105-G105)&lt;TIME(0,10,0)),"RETRASO DE 5-10 MIN",IF((I105-G105)&gt;=TIME(0,10,0),"RETRASO &gt;10 MIN", IF(AND((G105-I105)&gt;=TIME(0,0,0),(G105-I105)&lt;TIME(0,3,0)),"OK",IF((G105-I105)&gt;=TIME(0,3,0),"ADELANTADO")))))))</f>
        <v/>
      </c>
      <c r="I105" s="89" t="n"/>
      <c r="J105" s="89">
        <f>IF(A105&lt;&gt;"",HLOOKUP(VALUE(TEXT(G105,"h:mm:ss")),IF($C$6="Laboral",$FZ$4:$GX$227,IF($C$6="Sábado",$FZ$231:$GX$452,$FZ$456:$GX$656)),VLOOKUP($C$4,$HF$2:$HH$99,3,0)+IF(C$5="Ida",0,1),1),"")</f>
        <v/>
      </c>
      <c r="K105" s="89">
        <f>IF(A106&lt;&gt;A105,AVERAGEIF(A$9:A105,A105,J$9:J105),"")</f>
        <v/>
      </c>
      <c r="L105" s="89">
        <f>IFERROR(IF(A106&lt;&gt;A105,AVERAGEIF(A$9:A105,A105,S$9:S105),""),"")</f>
        <v/>
      </c>
      <c r="M105" s="89">
        <f>IFERROR(IF(A106&lt;&gt;A105,AVERAGEIF(A$9:A105,A105,T$9:T105),""),"")</f>
        <v/>
      </c>
      <c r="N105" s="89">
        <f t="array" ref="N105">IFERROR(IF(A106&lt;&gt;A105,_xlfn.STDEV.P(IF(A$9:A105=A105,T$9:T105)),""),"")</f>
        <v/>
      </c>
      <c r="O105" s="89">
        <f t="array" ref="O105">IFERROR(IF(A106&lt;&gt;A105,_xlfn.STDEV.P(IF(A$9:A105=A105,S$9:S105)),""),"")</f>
        <v/>
      </c>
      <c r="P105" s="90">
        <f>IFERROR(IF(A105&lt;&gt;A106,MAX((((M105*24*60)/2)*(1+POWER((((N105*24*60) / (M105*24*60) )),2))) + ((M105*24*60 )*-0.1 + (K105*0.015)) +1,(((M105*24*60)/2)*(1+POWER((((N105*24*60) / (M105*24*60 ))),2)))),""),"")</f>
        <v/>
      </c>
      <c r="Q105" s="90">
        <f>IF(AND(O105&lt;&gt;"",L105&lt;&gt;""),IF(A105&lt;&gt;A106,((L105*24*60) / 2 ) * (1 + POWER(((O105*24*60) / (L105*24*60)),2)),""),"")</f>
        <v/>
      </c>
      <c r="R105" s="90">
        <f>IF(Q105&lt;&gt;"",MAX(P105,Q105),"")</f>
        <v/>
      </c>
      <c r="S105" s="89">
        <f>IF(I105&lt;&gt;"H. Sale Real",IF(AND(I106&lt;&gt;"",LEFT(C106,2)&lt;&gt;"Va"),IF(AND(I105&lt;&gt;"",LEFT(C105,2)&lt;&gt;"Va",I105&lt;&gt;"H. Sale Real"),IF(I106-I105&lt;0.208333333333333,I106-I105,""),IF(AND(I104&lt;&gt;"",LEFT(C104,2)&lt;&gt;"Va",I104&lt;&gt;"H. Sale Real"),IF(I106-I104&lt;0.208333333333333,I106-I104,""),IF(AND(I103&lt;&gt;"",LEFT(C103,2)&lt;&gt;"Va",I103&lt;&gt;"H. Sale Real"),IF(I106-I103&lt;0.208333333333333,I106-I103,""),IF(AND(I102&lt;&gt;"",LEFT(C102,2)&lt;&gt;"Va",I102&lt;&gt;"H. Sale Real"),IF(I106-I102&lt;0.208333333333333,I106-I102,""),IF(AND(I101&lt;&gt;"",LEFT(C101,2)&lt;&gt;"Va",I101&lt;&gt;"H. Sale Real"),IF(I106-I101&lt;0.208333333333333,I106-I101,""),""))))),""),"")</f>
        <v/>
      </c>
      <c r="T105" s="89">
        <f>IF(G105&lt;&gt;"H. Sale Real",IF(AND(G106&lt;&gt;"",LEFT(C106,2)&lt;&gt;"Va"),IF(AND(G105&lt;&gt;"",LEFT(C105,2)&lt;&gt;"Va",G105&lt;&gt;"H. Sale Real"),IF(G106-G105&lt;0.208333333333333,G106-G105,""),IF(AND(G104&lt;&gt;"",LEFT(C104,2)&lt;&gt;"Va",G104&lt;&gt;"H. Sale Real"),IF(G106-G104&lt;0.208333333333333,G106-G104,""),IF(AND(G103&lt;&gt;"",LEFT(C103,2)&lt;&gt;"Va",G103&lt;&gt;"H. Sale Real"),IF(G106-G103&lt;0.208333333333333,G106-G103,""),IF(AND(G102&lt;&gt;"",LEFT(C102,2)&lt;&gt;"Va",G102&lt;&gt;"H. Sale Real"),IF(G106-G102&lt;0.208333333333333,G106-G102,""),IF(AND(G101&lt;&gt;"",LEFT(C101,2)&lt;&gt;"Va",G101&lt;&gt;"H. Sale Real"),IF(G106-G101&lt;0.208333333333333,G106-G101,""),""))))),""),"")</f>
        <v/>
      </c>
      <c r="U105" s="87" t="n"/>
      <c r="V105" s="89" t="n"/>
      <c r="W105" s="87" t="n"/>
      <c r="X105" s="89" t="n"/>
      <c r="Y105" s="91" t="n"/>
      <c r="Z105" s="122">
        <f>IF(G105&lt;&gt;"",IF(AND(Z104&lt;&gt;"IE",P105&lt;&gt;0,R105&lt;&gt;""),IF(IFERROR((P105/R105),0) &lt;=1,IFERROR(P105/R105,""),1),""),"")</f>
        <v/>
      </c>
      <c r="AA105" s="93" t="n"/>
      <c r="AB105" s="2" t="n"/>
      <c r="AE105" s="10">
        <f>HOUR(AK105)+1</f>
        <v/>
      </c>
      <c r="AF105" s="7" t="n"/>
      <c r="AG105" s="7" t="n"/>
      <c r="AH105" s="86" t="n"/>
      <c r="AI105" s="8" t="n"/>
      <c r="AJ105" s="86" t="n"/>
      <c r="AK105" s="87" t="n"/>
      <c r="AL105" s="88">
        <f>IF(AM105="","",IF(AND((AM105-AK105)&gt;=TIME(0,0,0),(AM105-AK105)&lt;TIME(0,3,0)),"OK",IF(AND((AM105-AK105)&gt;=TIME(0,3,0),(AM105-AK105)&lt;TIME(0,5,0)),"RETRASO DE 3-5 MIN",IF(AND((AM105-AK105)&gt;=TIME(0,5,0),(AM105-AK105)&lt;TIME(0,10,0)),"RETRASO DE 5-10 MIN",IF((AM105-AK105)&gt;=TIME(0,10,0),"RETRASO &gt;10 MIN", IF(AND((AK105-AM105)&gt;=TIME(0,0,0),(AK105-AM105)&lt;TIME(0,3,0)),"OK",IF((AK105-AM105)&gt;=TIME(0,3,0),"ADELANTADO")))))))</f>
        <v/>
      </c>
      <c r="AM105" s="91" t="n"/>
      <c r="AN105" s="89">
        <f>IF(AE105&lt;&gt;"",HLOOKUP(VALUE(TEXT(AK105,"h:mm:ss")),IF($C$6="Laboral",$FZ$4:$GX$227,IF($C$6="Sábado",$FZ$231:$GX$452,$FZ$456:$GX$656)),VLOOKUP($C$4,$HF$2:$HH$99,3,0)+IF(AG$5="Ida",0,1),1),"")</f>
        <v/>
      </c>
      <c r="AO105" s="89">
        <f>IF(AE106&lt;&gt;AE105,AVERAGEIF(AE$9:AE105,AE105,AN$9:AN105),"")</f>
        <v/>
      </c>
      <c r="AP105" s="89">
        <f>IFERROR(IF(AE106&lt;&gt;AE105,AVERAGEIF(AE$9:AE105,AE105,AW$9:AW105),""),"")</f>
        <v/>
      </c>
      <c r="AQ105" s="89">
        <f>IFERROR(IF(AE106&lt;&gt;AE105,AVERAGEIF(AE$9:AE105,AE105,AX$9:AX105),""),"")</f>
        <v/>
      </c>
      <c r="AR105" s="89">
        <f t="array" ref="AR105">IFERROR(IF(AE106&lt;&gt;AE105,_xlfn.STDEV.P(IF(AE$9:AE105=AE105,AX$9:AX105)),""),"")</f>
        <v/>
      </c>
      <c r="AS105" s="89">
        <f t="array" ref="AS105">IFERROR(IF(AE106&lt;&gt;AE105,_xlfn.STDEV.P(IF(AE$9:AE105=AE105,AW$9:AW105)),""),"")</f>
        <v/>
      </c>
      <c r="AT105" s="90">
        <f>IFERROR(IF(AE105&lt;&gt;AE106,MAX((((AQ105*24*60)/2)*(1+POWER((((AR105*24*60) / (AQ105*24*60) )),2))) + ((AQ105*24*60 )*-0.1 + (AO105*0.015)) +1,(((AQ105*24*60)/2)*(1+POWER((((AR105*24*60) / (AQ105*24*60 ))),2)))),""),"")</f>
        <v/>
      </c>
      <c r="AU105" s="90">
        <f>IF(AND(AS105&lt;&gt;"",AP105&lt;&gt;""),IF(AE105&lt;&gt;AE106,((AP105*24*60) / 2 ) * (1 + POWER(((AS105*24*60) / (AP105*24*60)),2)),""),"")</f>
        <v/>
      </c>
      <c r="AV105" s="90">
        <f>IF(AU105&lt;&gt;"",MAX(AT105,AU105),"")</f>
        <v/>
      </c>
      <c r="AW105" s="89">
        <f>IF(AM105&lt;&gt;"H. Sale Real",IF(AND(AM106&lt;&gt;"",LEFT(AG106,2)&lt;&gt;"Va"),IF(AND(AM105&lt;&gt;"",LEFT(AG105,2)&lt;&gt;"Va",AM105&lt;&gt;"H. Sale Real"),IF(AM106-AM105&lt;0.208333333333333,AM106-AM105,""),IF(AND(AM104&lt;&gt;"",LEFT(AG104,2)&lt;&gt;"Va",AM104&lt;&gt;"H. Sale Real"),IF(AM106-AM104&lt;0.208333333333333,AM106-AM104,""),IF(AND(AM103&lt;&gt;"",LEFT(AG103,2)&lt;&gt;"Va",AM103&lt;&gt;"H. Sale Real"),IF(AM106-AM103&lt;0.208333333333333,AM106-AM103,""),IF(AND(AM102&lt;&gt;"",LEFT(AG102,2)&lt;&gt;"Va",AM102&lt;&gt;"H. Sale Real"),IF(AM106-AM102&lt;0.208333333333333,AM106-AM102,""),IF(AND(AM101&lt;&gt;"",LEFT(AG101,2)&lt;&gt;"Va",AM101&lt;&gt;"H. Sale Real"),IF(AM106-AM101&lt;0.208333333333333,AM106-AM101,""),""))))),""),"")</f>
        <v/>
      </c>
      <c r="AX105" s="89">
        <f>IF(AK105&lt;&gt;"H. Sale Real",IF(AND(AK106&lt;&gt;"",LEFT(AG106,2)&lt;&gt;"Va"),IF(AND(AK105&lt;&gt;"",LEFT(AG105,2)&lt;&gt;"Va",AK105&lt;&gt;"H. Sale Real"),IF(AK106-AK105&lt;0.208333333333333,AK106-AK105,""),IF(AND(AK104&lt;&gt;"",LEFT(AG104,2)&lt;&gt;"Va",AK104&lt;&gt;"H. Sale Real"),IF(AK106-AK104&lt;0.208333333333333,AK106-AK104,""),IF(AND(AK103&lt;&gt;"",LEFT(AG103,2)&lt;&gt;"NC",AK103&lt;&gt;"H. Sale Real"),IF(AK106-AK103&lt;0.208333333333333,AK106-AK103,""),IF(AND(AK102&lt;&gt;"",LEFT(AG102,2)&lt;&gt;"Va",AK102&lt;&gt;"H. Sale Real"),IF(AK106-AK102&lt;0.208333333333333,AK106-AK102,""),IF(AND(AK101&lt;&gt;"",LEFT(AG101,2)&lt;&gt;"Va",AK101&lt;&gt;"H. Sale Real"),IF(AK106-AK101&lt;0.208333333333333,AK106-AK101,""),""))))),""),"")</f>
        <v/>
      </c>
      <c r="AY105" s="87" t="n"/>
      <c r="AZ105" s="89" t="n"/>
      <c r="BA105" s="87" t="n"/>
      <c r="BB105" s="89" t="n"/>
      <c r="BC105" s="91" t="n"/>
      <c r="BD105" s="122">
        <f>IF(AK105&lt;&gt;"",IF(AND(BD104&lt;&gt;"IE",AT105&lt;&gt;0,AV105&lt;&gt;""),IF(IFERROR((AT105/AV105),0) &lt;=1,IFERROR(AT105/AV105,""),1),""),"")</f>
        <v/>
      </c>
      <c r="BE105" s="93" t="n"/>
      <c r="BF105" s="105" t="n"/>
      <c r="FC105" t="inlineStr">
        <is>
          <t>Diccionario 1</t>
        </is>
      </c>
      <c r="FD105" s="15" t="n">
        <v>1102</v>
      </c>
      <c r="FE105" s="15" t="inlineStr">
        <is>
          <t>D8483468K2PL</t>
        </is>
      </c>
      <c r="FF105" s="15" t="inlineStr">
        <is>
          <t>YV3T7U525KA195571</t>
        </is>
      </c>
      <c r="FG105" s="15" t="inlineStr">
        <is>
          <t>Volvo</t>
        </is>
      </c>
      <c r="FH105" s="15" t="inlineStr">
        <is>
          <t>B8R</t>
        </is>
      </c>
      <c r="FI105" s="15" t="inlineStr">
        <is>
          <t>MARCOPOLO</t>
        </is>
      </c>
      <c r="FJ105" s="15" t="inlineStr">
        <is>
          <t>TORINO</t>
        </is>
      </c>
      <c r="FK105" s="15" t="n">
        <v>2019</v>
      </c>
      <c r="FL105" s="15" t="inlineStr">
        <is>
          <t>B2PAL</t>
        </is>
      </c>
      <c r="FM105" s="15" t="inlineStr">
        <is>
          <t>SAN JOSE</t>
        </is>
      </c>
      <c r="FN105" s="15" t="inlineStr">
        <is>
          <t>San José 030 (José Besa 669)</t>
        </is>
      </c>
      <c r="FO105" s="15" t="inlineStr">
        <is>
          <t>San Bernardo</t>
        </is>
      </c>
      <c r="FP105" t="inlineStr">
        <is>
          <t>B</t>
        </is>
      </c>
      <c r="FS105" s="14" t="inlineStr">
        <is>
          <t>3026 / SFVZ-81|</t>
        </is>
      </c>
      <c r="FT105" t="inlineStr">
        <is>
          <t>SFVZ-81|</t>
        </is>
      </c>
      <c r="FU105" t="inlineStr">
        <is>
          <t>SFVZ-81</t>
        </is>
      </c>
      <c r="FV105">
        <f>VLOOKUP(FU105,FD:FL,9,0)</f>
        <v/>
      </c>
      <c r="HA105" s="35" t="n">
        <v>102</v>
      </c>
      <c r="HB105" s="35" t="n">
        <v>99</v>
      </c>
    </row>
    <row r="106" ht="15.5" customHeight="1">
      <c r="A106" s="10">
        <f>HOUR(G106)+1</f>
        <v/>
      </c>
      <c r="B106" s="7" t="n"/>
      <c r="C106" s="7" t="n"/>
      <c r="D106" s="85">
        <f>IFERROR(
IF(AND(OR(Planilla!B106="C",Planilla!B106="c"), VLOOKUP(E106,FD:FP,13,0)="C"), "OK",IF(AND(OR(Planilla!B106="C",Planilla!B106="c"), OR(VLOOKUP(E106,FD:FP,13,0)="B", VLOOKUP(E106,FD:FP,13,0)="A")), "DEFICIT",IF(
AND(OR(Planilla!B106="B", Planilla!B106="BPAL"), VLOOKUP(E106,FD:FP,13,0)="B"), "OK",IF(AND(OR(Planilla!B106="B", Planilla!B106="BPAL"), VLOOKUP(E106,FD:FP,13,0)="A"), "DEFICIT",IF(AND(OR(Planilla!B106="B", Planilla!B106="BPAL"), VLOOKUP(E106,FD:FP,13,0)="C"), "SOBREOFERTA",IF(AND(Planilla!B106="A", VLOOKUP(E106,FD:FP,13,0)="A"), "OK",IF(
AND(Planilla!B106="A", OR(VLOOKUP(E106,FD:FP,13,0)="B", VLOOKUP(E106,FD:FP,13,0)="C")), "SOBREOFERTA",""
))))))),"")</f>
        <v/>
      </c>
      <c r="E106" s="8" t="n"/>
      <c r="F106" s="86" t="n"/>
      <c r="G106" s="87" t="n"/>
      <c r="H106" s="88">
        <f>IF(I106="","",IF(AND((I106-G106)&gt;=TIME(0,0,0),(I106-G106)&lt;TIME(0,3,0)),"OK",IF(AND((I106-G106)&gt;=TIME(0,3,0),(I106-G106)&lt;TIME(0,5,0)),"RETRASO DE 3-5 MIN",IF(AND((I106-G106)&gt;=TIME(0,5,0),(I106-G106)&lt;TIME(0,10,0)),"RETRASO DE 5-10 MIN",IF((I106-G106)&gt;=TIME(0,10,0),"RETRASO &gt;10 MIN", IF(AND((G106-I106)&gt;=TIME(0,0,0),(G106-I106)&lt;TIME(0,3,0)),"OK",IF((G106-I106)&gt;=TIME(0,3,0),"ADELANTADO")))))))</f>
        <v/>
      </c>
      <c r="I106" s="89" t="n"/>
      <c r="J106" s="89">
        <f>IF(A106&lt;&gt;"",HLOOKUP(VALUE(TEXT(G106,"h:mm:ss")),IF($C$6="Laboral",$FZ$4:$GX$227,IF($C$6="Sábado",$FZ$231:$GX$452,$FZ$456:$GX$656)),VLOOKUP($C$4,$HF$2:$HH$99,3,0)+IF(C$5="Ida",0,1),1),"")</f>
        <v/>
      </c>
      <c r="K106" s="89">
        <f>IF(A107&lt;&gt;A106,AVERAGEIF(A$9:A106,A106,J$9:J106),"")</f>
        <v/>
      </c>
      <c r="L106" s="89">
        <f>IFERROR(IF(A107&lt;&gt;A106,AVERAGEIF(A$9:A106,A106,S$9:S106),""),"")</f>
        <v/>
      </c>
      <c r="M106" s="89">
        <f>IFERROR(IF(A107&lt;&gt;A106,AVERAGEIF(A$9:A106,A106,T$9:T106),""),"")</f>
        <v/>
      </c>
      <c r="N106" s="89">
        <f t="array" ref="N106">IFERROR(IF(A107&lt;&gt;A106,_xlfn.STDEV.P(IF(A$9:A106=A106,T$9:T106)),""),"")</f>
        <v/>
      </c>
      <c r="O106" s="89">
        <f t="array" ref="O106">IFERROR(IF(A107&lt;&gt;A106,_xlfn.STDEV.P(IF(A$9:A106=A106,S$9:S106)),""),"")</f>
        <v/>
      </c>
      <c r="P106" s="90">
        <f>IFERROR(IF(A106&lt;&gt;A107,MAX((((M106*24*60)/2)*(1+POWER((((N106*24*60) / (M106*24*60) )),2))) + ((M106*24*60 )*-0.1 + (K106*0.015)) +1,(((M106*24*60)/2)*(1+POWER((((N106*24*60) / (M106*24*60 ))),2)))),""),"")</f>
        <v/>
      </c>
      <c r="Q106" s="90">
        <f>IF(AND(O106&lt;&gt;"",L106&lt;&gt;""),IF(A106&lt;&gt;A107,((L106*24*60) / 2 ) * (1 + POWER(((O106*24*60) / (L106*24*60)),2)),""),"")</f>
        <v/>
      </c>
      <c r="R106" s="90">
        <f>IF(Q106&lt;&gt;"",MAX(P106,Q106),"")</f>
        <v/>
      </c>
      <c r="S106" s="89">
        <f>IF(I106&lt;&gt;"H. Sale Real",IF(AND(I107&lt;&gt;"",LEFT(C107,2)&lt;&gt;"Va"),IF(AND(I106&lt;&gt;"",LEFT(C106,2)&lt;&gt;"Va",I106&lt;&gt;"H. Sale Real"),IF(I107-I106&lt;0.208333333333333,I107-I106,""),IF(AND(I105&lt;&gt;"",LEFT(C105,2)&lt;&gt;"Va",I105&lt;&gt;"H. Sale Real"),IF(I107-I105&lt;0.208333333333333,I107-I105,""),IF(AND(I104&lt;&gt;"",LEFT(C104,2)&lt;&gt;"Va",I104&lt;&gt;"H. Sale Real"),IF(I107-I104&lt;0.208333333333333,I107-I104,""),IF(AND(I103&lt;&gt;"",LEFT(C103,2)&lt;&gt;"Va",I103&lt;&gt;"H. Sale Real"),IF(I107-I103&lt;0.208333333333333,I107-I103,""),IF(AND(I102&lt;&gt;"",LEFT(C102,2)&lt;&gt;"Va",I102&lt;&gt;"H. Sale Real"),IF(I107-I102&lt;0.208333333333333,I107-I102,""),""))))),""),"")</f>
        <v/>
      </c>
      <c r="T106" s="89">
        <f>IF(G106&lt;&gt;"H. Sale Real",IF(AND(G107&lt;&gt;"",LEFT(C107,2)&lt;&gt;"Va"),IF(AND(G106&lt;&gt;"",LEFT(C106,2)&lt;&gt;"Va",G106&lt;&gt;"H. Sale Real"),IF(G107-G106&lt;0.208333333333333,G107-G106,""),IF(AND(G105&lt;&gt;"",LEFT(C105,2)&lt;&gt;"Va",G105&lt;&gt;"H. Sale Real"),IF(G107-G105&lt;0.208333333333333,G107-G105,""),IF(AND(G104&lt;&gt;"",LEFT(C104,2)&lt;&gt;"Va",G104&lt;&gt;"H. Sale Real"),IF(G107-G104&lt;0.208333333333333,G107-G104,""),IF(AND(G103&lt;&gt;"",LEFT(C103,2)&lt;&gt;"Va",G103&lt;&gt;"H. Sale Real"),IF(G107-G103&lt;0.208333333333333,G107-G103,""),IF(AND(G102&lt;&gt;"",LEFT(C102,2)&lt;&gt;"Va",G102&lt;&gt;"H. Sale Real"),IF(G107-G102&lt;0.208333333333333,G107-G102,""),""))))),""),"")</f>
        <v/>
      </c>
      <c r="U106" s="87" t="n"/>
      <c r="V106" s="89" t="n"/>
      <c r="W106" s="87" t="n"/>
      <c r="X106" s="89" t="n"/>
      <c r="Y106" s="91" t="n"/>
      <c r="Z106" s="122">
        <f>IF(G106&lt;&gt;"",IF(AND(Z105&lt;&gt;"IE",P106&lt;&gt;0,R106&lt;&gt;""),IF(IFERROR((P106/R106),0) &lt;=1,IFERROR(P106/R106,""),1),""),"")</f>
        <v/>
      </c>
      <c r="AA106" s="93" t="n"/>
      <c r="AB106" s="2" t="n"/>
      <c r="AE106" s="10">
        <f>HOUR(AK106)+1</f>
        <v/>
      </c>
      <c r="AF106" s="7" t="n"/>
      <c r="AG106" s="7" t="n"/>
      <c r="AH106" s="86" t="n"/>
      <c r="AI106" s="8" t="n"/>
      <c r="AJ106" s="86" t="n"/>
      <c r="AK106" s="87" t="n"/>
      <c r="AL106" s="88">
        <f>IF(AM106="","",IF(AND((AM106-AK106)&gt;=TIME(0,0,0),(AM106-AK106)&lt;TIME(0,3,0)),"OK",IF(AND((AM106-AK106)&gt;=TIME(0,3,0),(AM106-AK106)&lt;TIME(0,5,0)),"RETRASO DE 3-5 MIN",IF(AND((AM106-AK106)&gt;=TIME(0,5,0),(AM106-AK106)&lt;TIME(0,10,0)),"RETRASO DE 5-10 MIN",IF((AM106-AK106)&gt;=TIME(0,10,0),"RETRASO &gt;10 MIN", IF(AND((AK106-AM106)&gt;=TIME(0,0,0),(AK106-AM106)&lt;TIME(0,3,0)),"OK",IF((AK106-AM106)&gt;=TIME(0,3,0),"ADELANTADO")))))))</f>
        <v/>
      </c>
      <c r="AM106" s="91" t="n"/>
      <c r="AN106" s="89">
        <f>IF(AE106&lt;&gt;"",HLOOKUP(VALUE(TEXT(AK106,"h:mm:ss")),IF($C$6="Laboral",$FZ$4:$GX$227,IF($C$6="Sábado",$FZ$231:$GX$452,$FZ$456:$GX$656)),VLOOKUP($C$4,$HF$2:$HH$99,3,0)+IF(AG$5="Ida",0,1),1),"")</f>
        <v/>
      </c>
      <c r="AO106" s="89">
        <f>IF(AE107&lt;&gt;AE106,AVERAGEIF(AE$9:AE106,AE106,AN$9:AN106),"")</f>
        <v/>
      </c>
      <c r="AP106" s="89">
        <f>IFERROR(IF(AE107&lt;&gt;AE106,AVERAGEIF(AE$9:AE106,AE106,AW$9:AW106),""),"")</f>
        <v/>
      </c>
      <c r="AQ106" s="89">
        <f>IFERROR(IF(AE107&lt;&gt;AE106,AVERAGEIF(AE$9:AE106,AE106,AX$9:AX106),""),"")</f>
        <v/>
      </c>
      <c r="AR106" s="89">
        <f t="array" ref="AR106">IFERROR(IF(AE107&lt;&gt;AE106,_xlfn.STDEV.P(IF(AE$9:AE106=AE106,AX$9:AX106)),""),"")</f>
        <v/>
      </c>
      <c r="AS106" s="89">
        <f t="array" ref="AS106">IFERROR(IF(AE107&lt;&gt;AE106,_xlfn.STDEV.P(IF(AE$9:AE106=AE106,AW$9:AW106)),""),"")</f>
        <v/>
      </c>
      <c r="AT106" s="90">
        <f>IFERROR(IF(AE106&lt;&gt;AE107,MAX((((AQ106*24*60)/2)*(1+POWER((((AR106*24*60) / (AQ106*24*60) )),2))) + ((AQ106*24*60 )*-0.1 + (AO106*0.015)) +1,(((AQ106*24*60)/2)*(1+POWER((((AR106*24*60) / (AQ106*24*60 ))),2)))),""),"")</f>
        <v/>
      </c>
      <c r="AU106" s="90">
        <f>IF(AND(AS106&lt;&gt;"",AP106&lt;&gt;""),IF(AE106&lt;&gt;AE107,((AP106*24*60) / 2 ) * (1 + POWER(((AS106*24*60) / (AP106*24*60)),2)),""),"")</f>
        <v/>
      </c>
      <c r="AV106" s="90">
        <f>IF(AU106&lt;&gt;"",MAX(AT106,AU106),"")</f>
        <v/>
      </c>
      <c r="AW106" s="89">
        <f>IF(AM106&lt;&gt;"H. Sale Real",IF(AND(AM107&lt;&gt;"",LEFT(AG107,2)&lt;&gt;"Va"),IF(AND(AM106&lt;&gt;"",LEFT(AG106,2)&lt;&gt;"Va",AM106&lt;&gt;"H. Sale Real"),IF(AM107-AM106&lt;0.208333333333333,AM107-AM106,""),IF(AND(AM105&lt;&gt;"",LEFT(AG105,2)&lt;&gt;"Va",AM105&lt;&gt;"H. Sale Real"),IF(AM107-AM105&lt;0.208333333333333,AM107-AM105,""),IF(AND(AM104&lt;&gt;"",LEFT(AG104,2)&lt;&gt;"Va",AM104&lt;&gt;"H. Sale Real"),IF(AM107-AM104&lt;0.208333333333333,AM107-AM104,""),IF(AND(AM103&lt;&gt;"",LEFT(AG103,2)&lt;&gt;"Va",AM103&lt;&gt;"H. Sale Real"),IF(AM107-AM103&lt;0.208333333333333,AM107-AM103,""),IF(AND(AM102&lt;&gt;"",LEFT(AG102,2)&lt;&gt;"Va",AM102&lt;&gt;"H. Sale Real"),IF(AM107-AM102&lt;0.208333333333333,AM107-AM102,""),""))))),""),"")</f>
        <v/>
      </c>
      <c r="AX106" s="89">
        <f>IF(AK106&lt;&gt;"H. Sale Real",IF(AND(AK107&lt;&gt;"",LEFT(AG107,2)&lt;&gt;"Va"),IF(AND(AK106&lt;&gt;"",LEFT(AG106,2)&lt;&gt;"Va",AK106&lt;&gt;"H. Sale Real"),IF(AK107-AK106&lt;0.208333333333333,AK107-AK106,""),IF(AND(AK105&lt;&gt;"",LEFT(AG105,2)&lt;&gt;"Va",AK105&lt;&gt;"H. Sale Real"),IF(AK107-AK105&lt;0.208333333333333,AK107-AK105,""),IF(AND(AK104&lt;&gt;"",LEFT(AG104,2)&lt;&gt;"NC",AK104&lt;&gt;"H. Sale Real"),IF(AK107-AK104&lt;0.208333333333333,AK107-AK104,""),IF(AND(AK103&lt;&gt;"",LEFT(AG103,2)&lt;&gt;"Va",AK103&lt;&gt;"H. Sale Real"),IF(AK107-AK103&lt;0.208333333333333,AK107-AK103,""),IF(AND(AK102&lt;&gt;"",LEFT(AG102,2)&lt;&gt;"Va",AK102&lt;&gt;"H. Sale Real"),IF(AK107-AK102&lt;0.208333333333333,AK107-AK102,""),""))))),""),"")</f>
        <v/>
      </c>
      <c r="AY106" s="87" t="n"/>
      <c r="AZ106" s="89" t="n"/>
      <c r="BA106" s="87" t="n"/>
      <c r="BB106" s="89" t="n"/>
      <c r="BC106" s="91" t="n"/>
      <c r="BD106" s="122">
        <f>IF(AK106&lt;&gt;"",IF(AND(BD105&lt;&gt;"IE",AT106&lt;&gt;0,AV106&lt;&gt;""),IF(IFERROR((AT106/AV106),0) &lt;=1,IFERROR(AT106/AV106,""),1),""),"")</f>
        <v/>
      </c>
      <c r="BE106" s="93" t="n"/>
      <c r="BF106" s="105" t="n"/>
      <c r="FC106" t="inlineStr">
        <is>
          <t>Diccionario 1</t>
        </is>
      </c>
      <c r="FD106" s="15" t="n">
        <v>1103</v>
      </c>
      <c r="FE106" s="15" t="inlineStr">
        <is>
          <t>D8483819K2PL</t>
        </is>
      </c>
      <c r="FF106" s="15" t="inlineStr">
        <is>
          <t>YV3T7U520KA195686</t>
        </is>
      </c>
      <c r="FG106" s="15" t="inlineStr">
        <is>
          <t>Volvo</t>
        </is>
      </c>
      <c r="FH106" s="15" t="inlineStr">
        <is>
          <t>B8R</t>
        </is>
      </c>
      <c r="FI106" s="15" t="inlineStr">
        <is>
          <t>MARCOPOLO</t>
        </is>
      </c>
      <c r="FJ106" s="15" t="inlineStr">
        <is>
          <t>TORINO</t>
        </is>
      </c>
      <c r="FK106" s="15" t="n">
        <v>2019</v>
      </c>
      <c r="FL106" s="15" t="inlineStr">
        <is>
          <t>B2PAL</t>
        </is>
      </c>
      <c r="FM106" s="15" t="inlineStr">
        <is>
          <t>SAN JOSE</t>
        </is>
      </c>
      <c r="FN106" s="15" t="inlineStr">
        <is>
          <t>San José 030 (José Besa 669)</t>
        </is>
      </c>
      <c r="FO106" s="15" t="inlineStr">
        <is>
          <t>San Bernardo</t>
        </is>
      </c>
      <c r="FP106" t="inlineStr">
        <is>
          <t>B</t>
        </is>
      </c>
      <c r="FS106" s="14" t="inlineStr">
        <is>
          <t>3026 / SFVZ-81|</t>
        </is>
      </c>
      <c r="FT106" t="inlineStr">
        <is>
          <t>SFVZ-81|</t>
        </is>
      </c>
      <c r="FU106" t="inlineStr">
        <is>
          <t>SFVZ-81</t>
        </is>
      </c>
      <c r="FV106">
        <f>VLOOKUP(FU106,FD:FL,9,0)</f>
        <v/>
      </c>
      <c r="HA106" s="35" t="n">
        <v>103</v>
      </c>
      <c r="HB106" s="35" t="n">
        <v>100</v>
      </c>
    </row>
    <row r="107" ht="15.5" customHeight="1">
      <c r="A107" s="10">
        <f>HOUR(G107)+1</f>
        <v/>
      </c>
      <c r="B107" s="7" t="n"/>
      <c r="C107" s="7" t="n"/>
      <c r="D107" s="85">
        <f>IFERROR(
IF(AND(OR(Planilla!B107="C",Planilla!B107="c"), VLOOKUP(E107,FD:FP,13,0)="C"), "OK",IF(AND(OR(Planilla!B107="C",Planilla!B107="c"), OR(VLOOKUP(E107,FD:FP,13,0)="B", VLOOKUP(E107,FD:FP,13,0)="A")), "DEFICIT",IF(
AND(OR(Planilla!B107="B", Planilla!B107="BPAL"), VLOOKUP(E107,FD:FP,13,0)="B"), "OK",IF(AND(OR(Planilla!B107="B", Planilla!B107="BPAL"), VLOOKUP(E107,FD:FP,13,0)="A"), "DEFICIT",IF(AND(OR(Planilla!B107="B", Planilla!B107="BPAL"), VLOOKUP(E107,FD:FP,13,0)="C"), "SOBREOFERTA",IF(AND(Planilla!B107="A", VLOOKUP(E107,FD:FP,13,0)="A"), "OK",IF(
AND(Planilla!B107="A", OR(VLOOKUP(E107,FD:FP,13,0)="B", VLOOKUP(E107,FD:FP,13,0)="C")), "SOBREOFERTA",""
))))))),"")</f>
        <v/>
      </c>
      <c r="E107" s="8" t="n"/>
      <c r="F107" s="86" t="n"/>
      <c r="G107" s="87" t="n"/>
      <c r="H107" s="88">
        <f>IF(I107="","",IF(AND((I107-G107)&gt;=TIME(0,0,0),(I107-G107)&lt;TIME(0,3,0)),"OK",IF(AND((I107-G107)&gt;=TIME(0,3,0),(I107-G107)&lt;TIME(0,5,0)),"RETRASO DE 3-5 MIN",IF(AND((I107-G107)&gt;=TIME(0,5,0),(I107-G107)&lt;TIME(0,10,0)),"RETRASO DE 5-10 MIN",IF((I107-G107)&gt;=TIME(0,10,0),"RETRASO &gt;10 MIN", IF(AND((G107-I107)&gt;=TIME(0,0,0),(G107-I107)&lt;TIME(0,3,0)),"OK",IF((G107-I107)&gt;=TIME(0,3,0),"ADELANTADO")))))))</f>
        <v/>
      </c>
      <c r="I107" s="89" t="n"/>
      <c r="J107" s="89">
        <f>IF(A107&lt;&gt;"",HLOOKUP(VALUE(TEXT(G107,"h:mm:ss")),IF($C$6="Laboral",$FZ$4:$GX$227,IF($C$6="Sábado",$FZ$231:$GX$452,$FZ$456:$GX$656)),VLOOKUP($C$4,$HF$2:$HH$99,3,0)+IF(C$5="Ida",0,1),1),"")</f>
        <v/>
      </c>
      <c r="K107" s="89">
        <f>IF(A108&lt;&gt;A107,AVERAGEIF(A$9:A107,A107,J$9:J107),"")</f>
        <v/>
      </c>
      <c r="L107" s="89">
        <f>IFERROR(IF(A108&lt;&gt;A107,AVERAGEIF(A$9:A107,A107,S$9:S107),""),"")</f>
        <v/>
      </c>
      <c r="M107" s="89">
        <f>IFERROR(IF(A108&lt;&gt;A107,AVERAGEIF(A$9:A107,A107,T$9:T107),""),"")</f>
        <v/>
      </c>
      <c r="N107" s="89">
        <f t="array" ref="N107">IFERROR(IF(A108&lt;&gt;A107,_xlfn.STDEV.P(IF(A$9:A107=A107,T$9:T107)),""),"")</f>
        <v/>
      </c>
      <c r="O107" s="89">
        <f t="array" ref="O107">IFERROR(IF(A108&lt;&gt;A107,_xlfn.STDEV.P(IF(A$9:A107=A107,S$9:S107)),""),"")</f>
        <v/>
      </c>
      <c r="P107" s="90">
        <f>IFERROR(IF(A107&lt;&gt;A108,MAX((((M107*24*60)/2)*(1+POWER((((N107*24*60) / (M107*24*60) )),2))) + ((M107*24*60 )*-0.1 + (K107*0.015)) +1,(((M107*24*60)/2)*(1+POWER((((N107*24*60) / (M107*24*60 ))),2)))),""),"")</f>
        <v/>
      </c>
      <c r="Q107" s="90">
        <f>IF(AND(O107&lt;&gt;"",L107&lt;&gt;""),IF(A107&lt;&gt;A108,((L107*24*60) / 2 ) * (1 + POWER(((O107*24*60) / (L107*24*60)),2)),""),"")</f>
        <v/>
      </c>
      <c r="R107" s="90">
        <f>IF(Q107&lt;&gt;"",MAX(P107,Q107),"")</f>
        <v/>
      </c>
      <c r="S107" s="89">
        <f>IF(I107&lt;&gt;"H. Sale Real",IF(AND(I108&lt;&gt;"",LEFT(C108,2)&lt;&gt;"Va"),IF(AND(I107&lt;&gt;"",LEFT(C107,2)&lt;&gt;"Va",I107&lt;&gt;"H. Sale Real"),IF(I108-I107&lt;0.208333333333333,I108-I107,""),IF(AND(I106&lt;&gt;"",LEFT(C106,2)&lt;&gt;"Va",I106&lt;&gt;"H. Sale Real"),IF(I108-I106&lt;0.208333333333333,I108-I106,""),IF(AND(I105&lt;&gt;"",LEFT(C105,2)&lt;&gt;"Va",I105&lt;&gt;"H. Sale Real"),IF(I108-I105&lt;0.208333333333333,I108-I105,""),IF(AND(I104&lt;&gt;"",LEFT(C104,2)&lt;&gt;"Va",I104&lt;&gt;"H. Sale Real"),IF(I108-I104&lt;0.208333333333333,I108-I104,""),IF(AND(I103&lt;&gt;"",LEFT(C103,2)&lt;&gt;"Va",I103&lt;&gt;"H. Sale Real"),IF(I108-I103&lt;0.208333333333333,I108-I103,""),""))))),""),"")</f>
        <v/>
      </c>
      <c r="T107" s="89">
        <f>IF(G107&lt;&gt;"H. Sale Real",IF(AND(G108&lt;&gt;"",LEFT(C108,2)&lt;&gt;"Va"),IF(AND(G107&lt;&gt;"",LEFT(C107,2)&lt;&gt;"Va",G107&lt;&gt;"H. Sale Real"),IF(G108-G107&lt;0.208333333333333,G108-G107,""),IF(AND(G106&lt;&gt;"",LEFT(C106,2)&lt;&gt;"Va",G106&lt;&gt;"H. Sale Real"),IF(G108-G106&lt;0.208333333333333,G108-G106,""),IF(AND(G105&lt;&gt;"",LEFT(C105,2)&lt;&gt;"Va",G105&lt;&gt;"H. Sale Real"),IF(G108-G105&lt;0.208333333333333,G108-G105,""),IF(AND(G104&lt;&gt;"",LEFT(C104,2)&lt;&gt;"Va",G104&lt;&gt;"H. Sale Real"),IF(G108-G104&lt;0.208333333333333,G108-G104,""),IF(AND(G103&lt;&gt;"",LEFT(C103,2)&lt;&gt;"Va",G103&lt;&gt;"H. Sale Real"),IF(G108-G103&lt;0.208333333333333,G108-G103,""),""))))),""),"")</f>
        <v/>
      </c>
      <c r="U107" s="87" t="n"/>
      <c r="V107" s="89" t="n"/>
      <c r="W107" s="87" t="n"/>
      <c r="X107" s="89" t="n"/>
      <c r="Y107" s="91" t="n"/>
      <c r="Z107" s="122">
        <f>IF(G107&lt;&gt;"",IF(AND(Z106&lt;&gt;"IE",P107&lt;&gt;0,R107&lt;&gt;""),IF(IFERROR((P107/R107),0) &lt;=1,IFERROR(P107/R107,""),1),""),"")</f>
        <v/>
      </c>
      <c r="AA107" s="93" t="n"/>
      <c r="AB107" s="2" t="n"/>
      <c r="AE107" s="10">
        <f>HOUR(AK107)+1</f>
        <v/>
      </c>
      <c r="AF107" s="7" t="n"/>
      <c r="AG107" s="7" t="n"/>
      <c r="AH107" s="86" t="n"/>
      <c r="AI107" s="8" t="n"/>
      <c r="AJ107" s="86" t="n"/>
      <c r="AK107" s="87" t="n"/>
      <c r="AL107" s="88">
        <f>IF(AM107="","",IF(AND((AM107-AK107)&gt;=TIME(0,0,0),(AM107-AK107)&lt;TIME(0,3,0)),"OK",IF(AND((AM107-AK107)&gt;=TIME(0,3,0),(AM107-AK107)&lt;TIME(0,5,0)),"RETRASO DE 3-5 MIN",IF(AND((AM107-AK107)&gt;=TIME(0,5,0),(AM107-AK107)&lt;TIME(0,10,0)),"RETRASO DE 5-10 MIN",IF((AM107-AK107)&gt;=TIME(0,10,0),"RETRASO &gt;10 MIN", IF(AND((AK107-AM107)&gt;=TIME(0,0,0),(AK107-AM107)&lt;TIME(0,3,0)),"OK",IF((AK107-AM107)&gt;=TIME(0,3,0),"ADELANTADO")))))))</f>
        <v/>
      </c>
      <c r="AM107" s="91" t="n"/>
      <c r="AN107" s="89">
        <f>IF(AE107&lt;&gt;"",HLOOKUP(VALUE(TEXT(AK107,"h:mm:ss")),IF($C$6="Laboral",$FZ$4:$GX$227,IF($C$6="Sábado",$FZ$231:$GX$452,$FZ$456:$GX$656)),VLOOKUP($C$4,$HF$2:$HH$99,3,0)+IF(AG$5="Ida",0,1),1),"")</f>
        <v/>
      </c>
      <c r="AO107" s="89">
        <f>IF(AE108&lt;&gt;AE107,AVERAGEIF(AE$9:AE107,AE107,AN$9:AN107),"")</f>
        <v/>
      </c>
      <c r="AP107" s="89">
        <f>IFERROR(IF(AE108&lt;&gt;AE107,AVERAGEIF(AE$9:AE107,AE107,AW$9:AW107),""),"")</f>
        <v/>
      </c>
      <c r="AQ107" s="89">
        <f>IFERROR(IF(AE108&lt;&gt;AE107,AVERAGEIF(AE$9:AE107,AE107,AX$9:AX107),""),"")</f>
        <v/>
      </c>
      <c r="AR107" s="89">
        <f t="array" ref="AR107">IFERROR(IF(AE108&lt;&gt;AE107,_xlfn.STDEV.P(IF(AE$9:AE107=AE107,AX$9:AX107)),""),"")</f>
        <v/>
      </c>
      <c r="AS107" s="89">
        <f t="array" ref="AS107">IFERROR(IF(AE108&lt;&gt;AE107,_xlfn.STDEV.P(IF(AE$9:AE107=AE107,AW$9:AW107)),""),"")</f>
        <v/>
      </c>
      <c r="AT107" s="90">
        <f>IFERROR(IF(AE107&lt;&gt;AE108,MAX((((AQ107*24*60)/2)*(1+POWER((((AR107*24*60) / (AQ107*24*60) )),2))) + ((AQ107*24*60 )*-0.1 + (AO107*0.015)) +1,(((AQ107*24*60)/2)*(1+POWER((((AR107*24*60) / (AQ107*24*60 ))),2)))),""),"")</f>
        <v/>
      </c>
      <c r="AU107" s="90">
        <f>IF(AND(AS107&lt;&gt;"",AP107&lt;&gt;""),IF(AE107&lt;&gt;AE108,((AP107*24*60) / 2 ) * (1 + POWER(((AS107*24*60) / (AP107*24*60)),2)),""),"")</f>
        <v/>
      </c>
      <c r="AV107" s="90">
        <f>IF(AU107&lt;&gt;"",MAX(AT107,AU107),"")</f>
        <v/>
      </c>
      <c r="AW107" s="89">
        <f>IF(AM107&lt;&gt;"H. Sale Real",IF(AND(AM108&lt;&gt;"",LEFT(AG108,2)&lt;&gt;"Va"),IF(AND(AM107&lt;&gt;"",LEFT(AG107,2)&lt;&gt;"Va",AM107&lt;&gt;"H. Sale Real"),IF(AM108-AM107&lt;0.208333333333333,AM108-AM107,""),IF(AND(AM106&lt;&gt;"",LEFT(AG106,2)&lt;&gt;"Va",AM106&lt;&gt;"H. Sale Real"),IF(AM108-AM106&lt;0.208333333333333,AM108-AM106,""),IF(AND(AM105&lt;&gt;"",LEFT(AG105,2)&lt;&gt;"Va",AM105&lt;&gt;"H. Sale Real"),IF(AM108-AM105&lt;0.208333333333333,AM108-AM105,""),IF(AND(AM104&lt;&gt;"",LEFT(AG104,2)&lt;&gt;"Va",AM104&lt;&gt;"H. Sale Real"),IF(AM108-AM104&lt;0.208333333333333,AM108-AM104,""),IF(AND(AM103&lt;&gt;"",LEFT(AG103,2)&lt;&gt;"Va",AM103&lt;&gt;"H. Sale Real"),IF(AM108-AM103&lt;0.208333333333333,AM108-AM103,""),""))))),""),"")</f>
        <v/>
      </c>
      <c r="AX107" s="89">
        <f>IF(AK107&lt;&gt;"H. Sale Real",IF(AND(AK108&lt;&gt;"",LEFT(AG108,2)&lt;&gt;"Va"),IF(AND(AK107&lt;&gt;"",LEFT(AG107,2)&lt;&gt;"Va",AK107&lt;&gt;"H. Sale Real"),IF(AK108-AK107&lt;0.208333333333333,AK108-AK107,""),IF(AND(AK106&lt;&gt;"",LEFT(AG106,2)&lt;&gt;"Va",AK106&lt;&gt;"H. Sale Real"),IF(AK108-AK106&lt;0.208333333333333,AK108-AK106,""),IF(AND(AK105&lt;&gt;"",LEFT(AG105,2)&lt;&gt;"NC",AK105&lt;&gt;"H. Sale Real"),IF(AK108-AK105&lt;0.208333333333333,AK108-AK105,""),IF(AND(AK104&lt;&gt;"",LEFT(AG104,2)&lt;&gt;"Va",AK104&lt;&gt;"H. Sale Real"),IF(AK108-AK104&lt;0.208333333333333,AK108-AK104,""),IF(AND(AK103&lt;&gt;"",LEFT(AG103,2)&lt;&gt;"Va",AK103&lt;&gt;"H. Sale Real"),IF(AK108-AK103&lt;0.208333333333333,AK108-AK103,""),""))))),""),"")</f>
        <v/>
      </c>
      <c r="AY107" s="87" t="n"/>
      <c r="AZ107" s="89" t="n"/>
      <c r="BA107" s="87" t="n"/>
      <c r="BB107" s="89" t="n"/>
      <c r="BC107" s="91" t="n"/>
      <c r="BD107" s="122">
        <f>IF(AK107&lt;&gt;"",IF(AND(BD106&lt;&gt;"IE",AT107&lt;&gt;0,AV107&lt;&gt;""),IF(IFERROR((AT107/AV107),0) &lt;=1,IFERROR(AT107/AV107,""),1),""),"")</f>
        <v/>
      </c>
      <c r="BE107" s="93" t="n"/>
      <c r="BF107" s="105" t="n"/>
      <c r="FC107" t="inlineStr">
        <is>
          <t>Diccionario 1</t>
        </is>
      </c>
      <c r="FD107" s="15" t="n">
        <v>1104</v>
      </c>
      <c r="FE107" s="15" t="inlineStr">
        <is>
          <t>D8481869K2PL</t>
        </is>
      </c>
      <c r="FF107" s="15" t="inlineStr">
        <is>
          <t>YV3T7U521KA195194</t>
        </is>
      </c>
      <c r="FG107" s="15" t="inlineStr">
        <is>
          <t>Volvo</t>
        </is>
      </c>
      <c r="FH107" s="15" t="inlineStr">
        <is>
          <t>B8R</t>
        </is>
      </c>
      <c r="FI107" s="15" t="inlineStr">
        <is>
          <t>MARCOPOLO</t>
        </is>
      </c>
      <c r="FJ107" s="15" t="inlineStr">
        <is>
          <t>TORINO</t>
        </is>
      </c>
      <c r="FK107" s="15" t="n">
        <v>2019</v>
      </c>
      <c r="FL107" s="15" t="inlineStr">
        <is>
          <t>B2PAL</t>
        </is>
      </c>
      <c r="FM107" s="15" t="inlineStr">
        <is>
          <t>SAN JOSE</t>
        </is>
      </c>
      <c r="FN107" s="15" t="inlineStr">
        <is>
          <t>San José 030 (José Besa 669)</t>
        </is>
      </c>
      <c r="FO107" s="15" t="inlineStr">
        <is>
          <t>San Bernardo</t>
        </is>
      </c>
      <c r="FP107" t="inlineStr">
        <is>
          <t>B</t>
        </is>
      </c>
      <c r="FS107" s="14" t="inlineStr">
        <is>
          <t>3026 / SFVZ-81|</t>
        </is>
      </c>
      <c r="FT107" t="inlineStr">
        <is>
          <t>SFVZ-81|</t>
        </is>
      </c>
      <c r="FU107" t="inlineStr">
        <is>
          <t>SFVZ-81</t>
        </is>
      </c>
      <c r="FV107">
        <f>VLOOKUP(FU107,FD:FL,9,0)</f>
        <v/>
      </c>
      <c r="HA107" s="35" t="n">
        <v>104</v>
      </c>
      <c r="HB107" s="35" t="n">
        <v>101</v>
      </c>
    </row>
    <row r="108" ht="15.5" customHeight="1">
      <c r="A108" s="10">
        <f>HOUR(G108)+1</f>
        <v/>
      </c>
      <c r="B108" s="7" t="n"/>
      <c r="C108" s="7" t="n"/>
      <c r="D108" s="85">
        <f>IFERROR(
IF(AND(OR(Planilla!B108="C",Planilla!B108="c"), VLOOKUP(E108,FD:FP,13,0)="C"), "OK",IF(AND(OR(Planilla!B108="C",Planilla!B108="c"), OR(VLOOKUP(E108,FD:FP,13,0)="B", VLOOKUP(E108,FD:FP,13,0)="A")), "DEFICIT",IF(
AND(OR(Planilla!B108="B", Planilla!B108="BPAL"), VLOOKUP(E108,FD:FP,13,0)="B"), "OK",IF(AND(OR(Planilla!B108="B", Planilla!B108="BPAL"), VLOOKUP(E108,FD:FP,13,0)="A"), "DEFICIT",IF(AND(OR(Planilla!B108="B", Planilla!B108="BPAL"), VLOOKUP(E108,FD:FP,13,0)="C"), "SOBREOFERTA",IF(AND(Planilla!B108="A", VLOOKUP(E108,FD:FP,13,0)="A"), "OK",IF(
AND(Planilla!B108="A", OR(VLOOKUP(E108,FD:FP,13,0)="B", VLOOKUP(E108,FD:FP,13,0)="C")), "SOBREOFERTA",""
))))))),"")</f>
        <v/>
      </c>
      <c r="E108" s="8" t="n"/>
      <c r="F108" s="86" t="n"/>
      <c r="G108" s="87" t="n"/>
      <c r="H108" s="88">
        <f>IF(I108="","",IF(AND((I108-G108)&gt;=TIME(0,0,0),(I108-G108)&lt;TIME(0,3,0)),"OK",IF(AND((I108-G108)&gt;=TIME(0,3,0),(I108-G108)&lt;TIME(0,5,0)),"RETRASO DE 3-5 MIN",IF(AND((I108-G108)&gt;=TIME(0,5,0),(I108-G108)&lt;TIME(0,10,0)),"RETRASO DE 5-10 MIN",IF((I108-G108)&gt;=TIME(0,10,0),"RETRASO &gt;10 MIN", IF(AND((G108-I108)&gt;=TIME(0,0,0),(G108-I108)&lt;TIME(0,3,0)),"OK",IF((G108-I108)&gt;=TIME(0,3,0),"ADELANTADO")))))))</f>
        <v/>
      </c>
      <c r="I108" s="89" t="n"/>
      <c r="J108" s="89">
        <f>IF(A108&lt;&gt;"",HLOOKUP(VALUE(TEXT(G108,"h:mm:ss")),IF($C$6="Laboral",$FZ$4:$GX$227,IF($C$6="Sábado",$FZ$231:$GX$452,$FZ$456:$GX$656)),VLOOKUP($C$4,$HF$2:$HH$99,3,0)+IF(C$5="Ida",0,1),1),"")</f>
        <v/>
      </c>
      <c r="K108" s="89">
        <f>IF(A109&lt;&gt;A108,AVERAGEIF(A$9:A108,A108,J$9:J108),"")</f>
        <v/>
      </c>
      <c r="L108" s="89">
        <f>IFERROR(IF(A109&lt;&gt;A108,AVERAGEIF(A$9:A108,A108,S$9:S108),""),"")</f>
        <v/>
      </c>
      <c r="M108" s="89">
        <f>IFERROR(IF(A109&lt;&gt;A108,AVERAGEIF(A$9:A108,A108,T$9:T108),""),"")</f>
        <v/>
      </c>
      <c r="N108" s="89">
        <f t="array" ref="N108">IFERROR(IF(A109&lt;&gt;A108,_xlfn.STDEV.P(IF(A$9:A108=A108,T$9:T108)),""),"")</f>
        <v/>
      </c>
      <c r="O108" s="89">
        <f t="array" ref="O108">IFERROR(IF(A109&lt;&gt;A108,_xlfn.STDEV.P(IF(A$9:A108=A108,S$9:S108)),""),"")</f>
        <v/>
      </c>
      <c r="P108" s="90">
        <f>IFERROR(IF(A108&lt;&gt;A109,MAX((((M108*24*60)/2)*(1+POWER((((N108*24*60) / (M108*24*60) )),2))) + ((M108*24*60 )*-0.1 + (K108*0.015)) +1,(((M108*24*60)/2)*(1+POWER((((N108*24*60) / (M108*24*60 ))),2)))),""),"")</f>
        <v/>
      </c>
      <c r="Q108" s="90">
        <f>IF(AND(O108&lt;&gt;"",L108&lt;&gt;""),IF(A108&lt;&gt;A109,((L108*24*60) / 2 ) * (1 + POWER(((O108*24*60) / (L108*24*60)),2)),""),"")</f>
        <v/>
      </c>
      <c r="R108" s="90">
        <f>IF(Q108&lt;&gt;"",MAX(P108,Q108),"")</f>
        <v/>
      </c>
      <c r="S108" s="89">
        <f>IF(I108&lt;&gt;"H. Sale Real",IF(AND(I109&lt;&gt;"",LEFT(C109,2)&lt;&gt;"Va"),IF(AND(I108&lt;&gt;"",LEFT(C108,2)&lt;&gt;"Va",I108&lt;&gt;"H. Sale Real"),IF(I109-I108&lt;0.208333333333333,I109-I108,""),IF(AND(I107&lt;&gt;"",LEFT(C107,2)&lt;&gt;"Va",I107&lt;&gt;"H. Sale Real"),IF(I109-I107&lt;0.208333333333333,I109-I107,""),IF(AND(I106&lt;&gt;"",LEFT(C106,2)&lt;&gt;"Va",I106&lt;&gt;"H. Sale Real"),IF(I109-I106&lt;0.208333333333333,I109-I106,""),IF(AND(I105&lt;&gt;"",LEFT(C105,2)&lt;&gt;"Va",I105&lt;&gt;"H. Sale Real"),IF(I109-I105&lt;0.208333333333333,I109-I105,""),IF(AND(I104&lt;&gt;"",LEFT(C104,2)&lt;&gt;"Va",I104&lt;&gt;"H. Sale Real"),IF(I109-I104&lt;0.208333333333333,I109-I104,""),""))))),""),"")</f>
        <v/>
      </c>
      <c r="T108" s="89">
        <f>IF(G108&lt;&gt;"H. Sale Real",IF(AND(G109&lt;&gt;"",LEFT(C109,2)&lt;&gt;"Va"),IF(AND(G108&lt;&gt;"",LEFT(C108,2)&lt;&gt;"Va",G108&lt;&gt;"H. Sale Real"),IF(G109-G108&lt;0.208333333333333,G109-G108,""),IF(AND(G107&lt;&gt;"",LEFT(C107,2)&lt;&gt;"Va",G107&lt;&gt;"H. Sale Real"),IF(G109-G107&lt;0.208333333333333,G109-G107,""),IF(AND(G106&lt;&gt;"",LEFT(C106,2)&lt;&gt;"Va",G106&lt;&gt;"H. Sale Real"),IF(G109-G106&lt;0.208333333333333,G109-G106,""),IF(AND(G105&lt;&gt;"",LEFT(C105,2)&lt;&gt;"Va",G105&lt;&gt;"H. Sale Real"),IF(G109-G105&lt;0.208333333333333,G109-G105,""),IF(AND(G104&lt;&gt;"",LEFT(C104,2)&lt;&gt;"Va",G104&lt;&gt;"H. Sale Real"),IF(G109-G104&lt;0.208333333333333,G109-G104,""),""))))),""),"")</f>
        <v/>
      </c>
      <c r="U108" s="87" t="n"/>
      <c r="V108" s="89" t="n"/>
      <c r="W108" s="87" t="n"/>
      <c r="X108" s="89" t="n"/>
      <c r="Y108" s="91" t="n"/>
      <c r="Z108" s="122">
        <f>IF(G108&lt;&gt;"",IF(AND(Z107&lt;&gt;"IE",P108&lt;&gt;0,R108&lt;&gt;""),IF(IFERROR((P108/R108),0) &lt;=1,IFERROR(P108/R108,""),1),""),"")</f>
        <v/>
      </c>
      <c r="AA108" s="93" t="n"/>
      <c r="AB108" s="2" t="n"/>
      <c r="AE108" s="10">
        <f>HOUR(AK108)+1</f>
        <v/>
      </c>
      <c r="AF108" s="7" t="n"/>
      <c r="AG108" s="7" t="n"/>
      <c r="AH108" s="86" t="n"/>
      <c r="AI108" s="8" t="n"/>
      <c r="AJ108" s="86" t="n"/>
      <c r="AK108" s="87" t="n"/>
      <c r="AL108" s="88">
        <f>IF(AM108="","",IF(AND((AM108-AK108)&gt;=TIME(0,0,0),(AM108-AK108)&lt;TIME(0,3,0)),"OK",IF(AND((AM108-AK108)&gt;=TIME(0,3,0),(AM108-AK108)&lt;TIME(0,5,0)),"RETRASO DE 3-5 MIN",IF(AND((AM108-AK108)&gt;=TIME(0,5,0),(AM108-AK108)&lt;TIME(0,10,0)),"RETRASO DE 5-10 MIN",IF((AM108-AK108)&gt;=TIME(0,10,0),"RETRASO &gt;10 MIN", IF(AND((AK108-AM108)&gt;=TIME(0,0,0),(AK108-AM108)&lt;TIME(0,3,0)),"OK",IF((AK108-AM108)&gt;=TIME(0,3,0),"ADELANTADO")))))))</f>
        <v/>
      </c>
      <c r="AM108" s="91" t="n"/>
      <c r="AN108" s="89">
        <f>IF(AE108&lt;&gt;"",HLOOKUP(VALUE(TEXT(AK108,"h:mm:ss")),IF($C$6="Laboral",$FZ$4:$GX$227,IF($C$6="Sábado",$FZ$231:$GX$452,$FZ$456:$GX$656)),VLOOKUP($C$4,$HF$2:$HH$99,3,0)+IF(AG$5="Ida",0,1),1),"")</f>
        <v/>
      </c>
      <c r="AO108" s="89">
        <f>IF(AE109&lt;&gt;AE108,AVERAGEIF(AE$9:AE108,AE108,AN$9:AN108),"")</f>
        <v/>
      </c>
      <c r="AP108" s="89">
        <f>IFERROR(IF(AE109&lt;&gt;AE108,AVERAGEIF(AE$9:AE108,AE108,AW$9:AW108),""),"")</f>
        <v/>
      </c>
      <c r="AQ108" s="89">
        <f>IFERROR(IF(AE109&lt;&gt;AE108,AVERAGEIF(AE$9:AE108,AE108,AX$9:AX108),""),"")</f>
        <v/>
      </c>
      <c r="AR108" s="89">
        <f t="array" ref="AR108">IFERROR(IF(AE109&lt;&gt;AE108,_xlfn.STDEV.P(IF(AE$9:AE108=AE108,AX$9:AX108)),""),"")</f>
        <v/>
      </c>
      <c r="AS108" s="89">
        <f t="array" ref="AS108">IFERROR(IF(AE109&lt;&gt;AE108,_xlfn.STDEV.P(IF(AE$9:AE108=AE108,AW$9:AW108)),""),"")</f>
        <v/>
      </c>
      <c r="AT108" s="90">
        <f>IFERROR(IF(AE108&lt;&gt;AE109,MAX((((AQ108*24*60)/2)*(1+POWER((((AR108*24*60) / (AQ108*24*60) )),2))) + ((AQ108*24*60 )*-0.1 + (AO108*0.015)) +1,(((AQ108*24*60)/2)*(1+POWER((((AR108*24*60) / (AQ108*24*60 ))),2)))),""),"")</f>
        <v/>
      </c>
      <c r="AU108" s="90">
        <f>IF(AND(AS108&lt;&gt;"",AP108&lt;&gt;""),IF(AE108&lt;&gt;AE109,((AP108*24*60) / 2 ) * (1 + POWER(((AS108*24*60) / (AP108*24*60)),2)),""),"")</f>
        <v/>
      </c>
      <c r="AV108" s="90">
        <f>IF(AU108&lt;&gt;"",MAX(AT108,AU108),"")</f>
        <v/>
      </c>
      <c r="AW108" s="89">
        <f>IF(AM108&lt;&gt;"H. Sale Real",IF(AND(AM109&lt;&gt;"",LEFT(AG109,2)&lt;&gt;"Va"),IF(AND(AM108&lt;&gt;"",LEFT(AG108,2)&lt;&gt;"Va",AM108&lt;&gt;"H. Sale Real"),IF(AM109-AM108&lt;0.208333333333333,AM109-AM108,""),IF(AND(AM107&lt;&gt;"",LEFT(AG107,2)&lt;&gt;"Va",AM107&lt;&gt;"H. Sale Real"),IF(AM109-AM107&lt;0.208333333333333,AM109-AM107,""),IF(AND(AM106&lt;&gt;"",LEFT(AG106,2)&lt;&gt;"Va",AM106&lt;&gt;"H. Sale Real"),IF(AM109-AM106&lt;0.208333333333333,AM109-AM106,""),IF(AND(AM105&lt;&gt;"",LEFT(AG105,2)&lt;&gt;"Va",AM105&lt;&gt;"H. Sale Real"),IF(AM109-AM105&lt;0.208333333333333,AM109-AM105,""),IF(AND(AM104&lt;&gt;"",LEFT(AG104,2)&lt;&gt;"Va",AM104&lt;&gt;"H. Sale Real"),IF(AM109-AM104&lt;0.208333333333333,AM109-AM104,""),""))))),""),"")</f>
        <v/>
      </c>
      <c r="AX108" s="89">
        <f>IF(AK108&lt;&gt;"H. Sale Real",IF(AND(AK109&lt;&gt;"",LEFT(AG109,2)&lt;&gt;"Va"),IF(AND(AK108&lt;&gt;"",LEFT(AG108,2)&lt;&gt;"Va",AK108&lt;&gt;"H. Sale Real"),IF(AK109-AK108&lt;0.208333333333333,AK109-AK108,""),IF(AND(AK107&lt;&gt;"",LEFT(AG107,2)&lt;&gt;"Va",AK107&lt;&gt;"H. Sale Real"),IF(AK109-AK107&lt;0.208333333333333,AK109-AK107,""),IF(AND(AK106&lt;&gt;"",LEFT(AG106,2)&lt;&gt;"NC",AK106&lt;&gt;"H. Sale Real"),IF(AK109-AK106&lt;0.208333333333333,AK109-AK106,""),IF(AND(AK105&lt;&gt;"",LEFT(AG105,2)&lt;&gt;"Va",AK105&lt;&gt;"H. Sale Real"),IF(AK109-AK105&lt;0.208333333333333,AK109-AK105,""),IF(AND(AK104&lt;&gt;"",LEFT(AG104,2)&lt;&gt;"Va",AK104&lt;&gt;"H. Sale Real"),IF(AK109-AK104&lt;0.208333333333333,AK109-AK104,""),""))))),""),"")</f>
        <v/>
      </c>
      <c r="AY108" s="87" t="n"/>
      <c r="AZ108" s="89" t="n"/>
      <c r="BA108" s="87" t="n"/>
      <c r="BB108" s="89" t="n"/>
      <c r="BC108" s="91" t="n"/>
      <c r="BD108" s="122">
        <f>IF(AK108&lt;&gt;"",IF(AND(BD107&lt;&gt;"IE",AT108&lt;&gt;0,AV108&lt;&gt;""),IF(IFERROR((AT108/AV108),0) &lt;=1,IFERROR(AT108/AV108,""),1),""),"")</f>
        <v/>
      </c>
      <c r="BE108" s="93" t="n"/>
      <c r="BF108" s="105" t="n"/>
      <c r="FC108" t="inlineStr">
        <is>
          <t>Diccionario 1</t>
        </is>
      </c>
      <c r="FD108" s="15" t="n">
        <v>1105</v>
      </c>
      <c r="FE108" s="15" t="inlineStr">
        <is>
          <t>D8483079K2PL</t>
        </is>
      </c>
      <c r="FF108" s="15" t="inlineStr">
        <is>
          <t>YV3T7U529KA195489</t>
        </is>
      </c>
      <c r="FG108" s="15" t="inlineStr">
        <is>
          <t>Volvo</t>
        </is>
      </c>
      <c r="FH108" s="15" t="inlineStr">
        <is>
          <t>B8R</t>
        </is>
      </c>
      <c r="FI108" s="15" t="inlineStr">
        <is>
          <t>MARCOPOLO</t>
        </is>
      </c>
      <c r="FJ108" s="15" t="inlineStr">
        <is>
          <t>TORINO</t>
        </is>
      </c>
      <c r="FK108" s="15" t="n">
        <v>2019</v>
      </c>
      <c r="FL108" s="15" t="inlineStr">
        <is>
          <t>B2PAL</t>
        </is>
      </c>
      <c r="FM108" s="15" t="inlineStr">
        <is>
          <t>SAN JOSE</t>
        </is>
      </c>
      <c r="FN108" s="15" t="inlineStr">
        <is>
          <t>San José 030 (José Besa 669)</t>
        </is>
      </c>
      <c r="FO108" s="15" t="inlineStr">
        <is>
          <t>San Bernardo</t>
        </is>
      </c>
      <c r="FP108" t="inlineStr">
        <is>
          <t>B</t>
        </is>
      </c>
      <c r="FS108" s="14" t="inlineStr">
        <is>
          <t>3026 / SFVZ-81|</t>
        </is>
      </c>
      <c r="FT108" t="inlineStr">
        <is>
          <t>SFVZ-81|</t>
        </is>
      </c>
      <c r="FU108" t="inlineStr">
        <is>
          <t>SFVZ-81</t>
        </is>
      </c>
      <c r="FV108">
        <f>VLOOKUP(FU108,FD:FL,9,0)</f>
        <v/>
      </c>
      <c r="HA108" s="35" t="n">
        <v>105</v>
      </c>
      <c r="HB108" s="35" t="n">
        <v>102</v>
      </c>
    </row>
    <row r="109" ht="15.5" customHeight="1">
      <c r="A109" s="10">
        <f>HOUR(G109)+1</f>
        <v/>
      </c>
      <c r="B109" s="7" t="n"/>
      <c r="C109" s="7" t="n"/>
      <c r="D109" s="85">
        <f>IFERROR(
IF(AND(OR(Planilla!B109="C",Planilla!B109="c"), VLOOKUP(E109,FD:FP,13,0)="C"), "OK",IF(AND(OR(Planilla!B109="C",Planilla!B109="c"), OR(VLOOKUP(E109,FD:FP,13,0)="B", VLOOKUP(E109,FD:FP,13,0)="A")), "DEFICIT",IF(
AND(OR(Planilla!B109="B", Planilla!B109="BPAL"), VLOOKUP(E109,FD:FP,13,0)="B"), "OK",IF(AND(OR(Planilla!B109="B", Planilla!B109="BPAL"), VLOOKUP(E109,FD:FP,13,0)="A"), "DEFICIT",IF(AND(OR(Planilla!B109="B", Planilla!B109="BPAL"), VLOOKUP(E109,FD:FP,13,0)="C"), "SOBREOFERTA",IF(AND(Planilla!B109="A", VLOOKUP(E109,FD:FP,13,0)="A"), "OK",IF(
AND(Planilla!B109="A", OR(VLOOKUP(E109,FD:FP,13,0)="B", VLOOKUP(E109,FD:FP,13,0)="C")), "SOBREOFERTA",""
))))))),"")</f>
        <v/>
      </c>
      <c r="E109" s="8" t="n"/>
      <c r="F109" s="86" t="n"/>
      <c r="G109" s="87" t="n"/>
      <c r="H109" s="88">
        <f>IF(I109="","",IF(AND((I109-G109)&gt;=TIME(0,0,0),(I109-G109)&lt;TIME(0,3,0)),"OK",IF(AND((I109-G109)&gt;=TIME(0,3,0),(I109-G109)&lt;TIME(0,5,0)),"RETRASO DE 3-5 MIN",IF(AND((I109-G109)&gt;=TIME(0,5,0),(I109-G109)&lt;TIME(0,10,0)),"RETRASO DE 5-10 MIN",IF((I109-G109)&gt;=TIME(0,10,0),"RETRASO &gt;10 MIN", IF(AND((G109-I109)&gt;=TIME(0,0,0),(G109-I109)&lt;TIME(0,3,0)),"OK",IF((G109-I109)&gt;=TIME(0,3,0),"ADELANTADO")))))))</f>
        <v/>
      </c>
      <c r="I109" s="89" t="n"/>
      <c r="J109" s="89">
        <f>IF(A109&lt;&gt;"",HLOOKUP(VALUE(TEXT(G109,"h:mm:ss")),IF($C$6="Laboral",$FZ$4:$GX$227,IF($C$6="Sábado",$FZ$231:$GX$452,$FZ$456:$GX$656)),VLOOKUP($C$4,$HF$2:$HH$99,3,0)+IF(C$5="Ida",0,1),1),"")</f>
        <v/>
      </c>
      <c r="K109" s="89">
        <f>IF(A110&lt;&gt;A109,AVERAGEIF(A$9:A109,A109,J$9:J109),"")</f>
        <v/>
      </c>
      <c r="L109" s="89">
        <f>IFERROR(IF(A110&lt;&gt;A109,AVERAGEIF(A$9:A109,A109,S$9:S109),""),"")</f>
        <v/>
      </c>
      <c r="M109" s="89">
        <f>IFERROR(IF(A110&lt;&gt;A109,AVERAGEIF(A$9:A109,A109,T$9:T109),""),"")</f>
        <v/>
      </c>
      <c r="N109" s="89">
        <f t="array" ref="N109">IFERROR(IF(A110&lt;&gt;A109,_xlfn.STDEV.P(IF(A$9:A109=A109,T$9:T109)),""),"")</f>
        <v/>
      </c>
      <c r="O109" s="89">
        <f t="array" ref="O109">IFERROR(IF(A110&lt;&gt;A109,_xlfn.STDEV.P(IF(A$9:A109=A109,S$9:S109)),""),"")</f>
        <v/>
      </c>
      <c r="P109" s="90">
        <f>IFERROR(IF(A109&lt;&gt;A110,MAX((((M109*24*60)/2)*(1+POWER((((N109*24*60) / (M109*24*60) )),2))) + ((M109*24*60 )*-0.1 + (K109*0.015)) +1,(((M109*24*60)/2)*(1+POWER((((N109*24*60) / (M109*24*60 ))),2)))),""),"")</f>
        <v/>
      </c>
      <c r="Q109" s="90">
        <f>IF(AND(O109&lt;&gt;"",L109&lt;&gt;""),IF(A109&lt;&gt;A110,((L109*24*60) / 2 ) * (1 + POWER(((O109*24*60) / (L109*24*60)),2)),""),"")</f>
        <v/>
      </c>
      <c r="R109" s="90">
        <f>IF(Q109&lt;&gt;"",MAX(P109,Q109),"")</f>
        <v/>
      </c>
      <c r="S109" s="89">
        <f>IF(I109&lt;&gt;"H. Sale Real",IF(AND(I110&lt;&gt;"",LEFT(C110,2)&lt;&gt;"Va"),IF(AND(I109&lt;&gt;"",LEFT(C109,2)&lt;&gt;"Va",I109&lt;&gt;"H. Sale Real"),IF(I110-I109&lt;0.208333333333333,I110-I109,""),IF(AND(I108&lt;&gt;"",LEFT(C108,2)&lt;&gt;"Va",I108&lt;&gt;"H. Sale Real"),IF(I110-I108&lt;0.208333333333333,I110-I108,""),IF(AND(I107&lt;&gt;"",LEFT(C107,2)&lt;&gt;"Va",I107&lt;&gt;"H. Sale Real"),IF(I110-I107&lt;0.208333333333333,I110-I107,""),IF(AND(I106&lt;&gt;"",LEFT(C106,2)&lt;&gt;"Va",I106&lt;&gt;"H. Sale Real"),IF(I110-I106&lt;0.208333333333333,I110-I106,""),IF(AND(I105&lt;&gt;"",LEFT(C105,2)&lt;&gt;"Va",I105&lt;&gt;"H. Sale Real"),IF(I110-I105&lt;0.208333333333333,I110-I105,""),""))))),""),"")</f>
        <v/>
      </c>
      <c r="T109" s="89">
        <f>IF(G109&lt;&gt;"H. Sale Real",IF(AND(G110&lt;&gt;"",LEFT(C110,2)&lt;&gt;"Va"),IF(AND(G109&lt;&gt;"",LEFT(C109,2)&lt;&gt;"Va",G109&lt;&gt;"H. Sale Real"),IF(G110-G109&lt;0.208333333333333,G110-G109,""),IF(AND(G108&lt;&gt;"",LEFT(C108,2)&lt;&gt;"Va",G108&lt;&gt;"H. Sale Real"),IF(G110-G108&lt;0.208333333333333,G110-G108,""),IF(AND(G107&lt;&gt;"",LEFT(C107,2)&lt;&gt;"Va",G107&lt;&gt;"H. Sale Real"),IF(G110-G107&lt;0.208333333333333,G110-G107,""),IF(AND(G106&lt;&gt;"",LEFT(C106,2)&lt;&gt;"Va",G106&lt;&gt;"H. Sale Real"),IF(G110-G106&lt;0.208333333333333,G110-G106,""),IF(AND(G105&lt;&gt;"",LEFT(C105,2)&lt;&gt;"Va",G105&lt;&gt;"H. Sale Real"),IF(G110-G105&lt;0.208333333333333,G110-G105,""),""))))),""),"")</f>
        <v/>
      </c>
      <c r="U109" s="87" t="n"/>
      <c r="V109" s="89" t="n"/>
      <c r="W109" s="87" t="n"/>
      <c r="X109" s="89" t="n"/>
      <c r="Y109" s="91" t="n"/>
      <c r="Z109" s="122">
        <f>IF(G109&lt;&gt;"",IF(AND(Z108&lt;&gt;"IE",P109&lt;&gt;0,R109&lt;&gt;""),IF(IFERROR((P109/R109),0) &lt;=1,IFERROR(P109/R109,""),1),""),"")</f>
        <v/>
      </c>
      <c r="AA109" s="93" t="n"/>
      <c r="AB109" s="2" t="n"/>
      <c r="AE109" s="10">
        <f>HOUR(AK109)+1</f>
        <v/>
      </c>
      <c r="AF109" s="7" t="n"/>
      <c r="AG109" s="7" t="n"/>
      <c r="AH109" s="86" t="n"/>
      <c r="AI109" s="8" t="n"/>
      <c r="AJ109" s="86" t="n"/>
      <c r="AK109" s="87" t="n"/>
      <c r="AL109" s="88">
        <f>IF(AM109="","",IF(AND((AM109-AK109)&gt;=TIME(0,0,0),(AM109-AK109)&lt;TIME(0,3,0)),"OK",IF(AND((AM109-AK109)&gt;=TIME(0,3,0),(AM109-AK109)&lt;TIME(0,5,0)),"RETRASO DE 3-5 MIN",IF(AND((AM109-AK109)&gt;=TIME(0,5,0),(AM109-AK109)&lt;TIME(0,10,0)),"RETRASO DE 5-10 MIN",IF((AM109-AK109)&gt;=TIME(0,10,0),"RETRASO &gt;10 MIN", IF(AND((AK109-AM109)&gt;=TIME(0,0,0),(AK109-AM109)&lt;TIME(0,3,0)),"OK",IF((AK109-AM109)&gt;=TIME(0,3,0),"ADELANTADO")))))))</f>
        <v/>
      </c>
      <c r="AM109" s="91" t="n"/>
      <c r="AN109" s="89">
        <f>IF(AE109&lt;&gt;"",HLOOKUP(VALUE(TEXT(AK109,"h:mm:ss")),IF($C$6="Laboral",$FZ$4:$GX$227,IF($C$6="Sábado",$FZ$231:$GX$452,$FZ$456:$GX$656)),VLOOKUP($C$4,$HF$2:$HH$99,3,0)+IF(AG$5="Ida",0,1),1),"")</f>
        <v/>
      </c>
      <c r="AO109" s="89">
        <f>IF(AE110&lt;&gt;AE109,AVERAGEIF(AE$9:AE109,AE109,AN$9:AN109),"")</f>
        <v/>
      </c>
      <c r="AP109" s="89">
        <f>IFERROR(IF(AE110&lt;&gt;AE109,AVERAGEIF(AE$9:AE109,AE109,AW$9:AW109),""),"")</f>
        <v/>
      </c>
      <c r="AQ109" s="89">
        <f>IFERROR(IF(AE110&lt;&gt;AE109,AVERAGEIF(AE$9:AE109,AE109,AX$9:AX109),""),"")</f>
        <v/>
      </c>
      <c r="AR109" s="89">
        <f t="array" ref="AR109">IFERROR(IF(AE110&lt;&gt;AE109,_xlfn.STDEV.P(IF(AE$9:AE109=AE109,AX$9:AX109)),""),"")</f>
        <v/>
      </c>
      <c r="AS109" s="89">
        <f t="array" ref="AS109">IFERROR(IF(AE110&lt;&gt;AE109,_xlfn.STDEV.P(IF(AE$9:AE109=AE109,AW$9:AW109)),""),"")</f>
        <v/>
      </c>
      <c r="AT109" s="90">
        <f>IFERROR(IF(AE109&lt;&gt;AE110,MAX((((AQ109*24*60)/2)*(1+POWER((((AR109*24*60) / (AQ109*24*60) )),2))) + ((AQ109*24*60 )*-0.1 + (AO109*0.015)) +1,(((AQ109*24*60)/2)*(1+POWER((((AR109*24*60) / (AQ109*24*60 ))),2)))),""),"")</f>
        <v/>
      </c>
      <c r="AU109" s="90">
        <f>IF(AND(AS109&lt;&gt;"",AP109&lt;&gt;""),IF(AE109&lt;&gt;AE110,((AP109*24*60) / 2 ) * (1 + POWER(((AS109*24*60) / (AP109*24*60)),2)),""),"")</f>
        <v/>
      </c>
      <c r="AV109" s="90">
        <f>IF(AU109&lt;&gt;"",MAX(AT109,AU109),"")</f>
        <v/>
      </c>
      <c r="AW109" s="89">
        <f>IF(AM109&lt;&gt;"H. Sale Real",IF(AND(AM110&lt;&gt;"",LEFT(AG110,2)&lt;&gt;"Va"),IF(AND(AM109&lt;&gt;"",LEFT(AG109,2)&lt;&gt;"Va",AM109&lt;&gt;"H. Sale Real"),IF(AM110-AM109&lt;0.208333333333333,AM110-AM109,""),IF(AND(AM108&lt;&gt;"",LEFT(AG108,2)&lt;&gt;"Va",AM108&lt;&gt;"H. Sale Real"),IF(AM110-AM108&lt;0.208333333333333,AM110-AM108,""),IF(AND(AM107&lt;&gt;"",LEFT(AG107,2)&lt;&gt;"Va",AM107&lt;&gt;"H. Sale Real"),IF(AM110-AM107&lt;0.208333333333333,AM110-AM107,""),IF(AND(AM106&lt;&gt;"",LEFT(AG106,2)&lt;&gt;"Va",AM106&lt;&gt;"H. Sale Real"),IF(AM110-AM106&lt;0.208333333333333,AM110-AM106,""),IF(AND(AM105&lt;&gt;"",LEFT(AG105,2)&lt;&gt;"Va",AM105&lt;&gt;"H. Sale Real"),IF(AM110-AM105&lt;0.208333333333333,AM110-AM105,""),""))))),""),"")</f>
        <v/>
      </c>
      <c r="AX109" s="89">
        <f>IF(AK109&lt;&gt;"H. Sale Real",IF(AND(AK110&lt;&gt;"",LEFT(AG110,2)&lt;&gt;"Va"),IF(AND(AK109&lt;&gt;"",LEFT(AG109,2)&lt;&gt;"Va",AK109&lt;&gt;"H. Sale Real"),IF(AK110-AK109&lt;0.208333333333333,AK110-AK109,""),IF(AND(AK108&lt;&gt;"",LEFT(AG108,2)&lt;&gt;"Va",AK108&lt;&gt;"H. Sale Real"),IF(AK110-AK108&lt;0.208333333333333,AK110-AK108,""),IF(AND(AK107&lt;&gt;"",LEFT(AG107,2)&lt;&gt;"NC",AK107&lt;&gt;"H. Sale Real"),IF(AK110-AK107&lt;0.208333333333333,AK110-AK107,""),IF(AND(AK106&lt;&gt;"",LEFT(AG106,2)&lt;&gt;"Va",AK106&lt;&gt;"H. Sale Real"),IF(AK110-AK106&lt;0.208333333333333,AK110-AK106,""),IF(AND(AK105&lt;&gt;"",LEFT(AG105,2)&lt;&gt;"Va",AK105&lt;&gt;"H. Sale Real"),IF(AK110-AK105&lt;0.208333333333333,AK110-AK105,""),""))))),""),"")</f>
        <v/>
      </c>
      <c r="AY109" s="87" t="n"/>
      <c r="AZ109" s="89" t="n"/>
      <c r="BA109" s="87" t="n"/>
      <c r="BB109" s="89" t="n"/>
      <c r="BC109" s="91" t="n"/>
      <c r="BD109" s="122">
        <f>IF(AK109&lt;&gt;"",IF(AND(BD108&lt;&gt;"IE",AT109&lt;&gt;0,AV109&lt;&gt;""),IF(IFERROR((AT109/AV109),0) &lt;=1,IFERROR(AT109/AV109,""),1),""),"")</f>
        <v/>
      </c>
      <c r="BE109" s="93" t="n"/>
      <c r="BF109" s="105" t="n"/>
      <c r="FC109" t="inlineStr">
        <is>
          <t>Diccionario 1</t>
        </is>
      </c>
      <c r="FD109" s="15" t="n">
        <v>1106</v>
      </c>
      <c r="FE109" s="15" t="inlineStr">
        <is>
          <t>D8483914K2PL</t>
        </is>
      </c>
      <c r="FF109" s="15" t="inlineStr">
        <is>
          <t>YV3T7U524KA195593</t>
        </is>
      </c>
      <c r="FG109" s="15" t="inlineStr">
        <is>
          <t>Volvo</t>
        </is>
      </c>
      <c r="FH109" s="15" t="inlineStr">
        <is>
          <t>B8R</t>
        </is>
      </c>
      <c r="FI109" s="15" t="inlineStr">
        <is>
          <t>MARCOPOLO</t>
        </is>
      </c>
      <c r="FJ109" s="15" t="inlineStr">
        <is>
          <t>TORINO</t>
        </is>
      </c>
      <c r="FK109" s="15" t="n">
        <v>2019</v>
      </c>
      <c r="FL109" s="15" t="inlineStr">
        <is>
          <t>B2PAL</t>
        </is>
      </c>
      <c r="FM109" s="15" t="inlineStr">
        <is>
          <t>SAN JOSE</t>
        </is>
      </c>
      <c r="FN109" s="15" t="inlineStr">
        <is>
          <t>San José 030 (José Besa 669)</t>
        </is>
      </c>
      <c r="FO109" s="15" t="inlineStr">
        <is>
          <t>San Bernardo</t>
        </is>
      </c>
      <c r="FP109" t="inlineStr">
        <is>
          <t>B</t>
        </is>
      </c>
      <c r="FS109" s="14" t="inlineStr">
        <is>
          <t>3027 / SFVZ-85|</t>
        </is>
      </c>
      <c r="FT109" t="inlineStr">
        <is>
          <t>SFVZ-85|</t>
        </is>
      </c>
      <c r="FU109" t="inlineStr">
        <is>
          <t>SFVZ-85</t>
        </is>
      </c>
      <c r="FV109">
        <f>VLOOKUP(FU109,FD:FL,9,0)</f>
        <v/>
      </c>
      <c r="HA109" s="35" t="n">
        <v>106</v>
      </c>
      <c r="HB109" s="35" t="n">
        <v>103</v>
      </c>
    </row>
    <row r="110" ht="15.5" customHeight="1">
      <c r="A110" s="10">
        <f>HOUR(G110)+1</f>
        <v/>
      </c>
      <c r="B110" s="7" t="n"/>
      <c r="C110" s="7" t="n"/>
      <c r="D110" s="85">
        <f>IFERROR(
IF(AND(OR(Planilla!B110="C",Planilla!B110="c"), VLOOKUP(E110,FD:FP,13,0)="C"), "OK",IF(AND(OR(Planilla!B110="C",Planilla!B110="c"), OR(VLOOKUP(E110,FD:FP,13,0)="B", VLOOKUP(E110,FD:FP,13,0)="A")), "DEFICIT",IF(
AND(OR(Planilla!B110="B", Planilla!B110="BPAL"), VLOOKUP(E110,FD:FP,13,0)="B"), "OK",IF(AND(OR(Planilla!B110="B", Planilla!B110="BPAL"), VLOOKUP(E110,FD:FP,13,0)="A"), "DEFICIT",IF(AND(OR(Planilla!B110="B", Planilla!B110="BPAL"), VLOOKUP(E110,FD:FP,13,0)="C"), "SOBREOFERTA",IF(AND(Planilla!B110="A", VLOOKUP(E110,FD:FP,13,0)="A"), "OK",IF(
AND(Planilla!B110="A", OR(VLOOKUP(E110,FD:FP,13,0)="B", VLOOKUP(E110,FD:FP,13,0)="C")), "SOBREOFERTA",""
))))))),"")</f>
        <v/>
      </c>
      <c r="E110" s="8" t="n"/>
      <c r="F110" s="86" t="n"/>
      <c r="G110" s="87" t="n"/>
      <c r="H110" s="88">
        <f>IF(I110="","",IF(AND((I110-G110)&gt;=TIME(0,0,0),(I110-G110)&lt;TIME(0,3,0)),"OK",IF(AND((I110-G110)&gt;=TIME(0,3,0),(I110-G110)&lt;TIME(0,5,0)),"RETRASO DE 3-5 MIN",IF(AND((I110-G110)&gt;=TIME(0,5,0),(I110-G110)&lt;TIME(0,10,0)),"RETRASO DE 5-10 MIN",IF((I110-G110)&gt;=TIME(0,10,0),"RETRASO &gt;10 MIN", IF(AND((G110-I110)&gt;=TIME(0,0,0),(G110-I110)&lt;TIME(0,3,0)),"OK",IF((G110-I110)&gt;=TIME(0,3,0),"ADELANTADO")))))))</f>
        <v/>
      </c>
      <c r="I110" s="89" t="n"/>
      <c r="J110" s="89">
        <f>IF(A110&lt;&gt;"",HLOOKUP(VALUE(TEXT(G110,"h:mm:ss")),IF($C$6="Laboral",$FZ$4:$GX$227,IF($C$6="Sábado",$FZ$231:$GX$452,$FZ$456:$GX$656)),VLOOKUP($C$4,$HF$2:$HH$99,3,0)+IF(C$5="Ida",0,1),1),"")</f>
        <v/>
      </c>
      <c r="K110" s="89">
        <f>IF(A111&lt;&gt;A110,AVERAGEIF(A$9:A110,A110,J$9:J110),"")</f>
        <v/>
      </c>
      <c r="L110" s="89">
        <f>IFERROR(IF(A111&lt;&gt;A110,AVERAGEIF(A$9:A110,A110,S$9:S110),""),"")</f>
        <v/>
      </c>
      <c r="M110" s="89">
        <f>IFERROR(IF(A111&lt;&gt;A110,AVERAGEIF(A$9:A110,A110,T$9:T110),""),"")</f>
        <v/>
      </c>
      <c r="N110" s="89">
        <f t="array" ref="N110">IFERROR(IF(A111&lt;&gt;A110,_xlfn.STDEV.P(IF(A$9:A110=A110,T$9:T110)),""),"")</f>
        <v/>
      </c>
      <c r="O110" s="89">
        <f t="array" ref="O110">IFERROR(IF(A111&lt;&gt;A110,_xlfn.STDEV.P(IF(A$9:A110=A110,S$9:S110)),""),"")</f>
        <v/>
      </c>
      <c r="P110" s="90">
        <f>IFERROR(IF(A110&lt;&gt;A111,MAX((((M110*24*60)/2)*(1+POWER((((N110*24*60) / (M110*24*60) )),2))) + ((M110*24*60 )*-0.1 + (K110*0.015)) +1,(((M110*24*60)/2)*(1+POWER((((N110*24*60) / (M110*24*60 ))),2)))),""),"")</f>
        <v/>
      </c>
      <c r="Q110" s="90">
        <f>IF(AND(O110&lt;&gt;"",L110&lt;&gt;""),IF(A110&lt;&gt;A111,((L110*24*60) / 2 ) * (1 + POWER(((O110*24*60) / (L110*24*60)),2)),""),"")</f>
        <v/>
      </c>
      <c r="R110" s="90">
        <f>IF(Q110&lt;&gt;"",MAX(P110,Q110),"")</f>
        <v/>
      </c>
      <c r="S110" s="89">
        <f>IF(I110&lt;&gt;"H. Sale Real",IF(AND(I111&lt;&gt;"",LEFT(C111,2)&lt;&gt;"Va"),IF(AND(I110&lt;&gt;"",LEFT(C110,2)&lt;&gt;"Va",I110&lt;&gt;"H. Sale Real"),IF(I111-I110&lt;0.208333333333333,I111-I110,""),IF(AND(I109&lt;&gt;"",LEFT(C109,2)&lt;&gt;"Va",I109&lt;&gt;"H. Sale Real"),IF(I111-I109&lt;0.208333333333333,I111-I109,""),IF(AND(I108&lt;&gt;"",LEFT(C108,2)&lt;&gt;"Va",I108&lt;&gt;"H. Sale Real"),IF(I111-I108&lt;0.208333333333333,I111-I108,""),IF(AND(I107&lt;&gt;"",LEFT(C107,2)&lt;&gt;"Va",I107&lt;&gt;"H. Sale Real"),IF(I111-I107&lt;0.208333333333333,I111-I107,""),IF(AND(I106&lt;&gt;"",LEFT(C106,2)&lt;&gt;"Va",I106&lt;&gt;"H. Sale Real"),IF(I111-I106&lt;0.208333333333333,I111-I106,""),""))))),""),"")</f>
        <v/>
      </c>
      <c r="T110" s="89">
        <f>IF(G110&lt;&gt;"H. Sale Real",IF(AND(G111&lt;&gt;"",LEFT(C111,2)&lt;&gt;"Va"),IF(AND(G110&lt;&gt;"",LEFT(C110,2)&lt;&gt;"Va",G110&lt;&gt;"H. Sale Real"),IF(G111-G110&lt;0.208333333333333,G111-G110,""),IF(AND(G109&lt;&gt;"",LEFT(C109,2)&lt;&gt;"Va",G109&lt;&gt;"H. Sale Real"),IF(G111-G109&lt;0.208333333333333,G111-G109,""),IF(AND(G108&lt;&gt;"",LEFT(C108,2)&lt;&gt;"Va",G108&lt;&gt;"H. Sale Real"),IF(G111-G108&lt;0.208333333333333,G111-G108,""),IF(AND(G107&lt;&gt;"",LEFT(C107,2)&lt;&gt;"Va",G107&lt;&gt;"H. Sale Real"),IF(G111-G107&lt;0.208333333333333,G111-G107,""),IF(AND(G106&lt;&gt;"",LEFT(C106,2)&lt;&gt;"Va",G106&lt;&gt;"H. Sale Real"),IF(G111-G106&lt;0.208333333333333,G111-G106,""),""))))),""),"")</f>
        <v/>
      </c>
      <c r="U110" s="87" t="n"/>
      <c r="V110" s="89" t="n"/>
      <c r="W110" s="87" t="n"/>
      <c r="X110" s="89" t="n"/>
      <c r="Y110" s="91" t="n"/>
      <c r="Z110" s="122">
        <f>IF(G110&lt;&gt;"",IF(AND(Z109&lt;&gt;"IE",P110&lt;&gt;0,R110&lt;&gt;""),IF(IFERROR((P110/R110),0) &lt;=1,IFERROR(P110/R110,""),1),""),"")</f>
        <v/>
      </c>
      <c r="AA110" s="93" t="n"/>
      <c r="AB110" s="2" t="n"/>
      <c r="AE110" s="10">
        <f>HOUR(AK110)+1</f>
        <v/>
      </c>
      <c r="AF110" s="7" t="n"/>
      <c r="AG110" s="7" t="n"/>
      <c r="AH110" s="86" t="n"/>
      <c r="AI110" s="8" t="n"/>
      <c r="AJ110" s="86" t="n"/>
      <c r="AK110" s="87" t="n"/>
      <c r="AL110" s="88">
        <f>IF(AM110="","",IF(AND((AM110-AK110)&gt;=TIME(0,0,0),(AM110-AK110)&lt;TIME(0,3,0)),"OK",IF(AND((AM110-AK110)&gt;=TIME(0,3,0),(AM110-AK110)&lt;TIME(0,5,0)),"RETRASO DE 3-5 MIN",IF(AND((AM110-AK110)&gt;=TIME(0,5,0),(AM110-AK110)&lt;TIME(0,10,0)),"RETRASO DE 5-10 MIN",IF((AM110-AK110)&gt;=TIME(0,10,0),"RETRASO &gt;10 MIN", IF(AND((AK110-AM110)&gt;=TIME(0,0,0),(AK110-AM110)&lt;TIME(0,3,0)),"OK",IF((AK110-AM110)&gt;=TIME(0,3,0),"ADELANTADO")))))))</f>
        <v/>
      </c>
      <c r="AM110" s="91" t="n"/>
      <c r="AN110" s="89">
        <f>IF(AE110&lt;&gt;"",HLOOKUP(VALUE(TEXT(AK110,"h:mm:ss")),IF($C$6="Laboral",$FZ$4:$GX$227,IF($C$6="Sábado",$FZ$231:$GX$452,$FZ$456:$GX$656)),VLOOKUP($C$4,$HF$2:$HH$99,3,0)+IF(AG$5="Ida",0,1),1),"")</f>
        <v/>
      </c>
      <c r="AO110" s="89">
        <f>IF(AE111&lt;&gt;AE110,AVERAGEIF(AE$9:AE110,AE110,AN$9:AN110),"")</f>
        <v/>
      </c>
      <c r="AP110" s="89">
        <f>IFERROR(IF(AE111&lt;&gt;AE110,AVERAGEIF(AE$9:AE110,AE110,AW$9:AW110),""),"")</f>
        <v/>
      </c>
      <c r="AQ110" s="89">
        <f>IFERROR(IF(AE111&lt;&gt;AE110,AVERAGEIF(AE$9:AE110,AE110,AX$9:AX110),""),"")</f>
        <v/>
      </c>
      <c r="AR110" s="89">
        <f t="array" ref="AR110">IFERROR(IF(AE111&lt;&gt;AE110,_xlfn.STDEV.P(IF(AE$9:AE110=AE110,AX$9:AX110)),""),"")</f>
        <v/>
      </c>
      <c r="AS110" s="89">
        <f t="array" ref="AS110">IFERROR(IF(AE111&lt;&gt;AE110,_xlfn.STDEV.P(IF(AE$9:AE110=AE110,AW$9:AW110)),""),"")</f>
        <v/>
      </c>
      <c r="AT110" s="90">
        <f>IFERROR(IF(AE110&lt;&gt;AE111,MAX((((AQ110*24*60)/2)*(1+POWER((((AR110*24*60) / (AQ110*24*60) )),2))) + ((AQ110*24*60 )*-0.1 + (AO110*0.015)) +1,(((AQ110*24*60)/2)*(1+POWER((((AR110*24*60) / (AQ110*24*60 ))),2)))),""),"")</f>
        <v/>
      </c>
      <c r="AU110" s="90">
        <f>IF(AND(AS110&lt;&gt;"",AP110&lt;&gt;""),IF(AE110&lt;&gt;AE111,((AP110*24*60) / 2 ) * (1 + POWER(((AS110*24*60) / (AP110*24*60)),2)),""),"")</f>
        <v/>
      </c>
      <c r="AV110" s="90">
        <f>IF(AU110&lt;&gt;"",MAX(AT110,AU110),"")</f>
        <v/>
      </c>
      <c r="AW110" s="89">
        <f>IF(AM110&lt;&gt;"H. Sale Real",IF(AND(AM111&lt;&gt;"",LEFT(AG111,2)&lt;&gt;"Va"),IF(AND(AM110&lt;&gt;"",LEFT(AG110,2)&lt;&gt;"Va",AM110&lt;&gt;"H. Sale Real"),IF(AM111-AM110&lt;0.208333333333333,AM111-AM110,""),IF(AND(AM109&lt;&gt;"",LEFT(AG109,2)&lt;&gt;"Va",AM109&lt;&gt;"H. Sale Real"),IF(AM111-AM109&lt;0.208333333333333,AM111-AM109,""),IF(AND(AM108&lt;&gt;"",LEFT(AG108,2)&lt;&gt;"Va",AM108&lt;&gt;"H. Sale Real"),IF(AM111-AM108&lt;0.208333333333333,AM111-AM108,""),IF(AND(AM107&lt;&gt;"",LEFT(AG107,2)&lt;&gt;"Va",AM107&lt;&gt;"H. Sale Real"),IF(AM111-AM107&lt;0.208333333333333,AM111-AM107,""),IF(AND(AM106&lt;&gt;"",LEFT(AG106,2)&lt;&gt;"Va",AM106&lt;&gt;"H. Sale Real"),IF(AM111-AM106&lt;0.208333333333333,AM111-AM106,""),""))))),""),"")</f>
        <v/>
      </c>
      <c r="AX110" s="89">
        <f>IF(AK110&lt;&gt;"H. Sale Real",IF(AND(AK111&lt;&gt;"",LEFT(AG111,2)&lt;&gt;"Va"),IF(AND(AK110&lt;&gt;"",LEFT(AG110,2)&lt;&gt;"Va",AK110&lt;&gt;"H. Sale Real"),IF(AK111-AK110&lt;0.208333333333333,AK111-AK110,""),IF(AND(AK109&lt;&gt;"",LEFT(AG109,2)&lt;&gt;"Va",AK109&lt;&gt;"H. Sale Real"),IF(AK111-AK109&lt;0.208333333333333,AK111-AK109,""),IF(AND(AK108&lt;&gt;"",LEFT(AG108,2)&lt;&gt;"NC",AK108&lt;&gt;"H. Sale Real"),IF(AK111-AK108&lt;0.208333333333333,AK111-AK108,""),IF(AND(AK107&lt;&gt;"",LEFT(AG107,2)&lt;&gt;"Va",AK107&lt;&gt;"H. Sale Real"),IF(AK111-AK107&lt;0.208333333333333,AK111-AK107,""),IF(AND(AK106&lt;&gt;"",LEFT(AG106,2)&lt;&gt;"Va",AK106&lt;&gt;"H. Sale Real"),IF(AK111-AK106&lt;0.208333333333333,AK111-AK106,""),""))))),""),"")</f>
        <v/>
      </c>
      <c r="AY110" s="87" t="n"/>
      <c r="AZ110" s="89" t="n"/>
      <c r="BA110" s="87" t="n"/>
      <c r="BB110" s="89" t="n"/>
      <c r="BC110" s="91" t="n"/>
      <c r="BD110" s="122">
        <f>IF(AK110&lt;&gt;"",IF(AND(BD109&lt;&gt;"IE",AT110&lt;&gt;0,AV110&lt;&gt;""),IF(IFERROR((AT110/AV110),0) &lt;=1,IFERROR(AT110/AV110,""),1),""),"")</f>
        <v/>
      </c>
      <c r="BE110" s="93" t="n"/>
      <c r="BF110" s="105" t="n"/>
      <c r="FC110" t="inlineStr">
        <is>
          <t>Diccionario 1</t>
        </is>
      </c>
      <c r="FD110" s="15" t="n">
        <v>1107</v>
      </c>
      <c r="FE110" s="15" t="inlineStr">
        <is>
          <t>LDYECS31XS0043931</t>
        </is>
      </c>
      <c r="FF110" s="15" t="inlineStr">
        <is>
          <t>MDN35025010058</t>
        </is>
      </c>
      <c r="FG110" s="15" t="inlineStr">
        <is>
          <t>Zhong Tong</t>
        </is>
      </c>
      <c r="FH110" s="15" t="inlineStr">
        <is>
          <t>Lck6122evg</t>
        </is>
      </c>
      <c r="FI110" s="15" t="inlineStr">
        <is>
          <t>ZHONGTONG</t>
        </is>
      </c>
      <c r="FJ110" s="15" t="inlineStr">
        <is>
          <t>LCK6122EVG</t>
        </is>
      </c>
      <c r="FK110" s="15" t="n">
        <v>2025</v>
      </c>
      <c r="FL110" s="15" t="inlineStr">
        <is>
          <t>B</t>
        </is>
      </c>
      <c r="FM110" s="15" t="inlineStr">
        <is>
          <t>SAN JOSE</t>
        </is>
      </c>
      <c r="FN110" s="15" t="inlineStr">
        <is>
          <t>San José 030 (José Besa 669)</t>
        </is>
      </c>
      <c r="FO110" s="15" t="inlineStr">
        <is>
          <t>San Bernardo</t>
        </is>
      </c>
      <c r="FP110" t="inlineStr">
        <is>
          <t>B</t>
        </is>
      </c>
      <c r="FS110" s="14" t="inlineStr">
        <is>
          <t>3028 / SFWB-75|</t>
        </is>
      </c>
      <c r="FT110" t="inlineStr">
        <is>
          <t>SFWB-75|</t>
        </is>
      </c>
      <c r="FU110" t="inlineStr">
        <is>
          <t>SFWB-75</t>
        </is>
      </c>
      <c r="FV110">
        <f>VLOOKUP(FU110,FD:FL,9,0)</f>
        <v/>
      </c>
      <c r="HA110" s="35" t="n">
        <v>107</v>
      </c>
      <c r="HB110" s="35" t="n">
        <v>104</v>
      </c>
    </row>
    <row r="111" ht="15.5" customHeight="1">
      <c r="A111" s="10">
        <f>HOUR(G111)+1</f>
        <v/>
      </c>
      <c r="B111" s="7" t="n"/>
      <c r="C111" s="7" t="n"/>
      <c r="D111" s="85">
        <f>IFERROR(
IF(AND(OR(Planilla!B111="C",Planilla!B111="c"), VLOOKUP(E111,FD:FP,13,0)="C"), "OK",IF(AND(OR(Planilla!B111="C",Planilla!B111="c"), OR(VLOOKUP(E111,FD:FP,13,0)="B", VLOOKUP(E111,FD:FP,13,0)="A")), "DEFICIT",IF(
AND(OR(Planilla!B111="B", Planilla!B111="BPAL"), VLOOKUP(E111,FD:FP,13,0)="B"), "OK",IF(AND(OR(Planilla!B111="B", Planilla!B111="BPAL"), VLOOKUP(E111,FD:FP,13,0)="A"), "DEFICIT",IF(AND(OR(Planilla!B111="B", Planilla!B111="BPAL"), VLOOKUP(E111,FD:FP,13,0)="C"), "SOBREOFERTA",IF(AND(Planilla!B111="A", VLOOKUP(E111,FD:FP,13,0)="A"), "OK",IF(
AND(Planilla!B111="A", OR(VLOOKUP(E111,FD:FP,13,0)="B", VLOOKUP(E111,FD:FP,13,0)="C")), "SOBREOFERTA",""
))))))),"")</f>
        <v/>
      </c>
      <c r="E111" s="8" t="n"/>
      <c r="F111" s="86" t="n"/>
      <c r="G111" s="87" t="n"/>
      <c r="H111" s="88">
        <f>IF(I111="","",IF(AND((I111-G111)&gt;=TIME(0,0,0),(I111-G111)&lt;TIME(0,3,0)),"OK",IF(AND((I111-G111)&gt;=TIME(0,3,0),(I111-G111)&lt;TIME(0,5,0)),"RETRASO DE 3-5 MIN",IF(AND((I111-G111)&gt;=TIME(0,5,0),(I111-G111)&lt;TIME(0,10,0)),"RETRASO DE 5-10 MIN",IF((I111-G111)&gt;=TIME(0,10,0),"RETRASO &gt;10 MIN", IF(AND((G111-I111)&gt;=TIME(0,0,0),(G111-I111)&lt;TIME(0,3,0)),"OK",IF((G111-I111)&gt;=TIME(0,3,0),"ADELANTADO")))))))</f>
        <v/>
      </c>
      <c r="I111" s="89" t="n"/>
      <c r="J111" s="89">
        <f>IF(A111&lt;&gt;"",HLOOKUP(VALUE(TEXT(G111,"h:mm:ss")),IF($C$6="Laboral",$FZ$4:$GX$227,IF($C$6="Sábado",$FZ$231:$GX$452,$FZ$456:$GX$656)),VLOOKUP($C$4,$HF$2:$HH$99,3,0)+IF(C$5="Ida",0,1),1),"")</f>
        <v/>
      </c>
      <c r="K111" s="89">
        <f>IF(A112&lt;&gt;A111,AVERAGEIF(A$9:A111,A111,J$9:J111),"")</f>
        <v/>
      </c>
      <c r="L111" s="89">
        <f>IFERROR(IF(A112&lt;&gt;A111,AVERAGEIF(A$9:A111,A111,S$9:S111),""),"")</f>
        <v/>
      </c>
      <c r="M111" s="89">
        <f>IFERROR(IF(A112&lt;&gt;A111,AVERAGEIF(A$9:A111,A111,T$9:T111),""),"")</f>
        <v/>
      </c>
      <c r="N111" s="89">
        <f t="array" ref="N111">IFERROR(IF(A112&lt;&gt;A111,_xlfn.STDEV.P(IF(A$9:A111=A111,T$9:T111)),""),"")</f>
        <v/>
      </c>
      <c r="O111" s="89">
        <f t="array" ref="O111">IFERROR(IF(A112&lt;&gt;A111,_xlfn.STDEV.P(IF(A$9:A111=A111,S$9:S111)),""),"")</f>
        <v/>
      </c>
      <c r="P111" s="90">
        <f>IFERROR(IF(A111&lt;&gt;A112,MAX((((M111*24*60)/2)*(1+POWER((((N111*24*60) / (M111*24*60) )),2))) + ((M111*24*60 )*-0.1 + (K111*0.015)) +1,(((M111*24*60)/2)*(1+POWER((((N111*24*60) / (M111*24*60 ))),2)))),""),"")</f>
        <v/>
      </c>
      <c r="Q111" s="90">
        <f>IF(AND(O111&lt;&gt;"",L111&lt;&gt;""),IF(A111&lt;&gt;A112,((L111*24*60) / 2 ) * (1 + POWER(((O111*24*60) / (L111*24*60)),2)),""),"")</f>
        <v/>
      </c>
      <c r="R111" s="90">
        <f>IF(Q111&lt;&gt;"",MAX(P111,Q111),"")</f>
        <v/>
      </c>
      <c r="S111" s="89">
        <f>IF(I111&lt;&gt;"H. Sale Real",IF(AND(I112&lt;&gt;"",LEFT(C112,2)&lt;&gt;"Va"),IF(AND(I111&lt;&gt;"",LEFT(C111,2)&lt;&gt;"Va",I111&lt;&gt;"H. Sale Real"),IF(I112-I111&lt;0.208333333333333,I112-I111,""),IF(AND(I110&lt;&gt;"",LEFT(C110,2)&lt;&gt;"Va",I110&lt;&gt;"H. Sale Real"),IF(I112-I110&lt;0.208333333333333,I112-I110,""),IF(AND(I109&lt;&gt;"",LEFT(C109,2)&lt;&gt;"Va",I109&lt;&gt;"H. Sale Real"),IF(I112-I109&lt;0.208333333333333,I112-I109,""),IF(AND(I108&lt;&gt;"",LEFT(C108,2)&lt;&gt;"Va",I108&lt;&gt;"H. Sale Real"),IF(I112-I108&lt;0.208333333333333,I112-I108,""),IF(AND(I107&lt;&gt;"",LEFT(C107,2)&lt;&gt;"Va",I107&lt;&gt;"H. Sale Real"),IF(I112-I107&lt;0.208333333333333,I112-I107,""),""))))),""),"")</f>
        <v/>
      </c>
      <c r="T111" s="89">
        <f>IF(G111&lt;&gt;"H. Sale Real",IF(AND(G112&lt;&gt;"",LEFT(C112,2)&lt;&gt;"Va"),IF(AND(G111&lt;&gt;"",LEFT(C111,2)&lt;&gt;"Va",G111&lt;&gt;"H. Sale Real"),IF(G112-G111&lt;0.208333333333333,G112-G111,""),IF(AND(G110&lt;&gt;"",LEFT(C110,2)&lt;&gt;"Va",G110&lt;&gt;"H. Sale Real"),IF(G112-G110&lt;0.208333333333333,G112-G110,""),IF(AND(G109&lt;&gt;"",LEFT(C109,2)&lt;&gt;"Va",G109&lt;&gt;"H. Sale Real"),IF(G112-G109&lt;0.208333333333333,G112-G109,""),IF(AND(G108&lt;&gt;"",LEFT(C108,2)&lt;&gt;"Va",G108&lt;&gt;"H. Sale Real"),IF(G112-G108&lt;0.208333333333333,G112-G108,""),IF(AND(G107&lt;&gt;"",LEFT(C107,2)&lt;&gt;"Va",G107&lt;&gt;"H. Sale Real"),IF(G112-G107&lt;0.208333333333333,G112-G107,""),""))))),""),"")</f>
        <v/>
      </c>
      <c r="U111" s="87" t="n"/>
      <c r="V111" s="89" t="n"/>
      <c r="W111" s="87" t="n"/>
      <c r="X111" s="89" t="n"/>
      <c r="Y111" s="91" t="n"/>
      <c r="Z111" s="122">
        <f>IF(G111&lt;&gt;"",IF(AND(Z110&lt;&gt;"IE",P111&lt;&gt;0,R111&lt;&gt;""),IF(IFERROR((P111/R111),0) &lt;=1,IFERROR(P111/R111,""),1),""),"")</f>
        <v/>
      </c>
      <c r="AA111" s="93" t="n"/>
      <c r="AB111" s="2" t="n"/>
      <c r="AE111" s="10">
        <f>HOUR(AK111)+1</f>
        <v/>
      </c>
      <c r="AF111" s="7" t="n"/>
      <c r="AG111" s="7" t="n"/>
      <c r="AH111" s="86" t="n"/>
      <c r="AI111" s="8" t="n"/>
      <c r="AJ111" s="86" t="n"/>
      <c r="AK111" s="87" t="n"/>
      <c r="AL111" s="88">
        <f>IF(AM111="","",IF(AND((AM111-AK111)&gt;=TIME(0,0,0),(AM111-AK111)&lt;TIME(0,3,0)),"OK",IF(AND((AM111-AK111)&gt;=TIME(0,3,0),(AM111-AK111)&lt;TIME(0,5,0)),"RETRASO DE 3-5 MIN",IF(AND((AM111-AK111)&gt;=TIME(0,5,0),(AM111-AK111)&lt;TIME(0,10,0)),"RETRASO DE 5-10 MIN",IF((AM111-AK111)&gt;=TIME(0,10,0),"RETRASO &gt;10 MIN", IF(AND((AK111-AM111)&gt;=TIME(0,0,0),(AK111-AM111)&lt;TIME(0,3,0)),"OK",IF((AK111-AM111)&gt;=TIME(0,3,0),"ADELANTADO")))))))</f>
        <v/>
      </c>
      <c r="AM111" s="91" t="n"/>
      <c r="AN111" s="89">
        <f>IF(AE111&lt;&gt;"",HLOOKUP(VALUE(TEXT(AK111,"h:mm:ss")),IF($C$6="Laboral",$FZ$4:$GX$227,IF($C$6="Sábado",$FZ$231:$GX$452,$FZ$456:$GX$656)),VLOOKUP($C$4,$HF$2:$HH$99,3,0)+IF(AG$5="Ida",0,1),1),"")</f>
        <v/>
      </c>
      <c r="AO111" s="89">
        <f>IF(AE112&lt;&gt;AE111,AVERAGEIF(AE$9:AE111,AE111,AN$9:AN111),"")</f>
        <v/>
      </c>
      <c r="AP111" s="89">
        <f>IFERROR(IF(AE112&lt;&gt;AE111,AVERAGEIF(AE$9:AE111,AE111,AW$9:AW111),""),"")</f>
        <v/>
      </c>
      <c r="AQ111" s="89">
        <f>IFERROR(IF(AE112&lt;&gt;AE111,AVERAGEIF(AE$9:AE111,AE111,AX$9:AX111),""),"")</f>
        <v/>
      </c>
      <c r="AR111" s="89">
        <f t="array" ref="AR111">IFERROR(IF(AE112&lt;&gt;AE111,_xlfn.STDEV.P(IF(AE$9:AE111=AE111,AX$9:AX111)),""),"")</f>
        <v/>
      </c>
      <c r="AS111" s="89">
        <f t="array" ref="AS111">IFERROR(IF(AE112&lt;&gt;AE111,_xlfn.STDEV.P(IF(AE$9:AE111=AE111,AW$9:AW111)),""),"")</f>
        <v/>
      </c>
      <c r="AT111" s="90">
        <f>IFERROR(IF(AE111&lt;&gt;AE112,MAX((((AQ111*24*60)/2)*(1+POWER((((AR111*24*60) / (AQ111*24*60) )),2))) + ((AQ111*24*60 )*-0.1 + (AO111*0.015)) +1,(((AQ111*24*60)/2)*(1+POWER((((AR111*24*60) / (AQ111*24*60 ))),2)))),""),"")</f>
        <v/>
      </c>
      <c r="AU111" s="90">
        <f>IF(AND(AS111&lt;&gt;"",AP111&lt;&gt;""),IF(AE111&lt;&gt;AE112,((AP111*24*60) / 2 ) * (1 + POWER(((AS111*24*60) / (AP111*24*60)),2)),""),"")</f>
        <v/>
      </c>
      <c r="AV111" s="90">
        <f>IF(AU111&lt;&gt;"",MAX(AT111,AU111),"")</f>
        <v/>
      </c>
      <c r="AW111" s="89">
        <f>IF(AM111&lt;&gt;"H. Sale Real",IF(AND(AM112&lt;&gt;"",LEFT(AG112,2)&lt;&gt;"Va"),IF(AND(AM111&lt;&gt;"",LEFT(AG111,2)&lt;&gt;"Va",AM111&lt;&gt;"H. Sale Real"),IF(AM112-AM111&lt;0.208333333333333,AM112-AM111,""),IF(AND(AM110&lt;&gt;"",LEFT(AG110,2)&lt;&gt;"Va",AM110&lt;&gt;"H. Sale Real"),IF(AM112-AM110&lt;0.208333333333333,AM112-AM110,""),IF(AND(AM109&lt;&gt;"",LEFT(AG109,2)&lt;&gt;"Va",AM109&lt;&gt;"H. Sale Real"),IF(AM112-AM109&lt;0.208333333333333,AM112-AM109,""),IF(AND(AM108&lt;&gt;"",LEFT(AG108,2)&lt;&gt;"Va",AM108&lt;&gt;"H. Sale Real"),IF(AM112-AM108&lt;0.208333333333333,AM112-AM108,""),IF(AND(AM107&lt;&gt;"",LEFT(AG107,2)&lt;&gt;"Va",AM107&lt;&gt;"H. Sale Real"),IF(AM112-AM107&lt;0.208333333333333,AM112-AM107,""),""))))),""),"")</f>
        <v/>
      </c>
      <c r="AX111" s="89">
        <f>IF(AK111&lt;&gt;"H. Sale Real",IF(AND(AK112&lt;&gt;"",LEFT(AG112,2)&lt;&gt;"Va"),IF(AND(AK111&lt;&gt;"",LEFT(AG111,2)&lt;&gt;"Va",AK111&lt;&gt;"H. Sale Real"),IF(AK112-AK111&lt;0.208333333333333,AK112-AK111,""),IF(AND(AK110&lt;&gt;"",LEFT(AG110,2)&lt;&gt;"Va",AK110&lt;&gt;"H. Sale Real"),IF(AK112-AK110&lt;0.208333333333333,AK112-AK110,""),IF(AND(AK109&lt;&gt;"",LEFT(AG109,2)&lt;&gt;"NC",AK109&lt;&gt;"H. Sale Real"),IF(AK112-AK109&lt;0.208333333333333,AK112-AK109,""),IF(AND(AK108&lt;&gt;"",LEFT(AG108,2)&lt;&gt;"Va",AK108&lt;&gt;"H. Sale Real"),IF(AK112-AK108&lt;0.208333333333333,AK112-AK108,""),IF(AND(AK107&lt;&gt;"",LEFT(AG107,2)&lt;&gt;"Va",AK107&lt;&gt;"H. Sale Real"),IF(AK112-AK107&lt;0.208333333333333,AK112-AK107,""),""))))),""),"")</f>
        <v/>
      </c>
      <c r="AY111" s="87" t="n"/>
      <c r="AZ111" s="89" t="n"/>
      <c r="BA111" s="87" t="n"/>
      <c r="BB111" s="89" t="n"/>
      <c r="BC111" s="91" t="n"/>
      <c r="BD111" s="122">
        <f>IF(AK111&lt;&gt;"",IF(AND(BD110&lt;&gt;"IE",AT111&lt;&gt;0,AV111&lt;&gt;""),IF(IFERROR((AT111/AV111),0) &lt;=1,IFERROR(AT111/AV111,""),1),""),"")</f>
        <v/>
      </c>
      <c r="BE111" s="93" t="n"/>
      <c r="BF111" s="105" t="n"/>
      <c r="FC111" t="inlineStr">
        <is>
          <t>Diccionario 1</t>
        </is>
      </c>
      <c r="FD111" s="15" t="n">
        <v>1108</v>
      </c>
      <c r="FE111" s="15" t="inlineStr">
        <is>
          <t>LDYECS315S0043917</t>
        </is>
      </c>
      <c r="FF111" s="15" t="inlineStr">
        <is>
          <t>MDN35025010105</t>
        </is>
      </c>
      <c r="FG111" s="15" t="inlineStr">
        <is>
          <t>Zhong Tong</t>
        </is>
      </c>
      <c r="FH111" s="15" t="inlineStr">
        <is>
          <t>Lck6122evg</t>
        </is>
      </c>
      <c r="FI111" s="15" t="inlineStr">
        <is>
          <t>ZHONGTONG</t>
        </is>
      </c>
      <c r="FJ111" s="15" t="inlineStr">
        <is>
          <t>LCK6122EVG</t>
        </is>
      </c>
      <c r="FK111" s="15" t="n">
        <v>2025</v>
      </c>
      <c r="FL111" s="15" t="inlineStr">
        <is>
          <t>B</t>
        </is>
      </c>
      <c r="FM111" s="15" t="inlineStr">
        <is>
          <t>SAN JOSE</t>
        </is>
      </c>
      <c r="FN111" s="15" t="inlineStr">
        <is>
          <t>San José 030 (José Besa 669)</t>
        </is>
      </c>
      <c r="FO111" s="15" t="inlineStr">
        <is>
          <t>San Bernardo</t>
        </is>
      </c>
      <c r="FP111" t="inlineStr">
        <is>
          <t>B</t>
        </is>
      </c>
      <c r="FS111" s="14" t="inlineStr">
        <is>
          <t>3028 / SFWB-75|</t>
        </is>
      </c>
      <c r="FT111" t="inlineStr">
        <is>
          <t>SFWB-75|</t>
        </is>
      </c>
      <c r="FU111" t="inlineStr">
        <is>
          <t>SFWB-75</t>
        </is>
      </c>
      <c r="FV111">
        <f>VLOOKUP(FU111,FD:FL,9,0)</f>
        <v/>
      </c>
      <c r="HA111" s="35" t="n">
        <v>108</v>
      </c>
      <c r="HB111" s="35" t="n">
        <v>105</v>
      </c>
    </row>
    <row r="112" ht="15.5" customHeight="1">
      <c r="A112" s="10">
        <f>HOUR(G112)+1</f>
        <v/>
      </c>
      <c r="B112" s="7" t="n"/>
      <c r="C112" s="7" t="n"/>
      <c r="D112" s="85">
        <f>IFERROR(
IF(AND(OR(Planilla!B112="C",Planilla!B112="c"), VLOOKUP(E112,FD:FP,13,0)="C"), "OK",IF(AND(OR(Planilla!B112="C",Planilla!B112="c"), OR(VLOOKUP(E112,FD:FP,13,0)="B", VLOOKUP(E112,FD:FP,13,0)="A")), "DEFICIT",IF(
AND(OR(Planilla!B112="B", Planilla!B112="BPAL"), VLOOKUP(E112,FD:FP,13,0)="B"), "OK",IF(AND(OR(Planilla!B112="B", Planilla!B112="BPAL"), VLOOKUP(E112,FD:FP,13,0)="A"), "DEFICIT",IF(AND(OR(Planilla!B112="B", Planilla!B112="BPAL"), VLOOKUP(E112,FD:FP,13,0)="C"), "SOBREOFERTA",IF(AND(Planilla!B112="A", VLOOKUP(E112,FD:FP,13,0)="A"), "OK",IF(
AND(Planilla!B112="A", OR(VLOOKUP(E112,FD:FP,13,0)="B", VLOOKUP(E112,FD:FP,13,0)="C")), "SOBREOFERTA",""
))))))),"")</f>
        <v/>
      </c>
      <c r="E112" s="8" t="n"/>
      <c r="F112" s="86" t="n"/>
      <c r="G112" s="87" t="n"/>
      <c r="H112" s="88">
        <f>IF(I112="","",IF(AND((I112-G112)&gt;=TIME(0,0,0),(I112-G112)&lt;TIME(0,3,0)),"OK",IF(AND((I112-G112)&gt;=TIME(0,3,0),(I112-G112)&lt;TIME(0,5,0)),"RETRASO DE 3-5 MIN",IF(AND((I112-G112)&gt;=TIME(0,5,0),(I112-G112)&lt;TIME(0,10,0)),"RETRASO DE 5-10 MIN",IF((I112-G112)&gt;=TIME(0,10,0),"RETRASO &gt;10 MIN", IF(AND((G112-I112)&gt;=TIME(0,0,0),(G112-I112)&lt;TIME(0,3,0)),"OK",IF((G112-I112)&gt;=TIME(0,3,0),"ADELANTADO")))))))</f>
        <v/>
      </c>
      <c r="I112" s="89" t="n"/>
      <c r="J112" s="89">
        <f>IF(A112&lt;&gt;"",HLOOKUP(VALUE(TEXT(G112,"h:mm:ss")),IF($C$6="Laboral",$FZ$4:$GX$227,IF($C$6="Sábado",$FZ$231:$GX$452,$FZ$456:$GX$656)),VLOOKUP($C$4,$HF$2:$HH$99,3,0)+IF(C$5="Ida",0,1),1),"")</f>
        <v/>
      </c>
      <c r="K112" s="89">
        <f>IF(A113&lt;&gt;A112,AVERAGEIF(A$9:A112,A112,J$9:J112),"")</f>
        <v/>
      </c>
      <c r="L112" s="89">
        <f>IFERROR(IF(A113&lt;&gt;A112,AVERAGEIF(A$9:A112,A112,S$9:S112),""),"")</f>
        <v/>
      </c>
      <c r="M112" s="89">
        <f>IFERROR(IF(A113&lt;&gt;A112,AVERAGEIF(A$9:A112,A112,T$9:T112),""),"")</f>
        <v/>
      </c>
      <c r="N112" s="89">
        <f t="array" ref="N112">IFERROR(IF(A113&lt;&gt;A112,_xlfn.STDEV.P(IF(A$9:A112=A112,T$9:T112)),""),"")</f>
        <v/>
      </c>
      <c r="O112" s="89">
        <f t="array" ref="O112">IFERROR(IF(A113&lt;&gt;A112,_xlfn.STDEV.P(IF(A$9:A112=A112,S$9:S112)),""),"")</f>
        <v/>
      </c>
      <c r="P112" s="90">
        <f>IFERROR(IF(A112&lt;&gt;A113,MAX((((M112*24*60)/2)*(1+POWER((((N112*24*60) / (M112*24*60) )),2))) + ((M112*24*60 )*-0.1 + (K112*0.015)) +1,(((M112*24*60)/2)*(1+POWER((((N112*24*60) / (M112*24*60 ))),2)))),""),"")</f>
        <v/>
      </c>
      <c r="Q112" s="90">
        <f>IF(AND(O112&lt;&gt;"",L112&lt;&gt;""),IF(A112&lt;&gt;A113,((L112*24*60) / 2 ) * (1 + POWER(((O112*24*60) / (L112*24*60)),2)),""),"")</f>
        <v/>
      </c>
      <c r="R112" s="90">
        <f>IF(Q112&lt;&gt;"",MAX(P112,Q112),"")</f>
        <v/>
      </c>
      <c r="S112" s="89">
        <f>IF(I112&lt;&gt;"H. Sale Real",IF(AND(I113&lt;&gt;"",LEFT(C113,2)&lt;&gt;"Va"),IF(AND(I112&lt;&gt;"",LEFT(C112,2)&lt;&gt;"Va",I112&lt;&gt;"H. Sale Real"),IF(I113-I112&lt;0.208333333333333,I113-I112,""),IF(AND(I111&lt;&gt;"",LEFT(C111,2)&lt;&gt;"Va",I111&lt;&gt;"H. Sale Real"),IF(I113-I111&lt;0.208333333333333,I113-I111,""),IF(AND(I110&lt;&gt;"",LEFT(C110,2)&lt;&gt;"Va",I110&lt;&gt;"H. Sale Real"),IF(I113-I110&lt;0.208333333333333,I113-I110,""),IF(AND(I109&lt;&gt;"",LEFT(C109,2)&lt;&gt;"Va",I109&lt;&gt;"H. Sale Real"),IF(I113-I109&lt;0.208333333333333,I113-I109,""),IF(AND(I108&lt;&gt;"",LEFT(C108,2)&lt;&gt;"Va",I108&lt;&gt;"H. Sale Real"),IF(I113-I108&lt;0.208333333333333,I113-I108,""),""))))),""),"")</f>
        <v/>
      </c>
      <c r="T112" s="89">
        <f>IF(G112&lt;&gt;"H. Sale Real",IF(AND(G113&lt;&gt;"",LEFT(C113,2)&lt;&gt;"Va"),IF(AND(G112&lt;&gt;"",LEFT(C112,2)&lt;&gt;"Va",G112&lt;&gt;"H. Sale Real"),IF(G113-G112&lt;0.208333333333333,G113-G112,""),IF(AND(G111&lt;&gt;"",LEFT(C111,2)&lt;&gt;"Va",G111&lt;&gt;"H. Sale Real"),IF(G113-G111&lt;0.208333333333333,G113-G111,""),IF(AND(G110&lt;&gt;"",LEFT(C110,2)&lt;&gt;"Va",G110&lt;&gt;"H. Sale Real"),IF(G113-G110&lt;0.208333333333333,G113-G110,""),IF(AND(G109&lt;&gt;"",LEFT(C109,2)&lt;&gt;"Va",G109&lt;&gt;"H. Sale Real"),IF(G113-G109&lt;0.208333333333333,G113-G109,""),IF(AND(G108&lt;&gt;"",LEFT(C108,2)&lt;&gt;"Va",G108&lt;&gt;"H. Sale Real"),IF(G113-G108&lt;0.208333333333333,G113-G108,""),""))))),""),"")</f>
        <v/>
      </c>
      <c r="U112" s="87" t="n"/>
      <c r="V112" s="89" t="n"/>
      <c r="W112" s="87" t="n"/>
      <c r="X112" s="89" t="n"/>
      <c r="Y112" s="91" t="n"/>
      <c r="Z112" s="122">
        <f>IF(G112&lt;&gt;"",IF(AND(Z111&lt;&gt;"IE",P112&lt;&gt;0,R112&lt;&gt;""),IF(IFERROR((P112/R112),0) &lt;=1,IFERROR(P112/R112,""),1),""),"")</f>
        <v/>
      </c>
      <c r="AA112" s="93" t="n"/>
      <c r="AB112" s="2" t="n"/>
      <c r="AE112" s="10">
        <f>HOUR(AK112)+1</f>
        <v/>
      </c>
      <c r="AF112" s="7" t="n"/>
      <c r="AG112" s="7" t="n"/>
      <c r="AH112" s="86" t="n"/>
      <c r="AI112" s="8" t="n"/>
      <c r="AJ112" s="86" t="n"/>
      <c r="AK112" s="87" t="n"/>
      <c r="AL112" s="88">
        <f>IF(AM112="","",IF(AND((AM112-AK112)&gt;=TIME(0,0,0),(AM112-AK112)&lt;TIME(0,3,0)),"OK",IF(AND((AM112-AK112)&gt;=TIME(0,3,0),(AM112-AK112)&lt;TIME(0,5,0)),"RETRASO DE 3-5 MIN",IF(AND((AM112-AK112)&gt;=TIME(0,5,0),(AM112-AK112)&lt;TIME(0,10,0)),"RETRASO DE 5-10 MIN",IF((AM112-AK112)&gt;=TIME(0,10,0),"RETRASO &gt;10 MIN", IF(AND((AK112-AM112)&gt;=TIME(0,0,0),(AK112-AM112)&lt;TIME(0,3,0)),"OK",IF((AK112-AM112)&gt;=TIME(0,3,0),"ADELANTADO")))))))</f>
        <v/>
      </c>
      <c r="AM112" s="91" t="n"/>
      <c r="AN112" s="89">
        <f>IF(AE112&lt;&gt;"",HLOOKUP(VALUE(TEXT(AK112,"h:mm:ss")),IF($C$6="Laboral",$FZ$4:$GX$227,IF($C$6="Sábado",$FZ$231:$GX$452,$FZ$456:$GX$656)),VLOOKUP($C$4,$HF$2:$HH$99,3,0)+IF(AG$5="Ida",0,1),1),"")</f>
        <v/>
      </c>
      <c r="AO112" s="89">
        <f>IF(AE113&lt;&gt;AE112,AVERAGEIF(AE$9:AE112,AE112,AN$9:AN112),"")</f>
        <v/>
      </c>
      <c r="AP112" s="89">
        <f>IFERROR(IF(AE113&lt;&gt;AE112,AVERAGEIF(AE$9:AE112,AE112,AW$9:AW112),""),"")</f>
        <v/>
      </c>
      <c r="AQ112" s="89">
        <f>IFERROR(IF(AE113&lt;&gt;AE112,AVERAGEIF(AE$9:AE112,AE112,AX$9:AX112),""),"")</f>
        <v/>
      </c>
      <c r="AR112" s="89">
        <f t="array" ref="AR112">IFERROR(IF(AE113&lt;&gt;AE112,_xlfn.STDEV.P(IF(AE$9:AE112=AE112,AX$9:AX112)),""),"")</f>
        <v/>
      </c>
      <c r="AS112" s="89">
        <f t="array" ref="AS112">IFERROR(IF(AE113&lt;&gt;AE112,_xlfn.STDEV.P(IF(AE$9:AE112=AE112,AW$9:AW112)),""),"")</f>
        <v/>
      </c>
      <c r="AT112" s="90">
        <f>IFERROR(IF(AE112&lt;&gt;AE113,MAX((((AQ112*24*60)/2)*(1+POWER((((AR112*24*60) / (AQ112*24*60) )),2))) + ((AQ112*24*60 )*-0.1 + (AO112*0.015)) +1,(((AQ112*24*60)/2)*(1+POWER((((AR112*24*60) / (AQ112*24*60 ))),2)))),""),"")</f>
        <v/>
      </c>
      <c r="AU112" s="90">
        <f>IF(AND(AS112&lt;&gt;"",AP112&lt;&gt;""),IF(AE112&lt;&gt;AE113,((AP112*24*60) / 2 ) * (1 + POWER(((AS112*24*60) / (AP112*24*60)),2)),""),"")</f>
        <v/>
      </c>
      <c r="AV112" s="90">
        <f>IF(AU112&lt;&gt;"",MAX(AT112,AU112),"")</f>
        <v/>
      </c>
      <c r="AW112" s="89">
        <f>IF(AM112&lt;&gt;"H. Sale Real",IF(AND(AM113&lt;&gt;"",LEFT(AG113,2)&lt;&gt;"Va"),IF(AND(AM112&lt;&gt;"",LEFT(AG112,2)&lt;&gt;"Va",AM112&lt;&gt;"H. Sale Real"),IF(AM113-AM112&lt;0.208333333333333,AM113-AM112,""),IF(AND(AM111&lt;&gt;"",LEFT(AG111,2)&lt;&gt;"Va",AM111&lt;&gt;"H. Sale Real"),IF(AM113-AM111&lt;0.208333333333333,AM113-AM111,""),IF(AND(AM110&lt;&gt;"",LEFT(AG110,2)&lt;&gt;"Va",AM110&lt;&gt;"H. Sale Real"),IF(AM113-AM110&lt;0.208333333333333,AM113-AM110,""),IF(AND(AM109&lt;&gt;"",LEFT(AG109,2)&lt;&gt;"Va",AM109&lt;&gt;"H. Sale Real"),IF(AM113-AM109&lt;0.208333333333333,AM113-AM109,""),IF(AND(AM108&lt;&gt;"",LEFT(AG108,2)&lt;&gt;"Va",AM108&lt;&gt;"H. Sale Real"),IF(AM113-AM108&lt;0.208333333333333,AM113-AM108,""),""))))),""),"")</f>
        <v/>
      </c>
      <c r="AX112" s="89">
        <f>IF(AK112&lt;&gt;"H. Sale Real",IF(AND(AK113&lt;&gt;"",LEFT(AG113,2)&lt;&gt;"Va"),IF(AND(AK112&lt;&gt;"",LEFT(AG112,2)&lt;&gt;"Va",AK112&lt;&gt;"H. Sale Real"),IF(AK113-AK112&lt;0.208333333333333,AK113-AK112,""),IF(AND(AK111&lt;&gt;"",LEFT(AG111,2)&lt;&gt;"Va",AK111&lt;&gt;"H. Sale Real"),IF(AK113-AK111&lt;0.208333333333333,AK113-AK111,""),IF(AND(AK110&lt;&gt;"",LEFT(AG110,2)&lt;&gt;"NC",AK110&lt;&gt;"H. Sale Real"),IF(AK113-AK110&lt;0.208333333333333,AK113-AK110,""),IF(AND(AK109&lt;&gt;"",LEFT(AG109,2)&lt;&gt;"Va",AK109&lt;&gt;"H. Sale Real"),IF(AK113-AK109&lt;0.208333333333333,AK113-AK109,""),IF(AND(AK108&lt;&gt;"",LEFT(AG108,2)&lt;&gt;"Va",AK108&lt;&gt;"H. Sale Real"),IF(AK113-AK108&lt;0.208333333333333,AK113-AK108,""),""))))),""),"")</f>
        <v/>
      </c>
      <c r="AY112" s="87" t="n"/>
      <c r="AZ112" s="89" t="n"/>
      <c r="BA112" s="87" t="n"/>
      <c r="BB112" s="89" t="n"/>
      <c r="BC112" s="91" t="n"/>
      <c r="BD112" s="122">
        <f>IF(AK112&lt;&gt;"",IF(AND(BD111&lt;&gt;"IE",AT112&lt;&gt;0,AV112&lt;&gt;""),IF(IFERROR((AT112/AV112),0) &lt;=1,IFERROR(AT112/AV112,""),1),""),"")</f>
        <v/>
      </c>
      <c r="BE112" s="93" t="n"/>
      <c r="BF112" s="105" t="n"/>
      <c r="FC112" t="inlineStr">
        <is>
          <t>Diccionario 1</t>
        </is>
      </c>
      <c r="FD112" s="15" t="n">
        <v>1109</v>
      </c>
      <c r="FE112" s="15" t="inlineStr">
        <is>
          <t>LDYECS319S0043970</t>
        </is>
      </c>
      <c r="FF112" s="15" t="inlineStr">
        <is>
          <t>MDN35025010061</t>
        </is>
      </c>
      <c r="FG112" s="15" t="inlineStr">
        <is>
          <t>Zhong Tong</t>
        </is>
      </c>
      <c r="FH112" s="15" t="inlineStr">
        <is>
          <t>Lck6122evg</t>
        </is>
      </c>
      <c r="FI112" s="15" t="inlineStr">
        <is>
          <t>ZHONGTONG</t>
        </is>
      </c>
      <c r="FJ112" s="15" t="inlineStr">
        <is>
          <t>LCK6122EVG</t>
        </is>
      </c>
      <c r="FK112" s="15" t="n">
        <v>2025</v>
      </c>
      <c r="FL112" s="15" t="inlineStr">
        <is>
          <t>B</t>
        </is>
      </c>
      <c r="FM112" s="15" t="inlineStr">
        <is>
          <t>SAN JOSE</t>
        </is>
      </c>
      <c r="FN112" s="15" t="inlineStr">
        <is>
          <t>San José 030 (José Besa 669)</t>
        </is>
      </c>
      <c r="FO112" s="15" t="inlineStr">
        <is>
          <t>San Bernardo</t>
        </is>
      </c>
      <c r="FP112" t="inlineStr">
        <is>
          <t>B</t>
        </is>
      </c>
      <c r="FS112" s="14" t="inlineStr">
        <is>
          <t>3028 / SFWB-75|</t>
        </is>
      </c>
      <c r="FT112" t="inlineStr">
        <is>
          <t>SFWB-75|</t>
        </is>
      </c>
      <c r="FU112" t="inlineStr">
        <is>
          <t>SFWB-75</t>
        </is>
      </c>
      <c r="FV112">
        <f>VLOOKUP(FU112,FD:FL,9,0)</f>
        <v/>
      </c>
      <c r="HA112" s="35" t="n">
        <v>109</v>
      </c>
      <c r="HB112" s="35" t="n">
        <v>106</v>
      </c>
    </row>
    <row r="113" ht="15.5" customHeight="1">
      <c r="A113" s="10">
        <f>HOUR(G113)+1</f>
        <v/>
      </c>
      <c r="B113" s="7" t="n"/>
      <c r="C113" s="7" t="n"/>
      <c r="D113" s="85">
        <f>IFERROR(
IF(AND(OR(Planilla!B113="C",Planilla!B113="c"), VLOOKUP(E113,FD:FP,13,0)="C"), "OK",IF(AND(OR(Planilla!B113="C",Planilla!B113="c"), OR(VLOOKUP(E113,FD:FP,13,0)="B", VLOOKUP(E113,FD:FP,13,0)="A")), "DEFICIT",IF(
AND(OR(Planilla!B113="B", Planilla!B113="BPAL"), VLOOKUP(E113,FD:FP,13,0)="B"), "OK",IF(AND(OR(Planilla!B113="B", Planilla!B113="BPAL"), VLOOKUP(E113,FD:FP,13,0)="A"), "DEFICIT",IF(AND(OR(Planilla!B113="B", Planilla!B113="BPAL"), VLOOKUP(E113,FD:FP,13,0)="C"), "SOBREOFERTA",IF(AND(Planilla!B113="A", VLOOKUP(E113,FD:FP,13,0)="A"), "OK",IF(
AND(Planilla!B113="A", OR(VLOOKUP(E113,FD:FP,13,0)="B", VLOOKUP(E113,FD:FP,13,0)="C")), "SOBREOFERTA",""
))))))),"")</f>
        <v/>
      </c>
      <c r="E113" s="8" t="n"/>
      <c r="F113" s="86" t="n"/>
      <c r="G113" s="87" t="n"/>
      <c r="H113" s="88">
        <f>IF(I113="","",IF(AND((I113-G113)&gt;=TIME(0,0,0),(I113-G113)&lt;TIME(0,3,0)),"OK",IF(AND((I113-G113)&gt;=TIME(0,3,0),(I113-G113)&lt;TIME(0,5,0)),"RETRASO DE 3-5 MIN",IF(AND((I113-G113)&gt;=TIME(0,5,0),(I113-G113)&lt;TIME(0,10,0)),"RETRASO DE 5-10 MIN",IF((I113-G113)&gt;=TIME(0,10,0),"RETRASO &gt;10 MIN", IF(AND((G113-I113)&gt;=TIME(0,0,0),(G113-I113)&lt;TIME(0,3,0)),"OK",IF((G113-I113)&gt;=TIME(0,3,0),"ADELANTADO")))))))</f>
        <v/>
      </c>
      <c r="I113" s="89" t="n"/>
      <c r="J113" s="89">
        <f>IF(A113&lt;&gt;"",HLOOKUP(VALUE(TEXT(G113,"h:mm:ss")),IF($C$6="Laboral",$FZ$4:$GX$227,IF($C$6="Sábado",$FZ$231:$GX$452,$FZ$456:$GX$656)),VLOOKUP($C$4,$HF$2:$HH$99,3,0)+IF(C$5="Ida",0,1),1),"")</f>
        <v/>
      </c>
      <c r="K113" s="89">
        <f>IF(A114&lt;&gt;A113,AVERAGEIF(A$9:A113,A113,J$9:J113),"")</f>
        <v/>
      </c>
      <c r="L113" s="89">
        <f>IFERROR(IF(A114&lt;&gt;A113,AVERAGEIF(A$9:A113,A113,S$9:S113),""),"")</f>
        <v/>
      </c>
      <c r="M113" s="89">
        <f>IFERROR(IF(A114&lt;&gt;A113,AVERAGEIF(A$9:A113,A113,T$9:T113),""),"")</f>
        <v/>
      </c>
      <c r="N113" s="89">
        <f t="array" ref="N113">IFERROR(IF(A114&lt;&gt;A113,_xlfn.STDEV.P(IF(A$9:A113=A113,T$9:T113)),""),"")</f>
        <v/>
      </c>
      <c r="O113" s="89">
        <f t="array" ref="O113">IFERROR(IF(A114&lt;&gt;A113,_xlfn.STDEV.P(IF(A$9:A113=A113,S$9:S113)),""),"")</f>
        <v/>
      </c>
      <c r="P113" s="90">
        <f>IFERROR(IF(A113&lt;&gt;A114,MAX((((M113*24*60)/2)*(1+POWER((((N113*24*60) / (M113*24*60) )),2))) + ((M113*24*60 )*-0.1 + (K113*0.015)) +1,(((M113*24*60)/2)*(1+POWER((((N113*24*60) / (M113*24*60 ))),2)))),""),"")</f>
        <v/>
      </c>
      <c r="Q113" s="90">
        <f>IF(AND(O113&lt;&gt;"",L113&lt;&gt;""),IF(A113&lt;&gt;A114,((L113*24*60) / 2 ) * (1 + POWER(((O113*24*60) / (L113*24*60)),2)),""),"")</f>
        <v/>
      </c>
      <c r="R113" s="90">
        <f>IF(Q113&lt;&gt;"",MAX(P113,Q113),"")</f>
        <v/>
      </c>
      <c r="S113" s="89">
        <f>IF(I113&lt;&gt;"H. Sale Real",IF(AND(I114&lt;&gt;"",LEFT(C114,2)&lt;&gt;"Va"),IF(AND(I113&lt;&gt;"",LEFT(C113,2)&lt;&gt;"Va",I113&lt;&gt;"H. Sale Real"),IF(I114-I113&lt;0.208333333333333,I114-I113,""),IF(AND(I112&lt;&gt;"",LEFT(C112,2)&lt;&gt;"Va",I112&lt;&gt;"H. Sale Real"),IF(I114-I112&lt;0.208333333333333,I114-I112,""),IF(AND(I111&lt;&gt;"",LEFT(C111,2)&lt;&gt;"Va",I111&lt;&gt;"H. Sale Real"),IF(I114-I111&lt;0.208333333333333,I114-I111,""),IF(AND(I110&lt;&gt;"",LEFT(C110,2)&lt;&gt;"Va",I110&lt;&gt;"H. Sale Real"),IF(I114-I110&lt;0.208333333333333,I114-I110,""),IF(AND(I109&lt;&gt;"",LEFT(C109,2)&lt;&gt;"Va",I109&lt;&gt;"H. Sale Real"),IF(I114-I109&lt;0.208333333333333,I114-I109,""),""))))),""),"")</f>
        <v/>
      </c>
      <c r="T113" s="89">
        <f>IF(G113&lt;&gt;"H. Sale Real",IF(AND(G114&lt;&gt;"",LEFT(C114,2)&lt;&gt;"Va"),IF(AND(G113&lt;&gt;"",LEFT(C113,2)&lt;&gt;"Va",G113&lt;&gt;"H. Sale Real"),IF(G114-G113&lt;0.208333333333333,G114-G113,""),IF(AND(G112&lt;&gt;"",LEFT(C112,2)&lt;&gt;"Va",G112&lt;&gt;"H. Sale Real"),IF(G114-G112&lt;0.208333333333333,G114-G112,""),IF(AND(G111&lt;&gt;"",LEFT(C111,2)&lt;&gt;"Va",G111&lt;&gt;"H. Sale Real"),IF(G114-G111&lt;0.208333333333333,G114-G111,""),IF(AND(G110&lt;&gt;"",LEFT(C110,2)&lt;&gt;"Va",G110&lt;&gt;"H. Sale Real"),IF(G114-G110&lt;0.208333333333333,G114-G110,""),IF(AND(G109&lt;&gt;"",LEFT(C109,2)&lt;&gt;"Va",G109&lt;&gt;"H. Sale Real"),IF(G114-G109&lt;0.208333333333333,G114-G109,""),""))))),""),"")</f>
        <v/>
      </c>
      <c r="U113" s="87" t="n"/>
      <c r="V113" s="89" t="n"/>
      <c r="W113" s="87" t="n"/>
      <c r="X113" s="89" t="n"/>
      <c r="Y113" s="91" t="n"/>
      <c r="Z113" s="122">
        <f>IF(G113&lt;&gt;"",IF(AND(Z112&lt;&gt;"IE",P113&lt;&gt;0,R113&lt;&gt;""),IF(IFERROR((P113/R113),0) &lt;=1,IFERROR(P113/R113,""),1),""),"")</f>
        <v/>
      </c>
      <c r="AA113" s="93" t="n"/>
      <c r="AB113" s="2" t="n"/>
      <c r="AE113" s="10">
        <f>HOUR(AK113)+1</f>
        <v/>
      </c>
      <c r="AF113" s="7" t="n"/>
      <c r="AG113" s="7" t="n"/>
      <c r="AH113" s="86" t="n"/>
      <c r="AI113" s="8" t="n"/>
      <c r="AJ113" s="86" t="n"/>
      <c r="AK113" s="87" t="n"/>
      <c r="AL113" s="88">
        <f>IF(AM113="","",IF(AND((AM113-AK113)&gt;=TIME(0,0,0),(AM113-AK113)&lt;TIME(0,3,0)),"OK",IF(AND((AM113-AK113)&gt;=TIME(0,3,0),(AM113-AK113)&lt;TIME(0,5,0)),"RETRASO DE 3-5 MIN",IF(AND((AM113-AK113)&gt;=TIME(0,5,0),(AM113-AK113)&lt;TIME(0,10,0)),"RETRASO DE 5-10 MIN",IF((AM113-AK113)&gt;=TIME(0,10,0),"RETRASO &gt;10 MIN", IF(AND((AK113-AM113)&gt;=TIME(0,0,0),(AK113-AM113)&lt;TIME(0,3,0)),"OK",IF((AK113-AM113)&gt;=TIME(0,3,0),"ADELANTADO")))))))</f>
        <v/>
      </c>
      <c r="AM113" s="91" t="n"/>
      <c r="AN113" s="89">
        <f>IF(AE113&lt;&gt;"",HLOOKUP(VALUE(TEXT(AK113,"h:mm:ss")),IF($C$6="Laboral",$FZ$4:$GX$227,IF($C$6="Sábado",$FZ$231:$GX$452,$FZ$456:$GX$656)),VLOOKUP($C$4,$HF$2:$HH$99,3,0)+IF(AG$5="Ida",0,1),1),"")</f>
        <v/>
      </c>
      <c r="AO113" s="89">
        <f>IF(AE114&lt;&gt;AE113,AVERAGEIF(AE$9:AE113,AE113,AN$9:AN113),"")</f>
        <v/>
      </c>
      <c r="AP113" s="89">
        <f>IFERROR(IF(AE114&lt;&gt;AE113,AVERAGEIF(AE$9:AE113,AE113,AW$9:AW113),""),"")</f>
        <v/>
      </c>
      <c r="AQ113" s="89">
        <f>IFERROR(IF(AE114&lt;&gt;AE113,AVERAGEIF(AE$9:AE113,AE113,AX$9:AX113),""),"")</f>
        <v/>
      </c>
      <c r="AR113" s="89">
        <f t="array" ref="AR113">IFERROR(IF(AE114&lt;&gt;AE113,_xlfn.STDEV.P(IF(AE$9:AE113=AE113,AX$9:AX113)),""),"")</f>
        <v/>
      </c>
      <c r="AS113" s="89">
        <f t="array" ref="AS113">IFERROR(IF(AE114&lt;&gt;AE113,_xlfn.STDEV.P(IF(AE$9:AE113=AE113,AW$9:AW113)),""),"")</f>
        <v/>
      </c>
      <c r="AT113" s="90">
        <f>IFERROR(IF(AE113&lt;&gt;AE114,MAX((((AQ113*24*60)/2)*(1+POWER((((AR113*24*60) / (AQ113*24*60) )),2))) + ((AQ113*24*60 )*-0.1 + (AO113*0.015)) +1,(((AQ113*24*60)/2)*(1+POWER((((AR113*24*60) / (AQ113*24*60 ))),2)))),""),"")</f>
        <v/>
      </c>
      <c r="AU113" s="90">
        <f>IF(AND(AS113&lt;&gt;"",AP113&lt;&gt;""),IF(AE113&lt;&gt;AE114,((AP113*24*60) / 2 ) * (1 + POWER(((AS113*24*60) / (AP113*24*60)),2)),""),"")</f>
        <v/>
      </c>
      <c r="AV113" s="90">
        <f>IF(AU113&lt;&gt;"",MAX(AT113,AU113),"")</f>
        <v/>
      </c>
      <c r="AW113" s="89">
        <f>IF(AM113&lt;&gt;"H. Sale Real",IF(AND(AM114&lt;&gt;"",LEFT(AG114,2)&lt;&gt;"Va"),IF(AND(AM113&lt;&gt;"",LEFT(AG113,2)&lt;&gt;"Va",AM113&lt;&gt;"H. Sale Real"),IF(AM114-AM113&lt;0.208333333333333,AM114-AM113,""),IF(AND(AM112&lt;&gt;"",LEFT(AG112,2)&lt;&gt;"Va",AM112&lt;&gt;"H. Sale Real"),IF(AM114-AM112&lt;0.208333333333333,AM114-AM112,""),IF(AND(AM111&lt;&gt;"",LEFT(AG111,2)&lt;&gt;"Va",AM111&lt;&gt;"H. Sale Real"),IF(AM114-AM111&lt;0.208333333333333,AM114-AM111,""),IF(AND(AM110&lt;&gt;"",LEFT(AG110,2)&lt;&gt;"Va",AM110&lt;&gt;"H. Sale Real"),IF(AM114-AM110&lt;0.208333333333333,AM114-AM110,""),IF(AND(AM109&lt;&gt;"",LEFT(AG109,2)&lt;&gt;"Va",AM109&lt;&gt;"H. Sale Real"),IF(AM114-AM109&lt;0.208333333333333,AM114-AM109,""),""))))),""),"")</f>
        <v/>
      </c>
      <c r="AX113" s="89">
        <f>IF(AK113&lt;&gt;"H. Sale Real",IF(AND(AK114&lt;&gt;"",LEFT(AG114,2)&lt;&gt;"Va"),IF(AND(AK113&lt;&gt;"",LEFT(AG113,2)&lt;&gt;"Va",AK113&lt;&gt;"H. Sale Real"),IF(AK114-AK113&lt;0.208333333333333,AK114-AK113,""),IF(AND(AK112&lt;&gt;"",LEFT(AG112,2)&lt;&gt;"Va",AK112&lt;&gt;"H. Sale Real"),IF(AK114-AK112&lt;0.208333333333333,AK114-AK112,""),IF(AND(AK111&lt;&gt;"",LEFT(AG111,2)&lt;&gt;"NC",AK111&lt;&gt;"H. Sale Real"),IF(AK114-AK111&lt;0.208333333333333,AK114-AK111,""),IF(AND(AK110&lt;&gt;"",LEFT(AG110,2)&lt;&gt;"Va",AK110&lt;&gt;"H. Sale Real"),IF(AK114-AK110&lt;0.208333333333333,AK114-AK110,""),IF(AND(AK109&lt;&gt;"",LEFT(AG109,2)&lt;&gt;"Va",AK109&lt;&gt;"H. Sale Real"),IF(AK114-AK109&lt;0.208333333333333,AK114-AK109,""),""))))),""),"")</f>
        <v/>
      </c>
      <c r="AY113" s="87" t="n"/>
      <c r="AZ113" s="89" t="n"/>
      <c r="BA113" s="87" t="n"/>
      <c r="BB113" s="89" t="n"/>
      <c r="BC113" s="91" t="n"/>
      <c r="BD113" s="122">
        <f>IF(AK113&lt;&gt;"",IF(AND(BD112&lt;&gt;"IE",AT113&lt;&gt;0,AV113&lt;&gt;""),IF(IFERROR((AT113/AV113),0) &lt;=1,IFERROR(AT113/AV113,""),1),""),"")</f>
        <v/>
      </c>
      <c r="BE113" s="93" t="n"/>
      <c r="BF113" s="105" t="n"/>
      <c r="FC113" t="inlineStr">
        <is>
          <t>Diccionario 1</t>
        </is>
      </c>
      <c r="FD113" s="15" t="n">
        <v>1110</v>
      </c>
      <c r="FE113" s="15" t="inlineStr">
        <is>
          <t>LDYECS318S0043930</t>
        </is>
      </c>
      <c r="FF113" s="15" t="inlineStr">
        <is>
          <t>MDN35025010059</t>
        </is>
      </c>
      <c r="FG113" s="15" t="inlineStr">
        <is>
          <t>Zhong Tong</t>
        </is>
      </c>
      <c r="FH113" s="15" t="inlineStr">
        <is>
          <t>Lck6122evg</t>
        </is>
      </c>
      <c r="FI113" s="15" t="inlineStr">
        <is>
          <t>ZHONGTONG</t>
        </is>
      </c>
      <c r="FJ113" s="15" t="inlineStr">
        <is>
          <t>LCK6122EVG</t>
        </is>
      </c>
      <c r="FK113" s="15" t="n">
        <v>2025</v>
      </c>
      <c r="FL113" s="15" t="inlineStr">
        <is>
          <t>B</t>
        </is>
      </c>
      <c r="FM113" s="15" t="inlineStr">
        <is>
          <t>SAN JOSE</t>
        </is>
      </c>
      <c r="FN113" s="15" t="inlineStr">
        <is>
          <t>San José 030 (José Besa 669)</t>
        </is>
      </c>
      <c r="FO113" s="15" t="inlineStr">
        <is>
          <t>San Bernardo</t>
        </is>
      </c>
      <c r="FP113" t="inlineStr">
        <is>
          <t>B</t>
        </is>
      </c>
      <c r="FS113" s="14" t="inlineStr">
        <is>
          <t>3028 / SFWB-75|</t>
        </is>
      </c>
      <c r="FT113" t="inlineStr">
        <is>
          <t>SFWB-75|</t>
        </is>
      </c>
      <c r="FU113" t="inlineStr">
        <is>
          <t>SFWB-75</t>
        </is>
      </c>
      <c r="FV113">
        <f>VLOOKUP(FU113,FD:FL,9,0)</f>
        <v/>
      </c>
      <c r="HA113" s="35" t="n">
        <v>110</v>
      </c>
      <c r="HB113" s="35" t="n">
        <v>107</v>
      </c>
    </row>
    <row r="114" ht="15.5" customHeight="1">
      <c r="A114" s="10">
        <f>HOUR(G114)+1</f>
        <v/>
      </c>
      <c r="B114" s="7" t="n"/>
      <c r="C114" s="7" t="n"/>
      <c r="D114" s="85">
        <f>IFERROR(
IF(AND(OR(Planilla!B114="C",Planilla!B114="c"), VLOOKUP(E114,FD:FP,13,0)="C"), "OK",IF(AND(OR(Planilla!B114="C",Planilla!B114="c"), OR(VLOOKUP(E114,FD:FP,13,0)="B", VLOOKUP(E114,FD:FP,13,0)="A")), "DEFICIT",IF(
AND(OR(Planilla!B114="B", Planilla!B114="BPAL"), VLOOKUP(E114,FD:FP,13,0)="B"), "OK",IF(AND(OR(Planilla!B114="B", Planilla!B114="BPAL"), VLOOKUP(E114,FD:FP,13,0)="A"), "DEFICIT",IF(AND(OR(Planilla!B114="B", Planilla!B114="BPAL"), VLOOKUP(E114,FD:FP,13,0)="C"), "SOBREOFERTA",IF(AND(Planilla!B114="A", VLOOKUP(E114,FD:FP,13,0)="A"), "OK",IF(
AND(Planilla!B114="A", OR(VLOOKUP(E114,FD:FP,13,0)="B", VLOOKUP(E114,FD:FP,13,0)="C")), "SOBREOFERTA",""
))))))),"")</f>
        <v/>
      </c>
      <c r="E114" s="8" t="n"/>
      <c r="F114" s="86" t="n"/>
      <c r="G114" s="87" t="n"/>
      <c r="H114" s="88">
        <f>IF(I114="","",IF(AND((I114-G114)&gt;=TIME(0,0,0),(I114-G114)&lt;TIME(0,3,0)),"OK",IF(AND((I114-G114)&gt;=TIME(0,3,0),(I114-G114)&lt;TIME(0,5,0)),"RETRASO DE 3-5 MIN",IF(AND((I114-G114)&gt;=TIME(0,5,0),(I114-G114)&lt;TIME(0,10,0)),"RETRASO DE 5-10 MIN",IF((I114-G114)&gt;=TIME(0,10,0),"RETRASO &gt;10 MIN", IF(AND((G114-I114)&gt;=TIME(0,0,0),(G114-I114)&lt;TIME(0,3,0)),"OK",IF((G114-I114)&gt;=TIME(0,3,0),"ADELANTADO")))))))</f>
        <v/>
      </c>
      <c r="I114" s="89" t="n"/>
      <c r="J114" s="89">
        <f>IF(A114&lt;&gt;"",HLOOKUP(VALUE(TEXT(G114,"h:mm:ss")),IF($C$6="Laboral",$FZ$4:$GX$227,IF($C$6="Sábado",$FZ$231:$GX$452,$FZ$456:$GX$656)),VLOOKUP($C$4,$HF$2:$HH$99,3,0)+IF(C$5="Ida",0,1),1),"")</f>
        <v/>
      </c>
      <c r="K114" s="89">
        <f>IF(A115&lt;&gt;A114,AVERAGEIF(A$9:A114,A114,J$9:J114),"")</f>
        <v/>
      </c>
      <c r="L114" s="89">
        <f>IFERROR(IF(A115&lt;&gt;A114,AVERAGEIF(A$9:A114,A114,S$9:S114),""),"")</f>
        <v/>
      </c>
      <c r="M114" s="89">
        <f>IFERROR(IF(A115&lt;&gt;A114,AVERAGEIF(A$9:A114,A114,T$9:T114),""),"")</f>
        <v/>
      </c>
      <c r="N114" s="89">
        <f t="array" ref="N114">IFERROR(IF(A115&lt;&gt;A114,_xlfn.STDEV.P(IF(A$9:A114=A114,T$9:T114)),""),"")</f>
        <v/>
      </c>
      <c r="O114" s="89">
        <f t="array" ref="O114">IFERROR(IF(A115&lt;&gt;A114,_xlfn.STDEV.P(IF(A$9:A114=A114,S$9:S114)),""),"")</f>
        <v/>
      </c>
      <c r="P114" s="90">
        <f>IFERROR(IF(A114&lt;&gt;A115,MAX((((M114*24*60)/2)*(1+POWER((((N114*24*60) / (M114*24*60) )),2))) + ((M114*24*60 )*-0.1 + (K114*0.015)) +1,(((M114*24*60)/2)*(1+POWER((((N114*24*60) / (M114*24*60 ))),2)))),""),"")</f>
        <v/>
      </c>
      <c r="Q114" s="90">
        <f>IF(AND(O114&lt;&gt;"",L114&lt;&gt;""),IF(A114&lt;&gt;A115,((L114*24*60) / 2 ) * (1 + POWER(((O114*24*60) / (L114*24*60)),2)),""),"")</f>
        <v/>
      </c>
      <c r="R114" s="90">
        <f>IF(Q114&lt;&gt;"",MAX(P114,Q114),"")</f>
        <v/>
      </c>
      <c r="S114" s="89">
        <f>IF(I114&lt;&gt;"H. Sale Real",IF(AND(I115&lt;&gt;"",LEFT(C115,2)&lt;&gt;"Va"),IF(AND(I114&lt;&gt;"",LEFT(C114,2)&lt;&gt;"Va",I114&lt;&gt;"H. Sale Real"),IF(I115-I114&lt;0.208333333333333,I115-I114,""),IF(AND(I113&lt;&gt;"",LEFT(C113,2)&lt;&gt;"Va",I113&lt;&gt;"H. Sale Real"),IF(I115-I113&lt;0.208333333333333,I115-I113,""),IF(AND(I112&lt;&gt;"",LEFT(C112,2)&lt;&gt;"Va",I112&lt;&gt;"H. Sale Real"),IF(I115-I112&lt;0.208333333333333,I115-I112,""),IF(AND(I111&lt;&gt;"",LEFT(C111,2)&lt;&gt;"Va",I111&lt;&gt;"H. Sale Real"),IF(I115-I111&lt;0.208333333333333,I115-I111,""),IF(AND(I110&lt;&gt;"",LEFT(C110,2)&lt;&gt;"Va",I110&lt;&gt;"H. Sale Real"),IF(I115-I110&lt;0.208333333333333,I115-I110,""),""))))),""),"")</f>
        <v/>
      </c>
      <c r="T114" s="89">
        <f>IF(G114&lt;&gt;"H. Sale Real",IF(AND(G115&lt;&gt;"",LEFT(C115,2)&lt;&gt;"Va"),IF(AND(G114&lt;&gt;"",LEFT(C114,2)&lt;&gt;"Va",G114&lt;&gt;"H. Sale Real"),IF(G115-G114&lt;0.208333333333333,G115-G114,""),IF(AND(G113&lt;&gt;"",LEFT(C113,2)&lt;&gt;"Va",G113&lt;&gt;"H. Sale Real"),IF(G115-G113&lt;0.208333333333333,G115-G113,""),IF(AND(G112&lt;&gt;"",LEFT(C112,2)&lt;&gt;"Va",G112&lt;&gt;"H. Sale Real"),IF(G115-G112&lt;0.208333333333333,G115-G112,""),IF(AND(G111&lt;&gt;"",LEFT(C111,2)&lt;&gt;"Va",G111&lt;&gt;"H. Sale Real"),IF(G115-G111&lt;0.208333333333333,G115-G111,""),IF(AND(G110&lt;&gt;"",LEFT(C110,2)&lt;&gt;"Va",G110&lt;&gt;"H. Sale Real"),IF(G115-G110&lt;0.208333333333333,G115-G110,""),""))))),""),"")</f>
        <v/>
      </c>
      <c r="U114" s="87" t="n"/>
      <c r="V114" s="89" t="n"/>
      <c r="W114" s="87" t="n"/>
      <c r="X114" s="89" t="n"/>
      <c r="Y114" s="91" t="n"/>
      <c r="Z114" s="122">
        <f>IF(G114&lt;&gt;"",IF(AND(Z113&lt;&gt;"IE",P114&lt;&gt;0,R114&lt;&gt;""),IF(IFERROR((P114/R114),0) &lt;=1,IFERROR(P114/R114,""),1),""),"")</f>
        <v/>
      </c>
      <c r="AA114" s="93" t="n"/>
      <c r="AB114" s="2" t="n"/>
      <c r="AE114" s="10">
        <f>HOUR(AK114)+1</f>
        <v/>
      </c>
      <c r="AF114" s="7" t="n"/>
      <c r="AG114" s="7" t="n"/>
      <c r="AH114" s="86" t="n"/>
      <c r="AI114" s="8" t="n"/>
      <c r="AJ114" s="86" t="n"/>
      <c r="AK114" s="87" t="n"/>
      <c r="AL114" s="88">
        <f>IF(AM114="","",IF(AND((AM114-AK114)&gt;=TIME(0,0,0),(AM114-AK114)&lt;TIME(0,3,0)),"OK",IF(AND((AM114-AK114)&gt;=TIME(0,3,0),(AM114-AK114)&lt;TIME(0,5,0)),"RETRASO DE 3-5 MIN",IF(AND((AM114-AK114)&gt;=TIME(0,5,0),(AM114-AK114)&lt;TIME(0,10,0)),"RETRASO DE 5-10 MIN",IF((AM114-AK114)&gt;=TIME(0,10,0),"RETRASO &gt;10 MIN", IF(AND((AK114-AM114)&gt;=TIME(0,0,0),(AK114-AM114)&lt;TIME(0,3,0)),"OK",IF((AK114-AM114)&gt;=TIME(0,3,0),"ADELANTADO")))))))</f>
        <v/>
      </c>
      <c r="AM114" s="91" t="n"/>
      <c r="AN114" s="89">
        <f>IF(AE114&lt;&gt;"",HLOOKUP(VALUE(TEXT(AK114,"h:mm:ss")),IF($C$6="Laboral",$FZ$4:$GX$227,IF($C$6="Sábado",$FZ$231:$GX$452,$FZ$456:$GX$656)),VLOOKUP($C$4,$HF$2:$HH$99,3,0)+IF(AG$5="Ida",0,1),1),"")</f>
        <v/>
      </c>
      <c r="AO114" s="89">
        <f>IF(AE115&lt;&gt;AE114,AVERAGEIF(AE$9:AE114,AE114,AN$9:AN114),"")</f>
        <v/>
      </c>
      <c r="AP114" s="89">
        <f>IFERROR(IF(AE115&lt;&gt;AE114,AVERAGEIF(AE$9:AE114,AE114,AW$9:AW114),""),"")</f>
        <v/>
      </c>
      <c r="AQ114" s="89">
        <f>IFERROR(IF(AE115&lt;&gt;AE114,AVERAGEIF(AE$9:AE114,AE114,AX$9:AX114),""),"")</f>
        <v/>
      </c>
      <c r="AR114" s="89">
        <f t="array" ref="AR114">IFERROR(IF(AE115&lt;&gt;AE114,_xlfn.STDEV.P(IF(AE$9:AE114=AE114,AX$9:AX114)),""),"")</f>
        <v/>
      </c>
      <c r="AS114" s="89">
        <f t="array" ref="AS114">IFERROR(IF(AE115&lt;&gt;AE114,_xlfn.STDEV.P(IF(AE$9:AE114=AE114,AW$9:AW114)),""),"")</f>
        <v/>
      </c>
      <c r="AT114" s="90">
        <f>IFERROR(IF(AE114&lt;&gt;AE115,MAX((((AQ114*24*60)/2)*(1+POWER((((AR114*24*60) / (AQ114*24*60) )),2))) + ((AQ114*24*60 )*-0.1 + (AO114*0.015)) +1,(((AQ114*24*60)/2)*(1+POWER((((AR114*24*60) / (AQ114*24*60 ))),2)))),""),"")</f>
        <v/>
      </c>
      <c r="AU114" s="90">
        <f>IF(AND(AS114&lt;&gt;"",AP114&lt;&gt;""),IF(AE114&lt;&gt;AE115,((AP114*24*60) / 2 ) * (1 + POWER(((AS114*24*60) / (AP114*24*60)),2)),""),"")</f>
        <v/>
      </c>
      <c r="AV114" s="90">
        <f>IF(AU114&lt;&gt;"",MAX(AT114,AU114),"")</f>
        <v/>
      </c>
      <c r="AW114" s="89">
        <f>IF(AM114&lt;&gt;"H. Sale Real",IF(AND(AM115&lt;&gt;"",LEFT(AG115,2)&lt;&gt;"Va"),IF(AND(AM114&lt;&gt;"",LEFT(AG114,2)&lt;&gt;"Va",AM114&lt;&gt;"H. Sale Real"),IF(AM115-AM114&lt;0.208333333333333,AM115-AM114,""),IF(AND(AM113&lt;&gt;"",LEFT(AG113,2)&lt;&gt;"Va",AM113&lt;&gt;"H. Sale Real"),IF(AM115-AM113&lt;0.208333333333333,AM115-AM113,""),IF(AND(AM112&lt;&gt;"",LEFT(AG112,2)&lt;&gt;"Va",AM112&lt;&gt;"H. Sale Real"),IF(AM115-AM112&lt;0.208333333333333,AM115-AM112,""),IF(AND(AM111&lt;&gt;"",LEFT(AG111,2)&lt;&gt;"Va",AM111&lt;&gt;"H. Sale Real"),IF(AM115-AM111&lt;0.208333333333333,AM115-AM111,""),IF(AND(AM110&lt;&gt;"",LEFT(AG110,2)&lt;&gt;"Va",AM110&lt;&gt;"H. Sale Real"),IF(AM115-AM110&lt;0.208333333333333,AM115-AM110,""),""))))),""),"")</f>
        <v/>
      </c>
      <c r="AX114" s="89">
        <f>IF(AK114&lt;&gt;"H. Sale Real",IF(AND(AK115&lt;&gt;"",LEFT(AG115,2)&lt;&gt;"Va"),IF(AND(AK114&lt;&gt;"",LEFT(AG114,2)&lt;&gt;"Va",AK114&lt;&gt;"H. Sale Real"),IF(AK115-AK114&lt;0.208333333333333,AK115-AK114,""),IF(AND(AK113&lt;&gt;"",LEFT(AG113,2)&lt;&gt;"Va",AK113&lt;&gt;"H. Sale Real"),IF(AK115-AK113&lt;0.208333333333333,AK115-AK113,""),IF(AND(AK112&lt;&gt;"",LEFT(AG112,2)&lt;&gt;"NC",AK112&lt;&gt;"H. Sale Real"),IF(AK115-AK112&lt;0.208333333333333,AK115-AK112,""),IF(AND(AK111&lt;&gt;"",LEFT(AG111,2)&lt;&gt;"Va",AK111&lt;&gt;"H. Sale Real"),IF(AK115-AK111&lt;0.208333333333333,AK115-AK111,""),IF(AND(AK110&lt;&gt;"",LEFT(AG110,2)&lt;&gt;"Va",AK110&lt;&gt;"H. Sale Real"),IF(AK115-AK110&lt;0.208333333333333,AK115-AK110,""),""))))),""),"")</f>
        <v/>
      </c>
      <c r="AY114" s="87" t="n"/>
      <c r="AZ114" s="89" t="n"/>
      <c r="BA114" s="87" t="n"/>
      <c r="BB114" s="89" t="n"/>
      <c r="BC114" s="91" t="n"/>
      <c r="BD114" s="122">
        <f>IF(AK114&lt;&gt;"",IF(AND(BD113&lt;&gt;"IE",AT114&lt;&gt;0,AV114&lt;&gt;""),IF(IFERROR((AT114/AV114),0) &lt;=1,IFERROR(AT114/AV114,""),1),""),"")</f>
        <v/>
      </c>
      <c r="BE114" s="93" t="n"/>
      <c r="BF114" s="105" t="n"/>
      <c r="FC114" t="inlineStr">
        <is>
          <t>Diccionario 1</t>
        </is>
      </c>
      <c r="FD114" s="15" t="n">
        <v>1111</v>
      </c>
      <c r="FE114" s="15" t="inlineStr">
        <is>
          <t>LDYECS319S0043919</t>
        </is>
      </c>
      <c r="FF114" s="15" t="inlineStr">
        <is>
          <t>MDN35025010112</t>
        </is>
      </c>
      <c r="FG114" s="15" t="inlineStr">
        <is>
          <t>Zhong Tong</t>
        </is>
      </c>
      <c r="FH114" s="15" t="inlineStr">
        <is>
          <t>Lck6122evg</t>
        </is>
      </c>
      <c r="FI114" s="15" t="inlineStr">
        <is>
          <t>ZHONGTONG</t>
        </is>
      </c>
      <c r="FJ114" s="15" t="inlineStr">
        <is>
          <t>LCK6122EVG</t>
        </is>
      </c>
      <c r="FK114" s="15" t="n">
        <v>2025</v>
      </c>
      <c r="FL114" s="15" t="inlineStr">
        <is>
          <t>B</t>
        </is>
      </c>
      <c r="FM114" s="15" t="inlineStr">
        <is>
          <t>SAN JOSE</t>
        </is>
      </c>
      <c r="FN114" s="15" t="inlineStr">
        <is>
          <t>San José 030 (José Besa 669)</t>
        </is>
      </c>
      <c r="FO114" s="15" t="inlineStr">
        <is>
          <t>San Bernardo</t>
        </is>
      </c>
      <c r="FP114" t="inlineStr">
        <is>
          <t>B</t>
        </is>
      </c>
      <c r="FS114" s="14" t="inlineStr">
        <is>
          <t>3028 / SFWB-75|</t>
        </is>
      </c>
      <c r="FT114" t="inlineStr">
        <is>
          <t>SFWB-75|</t>
        </is>
      </c>
      <c r="FU114" t="inlineStr">
        <is>
          <t>SFWB-75</t>
        </is>
      </c>
      <c r="FV114">
        <f>VLOOKUP(FU114,FD:FL,9,0)</f>
        <v/>
      </c>
      <c r="HA114" s="35" t="n">
        <v>111</v>
      </c>
      <c r="HB114" s="35" t="n">
        <v>108</v>
      </c>
    </row>
    <row r="115" ht="15.5" customHeight="1">
      <c r="A115" s="10">
        <f>HOUR(G115)+1</f>
        <v/>
      </c>
      <c r="B115" s="7" t="n"/>
      <c r="C115" s="7" t="n"/>
      <c r="D115" s="85">
        <f>IFERROR(
IF(AND(OR(Planilla!B115="C",Planilla!B115="c"), VLOOKUP(E115,FD:FP,13,0)="C"), "OK",IF(AND(OR(Planilla!B115="C",Planilla!B115="c"), OR(VLOOKUP(E115,FD:FP,13,0)="B", VLOOKUP(E115,FD:FP,13,0)="A")), "DEFICIT",IF(
AND(OR(Planilla!B115="B", Planilla!B115="BPAL"), VLOOKUP(E115,FD:FP,13,0)="B"), "OK",IF(AND(OR(Planilla!B115="B", Planilla!B115="BPAL"), VLOOKUP(E115,FD:FP,13,0)="A"), "DEFICIT",IF(AND(OR(Planilla!B115="B", Planilla!B115="BPAL"), VLOOKUP(E115,FD:FP,13,0)="C"), "SOBREOFERTA",IF(AND(Planilla!B115="A", VLOOKUP(E115,FD:FP,13,0)="A"), "OK",IF(
AND(Planilla!B115="A", OR(VLOOKUP(E115,FD:FP,13,0)="B", VLOOKUP(E115,FD:FP,13,0)="C")), "SOBREOFERTA",""
))))))),"")</f>
        <v/>
      </c>
      <c r="E115" s="8" t="n"/>
      <c r="F115" s="86" t="n"/>
      <c r="G115" s="87" t="n"/>
      <c r="H115" s="88">
        <f>IF(I115="","",IF(AND((I115-G115)&gt;=TIME(0,0,0),(I115-G115)&lt;TIME(0,3,0)),"OK",IF(AND((I115-G115)&gt;=TIME(0,3,0),(I115-G115)&lt;TIME(0,5,0)),"RETRASO DE 3-5 MIN",IF(AND((I115-G115)&gt;=TIME(0,5,0),(I115-G115)&lt;TIME(0,10,0)),"RETRASO DE 5-10 MIN",IF((I115-G115)&gt;=TIME(0,10,0),"RETRASO &gt;10 MIN", IF(AND((G115-I115)&gt;=TIME(0,0,0),(G115-I115)&lt;TIME(0,3,0)),"OK",IF((G115-I115)&gt;=TIME(0,3,0),"ADELANTADO")))))))</f>
        <v/>
      </c>
      <c r="I115" s="89" t="n"/>
      <c r="J115" s="89">
        <f>IF(A115&lt;&gt;"",HLOOKUP(VALUE(TEXT(G115,"h:mm:ss")),IF($C$6="Laboral",$FZ$4:$GX$227,IF($C$6="Sábado",$FZ$231:$GX$452,$FZ$456:$GX$656)),VLOOKUP($C$4,$HF$2:$HH$99,3,0)+IF(C$5="Ida",0,1),1),"")</f>
        <v/>
      </c>
      <c r="K115" s="89">
        <f>IF(A116&lt;&gt;A115,AVERAGEIF(A$9:A115,A115,J$9:J115),"")</f>
        <v/>
      </c>
      <c r="L115" s="89">
        <f>IFERROR(IF(A116&lt;&gt;A115,AVERAGEIF(A$9:A115,A115,S$9:S115),""),"")</f>
        <v/>
      </c>
      <c r="M115" s="89">
        <f>IFERROR(IF(A116&lt;&gt;A115,AVERAGEIF(A$9:A115,A115,T$9:T115),""),"")</f>
        <v/>
      </c>
      <c r="N115" s="89">
        <f t="array" ref="N115">IFERROR(IF(A116&lt;&gt;A115,_xlfn.STDEV.P(IF(A$9:A115=A115,T$9:T115)),""),"")</f>
        <v/>
      </c>
      <c r="O115" s="89">
        <f t="array" ref="O115">IFERROR(IF(A116&lt;&gt;A115,_xlfn.STDEV.P(IF(A$9:A115=A115,S$9:S115)),""),"")</f>
        <v/>
      </c>
      <c r="P115" s="90">
        <f>IFERROR(IF(A115&lt;&gt;A116,MAX((((M115*24*60)/2)*(1+POWER((((N115*24*60) / (M115*24*60) )),2))) + ((M115*24*60 )*-0.1 + (K115*0.015)) +1,(((M115*24*60)/2)*(1+POWER((((N115*24*60) / (M115*24*60 ))),2)))),""),"")</f>
        <v/>
      </c>
      <c r="Q115" s="90">
        <f>IF(AND(O115&lt;&gt;"",L115&lt;&gt;""),IF(A115&lt;&gt;A116,((L115*24*60) / 2 ) * (1 + POWER(((O115*24*60) / (L115*24*60)),2)),""),"")</f>
        <v/>
      </c>
      <c r="R115" s="90">
        <f>IF(Q115&lt;&gt;"",MAX(P115,Q115),"")</f>
        <v/>
      </c>
      <c r="S115" s="89">
        <f>IF(I115&lt;&gt;"H. Sale Real",IF(AND(I116&lt;&gt;"",LEFT(C116,2)&lt;&gt;"Va"),IF(AND(I115&lt;&gt;"",LEFT(C115,2)&lt;&gt;"Va",I115&lt;&gt;"H. Sale Real"),IF(I116-I115&lt;0.208333333333333,I116-I115,""),IF(AND(I114&lt;&gt;"",LEFT(C114,2)&lt;&gt;"Va",I114&lt;&gt;"H. Sale Real"),IF(I116-I114&lt;0.208333333333333,I116-I114,""),IF(AND(I113&lt;&gt;"",LEFT(C113,2)&lt;&gt;"Va",I113&lt;&gt;"H. Sale Real"),IF(I116-I113&lt;0.208333333333333,I116-I113,""),IF(AND(I112&lt;&gt;"",LEFT(C112,2)&lt;&gt;"Va",I112&lt;&gt;"H. Sale Real"),IF(I116-I112&lt;0.208333333333333,I116-I112,""),IF(AND(I111&lt;&gt;"",LEFT(C111,2)&lt;&gt;"Va",I111&lt;&gt;"H. Sale Real"),IF(I116-I111&lt;0.208333333333333,I116-I111,""),""))))),""),"")</f>
        <v/>
      </c>
      <c r="T115" s="89">
        <f>IF(G115&lt;&gt;"H. Sale Real",IF(AND(G116&lt;&gt;"",LEFT(C116,2)&lt;&gt;"Va"),IF(AND(G115&lt;&gt;"",LEFT(C115,2)&lt;&gt;"Va",G115&lt;&gt;"H. Sale Real"),IF(G116-G115&lt;0.208333333333333,G116-G115,""),IF(AND(G114&lt;&gt;"",LEFT(C114,2)&lt;&gt;"Va",G114&lt;&gt;"H. Sale Real"),IF(G116-G114&lt;0.208333333333333,G116-G114,""),IF(AND(G113&lt;&gt;"",LEFT(C113,2)&lt;&gt;"Va",G113&lt;&gt;"H. Sale Real"),IF(G116-G113&lt;0.208333333333333,G116-G113,""),IF(AND(G112&lt;&gt;"",LEFT(C112,2)&lt;&gt;"Va",G112&lt;&gt;"H. Sale Real"),IF(G116-G112&lt;0.208333333333333,G116-G112,""),IF(AND(G111&lt;&gt;"",LEFT(C111,2)&lt;&gt;"Va",G111&lt;&gt;"H. Sale Real"),IF(G116-G111&lt;0.208333333333333,G116-G111,""),""))))),""),"")</f>
        <v/>
      </c>
      <c r="U115" s="87" t="n"/>
      <c r="V115" s="89" t="n"/>
      <c r="W115" s="87" t="n"/>
      <c r="X115" s="89" t="n"/>
      <c r="Y115" s="91" t="n"/>
      <c r="Z115" s="122">
        <f>IF(G115&lt;&gt;"",IF(AND(Z114&lt;&gt;"IE",P115&lt;&gt;0,R115&lt;&gt;""),IF(IFERROR((P115/R115),0) &lt;=1,IFERROR(P115/R115,""),1),""),"")</f>
        <v/>
      </c>
      <c r="AA115" s="93" t="n"/>
      <c r="AB115" s="2" t="n"/>
      <c r="AE115" s="10">
        <f>HOUR(AK115)+1</f>
        <v/>
      </c>
      <c r="AF115" s="7" t="n"/>
      <c r="AG115" s="7" t="n"/>
      <c r="AH115" s="86" t="n"/>
      <c r="AI115" s="8" t="n"/>
      <c r="AJ115" s="86" t="n"/>
      <c r="AK115" s="87" t="n"/>
      <c r="AL115" s="88">
        <f>IF(AM115="","",IF(AND((AM115-AK115)&gt;=TIME(0,0,0),(AM115-AK115)&lt;TIME(0,3,0)),"OK",IF(AND((AM115-AK115)&gt;=TIME(0,3,0),(AM115-AK115)&lt;TIME(0,5,0)),"RETRASO DE 3-5 MIN",IF(AND((AM115-AK115)&gt;=TIME(0,5,0),(AM115-AK115)&lt;TIME(0,10,0)),"RETRASO DE 5-10 MIN",IF((AM115-AK115)&gt;=TIME(0,10,0),"RETRASO &gt;10 MIN", IF(AND((AK115-AM115)&gt;=TIME(0,0,0),(AK115-AM115)&lt;TIME(0,3,0)),"OK",IF((AK115-AM115)&gt;=TIME(0,3,0),"ADELANTADO")))))))</f>
        <v/>
      </c>
      <c r="AM115" s="91" t="n"/>
      <c r="AN115" s="89">
        <f>IF(AE115&lt;&gt;"",HLOOKUP(VALUE(TEXT(AK115,"h:mm:ss")),IF($C$6="Laboral",$FZ$4:$GX$227,IF($C$6="Sábado",$FZ$231:$GX$452,$FZ$456:$GX$656)),VLOOKUP($C$4,$HF$2:$HH$99,3,0)+IF(AG$5="Ida",0,1),1),"")</f>
        <v/>
      </c>
      <c r="AO115" s="89">
        <f>IF(AE116&lt;&gt;AE115,AVERAGEIF(AE$9:AE115,AE115,AN$9:AN115),"")</f>
        <v/>
      </c>
      <c r="AP115" s="89">
        <f>IFERROR(IF(AE116&lt;&gt;AE115,AVERAGEIF(AE$9:AE115,AE115,AW$9:AW115),""),"")</f>
        <v/>
      </c>
      <c r="AQ115" s="89">
        <f>IFERROR(IF(AE116&lt;&gt;AE115,AVERAGEIF(AE$9:AE115,AE115,AX$9:AX115),""),"")</f>
        <v/>
      </c>
      <c r="AR115" s="89">
        <f t="array" ref="AR115">IFERROR(IF(AE116&lt;&gt;AE115,_xlfn.STDEV.P(IF(AE$9:AE115=AE115,AX$9:AX115)),""),"")</f>
        <v/>
      </c>
      <c r="AS115" s="89">
        <f t="array" ref="AS115">IFERROR(IF(AE116&lt;&gt;AE115,_xlfn.STDEV.P(IF(AE$9:AE115=AE115,AW$9:AW115)),""),"")</f>
        <v/>
      </c>
      <c r="AT115" s="90">
        <f>IFERROR(IF(AE115&lt;&gt;AE116,MAX((((AQ115*24*60)/2)*(1+POWER((((AR115*24*60) / (AQ115*24*60) )),2))) + ((AQ115*24*60 )*-0.1 + (AO115*0.015)) +1,(((AQ115*24*60)/2)*(1+POWER((((AR115*24*60) / (AQ115*24*60 ))),2)))),""),"")</f>
        <v/>
      </c>
      <c r="AU115" s="90">
        <f>IF(AND(AS115&lt;&gt;"",AP115&lt;&gt;""),IF(AE115&lt;&gt;AE116,((AP115*24*60) / 2 ) * (1 + POWER(((AS115*24*60) / (AP115*24*60)),2)),""),"")</f>
        <v/>
      </c>
      <c r="AV115" s="90">
        <f>IF(AU115&lt;&gt;"",MAX(AT115,AU115),"")</f>
        <v/>
      </c>
      <c r="AW115" s="89">
        <f>IF(AM115&lt;&gt;"H. Sale Real",IF(AND(AM116&lt;&gt;"",LEFT(AG116,2)&lt;&gt;"Va"),IF(AND(AM115&lt;&gt;"",LEFT(AG115,2)&lt;&gt;"Va",AM115&lt;&gt;"H. Sale Real"),IF(AM116-AM115&lt;0.208333333333333,AM116-AM115,""),IF(AND(AM114&lt;&gt;"",LEFT(AG114,2)&lt;&gt;"Va",AM114&lt;&gt;"H. Sale Real"),IF(AM116-AM114&lt;0.208333333333333,AM116-AM114,""),IF(AND(AM113&lt;&gt;"",LEFT(AG113,2)&lt;&gt;"Va",AM113&lt;&gt;"H. Sale Real"),IF(AM116-AM113&lt;0.208333333333333,AM116-AM113,""),IF(AND(AM112&lt;&gt;"",LEFT(AG112,2)&lt;&gt;"Va",AM112&lt;&gt;"H. Sale Real"),IF(AM116-AM112&lt;0.208333333333333,AM116-AM112,""),IF(AND(AM111&lt;&gt;"",LEFT(AG111,2)&lt;&gt;"Va",AM111&lt;&gt;"H. Sale Real"),IF(AM116-AM111&lt;0.208333333333333,AM116-AM111,""),""))))),""),"")</f>
        <v/>
      </c>
      <c r="AX115" s="89">
        <f>IF(AK115&lt;&gt;"H. Sale Real",IF(AND(AK116&lt;&gt;"",LEFT(AG116,2)&lt;&gt;"Va"),IF(AND(AK115&lt;&gt;"",LEFT(AG115,2)&lt;&gt;"Va",AK115&lt;&gt;"H. Sale Real"),IF(AK116-AK115&lt;0.208333333333333,AK116-AK115,""),IF(AND(AK114&lt;&gt;"",LEFT(AG114,2)&lt;&gt;"Va",AK114&lt;&gt;"H. Sale Real"),IF(AK116-AK114&lt;0.208333333333333,AK116-AK114,""),IF(AND(AK113&lt;&gt;"",LEFT(AG113,2)&lt;&gt;"NC",AK113&lt;&gt;"H. Sale Real"),IF(AK116-AK113&lt;0.208333333333333,AK116-AK113,""),IF(AND(AK112&lt;&gt;"",LEFT(AG112,2)&lt;&gt;"Va",AK112&lt;&gt;"H. Sale Real"),IF(AK116-AK112&lt;0.208333333333333,AK116-AK112,""),IF(AND(AK111&lt;&gt;"",LEFT(AG111,2)&lt;&gt;"Va",AK111&lt;&gt;"H. Sale Real"),IF(AK116-AK111&lt;0.208333333333333,AK116-AK111,""),""))))),""),"")</f>
        <v/>
      </c>
      <c r="AY115" s="87" t="n"/>
      <c r="AZ115" s="89" t="n"/>
      <c r="BA115" s="87" t="n"/>
      <c r="BB115" s="89" t="n"/>
      <c r="BC115" s="91" t="n"/>
      <c r="BD115" s="122">
        <f>IF(AK115&lt;&gt;"",IF(AND(BD114&lt;&gt;"IE",AT115&lt;&gt;0,AV115&lt;&gt;""),IF(IFERROR((AT115/AV115),0) &lt;=1,IFERROR(AT115/AV115,""),1),""),"")</f>
        <v/>
      </c>
      <c r="BE115" s="93" t="n"/>
      <c r="BF115" s="105" t="n"/>
      <c r="FC115" t="inlineStr">
        <is>
          <t>Diccionario 1</t>
        </is>
      </c>
      <c r="FD115" s="15" t="n">
        <v>1112</v>
      </c>
      <c r="FE115" s="15" t="inlineStr">
        <is>
          <t>LDYECS314S0043908</t>
        </is>
      </c>
      <c r="FF115" s="15" t="inlineStr">
        <is>
          <t>MDN35025010130</t>
        </is>
      </c>
      <c r="FG115" s="15" t="inlineStr">
        <is>
          <t>Zhong Tong</t>
        </is>
      </c>
      <c r="FH115" s="15" t="inlineStr">
        <is>
          <t>Lck6122evg</t>
        </is>
      </c>
      <c r="FI115" s="15" t="inlineStr">
        <is>
          <t>ZHONGTONG</t>
        </is>
      </c>
      <c r="FJ115" s="15" t="inlineStr">
        <is>
          <t>LCK6122EVG</t>
        </is>
      </c>
      <c r="FK115" s="15" t="n">
        <v>2025</v>
      </c>
      <c r="FL115" s="15" t="inlineStr">
        <is>
          <t>B</t>
        </is>
      </c>
      <c r="FM115" s="15" t="inlineStr">
        <is>
          <t>SAN JOSE</t>
        </is>
      </c>
      <c r="FN115" s="15" t="inlineStr">
        <is>
          <t>San José 030 (José Besa 669)</t>
        </is>
      </c>
      <c r="FO115" s="15" t="inlineStr">
        <is>
          <t>San Bernardo</t>
        </is>
      </c>
      <c r="FP115" t="inlineStr">
        <is>
          <t>B</t>
        </is>
      </c>
      <c r="FS115" s="14" t="inlineStr">
        <is>
          <t>3030 / SFWZ-14|</t>
        </is>
      </c>
      <c r="FT115" t="inlineStr">
        <is>
          <t>SFWZ-14|</t>
        </is>
      </c>
      <c r="FU115" t="inlineStr">
        <is>
          <t>SFWZ-14</t>
        </is>
      </c>
      <c r="FV115">
        <f>VLOOKUP(FU115,FD:FL,9,0)</f>
        <v/>
      </c>
      <c r="HA115" s="35" t="n">
        <v>112</v>
      </c>
      <c r="HB115" s="35" t="n">
        <v>109</v>
      </c>
    </row>
    <row r="116" ht="15.5" customHeight="1">
      <c r="A116" s="10">
        <f>HOUR(G116)+1</f>
        <v/>
      </c>
      <c r="B116" s="7" t="n"/>
      <c r="C116" s="7" t="n"/>
      <c r="D116" s="85">
        <f>IFERROR(
IF(AND(OR(Planilla!B116="C",Planilla!B116="c"), VLOOKUP(E116,FD:FP,13,0)="C"), "OK",IF(AND(OR(Planilla!B116="C",Planilla!B116="c"), OR(VLOOKUP(E116,FD:FP,13,0)="B", VLOOKUP(E116,FD:FP,13,0)="A")), "DEFICIT",IF(
AND(OR(Planilla!B116="B", Planilla!B116="BPAL"), VLOOKUP(E116,FD:FP,13,0)="B"), "OK",IF(AND(OR(Planilla!B116="B", Planilla!B116="BPAL"), VLOOKUP(E116,FD:FP,13,0)="A"), "DEFICIT",IF(AND(OR(Planilla!B116="B", Planilla!B116="BPAL"), VLOOKUP(E116,FD:FP,13,0)="C"), "SOBREOFERTA",IF(AND(Planilla!B116="A", VLOOKUP(E116,FD:FP,13,0)="A"), "OK",IF(
AND(Planilla!B116="A", OR(VLOOKUP(E116,FD:FP,13,0)="B", VLOOKUP(E116,FD:FP,13,0)="C")), "SOBREOFERTA",""
))))))),"")</f>
        <v/>
      </c>
      <c r="E116" s="8" t="n"/>
      <c r="F116" s="86" t="n"/>
      <c r="G116" s="87" t="n"/>
      <c r="H116" s="88">
        <f>IF(I116="","",IF(AND((I116-G116)&gt;=TIME(0,0,0),(I116-G116)&lt;TIME(0,3,0)),"OK",IF(AND((I116-G116)&gt;=TIME(0,3,0),(I116-G116)&lt;TIME(0,5,0)),"RETRASO DE 3-5 MIN",IF(AND((I116-G116)&gt;=TIME(0,5,0),(I116-G116)&lt;TIME(0,10,0)),"RETRASO DE 5-10 MIN",IF((I116-G116)&gt;=TIME(0,10,0),"RETRASO &gt;10 MIN", IF(AND((G116-I116)&gt;=TIME(0,0,0),(G116-I116)&lt;TIME(0,3,0)),"OK",IF((G116-I116)&gt;=TIME(0,3,0),"ADELANTADO")))))))</f>
        <v/>
      </c>
      <c r="I116" s="89" t="n"/>
      <c r="J116" s="89">
        <f>IF(A116&lt;&gt;"",HLOOKUP(VALUE(TEXT(G116,"h:mm:ss")),IF($C$6="Laboral",$FZ$4:$GX$227,IF($C$6="Sábado",$FZ$231:$GX$452,$FZ$456:$GX$656)),VLOOKUP($C$4,$HF$2:$HH$99,3,0)+IF(C$5="Ida",0,1),1),"")</f>
        <v/>
      </c>
      <c r="K116" s="89">
        <f>IF(A117&lt;&gt;A116,AVERAGEIF(A$9:A116,A116,J$9:J116),"")</f>
        <v/>
      </c>
      <c r="L116" s="89">
        <f>IFERROR(IF(A117&lt;&gt;A116,AVERAGEIF(A$9:A116,A116,S$9:S116),""),"")</f>
        <v/>
      </c>
      <c r="M116" s="89">
        <f>IFERROR(IF(A117&lt;&gt;A116,AVERAGEIF(A$9:A116,A116,T$9:T116),""),"")</f>
        <v/>
      </c>
      <c r="N116" s="89">
        <f t="array" ref="N116">IFERROR(IF(A117&lt;&gt;A116,_xlfn.STDEV.P(IF(A$9:A116=A116,T$9:T116)),""),"")</f>
        <v/>
      </c>
      <c r="O116" s="89">
        <f t="array" ref="O116">IFERROR(IF(A117&lt;&gt;A116,_xlfn.STDEV.P(IF(A$9:A116=A116,S$9:S116)),""),"")</f>
        <v/>
      </c>
      <c r="P116" s="90">
        <f>IFERROR(IF(A116&lt;&gt;A117,MAX((((M116*24*60)/2)*(1+POWER((((N116*24*60) / (M116*24*60) )),2))) + ((M116*24*60 )*-0.1 + (K116*0.015)) +1,(((M116*24*60)/2)*(1+POWER((((N116*24*60) / (M116*24*60 ))),2)))),""),"")</f>
        <v/>
      </c>
      <c r="Q116" s="90">
        <f>IF(AND(O116&lt;&gt;"",L116&lt;&gt;""),IF(A116&lt;&gt;A117,((L116*24*60) / 2 ) * (1 + POWER(((O116*24*60) / (L116*24*60)),2)),""),"")</f>
        <v/>
      </c>
      <c r="R116" s="90">
        <f>IF(Q116&lt;&gt;"",MAX(P116,Q116),"")</f>
        <v/>
      </c>
      <c r="S116" s="89">
        <f>IF(I116&lt;&gt;"H. Sale Real",IF(AND(I117&lt;&gt;"",LEFT(C117,2)&lt;&gt;"Va"),IF(AND(I116&lt;&gt;"",LEFT(C116,2)&lt;&gt;"Va",I116&lt;&gt;"H. Sale Real"),IF(I117-I116&lt;0.208333333333333,I117-I116,""),IF(AND(I115&lt;&gt;"",LEFT(C115,2)&lt;&gt;"Va",I115&lt;&gt;"H. Sale Real"),IF(I117-I115&lt;0.208333333333333,I117-I115,""),IF(AND(I114&lt;&gt;"",LEFT(C114,2)&lt;&gt;"Va",I114&lt;&gt;"H. Sale Real"),IF(I117-I114&lt;0.208333333333333,I117-I114,""),IF(AND(I113&lt;&gt;"",LEFT(C113,2)&lt;&gt;"Va",I113&lt;&gt;"H. Sale Real"),IF(I117-I113&lt;0.208333333333333,I117-I113,""),IF(AND(I112&lt;&gt;"",LEFT(C112,2)&lt;&gt;"Va",I112&lt;&gt;"H. Sale Real"),IF(I117-I112&lt;0.208333333333333,I117-I112,""),""))))),""),"")</f>
        <v/>
      </c>
      <c r="T116" s="89">
        <f>IF(G116&lt;&gt;"H. Sale Real",IF(AND(G117&lt;&gt;"",LEFT(C117,2)&lt;&gt;"Va"),IF(AND(G116&lt;&gt;"",LEFT(C116,2)&lt;&gt;"Va",G116&lt;&gt;"H. Sale Real"),IF(G117-G116&lt;0.208333333333333,G117-G116,""),IF(AND(G115&lt;&gt;"",LEFT(C115,2)&lt;&gt;"Va",G115&lt;&gt;"H. Sale Real"),IF(G117-G115&lt;0.208333333333333,G117-G115,""),IF(AND(G114&lt;&gt;"",LEFT(C114,2)&lt;&gt;"Va",G114&lt;&gt;"H. Sale Real"),IF(G117-G114&lt;0.208333333333333,G117-G114,""),IF(AND(G113&lt;&gt;"",LEFT(C113,2)&lt;&gt;"Va",G113&lt;&gt;"H. Sale Real"),IF(G117-G113&lt;0.208333333333333,G117-G113,""),IF(AND(G112&lt;&gt;"",LEFT(C112,2)&lt;&gt;"Va",G112&lt;&gt;"H. Sale Real"),IF(G117-G112&lt;0.208333333333333,G117-G112,""),""))))),""),"")</f>
        <v/>
      </c>
      <c r="U116" s="87" t="n"/>
      <c r="V116" s="89" t="n"/>
      <c r="W116" s="87" t="n"/>
      <c r="X116" s="89" t="n"/>
      <c r="Y116" s="91" t="n"/>
      <c r="Z116" s="122">
        <f>IF(G116&lt;&gt;"",IF(AND(Z115&lt;&gt;"IE",P116&lt;&gt;0,R116&lt;&gt;""),IF(IFERROR((P116/R116),0) &lt;=1,IFERROR(P116/R116,""),1),""),"")</f>
        <v/>
      </c>
      <c r="AA116" s="93" t="n"/>
      <c r="AB116" s="2" t="n"/>
      <c r="AE116" s="10">
        <f>HOUR(AK116)+1</f>
        <v/>
      </c>
      <c r="AF116" s="7" t="n"/>
      <c r="AG116" s="7" t="n"/>
      <c r="AH116" s="86" t="n"/>
      <c r="AI116" s="8" t="n"/>
      <c r="AJ116" s="86" t="n"/>
      <c r="AK116" s="87" t="n"/>
      <c r="AL116" s="88">
        <f>IF(AM116="","",IF(AND((AM116-AK116)&gt;=TIME(0,0,0),(AM116-AK116)&lt;TIME(0,3,0)),"OK",IF(AND((AM116-AK116)&gt;=TIME(0,3,0),(AM116-AK116)&lt;TIME(0,5,0)),"RETRASO DE 3-5 MIN",IF(AND((AM116-AK116)&gt;=TIME(0,5,0),(AM116-AK116)&lt;TIME(0,10,0)),"RETRASO DE 5-10 MIN",IF((AM116-AK116)&gt;=TIME(0,10,0),"RETRASO &gt;10 MIN", IF(AND((AK116-AM116)&gt;=TIME(0,0,0),(AK116-AM116)&lt;TIME(0,3,0)),"OK",IF((AK116-AM116)&gt;=TIME(0,3,0),"ADELANTADO")))))))</f>
        <v/>
      </c>
      <c r="AM116" s="91" t="n"/>
      <c r="AN116" s="89">
        <f>IF(AE116&lt;&gt;"",HLOOKUP(VALUE(TEXT(AK116,"h:mm:ss")),IF($C$6="Laboral",$FZ$4:$GX$227,IF($C$6="Sábado",$FZ$231:$GX$452,$FZ$456:$GX$656)),VLOOKUP($C$4,$HF$2:$HH$99,3,0)+IF(AG$5="Ida",0,1),1),"")</f>
        <v/>
      </c>
      <c r="AO116" s="89">
        <f>IF(AE117&lt;&gt;AE116,AVERAGEIF(AE$9:AE116,AE116,AN$9:AN116),"")</f>
        <v/>
      </c>
      <c r="AP116" s="89">
        <f>IFERROR(IF(AE117&lt;&gt;AE116,AVERAGEIF(AE$9:AE116,AE116,AW$9:AW116),""),"")</f>
        <v/>
      </c>
      <c r="AQ116" s="89">
        <f>IFERROR(IF(AE117&lt;&gt;AE116,AVERAGEIF(AE$9:AE116,AE116,AX$9:AX116),""),"")</f>
        <v/>
      </c>
      <c r="AR116" s="89">
        <f t="array" ref="AR116">IFERROR(IF(AE117&lt;&gt;AE116,_xlfn.STDEV.P(IF(AE$9:AE116=AE116,AX$9:AX116)),""),"")</f>
        <v/>
      </c>
      <c r="AS116" s="89">
        <f t="array" ref="AS116">IFERROR(IF(AE117&lt;&gt;AE116,_xlfn.STDEV.P(IF(AE$9:AE116=AE116,AW$9:AW116)),""),"")</f>
        <v/>
      </c>
      <c r="AT116" s="90">
        <f>IFERROR(IF(AE116&lt;&gt;AE117,MAX((((AQ116*24*60)/2)*(1+POWER((((AR116*24*60) / (AQ116*24*60) )),2))) + ((AQ116*24*60 )*-0.1 + (AO116*0.015)) +1,(((AQ116*24*60)/2)*(1+POWER((((AR116*24*60) / (AQ116*24*60 ))),2)))),""),"")</f>
        <v/>
      </c>
      <c r="AU116" s="90">
        <f>IF(AND(AS116&lt;&gt;"",AP116&lt;&gt;""),IF(AE116&lt;&gt;AE117,((AP116*24*60) / 2 ) * (1 + POWER(((AS116*24*60) / (AP116*24*60)),2)),""),"")</f>
        <v/>
      </c>
      <c r="AV116" s="90">
        <f>IF(AU116&lt;&gt;"",MAX(AT116,AU116),"")</f>
        <v/>
      </c>
      <c r="AW116" s="89">
        <f>IF(AM116&lt;&gt;"H. Sale Real",IF(AND(AM117&lt;&gt;"",LEFT(AG117,2)&lt;&gt;"Va"),IF(AND(AM116&lt;&gt;"",LEFT(AG116,2)&lt;&gt;"Va",AM116&lt;&gt;"H. Sale Real"),IF(AM117-AM116&lt;0.208333333333333,AM117-AM116,""),IF(AND(AM115&lt;&gt;"",LEFT(AG115,2)&lt;&gt;"Va",AM115&lt;&gt;"H. Sale Real"),IF(AM117-AM115&lt;0.208333333333333,AM117-AM115,""),IF(AND(AM114&lt;&gt;"",LEFT(AG114,2)&lt;&gt;"Va",AM114&lt;&gt;"H. Sale Real"),IF(AM117-AM114&lt;0.208333333333333,AM117-AM114,""),IF(AND(AM113&lt;&gt;"",LEFT(AG113,2)&lt;&gt;"Va",AM113&lt;&gt;"H. Sale Real"),IF(AM117-AM113&lt;0.208333333333333,AM117-AM113,""),IF(AND(AM112&lt;&gt;"",LEFT(AG112,2)&lt;&gt;"Va",AM112&lt;&gt;"H. Sale Real"),IF(AM117-AM112&lt;0.208333333333333,AM117-AM112,""),""))))),""),"")</f>
        <v/>
      </c>
      <c r="AX116" s="89">
        <f>IF(AK116&lt;&gt;"H. Sale Real",IF(AND(AK117&lt;&gt;"",LEFT(AG117,2)&lt;&gt;"Va"),IF(AND(AK116&lt;&gt;"",LEFT(AG116,2)&lt;&gt;"Va",AK116&lt;&gt;"H. Sale Real"),IF(AK117-AK116&lt;0.208333333333333,AK117-AK116,""),IF(AND(AK115&lt;&gt;"",LEFT(AG115,2)&lt;&gt;"Va",AK115&lt;&gt;"H. Sale Real"),IF(AK117-AK115&lt;0.208333333333333,AK117-AK115,""),IF(AND(AK114&lt;&gt;"",LEFT(AG114,2)&lt;&gt;"NC",AK114&lt;&gt;"H. Sale Real"),IF(AK117-AK114&lt;0.208333333333333,AK117-AK114,""),IF(AND(AK113&lt;&gt;"",LEFT(AG113,2)&lt;&gt;"Va",AK113&lt;&gt;"H. Sale Real"),IF(AK117-AK113&lt;0.208333333333333,AK117-AK113,""),IF(AND(AK112&lt;&gt;"",LEFT(AG112,2)&lt;&gt;"Va",AK112&lt;&gt;"H. Sale Real"),IF(AK117-AK112&lt;0.208333333333333,AK117-AK112,""),""))))),""),"")</f>
        <v/>
      </c>
      <c r="AY116" s="87" t="n"/>
      <c r="AZ116" s="89" t="n"/>
      <c r="BA116" s="87" t="n"/>
      <c r="BB116" s="89" t="n"/>
      <c r="BC116" s="91" t="n"/>
      <c r="BD116" s="122">
        <f>IF(AK116&lt;&gt;"",IF(AND(BD115&lt;&gt;"IE",AT116&lt;&gt;0,AV116&lt;&gt;""),IF(IFERROR((AT116/AV116),0) &lt;=1,IFERROR(AT116/AV116,""),1),""),"")</f>
        <v/>
      </c>
      <c r="BE116" s="93" t="n"/>
      <c r="BF116" s="105" t="n"/>
      <c r="FC116" t="inlineStr">
        <is>
          <t>Diccionario 1</t>
        </is>
      </c>
      <c r="FD116" s="15" t="n">
        <v>1113</v>
      </c>
      <c r="FE116" s="15" t="inlineStr">
        <is>
          <t>LDYECS312S0043924</t>
        </is>
      </c>
      <c r="FF116" s="15" t="inlineStr">
        <is>
          <t>MDN35025010050</t>
        </is>
      </c>
      <c r="FG116" s="15" t="inlineStr">
        <is>
          <t>Zhong Tong</t>
        </is>
      </c>
      <c r="FH116" s="15" t="inlineStr">
        <is>
          <t>Lck6122evg</t>
        </is>
      </c>
      <c r="FI116" s="15" t="inlineStr">
        <is>
          <t>ZHONGTONG</t>
        </is>
      </c>
      <c r="FJ116" s="15" t="inlineStr">
        <is>
          <t>LCK6122EVG</t>
        </is>
      </c>
      <c r="FK116" s="15" t="n">
        <v>2025</v>
      </c>
      <c r="FL116" s="15" t="inlineStr">
        <is>
          <t>B</t>
        </is>
      </c>
      <c r="FM116" s="15" t="inlineStr">
        <is>
          <t>SAN JOSE</t>
        </is>
      </c>
      <c r="FN116" s="15" t="inlineStr">
        <is>
          <t>San José 030 (José Besa 669)</t>
        </is>
      </c>
      <c r="FO116" s="15" t="inlineStr">
        <is>
          <t>San Bernardo</t>
        </is>
      </c>
      <c r="FP116" t="inlineStr">
        <is>
          <t>B</t>
        </is>
      </c>
      <c r="FS116" s="14" t="inlineStr">
        <is>
          <t>3030 / SFWZ-14|</t>
        </is>
      </c>
      <c r="FT116" t="inlineStr">
        <is>
          <t>SFWZ-14|</t>
        </is>
      </c>
      <c r="FU116" t="inlineStr">
        <is>
          <t>SFWZ-14</t>
        </is>
      </c>
      <c r="FV116">
        <f>VLOOKUP(FU116,FD:FL,9,0)</f>
        <v/>
      </c>
      <c r="HA116" s="35" t="n">
        <v>113</v>
      </c>
      <c r="HB116" s="35" t="n">
        <v>110</v>
      </c>
    </row>
    <row r="117" ht="15.5" customHeight="1">
      <c r="A117" s="10">
        <f>HOUR(G117)+1</f>
        <v/>
      </c>
      <c r="B117" s="7" t="n"/>
      <c r="C117" s="7" t="n"/>
      <c r="D117" s="85">
        <f>IFERROR(
IF(AND(OR(Planilla!B117="C",Planilla!B117="c"), VLOOKUP(E117,FD:FP,13,0)="C"), "OK",IF(AND(OR(Planilla!B117="C",Planilla!B117="c"), OR(VLOOKUP(E117,FD:FP,13,0)="B", VLOOKUP(E117,FD:FP,13,0)="A")), "DEFICIT",IF(
AND(OR(Planilla!B117="B", Planilla!B117="BPAL"), VLOOKUP(E117,FD:FP,13,0)="B"), "OK",IF(AND(OR(Planilla!B117="B", Planilla!B117="BPAL"), VLOOKUP(E117,FD:FP,13,0)="A"), "DEFICIT",IF(AND(OR(Planilla!B117="B", Planilla!B117="BPAL"), VLOOKUP(E117,FD:FP,13,0)="C"), "SOBREOFERTA",IF(AND(Planilla!B117="A", VLOOKUP(E117,FD:FP,13,0)="A"), "OK",IF(
AND(Planilla!B117="A", OR(VLOOKUP(E117,FD:FP,13,0)="B", VLOOKUP(E117,FD:FP,13,0)="C")), "SOBREOFERTA",""
))))))),"")</f>
        <v/>
      </c>
      <c r="E117" s="8" t="n"/>
      <c r="F117" s="86" t="n"/>
      <c r="G117" s="87" t="n"/>
      <c r="H117" s="88">
        <f>IF(I117="","",IF(AND((I117-G117)&gt;=TIME(0,0,0),(I117-G117)&lt;TIME(0,3,0)),"OK",IF(AND((I117-G117)&gt;=TIME(0,3,0),(I117-G117)&lt;TIME(0,5,0)),"RETRASO DE 3-5 MIN",IF(AND((I117-G117)&gt;=TIME(0,5,0),(I117-G117)&lt;TIME(0,10,0)),"RETRASO DE 5-10 MIN",IF((I117-G117)&gt;=TIME(0,10,0),"RETRASO &gt;10 MIN", IF(AND((G117-I117)&gt;=TIME(0,0,0),(G117-I117)&lt;TIME(0,3,0)),"OK",IF((G117-I117)&gt;=TIME(0,3,0),"ADELANTADO")))))))</f>
        <v/>
      </c>
      <c r="I117" s="89" t="n"/>
      <c r="J117" s="89">
        <f>IF(A117&lt;&gt;"",HLOOKUP(VALUE(TEXT(G117,"h:mm:ss")),IF($C$6="Laboral",$FZ$4:$GX$227,IF($C$6="Sábado",$FZ$231:$GX$452,$FZ$456:$GX$656)),VLOOKUP($C$4,$HF$2:$HH$99,3,0)+IF(C$5="Ida",0,1),1),"")</f>
        <v/>
      </c>
      <c r="K117" s="89">
        <f>IF(A118&lt;&gt;A117,AVERAGEIF(A$9:A117,A117,J$9:J117),"")</f>
        <v/>
      </c>
      <c r="L117" s="89">
        <f>IFERROR(IF(A118&lt;&gt;A117,AVERAGEIF(A$9:A117,A117,S$9:S117),""),"")</f>
        <v/>
      </c>
      <c r="M117" s="89">
        <f>IFERROR(IF(A118&lt;&gt;A117,AVERAGEIF(A$9:A117,A117,T$9:T117),""),"")</f>
        <v/>
      </c>
      <c r="N117" s="89">
        <f t="array" ref="N117">IFERROR(IF(A118&lt;&gt;A117,_xlfn.STDEV.P(IF(A$9:A117=A117,T$9:T117)),""),"")</f>
        <v/>
      </c>
      <c r="O117" s="89">
        <f t="array" ref="O117">IFERROR(IF(A118&lt;&gt;A117,_xlfn.STDEV.P(IF(A$9:A117=A117,S$9:S117)),""),"")</f>
        <v/>
      </c>
      <c r="P117" s="90">
        <f>IFERROR(IF(A117&lt;&gt;A118,MAX((((M117*24*60)/2)*(1+POWER((((N117*24*60) / (M117*24*60) )),2))) + ((M117*24*60 )*-0.1 + (K117*0.015)) +1,(((M117*24*60)/2)*(1+POWER((((N117*24*60) / (M117*24*60 ))),2)))),""),"")</f>
        <v/>
      </c>
      <c r="Q117" s="90">
        <f>IF(AND(O117&lt;&gt;"",L117&lt;&gt;""),IF(A117&lt;&gt;A118,((L117*24*60) / 2 ) * (1 + POWER(((O117*24*60) / (L117*24*60)),2)),""),"")</f>
        <v/>
      </c>
      <c r="R117" s="90">
        <f>IF(Q117&lt;&gt;"",MAX(P117,Q117),"")</f>
        <v/>
      </c>
      <c r="S117" s="89">
        <f>IF(I117&lt;&gt;"H. Sale Real",IF(AND(I118&lt;&gt;"",LEFT(C118,2)&lt;&gt;"Va"),IF(AND(I117&lt;&gt;"",LEFT(C117,2)&lt;&gt;"Va",I117&lt;&gt;"H. Sale Real"),IF(I118-I117&lt;0.208333333333333,I118-I117,""),IF(AND(I116&lt;&gt;"",LEFT(C116,2)&lt;&gt;"Va",I116&lt;&gt;"H. Sale Real"),IF(I118-I116&lt;0.208333333333333,I118-I116,""),IF(AND(I115&lt;&gt;"",LEFT(C115,2)&lt;&gt;"Va",I115&lt;&gt;"H. Sale Real"),IF(I118-I115&lt;0.208333333333333,I118-I115,""),IF(AND(I114&lt;&gt;"",LEFT(C114,2)&lt;&gt;"Va",I114&lt;&gt;"H. Sale Real"),IF(I118-I114&lt;0.208333333333333,I118-I114,""),IF(AND(I113&lt;&gt;"",LEFT(C113,2)&lt;&gt;"Va",I113&lt;&gt;"H. Sale Real"),IF(I118-I113&lt;0.208333333333333,I118-I113,""),""))))),""),"")</f>
        <v/>
      </c>
      <c r="T117" s="89">
        <f>IF(G117&lt;&gt;"H. Sale Real",IF(AND(G118&lt;&gt;"",LEFT(C118,2)&lt;&gt;"Va"),IF(AND(G117&lt;&gt;"",LEFT(C117,2)&lt;&gt;"Va",G117&lt;&gt;"H. Sale Real"),IF(G118-G117&lt;0.208333333333333,G118-G117,""),IF(AND(G116&lt;&gt;"",LEFT(C116,2)&lt;&gt;"Va",G116&lt;&gt;"H. Sale Real"),IF(G118-G116&lt;0.208333333333333,G118-G116,""),IF(AND(G115&lt;&gt;"",LEFT(C115,2)&lt;&gt;"Va",G115&lt;&gt;"H. Sale Real"),IF(G118-G115&lt;0.208333333333333,G118-G115,""),IF(AND(G114&lt;&gt;"",LEFT(C114,2)&lt;&gt;"Va",G114&lt;&gt;"H. Sale Real"),IF(G118-G114&lt;0.208333333333333,G118-G114,""),IF(AND(G113&lt;&gt;"",LEFT(C113,2)&lt;&gt;"Va",G113&lt;&gt;"H. Sale Real"),IF(G118-G113&lt;0.208333333333333,G118-G113,""),""))))),""),"")</f>
        <v/>
      </c>
      <c r="U117" s="87" t="n"/>
      <c r="V117" s="89" t="n"/>
      <c r="W117" s="87" t="n"/>
      <c r="X117" s="89" t="n"/>
      <c r="Y117" s="91" t="n"/>
      <c r="Z117" s="122">
        <f>IF(G117&lt;&gt;"",IF(AND(Z116&lt;&gt;"IE",P117&lt;&gt;0,R117&lt;&gt;""),IF(IFERROR((P117/R117),0) &lt;=1,IFERROR(P117/R117,""),1),""),"")</f>
        <v/>
      </c>
      <c r="AA117" s="93" t="n"/>
      <c r="AB117" s="2" t="n"/>
      <c r="AE117" s="10">
        <f>HOUR(AK117)+1</f>
        <v/>
      </c>
      <c r="AF117" s="7" t="n"/>
      <c r="AG117" s="7" t="n"/>
      <c r="AH117" s="86" t="n"/>
      <c r="AI117" s="8" t="n"/>
      <c r="AJ117" s="86" t="n"/>
      <c r="AK117" s="87" t="n"/>
      <c r="AL117" s="88">
        <f>IF(AM117="","",IF(AND((AM117-AK117)&gt;=TIME(0,0,0),(AM117-AK117)&lt;TIME(0,3,0)),"OK",IF(AND((AM117-AK117)&gt;=TIME(0,3,0),(AM117-AK117)&lt;TIME(0,5,0)),"RETRASO DE 3-5 MIN",IF(AND((AM117-AK117)&gt;=TIME(0,5,0),(AM117-AK117)&lt;TIME(0,10,0)),"RETRASO DE 5-10 MIN",IF((AM117-AK117)&gt;=TIME(0,10,0),"RETRASO &gt;10 MIN", IF(AND((AK117-AM117)&gt;=TIME(0,0,0),(AK117-AM117)&lt;TIME(0,3,0)),"OK",IF((AK117-AM117)&gt;=TIME(0,3,0),"ADELANTADO")))))))</f>
        <v/>
      </c>
      <c r="AM117" s="91" t="n"/>
      <c r="AN117" s="89">
        <f>IF(AE117&lt;&gt;"",HLOOKUP(VALUE(TEXT(AK117,"h:mm:ss")),IF($C$6="Laboral",$FZ$4:$GX$227,IF($C$6="Sábado",$FZ$231:$GX$452,$FZ$456:$GX$656)),VLOOKUP($C$4,$HF$2:$HH$99,3,0)+IF(AG$5="Ida",0,1),1),"")</f>
        <v/>
      </c>
      <c r="AO117" s="89">
        <f>IF(AE118&lt;&gt;AE117,AVERAGEIF(AE$9:AE117,AE117,AN$9:AN117),"")</f>
        <v/>
      </c>
      <c r="AP117" s="89">
        <f>IFERROR(IF(AE118&lt;&gt;AE117,AVERAGEIF(AE$9:AE117,AE117,AW$9:AW117),""),"")</f>
        <v/>
      </c>
      <c r="AQ117" s="89">
        <f>IFERROR(IF(AE118&lt;&gt;AE117,AVERAGEIF(AE$9:AE117,AE117,AX$9:AX117),""),"")</f>
        <v/>
      </c>
      <c r="AR117" s="89">
        <f t="array" ref="AR117">IFERROR(IF(AE118&lt;&gt;AE117,_xlfn.STDEV.P(IF(AE$9:AE117=AE117,AX$9:AX117)),""),"")</f>
        <v/>
      </c>
      <c r="AS117" s="89">
        <f t="array" ref="AS117">IFERROR(IF(AE118&lt;&gt;AE117,_xlfn.STDEV.P(IF(AE$9:AE117=AE117,AW$9:AW117)),""),"")</f>
        <v/>
      </c>
      <c r="AT117" s="90">
        <f>IFERROR(IF(AE117&lt;&gt;AE118,MAX((((AQ117*24*60)/2)*(1+POWER((((AR117*24*60) / (AQ117*24*60) )),2))) + ((AQ117*24*60 )*-0.1 + (AO117*0.015)) +1,(((AQ117*24*60)/2)*(1+POWER((((AR117*24*60) / (AQ117*24*60 ))),2)))),""),"")</f>
        <v/>
      </c>
      <c r="AU117" s="90">
        <f>IF(AND(AS117&lt;&gt;"",AP117&lt;&gt;""),IF(AE117&lt;&gt;AE118,((AP117*24*60) / 2 ) * (1 + POWER(((AS117*24*60) / (AP117*24*60)),2)),""),"")</f>
        <v/>
      </c>
      <c r="AV117" s="90">
        <f>IF(AU117&lt;&gt;"",MAX(AT117,AU117),"")</f>
        <v/>
      </c>
      <c r="AW117" s="89">
        <f>IF(AM117&lt;&gt;"H. Sale Real",IF(AND(AM118&lt;&gt;"",LEFT(AG118,2)&lt;&gt;"Va"),IF(AND(AM117&lt;&gt;"",LEFT(AG117,2)&lt;&gt;"Va",AM117&lt;&gt;"H. Sale Real"),IF(AM118-AM117&lt;0.208333333333333,AM118-AM117,""),IF(AND(AM116&lt;&gt;"",LEFT(AG116,2)&lt;&gt;"Va",AM116&lt;&gt;"H. Sale Real"),IF(AM118-AM116&lt;0.208333333333333,AM118-AM116,""),IF(AND(AM115&lt;&gt;"",LEFT(AG115,2)&lt;&gt;"Va",AM115&lt;&gt;"H. Sale Real"),IF(AM118-AM115&lt;0.208333333333333,AM118-AM115,""),IF(AND(AM114&lt;&gt;"",LEFT(AG114,2)&lt;&gt;"Va",AM114&lt;&gt;"H. Sale Real"),IF(AM118-AM114&lt;0.208333333333333,AM118-AM114,""),IF(AND(AM113&lt;&gt;"",LEFT(AG113,2)&lt;&gt;"Va",AM113&lt;&gt;"H. Sale Real"),IF(AM118-AM113&lt;0.208333333333333,AM118-AM113,""),""))))),""),"")</f>
        <v/>
      </c>
      <c r="AX117" s="89">
        <f>IF(AK117&lt;&gt;"H. Sale Real",IF(AND(AK118&lt;&gt;"",LEFT(AG118,2)&lt;&gt;"Va"),IF(AND(AK117&lt;&gt;"",LEFT(AG117,2)&lt;&gt;"Va",AK117&lt;&gt;"H. Sale Real"),IF(AK118-AK117&lt;0.208333333333333,AK118-AK117,""),IF(AND(AK116&lt;&gt;"",LEFT(AG116,2)&lt;&gt;"Va",AK116&lt;&gt;"H. Sale Real"),IF(AK118-AK116&lt;0.208333333333333,AK118-AK116,""),IF(AND(AK115&lt;&gt;"",LEFT(AG115,2)&lt;&gt;"NC",AK115&lt;&gt;"H. Sale Real"),IF(AK118-AK115&lt;0.208333333333333,AK118-AK115,""),IF(AND(AK114&lt;&gt;"",LEFT(AG114,2)&lt;&gt;"Va",AK114&lt;&gt;"H. Sale Real"),IF(AK118-AK114&lt;0.208333333333333,AK118-AK114,""),IF(AND(AK113&lt;&gt;"",LEFT(AG113,2)&lt;&gt;"Va",AK113&lt;&gt;"H. Sale Real"),IF(AK118-AK113&lt;0.208333333333333,AK118-AK113,""),""))))),""),"")</f>
        <v/>
      </c>
      <c r="AY117" s="87" t="n"/>
      <c r="AZ117" s="89" t="n"/>
      <c r="BA117" s="87" t="n"/>
      <c r="BB117" s="89" t="n"/>
      <c r="BC117" s="91" t="n"/>
      <c r="BD117" s="122">
        <f>IF(AK117&lt;&gt;"",IF(AND(BD116&lt;&gt;"IE",AT117&lt;&gt;0,AV117&lt;&gt;""),IF(IFERROR((AT117/AV117),0) &lt;=1,IFERROR(AT117/AV117,""),1),""),"")</f>
        <v/>
      </c>
      <c r="BE117" s="93" t="n"/>
      <c r="BF117" s="105" t="n"/>
      <c r="FC117" t="inlineStr">
        <is>
          <t>Diccionario 1</t>
        </is>
      </c>
      <c r="FD117" s="15" t="n">
        <v>1114</v>
      </c>
      <c r="FE117" s="15" t="inlineStr">
        <is>
          <t>LDYECS311S0043946</t>
        </is>
      </c>
      <c r="FF117" s="15" t="inlineStr">
        <is>
          <t>MDN35025010056</t>
        </is>
      </c>
      <c r="FG117" s="15" t="inlineStr">
        <is>
          <t>Zhong Tong</t>
        </is>
      </c>
      <c r="FH117" s="15" t="inlineStr">
        <is>
          <t>Lck6122evg</t>
        </is>
      </c>
      <c r="FI117" s="15" t="inlineStr">
        <is>
          <t>ZHONGTONG</t>
        </is>
      </c>
      <c r="FJ117" s="15" t="inlineStr">
        <is>
          <t>LCK6122EVG</t>
        </is>
      </c>
      <c r="FK117" s="15" t="n">
        <v>2025</v>
      </c>
      <c r="FL117" s="15" t="inlineStr">
        <is>
          <t>B</t>
        </is>
      </c>
      <c r="FM117" s="15" t="inlineStr">
        <is>
          <t>SAN JOSE</t>
        </is>
      </c>
      <c r="FN117" s="15" t="inlineStr">
        <is>
          <t>San José 030 (José Besa 669)</t>
        </is>
      </c>
      <c r="FO117" s="15" t="inlineStr">
        <is>
          <t>San Bernardo</t>
        </is>
      </c>
      <c r="FP117" t="inlineStr">
        <is>
          <t>B</t>
        </is>
      </c>
      <c r="FS117" s="14" t="inlineStr">
        <is>
          <t>3030 / SFWZ-14|</t>
        </is>
      </c>
      <c r="FT117" t="inlineStr">
        <is>
          <t>SFWZ-14|</t>
        </is>
      </c>
      <c r="FU117" t="inlineStr">
        <is>
          <t>SFWZ-14</t>
        </is>
      </c>
      <c r="FV117">
        <f>VLOOKUP(FU117,FD:FL,9,0)</f>
        <v/>
      </c>
      <c r="HA117" s="35" t="n">
        <v>114</v>
      </c>
      <c r="HB117" s="35" t="n">
        <v>111</v>
      </c>
    </row>
    <row r="118" ht="15.5" customHeight="1">
      <c r="A118" s="10">
        <f>HOUR(G118)+1</f>
        <v/>
      </c>
      <c r="B118" s="7" t="n"/>
      <c r="C118" s="7" t="n"/>
      <c r="D118" s="85">
        <f>IFERROR(
IF(AND(OR(Planilla!B118="C",Planilla!B118="c"), VLOOKUP(E118,FD:FP,13,0)="C"), "OK",IF(AND(OR(Planilla!B118="C",Planilla!B118="c"), OR(VLOOKUP(E118,FD:FP,13,0)="B", VLOOKUP(E118,FD:FP,13,0)="A")), "DEFICIT",IF(
AND(OR(Planilla!B118="B", Planilla!B118="BPAL"), VLOOKUP(E118,FD:FP,13,0)="B"), "OK",IF(AND(OR(Planilla!B118="B", Planilla!B118="BPAL"), VLOOKUP(E118,FD:FP,13,0)="A"), "DEFICIT",IF(AND(OR(Planilla!B118="B", Planilla!B118="BPAL"), VLOOKUP(E118,FD:FP,13,0)="C"), "SOBREOFERTA",IF(AND(Planilla!B118="A", VLOOKUP(E118,FD:FP,13,0)="A"), "OK",IF(
AND(Planilla!B118="A", OR(VLOOKUP(E118,FD:FP,13,0)="B", VLOOKUP(E118,FD:FP,13,0)="C")), "SOBREOFERTA",""
))))))),"")</f>
        <v/>
      </c>
      <c r="E118" s="8" t="n"/>
      <c r="F118" s="86" t="n"/>
      <c r="G118" s="87" t="n"/>
      <c r="H118" s="88">
        <f>IF(I118="","",IF(AND((I118-G118)&gt;=TIME(0,0,0),(I118-G118)&lt;TIME(0,3,0)),"OK",IF(AND((I118-G118)&gt;=TIME(0,3,0),(I118-G118)&lt;TIME(0,5,0)),"RETRASO DE 3-5 MIN",IF(AND((I118-G118)&gt;=TIME(0,5,0),(I118-G118)&lt;TIME(0,10,0)),"RETRASO DE 5-10 MIN",IF((I118-G118)&gt;=TIME(0,10,0),"RETRASO &gt;10 MIN", IF(AND((G118-I118)&gt;=TIME(0,0,0),(G118-I118)&lt;TIME(0,3,0)),"OK",IF((G118-I118)&gt;=TIME(0,3,0),"ADELANTADO")))))))</f>
        <v/>
      </c>
      <c r="I118" s="89" t="n"/>
      <c r="J118" s="89">
        <f>IF(A118&lt;&gt;"",HLOOKUP(VALUE(TEXT(G118,"h:mm:ss")),IF($C$6="Laboral",$FZ$4:$GX$227,IF($C$6="Sábado",$FZ$231:$GX$452,$FZ$456:$GX$656)),VLOOKUP($C$4,$HF$2:$HH$99,3,0)+IF(C$5="Ida",0,1),1),"")</f>
        <v/>
      </c>
      <c r="K118" s="89">
        <f>IF(A119&lt;&gt;A118,AVERAGEIF(A$9:A118,A118,J$9:J118),"")</f>
        <v/>
      </c>
      <c r="L118" s="89">
        <f>IFERROR(IF(A119&lt;&gt;A118,AVERAGEIF(A$9:A118,A118,S$9:S118),""),"")</f>
        <v/>
      </c>
      <c r="M118" s="89">
        <f>IFERROR(IF(A119&lt;&gt;A118,AVERAGEIF(A$9:A118,A118,T$9:T118),""),"")</f>
        <v/>
      </c>
      <c r="N118" s="89">
        <f t="array" ref="N118">IFERROR(IF(A119&lt;&gt;A118,_xlfn.STDEV.P(IF(A$9:A118=A118,T$9:T118)),""),"")</f>
        <v/>
      </c>
      <c r="O118" s="89">
        <f t="array" ref="O118">IFERROR(IF(A119&lt;&gt;A118,_xlfn.STDEV.P(IF(A$9:A118=A118,S$9:S118)),""),"")</f>
        <v/>
      </c>
      <c r="P118" s="90">
        <f>IFERROR(IF(A118&lt;&gt;A119,MAX((((M118*24*60)/2)*(1+POWER((((N118*24*60) / (M118*24*60) )),2))) + ((M118*24*60 )*-0.1 + (K118*0.015)) +1,(((M118*24*60)/2)*(1+POWER((((N118*24*60) / (M118*24*60 ))),2)))),""),"")</f>
        <v/>
      </c>
      <c r="Q118" s="90">
        <f>IF(AND(O118&lt;&gt;"",L118&lt;&gt;""),IF(A118&lt;&gt;A119,((L118*24*60) / 2 ) * (1 + POWER(((O118*24*60) / (L118*24*60)),2)),""),"")</f>
        <v/>
      </c>
      <c r="R118" s="90">
        <f>IF(Q118&lt;&gt;"",MAX(P118,Q118),"")</f>
        <v/>
      </c>
      <c r="S118" s="89">
        <f>IF(I118&lt;&gt;"H. Sale Real",IF(AND(I119&lt;&gt;"",LEFT(C119,2)&lt;&gt;"Va"),IF(AND(I118&lt;&gt;"",LEFT(C118,2)&lt;&gt;"Va",I118&lt;&gt;"H. Sale Real"),IF(I119-I118&lt;0.208333333333333,I119-I118,""),IF(AND(I117&lt;&gt;"",LEFT(C117,2)&lt;&gt;"Va",I117&lt;&gt;"H. Sale Real"),IF(I119-I117&lt;0.208333333333333,I119-I117,""),IF(AND(I116&lt;&gt;"",LEFT(C116,2)&lt;&gt;"Va",I116&lt;&gt;"H. Sale Real"),IF(I119-I116&lt;0.208333333333333,I119-I116,""),IF(AND(I115&lt;&gt;"",LEFT(C115,2)&lt;&gt;"Va",I115&lt;&gt;"H. Sale Real"),IF(I119-I115&lt;0.208333333333333,I119-I115,""),IF(AND(I114&lt;&gt;"",LEFT(C114,2)&lt;&gt;"Va",I114&lt;&gt;"H. Sale Real"),IF(I119-I114&lt;0.208333333333333,I119-I114,""),""))))),""),"")</f>
        <v/>
      </c>
      <c r="T118" s="89">
        <f>IF(G118&lt;&gt;"H. Sale Real",IF(AND(G119&lt;&gt;"",LEFT(C119,2)&lt;&gt;"Va"),IF(AND(G118&lt;&gt;"",LEFT(C118,2)&lt;&gt;"Va",G118&lt;&gt;"H. Sale Real"),IF(G119-G118&lt;0.208333333333333,G119-G118,""),IF(AND(G117&lt;&gt;"",LEFT(C117,2)&lt;&gt;"Va",G117&lt;&gt;"H. Sale Real"),IF(G119-G117&lt;0.208333333333333,G119-G117,""),IF(AND(G116&lt;&gt;"",LEFT(C116,2)&lt;&gt;"Va",G116&lt;&gt;"H. Sale Real"),IF(G119-G116&lt;0.208333333333333,G119-G116,""),IF(AND(G115&lt;&gt;"",LEFT(C115,2)&lt;&gt;"Va",G115&lt;&gt;"H. Sale Real"),IF(G119-G115&lt;0.208333333333333,G119-G115,""),IF(AND(G114&lt;&gt;"",LEFT(C114,2)&lt;&gt;"Va",G114&lt;&gt;"H. Sale Real"),IF(G119-G114&lt;0.208333333333333,G119-G114,""),""))))),""),"")</f>
        <v/>
      </c>
      <c r="U118" s="87" t="n"/>
      <c r="V118" s="89" t="n"/>
      <c r="W118" s="87" t="n"/>
      <c r="X118" s="89" t="n"/>
      <c r="Y118" s="91" t="n"/>
      <c r="Z118" s="122">
        <f>IF(G118&lt;&gt;"",IF(AND(Z117&lt;&gt;"IE",P118&lt;&gt;0,R118&lt;&gt;""),IF(IFERROR((P118/R118),0) &lt;=1,IFERROR(P118/R118,""),1),""),"")</f>
        <v/>
      </c>
      <c r="AA118" s="93" t="n"/>
      <c r="AB118" s="2" t="n"/>
      <c r="AE118" s="10">
        <f>HOUR(AK118)+1</f>
        <v/>
      </c>
      <c r="AF118" s="7" t="n"/>
      <c r="AG118" s="7" t="n"/>
      <c r="AH118" s="86" t="n"/>
      <c r="AI118" s="8" t="n"/>
      <c r="AJ118" s="86" t="n"/>
      <c r="AK118" s="87" t="n"/>
      <c r="AL118" s="88">
        <f>IF(AM118="","",IF(AND((AM118-AK118)&gt;=TIME(0,0,0),(AM118-AK118)&lt;TIME(0,3,0)),"OK",IF(AND((AM118-AK118)&gt;=TIME(0,3,0),(AM118-AK118)&lt;TIME(0,5,0)),"RETRASO DE 3-5 MIN",IF(AND((AM118-AK118)&gt;=TIME(0,5,0),(AM118-AK118)&lt;TIME(0,10,0)),"RETRASO DE 5-10 MIN",IF((AM118-AK118)&gt;=TIME(0,10,0),"RETRASO &gt;10 MIN", IF(AND((AK118-AM118)&gt;=TIME(0,0,0),(AK118-AM118)&lt;TIME(0,3,0)),"OK",IF((AK118-AM118)&gt;=TIME(0,3,0),"ADELANTADO")))))))</f>
        <v/>
      </c>
      <c r="AM118" s="91" t="n"/>
      <c r="AN118" s="89">
        <f>IF(AE118&lt;&gt;"",HLOOKUP(VALUE(TEXT(AK118,"h:mm:ss")),IF($C$6="Laboral",$FZ$4:$GX$227,IF($C$6="Sábado",$FZ$231:$GX$452,$FZ$456:$GX$656)),VLOOKUP($C$4,$HF$2:$HH$99,3,0)+IF(AG$5="Ida",0,1),1),"")</f>
        <v/>
      </c>
      <c r="AO118" s="89">
        <f>IF(AE119&lt;&gt;AE118,AVERAGEIF(AE$9:AE118,AE118,AN$9:AN118),"")</f>
        <v/>
      </c>
      <c r="AP118" s="89">
        <f>IFERROR(IF(AE119&lt;&gt;AE118,AVERAGEIF(AE$9:AE118,AE118,AW$9:AW118),""),"")</f>
        <v/>
      </c>
      <c r="AQ118" s="89">
        <f>IFERROR(IF(AE119&lt;&gt;AE118,AVERAGEIF(AE$9:AE118,AE118,AX$9:AX118),""),"")</f>
        <v/>
      </c>
      <c r="AR118" s="89">
        <f t="array" ref="AR118">IFERROR(IF(AE119&lt;&gt;AE118,_xlfn.STDEV.P(IF(AE$9:AE118=AE118,AX$9:AX118)),""),"")</f>
        <v/>
      </c>
      <c r="AS118" s="89">
        <f t="array" ref="AS118">IFERROR(IF(AE119&lt;&gt;AE118,_xlfn.STDEV.P(IF(AE$9:AE118=AE118,AW$9:AW118)),""),"")</f>
        <v/>
      </c>
      <c r="AT118" s="90">
        <f>IFERROR(IF(AE118&lt;&gt;AE119,MAX((((AQ118*24*60)/2)*(1+POWER((((AR118*24*60) / (AQ118*24*60) )),2))) + ((AQ118*24*60 )*-0.1 + (AO118*0.015)) +1,(((AQ118*24*60)/2)*(1+POWER((((AR118*24*60) / (AQ118*24*60 ))),2)))),""),"")</f>
        <v/>
      </c>
      <c r="AU118" s="90">
        <f>IF(AND(AS118&lt;&gt;"",AP118&lt;&gt;""),IF(AE118&lt;&gt;AE119,((AP118*24*60) / 2 ) * (1 + POWER(((AS118*24*60) / (AP118*24*60)),2)),""),"")</f>
        <v/>
      </c>
      <c r="AV118" s="90">
        <f>IF(AU118&lt;&gt;"",MAX(AT118,AU118),"")</f>
        <v/>
      </c>
      <c r="AW118" s="89">
        <f>IF(AM118&lt;&gt;"H. Sale Real",IF(AND(AM119&lt;&gt;"",LEFT(AG119,2)&lt;&gt;"Va"),IF(AND(AM118&lt;&gt;"",LEFT(AG118,2)&lt;&gt;"Va",AM118&lt;&gt;"H. Sale Real"),IF(AM119-AM118&lt;0.208333333333333,AM119-AM118,""),IF(AND(AM117&lt;&gt;"",LEFT(AG117,2)&lt;&gt;"Va",AM117&lt;&gt;"H. Sale Real"),IF(AM119-AM117&lt;0.208333333333333,AM119-AM117,""),IF(AND(AM116&lt;&gt;"",LEFT(AG116,2)&lt;&gt;"Va",AM116&lt;&gt;"H. Sale Real"),IF(AM119-AM116&lt;0.208333333333333,AM119-AM116,""),IF(AND(AM115&lt;&gt;"",LEFT(AG115,2)&lt;&gt;"Va",AM115&lt;&gt;"H. Sale Real"),IF(AM119-AM115&lt;0.208333333333333,AM119-AM115,""),IF(AND(AM114&lt;&gt;"",LEFT(AG114,2)&lt;&gt;"Va",AM114&lt;&gt;"H. Sale Real"),IF(AM119-AM114&lt;0.208333333333333,AM119-AM114,""),""))))),""),"")</f>
        <v/>
      </c>
      <c r="AX118" s="89">
        <f>IF(AK118&lt;&gt;"H. Sale Real",IF(AND(AK119&lt;&gt;"",LEFT(AG119,2)&lt;&gt;"Va"),IF(AND(AK118&lt;&gt;"",LEFT(AG118,2)&lt;&gt;"Va",AK118&lt;&gt;"H. Sale Real"),IF(AK119-AK118&lt;0.208333333333333,AK119-AK118,""),IF(AND(AK117&lt;&gt;"",LEFT(AG117,2)&lt;&gt;"Va",AK117&lt;&gt;"H. Sale Real"),IF(AK119-AK117&lt;0.208333333333333,AK119-AK117,""),IF(AND(AK116&lt;&gt;"",LEFT(AG116,2)&lt;&gt;"NC",AK116&lt;&gt;"H. Sale Real"),IF(AK119-AK116&lt;0.208333333333333,AK119-AK116,""),IF(AND(AK115&lt;&gt;"",LEFT(AG115,2)&lt;&gt;"Va",AK115&lt;&gt;"H. Sale Real"),IF(AK119-AK115&lt;0.208333333333333,AK119-AK115,""),IF(AND(AK114&lt;&gt;"",LEFT(AG114,2)&lt;&gt;"Va",AK114&lt;&gt;"H. Sale Real"),IF(AK119-AK114&lt;0.208333333333333,AK119-AK114,""),""))))),""),"")</f>
        <v/>
      </c>
      <c r="AY118" s="87" t="n"/>
      <c r="AZ118" s="89" t="n"/>
      <c r="BA118" s="87" t="n"/>
      <c r="BB118" s="89" t="n"/>
      <c r="BC118" s="91" t="n"/>
      <c r="BD118" s="122">
        <f>IF(AK118&lt;&gt;"",IF(AND(BD117&lt;&gt;"IE",AT118&lt;&gt;0,AV118&lt;&gt;""),IF(IFERROR((AT118/AV118),0) &lt;=1,IFERROR(AT118/AV118,""),1),""),"")</f>
        <v/>
      </c>
      <c r="BE118" s="93" t="n"/>
      <c r="BF118" s="105" t="n"/>
      <c r="FC118" t="inlineStr">
        <is>
          <t>Diccionario 1</t>
        </is>
      </c>
      <c r="FD118" s="15" t="n">
        <v>1115</v>
      </c>
      <c r="FE118" s="15" t="inlineStr">
        <is>
          <t>LDYECS318S0043913</t>
        </is>
      </c>
      <c r="FF118" s="15" t="inlineStr">
        <is>
          <t>MDN35025010045</t>
        </is>
      </c>
      <c r="FG118" s="15" t="inlineStr">
        <is>
          <t>Zhong Tong</t>
        </is>
      </c>
      <c r="FH118" s="15" t="inlineStr">
        <is>
          <t>Lck6122evg</t>
        </is>
      </c>
      <c r="FI118" s="15" t="inlineStr">
        <is>
          <t>ZHONGTONG</t>
        </is>
      </c>
      <c r="FJ118" s="15" t="inlineStr">
        <is>
          <t>LCK6122EVG</t>
        </is>
      </c>
      <c r="FK118" s="15" t="n">
        <v>2025</v>
      </c>
      <c r="FL118" s="15" t="inlineStr">
        <is>
          <t>B</t>
        </is>
      </c>
      <c r="FM118" s="15" t="inlineStr">
        <is>
          <t>SAN JOSE</t>
        </is>
      </c>
      <c r="FN118" s="15" t="inlineStr">
        <is>
          <t>San José 030 (José Besa 669)</t>
        </is>
      </c>
      <c r="FO118" s="15" t="inlineStr">
        <is>
          <t>San Bernardo</t>
        </is>
      </c>
      <c r="FP118" t="inlineStr">
        <is>
          <t>B</t>
        </is>
      </c>
      <c r="FS118" s="14" t="inlineStr">
        <is>
          <t>3030 / SFWZ-14|</t>
        </is>
      </c>
      <c r="FT118" t="inlineStr">
        <is>
          <t>SFWZ-14|</t>
        </is>
      </c>
      <c r="FU118" t="inlineStr">
        <is>
          <t>SFWZ-14</t>
        </is>
      </c>
      <c r="FV118">
        <f>VLOOKUP(FU118,FD:FL,9,0)</f>
        <v/>
      </c>
      <c r="HA118" s="35" t="n">
        <v>115</v>
      </c>
      <c r="HB118" s="35" t="n">
        <v>112</v>
      </c>
    </row>
    <row r="119" ht="15.5" customHeight="1">
      <c r="A119" s="10">
        <f>HOUR(G119)+1</f>
        <v/>
      </c>
      <c r="B119" s="7" t="n"/>
      <c r="C119" s="7" t="n"/>
      <c r="D119" s="85">
        <f>IFERROR(
IF(AND(OR(Planilla!B119="C",Planilla!B119="c"), VLOOKUP(E119,FD:FP,13,0)="C"), "OK",IF(AND(OR(Planilla!B119="C",Planilla!B119="c"), OR(VLOOKUP(E119,FD:FP,13,0)="B", VLOOKUP(E119,FD:FP,13,0)="A")), "DEFICIT",IF(
AND(OR(Planilla!B119="B", Planilla!B119="BPAL"), VLOOKUP(E119,FD:FP,13,0)="B"), "OK",IF(AND(OR(Planilla!B119="B", Planilla!B119="BPAL"), VLOOKUP(E119,FD:FP,13,0)="A"), "DEFICIT",IF(AND(OR(Planilla!B119="B", Planilla!B119="BPAL"), VLOOKUP(E119,FD:FP,13,0)="C"), "SOBREOFERTA",IF(AND(Planilla!B119="A", VLOOKUP(E119,FD:FP,13,0)="A"), "OK",IF(
AND(Planilla!B119="A", OR(VLOOKUP(E119,FD:FP,13,0)="B", VLOOKUP(E119,FD:FP,13,0)="C")), "SOBREOFERTA",""
))))))),"")</f>
        <v/>
      </c>
      <c r="E119" s="8" t="n"/>
      <c r="F119" s="86" t="n"/>
      <c r="G119" s="87" t="n"/>
      <c r="H119" s="88">
        <f>IF(I119="","",IF(AND((I119-G119)&gt;=TIME(0,0,0),(I119-G119)&lt;TIME(0,3,0)),"OK",IF(AND((I119-G119)&gt;=TIME(0,3,0),(I119-G119)&lt;TIME(0,5,0)),"RETRASO DE 3-5 MIN",IF(AND((I119-G119)&gt;=TIME(0,5,0),(I119-G119)&lt;TIME(0,10,0)),"RETRASO DE 5-10 MIN",IF((I119-G119)&gt;=TIME(0,10,0),"RETRASO &gt;10 MIN", IF(AND((G119-I119)&gt;=TIME(0,0,0),(G119-I119)&lt;TIME(0,3,0)),"OK",IF((G119-I119)&gt;=TIME(0,3,0),"ADELANTADO")))))))</f>
        <v/>
      </c>
      <c r="I119" s="89" t="n"/>
      <c r="J119" s="89">
        <f>IF(A119&lt;&gt;"",HLOOKUP(VALUE(TEXT(G119,"h:mm:ss")),IF($C$6="Laboral",$FZ$4:$GX$227,IF($C$6="Sábado",$FZ$231:$GX$452,$FZ$456:$GX$656)),VLOOKUP($C$4,$HF$2:$HH$99,3,0)+IF(C$5="Ida",0,1),1),"")</f>
        <v/>
      </c>
      <c r="K119" s="89">
        <f>IF(A120&lt;&gt;A119,AVERAGEIF(A$9:A119,A119,J$9:J119),"")</f>
        <v/>
      </c>
      <c r="L119" s="89">
        <f>IFERROR(IF(A120&lt;&gt;A119,AVERAGEIF(A$9:A119,A119,S$9:S119),""),"")</f>
        <v/>
      </c>
      <c r="M119" s="89">
        <f>IFERROR(IF(A120&lt;&gt;A119,AVERAGEIF(A$9:A119,A119,T$9:T119),""),"")</f>
        <v/>
      </c>
      <c r="N119" s="89">
        <f t="array" ref="N119">IFERROR(IF(A120&lt;&gt;A119,_xlfn.STDEV.P(IF(A$9:A119=A119,T$9:T119)),""),"")</f>
        <v/>
      </c>
      <c r="O119" s="89">
        <f t="array" ref="O119">IFERROR(IF(A120&lt;&gt;A119,_xlfn.STDEV.P(IF(A$9:A119=A119,S$9:S119)),""),"")</f>
        <v/>
      </c>
      <c r="P119" s="90">
        <f>IFERROR(IF(A119&lt;&gt;A120,MAX((((M119*24*60)/2)*(1+POWER((((N119*24*60) / (M119*24*60) )),2))) + ((M119*24*60 )*-0.1 + (K119*0.015)) +1,(((M119*24*60)/2)*(1+POWER((((N119*24*60) / (M119*24*60 ))),2)))),""),"")</f>
        <v/>
      </c>
      <c r="Q119" s="90">
        <f>IF(AND(O119&lt;&gt;"",L119&lt;&gt;""),IF(A119&lt;&gt;A120,((L119*24*60) / 2 ) * (1 + POWER(((O119*24*60) / (L119*24*60)),2)),""),"")</f>
        <v/>
      </c>
      <c r="R119" s="90">
        <f>IF(Q119&lt;&gt;"",MAX(P119,Q119),"")</f>
        <v/>
      </c>
      <c r="S119" s="89">
        <f>IF(I119&lt;&gt;"H. Sale Real",IF(AND(I120&lt;&gt;"",LEFT(C120,2)&lt;&gt;"Va"),IF(AND(I119&lt;&gt;"",LEFT(C119,2)&lt;&gt;"Va",I119&lt;&gt;"H. Sale Real"),IF(I120-I119&lt;0.208333333333333,I120-I119,""),IF(AND(I118&lt;&gt;"",LEFT(C118,2)&lt;&gt;"Va",I118&lt;&gt;"H. Sale Real"),IF(I120-I118&lt;0.208333333333333,I120-I118,""),IF(AND(I117&lt;&gt;"",LEFT(C117,2)&lt;&gt;"Va",I117&lt;&gt;"H. Sale Real"),IF(I120-I117&lt;0.208333333333333,I120-I117,""),IF(AND(I116&lt;&gt;"",LEFT(C116,2)&lt;&gt;"Va",I116&lt;&gt;"H. Sale Real"),IF(I120-I116&lt;0.208333333333333,I120-I116,""),IF(AND(I115&lt;&gt;"",LEFT(C115,2)&lt;&gt;"Va",I115&lt;&gt;"H. Sale Real"),IF(I120-I115&lt;0.208333333333333,I120-I115,""),""))))),""),"")</f>
        <v/>
      </c>
      <c r="T119" s="89">
        <f>IF(G119&lt;&gt;"H. Sale Real",IF(AND(G120&lt;&gt;"",LEFT(C120,2)&lt;&gt;"Va"),IF(AND(G119&lt;&gt;"",LEFT(C119,2)&lt;&gt;"Va",G119&lt;&gt;"H. Sale Real"),IF(G120-G119&lt;0.208333333333333,G120-G119,""),IF(AND(G118&lt;&gt;"",LEFT(C118,2)&lt;&gt;"Va",G118&lt;&gt;"H. Sale Real"),IF(G120-G118&lt;0.208333333333333,G120-G118,""),IF(AND(G117&lt;&gt;"",LEFT(C117,2)&lt;&gt;"Va",G117&lt;&gt;"H. Sale Real"),IF(G120-G117&lt;0.208333333333333,G120-G117,""),IF(AND(G116&lt;&gt;"",LEFT(C116,2)&lt;&gt;"Va",G116&lt;&gt;"H. Sale Real"),IF(G120-G116&lt;0.208333333333333,G120-G116,""),IF(AND(G115&lt;&gt;"",LEFT(C115,2)&lt;&gt;"Va",G115&lt;&gt;"H. Sale Real"),IF(G120-G115&lt;0.208333333333333,G120-G115,""),""))))),""),"")</f>
        <v/>
      </c>
      <c r="U119" s="87" t="n"/>
      <c r="V119" s="89" t="n"/>
      <c r="W119" s="87" t="n"/>
      <c r="X119" s="89" t="n"/>
      <c r="Y119" s="91" t="n"/>
      <c r="Z119" s="122">
        <f>IF(G119&lt;&gt;"",IF(AND(Z118&lt;&gt;"IE",P119&lt;&gt;0,R119&lt;&gt;""),IF(IFERROR((P119/R119),0) &lt;=1,IFERROR(P119/R119,""),1),""),"")</f>
        <v/>
      </c>
      <c r="AA119" s="93" t="n"/>
      <c r="AB119" s="2" t="n"/>
      <c r="AE119" s="10">
        <f>HOUR(AK119)+1</f>
        <v/>
      </c>
      <c r="AF119" s="7" t="n"/>
      <c r="AG119" s="7" t="n"/>
      <c r="AH119" s="86" t="n"/>
      <c r="AI119" s="8" t="n"/>
      <c r="AJ119" s="86" t="n"/>
      <c r="AK119" s="87" t="n"/>
      <c r="AL119" s="88">
        <f>IF(AM119="","",IF(AND((AM119-AK119)&gt;=TIME(0,0,0),(AM119-AK119)&lt;TIME(0,3,0)),"OK",IF(AND((AM119-AK119)&gt;=TIME(0,3,0),(AM119-AK119)&lt;TIME(0,5,0)),"RETRASO DE 3-5 MIN",IF(AND((AM119-AK119)&gt;=TIME(0,5,0),(AM119-AK119)&lt;TIME(0,10,0)),"RETRASO DE 5-10 MIN",IF((AM119-AK119)&gt;=TIME(0,10,0),"RETRASO &gt;10 MIN", IF(AND((AK119-AM119)&gt;=TIME(0,0,0),(AK119-AM119)&lt;TIME(0,3,0)),"OK",IF((AK119-AM119)&gt;=TIME(0,3,0),"ADELANTADO")))))))</f>
        <v/>
      </c>
      <c r="AM119" s="91" t="n"/>
      <c r="AN119" s="89">
        <f>IF(AE119&lt;&gt;"",HLOOKUP(VALUE(TEXT(AK119,"h:mm:ss")),IF($C$6="Laboral",$FZ$4:$GX$227,IF($C$6="Sábado",$FZ$231:$GX$452,$FZ$456:$GX$656)),VLOOKUP($C$4,$HF$2:$HH$99,3,0)+IF(AG$5="Ida",0,1),1),"")</f>
        <v/>
      </c>
      <c r="AO119" s="89">
        <f>IF(AE120&lt;&gt;AE119,AVERAGEIF(AE$9:AE119,AE119,AN$9:AN119),"")</f>
        <v/>
      </c>
      <c r="AP119" s="89">
        <f>IFERROR(IF(AE120&lt;&gt;AE119,AVERAGEIF(AE$9:AE119,AE119,AW$9:AW119),""),"")</f>
        <v/>
      </c>
      <c r="AQ119" s="89">
        <f>IFERROR(IF(AE120&lt;&gt;AE119,AVERAGEIF(AE$9:AE119,AE119,AX$9:AX119),""),"")</f>
        <v/>
      </c>
      <c r="AR119" s="89">
        <f t="array" ref="AR119">IFERROR(IF(AE120&lt;&gt;AE119,_xlfn.STDEV.P(IF(AE$9:AE119=AE119,AX$9:AX119)),""),"")</f>
        <v/>
      </c>
      <c r="AS119" s="89">
        <f t="array" ref="AS119">IFERROR(IF(AE120&lt;&gt;AE119,_xlfn.STDEV.P(IF(AE$9:AE119=AE119,AW$9:AW119)),""),"")</f>
        <v/>
      </c>
      <c r="AT119" s="90">
        <f>IFERROR(IF(AE119&lt;&gt;AE120,MAX((((AQ119*24*60)/2)*(1+POWER((((AR119*24*60) / (AQ119*24*60) )),2))) + ((AQ119*24*60 )*-0.1 + (AO119*0.015)) +1,(((AQ119*24*60)/2)*(1+POWER((((AR119*24*60) / (AQ119*24*60 ))),2)))),""),"")</f>
        <v/>
      </c>
      <c r="AU119" s="90">
        <f>IF(AND(AS119&lt;&gt;"",AP119&lt;&gt;""),IF(AE119&lt;&gt;AE120,((AP119*24*60) / 2 ) * (1 + POWER(((AS119*24*60) / (AP119*24*60)),2)),""),"")</f>
        <v/>
      </c>
      <c r="AV119" s="90">
        <f>IF(AU119&lt;&gt;"",MAX(AT119,AU119),"")</f>
        <v/>
      </c>
      <c r="AW119" s="89">
        <f>IF(AM119&lt;&gt;"H. Sale Real",IF(AND(AM120&lt;&gt;"",LEFT(AG120,2)&lt;&gt;"Va"),IF(AND(AM119&lt;&gt;"",LEFT(AG119,2)&lt;&gt;"Va",AM119&lt;&gt;"H. Sale Real"),IF(AM120-AM119&lt;0.208333333333333,AM120-AM119,""),IF(AND(AM118&lt;&gt;"",LEFT(AG118,2)&lt;&gt;"Va",AM118&lt;&gt;"H. Sale Real"),IF(AM120-AM118&lt;0.208333333333333,AM120-AM118,""),IF(AND(AM117&lt;&gt;"",LEFT(AG117,2)&lt;&gt;"Va",AM117&lt;&gt;"H. Sale Real"),IF(AM120-AM117&lt;0.208333333333333,AM120-AM117,""),IF(AND(AM116&lt;&gt;"",LEFT(AG116,2)&lt;&gt;"Va",AM116&lt;&gt;"H. Sale Real"),IF(AM120-AM116&lt;0.208333333333333,AM120-AM116,""),IF(AND(AM115&lt;&gt;"",LEFT(AG115,2)&lt;&gt;"Va",AM115&lt;&gt;"H. Sale Real"),IF(AM120-AM115&lt;0.208333333333333,AM120-AM115,""),""))))),""),"")</f>
        <v/>
      </c>
      <c r="AX119" s="89">
        <f>IF(AK119&lt;&gt;"H. Sale Real",IF(AND(AK120&lt;&gt;"",LEFT(AG120,2)&lt;&gt;"Va"),IF(AND(AK119&lt;&gt;"",LEFT(AG119,2)&lt;&gt;"Va",AK119&lt;&gt;"H. Sale Real"),IF(AK120-AK119&lt;0.208333333333333,AK120-AK119,""),IF(AND(AK118&lt;&gt;"",LEFT(AG118,2)&lt;&gt;"Va",AK118&lt;&gt;"H. Sale Real"),IF(AK120-AK118&lt;0.208333333333333,AK120-AK118,""),IF(AND(AK117&lt;&gt;"",LEFT(AG117,2)&lt;&gt;"NC",AK117&lt;&gt;"H. Sale Real"),IF(AK120-AK117&lt;0.208333333333333,AK120-AK117,""),IF(AND(AK116&lt;&gt;"",LEFT(AG116,2)&lt;&gt;"Va",AK116&lt;&gt;"H. Sale Real"),IF(AK120-AK116&lt;0.208333333333333,AK120-AK116,""),IF(AND(AK115&lt;&gt;"",LEFT(AG115,2)&lt;&gt;"Va",AK115&lt;&gt;"H. Sale Real"),IF(AK120-AK115&lt;0.208333333333333,AK120-AK115,""),""))))),""),"")</f>
        <v/>
      </c>
      <c r="AY119" s="87" t="n"/>
      <c r="AZ119" s="89" t="n"/>
      <c r="BA119" s="87" t="n"/>
      <c r="BB119" s="89" t="n"/>
      <c r="BC119" s="91" t="n"/>
      <c r="BD119" s="122">
        <f>IF(AK119&lt;&gt;"",IF(AND(BD118&lt;&gt;"IE",AT119&lt;&gt;0,AV119&lt;&gt;""),IF(IFERROR((AT119/AV119),0) &lt;=1,IFERROR(AT119/AV119,""),1),""),"")</f>
        <v/>
      </c>
      <c r="BE119" s="93" t="n"/>
      <c r="BF119" s="105" t="n"/>
      <c r="FC119" t="inlineStr">
        <is>
          <t>Diccionario 1</t>
        </is>
      </c>
      <c r="FD119" s="15" t="n">
        <v>1116</v>
      </c>
      <c r="FE119" s="15" t="inlineStr">
        <is>
          <t>LDYECS31XS0043895</t>
        </is>
      </c>
      <c r="FF119" s="15" t="inlineStr">
        <is>
          <t>MDN35025010235</t>
        </is>
      </c>
      <c r="FG119" s="15" t="inlineStr">
        <is>
          <t>Zhong Tong</t>
        </is>
      </c>
      <c r="FH119" s="15" t="inlineStr">
        <is>
          <t>Lck6122evg</t>
        </is>
      </c>
      <c r="FI119" s="15" t="inlineStr">
        <is>
          <t>ZHONGTONG</t>
        </is>
      </c>
      <c r="FJ119" s="15" t="inlineStr">
        <is>
          <t>LCK6122EVG</t>
        </is>
      </c>
      <c r="FK119" s="15" t="n">
        <v>2025</v>
      </c>
      <c r="FL119" s="15" t="inlineStr">
        <is>
          <t>B</t>
        </is>
      </c>
      <c r="FM119" s="15" t="inlineStr">
        <is>
          <t>SAN JOSE</t>
        </is>
      </c>
      <c r="FN119" s="15" t="inlineStr">
        <is>
          <t>San José 030 (José Besa 669)</t>
        </is>
      </c>
      <c r="FO119" s="15" t="inlineStr">
        <is>
          <t>San Bernardo</t>
        </is>
      </c>
      <c r="FP119" t="inlineStr">
        <is>
          <t>B</t>
        </is>
      </c>
      <c r="FS119" s="14" t="inlineStr">
        <is>
          <t>3030 / SFWZ-14|</t>
        </is>
      </c>
      <c r="FT119" t="inlineStr">
        <is>
          <t>SFWZ-14|</t>
        </is>
      </c>
      <c r="FU119" t="inlineStr">
        <is>
          <t>SFWZ-14</t>
        </is>
      </c>
      <c r="FV119">
        <f>VLOOKUP(FU119,FD:FL,9,0)</f>
        <v/>
      </c>
      <c r="HA119" s="35" t="n">
        <v>116</v>
      </c>
      <c r="HB119" s="35" t="n">
        <v>113</v>
      </c>
    </row>
    <row r="120" ht="15.5" customHeight="1">
      <c r="A120" s="10">
        <f>HOUR(G120)+1</f>
        <v/>
      </c>
      <c r="B120" s="7" t="n"/>
      <c r="C120" s="7" t="n"/>
      <c r="D120" s="85">
        <f>IFERROR(
IF(AND(OR(Planilla!B120="C",Planilla!B120="c"), VLOOKUP(E120,FD:FP,13,0)="C"), "OK",IF(AND(OR(Planilla!B120="C",Planilla!B120="c"), OR(VLOOKUP(E120,FD:FP,13,0)="B", VLOOKUP(E120,FD:FP,13,0)="A")), "DEFICIT",IF(
AND(OR(Planilla!B120="B", Planilla!B120="BPAL"), VLOOKUP(E120,FD:FP,13,0)="B"), "OK",IF(AND(OR(Planilla!B120="B", Planilla!B120="BPAL"), VLOOKUP(E120,FD:FP,13,0)="A"), "DEFICIT",IF(AND(OR(Planilla!B120="B", Planilla!B120="BPAL"), VLOOKUP(E120,FD:FP,13,0)="C"), "SOBREOFERTA",IF(AND(Planilla!B120="A", VLOOKUP(E120,FD:FP,13,0)="A"), "OK",IF(
AND(Planilla!B120="A", OR(VLOOKUP(E120,FD:FP,13,0)="B", VLOOKUP(E120,FD:FP,13,0)="C")), "SOBREOFERTA",""
))))))),"")</f>
        <v/>
      </c>
      <c r="E120" s="8" t="n"/>
      <c r="F120" s="86" t="n"/>
      <c r="G120" s="87" t="n"/>
      <c r="H120" s="88">
        <f>IF(I120="","",IF(AND((I120-G120)&gt;=TIME(0,0,0),(I120-G120)&lt;TIME(0,3,0)),"OK",IF(AND((I120-G120)&gt;=TIME(0,3,0),(I120-G120)&lt;TIME(0,5,0)),"RETRASO DE 3-5 MIN",IF(AND((I120-G120)&gt;=TIME(0,5,0),(I120-G120)&lt;TIME(0,10,0)),"RETRASO DE 5-10 MIN",IF((I120-G120)&gt;=TIME(0,10,0),"RETRASO &gt;10 MIN", IF(AND((G120-I120)&gt;=TIME(0,0,0),(G120-I120)&lt;TIME(0,3,0)),"OK",IF((G120-I120)&gt;=TIME(0,3,0),"ADELANTADO")))))))</f>
        <v/>
      </c>
      <c r="I120" s="89" t="n"/>
      <c r="J120" s="89">
        <f>IF(A120&lt;&gt;"",HLOOKUP(VALUE(TEXT(G120,"h:mm:ss")),IF($C$6="Laboral",$FZ$4:$GX$227,IF($C$6="Sábado",$FZ$231:$GX$452,$FZ$456:$GX$656)),VLOOKUP($C$4,$HF$2:$HH$99,3,0)+IF(C$5="Ida",0,1),1),"")</f>
        <v/>
      </c>
      <c r="K120" s="89">
        <f>IF(A121&lt;&gt;A120,AVERAGEIF(A$9:A120,A120,J$9:J120),"")</f>
        <v/>
      </c>
      <c r="L120" s="89">
        <f>IFERROR(IF(A121&lt;&gt;A120,AVERAGEIF(A$9:A120,A120,S$9:S120),""),"")</f>
        <v/>
      </c>
      <c r="M120" s="89">
        <f>IFERROR(IF(A121&lt;&gt;A120,AVERAGEIF(A$9:A120,A120,T$9:T120),""),"")</f>
        <v/>
      </c>
      <c r="N120" s="89">
        <f t="array" ref="N120">IFERROR(IF(A121&lt;&gt;A120,_xlfn.STDEV.P(IF(A$9:A120=A120,T$9:T120)),""),"")</f>
        <v/>
      </c>
      <c r="O120" s="89">
        <f t="array" ref="O120">IFERROR(IF(A121&lt;&gt;A120,_xlfn.STDEV.P(IF(A$9:A120=A120,S$9:S120)),""),"")</f>
        <v/>
      </c>
      <c r="P120" s="90">
        <f>IFERROR(IF(A120&lt;&gt;A121,MAX((((M120*24*60)/2)*(1+POWER((((N120*24*60) / (M120*24*60) )),2))) + ((M120*24*60 )*-0.1 + (K120*0.015)) +1,(((M120*24*60)/2)*(1+POWER((((N120*24*60) / (M120*24*60 ))),2)))),""),"")</f>
        <v/>
      </c>
      <c r="Q120" s="90">
        <f>IF(AND(O120&lt;&gt;"",L120&lt;&gt;""),IF(A120&lt;&gt;A121,((L120*24*60) / 2 ) * (1 + POWER(((O120*24*60) / (L120*24*60)),2)),""),"")</f>
        <v/>
      </c>
      <c r="R120" s="90">
        <f>IF(Q120&lt;&gt;"",MAX(P120,Q120),"")</f>
        <v/>
      </c>
      <c r="S120" s="89">
        <f>IF(I120&lt;&gt;"H. Sale Real",IF(AND(I121&lt;&gt;"",LEFT(C121,2)&lt;&gt;"Va"),IF(AND(I120&lt;&gt;"",LEFT(C120,2)&lt;&gt;"Va",I120&lt;&gt;"H. Sale Real"),IF(I121-I120&lt;0.208333333333333,I121-I120,""),IF(AND(I119&lt;&gt;"",LEFT(C119,2)&lt;&gt;"Va",I119&lt;&gt;"H. Sale Real"),IF(I121-I119&lt;0.208333333333333,I121-I119,""),IF(AND(I118&lt;&gt;"",LEFT(C118,2)&lt;&gt;"Va",I118&lt;&gt;"H. Sale Real"),IF(I121-I118&lt;0.208333333333333,I121-I118,""),IF(AND(I117&lt;&gt;"",LEFT(C117,2)&lt;&gt;"Va",I117&lt;&gt;"H. Sale Real"),IF(I121-I117&lt;0.208333333333333,I121-I117,""),IF(AND(I116&lt;&gt;"",LEFT(C116,2)&lt;&gt;"Va",I116&lt;&gt;"H. Sale Real"),IF(I121-I116&lt;0.208333333333333,I121-I116,""),""))))),""),"")</f>
        <v/>
      </c>
      <c r="T120" s="89">
        <f>IF(G120&lt;&gt;"H. Sale Real",IF(AND(G121&lt;&gt;"",LEFT(C121,2)&lt;&gt;"Va"),IF(AND(G120&lt;&gt;"",LEFT(C120,2)&lt;&gt;"Va",G120&lt;&gt;"H. Sale Real"),IF(G121-G120&lt;0.208333333333333,G121-G120,""),IF(AND(G119&lt;&gt;"",LEFT(C119,2)&lt;&gt;"Va",G119&lt;&gt;"H. Sale Real"),IF(G121-G119&lt;0.208333333333333,G121-G119,""),IF(AND(G118&lt;&gt;"",LEFT(C118,2)&lt;&gt;"Va",G118&lt;&gt;"H. Sale Real"),IF(G121-G118&lt;0.208333333333333,G121-G118,""),IF(AND(G117&lt;&gt;"",LEFT(C117,2)&lt;&gt;"Va",G117&lt;&gt;"H. Sale Real"),IF(G121-G117&lt;0.208333333333333,G121-G117,""),IF(AND(G116&lt;&gt;"",LEFT(C116,2)&lt;&gt;"Va",G116&lt;&gt;"H. Sale Real"),IF(G121-G116&lt;0.208333333333333,G121-G116,""),""))))),""),"")</f>
        <v/>
      </c>
      <c r="U120" s="87" t="n"/>
      <c r="V120" s="89" t="n"/>
      <c r="W120" s="87" t="n"/>
      <c r="X120" s="89" t="n"/>
      <c r="Y120" s="91" t="n"/>
      <c r="Z120" s="122">
        <f>IF(G120&lt;&gt;"",IF(AND(Z119&lt;&gt;"IE",P120&lt;&gt;0,R120&lt;&gt;""),IF(IFERROR((P120/R120),0) &lt;=1,IFERROR(P120/R120,""),1),""),"")</f>
        <v/>
      </c>
      <c r="AA120" s="93" t="n"/>
      <c r="AB120" s="2" t="n"/>
      <c r="AE120" s="10">
        <f>HOUR(AK120)+1</f>
        <v/>
      </c>
      <c r="AF120" s="7" t="n"/>
      <c r="AG120" s="7" t="n"/>
      <c r="AH120" s="86" t="n"/>
      <c r="AI120" s="8" t="n"/>
      <c r="AJ120" s="86" t="n"/>
      <c r="AK120" s="87" t="n"/>
      <c r="AL120" s="88">
        <f>IF(AM120="","",IF(AND((AM120-AK120)&gt;=TIME(0,0,0),(AM120-AK120)&lt;TIME(0,3,0)),"OK",IF(AND((AM120-AK120)&gt;=TIME(0,3,0),(AM120-AK120)&lt;TIME(0,5,0)),"RETRASO DE 3-5 MIN",IF(AND((AM120-AK120)&gt;=TIME(0,5,0),(AM120-AK120)&lt;TIME(0,10,0)),"RETRASO DE 5-10 MIN",IF((AM120-AK120)&gt;=TIME(0,10,0),"RETRASO &gt;10 MIN", IF(AND((AK120-AM120)&gt;=TIME(0,0,0),(AK120-AM120)&lt;TIME(0,3,0)),"OK",IF((AK120-AM120)&gt;=TIME(0,3,0),"ADELANTADO")))))))</f>
        <v/>
      </c>
      <c r="AM120" s="91" t="n"/>
      <c r="AN120" s="89">
        <f>IF(AE120&lt;&gt;"",HLOOKUP(VALUE(TEXT(AK120,"h:mm:ss")),IF($C$6="Laboral",$FZ$4:$GX$227,IF($C$6="Sábado",$FZ$231:$GX$452,$FZ$456:$GX$656)),VLOOKUP($C$4,$HF$2:$HH$99,3,0)+IF(AG$5="Ida",0,1),1),"")</f>
        <v/>
      </c>
      <c r="AO120" s="89">
        <f>IF(AE121&lt;&gt;AE120,AVERAGEIF(AE$9:AE120,AE120,AN$9:AN120),"")</f>
        <v/>
      </c>
      <c r="AP120" s="89">
        <f>IFERROR(IF(AE121&lt;&gt;AE120,AVERAGEIF(AE$9:AE120,AE120,AW$9:AW120),""),"")</f>
        <v/>
      </c>
      <c r="AQ120" s="89">
        <f>IFERROR(IF(AE121&lt;&gt;AE120,AVERAGEIF(AE$9:AE120,AE120,AX$9:AX120),""),"")</f>
        <v/>
      </c>
      <c r="AR120" s="89">
        <f t="array" ref="AR120">IFERROR(IF(AE121&lt;&gt;AE120,_xlfn.STDEV.P(IF(AE$9:AE120=AE120,AX$9:AX120)),""),"")</f>
        <v/>
      </c>
      <c r="AS120" s="89">
        <f t="array" ref="AS120">IFERROR(IF(AE121&lt;&gt;AE120,_xlfn.STDEV.P(IF(AE$9:AE120=AE120,AW$9:AW120)),""),"")</f>
        <v/>
      </c>
      <c r="AT120" s="90">
        <f>IFERROR(IF(AE120&lt;&gt;AE121,MAX((((AQ120*24*60)/2)*(1+POWER((((AR120*24*60) / (AQ120*24*60) )),2))) + ((AQ120*24*60 )*-0.1 + (AO120*0.015)) +1,(((AQ120*24*60)/2)*(1+POWER((((AR120*24*60) / (AQ120*24*60 ))),2)))),""),"")</f>
        <v/>
      </c>
      <c r="AU120" s="90">
        <f>IF(AND(AS120&lt;&gt;"",AP120&lt;&gt;""),IF(AE120&lt;&gt;AE121,((AP120*24*60) / 2 ) * (1 + POWER(((AS120*24*60) / (AP120*24*60)),2)),""),"")</f>
        <v/>
      </c>
      <c r="AV120" s="90">
        <f>IF(AU120&lt;&gt;"",MAX(AT120,AU120),"")</f>
        <v/>
      </c>
      <c r="AW120" s="89">
        <f>IF(AM120&lt;&gt;"H. Sale Real",IF(AND(AM121&lt;&gt;"",LEFT(AG121,2)&lt;&gt;"Va"),IF(AND(AM120&lt;&gt;"",LEFT(AG120,2)&lt;&gt;"Va",AM120&lt;&gt;"H. Sale Real"),IF(AM121-AM120&lt;0.208333333333333,AM121-AM120,""),IF(AND(AM119&lt;&gt;"",LEFT(AG119,2)&lt;&gt;"Va",AM119&lt;&gt;"H. Sale Real"),IF(AM121-AM119&lt;0.208333333333333,AM121-AM119,""),IF(AND(AM118&lt;&gt;"",LEFT(AG118,2)&lt;&gt;"Va",AM118&lt;&gt;"H. Sale Real"),IF(AM121-AM118&lt;0.208333333333333,AM121-AM118,""),IF(AND(AM117&lt;&gt;"",LEFT(AG117,2)&lt;&gt;"Va",AM117&lt;&gt;"H. Sale Real"),IF(AM121-AM117&lt;0.208333333333333,AM121-AM117,""),IF(AND(AM116&lt;&gt;"",LEFT(AG116,2)&lt;&gt;"Va",AM116&lt;&gt;"H. Sale Real"),IF(AM121-AM116&lt;0.208333333333333,AM121-AM116,""),""))))),""),"")</f>
        <v/>
      </c>
      <c r="AX120" s="89">
        <f>IF(AK120&lt;&gt;"H. Sale Real",IF(AND(AK121&lt;&gt;"",LEFT(AG121,2)&lt;&gt;"Va"),IF(AND(AK120&lt;&gt;"",LEFT(AG120,2)&lt;&gt;"Va",AK120&lt;&gt;"H. Sale Real"),IF(AK121-AK120&lt;0.208333333333333,AK121-AK120,""),IF(AND(AK119&lt;&gt;"",LEFT(AG119,2)&lt;&gt;"Va",AK119&lt;&gt;"H. Sale Real"),IF(AK121-AK119&lt;0.208333333333333,AK121-AK119,""),IF(AND(AK118&lt;&gt;"",LEFT(AG118,2)&lt;&gt;"NC",AK118&lt;&gt;"H. Sale Real"),IF(AK121-AK118&lt;0.208333333333333,AK121-AK118,""),IF(AND(AK117&lt;&gt;"",LEFT(AG117,2)&lt;&gt;"Va",AK117&lt;&gt;"H. Sale Real"),IF(AK121-AK117&lt;0.208333333333333,AK121-AK117,""),IF(AND(AK116&lt;&gt;"",LEFT(AG116,2)&lt;&gt;"Va",AK116&lt;&gt;"H. Sale Real"),IF(AK121-AK116&lt;0.208333333333333,AK121-AK116,""),""))))),""),"")</f>
        <v/>
      </c>
      <c r="AY120" s="87" t="n"/>
      <c r="AZ120" s="89" t="n"/>
      <c r="BA120" s="87" t="n"/>
      <c r="BB120" s="89" t="n"/>
      <c r="BC120" s="91" t="n"/>
      <c r="BD120" s="122">
        <f>IF(AK120&lt;&gt;"",IF(AND(BD119&lt;&gt;"IE",AT120&lt;&gt;0,AV120&lt;&gt;""),IF(IFERROR((AT120/AV120),0) &lt;=1,IFERROR(AT120/AV120,""),1),""),"")</f>
        <v/>
      </c>
      <c r="BE120" s="93" t="n"/>
      <c r="BF120" s="105" t="n"/>
      <c r="FC120" t="inlineStr">
        <is>
          <t>Diccionario 1</t>
        </is>
      </c>
      <c r="FD120" s="15" t="n">
        <v>1117</v>
      </c>
      <c r="FE120" s="15" t="inlineStr">
        <is>
          <t>LDYECS317S0043935</t>
        </is>
      </c>
      <c r="FF120" s="15" t="inlineStr">
        <is>
          <t>MDN35025010210</t>
        </is>
      </c>
      <c r="FG120" s="15" t="inlineStr">
        <is>
          <t>Zhong Tong</t>
        </is>
      </c>
      <c r="FH120" s="15" t="inlineStr">
        <is>
          <t>Lck6122evg</t>
        </is>
      </c>
      <c r="FI120" s="15" t="inlineStr">
        <is>
          <t>ZHONGTONG</t>
        </is>
      </c>
      <c r="FJ120" s="15" t="inlineStr">
        <is>
          <t>LCK6122EVG</t>
        </is>
      </c>
      <c r="FK120" s="15" t="n">
        <v>2025</v>
      </c>
      <c r="FL120" s="15" t="inlineStr">
        <is>
          <t>B</t>
        </is>
      </c>
      <c r="FM120" s="15" t="inlineStr">
        <is>
          <t>SAN JOSE</t>
        </is>
      </c>
      <c r="FN120" s="15" t="inlineStr">
        <is>
          <t>San José 030 (José Besa 669)</t>
        </is>
      </c>
      <c r="FO120" s="15" t="inlineStr">
        <is>
          <t>San Bernardo</t>
        </is>
      </c>
      <c r="FP120" t="inlineStr">
        <is>
          <t>B</t>
        </is>
      </c>
      <c r="FS120" s="14" t="inlineStr">
        <is>
          <t>3030 / SFWZ-14|</t>
        </is>
      </c>
      <c r="FT120" t="inlineStr">
        <is>
          <t>SFWZ-14|</t>
        </is>
      </c>
      <c r="FU120" t="inlineStr">
        <is>
          <t>SFWZ-14</t>
        </is>
      </c>
      <c r="FV120">
        <f>VLOOKUP(FU120,FD:FL,9,0)</f>
        <v/>
      </c>
      <c r="HA120" s="35" t="n">
        <v>117</v>
      </c>
      <c r="HB120" s="35" t="n">
        <v>114</v>
      </c>
    </row>
    <row r="121" ht="15.5" customHeight="1">
      <c r="A121" s="10">
        <f>HOUR(G121)+1</f>
        <v/>
      </c>
      <c r="B121" s="7" t="n"/>
      <c r="C121" s="7" t="n"/>
      <c r="D121" s="85">
        <f>IFERROR(
IF(AND(OR(Planilla!B121="C",Planilla!B121="c"), VLOOKUP(E121,FD:FP,13,0)="C"), "OK",IF(AND(OR(Planilla!B121="C",Planilla!B121="c"), OR(VLOOKUP(E121,FD:FP,13,0)="B", VLOOKUP(E121,FD:FP,13,0)="A")), "DEFICIT",IF(
AND(OR(Planilla!B121="B", Planilla!B121="BPAL"), VLOOKUP(E121,FD:FP,13,0)="B"), "OK",IF(AND(OR(Planilla!B121="B", Planilla!B121="BPAL"), VLOOKUP(E121,FD:FP,13,0)="A"), "DEFICIT",IF(AND(OR(Planilla!B121="B", Planilla!B121="BPAL"), VLOOKUP(E121,FD:FP,13,0)="C"), "SOBREOFERTA",IF(AND(Planilla!B121="A", VLOOKUP(E121,FD:FP,13,0)="A"), "OK",IF(
AND(Planilla!B121="A", OR(VLOOKUP(E121,FD:FP,13,0)="B", VLOOKUP(E121,FD:FP,13,0)="C")), "SOBREOFERTA",""
))))))),"")</f>
        <v/>
      </c>
      <c r="E121" s="8" t="n"/>
      <c r="F121" s="86" t="n"/>
      <c r="G121" s="87" t="n"/>
      <c r="H121" s="88">
        <f>IF(I121="","",IF(AND((I121-G121)&gt;=TIME(0,0,0),(I121-G121)&lt;TIME(0,3,0)),"OK",IF(AND((I121-G121)&gt;=TIME(0,3,0),(I121-G121)&lt;TIME(0,5,0)),"RETRASO DE 3-5 MIN",IF(AND((I121-G121)&gt;=TIME(0,5,0),(I121-G121)&lt;TIME(0,10,0)),"RETRASO DE 5-10 MIN",IF((I121-G121)&gt;=TIME(0,10,0),"RETRASO &gt;10 MIN", IF(AND((G121-I121)&gt;=TIME(0,0,0),(G121-I121)&lt;TIME(0,3,0)),"OK",IF((G121-I121)&gt;=TIME(0,3,0),"ADELANTADO")))))))</f>
        <v/>
      </c>
      <c r="I121" s="89" t="n"/>
      <c r="J121" s="89">
        <f>IF(A121&lt;&gt;"",HLOOKUP(VALUE(TEXT(G121,"h:mm:ss")),IF($C$6="Laboral",$FZ$4:$GX$227,IF($C$6="Sábado",$FZ$231:$GX$452,$FZ$456:$GX$656)),VLOOKUP($C$4,$HF$2:$HH$99,3,0)+IF(C$5="Ida",0,1),1),"")</f>
        <v/>
      </c>
      <c r="K121" s="89">
        <f>IF(A122&lt;&gt;A121,AVERAGEIF(A$9:A121,A121,J$9:J121),"")</f>
        <v/>
      </c>
      <c r="L121" s="89">
        <f>IFERROR(IF(A122&lt;&gt;A121,AVERAGEIF(A$9:A121,A121,S$9:S121),""),"")</f>
        <v/>
      </c>
      <c r="M121" s="89">
        <f>IFERROR(IF(A122&lt;&gt;A121,AVERAGEIF(A$9:A121,A121,T$9:T121),""),"")</f>
        <v/>
      </c>
      <c r="N121" s="89">
        <f t="array" ref="N121">IFERROR(IF(A122&lt;&gt;A121,_xlfn.STDEV.P(IF(A$9:A121=A121,T$9:T121)),""),"")</f>
        <v/>
      </c>
      <c r="O121" s="89">
        <f t="array" ref="O121">IFERROR(IF(A122&lt;&gt;A121,_xlfn.STDEV.P(IF(A$9:A121=A121,S$9:S121)),""),"")</f>
        <v/>
      </c>
      <c r="P121" s="90">
        <f>IFERROR(IF(A121&lt;&gt;A122,MAX((((M121*24*60)/2)*(1+POWER((((N121*24*60) / (M121*24*60) )),2))) + ((M121*24*60 )*-0.1 + (K121*0.015)) +1,(((M121*24*60)/2)*(1+POWER((((N121*24*60) / (M121*24*60 ))),2)))),""),"")</f>
        <v/>
      </c>
      <c r="Q121" s="90">
        <f>IF(AND(O121&lt;&gt;"",L121&lt;&gt;""),IF(A121&lt;&gt;A122,((L121*24*60) / 2 ) * (1 + POWER(((O121*24*60) / (L121*24*60)),2)),""),"")</f>
        <v/>
      </c>
      <c r="R121" s="90">
        <f>IF(Q121&lt;&gt;"",MAX(P121,Q121),"")</f>
        <v/>
      </c>
      <c r="S121" s="89">
        <f>IF(I121&lt;&gt;"H. Sale Real",IF(AND(I122&lt;&gt;"",LEFT(C122,2)&lt;&gt;"Va"),IF(AND(I121&lt;&gt;"",LEFT(C121,2)&lt;&gt;"Va",I121&lt;&gt;"H. Sale Real"),IF(I122-I121&lt;0.208333333333333,I122-I121,""),IF(AND(I120&lt;&gt;"",LEFT(C120,2)&lt;&gt;"Va",I120&lt;&gt;"H. Sale Real"),IF(I122-I120&lt;0.208333333333333,I122-I120,""),IF(AND(I119&lt;&gt;"",LEFT(C119,2)&lt;&gt;"Va",I119&lt;&gt;"H. Sale Real"),IF(I122-I119&lt;0.208333333333333,I122-I119,""),IF(AND(I118&lt;&gt;"",LEFT(C118,2)&lt;&gt;"Va",I118&lt;&gt;"H. Sale Real"),IF(I122-I118&lt;0.208333333333333,I122-I118,""),IF(AND(I117&lt;&gt;"",LEFT(C117,2)&lt;&gt;"Va",I117&lt;&gt;"H. Sale Real"),IF(I122-I117&lt;0.208333333333333,I122-I117,""),""))))),""),"")</f>
        <v/>
      </c>
      <c r="T121" s="89">
        <f>IF(G121&lt;&gt;"H. Sale Real",IF(AND(G122&lt;&gt;"",LEFT(C122,2)&lt;&gt;"Va"),IF(AND(G121&lt;&gt;"",LEFT(C121,2)&lt;&gt;"Va",G121&lt;&gt;"H. Sale Real"),IF(G122-G121&lt;0.208333333333333,G122-G121,""),IF(AND(G120&lt;&gt;"",LEFT(C120,2)&lt;&gt;"Va",G120&lt;&gt;"H. Sale Real"),IF(G122-G120&lt;0.208333333333333,G122-G120,""),IF(AND(G119&lt;&gt;"",LEFT(C119,2)&lt;&gt;"Va",G119&lt;&gt;"H. Sale Real"),IF(G122-G119&lt;0.208333333333333,G122-G119,""),IF(AND(G118&lt;&gt;"",LEFT(C118,2)&lt;&gt;"Va",G118&lt;&gt;"H. Sale Real"),IF(G122-G118&lt;0.208333333333333,G122-G118,""),IF(AND(G117&lt;&gt;"",LEFT(C117,2)&lt;&gt;"Va",G117&lt;&gt;"H. Sale Real"),IF(G122-G117&lt;0.208333333333333,G122-G117,""),""))))),""),"")</f>
        <v/>
      </c>
      <c r="U121" s="87" t="n"/>
      <c r="V121" s="89" t="n"/>
      <c r="W121" s="87" t="n"/>
      <c r="X121" s="89" t="n"/>
      <c r="Y121" s="91" t="n"/>
      <c r="Z121" s="122">
        <f>IF(G121&lt;&gt;"",IF(AND(Z120&lt;&gt;"IE",P121&lt;&gt;0,R121&lt;&gt;""),IF(IFERROR((P121/R121),0) &lt;=1,IFERROR(P121/R121,""),1),""),"")</f>
        <v/>
      </c>
      <c r="AA121" s="93" t="n"/>
      <c r="AB121" s="2" t="n"/>
      <c r="AE121" s="10">
        <f>HOUR(AK121)+1</f>
        <v/>
      </c>
      <c r="AF121" s="7" t="n"/>
      <c r="AG121" s="7" t="n"/>
      <c r="AH121" s="86" t="n"/>
      <c r="AI121" s="8" t="n"/>
      <c r="AJ121" s="86" t="n"/>
      <c r="AK121" s="87" t="n"/>
      <c r="AL121" s="88">
        <f>IF(AM121="","",IF(AND((AM121-AK121)&gt;=TIME(0,0,0),(AM121-AK121)&lt;TIME(0,3,0)),"OK",IF(AND((AM121-AK121)&gt;=TIME(0,3,0),(AM121-AK121)&lt;TIME(0,5,0)),"RETRASO DE 3-5 MIN",IF(AND((AM121-AK121)&gt;=TIME(0,5,0),(AM121-AK121)&lt;TIME(0,10,0)),"RETRASO DE 5-10 MIN",IF((AM121-AK121)&gt;=TIME(0,10,0),"RETRASO &gt;10 MIN", IF(AND((AK121-AM121)&gt;=TIME(0,0,0),(AK121-AM121)&lt;TIME(0,3,0)),"OK",IF((AK121-AM121)&gt;=TIME(0,3,0),"ADELANTADO")))))))</f>
        <v/>
      </c>
      <c r="AM121" s="91" t="n"/>
      <c r="AN121" s="89">
        <f>IF(AE121&lt;&gt;"",HLOOKUP(VALUE(TEXT(AK121,"h:mm:ss")),IF($C$6="Laboral",$FZ$4:$GX$227,IF($C$6="Sábado",$FZ$231:$GX$452,$FZ$456:$GX$656)),VLOOKUP($C$4,$HF$2:$HH$99,3,0)+IF(AG$5="Ida",0,1),1),"")</f>
        <v/>
      </c>
      <c r="AO121" s="89">
        <f>IF(AE122&lt;&gt;AE121,AVERAGEIF(AE$9:AE121,AE121,AN$9:AN121),"")</f>
        <v/>
      </c>
      <c r="AP121" s="89">
        <f>IFERROR(IF(AE122&lt;&gt;AE121,AVERAGEIF(AE$9:AE121,AE121,AW$9:AW121),""),"")</f>
        <v/>
      </c>
      <c r="AQ121" s="89">
        <f>IFERROR(IF(AE122&lt;&gt;AE121,AVERAGEIF(AE$9:AE121,AE121,AX$9:AX121),""),"")</f>
        <v/>
      </c>
      <c r="AR121" s="89">
        <f t="array" ref="AR121">IFERROR(IF(AE122&lt;&gt;AE121,_xlfn.STDEV.P(IF(AE$9:AE121=AE121,AX$9:AX121)),""),"")</f>
        <v/>
      </c>
      <c r="AS121" s="89">
        <f t="array" ref="AS121">IFERROR(IF(AE122&lt;&gt;AE121,_xlfn.STDEV.P(IF(AE$9:AE121=AE121,AW$9:AW121)),""),"")</f>
        <v/>
      </c>
      <c r="AT121" s="90">
        <f>IFERROR(IF(AE121&lt;&gt;AE122,MAX((((AQ121*24*60)/2)*(1+POWER((((AR121*24*60) / (AQ121*24*60) )),2))) + ((AQ121*24*60 )*-0.1 + (AO121*0.015)) +1,(((AQ121*24*60)/2)*(1+POWER((((AR121*24*60) / (AQ121*24*60 ))),2)))),""),"")</f>
        <v/>
      </c>
      <c r="AU121" s="90">
        <f>IF(AND(AS121&lt;&gt;"",AP121&lt;&gt;""),IF(AE121&lt;&gt;AE122,((AP121*24*60) / 2 ) * (1 + POWER(((AS121*24*60) / (AP121*24*60)),2)),""),"")</f>
        <v/>
      </c>
      <c r="AV121" s="90">
        <f>IF(AU121&lt;&gt;"",MAX(AT121,AU121),"")</f>
        <v/>
      </c>
      <c r="AW121" s="89">
        <f>IF(AM121&lt;&gt;"H. Sale Real",IF(AND(AM122&lt;&gt;"",LEFT(AG122,2)&lt;&gt;"Va"),IF(AND(AM121&lt;&gt;"",LEFT(AG121,2)&lt;&gt;"Va",AM121&lt;&gt;"H. Sale Real"),IF(AM122-AM121&lt;0.208333333333333,AM122-AM121,""),IF(AND(AM120&lt;&gt;"",LEFT(AG120,2)&lt;&gt;"Va",AM120&lt;&gt;"H. Sale Real"),IF(AM122-AM120&lt;0.208333333333333,AM122-AM120,""),IF(AND(AM119&lt;&gt;"",LEFT(AG119,2)&lt;&gt;"Va",AM119&lt;&gt;"H. Sale Real"),IF(AM122-AM119&lt;0.208333333333333,AM122-AM119,""),IF(AND(AM118&lt;&gt;"",LEFT(AG118,2)&lt;&gt;"Va",AM118&lt;&gt;"H. Sale Real"),IF(AM122-AM118&lt;0.208333333333333,AM122-AM118,""),IF(AND(AM117&lt;&gt;"",LEFT(AG117,2)&lt;&gt;"Va",AM117&lt;&gt;"H. Sale Real"),IF(AM122-AM117&lt;0.208333333333333,AM122-AM117,""),""))))),""),"")</f>
        <v/>
      </c>
      <c r="AX121" s="89">
        <f>IF(AK121&lt;&gt;"H. Sale Real",IF(AND(AK122&lt;&gt;"",LEFT(AG122,2)&lt;&gt;"Va"),IF(AND(AK121&lt;&gt;"",LEFT(AG121,2)&lt;&gt;"Va",AK121&lt;&gt;"H. Sale Real"),IF(AK122-AK121&lt;0.208333333333333,AK122-AK121,""),IF(AND(AK120&lt;&gt;"",LEFT(AG120,2)&lt;&gt;"Va",AK120&lt;&gt;"H. Sale Real"),IF(AK122-AK120&lt;0.208333333333333,AK122-AK120,""),IF(AND(AK119&lt;&gt;"",LEFT(AG119,2)&lt;&gt;"NC",AK119&lt;&gt;"H. Sale Real"),IF(AK122-AK119&lt;0.208333333333333,AK122-AK119,""),IF(AND(AK118&lt;&gt;"",LEFT(AG118,2)&lt;&gt;"Va",AK118&lt;&gt;"H. Sale Real"),IF(AK122-AK118&lt;0.208333333333333,AK122-AK118,""),IF(AND(AK117&lt;&gt;"",LEFT(AG117,2)&lt;&gt;"Va",AK117&lt;&gt;"H. Sale Real"),IF(AK122-AK117&lt;0.208333333333333,AK122-AK117,""),""))))),""),"")</f>
        <v/>
      </c>
      <c r="AY121" s="87" t="n"/>
      <c r="AZ121" s="89" t="n"/>
      <c r="BA121" s="87" t="n"/>
      <c r="BB121" s="89" t="n"/>
      <c r="BC121" s="91" t="n"/>
      <c r="BD121" s="122">
        <f>IF(AK121&lt;&gt;"",IF(AND(BD120&lt;&gt;"IE",AT121&lt;&gt;0,AV121&lt;&gt;""),IF(IFERROR((AT121/AV121),0) &lt;=1,IFERROR(AT121/AV121,""),1),""),"")</f>
        <v/>
      </c>
      <c r="BE121" s="93" t="n"/>
      <c r="BF121" s="105" t="n"/>
      <c r="FC121" t="inlineStr">
        <is>
          <t>Diccionario 1</t>
        </is>
      </c>
      <c r="FD121" s="15" t="n">
        <v>1118</v>
      </c>
      <c r="FE121" s="15" t="inlineStr">
        <is>
          <t>LDYECS316S0043926</t>
        </is>
      </c>
      <c r="FF121" s="15" t="inlineStr">
        <is>
          <t>MDN35025010044</t>
        </is>
      </c>
      <c r="FG121" s="15" t="inlineStr">
        <is>
          <t>Zhong Tong</t>
        </is>
      </c>
      <c r="FH121" s="15" t="inlineStr">
        <is>
          <t>Lck6122evg</t>
        </is>
      </c>
      <c r="FI121" s="15" t="inlineStr">
        <is>
          <t>ZHONGTONG</t>
        </is>
      </c>
      <c r="FJ121" s="15" t="inlineStr">
        <is>
          <t>LCK6122EVG</t>
        </is>
      </c>
      <c r="FK121" s="15" t="n">
        <v>2025</v>
      </c>
      <c r="FL121" s="15" t="inlineStr">
        <is>
          <t>B</t>
        </is>
      </c>
      <c r="FM121" s="15" t="inlineStr">
        <is>
          <t>SAN JOSE</t>
        </is>
      </c>
      <c r="FN121" s="15" t="inlineStr">
        <is>
          <t>San José 030 (José Besa 669)</t>
        </is>
      </c>
      <c r="FO121" s="15" t="inlineStr">
        <is>
          <t>San Bernardo</t>
        </is>
      </c>
      <c r="FP121" t="inlineStr">
        <is>
          <t>B</t>
        </is>
      </c>
      <c r="FS121" s="14" t="inlineStr">
        <is>
          <t>3031 / SFWZ-33|</t>
        </is>
      </c>
      <c r="FT121" t="inlineStr">
        <is>
          <t>SFWZ-33|</t>
        </is>
      </c>
      <c r="FU121" t="inlineStr">
        <is>
          <t>SFWZ-33</t>
        </is>
      </c>
      <c r="FV121">
        <f>VLOOKUP(FU121,FD:FL,9,0)</f>
        <v/>
      </c>
      <c r="HA121" s="35" t="n">
        <v>118</v>
      </c>
      <c r="HB121" s="35" t="n">
        <v>115</v>
      </c>
    </row>
    <row r="122" ht="15.5" customHeight="1">
      <c r="A122" s="10">
        <f>HOUR(G122)+1</f>
        <v/>
      </c>
      <c r="B122" s="7" t="n"/>
      <c r="C122" s="7" t="n"/>
      <c r="D122" s="85">
        <f>IFERROR(
IF(AND(OR(Planilla!B122="C",Planilla!B122="c"), VLOOKUP(E122,FD:FP,13,0)="C"), "OK",IF(AND(OR(Planilla!B122="C",Planilla!B122="c"), OR(VLOOKUP(E122,FD:FP,13,0)="B", VLOOKUP(E122,FD:FP,13,0)="A")), "DEFICIT",IF(
AND(OR(Planilla!B122="B", Planilla!B122="BPAL"), VLOOKUP(E122,FD:FP,13,0)="B"), "OK",IF(AND(OR(Planilla!B122="B", Planilla!B122="BPAL"), VLOOKUP(E122,FD:FP,13,0)="A"), "DEFICIT",IF(AND(OR(Planilla!B122="B", Planilla!B122="BPAL"), VLOOKUP(E122,FD:FP,13,0)="C"), "SOBREOFERTA",IF(AND(Planilla!B122="A", VLOOKUP(E122,FD:FP,13,0)="A"), "OK",IF(
AND(Planilla!B122="A", OR(VLOOKUP(E122,FD:FP,13,0)="B", VLOOKUP(E122,FD:FP,13,0)="C")), "SOBREOFERTA",""
))))))),"")</f>
        <v/>
      </c>
      <c r="E122" s="8" t="n"/>
      <c r="F122" s="86" t="n"/>
      <c r="G122" s="87" t="n"/>
      <c r="H122" s="88">
        <f>IF(I122="","",IF(AND((I122-G122)&gt;=TIME(0,0,0),(I122-G122)&lt;TIME(0,3,0)),"OK",IF(AND((I122-G122)&gt;=TIME(0,3,0),(I122-G122)&lt;TIME(0,5,0)),"RETRASO DE 3-5 MIN",IF(AND((I122-G122)&gt;=TIME(0,5,0),(I122-G122)&lt;TIME(0,10,0)),"RETRASO DE 5-10 MIN",IF((I122-G122)&gt;=TIME(0,10,0),"RETRASO &gt;10 MIN", IF(AND((G122-I122)&gt;=TIME(0,0,0),(G122-I122)&lt;TIME(0,3,0)),"OK",IF((G122-I122)&gt;=TIME(0,3,0),"ADELANTADO")))))))</f>
        <v/>
      </c>
      <c r="I122" s="89" t="n"/>
      <c r="J122" s="89">
        <f>IF(A122&lt;&gt;"",HLOOKUP(VALUE(TEXT(G122,"h:mm:ss")),IF($C$6="Laboral",$FZ$4:$GX$227,IF($C$6="Sábado",$FZ$231:$GX$452,$FZ$456:$GX$656)),VLOOKUP($C$4,$HF$2:$HH$99,3,0)+IF(C$5="Ida",0,1),1),"")</f>
        <v/>
      </c>
      <c r="K122" s="89">
        <f>IF(A123&lt;&gt;A122,AVERAGEIF(A$9:A122,A122,J$9:J122),"")</f>
        <v/>
      </c>
      <c r="L122" s="89">
        <f>IFERROR(IF(A123&lt;&gt;A122,AVERAGEIF(A$9:A122,A122,S$9:S122),""),"")</f>
        <v/>
      </c>
      <c r="M122" s="89">
        <f>IFERROR(IF(A123&lt;&gt;A122,AVERAGEIF(A$9:A122,A122,T$9:T122),""),"")</f>
        <v/>
      </c>
      <c r="N122" s="89">
        <f t="array" ref="N122">IFERROR(IF(A123&lt;&gt;A122,_xlfn.STDEV.P(IF(A$9:A122=A122,T$9:T122)),""),"")</f>
        <v/>
      </c>
      <c r="O122" s="89">
        <f t="array" ref="O122">IFERROR(IF(A123&lt;&gt;A122,_xlfn.STDEV.P(IF(A$9:A122=A122,S$9:S122)),""),"")</f>
        <v/>
      </c>
      <c r="P122" s="90">
        <f>IFERROR(IF(A122&lt;&gt;A123,MAX((((M122*24*60)/2)*(1+POWER((((N122*24*60) / (M122*24*60) )),2))) + ((M122*24*60 )*-0.1 + (K122*0.015)) +1,(((M122*24*60)/2)*(1+POWER((((N122*24*60) / (M122*24*60 ))),2)))),""),"")</f>
        <v/>
      </c>
      <c r="Q122" s="90">
        <f>IF(AND(O122&lt;&gt;"",L122&lt;&gt;""),IF(A122&lt;&gt;A123,((L122*24*60) / 2 ) * (1 + POWER(((O122*24*60) / (L122*24*60)),2)),""),"")</f>
        <v/>
      </c>
      <c r="R122" s="90">
        <f>IF(Q122&lt;&gt;"",MAX(P122,Q122),"")</f>
        <v/>
      </c>
      <c r="S122" s="89">
        <f>IF(I122&lt;&gt;"H. Sale Real",IF(AND(I123&lt;&gt;"",LEFT(C123,2)&lt;&gt;"Va"),IF(AND(I122&lt;&gt;"",LEFT(C122,2)&lt;&gt;"Va",I122&lt;&gt;"H. Sale Real"),IF(I123-I122&lt;0.208333333333333,I123-I122,""),IF(AND(I121&lt;&gt;"",LEFT(C121,2)&lt;&gt;"Va",I121&lt;&gt;"H. Sale Real"),IF(I123-I121&lt;0.208333333333333,I123-I121,""),IF(AND(I120&lt;&gt;"",LEFT(C120,2)&lt;&gt;"Va",I120&lt;&gt;"H. Sale Real"),IF(I123-I120&lt;0.208333333333333,I123-I120,""),IF(AND(I119&lt;&gt;"",LEFT(C119,2)&lt;&gt;"Va",I119&lt;&gt;"H. Sale Real"),IF(I123-I119&lt;0.208333333333333,I123-I119,""),IF(AND(I118&lt;&gt;"",LEFT(C118,2)&lt;&gt;"Va",I118&lt;&gt;"H. Sale Real"),IF(I123-I118&lt;0.208333333333333,I123-I118,""),""))))),""),"")</f>
        <v/>
      </c>
      <c r="T122" s="89">
        <f>IF(G122&lt;&gt;"H. Sale Real",IF(AND(G123&lt;&gt;"",LEFT(C123,2)&lt;&gt;"Va"),IF(AND(G122&lt;&gt;"",LEFT(C122,2)&lt;&gt;"Va",G122&lt;&gt;"H. Sale Real"),IF(G123-G122&lt;0.208333333333333,G123-G122,""),IF(AND(G121&lt;&gt;"",LEFT(C121,2)&lt;&gt;"Va",G121&lt;&gt;"H. Sale Real"),IF(G123-G121&lt;0.208333333333333,G123-G121,""),IF(AND(G120&lt;&gt;"",LEFT(C120,2)&lt;&gt;"Va",G120&lt;&gt;"H. Sale Real"),IF(G123-G120&lt;0.208333333333333,G123-G120,""),IF(AND(G119&lt;&gt;"",LEFT(C119,2)&lt;&gt;"Va",G119&lt;&gt;"H. Sale Real"),IF(G123-G119&lt;0.208333333333333,G123-G119,""),IF(AND(G118&lt;&gt;"",LEFT(C118,2)&lt;&gt;"Va",G118&lt;&gt;"H. Sale Real"),IF(G123-G118&lt;0.208333333333333,G123-G118,""),""))))),""),"")</f>
        <v/>
      </c>
      <c r="U122" s="87" t="n"/>
      <c r="V122" s="89" t="n"/>
      <c r="W122" s="87" t="n"/>
      <c r="X122" s="89" t="n"/>
      <c r="Y122" s="91" t="n"/>
      <c r="Z122" s="122">
        <f>IF(G122&lt;&gt;"",IF(AND(Z121&lt;&gt;"IE",P122&lt;&gt;0,R122&lt;&gt;""),IF(IFERROR((P122/R122),0) &lt;=1,IFERROR(P122/R122,""),1),""),"")</f>
        <v/>
      </c>
      <c r="AA122" s="93" t="n"/>
      <c r="AB122" s="2" t="n"/>
      <c r="AE122" s="10">
        <f>HOUR(AK122)+1</f>
        <v/>
      </c>
      <c r="AF122" s="7" t="n"/>
      <c r="AG122" s="7" t="n"/>
      <c r="AH122" s="86" t="n"/>
      <c r="AI122" s="8" t="n"/>
      <c r="AJ122" s="86" t="n"/>
      <c r="AK122" s="87" t="n"/>
      <c r="AL122" s="88">
        <f>IF(AM122="","",IF(AND((AM122-AK122)&gt;=TIME(0,0,0),(AM122-AK122)&lt;TIME(0,3,0)),"OK",IF(AND((AM122-AK122)&gt;=TIME(0,3,0),(AM122-AK122)&lt;TIME(0,5,0)),"RETRASO DE 3-5 MIN",IF(AND((AM122-AK122)&gt;=TIME(0,5,0),(AM122-AK122)&lt;TIME(0,10,0)),"RETRASO DE 5-10 MIN",IF((AM122-AK122)&gt;=TIME(0,10,0),"RETRASO &gt;10 MIN", IF(AND((AK122-AM122)&gt;=TIME(0,0,0),(AK122-AM122)&lt;TIME(0,3,0)),"OK",IF((AK122-AM122)&gt;=TIME(0,3,0),"ADELANTADO")))))))</f>
        <v/>
      </c>
      <c r="AM122" s="91" t="n"/>
      <c r="AN122" s="89">
        <f>IF(AE122&lt;&gt;"",HLOOKUP(VALUE(TEXT(AK122,"h:mm:ss")),IF($C$6="Laboral",$FZ$4:$GX$227,IF($C$6="Sábado",$FZ$231:$GX$452,$FZ$456:$GX$656)),VLOOKUP($C$4,$HF$2:$HH$99,3,0)+IF(AG$5="Ida",0,1),1),"")</f>
        <v/>
      </c>
      <c r="AO122" s="89">
        <f>IF(AE123&lt;&gt;AE122,AVERAGEIF(AE$9:AE122,AE122,AN$9:AN122),"")</f>
        <v/>
      </c>
      <c r="AP122" s="89">
        <f>IFERROR(IF(AE123&lt;&gt;AE122,AVERAGEIF(AE$9:AE122,AE122,AW$9:AW122),""),"")</f>
        <v/>
      </c>
      <c r="AQ122" s="89">
        <f>IFERROR(IF(AE123&lt;&gt;AE122,AVERAGEIF(AE$9:AE122,AE122,AX$9:AX122),""),"")</f>
        <v/>
      </c>
      <c r="AR122" s="89">
        <f t="array" ref="AR122">IFERROR(IF(AE123&lt;&gt;AE122,_xlfn.STDEV.P(IF(AE$9:AE122=AE122,AX$9:AX122)),""),"")</f>
        <v/>
      </c>
      <c r="AS122" s="89">
        <f t="array" ref="AS122">IFERROR(IF(AE123&lt;&gt;AE122,_xlfn.STDEV.P(IF(AE$9:AE122=AE122,AW$9:AW122)),""),"")</f>
        <v/>
      </c>
      <c r="AT122" s="90">
        <f>IFERROR(IF(AE122&lt;&gt;AE123,MAX((((AQ122*24*60)/2)*(1+POWER((((AR122*24*60) / (AQ122*24*60) )),2))) + ((AQ122*24*60 )*-0.1 + (AO122*0.015)) +1,(((AQ122*24*60)/2)*(1+POWER((((AR122*24*60) / (AQ122*24*60 ))),2)))),""),"")</f>
        <v/>
      </c>
      <c r="AU122" s="90">
        <f>IF(AND(AS122&lt;&gt;"",AP122&lt;&gt;""),IF(AE122&lt;&gt;AE123,((AP122*24*60) / 2 ) * (1 + POWER(((AS122*24*60) / (AP122*24*60)),2)),""),"")</f>
        <v/>
      </c>
      <c r="AV122" s="90">
        <f>IF(AU122&lt;&gt;"",MAX(AT122,AU122),"")</f>
        <v/>
      </c>
      <c r="AW122" s="89">
        <f>IF(AM122&lt;&gt;"H. Sale Real",IF(AND(AM123&lt;&gt;"",LEFT(AG123,2)&lt;&gt;"Va"),IF(AND(AM122&lt;&gt;"",LEFT(AG122,2)&lt;&gt;"Va",AM122&lt;&gt;"H. Sale Real"),IF(AM123-AM122&lt;0.208333333333333,AM123-AM122,""),IF(AND(AM121&lt;&gt;"",LEFT(AG121,2)&lt;&gt;"Va",AM121&lt;&gt;"H. Sale Real"),IF(AM123-AM121&lt;0.208333333333333,AM123-AM121,""),IF(AND(AM120&lt;&gt;"",LEFT(AG120,2)&lt;&gt;"Va",AM120&lt;&gt;"H. Sale Real"),IF(AM123-AM120&lt;0.208333333333333,AM123-AM120,""),IF(AND(AM119&lt;&gt;"",LEFT(AG119,2)&lt;&gt;"Va",AM119&lt;&gt;"H. Sale Real"),IF(AM123-AM119&lt;0.208333333333333,AM123-AM119,""),IF(AND(AM118&lt;&gt;"",LEFT(AG118,2)&lt;&gt;"Va",AM118&lt;&gt;"H. Sale Real"),IF(AM123-AM118&lt;0.208333333333333,AM123-AM118,""),""))))),""),"")</f>
        <v/>
      </c>
      <c r="AX122" s="89">
        <f>IF(AK122&lt;&gt;"H. Sale Real",IF(AND(AK123&lt;&gt;"",LEFT(AG123,2)&lt;&gt;"Va"),IF(AND(AK122&lt;&gt;"",LEFT(AG122,2)&lt;&gt;"Va",AK122&lt;&gt;"H. Sale Real"),IF(AK123-AK122&lt;0.208333333333333,AK123-AK122,""),IF(AND(AK121&lt;&gt;"",LEFT(AG121,2)&lt;&gt;"Va",AK121&lt;&gt;"H. Sale Real"),IF(AK123-AK121&lt;0.208333333333333,AK123-AK121,""),IF(AND(AK120&lt;&gt;"",LEFT(AG120,2)&lt;&gt;"NC",AK120&lt;&gt;"H. Sale Real"),IF(AK123-AK120&lt;0.208333333333333,AK123-AK120,""),IF(AND(AK119&lt;&gt;"",LEFT(AG119,2)&lt;&gt;"Va",AK119&lt;&gt;"H. Sale Real"),IF(AK123-AK119&lt;0.208333333333333,AK123-AK119,""),IF(AND(AK118&lt;&gt;"",LEFT(AG118,2)&lt;&gt;"Va",AK118&lt;&gt;"H. Sale Real"),IF(AK123-AK118&lt;0.208333333333333,AK123-AK118,""),""))))),""),"")</f>
        <v/>
      </c>
      <c r="AY122" s="87" t="n"/>
      <c r="AZ122" s="89" t="n"/>
      <c r="BA122" s="87" t="n"/>
      <c r="BB122" s="89" t="n"/>
      <c r="BC122" s="91" t="n"/>
      <c r="BD122" s="122">
        <f>IF(AK122&lt;&gt;"",IF(AND(BD121&lt;&gt;"IE",AT122&lt;&gt;0,AV122&lt;&gt;""),IF(IFERROR((AT122/AV122),0) &lt;=1,IFERROR(AT122/AV122,""),1),""),"")</f>
        <v/>
      </c>
      <c r="BE122" s="93" t="n"/>
      <c r="BF122" s="105" t="n"/>
      <c r="FC122" t="inlineStr">
        <is>
          <t>Diccionario 1</t>
        </is>
      </c>
      <c r="FD122" s="15" t="n">
        <v>1119</v>
      </c>
      <c r="FE122" s="15" t="inlineStr">
        <is>
          <t>LDYECS31XS0043914</t>
        </is>
      </c>
      <c r="FF122" s="15" t="inlineStr">
        <is>
          <t>MDN35025010074</t>
        </is>
      </c>
      <c r="FG122" s="15" t="inlineStr">
        <is>
          <t>Zhong Tong</t>
        </is>
      </c>
      <c r="FH122" s="15" t="inlineStr">
        <is>
          <t>Lck6122evg</t>
        </is>
      </c>
      <c r="FI122" s="15" t="inlineStr">
        <is>
          <t>ZHONGTONG</t>
        </is>
      </c>
      <c r="FJ122" s="15" t="inlineStr">
        <is>
          <t>LCK6122EVG</t>
        </is>
      </c>
      <c r="FK122" s="15" t="n">
        <v>2025</v>
      </c>
      <c r="FL122" s="15" t="inlineStr">
        <is>
          <t>B</t>
        </is>
      </c>
      <c r="FM122" s="15" t="inlineStr">
        <is>
          <t>SAN JOSE</t>
        </is>
      </c>
      <c r="FN122" s="15" t="inlineStr">
        <is>
          <t>San José 030 (José Besa 669)</t>
        </is>
      </c>
      <c r="FO122" s="15" t="inlineStr">
        <is>
          <t>San Bernardo</t>
        </is>
      </c>
      <c r="FP122" t="inlineStr">
        <is>
          <t>B</t>
        </is>
      </c>
      <c r="FS122" s="14" t="inlineStr">
        <is>
          <t>3031 / SFWZ-33|</t>
        </is>
      </c>
      <c r="FT122" t="inlineStr">
        <is>
          <t>SFWZ-33|</t>
        </is>
      </c>
      <c r="FU122" t="inlineStr">
        <is>
          <t>SFWZ-33</t>
        </is>
      </c>
      <c r="FV122">
        <f>VLOOKUP(FU122,FD:FL,9,0)</f>
        <v/>
      </c>
      <c r="HA122" s="35" t="n">
        <v>119</v>
      </c>
      <c r="HB122" s="35" t="n">
        <v>116</v>
      </c>
    </row>
    <row r="123" ht="15.5" customHeight="1">
      <c r="A123" s="10">
        <f>HOUR(G123)+1</f>
        <v/>
      </c>
      <c r="B123" s="7" t="n"/>
      <c r="C123" s="7" t="n"/>
      <c r="D123" s="85">
        <f>IFERROR(
IF(AND(OR(Planilla!B123="C",Planilla!B123="c"), VLOOKUP(E123,FD:FP,13,0)="C"), "OK",IF(AND(OR(Planilla!B123="C",Planilla!B123="c"), OR(VLOOKUP(E123,FD:FP,13,0)="B", VLOOKUP(E123,FD:FP,13,0)="A")), "DEFICIT",IF(
AND(OR(Planilla!B123="B", Planilla!B123="BPAL"), VLOOKUP(E123,FD:FP,13,0)="B"), "OK",IF(AND(OR(Planilla!B123="B", Planilla!B123="BPAL"), VLOOKUP(E123,FD:FP,13,0)="A"), "DEFICIT",IF(AND(OR(Planilla!B123="B", Planilla!B123="BPAL"), VLOOKUP(E123,FD:FP,13,0)="C"), "SOBREOFERTA",IF(AND(Planilla!B123="A", VLOOKUP(E123,FD:FP,13,0)="A"), "OK",IF(
AND(Planilla!B123="A", OR(VLOOKUP(E123,FD:FP,13,0)="B", VLOOKUP(E123,FD:FP,13,0)="C")), "SOBREOFERTA",""
))))))),"")</f>
        <v/>
      </c>
      <c r="E123" s="8" t="n"/>
      <c r="F123" s="86" t="n"/>
      <c r="G123" s="87" t="n"/>
      <c r="H123" s="88">
        <f>IF(I123="","",IF(AND((I123-G123)&gt;=TIME(0,0,0),(I123-G123)&lt;TIME(0,3,0)),"OK",IF(AND((I123-G123)&gt;=TIME(0,3,0),(I123-G123)&lt;TIME(0,5,0)),"RETRASO DE 3-5 MIN",IF(AND((I123-G123)&gt;=TIME(0,5,0),(I123-G123)&lt;TIME(0,10,0)),"RETRASO DE 5-10 MIN",IF((I123-G123)&gt;=TIME(0,10,0),"RETRASO &gt;10 MIN", IF(AND((G123-I123)&gt;=TIME(0,0,0),(G123-I123)&lt;TIME(0,3,0)),"OK",IF((G123-I123)&gt;=TIME(0,3,0),"ADELANTADO")))))))</f>
        <v/>
      </c>
      <c r="I123" s="89" t="n"/>
      <c r="J123" s="89">
        <f>IF(A123&lt;&gt;"",HLOOKUP(VALUE(TEXT(G123,"h:mm:ss")),IF($C$6="Laboral",$FZ$4:$GX$227,IF($C$6="Sábado",$FZ$231:$GX$452,$FZ$456:$GX$656)),VLOOKUP($C$4,$HF$2:$HH$99,3,0)+IF(C$5="Ida",0,1),1),"")</f>
        <v/>
      </c>
      <c r="K123" s="89">
        <f>IF(A124&lt;&gt;A123,AVERAGEIF(A$9:A123,A123,J$9:J123),"")</f>
        <v/>
      </c>
      <c r="L123" s="89">
        <f>IFERROR(IF(A124&lt;&gt;A123,AVERAGEIF(A$9:A123,A123,S$9:S123),""),"")</f>
        <v/>
      </c>
      <c r="M123" s="89">
        <f>IFERROR(IF(A124&lt;&gt;A123,AVERAGEIF(A$9:A123,A123,T$9:T123),""),"")</f>
        <v/>
      </c>
      <c r="N123" s="89">
        <f t="array" ref="N123">IFERROR(IF(A124&lt;&gt;A123,_xlfn.STDEV.P(IF(A$9:A123=A123,T$9:T123)),""),"")</f>
        <v/>
      </c>
      <c r="O123" s="89">
        <f t="array" ref="O123">IFERROR(IF(A124&lt;&gt;A123,_xlfn.STDEV.P(IF(A$9:A123=A123,S$9:S123)),""),"")</f>
        <v/>
      </c>
      <c r="P123" s="90">
        <f>IFERROR(IF(A123&lt;&gt;A124,MAX((((M123*24*60)/2)*(1+POWER((((N123*24*60) / (M123*24*60) )),2))) + ((M123*24*60 )*-0.1 + (K123*0.015)) +1,(((M123*24*60)/2)*(1+POWER((((N123*24*60) / (M123*24*60 ))),2)))),""),"")</f>
        <v/>
      </c>
      <c r="Q123" s="90">
        <f>IF(AND(O123&lt;&gt;"",L123&lt;&gt;""),IF(A123&lt;&gt;A124,((L123*24*60) / 2 ) * (1 + POWER(((O123*24*60) / (L123*24*60)),2)),""),"")</f>
        <v/>
      </c>
      <c r="R123" s="90">
        <f>IF(Q123&lt;&gt;"",MAX(P123,Q123),"")</f>
        <v/>
      </c>
      <c r="S123" s="89">
        <f>IF(I123&lt;&gt;"H. Sale Real",IF(AND(I124&lt;&gt;"",LEFT(C124,2)&lt;&gt;"Va"),IF(AND(I123&lt;&gt;"",LEFT(C123,2)&lt;&gt;"Va",I123&lt;&gt;"H. Sale Real"),IF(I124-I123&lt;0.208333333333333,I124-I123,""),IF(AND(I122&lt;&gt;"",LEFT(C122,2)&lt;&gt;"Va",I122&lt;&gt;"H. Sale Real"),IF(I124-I122&lt;0.208333333333333,I124-I122,""),IF(AND(I121&lt;&gt;"",LEFT(C121,2)&lt;&gt;"Va",I121&lt;&gt;"H. Sale Real"),IF(I124-I121&lt;0.208333333333333,I124-I121,""),IF(AND(I120&lt;&gt;"",LEFT(C120,2)&lt;&gt;"Va",I120&lt;&gt;"H. Sale Real"),IF(I124-I120&lt;0.208333333333333,I124-I120,""),IF(AND(I119&lt;&gt;"",LEFT(C119,2)&lt;&gt;"Va",I119&lt;&gt;"H. Sale Real"),IF(I124-I119&lt;0.208333333333333,I124-I119,""),""))))),""),"")</f>
        <v/>
      </c>
      <c r="T123" s="89">
        <f>IF(G123&lt;&gt;"H. Sale Real",IF(AND(G124&lt;&gt;"",LEFT(C124,2)&lt;&gt;"Va"),IF(AND(G123&lt;&gt;"",LEFT(C123,2)&lt;&gt;"Va",G123&lt;&gt;"H. Sale Real"),IF(G124-G123&lt;0.208333333333333,G124-G123,""),IF(AND(G122&lt;&gt;"",LEFT(C122,2)&lt;&gt;"Va",G122&lt;&gt;"H. Sale Real"),IF(G124-G122&lt;0.208333333333333,G124-G122,""),IF(AND(G121&lt;&gt;"",LEFT(C121,2)&lt;&gt;"Va",G121&lt;&gt;"H. Sale Real"),IF(G124-G121&lt;0.208333333333333,G124-G121,""),IF(AND(G120&lt;&gt;"",LEFT(C120,2)&lt;&gt;"Va",G120&lt;&gt;"H. Sale Real"),IF(G124-G120&lt;0.208333333333333,G124-G120,""),IF(AND(G119&lt;&gt;"",LEFT(C119,2)&lt;&gt;"Va",G119&lt;&gt;"H. Sale Real"),IF(G124-G119&lt;0.208333333333333,G124-G119,""),""))))),""),"")</f>
        <v/>
      </c>
      <c r="U123" s="87" t="n"/>
      <c r="V123" s="89" t="n"/>
      <c r="W123" s="87" t="n"/>
      <c r="X123" s="89" t="n"/>
      <c r="Y123" s="91" t="n"/>
      <c r="Z123" s="122">
        <f>IF(G123&lt;&gt;"",IF(AND(Z122&lt;&gt;"IE",P123&lt;&gt;0,R123&lt;&gt;""),IF(IFERROR((P123/R123),0) &lt;=1,IFERROR(P123/R123,""),1),""),"")</f>
        <v/>
      </c>
      <c r="AA123" s="93" t="n"/>
      <c r="AB123" s="2" t="n"/>
      <c r="AE123" s="10">
        <f>HOUR(AK123)+1</f>
        <v/>
      </c>
      <c r="AF123" s="7" t="n"/>
      <c r="AG123" s="7" t="n"/>
      <c r="AH123" s="86" t="n"/>
      <c r="AI123" s="8" t="n"/>
      <c r="AJ123" s="86" t="n"/>
      <c r="AK123" s="87" t="n"/>
      <c r="AL123" s="88">
        <f>IF(AM123="","",IF(AND((AM123-AK123)&gt;=TIME(0,0,0),(AM123-AK123)&lt;TIME(0,3,0)),"OK",IF(AND((AM123-AK123)&gt;=TIME(0,3,0),(AM123-AK123)&lt;TIME(0,5,0)),"RETRASO DE 3-5 MIN",IF(AND((AM123-AK123)&gt;=TIME(0,5,0),(AM123-AK123)&lt;TIME(0,10,0)),"RETRASO DE 5-10 MIN",IF((AM123-AK123)&gt;=TIME(0,10,0),"RETRASO &gt;10 MIN", IF(AND((AK123-AM123)&gt;=TIME(0,0,0),(AK123-AM123)&lt;TIME(0,3,0)),"OK",IF((AK123-AM123)&gt;=TIME(0,3,0),"ADELANTADO")))))))</f>
        <v/>
      </c>
      <c r="AM123" s="91" t="n"/>
      <c r="AN123" s="89">
        <f>IF(AE123&lt;&gt;"",HLOOKUP(VALUE(TEXT(AK123,"h:mm:ss")),IF($C$6="Laboral",$FZ$4:$GX$227,IF($C$6="Sábado",$FZ$231:$GX$452,$FZ$456:$GX$656)),VLOOKUP($C$4,$HF$2:$HH$99,3,0)+IF(AG$5="Ida",0,1),1),"")</f>
        <v/>
      </c>
      <c r="AO123" s="89">
        <f>IF(AE124&lt;&gt;AE123,AVERAGEIF(AE$9:AE123,AE123,AN$9:AN123),"")</f>
        <v/>
      </c>
      <c r="AP123" s="89">
        <f>IFERROR(IF(AE124&lt;&gt;AE123,AVERAGEIF(AE$9:AE123,AE123,AW$9:AW123),""),"")</f>
        <v/>
      </c>
      <c r="AQ123" s="89">
        <f>IFERROR(IF(AE124&lt;&gt;AE123,AVERAGEIF(AE$9:AE123,AE123,AX$9:AX123),""),"")</f>
        <v/>
      </c>
      <c r="AR123" s="89">
        <f t="array" ref="AR123">IFERROR(IF(AE124&lt;&gt;AE123,_xlfn.STDEV.P(IF(AE$9:AE123=AE123,AX$9:AX123)),""),"")</f>
        <v/>
      </c>
      <c r="AS123" s="89">
        <f t="array" ref="AS123">IFERROR(IF(AE124&lt;&gt;AE123,_xlfn.STDEV.P(IF(AE$9:AE123=AE123,AW$9:AW123)),""),"")</f>
        <v/>
      </c>
      <c r="AT123" s="90">
        <f>IFERROR(IF(AE123&lt;&gt;AE124,MAX((((AQ123*24*60)/2)*(1+POWER((((AR123*24*60) / (AQ123*24*60) )),2))) + ((AQ123*24*60 )*-0.1 + (AO123*0.015)) +1,(((AQ123*24*60)/2)*(1+POWER((((AR123*24*60) / (AQ123*24*60 ))),2)))),""),"")</f>
        <v/>
      </c>
      <c r="AU123" s="90">
        <f>IF(AND(AS123&lt;&gt;"",AP123&lt;&gt;""),IF(AE123&lt;&gt;AE124,((AP123*24*60) / 2 ) * (1 + POWER(((AS123*24*60) / (AP123*24*60)),2)),""),"")</f>
        <v/>
      </c>
      <c r="AV123" s="90">
        <f>IF(AU123&lt;&gt;"",MAX(AT123,AU123),"")</f>
        <v/>
      </c>
      <c r="AW123" s="89">
        <f>IF(AM123&lt;&gt;"H. Sale Real",IF(AND(AM124&lt;&gt;"",LEFT(AG124,2)&lt;&gt;"Va"),IF(AND(AM123&lt;&gt;"",LEFT(AG123,2)&lt;&gt;"Va",AM123&lt;&gt;"H. Sale Real"),IF(AM124-AM123&lt;0.208333333333333,AM124-AM123,""),IF(AND(AM122&lt;&gt;"",LEFT(AG122,2)&lt;&gt;"Va",AM122&lt;&gt;"H. Sale Real"),IF(AM124-AM122&lt;0.208333333333333,AM124-AM122,""),IF(AND(AM121&lt;&gt;"",LEFT(AG121,2)&lt;&gt;"Va",AM121&lt;&gt;"H. Sale Real"),IF(AM124-AM121&lt;0.208333333333333,AM124-AM121,""),IF(AND(AM120&lt;&gt;"",LEFT(AG120,2)&lt;&gt;"Va",AM120&lt;&gt;"H. Sale Real"),IF(AM124-AM120&lt;0.208333333333333,AM124-AM120,""),IF(AND(AM119&lt;&gt;"",LEFT(AG119,2)&lt;&gt;"Va",AM119&lt;&gt;"H. Sale Real"),IF(AM124-AM119&lt;0.208333333333333,AM124-AM119,""),""))))),""),"")</f>
        <v/>
      </c>
      <c r="AX123" s="89">
        <f>IF(AK123&lt;&gt;"H. Sale Real",IF(AND(AK124&lt;&gt;"",LEFT(AG124,2)&lt;&gt;"Va"),IF(AND(AK123&lt;&gt;"",LEFT(AG123,2)&lt;&gt;"Va",AK123&lt;&gt;"H. Sale Real"),IF(AK124-AK123&lt;0.208333333333333,AK124-AK123,""),IF(AND(AK122&lt;&gt;"",LEFT(AG122,2)&lt;&gt;"Va",AK122&lt;&gt;"H. Sale Real"),IF(AK124-AK122&lt;0.208333333333333,AK124-AK122,""),IF(AND(AK121&lt;&gt;"",LEFT(AG121,2)&lt;&gt;"NC",AK121&lt;&gt;"H. Sale Real"),IF(AK124-AK121&lt;0.208333333333333,AK124-AK121,""),IF(AND(AK120&lt;&gt;"",LEFT(AG120,2)&lt;&gt;"Va",AK120&lt;&gt;"H. Sale Real"),IF(AK124-AK120&lt;0.208333333333333,AK124-AK120,""),IF(AND(AK119&lt;&gt;"",LEFT(AG119,2)&lt;&gt;"Va",AK119&lt;&gt;"H. Sale Real"),IF(AK124-AK119&lt;0.208333333333333,AK124-AK119,""),""))))),""),"")</f>
        <v/>
      </c>
      <c r="AY123" s="87" t="n"/>
      <c r="AZ123" s="89" t="n"/>
      <c r="BA123" s="87" t="n"/>
      <c r="BB123" s="89" t="n"/>
      <c r="BC123" s="91" t="n"/>
      <c r="BD123" s="122">
        <f>IF(AK123&lt;&gt;"",IF(AND(BD122&lt;&gt;"IE",AT123&lt;&gt;0,AV123&lt;&gt;""),IF(IFERROR((AT123/AV123),0) &lt;=1,IFERROR(AT123/AV123,""),1),""),"")</f>
        <v/>
      </c>
      <c r="BE123" s="93" t="n"/>
      <c r="BF123" s="105" t="n"/>
      <c r="FC123" t="inlineStr">
        <is>
          <t>Diccionario 1</t>
        </is>
      </c>
      <c r="FD123" s="15" t="n">
        <v>1120</v>
      </c>
      <c r="FE123" s="15" t="inlineStr">
        <is>
          <t>LDYECS310S0043906</t>
        </is>
      </c>
      <c r="FF123" s="15" t="inlineStr">
        <is>
          <t>MDN35025010080</t>
        </is>
      </c>
      <c r="FG123" s="15" t="inlineStr">
        <is>
          <t>Zhong Tong</t>
        </is>
      </c>
      <c r="FH123" s="15" t="inlineStr">
        <is>
          <t>Lck6122evg</t>
        </is>
      </c>
      <c r="FI123" s="15" t="inlineStr">
        <is>
          <t>ZHONGTONG</t>
        </is>
      </c>
      <c r="FJ123" s="15" t="inlineStr">
        <is>
          <t>LCK6122EVG</t>
        </is>
      </c>
      <c r="FK123" s="15" t="n">
        <v>2025</v>
      </c>
      <c r="FL123" s="15" t="inlineStr">
        <is>
          <t>B</t>
        </is>
      </c>
      <c r="FM123" s="15" t="inlineStr">
        <is>
          <t>SAN JOSE</t>
        </is>
      </c>
      <c r="FN123" s="15" t="inlineStr">
        <is>
          <t>San José 030 (José Besa 669)</t>
        </is>
      </c>
      <c r="FO123" s="15" t="inlineStr">
        <is>
          <t>San Bernardo</t>
        </is>
      </c>
      <c r="FP123" t="inlineStr">
        <is>
          <t>B</t>
        </is>
      </c>
      <c r="FS123" s="14" t="inlineStr">
        <is>
          <t>3031 / SFWZ-33|</t>
        </is>
      </c>
      <c r="FT123" t="inlineStr">
        <is>
          <t>SFWZ-33|</t>
        </is>
      </c>
      <c r="FU123" t="inlineStr">
        <is>
          <t>SFWZ-33</t>
        </is>
      </c>
      <c r="FV123">
        <f>VLOOKUP(FU123,FD:FL,9,0)</f>
        <v/>
      </c>
      <c r="HA123" s="35" t="n">
        <v>120</v>
      </c>
      <c r="HB123" s="35" t="n">
        <v>117</v>
      </c>
    </row>
    <row r="124" ht="15.5" customHeight="1">
      <c r="A124" s="10">
        <f>HOUR(G124)+1</f>
        <v/>
      </c>
      <c r="B124" s="7" t="n"/>
      <c r="C124" s="7" t="n"/>
      <c r="D124" s="85">
        <f>IFERROR(
IF(AND(OR(Planilla!B124="C",Planilla!B124="c"), VLOOKUP(E124,FD:FP,13,0)="C"), "OK",IF(AND(OR(Planilla!B124="C",Planilla!B124="c"), OR(VLOOKUP(E124,FD:FP,13,0)="B", VLOOKUP(E124,FD:FP,13,0)="A")), "DEFICIT",IF(
AND(OR(Planilla!B124="B", Planilla!B124="BPAL"), VLOOKUP(E124,FD:FP,13,0)="B"), "OK",IF(AND(OR(Planilla!B124="B", Planilla!B124="BPAL"), VLOOKUP(E124,FD:FP,13,0)="A"), "DEFICIT",IF(AND(OR(Planilla!B124="B", Planilla!B124="BPAL"), VLOOKUP(E124,FD:FP,13,0)="C"), "SOBREOFERTA",IF(AND(Planilla!B124="A", VLOOKUP(E124,FD:FP,13,0)="A"), "OK",IF(
AND(Planilla!B124="A", OR(VLOOKUP(E124,FD:FP,13,0)="B", VLOOKUP(E124,FD:FP,13,0)="C")), "SOBREOFERTA",""
))))))),"")</f>
        <v/>
      </c>
      <c r="E124" s="8" t="n"/>
      <c r="F124" s="86" t="n"/>
      <c r="G124" s="87" t="n"/>
      <c r="H124" s="88">
        <f>IF(I124="","",IF(AND((I124-G124)&gt;=TIME(0,0,0),(I124-G124)&lt;TIME(0,3,0)),"OK",IF(AND((I124-G124)&gt;=TIME(0,3,0),(I124-G124)&lt;TIME(0,5,0)),"RETRASO DE 3-5 MIN",IF(AND((I124-G124)&gt;=TIME(0,5,0),(I124-G124)&lt;TIME(0,10,0)),"RETRASO DE 5-10 MIN",IF((I124-G124)&gt;=TIME(0,10,0),"RETRASO &gt;10 MIN", IF(AND((G124-I124)&gt;=TIME(0,0,0),(G124-I124)&lt;TIME(0,3,0)),"OK",IF((G124-I124)&gt;=TIME(0,3,0),"ADELANTADO")))))))</f>
        <v/>
      </c>
      <c r="I124" s="89" t="n"/>
      <c r="J124" s="89">
        <f>IF(A124&lt;&gt;"",HLOOKUP(VALUE(TEXT(G124,"h:mm:ss")),IF($C$6="Laboral",$FZ$4:$GX$227,IF($C$6="Sábado",$FZ$231:$GX$452,$FZ$456:$GX$656)),VLOOKUP($C$4,$HF$2:$HH$99,3,0)+IF(C$5="Ida",0,1),1),"")</f>
        <v/>
      </c>
      <c r="K124" s="89">
        <f>IF(A125&lt;&gt;A124,AVERAGEIF(A$9:A124,A124,J$9:J124),"")</f>
        <v/>
      </c>
      <c r="L124" s="89">
        <f>IFERROR(IF(A125&lt;&gt;A124,AVERAGEIF(A$9:A124,A124,S$9:S124),""),"")</f>
        <v/>
      </c>
      <c r="M124" s="89">
        <f>IFERROR(IF(A125&lt;&gt;A124,AVERAGEIF(A$9:A124,A124,T$9:T124),""),"")</f>
        <v/>
      </c>
      <c r="N124" s="89">
        <f t="array" ref="N124">IFERROR(IF(A125&lt;&gt;A124,_xlfn.STDEV.P(IF(A$9:A124=A124,T$9:T124)),""),"")</f>
        <v/>
      </c>
      <c r="O124" s="89">
        <f t="array" ref="O124">IFERROR(IF(A125&lt;&gt;A124,_xlfn.STDEV.P(IF(A$9:A124=A124,S$9:S124)),""),"")</f>
        <v/>
      </c>
      <c r="P124" s="90">
        <f>IFERROR(IF(A124&lt;&gt;A125,MAX((((M124*24*60)/2)*(1+POWER((((N124*24*60) / (M124*24*60) )),2))) + ((M124*24*60 )*-0.1 + (K124*0.015)) +1,(((M124*24*60)/2)*(1+POWER((((N124*24*60) / (M124*24*60 ))),2)))),""),"")</f>
        <v/>
      </c>
      <c r="Q124" s="90">
        <f>IF(AND(O124&lt;&gt;"",L124&lt;&gt;""),IF(A124&lt;&gt;A125,((L124*24*60) / 2 ) * (1 + POWER(((O124*24*60) / (L124*24*60)),2)),""),"")</f>
        <v/>
      </c>
      <c r="R124" s="90">
        <f>IF(Q124&lt;&gt;"",MAX(P124,Q124),"")</f>
        <v/>
      </c>
      <c r="S124" s="89">
        <f>IF(I124&lt;&gt;"H. Sale Real",IF(AND(I125&lt;&gt;"",LEFT(C125,2)&lt;&gt;"Va"),IF(AND(I124&lt;&gt;"",LEFT(C124,2)&lt;&gt;"Va",I124&lt;&gt;"H. Sale Real"),IF(I125-I124&lt;0.208333333333333,I125-I124,""),IF(AND(I123&lt;&gt;"",LEFT(C123,2)&lt;&gt;"Va",I123&lt;&gt;"H. Sale Real"),IF(I125-I123&lt;0.208333333333333,I125-I123,""),IF(AND(I122&lt;&gt;"",LEFT(C122,2)&lt;&gt;"Va",I122&lt;&gt;"H. Sale Real"),IF(I125-I122&lt;0.208333333333333,I125-I122,""),IF(AND(I121&lt;&gt;"",LEFT(C121,2)&lt;&gt;"Va",I121&lt;&gt;"H. Sale Real"),IF(I125-I121&lt;0.208333333333333,I125-I121,""),IF(AND(I120&lt;&gt;"",LEFT(C120,2)&lt;&gt;"Va",I120&lt;&gt;"H. Sale Real"),IF(I125-I120&lt;0.208333333333333,I125-I120,""),""))))),""),"")</f>
        <v/>
      </c>
      <c r="T124" s="89">
        <f>IF(G124&lt;&gt;"H. Sale Real",IF(AND(G125&lt;&gt;"",LEFT(C125,2)&lt;&gt;"Va"),IF(AND(G124&lt;&gt;"",LEFT(C124,2)&lt;&gt;"Va",G124&lt;&gt;"H. Sale Real"),IF(G125-G124&lt;0.208333333333333,G125-G124,""),IF(AND(G123&lt;&gt;"",LEFT(C123,2)&lt;&gt;"Va",G123&lt;&gt;"H. Sale Real"),IF(G125-G123&lt;0.208333333333333,G125-G123,""),IF(AND(G122&lt;&gt;"",LEFT(C122,2)&lt;&gt;"Va",G122&lt;&gt;"H. Sale Real"),IF(G125-G122&lt;0.208333333333333,G125-G122,""),IF(AND(G121&lt;&gt;"",LEFT(C121,2)&lt;&gt;"Va",G121&lt;&gt;"H. Sale Real"),IF(G125-G121&lt;0.208333333333333,G125-G121,""),IF(AND(G120&lt;&gt;"",LEFT(C120,2)&lt;&gt;"Va",G120&lt;&gt;"H. Sale Real"),IF(G125-G120&lt;0.208333333333333,G125-G120,""),""))))),""),"")</f>
        <v/>
      </c>
      <c r="U124" s="87" t="n"/>
      <c r="V124" s="89" t="n"/>
      <c r="W124" s="87" t="n"/>
      <c r="X124" s="89" t="n"/>
      <c r="Y124" s="91" t="n"/>
      <c r="Z124" s="122">
        <f>IF(G124&lt;&gt;"",IF(AND(Z123&lt;&gt;"IE",P124&lt;&gt;0,R124&lt;&gt;""),IF(IFERROR((P124/R124),0) &lt;=1,IFERROR(P124/R124,""),1),""),"")</f>
        <v/>
      </c>
      <c r="AA124" s="93" t="n"/>
      <c r="AB124" s="2" t="n"/>
      <c r="AE124" s="10">
        <f>HOUR(AK124)+1</f>
        <v/>
      </c>
      <c r="AF124" s="7" t="n"/>
      <c r="AG124" s="7" t="n"/>
      <c r="AH124" s="86" t="n"/>
      <c r="AI124" s="8" t="n"/>
      <c r="AJ124" s="86" t="n"/>
      <c r="AK124" s="87" t="n"/>
      <c r="AL124" s="88">
        <f>IF(AM124="","",IF(AND((AM124-AK124)&gt;=TIME(0,0,0),(AM124-AK124)&lt;TIME(0,3,0)),"OK",IF(AND((AM124-AK124)&gt;=TIME(0,3,0),(AM124-AK124)&lt;TIME(0,5,0)),"RETRASO DE 3-5 MIN",IF(AND((AM124-AK124)&gt;=TIME(0,5,0),(AM124-AK124)&lt;TIME(0,10,0)),"RETRASO DE 5-10 MIN",IF((AM124-AK124)&gt;=TIME(0,10,0),"RETRASO &gt;10 MIN", IF(AND((AK124-AM124)&gt;=TIME(0,0,0),(AK124-AM124)&lt;TIME(0,3,0)),"OK",IF((AK124-AM124)&gt;=TIME(0,3,0),"ADELANTADO")))))))</f>
        <v/>
      </c>
      <c r="AM124" s="91" t="n"/>
      <c r="AN124" s="89">
        <f>IF(AE124&lt;&gt;"",HLOOKUP(VALUE(TEXT(AK124,"h:mm:ss")),IF($C$6="Laboral",$FZ$4:$GX$227,IF($C$6="Sábado",$FZ$231:$GX$452,$FZ$456:$GX$656)),VLOOKUP($C$4,$HF$2:$HH$99,3,0)+IF(AG$5="Ida",0,1),1),"")</f>
        <v/>
      </c>
      <c r="AO124" s="89">
        <f>IF(AE125&lt;&gt;AE124,AVERAGEIF(AE$9:AE124,AE124,AN$9:AN124),"")</f>
        <v/>
      </c>
      <c r="AP124" s="89">
        <f>IFERROR(IF(AE125&lt;&gt;AE124,AVERAGEIF(AE$9:AE124,AE124,AW$9:AW124),""),"")</f>
        <v/>
      </c>
      <c r="AQ124" s="89">
        <f>IFERROR(IF(AE125&lt;&gt;AE124,AVERAGEIF(AE$9:AE124,AE124,AX$9:AX124),""),"")</f>
        <v/>
      </c>
      <c r="AR124" s="89">
        <f t="array" ref="AR124">IFERROR(IF(AE125&lt;&gt;AE124,_xlfn.STDEV.P(IF(AE$9:AE124=AE124,AX$9:AX124)),""),"")</f>
        <v/>
      </c>
      <c r="AS124" s="89">
        <f t="array" ref="AS124">IFERROR(IF(AE125&lt;&gt;AE124,_xlfn.STDEV.P(IF(AE$9:AE124=AE124,AW$9:AW124)),""),"")</f>
        <v/>
      </c>
      <c r="AT124" s="90">
        <f>IFERROR(IF(AE124&lt;&gt;AE125,MAX((((AQ124*24*60)/2)*(1+POWER((((AR124*24*60) / (AQ124*24*60) )),2))) + ((AQ124*24*60 )*-0.1 + (AO124*0.015)) +1,(((AQ124*24*60)/2)*(1+POWER((((AR124*24*60) / (AQ124*24*60 ))),2)))),""),"")</f>
        <v/>
      </c>
      <c r="AU124" s="90">
        <f>IF(AND(AS124&lt;&gt;"",AP124&lt;&gt;""),IF(AE124&lt;&gt;AE125,((AP124*24*60) / 2 ) * (1 + POWER(((AS124*24*60) / (AP124*24*60)),2)),""),"")</f>
        <v/>
      </c>
      <c r="AV124" s="90">
        <f>IF(AU124&lt;&gt;"",MAX(AT124,AU124),"")</f>
        <v/>
      </c>
      <c r="AW124" s="89">
        <f>IF(AM124&lt;&gt;"H. Sale Real",IF(AND(AM125&lt;&gt;"",LEFT(AG125,2)&lt;&gt;"Va"),IF(AND(AM124&lt;&gt;"",LEFT(AG124,2)&lt;&gt;"Va",AM124&lt;&gt;"H. Sale Real"),IF(AM125-AM124&lt;0.208333333333333,AM125-AM124,""),IF(AND(AM123&lt;&gt;"",LEFT(AG123,2)&lt;&gt;"Va",AM123&lt;&gt;"H. Sale Real"),IF(AM125-AM123&lt;0.208333333333333,AM125-AM123,""),IF(AND(AM122&lt;&gt;"",LEFT(AG122,2)&lt;&gt;"Va",AM122&lt;&gt;"H. Sale Real"),IF(AM125-AM122&lt;0.208333333333333,AM125-AM122,""),IF(AND(AM121&lt;&gt;"",LEFT(AG121,2)&lt;&gt;"Va",AM121&lt;&gt;"H. Sale Real"),IF(AM125-AM121&lt;0.208333333333333,AM125-AM121,""),IF(AND(AM120&lt;&gt;"",LEFT(AG120,2)&lt;&gt;"Va",AM120&lt;&gt;"H. Sale Real"),IF(AM125-AM120&lt;0.208333333333333,AM125-AM120,""),""))))),""),"")</f>
        <v/>
      </c>
      <c r="AX124" s="89">
        <f>IF(AK124&lt;&gt;"H. Sale Real",IF(AND(AK125&lt;&gt;"",LEFT(AG125,2)&lt;&gt;"Va"),IF(AND(AK124&lt;&gt;"",LEFT(AG124,2)&lt;&gt;"Va",AK124&lt;&gt;"H. Sale Real"),IF(AK125-AK124&lt;0.208333333333333,AK125-AK124,""),IF(AND(AK123&lt;&gt;"",LEFT(AG123,2)&lt;&gt;"Va",AK123&lt;&gt;"H. Sale Real"),IF(AK125-AK123&lt;0.208333333333333,AK125-AK123,""),IF(AND(AK122&lt;&gt;"",LEFT(AG122,2)&lt;&gt;"NC",AK122&lt;&gt;"H. Sale Real"),IF(AK125-AK122&lt;0.208333333333333,AK125-AK122,""),IF(AND(AK121&lt;&gt;"",LEFT(AG121,2)&lt;&gt;"Va",AK121&lt;&gt;"H. Sale Real"),IF(AK125-AK121&lt;0.208333333333333,AK125-AK121,""),IF(AND(AK120&lt;&gt;"",LEFT(AG120,2)&lt;&gt;"Va",AK120&lt;&gt;"H. Sale Real"),IF(AK125-AK120&lt;0.208333333333333,AK125-AK120,""),""))))),""),"")</f>
        <v/>
      </c>
      <c r="AY124" s="87" t="n"/>
      <c r="AZ124" s="89" t="n"/>
      <c r="BA124" s="87" t="n"/>
      <c r="BB124" s="89" t="n"/>
      <c r="BC124" s="91" t="n"/>
      <c r="BD124" s="122">
        <f>IF(AK124&lt;&gt;"",IF(AND(BD123&lt;&gt;"IE",AT124&lt;&gt;0,AV124&lt;&gt;""),IF(IFERROR((AT124/AV124),0) &lt;=1,IFERROR(AT124/AV124,""),1),""),"")</f>
        <v/>
      </c>
      <c r="BE124" s="93" t="n"/>
      <c r="BF124" s="105" t="n"/>
      <c r="FC124" t="inlineStr">
        <is>
          <t>Diccionario 1</t>
        </is>
      </c>
      <c r="FD124" s="15" t="n">
        <v>1121</v>
      </c>
      <c r="FE124" s="15" t="inlineStr">
        <is>
          <t>LDYECS31XS0043928</t>
        </is>
      </c>
      <c r="FF124" s="15" t="inlineStr">
        <is>
          <t>MDN35025010051</t>
        </is>
      </c>
      <c r="FG124" s="15" t="inlineStr">
        <is>
          <t>Zhong Tong</t>
        </is>
      </c>
      <c r="FH124" s="15" t="inlineStr">
        <is>
          <t>Lck6122evg</t>
        </is>
      </c>
      <c r="FI124" s="15" t="inlineStr">
        <is>
          <t>ZHONGTONG</t>
        </is>
      </c>
      <c r="FJ124" s="15" t="inlineStr">
        <is>
          <t>LCK6122EVG</t>
        </is>
      </c>
      <c r="FK124" s="15" t="n">
        <v>2025</v>
      </c>
      <c r="FL124" s="15" t="inlineStr">
        <is>
          <t>B</t>
        </is>
      </c>
      <c r="FM124" s="15" t="inlineStr">
        <is>
          <t>SAN JOSE</t>
        </is>
      </c>
      <c r="FN124" s="15" t="inlineStr">
        <is>
          <t>San José 030 (José Besa 669)</t>
        </is>
      </c>
      <c r="FO124" s="15" t="inlineStr">
        <is>
          <t>San Bernardo</t>
        </is>
      </c>
      <c r="FP124" t="inlineStr">
        <is>
          <t>B</t>
        </is>
      </c>
      <c r="FS124" s="14" t="inlineStr">
        <is>
          <t>3031 / SFWZ-33|</t>
        </is>
      </c>
      <c r="FT124" t="inlineStr">
        <is>
          <t>SFWZ-33|</t>
        </is>
      </c>
      <c r="FU124" t="inlineStr">
        <is>
          <t>SFWZ-33</t>
        </is>
      </c>
      <c r="FV124">
        <f>VLOOKUP(FU124,FD:FL,9,0)</f>
        <v/>
      </c>
      <c r="HA124" s="35" t="n">
        <v>121</v>
      </c>
      <c r="HB124" s="35" t="n">
        <v>118</v>
      </c>
    </row>
    <row r="125" ht="15.5" customHeight="1">
      <c r="A125" s="10">
        <f>HOUR(G125)+1</f>
        <v/>
      </c>
      <c r="B125" s="7" t="n"/>
      <c r="C125" s="7" t="n"/>
      <c r="D125" s="85">
        <f>IFERROR(
IF(AND(OR(Planilla!B125="C",Planilla!B125="c"), VLOOKUP(E125,FD:FP,13,0)="C"), "OK",IF(AND(OR(Planilla!B125="C",Planilla!B125="c"), OR(VLOOKUP(E125,FD:FP,13,0)="B", VLOOKUP(E125,FD:FP,13,0)="A")), "DEFICIT",IF(
AND(OR(Planilla!B125="B", Planilla!B125="BPAL"), VLOOKUP(E125,FD:FP,13,0)="B"), "OK",IF(AND(OR(Planilla!B125="B", Planilla!B125="BPAL"), VLOOKUP(E125,FD:FP,13,0)="A"), "DEFICIT",IF(AND(OR(Planilla!B125="B", Planilla!B125="BPAL"), VLOOKUP(E125,FD:FP,13,0)="C"), "SOBREOFERTA",IF(AND(Planilla!B125="A", VLOOKUP(E125,FD:FP,13,0)="A"), "OK",IF(
AND(Planilla!B125="A", OR(VLOOKUP(E125,FD:FP,13,0)="B", VLOOKUP(E125,FD:FP,13,0)="C")), "SOBREOFERTA",""
))))))),"")</f>
        <v/>
      </c>
      <c r="E125" s="8" t="n"/>
      <c r="F125" s="86" t="n"/>
      <c r="G125" s="87" t="n"/>
      <c r="H125" s="88">
        <f>IF(I125="","",IF(AND((I125-G125)&gt;=TIME(0,0,0),(I125-G125)&lt;TIME(0,3,0)),"OK",IF(AND((I125-G125)&gt;=TIME(0,3,0),(I125-G125)&lt;TIME(0,5,0)),"RETRASO DE 3-5 MIN",IF(AND((I125-G125)&gt;=TIME(0,5,0),(I125-G125)&lt;TIME(0,10,0)),"RETRASO DE 5-10 MIN",IF((I125-G125)&gt;=TIME(0,10,0),"RETRASO &gt;10 MIN", IF(AND((G125-I125)&gt;=TIME(0,0,0),(G125-I125)&lt;TIME(0,3,0)),"OK",IF((G125-I125)&gt;=TIME(0,3,0),"ADELANTADO")))))))</f>
        <v/>
      </c>
      <c r="I125" s="89" t="n"/>
      <c r="J125" s="89">
        <f>IF(A125&lt;&gt;"",HLOOKUP(VALUE(TEXT(G125,"h:mm:ss")),IF($C$6="Laboral",$FZ$4:$GX$227,IF($C$6="Sábado",$FZ$231:$GX$452,$FZ$456:$GX$656)),VLOOKUP($C$4,$HF$2:$HH$99,3,0)+IF(C$5="Ida",0,1),1),"")</f>
        <v/>
      </c>
      <c r="K125" s="89">
        <f>IF(A126&lt;&gt;A125,AVERAGEIF(A$9:A125,A125,J$9:J125),"")</f>
        <v/>
      </c>
      <c r="L125" s="89">
        <f>IFERROR(IF(A126&lt;&gt;A125,AVERAGEIF(A$9:A125,A125,S$9:S125),""),"")</f>
        <v/>
      </c>
      <c r="M125" s="89">
        <f>IFERROR(IF(A126&lt;&gt;A125,AVERAGEIF(A$9:A125,A125,T$9:T125),""),"")</f>
        <v/>
      </c>
      <c r="N125" s="89">
        <f t="array" ref="N125">IFERROR(IF(A126&lt;&gt;A125,_xlfn.STDEV.P(IF(A$9:A125=A125,T$9:T125)),""),"")</f>
        <v/>
      </c>
      <c r="O125" s="89">
        <f t="array" ref="O125">IFERROR(IF(A126&lt;&gt;A125,_xlfn.STDEV.P(IF(A$9:A125=A125,S$9:S125)),""),"")</f>
        <v/>
      </c>
      <c r="P125" s="90">
        <f>IFERROR(IF(A125&lt;&gt;A126,MAX((((M125*24*60)/2)*(1+POWER((((N125*24*60) / (M125*24*60) )),2))) + ((M125*24*60 )*-0.1 + (K125*0.015)) +1,(((M125*24*60)/2)*(1+POWER((((N125*24*60) / (M125*24*60 ))),2)))),""),"")</f>
        <v/>
      </c>
      <c r="Q125" s="90">
        <f>IF(AND(O125&lt;&gt;"",L125&lt;&gt;""),IF(A125&lt;&gt;A126,((L125*24*60) / 2 ) * (1 + POWER(((O125*24*60) / (L125*24*60)),2)),""),"")</f>
        <v/>
      </c>
      <c r="R125" s="90">
        <f>IF(Q125&lt;&gt;"",MAX(P125,Q125),"")</f>
        <v/>
      </c>
      <c r="S125" s="89">
        <f>IF(I125&lt;&gt;"H. Sale Real",IF(AND(I126&lt;&gt;"",LEFT(C126,2)&lt;&gt;"Va"),IF(AND(I125&lt;&gt;"",LEFT(C125,2)&lt;&gt;"Va",I125&lt;&gt;"H. Sale Real"),IF(I126-I125&lt;0.208333333333333,I126-I125,""),IF(AND(I124&lt;&gt;"",LEFT(C124,2)&lt;&gt;"Va",I124&lt;&gt;"H. Sale Real"),IF(I126-I124&lt;0.208333333333333,I126-I124,""),IF(AND(I123&lt;&gt;"",LEFT(C123,2)&lt;&gt;"Va",I123&lt;&gt;"H. Sale Real"),IF(I126-I123&lt;0.208333333333333,I126-I123,""),IF(AND(I122&lt;&gt;"",LEFT(C122,2)&lt;&gt;"Va",I122&lt;&gt;"H. Sale Real"),IF(I126-I122&lt;0.208333333333333,I126-I122,""),IF(AND(I121&lt;&gt;"",LEFT(C121,2)&lt;&gt;"Va",I121&lt;&gt;"H. Sale Real"),IF(I126-I121&lt;0.208333333333333,I126-I121,""),""))))),""),"")</f>
        <v/>
      </c>
      <c r="T125" s="89">
        <f>IF(G125&lt;&gt;"H. Sale Real",IF(AND(G126&lt;&gt;"",LEFT(C126,2)&lt;&gt;"Va"),IF(AND(G125&lt;&gt;"",LEFT(C125,2)&lt;&gt;"Va",G125&lt;&gt;"H. Sale Real"),IF(G126-G125&lt;0.208333333333333,G126-G125,""),IF(AND(G124&lt;&gt;"",LEFT(C124,2)&lt;&gt;"Va",G124&lt;&gt;"H. Sale Real"),IF(G126-G124&lt;0.208333333333333,G126-G124,""),IF(AND(G123&lt;&gt;"",LEFT(C123,2)&lt;&gt;"Va",G123&lt;&gt;"H. Sale Real"),IF(G126-G123&lt;0.208333333333333,G126-G123,""),IF(AND(G122&lt;&gt;"",LEFT(C122,2)&lt;&gt;"Va",G122&lt;&gt;"H. Sale Real"),IF(G126-G122&lt;0.208333333333333,G126-G122,""),IF(AND(G121&lt;&gt;"",LEFT(C121,2)&lt;&gt;"Va",G121&lt;&gt;"H. Sale Real"),IF(G126-G121&lt;0.208333333333333,G126-G121,""),""))))),""),"")</f>
        <v/>
      </c>
      <c r="U125" s="87" t="n"/>
      <c r="V125" s="89" t="n"/>
      <c r="W125" s="87" t="n"/>
      <c r="X125" s="89" t="n"/>
      <c r="Y125" s="91" t="n"/>
      <c r="Z125" s="122">
        <f>IF(G125&lt;&gt;"",IF(AND(Z124&lt;&gt;"IE",P125&lt;&gt;0,R125&lt;&gt;""),IF(IFERROR((P125/R125),0) &lt;=1,IFERROR(P125/R125,""),1),""),"")</f>
        <v/>
      </c>
      <c r="AA125" s="93" t="n"/>
      <c r="AB125" s="2" t="n"/>
      <c r="AE125" s="10">
        <f>HOUR(AK125)+1</f>
        <v/>
      </c>
      <c r="AF125" s="7" t="n"/>
      <c r="AG125" s="7" t="n"/>
      <c r="AH125" s="86" t="n"/>
      <c r="AI125" s="8" t="n"/>
      <c r="AJ125" s="86" t="n"/>
      <c r="AK125" s="87" t="n"/>
      <c r="AL125" s="88">
        <f>IF(AM125="","",IF(AND((AM125-AK125)&gt;=TIME(0,0,0),(AM125-AK125)&lt;TIME(0,3,0)),"OK",IF(AND((AM125-AK125)&gt;=TIME(0,3,0),(AM125-AK125)&lt;TIME(0,5,0)),"RETRASO DE 3-5 MIN",IF(AND((AM125-AK125)&gt;=TIME(0,5,0),(AM125-AK125)&lt;TIME(0,10,0)),"RETRASO DE 5-10 MIN",IF((AM125-AK125)&gt;=TIME(0,10,0),"RETRASO &gt;10 MIN", IF(AND((AK125-AM125)&gt;=TIME(0,0,0),(AK125-AM125)&lt;TIME(0,3,0)),"OK",IF((AK125-AM125)&gt;=TIME(0,3,0),"ADELANTADO")))))))</f>
        <v/>
      </c>
      <c r="AM125" s="91" t="n"/>
      <c r="AN125" s="89">
        <f>IF(AE125&lt;&gt;"",HLOOKUP(VALUE(TEXT(AK125,"h:mm:ss")),IF($C$6="Laboral",$FZ$4:$GX$227,IF($C$6="Sábado",$FZ$231:$GX$452,$FZ$456:$GX$656)),VLOOKUP($C$4,$HF$2:$HH$99,3,0)+IF(AG$5="Ida",0,1),1),"")</f>
        <v/>
      </c>
      <c r="AO125" s="89">
        <f>IF(AE126&lt;&gt;AE125,AVERAGEIF(AE$9:AE125,AE125,AN$9:AN125),"")</f>
        <v/>
      </c>
      <c r="AP125" s="89">
        <f>IFERROR(IF(AE126&lt;&gt;AE125,AVERAGEIF(AE$9:AE125,AE125,AW$9:AW125),""),"")</f>
        <v/>
      </c>
      <c r="AQ125" s="89">
        <f>IFERROR(IF(AE126&lt;&gt;AE125,AVERAGEIF(AE$9:AE125,AE125,AX$9:AX125),""),"")</f>
        <v/>
      </c>
      <c r="AR125" s="89">
        <f t="array" ref="AR125">IFERROR(IF(AE126&lt;&gt;AE125,_xlfn.STDEV.P(IF(AE$9:AE125=AE125,AX$9:AX125)),""),"")</f>
        <v/>
      </c>
      <c r="AS125" s="89">
        <f t="array" ref="AS125">IFERROR(IF(AE126&lt;&gt;AE125,_xlfn.STDEV.P(IF(AE$9:AE125=AE125,AW$9:AW125)),""),"")</f>
        <v/>
      </c>
      <c r="AT125" s="90">
        <f>IFERROR(IF(AE125&lt;&gt;AE126,MAX((((AQ125*24*60)/2)*(1+POWER((((AR125*24*60) / (AQ125*24*60) )),2))) + ((AQ125*24*60 )*-0.1 + (AO125*0.015)) +1,(((AQ125*24*60)/2)*(1+POWER((((AR125*24*60) / (AQ125*24*60 ))),2)))),""),"")</f>
        <v/>
      </c>
      <c r="AU125" s="90">
        <f>IF(AND(AS125&lt;&gt;"",AP125&lt;&gt;""),IF(AE125&lt;&gt;AE126,((AP125*24*60) / 2 ) * (1 + POWER(((AS125*24*60) / (AP125*24*60)),2)),""),"")</f>
        <v/>
      </c>
      <c r="AV125" s="90">
        <f>IF(AU125&lt;&gt;"",MAX(AT125,AU125),"")</f>
        <v/>
      </c>
      <c r="AW125" s="89">
        <f>IF(AM125&lt;&gt;"H. Sale Real",IF(AND(AM126&lt;&gt;"",LEFT(AG126,2)&lt;&gt;"Va"),IF(AND(AM125&lt;&gt;"",LEFT(AG125,2)&lt;&gt;"Va",AM125&lt;&gt;"H. Sale Real"),IF(AM126-AM125&lt;0.208333333333333,AM126-AM125,""),IF(AND(AM124&lt;&gt;"",LEFT(AG124,2)&lt;&gt;"Va",AM124&lt;&gt;"H. Sale Real"),IF(AM126-AM124&lt;0.208333333333333,AM126-AM124,""),IF(AND(AM123&lt;&gt;"",LEFT(AG123,2)&lt;&gt;"Va",AM123&lt;&gt;"H. Sale Real"),IF(AM126-AM123&lt;0.208333333333333,AM126-AM123,""),IF(AND(AM122&lt;&gt;"",LEFT(AG122,2)&lt;&gt;"Va",AM122&lt;&gt;"H. Sale Real"),IF(AM126-AM122&lt;0.208333333333333,AM126-AM122,""),IF(AND(AM121&lt;&gt;"",LEFT(AG121,2)&lt;&gt;"Va",AM121&lt;&gt;"H. Sale Real"),IF(AM126-AM121&lt;0.208333333333333,AM126-AM121,""),""))))),""),"")</f>
        <v/>
      </c>
      <c r="AX125" s="89">
        <f>IF(AK125&lt;&gt;"H. Sale Real",IF(AND(AK126&lt;&gt;"",LEFT(AG126,2)&lt;&gt;"Va"),IF(AND(AK125&lt;&gt;"",LEFT(AG125,2)&lt;&gt;"Va",AK125&lt;&gt;"H. Sale Real"),IF(AK126-AK125&lt;0.208333333333333,AK126-AK125,""),IF(AND(AK124&lt;&gt;"",LEFT(AG124,2)&lt;&gt;"Va",AK124&lt;&gt;"H. Sale Real"),IF(AK126-AK124&lt;0.208333333333333,AK126-AK124,""),IF(AND(AK123&lt;&gt;"",LEFT(AG123,2)&lt;&gt;"NC",AK123&lt;&gt;"H. Sale Real"),IF(AK126-AK123&lt;0.208333333333333,AK126-AK123,""),IF(AND(AK122&lt;&gt;"",LEFT(AG122,2)&lt;&gt;"Va",AK122&lt;&gt;"H. Sale Real"),IF(AK126-AK122&lt;0.208333333333333,AK126-AK122,""),IF(AND(AK121&lt;&gt;"",LEFT(AG121,2)&lt;&gt;"Va",AK121&lt;&gt;"H. Sale Real"),IF(AK126-AK121&lt;0.208333333333333,AK126-AK121,""),""))))),""),"")</f>
        <v/>
      </c>
      <c r="AY125" s="87" t="n"/>
      <c r="AZ125" s="89" t="n"/>
      <c r="BA125" s="87" t="n"/>
      <c r="BB125" s="89" t="n"/>
      <c r="BC125" s="91" t="n"/>
      <c r="BD125" s="122">
        <f>IF(AK125&lt;&gt;"",IF(AND(BD124&lt;&gt;"IE",AT125&lt;&gt;0,AV125&lt;&gt;""),IF(IFERROR((AT125/AV125),0) &lt;=1,IFERROR(AT125/AV125,""),1),""),"")</f>
        <v/>
      </c>
      <c r="BE125" s="93" t="n"/>
      <c r="BF125" s="105" t="n"/>
      <c r="FC125" t="inlineStr">
        <is>
          <t>Diccionario 1</t>
        </is>
      </c>
      <c r="FD125" s="15" t="n">
        <v>1122</v>
      </c>
      <c r="FE125" s="15" t="inlineStr">
        <is>
          <t>LDYECS315S0043934</t>
        </is>
      </c>
      <c r="FF125" s="15" t="inlineStr">
        <is>
          <t>MDN35025010214</t>
        </is>
      </c>
      <c r="FG125" s="15" t="inlineStr">
        <is>
          <t>Zhong Tong</t>
        </is>
      </c>
      <c r="FH125" s="15" t="inlineStr">
        <is>
          <t>Lck6122evg</t>
        </is>
      </c>
      <c r="FI125" s="15" t="inlineStr">
        <is>
          <t>ZHONGTONG</t>
        </is>
      </c>
      <c r="FJ125" s="15" t="inlineStr">
        <is>
          <t>LCK6122EVG</t>
        </is>
      </c>
      <c r="FK125" s="15" t="n">
        <v>2025</v>
      </c>
      <c r="FL125" s="15" t="inlineStr">
        <is>
          <t>B</t>
        </is>
      </c>
      <c r="FM125" s="15" t="inlineStr">
        <is>
          <t>CERRILLOS</t>
        </is>
      </c>
      <c r="FN125" s="15" t="inlineStr">
        <is>
          <t>Calle Uno 7371</t>
        </is>
      </c>
      <c r="FO125" s="15" t="inlineStr">
        <is>
          <t>Huechuraba</t>
        </is>
      </c>
      <c r="FP125" t="inlineStr">
        <is>
          <t>B</t>
        </is>
      </c>
      <c r="FS125" s="14" t="inlineStr">
        <is>
          <t>3031 / SFWZ-33|</t>
        </is>
      </c>
      <c r="FT125" t="inlineStr">
        <is>
          <t>SFWZ-33|</t>
        </is>
      </c>
      <c r="FU125" t="inlineStr">
        <is>
          <t>SFWZ-33</t>
        </is>
      </c>
      <c r="FV125">
        <f>VLOOKUP(FU125,FD:FL,9,0)</f>
        <v/>
      </c>
      <c r="HA125" s="35" t="n">
        <v>122</v>
      </c>
      <c r="HB125" s="35" t="n">
        <v>119</v>
      </c>
    </row>
    <row r="126" ht="15.5" customHeight="1">
      <c r="A126" s="10">
        <f>HOUR(G126)+1</f>
        <v/>
      </c>
      <c r="B126" s="7" t="n"/>
      <c r="C126" s="7" t="n"/>
      <c r="D126" s="85">
        <f>IFERROR(
IF(AND(OR(Planilla!B126="C",Planilla!B126="c"), VLOOKUP(E126,FD:FP,13,0)="C"), "OK",IF(AND(OR(Planilla!B126="C",Planilla!B126="c"), OR(VLOOKUP(E126,FD:FP,13,0)="B", VLOOKUP(E126,FD:FP,13,0)="A")), "DEFICIT",IF(
AND(OR(Planilla!B126="B", Planilla!B126="BPAL"), VLOOKUP(E126,FD:FP,13,0)="B"), "OK",IF(AND(OR(Planilla!B126="B", Planilla!B126="BPAL"), VLOOKUP(E126,FD:FP,13,0)="A"), "DEFICIT",IF(AND(OR(Planilla!B126="B", Planilla!B126="BPAL"), VLOOKUP(E126,FD:FP,13,0)="C"), "SOBREOFERTA",IF(AND(Planilla!B126="A", VLOOKUP(E126,FD:FP,13,0)="A"), "OK",IF(
AND(Planilla!B126="A", OR(VLOOKUP(E126,FD:FP,13,0)="B", VLOOKUP(E126,FD:FP,13,0)="C")), "SOBREOFERTA",""
))))))),"")</f>
        <v/>
      </c>
      <c r="E126" s="8" t="n"/>
      <c r="F126" s="86" t="n"/>
      <c r="G126" s="87" t="n"/>
      <c r="H126" s="88">
        <f>IF(I126="","",IF(AND((I126-G126)&gt;=TIME(0,0,0),(I126-G126)&lt;TIME(0,3,0)),"OK",IF(AND((I126-G126)&gt;=TIME(0,3,0),(I126-G126)&lt;TIME(0,5,0)),"RETRASO DE 3-5 MIN",IF(AND((I126-G126)&gt;=TIME(0,5,0),(I126-G126)&lt;TIME(0,10,0)),"RETRASO DE 5-10 MIN",IF((I126-G126)&gt;=TIME(0,10,0),"RETRASO &gt;10 MIN", IF(AND((G126-I126)&gt;=TIME(0,0,0),(G126-I126)&lt;TIME(0,3,0)),"OK",IF((G126-I126)&gt;=TIME(0,3,0),"ADELANTADO")))))))</f>
        <v/>
      </c>
      <c r="I126" s="89" t="n"/>
      <c r="J126" s="89">
        <f>IF(A126&lt;&gt;"",HLOOKUP(VALUE(TEXT(G126,"h:mm:ss")),IF($C$6="Laboral",$FZ$4:$GX$227,IF($C$6="Sábado",$FZ$231:$GX$452,$FZ$456:$GX$656)),VLOOKUP($C$4,$HF$2:$HH$99,3,0)+IF(C$5="Ida",0,1),1),"")</f>
        <v/>
      </c>
      <c r="K126" s="89">
        <f>IF(A127&lt;&gt;A126,AVERAGEIF(A$9:A126,A126,J$9:J126),"")</f>
        <v/>
      </c>
      <c r="L126" s="89">
        <f>IFERROR(IF(A127&lt;&gt;A126,AVERAGEIF(A$9:A126,A126,S$9:S126),""),"")</f>
        <v/>
      </c>
      <c r="M126" s="89">
        <f>IFERROR(IF(A127&lt;&gt;A126,AVERAGEIF(A$9:A126,A126,T$9:T126),""),"")</f>
        <v/>
      </c>
      <c r="N126" s="89">
        <f t="array" ref="N126">IFERROR(IF(A127&lt;&gt;A126,_xlfn.STDEV.P(IF(A$9:A126=A126,T$9:T126)),""),"")</f>
        <v/>
      </c>
      <c r="O126" s="89">
        <f t="array" ref="O126">IFERROR(IF(A127&lt;&gt;A126,_xlfn.STDEV.P(IF(A$9:A126=A126,S$9:S126)),""),"")</f>
        <v/>
      </c>
      <c r="P126" s="90">
        <f>IFERROR(IF(A126&lt;&gt;A127,MAX((((M126*24*60)/2)*(1+POWER((((N126*24*60) / (M126*24*60) )),2))) + ((M126*24*60 )*-0.1 + (K126*0.015)) +1,(((M126*24*60)/2)*(1+POWER((((N126*24*60) / (M126*24*60 ))),2)))),""),"")</f>
        <v/>
      </c>
      <c r="Q126" s="90">
        <f>IF(AND(O126&lt;&gt;"",L126&lt;&gt;""),IF(A126&lt;&gt;A127,((L126*24*60) / 2 ) * (1 + POWER(((O126*24*60) / (L126*24*60)),2)),""),"")</f>
        <v/>
      </c>
      <c r="R126" s="90">
        <f>IF(Q126&lt;&gt;"",MAX(P126,Q126),"")</f>
        <v/>
      </c>
      <c r="S126" s="89">
        <f>IF(I126&lt;&gt;"H. Sale Real",IF(AND(I127&lt;&gt;"",LEFT(C127,2)&lt;&gt;"Va"),IF(AND(I126&lt;&gt;"",LEFT(C126,2)&lt;&gt;"Va",I126&lt;&gt;"H. Sale Real"),IF(I127-I126&lt;0.208333333333333,I127-I126,""),IF(AND(I125&lt;&gt;"",LEFT(C125,2)&lt;&gt;"Va",I125&lt;&gt;"H. Sale Real"),IF(I127-I125&lt;0.208333333333333,I127-I125,""),IF(AND(I124&lt;&gt;"",LEFT(C124,2)&lt;&gt;"Va",I124&lt;&gt;"H. Sale Real"),IF(I127-I124&lt;0.208333333333333,I127-I124,""),IF(AND(I123&lt;&gt;"",LEFT(C123,2)&lt;&gt;"Va",I123&lt;&gt;"H. Sale Real"),IF(I127-I123&lt;0.208333333333333,I127-I123,""),IF(AND(I122&lt;&gt;"",LEFT(C122,2)&lt;&gt;"Va",I122&lt;&gt;"H. Sale Real"),IF(I127-I122&lt;0.208333333333333,I127-I122,""),""))))),""),"")</f>
        <v/>
      </c>
      <c r="T126" s="89">
        <f>IF(G126&lt;&gt;"H. Sale Real",IF(AND(G127&lt;&gt;"",LEFT(C127,2)&lt;&gt;"Va"),IF(AND(G126&lt;&gt;"",LEFT(C126,2)&lt;&gt;"Va",G126&lt;&gt;"H. Sale Real"),IF(G127-G126&lt;0.208333333333333,G127-G126,""),IF(AND(G125&lt;&gt;"",LEFT(C125,2)&lt;&gt;"Va",G125&lt;&gt;"H. Sale Real"),IF(G127-G125&lt;0.208333333333333,G127-G125,""),IF(AND(G124&lt;&gt;"",LEFT(C124,2)&lt;&gt;"Va",G124&lt;&gt;"H. Sale Real"),IF(G127-G124&lt;0.208333333333333,G127-G124,""),IF(AND(G123&lt;&gt;"",LEFT(C123,2)&lt;&gt;"Va",G123&lt;&gt;"H. Sale Real"),IF(G127-G123&lt;0.208333333333333,G127-G123,""),IF(AND(G122&lt;&gt;"",LEFT(C122,2)&lt;&gt;"Va",G122&lt;&gt;"H. Sale Real"),IF(G127-G122&lt;0.208333333333333,G127-G122,""),""))))),""),"")</f>
        <v/>
      </c>
      <c r="U126" s="87" t="n"/>
      <c r="V126" s="89" t="n"/>
      <c r="W126" s="87" t="n"/>
      <c r="X126" s="89" t="n"/>
      <c r="Y126" s="91" t="n"/>
      <c r="Z126" s="122">
        <f>IF(G126&lt;&gt;"",IF(AND(Z125&lt;&gt;"IE",P126&lt;&gt;0,R126&lt;&gt;""),IF(IFERROR((P126/R126),0) &lt;=1,IFERROR(P126/R126,""),1),""),"")</f>
        <v/>
      </c>
      <c r="AA126" s="93" t="n"/>
      <c r="AB126" s="2" t="n"/>
      <c r="AE126" s="10">
        <f>HOUR(AK126)+1</f>
        <v/>
      </c>
      <c r="AF126" s="7" t="n"/>
      <c r="AG126" s="7" t="n"/>
      <c r="AH126" s="86" t="n"/>
      <c r="AI126" s="8" t="n"/>
      <c r="AJ126" s="86" t="n"/>
      <c r="AK126" s="87" t="n"/>
      <c r="AL126" s="88">
        <f>IF(AM126="","",IF(AND((AM126-AK126)&gt;=TIME(0,0,0),(AM126-AK126)&lt;TIME(0,3,0)),"OK",IF(AND((AM126-AK126)&gt;=TIME(0,3,0),(AM126-AK126)&lt;TIME(0,5,0)),"RETRASO DE 3-5 MIN",IF(AND((AM126-AK126)&gt;=TIME(0,5,0),(AM126-AK126)&lt;TIME(0,10,0)),"RETRASO DE 5-10 MIN",IF((AM126-AK126)&gt;=TIME(0,10,0),"RETRASO &gt;10 MIN", IF(AND((AK126-AM126)&gt;=TIME(0,0,0),(AK126-AM126)&lt;TIME(0,3,0)),"OK",IF((AK126-AM126)&gt;=TIME(0,3,0),"ADELANTADO")))))))</f>
        <v/>
      </c>
      <c r="AM126" s="91" t="n"/>
      <c r="AN126" s="89">
        <f>IF(AE126&lt;&gt;"",HLOOKUP(VALUE(TEXT(AK126,"h:mm:ss")),IF($C$6="Laboral",$FZ$4:$GX$227,IF($C$6="Sábado",$FZ$231:$GX$452,$FZ$456:$GX$656)),VLOOKUP($C$4,$HF$2:$HH$99,3,0)+IF(AG$5="Ida",0,1),1),"")</f>
        <v/>
      </c>
      <c r="AO126" s="89">
        <f>IF(AE127&lt;&gt;AE126,AVERAGEIF(AE$9:AE126,AE126,AN$9:AN126),"")</f>
        <v/>
      </c>
      <c r="AP126" s="89">
        <f>IFERROR(IF(AE127&lt;&gt;AE126,AVERAGEIF(AE$9:AE126,AE126,AW$9:AW126),""),"")</f>
        <v/>
      </c>
      <c r="AQ126" s="89">
        <f>IFERROR(IF(AE127&lt;&gt;AE126,AVERAGEIF(AE$9:AE126,AE126,AX$9:AX126),""),"")</f>
        <v/>
      </c>
      <c r="AR126" s="89">
        <f t="array" ref="AR126">IFERROR(IF(AE127&lt;&gt;AE126,_xlfn.STDEV.P(IF(AE$9:AE126=AE126,AX$9:AX126)),""),"")</f>
        <v/>
      </c>
      <c r="AS126" s="89">
        <f t="array" ref="AS126">IFERROR(IF(AE127&lt;&gt;AE126,_xlfn.STDEV.P(IF(AE$9:AE126=AE126,AW$9:AW126)),""),"")</f>
        <v/>
      </c>
      <c r="AT126" s="90">
        <f>IFERROR(IF(AE126&lt;&gt;AE127,MAX((((AQ126*24*60)/2)*(1+POWER((((AR126*24*60) / (AQ126*24*60) )),2))) + ((AQ126*24*60 )*-0.1 + (AO126*0.015)) +1,(((AQ126*24*60)/2)*(1+POWER((((AR126*24*60) / (AQ126*24*60 ))),2)))),""),"")</f>
        <v/>
      </c>
      <c r="AU126" s="90">
        <f>IF(AND(AS126&lt;&gt;"",AP126&lt;&gt;""),IF(AE126&lt;&gt;AE127,((AP126*24*60) / 2 ) * (1 + POWER(((AS126*24*60) / (AP126*24*60)),2)),""),"")</f>
        <v/>
      </c>
      <c r="AV126" s="90">
        <f>IF(AU126&lt;&gt;"",MAX(AT126,AU126),"")</f>
        <v/>
      </c>
      <c r="AW126" s="89">
        <f>IF(AM126&lt;&gt;"H. Sale Real",IF(AND(AM127&lt;&gt;"",LEFT(AG127,2)&lt;&gt;"Va"),IF(AND(AM126&lt;&gt;"",LEFT(AG126,2)&lt;&gt;"Va",AM126&lt;&gt;"H. Sale Real"),IF(AM127-AM126&lt;0.208333333333333,AM127-AM126,""),IF(AND(AM125&lt;&gt;"",LEFT(AG125,2)&lt;&gt;"Va",AM125&lt;&gt;"H. Sale Real"),IF(AM127-AM125&lt;0.208333333333333,AM127-AM125,""),IF(AND(AM124&lt;&gt;"",LEFT(AG124,2)&lt;&gt;"Va",AM124&lt;&gt;"H. Sale Real"),IF(AM127-AM124&lt;0.208333333333333,AM127-AM124,""),IF(AND(AM123&lt;&gt;"",LEFT(AG123,2)&lt;&gt;"Va",AM123&lt;&gt;"H. Sale Real"),IF(AM127-AM123&lt;0.208333333333333,AM127-AM123,""),IF(AND(AM122&lt;&gt;"",LEFT(AG122,2)&lt;&gt;"Va",AM122&lt;&gt;"H. Sale Real"),IF(AM127-AM122&lt;0.208333333333333,AM127-AM122,""),""))))),""),"")</f>
        <v/>
      </c>
      <c r="AX126" s="89">
        <f>IF(AK126&lt;&gt;"H. Sale Real",IF(AND(AK127&lt;&gt;"",LEFT(AG127,2)&lt;&gt;"Va"),IF(AND(AK126&lt;&gt;"",LEFT(AG126,2)&lt;&gt;"Va",AK126&lt;&gt;"H. Sale Real"),IF(AK127-AK126&lt;0.208333333333333,AK127-AK126,""),IF(AND(AK125&lt;&gt;"",LEFT(AG125,2)&lt;&gt;"Va",AK125&lt;&gt;"H. Sale Real"),IF(AK127-AK125&lt;0.208333333333333,AK127-AK125,""),IF(AND(AK124&lt;&gt;"",LEFT(AG124,2)&lt;&gt;"NC",AK124&lt;&gt;"H. Sale Real"),IF(AK127-AK124&lt;0.208333333333333,AK127-AK124,""),IF(AND(AK123&lt;&gt;"",LEFT(AG123,2)&lt;&gt;"Va",AK123&lt;&gt;"H. Sale Real"),IF(AK127-AK123&lt;0.208333333333333,AK127-AK123,""),IF(AND(AK122&lt;&gt;"",LEFT(AG122,2)&lt;&gt;"Va",AK122&lt;&gt;"H. Sale Real"),IF(AK127-AK122&lt;0.208333333333333,AK127-AK122,""),""))))),""),"")</f>
        <v/>
      </c>
      <c r="AY126" s="87" t="n"/>
      <c r="AZ126" s="89" t="n"/>
      <c r="BA126" s="87" t="n"/>
      <c r="BB126" s="89" t="n"/>
      <c r="BC126" s="91" t="n"/>
      <c r="BD126" s="122">
        <f>IF(AK126&lt;&gt;"",IF(AND(BD125&lt;&gt;"IE",AT126&lt;&gt;0,AV126&lt;&gt;""),IF(IFERROR((AT126/AV126),0) &lt;=1,IFERROR(AT126/AV126,""),1),""),"")</f>
        <v/>
      </c>
      <c r="BE126" s="93" t="n"/>
      <c r="BF126" s="105" t="n"/>
      <c r="FC126" t="inlineStr">
        <is>
          <t>Diccionario 1</t>
        </is>
      </c>
      <c r="FD126" s="15" t="n">
        <v>1123</v>
      </c>
      <c r="FE126" s="15" t="inlineStr">
        <is>
          <t>LDYECS317S0043983</t>
        </is>
      </c>
      <c r="FF126" s="15" t="inlineStr">
        <is>
          <t>MDN35025020100</t>
        </is>
      </c>
      <c r="FG126" s="15" t="inlineStr">
        <is>
          <t>Zhong Tong</t>
        </is>
      </c>
      <c r="FH126" s="15" t="inlineStr">
        <is>
          <t>Lck6122evg</t>
        </is>
      </c>
      <c r="FI126" s="15" t="inlineStr">
        <is>
          <t>ZHONGTONG</t>
        </is>
      </c>
      <c r="FJ126" s="15" t="inlineStr">
        <is>
          <t>LCK6122EVG</t>
        </is>
      </c>
      <c r="FK126" s="15" t="n">
        <v>2025</v>
      </c>
      <c r="FL126" s="15" t="inlineStr">
        <is>
          <t>B</t>
        </is>
      </c>
      <c r="FM126" s="15" t="inlineStr">
        <is>
          <t>LOS LIBERTADORES</t>
        </is>
      </c>
      <c r="FN126" s="15" t="inlineStr">
        <is>
          <t>Los Liberadores 6450, Lote 4A</t>
        </is>
      </c>
      <c r="FO126" s="15" t="inlineStr">
        <is>
          <t>Huechuraba</t>
        </is>
      </c>
      <c r="FP126" t="inlineStr">
        <is>
          <t>B</t>
        </is>
      </c>
      <c r="FS126" s="14" t="inlineStr">
        <is>
          <t>3031 / SFWZ-33|</t>
        </is>
      </c>
      <c r="FT126" t="inlineStr">
        <is>
          <t>SFWZ-33|</t>
        </is>
      </c>
      <c r="FU126" t="inlineStr">
        <is>
          <t>SFWZ-33</t>
        </is>
      </c>
      <c r="FV126">
        <f>VLOOKUP(FU126,FD:FL,9,0)</f>
        <v/>
      </c>
      <c r="HA126" s="35" t="n">
        <v>123</v>
      </c>
      <c r="HB126" s="35" t="n">
        <v>120</v>
      </c>
    </row>
    <row r="127" ht="15.5" customHeight="1">
      <c r="A127" s="10">
        <f>HOUR(G127)+1</f>
        <v/>
      </c>
      <c r="B127" s="7" t="n"/>
      <c r="C127" s="7" t="n"/>
      <c r="D127" s="85">
        <f>IFERROR(
IF(AND(OR(Planilla!B127="C",Planilla!B127="c"), VLOOKUP(E127,FD:FP,13,0)="C"), "OK",IF(AND(OR(Planilla!B127="C",Planilla!B127="c"), OR(VLOOKUP(E127,FD:FP,13,0)="B", VLOOKUP(E127,FD:FP,13,0)="A")), "DEFICIT",IF(
AND(OR(Planilla!B127="B", Planilla!B127="BPAL"), VLOOKUP(E127,FD:FP,13,0)="B"), "OK",IF(AND(OR(Planilla!B127="B", Planilla!B127="BPAL"), VLOOKUP(E127,FD:FP,13,0)="A"), "DEFICIT",IF(AND(OR(Planilla!B127="B", Planilla!B127="BPAL"), VLOOKUP(E127,FD:FP,13,0)="C"), "SOBREOFERTA",IF(AND(Planilla!B127="A", VLOOKUP(E127,FD:FP,13,0)="A"), "OK",IF(
AND(Planilla!B127="A", OR(VLOOKUP(E127,FD:FP,13,0)="B", VLOOKUP(E127,FD:FP,13,0)="C")), "SOBREOFERTA",""
))))))),"")</f>
        <v/>
      </c>
      <c r="E127" s="8" t="n"/>
      <c r="F127" s="86" t="n"/>
      <c r="G127" s="87" t="n"/>
      <c r="H127" s="88">
        <f>IF(I127="","",IF(AND((I127-G127)&gt;=TIME(0,0,0),(I127-G127)&lt;TIME(0,3,0)),"OK",IF(AND((I127-G127)&gt;=TIME(0,3,0),(I127-G127)&lt;TIME(0,5,0)),"RETRASO DE 3-5 MIN",IF(AND((I127-G127)&gt;=TIME(0,5,0),(I127-G127)&lt;TIME(0,10,0)),"RETRASO DE 5-10 MIN",IF((I127-G127)&gt;=TIME(0,10,0),"RETRASO &gt;10 MIN", IF(AND((G127-I127)&gt;=TIME(0,0,0),(G127-I127)&lt;TIME(0,3,0)),"OK",IF((G127-I127)&gt;=TIME(0,3,0),"ADELANTADO")))))))</f>
        <v/>
      </c>
      <c r="I127" s="89" t="n"/>
      <c r="J127" s="89">
        <f>IF(A127&lt;&gt;"",HLOOKUP(VALUE(TEXT(G127,"h:mm:ss")),IF($C$6="Laboral",$FZ$4:$GX$227,IF($C$6="Sábado",$FZ$231:$GX$452,$FZ$456:$GX$656)),VLOOKUP($C$4,$HF$2:$HH$99,3,0)+IF(C$5="Ida",0,1),1),"")</f>
        <v/>
      </c>
      <c r="K127" s="89">
        <f>IF(A128&lt;&gt;A127,AVERAGEIF(A$9:A127,A127,J$9:J127),"")</f>
        <v/>
      </c>
      <c r="L127" s="89">
        <f>IFERROR(IF(A128&lt;&gt;A127,AVERAGEIF(A$9:A127,A127,S$9:S127),""),"")</f>
        <v/>
      </c>
      <c r="M127" s="89">
        <f>IFERROR(IF(A128&lt;&gt;A127,AVERAGEIF(A$9:A127,A127,T$9:T127),""),"")</f>
        <v/>
      </c>
      <c r="N127" s="89">
        <f t="array" ref="N127">IFERROR(IF(A128&lt;&gt;A127,_xlfn.STDEV.P(IF(A$9:A127=A127,T$9:T127)),""),"")</f>
        <v/>
      </c>
      <c r="O127" s="89">
        <f t="array" ref="O127">IFERROR(IF(A128&lt;&gt;A127,_xlfn.STDEV.P(IF(A$9:A127=A127,S$9:S127)),""),"")</f>
        <v/>
      </c>
      <c r="P127" s="90">
        <f>IFERROR(IF(A127&lt;&gt;A128,MAX((((M127*24*60)/2)*(1+POWER((((N127*24*60) / (M127*24*60) )),2))) + ((M127*24*60 )*-0.1 + (K127*0.015)) +1,(((M127*24*60)/2)*(1+POWER((((N127*24*60) / (M127*24*60 ))),2)))),""),"")</f>
        <v/>
      </c>
      <c r="Q127" s="90">
        <f>IF(AND(O127&lt;&gt;"",L127&lt;&gt;""),IF(A127&lt;&gt;A128,((L127*24*60) / 2 ) * (1 + POWER(((O127*24*60) / (L127*24*60)),2)),""),"")</f>
        <v/>
      </c>
      <c r="R127" s="90">
        <f>IF(Q127&lt;&gt;"",MAX(P127,Q127),"")</f>
        <v/>
      </c>
      <c r="S127" s="89">
        <f>IF(I127&lt;&gt;"H. Sale Real",IF(AND(I128&lt;&gt;"",LEFT(C128,2)&lt;&gt;"Va"),IF(AND(I127&lt;&gt;"",LEFT(C127,2)&lt;&gt;"Va",I127&lt;&gt;"H. Sale Real"),IF(I128-I127&lt;0.208333333333333,I128-I127,""),IF(AND(I126&lt;&gt;"",LEFT(C126,2)&lt;&gt;"Va",I126&lt;&gt;"H. Sale Real"),IF(I128-I126&lt;0.208333333333333,I128-I126,""),IF(AND(I125&lt;&gt;"",LEFT(C125,2)&lt;&gt;"Va",I125&lt;&gt;"H. Sale Real"),IF(I128-I125&lt;0.208333333333333,I128-I125,""),IF(AND(I124&lt;&gt;"",LEFT(C124,2)&lt;&gt;"Va",I124&lt;&gt;"H. Sale Real"),IF(I128-I124&lt;0.208333333333333,I128-I124,""),IF(AND(I123&lt;&gt;"",LEFT(C123,2)&lt;&gt;"Va",I123&lt;&gt;"H. Sale Real"),IF(I128-I123&lt;0.208333333333333,I128-I123,""),""))))),""),"")</f>
        <v/>
      </c>
      <c r="T127" s="89">
        <f>IF(G127&lt;&gt;"H. Sale Real",IF(AND(G128&lt;&gt;"",LEFT(C128,2)&lt;&gt;"Va"),IF(AND(G127&lt;&gt;"",LEFT(C127,2)&lt;&gt;"Va",G127&lt;&gt;"H. Sale Real"),IF(G128-G127&lt;0.208333333333333,G128-G127,""),IF(AND(G126&lt;&gt;"",LEFT(C126,2)&lt;&gt;"Va",G126&lt;&gt;"H. Sale Real"),IF(G128-G126&lt;0.208333333333333,G128-G126,""),IF(AND(G125&lt;&gt;"",LEFT(C125,2)&lt;&gt;"Va",G125&lt;&gt;"H. Sale Real"),IF(G128-G125&lt;0.208333333333333,G128-G125,""),IF(AND(G124&lt;&gt;"",LEFT(C124,2)&lt;&gt;"Va",G124&lt;&gt;"H. Sale Real"),IF(G128-G124&lt;0.208333333333333,G128-G124,""),IF(AND(G123&lt;&gt;"",LEFT(C123,2)&lt;&gt;"Va",G123&lt;&gt;"H. Sale Real"),IF(G128-G123&lt;0.208333333333333,G128-G123,""),""))))),""),"")</f>
        <v/>
      </c>
      <c r="U127" s="87" t="n"/>
      <c r="V127" s="89" t="n"/>
      <c r="W127" s="87" t="n"/>
      <c r="X127" s="89" t="n"/>
      <c r="Y127" s="91" t="n"/>
      <c r="Z127" s="122">
        <f>IF(G127&lt;&gt;"",IF(AND(Z126&lt;&gt;"IE",P127&lt;&gt;0,R127&lt;&gt;""),IF(IFERROR((P127/R127),0) &lt;=1,IFERROR(P127/R127,""),1),""),"")</f>
        <v/>
      </c>
      <c r="AA127" s="93" t="n"/>
      <c r="AB127" s="2" t="n"/>
      <c r="AE127" s="10">
        <f>HOUR(AK127)+1</f>
        <v/>
      </c>
      <c r="AF127" s="7" t="n"/>
      <c r="AG127" s="7" t="n"/>
      <c r="AH127" s="86" t="n"/>
      <c r="AI127" s="8" t="n"/>
      <c r="AJ127" s="86" t="n"/>
      <c r="AK127" s="87" t="n"/>
      <c r="AL127" s="88">
        <f>IF(AM127="","",IF(AND((AM127-AK127)&gt;=TIME(0,0,0),(AM127-AK127)&lt;TIME(0,3,0)),"OK",IF(AND((AM127-AK127)&gt;=TIME(0,3,0),(AM127-AK127)&lt;TIME(0,5,0)),"RETRASO DE 3-5 MIN",IF(AND((AM127-AK127)&gt;=TIME(0,5,0),(AM127-AK127)&lt;TIME(0,10,0)),"RETRASO DE 5-10 MIN",IF((AM127-AK127)&gt;=TIME(0,10,0),"RETRASO &gt;10 MIN", IF(AND((AK127-AM127)&gt;=TIME(0,0,0),(AK127-AM127)&lt;TIME(0,3,0)),"OK",IF((AK127-AM127)&gt;=TIME(0,3,0),"ADELANTADO")))))))</f>
        <v/>
      </c>
      <c r="AM127" s="91" t="n"/>
      <c r="AN127" s="89">
        <f>IF(AE127&lt;&gt;"",HLOOKUP(VALUE(TEXT(AK127,"h:mm:ss")),IF($C$6="Laboral",$FZ$4:$GX$227,IF($C$6="Sábado",$FZ$231:$GX$452,$FZ$456:$GX$656)),VLOOKUP($C$4,$HF$2:$HH$99,3,0)+IF(AG$5="Ida",0,1),1),"")</f>
        <v/>
      </c>
      <c r="AO127" s="89">
        <f>IF(AE128&lt;&gt;AE127,AVERAGEIF(AE$9:AE127,AE127,AN$9:AN127),"")</f>
        <v/>
      </c>
      <c r="AP127" s="89">
        <f>IFERROR(IF(AE128&lt;&gt;AE127,AVERAGEIF(AE$9:AE127,AE127,AW$9:AW127),""),"")</f>
        <v/>
      </c>
      <c r="AQ127" s="89">
        <f>IFERROR(IF(AE128&lt;&gt;AE127,AVERAGEIF(AE$9:AE127,AE127,AX$9:AX127),""),"")</f>
        <v/>
      </c>
      <c r="AR127" s="89">
        <f t="array" ref="AR127">IFERROR(IF(AE128&lt;&gt;AE127,_xlfn.STDEV.P(IF(AE$9:AE127=AE127,AX$9:AX127)),""),"")</f>
        <v/>
      </c>
      <c r="AS127" s="89">
        <f t="array" ref="AS127">IFERROR(IF(AE128&lt;&gt;AE127,_xlfn.STDEV.P(IF(AE$9:AE127=AE127,AW$9:AW127)),""),"")</f>
        <v/>
      </c>
      <c r="AT127" s="90">
        <f>IFERROR(IF(AE127&lt;&gt;AE128,MAX((((AQ127*24*60)/2)*(1+POWER((((AR127*24*60) / (AQ127*24*60) )),2))) + ((AQ127*24*60 )*-0.1 + (AO127*0.015)) +1,(((AQ127*24*60)/2)*(1+POWER((((AR127*24*60) / (AQ127*24*60 ))),2)))),""),"")</f>
        <v/>
      </c>
      <c r="AU127" s="90">
        <f>IF(AND(AS127&lt;&gt;"",AP127&lt;&gt;""),IF(AE127&lt;&gt;AE128,((AP127*24*60) / 2 ) * (1 + POWER(((AS127*24*60) / (AP127*24*60)),2)),""),"")</f>
        <v/>
      </c>
      <c r="AV127" s="90">
        <f>IF(AU127&lt;&gt;"",MAX(AT127,AU127),"")</f>
        <v/>
      </c>
      <c r="AW127" s="89">
        <f>IF(AM127&lt;&gt;"H. Sale Real",IF(AND(AM128&lt;&gt;"",LEFT(AG128,2)&lt;&gt;"Va"),IF(AND(AM127&lt;&gt;"",LEFT(AG127,2)&lt;&gt;"Va",AM127&lt;&gt;"H. Sale Real"),IF(AM128-AM127&lt;0.208333333333333,AM128-AM127,""),IF(AND(AM126&lt;&gt;"",LEFT(AG126,2)&lt;&gt;"Va",AM126&lt;&gt;"H. Sale Real"),IF(AM128-AM126&lt;0.208333333333333,AM128-AM126,""),IF(AND(AM125&lt;&gt;"",LEFT(AG125,2)&lt;&gt;"Va",AM125&lt;&gt;"H. Sale Real"),IF(AM128-AM125&lt;0.208333333333333,AM128-AM125,""),IF(AND(AM124&lt;&gt;"",LEFT(AG124,2)&lt;&gt;"Va",AM124&lt;&gt;"H. Sale Real"),IF(AM128-AM124&lt;0.208333333333333,AM128-AM124,""),IF(AND(AM123&lt;&gt;"",LEFT(AG123,2)&lt;&gt;"Va",AM123&lt;&gt;"H. Sale Real"),IF(AM128-AM123&lt;0.208333333333333,AM128-AM123,""),""))))),""),"")</f>
        <v/>
      </c>
      <c r="AX127" s="89">
        <f>IF(AK127&lt;&gt;"H. Sale Real",IF(AND(AK128&lt;&gt;"",LEFT(AG128,2)&lt;&gt;"Va"),IF(AND(AK127&lt;&gt;"",LEFT(AG127,2)&lt;&gt;"Va",AK127&lt;&gt;"H. Sale Real"),IF(AK128-AK127&lt;0.208333333333333,AK128-AK127,""),IF(AND(AK126&lt;&gt;"",LEFT(AG126,2)&lt;&gt;"Va",AK126&lt;&gt;"H. Sale Real"),IF(AK128-AK126&lt;0.208333333333333,AK128-AK126,""),IF(AND(AK125&lt;&gt;"",LEFT(AG125,2)&lt;&gt;"NC",AK125&lt;&gt;"H. Sale Real"),IF(AK128-AK125&lt;0.208333333333333,AK128-AK125,""),IF(AND(AK124&lt;&gt;"",LEFT(AG124,2)&lt;&gt;"Va",AK124&lt;&gt;"H. Sale Real"),IF(AK128-AK124&lt;0.208333333333333,AK128-AK124,""),IF(AND(AK123&lt;&gt;"",LEFT(AG123,2)&lt;&gt;"Va",AK123&lt;&gt;"H. Sale Real"),IF(AK128-AK123&lt;0.208333333333333,AK128-AK123,""),""))))),""),"")</f>
        <v/>
      </c>
      <c r="AY127" s="87" t="n"/>
      <c r="AZ127" s="89" t="n"/>
      <c r="BA127" s="87" t="n"/>
      <c r="BB127" s="89" t="n"/>
      <c r="BC127" s="91" t="n"/>
      <c r="BD127" s="122">
        <f>IF(AK127&lt;&gt;"",IF(AND(BD126&lt;&gt;"IE",AT127&lt;&gt;0,AV127&lt;&gt;""),IF(IFERROR((AT127/AV127),0) &lt;=1,IFERROR(AT127/AV127,""),1),""),"")</f>
        <v/>
      </c>
      <c r="BE127" s="93" t="n"/>
      <c r="BF127" s="105" t="n"/>
      <c r="FC127" t="inlineStr">
        <is>
          <t>Diccionario 1</t>
        </is>
      </c>
      <c r="FD127" s="15" t="n">
        <v>1124</v>
      </c>
      <c r="FE127" s="15" t="inlineStr">
        <is>
          <t>LDYECS315S0043979</t>
        </is>
      </c>
      <c r="FF127" s="15" t="inlineStr">
        <is>
          <t>MDN35025020094</t>
        </is>
      </c>
      <c r="FG127" s="15" t="inlineStr">
        <is>
          <t>Zhong Tong</t>
        </is>
      </c>
      <c r="FH127" s="15" t="inlineStr">
        <is>
          <t>Lck6122evg</t>
        </is>
      </c>
      <c r="FI127" s="15" t="inlineStr">
        <is>
          <t>ZHONGTONG</t>
        </is>
      </c>
      <c r="FJ127" s="15" t="inlineStr">
        <is>
          <t>LCK6122EVG</t>
        </is>
      </c>
      <c r="FK127" s="15" t="n">
        <v>2025</v>
      </c>
      <c r="FL127" s="15" t="inlineStr">
        <is>
          <t>B</t>
        </is>
      </c>
      <c r="FM127" s="15" t="inlineStr">
        <is>
          <t>LOS LIBERTADORES</t>
        </is>
      </c>
      <c r="FN127" s="15" t="inlineStr">
        <is>
          <t>Los Liberadores 6450, Lote 4A</t>
        </is>
      </c>
      <c r="FO127" s="15" t="inlineStr">
        <is>
          <t>Huechuraba</t>
        </is>
      </c>
      <c r="FP127" t="inlineStr">
        <is>
          <t>B</t>
        </is>
      </c>
      <c r="FS127" s="14" t="inlineStr">
        <is>
          <t>3031 / SFWZ-33|</t>
        </is>
      </c>
      <c r="FT127" t="inlineStr">
        <is>
          <t>SFWZ-33|</t>
        </is>
      </c>
      <c r="FU127" t="inlineStr">
        <is>
          <t>SFWZ-33</t>
        </is>
      </c>
      <c r="FV127">
        <f>VLOOKUP(FU127,FD:FL,9,0)</f>
        <v/>
      </c>
      <c r="HA127" s="35" t="n">
        <v>124</v>
      </c>
      <c r="HB127" s="35" t="n">
        <v>121</v>
      </c>
    </row>
    <row r="128" ht="15.5" customHeight="1">
      <c r="A128" s="10">
        <f>HOUR(G128)+1</f>
        <v/>
      </c>
      <c r="B128" s="7" t="n"/>
      <c r="C128" s="7" t="n"/>
      <c r="D128" s="85">
        <f>IFERROR(
IF(AND(OR(Planilla!B128="C",Planilla!B128="c"), VLOOKUP(E128,FD:FP,13,0)="C"), "OK",IF(AND(OR(Planilla!B128="C",Planilla!B128="c"), OR(VLOOKUP(E128,FD:FP,13,0)="B", VLOOKUP(E128,FD:FP,13,0)="A")), "DEFICIT",IF(
AND(OR(Planilla!B128="B", Planilla!B128="BPAL"), VLOOKUP(E128,FD:FP,13,0)="B"), "OK",IF(AND(OR(Planilla!B128="B", Planilla!B128="BPAL"), VLOOKUP(E128,FD:FP,13,0)="A"), "DEFICIT",IF(AND(OR(Planilla!B128="B", Planilla!B128="BPAL"), VLOOKUP(E128,FD:FP,13,0)="C"), "SOBREOFERTA",IF(AND(Planilla!B128="A", VLOOKUP(E128,FD:FP,13,0)="A"), "OK",IF(
AND(Planilla!B128="A", OR(VLOOKUP(E128,FD:FP,13,0)="B", VLOOKUP(E128,FD:FP,13,0)="C")), "SOBREOFERTA",""
))))))),"")</f>
        <v/>
      </c>
      <c r="E128" s="8" t="n"/>
      <c r="F128" s="86" t="n"/>
      <c r="G128" s="87" t="n"/>
      <c r="H128" s="88">
        <f>IF(I128="","",IF(AND((I128-G128)&gt;=TIME(0,0,0),(I128-G128)&lt;TIME(0,3,0)),"OK",IF(AND((I128-G128)&gt;=TIME(0,3,0),(I128-G128)&lt;TIME(0,5,0)),"RETRASO DE 3-5 MIN",IF(AND((I128-G128)&gt;=TIME(0,5,0),(I128-G128)&lt;TIME(0,10,0)),"RETRASO DE 5-10 MIN",IF((I128-G128)&gt;=TIME(0,10,0),"RETRASO &gt;10 MIN", IF(AND((G128-I128)&gt;=TIME(0,0,0),(G128-I128)&lt;TIME(0,3,0)),"OK",IF((G128-I128)&gt;=TIME(0,3,0),"ADELANTADO")))))))</f>
        <v/>
      </c>
      <c r="I128" s="89" t="n"/>
      <c r="J128" s="89">
        <f>IF(A128&lt;&gt;"",HLOOKUP(VALUE(TEXT(G128,"h:mm:ss")),IF($C$6="Laboral",$FZ$4:$GX$227,IF($C$6="Sábado",$FZ$231:$GX$452,$FZ$456:$GX$656)),VLOOKUP($C$4,$HF$2:$HH$99,3,0)+IF(C$5="Ida",0,1),1),"")</f>
        <v/>
      </c>
      <c r="K128" s="89">
        <f>IF(A129&lt;&gt;A128,AVERAGEIF(A$9:A128,A128,J$9:J128),"")</f>
        <v/>
      </c>
      <c r="L128" s="89">
        <f>IFERROR(IF(A129&lt;&gt;A128,AVERAGEIF(A$9:A128,A128,S$9:S128),""),"")</f>
        <v/>
      </c>
      <c r="M128" s="89">
        <f>IFERROR(IF(A129&lt;&gt;A128,AVERAGEIF(A$9:A128,A128,T$9:T128),""),"")</f>
        <v/>
      </c>
      <c r="N128" s="89">
        <f t="array" ref="N128">IFERROR(IF(A129&lt;&gt;A128,_xlfn.STDEV.P(IF(A$9:A128=A128,T$9:T128)),""),"")</f>
        <v/>
      </c>
      <c r="O128" s="89">
        <f t="array" ref="O128">IFERROR(IF(A129&lt;&gt;A128,_xlfn.STDEV.P(IF(A$9:A128=A128,S$9:S128)),""),"")</f>
        <v/>
      </c>
      <c r="P128" s="90">
        <f>IFERROR(IF(A128&lt;&gt;A129,MAX((((M128*24*60)/2)*(1+POWER((((N128*24*60) / (M128*24*60) )),2))) + ((M128*24*60 )*-0.1 + (K128*0.015)) +1,(((M128*24*60)/2)*(1+POWER((((N128*24*60) / (M128*24*60 ))),2)))),""),"")</f>
        <v/>
      </c>
      <c r="Q128" s="90">
        <f>IF(AND(O128&lt;&gt;"",L128&lt;&gt;""),IF(A128&lt;&gt;A129,((L128*24*60) / 2 ) * (1 + POWER(((O128*24*60) / (L128*24*60)),2)),""),"")</f>
        <v/>
      </c>
      <c r="R128" s="90">
        <f>IF(Q128&lt;&gt;"",MAX(P128,Q128),"")</f>
        <v/>
      </c>
      <c r="S128" s="89">
        <f>IF(I128&lt;&gt;"H. Sale Real",IF(AND(I129&lt;&gt;"",LEFT(C129,2)&lt;&gt;"Va"),IF(AND(I128&lt;&gt;"",LEFT(C128,2)&lt;&gt;"Va",I128&lt;&gt;"H. Sale Real"),IF(I129-I128&lt;0.208333333333333,I129-I128,""),IF(AND(I127&lt;&gt;"",LEFT(C127,2)&lt;&gt;"Va",I127&lt;&gt;"H. Sale Real"),IF(I129-I127&lt;0.208333333333333,I129-I127,""),IF(AND(I126&lt;&gt;"",LEFT(C126,2)&lt;&gt;"Va",I126&lt;&gt;"H. Sale Real"),IF(I129-I126&lt;0.208333333333333,I129-I126,""),IF(AND(I125&lt;&gt;"",LEFT(C125,2)&lt;&gt;"Va",I125&lt;&gt;"H. Sale Real"),IF(I129-I125&lt;0.208333333333333,I129-I125,""),IF(AND(I124&lt;&gt;"",LEFT(C124,2)&lt;&gt;"Va",I124&lt;&gt;"H. Sale Real"),IF(I129-I124&lt;0.208333333333333,I129-I124,""),""))))),""),"")</f>
        <v/>
      </c>
      <c r="T128" s="89">
        <f>IF(G128&lt;&gt;"H. Sale Real",IF(AND(G129&lt;&gt;"",LEFT(C129,2)&lt;&gt;"Va"),IF(AND(G128&lt;&gt;"",LEFT(C128,2)&lt;&gt;"Va",G128&lt;&gt;"H. Sale Real"),IF(G129-G128&lt;0.208333333333333,G129-G128,""),IF(AND(G127&lt;&gt;"",LEFT(C127,2)&lt;&gt;"Va",G127&lt;&gt;"H. Sale Real"),IF(G129-G127&lt;0.208333333333333,G129-G127,""),IF(AND(G126&lt;&gt;"",LEFT(C126,2)&lt;&gt;"Va",G126&lt;&gt;"H. Sale Real"),IF(G129-G126&lt;0.208333333333333,G129-G126,""),IF(AND(G125&lt;&gt;"",LEFT(C125,2)&lt;&gt;"Va",G125&lt;&gt;"H. Sale Real"),IF(G129-G125&lt;0.208333333333333,G129-G125,""),IF(AND(G124&lt;&gt;"",LEFT(C124,2)&lt;&gt;"Va",G124&lt;&gt;"H. Sale Real"),IF(G129-G124&lt;0.208333333333333,G129-G124,""),""))))),""),"")</f>
        <v/>
      </c>
      <c r="U128" s="87" t="n"/>
      <c r="V128" s="89" t="n"/>
      <c r="W128" s="87" t="n"/>
      <c r="X128" s="89" t="n"/>
      <c r="Y128" s="91" t="n"/>
      <c r="Z128" s="122">
        <f>IF(G128&lt;&gt;"",IF(AND(Z127&lt;&gt;"IE",P128&lt;&gt;0,R128&lt;&gt;""),IF(IFERROR((P128/R128),0) &lt;=1,IFERROR(P128/R128,""),1),""),"")</f>
        <v/>
      </c>
      <c r="AA128" s="93" t="n"/>
      <c r="AB128" s="2" t="n"/>
      <c r="AE128" s="10">
        <f>HOUR(AK128)+1</f>
        <v/>
      </c>
      <c r="AF128" s="7" t="n"/>
      <c r="AG128" s="7" t="n"/>
      <c r="AH128" s="86" t="n"/>
      <c r="AI128" s="8" t="n"/>
      <c r="AJ128" s="86" t="n"/>
      <c r="AK128" s="87" t="n"/>
      <c r="AL128" s="88">
        <f>IF(AM128="","",IF(AND((AM128-AK128)&gt;=TIME(0,0,0),(AM128-AK128)&lt;TIME(0,3,0)),"OK",IF(AND((AM128-AK128)&gt;=TIME(0,3,0),(AM128-AK128)&lt;TIME(0,5,0)),"RETRASO DE 3-5 MIN",IF(AND((AM128-AK128)&gt;=TIME(0,5,0),(AM128-AK128)&lt;TIME(0,10,0)),"RETRASO DE 5-10 MIN",IF((AM128-AK128)&gt;=TIME(0,10,0),"RETRASO &gt;10 MIN", IF(AND((AK128-AM128)&gt;=TIME(0,0,0),(AK128-AM128)&lt;TIME(0,3,0)),"OK",IF((AK128-AM128)&gt;=TIME(0,3,0),"ADELANTADO")))))))</f>
        <v/>
      </c>
      <c r="AM128" s="91" t="n"/>
      <c r="AN128" s="89">
        <f>IF(AE128&lt;&gt;"",HLOOKUP(VALUE(TEXT(AK128,"h:mm:ss")),IF($C$6="Laboral",$FZ$4:$GX$227,IF($C$6="Sábado",$FZ$231:$GX$452,$FZ$456:$GX$656)),VLOOKUP($C$4,$HF$2:$HH$99,3,0)+IF(AG$5="Ida",0,1),1),"")</f>
        <v/>
      </c>
      <c r="AO128" s="89">
        <f>IF(AE129&lt;&gt;AE128,AVERAGEIF(AE$9:AE128,AE128,AN$9:AN128),"")</f>
        <v/>
      </c>
      <c r="AP128" s="89">
        <f>IFERROR(IF(AE129&lt;&gt;AE128,AVERAGEIF(AE$9:AE128,AE128,AW$9:AW128),""),"")</f>
        <v/>
      </c>
      <c r="AQ128" s="89">
        <f>IFERROR(IF(AE129&lt;&gt;AE128,AVERAGEIF(AE$9:AE128,AE128,AX$9:AX128),""),"")</f>
        <v/>
      </c>
      <c r="AR128" s="89">
        <f t="array" ref="AR128">IFERROR(IF(AE129&lt;&gt;AE128,_xlfn.STDEV.P(IF(AE$9:AE128=AE128,AX$9:AX128)),""),"")</f>
        <v/>
      </c>
      <c r="AS128" s="89">
        <f t="array" ref="AS128">IFERROR(IF(AE129&lt;&gt;AE128,_xlfn.STDEV.P(IF(AE$9:AE128=AE128,AW$9:AW128)),""),"")</f>
        <v/>
      </c>
      <c r="AT128" s="90">
        <f>IFERROR(IF(AE128&lt;&gt;AE129,MAX((((AQ128*24*60)/2)*(1+POWER((((AR128*24*60) / (AQ128*24*60) )),2))) + ((AQ128*24*60 )*-0.1 + (AO128*0.015)) +1,(((AQ128*24*60)/2)*(1+POWER((((AR128*24*60) / (AQ128*24*60 ))),2)))),""),"")</f>
        <v/>
      </c>
      <c r="AU128" s="90">
        <f>IF(AND(AS128&lt;&gt;"",AP128&lt;&gt;""),IF(AE128&lt;&gt;AE129,((AP128*24*60) / 2 ) * (1 + POWER(((AS128*24*60) / (AP128*24*60)),2)),""),"")</f>
        <v/>
      </c>
      <c r="AV128" s="90">
        <f>IF(AU128&lt;&gt;"",MAX(AT128,AU128),"")</f>
        <v/>
      </c>
      <c r="AW128" s="89">
        <f>IF(AM128&lt;&gt;"H. Sale Real",IF(AND(AM129&lt;&gt;"",LEFT(AG129,2)&lt;&gt;"Va"),IF(AND(AM128&lt;&gt;"",LEFT(AG128,2)&lt;&gt;"Va",AM128&lt;&gt;"H. Sale Real"),IF(AM129-AM128&lt;0.208333333333333,AM129-AM128,""),IF(AND(AM127&lt;&gt;"",LEFT(AG127,2)&lt;&gt;"Va",AM127&lt;&gt;"H. Sale Real"),IF(AM129-AM127&lt;0.208333333333333,AM129-AM127,""),IF(AND(AM126&lt;&gt;"",LEFT(AG126,2)&lt;&gt;"Va",AM126&lt;&gt;"H. Sale Real"),IF(AM129-AM126&lt;0.208333333333333,AM129-AM126,""),IF(AND(AM125&lt;&gt;"",LEFT(AG125,2)&lt;&gt;"Va",AM125&lt;&gt;"H. Sale Real"),IF(AM129-AM125&lt;0.208333333333333,AM129-AM125,""),IF(AND(AM124&lt;&gt;"",LEFT(AG124,2)&lt;&gt;"Va",AM124&lt;&gt;"H. Sale Real"),IF(AM129-AM124&lt;0.208333333333333,AM129-AM124,""),""))))),""),"")</f>
        <v/>
      </c>
      <c r="AX128" s="89">
        <f>IF(AK128&lt;&gt;"H. Sale Real",IF(AND(AK129&lt;&gt;"",LEFT(AG129,2)&lt;&gt;"Va"),IF(AND(AK128&lt;&gt;"",LEFT(AG128,2)&lt;&gt;"Va",AK128&lt;&gt;"H. Sale Real"),IF(AK129-AK128&lt;0.208333333333333,AK129-AK128,""),IF(AND(AK127&lt;&gt;"",LEFT(AG127,2)&lt;&gt;"Va",AK127&lt;&gt;"H. Sale Real"),IF(AK129-AK127&lt;0.208333333333333,AK129-AK127,""),IF(AND(AK126&lt;&gt;"",LEFT(AG126,2)&lt;&gt;"NC",AK126&lt;&gt;"H. Sale Real"),IF(AK129-AK126&lt;0.208333333333333,AK129-AK126,""),IF(AND(AK125&lt;&gt;"",LEFT(AG125,2)&lt;&gt;"Va",AK125&lt;&gt;"H. Sale Real"),IF(AK129-AK125&lt;0.208333333333333,AK129-AK125,""),IF(AND(AK124&lt;&gt;"",LEFT(AG124,2)&lt;&gt;"Va",AK124&lt;&gt;"H. Sale Real"),IF(AK129-AK124&lt;0.208333333333333,AK129-AK124,""),""))))),""),"")</f>
        <v/>
      </c>
      <c r="AY128" s="87" t="n"/>
      <c r="AZ128" s="89" t="n"/>
      <c r="BA128" s="87" t="n"/>
      <c r="BB128" s="89" t="n"/>
      <c r="BC128" s="91" t="n"/>
      <c r="BD128" s="122">
        <f>IF(AK128&lt;&gt;"",IF(AND(BD127&lt;&gt;"IE",AT128&lt;&gt;0,AV128&lt;&gt;""),IF(IFERROR((AT128/AV128),0) &lt;=1,IFERROR(AT128/AV128,""),1),""),"")</f>
        <v/>
      </c>
      <c r="BE128" s="93" t="n"/>
      <c r="BF128" s="105" t="n"/>
      <c r="FC128" t="inlineStr">
        <is>
          <t>Diccionario 1</t>
        </is>
      </c>
      <c r="FD128" s="15" t="n">
        <v>1125</v>
      </c>
      <c r="FE128" s="15" t="inlineStr">
        <is>
          <t>LDYECS314S0043956</t>
        </is>
      </c>
      <c r="FF128" s="15" t="inlineStr">
        <is>
          <t>MDN35025020090</t>
        </is>
      </c>
      <c r="FG128" s="15" t="inlineStr">
        <is>
          <t>Zhong Tong</t>
        </is>
      </c>
      <c r="FH128" s="15" t="inlineStr">
        <is>
          <t>Lck6122evg</t>
        </is>
      </c>
      <c r="FI128" s="15" t="inlineStr">
        <is>
          <t>ZHONGTONG</t>
        </is>
      </c>
      <c r="FJ128" s="15" t="inlineStr">
        <is>
          <t>LCK6122EVG</t>
        </is>
      </c>
      <c r="FK128" s="15" t="n">
        <v>2025</v>
      </c>
      <c r="FL128" s="15" t="inlineStr">
        <is>
          <t>B</t>
        </is>
      </c>
      <c r="FM128" s="15" t="inlineStr">
        <is>
          <t>LOS LIBERTADORES</t>
        </is>
      </c>
      <c r="FN128" s="15" t="inlineStr">
        <is>
          <t>Los Liberadores 6450, Lote 4A</t>
        </is>
      </c>
      <c r="FO128" s="15" t="inlineStr">
        <is>
          <t>Huechuraba</t>
        </is>
      </c>
      <c r="FP128" t="inlineStr">
        <is>
          <t>B</t>
        </is>
      </c>
      <c r="FS128" s="14" t="inlineStr">
        <is>
          <t>3031 / SFWZ-33|</t>
        </is>
      </c>
      <c r="FT128" t="inlineStr">
        <is>
          <t>SFWZ-33|</t>
        </is>
      </c>
      <c r="FU128" t="inlineStr">
        <is>
          <t>SFWZ-33</t>
        </is>
      </c>
      <c r="FV128">
        <f>VLOOKUP(FU128,FD:FL,9,0)</f>
        <v/>
      </c>
      <c r="HA128" s="35" t="n">
        <v>125</v>
      </c>
      <c r="HB128" s="35" t="n">
        <v>122</v>
      </c>
    </row>
    <row r="129" ht="15.5" customHeight="1">
      <c r="A129" s="10">
        <f>HOUR(G129)+1</f>
        <v/>
      </c>
      <c r="B129" s="7" t="n"/>
      <c r="C129" s="7" t="n"/>
      <c r="D129" s="85">
        <f>IFERROR(
IF(AND(OR(Planilla!B129="C",Planilla!B129="c"), VLOOKUP(E129,FD:FP,13,0)="C"), "OK",IF(AND(OR(Planilla!B129="C",Planilla!B129="c"), OR(VLOOKUP(E129,FD:FP,13,0)="B", VLOOKUP(E129,FD:FP,13,0)="A")), "DEFICIT",IF(
AND(OR(Planilla!B129="B", Planilla!B129="BPAL"), VLOOKUP(E129,FD:FP,13,0)="B"), "OK",IF(AND(OR(Planilla!B129="B", Planilla!B129="BPAL"), VLOOKUP(E129,FD:FP,13,0)="A"), "DEFICIT",IF(AND(OR(Planilla!B129="B", Planilla!B129="BPAL"), VLOOKUP(E129,FD:FP,13,0)="C"), "SOBREOFERTA",IF(AND(Planilla!B129="A", VLOOKUP(E129,FD:FP,13,0)="A"), "OK",IF(
AND(Planilla!B129="A", OR(VLOOKUP(E129,FD:FP,13,0)="B", VLOOKUP(E129,FD:FP,13,0)="C")), "SOBREOFERTA",""
))))))),"")</f>
        <v/>
      </c>
      <c r="E129" s="8" t="n"/>
      <c r="F129" s="86" t="n"/>
      <c r="G129" s="87" t="n"/>
      <c r="H129" s="88">
        <f>IF(I129="","",IF(AND((I129-G129)&gt;=TIME(0,0,0),(I129-G129)&lt;TIME(0,3,0)),"OK",IF(AND((I129-G129)&gt;=TIME(0,3,0),(I129-G129)&lt;TIME(0,5,0)),"RETRASO DE 3-5 MIN",IF(AND((I129-G129)&gt;=TIME(0,5,0),(I129-G129)&lt;TIME(0,10,0)),"RETRASO DE 5-10 MIN",IF((I129-G129)&gt;=TIME(0,10,0),"RETRASO &gt;10 MIN", IF(AND((G129-I129)&gt;=TIME(0,0,0),(G129-I129)&lt;TIME(0,3,0)),"OK",IF((G129-I129)&gt;=TIME(0,3,0),"ADELANTADO")))))))</f>
        <v/>
      </c>
      <c r="I129" s="89" t="n"/>
      <c r="J129" s="89">
        <f>IF(A129&lt;&gt;"",HLOOKUP(VALUE(TEXT(G129,"h:mm:ss")),IF($C$6="Laboral",$FZ$4:$GX$227,IF($C$6="Sábado",$FZ$231:$GX$452,$FZ$456:$GX$656)),VLOOKUP($C$4,$HF$2:$HH$99,3,0)+IF(C$5="Ida",0,1),1),"")</f>
        <v/>
      </c>
      <c r="K129" s="89">
        <f>IF(A130&lt;&gt;A129,AVERAGEIF(A$9:A129,A129,J$9:J129),"")</f>
        <v/>
      </c>
      <c r="L129" s="89">
        <f>IFERROR(IF(A130&lt;&gt;A129,AVERAGEIF(A$9:A129,A129,S$9:S129),""),"")</f>
        <v/>
      </c>
      <c r="M129" s="89">
        <f>IFERROR(IF(A130&lt;&gt;A129,AVERAGEIF(A$9:A129,A129,T$9:T129),""),"")</f>
        <v/>
      </c>
      <c r="N129" s="89">
        <f t="array" ref="N129">IFERROR(IF(A130&lt;&gt;A129,_xlfn.STDEV.P(IF(A$9:A129=A129,T$9:T129)),""),"")</f>
        <v/>
      </c>
      <c r="O129" s="89">
        <f t="array" ref="O129">IFERROR(IF(A130&lt;&gt;A129,_xlfn.STDEV.P(IF(A$9:A129=A129,S$9:S129)),""),"")</f>
        <v/>
      </c>
      <c r="P129" s="90">
        <f>IFERROR(IF(A129&lt;&gt;A130,MAX((((M129*24*60)/2)*(1+POWER((((N129*24*60) / (M129*24*60) )),2))) + ((M129*24*60 )*-0.1 + (K129*0.015)) +1,(((M129*24*60)/2)*(1+POWER((((N129*24*60) / (M129*24*60 ))),2)))),""),"")</f>
        <v/>
      </c>
      <c r="Q129" s="90">
        <f>IF(AND(O129&lt;&gt;"",L129&lt;&gt;""),IF(A129&lt;&gt;A130,((L129*24*60) / 2 ) * (1 + POWER(((O129*24*60) / (L129*24*60)),2)),""),"")</f>
        <v/>
      </c>
      <c r="R129" s="90">
        <f>IF(Q129&lt;&gt;"",MAX(P129,Q129),"")</f>
        <v/>
      </c>
      <c r="S129" s="89">
        <f>IF(I129&lt;&gt;"H. Sale Real",IF(AND(I130&lt;&gt;"",LEFT(C130,2)&lt;&gt;"Va"),IF(AND(I129&lt;&gt;"",LEFT(C129,2)&lt;&gt;"Va",I129&lt;&gt;"H. Sale Real"),IF(I130-I129&lt;0.208333333333333,I130-I129,""),IF(AND(I128&lt;&gt;"",LEFT(C128,2)&lt;&gt;"Va",I128&lt;&gt;"H. Sale Real"),IF(I130-I128&lt;0.208333333333333,I130-I128,""),IF(AND(I127&lt;&gt;"",LEFT(C127,2)&lt;&gt;"Va",I127&lt;&gt;"H. Sale Real"),IF(I130-I127&lt;0.208333333333333,I130-I127,""),IF(AND(I126&lt;&gt;"",LEFT(C126,2)&lt;&gt;"Va",I126&lt;&gt;"H. Sale Real"),IF(I130-I126&lt;0.208333333333333,I130-I126,""),IF(AND(I125&lt;&gt;"",LEFT(C125,2)&lt;&gt;"Va",I125&lt;&gt;"H. Sale Real"),IF(I130-I125&lt;0.208333333333333,I130-I125,""),""))))),""),"")</f>
        <v/>
      </c>
      <c r="T129" s="89">
        <f>IF(G129&lt;&gt;"H. Sale Real",IF(AND(G130&lt;&gt;"",LEFT(C130,2)&lt;&gt;"Va"),IF(AND(G129&lt;&gt;"",LEFT(C129,2)&lt;&gt;"Va",G129&lt;&gt;"H. Sale Real"),IF(G130-G129&lt;0.208333333333333,G130-G129,""),IF(AND(G128&lt;&gt;"",LEFT(C128,2)&lt;&gt;"Va",G128&lt;&gt;"H. Sale Real"),IF(G130-G128&lt;0.208333333333333,G130-G128,""),IF(AND(G127&lt;&gt;"",LEFT(C127,2)&lt;&gt;"Va",G127&lt;&gt;"H. Sale Real"),IF(G130-G127&lt;0.208333333333333,G130-G127,""),IF(AND(G126&lt;&gt;"",LEFT(C126,2)&lt;&gt;"Va",G126&lt;&gt;"H. Sale Real"),IF(G130-G126&lt;0.208333333333333,G130-G126,""),IF(AND(G125&lt;&gt;"",LEFT(C125,2)&lt;&gt;"Va",G125&lt;&gt;"H. Sale Real"),IF(G130-G125&lt;0.208333333333333,G130-G125,""),""))))),""),"")</f>
        <v/>
      </c>
      <c r="U129" s="87" t="n"/>
      <c r="V129" s="89" t="n"/>
      <c r="W129" s="87" t="n"/>
      <c r="X129" s="89" t="n"/>
      <c r="Y129" s="91" t="n"/>
      <c r="Z129" s="122">
        <f>IF(G129&lt;&gt;"",IF(AND(Z128&lt;&gt;"IE",P129&lt;&gt;0,R129&lt;&gt;""),IF(IFERROR((P129/R129),0) &lt;=1,IFERROR(P129/R129,""),1),""),"")</f>
        <v/>
      </c>
      <c r="AA129" s="93" t="n"/>
      <c r="AB129" s="2" t="n"/>
      <c r="AE129" s="10">
        <f>HOUR(AK129)+1</f>
        <v/>
      </c>
      <c r="AF129" s="7" t="n"/>
      <c r="AG129" s="7" t="n"/>
      <c r="AH129" s="86" t="n"/>
      <c r="AI129" s="8" t="n"/>
      <c r="AJ129" s="86" t="n"/>
      <c r="AK129" s="87" t="n"/>
      <c r="AL129" s="88">
        <f>IF(AM129="","",IF(AND((AM129-AK129)&gt;=TIME(0,0,0),(AM129-AK129)&lt;TIME(0,3,0)),"OK",IF(AND((AM129-AK129)&gt;=TIME(0,3,0),(AM129-AK129)&lt;TIME(0,5,0)),"RETRASO DE 3-5 MIN",IF(AND((AM129-AK129)&gt;=TIME(0,5,0),(AM129-AK129)&lt;TIME(0,10,0)),"RETRASO DE 5-10 MIN",IF((AM129-AK129)&gt;=TIME(0,10,0),"RETRASO &gt;10 MIN", IF(AND((AK129-AM129)&gt;=TIME(0,0,0),(AK129-AM129)&lt;TIME(0,3,0)),"OK",IF((AK129-AM129)&gt;=TIME(0,3,0),"ADELANTADO")))))))</f>
        <v/>
      </c>
      <c r="AM129" s="91" t="n"/>
      <c r="AN129" s="89">
        <f>IF(AE129&lt;&gt;"",HLOOKUP(VALUE(TEXT(AK129,"h:mm:ss")),IF($C$6="Laboral",$FZ$4:$GX$227,IF($C$6="Sábado",$FZ$231:$GX$452,$FZ$456:$GX$656)),VLOOKUP($C$4,$HF$2:$HH$99,3,0)+IF(AG$5="Ida",0,1),1),"")</f>
        <v/>
      </c>
      <c r="AO129" s="89">
        <f>IF(AE130&lt;&gt;AE129,AVERAGEIF(AE$9:AE129,AE129,AN$9:AN129),"")</f>
        <v/>
      </c>
      <c r="AP129" s="89">
        <f>IFERROR(IF(AE130&lt;&gt;AE129,AVERAGEIF(AE$9:AE129,AE129,AW$9:AW129),""),"")</f>
        <v/>
      </c>
      <c r="AQ129" s="89">
        <f>IFERROR(IF(AE130&lt;&gt;AE129,AVERAGEIF(AE$9:AE129,AE129,AX$9:AX129),""),"")</f>
        <v/>
      </c>
      <c r="AR129" s="89">
        <f t="array" ref="AR129">IFERROR(IF(AE130&lt;&gt;AE129,_xlfn.STDEV.P(IF(AE$9:AE129=AE129,AX$9:AX129)),""),"")</f>
        <v/>
      </c>
      <c r="AS129" s="89">
        <f t="array" ref="AS129">IFERROR(IF(AE130&lt;&gt;AE129,_xlfn.STDEV.P(IF(AE$9:AE129=AE129,AW$9:AW129)),""),"")</f>
        <v/>
      </c>
      <c r="AT129" s="90">
        <f>IFERROR(IF(AE129&lt;&gt;AE130,MAX((((AQ129*24*60)/2)*(1+POWER((((AR129*24*60) / (AQ129*24*60) )),2))) + ((AQ129*24*60 )*-0.1 + (AO129*0.015)) +1,(((AQ129*24*60)/2)*(1+POWER((((AR129*24*60) / (AQ129*24*60 ))),2)))),""),"")</f>
        <v/>
      </c>
      <c r="AU129" s="90">
        <f>IF(AND(AS129&lt;&gt;"",AP129&lt;&gt;""),IF(AE129&lt;&gt;AE130,((AP129*24*60) / 2 ) * (1 + POWER(((AS129*24*60) / (AP129*24*60)),2)),""),"")</f>
        <v/>
      </c>
      <c r="AV129" s="90">
        <f>IF(AU129&lt;&gt;"",MAX(AT129,AU129),"")</f>
        <v/>
      </c>
      <c r="AW129" s="89">
        <f>IF(AM129&lt;&gt;"H. Sale Real",IF(AND(AM130&lt;&gt;"",LEFT(AG130,2)&lt;&gt;"Va"),IF(AND(AM129&lt;&gt;"",LEFT(AG129,2)&lt;&gt;"Va",AM129&lt;&gt;"H. Sale Real"),IF(AM130-AM129&lt;0.208333333333333,AM130-AM129,""),IF(AND(AM128&lt;&gt;"",LEFT(AG128,2)&lt;&gt;"Va",AM128&lt;&gt;"H. Sale Real"),IF(AM130-AM128&lt;0.208333333333333,AM130-AM128,""),IF(AND(AM127&lt;&gt;"",LEFT(AG127,2)&lt;&gt;"Va",AM127&lt;&gt;"H. Sale Real"),IF(AM130-AM127&lt;0.208333333333333,AM130-AM127,""),IF(AND(AM126&lt;&gt;"",LEFT(AG126,2)&lt;&gt;"Va",AM126&lt;&gt;"H. Sale Real"),IF(AM130-AM126&lt;0.208333333333333,AM130-AM126,""),IF(AND(AM125&lt;&gt;"",LEFT(AG125,2)&lt;&gt;"Va",AM125&lt;&gt;"H. Sale Real"),IF(AM130-AM125&lt;0.208333333333333,AM130-AM125,""),""))))),""),"")</f>
        <v/>
      </c>
      <c r="AX129" s="89">
        <f>IF(AK129&lt;&gt;"H. Sale Real",IF(AND(AK130&lt;&gt;"",LEFT(AG130,2)&lt;&gt;"Va"),IF(AND(AK129&lt;&gt;"",LEFT(AG129,2)&lt;&gt;"Va",AK129&lt;&gt;"H. Sale Real"),IF(AK130-AK129&lt;0.208333333333333,AK130-AK129,""),IF(AND(AK128&lt;&gt;"",LEFT(AG128,2)&lt;&gt;"Va",AK128&lt;&gt;"H. Sale Real"),IF(AK130-AK128&lt;0.208333333333333,AK130-AK128,""),IF(AND(AK127&lt;&gt;"",LEFT(AG127,2)&lt;&gt;"NC",AK127&lt;&gt;"H. Sale Real"),IF(AK130-AK127&lt;0.208333333333333,AK130-AK127,""),IF(AND(AK126&lt;&gt;"",LEFT(AG126,2)&lt;&gt;"Va",AK126&lt;&gt;"H. Sale Real"),IF(AK130-AK126&lt;0.208333333333333,AK130-AK126,""),IF(AND(AK125&lt;&gt;"",LEFT(AG125,2)&lt;&gt;"Va",AK125&lt;&gt;"H. Sale Real"),IF(AK130-AK125&lt;0.208333333333333,AK130-AK125,""),""))))),""),"")</f>
        <v/>
      </c>
      <c r="AY129" s="87" t="n"/>
      <c r="AZ129" s="89" t="n"/>
      <c r="BA129" s="87" t="n"/>
      <c r="BB129" s="89" t="n"/>
      <c r="BC129" s="91" t="n"/>
      <c r="BD129" s="122">
        <f>IF(AK129&lt;&gt;"",IF(AND(BD128&lt;&gt;"IE",AT129&lt;&gt;0,AV129&lt;&gt;""),IF(IFERROR((AT129/AV129),0) &lt;=1,IFERROR(AT129/AV129,""),1),""),"")</f>
        <v/>
      </c>
      <c r="BE129" s="93" t="n"/>
      <c r="BF129" s="105" t="n"/>
      <c r="FC129" t="inlineStr">
        <is>
          <t>Diccionario 1</t>
        </is>
      </c>
      <c r="FD129" s="15" t="n">
        <v>1126</v>
      </c>
      <c r="FE129" s="15" t="inlineStr">
        <is>
          <t>LDYECS316S0043957</t>
        </is>
      </c>
      <c r="FF129" s="15" t="inlineStr">
        <is>
          <t>MDN35025020069</t>
        </is>
      </c>
      <c r="FG129" s="15" t="inlineStr">
        <is>
          <t>Zhong Tong</t>
        </is>
      </c>
      <c r="FH129" s="15" t="inlineStr">
        <is>
          <t>Lck6122evg</t>
        </is>
      </c>
      <c r="FI129" s="15" t="inlineStr">
        <is>
          <t>ZHONGTONG</t>
        </is>
      </c>
      <c r="FJ129" s="15" t="inlineStr">
        <is>
          <t>LCK6122EVG</t>
        </is>
      </c>
      <c r="FK129" s="15" t="n">
        <v>2025</v>
      </c>
      <c r="FL129" s="15" t="inlineStr">
        <is>
          <t>B</t>
        </is>
      </c>
      <c r="FM129" s="15" t="inlineStr">
        <is>
          <t>SAN JOSE</t>
        </is>
      </c>
      <c r="FN129" s="15" t="inlineStr">
        <is>
          <t>San José 030 (José Besa 669)</t>
        </is>
      </c>
      <c r="FO129" s="15" t="inlineStr">
        <is>
          <t>San Bernardo</t>
        </is>
      </c>
      <c r="FP129" t="inlineStr">
        <is>
          <t>B</t>
        </is>
      </c>
      <c r="FS129" s="14" t="inlineStr">
        <is>
          <t>3032 / SFWZ-34|</t>
        </is>
      </c>
      <c r="FT129" t="inlineStr">
        <is>
          <t>SFWZ-34|</t>
        </is>
      </c>
      <c r="FU129" t="inlineStr">
        <is>
          <t>SFWZ-34</t>
        </is>
      </c>
      <c r="FV129">
        <f>VLOOKUP(FU129,FD:FL,9,0)</f>
        <v/>
      </c>
      <c r="HA129" s="35" t="n">
        <v>126</v>
      </c>
      <c r="HB129" s="35" t="n">
        <v>123</v>
      </c>
    </row>
    <row r="130" ht="15.5" customHeight="1">
      <c r="A130" s="10">
        <f>HOUR(G130)+1</f>
        <v/>
      </c>
      <c r="B130" s="7" t="n"/>
      <c r="C130" s="7" t="n"/>
      <c r="D130" s="85">
        <f>IFERROR(
IF(AND(OR(Planilla!B130="C",Planilla!B130="c"), VLOOKUP(E130,FD:FP,13,0)="C"), "OK",IF(AND(OR(Planilla!B130="C",Planilla!B130="c"), OR(VLOOKUP(E130,FD:FP,13,0)="B", VLOOKUP(E130,FD:FP,13,0)="A")), "DEFICIT",IF(
AND(OR(Planilla!B130="B", Planilla!B130="BPAL"), VLOOKUP(E130,FD:FP,13,0)="B"), "OK",IF(AND(OR(Planilla!B130="B", Planilla!B130="BPAL"), VLOOKUP(E130,FD:FP,13,0)="A"), "DEFICIT",IF(AND(OR(Planilla!B130="B", Planilla!B130="BPAL"), VLOOKUP(E130,FD:FP,13,0)="C"), "SOBREOFERTA",IF(AND(Planilla!B130="A", VLOOKUP(E130,FD:FP,13,0)="A"), "OK",IF(
AND(Planilla!B130="A", OR(VLOOKUP(E130,FD:FP,13,0)="B", VLOOKUP(E130,FD:FP,13,0)="C")), "SOBREOFERTA",""
))))))),"")</f>
        <v/>
      </c>
      <c r="E130" s="8" t="n"/>
      <c r="F130" s="86" t="n"/>
      <c r="G130" s="87" t="n"/>
      <c r="H130" s="88">
        <f>IF(I130="","",IF(AND((I130-G130)&gt;=TIME(0,0,0),(I130-G130)&lt;TIME(0,3,0)),"OK",IF(AND((I130-G130)&gt;=TIME(0,3,0),(I130-G130)&lt;TIME(0,5,0)),"RETRASO DE 3-5 MIN",IF(AND((I130-G130)&gt;=TIME(0,5,0),(I130-G130)&lt;TIME(0,10,0)),"RETRASO DE 5-10 MIN",IF((I130-G130)&gt;=TIME(0,10,0),"RETRASO &gt;10 MIN", IF(AND((G130-I130)&gt;=TIME(0,0,0),(G130-I130)&lt;TIME(0,3,0)),"OK",IF((G130-I130)&gt;=TIME(0,3,0),"ADELANTADO")))))))</f>
        <v/>
      </c>
      <c r="I130" s="89" t="n"/>
      <c r="J130" s="89">
        <f>IF(A130&lt;&gt;"",HLOOKUP(VALUE(TEXT(G130,"h:mm:ss")),IF($C$6="Laboral",$FZ$4:$GX$227,IF($C$6="Sábado",$FZ$231:$GX$452,$FZ$456:$GX$656)),VLOOKUP($C$4,$HF$2:$HH$99,3,0)+IF(C$5="Ida",0,1),1),"")</f>
        <v/>
      </c>
      <c r="K130" s="89">
        <f>IF(A131&lt;&gt;A130,AVERAGEIF(A$9:A130,A130,J$9:J130),"")</f>
        <v/>
      </c>
      <c r="L130" s="89">
        <f>IFERROR(IF(A131&lt;&gt;A130,AVERAGEIF(A$9:A130,A130,S$9:S130),""),"")</f>
        <v/>
      </c>
      <c r="M130" s="89">
        <f>IFERROR(IF(A131&lt;&gt;A130,AVERAGEIF(A$9:A130,A130,T$9:T130),""),"")</f>
        <v/>
      </c>
      <c r="N130" s="89">
        <f t="array" ref="N130">IFERROR(IF(A131&lt;&gt;A130,_xlfn.STDEV.P(IF(A$9:A130=A130,T$9:T130)),""),"")</f>
        <v/>
      </c>
      <c r="O130" s="89">
        <f t="array" ref="O130">IFERROR(IF(A131&lt;&gt;A130,_xlfn.STDEV.P(IF(A$9:A130=A130,S$9:S130)),""),"")</f>
        <v/>
      </c>
      <c r="P130" s="90">
        <f>IFERROR(IF(A130&lt;&gt;A131,MAX((((M130*24*60)/2)*(1+POWER((((N130*24*60) / (M130*24*60) )),2))) + ((M130*24*60 )*-0.1 + (K130*0.015)) +1,(((M130*24*60)/2)*(1+POWER((((N130*24*60) / (M130*24*60 ))),2)))),""),"")</f>
        <v/>
      </c>
      <c r="Q130" s="90">
        <f>IF(AND(O130&lt;&gt;"",L130&lt;&gt;""),IF(A130&lt;&gt;A131,((L130*24*60) / 2 ) * (1 + POWER(((O130*24*60) / (L130*24*60)),2)),""),"")</f>
        <v/>
      </c>
      <c r="R130" s="90">
        <f>IF(Q130&lt;&gt;"",MAX(P130,Q130),"")</f>
        <v/>
      </c>
      <c r="S130" s="89">
        <f>IF(I130&lt;&gt;"H. Sale Real",IF(AND(I131&lt;&gt;"",LEFT(C131,2)&lt;&gt;"Va"),IF(AND(I130&lt;&gt;"",LEFT(C130,2)&lt;&gt;"Va",I130&lt;&gt;"H. Sale Real"),IF(I131-I130&lt;0.208333333333333,I131-I130,""),IF(AND(I129&lt;&gt;"",LEFT(C129,2)&lt;&gt;"Va",I129&lt;&gt;"H. Sale Real"),IF(I131-I129&lt;0.208333333333333,I131-I129,""),IF(AND(I128&lt;&gt;"",LEFT(C128,2)&lt;&gt;"Va",I128&lt;&gt;"H. Sale Real"),IF(I131-I128&lt;0.208333333333333,I131-I128,""),IF(AND(I127&lt;&gt;"",LEFT(C127,2)&lt;&gt;"Va",I127&lt;&gt;"H. Sale Real"),IF(I131-I127&lt;0.208333333333333,I131-I127,""),IF(AND(I126&lt;&gt;"",LEFT(C126,2)&lt;&gt;"Va",I126&lt;&gt;"H. Sale Real"),IF(I131-I126&lt;0.208333333333333,I131-I126,""),""))))),""),"")</f>
        <v/>
      </c>
      <c r="T130" s="89">
        <f>IF(G130&lt;&gt;"H. Sale Real",IF(AND(G131&lt;&gt;"",LEFT(C131,2)&lt;&gt;"Va"),IF(AND(G130&lt;&gt;"",LEFT(C130,2)&lt;&gt;"Va",G130&lt;&gt;"H. Sale Real"),IF(G131-G130&lt;0.208333333333333,G131-G130,""),IF(AND(G129&lt;&gt;"",LEFT(C129,2)&lt;&gt;"Va",G129&lt;&gt;"H. Sale Real"),IF(G131-G129&lt;0.208333333333333,G131-G129,""),IF(AND(G128&lt;&gt;"",LEFT(C128,2)&lt;&gt;"Va",G128&lt;&gt;"H. Sale Real"),IF(G131-G128&lt;0.208333333333333,G131-G128,""),IF(AND(G127&lt;&gt;"",LEFT(C127,2)&lt;&gt;"Va",G127&lt;&gt;"H. Sale Real"),IF(G131-G127&lt;0.208333333333333,G131-G127,""),IF(AND(G126&lt;&gt;"",LEFT(C126,2)&lt;&gt;"Va",G126&lt;&gt;"H. Sale Real"),IF(G131-G126&lt;0.208333333333333,G131-G126,""),""))))),""),"")</f>
        <v/>
      </c>
      <c r="U130" s="87" t="n"/>
      <c r="V130" s="89" t="n"/>
      <c r="W130" s="87" t="n"/>
      <c r="X130" s="89" t="n"/>
      <c r="Y130" s="91" t="n"/>
      <c r="Z130" s="122">
        <f>IF(G130&lt;&gt;"",IF(AND(Z129&lt;&gt;"IE",P130&lt;&gt;0,R130&lt;&gt;""),IF(IFERROR((P130/R130),0) &lt;=1,IFERROR(P130/R130,""),1),""),"")</f>
        <v/>
      </c>
      <c r="AA130" s="93" t="n"/>
      <c r="AB130" s="2" t="n"/>
      <c r="AE130" s="10">
        <f>HOUR(AK130)+1</f>
        <v/>
      </c>
      <c r="AF130" s="7" t="n"/>
      <c r="AG130" s="7" t="n"/>
      <c r="AH130" s="86" t="n"/>
      <c r="AI130" s="8" t="n"/>
      <c r="AJ130" s="86" t="n"/>
      <c r="AK130" s="87" t="n"/>
      <c r="AL130" s="88">
        <f>IF(AM130="","",IF(AND((AM130-AK130)&gt;=TIME(0,0,0),(AM130-AK130)&lt;TIME(0,3,0)),"OK",IF(AND((AM130-AK130)&gt;=TIME(0,3,0),(AM130-AK130)&lt;TIME(0,5,0)),"RETRASO DE 3-5 MIN",IF(AND((AM130-AK130)&gt;=TIME(0,5,0),(AM130-AK130)&lt;TIME(0,10,0)),"RETRASO DE 5-10 MIN",IF((AM130-AK130)&gt;=TIME(0,10,0),"RETRASO &gt;10 MIN", IF(AND((AK130-AM130)&gt;=TIME(0,0,0),(AK130-AM130)&lt;TIME(0,3,0)),"OK",IF((AK130-AM130)&gt;=TIME(0,3,0),"ADELANTADO")))))))</f>
        <v/>
      </c>
      <c r="AM130" s="91" t="n"/>
      <c r="AN130" s="89">
        <f>IF(AE130&lt;&gt;"",HLOOKUP(VALUE(TEXT(AK130,"h:mm:ss")),IF($C$6="Laboral",$FZ$4:$GX$227,IF($C$6="Sábado",$FZ$231:$GX$452,$FZ$456:$GX$656)),VLOOKUP($C$4,$HF$2:$HH$99,3,0)+IF(AG$5="Ida",0,1),1),"")</f>
        <v/>
      </c>
      <c r="AO130" s="89">
        <f>IF(AE131&lt;&gt;AE130,AVERAGEIF(AE$9:AE130,AE130,AN$9:AN130),"")</f>
        <v/>
      </c>
      <c r="AP130" s="89">
        <f>IFERROR(IF(AE131&lt;&gt;AE130,AVERAGEIF(AE$9:AE130,AE130,AW$9:AW130),""),"")</f>
        <v/>
      </c>
      <c r="AQ130" s="89">
        <f>IFERROR(IF(AE131&lt;&gt;AE130,AVERAGEIF(AE$9:AE130,AE130,AX$9:AX130),""),"")</f>
        <v/>
      </c>
      <c r="AR130" s="89">
        <f t="array" ref="AR130">IFERROR(IF(AE131&lt;&gt;AE130,_xlfn.STDEV.P(IF(AE$9:AE130=AE130,AX$9:AX130)),""),"")</f>
        <v/>
      </c>
      <c r="AS130" s="89">
        <f t="array" ref="AS130">IFERROR(IF(AE131&lt;&gt;AE130,_xlfn.STDEV.P(IF(AE$9:AE130=AE130,AW$9:AW130)),""),"")</f>
        <v/>
      </c>
      <c r="AT130" s="90">
        <f>IFERROR(IF(AE130&lt;&gt;AE131,MAX((((AQ130*24*60)/2)*(1+POWER((((AR130*24*60) / (AQ130*24*60) )),2))) + ((AQ130*24*60 )*-0.1 + (AO130*0.015)) +1,(((AQ130*24*60)/2)*(1+POWER((((AR130*24*60) / (AQ130*24*60 ))),2)))),""),"")</f>
        <v/>
      </c>
      <c r="AU130" s="90">
        <f>IF(AND(AS130&lt;&gt;"",AP130&lt;&gt;""),IF(AE130&lt;&gt;AE131,((AP130*24*60) / 2 ) * (1 + POWER(((AS130*24*60) / (AP130*24*60)),2)),""),"")</f>
        <v/>
      </c>
      <c r="AV130" s="90">
        <f>IF(AU130&lt;&gt;"",MAX(AT130,AU130),"")</f>
        <v/>
      </c>
      <c r="AW130" s="89">
        <f>IF(AM130&lt;&gt;"H. Sale Real",IF(AND(AM131&lt;&gt;"",LEFT(AG131,2)&lt;&gt;"Va"),IF(AND(AM130&lt;&gt;"",LEFT(AG130,2)&lt;&gt;"Va",AM130&lt;&gt;"H. Sale Real"),IF(AM131-AM130&lt;0.208333333333333,AM131-AM130,""),IF(AND(AM129&lt;&gt;"",LEFT(AG129,2)&lt;&gt;"Va",AM129&lt;&gt;"H. Sale Real"),IF(AM131-AM129&lt;0.208333333333333,AM131-AM129,""),IF(AND(AM128&lt;&gt;"",LEFT(AG128,2)&lt;&gt;"Va",AM128&lt;&gt;"H. Sale Real"),IF(AM131-AM128&lt;0.208333333333333,AM131-AM128,""),IF(AND(AM127&lt;&gt;"",LEFT(AG127,2)&lt;&gt;"Va",AM127&lt;&gt;"H. Sale Real"),IF(AM131-AM127&lt;0.208333333333333,AM131-AM127,""),IF(AND(AM126&lt;&gt;"",LEFT(AG126,2)&lt;&gt;"Va",AM126&lt;&gt;"H. Sale Real"),IF(AM131-AM126&lt;0.208333333333333,AM131-AM126,""),""))))),""),"")</f>
        <v/>
      </c>
      <c r="AX130" s="89">
        <f>IF(AK130&lt;&gt;"H. Sale Real",IF(AND(AK131&lt;&gt;"",LEFT(AG131,2)&lt;&gt;"Va"),IF(AND(AK130&lt;&gt;"",LEFT(AG130,2)&lt;&gt;"Va",AK130&lt;&gt;"H. Sale Real"),IF(AK131-AK130&lt;0.208333333333333,AK131-AK130,""),IF(AND(AK129&lt;&gt;"",LEFT(AG129,2)&lt;&gt;"Va",AK129&lt;&gt;"H. Sale Real"),IF(AK131-AK129&lt;0.208333333333333,AK131-AK129,""),IF(AND(AK128&lt;&gt;"",LEFT(AG128,2)&lt;&gt;"NC",AK128&lt;&gt;"H. Sale Real"),IF(AK131-AK128&lt;0.208333333333333,AK131-AK128,""),IF(AND(AK127&lt;&gt;"",LEFT(AG127,2)&lt;&gt;"Va",AK127&lt;&gt;"H. Sale Real"),IF(AK131-AK127&lt;0.208333333333333,AK131-AK127,""),IF(AND(AK126&lt;&gt;"",LEFT(AG126,2)&lt;&gt;"Va",AK126&lt;&gt;"H. Sale Real"),IF(AK131-AK126&lt;0.208333333333333,AK131-AK126,""),""))))),""),"")</f>
        <v/>
      </c>
      <c r="AY130" s="87" t="n"/>
      <c r="AZ130" s="89" t="n"/>
      <c r="BA130" s="87" t="n"/>
      <c r="BB130" s="89" t="n"/>
      <c r="BC130" s="91" t="n"/>
      <c r="BD130" s="122">
        <f>IF(AK130&lt;&gt;"",IF(AND(BD129&lt;&gt;"IE",AT130&lt;&gt;0,AV130&lt;&gt;""),IF(IFERROR((AT130/AV130),0) &lt;=1,IFERROR(AT130/AV130,""),1),""),"")</f>
        <v/>
      </c>
      <c r="BE130" s="93" t="n"/>
      <c r="BF130" s="105" t="n"/>
      <c r="FC130" t="inlineStr">
        <is>
          <t>Diccionario 1</t>
        </is>
      </c>
      <c r="FD130" s="15" t="n">
        <v>1127</v>
      </c>
      <c r="FE130" s="15" t="inlineStr">
        <is>
          <t>LDYECS319S0043953</t>
        </is>
      </c>
      <c r="FF130" s="15" t="inlineStr">
        <is>
          <t>MDN35025020052</t>
        </is>
      </c>
      <c r="FG130" s="15" t="inlineStr">
        <is>
          <t>Zhong Tong</t>
        </is>
      </c>
      <c r="FH130" s="15" t="inlineStr">
        <is>
          <t>Lck6122evg</t>
        </is>
      </c>
      <c r="FI130" s="15" t="inlineStr">
        <is>
          <t>ZHONGTONG</t>
        </is>
      </c>
      <c r="FJ130" s="15" t="inlineStr">
        <is>
          <t>LCK6122EVG</t>
        </is>
      </c>
      <c r="FK130" s="15" t="n">
        <v>2025</v>
      </c>
      <c r="FL130" s="15" t="inlineStr">
        <is>
          <t>B</t>
        </is>
      </c>
      <c r="FM130" s="15" t="inlineStr">
        <is>
          <t>SAN JOSE</t>
        </is>
      </c>
      <c r="FN130" s="15" t="inlineStr">
        <is>
          <t>San José 030 (José Besa 669)</t>
        </is>
      </c>
      <c r="FO130" s="15" t="inlineStr">
        <is>
          <t>San Bernardo</t>
        </is>
      </c>
      <c r="FP130" t="inlineStr">
        <is>
          <t>B</t>
        </is>
      </c>
      <c r="FS130" s="14" t="inlineStr">
        <is>
          <t>3032 / SFWZ-34|</t>
        </is>
      </c>
      <c r="FT130" t="inlineStr">
        <is>
          <t>SFWZ-34|</t>
        </is>
      </c>
      <c r="FU130" t="inlineStr">
        <is>
          <t>SFWZ-34</t>
        </is>
      </c>
      <c r="FV130">
        <f>VLOOKUP(FU130,FD:FL,9,0)</f>
        <v/>
      </c>
      <c r="HA130" s="35" t="n">
        <v>127</v>
      </c>
      <c r="HB130" s="35" t="n">
        <v>124</v>
      </c>
    </row>
    <row r="131" ht="15.5" customHeight="1">
      <c r="A131" s="10">
        <f>HOUR(G131)+1</f>
        <v/>
      </c>
      <c r="B131" s="7" t="n"/>
      <c r="C131" s="7" t="n"/>
      <c r="D131" s="85">
        <f>IFERROR(
IF(AND(OR(Planilla!B131="C",Planilla!B131="c"), VLOOKUP(E131,FD:FP,13,0)="C"), "OK",IF(AND(OR(Planilla!B131="C",Planilla!B131="c"), OR(VLOOKUP(E131,FD:FP,13,0)="B", VLOOKUP(E131,FD:FP,13,0)="A")), "DEFICIT",IF(
AND(OR(Planilla!B131="B", Planilla!B131="BPAL"), VLOOKUP(E131,FD:FP,13,0)="B"), "OK",IF(AND(OR(Planilla!B131="B", Planilla!B131="BPAL"), VLOOKUP(E131,FD:FP,13,0)="A"), "DEFICIT",IF(AND(OR(Planilla!B131="B", Planilla!B131="BPAL"), VLOOKUP(E131,FD:FP,13,0)="C"), "SOBREOFERTA",IF(AND(Planilla!B131="A", VLOOKUP(E131,FD:FP,13,0)="A"), "OK",IF(
AND(Planilla!B131="A", OR(VLOOKUP(E131,FD:FP,13,0)="B", VLOOKUP(E131,FD:FP,13,0)="C")), "SOBREOFERTA",""
))))))),"")</f>
        <v/>
      </c>
      <c r="E131" s="8" t="n"/>
      <c r="F131" s="86" t="n"/>
      <c r="G131" s="87" t="n"/>
      <c r="H131" s="88">
        <f>IF(I131="","",IF(AND((I131-G131)&gt;=TIME(0,0,0),(I131-G131)&lt;TIME(0,3,0)),"OK",IF(AND((I131-G131)&gt;=TIME(0,3,0),(I131-G131)&lt;TIME(0,5,0)),"RETRASO DE 3-5 MIN",IF(AND((I131-G131)&gt;=TIME(0,5,0),(I131-G131)&lt;TIME(0,10,0)),"RETRASO DE 5-10 MIN",IF((I131-G131)&gt;=TIME(0,10,0),"RETRASO &gt;10 MIN", IF(AND((G131-I131)&gt;=TIME(0,0,0),(G131-I131)&lt;TIME(0,3,0)),"OK",IF((G131-I131)&gt;=TIME(0,3,0),"ADELANTADO")))))))</f>
        <v/>
      </c>
      <c r="I131" s="89" t="n"/>
      <c r="J131" s="89">
        <f>IF(A131&lt;&gt;"",HLOOKUP(VALUE(TEXT(G131,"h:mm:ss")),IF($C$6="Laboral",$FZ$4:$GX$227,IF($C$6="Sábado",$FZ$231:$GX$452,$FZ$456:$GX$656)),VLOOKUP($C$4,$HF$2:$HH$99,3,0)+IF(C$5="Ida",0,1),1),"")</f>
        <v/>
      </c>
      <c r="K131" s="89">
        <f>IF(A132&lt;&gt;A131,AVERAGEIF(A$9:A131,A131,J$9:J131),"")</f>
        <v/>
      </c>
      <c r="L131" s="89">
        <f>IFERROR(IF(A132&lt;&gt;A131,AVERAGEIF(A$9:A131,A131,S$9:S131),""),"")</f>
        <v/>
      </c>
      <c r="M131" s="89">
        <f>IFERROR(IF(A132&lt;&gt;A131,AVERAGEIF(A$9:A131,A131,T$9:T131),""),"")</f>
        <v/>
      </c>
      <c r="N131" s="89">
        <f t="array" ref="N131">IFERROR(IF(A132&lt;&gt;A131,_xlfn.STDEV.P(IF(A$9:A131=A131,T$9:T131)),""),"")</f>
        <v/>
      </c>
      <c r="O131" s="89">
        <f t="array" ref="O131">IFERROR(IF(A132&lt;&gt;A131,_xlfn.STDEV.P(IF(A$9:A131=A131,S$9:S131)),""),"")</f>
        <v/>
      </c>
      <c r="P131" s="90">
        <f>IFERROR(IF(A131&lt;&gt;A132,MAX((((M131*24*60)/2)*(1+POWER((((N131*24*60) / (M131*24*60) )),2))) + ((M131*24*60 )*-0.1 + (K131*0.015)) +1,(((M131*24*60)/2)*(1+POWER((((N131*24*60) / (M131*24*60 ))),2)))),""),"")</f>
        <v/>
      </c>
      <c r="Q131" s="90">
        <f>IF(AND(O131&lt;&gt;"",L131&lt;&gt;""),IF(A131&lt;&gt;A132,((L131*24*60) / 2 ) * (1 + POWER(((O131*24*60) / (L131*24*60)),2)),""),"")</f>
        <v/>
      </c>
      <c r="R131" s="90">
        <f>IF(Q131&lt;&gt;"",MAX(P131,Q131),"")</f>
        <v/>
      </c>
      <c r="S131" s="89">
        <f>IF(I131&lt;&gt;"H. Sale Real",IF(AND(I132&lt;&gt;"",LEFT(C132,2)&lt;&gt;"Va"),IF(AND(I131&lt;&gt;"",LEFT(C131,2)&lt;&gt;"Va",I131&lt;&gt;"H. Sale Real"),IF(I132-I131&lt;0.208333333333333,I132-I131,""),IF(AND(I130&lt;&gt;"",LEFT(C130,2)&lt;&gt;"Va",I130&lt;&gt;"H. Sale Real"),IF(I132-I130&lt;0.208333333333333,I132-I130,""),IF(AND(I129&lt;&gt;"",LEFT(C129,2)&lt;&gt;"Va",I129&lt;&gt;"H. Sale Real"),IF(I132-I129&lt;0.208333333333333,I132-I129,""),IF(AND(I128&lt;&gt;"",LEFT(C128,2)&lt;&gt;"Va",I128&lt;&gt;"H. Sale Real"),IF(I132-I128&lt;0.208333333333333,I132-I128,""),IF(AND(I127&lt;&gt;"",LEFT(C127,2)&lt;&gt;"Va",I127&lt;&gt;"H. Sale Real"),IF(I132-I127&lt;0.208333333333333,I132-I127,""),""))))),""),"")</f>
        <v/>
      </c>
      <c r="T131" s="89">
        <f>IF(G131&lt;&gt;"H. Sale Real",IF(AND(G132&lt;&gt;"",LEFT(C132,2)&lt;&gt;"Va"),IF(AND(G131&lt;&gt;"",LEFT(C131,2)&lt;&gt;"Va",G131&lt;&gt;"H. Sale Real"),IF(G132-G131&lt;0.208333333333333,G132-G131,""),IF(AND(G130&lt;&gt;"",LEFT(C130,2)&lt;&gt;"Va",G130&lt;&gt;"H. Sale Real"),IF(G132-G130&lt;0.208333333333333,G132-G130,""),IF(AND(G129&lt;&gt;"",LEFT(C129,2)&lt;&gt;"Va",G129&lt;&gt;"H. Sale Real"),IF(G132-G129&lt;0.208333333333333,G132-G129,""),IF(AND(G128&lt;&gt;"",LEFT(C128,2)&lt;&gt;"Va",G128&lt;&gt;"H. Sale Real"),IF(G132-G128&lt;0.208333333333333,G132-G128,""),IF(AND(G127&lt;&gt;"",LEFT(C127,2)&lt;&gt;"Va",G127&lt;&gt;"H. Sale Real"),IF(G132-G127&lt;0.208333333333333,G132-G127,""),""))))),""),"")</f>
        <v/>
      </c>
      <c r="U131" s="87" t="n"/>
      <c r="V131" s="89" t="n"/>
      <c r="W131" s="87" t="n"/>
      <c r="X131" s="89" t="n"/>
      <c r="Y131" s="91" t="n"/>
      <c r="Z131" s="122">
        <f>IF(G131&lt;&gt;"",IF(AND(Z130&lt;&gt;"IE",P131&lt;&gt;0,R131&lt;&gt;""),IF(IFERROR((P131/R131),0) &lt;=1,IFERROR(P131/R131,""),1),""),"")</f>
        <v/>
      </c>
      <c r="AA131" s="93" t="n"/>
      <c r="AB131" s="2" t="n"/>
      <c r="AE131" s="10">
        <f>HOUR(AK131)+1</f>
        <v/>
      </c>
      <c r="AF131" s="7" t="n"/>
      <c r="AG131" s="7" t="n"/>
      <c r="AH131" s="86" t="n"/>
      <c r="AI131" s="8" t="n"/>
      <c r="AJ131" s="86" t="n"/>
      <c r="AK131" s="87" t="n"/>
      <c r="AL131" s="88">
        <f>IF(AM131="","",IF(AND((AM131-AK131)&gt;=TIME(0,0,0),(AM131-AK131)&lt;TIME(0,3,0)),"OK",IF(AND((AM131-AK131)&gt;=TIME(0,3,0),(AM131-AK131)&lt;TIME(0,5,0)),"RETRASO DE 3-5 MIN",IF(AND((AM131-AK131)&gt;=TIME(0,5,0),(AM131-AK131)&lt;TIME(0,10,0)),"RETRASO DE 5-10 MIN",IF((AM131-AK131)&gt;=TIME(0,10,0),"RETRASO &gt;10 MIN", IF(AND((AK131-AM131)&gt;=TIME(0,0,0),(AK131-AM131)&lt;TIME(0,3,0)),"OK",IF((AK131-AM131)&gt;=TIME(0,3,0),"ADELANTADO")))))))</f>
        <v/>
      </c>
      <c r="AM131" s="91" t="n"/>
      <c r="AN131" s="89">
        <f>IF(AE131&lt;&gt;"",HLOOKUP(VALUE(TEXT(AK131,"h:mm:ss")),IF($C$6="Laboral",$FZ$4:$GX$227,IF($C$6="Sábado",$FZ$231:$GX$452,$FZ$456:$GX$656)),VLOOKUP($C$4,$HF$2:$HH$99,3,0)+IF(AG$5="Ida",0,1),1),"")</f>
        <v/>
      </c>
      <c r="AO131" s="89">
        <f>IF(AE132&lt;&gt;AE131,AVERAGEIF(AE$9:AE131,AE131,AN$9:AN131),"")</f>
        <v/>
      </c>
      <c r="AP131" s="89">
        <f>IFERROR(IF(AE132&lt;&gt;AE131,AVERAGEIF(AE$9:AE131,AE131,AW$9:AW131),""),"")</f>
        <v/>
      </c>
      <c r="AQ131" s="89">
        <f>IFERROR(IF(AE132&lt;&gt;AE131,AVERAGEIF(AE$9:AE131,AE131,AX$9:AX131),""),"")</f>
        <v/>
      </c>
      <c r="AR131" s="89">
        <f t="array" ref="AR131">IFERROR(IF(AE132&lt;&gt;AE131,_xlfn.STDEV.P(IF(AE$9:AE131=AE131,AX$9:AX131)),""),"")</f>
        <v/>
      </c>
      <c r="AS131" s="89">
        <f t="array" ref="AS131">IFERROR(IF(AE132&lt;&gt;AE131,_xlfn.STDEV.P(IF(AE$9:AE131=AE131,AW$9:AW131)),""),"")</f>
        <v/>
      </c>
      <c r="AT131" s="90">
        <f>IFERROR(IF(AE131&lt;&gt;AE132,MAX((((AQ131*24*60)/2)*(1+POWER((((AR131*24*60) / (AQ131*24*60) )),2))) + ((AQ131*24*60 )*-0.1 + (AO131*0.015)) +1,(((AQ131*24*60)/2)*(1+POWER((((AR131*24*60) / (AQ131*24*60 ))),2)))),""),"")</f>
        <v/>
      </c>
      <c r="AU131" s="90">
        <f>IF(AND(AS131&lt;&gt;"",AP131&lt;&gt;""),IF(AE131&lt;&gt;AE132,((AP131*24*60) / 2 ) * (1 + POWER(((AS131*24*60) / (AP131*24*60)),2)),""),"")</f>
        <v/>
      </c>
      <c r="AV131" s="90">
        <f>IF(AU131&lt;&gt;"",MAX(AT131,AU131),"")</f>
        <v/>
      </c>
      <c r="AW131" s="89">
        <f>IF(AM131&lt;&gt;"H. Sale Real",IF(AND(AM132&lt;&gt;"",LEFT(AG132,2)&lt;&gt;"Va"),IF(AND(AM131&lt;&gt;"",LEFT(AG131,2)&lt;&gt;"Va",AM131&lt;&gt;"H. Sale Real"),IF(AM132-AM131&lt;0.208333333333333,AM132-AM131,""),IF(AND(AM130&lt;&gt;"",LEFT(AG130,2)&lt;&gt;"Va",AM130&lt;&gt;"H. Sale Real"),IF(AM132-AM130&lt;0.208333333333333,AM132-AM130,""),IF(AND(AM129&lt;&gt;"",LEFT(AG129,2)&lt;&gt;"Va",AM129&lt;&gt;"H. Sale Real"),IF(AM132-AM129&lt;0.208333333333333,AM132-AM129,""),IF(AND(AM128&lt;&gt;"",LEFT(AG128,2)&lt;&gt;"Va",AM128&lt;&gt;"H. Sale Real"),IF(AM132-AM128&lt;0.208333333333333,AM132-AM128,""),IF(AND(AM127&lt;&gt;"",LEFT(AG127,2)&lt;&gt;"Va",AM127&lt;&gt;"H. Sale Real"),IF(AM132-AM127&lt;0.208333333333333,AM132-AM127,""),""))))),""),"")</f>
        <v/>
      </c>
      <c r="AX131" s="89">
        <f>IF(AK131&lt;&gt;"H. Sale Real",IF(AND(AK132&lt;&gt;"",LEFT(AG132,2)&lt;&gt;"Va"),IF(AND(AK131&lt;&gt;"",LEFT(AG131,2)&lt;&gt;"Va",AK131&lt;&gt;"H. Sale Real"),IF(AK132-AK131&lt;0.208333333333333,AK132-AK131,""),IF(AND(AK130&lt;&gt;"",LEFT(AG130,2)&lt;&gt;"Va",AK130&lt;&gt;"H. Sale Real"),IF(AK132-AK130&lt;0.208333333333333,AK132-AK130,""),IF(AND(AK129&lt;&gt;"",LEFT(AG129,2)&lt;&gt;"NC",AK129&lt;&gt;"H. Sale Real"),IF(AK132-AK129&lt;0.208333333333333,AK132-AK129,""),IF(AND(AK128&lt;&gt;"",LEFT(AG128,2)&lt;&gt;"Va",AK128&lt;&gt;"H. Sale Real"),IF(AK132-AK128&lt;0.208333333333333,AK132-AK128,""),IF(AND(AK127&lt;&gt;"",LEFT(AG127,2)&lt;&gt;"Va",AK127&lt;&gt;"H. Sale Real"),IF(AK132-AK127&lt;0.208333333333333,AK132-AK127,""),""))))),""),"")</f>
        <v/>
      </c>
      <c r="AY131" s="87" t="n"/>
      <c r="AZ131" s="89" t="n"/>
      <c r="BA131" s="87" t="n"/>
      <c r="BB131" s="89" t="n"/>
      <c r="BC131" s="91" t="n"/>
      <c r="BD131" s="122">
        <f>IF(AK131&lt;&gt;"",IF(AND(BD130&lt;&gt;"IE",AT131&lt;&gt;0,AV131&lt;&gt;""),IF(IFERROR((AT131/AV131),0) &lt;=1,IFERROR(AT131/AV131,""),1),""),"")</f>
        <v/>
      </c>
      <c r="BE131" s="93" t="n"/>
      <c r="BF131" s="105" t="n"/>
      <c r="FC131" t="inlineStr">
        <is>
          <t>Diccionario 1</t>
        </is>
      </c>
      <c r="FD131" s="15" t="n">
        <v>1128</v>
      </c>
      <c r="FE131" s="15" t="inlineStr">
        <is>
          <t>LDYECS310S0043954</t>
        </is>
      </c>
      <c r="FF131" s="15" t="inlineStr">
        <is>
          <t>MDN35025020088</t>
        </is>
      </c>
      <c r="FG131" s="15" t="inlineStr">
        <is>
          <t>Zhong Tong</t>
        </is>
      </c>
      <c r="FH131" s="15" t="inlineStr">
        <is>
          <t>Lck6122evg</t>
        </is>
      </c>
      <c r="FI131" s="15" t="inlineStr">
        <is>
          <t>ZHONGTONG</t>
        </is>
      </c>
      <c r="FJ131" s="15" t="inlineStr">
        <is>
          <t>LCK6122EVG</t>
        </is>
      </c>
      <c r="FK131" s="15" t="n">
        <v>2025</v>
      </c>
      <c r="FL131" s="15" t="inlineStr">
        <is>
          <t>B</t>
        </is>
      </c>
      <c r="FM131" s="15" t="inlineStr">
        <is>
          <t>SAN JOSE</t>
        </is>
      </c>
      <c r="FN131" s="15" t="inlineStr">
        <is>
          <t>San José 030 (José Besa 669)</t>
        </is>
      </c>
      <c r="FO131" s="15" t="inlineStr">
        <is>
          <t>San Bernardo</t>
        </is>
      </c>
      <c r="FP131" t="inlineStr">
        <is>
          <t>B</t>
        </is>
      </c>
      <c r="FS131" s="14" t="inlineStr">
        <is>
          <t>3032 / SFWZ-34|</t>
        </is>
      </c>
      <c r="FT131" t="inlineStr">
        <is>
          <t>SFWZ-34|</t>
        </is>
      </c>
      <c r="FU131" t="inlineStr">
        <is>
          <t>SFWZ-34</t>
        </is>
      </c>
      <c r="FV131">
        <f>VLOOKUP(FU131,FD:FL,9,0)</f>
        <v/>
      </c>
      <c r="HA131" s="35" t="n">
        <v>128</v>
      </c>
      <c r="HB131" s="35" t="n">
        <v>125</v>
      </c>
    </row>
    <row r="132" ht="15.5" customHeight="1">
      <c r="A132" s="10">
        <f>HOUR(G132)+1</f>
        <v/>
      </c>
      <c r="B132" s="7" t="n"/>
      <c r="C132" s="7" t="n"/>
      <c r="D132" s="85">
        <f>IFERROR(
IF(AND(OR(Planilla!B132="C",Planilla!B132="c"), VLOOKUP(E132,FD:FP,13,0)="C"), "OK",IF(AND(OR(Planilla!B132="C",Planilla!B132="c"), OR(VLOOKUP(E132,FD:FP,13,0)="B", VLOOKUP(E132,FD:FP,13,0)="A")), "DEFICIT",IF(
AND(OR(Planilla!B132="B", Planilla!B132="BPAL"), VLOOKUP(E132,FD:FP,13,0)="B"), "OK",IF(AND(OR(Planilla!B132="B", Planilla!B132="BPAL"), VLOOKUP(E132,FD:FP,13,0)="A"), "DEFICIT",IF(AND(OR(Planilla!B132="B", Planilla!B132="BPAL"), VLOOKUP(E132,FD:FP,13,0)="C"), "SOBREOFERTA",IF(AND(Planilla!B132="A", VLOOKUP(E132,FD:FP,13,0)="A"), "OK",IF(
AND(Planilla!B132="A", OR(VLOOKUP(E132,FD:FP,13,0)="B", VLOOKUP(E132,FD:FP,13,0)="C")), "SOBREOFERTA",""
))))))),"")</f>
        <v/>
      </c>
      <c r="E132" s="8" t="n"/>
      <c r="F132" s="86" t="n"/>
      <c r="G132" s="87" t="n"/>
      <c r="H132" s="88">
        <f>IF(I132="","",IF(AND((I132-G132)&gt;=TIME(0,0,0),(I132-G132)&lt;TIME(0,3,0)),"OK",IF(AND((I132-G132)&gt;=TIME(0,3,0),(I132-G132)&lt;TIME(0,5,0)),"RETRASO DE 3-5 MIN",IF(AND((I132-G132)&gt;=TIME(0,5,0),(I132-G132)&lt;TIME(0,10,0)),"RETRASO DE 5-10 MIN",IF((I132-G132)&gt;=TIME(0,10,0),"RETRASO &gt;10 MIN", IF(AND((G132-I132)&gt;=TIME(0,0,0),(G132-I132)&lt;TIME(0,3,0)),"OK",IF((G132-I132)&gt;=TIME(0,3,0),"ADELANTADO")))))))</f>
        <v/>
      </c>
      <c r="I132" s="89" t="n"/>
      <c r="J132" s="89">
        <f>IF(A132&lt;&gt;"",HLOOKUP(VALUE(TEXT(G132,"h:mm:ss")),IF($C$6="Laboral",$FZ$4:$GX$227,IF($C$6="Sábado",$FZ$231:$GX$452,$FZ$456:$GX$656)),VLOOKUP($C$4,$HF$2:$HH$99,3,0)+IF(C$5="Ida",0,1),1),"")</f>
        <v/>
      </c>
      <c r="K132" s="89">
        <f>IF(A133&lt;&gt;A132,AVERAGEIF(A$9:A132,A132,J$9:J132),"")</f>
        <v/>
      </c>
      <c r="L132" s="89">
        <f>IFERROR(IF(A133&lt;&gt;A132,AVERAGEIF(A$9:A132,A132,S$9:S132),""),"")</f>
        <v/>
      </c>
      <c r="M132" s="89">
        <f>IFERROR(IF(A133&lt;&gt;A132,AVERAGEIF(A$9:A132,A132,T$9:T132),""),"")</f>
        <v/>
      </c>
      <c r="N132" s="89">
        <f t="array" ref="N132">IFERROR(IF(A133&lt;&gt;A132,_xlfn.STDEV.P(IF(A$9:A132=A132,T$9:T132)),""),"")</f>
        <v/>
      </c>
      <c r="O132" s="89">
        <f t="array" ref="O132">IFERROR(IF(A133&lt;&gt;A132,_xlfn.STDEV.P(IF(A$9:A132=A132,S$9:S132)),""),"")</f>
        <v/>
      </c>
      <c r="P132" s="90">
        <f>IFERROR(IF(A132&lt;&gt;A133,MAX((((M132*24*60)/2)*(1+POWER((((N132*24*60) / (M132*24*60) )),2))) + ((M132*24*60 )*-0.1 + (K132*0.015)) +1,(((M132*24*60)/2)*(1+POWER((((N132*24*60) / (M132*24*60 ))),2)))),""),"")</f>
        <v/>
      </c>
      <c r="Q132" s="90">
        <f>IF(AND(O132&lt;&gt;"",L132&lt;&gt;""),IF(A132&lt;&gt;A133,((L132*24*60) / 2 ) * (1 + POWER(((O132*24*60) / (L132*24*60)),2)),""),"")</f>
        <v/>
      </c>
      <c r="R132" s="90">
        <f>IF(Q132&lt;&gt;"",MAX(P132,Q132),"")</f>
        <v/>
      </c>
      <c r="S132" s="89">
        <f>IF(I132&lt;&gt;"H. Sale Real",IF(AND(I133&lt;&gt;"",LEFT(C133,2)&lt;&gt;"Va"),IF(AND(I132&lt;&gt;"",LEFT(C132,2)&lt;&gt;"Va",I132&lt;&gt;"H. Sale Real"),IF(I133-I132&lt;0.208333333333333,I133-I132,""),IF(AND(I131&lt;&gt;"",LEFT(C131,2)&lt;&gt;"Va",I131&lt;&gt;"H. Sale Real"),IF(I133-I131&lt;0.208333333333333,I133-I131,""),IF(AND(I130&lt;&gt;"",LEFT(C130,2)&lt;&gt;"Va",I130&lt;&gt;"H. Sale Real"),IF(I133-I130&lt;0.208333333333333,I133-I130,""),IF(AND(I129&lt;&gt;"",LEFT(C129,2)&lt;&gt;"Va",I129&lt;&gt;"H. Sale Real"),IF(I133-I129&lt;0.208333333333333,I133-I129,""),IF(AND(I128&lt;&gt;"",LEFT(C128,2)&lt;&gt;"Va",I128&lt;&gt;"H. Sale Real"),IF(I133-I128&lt;0.208333333333333,I133-I128,""),""))))),""),"")</f>
        <v/>
      </c>
      <c r="T132" s="89">
        <f>IF(G132&lt;&gt;"H. Sale Real",IF(AND(G133&lt;&gt;"",LEFT(C133,2)&lt;&gt;"Va"),IF(AND(G132&lt;&gt;"",LEFT(C132,2)&lt;&gt;"Va",G132&lt;&gt;"H. Sale Real"),IF(G133-G132&lt;0.208333333333333,G133-G132,""),IF(AND(G131&lt;&gt;"",LEFT(C131,2)&lt;&gt;"Va",G131&lt;&gt;"H. Sale Real"),IF(G133-G131&lt;0.208333333333333,G133-G131,""),IF(AND(G130&lt;&gt;"",LEFT(C130,2)&lt;&gt;"Va",G130&lt;&gt;"H. Sale Real"),IF(G133-G130&lt;0.208333333333333,G133-G130,""),IF(AND(G129&lt;&gt;"",LEFT(C129,2)&lt;&gt;"Va",G129&lt;&gt;"H. Sale Real"),IF(G133-G129&lt;0.208333333333333,G133-G129,""),IF(AND(G128&lt;&gt;"",LEFT(C128,2)&lt;&gt;"Va",G128&lt;&gt;"H. Sale Real"),IF(G133-G128&lt;0.208333333333333,G133-G128,""),""))))),""),"")</f>
        <v/>
      </c>
      <c r="U132" s="87" t="n"/>
      <c r="V132" s="89" t="n"/>
      <c r="W132" s="87" t="n"/>
      <c r="X132" s="89" t="n"/>
      <c r="Y132" s="91" t="n"/>
      <c r="Z132" s="122">
        <f>IF(G132&lt;&gt;"",IF(AND(Z131&lt;&gt;"IE",P132&lt;&gt;0,R132&lt;&gt;""),IF(IFERROR((P132/R132),0) &lt;=1,IFERROR(P132/R132,""),1),""),"")</f>
        <v/>
      </c>
      <c r="AA132" s="93" t="n"/>
      <c r="AB132" s="2" t="n"/>
      <c r="AE132" s="10">
        <f>HOUR(AK132)+1</f>
        <v/>
      </c>
      <c r="AF132" s="7" t="n"/>
      <c r="AG132" s="7" t="n"/>
      <c r="AH132" s="86" t="n"/>
      <c r="AI132" s="8" t="n"/>
      <c r="AJ132" s="86" t="n"/>
      <c r="AK132" s="87" t="n"/>
      <c r="AL132" s="88">
        <f>IF(AM132="","",IF(AND((AM132-AK132)&gt;=TIME(0,0,0),(AM132-AK132)&lt;TIME(0,3,0)),"OK",IF(AND((AM132-AK132)&gt;=TIME(0,3,0),(AM132-AK132)&lt;TIME(0,5,0)),"RETRASO DE 3-5 MIN",IF(AND((AM132-AK132)&gt;=TIME(0,5,0),(AM132-AK132)&lt;TIME(0,10,0)),"RETRASO DE 5-10 MIN",IF((AM132-AK132)&gt;=TIME(0,10,0),"RETRASO &gt;10 MIN", IF(AND((AK132-AM132)&gt;=TIME(0,0,0),(AK132-AM132)&lt;TIME(0,3,0)),"OK",IF((AK132-AM132)&gt;=TIME(0,3,0),"ADELANTADO")))))))</f>
        <v/>
      </c>
      <c r="AM132" s="91" t="n"/>
      <c r="AN132" s="89">
        <f>IF(AE132&lt;&gt;"",HLOOKUP(VALUE(TEXT(AK132,"h:mm:ss")),IF($C$6="Laboral",$FZ$4:$GX$227,IF($C$6="Sábado",$FZ$231:$GX$452,$FZ$456:$GX$656)),VLOOKUP($C$4,$HF$2:$HH$99,3,0)+IF(AG$5="Ida",0,1),1),"")</f>
        <v/>
      </c>
      <c r="AO132" s="89">
        <f>IF(AE133&lt;&gt;AE132,AVERAGEIF(AE$9:AE132,AE132,AN$9:AN132),"")</f>
        <v/>
      </c>
      <c r="AP132" s="89">
        <f>IFERROR(IF(AE133&lt;&gt;AE132,AVERAGEIF(AE$9:AE132,AE132,AW$9:AW132),""),"")</f>
        <v/>
      </c>
      <c r="AQ132" s="89">
        <f>IFERROR(IF(AE133&lt;&gt;AE132,AVERAGEIF(AE$9:AE132,AE132,AX$9:AX132),""),"")</f>
        <v/>
      </c>
      <c r="AR132" s="89">
        <f t="array" ref="AR132">IFERROR(IF(AE133&lt;&gt;AE132,_xlfn.STDEV.P(IF(AE$9:AE132=AE132,AX$9:AX132)),""),"")</f>
        <v/>
      </c>
      <c r="AS132" s="89">
        <f t="array" ref="AS132">IFERROR(IF(AE133&lt;&gt;AE132,_xlfn.STDEV.P(IF(AE$9:AE132=AE132,AW$9:AW132)),""),"")</f>
        <v/>
      </c>
      <c r="AT132" s="90">
        <f>IFERROR(IF(AE132&lt;&gt;AE133,MAX((((AQ132*24*60)/2)*(1+POWER((((AR132*24*60) / (AQ132*24*60) )),2))) + ((AQ132*24*60 )*-0.1 + (AO132*0.015)) +1,(((AQ132*24*60)/2)*(1+POWER((((AR132*24*60) / (AQ132*24*60 ))),2)))),""),"")</f>
        <v/>
      </c>
      <c r="AU132" s="90">
        <f>IF(AND(AS132&lt;&gt;"",AP132&lt;&gt;""),IF(AE132&lt;&gt;AE133,((AP132*24*60) / 2 ) * (1 + POWER(((AS132*24*60) / (AP132*24*60)),2)),""),"")</f>
        <v/>
      </c>
      <c r="AV132" s="90">
        <f>IF(AU132&lt;&gt;"",MAX(AT132,AU132),"")</f>
        <v/>
      </c>
      <c r="AW132" s="89">
        <f>IF(AM132&lt;&gt;"H. Sale Real",IF(AND(AM133&lt;&gt;"",LEFT(AG133,2)&lt;&gt;"Va"),IF(AND(AM132&lt;&gt;"",LEFT(AG132,2)&lt;&gt;"Va",AM132&lt;&gt;"H. Sale Real"),IF(AM133-AM132&lt;0.208333333333333,AM133-AM132,""),IF(AND(AM131&lt;&gt;"",LEFT(AG131,2)&lt;&gt;"Va",AM131&lt;&gt;"H. Sale Real"),IF(AM133-AM131&lt;0.208333333333333,AM133-AM131,""),IF(AND(AM130&lt;&gt;"",LEFT(AG130,2)&lt;&gt;"Va",AM130&lt;&gt;"H. Sale Real"),IF(AM133-AM130&lt;0.208333333333333,AM133-AM130,""),IF(AND(AM129&lt;&gt;"",LEFT(AG129,2)&lt;&gt;"Va",AM129&lt;&gt;"H. Sale Real"),IF(AM133-AM129&lt;0.208333333333333,AM133-AM129,""),IF(AND(AM128&lt;&gt;"",LEFT(AG128,2)&lt;&gt;"Va",AM128&lt;&gt;"H. Sale Real"),IF(AM133-AM128&lt;0.208333333333333,AM133-AM128,""),""))))),""),"")</f>
        <v/>
      </c>
      <c r="AX132" s="89">
        <f>IF(AK132&lt;&gt;"H. Sale Real",IF(AND(AK133&lt;&gt;"",LEFT(AG133,2)&lt;&gt;"Va"),IF(AND(AK132&lt;&gt;"",LEFT(AG132,2)&lt;&gt;"Va",AK132&lt;&gt;"H. Sale Real"),IF(AK133-AK132&lt;0.208333333333333,AK133-AK132,""),IF(AND(AK131&lt;&gt;"",LEFT(AG131,2)&lt;&gt;"Va",AK131&lt;&gt;"H. Sale Real"),IF(AK133-AK131&lt;0.208333333333333,AK133-AK131,""),IF(AND(AK130&lt;&gt;"",LEFT(AG130,2)&lt;&gt;"NC",AK130&lt;&gt;"H. Sale Real"),IF(AK133-AK130&lt;0.208333333333333,AK133-AK130,""),IF(AND(AK129&lt;&gt;"",LEFT(AG129,2)&lt;&gt;"Va",AK129&lt;&gt;"H. Sale Real"),IF(AK133-AK129&lt;0.208333333333333,AK133-AK129,""),IF(AND(AK128&lt;&gt;"",LEFT(AG128,2)&lt;&gt;"Va",AK128&lt;&gt;"H. Sale Real"),IF(AK133-AK128&lt;0.208333333333333,AK133-AK128,""),""))))),""),"")</f>
        <v/>
      </c>
      <c r="AY132" s="87" t="n"/>
      <c r="AZ132" s="89" t="n"/>
      <c r="BA132" s="87" t="n"/>
      <c r="BB132" s="89" t="n"/>
      <c r="BC132" s="91" t="n"/>
      <c r="BD132" s="122">
        <f>IF(AK132&lt;&gt;"",IF(AND(BD131&lt;&gt;"IE",AT132&lt;&gt;0,AV132&lt;&gt;""),IF(IFERROR((AT132/AV132),0) &lt;=1,IFERROR(AT132/AV132,""),1),""),"")</f>
        <v/>
      </c>
      <c r="BE132" s="93" t="n"/>
      <c r="BF132" s="105" t="n"/>
      <c r="FC132" t="inlineStr">
        <is>
          <t>Diccionario 1</t>
        </is>
      </c>
      <c r="FD132" s="15" t="n">
        <v>1129</v>
      </c>
      <c r="FE132" s="15" t="inlineStr">
        <is>
          <t>LDYECS311S0043915</t>
        </is>
      </c>
      <c r="FF132" s="15" t="inlineStr">
        <is>
          <t>MDN35025010066</t>
        </is>
      </c>
      <c r="FG132" s="15" t="inlineStr">
        <is>
          <t>Zhong Tong</t>
        </is>
      </c>
      <c r="FH132" s="15" t="inlineStr">
        <is>
          <t>Lck6122evg</t>
        </is>
      </c>
      <c r="FI132" s="15" t="inlineStr">
        <is>
          <t>ZHONGTONG</t>
        </is>
      </c>
      <c r="FJ132" s="15" t="inlineStr">
        <is>
          <t>LCK6122EVG</t>
        </is>
      </c>
      <c r="FK132" s="15" t="n">
        <v>2025</v>
      </c>
      <c r="FL132" s="15" t="inlineStr">
        <is>
          <t>B</t>
        </is>
      </c>
      <c r="FM132" s="15" t="inlineStr">
        <is>
          <t>SAN JOSE</t>
        </is>
      </c>
      <c r="FN132" s="15" t="inlineStr">
        <is>
          <t>San José 030 (José Besa 669)</t>
        </is>
      </c>
      <c r="FO132" s="15" t="inlineStr">
        <is>
          <t>San Bernardo</t>
        </is>
      </c>
      <c r="FP132" t="inlineStr">
        <is>
          <t>B</t>
        </is>
      </c>
      <c r="FS132" s="14" t="inlineStr">
        <is>
          <t>3032 / SFWZ-34|</t>
        </is>
      </c>
      <c r="FT132" t="inlineStr">
        <is>
          <t>SFWZ-34|</t>
        </is>
      </c>
      <c r="FU132" t="inlineStr">
        <is>
          <t>SFWZ-34</t>
        </is>
      </c>
      <c r="FV132">
        <f>VLOOKUP(FU132,FD:FL,9,0)</f>
        <v/>
      </c>
      <c r="HA132" s="35" t="n">
        <v>129</v>
      </c>
      <c r="HB132" s="35" t="n">
        <v>126</v>
      </c>
    </row>
    <row r="133" ht="15.5" customHeight="1">
      <c r="A133" s="10">
        <f>HOUR(G133)+1</f>
        <v/>
      </c>
      <c r="B133" s="7" t="n"/>
      <c r="C133" s="7" t="n"/>
      <c r="D133" s="85">
        <f>IFERROR(
IF(AND(OR(Planilla!B133="C",Planilla!B133="c"), VLOOKUP(E133,FD:FP,13,0)="C"), "OK",IF(AND(OR(Planilla!B133="C",Planilla!B133="c"), OR(VLOOKUP(E133,FD:FP,13,0)="B", VLOOKUP(E133,FD:FP,13,0)="A")), "DEFICIT",IF(
AND(OR(Planilla!B133="B", Planilla!B133="BPAL"), VLOOKUP(E133,FD:FP,13,0)="B"), "OK",IF(AND(OR(Planilla!B133="B", Planilla!B133="BPAL"), VLOOKUP(E133,FD:FP,13,0)="A"), "DEFICIT",IF(AND(OR(Planilla!B133="B", Planilla!B133="BPAL"), VLOOKUP(E133,FD:FP,13,0)="C"), "SOBREOFERTA",IF(AND(Planilla!B133="A", VLOOKUP(E133,FD:FP,13,0)="A"), "OK",IF(
AND(Planilla!B133="A", OR(VLOOKUP(E133,FD:FP,13,0)="B", VLOOKUP(E133,FD:FP,13,0)="C")), "SOBREOFERTA",""
))))))),"")</f>
        <v/>
      </c>
      <c r="E133" s="8" t="n"/>
      <c r="F133" s="86" t="n"/>
      <c r="G133" s="87" t="n"/>
      <c r="H133" s="88">
        <f>IF(I133="","",IF(AND((I133-G133)&gt;=TIME(0,0,0),(I133-G133)&lt;TIME(0,3,0)),"OK",IF(AND((I133-G133)&gt;=TIME(0,3,0),(I133-G133)&lt;TIME(0,5,0)),"RETRASO DE 3-5 MIN",IF(AND((I133-G133)&gt;=TIME(0,5,0),(I133-G133)&lt;TIME(0,10,0)),"RETRASO DE 5-10 MIN",IF((I133-G133)&gt;=TIME(0,10,0),"RETRASO &gt;10 MIN", IF(AND((G133-I133)&gt;=TIME(0,0,0),(G133-I133)&lt;TIME(0,3,0)),"OK",IF((G133-I133)&gt;=TIME(0,3,0),"ADELANTADO")))))))</f>
        <v/>
      </c>
      <c r="I133" s="89" t="n"/>
      <c r="J133" s="89">
        <f>IF(A133&lt;&gt;"",HLOOKUP(VALUE(TEXT(G133,"h:mm:ss")),IF($C$6="Laboral",$FZ$4:$GX$227,IF($C$6="Sábado",$FZ$231:$GX$452,$FZ$456:$GX$656)),VLOOKUP($C$4,$HF$2:$HH$99,3,0)+IF(C$5="Ida",0,1),1),"")</f>
        <v/>
      </c>
      <c r="K133" s="89">
        <f>IF(A134&lt;&gt;A133,AVERAGEIF(A$9:A133,A133,J$9:J133),"")</f>
        <v/>
      </c>
      <c r="L133" s="89">
        <f>IFERROR(IF(A134&lt;&gt;A133,AVERAGEIF(A$9:A133,A133,S$9:S133),""),"")</f>
        <v/>
      </c>
      <c r="M133" s="89">
        <f>IFERROR(IF(A134&lt;&gt;A133,AVERAGEIF(A$9:A133,A133,T$9:T133),""),"")</f>
        <v/>
      </c>
      <c r="N133" s="89">
        <f t="array" ref="N133">IFERROR(IF(A134&lt;&gt;A133,_xlfn.STDEV.P(IF(A$9:A133=A133,T$9:T133)),""),"")</f>
        <v/>
      </c>
      <c r="O133" s="89">
        <f t="array" ref="O133">IFERROR(IF(A134&lt;&gt;A133,_xlfn.STDEV.P(IF(A$9:A133=A133,S$9:S133)),""),"")</f>
        <v/>
      </c>
      <c r="P133" s="90">
        <f>IFERROR(IF(A133&lt;&gt;A134,MAX((((M133*24*60)/2)*(1+POWER((((N133*24*60) / (M133*24*60) )),2))) + ((M133*24*60 )*-0.1 + (K133*0.015)) +1,(((M133*24*60)/2)*(1+POWER((((N133*24*60) / (M133*24*60 ))),2)))),""),"")</f>
        <v/>
      </c>
      <c r="Q133" s="90">
        <f>IF(AND(O133&lt;&gt;"",L133&lt;&gt;""),IF(A133&lt;&gt;A134,((L133*24*60) / 2 ) * (1 + POWER(((O133*24*60) / (L133*24*60)),2)),""),"")</f>
        <v/>
      </c>
      <c r="R133" s="90">
        <f>IF(Q133&lt;&gt;"",MAX(P133,Q133),"")</f>
        <v/>
      </c>
      <c r="S133" s="89">
        <f>IF(I133&lt;&gt;"H. Sale Real",IF(AND(I134&lt;&gt;"",LEFT(C134,2)&lt;&gt;"Va"),IF(AND(I133&lt;&gt;"",LEFT(C133,2)&lt;&gt;"Va",I133&lt;&gt;"H. Sale Real"),IF(I134-I133&lt;0.208333333333333,I134-I133,""),IF(AND(I132&lt;&gt;"",LEFT(C132,2)&lt;&gt;"Va",I132&lt;&gt;"H. Sale Real"),IF(I134-I132&lt;0.208333333333333,I134-I132,""),IF(AND(I131&lt;&gt;"",LEFT(C131,2)&lt;&gt;"Va",I131&lt;&gt;"H. Sale Real"),IF(I134-I131&lt;0.208333333333333,I134-I131,""),IF(AND(I130&lt;&gt;"",LEFT(C130,2)&lt;&gt;"Va",I130&lt;&gt;"H. Sale Real"),IF(I134-I130&lt;0.208333333333333,I134-I130,""),IF(AND(I129&lt;&gt;"",LEFT(C129,2)&lt;&gt;"Va",I129&lt;&gt;"H. Sale Real"),IF(I134-I129&lt;0.208333333333333,I134-I129,""),""))))),""),"")</f>
        <v/>
      </c>
      <c r="T133" s="89">
        <f>IF(G133&lt;&gt;"H. Sale Real",IF(AND(G134&lt;&gt;"",LEFT(C134,2)&lt;&gt;"Va"),IF(AND(G133&lt;&gt;"",LEFT(C133,2)&lt;&gt;"Va",G133&lt;&gt;"H. Sale Real"),IF(G134-G133&lt;0.208333333333333,G134-G133,""),IF(AND(G132&lt;&gt;"",LEFT(C132,2)&lt;&gt;"Va",G132&lt;&gt;"H. Sale Real"),IF(G134-G132&lt;0.208333333333333,G134-G132,""),IF(AND(G131&lt;&gt;"",LEFT(C131,2)&lt;&gt;"Va",G131&lt;&gt;"H. Sale Real"),IF(G134-G131&lt;0.208333333333333,G134-G131,""),IF(AND(G130&lt;&gt;"",LEFT(C130,2)&lt;&gt;"Va",G130&lt;&gt;"H. Sale Real"),IF(G134-G130&lt;0.208333333333333,G134-G130,""),IF(AND(G129&lt;&gt;"",LEFT(C129,2)&lt;&gt;"Va",G129&lt;&gt;"H. Sale Real"),IF(G134-G129&lt;0.208333333333333,G134-G129,""),""))))),""),"")</f>
        <v/>
      </c>
      <c r="U133" s="87" t="n"/>
      <c r="V133" s="89" t="n"/>
      <c r="W133" s="87" t="n"/>
      <c r="X133" s="89" t="n"/>
      <c r="Y133" s="91" t="n"/>
      <c r="Z133" s="122">
        <f>IF(G133&lt;&gt;"",IF(AND(Z132&lt;&gt;"IE",P133&lt;&gt;0,R133&lt;&gt;""),IF(IFERROR((P133/R133),0) &lt;=1,IFERROR(P133/R133,""),1),""),"")</f>
        <v/>
      </c>
      <c r="AA133" s="93" t="n"/>
      <c r="AB133" s="2" t="n"/>
      <c r="AE133" s="10">
        <f>HOUR(AK133)+1</f>
        <v/>
      </c>
      <c r="AF133" s="7" t="n"/>
      <c r="AG133" s="7" t="n"/>
      <c r="AH133" s="86" t="n"/>
      <c r="AI133" s="8" t="n"/>
      <c r="AJ133" s="86" t="n"/>
      <c r="AK133" s="87" t="n"/>
      <c r="AL133" s="88">
        <f>IF(AM133="","",IF(AND((AM133-AK133)&gt;=TIME(0,0,0),(AM133-AK133)&lt;TIME(0,3,0)),"OK",IF(AND((AM133-AK133)&gt;=TIME(0,3,0),(AM133-AK133)&lt;TIME(0,5,0)),"RETRASO DE 3-5 MIN",IF(AND((AM133-AK133)&gt;=TIME(0,5,0),(AM133-AK133)&lt;TIME(0,10,0)),"RETRASO DE 5-10 MIN",IF((AM133-AK133)&gt;=TIME(0,10,0),"RETRASO &gt;10 MIN", IF(AND((AK133-AM133)&gt;=TIME(0,0,0),(AK133-AM133)&lt;TIME(0,3,0)),"OK",IF((AK133-AM133)&gt;=TIME(0,3,0),"ADELANTADO")))))))</f>
        <v/>
      </c>
      <c r="AM133" s="91" t="n"/>
      <c r="AN133" s="89">
        <f>IF(AE133&lt;&gt;"",HLOOKUP(VALUE(TEXT(AK133,"h:mm:ss")),IF($C$6="Laboral",$FZ$4:$GX$227,IF($C$6="Sábado",$FZ$231:$GX$452,$FZ$456:$GX$656)),VLOOKUP($C$4,$HF$2:$HH$99,3,0)+IF(AG$5="Ida",0,1),1),"")</f>
        <v/>
      </c>
      <c r="AO133" s="89">
        <f>IF(AE134&lt;&gt;AE133,AVERAGEIF(AE$9:AE133,AE133,AN$9:AN133),"")</f>
        <v/>
      </c>
      <c r="AP133" s="89">
        <f>IFERROR(IF(AE134&lt;&gt;AE133,AVERAGEIF(AE$9:AE133,AE133,AW$9:AW133),""),"")</f>
        <v/>
      </c>
      <c r="AQ133" s="89">
        <f>IFERROR(IF(AE134&lt;&gt;AE133,AVERAGEIF(AE$9:AE133,AE133,AX$9:AX133),""),"")</f>
        <v/>
      </c>
      <c r="AR133" s="89">
        <f t="array" ref="AR133">IFERROR(IF(AE134&lt;&gt;AE133,_xlfn.STDEV.P(IF(AE$9:AE133=AE133,AX$9:AX133)),""),"")</f>
        <v/>
      </c>
      <c r="AS133" s="89">
        <f t="array" ref="AS133">IFERROR(IF(AE134&lt;&gt;AE133,_xlfn.STDEV.P(IF(AE$9:AE133=AE133,AW$9:AW133)),""),"")</f>
        <v/>
      </c>
      <c r="AT133" s="90">
        <f>IFERROR(IF(AE133&lt;&gt;AE134,MAX((((AQ133*24*60)/2)*(1+POWER((((AR133*24*60) / (AQ133*24*60) )),2))) + ((AQ133*24*60 )*-0.1 + (AO133*0.015)) +1,(((AQ133*24*60)/2)*(1+POWER((((AR133*24*60) / (AQ133*24*60 ))),2)))),""),"")</f>
        <v/>
      </c>
      <c r="AU133" s="90">
        <f>IF(AND(AS133&lt;&gt;"",AP133&lt;&gt;""),IF(AE133&lt;&gt;AE134,((AP133*24*60) / 2 ) * (1 + POWER(((AS133*24*60) / (AP133*24*60)),2)),""),"")</f>
        <v/>
      </c>
      <c r="AV133" s="90">
        <f>IF(AU133&lt;&gt;"",MAX(AT133,AU133),"")</f>
        <v/>
      </c>
      <c r="AW133" s="89">
        <f>IF(AM133&lt;&gt;"H. Sale Real",IF(AND(AM134&lt;&gt;"",LEFT(AG134,2)&lt;&gt;"Va"),IF(AND(AM133&lt;&gt;"",LEFT(AG133,2)&lt;&gt;"Va",AM133&lt;&gt;"H. Sale Real"),IF(AM134-AM133&lt;0.208333333333333,AM134-AM133,""),IF(AND(AM132&lt;&gt;"",LEFT(AG132,2)&lt;&gt;"Va",AM132&lt;&gt;"H. Sale Real"),IF(AM134-AM132&lt;0.208333333333333,AM134-AM132,""),IF(AND(AM131&lt;&gt;"",LEFT(AG131,2)&lt;&gt;"Va",AM131&lt;&gt;"H. Sale Real"),IF(AM134-AM131&lt;0.208333333333333,AM134-AM131,""),IF(AND(AM130&lt;&gt;"",LEFT(AG130,2)&lt;&gt;"Va",AM130&lt;&gt;"H. Sale Real"),IF(AM134-AM130&lt;0.208333333333333,AM134-AM130,""),IF(AND(AM129&lt;&gt;"",LEFT(AG129,2)&lt;&gt;"Va",AM129&lt;&gt;"H. Sale Real"),IF(AM134-AM129&lt;0.208333333333333,AM134-AM129,""),""))))),""),"")</f>
        <v/>
      </c>
      <c r="AX133" s="89">
        <f>IF(AK133&lt;&gt;"H. Sale Real",IF(AND(AK134&lt;&gt;"",LEFT(AG134,2)&lt;&gt;"Va"),IF(AND(AK133&lt;&gt;"",LEFT(AG133,2)&lt;&gt;"Va",AK133&lt;&gt;"H. Sale Real"),IF(AK134-AK133&lt;0.208333333333333,AK134-AK133,""),IF(AND(AK132&lt;&gt;"",LEFT(AG132,2)&lt;&gt;"Va",AK132&lt;&gt;"H. Sale Real"),IF(AK134-AK132&lt;0.208333333333333,AK134-AK132,""),IF(AND(AK131&lt;&gt;"",LEFT(AG131,2)&lt;&gt;"NC",AK131&lt;&gt;"H. Sale Real"),IF(AK134-AK131&lt;0.208333333333333,AK134-AK131,""),IF(AND(AK130&lt;&gt;"",LEFT(AG130,2)&lt;&gt;"Va",AK130&lt;&gt;"H. Sale Real"),IF(AK134-AK130&lt;0.208333333333333,AK134-AK130,""),IF(AND(AK129&lt;&gt;"",LEFT(AG129,2)&lt;&gt;"Va",AK129&lt;&gt;"H. Sale Real"),IF(AK134-AK129&lt;0.208333333333333,AK134-AK129,""),""))))),""),"")</f>
        <v/>
      </c>
      <c r="AY133" s="87" t="n"/>
      <c r="AZ133" s="89" t="n"/>
      <c r="BA133" s="87" t="n"/>
      <c r="BB133" s="89" t="n"/>
      <c r="BC133" s="91" t="n"/>
      <c r="BD133" s="122">
        <f>IF(AK133&lt;&gt;"",IF(AND(BD132&lt;&gt;"IE",AT133&lt;&gt;0,AV133&lt;&gt;""),IF(IFERROR((AT133/AV133),0) &lt;=1,IFERROR(AT133/AV133,""),1),""),"")</f>
        <v/>
      </c>
      <c r="BE133" s="93" t="n"/>
      <c r="BF133" s="105" t="n"/>
      <c r="FC133" t="inlineStr">
        <is>
          <t>Diccionario 1</t>
        </is>
      </c>
      <c r="FD133" s="15" t="n">
        <v>1130</v>
      </c>
      <c r="FE133" s="15" t="inlineStr">
        <is>
          <t>LDYECS319S0043984</t>
        </is>
      </c>
      <c r="FF133" s="15" t="inlineStr">
        <is>
          <t>MDN35025020097</t>
        </is>
      </c>
      <c r="FG133" s="15" t="inlineStr">
        <is>
          <t>Zhong Tong</t>
        </is>
      </c>
      <c r="FH133" s="15" t="inlineStr">
        <is>
          <t>Lck6122evg</t>
        </is>
      </c>
      <c r="FI133" s="15" t="inlineStr">
        <is>
          <t>ZHONGTONG</t>
        </is>
      </c>
      <c r="FJ133" s="15" t="inlineStr">
        <is>
          <t>LCK6122EVG</t>
        </is>
      </c>
      <c r="FK133" s="15" t="n">
        <v>2025</v>
      </c>
      <c r="FL133" s="15" t="inlineStr">
        <is>
          <t>B</t>
        </is>
      </c>
      <c r="FM133" s="15" t="inlineStr">
        <is>
          <t>CERRILLOS</t>
        </is>
      </c>
      <c r="FN133" s="15" t="inlineStr">
        <is>
          <t>Calle Uno 7371</t>
        </is>
      </c>
      <c r="FO133" s="15" t="inlineStr">
        <is>
          <t>Cerrillos</t>
        </is>
      </c>
      <c r="FP133" t="inlineStr">
        <is>
          <t>B</t>
        </is>
      </c>
      <c r="FS133" s="14" t="inlineStr">
        <is>
          <t>3032 / SFWZ-34|</t>
        </is>
      </c>
      <c r="FT133" t="inlineStr">
        <is>
          <t>SFWZ-34|</t>
        </is>
      </c>
      <c r="FU133" t="inlineStr">
        <is>
          <t>SFWZ-34</t>
        </is>
      </c>
      <c r="FV133">
        <f>VLOOKUP(FU133,FD:FL,9,0)</f>
        <v/>
      </c>
      <c r="HA133" s="35" t="n">
        <v>130</v>
      </c>
      <c r="HB133" s="35" t="n">
        <v>127</v>
      </c>
    </row>
    <row r="134" ht="15.5" customHeight="1">
      <c r="A134" s="10">
        <f>HOUR(G134)+1</f>
        <v/>
      </c>
      <c r="B134" s="7" t="n"/>
      <c r="C134" s="7" t="n"/>
      <c r="D134" s="85">
        <f>IFERROR(
IF(AND(OR(Planilla!B134="C",Planilla!B134="c"), VLOOKUP(E134,FD:FP,13,0)="C"), "OK",IF(AND(OR(Planilla!B134="C",Planilla!B134="c"), OR(VLOOKUP(E134,FD:FP,13,0)="B", VLOOKUP(E134,FD:FP,13,0)="A")), "DEFICIT",IF(
AND(OR(Planilla!B134="B", Planilla!B134="BPAL"), VLOOKUP(E134,FD:FP,13,0)="B"), "OK",IF(AND(OR(Planilla!B134="B", Planilla!B134="BPAL"), VLOOKUP(E134,FD:FP,13,0)="A"), "DEFICIT",IF(AND(OR(Planilla!B134="B", Planilla!B134="BPAL"), VLOOKUP(E134,FD:FP,13,0)="C"), "SOBREOFERTA",IF(AND(Planilla!B134="A", VLOOKUP(E134,FD:FP,13,0)="A"), "OK",IF(
AND(Planilla!B134="A", OR(VLOOKUP(E134,FD:FP,13,0)="B", VLOOKUP(E134,FD:FP,13,0)="C")), "SOBREOFERTA",""
))))))),"")</f>
        <v/>
      </c>
      <c r="E134" s="8" t="n"/>
      <c r="F134" s="86" t="n"/>
      <c r="G134" s="87" t="n"/>
      <c r="H134" s="88">
        <f>IF(I134="","",IF(AND((I134-G134)&gt;=TIME(0,0,0),(I134-G134)&lt;TIME(0,3,0)),"OK",IF(AND((I134-G134)&gt;=TIME(0,3,0),(I134-G134)&lt;TIME(0,5,0)),"RETRASO DE 3-5 MIN",IF(AND((I134-G134)&gt;=TIME(0,5,0),(I134-G134)&lt;TIME(0,10,0)),"RETRASO DE 5-10 MIN",IF((I134-G134)&gt;=TIME(0,10,0),"RETRASO &gt;10 MIN", IF(AND((G134-I134)&gt;=TIME(0,0,0),(G134-I134)&lt;TIME(0,3,0)),"OK",IF((G134-I134)&gt;=TIME(0,3,0),"ADELANTADO")))))))</f>
        <v/>
      </c>
      <c r="I134" s="89" t="n"/>
      <c r="J134" s="89">
        <f>IF(A134&lt;&gt;"",HLOOKUP(VALUE(TEXT(G134,"h:mm:ss")),IF($C$6="Laboral",$FZ$4:$GX$227,IF($C$6="Sábado",$FZ$231:$GX$452,$FZ$456:$GX$656)),VLOOKUP($C$4,$HF$2:$HH$99,3,0)+IF(C$5="Ida",0,1),1),"")</f>
        <v/>
      </c>
      <c r="K134" s="89">
        <f>IF(A135&lt;&gt;A134,AVERAGEIF(A$9:A134,A134,J$9:J134),"")</f>
        <v/>
      </c>
      <c r="L134" s="89">
        <f>IFERROR(IF(A135&lt;&gt;A134,AVERAGEIF(A$9:A134,A134,S$9:S134),""),"")</f>
        <v/>
      </c>
      <c r="M134" s="89">
        <f>IFERROR(IF(A135&lt;&gt;A134,AVERAGEIF(A$9:A134,A134,T$9:T134),""),"")</f>
        <v/>
      </c>
      <c r="N134" s="89">
        <f t="array" ref="N134">IFERROR(IF(A135&lt;&gt;A134,_xlfn.STDEV.P(IF(A$9:A134=A134,T$9:T134)),""),"")</f>
        <v/>
      </c>
      <c r="O134" s="89">
        <f t="array" ref="O134">IFERROR(IF(A135&lt;&gt;A134,_xlfn.STDEV.P(IF(A$9:A134=A134,S$9:S134)),""),"")</f>
        <v/>
      </c>
      <c r="P134" s="90">
        <f>IFERROR(IF(A134&lt;&gt;A135,MAX((((M134*24*60)/2)*(1+POWER((((N134*24*60) / (M134*24*60) )),2))) + ((M134*24*60 )*-0.1 + (K134*0.015)) +1,(((M134*24*60)/2)*(1+POWER((((N134*24*60) / (M134*24*60 ))),2)))),""),"")</f>
        <v/>
      </c>
      <c r="Q134" s="90">
        <f>IF(AND(O134&lt;&gt;"",L134&lt;&gt;""),IF(A134&lt;&gt;A135,((L134*24*60) / 2 ) * (1 + POWER(((O134*24*60) / (L134*24*60)),2)),""),"")</f>
        <v/>
      </c>
      <c r="R134" s="90">
        <f>IF(Q134&lt;&gt;"",MAX(P134,Q134),"")</f>
        <v/>
      </c>
      <c r="S134" s="89">
        <f>IF(I134&lt;&gt;"H. Sale Real",IF(AND(I135&lt;&gt;"",LEFT(C135,2)&lt;&gt;"Va"),IF(AND(I134&lt;&gt;"",LEFT(C134,2)&lt;&gt;"Va",I134&lt;&gt;"H. Sale Real"),IF(I135-I134&lt;0.208333333333333,I135-I134,""),IF(AND(I133&lt;&gt;"",LEFT(C133,2)&lt;&gt;"Va",I133&lt;&gt;"H. Sale Real"),IF(I135-I133&lt;0.208333333333333,I135-I133,""),IF(AND(I132&lt;&gt;"",LEFT(C132,2)&lt;&gt;"Va",I132&lt;&gt;"H. Sale Real"),IF(I135-I132&lt;0.208333333333333,I135-I132,""),IF(AND(I131&lt;&gt;"",LEFT(C131,2)&lt;&gt;"Va",I131&lt;&gt;"H. Sale Real"),IF(I135-I131&lt;0.208333333333333,I135-I131,""),IF(AND(I130&lt;&gt;"",LEFT(C130,2)&lt;&gt;"Va",I130&lt;&gt;"H. Sale Real"),IF(I135-I130&lt;0.208333333333333,I135-I130,""),""))))),""),"")</f>
        <v/>
      </c>
      <c r="T134" s="89">
        <f>IF(G134&lt;&gt;"H. Sale Real",IF(AND(G135&lt;&gt;"",LEFT(C135,2)&lt;&gt;"Va"),IF(AND(G134&lt;&gt;"",LEFT(C134,2)&lt;&gt;"Va",G134&lt;&gt;"H. Sale Real"),IF(G135-G134&lt;0.208333333333333,G135-G134,""),IF(AND(G133&lt;&gt;"",LEFT(C133,2)&lt;&gt;"Va",G133&lt;&gt;"H. Sale Real"),IF(G135-G133&lt;0.208333333333333,G135-G133,""),IF(AND(G132&lt;&gt;"",LEFT(C132,2)&lt;&gt;"Va",G132&lt;&gt;"H. Sale Real"),IF(G135-G132&lt;0.208333333333333,G135-G132,""),IF(AND(G131&lt;&gt;"",LEFT(C131,2)&lt;&gt;"Va",G131&lt;&gt;"H. Sale Real"),IF(G135-G131&lt;0.208333333333333,G135-G131,""),IF(AND(G130&lt;&gt;"",LEFT(C130,2)&lt;&gt;"Va",G130&lt;&gt;"H. Sale Real"),IF(G135-G130&lt;0.208333333333333,G135-G130,""),""))))),""),"")</f>
        <v/>
      </c>
      <c r="U134" s="87" t="n"/>
      <c r="V134" s="89" t="n"/>
      <c r="W134" s="87" t="n"/>
      <c r="X134" s="89" t="n"/>
      <c r="Y134" s="91" t="n"/>
      <c r="Z134" s="122">
        <f>IF(G134&lt;&gt;"",IF(AND(Z133&lt;&gt;"IE",P134&lt;&gt;0,R134&lt;&gt;""),IF(IFERROR((P134/R134),0) &lt;=1,IFERROR(P134/R134,""),1),""),"")</f>
        <v/>
      </c>
      <c r="AA134" s="93" t="n"/>
      <c r="AB134" s="2" t="n"/>
      <c r="AE134" s="10">
        <f>HOUR(AK134)+1</f>
        <v/>
      </c>
      <c r="AF134" s="7" t="n"/>
      <c r="AG134" s="7" t="n"/>
      <c r="AH134" s="86" t="n"/>
      <c r="AI134" s="8" t="n"/>
      <c r="AJ134" s="86" t="n"/>
      <c r="AK134" s="87" t="n"/>
      <c r="AL134" s="88">
        <f>IF(AM134="","",IF(AND((AM134-AK134)&gt;=TIME(0,0,0),(AM134-AK134)&lt;TIME(0,3,0)),"OK",IF(AND((AM134-AK134)&gt;=TIME(0,3,0),(AM134-AK134)&lt;TIME(0,5,0)),"RETRASO DE 3-5 MIN",IF(AND((AM134-AK134)&gt;=TIME(0,5,0),(AM134-AK134)&lt;TIME(0,10,0)),"RETRASO DE 5-10 MIN",IF((AM134-AK134)&gt;=TIME(0,10,0),"RETRASO &gt;10 MIN", IF(AND((AK134-AM134)&gt;=TIME(0,0,0),(AK134-AM134)&lt;TIME(0,3,0)),"OK",IF((AK134-AM134)&gt;=TIME(0,3,0),"ADELANTADO")))))))</f>
        <v/>
      </c>
      <c r="AM134" s="91" t="n"/>
      <c r="AN134" s="89">
        <f>IF(AE134&lt;&gt;"",HLOOKUP(VALUE(TEXT(AK134,"h:mm:ss")),IF($C$6="Laboral",$FZ$4:$GX$227,IF($C$6="Sábado",$FZ$231:$GX$452,$FZ$456:$GX$656)),VLOOKUP($C$4,$HF$2:$HH$99,3,0)+IF(AG$5="Ida",0,1),1),"")</f>
        <v/>
      </c>
      <c r="AO134" s="89">
        <f>IF(AE135&lt;&gt;AE134,AVERAGEIF(AE$9:AE134,AE134,AN$9:AN134),"")</f>
        <v/>
      </c>
      <c r="AP134" s="89">
        <f>IFERROR(IF(AE135&lt;&gt;AE134,AVERAGEIF(AE$9:AE134,AE134,AW$9:AW134),""),"")</f>
        <v/>
      </c>
      <c r="AQ134" s="89">
        <f>IFERROR(IF(AE135&lt;&gt;AE134,AVERAGEIF(AE$9:AE134,AE134,AX$9:AX134),""),"")</f>
        <v/>
      </c>
      <c r="AR134" s="89">
        <f t="array" ref="AR134">IFERROR(IF(AE135&lt;&gt;AE134,_xlfn.STDEV.P(IF(AE$9:AE134=AE134,AX$9:AX134)),""),"")</f>
        <v/>
      </c>
      <c r="AS134" s="89">
        <f t="array" ref="AS134">IFERROR(IF(AE135&lt;&gt;AE134,_xlfn.STDEV.P(IF(AE$9:AE134=AE134,AW$9:AW134)),""),"")</f>
        <v/>
      </c>
      <c r="AT134" s="90">
        <f>IFERROR(IF(AE134&lt;&gt;AE135,MAX((((AQ134*24*60)/2)*(1+POWER((((AR134*24*60) / (AQ134*24*60) )),2))) + ((AQ134*24*60 )*-0.1 + (AO134*0.015)) +1,(((AQ134*24*60)/2)*(1+POWER((((AR134*24*60) / (AQ134*24*60 ))),2)))),""),"")</f>
        <v/>
      </c>
      <c r="AU134" s="90">
        <f>IF(AND(AS134&lt;&gt;"",AP134&lt;&gt;""),IF(AE134&lt;&gt;AE135,((AP134*24*60) / 2 ) * (1 + POWER(((AS134*24*60) / (AP134*24*60)),2)),""),"")</f>
        <v/>
      </c>
      <c r="AV134" s="90">
        <f>IF(AU134&lt;&gt;"",MAX(AT134,AU134),"")</f>
        <v/>
      </c>
      <c r="AW134" s="89">
        <f>IF(AM134&lt;&gt;"H. Sale Real",IF(AND(AM135&lt;&gt;"",LEFT(AG135,2)&lt;&gt;"Va"),IF(AND(AM134&lt;&gt;"",LEFT(AG134,2)&lt;&gt;"Va",AM134&lt;&gt;"H. Sale Real"),IF(AM135-AM134&lt;0.208333333333333,AM135-AM134,""),IF(AND(AM133&lt;&gt;"",LEFT(AG133,2)&lt;&gt;"Va",AM133&lt;&gt;"H. Sale Real"),IF(AM135-AM133&lt;0.208333333333333,AM135-AM133,""),IF(AND(AM132&lt;&gt;"",LEFT(AG132,2)&lt;&gt;"Va",AM132&lt;&gt;"H. Sale Real"),IF(AM135-AM132&lt;0.208333333333333,AM135-AM132,""),IF(AND(AM131&lt;&gt;"",LEFT(AG131,2)&lt;&gt;"Va",AM131&lt;&gt;"H. Sale Real"),IF(AM135-AM131&lt;0.208333333333333,AM135-AM131,""),IF(AND(AM130&lt;&gt;"",LEFT(AG130,2)&lt;&gt;"Va",AM130&lt;&gt;"H. Sale Real"),IF(AM135-AM130&lt;0.208333333333333,AM135-AM130,""),""))))),""),"")</f>
        <v/>
      </c>
      <c r="AX134" s="89">
        <f>IF(AK134&lt;&gt;"H. Sale Real",IF(AND(AK135&lt;&gt;"",LEFT(AG135,2)&lt;&gt;"Va"),IF(AND(AK134&lt;&gt;"",LEFT(AG134,2)&lt;&gt;"Va",AK134&lt;&gt;"H. Sale Real"),IF(AK135-AK134&lt;0.208333333333333,AK135-AK134,""),IF(AND(AK133&lt;&gt;"",LEFT(AG133,2)&lt;&gt;"Va",AK133&lt;&gt;"H. Sale Real"),IF(AK135-AK133&lt;0.208333333333333,AK135-AK133,""),IF(AND(AK132&lt;&gt;"",LEFT(AG132,2)&lt;&gt;"NC",AK132&lt;&gt;"H. Sale Real"),IF(AK135-AK132&lt;0.208333333333333,AK135-AK132,""),IF(AND(AK131&lt;&gt;"",LEFT(AG131,2)&lt;&gt;"Va",AK131&lt;&gt;"H. Sale Real"),IF(AK135-AK131&lt;0.208333333333333,AK135-AK131,""),IF(AND(AK130&lt;&gt;"",LEFT(AG130,2)&lt;&gt;"Va",AK130&lt;&gt;"H. Sale Real"),IF(AK135-AK130&lt;0.208333333333333,AK135-AK130,""),""))))),""),"")</f>
        <v/>
      </c>
      <c r="AY134" s="87" t="n"/>
      <c r="AZ134" s="89" t="n"/>
      <c r="BA134" s="87" t="n"/>
      <c r="BB134" s="89" t="n"/>
      <c r="BC134" s="91" t="n"/>
      <c r="BD134" s="122">
        <f>IF(AK134&lt;&gt;"",IF(AND(BD133&lt;&gt;"IE",AT134&lt;&gt;0,AV134&lt;&gt;""),IF(IFERROR((AT134/AV134),0) &lt;=1,IFERROR(AT134/AV134,""),1),""),"")</f>
        <v/>
      </c>
      <c r="BE134" s="93" t="n"/>
      <c r="BF134" s="105" t="n"/>
      <c r="FC134" t="inlineStr">
        <is>
          <t>Diccionario 1</t>
        </is>
      </c>
      <c r="FD134" s="15" t="n">
        <v>1131</v>
      </c>
      <c r="FE134" s="15" t="inlineStr">
        <is>
          <t>LDYECS314S0043987</t>
        </is>
      </c>
      <c r="FF134" s="15" t="inlineStr">
        <is>
          <t>MDN35025020056</t>
        </is>
      </c>
      <c r="FG134" s="15" t="inlineStr">
        <is>
          <t>Zhong Tong</t>
        </is>
      </c>
      <c r="FH134" s="15" t="inlineStr">
        <is>
          <t>Lck6122evg</t>
        </is>
      </c>
      <c r="FI134" s="15" t="inlineStr">
        <is>
          <t>ZHONGTONG</t>
        </is>
      </c>
      <c r="FJ134" s="15" t="inlineStr">
        <is>
          <t>LCK6122EVG</t>
        </is>
      </c>
      <c r="FK134" s="15" t="n">
        <v>2025</v>
      </c>
      <c r="FL134" s="15" t="inlineStr">
        <is>
          <t>B</t>
        </is>
      </c>
      <c r="FM134" s="15" t="inlineStr">
        <is>
          <t>LOS LIBERTADORES</t>
        </is>
      </c>
      <c r="FN134" s="15" t="inlineStr">
        <is>
          <t>Los Liberadores 6450, Lote 4A</t>
        </is>
      </c>
      <c r="FO134" s="15" t="inlineStr">
        <is>
          <t>Huechuraba</t>
        </is>
      </c>
      <c r="FP134" t="inlineStr">
        <is>
          <t>B</t>
        </is>
      </c>
      <c r="FS134" s="14" t="inlineStr">
        <is>
          <t>3032 / SFWZ-34|</t>
        </is>
      </c>
      <c r="FT134" t="inlineStr">
        <is>
          <t>SFWZ-34|</t>
        </is>
      </c>
      <c r="FU134" t="inlineStr">
        <is>
          <t>SFWZ-34</t>
        </is>
      </c>
      <c r="FV134">
        <f>VLOOKUP(FU134,FD:FL,9,0)</f>
        <v/>
      </c>
      <c r="HA134" s="35" t="n">
        <v>131</v>
      </c>
      <c r="HB134" s="35" t="n">
        <v>128</v>
      </c>
    </row>
    <row r="135" ht="15.5" customHeight="1">
      <c r="A135" s="10">
        <f>HOUR(G135)+1</f>
        <v/>
      </c>
      <c r="B135" s="7" t="n"/>
      <c r="C135" s="7" t="n"/>
      <c r="D135" s="85">
        <f>IFERROR(
IF(AND(OR(Planilla!B135="C",Planilla!B135="c"), VLOOKUP(E135,FD:FP,13,0)="C"), "OK",IF(AND(OR(Planilla!B135="C",Planilla!B135="c"), OR(VLOOKUP(E135,FD:FP,13,0)="B", VLOOKUP(E135,FD:FP,13,0)="A")), "DEFICIT",IF(
AND(OR(Planilla!B135="B", Planilla!B135="BPAL"), VLOOKUP(E135,FD:FP,13,0)="B"), "OK",IF(AND(OR(Planilla!B135="B", Planilla!B135="BPAL"), VLOOKUP(E135,FD:FP,13,0)="A"), "DEFICIT",IF(AND(OR(Planilla!B135="B", Planilla!B135="BPAL"), VLOOKUP(E135,FD:FP,13,0)="C"), "SOBREOFERTA",IF(AND(Planilla!B135="A", VLOOKUP(E135,FD:FP,13,0)="A"), "OK",IF(
AND(Planilla!B135="A", OR(VLOOKUP(E135,FD:FP,13,0)="B", VLOOKUP(E135,FD:FP,13,0)="C")), "SOBREOFERTA",""
))))))),"")</f>
        <v/>
      </c>
      <c r="E135" s="8" t="n"/>
      <c r="F135" s="86" t="n"/>
      <c r="G135" s="87" t="n"/>
      <c r="H135" s="88">
        <f>IF(I135="","",IF(AND((I135-G135)&gt;=TIME(0,0,0),(I135-G135)&lt;TIME(0,3,0)),"OK",IF(AND((I135-G135)&gt;=TIME(0,3,0),(I135-G135)&lt;TIME(0,5,0)),"RETRASO DE 3-5 MIN",IF(AND((I135-G135)&gt;=TIME(0,5,0),(I135-G135)&lt;TIME(0,10,0)),"RETRASO DE 5-10 MIN",IF((I135-G135)&gt;=TIME(0,10,0),"RETRASO &gt;10 MIN", IF(AND((G135-I135)&gt;=TIME(0,0,0),(G135-I135)&lt;TIME(0,3,0)),"OK",IF((G135-I135)&gt;=TIME(0,3,0),"ADELANTADO")))))))</f>
        <v/>
      </c>
      <c r="I135" s="89" t="n"/>
      <c r="J135" s="89">
        <f>IF(A135&lt;&gt;"",HLOOKUP(VALUE(TEXT(G135,"h:mm:ss")),IF($C$6="Laboral",$FZ$4:$GX$227,IF($C$6="Sábado",$FZ$231:$GX$452,$FZ$456:$GX$656)),VLOOKUP($C$4,$HF$2:$HH$99,3,0)+IF(C$5="Ida",0,1),1),"")</f>
        <v/>
      </c>
      <c r="K135" s="89">
        <f>IF(A136&lt;&gt;A135,AVERAGEIF(A$9:A135,A135,J$9:J135),"")</f>
        <v/>
      </c>
      <c r="L135" s="89">
        <f>IFERROR(IF(A136&lt;&gt;A135,AVERAGEIF(A$9:A135,A135,S$9:S135),""),"")</f>
        <v/>
      </c>
      <c r="M135" s="89">
        <f>IFERROR(IF(A136&lt;&gt;A135,AVERAGEIF(A$9:A135,A135,T$9:T135),""),"")</f>
        <v/>
      </c>
      <c r="N135" s="89">
        <f t="array" ref="N135">IFERROR(IF(A136&lt;&gt;A135,_xlfn.STDEV.P(IF(A$9:A135=A135,T$9:T135)),""),"")</f>
        <v/>
      </c>
      <c r="O135" s="89">
        <f t="array" ref="O135">IFERROR(IF(A136&lt;&gt;A135,_xlfn.STDEV.P(IF(A$9:A135=A135,S$9:S135)),""),"")</f>
        <v/>
      </c>
      <c r="P135" s="90">
        <f>IFERROR(IF(A135&lt;&gt;A136,MAX((((M135*24*60)/2)*(1+POWER((((N135*24*60) / (M135*24*60) )),2))) + ((M135*24*60 )*-0.1 + (K135*0.015)) +1,(((M135*24*60)/2)*(1+POWER((((N135*24*60) / (M135*24*60 ))),2)))),""),"")</f>
        <v/>
      </c>
      <c r="Q135" s="90">
        <f>IF(AND(O135&lt;&gt;"",L135&lt;&gt;""),IF(A135&lt;&gt;A136,((L135*24*60) / 2 ) * (1 + POWER(((O135*24*60) / (L135*24*60)),2)),""),"")</f>
        <v/>
      </c>
      <c r="R135" s="90">
        <f>IF(Q135&lt;&gt;"",MAX(P135,Q135),"")</f>
        <v/>
      </c>
      <c r="S135" s="89">
        <f>IF(I135&lt;&gt;"H. Sale Real",IF(AND(I136&lt;&gt;"",LEFT(C136,2)&lt;&gt;"Va"),IF(AND(I135&lt;&gt;"",LEFT(C135,2)&lt;&gt;"Va",I135&lt;&gt;"H. Sale Real"),IF(I136-I135&lt;0.208333333333333,I136-I135,""),IF(AND(I134&lt;&gt;"",LEFT(C134,2)&lt;&gt;"Va",I134&lt;&gt;"H. Sale Real"),IF(I136-I134&lt;0.208333333333333,I136-I134,""),IF(AND(I133&lt;&gt;"",LEFT(C133,2)&lt;&gt;"Va",I133&lt;&gt;"H. Sale Real"),IF(I136-I133&lt;0.208333333333333,I136-I133,""),IF(AND(I132&lt;&gt;"",LEFT(C132,2)&lt;&gt;"Va",I132&lt;&gt;"H. Sale Real"),IF(I136-I132&lt;0.208333333333333,I136-I132,""),IF(AND(I131&lt;&gt;"",LEFT(C131,2)&lt;&gt;"Va",I131&lt;&gt;"H. Sale Real"),IF(I136-I131&lt;0.208333333333333,I136-I131,""),""))))),""),"")</f>
        <v/>
      </c>
      <c r="T135" s="89">
        <f>IF(G135&lt;&gt;"H. Sale Real",IF(AND(G136&lt;&gt;"",LEFT(C136,2)&lt;&gt;"Va"),IF(AND(G135&lt;&gt;"",LEFT(C135,2)&lt;&gt;"Va",G135&lt;&gt;"H. Sale Real"),IF(G136-G135&lt;0.208333333333333,G136-G135,""),IF(AND(G134&lt;&gt;"",LEFT(C134,2)&lt;&gt;"Va",G134&lt;&gt;"H. Sale Real"),IF(G136-G134&lt;0.208333333333333,G136-G134,""),IF(AND(G133&lt;&gt;"",LEFT(C133,2)&lt;&gt;"Va",G133&lt;&gt;"H. Sale Real"),IF(G136-G133&lt;0.208333333333333,G136-G133,""),IF(AND(G132&lt;&gt;"",LEFT(C132,2)&lt;&gt;"Va",G132&lt;&gt;"H. Sale Real"),IF(G136-G132&lt;0.208333333333333,G136-G132,""),IF(AND(G131&lt;&gt;"",LEFT(C131,2)&lt;&gt;"Va",G131&lt;&gt;"H. Sale Real"),IF(G136-G131&lt;0.208333333333333,G136-G131,""),""))))),""),"")</f>
        <v/>
      </c>
      <c r="U135" s="87" t="n"/>
      <c r="V135" s="89" t="n"/>
      <c r="W135" s="87" t="n"/>
      <c r="X135" s="89" t="n"/>
      <c r="Y135" s="91" t="n"/>
      <c r="Z135" s="122">
        <f>IF(G135&lt;&gt;"",IF(AND(Z134&lt;&gt;"IE",P135&lt;&gt;0,R135&lt;&gt;""),IF(IFERROR((P135/R135),0) &lt;=1,IFERROR(P135/R135,""),1),""),"")</f>
        <v/>
      </c>
      <c r="AA135" s="93" t="n"/>
      <c r="AB135" s="2" t="n"/>
      <c r="AE135" s="10">
        <f>HOUR(AK135)+1</f>
        <v/>
      </c>
      <c r="AF135" s="7" t="n"/>
      <c r="AG135" s="7" t="n"/>
      <c r="AH135" s="86" t="n"/>
      <c r="AI135" s="8" t="n"/>
      <c r="AJ135" s="86" t="n"/>
      <c r="AK135" s="87" t="n"/>
      <c r="AL135" s="88">
        <f>IF(AM135="","",IF(AND((AM135-AK135)&gt;=TIME(0,0,0),(AM135-AK135)&lt;TIME(0,3,0)),"OK",IF(AND((AM135-AK135)&gt;=TIME(0,3,0),(AM135-AK135)&lt;TIME(0,5,0)),"RETRASO DE 3-5 MIN",IF(AND((AM135-AK135)&gt;=TIME(0,5,0),(AM135-AK135)&lt;TIME(0,10,0)),"RETRASO DE 5-10 MIN",IF((AM135-AK135)&gt;=TIME(0,10,0),"RETRASO &gt;10 MIN", IF(AND((AK135-AM135)&gt;=TIME(0,0,0),(AK135-AM135)&lt;TIME(0,3,0)),"OK",IF((AK135-AM135)&gt;=TIME(0,3,0),"ADELANTADO")))))))</f>
        <v/>
      </c>
      <c r="AM135" s="91" t="n"/>
      <c r="AN135" s="89">
        <f>IF(AE135&lt;&gt;"",HLOOKUP(VALUE(TEXT(AK135,"h:mm:ss")),IF($C$6="Laboral",$FZ$4:$GX$227,IF($C$6="Sábado",$FZ$231:$GX$452,$FZ$456:$GX$656)),VLOOKUP($C$4,$HF$2:$HH$99,3,0)+IF(AG$5="Ida",0,1),1),"")</f>
        <v/>
      </c>
      <c r="AO135" s="89">
        <f>IF(AE136&lt;&gt;AE135,AVERAGEIF(AE$9:AE135,AE135,AN$9:AN135),"")</f>
        <v/>
      </c>
      <c r="AP135" s="89">
        <f>IFERROR(IF(AE136&lt;&gt;AE135,AVERAGEIF(AE$9:AE135,AE135,AW$9:AW135),""),"")</f>
        <v/>
      </c>
      <c r="AQ135" s="89">
        <f>IFERROR(IF(AE136&lt;&gt;AE135,AVERAGEIF(AE$9:AE135,AE135,AX$9:AX135),""),"")</f>
        <v/>
      </c>
      <c r="AR135" s="89">
        <f t="array" ref="AR135">IFERROR(IF(AE136&lt;&gt;AE135,_xlfn.STDEV.P(IF(AE$9:AE135=AE135,AX$9:AX135)),""),"")</f>
        <v/>
      </c>
      <c r="AS135" s="89">
        <f t="array" ref="AS135">IFERROR(IF(AE136&lt;&gt;AE135,_xlfn.STDEV.P(IF(AE$9:AE135=AE135,AW$9:AW135)),""),"")</f>
        <v/>
      </c>
      <c r="AT135" s="90">
        <f>IFERROR(IF(AE135&lt;&gt;AE136,MAX((((AQ135*24*60)/2)*(1+POWER((((AR135*24*60) / (AQ135*24*60) )),2))) + ((AQ135*24*60 )*-0.1 + (AO135*0.015)) +1,(((AQ135*24*60)/2)*(1+POWER((((AR135*24*60) / (AQ135*24*60 ))),2)))),""),"")</f>
        <v/>
      </c>
      <c r="AU135" s="90">
        <f>IF(AND(AS135&lt;&gt;"",AP135&lt;&gt;""),IF(AE135&lt;&gt;AE136,((AP135*24*60) / 2 ) * (1 + POWER(((AS135*24*60) / (AP135*24*60)),2)),""),"")</f>
        <v/>
      </c>
      <c r="AV135" s="90">
        <f>IF(AU135&lt;&gt;"",MAX(AT135,AU135),"")</f>
        <v/>
      </c>
      <c r="AW135" s="89">
        <f>IF(AM135&lt;&gt;"H. Sale Real",IF(AND(AM136&lt;&gt;"",LEFT(AG136,2)&lt;&gt;"Va"),IF(AND(AM135&lt;&gt;"",LEFT(AG135,2)&lt;&gt;"Va",AM135&lt;&gt;"H. Sale Real"),IF(AM136-AM135&lt;0.208333333333333,AM136-AM135,""),IF(AND(AM134&lt;&gt;"",LEFT(AG134,2)&lt;&gt;"Va",AM134&lt;&gt;"H. Sale Real"),IF(AM136-AM134&lt;0.208333333333333,AM136-AM134,""),IF(AND(AM133&lt;&gt;"",LEFT(AG133,2)&lt;&gt;"Va",AM133&lt;&gt;"H. Sale Real"),IF(AM136-AM133&lt;0.208333333333333,AM136-AM133,""),IF(AND(AM132&lt;&gt;"",LEFT(AG132,2)&lt;&gt;"Va",AM132&lt;&gt;"H. Sale Real"),IF(AM136-AM132&lt;0.208333333333333,AM136-AM132,""),IF(AND(AM131&lt;&gt;"",LEFT(AG131,2)&lt;&gt;"Va",AM131&lt;&gt;"H. Sale Real"),IF(AM136-AM131&lt;0.208333333333333,AM136-AM131,""),""))))),""),"")</f>
        <v/>
      </c>
      <c r="AX135" s="89">
        <f>IF(AK135&lt;&gt;"H. Sale Real",IF(AND(AK136&lt;&gt;"",LEFT(AG136,2)&lt;&gt;"Va"),IF(AND(AK135&lt;&gt;"",LEFT(AG135,2)&lt;&gt;"Va",AK135&lt;&gt;"H. Sale Real"),IF(AK136-AK135&lt;0.208333333333333,AK136-AK135,""),IF(AND(AK134&lt;&gt;"",LEFT(AG134,2)&lt;&gt;"Va",AK134&lt;&gt;"H. Sale Real"),IF(AK136-AK134&lt;0.208333333333333,AK136-AK134,""),IF(AND(AK133&lt;&gt;"",LEFT(AG133,2)&lt;&gt;"NC",AK133&lt;&gt;"H. Sale Real"),IF(AK136-AK133&lt;0.208333333333333,AK136-AK133,""),IF(AND(AK132&lt;&gt;"",LEFT(AG132,2)&lt;&gt;"Va",AK132&lt;&gt;"H. Sale Real"),IF(AK136-AK132&lt;0.208333333333333,AK136-AK132,""),IF(AND(AK131&lt;&gt;"",LEFT(AG131,2)&lt;&gt;"Va",AK131&lt;&gt;"H. Sale Real"),IF(AK136-AK131&lt;0.208333333333333,AK136-AK131,""),""))))),""),"")</f>
        <v/>
      </c>
      <c r="AY135" s="87" t="n"/>
      <c r="AZ135" s="89" t="n"/>
      <c r="BA135" s="87" t="n"/>
      <c r="BB135" s="89" t="n"/>
      <c r="BC135" s="91" t="n"/>
      <c r="BD135" s="122">
        <f>IF(AK135&lt;&gt;"",IF(AND(BD134&lt;&gt;"IE",AT135&lt;&gt;0,AV135&lt;&gt;""),IF(IFERROR((AT135/AV135),0) &lt;=1,IFERROR(AT135/AV135,""),1),""),"")</f>
        <v/>
      </c>
      <c r="BE135" s="93" t="n"/>
      <c r="BF135" s="105" t="n"/>
      <c r="FC135" t="inlineStr">
        <is>
          <t>Diccionario 1</t>
        </is>
      </c>
      <c r="FD135" s="15" t="n">
        <v>1132</v>
      </c>
      <c r="FE135" s="15" t="inlineStr">
        <is>
          <t>LDYECS314S0043973</t>
        </is>
      </c>
      <c r="FF135" s="15" t="inlineStr">
        <is>
          <t>MDN35025020087</t>
        </is>
      </c>
      <c r="FG135" s="15" t="inlineStr">
        <is>
          <t>Zhong Tong</t>
        </is>
      </c>
      <c r="FH135" s="15" t="inlineStr">
        <is>
          <t>Lck6122evg</t>
        </is>
      </c>
      <c r="FI135" s="15" t="inlineStr">
        <is>
          <t>ZHONGTONG</t>
        </is>
      </c>
      <c r="FJ135" s="15" t="inlineStr">
        <is>
          <t>LCK6122EVG</t>
        </is>
      </c>
      <c r="FK135" s="15" t="n">
        <v>2025</v>
      </c>
      <c r="FL135" s="15" t="inlineStr">
        <is>
          <t>B</t>
        </is>
      </c>
      <c r="FM135" s="15" t="inlineStr">
        <is>
          <t>LOS LIBERTADORES</t>
        </is>
      </c>
      <c r="FN135" s="15" t="inlineStr">
        <is>
          <t>Los Liberadores 6450, Lote 4A</t>
        </is>
      </c>
      <c r="FO135" s="15" t="inlineStr">
        <is>
          <t>Huechuraba</t>
        </is>
      </c>
      <c r="FP135" t="inlineStr">
        <is>
          <t>B</t>
        </is>
      </c>
      <c r="FS135" s="14" t="inlineStr">
        <is>
          <t>3033 / SFVZ-29|</t>
        </is>
      </c>
      <c r="FT135" t="inlineStr">
        <is>
          <t>SFVZ-29|</t>
        </is>
      </c>
      <c r="FU135" t="inlineStr">
        <is>
          <t>SFVZ-29</t>
        </is>
      </c>
      <c r="FV135">
        <f>VLOOKUP(FU135,FD:FL,9,0)</f>
        <v/>
      </c>
      <c r="HA135" s="35" t="n">
        <v>132</v>
      </c>
      <c r="HB135" s="35" t="n">
        <v>129</v>
      </c>
    </row>
    <row r="136" ht="15.5" customHeight="1">
      <c r="A136" s="10">
        <f>HOUR(G136)+1</f>
        <v/>
      </c>
      <c r="B136" s="7" t="n"/>
      <c r="C136" s="7" t="n"/>
      <c r="D136" s="85">
        <f>IFERROR(
IF(AND(OR(Planilla!B136="C",Planilla!B136="c"), VLOOKUP(E136,FD:FP,13,0)="C"), "OK",IF(AND(OR(Planilla!B136="C",Planilla!B136="c"), OR(VLOOKUP(E136,FD:FP,13,0)="B", VLOOKUP(E136,FD:FP,13,0)="A")), "DEFICIT",IF(
AND(OR(Planilla!B136="B", Planilla!B136="BPAL"), VLOOKUP(E136,FD:FP,13,0)="B"), "OK",IF(AND(OR(Planilla!B136="B", Planilla!B136="BPAL"), VLOOKUP(E136,FD:FP,13,0)="A"), "DEFICIT",IF(AND(OR(Planilla!B136="B", Planilla!B136="BPAL"), VLOOKUP(E136,FD:FP,13,0)="C"), "SOBREOFERTA",IF(AND(Planilla!B136="A", VLOOKUP(E136,FD:FP,13,0)="A"), "OK",IF(
AND(Planilla!B136="A", OR(VLOOKUP(E136,FD:FP,13,0)="B", VLOOKUP(E136,FD:FP,13,0)="C")), "SOBREOFERTA",""
))))))),"")</f>
        <v/>
      </c>
      <c r="E136" s="8" t="n"/>
      <c r="F136" s="86" t="n"/>
      <c r="G136" s="87" t="n"/>
      <c r="H136" s="88">
        <f>IF(I136="","",IF(AND((I136-G136)&gt;=TIME(0,0,0),(I136-G136)&lt;TIME(0,3,0)),"OK",IF(AND((I136-G136)&gt;=TIME(0,3,0),(I136-G136)&lt;TIME(0,5,0)),"RETRASO DE 3-5 MIN",IF(AND((I136-G136)&gt;=TIME(0,5,0),(I136-G136)&lt;TIME(0,10,0)),"RETRASO DE 5-10 MIN",IF((I136-G136)&gt;=TIME(0,10,0),"RETRASO &gt;10 MIN", IF(AND((G136-I136)&gt;=TIME(0,0,0),(G136-I136)&lt;TIME(0,3,0)),"OK",IF((G136-I136)&gt;=TIME(0,3,0),"ADELANTADO")))))))</f>
        <v/>
      </c>
      <c r="I136" s="89" t="n"/>
      <c r="J136" s="89">
        <f>IF(A136&lt;&gt;"",HLOOKUP(VALUE(TEXT(G136,"h:mm:ss")),IF($C$6="Laboral",$FZ$4:$GX$227,IF($C$6="Sábado",$FZ$231:$GX$452,$FZ$456:$GX$656)),VLOOKUP($C$4,$HF$2:$HH$99,3,0)+IF(C$5="Ida",0,1),1),"")</f>
        <v/>
      </c>
      <c r="K136" s="89">
        <f>IF(A137&lt;&gt;A136,AVERAGEIF(A$9:A136,A136,J$9:J136),"")</f>
        <v/>
      </c>
      <c r="L136" s="89">
        <f>IFERROR(IF(A137&lt;&gt;A136,AVERAGEIF(A$9:A136,A136,S$9:S136),""),"")</f>
        <v/>
      </c>
      <c r="M136" s="89">
        <f>IFERROR(IF(A137&lt;&gt;A136,AVERAGEIF(A$9:A136,A136,T$9:T136),""),"")</f>
        <v/>
      </c>
      <c r="N136" s="89">
        <f t="array" ref="N136">IFERROR(IF(A137&lt;&gt;A136,_xlfn.STDEV.P(IF(A$9:A136=A136,T$9:T136)),""),"")</f>
        <v/>
      </c>
      <c r="O136" s="89">
        <f t="array" ref="O136">IFERROR(IF(A137&lt;&gt;A136,_xlfn.STDEV.P(IF(A$9:A136=A136,S$9:S136)),""),"")</f>
        <v/>
      </c>
      <c r="P136" s="90">
        <f>IFERROR(IF(A136&lt;&gt;A137,MAX((((M136*24*60)/2)*(1+POWER((((N136*24*60) / (M136*24*60) )),2))) + ((M136*24*60 )*-0.1 + (K136*0.015)) +1,(((M136*24*60)/2)*(1+POWER((((N136*24*60) / (M136*24*60 ))),2)))),""),"")</f>
        <v/>
      </c>
      <c r="Q136" s="90">
        <f>IF(AND(O136&lt;&gt;"",L136&lt;&gt;""),IF(A136&lt;&gt;A137,((L136*24*60) / 2 ) * (1 + POWER(((O136*24*60) / (L136*24*60)),2)),""),"")</f>
        <v/>
      </c>
      <c r="R136" s="90">
        <f>IF(Q136&lt;&gt;"",MAX(P136,Q136),"")</f>
        <v/>
      </c>
      <c r="S136" s="89">
        <f>IF(I136&lt;&gt;"H. Sale Real",IF(AND(I137&lt;&gt;"",LEFT(C137,2)&lt;&gt;"Va"),IF(AND(I136&lt;&gt;"",LEFT(C136,2)&lt;&gt;"Va",I136&lt;&gt;"H. Sale Real"),IF(I137-I136&lt;0.208333333333333,I137-I136,""),IF(AND(I135&lt;&gt;"",LEFT(C135,2)&lt;&gt;"Va",I135&lt;&gt;"H. Sale Real"),IF(I137-I135&lt;0.208333333333333,I137-I135,""),IF(AND(I134&lt;&gt;"",LEFT(C134,2)&lt;&gt;"Va",I134&lt;&gt;"H. Sale Real"),IF(I137-I134&lt;0.208333333333333,I137-I134,""),IF(AND(I133&lt;&gt;"",LEFT(C133,2)&lt;&gt;"Va",I133&lt;&gt;"H. Sale Real"),IF(I137-I133&lt;0.208333333333333,I137-I133,""),IF(AND(I132&lt;&gt;"",LEFT(C132,2)&lt;&gt;"Va",I132&lt;&gt;"H. Sale Real"),IF(I137-I132&lt;0.208333333333333,I137-I132,""),""))))),""),"")</f>
        <v/>
      </c>
      <c r="T136" s="89">
        <f>IF(G136&lt;&gt;"H. Sale Real",IF(AND(G137&lt;&gt;"",LEFT(C137,2)&lt;&gt;"Va"),IF(AND(G136&lt;&gt;"",LEFT(C136,2)&lt;&gt;"Va",G136&lt;&gt;"H. Sale Real"),IF(G137-G136&lt;0.208333333333333,G137-G136,""),IF(AND(G135&lt;&gt;"",LEFT(C135,2)&lt;&gt;"Va",G135&lt;&gt;"H. Sale Real"),IF(G137-G135&lt;0.208333333333333,G137-G135,""),IF(AND(G134&lt;&gt;"",LEFT(C134,2)&lt;&gt;"Va",G134&lt;&gt;"H. Sale Real"),IF(G137-G134&lt;0.208333333333333,G137-G134,""),IF(AND(G133&lt;&gt;"",LEFT(C133,2)&lt;&gt;"Va",G133&lt;&gt;"H. Sale Real"),IF(G137-G133&lt;0.208333333333333,G137-G133,""),IF(AND(G132&lt;&gt;"",LEFT(C132,2)&lt;&gt;"Va",G132&lt;&gt;"H. Sale Real"),IF(G137-G132&lt;0.208333333333333,G137-G132,""),""))))),""),"")</f>
        <v/>
      </c>
      <c r="U136" s="87" t="n"/>
      <c r="V136" s="89" t="n"/>
      <c r="W136" s="87" t="n"/>
      <c r="X136" s="89" t="n"/>
      <c r="Y136" s="91" t="n"/>
      <c r="Z136" s="122">
        <f>IF(G136&lt;&gt;"",IF(AND(Z135&lt;&gt;"IE",P136&lt;&gt;0,R136&lt;&gt;""),IF(IFERROR((P136/R136),0) &lt;=1,IFERROR(P136/R136,""),1),""),"")</f>
        <v/>
      </c>
      <c r="AA136" s="93" t="n"/>
      <c r="AB136" s="2" t="n"/>
      <c r="AE136" s="10">
        <f>HOUR(AK136)+1</f>
        <v/>
      </c>
      <c r="AF136" s="7" t="n"/>
      <c r="AG136" s="7" t="n"/>
      <c r="AH136" s="86" t="n"/>
      <c r="AI136" s="8" t="n"/>
      <c r="AJ136" s="86" t="n"/>
      <c r="AK136" s="87" t="n"/>
      <c r="AL136" s="88">
        <f>IF(AM136="","",IF(AND((AM136-AK136)&gt;=TIME(0,0,0),(AM136-AK136)&lt;TIME(0,3,0)),"OK",IF(AND((AM136-AK136)&gt;=TIME(0,3,0),(AM136-AK136)&lt;TIME(0,5,0)),"RETRASO DE 3-5 MIN",IF(AND((AM136-AK136)&gt;=TIME(0,5,0),(AM136-AK136)&lt;TIME(0,10,0)),"RETRASO DE 5-10 MIN",IF((AM136-AK136)&gt;=TIME(0,10,0),"RETRASO &gt;10 MIN", IF(AND((AK136-AM136)&gt;=TIME(0,0,0),(AK136-AM136)&lt;TIME(0,3,0)),"OK",IF((AK136-AM136)&gt;=TIME(0,3,0),"ADELANTADO")))))))</f>
        <v/>
      </c>
      <c r="AM136" s="91" t="n"/>
      <c r="AN136" s="89">
        <f>IF(AE136&lt;&gt;"",HLOOKUP(VALUE(TEXT(AK136,"h:mm:ss")),IF($C$6="Laboral",$FZ$4:$GX$227,IF($C$6="Sábado",$FZ$231:$GX$452,$FZ$456:$GX$656)),VLOOKUP($C$4,$HF$2:$HH$99,3,0)+IF(AG$5="Ida",0,1),1),"")</f>
        <v/>
      </c>
      <c r="AO136" s="89">
        <f>IF(AE137&lt;&gt;AE136,AVERAGEIF(AE$9:AE136,AE136,AN$9:AN136),"")</f>
        <v/>
      </c>
      <c r="AP136" s="89">
        <f>IFERROR(IF(AE137&lt;&gt;AE136,AVERAGEIF(AE$9:AE136,AE136,AW$9:AW136),""),"")</f>
        <v/>
      </c>
      <c r="AQ136" s="89">
        <f>IFERROR(IF(AE137&lt;&gt;AE136,AVERAGEIF(AE$9:AE136,AE136,AX$9:AX136),""),"")</f>
        <v/>
      </c>
      <c r="AR136" s="89">
        <f t="array" ref="AR136">IFERROR(IF(AE137&lt;&gt;AE136,_xlfn.STDEV.P(IF(AE$9:AE136=AE136,AX$9:AX136)),""),"")</f>
        <v/>
      </c>
      <c r="AS136" s="89">
        <f t="array" ref="AS136">IFERROR(IF(AE137&lt;&gt;AE136,_xlfn.STDEV.P(IF(AE$9:AE136=AE136,AW$9:AW136)),""),"")</f>
        <v/>
      </c>
      <c r="AT136" s="90">
        <f>IFERROR(IF(AE136&lt;&gt;AE137,MAX((((AQ136*24*60)/2)*(1+POWER((((AR136*24*60) / (AQ136*24*60) )),2))) + ((AQ136*24*60 )*-0.1 + (AO136*0.015)) +1,(((AQ136*24*60)/2)*(1+POWER((((AR136*24*60) / (AQ136*24*60 ))),2)))),""),"")</f>
        <v/>
      </c>
      <c r="AU136" s="90">
        <f>IF(AND(AS136&lt;&gt;"",AP136&lt;&gt;""),IF(AE136&lt;&gt;AE137,((AP136*24*60) / 2 ) * (1 + POWER(((AS136*24*60) / (AP136*24*60)),2)),""),"")</f>
        <v/>
      </c>
      <c r="AV136" s="90">
        <f>IF(AU136&lt;&gt;"",MAX(AT136,AU136),"")</f>
        <v/>
      </c>
      <c r="AW136" s="89">
        <f>IF(AM136&lt;&gt;"H. Sale Real",IF(AND(AM137&lt;&gt;"",LEFT(AG137,2)&lt;&gt;"Va"),IF(AND(AM136&lt;&gt;"",LEFT(AG136,2)&lt;&gt;"Va",AM136&lt;&gt;"H. Sale Real"),IF(AM137-AM136&lt;0.208333333333333,AM137-AM136,""),IF(AND(AM135&lt;&gt;"",LEFT(AG135,2)&lt;&gt;"Va",AM135&lt;&gt;"H. Sale Real"),IF(AM137-AM135&lt;0.208333333333333,AM137-AM135,""),IF(AND(AM134&lt;&gt;"",LEFT(AG134,2)&lt;&gt;"Va",AM134&lt;&gt;"H. Sale Real"),IF(AM137-AM134&lt;0.208333333333333,AM137-AM134,""),IF(AND(AM133&lt;&gt;"",LEFT(AG133,2)&lt;&gt;"Va",AM133&lt;&gt;"H. Sale Real"),IF(AM137-AM133&lt;0.208333333333333,AM137-AM133,""),IF(AND(AM132&lt;&gt;"",LEFT(AG132,2)&lt;&gt;"Va",AM132&lt;&gt;"H. Sale Real"),IF(AM137-AM132&lt;0.208333333333333,AM137-AM132,""),""))))),""),"")</f>
        <v/>
      </c>
      <c r="AX136" s="89">
        <f>IF(AK136&lt;&gt;"H. Sale Real",IF(AND(AK137&lt;&gt;"",LEFT(AG137,2)&lt;&gt;"Va"),IF(AND(AK136&lt;&gt;"",LEFT(AG136,2)&lt;&gt;"Va",AK136&lt;&gt;"H. Sale Real"),IF(AK137-AK136&lt;0.208333333333333,AK137-AK136,""),IF(AND(AK135&lt;&gt;"",LEFT(AG135,2)&lt;&gt;"Va",AK135&lt;&gt;"H. Sale Real"),IF(AK137-AK135&lt;0.208333333333333,AK137-AK135,""),IF(AND(AK134&lt;&gt;"",LEFT(AG134,2)&lt;&gt;"NC",AK134&lt;&gt;"H. Sale Real"),IF(AK137-AK134&lt;0.208333333333333,AK137-AK134,""),IF(AND(AK133&lt;&gt;"",LEFT(AG133,2)&lt;&gt;"Va",AK133&lt;&gt;"H. Sale Real"),IF(AK137-AK133&lt;0.208333333333333,AK137-AK133,""),IF(AND(AK132&lt;&gt;"",LEFT(AG132,2)&lt;&gt;"Va",AK132&lt;&gt;"H. Sale Real"),IF(AK137-AK132&lt;0.208333333333333,AK137-AK132,""),""))))),""),"")</f>
        <v/>
      </c>
      <c r="AY136" s="87" t="n"/>
      <c r="AZ136" s="89" t="n"/>
      <c r="BA136" s="87" t="n"/>
      <c r="BB136" s="89" t="n"/>
      <c r="BC136" s="91" t="n"/>
      <c r="BD136" s="122">
        <f>IF(AK136&lt;&gt;"",IF(AND(BD135&lt;&gt;"IE",AT136&lt;&gt;0,AV136&lt;&gt;""),IF(IFERROR((AT136/AV136),0) &lt;=1,IFERROR(AT136/AV136,""),1),""),"")</f>
        <v/>
      </c>
      <c r="BE136" s="93" t="n"/>
      <c r="BF136" s="105" t="n"/>
      <c r="FC136" t="inlineStr">
        <is>
          <t>Diccionario 1</t>
        </is>
      </c>
      <c r="FD136" s="15" t="n">
        <v>1133</v>
      </c>
      <c r="FE136" s="15" t="inlineStr">
        <is>
          <t>LDYECS316S0043974</t>
        </is>
      </c>
      <c r="FF136" s="15" t="inlineStr">
        <is>
          <t>MDN35025020079</t>
        </is>
      </c>
      <c r="FG136" s="15" t="inlineStr">
        <is>
          <t>Zhong Tong</t>
        </is>
      </c>
      <c r="FH136" s="15" t="inlineStr">
        <is>
          <t>Lck6122evg</t>
        </is>
      </c>
      <c r="FI136" s="15" t="inlineStr">
        <is>
          <t>ZHONGTONG</t>
        </is>
      </c>
      <c r="FJ136" s="15" t="inlineStr">
        <is>
          <t>LCK6122EVG</t>
        </is>
      </c>
      <c r="FK136" s="15" t="n">
        <v>2025</v>
      </c>
      <c r="FL136" s="15" t="inlineStr">
        <is>
          <t>B</t>
        </is>
      </c>
      <c r="FM136" s="15" t="inlineStr">
        <is>
          <t>LOS LIBERTADORES</t>
        </is>
      </c>
      <c r="FN136" s="15" t="inlineStr">
        <is>
          <t>Los Liberadores 6450, Lote 4A</t>
        </is>
      </c>
      <c r="FO136" s="15" t="inlineStr">
        <is>
          <t>Huechuraba</t>
        </is>
      </c>
      <c r="FP136" t="inlineStr">
        <is>
          <t>B</t>
        </is>
      </c>
      <c r="FS136" s="14" t="inlineStr">
        <is>
          <t>3033 / SFVZ-29|</t>
        </is>
      </c>
      <c r="FT136" t="inlineStr">
        <is>
          <t>SFVZ-29|</t>
        </is>
      </c>
      <c r="FU136" t="inlineStr">
        <is>
          <t>SFVZ-29</t>
        </is>
      </c>
      <c r="FV136">
        <f>VLOOKUP(FU136,FD:FL,9,0)</f>
        <v/>
      </c>
      <c r="HA136" s="35" t="n">
        <v>133</v>
      </c>
      <c r="HB136" s="35" t="n">
        <v>130</v>
      </c>
    </row>
    <row r="137" ht="15.5" customHeight="1">
      <c r="A137" s="10">
        <f>HOUR(G137)+1</f>
        <v/>
      </c>
      <c r="B137" s="7" t="n"/>
      <c r="C137" s="7" t="n"/>
      <c r="D137" s="85">
        <f>IFERROR(
IF(AND(OR(Planilla!B137="C",Planilla!B137="c"), VLOOKUP(E137,FD:FP,13,0)="C"), "OK",IF(AND(OR(Planilla!B137="C",Planilla!B137="c"), OR(VLOOKUP(E137,FD:FP,13,0)="B", VLOOKUP(E137,FD:FP,13,0)="A")), "DEFICIT",IF(
AND(OR(Planilla!B137="B", Planilla!B137="BPAL"), VLOOKUP(E137,FD:FP,13,0)="B"), "OK",IF(AND(OR(Planilla!B137="B", Planilla!B137="BPAL"), VLOOKUP(E137,FD:FP,13,0)="A"), "DEFICIT",IF(AND(OR(Planilla!B137="B", Planilla!B137="BPAL"), VLOOKUP(E137,FD:FP,13,0)="C"), "SOBREOFERTA",IF(AND(Planilla!B137="A", VLOOKUP(E137,FD:FP,13,0)="A"), "OK",IF(
AND(Planilla!B137="A", OR(VLOOKUP(E137,FD:FP,13,0)="B", VLOOKUP(E137,FD:FP,13,0)="C")), "SOBREOFERTA",""
))))))),"")</f>
        <v/>
      </c>
      <c r="E137" s="8" t="n"/>
      <c r="F137" s="86" t="n"/>
      <c r="G137" s="87" t="n"/>
      <c r="H137" s="88">
        <f>IF(I137="","",IF(AND((I137-G137)&gt;=TIME(0,0,0),(I137-G137)&lt;TIME(0,3,0)),"OK",IF(AND((I137-G137)&gt;=TIME(0,3,0),(I137-G137)&lt;TIME(0,5,0)),"RETRASO DE 3-5 MIN",IF(AND((I137-G137)&gt;=TIME(0,5,0),(I137-G137)&lt;TIME(0,10,0)),"RETRASO DE 5-10 MIN",IF((I137-G137)&gt;=TIME(0,10,0),"RETRASO &gt;10 MIN", IF(AND((G137-I137)&gt;=TIME(0,0,0),(G137-I137)&lt;TIME(0,3,0)),"OK",IF((G137-I137)&gt;=TIME(0,3,0),"ADELANTADO")))))))</f>
        <v/>
      </c>
      <c r="I137" s="89" t="n"/>
      <c r="J137" s="89">
        <f>IF(A137&lt;&gt;"",HLOOKUP(VALUE(TEXT(G137,"h:mm:ss")),IF($C$6="Laboral",$FZ$4:$GX$227,IF($C$6="Sábado",$FZ$231:$GX$452,$FZ$456:$GX$656)),VLOOKUP($C$4,$HF$2:$HH$99,3,0)+IF(C$5="Ida",0,1),1),"")</f>
        <v/>
      </c>
      <c r="K137" s="89">
        <f>IF(A138&lt;&gt;A137,AVERAGEIF(A$9:A137,A137,J$9:J137),"")</f>
        <v/>
      </c>
      <c r="L137" s="89">
        <f>IFERROR(IF(A138&lt;&gt;A137,AVERAGEIF(A$9:A137,A137,S$9:S137),""),"")</f>
        <v/>
      </c>
      <c r="M137" s="89">
        <f>IFERROR(IF(A138&lt;&gt;A137,AVERAGEIF(A$9:A137,A137,T$9:T137),""),"")</f>
        <v/>
      </c>
      <c r="N137" s="89">
        <f t="array" ref="N137">IFERROR(IF(A138&lt;&gt;A137,_xlfn.STDEV.P(IF(A$9:A137=A137,T$9:T137)),""),"")</f>
        <v/>
      </c>
      <c r="O137" s="89">
        <f t="array" ref="O137">IFERROR(IF(A138&lt;&gt;A137,_xlfn.STDEV.P(IF(A$9:A137=A137,S$9:S137)),""),"")</f>
        <v/>
      </c>
      <c r="P137" s="90">
        <f>IFERROR(IF(A137&lt;&gt;A138,MAX((((M137*24*60)/2)*(1+POWER((((N137*24*60) / (M137*24*60) )),2))) + ((M137*24*60 )*-0.1 + (K137*0.015)) +1,(((M137*24*60)/2)*(1+POWER((((N137*24*60) / (M137*24*60 ))),2)))),""),"")</f>
        <v/>
      </c>
      <c r="Q137" s="90">
        <f>IF(AND(O137&lt;&gt;"",L137&lt;&gt;""),IF(A137&lt;&gt;A138,((L137*24*60) / 2 ) * (1 + POWER(((O137*24*60) / (L137*24*60)),2)),""),"")</f>
        <v/>
      </c>
      <c r="R137" s="90">
        <f>IF(Q137&lt;&gt;"",MAX(P137,Q137),"")</f>
        <v/>
      </c>
      <c r="S137" s="89">
        <f>IF(I137&lt;&gt;"H. Sale Real",IF(AND(I138&lt;&gt;"",LEFT(C138,2)&lt;&gt;"Va"),IF(AND(I137&lt;&gt;"",LEFT(C137,2)&lt;&gt;"Va",I137&lt;&gt;"H. Sale Real"),IF(I138-I137&lt;0.208333333333333,I138-I137,""),IF(AND(I136&lt;&gt;"",LEFT(C136,2)&lt;&gt;"Va",I136&lt;&gt;"H. Sale Real"),IF(I138-I136&lt;0.208333333333333,I138-I136,""),IF(AND(I135&lt;&gt;"",LEFT(C135,2)&lt;&gt;"Va",I135&lt;&gt;"H. Sale Real"),IF(I138-I135&lt;0.208333333333333,I138-I135,""),IF(AND(I134&lt;&gt;"",LEFT(C134,2)&lt;&gt;"Va",I134&lt;&gt;"H. Sale Real"),IF(I138-I134&lt;0.208333333333333,I138-I134,""),IF(AND(I133&lt;&gt;"",LEFT(C133,2)&lt;&gt;"Va",I133&lt;&gt;"H. Sale Real"),IF(I138-I133&lt;0.208333333333333,I138-I133,""),""))))),""),"")</f>
        <v/>
      </c>
      <c r="T137" s="89">
        <f>IF(G137&lt;&gt;"H. Sale Real",IF(AND(G138&lt;&gt;"",LEFT(C138,2)&lt;&gt;"Va"),IF(AND(G137&lt;&gt;"",LEFT(C137,2)&lt;&gt;"Va",G137&lt;&gt;"H. Sale Real"),IF(G138-G137&lt;0.208333333333333,G138-G137,""),IF(AND(G136&lt;&gt;"",LEFT(C136,2)&lt;&gt;"Va",G136&lt;&gt;"H. Sale Real"),IF(G138-G136&lt;0.208333333333333,G138-G136,""),IF(AND(G135&lt;&gt;"",LEFT(C135,2)&lt;&gt;"Va",G135&lt;&gt;"H. Sale Real"),IF(G138-G135&lt;0.208333333333333,G138-G135,""),IF(AND(G134&lt;&gt;"",LEFT(C134,2)&lt;&gt;"Va",G134&lt;&gt;"H. Sale Real"),IF(G138-G134&lt;0.208333333333333,G138-G134,""),IF(AND(G133&lt;&gt;"",LEFT(C133,2)&lt;&gt;"Va",G133&lt;&gt;"H. Sale Real"),IF(G138-G133&lt;0.208333333333333,G138-G133,""),""))))),""),"")</f>
        <v/>
      </c>
      <c r="U137" s="87" t="n"/>
      <c r="V137" s="89" t="n"/>
      <c r="W137" s="87" t="n"/>
      <c r="X137" s="89" t="n"/>
      <c r="Y137" s="91" t="n"/>
      <c r="Z137" s="122">
        <f>IF(G137&lt;&gt;"",IF(AND(Z136&lt;&gt;"IE",P137&lt;&gt;0,R137&lt;&gt;""),IF(IFERROR((P137/R137),0) &lt;=1,IFERROR(P137/R137,""),1),""),"")</f>
        <v/>
      </c>
      <c r="AA137" s="93" t="n"/>
      <c r="AB137" s="2" t="n"/>
      <c r="AE137" s="10">
        <f>HOUR(AK137)+1</f>
        <v/>
      </c>
      <c r="AF137" s="7" t="n"/>
      <c r="AG137" s="7" t="n"/>
      <c r="AH137" s="86" t="n"/>
      <c r="AI137" s="8" t="n"/>
      <c r="AJ137" s="86" t="n"/>
      <c r="AK137" s="87" t="n"/>
      <c r="AL137" s="88">
        <f>IF(AM137="","",IF(AND((AM137-AK137)&gt;=TIME(0,0,0),(AM137-AK137)&lt;TIME(0,3,0)),"OK",IF(AND((AM137-AK137)&gt;=TIME(0,3,0),(AM137-AK137)&lt;TIME(0,5,0)),"RETRASO DE 3-5 MIN",IF(AND((AM137-AK137)&gt;=TIME(0,5,0),(AM137-AK137)&lt;TIME(0,10,0)),"RETRASO DE 5-10 MIN",IF((AM137-AK137)&gt;=TIME(0,10,0),"RETRASO &gt;10 MIN", IF(AND((AK137-AM137)&gt;=TIME(0,0,0),(AK137-AM137)&lt;TIME(0,3,0)),"OK",IF((AK137-AM137)&gt;=TIME(0,3,0),"ADELANTADO")))))))</f>
        <v/>
      </c>
      <c r="AM137" s="91" t="n"/>
      <c r="AN137" s="89">
        <f>IF(AE137&lt;&gt;"",HLOOKUP(VALUE(TEXT(AK137,"h:mm:ss")),IF($C$6="Laboral",$FZ$4:$GX$227,IF($C$6="Sábado",$FZ$231:$GX$452,$FZ$456:$GX$656)),VLOOKUP($C$4,$HF$2:$HH$99,3,0)+IF(AG$5="Ida",0,1),1),"")</f>
        <v/>
      </c>
      <c r="AO137" s="89">
        <f>IF(AE138&lt;&gt;AE137,AVERAGEIF(AE$9:AE137,AE137,AN$9:AN137),"")</f>
        <v/>
      </c>
      <c r="AP137" s="89">
        <f>IFERROR(IF(AE138&lt;&gt;AE137,AVERAGEIF(AE$9:AE137,AE137,AW$9:AW137),""),"")</f>
        <v/>
      </c>
      <c r="AQ137" s="89">
        <f>IFERROR(IF(AE138&lt;&gt;AE137,AVERAGEIF(AE$9:AE137,AE137,AX$9:AX137),""),"")</f>
        <v/>
      </c>
      <c r="AR137" s="89">
        <f t="array" ref="AR137">IFERROR(IF(AE138&lt;&gt;AE137,_xlfn.STDEV.P(IF(AE$9:AE137=AE137,AX$9:AX137)),""),"")</f>
        <v/>
      </c>
      <c r="AS137" s="89">
        <f t="array" ref="AS137">IFERROR(IF(AE138&lt;&gt;AE137,_xlfn.STDEV.P(IF(AE$9:AE137=AE137,AW$9:AW137)),""),"")</f>
        <v/>
      </c>
      <c r="AT137" s="90">
        <f>IFERROR(IF(AE137&lt;&gt;AE138,MAX((((AQ137*24*60)/2)*(1+POWER((((AR137*24*60) / (AQ137*24*60) )),2))) + ((AQ137*24*60 )*-0.1 + (AO137*0.015)) +1,(((AQ137*24*60)/2)*(1+POWER((((AR137*24*60) / (AQ137*24*60 ))),2)))),""),"")</f>
        <v/>
      </c>
      <c r="AU137" s="90">
        <f>IF(AND(AS137&lt;&gt;"",AP137&lt;&gt;""),IF(AE137&lt;&gt;AE138,((AP137*24*60) / 2 ) * (1 + POWER(((AS137*24*60) / (AP137*24*60)),2)),""),"")</f>
        <v/>
      </c>
      <c r="AV137" s="90">
        <f>IF(AU137&lt;&gt;"",MAX(AT137,AU137),"")</f>
        <v/>
      </c>
      <c r="AW137" s="89">
        <f>IF(AM137&lt;&gt;"H. Sale Real",IF(AND(AM138&lt;&gt;"",LEFT(AG138,2)&lt;&gt;"Va"),IF(AND(AM137&lt;&gt;"",LEFT(AG137,2)&lt;&gt;"Va",AM137&lt;&gt;"H. Sale Real"),IF(AM138-AM137&lt;0.208333333333333,AM138-AM137,""),IF(AND(AM136&lt;&gt;"",LEFT(AG136,2)&lt;&gt;"Va",AM136&lt;&gt;"H. Sale Real"),IF(AM138-AM136&lt;0.208333333333333,AM138-AM136,""),IF(AND(AM135&lt;&gt;"",LEFT(AG135,2)&lt;&gt;"Va",AM135&lt;&gt;"H. Sale Real"),IF(AM138-AM135&lt;0.208333333333333,AM138-AM135,""),IF(AND(AM134&lt;&gt;"",LEFT(AG134,2)&lt;&gt;"Va",AM134&lt;&gt;"H. Sale Real"),IF(AM138-AM134&lt;0.208333333333333,AM138-AM134,""),IF(AND(AM133&lt;&gt;"",LEFT(AG133,2)&lt;&gt;"Va",AM133&lt;&gt;"H. Sale Real"),IF(AM138-AM133&lt;0.208333333333333,AM138-AM133,""),""))))),""),"")</f>
        <v/>
      </c>
      <c r="AX137" s="89">
        <f>IF(AK137&lt;&gt;"H. Sale Real",IF(AND(AK138&lt;&gt;"",LEFT(AG138,2)&lt;&gt;"Va"),IF(AND(AK137&lt;&gt;"",LEFT(AG137,2)&lt;&gt;"Va",AK137&lt;&gt;"H. Sale Real"),IF(AK138-AK137&lt;0.208333333333333,AK138-AK137,""),IF(AND(AK136&lt;&gt;"",LEFT(AG136,2)&lt;&gt;"Va",AK136&lt;&gt;"H. Sale Real"),IF(AK138-AK136&lt;0.208333333333333,AK138-AK136,""),IF(AND(AK135&lt;&gt;"",LEFT(AG135,2)&lt;&gt;"NC",AK135&lt;&gt;"H. Sale Real"),IF(AK138-AK135&lt;0.208333333333333,AK138-AK135,""),IF(AND(AK134&lt;&gt;"",LEFT(AG134,2)&lt;&gt;"Va",AK134&lt;&gt;"H. Sale Real"),IF(AK138-AK134&lt;0.208333333333333,AK138-AK134,""),IF(AND(AK133&lt;&gt;"",LEFT(AG133,2)&lt;&gt;"Va",AK133&lt;&gt;"H. Sale Real"),IF(AK138-AK133&lt;0.208333333333333,AK138-AK133,""),""))))),""),"")</f>
        <v/>
      </c>
      <c r="AY137" s="87" t="n"/>
      <c r="AZ137" s="89" t="n"/>
      <c r="BA137" s="87" t="n"/>
      <c r="BB137" s="89" t="n"/>
      <c r="BC137" s="91" t="n"/>
      <c r="BD137" s="122">
        <f>IF(AK137&lt;&gt;"",IF(AND(BD136&lt;&gt;"IE",AT137&lt;&gt;0,AV137&lt;&gt;""),IF(IFERROR((AT137/AV137),0) &lt;=1,IFERROR(AT137/AV137,""),1),""),"")</f>
        <v/>
      </c>
      <c r="BE137" s="93" t="n"/>
      <c r="BF137" s="105" t="n"/>
      <c r="FC137" t="inlineStr">
        <is>
          <t>Diccionario 1</t>
        </is>
      </c>
      <c r="FD137" s="15" t="n">
        <v>1134</v>
      </c>
      <c r="FE137" s="15" t="inlineStr">
        <is>
          <t>LDYECS311S0043980</t>
        </is>
      </c>
      <c r="FF137" s="15" t="inlineStr">
        <is>
          <t>MDN35025020095</t>
        </is>
      </c>
      <c r="FG137" s="15" t="inlineStr">
        <is>
          <t>Zhong Tong</t>
        </is>
      </c>
      <c r="FH137" s="15" t="inlineStr">
        <is>
          <t>Lck6122evg</t>
        </is>
      </c>
      <c r="FI137" s="15" t="inlineStr">
        <is>
          <t>ZHONGTONG</t>
        </is>
      </c>
      <c r="FJ137" s="15" t="inlineStr">
        <is>
          <t>LCK6122EVG</t>
        </is>
      </c>
      <c r="FK137" s="15" t="n">
        <v>2025</v>
      </c>
      <c r="FL137" s="15" t="inlineStr">
        <is>
          <t>B</t>
        </is>
      </c>
      <c r="FM137" s="15" t="inlineStr">
        <is>
          <t>LOS LIBERTADORES</t>
        </is>
      </c>
      <c r="FN137" s="15" t="inlineStr">
        <is>
          <t>Los Liberadores 6450, Lote 4A</t>
        </is>
      </c>
      <c r="FO137" s="15" t="inlineStr">
        <is>
          <t>Huechuraba</t>
        </is>
      </c>
      <c r="FP137" t="inlineStr">
        <is>
          <t>B</t>
        </is>
      </c>
      <c r="FS137" s="14" t="inlineStr">
        <is>
          <t>3033 / SFVZ-29|</t>
        </is>
      </c>
      <c r="FT137" t="inlineStr">
        <is>
          <t>SFVZ-29|</t>
        </is>
      </c>
      <c r="FU137" t="inlineStr">
        <is>
          <t>SFVZ-29</t>
        </is>
      </c>
      <c r="FV137">
        <f>VLOOKUP(FU137,FD:FL,9,0)</f>
        <v/>
      </c>
      <c r="HA137" s="35" t="n">
        <v>134</v>
      </c>
      <c r="HB137" s="35" t="n">
        <v>131</v>
      </c>
    </row>
    <row r="138" ht="15.5" customHeight="1">
      <c r="A138" s="10">
        <f>HOUR(G138)+1</f>
        <v/>
      </c>
      <c r="B138" s="7" t="n"/>
      <c r="C138" s="7" t="n"/>
      <c r="D138" s="85">
        <f>IFERROR(
IF(AND(OR(Planilla!B138="C",Planilla!B138="c"), VLOOKUP(E138,FD:FP,13,0)="C"), "OK",IF(AND(OR(Planilla!B138="C",Planilla!B138="c"), OR(VLOOKUP(E138,FD:FP,13,0)="B", VLOOKUP(E138,FD:FP,13,0)="A")), "DEFICIT",IF(
AND(OR(Planilla!B138="B", Planilla!B138="BPAL"), VLOOKUP(E138,FD:FP,13,0)="B"), "OK",IF(AND(OR(Planilla!B138="B", Planilla!B138="BPAL"), VLOOKUP(E138,FD:FP,13,0)="A"), "DEFICIT",IF(AND(OR(Planilla!B138="B", Planilla!B138="BPAL"), VLOOKUP(E138,FD:FP,13,0)="C"), "SOBREOFERTA",IF(AND(Planilla!B138="A", VLOOKUP(E138,FD:FP,13,0)="A"), "OK",IF(
AND(Planilla!B138="A", OR(VLOOKUP(E138,FD:FP,13,0)="B", VLOOKUP(E138,FD:FP,13,0)="C")), "SOBREOFERTA",""
))))))),"")</f>
        <v/>
      </c>
      <c r="E138" s="8" t="n"/>
      <c r="F138" s="86" t="n"/>
      <c r="G138" s="87" t="n"/>
      <c r="H138" s="88">
        <f>IF(I138="","",IF(AND((I138-G138)&gt;=TIME(0,0,0),(I138-G138)&lt;TIME(0,3,0)),"OK",IF(AND((I138-G138)&gt;=TIME(0,3,0),(I138-G138)&lt;TIME(0,5,0)),"RETRASO DE 3-5 MIN",IF(AND((I138-G138)&gt;=TIME(0,5,0),(I138-G138)&lt;TIME(0,10,0)),"RETRASO DE 5-10 MIN",IF((I138-G138)&gt;=TIME(0,10,0),"RETRASO &gt;10 MIN", IF(AND((G138-I138)&gt;=TIME(0,0,0),(G138-I138)&lt;TIME(0,3,0)),"OK",IF((G138-I138)&gt;=TIME(0,3,0),"ADELANTADO")))))))</f>
        <v/>
      </c>
      <c r="I138" s="89" t="n"/>
      <c r="J138" s="89">
        <f>IF(A138&lt;&gt;"",HLOOKUP(VALUE(TEXT(G138,"h:mm:ss")),IF($C$6="Laboral",$FZ$4:$GX$227,IF($C$6="Sábado",$FZ$231:$GX$452,$FZ$456:$GX$656)),VLOOKUP($C$4,$HF$2:$HH$99,3,0)+IF(C$5="Ida",0,1),1),"")</f>
        <v/>
      </c>
      <c r="K138" s="89">
        <f>IF(A139&lt;&gt;A138,AVERAGEIF(A$9:A138,A138,J$9:J138),"")</f>
        <v/>
      </c>
      <c r="L138" s="89">
        <f>IFERROR(IF(A139&lt;&gt;A138,AVERAGEIF(A$9:A138,A138,S$9:S138),""),"")</f>
        <v/>
      </c>
      <c r="M138" s="89">
        <f>IFERROR(IF(A139&lt;&gt;A138,AVERAGEIF(A$9:A138,A138,T$9:T138),""),"")</f>
        <v/>
      </c>
      <c r="N138" s="89">
        <f t="array" ref="N138">IFERROR(IF(A139&lt;&gt;A138,_xlfn.STDEV.P(IF(A$9:A138=A138,T$9:T138)),""),"")</f>
        <v/>
      </c>
      <c r="O138" s="89">
        <f t="array" ref="O138">IFERROR(IF(A139&lt;&gt;A138,_xlfn.STDEV.P(IF(A$9:A138=A138,S$9:S138)),""),"")</f>
        <v/>
      </c>
      <c r="P138" s="90">
        <f>IFERROR(IF(A138&lt;&gt;A139,MAX((((M138*24*60)/2)*(1+POWER((((N138*24*60) / (M138*24*60) )),2))) + ((M138*24*60 )*-0.1 + (K138*0.015)) +1,(((M138*24*60)/2)*(1+POWER((((N138*24*60) / (M138*24*60 ))),2)))),""),"")</f>
        <v/>
      </c>
      <c r="Q138" s="90">
        <f>IF(AND(O138&lt;&gt;"",L138&lt;&gt;""),IF(A138&lt;&gt;A139,((L138*24*60) / 2 ) * (1 + POWER(((O138*24*60) / (L138*24*60)),2)),""),"")</f>
        <v/>
      </c>
      <c r="R138" s="90">
        <f>IF(Q138&lt;&gt;"",MAX(P138,Q138),"")</f>
        <v/>
      </c>
      <c r="S138" s="89">
        <f>IF(I138&lt;&gt;"H. Sale Real",IF(AND(I139&lt;&gt;"",LEFT(C139,2)&lt;&gt;"Va"),IF(AND(I138&lt;&gt;"",LEFT(C138,2)&lt;&gt;"Va",I138&lt;&gt;"H. Sale Real"),IF(I139-I138&lt;0.208333333333333,I139-I138,""),IF(AND(I137&lt;&gt;"",LEFT(C137,2)&lt;&gt;"Va",I137&lt;&gt;"H. Sale Real"),IF(I139-I137&lt;0.208333333333333,I139-I137,""),IF(AND(I136&lt;&gt;"",LEFT(C136,2)&lt;&gt;"Va",I136&lt;&gt;"H. Sale Real"),IF(I139-I136&lt;0.208333333333333,I139-I136,""),IF(AND(I135&lt;&gt;"",LEFT(C135,2)&lt;&gt;"Va",I135&lt;&gt;"H. Sale Real"),IF(I139-I135&lt;0.208333333333333,I139-I135,""),IF(AND(I134&lt;&gt;"",LEFT(C134,2)&lt;&gt;"Va",I134&lt;&gt;"H. Sale Real"),IF(I139-I134&lt;0.208333333333333,I139-I134,""),""))))),""),"")</f>
        <v/>
      </c>
      <c r="T138" s="89">
        <f>IF(G138&lt;&gt;"H. Sale Real",IF(AND(G139&lt;&gt;"",LEFT(C139,2)&lt;&gt;"Va"),IF(AND(G138&lt;&gt;"",LEFT(C138,2)&lt;&gt;"Va",G138&lt;&gt;"H. Sale Real"),IF(G139-G138&lt;0.208333333333333,G139-G138,""),IF(AND(G137&lt;&gt;"",LEFT(C137,2)&lt;&gt;"Va",G137&lt;&gt;"H. Sale Real"),IF(G139-G137&lt;0.208333333333333,G139-G137,""),IF(AND(G136&lt;&gt;"",LEFT(C136,2)&lt;&gt;"Va",G136&lt;&gt;"H. Sale Real"),IF(G139-G136&lt;0.208333333333333,G139-G136,""),IF(AND(G135&lt;&gt;"",LEFT(C135,2)&lt;&gt;"Va",G135&lt;&gt;"H. Sale Real"),IF(G139-G135&lt;0.208333333333333,G139-G135,""),IF(AND(G134&lt;&gt;"",LEFT(C134,2)&lt;&gt;"Va",G134&lt;&gt;"H. Sale Real"),IF(G139-G134&lt;0.208333333333333,G139-G134,""),""))))),""),"")</f>
        <v/>
      </c>
      <c r="U138" s="87" t="n"/>
      <c r="V138" s="89" t="n"/>
      <c r="W138" s="87" t="n"/>
      <c r="X138" s="89" t="n"/>
      <c r="Y138" s="91" t="n"/>
      <c r="Z138" s="122">
        <f>IF(G138&lt;&gt;"",IF(AND(Z137&lt;&gt;"IE",P138&lt;&gt;0,R138&lt;&gt;""),IF(IFERROR((P138/R138),0) &lt;=1,IFERROR(P138/R138,""),1),""),"")</f>
        <v/>
      </c>
      <c r="AA138" s="93" t="n"/>
      <c r="AB138" s="2" t="n"/>
      <c r="AE138" s="10">
        <f>HOUR(AK138)+1</f>
        <v/>
      </c>
      <c r="AF138" s="7" t="n"/>
      <c r="AG138" s="7" t="n"/>
      <c r="AH138" s="86" t="n"/>
      <c r="AI138" s="8" t="n"/>
      <c r="AJ138" s="86" t="n"/>
      <c r="AK138" s="87" t="n"/>
      <c r="AL138" s="88">
        <f>IF(AM138="","",IF(AND((AM138-AK138)&gt;=TIME(0,0,0),(AM138-AK138)&lt;TIME(0,3,0)),"OK",IF(AND((AM138-AK138)&gt;=TIME(0,3,0),(AM138-AK138)&lt;TIME(0,5,0)),"RETRASO DE 3-5 MIN",IF(AND((AM138-AK138)&gt;=TIME(0,5,0),(AM138-AK138)&lt;TIME(0,10,0)),"RETRASO DE 5-10 MIN",IF((AM138-AK138)&gt;=TIME(0,10,0),"RETRASO &gt;10 MIN", IF(AND((AK138-AM138)&gt;=TIME(0,0,0),(AK138-AM138)&lt;TIME(0,3,0)),"OK",IF((AK138-AM138)&gt;=TIME(0,3,0),"ADELANTADO")))))))</f>
        <v/>
      </c>
      <c r="AM138" s="91" t="n"/>
      <c r="AN138" s="89">
        <f>IF(AE138&lt;&gt;"",HLOOKUP(VALUE(TEXT(AK138,"h:mm:ss")),IF($C$6="Laboral",$FZ$4:$GX$227,IF($C$6="Sábado",$FZ$231:$GX$452,$FZ$456:$GX$656)),VLOOKUP($C$4,$HF$2:$HH$99,3,0)+IF(AG$5="Ida",0,1),1),"")</f>
        <v/>
      </c>
      <c r="AO138" s="89">
        <f>IF(AE139&lt;&gt;AE138,AVERAGEIF(AE$9:AE138,AE138,AN$9:AN138),"")</f>
        <v/>
      </c>
      <c r="AP138" s="89">
        <f>IFERROR(IF(AE139&lt;&gt;AE138,AVERAGEIF(AE$9:AE138,AE138,AW$9:AW138),""),"")</f>
        <v/>
      </c>
      <c r="AQ138" s="89">
        <f>IFERROR(IF(AE139&lt;&gt;AE138,AVERAGEIF(AE$9:AE138,AE138,AX$9:AX138),""),"")</f>
        <v/>
      </c>
      <c r="AR138" s="89">
        <f t="array" ref="AR138">IFERROR(IF(AE139&lt;&gt;AE138,_xlfn.STDEV.P(IF(AE$9:AE138=AE138,AX$9:AX138)),""),"")</f>
        <v/>
      </c>
      <c r="AS138" s="89">
        <f t="array" ref="AS138">IFERROR(IF(AE139&lt;&gt;AE138,_xlfn.STDEV.P(IF(AE$9:AE138=AE138,AW$9:AW138)),""),"")</f>
        <v/>
      </c>
      <c r="AT138" s="90">
        <f>IFERROR(IF(AE138&lt;&gt;AE139,MAX((((AQ138*24*60)/2)*(1+POWER((((AR138*24*60) / (AQ138*24*60) )),2))) + ((AQ138*24*60 )*-0.1 + (AO138*0.015)) +1,(((AQ138*24*60)/2)*(1+POWER((((AR138*24*60) / (AQ138*24*60 ))),2)))),""),"")</f>
        <v/>
      </c>
      <c r="AU138" s="90">
        <f>IF(AND(AS138&lt;&gt;"",AP138&lt;&gt;""),IF(AE138&lt;&gt;AE139,((AP138*24*60) / 2 ) * (1 + POWER(((AS138*24*60) / (AP138*24*60)),2)),""),"")</f>
        <v/>
      </c>
      <c r="AV138" s="90">
        <f>IF(AU138&lt;&gt;"",MAX(AT138,AU138),"")</f>
        <v/>
      </c>
      <c r="AW138" s="89">
        <f>IF(AM138&lt;&gt;"H. Sale Real",IF(AND(AM139&lt;&gt;"",LEFT(AG139,2)&lt;&gt;"Va"),IF(AND(AM138&lt;&gt;"",LEFT(AG138,2)&lt;&gt;"Va",AM138&lt;&gt;"H. Sale Real"),IF(AM139-AM138&lt;0.208333333333333,AM139-AM138,""),IF(AND(AM137&lt;&gt;"",LEFT(AG137,2)&lt;&gt;"Va",AM137&lt;&gt;"H. Sale Real"),IF(AM139-AM137&lt;0.208333333333333,AM139-AM137,""),IF(AND(AM136&lt;&gt;"",LEFT(AG136,2)&lt;&gt;"Va",AM136&lt;&gt;"H. Sale Real"),IF(AM139-AM136&lt;0.208333333333333,AM139-AM136,""),IF(AND(AM135&lt;&gt;"",LEFT(AG135,2)&lt;&gt;"Va",AM135&lt;&gt;"H. Sale Real"),IF(AM139-AM135&lt;0.208333333333333,AM139-AM135,""),IF(AND(AM134&lt;&gt;"",LEFT(AG134,2)&lt;&gt;"Va",AM134&lt;&gt;"H. Sale Real"),IF(AM139-AM134&lt;0.208333333333333,AM139-AM134,""),""))))),""),"")</f>
        <v/>
      </c>
      <c r="AX138" s="89">
        <f>IF(AK138&lt;&gt;"H. Sale Real",IF(AND(AK139&lt;&gt;"",LEFT(AG139,2)&lt;&gt;"Va"),IF(AND(AK138&lt;&gt;"",LEFT(AG138,2)&lt;&gt;"Va",AK138&lt;&gt;"H. Sale Real"),IF(AK139-AK138&lt;0.208333333333333,AK139-AK138,""),IF(AND(AK137&lt;&gt;"",LEFT(AG137,2)&lt;&gt;"Va",AK137&lt;&gt;"H. Sale Real"),IF(AK139-AK137&lt;0.208333333333333,AK139-AK137,""),IF(AND(AK136&lt;&gt;"",LEFT(AG136,2)&lt;&gt;"NC",AK136&lt;&gt;"H. Sale Real"),IF(AK139-AK136&lt;0.208333333333333,AK139-AK136,""),IF(AND(AK135&lt;&gt;"",LEFT(AG135,2)&lt;&gt;"Va",AK135&lt;&gt;"H. Sale Real"),IF(AK139-AK135&lt;0.208333333333333,AK139-AK135,""),IF(AND(AK134&lt;&gt;"",LEFT(AG134,2)&lt;&gt;"Va",AK134&lt;&gt;"H. Sale Real"),IF(AK139-AK134&lt;0.208333333333333,AK139-AK134,""),""))))),""),"")</f>
        <v/>
      </c>
      <c r="AY138" s="87" t="n"/>
      <c r="AZ138" s="89" t="n"/>
      <c r="BA138" s="87" t="n"/>
      <c r="BB138" s="89" t="n"/>
      <c r="BC138" s="91" t="n"/>
      <c r="BD138" s="122">
        <f>IF(AK138&lt;&gt;"",IF(AND(BD137&lt;&gt;"IE",AT138&lt;&gt;0,AV138&lt;&gt;""),IF(IFERROR((AT138/AV138),0) &lt;=1,IFERROR(AT138/AV138,""),1),""),"")</f>
        <v/>
      </c>
      <c r="BE138" s="93" t="n"/>
      <c r="BF138" s="105" t="n"/>
      <c r="FC138" t="inlineStr">
        <is>
          <t>Diccionario 1</t>
        </is>
      </c>
      <c r="FD138" s="15" t="n">
        <v>1135</v>
      </c>
      <c r="FE138" s="15" t="inlineStr">
        <is>
          <t>LDYECS319S0044004</t>
        </is>
      </c>
      <c r="FF138" s="15" t="inlineStr">
        <is>
          <t>MDN35025020057</t>
        </is>
      </c>
      <c r="FG138" s="15" t="inlineStr">
        <is>
          <t>Zhong Tong</t>
        </is>
      </c>
      <c r="FH138" s="15" t="inlineStr">
        <is>
          <t>Lck6122evg</t>
        </is>
      </c>
      <c r="FI138" s="15" t="inlineStr">
        <is>
          <t>ZHONGTONG</t>
        </is>
      </c>
      <c r="FJ138" s="15" t="inlineStr">
        <is>
          <t>LCK6122EVG</t>
        </is>
      </c>
      <c r="FK138" s="15" t="n">
        <v>2025</v>
      </c>
      <c r="FL138" s="15" t="inlineStr">
        <is>
          <t>B</t>
        </is>
      </c>
      <c r="FM138" s="15" t="inlineStr">
        <is>
          <t>LOS LIBERTADORES</t>
        </is>
      </c>
      <c r="FN138" s="15" t="inlineStr">
        <is>
          <t>Los Liberadores 6450, Lote 4A</t>
        </is>
      </c>
      <c r="FO138" s="15" t="inlineStr">
        <is>
          <t>Huechuraba</t>
        </is>
      </c>
      <c r="FP138" t="inlineStr">
        <is>
          <t>B</t>
        </is>
      </c>
      <c r="FS138" s="14" t="inlineStr">
        <is>
          <t>3033 / SFVZ-29|</t>
        </is>
      </c>
      <c r="FT138" t="inlineStr">
        <is>
          <t>SFVZ-29|</t>
        </is>
      </c>
      <c r="FU138" t="inlineStr">
        <is>
          <t>SFVZ-29</t>
        </is>
      </c>
      <c r="FV138">
        <f>VLOOKUP(FU138,FD:FL,9,0)</f>
        <v/>
      </c>
      <c r="HA138" s="35" t="n">
        <v>135</v>
      </c>
      <c r="HB138" s="35" t="n">
        <v>132</v>
      </c>
    </row>
    <row r="139" ht="15.5" customHeight="1">
      <c r="A139" s="10">
        <f>HOUR(G139)+1</f>
        <v/>
      </c>
      <c r="B139" s="7" t="n"/>
      <c r="C139" s="7" t="n"/>
      <c r="D139" s="85">
        <f>IFERROR(
IF(AND(OR(Planilla!B139="C",Planilla!B139="c"), VLOOKUP(E139,FD:FP,13,0)="C"), "OK",IF(AND(OR(Planilla!B139="C",Planilla!B139="c"), OR(VLOOKUP(E139,FD:FP,13,0)="B", VLOOKUP(E139,FD:FP,13,0)="A")), "DEFICIT",IF(
AND(OR(Planilla!B139="B", Planilla!B139="BPAL"), VLOOKUP(E139,FD:FP,13,0)="B"), "OK",IF(AND(OR(Planilla!B139="B", Planilla!B139="BPAL"), VLOOKUP(E139,FD:FP,13,0)="A"), "DEFICIT",IF(AND(OR(Planilla!B139="B", Planilla!B139="BPAL"), VLOOKUP(E139,FD:FP,13,0)="C"), "SOBREOFERTA",IF(AND(Planilla!B139="A", VLOOKUP(E139,FD:FP,13,0)="A"), "OK",IF(
AND(Planilla!B139="A", OR(VLOOKUP(E139,FD:FP,13,0)="B", VLOOKUP(E139,FD:FP,13,0)="C")), "SOBREOFERTA",""
))))))),"")</f>
        <v/>
      </c>
      <c r="E139" s="8" t="n"/>
      <c r="F139" s="86" t="n"/>
      <c r="G139" s="87" t="n"/>
      <c r="H139" s="88">
        <f>IF(I139="","",IF(AND((I139-G139)&gt;=TIME(0,0,0),(I139-G139)&lt;TIME(0,3,0)),"OK",IF(AND((I139-G139)&gt;=TIME(0,3,0),(I139-G139)&lt;TIME(0,5,0)),"RETRASO DE 3-5 MIN",IF(AND((I139-G139)&gt;=TIME(0,5,0),(I139-G139)&lt;TIME(0,10,0)),"RETRASO DE 5-10 MIN",IF((I139-G139)&gt;=TIME(0,10,0),"RETRASO &gt;10 MIN", IF(AND((G139-I139)&gt;=TIME(0,0,0),(G139-I139)&lt;TIME(0,3,0)),"OK",IF((G139-I139)&gt;=TIME(0,3,0),"ADELANTADO")))))))</f>
        <v/>
      </c>
      <c r="I139" s="89" t="n"/>
      <c r="J139" s="89">
        <f>IF(A139&lt;&gt;"",HLOOKUP(VALUE(TEXT(G139,"h:mm:ss")),IF($C$6="Laboral",$FZ$4:$GX$227,IF($C$6="Sábado",$FZ$231:$GX$452,$FZ$456:$GX$656)),VLOOKUP($C$4,$HF$2:$HH$99,3,0)+IF(C$5="Ida",0,1),1),"")</f>
        <v/>
      </c>
      <c r="K139" s="89">
        <f>IF(A140&lt;&gt;A139,AVERAGEIF(A$9:A139,A139,J$9:J139),"")</f>
        <v/>
      </c>
      <c r="L139" s="89">
        <f>IFERROR(IF(A140&lt;&gt;A139,AVERAGEIF(A$9:A139,A139,S$9:S139),""),"")</f>
        <v/>
      </c>
      <c r="M139" s="89">
        <f>IFERROR(IF(A140&lt;&gt;A139,AVERAGEIF(A$9:A139,A139,T$9:T139),""),"")</f>
        <v/>
      </c>
      <c r="N139" s="89">
        <f t="array" ref="N139">IFERROR(IF(A140&lt;&gt;A139,_xlfn.STDEV.P(IF(A$9:A139=A139,T$9:T139)),""),"")</f>
        <v/>
      </c>
      <c r="O139" s="89">
        <f t="array" ref="O139">IFERROR(IF(A140&lt;&gt;A139,_xlfn.STDEV.P(IF(A$9:A139=A139,S$9:S139)),""),"")</f>
        <v/>
      </c>
      <c r="P139" s="90">
        <f>IFERROR(IF(A139&lt;&gt;A140,MAX((((M139*24*60)/2)*(1+POWER((((N139*24*60) / (M139*24*60) )),2))) + ((M139*24*60 )*-0.1 + (K139*0.015)) +1,(((M139*24*60)/2)*(1+POWER((((N139*24*60) / (M139*24*60 ))),2)))),""),"")</f>
        <v/>
      </c>
      <c r="Q139" s="90">
        <f>IF(AND(O139&lt;&gt;"",L139&lt;&gt;""),IF(A139&lt;&gt;A140,((L139*24*60) / 2 ) * (1 + POWER(((O139*24*60) / (L139*24*60)),2)),""),"")</f>
        <v/>
      </c>
      <c r="R139" s="90">
        <f>IF(Q139&lt;&gt;"",MAX(P139,Q139),"")</f>
        <v/>
      </c>
      <c r="S139" s="89">
        <f>IF(I139&lt;&gt;"H. Sale Real",IF(AND(I140&lt;&gt;"",LEFT(C140,2)&lt;&gt;"Va"),IF(AND(I139&lt;&gt;"",LEFT(C139,2)&lt;&gt;"Va",I139&lt;&gt;"H. Sale Real"),IF(I140-I139&lt;0.208333333333333,I140-I139,""),IF(AND(I138&lt;&gt;"",LEFT(C138,2)&lt;&gt;"Va",I138&lt;&gt;"H. Sale Real"),IF(I140-I138&lt;0.208333333333333,I140-I138,""),IF(AND(I137&lt;&gt;"",LEFT(C137,2)&lt;&gt;"Va",I137&lt;&gt;"H. Sale Real"),IF(I140-I137&lt;0.208333333333333,I140-I137,""),IF(AND(I136&lt;&gt;"",LEFT(C136,2)&lt;&gt;"Va",I136&lt;&gt;"H. Sale Real"),IF(I140-I136&lt;0.208333333333333,I140-I136,""),IF(AND(I135&lt;&gt;"",LEFT(C135,2)&lt;&gt;"Va",I135&lt;&gt;"H. Sale Real"),IF(I140-I135&lt;0.208333333333333,I140-I135,""),""))))),""),"")</f>
        <v/>
      </c>
      <c r="T139" s="89">
        <f>IF(G139&lt;&gt;"H. Sale Real",IF(AND(G140&lt;&gt;"",LEFT(C140,2)&lt;&gt;"Va"),IF(AND(G139&lt;&gt;"",LEFT(C139,2)&lt;&gt;"Va",G139&lt;&gt;"H. Sale Real"),IF(G140-G139&lt;0.208333333333333,G140-G139,""),IF(AND(G138&lt;&gt;"",LEFT(C138,2)&lt;&gt;"Va",G138&lt;&gt;"H. Sale Real"),IF(G140-G138&lt;0.208333333333333,G140-G138,""),IF(AND(G137&lt;&gt;"",LEFT(C137,2)&lt;&gt;"Va",G137&lt;&gt;"H. Sale Real"),IF(G140-G137&lt;0.208333333333333,G140-G137,""),IF(AND(G136&lt;&gt;"",LEFT(C136,2)&lt;&gt;"Va",G136&lt;&gt;"H. Sale Real"),IF(G140-G136&lt;0.208333333333333,G140-G136,""),IF(AND(G135&lt;&gt;"",LEFT(C135,2)&lt;&gt;"Va",G135&lt;&gt;"H. Sale Real"),IF(G140-G135&lt;0.208333333333333,G140-G135,""),""))))),""),"")</f>
        <v/>
      </c>
      <c r="U139" s="87" t="n"/>
      <c r="V139" s="89" t="n"/>
      <c r="W139" s="87" t="n"/>
      <c r="X139" s="89" t="n"/>
      <c r="Y139" s="91" t="n"/>
      <c r="Z139" s="122">
        <f>IF(G139&lt;&gt;"",IF(AND(Z138&lt;&gt;"IE",P139&lt;&gt;0,R139&lt;&gt;""),IF(IFERROR((P139/R139),0) &lt;=1,IFERROR(P139/R139,""),1),""),"")</f>
        <v/>
      </c>
      <c r="AA139" s="93" t="n"/>
      <c r="AB139" s="2" t="n"/>
      <c r="AE139" s="10">
        <f>HOUR(AK139)+1</f>
        <v/>
      </c>
      <c r="AF139" s="7" t="n"/>
      <c r="AG139" s="7" t="n"/>
      <c r="AH139" s="86" t="n"/>
      <c r="AI139" s="8" t="n"/>
      <c r="AJ139" s="86" t="n"/>
      <c r="AK139" s="87" t="n"/>
      <c r="AL139" s="88">
        <f>IF(AM139="","",IF(AND((AM139-AK139)&gt;=TIME(0,0,0),(AM139-AK139)&lt;TIME(0,3,0)),"OK",IF(AND((AM139-AK139)&gt;=TIME(0,3,0),(AM139-AK139)&lt;TIME(0,5,0)),"RETRASO DE 3-5 MIN",IF(AND((AM139-AK139)&gt;=TIME(0,5,0),(AM139-AK139)&lt;TIME(0,10,0)),"RETRASO DE 5-10 MIN",IF((AM139-AK139)&gt;=TIME(0,10,0),"RETRASO &gt;10 MIN", IF(AND((AK139-AM139)&gt;=TIME(0,0,0),(AK139-AM139)&lt;TIME(0,3,0)),"OK",IF((AK139-AM139)&gt;=TIME(0,3,0),"ADELANTADO")))))))</f>
        <v/>
      </c>
      <c r="AM139" s="91" t="n"/>
      <c r="AN139" s="89">
        <f>IF(AE139&lt;&gt;"",HLOOKUP(VALUE(TEXT(AK139,"h:mm:ss")),IF($C$6="Laboral",$FZ$4:$GX$227,IF($C$6="Sábado",$FZ$231:$GX$452,$FZ$456:$GX$656)),VLOOKUP($C$4,$HF$2:$HH$99,3,0)+IF(AG$5="Ida",0,1),1),"")</f>
        <v/>
      </c>
      <c r="AO139" s="89">
        <f>IF(AE140&lt;&gt;AE139,AVERAGEIF(AE$9:AE139,AE139,AN$9:AN139),"")</f>
        <v/>
      </c>
      <c r="AP139" s="89">
        <f>IFERROR(IF(AE140&lt;&gt;AE139,AVERAGEIF(AE$9:AE139,AE139,AW$9:AW139),""),"")</f>
        <v/>
      </c>
      <c r="AQ139" s="89">
        <f>IFERROR(IF(AE140&lt;&gt;AE139,AVERAGEIF(AE$9:AE139,AE139,AX$9:AX139),""),"")</f>
        <v/>
      </c>
      <c r="AR139" s="89">
        <f t="array" ref="AR139">IFERROR(IF(AE140&lt;&gt;AE139,_xlfn.STDEV.P(IF(AE$9:AE139=AE139,AX$9:AX139)),""),"")</f>
        <v/>
      </c>
      <c r="AS139" s="89">
        <f t="array" ref="AS139">IFERROR(IF(AE140&lt;&gt;AE139,_xlfn.STDEV.P(IF(AE$9:AE139=AE139,AW$9:AW139)),""),"")</f>
        <v/>
      </c>
      <c r="AT139" s="90">
        <f>IFERROR(IF(AE139&lt;&gt;AE140,MAX((((AQ139*24*60)/2)*(1+POWER((((AR139*24*60) / (AQ139*24*60) )),2))) + ((AQ139*24*60 )*-0.1 + (AO139*0.015)) +1,(((AQ139*24*60)/2)*(1+POWER((((AR139*24*60) / (AQ139*24*60 ))),2)))),""),"")</f>
        <v/>
      </c>
      <c r="AU139" s="90">
        <f>IF(AND(AS139&lt;&gt;"",AP139&lt;&gt;""),IF(AE139&lt;&gt;AE140,((AP139*24*60) / 2 ) * (1 + POWER(((AS139*24*60) / (AP139*24*60)),2)),""),"")</f>
        <v/>
      </c>
      <c r="AV139" s="90">
        <f>IF(AU139&lt;&gt;"",MAX(AT139,AU139),"")</f>
        <v/>
      </c>
      <c r="AW139" s="89">
        <f>IF(AM139&lt;&gt;"H. Sale Real",IF(AND(AM140&lt;&gt;"",LEFT(AG140,2)&lt;&gt;"Va"),IF(AND(AM139&lt;&gt;"",LEFT(AG139,2)&lt;&gt;"Va",AM139&lt;&gt;"H. Sale Real"),IF(AM140-AM139&lt;0.208333333333333,AM140-AM139,""),IF(AND(AM138&lt;&gt;"",LEFT(AG138,2)&lt;&gt;"Va",AM138&lt;&gt;"H. Sale Real"),IF(AM140-AM138&lt;0.208333333333333,AM140-AM138,""),IF(AND(AM137&lt;&gt;"",LEFT(AG137,2)&lt;&gt;"Va",AM137&lt;&gt;"H. Sale Real"),IF(AM140-AM137&lt;0.208333333333333,AM140-AM137,""),IF(AND(AM136&lt;&gt;"",LEFT(AG136,2)&lt;&gt;"Va",AM136&lt;&gt;"H. Sale Real"),IF(AM140-AM136&lt;0.208333333333333,AM140-AM136,""),IF(AND(AM135&lt;&gt;"",LEFT(AG135,2)&lt;&gt;"Va",AM135&lt;&gt;"H. Sale Real"),IF(AM140-AM135&lt;0.208333333333333,AM140-AM135,""),""))))),""),"")</f>
        <v/>
      </c>
      <c r="AX139" s="89">
        <f>IF(AK139&lt;&gt;"H. Sale Real",IF(AND(AK140&lt;&gt;"",LEFT(AG140,2)&lt;&gt;"Va"),IF(AND(AK139&lt;&gt;"",LEFT(AG139,2)&lt;&gt;"Va",AK139&lt;&gt;"H. Sale Real"),IF(AK140-AK139&lt;0.208333333333333,AK140-AK139,""),IF(AND(AK138&lt;&gt;"",LEFT(AG138,2)&lt;&gt;"Va",AK138&lt;&gt;"H. Sale Real"),IF(AK140-AK138&lt;0.208333333333333,AK140-AK138,""),IF(AND(AK137&lt;&gt;"",LEFT(AG137,2)&lt;&gt;"NC",AK137&lt;&gt;"H. Sale Real"),IF(AK140-AK137&lt;0.208333333333333,AK140-AK137,""),IF(AND(AK136&lt;&gt;"",LEFT(AG136,2)&lt;&gt;"Va",AK136&lt;&gt;"H. Sale Real"),IF(AK140-AK136&lt;0.208333333333333,AK140-AK136,""),IF(AND(AK135&lt;&gt;"",LEFT(AG135,2)&lt;&gt;"Va",AK135&lt;&gt;"H. Sale Real"),IF(AK140-AK135&lt;0.208333333333333,AK140-AK135,""),""))))),""),"")</f>
        <v/>
      </c>
      <c r="AY139" s="87" t="n"/>
      <c r="AZ139" s="89" t="n"/>
      <c r="BA139" s="87" t="n"/>
      <c r="BB139" s="89" t="n"/>
      <c r="BC139" s="91" t="n"/>
      <c r="BD139" s="122">
        <f>IF(AK139&lt;&gt;"",IF(AND(BD138&lt;&gt;"IE",AT139&lt;&gt;0,AV139&lt;&gt;""),IF(IFERROR((AT139/AV139),0) &lt;=1,IFERROR(AT139/AV139,""),1),""),"")</f>
        <v/>
      </c>
      <c r="BE139" s="93" t="n"/>
      <c r="BF139" s="105" t="n"/>
      <c r="FC139" t="inlineStr">
        <is>
          <t>Diccionario 1</t>
        </is>
      </c>
      <c r="FD139" s="15" t="n">
        <v>1136</v>
      </c>
      <c r="FE139" s="15" t="inlineStr">
        <is>
          <t>LDYECS312S0043955</t>
        </is>
      </c>
      <c r="FF139" s="15" t="inlineStr">
        <is>
          <t>MDN35025020084</t>
        </is>
      </c>
      <c r="FG139" s="15" t="inlineStr">
        <is>
          <t>Zhong Tong</t>
        </is>
      </c>
      <c r="FH139" s="15" t="inlineStr">
        <is>
          <t>Lck6122evg</t>
        </is>
      </c>
      <c r="FI139" s="15" t="inlineStr">
        <is>
          <t>ZHONGTONG</t>
        </is>
      </c>
      <c r="FJ139" s="15" t="inlineStr">
        <is>
          <t>LCK6122EVG</t>
        </is>
      </c>
      <c r="FK139" s="15" t="n">
        <v>2025</v>
      </c>
      <c r="FL139" s="15" t="inlineStr">
        <is>
          <t>B</t>
        </is>
      </c>
      <c r="FM139" s="15" t="inlineStr">
        <is>
          <t>LOS LIBERTADORES</t>
        </is>
      </c>
      <c r="FN139" s="15" t="inlineStr">
        <is>
          <t>Los Liberadores 6450, Lote 4A</t>
        </is>
      </c>
      <c r="FO139" s="15" t="inlineStr">
        <is>
          <t>Huechuraba</t>
        </is>
      </c>
      <c r="FP139" t="inlineStr">
        <is>
          <t>B</t>
        </is>
      </c>
      <c r="FS139" s="14" t="inlineStr">
        <is>
          <t>3033 / SFVZ-29|</t>
        </is>
      </c>
      <c r="FT139" t="inlineStr">
        <is>
          <t>SFVZ-29|</t>
        </is>
      </c>
      <c r="FU139" t="inlineStr">
        <is>
          <t>SFVZ-29</t>
        </is>
      </c>
      <c r="FV139">
        <f>VLOOKUP(FU139,FD:FL,9,0)</f>
        <v/>
      </c>
      <c r="HA139" s="35" t="n">
        <v>136</v>
      </c>
      <c r="HB139" s="35" t="n">
        <v>133</v>
      </c>
    </row>
    <row r="140" ht="15.5" customHeight="1">
      <c r="A140" s="10">
        <f>HOUR(G140)+1</f>
        <v/>
      </c>
      <c r="B140" s="7" t="n"/>
      <c r="C140" s="7" t="n"/>
      <c r="D140" s="85">
        <f>IFERROR(
IF(AND(OR(Planilla!B140="C",Planilla!B140="c"), VLOOKUP(E140,FD:FP,13,0)="C"), "OK",IF(AND(OR(Planilla!B140="C",Planilla!B140="c"), OR(VLOOKUP(E140,FD:FP,13,0)="B", VLOOKUP(E140,FD:FP,13,0)="A")), "DEFICIT",IF(
AND(OR(Planilla!B140="B", Planilla!B140="BPAL"), VLOOKUP(E140,FD:FP,13,0)="B"), "OK",IF(AND(OR(Planilla!B140="B", Planilla!B140="BPAL"), VLOOKUP(E140,FD:FP,13,0)="A"), "DEFICIT",IF(AND(OR(Planilla!B140="B", Planilla!B140="BPAL"), VLOOKUP(E140,FD:FP,13,0)="C"), "SOBREOFERTA",IF(AND(Planilla!B140="A", VLOOKUP(E140,FD:FP,13,0)="A"), "OK",IF(
AND(Planilla!B140="A", OR(VLOOKUP(E140,FD:FP,13,0)="B", VLOOKUP(E140,FD:FP,13,0)="C")), "SOBREOFERTA",""
))))))),"")</f>
        <v/>
      </c>
      <c r="E140" s="8" t="n"/>
      <c r="F140" s="86" t="n"/>
      <c r="G140" s="87" t="n"/>
      <c r="H140" s="88">
        <f>IF(I140="","",IF(AND((I140-G140)&gt;=TIME(0,0,0),(I140-G140)&lt;TIME(0,3,0)),"OK",IF(AND((I140-G140)&gt;=TIME(0,3,0),(I140-G140)&lt;TIME(0,5,0)),"RETRASO DE 3-5 MIN",IF(AND((I140-G140)&gt;=TIME(0,5,0),(I140-G140)&lt;TIME(0,10,0)),"RETRASO DE 5-10 MIN",IF((I140-G140)&gt;=TIME(0,10,0),"RETRASO &gt;10 MIN", IF(AND((G140-I140)&gt;=TIME(0,0,0),(G140-I140)&lt;TIME(0,3,0)),"OK",IF((G140-I140)&gt;=TIME(0,3,0),"ADELANTADO")))))))</f>
        <v/>
      </c>
      <c r="I140" s="89" t="n"/>
      <c r="J140" s="89">
        <f>IF(A140&lt;&gt;"",HLOOKUP(VALUE(TEXT(G140,"h:mm:ss")),IF($C$6="Laboral",$FZ$4:$GX$227,IF($C$6="Sábado",$FZ$231:$GX$452,$FZ$456:$GX$656)),VLOOKUP($C$4,$HF$2:$HH$99,3,0)+IF(C$5="Ida",0,1),1),"")</f>
        <v/>
      </c>
      <c r="K140" s="89">
        <f>IF(A141&lt;&gt;A140,AVERAGEIF(A$9:A140,A140,J$9:J140),"")</f>
        <v/>
      </c>
      <c r="L140" s="89">
        <f>IFERROR(IF(A141&lt;&gt;A140,AVERAGEIF(A$9:A140,A140,S$9:S140),""),"")</f>
        <v/>
      </c>
      <c r="M140" s="89">
        <f>IFERROR(IF(A141&lt;&gt;A140,AVERAGEIF(A$9:A140,A140,T$9:T140),""),"")</f>
        <v/>
      </c>
      <c r="N140" s="89">
        <f t="array" ref="N140">IFERROR(IF(A141&lt;&gt;A140,_xlfn.STDEV.P(IF(A$9:A140=A140,T$9:T140)),""),"")</f>
        <v/>
      </c>
      <c r="O140" s="89">
        <f t="array" ref="O140">IFERROR(IF(A141&lt;&gt;A140,_xlfn.STDEV.P(IF(A$9:A140=A140,S$9:S140)),""),"")</f>
        <v/>
      </c>
      <c r="P140" s="90">
        <f>IFERROR(IF(A140&lt;&gt;A141,MAX((((M140*24*60)/2)*(1+POWER((((N140*24*60) / (M140*24*60) )),2))) + ((M140*24*60 )*-0.1 + (K140*0.015)) +1,(((M140*24*60)/2)*(1+POWER((((N140*24*60) / (M140*24*60 ))),2)))),""),"")</f>
        <v/>
      </c>
      <c r="Q140" s="90">
        <f>IF(AND(O140&lt;&gt;"",L140&lt;&gt;""),IF(A140&lt;&gt;A141,((L140*24*60) / 2 ) * (1 + POWER(((O140*24*60) / (L140*24*60)),2)),""),"")</f>
        <v/>
      </c>
      <c r="R140" s="90">
        <f>IF(Q140&lt;&gt;"",MAX(P140,Q140),"")</f>
        <v/>
      </c>
      <c r="S140" s="89">
        <f>IF(I140&lt;&gt;"H. Sale Real",IF(AND(I141&lt;&gt;"",LEFT(C141,2)&lt;&gt;"Va"),IF(AND(I140&lt;&gt;"",LEFT(C140,2)&lt;&gt;"Va",I140&lt;&gt;"H. Sale Real"),IF(I141-I140&lt;0.208333333333333,I141-I140,""),IF(AND(I139&lt;&gt;"",LEFT(C139,2)&lt;&gt;"Va",I139&lt;&gt;"H. Sale Real"),IF(I141-I139&lt;0.208333333333333,I141-I139,""),IF(AND(I138&lt;&gt;"",LEFT(C138,2)&lt;&gt;"Va",I138&lt;&gt;"H. Sale Real"),IF(I141-I138&lt;0.208333333333333,I141-I138,""),IF(AND(I137&lt;&gt;"",LEFT(C137,2)&lt;&gt;"Va",I137&lt;&gt;"H. Sale Real"),IF(I141-I137&lt;0.208333333333333,I141-I137,""),IF(AND(I136&lt;&gt;"",LEFT(C136,2)&lt;&gt;"Va",I136&lt;&gt;"H. Sale Real"),IF(I141-I136&lt;0.208333333333333,I141-I136,""),""))))),""),"")</f>
        <v/>
      </c>
      <c r="T140" s="89">
        <f>IF(G140&lt;&gt;"H. Sale Real",IF(AND(G141&lt;&gt;"",LEFT(C141,2)&lt;&gt;"Va"),IF(AND(G140&lt;&gt;"",LEFT(C140,2)&lt;&gt;"Va",G140&lt;&gt;"H. Sale Real"),IF(G141-G140&lt;0.208333333333333,G141-G140,""),IF(AND(G139&lt;&gt;"",LEFT(C139,2)&lt;&gt;"Va",G139&lt;&gt;"H. Sale Real"),IF(G141-G139&lt;0.208333333333333,G141-G139,""),IF(AND(G138&lt;&gt;"",LEFT(C138,2)&lt;&gt;"Va",G138&lt;&gt;"H. Sale Real"),IF(G141-G138&lt;0.208333333333333,G141-G138,""),IF(AND(G137&lt;&gt;"",LEFT(C137,2)&lt;&gt;"Va",G137&lt;&gt;"H. Sale Real"),IF(G141-G137&lt;0.208333333333333,G141-G137,""),IF(AND(G136&lt;&gt;"",LEFT(C136,2)&lt;&gt;"Va",G136&lt;&gt;"H. Sale Real"),IF(G141-G136&lt;0.208333333333333,G141-G136,""),""))))),""),"")</f>
        <v/>
      </c>
      <c r="U140" s="87" t="n"/>
      <c r="V140" s="89" t="n"/>
      <c r="W140" s="87" t="n"/>
      <c r="X140" s="89" t="n"/>
      <c r="Y140" s="91" t="n"/>
      <c r="Z140" s="122">
        <f>IF(G140&lt;&gt;"",IF(AND(Z139&lt;&gt;"IE",P140&lt;&gt;0,R140&lt;&gt;""),IF(IFERROR((P140/R140),0) &lt;=1,IFERROR(P140/R140,""),1),""),"")</f>
        <v/>
      </c>
      <c r="AA140" s="93" t="n"/>
      <c r="AB140" s="2" t="n"/>
      <c r="AE140" s="10">
        <f>HOUR(AK140)+1</f>
        <v/>
      </c>
      <c r="AF140" s="7" t="n"/>
      <c r="AG140" s="7" t="n"/>
      <c r="AH140" s="86" t="n"/>
      <c r="AI140" s="8" t="n"/>
      <c r="AJ140" s="86" t="n"/>
      <c r="AK140" s="87" t="n"/>
      <c r="AL140" s="88">
        <f>IF(AM140="","",IF(AND((AM140-AK140)&gt;=TIME(0,0,0),(AM140-AK140)&lt;TIME(0,3,0)),"OK",IF(AND((AM140-AK140)&gt;=TIME(0,3,0),(AM140-AK140)&lt;TIME(0,5,0)),"RETRASO DE 3-5 MIN",IF(AND((AM140-AK140)&gt;=TIME(0,5,0),(AM140-AK140)&lt;TIME(0,10,0)),"RETRASO DE 5-10 MIN",IF((AM140-AK140)&gt;=TIME(0,10,0),"RETRASO &gt;10 MIN", IF(AND((AK140-AM140)&gt;=TIME(0,0,0),(AK140-AM140)&lt;TIME(0,3,0)),"OK",IF((AK140-AM140)&gt;=TIME(0,3,0),"ADELANTADO")))))))</f>
        <v/>
      </c>
      <c r="AM140" s="91" t="n"/>
      <c r="AN140" s="89">
        <f>IF(AE140&lt;&gt;"",HLOOKUP(VALUE(TEXT(AK140,"h:mm:ss")),IF($C$6="Laboral",$FZ$4:$GX$227,IF($C$6="Sábado",$FZ$231:$GX$452,$FZ$456:$GX$656)),VLOOKUP($C$4,$HF$2:$HH$99,3,0)+IF(AG$5="Ida",0,1),1),"")</f>
        <v/>
      </c>
      <c r="AO140" s="89">
        <f>IF(AE141&lt;&gt;AE140,AVERAGEIF(AE$9:AE140,AE140,AN$9:AN140),"")</f>
        <v/>
      </c>
      <c r="AP140" s="89">
        <f>IFERROR(IF(AE141&lt;&gt;AE140,AVERAGEIF(AE$9:AE140,AE140,AW$9:AW140),""),"")</f>
        <v/>
      </c>
      <c r="AQ140" s="89">
        <f>IFERROR(IF(AE141&lt;&gt;AE140,AVERAGEIF(AE$9:AE140,AE140,AX$9:AX140),""),"")</f>
        <v/>
      </c>
      <c r="AR140" s="89">
        <f t="array" ref="AR140">IFERROR(IF(AE141&lt;&gt;AE140,_xlfn.STDEV.P(IF(AE$9:AE140=AE140,AX$9:AX140)),""),"")</f>
        <v/>
      </c>
      <c r="AS140" s="89">
        <f t="array" ref="AS140">IFERROR(IF(AE141&lt;&gt;AE140,_xlfn.STDEV.P(IF(AE$9:AE140=AE140,AW$9:AW140)),""),"")</f>
        <v/>
      </c>
      <c r="AT140" s="90">
        <f>IFERROR(IF(AE140&lt;&gt;AE141,MAX((((AQ140*24*60)/2)*(1+POWER((((AR140*24*60) / (AQ140*24*60) )),2))) + ((AQ140*24*60 )*-0.1 + (AO140*0.015)) +1,(((AQ140*24*60)/2)*(1+POWER((((AR140*24*60) / (AQ140*24*60 ))),2)))),""),"")</f>
        <v/>
      </c>
      <c r="AU140" s="90">
        <f>IF(AND(AS140&lt;&gt;"",AP140&lt;&gt;""),IF(AE140&lt;&gt;AE141,((AP140*24*60) / 2 ) * (1 + POWER(((AS140*24*60) / (AP140*24*60)),2)),""),"")</f>
        <v/>
      </c>
      <c r="AV140" s="90">
        <f>IF(AU140&lt;&gt;"",MAX(AT140,AU140),"")</f>
        <v/>
      </c>
      <c r="AW140" s="89">
        <f>IF(AM140&lt;&gt;"H. Sale Real",IF(AND(AM141&lt;&gt;"",LEFT(AG141,2)&lt;&gt;"Va"),IF(AND(AM140&lt;&gt;"",LEFT(AG140,2)&lt;&gt;"Va",AM140&lt;&gt;"H. Sale Real"),IF(AM141-AM140&lt;0.208333333333333,AM141-AM140,""),IF(AND(AM139&lt;&gt;"",LEFT(AG139,2)&lt;&gt;"Va",AM139&lt;&gt;"H. Sale Real"),IF(AM141-AM139&lt;0.208333333333333,AM141-AM139,""),IF(AND(AM138&lt;&gt;"",LEFT(AG138,2)&lt;&gt;"Va",AM138&lt;&gt;"H. Sale Real"),IF(AM141-AM138&lt;0.208333333333333,AM141-AM138,""),IF(AND(AM137&lt;&gt;"",LEFT(AG137,2)&lt;&gt;"Va",AM137&lt;&gt;"H. Sale Real"),IF(AM141-AM137&lt;0.208333333333333,AM141-AM137,""),IF(AND(AM136&lt;&gt;"",LEFT(AG136,2)&lt;&gt;"Va",AM136&lt;&gt;"H. Sale Real"),IF(AM141-AM136&lt;0.208333333333333,AM141-AM136,""),""))))),""),"")</f>
        <v/>
      </c>
      <c r="AX140" s="89">
        <f>IF(AK140&lt;&gt;"H. Sale Real",IF(AND(AK141&lt;&gt;"",LEFT(AG141,2)&lt;&gt;"Va"),IF(AND(AK140&lt;&gt;"",LEFT(AG140,2)&lt;&gt;"Va",AK140&lt;&gt;"H. Sale Real"),IF(AK141-AK140&lt;0.208333333333333,AK141-AK140,""),IF(AND(AK139&lt;&gt;"",LEFT(AG139,2)&lt;&gt;"Va",AK139&lt;&gt;"H. Sale Real"),IF(AK141-AK139&lt;0.208333333333333,AK141-AK139,""),IF(AND(AK138&lt;&gt;"",LEFT(AG138,2)&lt;&gt;"NC",AK138&lt;&gt;"H. Sale Real"),IF(AK141-AK138&lt;0.208333333333333,AK141-AK138,""),IF(AND(AK137&lt;&gt;"",LEFT(AG137,2)&lt;&gt;"Va",AK137&lt;&gt;"H. Sale Real"),IF(AK141-AK137&lt;0.208333333333333,AK141-AK137,""),IF(AND(AK136&lt;&gt;"",LEFT(AG136,2)&lt;&gt;"Va",AK136&lt;&gt;"H. Sale Real"),IF(AK141-AK136&lt;0.208333333333333,AK141-AK136,""),""))))),""),"")</f>
        <v/>
      </c>
      <c r="AY140" s="87" t="n"/>
      <c r="AZ140" s="89" t="n"/>
      <c r="BA140" s="87" t="n"/>
      <c r="BB140" s="89" t="n"/>
      <c r="BC140" s="91" t="n"/>
      <c r="BD140" s="122">
        <f>IF(AK140&lt;&gt;"",IF(AND(BD139&lt;&gt;"IE",AT140&lt;&gt;0,AV140&lt;&gt;""),IF(IFERROR((AT140/AV140),0) &lt;=1,IFERROR(AT140/AV140,""),1),""),"")</f>
        <v/>
      </c>
      <c r="BE140" s="93" t="n"/>
      <c r="BF140" s="105" t="n"/>
      <c r="FC140" t="inlineStr">
        <is>
          <t>Diccionario 1</t>
        </is>
      </c>
      <c r="FD140" s="15" t="n">
        <v>1137</v>
      </c>
      <c r="FE140" s="15" t="inlineStr">
        <is>
          <t>LDYECS318S0043989</t>
        </is>
      </c>
      <c r="FF140" s="15" t="inlineStr">
        <is>
          <t>MDN35025020060</t>
        </is>
      </c>
      <c r="FG140" s="15" t="inlineStr">
        <is>
          <t>Zhong Tong</t>
        </is>
      </c>
      <c r="FH140" s="15" t="inlineStr">
        <is>
          <t>Lck6122evg</t>
        </is>
      </c>
      <c r="FI140" s="15" t="inlineStr">
        <is>
          <t>ZHONGTONG</t>
        </is>
      </c>
      <c r="FJ140" s="15" t="inlineStr">
        <is>
          <t>LCK6122EVG</t>
        </is>
      </c>
      <c r="FK140" s="15" t="n">
        <v>2025</v>
      </c>
      <c r="FL140" s="15" t="inlineStr">
        <is>
          <t>B</t>
        </is>
      </c>
      <c r="FM140" s="15" t="inlineStr">
        <is>
          <t>LOS LIBERTADORES</t>
        </is>
      </c>
      <c r="FN140" s="15" t="inlineStr">
        <is>
          <t>Los Liberadores 6450, Lote 4A</t>
        </is>
      </c>
      <c r="FO140" s="15" t="inlineStr">
        <is>
          <t>Huechuraba</t>
        </is>
      </c>
      <c r="FP140" t="inlineStr">
        <is>
          <t>B</t>
        </is>
      </c>
      <c r="FS140" s="14" t="inlineStr">
        <is>
          <t>3035 / SFWB-64|</t>
        </is>
      </c>
      <c r="FT140" t="inlineStr">
        <is>
          <t>SFWB-64|</t>
        </is>
      </c>
      <c r="FU140" t="inlineStr">
        <is>
          <t>SFWB-64</t>
        </is>
      </c>
      <c r="FV140">
        <f>VLOOKUP(FU140,FD:FL,9,0)</f>
        <v/>
      </c>
      <c r="HA140" s="35" t="n">
        <v>137</v>
      </c>
      <c r="HB140" s="35" t="n">
        <v>134</v>
      </c>
    </row>
    <row r="141" ht="15.5" customHeight="1">
      <c r="A141" s="10">
        <f>HOUR(G141)+1</f>
        <v/>
      </c>
      <c r="B141" s="7" t="n"/>
      <c r="C141" s="7" t="n"/>
      <c r="D141" s="85">
        <f>IFERROR(
IF(AND(OR(Planilla!B141="C",Planilla!B141="c"), VLOOKUP(E141,FD:FP,13,0)="C"), "OK",IF(AND(OR(Planilla!B141="C",Planilla!B141="c"), OR(VLOOKUP(E141,FD:FP,13,0)="B", VLOOKUP(E141,FD:FP,13,0)="A")), "DEFICIT",IF(
AND(OR(Planilla!B141="B", Planilla!B141="BPAL"), VLOOKUP(E141,FD:FP,13,0)="B"), "OK",IF(AND(OR(Planilla!B141="B", Planilla!B141="BPAL"), VLOOKUP(E141,FD:FP,13,0)="A"), "DEFICIT",IF(AND(OR(Planilla!B141="B", Planilla!B141="BPAL"), VLOOKUP(E141,FD:FP,13,0)="C"), "SOBREOFERTA",IF(AND(Planilla!B141="A", VLOOKUP(E141,FD:FP,13,0)="A"), "OK",IF(
AND(Planilla!B141="A", OR(VLOOKUP(E141,FD:FP,13,0)="B", VLOOKUP(E141,FD:FP,13,0)="C")), "SOBREOFERTA",""
))))))),"")</f>
        <v/>
      </c>
      <c r="E141" s="8" t="n"/>
      <c r="F141" s="86" t="n"/>
      <c r="G141" s="87" t="n"/>
      <c r="H141" s="88">
        <f>IF(I141="","",IF(AND((I141-G141)&gt;=TIME(0,0,0),(I141-G141)&lt;TIME(0,3,0)),"OK",IF(AND((I141-G141)&gt;=TIME(0,3,0),(I141-G141)&lt;TIME(0,5,0)),"RETRASO DE 3-5 MIN",IF(AND((I141-G141)&gt;=TIME(0,5,0),(I141-G141)&lt;TIME(0,10,0)),"RETRASO DE 5-10 MIN",IF((I141-G141)&gt;=TIME(0,10,0),"RETRASO &gt;10 MIN", IF(AND((G141-I141)&gt;=TIME(0,0,0),(G141-I141)&lt;TIME(0,3,0)),"OK",IF((G141-I141)&gt;=TIME(0,3,0),"ADELANTADO")))))))</f>
        <v/>
      </c>
      <c r="I141" s="89" t="n"/>
      <c r="J141" s="89">
        <f>IF(A141&lt;&gt;"",HLOOKUP(VALUE(TEXT(G141,"h:mm:ss")),IF($C$6="Laboral",$FZ$4:$GX$227,IF($C$6="Sábado",$FZ$231:$GX$452,$FZ$456:$GX$656)),VLOOKUP($C$4,$HF$2:$HH$99,3,0)+IF(C$5="Ida",0,1),1),"")</f>
        <v/>
      </c>
      <c r="K141" s="89">
        <f>IF(A142&lt;&gt;A141,AVERAGEIF(A$9:A141,A141,J$9:J141),"")</f>
        <v/>
      </c>
      <c r="L141" s="89">
        <f>IFERROR(IF(A142&lt;&gt;A141,AVERAGEIF(A$9:A141,A141,S$9:S141),""),"")</f>
        <v/>
      </c>
      <c r="M141" s="89">
        <f>IFERROR(IF(A142&lt;&gt;A141,AVERAGEIF(A$9:A141,A141,T$9:T141),""),"")</f>
        <v/>
      </c>
      <c r="N141" s="89">
        <f t="array" ref="N141">IFERROR(IF(A142&lt;&gt;A141,_xlfn.STDEV.P(IF(A$9:A141=A141,T$9:T141)),""),"")</f>
        <v/>
      </c>
      <c r="O141" s="89">
        <f t="array" ref="O141">IFERROR(IF(A142&lt;&gt;A141,_xlfn.STDEV.P(IF(A$9:A141=A141,S$9:S141)),""),"")</f>
        <v/>
      </c>
      <c r="P141" s="90">
        <f>IFERROR(IF(A141&lt;&gt;A142,MAX((((M141*24*60)/2)*(1+POWER((((N141*24*60) / (M141*24*60) )),2))) + ((M141*24*60 )*-0.1 + (K141*0.015)) +1,(((M141*24*60)/2)*(1+POWER((((N141*24*60) / (M141*24*60 ))),2)))),""),"")</f>
        <v/>
      </c>
      <c r="Q141" s="90">
        <f>IF(AND(O141&lt;&gt;"",L141&lt;&gt;""),IF(A141&lt;&gt;A142,((L141*24*60) / 2 ) * (1 + POWER(((O141*24*60) / (L141*24*60)),2)),""),"")</f>
        <v/>
      </c>
      <c r="R141" s="90">
        <f>IF(Q141&lt;&gt;"",MAX(P141,Q141),"")</f>
        <v/>
      </c>
      <c r="S141" s="89">
        <f>IF(I141&lt;&gt;"H. Sale Real",IF(AND(I142&lt;&gt;"",LEFT(C142,2)&lt;&gt;"Va"),IF(AND(I141&lt;&gt;"",LEFT(C141,2)&lt;&gt;"Va",I141&lt;&gt;"H. Sale Real"),IF(I142-I141&lt;0.208333333333333,I142-I141,""),IF(AND(I140&lt;&gt;"",LEFT(C140,2)&lt;&gt;"Va",I140&lt;&gt;"H. Sale Real"),IF(I142-I140&lt;0.208333333333333,I142-I140,""),IF(AND(I139&lt;&gt;"",LEFT(C139,2)&lt;&gt;"Va",I139&lt;&gt;"H. Sale Real"),IF(I142-I139&lt;0.208333333333333,I142-I139,""),IF(AND(I138&lt;&gt;"",LEFT(C138,2)&lt;&gt;"Va",I138&lt;&gt;"H. Sale Real"),IF(I142-I138&lt;0.208333333333333,I142-I138,""),IF(AND(I137&lt;&gt;"",LEFT(C137,2)&lt;&gt;"Va",I137&lt;&gt;"H. Sale Real"),IF(I142-I137&lt;0.208333333333333,I142-I137,""),""))))),""),"")</f>
        <v/>
      </c>
      <c r="T141" s="89">
        <f>IF(G141&lt;&gt;"H. Sale Real",IF(AND(G142&lt;&gt;"",LEFT(C142,2)&lt;&gt;"Va"),IF(AND(G141&lt;&gt;"",LEFT(C141,2)&lt;&gt;"Va",G141&lt;&gt;"H. Sale Real"),IF(G142-G141&lt;0.208333333333333,G142-G141,""),IF(AND(G140&lt;&gt;"",LEFT(C140,2)&lt;&gt;"Va",G140&lt;&gt;"H. Sale Real"),IF(G142-G140&lt;0.208333333333333,G142-G140,""),IF(AND(G139&lt;&gt;"",LEFT(C139,2)&lt;&gt;"Va",G139&lt;&gt;"H. Sale Real"),IF(G142-G139&lt;0.208333333333333,G142-G139,""),IF(AND(G138&lt;&gt;"",LEFT(C138,2)&lt;&gt;"Va",G138&lt;&gt;"H. Sale Real"),IF(G142-G138&lt;0.208333333333333,G142-G138,""),IF(AND(G137&lt;&gt;"",LEFT(C137,2)&lt;&gt;"Va",G137&lt;&gt;"H. Sale Real"),IF(G142-G137&lt;0.208333333333333,G142-G137,""),""))))),""),"")</f>
        <v/>
      </c>
      <c r="U141" s="87" t="n"/>
      <c r="V141" s="89" t="n"/>
      <c r="W141" s="87" t="n"/>
      <c r="X141" s="89" t="n"/>
      <c r="Y141" s="91" t="n"/>
      <c r="Z141" s="122">
        <f>IF(G141&lt;&gt;"",IF(AND(Z140&lt;&gt;"IE",P141&lt;&gt;0,R141&lt;&gt;""),IF(IFERROR((P141/R141),0) &lt;=1,IFERROR(P141/R141,""),1),""),"")</f>
        <v/>
      </c>
      <c r="AA141" s="93" t="n"/>
      <c r="AB141" s="2" t="n"/>
      <c r="AE141" s="10">
        <f>HOUR(AK141)+1</f>
        <v/>
      </c>
      <c r="AF141" s="7" t="n"/>
      <c r="AG141" s="7" t="n"/>
      <c r="AH141" s="86" t="n"/>
      <c r="AI141" s="8" t="n"/>
      <c r="AJ141" s="86" t="n"/>
      <c r="AK141" s="87" t="n"/>
      <c r="AL141" s="88">
        <f>IF(AM141="","",IF(AND((AM141-AK141)&gt;=TIME(0,0,0),(AM141-AK141)&lt;TIME(0,3,0)),"OK",IF(AND((AM141-AK141)&gt;=TIME(0,3,0),(AM141-AK141)&lt;TIME(0,5,0)),"RETRASO DE 3-5 MIN",IF(AND((AM141-AK141)&gt;=TIME(0,5,0),(AM141-AK141)&lt;TIME(0,10,0)),"RETRASO DE 5-10 MIN",IF((AM141-AK141)&gt;=TIME(0,10,0),"RETRASO &gt;10 MIN", IF(AND((AK141-AM141)&gt;=TIME(0,0,0),(AK141-AM141)&lt;TIME(0,3,0)),"OK",IF((AK141-AM141)&gt;=TIME(0,3,0),"ADELANTADO")))))))</f>
        <v/>
      </c>
      <c r="AM141" s="91" t="n"/>
      <c r="AN141" s="89">
        <f>IF(AE141&lt;&gt;"",HLOOKUP(VALUE(TEXT(AK141,"h:mm:ss")),IF($C$6="Laboral",$FZ$4:$GX$227,IF($C$6="Sábado",$FZ$231:$GX$452,$FZ$456:$GX$656)),VLOOKUP($C$4,$HF$2:$HH$99,3,0)+IF(AG$5="Ida",0,1),1),"")</f>
        <v/>
      </c>
      <c r="AO141" s="89">
        <f>IF(AE142&lt;&gt;AE141,AVERAGEIF(AE$9:AE141,AE141,AN$9:AN141),"")</f>
        <v/>
      </c>
      <c r="AP141" s="89">
        <f>IFERROR(IF(AE142&lt;&gt;AE141,AVERAGEIF(AE$9:AE141,AE141,AW$9:AW141),""),"")</f>
        <v/>
      </c>
      <c r="AQ141" s="89">
        <f>IFERROR(IF(AE142&lt;&gt;AE141,AVERAGEIF(AE$9:AE141,AE141,AX$9:AX141),""),"")</f>
        <v/>
      </c>
      <c r="AR141" s="89">
        <f t="array" ref="AR141">IFERROR(IF(AE142&lt;&gt;AE141,_xlfn.STDEV.P(IF(AE$9:AE141=AE141,AX$9:AX141)),""),"")</f>
        <v/>
      </c>
      <c r="AS141" s="89">
        <f t="array" ref="AS141">IFERROR(IF(AE142&lt;&gt;AE141,_xlfn.STDEV.P(IF(AE$9:AE141=AE141,AW$9:AW141)),""),"")</f>
        <v/>
      </c>
      <c r="AT141" s="90">
        <f>IFERROR(IF(AE141&lt;&gt;AE142,MAX((((AQ141*24*60)/2)*(1+POWER((((AR141*24*60) / (AQ141*24*60) )),2))) + ((AQ141*24*60 )*-0.1 + (AO141*0.015)) +1,(((AQ141*24*60)/2)*(1+POWER((((AR141*24*60) / (AQ141*24*60 ))),2)))),""),"")</f>
        <v/>
      </c>
      <c r="AU141" s="90">
        <f>IF(AND(AS141&lt;&gt;"",AP141&lt;&gt;""),IF(AE141&lt;&gt;AE142,((AP141*24*60) / 2 ) * (1 + POWER(((AS141*24*60) / (AP141*24*60)),2)),""),"")</f>
        <v/>
      </c>
      <c r="AV141" s="90">
        <f>IF(AU141&lt;&gt;"",MAX(AT141,AU141),"")</f>
        <v/>
      </c>
      <c r="AW141" s="89">
        <f>IF(AM141&lt;&gt;"H. Sale Real",IF(AND(AM142&lt;&gt;"",LEFT(AG142,2)&lt;&gt;"Va"),IF(AND(AM141&lt;&gt;"",LEFT(AG141,2)&lt;&gt;"Va",AM141&lt;&gt;"H. Sale Real"),IF(AM142-AM141&lt;0.208333333333333,AM142-AM141,""),IF(AND(AM140&lt;&gt;"",LEFT(AG140,2)&lt;&gt;"Va",AM140&lt;&gt;"H. Sale Real"),IF(AM142-AM140&lt;0.208333333333333,AM142-AM140,""),IF(AND(AM139&lt;&gt;"",LEFT(AG139,2)&lt;&gt;"Va",AM139&lt;&gt;"H. Sale Real"),IF(AM142-AM139&lt;0.208333333333333,AM142-AM139,""),IF(AND(AM138&lt;&gt;"",LEFT(AG138,2)&lt;&gt;"Va",AM138&lt;&gt;"H. Sale Real"),IF(AM142-AM138&lt;0.208333333333333,AM142-AM138,""),IF(AND(AM137&lt;&gt;"",LEFT(AG137,2)&lt;&gt;"Va",AM137&lt;&gt;"H. Sale Real"),IF(AM142-AM137&lt;0.208333333333333,AM142-AM137,""),""))))),""),"")</f>
        <v/>
      </c>
      <c r="AX141" s="89">
        <f>IF(AK141&lt;&gt;"H. Sale Real",IF(AND(AK142&lt;&gt;"",LEFT(AG142,2)&lt;&gt;"Va"),IF(AND(AK141&lt;&gt;"",LEFT(AG141,2)&lt;&gt;"Va",AK141&lt;&gt;"H. Sale Real"),IF(AK142-AK141&lt;0.208333333333333,AK142-AK141,""),IF(AND(AK140&lt;&gt;"",LEFT(AG140,2)&lt;&gt;"Va",AK140&lt;&gt;"H. Sale Real"),IF(AK142-AK140&lt;0.208333333333333,AK142-AK140,""),IF(AND(AK139&lt;&gt;"",LEFT(AG139,2)&lt;&gt;"NC",AK139&lt;&gt;"H. Sale Real"),IF(AK142-AK139&lt;0.208333333333333,AK142-AK139,""),IF(AND(AK138&lt;&gt;"",LEFT(AG138,2)&lt;&gt;"Va",AK138&lt;&gt;"H. Sale Real"),IF(AK142-AK138&lt;0.208333333333333,AK142-AK138,""),IF(AND(AK137&lt;&gt;"",LEFT(AG137,2)&lt;&gt;"Va",AK137&lt;&gt;"H. Sale Real"),IF(AK142-AK137&lt;0.208333333333333,AK142-AK137,""),""))))),""),"")</f>
        <v/>
      </c>
      <c r="AY141" s="87" t="n"/>
      <c r="AZ141" s="89" t="n"/>
      <c r="BA141" s="87" t="n"/>
      <c r="BB141" s="89" t="n"/>
      <c r="BC141" s="91" t="n"/>
      <c r="BD141" s="122">
        <f>IF(AK141&lt;&gt;"",IF(AND(BD140&lt;&gt;"IE",AT141&lt;&gt;0,AV141&lt;&gt;""),IF(IFERROR((AT141/AV141),0) &lt;=1,IFERROR(AT141/AV141,""),1),""),"")</f>
        <v/>
      </c>
      <c r="BE141" s="93" t="n"/>
      <c r="BF141" s="105" t="n"/>
      <c r="FC141" t="inlineStr">
        <is>
          <t>Diccionario 1</t>
        </is>
      </c>
      <c r="FD141" s="15" t="n">
        <v>1138</v>
      </c>
      <c r="FE141" s="15" t="inlineStr">
        <is>
          <t>LDYECS311S0043977</t>
        </is>
      </c>
      <c r="FF141" s="15" t="inlineStr">
        <is>
          <t>MDN35025020058</t>
        </is>
      </c>
      <c r="FG141" s="15" t="inlineStr">
        <is>
          <t>Zhong Tong</t>
        </is>
      </c>
      <c r="FH141" s="15" t="inlineStr">
        <is>
          <t>Lck6122evg</t>
        </is>
      </c>
      <c r="FI141" s="15" t="inlineStr">
        <is>
          <t>ZHONGTONG</t>
        </is>
      </c>
      <c r="FJ141" s="15" t="inlineStr">
        <is>
          <t>LCK6122EVG</t>
        </is>
      </c>
      <c r="FK141" s="15" t="n">
        <v>2025</v>
      </c>
      <c r="FL141" s="15" t="inlineStr">
        <is>
          <t>B</t>
        </is>
      </c>
      <c r="FM141" s="15" t="inlineStr">
        <is>
          <t>LOS LIBERTADORES</t>
        </is>
      </c>
      <c r="FN141" s="15" t="inlineStr">
        <is>
          <t>Los Liberadores 6450, Lote 4A</t>
        </is>
      </c>
      <c r="FO141" s="15" t="inlineStr">
        <is>
          <t>Huechuraba</t>
        </is>
      </c>
      <c r="FP141" t="inlineStr">
        <is>
          <t>B</t>
        </is>
      </c>
      <c r="FS141" s="14" t="inlineStr">
        <is>
          <t>3035 / SFWB-64|</t>
        </is>
      </c>
      <c r="FT141" t="inlineStr">
        <is>
          <t>SFWB-64|</t>
        </is>
      </c>
      <c r="FU141" t="inlineStr">
        <is>
          <t>SFWB-64</t>
        </is>
      </c>
      <c r="FV141">
        <f>VLOOKUP(FU141,FD:FL,9,0)</f>
        <v/>
      </c>
      <c r="HA141" s="35" t="n">
        <v>138</v>
      </c>
      <c r="HB141" s="35" t="n">
        <v>135</v>
      </c>
    </row>
    <row r="142" ht="15.5" customHeight="1">
      <c r="A142" s="10">
        <f>HOUR(G142)+1</f>
        <v/>
      </c>
      <c r="B142" s="7" t="n"/>
      <c r="C142" s="7" t="n"/>
      <c r="D142" s="85">
        <f>IFERROR(
IF(AND(OR(Planilla!B142="C",Planilla!B142="c"), VLOOKUP(E142,FD:FP,13,0)="C"), "OK",IF(AND(OR(Planilla!B142="C",Planilla!B142="c"), OR(VLOOKUP(E142,FD:FP,13,0)="B", VLOOKUP(E142,FD:FP,13,0)="A")), "DEFICIT",IF(
AND(OR(Planilla!B142="B", Planilla!B142="BPAL"), VLOOKUP(E142,FD:FP,13,0)="B"), "OK",IF(AND(OR(Planilla!B142="B", Planilla!B142="BPAL"), VLOOKUP(E142,FD:FP,13,0)="A"), "DEFICIT",IF(AND(OR(Planilla!B142="B", Planilla!B142="BPAL"), VLOOKUP(E142,FD:FP,13,0)="C"), "SOBREOFERTA",IF(AND(Planilla!B142="A", VLOOKUP(E142,FD:FP,13,0)="A"), "OK",IF(
AND(Planilla!B142="A", OR(VLOOKUP(E142,FD:FP,13,0)="B", VLOOKUP(E142,FD:FP,13,0)="C")), "SOBREOFERTA",""
))))))),"")</f>
        <v/>
      </c>
      <c r="E142" s="8" t="n"/>
      <c r="F142" s="86" t="n"/>
      <c r="G142" s="87" t="n"/>
      <c r="H142" s="88">
        <f>IF(I142="","",IF(AND((I142-G142)&gt;=TIME(0,0,0),(I142-G142)&lt;TIME(0,3,0)),"OK",IF(AND((I142-G142)&gt;=TIME(0,3,0),(I142-G142)&lt;TIME(0,5,0)),"RETRASO DE 3-5 MIN",IF(AND((I142-G142)&gt;=TIME(0,5,0),(I142-G142)&lt;TIME(0,10,0)),"RETRASO DE 5-10 MIN",IF((I142-G142)&gt;=TIME(0,10,0),"RETRASO &gt;10 MIN",         IF(AND((G142-I142)&gt;=TIME(0,0,0),(G142-I142)&lt;TIME(0,3,0)),"OK",IF((G142-I142)&gt;=TIME(0,3,0),"ADELANTADO")))))))</f>
        <v/>
      </c>
      <c r="I142" s="89" t="n"/>
      <c r="J142" s="89">
        <f>IF(A142&lt;&gt;"",HLOOKUP(VALUE(TEXT(G142,"h:mm:ss")),IF($C$6="Laboral",$FZ$4:$GX$227,IF($C$6="Sábado",$FZ$231:$GX$452,$FZ$456:$GX$656)),VLOOKUP($C$4,$HF$2:$HH$99,3,0)+IF(C$5="Ida",0,1),1),"")</f>
        <v/>
      </c>
      <c r="K142" s="89">
        <f>IF(A143&lt;&gt;A142,AVERAGEIF(A$9:A142,A142,J$9:J142),"")</f>
        <v/>
      </c>
      <c r="L142" s="89">
        <f>IFERROR(IF(A143&lt;&gt;A142,AVERAGEIF(A$9:A142,A142,S$9:S142),""),"")</f>
        <v/>
      </c>
      <c r="M142" s="89">
        <f>IFERROR(IF(A143&lt;&gt;A142,AVERAGEIF(A$9:A142,A142,T$9:T142),""),"")</f>
        <v/>
      </c>
      <c r="N142" s="89">
        <f t="array" ref="N142">IFERROR(IF(A143&lt;&gt;A142,_xlfn.STDEV.P(IF(A$9:A142=A142,T$9:T142)),""),"")</f>
        <v/>
      </c>
      <c r="O142" s="89">
        <f t="array" ref="O142">IFERROR(IF(A143&lt;&gt;A142,_xlfn.STDEV.P(IF(A$9:A142=A142,S$9:S142)),""),"")</f>
        <v/>
      </c>
      <c r="P142" s="90">
        <f>IFERROR(IF(A142&lt;&gt;A143,MAX((((M142*24*60)/2)*(1+POWER((((N142*24*60) / (M142*24*60) )),2))) + ((M142*24*60 )*-0.1 + (K142*0.015)) +1,(((M142*24*60)/2)*(1+POWER((((N142*24*60) / (M142*24*60 ))),2)))),""),"")</f>
        <v/>
      </c>
      <c r="Q142" s="90">
        <f>IF(AND(O142&lt;&gt;"",L142&lt;&gt;""),IF(A142&lt;&gt;A143,((L142*24*60) / 2 ) * (1 + POWER(((O142*24*60) / (L142*24*60)),2)),""),"")</f>
        <v/>
      </c>
      <c r="R142" s="90">
        <f>IF(Q142&lt;&gt;"",MAX(P142,Q142),"")</f>
        <v/>
      </c>
      <c r="S142" s="89">
        <f>IF(I142&lt;&gt;"H. Sale Real",IF(AND(I143&lt;&gt;"",LEFT(C143,2)&lt;&gt;"Va"),IF(AND(I142&lt;&gt;"",LEFT(C142,2)&lt;&gt;"Va",I142&lt;&gt;"H. Sale Real"),IF(I143-I142&lt;0.208333333333333,I143-I142,""),IF(AND(I141&lt;&gt;"",LEFT(C141,2)&lt;&gt;"Va",I141&lt;&gt;"H. Sale Real"),IF(I143-I141&lt;0.208333333333333,I143-I141,""),IF(AND(I140&lt;&gt;"",LEFT(C140,2)&lt;&gt;"Va",I140&lt;&gt;"H. Sale Real"),IF(I143-I140&lt;0.208333333333333,I143-I140,""),IF(AND(I139&lt;&gt;"",LEFT(C139,2)&lt;&gt;"Va",I139&lt;&gt;"H. Sale Real"),IF(I143-I139&lt;0.208333333333333,I143-I139,""),IF(AND(I138&lt;&gt;"",LEFT(C138,2)&lt;&gt;"Va",I138&lt;&gt;"H. Sale Real"),IF(I143-I138&lt;0.208333333333333,I143-I138,""),""))))),""),"")</f>
        <v/>
      </c>
      <c r="T142" s="89">
        <f>IF(G142&lt;&gt;"H. Sale Real",IF(AND(G143&lt;&gt;"",LEFT(C143,2)&lt;&gt;"Va"),IF(AND(G142&lt;&gt;"",LEFT(C142,2)&lt;&gt;"Va",G142&lt;&gt;"H. Sale Real"),IF(G143-G142&lt;0.208333333333333,G143-G142,""),IF(AND(G141&lt;&gt;"",LEFT(C141,2)&lt;&gt;"Va",G141&lt;&gt;"H. Sale Real"),IF(G143-G141&lt;0.208333333333333,G143-G141,""),IF(AND(G140&lt;&gt;"",LEFT(C140,2)&lt;&gt;"Va",G140&lt;&gt;"H. Sale Real"),IF(G143-G140&lt;0.208333333333333,G143-G140,""),IF(AND(G139&lt;&gt;"",LEFT(C139,2)&lt;&gt;"Va",G139&lt;&gt;"H. Sale Real"),IF(G143-G139&lt;0.208333333333333,G143-G139,""),IF(AND(G138&lt;&gt;"",LEFT(C138,2)&lt;&gt;"Va",G138&lt;&gt;"H. Sale Real"),IF(G143-G138&lt;0.208333333333333,G143-G138,""),""))))),""),"")</f>
        <v/>
      </c>
      <c r="U142" s="87" t="n"/>
      <c r="V142" s="89" t="n"/>
      <c r="W142" s="87" t="n"/>
      <c r="X142" s="89" t="n"/>
      <c r="Y142" s="91" t="n"/>
      <c r="Z142" s="122">
        <f>IF(G142&lt;&gt;"",IF(AND(Z141&lt;&gt;"IE",P142&lt;&gt;0,R142&lt;&gt;""),IF(IFERROR((P142/R142),0) &lt;=1,IFERROR(P142/R142,""),1),""),"")</f>
        <v/>
      </c>
      <c r="AA142" s="93" t="n"/>
      <c r="AB142" s="2" t="n"/>
      <c r="AE142" s="10">
        <f>HOUR(AK142)+1</f>
        <v/>
      </c>
      <c r="AF142" s="7" t="n"/>
      <c r="AG142" s="7" t="n"/>
      <c r="AH142" s="86" t="n"/>
      <c r="AI142" s="8" t="n"/>
      <c r="AJ142" s="86" t="n"/>
      <c r="AK142" s="87" t="n"/>
      <c r="AL142" s="88">
        <f>IF(AM142="","",IF(AND((AM142-AK142)&gt;=TIME(0,0,0),(AM142-AK142)&lt;TIME(0,3,0)),"OK",IF(AND((AM142-AK142)&gt;=TIME(0,3,0),(AM142-AK142)&lt;TIME(0,5,0)),"RETRASO DE 3-5 MIN",IF(AND((AM142-AK142)&gt;=TIME(0,5,0),(AM142-AK142)&lt;TIME(0,10,0)),"RETRASO DE 5-10 MIN",IF((AM142-AK142)&gt;=TIME(0,10,0),"RETRASO &gt;10 MIN",         IF(AND((AK142-AM142)&gt;=TIME(0,0,0),(AK142-AM142)&lt;TIME(0,3,0)),"OK",IF((AK142-AM142)&gt;=TIME(0,3,0),"ADELANTADO")))))))</f>
        <v/>
      </c>
      <c r="AM142" s="91" t="n"/>
      <c r="AN142" s="89">
        <f>IF(AE142&lt;&gt;"",HLOOKUP(VALUE(TEXT(AK142,"h:mm:ss")),IF($C$6="Laboral",$FZ$4:$GX$227,IF($C$6="Sábado",$FZ$231:$GX$452,$FZ$456:$GX$656)),VLOOKUP($C$4,$HF$2:$HH$99,3,0)+IF(AG$5="Ida",0,1),1),"")</f>
        <v/>
      </c>
      <c r="AO142" s="89">
        <f>IF(AE143&lt;&gt;AE142,AVERAGEIF(AE$9:AE142,AE142,AN$9:AN142),"")</f>
        <v/>
      </c>
      <c r="AP142" s="89">
        <f>IFERROR(IF(AE143&lt;&gt;AE142,AVERAGEIF(AE$9:AE142,AE142,AW$9:AW142),""),"")</f>
        <v/>
      </c>
      <c r="AQ142" s="89">
        <f>IFERROR(IF(AE143&lt;&gt;AE142,AVERAGEIF(AE$9:AE142,AE142,AX$9:AX142),""),"")</f>
        <v/>
      </c>
      <c r="AR142" s="89">
        <f t="array" ref="AR142">IFERROR(IF(AE143&lt;&gt;AE142,_xlfn.STDEV.P(IF(AE$9:AE142=AE142,AX$9:AX142)),""),"")</f>
        <v/>
      </c>
      <c r="AS142" s="89">
        <f t="array" ref="AS142">IFERROR(IF(AE143&lt;&gt;AE142,_xlfn.STDEV.P(IF(AE$9:AE142=AE142,AW$9:AW142)),""),"")</f>
        <v/>
      </c>
      <c r="AT142" s="90">
        <f>IFERROR(IF(AE142&lt;&gt;AE143,MAX((((AQ142*24*60)/2)*(1+POWER((((AR142*24*60) / (AQ142*24*60) )),2))) + ((AQ142*24*60 )*-0.1 + (AO142*0.015)) +1,(((AQ142*24*60)/2)*(1+POWER((((AR142*24*60) / (AQ142*24*60 ))),2)))),""),"")</f>
        <v/>
      </c>
      <c r="AU142" s="90">
        <f>IF(AND(AS142&lt;&gt;"",AP142&lt;&gt;""),IF(AE142&lt;&gt;AE143,((AP142*24*60) / 2 ) * (1 + POWER(((AS142*24*60) / (AP142*24*60)),2)),""),"")</f>
        <v/>
      </c>
      <c r="AV142" s="90">
        <f>IF(AU142&lt;&gt;"",MAX(AT142,AU142),"")</f>
        <v/>
      </c>
      <c r="AW142" s="89">
        <f>IF(AM142&lt;&gt;"H. Sale Real",IF(AND(AM143&lt;&gt;"",LEFT(AG143,2)&lt;&gt;"Va"),IF(AND(AM142&lt;&gt;"",LEFT(AG142,2)&lt;&gt;"Va",AM142&lt;&gt;"H. Sale Real"),IF(AM143-AM142&lt;0.208333333333333,AM143-AM142,""),IF(AND(AM141&lt;&gt;"",LEFT(AG141,2)&lt;&gt;"Va",AM141&lt;&gt;"H. Sale Real"),IF(AM143-AM141&lt;0.208333333333333,AM143-AM141,""),IF(AND(AM140&lt;&gt;"",LEFT(AG140,2)&lt;&gt;"Va",AM140&lt;&gt;"H. Sale Real"),IF(AM143-AM140&lt;0.208333333333333,AM143-AM140,""),IF(AND(AM139&lt;&gt;"",LEFT(AG139,2)&lt;&gt;"Va",AM139&lt;&gt;"H. Sale Real"),IF(AM143-AM139&lt;0.208333333333333,AM143-AM139,""),IF(AND(AM138&lt;&gt;"",LEFT(AG138,2)&lt;&gt;"Va",AM138&lt;&gt;"H. Sale Real"),IF(AM143-AM138&lt;0.208333333333333,AM143-AM138,""),""))))),""),"")</f>
        <v/>
      </c>
      <c r="AX142" s="89">
        <f>IF(AK142&lt;&gt;"H. Sale Real",IF(AND(AK143&lt;&gt;"",LEFT(AG143,2)&lt;&gt;"Va"),IF(AND(AK142&lt;&gt;"",LEFT(AG142,2)&lt;&gt;"Va",AK142&lt;&gt;"H. Sale Real"),IF(AK143-AK142&lt;0.208333333333333,AK143-AK142,""),IF(AND(AK141&lt;&gt;"",LEFT(AG141,2)&lt;&gt;"Va",AK141&lt;&gt;"H. Sale Real"),IF(AK143-AK141&lt;0.208333333333333,AK143-AK141,""),IF(AND(AK140&lt;&gt;"",LEFT(AG140,2)&lt;&gt;"NC",AK140&lt;&gt;"H. Sale Real"),IF(AK143-AK140&lt;0.208333333333333,AK143-AK140,""),IF(AND(AK139&lt;&gt;"",LEFT(AG139,2)&lt;&gt;"Va",AK139&lt;&gt;"H. Sale Real"),IF(AK143-AK139&lt;0.208333333333333,AK143-AK139,""),IF(AND(AK138&lt;&gt;"",LEFT(AG138,2)&lt;&gt;"Va",AK138&lt;&gt;"H. Sale Real"),IF(AK143-AK138&lt;0.208333333333333,AK143-AK138,""),""))))),""),"")</f>
        <v/>
      </c>
      <c r="AY142" s="87" t="n"/>
      <c r="AZ142" s="89" t="n"/>
      <c r="BA142" s="87" t="n"/>
      <c r="BB142" s="89" t="n"/>
      <c r="BC142" s="91" t="n"/>
      <c r="BD142" s="122">
        <f>IF(AK142&lt;&gt;"",IF(AND(BD141&lt;&gt;"IE",AT142&lt;&gt;0,AV142&lt;&gt;""),IF(IFERROR((AT142/AV142),0) &lt;=1,IFERROR(AT142/AV142,""),1),""),"")</f>
        <v/>
      </c>
      <c r="BE142" s="93" t="n"/>
      <c r="BF142" s="105" t="n"/>
      <c r="FC142" t="inlineStr">
        <is>
          <t>Diccionario 1</t>
        </is>
      </c>
      <c r="FD142" s="15" t="n">
        <v>1139</v>
      </c>
      <c r="FE142" s="15" t="inlineStr">
        <is>
          <t>LDYECS318S0043975</t>
        </is>
      </c>
      <c r="FF142" s="15" t="inlineStr">
        <is>
          <t>MDN35025020063</t>
        </is>
      </c>
      <c r="FG142" s="15" t="inlineStr">
        <is>
          <t>Zhong Tong</t>
        </is>
      </c>
      <c r="FH142" s="15" t="inlineStr">
        <is>
          <t>Lck6122evg</t>
        </is>
      </c>
      <c r="FI142" s="15" t="inlineStr">
        <is>
          <t>ZHONGTONG</t>
        </is>
      </c>
      <c r="FJ142" s="15" t="inlineStr">
        <is>
          <t>LCK6122EVG</t>
        </is>
      </c>
      <c r="FK142" s="15" t="n">
        <v>2025</v>
      </c>
      <c r="FL142" s="15" t="inlineStr">
        <is>
          <t>B</t>
        </is>
      </c>
      <c r="FM142" s="15" t="inlineStr">
        <is>
          <t>LOS LIBERTADORES</t>
        </is>
      </c>
      <c r="FN142" s="15" t="inlineStr">
        <is>
          <t>Los Liberadores 6450, Lote 4A</t>
        </is>
      </c>
      <c r="FO142" s="15" t="inlineStr">
        <is>
          <t>Huechuraba</t>
        </is>
      </c>
      <c r="FP142" t="inlineStr">
        <is>
          <t>B</t>
        </is>
      </c>
      <c r="FS142" s="14" t="inlineStr">
        <is>
          <t>3035 / SFWB-64|</t>
        </is>
      </c>
      <c r="FT142" t="inlineStr">
        <is>
          <t>SFWB-64|</t>
        </is>
      </c>
      <c r="FU142" t="inlineStr">
        <is>
          <t>SFWB-64</t>
        </is>
      </c>
      <c r="FV142">
        <f>VLOOKUP(FU142,FD:FL,9,0)</f>
        <v/>
      </c>
      <c r="HA142" s="35" t="n">
        <v>139</v>
      </c>
      <c r="HB142" s="35" t="n">
        <v>136</v>
      </c>
    </row>
    <row r="143" ht="15.5" customHeight="1">
      <c r="A143" s="10">
        <f>HOUR(G143)+1</f>
        <v/>
      </c>
      <c r="B143" s="7" t="n"/>
      <c r="C143" s="7" t="n"/>
      <c r="D143" s="85">
        <f>IFERROR(
IF(AND(OR(Planilla!B143="C",Planilla!B143="c"), VLOOKUP(E143,FD:FP,13,0)="C"), "OK",IF(AND(OR(Planilla!B143="C",Planilla!B143="c"), OR(VLOOKUP(E143,FD:FP,13,0)="B", VLOOKUP(E143,FD:FP,13,0)="A")), "DEFICIT",IF(
AND(OR(Planilla!B143="B", Planilla!B143="BPAL"), VLOOKUP(E143,FD:FP,13,0)="B"), "OK",IF(AND(OR(Planilla!B143="B", Planilla!B143="BPAL"), VLOOKUP(E143,FD:FP,13,0)="A"), "DEFICIT",IF(AND(OR(Planilla!B143="B", Planilla!B143="BPAL"), VLOOKUP(E143,FD:FP,13,0)="C"), "SOBREOFERTA",IF(AND(Planilla!B143="A", VLOOKUP(E143,FD:FP,13,0)="A"), "OK",IF(
AND(Planilla!B143="A", OR(VLOOKUP(E143,FD:FP,13,0)="B", VLOOKUP(E143,FD:FP,13,0)="C")), "SOBREOFERTA",""
))))))),"")</f>
        <v/>
      </c>
      <c r="E143" s="8" t="n"/>
      <c r="F143" s="86" t="n"/>
      <c r="G143" s="87" t="n"/>
      <c r="H143" s="88">
        <f>IF(I143="","",IF(AND((I143-G143)&gt;=TIME(0,0,0),(I143-G143)&lt;TIME(0,3,0)),"OK",IF(AND((I143-G143)&gt;=TIME(0,3,0),(I143-G143)&lt;TIME(0,5,0)),"RETRASO DE 3-5 MIN",IF(AND((I143-G143)&gt;=TIME(0,5,0),(I143-G143)&lt;TIME(0,10,0)),"RETRASO DE 5-10 MIN",IF((I143-G143)&gt;=TIME(0,10,0),"RETRASO &gt;10 MIN", IF(AND((G143-I143)&gt;=TIME(0,0,0),(G143-I143)&lt;TIME(0,3,0)),"OK",IF((G143-I143)&gt;=TIME(0,3,0),"ADELANTADO")))))))</f>
        <v/>
      </c>
      <c r="I143" s="89" t="n"/>
      <c r="J143" s="89">
        <f>IF(A143&lt;&gt;"",HLOOKUP(VALUE(TEXT(G143,"h:mm:ss")),IF($C$6="Laboral",$FZ$4:$GX$227,IF($C$6="Sábado",$FZ$231:$GX$452,$FZ$456:$GX$656)),VLOOKUP($C$4,$HF$2:$HH$99,3,0)+IF(C$5="Ida",0,1),1),"")</f>
        <v/>
      </c>
      <c r="K143" s="89">
        <f>IF(A144&lt;&gt;A143,AVERAGEIF(A$9:A143,A143,J$9:J143),"")</f>
        <v/>
      </c>
      <c r="L143" s="89">
        <f>IFERROR(IF(A144&lt;&gt;A143,AVERAGEIF(A$9:A143,A143,S$9:S143),""),"")</f>
        <v/>
      </c>
      <c r="M143" s="89">
        <f>IFERROR(IF(A144&lt;&gt;A143,AVERAGEIF(A$9:A143,A143,T$9:T143),""),"")</f>
        <v/>
      </c>
      <c r="N143" s="89">
        <f t="array" ref="N143">IFERROR(IF(A144&lt;&gt;A143,_xlfn.STDEV.P(IF(A$9:A143=A143,T$9:T143)),""),"")</f>
        <v/>
      </c>
      <c r="O143" s="89">
        <f t="array" ref="O143">IFERROR(IF(A144&lt;&gt;A143,_xlfn.STDEV.P(IF(A$9:A143=A143,S$9:S143)),""),"")</f>
        <v/>
      </c>
      <c r="P143" s="90">
        <f>IFERROR(IF(A143&lt;&gt;A144,MAX((((M143*24*60)/2)*(1+POWER((((N143*24*60) / (M143*24*60) )),2))) + ((M143*24*60 )*-0.1 + (K143*0.015)) +1,(((M143*24*60)/2)*(1+POWER((((N143*24*60) / (M143*24*60 ))),2)))),""),"")</f>
        <v/>
      </c>
      <c r="Q143" s="90">
        <f>IF(AND(O143&lt;&gt;"",L143&lt;&gt;""),IF(A143&lt;&gt;A144,((L143*24*60) / 2 ) * (1 + POWER(((O143*24*60) / (L143*24*60)),2)),""),"")</f>
        <v/>
      </c>
      <c r="R143" s="90">
        <f>IF(Q143&lt;&gt;"",MAX(P143,Q143),"")</f>
        <v/>
      </c>
      <c r="S143" s="89">
        <f>IF(I143&lt;&gt;"H. Sale Real",IF(AND(I144&lt;&gt;"",LEFT(C144,2)&lt;&gt;"Va"),IF(AND(I143&lt;&gt;"",LEFT(C143,2)&lt;&gt;"Va",I143&lt;&gt;"H. Sale Real"),IF(I144-I143&lt;0.208333333333333,I144-I143,""),IF(AND(I142&lt;&gt;"",LEFT(C142,2)&lt;&gt;"Va",I142&lt;&gt;"H. Sale Real"),IF(I144-I142&lt;0.208333333333333,I144-I142,""),IF(AND(I141&lt;&gt;"",LEFT(C141,2)&lt;&gt;"Va",I141&lt;&gt;"H. Sale Real"),IF(I144-I141&lt;0.208333333333333,I144-I141,""),IF(AND(I140&lt;&gt;"",LEFT(C140,2)&lt;&gt;"Va",I140&lt;&gt;"H. Sale Real"),IF(I144-I140&lt;0.208333333333333,I144-I140,""),IF(AND(I139&lt;&gt;"",LEFT(C139,2)&lt;&gt;"Va",I139&lt;&gt;"H. Sale Real"),IF(I144-I139&lt;0.208333333333333,I144-I139,""),""))))),""),"")</f>
        <v/>
      </c>
      <c r="T143" s="89">
        <f>IF(G143&lt;&gt;"H. Sale Real",IF(AND(G144&lt;&gt;"",LEFT(C144,2)&lt;&gt;"Va"),IF(AND(G143&lt;&gt;"",LEFT(C143,2)&lt;&gt;"Va",G143&lt;&gt;"H. Sale Real"),IF(G144-G143&lt;0.208333333333333,G144-G143,""),IF(AND(G142&lt;&gt;"",LEFT(C142,2)&lt;&gt;"Va",G142&lt;&gt;"H. Sale Real"),IF(G144-G142&lt;0.208333333333333,G144-G142,""),IF(AND(G141&lt;&gt;"",LEFT(C141,2)&lt;&gt;"Va",G141&lt;&gt;"H. Sale Real"),IF(G144-G141&lt;0.208333333333333,G144-G141,""),IF(AND(G140&lt;&gt;"",LEFT(C140,2)&lt;&gt;"Va",G140&lt;&gt;"H. Sale Real"),IF(G144-G140&lt;0.208333333333333,G144-G140,""),IF(AND(G139&lt;&gt;"",LEFT(C139,2)&lt;&gt;"Va",G139&lt;&gt;"H. Sale Real"),IF(G144-G139&lt;0.208333333333333,G144-G139,""),""))))),""),"")</f>
        <v/>
      </c>
      <c r="U143" s="87" t="n"/>
      <c r="V143" s="89" t="n"/>
      <c r="W143" s="87" t="n"/>
      <c r="X143" s="89" t="n"/>
      <c r="Y143" s="91" t="n"/>
      <c r="Z143" s="122">
        <f>IF(G143&lt;&gt;"",IF(AND(Z142&lt;&gt;"IE",P143&lt;&gt;0,R143&lt;&gt;""),IF(IFERROR((P143/R143),0) &lt;=1,IFERROR(P143/R143,""),1),""),"")</f>
        <v/>
      </c>
      <c r="AA143" s="93" t="n"/>
      <c r="AB143" s="2" t="n"/>
      <c r="AE143" s="10">
        <f>HOUR(AK143)+1</f>
        <v/>
      </c>
      <c r="AF143" s="7" t="n"/>
      <c r="AG143" s="7" t="n"/>
      <c r="AH143" s="86" t="n"/>
      <c r="AI143" s="8" t="n"/>
      <c r="AJ143" s="86" t="n"/>
      <c r="AK143" s="87" t="n"/>
      <c r="AL143" s="88">
        <f>IF(AM143="","",IF(AND((AM143-AK143)&gt;=TIME(0,0,0),(AM143-AK143)&lt;TIME(0,3,0)),"OK",IF(AND((AM143-AK143)&gt;=TIME(0,3,0),(AM143-AK143)&lt;TIME(0,5,0)),"RETRASO DE 3-5 MIN",IF(AND((AM143-AK143)&gt;=TIME(0,5,0),(AM143-AK143)&lt;TIME(0,10,0)),"RETRASO DE 5-10 MIN",IF((AM143-AK143)&gt;=TIME(0,10,0),"RETRASO &gt;10 MIN", IF(AND((AK143-AM143)&gt;=TIME(0,0,0),(AK143-AM143)&lt;TIME(0,3,0)),"OK",IF((AK143-AM143)&gt;=TIME(0,3,0),"ADELANTADO")))))))</f>
        <v/>
      </c>
      <c r="AM143" s="91" t="n"/>
      <c r="AN143" s="89">
        <f>IF(AE143&lt;&gt;"",HLOOKUP(VALUE(TEXT(AK143,"h:mm:ss")),IF($C$6="Laboral",$FZ$4:$GX$227,IF($C$6="Sábado",$FZ$231:$GX$452,$FZ$456:$GX$656)),VLOOKUP($C$4,$HF$2:$HH$99,3,0)+IF(AG$5="Ida",0,1),1),"")</f>
        <v/>
      </c>
      <c r="AO143" s="89">
        <f>IF(AE144&lt;&gt;AE143,AVERAGEIF(AE$9:AE143,AE143,AN$9:AN143),"")</f>
        <v/>
      </c>
      <c r="AP143" s="89">
        <f>IFERROR(IF(AE144&lt;&gt;AE143,AVERAGEIF(AE$9:AE143,AE143,AW$9:AW143),""),"")</f>
        <v/>
      </c>
      <c r="AQ143" s="89">
        <f>IFERROR(IF(AE144&lt;&gt;AE143,AVERAGEIF(AE$9:AE143,AE143,AX$9:AX143),""),"")</f>
        <v/>
      </c>
      <c r="AR143" s="89">
        <f t="array" ref="AR143">IFERROR(IF(AE144&lt;&gt;AE143,_xlfn.STDEV.P(IF(AE$9:AE143=AE143,AX$9:AX143)),""),"")</f>
        <v/>
      </c>
      <c r="AS143" s="89">
        <f t="array" ref="AS143">IFERROR(IF(AE144&lt;&gt;AE143,_xlfn.STDEV.P(IF(AE$9:AE143=AE143,AW$9:AW143)),""),"")</f>
        <v/>
      </c>
      <c r="AT143" s="90">
        <f>IFERROR(IF(AE143&lt;&gt;AE144,MAX((((AQ143*24*60)/2)*(1+POWER((((AR143*24*60) / (AQ143*24*60) )),2))) + ((AQ143*24*60 )*-0.1 + (AO143*0.015)) +1,(((AQ143*24*60)/2)*(1+POWER((((AR143*24*60) / (AQ143*24*60 ))),2)))),""),"")</f>
        <v/>
      </c>
      <c r="AU143" s="90">
        <f>IF(AND(AS143&lt;&gt;"",AP143&lt;&gt;""),IF(AE143&lt;&gt;AE144,((AP143*24*60) / 2 ) * (1 + POWER(((AS143*24*60) / (AP143*24*60)),2)),""),"")</f>
        <v/>
      </c>
      <c r="AV143" s="90">
        <f>IF(AU143&lt;&gt;"",MAX(AT143,AU143),"")</f>
        <v/>
      </c>
      <c r="AW143" s="89">
        <f>IF(AM143&lt;&gt;"H. Sale Real",IF(AND(AM144&lt;&gt;"",LEFT(AG144,2)&lt;&gt;"Va"),IF(AND(AM143&lt;&gt;"",LEFT(AG143,2)&lt;&gt;"Va",AM143&lt;&gt;"H. Sale Real"),IF(AM144-AM143&lt;0.208333333333333,AM144-AM143,""),IF(AND(AM142&lt;&gt;"",LEFT(AG142,2)&lt;&gt;"Va",AM142&lt;&gt;"H. Sale Real"),IF(AM144-AM142&lt;0.208333333333333,AM144-AM142,""),IF(AND(AM141&lt;&gt;"",LEFT(AG141,2)&lt;&gt;"Va",AM141&lt;&gt;"H. Sale Real"),IF(AM144-AM141&lt;0.208333333333333,AM144-AM141,""),IF(AND(AM140&lt;&gt;"",LEFT(AG140,2)&lt;&gt;"Va",AM140&lt;&gt;"H. Sale Real"),IF(AM144-AM140&lt;0.208333333333333,AM144-AM140,""),IF(AND(AM139&lt;&gt;"",LEFT(AG139,2)&lt;&gt;"Va",AM139&lt;&gt;"H. Sale Real"),IF(AM144-AM139&lt;0.208333333333333,AM144-AM139,""),""))))),""),"")</f>
        <v/>
      </c>
      <c r="AX143" s="89">
        <f>IF(AK143&lt;&gt;"H. Sale Real",IF(AND(AK144&lt;&gt;"",LEFT(AG144,2)&lt;&gt;"Va"),IF(AND(AK143&lt;&gt;"",LEFT(AG143,2)&lt;&gt;"Va",AK143&lt;&gt;"H. Sale Real"),IF(AK144-AK143&lt;0.208333333333333,AK144-AK143,""),IF(AND(AK142&lt;&gt;"",LEFT(AG142,2)&lt;&gt;"Va",AK142&lt;&gt;"H. Sale Real"),IF(AK144-AK142&lt;0.208333333333333,AK144-AK142,""),IF(AND(AK141&lt;&gt;"",LEFT(AG141,2)&lt;&gt;"NC",AK141&lt;&gt;"H. Sale Real"),IF(AK144-AK141&lt;0.208333333333333,AK144-AK141,""),IF(AND(AK140&lt;&gt;"",LEFT(AG140,2)&lt;&gt;"Va",AK140&lt;&gt;"H. Sale Real"),IF(AK144-AK140&lt;0.208333333333333,AK144-AK140,""),IF(AND(AK139&lt;&gt;"",LEFT(AG139,2)&lt;&gt;"Va",AK139&lt;&gt;"H. Sale Real"),IF(AK144-AK139&lt;0.208333333333333,AK144-AK139,""),""))))),""),"")</f>
        <v/>
      </c>
      <c r="AY143" s="87" t="n"/>
      <c r="AZ143" s="89" t="n"/>
      <c r="BA143" s="87" t="n"/>
      <c r="BB143" s="89" t="n"/>
      <c r="BC143" s="91" t="n"/>
      <c r="BD143" s="122">
        <f>IF(AK143&lt;&gt;"",IF(AND(BD142&lt;&gt;"IE",AT143&lt;&gt;0,AV143&lt;&gt;""),IF(IFERROR((AT143/AV143),0) &lt;=1,IFERROR(AT143/AV143,""),1),""),"")</f>
        <v/>
      </c>
      <c r="BE143" s="93" t="n"/>
      <c r="BF143" s="105" t="n"/>
      <c r="FC143" t="inlineStr">
        <is>
          <t>Diccionario 1</t>
        </is>
      </c>
      <c r="FD143" s="15" t="n">
        <v>1140</v>
      </c>
      <c r="FE143" s="15" t="inlineStr">
        <is>
          <t>LDYECS312S0043910</t>
        </is>
      </c>
      <c r="FF143" s="15" t="inlineStr">
        <is>
          <t>MDN35025010079</t>
        </is>
      </c>
      <c r="FG143" s="15" t="inlineStr">
        <is>
          <t>Zhong Tong</t>
        </is>
      </c>
      <c r="FH143" s="15" t="inlineStr">
        <is>
          <t>Lck6122evg</t>
        </is>
      </c>
      <c r="FI143" s="15" t="inlineStr">
        <is>
          <t>ZHONGTONG</t>
        </is>
      </c>
      <c r="FJ143" s="15" t="inlineStr">
        <is>
          <t>LCK6122EVG</t>
        </is>
      </c>
      <c r="FK143" s="15" t="n">
        <v>2025</v>
      </c>
      <c r="FL143" s="15" t="inlineStr">
        <is>
          <t>B</t>
        </is>
      </c>
      <c r="FM143" s="15" t="inlineStr">
        <is>
          <t>SAN JOSE</t>
        </is>
      </c>
      <c r="FN143" s="15" t="inlineStr">
        <is>
          <t>San José 030 (José Besa 669)</t>
        </is>
      </c>
      <c r="FO143" s="15" t="inlineStr">
        <is>
          <t>San Bernardo</t>
        </is>
      </c>
      <c r="FP143" t="inlineStr">
        <is>
          <t>B</t>
        </is>
      </c>
      <c r="FS143" s="14" t="inlineStr">
        <is>
          <t>3035 / SFWB-64|</t>
        </is>
      </c>
      <c r="FT143" t="inlineStr">
        <is>
          <t>SFWB-64|</t>
        </is>
      </c>
      <c r="FU143" t="inlineStr">
        <is>
          <t>SFWB-64</t>
        </is>
      </c>
      <c r="FV143">
        <f>VLOOKUP(FU143,FD:FL,9,0)</f>
        <v/>
      </c>
      <c r="HA143" s="35" t="n">
        <v>140</v>
      </c>
      <c r="HB143" s="35" t="n">
        <v>137</v>
      </c>
    </row>
    <row r="144" ht="15.5" customHeight="1">
      <c r="A144" s="10">
        <f>HOUR(G144)+1</f>
        <v/>
      </c>
      <c r="B144" s="7" t="n"/>
      <c r="C144" s="7" t="n"/>
      <c r="D144" s="85">
        <f>IFERROR(
IF(AND(OR(Planilla!B144="C",Planilla!B144="c"), VLOOKUP(E144,FD:FP,13,0)="C"), "OK",IF(AND(OR(Planilla!B144="C",Planilla!B144="c"), OR(VLOOKUP(E144,FD:FP,13,0)="B", VLOOKUP(E144,FD:FP,13,0)="A")), "DEFICIT",IF(
AND(OR(Planilla!B144="B", Planilla!B144="BPAL"), VLOOKUP(E144,FD:FP,13,0)="B"), "OK",IF(AND(OR(Planilla!B144="B", Planilla!B144="BPAL"), VLOOKUP(E144,FD:FP,13,0)="A"), "DEFICIT",IF(AND(OR(Planilla!B144="B", Planilla!B144="BPAL"), VLOOKUP(E144,FD:FP,13,0)="C"), "SOBREOFERTA",IF(AND(Planilla!B144="A", VLOOKUP(E144,FD:FP,13,0)="A"), "OK",IF(
AND(Planilla!B144="A", OR(VLOOKUP(E144,FD:FP,13,0)="B", VLOOKUP(E144,FD:FP,13,0)="C")), "SOBREOFERTA",""
))))))),"")</f>
        <v/>
      </c>
      <c r="E144" s="8" t="n"/>
      <c r="F144" s="86" t="n"/>
      <c r="G144" s="87" t="n"/>
      <c r="H144" s="88">
        <f>IF(I144="","",IF(AND((I144-G144)&gt;=TIME(0,0,0),(I144-G144)&lt;TIME(0,3,0)),"OK",IF(AND((I144-G144)&gt;=TIME(0,3,0),(I144-G144)&lt;TIME(0,5,0)),"RETRASO DE 3-5 MIN",IF(AND((I144-G144)&gt;=TIME(0,5,0),(I144-G144)&lt;TIME(0,10,0)),"RETRASO DE 5-10 MIN",IF((I144-G144)&gt;=TIME(0,10,0),"RETRASO &gt;10 MIN", IF(AND((G144-I144)&gt;=TIME(0,0,0),(G144-I144)&lt;TIME(0,3,0)),"OK",IF((G144-I144)&gt;=TIME(0,3,0),"ADELANTADO")))))))</f>
        <v/>
      </c>
      <c r="I144" s="89" t="n"/>
      <c r="J144" s="89">
        <f>IF(A144&lt;&gt;"",HLOOKUP(VALUE(TEXT(G144,"h:mm:ss")),IF($C$6="Laboral",$FZ$4:$GX$227,IF($C$6="Sábado",$FZ$231:$GX$452,$FZ$456:$GX$656)),VLOOKUP($C$4,$HF$2:$HH$99,3,0)+IF(C$5="Ida",0,1),1),"")</f>
        <v/>
      </c>
      <c r="K144" s="89">
        <f>IF(A145&lt;&gt;A144,AVERAGEIF(A$9:A144,A144,J$9:J144),"")</f>
        <v/>
      </c>
      <c r="L144" s="89">
        <f>IFERROR(IF(A145&lt;&gt;A144,AVERAGEIF(A$9:A144,A144,S$9:S144),""),"")</f>
        <v/>
      </c>
      <c r="M144" s="89">
        <f>IFERROR(IF(A145&lt;&gt;A144,AVERAGEIF(A$9:A144,A144,T$9:T144),""),"")</f>
        <v/>
      </c>
      <c r="N144" s="89">
        <f t="array" ref="N144">IFERROR(IF(A145&lt;&gt;A144,_xlfn.STDEV.P(IF(A$9:A144=A144,T$9:T144)),""),"")</f>
        <v/>
      </c>
      <c r="O144" s="89">
        <f t="array" ref="O144">IFERROR(IF(A145&lt;&gt;A144,_xlfn.STDEV.P(IF(A$9:A144=A144,S$9:S144)),""),"")</f>
        <v/>
      </c>
      <c r="P144" s="90">
        <f>IFERROR(IF(A144&lt;&gt;A145,MAX((((M144*24*60)/2)*(1+POWER((((N144*24*60) / (M144*24*60) )),2))) + ((M144*24*60 )*-0.1 + (K144*0.015)) +1,(((M144*24*60)/2)*(1+POWER((((N144*24*60) / (M144*24*60 ))),2)))),""),"")</f>
        <v/>
      </c>
      <c r="Q144" s="90">
        <f>IF(AND(O144&lt;&gt;"",L144&lt;&gt;""),IF(A144&lt;&gt;A145,((L144*24*60) / 2 ) * (1 + POWER(((O144*24*60) / (L144*24*60)),2)),""),"")</f>
        <v/>
      </c>
      <c r="R144" s="90">
        <f>IF(Q144&lt;&gt;"",MAX(P144,Q144),"")</f>
        <v/>
      </c>
      <c r="S144" s="89">
        <f>IF(I144&lt;&gt;"H. Sale Real",IF(AND(I145&lt;&gt;"",LEFT(C145,2)&lt;&gt;"Va"),IF(AND(I144&lt;&gt;"",LEFT(C144,2)&lt;&gt;"Va",I144&lt;&gt;"H. Sale Real"),IF(I145-I144&lt;0.208333333333333,I145-I144,""),IF(AND(I143&lt;&gt;"",LEFT(C143,2)&lt;&gt;"Va",I143&lt;&gt;"H. Sale Real"),IF(I145-I143&lt;0.208333333333333,I145-I143,""),IF(AND(I142&lt;&gt;"",LEFT(C142,2)&lt;&gt;"Va",I142&lt;&gt;"H. Sale Real"),IF(I145-I142&lt;0.208333333333333,I145-I142,""),IF(AND(I141&lt;&gt;"",LEFT(C141,2)&lt;&gt;"Va",I141&lt;&gt;"H. Sale Real"),IF(I145-I141&lt;0.208333333333333,I145-I141,""),IF(AND(I140&lt;&gt;"",LEFT(C140,2)&lt;&gt;"Va",I140&lt;&gt;"H. Sale Real"),IF(I145-I140&lt;0.208333333333333,I145-I140,""),""))))),""),"")</f>
        <v/>
      </c>
      <c r="T144" s="89">
        <f>IF(G144&lt;&gt;"H. Sale Real",IF(AND(G145&lt;&gt;"",LEFT(C145,2)&lt;&gt;"Va"),IF(AND(G144&lt;&gt;"",LEFT(C144,2)&lt;&gt;"Va",G144&lt;&gt;"H. Sale Real"),IF(G145-G144&lt;0.208333333333333,G145-G144,""),IF(AND(G143&lt;&gt;"",LEFT(C143,2)&lt;&gt;"Va",G143&lt;&gt;"H. Sale Real"),IF(G145-G143&lt;0.208333333333333,G145-G143,""),IF(AND(G142&lt;&gt;"",LEFT(C142,2)&lt;&gt;"Va",G142&lt;&gt;"H. Sale Real"),IF(G145-G142&lt;0.208333333333333,G145-G142,""),IF(AND(G141&lt;&gt;"",LEFT(C141,2)&lt;&gt;"Va",G141&lt;&gt;"H. Sale Real"),IF(G145-G141&lt;0.208333333333333,G145-G141,""),IF(AND(G140&lt;&gt;"",LEFT(C140,2)&lt;&gt;"Va",G140&lt;&gt;"H. Sale Real"),IF(G145-G140&lt;0.208333333333333,G145-G140,""),""))))),""),"")</f>
        <v/>
      </c>
      <c r="U144" s="87" t="n"/>
      <c r="V144" s="89" t="n"/>
      <c r="W144" s="87" t="n"/>
      <c r="X144" s="89" t="n"/>
      <c r="Y144" s="91" t="n"/>
      <c r="Z144" s="122">
        <f>IF(G144&lt;&gt;"",IF(AND(Z143&lt;&gt;"IE",P144&lt;&gt;0,R144&lt;&gt;""),IF(IFERROR((P144/R144),0) &lt;=1,IFERROR(P144/R144,""),1),""),"")</f>
        <v/>
      </c>
      <c r="AA144" s="93" t="n"/>
      <c r="AB144" s="2" t="n"/>
      <c r="AE144" s="10">
        <f>HOUR(AK144)+1</f>
        <v/>
      </c>
      <c r="AF144" s="7" t="n"/>
      <c r="AG144" s="7" t="n"/>
      <c r="AH144" s="86" t="n"/>
      <c r="AI144" s="8" t="n"/>
      <c r="AJ144" s="86" t="n"/>
      <c r="AK144" s="87" t="n"/>
      <c r="AL144" s="88">
        <f>IF(AM144="","",IF(AND((AM144-AK144)&gt;=TIME(0,0,0),(AM144-AK144)&lt;TIME(0,3,0)),"OK",IF(AND((AM144-AK144)&gt;=TIME(0,3,0),(AM144-AK144)&lt;TIME(0,5,0)),"RETRASO DE 3-5 MIN",IF(AND((AM144-AK144)&gt;=TIME(0,5,0),(AM144-AK144)&lt;TIME(0,10,0)),"RETRASO DE 5-10 MIN",IF((AM144-AK144)&gt;=TIME(0,10,0),"RETRASO &gt;10 MIN", IF(AND((AK144-AM144)&gt;=TIME(0,0,0),(AK144-AM144)&lt;TIME(0,3,0)),"OK",IF((AK144-AM144)&gt;=TIME(0,3,0),"ADELANTADO")))))))</f>
        <v/>
      </c>
      <c r="AM144" s="91" t="n"/>
      <c r="AN144" s="89">
        <f>IF(AE144&lt;&gt;"",HLOOKUP(VALUE(TEXT(AK144,"h:mm:ss")),IF($C$6="Laboral",$FZ$4:$GX$227,IF($C$6="Sábado",$FZ$231:$GX$452,$FZ$456:$GX$656)),VLOOKUP($C$4,$HF$2:$HH$99,3,0)+IF(AG$5="Ida",0,1),1),"")</f>
        <v/>
      </c>
      <c r="AO144" s="89">
        <f>IF(AE145&lt;&gt;AE144,AVERAGEIF(AE$9:AE144,AE144,AN$9:AN144),"")</f>
        <v/>
      </c>
      <c r="AP144" s="89">
        <f>IFERROR(IF(AE145&lt;&gt;AE144,AVERAGEIF(AE$9:AE144,AE144,AW$9:AW144),""),"")</f>
        <v/>
      </c>
      <c r="AQ144" s="89">
        <f>IFERROR(IF(AE145&lt;&gt;AE144,AVERAGEIF(AE$9:AE144,AE144,AX$9:AX144),""),"")</f>
        <v/>
      </c>
      <c r="AR144" s="89">
        <f t="array" ref="AR144">IFERROR(IF(AE145&lt;&gt;AE144,_xlfn.STDEV.P(IF(AE$9:AE144=AE144,AX$9:AX144)),""),"")</f>
        <v/>
      </c>
      <c r="AS144" s="89">
        <f t="array" ref="AS144">IFERROR(IF(AE145&lt;&gt;AE144,_xlfn.STDEV.P(IF(AE$9:AE144=AE144,AW$9:AW144)),""),"")</f>
        <v/>
      </c>
      <c r="AT144" s="90">
        <f>IFERROR(IF(AE144&lt;&gt;AE145,MAX((((AQ144*24*60)/2)*(1+POWER((((AR144*24*60) / (AQ144*24*60) )),2))) + ((AQ144*24*60 )*-0.1 + (AO144*0.015)) +1,(((AQ144*24*60)/2)*(1+POWER((((AR144*24*60) / (AQ144*24*60 ))),2)))),""),"")</f>
        <v/>
      </c>
      <c r="AU144" s="90">
        <f>IF(AND(AS144&lt;&gt;"",AP144&lt;&gt;""),IF(AE144&lt;&gt;AE145,((AP144*24*60) / 2 ) * (1 + POWER(((AS144*24*60) / (AP144*24*60)),2)),""),"")</f>
        <v/>
      </c>
      <c r="AV144" s="90">
        <f>IF(AU144&lt;&gt;"",MAX(AT144,AU144),"")</f>
        <v/>
      </c>
      <c r="AW144" s="89">
        <f>IF(AM144&lt;&gt;"H. Sale Real",IF(AND(AM145&lt;&gt;"",LEFT(AG145,2)&lt;&gt;"Va"),IF(AND(AM144&lt;&gt;"",LEFT(AG144,2)&lt;&gt;"Va",AM144&lt;&gt;"H. Sale Real"),IF(AM145-AM144&lt;0.208333333333333,AM145-AM144,""),IF(AND(AM143&lt;&gt;"",LEFT(AG143,2)&lt;&gt;"Va",AM143&lt;&gt;"H. Sale Real"),IF(AM145-AM143&lt;0.208333333333333,AM145-AM143,""),IF(AND(AM142&lt;&gt;"",LEFT(AG142,2)&lt;&gt;"Va",AM142&lt;&gt;"H. Sale Real"),IF(AM145-AM142&lt;0.208333333333333,AM145-AM142,""),IF(AND(AM141&lt;&gt;"",LEFT(AG141,2)&lt;&gt;"Va",AM141&lt;&gt;"H. Sale Real"),IF(AM145-AM141&lt;0.208333333333333,AM145-AM141,""),IF(AND(AM140&lt;&gt;"",LEFT(AG140,2)&lt;&gt;"Va",AM140&lt;&gt;"H. Sale Real"),IF(AM145-AM140&lt;0.208333333333333,AM145-AM140,""),""))))),""),"")</f>
        <v/>
      </c>
      <c r="AX144" s="89">
        <f>IF(AK144&lt;&gt;"H. Sale Real",IF(AND(AK145&lt;&gt;"",LEFT(AG145,2)&lt;&gt;"Va"),IF(AND(AK144&lt;&gt;"",LEFT(AG144,2)&lt;&gt;"Va",AK144&lt;&gt;"H. Sale Real"),IF(AK145-AK144&lt;0.208333333333333,AK145-AK144,""),IF(AND(AK143&lt;&gt;"",LEFT(AG143,2)&lt;&gt;"Va",AK143&lt;&gt;"H. Sale Real"),IF(AK145-AK143&lt;0.208333333333333,AK145-AK143,""),IF(AND(AK142&lt;&gt;"",LEFT(AG142,2)&lt;&gt;"NC",AK142&lt;&gt;"H. Sale Real"),IF(AK145-AK142&lt;0.208333333333333,AK145-AK142,""),IF(AND(AK141&lt;&gt;"",LEFT(AG141,2)&lt;&gt;"Va",AK141&lt;&gt;"H. Sale Real"),IF(AK145-AK141&lt;0.208333333333333,AK145-AK141,""),IF(AND(AK140&lt;&gt;"",LEFT(AG140,2)&lt;&gt;"Va",AK140&lt;&gt;"H. Sale Real"),IF(AK145-AK140&lt;0.208333333333333,AK145-AK140,""),""))))),""),"")</f>
        <v/>
      </c>
      <c r="AY144" s="87" t="n"/>
      <c r="AZ144" s="89" t="n"/>
      <c r="BA144" s="87" t="n"/>
      <c r="BB144" s="89" t="n"/>
      <c r="BC144" s="91" t="n"/>
      <c r="BD144" s="122">
        <f>IF(AK144&lt;&gt;"",IF(AND(BD143&lt;&gt;"IE",AT144&lt;&gt;0,AV144&lt;&gt;""),IF(IFERROR((AT144/AV144),0) &lt;=1,IFERROR(AT144/AV144,""),1),""),"")</f>
        <v/>
      </c>
      <c r="BE144" s="93" t="n"/>
      <c r="BF144" s="105" t="n"/>
      <c r="FC144" t="inlineStr">
        <is>
          <t>Diccionario 1</t>
        </is>
      </c>
      <c r="FD144" s="15" t="n">
        <v>1141</v>
      </c>
      <c r="FE144" s="15" t="inlineStr">
        <is>
          <t>LDYECS316S0043991</t>
        </is>
      </c>
      <c r="FF144" s="15" t="inlineStr">
        <is>
          <t>MDN35025020122</t>
        </is>
      </c>
      <c r="FG144" s="15" t="inlineStr">
        <is>
          <t>Zhong Tong</t>
        </is>
      </c>
      <c r="FH144" s="15" t="inlineStr">
        <is>
          <t>Lck6122evg</t>
        </is>
      </c>
      <c r="FI144" s="15" t="inlineStr">
        <is>
          <t>ZHONGTONG</t>
        </is>
      </c>
      <c r="FJ144" s="15" t="inlineStr">
        <is>
          <t>LCK6122EVG</t>
        </is>
      </c>
      <c r="FK144" s="15" t="n">
        <v>2025</v>
      </c>
      <c r="FL144" s="15" t="inlineStr">
        <is>
          <t>B</t>
        </is>
      </c>
      <c r="FM144" s="15" t="inlineStr">
        <is>
          <t>LOS LIBERTADORES</t>
        </is>
      </c>
      <c r="FN144" s="15" t="inlineStr">
        <is>
          <t>Los Liberadores 6450, Lote 4A</t>
        </is>
      </c>
      <c r="FO144" s="15" t="inlineStr">
        <is>
          <t>Huechuraba</t>
        </is>
      </c>
      <c r="FP144" t="inlineStr">
        <is>
          <t>B</t>
        </is>
      </c>
      <c r="FS144" s="14" t="inlineStr">
        <is>
          <t>3036 / SFWB-77|</t>
        </is>
      </c>
      <c r="FT144" t="inlineStr">
        <is>
          <t>SFWB-77|</t>
        </is>
      </c>
      <c r="FU144" t="inlineStr">
        <is>
          <t>SFWB-77</t>
        </is>
      </c>
      <c r="FV144">
        <f>VLOOKUP(FU144,FD:FL,9,0)</f>
        <v/>
      </c>
      <c r="HA144" s="35" t="n">
        <v>141</v>
      </c>
      <c r="HB144" s="35" t="n">
        <v>138</v>
      </c>
    </row>
    <row r="145" ht="15.5" customHeight="1">
      <c r="A145" s="10">
        <f>HOUR(G145)+1</f>
        <v/>
      </c>
      <c r="B145" s="7" t="n"/>
      <c r="C145" s="7" t="n"/>
      <c r="D145" s="85">
        <f>IFERROR(
IF(AND(OR(Planilla!B145="C",Planilla!B145="c"), VLOOKUP(E145,FD:FP,13,0)="C"), "OK",IF(AND(OR(Planilla!B145="C",Planilla!B145="c"), OR(VLOOKUP(E145,FD:FP,13,0)="B", VLOOKUP(E145,FD:FP,13,0)="A")), "DEFICIT",IF(
AND(OR(Planilla!B145="B", Planilla!B145="BPAL"), VLOOKUP(E145,FD:FP,13,0)="B"), "OK",IF(AND(OR(Planilla!B145="B", Planilla!B145="BPAL"), VLOOKUP(E145,FD:FP,13,0)="A"), "DEFICIT",IF(AND(OR(Planilla!B145="B", Planilla!B145="BPAL"), VLOOKUP(E145,FD:FP,13,0)="C"), "SOBREOFERTA",IF(AND(Planilla!B145="A", VLOOKUP(E145,FD:FP,13,0)="A"), "OK",IF(
AND(Planilla!B145="A", OR(VLOOKUP(E145,FD:FP,13,0)="B", VLOOKUP(E145,FD:FP,13,0)="C")), "SOBREOFERTA",""
))))))),"")</f>
        <v/>
      </c>
      <c r="E145" s="8" t="n"/>
      <c r="F145" s="86" t="n"/>
      <c r="G145" s="87" t="n"/>
      <c r="H145" s="88">
        <f>IF(I145="","",IF(AND((I145-G145)&gt;=TIME(0,0,0),(I145-G145)&lt;TIME(0,3,0)),"OK",IF(AND((I145-G145)&gt;=TIME(0,3,0),(I145-G145)&lt;TIME(0,5,0)),"RETRASO DE 3-5 MIN",IF(AND((I145-G145)&gt;=TIME(0,5,0),(I145-G145)&lt;TIME(0,10,0)),"RETRASO DE 5-10 MIN",IF((I145-G145)&gt;=TIME(0,10,0),"RETRASO &gt;10 MIN", IF(AND((G145-I145)&gt;=TIME(0,0,0),(G145-I145)&lt;TIME(0,3,0)),"OK",IF((G145-I145)&gt;=TIME(0,3,0),"ADELANTADO")))))))</f>
        <v/>
      </c>
      <c r="I145" s="89" t="n"/>
      <c r="J145" s="89">
        <f>IF(A145&lt;&gt;"",HLOOKUP(VALUE(TEXT(G145,"h:mm:ss")),IF($C$6="Laboral",$FZ$4:$GX$227,IF($C$6="Sábado",$FZ$231:$GX$452,$FZ$456:$GX$656)),VLOOKUP($C$4,$HF$2:$HH$99,3,0)+IF(C$5="Ida",0,1),1),"")</f>
        <v/>
      </c>
      <c r="K145" s="89">
        <f>IF(A146&lt;&gt;A145,AVERAGEIF(A$9:A145,A145,J$9:J145),"")</f>
        <v/>
      </c>
      <c r="L145" s="89">
        <f>IFERROR(IF(A146&lt;&gt;A145,AVERAGEIF(A$9:A145,A145,S$9:S145),""),"")</f>
        <v/>
      </c>
      <c r="M145" s="89">
        <f>IFERROR(IF(A146&lt;&gt;A145,AVERAGEIF(A$9:A145,A145,T$9:T145),""),"")</f>
        <v/>
      </c>
      <c r="N145" s="89">
        <f t="array" ref="N145">IFERROR(IF(A146&lt;&gt;A145,_xlfn.STDEV.P(IF(A$9:A145=A145,T$9:T145)),""),"")</f>
        <v/>
      </c>
      <c r="O145" s="89">
        <f t="array" ref="O145">IFERROR(IF(A146&lt;&gt;A145,_xlfn.STDEV.P(IF(A$9:A145=A145,S$9:S145)),""),"")</f>
        <v/>
      </c>
      <c r="P145" s="90">
        <f>IFERROR(IF(A145&lt;&gt;A146,MAX((((M145*24*60)/2)*(1+POWER((((N145*24*60) / (M145*24*60) )),2))) + ((M145*24*60 )*-0.1 + (K145*0.015)) +1,(((M145*24*60)/2)*(1+POWER((((N145*24*60) / (M145*24*60 ))),2)))),""),"")</f>
        <v/>
      </c>
      <c r="Q145" s="90">
        <f>IF(AND(O145&lt;&gt;"",L145&lt;&gt;""),IF(A145&lt;&gt;A146,((L145*24*60) / 2 ) * (1 + POWER(((O145*24*60) / (L145*24*60)),2)),""),"")</f>
        <v/>
      </c>
      <c r="R145" s="90">
        <f>IF(Q145&lt;&gt;"",MAX(P145,Q145),"")</f>
        <v/>
      </c>
      <c r="S145" s="89">
        <f>IF(I145&lt;&gt;"H. Sale Real",IF(AND(I146&lt;&gt;"",LEFT(C146,2)&lt;&gt;"Va"),IF(AND(I145&lt;&gt;"",LEFT(C145,2)&lt;&gt;"Va",I145&lt;&gt;"H. Sale Real"),IF(I146-I145&lt;0.208333333333333,I146-I145,""),IF(AND(I144&lt;&gt;"",LEFT(C144,2)&lt;&gt;"Va",I144&lt;&gt;"H. Sale Real"),IF(I146-I144&lt;0.208333333333333,I146-I144,""),IF(AND(I143&lt;&gt;"",LEFT(C143,2)&lt;&gt;"Va",I143&lt;&gt;"H. Sale Real"),IF(I146-I143&lt;0.208333333333333,I146-I143,""),IF(AND(I142&lt;&gt;"",LEFT(C142,2)&lt;&gt;"Va",I142&lt;&gt;"H. Sale Real"),IF(I146-I142&lt;0.208333333333333,I146-I142,""),IF(AND(I141&lt;&gt;"",LEFT(C141,2)&lt;&gt;"Va",I141&lt;&gt;"H. Sale Real"),IF(I146-I141&lt;0.208333333333333,I146-I141,""),""))))),""),"")</f>
        <v/>
      </c>
      <c r="T145" s="89">
        <f>IF(G145&lt;&gt;"H. Sale Real",IF(AND(G146&lt;&gt;"",LEFT(C146,2)&lt;&gt;"Va"),IF(AND(G145&lt;&gt;"",LEFT(C145,2)&lt;&gt;"Va",G145&lt;&gt;"H. Sale Real"),IF(G146-G145&lt;0.208333333333333,G146-G145,""),IF(AND(G144&lt;&gt;"",LEFT(C144,2)&lt;&gt;"Va",G144&lt;&gt;"H. Sale Real"),IF(G146-G144&lt;0.208333333333333,G146-G144,""),IF(AND(G143&lt;&gt;"",LEFT(C143,2)&lt;&gt;"Va",G143&lt;&gt;"H. Sale Real"),IF(G146-G143&lt;0.208333333333333,G146-G143,""),IF(AND(G142&lt;&gt;"",LEFT(C142,2)&lt;&gt;"Va",G142&lt;&gt;"H. Sale Real"),IF(G146-G142&lt;0.208333333333333,G146-G142,""),IF(AND(G141&lt;&gt;"",LEFT(C141,2)&lt;&gt;"Va",G141&lt;&gt;"H. Sale Real"),IF(G146-G141&lt;0.208333333333333,G146-G141,""),""))))),""),"")</f>
        <v/>
      </c>
      <c r="U145" s="87" t="n"/>
      <c r="V145" s="89" t="n"/>
      <c r="W145" s="87" t="n"/>
      <c r="X145" s="89" t="n"/>
      <c r="Y145" s="91" t="n"/>
      <c r="Z145" s="122">
        <f>IF(G145&lt;&gt;"",IF(AND(Z144&lt;&gt;"IE",P145&lt;&gt;0,R145&lt;&gt;""),IF(IFERROR((P145/R145),0) &lt;=1,IFERROR(P145/R145,""),1),""),"")</f>
        <v/>
      </c>
      <c r="AA145" s="93" t="n"/>
      <c r="AB145" s="2" t="n"/>
      <c r="AE145" s="10">
        <f>HOUR(AK145)+1</f>
        <v/>
      </c>
      <c r="AF145" s="7" t="n"/>
      <c r="AG145" s="7" t="n"/>
      <c r="AH145" s="86" t="n"/>
      <c r="AI145" s="8" t="n"/>
      <c r="AJ145" s="86" t="n"/>
      <c r="AK145" s="87" t="n"/>
      <c r="AL145" s="88">
        <f>IF(AM145="","",IF(AND((AM145-AK145)&gt;=TIME(0,0,0),(AM145-AK145)&lt;TIME(0,3,0)),"OK",IF(AND((AM145-AK145)&gt;=TIME(0,3,0),(AM145-AK145)&lt;TIME(0,5,0)),"RETRASO DE 3-5 MIN",IF(AND((AM145-AK145)&gt;=TIME(0,5,0),(AM145-AK145)&lt;TIME(0,10,0)),"RETRASO DE 5-10 MIN",IF((AM145-AK145)&gt;=TIME(0,10,0),"RETRASO &gt;10 MIN", IF(AND((AK145-AM145)&gt;=TIME(0,0,0),(AK145-AM145)&lt;TIME(0,3,0)),"OK",IF((AK145-AM145)&gt;=TIME(0,3,0),"ADELANTADO")))))))</f>
        <v/>
      </c>
      <c r="AM145" s="91" t="n"/>
      <c r="AN145" s="89">
        <f>IF(AE145&lt;&gt;"",HLOOKUP(VALUE(TEXT(AK145,"h:mm:ss")),IF($C$6="Laboral",$FZ$4:$GX$227,IF($C$6="Sábado",$FZ$231:$GX$452,$FZ$456:$GX$656)),VLOOKUP($C$4,$HF$2:$HH$99,3,0)+IF(AG$5="Ida",0,1),1),"")</f>
        <v/>
      </c>
      <c r="AO145" s="89">
        <f>IF(AE146&lt;&gt;AE145,AVERAGEIF(AE$9:AE145,AE145,AN$9:AN145),"")</f>
        <v/>
      </c>
      <c r="AP145" s="89">
        <f>IFERROR(IF(AE146&lt;&gt;AE145,AVERAGEIF(AE$9:AE145,AE145,AW$9:AW145),""),"")</f>
        <v/>
      </c>
      <c r="AQ145" s="89">
        <f>IFERROR(IF(AE146&lt;&gt;AE145,AVERAGEIF(AE$9:AE145,AE145,AX$9:AX145),""),"")</f>
        <v/>
      </c>
      <c r="AR145" s="89">
        <f t="array" ref="AR145">IFERROR(IF(AE146&lt;&gt;AE145,_xlfn.STDEV.P(IF(AE$9:AE145=AE145,AX$9:AX145)),""),"")</f>
        <v/>
      </c>
      <c r="AS145" s="89">
        <f t="array" ref="AS145">IFERROR(IF(AE146&lt;&gt;AE145,_xlfn.STDEV.P(IF(AE$9:AE145=AE145,AW$9:AW145)),""),"")</f>
        <v/>
      </c>
      <c r="AT145" s="90">
        <f>IFERROR(IF(AE145&lt;&gt;AE146,MAX((((AQ145*24*60)/2)*(1+POWER((((AR145*24*60) / (AQ145*24*60) )),2))) + ((AQ145*24*60 )*-0.1 + (AO145*0.015)) +1,(((AQ145*24*60)/2)*(1+POWER((((AR145*24*60) / (AQ145*24*60 ))),2)))),""),"")</f>
        <v/>
      </c>
      <c r="AU145" s="90">
        <f>IF(AND(AS145&lt;&gt;"",AP145&lt;&gt;""),IF(AE145&lt;&gt;AE146,((AP145*24*60) / 2 ) * (1 + POWER(((AS145*24*60) / (AP145*24*60)),2)),""),"")</f>
        <v/>
      </c>
      <c r="AV145" s="90">
        <f>IF(AU145&lt;&gt;"",MAX(AT145,AU145),"")</f>
        <v/>
      </c>
      <c r="AW145" s="89">
        <f>IF(AM145&lt;&gt;"H. Sale Real",IF(AND(AM146&lt;&gt;"",LEFT(AG146,2)&lt;&gt;"Va"),IF(AND(AM145&lt;&gt;"",LEFT(AG145,2)&lt;&gt;"Va",AM145&lt;&gt;"H. Sale Real"),IF(AM146-AM145&lt;0.208333333333333,AM146-AM145,""),IF(AND(AM144&lt;&gt;"",LEFT(AG144,2)&lt;&gt;"Va",AM144&lt;&gt;"H. Sale Real"),IF(AM146-AM144&lt;0.208333333333333,AM146-AM144,""),IF(AND(AM143&lt;&gt;"",LEFT(AG143,2)&lt;&gt;"Va",AM143&lt;&gt;"H. Sale Real"),IF(AM146-AM143&lt;0.208333333333333,AM146-AM143,""),IF(AND(AM142&lt;&gt;"",LEFT(AG142,2)&lt;&gt;"Va",AM142&lt;&gt;"H. Sale Real"),IF(AM146-AM142&lt;0.208333333333333,AM146-AM142,""),IF(AND(AM141&lt;&gt;"",LEFT(AG141,2)&lt;&gt;"Va",AM141&lt;&gt;"H. Sale Real"),IF(AM146-AM141&lt;0.208333333333333,AM146-AM141,""),""))))),""),"")</f>
        <v/>
      </c>
      <c r="AX145" s="89">
        <f>IF(AK145&lt;&gt;"H. Sale Real",IF(AND(AK146&lt;&gt;"",LEFT(AG146,2)&lt;&gt;"Va"),IF(AND(AK145&lt;&gt;"",LEFT(AG145,2)&lt;&gt;"Va",AK145&lt;&gt;"H. Sale Real"),IF(AK146-AK145&lt;0.208333333333333,AK146-AK145,""),IF(AND(AK144&lt;&gt;"",LEFT(AG144,2)&lt;&gt;"Va",AK144&lt;&gt;"H. Sale Real"),IF(AK146-AK144&lt;0.208333333333333,AK146-AK144,""),IF(AND(AK143&lt;&gt;"",LEFT(AG143,2)&lt;&gt;"NC",AK143&lt;&gt;"H. Sale Real"),IF(AK146-AK143&lt;0.208333333333333,AK146-AK143,""),IF(AND(AK142&lt;&gt;"",LEFT(AG142,2)&lt;&gt;"Va",AK142&lt;&gt;"H. Sale Real"),IF(AK146-AK142&lt;0.208333333333333,AK146-AK142,""),IF(AND(AK141&lt;&gt;"",LEFT(AG141,2)&lt;&gt;"Va",AK141&lt;&gt;"H. Sale Real"),IF(AK146-AK141&lt;0.208333333333333,AK146-AK141,""),""))))),""),"")</f>
        <v/>
      </c>
      <c r="AY145" s="87" t="n"/>
      <c r="AZ145" s="89" t="n"/>
      <c r="BA145" s="87" t="n"/>
      <c r="BB145" s="89" t="n"/>
      <c r="BC145" s="91" t="n"/>
      <c r="BD145" s="122">
        <f>IF(AK145&lt;&gt;"",IF(AND(BD144&lt;&gt;"IE",AT145&lt;&gt;0,AV145&lt;&gt;""),IF(IFERROR((AT145/AV145),0) &lt;=1,IFERROR(AT145/AV145,""),1),""),"")</f>
        <v/>
      </c>
      <c r="BE145" s="93" t="n"/>
      <c r="BF145" s="105" t="n"/>
      <c r="FC145" t="inlineStr">
        <is>
          <t>Diccionario 1</t>
        </is>
      </c>
      <c r="FD145" s="15" t="n">
        <v>1142</v>
      </c>
      <c r="FE145" s="15" t="inlineStr">
        <is>
          <t>LDYECS317S0044115</t>
        </is>
      </c>
      <c r="FF145" s="15" t="inlineStr">
        <is>
          <t>MDN35025010018</t>
        </is>
      </c>
      <c r="FG145" s="15" t="inlineStr">
        <is>
          <t>Zhong Tong</t>
        </is>
      </c>
      <c r="FH145" s="15" t="inlineStr">
        <is>
          <t>Lck6122evg</t>
        </is>
      </c>
      <c r="FI145" s="15" t="inlineStr">
        <is>
          <t>ZHONGTONG</t>
        </is>
      </c>
      <c r="FJ145" s="15" t="inlineStr">
        <is>
          <t>LCK6122EVG</t>
        </is>
      </c>
      <c r="FK145" s="15" t="n">
        <v>2025</v>
      </c>
      <c r="FL145" s="15" t="inlineStr">
        <is>
          <t>B</t>
        </is>
      </c>
      <c r="FM145" s="15" t="inlineStr">
        <is>
          <t>LOS LIBERTADORES</t>
        </is>
      </c>
      <c r="FN145" s="15" t="inlineStr">
        <is>
          <t>Los Liberadores 6450, Lote 4A</t>
        </is>
      </c>
      <c r="FO145" s="15" t="inlineStr">
        <is>
          <t>Huechuraba</t>
        </is>
      </c>
      <c r="FP145" t="inlineStr">
        <is>
          <t>B</t>
        </is>
      </c>
      <c r="FS145" s="14" t="inlineStr">
        <is>
          <t>3036 / SFWB-77|</t>
        </is>
      </c>
      <c r="FT145" t="inlineStr">
        <is>
          <t>SFWB-77|</t>
        </is>
      </c>
      <c r="FU145" t="inlineStr">
        <is>
          <t>SFWB-77</t>
        </is>
      </c>
      <c r="FV145">
        <f>VLOOKUP(FU145,FD:FL,9,0)</f>
        <v/>
      </c>
      <c r="HA145" s="35" t="n">
        <v>142</v>
      </c>
      <c r="HB145" s="35" t="n">
        <v>139</v>
      </c>
    </row>
    <row r="146" ht="15.5" customHeight="1">
      <c r="A146" s="10">
        <f>HOUR(G146)+1</f>
        <v/>
      </c>
      <c r="B146" s="7" t="n"/>
      <c r="C146" s="7" t="n"/>
      <c r="D146" s="85">
        <f>IFERROR(
IF(AND(OR(Planilla!B146="C",Planilla!B146="c"), VLOOKUP(E146,FD:FP,13,0)="C"), "OK",IF(AND(OR(Planilla!B146="C",Planilla!B146="c"), OR(VLOOKUP(E146,FD:FP,13,0)="B", VLOOKUP(E146,FD:FP,13,0)="A")), "DEFICIT",IF(
AND(OR(Planilla!B146="B", Planilla!B146="BPAL"), VLOOKUP(E146,FD:FP,13,0)="B"), "OK",IF(AND(OR(Planilla!B146="B", Planilla!B146="BPAL"), VLOOKUP(E146,FD:FP,13,0)="A"), "DEFICIT",IF(AND(OR(Planilla!B146="B", Planilla!B146="BPAL"), VLOOKUP(E146,FD:FP,13,0)="C"), "SOBREOFERTA",IF(AND(Planilla!B146="A", VLOOKUP(E146,FD:FP,13,0)="A"), "OK",IF(
AND(Planilla!B146="A", OR(VLOOKUP(E146,FD:FP,13,0)="B", VLOOKUP(E146,FD:FP,13,0)="C")), "SOBREOFERTA",""
))))))),"")</f>
        <v/>
      </c>
      <c r="E146" s="8" t="n"/>
      <c r="F146" s="86" t="n"/>
      <c r="G146" s="87" t="n"/>
      <c r="H146" s="88">
        <f>IF(I146="","",IF(AND((I146-G146)&gt;=TIME(0,0,0),(I146-G146)&lt;TIME(0,3,0)),"OK",IF(AND((I146-G146)&gt;=TIME(0,3,0),(I146-G146)&lt;TIME(0,5,0)),"RETRASO DE 3-5 MIN",IF(AND((I146-G146)&gt;=TIME(0,5,0),(I146-G146)&lt;TIME(0,10,0)),"RETRASO DE 5-10 MIN",IF((I146-G146)&gt;=TIME(0,10,0),"RETRASO &gt;10 MIN", IF(AND((G146-I146)&gt;=TIME(0,0,0),(G146-I146)&lt;TIME(0,3,0)),"OK",IF((G146-I146)&gt;=TIME(0,3,0),"ADELANTADO")))))))</f>
        <v/>
      </c>
      <c r="I146" s="89" t="n"/>
      <c r="J146" s="89">
        <f>IF(A146&lt;&gt;"",HLOOKUP(VALUE(TEXT(G146,"h:mm:ss")),IF($C$6="Laboral",$FZ$4:$GX$227,IF($C$6="Sábado",$FZ$231:$GX$452,$FZ$456:$GX$656)),VLOOKUP($C$4,$HF$2:$HH$99,3,0)+IF(C$5="Ida",0,1),1),"")</f>
        <v/>
      </c>
      <c r="K146" s="89">
        <f>IF(A147&lt;&gt;A146,AVERAGEIF(A$9:A146,A146,J$9:J146),"")</f>
        <v/>
      </c>
      <c r="L146" s="89">
        <f>IFERROR(IF(A147&lt;&gt;A146,AVERAGEIF(A$9:A146,A146,S$9:S146),""),"")</f>
        <v/>
      </c>
      <c r="M146" s="89">
        <f>IFERROR(IF(A147&lt;&gt;A146,AVERAGEIF(A$9:A146,A146,T$9:T146),""),"")</f>
        <v/>
      </c>
      <c r="N146" s="89">
        <f t="array" ref="N146">IFERROR(IF(A147&lt;&gt;A146,_xlfn.STDEV.P(IF(A$9:A146=A146,T$9:T146)),""),"")</f>
        <v/>
      </c>
      <c r="O146" s="89">
        <f t="array" ref="O146">IFERROR(IF(A147&lt;&gt;A146,_xlfn.STDEV.P(IF(A$9:A146=A146,S$9:S146)),""),"")</f>
        <v/>
      </c>
      <c r="P146" s="90">
        <f>IFERROR(IF(A146&lt;&gt;A147,MAX((((M146*24*60)/2)*(1+POWER((((N146*24*60) / (M146*24*60) )),2))) + ((M146*24*60 )*-0.1 + (K146*0.015)) +1,(((M146*24*60)/2)*(1+POWER((((N146*24*60) / (M146*24*60 ))),2)))),""),"")</f>
        <v/>
      </c>
      <c r="Q146" s="90">
        <f>IF(AND(O146&lt;&gt;"",L146&lt;&gt;""),IF(A146&lt;&gt;A147,((L146*24*60) / 2 ) * (1 + POWER(((O146*24*60) / (L146*24*60)),2)),""),"")</f>
        <v/>
      </c>
      <c r="R146" s="90">
        <f>IF(Q146&lt;&gt;"",MAX(P146,Q146),"")</f>
        <v/>
      </c>
      <c r="S146" s="89">
        <f>IF(I146&lt;&gt;"H. Sale Real",IF(AND(I147&lt;&gt;"",LEFT(C147,2)&lt;&gt;"Va"),IF(AND(I146&lt;&gt;"",LEFT(C146,2)&lt;&gt;"Va",I146&lt;&gt;"H. Sale Real"),IF(I147-I146&lt;0.208333333333333,I147-I146,""),IF(AND(I145&lt;&gt;"",LEFT(C145,2)&lt;&gt;"Va",I145&lt;&gt;"H. Sale Real"),IF(I147-I145&lt;0.208333333333333,I147-I145,""),IF(AND(I144&lt;&gt;"",LEFT(C144,2)&lt;&gt;"Va",I144&lt;&gt;"H. Sale Real"),IF(I147-I144&lt;0.208333333333333,I147-I144,""),IF(AND(I143&lt;&gt;"",LEFT(C143,2)&lt;&gt;"Va",I143&lt;&gt;"H. Sale Real"),IF(I147-I143&lt;0.208333333333333,I147-I143,""),IF(AND(I142&lt;&gt;"",LEFT(C142,2)&lt;&gt;"Va",I142&lt;&gt;"H. Sale Real"),IF(I147-I142&lt;0.208333333333333,I147-I142,""),""))))),""),"")</f>
        <v/>
      </c>
      <c r="T146" s="89">
        <f>IF(G146&lt;&gt;"H. Sale Real",IF(AND(G147&lt;&gt;"",LEFT(C147,2)&lt;&gt;"Va"),IF(AND(G146&lt;&gt;"",LEFT(C146,2)&lt;&gt;"Va",G146&lt;&gt;"H. Sale Real"),IF(G147-G146&lt;0.208333333333333,G147-G146,""),IF(AND(G145&lt;&gt;"",LEFT(C145,2)&lt;&gt;"Va",G145&lt;&gt;"H. Sale Real"),IF(G147-G145&lt;0.208333333333333,G147-G145,""),IF(AND(G144&lt;&gt;"",LEFT(C144,2)&lt;&gt;"Va",G144&lt;&gt;"H. Sale Real"),IF(G147-G144&lt;0.208333333333333,G147-G144,""),IF(AND(G143&lt;&gt;"",LEFT(C143,2)&lt;&gt;"Va",G143&lt;&gt;"H. Sale Real"),IF(G147-G143&lt;0.208333333333333,G147-G143,""),IF(AND(G142&lt;&gt;"",LEFT(C142,2)&lt;&gt;"Va",G142&lt;&gt;"H. Sale Real"),IF(G147-G142&lt;0.208333333333333,G147-G142,""),""))))),""),"")</f>
        <v/>
      </c>
      <c r="U146" s="87" t="n"/>
      <c r="V146" s="89" t="n"/>
      <c r="W146" s="87" t="n"/>
      <c r="X146" s="89" t="n"/>
      <c r="Y146" s="91" t="n"/>
      <c r="Z146" s="122">
        <f>IF(G146&lt;&gt;"",IF(AND(Z145&lt;&gt;"IE",P146&lt;&gt;0,R146&lt;&gt;""),IF(IFERROR((P146/R146),0) &lt;=1,IFERROR(P146/R146,""),1),""),"")</f>
        <v/>
      </c>
      <c r="AA146" s="93" t="n"/>
      <c r="AB146" s="2" t="n"/>
      <c r="AE146" s="10">
        <f>HOUR(AK146)+1</f>
        <v/>
      </c>
      <c r="AF146" s="7" t="n"/>
      <c r="AG146" s="7" t="n"/>
      <c r="AH146" s="86" t="n"/>
      <c r="AI146" s="8" t="n"/>
      <c r="AJ146" s="86" t="n"/>
      <c r="AK146" s="87" t="n"/>
      <c r="AL146" s="88">
        <f>IF(AM146="","",IF(AND((AM146-AK146)&gt;=TIME(0,0,0),(AM146-AK146)&lt;TIME(0,3,0)),"OK",IF(AND((AM146-AK146)&gt;=TIME(0,3,0),(AM146-AK146)&lt;TIME(0,5,0)),"RETRASO DE 3-5 MIN",IF(AND((AM146-AK146)&gt;=TIME(0,5,0),(AM146-AK146)&lt;TIME(0,10,0)),"RETRASO DE 5-10 MIN",IF((AM146-AK146)&gt;=TIME(0,10,0),"RETRASO &gt;10 MIN", IF(AND((AK146-AM146)&gt;=TIME(0,0,0),(AK146-AM146)&lt;TIME(0,3,0)),"OK",IF((AK146-AM146)&gt;=TIME(0,3,0),"ADELANTADO")))))))</f>
        <v/>
      </c>
      <c r="AM146" s="91" t="n"/>
      <c r="AN146" s="89">
        <f>IF(AE146&lt;&gt;"",HLOOKUP(VALUE(TEXT(AK146,"h:mm:ss")),IF($C$6="Laboral",$FZ$4:$GX$227,IF($C$6="Sábado",$FZ$231:$GX$452,$FZ$456:$GX$656)),VLOOKUP($C$4,$HF$2:$HH$99,3,0)+IF(AG$5="Ida",0,1),1),"")</f>
        <v/>
      </c>
      <c r="AO146" s="89">
        <f>IF(AE147&lt;&gt;AE146,AVERAGEIF(AE$9:AE146,AE146,AN$9:AN146),"")</f>
        <v/>
      </c>
      <c r="AP146" s="89">
        <f>IFERROR(IF(AE147&lt;&gt;AE146,AVERAGEIF(AE$9:AE146,AE146,AW$9:AW146),""),"")</f>
        <v/>
      </c>
      <c r="AQ146" s="89">
        <f>IFERROR(IF(AE147&lt;&gt;AE146,AVERAGEIF(AE$9:AE146,AE146,AX$9:AX146),""),"")</f>
        <v/>
      </c>
      <c r="AR146" s="89">
        <f t="array" ref="AR146">IFERROR(IF(AE147&lt;&gt;AE146,_xlfn.STDEV.P(IF(AE$9:AE146=AE146,AX$9:AX146)),""),"")</f>
        <v/>
      </c>
      <c r="AS146" s="89">
        <f t="array" ref="AS146">IFERROR(IF(AE147&lt;&gt;AE146,_xlfn.STDEV.P(IF(AE$9:AE146=AE146,AW$9:AW146)),""),"")</f>
        <v/>
      </c>
      <c r="AT146" s="90">
        <f>IFERROR(IF(AE146&lt;&gt;AE147,MAX((((AQ146*24*60)/2)*(1+POWER((((AR146*24*60) / (AQ146*24*60) )),2))) + ((AQ146*24*60 )*-0.1 + (AO146*0.015)) +1,(((AQ146*24*60)/2)*(1+POWER((((AR146*24*60) / (AQ146*24*60 ))),2)))),""),"")</f>
        <v/>
      </c>
      <c r="AU146" s="90">
        <f>IF(AND(AS146&lt;&gt;"",AP146&lt;&gt;""),IF(AE146&lt;&gt;AE147,((AP146*24*60) / 2 ) * (1 + POWER(((AS146*24*60) / (AP146*24*60)),2)),""),"")</f>
        <v/>
      </c>
      <c r="AV146" s="90">
        <f>IF(AU146&lt;&gt;"",MAX(AT146,AU146),"")</f>
        <v/>
      </c>
      <c r="AW146" s="89">
        <f>IF(AM146&lt;&gt;"H. Sale Real",IF(AND(AM147&lt;&gt;"",LEFT(AG147,2)&lt;&gt;"Va"),IF(AND(AM146&lt;&gt;"",LEFT(AG146,2)&lt;&gt;"Va",AM146&lt;&gt;"H. Sale Real"),IF(AM147-AM146&lt;0.208333333333333,AM147-AM146,""),IF(AND(AM145&lt;&gt;"",LEFT(AG145,2)&lt;&gt;"Va",AM145&lt;&gt;"H. Sale Real"),IF(AM147-AM145&lt;0.208333333333333,AM147-AM145,""),IF(AND(AM144&lt;&gt;"",LEFT(AG144,2)&lt;&gt;"Va",AM144&lt;&gt;"H. Sale Real"),IF(AM147-AM144&lt;0.208333333333333,AM147-AM144,""),IF(AND(AM143&lt;&gt;"",LEFT(AG143,2)&lt;&gt;"Va",AM143&lt;&gt;"H. Sale Real"),IF(AM147-AM143&lt;0.208333333333333,AM147-AM143,""),IF(AND(AM142&lt;&gt;"",LEFT(AG142,2)&lt;&gt;"Va",AM142&lt;&gt;"H. Sale Real"),IF(AM147-AM142&lt;0.208333333333333,AM147-AM142,""),""))))),""),"")</f>
        <v/>
      </c>
      <c r="AX146" s="89">
        <f>IF(AK146&lt;&gt;"H. Sale Real",IF(AND(AK147&lt;&gt;"",LEFT(AG147,2)&lt;&gt;"Va"),IF(AND(AK146&lt;&gt;"",LEFT(AG146,2)&lt;&gt;"Va",AK146&lt;&gt;"H. Sale Real"),IF(AK147-AK146&lt;0.208333333333333,AK147-AK146,""),IF(AND(AK145&lt;&gt;"",LEFT(AG145,2)&lt;&gt;"Va",AK145&lt;&gt;"H. Sale Real"),IF(AK147-AK145&lt;0.208333333333333,AK147-AK145,""),IF(AND(AK144&lt;&gt;"",LEFT(AG144,2)&lt;&gt;"NC",AK144&lt;&gt;"H. Sale Real"),IF(AK147-AK144&lt;0.208333333333333,AK147-AK144,""),IF(AND(AK143&lt;&gt;"",LEFT(AG143,2)&lt;&gt;"Va",AK143&lt;&gt;"H. Sale Real"),IF(AK147-AK143&lt;0.208333333333333,AK147-AK143,""),IF(AND(AK142&lt;&gt;"",LEFT(AG142,2)&lt;&gt;"Va",AK142&lt;&gt;"H. Sale Real"),IF(AK147-AK142&lt;0.208333333333333,AK147-AK142,""),""))))),""),"")</f>
        <v/>
      </c>
      <c r="AY146" s="87" t="n"/>
      <c r="AZ146" s="89" t="n"/>
      <c r="BA146" s="87" t="n"/>
      <c r="BB146" s="89" t="n"/>
      <c r="BC146" s="91" t="n"/>
      <c r="BD146" s="122">
        <f>IF(AK146&lt;&gt;"",IF(AND(BD145&lt;&gt;"IE",AT146&lt;&gt;0,AV146&lt;&gt;""),IF(IFERROR((AT146/AV146),0) &lt;=1,IFERROR(AT146/AV146,""),1),""),"")</f>
        <v/>
      </c>
      <c r="BE146" s="93" t="n"/>
      <c r="BF146" s="105" t="n"/>
      <c r="FC146" t="inlineStr">
        <is>
          <t>Diccionario 1</t>
        </is>
      </c>
      <c r="FD146" s="15" t="n">
        <v>1143</v>
      </c>
      <c r="FE146" s="15" t="inlineStr">
        <is>
          <t>LDYECS315S0043996</t>
        </is>
      </c>
      <c r="FF146" s="15" t="inlineStr">
        <is>
          <t>MDN35025020055</t>
        </is>
      </c>
      <c r="FG146" s="15" t="inlineStr">
        <is>
          <t>Zhong Tong</t>
        </is>
      </c>
      <c r="FH146" s="15" t="inlineStr">
        <is>
          <t>Lck6122evg</t>
        </is>
      </c>
      <c r="FI146" s="15" t="inlineStr">
        <is>
          <t>ZHONGTONG</t>
        </is>
      </c>
      <c r="FJ146" s="15" t="inlineStr">
        <is>
          <t>LCK6122EVG</t>
        </is>
      </c>
      <c r="FK146" s="15" t="n">
        <v>2025</v>
      </c>
      <c r="FL146" s="15" t="inlineStr">
        <is>
          <t>B</t>
        </is>
      </c>
      <c r="FM146" s="15" t="inlineStr">
        <is>
          <t>LOS LIBERTADORES</t>
        </is>
      </c>
      <c r="FN146" s="15" t="inlineStr">
        <is>
          <t>Los Liberadores 6450, Lote 4A</t>
        </is>
      </c>
      <c r="FO146" s="15" t="inlineStr">
        <is>
          <t>Huechuraba</t>
        </is>
      </c>
      <c r="FP146" t="inlineStr">
        <is>
          <t>B</t>
        </is>
      </c>
      <c r="FS146" s="14" t="inlineStr">
        <is>
          <t>3036 / SFWB-77|</t>
        </is>
      </c>
      <c r="FT146" t="inlineStr">
        <is>
          <t>SFWB-77|</t>
        </is>
      </c>
      <c r="FU146" t="inlineStr">
        <is>
          <t>SFWB-77</t>
        </is>
      </c>
      <c r="FV146">
        <f>VLOOKUP(FU146,FD:FL,9,0)</f>
        <v/>
      </c>
      <c r="HA146" s="35" t="n">
        <v>143</v>
      </c>
      <c r="HB146" s="35" t="n">
        <v>140</v>
      </c>
    </row>
    <row r="147" ht="15.5" customHeight="1">
      <c r="A147" s="10">
        <f>HOUR(G147)+1</f>
        <v/>
      </c>
      <c r="B147" s="7" t="n"/>
      <c r="C147" s="7" t="n"/>
      <c r="D147" s="85">
        <f>IFERROR(
IF(AND(OR(Planilla!B147="C",Planilla!B147="c"), VLOOKUP(E147,FD:FP,13,0)="C"), "OK",IF(AND(OR(Planilla!B147="C",Planilla!B147="c"), OR(VLOOKUP(E147,FD:FP,13,0)="B", VLOOKUP(E147,FD:FP,13,0)="A")), "DEFICIT",IF(
AND(OR(Planilla!B147="B", Planilla!B147="BPAL"), VLOOKUP(E147,FD:FP,13,0)="B"), "OK",IF(AND(OR(Planilla!B147="B", Planilla!B147="BPAL"), VLOOKUP(E147,FD:FP,13,0)="A"), "DEFICIT",IF(AND(OR(Planilla!B147="B", Planilla!B147="BPAL"), VLOOKUP(E147,FD:FP,13,0)="C"), "SOBREOFERTA",IF(AND(Planilla!B147="A", VLOOKUP(E147,FD:FP,13,0)="A"), "OK",IF(
AND(Planilla!B147="A", OR(VLOOKUP(E147,FD:FP,13,0)="B", VLOOKUP(E147,FD:FP,13,0)="C")), "SOBREOFERTA",""
))))))),"")</f>
        <v/>
      </c>
      <c r="E147" s="8" t="n"/>
      <c r="F147" s="86" t="n"/>
      <c r="G147" s="87" t="n"/>
      <c r="H147" s="88">
        <f>IF(I147="","",IF(AND((I147-G147)&gt;=TIME(0,0,0),(I147-G147)&lt;TIME(0,3,0)),"OK",IF(AND((I147-G147)&gt;=TIME(0,3,0),(I147-G147)&lt;TIME(0,5,0)),"RETRASO DE 3-5 MIN",IF(AND((I147-G147)&gt;=TIME(0,5,0),(I147-G147)&lt;TIME(0,10,0)),"RETRASO DE 5-10 MIN",IF((I147-G147)&gt;=TIME(0,10,0),"RETRASO &gt;10 MIN", IF(AND((G147-I147)&gt;=TIME(0,0,0),(G147-I147)&lt;TIME(0,3,0)),"OK",IF((G147-I147)&gt;=TIME(0,3,0),"ADELANTADO")))))))</f>
        <v/>
      </c>
      <c r="I147" s="89" t="n"/>
      <c r="J147" s="89">
        <f>IF(A147&lt;&gt;"",HLOOKUP(VALUE(TEXT(G147,"h:mm:ss")),IF($C$6="Laboral",$FZ$4:$GX$227,IF($C$6="Sábado",$FZ$231:$GX$452,$FZ$456:$GX$656)),VLOOKUP($C$4,$HF$2:$HH$99,3,0)+IF(C$5="Ida",0,1),1),"")</f>
        <v/>
      </c>
      <c r="K147" s="89">
        <f>IF(A148&lt;&gt;A147,AVERAGEIF(A$9:A147,A147,J$9:J147),"")</f>
        <v/>
      </c>
      <c r="L147" s="89">
        <f>IFERROR(IF(A148&lt;&gt;A147,AVERAGEIF(A$9:A147,A147,S$9:S147),""),"")</f>
        <v/>
      </c>
      <c r="M147" s="89">
        <f>IFERROR(IF(A148&lt;&gt;A147,AVERAGEIF(A$9:A147,A147,T$9:T147),""),"")</f>
        <v/>
      </c>
      <c r="N147" s="89">
        <f t="array" ref="N147">IFERROR(IF(A148&lt;&gt;A147,_xlfn.STDEV.P(IF(A$9:A147=A147,T$9:T147)),""),"")</f>
        <v/>
      </c>
      <c r="O147" s="89">
        <f t="array" ref="O147">IFERROR(IF(A148&lt;&gt;A147,_xlfn.STDEV.P(IF(A$9:A147=A147,S$9:S147)),""),"")</f>
        <v/>
      </c>
      <c r="P147" s="90">
        <f>IFERROR(IF(A147&lt;&gt;A148,MAX((((M147*24*60)/2)*(1+POWER((((N147*24*60) / (M147*24*60) )),2))) + ((M147*24*60 )*-0.1 + (K147*0.015)) +1,(((M147*24*60)/2)*(1+POWER((((N147*24*60) / (M147*24*60 ))),2)))),""),"")</f>
        <v/>
      </c>
      <c r="Q147" s="90">
        <f>IF(AND(O147&lt;&gt;"",L147&lt;&gt;""),IF(A147&lt;&gt;A148,((L147*24*60) / 2 ) * (1 + POWER(((O147*24*60) / (L147*24*60)),2)),""),"")</f>
        <v/>
      </c>
      <c r="R147" s="90">
        <f>IF(Q147&lt;&gt;"",MAX(P147,Q147),"")</f>
        <v/>
      </c>
      <c r="S147" s="89">
        <f>IF(I147&lt;&gt;"H. Sale Real",IF(AND(I148&lt;&gt;"",LEFT(C148,2)&lt;&gt;"Va"),IF(AND(I147&lt;&gt;"",LEFT(C147,2)&lt;&gt;"Va",I147&lt;&gt;"H. Sale Real"),IF(I148-I147&lt;0.208333333333333,I148-I147,""),IF(AND(I146&lt;&gt;"",LEFT(C146,2)&lt;&gt;"Va",I146&lt;&gt;"H. Sale Real"),IF(I148-I146&lt;0.208333333333333,I148-I146,""),IF(AND(I145&lt;&gt;"",LEFT(C145,2)&lt;&gt;"Va",I145&lt;&gt;"H. Sale Real"),IF(I148-I145&lt;0.208333333333333,I148-I145,""),IF(AND(I144&lt;&gt;"",LEFT(C144,2)&lt;&gt;"Va",I144&lt;&gt;"H. Sale Real"),IF(I148-I144&lt;0.208333333333333,I148-I144,""),IF(AND(I143&lt;&gt;"",LEFT(C143,2)&lt;&gt;"Va",I143&lt;&gt;"H. Sale Real"),IF(I148-I143&lt;0.208333333333333,I148-I143,""),""))))),""),"")</f>
        <v/>
      </c>
      <c r="T147" s="89">
        <f>IF(G147&lt;&gt;"H. Sale Real",IF(AND(G148&lt;&gt;"",LEFT(C148,2)&lt;&gt;"Va"),IF(AND(G147&lt;&gt;"",LEFT(C147,2)&lt;&gt;"Va",G147&lt;&gt;"H. Sale Real"),IF(G148-G147&lt;0.208333333333333,G148-G147,""),IF(AND(G146&lt;&gt;"",LEFT(C146,2)&lt;&gt;"Va",G146&lt;&gt;"H. Sale Real"),IF(G148-G146&lt;0.208333333333333,G148-G146,""),IF(AND(G145&lt;&gt;"",LEFT(C145,2)&lt;&gt;"Va",G145&lt;&gt;"H. Sale Real"),IF(G148-G145&lt;0.208333333333333,G148-G145,""),IF(AND(G144&lt;&gt;"",LEFT(C144,2)&lt;&gt;"Va",G144&lt;&gt;"H. Sale Real"),IF(G148-G144&lt;0.208333333333333,G148-G144,""),IF(AND(G143&lt;&gt;"",LEFT(C143,2)&lt;&gt;"Va",G143&lt;&gt;"H. Sale Real"),IF(G148-G143&lt;0.208333333333333,G148-G143,""),""))))),""),"")</f>
        <v/>
      </c>
      <c r="U147" s="87" t="n"/>
      <c r="V147" s="89" t="n"/>
      <c r="W147" s="87" t="n"/>
      <c r="X147" s="89" t="n"/>
      <c r="Y147" s="91" t="n"/>
      <c r="Z147" s="122">
        <f>IF(G147&lt;&gt;"",IF(AND(Z146&lt;&gt;"IE",P147&lt;&gt;0,R147&lt;&gt;""),IF(IFERROR((P147/R147),0) &lt;=1,IFERROR(P147/R147,""),1),""),"")</f>
        <v/>
      </c>
      <c r="AA147" s="93" t="n"/>
      <c r="AB147" s="2" t="n"/>
      <c r="AE147" s="10">
        <f>HOUR(AK147)+1</f>
        <v/>
      </c>
      <c r="AF147" s="7" t="n"/>
      <c r="AG147" s="7" t="n"/>
      <c r="AH147" s="86" t="n"/>
      <c r="AI147" s="8" t="n"/>
      <c r="AJ147" s="86" t="n"/>
      <c r="AK147" s="87" t="n"/>
      <c r="AL147" s="88">
        <f>IF(AM147="","",IF(AND((AM147-AK147)&gt;=TIME(0,0,0),(AM147-AK147)&lt;TIME(0,3,0)),"OK",IF(AND((AM147-AK147)&gt;=TIME(0,3,0),(AM147-AK147)&lt;TIME(0,5,0)),"RETRASO DE 3-5 MIN",IF(AND((AM147-AK147)&gt;=TIME(0,5,0),(AM147-AK147)&lt;TIME(0,10,0)),"RETRASO DE 5-10 MIN",IF((AM147-AK147)&gt;=TIME(0,10,0),"RETRASO &gt;10 MIN", IF(AND((AK147-AM147)&gt;=TIME(0,0,0),(AK147-AM147)&lt;TIME(0,3,0)),"OK",IF((AK147-AM147)&gt;=TIME(0,3,0),"ADELANTADO")))))))</f>
        <v/>
      </c>
      <c r="AM147" s="91" t="n"/>
      <c r="AN147" s="89">
        <f>IF(AE147&lt;&gt;"",HLOOKUP(VALUE(TEXT(AK147,"h:mm:ss")),IF($C$6="Laboral",$FZ$4:$GX$227,IF($C$6="Sábado",$FZ$231:$GX$452,$FZ$456:$GX$656)),VLOOKUP($C$4,$HF$2:$HH$99,3,0)+IF(AG$5="Ida",0,1),1),"")</f>
        <v/>
      </c>
      <c r="AO147" s="89">
        <f>IF(AE148&lt;&gt;AE147,AVERAGEIF(AE$9:AE147,AE147,AN$9:AN147),"")</f>
        <v/>
      </c>
      <c r="AP147" s="89">
        <f>IFERROR(IF(AE148&lt;&gt;AE147,AVERAGEIF(AE$9:AE147,AE147,AW$9:AW147),""),"")</f>
        <v/>
      </c>
      <c r="AQ147" s="89">
        <f>IFERROR(IF(AE148&lt;&gt;AE147,AVERAGEIF(AE$9:AE147,AE147,AX$9:AX147),""),"")</f>
        <v/>
      </c>
      <c r="AR147" s="89">
        <f t="array" ref="AR147">IFERROR(IF(AE148&lt;&gt;AE147,_xlfn.STDEV.P(IF(AE$9:AE147=AE147,AX$9:AX147)),""),"")</f>
        <v/>
      </c>
      <c r="AS147" s="89">
        <f t="array" ref="AS147">IFERROR(IF(AE148&lt;&gt;AE147,_xlfn.STDEV.P(IF(AE$9:AE147=AE147,AW$9:AW147)),""),"")</f>
        <v/>
      </c>
      <c r="AT147" s="90">
        <f>IFERROR(IF(AE147&lt;&gt;AE148,MAX((((AQ147*24*60)/2)*(1+POWER((((AR147*24*60) / (AQ147*24*60) )),2))) + ((AQ147*24*60 )*-0.1 + (AO147*0.015)) +1,(((AQ147*24*60)/2)*(1+POWER((((AR147*24*60) / (AQ147*24*60 ))),2)))),""),"")</f>
        <v/>
      </c>
      <c r="AU147" s="90">
        <f>IF(AND(AS147&lt;&gt;"",AP147&lt;&gt;""),IF(AE147&lt;&gt;AE148,((AP147*24*60) / 2 ) * (1 + POWER(((AS147*24*60) / (AP147*24*60)),2)),""),"")</f>
        <v/>
      </c>
      <c r="AV147" s="90">
        <f>IF(AU147&lt;&gt;"",MAX(AT147,AU147),"")</f>
        <v/>
      </c>
      <c r="AW147" s="89">
        <f>IF(AM147&lt;&gt;"H. Sale Real",IF(AND(AM148&lt;&gt;"",LEFT(AG148,2)&lt;&gt;"Va"),IF(AND(AM147&lt;&gt;"",LEFT(AG147,2)&lt;&gt;"Va",AM147&lt;&gt;"H. Sale Real"),IF(AM148-AM147&lt;0.208333333333333,AM148-AM147,""),IF(AND(AM146&lt;&gt;"",LEFT(AG146,2)&lt;&gt;"Va",AM146&lt;&gt;"H. Sale Real"),IF(AM148-AM146&lt;0.208333333333333,AM148-AM146,""),IF(AND(AM145&lt;&gt;"",LEFT(AG145,2)&lt;&gt;"Va",AM145&lt;&gt;"H. Sale Real"),IF(AM148-AM145&lt;0.208333333333333,AM148-AM145,""),IF(AND(AM144&lt;&gt;"",LEFT(AG144,2)&lt;&gt;"Va",AM144&lt;&gt;"H. Sale Real"),IF(AM148-AM144&lt;0.208333333333333,AM148-AM144,""),IF(AND(AM143&lt;&gt;"",LEFT(AG143,2)&lt;&gt;"Va",AM143&lt;&gt;"H. Sale Real"),IF(AM148-AM143&lt;0.208333333333333,AM148-AM143,""),""))))),""),"")</f>
        <v/>
      </c>
      <c r="AX147" s="89">
        <f>IF(AK147&lt;&gt;"H. Sale Real",IF(AND(AK148&lt;&gt;"",LEFT(AG148,2)&lt;&gt;"Va"),IF(AND(AK147&lt;&gt;"",LEFT(AG147,2)&lt;&gt;"Va",AK147&lt;&gt;"H. Sale Real"),IF(AK148-AK147&lt;0.208333333333333,AK148-AK147,""),IF(AND(AK146&lt;&gt;"",LEFT(AG146,2)&lt;&gt;"Va",AK146&lt;&gt;"H. Sale Real"),IF(AK148-AK146&lt;0.208333333333333,AK148-AK146,""),IF(AND(AK145&lt;&gt;"",LEFT(AG145,2)&lt;&gt;"NC",AK145&lt;&gt;"H. Sale Real"),IF(AK148-AK145&lt;0.208333333333333,AK148-AK145,""),IF(AND(AK144&lt;&gt;"",LEFT(AG144,2)&lt;&gt;"Va",AK144&lt;&gt;"H. Sale Real"),IF(AK148-AK144&lt;0.208333333333333,AK148-AK144,""),IF(AND(AK143&lt;&gt;"",LEFT(AG143,2)&lt;&gt;"Va",AK143&lt;&gt;"H. Sale Real"),IF(AK148-AK143&lt;0.208333333333333,AK148-AK143,""),""))))),""),"")</f>
        <v/>
      </c>
      <c r="AY147" s="87" t="n"/>
      <c r="AZ147" s="89" t="n"/>
      <c r="BA147" s="87" t="n"/>
      <c r="BB147" s="89" t="n"/>
      <c r="BC147" s="91" t="n"/>
      <c r="BD147" s="122">
        <f>IF(AK147&lt;&gt;"",IF(AND(BD146&lt;&gt;"IE",AT147&lt;&gt;0,AV147&lt;&gt;""),IF(IFERROR((AT147/AV147),0) &lt;=1,IFERROR(AT147/AV147,""),1),""),"")</f>
        <v/>
      </c>
      <c r="BE147" s="93" t="n"/>
      <c r="BF147" s="105" t="n"/>
      <c r="FC147" t="inlineStr">
        <is>
          <t>Diccionario 1</t>
        </is>
      </c>
      <c r="FD147" s="15" t="n">
        <v>1144</v>
      </c>
      <c r="FE147" s="15" t="inlineStr">
        <is>
          <t>LDYECS313S0043978</t>
        </is>
      </c>
      <c r="FF147" s="15" t="inlineStr">
        <is>
          <t>MDN35025020093</t>
        </is>
      </c>
      <c r="FG147" s="15" t="inlineStr">
        <is>
          <t>Zhong Tong</t>
        </is>
      </c>
      <c r="FH147" s="15" t="inlineStr">
        <is>
          <t>Lck6122evg</t>
        </is>
      </c>
      <c r="FI147" s="15" t="inlineStr">
        <is>
          <t>ZHONGTONG</t>
        </is>
      </c>
      <c r="FJ147" s="15" t="inlineStr">
        <is>
          <t>LCK6122EVG</t>
        </is>
      </c>
      <c r="FK147" s="15" t="n">
        <v>2025</v>
      </c>
      <c r="FL147" s="15" t="inlineStr">
        <is>
          <t>B</t>
        </is>
      </c>
      <c r="FM147" s="15" t="inlineStr">
        <is>
          <t>LOS LIBERTADORES</t>
        </is>
      </c>
      <c r="FN147" s="15" t="inlineStr">
        <is>
          <t>Los Liberadores 6450, Lote 4A</t>
        </is>
      </c>
      <c r="FO147" s="15" t="inlineStr">
        <is>
          <t>Huechuraba</t>
        </is>
      </c>
      <c r="FP147" t="inlineStr">
        <is>
          <t>B</t>
        </is>
      </c>
      <c r="FS147" s="14" t="inlineStr">
        <is>
          <t>3036 / SFWB-77|</t>
        </is>
      </c>
      <c r="FT147" t="inlineStr">
        <is>
          <t>SFWB-77|</t>
        </is>
      </c>
      <c r="FU147" t="inlineStr">
        <is>
          <t>SFWB-77</t>
        </is>
      </c>
      <c r="FV147">
        <f>VLOOKUP(FU147,FD:FL,9,0)</f>
        <v/>
      </c>
      <c r="HA147" s="35" t="n">
        <v>144</v>
      </c>
      <c r="HB147" s="35" t="n">
        <v>141</v>
      </c>
    </row>
    <row r="148" ht="15.5" customHeight="1">
      <c r="A148" s="10">
        <f>HOUR(G148)+1</f>
        <v/>
      </c>
      <c r="B148" s="7" t="n"/>
      <c r="C148" s="7" t="n"/>
      <c r="D148" s="85">
        <f>IFERROR(
IF(AND(OR(Planilla!B148="C",Planilla!B148="c"), VLOOKUP(E148,FD:FP,13,0)="C"), "OK",IF(AND(OR(Planilla!B148="C",Planilla!B148="c"), OR(VLOOKUP(E148,FD:FP,13,0)="B", VLOOKUP(E148,FD:FP,13,0)="A")), "DEFICIT",IF(
AND(OR(Planilla!B148="B", Planilla!B148="BPAL"), VLOOKUP(E148,FD:FP,13,0)="B"), "OK",IF(AND(OR(Planilla!B148="B", Planilla!B148="BPAL"), VLOOKUP(E148,FD:FP,13,0)="A"), "DEFICIT",IF(AND(OR(Planilla!B148="B", Planilla!B148="BPAL"), VLOOKUP(E148,FD:FP,13,0)="C"), "SOBREOFERTA",IF(AND(Planilla!B148="A", VLOOKUP(E148,FD:FP,13,0)="A"), "OK",IF(
AND(Planilla!B148="A", OR(VLOOKUP(E148,FD:FP,13,0)="B", VLOOKUP(E148,FD:FP,13,0)="C")), "SOBREOFERTA",""
))))))),"")</f>
        <v/>
      </c>
      <c r="E148" s="8" t="n"/>
      <c r="F148" s="86" t="n"/>
      <c r="G148" s="87" t="n"/>
      <c r="H148" s="88">
        <f>IF(I148="","",IF(AND((I148-G148)&gt;=TIME(0,0,0),(I148-G148)&lt;TIME(0,3,0)),"OK",IF(AND((I148-G148)&gt;=TIME(0,3,0),(I148-G148)&lt;TIME(0,5,0)),"RETRASO DE 3-5 MIN",IF(AND((I148-G148)&gt;=TIME(0,5,0),(I148-G148)&lt;TIME(0,10,0)),"RETRASO DE 5-10 MIN",IF((I148-G148)&gt;=TIME(0,10,0),"RETRASO &gt;10 MIN", IF(AND((G148-I148)&gt;=TIME(0,0,0),(G148-I148)&lt;TIME(0,3,0)),"OK",IF((G148-I148)&gt;=TIME(0,3,0),"ADELANTADO")))))))</f>
        <v/>
      </c>
      <c r="I148" s="89" t="n"/>
      <c r="J148" s="89">
        <f>IF(A148&lt;&gt;"",HLOOKUP(VALUE(TEXT(G148,"h:mm:ss")),IF($C$6="Laboral",$FZ$4:$GX$227,IF($C$6="Sábado",$FZ$231:$GX$452,$FZ$456:$GX$656)),VLOOKUP($C$4,$HF$2:$HH$99,3,0)+IF(C$5="Ida",0,1),1),"")</f>
        <v/>
      </c>
      <c r="K148" s="89">
        <f>IF(A149&lt;&gt;A148,AVERAGEIF(A$9:A148,A148,J$9:J148),"")</f>
        <v/>
      </c>
      <c r="L148" s="89">
        <f>IFERROR(IF(A149&lt;&gt;A148,AVERAGEIF(A$9:A148,A148,S$9:S148),""),"")</f>
        <v/>
      </c>
      <c r="M148" s="89">
        <f>IFERROR(IF(A149&lt;&gt;A148,AVERAGEIF(A$9:A148,A148,T$9:T148),""),"")</f>
        <v/>
      </c>
      <c r="N148" s="89">
        <f t="array" ref="N148">IFERROR(IF(A149&lt;&gt;A148,_xlfn.STDEV.P(IF(A$9:A148=A148,T$9:T148)),""),"")</f>
        <v/>
      </c>
      <c r="O148" s="89">
        <f t="array" ref="O148">IFERROR(IF(A149&lt;&gt;A148,_xlfn.STDEV.P(IF(A$9:A148=A148,S$9:S148)),""),"")</f>
        <v/>
      </c>
      <c r="P148" s="90">
        <f>IFERROR(IF(A148&lt;&gt;A149,MAX((((M148*24*60)/2)*(1+POWER((((N148*24*60) / (M148*24*60) )),2))) + ((M148*24*60 )*-0.1 + (K148*0.015)) +1,(((M148*24*60)/2)*(1+POWER((((N148*24*60) / (M148*24*60 ))),2)))),""),"")</f>
        <v/>
      </c>
      <c r="Q148" s="90">
        <f>IF(AND(O148&lt;&gt;"",L148&lt;&gt;""),IF(A148&lt;&gt;A149,((L148*24*60) / 2 ) * (1 + POWER(((O148*24*60) / (L148*24*60)),2)),""),"")</f>
        <v/>
      </c>
      <c r="R148" s="90">
        <f>IF(Q148&lt;&gt;"",MAX(P148,Q148),"")</f>
        <v/>
      </c>
      <c r="S148" s="89">
        <f>IF(I148&lt;&gt;"H. Sale Real",IF(AND(I149&lt;&gt;"",LEFT(C149,2)&lt;&gt;"Va"),IF(AND(I148&lt;&gt;"",LEFT(C148,2)&lt;&gt;"Va",I148&lt;&gt;"H. Sale Real"),IF(I149-I148&lt;0.208333333333333,I149-I148,""),IF(AND(I147&lt;&gt;"",LEFT(C147,2)&lt;&gt;"Va",I147&lt;&gt;"H. Sale Real"),IF(I149-I147&lt;0.208333333333333,I149-I147,""),IF(AND(I146&lt;&gt;"",LEFT(C146,2)&lt;&gt;"Va",I146&lt;&gt;"H. Sale Real"),IF(I149-I146&lt;0.208333333333333,I149-I146,""),IF(AND(I145&lt;&gt;"",LEFT(C145,2)&lt;&gt;"Va",I145&lt;&gt;"H. Sale Real"),IF(I149-I145&lt;0.208333333333333,I149-I145,""),IF(AND(I144&lt;&gt;"",LEFT(C144,2)&lt;&gt;"Va",I144&lt;&gt;"H. Sale Real"),IF(I149-I144&lt;0.208333333333333,I149-I144,""),""))))),""),"")</f>
        <v/>
      </c>
      <c r="T148" s="89">
        <f>IF(G148&lt;&gt;"H. Sale Real",IF(AND(G149&lt;&gt;"",LEFT(C149,2)&lt;&gt;"Va"),IF(AND(G148&lt;&gt;"",LEFT(C148,2)&lt;&gt;"Va",G148&lt;&gt;"H. Sale Real"),IF(G149-G148&lt;0.208333333333333,G149-G148,""),IF(AND(G147&lt;&gt;"",LEFT(C147,2)&lt;&gt;"Va",G147&lt;&gt;"H. Sale Real"),IF(G149-G147&lt;0.208333333333333,G149-G147,""),IF(AND(G146&lt;&gt;"",LEFT(C146,2)&lt;&gt;"Va",G146&lt;&gt;"H. Sale Real"),IF(G149-G146&lt;0.208333333333333,G149-G146,""),IF(AND(G145&lt;&gt;"",LEFT(C145,2)&lt;&gt;"Va",G145&lt;&gt;"H. Sale Real"),IF(G149-G145&lt;0.208333333333333,G149-G145,""),IF(AND(G144&lt;&gt;"",LEFT(C144,2)&lt;&gt;"Va",G144&lt;&gt;"H. Sale Real"),IF(G149-G144&lt;0.208333333333333,G149-G144,""),""))))),""),"")</f>
        <v/>
      </c>
      <c r="U148" s="87" t="n"/>
      <c r="V148" s="89" t="n"/>
      <c r="W148" s="87" t="n"/>
      <c r="X148" s="89" t="n"/>
      <c r="Y148" s="91" t="n"/>
      <c r="Z148" s="122">
        <f>IF(G148&lt;&gt;"",IF(AND(Z147&lt;&gt;"IE",P148&lt;&gt;0,R148&lt;&gt;""),IF(IFERROR((P148/R148),0) &lt;=1,IFERROR(P148/R148,""),1),""),"")</f>
        <v/>
      </c>
      <c r="AA148" s="93" t="n"/>
      <c r="AB148" s="2" t="n"/>
      <c r="AE148" s="10">
        <f>HOUR(AK148)+1</f>
        <v/>
      </c>
      <c r="AF148" s="7" t="n"/>
      <c r="AG148" s="7" t="n"/>
      <c r="AH148" s="86" t="n"/>
      <c r="AI148" s="8" t="n"/>
      <c r="AJ148" s="86" t="n"/>
      <c r="AK148" s="87" t="n"/>
      <c r="AL148" s="88">
        <f>IF(AM148="","",IF(AND((AM148-AK148)&gt;=TIME(0,0,0),(AM148-AK148)&lt;TIME(0,3,0)),"OK",IF(AND((AM148-AK148)&gt;=TIME(0,3,0),(AM148-AK148)&lt;TIME(0,5,0)),"RETRASO DE 3-5 MIN",IF(AND((AM148-AK148)&gt;=TIME(0,5,0),(AM148-AK148)&lt;TIME(0,10,0)),"RETRASO DE 5-10 MIN",IF((AM148-AK148)&gt;=TIME(0,10,0),"RETRASO &gt;10 MIN", IF(AND((AK148-AM148)&gt;=TIME(0,0,0),(AK148-AM148)&lt;TIME(0,3,0)),"OK",IF((AK148-AM148)&gt;=TIME(0,3,0),"ADELANTADO")))))))</f>
        <v/>
      </c>
      <c r="AM148" s="91" t="n"/>
      <c r="AN148" s="89">
        <f>IF(AE148&lt;&gt;"",HLOOKUP(VALUE(TEXT(AK148,"h:mm:ss")),IF($C$6="Laboral",$FZ$4:$GX$227,IF($C$6="Sábado",$FZ$231:$GX$452,$FZ$456:$GX$656)),VLOOKUP($C$4,$HF$2:$HH$99,3,0)+IF(AG$5="Ida",0,1),1),"")</f>
        <v/>
      </c>
      <c r="AO148" s="89">
        <f>IF(AE149&lt;&gt;AE148,AVERAGEIF(AE$9:AE148,AE148,AN$9:AN148),"")</f>
        <v/>
      </c>
      <c r="AP148" s="89">
        <f>IFERROR(IF(AE149&lt;&gt;AE148,AVERAGEIF(AE$9:AE148,AE148,AW$9:AW148),""),"")</f>
        <v/>
      </c>
      <c r="AQ148" s="89">
        <f>IFERROR(IF(AE149&lt;&gt;AE148,AVERAGEIF(AE$9:AE148,AE148,AX$9:AX148),""),"")</f>
        <v/>
      </c>
      <c r="AR148" s="89">
        <f t="array" ref="AR148">IFERROR(IF(AE149&lt;&gt;AE148,_xlfn.STDEV.P(IF(AE$9:AE148=AE148,AX$9:AX148)),""),"")</f>
        <v/>
      </c>
      <c r="AS148" s="89">
        <f t="array" ref="AS148">IFERROR(IF(AE149&lt;&gt;AE148,_xlfn.STDEV.P(IF(AE$9:AE148=AE148,AW$9:AW148)),""),"")</f>
        <v/>
      </c>
      <c r="AT148" s="90">
        <f>IFERROR(IF(AE148&lt;&gt;AE149,MAX((((AQ148*24*60)/2)*(1+POWER((((AR148*24*60) / (AQ148*24*60) )),2))) + ((AQ148*24*60 )*-0.1 + (AO148*0.015)) +1,(((AQ148*24*60)/2)*(1+POWER((((AR148*24*60) / (AQ148*24*60 ))),2)))),""),"")</f>
        <v/>
      </c>
      <c r="AU148" s="90">
        <f>IF(AND(AS148&lt;&gt;"",AP148&lt;&gt;""),IF(AE148&lt;&gt;AE149,((AP148*24*60) / 2 ) * (1 + POWER(((AS148*24*60) / (AP148*24*60)),2)),""),"")</f>
        <v/>
      </c>
      <c r="AV148" s="90">
        <f>IF(AU148&lt;&gt;"",MAX(AT148,AU148),"")</f>
        <v/>
      </c>
      <c r="AW148" s="89">
        <f>IF(AM148&lt;&gt;"H. Sale Real",IF(AND(AM149&lt;&gt;"",LEFT(AG149,2)&lt;&gt;"Va"),IF(AND(AM148&lt;&gt;"",LEFT(AG148,2)&lt;&gt;"Va",AM148&lt;&gt;"H. Sale Real"),IF(AM149-AM148&lt;0.208333333333333,AM149-AM148,""),IF(AND(AM147&lt;&gt;"",LEFT(AG147,2)&lt;&gt;"Va",AM147&lt;&gt;"H. Sale Real"),IF(AM149-AM147&lt;0.208333333333333,AM149-AM147,""),IF(AND(AM146&lt;&gt;"",LEFT(AG146,2)&lt;&gt;"Va",AM146&lt;&gt;"H. Sale Real"),IF(AM149-AM146&lt;0.208333333333333,AM149-AM146,""),IF(AND(AM145&lt;&gt;"",LEFT(AG145,2)&lt;&gt;"Va",AM145&lt;&gt;"H. Sale Real"),IF(AM149-AM145&lt;0.208333333333333,AM149-AM145,""),IF(AND(AM144&lt;&gt;"",LEFT(AG144,2)&lt;&gt;"Va",AM144&lt;&gt;"H. Sale Real"),IF(AM149-AM144&lt;0.208333333333333,AM149-AM144,""),""))))),""),"")</f>
        <v/>
      </c>
      <c r="AX148" s="89">
        <f>IF(AK148&lt;&gt;"H. Sale Real",IF(AND(AK149&lt;&gt;"",LEFT(AG149,2)&lt;&gt;"Va"),IF(AND(AK148&lt;&gt;"",LEFT(AG148,2)&lt;&gt;"Va",AK148&lt;&gt;"H. Sale Real"),IF(AK149-AK148&lt;0.208333333333333,AK149-AK148,""),IF(AND(AK147&lt;&gt;"",LEFT(AG147,2)&lt;&gt;"Va",AK147&lt;&gt;"H. Sale Real"),IF(AK149-AK147&lt;0.208333333333333,AK149-AK147,""),IF(AND(AK146&lt;&gt;"",LEFT(AG146,2)&lt;&gt;"NC",AK146&lt;&gt;"H. Sale Real"),IF(AK149-AK146&lt;0.208333333333333,AK149-AK146,""),IF(AND(AK145&lt;&gt;"",LEFT(AG145,2)&lt;&gt;"Va",AK145&lt;&gt;"H. Sale Real"),IF(AK149-AK145&lt;0.208333333333333,AK149-AK145,""),IF(AND(AK144&lt;&gt;"",LEFT(AG144,2)&lt;&gt;"Va",AK144&lt;&gt;"H. Sale Real"),IF(AK149-AK144&lt;0.208333333333333,AK149-AK144,""),""))))),""),"")</f>
        <v/>
      </c>
      <c r="AY148" s="87" t="n"/>
      <c r="AZ148" s="89" t="n"/>
      <c r="BA148" s="87" t="n"/>
      <c r="BB148" s="89" t="n"/>
      <c r="BC148" s="91" t="n"/>
      <c r="BD148" s="122">
        <f>IF(AK148&lt;&gt;"",IF(AND(BD147&lt;&gt;"IE",AT148&lt;&gt;0,AV148&lt;&gt;""),IF(IFERROR((AT148/AV148),0) &lt;=1,IFERROR(AT148/AV148,""),1),""),"")</f>
        <v/>
      </c>
      <c r="BE148" s="93" t="n"/>
      <c r="BF148" s="105" t="n"/>
      <c r="FC148" t="inlineStr">
        <is>
          <t>Diccionario 1</t>
        </is>
      </c>
      <c r="FD148" s="15" t="n">
        <v>1145</v>
      </c>
      <c r="FE148" s="15" t="inlineStr">
        <is>
          <t>LDYECS31XS0044027</t>
        </is>
      </c>
      <c r="FF148" s="15" t="inlineStr">
        <is>
          <t>MDN35025020112</t>
        </is>
      </c>
      <c r="FG148" s="15" t="inlineStr">
        <is>
          <t>Zhong Tong</t>
        </is>
      </c>
      <c r="FH148" s="15" t="inlineStr">
        <is>
          <t>Lck6122evg</t>
        </is>
      </c>
      <c r="FI148" s="15" t="inlineStr">
        <is>
          <t>ZHONGTONG</t>
        </is>
      </c>
      <c r="FJ148" s="15" t="inlineStr">
        <is>
          <t>LCK6122EVG</t>
        </is>
      </c>
      <c r="FK148" s="15" t="n">
        <v>2025</v>
      </c>
      <c r="FL148" s="15" t="inlineStr">
        <is>
          <t>B</t>
        </is>
      </c>
      <c r="FM148" s="15" t="inlineStr">
        <is>
          <t>LOS LIBERTADORES</t>
        </is>
      </c>
      <c r="FN148" s="15" t="inlineStr">
        <is>
          <t>Los Liberadores 6450, Lote 4A</t>
        </is>
      </c>
      <c r="FO148" s="15" t="inlineStr">
        <is>
          <t>Huechuraba</t>
        </is>
      </c>
      <c r="FP148" t="inlineStr">
        <is>
          <t>B</t>
        </is>
      </c>
      <c r="FS148" s="14" t="inlineStr">
        <is>
          <t>3036 / SFWB-77|</t>
        </is>
      </c>
      <c r="FT148" t="inlineStr">
        <is>
          <t>SFWB-77|</t>
        </is>
      </c>
      <c r="FU148" t="inlineStr">
        <is>
          <t>SFWB-77</t>
        </is>
      </c>
      <c r="FV148">
        <f>VLOOKUP(FU148,FD:FL,9,0)</f>
        <v/>
      </c>
      <c r="HA148" s="35" t="n">
        <v>145</v>
      </c>
      <c r="HB148" s="35" t="n">
        <v>142</v>
      </c>
    </row>
    <row r="149" ht="15.5" customHeight="1">
      <c r="A149" s="10">
        <f>HOUR(G149)+1</f>
        <v/>
      </c>
      <c r="B149" s="7" t="n"/>
      <c r="C149" s="7" t="n"/>
      <c r="D149" s="85">
        <f>IFERROR(
IF(AND(OR(Planilla!B149="C",Planilla!B149="c"), VLOOKUP(E149,FD:FP,13,0)="C"), "OK",IF(AND(OR(Planilla!B149="C",Planilla!B149="c"), OR(VLOOKUP(E149,FD:FP,13,0)="B", VLOOKUP(E149,FD:FP,13,0)="A")), "DEFICIT",IF(
AND(OR(Planilla!B149="B", Planilla!B149="BPAL"), VLOOKUP(E149,FD:FP,13,0)="B"), "OK",IF(AND(OR(Planilla!B149="B", Planilla!B149="BPAL"), VLOOKUP(E149,FD:FP,13,0)="A"), "DEFICIT",IF(AND(OR(Planilla!B149="B", Planilla!B149="BPAL"), VLOOKUP(E149,FD:FP,13,0)="C"), "SOBREOFERTA",IF(AND(Planilla!B149="A", VLOOKUP(E149,FD:FP,13,0)="A"), "OK",IF(
AND(Planilla!B149="A", OR(VLOOKUP(E149,FD:FP,13,0)="B", VLOOKUP(E149,FD:FP,13,0)="C")), "SOBREOFERTA",""
))))))),"")</f>
        <v/>
      </c>
      <c r="E149" s="8" t="n"/>
      <c r="F149" s="86" t="n"/>
      <c r="G149" s="87" t="n"/>
      <c r="H149" s="88">
        <f>IF(I149="","",IF(AND((I149-G149)&gt;=TIME(0,0,0),(I149-G149)&lt;TIME(0,3,0)),"OK",IF(AND((I149-G149)&gt;=TIME(0,3,0),(I149-G149)&lt;TIME(0,5,0)),"RETRASO DE 3-5 MIN",IF(AND((I149-G149)&gt;=TIME(0,5,0),(I149-G149)&lt;TIME(0,10,0)),"RETRASO DE 5-10 MIN",IF((I149-G149)&gt;=TIME(0,10,0),"RETRASO &gt;10 MIN", IF(AND((G149-I149)&gt;=TIME(0,0,0),(G149-I149)&lt;TIME(0,3,0)),"OK",IF((G149-I149)&gt;=TIME(0,3,0),"ADELANTADO")))))))</f>
        <v/>
      </c>
      <c r="I149" s="89" t="n"/>
      <c r="J149" s="89">
        <f>IF(A149&lt;&gt;"",HLOOKUP(VALUE(TEXT(G149,"h:mm:ss")),IF($C$6="Laboral",$FZ$4:$GX$227,IF($C$6="Sábado",$FZ$231:$GX$452,$FZ$456:$GX$656)),VLOOKUP($C$4,$HF$2:$HH$99,3,0)+IF(C$5="Ida",0,1),1),"")</f>
        <v/>
      </c>
      <c r="K149" s="89">
        <f>IF(A150&lt;&gt;A149,AVERAGEIF(A$9:A149,A149,J$9:J149),"")</f>
        <v/>
      </c>
      <c r="L149" s="89">
        <f>IFERROR(IF(A150&lt;&gt;A149,AVERAGEIF(A$9:A149,A149,S$9:S149),""),"")</f>
        <v/>
      </c>
      <c r="M149" s="89">
        <f>IFERROR(IF(A150&lt;&gt;A149,AVERAGEIF(A$9:A149,A149,T$9:T149),""),"")</f>
        <v/>
      </c>
      <c r="N149" s="89">
        <f t="array" ref="N149">IFERROR(IF(A150&lt;&gt;A149,_xlfn.STDEV.P(IF(A$9:A149=A149,T$9:T149)),""),"")</f>
        <v/>
      </c>
      <c r="O149" s="89">
        <f t="array" ref="O149">IFERROR(IF(A150&lt;&gt;A149,_xlfn.STDEV.P(IF(A$9:A149=A149,S$9:S149)),""),"")</f>
        <v/>
      </c>
      <c r="P149" s="90">
        <f>IFERROR(IF(A149&lt;&gt;A150,MAX((((M149*24*60)/2)*(1+POWER((((N149*24*60) / (M149*24*60) )),2))) + ((M149*24*60 )*-0.1 + (K149*0.015)) +1,(((M149*24*60)/2)*(1+POWER((((N149*24*60) / (M149*24*60 ))),2)))),""),"")</f>
        <v/>
      </c>
      <c r="Q149" s="90">
        <f>IF(AND(O149&lt;&gt;"",L149&lt;&gt;""),IF(A149&lt;&gt;A150,((L149*24*60) / 2 ) * (1 + POWER(((O149*24*60) / (L149*24*60)),2)),""),"")</f>
        <v/>
      </c>
      <c r="R149" s="90">
        <f>IF(Q149&lt;&gt;"",MAX(P149,Q149),"")</f>
        <v/>
      </c>
      <c r="S149" s="89">
        <f>IF(I149&lt;&gt;"H. Sale Real",IF(AND(I150&lt;&gt;"",LEFT(C150,2)&lt;&gt;"Va"),IF(AND(I149&lt;&gt;"",LEFT(C149,2)&lt;&gt;"Va",I149&lt;&gt;"H. Sale Real"),IF(I150-I149&lt;0.208333333333333,I150-I149,""),IF(AND(I148&lt;&gt;"",LEFT(C148,2)&lt;&gt;"Va",I148&lt;&gt;"H. Sale Real"),IF(I150-I148&lt;0.208333333333333,I150-I148,""),IF(AND(I147&lt;&gt;"",LEFT(C147,2)&lt;&gt;"Va",I147&lt;&gt;"H. Sale Real"),IF(I150-I147&lt;0.208333333333333,I150-I147,""),IF(AND(I146&lt;&gt;"",LEFT(C146,2)&lt;&gt;"Va",I146&lt;&gt;"H. Sale Real"),IF(I150-I146&lt;0.208333333333333,I150-I146,""),IF(AND(I145&lt;&gt;"",LEFT(C145,2)&lt;&gt;"Va",I145&lt;&gt;"H. Sale Real"),IF(I150-I145&lt;0.208333333333333,I150-I145,""),""))))),""),"")</f>
        <v/>
      </c>
      <c r="T149" s="89">
        <f>IF(G149&lt;&gt;"H. Sale Real",IF(AND(G150&lt;&gt;"",LEFT(C150,2)&lt;&gt;"Va"),IF(AND(G149&lt;&gt;"",LEFT(C149,2)&lt;&gt;"Va",G149&lt;&gt;"H. Sale Real"),IF(G150-G149&lt;0.208333333333333,G150-G149,""),IF(AND(G148&lt;&gt;"",LEFT(C148,2)&lt;&gt;"Va",G148&lt;&gt;"H. Sale Real"),IF(G150-G148&lt;0.208333333333333,G150-G148,""),IF(AND(G147&lt;&gt;"",LEFT(C147,2)&lt;&gt;"Va",G147&lt;&gt;"H. Sale Real"),IF(G150-G147&lt;0.208333333333333,G150-G147,""),IF(AND(G146&lt;&gt;"",LEFT(C146,2)&lt;&gt;"Va",G146&lt;&gt;"H. Sale Real"),IF(G150-G146&lt;0.208333333333333,G150-G146,""),IF(AND(G145&lt;&gt;"",LEFT(C145,2)&lt;&gt;"Va",G145&lt;&gt;"H. Sale Real"),IF(G150-G145&lt;0.208333333333333,G150-G145,""),""))))),""),"")</f>
        <v/>
      </c>
      <c r="U149" s="87" t="n"/>
      <c r="V149" s="89" t="n"/>
      <c r="W149" s="87" t="n"/>
      <c r="X149" s="89" t="n"/>
      <c r="Y149" s="91" t="n"/>
      <c r="Z149" s="122">
        <f>IF(G149&lt;&gt;"",IF(AND(Z148&lt;&gt;"IE",P149&lt;&gt;0,R149&lt;&gt;""),IF(IFERROR((P149/R149),0) &lt;=1,IFERROR(P149/R149,""),1),""),"")</f>
        <v/>
      </c>
      <c r="AA149" s="93" t="n"/>
      <c r="AB149" s="2" t="n"/>
      <c r="AE149" s="10">
        <f>HOUR(AK149)+1</f>
        <v/>
      </c>
      <c r="AF149" s="7" t="n"/>
      <c r="AG149" s="7" t="n"/>
      <c r="AH149" s="86" t="n"/>
      <c r="AI149" s="8" t="n"/>
      <c r="AJ149" s="86" t="n"/>
      <c r="AK149" s="87" t="n"/>
      <c r="AL149" s="88">
        <f>IF(AM149="","",IF(AND((AM149-AK149)&gt;=TIME(0,0,0),(AM149-AK149)&lt;TIME(0,3,0)),"OK",IF(AND((AM149-AK149)&gt;=TIME(0,3,0),(AM149-AK149)&lt;TIME(0,5,0)),"RETRASO DE 3-5 MIN",IF(AND((AM149-AK149)&gt;=TIME(0,5,0),(AM149-AK149)&lt;TIME(0,10,0)),"RETRASO DE 5-10 MIN",IF((AM149-AK149)&gt;=TIME(0,10,0),"RETRASO &gt;10 MIN", IF(AND((AK149-AM149)&gt;=TIME(0,0,0),(AK149-AM149)&lt;TIME(0,3,0)),"OK",IF((AK149-AM149)&gt;=TIME(0,3,0),"ADELANTADO")))))))</f>
        <v/>
      </c>
      <c r="AM149" s="91" t="n"/>
      <c r="AN149" s="89">
        <f>IF(AE149&lt;&gt;"",HLOOKUP(VALUE(TEXT(AK149,"h:mm:ss")),IF($C$6="Laboral",$FZ$4:$GX$227,IF($C$6="Sábado",$FZ$231:$GX$452,$FZ$456:$GX$656)),VLOOKUP($C$4,$HF$2:$HH$99,3,0)+IF(AG$5="Ida",0,1),1),"")</f>
        <v/>
      </c>
      <c r="AO149" s="89">
        <f>IF(AE150&lt;&gt;AE149,AVERAGEIF(AE$9:AE149,AE149,AN$9:AN149),"")</f>
        <v/>
      </c>
      <c r="AP149" s="89">
        <f>IFERROR(IF(AE150&lt;&gt;AE149,AVERAGEIF(AE$9:AE149,AE149,AW$9:AW149),""),"")</f>
        <v/>
      </c>
      <c r="AQ149" s="89">
        <f>IFERROR(IF(AE150&lt;&gt;AE149,AVERAGEIF(AE$9:AE149,AE149,AX$9:AX149),""),"")</f>
        <v/>
      </c>
      <c r="AR149" s="89">
        <f t="array" ref="AR149">IFERROR(IF(AE150&lt;&gt;AE149,_xlfn.STDEV.P(IF(AE$9:AE149=AE149,AX$9:AX149)),""),"")</f>
        <v/>
      </c>
      <c r="AS149" s="89">
        <f t="array" ref="AS149">IFERROR(IF(AE150&lt;&gt;AE149,_xlfn.STDEV.P(IF(AE$9:AE149=AE149,AW$9:AW149)),""),"")</f>
        <v/>
      </c>
      <c r="AT149" s="90">
        <f>IFERROR(IF(AE149&lt;&gt;AE150,MAX((((AQ149*24*60)/2)*(1+POWER((((AR149*24*60) / (AQ149*24*60) )),2))) + ((AQ149*24*60 )*-0.1 + (AO149*0.015)) +1,(((AQ149*24*60)/2)*(1+POWER((((AR149*24*60) / (AQ149*24*60 ))),2)))),""),"")</f>
        <v/>
      </c>
      <c r="AU149" s="90">
        <f>IF(AND(AS149&lt;&gt;"",AP149&lt;&gt;""),IF(AE149&lt;&gt;AE150,((AP149*24*60) / 2 ) * (1 + POWER(((AS149*24*60) / (AP149*24*60)),2)),""),"")</f>
        <v/>
      </c>
      <c r="AV149" s="90">
        <f>IF(AU149&lt;&gt;"",MAX(AT149,AU149),"")</f>
        <v/>
      </c>
      <c r="AW149" s="89">
        <f>IF(AM149&lt;&gt;"H. Sale Real",IF(AND(AM150&lt;&gt;"",LEFT(AG150,2)&lt;&gt;"Va"),IF(AND(AM149&lt;&gt;"",LEFT(AG149,2)&lt;&gt;"Va",AM149&lt;&gt;"H. Sale Real"),IF(AM150-AM149&lt;0.208333333333333,AM150-AM149,""),IF(AND(AM148&lt;&gt;"",LEFT(AG148,2)&lt;&gt;"Va",AM148&lt;&gt;"H. Sale Real"),IF(AM150-AM148&lt;0.208333333333333,AM150-AM148,""),IF(AND(AM147&lt;&gt;"",LEFT(AG147,2)&lt;&gt;"Va",AM147&lt;&gt;"H. Sale Real"),IF(AM150-AM147&lt;0.208333333333333,AM150-AM147,""),IF(AND(AM146&lt;&gt;"",LEFT(AG146,2)&lt;&gt;"Va",AM146&lt;&gt;"H. Sale Real"),IF(AM150-AM146&lt;0.208333333333333,AM150-AM146,""),IF(AND(AM145&lt;&gt;"",LEFT(AG145,2)&lt;&gt;"Va",AM145&lt;&gt;"H. Sale Real"),IF(AM150-AM145&lt;0.208333333333333,AM150-AM145,""),""))))),""),"")</f>
        <v/>
      </c>
      <c r="AX149" s="89">
        <f>IF(AK149&lt;&gt;"H. Sale Real",IF(AND(AK150&lt;&gt;"",LEFT(AG150,2)&lt;&gt;"Va"),IF(AND(AK149&lt;&gt;"",LEFT(AG149,2)&lt;&gt;"Va",AK149&lt;&gt;"H. Sale Real"),IF(AK150-AK149&lt;0.208333333333333,AK150-AK149,""),IF(AND(AK148&lt;&gt;"",LEFT(AG148,2)&lt;&gt;"Va",AK148&lt;&gt;"H. Sale Real"),IF(AK150-AK148&lt;0.208333333333333,AK150-AK148,""),IF(AND(AK147&lt;&gt;"",LEFT(AG147,2)&lt;&gt;"NC",AK147&lt;&gt;"H. Sale Real"),IF(AK150-AK147&lt;0.208333333333333,AK150-AK147,""),IF(AND(AK146&lt;&gt;"",LEFT(AG146,2)&lt;&gt;"Va",AK146&lt;&gt;"H. Sale Real"),IF(AK150-AK146&lt;0.208333333333333,AK150-AK146,""),IF(AND(AK145&lt;&gt;"",LEFT(AG145,2)&lt;&gt;"Va",AK145&lt;&gt;"H. Sale Real"),IF(AK150-AK145&lt;0.208333333333333,AK150-AK145,""),""))))),""),"")</f>
        <v/>
      </c>
      <c r="AY149" s="87" t="n"/>
      <c r="AZ149" s="89" t="n"/>
      <c r="BA149" s="87" t="n"/>
      <c r="BB149" s="89" t="n"/>
      <c r="BC149" s="91" t="n"/>
      <c r="BD149" s="122">
        <f>IF(AK149&lt;&gt;"",IF(AND(BD148&lt;&gt;"IE",AT149&lt;&gt;0,AV149&lt;&gt;""),IF(IFERROR((AT149/AV149),0) &lt;=1,IFERROR(AT149/AV149,""),1),""),"")</f>
        <v/>
      </c>
      <c r="BE149" s="93" t="n"/>
      <c r="BF149" s="105" t="n"/>
      <c r="FC149" t="inlineStr">
        <is>
          <t>Diccionario 1</t>
        </is>
      </c>
      <c r="FD149" s="15" t="n">
        <v>1146</v>
      </c>
      <c r="FE149" s="15" t="inlineStr">
        <is>
          <t>LDYECS315S0043982</t>
        </is>
      </c>
      <c r="FF149" s="15" t="inlineStr">
        <is>
          <t>MDN35025020067</t>
        </is>
      </c>
      <c r="FG149" s="15" t="inlineStr">
        <is>
          <t>Zhong Tong</t>
        </is>
      </c>
      <c r="FH149" s="15" t="inlineStr">
        <is>
          <t>Lck6122evg</t>
        </is>
      </c>
      <c r="FI149" s="15" t="inlineStr">
        <is>
          <t>ZHONGTONG</t>
        </is>
      </c>
      <c r="FJ149" s="15" t="inlineStr">
        <is>
          <t>LCK6122EVG</t>
        </is>
      </c>
      <c r="FK149" s="15" t="n">
        <v>2025</v>
      </c>
      <c r="FL149" s="15" t="inlineStr">
        <is>
          <t>B</t>
        </is>
      </c>
      <c r="FM149" s="15" t="inlineStr">
        <is>
          <t>LOS LIBERTADORES</t>
        </is>
      </c>
      <c r="FN149" s="15" t="inlineStr">
        <is>
          <t>Los Liberadores 6450, Lote 4A</t>
        </is>
      </c>
      <c r="FO149" s="15" t="inlineStr">
        <is>
          <t>Huechuraba</t>
        </is>
      </c>
      <c r="FP149" t="inlineStr">
        <is>
          <t>B</t>
        </is>
      </c>
      <c r="FS149" s="14" t="inlineStr">
        <is>
          <t>3036 / SFWB-77|</t>
        </is>
      </c>
      <c r="FT149" t="inlineStr">
        <is>
          <t>SFWB-77|</t>
        </is>
      </c>
      <c r="FU149" t="inlineStr">
        <is>
          <t>SFWB-77</t>
        </is>
      </c>
      <c r="FV149">
        <f>VLOOKUP(FU149,FD:FL,9,0)</f>
        <v/>
      </c>
      <c r="HA149" s="35" t="n">
        <v>146</v>
      </c>
      <c r="HB149" s="35" t="n">
        <v>143</v>
      </c>
    </row>
    <row r="150" ht="15.5" customHeight="1">
      <c r="A150" s="10">
        <f>HOUR(G150)+1</f>
        <v/>
      </c>
      <c r="B150" s="7" t="n"/>
      <c r="C150" s="7" t="n"/>
      <c r="D150" s="85">
        <f>IFERROR(
IF(AND(OR(Planilla!B150="C",Planilla!B150="c"), VLOOKUP(E150,FD:FP,13,0)="C"), "OK",IF(AND(OR(Planilla!B150="C",Planilla!B150="c"), OR(VLOOKUP(E150,FD:FP,13,0)="B", VLOOKUP(E150,FD:FP,13,0)="A")), "DEFICIT",IF(
AND(OR(Planilla!B150="B", Planilla!B150="BPAL"), VLOOKUP(E150,FD:FP,13,0)="B"), "OK",IF(AND(OR(Planilla!B150="B", Planilla!B150="BPAL"), VLOOKUP(E150,FD:FP,13,0)="A"), "DEFICIT",IF(AND(OR(Planilla!B150="B", Planilla!B150="BPAL"), VLOOKUP(E150,FD:FP,13,0)="C"), "SOBREOFERTA",IF(AND(Planilla!B150="A", VLOOKUP(E150,FD:FP,13,0)="A"), "OK",IF(
AND(Planilla!B150="A", OR(VLOOKUP(E150,FD:FP,13,0)="B", VLOOKUP(E150,FD:FP,13,0)="C")), "SOBREOFERTA",""
))))))),"")</f>
        <v/>
      </c>
      <c r="E150" s="8" t="n"/>
      <c r="F150" s="86" t="n"/>
      <c r="G150" s="87" t="n"/>
      <c r="H150" s="88">
        <f>IF(I150="","",IF(AND((I150-G150)&gt;=TIME(0,0,0),(I150-G150)&lt;TIME(0,3,0)),"OK",IF(AND((I150-G150)&gt;=TIME(0,3,0),(I150-G150)&lt;TIME(0,5,0)),"RETRASO DE 3-5 MIN",IF(AND((I150-G150)&gt;=TIME(0,5,0),(I150-G150)&lt;TIME(0,10,0)),"RETRASO DE 5-10 MIN",IF((I150-G150)&gt;=TIME(0,10,0),"RETRASO &gt;10 MIN", IF(AND((G150-I150)&gt;=TIME(0,0,0),(G150-I150)&lt;TIME(0,3,0)),"OK",IF((G150-I150)&gt;=TIME(0,3,0),"ADELANTADO")))))))</f>
        <v/>
      </c>
      <c r="I150" s="89" t="n"/>
      <c r="J150" s="89">
        <f>IF(A150&lt;&gt;"",HLOOKUP(VALUE(TEXT(G150,"h:mm:ss")),IF($C$6="Laboral",$FZ$4:$GX$227,IF($C$6="Sábado",$FZ$231:$GX$452,$FZ$456:$GX$656)),VLOOKUP($C$4,$HF$2:$HH$99,3,0)+IF(C$5="Ida",0,1),1),"")</f>
        <v/>
      </c>
      <c r="K150" s="89">
        <f>IF(A151&lt;&gt;A150,AVERAGEIF(A$9:A150,A150,J$9:J150),"")</f>
        <v/>
      </c>
      <c r="L150" s="89">
        <f>IFERROR(IF(A151&lt;&gt;A150,AVERAGEIF(A$9:A150,A150,S$9:S150),""),"")</f>
        <v/>
      </c>
      <c r="M150" s="89">
        <f>IFERROR(IF(A151&lt;&gt;A150,AVERAGEIF(A$9:A150,A150,T$9:T150),""),"")</f>
        <v/>
      </c>
      <c r="N150" s="89">
        <f t="array" ref="N150">IFERROR(IF(A151&lt;&gt;A150,_xlfn.STDEV.P(IF(A$9:A150=A150,T$9:T150)),""),"")</f>
        <v/>
      </c>
      <c r="O150" s="89">
        <f t="array" ref="O150">IFERROR(IF(A151&lt;&gt;A150,_xlfn.STDEV.P(IF(A$9:A150=A150,S$9:S150)),""),"")</f>
        <v/>
      </c>
      <c r="P150" s="90">
        <f>IFERROR(IF(A150&lt;&gt;A151,MAX((((M150*24*60)/2)*(1+POWER((((N150*24*60) / (M150*24*60) )),2))) + ((M150*24*60 )*-0.1 + (K150*0.015)) +1,(((M150*24*60)/2)*(1+POWER((((N150*24*60) / (M150*24*60 ))),2)))),""),"")</f>
        <v/>
      </c>
      <c r="Q150" s="90">
        <f>IF(AND(O150&lt;&gt;"",L150&lt;&gt;""),IF(A150&lt;&gt;A151,((L150*24*60) / 2 ) * (1 + POWER(((O150*24*60) / (L150*24*60)),2)),""),"")</f>
        <v/>
      </c>
      <c r="R150" s="90">
        <f>IF(Q150&lt;&gt;"",MAX(P150,Q150),"")</f>
        <v/>
      </c>
      <c r="S150" s="89">
        <f>IF(I150&lt;&gt;"H. Sale Real",IF(AND(I151&lt;&gt;"",LEFT(C151,2)&lt;&gt;"Va"),IF(AND(I150&lt;&gt;"",LEFT(C150,2)&lt;&gt;"Va",I150&lt;&gt;"H. Sale Real"),IF(I151-I150&lt;0.208333333333333,I151-I150,""),IF(AND(I149&lt;&gt;"",LEFT(C149,2)&lt;&gt;"Va",I149&lt;&gt;"H. Sale Real"),IF(I151-I149&lt;0.208333333333333,I151-I149,""),IF(AND(I148&lt;&gt;"",LEFT(C148,2)&lt;&gt;"Va",I148&lt;&gt;"H. Sale Real"),IF(I151-I148&lt;0.208333333333333,I151-I148,""),IF(AND(I147&lt;&gt;"",LEFT(C147,2)&lt;&gt;"Va",I147&lt;&gt;"H. Sale Real"),IF(I151-I147&lt;0.208333333333333,I151-I147,""),IF(AND(I146&lt;&gt;"",LEFT(C146,2)&lt;&gt;"Va",I146&lt;&gt;"H. Sale Real"),IF(I151-I146&lt;0.208333333333333,I151-I146,""),""))))),""),"")</f>
        <v/>
      </c>
      <c r="T150" s="89">
        <f>IF(G150&lt;&gt;"H. Sale Real",IF(AND(G151&lt;&gt;"",LEFT(C151,2)&lt;&gt;"Va"),IF(AND(G150&lt;&gt;"",LEFT(C150,2)&lt;&gt;"Va",G150&lt;&gt;"H. Sale Real"),IF(G151-G150&lt;0.208333333333333,G151-G150,""),IF(AND(G149&lt;&gt;"",LEFT(C149,2)&lt;&gt;"Va",G149&lt;&gt;"H. Sale Real"),IF(G151-G149&lt;0.208333333333333,G151-G149,""),IF(AND(G148&lt;&gt;"",LEFT(C148,2)&lt;&gt;"Va",G148&lt;&gt;"H. Sale Real"),IF(G151-G148&lt;0.208333333333333,G151-G148,""),IF(AND(G147&lt;&gt;"",LEFT(C147,2)&lt;&gt;"Va",G147&lt;&gt;"H. Sale Real"),IF(G151-G147&lt;0.208333333333333,G151-G147,""),IF(AND(G146&lt;&gt;"",LEFT(C146,2)&lt;&gt;"Va",G146&lt;&gt;"H. Sale Real"),IF(G151-G146&lt;0.208333333333333,G151-G146,""),""))))),""),"")</f>
        <v/>
      </c>
      <c r="U150" s="87" t="n"/>
      <c r="V150" s="89" t="n"/>
      <c r="W150" s="87" t="n"/>
      <c r="X150" s="89" t="n"/>
      <c r="Y150" s="91" t="n"/>
      <c r="Z150" s="122">
        <f>IF(G150&lt;&gt;"",IF(AND(Z149&lt;&gt;"IE",P150&lt;&gt;0,R150&lt;&gt;""),IF(IFERROR((P150/R150),0) &lt;=1,IFERROR(P150/R150,""),1),""),"")</f>
        <v/>
      </c>
      <c r="AA150" s="93" t="n"/>
      <c r="AB150" s="2" t="n"/>
      <c r="AE150" s="10">
        <f>HOUR(AK150)+1</f>
        <v/>
      </c>
      <c r="AF150" s="7" t="n"/>
      <c r="AG150" s="7" t="n"/>
      <c r="AH150" s="86" t="n"/>
      <c r="AI150" s="8" t="n"/>
      <c r="AJ150" s="86" t="n"/>
      <c r="AK150" s="87" t="n"/>
      <c r="AL150" s="88">
        <f>IF(AM150="","",IF(AND((AM150-AK150)&gt;=TIME(0,0,0),(AM150-AK150)&lt;TIME(0,3,0)),"OK",IF(AND((AM150-AK150)&gt;=TIME(0,3,0),(AM150-AK150)&lt;TIME(0,5,0)),"RETRASO DE 3-5 MIN",IF(AND((AM150-AK150)&gt;=TIME(0,5,0),(AM150-AK150)&lt;TIME(0,10,0)),"RETRASO DE 5-10 MIN",IF((AM150-AK150)&gt;=TIME(0,10,0),"RETRASO &gt;10 MIN", IF(AND((AK150-AM150)&gt;=TIME(0,0,0),(AK150-AM150)&lt;TIME(0,3,0)),"OK",IF((AK150-AM150)&gt;=TIME(0,3,0),"ADELANTADO")))))))</f>
        <v/>
      </c>
      <c r="AM150" s="91" t="n"/>
      <c r="AN150" s="89">
        <f>IF(AE150&lt;&gt;"",HLOOKUP(VALUE(TEXT(AK150,"h:mm:ss")),IF($C$6="Laboral",$FZ$4:$GX$227,IF($C$6="Sábado",$FZ$231:$GX$452,$FZ$456:$GX$656)),VLOOKUP($C$4,$HF$2:$HH$99,3,0)+IF(AG$5="Ida",0,1),1),"")</f>
        <v/>
      </c>
      <c r="AO150" s="89">
        <f>IF(AE151&lt;&gt;AE150,AVERAGEIF(AE$9:AE150,AE150,AN$9:AN150),"")</f>
        <v/>
      </c>
      <c r="AP150" s="89">
        <f>IFERROR(IF(AE151&lt;&gt;AE150,AVERAGEIF(AE$9:AE150,AE150,AW$9:AW150),""),"")</f>
        <v/>
      </c>
      <c r="AQ150" s="89">
        <f>IFERROR(IF(AE151&lt;&gt;AE150,AVERAGEIF(AE$9:AE150,AE150,AX$9:AX150),""),"")</f>
        <v/>
      </c>
      <c r="AR150" s="89">
        <f t="array" ref="AR150">IFERROR(IF(AE151&lt;&gt;AE150,_xlfn.STDEV.P(IF(AE$9:AE150=AE150,AX$9:AX150)),""),"")</f>
        <v/>
      </c>
      <c r="AS150" s="89">
        <f t="array" ref="AS150">IFERROR(IF(AE151&lt;&gt;AE150,_xlfn.STDEV.P(IF(AE$9:AE150=AE150,AW$9:AW150)),""),"")</f>
        <v/>
      </c>
      <c r="AT150" s="90">
        <f>IFERROR(IF(AE150&lt;&gt;AE151,MAX((((AQ150*24*60)/2)*(1+POWER((((AR150*24*60) / (AQ150*24*60) )),2))) + ((AQ150*24*60 )*-0.1 + (AO150*0.015)) +1,(((AQ150*24*60)/2)*(1+POWER((((AR150*24*60) / (AQ150*24*60 ))),2)))),""),"")</f>
        <v/>
      </c>
      <c r="AU150" s="90">
        <f>IF(AND(AS150&lt;&gt;"",AP150&lt;&gt;""),IF(AE150&lt;&gt;AE151,((AP150*24*60) / 2 ) * (1 + POWER(((AS150*24*60) / (AP150*24*60)),2)),""),"")</f>
        <v/>
      </c>
      <c r="AV150" s="90">
        <f>IF(AU150&lt;&gt;"",MAX(AT150,AU150),"")</f>
        <v/>
      </c>
      <c r="AW150" s="89">
        <f>IF(AM150&lt;&gt;"H. Sale Real",IF(AND(AM151&lt;&gt;"",LEFT(AG151,2)&lt;&gt;"Va"),IF(AND(AM150&lt;&gt;"",LEFT(AG150,2)&lt;&gt;"Va",AM150&lt;&gt;"H. Sale Real"),IF(AM151-AM150&lt;0.208333333333333,AM151-AM150,""),IF(AND(AM149&lt;&gt;"",LEFT(AG149,2)&lt;&gt;"Va",AM149&lt;&gt;"H. Sale Real"),IF(AM151-AM149&lt;0.208333333333333,AM151-AM149,""),IF(AND(AM148&lt;&gt;"",LEFT(AG148,2)&lt;&gt;"Va",AM148&lt;&gt;"H. Sale Real"),IF(AM151-AM148&lt;0.208333333333333,AM151-AM148,""),IF(AND(AM147&lt;&gt;"",LEFT(AG147,2)&lt;&gt;"Va",AM147&lt;&gt;"H. Sale Real"),IF(AM151-AM147&lt;0.208333333333333,AM151-AM147,""),IF(AND(AM146&lt;&gt;"",LEFT(AG146,2)&lt;&gt;"Va",AM146&lt;&gt;"H. Sale Real"),IF(AM151-AM146&lt;0.208333333333333,AM151-AM146,""),""))))),""),"")</f>
        <v/>
      </c>
      <c r="AX150" s="89">
        <f>IF(AK150&lt;&gt;"H. Sale Real",IF(AND(AK151&lt;&gt;"",LEFT(AG151,2)&lt;&gt;"Va"),IF(AND(AK150&lt;&gt;"",LEFT(AG150,2)&lt;&gt;"Va",AK150&lt;&gt;"H. Sale Real"),IF(AK151-AK150&lt;0.208333333333333,AK151-AK150,""),IF(AND(AK149&lt;&gt;"",LEFT(AG149,2)&lt;&gt;"Va",AK149&lt;&gt;"H. Sale Real"),IF(AK151-AK149&lt;0.208333333333333,AK151-AK149,""),IF(AND(AK148&lt;&gt;"",LEFT(AG148,2)&lt;&gt;"NC",AK148&lt;&gt;"H. Sale Real"),IF(AK151-AK148&lt;0.208333333333333,AK151-AK148,""),IF(AND(AK147&lt;&gt;"",LEFT(AG147,2)&lt;&gt;"Va",AK147&lt;&gt;"H. Sale Real"),IF(AK151-AK147&lt;0.208333333333333,AK151-AK147,""),IF(AND(AK146&lt;&gt;"",LEFT(AG146,2)&lt;&gt;"Va",AK146&lt;&gt;"H. Sale Real"),IF(AK151-AK146&lt;0.208333333333333,AK151-AK146,""),""))))),""),"")</f>
        <v/>
      </c>
      <c r="AY150" s="87" t="n"/>
      <c r="AZ150" s="89" t="n"/>
      <c r="BA150" s="87" t="n"/>
      <c r="BB150" s="89" t="n"/>
      <c r="BC150" s="91" t="n"/>
      <c r="BD150" s="122">
        <f>IF(AK150&lt;&gt;"",IF(AND(BD149&lt;&gt;"IE",AT150&lt;&gt;0,AV150&lt;&gt;""),IF(IFERROR((AT150/AV150),0) &lt;=1,IFERROR(AT150/AV150,""),1),""),"")</f>
        <v/>
      </c>
      <c r="BE150" s="93" t="n"/>
      <c r="BF150" s="105" t="n"/>
      <c r="FC150" t="inlineStr">
        <is>
          <t>Diccionario 1</t>
        </is>
      </c>
      <c r="FD150" s="15" t="n">
        <v>1147</v>
      </c>
      <c r="FE150" s="15" t="inlineStr">
        <is>
          <t>LDYECS317S0043997</t>
        </is>
      </c>
      <c r="FF150" s="15" t="inlineStr">
        <is>
          <t>MDN35025020022</t>
        </is>
      </c>
      <c r="FG150" s="15" t="inlineStr">
        <is>
          <t>Zhong Tong</t>
        </is>
      </c>
      <c r="FH150" s="15" t="inlineStr">
        <is>
          <t>Lck6122evg</t>
        </is>
      </c>
      <c r="FI150" s="15" t="inlineStr">
        <is>
          <t>ZHONGTONG</t>
        </is>
      </c>
      <c r="FJ150" s="15" t="inlineStr">
        <is>
          <t>LCK6122EVG</t>
        </is>
      </c>
      <c r="FK150" s="15" t="n">
        <v>2025</v>
      </c>
      <c r="FL150" s="15" t="inlineStr">
        <is>
          <t>B</t>
        </is>
      </c>
      <c r="FM150" s="15" t="inlineStr">
        <is>
          <t>LOS LIBERTADORES</t>
        </is>
      </c>
      <c r="FN150" s="15" t="inlineStr">
        <is>
          <t>Los Liberadores 6450, Lote 4A</t>
        </is>
      </c>
      <c r="FO150" s="15" t="inlineStr">
        <is>
          <t>Huechuraba</t>
        </is>
      </c>
      <c r="FP150" t="inlineStr">
        <is>
          <t>B</t>
        </is>
      </c>
      <c r="FS150" s="14" t="inlineStr">
        <is>
          <t>3037 / SFWB-87|</t>
        </is>
      </c>
      <c r="FT150" t="inlineStr">
        <is>
          <t>SFWB-87|</t>
        </is>
      </c>
      <c r="FU150" t="inlineStr">
        <is>
          <t>SFWB-87</t>
        </is>
      </c>
      <c r="FV150">
        <f>VLOOKUP(FU150,FD:FL,9,0)</f>
        <v/>
      </c>
      <c r="HA150" s="35" t="n">
        <v>147</v>
      </c>
      <c r="HB150" s="35" t="n">
        <v>144</v>
      </c>
    </row>
    <row r="151" ht="15.5" customHeight="1">
      <c r="A151" s="10">
        <f>HOUR(G151)+1</f>
        <v/>
      </c>
      <c r="B151" s="7" t="n"/>
      <c r="C151" s="7" t="n"/>
      <c r="D151" s="85">
        <f>IFERROR(
IF(AND(OR(Planilla!B151="C",Planilla!B151="c"), VLOOKUP(E151,FD:FP,13,0)="C"), "OK",IF(AND(OR(Planilla!B151="C",Planilla!B151="c"), OR(VLOOKUP(E151,FD:FP,13,0)="B", VLOOKUP(E151,FD:FP,13,0)="A")), "DEFICIT",IF(
AND(OR(Planilla!B151="B", Planilla!B151="BPAL"), VLOOKUP(E151,FD:FP,13,0)="B"), "OK",IF(AND(OR(Planilla!B151="B", Planilla!B151="BPAL"), VLOOKUP(E151,FD:FP,13,0)="A"), "DEFICIT",IF(AND(OR(Planilla!B151="B", Planilla!B151="BPAL"), VLOOKUP(E151,FD:FP,13,0)="C"), "SOBREOFERTA",IF(AND(Planilla!B151="A", VLOOKUP(E151,FD:FP,13,0)="A"), "OK",IF(
AND(Planilla!B151="A", OR(VLOOKUP(E151,FD:FP,13,0)="B", VLOOKUP(E151,FD:FP,13,0)="C")), "SOBREOFERTA",""
))))))),"")</f>
        <v/>
      </c>
      <c r="E151" s="8" t="n"/>
      <c r="F151" s="86" t="n"/>
      <c r="G151" s="87" t="n"/>
      <c r="H151" s="88">
        <f>IF(I151="","",IF(AND((I151-G151)&gt;=TIME(0,0,0),(I151-G151)&lt;TIME(0,3,0)),"OK",IF(AND((I151-G151)&gt;=TIME(0,3,0),(I151-G151)&lt;TIME(0,5,0)),"RETRASO DE 3-5 MIN",IF(AND((I151-G151)&gt;=TIME(0,5,0),(I151-G151)&lt;TIME(0,10,0)),"RETRASO DE 5-10 MIN",IF((I151-G151)&gt;=TIME(0,10,0),"RETRASO &gt;10 MIN", IF(AND((G151-I151)&gt;=TIME(0,0,0),(G151-I151)&lt;TIME(0,3,0)),"OK",IF((G151-I151)&gt;=TIME(0,3,0),"ADELANTADO")))))))</f>
        <v/>
      </c>
      <c r="I151" s="89" t="n"/>
      <c r="J151" s="89">
        <f>IF(A151&lt;&gt;"",HLOOKUP(VALUE(TEXT(G151,"h:mm:ss")),IF($C$6="Laboral",$FZ$4:$GX$227,IF($C$6="Sábado",$FZ$231:$GX$452,$FZ$456:$GX$656)),VLOOKUP($C$4,$HF$2:$HH$99,3,0)+IF(C$5="Ida",0,1),1),"")</f>
        <v/>
      </c>
      <c r="K151" s="89">
        <f>IF(A152&lt;&gt;A151,AVERAGEIF(A$9:A151,A151,J$9:J151),"")</f>
        <v/>
      </c>
      <c r="L151" s="89">
        <f>IFERROR(IF(A152&lt;&gt;A151,AVERAGEIF(A$9:A151,A151,S$9:S151),""),"")</f>
        <v/>
      </c>
      <c r="M151" s="89">
        <f>IFERROR(IF(A152&lt;&gt;A151,AVERAGEIF(A$9:A151,A151,T$9:T151),""),"")</f>
        <v/>
      </c>
      <c r="N151" s="89">
        <f t="array" ref="N151">IFERROR(IF(A152&lt;&gt;A151,_xlfn.STDEV.P(IF(A$9:A151=A151,T$9:T151)),""),"")</f>
        <v/>
      </c>
      <c r="O151" s="89">
        <f t="array" ref="O151">IFERROR(IF(A152&lt;&gt;A151,_xlfn.STDEV.P(IF(A$9:A151=A151,S$9:S151)),""),"")</f>
        <v/>
      </c>
      <c r="P151" s="90">
        <f>IFERROR(IF(A151&lt;&gt;A152,MAX((((M151*24*60)/2)*(1+POWER((((N151*24*60) / (M151*24*60) )),2))) + ((M151*24*60 )*-0.1 + (K151*0.015)) +1,(((M151*24*60)/2)*(1+POWER((((N151*24*60) / (M151*24*60 ))),2)))),""),"")</f>
        <v/>
      </c>
      <c r="Q151" s="90">
        <f>IF(AND(O151&lt;&gt;"",L151&lt;&gt;""),IF(A151&lt;&gt;A152,((L151*24*60) / 2 ) * (1 + POWER(((O151*24*60) / (L151*24*60)),2)),""),"")</f>
        <v/>
      </c>
      <c r="R151" s="90">
        <f>IF(Q151&lt;&gt;"",MAX(P151,Q151),"")</f>
        <v/>
      </c>
      <c r="S151" s="89">
        <f>IF(I151&lt;&gt;"H. Sale Real",IF(AND(I152&lt;&gt;"",LEFT(C152,2)&lt;&gt;"Va"),IF(AND(I151&lt;&gt;"",LEFT(C151,2)&lt;&gt;"Va",I151&lt;&gt;"H. Sale Real"),IF(I152-I151&lt;0.208333333333333,I152-I151,""),IF(AND(I150&lt;&gt;"",LEFT(C150,2)&lt;&gt;"Va",I150&lt;&gt;"H. Sale Real"),IF(I152-I150&lt;0.208333333333333,I152-I150,""),IF(AND(I149&lt;&gt;"",LEFT(C149,2)&lt;&gt;"Va",I149&lt;&gt;"H. Sale Real"),IF(I152-I149&lt;0.208333333333333,I152-I149,""),IF(AND(I148&lt;&gt;"",LEFT(C148,2)&lt;&gt;"Va",I148&lt;&gt;"H. Sale Real"),IF(I152-I148&lt;0.208333333333333,I152-I148,""),IF(AND(I147&lt;&gt;"",LEFT(C147,2)&lt;&gt;"Va",I147&lt;&gt;"H. Sale Real"),IF(I152-I147&lt;0.208333333333333,I152-I147,""),""))))),""),"")</f>
        <v/>
      </c>
      <c r="T151" s="89">
        <f>IF(G151&lt;&gt;"H. Sale Real",IF(AND(G152&lt;&gt;"",LEFT(C152,2)&lt;&gt;"Va"),IF(AND(G151&lt;&gt;"",LEFT(C151,2)&lt;&gt;"Va",G151&lt;&gt;"H. Sale Real"),IF(G152-G151&lt;0.208333333333333,G152-G151,""),IF(AND(G150&lt;&gt;"",LEFT(C150,2)&lt;&gt;"Va",G150&lt;&gt;"H. Sale Real"),IF(G152-G150&lt;0.208333333333333,G152-G150,""),IF(AND(G149&lt;&gt;"",LEFT(C149,2)&lt;&gt;"Va",G149&lt;&gt;"H. Sale Real"),IF(G152-G149&lt;0.208333333333333,G152-G149,""),IF(AND(G148&lt;&gt;"",LEFT(C148,2)&lt;&gt;"Va",G148&lt;&gt;"H. Sale Real"),IF(G152-G148&lt;0.208333333333333,G152-G148,""),IF(AND(G147&lt;&gt;"",LEFT(C147,2)&lt;&gt;"Va",G147&lt;&gt;"H. Sale Real"),IF(G152-G147&lt;0.208333333333333,G152-G147,""),""))))),""),"")</f>
        <v/>
      </c>
      <c r="U151" s="87" t="n"/>
      <c r="V151" s="89" t="n"/>
      <c r="W151" s="87" t="n"/>
      <c r="X151" s="89" t="n"/>
      <c r="Y151" s="91" t="n"/>
      <c r="Z151" s="122">
        <f>IF(G151&lt;&gt;"",IF(AND(Z150&lt;&gt;"IE",P151&lt;&gt;0,R151&lt;&gt;""),IF(IFERROR((P151/R151),0) &lt;=1,IFERROR(P151/R151,""),1),""),"")</f>
        <v/>
      </c>
      <c r="AA151" s="93" t="n"/>
      <c r="AB151" s="2" t="n"/>
      <c r="AE151" s="10">
        <f>HOUR(AK151)+1</f>
        <v/>
      </c>
      <c r="AF151" s="7" t="n"/>
      <c r="AG151" s="7" t="n"/>
      <c r="AH151" s="86" t="n"/>
      <c r="AI151" s="8" t="n"/>
      <c r="AJ151" s="86" t="n"/>
      <c r="AK151" s="87" t="n"/>
      <c r="AL151" s="88">
        <f>IF(AM151="","",IF(AND((AM151-AK151)&gt;=TIME(0,0,0),(AM151-AK151)&lt;TIME(0,3,0)),"OK",IF(AND((AM151-AK151)&gt;=TIME(0,3,0),(AM151-AK151)&lt;TIME(0,5,0)),"RETRASO DE 3-5 MIN",IF(AND((AM151-AK151)&gt;=TIME(0,5,0),(AM151-AK151)&lt;TIME(0,10,0)),"RETRASO DE 5-10 MIN",IF((AM151-AK151)&gt;=TIME(0,10,0),"RETRASO &gt;10 MIN", IF(AND((AK151-AM151)&gt;=TIME(0,0,0),(AK151-AM151)&lt;TIME(0,3,0)),"OK",IF((AK151-AM151)&gt;=TIME(0,3,0),"ADELANTADO")))))))</f>
        <v/>
      </c>
      <c r="AM151" s="91" t="n"/>
      <c r="AN151" s="89">
        <f>IF(AE151&lt;&gt;"",HLOOKUP(VALUE(TEXT(AK151,"h:mm:ss")),IF($C$6="Laboral",$FZ$4:$GX$227,IF($C$6="Sábado",$FZ$231:$GX$452,$FZ$456:$GX$656)),VLOOKUP($C$4,$HF$2:$HH$99,3,0)+IF(AG$5="Ida",0,1),1),"")</f>
        <v/>
      </c>
      <c r="AO151" s="89">
        <f>IF(AE152&lt;&gt;AE151,AVERAGEIF(AE$9:AE151,AE151,AN$9:AN151),"")</f>
        <v/>
      </c>
      <c r="AP151" s="89">
        <f>IFERROR(IF(AE152&lt;&gt;AE151,AVERAGEIF(AE$9:AE151,AE151,AW$9:AW151),""),"")</f>
        <v/>
      </c>
      <c r="AQ151" s="89">
        <f>IFERROR(IF(AE152&lt;&gt;AE151,AVERAGEIF(AE$9:AE151,AE151,AX$9:AX151),""),"")</f>
        <v/>
      </c>
      <c r="AR151" s="89">
        <f t="array" ref="AR151">IFERROR(IF(AE152&lt;&gt;AE151,_xlfn.STDEV.P(IF(AE$9:AE151=AE151,AX$9:AX151)),""),"")</f>
        <v/>
      </c>
      <c r="AS151" s="89">
        <f t="array" ref="AS151">IFERROR(IF(AE152&lt;&gt;AE151,_xlfn.STDEV.P(IF(AE$9:AE151=AE151,AW$9:AW151)),""),"")</f>
        <v/>
      </c>
      <c r="AT151" s="90">
        <f>IFERROR(IF(AE151&lt;&gt;AE152,MAX((((AQ151*24*60)/2)*(1+POWER((((AR151*24*60) / (AQ151*24*60) )),2))) + ((AQ151*24*60 )*-0.1 + (AO151*0.015)) +1,(((AQ151*24*60)/2)*(1+POWER((((AR151*24*60) / (AQ151*24*60 ))),2)))),""),"")</f>
        <v/>
      </c>
      <c r="AU151" s="90">
        <f>IF(AND(AS151&lt;&gt;"",AP151&lt;&gt;""),IF(AE151&lt;&gt;AE152,((AP151*24*60) / 2 ) * (1 + POWER(((AS151*24*60) / (AP151*24*60)),2)),""),"")</f>
        <v/>
      </c>
      <c r="AV151" s="90">
        <f>IF(AU151&lt;&gt;"",MAX(AT151,AU151),"")</f>
        <v/>
      </c>
      <c r="AW151" s="89">
        <f>IF(AM151&lt;&gt;"H. Sale Real",IF(AND(AM152&lt;&gt;"",LEFT(AG152,2)&lt;&gt;"Va"),IF(AND(AM151&lt;&gt;"",LEFT(AG151,2)&lt;&gt;"Va",AM151&lt;&gt;"H. Sale Real"),IF(AM152-AM151&lt;0.208333333333333,AM152-AM151,""),IF(AND(AM150&lt;&gt;"",LEFT(AG150,2)&lt;&gt;"Va",AM150&lt;&gt;"H. Sale Real"),IF(AM152-AM150&lt;0.208333333333333,AM152-AM150,""),IF(AND(AM149&lt;&gt;"",LEFT(AG149,2)&lt;&gt;"Va",AM149&lt;&gt;"H. Sale Real"),IF(AM152-AM149&lt;0.208333333333333,AM152-AM149,""),IF(AND(AM148&lt;&gt;"",LEFT(AG148,2)&lt;&gt;"Va",AM148&lt;&gt;"H. Sale Real"),IF(AM152-AM148&lt;0.208333333333333,AM152-AM148,""),IF(AND(AM147&lt;&gt;"",LEFT(AG147,2)&lt;&gt;"Va",AM147&lt;&gt;"H. Sale Real"),IF(AM152-AM147&lt;0.208333333333333,AM152-AM147,""),""))))),""),"")</f>
        <v/>
      </c>
      <c r="AX151" s="89">
        <f>IF(AK151&lt;&gt;"H. Sale Real",IF(AND(AK152&lt;&gt;"",LEFT(AG152,2)&lt;&gt;"Va"),IF(AND(AK151&lt;&gt;"",LEFT(AG151,2)&lt;&gt;"Va",AK151&lt;&gt;"H. Sale Real"),IF(AK152-AK151&lt;0.208333333333333,AK152-AK151,""),IF(AND(AK150&lt;&gt;"",LEFT(AG150,2)&lt;&gt;"Va",AK150&lt;&gt;"H. Sale Real"),IF(AK152-AK150&lt;0.208333333333333,AK152-AK150,""),IF(AND(AK149&lt;&gt;"",LEFT(AG149,2)&lt;&gt;"NC",AK149&lt;&gt;"H. Sale Real"),IF(AK152-AK149&lt;0.208333333333333,AK152-AK149,""),IF(AND(AK148&lt;&gt;"",LEFT(AG148,2)&lt;&gt;"Va",AK148&lt;&gt;"H. Sale Real"),IF(AK152-AK148&lt;0.208333333333333,AK152-AK148,""),IF(AND(AK147&lt;&gt;"",LEFT(AG147,2)&lt;&gt;"Va",AK147&lt;&gt;"H. Sale Real"),IF(AK152-AK147&lt;0.208333333333333,AK152-AK147,""),""))))),""),"")</f>
        <v/>
      </c>
      <c r="AY151" s="87" t="n"/>
      <c r="AZ151" s="89" t="n"/>
      <c r="BA151" s="87" t="n"/>
      <c r="BB151" s="89" t="n"/>
      <c r="BC151" s="91" t="n"/>
      <c r="BD151" s="122">
        <f>IF(AK151&lt;&gt;"",IF(AND(BD150&lt;&gt;"IE",AT151&lt;&gt;0,AV151&lt;&gt;""),IF(IFERROR((AT151/AV151),0) &lt;=1,IFERROR(AT151/AV151,""),1),""),"")</f>
        <v/>
      </c>
      <c r="BE151" s="93" t="n"/>
      <c r="BF151" s="105" t="n"/>
      <c r="FC151" t="inlineStr">
        <is>
          <t>Diccionario 1</t>
        </is>
      </c>
      <c r="FD151" s="15" t="n">
        <v>1148</v>
      </c>
      <c r="FE151" s="15" t="inlineStr">
        <is>
          <t>LDYECS314S0043911</t>
        </is>
      </c>
      <c r="FF151" s="15" t="inlineStr">
        <is>
          <t>MDN35025010115</t>
        </is>
      </c>
      <c r="FG151" s="15" t="inlineStr">
        <is>
          <t>Zhong Tong</t>
        </is>
      </c>
      <c r="FH151" s="15" t="inlineStr">
        <is>
          <t>Lck6122evg</t>
        </is>
      </c>
      <c r="FI151" s="15" t="inlineStr">
        <is>
          <t>ZHONGTONG</t>
        </is>
      </c>
      <c r="FJ151" s="15" t="inlineStr">
        <is>
          <t>LCK6122EVG</t>
        </is>
      </c>
      <c r="FK151" s="15" t="n">
        <v>2025</v>
      </c>
      <c r="FL151" s="15" t="inlineStr">
        <is>
          <t>B</t>
        </is>
      </c>
      <c r="FM151" s="15" t="inlineStr">
        <is>
          <t>LOS LIBERTADORES</t>
        </is>
      </c>
      <c r="FN151" s="15" t="inlineStr">
        <is>
          <t>Los Liberadores 6450, Lote 4A</t>
        </is>
      </c>
      <c r="FO151" s="15" t="inlineStr">
        <is>
          <t>Huechuraba</t>
        </is>
      </c>
      <c r="FP151" t="inlineStr">
        <is>
          <t>B</t>
        </is>
      </c>
      <c r="FS151" s="14" t="inlineStr">
        <is>
          <t>3037 / SFWB-87|</t>
        </is>
      </c>
      <c r="FT151" t="inlineStr">
        <is>
          <t>SFWB-87|</t>
        </is>
      </c>
      <c r="FU151" t="inlineStr">
        <is>
          <t>SFWB-87</t>
        </is>
      </c>
      <c r="FV151">
        <f>VLOOKUP(FU151,FD:FL,9,0)</f>
        <v/>
      </c>
      <c r="HA151" s="35" t="n">
        <v>148</v>
      </c>
      <c r="HB151" s="35" t="n">
        <v>145</v>
      </c>
    </row>
    <row r="152" ht="15.5" customHeight="1">
      <c r="A152" s="10">
        <f>HOUR(G152)+1</f>
        <v/>
      </c>
      <c r="B152" s="7" t="n"/>
      <c r="C152" s="7" t="n"/>
      <c r="D152" s="85">
        <f>IFERROR(
IF(AND(OR(Planilla!B152="C",Planilla!B152="c"), VLOOKUP(E152,FD:FP,13,0)="C"), "OK",IF(AND(OR(Planilla!B152="C",Planilla!B152="c"), OR(VLOOKUP(E152,FD:FP,13,0)="B", VLOOKUP(E152,FD:FP,13,0)="A")), "DEFICIT",IF(
AND(OR(Planilla!B152="B", Planilla!B152="BPAL"), VLOOKUP(E152,FD:FP,13,0)="B"), "OK",IF(AND(OR(Planilla!B152="B", Planilla!B152="BPAL"), VLOOKUP(E152,FD:FP,13,0)="A"), "DEFICIT",IF(AND(OR(Planilla!B152="B", Planilla!B152="BPAL"), VLOOKUP(E152,FD:FP,13,0)="C"), "SOBREOFERTA",IF(AND(Planilla!B152="A", VLOOKUP(E152,FD:FP,13,0)="A"), "OK",IF(
AND(Planilla!B152="A", OR(VLOOKUP(E152,FD:FP,13,0)="B", VLOOKUP(E152,FD:FP,13,0)="C")), "SOBREOFERTA",""
))))))),"")</f>
        <v/>
      </c>
      <c r="E152" s="8" t="n"/>
      <c r="F152" s="86" t="n"/>
      <c r="G152" s="87" t="n"/>
      <c r="H152" s="88">
        <f>IF(I152="","",IF(AND((I152-G152)&gt;=TIME(0,0,0),(I152-G152)&lt;TIME(0,3,0)),"OK",IF(AND((I152-G152)&gt;=TIME(0,3,0),(I152-G152)&lt;TIME(0,5,0)),"RETRASO DE 3-5 MIN",IF(AND((I152-G152)&gt;=TIME(0,5,0),(I152-G152)&lt;TIME(0,10,0)),"RETRASO DE 5-10 MIN",IF((I152-G152)&gt;=TIME(0,10,0),"RETRASO &gt;10 MIN", IF(AND((G152-I152)&gt;=TIME(0,0,0),(G152-I152)&lt;TIME(0,3,0)),"OK",IF((G152-I152)&gt;=TIME(0,3,0),"ADELANTADO")))))))</f>
        <v/>
      </c>
      <c r="I152" s="89" t="n"/>
      <c r="J152" s="89">
        <f>IF(A152&lt;&gt;"",HLOOKUP(VALUE(TEXT(G152,"h:mm:ss")),IF($C$6="Laboral",$FZ$4:$GX$227,IF($C$6="Sábado",$FZ$231:$GX$452,$FZ$456:$GX$656)),VLOOKUP($C$4,$HF$2:$HH$99,3,0)+IF(C$5="Ida",0,1),1),"")</f>
        <v/>
      </c>
      <c r="K152" s="89">
        <f>IF(A153&lt;&gt;A152,AVERAGEIF(A$9:A152,A152,J$9:J152),"")</f>
        <v/>
      </c>
      <c r="L152" s="89">
        <f>IFERROR(IF(A153&lt;&gt;A152,AVERAGEIF(A$9:A152,A152,S$9:S152),""),"")</f>
        <v/>
      </c>
      <c r="M152" s="89">
        <f>IFERROR(IF(A153&lt;&gt;A152,AVERAGEIF(A$9:A152,A152,T$9:T152),""),"")</f>
        <v/>
      </c>
      <c r="N152" s="89">
        <f t="array" ref="N152">IFERROR(IF(A153&lt;&gt;A152,_xlfn.STDEV.P(IF(A$9:A152=A152,T$9:T152)),""),"")</f>
        <v/>
      </c>
      <c r="O152" s="89">
        <f t="array" ref="O152">IFERROR(IF(A153&lt;&gt;A152,_xlfn.STDEV.P(IF(A$9:A152=A152,S$9:S152)),""),"")</f>
        <v/>
      </c>
      <c r="P152" s="90">
        <f>IFERROR(IF(A152&lt;&gt;A153,MAX((((M152*24*60)/2)*(1+POWER((((N152*24*60) / (M152*24*60) )),2))) + ((M152*24*60 )*-0.1 + (K152*0.015)) +1,(((M152*24*60)/2)*(1+POWER((((N152*24*60) / (M152*24*60 ))),2)))),""),"")</f>
        <v/>
      </c>
      <c r="Q152" s="90">
        <f>IF(AND(O152&lt;&gt;"",L152&lt;&gt;""),IF(A152&lt;&gt;A153,((L152*24*60) / 2 ) * (1 + POWER(((O152*24*60) / (L152*24*60)),2)),""),"")</f>
        <v/>
      </c>
      <c r="R152" s="90">
        <f>IF(Q152&lt;&gt;"",MAX(P152,Q152),"")</f>
        <v/>
      </c>
      <c r="S152" s="89">
        <f>IF(I152&lt;&gt;"H. Sale Real",IF(AND(I153&lt;&gt;"",LEFT(C153,2)&lt;&gt;"Va"),IF(AND(I152&lt;&gt;"",LEFT(C152,2)&lt;&gt;"Va",I152&lt;&gt;"H. Sale Real"),IF(I153-I152&lt;0.208333333333333,I153-I152,""),IF(AND(I151&lt;&gt;"",LEFT(C151,2)&lt;&gt;"Va",I151&lt;&gt;"H. Sale Real"),IF(I153-I151&lt;0.208333333333333,I153-I151,""),IF(AND(I150&lt;&gt;"",LEFT(C150,2)&lt;&gt;"Va",I150&lt;&gt;"H. Sale Real"),IF(I153-I150&lt;0.208333333333333,I153-I150,""),IF(AND(I149&lt;&gt;"",LEFT(C149,2)&lt;&gt;"Va",I149&lt;&gt;"H. Sale Real"),IF(I153-I149&lt;0.208333333333333,I153-I149,""),IF(AND(I148&lt;&gt;"",LEFT(C148,2)&lt;&gt;"Va",I148&lt;&gt;"H. Sale Real"),IF(I153-I148&lt;0.208333333333333,I153-I148,""),""))))),""),"")</f>
        <v/>
      </c>
      <c r="T152" s="89">
        <f>IF(G152&lt;&gt;"H. Sale Real",IF(AND(G153&lt;&gt;"",LEFT(C153,2)&lt;&gt;"Va"),IF(AND(G152&lt;&gt;"",LEFT(C152,2)&lt;&gt;"Va",G152&lt;&gt;"H. Sale Real"),IF(G153-G152&lt;0.208333333333333,G153-G152,""),IF(AND(G151&lt;&gt;"",LEFT(C151,2)&lt;&gt;"Va",G151&lt;&gt;"H. Sale Real"),IF(G153-G151&lt;0.208333333333333,G153-G151,""),IF(AND(G150&lt;&gt;"",LEFT(C150,2)&lt;&gt;"Va",G150&lt;&gt;"H. Sale Real"),IF(G153-G150&lt;0.208333333333333,G153-G150,""),IF(AND(G149&lt;&gt;"",LEFT(C149,2)&lt;&gt;"Va",G149&lt;&gt;"H. Sale Real"),IF(G153-G149&lt;0.208333333333333,G153-G149,""),IF(AND(G148&lt;&gt;"",LEFT(C148,2)&lt;&gt;"Va",G148&lt;&gt;"H. Sale Real"),IF(G153-G148&lt;0.208333333333333,G153-G148,""),""))))),""),"")</f>
        <v/>
      </c>
      <c r="U152" s="87" t="n"/>
      <c r="V152" s="89" t="n"/>
      <c r="W152" s="87" t="n"/>
      <c r="X152" s="89" t="n"/>
      <c r="Y152" s="91" t="n"/>
      <c r="Z152" s="122">
        <f>IF(G152&lt;&gt;"",IF(AND(Z151&lt;&gt;"IE",P152&lt;&gt;0,R152&lt;&gt;""),IF(IFERROR((P152/R152),0) &lt;=1,IFERROR(P152/R152,""),1),""),"")</f>
        <v/>
      </c>
      <c r="AA152" s="93" t="n"/>
      <c r="AB152" s="2" t="n"/>
      <c r="AE152" s="10">
        <f>HOUR(AK152)+1</f>
        <v/>
      </c>
      <c r="AF152" s="7" t="n"/>
      <c r="AG152" s="7" t="n"/>
      <c r="AH152" s="86" t="n"/>
      <c r="AI152" s="8" t="n"/>
      <c r="AJ152" s="86" t="n"/>
      <c r="AK152" s="87" t="n"/>
      <c r="AL152" s="88">
        <f>IF(AM152="","",IF(AND((AM152-AK152)&gt;=TIME(0,0,0),(AM152-AK152)&lt;TIME(0,3,0)),"OK",IF(AND((AM152-AK152)&gt;=TIME(0,3,0),(AM152-AK152)&lt;TIME(0,5,0)),"RETRASO DE 3-5 MIN",IF(AND((AM152-AK152)&gt;=TIME(0,5,0),(AM152-AK152)&lt;TIME(0,10,0)),"RETRASO DE 5-10 MIN",IF((AM152-AK152)&gt;=TIME(0,10,0),"RETRASO &gt;10 MIN", IF(AND((AK152-AM152)&gt;=TIME(0,0,0),(AK152-AM152)&lt;TIME(0,3,0)),"OK",IF((AK152-AM152)&gt;=TIME(0,3,0),"ADELANTADO")))))))</f>
        <v/>
      </c>
      <c r="AM152" s="91" t="n"/>
      <c r="AN152" s="89">
        <f>IF(AE152&lt;&gt;"",HLOOKUP(VALUE(TEXT(AK152,"h:mm:ss")),IF($C$6="Laboral",$FZ$4:$GX$227,IF($C$6="Sábado",$FZ$231:$GX$452,$FZ$456:$GX$656)),VLOOKUP($C$4,$HF$2:$HH$99,3,0)+IF(AG$5="Ida",0,1),1),"")</f>
        <v/>
      </c>
      <c r="AO152" s="89">
        <f>IF(AE153&lt;&gt;AE152,AVERAGEIF(AE$9:AE152,AE152,AN$9:AN152),"")</f>
        <v/>
      </c>
      <c r="AP152" s="89">
        <f>IFERROR(IF(AE153&lt;&gt;AE152,AVERAGEIF(AE$9:AE152,AE152,AW$9:AW152),""),"")</f>
        <v/>
      </c>
      <c r="AQ152" s="89">
        <f>IFERROR(IF(AE153&lt;&gt;AE152,AVERAGEIF(AE$9:AE152,AE152,AX$9:AX152),""),"")</f>
        <v/>
      </c>
      <c r="AR152" s="89">
        <f t="array" ref="AR152">IFERROR(IF(AE153&lt;&gt;AE152,_xlfn.STDEV.P(IF(AE$9:AE152=AE152,AX$9:AX152)),""),"")</f>
        <v/>
      </c>
      <c r="AS152" s="89">
        <f t="array" ref="AS152">IFERROR(IF(AE153&lt;&gt;AE152,_xlfn.STDEV.P(IF(AE$9:AE152=AE152,AW$9:AW152)),""),"")</f>
        <v/>
      </c>
      <c r="AT152" s="90">
        <f>IFERROR(IF(AE152&lt;&gt;AE153,MAX((((AQ152*24*60)/2)*(1+POWER((((AR152*24*60) / (AQ152*24*60) )),2))) + ((AQ152*24*60 )*-0.1 + (AO152*0.015)) +1,(((AQ152*24*60)/2)*(1+POWER((((AR152*24*60) / (AQ152*24*60 ))),2)))),""),"")</f>
        <v/>
      </c>
      <c r="AU152" s="90">
        <f>IF(AND(AS152&lt;&gt;"",AP152&lt;&gt;""),IF(AE152&lt;&gt;AE153,((AP152*24*60) / 2 ) * (1 + POWER(((AS152*24*60) / (AP152*24*60)),2)),""),"")</f>
        <v/>
      </c>
      <c r="AV152" s="90">
        <f>IF(AU152&lt;&gt;"",MAX(AT152,AU152),"")</f>
        <v/>
      </c>
      <c r="AW152" s="89">
        <f>IF(AM152&lt;&gt;"H. Sale Real",IF(AND(AM153&lt;&gt;"",LEFT(AG153,2)&lt;&gt;"Va"),IF(AND(AM152&lt;&gt;"",LEFT(AG152,2)&lt;&gt;"Va",AM152&lt;&gt;"H. Sale Real"),IF(AM153-AM152&lt;0.208333333333333,AM153-AM152,""),IF(AND(AM151&lt;&gt;"",LEFT(AG151,2)&lt;&gt;"Va",AM151&lt;&gt;"H. Sale Real"),IF(AM153-AM151&lt;0.208333333333333,AM153-AM151,""),IF(AND(AM150&lt;&gt;"",LEFT(AG150,2)&lt;&gt;"Va",AM150&lt;&gt;"H. Sale Real"),IF(AM153-AM150&lt;0.208333333333333,AM153-AM150,""),IF(AND(AM149&lt;&gt;"",LEFT(AG149,2)&lt;&gt;"Va",AM149&lt;&gt;"H. Sale Real"),IF(AM153-AM149&lt;0.208333333333333,AM153-AM149,""),IF(AND(AM148&lt;&gt;"",LEFT(AG148,2)&lt;&gt;"Va",AM148&lt;&gt;"H. Sale Real"),IF(AM153-AM148&lt;0.208333333333333,AM153-AM148,""),""))))),""),"")</f>
        <v/>
      </c>
      <c r="AX152" s="89">
        <f>IF(AK152&lt;&gt;"H. Sale Real",IF(AND(AK153&lt;&gt;"",LEFT(AG153,2)&lt;&gt;"Va"),IF(AND(AK152&lt;&gt;"",LEFT(AG152,2)&lt;&gt;"Va",AK152&lt;&gt;"H. Sale Real"),IF(AK153-AK152&lt;0.208333333333333,AK153-AK152,""),IF(AND(AK151&lt;&gt;"",LEFT(AG151,2)&lt;&gt;"Va",AK151&lt;&gt;"H. Sale Real"),IF(AK153-AK151&lt;0.208333333333333,AK153-AK151,""),IF(AND(AK150&lt;&gt;"",LEFT(AG150,2)&lt;&gt;"NC",AK150&lt;&gt;"H. Sale Real"),IF(AK153-AK150&lt;0.208333333333333,AK153-AK150,""),IF(AND(AK149&lt;&gt;"",LEFT(AG149,2)&lt;&gt;"Va",AK149&lt;&gt;"H. Sale Real"),IF(AK153-AK149&lt;0.208333333333333,AK153-AK149,""),IF(AND(AK148&lt;&gt;"",LEFT(AG148,2)&lt;&gt;"Va",AK148&lt;&gt;"H. Sale Real"),IF(AK153-AK148&lt;0.208333333333333,AK153-AK148,""),""))))),""),"")</f>
        <v/>
      </c>
      <c r="AY152" s="87" t="n"/>
      <c r="AZ152" s="89" t="n"/>
      <c r="BA152" s="87" t="n"/>
      <c r="BB152" s="89" t="n"/>
      <c r="BC152" s="91" t="n"/>
      <c r="BD152" s="122">
        <f>IF(AK152&lt;&gt;"",IF(AND(BD151&lt;&gt;"IE",AT152&lt;&gt;0,AV152&lt;&gt;""),IF(IFERROR((AT152/AV152),0) &lt;=1,IFERROR(AT152/AV152,""),1),""),"")</f>
        <v/>
      </c>
      <c r="BE152" s="93" t="n"/>
      <c r="BF152" s="105" t="n"/>
      <c r="FC152" t="inlineStr">
        <is>
          <t>Diccionario 1</t>
        </is>
      </c>
      <c r="FD152" s="15" t="n">
        <v>1149</v>
      </c>
      <c r="FE152" s="15" t="inlineStr">
        <is>
          <t>LDYECS314S0043925</t>
        </is>
      </c>
      <c r="FF152" s="15" t="inlineStr">
        <is>
          <t>MDN35025010120</t>
        </is>
      </c>
      <c r="FG152" s="15" t="inlineStr">
        <is>
          <t>Zhong Tong</t>
        </is>
      </c>
      <c r="FH152" s="15" t="inlineStr">
        <is>
          <t>Lck6122evg</t>
        </is>
      </c>
      <c r="FI152" s="15" t="inlineStr">
        <is>
          <t>ZHONGTONG</t>
        </is>
      </c>
      <c r="FJ152" s="15" t="inlineStr">
        <is>
          <t>LCK6122EVG</t>
        </is>
      </c>
      <c r="FK152" s="15" t="n">
        <v>2025</v>
      </c>
      <c r="FL152" s="15" t="inlineStr">
        <is>
          <t>B</t>
        </is>
      </c>
      <c r="FM152" s="15" t="inlineStr">
        <is>
          <t>SAN JOSE</t>
        </is>
      </c>
      <c r="FN152" s="15" t="inlineStr">
        <is>
          <t>San José 030 (José Besa 669)</t>
        </is>
      </c>
      <c r="FO152" s="15" t="inlineStr">
        <is>
          <t>San Bernardo</t>
        </is>
      </c>
      <c r="FP152" t="inlineStr">
        <is>
          <t>B</t>
        </is>
      </c>
      <c r="FS152" s="14" t="inlineStr">
        <is>
          <t>3037 / SFWB-87|</t>
        </is>
      </c>
      <c r="FT152" t="inlineStr">
        <is>
          <t>SFWB-87|</t>
        </is>
      </c>
      <c r="FU152" t="inlineStr">
        <is>
          <t>SFWB-87</t>
        </is>
      </c>
      <c r="FV152">
        <f>VLOOKUP(FU152,FD:FL,9,0)</f>
        <v/>
      </c>
      <c r="HA152" s="35" t="n">
        <v>149</v>
      </c>
      <c r="HB152" s="35" t="n">
        <v>146</v>
      </c>
    </row>
    <row r="153" ht="15.5" customHeight="1">
      <c r="A153" s="10">
        <f>HOUR(G153)+1</f>
        <v/>
      </c>
      <c r="B153" s="7" t="n"/>
      <c r="C153" s="7" t="n"/>
      <c r="D153" s="85">
        <f>IFERROR(
IF(AND(OR(Planilla!B153="C",Planilla!B153="c"), VLOOKUP(E153,FD:FP,13,0)="C"), "OK",IF(AND(OR(Planilla!B153="C",Planilla!B153="c"), OR(VLOOKUP(E153,FD:FP,13,0)="B", VLOOKUP(E153,FD:FP,13,0)="A")), "DEFICIT",IF(
AND(OR(Planilla!B153="B", Planilla!B153="BPAL"), VLOOKUP(E153,FD:FP,13,0)="B"), "OK",IF(AND(OR(Planilla!B153="B", Planilla!B153="BPAL"), VLOOKUP(E153,FD:FP,13,0)="A"), "DEFICIT",IF(AND(OR(Planilla!B153="B", Planilla!B153="BPAL"), VLOOKUP(E153,FD:FP,13,0)="C"), "SOBREOFERTA",IF(AND(Planilla!B153="A", VLOOKUP(E153,FD:FP,13,0)="A"), "OK",IF(
AND(Planilla!B153="A", OR(VLOOKUP(E153,FD:FP,13,0)="B", VLOOKUP(E153,FD:FP,13,0)="C")), "SOBREOFERTA",""
))))))),"")</f>
        <v/>
      </c>
      <c r="E153" s="8" t="n"/>
      <c r="F153" s="86" t="n"/>
      <c r="G153" s="87" t="n"/>
      <c r="H153" s="88">
        <f>IF(I153="","",IF(AND((I153-G153)&gt;=TIME(0,0,0),(I153-G153)&lt;TIME(0,3,0)),"OK",IF(AND((I153-G153)&gt;=TIME(0,3,0),(I153-G153)&lt;TIME(0,5,0)),"RETRASO DE 3-5 MIN",IF(AND((I153-G153)&gt;=TIME(0,5,0),(I153-G153)&lt;TIME(0,10,0)),"RETRASO DE 5-10 MIN",IF((I153-G153)&gt;=TIME(0,10,0),"RETRASO &gt;10 MIN", IF(AND((G153-I153)&gt;=TIME(0,0,0),(G153-I153)&lt;TIME(0,3,0)),"OK",IF((G153-I153)&gt;=TIME(0,3,0),"ADELANTADO")))))))</f>
        <v/>
      </c>
      <c r="I153" s="89" t="n"/>
      <c r="J153" s="89">
        <f>IF(A153&lt;&gt;"",HLOOKUP(VALUE(TEXT(G153,"h:mm:ss")),IF($C$6="Laboral",$FZ$4:$GX$227,IF($C$6="Sábado",$FZ$231:$GX$452,$FZ$456:$GX$656)),VLOOKUP($C$4,$HF$2:$HH$99,3,0)+IF(C$5="Ida",0,1),1),"")</f>
        <v/>
      </c>
      <c r="K153" s="89">
        <f>IF(A154&lt;&gt;A153,AVERAGEIF(A$9:A153,A153,J$9:J153),"")</f>
        <v/>
      </c>
      <c r="L153" s="89">
        <f>IFERROR(IF(A154&lt;&gt;A153,AVERAGEIF(A$9:A153,A153,S$9:S153),""),"")</f>
        <v/>
      </c>
      <c r="M153" s="89">
        <f>IFERROR(IF(A154&lt;&gt;A153,AVERAGEIF(A$9:A153,A153,T$9:T153),""),"")</f>
        <v/>
      </c>
      <c r="N153" s="89">
        <f t="array" ref="N153">IFERROR(IF(A154&lt;&gt;A153,_xlfn.STDEV.P(IF(A$9:A153=A153,T$9:T153)),""),"")</f>
        <v/>
      </c>
      <c r="O153" s="89">
        <f t="array" ref="O153">IFERROR(IF(A154&lt;&gt;A153,_xlfn.STDEV.P(IF(A$9:A153=A153,S$9:S153)),""),"")</f>
        <v/>
      </c>
      <c r="P153" s="90">
        <f>IFERROR(IF(A153&lt;&gt;A154,MAX((((M153*24*60)/2)*(1+POWER((((N153*24*60) / (M153*24*60) )),2))) + ((M153*24*60 )*-0.1 + (K153*0.015)) +1,(((M153*24*60)/2)*(1+POWER((((N153*24*60) / (M153*24*60 ))),2)))),""),"")</f>
        <v/>
      </c>
      <c r="Q153" s="90">
        <f>IF(AND(O153&lt;&gt;"",L153&lt;&gt;""),IF(A153&lt;&gt;A154,((L153*24*60) / 2 ) * (1 + POWER(((O153*24*60) / (L153*24*60)),2)),""),"")</f>
        <v/>
      </c>
      <c r="R153" s="90">
        <f>IF(Q153&lt;&gt;"",MAX(P153,Q153),"")</f>
        <v/>
      </c>
      <c r="S153" s="89">
        <f>IF(I153&lt;&gt;"H. Sale Real",IF(AND(I154&lt;&gt;"",LEFT(C154,2)&lt;&gt;"Va"),IF(AND(I153&lt;&gt;"",LEFT(C153,2)&lt;&gt;"Va",I153&lt;&gt;"H. Sale Real"),IF(I154-I153&lt;0.208333333333333,I154-I153,""),IF(AND(I152&lt;&gt;"",LEFT(C152,2)&lt;&gt;"Va",I152&lt;&gt;"H. Sale Real"),IF(I154-I152&lt;0.208333333333333,I154-I152,""),IF(AND(I151&lt;&gt;"",LEFT(C151,2)&lt;&gt;"Va",I151&lt;&gt;"H. Sale Real"),IF(I154-I151&lt;0.208333333333333,I154-I151,""),IF(AND(I150&lt;&gt;"",LEFT(C150,2)&lt;&gt;"Va",I150&lt;&gt;"H. Sale Real"),IF(I154-I150&lt;0.208333333333333,I154-I150,""),IF(AND(I149&lt;&gt;"",LEFT(C149,2)&lt;&gt;"Va",I149&lt;&gt;"H. Sale Real"),IF(I154-I149&lt;0.208333333333333,I154-I149,""),""))))),""),"")</f>
        <v/>
      </c>
      <c r="T153" s="89">
        <f>IF(G153&lt;&gt;"H. Sale Real",IF(AND(G154&lt;&gt;"",LEFT(C154,2)&lt;&gt;"Va"),IF(AND(G153&lt;&gt;"",LEFT(C153,2)&lt;&gt;"Va",G153&lt;&gt;"H. Sale Real"),IF(G154-G153&lt;0.208333333333333,G154-G153,""),IF(AND(G152&lt;&gt;"",LEFT(C152,2)&lt;&gt;"Va",G152&lt;&gt;"H. Sale Real"),IF(G154-G152&lt;0.208333333333333,G154-G152,""),IF(AND(G151&lt;&gt;"",LEFT(C151,2)&lt;&gt;"Va",G151&lt;&gt;"H. Sale Real"),IF(G154-G151&lt;0.208333333333333,G154-G151,""),IF(AND(G150&lt;&gt;"",LEFT(C150,2)&lt;&gt;"Va",G150&lt;&gt;"H. Sale Real"),IF(G154-G150&lt;0.208333333333333,G154-G150,""),IF(AND(G149&lt;&gt;"",LEFT(C149,2)&lt;&gt;"Va",G149&lt;&gt;"H. Sale Real"),IF(G154-G149&lt;0.208333333333333,G154-G149,""),""))))),""),"")</f>
        <v/>
      </c>
      <c r="U153" s="87" t="n"/>
      <c r="V153" s="89" t="n"/>
      <c r="W153" s="87" t="n"/>
      <c r="X153" s="89" t="n"/>
      <c r="Y153" s="91" t="n"/>
      <c r="Z153" s="122">
        <f>IF(G153&lt;&gt;"",IF(AND(Z152&lt;&gt;"IE",P153&lt;&gt;0,R153&lt;&gt;""),IF(IFERROR((P153/R153),0) &lt;=1,IFERROR(P153/R153,""),1),""),"")</f>
        <v/>
      </c>
      <c r="AA153" s="93" t="n"/>
      <c r="AB153" s="2" t="n"/>
      <c r="AE153" s="10">
        <f>HOUR(AK153)+1</f>
        <v/>
      </c>
      <c r="AF153" s="7" t="n"/>
      <c r="AG153" s="7" t="n"/>
      <c r="AH153" s="86" t="n"/>
      <c r="AI153" s="8" t="n"/>
      <c r="AJ153" s="86" t="n"/>
      <c r="AK153" s="87" t="n"/>
      <c r="AL153" s="88">
        <f>IF(AM153="","",IF(AND((AM153-AK153)&gt;=TIME(0,0,0),(AM153-AK153)&lt;TIME(0,3,0)),"OK",IF(AND((AM153-AK153)&gt;=TIME(0,3,0),(AM153-AK153)&lt;TIME(0,5,0)),"RETRASO DE 3-5 MIN",IF(AND((AM153-AK153)&gt;=TIME(0,5,0),(AM153-AK153)&lt;TIME(0,10,0)),"RETRASO DE 5-10 MIN",IF((AM153-AK153)&gt;=TIME(0,10,0),"RETRASO &gt;10 MIN", IF(AND((AK153-AM153)&gt;=TIME(0,0,0),(AK153-AM153)&lt;TIME(0,3,0)),"OK",IF((AK153-AM153)&gt;=TIME(0,3,0),"ADELANTADO")))))))</f>
        <v/>
      </c>
      <c r="AM153" s="91" t="n"/>
      <c r="AN153" s="89">
        <f>IF(AE153&lt;&gt;"",HLOOKUP(VALUE(TEXT(AK153,"h:mm:ss")),IF($C$6="Laboral",$FZ$4:$GX$227,IF($C$6="Sábado",$FZ$231:$GX$452,$FZ$456:$GX$656)),VLOOKUP($C$4,$HF$2:$HH$99,3,0)+IF(AG$5="Ida",0,1),1),"")</f>
        <v/>
      </c>
      <c r="AO153" s="89">
        <f>IF(AE154&lt;&gt;AE153,AVERAGEIF(AE$9:AE153,AE153,AN$9:AN153),"")</f>
        <v/>
      </c>
      <c r="AP153" s="89">
        <f>IFERROR(IF(AE154&lt;&gt;AE153,AVERAGEIF(AE$9:AE153,AE153,AW$9:AW153),""),"")</f>
        <v/>
      </c>
      <c r="AQ153" s="89">
        <f>IFERROR(IF(AE154&lt;&gt;AE153,AVERAGEIF(AE$9:AE153,AE153,AX$9:AX153),""),"")</f>
        <v/>
      </c>
      <c r="AR153" s="89">
        <f t="array" ref="AR153">IFERROR(IF(AE154&lt;&gt;AE153,_xlfn.STDEV.P(IF(AE$9:AE153=AE153,AX$9:AX153)),""),"")</f>
        <v/>
      </c>
      <c r="AS153" s="89">
        <f t="array" ref="AS153">IFERROR(IF(AE154&lt;&gt;AE153,_xlfn.STDEV.P(IF(AE$9:AE153=AE153,AW$9:AW153)),""),"")</f>
        <v/>
      </c>
      <c r="AT153" s="90">
        <f>IFERROR(IF(AE153&lt;&gt;AE154,MAX((((AQ153*24*60)/2)*(1+POWER((((AR153*24*60) / (AQ153*24*60) )),2))) + ((AQ153*24*60 )*-0.1 + (AO153*0.015)) +1,(((AQ153*24*60)/2)*(1+POWER((((AR153*24*60) / (AQ153*24*60 ))),2)))),""),"")</f>
        <v/>
      </c>
      <c r="AU153" s="90">
        <f>IF(AND(AS153&lt;&gt;"",AP153&lt;&gt;""),IF(AE153&lt;&gt;AE154,((AP153*24*60) / 2 ) * (1 + POWER(((AS153*24*60) / (AP153*24*60)),2)),""),"")</f>
        <v/>
      </c>
      <c r="AV153" s="90">
        <f>IF(AU153&lt;&gt;"",MAX(AT153,AU153),"")</f>
        <v/>
      </c>
      <c r="AW153" s="89">
        <f>IF(AM153&lt;&gt;"H. Sale Real",IF(AND(AM154&lt;&gt;"",LEFT(AG154,2)&lt;&gt;"Va"),IF(AND(AM153&lt;&gt;"",LEFT(AG153,2)&lt;&gt;"Va",AM153&lt;&gt;"H. Sale Real"),IF(AM154-AM153&lt;0.208333333333333,AM154-AM153,""),IF(AND(AM152&lt;&gt;"",LEFT(AG152,2)&lt;&gt;"Va",AM152&lt;&gt;"H. Sale Real"),IF(AM154-AM152&lt;0.208333333333333,AM154-AM152,""),IF(AND(AM151&lt;&gt;"",LEFT(AG151,2)&lt;&gt;"Va",AM151&lt;&gt;"H. Sale Real"),IF(AM154-AM151&lt;0.208333333333333,AM154-AM151,""),IF(AND(AM150&lt;&gt;"",LEFT(AG150,2)&lt;&gt;"Va",AM150&lt;&gt;"H. Sale Real"),IF(AM154-AM150&lt;0.208333333333333,AM154-AM150,""),IF(AND(AM149&lt;&gt;"",LEFT(AG149,2)&lt;&gt;"Va",AM149&lt;&gt;"H. Sale Real"),IF(AM154-AM149&lt;0.208333333333333,AM154-AM149,""),""))))),""),"")</f>
        <v/>
      </c>
      <c r="AX153" s="89">
        <f>IF(AK153&lt;&gt;"H. Sale Real",IF(AND(AK154&lt;&gt;"",LEFT(AG154,2)&lt;&gt;"Va"),IF(AND(AK153&lt;&gt;"",LEFT(AG153,2)&lt;&gt;"Va",AK153&lt;&gt;"H. Sale Real"),IF(AK154-AK153&lt;0.208333333333333,AK154-AK153,""),IF(AND(AK152&lt;&gt;"",LEFT(AG152,2)&lt;&gt;"Va",AK152&lt;&gt;"H. Sale Real"),IF(AK154-AK152&lt;0.208333333333333,AK154-AK152,""),IF(AND(AK151&lt;&gt;"",LEFT(AG151,2)&lt;&gt;"NC",AK151&lt;&gt;"H. Sale Real"),IF(AK154-AK151&lt;0.208333333333333,AK154-AK151,""),IF(AND(AK150&lt;&gt;"",LEFT(AG150,2)&lt;&gt;"Va",AK150&lt;&gt;"H. Sale Real"),IF(AK154-AK150&lt;0.208333333333333,AK154-AK150,""),IF(AND(AK149&lt;&gt;"",LEFT(AG149,2)&lt;&gt;"Va",AK149&lt;&gt;"H. Sale Real"),IF(AK154-AK149&lt;0.208333333333333,AK154-AK149,""),""))))),""),"")</f>
        <v/>
      </c>
      <c r="AY153" s="87" t="n"/>
      <c r="AZ153" s="89" t="n"/>
      <c r="BA153" s="87" t="n"/>
      <c r="BB153" s="89" t="n"/>
      <c r="BC153" s="91" t="n"/>
      <c r="BD153" s="122">
        <f>IF(AK153&lt;&gt;"",IF(AND(BD152&lt;&gt;"IE",AT153&lt;&gt;0,AV153&lt;&gt;""),IF(IFERROR((AT153/AV153),0) &lt;=1,IFERROR(AT153/AV153,""),1),""),"")</f>
        <v/>
      </c>
      <c r="BE153" s="93" t="n"/>
      <c r="BF153" s="105" t="n"/>
      <c r="FC153" t="inlineStr">
        <is>
          <t>Diccionario 1</t>
        </is>
      </c>
      <c r="FD153" s="15" t="n">
        <v>1150</v>
      </c>
      <c r="FE153" s="15" t="inlineStr">
        <is>
          <t>LDYECS315S0043898</t>
        </is>
      </c>
      <c r="FF153" s="15" t="inlineStr">
        <is>
          <t>MDN35025010184</t>
        </is>
      </c>
      <c r="FG153" s="15" t="inlineStr">
        <is>
          <t>Zhong Tong</t>
        </is>
      </c>
      <c r="FH153" s="15" t="inlineStr">
        <is>
          <t>Lck6122evg</t>
        </is>
      </c>
      <c r="FI153" s="15" t="inlineStr">
        <is>
          <t>ZHONGTONG</t>
        </is>
      </c>
      <c r="FJ153" s="15" t="inlineStr">
        <is>
          <t>LCK6122EVG</t>
        </is>
      </c>
      <c r="FK153" s="15" t="n">
        <v>2025</v>
      </c>
      <c r="FL153" s="15" t="inlineStr">
        <is>
          <t>B</t>
        </is>
      </c>
      <c r="FM153" s="15" t="inlineStr">
        <is>
          <t>SAN JOSE</t>
        </is>
      </c>
      <c r="FN153" s="15" t="inlineStr">
        <is>
          <t>San José 030 (José Besa 669)</t>
        </is>
      </c>
      <c r="FO153" s="15" t="inlineStr">
        <is>
          <t>San Bernardo</t>
        </is>
      </c>
      <c r="FP153" t="inlineStr">
        <is>
          <t>B</t>
        </is>
      </c>
      <c r="FS153" s="14" t="inlineStr">
        <is>
          <t>3037 / SFWB-87|</t>
        </is>
      </c>
      <c r="FT153" t="inlineStr">
        <is>
          <t>SFWB-87|</t>
        </is>
      </c>
      <c r="FU153" t="inlineStr">
        <is>
          <t>SFWB-87</t>
        </is>
      </c>
      <c r="FV153">
        <f>VLOOKUP(FU153,FD:FL,9,0)</f>
        <v/>
      </c>
      <c r="HA153" s="35" t="n">
        <v>150</v>
      </c>
      <c r="HB153" s="35" t="n">
        <v>147</v>
      </c>
    </row>
    <row r="154" ht="15.5" customHeight="1">
      <c r="A154" s="10">
        <f>HOUR(G154)+1</f>
        <v/>
      </c>
      <c r="B154" s="7" t="n"/>
      <c r="C154" s="7" t="n"/>
      <c r="D154" s="85">
        <f>IFERROR(
IF(AND(OR(Planilla!B154="C",Planilla!B154="c"), VLOOKUP(E154,FD:FP,13,0)="C"), "OK",IF(AND(OR(Planilla!B154="C",Planilla!B154="c"), OR(VLOOKUP(E154,FD:FP,13,0)="B", VLOOKUP(E154,FD:FP,13,0)="A")), "DEFICIT",IF(
AND(OR(Planilla!B154="B", Planilla!B154="BPAL"), VLOOKUP(E154,FD:FP,13,0)="B"), "OK",IF(AND(OR(Planilla!B154="B", Planilla!B154="BPAL"), VLOOKUP(E154,FD:FP,13,0)="A"), "DEFICIT",IF(AND(OR(Planilla!B154="B", Planilla!B154="BPAL"), VLOOKUP(E154,FD:FP,13,0)="C"), "SOBREOFERTA",IF(AND(Planilla!B154="A", VLOOKUP(E154,FD:FP,13,0)="A"), "OK",IF(
AND(Planilla!B154="A", OR(VLOOKUP(E154,FD:FP,13,0)="B", VLOOKUP(E154,FD:FP,13,0)="C")), "SOBREOFERTA",""
))))))),"")</f>
        <v/>
      </c>
      <c r="E154" s="8" t="n"/>
      <c r="F154" s="86" t="n"/>
      <c r="G154" s="87" t="n"/>
      <c r="H154" s="88">
        <f>IF(I154="","",IF(AND((I154-G154)&gt;=TIME(0,0,0),(I154-G154)&lt;TIME(0,3,0)),"OK",IF(AND((I154-G154)&gt;=TIME(0,3,0),(I154-G154)&lt;TIME(0,5,0)),"RETRASO DE 3-5 MIN",IF(AND((I154-G154)&gt;=TIME(0,5,0),(I154-G154)&lt;TIME(0,10,0)),"RETRASO DE 5-10 MIN",IF((I154-G154)&gt;=TIME(0,10,0),"RETRASO &gt;10 MIN", IF(AND((G154-I154)&gt;=TIME(0,0,0),(G154-I154)&lt;TIME(0,3,0)),"OK",IF((G154-I154)&gt;=TIME(0,3,0),"ADELANTADO")))))))</f>
        <v/>
      </c>
      <c r="I154" s="89" t="n"/>
      <c r="J154" s="89">
        <f>IF(A154&lt;&gt;"",HLOOKUP(VALUE(TEXT(G154,"h:mm:ss")),IF($C$6="Laboral",$FZ$4:$GX$227,IF($C$6="Sábado",$FZ$231:$GX$452,$FZ$456:$GX$656)),VLOOKUP($C$4,$HF$2:$HH$99,3,0)+IF(C$5="Ida",0,1),1),"")</f>
        <v/>
      </c>
      <c r="K154" s="89">
        <f>IF(A155&lt;&gt;A154,AVERAGEIF(A$9:A154,A154,J$9:J154),"")</f>
        <v/>
      </c>
      <c r="L154" s="89">
        <f>IFERROR(IF(A155&lt;&gt;A154,AVERAGEIF(A$9:A154,A154,S$9:S154),""),"")</f>
        <v/>
      </c>
      <c r="M154" s="89">
        <f>IFERROR(IF(A155&lt;&gt;A154,AVERAGEIF(A$9:A154,A154,T$9:T154),""),"")</f>
        <v/>
      </c>
      <c r="N154" s="89">
        <f t="array" ref="N154">IFERROR(IF(A155&lt;&gt;A154,_xlfn.STDEV.P(IF(A$9:A154=A154,T$9:T154)),""),"")</f>
        <v/>
      </c>
      <c r="O154" s="89">
        <f t="array" ref="O154">IFERROR(IF(A155&lt;&gt;A154,_xlfn.STDEV.P(IF(A$9:A154=A154,S$9:S154)),""),"")</f>
        <v/>
      </c>
      <c r="P154" s="90">
        <f>IFERROR(IF(A154&lt;&gt;A155,MAX((((M154*24*60)/2)*(1+POWER((((N154*24*60) / (M154*24*60) )),2))) + ((M154*24*60 )*-0.1 + (K154*0.015)) +1,(((M154*24*60)/2)*(1+POWER((((N154*24*60) / (M154*24*60 ))),2)))),""),"")</f>
        <v/>
      </c>
      <c r="Q154" s="90">
        <f>IF(AND(O154&lt;&gt;"",L154&lt;&gt;""),IF(A154&lt;&gt;A155,((L154*24*60) / 2 ) * (1 + POWER(((O154*24*60) / (L154*24*60)),2)),""),"")</f>
        <v/>
      </c>
      <c r="R154" s="90">
        <f>IF(Q154&lt;&gt;"",MAX(P154,Q154),"")</f>
        <v/>
      </c>
      <c r="S154" s="89">
        <f>IF(I154&lt;&gt;"H. Sale Real",IF(AND(I155&lt;&gt;"",LEFT(C155,2)&lt;&gt;"Va"),IF(AND(I154&lt;&gt;"",LEFT(C154,2)&lt;&gt;"Va",I154&lt;&gt;"H. Sale Real"),IF(I155-I154&lt;0.208333333333333,I155-I154,""),IF(AND(I153&lt;&gt;"",LEFT(C153,2)&lt;&gt;"Va",I153&lt;&gt;"H. Sale Real"),IF(I155-I153&lt;0.208333333333333,I155-I153,""),IF(AND(I152&lt;&gt;"",LEFT(C152,2)&lt;&gt;"Va",I152&lt;&gt;"H. Sale Real"),IF(I155-I152&lt;0.208333333333333,I155-I152,""),IF(AND(I151&lt;&gt;"",LEFT(C151,2)&lt;&gt;"Va",I151&lt;&gt;"H. Sale Real"),IF(I155-I151&lt;0.208333333333333,I155-I151,""),IF(AND(I150&lt;&gt;"",LEFT(C150,2)&lt;&gt;"Va",I150&lt;&gt;"H. Sale Real"),IF(I155-I150&lt;0.208333333333333,I155-I150,""),""))))),""),"")</f>
        <v/>
      </c>
      <c r="T154" s="89">
        <f>IF(G154&lt;&gt;"H. Sale Real",IF(AND(G155&lt;&gt;"",LEFT(C155,2)&lt;&gt;"Va"),IF(AND(G154&lt;&gt;"",LEFT(C154,2)&lt;&gt;"Va",G154&lt;&gt;"H. Sale Real"),IF(G155-G154&lt;0.208333333333333,G155-G154,""),IF(AND(G153&lt;&gt;"",LEFT(C153,2)&lt;&gt;"Va",G153&lt;&gt;"H. Sale Real"),IF(G155-G153&lt;0.208333333333333,G155-G153,""),IF(AND(G152&lt;&gt;"",LEFT(C152,2)&lt;&gt;"Va",G152&lt;&gt;"H. Sale Real"),IF(G155-G152&lt;0.208333333333333,G155-G152,""),IF(AND(G151&lt;&gt;"",LEFT(C151,2)&lt;&gt;"Va",G151&lt;&gt;"H. Sale Real"),IF(G155-G151&lt;0.208333333333333,G155-G151,""),IF(AND(G150&lt;&gt;"",LEFT(C150,2)&lt;&gt;"Va",G150&lt;&gt;"H. Sale Real"),IF(G155-G150&lt;0.208333333333333,G155-G150,""),""))))),""),"")</f>
        <v/>
      </c>
      <c r="U154" s="87" t="n"/>
      <c r="V154" s="89" t="n"/>
      <c r="W154" s="87" t="n"/>
      <c r="X154" s="89" t="n"/>
      <c r="Y154" s="91" t="n"/>
      <c r="Z154" s="122">
        <f>IF(G154&lt;&gt;"",IF(AND(Z153&lt;&gt;"IE",P154&lt;&gt;0,R154&lt;&gt;""),IF(IFERROR((P154/R154),0) &lt;=1,IFERROR(P154/R154,""),1),""),"")</f>
        <v/>
      </c>
      <c r="AA154" s="93" t="n"/>
      <c r="AB154" s="2" t="n"/>
      <c r="AE154" s="10">
        <f>HOUR(AK154)+1</f>
        <v/>
      </c>
      <c r="AF154" s="7" t="n"/>
      <c r="AG154" s="7" t="n"/>
      <c r="AH154" s="86" t="n"/>
      <c r="AI154" s="8" t="n"/>
      <c r="AJ154" s="86" t="n"/>
      <c r="AK154" s="87" t="n"/>
      <c r="AL154" s="88">
        <f>IF(AM154="","",IF(AND((AM154-AK154)&gt;=TIME(0,0,0),(AM154-AK154)&lt;TIME(0,3,0)),"OK",IF(AND((AM154-AK154)&gt;=TIME(0,3,0),(AM154-AK154)&lt;TIME(0,5,0)),"RETRASO DE 3-5 MIN",IF(AND((AM154-AK154)&gt;=TIME(0,5,0),(AM154-AK154)&lt;TIME(0,10,0)),"RETRASO DE 5-10 MIN",IF((AM154-AK154)&gt;=TIME(0,10,0),"RETRASO &gt;10 MIN", IF(AND((AK154-AM154)&gt;=TIME(0,0,0),(AK154-AM154)&lt;TIME(0,3,0)),"OK",IF((AK154-AM154)&gt;=TIME(0,3,0),"ADELANTADO")))))))</f>
        <v/>
      </c>
      <c r="AM154" s="91" t="n"/>
      <c r="AN154" s="89">
        <f>IF(AE154&lt;&gt;"",HLOOKUP(VALUE(TEXT(AK154,"h:mm:ss")),IF($C$6="Laboral",$FZ$4:$GX$227,IF($C$6="Sábado",$FZ$231:$GX$452,$FZ$456:$GX$656)),VLOOKUP($C$4,$HF$2:$HH$99,3,0)+IF(AG$5="Ida",0,1),1),"")</f>
        <v/>
      </c>
      <c r="AO154" s="89">
        <f>IF(AE155&lt;&gt;AE154,AVERAGEIF(AE$9:AE154,AE154,AN$9:AN154),"")</f>
        <v/>
      </c>
      <c r="AP154" s="89">
        <f>IFERROR(IF(AE155&lt;&gt;AE154,AVERAGEIF(AE$9:AE154,AE154,AW$9:AW154),""),"")</f>
        <v/>
      </c>
      <c r="AQ154" s="89">
        <f>IFERROR(IF(AE155&lt;&gt;AE154,AVERAGEIF(AE$9:AE154,AE154,AX$9:AX154),""),"")</f>
        <v/>
      </c>
      <c r="AR154" s="89">
        <f t="array" ref="AR154">IFERROR(IF(AE155&lt;&gt;AE154,_xlfn.STDEV.P(IF(AE$9:AE154=AE154,AX$9:AX154)),""),"")</f>
        <v/>
      </c>
      <c r="AS154" s="89">
        <f t="array" ref="AS154">IFERROR(IF(AE155&lt;&gt;AE154,_xlfn.STDEV.P(IF(AE$9:AE154=AE154,AW$9:AW154)),""),"")</f>
        <v/>
      </c>
      <c r="AT154" s="90">
        <f>IFERROR(IF(AE154&lt;&gt;AE155,MAX((((AQ154*24*60)/2)*(1+POWER((((AR154*24*60) / (AQ154*24*60) )),2))) + ((AQ154*24*60 )*-0.1 + (AO154*0.015)) +1,(((AQ154*24*60)/2)*(1+POWER((((AR154*24*60) / (AQ154*24*60 ))),2)))),""),"")</f>
        <v/>
      </c>
      <c r="AU154" s="90">
        <f>IF(AND(AS154&lt;&gt;"",AP154&lt;&gt;""),IF(AE154&lt;&gt;AE155,((AP154*24*60) / 2 ) * (1 + POWER(((AS154*24*60) / (AP154*24*60)),2)),""),"")</f>
        <v/>
      </c>
      <c r="AV154" s="90">
        <f>IF(AU154&lt;&gt;"",MAX(AT154,AU154),"")</f>
        <v/>
      </c>
      <c r="AW154" s="89">
        <f>IF(AM154&lt;&gt;"H. Sale Real",IF(AND(AM155&lt;&gt;"",LEFT(AG155,2)&lt;&gt;"Va"),IF(AND(AM154&lt;&gt;"",LEFT(AG154,2)&lt;&gt;"Va",AM154&lt;&gt;"H. Sale Real"),IF(AM155-AM154&lt;0.208333333333333,AM155-AM154,""),IF(AND(AM153&lt;&gt;"",LEFT(AG153,2)&lt;&gt;"Va",AM153&lt;&gt;"H. Sale Real"),IF(AM155-AM153&lt;0.208333333333333,AM155-AM153,""),IF(AND(AM152&lt;&gt;"",LEFT(AG152,2)&lt;&gt;"Va",AM152&lt;&gt;"H. Sale Real"),IF(AM155-AM152&lt;0.208333333333333,AM155-AM152,""),IF(AND(AM151&lt;&gt;"",LEFT(AG151,2)&lt;&gt;"Va",AM151&lt;&gt;"H. Sale Real"),IF(AM155-AM151&lt;0.208333333333333,AM155-AM151,""),IF(AND(AM150&lt;&gt;"",LEFT(AG150,2)&lt;&gt;"Va",AM150&lt;&gt;"H. Sale Real"),IF(AM155-AM150&lt;0.208333333333333,AM155-AM150,""),""))))),""),"")</f>
        <v/>
      </c>
      <c r="AX154" s="89">
        <f>IF(AK154&lt;&gt;"H. Sale Real",IF(AND(AK155&lt;&gt;"",LEFT(AG155,2)&lt;&gt;"Va"),IF(AND(AK154&lt;&gt;"",LEFT(AG154,2)&lt;&gt;"Va",AK154&lt;&gt;"H. Sale Real"),IF(AK155-AK154&lt;0.208333333333333,AK155-AK154,""),IF(AND(AK153&lt;&gt;"",LEFT(AG153,2)&lt;&gt;"Va",AK153&lt;&gt;"H. Sale Real"),IF(AK155-AK153&lt;0.208333333333333,AK155-AK153,""),IF(AND(AK152&lt;&gt;"",LEFT(AG152,2)&lt;&gt;"NC",AK152&lt;&gt;"H. Sale Real"),IF(AK155-AK152&lt;0.208333333333333,AK155-AK152,""),IF(AND(AK151&lt;&gt;"",LEFT(AG151,2)&lt;&gt;"Va",AK151&lt;&gt;"H. Sale Real"),IF(AK155-AK151&lt;0.208333333333333,AK155-AK151,""),IF(AND(AK150&lt;&gt;"",LEFT(AG150,2)&lt;&gt;"Va",AK150&lt;&gt;"H. Sale Real"),IF(AK155-AK150&lt;0.208333333333333,AK155-AK150,""),""))))),""),"")</f>
        <v/>
      </c>
      <c r="AY154" s="87" t="n"/>
      <c r="AZ154" s="89" t="n"/>
      <c r="BA154" s="87" t="n"/>
      <c r="BB154" s="89" t="n"/>
      <c r="BC154" s="91" t="n"/>
      <c r="BD154" s="122">
        <f>IF(AK154&lt;&gt;"",IF(AND(BD153&lt;&gt;"IE",AT154&lt;&gt;0,AV154&lt;&gt;""),IF(IFERROR((AT154/AV154),0) &lt;=1,IFERROR(AT154/AV154,""),1),""),"")</f>
        <v/>
      </c>
      <c r="BE154" s="93" t="n"/>
      <c r="BF154" s="105" t="n"/>
      <c r="FC154" t="inlineStr">
        <is>
          <t>Diccionario 1</t>
        </is>
      </c>
      <c r="FD154" s="15" t="n">
        <v>1151</v>
      </c>
      <c r="FE154" s="15" t="inlineStr">
        <is>
          <t>LDYECS316S0043909</t>
        </is>
      </c>
      <c r="FF154" s="15" t="inlineStr">
        <is>
          <t>MDN35025010068</t>
        </is>
      </c>
      <c r="FG154" s="15" t="inlineStr">
        <is>
          <t>Zhong Tong</t>
        </is>
      </c>
      <c r="FH154" s="15" t="inlineStr">
        <is>
          <t>Lck6122evg</t>
        </is>
      </c>
      <c r="FI154" s="15" t="inlineStr">
        <is>
          <t>ZHONGTONG</t>
        </is>
      </c>
      <c r="FJ154" s="15" t="inlineStr">
        <is>
          <t>LCK6122EVG</t>
        </is>
      </c>
      <c r="FK154" s="15" t="n">
        <v>2025</v>
      </c>
      <c r="FL154" s="15" t="inlineStr">
        <is>
          <t>B</t>
        </is>
      </c>
      <c r="FM154" s="15" t="inlineStr">
        <is>
          <t>SAN JOSE</t>
        </is>
      </c>
      <c r="FN154" s="15" t="inlineStr">
        <is>
          <t>San José 030 (José Besa 669)</t>
        </is>
      </c>
      <c r="FO154" s="15" t="inlineStr">
        <is>
          <t>San Bernardo</t>
        </is>
      </c>
      <c r="FP154" t="inlineStr">
        <is>
          <t>B</t>
        </is>
      </c>
      <c r="FS154" s="14" t="inlineStr">
        <is>
          <t>3038 / SFWB-90|</t>
        </is>
      </c>
      <c r="FT154" t="inlineStr">
        <is>
          <t>SFWB-90|</t>
        </is>
      </c>
      <c r="FU154" t="inlineStr">
        <is>
          <t>SFWB-90</t>
        </is>
      </c>
      <c r="FV154">
        <f>VLOOKUP(FU154,FD:FL,9,0)</f>
        <v/>
      </c>
      <c r="HA154" s="35" t="n">
        <v>151</v>
      </c>
      <c r="HB154" s="35" t="n">
        <v>148</v>
      </c>
    </row>
    <row r="155" ht="15.5" customHeight="1">
      <c r="A155" s="10">
        <f>HOUR(G155)+1</f>
        <v/>
      </c>
      <c r="B155" s="7" t="n"/>
      <c r="C155" s="7" t="n"/>
      <c r="D155" s="85">
        <f>IFERROR(
IF(AND(OR(Planilla!B155="C",Planilla!B155="c"), VLOOKUP(E155,FD:FP,13,0)="C"), "OK",IF(AND(OR(Planilla!B155="C",Planilla!B155="c"), OR(VLOOKUP(E155,FD:FP,13,0)="B", VLOOKUP(E155,FD:FP,13,0)="A")), "DEFICIT",IF(
AND(OR(Planilla!B155="B", Planilla!B155="BPAL"), VLOOKUP(E155,FD:FP,13,0)="B"), "OK",IF(AND(OR(Planilla!B155="B", Planilla!B155="BPAL"), VLOOKUP(E155,FD:FP,13,0)="A"), "DEFICIT",IF(AND(OR(Planilla!B155="B", Planilla!B155="BPAL"), VLOOKUP(E155,FD:FP,13,0)="C"), "SOBREOFERTA",IF(AND(Planilla!B155="A", VLOOKUP(E155,FD:FP,13,0)="A"), "OK",IF(
AND(Planilla!B155="A", OR(VLOOKUP(E155,FD:FP,13,0)="B", VLOOKUP(E155,FD:FP,13,0)="C")), "SOBREOFERTA",""
))))))),"")</f>
        <v/>
      </c>
      <c r="E155" s="8" t="n"/>
      <c r="F155" s="86" t="n"/>
      <c r="G155" s="87" t="n"/>
      <c r="H155" s="88">
        <f>IF(I155="","",IF(AND((I155-G155)&gt;=TIME(0,0,0),(I155-G155)&lt;TIME(0,3,0)),"OK",IF(AND((I155-G155)&gt;=TIME(0,3,0),(I155-G155)&lt;TIME(0,5,0)),"RETRASO DE 3-5 MIN",IF(AND((I155-G155)&gt;=TIME(0,5,0),(I155-G155)&lt;TIME(0,10,0)),"RETRASO DE 5-10 MIN",IF((I155-G155)&gt;=TIME(0,10,0),"RETRASO &gt;10 MIN", IF(AND((G155-I155)&gt;=TIME(0,0,0),(G155-I155)&lt;TIME(0,3,0)),"OK",IF((G155-I155)&gt;=TIME(0,3,0),"ADELANTADO")))))))</f>
        <v/>
      </c>
      <c r="I155" s="89" t="n"/>
      <c r="J155" s="89">
        <f>IF(A155&lt;&gt;"",HLOOKUP(VALUE(TEXT(G155,"h:mm:ss")),IF($C$6="Laboral",$FZ$4:$GX$227,IF($C$6="Sábado",$FZ$231:$GX$452,$FZ$456:$GX$656)),VLOOKUP($C$4,$HF$2:$HH$99,3,0)+IF(C$5="Ida",0,1),1),"")</f>
        <v/>
      </c>
      <c r="K155" s="89">
        <f>IF(A156&lt;&gt;A155,AVERAGEIF(A$9:A155,A155,J$9:J155),"")</f>
        <v/>
      </c>
      <c r="L155" s="89">
        <f>IFERROR(IF(A156&lt;&gt;A155,AVERAGEIF(A$9:A155,A155,S$9:S155),""),"")</f>
        <v/>
      </c>
      <c r="M155" s="89">
        <f>IFERROR(IF(A156&lt;&gt;A155,AVERAGEIF(A$9:A155,A155,T$9:T155),""),"")</f>
        <v/>
      </c>
      <c r="N155" s="89">
        <f t="array" ref="N155">IFERROR(IF(A156&lt;&gt;A155,_xlfn.STDEV.P(IF(A$9:A155=A155,T$9:T155)),""),"")</f>
        <v/>
      </c>
      <c r="O155" s="89">
        <f t="array" ref="O155">IFERROR(IF(A156&lt;&gt;A155,_xlfn.STDEV.P(IF(A$9:A155=A155,S$9:S155)),""),"")</f>
        <v/>
      </c>
      <c r="P155" s="90">
        <f>IFERROR(IF(A155&lt;&gt;A156,MAX((((M155*24*60)/2)*(1+POWER((((N155*24*60) / (M155*24*60) )),2))) + ((M155*24*60 )*-0.1 + (K155*0.015)) +1,(((M155*24*60)/2)*(1+POWER((((N155*24*60) / (M155*24*60 ))),2)))),""),"")</f>
        <v/>
      </c>
      <c r="Q155" s="90">
        <f>IF(AND(O155&lt;&gt;"",L155&lt;&gt;""),IF(A155&lt;&gt;A156,((L155*24*60) / 2 ) * (1 + POWER(((O155*24*60) / (L155*24*60)),2)),""),"")</f>
        <v/>
      </c>
      <c r="R155" s="90">
        <f>IF(Q155&lt;&gt;"",MAX(P155,Q155),"")</f>
        <v/>
      </c>
      <c r="S155" s="89">
        <f>IF(I155&lt;&gt;"H. Sale Real",IF(AND(I156&lt;&gt;"",LEFT(C156,2)&lt;&gt;"Va"),IF(AND(I155&lt;&gt;"",LEFT(C155,2)&lt;&gt;"Va",I155&lt;&gt;"H. Sale Real"),IF(I156-I155&lt;0.208333333333333,I156-I155,""),IF(AND(I154&lt;&gt;"",LEFT(C154,2)&lt;&gt;"Va",I154&lt;&gt;"H. Sale Real"),IF(I156-I154&lt;0.208333333333333,I156-I154,""),IF(AND(I153&lt;&gt;"",LEFT(C153,2)&lt;&gt;"Va",I153&lt;&gt;"H. Sale Real"),IF(I156-I153&lt;0.208333333333333,I156-I153,""),IF(AND(I152&lt;&gt;"",LEFT(C152,2)&lt;&gt;"Va",I152&lt;&gt;"H. Sale Real"),IF(I156-I152&lt;0.208333333333333,I156-I152,""),IF(AND(I151&lt;&gt;"",LEFT(C151,2)&lt;&gt;"Va",I151&lt;&gt;"H. Sale Real"),IF(I156-I151&lt;0.208333333333333,I156-I151,""),""))))),""),"")</f>
        <v/>
      </c>
      <c r="T155" s="89">
        <f>IF(G155&lt;&gt;"H. Sale Real",IF(AND(G156&lt;&gt;"",LEFT(C156,2)&lt;&gt;"Va"),IF(AND(G155&lt;&gt;"",LEFT(C155,2)&lt;&gt;"Va",G155&lt;&gt;"H. Sale Real"),IF(G156-G155&lt;0.208333333333333,G156-G155,""),IF(AND(G154&lt;&gt;"",LEFT(C154,2)&lt;&gt;"Va",G154&lt;&gt;"H. Sale Real"),IF(G156-G154&lt;0.208333333333333,G156-G154,""),IF(AND(G153&lt;&gt;"",LEFT(C153,2)&lt;&gt;"Va",G153&lt;&gt;"H. Sale Real"),IF(G156-G153&lt;0.208333333333333,G156-G153,""),IF(AND(G152&lt;&gt;"",LEFT(C152,2)&lt;&gt;"Va",G152&lt;&gt;"H. Sale Real"),IF(G156-G152&lt;0.208333333333333,G156-G152,""),IF(AND(G151&lt;&gt;"",LEFT(C151,2)&lt;&gt;"Va",G151&lt;&gt;"H. Sale Real"),IF(G156-G151&lt;0.208333333333333,G156-G151,""),""))))),""),"")</f>
        <v/>
      </c>
      <c r="U155" s="87" t="n"/>
      <c r="V155" s="89" t="n"/>
      <c r="W155" s="87" t="n"/>
      <c r="X155" s="89" t="n"/>
      <c r="Y155" s="91" t="n"/>
      <c r="Z155" s="122">
        <f>IF(G155&lt;&gt;"",IF(AND(Z154&lt;&gt;"IE",P155&lt;&gt;0,R155&lt;&gt;""),IF(IFERROR((P155/R155),0) &lt;=1,IFERROR(P155/R155,""),1),""),"")</f>
        <v/>
      </c>
      <c r="AA155" s="93" t="n"/>
      <c r="AB155" s="2" t="n"/>
      <c r="AE155" s="10">
        <f>HOUR(AK155)+1</f>
        <v/>
      </c>
      <c r="AF155" s="7" t="n"/>
      <c r="AG155" s="7" t="n"/>
      <c r="AH155" s="86" t="n"/>
      <c r="AI155" s="8" t="n"/>
      <c r="AJ155" s="86" t="n"/>
      <c r="AK155" s="87" t="n"/>
      <c r="AL155" s="88">
        <f>IF(AM155="","",IF(AND((AM155-AK155)&gt;=TIME(0,0,0),(AM155-AK155)&lt;TIME(0,3,0)),"OK",IF(AND((AM155-AK155)&gt;=TIME(0,3,0),(AM155-AK155)&lt;TIME(0,5,0)),"RETRASO DE 3-5 MIN",IF(AND((AM155-AK155)&gt;=TIME(0,5,0),(AM155-AK155)&lt;TIME(0,10,0)),"RETRASO DE 5-10 MIN",IF((AM155-AK155)&gt;=TIME(0,10,0),"RETRASO &gt;10 MIN", IF(AND((AK155-AM155)&gt;=TIME(0,0,0),(AK155-AM155)&lt;TIME(0,3,0)),"OK",IF((AK155-AM155)&gt;=TIME(0,3,0),"ADELANTADO")))))))</f>
        <v/>
      </c>
      <c r="AM155" s="91" t="n"/>
      <c r="AN155" s="89">
        <f>IF(AE155&lt;&gt;"",HLOOKUP(VALUE(TEXT(AK155,"h:mm:ss")),IF($C$6="Laboral",$FZ$4:$GX$227,IF($C$6="Sábado",$FZ$231:$GX$452,$FZ$456:$GX$656)),VLOOKUP($C$4,$HF$2:$HH$99,3,0)+IF(AG$5="Ida",0,1),1),"")</f>
        <v/>
      </c>
      <c r="AO155" s="89">
        <f>IF(AE156&lt;&gt;AE155,AVERAGEIF(AE$9:AE155,AE155,AN$9:AN155),"")</f>
        <v/>
      </c>
      <c r="AP155" s="89">
        <f>IFERROR(IF(AE156&lt;&gt;AE155,AVERAGEIF(AE$9:AE155,AE155,AW$9:AW155),""),"")</f>
        <v/>
      </c>
      <c r="AQ155" s="89">
        <f>IFERROR(IF(AE156&lt;&gt;AE155,AVERAGEIF(AE$9:AE155,AE155,AX$9:AX155),""),"")</f>
        <v/>
      </c>
      <c r="AR155" s="89">
        <f t="array" ref="AR155">IFERROR(IF(AE156&lt;&gt;AE155,_xlfn.STDEV.P(IF(AE$9:AE155=AE155,AX$9:AX155)),""),"")</f>
        <v/>
      </c>
      <c r="AS155" s="89">
        <f t="array" ref="AS155">IFERROR(IF(AE156&lt;&gt;AE155,_xlfn.STDEV.P(IF(AE$9:AE155=AE155,AW$9:AW155)),""),"")</f>
        <v/>
      </c>
      <c r="AT155" s="90">
        <f>IFERROR(IF(AE155&lt;&gt;AE156,MAX((((AQ155*24*60)/2)*(1+POWER((((AR155*24*60) / (AQ155*24*60) )),2))) + ((AQ155*24*60 )*-0.1 + (AO155*0.015)) +1,(((AQ155*24*60)/2)*(1+POWER((((AR155*24*60) / (AQ155*24*60 ))),2)))),""),"")</f>
        <v/>
      </c>
      <c r="AU155" s="90">
        <f>IF(AND(AS155&lt;&gt;"",AP155&lt;&gt;""),IF(AE155&lt;&gt;AE156,((AP155*24*60) / 2 ) * (1 + POWER(((AS155*24*60) / (AP155*24*60)),2)),""),"")</f>
        <v/>
      </c>
      <c r="AV155" s="90">
        <f>IF(AU155&lt;&gt;"",MAX(AT155,AU155),"")</f>
        <v/>
      </c>
      <c r="AW155" s="89">
        <f>IF(AM155&lt;&gt;"H. Sale Real",IF(AND(AM156&lt;&gt;"",LEFT(AG156,2)&lt;&gt;"Va"),IF(AND(AM155&lt;&gt;"",LEFT(AG155,2)&lt;&gt;"Va",AM155&lt;&gt;"H. Sale Real"),IF(AM156-AM155&lt;0.208333333333333,AM156-AM155,""),IF(AND(AM154&lt;&gt;"",LEFT(AG154,2)&lt;&gt;"Va",AM154&lt;&gt;"H. Sale Real"),IF(AM156-AM154&lt;0.208333333333333,AM156-AM154,""),IF(AND(AM153&lt;&gt;"",LEFT(AG153,2)&lt;&gt;"Va",AM153&lt;&gt;"H. Sale Real"),IF(AM156-AM153&lt;0.208333333333333,AM156-AM153,""),IF(AND(AM152&lt;&gt;"",LEFT(AG152,2)&lt;&gt;"Va",AM152&lt;&gt;"H. Sale Real"),IF(AM156-AM152&lt;0.208333333333333,AM156-AM152,""),IF(AND(AM151&lt;&gt;"",LEFT(AG151,2)&lt;&gt;"Va",AM151&lt;&gt;"H. Sale Real"),IF(AM156-AM151&lt;0.208333333333333,AM156-AM151,""),""))))),""),"")</f>
        <v/>
      </c>
      <c r="AX155" s="89">
        <f>IF(AK155&lt;&gt;"H. Sale Real",IF(AND(AK156&lt;&gt;"",LEFT(AG156,2)&lt;&gt;"Va"),IF(AND(AK155&lt;&gt;"",LEFT(AG155,2)&lt;&gt;"Va",AK155&lt;&gt;"H. Sale Real"),IF(AK156-AK155&lt;0.208333333333333,AK156-AK155,""),IF(AND(AK154&lt;&gt;"",LEFT(AG154,2)&lt;&gt;"Va",AK154&lt;&gt;"H. Sale Real"),IF(AK156-AK154&lt;0.208333333333333,AK156-AK154,""),IF(AND(AK153&lt;&gt;"",LEFT(AG153,2)&lt;&gt;"NC",AK153&lt;&gt;"H. Sale Real"),IF(AK156-AK153&lt;0.208333333333333,AK156-AK153,""),IF(AND(AK152&lt;&gt;"",LEFT(AG152,2)&lt;&gt;"Va",AK152&lt;&gt;"H. Sale Real"),IF(AK156-AK152&lt;0.208333333333333,AK156-AK152,""),IF(AND(AK151&lt;&gt;"",LEFT(AG151,2)&lt;&gt;"Va",AK151&lt;&gt;"H. Sale Real"),IF(AK156-AK151&lt;0.208333333333333,AK156-AK151,""),""))))),""),"")</f>
        <v/>
      </c>
      <c r="AY155" s="87" t="n"/>
      <c r="AZ155" s="89" t="n"/>
      <c r="BA155" s="87" t="n"/>
      <c r="BB155" s="89" t="n"/>
      <c r="BC155" s="91" t="n"/>
      <c r="BD155" s="122">
        <f>IF(AK155&lt;&gt;"",IF(AND(BD154&lt;&gt;"IE",AT155&lt;&gt;0,AV155&lt;&gt;""),IF(IFERROR((AT155/AV155),0) &lt;=1,IFERROR(AT155/AV155,""),1),""),"")</f>
        <v/>
      </c>
      <c r="BE155" s="93" t="n"/>
      <c r="BF155" s="105" t="n"/>
      <c r="FC155" t="inlineStr">
        <is>
          <t>Diccionario 1</t>
        </is>
      </c>
      <c r="FD155" s="15" t="n">
        <v>1152</v>
      </c>
      <c r="FE155" s="15" t="inlineStr">
        <is>
          <t>LDYECS316S0043943</t>
        </is>
      </c>
      <c r="FF155" s="15" t="inlineStr">
        <is>
          <t>MDN35025010049</t>
        </is>
      </c>
      <c r="FG155" s="15" t="inlineStr">
        <is>
          <t>Zhong Tong</t>
        </is>
      </c>
      <c r="FH155" s="15" t="inlineStr">
        <is>
          <t>Lck6122evg</t>
        </is>
      </c>
      <c r="FI155" s="15" t="inlineStr">
        <is>
          <t>ZHONGTONG</t>
        </is>
      </c>
      <c r="FJ155" s="15" t="inlineStr">
        <is>
          <t>LCK6122EVG</t>
        </is>
      </c>
      <c r="FK155" s="15" t="n">
        <v>2025</v>
      </c>
      <c r="FL155" s="15" t="inlineStr">
        <is>
          <t>B</t>
        </is>
      </c>
      <c r="FM155" s="15" t="inlineStr">
        <is>
          <t>CERRILLOS</t>
        </is>
      </c>
      <c r="FN155" s="15" t="inlineStr">
        <is>
          <t>Calle Uno 7371</t>
        </is>
      </c>
      <c r="FO155" s="15" t="inlineStr">
        <is>
          <t>Estacion Central</t>
        </is>
      </c>
      <c r="FP155" t="inlineStr">
        <is>
          <t>B</t>
        </is>
      </c>
      <c r="FS155" s="14" t="inlineStr">
        <is>
          <t>3038 / SFWB-90|</t>
        </is>
      </c>
      <c r="FT155" t="inlineStr">
        <is>
          <t>SFWB-90|</t>
        </is>
      </c>
      <c r="FU155" t="inlineStr">
        <is>
          <t>SFWB-90</t>
        </is>
      </c>
      <c r="FV155">
        <f>VLOOKUP(FU155,FD:FL,9,0)</f>
        <v/>
      </c>
      <c r="HA155" s="35" t="n">
        <v>152</v>
      </c>
      <c r="HB155" s="35" t="n">
        <v>149</v>
      </c>
    </row>
    <row r="156" ht="15.5" customHeight="1">
      <c r="A156" s="10">
        <f>HOUR(G156)+1</f>
        <v/>
      </c>
      <c r="B156" s="7" t="n"/>
      <c r="C156" s="7" t="n"/>
      <c r="D156" s="85">
        <f>IFERROR(
IF(AND(OR(Planilla!B156="C",Planilla!B156="c"), VLOOKUP(E156,FD:FP,13,0)="C"), "OK",IF(AND(OR(Planilla!B156="C",Planilla!B156="c"), OR(VLOOKUP(E156,FD:FP,13,0)="B", VLOOKUP(E156,FD:FP,13,0)="A")), "DEFICIT",IF(
AND(OR(Planilla!B156="B", Planilla!B156="BPAL"), VLOOKUP(E156,FD:FP,13,0)="B"), "OK",IF(AND(OR(Planilla!B156="B", Planilla!B156="BPAL"), VLOOKUP(E156,FD:FP,13,0)="A"), "DEFICIT",IF(AND(OR(Planilla!B156="B", Planilla!B156="BPAL"), VLOOKUP(E156,FD:FP,13,0)="C"), "SOBREOFERTA",IF(AND(Planilla!B156="A", VLOOKUP(E156,FD:FP,13,0)="A"), "OK",IF(
AND(Planilla!B156="A", OR(VLOOKUP(E156,FD:FP,13,0)="B", VLOOKUP(E156,FD:FP,13,0)="C")), "SOBREOFERTA",""
))))))),"")</f>
        <v/>
      </c>
      <c r="E156" s="8" t="n"/>
      <c r="F156" s="86" t="n"/>
      <c r="G156" s="87" t="n"/>
      <c r="H156" s="88">
        <f>IF(I156="","",IF(AND((I156-G156)&gt;=TIME(0,0,0),(I156-G156)&lt;TIME(0,3,0)),"OK",IF(AND((I156-G156)&gt;=TIME(0,3,0),(I156-G156)&lt;TIME(0,5,0)),"RETRASO DE 3-5 MIN",IF(AND((I156-G156)&gt;=TIME(0,5,0),(I156-G156)&lt;TIME(0,10,0)),"RETRASO DE 5-10 MIN",IF((I156-G156)&gt;=TIME(0,10,0),"RETRASO &gt;10 MIN", IF(AND((G156-I156)&gt;=TIME(0,0,0),(G156-I156)&lt;TIME(0,3,0)),"OK",IF((G156-I156)&gt;=TIME(0,3,0),"ADELANTADO")))))))</f>
        <v/>
      </c>
      <c r="I156" s="89" t="n"/>
      <c r="J156" s="89">
        <f>IF(A156&lt;&gt;"",HLOOKUP(VALUE(TEXT(G156,"h:mm:ss")),IF($C$6="Laboral",$FZ$4:$GX$227,IF($C$6="Sábado",$FZ$231:$GX$452,$FZ$456:$GX$656)),VLOOKUP($C$4,$HF$2:$HH$99,3,0)+IF(C$5="Ida",0,1),1),"")</f>
        <v/>
      </c>
      <c r="K156" s="89">
        <f>IF(A157&lt;&gt;A156,AVERAGEIF(A$9:A156,A156,J$9:J156),"")</f>
        <v/>
      </c>
      <c r="L156" s="89">
        <f>IFERROR(IF(A157&lt;&gt;A156,AVERAGEIF(A$9:A156,A156,S$9:S156),""),"")</f>
        <v/>
      </c>
      <c r="M156" s="89">
        <f>IFERROR(IF(A157&lt;&gt;A156,AVERAGEIF(A$9:A156,A156,T$9:T156),""),"")</f>
        <v/>
      </c>
      <c r="N156" s="89">
        <f t="array" ref="N156">IFERROR(IF(A157&lt;&gt;A156,_xlfn.STDEV.P(IF(A$9:A156=A156,T$9:T156)),""),"")</f>
        <v/>
      </c>
      <c r="O156" s="89">
        <f t="array" ref="O156">IFERROR(IF(A157&lt;&gt;A156,_xlfn.STDEV.P(IF(A$9:A156=A156,S$9:S156)),""),"")</f>
        <v/>
      </c>
      <c r="P156" s="90">
        <f>IFERROR(IF(A156&lt;&gt;A157,MAX((((M156*24*60)/2)*(1+POWER((((N156*24*60) / (M156*24*60) )),2))) + ((M156*24*60 )*-0.1 + (K156*0.015)) +1,(((M156*24*60)/2)*(1+POWER((((N156*24*60) / (M156*24*60 ))),2)))),""),"")</f>
        <v/>
      </c>
      <c r="Q156" s="90">
        <f>IF(AND(O156&lt;&gt;"",L156&lt;&gt;""),IF(A156&lt;&gt;A157,((L156*24*60) / 2 ) * (1 + POWER(((O156*24*60) / (L156*24*60)),2)),""),"")</f>
        <v/>
      </c>
      <c r="R156" s="90">
        <f>IF(Q156&lt;&gt;"",MAX(P156,Q156),"")</f>
        <v/>
      </c>
      <c r="S156" s="89">
        <f>IF(I156&lt;&gt;"H. Sale Real",IF(AND(I157&lt;&gt;"",LEFT(C157,2)&lt;&gt;"Va"),IF(AND(I156&lt;&gt;"",LEFT(C156,2)&lt;&gt;"Va",I156&lt;&gt;"H. Sale Real"),IF(I157-I156&lt;0.208333333333333,I157-I156,""),IF(AND(I155&lt;&gt;"",LEFT(C155,2)&lt;&gt;"Va",I155&lt;&gt;"H. Sale Real"),IF(I157-I155&lt;0.208333333333333,I157-I155,""),IF(AND(I154&lt;&gt;"",LEFT(C154,2)&lt;&gt;"Va",I154&lt;&gt;"H. Sale Real"),IF(I157-I154&lt;0.208333333333333,I157-I154,""),IF(AND(I153&lt;&gt;"",LEFT(C153,2)&lt;&gt;"Va",I153&lt;&gt;"H. Sale Real"),IF(I157-I153&lt;0.208333333333333,I157-I153,""),IF(AND(I152&lt;&gt;"",LEFT(C152,2)&lt;&gt;"Va",I152&lt;&gt;"H. Sale Real"),IF(I157-I152&lt;0.208333333333333,I157-I152,""),""))))),""),"")</f>
        <v/>
      </c>
      <c r="T156" s="89">
        <f>IF(G156&lt;&gt;"H. Sale Real",IF(AND(G157&lt;&gt;"",LEFT(C157,2)&lt;&gt;"Va"),IF(AND(G156&lt;&gt;"",LEFT(C156,2)&lt;&gt;"Va",G156&lt;&gt;"H. Sale Real"),IF(G157-G156&lt;0.208333333333333,G157-G156,""),IF(AND(G155&lt;&gt;"",LEFT(C155,2)&lt;&gt;"Va",G155&lt;&gt;"H. Sale Real"),IF(G157-G155&lt;0.208333333333333,G157-G155,""),IF(AND(G154&lt;&gt;"",LEFT(C154,2)&lt;&gt;"Va",G154&lt;&gt;"H. Sale Real"),IF(G157-G154&lt;0.208333333333333,G157-G154,""),IF(AND(G153&lt;&gt;"",LEFT(C153,2)&lt;&gt;"Va",G153&lt;&gt;"H. Sale Real"),IF(G157-G153&lt;0.208333333333333,G157-G153,""),IF(AND(G152&lt;&gt;"",LEFT(C152,2)&lt;&gt;"Va",G152&lt;&gt;"H. Sale Real"),IF(G157-G152&lt;0.208333333333333,G157-G152,""),""))))),""),"")</f>
        <v/>
      </c>
      <c r="U156" s="87" t="n"/>
      <c r="V156" s="89" t="n"/>
      <c r="W156" s="87" t="n"/>
      <c r="X156" s="89" t="n"/>
      <c r="Y156" s="91" t="n"/>
      <c r="Z156" s="122">
        <f>IF(G156&lt;&gt;"",IF(AND(Z155&lt;&gt;"IE",P156&lt;&gt;0,R156&lt;&gt;""),IF(IFERROR((P156/R156),0) &lt;=1,IFERROR(P156/R156,""),1),""),"")</f>
        <v/>
      </c>
      <c r="AA156" s="93" t="n"/>
      <c r="AB156" s="2" t="n"/>
      <c r="AE156" s="10">
        <f>HOUR(AK156)+1</f>
        <v/>
      </c>
      <c r="AF156" s="7" t="n"/>
      <c r="AG156" s="7" t="n"/>
      <c r="AH156" s="86" t="n"/>
      <c r="AI156" s="8" t="n"/>
      <c r="AJ156" s="86" t="n"/>
      <c r="AK156" s="87" t="n"/>
      <c r="AL156" s="88">
        <f>IF(AM156="","",IF(AND((AM156-AK156)&gt;=TIME(0,0,0),(AM156-AK156)&lt;TIME(0,3,0)),"OK",IF(AND((AM156-AK156)&gt;=TIME(0,3,0),(AM156-AK156)&lt;TIME(0,5,0)),"RETRASO DE 3-5 MIN",IF(AND((AM156-AK156)&gt;=TIME(0,5,0),(AM156-AK156)&lt;TIME(0,10,0)),"RETRASO DE 5-10 MIN",IF((AM156-AK156)&gt;=TIME(0,10,0),"RETRASO &gt;10 MIN", IF(AND((AK156-AM156)&gt;=TIME(0,0,0),(AK156-AM156)&lt;TIME(0,3,0)),"OK",IF((AK156-AM156)&gt;=TIME(0,3,0),"ADELANTADO")))))))</f>
        <v/>
      </c>
      <c r="AM156" s="91" t="n"/>
      <c r="AN156" s="89">
        <f>IF(AE156&lt;&gt;"",HLOOKUP(VALUE(TEXT(AK156,"h:mm:ss")),IF($C$6="Laboral",$FZ$4:$GX$227,IF($C$6="Sábado",$FZ$231:$GX$452,$FZ$456:$GX$656)),VLOOKUP($C$4,$HF$2:$HH$99,3,0)+IF(AG$5="Ida",0,1),1),"")</f>
        <v/>
      </c>
      <c r="AO156" s="89">
        <f>IF(AE157&lt;&gt;AE156,AVERAGEIF(AE$9:AE156,AE156,AN$9:AN156),"")</f>
        <v/>
      </c>
      <c r="AP156" s="89">
        <f>IFERROR(IF(AE157&lt;&gt;AE156,AVERAGEIF(AE$9:AE156,AE156,AW$9:AW156),""),"")</f>
        <v/>
      </c>
      <c r="AQ156" s="89">
        <f>IFERROR(IF(AE157&lt;&gt;AE156,AVERAGEIF(AE$9:AE156,AE156,AX$9:AX156),""),"")</f>
        <v/>
      </c>
      <c r="AR156" s="89">
        <f t="array" ref="AR156">IFERROR(IF(AE157&lt;&gt;AE156,_xlfn.STDEV.P(IF(AE$9:AE156=AE156,AX$9:AX156)),""),"")</f>
        <v/>
      </c>
      <c r="AS156" s="89">
        <f t="array" ref="AS156">IFERROR(IF(AE157&lt;&gt;AE156,_xlfn.STDEV.P(IF(AE$9:AE156=AE156,AW$9:AW156)),""),"")</f>
        <v/>
      </c>
      <c r="AT156" s="90">
        <f>IFERROR(IF(AE156&lt;&gt;AE157,MAX((((AQ156*24*60)/2)*(1+POWER((((AR156*24*60) / (AQ156*24*60) )),2))) + ((AQ156*24*60 )*-0.1 + (AO156*0.015)) +1,(((AQ156*24*60)/2)*(1+POWER((((AR156*24*60) / (AQ156*24*60 ))),2)))),""),"")</f>
        <v/>
      </c>
      <c r="AU156" s="90">
        <f>IF(AND(AS156&lt;&gt;"",AP156&lt;&gt;""),IF(AE156&lt;&gt;AE157,((AP156*24*60) / 2 ) * (1 + POWER(((AS156*24*60) / (AP156*24*60)),2)),""),"")</f>
        <v/>
      </c>
      <c r="AV156" s="90">
        <f>IF(AU156&lt;&gt;"",MAX(AT156,AU156),"")</f>
        <v/>
      </c>
      <c r="AW156" s="89">
        <f>IF(AM156&lt;&gt;"H. Sale Real",IF(AND(AM157&lt;&gt;"",LEFT(AG157,2)&lt;&gt;"Va"),IF(AND(AM156&lt;&gt;"",LEFT(AG156,2)&lt;&gt;"Va",AM156&lt;&gt;"H. Sale Real"),IF(AM157-AM156&lt;0.208333333333333,AM157-AM156,""),IF(AND(AM155&lt;&gt;"",LEFT(AG155,2)&lt;&gt;"Va",AM155&lt;&gt;"H. Sale Real"),IF(AM157-AM155&lt;0.208333333333333,AM157-AM155,""),IF(AND(AM154&lt;&gt;"",LEFT(AG154,2)&lt;&gt;"Va",AM154&lt;&gt;"H. Sale Real"),IF(AM157-AM154&lt;0.208333333333333,AM157-AM154,""),IF(AND(AM153&lt;&gt;"",LEFT(AG153,2)&lt;&gt;"Va",AM153&lt;&gt;"H. Sale Real"),IF(AM157-AM153&lt;0.208333333333333,AM157-AM153,""),IF(AND(AM152&lt;&gt;"",LEFT(AG152,2)&lt;&gt;"Va",AM152&lt;&gt;"H. Sale Real"),IF(AM157-AM152&lt;0.208333333333333,AM157-AM152,""),""))))),""),"")</f>
        <v/>
      </c>
      <c r="AX156" s="89">
        <f>IF(AK156&lt;&gt;"H. Sale Real",IF(AND(AK157&lt;&gt;"",LEFT(AG157,2)&lt;&gt;"Va"),IF(AND(AK156&lt;&gt;"",LEFT(AG156,2)&lt;&gt;"Va",AK156&lt;&gt;"H. Sale Real"),IF(AK157-AK156&lt;0.208333333333333,AK157-AK156,""),IF(AND(AK155&lt;&gt;"",LEFT(AG155,2)&lt;&gt;"Va",AK155&lt;&gt;"H. Sale Real"),IF(AK157-AK155&lt;0.208333333333333,AK157-AK155,""),IF(AND(AK154&lt;&gt;"",LEFT(AG154,2)&lt;&gt;"NC",AK154&lt;&gt;"H. Sale Real"),IF(AK157-AK154&lt;0.208333333333333,AK157-AK154,""),IF(AND(AK153&lt;&gt;"",LEFT(AG153,2)&lt;&gt;"Va",AK153&lt;&gt;"H. Sale Real"),IF(AK157-AK153&lt;0.208333333333333,AK157-AK153,""),IF(AND(AK152&lt;&gt;"",LEFT(AG152,2)&lt;&gt;"Va",AK152&lt;&gt;"H. Sale Real"),IF(AK157-AK152&lt;0.208333333333333,AK157-AK152,""),""))))),""),"")</f>
        <v/>
      </c>
      <c r="AY156" s="87" t="n"/>
      <c r="AZ156" s="89" t="n"/>
      <c r="BA156" s="87" t="n"/>
      <c r="BB156" s="89" t="n"/>
      <c r="BC156" s="91" t="n"/>
      <c r="BD156" s="122">
        <f>IF(AK156&lt;&gt;"",IF(AND(BD155&lt;&gt;"IE",AT156&lt;&gt;0,AV156&lt;&gt;""),IF(IFERROR((AT156/AV156),0) &lt;=1,IFERROR(AT156/AV156,""),1),""),"")</f>
        <v/>
      </c>
      <c r="BE156" s="93" t="n"/>
      <c r="BF156" s="105" t="n"/>
      <c r="FC156" t="inlineStr">
        <is>
          <t>Diccionario 1</t>
        </is>
      </c>
      <c r="FD156" s="15" t="n">
        <v>1153</v>
      </c>
      <c r="FE156" s="15" t="inlineStr">
        <is>
          <t>LDYECS319S0043905</t>
        </is>
      </c>
      <c r="FF156" s="15" t="inlineStr">
        <is>
          <t>MDN35025010108</t>
        </is>
      </c>
      <c r="FG156" s="15" t="inlineStr">
        <is>
          <t>Zhong Tong</t>
        </is>
      </c>
      <c r="FH156" s="15" t="inlineStr">
        <is>
          <t>Lck6122evg</t>
        </is>
      </c>
      <c r="FI156" s="15" t="inlineStr">
        <is>
          <t>ZHONGTONG</t>
        </is>
      </c>
      <c r="FJ156" s="15" t="inlineStr">
        <is>
          <t>LCK6122EVG</t>
        </is>
      </c>
      <c r="FK156" s="15" t="n">
        <v>2025</v>
      </c>
      <c r="FL156" s="15" t="inlineStr">
        <is>
          <t>B</t>
        </is>
      </c>
      <c r="FM156" s="15" t="inlineStr">
        <is>
          <t>SAN ALFONSO</t>
        </is>
      </c>
      <c r="FN156" s="15" t="inlineStr">
        <is>
          <t>San Alfonso 2141 (Ramón Subercaseaux 3060)</t>
        </is>
      </c>
      <c r="FO156" s="15" t="inlineStr">
        <is>
          <t>Estacion Central</t>
        </is>
      </c>
      <c r="FP156" t="inlineStr">
        <is>
          <t>B</t>
        </is>
      </c>
      <c r="FS156" s="14" t="inlineStr">
        <is>
          <t>3038 / SFWB-90|</t>
        </is>
      </c>
      <c r="FT156" t="inlineStr">
        <is>
          <t>SFWB-90|</t>
        </is>
      </c>
      <c r="FU156" t="inlineStr">
        <is>
          <t>SFWB-90</t>
        </is>
      </c>
      <c r="FV156">
        <f>VLOOKUP(FU156,FD:FL,9,0)</f>
        <v/>
      </c>
      <c r="HA156" s="35" t="n">
        <v>153</v>
      </c>
      <c r="HB156" s="35" t="n">
        <v>150</v>
      </c>
    </row>
    <row r="157" ht="15.5" customHeight="1">
      <c r="A157" s="10">
        <f>HOUR(G157)+1</f>
        <v/>
      </c>
      <c r="B157" s="7" t="n"/>
      <c r="C157" s="7" t="n"/>
      <c r="D157" s="85">
        <f>IFERROR(
IF(AND(OR(Planilla!B157="C",Planilla!B157="c"), VLOOKUP(E157,FD:FP,13,0)="C"), "OK",IF(AND(OR(Planilla!B157="C",Planilla!B157="c"), OR(VLOOKUP(E157,FD:FP,13,0)="B", VLOOKUP(E157,FD:FP,13,0)="A")), "DEFICIT",IF(
AND(OR(Planilla!B157="B", Planilla!B157="BPAL"), VLOOKUP(E157,FD:FP,13,0)="B"), "OK",IF(AND(OR(Planilla!B157="B", Planilla!B157="BPAL"), VLOOKUP(E157,FD:FP,13,0)="A"), "DEFICIT",IF(AND(OR(Planilla!B157="B", Planilla!B157="BPAL"), VLOOKUP(E157,FD:FP,13,0)="C"), "SOBREOFERTA",IF(AND(Planilla!B157="A", VLOOKUP(E157,FD:FP,13,0)="A"), "OK",IF(
AND(Planilla!B157="A", OR(VLOOKUP(E157,FD:FP,13,0)="B", VLOOKUP(E157,FD:FP,13,0)="C")), "SOBREOFERTA",""
))))))),"")</f>
        <v/>
      </c>
      <c r="E157" s="8" t="n"/>
      <c r="F157" s="86" t="n"/>
      <c r="G157" s="87" t="n"/>
      <c r="H157" s="88">
        <f>IF(I157="","",IF(AND((I157-G157)&gt;=TIME(0,0,0),(I157-G157)&lt;TIME(0,3,0)),"OK",IF(AND((I157-G157)&gt;=TIME(0,3,0),(I157-G157)&lt;TIME(0,5,0)),"RETRASO DE 3-5 MIN",IF(AND((I157-G157)&gt;=TIME(0,5,0),(I157-G157)&lt;TIME(0,10,0)),"RETRASO DE 5-10 MIN",IF((I157-G157)&gt;=TIME(0,10,0),"RETRASO &gt;10 MIN", IF(AND((G157-I157)&gt;=TIME(0,0,0),(G157-I157)&lt;TIME(0,3,0)),"OK",IF((G157-I157)&gt;=TIME(0,3,0),"ADELANTADO")))))))</f>
        <v/>
      </c>
      <c r="I157" s="89" t="n"/>
      <c r="J157" s="89">
        <f>IF(A157&lt;&gt;"",HLOOKUP(VALUE(TEXT(G157,"h:mm:ss")),IF($C$6="Laboral",$FZ$4:$GX$227,IF($C$6="Sábado",$FZ$231:$GX$452,$FZ$456:$GX$656)),VLOOKUP($C$4,$HF$2:$HH$99,3,0)+IF(C$5="Ida",0,1),1),"")</f>
        <v/>
      </c>
      <c r="K157" s="89">
        <f>IF(A158&lt;&gt;A157,AVERAGEIF(A$9:A157,A157,J$9:J157),"")</f>
        <v/>
      </c>
      <c r="L157" s="89">
        <f>IFERROR(IF(A158&lt;&gt;A157,AVERAGEIF(A$9:A157,A157,S$9:S157),""),"")</f>
        <v/>
      </c>
      <c r="M157" s="89">
        <f>IFERROR(IF(A158&lt;&gt;A157,AVERAGEIF(A$9:A157,A157,T$9:T157),""),"")</f>
        <v/>
      </c>
      <c r="N157" s="89">
        <f t="array" ref="N157">IFERROR(IF(A158&lt;&gt;A157,_xlfn.STDEV.P(IF(A$9:A157=A157,T$9:T157)),""),"")</f>
        <v/>
      </c>
      <c r="O157" s="89">
        <f t="array" ref="O157">IFERROR(IF(A158&lt;&gt;A157,_xlfn.STDEV.P(IF(A$9:A157=A157,S$9:S157)),""),"")</f>
        <v/>
      </c>
      <c r="P157" s="90">
        <f>IFERROR(IF(A157&lt;&gt;A158,MAX((((M157*24*60)/2)*(1+POWER((((N157*24*60) / (M157*24*60) )),2))) + ((M157*24*60 )*-0.1 + (K157*0.015)) +1,(((M157*24*60)/2)*(1+POWER((((N157*24*60) / (M157*24*60 ))),2)))),""),"")</f>
        <v/>
      </c>
      <c r="Q157" s="90">
        <f>IF(AND(O157&lt;&gt;"",L157&lt;&gt;""),IF(A157&lt;&gt;A158,((L157*24*60) / 2 ) * (1 + POWER(((O157*24*60) / (L157*24*60)),2)),""),"")</f>
        <v/>
      </c>
      <c r="R157" s="90">
        <f>IF(Q157&lt;&gt;"",MAX(P157,Q157),"")</f>
        <v/>
      </c>
      <c r="S157" s="89">
        <f>IF(I157&lt;&gt;"H. Sale Real",IF(AND(I158&lt;&gt;"",LEFT(C158,2)&lt;&gt;"Va"),IF(AND(I157&lt;&gt;"",LEFT(C157,2)&lt;&gt;"Va",I157&lt;&gt;"H. Sale Real"),IF(I158-I157&lt;0.208333333333333,I158-I157,""),IF(AND(I156&lt;&gt;"",LEFT(C156,2)&lt;&gt;"Va",I156&lt;&gt;"H. Sale Real"),IF(I158-I156&lt;0.208333333333333,I158-I156,""),IF(AND(I155&lt;&gt;"",LEFT(C155,2)&lt;&gt;"Va",I155&lt;&gt;"H. Sale Real"),IF(I158-I155&lt;0.208333333333333,I158-I155,""),IF(AND(I154&lt;&gt;"",LEFT(C154,2)&lt;&gt;"Va",I154&lt;&gt;"H. Sale Real"),IF(I158-I154&lt;0.208333333333333,I158-I154,""),IF(AND(I153&lt;&gt;"",LEFT(C153,2)&lt;&gt;"Va",I153&lt;&gt;"H. Sale Real"),IF(I158-I153&lt;0.208333333333333,I158-I153,""),""))))),""),"")</f>
        <v/>
      </c>
      <c r="T157" s="89">
        <f>IF(G157&lt;&gt;"H. Sale Real",IF(AND(G158&lt;&gt;"",LEFT(C158,2)&lt;&gt;"Va"),IF(AND(G157&lt;&gt;"",LEFT(C157,2)&lt;&gt;"Va",G157&lt;&gt;"H. Sale Real"),IF(G158-G157&lt;0.208333333333333,G158-G157,""),IF(AND(G156&lt;&gt;"",LEFT(C156,2)&lt;&gt;"Va",G156&lt;&gt;"H. Sale Real"),IF(G158-G156&lt;0.208333333333333,G158-G156,""),IF(AND(G155&lt;&gt;"",LEFT(C155,2)&lt;&gt;"Va",G155&lt;&gt;"H. Sale Real"),IF(G158-G155&lt;0.208333333333333,G158-G155,""),IF(AND(G154&lt;&gt;"",LEFT(C154,2)&lt;&gt;"Va",G154&lt;&gt;"H. Sale Real"),IF(G158-G154&lt;0.208333333333333,G158-G154,""),IF(AND(G153&lt;&gt;"",LEFT(C153,2)&lt;&gt;"Va",G153&lt;&gt;"H. Sale Real"),IF(G158-G153&lt;0.208333333333333,G158-G153,""),""))))),""),"")</f>
        <v/>
      </c>
      <c r="U157" s="87" t="n"/>
      <c r="V157" s="89" t="n"/>
      <c r="W157" s="87" t="n"/>
      <c r="X157" s="89" t="n"/>
      <c r="Y157" s="91" t="n"/>
      <c r="Z157" s="122">
        <f>IF(G157&lt;&gt;"",IF(AND(Z156&lt;&gt;"IE",P157&lt;&gt;0,R157&lt;&gt;""),IF(IFERROR((P157/R157),0) &lt;=1,IFERROR(P157/R157,""),1),""),"")</f>
        <v/>
      </c>
      <c r="AA157" s="93" t="n"/>
      <c r="AB157" s="2" t="n"/>
      <c r="AE157" s="10">
        <f>HOUR(AK157)+1</f>
        <v/>
      </c>
      <c r="AF157" s="7" t="n"/>
      <c r="AG157" s="7" t="n"/>
      <c r="AH157" s="86" t="n"/>
      <c r="AI157" s="8" t="n"/>
      <c r="AJ157" s="86" t="n"/>
      <c r="AK157" s="87" t="n"/>
      <c r="AL157" s="88">
        <f>IF(AM157="","",IF(AND((AM157-AK157)&gt;=TIME(0,0,0),(AM157-AK157)&lt;TIME(0,3,0)),"OK",IF(AND((AM157-AK157)&gt;=TIME(0,3,0),(AM157-AK157)&lt;TIME(0,5,0)),"RETRASO DE 3-5 MIN",IF(AND((AM157-AK157)&gt;=TIME(0,5,0),(AM157-AK157)&lt;TIME(0,10,0)),"RETRASO DE 5-10 MIN",IF((AM157-AK157)&gt;=TIME(0,10,0),"RETRASO &gt;10 MIN", IF(AND((AK157-AM157)&gt;=TIME(0,0,0),(AK157-AM157)&lt;TIME(0,3,0)),"OK",IF((AK157-AM157)&gt;=TIME(0,3,0),"ADELANTADO")))))))</f>
        <v/>
      </c>
      <c r="AM157" s="91" t="n"/>
      <c r="AN157" s="89">
        <f>IF(AE157&lt;&gt;"",HLOOKUP(VALUE(TEXT(AK157,"h:mm:ss")),IF($C$6="Laboral",$FZ$4:$GX$227,IF($C$6="Sábado",$FZ$231:$GX$452,$FZ$456:$GX$656)),VLOOKUP($C$4,$HF$2:$HH$99,3,0)+IF(AG$5="Ida",0,1),1),"")</f>
        <v/>
      </c>
      <c r="AO157" s="89">
        <f>IF(AE158&lt;&gt;AE157,AVERAGEIF(AE$9:AE157,AE157,AN$9:AN157),"")</f>
        <v/>
      </c>
      <c r="AP157" s="89">
        <f>IFERROR(IF(AE158&lt;&gt;AE157,AVERAGEIF(AE$9:AE157,AE157,AW$9:AW157),""),"")</f>
        <v/>
      </c>
      <c r="AQ157" s="89">
        <f>IFERROR(IF(AE158&lt;&gt;AE157,AVERAGEIF(AE$9:AE157,AE157,AX$9:AX157),""),"")</f>
        <v/>
      </c>
      <c r="AR157" s="89">
        <f t="array" ref="AR157">IFERROR(IF(AE158&lt;&gt;AE157,_xlfn.STDEV.P(IF(AE$9:AE157=AE157,AX$9:AX157)),""),"")</f>
        <v/>
      </c>
      <c r="AS157" s="89">
        <f t="array" ref="AS157">IFERROR(IF(AE158&lt;&gt;AE157,_xlfn.STDEV.P(IF(AE$9:AE157=AE157,AW$9:AW157)),""),"")</f>
        <v/>
      </c>
      <c r="AT157" s="90">
        <f>IFERROR(IF(AE157&lt;&gt;AE158,MAX((((AQ157*24*60)/2)*(1+POWER((((AR157*24*60) / (AQ157*24*60) )),2))) + ((AQ157*24*60 )*-0.1 + (AO157*0.015)) +1,(((AQ157*24*60)/2)*(1+POWER((((AR157*24*60) / (AQ157*24*60 ))),2)))),""),"")</f>
        <v/>
      </c>
      <c r="AU157" s="90">
        <f>IF(AND(AS157&lt;&gt;"",AP157&lt;&gt;""),IF(AE157&lt;&gt;AE158,((AP157*24*60) / 2 ) * (1 + POWER(((AS157*24*60) / (AP157*24*60)),2)),""),"")</f>
        <v/>
      </c>
      <c r="AV157" s="90">
        <f>IF(AU157&lt;&gt;"",MAX(AT157,AU157),"")</f>
        <v/>
      </c>
      <c r="AW157" s="89">
        <f>IF(AM157&lt;&gt;"H. Sale Real",IF(AND(AM158&lt;&gt;"",LEFT(AG158,2)&lt;&gt;"Va"),IF(AND(AM157&lt;&gt;"",LEFT(AG157,2)&lt;&gt;"Va",AM157&lt;&gt;"H. Sale Real"),IF(AM158-AM157&lt;0.208333333333333,AM158-AM157,""),IF(AND(AM156&lt;&gt;"",LEFT(AG156,2)&lt;&gt;"Va",AM156&lt;&gt;"H. Sale Real"),IF(AM158-AM156&lt;0.208333333333333,AM158-AM156,""),IF(AND(AM155&lt;&gt;"",LEFT(AG155,2)&lt;&gt;"Va",AM155&lt;&gt;"H. Sale Real"),IF(AM158-AM155&lt;0.208333333333333,AM158-AM155,""),IF(AND(AM154&lt;&gt;"",LEFT(AG154,2)&lt;&gt;"Va",AM154&lt;&gt;"H. Sale Real"),IF(AM158-AM154&lt;0.208333333333333,AM158-AM154,""),IF(AND(AM153&lt;&gt;"",LEFT(AG153,2)&lt;&gt;"Va",AM153&lt;&gt;"H. Sale Real"),IF(AM158-AM153&lt;0.208333333333333,AM158-AM153,""),""))))),""),"")</f>
        <v/>
      </c>
      <c r="AX157" s="89">
        <f>IF(AK157&lt;&gt;"H. Sale Real",IF(AND(AK158&lt;&gt;"",LEFT(AG158,2)&lt;&gt;"Va"),IF(AND(AK157&lt;&gt;"",LEFT(AG157,2)&lt;&gt;"Va",AK157&lt;&gt;"H. Sale Real"),IF(AK158-AK157&lt;0.208333333333333,AK158-AK157,""),IF(AND(AK156&lt;&gt;"",LEFT(AG156,2)&lt;&gt;"Va",AK156&lt;&gt;"H. Sale Real"),IF(AK158-AK156&lt;0.208333333333333,AK158-AK156,""),IF(AND(AK155&lt;&gt;"",LEFT(AG155,2)&lt;&gt;"NC",AK155&lt;&gt;"H. Sale Real"),IF(AK158-AK155&lt;0.208333333333333,AK158-AK155,""),IF(AND(AK154&lt;&gt;"",LEFT(AG154,2)&lt;&gt;"Va",AK154&lt;&gt;"H. Sale Real"),IF(AK158-AK154&lt;0.208333333333333,AK158-AK154,""),IF(AND(AK153&lt;&gt;"",LEFT(AG153,2)&lt;&gt;"Va",AK153&lt;&gt;"H. Sale Real"),IF(AK158-AK153&lt;0.208333333333333,AK158-AK153,""),""))))),""),"")</f>
        <v/>
      </c>
      <c r="AY157" s="87" t="n"/>
      <c r="AZ157" s="89" t="n"/>
      <c r="BA157" s="87" t="n"/>
      <c r="BB157" s="89" t="n"/>
      <c r="BC157" s="91" t="n"/>
      <c r="BD157" s="122">
        <f>IF(AK157&lt;&gt;"",IF(AND(BD156&lt;&gt;"IE",AT157&lt;&gt;0,AV157&lt;&gt;""),IF(IFERROR((AT157/AV157),0) &lt;=1,IFERROR(AT157/AV157,""),1),""),"")</f>
        <v/>
      </c>
      <c r="BE157" s="93" t="n"/>
      <c r="BF157" s="105" t="n"/>
      <c r="FC157" t="inlineStr">
        <is>
          <t>Diccionario 1</t>
        </is>
      </c>
      <c r="FD157" s="15" t="n">
        <v>1225</v>
      </c>
      <c r="FE157" s="15" t="inlineStr">
        <is>
          <t>YV3T7U520JA189191</t>
        </is>
      </c>
      <c r="FF157" s="15" t="n">
        <v>451887</v>
      </c>
      <c r="FG157" s="15" t="inlineStr">
        <is>
          <t>Volvo</t>
        </is>
      </c>
      <c r="FH157" s="15" t="inlineStr">
        <is>
          <t>B8RLEA</t>
        </is>
      </c>
      <c r="FI157" s="15" t="inlineStr">
        <is>
          <t>MARCOPOLO</t>
        </is>
      </c>
      <c r="FJ157" s="15" t="inlineStr">
        <is>
          <t>TORINO</t>
        </is>
      </c>
      <c r="FK157" s="15" t="n">
        <v>2020</v>
      </c>
      <c r="FL157" s="15" t="inlineStr">
        <is>
          <t>C</t>
        </is>
      </c>
      <c r="FM157" s="15" t="inlineStr">
        <is>
          <t>SAN ALFONSO</t>
        </is>
      </c>
      <c r="FN157" s="15" t="inlineStr">
        <is>
          <t>San Alfonso 2141 (Ramón Subercaseaux 3060)</t>
        </is>
      </c>
      <c r="FO157" s="15" t="inlineStr">
        <is>
          <t>Estacion Central</t>
        </is>
      </c>
      <c r="FP157" s="16" t="inlineStr">
        <is>
          <t>C</t>
        </is>
      </c>
      <c r="FS157" s="14" t="inlineStr">
        <is>
          <t>3038 / SFWB-90|</t>
        </is>
      </c>
      <c r="FT157" t="inlineStr">
        <is>
          <t>SFWB-90|</t>
        </is>
      </c>
      <c r="FU157" t="inlineStr">
        <is>
          <t>SFWB-90</t>
        </is>
      </c>
      <c r="FV157">
        <f>VLOOKUP(FU157,FD:FL,9,0)</f>
        <v/>
      </c>
      <c r="HA157" s="35" t="n">
        <v>154</v>
      </c>
      <c r="HB157" s="35" t="n">
        <v>151</v>
      </c>
    </row>
    <row r="158" ht="15.5" customHeight="1">
      <c r="A158" s="10">
        <f>HOUR(G158)+1</f>
        <v/>
      </c>
      <c r="B158" s="7" t="n"/>
      <c r="C158" s="7" t="n"/>
      <c r="D158" s="85">
        <f>IFERROR(
IF(AND(OR(Planilla!B158="C",Planilla!B158="c"), VLOOKUP(E158,FD:FP,13,0)="C"), "OK",IF(AND(OR(Planilla!B158="C",Planilla!B158="c"), OR(VLOOKUP(E158,FD:FP,13,0)="B", VLOOKUP(E158,FD:FP,13,0)="A")), "DEFICIT",IF(
AND(OR(Planilla!B158="B", Planilla!B158="BPAL"), VLOOKUP(E158,FD:FP,13,0)="B"), "OK",IF(AND(OR(Planilla!B158="B", Planilla!B158="BPAL"), VLOOKUP(E158,FD:FP,13,0)="A"), "DEFICIT",IF(AND(OR(Planilla!B158="B", Planilla!B158="BPAL"), VLOOKUP(E158,FD:FP,13,0)="C"), "SOBREOFERTA",IF(AND(Planilla!B158="A", VLOOKUP(E158,FD:FP,13,0)="A"), "OK",IF(
AND(Planilla!B158="A", OR(VLOOKUP(E158,FD:FP,13,0)="B", VLOOKUP(E158,FD:FP,13,0)="C")), "SOBREOFERTA",""
))))))),"")</f>
        <v/>
      </c>
      <c r="E158" s="8" t="n"/>
      <c r="F158" s="86" t="n"/>
      <c r="G158" s="87" t="n"/>
      <c r="H158" s="88">
        <f>IF(I158="","",IF(AND((I158-G158)&gt;=TIME(0,0,0),(I158-G158)&lt;TIME(0,3,0)),"OK",IF(AND((I158-G158)&gt;=TIME(0,3,0),(I158-G158)&lt;TIME(0,5,0)),"RETRASO DE 3-5 MIN",IF(AND((I158-G158)&gt;=TIME(0,5,0),(I158-G158)&lt;TIME(0,10,0)),"RETRASO DE 5-10 MIN",IF((I158-G158)&gt;=TIME(0,10,0),"RETRASO &gt;10 MIN", IF(AND((G158-I158)&gt;=TIME(0,0,0),(G158-I158)&lt;TIME(0,3,0)),"OK",IF((G158-I158)&gt;=TIME(0,3,0),"ADELANTADO")))))))</f>
        <v/>
      </c>
      <c r="I158" s="89" t="n"/>
      <c r="J158" s="89">
        <f>IF(A158&lt;&gt;"",HLOOKUP(VALUE(TEXT(G158,"h:mm:ss")),IF($C$6="Laboral",$FZ$4:$GX$227,IF($C$6="Sábado",$FZ$231:$GX$452,$FZ$456:$GX$656)),VLOOKUP($C$4,$HF$2:$HH$99,3,0)+IF(C$5="Ida",0,1),1),"")</f>
        <v/>
      </c>
      <c r="K158" s="89">
        <f>IF(A159&lt;&gt;A158,AVERAGEIF(A$9:A158,A158,J$9:J158),"")</f>
        <v/>
      </c>
      <c r="L158" s="89">
        <f>IFERROR(IF(A159&lt;&gt;A158,AVERAGEIF(A$9:A158,A158,S$9:S158),""),"")</f>
        <v/>
      </c>
      <c r="M158" s="89">
        <f>IFERROR(IF(A159&lt;&gt;A158,AVERAGEIF(A$9:A158,A158,T$9:T158),""),"")</f>
        <v/>
      </c>
      <c r="N158" s="89">
        <f t="array" ref="N158">IFERROR(IF(A159&lt;&gt;A158,_xlfn.STDEV.P(IF(A$9:A158=A158,T$9:T158)),""),"")</f>
        <v/>
      </c>
      <c r="O158" s="89">
        <f t="array" ref="O158">IFERROR(IF(A159&lt;&gt;A158,_xlfn.STDEV.P(IF(A$9:A158=A158,S$9:S158)),""),"")</f>
        <v/>
      </c>
      <c r="P158" s="90">
        <f>IFERROR(IF(A158&lt;&gt;A159,MAX((((M158*24*60)/2)*(1+POWER((((N158*24*60) / (M158*24*60) )),2))) + ((M158*24*60 )*-0.1 + (K158*0.015)) +1,(((M158*24*60)/2)*(1+POWER((((N158*24*60) / (M158*24*60 ))),2)))),""),"")</f>
        <v/>
      </c>
      <c r="Q158" s="90">
        <f>IF(AND(O158&lt;&gt;"",L158&lt;&gt;""),IF(A158&lt;&gt;A159,((L158*24*60) / 2 ) * (1 + POWER(((O158*24*60) / (L158*24*60)),2)),""),"")</f>
        <v/>
      </c>
      <c r="R158" s="90">
        <f>IF(Q158&lt;&gt;"",MAX(P158,Q158),"")</f>
        <v/>
      </c>
      <c r="S158" s="89">
        <f>IF(I158&lt;&gt;"H. Sale Real",IF(AND(I159&lt;&gt;"",LEFT(C159,2)&lt;&gt;"Va"),IF(AND(I158&lt;&gt;"",LEFT(C158,2)&lt;&gt;"Va",I158&lt;&gt;"H. Sale Real"),IF(I159-I158&lt;0.208333333333333,I159-I158,""),IF(AND(I157&lt;&gt;"",LEFT(C157,2)&lt;&gt;"Va",I157&lt;&gt;"H. Sale Real"),IF(I159-I157&lt;0.208333333333333,I159-I157,""),IF(AND(I156&lt;&gt;"",LEFT(C156,2)&lt;&gt;"Va",I156&lt;&gt;"H. Sale Real"),IF(I159-I156&lt;0.208333333333333,I159-I156,""),IF(AND(I155&lt;&gt;"",LEFT(C155,2)&lt;&gt;"Va",I155&lt;&gt;"H. Sale Real"),IF(I159-I155&lt;0.208333333333333,I159-I155,""),IF(AND(I154&lt;&gt;"",LEFT(C154,2)&lt;&gt;"Va",I154&lt;&gt;"H. Sale Real"),IF(I159-I154&lt;0.208333333333333,I159-I154,""),""))))),""),"")</f>
        <v/>
      </c>
      <c r="T158" s="89">
        <f>IF(G158&lt;&gt;"H. Sale Real",IF(AND(G159&lt;&gt;"",LEFT(C159,2)&lt;&gt;"Va"),IF(AND(G158&lt;&gt;"",LEFT(C158,2)&lt;&gt;"Va",G158&lt;&gt;"H. Sale Real"),IF(G159-G158&lt;0.208333333333333,G159-G158,""),IF(AND(G157&lt;&gt;"",LEFT(C157,2)&lt;&gt;"Va",G157&lt;&gt;"H. Sale Real"),IF(G159-G157&lt;0.208333333333333,G159-G157,""),IF(AND(G156&lt;&gt;"",LEFT(C156,2)&lt;&gt;"Va",G156&lt;&gt;"H. Sale Real"),IF(G159-G156&lt;0.208333333333333,G159-G156,""),IF(AND(G155&lt;&gt;"",LEFT(C155,2)&lt;&gt;"Va",G155&lt;&gt;"H. Sale Real"),IF(G159-G155&lt;0.208333333333333,G159-G155,""),IF(AND(G154&lt;&gt;"",LEFT(C154,2)&lt;&gt;"Va",G154&lt;&gt;"H. Sale Real"),IF(G159-G154&lt;0.208333333333333,G159-G154,""),""))))),""),"")</f>
        <v/>
      </c>
      <c r="U158" s="87" t="n"/>
      <c r="V158" s="89" t="n"/>
      <c r="W158" s="87" t="n"/>
      <c r="X158" s="89" t="n"/>
      <c r="Y158" s="91" t="n"/>
      <c r="Z158" s="122">
        <f>IF(G158&lt;&gt;"",IF(AND(Z157&lt;&gt;"IE",P158&lt;&gt;0,R158&lt;&gt;""),IF(IFERROR((P158/R158),0) &lt;=1,IFERROR(P158/R158,""),1),""),"")</f>
        <v/>
      </c>
      <c r="AA158" s="93" t="n"/>
      <c r="AB158" s="2" t="n"/>
      <c r="AE158" s="10">
        <f>HOUR(AK158)+1</f>
        <v/>
      </c>
      <c r="AF158" s="7" t="n"/>
      <c r="AG158" s="7" t="n"/>
      <c r="AH158" s="86" t="n"/>
      <c r="AI158" s="8" t="n"/>
      <c r="AJ158" s="86" t="n"/>
      <c r="AK158" s="87" t="n"/>
      <c r="AL158" s="88">
        <f>IF(AM158="","",IF(AND((AM158-AK158)&gt;=TIME(0,0,0),(AM158-AK158)&lt;TIME(0,3,0)),"OK",IF(AND((AM158-AK158)&gt;=TIME(0,3,0),(AM158-AK158)&lt;TIME(0,5,0)),"RETRASO DE 3-5 MIN",IF(AND((AM158-AK158)&gt;=TIME(0,5,0),(AM158-AK158)&lt;TIME(0,10,0)),"RETRASO DE 5-10 MIN",IF((AM158-AK158)&gt;=TIME(0,10,0),"RETRASO &gt;10 MIN", IF(AND((AK158-AM158)&gt;=TIME(0,0,0),(AK158-AM158)&lt;TIME(0,3,0)),"OK",IF((AK158-AM158)&gt;=TIME(0,3,0),"ADELANTADO")))))))</f>
        <v/>
      </c>
      <c r="AM158" s="91" t="n"/>
      <c r="AN158" s="89">
        <f>IF(AE158&lt;&gt;"",HLOOKUP(VALUE(TEXT(AK158,"h:mm:ss")),IF($C$6="Laboral",$FZ$4:$GX$227,IF($C$6="Sábado",$FZ$231:$GX$452,$FZ$456:$GX$656)),VLOOKUP($C$4,$HF$2:$HH$99,3,0)+IF(AG$5="Ida",0,1),1),"")</f>
        <v/>
      </c>
      <c r="AO158" s="89">
        <f>IF(AE159&lt;&gt;AE158,AVERAGEIF(AE$9:AE158,AE158,AN$9:AN158),"")</f>
        <v/>
      </c>
      <c r="AP158" s="89">
        <f>IFERROR(IF(AE159&lt;&gt;AE158,AVERAGEIF(AE$9:AE158,AE158,AW$9:AW158),""),"")</f>
        <v/>
      </c>
      <c r="AQ158" s="89">
        <f>IFERROR(IF(AE159&lt;&gt;AE158,AVERAGEIF(AE$9:AE158,AE158,AX$9:AX158),""),"")</f>
        <v/>
      </c>
      <c r="AR158" s="89">
        <f t="array" ref="AR158">IFERROR(IF(AE159&lt;&gt;AE158,_xlfn.STDEV.P(IF(AE$9:AE158=AE158,AX$9:AX158)),""),"")</f>
        <v/>
      </c>
      <c r="AS158" s="89">
        <f t="array" ref="AS158">IFERROR(IF(AE159&lt;&gt;AE158,_xlfn.STDEV.P(IF(AE$9:AE158=AE158,AW$9:AW158)),""),"")</f>
        <v/>
      </c>
      <c r="AT158" s="90">
        <f>IFERROR(IF(AE158&lt;&gt;AE159,MAX((((AQ158*24*60)/2)*(1+POWER((((AR158*24*60) / (AQ158*24*60) )),2))) + ((AQ158*24*60 )*-0.1 + (AO158*0.015)) +1,(((AQ158*24*60)/2)*(1+POWER((((AR158*24*60) / (AQ158*24*60 ))),2)))),""),"")</f>
        <v/>
      </c>
      <c r="AU158" s="90">
        <f>IF(AND(AS158&lt;&gt;"",AP158&lt;&gt;""),IF(AE158&lt;&gt;AE159,((AP158*24*60) / 2 ) * (1 + POWER(((AS158*24*60) / (AP158*24*60)),2)),""),"")</f>
        <v/>
      </c>
      <c r="AV158" s="90">
        <f>IF(AU158&lt;&gt;"",MAX(AT158,AU158),"")</f>
        <v/>
      </c>
      <c r="AW158" s="89">
        <f>IF(AM158&lt;&gt;"H. Sale Real",IF(AND(AM159&lt;&gt;"",LEFT(AG159,2)&lt;&gt;"Va"),IF(AND(AM158&lt;&gt;"",LEFT(AG158,2)&lt;&gt;"Va",AM158&lt;&gt;"H. Sale Real"),IF(AM159-AM158&lt;0.208333333333333,AM159-AM158,""),IF(AND(AM157&lt;&gt;"",LEFT(AG157,2)&lt;&gt;"Va",AM157&lt;&gt;"H. Sale Real"),IF(AM159-AM157&lt;0.208333333333333,AM159-AM157,""),IF(AND(AM156&lt;&gt;"",LEFT(AG156,2)&lt;&gt;"Va",AM156&lt;&gt;"H. Sale Real"),IF(AM159-AM156&lt;0.208333333333333,AM159-AM156,""),IF(AND(AM155&lt;&gt;"",LEFT(AG155,2)&lt;&gt;"Va",AM155&lt;&gt;"H. Sale Real"),IF(AM159-AM155&lt;0.208333333333333,AM159-AM155,""),IF(AND(AM154&lt;&gt;"",LEFT(AG154,2)&lt;&gt;"Va",AM154&lt;&gt;"H. Sale Real"),IF(AM159-AM154&lt;0.208333333333333,AM159-AM154,""),""))))),""),"")</f>
        <v/>
      </c>
      <c r="AX158" s="89">
        <f>IF(AK158&lt;&gt;"H. Sale Real",IF(AND(AK159&lt;&gt;"",LEFT(AG159,2)&lt;&gt;"Va"),IF(AND(AK158&lt;&gt;"",LEFT(AG158,2)&lt;&gt;"Va",AK158&lt;&gt;"H. Sale Real"),IF(AK159-AK158&lt;0.208333333333333,AK159-AK158,""),IF(AND(AK157&lt;&gt;"",LEFT(AG157,2)&lt;&gt;"Va",AK157&lt;&gt;"H. Sale Real"),IF(AK159-AK157&lt;0.208333333333333,AK159-AK157,""),IF(AND(AK156&lt;&gt;"",LEFT(AG156,2)&lt;&gt;"NC",AK156&lt;&gt;"H. Sale Real"),IF(AK159-AK156&lt;0.208333333333333,AK159-AK156,""),IF(AND(AK155&lt;&gt;"",LEFT(AG155,2)&lt;&gt;"Va",AK155&lt;&gt;"H. Sale Real"),IF(AK159-AK155&lt;0.208333333333333,AK159-AK155,""),IF(AND(AK154&lt;&gt;"",LEFT(AG154,2)&lt;&gt;"Va",AK154&lt;&gt;"H. Sale Real"),IF(AK159-AK154&lt;0.208333333333333,AK159-AK154,""),""))))),""),"")</f>
        <v/>
      </c>
      <c r="AY158" s="87" t="n"/>
      <c r="AZ158" s="89" t="n"/>
      <c r="BA158" s="87" t="n"/>
      <c r="BB158" s="89" t="n"/>
      <c r="BC158" s="91" t="n"/>
      <c r="BD158" s="122">
        <f>IF(AK158&lt;&gt;"",IF(AND(BD157&lt;&gt;"IE",AT158&lt;&gt;0,AV158&lt;&gt;""),IF(IFERROR((AT158/AV158),0) &lt;=1,IFERROR(AT158/AV158,""),1),""),"")</f>
        <v/>
      </c>
      <c r="BE158" s="93" t="n"/>
      <c r="BF158" s="105" t="n"/>
      <c r="FC158" t="inlineStr">
        <is>
          <t>Diccionario 1</t>
        </is>
      </c>
      <c r="FD158" s="15" t="n">
        <v>1154</v>
      </c>
      <c r="FE158" s="15" t="inlineStr">
        <is>
          <t>YV3T7U523LA201711</t>
        </is>
      </c>
      <c r="FF158" s="15" t="n">
        <v>508408</v>
      </c>
      <c r="FG158" s="15" t="inlineStr">
        <is>
          <t>Volvo</t>
        </is>
      </c>
      <c r="FH158" s="15" t="inlineStr">
        <is>
          <t>B8RLEA</t>
        </is>
      </c>
      <c r="FI158" s="15" t="inlineStr">
        <is>
          <t>MARCOPOLO</t>
        </is>
      </c>
      <c r="FJ158" s="15" t="inlineStr">
        <is>
          <t>GRAN VIALE</t>
        </is>
      </c>
      <c r="FK158" s="15" t="n">
        <v>2020</v>
      </c>
      <c r="FL158" s="15" t="inlineStr">
        <is>
          <t>C</t>
        </is>
      </c>
      <c r="FM158" s="15" t="inlineStr">
        <is>
          <t>PIE ANDINO</t>
        </is>
      </c>
      <c r="FN158" s="15" t="inlineStr">
        <is>
          <t>Pie Andino 31 (Pie Andino 383)</t>
        </is>
      </c>
      <c r="FO158" s="15" t="inlineStr">
        <is>
          <t>Puente Alto</t>
        </is>
      </c>
      <c r="FP158" t="inlineStr">
        <is>
          <t>C</t>
        </is>
      </c>
      <c r="FS158" s="14" t="inlineStr">
        <is>
          <t>3040 / SFWZ-27|</t>
        </is>
      </c>
      <c r="FT158" t="inlineStr">
        <is>
          <t>SFWZ-27|</t>
        </is>
      </c>
      <c r="FU158" t="inlineStr">
        <is>
          <t>SFWZ-27</t>
        </is>
      </c>
      <c r="FV158">
        <f>VLOOKUP(FU158,FD:FL,9,0)</f>
        <v/>
      </c>
      <c r="HA158" s="35" t="n">
        <v>155</v>
      </c>
      <c r="HB158" s="35" t="n">
        <v>152</v>
      </c>
    </row>
    <row r="159" ht="15.5" customHeight="1">
      <c r="A159" s="10">
        <f>HOUR(G159)+1</f>
        <v/>
      </c>
      <c r="B159" s="7" t="n"/>
      <c r="C159" s="7" t="n"/>
      <c r="D159" s="85">
        <f>IFERROR(
IF(AND(OR(Planilla!B159="C",Planilla!B159="c"), VLOOKUP(E159,FD:FP,13,0)="C"), "OK",IF(AND(OR(Planilla!B159="C",Planilla!B159="c"), OR(VLOOKUP(E159,FD:FP,13,0)="B", VLOOKUP(E159,FD:FP,13,0)="A")), "DEFICIT",IF(
AND(OR(Planilla!B159="B", Planilla!B159="BPAL"), VLOOKUP(E159,FD:FP,13,0)="B"), "OK",IF(AND(OR(Planilla!B159="B", Planilla!B159="BPAL"), VLOOKUP(E159,FD:FP,13,0)="A"), "DEFICIT",IF(AND(OR(Planilla!B159="B", Planilla!B159="BPAL"), VLOOKUP(E159,FD:FP,13,0)="C"), "SOBREOFERTA",IF(AND(Planilla!B159="A", VLOOKUP(E159,FD:FP,13,0)="A"), "OK",IF(
AND(Planilla!B159="A", OR(VLOOKUP(E159,FD:FP,13,0)="B", VLOOKUP(E159,FD:FP,13,0)="C")), "SOBREOFERTA",""
))))))),"")</f>
        <v/>
      </c>
      <c r="E159" s="8" t="n"/>
      <c r="F159" s="86" t="n"/>
      <c r="G159" s="87" t="n"/>
      <c r="H159" s="88">
        <f>IF(I159="","",IF(AND((I159-G159)&gt;=TIME(0,0,0),(I159-G159)&lt;TIME(0,3,0)),"OK",IF(AND((I159-G159)&gt;=TIME(0,3,0),(I159-G159)&lt;TIME(0,5,0)),"RETRASO DE 3-5 MIN",IF(AND((I159-G159)&gt;=TIME(0,5,0),(I159-G159)&lt;TIME(0,10,0)),"RETRASO DE 5-10 MIN",IF((I159-G159)&gt;=TIME(0,10,0),"RETRASO &gt;10 MIN", IF(AND((G159-I159)&gt;=TIME(0,0,0),(G159-I159)&lt;TIME(0,3,0)),"OK",IF((G159-I159)&gt;=TIME(0,3,0),"ADELANTADO")))))))</f>
        <v/>
      </c>
      <c r="I159" s="89" t="n"/>
      <c r="J159" s="89">
        <f>IF(A159&lt;&gt;"",HLOOKUP(VALUE(TEXT(G159,"h:mm:ss")),IF($C$6="Laboral",$FZ$4:$GX$227,IF($C$6="Sábado",$FZ$231:$GX$452,$FZ$456:$GX$656)),VLOOKUP($C$4,$HF$2:$HH$99,3,0)+IF(C$5="Ida",0,1),1),"")</f>
        <v/>
      </c>
      <c r="K159" s="89">
        <f>IF(A160&lt;&gt;A159,AVERAGEIF(A$9:A159,A159,J$9:J159),"")</f>
        <v/>
      </c>
      <c r="L159" s="89">
        <f>IFERROR(IF(A160&lt;&gt;A159,AVERAGEIF(A$9:A159,A159,S$9:S159),""),"")</f>
        <v/>
      </c>
      <c r="M159" s="89">
        <f>IFERROR(IF(A160&lt;&gt;A159,AVERAGEIF(A$9:A159,A159,T$9:T159),""),"")</f>
        <v/>
      </c>
      <c r="N159" s="89">
        <f t="array" ref="N159">IFERROR(IF(A160&lt;&gt;A159,_xlfn.STDEV.P(IF(A$9:A159=A159,T$9:T159)),""),"")</f>
        <v/>
      </c>
      <c r="O159" s="89">
        <f t="array" ref="O159">IFERROR(IF(A160&lt;&gt;A159,_xlfn.STDEV.P(IF(A$9:A159=A159,S$9:S159)),""),"")</f>
        <v/>
      </c>
      <c r="P159" s="90">
        <f>IFERROR(IF(A159&lt;&gt;A160,MAX((((M159*24*60)/2)*(1+POWER((((N159*24*60) / (M159*24*60) )),2))) + ((M159*24*60 )*-0.1 + (K159*0.015)) +1,(((M159*24*60)/2)*(1+POWER((((N159*24*60) / (M159*24*60 ))),2)))),""),"")</f>
        <v/>
      </c>
      <c r="Q159" s="90">
        <f>IF(AND(O159&lt;&gt;"",L159&lt;&gt;""),IF(A159&lt;&gt;A160,((L159*24*60) / 2 ) * (1 + POWER(((O159*24*60) / (L159*24*60)),2)),""),"")</f>
        <v/>
      </c>
      <c r="R159" s="90">
        <f>IF(Q159&lt;&gt;"",MAX(P159,Q159),"")</f>
        <v/>
      </c>
      <c r="S159" s="89">
        <f>IF(I159&lt;&gt;"H. Sale Real",IF(AND(I160&lt;&gt;"",LEFT(C160,2)&lt;&gt;"Va"),IF(AND(I159&lt;&gt;"",LEFT(C159,2)&lt;&gt;"Va",I159&lt;&gt;"H. Sale Real"),IF(I160-I159&lt;0.208333333333333,I160-I159,""),IF(AND(I158&lt;&gt;"",LEFT(C158,2)&lt;&gt;"Va",I158&lt;&gt;"H. Sale Real"),IF(I160-I158&lt;0.208333333333333,I160-I158,""),IF(AND(I157&lt;&gt;"",LEFT(C157,2)&lt;&gt;"Va",I157&lt;&gt;"H. Sale Real"),IF(I160-I157&lt;0.208333333333333,I160-I157,""),IF(AND(I156&lt;&gt;"",LEFT(C156,2)&lt;&gt;"Va",I156&lt;&gt;"H. Sale Real"),IF(I160-I156&lt;0.208333333333333,I160-I156,""),IF(AND(I155&lt;&gt;"",LEFT(C155,2)&lt;&gt;"Va",I155&lt;&gt;"H. Sale Real"),IF(I160-I155&lt;0.208333333333333,I160-I155,""),""))))),""),"")</f>
        <v/>
      </c>
      <c r="T159" s="89">
        <f>IF(G159&lt;&gt;"H. Sale Real",IF(AND(G160&lt;&gt;"",LEFT(C160,2)&lt;&gt;"Va"),IF(AND(G159&lt;&gt;"",LEFT(C159,2)&lt;&gt;"Va",G159&lt;&gt;"H. Sale Real"),IF(G160-G159&lt;0.208333333333333,G160-G159,""),IF(AND(G158&lt;&gt;"",LEFT(C158,2)&lt;&gt;"Va",G158&lt;&gt;"H. Sale Real"),IF(G160-G158&lt;0.208333333333333,G160-G158,""),IF(AND(G157&lt;&gt;"",LEFT(C157,2)&lt;&gt;"Va",G157&lt;&gt;"H. Sale Real"),IF(G160-G157&lt;0.208333333333333,G160-G157,""),IF(AND(G156&lt;&gt;"",LEFT(C156,2)&lt;&gt;"Va",G156&lt;&gt;"H. Sale Real"),IF(G160-G156&lt;0.208333333333333,G160-G156,""),IF(AND(G155&lt;&gt;"",LEFT(C155,2)&lt;&gt;"Va",G155&lt;&gt;"H. Sale Real"),IF(G160-G155&lt;0.208333333333333,G160-G155,""),""))))),""),"")</f>
        <v/>
      </c>
      <c r="U159" s="87" t="n"/>
      <c r="V159" s="89" t="n"/>
      <c r="W159" s="87" t="n"/>
      <c r="X159" s="89" t="n"/>
      <c r="Y159" s="91" t="n"/>
      <c r="Z159" s="122">
        <f>IF(G159&lt;&gt;"",IF(AND(Z158&lt;&gt;"IE",P159&lt;&gt;0,R159&lt;&gt;""),IF(IFERROR((P159/R159),0) &lt;=1,IFERROR(P159/R159,""),1),""),"")</f>
        <v/>
      </c>
      <c r="AA159" s="93" t="n"/>
      <c r="AB159" s="2" t="n"/>
      <c r="AE159" s="10">
        <f>HOUR(AK159)+1</f>
        <v/>
      </c>
      <c r="AF159" s="7" t="n"/>
      <c r="AG159" s="7" t="n"/>
      <c r="AH159" s="86" t="n"/>
      <c r="AI159" s="8" t="n"/>
      <c r="AJ159" s="86" t="n"/>
      <c r="AK159" s="87" t="n"/>
      <c r="AL159" s="88">
        <f>IF(AM159="","",IF(AND((AM159-AK159)&gt;=TIME(0,0,0),(AM159-AK159)&lt;TIME(0,3,0)),"OK",IF(AND((AM159-AK159)&gt;=TIME(0,3,0),(AM159-AK159)&lt;TIME(0,5,0)),"RETRASO DE 3-5 MIN",IF(AND((AM159-AK159)&gt;=TIME(0,5,0),(AM159-AK159)&lt;TIME(0,10,0)),"RETRASO DE 5-10 MIN",IF((AM159-AK159)&gt;=TIME(0,10,0),"RETRASO &gt;10 MIN", IF(AND((AK159-AM159)&gt;=TIME(0,0,0),(AK159-AM159)&lt;TIME(0,3,0)),"OK",IF((AK159-AM159)&gt;=TIME(0,3,0),"ADELANTADO")))))))</f>
        <v/>
      </c>
      <c r="AM159" s="91" t="n"/>
      <c r="AN159" s="89">
        <f>IF(AE159&lt;&gt;"",HLOOKUP(VALUE(TEXT(AK159,"h:mm:ss")),IF($C$6="Laboral",$FZ$4:$GX$227,IF($C$6="Sábado",$FZ$231:$GX$452,$FZ$456:$GX$656)),VLOOKUP($C$4,$HF$2:$HH$99,3,0)+IF(AG$5="Ida",0,1),1),"")</f>
        <v/>
      </c>
      <c r="AO159" s="89">
        <f>IF(AE160&lt;&gt;AE159,AVERAGEIF(AE$9:AE159,AE159,AN$9:AN159),"")</f>
        <v/>
      </c>
      <c r="AP159" s="89">
        <f>IFERROR(IF(AE160&lt;&gt;AE159,AVERAGEIF(AE$9:AE159,AE159,AW$9:AW159),""),"")</f>
        <v/>
      </c>
      <c r="AQ159" s="89">
        <f>IFERROR(IF(AE160&lt;&gt;AE159,AVERAGEIF(AE$9:AE159,AE159,AX$9:AX159),""),"")</f>
        <v/>
      </c>
      <c r="AR159" s="89">
        <f t="array" ref="AR159">IFERROR(IF(AE160&lt;&gt;AE159,_xlfn.STDEV.P(IF(AE$9:AE159=AE159,AX$9:AX159)),""),"")</f>
        <v/>
      </c>
      <c r="AS159" s="89">
        <f t="array" ref="AS159">IFERROR(IF(AE160&lt;&gt;AE159,_xlfn.STDEV.P(IF(AE$9:AE159=AE159,AW$9:AW159)),""),"")</f>
        <v/>
      </c>
      <c r="AT159" s="90">
        <f>IFERROR(IF(AE159&lt;&gt;AE160,MAX((((AQ159*24*60)/2)*(1+POWER((((AR159*24*60) / (AQ159*24*60) )),2))) + ((AQ159*24*60 )*-0.1 + (AO159*0.015)) +1,(((AQ159*24*60)/2)*(1+POWER((((AR159*24*60) / (AQ159*24*60 ))),2)))),""),"")</f>
        <v/>
      </c>
      <c r="AU159" s="90">
        <f>IF(AND(AS159&lt;&gt;"",AP159&lt;&gt;""),IF(AE159&lt;&gt;AE160,((AP159*24*60) / 2 ) * (1 + POWER(((AS159*24*60) / (AP159*24*60)),2)),""),"")</f>
        <v/>
      </c>
      <c r="AV159" s="90">
        <f>IF(AU159&lt;&gt;"",MAX(AT159,AU159),"")</f>
        <v/>
      </c>
      <c r="AW159" s="89">
        <f>IF(AM159&lt;&gt;"H. Sale Real",IF(AND(AM160&lt;&gt;"",LEFT(AG160,2)&lt;&gt;"Va"),IF(AND(AM159&lt;&gt;"",LEFT(AG159,2)&lt;&gt;"Va",AM159&lt;&gt;"H. Sale Real"),IF(AM160-AM159&lt;0.208333333333333,AM160-AM159,""),IF(AND(AM158&lt;&gt;"",LEFT(AG158,2)&lt;&gt;"Va",AM158&lt;&gt;"H. Sale Real"),IF(AM160-AM158&lt;0.208333333333333,AM160-AM158,""),IF(AND(AM157&lt;&gt;"",LEFT(AG157,2)&lt;&gt;"Va",AM157&lt;&gt;"H. Sale Real"),IF(AM160-AM157&lt;0.208333333333333,AM160-AM157,""),IF(AND(AM156&lt;&gt;"",LEFT(AG156,2)&lt;&gt;"Va",AM156&lt;&gt;"H. Sale Real"),IF(AM160-AM156&lt;0.208333333333333,AM160-AM156,""),IF(AND(AM155&lt;&gt;"",LEFT(AG155,2)&lt;&gt;"Va",AM155&lt;&gt;"H. Sale Real"),IF(AM160-AM155&lt;0.208333333333333,AM160-AM155,""),""))))),""),"")</f>
        <v/>
      </c>
      <c r="AX159" s="89">
        <f>IF(AK159&lt;&gt;"H. Sale Real",IF(AND(AK160&lt;&gt;"",LEFT(AG160,2)&lt;&gt;"Va"),IF(AND(AK159&lt;&gt;"",LEFT(AG159,2)&lt;&gt;"Va",AK159&lt;&gt;"H. Sale Real"),IF(AK160-AK159&lt;0.208333333333333,AK160-AK159,""),IF(AND(AK158&lt;&gt;"",LEFT(AG158,2)&lt;&gt;"Va",AK158&lt;&gt;"H. Sale Real"),IF(AK160-AK158&lt;0.208333333333333,AK160-AK158,""),IF(AND(AK157&lt;&gt;"",LEFT(AG157,2)&lt;&gt;"NC",AK157&lt;&gt;"H. Sale Real"),IF(AK160-AK157&lt;0.208333333333333,AK160-AK157,""),IF(AND(AK156&lt;&gt;"",LEFT(AG156,2)&lt;&gt;"Va",AK156&lt;&gt;"H. Sale Real"),IF(AK160-AK156&lt;0.208333333333333,AK160-AK156,""),IF(AND(AK155&lt;&gt;"",LEFT(AG155,2)&lt;&gt;"Va",AK155&lt;&gt;"H. Sale Real"),IF(AK160-AK155&lt;0.208333333333333,AK160-AK155,""),""))))),""),"")</f>
        <v/>
      </c>
      <c r="AY159" s="87" t="n"/>
      <c r="AZ159" s="89" t="n"/>
      <c r="BA159" s="87" t="n"/>
      <c r="BB159" s="89" t="n"/>
      <c r="BC159" s="91" t="n"/>
      <c r="BD159" s="122">
        <f>IF(AK159&lt;&gt;"",IF(AND(BD158&lt;&gt;"IE",AT159&lt;&gt;0,AV159&lt;&gt;""),IF(IFERROR((AT159/AV159),0) &lt;=1,IFERROR(AT159/AV159,""),1),""),"")</f>
        <v/>
      </c>
      <c r="BE159" s="93" t="n"/>
      <c r="BF159" s="105" t="n"/>
      <c r="FC159" t="inlineStr">
        <is>
          <t>Diccionario 1</t>
        </is>
      </c>
      <c r="FD159" s="15" t="n">
        <v>1155</v>
      </c>
      <c r="FE159" s="15" t="inlineStr">
        <is>
          <t>YV3T7U527LA201923</t>
        </is>
      </c>
      <c r="FF159" s="15" t="n">
        <v>509327</v>
      </c>
      <c r="FG159" s="15" t="inlineStr">
        <is>
          <t>Volvo</t>
        </is>
      </c>
      <c r="FH159" s="15" t="inlineStr">
        <is>
          <t>B8RLEA</t>
        </is>
      </c>
      <c r="FI159" s="15" t="inlineStr">
        <is>
          <t>MARCOPOLO</t>
        </is>
      </c>
      <c r="FJ159" s="15" t="inlineStr">
        <is>
          <t>GRAN VIALE</t>
        </is>
      </c>
      <c r="FK159" s="15" t="n">
        <v>2020</v>
      </c>
      <c r="FL159" s="15" t="inlineStr">
        <is>
          <t>C</t>
        </is>
      </c>
      <c r="FM159" s="15" t="inlineStr">
        <is>
          <t>PIE ANDINO</t>
        </is>
      </c>
      <c r="FN159" s="15" t="inlineStr">
        <is>
          <t>Pie Andino 31 (Pie Andino 383)</t>
        </is>
      </c>
      <c r="FO159" s="15" t="inlineStr">
        <is>
          <t>Puente Alto</t>
        </is>
      </c>
      <c r="FP159" t="inlineStr">
        <is>
          <t>C</t>
        </is>
      </c>
      <c r="FS159" s="14" t="inlineStr">
        <is>
          <t>3041 / SFVZ-49|</t>
        </is>
      </c>
      <c r="FT159" t="inlineStr">
        <is>
          <t>SFVZ-49|</t>
        </is>
      </c>
      <c r="FU159" t="inlineStr">
        <is>
          <t>SFVZ-49</t>
        </is>
      </c>
      <c r="FV159">
        <f>VLOOKUP(FU159,FD:FL,9,0)</f>
        <v/>
      </c>
      <c r="HA159" s="35" t="n">
        <v>156</v>
      </c>
      <c r="HB159" s="35" t="n">
        <v>153</v>
      </c>
    </row>
    <row r="160" ht="15.5" customHeight="1">
      <c r="A160" s="10">
        <f>HOUR(G160)+1</f>
        <v/>
      </c>
      <c r="B160" s="7" t="n"/>
      <c r="C160" s="7" t="n"/>
      <c r="D160" s="85">
        <f>IFERROR(
IF(AND(OR(Planilla!B160="C",Planilla!B160="c"), VLOOKUP(E160,FD:FP,13,0)="C"), "OK",IF(AND(OR(Planilla!B160="C",Planilla!B160="c"), OR(VLOOKUP(E160,FD:FP,13,0)="B", VLOOKUP(E160,FD:FP,13,0)="A")), "DEFICIT",IF(
AND(OR(Planilla!B160="B", Planilla!B160="BPAL"), VLOOKUP(E160,FD:FP,13,0)="B"), "OK",IF(AND(OR(Planilla!B160="B", Planilla!B160="BPAL"), VLOOKUP(E160,FD:FP,13,0)="A"), "DEFICIT",IF(AND(OR(Planilla!B160="B", Planilla!B160="BPAL"), VLOOKUP(E160,FD:FP,13,0)="C"), "SOBREOFERTA",IF(AND(Planilla!B160="A", VLOOKUP(E160,FD:FP,13,0)="A"), "OK",IF(
AND(Planilla!B160="A", OR(VLOOKUP(E160,FD:FP,13,0)="B", VLOOKUP(E160,FD:FP,13,0)="C")), "SOBREOFERTA",""
))))))),"")</f>
        <v/>
      </c>
      <c r="E160" s="8" t="n"/>
      <c r="F160" s="86" t="n"/>
      <c r="G160" s="87" t="n"/>
      <c r="H160" s="88">
        <f>IF(I160="","",IF(AND((I160-G160)&gt;=TIME(0,0,0),(I160-G160)&lt;TIME(0,3,0)),"OK",IF(AND((I160-G160)&gt;=TIME(0,3,0),(I160-G160)&lt;TIME(0,5,0)),"RETRASO DE 3-5 MIN",IF(AND((I160-G160)&gt;=TIME(0,5,0),(I160-G160)&lt;TIME(0,10,0)),"RETRASO DE 5-10 MIN",IF((I160-G160)&gt;=TIME(0,10,0),"RETRASO &gt;10 MIN", IF(AND((G160-I160)&gt;=TIME(0,0,0),(G160-I160)&lt;TIME(0,3,0)),"OK",IF((G160-I160)&gt;=TIME(0,3,0),"ADELANTADO")))))))</f>
        <v/>
      </c>
      <c r="I160" s="89" t="n"/>
      <c r="J160" s="89">
        <f>IF(A160&lt;&gt;"",HLOOKUP(VALUE(TEXT(G160,"h:mm:ss")),IF($C$6="Laboral",$FZ$4:$GX$227,IF($C$6="Sábado",$FZ$231:$GX$452,$FZ$456:$GX$656)),VLOOKUP($C$4,$HF$2:$HH$99,3,0)+IF(C$5="Ida",0,1),1),"")</f>
        <v/>
      </c>
      <c r="K160" s="89">
        <f>IF(A161&lt;&gt;A160,AVERAGEIF(A$9:A160,A160,J$9:J160),"")</f>
        <v/>
      </c>
      <c r="L160" s="89">
        <f>IFERROR(IF(A161&lt;&gt;A160,AVERAGEIF(A$9:A160,A160,S$9:S160),""),"")</f>
        <v/>
      </c>
      <c r="M160" s="89">
        <f>IFERROR(IF(A161&lt;&gt;A160,AVERAGEIF(A$9:A160,A160,T$9:T160),""),"")</f>
        <v/>
      </c>
      <c r="N160" s="89">
        <f t="array" ref="N160">IFERROR(IF(A161&lt;&gt;A160,_xlfn.STDEV.P(IF(A$9:A160=A160,T$9:T160)),""),"")</f>
        <v/>
      </c>
      <c r="O160" s="89">
        <f t="array" ref="O160">IFERROR(IF(A161&lt;&gt;A160,_xlfn.STDEV.P(IF(A$9:A160=A160,S$9:S160)),""),"")</f>
        <v/>
      </c>
      <c r="P160" s="90">
        <f>IFERROR(IF(A160&lt;&gt;A161,MAX((((M160*24*60)/2)*(1+POWER((((N160*24*60) / (M160*24*60) )),2))) + ((M160*24*60 )*-0.1 + (K160*0.015)) +1,(((M160*24*60)/2)*(1+POWER((((N160*24*60) / (M160*24*60 ))),2)))),""),"")</f>
        <v/>
      </c>
      <c r="Q160" s="90">
        <f>IF(AND(O160&lt;&gt;"",L160&lt;&gt;""),IF(A160&lt;&gt;A161,((L160*24*60) / 2 ) * (1 + POWER(((O160*24*60) / (L160*24*60)),2)),""),"")</f>
        <v/>
      </c>
      <c r="R160" s="90">
        <f>IF(Q160&lt;&gt;"",MAX(P160,Q160),"")</f>
        <v/>
      </c>
      <c r="S160" s="89">
        <f>IF(I160&lt;&gt;"H. Sale Real",IF(AND(I161&lt;&gt;"",LEFT(C161,2)&lt;&gt;"Va"),IF(AND(I160&lt;&gt;"",LEFT(C160,2)&lt;&gt;"Va",I160&lt;&gt;"H. Sale Real"),IF(I161-I160&lt;0.208333333333333,I161-I160,""),IF(AND(I159&lt;&gt;"",LEFT(C159,2)&lt;&gt;"Va",I159&lt;&gt;"H. Sale Real"),IF(I161-I159&lt;0.208333333333333,I161-I159,""),IF(AND(I158&lt;&gt;"",LEFT(C158,2)&lt;&gt;"Va",I158&lt;&gt;"H. Sale Real"),IF(I161-I158&lt;0.208333333333333,I161-I158,""),IF(AND(I157&lt;&gt;"",LEFT(C157,2)&lt;&gt;"Va",I157&lt;&gt;"H. Sale Real"),IF(I161-I157&lt;0.208333333333333,I161-I157,""),IF(AND(I156&lt;&gt;"",LEFT(C156,2)&lt;&gt;"Va",I156&lt;&gt;"H. Sale Real"),IF(I161-I156&lt;0.208333333333333,I161-I156,""),""))))),""),"")</f>
        <v/>
      </c>
      <c r="T160" s="89">
        <f>IF(G160&lt;&gt;"H. Sale Real",IF(AND(G161&lt;&gt;"",LEFT(C161,2)&lt;&gt;"Va"),IF(AND(G160&lt;&gt;"",LEFT(C160,2)&lt;&gt;"Va",G160&lt;&gt;"H. Sale Real"),IF(G161-G160&lt;0.208333333333333,G161-G160,""),IF(AND(G159&lt;&gt;"",LEFT(C159,2)&lt;&gt;"Va",G159&lt;&gt;"H. Sale Real"),IF(G161-G159&lt;0.208333333333333,G161-G159,""),IF(AND(G158&lt;&gt;"",LEFT(C158,2)&lt;&gt;"Va",G158&lt;&gt;"H. Sale Real"),IF(G161-G158&lt;0.208333333333333,G161-G158,""),IF(AND(G157&lt;&gt;"",LEFT(C157,2)&lt;&gt;"Va",G157&lt;&gt;"H. Sale Real"),IF(G161-G157&lt;0.208333333333333,G161-G157,""),IF(AND(G156&lt;&gt;"",LEFT(C156,2)&lt;&gt;"Va",G156&lt;&gt;"H. Sale Real"),IF(G161-G156&lt;0.208333333333333,G161-G156,""),""))))),""),"")</f>
        <v/>
      </c>
      <c r="U160" s="87" t="n"/>
      <c r="V160" s="89" t="n"/>
      <c r="W160" s="87" t="n"/>
      <c r="X160" s="89" t="n"/>
      <c r="Y160" s="91" t="n"/>
      <c r="Z160" s="122">
        <f>IF(G160&lt;&gt;"",IF(AND(Z159&lt;&gt;"IE",P160&lt;&gt;0,R160&lt;&gt;""),IF(IFERROR((P160/R160),0) &lt;=1,IFERROR(P160/R160,""),1),""),"")</f>
        <v/>
      </c>
      <c r="AA160" s="93" t="n"/>
      <c r="AB160" s="2" t="n"/>
      <c r="AE160" s="10">
        <f>HOUR(AK160)+1</f>
        <v/>
      </c>
      <c r="AF160" s="7" t="n"/>
      <c r="AG160" s="7" t="n"/>
      <c r="AH160" s="86" t="n"/>
      <c r="AI160" s="8" t="n"/>
      <c r="AJ160" s="86" t="n"/>
      <c r="AK160" s="87" t="n"/>
      <c r="AL160" s="88">
        <f>IF(AM160="","",IF(AND((AM160-AK160)&gt;=TIME(0,0,0),(AM160-AK160)&lt;TIME(0,3,0)),"OK",IF(AND((AM160-AK160)&gt;=TIME(0,3,0),(AM160-AK160)&lt;TIME(0,5,0)),"RETRASO DE 3-5 MIN",IF(AND((AM160-AK160)&gt;=TIME(0,5,0),(AM160-AK160)&lt;TIME(0,10,0)),"RETRASO DE 5-10 MIN",IF((AM160-AK160)&gt;=TIME(0,10,0),"RETRASO &gt;10 MIN", IF(AND((AK160-AM160)&gt;=TIME(0,0,0),(AK160-AM160)&lt;TIME(0,3,0)),"OK",IF((AK160-AM160)&gt;=TIME(0,3,0),"ADELANTADO")))))))</f>
        <v/>
      </c>
      <c r="AM160" s="91" t="n"/>
      <c r="AN160" s="89">
        <f>IF(AE160&lt;&gt;"",HLOOKUP(VALUE(TEXT(AK160,"h:mm:ss")),IF($C$6="Laboral",$FZ$4:$GX$227,IF($C$6="Sábado",$FZ$231:$GX$452,$FZ$456:$GX$656)),VLOOKUP($C$4,$HF$2:$HH$99,3,0)+IF(AG$5="Ida",0,1),1),"")</f>
        <v/>
      </c>
      <c r="AO160" s="89">
        <f>IF(AE161&lt;&gt;AE160,AVERAGEIF(AE$9:AE160,AE160,AN$9:AN160),"")</f>
        <v/>
      </c>
      <c r="AP160" s="89">
        <f>IFERROR(IF(AE161&lt;&gt;AE160,AVERAGEIF(AE$9:AE160,AE160,AW$9:AW160),""),"")</f>
        <v/>
      </c>
      <c r="AQ160" s="89">
        <f>IFERROR(IF(AE161&lt;&gt;AE160,AVERAGEIF(AE$9:AE160,AE160,AX$9:AX160),""),"")</f>
        <v/>
      </c>
      <c r="AR160" s="89">
        <f t="array" ref="AR160">IFERROR(IF(AE161&lt;&gt;AE160,_xlfn.STDEV.P(IF(AE$9:AE160=AE160,AX$9:AX160)),""),"")</f>
        <v/>
      </c>
      <c r="AS160" s="89">
        <f t="array" ref="AS160">IFERROR(IF(AE161&lt;&gt;AE160,_xlfn.STDEV.P(IF(AE$9:AE160=AE160,AW$9:AW160)),""),"")</f>
        <v/>
      </c>
      <c r="AT160" s="90">
        <f>IFERROR(IF(AE160&lt;&gt;AE161,MAX((((AQ160*24*60)/2)*(1+POWER((((AR160*24*60) / (AQ160*24*60) )),2))) + ((AQ160*24*60 )*-0.1 + (AO160*0.015)) +1,(((AQ160*24*60)/2)*(1+POWER((((AR160*24*60) / (AQ160*24*60 ))),2)))),""),"")</f>
        <v/>
      </c>
      <c r="AU160" s="90">
        <f>IF(AND(AS160&lt;&gt;"",AP160&lt;&gt;""),IF(AE160&lt;&gt;AE161,((AP160*24*60) / 2 ) * (1 + POWER(((AS160*24*60) / (AP160*24*60)),2)),""),"")</f>
        <v/>
      </c>
      <c r="AV160" s="90">
        <f>IF(AU160&lt;&gt;"",MAX(AT160,AU160),"")</f>
        <v/>
      </c>
      <c r="AW160" s="89">
        <f>IF(AM160&lt;&gt;"H. Sale Real",IF(AND(AM161&lt;&gt;"",LEFT(AG161,2)&lt;&gt;"Va"),IF(AND(AM160&lt;&gt;"",LEFT(AG160,2)&lt;&gt;"Va",AM160&lt;&gt;"H. Sale Real"),IF(AM161-AM160&lt;0.208333333333333,AM161-AM160,""),IF(AND(AM159&lt;&gt;"",LEFT(AG159,2)&lt;&gt;"Va",AM159&lt;&gt;"H. Sale Real"),IF(AM161-AM159&lt;0.208333333333333,AM161-AM159,""),IF(AND(AM158&lt;&gt;"",LEFT(AG158,2)&lt;&gt;"Va",AM158&lt;&gt;"H. Sale Real"),IF(AM161-AM158&lt;0.208333333333333,AM161-AM158,""),IF(AND(AM157&lt;&gt;"",LEFT(AG157,2)&lt;&gt;"Va",AM157&lt;&gt;"H. Sale Real"),IF(AM161-AM157&lt;0.208333333333333,AM161-AM157,""),IF(AND(AM156&lt;&gt;"",LEFT(AG156,2)&lt;&gt;"Va",AM156&lt;&gt;"H. Sale Real"),IF(AM161-AM156&lt;0.208333333333333,AM161-AM156,""),""))))),""),"")</f>
        <v/>
      </c>
      <c r="AX160" s="89">
        <f>IF(AK160&lt;&gt;"H. Sale Real",IF(AND(AK161&lt;&gt;"",LEFT(AG161,2)&lt;&gt;"Va"),IF(AND(AK160&lt;&gt;"",LEFT(AG160,2)&lt;&gt;"Va",AK160&lt;&gt;"H. Sale Real"),IF(AK161-AK160&lt;0.208333333333333,AK161-AK160,""),IF(AND(AK159&lt;&gt;"",LEFT(AG159,2)&lt;&gt;"Va",AK159&lt;&gt;"H. Sale Real"),IF(AK161-AK159&lt;0.208333333333333,AK161-AK159,""),IF(AND(AK158&lt;&gt;"",LEFT(AG158,2)&lt;&gt;"NC",AK158&lt;&gt;"H. Sale Real"),IF(AK161-AK158&lt;0.208333333333333,AK161-AK158,""),IF(AND(AK157&lt;&gt;"",LEFT(AG157,2)&lt;&gt;"Va",AK157&lt;&gt;"H. Sale Real"),IF(AK161-AK157&lt;0.208333333333333,AK161-AK157,""),IF(AND(AK156&lt;&gt;"",LEFT(AG156,2)&lt;&gt;"Va",AK156&lt;&gt;"H. Sale Real"),IF(AK161-AK156&lt;0.208333333333333,AK161-AK156,""),""))))),""),"")</f>
        <v/>
      </c>
      <c r="AY160" s="87" t="n"/>
      <c r="AZ160" s="89" t="n"/>
      <c r="BA160" s="87" t="n"/>
      <c r="BB160" s="89" t="n"/>
      <c r="BC160" s="91" t="n"/>
      <c r="BD160" s="122">
        <f>IF(AK160&lt;&gt;"",IF(AND(BD159&lt;&gt;"IE",AT160&lt;&gt;0,AV160&lt;&gt;""),IF(IFERROR((AT160/AV160),0) &lt;=1,IFERROR(AT160/AV160,""),1),""),"")</f>
        <v/>
      </c>
      <c r="BE160" s="93" t="n"/>
      <c r="BF160" s="105" t="n"/>
      <c r="FC160" t="inlineStr">
        <is>
          <t>Diccionario 1</t>
        </is>
      </c>
      <c r="FD160" s="15" t="n">
        <v>1156</v>
      </c>
      <c r="FE160" s="15" t="inlineStr">
        <is>
          <t>YV3T7U525LA201709</t>
        </is>
      </c>
      <c r="FF160" s="15" t="n">
        <v>508437</v>
      </c>
      <c r="FG160" s="15" t="inlineStr">
        <is>
          <t>Volvo</t>
        </is>
      </c>
      <c r="FH160" s="15" t="inlineStr">
        <is>
          <t>B8RLEA</t>
        </is>
      </c>
      <c r="FI160" s="15" t="inlineStr">
        <is>
          <t>MARCOPOLO</t>
        </is>
      </c>
      <c r="FJ160" s="15" t="inlineStr">
        <is>
          <t>GRAN VIALE</t>
        </is>
      </c>
      <c r="FK160" s="15" t="n">
        <v>2020</v>
      </c>
      <c r="FL160" s="15" t="inlineStr">
        <is>
          <t>C</t>
        </is>
      </c>
      <c r="FM160" s="15" t="inlineStr">
        <is>
          <t>PIE ANDINO</t>
        </is>
      </c>
      <c r="FN160" s="15" t="inlineStr">
        <is>
          <t>Pie Andino 31 (Pie Andino 383)</t>
        </is>
      </c>
      <c r="FO160" s="15" t="inlineStr">
        <is>
          <t>Puente Alto</t>
        </is>
      </c>
      <c r="FP160" t="inlineStr">
        <is>
          <t>C</t>
        </is>
      </c>
      <c r="FS160" s="14" t="inlineStr">
        <is>
          <t>3041 / SFVZ-49|</t>
        </is>
      </c>
      <c r="FT160" t="inlineStr">
        <is>
          <t>SFVZ-49|</t>
        </is>
      </c>
      <c r="FU160" t="inlineStr">
        <is>
          <t>SFVZ-49</t>
        </is>
      </c>
      <c r="FV160">
        <f>VLOOKUP(FU160,FD:FL,9,0)</f>
        <v/>
      </c>
      <c r="HA160" s="35" t="n">
        <v>157</v>
      </c>
      <c r="HB160" s="35" t="n">
        <v>154</v>
      </c>
    </row>
    <row r="161" ht="15.5" customHeight="1">
      <c r="A161" s="10">
        <f>HOUR(G161)+1</f>
        <v/>
      </c>
      <c r="B161" s="7" t="n"/>
      <c r="C161" s="7" t="n"/>
      <c r="D161" s="85">
        <f>IFERROR(
IF(AND(OR(Planilla!B161="C",Planilla!B161="c"), VLOOKUP(E161,FD:FP,13,0)="C"), "OK",IF(AND(OR(Planilla!B161="C",Planilla!B161="c"), OR(VLOOKUP(E161,FD:FP,13,0)="B", VLOOKUP(E161,FD:FP,13,0)="A")), "DEFICIT",IF(
AND(OR(Planilla!B161="B", Planilla!B161="BPAL"), VLOOKUP(E161,FD:FP,13,0)="B"), "OK",IF(AND(OR(Planilla!B161="B", Planilla!B161="BPAL"), VLOOKUP(E161,FD:FP,13,0)="A"), "DEFICIT",IF(AND(OR(Planilla!B161="B", Planilla!B161="BPAL"), VLOOKUP(E161,FD:FP,13,0)="C"), "SOBREOFERTA",IF(AND(Planilla!B161="A", VLOOKUP(E161,FD:FP,13,0)="A"), "OK",IF(
AND(Planilla!B161="A", OR(VLOOKUP(E161,FD:FP,13,0)="B", VLOOKUP(E161,FD:FP,13,0)="C")), "SOBREOFERTA",""
))))))),"")</f>
        <v/>
      </c>
      <c r="E161" s="8" t="n"/>
      <c r="F161" s="86" t="n"/>
      <c r="G161" s="87" t="n"/>
      <c r="H161" s="88">
        <f>IF(I161="","",IF(AND((I161-G161)&gt;=TIME(0,0,0),(I161-G161)&lt;TIME(0,3,0)),"OK",IF(AND((I161-G161)&gt;=TIME(0,3,0),(I161-G161)&lt;TIME(0,5,0)),"RETRASO DE 3-5 MIN",IF(AND((I161-G161)&gt;=TIME(0,5,0),(I161-G161)&lt;TIME(0,10,0)),"RETRASO DE 5-10 MIN",IF((I161-G161)&gt;=TIME(0,10,0),"RETRASO &gt;10 MIN", IF(AND((G161-I161)&gt;=TIME(0,0,0),(G161-I161)&lt;TIME(0,3,0)),"OK",IF((G161-I161)&gt;=TIME(0,3,0),"ADELANTADO")))))))</f>
        <v/>
      </c>
      <c r="I161" s="89" t="n"/>
      <c r="J161" s="89">
        <f>IF(A161&lt;&gt;"",HLOOKUP(VALUE(TEXT(G161,"h:mm:ss")),IF($C$6="Laboral",$FZ$4:$GX$227,IF($C$6="Sábado",$FZ$231:$GX$452,$FZ$456:$GX$656)),VLOOKUP($C$4,$HF$2:$HH$99,3,0)+IF(C$5="Ida",0,1),1),"")</f>
        <v/>
      </c>
      <c r="K161" s="89">
        <f>IF(A162&lt;&gt;A161,AVERAGEIF(A$9:A161,A161,J$9:J161),"")</f>
        <v/>
      </c>
      <c r="L161" s="89">
        <f>IFERROR(IF(A162&lt;&gt;A161,AVERAGEIF(A$9:A161,A161,S$9:S161),""),"")</f>
        <v/>
      </c>
      <c r="M161" s="89">
        <f>IFERROR(IF(A162&lt;&gt;A161,AVERAGEIF(A$9:A161,A161,T$9:T161),""),"")</f>
        <v/>
      </c>
      <c r="N161" s="89">
        <f t="array" ref="N161">IFERROR(IF(A162&lt;&gt;A161,_xlfn.STDEV.P(IF(A$9:A161=A161,T$9:T161)),""),"")</f>
        <v/>
      </c>
      <c r="O161" s="89">
        <f t="array" ref="O161">IFERROR(IF(A162&lt;&gt;A161,_xlfn.STDEV.P(IF(A$9:A161=A161,S$9:S161)),""),"")</f>
        <v/>
      </c>
      <c r="P161" s="90">
        <f>IFERROR(IF(A161&lt;&gt;A162,MAX((((M161*24*60)/2)*(1+POWER((((N161*24*60) / (M161*24*60) )),2))) + ((M161*24*60 )*-0.1 + (K161*0.015)) +1,(((M161*24*60)/2)*(1+POWER((((N161*24*60) / (M161*24*60 ))),2)))),""),"")</f>
        <v/>
      </c>
      <c r="Q161" s="90">
        <f>IF(AND(O161&lt;&gt;"",L161&lt;&gt;""),IF(A161&lt;&gt;A162,((L161*24*60) / 2 ) * (1 + POWER(((O161*24*60) / (L161*24*60)),2)),""),"")</f>
        <v/>
      </c>
      <c r="R161" s="90">
        <f>IF(Q161&lt;&gt;"",MAX(P161,Q161),"")</f>
        <v/>
      </c>
      <c r="S161" s="89">
        <f>IF(I161&lt;&gt;"H. Sale Real",IF(AND(I162&lt;&gt;"",LEFT(C162,2)&lt;&gt;"Va"),IF(AND(I161&lt;&gt;"",LEFT(C161,2)&lt;&gt;"Va",I161&lt;&gt;"H. Sale Real"),IF(I162-I161&lt;0.208333333333333,I162-I161,""),IF(AND(I160&lt;&gt;"",LEFT(C160,2)&lt;&gt;"Va",I160&lt;&gt;"H. Sale Real"),IF(I162-I160&lt;0.208333333333333,I162-I160,""),IF(AND(I159&lt;&gt;"",LEFT(C159,2)&lt;&gt;"Va",I159&lt;&gt;"H. Sale Real"),IF(I162-I159&lt;0.208333333333333,I162-I159,""),IF(AND(I158&lt;&gt;"",LEFT(C158,2)&lt;&gt;"Va",I158&lt;&gt;"H. Sale Real"),IF(I162-I158&lt;0.208333333333333,I162-I158,""),IF(AND(I157&lt;&gt;"",LEFT(C157,2)&lt;&gt;"Va",I157&lt;&gt;"H. Sale Real"),IF(I162-I157&lt;0.208333333333333,I162-I157,""),""))))),""),"")</f>
        <v/>
      </c>
      <c r="T161" s="89">
        <f>IF(G161&lt;&gt;"H. Sale Real",IF(AND(G162&lt;&gt;"",LEFT(C162,2)&lt;&gt;"Va"),IF(AND(G161&lt;&gt;"",LEFT(C161,2)&lt;&gt;"Va",G161&lt;&gt;"H. Sale Real"),IF(G162-G161&lt;0.208333333333333,G162-G161,""),IF(AND(G160&lt;&gt;"",LEFT(C160,2)&lt;&gt;"Va",G160&lt;&gt;"H. Sale Real"),IF(G162-G160&lt;0.208333333333333,G162-G160,""),IF(AND(G159&lt;&gt;"",LEFT(C159,2)&lt;&gt;"Va",G159&lt;&gt;"H. Sale Real"),IF(G162-G159&lt;0.208333333333333,G162-G159,""),IF(AND(G158&lt;&gt;"",LEFT(C158,2)&lt;&gt;"Va",G158&lt;&gt;"H. Sale Real"),IF(G162-G158&lt;0.208333333333333,G162-G158,""),IF(AND(G157&lt;&gt;"",LEFT(C157,2)&lt;&gt;"Va",G157&lt;&gt;"H. Sale Real"),IF(G162-G157&lt;0.208333333333333,G162-G157,""),""))))),""),"")</f>
        <v/>
      </c>
      <c r="U161" s="87" t="n"/>
      <c r="V161" s="89" t="n"/>
      <c r="W161" s="87" t="n"/>
      <c r="X161" s="89" t="n"/>
      <c r="Y161" s="91" t="n"/>
      <c r="Z161" s="122">
        <f>IF(G161&lt;&gt;"",IF(AND(Z160&lt;&gt;"IE",P161&lt;&gt;0,R161&lt;&gt;""),IF(IFERROR((P161/R161),0) &lt;=1,IFERROR(P161/R161,""),1),""),"")</f>
        <v/>
      </c>
      <c r="AA161" s="93" t="n"/>
      <c r="AB161" s="2" t="n"/>
      <c r="AE161" s="10">
        <f>HOUR(AK161)+1</f>
        <v/>
      </c>
      <c r="AF161" s="7" t="n"/>
      <c r="AG161" s="7" t="n"/>
      <c r="AH161" s="86" t="n"/>
      <c r="AI161" s="8" t="n"/>
      <c r="AJ161" s="86" t="n"/>
      <c r="AK161" s="87" t="n"/>
      <c r="AL161" s="88">
        <f>IF(AM161="","",IF(AND((AM161-AK161)&gt;=TIME(0,0,0),(AM161-AK161)&lt;TIME(0,3,0)),"OK",IF(AND((AM161-AK161)&gt;=TIME(0,3,0),(AM161-AK161)&lt;TIME(0,5,0)),"RETRASO DE 3-5 MIN",IF(AND((AM161-AK161)&gt;=TIME(0,5,0),(AM161-AK161)&lt;TIME(0,10,0)),"RETRASO DE 5-10 MIN",IF((AM161-AK161)&gt;=TIME(0,10,0),"RETRASO &gt;10 MIN", IF(AND((AK161-AM161)&gt;=TIME(0,0,0),(AK161-AM161)&lt;TIME(0,3,0)),"OK",IF((AK161-AM161)&gt;=TIME(0,3,0),"ADELANTADO")))))))</f>
        <v/>
      </c>
      <c r="AM161" s="91" t="n"/>
      <c r="AN161" s="89">
        <f>IF(AE161&lt;&gt;"",HLOOKUP(VALUE(TEXT(AK161,"h:mm:ss")),IF($C$6="Laboral",$FZ$4:$GX$227,IF($C$6="Sábado",$FZ$231:$GX$452,$FZ$456:$GX$656)),VLOOKUP($C$4,$HF$2:$HH$99,3,0)+IF(AG$5="Ida",0,1),1),"")</f>
        <v/>
      </c>
      <c r="AO161" s="89">
        <f>IF(AE162&lt;&gt;AE161,AVERAGEIF(AE$9:AE161,AE161,AN$9:AN161),"")</f>
        <v/>
      </c>
      <c r="AP161" s="89">
        <f>IFERROR(IF(AE162&lt;&gt;AE161,AVERAGEIF(AE$9:AE161,AE161,AW$9:AW161),""),"")</f>
        <v/>
      </c>
      <c r="AQ161" s="89">
        <f>IFERROR(IF(AE162&lt;&gt;AE161,AVERAGEIF(AE$9:AE161,AE161,AX$9:AX161),""),"")</f>
        <v/>
      </c>
      <c r="AR161" s="89">
        <f t="array" ref="AR161">IFERROR(IF(AE162&lt;&gt;AE161,_xlfn.STDEV.P(IF(AE$9:AE161=AE161,AX$9:AX161)),""),"")</f>
        <v/>
      </c>
      <c r="AS161" s="89">
        <f t="array" ref="AS161">IFERROR(IF(AE162&lt;&gt;AE161,_xlfn.STDEV.P(IF(AE$9:AE161=AE161,AW$9:AW161)),""),"")</f>
        <v/>
      </c>
      <c r="AT161" s="90">
        <f>IFERROR(IF(AE161&lt;&gt;AE162,MAX((((AQ161*24*60)/2)*(1+POWER((((AR161*24*60) / (AQ161*24*60) )),2))) + ((AQ161*24*60 )*-0.1 + (AO161*0.015)) +1,(((AQ161*24*60)/2)*(1+POWER((((AR161*24*60) / (AQ161*24*60 ))),2)))),""),"")</f>
        <v/>
      </c>
      <c r="AU161" s="90">
        <f>IF(AND(AS161&lt;&gt;"",AP161&lt;&gt;""),IF(AE161&lt;&gt;AE162,((AP161*24*60) / 2 ) * (1 + POWER(((AS161*24*60) / (AP161*24*60)),2)),""),"")</f>
        <v/>
      </c>
      <c r="AV161" s="90">
        <f>IF(AU161&lt;&gt;"",MAX(AT161,AU161),"")</f>
        <v/>
      </c>
      <c r="AW161" s="89">
        <f>IF(AM161&lt;&gt;"H. Sale Real",IF(AND(AM162&lt;&gt;"",LEFT(AG162,2)&lt;&gt;"Va"),IF(AND(AM161&lt;&gt;"",LEFT(AG161,2)&lt;&gt;"Va",AM161&lt;&gt;"H. Sale Real"),IF(AM162-AM161&lt;0.208333333333333,AM162-AM161,""),IF(AND(AM160&lt;&gt;"",LEFT(AG160,2)&lt;&gt;"Va",AM160&lt;&gt;"H. Sale Real"),IF(AM162-AM160&lt;0.208333333333333,AM162-AM160,""),IF(AND(AM159&lt;&gt;"",LEFT(AG159,2)&lt;&gt;"Va",AM159&lt;&gt;"H. Sale Real"),IF(AM162-AM159&lt;0.208333333333333,AM162-AM159,""),IF(AND(AM158&lt;&gt;"",LEFT(AG158,2)&lt;&gt;"Va",AM158&lt;&gt;"H. Sale Real"),IF(AM162-AM158&lt;0.208333333333333,AM162-AM158,""),IF(AND(AM157&lt;&gt;"",LEFT(AG157,2)&lt;&gt;"Va",AM157&lt;&gt;"H. Sale Real"),IF(AM162-AM157&lt;0.208333333333333,AM162-AM157,""),""))))),""),"")</f>
        <v/>
      </c>
      <c r="AX161" s="89">
        <f>IF(AK161&lt;&gt;"H. Sale Real",IF(AND(AK162&lt;&gt;"",LEFT(AG162,2)&lt;&gt;"Va"),IF(AND(AK161&lt;&gt;"",LEFT(AG161,2)&lt;&gt;"Va",AK161&lt;&gt;"H. Sale Real"),IF(AK162-AK161&lt;0.208333333333333,AK162-AK161,""),IF(AND(AK160&lt;&gt;"",LEFT(AG160,2)&lt;&gt;"Va",AK160&lt;&gt;"H. Sale Real"),IF(AK162-AK160&lt;0.208333333333333,AK162-AK160,""),IF(AND(AK159&lt;&gt;"",LEFT(AG159,2)&lt;&gt;"NC",AK159&lt;&gt;"H. Sale Real"),IF(AK162-AK159&lt;0.208333333333333,AK162-AK159,""),IF(AND(AK158&lt;&gt;"",LEFT(AG158,2)&lt;&gt;"Va",AK158&lt;&gt;"H. Sale Real"),IF(AK162-AK158&lt;0.208333333333333,AK162-AK158,""),IF(AND(AK157&lt;&gt;"",LEFT(AG157,2)&lt;&gt;"Va",AK157&lt;&gt;"H. Sale Real"),IF(AK162-AK157&lt;0.208333333333333,AK162-AK157,""),""))))),""),"")</f>
        <v/>
      </c>
      <c r="AY161" s="87" t="n"/>
      <c r="AZ161" s="89" t="n"/>
      <c r="BA161" s="87" t="n"/>
      <c r="BB161" s="89" t="n"/>
      <c r="BC161" s="91" t="n"/>
      <c r="BD161" s="122">
        <f>IF(AK161&lt;&gt;"",IF(AND(BD160&lt;&gt;"IE",AT161&lt;&gt;0,AV161&lt;&gt;""),IF(IFERROR((AT161/AV161),0) &lt;=1,IFERROR(AT161/AV161,""),1),""),"")</f>
        <v/>
      </c>
      <c r="BE161" s="93" t="n"/>
      <c r="BF161" s="105" t="n"/>
      <c r="FC161" t="inlineStr">
        <is>
          <t>Diccionario 1</t>
        </is>
      </c>
      <c r="FD161" s="15" t="n">
        <v>1157</v>
      </c>
      <c r="FE161" s="15" t="inlineStr">
        <is>
          <t>YV3T7U520LA201665</t>
        </is>
      </c>
      <c r="FF161" s="15" t="n">
        <v>508572</v>
      </c>
      <c r="FG161" s="15" t="inlineStr">
        <is>
          <t>Volvo</t>
        </is>
      </c>
      <c r="FH161" s="15" t="inlineStr">
        <is>
          <t>B8RLEA</t>
        </is>
      </c>
      <c r="FI161" s="15" t="inlineStr">
        <is>
          <t>MARCOPOLO</t>
        </is>
      </c>
      <c r="FJ161" s="15" t="inlineStr">
        <is>
          <t>GRAN VIALE</t>
        </is>
      </c>
      <c r="FK161" s="15" t="n">
        <v>2020</v>
      </c>
      <c r="FL161" s="15" t="inlineStr">
        <is>
          <t>C</t>
        </is>
      </c>
      <c r="FM161" s="15" t="inlineStr">
        <is>
          <t>PIE ANDINO</t>
        </is>
      </c>
      <c r="FN161" s="15" t="inlineStr">
        <is>
          <t>Pie Andino 31 (Pie Andino 383)</t>
        </is>
      </c>
      <c r="FO161" s="15" t="inlineStr">
        <is>
          <t>Puente Alto</t>
        </is>
      </c>
      <c r="FP161" t="inlineStr">
        <is>
          <t>C</t>
        </is>
      </c>
      <c r="FS161" s="14" t="inlineStr">
        <is>
          <t>3041 / SFVZ-49|</t>
        </is>
      </c>
      <c r="FT161" t="inlineStr">
        <is>
          <t>SFVZ-49|</t>
        </is>
      </c>
      <c r="FU161" t="inlineStr">
        <is>
          <t>SFVZ-49</t>
        </is>
      </c>
      <c r="FV161">
        <f>VLOOKUP(FU161,FD:FL,9,0)</f>
        <v/>
      </c>
      <c r="HA161" s="35" t="n">
        <v>158</v>
      </c>
      <c r="HB161" s="35" t="n">
        <v>155</v>
      </c>
    </row>
    <row r="162" ht="15.5" customHeight="1">
      <c r="A162" s="10">
        <f>HOUR(G162)+1</f>
        <v/>
      </c>
      <c r="B162" s="7" t="n"/>
      <c r="C162" s="7" t="n"/>
      <c r="D162" s="85">
        <f>IFERROR(
IF(AND(OR(Planilla!B162="C",Planilla!B162="c"), VLOOKUP(E162,FD:FP,13,0)="C"), "OK",IF(AND(OR(Planilla!B162="C",Planilla!B162="c"), OR(VLOOKUP(E162,FD:FP,13,0)="B", VLOOKUP(E162,FD:FP,13,0)="A")), "DEFICIT",IF(
AND(OR(Planilla!B162="B", Planilla!B162="BPAL"), VLOOKUP(E162,FD:FP,13,0)="B"), "OK",IF(AND(OR(Planilla!B162="B", Planilla!B162="BPAL"), VLOOKUP(E162,FD:FP,13,0)="A"), "DEFICIT",IF(AND(OR(Planilla!B162="B", Planilla!B162="BPAL"), VLOOKUP(E162,FD:FP,13,0)="C"), "SOBREOFERTA",IF(AND(Planilla!B162="A", VLOOKUP(E162,FD:FP,13,0)="A"), "OK",IF(
AND(Planilla!B162="A", OR(VLOOKUP(E162,FD:FP,13,0)="B", VLOOKUP(E162,FD:FP,13,0)="C")), "SOBREOFERTA",""
))))))),"")</f>
        <v/>
      </c>
      <c r="E162" s="8" t="n"/>
      <c r="F162" s="86" t="n"/>
      <c r="G162" s="87" t="n"/>
      <c r="H162" s="88">
        <f>IF(I162="","",IF(AND((I162-G162)&gt;=TIME(0,0,0),(I162-G162)&lt;TIME(0,3,0)),"OK",IF(AND((I162-G162)&gt;=TIME(0,3,0),(I162-G162)&lt;TIME(0,5,0)),"RETRASO DE 3-5 MIN",IF(AND((I162-G162)&gt;=TIME(0,5,0),(I162-G162)&lt;TIME(0,10,0)),"RETRASO DE 5-10 MIN",IF((I162-G162)&gt;=TIME(0,10,0),"RETRASO &gt;10 MIN", IF(AND((G162-I162)&gt;=TIME(0,0,0),(G162-I162)&lt;TIME(0,3,0)),"OK",IF((G162-I162)&gt;=TIME(0,3,0),"ADELANTADO")))))))</f>
        <v/>
      </c>
      <c r="I162" s="89" t="n"/>
      <c r="J162" s="89">
        <f>IF(A162&lt;&gt;"",HLOOKUP(VALUE(TEXT(G162,"h:mm:ss")),IF($C$6="Laboral",$FZ$4:$GX$227,IF($C$6="Sábado",$FZ$231:$GX$452,$FZ$456:$GX$656)),VLOOKUP($C$4,$HF$2:$HH$99,3,0)+IF(C$5="Ida",0,1),1),"")</f>
        <v/>
      </c>
      <c r="K162" s="89">
        <f>IF(A163&lt;&gt;A162,AVERAGEIF(A$9:A162,A162,J$9:J162),"")</f>
        <v/>
      </c>
      <c r="L162" s="89">
        <f>IFERROR(IF(A163&lt;&gt;A162,AVERAGEIF(A$9:A162,A162,S$9:S162),""),"")</f>
        <v/>
      </c>
      <c r="M162" s="89">
        <f>IFERROR(IF(A163&lt;&gt;A162,AVERAGEIF(A$9:A162,A162,T$9:T162),""),"")</f>
        <v/>
      </c>
      <c r="N162" s="89">
        <f t="array" ref="N162">IFERROR(IF(A163&lt;&gt;A162,_xlfn.STDEV.P(IF(A$9:A162=A162,T$9:T162)),""),"")</f>
        <v/>
      </c>
      <c r="O162" s="89">
        <f t="array" ref="O162">IFERROR(IF(A163&lt;&gt;A162,_xlfn.STDEV.P(IF(A$9:A162=A162,S$9:S162)),""),"")</f>
        <v/>
      </c>
      <c r="P162" s="90">
        <f>IFERROR(IF(A162&lt;&gt;A163,MAX((((M162*24*60)/2)*(1+POWER((((N162*24*60) / (M162*24*60) )),2))) + ((M162*24*60 )*-0.1 + (K162*0.015)) +1,(((M162*24*60)/2)*(1+POWER((((N162*24*60) / (M162*24*60 ))),2)))),""),"")</f>
        <v/>
      </c>
      <c r="Q162" s="90">
        <f>IF(AND(O162&lt;&gt;"",L162&lt;&gt;""),IF(A162&lt;&gt;A163,((L162*24*60) / 2 ) * (1 + POWER(((O162*24*60) / (L162*24*60)),2)),""),"")</f>
        <v/>
      </c>
      <c r="R162" s="90">
        <f>IF(Q162&lt;&gt;"",MAX(P162,Q162),"")</f>
        <v/>
      </c>
      <c r="S162" s="89">
        <f>IF(I162&lt;&gt;"H. Sale Real",IF(AND(I163&lt;&gt;"",LEFT(C163,2)&lt;&gt;"Va"),IF(AND(I162&lt;&gt;"",LEFT(C162,2)&lt;&gt;"Va",I162&lt;&gt;"H. Sale Real"),IF(I163-I162&lt;0.208333333333333,I163-I162,""),IF(AND(I161&lt;&gt;"",LEFT(C161,2)&lt;&gt;"Va",I161&lt;&gt;"H. Sale Real"),IF(I163-I161&lt;0.208333333333333,I163-I161,""),IF(AND(I160&lt;&gt;"",LEFT(C160,2)&lt;&gt;"Va",I160&lt;&gt;"H. Sale Real"),IF(I163-I160&lt;0.208333333333333,I163-I160,""),IF(AND(I159&lt;&gt;"",LEFT(C159,2)&lt;&gt;"Va",I159&lt;&gt;"H. Sale Real"),IF(I163-I159&lt;0.208333333333333,I163-I159,""),IF(AND(I158&lt;&gt;"",LEFT(C158,2)&lt;&gt;"Va",I158&lt;&gt;"H. Sale Real"),IF(I163-I158&lt;0.208333333333333,I163-I158,""),""))))),""),"")</f>
        <v/>
      </c>
      <c r="T162" s="89">
        <f>IF(G162&lt;&gt;"H. Sale Real",IF(AND(G163&lt;&gt;"",LEFT(C163,2)&lt;&gt;"Va"),IF(AND(G162&lt;&gt;"",LEFT(C162,2)&lt;&gt;"Va",G162&lt;&gt;"H. Sale Real"),IF(G163-G162&lt;0.208333333333333,G163-G162,""),IF(AND(G161&lt;&gt;"",LEFT(C161,2)&lt;&gt;"Va",G161&lt;&gt;"H. Sale Real"),IF(G163-G161&lt;0.208333333333333,G163-G161,""),IF(AND(G160&lt;&gt;"",LEFT(C160,2)&lt;&gt;"Va",G160&lt;&gt;"H. Sale Real"),IF(G163-G160&lt;0.208333333333333,G163-G160,""),IF(AND(G159&lt;&gt;"",LEFT(C159,2)&lt;&gt;"Va",G159&lt;&gt;"H. Sale Real"),IF(G163-G159&lt;0.208333333333333,G163-G159,""),IF(AND(G158&lt;&gt;"",LEFT(C158,2)&lt;&gt;"Va",G158&lt;&gt;"H. Sale Real"),IF(G163-G158&lt;0.208333333333333,G163-G158,""),""))))),""),"")</f>
        <v/>
      </c>
      <c r="U162" s="87" t="n"/>
      <c r="V162" s="89" t="n"/>
      <c r="W162" s="87" t="n"/>
      <c r="X162" s="89" t="n"/>
      <c r="Y162" s="91" t="n"/>
      <c r="Z162" s="122">
        <f>IF(G162&lt;&gt;"",IF(AND(Z161&lt;&gt;"IE",P162&lt;&gt;0,R162&lt;&gt;""),IF(IFERROR((P162/R162),0) &lt;=1,IFERROR(P162/R162,""),1),""),"")</f>
        <v/>
      </c>
      <c r="AA162" s="93" t="n"/>
      <c r="AB162" s="2" t="n"/>
      <c r="AE162" s="10">
        <f>HOUR(AK162)+1</f>
        <v/>
      </c>
      <c r="AF162" s="7" t="n"/>
      <c r="AG162" s="7" t="n"/>
      <c r="AH162" s="86" t="n"/>
      <c r="AI162" s="8" t="n"/>
      <c r="AJ162" s="86" t="n"/>
      <c r="AK162" s="87" t="n"/>
      <c r="AL162" s="88">
        <f>IF(AM162="","",IF(AND((AM162-AK162)&gt;=TIME(0,0,0),(AM162-AK162)&lt;TIME(0,3,0)),"OK",IF(AND((AM162-AK162)&gt;=TIME(0,3,0),(AM162-AK162)&lt;TIME(0,5,0)),"RETRASO DE 3-5 MIN",IF(AND((AM162-AK162)&gt;=TIME(0,5,0),(AM162-AK162)&lt;TIME(0,10,0)),"RETRASO DE 5-10 MIN",IF((AM162-AK162)&gt;=TIME(0,10,0),"RETRASO &gt;10 MIN", IF(AND((AK162-AM162)&gt;=TIME(0,0,0),(AK162-AM162)&lt;TIME(0,3,0)),"OK",IF((AK162-AM162)&gt;=TIME(0,3,0),"ADELANTADO")))))))</f>
        <v/>
      </c>
      <c r="AM162" s="91" t="n"/>
      <c r="AN162" s="89">
        <f>IF(AE162&lt;&gt;"",HLOOKUP(VALUE(TEXT(AK162,"h:mm:ss")),IF($C$6="Laboral",$FZ$4:$GX$227,IF($C$6="Sábado",$FZ$231:$GX$452,$FZ$456:$GX$656)),VLOOKUP($C$4,$HF$2:$HH$99,3,0)+IF(AG$5="Ida",0,1),1),"")</f>
        <v/>
      </c>
      <c r="AO162" s="89">
        <f>IF(AE163&lt;&gt;AE162,AVERAGEIF(AE$9:AE162,AE162,AN$9:AN162),"")</f>
        <v/>
      </c>
      <c r="AP162" s="89">
        <f>IFERROR(IF(AE163&lt;&gt;AE162,AVERAGEIF(AE$9:AE162,AE162,AW$9:AW162),""),"")</f>
        <v/>
      </c>
      <c r="AQ162" s="89">
        <f>IFERROR(IF(AE163&lt;&gt;AE162,AVERAGEIF(AE$9:AE162,AE162,AX$9:AX162),""),"")</f>
        <v/>
      </c>
      <c r="AR162" s="89">
        <f t="array" ref="AR162">IFERROR(IF(AE163&lt;&gt;AE162,_xlfn.STDEV.P(IF(AE$9:AE162=AE162,AX$9:AX162)),""),"")</f>
        <v/>
      </c>
      <c r="AS162" s="89">
        <f t="array" ref="AS162">IFERROR(IF(AE163&lt;&gt;AE162,_xlfn.STDEV.P(IF(AE$9:AE162=AE162,AW$9:AW162)),""),"")</f>
        <v/>
      </c>
      <c r="AT162" s="90">
        <f>IFERROR(IF(AE162&lt;&gt;AE163,MAX((((AQ162*24*60)/2)*(1+POWER((((AR162*24*60) / (AQ162*24*60) )),2))) + ((AQ162*24*60 )*-0.1 + (AO162*0.015)) +1,(((AQ162*24*60)/2)*(1+POWER((((AR162*24*60) / (AQ162*24*60 ))),2)))),""),"")</f>
        <v/>
      </c>
      <c r="AU162" s="90">
        <f>IF(AND(AS162&lt;&gt;"",AP162&lt;&gt;""),IF(AE162&lt;&gt;AE163,((AP162*24*60) / 2 ) * (1 + POWER(((AS162*24*60) / (AP162*24*60)),2)),""),"")</f>
        <v/>
      </c>
      <c r="AV162" s="90">
        <f>IF(AU162&lt;&gt;"",MAX(AT162,AU162),"")</f>
        <v/>
      </c>
      <c r="AW162" s="89">
        <f>IF(AM162&lt;&gt;"H. Sale Real",IF(AND(AM163&lt;&gt;"",LEFT(AG163,2)&lt;&gt;"Va"),IF(AND(AM162&lt;&gt;"",LEFT(AG162,2)&lt;&gt;"Va",AM162&lt;&gt;"H. Sale Real"),IF(AM163-AM162&lt;0.208333333333333,AM163-AM162,""),IF(AND(AM161&lt;&gt;"",LEFT(AG161,2)&lt;&gt;"Va",AM161&lt;&gt;"H. Sale Real"),IF(AM163-AM161&lt;0.208333333333333,AM163-AM161,""),IF(AND(AM160&lt;&gt;"",LEFT(AG160,2)&lt;&gt;"Va",AM160&lt;&gt;"H. Sale Real"),IF(AM163-AM160&lt;0.208333333333333,AM163-AM160,""),IF(AND(AM159&lt;&gt;"",LEFT(AG159,2)&lt;&gt;"Va",AM159&lt;&gt;"H. Sale Real"),IF(AM163-AM159&lt;0.208333333333333,AM163-AM159,""),IF(AND(AM158&lt;&gt;"",LEFT(AG158,2)&lt;&gt;"Va",AM158&lt;&gt;"H. Sale Real"),IF(AM163-AM158&lt;0.208333333333333,AM163-AM158,""),""))))),""),"")</f>
        <v/>
      </c>
      <c r="AX162" s="89">
        <f>IF(AK162&lt;&gt;"H. Sale Real",IF(AND(AK163&lt;&gt;"",LEFT(AG163,2)&lt;&gt;"Va"),IF(AND(AK162&lt;&gt;"",LEFT(AG162,2)&lt;&gt;"Va",AK162&lt;&gt;"H. Sale Real"),IF(AK163-AK162&lt;0.208333333333333,AK163-AK162,""),IF(AND(AK161&lt;&gt;"",LEFT(AG161,2)&lt;&gt;"Va",AK161&lt;&gt;"H. Sale Real"),IF(AK163-AK161&lt;0.208333333333333,AK163-AK161,""),IF(AND(AK160&lt;&gt;"",LEFT(AG160,2)&lt;&gt;"NC",AK160&lt;&gt;"H. Sale Real"),IF(AK163-AK160&lt;0.208333333333333,AK163-AK160,""),IF(AND(AK159&lt;&gt;"",LEFT(AG159,2)&lt;&gt;"Va",AK159&lt;&gt;"H. Sale Real"),IF(AK163-AK159&lt;0.208333333333333,AK163-AK159,""),IF(AND(AK158&lt;&gt;"",LEFT(AG158,2)&lt;&gt;"Va",AK158&lt;&gt;"H. Sale Real"),IF(AK163-AK158&lt;0.208333333333333,AK163-AK158,""),""))))),""),"")</f>
        <v/>
      </c>
      <c r="AY162" s="87" t="n"/>
      <c r="AZ162" s="89" t="n"/>
      <c r="BA162" s="87" t="n"/>
      <c r="BB162" s="89" t="n"/>
      <c r="BC162" s="91" t="n"/>
      <c r="BD162" s="122">
        <f>IF(AK162&lt;&gt;"",IF(AND(BD161&lt;&gt;"IE",AT162&lt;&gt;0,AV162&lt;&gt;""),IF(IFERROR((AT162/AV162),0) &lt;=1,IFERROR(AT162/AV162,""),1),""),"")</f>
        <v/>
      </c>
      <c r="BE162" s="93" t="n"/>
      <c r="BF162" s="105" t="n"/>
      <c r="FC162" t="inlineStr">
        <is>
          <t>Diccionario 1</t>
        </is>
      </c>
      <c r="FD162" s="15" t="n">
        <v>1158</v>
      </c>
      <c r="FE162" s="15" t="inlineStr">
        <is>
          <t>YV3T7U521LA201710</t>
        </is>
      </c>
      <c r="FF162" s="15" t="n">
        <v>508361</v>
      </c>
      <c r="FG162" s="15" t="inlineStr">
        <is>
          <t>Volvo</t>
        </is>
      </c>
      <c r="FH162" s="15" t="inlineStr">
        <is>
          <t>B8RLEA</t>
        </is>
      </c>
      <c r="FI162" s="15" t="inlineStr">
        <is>
          <t>MARCOPOLO</t>
        </is>
      </c>
      <c r="FJ162" s="15" t="inlineStr">
        <is>
          <t>GRAN VIALE</t>
        </is>
      </c>
      <c r="FK162" s="15" t="n">
        <v>2020</v>
      </c>
      <c r="FL162" s="15" t="inlineStr">
        <is>
          <t>C</t>
        </is>
      </c>
      <c r="FM162" s="15" t="inlineStr">
        <is>
          <t>PIE ANDINO</t>
        </is>
      </c>
      <c r="FN162" s="15" t="inlineStr">
        <is>
          <t>Pie Andino 31 (Pie Andino 383)</t>
        </is>
      </c>
      <c r="FO162" s="15" t="inlineStr">
        <is>
          <t>Puente Alto</t>
        </is>
      </c>
      <c r="FP162" t="inlineStr">
        <is>
          <t>C</t>
        </is>
      </c>
      <c r="FS162" s="14" t="inlineStr">
        <is>
          <t>3041 / SFVZ-49|</t>
        </is>
      </c>
      <c r="FT162" t="inlineStr">
        <is>
          <t>SFVZ-49|</t>
        </is>
      </c>
      <c r="FU162" t="inlineStr">
        <is>
          <t>SFVZ-49</t>
        </is>
      </c>
      <c r="FV162">
        <f>VLOOKUP(FU162,FD:FL,9,0)</f>
        <v/>
      </c>
      <c r="HA162" s="35" t="n">
        <v>159</v>
      </c>
      <c r="HB162" s="35" t="n">
        <v>156</v>
      </c>
    </row>
    <row r="163" ht="15.5" customHeight="1">
      <c r="A163" s="10">
        <f>HOUR(G163)+1</f>
        <v/>
      </c>
      <c r="B163" s="7" t="n"/>
      <c r="C163" s="7" t="n"/>
      <c r="D163" s="85">
        <f>IFERROR(
IF(AND(OR(Planilla!B163="C",Planilla!B163="c"), VLOOKUP(E163,FD:FP,13,0)="C"), "OK",IF(AND(OR(Planilla!B163="C",Planilla!B163="c"), OR(VLOOKUP(E163,FD:FP,13,0)="B", VLOOKUP(E163,FD:FP,13,0)="A")), "DEFICIT",IF(
AND(OR(Planilla!B163="B", Planilla!B163="BPAL"), VLOOKUP(E163,FD:FP,13,0)="B"), "OK",IF(AND(OR(Planilla!B163="B", Planilla!B163="BPAL"), VLOOKUP(E163,FD:FP,13,0)="A"), "DEFICIT",IF(AND(OR(Planilla!B163="B", Planilla!B163="BPAL"), VLOOKUP(E163,FD:FP,13,0)="C"), "SOBREOFERTA",IF(AND(Planilla!B163="A", VLOOKUP(E163,FD:FP,13,0)="A"), "OK",IF(
AND(Planilla!B163="A", OR(VLOOKUP(E163,FD:FP,13,0)="B", VLOOKUP(E163,FD:FP,13,0)="C")), "SOBREOFERTA",""
))))))),"")</f>
        <v/>
      </c>
      <c r="E163" s="8" t="n"/>
      <c r="F163" s="86" t="n"/>
      <c r="G163" s="87" t="n"/>
      <c r="H163" s="88">
        <f>IF(I163="","",IF(AND((I163-G163)&gt;=TIME(0,0,0),(I163-G163)&lt;TIME(0,3,0)),"OK",IF(AND((I163-G163)&gt;=TIME(0,3,0),(I163-G163)&lt;TIME(0,5,0)),"RETRASO DE 3-5 MIN",IF(AND((I163-G163)&gt;=TIME(0,5,0),(I163-G163)&lt;TIME(0,10,0)),"RETRASO DE 5-10 MIN",IF((I163-G163)&gt;=TIME(0,10,0),"RETRASO &gt;10 MIN", IF(AND((G163-I163)&gt;=TIME(0,0,0),(G163-I163)&lt;TIME(0,3,0)),"OK",IF((G163-I163)&gt;=TIME(0,3,0),"ADELANTADO")))))))</f>
        <v/>
      </c>
      <c r="I163" s="89" t="n"/>
      <c r="J163" s="89">
        <f>IF(A163&lt;&gt;"",HLOOKUP(VALUE(TEXT(G163,"h:mm:ss")),IF($C$6="Laboral",$FZ$4:$GX$227,IF($C$6="Sábado",$FZ$231:$GX$452,$FZ$456:$GX$656)),VLOOKUP($C$4,$HF$2:$HH$99,3,0)+IF(C$5="Ida",0,1),1),"")</f>
        <v/>
      </c>
      <c r="K163" s="89">
        <f>IF(A164&lt;&gt;A163,AVERAGEIF(A$9:A163,A163,J$9:J163),"")</f>
        <v/>
      </c>
      <c r="L163" s="89">
        <f>IFERROR(IF(A164&lt;&gt;A163,AVERAGEIF(A$9:A163,A163,S$9:S163),""),"")</f>
        <v/>
      </c>
      <c r="M163" s="89">
        <f>IFERROR(IF(A164&lt;&gt;A163,AVERAGEIF(A$9:A163,A163,T$9:T163),""),"")</f>
        <v/>
      </c>
      <c r="N163" s="89">
        <f t="array" ref="N163">IFERROR(IF(A164&lt;&gt;A163,_xlfn.STDEV.P(IF(A$9:A163=A163,T$9:T163)),""),"")</f>
        <v/>
      </c>
      <c r="O163" s="89">
        <f t="array" ref="O163">IFERROR(IF(A164&lt;&gt;A163,_xlfn.STDEV.P(IF(A$9:A163=A163,S$9:S163)),""),"")</f>
        <v/>
      </c>
      <c r="P163" s="90">
        <f>IFERROR(IF(A163&lt;&gt;A164,MAX((((M163*24*60)/2)*(1+POWER((((N163*24*60) / (M163*24*60) )),2))) + ((M163*24*60 )*-0.1 + (K163*0.015)) +1,(((M163*24*60)/2)*(1+POWER((((N163*24*60) / (M163*24*60 ))),2)))),""),"")</f>
        <v/>
      </c>
      <c r="Q163" s="90">
        <f>IF(AND(O163&lt;&gt;"",L163&lt;&gt;""),IF(A163&lt;&gt;A164,((L163*24*60) / 2 ) * (1 + POWER(((O163*24*60) / (L163*24*60)),2)),""),"")</f>
        <v/>
      </c>
      <c r="R163" s="90">
        <f>IF(Q163&lt;&gt;"",MAX(P163,Q163),"")</f>
        <v/>
      </c>
      <c r="S163" s="89">
        <f>IF(I163&lt;&gt;"H. Sale Real",IF(AND(I164&lt;&gt;"",LEFT(C164,2)&lt;&gt;"Va"),IF(AND(I163&lt;&gt;"",LEFT(C163,2)&lt;&gt;"Va",I163&lt;&gt;"H. Sale Real"),IF(I164-I163&lt;0.208333333333333,I164-I163,""),IF(AND(I162&lt;&gt;"",LEFT(C162,2)&lt;&gt;"Va",I162&lt;&gt;"H. Sale Real"),IF(I164-I162&lt;0.208333333333333,I164-I162,""),IF(AND(I161&lt;&gt;"",LEFT(C161,2)&lt;&gt;"Va",I161&lt;&gt;"H. Sale Real"),IF(I164-I161&lt;0.208333333333333,I164-I161,""),IF(AND(I160&lt;&gt;"",LEFT(C160,2)&lt;&gt;"Va",I160&lt;&gt;"H. Sale Real"),IF(I164-I160&lt;0.208333333333333,I164-I160,""),IF(AND(I159&lt;&gt;"",LEFT(C159,2)&lt;&gt;"Va",I159&lt;&gt;"H. Sale Real"),IF(I164-I159&lt;0.208333333333333,I164-I159,""),""))))),""),"")</f>
        <v/>
      </c>
      <c r="T163" s="89">
        <f>IF(G163&lt;&gt;"H. Sale Real",IF(AND(G164&lt;&gt;"",LEFT(C164,2)&lt;&gt;"Va"),IF(AND(G163&lt;&gt;"",LEFT(C163,2)&lt;&gt;"Va",G163&lt;&gt;"H. Sale Real"),IF(G164-G163&lt;0.208333333333333,G164-G163,""),IF(AND(G162&lt;&gt;"",LEFT(C162,2)&lt;&gt;"Va",G162&lt;&gt;"H. Sale Real"),IF(G164-G162&lt;0.208333333333333,G164-G162,""),IF(AND(G161&lt;&gt;"",LEFT(C161,2)&lt;&gt;"Va",G161&lt;&gt;"H. Sale Real"),IF(G164-G161&lt;0.208333333333333,G164-G161,""),IF(AND(G160&lt;&gt;"",LEFT(C160,2)&lt;&gt;"Va",G160&lt;&gt;"H. Sale Real"),IF(G164-G160&lt;0.208333333333333,G164-G160,""),IF(AND(G159&lt;&gt;"",LEFT(C159,2)&lt;&gt;"Va",G159&lt;&gt;"H. Sale Real"),IF(G164-G159&lt;0.208333333333333,G164-G159,""),""))))),""),"")</f>
        <v/>
      </c>
      <c r="U163" s="87" t="n"/>
      <c r="V163" s="89" t="n"/>
      <c r="W163" s="87" t="n"/>
      <c r="X163" s="89" t="n"/>
      <c r="Y163" s="91" t="n"/>
      <c r="Z163" s="122">
        <f>IF(G163&lt;&gt;"",IF(AND(Z162&lt;&gt;"IE",P163&lt;&gt;0,R163&lt;&gt;""),IF(IFERROR((P163/R163),0) &lt;=1,IFERROR(P163/R163,""),1),""),"")</f>
        <v/>
      </c>
      <c r="AA163" s="93" t="n"/>
      <c r="AB163" s="2" t="n"/>
      <c r="AE163" s="10">
        <f>HOUR(AK163)+1</f>
        <v/>
      </c>
      <c r="AF163" s="7" t="n"/>
      <c r="AG163" s="7" t="n"/>
      <c r="AH163" s="86" t="n"/>
      <c r="AI163" s="8" t="n"/>
      <c r="AJ163" s="86" t="n"/>
      <c r="AK163" s="87" t="n"/>
      <c r="AL163" s="88">
        <f>IF(AM163="","",IF(AND((AM163-AK163)&gt;=TIME(0,0,0),(AM163-AK163)&lt;TIME(0,3,0)),"OK",IF(AND((AM163-AK163)&gt;=TIME(0,3,0),(AM163-AK163)&lt;TIME(0,5,0)),"RETRASO DE 3-5 MIN",IF(AND((AM163-AK163)&gt;=TIME(0,5,0),(AM163-AK163)&lt;TIME(0,10,0)),"RETRASO DE 5-10 MIN",IF((AM163-AK163)&gt;=TIME(0,10,0),"RETRASO &gt;10 MIN", IF(AND((AK163-AM163)&gt;=TIME(0,0,0),(AK163-AM163)&lt;TIME(0,3,0)),"OK",IF((AK163-AM163)&gt;=TIME(0,3,0),"ADELANTADO")))))))</f>
        <v/>
      </c>
      <c r="AM163" s="91" t="n"/>
      <c r="AN163" s="89">
        <f>IF(AE163&lt;&gt;"",HLOOKUP(VALUE(TEXT(AK163,"h:mm:ss")),IF($C$6="Laboral",$FZ$4:$GX$227,IF($C$6="Sábado",$FZ$231:$GX$452,$FZ$456:$GX$656)),VLOOKUP($C$4,$HF$2:$HH$99,3,0)+IF(AG$5="Ida",0,1),1),"")</f>
        <v/>
      </c>
      <c r="AO163" s="89">
        <f>IF(AE164&lt;&gt;AE163,AVERAGEIF(AE$9:AE163,AE163,AN$9:AN163),"")</f>
        <v/>
      </c>
      <c r="AP163" s="89">
        <f>IFERROR(IF(AE164&lt;&gt;AE163,AVERAGEIF(AE$9:AE163,AE163,AW$9:AW163),""),"")</f>
        <v/>
      </c>
      <c r="AQ163" s="89">
        <f>IFERROR(IF(AE164&lt;&gt;AE163,AVERAGEIF(AE$9:AE163,AE163,AX$9:AX163),""),"")</f>
        <v/>
      </c>
      <c r="AR163" s="89">
        <f t="array" ref="AR163">IFERROR(IF(AE164&lt;&gt;AE163,_xlfn.STDEV.P(IF(AE$9:AE163=AE163,AX$9:AX163)),""),"")</f>
        <v/>
      </c>
      <c r="AS163" s="89">
        <f t="array" ref="AS163">IFERROR(IF(AE164&lt;&gt;AE163,_xlfn.STDEV.P(IF(AE$9:AE163=AE163,AW$9:AW163)),""),"")</f>
        <v/>
      </c>
      <c r="AT163" s="90">
        <f>IFERROR(IF(AE163&lt;&gt;AE164,MAX((((AQ163*24*60)/2)*(1+POWER((((AR163*24*60) / (AQ163*24*60) )),2))) + ((AQ163*24*60 )*-0.1 + (AO163*0.015)) +1,(((AQ163*24*60)/2)*(1+POWER((((AR163*24*60) / (AQ163*24*60 ))),2)))),""),"")</f>
        <v/>
      </c>
      <c r="AU163" s="90">
        <f>IF(AND(AS163&lt;&gt;"",AP163&lt;&gt;""),IF(AE163&lt;&gt;AE164,((AP163*24*60) / 2 ) * (1 + POWER(((AS163*24*60) / (AP163*24*60)),2)),""),"")</f>
        <v/>
      </c>
      <c r="AV163" s="90">
        <f>IF(AU163&lt;&gt;"",MAX(AT163,AU163),"")</f>
        <v/>
      </c>
      <c r="AW163" s="89">
        <f>IF(AM163&lt;&gt;"H. Sale Real",IF(AND(AM164&lt;&gt;"",LEFT(AG164,2)&lt;&gt;"Va"),IF(AND(AM163&lt;&gt;"",LEFT(AG163,2)&lt;&gt;"Va",AM163&lt;&gt;"H. Sale Real"),IF(AM164-AM163&lt;0.208333333333333,AM164-AM163,""),IF(AND(AM162&lt;&gt;"",LEFT(AG162,2)&lt;&gt;"Va",AM162&lt;&gt;"H. Sale Real"),IF(AM164-AM162&lt;0.208333333333333,AM164-AM162,""),IF(AND(AM161&lt;&gt;"",LEFT(AG161,2)&lt;&gt;"Va",AM161&lt;&gt;"H. Sale Real"),IF(AM164-AM161&lt;0.208333333333333,AM164-AM161,""),IF(AND(AM160&lt;&gt;"",LEFT(AG160,2)&lt;&gt;"Va",AM160&lt;&gt;"H. Sale Real"),IF(AM164-AM160&lt;0.208333333333333,AM164-AM160,""),IF(AND(AM159&lt;&gt;"",LEFT(AG159,2)&lt;&gt;"Va",AM159&lt;&gt;"H. Sale Real"),IF(AM164-AM159&lt;0.208333333333333,AM164-AM159,""),""))))),""),"")</f>
        <v/>
      </c>
      <c r="AX163" s="89">
        <f>IF(AK163&lt;&gt;"H. Sale Real",IF(AND(AK164&lt;&gt;"",LEFT(AG164,2)&lt;&gt;"Va"),IF(AND(AK163&lt;&gt;"",LEFT(AG163,2)&lt;&gt;"Va",AK163&lt;&gt;"H. Sale Real"),IF(AK164-AK163&lt;0.208333333333333,AK164-AK163,""),IF(AND(AK162&lt;&gt;"",LEFT(AG162,2)&lt;&gt;"Va",AK162&lt;&gt;"H. Sale Real"),IF(AK164-AK162&lt;0.208333333333333,AK164-AK162,""),IF(AND(AK161&lt;&gt;"",LEFT(AG161,2)&lt;&gt;"NC",AK161&lt;&gt;"H. Sale Real"),IF(AK164-AK161&lt;0.208333333333333,AK164-AK161,""),IF(AND(AK160&lt;&gt;"",LEFT(AG160,2)&lt;&gt;"Va",AK160&lt;&gt;"H. Sale Real"),IF(AK164-AK160&lt;0.208333333333333,AK164-AK160,""),IF(AND(AK159&lt;&gt;"",LEFT(AG159,2)&lt;&gt;"Va",AK159&lt;&gt;"H. Sale Real"),IF(AK164-AK159&lt;0.208333333333333,AK164-AK159,""),""))))),""),"")</f>
        <v/>
      </c>
      <c r="AY163" s="87" t="n"/>
      <c r="AZ163" s="89" t="n"/>
      <c r="BA163" s="87" t="n"/>
      <c r="BB163" s="89" t="n"/>
      <c r="BC163" s="91" t="n"/>
      <c r="BD163" s="122">
        <f>IF(AK163&lt;&gt;"",IF(AND(BD162&lt;&gt;"IE",AT163&lt;&gt;0,AV163&lt;&gt;""),IF(IFERROR((AT163/AV163),0) &lt;=1,IFERROR(AT163/AV163,""),1),""),"")</f>
        <v/>
      </c>
      <c r="BE163" s="93" t="n"/>
      <c r="BF163" s="105" t="n"/>
      <c r="FC163" t="inlineStr">
        <is>
          <t>Diccionario 1</t>
        </is>
      </c>
      <c r="FD163" s="15" t="n">
        <v>1159</v>
      </c>
      <c r="FE163" s="15" t="inlineStr">
        <is>
          <t>YV3T7U526LA201699</t>
        </is>
      </c>
      <c r="FF163" s="15" t="n">
        <v>508380</v>
      </c>
      <c r="FG163" s="15" t="inlineStr">
        <is>
          <t>Volvo</t>
        </is>
      </c>
      <c r="FH163" s="15" t="inlineStr">
        <is>
          <t>B8RLEA</t>
        </is>
      </c>
      <c r="FI163" s="15" t="inlineStr">
        <is>
          <t>MARCOPOLO</t>
        </is>
      </c>
      <c r="FJ163" s="15" t="inlineStr">
        <is>
          <t>GRAN VIALE</t>
        </is>
      </c>
      <c r="FK163" s="15" t="n">
        <v>2020</v>
      </c>
      <c r="FL163" s="15" t="inlineStr">
        <is>
          <t>C</t>
        </is>
      </c>
      <c r="FM163" s="15" t="inlineStr">
        <is>
          <t>PIE ANDINO</t>
        </is>
      </c>
      <c r="FN163" s="15" t="inlineStr">
        <is>
          <t>Pie Andino 31 (Pie Andino 383)</t>
        </is>
      </c>
      <c r="FO163" s="15" t="inlineStr">
        <is>
          <t>Puente Alto</t>
        </is>
      </c>
      <c r="FP163" t="inlineStr">
        <is>
          <t>C</t>
        </is>
      </c>
      <c r="FS163" s="14" t="inlineStr">
        <is>
          <t>3041 / SFVZ-49|</t>
        </is>
      </c>
      <c r="FT163" t="inlineStr">
        <is>
          <t>SFVZ-49|</t>
        </is>
      </c>
      <c r="FU163" t="inlineStr">
        <is>
          <t>SFVZ-49</t>
        </is>
      </c>
      <c r="FV163">
        <f>VLOOKUP(FU163,FD:FL,9,0)</f>
        <v/>
      </c>
      <c r="HA163" s="35" t="n">
        <v>160</v>
      </c>
      <c r="HB163" s="35" t="n">
        <v>157</v>
      </c>
    </row>
    <row r="164" ht="15.5" customHeight="1">
      <c r="A164" s="10">
        <f>HOUR(G164)+1</f>
        <v/>
      </c>
      <c r="B164" s="7" t="n"/>
      <c r="C164" s="7" t="n"/>
      <c r="D164" s="85">
        <f>IFERROR(
IF(AND(OR(Planilla!B164="C",Planilla!B164="c"), VLOOKUP(E164,FD:FP,13,0)="C"), "OK",IF(AND(OR(Planilla!B164="C",Planilla!B164="c"), OR(VLOOKUP(E164,FD:FP,13,0)="B", VLOOKUP(E164,FD:FP,13,0)="A")), "DEFICIT",IF(
AND(OR(Planilla!B164="B", Planilla!B164="BPAL"), VLOOKUP(E164,FD:FP,13,0)="B"), "OK",IF(AND(OR(Planilla!B164="B", Planilla!B164="BPAL"), VLOOKUP(E164,FD:FP,13,0)="A"), "DEFICIT",IF(AND(OR(Planilla!B164="B", Planilla!B164="BPAL"), VLOOKUP(E164,FD:FP,13,0)="C"), "SOBREOFERTA",IF(AND(Planilla!B164="A", VLOOKUP(E164,FD:FP,13,0)="A"), "OK",IF(
AND(Planilla!B164="A", OR(VLOOKUP(E164,FD:FP,13,0)="B", VLOOKUP(E164,FD:FP,13,0)="C")), "SOBREOFERTA",""
))))))),"")</f>
        <v/>
      </c>
      <c r="E164" s="8" t="n"/>
      <c r="F164" s="86" t="n"/>
      <c r="G164" s="87" t="n"/>
      <c r="H164" s="88">
        <f>IF(I164="","",IF(AND((I164-G164)&gt;=TIME(0,0,0),(I164-G164)&lt;TIME(0,3,0)),"OK",IF(AND((I164-G164)&gt;=TIME(0,3,0),(I164-G164)&lt;TIME(0,5,0)),"RETRASO DE 3-5 MIN",IF(AND((I164-G164)&gt;=TIME(0,5,0),(I164-G164)&lt;TIME(0,10,0)),"RETRASO DE 5-10 MIN",IF((I164-G164)&gt;=TIME(0,10,0),"RETRASO &gt;10 MIN", IF(AND((G164-I164)&gt;=TIME(0,0,0),(G164-I164)&lt;TIME(0,3,0)),"OK",IF((G164-I164)&gt;=TIME(0,3,0),"ADELANTADO")))))))</f>
        <v/>
      </c>
      <c r="I164" s="89" t="n"/>
      <c r="J164" s="89">
        <f>IF(A164&lt;&gt;"",HLOOKUP(VALUE(TEXT(G164,"h:mm:ss")),IF($C$6="Laboral",$FZ$4:$GX$227,IF($C$6="Sábado",$FZ$231:$GX$452,$FZ$456:$GX$656)),VLOOKUP($C$4,$HF$2:$HH$99,3,0)+IF(C$5="Ida",0,1),1),"")</f>
        <v/>
      </c>
      <c r="K164" s="89">
        <f>IF(A165&lt;&gt;A164,AVERAGEIF(A$9:A164,A164,J$9:J164),"")</f>
        <v/>
      </c>
      <c r="L164" s="89">
        <f>IFERROR(IF(A165&lt;&gt;A164,AVERAGEIF(A$9:A164,A164,S$9:S164),""),"")</f>
        <v/>
      </c>
      <c r="M164" s="89">
        <f>IFERROR(IF(A165&lt;&gt;A164,AVERAGEIF(A$9:A164,A164,T$9:T164),""),"")</f>
        <v/>
      </c>
      <c r="N164" s="89">
        <f t="array" ref="N164">IFERROR(IF(A165&lt;&gt;A164,_xlfn.STDEV.P(IF(A$9:A164=A164,T$9:T164)),""),"")</f>
        <v/>
      </c>
      <c r="O164" s="89">
        <f t="array" ref="O164">IFERROR(IF(A165&lt;&gt;A164,_xlfn.STDEV.P(IF(A$9:A164=A164,S$9:S164)),""),"")</f>
        <v/>
      </c>
      <c r="P164" s="90">
        <f>IFERROR(IF(A164&lt;&gt;A165,MAX((((M164*24*60)/2)*(1+POWER((((N164*24*60) / (M164*24*60) )),2))) + ((M164*24*60 )*-0.1 + (K164*0.015)) +1,(((M164*24*60)/2)*(1+POWER((((N164*24*60) / (M164*24*60 ))),2)))),""),"")</f>
        <v/>
      </c>
      <c r="Q164" s="90">
        <f>IF(AND(O164&lt;&gt;"",L164&lt;&gt;""),IF(A164&lt;&gt;A165,((L164*24*60) / 2 ) * (1 + POWER(((O164*24*60) / (L164*24*60)),2)),""),"")</f>
        <v/>
      </c>
      <c r="R164" s="90">
        <f>IF(Q164&lt;&gt;"",MAX(P164,Q164),"")</f>
        <v/>
      </c>
      <c r="S164" s="89">
        <f>IF(I164&lt;&gt;"H. Sale Real",IF(AND(I165&lt;&gt;"",LEFT(C165,2)&lt;&gt;"Va"),IF(AND(I164&lt;&gt;"",LEFT(C164,2)&lt;&gt;"Va",I164&lt;&gt;"H. Sale Real"),IF(I165-I164&lt;0.208333333333333,I165-I164,""),IF(AND(I163&lt;&gt;"",LEFT(C163,2)&lt;&gt;"Va",I163&lt;&gt;"H. Sale Real"),IF(I165-I163&lt;0.208333333333333,I165-I163,""),IF(AND(I162&lt;&gt;"",LEFT(C162,2)&lt;&gt;"Va",I162&lt;&gt;"H. Sale Real"),IF(I165-I162&lt;0.208333333333333,I165-I162,""),IF(AND(I161&lt;&gt;"",LEFT(C161,2)&lt;&gt;"Va",I161&lt;&gt;"H. Sale Real"),IF(I165-I161&lt;0.208333333333333,I165-I161,""),IF(AND(I160&lt;&gt;"",LEFT(C160,2)&lt;&gt;"Va",I160&lt;&gt;"H. Sale Real"),IF(I165-I160&lt;0.208333333333333,I165-I160,""),""))))),""),"")</f>
        <v/>
      </c>
      <c r="T164" s="89">
        <f>IF(G164&lt;&gt;"H. Sale Real",IF(AND(G165&lt;&gt;"",LEFT(C165,2)&lt;&gt;"Va"),IF(AND(G164&lt;&gt;"",LEFT(C164,2)&lt;&gt;"Va",G164&lt;&gt;"H. Sale Real"),IF(G165-G164&lt;0.208333333333333,G165-G164,""),IF(AND(G163&lt;&gt;"",LEFT(C163,2)&lt;&gt;"Va",G163&lt;&gt;"H. Sale Real"),IF(G165-G163&lt;0.208333333333333,G165-G163,""),IF(AND(G162&lt;&gt;"",LEFT(C162,2)&lt;&gt;"Va",G162&lt;&gt;"H. Sale Real"),IF(G165-G162&lt;0.208333333333333,G165-G162,""),IF(AND(G161&lt;&gt;"",LEFT(C161,2)&lt;&gt;"Va",G161&lt;&gt;"H. Sale Real"),IF(G165-G161&lt;0.208333333333333,G165-G161,""),IF(AND(G160&lt;&gt;"",LEFT(C160,2)&lt;&gt;"Va",G160&lt;&gt;"H. Sale Real"),IF(G165-G160&lt;0.208333333333333,G165-G160,""),""))))),""),"")</f>
        <v/>
      </c>
      <c r="U164" s="87" t="n"/>
      <c r="V164" s="89" t="n"/>
      <c r="W164" s="87" t="n"/>
      <c r="X164" s="89" t="n"/>
      <c r="Y164" s="91" t="n"/>
      <c r="Z164" s="122">
        <f>IF(G164&lt;&gt;"",IF(AND(Z163&lt;&gt;"IE",P164&lt;&gt;0,R164&lt;&gt;""),IF(IFERROR((P164/R164),0) &lt;=1,IFERROR(P164/R164,""),1),""),"")</f>
        <v/>
      </c>
      <c r="AA164" s="93" t="n"/>
      <c r="AB164" s="2" t="n"/>
      <c r="AE164" s="10">
        <f>HOUR(AK164)+1</f>
        <v/>
      </c>
      <c r="AF164" s="7" t="n"/>
      <c r="AG164" s="7" t="n"/>
      <c r="AH164" s="86" t="n"/>
      <c r="AI164" s="8" t="n"/>
      <c r="AJ164" s="86" t="n"/>
      <c r="AK164" s="87" t="n"/>
      <c r="AL164" s="88">
        <f>IF(AM164="","",IF(AND((AM164-AK164)&gt;=TIME(0,0,0),(AM164-AK164)&lt;TIME(0,3,0)),"OK",IF(AND((AM164-AK164)&gt;=TIME(0,3,0),(AM164-AK164)&lt;TIME(0,5,0)),"RETRASO DE 3-5 MIN",IF(AND((AM164-AK164)&gt;=TIME(0,5,0),(AM164-AK164)&lt;TIME(0,10,0)),"RETRASO DE 5-10 MIN",IF((AM164-AK164)&gt;=TIME(0,10,0),"RETRASO &gt;10 MIN", IF(AND((AK164-AM164)&gt;=TIME(0,0,0),(AK164-AM164)&lt;TIME(0,3,0)),"OK",IF((AK164-AM164)&gt;=TIME(0,3,0),"ADELANTADO")))))))</f>
        <v/>
      </c>
      <c r="AM164" s="91" t="n"/>
      <c r="AN164" s="89">
        <f>IF(AE164&lt;&gt;"",HLOOKUP(VALUE(TEXT(AK164,"h:mm:ss")),IF($C$6="Laboral",$FZ$4:$GX$227,IF($C$6="Sábado",$FZ$231:$GX$452,$FZ$456:$GX$656)),VLOOKUP($C$4,$HF$2:$HH$99,3,0)+IF(AG$5="Ida",0,1),1),"")</f>
        <v/>
      </c>
      <c r="AO164" s="89">
        <f>IF(AE165&lt;&gt;AE164,AVERAGEIF(AE$9:AE164,AE164,AN$9:AN164),"")</f>
        <v/>
      </c>
      <c r="AP164" s="89">
        <f>IFERROR(IF(AE165&lt;&gt;AE164,AVERAGEIF(AE$9:AE164,AE164,AW$9:AW164),""),"")</f>
        <v/>
      </c>
      <c r="AQ164" s="89">
        <f>IFERROR(IF(AE165&lt;&gt;AE164,AVERAGEIF(AE$9:AE164,AE164,AX$9:AX164),""),"")</f>
        <v/>
      </c>
      <c r="AR164" s="89">
        <f t="array" ref="AR164">IFERROR(IF(AE165&lt;&gt;AE164,_xlfn.STDEV.P(IF(AE$9:AE164=AE164,AX$9:AX164)),""),"")</f>
        <v/>
      </c>
      <c r="AS164" s="89">
        <f t="array" ref="AS164">IFERROR(IF(AE165&lt;&gt;AE164,_xlfn.STDEV.P(IF(AE$9:AE164=AE164,AW$9:AW164)),""),"")</f>
        <v/>
      </c>
      <c r="AT164" s="90">
        <f>IFERROR(IF(AE164&lt;&gt;AE165,MAX((((AQ164*24*60)/2)*(1+POWER((((AR164*24*60) / (AQ164*24*60) )),2))) + ((AQ164*24*60 )*-0.1 + (AO164*0.015)) +1,(((AQ164*24*60)/2)*(1+POWER((((AR164*24*60) / (AQ164*24*60 ))),2)))),""),"")</f>
        <v/>
      </c>
      <c r="AU164" s="90">
        <f>IF(AND(AS164&lt;&gt;"",AP164&lt;&gt;""),IF(AE164&lt;&gt;AE165,((AP164*24*60) / 2 ) * (1 + POWER(((AS164*24*60) / (AP164*24*60)),2)),""),"")</f>
        <v/>
      </c>
      <c r="AV164" s="90">
        <f>IF(AU164&lt;&gt;"",MAX(AT164,AU164),"")</f>
        <v/>
      </c>
      <c r="AW164" s="89">
        <f>IF(AM164&lt;&gt;"H. Sale Real",IF(AND(AM165&lt;&gt;"",LEFT(AG165,2)&lt;&gt;"Va"),IF(AND(AM164&lt;&gt;"",LEFT(AG164,2)&lt;&gt;"Va",AM164&lt;&gt;"H. Sale Real"),IF(AM165-AM164&lt;0.208333333333333,AM165-AM164,""),IF(AND(AM163&lt;&gt;"",LEFT(AG163,2)&lt;&gt;"Va",AM163&lt;&gt;"H. Sale Real"),IF(AM165-AM163&lt;0.208333333333333,AM165-AM163,""),IF(AND(AM162&lt;&gt;"",LEFT(AG162,2)&lt;&gt;"Va",AM162&lt;&gt;"H. Sale Real"),IF(AM165-AM162&lt;0.208333333333333,AM165-AM162,""),IF(AND(AM161&lt;&gt;"",LEFT(AG161,2)&lt;&gt;"Va",AM161&lt;&gt;"H. Sale Real"),IF(AM165-AM161&lt;0.208333333333333,AM165-AM161,""),IF(AND(AM160&lt;&gt;"",LEFT(AG160,2)&lt;&gt;"Va",AM160&lt;&gt;"H. Sale Real"),IF(AM165-AM160&lt;0.208333333333333,AM165-AM160,""),""))))),""),"")</f>
        <v/>
      </c>
      <c r="AX164" s="89">
        <f>IF(AK164&lt;&gt;"H. Sale Real",IF(AND(AK165&lt;&gt;"",LEFT(AG165,2)&lt;&gt;"Va"),IF(AND(AK164&lt;&gt;"",LEFT(AG164,2)&lt;&gt;"Va",AK164&lt;&gt;"H. Sale Real"),IF(AK165-AK164&lt;0.208333333333333,AK165-AK164,""),IF(AND(AK163&lt;&gt;"",LEFT(AG163,2)&lt;&gt;"Va",AK163&lt;&gt;"H. Sale Real"),IF(AK165-AK163&lt;0.208333333333333,AK165-AK163,""),IF(AND(AK162&lt;&gt;"",LEFT(AG162,2)&lt;&gt;"NC",AK162&lt;&gt;"H. Sale Real"),IF(AK165-AK162&lt;0.208333333333333,AK165-AK162,""),IF(AND(AK161&lt;&gt;"",LEFT(AG161,2)&lt;&gt;"Va",AK161&lt;&gt;"H. Sale Real"),IF(AK165-AK161&lt;0.208333333333333,AK165-AK161,""),IF(AND(AK160&lt;&gt;"",LEFT(AG160,2)&lt;&gt;"Va",AK160&lt;&gt;"H. Sale Real"),IF(AK165-AK160&lt;0.208333333333333,AK165-AK160,""),""))))),""),"")</f>
        <v/>
      </c>
      <c r="AY164" s="87" t="n"/>
      <c r="AZ164" s="89" t="n"/>
      <c r="BA164" s="87" t="n"/>
      <c r="BB164" s="89" t="n"/>
      <c r="BC164" s="91" t="n"/>
      <c r="BD164" s="122">
        <f>IF(AK164&lt;&gt;"",IF(AND(BD163&lt;&gt;"IE",AT164&lt;&gt;0,AV164&lt;&gt;""),IF(IFERROR((AT164/AV164),0) &lt;=1,IFERROR(AT164/AV164,""),1),""),"")</f>
        <v/>
      </c>
      <c r="BE164" s="93" t="n"/>
      <c r="BF164" s="105" t="n"/>
      <c r="FC164" t="inlineStr">
        <is>
          <t>Diccionario 1</t>
        </is>
      </c>
      <c r="FD164" s="15" t="n">
        <v>1160</v>
      </c>
      <c r="FE164" s="15" t="inlineStr">
        <is>
          <t>YV3T7U522LA201697</t>
        </is>
      </c>
      <c r="FF164" s="15" t="n">
        <v>508444</v>
      </c>
      <c r="FG164" s="15" t="inlineStr">
        <is>
          <t>Volvo</t>
        </is>
      </c>
      <c r="FH164" s="15" t="inlineStr">
        <is>
          <t>B8RLEA</t>
        </is>
      </c>
      <c r="FI164" s="15" t="inlineStr">
        <is>
          <t>MARCOPOLO</t>
        </is>
      </c>
      <c r="FJ164" s="15" t="inlineStr">
        <is>
          <t>GRAN VIALE</t>
        </is>
      </c>
      <c r="FK164" s="15" t="n">
        <v>2020</v>
      </c>
      <c r="FL164" s="15" t="inlineStr">
        <is>
          <t>C</t>
        </is>
      </c>
      <c r="FM164" s="15" t="inlineStr">
        <is>
          <t>PIE ANDINO</t>
        </is>
      </c>
      <c r="FN164" s="15" t="inlineStr">
        <is>
          <t>Pie Andino 31 (Pie Andino 383)</t>
        </is>
      </c>
      <c r="FO164" s="15" t="inlineStr">
        <is>
          <t>Puente Alto</t>
        </is>
      </c>
      <c r="FP164" t="inlineStr">
        <is>
          <t>C</t>
        </is>
      </c>
      <c r="FS164" s="14" t="inlineStr">
        <is>
          <t>3041 / SFVZ-49|</t>
        </is>
      </c>
      <c r="FT164" t="inlineStr">
        <is>
          <t>SFVZ-49|</t>
        </is>
      </c>
      <c r="FU164" t="inlineStr">
        <is>
          <t>SFVZ-49</t>
        </is>
      </c>
      <c r="FV164">
        <f>VLOOKUP(FU164,FD:FL,9,0)</f>
        <v/>
      </c>
      <c r="HA164" s="35" t="n">
        <v>161</v>
      </c>
      <c r="HB164" s="35" t="n">
        <v>158</v>
      </c>
    </row>
    <row r="165" ht="15.5" customHeight="1">
      <c r="A165" s="10">
        <f>HOUR(G165)+1</f>
        <v/>
      </c>
      <c r="B165" s="7" t="n"/>
      <c r="C165" s="7" t="n"/>
      <c r="D165" s="85">
        <f>IFERROR(
IF(AND(OR(Planilla!B165="C",Planilla!B165="c"), VLOOKUP(E165,FD:FP,13,0)="C"), "OK",IF(AND(OR(Planilla!B165="C",Planilla!B165="c"), OR(VLOOKUP(E165,FD:FP,13,0)="B", VLOOKUP(E165,FD:FP,13,0)="A")), "DEFICIT",IF(
AND(OR(Planilla!B165="B", Planilla!B165="BPAL"), VLOOKUP(E165,FD:FP,13,0)="B"), "OK",IF(AND(OR(Planilla!B165="B", Planilla!B165="BPAL"), VLOOKUP(E165,FD:FP,13,0)="A"), "DEFICIT",IF(AND(OR(Planilla!B165="B", Planilla!B165="BPAL"), VLOOKUP(E165,FD:FP,13,0)="C"), "SOBREOFERTA",IF(AND(Planilla!B165="A", VLOOKUP(E165,FD:FP,13,0)="A"), "OK",IF(
AND(Planilla!B165="A", OR(VLOOKUP(E165,FD:FP,13,0)="B", VLOOKUP(E165,FD:FP,13,0)="C")), "SOBREOFERTA",""
))))))),"")</f>
        <v/>
      </c>
      <c r="E165" s="8" t="n"/>
      <c r="F165" s="86" t="n"/>
      <c r="G165" s="87" t="n"/>
      <c r="H165" s="88">
        <f>IF(I165="","",IF(AND((I165-G165)&gt;=TIME(0,0,0),(I165-G165)&lt;TIME(0,3,0)),"OK",IF(AND((I165-G165)&gt;=TIME(0,3,0),(I165-G165)&lt;TIME(0,5,0)),"RETRASO DE 3-5 MIN",IF(AND((I165-G165)&gt;=TIME(0,5,0),(I165-G165)&lt;TIME(0,10,0)),"RETRASO DE 5-10 MIN",IF((I165-G165)&gt;=TIME(0,10,0),"RETRASO &gt;10 MIN", IF(AND((G165-I165)&gt;=TIME(0,0,0),(G165-I165)&lt;TIME(0,3,0)),"OK",IF((G165-I165)&gt;=TIME(0,3,0),"ADELANTADO")))))))</f>
        <v/>
      </c>
      <c r="I165" s="89" t="n"/>
      <c r="J165" s="89">
        <f>IF(A165&lt;&gt;"",HLOOKUP(VALUE(TEXT(G165,"h:mm:ss")),IF($C$6="Laboral",$FZ$4:$GX$227,IF($C$6="Sábado",$FZ$231:$GX$452,$FZ$456:$GX$656)),VLOOKUP($C$4,$HF$2:$HH$99,3,0)+IF(C$5="Ida",0,1),1),"")</f>
        <v/>
      </c>
      <c r="K165" s="89">
        <f>IF(A166&lt;&gt;A165,AVERAGEIF(A$9:A165,A165,J$9:J165),"")</f>
        <v/>
      </c>
      <c r="L165" s="89">
        <f>IFERROR(IF(A166&lt;&gt;A165,AVERAGEIF(A$9:A165,A165,S$9:S165),""),"")</f>
        <v/>
      </c>
      <c r="M165" s="89">
        <f>IFERROR(IF(A166&lt;&gt;A165,AVERAGEIF(A$9:A165,A165,T$9:T165),""),"")</f>
        <v/>
      </c>
      <c r="N165" s="89">
        <f t="array" ref="N165">IFERROR(IF(A166&lt;&gt;A165,_xlfn.STDEV.P(IF(A$9:A165=A165,T$9:T165)),""),"")</f>
        <v/>
      </c>
      <c r="O165" s="89">
        <f t="array" ref="O165">IFERROR(IF(A166&lt;&gt;A165,_xlfn.STDEV.P(IF(A$9:A165=A165,S$9:S165)),""),"")</f>
        <v/>
      </c>
      <c r="P165" s="90">
        <f>IFERROR(IF(A165&lt;&gt;A166,MAX((((M165*24*60)/2)*(1+POWER((((N165*24*60) / (M165*24*60) )),2))) + ((M165*24*60 )*-0.1 + (K165*0.015)) +1,(((M165*24*60)/2)*(1+POWER((((N165*24*60) / (M165*24*60 ))),2)))),""),"")</f>
        <v/>
      </c>
      <c r="Q165" s="90">
        <f>IF(AND(O165&lt;&gt;"",L165&lt;&gt;""),IF(A165&lt;&gt;A166,((L165*24*60) / 2 ) * (1 + POWER(((O165*24*60) / (L165*24*60)),2)),""),"")</f>
        <v/>
      </c>
      <c r="R165" s="90">
        <f>IF(Q165&lt;&gt;"",MAX(P165,Q165),"")</f>
        <v/>
      </c>
      <c r="S165" s="89">
        <f>IF(I165&lt;&gt;"H. Sale Real",IF(AND(I166&lt;&gt;"",LEFT(C166,2)&lt;&gt;"Va"),IF(AND(I165&lt;&gt;"",LEFT(C165,2)&lt;&gt;"Va",I165&lt;&gt;"H. Sale Real"),IF(I166-I165&lt;0.208333333333333,I166-I165,""),IF(AND(I164&lt;&gt;"",LEFT(C164,2)&lt;&gt;"Va",I164&lt;&gt;"H. Sale Real"),IF(I166-I164&lt;0.208333333333333,I166-I164,""),IF(AND(I163&lt;&gt;"",LEFT(C163,2)&lt;&gt;"Va",I163&lt;&gt;"H. Sale Real"),IF(I166-I163&lt;0.208333333333333,I166-I163,""),IF(AND(I162&lt;&gt;"",LEFT(C162,2)&lt;&gt;"Va",I162&lt;&gt;"H. Sale Real"),IF(I166-I162&lt;0.208333333333333,I166-I162,""),IF(AND(I161&lt;&gt;"",LEFT(C161,2)&lt;&gt;"Va",I161&lt;&gt;"H. Sale Real"),IF(I166-I161&lt;0.208333333333333,I166-I161,""),""))))),""),"")</f>
        <v/>
      </c>
      <c r="T165" s="89">
        <f>IF(G165&lt;&gt;"H. Sale Real",IF(AND(G166&lt;&gt;"",LEFT(C166,2)&lt;&gt;"Va"),IF(AND(G165&lt;&gt;"",LEFT(C165,2)&lt;&gt;"Va",G165&lt;&gt;"H. Sale Real"),IF(G166-G165&lt;0.208333333333333,G166-G165,""),IF(AND(G164&lt;&gt;"",LEFT(C164,2)&lt;&gt;"Va",G164&lt;&gt;"H. Sale Real"),IF(G166-G164&lt;0.208333333333333,G166-G164,""),IF(AND(G163&lt;&gt;"",LEFT(C163,2)&lt;&gt;"Va",G163&lt;&gt;"H. Sale Real"),IF(G166-G163&lt;0.208333333333333,G166-G163,""),IF(AND(G162&lt;&gt;"",LEFT(C162,2)&lt;&gt;"Va",G162&lt;&gt;"H. Sale Real"),IF(G166-G162&lt;0.208333333333333,G166-G162,""),IF(AND(G161&lt;&gt;"",LEFT(C161,2)&lt;&gt;"Va",G161&lt;&gt;"H. Sale Real"),IF(G166-G161&lt;0.208333333333333,G166-G161,""),""))))),""),"")</f>
        <v/>
      </c>
      <c r="U165" s="87" t="n"/>
      <c r="V165" s="89" t="n"/>
      <c r="W165" s="87" t="n"/>
      <c r="X165" s="89" t="n"/>
      <c r="Y165" s="91" t="n"/>
      <c r="Z165" s="122">
        <f>IF(G165&lt;&gt;"",IF(AND(Z164&lt;&gt;"IE",P165&lt;&gt;0,R165&lt;&gt;""),IF(IFERROR((P165/R165),0) &lt;=1,IFERROR(P165/R165,""),1),""),"")</f>
        <v/>
      </c>
      <c r="AA165" s="93" t="n"/>
      <c r="AB165" s="2" t="n"/>
      <c r="AE165" s="10">
        <f>HOUR(AK165)+1</f>
        <v/>
      </c>
      <c r="AF165" s="7" t="n"/>
      <c r="AG165" s="7" t="n"/>
      <c r="AH165" s="86" t="n"/>
      <c r="AI165" s="8" t="n"/>
      <c r="AJ165" s="86" t="n"/>
      <c r="AK165" s="87" t="n"/>
      <c r="AL165" s="88">
        <f>IF(AM165="","",IF(AND((AM165-AK165)&gt;=TIME(0,0,0),(AM165-AK165)&lt;TIME(0,3,0)),"OK",IF(AND((AM165-AK165)&gt;=TIME(0,3,0),(AM165-AK165)&lt;TIME(0,5,0)),"RETRASO DE 3-5 MIN",IF(AND((AM165-AK165)&gt;=TIME(0,5,0),(AM165-AK165)&lt;TIME(0,10,0)),"RETRASO DE 5-10 MIN",IF((AM165-AK165)&gt;=TIME(0,10,0),"RETRASO &gt;10 MIN", IF(AND((AK165-AM165)&gt;=TIME(0,0,0),(AK165-AM165)&lt;TIME(0,3,0)),"OK",IF((AK165-AM165)&gt;=TIME(0,3,0),"ADELANTADO")))))))</f>
        <v/>
      </c>
      <c r="AM165" s="91" t="n"/>
      <c r="AN165" s="89">
        <f>IF(AE165&lt;&gt;"",HLOOKUP(VALUE(TEXT(AK165,"h:mm:ss")),IF($C$6="Laboral",$FZ$4:$GX$227,IF($C$6="Sábado",$FZ$231:$GX$452,$FZ$456:$GX$656)),VLOOKUP($C$4,$HF$2:$HH$99,3,0)+IF(AG$5="Ida",0,1),1),"")</f>
        <v/>
      </c>
      <c r="AO165" s="89">
        <f>IF(AE166&lt;&gt;AE165,AVERAGEIF(AE$9:AE165,AE165,AN$9:AN165),"")</f>
        <v/>
      </c>
      <c r="AP165" s="89">
        <f>IFERROR(IF(AE166&lt;&gt;AE165,AVERAGEIF(AE$9:AE165,AE165,AW$9:AW165),""),"")</f>
        <v/>
      </c>
      <c r="AQ165" s="89">
        <f>IFERROR(IF(AE166&lt;&gt;AE165,AVERAGEIF(AE$9:AE165,AE165,AX$9:AX165),""),"")</f>
        <v/>
      </c>
      <c r="AR165" s="89">
        <f t="array" ref="AR165">IFERROR(IF(AE166&lt;&gt;AE165,_xlfn.STDEV.P(IF(AE$9:AE165=AE165,AX$9:AX165)),""),"")</f>
        <v/>
      </c>
      <c r="AS165" s="89">
        <f t="array" ref="AS165">IFERROR(IF(AE166&lt;&gt;AE165,_xlfn.STDEV.P(IF(AE$9:AE165=AE165,AW$9:AW165)),""),"")</f>
        <v/>
      </c>
      <c r="AT165" s="90">
        <f>IFERROR(IF(AE165&lt;&gt;AE166,MAX((((AQ165*24*60)/2)*(1+POWER((((AR165*24*60) / (AQ165*24*60) )),2))) + ((AQ165*24*60 )*-0.1 + (AO165*0.015)) +1,(((AQ165*24*60)/2)*(1+POWER((((AR165*24*60) / (AQ165*24*60 ))),2)))),""),"")</f>
        <v/>
      </c>
      <c r="AU165" s="90">
        <f>IF(AND(AS165&lt;&gt;"",AP165&lt;&gt;""),IF(AE165&lt;&gt;AE166,((AP165*24*60) / 2 ) * (1 + POWER(((AS165*24*60) / (AP165*24*60)),2)),""),"")</f>
        <v/>
      </c>
      <c r="AV165" s="90">
        <f>IF(AU165&lt;&gt;"",MAX(AT165,AU165),"")</f>
        <v/>
      </c>
      <c r="AW165" s="89">
        <f>IF(AM165&lt;&gt;"H. Sale Real",IF(AND(AM166&lt;&gt;"",LEFT(AG166,2)&lt;&gt;"Va"),IF(AND(AM165&lt;&gt;"",LEFT(AG165,2)&lt;&gt;"Va",AM165&lt;&gt;"H. Sale Real"),IF(AM166-AM165&lt;0.208333333333333,AM166-AM165,""),IF(AND(AM164&lt;&gt;"",LEFT(AG164,2)&lt;&gt;"Va",AM164&lt;&gt;"H. Sale Real"),IF(AM166-AM164&lt;0.208333333333333,AM166-AM164,""),IF(AND(AM163&lt;&gt;"",LEFT(AG163,2)&lt;&gt;"Va",AM163&lt;&gt;"H. Sale Real"),IF(AM166-AM163&lt;0.208333333333333,AM166-AM163,""),IF(AND(AM162&lt;&gt;"",LEFT(AG162,2)&lt;&gt;"Va",AM162&lt;&gt;"H. Sale Real"),IF(AM166-AM162&lt;0.208333333333333,AM166-AM162,""),IF(AND(AM161&lt;&gt;"",LEFT(AG161,2)&lt;&gt;"Va",AM161&lt;&gt;"H. Sale Real"),IF(AM166-AM161&lt;0.208333333333333,AM166-AM161,""),""))))),""),"")</f>
        <v/>
      </c>
      <c r="AX165" s="89">
        <f>IF(AK165&lt;&gt;"H. Sale Real",IF(AND(AK166&lt;&gt;"",LEFT(AG166,2)&lt;&gt;"Va"),IF(AND(AK165&lt;&gt;"",LEFT(AG165,2)&lt;&gt;"Va",AK165&lt;&gt;"H. Sale Real"),IF(AK166-AK165&lt;0.208333333333333,AK166-AK165,""),IF(AND(AK164&lt;&gt;"",LEFT(AG164,2)&lt;&gt;"Va",AK164&lt;&gt;"H. Sale Real"),IF(AK166-AK164&lt;0.208333333333333,AK166-AK164,""),IF(AND(AK163&lt;&gt;"",LEFT(AG163,2)&lt;&gt;"NC",AK163&lt;&gt;"H. Sale Real"),IF(AK166-AK163&lt;0.208333333333333,AK166-AK163,""),IF(AND(AK162&lt;&gt;"",LEFT(AG162,2)&lt;&gt;"Va",AK162&lt;&gt;"H. Sale Real"),IF(AK166-AK162&lt;0.208333333333333,AK166-AK162,""),IF(AND(AK161&lt;&gt;"",LEFT(AG161,2)&lt;&gt;"Va",AK161&lt;&gt;"H. Sale Real"),IF(AK166-AK161&lt;0.208333333333333,AK166-AK161,""),""))))),""),"")</f>
        <v/>
      </c>
      <c r="AY165" s="87" t="n"/>
      <c r="AZ165" s="89" t="n"/>
      <c r="BA165" s="87" t="n"/>
      <c r="BB165" s="89" t="n"/>
      <c r="BC165" s="91" t="n"/>
      <c r="BD165" s="122">
        <f>IF(AK165&lt;&gt;"",IF(AND(BD164&lt;&gt;"IE",AT165&lt;&gt;0,AV165&lt;&gt;""),IF(IFERROR((AT165/AV165),0) &lt;=1,IFERROR(AT165/AV165,""),1),""),"")</f>
        <v/>
      </c>
      <c r="BE165" s="93" t="n"/>
      <c r="BF165" s="105" t="n"/>
      <c r="FC165" t="inlineStr">
        <is>
          <t>Diccionario 1</t>
        </is>
      </c>
      <c r="FD165" s="15" t="n">
        <v>1161</v>
      </c>
      <c r="FE165" s="15" t="inlineStr">
        <is>
          <t>YV3T7U524LA201698</t>
        </is>
      </c>
      <c r="FF165" s="15" t="n">
        <v>508467</v>
      </c>
      <c r="FG165" s="15" t="inlineStr">
        <is>
          <t>Volvo</t>
        </is>
      </c>
      <c r="FH165" s="15" t="inlineStr">
        <is>
          <t>B8RLEA</t>
        </is>
      </c>
      <c r="FI165" s="15" t="inlineStr">
        <is>
          <t>MARCOPOLO</t>
        </is>
      </c>
      <c r="FJ165" s="15" t="inlineStr">
        <is>
          <t>GRAN VIALE</t>
        </is>
      </c>
      <c r="FK165" s="15" t="n">
        <v>2020</v>
      </c>
      <c r="FL165" s="15" t="inlineStr">
        <is>
          <t>C</t>
        </is>
      </c>
      <c r="FM165" s="15" t="inlineStr">
        <is>
          <t>PIE ANDINO</t>
        </is>
      </c>
      <c r="FN165" s="15" t="inlineStr">
        <is>
          <t>Pie Andino 31 (Pie Andino 383)</t>
        </is>
      </c>
      <c r="FO165" s="15" t="inlineStr">
        <is>
          <t>Puente Alto</t>
        </is>
      </c>
      <c r="FP165" t="inlineStr">
        <is>
          <t>C</t>
        </is>
      </c>
      <c r="FS165" s="14" t="inlineStr">
        <is>
          <t>3041 / SFVZ-49|</t>
        </is>
      </c>
      <c r="FT165" t="inlineStr">
        <is>
          <t>SFVZ-49|</t>
        </is>
      </c>
      <c r="FU165" t="inlineStr">
        <is>
          <t>SFVZ-49</t>
        </is>
      </c>
      <c r="FV165">
        <f>VLOOKUP(FU165,FD:FL,9,0)</f>
        <v/>
      </c>
      <c r="HA165" s="35" t="n">
        <v>162</v>
      </c>
      <c r="HB165" s="35" t="n">
        <v>159</v>
      </c>
    </row>
    <row r="166" ht="15.5" customHeight="1">
      <c r="A166" s="10">
        <f>HOUR(G166)+1</f>
        <v/>
      </c>
      <c r="B166" s="7" t="n"/>
      <c r="C166" s="7" t="n"/>
      <c r="D166" s="85">
        <f>IFERROR(
IF(AND(OR(Planilla!B166="C",Planilla!B166="c"), VLOOKUP(E166,FD:FP,13,0)="C"), "OK",IF(AND(OR(Planilla!B166="C",Planilla!B166="c"), OR(VLOOKUP(E166,FD:FP,13,0)="B", VLOOKUP(E166,FD:FP,13,0)="A")), "DEFICIT",IF(
AND(OR(Planilla!B166="B", Planilla!B166="BPAL"), VLOOKUP(E166,FD:FP,13,0)="B"), "OK",IF(AND(OR(Planilla!B166="B", Planilla!B166="BPAL"), VLOOKUP(E166,FD:FP,13,0)="A"), "DEFICIT",IF(AND(OR(Planilla!B166="B", Planilla!B166="BPAL"), VLOOKUP(E166,FD:FP,13,0)="C"), "SOBREOFERTA",IF(AND(Planilla!B166="A", VLOOKUP(E166,FD:FP,13,0)="A"), "OK",IF(
AND(Planilla!B166="A", OR(VLOOKUP(E166,FD:FP,13,0)="B", VLOOKUP(E166,FD:FP,13,0)="C")), "SOBREOFERTA",""
))))))),"")</f>
        <v/>
      </c>
      <c r="E166" s="8" t="n"/>
      <c r="F166" s="86" t="n"/>
      <c r="G166" s="87" t="n"/>
      <c r="H166" s="88">
        <f>IF(I166="","",IF(AND((I166-G166)&gt;=TIME(0,0,0),(I166-G166)&lt;TIME(0,3,0)),"OK",IF(AND((I166-G166)&gt;=TIME(0,3,0),(I166-G166)&lt;TIME(0,5,0)),"RETRASO DE 3-5 MIN",IF(AND((I166-G166)&gt;=TIME(0,5,0),(I166-G166)&lt;TIME(0,10,0)),"RETRASO DE 5-10 MIN",IF((I166-G166)&gt;=TIME(0,10,0),"RETRASO &gt;10 MIN", IF(AND((G166-I166)&gt;=TIME(0,0,0),(G166-I166)&lt;TIME(0,3,0)),"OK",IF((G166-I166)&gt;=TIME(0,3,0),"ADELANTADO")))))))</f>
        <v/>
      </c>
      <c r="I166" s="89" t="n"/>
      <c r="J166" s="89">
        <f>IF(A166&lt;&gt;"",HLOOKUP(VALUE(TEXT(G166,"h:mm:ss")),IF($C$6="Laboral",$FZ$4:$GX$227,IF($C$6="Sábado",$FZ$231:$GX$452,$FZ$456:$GX$656)),VLOOKUP($C$4,$HF$2:$HH$99,3,0)+IF(C$5="Ida",0,1),1),"")</f>
        <v/>
      </c>
      <c r="K166" s="89">
        <f>IF(A167&lt;&gt;A166,AVERAGEIF(A$9:A166,A166,J$9:J166),"")</f>
        <v/>
      </c>
      <c r="L166" s="89">
        <f>IFERROR(IF(A167&lt;&gt;A166,AVERAGEIF(A$9:A166,A166,S$9:S166),""),"")</f>
        <v/>
      </c>
      <c r="M166" s="89">
        <f>IFERROR(IF(A167&lt;&gt;A166,AVERAGEIF(A$9:A166,A166,T$9:T166),""),"")</f>
        <v/>
      </c>
      <c r="N166" s="89">
        <f t="array" ref="N166">IFERROR(IF(A167&lt;&gt;A166,_xlfn.STDEV.P(IF(A$9:A166=A166,T$9:T166)),""),"")</f>
        <v/>
      </c>
      <c r="O166" s="89">
        <f t="array" ref="O166">IFERROR(IF(A167&lt;&gt;A166,_xlfn.STDEV.P(IF(A$9:A166=A166,S$9:S166)),""),"")</f>
        <v/>
      </c>
      <c r="P166" s="90">
        <f>IFERROR(IF(A166&lt;&gt;A167,MAX((((M166*24*60)/2)*(1+POWER((((N166*24*60) / (M166*24*60) )),2))) + ((M166*24*60 )*-0.1 + (K166*0.015)) +1,(((M166*24*60)/2)*(1+POWER((((N166*24*60) / (M166*24*60 ))),2)))),""),"")</f>
        <v/>
      </c>
      <c r="Q166" s="90">
        <f>IF(AND(O166&lt;&gt;"",L166&lt;&gt;""),IF(A166&lt;&gt;A167,((L166*24*60) / 2 ) * (1 + POWER(((O166*24*60) / (L166*24*60)),2)),""),"")</f>
        <v/>
      </c>
      <c r="R166" s="90">
        <f>IF(Q166&lt;&gt;"",MAX(P166,Q166),"")</f>
        <v/>
      </c>
      <c r="S166" s="89">
        <f>IF(I166&lt;&gt;"H. Sale Real",IF(AND(I167&lt;&gt;"",LEFT(C167,2)&lt;&gt;"Va"),IF(AND(I166&lt;&gt;"",LEFT(C166,2)&lt;&gt;"Va",I166&lt;&gt;"H. Sale Real"),IF(I167-I166&lt;0.208333333333333,I167-I166,""),IF(AND(I165&lt;&gt;"",LEFT(C165,2)&lt;&gt;"Va",I165&lt;&gt;"H. Sale Real"),IF(I167-I165&lt;0.208333333333333,I167-I165,""),IF(AND(I164&lt;&gt;"",LEFT(C164,2)&lt;&gt;"Va",I164&lt;&gt;"H. Sale Real"),IF(I167-I164&lt;0.208333333333333,I167-I164,""),IF(AND(I163&lt;&gt;"",LEFT(C163,2)&lt;&gt;"Va",I163&lt;&gt;"H. Sale Real"),IF(I167-I163&lt;0.208333333333333,I167-I163,""),IF(AND(I162&lt;&gt;"",LEFT(C162,2)&lt;&gt;"Va",I162&lt;&gt;"H. Sale Real"),IF(I167-I162&lt;0.208333333333333,I167-I162,""),""))))),""),"")</f>
        <v/>
      </c>
      <c r="T166" s="89">
        <f>IF(G166&lt;&gt;"H. Sale Real",IF(AND(G167&lt;&gt;"",LEFT(C167,2)&lt;&gt;"Va"),IF(AND(G166&lt;&gt;"",LEFT(C166,2)&lt;&gt;"Va",G166&lt;&gt;"H. Sale Real"),IF(G167-G166&lt;0.208333333333333,G167-G166,""),IF(AND(G165&lt;&gt;"",LEFT(C165,2)&lt;&gt;"Va",G165&lt;&gt;"H. Sale Real"),IF(G167-G165&lt;0.208333333333333,G167-G165,""),IF(AND(G164&lt;&gt;"",LEFT(C164,2)&lt;&gt;"Va",G164&lt;&gt;"H. Sale Real"),IF(G167-G164&lt;0.208333333333333,G167-G164,""),IF(AND(G163&lt;&gt;"",LEFT(C163,2)&lt;&gt;"Va",G163&lt;&gt;"H. Sale Real"),IF(G167-G163&lt;0.208333333333333,G167-G163,""),IF(AND(G162&lt;&gt;"",LEFT(C162,2)&lt;&gt;"Va",G162&lt;&gt;"H. Sale Real"),IF(G167-G162&lt;0.208333333333333,G167-G162,""),""))))),""),"")</f>
        <v/>
      </c>
      <c r="U166" s="87" t="n"/>
      <c r="V166" s="89" t="n"/>
      <c r="W166" s="87" t="n"/>
      <c r="X166" s="89" t="n"/>
      <c r="Y166" s="91" t="n"/>
      <c r="Z166" s="122">
        <f>IF(G166&lt;&gt;"",IF(AND(Z165&lt;&gt;"IE",P166&lt;&gt;0,R166&lt;&gt;""),IF(IFERROR((P166/R166),0) &lt;=1,IFERROR(P166/R166,""),1),""),"")</f>
        <v/>
      </c>
      <c r="AA166" s="93" t="n"/>
      <c r="AB166" s="2" t="n"/>
      <c r="AE166" s="10">
        <f>HOUR(AK166)+1</f>
        <v/>
      </c>
      <c r="AF166" s="7" t="n"/>
      <c r="AG166" s="7" t="n"/>
      <c r="AH166" s="86" t="n"/>
      <c r="AI166" s="8" t="n"/>
      <c r="AJ166" s="86" t="n"/>
      <c r="AK166" s="87" t="n"/>
      <c r="AL166" s="88">
        <f>IF(AM166="","",IF(AND((AM166-AK166)&gt;=TIME(0,0,0),(AM166-AK166)&lt;TIME(0,3,0)),"OK",IF(AND((AM166-AK166)&gt;=TIME(0,3,0),(AM166-AK166)&lt;TIME(0,5,0)),"RETRASO DE 3-5 MIN",IF(AND((AM166-AK166)&gt;=TIME(0,5,0),(AM166-AK166)&lt;TIME(0,10,0)),"RETRASO DE 5-10 MIN",IF((AM166-AK166)&gt;=TIME(0,10,0),"RETRASO &gt;10 MIN", IF(AND((AK166-AM166)&gt;=TIME(0,0,0),(AK166-AM166)&lt;TIME(0,3,0)),"OK",IF((AK166-AM166)&gt;=TIME(0,3,0),"ADELANTADO")))))))</f>
        <v/>
      </c>
      <c r="AM166" s="91" t="n"/>
      <c r="AN166" s="89">
        <f>IF(AE166&lt;&gt;"",HLOOKUP(VALUE(TEXT(AK166,"h:mm:ss")),IF($C$6="Laboral",$FZ$4:$GX$227,IF($C$6="Sábado",$FZ$231:$GX$452,$FZ$456:$GX$656)),VLOOKUP($C$4,$HF$2:$HH$99,3,0)+IF(AG$5="Ida",0,1),1),"")</f>
        <v/>
      </c>
      <c r="AO166" s="89">
        <f>IF(AE167&lt;&gt;AE166,AVERAGEIF(AE$9:AE166,AE166,AN$9:AN166),"")</f>
        <v/>
      </c>
      <c r="AP166" s="89">
        <f>IFERROR(IF(AE167&lt;&gt;AE166,AVERAGEIF(AE$9:AE166,AE166,AW$9:AW166),""),"")</f>
        <v/>
      </c>
      <c r="AQ166" s="89">
        <f>IFERROR(IF(AE167&lt;&gt;AE166,AVERAGEIF(AE$9:AE166,AE166,AX$9:AX166),""),"")</f>
        <v/>
      </c>
      <c r="AR166" s="89">
        <f t="array" ref="AR166">IFERROR(IF(AE167&lt;&gt;AE166,_xlfn.STDEV.P(IF(AE$9:AE166=AE166,AX$9:AX166)),""),"")</f>
        <v/>
      </c>
      <c r="AS166" s="89">
        <f t="array" ref="AS166">IFERROR(IF(AE167&lt;&gt;AE166,_xlfn.STDEV.P(IF(AE$9:AE166=AE166,AW$9:AW166)),""),"")</f>
        <v/>
      </c>
      <c r="AT166" s="90">
        <f>IFERROR(IF(AE166&lt;&gt;AE167,MAX((((AQ166*24*60)/2)*(1+POWER((((AR166*24*60) / (AQ166*24*60) )),2))) + ((AQ166*24*60 )*-0.1 + (AO166*0.015)) +1,(((AQ166*24*60)/2)*(1+POWER((((AR166*24*60) / (AQ166*24*60 ))),2)))),""),"")</f>
        <v/>
      </c>
      <c r="AU166" s="90">
        <f>IF(AND(AS166&lt;&gt;"",AP166&lt;&gt;""),IF(AE166&lt;&gt;AE167,((AP166*24*60) / 2 ) * (1 + POWER(((AS166*24*60) / (AP166*24*60)),2)),""),"")</f>
        <v/>
      </c>
      <c r="AV166" s="90">
        <f>IF(AU166&lt;&gt;"",MAX(AT166,AU166),"")</f>
        <v/>
      </c>
      <c r="AW166" s="89">
        <f>IF(AM166&lt;&gt;"H. Sale Real",IF(AND(AM167&lt;&gt;"",LEFT(AG167,2)&lt;&gt;"Va"),IF(AND(AM166&lt;&gt;"",LEFT(AG166,2)&lt;&gt;"Va",AM166&lt;&gt;"H. Sale Real"),IF(AM167-AM166&lt;0.208333333333333,AM167-AM166,""),IF(AND(AM165&lt;&gt;"",LEFT(AG165,2)&lt;&gt;"Va",AM165&lt;&gt;"H. Sale Real"),IF(AM167-AM165&lt;0.208333333333333,AM167-AM165,""),IF(AND(AM164&lt;&gt;"",LEFT(AG164,2)&lt;&gt;"Va",AM164&lt;&gt;"H. Sale Real"),IF(AM167-AM164&lt;0.208333333333333,AM167-AM164,""),IF(AND(AM163&lt;&gt;"",LEFT(AG163,2)&lt;&gt;"Va",AM163&lt;&gt;"H. Sale Real"),IF(AM167-AM163&lt;0.208333333333333,AM167-AM163,""),IF(AND(AM162&lt;&gt;"",LEFT(AG162,2)&lt;&gt;"Va",AM162&lt;&gt;"H. Sale Real"),IF(AM167-AM162&lt;0.208333333333333,AM167-AM162,""),""))))),""),"")</f>
        <v/>
      </c>
      <c r="AX166" s="89">
        <f>IF(AK166&lt;&gt;"H. Sale Real",IF(AND(AK167&lt;&gt;"",LEFT(AG167,2)&lt;&gt;"Va"),IF(AND(AK166&lt;&gt;"",LEFT(AG166,2)&lt;&gt;"Va",AK166&lt;&gt;"H. Sale Real"),IF(AK167-AK166&lt;0.208333333333333,AK167-AK166,""),IF(AND(AK165&lt;&gt;"",LEFT(AG165,2)&lt;&gt;"Va",AK165&lt;&gt;"H. Sale Real"),IF(AK167-AK165&lt;0.208333333333333,AK167-AK165,""),IF(AND(AK164&lt;&gt;"",LEFT(AG164,2)&lt;&gt;"NC",AK164&lt;&gt;"H. Sale Real"),IF(AK167-AK164&lt;0.208333333333333,AK167-AK164,""),IF(AND(AK163&lt;&gt;"",LEFT(AG163,2)&lt;&gt;"Va",AK163&lt;&gt;"H. Sale Real"),IF(AK167-AK163&lt;0.208333333333333,AK167-AK163,""),IF(AND(AK162&lt;&gt;"",LEFT(AG162,2)&lt;&gt;"Va",AK162&lt;&gt;"H. Sale Real"),IF(AK167-AK162&lt;0.208333333333333,AK167-AK162,""),""))))),""),"")</f>
        <v/>
      </c>
      <c r="AY166" s="87" t="n"/>
      <c r="AZ166" s="89" t="n"/>
      <c r="BA166" s="87" t="n"/>
      <c r="BB166" s="89" t="n"/>
      <c r="BC166" s="91" t="n"/>
      <c r="BD166" s="122">
        <f>IF(AK166&lt;&gt;"",IF(AND(BD165&lt;&gt;"IE",AT166&lt;&gt;0,AV166&lt;&gt;""),IF(IFERROR((AT166/AV166),0) &lt;=1,IFERROR(AT166/AV166,""),1),""),"")</f>
        <v/>
      </c>
      <c r="BE166" s="93" t="n"/>
      <c r="BF166" s="105" t="n"/>
      <c r="FC166" t="inlineStr">
        <is>
          <t>Diccionario 1</t>
        </is>
      </c>
      <c r="FD166" s="15" t="n">
        <v>1162</v>
      </c>
      <c r="FE166" s="15" t="inlineStr">
        <is>
          <t>YV3T7U523LA198728</t>
        </is>
      </c>
      <c r="FF166" s="15" t="n">
        <v>508196</v>
      </c>
      <c r="FG166" s="15" t="inlineStr">
        <is>
          <t>Volvo</t>
        </is>
      </c>
      <c r="FH166" s="15" t="inlineStr">
        <is>
          <t>B8RLEA</t>
        </is>
      </c>
      <c r="FI166" s="15" t="inlineStr">
        <is>
          <t>MARCOPOLO</t>
        </is>
      </c>
      <c r="FJ166" s="15" t="inlineStr">
        <is>
          <t>GRAN VIALE</t>
        </is>
      </c>
      <c r="FK166" s="15" t="n">
        <v>2020</v>
      </c>
      <c r="FL166" s="15" t="inlineStr">
        <is>
          <t>C</t>
        </is>
      </c>
      <c r="FM166" s="15" t="inlineStr">
        <is>
          <t>PIE ANDINO</t>
        </is>
      </c>
      <c r="FN166" s="15" t="inlineStr">
        <is>
          <t>Pie Andino 31 (Pie Andino 383)</t>
        </is>
      </c>
      <c r="FO166" s="15" t="inlineStr">
        <is>
          <t>Puente Alto</t>
        </is>
      </c>
      <c r="FP166" t="inlineStr">
        <is>
          <t>C</t>
        </is>
      </c>
      <c r="FS166" s="14" t="inlineStr">
        <is>
          <t>3041 / SFVZ-49|</t>
        </is>
      </c>
      <c r="FT166" t="inlineStr">
        <is>
          <t>SFVZ-49|</t>
        </is>
      </c>
      <c r="FU166" t="inlineStr">
        <is>
          <t>SFVZ-49</t>
        </is>
      </c>
      <c r="FV166">
        <f>VLOOKUP(FU166,FD:FL,9,0)</f>
        <v/>
      </c>
      <c r="HA166" s="35" t="n">
        <v>163</v>
      </c>
      <c r="HB166" s="35" t="n">
        <v>160</v>
      </c>
    </row>
    <row r="167" ht="15.5" customHeight="1">
      <c r="A167" s="10">
        <f>HOUR(G167)+1</f>
        <v/>
      </c>
      <c r="B167" s="7" t="n"/>
      <c r="C167" s="7" t="n"/>
      <c r="D167" s="85">
        <f>IFERROR(
IF(AND(OR(Planilla!B167="C",Planilla!B167="c"), VLOOKUP(E167,FD:FP,13,0)="C"), "OK",IF(AND(OR(Planilla!B167="C",Planilla!B167="c"), OR(VLOOKUP(E167,FD:FP,13,0)="B", VLOOKUP(E167,FD:FP,13,0)="A")), "DEFICIT",IF(
AND(OR(Planilla!B167="B", Planilla!B167="BPAL"), VLOOKUP(E167,FD:FP,13,0)="B"), "OK",IF(AND(OR(Planilla!B167="B", Planilla!B167="BPAL"), VLOOKUP(E167,FD:FP,13,0)="A"), "DEFICIT",IF(AND(OR(Planilla!B167="B", Planilla!B167="BPAL"), VLOOKUP(E167,FD:FP,13,0)="C"), "SOBREOFERTA",IF(AND(Planilla!B167="A", VLOOKUP(E167,FD:FP,13,0)="A"), "OK",IF(
AND(Planilla!B167="A", OR(VLOOKUP(E167,FD:FP,13,0)="B", VLOOKUP(E167,FD:FP,13,0)="C")), "SOBREOFERTA",""
))))))),"")</f>
        <v/>
      </c>
      <c r="E167" s="8" t="n"/>
      <c r="F167" s="86" t="n"/>
      <c r="G167" s="87" t="n"/>
      <c r="H167" s="88">
        <f>IF(I167="","",IF(AND((I167-G167)&gt;=TIME(0,0,0),(I167-G167)&lt;TIME(0,3,0)),"OK",IF(AND((I167-G167)&gt;=TIME(0,3,0),(I167-G167)&lt;TIME(0,5,0)),"RETRASO DE 3-5 MIN",IF(AND((I167-G167)&gt;=TIME(0,5,0),(I167-G167)&lt;TIME(0,10,0)),"RETRASO DE 5-10 MIN",IF((I167-G167)&gt;=TIME(0,10,0),"RETRASO &gt;10 MIN", IF(AND((G167-I167)&gt;=TIME(0,0,0),(G167-I167)&lt;TIME(0,3,0)),"OK",IF((G167-I167)&gt;=TIME(0,3,0),"ADELANTADO")))))))</f>
        <v/>
      </c>
      <c r="I167" s="89" t="n"/>
      <c r="J167" s="89">
        <f>IF(A167&lt;&gt;"",HLOOKUP(VALUE(TEXT(G167,"h:mm:ss")),IF($C$6="Laboral",$FZ$4:$GX$227,IF($C$6="Sábado",$FZ$231:$GX$452,$FZ$456:$GX$656)),VLOOKUP($C$4,$HF$2:$HH$99,3,0)+IF(C$5="Ida",0,1),1),"")</f>
        <v/>
      </c>
      <c r="K167" s="89">
        <f>IF(A168&lt;&gt;A167,AVERAGEIF(A$9:A167,A167,J$9:J167),"")</f>
        <v/>
      </c>
      <c r="L167" s="89">
        <f>IFERROR(IF(A168&lt;&gt;A167,AVERAGEIF(A$9:A167,A167,S$9:S167),""),"")</f>
        <v/>
      </c>
      <c r="M167" s="89">
        <f>IFERROR(IF(A168&lt;&gt;A167,AVERAGEIF(A$9:A167,A167,T$9:T167),""),"")</f>
        <v/>
      </c>
      <c r="N167" s="89">
        <f t="array" ref="N167">IFERROR(IF(A168&lt;&gt;A167,_xlfn.STDEV.P(IF(A$9:A167=A167,T$9:T167)),""),"")</f>
        <v/>
      </c>
      <c r="O167" s="89">
        <f t="array" ref="O167">IFERROR(IF(A168&lt;&gt;A167,_xlfn.STDEV.P(IF(A$9:A167=A167,S$9:S167)),""),"")</f>
        <v/>
      </c>
      <c r="P167" s="90">
        <f>IFERROR(IF(A167&lt;&gt;A168,MAX((((M167*24*60)/2)*(1+POWER((((N167*24*60) / (M167*24*60) )),2))) + ((M167*24*60 )*-0.1 + (K167*0.015)) +1,(((M167*24*60)/2)*(1+POWER((((N167*24*60) / (M167*24*60 ))),2)))),""),"")</f>
        <v/>
      </c>
      <c r="Q167" s="90">
        <f>IF(AND(O167&lt;&gt;"",L167&lt;&gt;""),IF(A167&lt;&gt;A168,((L167*24*60) / 2 ) * (1 + POWER(((O167*24*60) / (L167*24*60)),2)),""),"")</f>
        <v/>
      </c>
      <c r="R167" s="90">
        <f>IF(Q167&lt;&gt;"",MAX(P167,Q167),"")</f>
        <v/>
      </c>
      <c r="S167" s="89">
        <f>IF(I167&lt;&gt;"H. Sale Real",IF(AND(I168&lt;&gt;"",LEFT(C168,2)&lt;&gt;"Va"),IF(AND(I167&lt;&gt;"",LEFT(C167,2)&lt;&gt;"Va",I167&lt;&gt;"H. Sale Real"),IF(I168-I167&lt;0.208333333333333,I168-I167,""),IF(AND(I166&lt;&gt;"",LEFT(C166,2)&lt;&gt;"Va",I166&lt;&gt;"H. Sale Real"),IF(I168-I166&lt;0.208333333333333,I168-I166,""),IF(AND(I165&lt;&gt;"",LEFT(C165,2)&lt;&gt;"Va",I165&lt;&gt;"H. Sale Real"),IF(I168-I165&lt;0.208333333333333,I168-I165,""),IF(AND(I164&lt;&gt;"",LEFT(C164,2)&lt;&gt;"Va",I164&lt;&gt;"H. Sale Real"),IF(I168-I164&lt;0.208333333333333,I168-I164,""),IF(AND(I163&lt;&gt;"",LEFT(C163,2)&lt;&gt;"Va",I163&lt;&gt;"H. Sale Real"),IF(I168-I163&lt;0.208333333333333,I168-I163,""),""))))),""),"")</f>
        <v/>
      </c>
      <c r="T167" s="89">
        <f>IF(G167&lt;&gt;"H. Sale Real",IF(AND(G168&lt;&gt;"",LEFT(C168,2)&lt;&gt;"Va"),IF(AND(G167&lt;&gt;"",LEFT(C167,2)&lt;&gt;"Va",G167&lt;&gt;"H. Sale Real"),IF(G168-G167&lt;0.208333333333333,G168-G167,""),IF(AND(G166&lt;&gt;"",LEFT(C166,2)&lt;&gt;"Va",G166&lt;&gt;"H. Sale Real"),IF(G168-G166&lt;0.208333333333333,G168-G166,""),IF(AND(G165&lt;&gt;"",LEFT(C165,2)&lt;&gt;"Va",G165&lt;&gt;"H. Sale Real"),IF(G168-G165&lt;0.208333333333333,G168-G165,""),IF(AND(G164&lt;&gt;"",LEFT(C164,2)&lt;&gt;"Va",G164&lt;&gt;"H. Sale Real"),IF(G168-G164&lt;0.208333333333333,G168-G164,""),IF(AND(G163&lt;&gt;"",LEFT(C163,2)&lt;&gt;"Va",G163&lt;&gt;"H. Sale Real"),IF(G168-G163&lt;0.208333333333333,G168-G163,""),""))))),""),"")</f>
        <v/>
      </c>
      <c r="U167" s="87" t="n"/>
      <c r="V167" s="89" t="n"/>
      <c r="W167" s="87" t="n"/>
      <c r="X167" s="89" t="n"/>
      <c r="Y167" s="91" t="n"/>
      <c r="Z167" s="122">
        <f>IF(G167&lt;&gt;"",IF(AND(Z166&lt;&gt;"IE",P167&lt;&gt;0,R167&lt;&gt;""),IF(IFERROR((P167/R167),0) &lt;=1,IFERROR(P167/R167,""),1),""),"")</f>
        <v/>
      </c>
      <c r="AA167" s="93" t="n"/>
      <c r="AB167" s="2" t="n"/>
      <c r="AE167" s="10">
        <f>HOUR(AK167)+1</f>
        <v/>
      </c>
      <c r="AF167" s="7" t="n"/>
      <c r="AG167" s="7" t="n"/>
      <c r="AH167" s="86" t="n"/>
      <c r="AI167" s="8" t="n"/>
      <c r="AJ167" s="86" t="n"/>
      <c r="AK167" s="87" t="n"/>
      <c r="AL167" s="88">
        <f>IF(AM167="","",IF(AND((AM167-AK167)&gt;=TIME(0,0,0),(AM167-AK167)&lt;TIME(0,3,0)),"OK",IF(AND((AM167-AK167)&gt;=TIME(0,3,0),(AM167-AK167)&lt;TIME(0,5,0)),"RETRASO DE 3-5 MIN",IF(AND((AM167-AK167)&gt;=TIME(0,5,0),(AM167-AK167)&lt;TIME(0,10,0)),"RETRASO DE 5-10 MIN",IF((AM167-AK167)&gt;=TIME(0,10,0),"RETRASO &gt;10 MIN", IF(AND((AK167-AM167)&gt;=TIME(0,0,0),(AK167-AM167)&lt;TIME(0,3,0)),"OK",IF((AK167-AM167)&gt;=TIME(0,3,0),"ADELANTADO")))))))</f>
        <v/>
      </c>
      <c r="AM167" s="91" t="n"/>
      <c r="AN167" s="89">
        <f>IF(AE167&lt;&gt;"",HLOOKUP(VALUE(TEXT(AK167,"h:mm:ss")),IF($C$6="Laboral",$FZ$4:$GX$227,IF($C$6="Sábado",$FZ$231:$GX$452,$FZ$456:$GX$656)),VLOOKUP($C$4,$HF$2:$HH$99,3,0)+IF(AG$5="Ida",0,1),1),"")</f>
        <v/>
      </c>
      <c r="AO167" s="89">
        <f>IF(AE168&lt;&gt;AE167,AVERAGEIF(AE$9:AE167,AE167,AN$9:AN167),"")</f>
        <v/>
      </c>
      <c r="AP167" s="89">
        <f>IFERROR(IF(AE168&lt;&gt;AE167,AVERAGEIF(AE$9:AE167,AE167,AW$9:AW167),""),"")</f>
        <v/>
      </c>
      <c r="AQ167" s="89">
        <f>IFERROR(IF(AE168&lt;&gt;AE167,AVERAGEIF(AE$9:AE167,AE167,AX$9:AX167),""),"")</f>
        <v/>
      </c>
      <c r="AR167" s="89">
        <f t="array" ref="AR167">IFERROR(IF(AE168&lt;&gt;AE167,_xlfn.STDEV.P(IF(AE$9:AE167=AE167,AX$9:AX167)),""),"")</f>
        <v/>
      </c>
      <c r="AS167" s="89">
        <f t="array" ref="AS167">IFERROR(IF(AE168&lt;&gt;AE167,_xlfn.STDEV.P(IF(AE$9:AE167=AE167,AW$9:AW167)),""),"")</f>
        <v/>
      </c>
      <c r="AT167" s="90">
        <f>IFERROR(IF(AE167&lt;&gt;AE168,MAX((((AQ167*24*60)/2)*(1+POWER((((AR167*24*60) / (AQ167*24*60) )),2))) + ((AQ167*24*60 )*-0.1 + (AO167*0.015)) +1,(((AQ167*24*60)/2)*(1+POWER((((AR167*24*60) / (AQ167*24*60 ))),2)))),""),"")</f>
        <v/>
      </c>
      <c r="AU167" s="90">
        <f>IF(AND(AS167&lt;&gt;"",AP167&lt;&gt;""),IF(AE167&lt;&gt;AE168,((AP167*24*60) / 2 ) * (1 + POWER(((AS167*24*60) / (AP167*24*60)),2)),""),"")</f>
        <v/>
      </c>
      <c r="AV167" s="90">
        <f>IF(AU167&lt;&gt;"",MAX(AT167,AU167),"")</f>
        <v/>
      </c>
      <c r="AW167" s="89">
        <f>IF(AM167&lt;&gt;"H. Sale Real",IF(AND(AM168&lt;&gt;"",LEFT(AG168,2)&lt;&gt;"Va"),IF(AND(AM167&lt;&gt;"",LEFT(AG167,2)&lt;&gt;"Va",AM167&lt;&gt;"H. Sale Real"),IF(AM168-AM167&lt;0.208333333333333,AM168-AM167,""),IF(AND(AM166&lt;&gt;"",LEFT(AG166,2)&lt;&gt;"Va",AM166&lt;&gt;"H. Sale Real"),IF(AM168-AM166&lt;0.208333333333333,AM168-AM166,""),IF(AND(AM165&lt;&gt;"",LEFT(AG165,2)&lt;&gt;"Va",AM165&lt;&gt;"H. Sale Real"),IF(AM168-AM165&lt;0.208333333333333,AM168-AM165,""),IF(AND(AM164&lt;&gt;"",LEFT(AG164,2)&lt;&gt;"Va",AM164&lt;&gt;"H. Sale Real"),IF(AM168-AM164&lt;0.208333333333333,AM168-AM164,""),IF(AND(AM163&lt;&gt;"",LEFT(AG163,2)&lt;&gt;"Va",AM163&lt;&gt;"H. Sale Real"),IF(AM168-AM163&lt;0.208333333333333,AM168-AM163,""),""))))),""),"")</f>
        <v/>
      </c>
      <c r="AX167" s="89">
        <f>IF(AK167&lt;&gt;"H. Sale Real",IF(AND(AK168&lt;&gt;"",LEFT(AG168,2)&lt;&gt;"Va"),IF(AND(AK167&lt;&gt;"",LEFT(AG167,2)&lt;&gt;"Va",AK167&lt;&gt;"H. Sale Real"),IF(AK168-AK167&lt;0.208333333333333,AK168-AK167,""),IF(AND(AK166&lt;&gt;"",LEFT(AG166,2)&lt;&gt;"Va",AK166&lt;&gt;"H. Sale Real"),IF(AK168-AK166&lt;0.208333333333333,AK168-AK166,""),IF(AND(AK165&lt;&gt;"",LEFT(AG165,2)&lt;&gt;"NC",AK165&lt;&gt;"H. Sale Real"),IF(AK168-AK165&lt;0.208333333333333,AK168-AK165,""),IF(AND(AK164&lt;&gt;"",LEFT(AG164,2)&lt;&gt;"Va",AK164&lt;&gt;"H. Sale Real"),IF(AK168-AK164&lt;0.208333333333333,AK168-AK164,""),IF(AND(AK163&lt;&gt;"",LEFT(AG163,2)&lt;&gt;"Va",AK163&lt;&gt;"H. Sale Real"),IF(AK168-AK163&lt;0.208333333333333,AK168-AK163,""),""))))),""),"")</f>
        <v/>
      </c>
      <c r="AY167" s="87" t="n"/>
      <c r="AZ167" s="89" t="n"/>
      <c r="BA167" s="87" t="n"/>
      <c r="BB167" s="89" t="n"/>
      <c r="BC167" s="91" t="n"/>
      <c r="BD167" s="122">
        <f>IF(AK167&lt;&gt;"",IF(AND(BD166&lt;&gt;"IE",AT167&lt;&gt;0,AV167&lt;&gt;""),IF(IFERROR((AT167/AV167),0) &lt;=1,IFERROR(AT167/AV167,""),1),""),"")</f>
        <v/>
      </c>
      <c r="BE167" s="93" t="n"/>
      <c r="BF167" s="105" t="n"/>
      <c r="FC167" t="inlineStr">
        <is>
          <t>Diccionario 1</t>
        </is>
      </c>
      <c r="FD167" s="15" t="n">
        <v>1163</v>
      </c>
      <c r="FE167" s="15" t="inlineStr">
        <is>
          <t>YV3T7U526LA201623</t>
        </is>
      </c>
      <c r="FF167" s="15" t="n">
        <v>508277</v>
      </c>
      <c r="FG167" s="15" t="inlineStr">
        <is>
          <t>Volvo</t>
        </is>
      </c>
      <c r="FH167" s="15" t="inlineStr">
        <is>
          <t>B8RLEA</t>
        </is>
      </c>
      <c r="FI167" s="15" t="inlineStr">
        <is>
          <t>MARCOPOLO</t>
        </is>
      </c>
      <c r="FJ167" s="15" t="inlineStr">
        <is>
          <t>GRAN VIALE</t>
        </is>
      </c>
      <c r="FK167" s="15" t="n">
        <v>2020</v>
      </c>
      <c r="FL167" s="15" t="inlineStr">
        <is>
          <t>C</t>
        </is>
      </c>
      <c r="FM167" s="15" t="inlineStr">
        <is>
          <t>PIE ANDINO</t>
        </is>
      </c>
      <c r="FN167" s="15" t="inlineStr">
        <is>
          <t>Pie Andino 31 (Pie Andino 383)</t>
        </is>
      </c>
      <c r="FO167" s="15" t="inlineStr">
        <is>
          <t>Puente Alto</t>
        </is>
      </c>
      <c r="FP167" t="inlineStr">
        <is>
          <t>C</t>
        </is>
      </c>
      <c r="FS167" s="14" t="inlineStr">
        <is>
          <t>3041 / SFVZ-49|</t>
        </is>
      </c>
      <c r="FT167" t="inlineStr">
        <is>
          <t>SFVZ-49|</t>
        </is>
      </c>
      <c r="FU167" t="inlineStr">
        <is>
          <t>SFVZ-49</t>
        </is>
      </c>
      <c r="FV167">
        <f>VLOOKUP(FU167,FD:FL,9,0)</f>
        <v/>
      </c>
      <c r="HA167" s="35" t="n">
        <v>164</v>
      </c>
      <c r="HB167" s="35" t="n">
        <v>161</v>
      </c>
    </row>
    <row r="168" ht="15.5" customHeight="1">
      <c r="A168" s="10">
        <f>HOUR(G168)+1</f>
        <v/>
      </c>
      <c r="B168" s="7" t="n"/>
      <c r="C168" s="7" t="n"/>
      <c r="D168" s="85">
        <f>IFERROR(
IF(AND(OR(Planilla!B168="C",Planilla!B168="c"), VLOOKUP(E168,FD:FP,13,0)="C"), "OK",IF(AND(OR(Planilla!B168="C",Planilla!B168="c"), OR(VLOOKUP(E168,FD:FP,13,0)="B", VLOOKUP(E168,FD:FP,13,0)="A")), "DEFICIT",IF(
AND(OR(Planilla!B168="B", Planilla!B168="BPAL"), VLOOKUP(E168,FD:FP,13,0)="B"), "OK",IF(AND(OR(Planilla!B168="B", Planilla!B168="BPAL"), VLOOKUP(E168,FD:FP,13,0)="A"), "DEFICIT",IF(AND(OR(Planilla!B168="B", Planilla!B168="BPAL"), VLOOKUP(E168,FD:FP,13,0)="C"), "SOBREOFERTA",IF(AND(Planilla!B168="A", VLOOKUP(E168,FD:FP,13,0)="A"), "OK",IF(
AND(Planilla!B168="A", OR(VLOOKUP(E168,FD:FP,13,0)="B", VLOOKUP(E168,FD:FP,13,0)="C")), "SOBREOFERTA",""
))))))),"")</f>
        <v/>
      </c>
      <c r="E168" s="8" t="n"/>
      <c r="F168" s="86" t="n"/>
      <c r="G168" s="87" t="n"/>
      <c r="H168" s="88">
        <f>IF(I168="","",IF(AND((I168-G168)&gt;=TIME(0,0,0),(I168-G168)&lt;TIME(0,3,0)),"OK",IF(AND((I168-G168)&gt;=TIME(0,3,0),(I168-G168)&lt;TIME(0,5,0)),"RETRASO DE 3-5 MIN",IF(AND((I168-G168)&gt;=TIME(0,5,0),(I168-G168)&lt;TIME(0,10,0)),"RETRASO DE 5-10 MIN",IF((I168-G168)&gt;=TIME(0,10,0),"RETRASO &gt;10 MIN", IF(AND((G168-I168)&gt;=TIME(0,0,0),(G168-I168)&lt;TIME(0,3,0)),"OK",IF((G168-I168)&gt;=TIME(0,3,0),"ADELANTADO")))))))</f>
        <v/>
      </c>
      <c r="I168" s="89" t="n"/>
      <c r="J168" s="89">
        <f>IF(A168&lt;&gt;"",HLOOKUP(VALUE(TEXT(G168,"h:mm:ss")),IF($C$6="Laboral",$FZ$4:$GX$227,IF($C$6="Sábado",$FZ$231:$GX$452,$FZ$456:$GX$656)),VLOOKUP($C$4,$HF$2:$HH$99,3,0)+IF(C$5="Ida",0,1),1),"")</f>
        <v/>
      </c>
      <c r="K168" s="89">
        <f>IF(A169&lt;&gt;A168,AVERAGEIF(A$9:A168,A168,J$9:J168),"")</f>
        <v/>
      </c>
      <c r="L168" s="89">
        <f>IFERROR(IF(A169&lt;&gt;A168,AVERAGEIF(A$9:A168,A168,S$9:S168),""),"")</f>
        <v/>
      </c>
      <c r="M168" s="89">
        <f>IFERROR(IF(A169&lt;&gt;A168,AVERAGEIF(A$9:A168,A168,T$9:T168),""),"")</f>
        <v/>
      </c>
      <c r="N168" s="89">
        <f t="array" ref="N168">IFERROR(IF(A169&lt;&gt;A168,_xlfn.STDEV.P(IF(A$9:A168=A168,T$9:T168)),""),"")</f>
        <v/>
      </c>
      <c r="O168" s="89">
        <f t="array" ref="O168">IFERROR(IF(A169&lt;&gt;A168,_xlfn.STDEV.P(IF(A$9:A168=A168,S$9:S168)),""),"")</f>
        <v/>
      </c>
      <c r="P168" s="90">
        <f>IFERROR(IF(A168&lt;&gt;A169,MAX((((M168*24*60)/2)*(1+POWER((((N168*24*60) / (M168*24*60) )),2))) + ((M168*24*60 )*-0.1 + (K168*0.015)) +1,(((M168*24*60)/2)*(1+POWER((((N168*24*60) / (M168*24*60 ))),2)))),""),"")</f>
        <v/>
      </c>
      <c r="Q168" s="90">
        <f>IF(AND(O168&lt;&gt;"",L168&lt;&gt;""),IF(A168&lt;&gt;A169,((L168*24*60) / 2 ) * (1 + POWER(((O168*24*60) / (L168*24*60)),2)),""),"")</f>
        <v/>
      </c>
      <c r="R168" s="90">
        <f>IF(Q168&lt;&gt;"",MAX(P168,Q168),"")</f>
        <v/>
      </c>
      <c r="S168" s="89">
        <f>IF(I168&lt;&gt;"H. Sale Real",IF(AND(I169&lt;&gt;"",LEFT(C169,2)&lt;&gt;"Va"),IF(AND(I168&lt;&gt;"",LEFT(C168,2)&lt;&gt;"Va",I168&lt;&gt;"H. Sale Real"),IF(I169-I168&lt;0.208333333333333,I169-I168,""),IF(AND(I167&lt;&gt;"",LEFT(C167,2)&lt;&gt;"Va",I167&lt;&gt;"H. Sale Real"),IF(I169-I167&lt;0.208333333333333,I169-I167,""),IF(AND(I166&lt;&gt;"",LEFT(C166,2)&lt;&gt;"Va",I166&lt;&gt;"H. Sale Real"),IF(I169-I166&lt;0.208333333333333,I169-I166,""),IF(AND(I165&lt;&gt;"",LEFT(C165,2)&lt;&gt;"Va",I165&lt;&gt;"H. Sale Real"),IF(I169-I165&lt;0.208333333333333,I169-I165,""),IF(AND(I164&lt;&gt;"",LEFT(C164,2)&lt;&gt;"Va",I164&lt;&gt;"H. Sale Real"),IF(I169-I164&lt;0.208333333333333,I169-I164,""),""))))),""),"")</f>
        <v/>
      </c>
      <c r="T168" s="89">
        <f>IF(G168&lt;&gt;"H. Sale Real",IF(AND(G169&lt;&gt;"",LEFT(C169,2)&lt;&gt;"Va"),IF(AND(G168&lt;&gt;"",LEFT(C168,2)&lt;&gt;"Va",G168&lt;&gt;"H. Sale Real"),IF(G169-G168&lt;0.208333333333333,G169-G168,""),IF(AND(G167&lt;&gt;"",LEFT(C167,2)&lt;&gt;"Va",G167&lt;&gt;"H. Sale Real"),IF(G169-G167&lt;0.208333333333333,G169-G167,""),IF(AND(G166&lt;&gt;"",LEFT(C166,2)&lt;&gt;"Va",G166&lt;&gt;"H. Sale Real"),IF(G169-G166&lt;0.208333333333333,G169-G166,""),IF(AND(G165&lt;&gt;"",LEFT(C165,2)&lt;&gt;"Va",G165&lt;&gt;"H. Sale Real"),IF(G169-G165&lt;0.208333333333333,G169-G165,""),IF(AND(G164&lt;&gt;"",LEFT(C164,2)&lt;&gt;"Va",G164&lt;&gt;"H. Sale Real"),IF(G169-G164&lt;0.208333333333333,G169-G164,""),""))))),""),"")</f>
        <v/>
      </c>
      <c r="U168" s="87" t="n"/>
      <c r="V168" s="89" t="n"/>
      <c r="W168" s="87" t="n"/>
      <c r="X168" s="89" t="n"/>
      <c r="Y168" s="91" t="n"/>
      <c r="Z168" s="122">
        <f>IF(G168&lt;&gt;"",IF(AND(Z167&lt;&gt;"IE",P168&lt;&gt;0,R168&lt;&gt;""),IF(IFERROR((P168/R168),0) &lt;=1,IFERROR(P168/R168,""),1),""),"")</f>
        <v/>
      </c>
      <c r="AA168" s="93" t="n"/>
      <c r="AB168" s="2" t="n"/>
      <c r="AE168" s="10">
        <f>HOUR(AK168)+1</f>
        <v/>
      </c>
      <c r="AF168" s="7" t="n"/>
      <c r="AG168" s="7" t="n"/>
      <c r="AH168" s="86" t="n"/>
      <c r="AI168" s="8" t="n"/>
      <c r="AJ168" s="86" t="n"/>
      <c r="AK168" s="87" t="n"/>
      <c r="AL168" s="88">
        <f>IF(AM168="","",IF(AND((AM168-AK168)&gt;=TIME(0,0,0),(AM168-AK168)&lt;TIME(0,3,0)),"OK",IF(AND((AM168-AK168)&gt;=TIME(0,3,0),(AM168-AK168)&lt;TIME(0,5,0)),"RETRASO DE 3-5 MIN",IF(AND((AM168-AK168)&gt;=TIME(0,5,0),(AM168-AK168)&lt;TIME(0,10,0)),"RETRASO DE 5-10 MIN",IF((AM168-AK168)&gt;=TIME(0,10,0),"RETRASO &gt;10 MIN", IF(AND((AK168-AM168)&gt;=TIME(0,0,0),(AK168-AM168)&lt;TIME(0,3,0)),"OK",IF((AK168-AM168)&gt;=TIME(0,3,0),"ADELANTADO")))))))</f>
        <v/>
      </c>
      <c r="AM168" s="91" t="n"/>
      <c r="AN168" s="89">
        <f>IF(AE168&lt;&gt;"",HLOOKUP(VALUE(TEXT(AK168,"h:mm:ss")),IF($C$6="Laboral",$FZ$4:$GX$227,IF($C$6="Sábado",$FZ$231:$GX$452,$FZ$456:$GX$656)),VLOOKUP($C$4,$HF$2:$HH$99,3,0)+IF(AG$5="Ida",0,1),1),"")</f>
        <v/>
      </c>
      <c r="AO168" s="89">
        <f>IF(AE169&lt;&gt;AE168,AVERAGEIF(AE$9:AE168,AE168,AN$9:AN168),"")</f>
        <v/>
      </c>
      <c r="AP168" s="89">
        <f>IFERROR(IF(AE169&lt;&gt;AE168,AVERAGEIF(AE$9:AE168,AE168,AW$9:AW168),""),"")</f>
        <v/>
      </c>
      <c r="AQ168" s="89">
        <f>IFERROR(IF(AE169&lt;&gt;AE168,AVERAGEIF(AE$9:AE168,AE168,AX$9:AX168),""),"")</f>
        <v/>
      </c>
      <c r="AR168" s="89">
        <f t="array" ref="AR168">IFERROR(IF(AE169&lt;&gt;AE168,_xlfn.STDEV.P(IF(AE$9:AE168=AE168,AX$9:AX168)),""),"")</f>
        <v/>
      </c>
      <c r="AS168" s="89">
        <f t="array" ref="AS168">IFERROR(IF(AE169&lt;&gt;AE168,_xlfn.STDEV.P(IF(AE$9:AE168=AE168,AW$9:AW168)),""),"")</f>
        <v/>
      </c>
      <c r="AT168" s="90">
        <f>IFERROR(IF(AE168&lt;&gt;AE169,MAX((((AQ168*24*60)/2)*(1+POWER((((AR168*24*60) / (AQ168*24*60) )),2))) + ((AQ168*24*60 )*-0.1 + (AO168*0.015)) +1,(((AQ168*24*60)/2)*(1+POWER((((AR168*24*60) / (AQ168*24*60 ))),2)))),""),"")</f>
        <v/>
      </c>
      <c r="AU168" s="90">
        <f>IF(AND(AS168&lt;&gt;"",AP168&lt;&gt;""),IF(AE168&lt;&gt;AE169,((AP168*24*60) / 2 ) * (1 + POWER(((AS168*24*60) / (AP168*24*60)),2)),""),"")</f>
        <v/>
      </c>
      <c r="AV168" s="90">
        <f>IF(AU168&lt;&gt;"",MAX(AT168,AU168),"")</f>
        <v/>
      </c>
      <c r="AW168" s="89">
        <f>IF(AM168&lt;&gt;"H. Sale Real",IF(AND(AM169&lt;&gt;"",LEFT(AG169,2)&lt;&gt;"Va"),IF(AND(AM168&lt;&gt;"",LEFT(AG168,2)&lt;&gt;"Va",AM168&lt;&gt;"H. Sale Real"),IF(AM169-AM168&lt;0.208333333333333,AM169-AM168,""),IF(AND(AM167&lt;&gt;"",LEFT(AG167,2)&lt;&gt;"Va",AM167&lt;&gt;"H. Sale Real"),IF(AM169-AM167&lt;0.208333333333333,AM169-AM167,""),IF(AND(AM166&lt;&gt;"",LEFT(AG166,2)&lt;&gt;"Va",AM166&lt;&gt;"H. Sale Real"),IF(AM169-AM166&lt;0.208333333333333,AM169-AM166,""),IF(AND(AM165&lt;&gt;"",LEFT(AG165,2)&lt;&gt;"Va",AM165&lt;&gt;"H. Sale Real"),IF(AM169-AM165&lt;0.208333333333333,AM169-AM165,""),IF(AND(AM164&lt;&gt;"",LEFT(AG164,2)&lt;&gt;"Va",AM164&lt;&gt;"H. Sale Real"),IF(AM169-AM164&lt;0.208333333333333,AM169-AM164,""),""))))),""),"")</f>
        <v/>
      </c>
      <c r="AX168" s="89">
        <f>IF(AK168&lt;&gt;"H. Sale Real",IF(AND(AK169&lt;&gt;"",LEFT(AG169,2)&lt;&gt;"Va"),IF(AND(AK168&lt;&gt;"",LEFT(AG168,2)&lt;&gt;"Va",AK168&lt;&gt;"H. Sale Real"),IF(AK169-AK168&lt;0.208333333333333,AK169-AK168,""),IF(AND(AK167&lt;&gt;"",LEFT(AG167,2)&lt;&gt;"Va",AK167&lt;&gt;"H. Sale Real"),IF(AK169-AK167&lt;0.208333333333333,AK169-AK167,""),IF(AND(AK166&lt;&gt;"",LEFT(AG166,2)&lt;&gt;"NC",AK166&lt;&gt;"H. Sale Real"),IF(AK169-AK166&lt;0.208333333333333,AK169-AK166,""),IF(AND(AK165&lt;&gt;"",LEFT(AG165,2)&lt;&gt;"Va",AK165&lt;&gt;"H. Sale Real"),IF(AK169-AK165&lt;0.208333333333333,AK169-AK165,""),IF(AND(AK164&lt;&gt;"",LEFT(AG164,2)&lt;&gt;"Va",AK164&lt;&gt;"H. Sale Real"),IF(AK169-AK164&lt;0.208333333333333,AK169-AK164,""),""))))),""),"")</f>
        <v/>
      </c>
      <c r="AY168" s="87" t="n"/>
      <c r="AZ168" s="89" t="n"/>
      <c r="BA168" s="87" t="n"/>
      <c r="BB168" s="89" t="n"/>
      <c r="BC168" s="91" t="n"/>
      <c r="BD168" s="122">
        <f>IF(AK168&lt;&gt;"",IF(AND(BD167&lt;&gt;"IE",AT168&lt;&gt;0,AV168&lt;&gt;""),IF(IFERROR((AT168/AV168),0) &lt;=1,IFERROR(AT168/AV168,""),1),""),"")</f>
        <v/>
      </c>
      <c r="BE168" s="93" t="n"/>
      <c r="BF168" s="105" t="n"/>
      <c r="FC168" t="inlineStr">
        <is>
          <t>Diccionario 1</t>
        </is>
      </c>
      <c r="FD168" s="15" t="n">
        <v>1164</v>
      </c>
      <c r="FE168" s="15" t="inlineStr">
        <is>
          <t>YV3T7U52XLA198726</t>
        </is>
      </c>
      <c r="FF168" s="15" t="n">
        <v>508208</v>
      </c>
      <c r="FG168" s="15" t="inlineStr">
        <is>
          <t>Volvo</t>
        </is>
      </c>
      <c r="FH168" s="15" t="inlineStr">
        <is>
          <t>B8RLEA</t>
        </is>
      </c>
      <c r="FI168" s="15" t="inlineStr">
        <is>
          <t>MARCOPOLO</t>
        </is>
      </c>
      <c r="FJ168" s="15" t="inlineStr">
        <is>
          <t>GRAN VIALE</t>
        </is>
      </c>
      <c r="FK168" s="15" t="n">
        <v>2020</v>
      </c>
      <c r="FL168" s="15" t="inlineStr">
        <is>
          <t>C</t>
        </is>
      </c>
      <c r="FM168" s="15" t="inlineStr">
        <is>
          <t>PIE ANDINO</t>
        </is>
      </c>
      <c r="FN168" s="15" t="inlineStr">
        <is>
          <t>Pie Andino 31 (Pie Andino 383)</t>
        </is>
      </c>
      <c r="FO168" s="15" t="inlineStr">
        <is>
          <t>Puente Alto</t>
        </is>
      </c>
      <c r="FP168" t="inlineStr">
        <is>
          <t>C</t>
        </is>
      </c>
      <c r="FS168" s="14" t="inlineStr">
        <is>
          <t>3041 / SFVZ-49|</t>
        </is>
      </c>
      <c r="FT168" t="inlineStr">
        <is>
          <t>SFVZ-49|</t>
        </is>
      </c>
      <c r="FU168" t="inlineStr">
        <is>
          <t>SFVZ-49</t>
        </is>
      </c>
      <c r="FV168">
        <f>VLOOKUP(FU168,FD:FL,9,0)</f>
        <v/>
      </c>
      <c r="HA168" s="35" t="n">
        <v>165</v>
      </c>
      <c r="HB168" s="35" t="n">
        <v>162</v>
      </c>
    </row>
    <row r="169" ht="15.5" customHeight="1">
      <c r="A169" s="10">
        <f>HOUR(G169)+1</f>
        <v/>
      </c>
      <c r="B169" s="7" t="n"/>
      <c r="C169" s="7" t="n"/>
      <c r="D169" s="85">
        <f>IFERROR(
IF(AND(OR(Planilla!B169="C",Planilla!B169="c"), VLOOKUP(E169,FD:FP,13,0)="C"), "OK",IF(AND(OR(Planilla!B169="C",Planilla!B169="c"), OR(VLOOKUP(E169,FD:FP,13,0)="B", VLOOKUP(E169,FD:FP,13,0)="A")), "DEFICIT",IF(
AND(OR(Planilla!B169="B", Planilla!B169="BPAL"), VLOOKUP(E169,FD:FP,13,0)="B"), "OK",IF(AND(OR(Planilla!B169="B", Planilla!B169="BPAL"), VLOOKUP(E169,FD:FP,13,0)="A"), "DEFICIT",IF(AND(OR(Planilla!B169="B", Planilla!B169="BPAL"), VLOOKUP(E169,FD:FP,13,0)="C"), "SOBREOFERTA",IF(AND(Planilla!B169="A", VLOOKUP(E169,FD:FP,13,0)="A"), "OK",IF(
AND(Planilla!B169="A", OR(VLOOKUP(E169,FD:FP,13,0)="B", VLOOKUP(E169,FD:FP,13,0)="C")), "SOBREOFERTA",""
))))))),"")</f>
        <v/>
      </c>
      <c r="E169" s="8" t="n"/>
      <c r="F169" s="86" t="n"/>
      <c r="G169" s="87" t="n"/>
      <c r="H169" s="88">
        <f>IF(I169="","",IF(AND((I169-G169)&gt;=TIME(0,0,0),(I169-G169)&lt;TIME(0,3,0)),"OK",IF(AND((I169-G169)&gt;=TIME(0,3,0),(I169-G169)&lt;TIME(0,5,0)),"RETRASO DE 3-5 MIN",IF(AND((I169-G169)&gt;=TIME(0,5,0),(I169-G169)&lt;TIME(0,10,0)),"RETRASO DE 5-10 MIN",IF((I169-G169)&gt;=TIME(0,10,0),"RETRASO &gt;10 MIN", IF(AND((G169-I169)&gt;=TIME(0,0,0),(G169-I169)&lt;TIME(0,3,0)),"OK",IF((G169-I169)&gt;=TIME(0,3,0),"ADELANTADO")))))))</f>
        <v/>
      </c>
      <c r="I169" s="89" t="n"/>
      <c r="J169" s="89">
        <f>IF(A169&lt;&gt;"",HLOOKUP(VALUE(TEXT(G169,"h:mm:ss")),IF($C$6="Laboral",$FZ$4:$GX$227,IF($C$6="Sábado",$FZ$231:$GX$452,$FZ$456:$GX$656)),VLOOKUP($C$4,$HF$2:$HH$99,3,0)+IF(C$5="Ida",0,1),1),"")</f>
        <v/>
      </c>
      <c r="K169" s="89">
        <f>IF(A170&lt;&gt;A169,AVERAGEIF(A$9:A169,A169,J$9:J169),"")</f>
        <v/>
      </c>
      <c r="L169" s="89">
        <f>IFERROR(IF(A170&lt;&gt;A169,AVERAGEIF(A$9:A169,A169,S$9:S169),""),"")</f>
        <v/>
      </c>
      <c r="M169" s="89">
        <f>IFERROR(IF(A170&lt;&gt;A169,AVERAGEIF(A$9:A169,A169,T$9:T169),""),"")</f>
        <v/>
      </c>
      <c r="N169" s="89">
        <f t="array" ref="N169">IFERROR(IF(A170&lt;&gt;A169,_xlfn.STDEV.P(IF(A$9:A169=A169,T$9:T169)),""),"")</f>
        <v/>
      </c>
      <c r="O169" s="89">
        <f t="array" ref="O169">IFERROR(IF(A170&lt;&gt;A169,_xlfn.STDEV.P(IF(A$9:A169=A169,S$9:S169)),""),"")</f>
        <v/>
      </c>
      <c r="P169" s="90">
        <f>IFERROR(IF(A169&lt;&gt;A170,MAX((((M169*24*60)/2)*(1+POWER((((N169*24*60) / (M169*24*60) )),2))) + ((M169*24*60 )*-0.1 + (K169*0.015)) +1,(((M169*24*60)/2)*(1+POWER((((N169*24*60) / (M169*24*60 ))),2)))),""),"")</f>
        <v/>
      </c>
      <c r="Q169" s="90">
        <f>IF(AND(O169&lt;&gt;"",L169&lt;&gt;""),IF(A169&lt;&gt;A170,((L169*24*60) / 2 ) * (1 + POWER(((O169*24*60) / (L169*24*60)),2)),""),"")</f>
        <v/>
      </c>
      <c r="R169" s="90">
        <f>IF(Q169&lt;&gt;"",MAX(P169,Q169),"")</f>
        <v/>
      </c>
      <c r="S169" s="89">
        <f>IF(I169&lt;&gt;"H. Sale Real",IF(AND(I170&lt;&gt;"",LEFT(C170,2)&lt;&gt;"Va"),IF(AND(I169&lt;&gt;"",LEFT(C169,2)&lt;&gt;"Va",I169&lt;&gt;"H. Sale Real"),IF(I170-I169&lt;0.208333333333333,I170-I169,""),IF(AND(I168&lt;&gt;"",LEFT(C168,2)&lt;&gt;"Va",I168&lt;&gt;"H. Sale Real"),IF(I170-I168&lt;0.208333333333333,I170-I168,""),IF(AND(I167&lt;&gt;"",LEFT(C167,2)&lt;&gt;"Va",I167&lt;&gt;"H. Sale Real"),IF(I170-I167&lt;0.208333333333333,I170-I167,""),IF(AND(I166&lt;&gt;"",LEFT(C166,2)&lt;&gt;"Va",I166&lt;&gt;"H. Sale Real"),IF(I170-I166&lt;0.208333333333333,I170-I166,""),IF(AND(I165&lt;&gt;"",LEFT(C165,2)&lt;&gt;"Va",I165&lt;&gt;"H. Sale Real"),IF(I170-I165&lt;0.208333333333333,I170-I165,""),""))))),""),"")</f>
        <v/>
      </c>
      <c r="T169" s="89">
        <f>IF(G169&lt;&gt;"H. Sale Real",IF(AND(G170&lt;&gt;"",LEFT(C170,2)&lt;&gt;"Va"),IF(AND(G169&lt;&gt;"",LEFT(C169,2)&lt;&gt;"Va",G169&lt;&gt;"H. Sale Real"),IF(G170-G169&lt;0.208333333333333,G170-G169,""),IF(AND(G168&lt;&gt;"",LEFT(C168,2)&lt;&gt;"Va",G168&lt;&gt;"H. Sale Real"),IF(G170-G168&lt;0.208333333333333,G170-G168,""),IF(AND(G167&lt;&gt;"",LEFT(C167,2)&lt;&gt;"Va",G167&lt;&gt;"H. Sale Real"),IF(G170-G167&lt;0.208333333333333,G170-G167,""),IF(AND(G166&lt;&gt;"",LEFT(C166,2)&lt;&gt;"Va",G166&lt;&gt;"H. Sale Real"),IF(G170-G166&lt;0.208333333333333,G170-G166,""),IF(AND(G165&lt;&gt;"",LEFT(C165,2)&lt;&gt;"Va",G165&lt;&gt;"H. Sale Real"),IF(G170-G165&lt;0.208333333333333,G170-G165,""),""))))),""),"")</f>
        <v/>
      </c>
      <c r="U169" s="87" t="n"/>
      <c r="V169" s="89" t="n"/>
      <c r="W169" s="87" t="n"/>
      <c r="X169" s="89" t="n"/>
      <c r="Y169" s="91" t="n"/>
      <c r="Z169" s="122">
        <f>IF(G169&lt;&gt;"",IF(AND(Z168&lt;&gt;"IE",P169&lt;&gt;0,R169&lt;&gt;""),IF(IFERROR((P169/R169),0) &lt;=1,IFERROR(P169/R169,""),1),""),"")</f>
        <v/>
      </c>
      <c r="AA169" s="93" t="n"/>
      <c r="AB169" s="2" t="n"/>
      <c r="AE169" s="10">
        <f>HOUR(AK169)+1</f>
        <v/>
      </c>
      <c r="AF169" s="7" t="n"/>
      <c r="AG169" s="7" t="n"/>
      <c r="AH169" s="86" t="n"/>
      <c r="AI169" s="8" t="n"/>
      <c r="AJ169" s="86" t="n"/>
      <c r="AK169" s="87" t="n"/>
      <c r="AL169" s="88">
        <f>IF(AM169="","",IF(AND((AM169-AK169)&gt;=TIME(0,0,0),(AM169-AK169)&lt;TIME(0,3,0)),"OK",IF(AND((AM169-AK169)&gt;=TIME(0,3,0),(AM169-AK169)&lt;TIME(0,5,0)),"RETRASO DE 3-5 MIN",IF(AND((AM169-AK169)&gt;=TIME(0,5,0),(AM169-AK169)&lt;TIME(0,10,0)),"RETRASO DE 5-10 MIN",IF((AM169-AK169)&gt;=TIME(0,10,0),"RETRASO &gt;10 MIN", IF(AND((AK169-AM169)&gt;=TIME(0,0,0),(AK169-AM169)&lt;TIME(0,3,0)),"OK",IF((AK169-AM169)&gt;=TIME(0,3,0),"ADELANTADO")))))))</f>
        <v/>
      </c>
      <c r="AM169" s="91" t="n"/>
      <c r="AN169" s="89">
        <f>IF(AE169&lt;&gt;"",HLOOKUP(VALUE(TEXT(AK169,"h:mm:ss")),IF($C$6="Laboral",$FZ$4:$GX$227,IF($C$6="Sábado",$FZ$231:$GX$452,$FZ$456:$GX$656)),VLOOKUP($C$4,$HF$2:$HH$99,3,0)+IF(AG$5="Ida",0,1),1),"")</f>
        <v/>
      </c>
      <c r="AO169" s="89">
        <f>IF(AE170&lt;&gt;AE169,AVERAGEIF(AE$9:AE169,AE169,AN$9:AN169),"")</f>
        <v/>
      </c>
      <c r="AP169" s="89">
        <f>IFERROR(IF(AE170&lt;&gt;AE169,AVERAGEIF(AE$9:AE169,AE169,AW$9:AW169),""),"")</f>
        <v/>
      </c>
      <c r="AQ169" s="89">
        <f>IFERROR(IF(AE170&lt;&gt;AE169,AVERAGEIF(AE$9:AE169,AE169,AX$9:AX169),""),"")</f>
        <v/>
      </c>
      <c r="AR169" s="89">
        <f t="array" ref="AR169">IFERROR(IF(AE170&lt;&gt;AE169,_xlfn.STDEV.P(IF(AE$9:AE169=AE169,AX$9:AX169)),""),"")</f>
        <v/>
      </c>
      <c r="AS169" s="89">
        <f t="array" ref="AS169">IFERROR(IF(AE170&lt;&gt;AE169,_xlfn.STDEV.P(IF(AE$9:AE169=AE169,AW$9:AW169)),""),"")</f>
        <v/>
      </c>
      <c r="AT169" s="90">
        <f>IFERROR(IF(AE169&lt;&gt;AE170,MAX((((AQ169*24*60)/2)*(1+POWER((((AR169*24*60) / (AQ169*24*60) )),2))) + ((AQ169*24*60 )*-0.1 + (AO169*0.015)) +1,(((AQ169*24*60)/2)*(1+POWER((((AR169*24*60) / (AQ169*24*60 ))),2)))),""),"")</f>
        <v/>
      </c>
      <c r="AU169" s="90">
        <f>IF(AND(AS169&lt;&gt;"",AP169&lt;&gt;""),IF(AE169&lt;&gt;AE170,((AP169*24*60) / 2 ) * (1 + POWER(((AS169*24*60) / (AP169*24*60)),2)),""),"")</f>
        <v/>
      </c>
      <c r="AV169" s="90">
        <f>IF(AU169&lt;&gt;"",MAX(AT169,AU169),"")</f>
        <v/>
      </c>
      <c r="AW169" s="89">
        <f>IF(AM169&lt;&gt;"H. Sale Real",IF(AND(AM170&lt;&gt;"",LEFT(AG170,2)&lt;&gt;"Va"),IF(AND(AM169&lt;&gt;"",LEFT(AG169,2)&lt;&gt;"Va",AM169&lt;&gt;"H. Sale Real"),IF(AM170-AM169&lt;0.208333333333333,AM170-AM169,""),IF(AND(AM168&lt;&gt;"",LEFT(AG168,2)&lt;&gt;"Va",AM168&lt;&gt;"H. Sale Real"),IF(AM170-AM168&lt;0.208333333333333,AM170-AM168,""),IF(AND(AM167&lt;&gt;"",LEFT(AG167,2)&lt;&gt;"Va",AM167&lt;&gt;"H. Sale Real"),IF(AM170-AM167&lt;0.208333333333333,AM170-AM167,""),IF(AND(AM166&lt;&gt;"",LEFT(AG166,2)&lt;&gt;"Va",AM166&lt;&gt;"H. Sale Real"),IF(AM170-AM166&lt;0.208333333333333,AM170-AM166,""),IF(AND(AM165&lt;&gt;"",LEFT(AG165,2)&lt;&gt;"Va",AM165&lt;&gt;"H. Sale Real"),IF(AM170-AM165&lt;0.208333333333333,AM170-AM165,""),""))))),""),"")</f>
        <v/>
      </c>
      <c r="AX169" s="89">
        <f>IF(AK169&lt;&gt;"H. Sale Real",IF(AND(AK170&lt;&gt;"",LEFT(AG170,2)&lt;&gt;"Va"),IF(AND(AK169&lt;&gt;"",LEFT(AG169,2)&lt;&gt;"Va",AK169&lt;&gt;"H. Sale Real"),IF(AK170-AK169&lt;0.208333333333333,AK170-AK169,""),IF(AND(AK168&lt;&gt;"",LEFT(AG168,2)&lt;&gt;"Va",AK168&lt;&gt;"H. Sale Real"),IF(AK170-AK168&lt;0.208333333333333,AK170-AK168,""),IF(AND(AK167&lt;&gt;"",LEFT(AG167,2)&lt;&gt;"NC",AK167&lt;&gt;"H. Sale Real"),IF(AK170-AK167&lt;0.208333333333333,AK170-AK167,""),IF(AND(AK166&lt;&gt;"",LEFT(AG166,2)&lt;&gt;"Va",AK166&lt;&gt;"H. Sale Real"),IF(AK170-AK166&lt;0.208333333333333,AK170-AK166,""),IF(AND(AK165&lt;&gt;"",LEFT(AG165,2)&lt;&gt;"Va",AK165&lt;&gt;"H. Sale Real"),IF(AK170-AK165&lt;0.208333333333333,AK170-AK165,""),""))))),""),"")</f>
        <v/>
      </c>
      <c r="AY169" s="87" t="n"/>
      <c r="AZ169" s="89" t="n"/>
      <c r="BA169" s="87" t="n"/>
      <c r="BB169" s="89" t="n"/>
      <c r="BC169" s="91" t="n"/>
      <c r="BD169" s="122">
        <f>IF(AK169&lt;&gt;"",IF(AND(BD168&lt;&gt;"IE",AT169&lt;&gt;0,AV169&lt;&gt;""),IF(IFERROR((AT169/AV169),0) &lt;=1,IFERROR(AT169/AV169,""),1),""),"")</f>
        <v/>
      </c>
      <c r="BE169" s="93" t="n"/>
      <c r="BF169" s="105" t="n"/>
      <c r="FC169" t="inlineStr">
        <is>
          <t>Diccionario 1</t>
        </is>
      </c>
      <c r="FD169" s="15" t="n">
        <v>1165</v>
      </c>
      <c r="FE169" s="15" t="inlineStr">
        <is>
          <t>YV3T7U526LA198724</t>
        </is>
      </c>
      <c r="FF169" s="15" t="n">
        <v>508167</v>
      </c>
      <c r="FG169" s="15" t="inlineStr">
        <is>
          <t>Volvo</t>
        </is>
      </c>
      <c r="FH169" s="15" t="inlineStr">
        <is>
          <t>B8RLEA</t>
        </is>
      </c>
      <c r="FI169" s="15" t="inlineStr">
        <is>
          <t>MARCOPOLO</t>
        </is>
      </c>
      <c r="FJ169" s="15" t="inlineStr">
        <is>
          <t>GRAN VIALE</t>
        </is>
      </c>
      <c r="FK169" s="15" t="n">
        <v>2020</v>
      </c>
      <c r="FL169" s="15" t="inlineStr">
        <is>
          <t>C</t>
        </is>
      </c>
      <c r="FM169" s="15" t="inlineStr">
        <is>
          <t>PIE ANDINO</t>
        </is>
      </c>
      <c r="FN169" s="15" t="inlineStr">
        <is>
          <t>Pie Andino 31 (Pie Andino 383)</t>
        </is>
      </c>
      <c r="FO169" s="15" t="inlineStr">
        <is>
          <t>Puente Alto</t>
        </is>
      </c>
      <c r="FP169" t="inlineStr">
        <is>
          <t>C</t>
        </is>
      </c>
      <c r="FS169" s="14" t="inlineStr">
        <is>
          <t>3042 / SFVZ-56|</t>
        </is>
      </c>
      <c r="FT169" t="inlineStr">
        <is>
          <t>SFVZ-56|</t>
        </is>
      </c>
      <c r="FU169" t="inlineStr">
        <is>
          <t>SFVZ-56</t>
        </is>
      </c>
      <c r="FV169">
        <f>VLOOKUP(FU169,FD:FL,9,0)</f>
        <v/>
      </c>
      <c r="HA169" s="35" t="n">
        <v>166</v>
      </c>
      <c r="HB169" s="35" t="n">
        <v>163</v>
      </c>
    </row>
    <row r="170" ht="15.5" customHeight="1">
      <c r="A170" s="10">
        <f>HOUR(G170)+1</f>
        <v/>
      </c>
      <c r="B170" s="7" t="n"/>
      <c r="C170" s="7" t="n"/>
      <c r="D170" s="85">
        <f>IFERROR(
IF(AND(OR(Planilla!B170="C",Planilla!B170="c"), VLOOKUP(E170,FD:FP,13,0)="C"), "OK",IF(AND(OR(Planilla!B170="C",Planilla!B170="c"), OR(VLOOKUP(E170,FD:FP,13,0)="B", VLOOKUP(E170,FD:FP,13,0)="A")), "DEFICIT",IF(
AND(OR(Planilla!B170="B", Planilla!B170="BPAL"), VLOOKUP(E170,FD:FP,13,0)="B"), "OK",IF(AND(OR(Planilla!B170="B", Planilla!B170="BPAL"), VLOOKUP(E170,FD:FP,13,0)="A"), "DEFICIT",IF(AND(OR(Planilla!B170="B", Planilla!B170="BPAL"), VLOOKUP(E170,FD:FP,13,0)="C"), "SOBREOFERTA",IF(AND(Planilla!B170="A", VLOOKUP(E170,FD:FP,13,0)="A"), "OK",IF(
AND(Planilla!B170="A", OR(VLOOKUP(E170,FD:FP,13,0)="B", VLOOKUP(E170,FD:FP,13,0)="C")), "SOBREOFERTA",""
))))))),"")</f>
        <v/>
      </c>
      <c r="E170" s="8" t="n"/>
      <c r="F170" s="86" t="n"/>
      <c r="G170" s="87" t="n"/>
      <c r="H170" s="88">
        <f>IF(I170="","",IF(AND((I170-G170)&gt;=TIME(0,0,0),(I170-G170)&lt;TIME(0,3,0)),"OK",IF(AND((I170-G170)&gt;=TIME(0,3,0),(I170-G170)&lt;TIME(0,5,0)),"RETRASO DE 3-5 MIN",IF(AND((I170-G170)&gt;=TIME(0,5,0),(I170-G170)&lt;TIME(0,10,0)),"RETRASO DE 5-10 MIN",IF((I170-G170)&gt;=TIME(0,10,0),"RETRASO &gt;10 MIN", IF(AND((G170-I170)&gt;=TIME(0,0,0),(G170-I170)&lt;TIME(0,3,0)),"OK",IF((G170-I170)&gt;=TIME(0,3,0),"ADELANTADO")))))))</f>
        <v/>
      </c>
      <c r="I170" s="89" t="n"/>
      <c r="J170" s="89">
        <f>IF(A170&lt;&gt;"",HLOOKUP(VALUE(TEXT(G170,"h:mm:ss")),IF($C$6="Laboral",$FZ$4:$GX$227,IF($C$6="Sábado",$FZ$231:$GX$452,$FZ$456:$GX$656)),VLOOKUP($C$4,$HF$2:$HH$99,3,0)+IF(C$5="Ida",0,1),1),"")</f>
        <v/>
      </c>
      <c r="K170" s="89">
        <f>IF(A171&lt;&gt;A170,AVERAGEIF(A$9:A170,A170,J$9:J170),"")</f>
        <v/>
      </c>
      <c r="L170" s="89">
        <f>IFERROR(IF(A171&lt;&gt;A170,AVERAGEIF(A$9:A170,A170,S$9:S170),""),"")</f>
        <v/>
      </c>
      <c r="M170" s="89">
        <f>IFERROR(IF(A171&lt;&gt;A170,AVERAGEIF(A$9:A170,A170,T$9:T170),""),"")</f>
        <v/>
      </c>
      <c r="N170" s="89">
        <f t="array" ref="N170">IFERROR(IF(A171&lt;&gt;A170,_xlfn.STDEV.P(IF(A$9:A170=A170,T$9:T170)),""),"")</f>
        <v/>
      </c>
      <c r="O170" s="89">
        <f t="array" ref="O170">IFERROR(IF(A171&lt;&gt;A170,_xlfn.STDEV.P(IF(A$9:A170=A170,S$9:S170)),""),"")</f>
        <v/>
      </c>
      <c r="P170" s="90">
        <f>IFERROR(IF(A170&lt;&gt;A171,MAX((((M170*24*60)/2)*(1+POWER((((N170*24*60) / (M170*24*60) )),2))) + ((M170*24*60 )*-0.1 + (K170*0.015)) +1,(((M170*24*60)/2)*(1+POWER((((N170*24*60) / (M170*24*60 ))),2)))),""),"")</f>
        <v/>
      </c>
      <c r="Q170" s="90">
        <f>IF(AND(O170&lt;&gt;"",L170&lt;&gt;""),IF(A170&lt;&gt;A171,((L170*24*60) / 2 ) * (1 + POWER(((O170*24*60) / (L170*24*60)),2)),""),"")</f>
        <v/>
      </c>
      <c r="R170" s="90">
        <f>IF(Q170&lt;&gt;"",MAX(P170,Q170),"")</f>
        <v/>
      </c>
      <c r="S170" s="89">
        <f>IF(I170&lt;&gt;"H. Sale Real",IF(AND(I171&lt;&gt;"",LEFT(C171,2)&lt;&gt;"Va"),IF(AND(I170&lt;&gt;"",LEFT(C170,2)&lt;&gt;"Va",I170&lt;&gt;"H. Sale Real"),IF(I171-I170&lt;0.208333333333333,I171-I170,""),IF(AND(I169&lt;&gt;"",LEFT(C169,2)&lt;&gt;"Va",I169&lt;&gt;"H. Sale Real"),IF(I171-I169&lt;0.208333333333333,I171-I169,""),IF(AND(I168&lt;&gt;"",LEFT(C168,2)&lt;&gt;"Va",I168&lt;&gt;"H. Sale Real"),IF(I171-I168&lt;0.208333333333333,I171-I168,""),IF(AND(I167&lt;&gt;"",LEFT(C167,2)&lt;&gt;"Va",I167&lt;&gt;"H. Sale Real"),IF(I171-I167&lt;0.208333333333333,I171-I167,""),IF(AND(I166&lt;&gt;"",LEFT(C166,2)&lt;&gt;"Va",I166&lt;&gt;"H. Sale Real"),IF(I171-I166&lt;0.208333333333333,I171-I166,""),""))))),""),"")</f>
        <v/>
      </c>
      <c r="T170" s="89">
        <f>IF(G170&lt;&gt;"H. Sale Real",IF(AND(G171&lt;&gt;"",LEFT(C171,2)&lt;&gt;"Va"),IF(AND(G170&lt;&gt;"",LEFT(C170,2)&lt;&gt;"Va",G170&lt;&gt;"H. Sale Real"),IF(G171-G170&lt;0.208333333333333,G171-G170,""),IF(AND(G169&lt;&gt;"",LEFT(C169,2)&lt;&gt;"Va",G169&lt;&gt;"H. Sale Real"),IF(G171-G169&lt;0.208333333333333,G171-G169,""),IF(AND(G168&lt;&gt;"",LEFT(C168,2)&lt;&gt;"Va",G168&lt;&gt;"H. Sale Real"),IF(G171-G168&lt;0.208333333333333,G171-G168,""),IF(AND(G167&lt;&gt;"",LEFT(C167,2)&lt;&gt;"Va",G167&lt;&gt;"H. Sale Real"),IF(G171-G167&lt;0.208333333333333,G171-G167,""),IF(AND(G166&lt;&gt;"",LEFT(C166,2)&lt;&gt;"Va",G166&lt;&gt;"H. Sale Real"),IF(G171-G166&lt;0.208333333333333,G171-G166,""),""))))),""),"")</f>
        <v/>
      </c>
      <c r="U170" s="87" t="n"/>
      <c r="V170" s="89" t="n"/>
      <c r="W170" s="87" t="n"/>
      <c r="X170" s="89" t="n"/>
      <c r="Y170" s="91" t="n"/>
      <c r="Z170" s="122">
        <f>IF(G170&lt;&gt;"",IF(AND(Z169&lt;&gt;"IE",P170&lt;&gt;0,R170&lt;&gt;""),IF(IFERROR((P170/R170),0) &lt;=1,IFERROR(P170/R170,""),1),""),"")</f>
        <v/>
      </c>
      <c r="AA170" s="93" t="n"/>
      <c r="AB170" s="2" t="n"/>
      <c r="AE170" s="10">
        <f>HOUR(AK170)+1</f>
        <v/>
      </c>
      <c r="AF170" s="7" t="n"/>
      <c r="AG170" s="7" t="n"/>
      <c r="AH170" s="86" t="n"/>
      <c r="AI170" s="8" t="n"/>
      <c r="AJ170" s="86" t="n"/>
      <c r="AK170" s="87" t="n"/>
      <c r="AL170" s="88">
        <f>IF(AM170="","",IF(AND((AM170-AK170)&gt;=TIME(0,0,0),(AM170-AK170)&lt;TIME(0,3,0)),"OK",IF(AND((AM170-AK170)&gt;=TIME(0,3,0),(AM170-AK170)&lt;TIME(0,5,0)),"RETRASO DE 3-5 MIN",IF(AND((AM170-AK170)&gt;=TIME(0,5,0),(AM170-AK170)&lt;TIME(0,10,0)),"RETRASO DE 5-10 MIN",IF((AM170-AK170)&gt;=TIME(0,10,0),"RETRASO &gt;10 MIN", IF(AND((AK170-AM170)&gt;=TIME(0,0,0),(AK170-AM170)&lt;TIME(0,3,0)),"OK",IF((AK170-AM170)&gt;=TIME(0,3,0),"ADELANTADO")))))))</f>
        <v/>
      </c>
      <c r="AM170" s="91" t="n"/>
      <c r="AN170" s="89">
        <f>IF(AE170&lt;&gt;"",HLOOKUP(VALUE(TEXT(AK170,"h:mm:ss")),IF($C$6="Laboral",$FZ$4:$GX$227,IF($C$6="Sábado",$FZ$231:$GX$452,$FZ$456:$GX$656)),VLOOKUP($C$4,$HF$2:$HH$99,3,0)+IF(AG$5="Ida",0,1),1),"")</f>
        <v/>
      </c>
      <c r="AO170" s="89">
        <f>IF(AE171&lt;&gt;AE170,AVERAGEIF(AE$9:AE170,AE170,AN$9:AN170),"")</f>
        <v/>
      </c>
      <c r="AP170" s="89">
        <f>IFERROR(IF(AE171&lt;&gt;AE170,AVERAGEIF(AE$9:AE170,AE170,AW$9:AW170),""),"")</f>
        <v/>
      </c>
      <c r="AQ170" s="89">
        <f>IFERROR(IF(AE171&lt;&gt;AE170,AVERAGEIF(AE$9:AE170,AE170,AX$9:AX170),""),"")</f>
        <v/>
      </c>
      <c r="AR170" s="89">
        <f t="array" ref="AR170">IFERROR(IF(AE171&lt;&gt;AE170,_xlfn.STDEV.P(IF(AE$9:AE170=AE170,AX$9:AX170)),""),"")</f>
        <v/>
      </c>
      <c r="AS170" s="89">
        <f t="array" ref="AS170">IFERROR(IF(AE171&lt;&gt;AE170,_xlfn.STDEV.P(IF(AE$9:AE170=AE170,AW$9:AW170)),""),"")</f>
        <v/>
      </c>
      <c r="AT170" s="90">
        <f>IFERROR(IF(AE170&lt;&gt;AE171,MAX((((AQ170*24*60)/2)*(1+POWER((((AR170*24*60) / (AQ170*24*60) )),2))) + ((AQ170*24*60 )*-0.1 + (AO170*0.015)) +1,(((AQ170*24*60)/2)*(1+POWER((((AR170*24*60) / (AQ170*24*60 ))),2)))),""),"")</f>
        <v/>
      </c>
      <c r="AU170" s="90">
        <f>IF(AND(AS170&lt;&gt;"",AP170&lt;&gt;""),IF(AE170&lt;&gt;AE171,((AP170*24*60) / 2 ) * (1 + POWER(((AS170*24*60) / (AP170*24*60)),2)),""),"")</f>
        <v/>
      </c>
      <c r="AV170" s="90">
        <f>IF(AU170&lt;&gt;"",MAX(AT170,AU170),"")</f>
        <v/>
      </c>
      <c r="AW170" s="89">
        <f>IF(AM170&lt;&gt;"H. Sale Real",IF(AND(AM171&lt;&gt;"",LEFT(AG171,2)&lt;&gt;"Va"),IF(AND(AM170&lt;&gt;"",LEFT(AG170,2)&lt;&gt;"Va",AM170&lt;&gt;"H. Sale Real"),IF(AM171-AM170&lt;0.208333333333333,AM171-AM170,""),IF(AND(AM169&lt;&gt;"",LEFT(AG169,2)&lt;&gt;"Va",AM169&lt;&gt;"H. Sale Real"),IF(AM171-AM169&lt;0.208333333333333,AM171-AM169,""),IF(AND(AM168&lt;&gt;"",LEFT(AG168,2)&lt;&gt;"Va",AM168&lt;&gt;"H. Sale Real"),IF(AM171-AM168&lt;0.208333333333333,AM171-AM168,""),IF(AND(AM167&lt;&gt;"",LEFT(AG167,2)&lt;&gt;"Va",AM167&lt;&gt;"H. Sale Real"),IF(AM171-AM167&lt;0.208333333333333,AM171-AM167,""),IF(AND(AM166&lt;&gt;"",LEFT(AG166,2)&lt;&gt;"Va",AM166&lt;&gt;"H. Sale Real"),IF(AM171-AM166&lt;0.208333333333333,AM171-AM166,""),""))))),""),"")</f>
        <v/>
      </c>
      <c r="AX170" s="89">
        <f>IF(AK170&lt;&gt;"H. Sale Real",IF(AND(AK171&lt;&gt;"",LEFT(AG171,2)&lt;&gt;"Va"),IF(AND(AK170&lt;&gt;"",LEFT(AG170,2)&lt;&gt;"Va",AK170&lt;&gt;"H. Sale Real"),IF(AK171-AK170&lt;0.208333333333333,AK171-AK170,""),IF(AND(AK169&lt;&gt;"",LEFT(AG169,2)&lt;&gt;"Va",AK169&lt;&gt;"H. Sale Real"),IF(AK171-AK169&lt;0.208333333333333,AK171-AK169,""),IF(AND(AK168&lt;&gt;"",LEFT(AG168,2)&lt;&gt;"NC",AK168&lt;&gt;"H. Sale Real"),IF(AK171-AK168&lt;0.208333333333333,AK171-AK168,""),IF(AND(AK167&lt;&gt;"",LEFT(AG167,2)&lt;&gt;"Va",AK167&lt;&gt;"H. Sale Real"),IF(AK171-AK167&lt;0.208333333333333,AK171-AK167,""),IF(AND(AK166&lt;&gt;"",LEFT(AG166,2)&lt;&gt;"Va",AK166&lt;&gt;"H. Sale Real"),IF(AK171-AK166&lt;0.208333333333333,AK171-AK166,""),""))))),""),"")</f>
        <v/>
      </c>
      <c r="AY170" s="87" t="n"/>
      <c r="AZ170" s="89" t="n"/>
      <c r="BA170" s="87" t="n"/>
      <c r="BB170" s="89" t="n"/>
      <c r="BC170" s="91" t="n"/>
      <c r="BD170" s="122">
        <f>IF(AK170&lt;&gt;"",IF(AND(BD169&lt;&gt;"IE",AT170&lt;&gt;0,AV170&lt;&gt;""),IF(IFERROR((AT170/AV170),0) &lt;=1,IFERROR(AT170/AV170,""),1),""),"")</f>
        <v/>
      </c>
      <c r="BE170" s="93" t="n"/>
      <c r="BF170" s="105" t="n"/>
      <c r="FC170" t="inlineStr">
        <is>
          <t>Diccionario 1</t>
        </is>
      </c>
      <c r="FD170" s="15" t="n">
        <v>1166</v>
      </c>
      <c r="FE170" s="15" t="inlineStr">
        <is>
          <t>YV3T7U521LA201500</t>
        </is>
      </c>
      <c r="FF170" s="15" t="n">
        <v>507859</v>
      </c>
      <c r="FG170" s="15" t="inlineStr">
        <is>
          <t>Volvo</t>
        </is>
      </c>
      <c r="FH170" s="15" t="inlineStr">
        <is>
          <t>B8RLEA</t>
        </is>
      </c>
      <c r="FI170" s="15" t="inlineStr">
        <is>
          <t>MARCOPOLO</t>
        </is>
      </c>
      <c r="FJ170" s="15" t="inlineStr">
        <is>
          <t>GRAN VIALE</t>
        </is>
      </c>
      <c r="FK170" s="15" t="n">
        <v>2020</v>
      </c>
      <c r="FL170" s="15" t="inlineStr">
        <is>
          <t>C</t>
        </is>
      </c>
      <c r="FM170" s="15" t="inlineStr">
        <is>
          <t>PIE ANDINO</t>
        </is>
      </c>
      <c r="FN170" s="15" t="inlineStr">
        <is>
          <t>Pie Andino 31 (Pie Andino 383)</t>
        </is>
      </c>
      <c r="FO170" s="15" t="inlineStr">
        <is>
          <t>Puente Alto</t>
        </is>
      </c>
      <c r="FP170" t="inlineStr">
        <is>
          <t>C</t>
        </is>
      </c>
      <c r="FS170" s="14" t="inlineStr">
        <is>
          <t>3042 / SFVZ-56|</t>
        </is>
      </c>
      <c r="FT170" t="inlineStr">
        <is>
          <t>SFVZ-56|</t>
        </is>
      </c>
      <c r="FU170" t="inlineStr">
        <is>
          <t>SFVZ-56</t>
        </is>
      </c>
      <c r="FV170">
        <f>VLOOKUP(FU170,FD:FL,9,0)</f>
        <v/>
      </c>
      <c r="HA170" s="35" t="n">
        <v>167</v>
      </c>
      <c r="HB170" s="35" t="n">
        <v>164</v>
      </c>
    </row>
    <row r="171" ht="15.5" customHeight="1">
      <c r="A171" s="10">
        <f>HOUR(G171)+1</f>
        <v/>
      </c>
      <c r="B171" s="7" t="n"/>
      <c r="C171" s="7" t="n"/>
      <c r="D171" s="85">
        <f>IFERROR(
IF(AND(OR(Planilla!B171="C",Planilla!B171="c"), VLOOKUP(E171,FD:FP,13,0)="C"), "OK",IF(AND(OR(Planilla!B171="C",Planilla!B171="c"), OR(VLOOKUP(E171,FD:FP,13,0)="B", VLOOKUP(E171,FD:FP,13,0)="A")), "DEFICIT",IF(
AND(OR(Planilla!B171="B", Planilla!B171="BPAL"), VLOOKUP(E171,FD:FP,13,0)="B"), "OK",IF(AND(OR(Planilla!B171="B", Planilla!B171="BPAL"), VLOOKUP(E171,FD:FP,13,0)="A"), "DEFICIT",IF(AND(OR(Planilla!B171="B", Planilla!B171="BPAL"), VLOOKUP(E171,FD:FP,13,0)="C"), "SOBREOFERTA",IF(AND(Planilla!B171="A", VLOOKUP(E171,FD:FP,13,0)="A"), "OK",IF(
AND(Planilla!B171="A", OR(VLOOKUP(E171,FD:FP,13,0)="B", VLOOKUP(E171,FD:FP,13,0)="C")), "SOBREOFERTA",""
))))))),"")</f>
        <v/>
      </c>
      <c r="E171" s="8" t="n"/>
      <c r="F171" s="86" t="n"/>
      <c r="G171" s="87" t="n"/>
      <c r="H171" s="88">
        <f>IF(I171="","",IF(AND((I171-G171)&gt;=TIME(0,0,0),(I171-G171)&lt;TIME(0,3,0)),"OK",IF(AND((I171-G171)&gt;=TIME(0,3,0),(I171-G171)&lt;TIME(0,5,0)),"RETRASO DE 3-5 MIN",IF(AND((I171-G171)&gt;=TIME(0,5,0),(I171-G171)&lt;TIME(0,10,0)),"RETRASO DE 5-10 MIN",IF((I171-G171)&gt;=TIME(0,10,0),"RETRASO &gt;10 MIN", IF(AND((G171-I171)&gt;=TIME(0,0,0),(G171-I171)&lt;TIME(0,3,0)),"OK",IF((G171-I171)&gt;=TIME(0,3,0),"ADELANTADO")))))))</f>
        <v/>
      </c>
      <c r="I171" s="89" t="n"/>
      <c r="J171" s="89">
        <f>IF(A171&lt;&gt;"",HLOOKUP(VALUE(TEXT(G171,"h:mm:ss")),IF($C$6="Laboral",$FZ$4:$GX$227,IF($C$6="Sábado",$FZ$231:$GX$452,$FZ$456:$GX$656)),VLOOKUP($C$4,$HF$2:$HH$99,3,0)+IF(C$5="Ida",0,1),1),"")</f>
        <v/>
      </c>
      <c r="K171" s="89">
        <f>IF(A172&lt;&gt;A171,AVERAGEIF(A$9:A171,A171,J$9:J171),"")</f>
        <v/>
      </c>
      <c r="L171" s="89">
        <f>IFERROR(IF(A172&lt;&gt;A171,AVERAGEIF(A$9:A171,A171,S$9:S171),""),"")</f>
        <v/>
      </c>
      <c r="M171" s="89">
        <f>IFERROR(IF(A172&lt;&gt;A171,AVERAGEIF(A$9:A171,A171,T$9:T171),""),"")</f>
        <v/>
      </c>
      <c r="N171" s="89">
        <f t="array" ref="N171">IFERROR(IF(A172&lt;&gt;A171,_xlfn.STDEV.P(IF(A$9:A171=A171,T$9:T171)),""),"")</f>
        <v/>
      </c>
      <c r="O171" s="89">
        <f t="array" ref="O171">IFERROR(IF(A172&lt;&gt;A171,_xlfn.STDEV.P(IF(A$9:A171=A171,S$9:S171)),""),"")</f>
        <v/>
      </c>
      <c r="P171" s="90">
        <f>IFERROR(IF(A171&lt;&gt;A172,MAX((((M171*24*60)/2)*(1+POWER((((N171*24*60) / (M171*24*60) )),2))) + ((M171*24*60 )*-0.1 + (K171*0.015)) +1,(((M171*24*60)/2)*(1+POWER((((N171*24*60) / (M171*24*60 ))),2)))),""),"")</f>
        <v/>
      </c>
      <c r="Q171" s="90">
        <f>IF(AND(O171&lt;&gt;"",L171&lt;&gt;""),IF(A171&lt;&gt;A172,((L171*24*60) / 2 ) * (1 + POWER(((O171*24*60) / (L171*24*60)),2)),""),"")</f>
        <v/>
      </c>
      <c r="R171" s="90">
        <f>IF(Q171&lt;&gt;"",MAX(P171,Q171),"")</f>
        <v/>
      </c>
      <c r="S171" s="89">
        <f>IF(I171&lt;&gt;"H. Sale Real",IF(AND(I172&lt;&gt;"",LEFT(C172,2)&lt;&gt;"Va"),IF(AND(I171&lt;&gt;"",LEFT(C171,2)&lt;&gt;"Va",I171&lt;&gt;"H. Sale Real"),IF(I172-I171&lt;0.208333333333333,I172-I171,""),IF(AND(I170&lt;&gt;"",LEFT(C170,2)&lt;&gt;"Va",I170&lt;&gt;"H. Sale Real"),IF(I172-I170&lt;0.208333333333333,I172-I170,""),IF(AND(I169&lt;&gt;"",LEFT(C169,2)&lt;&gt;"Va",I169&lt;&gt;"H. Sale Real"),IF(I172-I169&lt;0.208333333333333,I172-I169,""),IF(AND(I168&lt;&gt;"",LEFT(C168,2)&lt;&gt;"Va",I168&lt;&gt;"H. Sale Real"),IF(I172-I168&lt;0.208333333333333,I172-I168,""),IF(AND(I167&lt;&gt;"",LEFT(C167,2)&lt;&gt;"Va",I167&lt;&gt;"H. Sale Real"),IF(I172-I167&lt;0.208333333333333,I172-I167,""),""))))),""),"")</f>
        <v/>
      </c>
      <c r="T171" s="89">
        <f>IF(G171&lt;&gt;"H. Sale Real",IF(AND(G172&lt;&gt;"",LEFT(C172,2)&lt;&gt;"Va"),IF(AND(G171&lt;&gt;"",LEFT(C171,2)&lt;&gt;"Va",G171&lt;&gt;"H. Sale Real"),IF(G172-G171&lt;0.208333333333333,G172-G171,""),IF(AND(G170&lt;&gt;"",LEFT(C170,2)&lt;&gt;"Va",G170&lt;&gt;"H. Sale Real"),IF(G172-G170&lt;0.208333333333333,G172-G170,""),IF(AND(G169&lt;&gt;"",LEFT(C169,2)&lt;&gt;"Va",G169&lt;&gt;"H. Sale Real"),IF(G172-G169&lt;0.208333333333333,G172-G169,""),IF(AND(G168&lt;&gt;"",LEFT(C168,2)&lt;&gt;"Va",G168&lt;&gt;"H. Sale Real"),IF(G172-G168&lt;0.208333333333333,G172-G168,""),IF(AND(G167&lt;&gt;"",LEFT(C167,2)&lt;&gt;"Va",G167&lt;&gt;"H. Sale Real"),IF(G172-G167&lt;0.208333333333333,G172-G167,""),""))))),""),"")</f>
        <v/>
      </c>
      <c r="U171" s="87" t="n"/>
      <c r="V171" s="89" t="n"/>
      <c r="W171" s="87" t="n"/>
      <c r="X171" s="89" t="n"/>
      <c r="Y171" s="91" t="n"/>
      <c r="Z171" s="122">
        <f>IF(G171&lt;&gt;"",IF(AND(Z170&lt;&gt;"IE",P171&lt;&gt;0,R171&lt;&gt;""),IF(IFERROR((P171/R171),0) &lt;=1,IFERROR(P171/R171,""),1),""),"")</f>
        <v/>
      </c>
      <c r="AA171" s="93" t="n"/>
      <c r="AB171" s="2" t="n"/>
      <c r="AE171" s="10">
        <f>HOUR(AK171)+1</f>
        <v/>
      </c>
      <c r="AF171" s="7" t="n"/>
      <c r="AG171" s="7" t="n"/>
      <c r="AH171" s="86" t="n"/>
      <c r="AI171" s="8" t="n"/>
      <c r="AJ171" s="86" t="n"/>
      <c r="AK171" s="87" t="n"/>
      <c r="AL171" s="88">
        <f>IF(AM171="","",IF(AND((AM171-AK171)&gt;=TIME(0,0,0),(AM171-AK171)&lt;TIME(0,3,0)),"OK",IF(AND((AM171-AK171)&gt;=TIME(0,3,0),(AM171-AK171)&lt;TIME(0,5,0)),"RETRASO DE 3-5 MIN",IF(AND((AM171-AK171)&gt;=TIME(0,5,0),(AM171-AK171)&lt;TIME(0,10,0)),"RETRASO DE 5-10 MIN",IF((AM171-AK171)&gt;=TIME(0,10,0),"RETRASO &gt;10 MIN", IF(AND((AK171-AM171)&gt;=TIME(0,0,0),(AK171-AM171)&lt;TIME(0,3,0)),"OK",IF((AK171-AM171)&gt;=TIME(0,3,0),"ADELANTADO")))))))</f>
        <v/>
      </c>
      <c r="AM171" s="91" t="n"/>
      <c r="AN171" s="89">
        <f>IF(AE171&lt;&gt;"",HLOOKUP(VALUE(TEXT(AK171,"h:mm:ss")),IF($C$6="Laboral",$FZ$4:$GX$227,IF($C$6="Sábado",$FZ$231:$GX$452,$FZ$456:$GX$656)),VLOOKUP($C$4,$HF$2:$HH$99,3,0)+IF(AG$5="Ida",0,1),1),"")</f>
        <v/>
      </c>
      <c r="AO171" s="89">
        <f>IF(AE172&lt;&gt;AE171,AVERAGEIF(AE$9:AE171,AE171,AN$9:AN171),"")</f>
        <v/>
      </c>
      <c r="AP171" s="89">
        <f>IFERROR(IF(AE172&lt;&gt;AE171,AVERAGEIF(AE$9:AE171,AE171,AW$9:AW171),""),"")</f>
        <v/>
      </c>
      <c r="AQ171" s="89">
        <f>IFERROR(IF(AE172&lt;&gt;AE171,AVERAGEIF(AE$9:AE171,AE171,AX$9:AX171),""),"")</f>
        <v/>
      </c>
      <c r="AR171" s="89">
        <f t="array" ref="AR171">IFERROR(IF(AE172&lt;&gt;AE171,_xlfn.STDEV.P(IF(AE$9:AE171=AE171,AX$9:AX171)),""),"")</f>
        <v/>
      </c>
      <c r="AS171" s="89">
        <f t="array" ref="AS171">IFERROR(IF(AE172&lt;&gt;AE171,_xlfn.STDEV.P(IF(AE$9:AE171=AE171,AW$9:AW171)),""),"")</f>
        <v/>
      </c>
      <c r="AT171" s="90">
        <f>IFERROR(IF(AE171&lt;&gt;AE172,MAX((((AQ171*24*60)/2)*(1+POWER((((AR171*24*60) / (AQ171*24*60) )),2))) + ((AQ171*24*60 )*-0.1 + (AO171*0.015)) +1,(((AQ171*24*60)/2)*(1+POWER((((AR171*24*60) / (AQ171*24*60 ))),2)))),""),"")</f>
        <v/>
      </c>
      <c r="AU171" s="90">
        <f>IF(AND(AS171&lt;&gt;"",AP171&lt;&gt;""),IF(AE171&lt;&gt;AE172,((AP171*24*60) / 2 ) * (1 + POWER(((AS171*24*60) / (AP171*24*60)),2)),""),"")</f>
        <v/>
      </c>
      <c r="AV171" s="90">
        <f>IF(AU171&lt;&gt;"",MAX(AT171,AU171),"")</f>
        <v/>
      </c>
      <c r="AW171" s="89">
        <f>IF(AM171&lt;&gt;"H. Sale Real",IF(AND(AM172&lt;&gt;"",LEFT(AG172,2)&lt;&gt;"Va"),IF(AND(AM171&lt;&gt;"",LEFT(AG171,2)&lt;&gt;"Va",AM171&lt;&gt;"H. Sale Real"),IF(AM172-AM171&lt;0.208333333333333,AM172-AM171,""),IF(AND(AM170&lt;&gt;"",LEFT(AG170,2)&lt;&gt;"Va",AM170&lt;&gt;"H. Sale Real"),IF(AM172-AM170&lt;0.208333333333333,AM172-AM170,""),IF(AND(AM169&lt;&gt;"",LEFT(AG169,2)&lt;&gt;"Va",AM169&lt;&gt;"H. Sale Real"),IF(AM172-AM169&lt;0.208333333333333,AM172-AM169,""),IF(AND(AM168&lt;&gt;"",LEFT(AG168,2)&lt;&gt;"Va",AM168&lt;&gt;"H. Sale Real"),IF(AM172-AM168&lt;0.208333333333333,AM172-AM168,""),IF(AND(AM167&lt;&gt;"",LEFT(AG167,2)&lt;&gt;"Va",AM167&lt;&gt;"H. Sale Real"),IF(AM172-AM167&lt;0.208333333333333,AM172-AM167,""),""))))),""),"")</f>
        <v/>
      </c>
      <c r="AX171" s="89">
        <f>IF(AK171&lt;&gt;"H. Sale Real",IF(AND(AK172&lt;&gt;"",LEFT(AG172,2)&lt;&gt;"Va"),IF(AND(AK171&lt;&gt;"",LEFT(AG171,2)&lt;&gt;"Va",AK171&lt;&gt;"H. Sale Real"),IF(AK172-AK171&lt;0.208333333333333,AK172-AK171,""),IF(AND(AK170&lt;&gt;"",LEFT(AG170,2)&lt;&gt;"Va",AK170&lt;&gt;"H. Sale Real"),IF(AK172-AK170&lt;0.208333333333333,AK172-AK170,""),IF(AND(AK169&lt;&gt;"",LEFT(AG169,2)&lt;&gt;"NC",AK169&lt;&gt;"H. Sale Real"),IF(AK172-AK169&lt;0.208333333333333,AK172-AK169,""),IF(AND(AK168&lt;&gt;"",LEFT(AG168,2)&lt;&gt;"Va",AK168&lt;&gt;"H. Sale Real"),IF(AK172-AK168&lt;0.208333333333333,AK172-AK168,""),IF(AND(AK167&lt;&gt;"",LEFT(AG167,2)&lt;&gt;"Va",AK167&lt;&gt;"H. Sale Real"),IF(AK172-AK167&lt;0.208333333333333,AK172-AK167,""),""))))),""),"")</f>
        <v/>
      </c>
      <c r="AY171" s="87" t="n"/>
      <c r="AZ171" s="89" t="n"/>
      <c r="BA171" s="87" t="n"/>
      <c r="BB171" s="89" t="n"/>
      <c r="BC171" s="91" t="n"/>
      <c r="BD171" s="122">
        <f>IF(AK171&lt;&gt;"",IF(AND(BD170&lt;&gt;"IE",AT171&lt;&gt;0,AV171&lt;&gt;""),IF(IFERROR((AT171/AV171),0) &lt;=1,IFERROR(AT171/AV171,""),1),""),"")</f>
        <v/>
      </c>
      <c r="BE171" s="93" t="n"/>
      <c r="BF171" s="105" t="n"/>
      <c r="FC171" t="inlineStr">
        <is>
          <t>Diccionario 1</t>
        </is>
      </c>
      <c r="FD171" s="15" t="n">
        <v>1167</v>
      </c>
      <c r="FE171" s="15" t="inlineStr">
        <is>
          <t>YV3T7U522LA198722</t>
        </is>
      </c>
      <c r="FF171" s="15" t="n">
        <v>508172</v>
      </c>
      <c r="FG171" s="15" t="inlineStr">
        <is>
          <t>Volvo</t>
        </is>
      </c>
      <c r="FH171" s="15" t="inlineStr">
        <is>
          <t>B8RLEA</t>
        </is>
      </c>
      <c r="FI171" s="15" t="inlineStr">
        <is>
          <t>MARCOPOLO</t>
        </is>
      </c>
      <c r="FJ171" s="15" t="inlineStr">
        <is>
          <t>GRAN VIALE</t>
        </is>
      </c>
      <c r="FK171" s="15" t="n">
        <v>2020</v>
      </c>
      <c r="FL171" s="15" t="inlineStr">
        <is>
          <t>C</t>
        </is>
      </c>
      <c r="FM171" s="15" t="inlineStr">
        <is>
          <t>PIE ANDINO</t>
        </is>
      </c>
      <c r="FN171" s="15" t="inlineStr">
        <is>
          <t>Pie Andino 31 (Pie Andino 383)</t>
        </is>
      </c>
      <c r="FO171" s="15" t="inlineStr">
        <is>
          <t>Puente Alto</t>
        </is>
      </c>
      <c r="FP171" t="inlineStr">
        <is>
          <t>C</t>
        </is>
      </c>
      <c r="FS171" s="14" t="inlineStr">
        <is>
          <t>3044 / SFVZ-67|</t>
        </is>
      </c>
      <c r="FT171" t="inlineStr">
        <is>
          <t>SFVZ-67|</t>
        </is>
      </c>
      <c r="FU171" t="inlineStr">
        <is>
          <t>SFVZ-67</t>
        </is>
      </c>
      <c r="FV171">
        <f>VLOOKUP(FU171,FD:FL,9,0)</f>
        <v/>
      </c>
      <c r="HA171" s="35" t="n">
        <v>168</v>
      </c>
      <c r="HB171" s="35" t="n">
        <v>165</v>
      </c>
    </row>
    <row r="172" ht="15.5" customHeight="1">
      <c r="A172" s="10">
        <f>HOUR(G172)+1</f>
        <v/>
      </c>
      <c r="B172" s="7" t="n"/>
      <c r="C172" s="7" t="n"/>
      <c r="D172" s="85">
        <f>IFERROR(
IF(AND(OR(Planilla!B172="C",Planilla!B172="c"), VLOOKUP(E172,FD:FP,13,0)="C"), "OK",IF(AND(OR(Planilla!B172="C",Planilla!B172="c"), OR(VLOOKUP(E172,FD:FP,13,0)="B", VLOOKUP(E172,FD:FP,13,0)="A")), "DEFICIT",IF(
AND(OR(Planilla!B172="B", Planilla!B172="BPAL"), VLOOKUP(E172,FD:FP,13,0)="B"), "OK",IF(AND(OR(Planilla!B172="B", Planilla!B172="BPAL"), VLOOKUP(E172,FD:FP,13,0)="A"), "DEFICIT",IF(AND(OR(Planilla!B172="B", Planilla!B172="BPAL"), VLOOKUP(E172,FD:FP,13,0)="C"), "SOBREOFERTA",IF(AND(Planilla!B172="A", VLOOKUP(E172,FD:FP,13,0)="A"), "OK",IF(
AND(Planilla!B172="A", OR(VLOOKUP(E172,FD:FP,13,0)="B", VLOOKUP(E172,FD:FP,13,0)="C")), "SOBREOFERTA",""
))))))),"")</f>
        <v/>
      </c>
      <c r="E172" s="8" t="n"/>
      <c r="F172" s="86" t="n"/>
      <c r="G172" s="87" t="n"/>
      <c r="H172" s="88">
        <f>IF(I172="","",IF(AND((I172-G172)&gt;=TIME(0,0,0),(I172-G172)&lt;TIME(0,3,0)),"OK",IF(AND((I172-G172)&gt;=TIME(0,3,0),(I172-G172)&lt;TIME(0,5,0)),"RETRASO DE 3-5 MIN",IF(AND((I172-G172)&gt;=TIME(0,5,0),(I172-G172)&lt;TIME(0,10,0)),"RETRASO DE 5-10 MIN",IF((I172-G172)&gt;=TIME(0,10,0),"RETRASO &gt;10 MIN", IF(AND((G172-I172)&gt;=TIME(0,0,0),(G172-I172)&lt;TIME(0,3,0)),"OK",IF((G172-I172)&gt;=TIME(0,3,0),"ADELANTADO")))))))</f>
        <v/>
      </c>
      <c r="I172" s="89" t="n"/>
      <c r="J172" s="89">
        <f>IF(A172&lt;&gt;"",HLOOKUP(VALUE(TEXT(G172,"h:mm:ss")),IF($C$6="Laboral",$FZ$4:$GX$227,IF($C$6="Sábado",$FZ$231:$GX$452,$FZ$456:$GX$656)),VLOOKUP($C$4,$HF$2:$HH$99,3,0)+IF(C$5="Ida",0,1),1),"")</f>
        <v/>
      </c>
      <c r="K172" s="89">
        <f>IF(A173&lt;&gt;A172,AVERAGEIF(A$9:A172,A172,J$9:J172),"")</f>
        <v/>
      </c>
      <c r="L172" s="89">
        <f>IFERROR(IF(A173&lt;&gt;A172,AVERAGEIF(A$9:A172,A172,S$9:S172),""),"")</f>
        <v/>
      </c>
      <c r="M172" s="89">
        <f>IFERROR(IF(A173&lt;&gt;A172,AVERAGEIF(A$9:A172,A172,T$9:T172),""),"")</f>
        <v/>
      </c>
      <c r="N172" s="89">
        <f t="array" ref="N172">IFERROR(IF(A173&lt;&gt;A172,_xlfn.STDEV.P(IF(A$9:A172=A172,T$9:T172)),""),"")</f>
        <v/>
      </c>
      <c r="O172" s="89">
        <f t="array" ref="O172">IFERROR(IF(A173&lt;&gt;A172,_xlfn.STDEV.P(IF(A$9:A172=A172,S$9:S172)),""),"")</f>
        <v/>
      </c>
      <c r="P172" s="90">
        <f>IFERROR(IF(A172&lt;&gt;A173,MAX((((M172*24*60)/2)*(1+POWER((((N172*24*60) / (M172*24*60) )),2))) + ((M172*24*60 )*-0.1 + (K172*0.015)) +1,(((M172*24*60)/2)*(1+POWER((((N172*24*60) / (M172*24*60 ))),2)))),""),"")</f>
        <v/>
      </c>
      <c r="Q172" s="90">
        <f>IF(AND(O172&lt;&gt;"",L172&lt;&gt;""),IF(A172&lt;&gt;A173,((L172*24*60) / 2 ) * (1 + POWER(((O172*24*60) / (L172*24*60)),2)),""),"")</f>
        <v/>
      </c>
      <c r="R172" s="90">
        <f>IF(Q172&lt;&gt;"",MAX(P172,Q172),"")</f>
        <v/>
      </c>
      <c r="S172" s="89">
        <f>IF(I172&lt;&gt;"H. Sale Real",IF(AND(I173&lt;&gt;"",LEFT(C173,2)&lt;&gt;"Va"),IF(AND(I172&lt;&gt;"",LEFT(C172,2)&lt;&gt;"Va",I172&lt;&gt;"H. Sale Real"),IF(I173-I172&lt;0.208333333333333,I173-I172,""),IF(AND(I171&lt;&gt;"",LEFT(C171,2)&lt;&gt;"Va",I171&lt;&gt;"H. Sale Real"),IF(I173-I171&lt;0.208333333333333,I173-I171,""),IF(AND(I170&lt;&gt;"",LEFT(C170,2)&lt;&gt;"Va",I170&lt;&gt;"H. Sale Real"),IF(I173-I170&lt;0.208333333333333,I173-I170,""),IF(AND(I169&lt;&gt;"",LEFT(C169,2)&lt;&gt;"Va",I169&lt;&gt;"H. Sale Real"),IF(I173-I169&lt;0.208333333333333,I173-I169,""),IF(AND(I168&lt;&gt;"",LEFT(C168,2)&lt;&gt;"Va",I168&lt;&gt;"H. Sale Real"),IF(I173-I168&lt;0.208333333333333,I173-I168,""),""))))),""),"")</f>
        <v/>
      </c>
      <c r="T172" s="89">
        <f>IF(G172&lt;&gt;"H. Sale Real",IF(AND(G173&lt;&gt;"",LEFT(C173,2)&lt;&gt;"Va"),IF(AND(G172&lt;&gt;"",LEFT(C172,2)&lt;&gt;"Va",G172&lt;&gt;"H. Sale Real"),IF(G173-G172&lt;0.208333333333333,G173-G172,""),IF(AND(G171&lt;&gt;"",LEFT(C171,2)&lt;&gt;"Va",G171&lt;&gt;"H. Sale Real"),IF(G173-G171&lt;0.208333333333333,G173-G171,""),IF(AND(G170&lt;&gt;"",LEFT(C170,2)&lt;&gt;"Va",G170&lt;&gt;"H. Sale Real"),IF(G173-G170&lt;0.208333333333333,G173-G170,""),IF(AND(G169&lt;&gt;"",LEFT(C169,2)&lt;&gt;"Va",G169&lt;&gt;"H. Sale Real"),IF(G173-G169&lt;0.208333333333333,G173-G169,""),IF(AND(G168&lt;&gt;"",LEFT(C168,2)&lt;&gt;"Va",G168&lt;&gt;"H. Sale Real"),IF(G173-G168&lt;0.208333333333333,G173-G168,""),""))))),""),"")</f>
        <v/>
      </c>
      <c r="U172" s="87" t="n"/>
      <c r="V172" s="89" t="n"/>
      <c r="W172" s="87" t="n"/>
      <c r="X172" s="89" t="n"/>
      <c r="Y172" s="91" t="n"/>
      <c r="Z172" s="122">
        <f>IF(G172&lt;&gt;"",IF(AND(Z171&lt;&gt;"IE",P172&lt;&gt;0,R172&lt;&gt;""),IF(IFERROR((P172/R172),0) &lt;=1,IFERROR(P172/R172,""),1),""),"")</f>
        <v/>
      </c>
      <c r="AA172" s="93" t="n"/>
      <c r="AB172" s="2" t="n"/>
      <c r="AE172" s="10">
        <f>HOUR(AK172)+1</f>
        <v/>
      </c>
      <c r="AF172" s="7" t="n"/>
      <c r="AG172" s="7" t="n"/>
      <c r="AH172" s="86" t="n"/>
      <c r="AI172" s="8" t="n"/>
      <c r="AJ172" s="86" t="n"/>
      <c r="AK172" s="87" t="n"/>
      <c r="AL172" s="88">
        <f>IF(AM172="","",IF(AND((AM172-AK172)&gt;=TIME(0,0,0),(AM172-AK172)&lt;TIME(0,3,0)),"OK",IF(AND((AM172-AK172)&gt;=TIME(0,3,0),(AM172-AK172)&lt;TIME(0,5,0)),"RETRASO DE 3-5 MIN",IF(AND((AM172-AK172)&gt;=TIME(0,5,0),(AM172-AK172)&lt;TIME(0,10,0)),"RETRASO DE 5-10 MIN",IF((AM172-AK172)&gt;=TIME(0,10,0),"RETRASO &gt;10 MIN", IF(AND((AK172-AM172)&gt;=TIME(0,0,0),(AK172-AM172)&lt;TIME(0,3,0)),"OK",IF((AK172-AM172)&gt;=TIME(0,3,0),"ADELANTADO")))))))</f>
        <v/>
      </c>
      <c r="AM172" s="91" t="n"/>
      <c r="AN172" s="89">
        <f>IF(AE172&lt;&gt;"",HLOOKUP(VALUE(TEXT(AK172,"h:mm:ss")),IF($C$6="Laboral",$FZ$4:$GX$227,IF($C$6="Sábado",$FZ$231:$GX$452,$FZ$456:$GX$656)),VLOOKUP($C$4,$HF$2:$HH$99,3,0)+IF(AG$5="Ida",0,1),1),"")</f>
        <v/>
      </c>
      <c r="AO172" s="89">
        <f>IF(AE173&lt;&gt;AE172,AVERAGEIF(AE$9:AE172,AE172,AN$9:AN172),"")</f>
        <v/>
      </c>
      <c r="AP172" s="89">
        <f>IFERROR(IF(AE173&lt;&gt;AE172,AVERAGEIF(AE$9:AE172,AE172,AW$9:AW172),""),"")</f>
        <v/>
      </c>
      <c r="AQ172" s="89">
        <f>IFERROR(IF(AE173&lt;&gt;AE172,AVERAGEIF(AE$9:AE172,AE172,AX$9:AX172),""),"")</f>
        <v/>
      </c>
      <c r="AR172" s="89">
        <f t="array" ref="AR172">IFERROR(IF(AE173&lt;&gt;AE172,_xlfn.STDEV.P(IF(AE$9:AE172=AE172,AX$9:AX172)),""),"")</f>
        <v/>
      </c>
      <c r="AS172" s="89">
        <f t="array" ref="AS172">IFERROR(IF(AE173&lt;&gt;AE172,_xlfn.STDEV.P(IF(AE$9:AE172=AE172,AW$9:AW172)),""),"")</f>
        <v/>
      </c>
      <c r="AT172" s="90">
        <f>IFERROR(IF(AE172&lt;&gt;AE173,MAX((((AQ172*24*60)/2)*(1+POWER((((AR172*24*60) / (AQ172*24*60) )),2))) + ((AQ172*24*60 )*-0.1 + (AO172*0.015)) +1,(((AQ172*24*60)/2)*(1+POWER((((AR172*24*60) / (AQ172*24*60 ))),2)))),""),"")</f>
        <v/>
      </c>
      <c r="AU172" s="90">
        <f>IF(AND(AS172&lt;&gt;"",AP172&lt;&gt;""),IF(AE172&lt;&gt;AE173,((AP172*24*60) / 2 ) * (1 + POWER(((AS172*24*60) / (AP172*24*60)),2)),""),"")</f>
        <v/>
      </c>
      <c r="AV172" s="90">
        <f>IF(AU172&lt;&gt;"",MAX(AT172,AU172),"")</f>
        <v/>
      </c>
      <c r="AW172" s="89">
        <f>IF(AM172&lt;&gt;"H. Sale Real",IF(AND(AM173&lt;&gt;"",LEFT(AG173,2)&lt;&gt;"Va"),IF(AND(AM172&lt;&gt;"",LEFT(AG172,2)&lt;&gt;"Va",AM172&lt;&gt;"H. Sale Real"),IF(AM173-AM172&lt;0.208333333333333,AM173-AM172,""),IF(AND(AM171&lt;&gt;"",LEFT(AG171,2)&lt;&gt;"Va",AM171&lt;&gt;"H. Sale Real"),IF(AM173-AM171&lt;0.208333333333333,AM173-AM171,""),IF(AND(AM170&lt;&gt;"",LEFT(AG170,2)&lt;&gt;"Va",AM170&lt;&gt;"H. Sale Real"),IF(AM173-AM170&lt;0.208333333333333,AM173-AM170,""),IF(AND(AM169&lt;&gt;"",LEFT(AG169,2)&lt;&gt;"Va",AM169&lt;&gt;"H. Sale Real"),IF(AM173-AM169&lt;0.208333333333333,AM173-AM169,""),IF(AND(AM168&lt;&gt;"",LEFT(AG168,2)&lt;&gt;"Va",AM168&lt;&gt;"H. Sale Real"),IF(AM173-AM168&lt;0.208333333333333,AM173-AM168,""),""))))),""),"")</f>
        <v/>
      </c>
      <c r="AX172" s="89">
        <f>IF(AK172&lt;&gt;"H. Sale Real",IF(AND(AK173&lt;&gt;"",LEFT(AG173,2)&lt;&gt;"Va"),IF(AND(AK172&lt;&gt;"",LEFT(AG172,2)&lt;&gt;"Va",AK172&lt;&gt;"H. Sale Real"),IF(AK173-AK172&lt;0.208333333333333,AK173-AK172,""),IF(AND(AK171&lt;&gt;"",LEFT(AG171,2)&lt;&gt;"Va",AK171&lt;&gt;"H. Sale Real"),IF(AK173-AK171&lt;0.208333333333333,AK173-AK171,""),IF(AND(AK170&lt;&gt;"",LEFT(AG170,2)&lt;&gt;"NC",AK170&lt;&gt;"H. Sale Real"),IF(AK173-AK170&lt;0.208333333333333,AK173-AK170,""),IF(AND(AK169&lt;&gt;"",LEFT(AG169,2)&lt;&gt;"Va",AK169&lt;&gt;"H. Sale Real"),IF(AK173-AK169&lt;0.208333333333333,AK173-AK169,""),IF(AND(AK168&lt;&gt;"",LEFT(AG168,2)&lt;&gt;"Va",AK168&lt;&gt;"H. Sale Real"),IF(AK173-AK168&lt;0.208333333333333,AK173-AK168,""),""))))),""),"")</f>
        <v/>
      </c>
      <c r="AY172" s="87" t="n"/>
      <c r="AZ172" s="89" t="n"/>
      <c r="BA172" s="87" t="n"/>
      <c r="BB172" s="89" t="n"/>
      <c r="BC172" s="91" t="n"/>
      <c r="BD172" s="122">
        <f>IF(AK172&lt;&gt;"",IF(AND(BD171&lt;&gt;"IE",AT172&lt;&gt;0,AV172&lt;&gt;""),IF(IFERROR((AT172/AV172),0) &lt;=1,IFERROR(AT172/AV172,""),1),""),"")</f>
        <v/>
      </c>
      <c r="BE172" s="93" t="n"/>
      <c r="BF172" s="105" t="n"/>
      <c r="FC172" t="inlineStr">
        <is>
          <t>Diccionario 1</t>
        </is>
      </c>
      <c r="FD172" s="15" t="n">
        <v>1226</v>
      </c>
      <c r="FE172" s="15" t="inlineStr">
        <is>
          <t>YV3T7U520LA201696</t>
        </is>
      </c>
      <c r="FF172" s="15" t="n">
        <v>508690</v>
      </c>
      <c r="FG172" s="15" t="inlineStr">
        <is>
          <t>Volvo</t>
        </is>
      </c>
      <c r="FH172" s="15" t="inlineStr">
        <is>
          <t>B8RLEA</t>
        </is>
      </c>
      <c r="FI172" s="15" t="inlineStr">
        <is>
          <t>MARCOPOLO</t>
        </is>
      </c>
      <c r="FJ172" s="15" t="inlineStr">
        <is>
          <t>GRAN VIALE</t>
        </is>
      </c>
      <c r="FK172" s="15" t="n">
        <v>2020</v>
      </c>
      <c r="FL172" s="15" t="inlineStr">
        <is>
          <t>C</t>
        </is>
      </c>
      <c r="FM172" s="15" t="inlineStr">
        <is>
          <t>SAN ALFONSO</t>
        </is>
      </c>
      <c r="FN172" s="15" t="inlineStr">
        <is>
          <t>San Alfonso 2141 (Ramón Subercaseaux 3060)</t>
        </is>
      </c>
      <c r="FO172" s="15" t="inlineStr">
        <is>
          <t>Estacion Central</t>
        </is>
      </c>
      <c r="FP172" t="inlineStr">
        <is>
          <t>C</t>
        </is>
      </c>
      <c r="FS172" s="14" t="inlineStr">
        <is>
          <t>3044 / SFVZ-67|</t>
        </is>
      </c>
      <c r="FT172" t="inlineStr">
        <is>
          <t>SFVZ-67|</t>
        </is>
      </c>
      <c r="FU172" t="inlineStr">
        <is>
          <t>SFVZ-67</t>
        </is>
      </c>
      <c r="FV172">
        <f>VLOOKUP(FU172,FD:FL,9,0)</f>
        <v/>
      </c>
      <c r="HA172" s="35" t="n">
        <v>169</v>
      </c>
      <c r="HB172" s="35" t="n">
        <v>166</v>
      </c>
    </row>
    <row r="173" ht="15.5" customHeight="1">
      <c r="A173" s="10">
        <f>HOUR(G173)+1</f>
        <v/>
      </c>
      <c r="B173" s="7" t="n"/>
      <c r="C173" s="7" t="n"/>
      <c r="D173" s="85">
        <f>IFERROR(
IF(AND(OR(Planilla!B173="C",Planilla!B173="c"), VLOOKUP(E173,FD:FP,13,0)="C"), "OK",IF(AND(OR(Planilla!B173="C",Planilla!B173="c"), OR(VLOOKUP(E173,FD:FP,13,0)="B", VLOOKUP(E173,FD:FP,13,0)="A")), "DEFICIT",IF(
AND(OR(Planilla!B173="B", Planilla!B173="BPAL"), VLOOKUP(E173,FD:FP,13,0)="B"), "OK",IF(AND(OR(Planilla!B173="B", Planilla!B173="BPAL"), VLOOKUP(E173,FD:FP,13,0)="A"), "DEFICIT",IF(AND(OR(Planilla!B173="B", Planilla!B173="BPAL"), VLOOKUP(E173,FD:FP,13,0)="C"), "SOBREOFERTA",IF(AND(Planilla!B173="A", VLOOKUP(E173,FD:FP,13,0)="A"), "OK",IF(
AND(Planilla!B173="A", OR(VLOOKUP(E173,FD:FP,13,0)="B", VLOOKUP(E173,FD:FP,13,0)="C")), "SOBREOFERTA",""
))))))),"")</f>
        <v/>
      </c>
      <c r="E173" s="8" t="n"/>
      <c r="F173" s="86" t="n"/>
      <c r="G173" s="87" t="n"/>
      <c r="H173" s="88">
        <f>IF(I173="","",IF(AND((I173-G173)&gt;=TIME(0,0,0),(I173-G173)&lt;TIME(0,3,0)),"OK",IF(AND((I173-G173)&gt;=TIME(0,3,0),(I173-G173)&lt;TIME(0,5,0)),"RETRASO DE 3-5 MIN",IF(AND((I173-G173)&gt;=TIME(0,5,0),(I173-G173)&lt;TIME(0,10,0)),"RETRASO DE 5-10 MIN",IF((I173-G173)&gt;=TIME(0,10,0),"RETRASO &gt;10 MIN", IF(AND((G173-I173)&gt;=TIME(0,0,0),(G173-I173)&lt;TIME(0,3,0)),"OK",IF((G173-I173)&gt;=TIME(0,3,0),"ADELANTADO")))))))</f>
        <v/>
      </c>
      <c r="I173" s="89" t="n"/>
      <c r="J173" s="89">
        <f>IF(A173&lt;&gt;"",HLOOKUP(VALUE(TEXT(G173,"h:mm:ss")),IF($C$6="Laboral",$FZ$4:$GX$227,IF($C$6="Sábado",$FZ$231:$GX$452,$FZ$456:$GX$656)),VLOOKUP($C$4,$HF$2:$HH$99,3,0)+IF(C$5="Ida",0,1),1),"")</f>
        <v/>
      </c>
      <c r="K173" s="89">
        <f>IF(A174&lt;&gt;A173,AVERAGEIF(A$9:A173,A173,J$9:J173),"")</f>
        <v/>
      </c>
      <c r="L173" s="89">
        <f>IFERROR(IF(A174&lt;&gt;A173,AVERAGEIF(A$9:A173,A173,S$9:S173),""),"")</f>
        <v/>
      </c>
      <c r="M173" s="89">
        <f>IFERROR(IF(A174&lt;&gt;A173,AVERAGEIF(A$9:A173,A173,T$9:T173),""),"")</f>
        <v/>
      </c>
      <c r="N173" s="89">
        <f t="array" ref="N173">IFERROR(IF(A174&lt;&gt;A173,_xlfn.STDEV.P(IF(A$9:A173=A173,T$9:T173)),""),"")</f>
        <v/>
      </c>
      <c r="O173" s="89">
        <f t="array" ref="O173">IFERROR(IF(A174&lt;&gt;A173,_xlfn.STDEV.P(IF(A$9:A173=A173,S$9:S173)),""),"")</f>
        <v/>
      </c>
      <c r="P173" s="90">
        <f>IFERROR(IF(A173&lt;&gt;A174,MAX((((M173*24*60)/2)*(1+POWER((((N173*24*60) / (M173*24*60) )),2))) + ((M173*24*60 )*-0.1 + (K173*0.015)) +1,(((M173*24*60)/2)*(1+POWER((((N173*24*60) / (M173*24*60 ))),2)))),""),"")</f>
        <v/>
      </c>
      <c r="Q173" s="90">
        <f>IF(AND(O173&lt;&gt;"",L173&lt;&gt;""),IF(A173&lt;&gt;A174,((L173*24*60) / 2 ) * (1 + POWER(((O173*24*60) / (L173*24*60)),2)),""),"")</f>
        <v/>
      </c>
      <c r="R173" s="90">
        <f>IF(Q173&lt;&gt;"",MAX(P173,Q173),"")</f>
        <v/>
      </c>
      <c r="S173" s="89">
        <f>IF(I173&lt;&gt;"H. Sale Real",IF(AND(I174&lt;&gt;"",LEFT(C174,2)&lt;&gt;"Va"),IF(AND(I173&lt;&gt;"",LEFT(C173,2)&lt;&gt;"Va",I173&lt;&gt;"H. Sale Real"),IF(I174-I173&lt;0.208333333333333,I174-I173,""),IF(AND(I172&lt;&gt;"",LEFT(C172,2)&lt;&gt;"Va",I172&lt;&gt;"H. Sale Real"),IF(I174-I172&lt;0.208333333333333,I174-I172,""),IF(AND(I171&lt;&gt;"",LEFT(C171,2)&lt;&gt;"Va",I171&lt;&gt;"H. Sale Real"),IF(I174-I171&lt;0.208333333333333,I174-I171,""),IF(AND(I170&lt;&gt;"",LEFT(C170,2)&lt;&gt;"Va",I170&lt;&gt;"H. Sale Real"),IF(I174-I170&lt;0.208333333333333,I174-I170,""),IF(AND(I169&lt;&gt;"",LEFT(C169,2)&lt;&gt;"Va",I169&lt;&gt;"H. Sale Real"),IF(I174-I169&lt;0.208333333333333,I174-I169,""),""))))),""),"")</f>
        <v/>
      </c>
      <c r="T173" s="89">
        <f>IF(G173&lt;&gt;"H. Sale Real",IF(AND(G174&lt;&gt;"",LEFT(C174,2)&lt;&gt;"Va"),IF(AND(G173&lt;&gt;"",LEFT(C173,2)&lt;&gt;"Va",G173&lt;&gt;"H. Sale Real"),IF(G174-G173&lt;0.208333333333333,G174-G173,""),IF(AND(G172&lt;&gt;"",LEFT(C172,2)&lt;&gt;"Va",G172&lt;&gt;"H. Sale Real"),IF(G174-G172&lt;0.208333333333333,G174-G172,""),IF(AND(G171&lt;&gt;"",LEFT(C171,2)&lt;&gt;"Va",G171&lt;&gt;"H. Sale Real"),IF(G174-G171&lt;0.208333333333333,G174-G171,""),IF(AND(G170&lt;&gt;"",LEFT(C170,2)&lt;&gt;"Va",G170&lt;&gt;"H. Sale Real"),IF(G174-G170&lt;0.208333333333333,G174-G170,""),IF(AND(G169&lt;&gt;"",LEFT(C169,2)&lt;&gt;"Va",G169&lt;&gt;"H. Sale Real"),IF(G174-G169&lt;0.208333333333333,G174-G169,""),""))))),""),"")</f>
        <v/>
      </c>
      <c r="U173" s="87" t="n"/>
      <c r="V173" s="89" t="n"/>
      <c r="W173" s="87" t="n"/>
      <c r="X173" s="89" t="n"/>
      <c r="Y173" s="91" t="n"/>
      <c r="Z173" s="122">
        <f>IF(G173&lt;&gt;"",IF(AND(Z172&lt;&gt;"IE",P173&lt;&gt;0,R173&lt;&gt;""),IF(IFERROR((P173/R173),0) &lt;=1,IFERROR(P173/R173,""),1),""),"")</f>
        <v/>
      </c>
      <c r="AA173" s="93" t="n"/>
      <c r="AB173" s="2" t="n"/>
      <c r="AE173" s="10">
        <f>HOUR(AK173)+1</f>
        <v/>
      </c>
      <c r="AF173" s="7" t="n"/>
      <c r="AG173" s="7" t="n"/>
      <c r="AH173" s="86" t="n"/>
      <c r="AI173" s="8" t="n"/>
      <c r="AJ173" s="86" t="n"/>
      <c r="AK173" s="87" t="n"/>
      <c r="AL173" s="88">
        <f>IF(AM173="","",IF(AND((AM173-AK173)&gt;=TIME(0,0,0),(AM173-AK173)&lt;TIME(0,3,0)),"OK",IF(AND((AM173-AK173)&gt;=TIME(0,3,0),(AM173-AK173)&lt;TIME(0,5,0)),"RETRASO DE 3-5 MIN",IF(AND((AM173-AK173)&gt;=TIME(0,5,0),(AM173-AK173)&lt;TIME(0,10,0)),"RETRASO DE 5-10 MIN",IF((AM173-AK173)&gt;=TIME(0,10,0),"RETRASO &gt;10 MIN", IF(AND((AK173-AM173)&gt;=TIME(0,0,0),(AK173-AM173)&lt;TIME(0,3,0)),"OK",IF((AK173-AM173)&gt;=TIME(0,3,0),"ADELANTADO")))))))</f>
        <v/>
      </c>
      <c r="AM173" s="91" t="n"/>
      <c r="AN173" s="89">
        <f>IF(AE173&lt;&gt;"",HLOOKUP(VALUE(TEXT(AK173,"h:mm:ss")),IF($C$6="Laboral",$FZ$4:$GX$227,IF($C$6="Sábado",$FZ$231:$GX$452,$FZ$456:$GX$656)),VLOOKUP($C$4,$HF$2:$HH$99,3,0)+IF(AG$5="Ida",0,1),1),"")</f>
        <v/>
      </c>
      <c r="AO173" s="89">
        <f>IF(AE174&lt;&gt;AE173,AVERAGEIF(AE$9:AE173,AE173,AN$9:AN173),"")</f>
        <v/>
      </c>
      <c r="AP173" s="89">
        <f>IFERROR(IF(AE174&lt;&gt;AE173,AVERAGEIF(AE$9:AE173,AE173,AW$9:AW173),""),"")</f>
        <v/>
      </c>
      <c r="AQ173" s="89">
        <f>IFERROR(IF(AE174&lt;&gt;AE173,AVERAGEIF(AE$9:AE173,AE173,AX$9:AX173),""),"")</f>
        <v/>
      </c>
      <c r="AR173" s="89">
        <f t="array" ref="AR173">IFERROR(IF(AE174&lt;&gt;AE173,_xlfn.STDEV.P(IF(AE$9:AE173=AE173,AX$9:AX173)),""),"")</f>
        <v/>
      </c>
      <c r="AS173" s="89">
        <f t="array" ref="AS173">IFERROR(IF(AE174&lt;&gt;AE173,_xlfn.STDEV.P(IF(AE$9:AE173=AE173,AW$9:AW173)),""),"")</f>
        <v/>
      </c>
      <c r="AT173" s="90">
        <f>IFERROR(IF(AE173&lt;&gt;AE174,MAX((((AQ173*24*60)/2)*(1+POWER((((AR173*24*60) / (AQ173*24*60) )),2))) + ((AQ173*24*60 )*-0.1 + (AO173*0.015)) +1,(((AQ173*24*60)/2)*(1+POWER((((AR173*24*60) / (AQ173*24*60 ))),2)))),""),"")</f>
        <v/>
      </c>
      <c r="AU173" s="90">
        <f>IF(AND(AS173&lt;&gt;"",AP173&lt;&gt;""),IF(AE173&lt;&gt;AE174,((AP173*24*60) / 2 ) * (1 + POWER(((AS173*24*60) / (AP173*24*60)),2)),""),"")</f>
        <v/>
      </c>
      <c r="AV173" s="90">
        <f>IF(AU173&lt;&gt;"",MAX(AT173,AU173),"")</f>
        <v/>
      </c>
      <c r="AW173" s="89">
        <f>IF(AM173&lt;&gt;"H. Sale Real",IF(AND(AM174&lt;&gt;"",LEFT(AG174,2)&lt;&gt;"Va"),IF(AND(AM173&lt;&gt;"",LEFT(AG173,2)&lt;&gt;"Va",AM173&lt;&gt;"H. Sale Real"),IF(AM174-AM173&lt;0.208333333333333,AM174-AM173,""),IF(AND(AM172&lt;&gt;"",LEFT(AG172,2)&lt;&gt;"Va",AM172&lt;&gt;"H. Sale Real"),IF(AM174-AM172&lt;0.208333333333333,AM174-AM172,""),IF(AND(AM171&lt;&gt;"",LEFT(AG171,2)&lt;&gt;"Va",AM171&lt;&gt;"H. Sale Real"),IF(AM174-AM171&lt;0.208333333333333,AM174-AM171,""),IF(AND(AM170&lt;&gt;"",LEFT(AG170,2)&lt;&gt;"Va",AM170&lt;&gt;"H. Sale Real"),IF(AM174-AM170&lt;0.208333333333333,AM174-AM170,""),IF(AND(AM169&lt;&gt;"",LEFT(AG169,2)&lt;&gt;"Va",AM169&lt;&gt;"H. Sale Real"),IF(AM174-AM169&lt;0.208333333333333,AM174-AM169,""),""))))),""),"")</f>
        <v/>
      </c>
      <c r="AX173" s="89">
        <f>IF(AK173&lt;&gt;"H. Sale Real",IF(AND(AK174&lt;&gt;"",LEFT(AG174,2)&lt;&gt;"Va"),IF(AND(AK173&lt;&gt;"",LEFT(AG173,2)&lt;&gt;"Va",AK173&lt;&gt;"H. Sale Real"),IF(AK174-AK173&lt;0.208333333333333,AK174-AK173,""),IF(AND(AK172&lt;&gt;"",LEFT(AG172,2)&lt;&gt;"Va",AK172&lt;&gt;"H. Sale Real"),IF(AK174-AK172&lt;0.208333333333333,AK174-AK172,""),IF(AND(AK171&lt;&gt;"",LEFT(AG171,2)&lt;&gt;"NC",AK171&lt;&gt;"H. Sale Real"),IF(AK174-AK171&lt;0.208333333333333,AK174-AK171,""),IF(AND(AK170&lt;&gt;"",LEFT(AG170,2)&lt;&gt;"Va",AK170&lt;&gt;"H. Sale Real"),IF(AK174-AK170&lt;0.208333333333333,AK174-AK170,""),IF(AND(AK169&lt;&gt;"",LEFT(AG169,2)&lt;&gt;"Va",AK169&lt;&gt;"H. Sale Real"),IF(AK174-AK169&lt;0.208333333333333,AK174-AK169,""),""))))),""),"")</f>
        <v/>
      </c>
      <c r="AY173" s="87" t="n"/>
      <c r="AZ173" s="89" t="n"/>
      <c r="BA173" s="87" t="n"/>
      <c r="BB173" s="89" t="n"/>
      <c r="BC173" s="91" t="n"/>
      <c r="BD173" s="122">
        <f>IF(AK173&lt;&gt;"",IF(AND(BD172&lt;&gt;"IE",AT173&lt;&gt;0,AV173&lt;&gt;""),IF(IFERROR((AT173/AV173),0) &lt;=1,IFERROR(AT173/AV173,""),1),""),"")</f>
        <v/>
      </c>
      <c r="BE173" s="93" t="n"/>
      <c r="BF173" s="105" t="n"/>
      <c r="FC173" t="inlineStr">
        <is>
          <t>Diccionario 1</t>
        </is>
      </c>
      <c r="FD173" s="15" t="n">
        <v>1168</v>
      </c>
      <c r="FE173" s="15" t="inlineStr">
        <is>
          <t>YV3T7U52XLA201608</t>
        </is>
      </c>
      <c r="FF173" s="15" t="n">
        <v>508223</v>
      </c>
      <c r="FG173" s="15" t="inlineStr">
        <is>
          <t>Volvo</t>
        </is>
      </c>
      <c r="FH173" s="15" t="inlineStr">
        <is>
          <t>B8RLEA</t>
        </is>
      </c>
      <c r="FI173" s="15" t="inlineStr">
        <is>
          <t>MARCOPOLO</t>
        </is>
      </c>
      <c r="FJ173" s="15" t="inlineStr">
        <is>
          <t>GRAN VIALE</t>
        </is>
      </c>
      <c r="FK173" s="15" t="n">
        <v>2020</v>
      </c>
      <c r="FL173" s="15" t="inlineStr">
        <is>
          <t>C</t>
        </is>
      </c>
      <c r="FM173" s="15" t="inlineStr">
        <is>
          <t>PIE ANDINO</t>
        </is>
      </c>
      <c r="FN173" s="15" t="inlineStr">
        <is>
          <t>Pie Andino 31 (Pie Andino 383)</t>
        </is>
      </c>
      <c r="FO173" s="15" t="inlineStr">
        <is>
          <t>Puente Alto</t>
        </is>
      </c>
      <c r="FP173" t="inlineStr">
        <is>
          <t>C</t>
        </is>
      </c>
      <c r="FS173" s="14" t="inlineStr">
        <is>
          <t>3044 / SFVZ-67|</t>
        </is>
      </c>
      <c r="FT173" t="inlineStr">
        <is>
          <t>SFVZ-67|</t>
        </is>
      </c>
      <c r="FU173" t="inlineStr">
        <is>
          <t>SFVZ-67</t>
        </is>
      </c>
      <c r="FV173">
        <f>VLOOKUP(FU173,FD:FL,9,0)</f>
        <v/>
      </c>
      <c r="HA173" s="35" t="n">
        <v>170</v>
      </c>
      <c r="HB173" s="35" t="n">
        <v>167</v>
      </c>
    </row>
    <row r="174" ht="15.5" customHeight="1">
      <c r="A174" s="10">
        <f>HOUR(G174)+1</f>
        <v/>
      </c>
      <c r="B174" s="7" t="n"/>
      <c r="C174" s="7" t="n"/>
      <c r="D174" s="85">
        <f>IFERROR(
IF(AND(OR(Planilla!B174="C",Planilla!B174="c"), VLOOKUP(E174,FD:FP,13,0)="C"), "OK",IF(AND(OR(Planilla!B174="C",Planilla!B174="c"), OR(VLOOKUP(E174,FD:FP,13,0)="B", VLOOKUP(E174,FD:FP,13,0)="A")), "DEFICIT",IF(
AND(OR(Planilla!B174="B", Planilla!B174="BPAL"), VLOOKUP(E174,FD:FP,13,0)="B"), "OK",IF(AND(OR(Planilla!B174="B", Planilla!B174="BPAL"), VLOOKUP(E174,FD:FP,13,0)="A"), "DEFICIT",IF(AND(OR(Planilla!B174="B", Planilla!B174="BPAL"), VLOOKUP(E174,FD:FP,13,0)="C"), "SOBREOFERTA",IF(AND(Planilla!B174="A", VLOOKUP(E174,FD:FP,13,0)="A"), "OK",IF(
AND(Planilla!B174="A", OR(VLOOKUP(E174,FD:FP,13,0)="B", VLOOKUP(E174,FD:FP,13,0)="C")), "SOBREOFERTA",""
))))))),"")</f>
        <v/>
      </c>
      <c r="E174" s="8" t="n"/>
      <c r="F174" s="86" t="n"/>
      <c r="G174" s="87" t="n"/>
      <c r="H174" s="88">
        <f>IF(I174="","",IF(AND((I174-G174)&gt;=TIME(0,0,0),(I174-G174)&lt;TIME(0,3,0)),"OK",IF(AND((I174-G174)&gt;=TIME(0,3,0),(I174-G174)&lt;TIME(0,5,0)),"RETRASO DE 3-5 MIN",IF(AND((I174-G174)&gt;=TIME(0,5,0),(I174-G174)&lt;TIME(0,10,0)),"RETRASO DE 5-10 MIN",IF((I174-G174)&gt;=TIME(0,10,0),"RETRASO &gt;10 MIN", IF(AND((G174-I174)&gt;=TIME(0,0,0),(G174-I174)&lt;TIME(0,3,0)),"OK",IF((G174-I174)&gt;=TIME(0,3,0),"ADELANTADO")))))))</f>
        <v/>
      </c>
      <c r="I174" s="89" t="n"/>
      <c r="J174" s="89">
        <f>IF(A174&lt;&gt;"",HLOOKUP(VALUE(TEXT(G174,"h:mm:ss")),IF($C$6="Laboral",$FZ$4:$GX$227,IF($C$6="Sábado",$FZ$231:$GX$452,$FZ$456:$GX$656)),VLOOKUP($C$4,$HF$2:$HH$99,3,0)+IF(C$5="Ida",0,1),1),"")</f>
        <v/>
      </c>
      <c r="K174" s="89">
        <f>IF(A175&lt;&gt;A174,AVERAGEIF(A$9:A174,A174,J$9:J174),"")</f>
        <v/>
      </c>
      <c r="L174" s="89">
        <f>IFERROR(IF(A175&lt;&gt;A174,AVERAGEIF(A$9:A174,A174,S$9:S174),""),"")</f>
        <v/>
      </c>
      <c r="M174" s="89">
        <f>IFERROR(IF(A175&lt;&gt;A174,AVERAGEIF(A$9:A174,A174,T$9:T174),""),"")</f>
        <v/>
      </c>
      <c r="N174" s="89">
        <f t="array" ref="N174">IFERROR(IF(A175&lt;&gt;A174,_xlfn.STDEV.P(IF(A$9:A174=A174,T$9:T174)),""),"")</f>
        <v/>
      </c>
      <c r="O174" s="89">
        <f t="array" ref="O174">IFERROR(IF(A175&lt;&gt;A174,_xlfn.STDEV.P(IF(A$9:A174=A174,S$9:S174)),""),"")</f>
        <v/>
      </c>
      <c r="P174" s="90">
        <f>IFERROR(IF(A174&lt;&gt;A175,MAX((((M174*24*60)/2)*(1+POWER((((N174*24*60) / (M174*24*60) )),2))) + ((M174*24*60 )*-0.1 + (K174*0.015)) +1,(((M174*24*60)/2)*(1+POWER((((N174*24*60) / (M174*24*60 ))),2)))),""),"")</f>
        <v/>
      </c>
      <c r="Q174" s="90">
        <f>IF(AND(O174&lt;&gt;"",L174&lt;&gt;""),IF(A174&lt;&gt;A175,((L174*24*60) / 2 ) * (1 + POWER(((O174*24*60) / (L174*24*60)),2)),""),"")</f>
        <v/>
      </c>
      <c r="R174" s="90">
        <f>IF(Q174&lt;&gt;"",MAX(P174,Q174),"")</f>
        <v/>
      </c>
      <c r="S174" s="89">
        <f>IF(I174&lt;&gt;"H. Sale Real",IF(AND(I175&lt;&gt;"",LEFT(C175,2)&lt;&gt;"Va"),IF(AND(I174&lt;&gt;"",LEFT(C174,2)&lt;&gt;"Va",I174&lt;&gt;"H. Sale Real"),IF(I175-I174&lt;0.208333333333333,I175-I174,""),IF(AND(I173&lt;&gt;"",LEFT(C173,2)&lt;&gt;"Va",I173&lt;&gt;"H. Sale Real"),IF(I175-I173&lt;0.208333333333333,I175-I173,""),IF(AND(I172&lt;&gt;"",LEFT(C172,2)&lt;&gt;"Va",I172&lt;&gt;"H. Sale Real"),IF(I175-I172&lt;0.208333333333333,I175-I172,""),IF(AND(I171&lt;&gt;"",LEFT(C171,2)&lt;&gt;"Va",I171&lt;&gt;"H. Sale Real"),IF(I175-I171&lt;0.208333333333333,I175-I171,""),IF(AND(I170&lt;&gt;"",LEFT(C170,2)&lt;&gt;"Va",I170&lt;&gt;"H. Sale Real"),IF(I175-I170&lt;0.208333333333333,I175-I170,""),""))))),""),"")</f>
        <v/>
      </c>
      <c r="T174" s="89">
        <f>IF(G174&lt;&gt;"H. Sale Real",IF(AND(G175&lt;&gt;"",LEFT(C175,2)&lt;&gt;"Va"),IF(AND(G174&lt;&gt;"",LEFT(C174,2)&lt;&gt;"Va",G174&lt;&gt;"H. Sale Real"),IF(G175-G174&lt;0.208333333333333,G175-G174,""),IF(AND(G173&lt;&gt;"",LEFT(C173,2)&lt;&gt;"Va",G173&lt;&gt;"H. Sale Real"),IF(G175-G173&lt;0.208333333333333,G175-G173,""),IF(AND(G172&lt;&gt;"",LEFT(C172,2)&lt;&gt;"Va",G172&lt;&gt;"H. Sale Real"),IF(G175-G172&lt;0.208333333333333,G175-G172,""),IF(AND(G171&lt;&gt;"",LEFT(C171,2)&lt;&gt;"Va",G171&lt;&gt;"H. Sale Real"),IF(G175-G171&lt;0.208333333333333,G175-G171,""),IF(AND(G170&lt;&gt;"",LEFT(C170,2)&lt;&gt;"Va",G170&lt;&gt;"H. Sale Real"),IF(G175-G170&lt;0.208333333333333,G175-G170,""),""))))),""),"")</f>
        <v/>
      </c>
      <c r="U174" s="87" t="n"/>
      <c r="V174" s="89" t="n"/>
      <c r="W174" s="87" t="n"/>
      <c r="X174" s="89" t="n"/>
      <c r="Y174" s="91" t="n"/>
      <c r="Z174" s="122">
        <f>IF(G174&lt;&gt;"",IF(AND(Z173&lt;&gt;"IE",P174&lt;&gt;0,R174&lt;&gt;""),IF(IFERROR((P174/R174),0) &lt;=1,IFERROR(P174/R174,""),1),""),"")</f>
        <v/>
      </c>
      <c r="AA174" s="93" t="n"/>
      <c r="AB174" s="2" t="n"/>
      <c r="AE174" s="10">
        <f>HOUR(AK174)+1</f>
        <v/>
      </c>
      <c r="AF174" s="7" t="n"/>
      <c r="AG174" s="7" t="n"/>
      <c r="AH174" s="86" t="n"/>
      <c r="AI174" s="8" t="n"/>
      <c r="AJ174" s="86" t="n"/>
      <c r="AK174" s="87" t="n"/>
      <c r="AL174" s="88">
        <f>IF(AM174="","",IF(AND((AM174-AK174)&gt;=TIME(0,0,0),(AM174-AK174)&lt;TIME(0,3,0)),"OK",IF(AND((AM174-AK174)&gt;=TIME(0,3,0),(AM174-AK174)&lt;TIME(0,5,0)),"RETRASO DE 3-5 MIN",IF(AND((AM174-AK174)&gt;=TIME(0,5,0),(AM174-AK174)&lt;TIME(0,10,0)),"RETRASO DE 5-10 MIN",IF((AM174-AK174)&gt;=TIME(0,10,0),"RETRASO &gt;10 MIN", IF(AND((AK174-AM174)&gt;=TIME(0,0,0),(AK174-AM174)&lt;TIME(0,3,0)),"OK",IF((AK174-AM174)&gt;=TIME(0,3,0),"ADELANTADO")))))))</f>
        <v/>
      </c>
      <c r="AM174" s="91" t="n"/>
      <c r="AN174" s="89">
        <f>IF(AE174&lt;&gt;"",HLOOKUP(VALUE(TEXT(AK174,"h:mm:ss")),IF($C$6="Laboral",$FZ$4:$GX$227,IF($C$6="Sábado",$FZ$231:$GX$452,$FZ$456:$GX$656)),VLOOKUP($C$4,$HF$2:$HH$99,3,0)+IF(AG$5="Ida",0,1),1),"")</f>
        <v/>
      </c>
      <c r="AO174" s="89">
        <f>IF(AE175&lt;&gt;AE174,AVERAGEIF(AE$9:AE174,AE174,AN$9:AN174),"")</f>
        <v/>
      </c>
      <c r="AP174" s="89">
        <f>IFERROR(IF(AE175&lt;&gt;AE174,AVERAGEIF(AE$9:AE174,AE174,AW$9:AW174),""),"")</f>
        <v/>
      </c>
      <c r="AQ174" s="89">
        <f>IFERROR(IF(AE175&lt;&gt;AE174,AVERAGEIF(AE$9:AE174,AE174,AX$9:AX174),""),"")</f>
        <v/>
      </c>
      <c r="AR174" s="89">
        <f t="array" ref="AR174">IFERROR(IF(AE175&lt;&gt;AE174,_xlfn.STDEV.P(IF(AE$9:AE174=AE174,AX$9:AX174)),""),"")</f>
        <v/>
      </c>
      <c r="AS174" s="89">
        <f t="array" ref="AS174">IFERROR(IF(AE175&lt;&gt;AE174,_xlfn.STDEV.P(IF(AE$9:AE174=AE174,AW$9:AW174)),""),"")</f>
        <v/>
      </c>
      <c r="AT174" s="90">
        <f>IFERROR(IF(AE174&lt;&gt;AE175,MAX((((AQ174*24*60)/2)*(1+POWER((((AR174*24*60) / (AQ174*24*60) )),2))) + ((AQ174*24*60 )*-0.1 + (AO174*0.015)) +1,(((AQ174*24*60)/2)*(1+POWER((((AR174*24*60) / (AQ174*24*60 ))),2)))),""),"")</f>
        <v/>
      </c>
      <c r="AU174" s="90">
        <f>IF(AND(AS174&lt;&gt;"",AP174&lt;&gt;""),IF(AE174&lt;&gt;AE175,((AP174*24*60) / 2 ) * (1 + POWER(((AS174*24*60) / (AP174*24*60)),2)),""),"")</f>
        <v/>
      </c>
      <c r="AV174" s="90">
        <f>IF(AU174&lt;&gt;"",MAX(AT174,AU174),"")</f>
        <v/>
      </c>
      <c r="AW174" s="89">
        <f>IF(AM174&lt;&gt;"H. Sale Real",IF(AND(AM175&lt;&gt;"",LEFT(AG175,2)&lt;&gt;"Va"),IF(AND(AM174&lt;&gt;"",LEFT(AG174,2)&lt;&gt;"Va",AM174&lt;&gt;"H. Sale Real"),IF(AM175-AM174&lt;0.208333333333333,AM175-AM174,""),IF(AND(AM173&lt;&gt;"",LEFT(AG173,2)&lt;&gt;"Va",AM173&lt;&gt;"H. Sale Real"),IF(AM175-AM173&lt;0.208333333333333,AM175-AM173,""),IF(AND(AM172&lt;&gt;"",LEFT(AG172,2)&lt;&gt;"Va",AM172&lt;&gt;"H. Sale Real"),IF(AM175-AM172&lt;0.208333333333333,AM175-AM172,""),IF(AND(AM171&lt;&gt;"",LEFT(AG171,2)&lt;&gt;"Va",AM171&lt;&gt;"H. Sale Real"),IF(AM175-AM171&lt;0.208333333333333,AM175-AM171,""),IF(AND(AM170&lt;&gt;"",LEFT(AG170,2)&lt;&gt;"Va",AM170&lt;&gt;"H. Sale Real"),IF(AM175-AM170&lt;0.208333333333333,AM175-AM170,""),""))))),""),"")</f>
        <v/>
      </c>
      <c r="AX174" s="89">
        <f>IF(AK174&lt;&gt;"H. Sale Real",IF(AND(AK175&lt;&gt;"",LEFT(AG175,2)&lt;&gt;"Va"),IF(AND(AK174&lt;&gt;"",LEFT(AG174,2)&lt;&gt;"Va",AK174&lt;&gt;"H. Sale Real"),IF(AK175-AK174&lt;0.208333333333333,AK175-AK174,""),IF(AND(AK173&lt;&gt;"",LEFT(AG173,2)&lt;&gt;"Va",AK173&lt;&gt;"H. Sale Real"),IF(AK175-AK173&lt;0.208333333333333,AK175-AK173,""),IF(AND(AK172&lt;&gt;"",LEFT(AG172,2)&lt;&gt;"NC",AK172&lt;&gt;"H. Sale Real"),IF(AK175-AK172&lt;0.208333333333333,AK175-AK172,""),IF(AND(AK171&lt;&gt;"",LEFT(AG171,2)&lt;&gt;"Va",AK171&lt;&gt;"H. Sale Real"),IF(AK175-AK171&lt;0.208333333333333,AK175-AK171,""),IF(AND(AK170&lt;&gt;"",LEFT(AG170,2)&lt;&gt;"Va",AK170&lt;&gt;"H. Sale Real"),IF(AK175-AK170&lt;0.208333333333333,AK175-AK170,""),""))))),""),"")</f>
        <v/>
      </c>
      <c r="AY174" s="87" t="n"/>
      <c r="AZ174" s="89" t="n"/>
      <c r="BA174" s="87" t="n"/>
      <c r="BB174" s="89" t="n"/>
      <c r="BC174" s="91" t="n"/>
      <c r="BD174" s="122">
        <f>IF(AK174&lt;&gt;"",IF(AND(BD173&lt;&gt;"IE",AT174&lt;&gt;0,AV174&lt;&gt;""),IF(IFERROR((AT174/AV174),0) &lt;=1,IFERROR(AT174/AV174,""),1),""),"")</f>
        <v/>
      </c>
      <c r="BE174" s="93" t="n"/>
      <c r="BF174" s="105" t="n"/>
      <c r="FC174" t="inlineStr">
        <is>
          <t>Diccionario 1</t>
        </is>
      </c>
      <c r="FD174" s="15" t="n">
        <v>1169</v>
      </c>
      <c r="FE174" s="15" t="inlineStr">
        <is>
          <t>YV3T7U521LA201545</t>
        </is>
      </c>
      <c r="FF174" s="15" t="n">
        <v>508144</v>
      </c>
      <c r="FG174" s="15" t="inlineStr">
        <is>
          <t>Volvo</t>
        </is>
      </c>
      <c r="FH174" s="15" t="inlineStr">
        <is>
          <t>B8RLEA</t>
        </is>
      </c>
      <c r="FI174" s="15" t="inlineStr">
        <is>
          <t>MARCOPOLO</t>
        </is>
      </c>
      <c r="FJ174" s="15" t="inlineStr">
        <is>
          <t>GRAN VIALE</t>
        </is>
      </c>
      <c r="FK174" s="15" t="n">
        <v>2020</v>
      </c>
      <c r="FL174" s="15" t="inlineStr">
        <is>
          <t>C</t>
        </is>
      </c>
      <c r="FM174" s="15" t="inlineStr">
        <is>
          <t>PIE ANDINO</t>
        </is>
      </c>
      <c r="FN174" s="15" t="inlineStr">
        <is>
          <t>Pie Andino 31 (Pie Andino 383)</t>
        </is>
      </c>
      <c r="FO174" s="15" t="inlineStr">
        <is>
          <t>Puente Alto</t>
        </is>
      </c>
      <c r="FP174" t="inlineStr">
        <is>
          <t>C</t>
        </is>
      </c>
      <c r="FS174" s="14" t="inlineStr">
        <is>
          <t>3044 / SFVZ-67|</t>
        </is>
      </c>
      <c r="FT174" t="inlineStr">
        <is>
          <t>SFVZ-67|</t>
        </is>
      </c>
      <c r="FU174" t="inlineStr">
        <is>
          <t>SFVZ-67</t>
        </is>
      </c>
      <c r="FV174">
        <f>VLOOKUP(FU174,FD:FL,9,0)</f>
        <v/>
      </c>
      <c r="HA174" s="35" t="n">
        <v>171</v>
      </c>
      <c r="HB174" s="35" t="n">
        <v>168</v>
      </c>
    </row>
    <row r="175" ht="15.5" customHeight="1">
      <c r="A175" s="10">
        <f>HOUR(G175)+1</f>
        <v/>
      </c>
      <c r="B175" s="7" t="n"/>
      <c r="C175" s="7" t="n"/>
      <c r="D175" s="85">
        <f>IFERROR(
IF(AND(OR(Planilla!B175="C",Planilla!B175="c"), VLOOKUP(E175,FD:FP,13,0)="C"), "OK",IF(AND(OR(Planilla!B175="C",Planilla!B175="c"), OR(VLOOKUP(E175,FD:FP,13,0)="B", VLOOKUP(E175,FD:FP,13,0)="A")), "DEFICIT",IF(
AND(OR(Planilla!B175="B", Planilla!B175="BPAL"), VLOOKUP(E175,FD:FP,13,0)="B"), "OK",IF(AND(OR(Planilla!B175="B", Planilla!B175="BPAL"), VLOOKUP(E175,FD:FP,13,0)="A"), "DEFICIT",IF(AND(OR(Planilla!B175="B", Planilla!B175="BPAL"), VLOOKUP(E175,FD:FP,13,0)="C"), "SOBREOFERTA",IF(AND(Planilla!B175="A", VLOOKUP(E175,FD:FP,13,0)="A"), "OK",IF(
AND(Planilla!B175="A", OR(VLOOKUP(E175,FD:FP,13,0)="B", VLOOKUP(E175,FD:FP,13,0)="C")), "SOBREOFERTA",""
))))))),"")</f>
        <v/>
      </c>
      <c r="E175" s="8" t="n"/>
      <c r="F175" s="86" t="n"/>
      <c r="G175" s="87" t="n"/>
      <c r="H175" s="88">
        <f>IF(I175="","",IF(AND((I175-G175)&gt;=TIME(0,0,0),(I175-G175)&lt;TIME(0,3,0)),"OK",IF(AND((I175-G175)&gt;=TIME(0,3,0),(I175-G175)&lt;TIME(0,5,0)),"RETRASO DE 3-5 MIN",IF(AND((I175-G175)&gt;=TIME(0,5,0),(I175-G175)&lt;TIME(0,10,0)),"RETRASO DE 5-10 MIN",IF((I175-G175)&gt;=TIME(0,10,0),"RETRASO &gt;10 MIN", IF(AND((G175-I175)&gt;=TIME(0,0,0),(G175-I175)&lt;TIME(0,3,0)),"OK",IF((G175-I175)&gt;=TIME(0,3,0),"ADELANTADO")))))))</f>
        <v/>
      </c>
      <c r="I175" s="89" t="n"/>
      <c r="J175" s="89">
        <f>IF(A175&lt;&gt;"",HLOOKUP(VALUE(TEXT(G175,"h:mm:ss")),IF($C$6="Laboral",$FZ$4:$GX$227,IF($C$6="Sábado",$FZ$231:$GX$452,$FZ$456:$GX$656)),VLOOKUP($C$4,$HF$2:$HH$99,3,0)+IF(C$5="Ida",0,1),1),"")</f>
        <v/>
      </c>
      <c r="K175" s="89">
        <f>IF(A176&lt;&gt;A175,AVERAGEIF(A$9:A175,A175,J$9:J175),"")</f>
        <v/>
      </c>
      <c r="L175" s="89">
        <f>IFERROR(IF(A176&lt;&gt;A175,AVERAGEIF(A$9:A175,A175,S$9:S175),""),"")</f>
        <v/>
      </c>
      <c r="M175" s="89">
        <f>IFERROR(IF(A176&lt;&gt;A175,AVERAGEIF(A$9:A175,A175,T$9:T175),""),"")</f>
        <v/>
      </c>
      <c r="N175" s="89">
        <f t="array" ref="N175">IFERROR(IF(A176&lt;&gt;A175,_xlfn.STDEV.P(IF(A$9:A175=A175,T$9:T175)),""),"")</f>
        <v/>
      </c>
      <c r="O175" s="89">
        <f t="array" ref="O175">IFERROR(IF(A176&lt;&gt;A175,_xlfn.STDEV.P(IF(A$9:A175=A175,S$9:S175)),""),"")</f>
        <v/>
      </c>
      <c r="P175" s="90">
        <f>IFERROR(IF(A175&lt;&gt;A176,MAX((((M175*24*60)/2)*(1+POWER((((N175*24*60) / (M175*24*60) )),2))) + ((M175*24*60 )*-0.1 + (K175*0.015)) +1,(((M175*24*60)/2)*(1+POWER((((N175*24*60) / (M175*24*60 ))),2)))),""),"")</f>
        <v/>
      </c>
      <c r="Q175" s="90">
        <f>IF(AND(O175&lt;&gt;"",L175&lt;&gt;""),IF(A175&lt;&gt;A176,((L175*24*60) / 2 ) * (1 + POWER(((O175*24*60) / (L175*24*60)),2)),""),"")</f>
        <v/>
      </c>
      <c r="R175" s="90">
        <f>IF(Q175&lt;&gt;"",MAX(P175,Q175),"")</f>
        <v/>
      </c>
      <c r="S175" s="89">
        <f>IF(I175&lt;&gt;"H. Sale Real",IF(AND(I176&lt;&gt;"",LEFT(C176,2)&lt;&gt;"Va"),IF(AND(I175&lt;&gt;"",LEFT(C175,2)&lt;&gt;"Va",I175&lt;&gt;"H. Sale Real"),IF(I176-I175&lt;0.208333333333333,I176-I175,""),IF(AND(I174&lt;&gt;"",LEFT(C174,2)&lt;&gt;"Va",I174&lt;&gt;"H. Sale Real"),IF(I176-I174&lt;0.208333333333333,I176-I174,""),IF(AND(I173&lt;&gt;"",LEFT(C173,2)&lt;&gt;"Va",I173&lt;&gt;"H. Sale Real"),IF(I176-I173&lt;0.208333333333333,I176-I173,""),IF(AND(I172&lt;&gt;"",LEFT(C172,2)&lt;&gt;"Va",I172&lt;&gt;"H. Sale Real"),IF(I176-I172&lt;0.208333333333333,I176-I172,""),IF(AND(I171&lt;&gt;"",LEFT(C171,2)&lt;&gt;"Va",I171&lt;&gt;"H. Sale Real"),IF(I176-I171&lt;0.208333333333333,I176-I171,""),""))))),""),"")</f>
        <v/>
      </c>
      <c r="T175" s="89">
        <f>IF(G175&lt;&gt;"H. Sale Real",IF(AND(G176&lt;&gt;"",LEFT(C176,2)&lt;&gt;"Va"),IF(AND(G175&lt;&gt;"",LEFT(C175,2)&lt;&gt;"Va",G175&lt;&gt;"H. Sale Real"),IF(G176-G175&lt;0.208333333333333,G176-G175,""),IF(AND(G174&lt;&gt;"",LEFT(C174,2)&lt;&gt;"Va",G174&lt;&gt;"H. Sale Real"),IF(G176-G174&lt;0.208333333333333,G176-G174,""),IF(AND(G173&lt;&gt;"",LEFT(C173,2)&lt;&gt;"Va",G173&lt;&gt;"H. Sale Real"),IF(G176-G173&lt;0.208333333333333,G176-G173,""),IF(AND(G172&lt;&gt;"",LEFT(C172,2)&lt;&gt;"Va",G172&lt;&gt;"H. Sale Real"),IF(G176-G172&lt;0.208333333333333,G176-G172,""),IF(AND(G171&lt;&gt;"",LEFT(C171,2)&lt;&gt;"Va",G171&lt;&gt;"H. Sale Real"),IF(G176-G171&lt;0.208333333333333,G176-G171,""),""))))),""),"")</f>
        <v/>
      </c>
      <c r="U175" s="87" t="n"/>
      <c r="V175" s="89" t="n"/>
      <c r="W175" s="87" t="n"/>
      <c r="X175" s="89" t="n"/>
      <c r="Y175" s="91" t="n"/>
      <c r="Z175" s="122">
        <f>IF(G175&lt;&gt;"",IF(AND(Z174&lt;&gt;"IE",P175&lt;&gt;0,R175&lt;&gt;""),IF(IFERROR((P175/R175),0) &lt;=1,IFERROR(P175/R175,""),1),""),"")</f>
        <v/>
      </c>
      <c r="AA175" s="93" t="n"/>
      <c r="AB175" s="2" t="n"/>
      <c r="AE175" s="10">
        <f>HOUR(AK175)+1</f>
        <v/>
      </c>
      <c r="AF175" s="7" t="n"/>
      <c r="AG175" s="7" t="n"/>
      <c r="AH175" s="86" t="n"/>
      <c r="AI175" s="8" t="n"/>
      <c r="AJ175" s="86" t="n"/>
      <c r="AK175" s="87" t="n"/>
      <c r="AL175" s="88">
        <f>IF(AM175="","",IF(AND((AM175-AK175)&gt;=TIME(0,0,0),(AM175-AK175)&lt;TIME(0,3,0)),"OK",IF(AND((AM175-AK175)&gt;=TIME(0,3,0),(AM175-AK175)&lt;TIME(0,5,0)),"RETRASO DE 3-5 MIN",IF(AND((AM175-AK175)&gt;=TIME(0,5,0),(AM175-AK175)&lt;TIME(0,10,0)),"RETRASO DE 5-10 MIN",IF((AM175-AK175)&gt;=TIME(0,10,0),"RETRASO &gt;10 MIN", IF(AND((AK175-AM175)&gt;=TIME(0,0,0),(AK175-AM175)&lt;TIME(0,3,0)),"OK",IF((AK175-AM175)&gt;=TIME(0,3,0),"ADELANTADO")))))))</f>
        <v/>
      </c>
      <c r="AM175" s="91" t="n"/>
      <c r="AN175" s="89">
        <f>IF(AE175&lt;&gt;"",HLOOKUP(VALUE(TEXT(AK175,"h:mm:ss")),IF($C$6="Laboral",$FZ$4:$GX$227,IF($C$6="Sábado",$FZ$231:$GX$452,$FZ$456:$GX$656)),VLOOKUP($C$4,$HF$2:$HH$99,3,0)+IF(AG$5="Ida",0,1),1),"")</f>
        <v/>
      </c>
      <c r="AO175" s="89">
        <f>IF(AE176&lt;&gt;AE175,AVERAGEIF(AE$9:AE175,AE175,AN$9:AN175),"")</f>
        <v/>
      </c>
      <c r="AP175" s="89">
        <f>IFERROR(IF(AE176&lt;&gt;AE175,AVERAGEIF(AE$9:AE175,AE175,AW$9:AW175),""),"")</f>
        <v/>
      </c>
      <c r="AQ175" s="89">
        <f>IFERROR(IF(AE176&lt;&gt;AE175,AVERAGEIF(AE$9:AE175,AE175,AX$9:AX175),""),"")</f>
        <v/>
      </c>
      <c r="AR175" s="89">
        <f t="array" ref="AR175">IFERROR(IF(AE176&lt;&gt;AE175,_xlfn.STDEV.P(IF(AE$9:AE175=AE175,AX$9:AX175)),""),"")</f>
        <v/>
      </c>
      <c r="AS175" s="89">
        <f t="array" ref="AS175">IFERROR(IF(AE176&lt;&gt;AE175,_xlfn.STDEV.P(IF(AE$9:AE175=AE175,AW$9:AW175)),""),"")</f>
        <v/>
      </c>
      <c r="AT175" s="90">
        <f>IFERROR(IF(AE175&lt;&gt;AE176,MAX((((AQ175*24*60)/2)*(1+POWER((((AR175*24*60) / (AQ175*24*60) )),2))) + ((AQ175*24*60 )*-0.1 + (AO175*0.015)) +1,(((AQ175*24*60)/2)*(1+POWER((((AR175*24*60) / (AQ175*24*60 ))),2)))),""),"")</f>
        <v/>
      </c>
      <c r="AU175" s="90">
        <f>IF(AND(AS175&lt;&gt;"",AP175&lt;&gt;""),IF(AE175&lt;&gt;AE176,((AP175*24*60) / 2 ) * (1 + POWER(((AS175*24*60) / (AP175*24*60)),2)),""),"")</f>
        <v/>
      </c>
      <c r="AV175" s="90">
        <f>IF(AU175&lt;&gt;"",MAX(AT175,AU175),"")</f>
        <v/>
      </c>
      <c r="AW175" s="89">
        <f>IF(AM175&lt;&gt;"H. Sale Real",IF(AND(AM176&lt;&gt;"",LEFT(AG176,2)&lt;&gt;"Va"),IF(AND(AM175&lt;&gt;"",LEFT(AG175,2)&lt;&gt;"Va",AM175&lt;&gt;"H. Sale Real"),IF(AM176-AM175&lt;0.208333333333333,AM176-AM175,""),IF(AND(AM174&lt;&gt;"",LEFT(AG174,2)&lt;&gt;"Va",AM174&lt;&gt;"H. Sale Real"),IF(AM176-AM174&lt;0.208333333333333,AM176-AM174,""),IF(AND(AM173&lt;&gt;"",LEFT(AG173,2)&lt;&gt;"Va",AM173&lt;&gt;"H. Sale Real"),IF(AM176-AM173&lt;0.208333333333333,AM176-AM173,""),IF(AND(AM172&lt;&gt;"",LEFT(AG172,2)&lt;&gt;"Va",AM172&lt;&gt;"H. Sale Real"),IF(AM176-AM172&lt;0.208333333333333,AM176-AM172,""),IF(AND(AM171&lt;&gt;"",LEFT(AG171,2)&lt;&gt;"Va",AM171&lt;&gt;"H. Sale Real"),IF(AM176-AM171&lt;0.208333333333333,AM176-AM171,""),""))))),""),"")</f>
        <v/>
      </c>
      <c r="AX175" s="89">
        <f>IF(AK175&lt;&gt;"H. Sale Real",IF(AND(AK176&lt;&gt;"",LEFT(AG176,2)&lt;&gt;"Va"),IF(AND(AK175&lt;&gt;"",LEFT(AG175,2)&lt;&gt;"Va",AK175&lt;&gt;"H. Sale Real"),IF(AK176-AK175&lt;0.208333333333333,AK176-AK175,""),IF(AND(AK174&lt;&gt;"",LEFT(AG174,2)&lt;&gt;"Va",AK174&lt;&gt;"H. Sale Real"),IF(AK176-AK174&lt;0.208333333333333,AK176-AK174,""),IF(AND(AK173&lt;&gt;"",LEFT(AG173,2)&lt;&gt;"NC",AK173&lt;&gt;"H. Sale Real"),IF(AK176-AK173&lt;0.208333333333333,AK176-AK173,""),IF(AND(AK172&lt;&gt;"",LEFT(AG172,2)&lt;&gt;"Va",AK172&lt;&gt;"H. Sale Real"),IF(AK176-AK172&lt;0.208333333333333,AK176-AK172,""),IF(AND(AK171&lt;&gt;"",LEFT(AG171,2)&lt;&gt;"Va",AK171&lt;&gt;"H. Sale Real"),IF(AK176-AK171&lt;0.208333333333333,AK176-AK171,""),""))))),""),"")</f>
        <v/>
      </c>
      <c r="AY175" s="87" t="n"/>
      <c r="AZ175" s="89" t="n"/>
      <c r="BA175" s="87" t="n"/>
      <c r="BB175" s="89" t="n"/>
      <c r="BC175" s="91" t="n"/>
      <c r="BD175" s="122">
        <f>IF(AK175&lt;&gt;"",IF(AND(BD174&lt;&gt;"IE",AT175&lt;&gt;0,AV175&lt;&gt;""),IF(IFERROR((AT175/AV175),0) &lt;=1,IFERROR(AT175/AV175,""),1),""),"")</f>
        <v/>
      </c>
      <c r="BE175" s="93" t="n"/>
      <c r="BF175" s="105" t="n"/>
      <c r="FC175" t="inlineStr">
        <is>
          <t>Diccionario 1</t>
        </is>
      </c>
      <c r="FD175" s="15" t="n">
        <v>1170</v>
      </c>
      <c r="FE175" s="15" t="inlineStr">
        <is>
          <t>YV3T7U528LA201543</t>
        </is>
      </c>
      <c r="FF175" s="15" t="n">
        <v>508132</v>
      </c>
      <c r="FG175" s="15" t="inlineStr">
        <is>
          <t>Volvo</t>
        </is>
      </c>
      <c r="FH175" s="15" t="inlineStr">
        <is>
          <t>B8RLEA</t>
        </is>
      </c>
      <c r="FI175" s="15" t="inlineStr">
        <is>
          <t>MARCOPOLO</t>
        </is>
      </c>
      <c r="FJ175" s="15" t="inlineStr">
        <is>
          <t>GRAN VIALE</t>
        </is>
      </c>
      <c r="FK175" s="15" t="n">
        <v>2020</v>
      </c>
      <c r="FL175" s="15" t="inlineStr">
        <is>
          <t>C</t>
        </is>
      </c>
      <c r="FM175" s="15" t="inlineStr">
        <is>
          <t>PIE ANDINO</t>
        </is>
      </c>
      <c r="FN175" s="15" t="inlineStr">
        <is>
          <t>Pie Andino 31 (Pie Andino 383)</t>
        </is>
      </c>
      <c r="FO175" s="15" t="inlineStr">
        <is>
          <t>Puente Alto</t>
        </is>
      </c>
      <c r="FP175" t="inlineStr">
        <is>
          <t>C</t>
        </is>
      </c>
      <c r="FS175" s="14" t="inlineStr">
        <is>
          <t>3044 / SFVZ-67|</t>
        </is>
      </c>
      <c r="FT175" t="inlineStr">
        <is>
          <t>SFVZ-67|</t>
        </is>
      </c>
      <c r="FU175" t="inlineStr">
        <is>
          <t>SFVZ-67</t>
        </is>
      </c>
      <c r="FV175">
        <f>VLOOKUP(FU175,FD:FL,9,0)</f>
        <v/>
      </c>
      <c r="HA175" s="35" t="n">
        <v>172</v>
      </c>
      <c r="HB175" s="35" t="n">
        <v>169</v>
      </c>
    </row>
    <row r="176" ht="15.5" customHeight="1">
      <c r="A176" s="10">
        <f>HOUR(G176)+1</f>
        <v/>
      </c>
      <c r="B176" s="7" t="n"/>
      <c r="C176" s="7" t="n"/>
      <c r="D176" s="85">
        <f>IFERROR(
IF(AND(OR(Planilla!B176="C",Planilla!B176="c"), VLOOKUP(E176,FD:FP,13,0)="C"), "OK",IF(AND(OR(Planilla!B176="C",Planilla!B176="c"), OR(VLOOKUP(E176,FD:FP,13,0)="B", VLOOKUP(E176,FD:FP,13,0)="A")), "DEFICIT",IF(
AND(OR(Planilla!B176="B", Planilla!B176="BPAL"), VLOOKUP(E176,FD:FP,13,0)="B"), "OK",IF(AND(OR(Planilla!B176="B", Planilla!B176="BPAL"), VLOOKUP(E176,FD:FP,13,0)="A"), "DEFICIT",IF(AND(OR(Planilla!B176="B", Planilla!B176="BPAL"), VLOOKUP(E176,FD:FP,13,0)="C"), "SOBREOFERTA",IF(AND(Planilla!B176="A", VLOOKUP(E176,FD:FP,13,0)="A"), "OK",IF(
AND(Planilla!B176="A", OR(VLOOKUP(E176,FD:FP,13,0)="B", VLOOKUP(E176,FD:FP,13,0)="C")), "SOBREOFERTA",""
))))))),"")</f>
        <v/>
      </c>
      <c r="E176" s="8" t="n"/>
      <c r="F176" s="86" t="n"/>
      <c r="G176" s="87" t="n"/>
      <c r="H176" s="88">
        <f>IF(I176="","",IF(AND((I176-G176)&gt;=TIME(0,0,0),(I176-G176)&lt;TIME(0,3,0)),"OK",IF(AND((I176-G176)&gt;=TIME(0,3,0),(I176-G176)&lt;TIME(0,5,0)),"RETRASO DE 3-5 MIN",IF(AND((I176-G176)&gt;=TIME(0,5,0),(I176-G176)&lt;TIME(0,10,0)),"RETRASO DE 5-10 MIN",IF((I176-G176)&gt;=TIME(0,10,0),"RETRASO &gt;10 MIN", IF(AND((G176-I176)&gt;=TIME(0,0,0),(G176-I176)&lt;TIME(0,3,0)),"OK",IF((G176-I176)&gt;=TIME(0,3,0),"ADELANTADO")))))))</f>
        <v/>
      </c>
      <c r="I176" s="89" t="n"/>
      <c r="J176" s="89">
        <f>IF(A176&lt;&gt;"",HLOOKUP(VALUE(TEXT(G176,"h:mm:ss")),IF($C$6="Laboral",$FZ$4:$GX$227,IF($C$6="Sábado",$FZ$231:$GX$452,$FZ$456:$GX$656)),VLOOKUP($C$4,$HF$2:$HH$99,3,0)+IF(C$5="Ida",0,1),1),"")</f>
        <v/>
      </c>
      <c r="K176" s="89">
        <f>IF(A177&lt;&gt;A176,AVERAGEIF(A$9:A176,A176,J$9:J176),"")</f>
        <v/>
      </c>
      <c r="L176" s="89">
        <f>IFERROR(IF(A177&lt;&gt;A176,AVERAGEIF(A$9:A176,A176,S$9:S176),""),"")</f>
        <v/>
      </c>
      <c r="M176" s="89">
        <f>IFERROR(IF(A177&lt;&gt;A176,AVERAGEIF(A$9:A176,A176,T$9:T176),""),"")</f>
        <v/>
      </c>
      <c r="N176" s="89">
        <f t="array" ref="N176">IFERROR(IF(A177&lt;&gt;A176,_xlfn.STDEV.P(IF(A$9:A176=A176,T$9:T176)),""),"")</f>
        <v/>
      </c>
      <c r="O176" s="89">
        <f t="array" ref="O176">IFERROR(IF(A177&lt;&gt;A176,_xlfn.STDEV.P(IF(A$9:A176=A176,S$9:S176)),""),"")</f>
        <v/>
      </c>
      <c r="P176" s="90">
        <f>IFERROR(IF(A176&lt;&gt;A177,MAX((((M176*24*60)/2)*(1+POWER((((N176*24*60) / (M176*24*60) )),2))) + ((M176*24*60 )*-0.1 + (K176*0.015)) +1,(((M176*24*60)/2)*(1+POWER((((N176*24*60) / (M176*24*60 ))),2)))),""),"")</f>
        <v/>
      </c>
      <c r="Q176" s="90">
        <f>IF(AND(O176&lt;&gt;"",L176&lt;&gt;""),IF(A176&lt;&gt;A177,((L176*24*60) / 2 ) * (1 + POWER(((O176*24*60) / (L176*24*60)),2)),""),"")</f>
        <v/>
      </c>
      <c r="R176" s="90">
        <f>IF(Q176&lt;&gt;"",MAX(P176,Q176),"")</f>
        <v/>
      </c>
      <c r="S176" s="89">
        <f>IF(I176&lt;&gt;"H. Sale Real",IF(AND(I177&lt;&gt;"",LEFT(C177,2)&lt;&gt;"Va"),IF(AND(I176&lt;&gt;"",LEFT(C176,2)&lt;&gt;"Va",I176&lt;&gt;"H. Sale Real"),IF(I177-I176&lt;0.208333333333333,I177-I176,""),IF(AND(I175&lt;&gt;"",LEFT(C175,2)&lt;&gt;"Va",I175&lt;&gt;"H. Sale Real"),IF(I177-I175&lt;0.208333333333333,I177-I175,""),IF(AND(I174&lt;&gt;"",LEFT(C174,2)&lt;&gt;"Va",I174&lt;&gt;"H. Sale Real"),IF(I177-I174&lt;0.208333333333333,I177-I174,""),IF(AND(I173&lt;&gt;"",LEFT(C173,2)&lt;&gt;"Va",I173&lt;&gt;"H. Sale Real"),IF(I177-I173&lt;0.208333333333333,I177-I173,""),IF(AND(I172&lt;&gt;"",LEFT(C172,2)&lt;&gt;"Va",I172&lt;&gt;"H. Sale Real"),IF(I177-I172&lt;0.208333333333333,I177-I172,""),""))))),""),"")</f>
        <v/>
      </c>
      <c r="T176" s="89">
        <f>IF(G176&lt;&gt;"H. Sale Real",IF(AND(G177&lt;&gt;"",LEFT(C177,2)&lt;&gt;"Va"),IF(AND(G176&lt;&gt;"",LEFT(C176,2)&lt;&gt;"Va",G176&lt;&gt;"H. Sale Real"),IF(G177-G176&lt;0.208333333333333,G177-G176,""),IF(AND(G175&lt;&gt;"",LEFT(C175,2)&lt;&gt;"Va",G175&lt;&gt;"H. Sale Real"),IF(G177-G175&lt;0.208333333333333,G177-G175,""),IF(AND(G174&lt;&gt;"",LEFT(C174,2)&lt;&gt;"Va",G174&lt;&gt;"H. Sale Real"),IF(G177-G174&lt;0.208333333333333,G177-G174,""),IF(AND(G173&lt;&gt;"",LEFT(C173,2)&lt;&gt;"Va",G173&lt;&gt;"H. Sale Real"),IF(G177-G173&lt;0.208333333333333,G177-G173,""),IF(AND(G172&lt;&gt;"",LEFT(C172,2)&lt;&gt;"Va",G172&lt;&gt;"H. Sale Real"),IF(G177-G172&lt;0.208333333333333,G177-G172,""),""))))),""),"")</f>
        <v/>
      </c>
      <c r="U176" s="87" t="n"/>
      <c r="V176" s="89" t="n"/>
      <c r="W176" s="87" t="n"/>
      <c r="X176" s="89" t="n"/>
      <c r="Y176" s="91" t="n"/>
      <c r="Z176" s="122">
        <f>IF(G176&lt;&gt;"",IF(AND(Z175&lt;&gt;"IE",P176&lt;&gt;0,R176&lt;&gt;""),IF(IFERROR((P176/R176),0) &lt;=1,IFERROR(P176/R176,""),1),""),"")</f>
        <v/>
      </c>
      <c r="AA176" s="93" t="n"/>
      <c r="AB176" s="2" t="n"/>
      <c r="AE176" s="10">
        <f>HOUR(AK176)+1</f>
        <v/>
      </c>
      <c r="AF176" s="7" t="n"/>
      <c r="AG176" s="7" t="n"/>
      <c r="AH176" s="86" t="n"/>
      <c r="AI176" s="8" t="n"/>
      <c r="AJ176" s="86" t="n"/>
      <c r="AK176" s="87" t="n"/>
      <c r="AL176" s="88">
        <f>IF(AM176="","",IF(AND((AM176-AK176)&gt;=TIME(0,0,0),(AM176-AK176)&lt;TIME(0,3,0)),"OK",IF(AND((AM176-AK176)&gt;=TIME(0,3,0),(AM176-AK176)&lt;TIME(0,5,0)),"RETRASO DE 3-5 MIN",IF(AND((AM176-AK176)&gt;=TIME(0,5,0),(AM176-AK176)&lt;TIME(0,10,0)),"RETRASO DE 5-10 MIN",IF((AM176-AK176)&gt;=TIME(0,10,0),"RETRASO &gt;10 MIN", IF(AND((AK176-AM176)&gt;=TIME(0,0,0),(AK176-AM176)&lt;TIME(0,3,0)),"OK",IF((AK176-AM176)&gt;=TIME(0,3,0),"ADELANTADO")))))))</f>
        <v/>
      </c>
      <c r="AM176" s="91" t="n"/>
      <c r="AN176" s="89">
        <f>IF(AE176&lt;&gt;"",HLOOKUP(VALUE(TEXT(AK176,"h:mm:ss")),IF($C$6="Laboral",$FZ$4:$GX$227,IF($C$6="Sábado",$FZ$231:$GX$452,$FZ$456:$GX$656)),VLOOKUP($C$4,$HF$2:$HH$99,3,0)+IF(AG$5="Ida",0,1),1),"")</f>
        <v/>
      </c>
      <c r="AO176" s="89">
        <f>IF(AE177&lt;&gt;AE176,AVERAGEIF(AE$9:AE176,AE176,AN$9:AN176),"")</f>
        <v/>
      </c>
      <c r="AP176" s="89">
        <f>IFERROR(IF(AE177&lt;&gt;AE176,AVERAGEIF(AE$9:AE176,AE176,AW$9:AW176),""),"")</f>
        <v/>
      </c>
      <c r="AQ176" s="89">
        <f>IFERROR(IF(AE177&lt;&gt;AE176,AVERAGEIF(AE$9:AE176,AE176,AX$9:AX176),""),"")</f>
        <v/>
      </c>
      <c r="AR176" s="89">
        <f t="array" ref="AR176">IFERROR(IF(AE177&lt;&gt;AE176,_xlfn.STDEV.P(IF(AE$9:AE176=AE176,AX$9:AX176)),""),"")</f>
        <v/>
      </c>
      <c r="AS176" s="89">
        <f t="array" ref="AS176">IFERROR(IF(AE177&lt;&gt;AE176,_xlfn.STDEV.P(IF(AE$9:AE176=AE176,AW$9:AW176)),""),"")</f>
        <v/>
      </c>
      <c r="AT176" s="90">
        <f>IFERROR(IF(AE176&lt;&gt;AE177,MAX((((AQ176*24*60)/2)*(1+POWER((((AR176*24*60) / (AQ176*24*60) )),2))) + ((AQ176*24*60 )*-0.1 + (AO176*0.015)) +1,(((AQ176*24*60)/2)*(1+POWER((((AR176*24*60) / (AQ176*24*60 ))),2)))),""),"")</f>
        <v/>
      </c>
      <c r="AU176" s="90">
        <f>IF(AND(AS176&lt;&gt;"",AP176&lt;&gt;""),IF(AE176&lt;&gt;AE177,((AP176*24*60) / 2 ) * (1 + POWER(((AS176*24*60) / (AP176*24*60)),2)),""),"")</f>
        <v/>
      </c>
      <c r="AV176" s="90">
        <f>IF(AU176&lt;&gt;"",MAX(AT176,AU176),"")</f>
        <v/>
      </c>
      <c r="AW176" s="89">
        <f>IF(AM176&lt;&gt;"H. Sale Real",IF(AND(AM177&lt;&gt;"",LEFT(AG177,2)&lt;&gt;"Va"),IF(AND(AM176&lt;&gt;"",LEFT(AG176,2)&lt;&gt;"Va",AM176&lt;&gt;"H. Sale Real"),IF(AM177-AM176&lt;0.208333333333333,AM177-AM176,""),IF(AND(AM175&lt;&gt;"",LEFT(AG175,2)&lt;&gt;"Va",AM175&lt;&gt;"H. Sale Real"),IF(AM177-AM175&lt;0.208333333333333,AM177-AM175,""),IF(AND(AM174&lt;&gt;"",LEFT(AG174,2)&lt;&gt;"Va",AM174&lt;&gt;"H. Sale Real"),IF(AM177-AM174&lt;0.208333333333333,AM177-AM174,""),IF(AND(AM173&lt;&gt;"",LEFT(AG173,2)&lt;&gt;"Va",AM173&lt;&gt;"H. Sale Real"),IF(AM177-AM173&lt;0.208333333333333,AM177-AM173,""),IF(AND(AM172&lt;&gt;"",LEFT(AG172,2)&lt;&gt;"Va",AM172&lt;&gt;"H. Sale Real"),IF(AM177-AM172&lt;0.208333333333333,AM177-AM172,""),""))))),""),"")</f>
        <v/>
      </c>
      <c r="AX176" s="89">
        <f>IF(AK176&lt;&gt;"H. Sale Real",IF(AND(AK177&lt;&gt;"",LEFT(AG177,2)&lt;&gt;"Va"),IF(AND(AK176&lt;&gt;"",LEFT(AG176,2)&lt;&gt;"Va",AK176&lt;&gt;"H. Sale Real"),IF(AK177-AK176&lt;0.208333333333333,AK177-AK176,""),IF(AND(AK175&lt;&gt;"",LEFT(AG175,2)&lt;&gt;"Va",AK175&lt;&gt;"H. Sale Real"),IF(AK177-AK175&lt;0.208333333333333,AK177-AK175,""),IF(AND(AK174&lt;&gt;"",LEFT(AG174,2)&lt;&gt;"NC",AK174&lt;&gt;"H. Sale Real"),IF(AK177-AK174&lt;0.208333333333333,AK177-AK174,""),IF(AND(AK173&lt;&gt;"",LEFT(AG173,2)&lt;&gt;"Va",AK173&lt;&gt;"H. Sale Real"),IF(AK177-AK173&lt;0.208333333333333,AK177-AK173,""),IF(AND(AK172&lt;&gt;"",LEFT(AG172,2)&lt;&gt;"Va",AK172&lt;&gt;"H. Sale Real"),IF(AK177-AK172&lt;0.208333333333333,AK177-AK172,""),""))))),""),"")</f>
        <v/>
      </c>
      <c r="AY176" s="87" t="n"/>
      <c r="AZ176" s="89" t="n"/>
      <c r="BA176" s="87" t="n"/>
      <c r="BB176" s="89" t="n"/>
      <c r="BC176" s="91" t="n"/>
      <c r="BD176" s="122">
        <f>IF(AK176&lt;&gt;"",IF(AND(BD175&lt;&gt;"IE",AT176&lt;&gt;0,AV176&lt;&gt;""),IF(IFERROR((AT176/AV176),0) &lt;=1,IFERROR(AT176/AV176,""),1),""),"")</f>
        <v/>
      </c>
      <c r="BE176" s="93" t="n"/>
      <c r="BF176" s="105" t="n"/>
      <c r="FC176" t="inlineStr">
        <is>
          <t>Diccionario 1</t>
        </is>
      </c>
      <c r="FD176" s="15" t="n">
        <v>1171</v>
      </c>
      <c r="FE176" s="15" t="inlineStr">
        <is>
          <t>YV3T7U528LA201624</t>
        </is>
      </c>
      <c r="FF176" s="15" t="n">
        <v>508345</v>
      </c>
      <c r="FG176" s="15" t="inlineStr">
        <is>
          <t>Volvo</t>
        </is>
      </c>
      <c r="FH176" s="15" t="inlineStr">
        <is>
          <t>B8RLEA</t>
        </is>
      </c>
      <c r="FI176" s="15" t="inlineStr">
        <is>
          <t>MARCOPOLO</t>
        </is>
      </c>
      <c r="FJ176" s="15" t="inlineStr">
        <is>
          <t>GRAN VIALE</t>
        </is>
      </c>
      <c r="FK176" s="15" t="n">
        <v>2020</v>
      </c>
      <c r="FL176" s="15" t="inlineStr">
        <is>
          <t>C</t>
        </is>
      </c>
      <c r="FM176" s="15" t="inlineStr">
        <is>
          <t>PIE ANDINO</t>
        </is>
      </c>
      <c r="FN176" s="15" t="inlineStr">
        <is>
          <t>Pie Andino 31 (Pie Andino 383)</t>
        </is>
      </c>
      <c r="FO176" s="15" t="inlineStr">
        <is>
          <t>Puente Alto</t>
        </is>
      </c>
      <c r="FP176" t="inlineStr">
        <is>
          <t>C</t>
        </is>
      </c>
      <c r="FS176" s="14" t="inlineStr">
        <is>
          <t>3045 / SFWB-48|</t>
        </is>
      </c>
      <c r="FT176" t="inlineStr">
        <is>
          <t>SFWB-48|</t>
        </is>
      </c>
      <c r="FU176" t="inlineStr">
        <is>
          <t>SFWB-48</t>
        </is>
      </c>
      <c r="FV176">
        <f>VLOOKUP(FU176,FD:FL,9,0)</f>
        <v/>
      </c>
      <c r="HA176" s="35" t="n">
        <v>173</v>
      </c>
      <c r="HB176" s="35" t="n">
        <v>170</v>
      </c>
    </row>
    <row r="177" ht="15.5" customHeight="1">
      <c r="A177" s="10">
        <f>HOUR(G177)+1</f>
        <v/>
      </c>
      <c r="B177" s="7" t="n"/>
      <c r="C177" s="7" t="n"/>
      <c r="D177" s="85">
        <f>IFERROR(
IF(AND(OR(Planilla!B177="C",Planilla!B177="c"), VLOOKUP(E177,FD:FP,13,0)="C"), "OK",IF(AND(OR(Planilla!B177="C",Planilla!B177="c"), OR(VLOOKUP(E177,FD:FP,13,0)="B", VLOOKUP(E177,FD:FP,13,0)="A")), "DEFICIT",IF(
AND(OR(Planilla!B177="B", Planilla!B177="BPAL"), VLOOKUP(E177,FD:FP,13,0)="B"), "OK",IF(AND(OR(Planilla!B177="B", Planilla!B177="BPAL"), VLOOKUP(E177,FD:FP,13,0)="A"), "DEFICIT",IF(AND(OR(Planilla!B177="B", Planilla!B177="BPAL"), VLOOKUP(E177,FD:FP,13,0)="C"), "SOBREOFERTA",IF(AND(Planilla!B177="A", VLOOKUP(E177,FD:FP,13,0)="A"), "OK",IF(
AND(Planilla!B177="A", OR(VLOOKUP(E177,FD:FP,13,0)="B", VLOOKUP(E177,FD:FP,13,0)="C")), "SOBREOFERTA",""
))))))),"")</f>
        <v/>
      </c>
      <c r="E177" s="8" t="n"/>
      <c r="F177" s="86" t="n"/>
      <c r="G177" s="87" t="n"/>
      <c r="H177" s="88">
        <f>IF(I177="","",IF(AND((I177-G177)&gt;=TIME(0,0,0),(I177-G177)&lt;TIME(0,3,0)),"OK",IF(AND((I177-G177)&gt;=TIME(0,3,0),(I177-G177)&lt;TIME(0,5,0)),"RETRASO DE 3-5 MIN",IF(AND((I177-G177)&gt;=TIME(0,5,0),(I177-G177)&lt;TIME(0,10,0)),"RETRASO DE 5-10 MIN",IF((I177-G177)&gt;=TIME(0,10,0),"RETRASO &gt;10 MIN", IF(AND((G177-I177)&gt;=TIME(0,0,0),(G177-I177)&lt;TIME(0,3,0)),"OK",IF((G177-I177)&gt;=TIME(0,3,0),"ADELANTADO")))))))</f>
        <v/>
      </c>
      <c r="I177" s="89" t="n"/>
      <c r="J177" s="89">
        <f>IF(A177&lt;&gt;"",HLOOKUP(VALUE(TEXT(G177,"h:mm:ss")),IF($C$6="Laboral",$FZ$4:$GX$227,IF($C$6="Sábado",$FZ$231:$GX$452,$FZ$456:$GX$656)),VLOOKUP($C$4,$HF$2:$HH$99,3,0)+IF(C$5="Ida",0,1),1),"")</f>
        <v/>
      </c>
      <c r="K177" s="89">
        <f>IF(A178&lt;&gt;A177,AVERAGEIF(A$9:A177,A177,J$9:J177),"")</f>
        <v/>
      </c>
      <c r="L177" s="89">
        <f>IFERROR(IF(A178&lt;&gt;A177,AVERAGEIF(A$9:A177,A177,S$9:S177),""),"")</f>
        <v/>
      </c>
      <c r="M177" s="89">
        <f>IFERROR(IF(A178&lt;&gt;A177,AVERAGEIF(A$9:A177,A177,T$9:T177),""),"")</f>
        <v/>
      </c>
      <c r="N177" s="89">
        <f t="array" ref="N177">IFERROR(IF(A178&lt;&gt;A177,_xlfn.STDEV.P(IF(A$9:A177=A177,T$9:T177)),""),"")</f>
        <v/>
      </c>
      <c r="O177" s="89">
        <f t="array" ref="O177">IFERROR(IF(A178&lt;&gt;A177,_xlfn.STDEV.P(IF(A$9:A177=A177,S$9:S177)),""),"")</f>
        <v/>
      </c>
      <c r="P177" s="90">
        <f>IFERROR(IF(A177&lt;&gt;A178,MAX((((M177*24*60)/2)*(1+POWER((((N177*24*60) / (M177*24*60) )),2))) + ((M177*24*60 )*-0.1 + (K177*0.015)) +1,(((M177*24*60)/2)*(1+POWER((((N177*24*60) / (M177*24*60 ))),2)))),""),"")</f>
        <v/>
      </c>
      <c r="Q177" s="90">
        <f>IF(AND(O177&lt;&gt;"",L177&lt;&gt;""),IF(A177&lt;&gt;A178,((L177*24*60) / 2 ) * (1 + POWER(((O177*24*60) / (L177*24*60)),2)),""),"")</f>
        <v/>
      </c>
      <c r="R177" s="90">
        <f>IF(Q177&lt;&gt;"",MAX(P177,Q177),"")</f>
        <v/>
      </c>
      <c r="S177" s="89">
        <f>IF(I177&lt;&gt;"H. Sale Real",IF(AND(I178&lt;&gt;"",LEFT(C178,2)&lt;&gt;"Va"),IF(AND(I177&lt;&gt;"",LEFT(C177,2)&lt;&gt;"Va",I177&lt;&gt;"H. Sale Real"),IF(I178-I177&lt;0.208333333333333,I178-I177,""),IF(AND(I176&lt;&gt;"",LEFT(C176,2)&lt;&gt;"Va",I176&lt;&gt;"H. Sale Real"),IF(I178-I176&lt;0.208333333333333,I178-I176,""),IF(AND(I175&lt;&gt;"",LEFT(C175,2)&lt;&gt;"Va",I175&lt;&gt;"H. Sale Real"),IF(I178-I175&lt;0.208333333333333,I178-I175,""),IF(AND(I174&lt;&gt;"",LEFT(C174,2)&lt;&gt;"Va",I174&lt;&gt;"H. Sale Real"),IF(I178-I174&lt;0.208333333333333,I178-I174,""),IF(AND(I173&lt;&gt;"",LEFT(C173,2)&lt;&gt;"Va",I173&lt;&gt;"H. Sale Real"),IF(I178-I173&lt;0.208333333333333,I178-I173,""),""))))),""),"")</f>
        <v/>
      </c>
      <c r="T177" s="89">
        <f>IF(G177&lt;&gt;"H. Sale Real",IF(AND(G178&lt;&gt;"",LEFT(C178,2)&lt;&gt;"Va"),IF(AND(G177&lt;&gt;"",LEFT(C177,2)&lt;&gt;"Va",G177&lt;&gt;"H. Sale Real"),IF(G178-G177&lt;0.208333333333333,G178-G177,""),IF(AND(G176&lt;&gt;"",LEFT(C176,2)&lt;&gt;"Va",G176&lt;&gt;"H. Sale Real"),IF(G178-G176&lt;0.208333333333333,G178-G176,""),IF(AND(G175&lt;&gt;"",LEFT(C175,2)&lt;&gt;"Va",G175&lt;&gt;"H. Sale Real"),IF(G178-G175&lt;0.208333333333333,G178-G175,""),IF(AND(G174&lt;&gt;"",LEFT(C174,2)&lt;&gt;"Va",G174&lt;&gt;"H. Sale Real"),IF(G178-G174&lt;0.208333333333333,G178-G174,""),IF(AND(G173&lt;&gt;"",LEFT(C173,2)&lt;&gt;"Va",G173&lt;&gt;"H. Sale Real"),IF(G178-G173&lt;0.208333333333333,G178-G173,""),""))))),""),"")</f>
        <v/>
      </c>
      <c r="U177" s="87" t="n"/>
      <c r="V177" s="89" t="n"/>
      <c r="W177" s="87" t="n"/>
      <c r="X177" s="89" t="n"/>
      <c r="Y177" s="91" t="n"/>
      <c r="Z177" s="122">
        <f>IF(G177&lt;&gt;"",IF(AND(Z176&lt;&gt;"IE",P177&lt;&gt;0,R177&lt;&gt;""),IF(IFERROR((P177/R177),0) &lt;=1,IFERROR(P177/R177,""),1),""),"")</f>
        <v/>
      </c>
      <c r="AA177" s="93" t="n"/>
      <c r="AB177" s="2" t="n"/>
      <c r="AE177" s="10">
        <f>HOUR(AK177)+1</f>
        <v/>
      </c>
      <c r="AF177" s="7" t="n"/>
      <c r="AG177" s="7" t="n"/>
      <c r="AH177" s="86" t="n"/>
      <c r="AI177" s="8" t="n"/>
      <c r="AJ177" s="86" t="n"/>
      <c r="AK177" s="87" t="n"/>
      <c r="AL177" s="88">
        <f>IF(AM177="","",IF(AND((AM177-AK177)&gt;=TIME(0,0,0),(AM177-AK177)&lt;TIME(0,3,0)),"OK",IF(AND((AM177-AK177)&gt;=TIME(0,3,0),(AM177-AK177)&lt;TIME(0,5,0)),"RETRASO DE 3-5 MIN",IF(AND((AM177-AK177)&gt;=TIME(0,5,0),(AM177-AK177)&lt;TIME(0,10,0)),"RETRASO DE 5-10 MIN",IF((AM177-AK177)&gt;=TIME(0,10,0),"RETRASO &gt;10 MIN", IF(AND((AK177-AM177)&gt;=TIME(0,0,0),(AK177-AM177)&lt;TIME(0,3,0)),"OK",IF((AK177-AM177)&gt;=TIME(0,3,0),"ADELANTADO")))))))</f>
        <v/>
      </c>
      <c r="AM177" s="91" t="n"/>
      <c r="AN177" s="89">
        <f>IF(AE177&lt;&gt;"",HLOOKUP(VALUE(TEXT(AK177,"h:mm:ss")),IF($C$6="Laboral",$FZ$4:$GX$227,IF($C$6="Sábado",$FZ$231:$GX$452,$FZ$456:$GX$656)),VLOOKUP($C$4,$HF$2:$HH$99,3,0)+IF(AG$5="Ida",0,1),1),"")</f>
        <v/>
      </c>
      <c r="AO177" s="89">
        <f>IF(AE178&lt;&gt;AE177,AVERAGEIF(AE$9:AE177,AE177,AN$9:AN177),"")</f>
        <v/>
      </c>
      <c r="AP177" s="89">
        <f>IFERROR(IF(AE178&lt;&gt;AE177,AVERAGEIF(AE$9:AE177,AE177,AW$9:AW177),""),"")</f>
        <v/>
      </c>
      <c r="AQ177" s="89">
        <f>IFERROR(IF(AE178&lt;&gt;AE177,AVERAGEIF(AE$9:AE177,AE177,AX$9:AX177),""),"")</f>
        <v/>
      </c>
      <c r="AR177" s="89">
        <f t="array" ref="AR177">IFERROR(IF(AE178&lt;&gt;AE177,_xlfn.STDEV.P(IF(AE$9:AE177=AE177,AX$9:AX177)),""),"")</f>
        <v/>
      </c>
      <c r="AS177" s="89">
        <f t="array" ref="AS177">IFERROR(IF(AE178&lt;&gt;AE177,_xlfn.STDEV.P(IF(AE$9:AE177=AE177,AW$9:AW177)),""),"")</f>
        <v/>
      </c>
      <c r="AT177" s="90">
        <f>IFERROR(IF(AE177&lt;&gt;AE178,MAX((((AQ177*24*60)/2)*(1+POWER((((AR177*24*60) / (AQ177*24*60) )),2))) + ((AQ177*24*60 )*-0.1 + (AO177*0.015)) +1,(((AQ177*24*60)/2)*(1+POWER((((AR177*24*60) / (AQ177*24*60 ))),2)))),""),"")</f>
        <v/>
      </c>
      <c r="AU177" s="90">
        <f>IF(AND(AS177&lt;&gt;"",AP177&lt;&gt;""),IF(AE177&lt;&gt;AE178,((AP177*24*60) / 2 ) * (1 + POWER(((AS177*24*60) / (AP177*24*60)),2)),""),"")</f>
        <v/>
      </c>
      <c r="AV177" s="90">
        <f>IF(AU177&lt;&gt;"",MAX(AT177,AU177),"")</f>
        <v/>
      </c>
      <c r="AW177" s="89">
        <f>IF(AM177&lt;&gt;"H. Sale Real",IF(AND(AM178&lt;&gt;"",LEFT(AG178,2)&lt;&gt;"Va"),IF(AND(AM177&lt;&gt;"",LEFT(AG177,2)&lt;&gt;"Va",AM177&lt;&gt;"H. Sale Real"),IF(AM178-AM177&lt;0.208333333333333,AM178-AM177,""),IF(AND(AM176&lt;&gt;"",LEFT(AG176,2)&lt;&gt;"Va",AM176&lt;&gt;"H. Sale Real"),IF(AM178-AM176&lt;0.208333333333333,AM178-AM176,""),IF(AND(AM175&lt;&gt;"",LEFT(AG175,2)&lt;&gt;"Va",AM175&lt;&gt;"H. Sale Real"),IF(AM178-AM175&lt;0.208333333333333,AM178-AM175,""),IF(AND(AM174&lt;&gt;"",LEFT(AG174,2)&lt;&gt;"Va",AM174&lt;&gt;"H. Sale Real"),IF(AM178-AM174&lt;0.208333333333333,AM178-AM174,""),IF(AND(AM173&lt;&gt;"",LEFT(AG173,2)&lt;&gt;"Va",AM173&lt;&gt;"H. Sale Real"),IF(AM178-AM173&lt;0.208333333333333,AM178-AM173,""),""))))),""),"")</f>
        <v/>
      </c>
      <c r="AX177" s="89">
        <f>IF(AK177&lt;&gt;"H. Sale Real",IF(AND(AK178&lt;&gt;"",LEFT(AG178,2)&lt;&gt;"Va"),IF(AND(AK177&lt;&gt;"",LEFT(AG177,2)&lt;&gt;"Va",AK177&lt;&gt;"H. Sale Real"),IF(AK178-AK177&lt;0.208333333333333,AK178-AK177,""),IF(AND(AK176&lt;&gt;"",LEFT(AG176,2)&lt;&gt;"Va",AK176&lt;&gt;"H. Sale Real"),IF(AK178-AK176&lt;0.208333333333333,AK178-AK176,""),IF(AND(AK175&lt;&gt;"",LEFT(AG175,2)&lt;&gt;"NC",AK175&lt;&gt;"H. Sale Real"),IF(AK178-AK175&lt;0.208333333333333,AK178-AK175,""),IF(AND(AK174&lt;&gt;"",LEFT(AG174,2)&lt;&gt;"Va",AK174&lt;&gt;"H. Sale Real"),IF(AK178-AK174&lt;0.208333333333333,AK178-AK174,""),IF(AND(AK173&lt;&gt;"",LEFT(AG173,2)&lt;&gt;"Va",AK173&lt;&gt;"H. Sale Real"),IF(AK178-AK173&lt;0.208333333333333,AK178-AK173,""),""))))),""),"")</f>
        <v/>
      </c>
      <c r="AY177" s="87" t="n"/>
      <c r="AZ177" s="89" t="n"/>
      <c r="BA177" s="87" t="n"/>
      <c r="BB177" s="89" t="n"/>
      <c r="BC177" s="91" t="n"/>
      <c r="BD177" s="122">
        <f>IF(AK177&lt;&gt;"",IF(AND(BD176&lt;&gt;"IE",AT177&lt;&gt;0,AV177&lt;&gt;""),IF(IFERROR((AT177/AV177),0) &lt;=1,IFERROR(AT177/AV177,""),1),""),"")</f>
        <v/>
      </c>
      <c r="BE177" s="93" t="n"/>
      <c r="BF177" s="105" t="n"/>
      <c r="FC177" t="inlineStr">
        <is>
          <t>Diccionario 1</t>
        </is>
      </c>
      <c r="FD177" s="15" t="n">
        <v>1172</v>
      </c>
      <c r="FE177" s="15" t="inlineStr">
        <is>
          <t>YV3T7U525LA198729</t>
        </is>
      </c>
      <c r="FF177" s="15" t="n">
        <v>508201</v>
      </c>
      <c r="FG177" s="15" t="inlineStr">
        <is>
          <t>Volvo</t>
        </is>
      </c>
      <c r="FH177" s="15" t="inlineStr">
        <is>
          <t>B8RLEA</t>
        </is>
      </c>
      <c r="FI177" s="15" t="inlineStr">
        <is>
          <t>MARCOPOLO</t>
        </is>
      </c>
      <c r="FJ177" s="15" t="inlineStr">
        <is>
          <t>GRAN VIALE</t>
        </is>
      </c>
      <c r="FK177" s="15" t="n">
        <v>2020</v>
      </c>
      <c r="FL177" s="15" t="inlineStr">
        <is>
          <t>C</t>
        </is>
      </c>
      <c r="FM177" s="15" t="inlineStr">
        <is>
          <t>PIE ANDINO</t>
        </is>
      </c>
      <c r="FN177" s="15" t="inlineStr">
        <is>
          <t>Pie Andino 31 (Pie Andino 383)</t>
        </is>
      </c>
      <c r="FO177" s="15" t="inlineStr">
        <is>
          <t>Puente Alto</t>
        </is>
      </c>
      <c r="FP177" t="inlineStr">
        <is>
          <t>C</t>
        </is>
      </c>
      <c r="FS177" s="14" t="inlineStr">
        <is>
          <t>3045 / SFWB-48|</t>
        </is>
      </c>
      <c r="FT177" t="inlineStr">
        <is>
          <t>SFWB-48|</t>
        </is>
      </c>
      <c r="FU177" t="inlineStr">
        <is>
          <t>SFWB-48</t>
        </is>
      </c>
      <c r="FV177">
        <f>VLOOKUP(FU177,FD:FL,9,0)</f>
        <v/>
      </c>
      <c r="HA177" s="35" t="n">
        <v>174</v>
      </c>
      <c r="HB177" s="35" t="n">
        <v>171</v>
      </c>
    </row>
    <row r="178" ht="15.5" customHeight="1">
      <c r="A178" s="10">
        <f>HOUR(G178)+1</f>
        <v/>
      </c>
      <c r="B178" s="7" t="n"/>
      <c r="C178" s="7" t="n"/>
      <c r="D178" s="85">
        <f>IFERROR(
IF(AND(OR(Planilla!B178="C",Planilla!B178="c"), VLOOKUP(E178,FD:FP,13,0)="C"), "OK",IF(AND(OR(Planilla!B178="C",Planilla!B178="c"), OR(VLOOKUP(E178,FD:FP,13,0)="B", VLOOKUP(E178,FD:FP,13,0)="A")), "DEFICIT",IF(
AND(OR(Planilla!B178="B", Planilla!B178="BPAL"), VLOOKUP(E178,FD:FP,13,0)="B"), "OK",IF(AND(OR(Planilla!B178="B", Planilla!B178="BPAL"), VLOOKUP(E178,FD:FP,13,0)="A"), "DEFICIT",IF(AND(OR(Planilla!B178="B", Planilla!B178="BPAL"), VLOOKUP(E178,FD:FP,13,0)="C"), "SOBREOFERTA",IF(AND(Planilla!B178="A", VLOOKUP(E178,FD:FP,13,0)="A"), "OK",IF(
AND(Planilla!B178="A", OR(VLOOKUP(E178,FD:FP,13,0)="B", VLOOKUP(E178,FD:FP,13,0)="C")), "SOBREOFERTA",""
))))))),"")</f>
        <v/>
      </c>
      <c r="E178" s="8" t="n"/>
      <c r="F178" s="86" t="n"/>
      <c r="G178" s="87" t="n"/>
      <c r="H178" s="88">
        <f>IF(I178="","",IF(AND((I178-G178)&gt;=TIME(0,0,0),(I178-G178)&lt;TIME(0,3,0)),"OK",IF(AND((I178-G178)&gt;=TIME(0,3,0),(I178-G178)&lt;TIME(0,5,0)),"RETRASO DE 3-5 MIN",IF(AND((I178-G178)&gt;=TIME(0,5,0),(I178-G178)&lt;TIME(0,10,0)),"RETRASO DE 5-10 MIN",IF((I178-G178)&gt;=TIME(0,10,0),"RETRASO &gt;10 MIN", IF(AND((G178-I178)&gt;=TIME(0,0,0),(G178-I178)&lt;TIME(0,3,0)),"OK",IF((G178-I178)&gt;=TIME(0,3,0),"ADELANTADO")))))))</f>
        <v/>
      </c>
      <c r="I178" s="89" t="n"/>
      <c r="J178" s="89">
        <f>IF(A178&lt;&gt;"",HLOOKUP(VALUE(TEXT(G178,"h:mm:ss")),IF($C$6="Laboral",$FZ$4:$GX$227,IF($C$6="Sábado",$FZ$231:$GX$452,$FZ$456:$GX$656)),VLOOKUP($C$4,$HF$2:$HH$99,3,0)+IF(C$5="Ida",0,1),1),"")</f>
        <v/>
      </c>
      <c r="K178" s="89">
        <f>IF(A179&lt;&gt;A178,AVERAGEIF(A$9:A178,A178,J$9:J178),"")</f>
        <v/>
      </c>
      <c r="L178" s="89">
        <f>IFERROR(IF(A179&lt;&gt;A178,AVERAGEIF(A$9:A178,A178,S$9:S178),""),"")</f>
        <v/>
      </c>
      <c r="M178" s="89">
        <f>IFERROR(IF(A179&lt;&gt;A178,AVERAGEIF(A$9:A178,A178,T$9:T178),""),"")</f>
        <v/>
      </c>
      <c r="N178" s="89">
        <f t="array" ref="N178">IFERROR(IF(A179&lt;&gt;A178,_xlfn.STDEV.P(IF(A$9:A178=A178,T$9:T178)),""),"")</f>
        <v/>
      </c>
      <c r="O178" s="89">
        <f t="array" ref="O178">IFERROR(IF(A179&lt;&gt;A178,_xlfn.STDEV.P(IF(A$9:A178=A178,S$9:S178)),""),"")</f>
        <v/>
      </c>
      <c r="P178" s="90">
        <f>IFERROR(IF(A178&lt;&gt;A179,MAX((((M178*24*60)/2)*(1+POWER((((N178*24*60) / (M178*24*60) )),2))) + ((M178*24*60 )*-0.1 + (K178*0.015)) +1,(((M178*24*60)/2)*(1+POWER((((N178*24*60) / (M178*24*60 ))),2)))),""),"")</f>
        <v/>
      </c>
      <c r="Q178" s="90">
        <f>IF(AND(O178&lt;&gt;"",L178&lt;&gt;""),IF(A178&lt;&gt;A179,((L178*24*60) / 2 ) * (1 + POWER(((O178*24*60) / (L178*24*60)),2)),""),"")</f>
        <v/>
      </c>
      <c r="R178" s="90">
        <f>IF(Q178&lt;&gt;"",MAX(P178,Q178),"")</f>
        <v/>
      </c>
      <c r="S178" s="89">
        <f>IF(I178&lt;&gt;"H. Sale Real",IF(AND(I179&lt;&gt;"",LEFT(C179,2)&lt;&gt;"Va"),IF(AND(I178&lt;&gt;"",LEFT(C178,2)&lt;&gt;"Va",I178&lt;&gt;"H. Sale Real"),IF(I179-I178&lt;0.208333333333333,I179-I178,""),IF(AND(I177&lt;&gt;"",LEFT(C177,2)&lt;&gt;"Va",I177&lt;&gt;"H. Sale Real"),IF(I179-I177&lt;0.208333333333333,I179-I177,""),IF(AND(I176&lt;&gt;"",LEFT(C176,2)&lt;&gt;"Va",I176&lt;&gt;"H. Sale Real"),IF(I179-I176&lt;0.208333333333333,I179-I176,""),IF(AND(I175&lt;&gt;"",LEFT(C175,2)&lt;&gt;"Va",I175&lt;&gt;"H. Sale Real"),IF(I179-I175&lt;0.208333333333333,I179-I175,""),IF(AND(I174&lt;&gt;"",LEFT(C174,2)&lt;&gt;"Va",I174&lt;&gt;"H. Sale Real"),IF(I179-I174&lt;0.208333333333333,I179-I174,""),""))))),""),"")</f>
        <v/>
      </c>
      <c r="T178" s="89">
        <f>IF(G178&lt;&gt;"H. Sale Real",IF(AND(G179&lt;&gt;"",LEFT(C179,2)&lt;&gt;"Va"),IF(AND(G178&lt;&gt;"",LEFT(C178,2)&lt;&gt;"Va",G178&lt;&gt;"H. Sale Real"),IF(G179-G178&lt;0.208333333333333,G179-G178,""),IF(AND(G177&lt;&gt;"",LEFT(C177,2)&lt;&gt;"Va",G177&lt;&gt;"H. Sale Real"),IF(G179-G177&lt;0.208333333333333,G179-G177,""),IF(AND(G176&lt;&gt;"",LEFT(C176,2)&lt;&gt;"Va",G176&lt;&gt;"H. Sale Real"),IF(G179-G176&lt;0.208333333333333,G179-G176,""),IF(AND(G175&lt;&gt;"",LEFT(C175,2)&lt;&gt;"Va",G175&lt;&gt;"H. Sale Real"),IF(G179-G175&lt;0.208333333333333,G179-G175,""),IF(AND(G174&lt;&gt;"",LEFT(C174,2)&lt;&gt;"Va",G174&lt;&gt;"H. Sale Real"),IF(G179-G174&lt;0.208333333333333,G179-G174,""),""))))),""),"")</f>
        <v/>
      </c>
      <c r="U178" s="87" t="n"/>
      <c r="V178" s="89" t="n"/>
      <c r="W178" s="87" t="n"/>
      <c r="X178" s="89" t="n"/>
      <c r="Y178" s="91" t="n"/>
      <c r="Z178" s="122">
        <f>IF(G178&lt;&gt;"",IF(AND(Z177&lt;&gt;"IE",P178&lt;&gt;0,R178&lt;&gt;""),IF(IFERROR((P178/R178),0) &lt;=1,IFERROR(P178/R178,""),1),""),"")</f>
        <v/>
      </c>
      <c r="AA178" s="93" t="n"/>
      <c r="AB178" s="2" t="n"/>
      <c r="AE178" s="10">
        <f>HOUR(AK178)+1</f>
        <v/>
      </c>
      <c r="AF178" s="7" t="n"/>
      <c r="AG178" s="7" t="n"/>
      <c r="AH178" s="86" t="n"/>
      <c r="AI178" s="8" t="n"/>
      <c r="AJ178" s="86" t="n"/>
      <c r="AK178" s="87" t="n"/>
      <c r="AL178" s="88">
        <f>IF(AM178="","",IF(AND((AM178-AK178)&gt;=TIME(0,0,0),(AM178-AK178)&lt;TIME(0,3,0)),"OK",IF(AND((AM178-AK178)&gt;=TIME(0,3,0),(AM178-AK178)&lt;TIME(0,5,0)),"RETRASO DE 3-5 MIN",IF(AND((AM178-AK178)&gt;=TIME(0,5,0),(AM178-AK178)&lt;TIME(0,10,0)),"RETRASO DE 5-10 MIN",IF((AM178-AK178)&gt;=TIME(0,10,0),"RETRASO &gt;10 MIN", IF(AND((AK178-AM178)&gt;=TIME(0,0,0),(AK178-AM178)&lt;TIME(0,3,0)),"OK",IF((AK178-AM178)&gt;=TIME(0,3,0),"ADELANTADO")))))))</f>
        <v/>
      </c>
      <c r="AM178" s="91" t="n"/>
      <c r="AN178" s="89">
        <f>IF(AE178&lt;&gt;"",HLOOKUP(VALUE(TEXT(AK178,"h:mm:ss")),IF($C$6="Laboral",$FZ$4:$GX$227,IF($C$6="Sábado",$FZ$231:$GX$452,$FZ$456:$GX$656)),VLOOKUP($C$4,$HF$2:$HH$99,3,0)+IF(AG$5="Ida",0,1),1),"")</f>
        <v/>
      </c>
      <c r="AO178" s="89">
        <f>IF(AE179&lt;&gt;AE178,AVERAGEIF(AE$9:AE178,AE178,AN$9:AN178),"")</f>
        <v/>
      </c>
      <c r="AP178" s="89">
        <f>IFERROR(IF(AE179&lt;&gt;AE178,AVERAGEIF(AE$9:AE178,AE178,AW$9:AW178),""),"")</f>
        <v/>
      </c>
      <c r="AQ178" s="89">
        <f>IFERROR(IF(AE179&lt;&gt;AE178,AVERAGEIF(AE$9:AE178,AE178,AX$9:AX178),""),"")</f>
        <v/>
      </c>
      <c r="AR178" s="89">
        <f t="array" ref="AR178">IFERROR(IF(AE179&lt;&gt;AE178,_xlfn.STDEV.P(IF(AE$9:AE178=AE178,AX$9:AX178)),""),"")</f>
        <v/>
      </c>
      <c r="AS178" s="89">
        <f t="array" ref="AS178">IFERROR(IF(AE179&lt;&gt;AE178,_xlfn.STDEV.P(IF(AE$9:AE178=AE178,AW$9:AW178)),""),"")</f>
        <v/>
      </c>
      <c r="AT178" s="90">
        <f>IFERROR(IF(AE178&lt;&gt;AE179,MAX((((AQ178*24*60)/2)*(1+POWER((((AR178*24*60) / (AQ178*24*60) )),2))) + ((AQ178*24*60 )*-0.1 + (AO178*0.015)) +1,(((AQ178*24*60)/2)*(1+POWER((((AR178*24*60) / (AQ178*24*60 ))),2)))),""),"")</f>
        <v/>
      </c>
      <c r="AU178" s="90">
        <f>IF(AND(AS178&lt;&gt;"",AP178&lt;&gt;""),IF(AE178&lt;&gt;AE179,((AP178*24*60) / 2 ) * (1 + POWER(((AS178*24*60) / (AP178*24*60)),2)),""),"")</f>
        <v/>
      </c>
      <c r="AV178" s="90">
        <f>IF(AU178&lt;&gt;"",MAX(AT178,AU178),"")</f>
        <v/>
      </c>
      <c r="AW178" s="89">
        <f>IF(AM178&lt;&gt;"H. Sale Real",IF(AND(AM179&lt;&gt;"",LEFT(AG179,2)&lt;&gt;"Va"),IF(AND(AM178&lt;&gt;"",LEFT(AG178,2)&lt;&gt;"Va",AM178&lt;&gt;"H. Sale Real"),IF(AM179-AM178&lt;0.208333333333333,AM179-AM178,""),IF(AND(AM177&lt;&gt;"",LEFT(AG177,2)&lt;&gt;"Va",AM177&lt;&gt;"H. Sale Real"),IF(AM179-AM177&lt;0.208333333333333,AM179-AM177,""),IF(AND(AM176&lt;&gt;"",LEFT(AG176,2)&lt;&gt;"Va",AM176&lt;&gt;"H. Sale Real"),IF(AM179-AM176&lt;0.208333333333333,AM179-AM176,""),IF(AND(AM175&lt;&gt;"",LEFT(AG175,2)&lt;&gt;"Va",AM175&lt;&gt;"H. Sale Real"),IF(AM179-AM175&lt;0.208333333333333,AM179-AM175,""),IF(AND(AM174&lt;&gt;"",LEFT(AG174,2)&lt;&gt;"Va",AM174&lt;&gt;"H. Sale Real"),IF(AM179-AM174&lt;0.208333333333333,AM179-AM174,""),""))))),""),"")</f>
        <v/>
      </c>
      <c r="AX178" s="89">
        <f>IF(AK178&lt;&gt;"H. Sale Real",IF(AND(AK179&lt;&gt;"",LEFT(AG179,2)&lt;&gt;"Va"),IF(AND(AK178&lt;&gt;"",LEFT(AG178,2)&lt;&gt;"Va",AK178&lt;&gt;"H. Sale Real"),IF(AK179-AK178&lt;0.208333333333333,AK179-AK178,""),IF(AND(AK177&lt;&gt;"",LEFT(AG177,2)&lt;&gt;"Va",AK177&lt;&gt;"H. Sale Real"),IF(AK179-AK177&lt;0.208333333333333,AK179-AK177,""),IF(AND(AK176&lt;&gt;"",LEFT(AG176,2)&lt;&gt;"NC",AK176&lt;&gt;"H. Sale Real"),IF(AK179-AK176&lt;0.208333333333333,AK179-AK176,""),IF(AND(AK175&lt;&gt;"",LEFT(AG175,2)&lt;&gt;"Va",AK175&lt;&gt;"H. Sale Real"),IF(AK179-AK175&lt;0.208333333333333,AK179-AK175,""),IF(AND(AK174&lt;&gt;"",LEFT(AG174,2)&lt;&gt;"Va",AK174&lt;&gt;"H. Sale Real"),IF(AK179-AK174&lt;0.208333333333333,AK179-AK174,""),""))))),""),"")</f>
        <v/>
      </c>
      <c r="AY178" s="87" t="n"/>
      <c r="AZ178" s="89" t="n"/>
      <c r="BA178" s="87" t="n"/>
      <c r="BB178" s="89" t="n"/>
      <c r="BC178" s="91" t="n"/>
      <c r="BD178" s="122">
        <f>IF(AK178&lt;&gt;"",IF(AND(BD177&lt;&gt;"IE",AT178&lt;&gt;0,AV178&lt;&gt;""),IF(IFERROR((AT178/AV178),0) &lt;=1,IFERROR(AT178/AV178,""),1),""),"")</f>
        <v/>
      </c>
      <c r="BE178" s="93" t="n"/>
      <c r="BF178" s="105" t="n"/>
      <c r="FC178" t="inlineStr">
        <is>
          <t>Diccionario 1</t>
        </is>
      </c>
      <c r="FD178" s="15" t="n">
        <v>1173</v>
      </c>
      <c r="FE178" s="15" t="inlineStr">
        <is>
          <t>YV3T7U526LA201542</t>
        </is>
      </c>
      <c r="FF178" s="15" t="n">
        <v>508119</v>
      </c>
      <c r="FG178" s="15" t="inlineStr">
        <is>
          <t>Volvo</t>
        </is>
      </c>
      <c r="FH178" s="15" t="inlineStr">
        <is>
          <t>B8RLEA</t>
        </is>
      </c>
      <c r="FI178" s="15" t="inlineStr">
        <is>
          <t>MARCOPOLO</t>
        </is>
      </c>
      <c r="FJ178" s="15" t="inlineStr">
        <is>
          <t>GRAN VIALE</t>
        </is>
      </c>
      <c r="FK178" s="15" t="n">
        <v>2020</v>
      </c>
      <c r="FL178" s="15" t="inlineStr">
        <is>
          <t>C</t>
        </is>
      </c>
      <c r="FM178" s="15" t="inlineStr">
        <is>
          <t>PIE ANDINO</t>
        </is>
      </c>
      <c r="FN178" s="15" t="inlineStr">
        <is>
          <t>Pie Andino 31 (Pie Andino 383)</t>
        </is>
      </c>
      <c r="FO178" s="15" t="inlineStr">
        <is>
          <t>Puente Alto</t>
        </is>
      </c>
      <c r="FP178" t="inlineStr">
        <is>
          <t>C</t>
        </is>
      </c>
      <c r="FS178" s="14" t="inlineStr">
        <is>
          <t>3045 / SFWB-48|</t>
        </is>
      </c>
      <c r="FT178" t="inlineStr">
        <is>
          <t>SFWB-48|</t>
        </is>
      </c>
      <c r="FU178" t="inlineStr">
        <is>
          <t>SFWB-48</t>
        </is>
      </c>
      <c r="FV178">
        <f>VLOOKUP(FU178,FD:FL,9,0)</f>
        <v/>
      </c>
      <c r="HA178" s="35" t="n">
        <v>175</v>
      </c>
      <c r="HB178" s="35" t="n">
        <v>172</v>
      </c>
    </row>
    <row r="179" ht="15.5" customHeight="1">
      <c r="A179" s="10">
        <f>HOUR(G179)+1</f>
        <v/>
      </c>
      <c r="B179" s="7" t="n"/>
      <c r="C179" s="7" t="n"/>
      <c r="D179" s="85">
        <f>IFERROR(
IF(AND(OR(Planilla!B179="C",Planilla!B179="c"), VLOOKUP(E179,FD:FP,13,0)="C"), "OK",IF(AND(OR(Planilla!B179="C",Planilla!B179="c"), OR(VLOOKUP(E179,FD:FP,13,0)="B", VLOOKUP(E179,FD:FP,13,0)="A")), "DEFICIT",IF(
AND(OR(Planilla!B179="B", Planilla!B179="BPAL"), VLOOKUP(E179,FD:FP,13,0)="B"), "OK",IF(AND(OR(Planilla!B179="B", Planilla!B179="BPAL"), VLOOKUP(E179,FD:FP,13,0)="A"), "DEFICIT",IF(AND(OR(Planilla!B179="B", Planilla!B179="BPAL"), VLOOKUP(E179,FD:FP,13,0)="C"), "SOBREOFERTA",IF(AND(Planilla!B179="A", VLOOKUP(E179,FD:FP,13,0)="A"), "OK",IF(
AND(Planilla!B179="A", OR(VLOOKUP(E179,FD:FP,13,0)="B", VLOOKUP(E179,FD:FP,13,0)="C")), "SOBREOFERTA",""
))))))),"")</f>
        <v/>
      </c>
      <c r="E179" s="8" t="n"/>
      <c r="F179" s="86" t="n"/>
      <c r="G179" s="87" t="n"/>
      <c r="H179" s="88">
        <f>IF(I179="","",IF(AND((I179-G179)&gt;=TIME(0,0,0),(I179-G179)&lt;TIME(0,3,0)),"OK",IF(AND((I179-G179)&gt;=TIME(0,3,0),(I179-G179)&lt;TIME(0,5,0)),"RETRASO DE 3-5 MIN",IF(AND((I179-G179)&gt;=TIME(0,5,0),(I179-G179)&lt;TIME(0,10,0)),"RETRASO DE 5-10 MIN",IF((I179-G179)&gt;=TIME(0,10,0),"RETRASO &gt;10 MIN", IF(AND((G179-I179)&gt;=TIME(0,0,0),(G179-I179)&lt;TIME(0,3,0)),"OK",IF((G179-I179)&gt;=TIME(0,3,0),"ADELANTADO")))))))</f>
        <v/>
      </c>
      <c r="I179" s="89" t="n"/>
      <c r="J179" s="89">
        <f>IF(A179&lt;&gt;"",HLOOKUP(VALUE(TEXT(G179,"h:mm:ss")),IF($C$6="Laboral",$FZ$4:$GX$227,IF($C$6="Sábado",$FZ$231:$GX$452,$FZ$456:$GX$656)),VLOOKUP($C$4,$HF$2:$HH$99,3,0)+IF(C$5="Ida",0,1),1),"")</f>
        <v/>
      </c>
      <c r="K179" s="89">
        <f>IF(A180&lt;&gt;A179,AVERAGEIF(A$9:A179,A179,J$9:J179),"")</f>
        <v/>
      </c>
      <c r="L179" s="89">
        <f>IFERROR(IF(A180&lt;&gt;A179,AVERAGEIF(A$9:A179,A179,S$9:S179),""),"")</f>
        <v/>
      </c>
      <c r="M179" s="89">
        <f>IFERROR(IF(A180&lt;&gt;A179,AVERAGEIF(A$9:A179,A179,T$9:T179),""),"")</f>
        <v/>
      </c>
      <c r="N179" s="89">
        <f t="array" ref="N179">IFERROR(IF(A180&lt;&gt;A179,_xlfn.STDEV.P(IF(A$9:A179=A179,T$9:T179)),""),"")</f>
        <v/>
      </c>
      <c r="O179" s="89">
        <f t="array" ref="O179">IFERROR(IF(A180&lt;&gt;A179,_xlfn.STDEV.P(IF(A$9:A179=A179,S$9:S179)),""),"")</f>
        <v/>
      </c>
      <c r="P179" s="90">
        <f>IFERROR(IF(A179&lt;&gt;A180,MAX((((M179*24*60)/2)*(1+POWER((((N179*24*60) / (M179*24*60) )),2))) + ((M179*24*60 )*-0.1 + (K179*0.015)) +1,(((M179*24*60)/2)*(1+POWER((((N179*24*60) / (M179*24*60 ))),2)))),""),"")</f>
        <v/>
      </c>
      <c r="Q179" s="90">
        <f>IF(AND(O179&lt;&gt;"",L179&lt;&gt;""),IF(A179&lt;&gt;A180,((L179*24*60) / 2 ) * (1 + POWER(((O179*24*60) / (L179*24*60)),2)),""),"")</f>
        <v/>
      </c>
      <c r="R179" s="90">
        <f>IF(Q179&lt;&gt;"",MAX(P179,Q179),"")</f>
        <v/>
      </c>
      <c r="S179" s="89">
        <f>IF(I179&lt;&gt;"H. Sale Real",IF(AND(I180&lt;&gt;"",LEFT(C180,2)&lt;&gt;"Va"),IF(AND(I179&lt;&gt;"",LEFT(C179,2)&lt;&gt;"Va",I179&lt;&gt;"H. Sale Real"),IF(I180-I179&lt;0.208333333333333,I180-I179,""),IF(AND(I178&lt;&gt;"",LEFT(C178,2)&lt;&gt;"Va",I178&lt;&gt;"H. Sale Real"),IF(I180-I178&lt;0.208333333333333,I180-I178,""),IF(AND(I177&lt;&gt;"",LEFT(C177,2)&lt;&gt;"Va",I177&lt;&gt;"H. Sale Real"),IF(I180-I177&lt;0.208333333333333,I180-I177,""),IF(AND(I176&lt;&gt;"",LEFT(C176,2)&lt;&gt;"Va",I176&lt;&gt;"H. Sale Real"),IF(I180-I176&lt;0.208333333333333,I180-I176,""),IF(AND(I175&lt;&gt;"",LEFT(C175,2)&lt;&gt;"Va",I175&lt;&gt;"H. Sale Real"),IF(I180-I175&lt;0.208333333333333,I180-I175,""),""))))),""),"")</f>
        <v/>
      </c>
      <c r="T179" s="89">
        <f>IF(G179&lt;&gt;"H. Sale Real",IF(AND(G180&lt;&gt;"",LEFT(C180,2)&lt;&gt;"Va"),IF(AND(G179&lt;&gt;"",LEFT(C179,2)&lt;&gt;"Va",G179&lt;&gt;"H. Sale Real"),IF(G180-G179&lt;0.208333333333333,G180-G179,""),IF(AND(G178&lt;&gt;"",LEFT(C178,2)&lt;&gt;"Va",G178&lt;&gt;"H. Sale Real"),IF(G180-G178&lt;0.208333333333333,G180-G178,""),IF(AND(G177&lt;&gt;"",LEFT(C177,2)&lt;&gt;"Va",G177&lt;&gt;"H. Sale Real"),IF(G180-G177&lt;0.208333333333333,G180-G177,""),IF(AND(G176&lt;&gt;"",LEFT(C176,2)&lt;&gt;"Va",G176&lt;&gt;"H. Sale Real"),IF(G180-G176&lt;0.208333333333333,G180-G176,""),IF(AND(G175&lt;&gt;"",LEFT(C175,2)&lt;&gt;"Va",G175&lt;&gt;"H. Sale Real"),IF(G180-G175&lt;0.208333333333333,G180-G175,""),""))))),""),"")</f>
        <v/>
      </c>
      <c r="U179" s="87" t="n"/>
      <c r="V179" s="89" t="n"/>
      <c r="W179" s="87" t="n"/>
      <c r="X179" s="89" t="n"/>
      <c r="Y179" s="91" t="n"/>
      <c r="Z179" s="122">
        <f>IF(G179&lt;&gt;"",IF(AND(Z178&lt;&gt;"IE",P179&lt;&gt;0,R179&lt;&gt;""),IF(IFERROR((P179/R179),0) &lt;=1,IFERROR(P179/R179,""),1),""),"")</f>
        <v/>
      </c>
      <c r="AA179" s="93" t="n"/>
      <c r="AB179" s="2" t="n"/>
      <c r="AE179" s="10">
        <f>HOUR(AK179)+1</f>
        <v/>
      </c>
      <c r="AF179" s="7" t="n"/>
      <c r="AG179" s="7" t="n"/>
      <c r="AH179" s="86" t="n"/>
      <c r="AI179" s="8" t="n"/>
      <c r="AJ179" s="86" t="n"/>
      <c r="AK179" s="87" t="n"/>
      <c r="AL179" s="88">
        <f>IF(AM179="","",IF(AND((AM179-AK179)&gt;=TIME(0,0,0),(AM179-AK179)&lt;TIME(0,3,0)),"OK",IF(AND((AM179-AK179)&gt;=TIME(0,3,0),(AM179-AK179)&lt;TIME(0,5,0)),"RETRASO DE 3-5 MIN",IF(AND((AM179-AK179)&gt;=TIME(0,5,0),(AM179-AK179)&lt;TIME(0,10,0)),"RETRASO DE 5-10 MIN",IF((AM179-AK179)&gt;=TIME(0,10,0),"RETRASO &gt;10 MIN", IF(AND((AK179-AM179)&gt;=TIME(0,0,0),(AK179-AM179)&lt;TIME(0,3,0)),"OK",IF((AK179-AM179)&gt;=TIME(0,3,0),"ADELANTADO")))))))</f>
        <v/>
      </c>
      <c r="AM179" s="91" t="n"/>
      <c r="AN179" s="89">
        <f>IF(AE179&lt;&gt;"",HLOOKUP(VALUE(TEXT(AK179,"h:mm:ss")),IF($C$6="Laboral",$FZ$4:$GX$227,IF($C$6="Sábado",$FZ$231:$GX$452,$FZ$456:$GX$656)),VLOOKUP($C$4,$HF$2:$HH$99,3,0)+IF(AG$5="Ida",0,1),1),"")</f>
        <v/>
      </c>
      <c r="AO179" s="89">
        <f>IF(AE180&lt;&gt;AE179,AVERAGEIF(AE$9:AE179,AE179,AN$9:AN179),"")</f>
        <v/>
      </c>
      <c r="AP179" s="89">
        <f>IFERROR(IF(AE180&lt;&gt;AE179,AVERAGEIF(AE$9:AE179,AE179,AW$9:AW179),""),"")</f>
        <v/>
      </c>
      <c r="AQ179" s="89">
        <f>IFERROR(IF(AE180&lt;&gt;AE179,AVERAGEIF(AE$9:AE179,AE179,AX$9:AX179),""),"")</f>
        <v/>
      </c>
      <c r="AR179" s="89">
        <f t="array" ref="AR179">IFERROR(IF(AE180&lt;&gt;AE179,_xlfn.STDEV.P(IF(AE$9:AE179=AE179,AX$9:AX179)),""),"")</f>
        <v/>
      </c>
      <c r="AS179" s="89">
        <f t="array" ref="AS179">IFERROR(IF(AE180&lt;&gt;AE179,_xlfn.STDEV.P(IF(AE$9:AE179=AE179,AW$9:AW179)),""),"")</f>
        <v/>
      </c>
      <c r="AT179" s="90">
        <f>IFERROR(IF(AE179&lt;&gt;AE180,MAX((((AQ179*24*60)/2)*(1+POWER((((AR179*24*60) / (AQ179*24*60) )),2))) + ((AQ179*24*60 )*-0.1 + (AO179*0.015)) +1,(((AQ179*24*60)/2)*(1+POWER((((AR179*24*60) / (AQ179*24*60 ))),2)))),""),"")</f>
        <v/>
      </c>
      <c r="AU179" s="90">
        <f>IF(AND(AS179&lt;&gt;"",AP179&lt;&gt;""),IF(AE179&lt;&gt;AE180,((AP179*24*60) / 2 ) * (1 + POWER(((AS179*24*60) / (AP179*24*60)),2)),""),"")</f>
        <v/>
      </c>
      <c r="AV179" s="90">
        <f>IF(AU179&lt;&gt;"",MAX(AT179,AU179),"")</f>
        <v/>
      </c>
      <c r="AW179" s="89">
        <f>IF(AM179&lt;&gt;"H. Sale Real",IF(AND(AM180&lt;&gt;"",LEFT(AG180,2)&lt;&gt;"Va"),IF(AND(AM179&lt;&gt;"",LEFT(AG179,2)&lt;&gt;"Va",AM179&lt;&gt;"H. Sale Real"),IF(AM180-AM179&lt;0.208333333333333,AM180-AM179,""),IF(AND(AM178&lt;&gt;"",LEFT(AG178,2)&lt;&gt;"Va",AM178&lt;&gt;"H. Sale Real"),IF(AM180-AM178&lt;0.208333333333333,AM180-AM178,""),IF(AND(AM177&lt;&gt;"",LEFT(AG177,2)&lt;&gt;"Va",AM177&lt;&gt;"H. Sale Real"),IF(AM180-AM177&lt;0.208333333333333,AM180-AM177,""),IF(AND(AM176&lt;&gt;"",LEFT(AG176,2)&lt;&gt;"Va",AM176&lt;&gt;"H. Sale Real"),IF(AM180-AM176&lt;0.208333333333333,AM180-AM176,""),IF(AND(AM175&lt;&gt;"",LEFT(AG175,2)&lt;&gt;"Va",AM175&lt;&gt;"H. Sale Real"),IF(AM180-AM175&lt;0.208333333333333,AM180-AM175,""),""))))),""),"")</f>
        <v/>
      </c>
      <c r="AX179" s="89">
        <f>IF(AK179&lt;&gt;"H. Sale Real",IF(AND(AK180&lt;&gt;"",LEFT(AG180,2)&lt;&gt;"Va"),IF(AND(AK179&lt;&gt;"",LEFT(AG179,2)&lt;&gt;"Va",AK179&lt;&gt;"H. Sale Real"),IF(AK180-AK179&lt;0.208333333333333,AK180-AK179,""),IF(AND(AK178&lt;&gt;"",LEFT(AG178,2)&lt;&gt;"Va",AK178&lt;&gt;"H. Sale Real"),IF(AK180-AK178&lt;0.208333333333333,AK180-AK178,""),IF(AND(AK177&lt;&gt;"",LEFT(AG177,2)&lt;&gt;"NC",AK177&lt;&gt;"H. Sale Real"),IF(AK180-AK177&lt;0.208333333333333,AK180-AK177,""),IF(AND(AK176&lt;&gt;"",LEFT(AG176,2)&lt;&gt;"Va",AK176&lt;&gt;"H. Sale Real"),IF(AK180-AK176&lt;0.208333333333333,AK180-AK176,""),IF(AND(AK175&lt;&gt;"",LEFT(AG175,2)&lt;&gt;"Va",AK175&lt;&gt;"H. Sale Real"),IF(AK180-AK175&lt;0.208333333333333,AK180-AK175,""),""))))),""),"")</f>
        <v/>
      </c>
      <c r="AY179" s="87" t="n"/>
      <c r="AZ179" s="89" t="n"/>
      <c r="BA179" s="87" t="n"/>
      <c r="BB179" s="89" t="n"/>
      <c r="BC179" s="91" t="n"/>
      <c r="BD179" s="122">
        <f>IF(AK179&lt;&gt;"",IF(AND(BD178&lt;&gt;"IE",AT179&lt;&gt;0,AV179&lt;&gt;""),IF(IFERROR((AT179/AV179),0) &lt;=1,IFERROR(AT179/AV179,""),1),""),"")</f>
        <v/>
      </c>
      <c r="BE179" s="93" t="n"/>
      <c r="BF179" s="105" t="n"/>
      <c r="FC179" t="inlineStr">
        <is>
          <t>Diccionario 1</t>
        </is>
      </c>
      <c r="FD179" s="15" t="n">
        <v>1174</v>
      </c>
      <c r="FE179" s="15" t="inlineStr">
        <is>
          <t>YV3T7U524LA201622</t>
        </is>
      </c>
      <c r="FF179" s="15" t="n">
        <v>508282</v>
      </c>
      <c r="FG179" s="15" t="inlineStr">
        <is>
          <t>Volvo</t>
        </is>
      </c>
      <c r="FH179" s="15" t="inlineStr">
        <is>
          <t>B8RLEA</t>
        </is>
      </c>
      <c r="FI179" s="15" t="inlineStr">
        <is>
          <t>MARCOPOLO</t>
        </is>
      </c>
      <c r="FJ179" s="15" t="inlineStr">
        <is>
          <t>GRAN VIALE</t>
        </is>
      </c>
      <c r="FK179" s="15" t="n">
        <v>2020</v>
      </c>
      <c r="FL179" s="15" t="inlineStr">
        <is>
          <t>C</t>
        </is>
      </c>
      <c r="FM179" s="15" t="inlineStr">
        <is>
          <t>PIE ANDINO</t>
        </is>
      </c>
      <c r="FN179" s="15" t="inlineStr">
        <is>
          <t>Pie Andino 31 (Pie Andino 383)</t>
        </is>
      </c>
      <c r="FO179" s="15" t="inlineStr">
        <is>
          <t>Puente Alto</t>
        </is>
      </c>
      <c r="FP179" t="inlineStr">
        <is>
          <t>C</t>
        </is>
      </c>
      <c r="FS179" s="14" t="inlineStr">
        <is>
          <t>3045 / SFWB-48|</t>
        </is>
      </c>
      <c r="FT179" t="inlineStr">
        <is>
          <t>SFWB-48|</t>
        </is>
      </c>
      <c r="FU179" t="inlineStr">
        <is>
          <t>SFWB-48</t>
        </is>
      </c>
      <c r="FV179">
        <f>VLOOKUP(FU179,FD:FL,9,0)</f>
        <v/>
      </c>
      <c r="HA179" s="35" t="n">
        <v>176</v>
      </c>
      <c r="HB179" s="35" t="n">
        <v>173</v>
      </c>
    </row>
    <row r="180" ht="15.5" customHeight="1">
      <c r="A180" s="10">
        <f>HOUR(G180)+1</f>
        <v/>
      </c>
      <c r="B180" s="7" t="n"/>
      <c r="C180" s="7" t="n"/>
      <c r="D180" s="85">
        <f>IFERROR(
IF(AND(OR(Planilla!B180="C",Planilla!B180="c"), VLOOKUP(E180,FD:FP,13,0)="C"), "OK",IF(AND(OR(Planilla!B180="C",Planilla!B180="c"), OR(VLOOKUP(E180,FD:FP,13,0)="B", VLOOKUP(E180,FD:FP,13,0)="A")), "DEFICIT",IF(
AND(OR(Planilla!B180="B", Planilla!B180="BPAL"), VLOOKUP(E180,FD:FP,13,0)="B"), "OK",IF(AND(OR(Planilla!B180="B", Planilla!B180="BPAL"), VLOOKUP(E180,FD:FP,13,0)="A"), "DEFICIT",IF(AND(OR(Planilla!B180="B", Planilla!B180="BPAL"), VLOOKUP(E180,FD:FP,13,0)="C"), "SOBREOFERTA",IF(AND(Planilla!B180="A", VLOOKUP(E180,FD:FP,13,0)="A"), "OK",IF(
AND(Planilla!B180="A", OR(VLOOKUP(E180,FD:FP,13,0)="B", VLOOKUP(E180,FD:FP,13,0)="C")), "SOBREOFERTA",""
))))))),"")</f>
        <v/>
      </c>
      <c r="E180" s="8" t="n"/>
      <c r="F180" s="86" t="n"/>
      <c r="G180" s="87" t="n"/>
      <c r="H180" s="88">
        <f>IF(I180="","",IF(AND((I180-G180)&gt;=TIME(0,0,0),(I180-G180)&lt;TIME(0,3,0)),"OK",IF(AND((I180-G180)&gt;=TIME(0,3,0),(I180-G180)&lt;TIME(0,5,0)),"RETRASO DE 3-5 MIN",IF(AND((I180-G180)&gt;=TIME(0,5,0),(I180-G180)&lt;TIME(0,10,0)),"RETRASO DE 5-10 MIN",IF((I180-G180)&gt;=TIME(0,10,0),"RETRASO &gt;10 MIN", IF(AND((G180-I180)&gt;=TIME(0,0,0),(G180-I180)&lt;TIME(0,3,0)),"OK",IF((G180-I180)&gt;=TIME(0,3,0),"ADELANTADO")))))))</f>
        <v/>
      </c>
      <c r="I180" s="89" t="n"/>
      <c r="J180" s="89">
        <f>IF(A180&lt;&gt;"",HLOOKUP(VALUE(TEXT(G180,"h:mm:ss")),IF($C$6="Laboral",$FZ$4:$GX$227,IF($C$6="Sábado",$FZ$231:$GX$452,$FZ$456:$GX$656)),VLOOKUP($C$4,$HF$2:$HH$99,3,0)+IF(C$5="Ida",0,1),1),"")</f>
        <v/>
      </c>
      <c r="K180" s="89">
        <f>IF(A181&lt;&gt;A180,AVERAGEIF(A$9:A180,A180,J$9:J180),"")</f>
        <v/>
      </c>
      <c r="L180" s="89">
        <f>IFERROR(IF(A181&lt;&gt;A180,AVERAGEIF(A$9:A180,A180,S$9:S180),""),"")</f>
        <v/>
      </c>
      <c r="M180" s="89">
        <f>IFERROR(IF(A181&lt;&gt;A180,AVERAGEIF(A$9:A180,A180,T$9:T180),""),"")</f>
        <v/>
      </c>
      <c r="N180" s="89">
        <f t="array" ref="N180">IFERROR(IF(A181&lt;&gt;A180,_xlfn.STDEV.P(IF(A$9:A180=A180,T$9:T180)),""),"")</f>
        <v/>
      </c>
      <c r="O180" s="89">
        <f t="array" ref="O180">IFERROR(IF(A181&lt;&gt;A180,_xlfn.STDEV.P(IF(A$9:A180=A180,S$9:S180)),""),"")</f>
        <v/>
      </c>
      <c r="P180" s="90">
        <f>IFERROR(IF(A180&lt;&gt;A181,MAX((((M180*24*60)/2)*(1+POWER((((N180*24*60) / (M180*24*60) )),2))) + ((M180*24*60 )*-0.1 + (K180*0.015)) +1,(((M180*24*60)/2)*(1+POWER((((N180*24*60) / (M180*24*60 ))),2)))),""),"")</f>
        <v/>
      </c>
      <c r="Q180" s="90">
        <f>IF(AND(O180&lt;&gt;"",L180&lt;&gt;""),IF(A180&lt;&gt;A181,((L180*24*60) / 2 ) * (1 + POWER(((O180*24*60) / (L180*24*60)),2)),""),"")</f>
        <v/>
      </c>
      <c r="R180" s="90">
        <f>IF(Q180&lt;&gt;"",MAX(P180,Q180),"")</f>
        <v/>
      </c>
      <c r="S180" s="89">
        <f>IF(I180&lt;&gt;"H. Sale Real",IF(AND(I181&lt;&gt;"",LEFT(C181,2)&lt;&gt;"Va"),IF(AND(I180&lt;&gt;"",LEFT(C180,2)&lt;&gt;"Va",I180&lt;&gt;"H. Sale Real"),IF(I181-I180&lt;0.208333333333333,I181-I180,""),IF(AND(I179&lt;&gt;"",LEFT(C179,2)&lt;&gt;"Va",I179&lt;&gt;"H. Sale Real"),IF(I181-I179&lt;0.208333333333333,I181-I179,""),IF(AND(I178&lt;&gt;"",LEFT(C178,2)&lt;&gt;"Va",I178&lt;&gt;"H. Sale Real"),IF(I181-I178&lt;0.208333333333333,I181-I178,""),IF(AND(I177&lt;&gt;"",LEFT(C177,2)&lt;&gt;"Va",I177&lt;&gt;"H. Sale Real"),IF(I181-I177&lt;0.208333333333333,I181-I177,""),IF(AND(I176&lt;&gt;"",LEFT(C176,2)&lt;&gt;"Va",I176&lt;&gt;"H. Sale Real"),IF(I181-I176&lt;0.208333333333333,I181-I176,""),""))))),""),"")</f>
        <v/>
      </c>
      <c r="T180" s="89">
        <f>IF(G180&lt;&gt;"H. Sale Real",IF(AND(G181&lt;&gt;"",LEFT(C181,2)&lt;&gt;"Va"),IF(AND(G180&lt;&gt;"",LEFT(C180,2)&lt;&gt;"Va",G180&lt;&gt;"H. Sale Real"),IF(G181-G180&lt;0.208333333333333,G181-G180,""),IF(AND(G179&lt;&gt;"",LEFT(C179,2)&lt;&gt;"Va",G179&lt;&gt;"H. Sale Real"),IF(G181-G179&lt;0.208333333333333,G181-G179,""),IF(AND(G178&lt;&gt;"",LEFT(C178,2)&lt;&gt;"Va",G178&lt;&gt;"H. Sale Real"),IF(G181-G178&lt;0.208333333333333,G181-G178,""),IF(AND(G177&lt;&gt;"",LEFT(C177,2)&lt;&gt;"Va",G177&lt;&gt;"H. Sale Real"),IF(G181-G177&lt;0.208333333333333,G181-G177,""),IF(AND(G176&lt;&gt;"",LEFT(C176,2)&lt;&gt;"Va",G176&lt;&gt;"H. Sale Real"),IF(G181-G176&lt;0.208333333333333,G181-G176,""),""))))),""),"")</f>
        <v/>
      </c>
      <c r="U180" s="87" t="n"/>
      <c r="V180" s="89" t="n"/>
      <c r="W180" s="87" t="n"/>
      <c r="X180" s="89" t="n"/>
      <c r="Y180" s="91" t="n"/>
      <c r="Z180" s="122">
        <f>IF(G180&lt;&gt;"",IF(AND(Z179&lt;&gt;"IE",P180&lt;&gt;0,R180&lt;&gt;""),IF(IFERROR((P180/R180),0) &lt;=1,IFERROR(P180/R180,""),1),""),"")</f>
        <v/>
      </c>
      <c r="AA180" s="93" t="n"/>
      <c r="AB180" s="2" t="n"/>
      <c r="AE180" s="10">
        <f>HOUR(AK180)+1</f>
        <v/>
      </c>
      <c r="AF180" s="7" t="n"/>
      <c r="AG180" s="7" t="n"/>
      <c r="AH180" s="86" t="n"/>
      <c r="AI180" s="8" t="n"/>
      <c r="AJ180" s="86" t="n"/>
      <c r="AK180" s="87" t="n"/>
      <c r="AL180" s="88">
        <f>IF(AM180="","",IF(AND((AM180-AK180)&gt;=TIME(0,0,0),(AM180-AK180)&lt;TIME(0,3,0)),"OK",IF(AND((AM180-AK180)&gt;=TIME(0,3,0),(AM180-AK180)&lt;TIME(0,5,0)),"RETRASO DE 3-5 MIN",IF(AND((AM180-AK180)&gt;=TIME(0,5,0),(AM180-AK180)&lt;TIME(0,10,0)),"RETRASO DE 5-10 MIN",IF((AM180-AK180)&gt;=TIME(0,10,0),"RETRASO &gt;10 MIN", IF(AND((AK180-AM180)&gt;=TIME(0,0,0),(AK180-AM180)&lt;TIME(0,3,0)),"OK",IF((AK180-AM180)&gt;=TIME(0,3,0),"ADELANTADO")))))))</f>
        <v/>
      </c>
      <c r="AM180" s="91" t="n"/>
      <c r="AN180" s="89">
        <f>IF(AE180&lt;&gt;"",HLOOKUP(VALUE(TEXT(AK180,"h:mm:ss")),IF($C$6="Laboral",$FZ$4:$GX$227,IF($C$6="Sábado",$FZ$231:$GX$452,$FZ$456:$GX$656)),VLOOKUP($C$4,$HF$2:$HH$99,3,0)+IF(AG$5="Ida",0,1),1),"")</f>
        <v/>
      </c>
      <c r="AO180" s="89">
        <f>IF(AE181&lt;&gt;AE180,AVERAGEIF(AE$9:AE180,AE180,AN$9:AN180),"")</f>
        <v/>
      </c>
      <c r="AP180" s="89">
        <f>IFERROR(IF(AE181&lt;&gt;AE180,AVERAGEIF(AE$9:AE180,AE180,AW$9:AW180),""),"")</f>
        <v/>
      </c>
      <c r="AQ180" s="89">
        <f>IFERROR(IF(AE181&lt;&gt;AE180,AVERAGEIF(AE$9:AE180,AE180,AX$9:AX180),""),"")</f>
        <v/>
      </c>
      <c r="AR180" s="89">
        <f t="array" ref="AR180">IFERROR(IF(AE181&lt;&gt;AE180,_xlfn.STDEV.P(IF(AE$9:AE180=AE180,AX$9:AX180)),""),"")</f>
        <v/>
      </c>
      <c r="AS180" s="89">
        <f t="array" ref="AS180">IFERROR(IF(AE181&lt;&gt;AE180,_xlfn.STDEV.P(IF(AE$9:AE180=AE180,AW$9:AW180)),""),"")</f>
        <v/>
      </c>
      <c r="AT180" s="90">
        <f>IFERROR(IF(AE180&lt;&gt;AE181,MAX((((AQ180*24*60)/2)*(1+POWER((((AR180*24*60) / (AQ180*24*60) )),2))) + ((AQ180*24*60 )*-0.1 + (AO180*0.015)) +1,(((AQ180*24*60)/2)*(1+POWER((((AR180*24*60) / (AQ180*24*60 ))),2)))),""),"")</f>
        <v/>
      </c>
      <c r="AU180" s="90">
        <f>IF(AND(AS180&lt;&gt;"",AP180&lt;&gt;""),IF(AE180&lt;&gt;AE181,((AP180*24*60) / 2 ) * (1 + POWER(((AS180*24*60) / (AP180*24*60)),2)),""),"")</f>
        <v/>
      </c>
      <c r="AV180" s="90">
        <f>IF(AU180&lt;&gt;"",MAX(AT180,AU180),"")</f>
        <v/>
      </c>
      <c r="AW180" s="89">
        <f>IF(AM180&lt;&gt;"H. Sale Real",IF(AND(AM181&lt;&gt;"",LEFT(AG181,2)&lt;&gt;"Va"),IF(AND(AM180&lt;&gt;"",LEFT(AG180,2)&lt;&gt;"Va",AM180&lt;&gt;"H. Sale Real"),IF(AM181-AM180&lt;0.208333333333333,AM181-AM180,""),IF(AND(AM179&lt;&gt;"",LEFT(AG179,2)&lt;&gt;"Va",AM179&lt;&gt;"H. Sale Real"),IF(AM181-AM179&lt;0.208333333333333,AM181-AM179,""),IF(AND(AM178&lt;&gt;"",LEFT(AG178,2)&lt;&gt;"Va",AM178&lt;&gt;"H. Sale Real"),IF(AM181-AM178&lt;0.208333333333333,AM181-AM178,""),IF(AND(AM177&lt;&gt;"",LEFT(AG177,2)&lt;&gt;"Va",AM177&lt;&gt;"H. Sale Real"),IF(AM181-AM177&lt;0.208333333333333,AM181-AM177,""),IF(AND(AM176&lt;&gt;"",LEFT(AG176,2)&lt;&gt;"Va",AM176&lt;&gt;"H. Sale Real"),IF(AM181-AM176&lt;0.208333333333333,AM181-AM176,""),""))))),""),"")</f>
        <v/>
      </c>
      <c r="AX180" s="89">
        <f>IF(AK180&lt;&gt;"H. Sale Real",IF(AND(AK181&lt;&gt;"",LEFT(AG181,2)&lt;&gt;"Va"),IF(AND(AK180&lt;&gt;"",LEFT(AG180,2)&lt;&gt;"Va",AK180&lt;&gt;"H. Sale Real"),IF(AK181-AK180&lt;0.208333333333333,AK181-AK180,""),IF(AND(AK179&lt;&gt;"",LEFT(AG179,2)&lt;&gt;"Va",AK179&lt;&gt;"H. Sale Real"),IF(AK181-AK179&lt;0.208333333333333,AK181-AK179,""),IF(AND(AK178&lt;&gt;"",LEFT(AG178,2)&lt;&gt;"NC",AK178&lt;&gt;"H. Sale Real"),IF(AK181-AK178&lt;0.208333333333333,AK181-AK178,""),IF(AND(AK177&lt;&gt;"",LEFT(AG177,2)&lt;&gt;"Va",AK177&lt;&gt;"H. Sale Real"),IF(AK181-AK177&lt;0.208333333333333,AK181-AK177,""),IF(AND(AK176&lt;&gt;"",LEFT(AG176,2)&lt;&gt;"Va",AK176&lt;&gt;"H. Sale Real"),IF(AK181-AK176&lt;0.208333333333333,AK181-AK176,""),""))))),""),"")</f>
        <v/>
      </c>
      <c r="AY180" s="87" t="n"/>
      <c r="AZ180" s="89" t="n"/>
      <c r="BA180" s="87" t="n"/>
      <c r="BB180" s="89" t="n"/>
      <c r="BC180" s="91" t="n"/>
      <c r="BD180" s="122">
        <f>IF(AK180&lt;&gt;"",IF(AND(BD179&lt;&gt;"IE",AT180&lt;&gt;0,AV180&lt;&gt;""),IF(IFERROR((AT180/AV180),0) &lt;=1,IFERROR(AT180/AV180,""),1),""),"")</f>
        <v/>
      </c>
      <c r="BE180" s="93" t="n"/>
      <c r="BF180" s="105" t="n"/>
      <c r="FC180" t="inlineStr">
        <is>
          <t>Diccionario 1</t>
        </is>
      </c>
      <c r="FD180" s="15" t="n">
        <v>1227</v>
      </c>
      <c r="FE180" s="15" t="inlineStr">
        <is>
          <t>YV3T7U52XLA201544</t>
        </is>
      </c>
      <c r="FF180" s="15" t="n">
        <v>508121</v>
      </c>
      <c r="FG180" s="15" t="inlineStr">
        <is>
          <t>Volvo</t>
        </is>
      </c>
      <c r="FH180" s="15" t="inlineStr">
        <is>
          <t>B8RLEA</t>
        </is>
      </c>
      <c r="FI180" s="15" t="inlineStr">
        <is>
          <t>MARCOPOLO</t>
        </is>
      </c>
      <c r="FJ180" s="15" t="inlineStr">
        <is>
          <t>GRAN VIALE</t>
        </is>
      </c>
      <c r="FK180" s="15" t="n">
        <v>2020</v>
      </c>
      <c r="FL180" s="15" t="inlineStr">
        <is>
          <t>C</t>
        </is>
      </c>
      <c r="FM180" s="15" t="inlineStr">
        <is>
          <t>SAN ALFONSO</t>
        </is>
      </c>
      <c r="FN180" s="15" t="inlineStr">
        <is>
          <t>San Alfonso 2141 (Ramón Subercaseaux 3060)</t>
        </is>
      </c>
      <c r="FO180" s="15" t="inlineStr">
        <is>
          <t>Estacion Central</t>
        </is>
      </c>
      <c r="FP180" t="inlineStr">
        <is>
          <t>C</t>
        </is>
      </c>
      <c r="FS180" s="14" t="inlineStr">
        <is>
          <t>3045 / SFWB-48|</t>
        </is>
      </c>
      <c r="FT180" t="inlineStr">
        <is>
          <t>SFWB-48|</t>
        </is>
      </c>
      <c r="FU180" t="inlineStr">
        <is>
          <t>SFWB-48</t>
        </is>
      </c>
      <c r="FV180">
        <f>VLOOKUP(FU180,FD:FL,9,0)</f>
        <v/>
      </c>
      <c r="HA180" s="35" t="n">
        <v>177</v>
      </c>
      <c r="HB180" s="35" t="n">
        <v>174</v>
      </c>
    </row>
    <row r="181" ht="15.5" customHeight="1">
      <c r="A181" s="10">
        <f>HOUR(G181)+1</f>
        <v/>
      </c>
      <c r="B181" s="7" t="n"/>
      <c r="C181" s="7" t="n"/>
      <c r="D181" s="85">
        <f>IFERROR(
IF(AND(OR(Planilla!B181="C",Planilla!B181="c"), VLOOKUP(E181,FD:FP,13,0)="C"), "OK",IF(AND(OR(Planilla!B181="C",Planilla!B181="c"), OR(VLOOKUP(E181,FD:FP,13,0)="B", VLOOKUP(E181,FD:FP,13,0)="A")), "DEFICIT",IF(
AND(OR(Planilla!B181="B", Planilla!B181="BPAL"), VLOOKUP(E181,FD:FP,13,0)="B"), "OK",IF(AND(OR(Planilla!B181="B", Planilla!B181="BPAL"), VLOOKUP(E181,FD:FP,13,0)="A"), "DEFICIT",IF(AND(OR(Planilla!B181="B", Planilla!B181="BPAL"), VLOOKUP(E181,FD:FP,13,0)="C"), "SOBREOFERTA",IF(AND(Planilla!B181="A", VLOOKUP(E181,FD:FP,13,0)="A"), "OK",IF(
AND(Planilla!B181="A", OR(VLOOKUP(E181,FD:FP,13,0)="B", VLOOKUP(E181,FD:FP,13,0)="C")), "SOBREOFERTA",""
))))))),"")</f>
        <v/>
      </c>
      <c r="E181" s="8" t="n"/>
      <c r="F181" s="86" t="n"/>
      <c r="G181" s="87" t="n"/>
      <c r="H181" s="88">
        <f>IF(I181="","",IF(AND((I181-G181)&gt;=TIME(0,0,0),(I181-G181)&lt;TIME(0,3,0)),"OK",IF(AND((I181-G181)&gt;=TIME(0,3,0),(I181-G181)&lt;TIME(0,5,0)),"RETRASO DE 3-5 MIN",IF(AND((I181-G181)&gt;=TIME(0,5,0),(I181-G181)&lt;TIME(0,10,0)),"RETRASO DE 5-10 MIN",IF((I181-G181)&gt;=TIME(0,10,0),"RETRASO &gt;10 MIN", IF(AND((G181-I181)&gt;=TIME(0,0,0),(G181-I181)&lt;TIME(0,3,0)),"OK",IF((G181-I181)&gt;=TIME(0,3,0),"ADELANTADO")))))))</f>
        <v/>
      </c>
      <c r="I181" s="89" t="n"/>
      <c r="J181" s="89">
        <f>IF(A181&lt;&gt;"",HLOOKUP(VALUE(TEXT(G181,"h:mm:ss")),IF($C$6="Laboral",$FZ$4:$GX$227,IF($C$6="Sábado",$FZ$231:$GX$452,$FZ$456:$GX$656)),VLOOKUP($C$4,$HF$2:$HH$99,3,0)+IF(C$5="Ida",0,1),1),"")</f>
        <v/>
      </c>
      <c r="K181" s="89">
        <f>IF(A182&lt;&gt;A181,AVERAGEIF(A$9:A181,A181,J$9:J181),"")</f>
        <v/>
      </c>
      <c r="L181" s="89">
        <f>IFERROR(IF(A182&lt;&gt;A181,AVERAGEIF(A$9:A181,A181,S$9:S181),""),"")</f>
        <v/>
      </c>
      <c r="M181" s="89">
        <f>IFERROR(IF(A182&lt;&gt;A181,AVERAGEIF(A$9:A181,A181,T$9:T181),""),"")</f>
        <v/>
      </c>
      <c r="N181" s="89">
        <f t="array" ref="N181">IFERROR(IF(A182&lt;&gt;A181,_xlfn.STDEV.P(IF(A$9:A181=A181,T$9:T181)),""),"")</f>
        <v/>
      </c>
      <c r="O181" s="89">
        <f t="array" ref="O181">IFERROR(IF(A182&lt;&gt;A181,_xlfn.STDEV.P(IF(A$9:A181=A181,S$9:S181)),""),"")</f>
        <v/>
      </c>
      <c r="P181" s="90">
        <f>IFERROR(IF(A181&lt;&gt;A182,MAX((((M181*24*60)/2)*(1+POWER((((N181*24*60) / (M181*24*60) )),2))) + ((M181*24*60 )*-0.1 + (K181*0.015)) +1,(((M181*24*60)/2)*(1+POWER((((N181*24*60) / (M181*24*60 ))),2)))),""),"")</f>
        <v/>
      </c>
      <c r="Q181" s="90">
        <f>IF(AND(O181&lt;&gt;"",L181&lt;&gt;""),IF(A181&lt;&gt;A182,((L181*24*60) / 2 ) * (1 + POWER(((O181*24*60) / (L181*24*60)),2)),""),"")</f>
        <v/>
      </c>
      <c r="R181" s="90">
        <f>IF(Q181&lt;&gt;"",MAX(P181,Q181),"")</f>
        <v/>
      </c>
      <c r="S181" s="89">
        <f>IF(I181&lt;&gt;"H. Sale Real",IF(AND(I182&lt;&gt;"",LEFT(C182,2)&lt;&gt;"Va"),IF(AND(I181&lt;&gt;"",LEFT(C181,2)&lt;&gt;"Va",I181&lt;&gt;"H. Sale Real"),IF(I182-I181&lt;0.208333333333333,I182-I181,""),IF(AND(I180&lt;&gt;"",LEFT(C180,2)&lt;&gt;"Va",I180&lt;&gt;"H. Sale Real"),IF(I182-I180&lt;0.208333333333333,I182-I180,""),IF(AND(I179&lt;&gt;"",LEFT(C179,2)&lt;&gt;"Va",I179&lt;&gt;"H. Sale Real"),IF(I182-I179&lt;0.208333333333333,I182-I179,""),IF(AND(I178&lt;&gt;"",LEFT(C178,2)&lt;&gt;"Va",I178&lt;&gt;"H. Sale Real"),IF(I182-I178&lt;0.208333333333333,I182-I178,""),IF(AND(I177&lt;&gt;"",LEFT(C177,2)&lt;&gt;"Va",I177&lt;&gt;"H. Sale Real"),IF(I182-I177&lt;0.208333333333333,I182-I177,""),""))))),""),"")</f>
        <v/>
      </c>
      <c r="T181" s="89">
        <f>IF(G181&lt;&gt;"H. Sale Real",IF(AND(G182&lt;&gt;"",LEFT(C182,2)&lt;&gt;"Va"),IF(AND(G181&lt;&gt;"",LEFT(C181,2)&lt;&gt;"Va",G181&lt;&gt;"H. Sale Real"),IF(G182-G181&lt;0.208333333333333,G182-G181,""),IF(AND(G180&lt;&gt;"",LEFT(C180,2)&lt;&gt;"Va",G180&lt;&gt;"H. Sale Real"),IF(G182-G180&lt;0.208333333333333,G182-G180,""),IF(AND(G179&lt;&gt;"",LEFT(C179,2)&lt;&gt;"Va",G179&lt;&gt;"H. Sale Real"),IF(G182-G179&lt;0.208333333333333,G182-G179,""),IF(AND(G178&lt;&gt;"",LEFT(C178,2)&lt;&gt;"Va",G178&lt;&gt;"H. Sale Real"),IF(G182-G178&lt;0.208333333333333,G182-G178,""),IF(AND(G177&lt;&gt;"",LEFT(C177,2)&lt;&gt;"Va",G177&lt;&gt;"H. Sale Real"),IF(G182-G177&lt;0.208333333333333,G182-G177,""),""))))),""),"")</f>
        <v/>
      </c>
      <c r="U181" s="87" t="n"/>
      <c r="V181" s="89" t="n"/>
      <c r="W181" s="87" t="n"/>
      <c r="X181" s="89" t="n"/>
      <c r="Y181" s="91" t="n"/>
      <c r="Z181" s="122">
        <f>IF(G181&lt;&gt;"",IF(AND(Z180&lt;&gt;"IE",P181&lt;&gt;0,R181&lt;&gt;""),IF(IFERROR((P181/R181),0) &lt;=1,IFERROR(P181/R181,""),1),""),"")</f>
        <v/>
      </c>
      <c r="AA181" s="93" t="n"/>
      <c r="AB181" s="2" t="n"/>
      <c r="AE181" s="10">
        <f>HOUR(AK181)+1</f>
        <v/>
      </c>
      <c r="AF181" s="7" t="n"/>
      <c r="AG181" s="7" t="n"/>
      <c r="AH181" s="86" t="n"/>
      <c r="AI181" s="8" t="n"/>
      <c r="AJ181" s="86" t="n"/>
      <c r="AK181" s="87" t="n"/>
      <c r="AL181" s="88">
        <f>IF(AM181="","",IF(AND((AM181-AK181)&gt;=TIME(0,0,0),(AM181-AK181)&lt;TIME(0,3,0)),"OK",IF(AND((AM181-AK181)&gt;=TIME(0,3,0),(AM181-AK181)&lt;TIME(0,5,0)),"RETRASO DE 3-5 MIN",IF(AND((AM181-AK181)&gt;=TIME(0,5,0),(AM181-AK181)&lt;TIME(0,10,0)),"RETRASO DE 5-10 MIN",IF((AM181-AK181)&gt;=TIME(0,10,0),"RETRASO &gt;10 MIN", IF(AND((AK181-AM181)&gt;=TIME(0,0,0),(AK181-AM181)&lt;TIME(0,3,0)),"OK",IF((AK181-AM181)&gt;=TIME(0,3,0),"ADELANTADO")))))))</f>
        <v/>
      </c>
      <c r="AM181" s="91" t="n"/>
      <c r="AN181" s="89">
        <f>IF(AE181&lt;&gt;"",HLOOKUP(VALUE(TEXT(AK181,"h:mm:ss")),IF($C$6="Laboral",$FZ$4:$GX$227,IF($C$6="Sábado",$FZ$231:$GX$452,$FZ$456:$GX$656)),VLOOKUP($C$4,$HF$2:$HH$99,3,0)+IF(AG$5="Ida",0,1),1),"")</f>
        <v/>
      </c>
      <c r="AO181" s="89">
        <f>IF(AE182&lt;&gt;AE181,AVERAGEIF(AE$9:AE181,AE181,AN$9:AN181),"")</f>
        <v/>
      </c>
      <c r="AP181" s="89">
        <f>IFERROR(IF(AE182&lt;&gt;AE181,AVERAGEIF(AE$9:AE181,AE181,AW$9:AW181),""),"")</f>
        <v/>
      </c>
      <c r="AQ181" s="89">
        <f>IFERROR(IF(AE182&lt;&gt;AE181,AVERAGEIF(AE$9:AE181,AE181,AX$9:AX181),""),"")</f>
        <v/>
      </c>
      <c r="AR181" s="89">
        <f t="array" ref="AR181">IFERROR(IF(AE182&lt;&gt;AE181,_xlfn.STDEV.P(IF(AE$9:AE181=AE181,AX$9:AX181)),""),"")</f>
        <v/>
      </c>
      <c r="AS181" s="89">
        <f t="array" ref="AS181">IFERROR(IF(AE182&lt;&gt;AE181,_xlfn.STDEV.P(IF(AE$9:AE181=AE181,AW$9:AW181)),""),"")</f>
        <v/>
      </c>
      <c r="AT181" s="90">
        <f>IFERROR(IF(AE181&lt;&gt;AE182,MAX((((AQ181*24*60)/2)*(1+POWER((((AR181*24*60) / (AQ181*24*60) )),2))) + ((AQ181*24*60 )*-0.1 + (AO181*0.015)) +1,(((AQ181*24*60)/2)*(1+POWER((((AR181*24*60) / (AQ181*24*60 ))),2)))),""),"")</f>
        <v/>
      </c>
      <c r="AU181" s="90">
        <f>IF(AND(AS181&lt;&gt;"",AP181&lt;&gt;""),IF(AE181&lt;&gt;AE182,((AP181*24*60) / 2 ) * (1 + POWER(((AS181*24*60) / (AP181*24*60)),2)),""),"")</f>
        <v/>
      </c>
      <c r="AV181" s="90">
        <f>IF(AU181&lt;&gt;"",MAX(AT181,AU181),"")</f>
        <v/>
      </c>
      <c r="AW181" s="89">
        <f>IF(AM181&lt;&gt;"H. Sale Real",IF(AND(AM182&lt;&gt;"",LEFT(AG182,2)&lt;&gt;"Va"),IF(AND(AM181&lt;&gt;"",LEFT(AG181,2)&lt;&gt;"Va",AM181&lt;&gt;"H. Sale Real"),IF(AM182-AM181&lt;0.208333333333333,AM182-AM181,""),IF(AND(AM180&lt;&gt;"",LEFT(AG180,2)&lt;&gt;"Va",AM180&lt;&gt;"H. Sale Real"),IF(AM182-AM180&lt;0.208333333333333,AM182-AM180,""),IF(AND(AM179&lt;&gt;"",LEFT(AG179,2)&lt;&gt;"Va",AM179&lt;&gt;"H. Sale Real"),IF(AM182-AM179&lt;0.208333333333333,AM182-AM179,""),IF(AND(AM178&lt;&gt;"",LEFT(AG178,2)&lt;&gt;"Va",AM178&lt;&gt;"H. Sale Real"),IF(AM182-AM178&lt;0.208333333333333,AM182-AM178,""),IF(AND(AM177&lt;&gt;"",LEFT(AG177,2)&lt;&gt;"Va",AM177&lt;&gt;"H. Sale Real"),IF(AM182-AM177&lt;0.208333333333333,AM182-AM177,""),""))))),""),"")</f>
        <v/>
      </c>
      <c r="AX181" s="89">
        <f>IF(AK181&lt;&gt;"H. Sale Real",IF(AND(AK182&lt;&gt;"",LEFT(AG182,2)&lt;&gt;"Va"),IF(AND(AK181&lt;&gt;"",LEFT(AG181,2)&lt;&gt;"Va",AK181&lt;&gt;"H. Sale Real"),IF(AK182-AK181&lt;0.208333333333333,AK182-AK181,""),IF(AND(AK180&lt;&gt;"",LEFT(AG180,2)&lt;&gt;"Va",AK180&lt;&gt;"H. Sale Real"),IF(AK182-AK180&lt;0.208333333333333,AK182-AK180,""),IF(AND(AK179&lt;&gt;"",LEFT(AG179,2)&lt;&gt;"NC",AK179&lt;&gt;"H. Sale Real"),IF(AK182-AK179&lt;0.208333333333333,AK182-AK179,""),IF(AND(AK178&lt;&gt;"",LEFT(AG178,2)&lt;&gt;"Va",AK178&lt;&gt;"H. Sale Real"),IF(AK182-AK178&lt;0.208333333333333,AK182-AK178,""),IF(AND(AK177&lt;&gt;"",LEFT(AG177,2)&lt;&gt;"Va",AK177&lt;&gt;"H. Sale Real"),IF(AK182-AK177&lt;0.208333333333333,AK182-AK177,""),""))))),""),"")</f>
        <v/>
      </c>
      <c r="AY181" s="87" t="n"/>
      <c r="AZ181" s="89" t="n"/>
      <c r="BA181" s="87" t="n"/>
      <c r="BB181" s="89" t="n"/>
      <c r="BC181" s="91" t="n"/>
      <c r="BD181" s="122">
        <f>IF(AK181&lt;&gt;"",IF(AND(BD180&lt;&gt;"IE",AT181&lt;&gt;0,AV181&lt;&gt;""),IF(IFERROR((AT181/AV181),0) &lt;=1,IFERROR(AT181/AV181,""),1),""),"")</f>
        <v/>
      </c>
      <c r="BE181" s="93" t="n"/>
      <c r="BF181" s="105" t="n"/>
      <c r="FC181" t="inlineStr">
        <is>
          <t>Diccionario 1</t>
        </is>
      </c>
      <c r="FD181" s="15" t="n">
        <v>1228</v>
      </c>
      <c r="FE181" s="15" t="inlineStr">
        <is>
          <t>YV3T7U528LA198725</t>
        </is>
      </c>
      <c r="FF181" s="15" t="n">
        <v>508224</v>
      </c>
      <c r="FG181" s="15" t="inlineStr">
        <is>
          <t>Volvo</t>
        </is>
      </c>
      <c r="FH181" s="15" t="inlineStr">
        <is>
          <t>B8RLEA</t>
        </is>
      </c>
      <c r="FI181" s="15" t="inlineStr">
        <is>
          <t>MARCOPOLO</t>
        </is>
      </c>
      <c r="FJ181" s="15" t="inlineStr">
        <is>
          <t>GRAN VIALE</t>
        </is>
      </c>
      <c r="FK181" s="15" t="n">
        <v>2020</v>
      </c>
      <c r="FL181" s="15" t="inlineStr">
        <is>
          <t>C</t>
        </is>
      </c>
      <c r="FM181" s="15" t="inlineStr">
        <is>
          <t>SAN ALFONSO</t>
        </is>
      </c>
      <c r="FN181" s="15" t="inlineStr">
        <is>
          <t>San Alfonso 2141 (Ramón Subercaseaux 3060)</t>
        </is>
      </c>
      <c r="FO181" s="15" t="inlineStr">
        <is>
          <t>Estacion Central</t>
        </is>
      </c>
      <c r="FP181" t="inlineStr">
        <is>
          <t>C</t>
        </is>
      </c>
      <c r="FS181" s="14" t="inlineStr">
        <is>
          <t>3045 / SFWB-48|</t>
        </is>
      </c>
      <c r="FT181" t="inlineStr">
        <is>
          <t>SFWB-48|</t>
        </is>
      </c>
      <c r="FU181" t="inlineStr">
        <is>
          <t>SFWB-48</t>
        </is>
      </c>
      <c r="FV181">
        <f>VLOOKUP(FU181,FD:FL,9,0)</f>
        <v/>
      </c>
      <c r="HA181" s="35" t="n">
        <v>178</v>
      </c>
      <c r="HB181" s="35" t="n">
        <v>175</v>
      </c>
    </row>
    <row r="182" ht="15.5" customHeight="1">
      <c r="A182" s="10">
        <f>HOUR(G182)+1</f>
        <v/>
      </c>
      <c r="B182" s="7" t="n"/>
      <c r="C182" s="7" t="n"/>
      <c r="D182" s="85">
        <f>IFERROR(
IF(AND(OR(Planilla!B182="C",Planilla!B182="c"), VLOOKUP(E182,FD:FP,13,0)="C"), "OK",IF(AND(OR(Planilla!B182="C",Planilla!B182="c"), OR(VLOOKUP(E182,FD:FP,13,0)="B", VLOOKUP(E182,FD:FP,13,0)="A")), "DEFICIT",IF(
AND(OR(Planilla!B182="B", Planilla!B182="BPAL"), VLOOKUP(E182,FD:FP,13,0)="B"), "OK",IF(AND(OR(Planilla!B182="B", Planilla!B182="BPAL"), VLOOKUP(E182,FD:FP,13,0)="A"), "DEFICIT",IF(AND(OR(Planilla!B182="B", Planilla!B182="BPAL"), VLOOKUP(E182,FD:FP,13,0)="C"), "SOBREOFERTA",IF(AND(Planilla!B182="A", VLOOKUP(E182,FD:FP,13,0)="A"), "OK",IF(
AND(Planilla!B182="A", OR(VLOOKUP(E182,FD:FP,13,0)="B", VLOOKUP(E182,FD:FP,13,0)="C")), "SOBREOFERTA",""
))))))),"")</f>
        <v/>
      </c>
      <c r="E182" s="8" t="n"/>
      <c r="F182" s="86" t="n"/>
      <c r="G182" s="87" t="n"/>
      <c r="H182" s="88">
        <f>IF(I182="","",IF(AND((I182-G182)&gt;=TIME(0,0,0),(I182-G182)&lt;TIME(0,3,0)),"OK",IF(AND((I182-G182)&gt;=TIME(0,3,0),(I182-G182)&lt;TIME(0,5,0)),"RETRASO DE 3-5 MIN",IF(AND((I182-G182)&gt;=TIME(0,5,0),(I182-G182)&lt;TIME(0,10,0)),"RETRASO DE 5-10 MIN",IF((I182-G182)&gt;=TIME(0,10,0),"RETRASO &gt;10 MIN", IF(AND((G182-I182)&gt;=TIME(0,0,0),(G182-I182)&lt;TIME(0,3,0)),"OK",IF((G182-I182)&gt;=TIME(0,3,0),"ADELANTADO")))))))</f>
        <v/>
      </c>
      <c r="I182" s="89" t="n"/>
      <c r="J182" s="89">
        <f>IF(A182&lt;&gt;"",HLOOKUP(VALUE(TEXT(G182,"h:mm:ss")),IF($C$6="Laboral",$FZ$4:$GX$227,IF($C$6="Sábado",$FZ$231:$GX$452,$FZ$456:$GX$656)),VLOOKUP($C$4,$HF$2:$HH$99,3,0)+IF(C$5="Ida",0,1),1),"")</f>
        <v/>
      </c>
      <c r="K182" s="89">
        <f>IF(A183&lt;&gt;A182,AVERAGEIF(A$9:A182,A182,J$9:J182),"")</f>
        <v/>
      </c>
      <c r="L182" s="89">
        <f>IFERROR(IF(A183&lt;&gt;A182,AVERAGEIF(A$9:A182,A182,S$9:S182),""),"")</f>
        <v/>
      </c>
      <c r="M182" s="89">
        <f>IFERROR(IF(A183&lt;&gt;A182,AVERAGEIF(A$9:A182,A182,T$9:T182),""),"")</f>
        <v/>
      </c>
      <c r="N182" s="89">
        <f t="array" ref="N182">IFERROR(IF(A183&lt;&gt;A182,_xlfn.STDEV.P(IF(A$9:A182=A182,T$9:T182)),""),"")</f>
        <v/>
      </c>
      <c r="O182" s="89">
        <f t="array" ref="O182">IFERROR(IF(A183&lt;&gt;A182,_xlfn.STDEV.P(IF(A$9:A182=A182,S$9:S182)),""),"")</f>
        <v/>
      </c>
      <c r="P182" s="90">
        <f>IFERROR(IF(A182&lt;&gt;A183,MAX((((M182*24*60)/2)*(1+POWER((((N182*24*60) / (M182*24*60) )),2))) + ((M182*24*60 )*-0.1 + (K182*0.015)) +1,(((M182*24*60)/2)*(1+POWER((((N182*24*60) / (M182*24*60 ))),2)))),""),"")</f>
        <v/>
      </c>
      <c r="Q182" s="90">
        <f>IF(AND(O182&lt;&gt;"",L182&lt;&gt;""),IF(A182&lt;&gt;A183,((L182*24*60) / 2 ) * (1 + POWER(((O182*24*60) / (L182*24*60)),2)),""),"")</f>
        <v/>
      </c>
      <c r="R182" s="90">
        <f>IF(Q182&lt;&gt;"",MAX(P182,Q182),"")</f>
        <v/>
      </c>
      <c r="S182" s="89">
        <f>IF(I182&lt;&gt;"H. Sale Real",IF(AND(I183&lt;&gt;"",LEFT(C183,2)&lt;&gt;"Va"),IF(AND(I182&lt;&gt;"",LEFT(C182,2)&lt;&gt;"Va",I182&lt;&gt;"H. Sale Real"),IF(I183-I182&lt;0.208333333333333,I183-I182,""),IF(AND(I181&lt;&gt;"",LEFT(C181,2)&lt;&gt;"Va",I181&lt;&gt;"H. Sale Real"),IF(I183-I181&lt;0.208333333333333,I183-I181,""),IF(AND(I180&lt;&gt;"",LEFT(C180,2)&lt;&gt;"Va",I180&lt;&gt;"H. Sale Real"),IF(I183-I180&lt;0.208333333333333,I183-I180,""),IF(AND(I179&lt;&gt;"",LEFT(C179,2)&lt;&gt;"Va",I179&lt;&gt;"H. Sale Real"),IF(I183-I179&lt;0.208333333333333,I183-I179,""),IF(AND(I178&lt;&gt;"",LEFT(C178,2)&lt;&gt;"Va",I178&lt;&gt;"H. Sale Real"),IF(I183-I178&lt;0.208333333333333,I183-I178,""),""))))),""),"")</f>
        <v/>
      </c>
      <c r="T182" s="89">
        <f>IF(G182&lt;&gt;"H. Sale Real",IF(AND(G183&lt;&gt;"",LEFT(C183,2)&lt;&gt;"Va"),IF(AND(G182&lt;&gt;"",LEFT(C182,2)&lt;&gt;"Va",G182&lt;&gt;"H. Sale Real"),IF(G183-G182&lt;0.208333333333333,G183-G182,""),IF(AND(G181&lt;&gt;"",LEFT(C181,2)&lt;&gt;"Va",G181&lt;&gt;"H. Sale Real"),IF(G183-G181&lt;0.208333333333333,G183-G181,""),IF(AND(G180&lt;&gt;"",LEFT(C180,2)&lt;&gt;"Va",G180&lt;&gt;"H. Sale Real"),IF(G183-G180&lt;0.208333333333333,G183-G180,""),IF(AND(G179&lt;&gt;"",LEFT(C179,2)&lt;&gt;"Va",G179&lt;&gt;"H. Sale Real"),IF(G183-G179&lt;0.208333333333333,G183-G179,""),IF(AND(G178&lt;&gt;"",LEFT(C178,2)&lt;&gt;"Va",G178&lt;&gt;"H. Sale Real"),IF(G183-G178&lt;0.208333333333333,G183-G178,""),""))))),""),"")</f>
        <v/>
      </c>
      <c r="U182" s="87" t="n"/>
      <c r="V182" s="89" t="n"/>
      <c r="W182" s="87" t="n"/>
      <c r="X182" s="89" t="n"/>
      <c r="Y182" s="91" t="n"/>
      <c r="Z182" s="122">
        <f>IF(G182&lt;&gt;"",IF(AND(Z181&lt;&gt;"IE",P182&lt;&gt;0,R182&lt;&gt;""),IF(IFERROR((P182/R182),0) &lt;=1,IFERROR(P182/R182,""),1),""),"")</f>
        <v/>
      </c>
      <c r="AA182" s="93" t="n"/>
      <c r="AB182" s="2" t="n"/>
      <c r="AE182" s="10">
        <f>HOUR(AK182)+1</f>
        <v/>
      </c>
      <c r="AF182" s="7" t="n"/>
      <c r="AG182" s="7" t="n"/>
      <c r="AH182" s="86" t="n"/>
      <c r="AI182" s="8" t="n"/>
      <c r="AJ182" s="86" t="n"/>
      <c r="AK182" s="87" t="n"/>
      <c r="AL182" s="88">
        <f>IF(AM182="","",IF(AND((AM182-AK182)&gt;=TIME(0,0,0),(AM182-AK182)&lt;TIME(0,3,0)),"OK",IF(AND((AM182-AK182)&gt;=TIME(0,3,0),(AM182-AK182)&lt;TIME(0,5,0)),"RETRASO DE 3-5 MIN",IF(AND((AM182-AK182)&gt;=TIME(0,5,0),(AM182-AK182)&lt;TIME(0,10,0)),"RETRASO DE 5-10 MIN",IF((AM182-AK182)&gt;=TIME(0,10,0),"RETRASO &gt;10 MIN", IF(AND((AK182-AM182)&gt;=TIME(0,0,0),(AK182-AM182)&lt;TIME(0,3,0)),"OK",IF((AK182-AM182)&gt;=TIME(0,3,0),"ADELANTADO")))))))</f>
        <v/>
      </c>
      <c r="AM182" s="91" t="n"/>
      <c r="AN182" s="89">
        <f>IF(AE182&lt;&gt;"",HLOOKUP(VALUE(TEXT(AK182,"h:mm:ss")),IF($C$6="Laboral",$FZ$4:$GX$227,IF($C$6="Sábado",$FZ$231:$GX$452,$FZ$456:$GX$656)),VLOOKUP($C$4,$HF$2:$HH$99,3,0)+IF(AG$5="Ida",0,1),1),"")</f>
        <v/>
      </c>
      <c r="AO182" s="89">
        <f>IF(AE183&lt;&gt;AE182,AVERAGEIF(AE$9:AE182,AE182,AN$9:AN182),"")</f>
        <v/>
      </c>
      <c r="AP182" s="89">
        <f>IFERROR(IF(AE183&lt;&gt;AE182,AVERAGEIF(AE$9:AE182,AE182,AW$9:AW182),""),"")</f>
        <v/>
      </c>
      <c r="AQ182" s="89">
        <f>IFERROR(IF(AE183&lt;&gt;AE182,AVERAGEIF(AE$9:AE182,AE182,AX$9:AX182),""),"")</f>
        <v/>
      </c>
      <c r="AR182" s="89">
        <f t="array" ref="AR182">IFERROR(IF(AE183&lt;&gt;AE182,_xlfn.STDEV.P(IF(AE$9:AE182=AE182,AX$9:AX182)),""),"")</f>
        <v/>
      </c>
      <c r="AS182" s="89">
        <f t="array" ref="AS182">IFERROR(IF(AE183&lt;&gt;AE182,_xlfn.STDEV.P(IF(AE$9:AE182=AE182,AW$9:AW182)),""),"")</f>
        <v/>
      </c>
      <c r="AT182" s="90">
        <f>IFERROR(IF(AE182&lt;&gt;AE183,MAX((((AQ182*24*60)/2)*(1+POWER((((AR182*24*60) / (AQ182*24*60) )),2))) + ((AQ182*24*60 )*-0.1 + (AO182*0.015)) +1,(((AQ182*24*60)/2)*(1+POWER((((AR182*24*60) / (AQ182*24*60 ))),2)))),""),"")</f>
        <v/>
      </c>
      <c r="AU182" s="90">
        <f>IF(AND(AS182&lt;&gt;"",AP182&lt;&gt;""),IF(AE182&lt;&gt;AE183,((AP182*24*60) / 2 ) * (1 + POWER(((AS182*24*60) / (AP182*24*60)),2)),""),"")</f>
        <v/>
      </c>
      <c r="AV182" s="90">
        <f>IF(AU182&lt;&gt;"",MAX(AT182,AU182),"")</f>
        <v/>
      </c>
      <c r="AW182" s="89">
        <f>IF(AM182&lt;&gt;"H. Sale Real",IF(AND(AM183&lt;&gt;"",LEFT(AG183,2)&lt;&gt;"Va"),IF(AND(AM182&lt;&gt;"",LEFT(AG182,2)&lt;&gt;"Va",AM182&lt;&gt;"H. Sale Real"),IF(AM183-AM182&lt;0.208333333333333,AM183-AM182,""),IF(AND(AM181&lt;&gt;"",LEFT(AG181,2)&lt;&gt;"Va",AM181&lt;&gt;"H. Sale Real"),IF(AM183-AM181&lt;0.208333333333333,AM183-AM181,""),IF(AND(AM180&lt;&gt;"",LEFT(AG180,2)&lt;&gt;"Va",AM180&lt;&gt;"H. Sale Real"),IF(AM183-AM180&lt;0.208333333333333,AM183-AM180,""),IF(AND(AM179&lt;&gt;"",LEFT(AG179,2)&lt;&gt;"Va",AM179&lt;&gt;"H. Sale Real"),IF(AM183-AM179&lt;0.208333333333333,AM183-AM179,""),IF(AND(AM178&lt;&gt;"",LEFT(AG178,2)&lt;&gt;"Va",AM178&lt;&gt;"H. Sale Real"),IF(AM183-AM178&lt;0.208333333333333,AM183-AM178,""),""))))),""),"")</f>
        <v/>
      </c>
      <c r="AX182" s="89">
        <f>IF(AK182&lt;&gt;"H. Sale Real",IF(AND(AK183&lt;&gt;"",LEFT(AG183,2)&lt;&gt;"Va"),IF(AND(AK182&lt;&gt;"",LEFT(AG182,2)&lt;&gt;"Va",AK182&lt;&gt;"H. Sale Real"),IF(AK183-AK182&lt;0.208333333333333,AK183-AK182,""),IF(AND(AK181&lt;&gt;"",LEFT(AG181,2)&lt;&gt;"Va",AK181&lt;&gt;"H. Sale Real"),IF(AK183-AK181&lt;0.208333333333333,AK183-AK181,""),IF(AND(AK180&lt;&gt;"",LEFT(AG180,2)&lt;&gt;"NC",AK180&lt;&gt;"H. Sale Real"),IF(AK183-AK180&lt;0.208333333333333,AK183-AK180,""),IF(AND(AK179&lt;&gt;"",LEFT(AG179,2)&lt;&gt;"Va",AK179&lt;&gt;"H. Sale Real"),IF(AK183-AK179&lt;0.208333333333333,AK183-AK179,""),IF(AND(AK178&lt;&gt;"",LEFT(AG178,2)&lt;&gt;"Va",AK178&lt;&gt;"H. Sale Real"),IF(AK183-AK178&lt;0.208333333333333,AK183-AK178,""),""))))),""),"")</f>
        <v/>
      </c>
      <c r="AY182" s="87" t="n"/>
      <c r="AZ182" s="89" t="n"/>
      <c r="BA182" s="87" t="n"/>
      <c r="BB182" s="89" t="n"/>
      <c r="BC182" s="91" t="n"/>
      <c r="BD182" s="122">
        <f>IF(AK182&lt;&gt;"",IF(AND(BD181&lt;&gt;"IE",AT182&lt;&gt;0,AV182&lt;&gt;""),IF(IFERROR((AT182/AV182),0) &lt;=1,IFERROR(AT182/AV182,""),1),""),"")</f>
        <v/>
      </c>
      <c r="BE182" s="93" t="n"/>
      <c r="BF182" s="105" t="n"/>
      <c r="FC182" t="inlineStr">
        <is>
          <t>Diccionario 1</t>
        </is>
      </c>
      <c r="FD182" s="15" t="n">
        <v>1175</v>
      </c>
      <c r="FE182" s="15" t="inlineStr">
        <is>
          <t>YV3T7U524LA201667</t>
        </is>
      </c>
      <c r="FF182" s="15" t="n">
        <v>508615</v>
      </c>
      <c r="FG182" s="15" t="inlineStr">
        <is>
          <t>Volvo</t>
        </is>
      </c>
      <c r="FH182" s="15" t="inlineStr">
        <is>
          <t>B8RLEA</t>
        </is>
      </c>
      <c r="FI182" s="15" t="inlineStr">
        <is>
          <t>MARCOPOLO</t>
        </is>
      </c>
      <c r="FJ182" s="15" t="inlineStr">
        <is>
          <t>GRAN VIALE</t>
        </is>
      </c>
      <c r="FK182" s="15" t="n">
        <v>2020</v>
      </c>
      <c r="FL182" s="15" t="inlineStr">
        <is>
          <t>C</t>
        </is>
      </c>
      <c r="FM182" s="15" t="inlineStr">
        <is>
          <t>PIE ANDINO</t>
        </is>
      </c>
      <c r="FN182" s="15" t="inlineStr">
        <is>
          <t>Pie Andino 31 (Pie Andino 383)</t>
        </is>
      </c>
      <c r="FO182" s="15" t="inlineStr">
        <is>
          <t>Puente Alto</t>
        </is>
      </c>
      <c r="FP182" t="inlineStr">
        <is>
          <t>C</t>
        </is>
      </c>
      <c r="FS182" s="14" t="inlineStr">
        <is>
          <t>3046 / SFWB-98|</t>
        </is>
      </c>
      <c r="FT182" t="inlineStr">
        <is>
          <t>SFWB-98|</t>
        </is>
      </c>
      <c r="FU182" t="inlineStr">
        <is>
          <t>SFWB-98</t>
        </is>
      </c>
      <c r="FV182">
        <f>VLOOKUP(FU182,FD:FL,9,0)</f>
        <v/>
      </c>
      <c r="HA182" s="35" t="n">
        <v>179</v>
      </c>
      <c r="HB182" s="35" t="n">
        <v>176</v>
      </c>
    </row>
    <row r="183" ht="15.5" customHeight="1">
      <c r="A183" s="10">
        <f>HOUR(G183)+1</f>
        <v/>
      </c>
      <c r="B183" s="7" t="n"/>
      <c r="C183" s="7" t="n"/>
      <c r="D183" s="85">
        <f>IFERROR(
IF(AND(OR(Planilla!B183="C",Planilla!B183="c"), VLOOKUP(E183,FD:FP,13,0)="C"), "OK",IF(AND(OR(Planilla!B183="C",Planilla!B183="c"), OR(VLOOKUP(E183,FD:FP,13,0)="B", VLOOKUP(E183,FD:FP,13,0)="A")), "DEFICIT",IF(
AND(OR(Planilla!B183="B", Planilla!B183="BPAL"), VLOOKUP(E183,FD:FP,13,0)="B"), "OK",IF(AND(OR(Planilla!B183="B", Planilla!B183="BPAL"), VLOOKUP(E183,FD:FP,13,0)="A"), "DEFICIT",IF(AND(OR(Planilla!B183="B", Planilla!B183="BPAL"), VLOOKUP(E183,FD:FP,13,0)="C"), "SOBREOFERTA",IF(AND(Planilla!B183="A", VLOOKUP(E183,FD:FP,13,0)="A"), "OK",IF(
AND(Planilla!B183="A", OR(VLOOKUP(E183,FD:FP,13,0)="B", VLOOKUP(E183,FD:FP,13,0)="C")), "SOBREOFERTA",""
))))))),"")</f>
        <v/>
      </c>
      <c r="E183" s="8" t="n"/>
      <c r="F183" s="86" t="n"/>
      <c r="G183" s="87" t="n"/>
      <c r="H183" s="88">
        <f>IF(I183="","",IF(AND((I183-G183)&gt;=TIME(0,0,0),(I183-G183)&lt;TIME(0,3,0)),"OK",IF(AND((I183-G183)&gt;=TIME(0,3,0),(I183-G183)&lt;TIME(0,5,0)),"RETRASO DE 3-5 MIN",IF(AND((I183-G183)&gt;=TIME(0,5,0),(I183-G183)&lt;TIME(0,10,0)),"RETRASO DE 5-10 MIN",IF((I183-G183)&gt;=TIME(0,10,0),"RETRASO &gt;10 MIN", IF(AND((G183-I183)&gt;=TIME(0,0,0),(G183-I183)&lt;TIME(0,3,0)),"OK",IF((G183-I183)&gt;=TIME(0,3,0),"ADELANTADO")))))))</f>
        <v/>
      </c>
      <c r="I183" s="89" t="n"/>
      <c r="J183" s="89">
        <f>IF(A183&lt;&gt;"",HLOOKUP(VALUE(TEXT(G183,"h:mm:ss")),IF($C$6="Laboral",$FZ$4:$GX$227,IF($C$6="Sábado",$FZ$231:$GX$452,$FZ$456:$GX$656)),VLOOKUP($C$4,$HF$2:$HH$99,3,0)+IF(C$5="Ida",0,1),1),"")</f>
        <v/>
      </c>
      <c r="K183" s="89">
        <f>IF(A184&lt;&gt;A183,AVERAGEIF(A$9:A183,A183,J$9:J183),"")</f>
        <v/>
      </c>
      <c r="L183" s="89">
        <f>IFERROR(IF(A184&lt;&gt;A183,AVERAGEIF(A$9:A183,A183,S$9:S183),""),"")</f>
        <v/>
      </c>
      <c r="M183" s="89">
        <f>IFERROR(IF(A184&lt;&gt;A183,AVERAGEIF(A$9:A183,A183,T$9:T183),""),"")</f>
        <v/>
      </c>
      <c r="N183" s="89">
        <f t="array" ref="N183">IFERROR(IF(A184&lt;&gt;A183,_xlfn.STDEV.P(IF(A$9:A183=A183,T$9:T183)),""),"")</f>
        <v/>
      </c>
      <c r="O183" s="89">
        <f t="array" ref="O183">IFERROR(IF(A184&lt;&gt;A183,_xlfn.STDEV.P(IF(A$9:A183=A183,S$9:S183)),""),"")</f>
        <v/>
      </c>
      <c r="P183" s="90">
        <f>IFERROR(IF(A183&lt;&gt;A184,MAX((((M183*24*60)/2)*(1+POWER((((N183*24*60) / (M183*24*60) )),2))) + ((M183*24*60 )*-0.1 + (K183*0.015)) +1,(((M183*24*60)/2)*(1+POWER((((N183*24*60) / (M183*24*60 ))),2)))),""),"")</f>
        <v/>
      </c>
      <c r="Q183" s="90">
        <f>IF(AND(O183&lt;&gt;"",L183&lt;&gt;""),IF(A183&lt;&gt;A184,((L183*24*60) / 2 ) * (1 + POWER(((O183*24*60) / (L183*24*60)),2)),""),"")</f>
        <v/>
      </c>
      <c r="R183" s="90">
        <f>IF(Q183&lt;&gt;"",MAX(P183,Q183),"")</f>
        <v/>
      </c>
      <c r="S183" s="89">
        <f>IF(I183&lt;&gt;"H. Sale Real",IF(AND(I184&lt;&gt;"",LEFT(C184,2)&lt;&gt;"Va"),IF(AND(I183&lt;&gt;"",LEFT(C183,2)&lt;&gt;"Va",I183&lt;&gt;"H. Sale Real"),IF(I184-I183&lt;0.208333333333333,I184-I183,""),IF(AND(I182&lt;&gt;"",LEFT(C182,2)&lt;&gt;"Va",I182&lt;&gt;"H. Sale Real"),IF(I184-I182&lt;0.208333333333333,I184-I182,""),IF(AND(I181&lt;&gt;"",LEFT(C181,2)&lt;&gt;"Va",I181&lt;&gt;"H. Sale Real"),IF(I184-I181&lt;0.208333333333333,I184-I181,""),IF(AND(I180&lt;&gt;"",LEFT(C180,2)&lt;&gt;"Va",I180&lt;&gt;"H. Sale Real"),IF(I184-I180&lt;0.208333333333333,I184-I180,""),IF(AND(I179&lt;&gt;"",LEFT(C179,2)&lt;&gt;"Va",I179&lt;&gt;"H. Sale Real"),IF(I184-I179&lt;0.208333333333333,I184-I179,""),""))))),""),"")</f>
        <v/>
      </c>
      <c r="T183" s="89">
        <f>IF(G183&lt;&gt;"H. Sale Real",IF(AND(G184&lt;&gt;"",LEFT(C184,2)&lt;&gt;"Va"),IF(AND(G183&lt;&gt;"",LEFT(C183,2)&lt;&gt;"Va",G183&lt;&gt;"H. Sale Real"),IF(G184-G183&lt;0.208333333333333,G184-G183,""),IF(AND(G182&lt;&gt;"",LEFT(C182,2)&lt;&gt;"Va",G182&lt;&gt;"H. Sale Real"),IF(G184-G182&lt;0.208333333333333,G184-G182,""),IF(AND(G181&lt;&gt;"",LEFT(C181,2)&lt;&gt;"Va",G181&lt;&gt;"H. Sale Real"),IF(G184-G181&lt;0.208333333333333,G184-G181,""),IF(AND(G180&lt;&gt;"",LEFT(C180,2)&lt;&gt;"Va",G180&lt;&gt;"H. Sale Real"),IF(G184-G180&lt;0.208333333333333,G184-G180,""),IF(AND(G179&lt;&gt;"",LEFT(C179,2)&lt;&gt;"Va",G179&lt;&gt;"H. Sale Real"),IF(G184-G179&lt;0.208333333333333,G184-G179,""),""))))),""),"")</f>
        <v/>
      </c>
      <c r="U183" s="87" t="n"/>
      <c r="V183" s="89" t="n"/>
      <c r="W183" s="87" t="n"/>
      <c r="X183" s="89" t="n"/>
      <c r="Y183" s="91" t="n"/>
      <c r="Z183" s="122">
        <f>IF(G183&lt;&gt;"",IF(AND(Z182&lt;&gt;"IE",P183&lt;&gt;0,R183&lt;&gt;""),IF(IFERROR((P183/R183),0) &lt;=1,IFERROR(P183/R183,""),1),""),"")</f>
        <v/>
      </c>
      <c r="AA183" s="93" t="n"/>
      <c r="AB183" s="2" t="n"/>
      <c r="AE183" s="10">
        <f>HOUR(AK183)+1</f>
        <v/>
      </c>
      <c r="AF183" s="7" t="n"/>
      <c r="AG183" s="7" t="n"/>
      <c r="AH183" s="86" t="n"/>
      <c r="AI183" s="8" t="n"/>
      <c r="AJ183" s="86" t="n"/>
      <c r="AK183" s="87" t="n"/>
      <c r="AL183" s="88">
        <f>IF(AM183="","",IF(AND((AM183-AK183)&gt;=TIME(0,0,0),(AM183-AK183)&lt;TIME(0,3,0)),"OK",IF(AND((AM183-AK183)&gt;=TIME(0,3,0),(AM183-AK183)&lt;TIME(0,5,0)),"RETRASO DE 3-5 MIN",IF(AND((AM183-AK183)&gt;=TIME(0,5,0),(AM183-AK183)&lt;TIME(0,10,0)),"RETRASO DE 5-10 MIN",IF((AM183-AK183)&gt;=TIME(0,10,0),"RETRASO &gt;10 MIN", IF(AND((AK183-AM183)&gt;=TIME(0,0,0),(AK183-AM183)&lt;TIME(0,3,0)),"OK",IF((AK183-AM183)&gt;=TIME(0,3,0),"ADELANTADO")))))))</f>
        <v/>
      </c>
      <c r="AM183" s="91" t="n"/>
      <c r="AN183" s="89">
        <f>IF(AE183&lt;&gt;"",HLOOKUP(VALUE(TEXT(AK183,"h:mm:ss")),IF($C$6="Laboral",$FZ$4:$GX$227,IF($C$6="Sábado",$FZ$231:$GX$452,$FZ$456:$GX$656)),VLOOKUP($C$4,$HF$2:$HH$99,3,0)+IF(AG$5="Ida",0,1),1),"")</f>
        <v/>
      </c>
      <c r="AO183" s="89">
        <f>IF(AE184&lt;&gt;AE183,AVERAGEIF(AE$9:AE183,AE183,AN$9:AN183),"")</f>
        <v/>
      </c>
      <c r="AP183" s="89">
        <f>IFERROR(IF(AE184&lt;&gt;AE183,AVERAGEIF(AE$9:AE183,AE183,AW$9:AW183),""),"")</f>
        <v/>
      </c>
      <c r="AQ183" s="89">
        <f>IFERROR(IF(AE184&lt;&gt;AE183,AVERAGEIF(AE$9:AE183,AE183,AX$9:AX183),""),"")</f>
        <v/>
      </c>
      <c r="AR183" s="89">
        <f t="array" ref="AR183">IFERROR(IF(AE184&lt;&gt;AE183,_xlfn.STDEV.P(IF(AE$9:AE183=AE183,AX$9:AX183)),""),"")</f>
        <v/>
      </c>
      <c r="AS183" s="89">
        <f t="array" ref="AS183">IFERROR(IF(AE184&lt;&gt;AE183,_xlfn.STDEV.P(IF(AE$9:AE183=AE183,AW$9:AW183)),""),"")</f>
        <v/>
      </c>
      <c r="AT183" s="90">
        <f>IFERROR(IF(AE183&lt;&gt;AE184,MAX((((AQ183*24*60)/2)*(1+POWER((((AR183*24*60) / (AQ183*24*60) )),2))) + ((AQ183*24*60 )*-0.1 + (AO183*0.015)) +1,(((AQ183*24*60)/2)*(1+POWER((((AR183*24*60) / (AQ183*24*60 ))),2)))),""),"")</f>
        <v/>
      </c>
      <c r="AU183" s="90">
        <f>IF(AND(AS183&lt;&gt;"",AP183&lt;&gt;""),IF(AE183&lt;&gt;AE184,((AP183*24*60) / 2 ) * (1 + POWER(((AS183*24*60) / (AP183*24*60)),2)),""),"")</f>
        <v/>
      </c>
      <c r="AV183" s="90">
        <f>IF(AU183&lt;&gt;"",MAX(AT183,AU183),"")</f>
        <v/>
      </c>
      <c r="AW183" s="89">
        <f>IF(AM183&lt;&gt;"H. Sale Real",IF(AND(AM184&lt;&gt;"",LEFT(AG184,2)&lt;&gt;"Va"),IF(AND(AM183&lt;&gt;"",LEFT(AG183,2)&lt;&gt;"Va",AM183&lt;&gt;"H. Sale Real"),IF(AM184-AM183&lt;0.208333333333333,AM184-AM183,""),IF(AND(AM182&lt;&gt;"",LEFT(AG182,2)&lt;&gt;"Va",AM182&lt;&gt;"H. Sale Real"),IF(AM184-AM182&lt;0.208333333333333,AM184-AM182,""),IF(AND(AM181&lt;&gt;"",LEFT(AG181,2)&lt;&gt;"Va",AM181&lt;&gt;"H. Sale Real"),IF(AM184-AM181&lt;0.208333333333333,AM184-AM181,""),IF(AND(AM180&lt;&gt;"",LEFT(AG180,2)&lt;&gt;"Va",AM180&lt;&gt;"H. Sale Real"),IF(AM184-AM180&lt;0.208333333333333,AM184-AM180,""),IF(AND(AM179&lt;&gt;"",LEFT(AG179,2)&lt;&gt;"Va",AM179&lt;&gt;"H. Sale Real"),IF(AM184-AM179&lt;0.208333333333333,AM184-AM179,""),""))))),""),"")</f>
        <v/>
      </c>
      <c r="AX183" s="89">
        <f>IF(AK183&lt;&gt;"H. Sale Real",IF(AND(AK184&lt;&gt;"",LEFT(AG184,2)&lt;&gt;"Va"),IF(AND(AK183&lt;&gt;"",LEFT(AG183,2)&lt;&gt;"Va",AK183&lt;&gt;"H. Sale Real"),IF(AK184-AK183&lt;0.208333333333333,AK184-AK183,""),IF(AND(AK182&lt;&gt;"",LEFT(AG182,2)&lt;&gt;"Va",AK182&lt;&gt;"H. Sale Real"),IF(AK184-AK182&lt;0.208333333333333,AK184-AK182,""),IF(AND(AK181&lt;&gt;"",LEFT(AG181,2)&lt;&gt;"NC",AK181&lt;&gt;"H. Sale Real"),IF(AK184-AK181&lt;0.208333333333333,AK184-AK181,""),IF(AND(AK180&lt;&gt;"",LEFT(AG180,2)&lt;&gt;"Va",AK180&lt;&gt;"H. Sale Real"),IF(AK184-AK180&lt;0.208333333333333,AK184-AK180,""),IF(AND(AK179&lt;&gt;"",LEFT(AG179,2)&lt;&gt;"Va",AK179&lt;&gt;"H. Sale Real"),IF(AK184-AK179&lt;0.208333333333333,AK184-AK179,""),""))))),""),"")</f>
        <v/>
      </c>
      <c r="AY183" s="87" t="n"/>
      <c r="AZ183" s="89" t="n"/>
      <c r="BA183" s="87" t="n"/>
      <c r="BB183" s="89" t="n"/>
      <c r="BC183" s="91" t="n"/>
      <c r="BD183" s="122">
        <f>IF(AK183&lt;&gt;"",IF(AND(BD182&lt;&gt;"IE",AT183&lt;&gt;0,AV183&lt;&gt;""),IF(IFERROR((AT183/AV183),0) &lt;=1,IFERROR(AT183/AV183,""),1),""),"")</f>
        <v/>
      </c>
      <c r="BE183" s="93" t="n"/>
      <c r="BF183" s="105" t="n"/>
      <c r="FC183" t="inlineStr">
        <is>
          <t>Diccionario 1</t>
        </is>
      </c>
      <c r="FD183" s="15" t="n">
        <v>1229</v>
      </c>
      <c r="FE183" s="15" t="inlineStr">
        <is>
          <t>YV3T7U524LA201670</t>
        </is>
      </c>
      <c r="FF183" s="15" t="n">
        <v>508569</v>
      </c>
      <c r="FG183" s="15" t="inlineStr">
        <is>
          <t>Volvo</t>
        </is>
      </c>
      <c r="FH183" s="15" t="inlineStr">
        <is>
          <t>B8RLEA</t>
        </is>
      </c>
      <c r="FI183" s="15" t="inlineStr">
        <is>
          <t>MARCOPOLO</t>
        </is>
      </c>
      <c r="FJ183" s="15" t="inlineStr">
        <is>
          <t>GRAN VIALE</t>
        </is>
      </c>
      <c r="FK183" s="15" t="n">
        <v>2020</v>
      </c>
      <c r="FL183" s="15" t="inlineStr">
        <is>
          <t>C</t>
        </is>
      </c>
      <c r="FM183" s="15" t="inlineStr">
        <is>
          <t>SAN ALFONSO</t>
        </is>
      </c>
      <c r="FN183" s="15" t="inlineStr">
        <is>
          <t>San Alfonso 2141 (Ramón Subercaseaux 3060)</t>
        </is>
      </c>
      <c r="FO183" s="15" t="inlineStr">
        <is>
          <t>Estacion Central</t>
        </is>
      </c>
      <c r="FP183" t="inlineStr">
        <is>
          <t>C</t>
        </is>
      </c>
      <c r="FS183" s="14" t="inlineStr">
        <is>
          <t>3046 / SFWB-98|</t>
        </is>
      </c>
      <c r="FT183" t="inlineStr">
        <is>
          <t>SFWB-98|</t>
        </is>
      </c>
      <c r="FU183" t="inlineStr">
        <is>
          <t>SFWB-98</t>
        </is>
      </c>
      <c r="FV183">
        <f>VLOOKUP(FU183,FD:FL,9,0)</f>
        <v/>
      </c>
      <c r="HA183" s="35" t="n">
        <v>180</v>
      </c>
      <c r="HB183" s="35" t="n">
        <v>177</v>
      </c>
    </row>
    <row r="184" ht="15.5" customHeight="1">
      <c r="A184" s="10">
        <f>HOUR(G184)+1</f>
        <v/>
      </c>
      <c r="B184" s="7" t="n"/>
      <c r="C184" s="7" t="n"/>
      <c r="D184" s="85">
        <f>IFERROR(
IF(AND(OR(Planilla!B184="C",Planilla!B184="c"), VLOOKUP(E184,FD:FP,13,0)="C"), "OK",IF(AND(OR(Planilla!B184="C",Planilla!B184="c"), OR(VLOOKUP(E184,FD:FP,13,0)="B", VLOOKUP(E184,FD:FP,13,0)="A")), "DEFICIT",IF(
AND(OR(Planilla!B184="B", Planilla!B184="BPAL"), VLOOKUP(E184,FD:FP,13,0)="B"), "OK",IF(AND(OR(Planilla!B184="B", Planilla!B184="BPAL"), VLOOKUP(E184,FD:FP,13,0)="A"), "DEFICIT",IF(AND(OR(Planilla!B184="B", Planilla!B184="BPAL"), VLOOKUP(E184,FD:FP,13,0)="C"), "SOBREOFERTA",IF(AND(Planilla!B184="A", VLOOKUP(E184,FD:FP,13,0)="A"), "OK",IF(
AND(Planilla!B184="A", OR(VLOOKUP(E184,FD:FP,13,0)="B", VLOOKUP(E184,FD:FP,13,0)="C")), "SOBREOFERTA",""
))))))),"")</f>
        <v/>
      </c>
      <c r="E184" s="8" t="n"/>
      <c r="F184" s="86" t="n"/>
      <c r="G184" s="87" t="n"/>
      <c r="H184" s="88">
        <f>IF(I184="","",IF(AND((I184-G184)&gt;=TIME(0,0,0),(I184-G184)&lt;TIME(0,3,0)),"OK",IF(AND((I184-G184)&gt;=TIME(0,3,0),(I184-G184)&lt;TIME(0,5,0)),"RETRASO DE 3-5 MIN",IF(AND((I184-G184)&gt;=TIME(0,5,0),(I184-G184)&lt;TIME(0,10,0)),"RETRASO DE 5-10 MIN",IF((I184-G184)&gt;=TIME(0,10,0),"RETRASO &gt;10 MIN", IF(AND((G184-I184)&gt;=TIME(0,0,0),(G184-I184)&lt;TIME(0,3,0)),"OK",IF((G184-I184)&gt;=TIME(0,3,0),"ADELANTADO")))))))</f>
        <v/>
      </c>
      <c r="I184" s="89" t="n"/>
      <c r="J184" s="89">
        <f>IF(A184&lt;&gt;"",HLOOKUP(VALUE(TEXT(G184,"h:mm:ss")),IF($C$6="Laboral",$FZ$4:$GX$227,IF($C$6="Sábado",$FZ$231:$GX$452,$FZ$456:$GX$656)),VLOOKUP($C$4,$HF$2:$HH$99,3,0)+IF(C$5="Ida",0,1),1),"")</f>
        <v/>
      </c>
      <c r="K184" s="89">
        <f>IF(A185&lt;&gt;A184,AVERAGEIF(A$9:A184,A184,J$9:J184),"")</f>
        <v/>
      </c>
      <c r="L184" s="89">
        <f>IFERROR(IF(A185&lt;&gt;A184,AVERAGEIF(A$9:A184,A184,S$9:S184),""),"")</f>
        <v/>
      </c>
      <c r="M184" s="89">
        <f>IFERROR(IF(A185&lt;&gt;A184,AVERAGEIF(A$9:A184,A184,T$9:T184),""),"")</f>
        <v/>
      </c>
      <c r="N184" s="89">
        <f t="array" ref="N184">IFERROR(IF(A185&lt;&gt;A184,_xlfn.STDEV.P(IF(A$9:A184=A184,T$9:T184)),""),"")</f>
        <v/>
      </c>
      <c r="O184" s="89">
        <f t="array" ref="O184">IFERROR(IF(A185&lt;&gt;A184,_xlfn.STDEV.P(IF(A$9:A184=A184,S$9:S184)),""),"")</f>
        <v/>
      </c>
      <c r="P184" s="90">
        <f>IFERROR(IF(A184&lt;&gt;A185,MAX((((M184*24*60)/2)*(1+POWER((((N184*24*60) / (M184*24*60) )),2))) + ((M184*24*60 )*-0.1 + (K184*0.015)) +1,(((M184*24*60)/2)*(1+POWER((((N184*24*60) / (M184*24*60 ))),2)))),""),"")</f>
        <v/>
      </c>
      <c r="Q184" s="90">
        <f>IF(AND(O184&lt;&gt;"",L184&lt;&gt;""),IF(A184&lt;&gt;A185,((L184*24*60) / 2 ) * (1 + POWER(((O184*24*60) / (L184*24*60)),2)),""),"")</f>
        <v/>
      </c>
      <c r="R184" s="90">
        <f>IF(Q184&lt;&gt;"",MAX(P184,Q184),"")</f>
        <v/>
      </c>
      <c r="S184" s="89">
        <f>IF(I184&lt;&gt;"H. Sale Real",IF(AND(I185&lt;&gt;"",LEFT(C185,2)&lt;&gt;"Va"),IF(AND(I184&lt;&gt;"",LEFT(C184,2)&lt;&gt;"Va",I184&lt;&gt;"H. Sale Real"),IF(I185-I184&lt;0.208333333333333,I185-I184,""),IF(AND(I183&lt;&gt;"",LEFT(C183,2)&lt;&gt;"Va",I183&lt;&gt;"H. Sale Real"),IF(I185-I183&lt;0.208333333333333,I185-I183,""),IF(AND(I182&lt;&gt;"",LEFT(C182,2)&lt;&gt;"Va",I182&lt;&gt;"H. Sale Real"),IF(I185-I182&lt;0.208333333333333,I185-I182,""),IF(AND(I181&lt;&gt;"",LEFT(C181,2)&lt;&gt;"Va",I181&lt;&gt;"H. Sale Real"),IF(I185-I181&lt;0.208333333333333,I185-I181,""),IF(AND(I180&lt;&gt;"",LEFT(C180,2)&lt;&gt;"Va",I180&lt;&gt;"H. Sale Real"),IF(I185-I180&lt;0.208333333333333,I185-I180,""),""))))),""),"")</f>
        <v/>
      </c>
      <c r="T184" s="89">
        <f>IF(G184&lt;&gt;"H. Sale Real",IF(AND(G185&lt;&gt;"",LEFT(C185,2)&lt;&gt;"Va"),IF(AND(G184&lt;&gt;"",LEFT(C184,2)&lt;&gt;"Va",G184&lt;&gt;"H. Sale Real"),IF(G185-G184&lt;0.208333333333333,G185-G184,""),IF(AND(G183&lt;&gt;"",LEFT(C183,2)&lt;&gt;"Va",G183&lt;&gt;"H. Sale Real"),IF(G185-G183&lt;0.208333333333333,G185-G183,""),IF(AND(G182&lt;&gt;"",LEFT(C182,2)&lt;&gt;"Va",G182&lt;&gt;"H. Sale Real"),IF(G185-G182&lt;0.208333333333333,G185-G182,""),IF(AND(G181&lt;&gt;"",LEFT(C181,2)&lt;&gt;"Va",G181&lt;&gt;"H. Sale Real"),IF(G185-G181&lt;0.208333333333333,G185-G181,""),IF(AND(G180&lt;&gt;"",LEFT(C180,2)&lt;&gt;"Va",G180&lt;&gt;"H. Sale Real"),IF(G185-G180&lt;0.208333333333333,G185-G180,""),""))))),""),"")</f>
        <v/>
      </c>
      <c r="U184" s="87" t="n"/>
      <c r="V184" s="89" t="n"/>
      <c r="W184" s="87" t="n"/>
      <c r="X184" s="89" t="n"/>
      <c r="Y184" s="91" t="n"/>
      <c r="Z184" s="122">
        <f>IF(G184&lt;&gt;"",IF(AND(Z183&lt;&gt;"IE",P184&lt;&gt;0,R184&lt;&gt;""),IF(IFERROR((P184/R184),0) &lt;=1,IFERROR(P184/R184,""),1),""),"")</f>
        <v/>
      </c>
      <c r="AA184" s="93" t="n"/>
      <c r="AB184" s="2" t="n"/>
      <c r="AE184" s="10">
        <f>HOUR(AK184)+1</f>
        <v/>
      </c>
      <c r="AF184" s="7" t="n"/>
      <c r="AG184" s="7" t="n"/>
      <c r="AH184" s="86" t="n"/>
      <c r="AI184" s="8" t="n"/>
      <c r="AJ184" s="86" t="n"/>
      <c r="AK184" s="87" t="n"/>
      <c r="AL184" s="88">
        <f>IF(AM184="","",IF(AND((AM184-AK184)&gt;=TIME(0,0,0),(AM184-AK184)&lt;TIME(0,3,0)),"OK",IF(AND((AM184-AK184)&gt;=TIME(0,3,0),(AM184-AK184)&lt;TIME(0,5,0)),"RETRASO DE 3-5 MIN",IF(AND((AM184-AK184)&gt;=TIME(0,5,0),(AM184-AK184)&lt;TIME(0,10,0)),"RETRASO DE 5-10 MIN",IF((AM184-AK184)&gt;=TIME(0,10,0),"RETRASO &gt;10 MIN", IF(AND((AK184-AM184)&gt;=TIME(0,0,0),(AK184-AM184)&lt;TIME(0,3,0)),"OK",IF((AK184-AM184)&gt;=TIME(0,3,0),"ADELANTADO")))))))</f>
        <v/>
      </c>
      <c r="AM184" s="91" t="n"/>
      <c r="AN184" s="89">
        <f>IF(AE184&lt;&gt;"",HLOOKUP(VALUE(TEXT(AK184,"h:mm:ss")),IF($C$6="Laboral",$FZ$4:$GX$227,IF($C$6="Sábado",$FZ$231:$GX$452,$FZ$456:$GX$656)),VLOOKUP($C$4,$HF$2:$HH$99,3,0)+IF(AG$5="Ida",0,1),1),"")</f>
        <v/>
      </c>
      <c r="AO184" s="89">
        <f>IF(AE185&lt;&gt;AE184,AVERAGEIF(AE$9:AE184,AE184,AN$9:AN184),"")</f>
        <v/>
      </c>
      <c r="AP184" s="89">
        <f>IFERROR(IF(AE185&lt;&gt;AE184,AVERAGEIF(AE$9:AE184,AE184,AW$9:AW184),""),"")</f>
        <v/>
      </c>
      <c r="AQ184" s="89">
        <f>IFERROR(IF(AE185&lt;&gt;AE184,AVERAGEIF(AE$9:AE184,AE184,AX$9:AX184),""),"")</f>
        <v/>
      </c>
      <c r="AR184" s="89">
        <f t="array" ref="AR184">IFERROR(IF(AE185&lt;&gt;AE184,_xlfn.STDEV.P(IF(AE$9:AE184=AE184,AX$9:AX184)),""),"")</f>
        <v/>
      </c>
      <c r="AS184" s="89">
        <f t="array" ref="AS184">IFERROR(IF(AE185&lt;&gt;AE184,_xlfn.STDEV.P(IF(AE$9:AE184=AE184,AW$9:AW184)),""),"")</f>
        <v/>
      </c>
      <c r="AT184" s="90">
        <f>IFERROR(IF(AE184&lt;&gt;AE185,MAX((((AQ184*24*60)/2)*(1+POWER((((AR184*24*60) / (AQ184*24*60) )),2))) + ((AQ184*24*60 )*-0.1 + (AO184*0.015)) +1,(((AQ184*24*60)/2)*(1+POWER((((AR184*24*60) / (AQ184*24*60 ))),2)))),""),"")</f>
        <v/>
      </c>
      <c r="AU184" s="90">
        <f>IF(AND(AS184&lt;&gt;"",AP184&lt;&gt;""),IF(AE184&lt;&gt;AE185,((AP184*24*60) / 2 ) * (1 + POWER(((AS184*24*60) / (AP184*24*60)),2)),""),"")</f>
        <v/>
      </c>
      <c r="AV184" s="90">
        <f>IF(AU184&lt;&gt;"",MAX(AT184,AU184),"")</f>
        <v/>
      </c>
      <c r="AW184" s="89">
        <f>IF(AM184&lt;&gt;"H. Sale Real",IF(AND(AM185&lt;&gt;"",LEFT(AG185,2)&lt;&gt;"Va"),IF(AND(AM184&lt;&gt;"",LEFT(AG184,2)&lt;&gt;"Va",AM184&lt;&gt;"H. Sale Real"),IF(AM185-AM184&lt;0.208333333333333,AM185-AM184,""),IF(AND(AM183&lt;&gt;"",LEFT(AG183,2)&lt;&gt;"Va",AM183&lt;&gt;"H. Sale Real"),IF(AM185-AM183&lt;0.208333333333333,AM185-AM183,""),IF(AND(AM182&lt;&gt;"",LEFT(AG182,2)&lt;&gt;"Va",AM182&lt;&gt;"H. Sale Real"),IF(AM185-AM182&lt;0.208333333333333,AM185-AM182,""),IF(AND(AM181&lt;&gt;"",LEFT(AG181,2)&lt;&gt;"Va",AM181&lt;&gt;"H. Sale Real"),IF(AM185-AM181&lt;0.208333333333333,AM185-AM181,""),IF(AND(AM180&lt;&gt;"",LEFT(AG180,2)&lt;&gt;"Va",AM180&lt;&gt;"H. Sale Real"),IF(AM185-AM180&lt;0.208333333333333,AM185-AM180,""),""))))),""),"")</f>
        <v/>
      </c>
      <c r="AX184" s="89">
        <f>IF(AK184&lt;&gt;"H. Sale Real",IF(AND(AK185&lt;&gt;"",LEFT(AG185,2)&lt;&gt;"Va"),IF(AND(AK184&lt;&gt;"",LEFT(AG184,2)&lt;&gt;"Va",AK184&lt;&gt;"H. Sale Real"),IF(AK185-AK184&lt;0.208333333333333,AK185-AK184,""),IF(AND(AK183&lt;&gt;"",LEFT(AG183,2)&lt;&gt;"Va",AK183&lt;&gt;"H. Sale Real"),IF(AK185-AK183&lt;0.208333333333333,AK185-AK183,""),IF(AND(AK182&lt;&gt;"",LEFT(AG182,2)&lt;&gt;"NC",AK182&lt;&gt;"H. Sale Real"),IF(AK185-AK182&lt;0.208333333333333,AK185-AK182,""),IF(AND(AK181&lt;&gt;"",LEFT(AG181,2)&lt;&gt;"Va",AK181&lt;&gt;"H. Sale Real"),IF(AK185-AK181&lt;0.208333333333333,AK185-AK181,""),IF(AND(AK180&lt;&gt;"",LEFT(AG180,2)&lt;&gt;"Va",AK180&lt;&gt;"H. Sale Real"),IF(AK185-AK180&lt;0.208333333333333,AK185-AK180,""),""))))),""),"")</f>
        <v/>
      </c>
      <c r="AY184" s="87" t="n"/>
      <c r="AZ184" s="89" t="n"/>
      <c r="BA184" s="87" t="n"/>
      <c r="BB184" s="89" t="n"/>
      <c r="BC184" s="91" t="n"/>
      <c r="BD184" s="122">
        <f>IF(AK184&lt;&gt;"",IF(AND(BD183&lt;&gt;"IE",AT184&lt;&gt;0,AV184&lt;&gt;""),IF(IFERROR((AT184/AV184),0) &lt;=1,IFERROR(AT184/AV184,""),1),""),"")</f>
        <v/>
      </c>
      <c r="BE184" s="93" t="n"/>
      <c r="BF184" s="105" t="n"/>
      <c r="FC184" t="inlineStr">
        <is>
          <t>Diccionario 1</t>
        </is>
      </c>
      <c r="FD184" s="15" t="n">
        <v>1176</v>
      </c>
      <c r="FE184" s="15" t="inlineStr">
        <is>
          <t>YV3T7U52XLA201625</t>
        </is>
      </c>
      <c r="FF184" s="15" t="n">
        <v>508297</v>
      </c>
      <c r="FG184" s="15" t="inlineStr">
        <is>
          <t>Volvo</t>
        </is>
      </c>
      <c r="FH184" s="15" t="inlineStr">
        <is>
          <t>B8RLEA</t>
        </is>
      </c>
      <c r="FI184" s="15" t="inlineStr">
        <is>
          <t>MARCOPOLO</t>
        </is>
      </c>
      <c r="FJ184" s="15" t="inlineStr">
        <is>
          <t>GRAN VIALE</t>
        </is>
      </c>
      <c r="FK184" s="15" t="n">
        <v>2020</v>
      </c>
      <c r="FL184" s="15" t="inlineStr">
        <is>
          <t>C</t>
        </is>
      </c>
      <c r="FM184" s="15" t="inlineStr">
        <is>
          <t>PIE ANDINO</t>
        </is>
      </c>
      <c r="FN184" s="15" t="inlineStr">
        <is>
          <t>Pie Andino 31 (Pie Andino 383)</t>
        </is>
      </c>
      <c r="FO184" s="15" t="inlineStr">
        <is>
          <t>Puente Alto</t>
        </is>
      </c>
      <c r="FP184" t="inlineStr">
        <is>
          <t>C</t>
        </is>
      </c>
      <c r="FS184" s="14" t="inlineStr">
        <is>
          <t>3046 / SFWB-98|</t>
        </is>
      </c>
      <c r="FT184" t="inlineStr">
        <is>
          <t>SFWB-98|</t>
        </is>
      </c>
      <c r="FU184" t="inlineStr">
        <is>
          <t>SFWB-98</t>
        </is>
      </c>
      <c r="FV184">
        <f>VLOOKUP(FU184,FD:FL,9,0)</f>
        <v/>
      </c>
      <c r="HA184" s="35" t="n">
        <v>181</v>
      </c>
      <c r="HB184" s="35" t="n">
        <v>178</v>
      </c>
    </row>
    <row r="185" ht="15.5" customHeight="1">
      <c r="A185" s="10">
        <f>HOUR(G185)+1</f>
        <v/>
      </c>
      <c r="B185" s="7" t="n"/>
      <c r="C185" s="7" t="n"/>
      <c r="D185" s="85">
        <f>IFERROR(
IF(AND(OR(Planilla!B185="C",Planilla!B185="c"), VLOOKUP(E185,FD:FP,13,0)="C"), "OK",IF(AND(OR(Planilla!B185="C",Planilla!B185="c"), OR(VLOOKUP(E185,FD:FP,13,0)="B", VLOOKUP(E185,FD:FP,13,0)="A")), "DEFICIT",IF(
AND(OR(Planilla!B185="B", Planilla!B185="BPAL"), VLOOKUP(E185,FD:FP,13,0)="B"), "OK",IF(AND(OR(Planilla!B185="B", Planilla!B185="BPAL"), VLOOKUP(E185,FD:FP,13,0)="A"), "DEFICIT",IF(AND(OR(Planilla!B185="B", Planilla!B185="BPAL"), VLOOKUP(E185,FD:FP,13,0)="C"), "SOBREOFERTA",IF(AND(Planilla!B185="A", VLOOKUP(E185,FD:FP,13,0)="A"), "OK",IF(
AND(Planilla!B185="A", OR(VLOOKUP(E185,FD:FP,13,0)="B", VLOOKUP(E185,FD:FP,13,0)="C")), "SOBREOFERTA",""
))))))),"")</f>
        <v/>
      </c>
      <c r="E185" s="8" t="n"/>
      <c r="F185" s="86" t="n"/>
      <c r="G185" s="87" t="n"/>
      <c r="H185" s="88">
        <f>IF(I185="","",IF(AND((I185-G185)&gt;=TIME(0,0,0),(I185-G185)&lt;TIME(0,3,0)),"OK",IF(AND((I185-G185)&gt;=TIME(0,3,0),(I185-G185)&lt;TIME(0,5,0)),"RETRASO DE 3-5 MIN",IF(AND((I185-G185)&gt;=TIME(0,5,0),(I185-G185)&lt;TIME(0,10,0)),"RETRASO DE 5-10 MIN",IF((I185-G185)&gt;=TIME(0,10,0),"RETRASO &gt;10 MIN", IF(AND((G185-I185)&gt;=TIME(0,0,0),(G185-I185)&lt;TIME(0,3,0)),"OK",IF((G185-I185)&gt;=TIME(0,3,0),"ADELANTADO")))))))</f>
        <v/>
      </c>
      <c r="I185" s="89" t="n"/>
      <c r="J185" s="89">
        <f>IF(A185&lt;&gt;"",HLOOKUP(VALUE(TEXT(G185,"h:mm:ss")),IF($C$6="Laboral",$FZ$4:$GX$227,IF($C$6="Sábado",$FZ$231:$GX$452,$FZ$456:$GX$656)),VLOOKUP($C$4,$HF$2:$HH$99,3,0)+IF(C$5="Ida",0,1),1),"")</f>
        <v/>
      </c>
      <c r="K185" s="89">
        <f>IF(A186&lt;&gt;A185,AVERAGEIF(A$9:A185,A185,J$9:J185),"")</f>
        <v/>
      </c>
      <c r="L185" s="89">
        <f>IFERROR(IF(A186&lt;&gt;A185,AVERAGEIF(A$9:A185,A185,S$9:S185),""),"")</f>
        <v/>
      </c>
      <c r="M185" s="89">
        <f>IFERROR(IF(A186&lt;&gt;A185,AVERAGEIF(A$9:A185,A185,T$9:T185),""),"")</f>
        <v/>
      </c>
      <c r="N185" s="89">
        <f t="array" ref="N185">IFERROR(IF(A186&lt;&gt;A185,_xlfn.STDEV.P(IF(A$9:A185=A185,T$9:T185)),""),"")</f>
        <v/>
      </c>
      <c r="O185" s="89">
        <f t="array" ref="O185">IFERROR(IF(A186&lt;&gt;A185,_xlfn.STDEV.P(IF(A$9:A185=A185,S$9:S185)),""),"")</f>
        <v/>
      </c>
      <c r="P185" s="90">
        <f>IFERROR(IF(A185&lt;&gt;A186,MAX((((M185*24*60)/2)*(1+POWER((((N185*24*60) / (M185*24*60) )),2))) + ((M185*24*60 )*-0.1 + (K185*0.015)) +1,(((M185*24*60)/2)*(1+POWER((((N185*24*60) / (M185*24*60 ))),2)))),""),"")</f>
        <v/>
      </c>
      <c r="Q185" s="90">
        <f>IF(AND(O185&lt;&gt;"",L185&lt;&gt;""),IF(A185&lt;&gt;A186,((L185*24*60) / 2 ) * (1 + POWER(((O185*24*60) / (L185*24*60)),2)),""),"")</f>
        <v/>
      </c>
      <c r="R185" s="90">
        <f>IF(Q185&lt;&gt;"",MAX(P185,Q185),"")</f>
        <v/>
      </c>
      <c r="S185" s="89">
        <f>IF(I185&lt;&gt;"H. Sale Real",IF(AND(I186&lt;&gt;"",LEFT(C186,2)&lt;&gt;"Va"),IF(AND(I185&lt;&gt;"",LEFT(C185,2)&lt;&gt;"Va",I185&lt;&gt;"H. Sale Real"),IF(I186-I185&lt;0.208333333333333,I186-I185,""),IF(AND(I184&lt;&gt;"",LEFT(C184,2)&lt;&gt;"Va",I184&lt;&gt;"H. Sale Real"),IF(I186-I184&lt;0.208333333333333,I186-I184,""),IF(AND(I183&lt;&gt;"",LEFT(C183,2)&lt;&gt;"Va",I183&lt;&gt;"H. Sale Real"),IF(I186-I183&lt;0.208333333333333,I186-I183,""),IF(AND(I182&lt;&gt;"",LEFT(C182,2)&lt;&gt;"Va",I182&lt;&gt;"H. Sale Real"),IF(I186-I182&lt;0.208333333333333,I186-I182,""),IF(AND(I181&lt;&gt;"",LEFT(C181,2)&lt;&gt;"Va",I181&lt;&gt;"H. Sale Real"),IF(I186-I181&lt;0.208333333333333,I186-I181,""),""))))),""),"")</f>
        <v/>
      </c>
      <c r="T185" s="89">
        <f>IF(G185&lt;&gt;"H. Sale Real",IF(AND(G186&lt;&gt;"",LEFT(C186,2)&lt;&gt;"Va"),IF(AND(G185&lt;&gt;"",LEFT(C185,2)&lt;&gt;"Va",G185&lt;&gt;"H. Sale Real"),IF(G186-G185&lt;0.208333333333333,G186-G185,""),IF(AND(G184&lt;&gt;"",LEFT(C184,2)&lt;&gt;"Va",G184&lt;&gt;"H. Sale Real"),IF(G186-G184&lt;0.208333333333333,G186-G184,""),IF(AND(G183&lt;&gt;"",LEFT(C183,2)&lt;&gt;"Va",G183&lt;&gt;"H. Sale Real"),IF(G186-G183&lt;0.208333333333333,G186-G183,""),IF(AND(G182&lt;&gt;"",LEFT(C182,2)&lt;&gt;"Va",G182&lt;&gt;"H. Sale Real"),IF(G186-G182&lt;0.208333333333333,G186-G182,""),IF(AND(G181&lt;&gt;"",LEFT(C181,2)&lt;&gt;"Va",G181&lt;&gt;"H. Sale Real"),IF(G186-G181&lt;0.208333333333333,G186-G181,""),""))))),""),"")</f>
        <v/>
      </c>
      <c r="U185" s="87" t="n"/>
      <c r="V185" s="89" t="n"/>
      <c r="W185" s="87" t="n"/>
      <c r="X185" s="89" t="n"/>
      <c r="Y185" s="91" t="n"/>
      <c r="Z185" s="122">
        <f>IF(G185&lt;&gt;"",IF(AND(Z184&lt;&gt;"IE",P185&lt;&gt;0,R185&lt;&gt;""),IF(IFERROR((P185/R185),0) &lt;=1,IFERROR(P185/R185,""),1),""),"")</f>
        <v/>
      </c>
      <c r="AA185" s="93" t="n"/>
      <c r="AB185" s="2" t="n"/>
      <c r="AE185" s="10">
        <f>HOUR(AK185)+1</f>
        <v/>
      </c>
      <c r="AF185" s="7" t="n"/>
      <c r="AG185" s="7" t="n"/>
      <c r="AH185" s="86" t="n"/>
      <c r="AI185" s="8" t="n"/>
      <c r="AJ185" s="86" t="n"/>
      <c r="AK185" s="87" t="n"/>
      <c r="AL185" s="88">
        <f>IF(AM185="","",IF(AND((AM185-AK185)&gt;=TIME(0,0,0),(AM185-AK185)&lt;TIME(0,3,0)),"OK",IF(AND((AM185-AK185)&gt;=TIME(0,3,0),(AM185-AK185)&lt;TIME(0,5,0)),"RETRASO DE 3-5 MIN",IF(AND((AM185-AK185)&gt;=TIME(0,5,0),(AM185-AK185)&lt;TIME(0,10,0)),"RETRASO DE 5-10 MIN",IF((AM185-AK185)&gt;=TIME(0,10,0),"RETRASO &gt;10 MIN", IF(AND((AK185-AM185)&gt;=TIME(0,0,0),(AK185-AM185)&lt;TIME(0,3,0)),"OK",IF((AK185-AM185)&gt;=TIME(0,3,0),"ADELANTADO")))))))</f>
        <v/>
      </c>
      <c r="AM185" s="91" t="n"/>
      <c r="AN185" s="89">
        <f>IF(AE185&lt;&gt;"",HLOOKUP(VALUE(TEXT(AK185,"h:mm:ss")),IF($C$6="Laboral",$FZ$4:$GX$227,IF($C$6="Sábado",$FZ$231:$GX$452,$FZ$456:$GX$656)),VLOOKUP($C$4,$HF$2:$HH$99,3,0)+IF(AG$5="Ida",0,1),1),"")</f>
        <v/>
      </c>
      <c r="AO185" s="89">
        <f>IF(AE186&lt;&gt;AE185,AVERAGEIF(AE$9:AE185,AE185,AN$9:AN185),"")</f>
        <v/>
      </c>
      <c r="AP185" s="89">
        <f>IFERROR(IF(AE186&lt;&gt;AE185,AVERAGEIF(AE$9:AE185,AE185,AW$9:AW185),""),"")</f>
        <v/>
      </c>
      <c r="AQ185" s="89">
        <f>IFERROR(IF(AE186&lt;&gt;AE185,AVERAGEIF(AE$9:AE185,AE185,AX$9:AX185),""),"")</f>
        <v/>
      </c>
      <c r="AR185" s="89">
        <f t="array" ref="AR185">IFERROR(IF(AE186&lt;&gt;AE185,_xlfn.STDEV.P(IF(AE$9:AE185=AE185,AX$9:AX185)),""),"")</f>
        <v/>
      </c>
      <c r="AS185" s="89">
        <f t="array" ref="AS185">IFERROR(IF(AE186&lt;&gt;AE185,_xlfn.STDEV.P(IF(AE$9:AE185=AE185,AW$9:AW185)),""),"")</f>
        <v/>
      </c>
      <c r="AT185" s="90">
        <f>IFERROR(IF(AE185&lt;&gt;AE186,MAX((((AQ185*24*60)/2)*(1+POWER((((AR185*24*60) / (AQ185*24*60) )),2))) + ((AQ185*24*60 )*-0.1 + (AO185*0.015)) +1,(((AQ185*24*60)/2)*(1+POWER((((AR185*24*60) / (AQ185*24*60 ))),2)))),""),"")</f>
        <v/>
      </c>
      <c r="AU185" s="90">
        <f>IF(AND(AS185&lt;&gt;"",AP185&lt;&gt;""),IF(AE185&lt;&gt;AE186,((AP185*24*60) / 2 ) * (1 + POWER(((AS185*24*60) / (AP185*24*60)),2)),""),"")</f>
        <v/>
      </c>
      <c r="AV185" s="90">
        <f>IF(AU185&lt;&gt;"",MAX(AT185,AU185),"")</f>
        <v/>
      </c>
      <c r="AW185" s="89">
        <f>IF(AM185&lt;&gt;"H. Sale Real",IF(AND(AM186&lt;&gt;"",LEFT(AG186,2)&lt;&gt;"Va"),IF(AND(AM185&lt;&gt;"",LEFT(AG185,2)&lt;&gt;"Va",AM185&lt;&gt;"H. Sale Real"),IF(AM186-AM185&lt;0.208333333333333,AM186-AM185,""),IF(AND(AM184&lt;&gt;"",LEFT(AG184,2)&lt;&gt;"Va",AM184&lt;&gt;"H. Sale Real"),IF(AM186-AM184&lt;0.208333333333333,AM186-AM184,""),IF(AND(AM183&lt;&gt;"",LEFT(AG183,2)&lt;&gt;"Va",AM183&lt;&gt;"H. Sale Real"),IF(AM186-AM183&lt;0.208333333333333,AM186-AM183,""),IF(AND(AM182&lt;&gt;"",LEFT(AG182,2)&lt;&gt;"Va",AM182&lt;&gt;"H. Sale Real"),IF(AM186-AM182&lt;0.208333333333333,AM186-AM182,""),IF(AND(AM181&lt;&gt;"",LEFT(AG181,2)&lt;&gt;"Va",AM181&lt;&gt;"H. Sale Real"),IF(AM186-AM181&lt;0.208333333333333,AM186-AM181,""),""))))),""),"")</f>
        <v/>
      </c>
      <c r="AX185" s="89">
        <f>IF(AK185&lt;&gt;"H. Sale Real",IF(AND(AK186&lt;&gt;"",LEFT(AG186,2)&lt;&gt;"Va"),IF(AND(AK185&lt;&gt;"",LEFT(AG185,2)&lt;&gt;"Va",AK185&lt;&gt;"H. Sale Real"),IF(AK186-AK185&lt;0.208333333333333,AK186-AK185,""),IF(AND(AK184&lt;&gt;"",LEFT(AG184,2)&lt;&gt;"Va",AK184&lt;&gt;"H. Sale Real"),IF(AK186-AK184&lt;0.208333333333333,AK186-AK184,""),IF(AND(AK183&lt;&gt;"",LEFT(AG183,2)&lt;&gt;"NC",AK183&lt;&gt;"H. Sale Real"),IF(AK186-AK183&lt;0.208333333333333,AK186-AK183,""),IF(AND(AK182&lt;&gt;"",LEFT(AG182,2)&lt;&gt;"Va",AK182&lt;&gt;"H. Sale Real"),IF(AK186-AK182&lt;0.208333333333333,AK186-AK182,""),IF(AND(AK181&lt;&gt;"",LEFT(AG181,2)&lt;&gt;"Va",AK181&lt;&gt;"H. Sale Real"),IF(AK186-AK181&lt;0.208333333333333,AK186-AK181,""),""))))),""),"")</f>
        <v/>
      </c>
      <c r="AY185" s="87" t="n"/>
      <c r="AZ185" s="89" t="n"/>
      <c r="BA185" s="87" t="n"/>
      <c r="BB185" s="89" t="n"/>
      <c r="BC185" s="91" t="n"/>
      <c r="BD185" s="122">
        <f>IF(AK185&lt;&gt;"",IF(AND(BD184&lt;&gt;"IE",AT185&lt;&gt;0,AV185&lt;&gt;""),IF(IFERROR((AT185/AV185),0) &lt;=1,IFERROR(AT185/AV185,""),1),""),"")</f>
        <v/>
      </c>
      <c r="BE185" s="93" t="n"/>
      <c r="BF185" s="105" t="n"/>
      <c r="FC185" t="inlineStr">
        <is>
          <t>Diccionario 1</t>
        </is>
      </c>
      <c r="FD185" s="15" t="n">
        <v>1177</v>
      </c>
      <c r="FE185" s="15" t="inlineStr">
        <is>
          <t>YV3T7U520LA201620</t>
        </is>
      </c>
      <c r="FF185" s="15" t="n">
        <v>508303</v>
      </c>
      <c r="FG185" s="15" t="inlineStr">
        <is>
          <t>Volvo</t>
        </is>
      </c>
      <c r="FH185" s="15" t="inlineStr">
        <is>
          <t>B8RLEA</t>
        </is>
      </c>
      <c r="FI185" s="15" t="inlineStr">
        <is>
          <t>MARCOPOLO</t>
        </is>
      </c>
      <c r="FJ185" s="15" t="inlineStr">
        <is>
          <t>GRAN VIALE</t>
        </is>
      </c>
      <c r="FK185" s="15" t="n">
        <v>2020</v>
      </c>
      <c r="FL185" s="15" t="inlineStr">
        <is>
          <t>C</t>
        </is>
      </c>
      <c r="FM185" s="15" t="inlineStr">
        <is>
          <t>PIE ANDINO</t>
        </is>
      </c>
      <c r="FN185" s="15" t="inlineStr">
        <is>
          <t>Pie Andino 31 (Pie Andino 383)</t>
        </is>
      </c>
      <c r="FO185" s="15" t="inlineStr">
        <is>
          <t>Puente Alto</t>
        </is>
      </c>
      <c r="FP185" t="inlineStr">
        <is>
          <t>C</t>
        </is>
      </c>
      <c r="FS185" s="14" t="inlineStr">
        <is>
          <t>3046 / SFWB-98|</t>
        </is>
      </c>
      <c r="FT185" t="inlineStr">
        <is>
          <t>SFWB-98|</t>
        </is>
      </c>
      <c r="FU185" t="inlineStr">
        <is>
          <t>SFWB-98</t>
        </is>
      </c>
      <c r="FV185">
        <f>VLOOKUP(FU185,FD:FL,9,0)</f>
        <v/>
      </c>
      <c r="HA185" s="35" t="n">
        <v>182</v>
      </c>
      <c r="HB185" s="35" t="n">
        <v>179</v>
      </c>
    </row>
    <row r="186" ht="15.5" customHeight="1">
      <c r="A186" s="10">
        <f>HOUR(G186)+1</f>
        <v/>
      </c>
      <c r="B186" s="7" t="n"/>
      <c r="C186" s="7" t="n"/>
      <c r="D186" s="85">
        <f>IFERROR(
IF(AND(OR(Planilla!B186="C",Planilla!B186="c"), VLOOKUP(E186,FD:FP,13,0)="C"), "OK",IF(AND(OR(Planilla!B186="C",Planilla!B186="c"), OR(VLOOKUP(E186,FD:FP,13,0)="B", VLOOKUP(E186,FD:FP,13,0)="A")), "DEFICIT",IF(
AND(OR(Planilla!B186="B", Planilla!B186="BPAL"), VLOOKUP(E186,FD:FP,13,0)="B"), "OK",IF(AND(OR(Planilla!B186="B", Planilla!B186="BPAL"), VLOOKUP(E186,FD:FP,13,0)="A"), "DEFICIT",IF(AND(OR(Planilla!B186="B", Planilla!B186="BPAL"), VLOOKUP(E186,FD:FP,13,0)="C"), "SOBREOFERTA",IF(AND(Planilla!B186="A", VLOOKUP(E186,FD:FP,13,0)="A"), "OK",IF(
AND(Planilla!B186="A", OR(VLOOKUP(E186,FD:FP,13,0)="B", VLOOKUP(E186,FD:FP,13,0)="C")), "SOBREOFERTA",""
))))))),"")</f>
        <v/>
      </c>
      <c r="E186" s="8" t="n"/>
      <c r="F186" s="86" t="n"/>
      <c r="G186" s="87" t="n"/>
      <c r="H186" s="88">
        <f>IF(I186="","",IF(AND((I186-G186)&gt;=TIME(0,0,0),(I186-G186)&lt;TIME(0,3,0)),"OK",IF(AND((I186-G186)&gt;=TIME(0,3,0),(I186-G186)&lt;TIME(0,5,0)),"RETRASO DE 3-5 MIN",IF(AND((I186-G186)&gt;=TIME(0,5,0),(I186-G186)&lt;TIME(0,10,0)),"RETRASO DE 5-10 MIN",IF((I186-G186)&gt;=TIME(0,10,0),"RETRASO &gt;10 MIN", IF(AND((G186-I186)&gt;=TIME(0,0,0),(G186-I186)&lt;TIME(0,3,0)),"OK",IF((G186-I186)&gt;=TIME(0,3,0),"ADELANTADO")))))))</f>
        <v/>
      </c>
      <c r="I186" s="89" t="n"/>
      <c r="J186" s="89">
        <f>IF(A186&lt;&gt;"",HLOOKUP(VALUE(TEXT(G186,"h:mm:ss")),IF($C$6="Laboral",$FZ$4:$GX$227,IF($C$6="Sábado",$FZ$231:$GX$452,$FZ$456:$GX$656)),VLOOKUP($C$4,$HF$2:$HH$99,3,0)+IF(C$5="Ida",0,1),1),"")</f>
        <v/>
      </c>
      <c r="K186" s="89">
        <f>IF(A187&lt;&gt;A186,AVERAGEIF(A$9:A186,A186,J$9:J186),"")</f>
        <v/>
      </c>
      <c r="L186" s="89">
        <f>IFERROR(IF(A187&lt;&gt;A186,AVERAGEIF(A$9:A186,A186,S$9:S186),""),"")</f>
        <v/>
      </c>
      <c r="M186" s="89">
        <f>IFERROR(IF(A187&lt;&gt;A186,AVERAGEIF(A$9:A186,A186,T$9:T186),""),"")</f>
        <v/>
      </c>
      <c r="N186" s="89">
        <f t="array" ref="N186">IFERROR(IF(A187&lt;&gt;A186,_xlfn.STDEV.P(IF(A$9:A186=A186,T$9:T186)),""),"")</f>
        <v/>
      </c>
      <c r="O186" s="89">
        <f t="array" ref="O186">IFERROR(IF(A187&lt;&gt;A186,_xlfn.STDEV.P(IF(A$9:A186=A186,S$9:S186)),""),"")</f>
        <v/>
      </c>
      <c r="P186" s="90">
        <f>IFERROR(IF(A186&lt;&gt;A187,MAX((((M186*24*60)/2)*(1+POWER((((N186*24*60) / (M186*24*60) )),2))) + ((M186*24*60 )*-0.1 + (K186*0.015)) +1,(((M186*24*60)/2)*(1+POWER((((N186*24*60) / (M186*24*60 ))),2)))),""),"")</f>
        <v/>
      </c>
      <c r="Q186" s="90">
        <f>IF(AND(O186&lt;&gt;"",L186&lt;&gt;""),IF(A186&lt;&gt;A187,((L186*24*60) / 2 ) * (1 + POWER(((O186*24*60) / (L186*24*60)),2)),""),"")</f>
        <v/>
      </c>
      <c r="R186" s="90">
        <f>IF(Q186&lt;&gt;"",MAX(P186,Q186),"")</f>
        <v/>
      </c>
      <c r="S186" s="89">
        <f>IF(I186&lt;&gt;"H. Sale Real",IF(AND(I187&lt;&gt;"",LEFT(C187,2)&lt;&gt;"Va"),IF(AND(I186&lt;&gt;"",LEFT(C186,2)&lt;&gt;"Va",I186&lt;&gt;"H. Sale Real"),IF(I187-I186&lt;0.208333333333333,I187-I186,""),IF(AND(I185&lt;&gt;"",LEFT(C185,2)&lt;&gt;"Va",I185&lt;&gt;"H. Sale Real"),IF(I187-I185&lt;0.208333333333333,I187-I185,""),IF(AND(I184&lt;&gt;"",LEFT(C184,2)&lt;&gt;"Va",I184&lt;&gt;"H. Sale Real"),IF(I187-I184&lt;0.208333333333333,I187-I184,""),IF(AND(I183&lt;&gt;"",LEFT(C183,2)&lt;&gt;"Va",I183&lt;&gt;"H. Sale Real"),IF(I187-I183&lt;0.208333333333333,I187-I183,""),IF(AND(I182&lt;&gt;"",LEFT(C182,2)&lt;&gt;"Va",I182&lt;&gt;"H. Sale Real"),IF(I187-I182&lt;0.208333333333333,I187-I182,""),""))))),""),"")</f>
        <v/>
      </c>
      <c r="T186" s="89">
        <f>IF(G186&lt;&gt;"H. Sale Real",IF(AND(G187&lt;&gt;"",LEFT(C187,2)&lt;&gt;"Va"),IF(AND(G186&lt;&gt;"",LEFT(C186,2)&lt;&gt;"Va",G186&lt;&gt;"H. Sale Real"),IF(G187-G186&lt;0.208333333333333,G187-G186,""),IF(AND(G185&lt;&gt;"",LEFT(C185,2)&lt;&gt;"Va",G185&lt;&gt;"H. Sale Real"),IF(G187-G185&lt;0.208333333333333,G187-G185,""),IF(AND(G184&lt;&gt;"",LEFT(C184,2)&lt;&gt;"Va",G184&lt;&gt;"H. Sale Real"),IF(G187-G184&lt;0.208333333333333,G187-G184,""),IF(AND(G183&lt;&gt;"",LEFT(C183,2)&lt;&gt;"Va",G183&lt;&gt;"H. Sale Real"),IF(G187-G183&lt;0.208333333333333,G187-G183,""),IF(AND(G182&lt;&gt;"",LEFT(C182,2)&lt;&gt;"Va",G182&lt;&gt;"H. Sale Real"),IF(G187-G182&lt;0.208333333333333,G187-G182,""),""))))),""),"")</f>
        <v/>
      </c>
      <c r="U186" s="87" t="n"/>
      <c r="V186" s="89" t="n"/>
      <c r="W186" s="87" t="n"/>
      <c r="X186" s="89" t="n"/>
      <c r="Y186" s="91" t="n"/>
      <c r="Z186" s="122">
        <f>IF(G186&lt;&gt;"",IF(AND(Z185&lt;&gt;"IE",P186&lt;&gt;0,R186&lt;&gt;""),IF(IFERROR((P186/R186),0) &lt;=1,IFERROR(P186/R186,""),1),""),"")</f>
        <v/>
      </c>
      <c r="AA186" s="93" t="n"/>
      <c r="AB186" s="2" t="n"/>
      <c r="AE186" s="10">
        <f>HOUR(AK186)+1</f>
        <v/>
      </c>
      <c r="AF186" s="7" t="n"/>
      <c r="AG186" s="7" t="n"/>
      <c r="AH186" s="86" t="n"/>
      <c r="AI186" s="8" t="n"/>
      <c r="AJ186" s="86" t="n"/>
      <c r="AK186" s="87" t="n"/>
      <c r="AL186" s="88">
        <f>IF(AM186="","",IF(AND((AM186-AK186)&gt;=TIME(0,0,0),(AM186-AK186)&lt;TIME(0,3,0)),"OK",IF(AND((AM186-AK186)&gt;=TIME(0,3,0),(AM186-AK186)&lt;TIME(0,5,0)),"RETRASO DE 3-5 MIN",IF(AND((AM186-AK186)&gt;=TIME(0,5,0),(AM186-AK186)&lt;TIME(0,10,0)),"RETRASO DE 5-10 MIN",IF((AM186-AK186)&gt;=TIME(0,10,0),"RETRASO &gt;10 MIN", IF(AND((AK186-AM186)&gt;=TIME(0,0,0),(AK186-AM186)&lt;TIME(0,3,0)),"OK",IF((AK186-AM186)&gt;=TIME(0,3,0),"ADELANTADO")))))))</f>
        <v/>
      </c>
      <c r="AM186" s="91" t="n"/>
      <c r="AN186" s="89">
        <f>IF(AE186&lt;&gt;"",HLOOKUP(VALUE(TEXT(AK186,"h:mm:ss")),IF($C$6="Laboral",$FZ$4:$GX$227,IF($C$6="Sábado",$FZ$231:$GX$452,$FZ$456:$GX$656)),VLOOKUP($C$4,$HF$2:$HH$99,3,0)+IF(AG$5="Ida",0,1),1),"")</f>
        <v/>
      </c>
      <c r="AO186" s="89">
        <f>IF(AE187&lt;&gt;AE186,AVERAGEIF(AE$9:AE186,AE186,AN$9:AN186),"")</f>
        <v/>
      </c>
      <c r="AP186" s="89">
        <f>IFERROR(IF(AE187&lt;&gt;AE186,AVERAGEIF(AE$9:AE186,AE186,AW$9:AW186),""),"")</f>
        <v/>
      </c>
      <c r="AQ186" s="89">
        <f>IFERROR(IF(AE187&lt;&gt;AE186,AVERAGEIF(AE$9:AE186,AE186,AX$9:AX186),""),"")</f>
        <v/>
      </c>
      <c r="AR186" s="89">
        <f t="array" ref="AR186">IFERROR(IF(AE187&lt;&gt;AE186,_xlfn.STDEV.P(IF(AE$9:AE186=AE186,AX$9:AX186)),""),"")</f>
        <v/>
      </c>
      <c r="AS186" s="89">
        <f t="array" ref="AS186">IFERROR(IF(AE187&lt;&gt;AE186,_xlfn.STDEV.P(IF(AE$9:AE186=AE186,AW$9:AW186)),""),"")</f>
        <v/>
      </c>
      <c r="AT186" s="90">
        <f>IFERROR(IF(AE186&lt;&gt;AE187,MAX((((AQ186*24*60)/2)*(1+POWER((((AR186*24*60) / (AQ186*24*60) )),2))) + ((AQ186*24*60 )*-0.1 + (AO186*0.015)) +1,(((AQ186*24*60)/2)*(1+POWER((((AR186*24*60) / (AQ186*24*60 ))),2)))),""),"")</f>
        <v/>
      </c>
      <c r="AU186" s="90">
        <f>IF(AND(AS186&lt;&gt;"",AP186&lt;&gt;""),IF(AE186&lt;&gt;AE187,((AP186*24*60) / 2 ) * (1 + POWER(((AS186*24*60) / (AP186*24*60)),2)),""),"")</f>
        <v/>
      </c>
      <c r="AV186" s="90">
        <f>IF(AU186&lt;&gt;"",MAX(AT186,AU186),"")</f>
        <v/>
      </c>
      <c r="AW186" s="89">
        <f>IF(AM186&lt;&gt;"H. Sale Real",IF(AND(AM187&lt;&gt;"",LEFT(AG187,2)&lt;&gt;"Va"),IF(AND(AM186&lt;&gt;"",LEFT(AG186,2)&lt;&gt;"Va",AM186&lt;&gt;"H. Sale Real"),IF(AM187-AM186&lt;0.208333333333333,AM187-AM186,""),IF(AND(AM185&lt;&gt;"",LEFT(AG185,2)&lt;&gt;"Va",AM185&lt;&gt;"H. Sale Real"),IF(AM187-AM185&lt;0.208333333333333,AM187-AM185,""),IF(AND(AM184&lt;&gt;"",LEFT(AG184,2)&lt;&gt;"Va",AM184&lt;&gt;"H. Sale Real"),IF(AM187-AM184&lt;0.208333333333333,AM187-AM184,""),IF(AND(AM183&lt;&gt;"",LEFT(AG183,2)&lt;&gt;"Va",AM183&lt;&gt;"H. Sale Real"),IF(AM187-AM183&lt;0.208333333333333,AM187-AM183,""),IF(AND(AM182&lt;&gt;"",LEFT(AG182,2)&lt;&gt;"Va",AM182&lt;&gt;"H. Sale Real"),IF(AM187-AM182&lt;0.208333333333333,AM187-AM182,""),""))))),""),"")</f>
        <v/>
      </c>
      <c r="AX186" s="89">
        <f>IF(AK186&lt;&gt;"H. Sale Real",IF(AND(AK187&lt;&gt;"",LEFT(AG187,2)&lt;&gt;"Va"),IF(AND(AK186&lt;&gt;"",LEFT(AG186,2)&lt;&gt;"Va",AK186&lt;&gt;"H. Sale Real"),IF(AK187-AK186&lt;0.208333333333333,AK187-AK186,""),IF(AND(AK185&lt;&gt;"",LEFT(AG185,2)&lt;&gt;"Va",AK185&lt;&gt;"H. Sale Real"),IF(AK187-AK185&lt;0.208333333333333,AK187-AK185,""),IF(AND(AK184&lt;&gt;"",LEFT(AG184,2)&lt;&gt;"NC",AK184&lt;&gt;"H. Sale Real"),IF(AK187-AK184&lt;0.208333333333333,AK187-AK184,""),IF(AND(AK183&lt;&gt;"",LEFT(AG183,2)&lt;&gt;"Va",AK183&lt;&gt;"H. Sale Real"),IF(AK187-AK183&lt;0.208333333333333,AK187-AK183,""),IF(AND(AK182&lt;&gt;"",LEFT(AG182,2)&lt;&gt;"Va",AK182&lt;&gt;"H. Sale Real"),IF(AK187-AK182&lt;0.208333333333333,AK187-AK182,""),""))))),""),"")</f>
        <v/>
      </c>
      <c r="AY186" s="87" t="n"/>
      <c r="AZ186" s="89" t="n"/>
      <c r="BA186" s="87" t="n"/>
      <c r="BB186" s="89" t="n"/>
      <c r="BC186" s="91" t="n"/>
      <c r="BD186" s="122">
        <f>IF(AK186&lt;&gt;"",IF(AND(BD185&lt;&gt;"IE",AT186&lt;&gt;0,AV186&lt;&gt;""),IF(IFERROR((AT186/AV186),0) &lt;=1,IFERROR(AT186/AV186,""),1),""),"")</f>
        <v/>
      </c>
      <c r="BE186" s="93" t="n"/>
      <c r="BF186" s="105" t="n"/>
      <c r="FC186" t="inlineStr">
        <is>
          <t>Diccionario 1</t>
        </is>
      </c>
      <c r="FD186" s="15" t="n">
        <v>1178</v>
      </c>
      <c r="FE186" s="15" t="inlineStr">
        <is>
          <t>YV3T7U526LA201606</t>
        </is>
      </c>
      <c r="FF186" s="15" t="n">
        <v>508235</v>
      </c>
      <c r="FG186" s="15" t="inlineStr">
        <is>
          <t>Volvo</t>
        </is>
      </c>
      <c r="FH186" s="15" t="inlineStr">
        <is>
          <t>B8RLEA</t>
        </is>
      </c>
      <c r="FI186" s="15" t="inlineStr">
        <is>
          <t>MARCOPOLO</t>
        </is>
      </c>
      <c r="FJ186" s="15" t="inlineStr">
        <is>
          <t>GRAN VIALE</t>
        </is>
      </c>
      <c r="FK186" s="15" t="n">
        <v>2020</v>
      </c>
      <c r="FL186" s="15" t="inlineStr">
        <is>
          <t>C</t>
        </is>
      </c>
      <c r="FM186" s="15" t="inlineStr">
        <is>
          <t>PIE ANDINO</t>
        </is>
      </c>
      <c r="FN186" s="15" t="inlineStr">
        <is>
          <t>Pie Andino 31 (Pie Andino 383)</t>
        </is>
      </c>
      <c r="FO186" s="15" t="inlineStr">
        <is>
          <t>Puente Alto</t>
        </is>
      </c>
      <c r="FP186" t="inlineStr">
        <is>
          <t>C</t>
        </is>
      </c>
      <c r="FS186" s="14" t="inlineStr">
        <is>
          <t>3046 / SFWB-98|</t>
        </is>
      </c>
      <c r="FT186" t="inlineStr">
        <is>
          <t>SFWB-98|</t>
        </is>
      </c>
      <c r="FU186" t="inlineStr">
        <is>
          <t>SFWB-98</t>
        </is>
      </c>
      <c r="FV186">
        <f>VLOOKUP(FU186,FD:FL,9,0)</f>
        <v/>
      </c>
      <c r="HA186" s="35" t="n">
        <v>183</v>
      </c>
      <c r="HB186" s="35" t="n">
        <v>180</v>
      </c>
    </row>
    <row r="187" ht="15.5" customHeight="1">
      <c r="A187" s="10">
        <f>HOUR(G187)+1</f>
        <v/>
      </c>
      <c r="B187" s="7" t="n"/>
      <c r="C187" s="7" t="n"/>
      <c r="D187" s="85">
        <f>IFERROR(
IF(AND(OR(Planilla!B187="C",Planilla!B187="c"), VLOOKUP(E187,FD:FP,13,0)="C"), "OK",IF(AND(OR(Planilla!B187="C",Planilla!B187="c"), OR(VLOOKUP(E187,FD:FP,13,0)="B", VLOOKUP(E187,FD:FP,13,0)="A")), "DEFICIT",IF(
AND(OR(Planilla!B187="B", Planilla!B187="BPAL"), VLOOKUP(E187,FD:FP,13,0)="B"), "OK",IF(AND(OR(Planilla!B187="B", Planilla!B187="BPAL"), VLOOKUP(E187,FD:FP,13,0)="A"), "DEFICIT",IF(AND(OR(Planilla!B187="B", Planilla!B187="BPAL"), VLOOKUP(E187,FD:FP,13,0)="C"), "SOBREOFERTA",IF(AND(Planilla!B187="A", VLOOKUP(E187,FD:FP,13,0)="A"), "OK",IF(
AND(Planilla!B187="A", OR(VLOOKUP(E187,FD:FP,13,0)="B", VLOOKUP(E187,FD:FP,13,0)="C")), "SOBREOFERTA",""
))))))),"")</f>
        <v/>
      </c>
      <c r="E187" s="8" t="n"/>
      <c r="F187" s="86" t="n"/>
      <c r="G187" s="87" t="n"/>
      <c r="H187" s="88">
        <f>IF(I187="","",IF(AND((I187-G187)&gt;=TIME(0,0,0),(I187-G187)&lt;TIME(0,3,0)),"OK",IF(AND((I187-G187)&gt;=TIME(0,3,0),(I187-G187)&lt;TIME(0,5,0)),"RETRASO DE 3-5 MIN",IF(AND((I187-G187)&gt;=TIME(0,5,0),(I187-G187)&lt;TIME(0,10,0)),"RETRASO DE 5-10 MIN",IF((I187-G187)&gt;=TIME(0,10,0),"RETRASO &gt;10 MIN", IF(AND((G187-I187)&gt;=TIME(0,0,0),(G187-I187)&lt;TIME(0,3,0)),"OK",IF((G187-I187)&gt;=TIME(0,3,0),"ADELANTADO")))))))</f>
        <v/>
      </c>
      <c r="I187" s="89" t="n"/>
      <c r="J187" s="89">
        <f>IF(A187&lt;&gt;"",HLOOKUP(VALUE(TEXT(G187,"h:mm:ss")),IF($C$6="Laboral",$FZ$4:$GX$227,IF($C$6="Sábado",$FZ$231:$GX$452,$FZ$456:$GX$656)),VLOOKUP($C$4,$HF$2:$HH$99,3,0)+IF(C$5="Ida",0,1),1),"")</f>
        <v/>
      </c>
      <c r="K187" s="89">
        <f>IF(A188&lt;&gt;A187,AVERAGEIF(A$9:A187,A187,J$9:J187),"")</f>
        <v/>
      </c>
      <c r="L187" s="89">
        <f>IFERROR(IF(A188&lt;&gt;A187,AVERAGEIF(A$9:A187,A187,S$9:S187),""),"")</f>
        <v/>
      </c>
      <c r="M187" s="89">
        <f>IFERROR(IF(A188&lt;&gt;A187,AVERAGEIF(A$9:A187,A187,T$9:T187),""),"")</f>
        <v/>
      </c>
      <c r="N187" s="89">
        <f t="array" ref="N187">IFERROR(IF(A188&lt;&gt;A187,_xlfn.STDEV.P(IF(A$9:A187=A187,T$9:T187)),""),"")</f>
        <v/>
      </c>
      <c r="O187" s="89">
        <f t="array" ref="O187">IFERROR(IF(A188&lt;&gt;A187,_xlfn.STDEV.P(IF(A$9:A187=A187,S$9:S187)),""),"")</f>
        <v/>
      </c>
      <c r="P187" s="90">
        <f>IFERROR(IF(A187&lt;&gt;A188,MAX((((M187*24*60)/2)*(1+POWER((((N187*24*60) / (M187*24*60) )),2))) + ((M187*24*60 )*-0.1 + (K187*0.015)) +1,(((M187*24*60)/2)*(1+POWER((((N187*24*60) / (M187*24*60 ))),2)))),""),"")</f>
        <v/>
      </c>
      <c r="Q187" s="90">
        <f>IF(AND(O187&lt;&gt;"",L187&lt;&gt;""),IF(A187&lt;&gt;A188,((L187*24*60) / 2 ) * (1 + POWER(((O187*24*60) / (L187*24*60)),2)),""),"")</f>
        <v/>
      </c>
      <c r="R187" s="90">
        <f>IF(Q187&lt;&gt;"",MAX(P187,Q187),"")</f>
        <v/>
      </c>
      <c r="S187" s="89">
        <f>IF(I187&lt;&gt;"H. Sale Real",IF(AND(I188&lt;&gt;"",LEFT(C188,2)&lt;&gt;"Va"),IF(AND(I187&lt;&gt;"",LEFT(C187,2)&lt;&gt;"Va",I187&lt;&gt;"H. Sale Real"),IF(I188-I187&lt;0.208333333333333,I188-I187,""),IF(AND(I186&lt;&gt;"",LEFT(C186,2)&lt;&gt;"Va",I186&lt;&gt;"H. Sale Real"),IF(I188-I186&lt;0.208333333333333,I188-I186,""),IF(AND(I185&lt;&gt;"",LEFT(C185,2)&lt;&gt;"Va",I185&lt;&gt;"H. Sale Real"),IF(I188-I185&lt;0.208333333333333,I188-I185,""),IF(AND(I184&lt;&gt;"",LEFT(C184,2)&lt;&gt;"Va",I184&lt;&gt;"H. Sale Real"),IF(I188-I184&lt;0.208333333333333,I188-I184,""),IF(AND(I183&lt;&gt;"",LEFT(C183,2)&lt;&gt;"Va",I183&lt;&gt;"H. Sale Real"),IF(I188-I183&lt;0.208333333333333,I188-I183,""),""))))),""),"")</f>
        <v/>
      </c>
      <c r="T187" s="89">
        <f>IF(G187&lt;&gt;"H. Sale Real",IF(AND(G188&lt;&gt;"",LEFT(C188,2)&lt;&gt;"Va"),IF(AND(G187&lt;&gt;"",LEFT(C187,2)&lt;&gt;"Va",G187&lt;&gt;"H. Sale Real"),IF(G188-G187&lt;0.208333333333333,G188-G187,""),IF(AND(G186&lt;&gt;"",LEFT(C186,2)&lt;&gt;"Va",G186&lt;&gt;"H. Sale Real"),IF(G188-G186&lt;0.208333333333333,G188-G186,""),IF(AND(G185&lt;&gt;"",LEFT(C185,2)&lt;&gt;"Va",G185&lt;&gt;"H. Sale Real"),IF(G188-G185&lt;0.208333333333333,G188-G185,""),IF(AND(G184&lt;&gt;"",LEFT(C184,2)&lt;&gt;"Va",G184&lt;&gt;"H. Sale Real"),IF(G188-G184&lt;0.208333333333333,G188-G184,""),IF(AND(G183&lt;&gt;"",LEFT(C183,2)&lt;&gt;"Va",G183&lt;&gt;"H. Sale Real"),IF(G188-G183&lt;0.208333333333333,G188-G183,""),""))))),""),"")</f>
        <v/>
      </c>
      <c r="U187" s="87" t="n"/>
      <c r="V187" s="89" t="n"/>
      <c r="W187" s="87" t="n"/>
      <c r="X187" s="89" t="n"/>
      <c r="Y187" s="91" t="n"/>
      <c r="Z187" s="122">
        <f>IF(G187&lt;&gt;"",IF(AND(Z186&lt;&gt;"IE",P187&lt;&gt;0,R187&lt;&gt;""),IF(IFERROR((P187/R187),0) &lt;=1,IFERROR(P187/R187,""),1),""),"")</f>
        <v/>
      </c>
      <c r="AA187" s="93" t="n"/>
      <c r="AB187" s="2" t="n"/>
      <c r="AE187" s="10">
        <f>HOUR(AK187)+1</f>
        <v/>
      </c>
      <c r="AF187" s="7" t="n"/>
      <c r="AG187" s="7" t="n"/>
      <c r="AH187" s="86" t="n"/>
      <c r="AI187" s="8" t="n"/>
      <c r="AJ187" s="86" t="n"/>
      <c r="AK187" s="87" t="n"/>
      <c r="AL187" s="88">
        <f>IF(AM187="","",IF(AND((AM187-AK187)&gt;=TIME(0,0,0),(AM187-AK187)&lt;TIME(0,3,0)),"OK",IF(AND((AM187-AK187)&gt;=TIME(0,3,0),(AM187-AK187)&lt;TIME(0,5,0)),"RETRASO DE 3-5 MIN",IF(AND((AM187-AK187)&gt;=TIME(0,5,0),(AM187-AK187)&lt;TIME(0,10,0)),"RETRASO DE 5-10 MIN",IF((AM187-AK187)&gt;=TIME(0,10,0),"RETRASO &gt;10 MIN", IF(AND((AK187-AM187)&gt;=TIME(0,0,0),(AK187-AM187)&lt;TIME(0,3,0)),"OK",IF((AK187-AM187)&gt;=TIME(0,3,0),"ADELANTADO")))))))</f>
        <v/>
      </c>
      <c r="AM187" s="91" t="n"/>
      <c r="AN187" s="89">
        <f>IF(AE187&lt;&gt;"",HLOOKUP(VALUE(TEXT(AK187,"h:mm:ss")),IF($C$6="Laboral",$FZ$4:$GX$227,IF($C$6="Sábado",$FZ$231:$GX$452,$FZ$456:$GX$656)),VLOOKUP($C$4,$HF$2:$HH$99,3,0)+IF(AG$5="Ida",0,1),1),"")</f>
        <v/>
      </c>
      <c r="AO187" s="89">
        <f>IF(AE188&lt;&gt;AE187,AVERAGEIF(AE$9:AE187,AE187,AN$9:AN187),"")</f>
        <v/>
      </c>
      <c r="AP187" s="89">
        <f>IFERROR(IF(AE188&lt;&gt;AE187,AVERAGEIF(AE$9:AE187,AE187,AW$9:AW187),""),"")</f>
        <v/>
      </c>
      <c r="AQ187" s="89">
        <f>IFERROR(IF(AE188&lt;&gt;AE187,AVERAGEIF(AE$9:AE187,AE187,AX$9:AX187),""),"")</f>
        <v/>
      </c>
      <c r="AR187" s="89">
        <f t="array" ref="AR187">IFERROR(IF(AE188&lt;&gt;AE187,_xlfn.STDEV.P(IF(AE$9:AE187=AE187,AX$9:AX187)),""),"")</f>
        <v/>
      </c>
      <c r="AS187" s="89">
        <f t="array" ref="AS187">IFERROR(IF(AE188&lt;&gt;AE187,_xlfn.STDEV.P(IF(AE$9:AE187=AE187,AW$9:AW187)),""),"")</f>
        <v/>
      </c>
      <c r="AT187" s="90">
        <f>IFERROR(IF(AE187&lt;&gt;AE188,MAX((((AQ187*24*60)/2)*(1+POWER((((AR187*24*60) / (AQ187*24*60) )),2))) + ((AQ187*24*60 )*-0.1 + (AO187*0.015)) +1,(((AQ187*24*60)/2)*(1+POWER((((AR187*24*60) / (AQ187*24*60 ))),2)))),""),"")</f>
        <v/>
      </c>
      <c r="AU187" s="90">
        <f>IF(AND(AS187&lt;&gt;"",AP187&lt;&gt;""),IF(AE187&lt;&gt;AE188,((AP187*24*60) / 2 ) * (1 + POWER(((AS187*24*60) / (AP187*24*60)),2)),""),"")</f>
        <v/>
      </c>
      <c r="AV187" s="90">
        <f>IF(AU187&lt;&gt;"",MAX(AT187,AU187),"")</f>
        <v/>
      </c>
      <c r="AW187" s="89">
        <f>IF(AM187&lt;&gt;"H. Sale Real",IF(AND(AM188&lt;&gt;"",LEFT(AG188,2)&lt;&gt;"Va"),IF(AND(AM187&lt;&gt;"",LEFT(AG187,2)&lt;&gt;"Va",AM187&lt;&gt;"H. Sale Real"),IF(AM188-AM187&lt;0.208333333333333,AM188-AM187,""),IF(AND(AM186&lt;&gt;"",LEFT(AG186,2)&lt;&gt;"Va",AM186&lt;&gt;"H. Sale Real"),IF(AM188-AM186&lt;0.208333333333333,AM188-AM186,""),IF(AND(AM185&lt;&gt;"",LEFT(AG185,2)&lt;&gt;"Va",AM185&lt;&gt;"H. Sale Real"),IF(AM188-AM185&lt;0.208333333333333,AM188-AM185,""),IF(AND(AM184&lt;&gt;"",LEFT(AG184,2)&lt;&gt;"Va",AM184&lt;&gt;"H. Sale Real"),IF(AM188-AM184&lt;0.208333333333333,AM188-AM184,""),IF(AND(AM183&lt;&gt;"",LEFT(AG183,2)&lt;&gt;"Va",AM183&lt;&gt;"H. Sale Real"),IF(AM188-AM183&lt;0.208333333333333,AM188-AM183,""),""))))),""),"")</f>
        <v/>
      </c>
      <c r="AX187" s="89">
        <f>IF(AK187&lt;&gt;"H. Sale Real",IF(AND(AK188&lt;&gt;"",LEFT(AG188,2)&lt;&gt;"Va"),IF(AND(AK187&lt;&gt;"",LEFT(AG187,2)&lt;&gt;"Va",AK187&lt;&gt;"H. Sale Real"),IF(AK188-AK187&lt;0.208333333333333,AK188-AK187,""),IF(AND(AK186&lt;&gt;"",LEFT(AG186,2)&lt;&gt;"Va",AK186&lt;&gt;"H. Sale Real"),IF(AK188-AK186&lt;0.208333333333333,AK188-AK186,""),IF(AND(AK185&lt;&gt;"",LEFT(AG185,2)&lt;&gt;"NC",AK185&lt;&gt;"H. Sale Real"),IF(AK188-AK185&lt;0.208333333333333,AK188-AK185,""),IF(AND(AK184&lt;&gt;"",LEFT(AG184,2)&lt;&gt;"Va",AK184&lt;&gt;"H. Sale Real"),IF(AK188-AK184&lt;0.208333333333333,AK188-AK184,""),IF(AND(AK183&lt;&gt;"",LEFT(AG183,2)&lt;&gt;"Va",AK183&lt;&gt;"H. Sale Real"),IF(AK188-AK183&lt;0.208333333333333,AK188-AK183,""),""))))),""),"")</f>
        <v/>
      </c>
      <c r="AY187" s="87" t="n"/>
      <c r="AZ187" s="89" t="n"/>
      <c r="BA187" s="87" t="n"/>
      <c r="BB187" s="89" t="n"/>
      <c r="BC187" s="91" t="n"/>
      <c r="BD187" s="122">
        <f>IF(AK187&lt;&gt;"",IF(AND(BD186&lt;&gt;"IE",AT187&lt;&gt;0,AV187&lt;&gt;""),IF(IFERROR((AT187/AV187),0) &lt;=1,IFERROR(AT187/AV187,""),1),""),"")</f>
        <v/>
      </c>
      <c r="BE187" s="93" t="n"/>
      <c r="BF187" s="105" t="n"/>
      <c r="FC187" t="inlineStr">
        <is>
          <t>Diccionario 1</t>
        </is>
      </c>
      <c r="FD187" s="15" t="n">
        <v>1179</v>
      </c>
      <c r="FE187" s="15" t="inlineStr">
        <is>
          <t>YV3T7U527LA201498</t>
        </is>
      </c>
      <c r="FF187" s="15" t="n">
        <v>507854</v>
      </c>
      <c r="FG187" s="15" t="inlineStr">
        <is>
          <t>Volvo</t>
        </is>
      </c>
      <c r="FH187" s="15" t="inlineStr">
        <is>
          <t>B8RLEA</t>
        </is>
      </c>
      <c r="FI187" s="15" t="inlineStr">
        <is>
          <t>MARCOPOLO</t>
        </is>
      </c>
      <c r="FJ187" s="15" t="inlineStr">
        <is>
          <t>GRAN VIALE</t>
        </is>
      </c>
      <c r="FK187" s="15" t="n">
        <v>2020</v>
      </c>
      <c r="FL187" s="15" t="inlineStr">
        <is>
          <t>C</t>
        </is>
      </c>
      <c r="FM187" s="15" t="inlineStr">
        <is>
          <t>PIE ANDINO</t>
        </is>
      </c>
      <c r="FN187" s="15" t="inlineStr">
        <is>
          <t>Pie Andino 31 (Pie Andino 383)</t>
        </is>
      </c>
      <c r="FO187" s="15" t="inlineStr">
        <is>
          <t>Puente Alto</t>
        </is>
      </c>
      <c r="FP187" t="inlineStr">
        <is>
          <t>C</t>
        </is>
      </c>
      <c r="FS187" s="14" t="inlineStr">
        <is>
          <t>3046 / SFWB-98|</t>
        </is>
      </c>
      <c r="FT187" t="inlineStr">
        <is>
          <t>SFWB-98|</t>
        </is>
      </c>
      <c r="FU187" t="inlineStr">
        <is>
          <t>SFWB-98</t>
        </is>
      </c>
      <c r="FV187">
        <f>VLOOKUP(FU187,FD:FL,9,0)</f>
        <v/>
      </c>
      <c r="HA187" s="35" t="n">
        <v>184</v>
      </c>
      <c r="HB187" s="35" t="n">
        <v>181</v>
      </c>
    </row>
    <row r="188" ht="15.5" customHeight="1">
      <c r="A188" s="10">
        <f>HOUR(G188)+1</f>
        <v/>
      </c>
      <c r="B188" s="7" t="n"/>
      <c r="C188" s="7" t="n"/>
      <c r="D188" s="85">
        <f>IFERROR(
IF(AND(OR(Planilla!B188="C",Planilla!B188="c"), VLOOKUP(E188,FD:FP,13,0)="C"), "OK",IF(AND(OR(Planilla!B188="C",Planilla!B188="c"), OR(VLOOKUP(E188,FD:FP,13,0)="B", VLOOKUP(E188,FD:FP,13,0)="A")), "DEFICIT",IF(
AND(OR(Planilla!B188="B", Planilla!B188="BPAL"), VLOOKUP(E188,FD:FP,13,0)="B"), "OK",IF(AND(OR(Planilla!B188="B", Planilla!B188="BPAL"), VLOOKUP(E188,FD:FP,13,0)="A"), "DEFICIT",IF(AND(OR(Planilla!B188="B", Planilla!B188="BPAL"), VLOOKUP(E188,FD:FP,13,0)="C"), "SOBREOFERTA",IF(AND(Planilla!B188="A", VLOOKUP(E188,FD:FP,13,0)="A"), "OK",IF(
AND(Planilla!B188="A", OR(VLOOKUP(E188,FD:FP,13,0)="B", VLOOKUP(E188,FD:FP,13,0)="C")), "SOBREOFERTA",""
))))))),"")</f>
        <v/>
      </c>
      <c r="E188" s="8" t="n"/>
      <c r="F188" s="86" t="n"/>
      <c r="G188" s="87" t="n"/>
      <c r="H188" s="88">
        <f>IF(I188="","",IF(AND((I188-G188)&gt;=TIME(0,0,0),(I188-G188)&lt;TIME(0,3,0)),"OK",IF(AND((I188-G188)&gt;=TIME(0,3,0),(I188-G188)&lt;TIME(0,5,0)),"RETRASO DE 3-5 MIN",IF(AND((I188-G188)&gt;=TIME(0,5,0),(I188-G188)&lt;TIME(0,10,0)),"RETRASO DE 5-10 MIN",IF((I188-G188)&gt;=TIME(0,10,0),"RETRASO &gt;10 MIN", IF(AND((G188-I188)&gt;=TIME(0,0,0),(G188-I188)&lt;TIME(0,3,0)),"OK",IF((G188-I188)&gt;=TIME(0,3,0),"ADELANTADO")))))))</f>
        <v/>
      </c>
      <c r="I188" s="89" t="n"/>
      <c r="J188" s="89">
        <f>IF(A188&lt;&gt;"",HLOOKUP(VALUE(TEXT(G188,"h:mm:ss")),IF($C$6="Laboral",$FZ$4:$GX$227,IF($C$6="Sábado",$FZ$231:$GX$452,$FZ$456:$GX$656)),VLOOKUP($C$4,$HF$2:$HH$99,3,0)+IF(C$5="Ida",0,1),1),"")</f>
        <v/>
      </c>
      <c r="K188" s="89">
        <f>IF(A189&lt;&gt;A188,AVERAGEIF(A$9:A188,A188,J$9:J188),"")</f>
        <v/>
      </c>
      <c r="L188" s="89">
        <f>IFERROR(IF(A189&lt;&gt;A188,AVERAGEIF(A$9:A188,A188,S$9:S188),""),"")</f>
        <v/>
      </c>
      <c r="M188" s="89">
        <f>IFERROR(IF(A189&lt;&gt;A188,AVERAGEIF(A$9:A188,A188,T$9:T188),""),"")</f>
        <v/>
      </c>
      <c r="N188" s="89">
        <f t="array" ref="N188">IFERROR(IF(A189&lt;&gt;A188,_xlfn.STDEV.P(IF(A$9:A188=A188,T$9:T188)),""),"")</f>
        <v/>
      </c>
      <c r="O188" s="89">
        <f t="array" ref="O188">IFERROR(IF(A189&lt;&gt;A188,_xlfn.STDEV.P(IF(A$9:A188=A188,S$9:S188)),""),"")</f>
        <v/>
      </c>
      <c r="P188" s="90">
        <f>IFERROR(IF(A188&lt;&gt;A189,MAX((((M188*24*60)/2)*(1+POWER((((N188*24*60) / (M188*24*60) )),2))) + ((M188*24*60 )*-0.1 + (K188*0.015)) +1,(((M188*24*60)/2)*(1+POWER((((N188*24*60) / (M188*24*60 ))),2)))),""),"")</f>
        <v/>
      </c>
      <c r="Q188" s="90">
        <f>IF(AND(O188&lt;&gt;"",L188&lt;&gt;""),IF(A188&lt;&gt;A189,((L188*24*60) / 2 ) * (1 + POWER(((O188*24*60) / (L188*24*60)),2)),""),"")</f>
        <v/>
      </c>
      <c r="R188" s="90">
        <f>IF(Q188&lt;&gt;"",MAX(P188,Q188),"")</f>
        <v/>
      </c>
      <c r="S188" s="89">
        <f>IF(I188&lt;&gt;"H. Sale Real",IF(AND(I189&lt;&gt;"",LEFT(C189,2)&lt;&gt;"Va"),IF(AND(I188&lt;&gt;"",LEFT(C188,2)&lt;&gt;"Va",I188&lt;&gt;"H. Sale Real"),IF(I189-I188&lt;0.208333333333333,I189-I188,""),IF(AND(I187&lt;&gt;"",LEFT(C187,2)&lt;&gt;"Va",I187&lt;&gt;"H. Sale Real"),IF(I189-I187&lt;0.208333333333333,I189-I187,""),IF(AND(I186&lt;&gt;"",LEFT(C186,2)&lt;&gt;"Va",I186&lt;&gt;"H. Sale Real"),IF(I189-I186&lt;0.208333333333333,I189-I186,""),IF(AND(I185&lt;&gt;"",LEFT(C185,2)&lt;&gt;"Va",I185&lt;&gt;"H. Sale Real"),IF(I189-I185&lt;0.208333333333333,I189-I185,""),IF(AND(I184&lt;&gt;"",LEFT(C184,2)&lt;&gt;"Va",I184&lt;&gt;"H. Sale Real"),IF(I189-I184&lt;0.208333333333333,I189-I184,""),""))))),""),"")</f>
        <v/>
      </c>
      <c r="T188" s="89">
        <f>IF(G188&lt;&gt;"H. Sale Real",IF(AND(G189&lt;&gt;"",LEFT(C189,2)&lt;&gt;"Va"),IF(AND(G188&lt;&gt;"",LEFT(C188,2)&lt;&gt;"Va",G188&lt;&gt;"H. Sale Real"),IF(G189-G188&lt;0.208333333333333,G189-G188,""),IF(AND(G187&lt;&gt;"",LEFT(C187,2)&lt;&gt;"Va",G187&lt;&gt;"H. Sale Real"),IF(G189-G187&lt;0.208333333333333,G189-G187,""),IF(AND(G186&lt;&gt;"",LEFT(C186,2)&lt;&gt;"Va",G186&lt;&gt;"H. Sale Real"),IF(G189-G186&lt;0.208333333333333,G189-G186,""),IF(AND(G185&lt;&gt;"",LEFT(C185,2)&lt;&gt;"Va",G185&lt;&gt;"H. Sale Real"),IF(G189-G185&lt;0.208333333333333,G189-G185,""),IF(AND(G184&lt;&gt;"",LEFT(C184,2)&lt;&gt;"Va",G184&lt;&gt;"H. Sale Real"),IF(G189-G184&lt;0.208333333333333,G189-G184,""),""))))),""),"")</f>
        <v/>
      </c>
      <c r="U188" s="87" t="n"/>
      <c r="V188" s="89" t="n"/>
      <c r="W188" s="87" t="n"/>
      <c r="X188" s="89" t="n"/>
      <c r="Y188" s="91" t="n"/>
      <c r="Z188" s="122">
        <f>IF(G188&lt;&gt;"",IF(AND(Z187&lt;&gt;"IE",P188&lt;&gt;0,R188&lt;&gt;""),IF(IFERROR((P188/R188),0) &lt;=1,IFERROR(P188/R188,""),1),""),"")</f>
        <v/>
      </c>
      <c r="AA188" s="93" t="n"/>
      <c r="AB188" s="2" t="n"/>
      <c r="AE188" s="10">
        <f>HOUR(AK188)+1</f>
        <v/>
      </c>
      <c r="AF188" s="7" t="n"/>
      <c r="AG188" s="7" t="n"/>
      <c r="AH188" s="86" t="n"/>
      <c r="AI188" s="8" t="n"/>
      <c r="AJ188" s="86" t="n"/>
      <c r="AK188" s="87" t="n"/>
      <c r="AL188" s="88">
        <f>IF(AM188="","",IF(AND((AM188-AK188)&gt;=TIME(0,0,0),(AM188-AK188)&lt;TIME(0,3,0)),"OK",IF(AND((AM188-AK188)&gt;=TIME(0,3,0),(AM188-AK188)&lt;TIME(0,5,0)),"RETRASO DE 3-5 MIN",IF(AND((AM188-AK188)&gt;=TIME(0,5,0),(AM188-AK188)&lt;TIME(0,10,0)),"RETRASO DE 5-10 MIN",IF((AM188-AK188)&gt;=TIME(0,10,0),"RETRASO &gt;10 MIN", IF(AND((AK188-AM188)&gt;=TIME(0,0,0),(AK188-AM188)&lt;TIME(0,3,0)),"OK",IF((AK188-AM188)&gt;=TIME(0,3,0),"ADELANTADO")))))))</f>
        <v/>
      </c>
      <c r="AM188" s="91" t="n"/>
      <c r="AN188" s="89">
        <f>IF(AE188&lt;&gt;"",HLOOKUP(VALUE(TEXT(AK188,"h:mm:ss")),IF($C$6="Laboral",$FZ$4:$GX$227,IF($C$6="Sábado",$FZ$231:$GX$452,$FZ$456:$GX$656)),VLOOKUP($C$4,$HF$2:$HH$99,3,0)+IF(AG$5="Ida",0,1),1),"")</f>
        <v/>
      </c>
      <c r="AO188" s="89">
        <f>IF(AE189&lt;&gt;AE188,AVERAGEIF(AE$9:AE188,AE188,AN$9:AN188),"")</f>
        <v/>
      </c>
      <c r="AP188" s="89">
        <f>IFERROR(IF(AE189&lt;&gt;AE188,AVERAGEIF(AE$9:AE188,AE188,AW$9:AW188),""),"")</f>
        <v/>
      </c>
      <c r="AQ188" s="89">
        <f>IFERROR(IF(AE189&lt;&gt;AE188,AVERAGEIF(AE$9:AE188,AE188,AX$9:AX188),""),"")</f>
        <v/>
      </c>
      <c r="AR188" s="89">
        <f t="array" ref="AR188">IFERROR(IF(AE189&lt;&gt;AE188,_xlfn.STDEV.P(IF(AE$9:AE188=AE188,AX$9:AX188)),""),"")</f>
        <v/>
      </c>
      <c r="AS188" s="89">
        <f t="array" ref="AS188">IFERROR(IF(AE189&lt;&gt;AE188,_xlfn.STDEV.P(IF(AE$9:AE188=AE188,AW$9:AW188)),""),"")</f>
        <v/>
      </c>
      <c r="AT188" s="90">
        <f>IFERROR(IF(AE188&lt;&gt;AE189,MAX((((AQ188*24*60)/2)*(1+POWER((((AR188*24*60) / (AQ188*24*60) )),2))) + ((AQ188*24*60 )*-0.1 + (AO188*0.015)) +1,(((AQ188*24*60)/2)*(1+POWER((((AR188*24*60) / (AQ188*24*60 ))),2)))),""),"")</f>
        <v/>
      </c>
      <c r="AU188" s="90">
        <f>IF(AND(AS188&lt;&gt;"",AP188&lt;&gt;""),IF(AE188&lt;&gt;AE189,((AP188*24*60) / 2 ) * (1 + POWER(((AS188*24*60) / (AP188*24*60)),2)),""),"")</f>
        <v/>
      </c>
      <c r="AV188" s="90">
        <f>IF(AU188&lt;&gt;"",MAX(AT188,AU188),"")</f>
        <v/>
      </c>
      <c r="AW188" s="89">
        <f>IF(AM188&lt;&gt;"H. Sale Real",IF(AND(AM189&lt;&gt;"",LEFT(AG189,2)&lt;&gt;"Va"),IF(AND(AM188&lt;&gt;"",LEFT(AG188,2)&lt;&gt;"Va",AM188&lt;&gt;"H. Sale Real"),IF(AM189-AM188&lt;0.208333333333333,AM189-AM188,""),IF(AND(AM187&lt;&gt;"",LEFT(AG187,2)&lt;&gt;"Va",AM187&lt;&gt;"H. Sale Real"),IF(AM189-AM187&lt;0.208333333333333,AM189-AM187,""),IF(AND(AM186&lt;&gt;"",LEFT(AG186,2)&lt;&gt;"Va",AM186&lt;&gt;"H. Sale Real"),IF(AM189-AM186&lt;0.208333333333333,AM189-AM186,""),IF(AND(AM185&lt;&gt;"",LEFT(AG185,2)&lt;&gt;"Va",AM185&lt;&gt;"H. Sale Real"),IF(AM189-AM185&lt;0.208333333333333,AM189-AM185,""),IF(AND(AM184&lt;&gt;"",LEFT(AG184,2)&lt;&gt;"Va",AM184&lt;&gt;"H. Sale Real"),IF(AM189-AM184&lt;0.208333333333333,AM189-AM184,""),""))))),""),"")</f>
        <v/>
      </c>
      <c r="AX188" s="89">
        <f>IF(AK188&lt;&gt;"H. Sale Real",IF(AND(AK189&lt;&gt;"",LEFT(AG189,2)&lt;&gt;"Va"),IF(AND(AK188&lt;&gt;"",LEFT(AG188,2)&lt;&gt;"Va",AK188&lt;&gt;"H. Sale Real"),IF(AK189-AK188&lt;0.208333333333333,AK189-AK188,""),IF(AND(AK187&lt;&gt;"",LEFT(AG187,2)&lt;&gt;"Va",AK187&lt;&gt;"H. Sale Real"),IF(AK189-AK187&lt;0.208333333333333,AK189-AK187,""),IF(AND(AK186&lt;&gt;"",LEFT(AG186,2)&lt;&gt;"NC",AK186&lt;&gt;"H. Sale Real"),IF(AK189-AK186&lt;0.208333333333333,AK189-AK186,""),IF(AND(AK185&lt;&gt;"",LEFT(AG185,2)&lt;&gt;"Va",AK185&lt;&gt;"H. Sale Real"),IF(AK189-AK185&lt;0.208333333333333,AK189-AK185,""),IF(AND(AK184&lt;&gt;"",LEFT(AG184,2)&lt;&gt;"Va",AK184&lt;&gt;"H. Sale Real"),IF(AK189-AK184&lt;0.208333333333333,AK189-AK184,""),""))))),""),"")</f>
        <v/>
      </c>
      <c r="AY188" s="87" t="n"/>
      <c r="AZ188" s="89" t="n"/>
      <c r="BA188" s="87" t="n"/>
      <c r="BB188" s="89" t="n"/>
      <c r="BC188" s="91" t="n"/>
      <c r="BD188" s="122">
        <f>IF(AK188&lt;&gt;"",IF(AND(BD187&lt;&gt;"IE",AT188&lt;&gt;0,AV188&lt;&gt;""),IF(IFERROR((AT188/AV188),0) &lt;=1,IFERROR(AT188/AV188,""),1),""),"")</f>
        <v/>
      </c>
      <c r="BE188" s="93" t="n"/>
      <c r="BF188" s="105" t="n"/>
      <c r="FC188" t="inlineStr">
        <is>
          <t>Diccionario 1</t>
        </is>
      </c>
      <c r="FD188" s="15" t="n">
        <v>1230</v>
      </c>
      <c r="FE188" s="15" t="inlineStr">
        <is>
          <t>YV3T7U522LA201540</t>
        </is>
      </c>
      <c r="FF188" s="15" t="n">
        <v>507955</v>
      </c>
      <c r="FG188" s="15" t="inlineStr">
        <is>
          <t>Volvo</t>
        </is>
      </c>
      <c r="FH188" s="15" t="inlineStr">
        <is>
          <t>B8RLEA</t>
        </is>
      </c>
      <c r="FI188" s="15" t="inlineStr">
        <is>
          <t>MARCOPOLO</t>
        </is>
      </c>
      <c r="FJ188" s="15" t="inlineStr">
        <is>
          <t>GRAN VIALE</t>
        </is>
      </c>
      <c r="FK188" s="15" t="n">
        <v>2020</v>
      </c>
      <c r="FL188" s="15" t="inlineStr">
        <is>
          <t>C</t>
        </is>
      </c>
      <c r="FM188" s="15" t="inlineStr">
        <is>
          <t>SAN ALFONSO</t>
        </is>
      </c>
      <c r="FN188" s="15" t="inlineStr">
        <is>
          <t>San Alfonso 2141 (Ramón Subercaseaux 3060)</t>
        </is>
      </c>
      <c r="FO188" s="15" t="inlineStr">
        <is>
          <t>Estacion Central</t>
        </is>
      </c>
      <c r="FP188" t="inlineStr">
        <is>
          <t>C</t>
        </is>
      </c>
      <c r="FS188" s="14" t="inlineStr">
        <is>
          <t>3047 / SFVZ-39|</t>
        </is>
      </c>
      <c r="FT188" t="inlineStr">
        <is>
          <t>SFVZ-39|</t>
        </is>
      </c>
      <c r="FU188" t="inlineStr">
        <is>
          <t>SFVZ-39</t>
        </is>
      </c>
      <c r="FV188">
        <f>VLOOKUP(FU188,FD:FL,9,0)</f>
        <v/>
      </c>
      <c r="HA188" s="35" t="n">
        <v>185</v>
      </c>
      <c r="HB188" s="35" t="n">
        <v>182</v>
      </c>
    </row>
    <row r="189" ht="15.5" customHeight="1">
      <c r="A189" s="10">
        <f>HOUR(G189)+1</f>
        <v/>
      </c>
      <c r="B189" s="7" t="n"/>
      <c r="C189" s="7" t="n"/>
      <c r="D189" s="85">
        <f>IFERROR(
IF(AND(OR(Planilla!B189="C",Planilla!B189="c"), VLOOKUP(E189,FD:FP,13,0)="C"), "OK",IF(AND(OR(Planilla!B189="C",Planilla!B189="c"), OR(VLOOKUP(E189,FD:FP,13,0)="B", VLOOKUP(E189,FD:FP,13,0)="A")), "DEFICIT",IF(
AND(OR(Planilla!B189="B", Planilla!B189="BPAL"), VLOOKUP(E189,FD:FP,13,0)="B"), "OK",IF(AND(OR(Planilla!B189="B", Planilla!B189="BPAL"), VLOOKUP(E189,FD:FP,13,0)="A"), "DEFICIT",IF(AND(OR(Planilla!B189="B", Planilla!B189="BPAL"), VLOOKUP(E189,FD:FP,13,0)="C"), "SOBREOFERTA",IF(AND(Planilla!B189="A", VLOOKUP(E189,FD:FP,13,0)="A"), "OK",IF(
AND(Planilla!B189="A", OR(VLOOKUP(E189,FD:FP,13,0)="B", VLOOKUP(E189,FD:FP,13,0)="C")), "SOBREOFERTA",""
))))))),"")</f>
        <v/>
      </c>
      <c r="E189" s="8" t="n"/>
      <c r="F189" s="86" t="n"/>
      <c r="G189" s="87" t="n"/>
      <c r="H189" s="88">
        <f>IF(I189="","",IF(AND((I189-G189)&gt;=TIME(0,0,0),(I189-G189)&lt;TIME(0,3,0)),"OK",IF(AND((I189-G189)&gt;=TIME(0,3,0),(I189-G189)&lt;TIME(0,5,0)),"RETRASO DE 3-5 MIN",IF(AND((I189-G189)&gt;=TIME(0,5,0),(I189-G189)&lt;TIME(0,10,0)),"RETRASO DE 5-10 MIN",IF((I189-G189)&gt;=TIME(0,10,0),"RETRASO &gt;10 MIN", IF(AND((G189-I189)&gt;=TIME(0,0,0),(G189-I189)&lt;TIME(0,3,0)),"OK",IF((G189-I189)&gt;=TIME(0,3,0),"ADELANTADO")))))))</f>
        <v/>
      </c>
      <c r="I189" s="89" t="n"/>
      <c r="J189" s="89">
        <f>IF(A189&lt;&gt;"",HLOOKUP(VALUE(TEXT(G189,"h:mm:ss")),IF($C$6="Laboral",$FZ$4:$GX$227,IF($C$6="Sábado",$FZ$231:$GX$452,$FZ$456:$GX$656)),VLOOKUP($C$4,$HF$2:$HH$99,3,0)+IF(C$5="Ida",0,1),1),"")</f>
        <v/>
      </c>
      <c r="K189" s="89">
        <f>IF(A190&lt;&gt;A189,AVERAGEIF(A$9:A189,A189,J$9:J189),"")</f>
        <v/>
      </c>
      <c r="L189" s="89">
        <f>IFERROR(IF(A190&lt;&gt;A189,AVERAGEIF(A$9:A189,A189,S$9:S189),""),"")</f>
        <v/>
      </c>
      <c r="M189" s="89">
        <f>IFERROR(IF(A190&lt;&gt;A189,AVERAGEIF(A$9:A189,A189,T$9:T189),""),"")</f>
        <v/>
      </c>
      <c r="N189" s="89">
        <f t="array" ref="N189">IFERROR(IF(A190&lt;&gt;A189,_xlfn.STDEV.P(IF(A$9:A189=A189,T$9:T189)),""),"")</f>
        <v/>
      </c>
      <c r="O189" s="89">
        <f t="array" ref="O189">IFERROR(IF(A190&lt;&gt;A189,_xlfn.STDEV.P(IF(A$9:A189=A189,S$9:S189)),""),"")</f>
        <v/>
      </c>
      <c r="P189" s="90">
        <f>IFERROR(IF(A189&lt;&gt;A190,MAX((((M189*24*60)/2)*(1+POWER((((N189*24*60) / (M189*24*60) )),2))) + ((M189*24*60 )*-0.1 + (K189*0.015)) +1,(((M189*24*60)/2)*(1+POWER((((N189*24*60) / (M189*24*60 ))),2)))),""),"")</f>
        <v/>
      </c>
      <c r="Q189" s="90">
        <f>IF(AND(O189&lt;&gt;"",L189&lt;&gt;""),IF(A189&lt;&gt;A190,((L189*24*60) / 2 ) * (1 + POWER(((O189*24*60) / (L189*24*60)),2)),""),"")</f>
        <v/>
      </c>
      <c r="R189" s="90">
        <f>IF(Q189&lt;&gt;"",MAX(P189,Q189),"")</f>
        <v/>
      </c>
      <c r="S189" s="89">
        <f>IF(I189&lt;&gt;"H. Sale Real",IF(AND(I190&lt;&gt;"",LEFT(C190,2)&lt;&gt;"Va"),IF(AND(I189&lt;&gt;"",LEFT(C189,2)&lt;&gt;"Va",I189&lt;&gt;"H. Sale Real"),IF(I190-I189&lt;0.208333333333333,I190-I189,""),IF(AND(I188&lt;&gt;"",LEFT(C188,2)&lt;&gt;"Va",I188&lt;&gt;"H. Sale Real"),IF(I190-I188&lt;0.208333333333333,I190-I188,""),IF(AND(I187&lt;&gt;"",LEFT(C187,2)&lt;&gt;"Va",I187&lt;&gt;"H. Sale Real"),IF(I190-I187&lt;0.208333333333333,I190-I187,""),IF(AND(I186&lt;&gt;"",LEFT(C186,2)&lt;&gt;"Va",I186&lt;&gt;"H. Sale Real"),IF(I190-I186&lt;0.208333333333333,I190-I186,""),IF(AND(I185&lt;&gt;"",LEFT(C185,2)&lt;&gt;"Va",I185&lt;&gt;"H. Sale Real"),IF(I190-I185&lt;0.208333333333333,I190-I185,""),""))))),""),"")</f>
        <v/>
      </c>
      <c r="T189" s="89">
        <f>IF(G189&lt;&gt;"H. Sale Real",IF(AND(G190&lt;&gt;"",LEFT(C190,2)&lt;&gt;"Va"),IF(AND(G189&lt;&gt;"",LEFT(C189,2)&lt;&gt;"Va",G189&lt;&gt;"H. Sale Real"),IF(G190-G189&lt;0.208333333333333,G190-G189,""),IF(AND(G188&lt;&gt;"",LEFT(C188,2)&lt;&gt;"Va",G188&lt;&gt;"H. Sale Real"),IF(G190-G188&lt;0.208333333333333,G190-G188,""),IF(AND(G187&lt;&gt;"",LEFT(C187,2)&lt;&gt;"Va",G187&lt;&gt;"H. Sale Real"),IF(G190-G187&lt;0.208333333333333,G190-G187,""),IF(AND(G186&lt;&gt;"",LEFT(C186,2)&lt;&gt;"Va",G186&lt;&gt;"H. Sale Real"),IF(G190-G186&lt;0.208333333333333,G190-G186,""),IF(AND(G185&lt;&gt;"",LEFT(C185,2)&lt;&gt;"Va",G185&lt;&gt;"H. Sale Real"),IF(G190-G185&lt;0.208333333333333,G190-G185,""),""))))),""),"")</f>
        <v/>
      </c>
      <c r="U189" s="87" t="n"/>
      <c r="V189" s="89" t="n"/>
      <c r="W189" s="87" t="n"/>
      <c r="X189" s="89" t="n"/>
      <c r="Y189" s="91" t="n"/>
      <c r="Z189" s="122">
        <f>IF(G189&lt;&gt;"",IF(AND(Z188&lt;&gt;"IE",P189&lt;&gt;0,R189&lt;&gt;""),IF(IFERROR((P189/R189),0) &lt;=1,IFERROR(P189/R189,""),1),""),"")</f>
        <v/>
      </c>
      <c r="AA189" s="93" t="n"/>
      <c r="AB189" s="2" t="n"/>
      <c r="AE189" s="10">
        <f>HOUR(AK189)+1</f>
        <v/>
      </c>
      <c r="AF189" s="7" t="n"/>
      <c r="AG189" s="7" t="n"/>
      <c r="AH189" s="86" t="n"/>
      <c r="AI189" s="8" t="n"/>
      <c r="AJ189" s="86" t="n"/>
      <c r="AK189" s="87" t="n"/>
      <c r="AL189" s="88">
        <f>IF(AM189="","",IF(AND((AM189-AK189)&gt;=TIME(0,0,0),(AM189-AK189)&lt;TIME(0,3,0)),"OK",IF(AND((AM189-AK189)&gt;=TIME(0,3,0),(AM189-AK189)&lt;TIME(0,5,0)),"RETRASO DE 3-5 MIN",IF(AND((AM189-AK189)&gt;=TIME(0,5,0),(AM189-AK189)&lt;TIME(0,10,0)),"RETRASO DE 5-10 MIN",IF((AM189-AK189)&gt;=TIME(0,10,0),"RETRASO &gt;10 MIN", IF(AND((AK189-AM189)&gt;=TIME(0,0,0),(AK189-AM189)&lt;TIME(0,3,0)),"OK",IF((AK189-AM189)&gt;=TIME(0,3,0),"ADELANTADO")))))))</f>
        <v/>
      </c>
      <c r="AM189" s="91" t="n"/>
      <c r="AN189" s="89">
        <f>IF(AE189&lt;&gt;"",HLOOKUP(VALUE(TEXT(AK189,"h:mm:ss")),IF($C$6="Laboral",$FZ$4:$GX$227,IF($C$6="Sábado",$FZ$231:$GX$452,$FZ$456:$GX$656)),VLOOKUP($C$4,$HF$2:$HH$99,3,0)+IF(AG$5="Ida",0,1),1),"")</f>
        <v/>
      </c>
      <c r="AO189" s="89">
        <f>IF(AE190&lt;&gt;AE189,AVERAGEIF(AE$9:AE189,AE189,AN$9:AN189),"")</f>
        <v/>
      </c>
      <c r="AP189" s="89">
        <f>IFERROR(IF(AE190&lt;&gt;AE189,AVERAGEIF(AE$9:AE189,AE189,AW$9:AW189),""),"")</f>
        <v/>
      </c>
      <c r="AQ189" s="89">
        <f>IFERROR(IF(AE190&lt;&gt;AE189,AVERAGEIF(AE$9:AE189,AE189,AX$9:AX189),""),"")</f>
        <v/>
      </c>
      <c r="AR189" s="89">
        <f t="array" ref="AR189">IFERROR(IF(AE190&lt;&gt;AE189,_xlfn.STDEV.P(IF(AE$9:AE189=AE189,AX$9:AX189)),""),"")</f>
        <v/>
      </c>
      <c r="AS189" s="89">
        <f t="array" ref="AS189">IFERROR(IF(AE190&lt;&gt;AE189,_xlfn.STDEV.P(IF(AE$9:AE189=AE189,AW$9:AW189)),""),"")</f>
        <v/>
      </c>
      <c r="AT189" s="90">
        <f>IFERROR(IF(AE189&lt;&gt;AE190,MAX((((AQ189*24*60)/2)*(1+POWER((((AR189*24*60) / (AQ189*24*60) )),2))) + ((AQ189*24*60 )*-0.1 + (AO189*0.015)) +1,(((AQ189*24*60)/2)*(1+POWER((((AR189*24*60) / (AQ189*24*60 ))),2)))),""),"")</f>
        <v/>
      </c>
      <c r="AU189" s="90">
        <f>IF(AND(AS189&lt;&gt;"",AP189&lt;&gt;""),IF(AE189&lt;&gt;AE190,((AP189*24*60) / 2 ) * (1 + POWER(((AS189*24*60) / (AP189*24*60)),2)),""),"")</f>
        <v/>
      </c>
      <c r="AV189" s="90">
        <f>IF(AU189&lt;&gt;"",MAX(AT189,AU189),"")</f>
        <v/>
      </c>
      <c r="AW189" s="89">
        <f>IF(AM189&lt;&gt;"H. Sale Real",IF(AND(AM190&lt;&gt;"",LEFT(AG190,2)&lt;&gt;"Va"),IF(AND(AM189&lt;&gt;"",LEFT(AG189,2)&lt;&gt;"Va",AM189&lt;&gt;"H. Sale Real"),IF(AM190-AM189&lt;0.208333333333333,AM190-AM189,""),IF(AND(AM188&lt;&gt;"",LEFT(AG188,2)&lt;&gt;"Va",AM188&lt;&gt;"H. Sale Real"),IF(AM190-AM188&lt;0.208333333333333,AM190-AM188,""),IF(AND(AM187&lt;&gt;"",LEFT(AG187,2)&lt;&gt;"Va",AM187&lt;&gt;"H. Sale Real"),IF(AM190-AM187&lt;0.208333333333333,AM190-AM187,""),IF(AND(AM186&lt;&gt;"",LEFT(AG186,2)&lt;&gt;"Va",AM186&lt;&gt;"H. Sale Real"),IF(AM190-AM186&lt;0.208333333333333,AM190-AM186,""),IF(AND(AM185&lt;&gt;"",LEFT(AG185,2)&lt;&gt;"Va",AM185&lt;&gt;"H. Sale Real"),IF(AM190-AM185&lt;0.208333333333333,AM190-AM185,""),""))))),""),"")</f>
        <v/>
      </c>
      <c r="AX189" s="89">
        <f>IF(AK189&lt;&gt;"H. Sale Real",IF(AND(AK190&lt;&gt;"",LEFT(AG190,2)&lt;&gt;"Va"),IF(AND(AK189&lt;&gt;"",LEFT(AG189,2)&lt;&gt;"Va",AK189&lt;&gt;"H. Sale Real"),IF(AK190-AK189&lt;0.208333333333333,AK190-AK189,""),IF(AND(AK188&lt;&gt;"",LEFT(AG188,2)&lt;&gt;"Va",AK188&lt;&gt;"H. Sale Real"),IF(AK190-AK188&lt;0.208333333333333,AK190-AK188,""),IF(AND(AK187&lt;&gt;"",LEFT(AG187,2)&lt;&gt;"NC",AK187&lt;&gt;"H. Sale Real"),IF(AK190-AK187&lt;0.208333333333333,AK190-AK187,""),IF(AND(AK186&lt;&gt;"",LEFT(AG186,2)&lt;&gt;"Va",AK186&lt;&gt;"H. Sale Real"),IF(AK190-AK186&lt;0.208333333333333,AK190-AK186,""),IF(AND(AK185&lt;&gt;"",LEFT(AG185,2)&lt;&gt;"Va",AK185&lt;&gt;"H. Sale Real"),IF(AK190-AK185&lt;0.208333333333333,AK190-AK185,""),""))))),""),"")</f>
        <v/>
      </c>
      <c r="AY189" s="87" t="n"/>
      <c r="AZ189" s="89" t="n"/>
      <c r="BA189" s="87" t="n"/>
      <c r="BB189" s="89" t="n"/>
      <c r="BC189" s="91" t="n"/>
      <c r="BD189" s="122">
        <f>IF(AK189&lt;&gt;"",IF(AND(BD188&lt;&gt;"IE",AT189&lt;&gt;0,AV189&lt;&gt;""),IF(IFERROR((AT189/AV189),0) &lt;=1,IFERROR(AT189/AV189,""),1),""),"")</f>
        <v/>
      </c>
      <c r="BE189" s="93" t="n"/>
      <c r="BF189" s="105" t="n"/>
      <c r="FC189" t="inlineStr">
        <is>
          <t>Diccionario 1</t>
        </is>
      </c>
      <c r="FD189" s="15" t="n">
        <v>1180</v>
      </c>
      <c r="FE189" s="15" t="inlineStr">
        <is>
          <t>YV3T7U526LA201668</t>
        </is>
      </c>
      <c r="FF189" s="15" t="n">
        <v>508633</v>
      </c>
      <c r="FG189" s="15" t="inlineStr">
        <is>
          <t>Volvo</t>
        </is>
      </c>
      <c r="FH189" s="15" t="inlineStr">
        <is>
          <t>B8RLEA</t>
        </is>
      </c>
      <c r="FI189" s="15" t="inlineStr">
        <is>
          <t>MARCOPOLO</t>
        </is>
      </c>
      <c r="FJ189" s="15" t="inlineStr">
        <is>
          <t>GRAN VIALE</t>
        </is>
      </c>
      <c r="FK189" s="15" t="n">
        <v>2020</v>
      </c>
      <c r="FL189" s="15" t="inlineStr">
        <is>
          <t>C</t>
        </is>
      </c>
      <c r="FM189" s="15" t="inlineStr">
        <is>
          <t>PIE ANDINO</t>
        </is>
      </c>
      <c r="FN189" s="15" t="inlineStr">
        <is>
          <t>Pie Andino 31 (Pie Andino 383)</t>
        </is>
      </c>
      <c r="FO189" s="15" t="inlineStr">
        <is>
          <t>Puente Alto</t>
        </is>
      </c>
      <c r="FP189" t="inlineStr">
        <is>
          <t>C</t>
        </is>
      </c>
      <c r="FS189" s="14" t="inlineStr">
        <is>
          <t>3047 / SFVZ-39|</t>
        </is>
      </c>
      <c r="FT189" t="inlineStr">
        <is>
          <t>SFVZ-39|</t>
        </is>
      </c>
      <c r="FU189" t="inlineStr">
        <is>
          <t>SFVZ-39</t>
        </is>
      </c>
      <c r="FV189">
        <f>VLOOKUP(FU189,FD:FL,9,0)</f>
        <v/>
      </c>
      <c r="HA189" s="35" t="n">
        <v>186</v>
      </c>
      <c r="HB189" s="35" t="n">
        <v>183</v>
      </c>
    </row>
    <row r="190" ht="15.5" customHeight="1">
      <c r="A190" s="10">
        <f>HOUR(G190)+1</f>
        <v/>
      </c>
      <c r="B190" s="7" t="n"/>
      <c r="C190" s="7" t="n"/>
      <c r="D190" s="85">
        <f>IFERROR(
IF(AND(OR(Planilla!B190="C",Planilla!B190="c"), VLOOKUP(E190,FD:FP,13,0)="C"), "OK",IF(AND(OR(Planilla!B190="C",Planilla!B190="c"), OR(VLOOKUP(E190,FD:FP,13,0)="B", VLOOKUP(E190,FD:FP,13,0)="A")), "DEFICIT",IF(
AND(OR(Planilla!B190="B", Planilla!B190="BPAL"), VLOOKUP(E190,FD:FP,13,0)="B"), "OK",IF(AND(OR(Planilla!B190="B", Planilla!B190="BPAL"), VLOOKUP(E190,FD:FP,13,0)="A"), "DEFICIT",IF(AND(OR(Planilla!B190="B", Planilla!B190="BPAL"), VLOOKUP(E190,FD:FP,13,0)="C"), "SOBREOFERTA",IF(AND(Planilla!B190="A", VLOOKUP(E190,FD:FP,13,0)="A"), "OK",IF(
AND(Planilla!B190="A", OR(VLOOKUP(E190,FD:FP,13,0)="B", VLOOKUP(E190,FD:FP,13,0)="C")), "SOBREOFERTA",""
))))))),"")</f>
        <v/>
      </c>
      <c r="E190" s="8" t="n"/>
      <c r="F190" s="86" t="n"/>
      <c r="G190" s="87" t="n"/>
      <c r="H190" s="88">
        <f>IF(I190="","",IF(AND((I190-G190)&gt;=TIME(0,0,0),(I190-G190)&lt;TIME(0,3,0)),"OK",IF(AND((I190-G190)&gt;=TIME(0,3,0),(I190-G190)&lt;TIME(0,5,0)),"RETRASO DE 3-5 MIN",IF(AND((I190-G190)&gt;=TIME(0,5,0),(I190-G190)&lt;TIME(0,10,0)),"RETRASO DE 5-10 MIN",IF((I190-G190)&gt;=TIME(0,10,0),"RETRASO &gt;10 MIN", IF(AND((G190-I190)&gt;=TIME(0,0,0),(G190-I190)&lt;TIME(0,3,0)),"OK",IF((G190-I190)&gt;=TIME(0,3,0),"ADELANTADO")))))))</f>
        <v/>
      </c>
      <c r="I190" s="89" t="n"/>
      <c r="J190" s="89">
        <f>IF(A190&lt;&gt;"",HLOOKUP(VALUE(TEXT(G190,"h:mm:ss")),IF($C$6="Laboral",$FZ$4:$GX$227,IF($C$6="Sábado",$FZ$231:$GX$452,$FZ$456:$GX$656)),VLOOKUP($C$4,$HF$2:$HH$99,3,0)+IF(C$5="Ida",0,1),1),"")</f>
        <v/>
      </c>
      <c r="K190" s="89">
        <f>IF(A191&lt;&gt;A190,AVERAGEIF(A$9:A190,A190,J$9:J190),"")</f>
        <v/>
      </c>
      <c r="L190" s="89">
        <f>IFERROR(IF(A191&lt;&gt;A190,AVERAGEIF(A$9:A190,A190,S$9:S190),""),"")</f>
        <v/>
      </c>
      <c r="M190" s="89">
        <f>IFERROR(IF(A191&lt;&gt;A190,AVERAGEIF(A$9:A190,A190,T$9:T190),""),"")</f>
        <v/>
      </c>
      <c r="N190" s="89">
        <f t="array" ref="N190">IFERROR(IF(A191&lt;&gt;A190,_xlfn.STDEV.P(IF(A$9:A190=A190,T$9:T190)),""),"")</f>
        <v/>
      </c>
      <c r="O190" s="89">
        <f t="array" ref="O190">IFERROR(IF(A191&lt;&gt;A190,_xlfn.STDEV.P(IF(A$9:A190=A190,S$9:S190)),""),"")</f>
        <v/>
      </c>
      <c r="P190" s="90">
        <f>IFERROR(IF(A190&lt;&gt;A191,MAX((((M190*24*60)/2)*(1+POWER((((N190*24*60) / (M190*24*60) )),2))) + ((M190*24*60 )*-0.1 + (K190*0.015)) +1,(((M190*24*60)/2)*(1+POWER((((N190*24*60) / (M190*24*60 ))),2)))),""),"")</f>
        <v/>
      </c>
      <c r="Q190" s="90">
        <f>IF(AND(O190&lt;&gt;"",L190&lt;&gt;""),IF(A190&lt;&gt;A191,((L190*24*60) / 2 ) * (1 + POWER(((O190*24*60) / (L190*24*60)),2)),""),"")</f>
        <v/>
      </c>
      <c r="R190" s="90">
        <f>IF(Q190&lt;&gt;"",MAX(P190,Q190),"")</f>
        <v/>
      </c>
      <c r="S190" s="89">
        <f>IF(I190&lt;&gt;"H. Sale Real",IF(AND(I191&lt;&gt;"",LEFT(C191,2)&lt;&gt;"Va"),IF(AND(I190&lt;&gt;"",LEFT(C190,2)&lt;&gt;"Va",I190&lt;&gt;"H. Sale Real"),IF(I191-I190&lt;0.208333333333333,I191-I190,""),IF(AND(I189&lt;&gt;"",LEFT(C189,2)&lt;&gt;"Va",I189&lt;&gt;"H. Sale Real"),IF(I191-I189&lt;0.208333333333333,I191-I189,""),IF(AND(I188&lt;&gt;"",LEFT(C188,2)&lt;&gt;"Va",I188&lt;&gt;"H. Sale Real"),IF(I191-I188&lt;0.208333333333333,I191-I188,""),IF(AND(I187&lt;&gt;"",LEFT(C187,2)&lt;&gt;"Va",I187&lt;&gt;"H. Sale Real"),IF(I191-I187&lt;0.208333333333333,I191-I187,""),IF(AND(I186&lt;&gt;"",LEFT(C186,2)&lt;&gt;"Va",I186&lt;&gt;"H. Sale Real"),IF(I191-I186&lt;0.208333333333333,I191-I186,""),""))))),""),"")</f>
        <v/>
      </c>
      <c r="T190" s="89">
        <f>IF(G190&lt;&gt;"H. Sale Real",IF(AND(G191&lt;&gt;"",LEFT(C191,2)&lt;&gt;"Va"),IF(AND(G190&lt;&gt;"",LEFT(C190,2)&lt;&gt;"Va",G190&lt;&gt;"H. Sale Real"),IF(G191-G190&lt;0.208333333333333,G191-G190,""),IF(AND(G189&lt;&gt;"",LEFT(C189,2)&lt;&gt;"Va",G189&lt;&gt;"H. Sale Real"),IF(G191-G189&lt;0.208333333333333,G191-G189,""),IF(AND(G188&lt;&gt;"",LEFT(C188,2)&lt;&gt;"Va",G188&lt;&gt;"H. Sale Real"),IF(G191-G188&lt;0.208333333333333,G191-G188,""),IF(AND(G187&lt;&gt;"",LEFT(C187,2)&lt;&gt;"Va",G187&lt;&gt;"H. Sale Real"),IF(G191-G187&lt;0.208333333333333,G191-G187,""),IF(AND(G186&lt;&gt;"",LEFT(C186,2)&lt;&gt;"Va",G186&lt;&gt;"H. Sale Real"),IF(G191-G186&lt;0.208333333333333,G191-G186,""),""))))),""),"")</f>
        <v/>
      </c>
      <c r="U190" s="87" t="n"/>
      <c r="V190" s="89" t="n"/>
      <c r="W190" s="87" t="n"/>
      <c r="X190" s="89" t="n"/>
      <c r="Y190" s="91" t="n"/>
      <c r="Z190" s="122">
        <f>IF(G190&lt;&gt;"",IF(AND(Z189&lt;&gt;"IE",P190&lt;&gt;0,R190&lt;&gt;""),IF(IFERROR((P190/R190),0) &lt;=1,IFERROR(P190/R190,""),1),""),"")</f>
        <v/>
      </c>
      <c r="AA190" s="93" t="n"/>
      <c r="AB190" s="2" t="n"/>
      <c r="AE190" s="10">
        <f>HOUR(AK190)+1</f>
        <v/>
      </c>
      <c r="AF190" s="7" t="n"/>
      <c r="AG190" s="7" t="n"/>
      <c r="AH190" s="86" t="n"/>
      <c r="AI190" s="8" t="n"/>
      <c r="AJ190" s="86" t="n"/>
      <c r="AK190" s="87" t="n"/>
      <c r="AL190" s="88">
        <f>IF(AM190="","",IF(AND((AM190-AK190)&gt;=TIME(0,0,0),(AM190-AK190)&lt;TIME(0,3,0)),"OK",IF(AND((AM190-AK190)&gt;=TIME(0,3,0),(AM190-AK190)&lt;TIME(0,5,0)),"RETRASO DE 3-5 MIN",IF(AND((AM190-AK190)&gt;=TIME(0,5,0),(AM190-AK190)&lt;TIME(0,10,0)),"RETRASO DE 5-10 MIN",IF((AM190-AK190)&gt;=TIME(0,10,0),"RETRASO &gt;10 MIN", IF(AND((AK190-AM190)&gt;=TIME(0,0,0),(AK190-AM190)&lt;TIME(0,3,0)),"OK",IF((AK190-AM190)&gt;=TIME(0,3,0),"ADELANTADO")))))))</f>
        <v/>
      </c>
      <c r="AM190" s="91" t="n"/>
      <c r="AN190" s="89">
        <f>IF(AE190&lt;&gt;"",HLOOKUP(VALUE(TEXT(AK190,"h:mm:ss")),IF($C$6="Laboral",$FZ$4:$GX$227,IF($C$6="Sábado",$FZ$231:$GX$452,$FZ$456:$GX$656)),VLOOKUP($C$4,$HF$2:$HH$99,3,0)+IF(AG$5="Ida",0,1),1),"")</f>
        <v/>
      </c>
      <c r="AO190" s="89">
        <f>IF(AE191&lt;&gt;AE190,AVERAGEIF(AE$9:AE190,AE190,AN$9:AN190),"")</f>
        <v/>
      </c>
      <c r="AP190" s="89">
        <f>IFERROR(IF(AE191&lt;&gt;AE190,AVERAGEIF(AE$9:AE190,AE190,AW$9:AW190),""),"")</f>
        <v/>
      </c>
      <c r="AQ190" s="89">
        <f>IFERROR(IF(AE191&lt;&gt;AE190,AVERAGEIF(AE$9:AE190,AE190,AX$9:AX190),""),"")</f>
        <v/>
      </c>
      <c r="AR190" s="89">
        <f t="array" ref="AR190">IFERROR(IF(AE191&lt;&gt;AE190,_xlfn.STDEV.P(IF(AE$9:AE190=AE190,AX$9:AX190)),""),"")</f>
        <v/>
      </c>
      <c r="AS190" s="89">
        <f t="array" ref="AS190">IFERROR(IF(AE191&lt;&gt;AE190,_xlfn.STDEV.P(IF(AE$9:AE190=AE190,AW$9:AW190)),""),"")</f>
        <v/>
      </c>
      <c r="AT190" s="90">
        <f>IFERROR(IF(AE190&lt;&gt;AE191,MAX((((AQ190*24*60)/2)*(1+POWER((((AR190*24*60) / (AQ190*24*60) )),2))) + ((AQ190*24*60 )*-0.1 + (AO190*0.015)) +1,(((AQ190*24*60)/2)*(1+POWER((((AR190*24*60) / (AQ190*24*60 ))),2)))),""),"")</f>
        <v/>
      </c>
      <c r="AU190" s="90">
        <f>IF(AND(AS190&lt;&gt;"",AP190&lt;&gt;""),IF(AE190&lt;&gt;AE191,((AP190*24*60) / 2 ) * (1 + POWER(((AS190*24*60) / (AP190*24*60)),2)),""),"")</f>
        <v/>
      </c>
      <c r="AV190" s="90">
        <f>IF(AU190&lt;&gt;"",MAX(AT190,AU190),"")</f>
        <v/>
      </c>
      <c r="AW190" s="89">
        <f>IF(AM190&lt;&gt;"H. Sale Real",IF(AND(AM191&lt;&gt;"",LEFT(AG191,2)&lt;&gt;"Va"),IF(AND(AM190&lt;&gt;"",LEFT(AG190,2)&lt;&gt;"Va",AM190&lt;&gt;"H. Sale Real"),IF(AM191-AM190&lt;0.208333333333333,AM191-AM190,""),IF(AND(AM189&lt;&gt;"",LEFT(AG189,2)&lt;&gt;"Va",AM189&lt;&gt;"H. Sale Real"),IF(AM191-AM189&lt;0.208333333333333,AM191-AM189,""),IF(AND(AM188&lt;&gt;"",LEFT(AG188,2)&lt;&gt;"Va",AM188&lt;&gt;"H. Sale Real"),IF(AM191-AM188&lt;0.208333333333333,AM191-AM188,""),IF(AND(AM187&lt;&gt;"",LEFT(AG187,2)&lt;&gt;"Va",AM187&lt;&gt;"H. Sale Real"),IF(AM191-AM187&lt;0.208333333333333,AM191-AM187,""),IF(AND(AM186&lt;&gt;"",LEFT(AG186,2)&lt;&gt;"Va",AM186&lt;&gt;"H. Sale Real"),IF(AM191-AM186&lt;0.208333333333333,AM191-AM186,""),""))))),""),"")</f>
        <v/>
      </c>
      <c r="AX190" s="89">
        <f>IF(AK190&lt;&gt;"H. Sale Real",IF(AND(AK191&lt;&gt;"",LEFT(AG191,2)&lt;&gt;"Va"),IF(AND(AK190&lt;&gt;"",LEFT(AG190,2)&lt;&gt;"Va",AK190&lt;&gt;"H. Sale Real"),IF(AK191-AK190&lt;0.208333333333333,AK191-AK190,""),IF(AND(AK189&lt;&gt;"",LEFT(AG189,2)&lt;&gt;"Va",AK189&lt;&gt;"H. Sale Real"),IF(AK191-AK189&lt;0.208333333333333,AK191-AK189,""),IF(AND(AK188&lt;&gt;"",LEFT(AG188,2)&lt;&gt;"NC",AK188&lt;&gt;"H. Sale Real"),IF(AK191-AK188&lt;0.208333333333333,AK191-AK188,""),IF(AND(AK187&lt;&gt;"",LEFT(AG187,2)&lt;&gt;"Va",AK187&lt;&gt;"H. Sale Real"),IF(AK191-AK187&lt;0.208333333333333,AK191-AK187,""),IF(AND(AK186&lt;&gt;"",LEFT(AG186,2)&lt;&gt;"Va",AK186&lt;&gt;"H. Sale Real"),IF(AK191-AK186&lt;0.208333333333333,AK191-AK186,""),""))))),""),"")</f>
        <v/>
      </c>
      <c r="AY190" s="87" t="n"/>
      <c r="AZ190" s="89" t="n"/>
      <c r="BA190" s="87" t="n"/>
      <c r="BB190" s="89" t="n"/>
      <c r="BC190" s="91" t="n"/>
      <c r="BD190" s="122">
        <f>IF(AK190&lt;&gt;"",IF(AND(BD189&lt;&gt;"IE",AT190&lt;&gt;0,AV190&lt;&gt;""),IF(IFERROR((AT190/AV190),0) &lt;=1,IFERROR(AT190/AV190,""),1),""),"")</f>
        <v/>
      </c>
      <c r="BE190" s="93" t="n"/>
      <c r="BF190" s="105" t="n"/>
      <c r="FC190" t="inlineStr">
        <is>
          <t>Diccionario 1</t>
        </is>
      </c>
      <c r="FD190" s="15" t="n">
        <v>1181</v>
      </c>
      <c r="FE190" s="15" t="inlineStr">
        <is>
          <t>YV3T7U529LA201695</t>
        </is>
      </c>
      <c r="FF190" s="15" t="n">
        <v>508651</v>
      </c>
      <c r="FG190" s="15" t="inlineStr">
        <is>
          <t>Volvo</t>
        </is>
      </c>
      <c r="FH190" s="15" t="inlineStr">
        <is>
          <t>B8RLEA</t>
        </is>
      </c>
      <c r="FI190" s="15" t="inlineStr">
        <is>
          <t>MARCOPOLO</t>
        </is>
      </c>
      <c r="FJ190" s="15" t="inlineStr">
        <is>
          <t>GRAN VIALE</t>
        </is>
      </c>
      <c r="FK190" s="15" t="n">
        <v>2020</v>
      </c>
      <c r="FL190" s="15" t="inlineStr">
        <is>
          <t>C</t>
        </is>
      </c>
      <c r="FM190" s="15" t="inlineStr">
        <is>
          <t>PIE ANDINO</t>
        </is>
      </c>
      <c r="FN190" s="15" t="inlineStr">
        <is>
          <t>Pie Andino 31 (Pie Andino 383)</t>
        </is>
      </c>
      <c r="FO190" s="15" t="inlineStr">
        <is>
          <t>Puente Alto</t>
        </is>
      </c>
      <c r="FP190" t="inlineStr">
        <is>
          <t>C</t>
        </is>
      </c>
      <c r="FS190" s="14" t="inlineStr">
        <is>
          <t>3047 / SFVZ-39|</t>
        </is>
      </c>
      <c r="FT190" t="inlineStr">
        <is>
          <t>SFVZ-39|</t>
        </is>
      </c>
      <c r="FU190" t="inlineStr">
        <is>
          <t>SFVZ-39</t>
        </is>
      </c>
      <c r="FV190">
        <f>VLOOKUP(FU190,FD:FL,9,0)</f>
        <v/>
      </c>
      <c r="HA190" s="35" t="n">
        <v>187</v>
      </c>
      <c r="HB190" s="35" t="n">
        <v>184</v>
      </c>
    </row>
    <row r="191" ht="15.5" customHeight="1">
      <c r="A191" s="10">
        <f>HOUR(G191)+1</f>
        <v/>
      </c>
      <c r="B191" s="7" t="n"/>
      <c r="C191" s="7" t="n"/>
      <c r="D191" s="85">
        <f>IFERROR(
IF(AND(OR(Planilla!B191="C",Planilla!B191="c"), VLOOKUP(E191,FD:FP,13,0)="C"), "OK",IF(AND(OR(Planilla!B191="C",Planilla!B191="c"), OR(VLOOKUP(E191,FD:FP,13,0)="B", VLOOKUP(E191,FD:FP,13,0)="A")), "DEFICIT",IF(
AND(OR(Planilla!B191="B", Planilla!B191="BPAL"), VLOOKUP(E191,FD:FP,13,0)="B"), "OK",IF(AND(OR(Planilla!B191="B", Planilla!B191="BPAL"), VLOOKUP(E191,FD:FP,13,0)="A"), "DEFICIT",IF(AND(OR(Planilla!B191="B", Planilla!B191="BPAL"), VLOOKUP(E191,FD:FP,13,0)="C"), "SOBREOFERTA",IF(AND(Planilla!B191="A", VLOOKUP(E191,FD:FP,13,0)="A"), "OK",IF(
AND(Planilla!B191="A", OR(VLOOKUP(E191,FD:FP,13,0)="B", VLOOKUP(E191,FD:FP,13,0)="C")), "SOBREOFERTA",""
))))))),"")</f>
        <v/>
      </c>
      <c r="E191" s="8" t="n"/>
      <c r="F191" s="86" t="n"/>
      <c r="G191" s="87" t="n"/>
      <c r="H191" s="88">
        <f>IF(I191="","",IF(AND((I191-G191)&gt;=TIME(0,0,0),(I191-G191)&lt;TIME(0,3,0)),"OK",IF(AND((I191-G191)&gt;=TIME(0,3,0),(I191-G191)&lt;TIME(0,5,0)),"RETRASO DE 3-5 MIN",IF(AND((I191-G191)&gt;=TIME(0,5,0),(I191-G191)&lt;TIME(0,10,0)),"RETRASO DE 5-10 MIN",IF((I191-G191)&gt;=TIME(0,10,0),"RETRASO &gt;10 MIN", IF(AND((G191-I191)&gt;=TIME(0,0,0),(G191-I191)&lt;TIME(0,3,0)),"OK",IF((G191-I191)&gt;=TIME(0,3,0),"ADELANTADO")))))))</f>
        <v/>
      </c>
      <c r="I191" s="89" t="n"/>
      <c r="J191" s="89">
        <f>IF(A191&lt;&gt;"",HLOOKUP(VALUE(TEXT(G191,"h:mm:ss")),IF($C$6="Laboral",$FZ$4:$GX$227,IF($C$6="Sábado",$FZ$231:$GX$452,$FZ$456:$GX$656)),VLOOKUP($C$4,$HF$2:$HH$99,3,0)+IF(C$5="Ida",0,1),1),"")</f>
        <v/>
      </c>
      <c r="K191" s="89">
        <f>IF(A192&lt;&gt;A191,AVERAGEIF(A$9:A191,A191,J$9:J191),"")</f>
        <v/>
      </c>
      <c r="L191" s="89">
        <f>IFERROR(IF(A192&lt;&gt;A191,AVERAGEIF(A$9:A191,A191,S$9:S191),""),"")</f>
        <v/>
      </c>
      <c r="M191" s="89">
        <f>IFERROR(IF(A192&lt;&gt;A191,AVERAGEIF(A$9:A191,A191,T$9:T191),""),"")</f>
        <v/>
      </c>
      <c r="N191" s="89">
        <f t="array" ref="N191">IFERROR(IF(A192&lt;&gt;A191,_xlfn.STDEV.P(IF(A$9:A191=A191,T$9:T191)),""),"")</f>
        <v/>
      </c>
      <c r="O191" s="89">
        <f t="array" ref="O191">IFERROR(IF(A192&lt;&gt;A191,_xlfn.STDEV.P(IF(A$9:A191=A191,S$9:S191)),""),"")</f>
        <v/>
      </c>
      <c r="P191" s="90">
        <f>IFERROR(IF(A191&lt;&gt;A192,MAX((((M191*24*60)/2)*(1+POWER((((N191*24*60) / (M191*24*60) )),2))) + ((M191*24*60 )*-0.1 + (K191*0.015)) +1,(((M191*24*60)/2)*(1+POWER((((N191*24*60) / (M191*24*60 ))),2)))),""),"")</f>
        <v/>
      </c>
      <c r="Q191" s="90">
        <f>IF(AND(O191&lt;&gt;"",L191&lt;&gt;""),IF(A191&lt;&gt;A192,((L191*24*60) / 2 ) * (1 + POWER(((O191*24*60) / (L191*24*60)),2)),""),"")</f>
        <v/>
      </c>
      <c r="R191" s="90">
        <f>IF(Q191&lt;&gt;"",MAX(P191,Q191),"")</f>
        <v/>
      </c>
      <c r="S191" s="89">
        <f>IF(I191&lt;&gt;"H. Sale Real",IF(AND(I192&lt;&gt;"",LEFT(C192,2)&lt;&gt;"Va"),IF(AND(I191&lt;&gt;"",LEFT(C191,2)&lt;&gt;"Va",I191&lt;&gt;"H. Sale Real"),IF(I192-I191&lt;0.208333333333333,I192-I191,""),IF(AND(I190&lt;&gt;"",LEFT(C190,2)&lt;&gt;"Va",I190&lt;&gt;"H. Sale Real"),IF(I192-I190&lt;0.208333333333333,I192-I190,""),IF(AND(I189&lt;&gt;"",LEFT(C189,2)&lt;&gt;"Va",I189&lt;&gt;"H. Sale Real"),IF(I192-I189&lt;0.208333333333333,I192-I189,""),IF(AND(I188&lt;&gt;"",LEFT(C188,2)&lt;&gt;"Va",I188&lt;&gt;"H. Sale Real"),IF(I192-I188&lt;0.208333333333333,I192-I188,""),IF(AND(I187&lt;&gt;"",LEFT(C187,2)&lt;&gt;"Va",I187&lt;&gt;"H. Sale Real"),IF(I192-I187&lt;0.208333333333333,I192-I187,""),""))))),""),"")</f>
        <v/>
      </c>
      <c r="T191" s="89">
        <f>IF(G191&lt;&gt;"H. Sale Real",IF(AND(G192&lt;&gt;"",LEFT(C192,2)&lt;&gt;"Va"),IF(AND(G191&lt;&gt;"",LEFT(C191,2)&lt;&gt;"Va",G191&lt;&gt;"H. Sale Real"),IF(G192-G191&lt;0.208333333333333,G192-G191,""),IF(AND(G190&lt;&gt;"",LEFT(C190,2)&lt;&gt;"Va",G190&lt;&gt;"H. Sale Real"),IF(G192-G190&lt;0.208333333333333,G192-G190,""),IF(AND(G189&lt;&gt;"",LEFT(C189,2)&lt;&gt;"Va",G189&lt;&gt;"H. Sale Real"),IF(G192-G189&lt;0.208333333333333,G192-G189,""),IF(AND(G188&lt;&gt;"",LEFT(C188,2)&lt;&gt;"Va",G188&lt;&gt;"H. Sale Real"),IF(G192-G188&lt;0.208333333333333,G192-G188,""),IF(AND(G187&lt;&gt;"",LEFT(C187,2)&lt;&gt;"Va",G187&lt;&gt;"H. Sale Real"),IF(G192-G187&lt;0.208333333333333,G192-G187,""),""))))),""),"")</f>
        <v/>
      </c>
      <c r="U191" s="87" t="n"/>
      <c r="V191" s="89" t="n"/>
      <c r="W191" s="87" t="n"/>
      <c r="X191" s="89" t="n"/>
      <c r="Y191" s="91" t="n"/>
      <c r="Z191" s="122">
        <f>IF(G191&lt;&gt;"",IF(AND(Z190&lt;&gt;"IE",P191&lt;&gt;0,R191&lt;&gt;""),IF(IFERROR((P191/R191),0) &lt;=1,IFERROR(P191/R191,""),1),""),"")</f>
        <v/>
      </c>
      <c r="AA191" s="93" t="n"/>
      <c r="AB191" s="2" t="n"/>
      <c r="AE191" s="10">
        <f>HOUR(AK191)+1</f>
        <v/>
      </c>
      <c r="AF191" s="7" t="n"/>
      <c r="AG191" s="7" t="n"/>
      <c r="AH191" s="86" t="n"/>
      <c r="AI191" s="8" t="n"/>
      <c r="AJ191" s="86" t="n"/>
      <c r="AK191" s="87" t="n"/>
      <c r="AL191" s="88">
        <f>IF(AM191="","",IF(AND((AM191-AK191)&gt;=TIME(0,0,0),(AM191-AK191)&lt;TIME(0,3,0)),"OK",IF(AND((AM191-AK191)&gt;=TIME(0,3,0),(AM191-AK191)&lt;TIME(0,5,0)),"RETRASO DE 3-5 MIN",IF(AND((AM191-AK191)&gt;=TIME(0,5,0),(AM191-AK191)&lt;TIME(0,10,0)),"RETRASO DE 5-10 MIN",IF((AM191-AK191)&gt;=TIME(0,10,0),"RETRASO &gt;10 MIN", IF(AND((AK191-AM191)&gt;=TIME(0,0,0),(AK191-AM191)&lt;TIME(0,3,0)),"OK",IF((AK191-AM191)&gt;=TIME(0,3,0),"ADELANTADO")))))))</f>
        <v/>
      </c>
      <c r="AM191" s="91" t="n"/>
      <c r="AN191" s="89">
        <f>IF(AE191&lt;&gt;"",HLOOKUP(VALUE(TEXT(AK191,"h:mm:ss")),IF($C$6="Laboral",$FZ$4:$GX$227,IF($C$6="Sábado",$FZ$231:$GX$452,$FZ$456:$GX$656)),VLOOKUP($C$4,$HF$2:$HH$99,3,0)+IF(AG$5="Ida",0,1),1),"")</f>
        <v/>
      </c>
      <c r="AO191" s="89">
        <f>IF(AE192&lt;&gt;AE191,AVERAGEIF(AE$9:AE191,AE191,AN$9:AN191),"")</f>
        <v/>
      </c>
      <c r="AP191" s="89">
        <f>IFERROR(IF(AE192&lt;&gt;AE191,AVERAGEIF(AE$9:AE191,AE191,AW$9:AW191),""),"")</f>
        <v/>
      </c>
      <c r="AQ191" s="89">
        <f>IFERROR(IF(AE192&lt;&gt;AE191,AVERAGEIF(AE$9:AE191,AE191,AX$9:AX191),""),"")</f>
        <v/>
      </c>
      <c r="AR191" s="89">
        <f t="array" ref="AR191">IFERROR(IF(AE192&lt;&gt;AE191,_xlfn.STDEV.P(IF(AE$9:AE191=AE191,AX$9:AX191)),""),"")</f>
        <v/>
      </c>
      <c r="AS191" s="89">
        <f t="array" ref="AS191">IFERROR(IF(AE192&lt;&gt;AE191,_xlfn.STDEV.P(IF(AE$9:AE191=AE191,AW$9:AW191)),""),"")</f>
        <v/>
      </c>
      <c r="AT191" s="90">
        <f>IFERROR(IF(AE191&lt;&gt;AE192,MAX((((AQ191*24*60)/2)*(1+POWER((((AR191*24*60) / (AQ191*24*60) )),2))) + ((AQ191*24*60 )*-0.1 + (AO191*0.015)) +1,(((AQ191*24*60)/2)*(1+POWER((((AR191*24*60) / (AQ191*24*60 ))),2)))),""),"")</f>
        <v/>
      </c>
      <c r="AU191" s="90">
        <f>IF(AND(AS191&lt;&gt;"",AP191&lt;&gt;""),IF(AE191&lt;&gt;AE192,((AP191*24*60) / 2 ) * (1 + POWER(((AS191*24*60) / (AP191*24*60)),2)),""),"")</f>
        <v/>
      </c>
      <c r="AV191" s="90">
        <f>IF(AU191&lt;&gt;"",MAX(AT191,AU191),"")</f>
        <v/>
      </c>
      <c r="AW191" s="89">
        <f>IF(AM191&lt;&gt;"H. Sale Real",IF(AND(AM192&lt;&gt;"",LEFT(AG192,2)&lt;&gt;"Va"),IF(AND(AM191&lt;&gt;"",LEFT(AG191,2)&lt;&gt;"Va",AM191&lt;&gt;"H. Sale Real"),IF(AM192-AM191&lt;0.208333333333333,AM192-AM191,""),IF(AND(AM190&lt;&gt;"",LEFT(AG190,2)&lt;&gt;"Va",AM190&lt;&gt;"H. Sale Real"),IF(AM192-AM190&lt;0.208333333333333,AM192-AM190,""),IF(AND(AM189&lt;&gt;"",LEFT(AG189,2)&lt;&gt;"Va",AM189&lt;&gt;"H. Sale Real"),IF(AM192-AM189&lt;0.208333333333333,AM192-AM189,""),IF(AND(AM188&lt;&gt;"",LEFT(AG188,2)&lt;&gt;"Va",AM188&lt;&gt;"H. Sale Real"),IF(AM192-AM188&lt;0.208333333333333,AM192-AM188,""),IF(AND(AM187&lt;&gt;"",LEFT(AG187,2)&lt;&gt;"Va",AM187&lt;&gt;"H. Sale Real"),IF(AM192-AM187&lt;0.208333333333333,AM192-AM187,""),""))))),""),"")</f>
        <v/>
      </c>
      <c r="AX191" s="89">
        <f>IF(AK191&lt;&gt;"H. Sale Real",IF(AND(AK192&lt;&gt;"",LEFT(AG192,2)&lt;&gt;"Va"),IF(AND(AK191&lt;&gt;"",LEFT(AG191,2)&lt;&gt;"Va",AK191&lt;&gt;"H. Sale Real"),IF(AK192-AK191&lt;0.208333333333333,AK192-AK191,""),IF(AND(AK190&lt;&gt;"",LEFT(AG190,2)&lt;&gt;"Va",AK190&lt;&gt;"H. Sale Real"),IF(AK192-AK190&lt;0.208333333333333,AK192-AK190,""),IF(AND(AK189&lt;&gt;"",LEFT(AG189,2)&lt;&gt;"NC",AK189&lt;&gt;"H. Sale Real"),IF(AK192-AK189&lt;0.208333333333333,AK192-AK189,""),IF(AND(AK188&lt;&gt;"",LEFT(AG188,2)&lt;&gt;"Va",AK188&lt;&gt;"H. Sale Real"),IF(AK192-AK188&lt;0.208333333333333,AK192-AK188,""),IF(AND(AK187&lt;&gt;"",LEFT(AG187,2)&lt;&gt;"Va",AK187&lt;&gt;"H. Sale Real"),IF(AK192-AK187&lt;0.208333333333333,AK192-AK187,""),""))))),""),"")</f>
        <v/>
      </c>
      <c r="AY191" s="87" t="n"/>
      <c r="AZ191" s="89" t="n"/>
      <c r="BA191" s="87" t="n"/>
      <c r="BB191" s="89" t="n"/>
      <c r="BC191" s="91" t="n"/>
      <c r="BD191" s="122">
        <f>IF(AK191&lt;&gt;"",IF(AND(BD190&lt;&gt;"IE",AT191&lt;&gt;0,AV191&lt;&gt;""),IF(IFERROR((AT191/AV191),0) &lt;=1,IFERROR(AT191/AV191,""),1),""),"")</f>
        <v/>
      </c>
      <c r="BE191" s="93" t="n"/>
      <c r="BF191" s="105" t="n"/>
      <c r="FC191" t="inlineStr">
        <is>
          <t>Diccionario 1</t>
        </is>
      </c>
      <c r="FD191" s="15" t="n">
        <v>1182</v>
      </c>
      <c r="FE191" s="15" t="inlineStr">
        <is>
          <t>YV3T7U521LA201609</t>
        </is>
      </c>
      <c r="FF191" s="15" t="n">
        <v>508236</v>
      </c>
      <c r="FG191" s="15" t="inlineStr">
        <is>
          <t>Volvo</t>
        </is>
      </c>
      <c r="FH191" s="15" t="inlineStr">
        <is>
          <t>B8RLEA</t>
        </is>
      </c>
      <c r="FI191" s="15" t="inlineStr">
        <is>
          <t>MARCOPOLO</t>
        </is>
      </c>
      <c r="FJ191" s="15" t="inlineStr">
        <is>
          <t>GRAN VIALE</t>
        </is>
      </c>
      <c r="FK191" s="15" t="n">
        <v>2020</v>
      </c>
      <c r="FL191" s="15" t="inlineStr">
        <is>
          <t>C</t>
        </is>
      </c>
      <c r="FM191" s="15" t="inlineStr">
        <is>
          <t>PIE ANDINO</t>
        </is>
      </c>
      <c r="FN191" s="15" t="inlineStr">
        <is>
          <t>Pie Andino 31 (Pie Andino 383)</t>
        </is>
      </c>
      <c r="FO191" s="15" t="inlineStr">
        <is>
          <t>Puente Alto</t>
        </is>
      </c>
      <c r="FP191" t="inlineStr">
        <is>
          <t>C</t>
        </is>
      </c>
      <c r="FS191" s="14" t="inlineStr">
        <is>
          <t>3047 / SFVZ-39|</t>
        </is>
      </c>
      <c r="FT191" t="inlineStr">
        <is>
          <t>SFVZ-39|</t>
        </is>
      </c>
      <c r="FU191" t="inlineStr">
        <is>
          <t>SFVZ-39</t>
        </is>
      </c>
      <c r="FV191">
        <f>VLOOKUP(FU191,FD:FL,9,0)</f>
        <v/>
      </c>
      <c r="HA191" s="35" t="n">
        <v>188</v>
      </c>
      <c r="HB191" s="35" t="n">
        <v>185</v>
      </c>
    </row>
    <row r="192" ht="15.5" customHeight="1">
      <c r="A192" s="10">
        <f>HOUR(G192)+1</f>
        <v/>
      </c>
      <c r="B192" s="7" t="n"/>
      <c r="C192" s="7" t="n"/>
      <c r="D192" s="85">
        <f>IFERROR(
IF(AND(OR(Planilla!B192="C",Planilla!B192="c"), VLOOKUP(E192,FD:FP,13,0)="C"), "OK",IF(AND(OR(Planilla!B192="C",Planilla!B192="c"), OR(VLOOKUP(E192,FD:FP,13,0)="B", VLOOKUP(E192,FD:FP,13,0)="A")), "DEFICIT",IF(
AND(OR(Planilla!B192="B", Planilla!B192="BPAL"), VLOOKUP(E192,FD:FP,13,0)="B"), "OK",IF(AND(OR(Planilla!B192="B", Planilla!B192="BPAL"), VLOOKUP(E192,FD:FP,13,0)="A"), "DEFICIT",IF(AND(OR(Planilla!B192="B", Planilla!B192="BPAL"), VLOOKUP(E192,FD:FP,13,0)="C"), "SOBREOFERTA",IF(AND(Planilla!B192="A", VLOOKUP(E192,FD:FP,13,0)="A"), "OK",IF(
AND(Planilla!B192="A", OR(VLOOKUP(E192,FD:FP,13,0)="B", VLOOKUP(E192,FD:FP,13,0)="C")), "SOBREOFERTA",""
))))))),"")</f>
        <v/>
      </c>
      <c r="E192" s="8" t="n"/>
      <c r="F192" s="86" t="n"/>
      <c r="G192" s="87" t="n"/>
      <c r="H192" s="88">
        <f>IF(I192="","",IF(AND((I192-G192)&gt;=TIME(0,0,0),(I192-G192)&lt;TIME(0,3,0)),"OK",IF(AND((I192-G192)&gt;=TIME(0,3,0),(I192-G192)&lt;TIME(0,5,0)),"RETRASO DE 3-5 MIN",IF(AND((I192-G192)&gt;=TIME(0,5,0),(I192-G192)&lt;TIME(0,10,0)),"RETRASO DE 5-10 MIN",IF((I192-G192)&gt;=TIME(0,10,0),"RETRASO &gt;10 MIN", IF(AND((G192-I192)&gt;=TIME(0,0,0),(G192-I192)&lt;TIME(0,3,0)),"OK",IF((G192-I192)&gt;=TIME(0,3,0),"ADELANTADO")))))))</f>
        <v/>
      </c>
      <c r="I192" s="89" t="n"/>
      <c r="J192" s="89">
        <f>IF(A192&lt;&gt;"",HLOOKUP(VALUE(TEXT(G192,"h:mm:ss")),IF($C$6="Laboral",$FZ$4:$GX$227,IF($C$6="Sábado",$FZ$231:$GX$452,$FZ$456:$GX$656)),VLOOKUP($C$4,$HF$2:$HH$99,3,0)+IF(C$5="Ida",0,1),1),"")</f>
        <v/>
      </c>
      <c r="K192" s="89">
        <f>IF(A193&lt;&gt;A192,AVERAGEIF(A$9:A192,A192,J$9:J192),"")</f>
        <v/>
      </c>
      <c r="L192" s="89">
        <f>IFERROR(IF(A193&lt;&gt;A192,AVERAGEIF(A$9:A192,A192,S$9:S192),""),"")</f>
        <v/>
      </c>
      <c r="M192" s="89">
        <f>IFERROR(IF(A193&lt;&gt;A192,AVERAGEIF(A$9:A192,A192,T$9:T192),""),"")</f>
        <v/>
      </c>
      <c r="N192" s="89">
        <f t="array" ref="N192">IFERROR(IF(A193&lt;&gt;A192,_xlfn.STDEV.P(IF(A$9:A192=A192,T$9:T192)),""),"")</f>
        <v/>
      </c>
      <c r="O192" s="89">
        <f t="array" ref="O192">IFERROR(IF(A193&lt;&gt;A192,_xlfn.STDEV.P(IF(A$9:A192=A192,S$9:S192)),""),"")</f>
        <v/>
      </c>
      <c r="P192" s="90">
        <f>IFERROR(IF(A192&lt;&gt;A193,MAX((((M192*24*60)/2)*(1+POWER((((N192*24*60) / (M192*24*60) )),2))) + ((M192*24*60 )*-0.1 + (K192*0.015)) +1,(((M192*24*60)/2)*(1+POWER((((N192*24*60) / (M192*24*60 ))),2)))),""),"")</f>
        <v/>
      </c>
      <c r="Q192" s="90">
        <f>IF(AND(O192&lt;&gt;"",L192&lt;&gt;""),IF(A192&lt;&gt;A193,((L192*24*60) / 2 ) * (1 + POWER(((O192*24*60) / (L192*24*60)),2)),""),"")</f>
        <v/>
      </c>
      <c r="R192" s="90">
        <f>IF(Q192&lt;&gt;"",MAX(P192,Q192),"")</f>
        <v/>
      </c>
      <c r="S192" s="89">
        <f>IF(I192&lt;&gt;"H. Sale Real",IF(AND(I193&lt;&gt;"",LEFT(C193,2)&lt;&gt;"Va"),IF(AND(I192&lt;&gt;"",LEFT(C192,2)&lt;&gt;"Va",I192&lt;&gt;"H. Sale Real"),IF(I193-I192&lt;0.208333333333333,I193-I192,""),IF(AND(I191&lt;&gt;"",LEFT(C191,2)&lt;&gt;"Va",I191&lt;&gt;"H. Sale Real"),IF(I193-I191&lt;0.208333333333333,I193-I191,""),IF(AND(I190&lt;&gt;"",LEFT(C190,2)&lt;&gt;"Va",I190&lt;&gt;"H. Sale Real"),IF(I193-I190&lt;0.208333333333333,I193-I190,""),IF(AND(I189&lt;&gt;"",LEFT(C189,2)&lt;&gt;"Va",I189&lt;&gt;"H. Sale Real"),IF(I193-I189&lt;0.208333333333333,I193-I189,""),IF(AND(I188&lt;&gt;"",LEFT(C188,2)&lt;&gt;"Va",I188&lt;&gt;"H. Sale Real"),IF(I193-I188&lt;0.208333333333333,I193-I188,""),""))))),""),"")</f>
        <v/>
      </c>
      <c r="T192" s="89">
        <f>IF(G192&lt;&gt;"H. Sale Real",IF(AND(G193&lt;&gt;"",LEFT(C193,2)&lt;&gt;"Va"),IF(AND(G192&lt;&gt;"",LEFT(C192,2)&lt;&gt;"Va",G192&lt;&gt;"H. Sale Real"),IF(G193-G192&lt;0.208333333333333,G193-G192,""),IF(AND(G191&lt;&gt;"",LEFT(C191,2)&lt;&gt;"Va",G191&lt;&gt;"H. Sale Real"),IF(G193-G191&lt;0.208333333333333,G193-G191,""),IF(AND(G190&lt;&gt;"",LEFT(C190,2)&lt;&gt;"Va",G190&lt;&gt;"H. Sale Real"),IF(G193-G190&lt;0.208333333333333,G193-G190,""),IF(AND(G189&lt;&gt;"",LEFT(C189,2)&lt;&gt;"Va",G189&lt;&gt;"H. Sale Real"),IF(G193-G189&lt;0.208333333333333,G193-G189,""),IF(AND(G188&lt;&gt;"",LEFT(C188,2)&lt;&gt;"Va",G188&lt;&gt;"H. Sale Real"),IF(G193-G188&lt;0.208333333333333,G193-G188,""),""))))),""),"")</f>
        <v/>
      </c>
      <c r="U192" s="87" t="n"/>
      <c r="V192" s="89" t="n"/>
      <c r="W192" s="87" t="n"/>
      <c r="X192" s="89" t="n"/>
      <c r="Y192" s="91" t="n"/>
      <c r="Z192" s="122">
        <f>IF(G192&lt;&gt;"",IF(AND(Z191&lt;&gt;"IE",P192&lt;&gt;0,R192&lt;&gt;""),IF(IFERROR((P192/R192),0) &lt;=1,IFERROR(P192/R192,""),1),""),"")</f>
        <v/>
      </c>
      <c r="AA192" s="93" t="n"/>
      <c r="AB192" s="2" t="n"/>
      <c r="AE192" s="10">
        <f>HOUR(AK192)+1</f>
        <v/>
      </c>
      <c r="AF192" s="7" t="n"/>
      <c r="AG192" s="7" t="n"/>
      <c r="AH192" s="86" t="n"/>
      <c r="AI192" s="8" t="n"/>
      <c r="AJ192" s="86" t="n"/>
      <c r="AK192" s="87" t="n"/>
      <c r="AL192" s="88">
        <f>IF(AM192="","",IF(AND((AM192-AK192)&gt;=TIME(0,0,0),(AM192-AK192)&lt;TIME(0,3,0)),"OK",IF(AND((AM192-AK192)&gt;=TIME(0,3,0),(AM192-AK192)&lt;TIME(0,5,0)),"RETRASO DE 3-5 MIN",IF(AND((AM192-AK192)&gt;=TIME(0,5,0),(AM192-AK192)&lt;TIME(0,10,0)),"RETRASO DE 5-10 MIN",IF((AM192-AK192)&gt;=TIME(0,10,0),"RETRASO &gt;10 MIN", IF(AND((AK192-AM192)&gt;=TIME(0,0,0),(AK192-AM192)&lt;TIME(0,3,0)),"OK",IF((AK192-AM192)&gt;=TIME(0,3,0),"ADELANTADO")))))))</f>
        <v/>
      </c>
      <c r="AM192" s="91" t="n"/>
      <c r="AN192" s="89">
        <f>IF(AE192&lt;&gt;"",HLOOKUP(VALUE(TEXT(AK192,"h:mm:ss")),IF($C$6="Laboral",$FZ$4:$GX$227,IF($C$6="Sábado",$FZ$231:$GX$452,$FZ$456:$GX$656)),VLOOKUP($C$4,$HF$2:$HH$99,3,0)+IF(AG$5="Ida",0,1),1),"")</f>
        <v/>
      </c>
      <c r="AO192" s="89">
        <f>IF(AE193&lt;&gt;AE192,AVERAGEIF(AE$9:AE192,AE192,AN$9:AN192),"")</f>
        <v/>
      </c>
      <c r="AP192" s="89">
        <f>IFERROR(IF(AE193&lt;&gt;AE192,AVERAGEIF(AE$9:AE192,AE192,AW$9:AW192),""),"")</f>
        <v/>
      </c>
      <c r="AQ192" s="89">
        <f>IFERROR(IF(AE193&lt;&gt;AE192,AVERAGEIF(AE$9:AE192,AE192,AX$9:AX192),""),"")</f>
        <v/>
      </c>
      <c r="AR192" s="89">
        <f t="array" ref="AR192">IFERROR(IF(AE193&lt;&gt;AE192,_xlfn.STDEV.P(IF(AE$9:AE192=AE192,AX$9:AX192)),""),"")</f>
        <v/>
      </c>
      <c r="AS192" s="89">
        <f t="array" ref="AS192">IFERROR(IF(AE193&lt;&gt;AE192,_xlfn.STDEV.P(IF(AE$9:AE192=AE192,AW$9:AW192)),""),"")</f>
        <v/>
      </c>
      <c r="AT192" s="90">
        <f>IFERROR(IF(AE192&lt;&gt;AE193,MAX((((AQ192*24*60)/2)*(1+POWER((((AR192*24*60) / (AQ192*24*60) )),2))) + ((AQ192*24*60 )*-0.1 + (AO192*0.015)) +1,(((AQ192*24*60)/2)*(1+POWER((((AR192*24*60) / (AQ192*24*60 ))),2)))),""),"")</f>
        <v/>
      </c>
      <c r="AU192" s="90">
        <f>IF(AND(AS192&lt;&gt;"",AP192&lt;&gt;""),IF(AE192&lt;&gt;AE193,((AP192*24*60) / 2 ) * (1 + POWER(((AS192*24*60) / (AP192*24*60)),2)),""),"")</f>
        <v/>
      </c>
      <c r="AV192" s="90">
        <f>IF(AU192&lt;&gt;"",MAX(AT192,AU192),"")</f>
        <v/>
      </c>
      <c r="AW192" s="89">
        <f>IF(AM192&lt;&gt;"H. Sale Real",IF(AND(AM193&lt;&gt;"",LEFT(AG193,2)&lt;&gt;"Va"),IF(AND(AM192&lt;&gt;"",LEFT(AG192,2)&lt;&gt;"Va",AM192&lt;&gt;"H. Sale Real"),IF(AM193-AM192&lt;0.208333333333333,AM193-AM192,""),IF(AND(AM191&lt;&gt;"",LEFT(AG191,2)&lt;&gt;"Va",AM191&lt;&gt;"H. Sale Real"),IF(AM193-AM191&lt;0.208333333333333,AM193-AM191,""),IF(AND(AM190&lt;&gt;"",LEFT(AG190,2)&lt;&gt;"Va",AM190&lt;&gt;"H. Sale Real"),IF(AM193-AM190&lt;0.208333333333333,AM193-AM190,""),IF(AND(AM189&lt;&gt;"",LEFT(AG189,2)&lt;&gt;"Va",AM189&lt;&gt;"H. Sale Real"),IF(AM193-AM189&lt;0.208333333333333,AM193-AM189,""),IF(AND(AM188&lt;&gt;"",LEFT(AG188,2)&lt;&gt;"Va",AM188&lt;&gt;"H. Sale Real"),IF(AM193-AM188&lt;0.208333333333333,AM193-AM188,""),""))))),""),"")</f>
        <v/>
      </c>
      <c r="AX192" s="89">
        <f>IF(AK192&lt;&gt;"H. Sale Real",IF(AND(AK193&lt;&gt;"",LEFT(AG193,2)&lt;&gt;"Va"),IF(AND(AK192&lt;&gt;"",LEFT(AG192,2)&lt;&gt;"Va",AK192&lt;&gt;"H. Sale Real"),IF(AK193-AK192&lt;0.208333333333333,AK193-AK192,""),IF(AND(AK191&lt;&gt;"",LEFT(AG191,2)&lt;&gt;"Va",AK191&lt;&gt;"H. Sale Real"),IF(AK193-AK191&lt;0.208333333333333,AK193-AK191,""),IF(AND(AK190&lt;&gt;"",LEFT(AG190,2)&lt;&gt;"NC",AK190&lt;&gt;"H. Sale Real"),IF(AK193-AK190&lt;0.208333333333333,AK193-AK190,""),IF(AND(AK189&lt;&gt;"",LEFT(AG189,2)&lt;&gt;"Va",AK189&lt;&gt;"H. Sale Real"),IF(AK193-AK189&lt;0.208333333333333,AK193-AK189,""),IF(AND(AK188&lt;&gt;"",LEFT(AG188,2)&lt;&gt;"Va",AK188&lt;&gt;"H. Sale Real"),IF(AK193-AK188&lt;0.208333333333333,AK193-AK188,""),""))))),""),"")</f>
        <v/>
      </c>
      <c r="AY192" s="87" t="n"/>
      <c r="AZ192" s="89" t="n"/>
      <c r="BA192" s="87" t="n"/>
      <c r="BB192" s="89" t="n"/>
      <c r="BC192" s="91" t="n"/>
      <c r="BD192" s="122">
        <f>IF(AK192&lt;&gt;"",IF(AND(BD191&lt;&gt;"IE",AT192&lt;&gt;0,AV192&lt;&gt;""),IF(IFERROR((AT192/AV192),0) &lt;=1,IFERROR(AT192/AV192,""),1),""),"")</f>
        <v/>
      </c>
      <c r="BE192" s="93" t="n"/>
      <c r="BF192" s="105" t="n"/>
      <c r="FC192" t="inlineStr">
        <is>
          <t>Diccionario 1</t>
        </is>
      </c>
      <c r="FD192" s="15" t="n">
        <v>1183</v>
      </c>
      <c r="FE192" s="15" t="inlineStr">
        <is>
          <t>YV3T7U522LA201621</t>
        </is>
      </c>
      <c r="FF192" s="15" t="n">
        <v>508307</v>
      </c>
      <c r="FG192" s="15" t="inlineStr">
        <is>
          <t>Volvo</t>
        </is>
      </c>
      <c r="FH192" s="15" t="inlineStr">
        <is>
          <t>B8RLEA</t>
        </is>
      </c>
      <c r="FI192" s="15" t="inlineStr">
        <is>
          <t>MARCOPOLO</t>
        </is>
      </c>
      <c r="FJ192" s="15" t="inlineStr">
        <is>
          <t>GRAN VIALE</t>
        </is>
      </c>
      <c r="FK192" s="15" t="n">
        <v>2020</v>
      </c>
      <c r="FL192" s="15" t="inlineStr">
        <is>
          <t>C</t>
        </is>
      </c>
      <c r="FM192" s="15" t="inlineStr">
        <is>
          <t>PIE ANDINO</t>
        </is>
      </c>
      <c r="FN192" s="15" t="inlineStr">
        <is>
          <t>Pie Andino 31 (Pie Andino 383)</t>
        </is>
      </c>
      <c r="FO192" s="15" t="inlineStr">
        <is>
          <t>Puente Alto</t>
        </is>
      </c>
      <c r="FP192" t="inlineStr">
        <is>
          <t>C</t>
        </is>
      </c>
      <c r="FS192" s="14" t="inlineStr">
        <is>
          <t>3047 / SFVZ-39|</t>
        </is>
      </c>
      <c r="FT192" t="inlineStr">
        <is>
          <t>SFVZ-39|</t>
        </is>
      </c>
      <c r="FU192" t="inlineStr">
        <is>
          <t>SFVZ-39</t>
        </is>
      </c>
      <c r="FV192">
        <f>VLOOKUP(FU192,FD:FL,9,0)</f>
        <v/>
      </c>
      <c r="HA192" s="35" t="n">
        <v>189</v>
      </c>
      <c r="HB192" s="35" t="n">
        <v>186</v>
      </c>
    </row>
    <row r="193" ht="15.5" customHeight="1">
      <c r="A193" s="10">
        <f>HOUR(G193)+1</f>
        <v/>
      </c>
      <c r="B193" s="7" t="n"/>
      <c r="C193" s="7" t="n"/>
      <c r="D193" s="85">
        <f>IFERROR(
IF(AND(OR(Planilla!B193="C",Planilla!B193="c"), VLOOKUP(E193,FD:FP,13,0)="C"), "OK",IF(AND(OR(Planilla!B193="C",Planilla!B193="c"), OR(VLOOKUP(E193,FD:FP,13,0)="B", VLOOKUP(E193,FD:FP,13,0)="A")), "DEFICIT",IF(
AND(OR(Planilla!B193="B", Planilla!B193="BPAL"), VLOOKUP(E193,FD:FP,13,0)="B"), "OK",IF(AND(OR(Planilla!B193="B", Planilla!B193="BPAL"), VLOOKUP(E193,FD:FP,13,0)="A"), "DEFICIT",IF(AND(OR(Planilla!B193="B", Planilla!B193="BPAL"), VLOOKUP(E193,FD:FP,13,0)="C"), "SOBREOFERTA",IF(AND(Planilla!B193="A", VLOOKUP(E193,FD:FP,13,0)="A"), "OK",IF(
AND(Planilla!B193="A", OR(VLOOKUP(E193,FD:FP,13,0)="B", VLOOKUP(E193,FD:FP,13,0)="C")), "SOBREOFERTA",""
))))))),"")</f>
        <v/>
      </c>
      <c r="E193" s="8" t="n"/>
      <c r="F193" s="86" t="n"/>
      <c r="G193" s="87" t="n"/>
      <c r="H193" s="88">
        <f>IF(I193="","",IF(AND((I193-G193)&gt;=TIME(0,0,0),(I193-G193)&lt;TIME(0,3,0)),"OK",IF(AND((I193-G193)&gt;=TIME(0,3,0),(I193-G193)&lt;TIME(0,5,0)),"RETRASO DE 3-5 MIN",IF(AND((I193-G193)&gt;=TIME(0,5,0),(I193-G193)&lt;TIME(0,10,0)),"RETRASO DE 5-10 MIN",IF((I193-G193)&gt;=TIME(0,10,0),"RETRASO &gt;10 MIN", IF(AND((G193-I193)&gt;=TIME(0,0,0),(G193-I193)&lt;TIME(0,3,0)),"OK",IF((G193-I193)&gt;=TIME(0,3,0),"ADELANTADO")))))))</f>
        <v/>
      </c>
      <c r="I193" s="89" t="n"/>
      <c r="J193" s="89">
        <f>IF(A193&lt;&gt;"",HLOOKUP(VALUE(TEXT(G193,"h:mm:ss")),IF($C$6="Laboral",$FZ$4:$GX$227,IF($C$6="Sábado",$FZ$231:$GX$452,$FZ$456:$GX$656)),VLOOKUP($C$4,$HF$2:$HH$99,3,0)+IF(C$5="Ida",0,1),1),"")</f>
        <v/>
      </c>
      <c r="K193" s="89">
        <f>IF(A194&lt;&gt;A193,AVERAGEIF(A$9:A193,A193,J$9:J193),"")</f>
        <v/>
      </c>
      <c r="L193" s="89">
        <f>IFERROR(IF(A194&lt;&gt;A193,AVERAGEIF(A$9:A193,A193,S$9:S193),""),"")</f>
        <v/>
      </c>
      <c r="M193" s="89">
        <f>IFERROR(IF(A194&lt;&gt;A193,AVERAGEIF(A$9:A193,A193,T$9:T193),""),"")</f>
        <v/>
      </c>
      <c r="N193" s="89">
        <f t="array" ref="N193">IFERROR(IF(A194&lt;&gt;A193,_xlfn.STDEV.P(IF(A$9:A193=A193,T$9:T193)),""),"")</f>
        <v/>
      </c>
      <c r="O193" s="89">
        <f t="array" ref="O193">IFERROR(IF(A194&lt;&gt;A193,_xlfn.STDEV.P(IF(A$9:A193=A193,S$9:S193)),""),"")</f>
        <v/>
      </c>
      <c r="P193" s="90">
        <f>IFERROR(IF(A193&lt;&gt;A194,MAX((((M193*24*60)/2)*(1+POWER((((N193*24*60) / (M193*24*60) )),2))) + ((M193*24*60 )*-0.1 + (K193*0.015)) +1,(((M193*24*60)/2)*(1+POWER((((N193*24*60) / (M193*24*60 ))),2)))),""),"")</f>
        <v/>
      </c>
      <c r="Q193" s="90">
        <f>IF(AND(O193&lt;&gt;"",L193&lt;&gt;""),IF(A193&lt;&gt;A194,((L193*24*60) / 2 ) * (1 + POWER(((O193*24*60) / (L193*24*60)),2)),""),"")</f>
        <v/>
      </c>
      <c r="R193" s="90">
        <f>IF(Q193&lt;&gt;"",MAX(P193,Q193),"")</f>
        <v/>
      </c>
      <c r="S193" s="89">
        <f>IF(I193&lt;&gt;"H. Sale Real",IF(AND(I194&lt;&gt;"",LEFT(C194,2)&lt;&gt;"Va"),IF(AND(I193&lt;&gt;"",LEFT(C193,2)&lt;&gt;"Va",I193&lt;&gt;"H. Sale Real"),IF(I194-I193&lt;0.208333333333333,I194-I193,""),IF(AND(I192&lt;&gt;"",LEFT(C192,2)&lt;&gt;"Va",I192&lt;&gt;"H. Sale Real"),IF(I194-I192&lt;0.208333333333333,I194-I192,""),IF(AND(I191&lt;&gt;"",LEFT(C191,2)&lt;&gt;"Va",I191&lt;&gt;"H. Sale Real"),IF(I194-I191&lt;0.208333333333333,I194-I191,""),IF(AND(I190&lt;&gt;"",LEFT(C190,2)&lt;&gt;"Va",I190&lt;&gt;"H. Sale Real"),IF(I194-I190&lt;0.208333333333333,I194-I190,""),IF(AND(I189&lt;&gt;"",LEFT(C189,2)&lt;&gt;"Va",I189&lt;&gt;"H. Sale Real"),IF(I194-I189&lt;0.208333333333333,I194-I189,""),""))))),""),"")</f>
        <v/>
      </c>
      <c r="T193" s="89">
        <f>IF(G193&lt;&gt;"H. Sale Real",IF(AND(G194&lt;&gt;"",LEFT(C194,2)&lt;&gt;"Va"),IF(AND(G193&lt;&gt;"",LEFT(C193,2)&lt;&gt;"Va",G193&lt;&gt;"H. Sale Real"),IF(G194-G193&lt;0.208333333333333,G194-G193,""),IF(AND(G192&lt;&gt;"",LEFT(C192,2)&lt;&gt;"Va",G192&lt;&gt;"H. Sale Real"),IF(G194-G192&lt;0.208333333333333,G194-G192,""),IF(AND(G191&lt;&gt;"",LEFT(C191,2)&lt;&gt;"Va",G191&lt;&gt;"H. Sale Real"),IF(G194-G191&lt;0.208333333333333,G194-G191,""),IF(AND(G190&lt;&gt;"",LEFT(C190,2)&lt;&gt;"Va",G190&lt;&gt;"H. Sale Real"),IF(G194-G190&lt;0.208333333333333,G194-G190,""),IF(AND(G189&lt;&gt;"",LEFT(C189,2)&lt;&gt;"Va",G189&lt;&gt;"H. Sale Real"),IF(G194-G189&lt;0.208333333333333,G194-G189,""),""))))),""),"")</f>
        <v/>
      </c>
      <c r="U193" s="87" t="n"/>
      <c r="V193" s="89" t="n"/>
      <c r="W193" s="87" t="n"/>
      <c r="X193" s="89" t="n"/>
      <c r="Y193" s="91" t="n"/>
      <c r="Z193" s="122">
        <f>IF(G193&lt;&gt;"",IF(AND(Z192&lt;&gt;"IE",P193&lt;&gt;0,R193&lt;&gt;""),IF(IFERROR((P193/R193),0) &lt;=1,IFERROR(P193/R193,""),1),""),"")</f>
        <v/>
      </c>
      <c r="AA193" s="93" t="n"/>
      <c r="AB193" s="2" t="n"/>
      <c r="AE193" s="10">
        <f>HOUR(AK193)+1</f>
        <v/>
      </c>
      <c r="AF193" s="7" t="n"/>
      <c r="AG193" s="7" t="n"/>
      <c r="AH193" s="86" t="n"/>
      <c r="AI193" s="8" t="n"/>
      <c r="AJ193" s="86" t="n"/>
      <c r="AK193" s="87" t="n"/>
      <c r="AL193" s="88">
        <f>IF(AM193="","",IF(AND((AM193-AK193)&gt;=TIME(0,0,0),(AM193-AK193)&lt;TIME(0,3,0)),"OK",IF(AND((AM193-AK193)&gt;=TIME(0,3,0),(AM193-AK193)&lt;TIME(0,5,0)),"RETRASO DE 3-5 MIN",IF(AND((AM193-AK193)&gt;=TIME(0,5,0),(AM193-AK193)&lt;TIME(0,10,0)),"RETRASO DE 5-10 MIN",IF((AM193-AK193)&gt;=TIME(0,10,0),"RETRASO &gt;10 MIN", IF(AND((AK193-AM193)&gt;=TIME(0,0,0),(AK193-AM193)&lt;TIME(0,3,0)),"OK",IF((AK193-AM193)&gt;=TIME(0,3,0),"ADELANTADO")))))))</f>
        <v/>
      </c>
      <c r="AM193" s="91" t="n"/>
      <c r="AN193" s="89">
        <f>IF(AE193&lt;&gt;"",HLOOKUP(VALUE(TEXT(AK193,"h:mm:ss")),IF($C$6="Laboral",$FZ$4:$GX$227,IF($C$6="Sábado",$FZ$231:$GX$452,$FZ$456:$GX$656)),VLOOKUP($C$4,$HF$2:$HH$99,3,0)+IF(AG$5="Ida",0,1),1),"")</f>
        <v/>
      </c>
      <c r="AO193" s="89">
        <f>IF(AE194&lt;&gt;AE193,AVERAGEIF(AE$9:AE193,AE193,AN$9:AN193),"")</f>
        <v/>
      </c>
      <c r="AP193" s="89">
        <f>IFERROR(IF(AE194&lt;&gt;AE193,AVERAGEIF(AE$9:AE193,AE193,AW$9:AW193),""),"")</f>
        <v/>
      </c>
      <c r="AQ193" s="89">
        <f>IFERROR(IF(AE194&lt;&gt;AE193,AVERAGEIF(AE$9:AE193,AE193,AX$9:AX193),""),"")</f>
        <v/>
      </c>
      <c r="AR193" s="89">
        <f t="array" ref="AR193">IFERROR(IF(AE194&lt;&gt;AE193,_xlfn.STDEV.P(IF(AE$9:AE193=AE193,AX$9:AX193)),""),"")</f>
        <v/>
      </c>
      <c r="AS193" s="89">
        <f t="array" ref="AS193">IFERROR(IF(AE194&lt;&gt;AE193,_xlfn.STDEV.P(IF(AE$9:AE193=AE193,AW$9:AW193)),""),"")</f>
        <v/>
      </c>
      <c r="AT193" s="90">
        <f>IFERROR(IF(AE193&lt;&gt;AE194,MAX((((AQ193*24*60)/2)*(1+POWER((((AR193*24*60) / (AQ193*24*60) )),2))) + ((AQ193*24*60 )*-0.1 + (AO193*0.015)) +1,(((AQ193*24*60)/2)*(1+POWER((((AR193*24*60) / (AQ193*24*60 ))),2)))),""),"")</f>
        <v/>
      </c>
      <c r="AU193" s="90">
        <f>IF(AND(AS193&lt;&gt;"",AP193&lt;&gt;""),IF(AE193&lt;&gt;AE194,((AP193*24*60) / 2 ) * (1 + POWER(((AS193*24*60) / (AP193*24*60)),2)),""),"")</f>
        <v/>
      </c>
      <c r="AV193" s="90">
        <f>IF(AU193&lt;&gt;"",MAX(AT193,AU193),"")</f>
        <v/>
      </c>
      <c r="AW193" s="89">
        <f>IF(AM193&lt;&gt;"H. Sale Real",IF(AND(AM194&lt;&gt;"",LEFT(AG194,2)&lt;&gt;"Va"),IF(AND(AM193&lt;&gt;"",LEFT(AG193,2)&lt;&gt;"Va",AM193&lt;&gt;"H. Sale Real"),IF(AM194-AM193&lt;0.208333333333333,AM194-AM193,""),IF(AND(AM192&lt;&gt;"",LEFT(AG192,2)&lt;&gt;"Va",AM192&lt;&gt;"H. Sale Real"),IF(AM194-AM192&lt;0.208333333333333,AM194-AM192,""),IF(AND(AM191&lt;&gt;"",LEFT(AG191,2)&lt;&gt;"Va",AM191&lt;&gt;"H. Sale Real"),IF(AM194-AM191&lt;0.208333333333333,AM194-AM191,""),IF(AND(AM190&lt;&gt;"",LEFT(AG190,2)&lt;&gt;"Va",AM190&lt;&gt;"H. Sale Real"),IF(AM194-AM190&lt;0.208333333333333,AM194-AM190,""),IF(AND(AM189&lt;&gt;"",LEFT(AG189,2)&lt;&gt;"Va",AM189&lt;&gt;"H. Sale Real"),IF(AM194-AM189&lt;0.208333333333333,AM194-AM189,""),""))))),""),"")</f>
        <v/>
      </c>
      <c r="AX193" s="89">
        <f>IF(AK193&lt;&gt;"H. Sale Real",IF(AND(AK194&lt;&gt;"",LEFT(AG194,2)&lt;&gt;"Va"),IF(AND(AK193&lt;&gt;"",LEFT(AG193,2)&lt;&gt;"Va",AK193&lt;&gt;"H. Sale Real"),IF(AK194-AK193&lt;0.208333333333333,AK194-AK193,""),IF(AND(AK192&lt;&gt;"",LEFT(AG192,2)&lt;&gt;"Va",AK192&lt;&gt;"H. Sale Real"),IF(AK194-AK192&lt;0.208333333333333,AK194-AK192,""),IF(AND(AK191&lt;&gt;"",LEFT(AG191,2)&lt;&gt;"NC",AK191&lt;&gt;"H. Sale Real"),IF(AK194-AK191&lt;0.208333333333333,AK194-AK191,""),IF(AND(AK190&lt;&gt;"",LEFT(AG190,2)&lt;&gt;"Va",AK190&lt;&gt;"H. Sale Real"),IF(AK194-AK190&lt;0.208333333333333,AK194-AK190,""),IF(AND(AK189&lt;&gt;"",LEFT(AG189,2)&lt;&gt;"Va",AK189&lt;&gt;"H. Sale Real"),IF(AK194-AK189&lt;0.208333333333333,AK194-AK189,""),""))))),""),"")</f>
        <v/>
      </c>
      <c r="AY193" s="87" t="n"/>
      <c r="AZ193" s="89" t="n"/>
      <c r="BA193" s="87" t="n"/>
      <c r="BB193" s="89" t="n"/>
      <c r="BC193" s="91" t="n"/>
      <c r="BD193" s="122">
        <f>IF(AK193&lt;&gt;"",IF(AND(BD192&lt;&gt;"IE",AT193&lt;&gt;0,AV193&lt;&gt;""),IF(IFERROR((AT193/AV193),0) &lt;=1,IFERROR(AT193/AV193,""),1),""),"")</f>
        <v/>
      </c>
      <c r="BE193" s="93" t="n"/>
      <c r="BF193" s="105" t="n"/>
      <c r="FC193" t="inlineStr">
        <is>
          <t>Diccionario 1</t>
        </is>
      </c>
      <c r="FD193" s="15" t="n">
        <v>1231</v>
      </c>
      <c r="FE193" s="15" t="inlineStr">
        <is>
          <t>YV3T7U528LA201607</t>
        </is>
      </c>
      <c r="FF193" s="15" t="n">
        <v>508215</v>
      </c>
      <c r="FG193" s="15" t="inlineStr">
        <is>
          <t>Volvo</t>
        </is>
      </c>
      <c r="FH193" s="15" t="inlineStr">
        <is>
          <t>B8RLEA</t>
        </is>
      </c>
      <c r="FI193" s="15" t="inlineStr">
        <is>
          <t>MARCOPOLO</t>
        </is>
      </c>
      <c r="FJ193" s="15" t="inlineStr">
        <is>
          <t>GRAN VIALE</t>
        </is>
      </c>
      <c r="FK193" s="15" t="n">
        <v>2020</v>
      </c>
      <c r="FL193" s="15" t="inlineStr">
        <is>
          <t>C</t>
        </is>
      </c>
      <c r="FM193" s="15" t="inlineStr">
        <is>
          <t>SAN ALFONSO</t>
        </is>
      </c>
      <c r="FN193" s="15" t="inlineStr">
        <is>
          <t>San Alfonso 2141 (Ramón Subercaseaux 3060)</t>
        </is>
      </c>
      <c r="FO193" s="15" t="inlineStr">
        <is>
          <t>Estacion Central</t>
        </is>
      </c>
      <c r="FP193" t="inlineStr">
        <is>
          <t>C</t>
        </is>
      </c>
      <c r="FS193" s="14" t="inlineStr">
        <is>
          <t>3047 / SFVZ-39|</t>
        </is>
      </c>
      <c r="FT193" t="inlineStr">
        <is>
          <t>SFVZ-39|</t>
        </is>
      </c>
      <c r="FU193" t="inlineStr">
        <is>
          <t>SFVZ-39</t>
        </is>
      </c>
      <c r="FV193">
        <f>VLOOKUP(FU193,FD:FL,9,0)</f>
        <v/>
      </c>
      <c r="HA193" s="35" t="n">
        <v>190</v>
      </c>
      <c r="HB193" s="35" t="n">
        <v>187</v>
      </c>
    </row>
    <row r="194" ht="15.5" customHeight="1">
      <c r="A194" s="10">
        <f>HOUR(G194)+1</f>
        <v/>
      </c>
      <c r="B194" s="7" t="n"/>
      <c r="C194" s="7" t="n"/>
      <c r="D194" s="85">
        <f>IFERROR(
IF(AND(OR(Planilla!B194="C",Planilla!B194="c"), VLOOKUP(E194,FD:FP,13,0)="C"), "OK",IF(AND(OR(Planilla!B194="C",Planilla!B194="c"), OR(VLOOKUP(E194,FD:FP,13,0)="B", VLOOKUP(E194,FD:FP,13,0)="A")), "DEFICIT",IF(
AND(OR(Planilla!B194="B", Planilla!B194="BPAL"), VLOOKUP(E194,FD:FP,13,0)="B"), "OK",IF(AND(OR(Planilla!B194="B", Planilla!B194="BPAL"), VLOOKUP(E194,FD:FP,13,0)="A"), "DEFICIT",IF(AND(OR(Planilla!B194="B", Planilla!B194="BPAL"), VLOOKUP(E194,FD:FP,13,0)="C"), "SOBREOFERTA",IF(AND(Planilla!B194="A", VLOOKUP(E194,FD:FP,13,0)="A"), "OK",IF(
AND(Planilla!B194="A", OR(VLOOKUP(E194,FD:FP,13,0)="B", VLOOKUP(E194,FD:FP,13,0)="C")), "SOBREOFERTA",""
))))))),"")</f>
        <v/>
      </c>
      <c r="E194" s="8" t="n"/>
      <c r="F194" s="86" t="n"/>
      <c r="G194" s="87" t="n"/>
      <c r="H194" s="88">
        <f>IF(I194="","",IF(AND((I194-G194)&gt;=TIME(0,0,0),(I194-G194)&lt;TIME(0,3,0)),"OK",IF(AND((I194-G194)&gt;=TIME(0,3,0),(I194-G194)&lt;TIME(0,5,0)),"RETRASO DE 3-5 MIN",IF(AND((I194-G194)&gt;=TIME(0,5,0),(I194-G194)&lt;TIME(0,10,0)),"RETRASO DE 5-10 MIN",IF((I194-G194)&gt;=TIME(0,10,0),"RETRASO &gt;10 MIN", IF(AND((G194-I194)&gt;=TIME(0,0,0),(G194-I194)&lt;TIME(0,3,0)),"OK",IF((G194-I194)&gt;=TIME(0,3,0),"ADELANTADO")))))))</f>
        <v/>
      </c>
      <c r="I194" s="89" t="n"/>
      <c r="J194" s="89">
        <f>IF(A194&lt;&gt;"",HLOOKUP(VALUE(TEXT(G194,"h:mm:ss")),IF($C$6="Laboral",$FZ$4:$GX$227,IF($C$6="Sábado",$FZ$231:$GX$452,$FZ$456:$GX$656)),VLOOKUP($C$4,$HF$2:$HH$99,3,0)+IF(C$5="Ida",0,1),1),"")</f>
        <v/>
      </c>
      <c r="K194" s="89">
        <f>IF(A195&lt;&gt;A194,AVERAGEIF(A$9:A194,A194,J$9:J194),"")</f>
        <v/>
      </c>
      <c r="L194" s="89">
        <f>IFERROR(IF(A195&lt;&gt;A194,AVERAGEIF(A$9:A194,A194,S$9:S194),""),"")</f>
        <v/>
      </c>
      <c r="M194" s="89">
        <f>IFERROR(IF(A195&lt;&gt;A194,AVERAGEIF(A$9:A194,A194,T$9:T194),""),"")</f>
        <v/>
      </c>
      <c r="N194" s="89">
        <f t="array" ref="N194">IFERROR(IF(A195&lt;&gt;A194,_xlfn.STDEV.P(IF(A$9:A194=A194,T$9:T194)),""),"")</f>
        <v/>
      </c>
      <c r="O194" s="89">
        <f t="array" ref="O194">IFERROR(IF(A195&lt;&gt;A194,_xlfn.STDEV.P(IF(A$9:A194=A194,S$9:S194)),""),"")</f>
        <v/>
      </c>
      <c r="P194" s="90">
        <f>IFERROR(IF(A194&lt;&gt;A195,MAX((((M194*24*60)/2)*(1+POWER((((N194*24*60) / (M194*24*60) )),2))) + ((M194*24*60 )*-0.1 + (K194*0.015)) +1,(((M194*24*60)/2)*(1+POWER((((N194*24*60) / (M194*24*60 ))),2)))),""),"")</f>
        <v/>
      </c>
      <c r="Q194" s="90">
        <f>IF(AND(O194&lt;&gt;"",L194&lt;&gt;""),IF(A194&lt;&gt;A195,((L194*24*60) / 2 ) * (1 + POWER(((O194*24*60) / (L194*24*60)),2)),""),"")</f>
        <v/>
      </c>
      <c r="R194" s="90">
        <f>IF(Q194&lt;&gt;"",MAX(P194,Q194),"")</f>
        <v/>
      </c>
      <c r="S194" s="89">
        <f>IF(I194&lt;&gt;"H. Sale Real",IF(AND(I195&lt;&gt;"",LEFT(C195,2)&lt;&gt;"Va"),IF(AND(I194&lt;&gt;"",LEFT(C194,2)&lt;&gt;"Va",I194&lt;&gt;"H. Sale Real"),IF(I195-I194&lt;0.208333333333333,I195-I194,""),IF(AND(I193&lt;&gt;"",LEFT(C193,2)&lt;&gt;"Va",I193&lt;&gt;"H. Sale Real"),IF(I195-I193&lt;0.208333333333333,I195-I193,""),IF(AND(I192&lt;&gt;"",LEFT(C192,2)&lt;&gt;"Va",I192&lt;&gt;"H. Sale Real"),IF(I195-I192&lt;0.208333333333333,I195-I192,""),IF(AND(I191&lt;&gt;"",LEFT(C191,2)&lt;&gt;"Va",I191&lt;&gt;"H. Sale Real"),IF(I195-I191&lt;0.208333333333333,I195-I191,""),IF(AND(I190&lt;&gt;"",LEFT(C190,2)&lt;&gt;"Va",I190&lt;&gt;"H. Sale Real"),IF(I195-I190&lt;0.208333333333333,I195-I190,""),""))))),""),"")</f>
        <v/>
      </c>
      <c r="T194" s="89">
        <f>IF(G194&lt;&gt;"H. Sale Real",IF(AND(G195&lt;&gt;"",LEFT(C195,2)&lt;&gt;"Va"),IF(AND(G194&lt;&gt;"",LEFT(C194,2)&lt;&gt;"Va",G194&lt;&gt;"H. Sale Real"),IF(G195-G194&lt;0.208333333333333,G195-G194,""),IF(AND(G193&lt;&gt;"",LEFT(C193,2)&lt;&gt;"Va",G193&lt;&gt;"H. Sale Real"),IF(G195-G193&lt;0.208333333333333,G195-G193,""),IF(AND(G192&lt;&gt;"",LEFT(C192,2)&lt;&gt;"Va",G192&lt;&gt;"H. Sale Real"),IF(G195-G192&lt;0.208333333333333,G195-G192,""),IF(AND(G191&lt;&gt;"",LEFT(C191,2)&lt;&gt;"Va",G191&lt;&gt;"H. Sale Real"),IF(G195-G191&lt;0.208333333333333,G195-G191,""),IF(AND(G190&lt;&gt;"",LEFT(C190,2)&lt;&gt;"Va",G190&lt;&gt;"H. Sale Real"),IF(G195-G190&lt;0.208333333333333,G195-G190,""),""))))),""),"")</f>
        <v/>
      </c>
      <c r="U194" s="87" t="n"/>
      <c r="V194" s="89" t="n"/>
      <c r="W194" s="87" t="n"/>
      <c r="X194" s="89" t="n"/>
      <c r="Y194" s="91" t="n"/>
      <c r="Z194" s="122">
        <f>IF(G194&lt;&gt;"",IF(AND(Z193&lt;&gt;"IE",P194&lt;&gt;0,R194&lt;&gt;""),IF(IFERROR((P194/R194),0) &lt;=1,IFERROR(P194/R194,""),1),""),"")</f>
        <v/>
      </c>
      <c r="AA194" s="93" t="n"/>
      <c r="AB194" s="2" t="n"/>
      <c r="AE194" s="10">
        <f>HOUR(AK194)+1</f>
        <v/>
      </c>
      <c r="AF194" s="7" t="n"/>
      <c r="AG194" s="7" t="n"/>
      <c r="AH194" s="86" t="n"/>
      <c r="AI194" s="8" t="n"/>
      <c r="AJ194" s="86" t="n"/>
      <c r="AK194" s="87" t="n"/>
      <c r="AL194" s="88">
        <f>IF(AM194="","",IF(AND((AM194-AK194)&gt;=TIME(0,0,0),(AM194-AK194)&lt;TIME(0,3,0)),"OK",IF(AND((AM194-AK194)&gt;=TIME(0,3,0),(AM194-AK194)&lt;TIME(0,5,0)),"RETRASO DE 3-5 MIN",IF(AND((AM194-AK194)&gt;=TIME(0,5,0),(AM194-AK194)&lt;TIME(0,10,0)),"RETRASO DE 5-10 MIN",IF((AM194-AK194)&gt;=TIME(0,10,0),"RETRASO &gt;10 MIN", IF(AND((AK194-AM194)&gt;=TIME(0,0,0),(AK194-AM194)&lt;TIME(0,3,0)),"OK",IF((AK194-AM194)&gt;=TIME(0,3,0),"ADELANTADO")))))))</f>
        <v/>
      </c>
      <c r="AM194" s="91" t="n"/>
      <c r="AN194" s="89">
        <f>IF(AE194&lt;&gt;"",HLOOKUP(VALUE(TEXT(AK194,"h:mm:ss")),IF($C$6="Laboral",$FZ$4:$GX$227,IF($C$6="Sábado",$FZ$231:$GX$452,$FZ$456:$GX$656)),VLOOKUP($C$4,$HF$2:$HH$99,3,0)+IF(AG$5="Ida",0,1),1),"")</f>
        <v/>
      </c>
      <c r="AO194" s="89">
        <f>IF(AE195&lt;&gt;AE194,AVERAGEIF(AE$9:AE194,AE194,AN$9:AN194),"")</f>
        <v/>
      </c>
      <c r="AP194" s="89">
        <f>IFERROR(IF(AE195&lt;&gt;AE194,AVERAGEIF(AE$9:AE194,AE194,AW$9:AW194),""),"")</f>
        <v/>
      </c>
      <c r="AQ194" s="89">
        <f>IFERROR(IF(AE195&lt;&gt;AE194,AVERAGEIF(AE$9:AE194,AE194,AX$9:AX194),""),"")</f>
        <v/>
      </c>
      <c r="AR194" s="89">
        <f t="array" ref="AR194">IFERROR(IF(AE195&lt;&gt;AE194,_xlfn.STDEV.P(IF(AE$9:AE194=AE194,AX$9:AX194)),""),"")</f>
        <v/>
      </c>
      <c r="AS194" s="89">
        <f t="array" ref="AS194">IFERROR(IF(AE195&lt;&gt;AE194,_xlfn.STDEV.P(IF(AE$9:AE194=AE194,AW$9:AW194)),""),"")</f>
        <v/>
      </c>
      <c r="AT194" s="90">
        <f>IFERROR(IF(AE194&lt;&gt;AE195,MAX((((AQ194*24*60)/2)*(1+POWER((((AR194*24*60) / (AQ194*24*60) )),2))) + ((AQ194*24*60 )*-0.1 + (AO194*0.015)) +1,(((AQ194*24*60)/2)*(1+POWER((((AR194*24*60) / (AQ194*24*60 ))),2)))),""),"")</f>
        <v/>
      </c>
      <c r="AU194" s="90">
        <f>IF(AND(AS194&lt;&gt;"",AP194&lt;&gt;""),IF(AE194&lt;&gt;AE195,((AP194*24*60) / 2 ) * (1 + POWER(((AS194*24*60) / (AP194*24*60)),2)),""),"")</f>
        <v/>
      </c>
      <c r="AV194" s="90">
        <f>IF(AU194&lt;&gt;"",MAX(AT194,AU194),"")</f>
        <v/>
      </c>
      <c r="AW194" s="89">
        <f>IF(AM194&lt;&gt;"H. Sale Real",IF(AND(AM195&lt;&gt;"",LEFT(AG195,2)&lt;&gt;"Va"),IF(AND(AM194&lt;&gt;"",LEFT(AG194,2)&lt;&gt;"Va",AM194&lt;&gt;"H. Sale Real"),IF(AM195-AM194&lt;0.208333333333333,AM195-AM194,""),IF(AND(AM193&lt;&gt;"",LEFT(AG193,2)&lt;&gt;"Va",AM193&lt;&gt;"H. Sale Real"),IF(AM195-AM193&lt;0.208333333333333,AM195-AM193,""),IF(AND(AM192&lt;&gt;"",LEFT(AG192,2)&lt;&gt;"Va",AM192&lt;&gt;"H. Sale Real"),IF(AM195-AM192&lt;0.208333333333333,AM195-AM192,""),IF(AND(AM191&lt;&gt;"",LEFT(AG191,2)&lt;&gt;"Va",AM191&lt;&gt;"H. Sale Real"),IF(AM195-AM191&lt;0.208333333333333,AM195-AM191,""),IF(AND(AM190&lt;&gt;"",LEFT(AG190,2)&lt;&gt;"Va",AM190&lt;&gt;"H. Sale Real"),IF(AM195-AM190&lt;0.208333333333333,AM195-AM190,""),""))))),""),"")</f>
        <v/>
      </c>
      <c r="AX194" s="89">
        <f>IF(AK194&lt;&gt;"H. Sale Real",IF(AND(AK195&lt;&gt;"",LEFT(AG195,2)&lt;&gt;"Va"),IF(AND(AK194&lt;&gt;"",LEFT(AG194,2)&lt;&gt;"Va",AK194&lt;&gt;"H. Sale Real"),IF(AK195-AK194&lt;0.208333333333333,AK195-AK194,""),IF(AND(AK193&lt;&gt;"",LEFT(AG193,2)&lt;&gt;"Va",AK193&lt;&gt;"H. Sale Real"),IF(AK195-AK193&lt;0.208333333333333,AK195-AK193,""),IF(AND(AK192&lt;&gt;"",LEFT(AG192,2)&lt;&gt;"NC",AK192&lt;&gt;"H. Sale Real"),IF(AK195-AK192&lt;0.208333333333333,AK195-AK192,""),IF(AND(AK191&lt;&gt;"",LEFT(AG191,2)&lt;&gt;"Va",AK191&lt;&gt;"H. Sale Real"),IF(AK195-AK191&lt;0.208333333333333,AK195-AK191,""),IF(AND(AK190&lt;&gt;"",LEFT(AG190,2)&lt;&gt;"Va",AK190&lt;&gt;"H. Sale Real"),IF(AK195-AK190&lt;0.208333333333333,AK195-AK190,""),""))))),""),"")</f>
        <v/>
      </c>
      <c r="AY194" s="87" t="n"/>
      <c r="AZ194" s="89" t="n"/>
      <c r="BA194" s="87" t="n"/>
      <c r="BB194" s="89" t="n"/>
      <c r="BC194" s="91" t="n"/>
      <c r="BD194" s="122">
        <f>IF(AK194&lt;&gt;"",IF(AND(BD193&lt;&gt;"IE",AT194&lt;&gt;0,AV194&lt;&gt;""),IF(IFERROR((AT194/AV194),0) &lt;=1,IFERROR(AT194/AV194,""),1),""),"")</f>
        <v/>
      </c>
      <c r="BE194" s="93" t="n"/>
      <c r="BF194" s="105" t="n"/>
      <c r="FC194" t="inlineStr">
        <is>
          <t>Diccionario 1</t>
        </is>
      </c>
      <c r="FD194" s="15" t="n">
        <v>1184</v>
      </c>
      <c r="FE194" s="15" t="inlineStr">
        <is>
          <t>YV3T7U527LA201694</t>
        </is>
      </c>
      <c r="FF194" s="15" t="n">
        <v>508655</v>
      </c>
      <c r="FG194" s="15" t="inlineStr">
        <is>
          <t>Volvo</t>
        </is>
      </c>
      <c r="FH194" s="15" t="inlineStr">
        <is>
          <t>B8RLEA</t>
        </is>
      </c>
      <c r="FI194" s="15" t="inlineStr">
        <is>
          <t>MARCOPOLO</t>
        </is>
      </c>
      <c r="FJ194" s="15" t="inlineStr">
        <is>
          <t>GRAN VIALE</t>
        </is>
      </c>
      <c r="FK194" s="15" t="n">
        <v>2020</v>
      </c>
      <c r="FL194" s="15" t="inlineStr">
        <is>
          <t>C</t>
        </is>
      </c>
      <c r="FM194" s="15" t="inlineStr">
        <is>
          <t>PIE ANDINO</t>
        </is>
      </c>
      <c r="FN194" s="15" t="inlineStr">
        <is>
          <t>Pie Andino 31 (Pie Andino 383)</t>
        </is>
      </c>
      <c r="FO194" s="15" t="inlineStr">
        <is>
          <t>Puente Alto</t>
        </is>
      </c>
      <c r="FP194" t="inlineStr">
        <is>
          <t>C</t>
        </is>
      </c>
      <c r="FS194" s="14" t="inlineStr">
        <is>
          <t>3048 / SFVZ-96|</t>
        </is>
      </c>
      <c r="FT194" t="inlineStr">
        <is>
          <t>SFVZ-96|</t>
        </is>
      </c>
      <c r="FU194" t="inlineStr">
        <is>
          <t>SFVZ-96</t>
        </is>
      </c>
      <c r="FV194">
        <f>VLOOKUP(FU194,FD:FL,9,0)</f>
        <v/>
      </c>
      <c r="HA194" s="35" t="n">
        <v>191</v>
      </c>
      <c r="HB194" s="35" t="n">
        <v>188</v>
      </c>
    </row>
    <row r="195" ht="15.5" customHeight="1">
      <c r="A195" s="10">
        <f>HOUR(G195)+1</f>
        <v/>
      </c>
      <c r="B195" s="7" t="n"/>
      <c r="C195" s="7" t="n"/>
      <c r="D195" s="85">
        <f>IFERROR(
IF(AND(OR(Planilla!B195="C",Planilla!B195="c"), VLOOKUP(E195,FD:FP,13,0)="C"), "OK",IF(AND(OR(Planilla!B195="C",Planilla!B195="c"), OR(VLOOKUP(E195,FD:FP,13,0)="B", VLOOKUP(E195,FD:FP,13,0)="A")), "DEFICIT",IF(
AND(OR(Planilla!B195="B", Planilla!B195="BPAL"), VLOOKUP(E195,FD:FP,13,0)="B"), "OK",IF(AND(OR(Planilla!B195="B", Planilla!B195="BPAL"), VLOOKUP(E195,FD:FP,13,0)="A"), "DEFICIT",IF(AND(OR(Planilla!B195="B", Planilla!B195="BPAL"), VLOOKUP(E195,FD:FP,13,0)="C"), "SOBREOFERTA",IF(AND(Planilla!B195="A", VLOOKUP(E195,FD:FP,13,0)="A"), "OK",IF(
AND(Planilla!B195="A", OR(VLOOKUP(E195,FD:FP,13,0)="B", VLOOKUP(E195,FD:FP,13,0)="C")), "SOBREOFERTA",""
))))))),"")</f>
        <v/>
      </c>
      <c r="E195" s="8" t="n"/>
      <c r="F195" s="86" t="n"/>
      <c r="G195" s="87" t="n"/>
      <c r="H195" s="88">
        <f>IF(I195="","",IF(AND((I195-G195)&gt;=TIME(0,0,0),(I195-G195)&lt;TIME(0,3,0)),"OK",IF(AND((I195-G195)&gt;=TIME(0,3,0),(I195-G195)&lt;TIME(0,5,0)),"RETRASO DE 3-5 MIN",IF(AND((I195-G195)&gt;=TIME(0,5,0),(I195-G195)&lt;TIME(0,10,0)),"RETRASO DE 5-10 MIN",IF((I195-G195)&gt;=TIME(0,10,0),"RETRASO &gt;10 MIN", IF(AND((G195-I195)&gt;=TIME(0,0,0),(G195-I195)&lt;TIME(0,3,0)),"OK",IF((G195-I195)&gt;=TIME(0,3,0),"ADELANTADO")))))))</f>
        <v/>
      </c>
      <c r="I195" s="89" t="n"/>
      <c r="J195" s="89">
        <f>IF(A195&lt;&gt;"",HLOOKUP(VALUE(TEXT(G195,"h:mm:ss")),IF($C$6="Laboral",$FZ$4:$GX$227,IF($C$6="Sábado",$FZ$231:$GX$452,$FZ$456:$GX$656)),VLOOKUP($C$4,$HF$2:$HH$99,3,0)+IF(C$5="Ida",0,1),1),"")</f>
        <v/>
      </c>
      <c r="K195" s="89">
        <f>IF(A196&lt;&gt;A195,AVERAGEIF(A$9:A195,A195,J$9:J195),"")</f>
        <v/>
      </c>
      <c r="L195" s="89">
        <f>IFERROR(IF(A196&lt;&gt;A195,AVERAGEIF(A$9:A195,A195,S$9:S195),""),"")</f>
        <v/>
      </c>
      <c r="M195" s="89">
        <f>IFERROR(IF(A196&lt;&gt;A195,AVERAGEIF(A$9:A195,A195,T$9:T195),""),"")</f>
        <v/>
      </c>
      <c r="N195" s="89">
        <f t="array" ref="N195">IFERROR(IF(A196&lt;&gt;A195,_xlfn.STDEV.P(IF(A$9:A195=A195,T$9:T195)),""),"")</f>
        <v/>
      </c>
      <c r="O195" s="89">
        <f t="array" ref="O195">IFERROR(IF(A196&lt;&gt;A195,_xlfn.STDEV.P(IF(A$9:A195=A195,S$9:S195)),""),"")</f>
        <v/>
      </c>
      <c r="P195" s="90">
        <f>IFERROR(IF(A195&lt;&gt;A196,MAX((((M195*24*60)/2)*(1+POWER((((N195*24*60) / (M195*24*60) )),2))) + ((M195*24*60 )*-0.1 + (K195*0.015)) +1,(((M195*24*60)/2)*(1+POWER((((N195*24*60) / (M195*24*60 ))),2)))),""),"")</f>
        <v/>
      </c>
      <c r="Q195" s="90">
        <f>IF(AND(O195&lt;&gt;"",L195&lt;&gt;""),IF(A195&lt;&gt;A196,((L195*24*60) / 2 ) * (1 + POWER(((O195*24*60) / (L195*24*60)),2)),""),"")</f>
        <v/>
      </c>
      <c r="R195" s="90">
        <f>IF(Q195&lt;&gt;"",MAX(P195,Q195),"")</f>
        <v/>
      </c>
      <c r="S195" s="89">
        <f>IF(I195&lt;&gt;"H. Sale Real",IF(AND(I196&lt;&gt;"",LEFT(C196,2)&lt;&gt;"Va"),IF(AND(I195&lt;&gt;"",LEFT(C195,2)&lt;&gt;"Va",I195&lt;&gt;"H. Sale Real"),IF(I196-I195&lt;0.208333333333333,I196-I195,""),IF(AND(I194&lt;&gt;"",LEFT(C194,2)&lt;&gt;"Va",I194&lt;&gt;"H. Sale Real"),IF(I196-I194&lt;0.208333333333333,I196-I194,""),IF(AND(I193&lt;&gt;"",LEFT(C193,2)&lt;&gt;"Va",I193&lt;&gt;"H. Sale Real"),IF(I196-I193&lt;0.208333333333333,I196-I193,""),IF(AND(I192&lt;&gt;"",LEFT(C192,2)&lt;&gt;"Va",I192&lt;&gt;"H. Sale Real"),IF(I196-I192&lt;0.208333333333333,I196-I192,""),IF(AND(I191&lt;&gt;"",LEFT(C191,2)&lt;&gt;"Va",I191&lt;&gt;"H. Sale Real"),IF(I196-I191&lt;0.208333333333333,I196-I191,""),""))))),""),"")</f>
        <v/>
      </c>
      <c r="T195" s="89">
        <f>IF(G195&lt;&gt;"H. Sale Real",IF(AND(G196&lt;&gt;"",LEFT(C196,2)&lt;&gt;"Va"),IF(AND(G195&lt;&gt;"",LEFT(C195,2)&lt;&gt;"Va",G195&lt;&gt;"H. Sale Real"),IF(G196-G195&lt;0.208333333333333,G196-G195,""),IF(AND(G194&lt;&gt;"",LEFT(C194,2)&lt;&gt;"Va",G194&lt;&gt;"H. Sale Real"),IF(G196-G194&lt;0.208333333333333,G196-G194,""),IF(AND(G193&lt;&gt;"",LEFT(C193,2)&lt;&gt;"Va",G193&lt;&gt;"H. Sale Real"),IF(G196-G193&lt;0.208333333333333,G196-G193,""),IF(AND(G192&lt;&gt;"",LEFT(C192,2)&lt;&gt;"Va",G192&lt;&gt;"H. Sale Real"),IF(G196-G192&lt;0.208333333333333,G196-G192,""),IF(AND(G191&lt;&gt;"",LEFT(C191,2)&lt;&gt;"Va",G191&lt;&gt;"H. Sale Real"),IF(G196-G191&lt;0.208333333333333,G196-G191,""),""))))),""),"")</f>
        <v/>
      </c>
      <c r="U195" s="87" t="n"/>
      <c r="V195" s="89" t="n"/>
      <c r="W195" s="87" t="n"/>
      <c r="X195" s="89" t="n"/>
      <c r="Y195" s="91" t="n"/>
      <c r="Z195" s="122">
        <f>IF(G195&lt;&gt;"",IF(AND(Z194&lt;&gt;"IE",P195&lt;&gt;0,R195&lt;&gt;""),IF(IFERROR((P195/R195),0) &lt;=1,IFERROR(P195/R195,""),1),""),"")</f>
        <v/>
      </c>
      <c r="AA195" s="93" t="n"/>
      <c r="AB195" s="2" t="n"/>
      <c r="AE195" s="10">
        <f>HOUR(AK195)+1</f>
        <v/>
      </c>
      <c r="AF195" s="7" t="n"/>
      <c r="AG195" s="7" t="n"/>
      <c r="AH195" s="86" t="n"/>
      <c r="AI195" s="8" t="n"/>
      <c r="AJ195" s="86" t="n"/>
      <c r="AK195" s="87" t="n"/>
      <c r="AL195" s="88">
        <f>IF(AM195="","",IF(AND((AM195-AK195)&gt;=TIME(0,0,0),(AM195-AK195)&lt;TIME(0,3,0)),"OK",IF(AND((AM195-AK195)&gt;=TIME(0,3,0),(AM195-AK195)&lt;TIME(0,5,0)),"RETRASO DE 3-5 MIN",IF(AND((AM195-AK195)&gt;=TIME(0,5,0),(AM195-AK195)&lt;TIME(0,10,0)),"RETRASO DE 5-10 MIN",IF((AM195-AK195)&gt;=TIME(0,10,0),"RETRASO &gt;10 MIN", IF(AND((AK195-AM195)&gt;=TIME(0,0,0),(AK195-AM195)&lt;TIME(0,3,0)),"OK",IF((AK195-AM195)&gt;=TIME(0,3,0),"ADELANTADO")))))))</f>
        <v/>
      </c>
      <c r="AM195" s="91" t="n"/>
      <c r="AN195" s="89">
        <f>IF(AE195&lt;&gt;"",HLOOKUP(VALUE(TEXT(AK195,"h:mm:ss")),IF($C$6="Laboral",$FZ$4:$GX$227,IF($C$6="Sábado",$FZ$231:$GX$452,$FZ$456:$GX$656)),VLOOKUP($C$4,$HF$2:$HH$99,3,0)+IF(AG$5="Ida",0,1),1),"")</f>
        <v/>
      </c>
      <c r="AO195" s="89">
        <f>IF(AE196&lt;&gt;AE195,AVERAGEIF(AE$9:AE195,AE195,AN$9:AN195),"")</f>
        <v/>
      </c>
      <c r="AP195" s="89">
        <f>IFERROR(IF(AE196&lt;&gt;AE195,AVERAGEIF(AE$9:AE195,AE195,AW$9:AW195),""),"")</f>
        <v/>
      </c>
      <c r="AQ195" s="89">
        <f>IFERROR(IF(AE196&lt;&gt;AE195,AVERAGEIF(AE$9:AE195,AE195,AX$9:AX195),""),"")</f>
        <v/>
      </c>
      <c r="AR195" s="89">
        <f t="array" ref="AR195">IFERROR(IF(AE196&lt;&gt;AE195,_xlfn.STDEV.P(IF(AE$9:AE195=AE195,AX$9:AX195)),""),"")</f>
        <v/>
      </c>
      <c r="AS195" s="89">
        <f t="array" ref="AS195">IFERROR(IF(AE196&lt;&gt;AE195,_xlfn.STDEV.P(IF(AE$9:AE195=AE195,AW$9:AW195)),""),"")</f>
        <v/>
      </c>
      <c r="AT195" s="90">
        <f>IFERROR(IF(AE195&lt;&gt;AE196,MAX((((AQ195*24*60)/2)*(1+POWER((((AR195*24*60) / (AQ195*24*60) )),2))) + ((AQ195*24*60 )*-0.1 + (AO195*0.015)) +1,(((AQ195*24*60)/2)*(1+POWER((((AR195*24*60) / (AQ195*24*60 ))),2)))),""),"")</f>
        <v/>
      </c>
      <c r="AU195" s="90">
        <f>IF(AND(AS195&lt;&gt;"",AP195&lt;&gt;""),IF(AE195&lt;&gt;AE196,((AP195*24*60) / 2 ) * (1 + POWER(((AS195*24*60) / (AP195*24*60)),2)),""),"")</f>
        <v/>
      </c>
      <c r="AV195" s="90">
        <f>IF(AU195&lt;&gt;"",MAX(AT195,AU195),"")</f>
        <v/>
      </c>
      <c r="AW195" s="89">
        <f>IF(AM195&lt;&gt;"H. Sale Real",IF(AND(AM196&lt;&gt;"",LEFT(AG196,2)&lt;&gt;"Va"),IF(AND(AM195&lt;&gt;"",LEFT(AG195,2)&lt;&gt;"Va",AM195&lt;&gt;"H. Sale Real"),IF(AM196-AM195&lt;0.208333333333333,AM196-AM195,""),IF(AND(AM194&lt;&gt;"",LEFT(AG194,2)&lt;&gt;"Va",AM194&lt;&gt;"H. Sale Real"),IF(AM196-AM194&lt;0.208333333333333,AM196-AM194,""),IF(AND(AM193&lt;&gt;"",LEFT(AG193,2)&lt;&gt;"Va",AM193&lt;&gt;"H. Sale Real"),IF(AM196-AM193&lt;0.208333333333333,AM196-AM193,""),IF(AND(AM192&lt;&gt;"",LEFT(AG192,2)&lt;&gt;"Va",AM192&lt;&gt;"H. Sale Real"),IF(AM196-AM192&lt;0.208333333333333,AM196-AM192,""),IF(AND(AM191&lt;&gt;"",LEFT(AG191,2)&lt;&gt;"Va",AM191&lt;&gt;"H. Sale Real"),IF(AM196-AM191&lt;0.208333333333333,AM196-AM191,""),""))))),""),"")</f>
        <v/>
      </c>
      <c r="AX195" s="89">
        <f>IF(AK195&lt;&gt;"H. Sale Real",IF(AND(AK196&lt;&gt;"",LEFT(AG196,2)&lt;&gt;"Va"),IF(AND(AK195&lt;&gt;"",LEFT(AG195,2)&lt;&gt;"Va",AK195&lt;&gt;"H. Sale Real"),IF(AK196-AK195&lt;0.208333333333333,AK196-AK195,""),IF(AND(AK194&lt;&gt;"",LEFT(AG194,2)&lt;&gt;"Va",AK194&lt;&gt;"H. Sale Real"),IF(AK196-AK194&lt;0.208333333333333,AK196-AK194,""),IF(AND(AK193&lt;&gt;"",LEFT(AG193,2)&lt;&gt;"NC",AK193&lt;&gt;"H. Sale Real"),IF(AK196-AK193&lt;0.208333333333333,AK196-AK193,""),IF(AND(AK192&lt;&gt;"",LEFT(AG192,2)&lt;&gt;"Va",AK192&lt;&gt;"H. Sale Real"),IF(AK196-AK192&lt;0.208333333333333,AK196-AK192,""),IF(AND(AK191&lt;&gt;"",LEFT(AG191,2)&lt;&gt;"Va",AK191&lt;&gt;"H. Sale Real"),IF(AK196-AK191&lt;0.208333333333333,AK196-AK191,""),""))))),""),"")</f>
        <v/>
      </c>
      <c r="AY195" s="87" t="n"/>
      <c r="AZ195" s="89" t="n"/>
      <c r="BA195" s="87" t="n"/>
      <c r="BB195" s="89" t="n"/>
      <c r="BC195" s="91" t="n"/>
      <c r="BD195" s="122">
        <f>IF(AK195&lt;&gt;"",IF(AND(BD194&lt;&gt;"IE",AT195&lt;&gt;0,AV195&lt;&gt;""),IF(IFERROR((AT195/AV195),0) &lt;=1,IFERROR(AT195/AV195,""),1),""),"")</f>
        <v/>
      </c>
      <c r="BE195" s="93" t="n"/>
      <c r="BF195" s="105" t="n"/>
      <c r="FC195" t="inlineStr">
        <is>
          <t>Diccionario 1</t>
        </is>
      </c>
      <c r="FD195" s="15" t="n">
        <v>1185</v>
      </c>
      <c r="FE195" s="15" t="inlineStr">
        <is>
          <t>YV3T7U528LA201610</t>
        </is>
      </c>
      <c r="FF195" s="15" t="n">
        <v>508198</v>
      </c>
      <c r="FG195" s="15" t="inlineStr">
        <is>
          <t>Volvo</t>
        </is>
      </c>
      <c r="FH195" s="15" t="inlineStr">
        <is>
          <t>B8RLEA</t>
        </is>
      </c>
      <c r="FI195" s="15" t="inlineStr">
        <is>
          <t>MARCOPOLO</t>
        </is>
      </c>
      <c r="FJ195" s="15" t="inlineStr">
        <is>
          <t>GRAN VIALE</t>
        </is>
      </c>
      <c r="FK195" s="15" t="n">
        <v>2020</v>
      </c>
      <c r="FL195" s="15" t="inlineStr">
        <is>
          <t>C</t>
        </is>
      </c>
      <c r="FM195" s="15" t="inlineStr">
        <is>
          <t>PIE ANDINO</t>
        </is>
      </c>
      <c r="FN195" s="15" t="inlineStr">
        <is>
          <t>Pie Andino 31 (Pie Andino 383)</t>
        </is>
      </c>
      <c r="FO195" s="15" t="inlineStr">
        <is>
          <t>Puente Alto</t>
        </is>
      </c>
      <c r="FP195" t="inlineStr">
        <is>
          <t>C</t>
        </is>
      </c>
      <c r="FS195" s="14" t="inlineStr">
        <is>
          <t>3048 / SFVZ-96|</t>
        </is>
      </c>
      <c r="FT195" t="inlineStr">
        <is>
          <t>SFVZ-96|</t>
        </is>
      </c>
      <c r="FU195" t="inlineStr">
        <is>
          <t>SFVZ-96</t>
        </is>
      </c>
      <c r="FV195">
        <f>VLOOKUP(FU195,FD:FL,9,0)</f>
        <v/>
      </c>
      <c r="HA195" s="35" t="n">
        <v>192</v>
      </c>
      <c r="HB195" s="35" t="n">
        <v>189</v>
      </c>
    </row>
    <row r="196" ht="15.5" customHeight="1">
      <c r="A196" s="10">
        <f>HOUR(G196)+1</f>
        <v/>
      </c>
      <c r="B196" s="7" t="n"/>
      <c r="C196" s="7" t="n"/>
      <c r="D196" s="85">
        <f>IFERROR(
IF(AND(OR(Planilla!B196="C",Planilla!B196="c"), VLOOKUP(E196,FD:FP,13,0)="C"), "OK",IF(AND(OR(Planilla!B196="C",Planilla!B196="c"), OR(VLOOKUP(E196,FD:FP,13,0)="B", VLOOKUP(E196,FD:FP,13,0)="A")), "DEFICIT",IF(
AND(OR(Planilla!B196="B", Planilla!B196="BPAL"), VLOOKUP(E196,FD:FP,13,0)="B"), "OK",IF(AND(OR(Planilla!B196="B", Planilla!B196="BPAL"), VLOOKUP(E196,FD:FP,13,0)="A"), "DEFICIT",IF(AND(OR(Planilla!B196="B", Planilla!B196="BPAL"), VLOOKUP(E196,FD:FP,13,0)="C"), "SOBREOFERTA",IF(AND(Planilla!B196="A", VLOOKUP(E196,FD:FP,13,0)="A"), "OK",IF(
AND(Planilla!B196="A", OR(VLOOKUP(E196,FD:FP,13,0)="B", VLOOKUP(E196,FD:FP,13,0)="C")), "SOBREOFERTA",""
))))))),"")</f>
        <v/>
      </c>
      <c r="E196" s="8" t="n"/>
      <c r="F196" s="86" t="n"/>
      <c r="G196" s="87" t="n"/>
      <c r="H196" s="88">
        <f>IF(I196="","",IF(AND((I196-G196)&gt;=TIME(0,0,0),(I196-G196)&lt;TIME(0,3,0)),"OK",IF(AND((I196-G196)&gt;=TIME(0,3,0),(I196-G196)&lt;TIME(0,5,0)),"RETRASO DE 3-5 MIN",IF(AND((I196-G196)&gt;=TIME(0,5,0),(I196-G196)&lt;TIME(0,10,0)),"RETRASO DE 5-10 MIN",IF((I196-G196)&gt;=TIME(0,10,0),"RETRASO &gt;10 MIN", IF(AND((G196-I196)&gt;=TIME(0,0,0),(G196-I196)&lt;TIME(0,3,0)),"OK",IF((G196-I196)&gt;=TIME(0,3,0),"ADELANTADO")))))))</f>
        <v/>
      </c>
      <c r="I196" s="89" t="n"/>
      <c r="J196" s="89">
        <f>IF(A196&lt;&gt;"",HLOOKUP(VALUE(TEXT(G196,"h:mm:ss")),IF($C$6="Laboral",$FZ$4:$GX$227,IF($C$6="Sábado",$FZ$231:$GX$452,$FZ$456:$GX$656)),VLOOKUP($C$4,$HF$2:$HH$99,3,0)+IF(C$5="Ida",0,1),1),"")</f>
        <v/>
      </c>
      <c r="K196" s="89">
        <f>IF(A197&lt;&gt;A196,AVERAGEIF(A$9:A196,A196,J$9:J196),"")</f>
        <v/>
      </c>
      <c r="L196" s="89">
        <f>IFERROR(IF(A197&lt;&gt;A196,AVERAGEIF(A$9:A196,A196,S$9:S196),""),"")</f>
        <v/>
      </c>
      <c r="M196" s="89">
        <f>IFERROR(IF(A197&lt;&gt;A196,AVERAGEIF(A$9:A196,A196,T$9:T196),""),"")</f>
        <v/>
      </c>
      <c r="N196" s="89">
        <f t="array" ref="N196">IFERROR(IF(A197&lt;&gt;A196,_xlfn.STDEV.P(IF(A$9:A196=A196,T$9:T196)),""),"")</f>
        <v/>
      </c>
      <c r="O196" s="89">
        <f t="array" ref="O196">IFERROR(IF(A197&lt;&gt;A196,_xlfn.STDEV.P(IF(A$9:A196=A196,S$9:S196)),""),"")</f>
        <v/>
      </c>
      <c r="P196" s="90">
        <f>IFERROR(IF(A196&lt;&gt;A197,MAX((((M196*24*60)/2)*(1+POWER((((N196*24*60) / (M196*24*60) )),2))) + ((M196*24*60 )*-0.1 + (K196*0.015)) +1,(((M196*24*60)/2)*(1+POWER((((N196*24*60) / (M196*24*60 ))),2)))),""),"")</f>
        <v/>
      </c>
      <c r="Q196" s="90">
        <f>IF(AND(O196&lt;&gt;"",L196&lt;&gt;""),IF(A196&lt;&gt;A197,((L196*24*60) / 2 ) * (1 + POWER(((O196*24*60) / (L196*24*60)),2)),""),"")</f>
        <v/>
      </c>
      <c r="R196" s="90">
        <f>IF(Q196&lt;&gt;"",MAX(P196,Q196),"")</f>
        <v/>
      </c>
      <c r="S196" s="89">
        <f>IF(I196&lt;&gt;"H. Sale Real",IF(AND(I197&lt;&gt;"",LEFT(C197,2)&lt;&gt;"Va"),IF(AND(I196&lt;&gt;"",LEFT(C196,2)&lt;&gt;"Va",I196&lt;&gt;"H. Sale Real"),IF(I197-I196&lt;0.208333333333333,I197-I196,""),IF(AND(I195&lt;&gt;"",LEFT(C195,2)&lt;&gt;"Va",I195&lt;&gt;"H. Sale Real"),IF(I197-I195&lt;0.208333333333333,I197-I195,""),IF(AND(I194&lt;&gt;"",LEFT(C194,2)&lt;&gt;"Va",I194&lt;&gt;"H. Sale Real"),IF(I197-I194&lt;0.208333333333333,I197-I194,""),IF(AND(I193&lt;&gt;"",LEFT(C193,2)&lt;&gt;"Va",I193&lt;&gt;"H. Sale Real"),IF(I197-I193&lt;0.208333333333333,I197-I193,""),IF(AND(I192&lt;&gt;"",LEFT(C192,2)&lt;&gt;"Va",I192&lt;&gt;"H. Sale Real"),IF(I197-I192&lt;0.208333333333333,I197-I192,""),""))))),""),"")</f>
        <v/>
      </c>
      <c r="T196" s="89">
        <f>IF(G196&lt;&gt;"H. Sale Real",IF(AND(G197&lt;&gt;"",LEFT(C197,2)&lt;&gt;"Va"),IF(AND(G196&lt;&gt;"",LEFT(C196,2)&lt;&gt;"Va",G196&lt;&gt;"H. Sale Real"),IF(G197-G196&lt;0.208333333333333,G197-G196,""),IF(AND(G195&lt;&gt;"",LEFT(C195,2)&lt;&gt;"Va",G195&lt;&gt;"H. Sale Real"),IF(G197-G195&lt;0.208333333333333,G197-G195,""),IF(AND(G194&lt;&gt;"",LEFT(C194,2)&lt;&gt;"Va",G194&lt;&gt;"H. Sale Real"),IF(G197-G194&lt;0.208333333333333,G197-G194,""),IF(AND(G193&lt;&gt;"",LEFT(C193,2)&lt;&gt;"Va",G193&lt;&gt;"H. Sale Real"),IF(G197-G193&lt;0.208333333333333,G197-G193,""),IF(AND(G192&lt;&gt;"",LEFT(C192,2)&lt;&gt;"Va",G192&lt;&gt;"H. Sale Real"),IF(G197-G192&lt;0.208333333333333,G197-G192,""),""))))),""),"")</f>
        <v/>
      </c>
      <c r="U196" s="87" t="n"/>
      <c r="V196" s="89" t="n"/>
      <c r="W196" s="87" t="n"/>
      <c r="X196" s="89" t="n"/>
      <c r="Y196" s="91" t="n"/>
      <c r="Z196" s="122">
        <f>IF(G196&lt;&gt;"",IF(AND(Z195&lt;&gt;"IE",P196&lt;&gt;0,R196&lt;&gt;""),IF(IFERROR((P196/R196),0) &lt;=1,IFERROR(P196/R196,""),1),""),"")</f>
        <v/>
      </c>
      <c r="AA196" s="93" t="n"/>
      <c r="AB196" s="2" t="n"/>
      <c r="AE196" s="10">
        <f>HOUR(AK196)+1</f>
        <v/>
      </c>
      <c r="AF196" s="7" t="n"/>
      <c r="AG196" s="7" t="n"/>
      <c r="AH196" s="86" t="n"/>
      <c r="AI196" s="8" t="n"/>
      <c r="AJ196" s="86" t="n"/>
      <c r="AK196" s="87" t="n"/>
      <c r="AL196" s="88">
        <f>IF(AM196="","",IF(AND((AM196-AK196)&gt;=TIME(0,0,0),(AM196-AK196)&lt;TIME(0,3,0)),"OK",IF(AND((AM196-AK196)&gt;=TIME(0,3,0),(AM196-AK196)&lt;TIME(0,5,0)),"RETRASO DE 3-5 MIN",IF(AND((AM196-AK196)&gt;=TIME(0,5,0),(AM196-AK196)&lt;TIME(0,10,0)),"RETRASO DE 5-10 MIN",IF((AM196-AK196)&gt;=TIME(0,10,0),"RETRASO &gt;10 MIN", IF(AND((AK196-AM196)&gt;=TIME(0,0,0),(AK196-AM196)&lt;TIME(0,3,0)),"OK",IF((AK196-AM196)&gt;=TIME(0,3,0),"ADELANTADO")))))))</f>
        <v/>
      </c>
      <c r="AM196" s="91" t="n"/>
      <c r="AN196" s="89">
        <f>IF(AE196&lt;&gt;"",HLOOKUP(VALUE(TEXT(AK196,"h:mm:ss")),IF($C$6="Laboral",$FZ$4:$GX$227,IF($C$6="Sábado",$FZ$231:$GX$452,$FZ$456:$GX$656)),VLOOKUP($C$4,$HF$2:$HH$99,3,0)+IF(AG$5="Ida",0,1),1),"")</f>
        <v/>
      </c>
      <c r="AO196" s="89">
        <f>IF(AE197&lt;&gt;AE196,AVERAGEIF(AE$9:AE196,AE196,AN$9:AN196),"")</f>
        <v/>
      </c>
      <c r="AP196" s="89">
        <f>IFERROR(IF(AE197&lt;&gt;AE196,AVERAGEIF(AE$9:AE196,AE196,AW$9:AW196),""),"")</f>
        <v/>
      </c>
      <c r="AQ196" s="89">
        <f>IFERROR(IF(AE197&lt;&gt;AE196,AVERAGEIF(AE$9:AE196,AE196,AX$9:AX196),""),"")</f>
        <v/>
      </c>
      <c r="AR196" s="89">
        <f t="array" ref="AR196">IFERROR(IF(AE197&lt;&gt;AE196,_xlfn.STDEV.P(IF(AE$9:AE196=AE196,AX$9:AX196)),""),"")</f>
        <v/>
      </c>
      <c r="AS196" s="89">
        <f t="array" ref="AS196">IFERROR(IF(AE197&lt;&gt;AE196,_xlfn.STDEV.P(IF(AE$9:AE196=AE196,AW$9:AW196)),""),"")</f>
        <v/>
      </c>
      <c r="AT196" s="90">
        <f>IFERROR(IF(AE196&lt;&gt;AE197,MAX((((AQ196*24*60)/2)*(1+POWER((((AR196*24*60) / (AQ196*24*60) )),2))) + ((AQ196*24*60 )*-0.1 + (AO196*0.015)) +1,(((AQ196*24*60)/2)*(1+POWER((((AR196*24*60) / (AQ196*24*60 ))),2)))),""),"")</f>
        <v/>
      </c>
      <c r="AU196" s="90">
        <f>IF(AND(AS196&lt;&gt;"",AP196&lt;&gt;""),IF(AE196&lt;&gt;AE197,((AP196*24*60) / 2 ) * (1 + POWER(((AS196*24*60) / (AP196*24*60)),2)),""),"")</f>
        <v/>
      </c>
      <c r="AV196" s="90">
        <f>IF(AU196&lt;&gt;"",MAX(AT196,AU196),"")</f>
        <v/>
      </c>
      <c r="AW196" s="89">
        <f>IF(AM196&lt;&gt;"H. Sale Real",IF(AND(AM197&lt;&gt;"",LEFT(AG197,2)&lt;&gt;"Va"),IF(AND(AM196&lt;&gt;"",LEFT(AG196,2)&lt;&gt;"Va",AM196&lt;&gt;"H. Sale Real"),IF(AM197-AM196&lt;0.208333333333333,AM197-AM196,""),IF(AND(AM195&lt;&gt;"",LEFT(AG195,2)&lt;&gt;"Va",AM195&lt;&gt;"H. Sale Real"),IF(AM197-AM195&lt;0.208333333333333,AM197-AM195,""),IF(AND(AM194&lt;&gt;"",LEFT(AG194,2)&lt;&gt;"Va",AM194&lt;&gt;"H. Sale Real"),IF(AM197-AM194&lt;0.208333333333333,AM197-AM194,""),IF(AND(AM193&lt;&gt;"",LEFT(AG193,2)&lt;&gt;"Va",AM193&lt;&gt;"H. Sale Real"),IF(AM197-AM193&lt;0.208333333333333,AM197-AM193,""),IF(AND(AM192&lt;&gt;"",LEFT(AG192,2)&lt;&gt;"Va",AM192&lt;&gt;"H. Sale Real"),IF(AM197-AM192&lt;0.208333333333333,AM197-AM192,""),""))))),""),"")</f>
        <v/>
      </c>
      <c r="AX196" s="89">
        <f>IF(AK196&lt;&gt;"H. Sale Real",IF(AND(AK197&lt;&gt;"",LEFT(AG197,2)&lt;&gt;"Va"),IF(AND(AK196&lt;&gt;"",LEFT(AG196,2)&lt;&gt;"Va",AK196&lt;&gt;"H. Sale Real"),IF(AK197-AK196&lt;0.208333333333333,AK197-AK196,""),IF(AND(AK195&lt;&gt;"",LEFT(AG195,2)&lt;&gt;"Va",AK195&lt;&gt;"H. Sale Real"),IF(AK197-AK195&lt;0.208333333333333,AK197-AK195,""),IF(AND(AK194&lt;&gt;"",LEFT(AG194,2)&lt;&gt;"NC",AK194&lt;&gt;"H. Sale Real"),IF(AK197-AK194&lt;0.208333333333333,AK197-AK194,""),IF(AND(AK193&lt;&gt;"",LEFT(AG193,2)&lt;&gt;"Va",AK193&lt;&gt;"H. Sale Real"),IF(AK197-AK193&lt;0.208333333333333,AK197-AK193,""),IF(AND(AK192&lt;&gt;"",LEFT(AG192,2)&lt;&gt;"Va",AK192&lt;&gt;"H. Sale Real"),IF(AK197-AK192&lt;0.208333333333333,AK197-AK192,""),""))))),""),"")</f>
        <v/>
      </c>
      <c r="AY196" s="87" t="n"/>
      <c r="AZ196" s="89" t="n"/>
      <c r="BA196" s="87" t="n"/>
      <c r="BB196" s="89" t="n"/>
      <c r="BC196" s="91" t="n"/>
      <c r="BD196" s="122">
        <f>IF(AK196&lt;&gt;"",IF(AND(BD195&lt;&gt;"IE",AT196&lt;&gt;0,AV196&lt;&gt;""),IF(IFERROR((AT196/AV196),0) &lt;=1,IFERROR(AT196/AV196,""),1),""),"")</f>
        <v/>
      </c>
      <c r="BE196" s="93" t="n"/>
      <c r="BF196" s="105" t="n"/>
      <c r="FC196" t="inlineStr">
        <is>
          <t>Diccionario 1</t>
        </is>
      </c>
      <c r="FD196" s="15" t="n">
        <v>1232</v>
      </c>
      <c r="FE196" s="15" t="inlineStr">
        <is>
          <t>YV3T7U525LA201922</t>
        </is>
      </c>
      <c r="FF196" s="15" t="n">
        <v>509348</v>
      </c>
      <c r="FG196" s="15" t="inlineStr">
        <is>
          <t>Volvo</t>
        </is>
      </c>
      <c r="FH196" s="15" t="inlineStr">
        <is>
          <t>B8RLEA</t>
        </is>
      </c>
      <c r="FI196" s="15" t="inlineStr">
        <is>
          <t>MARCOPOLO</t>
        </is>
      </c>
      <c r="FJ196" s="15" t="inlineStr">
        <is>
          <t>GRAN VIALE</t>
        </is>
      </c>
      <c r="FK196" s="15" t="n">
        <v>2020</v>
      </c>
      <c r="FL196" s="15" t="inlineStr">
        <is>
          <t>C</t>
        </is>
      </c>
      <c r="FM196" s="15" t="inlineStr">
        <is>
          <t>SAN ALFONSO</t>
        </is>
      </c>
      <c r="FN196" s="15" t="inlineStr">
        <is>
          <t>San Alfonso 2141 (Ramón Subercaseaux 3060)</t>
        </is>
      </c>
      <c r="FO196" s="15" t="inlineStr">
        <is>
          <t>Estacion Central</t>
        </is>
      </c>
      <c r="FP196" t="inlineStr">
        <is>
          <t>C</t>
        </is>
      </c>
      <c r="FS196" s="14" t="inlineStr">
        <is>
          <t>3048 / SFVZ-96|</t>
        </is>
      </c>
      <c r="FT196" t="inlineStr">
        <is>
          <t>SFVZ-96|</t>
        </is>
      </c>
      <c r="FU196" t="inlineStr">
        <is>
          <t>SFVZ-96</t>
        </is>
      </c>
      <c r="FV196">
        <f>VLOOKUP(FU196,FD:FL,9,0)</f>
        <v/>
      </c>
      <c r="HA196" s="35" t="n">
        <v>193</v>
      </c>
      <c r="HB196" s="35" t="n">
        <v>190</v>
      </c>
    </row>
    <row r="197" ht="15.5" customHeight="1">
      <c r="A197" s="10">
        <f>HOUR(G197)+1</f>
        <v/>
      </c>
      <c r="B197" s="7" t="n"/>
      <c r="C197" s="7" t="n"/>
      <c r="D197" s="85">
        <f>IFERROR(
IF(AND(OR(Planilla!B197="C",Planilla!B197="c"), VLOOKUP(E197,FD:FP,13,0)="C"), "OK",IF(AND(OR(Planilla!B197="C",Planilla!B197="c"), OR(VLOOKUP(E197,FD:FP,13,0)="B", VLOOKUP(E197,FD:FP,13,0)="A")), "DEFICIT",IF(
AND(OR(Planilla!B197="B", Planilla!B197="BPAL"), VLOOKUP(E197,FD:FP,13,0)="B"), "OK",IF(AND(OR(Planilla!B197="B", Planilla!B197="BPAL"), VLOOKUP(E197,FD:FP,13,0)="A"), "DEFICIT",IF(AND(OR(Planilla!B197="B", Planilla!B197="BPAL"), VLOOKUP(E197,FD:FP,13,0)="C"), "SOBREOFERTA",IF(AND(Planilla!B197="A", VLOOKUP(E197,FD:FP,13,0)="A"), "OK",IF(
AND(Planilla!B197="A", OR(VLOOKUP(E197,FD:FP,13,0)="B", VLOOKUP(E197,FD:FP,13,0)="C")), "SOBREOFERTA",""
))))))),"")</f>
        <v/>
      </c>
      <c r="E197" s="8" t="n"/>
      <c r="F197" s="86" t="n"/>
      <c r="G197" s="87" t="n"/>
      <c r="H197" s="88">
        <f>IF(I197="","",IF(AND((I197-G197)&gt;=TIME(0,0,0),(I197-G197)&lt;TIME(0,3,0)),"OK",IF(AND((I197-G197)&gt;=TIME(0,3,0),(I197-G197)&lt;TIME(0,5,0)),"RETRASO DE 3-5 MIN",IF(AND((I197-G197)&gt;=TIME(0,5,0),(I197-G197)&lt;TIME(0,10,0)),"RETRASO DE 5-10 MIN",IF((I197-G197)&gt;=TIME(0,10,0),"RETRASO &gt;10 MIN", IF(AND((G197-I197)&gt;=TIME(0,0,0),(G197-I197)&lt;TIME(0,3,0)),"OK",IF((G197-I197)&gt;=TIME(0,3,0),"ADELANTADO")))))))</f>
        <v/>
      </c>
      <c r="I197" s="89" t="n"/>
      <c r="J197" s="89">
        <f>IF(A197&lt;&gt;"",HLOOKUP(VALUE(TEXT(G197,"h:mm:ss")),IF($C$6="Laboral",$FZ$4:$GX$227,IF($C$6="Sábado",$FZ$231:$GX$452,$FZ$456:$GX$656)),VLOOKUP($C$4,$HF$2:$HH$99,3,0)+IF(C$5="Ida",0,1),1),"")</f>
        <v/>
      </c>
      <c r="K197" s="89">
        <f>IF(A198&lt;&gt;A197,AVERAGEIF(A$9:A197,A197,J$9:J197),"")</f>
        <v/>
      </c>
      <c r="L197" s="89">
        <f>IFERROR(IF(A198&lt;&gt;A197,AVERAGEIF(A$9:A197,A197,S$9:S197),""),"")</f>
        <v/>
      </c>
      <c r="M197" s="89">
        <f>IFERROR(IF(A198&lt;&gt;A197,AVERAGEIF(A$9:A197,A197,T$9:T197),""),"")</f>
        <v/>
      </c>
      <c r="N197" s="89">
        <f t="array" ref="N197">IFERROR(IF(A198&lt;&gt;A197,_xlfn.STDEV.P(IF(A$9:A197=A197,T$9:T197)),""),"")</f>
        <v/>
      </c>
      <c r="O197" s="89">
        <f t="array" ref="O197">IFERROR(IF(A198&lt;&gt;A197,_xlfn.STDEV.P(IF(A$9:A197=A197,S$9:S197)),""),"")</f>
        <v/>
      </c>
      <c r="P197" s="90">
        <f>IFERROR(IF(A197&lt;&gt;A198,MAX((((M197*24*60)/2)*(1+POWER((((N197*24*60) / (M197*24*60) )),2))) + ((M197*24*60 )*-0.1 + (K197*0.015)) +1,(((M197*24*60)/2)*(1+POWER((((N197*24*60) / (M197*24*60 ))),2)))),""),"")</f>
        <v/>
      </c>
      <c r="Q197" s="90">
        <f>IF(AND(O197&lt;&gt;"",L197&lt;&gt;""),IF(A197&lt;&gt;A198,((L197*24*60) / 2 ) * (1 + POWER(((O197*24*60) / (L197*24*60)),2)),""),"")</f>
        <v/>
      </c>
      <c r="R197" s="90">
        <f>IF(Q197&lt;&gt;"",MAX(P197,Q197),"")</f>
        <v/>
      </c>
      <c r="S197" s="89">
        <f>IF(I197&lt;&gt;"H. Sale Real",IF(AND(I198&lt;&gt;"",LEFT(C198,2)&lt;&gt;"Va"),IF(AND(I197&lt;&gt;"",LEFT(C197,2)&lt;&gt;"Va",I197&lt;&gt;"H. Sale Real"),IF(I198-I197&lt;0.208333333333333,I198-I197,""),IF(AND(I196&lt;&gt;"",LEFT(C196,2)&lt;&gt;"Va",I196&lt;&gt;"H. Sale Real"),IF(I198-I196&lt;0.208333333333333,I198-I196,""),IF(AND(I195&lt;&gt;"",LEFT(C195,2)&lt;&gt;"Va",I195&lt;&gt;"H. Sale Real"),IF(I198-I195&lt;0.208333333333333,I198-I195,""),IF(AND(I194&lt;&gt;"",LEFT(C194,2)&lt;&gt;"Va",I194&lt;&gt;"H. Sale Real"),IF(I198-I194&lt;0.208333333333333,I198-I194,""),IF(AND(I193&lt;&gt;"",LEFT(C193,2)&lt;&gt;"Va",I193&lt;&gt;"H. Sale Real"),IF(I198-I193&lt;0.208333333333333,I198-I193,""),""))))),""),"")</f>
        <v/>
      </c>
      <c r="T197" s="89">
        <f>IF(G197&lt;&gt;"H. Sale Real",IF(AND(G198&lt;&gt;"",LEFT(C198,2)&lt;&gt;"Va"),IF(AND(G197&lt;&gt;"",LEFT(C197,2)&lt;&gt;"Va",G197&lt;&gt;"H. Sale Real"),IF(G198-G197&lt;0.208333333333333,G198-G197,""),IF(AND(G196&lt;&gt;"",LEFT(C196,2)&lt;&gt;"Va",G196&lt;&gt;"H. Sale Real"),IF(G198-G196&lt;0.208333333333333,G198-G196,""),IF(AND(G195&lt;&gt;"",LEFT(C195,2)&lt;&gt;"Va",G195&lt;&gt;"H. Sale Real"),IF(G198-G195&lt;0.208333333333333,G198-G195,""),IF(AND(G194&lt;&gt;"",LEFT(C194,2)&lt;&gt;"Va",G194&lt;&gt;"H. Sale Real"),IF(G198-G194&lt;0.208333333333333,G198-G194,""),IF(AND(G193&lt;&gt;"",LEFT(C193,2)&lt;&gt;"Va",G193&lt;&gt;"H. Sale Real"),IF(G198-G193&lt;0.208333333333333,G198-G193,""),""))))),""),"")</f>
        <v/>
      </c>
      <c r="U197" s="87" t="n"/>
      <c r="V197" s="89" t="n"/>
      <c r="W197" s="87" t="n"/>
      <c r="X197" s="89" t="n"/>
      <c r="Y197" s="91" t="n"/>
      <c r="Z197" s="122">
        <f>IF(G197&lt;&gt;"",IF(AND(Z196&lt;&gt;"IE",P197&lt;&gt;0,R197&lt;&gt;""),IF(IFERROR((P197/R197),0) &lt;=1,IFERROR(P197/R197,""),1),""),"")</f>
        <v/>
      </c>
      <c r="AA197" s="93" t="n"/>
      <c r="AB197" s="2" t="n"/>
      <c r="AE197" s="10">
        <f>HOUR(AK197)+1</f>
        <v/>
      </c>
      <c r="AF197" s="7" t="n"/>
      <c r="AG197" s="7" t="n"/>
      <c r="AH197" s="86" t="n"/>
      <c r="AI197" s="8" t="n"/>
      <c r="AJ197" s="86" t="n"/>
      <c r="AK197" s="87" t="n"/>
      <c r="AL197" s="88">
        <f>IF(AM197="","",IF(AND((AM197-AK197)&gt;=TIME(0,0,0),(AM197-AK197)&lt;TIME(0,3,0)),"OK",IF(AND((AM197-AK197)&gt;=TIME(0,3,0),(AM197-AK197)&lt;TIME(0,5,0)),"RETRASO DE 3-5 MIN",IF(AND((AM197-AK197)&gt;=TIME(0,5,0),(AM197-AK197)&lt;TIME(0,10,0)),"RETRASO DE 5-10 MIN",IF((AM197-AK197)&gt;=TIME(0,10,0),"RETRASO &gt;10 MIN", IF(AND((AK197-AM197)&gt;=TIME(0,0,0),(AK197-AM197)&lt;TIME(0,3,0)),"OK",IF((AK197-AM197)&gt;=TIME(0,3,0),"ADELANTADO")))))))</f>
        <v/>
      </c>
      <c r="AM197" s="91" t="n"/>
      <c r="AN197" s="89">
        <f>IF(AE197&lt;&gt;"",HLOOKUP(VALUE(TEXT(AK197,"h:mm:ss")),IF($C$6="Laboral",$FZ$4:$GX$227,IF($C$6="Sábado",$FZ$231:$GX$452,$FZ$456:$GX$656)),VLOOKUP($C$4,$HF$2:$HH$99,3,0)+IF(AG$5="Ida",0,1),1),"")</f>
        <v/>
      </c>
      <c r="AO197" s="89">
        <f>IF(AE198&lt;&gt;AE197,AVERAGEIF(AE$9:AE197,AE197,AN$9:AN197),"")</f>
        <v/>
      </c>
      <c r="AP197" s="89">
        <f>IFERROR(IF(AE198&lt;&gt;AE197,AVERAGEIF(AE$9:AE197,AE197,AW$9:AW197),""),"")</f>
        <v/>
      </c>
      <c r="AQ197" s="89">
        <f>IFERROR(IF(AE198&lt;&gt;AE197,AVERAGEIF(AE$9:AE197,AE197,AX$9:AX197),""),"")</f>
        <v/>
      </c>
      <c r="AR197" s="89">
        <f t="array" ref="AR197">IFERROR(IF(AE198&lt;&gt;AE197,_xlfn.STDEV.P(IF(AE$9:AE197=AE197,AX$9:AX197)),""),"")</f>
        <v/>
      </c>
      <c r="AS197" s="89">
        <f t="array" ref="AS197">IFERROR(IF(AE198&lt;&gt;AE197,_xlfn.STDEV.P(IF(AE$9:AE197=AE197,AW$9:AW197)),""),"")</f>
        <v/>
      </c>
      <c r="AT197" s="90">
        <f>IFERROR(IF(AE197&lt;&gt;AE198,MAX((((AQ197*24*60)/2)*(1+POWER((((AR197*24*60) / (AQ197*24*60) )),2))) + ((AQ197*24*60 )*-0.1 + (AO197*0.015)) +1,(((AQ197*24*60)/2)*(1+POWER((((AR197*24*60) / (AQ197*24*60 ))),2)))),""),"")</f>
        <v/>
      </c>
      <c r="AU197" s="90">
        <f>IF(AND(AS197&lt;&gt;"",AP197&lt;&gt;""),IF(AE197&lt;&gt;AE198,((AP197*24*60) / 2 ) * (1 + POWER(((AS197*24*60) / (AP197*24*60)),2)),""),"")</f>
        <v/>
      </c>
      <c r="AV197" s="90">
        <f>IF(AU197&lt;&gt;"",MAX(AT197,AU197),"")</f>
        <v/>
      </c>
      <c r="AW197" s="89">
        <f>IF(AM197&lt;&gt;"H. Sale Real",IF(AND(AM198&lt;&gt;"",LEFT(AG198,2)&lt;&gt;"Va"),IF(AND(AM197&lt;&gt;"",LEFT(AG197,2)&lt;&gt;"Va",AM197&lt;&gt;"H. Sale Real"),IF(AM198-AM197&lt;0.208333333333333,AM198-AM197,""),IF(AND(AM196&lt;&gt;"",LEFT(AG196,2)&lt;&gt;"Va",AM196&lt;&gt;"H. Sale Real"),IF(AM198-AM196&lt;0.208333333333333,AM198-AM196,""),IF(AND(AM195&lt;&gt;"",LEFT(AG195,2)&lt;&gt;"Va",AM195&lt;&gt;"H. Sale Real"),IF(AM198-AM195&lt;0.208333333333333,AM198-AM195,""),IF(AND(AM194&lt;&gt;"",LEFT(AG194,2)&lt;&gt;"Va",AM194&lt;&gt;"H. Sale Real"),IF(AM198-AM194&lt;0.208333333333333,AM198-AM194,""),IF(AND(AM193&lt;&gt;"",LEFT(AG193,2)&lt;&gt;"Va",AM193&lt;&gt;"H. Sale Real"),IF(AM198-AM193&lt;0.208333333333333,AM198-AM193,""),""))))),""),"")</f>
        <v/>
      </c>
      <c r="AX197" s="89">
        <f>IF(AK197&lt;&gt;"H. Sale Real",IF(AND(AK198&lt;&gt;"",LEFT(AG198,2)&lt;&gt;"Va"),IF(AND(AK197&lt;&gt;"",LEFT(AG197,2)&lt;&gt;"Va",AK197&lt;&gt;"H. Sale Real"),IF(AK198-AK197&lt;0.208333333333333,AK198-AK197,""),IF(AND(AK196&lt;&gt;"",LEFT(AG196,2)&lt;&gt;"Va",AK196&lt;&gt;"H. Sale Real"),IF(AK198-AK196&lt;0.208333333333333,AK198-AK196,""),IF(AND(AK195&lt;&gt;"",LEFT(AG195,2)&lt;&gt;"NC",AK195&lt;&gt;"H. Sale Real"),IF(AK198-AK195&lt;0.208333333333333,AK198-AK195,""),IF(AND(AK194&lt;&gt;"",LEFT(AG194,2)&lt;&gt;"Va",AK194&lt;&gt;"H. Sale Real"),IF(AK198-AK194&lt;0.208333333333333,AK198-AK194,""),IF(AND(AK193&lt;&gt;"",LEFT(AG193,2)&lt;&gt;"Va",AK193&lt;&gt;"H. Sale Real"),IF(AK198-AK193&lt;0.208333333333333,AK198-AK193,""),""))))),""),"")</f>
        <v/>
      </c>
      <c r="AY197" s="87" t="n"/>
      <c r="AZ197" s="89" t="n"/>
      <c r="BA197" s="87" t="n"/>
      <c r="BB197" s="89" t="n"/>
      <c r="BC197" s="91" t="n"/>
      <c r="BD197" s="122">
        <f>IF(AK197&lt;&gt;"",IF(AND(BD196&lt;&gt;"IE",AT197&lt;&gt;0,AV197&lt;&gt;""),IF(IFERROR((AT197/AV197),0) &lt;=1,IFERROR(AT197/AV197,""),1),""),"")</f>
        <v/>
      </c>
      <c r="BE197" s="93" t="n"/>
      <c r="BF197" s="105" t="n"/>
      <c r="FC197" t="inlineStr">
        <is>
          <t>Diccionario 1</t>
        </is>
      </c>
      <c r="FD197" s="15" t="n">
        <v>1233</v>
      </c>
      <c r="FE197" s="15" t="inlineStr">
        <is>
          <t>YV3T7U527LA201906</t>
        </is>
      </c>
      <c r="FF197" s="15" t="n">
        <v>509467</v>
      </c>
      <c r="FG197" s="15" t="inlineStr">
        <is>
          <t>Volvo</t>
        </is>
      </c>
      <c r="FH197" s="15" t="inlineStr">
        <is>
          <t>B8RLEA</t>
        </is>
      </c>
      <c r="FI197" s="15" t="inlineStr">
        <is>
          <t>MARCOPOLO</t>
        </is>
      </c>
      <c r="FJ197" s="15" t="inlineStr">
        <is>
          <t>GRAN VIALE</t>
        </is>
      </c>
      <c r="FK197" s="15" t="n">
        <v>2020</v>
      </c>
      <c r="FL197" s="15" t="inlineStr">
        <is>
          <t>C</t>
        </is>
      </c>
      <c r="FM197" s="15" t="inlineStr">
        <is>
          <t>SAN ALFONSO</t>
        </is>
      </c>
      <c r="FN197" s="15" t="inlineStr">
        <is>
          <t>San Alfonso 2141 (Ramón Subercaseaux 3060)</t>
        </is>
      </c>
      <c r="FO197" s="15" t="inlineStr">
        <is>
          <t>Estacion Central</t>
        </is>
      </c>
      <c r="FP197" t="inlineStr">
        <is>
          <t>C</t>
        </is>
      </c>
      <c r="FS197" s="14" t="inlineStr">
        <is>
          <t>3048 / SFVZ-96|</t>
        </is>
      </c>
      <c r="FT197" t="inlineStr">
        <is>
          <t>SFVZ-96|</t>
        </is>
      </c>
      <c r="FU197" t="inlineStr">
        <is>
          <t>SFVZ-96</t>
        </is>
      </c>
      <c r="FV197">
        <f>VLOOKUP(FU197,FD:FL,9,0)</f>
        <v/>
      </c>
      <c r="HA197" s="35" t="n">
        <v>194</v>
      </c>
      <c r="HB197" s="35" t="n">
        <v>191</v>
      </c>
    </row>
    <row r="198" ht="15.5" customHeight="1">
      <c r="A198" s="10">
        <f>HOUR(G198)+1</f>
        <v/>
      </c>
      <c r="B198" s="7" t="n"/>
      <c r="C198" s="7" t="n"/>
      <c r="D198" s="85">
        <f>IFERROR(
IF(AND(OR(Planilla!B198="C",Planilla!B198="c"), VLOOKUP(E198,FD:FP,13,0)="C"), "OK",IF(AND(OR(Planilla!B198="C",Planilla!B198="c"), OR(VLOOKUP(E198,FD:FP,13,0)="B", VLOOKUP(E198,FD:FP,13,0)="A")), "DEFICIT",IF(
AND(OR(Planilla!B198="B", Planilla!B198="BPAL"), VLOOKUP(E198,FD:FP,13,0)="B"), "OK",IF(AND(OR(Planilla!B198="B", Planilla!B198="BPAL"), VLOOKUP(E198,FD:FP,13,0)="A"), "DEFICIT",IF(AND(OR(Planilla!B198="B", Planilla!B198="BPAL"), VLOOKUP(E198,FD:FP,13,0)="C"), "SOBREOFERTA",IF(AND(Planilla!B198="A", VLOOKUP(E198,FD:FP,13,0)="A"), "OK",IF(
AND(Planilla!B198="A", OR(VLOOKUP(E198,FD:FP,13,0)="B", VLOOKUP(E198,FD:FP,13,0)="C")), "SOBREOFERTA",""
))))))),"")</f>
        <v/>
      </c>
      <c r="E198" s="8" t="n"/>
      <c r="F198" s="86" t="n"/>
      <c r="G198" s="87" t="n"/>
      <c r="H198" s="88">
        <f>IF(I198="","",IF(AND((I198-G198)&gt;=TIME(0,0,0),(I198-G198)&lt;TIME(0,3,0)),"OK",IF(AND((I198-G198)&gt;=TIME(0,3,0),(I198-G198)&lt;TIME(0,5,0)),"RETRASO DE 3-5 MIN",IF(AND((I198-G198)&gt;=TIME(0,5,0),(I198-G198)&lt;TIME(0,10,0)),"RETRASO DE 5-10 MIN",IF((I198-G198)&gt;=TIME(0,10,0),"RETRASO &gt;10 MIN", IF(AND((G198-I198)&gt;=TIME(0,0,0),(G198-I198)&lt;TIME(0,3,0)),"OK",IF((G198-I198)&gt;=TIME(0,3,0),"ADELANTADO")))))))</f>
        <v/>
      </c>
      <c r="I198" s="89" t="n"/>
      <c r="J198" s="89">
        <f>IF(A198&lt;&gt;"",HLOOKUP(VALUE(TEXT(G198,"h:mm:ss")),IF($C$6="Laboral",$FZ$4:$GX$227,IF($C$6="Sábado",$FZ$231:$GX$452,$FZ$456:$GX$656)),VLOOKUP($C$4,$HF$2:$HH$99,3,0)+IF(C$5="Ida",0,1),1),"")</f>
        <v/>
      </c>
      <c r="K198" s="89">
        <f>IF(A199&lt;&gt;A198,AVERAGEIF(A$9:A198,A198,J$9:J198),"")</f>
        <v/>
      </c>
      <c r="L198" s="89">
        <f>IFERROR(IF(A199&lt;&gt;A198,AVERAGEIF(A$9:A198,A198,S$9:S198),""),"")</f>
        <v/>
      </c>
      <c r="M198" s="89">
        <f>IFERROR(IF(A199&lt;&gt;A198,AVERAGEIF(A$9:A198,A198,T$9:T198),""),"")</f>
        <v/>
      </c>
      <c r="N198" s="89">
        <f t="array" ref="N198">IFERROR(IF(A199&lt;&gt;A198,_xlfn.STDEV.P(IF(A$9:A198=A198,T$9:T198)),""),"")</f>
        <v/>
      </c>
      <c r="O198" s="89">
        <f t="array" ref="O198">IFERROR(IF(A199&lt;&gt;A198,_xlfn.STDEV.P(IF(A$9:A198=A198,S$9:S198)),""),"")</f>
        <v/>
      </c>
      <c r="P198" s="90">
        <f>IFERROR(IF(A198&lt;&gt;A199,MAX((((M198*24*60)/2)*(1+POWER((((N198*24*60) / (M198*24*60) )),2))) + ((M198*24*60 )*-0.1 + (K198*0.015)) +1,(((M198*24*60)/2)*(1+POWER((((N198*24*60) / (M198*24*60 ))),2)))),""),"")</f>
        <v/>
      </c>
      <c r="Q198" s="90">
        <f>IF(AND(O198&lt;&gt;"",L198&lt;&gt;""),IF(A198&lt;&gt;A199,((L198*24*60) / 2 ) * (1 + POWER(((O198*24*60) / (L198*24*60)),2)),""),"")</f>
        <v/>
      </c>
      <c r="R198" s="90">
        <f>IF(Q198&lt;&gt;"",MAX(P198,Q198),"")</f>
        <v/>
      </c>
      <c r="S198" s="89">
        <f>IF(I198&lt;&gt;"H. Sale Real",IF(AND(I199&lt;&gt;"",LEFT(C199,2)&lt;&gt;"Va"),IF(AND(I198&lt;&gt;"",LEFT(C198,2)&lt;&gt;"Va",I198&lt;&gt;"H. Sale Real"),IF(I199-I198&lt;0.208333333333333,I199-I198,""),IF(AND(I197&lt;&gt;"",LEFT(C197,2)&lt;&gt;"Va",I197&lt;&gt;"H. Sale Real"),IF(I199-I197&lt;0.208333333333333,I199-I197,""),IF(AND(I196&lt;&gt;"",LEFT(C196,2)&lt;&gt;"Va",I196&lt;&gt;"H. Sale Real"),IF(I199-I196&lt;0.208333333333333,I199-I196,""),IF(AND(I195&lt;&gt;"",LEFT(C195,2)&lt;&gt;"Va",I195&lt;&gt;"H. Sale Real"),IF(I199-I195&lt;0.208333333333333,I199-I195,""),IF(AND(I194&lt;&gt;"",LEFT(C194,2)&lt;&gt;"Va",I194&lt;&gt;"H. Sale Real"),IF(I199-I194&lt;0.208333333333333,I199-I194,""),""))))),""),"")</f>
        <v/>
      </c>
      <c r="T198" s="89">
        <f>IF(G198&lt;&gt;"H. Sale Real",IF(AND(G199&lt;&gt;"",LEFT(C199,2)&lt;&gt;"Va"),IF(AND(G198&lt;&gt;"",LEFT(C198,2)&lt;&gt;"Va",G198&lt;&gt;"H. Sale Real"),IF(G199-G198&lt;0.208333333333333,G199-G198,""),IF(AND(G197&lt;&gt;"",LEFT(C197,2)&lt;&gt;"Va",G197&lt;&gt;"H. Sale Real"),IF(G199-G197&lt;0.208333333333333,G199-G197,""),IF(AND(G196&lt;&gt;"",LEFT(C196,2)&lt;&gt;"Va",G196&lt;&gt;"H. Sale Real"),IF(G199-G196&lt;0.208333333333333,G199-G196,""),IF(AND(G195&lt;&gt;"",LEFT(C195,2)&lt;&gt;"Va",G195&lt;&gt;"H. Sale Real"),IF(G199-G195&lt;0.208333333333333,G199-G195,""),IF(AND(G194&lt;&gt;"",LEFT(C194,2)&lt;&gt;"Va",G194&lt;&gt;"H. Sale Real"),IF(G199-G194&lt;0.208333333333333,G199-G194,""),""))))),""),"")</f>
        <v/>
      </c>
      <c r="U198" s="87" t="n"/>
      <c r="V198" s="89" t="n"/>
      <c r="W198" s="87" t="n"/>
      <c r="X198" s="89" t="n"/>
      <c r="Y198" s="91" t="n"/>
      <c r="Z198" s="122">
        <f>IF(G198&lt;&gt;"",IF(AND(Z197&lt;&gt;"IE",P198&lt;&gt;0,R198&lt;&gt;""),IF(IFERROR((P198/R198),0) &lt;=1,IFERROR(P198/R198,""),1),""),"")</f>
        <v/>
      </c>
      <c r="AA198" s="93" t="n"/>
      <c r="AB198" s="2" t="n"/>
      <c r="AE198" s="10">
        <f>HOUR(AK198)+1</f>
        <v/>
      </c>
      <c r="AF198" s="7" t="n"/>
      <c r="AG198" s="7" t="n"/>
      <c r="AH198" s="86" t="n"/>
      <c r="AI198" s="8" t="n"/>
      <c r="AJ198" s="86" t="n"/>
      <c r="AK198" s="87" t="n"/>
      <c r="AL198" s="88">
        <f>IF(AM198="","",IF(AND((AM198-AK198)&gt;=TIME(0,0,0),(AM198-AK198)&lt;TIME(0,3,0)),"OK",IF(AND((AM198-AK198)&gt;=TIME(0,3,0),(AM198-AK198)&lt;TIME(0,5,0)),"RETRASO DE 3-5 MIN",IF(AND((AM198-AK198)&gt;=TIME(0,5,0),(AM198-AK198)&lt;TIME(0,10,0)),"RETRASO DE 5-10 MIN",IF((AM198-AK198)&gt;=TIME(0,10,0),"RETRASO &gt;10 MIN", IF(AND((AK198-AM198)&gt;=TIME(0,0,0),(AK198-AM198)&lt;TIME(0,3,0)),"OK",IF((AK198-AM198)&gt;=TIME(0,3,0),"ADELANTADO")))))))</f>
        <v/>
      </c>
      <c r="AM198" s="91" t="n"/>
      <c r="AN198" s="89">
        <f>IF(AE198&lt;&gt;"",HLOOKUP(VALUE(TEXT(AK198,"h:mm:ss")),IF($C$6="Laboral",$FZ$4:$GX$227,IF($C$6="Sábado",$FZ$231:$GX$452,$FZ$456:$GX$656)),VLOOKUP($C$4,$HF$2:$HH$99,3,0)+IF(AG$5="Ida",0,1),1),"")</f>
        <v/>
      </c>
      <c r="AO198" s="89">
        <f>IF(AE199&lt;&gt;AE198,AVERAGEIF(AE$9:AE198,AE198,AN$9:AN198),"")</f>
        <v/>
      </c>
      <c r="AP198" s="89">
        <f>IFERROR(IF(AE199&lt;&gt;AE198,AVERAGEIF(AE$9:AE198,AE198,AW$9:AW198),""),"")</f>
        <v/>
      </c>
      <c r="AQ198" s="89">
        <f>IFERROR(IF(AE199&lt;&gt;AE198,AVERAGEIF(AE$9:AE198,AE198,AX$9:AX198),""),"")</f>
        <v/>
      </c>
      <c r="AR198" s="89">
        <f t="array" ref="AR198">IFERROR(IF(AE199&lt;&gt;AE198,_xlfn.STDEV.P(IF(AE$9:AE198=AE198,AX$9:AX198)),""),"")</f>
        <v/>
      </c>
      <c r="AS198" s="89">
        <f t="array" ref="AS198">IFERROR(IF(AE199&lt;&gt;AE198,_xlfn.STDEV.P(IF(AE$9:AE198=AE198,AW$9:AW198)),""),"")</f>
        <v/>
      </c>
      <c r="AT198" s="90">
        <f>IFERROR(IF(AE198&lt;&gt;AE199,MAX((((AQ198*24*60)/2)*(1+POWER((((AR198*24*60) / (AQ198*24*60) )),2))) + ((AQ198*24*60 )*-0.1 + (AO198*0.015)) +1,(((AQ198*24*60)/2)*(1+POWER((((AR198*24*60) / (AQ198*24*60 ))),2)))),""),"")</f>
        <v/>
      </c>
      <c r="AU198" s="90">
        <f>IF(AND(AS198&lt;&gt;"",AP198&lt;&gt;""),IF(AE198&lt;&gt;AE199,((AP198*24*60) / 2 ) * (1 + POWER(((AS198*24*60) / (AP198*24*60)),2)),""),"")</f>
        <v/>
      </c>
      <c r="AV198" s="90">
        <f>IF(AU198&lt;&gt;"",MAX(AT198,AU198),"")</f>
        <v/>
      </c>
      <c r="AW198" s="89">
        <f>IF(AM198&lt;&gt;"H. Sale Real",IF(AND(AM199&lt;&gt;"",LEFT(AG199,2)&lt;&gt;"Va"),IF(AND(AM198&lt;&gt;"",LEFT(AG198,2)&lt;&gt;"Va",AM198&lt;&gt;"H. Sale Real"),IF(AM199-AM198&lt;0.208333333333333,AM199-AM198,""),IF(AND(AM197&lt;&gt;"",LEFT(AG197,2)&lt;&gt;"Va",AM197&lt;&gt;"H. Sale Real"),IF(AM199-AM197&lt;0.208333333333333,AM199-AM197,""),IF(AND(AM196&lt;&gt;"",LEFT(AG196,2)&lt;&gt;"Va",AM196&lt;&gt;"H. Sale Real"),IF(AM199-AM196&lt;0.208333333333333,AM199-AM196,""),IF(AND(AM195&lt;&gt;"",LEFT(AG195,2)&lt;&gt;"Va",AM195&lt;&gt;"H. Sale Real"),IF(AM199-AM195&lt;0.208333333333333,AM199-AM195,""),IF(AND(AM194&lt;&gt;"",LEFT(AG194,2)&lt;&gt;"Va",AM194&lt;&gt;"H. Sale Real"),IF(AM199-AM194&lt;0.208333333333333,AM199-AM194,""),""))))),""),"")</f>
        <v/>
      </c>
      <c r="AX198" s="89">
        <f>IF(AK198&lt;&gt;"H. Sale Real",IF(AND(AK199&lt;&gt;"",LEFT(AG199,2)&lt;&gt;"Va"),IF(AND(AK198&lt;&gt;"",LEFT(AG198,2)&lt;&gt;"Va",AK198&lt;&gt;"H. Sale Real"),IF(AK199-AK198&lt;0.208333333333333,AK199-AK198,""),IF(AND(AK197&lt;&gt;"",LEFT(AG197,2)&lt;&gt;"Va",AK197&lt;&gt;"H. Sale Real"),IF(AK199-AK197&lt;0.208333333333333,AK199-AK197,""),IF(AND(AK196&lt;&gt;"",LEFT(AG196,2)&lt;&gt;"NC",AK196&lt;&gt;"H. Sale Real"),IF(AK199-AK196&lt;0.208333333333333,AK199-AK196,""),IF(AND(AK195&lt;&gt;"",LEFT(AG195,2)&lt;&gt;"Va",AK195&lt;&gt;"H. Sale Real"),IF(AK199-AK195&lt;0.208333333333333,AK199-AK195,""),IF(AND(AK194&lt;&gt;"",LEFT(AG194,2)&lt;&gt;"Va",AK194&lt;&gt;"H. Sale Real"),IF(AK199-AK194&lt;0.208333333333333,AK199-AK194,""),""))))),""),"")</f>
        <v/>
      </c>
      <c r="AY198" s="87" t="n"/>
      <c r="AZ198" s="89" t="n"/>
      <c r="BA198" s="87" t="n"/>
      <c r="BB198" s="89" t="n"/>
      <c r="BC198" s="91" t="n"/>
      <c r="BD198" s="122">
        <f>IF(AK198&lt;&gt;"",IF(AND(BD197&lt;&gt;"IE",AT198&lt;&gt;0,AV198&lt;&gt;""),IF(IFERROR((AT198/AV198),0) &lt;=1,IFERROR(AT198/AV198,""),1),""),"")</f>
        <v/>
      </c>
      <c r="BE198" s="93" t="n"/>
      <c r="BF198" s="105" t="n"/>
      <c r="FC198" t="inlineStr">
        <is>
          <t>Diccionario 1</t>
        </is>
      </c>
      <c r="FD198" s="15" t="n">
        <v>1162</v>
      </c>
      <c r="FE198" s="15" t="inlineStr">
        <is>
          <t>YV3T7U528LA201848</t>
        </is>
      </c>
      <c r="FF198" s="15" t="n">
        <v>507981</v>
      </c>
      <c r="FG198" s="15" t="inlineStr">
        <is>
          <t>Volvo</t>
        </is>
      </c>
      <c r="FH198" s="15" t="inlineStr">
        <is>
          <t>B8RLEA</t>
        </is>
      </c>
      <c r="FI198" s="15" t="inlineStr">
        <is>
          <t>MARCOPOLO</t>
        </is>
      </c>
      <c r="FJ198" s="15" t="inlineStr">
        <is>
          <t>GRAN VIALE</t>
        </is>
      </c>
      <c r="FK198" s="15" t="n">
        <v>2020</v>
      </c>
      <c r="FL198" s="15" t="inlineStr">
        <is>
          <t>C</t>
        </is>
      </c>
      <c r="FM198" s="15" t="inlineStr">
        <is>
          <t>PIE ANDINO</t>
        </is>
      </c>
      <c r="FN198" s="15" t="inlineStr">
        <is>
          <t>Pie Andino 31 (Pie Andino 383)</t>
        </is>
      </c>
      <c r="FO198" s="15" t="inlineStr">
        <is>
          <t>Puente Alto</t>
        </is>
      </c>
      <c r="FP198" t="inlineStr">
        <is>
          <t>C</t>
        </is>
      </c>
      <c r="FS198" s="14" t="inlineStr">
        <is>
          <t>3048 / SFVZ-96|</t>
        </is>
      </c>
      <c r="FT198" t="inlineStr">
        <is>
          <t>SFVZ-96|</t>
        </is>
      </c>
      <c r="FU198" t="inlineStr">
        <is>
          <t>SFVZ-96</t>
        </is>
      </c>
      <c r="FV198">
        <f>VLOOKUP(FU198,FD:FL,9,0)</f>
        <v/>
      </c>
      <c r="HA198" s="35" t="n">
        <v>195</v>
      </c>
      <c r="HB198" s="35" t="n">
        <v>192</v>
      </c>
    </row>
    <row r="199" ht="15.5" customHeight="1">
      <c r="A199" s="10">
        <f>HOUR(G199)+1</f>
        <v/>
      </c>
      <c r="B199" s="7" t="n"/>
      <c r="C199" s="7" t="n"/>
      <c r="D199" s="85">
        <f>IFERROR(
IF(AND(OR(Planilla!B199="C",Planilla!B199="c"), VLOOKUP(E199,FD:FP,13,0)="C"), "OK",IF(AND(OR(Planilla!B199="C",Planilla!B199="c"), OR(VLOOKUP(E199,FD:FP,13,0)="B", VLOOKUP(E199,FD:FP,13,0)="A")), "DEFICIT",IF(
AND(OR(Planilla!B199="B", Planilla!B199="BPAL"), VLOOKUP(E199,FD:FP,13,0)="B"), "OK",IF(AND(OR(Planilla!B199="B", Planilla!B199="BPAL"), VLOOKUP(E199,FD:FP,13,0)="A"), "DEFICIT",IF(AND(OR(Planilla!B199="B", Planilla!B199="BPAL"), VLOOKUP(E199,FD:FP,13,0)="C"), "SOBREOFERTA",IF(AND(Planilla!B199="A", VLOOKUP(E199,FD:FP,13,0)="A"), "OK",IF(
AND(Planilla!B199="A", OR(VLOOKUP(E199,FD:FP,13,0)="B", VLOOKUP(E199,FD:FP,13,0)="C")), "SOBREOFERTA",""
))))))),"")</f>
        <v/>
      </c>
      <c r="E199" s="8" t="n"/>
      <c r="F199" s="86" t="n"/>
      <c r="G199" s="87" t="n"/>
      <c r="H199" s="88">
        <f>IF(I199="","",IF(AND((I199-G199)&gt;=TIME(0,0,0),(I199-G199)&lt;TIME(0,3,0)),"OK",IF(AND((I199-G199)&gt;=TIME(0,3,0),(I199-G199)&lt;TIME(0,5,0)),"RETRASO DE 3-5 MIN",IF(AND((I199-G199)&gt;=TIME(0,5,0),(I199-G199)&lt;TIME(0,10,0)),"RETRASO DE 5-10 MIN",IF((I199-G199)&gt;=TIME(0,10,0),"RETRASO &gt;10 MIN", IF(AND((G199-I199)&gt;=TIME(0,0,0),(G199-I199)&lt;TIME(0,3,0)),"OK",IF((G199-I199)&gt;=TIME(0,3,0),"ADELANTADO")))))))</f>
        <v/>
      </c>
      <c r="I199" s="89" t="n"/>
      <c r="J199" s="89">
        <f>IF(A199&lt;&gt;"",HLOOKUP(VALUE(TEXT(G199,"h:mm:ss")),IF($C$6="Laboral",$FZ$4:$GX$227,IF($C$6="Sábado",$FZ$231:$GX$452,$FZ$456:$GX$656)),VLOOKUP($C$4,$HF$2:$HH$99,3,0)+IF(C$5="Ida",0,1),1),"")</f>
        <v/>
      </c>
      <c r="K199" s="89">
        <f>IF(A200&lt;&gt;A199,AVERAGEIF(A$9:A199,A199,J$9:J199),"")</f>
        <v/>
      </c>
      <c r="L199" s="89">
        <f>IFERROR(IF(A200&lt;&gt;A199,AVERAGEIF(A$9:A199,A199,S$9:S199),""),"")</f>
        <v/>
      </c>
      <c r="M199" s="89">
        <f>IFERROR(IF(A200&lt;&gt;A199,AVERAGEIF(A$9:A199,A199,T$9:T199),""),"")</f>
        <v/>
      </c>
      <c r="N199" s="89">
        <f t="array" ref="N199">IFERROR(IF(A200&lt;&gt;A199,_xlfn.STDEV.P(IF(A$9:A199=A199,T$9:T199)),""),"")</f>
        <v/>
      </c>
      <c r="O199" s="89">
        <f t="array" ref="O199">IFERROR(IF(A200&lt;&gt;A199,_xlfn.STDEV.P(IF(A$9:A199=A199,S$9:S199)),""),"")</f>
        <v/>
      </c>
      <c r="P199" s="90">
        <f>IFERROR(IF(A199&lt;&gt;A200,MAX((((M199*24*60)/2)*(1+POWER((((N199*24*60) / (M199*24*60) )),2))) + ((M199*24*60 )*-0.1 + (K199*0.015)) +1,(((M199*24*60)/2)*(1+POWER((((N199*24*60) / (M199*24*60 ))),2)))),""),"")</f>
        <v/>
      </c>
      <c r="Q199" s="90">
        <f>IF(AND(O199&lt;&gt;"",L199&lt;&gt;""),IF(A199&lt;&gt;A200,((L199*24*60) / 2 ) * (1 + POWER(((O199*24*60) / (L199*24*60)),2)),""),"")</f>
        <v/>
      </c>
      <c r="R199" s="90">
        <f>IF(Q199&lt;&gt;"",MAX(P199,Q199),"")</f>
        <v/>
      </c>
      <c r="S199" s="89">
        <f>IF(I199&lt;&gt;"H. Sale Real",IF(AND(I200&lt;&gt;"",LEFT(C200,2)&lt;&gt;"Va"),IF(AND(I199&lt;&gt;"",LEFT(C199,2)&lt;&gt;"Va",I199&lt;&gt;"H. Sale Real"),IF(I200-I199&lt;0.208333333333333,I200-I199,""),IF(AND(I198&lt;&gt;"",LEFT(C198,2)&lt;&gt;"Va",I198&lt;&gt;"H. Sale Real"),IF(I200-I198&lt;0.208333333333333,I200-I198,""),IF(AND(I197&lt;&gt;"",LEFT(C197,2)&lt;&gt;"Va",I197&lt;&gt;"H. Sale Real"),IF(I200-I197&lt;0.208333333333333,I200-I197,""),IF(AND(I196&lt;&gt;"",LEFT(C196,2)&lt;&gt;"Va",I196&lt;&gt;"H. Sale Real"),IF(I200-I196&lt;0.208333333333333,I200-I196,""),IF(AND(I195&lt;&gt;"",LEFT(C195,2)&lt;&gt;"Va",I195&lt;&gt;"H. Sale Real"),IF(I200-I195&lt;0.208333333333333,I200-I195,""),""))))),""),"")</f>
        <v/>
      </c>
      <c r="T199" s="89">
        <f>IF(G199&lt;&gt;"H. Sale Real",IF(AND(G200&lt;&gt;"",LEFT(C200,2)&lt;&gt;"Va"),IF(AND(G199&lt;&gt;"",LEFT(C199,2)&lt;&gt;"Va",G199&lt;&gt;"H. Sale Real"),IF(G200-G199&lt;0.208333333333333,G200-G199,""),IF(AND(G198&lt;&gt;"",LEFT(C198,2)&lt;&gt;"Va",G198&lt;&gt;"H. Sale Real"),IF(G200-G198&lt;0.208333333333333,G200-G198,""),IF(AND(G197&lt;&gt;"",LEFT(C197,2)&lt;&gt;"Va",G197&lt;&gt;"H. Sale Real"),IF(G200-G197&lt;0.208333333333333,G200-G197,""),IF(AND(G196&lt;&gt;"",LEFT(C196,2)&lt;&gt;"Va",G196&lt;&gt;"H. Sale Real"),IF(G200-G196&lt;0.208333333333333,G200-G196,""),IF(AND(G195&lt;&gt;"",LEFT(C195,2)&lt;&gt;"Va",G195&lt;&gt;"H. Sale Real"),IF(G200-G195&lt;0.208333333333333,G200-G195,""),""))))),""),"")</f>
        <v/>
      </c>
      <c r="U199" s="87" t="n"/>
      <c r="V199" s="89" t="n"/>
      <c r="W199" s="87" t="n"/>
      <c r="X199" s="89" t="n"/>
      <c r="Y199" s="91" t="n"/>
      <c r="Z199" s="122">
        <f>IF(G199&lt;&gt;"",IF(AND(Z198&lt;&gt;"IE",P199&lt;&gt;0,R199&lt;&gt;""),IF(IFERROR((P199/R199),0) &lt;=1,IFERROR(P199/R199,""),1),""),"")</f>
        <v/>
      </c>
      <c r="AA199" s="93" t="n"/>
      <c r="AB199" s="2" t="n"/>
      <c r="AE199" s="10">
        <f>HOUR(AK199)+1</f>
        <v/>
      </c>
      <c r="AF199" s="7" t="n"/>
      <c r="AG199" s="7" t="n"/>
      <c r="AH199" s="86" t="n"/>
      <c r="AI199" s="8" t="n"/>
      <c r="AJ199" s="86" t="n"/>
      <c r="AK199" s="87" t="n"/>
      <c r="AL199" s="88">
        <f>IF(AM199="","",IF(AND((AM199-AK199)&gt;=TIME(0,0,0),(AM199-AK199)&lt;TIME(0,3,0)),"OK",IF(AND((AM199-AK199)&gt;=TIME(0,3,0),(AM199-AK199)&lt;TIME(0,5,0)),"RETRASO DE 3-5 MIN",IF(AND((AM199-AK199)&gt;=TIME(0,5,0),(AM199-AK199)&lt;TIME(0,10,0)),"RETRASO DE 5-10 MIN",IF((AM199-AK199)&gt;=TIME(0,10,0),"RETRASO &gt;10 MIN", IF(AND((AK199-AM199)&gt;=TIME(0,0,0),(AK199-AM199)&lt;TIME(0,3,0)),"OK",IF((AK199-AM199)&gt;=TIME(0,3,0),"ADELANTADO")))))))</f>
        <v/>
      </c>
      <c r="AM199" s="91" t="n"/>
      <c r="AN199" s="89">
        <f>IF(AE199&lt;&gt;"",HLOOKUP(VALUE(TEXT(AK199,"h:mm:ss")),IF($C$6="Laboral",$FZ$4:$GX$227,IF($C$6="Sábado",$FZ$231:$GX$452,$FZ$456:$GX$656)),VLOOKUP($C$4,$HF$2:$HH$99,3,0)+IF(AG$5="Ida",0,1),1),"")</f>
        <v/>
      </c>
      <c r="AO199" s="89">
        <f>IF(AE200&lt;&gt;AE199,AVERAGEIF(AE$9:AE199,AE199,AN$9:AN199),"")</f>
        <v/>
      </c>
      <c r="AP199" s="89">
        <f>IFERROR(IF(AE200&lt;&gt;AE199,AVERAGEIF(AE$9:AE199,AE199,AW$9:AW199),""),"")</f>
        <v/>
      </c>
      <c r="AQ199" s="89">
        <f>IFERROR(IF(AE200&lt;&gt;AE199,AVERAGEIF(AE$9:AE199,AE199,AX$9:AX199),""),"")</f>
        <v/>
      </c>
      <c r="AR199" s="89">
        <f t="array" ref="AR199">IFERROR(IF(AE200&lt;&gt;AE199,_xlfn.STDEV.P(IF(AE$9:AE199=AE199,AX$9:AX199)),""),"")</f>
        <v/>
      </c>
      <c r="AS199" s="89">
        <f t="array" ref="AS199">IFERROR(IF(AE200&lt;&gt;AE199,_xlfn.STDEV.P(IF(AE$9:AE199=AE199,AW$9:AW199)),""),"")</f>
        <v/>
      </c>
      <c r="AT199" s="90">
        <f>IFERROR(IF(AE199&lt;&gt;AE200,MAX((((AQ199*24*60)/2)*(1+POWER((((AR199*24*60) / (AQ199*24*60) )),2))) + ((AQ199*24*60 )*-0.1 + (AO199*0.015)) +1,(((AQ199*24*60)/2)*(1+POWER((((AR199*24*60) / (AQ199*24*60 ))),2)))),""),"")</f>
        <v/>
      </c>
      <c r="AU199" s="90">
        <f>IF(AND(AS199&lt;&gt;"",AP199&lt;&gt;""),IF(AE199&lt;&gt;AE200,((AP199*24*60) / 2 ) * (1 + POWER(((AS199*24*60) / (AP199*24*60)),2)),""),"")</f>
        <v/>
      </c>
      <c r="AV199" s="90">
        <f>IF(AU199&lt;&gt;"",MAX(AT199,AU199),"")</f>
        <v/>
      </c>
      <c r="AW199" s="89">
        <f>IF(AM199&lt;&gt;"H. Sale Real",IF(AND(AM200&lt;&gt;"",LEFT(AG200,2)&lt;&gt;"Va"),IF(AND(AM199&lt;&gt;"",LEFT(AG199,2)&lt;&gt;"Va",AM199&lt;&gt;"H. Sale Real"),IF(AM200-AM199&lt;0.208333333333333,AM200-AM199,""),IF(AND(AM198&lt;&gt;"",LEFT(AG198,2)&lt;&gt;"Va",AM198&lt;&gt;"H. Sale Real"),IF(AM200-AM198&lt;0.208333333333333,AM200-AM198,""),IF(AND(AM197&lt;&gt;"",LEFT(AG197,2)&lt;&gt;"Va",AM197&lt;&gt;"H. Sale Real"),IF(AM200-AM197&lt;0.208333333333333,AM200-AM197,""),IF(AND(AM196&lt;&gt;"",LEFT(AG196,2)&lt;&gt;"Va",AM196&lt;&gt;"H. Sale Real"),IF(AM200-AM196&lt;0.208333333333333,AM200-AM196,""),IF(AND(AM195&lt;&gt;"",LEFT(AG195,2)&lt;&gt;"Va",AM195&lt;&gt;"H. Sale Real"),IF(AM200-AM195&lt;0.208333333333333,AM200-AM195,""),""))))),""),"")</f>
        <v/>
      </c>
      <c r="AX199" s="89">
        <f>IF(AK199&lt;&gt;"H. Sale Real",IF(AND(AK200&lt;&gt;"",LEFT(AG200,2)&lt;&gt;"Va"),IF(AND(AK199&lt;&gt;"",LEFT(AG199,2)&lt;&gt;"Va",AK199&lt;&gt;"H. Sale Real"),IF(AK200-AK199&lt;0.208333333333333,AK200-AK199,""),IF(AND(AK198&lt;&gt;"",LEFT(AG198,2)&lt;&gt;"Va",AK198&lt;&gt;"H. Sale Real"),IF(AK200-AK198&lt;0.208333333333333,AK200-AK198,""),IF(AND(AK197&lt;&gt;"",LEFT(AG197,2)&lt;&gt;"NC",AK197&lt;&gt;"H. Sale Real"),IF(AK200-AK197&lt;0.208333333333333,AK200-AK197,""),IF(AND(AK196&lt;&gt;"",LEFT(AG196,2)&lt;&gt;"Va",AK196&lt;&gt;"H. Sale Real"),IF(AK200-AK196&lt;0.208333333333333,AK200-AK196,""),IF(AND(AK195&lt;&gt;"",LEFT(AG195,2)&lt;&gt;"Va",AK195&lt;&gt;"H. Sale Real"),IF(AK200-AK195&lt;0.208333333333333,AK200-AK195,""),""))))),""),"")</f>
        <v/>
      </c>
      <c r="AY199" s="87" t="n"/>
      <c r="AZ199" s="89" t="n"/>
      <c r="BA199" s="87" t="n"/>
      <c r="BB199" s="89" t="n"/>
      <c r="BC199" s="91" t="n"/>
      <c r="BD199" s="122">
        <f>IF(AK199&lt;&gt;"",IF(AND(BD198&lt;&gt;"IE",AT199&lt;&gt;0,AV199&lt;&gt;""),IF(IFERROR((AT199/AV199),0) &lt;=1,IFERROR(AT199/AV199,""),1),""),"")</f>
        <v/>
      </c>
      <c r="BE199" s="93" t="n"/>
      <c r="BF199" s="105" t="n"/>
      <c r="FC199" t="inlineStr">
        <is>
          <t>Diccionario 1</t>
        </is>
      </c>
      <c r="FD199" s="15" t="n">
        <v>1187</v>
      </c>
      <c r="FE199" s="15" t="inlineStr">
        <is>
          <t>YV3T7U523LA201708</t>
        </is>
      </c>
      <c r="FF199" s="15" t="n">
        <v>508404</v>
      </c>
      <c r="FG199" s="15" t="inlineStr">
        <is>
          <t>Volvo</t>
        </is>
      </c>
      <c r="FH199" s="15" t="inlineStr">
        <is>
          <t>B8RLEA</t>
        </is>
      </c>
      <c r="FI199" s="15" t="inlineStr">
        <is>
          <t>MARCOPOLO</t>
        </is>
      </c>
      <c r="FJ199" s="15" t="inlineStr">
        <is>
          <t>GRAN VIALE</t>
        </is>
      </c>
      <c r="FK199" s="15" t="n">
        <v>2020</v>
      </c>
      <c r="FL199" s="15" t="inlineStr">
        <is>
          <t>C</t>
        </is>
      </c>
      <c r="FM199" s="15" t="inlineStr">
        <is>
          <t>PIE ANDINO</t>
        </is>
      </c>
      <c r="FN199" s="15" t="inlineStr">
        <is>
          <t>Pie Andino 31 (Pie Andino 383)</t>
        </is>
      </c>
      <c r="FO199" s="15" t="inlineStr">
        <is>
          <t>Puente Alto</t>
        </is>
      </c>
      <c r="FP199" t="inlineStr">
        <is>
          <t>C</t>
        </is>
      </c>
      <c r="FS199" s="14" t="inlineStr">
        <is>
          <t>3048 / SFVZ-96|</t>
        </is>
      </c>
      <c r="FT199" t="inlineStr">
        <is>
          <t>SFVZ-96|</t>
        </is>
      </c>
      <c r="FU199" t="inlineStr">
        <is>
          <t>SFVZ-96</t>
        </is>
      </c>
      <c r="FV199">
        <f>VLOOKUP(FU199,FD:FL,9,0)</f>
        <v/>
      </c>
      <c r="HA199" s="35" t="n">
        <v>196</v>
      </c>
      <c r="HB199" s="35" t="n">
        <v>193</v>
      </c>
    </row>
    <row r="200" ht="15.5" customHeight="1">
      <c r="A200" s="10">
        <f>HOUR(G200)+1</f>
        <v/>
      </c>
      <c r="B200" s="7" t="n"/>
      <c r="C200" s="7" t="n"/>
      <c r="D200" s="85">
        <f>IFERROR(
IF(AND(OR(Planilla!B200="C",Planilla!B200="c"), VLOOKUP(E200,FD:FP,13,0)="C"), "OK",IF(AND(OR(Planilla!B200="C",Planilla!B200="c"), OR(VLOOKUP(E200,FD:FP,13,0)="B", VLOOKUP(E200,FD:FP,13,0)="A")), "DEFICIT",IF(
AND(OR(Planilla!B200="B", Planilla!B200="BPAL"), VLOOKUP(E200,FD:FP,13,0)="B"), "OK",IF(AND(OR(Planilla!B200="B", Planilla!B200="BPAL"), VLOOKUP(E200,FD:FP,13,0)="A"), "DEFICIT",IF(AND(OR(Planilla!B200="B", Planilla!B200="BPAL"), VLOOKUP(E200,FD:FP,13,0)="C"), "SOBREOFERTA",IF(AND(Planilla!B200="A", VLOOKUP(E200,FD:FP,13,0)="A"), "OK",IF(
AND(Planilla!B200="A", OR(VLOOKUP(E200,FD:FP,13,0)="B", VLOOKUP(E200,FD:FP,13,0)="C")), "SOBREOFERTA",""
))))))),"")</f>
        <v/>
      </c>
      <c r="E200" s="8" t="n"/>
      <c r="F200" s="86" t="n"/>
      <c r="G200" s="87" t="n"/>
      <c r="H200" s="88">
        <f>IF(I200="","",IF(AND((I200-G200)&gt;=TIME(0,0,0),(I200-G200)&lt;TIME(0,3,0)),"OK",IF(AND((I200-G200)&gt;=TIME(0,3,0),(I200-G200)&lt;TIME(0,5,0)),"RETRASO DE 3-5 MIN",IF(AND((I200-G200)&gt;=TIME(0,5,0),(I200-G200)&lt;TIME(0,10,0)),"RETRASO DE 5-10 MIN",IF((I200-G200)&gt;=TIME(0,10,0),"RETRASO &gt;10 MIN", IF(AND((G200-I200)&gt;=TIME(0,0,0),(G200-I200)&lt;TIME(0,3,0)),"OK",IF((G200-I200)&gt;=TIME(0,3,0),"ADELANTADO")))))))</f>
        <v/>
      </c>
      <c r="I200" s="89" t="n"/>
      <c r="J200" s="89">
        <f>IF(A200&lt;&gt;"",HLOOKUP(VALUE(TEXT(G200,"h:mm:ss")),IF($C$6="Laboral",$FZ$4:$GX$227,IF($C$6="Sábado",$FZ$231:$GX$452,$FZ$456:$GX$656)),VLOOKUP($C$4,$HF$2:$HH$99,3,0)+IF(C$5="Ida",0,1),1),"")</f>
        <v/>
      </c>
      <c r="K200" s="89">
        <f>IF(A201&lt;&gt;A200,AVERAGEIF(A$9:A200,A200,J$9:J200),"")</f>
        <v/>
      </c>
      <c r="L200" s="89">
        <f>IFERROR(IF(A201&lt;&gt;A200,AVERAGEIF(A$9:A200,A200,S$9:S200),""),"")</f>
        <v/>
      </c>
      <c r="M200" s="89">
        <f>IFERROR(IF(A201&lt;&gt;A200,AVERAGEIF(A$9:A200,A200,T$9:T200),""),"")</f>
        <v/>
      </c>
      <c r="N200" s="89">
        <f t="array" ref="N200">IFERROR(IF(A201&lt;&gt;A200,_xlfn.STDEV.P(IF(A$9:A200=A200,T$9:T200)),""),"")</f>
        <v/>
      </c>
      <c r="O200" s="89">
        <f t="array" ref="O200">IFERROR(IF(A201&lt;&gt;A200,_xlfn.STDEV.P(IF(A$9:A200=A200,S$9:S200)),""),"")</f>
        <v/>
      </c>
      <c r="P200" s="90">
        <f>IFERROR(IF(A200&lt;&gt;A201,MAX((((M200*24*60)/2)*(1+POWER((((N200*24*60) / (M200*24*60) )),2))) + ((M200*24*60 )*-0.1 + (K200*0.015)) +1,(((M200*24*60)/2)*(1+POWER((((N200*24*60) / (M200*24*60 ))),2)))),""),"")</f>
        <v/>
      </c>
      <c r="Q200" s="90">
        <f>IF(AND(O200&lt;&gt;"",L200&lt;&gt;""),IF(A200&lt;&gt;A201,((L200*24*60) / 2 ) * (1 + POWER(((O200*24*60) / (L200*24*60)),2)),""),"")</f>
        <v/>
      </c>
      <c r="R200" s="90">
        <f>IF(Q200&lt;&gt;"",MAX(P200,Q200),"")</f>
        <v/>
      </c>
      <c r="S200" s="89">
        <f>IF(I200&lt;&gt;"H. Sale Real",IF(AND(I201&lt;&gt;"",LEFT(C201,2)&lt;&gt;"Va"),IF(AND(I200&lt;&gt;"",LEFT(C200,2)&lt;&gt;"Va",I200&lt;&gt;"H. Sale Real"),IF(I201-I200&lt;0.208333333333333,I201-I200,""),IF(AND(I199&lt;&gt;"",LEFT(C199,2)&lt;&gt;"Va",I199&lt;&gt;"H. Sale Real"),IF(I201-I199&lt;0.208333333333333,I201-I199,""),IF(AND(I198&lt;&gt;"",LEFT(C198,2)&lt;&gt;"Va",I198&lt;&gt;"H. Sale Real"),IF(I201-I198&lt;0.208333333333333,I201-I198,""),IF(AND(I197&lt;&gt;"",LEFT(C197,2)&lt;&gt;"Va",I197&lt;&gt;"H. Sale Real"),IF(I201-I197&lt;0.208333333333333,I201-I197,""),IF(AND(I196&lt;&gt;"",LEFT(C196,2)&lt;&gt;"Va",I196&lt;&gt;"H. Sale Real"),IF(I201-I196&lt;0.208333333333333,I201-I196,""),""))))),""),"")</f>
        <v/>
      </c>
      <c r="T200" s="89">
        <f>IF(G200&lt;&gt;"H. Sale Real",IF(AND(G201&lt;&gt;"",LEFT(C201,2)&lt;&gt;"Va"),IF(AND(G200&lt;&gt;"",LEFT(C200,2)&lt;&gt;"Va",G200&lt;&gt;"H. Sale Real"),IF(G201-G200&lt;0.208333333333333,G201-G200,""),IF(AND(G199&lt;&gt;"",LEFT(C199,2)&lt;&gt;"Va",G199&lt;&gt;"H. Sale Real"),IF(G201-G199&lt;0.208333333333333,G201-G199,""),IF(AND(G198&lt;&gt;"",LEFT(C198,2)&lt;&gt;"Va",G198&lt;&gt;"H. Sale Real"),IF(G201-G198&lt;0.208333333333333,G201-G198,""),IF(AND(G197&lt;&gt;"",LEFT(C197,2)&lt;&gt;"Va",G197&lt;&gt;"H. Sale Real"),IF(G201-G197&lt;0.208333333333333,G201-G197,""),IF(AND(G196&lt;&gt;"",LEFT(C196,2)&lt;&gt;"Va",G196&lt;&gt;"H. Sale Real"),IF(G201-G196&lt;0.208333333333333,G201-G196,""),""))))),""),"")</f>
        <v/>
      </c>
      <c r="U200" s="87" t="n"/>
      <c r="V200" s="89" t="n"/>
      <c r="W200" s="87" t="n"/>
      <c r="X200" s="89" t="n"/>
      <c r="Y200" s="91" t="n"/>
      <c r="Z200" s="122">
        <f>IF(G200&lt;&gt;"",IF(AND(Z199&lt;&gt;"IE",P200&lt;&gt;0,R200&lt;&gt;""),IF(IFERROR((P200/R200),0) &lt;=1,IFERROR(P200/R200,""),1),""),"")</f>
        <v/>
      </c>
      <c r="AA200" s="93" t="n"/>
      <c r="AB200" s="2" t="n"/>
      <c r="AE200" s="10">
        <f>HOUR(AK200)+1</f>
        <v/>
      </c>
      <c r="AF200" s="7" t="n"/>
      <c r="AG200" s="7" t="n"/>
      <c r="AH200" s="86" t="n"/>
      <c r="AI200" s="8" t="n"/>
      <c r="AJ200" s="86" t="n"/>
      <c r="AK200" s="87" t="n"/>
      <c r="AL200" s="88">
        <f>IF(AM200="","",IF(AND((AM200-AK200)&gt;=TIME(0,0,0),(AM200-AK200)&lt;TIME(0,3,0)),"OK",IF(AND((AM200-AK200)&gt;=TIME(0,3,0),(AM200-AK200)&lt;TIME(0,5,0)),"RETRASO DE 3-5 MIN",IF(AND((AM200-AK200)&gt;=TIME(0,5,0),(AM200-AK200)&lt;TIME(0,10,0)),"RETRASO DE 5-10 MIN",IF((AM200-AK200)&gt;=TIME(0,10,0),"RETRASO &gt;10 MIN", IF(AND((AK200-AM200)&gt;=TIME(0,0,0),(AK200-AM200)&lt;TIME(0,3,0)),"OK",IF((AK200-AM200)&gt;=TIME(0,3,0),"ADELANTADO")))))))</f>
        <v/>
      </c>
      <c r="AM200" s="91" t="n"/>
      <c r="AN200" s="89">
        <f>IF(AE200&lt;&gt;"",HLOOKUP(VALUE(TEXT(AK200,"h:mm:ss")),IF($C$6="Laboral",$FZ$4:$GX$227,IF($C$6="Sábado",$FZ$231:$GX$452,$FZ$456:$GX$656)),VLOOKUP($C$4,$HF$2:$HH$99,3,0)+IF(AG$5="Ida",0,1),1),"")</f>
        <v/>
      </c>
      <c r="AO200" s="89">
        <f>IF(AE201&lt;&gt;AE200,AVERAGEIF(AE$9:AE200,AE200,AN$9:AN200),"")</f>
        <v/>
      </c>
      <c r="AP200" s="89">
        <f>IFERROR(IF(AE201&lt;&gt;AE200,AVERAGEIF(AE$9:AE200,AE200,AW$9:AW200),""),"")</f>
        <v/>
      </c>
      <c r="AQ200" s="89">
        <f>IFERROR(IF(AE201&lt;&gt;AE200,AVERAGEIF(AE$9:AE200,AE200,AX$9:AX200),""),"")</f>
        <v/>
      </c>
      <c r="AR200" s="89">
        <f t="array" ref="AR200">IFERROR(IF(AE201&lt;&gt;AE200,_xlfn.STDEV.P(IF(AE$9:AE200=AE200,AX$9:AX200)),""),"")</f>
        <v/>
      </c>
      <c r="AS200" s="89">
        <f t="array" ref="AS200">IFERROR(IF(AE201&lt;&gt;AE200,_xlfn.STDEV.P(IF(AE$9:AE200=AE200,AW$9:AW200)),""),"")</f>
        <v/>
      </c>
      <c r="AT200" s="90">
        <f>IFERROR(IF(AE200&lt;&gt;AE201,MAX((((AQ200*24*60)/2)*(1+POWER((((AR200*24*60) / (AQ200*24*60) )),2))) + ((AQ200*24*60 )*-0.1 + (AO200*0.015)) +1,(((AQ200*24*60)/2)*(1+POWER((((AR200*24*60) / (AQ200*24*60 ))),2)))),""),"")</f>
        <v/>
      </c>
      <c r="AU200" s="90">
        <f>IF(AND(AS200&lt;&gt;"",AP200&lt;&gt;""),IF(AE200&lt;&gt;AE201,((AP200*24*60) / 2 ) * (1 + POWER(((AS200*24*60) / (AP200*24*60)),2)),""),"")</f>
        <v/>
      </c>
      <c r="AV200" s="90">
        <f>IF(AU200&lt;&gt;"",MAX(AT200,AU200),"")</f>
        <v/>
      </c>
      <c r="AW200" s="89">
        <f>IF(AM200&lt;&gt;"H. Sale Real",IF(AND(AM201&lt;&gt;"",LEFT(AG201,2)&lt;&gt;"Va"),IF(AND(AM200&lt;&gt;"",LEFT(AG200,2)&lt;&gt;"Va",AM200&lt;&gt;"H. Sale Real"),IF(AM201-AM200&lt;0.208333333333333,AM201-AM200,""),IF(AND(AM199&lt;&gt;"",LEFT(AG199,2)&lt;&gt;"Va",AM199&lt;&gt;"H. Sale Real"),IF(AM201-AM199&lt;0.208333333333333,AM201-AM199,""),IF(AND(AM198&lt;&gt;"",LEFT(AG198,2)&lt;&gt;"Va",AM198&lt;&gt;"H. Sale Real"),IF(AM201-AM198&lt;0.208333333333333,AM201-AM198,""),IF(AND(AM197&lt;&gt;"",LEFT(AG197,2)&lt;&gt;"Va",AM197&lt;&gt;"H. Sale Real"),IF(AM201-AM197&lt;0.208333333333333,AM201-AM197,""),IF(AND(AM196&lt;&gt;"",LEFT(AG196,2)&lt;&gt;"Va",AM196&lt;&gt;"H. Sale Real"),IF(AM201-AM196&lt;0.208333333333333,AM201-AM196,""),""))))),""),"")</f>
        <v/>
      </c>
      <c r="AX200" s="89">
        <f>IF(AK200&lt;&gt;"H. Sale Real",IF(AND(AK201&lt;&gt;"",LEFT(AG201,2)&lt;&gt;"Va"),IF(AND(AK200&lt;&gt;"",LEFT(AG200,2)&lt;&gt;"Va",AK200&lt;&gt;"H. Sale Real"),IF(AK201-AK200&lt;0.208333333333333,AK201-AK200,""),IF(AND(AK199&lt;&gt;"",LEFT(AG199,2)&lt;&gt;"Va",AK199&lt;&gt;"H. Sale Real"),IF(AK201-AK199&lt;0.208333333333333,AK201-AK199,""),IF(AND(AK198&lt;&gt;"",LEFT(AG198,2)&lt;&gt;"NC",AK198&lt;&gt;"H. Sale Real"),IF(AK201-AK198&lt;0.208333333333333,AK201-AK198,""),IF(AND(AK197&lt;&gt;"",LEFT(AG197,2)&lt;&gt;"Va",AK197&lt;&gt;"H. Sale Real"),IF(AK201-AK197&lt;0.208333333333333,AK201-AK197,""),IF(AND(AK196&lt;&gt;"",LEFT(AG196,2)&lt;&gt;"Va",AK196&lt;&gt;"H. Sale Real"),IF(AK201-AK196&lt;0.208333333333333,AK201-AK196,""),""))))),""),"")</f>
        <v/>
      </c>
      <c r="AY200" s="87" t="n"/>
      <c r="AZ200" s="89" t="n"/>
      <c r="BA200" s="87" t="n"/>
      <c r="BB200" s="89" t="n"/>
      <c r="BC200" s="91" t="n"/>
      <c r="BD200" s="122">
        <f>IF(AK200&lt;&gt;"",IF(AND(BD199&lt;&gt;"IE",AT200&lt;&gt;0,AV200&lt;&gt;""),IF(IFERROR((AT200/AV200),0) &lt;=1,IFERROR(AT200/AV200,""),1),""),"")</f>
        <v/>
      </c>
      <c r="BE200" s="93" t="n"/>
      <c r="BF200" s="105" t="n"/>
      <c r="FC200" t="inlineStr">
        <is>
          <t>Diccionario 1</t>
        </is>
      </c>
      <c r="FD200" s="15" t="n">
        <v>1188</v>
      </c>
      <c r="FE200" s="15" t="inlineStr">
        <is>
          <t>YV3T7U525LA201905</t>
        </is>
      </c>
      <c r="FF200" s="15" t="n">
        <v>509585</v>
      </c>
      <c r="FG200" s="15" t="inlineStr">
        <is>
          <t>Volvo</t>
        </is>
      </c>
      <c r="FH200" s="15" t="inlineStr">
        <is>
          <t>B8RLEA</t>
        </is>
      </c>
      <c r="FI200" s="15" t="inlineStr">
        <is>
          <t>MARCOPOLO</t>
        </is>
      </c>
      <c r="FJ200" s="15" t="inlineStr">
        <is>
          <t>GRAN VIALE</t>
        </is>
      </c>
      <c r="FK200" s="15" t="n">
        <v>2020</v>
      </c>
      <c r="FL200" s="15" t="inlineStr">
        <is>
          <t>C</t>
        </is>
      </c>
      <c r="FM200" s="15" t="inlineStr">
        <is>
          <t>PIE ANDINO</t>
        </is>
      </c>
      <c r="FN200" s="15" t="inlineStr">
        <is>
          <t>Pie Andino 31 (Pie Andino 383)</t>
        </is>
      </c>
      <c r="FO200" s="15" t="inlineStr">
        <is>
          <t>Puente Alto</t>
        </is>
      </c>
      <c r="FP200" t="inlineStr">
        <is>
          <t>C</t>
        </is>
      </c>
      <c r="FS200" s="14" t="inlineStr">
        <is>
          <t>3048 / SFVZ-96|</t>
        </is>
      </c>
      <c r="FT200" t="inlineStr">
        <is>
          <t>SFVZ-96|</t>
        </is>
      </c>
      <c r="FU200" t="inlineStr">
        <is>
          <t>SFVZ-96</t>
        </is>
      </c>
      <c r="FV200">
        <f>VLOOKUP(FU200,FD:FL,9,0)</f>
        <v/>
      </c>
      <c r="HA200" s="35" t="n">
        <v>197</v>
      </c>
      <c r="HB200" s="35" t="n">
        <v>194</v>
      </c>
    </row>
    <row r="201" ht="15.5" customHeight="1">
      <c r="A201" s="10">
        <f>HOUR(G201)+1</f>
        <v/>
      </c>
      <c r="B201" s="7" t="n"/>
      <c r="C201" s="7" t="n"/>
      <c r="D201" s="85">
        <f>IFERROR(
IF(AND(OR(Planilla!B201="C",Planilla!B201="c"), VLOOKUP(E201,FD:FP,13,0)="C"), "OK",IF(AND(OR(Planilla!B201="C",Planilla!B201="c"), OR(VLOOKUP(E201,FD:FP,13,0)="B", VLOOKUP(E201,FD:FP,13,0)="A")), "DEFICIT",IF(
AND(OR(Planilla!B201="B", Planilla!B201="BPAL"), VLOOKUP(E201,FD:FP,13,0)="B"), "OK",IF(AND(OR(Planilla!B201="B", Planilla!B201="BPAL"), VLOOKUP(E201,FD:FP,13,0)="A"), "DEFICIT",IF(AND(OR(Planilla!B201="B", Planilla!B201="BPAL"), VLOOKUP(E201,FD:FP,13,0)="C"), "SOBREOFERTA",IF(AND(Planilla!B201="A", VLOOKUP(E201,FD:FP,13,0)="A"), "OK",IF(
AND(Planilla!B201="A", OR(VLOOKUP(E201,FD:FP,13,0)="B", VLOOKUP(E201,FD:FP,13,0)="C")), "SOBREOFERTA",""
))))))),"")</f>
        <v/>
      </c>
      <c r="E201" s="8" t="n"/>
      <c r="F201" s="86" t="n"/>
      <c r="G201" s="87" t="n"/>
      <c r="H201" s="88">
        <f>IF(I201="","",IF(AND((I201-G201)&gt;=TIME(0,0,0),(I201-G201)&lt;TIME(0,3,0)),"OK",IF(AND((I201-G201)&gt;=TIME(0,3,0),(I201-G201)&lt;TIME(0,5,0)),"RETRASO DE 3-5 MIN",IF(AND((I201-G201)&gt;=TIME(0,5,0),(I201-G201)&lt;TIME(0,10,0)),"RETRASO DE 5-10 MIN",IF((I201-G201)&gt;=TIME(0,10,0),"RETRASO &gt;10 MIN", IF(AND((G201-I201)&gt;=TIME(0,0,0),(G201-I201)&lt;TIME(0,3,0)),"OK",IF((G201-I201)&gt;=TIME(0,3,0),"ADELANTADO")))))))</f>
        <v/>
      </c>
      <c r="I201" s="89" t="n"/>
      <c r="J201" s="89">
        <f>IF(A201&lt;&gt;"",HLOOKUP(VALUE(TEXT(G201,"h:mm:ss")),IF($C$6="Laboral",$FZ$4:$GX$227,IF($C$6="Sábado",$FZ$231:$GX$452,$FZ$456:$GX$656)),VLOOKUP($C$4,$HF$2:$HH$99,3,0)+IF(C$5="Ida",0,1),1),"")</f>
        <v/>
      </c>
      <c r="K201" s="89">
        <f>IF(A202&lt;&gt;A201,AVERAGEIF(A$9:A201,A201,J$9:J201),"")</f>
        <v/>
      </c>
      <c r="L201" s="89">
        <f>IFERROR(IF(A202&lt;&gt;A201,AVERAGEIF(A$9:A201,A201,S$9:S201),""),"")</f>
        <v/>
      </c>
      <c r="M201" s="89">
        <f>IFERROR(IF(A202&lt;&gt;A201,AVERAGEIF(A$9:A201,A201,T$9:T201),""),"")</f>
        <v/>
      </c>
      <c r="N201" s="89">
        <f t="array" ref="N201">IFERROR(IF(A202&lt;&gt;A201,_xlfn.STDEV.P(IF(A$9:A201=A201,T$9:T201)),""),"")</f>
        <v/>
      </c>
      <c r="O201" s="89">
        <f t="array" ref="O201">IFERROR(IF(A202&lt;&gt;A201,_xlfn.STDEV.P(IF(A$9:A201=A201,S$9:S201)),""),"")</f>
        <v/>
      </c>
      <c r="P201" s="90">
        <f>IFERROR(IF(A201&lt;&gt;A202,MAX((((M201*24*60)/2)*(1+POWER((((N201*24*60) / (M201*24*60) )),2))) + ((M201*24*60 )*-0.1 + (K201*0.015)) +1,(((M201*24*60)/2)*(1+POWER((((N201*24*60) / (M201*24*60 ))),2)))),""),"")</f>
        <v/>
      </c>
      <c r="Q201" s="90">
        <f>IF(AND(O201&lt;&gt;"",L201&lt;&gt;""),IF(A201&lt;&gt;A202,((L201*24*60) / 2 ) * (1 + POWER(((O201*24*60) / (L201*24*60)),2)),""),"")</f>
        <v/>
      </c>
      <c r="R201" s="90">
        <f>IF(Q201&lt;&gt;"",MAX(P201,Q201),"")</f>
        <v/>
      </c>
      <c r="S201" s="89">
        <f>IF(I201&lt;&gt;"H. Sale Real",IF(AND(I202&lt;&gt;"",LEFT(C202,2)&lt;&gt;"Va"),IF(AND(I201&lt;&gt;"",LEFT(C201,2)&lt;&gt;"Va",I201&lt;&gt;"H. Sale Real"),IF(I202-I201&lt;0.208333333333333,I202-I201,""),IF(AND(I200&lt;&gt;"",LEFT(C200,2)&lt;&gt;"Va",I200&lt;&gt;"H. Sale Real"),IF(I202-I200&lt;0.208333333333333,I202-I200,""),IF(AND(I199&lt;&gt;"",LEFT(C199,2)&lt;&gt;"Va",I199&lt;&gt;"H. Sale Real"),IF(I202-I199&lt;0.208333333333333,I202-I199,""),IF(AND(I198&lt;&gt;"",LEFT(C198,2)&lt;&gt;"Va",I198&lt;&gt;"H. Sale Real"),IF(I202-I198&lt;0.208333333333333,I202-I198,""),IF(AND(I197&lt;&gt;"",LEFT(C197,2)&lt;&gt;"Va",I197&lt;&gt;"H. Sale Real"),IF(I202-I197&lt;0.208333333333333,I202-I197,""),""))))),""),"")</f>
        <v/>
      </c>
      <c r="T201" s="89">
        <f>IF(G201&lt;&gt;"H. Sale Real",IF(AND(G202&lt;&gt;"",LEFT(C202,2)&lt;&gt;"Va"),IF(AND(G201&lt;&gt;"",LEFT(C201,2)&lt;&gt;"Va",G201&lt;&gt;"H. Sale Real"),IF(G202-G201&lt;0.208333333333333,G202-G201,""),IF(AND(G200&lt;&gt;"",LEFT(C200,2)&lt;&gt;"Va",G200&lt;&gt;"H. Sale Real"),IF(G202-G200&lt;0.208333333333333,G202-G200,""),IF(AND(G199&lt;&gt;"",LEFT(C199,2)&lt;&gt;"Va",G199&lt;&gt;"H. Sale Real"),IF(G202-G199&lt;0.208333333333333,G202-G199,""),IF(AND(G198&lt;&gt;"",LEFT(C198,2)&lt;&gt;"Va",G198&lt;&gt;"H. Sale Real"),IF(G202-G198&lt;0.208333333333333,G202-G198,""),IF(AND(G197&lt;&gt;"",LEFT(C197,2)&lt;&gt;"Va",G197&lt;&gt;"H. Sale Real"),IF(G202-G197&lt;0.208333333333333,G202-G197,""),""))))),""),"")</f>
        <v/>
      </c>
      <c r="U201" s="87" t="n"/>
      <c r="V201" s="89" t="n"/>
      <c r="W201" s="87" t="n"/>
      <c r="X201" s="89" t="n"/>
      <c r="Y201" s="91" t="n"/>
      <c r="Z201" s="122">
        <f>IF(G201&lt;&gt;"",IF(AND(Z200&lt;&gt;"IE",P201&lt;&gt;0,R201&lt;&gt;""),IF(IFERROR((P201/R201),0) &lt;=1,IFERROR(P201/R201,""),1),""),"")</f>
        <v/>
      </c>
      <c r="AA201" s="93" t="n"/>
      <c r="AB201" s="2" t="n"/>
      <c r="AE201" s="10">
        <f>HOUR(AK201)+1</f>
        <v/>
      </c>
      <c r="AF201" s="7" t="n"/>
      <c r="AG201" s="7" t="n"/>
      <c r="AH201" s="86" t="n"/>
      <c r="AI201" s="8" t="n"/>
      <c r="AJ201" s="86" t="n"/>
      <c r="AK201" s="87" t="n"/>
      <c r="AL201" s="88">
        <f>IF(AM201="","",IF(AND((AM201-AK201)&gt;=TIME(0,0,0),(AM201-AK201)&lt;TIME(0,3,0)),"OK",IF(AND((AM201-AK201)&gt;=TIME(0,3,0),(AM201-AK201)&lt;TIME(0,5,0)),"RETRASO DE 3-5 MIN",IF(AND((AM201-AK201)&gt;=TIME(0,5,0),(AM201-AK201)&lt;TIME(0,10,0)),"RETRASO DE 5-10 MIN",IF((AM201-AK201)&gt;=TIME(0,10,0),"RETRASO &gt;10 MIN", IF(AND((AK201-AM201)&gt;=TIME(0,0,0),(AK201-AM201)&lt;TIME(0,3,0)),"OK",IF((AK201-AM201)&gt;=TIME(0,3,0),"ADELANTADO")))))))</f>
        <v/>
      </c>
      <c r="AM201" s="91" t="n"/>
      <c r="AN201" s="89">
        <f>IF(AE201&lt;&gt;"",HLOOKUP(VALUE(TEXT(AK201,"h:mm:ss")),IF($C$6="Laboral",$FZ$4:$GX$227,IF($C$6="Sábado",$FZ$231:$GX$452,$FZ$456:$GX$656)),VLOOKUP($C$4,$HF$2:$HH$99,3,0)+IF(AG$5="Ida",0,1),1),"")</f>
        <v/>
      </c>
      <c r="AO201" s="89">
        <f>IF(AE202&lt;&gt;AE201,AVERAGEIF(AE$9:AE201,AE201,AN$9:AN201),"")</f>
        <v/>
      </c>
      <c r="AP201" s="89">
        <f>IFERROR(IF(AE202&lt;&gt;AE201,AVERAGEIF(AE$9:AE201,AE201,AW$9:AW201),""),"")</f>
        <v/>
      </c>
      <c r="AQ201" s="89">
        <f>IFERROR(IF(AE202&lt;&gt;AE201,AVERAGEIF(AE$9:AE201,AE201,AX$9:AX201),""),"")</f>
        <v/>
      </c>
      <c r="AR201" s="89">
        <f t="array" ref="AR201">IFERROR(IF(AE202&lt;&gt;AE201,_xlfn.STDEV.P(IF(AE$9:AE201=AE201,AX$9:AX201)),""),"")</f>
        <v/>
      </c>
      <c r="AS201" s="89">
        <f t="array" ref="AS201">IFERROR(IF(AE202&lt;&gt;AE201,_xlfn.STDEV.P(IF(AE$9:AE201=AE201,AW$9:AW201)),""),"")</f>
        <v/>
      </c>
      <c r="AT201" s="90">
        <f>IFERROR(IF(AE201&lt;&gt;AE202,MAX((((AQ201*24*60)/2)*(1+POWER((((AR201*24*60) / (AQ201*24*60) )),2))) + ((AQ201*24*60 )*-0.1 + (AO201*0.015)) +1,(((AQ201*24*60)/2)*(1+POWER((((AR201*24*60) / (AQ201*24*60 ))),2)))),""),"")</f>
        <v/>
      </c>
      <c r="AU201" s="90">
        <f>IF(AND(AS201&lt;&gt;"",AP201&lt;&gt;""),IF(AE201&lt;&gt;AE202,((AP201*24*60) / 2 ) * (1 + POWER(((AS201*24*60) / (AP201*24*60)),2)),""),"")</f>
        <v/>
      </c>
      <c r="AV201" s="90">
        <f>IF(AU201&lt;&gt;"",MAX(AT201,AU201),"")</f>
        <v/>
      </c>
      <c r="AW201" s="89">
        <f>IF(AM201&lt;&gt;"H. Sale Real",IF(AND(AM202&lt;&gt;"",LEFT(AG202,2)&lt;&gt;"Va"),IF(AND(AM201&lt;&gt;"",LEFT(AG201,2)&lt;&gt;"Va",AM201&lt;&gt;"H. Sale Real"),IF(AM202-AM201&lt;0.208333333333333,AM202-AM201,""),IF(AND(AM200&lt;&gt;"",LEFT(AG200,2)&lt;&gt;"Va",AM200&lt;&gt;"H. Sale Real"),IF(AM202-AM200&lt;0.208333333333333,AM202-AM200,""),IF(AND(AM199&lt;&gt;"",LEFT(AG199,2)&lt;&gt;"Va",AM199&lt;&gt;"H. Sale Real"),IF(AM202-AM199&lt;0.208333333333333,AM202-AM199,""),IF(AND(AM198&lt;&gt;"",LEFT(AG198,2)&lt;&gt;"Va",AM198&lt;&gt;"H. Sale Real"),IF(AM202-AM198&lt;0.208333333333333,AM202-AM198,""),IF(AND(AM197&lt;&gt;"",LEFT(AG197,2)&lt;&gt;"Va",AM197&lt;&gt;"H. Sale Real"),IF(AM202-AM197&lt;0.208333333333333,AM202-AM197,""),""))))),""),"")</f>
        <v/>
      </c>
      <c r="AX201" s="89">
        <f>IF(AK201&lt;&gt;"H. Sale Real",IF(AND(AK202&lt;&gt;"",LEFT(AG202,2)&lt;&gt;"Va"),IF(AND(AK201&lt;&gt;"",LEFT(AG201,2)&lt;&gt;"Va",AK201&lt;&gt;"H. Sale Real"),IF(AK202-AK201&lt;0.208333333333333,AK202-AK201,""),IF(AND(AK200&lt;&gt;"",LEFT(AG200,2)&lt;&gt;"Va",AK200&lt;&gt;"H. Sale Real"),IF(AK202-AK200&lt;0.208333333333333,AK202-AK200,""),IF(AND(AK199&lt;&gt;"",LEFT(AG199,2)&lt;&gt;"NC",AK199&lt;&gt;"H. Sale Real"),IF(AK202-AK199&lt;0.208333333333333,AK202-AK199,""),IF(AND(AK198&lt;&gt;"",LEFT(AG198,2)&lt;&gt;"Va",AK198&lt;&gt;"H. Sale Real"),IF(AK202-AK198&lt;0.208333333333333,AK202-AK198,""),IF(AND(AK197&lt;&gt;"",LEFT(AG197,2)&lt;&gt;"Va",AK197&lt;&gt;"H. Sale Real"),IF(AK202-AK197&lt;0.208333333333333,AK202-AK197,""),""))))),""),"")</f>
        <v/>
      </c>
      <c r="AY201" s="87" t="n"/>
      <c r="AZ201" s="89" t="n"/>
      <c r="BA201" s="87" t="n"/>
      <c r="BB201" s="89" t="n"/>
      <c r="BC201" s="91" t="n"/>
      <c r="BD201" s="122">
        <f>IF(AK201&lt;&gt;"",IF(AND(BD200&lt;&gt;"IE",AT201&lt;&gt;0,AV201&lt;&gt;""),IF(IFERROR((AT201/AV201),0) &lt;=1,IFERROR(AT201/AV201,""),1),""),"")</f>
        <v/>
      </c>
      <c r="BE201" s="93" t="n"/>
      <c r="BF201" s="105" t="n"/>
      <c r="FC201" t="inlineStr">
        <is>
          <t>Diccionario 1</t>
        </is>
      </c>
      <c r="FD201" s="15" t="n">
        <v>1189</v>
      </c>
      <c r="FE201" s="15" t="inlineStr">
        <is>
          <t>YV3T7U520LA201908</t>
        </is>
      </c>
      <c r="FF201" s="15" t="n">
        <v>509583</v>
      </c>
      <c r="FG201" s="15" t="inlineStr">
        <is>
          <t>Volvo</t>
        </is>
      </c>
      <c r="FH201" s="15" t="inlineStr">
        <is>
          <t>B8RLEA</t>
        </is>
      </c>
      <c r="FI201" s="15" t="inlineStr">
        <is>
          <t>MARCOPOLO</t>
        </is>
      </c>
      <c r="FJ201" s="15" t="inlineStr">
        <is>
          <t>GRAN VIALE</t>
        </is>
      </c>
      <c r="FK201" s="15" t="n">
        <v>2020</v>
      </c>
      <c r="FL201" s="15" t="inlineStr">
        <is>
          <t>C</t>
        </is>
      </c>
      <c r="FM201" s="15" t="inlineStr">
        <is>
          <t>PIE ANDINO</t>
        </is>
      </c>
      <c r="FN201" s="15" t="inlineStr">
        <is>
          <t>Pie Andino 31 (Pie Andino 383)</t>
        </is>
      </c>
      <c r="FO201" s="15" t="inlineStr">
        <is>
          <t>Puente Alto</t>
        </is>
      </c>
      <c r="FP201" t="inlineStr">
        <is>
          <t>C</t>
        </is>
      </c>
      <c r="FS201" s="14" t="inlineStr">
        <is>
          <t>3049 / SFWZ-13|</t>
        </is>
      </c>
      <c r="FT201" t="inlineStr">
        <is>
          <t>SFWZ-13|</t>
        </is>
      </c>
      <c r="FU201" t="inlineStr">
        <is>
          <t>SFWZ-13</t>
        </is>
      </c>
      <c r="FV201">
        <f>VLOOKUP(FU201,FD:FL,9,0)</f>
        <v/>
      </c>
      <c r="HA201" s="35" t="n">
        <v>198</v>
      </c>
      <c r="HB201" s="35" t="n">
        <v>195</v>
      </c>
    </row>
    <row r="202" ht="15.5" customHeight="1">
      <c r="A202" s="10">
        <f>HOUR(G202)+1</f>
        <v/>
      </c>
      <c r="B202" s="7" t="n"/>
      <c r="C202" s="7" t="n"/>
      <c r="D202" s="85">
        <f>IFERROR(
IF(AND(OR(Planilla!B202="C",Planilla!B202="c"), VLOOKUP(E202,FD:FP,13,0)="C"), "OK",IF(AND(OR(Planilla!B202="C",Planilla!B202="c"), OR(VLOOKUP(E202,FD:FP,13,0)="B", VLOOKUP(E202,FD:FP,13,0)="A")), "DEFICIT",IF(
AND(OR(Planilla!B202="B", Planilla!B202="BPAL"), VLOOKUP(E202,FD:FP,13,0)="B"), "OK",IF(AND(OR(Planilla!B202="B", Planilla!B202="BPAL"), VLOOKUP(E202,FD:FP,13,0)="A"), "DEFICIT",IF(AND(OR(Planilla!B202="B", Planilla!B202="BPAL"), VLOOKUP(E202,FD:FP,13,0)="C"), "SOBREOFERTA",IF(AND(Planilla!B202="A", VLOOKUP(E202,FD:FP,13,0)="A"), "OK",IF(
AND(Planilla!B202="A", OR(VLOOKUP(E202,FD:FP,13,0)="B", VLOOKUP(E202,FD:FP,13,0)="C")), "SOBREOFERTA",""
))))))),"")</f>
        <v/>
      </c>
      <c r="E202" s="8" t="n"/>
      <c r="F202" s="86" t="n"/>
      <c r="G202" s="87" t="n"/>
      <c r="H202" s="88">
        <f>IF(I202="","",IF(AND((I202-G202)&gt;=TIME(0,0,0),(I202-G202)&lt;TIME(0,3,0)),"OK",IF(AND((I202-G202)&gt;=TIME(0,3,0),(I202-G202)&lt;TIME(0,5,0)),"RETRASO DE 3-5 MIN",IF(AND((I202-G202)&gt;=TIME(0,5,0),(I202-G202)&lt;TIME(0,10,0)),"RETRASO DE 5-10 MIN",IF((I202-G202)&gt;=TIME(0,10,0),"RETRASO &gt;10 MIN", IF(AND((G202-I202)&gt;=TIME(0,0,0),(G202-I202)&lt;TIME(0,3,0)),"OK",IF((G202-I202)&gt;=TIME(0,3,0),"ADELANTADO")))))))</f>
        <v/>
      </c>
      <c r="I202" s="89" t="n"/>
      <c r="J202" s="89">
        <f>IF(A202&lt;&gt;"",HLOOKUP(VALUE(TEXT(G202,"h:mm:ss")),IF($C$6="Laboral",$FZ$4:$GX$227,IF($C$6="Sábado",$FZ$231:$GX$452,$FZ$456:$GX$656)),VLOOKUP($C$4,$HF$2:$HH$99,3,0)+IF(C$5="Ida",0,1),1),"")</f>
        <v/>
      </c>
      <c r="K202" s="89">
        <f>IF(A203&lt;&gt;A202,AVERAGEIF(A$9:A202,A202,J$9:J202),"")</f>
        <v/>
      </c>
      <c r="L202" s="89">
        <f>IFERROR(IF(A203&lt;&gt;A202,AVERAGEIF(A$9:A202,A202,S$9:S202),""),"")</f>
        <v/>
      </c>
      <c r="M202" s="89">
        <f>IFERROR(IF(A203&lt;&gt;A202,AVERAGEIF(A$9:A202,A202,T$9:T202),""),"")</f>
        <v/>
      </c>
      <c r="N202" s="89">
        <f t="array" ref="N202">IFERROR(IF(A203&lt;&gt;A202,_xlfn.STDEV.P(IF(A$9:A202=A202,T$9:T202)),""),"")</f>
        <v/>
      </c>
      <c r="O202" s="89">
        <f t="array" ref="O202">IFERROR(IF(A203&lt;&gt;A202,_xlfn.STDEV.P(IF(A$9:A202=A202,S$9:S202)),""),"")</f>
        <v/>
      </c>
      <c r="P202" s="90">
        <f>IFERROR(IF(A202&lt;&gt;A203,MAX((((M202*24*60)/2)*(1+POWER((((N202*24*60) / (M202*24*60) )),2))) + ((M202*24*60 )*-0.1 + (K202*0.015)) +1,(((M202*24*60)/2)*(1+POWER((((N202*24*60) / (M202*24*60 ))),2)))),""),"")</f>
        <v/>
      </c>
      <c r="Q202" s="90">
        <f>IF(AND(O202&lt;&gt;"",L202&lt;&gt;""),IF(A202&lt;&gt;A203,((L202*24*60) / 2 ) * (1 + POWER(((O202*24*60) / (L202*24*60)),2)),""),"")</f>
        <v/>
      </c>
      <c r="R202" s="90">
        <f>IF(Q202&lt;&gt;"",MAX(P202,Q202),"")</f>
        <v/>
      </c>
      <c r="S202" s="89">
        <f>IF(I202&lt;&gt;"H. Sale Real",IF(AND(I203&lt;&gt;"",LEFT(C203,2)&lt;&gt;"Va"),IF(AND(I202&lt;&gt;"",LEFT(C202,2)&lt;&gt;"Va",I202&lt;&gt;"H. Sale Real"),IF(I203-I202&lt;0.208333333333333,I203-I202,""),IF(AND(I201&lt;&gt;"",LEFT(C201,2)&lt;&gt;"Va",I201&lt;&gt;"H. Sale Real"),IF(I203-I201&lt;0.208333333333333,I203-I201,""),IF(AND(I200&lt;&gt;"",LEFT(C200,2)&lt;&gt;"Va",I200&lt;&gt;"H. Sale Real"),IF(I203-I200&lt;0.208333333333333,I203-I200,""),IF(AND(I199&lt;&gt;"",LEFT(C199,2)&lt;&gt;"Va",I199&lt;&gt;"H. Sale Real"),IF(I203-I199&lt;0.208333333333333,I203-I199,""),IF(AND(I198&lt;&gt;"",LEFT(C198,2)&lt;&gt;"Va",I198&lt;&gt;"H. Sale Real"),IF(I203-I198&lt;0.208333333333333,I203-I198,""),""))))),""),"")</f>
        <v/>
      </c>
      <c r="T202" s="89">
        <f>IF(G202&lt;&gt;"H. Sale Real",IF(AND(G203&lt;&gt;"",LEFT(C203,2)&lt;&gt;"Va"),IF(AND(G202&lt;&gt;"",LEFT(C202,2)&lt;&gt;"Va",G202&lt;&gt;"H. Sale Real"),IF(G203-G202&lt;0.208333333333333,G203-G202,""),IF(AND(G201&lt;&gt;"",LEFT(C201,2)&lt;&gt;"Va",G201&lt;&gt;"H. Sale Real"),IF(G203-G201&lt;0.208333333333333,G203-G201,""),IF(AND(G200&lt;&gt;"",LEFT(C200,2)&lt;&gt;"Va",G200&lt;&gt;"H. Sale Real"),IF(G203-G200&lt;0.208333333333333,G203-G200,""),IF(AND(G199&lt;&gt;"",LEFT(C199,2)&lt;&gt;"Va",G199&lt;&gt;"H. Sale Real"),IF(G203-G199&lt;0.208333333333333,G203-G199,""),IF(AND(G198&lt;&gt;"",LEFT(C198,2)&lt;&gt;"Va",G198&lt;&gt;"H. Sale Real"),IF(G203-G198&lt;0.208333333333333,G203-G198,""),""))))),""),"")</f>
        <v/>
      </c>
      <c r="U202" s="87" t="n"/>
      <c r="V202" s="89" t="n"/>
      <c r="W202" s="87" t="n"/>
      <c r="X202" s="89" t="n"/>
      <c r="Y202" s="91" t="n"/>
      <c r="Z202" s="122">
        <f>IF(G202&lt;&gt;"",IF(AND(Z201&lt;&gt;"IE",P202&lt;&gt;0,R202&lt;&gt;""),IF(IFERROR((P202/R202),0) &lt;=1,IFERROR(P202/R202,""),1),""),"")</f>
        <v/>
      </c>
      <c r="AA202" s="93" t="n"/>
      <c r="AB202" s="2" t="n"/>
      <c r="AE202" s="10">
        <f>HOUR(AK202)+1</f>
        <v/>
      </c>
      <c r="AF202" s="7" t="n"/>
      <c r="AG202" s="7" t="n"/>
      <c r="AH202" s="86" t="n"/>
      <c r="AI202" s="8" t="n"/>
      <c r="AJ202" s="86" t="n"/>
      <c r="AK202" s="87" t="n"/>
      <c r="AL202" s="88">
        <f>IF(AM202="","",IF(AND((AM202-AK202)&gt;=TIME(0,0,0),(AM202-AK202)&lt;TIME(0,3,0)),"OK",IF(AND((AM202-AK202)&gt;=TIME(0,3,0),(AM202-AK202)&lt;TIME(0,5,0)),"RETRASO DE 3-5 MIN",IF(AND((AM202-AK202)&gt;=TIME(0,5,0),(AM202-AK202)&lt;TIME(0,10,0)),"RETRASO DE 5-10 MIN",IF((AM202-AK202)&gt;=TIME(0,10,0),"RETRASO &gt;10 MIN", IF(AND((AK202-AM202)&gt;=TIME(0,0,0),(AK202-AM202)&lt;TIME(0,3,0)),"OK",IF((AK202-AM202)&gt;=TIME(0,3,0),"ADELANTADO")))))))</f>
        <v/>
      </c>
      <c r="AM202" s="91" t="n"/>
      <c r="AN202" s="89">
        <f>IF(AE202&lt;&gt;"",HLOOKUP(VALUE(TEXT(AK202,"h:mm:ss")),IF($C$6="Laboral",$FZ$4:$GX$227,IF($C$6="Sábado",$FZ$231:$GX$452,$FZ$456:$GX$656)),VLOOKUP($C$4,$HF$2:$HH$99,3,0)+IF(AG$5="Ida",0,1),1),"")</f>
        <v/>
      </c>
      <c r="AO202" s="89">
        <f>IF(AE203&lt;&gt;AE202,AVERAGEIF(AE$9:AE202,AE202,AN$9:AN202),"")</f>
        <v/>
      </c>
      <c r="AP202" s="89">
        <f>IFERROR(IF(AE203&lt;&gt;AE202,AVERAGEIF(AE$9:AE202,AE202,AW$9:AW202),""),"")</f>
        <v/>
      </c>
      <c r="AQ202" s="89">
        <f>IFERROR(IF(AE203&lt;&gt;AE202,AVERAGEIF(AE$9:AE202,AE202,AX$9:AX202),""),"")</f>
        <v/>
      </c>
      <c r="AR202" s="89">
        <f t="array" ref="AR202">IFERROR(IF(AE203&lt;&gt;AE202,_xlfn.STDEV.P(IF(AE$9:AE202=AE202,AX$9:AX202)),""),"")</f>
        <v/>
      </c>
      <c r="AS202" s="89">
        <f t="array" ref="AS202">IFERROR(IF(AE203&lt;&gt;AE202,_xlfn.STDEV.P(IF(AE$9:AE202=AE202,AW$9:AW202)),""),"")</f>
        <v/>
      </c>
      <c r="AT202" s="90">
        <f>IFERROR(IF(AE202&lt;&gt;AE203,MAX((((AQ202*24*60)/2)*(1+POWER((((AR202*24*60) / (AQ202*24*60) )),2))) + ((AQ202*24*60 )*-0.1 + (AO202*0.015)) +1,(((AQ202*24*60)/2)*(1+POWER((((AR202*24*60) / (AQ202*24*60 ))),2)))),""),"")</f>
        <v/>
      </c>
      <c r="AU202" s="90">
        <f>IF(AND(AS202&lt;&gt;"",AP202&lt;&gt;""),IF(AE202&lt;&gt;AE203,((AP202*24*60) / 2 ) * (1 + POWER(((AS202*24*60) / (AP202*24*60)),2)),""),"")</f>
        <v/>
      </c>
      <c r="AV202" s="90">
        <f>IF(AU202&lt;&gt;"",MAX(AT202,AU202),"")</f>
        <v/>
      </c>
      <c r="AW202" s="89">
        <f>IF(AM202&lt;&gt;"H. Sale Real",IF(AND(AM203&lt;&gt;"",LEFT(AG203,2)&lt;&gt;"Va"),IF(AND(AM202&lt;&gt;"",LEFT(AG202,2)&lt;&gt;"Va",AM202&lt;&gt;"H. Sale Real"),IF(AM203-AM202&lt;0.208333333333333,AM203-AM202,""),IF(AND(AM201&lt;&gt;"",LEFT(AG201,2)&lt;&gt;"Va",AM201&lt;&gt;"H. Sale Real"),IF(AM203-AM201&lt;0.208333333333333,AM203-AM201,""),IF(AND(AM200&lt;&gt;"",LEFT(AG200,2)&lt;&gt;"Va",AM200&lt;&gt;"H. Sale Real"),IF(AM203-AM200&lt;0.208333333333333,AM203-AM200,""),IF(AND(AM199&lt;&gt;"",LEFT(AG199,2)&lt;&gt;"Va",AM199&lt;&gt;"H. Sale Real"),IF(AM203-AM199&lt;0.208333333333333,AM203-AM199,""),IF(AND(AM198&lt;&gt;"",LEFT(AG198,2)&lt;&gt;"Va",AM198&lt;&gt;"H. Sale Real"),IF(AM203-AM198&lt;0.208333333333333,AM203-AM198,""),""))))),""),"")</f>
        <v/>
      </c>
      <c r="AX202" s="89">
        <f>IF(AK202&lt;&gt;"H. Sale Real",IF(AND(AK203&lt;&gt;"",LEFT(AG203,2)&lt;&gt;"Va"),IF(AND(AK202&lt;&gt;"",LEFT(AG202,2)&lt;&gt;"Va",AK202&lt;&gt;"H. Sale Real"),IF(AK203-AK202&lt;0.208333333333333,AK203-AK202,""),IF(AND(AK201&lt;&gt;"",LEFT(AG201,2)&lt;&gt;"Va",AK201&lt;&gt;"H. Sale Real"),IF(AK203-AK201&lt;0.208333333333333,AK203-AK201,""),IF(AND(AK200&lt;&gt;"",LEFT(AG200,2)&lt;&gt;"NC",AK200&lt;&gt;"H. Sale Real"),IF(AK203-AK200&lt;0.208333333333333,AK203-AK200,""),IF(AND(AK199&lt;&gt;"",LEFT(AG199,2)&lt;&gt;"Va",AK199&lt;&gt;"H. Sale Real"),IF(AK203-AK199&lt;0.208333333333333,AK203-AK199,""),IF(AND(AK198&lt;&gt;"",LEFT(AG198,2)&lt;&gt;"Va",AK198&lt;&gt;"H. Sale Real"),IF(AK203-AK198&lt;0.208333333333333,AK203-AK198,""),""))))),""),"")</f>
        <v/>
      </c>
      <c r="AY202" s="87" t="n"/>
      <c r="AZ202" s="89" t="n"/>
      <c r="BA202" s="87" t="n"/>
      <c r="BB202" s="89" t="n"/>
      <c r="BC202" s="91" t="n"/>
      <c r="BD202" s="122">
        <f>IF(AK202&lt;&gt;"",IF(AND(BD201&lt;&gt;"IE",AT202&lt;&gt;0,AV202&lt;&gt;""),IF(IFERROR((AT202/AV202),0) &lt;=1,IFERROR(AT202/AV202,""),1),""),"")</f>
        <v/>
      </c>
      <c r="BE202" s="93" t="n"/>
      <c r="BF202" s="105" t="n"/>
      <c r="FC202" t="inlineStr">
        <is>
          <t>Diccionario 1</t>
        </is>
      </c>
      <c r="FD202" s="15" t="n">
        <v>1190</v>
      </c>
      <c r="FE202" s="15" t="inlineStr">
        <is>
          <t>YV3T7U529LA201907</t>
        </is>
      </c>
      <c r="FF202" s="15" t="n">
        <v>509444</v>
      </c>
      <c r="FG202" s="15" t="inlineStr">
        <is>
          <t>Volvo</t>
        </is>
      </c>
      <c r="FH202" s="15" t="inlineStr">
        <is>
          <t>B8RLEA</t>
        </is>
      </c>
      <c r="FI202" s="15" t="inlineStr">
        <is>
          <t>MARCOPOLO</t>
        </is>
      </c>
      <c r="FJ202" s="15" t="inlineStr">
        <is>
          <t>GRAN VIALE</t>
        </is>
      </c>
      <c r="FK202" s="15" t="n">
        <v>2020</v>
      </c>
      <c r="FL202" s="15" t="inlineStr">
        <is>
          <t>C</t>
        </is>
      </c>
      <c r="FM202" s="15" t="inlineStr">
        <is>
          <t>PIE ANDINO</t>
        </is>
      </c>
      <c r="FN202" s="15" t="inlineStr">
        <is>
          <t>Pie Andino 31 (Pie Andino 383)</t>
        </is>
      </c>
      <c r="FO202" s="15" t="inlineStr">
        <is>
          <t>Puente Alto</t>
        </is>
      </c>
      <c r="FP202" t="inlineStr">
        <is>
          <t>C</t>
        </is>
      </c>
      <c r="FS202" s="14" t="inlineStr">
        <is>
          <t>3049 / SFWZ-13|</t>
        </is>
      </c>
      <c r="FT202" t="inlineStr">
        <is>
          <t>SFWZ-13|</t>
        </is>
      </c>
      <c r="FU202" t="inlineStr">
        <is>
          <t>SFWZ-13</t>
        </is>
      </c>
      <c r="FV202">
        <f>VLOOKUP(FU202,FD:FL,9,0)</f>
        <v/>
      </c>
      <c r="HA202" s="35" t="n">
        <v>199</v>
      </c>
      <c r="HB202" s="35" t="n">
        <v>196</v>
      </c>
    </row>
    <row r="203" ht="15.5" customHeight="1">
      <c r="A203" s="10">
        <f>HOUR(G203)+1</f>
        <v/>
      </c>
      <c r="B203" s="7" t="n"/>
      <c r="C203" s="7" t="n"/>
      <c r="D203" s="85">
        <f>IFERROR(
IF(AND(OR(Planilla!B203="C",Planilla!B203="c"), VLOOKUP(E203,FD:FP,13,0)="C"), "OK",IF(AND(OR(Planilla!B203="C",Planilla!B203="c"), OR(VLOOKUP(E203,FD:FP,13,0)="B", VLOOKUP(E203,FD:FP,13,0)="A")), "DEFICIT",IF(
AND(OR(Planilla!B203="B", Planilla!B203="BPAL"), VLOOKUP(E203,FD:FP,13,0)="B"), "OK",IF(AND(OR(Planilla!B203="B", Planilla!B203="BPAL"), VLOOKUP(E203,FD:FP,13,0)="A"), "DEFICIT",IF(AND(OR(Planilla!B203="B", Planilla!B203="BPAL"), VLOOKUP(E203,FD:FP,13,0)="C"), "SOBREOFERTA",IF(AND(Planilla!B203="A", VLOOKUP(E203,FD:FP,13,0)="A"), "OK",IF(
AND(Planilla!B203="A", OR(VLOOKUP(E203,FD:FP,13,0)="B", VLOOKUP(E203,FD:FP,13,0)="C")), "SOBREOFERTA",""
))))))),"")</f>
        <v/>
      </c>
      <c r="E203" s="8" t="n"/>
      <c r="F203" s="86" t="n"/>
      <c r="G203" s="87" t="n"/>
      <c r="H203" s="88">
        <f>IF(I203="","",IF(AND((I203-G203)&gt;=TIME(0,0,0),(I203-G203)&lt;TIME(0,3,0)),"OK",IF(AND((I203-G203)&gt;=TIME(0,3,0),(I203-G203)&lt;TIME(0,5,0)),"RETRASO DE 3-5 MIN",IF(AND((I203-G203)&gt;=TIME(0,5,0),(I203-G203)&lt;TIME(0,10,0)),"RETRASO DE 5-10 MIN",IF((I203-G203)&gt;=TIME(0,10,0),"RETRASO &gt;10 MIN", IF(AND((G203-I203)&gt;=TIME(0,0,0),(G203-I203)&lt;TIME(0,3,0)),"OK",IF((G203-I203)&gt;=TIME(0,3,0),"ADELANTADO")))))))</f>
        <v/>
      </c>
      <c r="I203" s="89" t="n"/>
      <c r="J203" s="89">
        <f>IF(A203&lt;&gt;"",HLOOKUP(VALUE(TEXT(G203,"h:mm:ss")),IF($C$6="Laboral",$FZ$4:$GX$227,IF($C$6="Sábado",$FZ$231:$GX$452,$FZ$456:$GX$656)),VLOOKUP($C$4,$HF$2:$HH$99,3,0)+IF(C$5="Ida",0,1),1),"")</f>
        <v/>
      </c>
      <c r="K203" s="89">
        <f>IF(A204&lt;&gt;A203,AVERAGEIF(A$9:A203,A203,J$9:J203),"")</f>
        <v/>
      </c>
      <c r="L203" s="89">
        <f>IFERROR(IF(A204&lt;&gt;A203,AVERAGEIF(A$9:A203,A203,S$9:S203),""),"")</f>
        <v/>
      </c>
      <c r="M203" s="89">
        <f>IFERROR(IF(A204&lt;&gt;A203,AVERAGEIF(A$9:A203,A203,T$9:T203),""),"")</f>
        <v/>
      </c>
      <c r="N203" s="89">
        <f t="array" ref="N203">IFERROR(IF(A204&lt;&gt;A203,_xlfn.STDEV.P(IF(A$9:A203=A203,T$9:T203)),""),"")</f>
        <v/>
      </c>
      <c r="O203" s="89">
        <f t="array" ref="O203">IFERROR(IF(A204&lt;&gt;A203,_xlfn.STDEV.P(IF(A$9:A203=A203,S$9:S203)),""),"")</f>
        <v/>
      </c>
      <c r="P203" s="90">
        <f>IFERROR(IF(A203&lt;&gt;A204,MAX((((M203*24*60)/2)*(1+POWER((((N203*24*60) / (M203*24*60) )),2))) + ((M203*24*60 )*-0.1 + (K203*0.015)) +1,(((M203*24*60)/2)*(1+POWER((((N203*24*60) / (M203*24*60 ))),2)))),""),"")</f>
        <v/>
      </c>
      <c r="Q203" s="90">
        <f>IF(AND(O203&lt;&gt;"",L203&lt;&gt;""),IF(A203&lt;&gt;A204,((L203*24*60) / 2 ) * (1 + POWER(((O203*24*60) / (L203*24*60)),2)),""),"")</f>
        <v/>
      </c>
      <c r="R203" s="90">
        <f>IF(Q203&lt;&gt;"",MAX(P203,Q203),"")</f>
        <v/>
      </c>
      <c r="S203" s="89">
        <f>IF(I203&lt;&gt;"H. Sale Real",IF(AND(I204&lt;&gt;"",LEFT(C204,2)&lt;&gt;"Va"),IF(AND(I203&lt;&gt;"",LEFT(C203,2)&lt;&gt;"Va",I203&lt;&gt;"H. Sale Real"),IF(I204-I203&lt;0.208333333333333,I204-I203,""),IF(AND(I202&lt;&gt;"",LEFT(C202,2)&lt;&gt;"Va",I202&lt;&gt;"H. Sale Real"),IF(I204-I202&lt;0.208333333333333,I204-I202,""),IF(AND(I201&lt;&gt;"",LEFT(C201,2)&lt;&gt;"Va",I201&lt;&gt;"H. Sale Real"),IF(I204-I201&lt;0.208333333333333,I204-I201,""),IF(AND(I200&lt;&gt;"",LEFT(C200,2)&lt;&gt;"Va",I200&lt;&gt;"H. Sale Real"),IF(I204-I200&lt;0.208333333333333,I204-I200,""),IF(AND(I199&lt;&gt;"",LEFT(C199,2)&lt;&gt;"Va",I199&lt;&gt;"H. Sale Real"),IF(I204-I199&lt;0.208333333333333,I204-I199,""),""))))),""),"")</f>
        <v/>
      </c>
      <c r="T203" s="89">
        <f>IF(G203&lt;&gt;"H. Sale Real",IF(AND(G204&lt;&gt;"",LEFT(C204,2)&lt;&gt;"Va"),IF(AND(G203&lt;&gt;"",LEFT(C203,2)&lt;&gt;"Va",G203&lt;&gt;"H. Sale Real"),IF(G204-G203&lt;0.208333333333333,G204-G203,""),IF(AND(G202&lt;&gt;"",LEFT(C202,2)&lt;&gt;"Va",G202&lt;&gt;"H. Sale Real"),IF(G204-G202&lt;0.208333333333333,G204-G202,""),IF(AND(G201&lt;&gt;"",LEFT(C201,2)&lt;&gt;"Va",G201&lt;&gt;"H. Sale Real"),IF(G204-G201&lt;0.208333333333333,G204-G201,""),IF(AND(G200&lt;&gt;"",LEFT(C200,2)&lt;&gt;"Va",G200&lt;&gt;"H. Sale Real"),IF(G204-G200&lt;0.208333333333333,G204-G200,""),IF(AND(G199&lt;&gt;"",LEFT(C199,2)&lt;&gt;"Va",G199&lt;&gt;"H. Sale Real"),IF(G204-G199&lt;0.208333333333333,G204-G199,""),""))))),""),"")</f>
        <v/>
      </c>
      <c r="U203" s="87" t="n"/>
      <c r="V203" s="89" t="n"/>
      <c r="W203" s="87" t="n"/>
      <c r="X203" s="89" t="n"/>
      <c r="Y203" s="91" t="n"/>
      <c r="Z203" s="122">
        <f>IF(G203&lt;&gt;"",IF(AND(Z202&lt;&gt;"IE",P203&lt;&gt;0,R203&lt;&gt;""),IF(IFERROR((P203/R203),0) &lt;=1,IFERROR(P203/R203,""),1),""),"")</f>
        <v/>
      </c>
      <c r="AA203" s="93" t="n"/>
      <c r="AB203" s="2" t="n"/>
      <c r="AE203" s="10">
        <f>HOUR(AK203)+1</f>
        <v/>
      </c>
      <c r="AF203" s="7" t="n"/>
      <c r="AG203" s="7" t="n"/>
      <c r="AH203" s="86" t="n"/>
      <c r="AI203" s="8" t="n"/>
      <c r="AJ203" s="86" t="n"/>
      <c r="AK203" s="87" t="n"/>
      <c r="AL203" s="88">
        <f>IF(AM203="","",IF(AND((AM203-AK203)&gt;=TIME(0,0,0),(AM203-AK203)&lt;TIME(0,3,0)),"OK",IF(AND((AM203-AK203)&gt;=TIME(0,3,0),(AM203-AK203)&lt;TIME(0,5,0)),"RETRASO DE 3-5 MIN",IF(AND((AM203-AK203)&gt;=TIME(0,5,0),(AM203-AK203)&lt;TIME(0,10,0)),"RETRASO DE 5-10 MIN",IF((AM203-AK203)&gt;=TIME(0,10,0),"RETRASO &gt;10 MIN", IF(AND((AK203-AM203)&gt;=TIME(0,0,0),(AK203-AM203)&lt;TIME(0,3,0)),"OK",IF((AK203-AM203)&gt;=TIME(0,3,0),"ADELANTADO")))))))</f>
        <v/>
      </c>
      <c r="AM203" s="91" t="n"/>
      <c r="AN203" s="89">
        <f>IF(AE203&lt;&gt;"",HLOOKUP(VALUE(TEXT(AK203,"h:mm:ss")),IF($C$6="Laboral",$FZ$4:$GX$227,IF($C$6="Sábado",$FZ$231:$GX$452,$FZ$456:$GX$656)),VLOOKUP($C$4,$HF$2:$HH$99,3,0)+IF(AG$5="Ida",0,1),1),"")</f>
        <v/>
      </c>
      <c r="AO203" s="89">
        <f>IF(AE204&lt;&gt;AE203,AVERAGEIF(AE$9:AE203,AE203,AN$9:AN203),"")</f>
        <v/>
      </c>
      <c r="AP203" s="89">
        <f>IFERROR(IF(AE204&lt;&gt;AE203,AVERAGEIF(AE$9:AE203,AE203,AW$9:AW203),""),"")</f>
        <v/>
      </c>
      <c r="AQ203" s="89">
        <f>IFERROR(IF(AE204&lt;&gt;AE203,AVERAGEIF(AE$9:AE203,AE203,AX$9:AX203),""),"")</f>
        <v/>
      </c>
      <c r="AR203" s="89">
        <f t="array" ref="AR203">IFERROR(IF(AE204&lt;&gt;AE203,_xlfn.STDEV.P(IF(AE$9:AE203=AE203,AX$9:AX203)),""),"")</f>
        <v/>
      </c>
      <c r="AS203" s="89">
        <f t="array" ref="AS203">IFERROR(IF(AE204&lt;&gt;AE203,_xlfn.STDEV.P(IF(AE$9:AE203=AE203,AW$9:AW203)),""),"")</f>
        <v/>
      </c>
      <c r="AT203" s="90">
        <f>IFERROR(IF(AE203&lt;&gt;AE204,MAX((((AQ203*24*60)/2)*(1+POWER((((AR203*24*60) / (AQ203*24*60) )),2))) + ((AQ203*24*60 )*-0.1 + (AO203*0.015)) +1,(((AQ203*24*60)/2)*(1+POWER((((AR203*24*60) / (AQ203*24*60 ))),2)))),""),"")</f>
        <v/>
      </c>
      <c r="AU203" s="90">
        <f>IF(AND(AS203&lt;&gt;"",AP203&lt;&gt;""),IF(AE203&lt;&gt;AE204,((AP203*24*60) / 2 ) * (1 + POWER(((AS203*24*60) / (AP203*24*60)),2)),""),"")</f>
        <v/>
      </c>
      <c r="AV203" s="90">
        <f>IF(AU203&lt;&gt;"",MAX(AT203,AU203),"")</f>
        <v/>
      </c>
      <c r="AW203" s="89">
        <f>IF(AM203&lt;&gt;"H. Sale Real",IF(AND(AM204&lt;&gt;"",LEFT(AG204,2)&lt;&gt;"Va"),IF(AND(AM203&lt;&gt;"",LEFT(AG203,2)&lt;&gt;"Va",AM203&lt;&gt;"H. Sale Real"),IF(AM204-AM203&lt;0.208333333333333,AM204-AM203,""),IF(AND(AM202&lt;&gt;"",LEFT(AG202,2)&lt;&gt;"Va",AM202&lt;&gt;"H. Sale Real"),IF(AM204-AM202&lt;0.208333333333333,AM204-AM202,""),IF(AND(AM201&lt;&gt;"",LEFT(AG201,2)&lt;&gt;"Va",AM201&lt;&gt;"H. Sale Real"),IF(AM204-AM201&lt;0.208333333333333,AM204-AM201,""),IF(AND(AM200&lt;&gt;"",LEFT(AG200,2)&lt;&gt;"Va",AM200&lt;&gt;"H. Sale Real"),IF(AM204-AM200&lt;0.208333333333333,AM204-AM200,""),IF(AND(AM199&lt;&gt;"",LEFT(AG199,2)&lt;&gt;"Va",AM199&lt;&gt;"H. Sale Real"),IF(AM204-AM199&lt;0.208333333333333,AM204-AM199,""),""))))),""),"")</f>
        <v/>
      </c>
      <c r="AX203" s="89">
        <f>IF(AK203&lt;&gt;"H. Sale Real",IF(AND(AK204&lt;&gt;"",LEFT(AG204,2)&lt;&gt;"Va"),IF(AND(AK203&lt;&gt;"",LEFT(AG203,2)&lt;&gt;"Va",AK203&lt;&gt;"H. Sale Real"),IF(AK204-AK203&lt;0.208333333333333,AK204-AK203,""),IF(AND(AK202&lt;&gt;"",LEFT(AG202,2)&lt;&gt;"Va",AK202&lt;&gt;"H. Sale Real"),IF(AK204-AK202&lt;0.208333333333333,AK204-AK202,""),IF(AND(AK201&lt;&gt;"",LEFT(AG201,2)&lt;&gt;"NC",AK201&lt;&gt;"H. Sale Real"),IF(AK204-AK201&lt;0.208333333333333,AK204-AK201,""),IF(AND(AK200&lt;&gt;"",LEFT(AG200,2)&lt;&gt;"Va",AK200&lt;&gt;"H. Sale Real"),IF(AK204-AK200&lt;0.208333333333333,AK204-AK200,""),IF(AND(AK199&lt;&gt;"",LEFT(AG199,2)&lt;&gt;"Va",AK199&lt;&gt;"H. Sale Real"),IF(AK204-AK199&lt;0.208333333333333,AK204-AK199,""),""))))),""),"")</f>
        <v/>
      </c>
      <c r="AY203" s="87" t="n"/>
      <c r="AZ203" s="89" t="n"/>
      <c r="BA203" s="87" t="n"/>
      <c r="BB203" s="89" t="n"/>
      <c r="BC203" s="91" t="n"/>
      <c r="BD203" s="122">
        <f>IF(AK203&lt;&gt;"",IF(AND(BD202&lt;&gt;"IE",AT203&lt;&gt;0,AV203&lt;&gt;""),IF(IFERROR((AT203/AV203),0) &lt;=1,IFERROR(AT203/AV203,""),1),""),"")</f>
        <v/>
      </c>
      <c r="BE203" s="93" t="n"/>
      <c r="BF203" s="105" t="n"/>
      <c r="FC203" t="inlineStr">
        <is>
          <t>Diccionario 1</t>
        </is>
      </c>
      <c r="FD203" s="15" t="n">
        <v>1191</v>
      </c>
      <c r="FE203" s="15" t="inlineStr">
        <is>
          <t>YV3T7U526LA201802</t>
        </is>
      </c>
      <c r="FF203" s="15" t="n">
        <v>509171</v>
      </c>
      <c r="FG203" s="15" t="inlineStr">
        <is>
          <t>Volvo</t>
        </is>
      </c>
      <c r="FH203" s="15" t="inlineStr">
        <is>
          <t>B8RLEA</t>
        </is>
      </c>
      <c r="FI203" s="15" t="inlineStr">
        <is>
          <t>MARCOPOLO</t>
        </is>
      </c>
      <c r="FJ203" s="15" t="inlineStr">
        <is>
          <t>GRAN VIALE</t>
        </is>
      </c>
      <c r="FK203" s="15" t="n">
        <v>2020</v>
      </c>
      <c r="FL203" s="15" t="inlineStr">
        <is>
          <t>C</t>
        </is>
      </c>
      <c r="FM203" s="15" t="inlineStr">
        <is>
          <t>PIE ANDINO</t>
        </is>
      </c>
      <c r="FN203" s="15" t="inlineStr">
        <is>
          <t>Pie Andino 31 (Pie Andino 383)</t>
        </is>
      </c>
      <c r="FO203" s="15" t="inlineStr">
        <is>
          <t>Puente Alto</t>
        </is>
      </c>
      <c r="FP203" t="inlineStr">
        <is>
          <t>C</t>
        </is>
      </c>
      <c r="FS203" s="14" t="inlineStr">
        <is>
          <t>3049 / SFWZ-13|</t>
        </is>
      </c>
      <c r="FT203" t="inlineStr">
        <is>
          <t>SFWZ-13|</t>
        </is>
      </c>
      <c r="FU203" t="inlineStr">
        <is>
          <t>SFWZ-13</t>
        </is>
      </c>
      <c r="FV203">
        <f>VLOOKUP(FU203,FD:FL,9,0)</f>
        <v/>
      </c>
      <c r="HA203" s="35" t="n">
        <v>200</v>
      </c>
      <c r="HB203" s="35" t="n">
        <v>197</v>
      </c>
    </row>
    <row r="204" ht="15.5" customHeight="1">
      <c r="A204" s="10">
        <f>HOUR(G204)+1</f>
        <v/>
      </c>
      <c r="B204" s="7" t="n"/>
      <c r="C204" s="7" t="n"/>
      <c r="D204" s="85">
        <f>IFERROR(
IF(AND(OR(Planilla!B204="C",Planilla!B204="c"), VLOOKUP(E204,FD:FP,13,0)="C"), "OK",IF(AND(OR(Planilla!B204="C",Planilla!B204="c"), OR(VLOOKUP(E204,FD:FP,13,0)="B", VLOOKUP(E204,FD:FP,13,0)="A")), "DEFICIT",IF(
AND(OR(Planilla!B204="B", Planilla!B204="BPAL"), VLOOKUP(E204,FD:FP,13,0)="B"), "OK",IF(AND(OR(Planilla!B204="B", Planilla!B204="BPAL"), VLOOKUP(E204,FD:FP,13,0)="A"), "DEFICIT",IF(AND(OR(Planilla!B204="B", Planilla!B204="BPAL"), VLOOKUP(E204,FD:FP,13,0)="C"), "SOBREOFERTA",IF(AND(Planilla!B204="A", VLOOKUP(E204,FD:FP,13,0)="A"), "OK",IF(
AND(Planilla!B204="A", OR(VLOOKUP(E204,FD:FP,13,0)="B", VLOOKUP(E204,FD:FP,13,0)="C")), "SOBREOFERTA",""
))))))),"")</f>
        <v/>
      </c>
      <c r="E204" s="8" t="n"/>
      <c r="F204" s="86" t="n"/>
      <c r="G204" s="87" t="n"/>
      <c r="H204" s="88">
        <f>IF(I204="","",IF(AND((I204-G204)&gt;=TIME(0,0,0),(I204-G204)&lt;TIME(0,3,0)),"OK",IF(AND((I204-G204)&gt;=TIME(0,3,0),(I204-G204)&lt;TIME(0,5,0)),"RETRASO DE 3-5 MIN",IF(AND((I204-G204)&gt;=TIME(0,5,0),(I204-G204)&lt;TIME(0,10,0)),"RETRASO DE 5-10 MIN",IF((I204-G204)&gt;=TIME(0,10,0),"RETRASO &gt;10 MIN", IF(AND((G204-I204)&gt;=TIME(0,0,0),(G204-I204)&lt;TIME(0,3,0)),"OK",IF((G204-I204)&gt;=TIME(0,3,0),"ADELANTADO")))))))</f>
        <v/>
      </c>
      <c r="I204" s="89" t="n"/>
      <c r="J204" s="89">
        <f>IF(A204&lt;&gt;"",HLOOKUP(VALUE(TEXT(G204,"h:mm:ss")),IF($C$6="Laboral",$FZ$4:$GX$227,IF($C$6="Sábado",$FZ$231:$GX$452,$FZ$456:$GX$656)),VLOOKUP($C$4,$HF$2:$HH$99,3,0)+IF(C$5="Ida",0,1),1),"")</f>
        <v/>
      </c>
      <c r="K204" s="89">
        <f>IF(A205&lt;&gt;A204,AVERAGEIF(A$9:A204,A204,J$9:J204),"")</f>
        <v/>
      </c>
      <c r="L204" s="89">
        <f>IFERROR(IF(A205&lt;&gt;A204,AVERAGEIF(A$9:A204,A204,S$9:S204),""),"")</f>
        <v/>
      </c>
      <c r="M204" s="89">
        <f>IFERROR(IF(A205&lt;&gt;A204,AVERAGEIF(A$9:A204,A204,T$9:T204),""),"")</f>
        <v/>
      </c>
      <c r="N204" s="89">
        <f t="array" ref="N204">IFERROR(IF(A205&lt;&gt;A204,_xlfn.STDEV.P(IF(A$9:A204=A204,T$9:T204)),""),"")</f>
        <v/>
      </c>
      <c r="O204" s="89">
        <f t="array" ref="O204">IFERROR(IF(A205&lt;&gt;A204,_xlfn.STDEV.P(IF(A$9:A204=A204,S$9:S204)),""),"")</f>
        <v/>
      </c>
      <c r="P204" s="90">
        <f>IFERROR(IF(A204&lt;&gt;A205,MAX((((M204*24*60)/2)*(1+POWER((((N204*24*60) / (M204*24*60) )),2))) + ((M204*24*60 )*-0.1 + (K204*0.015)) +1,(((M204*24*60)/2)*(1+POWER((((N204*24*60) / (M204*24*60 ))),2)))),""),"")</f>
        <v/>
      </c>
      <c r="Q204" s="90">
        <f>IF(AND(O204&lt;&gt;"",L204&lt;&gt;""),IF(A204&lt;&gt;A205,((L204*24*60) / 2 ) * (1 + POWER(((O204*24*60) / (L204*24*60)),2)),""),"")</f>
        <v/>
      </c>
      <c r="R204" s="90">
        <f>IF(Q204&lt;&gt;"",MAX(P204,Q204),"")</f>
        <v/>
      </c>
      <c r="S204" s="89">
        <f>IF(I204&lt;&gt;"H. Sale Real",IF(AND(I205&lt;&gt;"",LEFT(C205,2)&lt;&gt;"Va"),IF(AND(I204&lt;&gt;"",LEFT(C204,2)&lt;&gt;"Va",I204&lt;&gt;"H. Sale Real"),IF(I205-I204&lt;0.208333333333333,I205-I204,""),IF(AND(I203&lt;&gt;"",LEFT(C203,2)&lt;&gt;"Va",I203&lt;&gt;"H. Sale Real"),IF(I205-I203&lt;0.208333333333333,I205-I203,""),IF(AND(I202&lt;&gt;"",LEFT(C202,2)&lt;&gt;"Va",I202&lt;&gt;"H. Sale Real"),IF(I205-I202&lt;0.208333333333333,I205-I202,""),IF(AND(I201&lt;&gt;"",LEFT(C201,2)&lt;&gt;"Va",I201&lt;&gt;"H. Sale Real"),IF(I205-I201&lt;0.208333333333333,I205-I201,""),IF(AND(I200&lt;&gt;"",LEFT(C200,2)&lt;&gt;"Va",I200&lt;&gt;"H. Sale Real"),IF(I205-I200&lt;0.208333333333333,I205-I200,""),""))))),""),"")</f>
        <v/>
      </c>
      <c r="T204" s="89">
        <f>IF(G204&lt;&gt;"H. Sale Real",IF(AND(G205&lt;&gt;"",LEFT(C205,2)&lt;&gt;"Va"),IF(AND(G204&lt;&gt;"",LEFT(C204,2)&lt;&gt;"Va",G204&lt;&gt;"H. Sale Real"),IF(G205-G204&lt;0.208333333333333,G205-G204,""),IF(AND(G203&lt;&gt;"",LEFT(C203,2)&lt;&gt;"Va",G203&lt;&gt;"H. Sale Real"),IF(G205-G203&lt;0.208333333333333,G205-G203,""),IF(AND(G202&lt;&gt;"",LEFT(C202,2)&lt;&gt;"Va",G202&lt;&gt;"H. Sale Real"),IF(G205-G202&lt;0.208333333333333,G205-G202,""),IF(AND(G201&lt;&gt;"",LEFT(C201,2)&lt;&gt;"Va",G201&lt;&gt;"H. Sale Real"),IF(G205-G201&lt;0.208333333333333,G205-G201,""),IF(AND(G200&lt;&gt;"",LEFT(C200,2)&lt;&gt;"Va",G200&lt;&gt;"H. Sale Real"),IF(G205-G200&lt;0.208333333333333,G205-G200,""),""))))),""),"")</f>
        <v/>
      </c>
      <c r="U204" s="87" t="n"/>
      <c r="V204" s="89" t="n"/>
      <c r="W204" s="87" t="n"/>
      <c r="X204" s="89" t="n"/>
      <c r="Y204" s="91" t="n"/>
      <c r="Z204" s="122">
        <f>IF(G204&lt;&gt;"",IF(AND(Z203&lt;&gt;"IE",P204&lt;&gt;0,R204&lt;&gt;""),IF(IFERROR((P204/R204),0) &lt;=1,IFERROR(P204/R204,""),1),""),"")</f>
        <v/>
      </c>
      <c r="AA204" s="93" t="n"/>
      <c r="AB204" s="2" t="n"/>
      <c r="AE204" s="10">
        <f>HOUR(AK204)+1</f>
        <v/>
      </c>
      <c r="AF204" s="7" t="n"/>
      <c r="AG204" s="7" t="n"/>
      <c r="AH204" s="86" t="n"/>
      <c r="AI204" s="8" t="n"/>
      <c r="AJ204" s="86" t="n"/>
      <c r="AK204" s="87" t="n"/>
      <c r="AL204" s="88">
        <f>IF(AM204="","",IF(AND((AM204-AK204)&gt;=TIME(0,0,0),(AM204-AK204)&lt;TIME(0,3,0)),"OK",IF(AND((AM204-AK204)&gt;=TIME(0,3,0),(AM204-AK204)&lt;TIME(0,5,0)),"RETRASO DE 3-5 MIN",IF(AND((AM204-AK204)&gt;=TIME(0,5,0),(AM204-AK204)&lt;TIME(0,10,0)),"RETRASO DE 5-10 MIN",IF((AM204-AK204)&gt;=TIME(0,10,0),"RETRASO &gt;10 MIN", IF(AND((AK204-AM204)&gt;=TIME(0,0,0),(AK204-AM204)&lt;TIME(0,3,0)),"OK",IF((AK204-AM204)&gt;=TIME(0,3,0),"ADELANTADO")))))))</f>
        <v/>
      </c>
      <c r="AM204" s="91" t="n"/>
      <c r="AN204" s="89">
        <f>IF(AE204&lt;&gt;"",HLOOKUP(VALUE(TEXT(AK204,"h:mm:ss")),IF($C$6="Laboral",$FZ$4:$GX$227,IF($C$6="Sábado",$FZ$231:$GX$452,$FZ$456:$GX$656)),VLOOKUP($C$4,$HF$2:$HH$99,3,0)+IF(AG$5="Ida",0,1),1),"")</f>
        <v/>
      </c>
      <c r="AO204" s="89">
        <f>IF(AE205&lt;&gt;AE204,AVERAGEIF(AE$9:AE204,AE204,AN$9:AN204),"")</f>
        <v/>
      </c>
      <c r="AP204" s="89">
        <f>IFERROR(IF(AE205&lt;&gt;AE204,AVERAGEIF(AE$9:AE204,AE204,AW$9:AW204),""),"")</f>
        <v/>
      </c>
      <c r="AQ204" s="89">
        <f>IFERROR(IF(AE205&lt;&gt;AE204,AVERAGEIF(AE$9:AE204,AE204,AX$9:AX204),""),"")</f>
        <v/>
      </c>
      <c r="AR204" s="89">
        <f t="array" ref="AR204">IFERROR(IF(AE205&lt;&gt;AE204,_xlfn.STDEV.P(IF(AE$9:AE204=AE204,AX$9:AX204)),""),"")</f>
        <v/>
      </c>
      <c r="AS204" s="89">
        <f t="array" ref="AS204">IFERROR(IF(AE205&lt;&gt;AE204,_xlfn.STDEV.P(IF(AE$9:AE204=AE204,AW$9:AW204)),""),"")</f>
        <v/>
      </c>
      <c r="AT204" s="90">
        <f>IFERROR(IF(AE204&lt;&gt;AE205,MAX((((AQ204*24*60)/2)*(1+POWER((((AR204*24*60) / (AQ204*24*60) )),2))) + ((AQ204*24*60 )*-0.1 + (AO204*0.015)) +1,(((AQ204*24*60)/2)*(1+POWER((((AR204*24*60) / (AQ204*24*60 ))),2)))),""),"")</f>
        <v/>
      </c>
      <c r="AU204" s="90">
        <f>IF(AND(AS204&lt;&gt;"",AP204&lt;&gt;""),IF(AE204&lt;&gt;AE205,((AP204*24*60) / 2 ) * (1 + POWER(((AS204*24*60) / (AP204*24*60)),2)),""),"")</f>
        <v/>
      </c>
      <c r="AV204" s="90">
        <f>IF(AU204&lt;&gt;"",MAX(AT204,AU204),"")</f>
        <v/>
      </c>
      <c r="AW204" s="89">
        <f>IF(AM204&lt;&gt;"H. Sale Real",IF(AND(AM205&lt;&gt;"",LEFT(AG205,2)&lt;&gt;"Va"),IF(AND(AM204&lt;&gt;"",LEFT(AG204,2)&lt;&gt;"Va",AM204&lt;&gt;"H. Sale Real"),IF(AM205-AM204&lt;0.208333333333333,AM205-AM204,""),IF(AND(AM203&lt;&gt;"",LEFT(AG203,2)&lt;&gt;"Va",AM203&lt;&gt;"H. Sale Real"),IF(AM205-AM203&lt;0.208333333333333,AM205-AM203,""),IF(AND(AM202&lt;&gt;"",LEFT(AG202,2)&lt;&gt;"Va",AM202&lt;&gt;"H. Sale Real"),IF(AM205-AM202&lt;0.208333333333333,AM205-AM202,""),IF(AND(AM201&lt;&gt;"",LEFT(AG201,2)&lt;&gt;"Va",AM201&lt;&gt;"H. Sale Real"),IF(AM205-AM201&lt;0.208333333333333,AM205-AM201,""),IF(AND(AM200&lt;&gt;"",LEFT(AG200,2)&lt;&gt;"Va",AM200&lt;&gt;"H. Sale Real"),IF(AM205-AM200&lt;0.208333333333333,AM205-AM200,""),""))))),""),"")</f>
        <v/>
      </c>
      <c r="AX204" s="89">
        <f>IF(AK204&lt;&gt;"H. Sale Real",IF(AND(AK205&lt;&gt;"",LEFT(AG205,2)&lt;&gt;"Va"),IF(AND(AK204&lt;&gt;"",LEFT(AG204,2)&lt;&gt;"Va",AK204&lt;&gt;"H. Sale Real"),IF(AK205-AK204&lt;0.208333333333333,AK205-AK204,""),IF(AND(AK203&lt;&gt;"",LEFT(AG203,2)&lt;&gt;"Va",AK203&lt;&gt;"H. Sale Real"),IF(AK205-AK203&lt;0.208333333333333,AK205-AK203,""),IF(AND(AK202&lt;&gt;"",LEFT(AG202,2)&lt;&gt;"NC",AK202&lt;&gt;"H. Sale Real"),IF(AK205-AK202&lt;0.208333333333333,AK205-AK202,""),IF(AND(AK201&lt;&gt;"",LEFT(AG201,2)&lt;&gt;"Va",AK201&lt;&gt;"H. Sale Real"),IF(AK205-AK201&lt;0.208333333333333,AK205-AK201,""),IF(AND(AK200&lt;&gt;"",LEFT(AG200,2)&lt;&gt;"Va",AK200&lt;&gt;"H. Sale Real"),IF(AK205-AK200&lt;0.208333333333333,AK205-AK200,""),""))))),""),"")</f>
        <v/>
      </c>
      <c r="AY204" s="87" t="n"/>
      <c r="AZ204" s="89" t="n"/>
      <c r="BA204" s="87" t="n"/>
      <c r="BB204" s="89" t="n"/>
      <c r="BC204" s="91" t="n"/>
      <c r="BD204" s="122">
        <f>IF(AK204&lt;&gt;"",IF(AND(BD203&lt;&gt;"IE",AT204&lt;&gt;0,AV204&lt;&gt;""),IF(IFERROR((AT204/AV204),0) &lt;=1,IFERROR(AT204/AV204,""),1),""),"")</f>
        <v/>
      </c>
      <c r="BE204" s="93" t="n"/>
      <c r="BF204" s="105" t="n"/>
      <c r="FC204" t="inlineStr">
        <is>
          <t>Diccionario 1</t>
        </is>
      </c>
      <c r="FD204" s="15" t="n">
        <v>1192</v>
      </c>
      <c r="FE204" s="15" t="inlineStr">
        <is>
          <t>YV3T7U523LA201904</t>
        </is>
      </c>
      <c r="FF204" s="15" t="n">
        <v>509572</v>
      </c>
      <c r="FG204" s="15" t="inlineStr">
        <is>
          <t>Volvo</t>
        </is>
      </c>
      <c r="FH204" s="15" t="inlineStr">
        <is>
          <t>B8RLEA</t>
        </is>
      </c>
      <c r="FI204" s="15" t="inlineStr">
        <is>
          <t>MARCOPOLO</t>
        </is>
      </c>
      <c r="FJ204" s="15" t="inlineStr">
        <is>
          <t>GRAN VIALE</t>
        </is>
      </c>
      <c r="FK204" s="15" t="n">
        <v>2020</v>
      </c>
      <c r="FL204" s="15" t="inlineStr">
        <is>
          <t>C</t>
        </is>
      </c>
      <c r="FM204" s="15" t="inlineStr">
        <is>
          <t>PIE ANDINO</t>
        </is>
      </c>
      <c r="FN204" s="15" t="inlineStr">
        <is>
          <t>Pie Andino 31 (Pie Andino 383)</t>
        </is>
      </c>
      <c r="FO204" s="15" t="inlineStr">
        <is>
          <t>Puente Alto</t>
        </is>
      </c>
      <c r="FP204" t="inlineStr">
        <is>
          <t>C</t>
        </is>
      </c>
      <c r="FS204" s="14" t="inlineStr">
        <is>
          <t>3049 / SFWZ-13|</t>
        </is>
      </c>
      <c r="FT204" t="inlineStr">
        <is>
          <t>SFWZ-13|</t>
        </is>
      </c>
      <c r="FU204" t="inlineStr">
        <is>
          <t>SFWZ-13</t>
        </is>
      </c>
      <c r="FV204">
        <f>VLOOKUP(FU204,FD:FL,9,0)</f>
        <v/>
      </c>
      <c r="HB204" s="35" t="n">
        <v>198</v>
      </c>
    </row>
    <row r="205" ht="15.5" customHeight="1">
      <c r="A205" s="10">
        <f>HOUR(G205)+1</f>
        <v/>
      </c>
      <c r="B205" s="7" t="n"/>
      <c r="C205" s="7" t="n"/>
      <c r="D205" s="85">
        <f>IFERROR(
IF(AND(OR(Planilla!B205="C",Planilla!B205="c"), VLOOKUP(E205,FD:FP,13,0)="C"), "OK",IF(AND(OR(Planilla!B205="C",Planilla!B205="c"), OR(VLOOKUP(E205,FD:FP,13,0)="B", VLOOKUP(E205,FD:FP,13,0)="A")), "DEFICIT",IF(
AND(OR(Planilla!B205="B", Planilla!B205="BPAL"), VLOOKUP(E205,FD:FP,13,0)="B"), "OK",IF(AND(OR(Planilla!B205="B", Planilla!B205="BPAL"), VLOOKUP(E205,FD:FP,13,0)="A"), "DEFICIT",IF(AND(OR(Planilla!B205="B", Planilla!B205="BPAL"), VLOOKUP(E205,FD:FP,13,0)="C"), "SOBREOFERTA",IF(AND(Planilla!B205="A", VLOOKUP(E205,FD:FP,13,0)="A"), "OK",IF(
AND(Planilla!B205="A", OR(VLOOKUP(E205,FD:FP,13,0)="B", VLOOKUP(E205,FD:FP,13,0)="C")), "SOBREOFERTA",""
))))))),"")</f>
        <v/>
      </c>
      <c r="E205" s="8" t="n"/>
      <c r="F205" s="86" t="n"/>
      <c r="G205" s="87" t="n"/>
      <c r="H205" s="88">
        <f>IF(I205="","",IF(AND((I205-G205)&gt;=TIME(0,0,0),(I205-G205)&lt;TIME(0,3,0)),"OK",IF(AND((I205-G205)&gt;=TIME(0,3,0),(I205-G205)&lt;TIME(0,5,0)),"RETRASO DE 3-5 MIN",IF(AND((I205-G205)&gt;=TIME(0,5,0),(I205-G205)&lt;TIME(0,10,0)),"RETRASO DE 5-10 MIN",IF((I205-G205)&gt;=TIME(0,10,0),"RETRASO &gt;10 MIN", IF(AND((G205-I205)&gt;=TIME(0,0,0),(G205-I205)&lt;TIME(0,3,0)),"OK",IF((G205-I205)&gt;=TIME(0,3,0),"ADELANTADO")))))))</f>
        <v/>
      </c>
      <c r="I205" s="89" t="n"/>
      <c r="J205" s="89">
        <f>IF(A205&lt;&gt;"",HLOOKUP(VALUE(TEXT(G205,"h:mm:ss")),IF($C$6="Laboral",$FZ$4:$GX$227,IF($C$6="Sábado",$FZ$231:$GX$452,$FZ$456:$GX$656)),VLOOKUP($C$4,$HF$2:$HH$99,3,0)+IF(C$5="Ida",0,1),1),"")</f>
        <v/>
      </c>
      <c r="K205" s="89">
        <f>IF(A206&lt;&gt;A205,AVERAGEIF(A$9:A205,A205,J$9:J205),"")</f>
        <v/>
      </c>
      <c r="L205" s="89">
        <f>IFERROR(IF(A206&lt;&gt;A205,AVERAGEIF(A$9:A205,A205,S$9:S205),""),"")</f>
        <v/>
      </c>
      <c r="M205" s="89">
        <f>IFERROR(IF(A206&lt;&gt;A205,AVERAGEIF(A$9:A205,A205,T$9:T205),""),"")</f>
        <v/>
      </c>
      <c r="N205" s="89">
        <f t="array" ref="N205">IFERROR(IF(A206&lt;&gt;A205,_xlfn.STDEV.P(IF(A$9:A205=A205,T$9:T205)),""),"")</f>
        <v/>
      </c>
      <c r="O205" s="89">
        <f t="array" ref="O205">IFERROR(IF(A206&lt;&gt;A205,_xlfn.STDEV.P(IF(A$9:A205=A205,S$9:S205)),""),"")</f>
        <v/>
      </c>
      <c r="P205" s="90">
        <f>IFERROR(IF(A205&lt;&gt;A206,MAX((((M205*24*60)/2)*(1+POWER((((N205*24*60) / (M205*24*60) )),2))) + ((M205*24*60 )*-0.1 + (K205*0.015)) +1,(((M205*24*60)/2)*(1+POWER((((N205*24*60) / (M205*24*60 ))),2)))),""),"")</f>
        <v/>
      </c>
      <c r="Q205" s="90">
        <f>IF(AND(O205&lt;&gt;"",L205&lt;&gt;""),IF(A205&lt;&gt;A206,((L205*24*60) / 2 ) * (1 + POWER(((O205*24*60) / (L205*24*60)),2)),""),"")</f>
        <v/>
      </c>
      <c r="R205" s="90">
        <f>IF(Q205&lt;&gt;"",MAX(P205,Q205),"")</f>
        <v/>
      </c>
      <c r="S205" s="89">
        <f>IF(I205&lt;&gt;"H. Sale Real",IF(AND(I206&lt;&gt;"",LEFT(C206,2)&lt;&gt;"Va"),IF(AND(I205&lt;&gt;"",LEFT(C205,2)&lt;&gt;"Va",I205&lt;&gt;"H. Sale Real"),IF(I206-I205&lt;0.208333333333333,I206-I205,""),IF(AND(I204&lt;&gt;"",LEFT(C204,2)&lt;&gt;"Va",I204&lt;&gt;"H. Sale Real"),IF(I206-I204&lt;0.208333333333333,I206-I204,""),IF(AND(I203&lt;&gt;"",LEFT(C203,2)&lt;&gt;"Va",I203&lt;&gt;"H. Sale Real"),IF(I206-I203&lt;0.208333333333333,I206-I203,""),IF(AND(I202&lt;&gt;"",LEFT(C202,2)&lt;&gt;"Va",I202&lt;&gt;"H. Sale Real"),IF(I206-I202&lt;0.208333333333333,I206-I202,""),IF(AND(I201&lt;&gt;"",LEFT(C201,2)&lt;&gt;"Va",I201&lt;&gt;"H. Sale Real"),IF(I206-I201&lt;0.208333333333333,I206-I201,""),""))))),""),"")</f>
        <v/>
      </c>
      <c r="T205" s="89">
        <f>IF(G205&lt;&gt;"H. Sale Real",IF(AND(G206&lt;&gt;"",LEFT(C206,2)&lt;&gt;"Va"),IF(AND(G205&lt;&gt;"",LEFT(C205,2)&lt;&gt;"Va",G205&lt;&gt;"H. Sale Real"),IF(G206-G205&lt;0.208333333333333,G206-G205,""),IF(AND(G204&lt;&gt;"",LEFT(C204,2)&lt;&gt;"Va",G204&lt;&gt;"H. Sale Real"),IF(G206-G204&lt;0.208333333333333,G206-G204,""),IF(AND(G203&lt;&gt;"",LEFT(C203,2)&lt;&gt;"Va",G203&lt;&gt;"H. Sale Real"),IF(G206-G203&lt;0.208333333333333,G206-G203,""),IF(AND(G202&lt;&gt;"",LEFT(C202,2)&lt;&gt;"Va",G202&lt;&gt;"H. Sale Real"),IF(G206-G202&lt;0.208333333333333,G206-G202,""),IF(AND(G201&lt;&gt;"",LEFT(C201,2)&lt;&gt;"Va",G201&lt;&gt;"H. Sale Real"),IF(G206-G201&lt;0.208333333333333,G206-G201,""),""))))),""),"")</f>
        <v/>
      </c>
      <c r="U205" s="87" t="n"/>
      <c r="V205" s="89" t="n"/>
      <c r="W205" s="87" t="n"/>
      <c r="X205" s="89" t="n"/>
      <c r="Y205" s="91" t="n"/>
      <c r="Z205" s="122">
        <f>IF(G205&lt;&gt;"",IF(AND(Z204&lt;&gt;"IE",P205&lt;&gt;0,R205&lt;&gt;""),IF(IFERROR((P205/R205),0) &lt;=1,IFERROR(P205/R205,""),1),""),"")</f>
        <v/>
      </c>
      <c r="AA205" s="93" t="n"/>
      <c r="AB205" s="2" t="n"/>
      <c r="AE205" s="10">
        <f>HOUR(AK205)+1</f>
        <v/>
      </c>
      <c r="AF205" s="7" t="n"/>
      <c r="AG205" s="7" t="n"/>
      <c r="AH205" s="86" t="n"/>
      <c r="AI205" s="8" t="n"/>
      <c r="AJ205" s="86" t="n"/>
      <c r="AK205" s="87" t="n"/>
      <c r="AL205" s="88">
        <f>IF(AM205="","",IF(AND((AM205-AK205)&gt;=TIME(0,0,0),(AM205-AK205)&lt;TIME(0,3,0)),"OK",IF(AND((AM205-AK205)&gt;=TIME(0,3,0),(AM205-AK205)&lt;TIME(0,5,0)),"RETRASO DE 3-5 MIN",IF(AND((AM205-AK205)&gt;=TIME(0,5,0),(AM205-AK205)&lt;TIME(0,10,0)),"RETRASO DE 5-10 MIN",IF((AM205-AK205)&gt;=TIME(0,10,0),"RETRASO &gt;10 MIN", IF(AND((AK205-AM205)&gt;=TIME(0,0,0),(AK205-AM205)&lt;TIME(0,3,0)),"OK",IF((AK205-AM205)&gt;=TIME(0,3,0),"ADELANTADO")))))))</f>
        <v/>
      </c>
      <c r="AM205" s="91" t="n"/>
      <c r="AN205" s="89">
        <f>IF(AE205&lt;&gt;"",HLOOKUP(VALUE(TEXT(AK205,"h:mm:ss")),IF($C$6="Laboral",$FZ$4:$GX$227,IF($C$6="Sábado",$FZ$231:$GX$452,$FZ$456:$GX$656)),VLOOKUP($C$4,$HF$2:$HH$99,3,0)+IF(AG$5="Ida",0,1),1),"")</f>
        <v/>
      </c>
      <c r="AO205" s="89">
        <f>IF(AE206&lt;&gt;AE205,AVERAGEIF(AE$9:AE205,AE205,AN$9:AN205),"")</f>
        <v/>
      </c>
      <c r="AP205" s="89">
        <f>IFERROR(IF(AE206&lt;&gt;AE205,AVERAGEIF(AE$9:AE205,AE205,AW$9:AW205),""),"")</f>
        <v/>
      </c>
      <c r="AQ205" s="89">
        <f>IFERROR(IF(AE206&lt;&gt;AE205,AVERAGEIF(AE$9:AE205,AE205,AX$9:AX205),""),"")</f>
        <v/>
      </c>
      <c r="AR205" s="89">
        <f t="array" ref="AR205">IFERROR(IF(AE206&lt;&gt;AE205,_xlfn.STDEV.P(IF(AE$9:AE205=AE205,AX$9:AX205)),""),"")</f>
        <v/>
      </c>
      <c r="AS205" s="89">
        <f t="array" ref="AS205">IFERROR(IF(AE206&lt;&gt;AE205,_xlfn.STDEV.P(IF(AE$9:AE205=AE205,AW$9:AW205)),""),"")</f>
        <v/>
      </c>
      <c r="AT205" s="90">
        <f>IFERROR(IF(AE205&lt;&gt;AE206,MAX((((AQ205*24*60)/2)*(1+POWER((((AR205*24*60) / (AQ205*24*60) )),2))) + ((AQ205*24*60 )*-0.1 + (AO205*0.015)) +1,(((AQ205*24*60)/2)*(1+POWER((((AR205*24*60) / (AQ205*24*60 ))),2)))),""),"")</f>
        <v/>
      </c>
      <c r="AU205" s="90">
        <f>IF(AND(AS205&lt;&gt;"",AP205&lt;&gt;""),IF(AE205&lt;&gt;AE206,((AP205*24*60) / 2 ) * (1 + POWER(((AS205*24*60) / (AP205*24*60)),2)),""),"")</f>
        <v/>
      </c>
      <c r="AV205" s="90">
        <f>IF(AU205&lt;&gt;"",MAX(AT205,AU205),"")</f>
        <v/>
      </c>
      <c r="AW205" s="89">
        <f>IF(AM205&lt;&gt;"H. Sale Real",IF(AND(AM206&lt;&gt;"",LEFT(AG206,2)&lt;&gt;"Va"),IF(AND(AM205&lt;&gt;"",LEFT(AG205,2)&lt;&gt;"Va",AM205&lt;&gt;"H. Sale Real"),IF(AM206-AM205&lt;0.208333333333333,AM206-AM205,""),IF(AND(AM204&lt;&gt;"",LEFT(AG204,2)&lt;&gt;"Va",AM204&lt;&gt;"H. Sale Real"),IF(AM206-AM204&lt;0.208333333333333,AM206-AM204,""),IF(AND(AM203&lt;&gt;"",LEFT(AG203,2)&lt;&gt;"Va",AM203&lt;&gt;"H. Sale Real"),IF(AM206-AM203&lt;0.208333333333333,AM206-AM203,""),IF(AND(AM202&lt;&gt;"",LEFT(AG202,2)&lt;&gt;"Va",AM202&lt;&gt;"H. Sale Real"),IF(AM206-AM202&lt;0.208333333333333,AM206-AM202,""),IF(AND(AM201&lt;&gt;"",LEFT(AG201,2)&lt;&gt;"Va",AM201&lt;&gt;"H. Sale Real"),IF(AM206-AM201&lt;0.208333333333333,AM206-AM201,""),""))))),""),"")</f>
        <v/>
      </c>
      <c r="AX205" s="89">
        <f>IF(AK205&lt;&gt;"H. Sale Real",IF(AND(AK206&lt;&gt;"",LEFT(AG206,2)&lt;&gt;"Va"),IF(AND(AK205&lt;&gt;"",LEFT(AG205,2)&lt;&gt;"Va",AK205&lt;&gt;"H. Sale Real"),IF(AK206-AK205&lt;0.208333333333333,AK206-AK205,""),IF(AND(AK204&lt;&gt;"",LEFT(AG204,2)&lt;&gt;"Va",AK204&lt;&gt;"H. Sale Real"),IF(AK206-AK204&lt;0.208333333333333,AK206-AK204,""),IF(AND(AK203&lt;&gt;"",LEFT(AG203,2)&lt;&gt;"NC",AK203&lt;&gt;"H. Sale Real"),IF(AK206-AK203&lt;0.208333333333333,AK206-AK203,""),IF(AND(AK202&lt;&gt;"",LEFT(AG202,2)&lt;&gt;"Va",AK202&lt;&gt;"H. Sale Real"),IF(AK206-AK202&lt;0.208333333333333,AK206-AK202,""),IF(AND(AK201&lt;&gt;"",LEFT(AG201,2)&lt;&gt;"Va",AK201&lt;&gt;"H. Sale Real"),IF(AK206-AK201&lt;0.208333333333333,AK206-AK201,""),""))))),""),"")</f>
        <v/>
      </c>
      <c r="AY205" s="87" t="n"/>
      <c r="AZ205" s="89" t="n"/>
      <c r="BA205" s="87" t="n"/>
      <c r="BB205" s="89" t="n"/>
      <c r="BC205" s="91" t="n"/>
      <c r="BD205" s="122">
        <f>IF(AK205&lt;&gt;"",IF(AND(BD204&lt;&gt;"IE",AT205&lt;&gt;0,AV205&lt;&gt;""),IF(IFERROR((AT205/AV205),0) &lt;=1,IFERROR(AT205/AV205,""),1),""),"")</f>
        <v/>
      </c>
      <c r="BE205" s="93" t="n"/>
      <c r="BF205" s="105" t="n"/>
      <c r="FC205" t="inlineStr">
        <is>
          <t>Diccionario 1</t>
        </is>
      </c>
      <c r="FD205" s="15" t="n">
        <v>1193</v>
      </c>
      <c r="FE205" s="15" t="inlineStr">
        <is>
          <t>YV3T7U525LA201712</t>
        </is>
      </c>
      <c r="FF205" s="15" t="n">
        <v>508475</v>
      </c>
      <c r="FG205" s="15" t="inlineStr">
        <is>
          <t>Volvo</t>
        </is>
      </c>
      <c r="FH205" s="15" t="inlineStr">
        <is>
          <t>B8RLEA</t>
        </is>
      </c>
      <c r="FI205" s="15" t="inlineStr">
        <is>
          <t>MARCOPOLO</t>
        </is>
      </c>
      <c r="FJ205" s="15" t="inlineStr">
        <is>
          <t>GRAN VIALE</t>
        </is>
      </c>
      <c r="FK205" s="15" t="n">
        <v>2020</v>
      </c>
      <c r="FL205" s="15" t="inlineStr">
        <is>
          <t>C</t>
        </is>
      </c>
      <c r="FM205" s="15" t="inlineStr">
        <is>
          <t>PIE ANDINO</t>
        </is>
      </c>
      <c r="FN205" s="15" t="inlineStr">
        <is>
          <t>Pie Andino 31 (Pie Andino 383)</t>
        </is>
      </c>
      <c r="FO205" s="15" t="inlineStr">
        <is>
          <t>Puente Alto</t>
        </is>
      </c>
      <c r="FP205" t="inlineStr">
        <is>
          <t>C</t>
        </is>
      </c>
      <c r="FS205" s="14" t="inlineStr">
        <is>
          <t>3050 / SFWB-82|</t>
        </is>
      </c>
      <c r="FT205" t="inlineStr">
        <is>
          <t>SFWB-82|</t>
        </is>
      </c>
      <c r="FU205" t="inlineStr">
        <is>
          <t>SFWB-82</t>
        </is>
      </c>
      <c r="FV205">
        <f>VLOOKUP(FU205,FD:FL,9,0)</f>
        <v/>
      </c>
      <c r="HB205" s="35" t="n">
        <v>199</v>
      </c>
    </row>
    <row r="206" ht="15.5" customHeight="1">
      <c r="A206" s="10">
        <f>HOUR(G206)+1</f>
        <v/>
      </c>
      <c r="B206" s="7" t="n"/>
      <c r="C206" s="7" t="n"/>
      <c r="D206" s="85">
        <f>IFERROR(
IF(AND(OR(Planilla!B206="C",Planilla!B206="c"), VLOOKUP(E206,FD:FP,13,0)="C"), "OK",IF(AND(OR(Planilla!B206="C",Planilla!B206="c"), OR(VLOOKUP(E206,FD:FP,13,0)="B", VLOOKUP(E206,FD:FP,13,0)="A")), "DEFICIT",IF(
AND(OR(Planilla!B206="B", Planilla!B206="BPAL"), VLOOKUP(E206,FD:FP,13,0)="B"), "OK",IF(AND(OR(Planilla!B206="B", Planilla!B206="BPAL"), VLOOKUP(E206,FD:FP,13,0)="A"), "DEFICIT",IF(AND(OR(Planilla!B206="B", Planilla!B206="BPAL"), VLOOKUP(E206,FD:FP,13,0)="C"), "SOBREOFERTA",IF(AND(Planilla!B206="A", VLOOKUP(E206,FD:FP,13,0)="A"), "OK",IF(
AND(Planilla!B206="A", OR(VLOOKUP(E206,FD:FP,13,0)="B", VLOOKUP(E206,FD:FP,13,0)="C")), "SOBREOFERTA",""
))))))),"")</f>
        <v/>
      </c>
      <c r="E206" s="8" t="n"/>
      <c r="F206" s="86" t="n"/>
      <c r="G206" s="87" t="n"/>
      <c r="H206" s="88">
        <f>IF(I206="","",IF(AND((I206-G206)&gt;=TIME(0,0,0),(I206-G206)&lt;TIME(0,3,0)),"OK",IF(AND((I206-G206)&gt;=TIME(0,3,0),(I206-G206)&lt;TIME(0,5,0)),"RETRASO DE 3-5 MIN",IF(AND((I206-G206)&gt;=TIME(0,5,0),(I206-G206)&lt;TIME(0,10,0)),"RETRASO DE 5-10 MIN",IF((I206-G206)&gt;=TIME(0,10,0),"RETRASO &gt;10 MIN",         IF(AND((G206-I206)&gt;=TIME(0,0,0),(G206-I206)&lt;TIME(0,3,0)),"OK",IF((G206-I206)&gt;=TIME(0,3,0),"ADELANTADO")))))))</f>
        <v/>
      </c>
      <c r="I206" s="89" t="n"/>
      <c r="J206" s="89">
        <f>IF(A206&lt;&gt;"",HLOOKUP(VALUE(TEXT(G206,"h:mm:ss")),IF($C$6="Laboral",$FZ$4:$GX$227,IF($C$6="Sábado",$FZ$231:$GX$452,$FZ$456:$GX$656)),VLOOKUP($C$4,$HF$2:$HH$99,3,0)+IF(C$5="Ida",0,1),1),"")</f>
        <v/>
      </c>
      <c r="K206" s="89">
        <f>IF(A207&lt;&gt;A206,AVERAGEIF(A$9:A206,A206,J$9:J206),"")</f>
        <v/>
      </c>
      <c r="L206" s="89">
        <f>IFERROR(IF(A207&lt;&gt;A206,AVERAGEIF(A$9:A206,A206,S$9:S206),""),"")</f>
        <v/>
      </c>
      <c r="M206" s="89">
        <f>IFERROR(IF(A207&lt;&gt;A206,AVERAGEIF(A$9:A206,A206,T$9:T206),""),"")</f>
        <v/>
      </c>
      <c r="N206" s="89">
        <f t="array" ref="N206">IFERROR(IF(A207&lt;&gt;A206,_xlfn.STDEV.P(IF(A$9:A206=A206,T$9:T206)),""),"")</f>
        <v/>
      </c>
      <c r="O206" s="89">
        <f t="array" ref="O206">IFERROR(IF(A207&lt;&gt;A206,_xlfn.STDEV.P(IF(A$9:A206=A206,S$9:S206)),""),"")</f>
        <v/>
      </c>
      <c r="P206" s="90">
        <f>IFERROR(IF(A206&lt;&gt;A207,MAX((((M206*24*60)/2)*(1+POWER((((N206*24*60) / (M206*24*60) )),2))) + ((M206*24*60 )*-0.1 + (K206*0.015)) +1,(((M206*24*60)/2)*(1+POWER((((N206*24*60) / (M206*24*60 ))),2)))),""),"")</f>
        <v/>
      </c>
      <c r="Q206" s="90">
        <f>IF(AND(O206&lt;&gt;"",L206&lt;&gt;""),IF(A206&lt;&gt;A207,((L206*24*60) / 2 ) * (1 + POWER(((O206*24*60) / (L206*24*60)),2)),""),"")</f>
        <v/>
      </c>
      <c r="R206" s="90">
        <f>IF(Q206&lt;&gt;"",MAX(P206,Q206),"")</f>
        <v/>
      </c>
      <c r="S206" s="89">
        <f>IF(I206&lt;&gt;"H. Sale Real",IF(AND(I207&lt;&gt;"",LEFT(C207,2)&lt;&gt;"Va"),IF(AND(I206&lt;&gt;"",LEFT(C206,2)&lt;&gt;"Va",I206&lt;&gt;"H. Sale Real"),IF(I207-I206&lt;0.208333333333333,I207-I206,""),IF(AND(I205&lt;&gt;"",LEFT(C205,2)&lt;&gt;"Va",I205&lt;&gt;"H. Sale Real"),IF(I207-I205&lt;0.208333333333333,I207-I205,""),IF(AND(I204&lt;&gt;"",LEFT(C204,2)&lt;&gt;"Va",I204&lt;&gt;"H. Sale Real"),IF(I207-I204&lt;0.208333333333333,I207-I204,""),IF(AND(I203&lt;&gt;"",LEFT(C203,2)&lt;&gt;"Va",I203&lt;&gt;"H. Sale Real"),IF(I207-I203&lt;0.208333333333333,I207-I203,""),IF(AND(I202&lt;&gt;"",LEFT(C202,2)&lt;&gt;"Va",I202&lt;&gt;"H. Sale Real"),IF(I207-I202&lt;0.208333333333333,I207-I202,""),""))))),""),"")</f>
        <v/>
      </c>
      <c r="T206" s="89">
        <f>IF(G206&lt;&gt;"H. Sale Real",IF(AND(G207&lt;&gt;"",LEFT(C207,2)&lt;&gt;"Va"),IF(AND(G206&lt;&gt;"",LEFT(C206,2)&lt;&gt;"Va",G206&lt;&gt;"H. Sale Real"),IF(G207-G206&lt;0.208333333333333,G207-G206,""),IF(AND(G205&lt;&gt;"",LEFT(C205,2)&lt;&gt;"Va",G205&lt;&gt;"H. Sale Real"),IF(G207-G205&lt;0.208333333333333,G207-G205,""),IF(AND(G204&lt;&gt;"",LEFT(C204,2)&lt;&gt;"Va",G204&lt;&gt;"H. Sale Real"),IF(G207-G204&lt;0.208333333333333,G207-G204,""),IF(AND(G203&lt;&gt;"",LEFT(C203,2)&lt;&gt;"Va",G203&lt;&gt;"H. Sale Real"),IF(G207-G203&lt;0.208333333333333,G207-G203,""),IF(AND(G202&lt;&gt;"",LEFT(C202,2)&lt;&gt;"Va",G202&lt;&gt;"H. Sale Real"),IF(G207-G202&lt;0.208333333333333,G207-G202,""),""))))),""),"")</f>
        <v/>
      </c>
      <c r="U206" s="87" t="n"/>
      <c r="V206" s="89" t="n"/>
      <c r="W206" s="87" t="n"/>
      <c r="X206" s="89" t="n"/>
      <c r="Y206" s="91" t="n"/>
      <c r="Z206" s="122">
        <f>IF(G206&lt;&gt;"",IF(AND(Z205&lt;&gt;"IE",P206&lt;&gt;0,R206&lt;&gt;""),IF(IFERROR((P206/R206),0) &lt;=1,IFERROR(P206/R206,""),1),""),"")</f>
        <v/>
      </c>
      <c r="AA206" s="93" t="n"/>
      <c r="AB206" s="2" t="n"/>
      <c r="AE206" s="10">
        <f>HOUR(AK206)+1</f>
        <v/>
      </c>
      <c r="AF206" s="7" t="n"/>
      <c r="AG206" s="7" t="n"/>
      <c r="AH206" s="86" t="n"/>
      <c r="AI206" s="8" t="n"/>
      <c r="AJ206" s="86" t="n"/>
      <c r="AK206" s="87" t="n"/>
      <c r="AL206" s="88">
        <f>IF(AM206="","",IF(AND((AM206-AK206)&gt;=TIME(0,0,0),(AM206-AK206)&lt;TIME(0,3,0)),"OK",IF(AND((AM206-AK206)&gt;=TIME(0,3,0),(AM206-AK206)&lt;TIME(0,5,0)),"RETRASO DE 3-5 MIN",IF(AND((AM206-AK206)&gt;=TIME(0,5,0),(AM206-AK206)&lt;TIME(0,10,0)),"RETRASO DE 5-10 MIN",IF((AM206-AK206)&gt;=TIME(0,10,0),"RETRASO &gt;10 MIN",         IF(AND((AK206-AM206)&gt;=TIME(0,0,0),(AK206-AM206)&lt;TIME(0,3,0)),"OK",IF((AK206-AM206)&gt;=TIME(0,3,0),"ADELANTADO")))))))</f>
        <v/>
      </c>
      <c r="AM206" s="91" t="n"/>
      <c r="AN206" s="89">
        <f>IF(AE206&lt;&gt;"",HLOOKUP(VALUE(TEXT(AK206,"h:mm:ss")),IF($C$6="Laboral",$FZ$4:$GX$227,IF($C$6="Sábado",$FZ$231:$GX$452,$FZ$456:$GX$656)),VLOOKUP($C$4,$HF$2:$HH$99,3,0)+IF(AG$5="Ida",0,1),1),"")</f>
        <v/>
      </c>
      <c r="AO206" s="89">
        <f>IF(AE207&lt;&gt;AE206,AVERAGEIF(AE$9:AE206,AE206,AN$9:AN206),"")</f>
        <v/>
      </c>
      <c r="AP206" s="89">
        <f>IFERROR(IF(AE207&lt;&gt;AE206,AVERAGEIF(AE$9:AE206,AE206,AW$9:AW206),""),"")</f>
        <v/>
      </c>
      <c r="AQ206" s="89">
        <f>IFERROR(IF(AE207&lt;&gt;AE206,AVERAGEIF(AE$9:AE206,AE206,AX$9:AX206),""),"")</f>
        <v/>
      </c>
      <c r="AR206" s="89">
        <f t="array" ref="AR206">IFERROR(IF(AE207&lt;&gt;AE206,_xlfn.STDEV.P(IF(AE$9:AE206=AE206,AX$9:AX206)),""),"")</f>
        <v/>
      </c>
      <c r="AS206" s="89">
        <f t="array" ref="AS206">IFERROR(IF(AE207&lt;&gt;AE206,_xlfn.STDEV.P(IF(AE$9:AE206=AE206,AW$9:AW206)),""),"")</f>
        <v/>
      </c>
      <c r="AT206" s="90">
        <f>IFERROR(IF(AE206&lt;&gt;AE207,MAX((((AQ206*24*60)/2)*(1+POWER((((AR206*24*60) / (AQ206*24*60) )),2))) + ((AQ206*24*60 )*-0.1 + (AO206*0.015)) +1,(((AQ206*24*60)/2)*(1+POWER((((AR206*24*60) / (AQ206*24*60 ))),2)))),""),"")</f>
        <v/>
      </c>
      <c r="AU206" s="90">
        <f>IF(AND(AS206&lt;&gt;"",AP206&lt;&gt;""),IF(AE206&lt;&gt;AE207,((AP206*24*60) / 2 ) * (1 + POWER(((AS206*24*60) / (AP206*24*60)),2)),""),"")</f>
        <v/>
      </c>
      <c r="AV206" s="90">
        <f>IF(AU206&lt;&gt;"",MAX(AT206,AU206),"")</f>
        <v/>
      </c>
      <c r="AW206" s="89">
        <f>IF(AM206&lt;&gt;"H. Sale Real",IF(AND(AM207&lt;&gt;"",LEFT(AG207,2)&lt;&gt;"Va"),IF(AND(AM206&lt;&gt;"",LEFT(AG206,2)&lt;&gt;"Va",AM206&lt;&gt;"H. Sale Real"),IF(AM207-AM206&lt;0.208333333333333,AM207-AM206,""),IF(AND(AM205&lt;&gt;"",LEFT(AG205,2)&lt;&gt;"Va",AM205&lt;&gt;"H. Sale Real"),IF(AM207-AM205&lt;0.208333333333333,AM207-AM205,""),IF(AND(AM204&lt;&gt;"",LEFT(AG204,2)&lt;&gt;"Va",AM204&lt;&gt;"H. Sale Real"),IF(AM207-AM204&lt;0.208333333333333,AM207-AM204,""),IF(AND(AM203&lt;&gt;"",LEFT(AG203,2)&lt;&gt;"Va",AM203&lt;&gt;"H. Sale Real"),IF(AM207-AM203&lt;0.208333333333333,AM207-AM203,""),IF(AND(AM202&lt;&gt;"",LEFT(AG202,2)&lt;&gt;"Va",AM202&lt;&gt;"H. Sale Real"),IF(AM207-AM202&lt;0.208333333333333,AM207-AM202,""),""))))),""),"")</f>
        <v/>
      </c>
      <c r="AX206" s="89">
        <f>IF(AK206&lt;&gt;"H. Sale Real",IF(AND(AK207&lt;&gt;"",LEFT(AG207,2)&lt;&gt;"Va"),IF(AND(AK206&lt;&gt;"",LEFT(AG206,2)&lt;&gt;"Va",AK206&lt;&gt;"H. Sale Real"),IF(AK207-AK206&lt;0.208333333333333,AK207-AK206,""),IF(AND(AK205&lt;&gt;"",LEFT(AG205,2)&lt;&gt;"Va",AK205&lt;&gt;"H. Sale Real"),IF(AK207-AK205&lt;0.208333333333333,AK207-AK205,""),IF(AND(AK204&lt;&gt;"",LEFT(AG204,2)&lt;&gt;"NC",AK204&lt;&gt;"H. Sale Real"),IF(AK207-AK204&lt;0.208333333333333,AK207-AK204,""),IF(AND(AK203&lt;&gt;"",LEFT(AG203,2)&lt;&gt;"Va",AK203&lt;&gt;"H. Sale Real"),IF(AK207-AK203&lt;0.208333333333333,AK207-AK203,""),IF(AND(AK202&lt;&gt;"",LEFT(AG202,2)&lt;&gt;"Va",AK202&lt;&gt;"H. Sale Real"),IF(AK207-AK202&lt;0.208333333333333,AK207-AK202,""),""))))),""),"")</f>
        <v/>
      </c>
      <c r="AY206" s="87" t="n"/>
      <c r="AZ206" s="89" t="n"/>
      <c r="BA206" s="87" t="n"/>
      <c r="BB206" s="89" t="n"/>
      <c r="BC206" s="91" t="n"/>
      <c r="BD206" s="122">
        <f>IF(AK206&lt;&gt;"",IF(AND(BD205&lt;&gt;"IE",AT206&lt;&gt;0,AV206&lt;&gt;""),IF(IFERROR((AT206/AV206),0) &lt;=1,IFERROR(AT206/AV206,""),1),""),"")</f>
        <v/>
      </c>
      <c r="BE206" s="93" t="n"/>
      <c r="BF206" s="105" t="n"/>
      <c r="FC206" t="inlineStr">
        <is>
          <t>Diccionario 1</t>
        </is>
      </c>
      <c r="FD206" s="15" t="n">
        <v>1194</v>
      </c>
      <c r="FE206" s="15" t="inlineStr">
        <is>
          <t>YV3T7U526LA201847</t>
        </is>
      </c>
      <c r="FF206" s="15" t="n">
        <v>507974</v>
      </c>
      <c r="FG206" s="15" t="inlineStr">
        <is>
          <t>Volvo</t>
        </is>
      </c>
      <c r="FH206" s="15" t="inlineStr">
        <is>
          <t>B8RLEA</t>
        </is>
      </c>
      <c r="FI206" s="15" t="inlineStr">
        <is>
          <t>MARCOPOLO</t>
        </is>
      </c>
      <c r="FJ206" s="15" t="inlineStr">
        <is>
          <t>GRAN VIALE</t>
        </is>
      </c>
      <c r="FK206" s="15" t="n">
        <v>2020</v>
      </c>
      <c r="FL206" s="15" t="inlineStr">
        <is>
          <t>C</t>
        </is>
      </c>
      <c r="FM206" s="15" t="inlineStr">
        <is>
          <t>PIE ANDINO</t>
        </is>
      </c>
      <c r="FN206" s="15" t="inlineStr">
        <is>
          <t>Pie Andino 31 (Pie Andino 383)</t>
        </is>
      </c>
      <c r="FO206" s="15" t="inlineStr">
        <is>
          <t>Puente Alto</t>
        </is>
      </c>
      <c r="FP206" t="inlineStr">
        <is>
          <t>C</t>
        </is>
      </c>
      <c r="FS206" s="14" t="inlineStr">
        <is>
          <t>3050 / SFWB-82|</t>
        </is>
      </c>
      <c r="FT206" t="inlineStr">
        <is>
          <t>SFWB-82|</t>
        </is>
      </c>
      <c r="FU206" t="inlineStr">
        <is>
          <t>SFWB-82</t>
        </is>
      </c>
      <c r="FV206">
        <f>VLOOKUP(FU206,FD:FL,9,0)</f>
        <v/>
      </c>
      <c r="HB206" s="35" t="n">
        <v>200</v>
      </c>
    </row>
    <row r="207" ht="15.5" customHeight="1">
      <c r="A207" s="10">
        <f>HOUR(G207)+1</f>
        <v/>
      </c>
      <c r="B207" s="7" t="n"/>
      <c r="C207" s="7" t="n"/>
      <c r="D207" s="85">
        <f>IFERROR(
IF(AND(OR(Planilla!B207="C",Planilla!B207="c"), VLOOKUP(E207,FD:FP,13,0)="C"), "OK",IF(AND(OR(Planilla!B207="C",Planilla!B207="c"), OR(VLOOKUP(E207,FD:FP,13,0)="B", VLOOKUP(E207,FD:FP,13,0)="A")), "DEFICIT",IF(
AND(OR(Planilla!B207="B", Planilla!B207="BPAL"), VLOOKUP(E207,FD:FP,13,0)="B"), "OK",IF(AND(OR(Planilla!B207="B", Planilla!B207="BPAL"), VLOOKUP(E207,FD:FP,13,0)="A"), "DEFICIT",IF(AND(OR(Planilla!B207="B", Planilla!B207="BPAL"), VLOOKUP(E207,FD:FP,13,0)="C"), "SOBREOFERTA",IF(AND(Planilla!B207="A", VLOOKUP(E207,FD:FP,13,0)="A"), "OK",IF(
AND(Planilla!B207="A", OR(VLOOKUP(E207,FD:FP,13,0)="B", VLOOKUP(E207,FD:FP,13,0)="C")), "SOBREOFERTA",""
))))))),"")</f>
        <v/>
      </c>
      <c r="E207" s="8" t="n"/>
      <c r="F207" s="86" t="n"/>
      <c r="G207" s="87" t="n"/>
      <c r="H207" s="88">
        <f>IF(I207="","",IF(AND((I207-G207)&gt;=TIME(0,0,0),(I207-G207)&lt;TIME(0,3,0)),"OK",IF(AND((I207-G207)&gt;=TIME(0,3,0),(I207-G207)&lt;TIME(0,5,0)),"RETRASO DE 3-5 MIN",IF(AND((I207-G207)&gt;=TIME(0,5,0),(I207-G207)&lt;TIME(0,10,0)),"RETRASO DE 5-10 MIN",IF((I207-G207)&gt;=TIME(0,10,0),"RETRASO &gt;10 MIN", IF(AND((G207-I207)&gt;=TIME(0,0,0),(G207-I207)&lt;TIME(0,3,0)),"OK",IF((G207-I207)&gt;=TIME(0,3,0),"ADELANTADO")))))))</f>
        <v/>
      </c>
      <c r="I207" s="89" t="n"/>
      <c r="J207" s="89">
        <f>IF(A207&lt;&gt;"",HLOOKUP(VALUE(TEXT(G207,"h:mm:ss")),IF($C$6="Laboral",$FZ$4:$GX$227,IF($C$6="Sábado",$FZ$231:$GX$452,$FZ$456:$GX$656)),VLOOKUP($C$4,$HF$2:$HH$99,3,0)+IF(C$5="Ida",0,1),1),"")</f>
        <v/>
      </c>
      <c r="K207" s="89">
        <f>IF(A208&lt;&gt;A207,AVERAGEIF(A$9:A207,A207,J$9:J207),"")</f>
        <v/>
      </c>
      <c r="L207" s="89">
        <f>IFERROR(IF(A208&lt;&gt;A207,AVERAGEIF(A$9:A207,A207,S$9:S207),""),"")</f>
        <v/>
      </c>
      <c r="M207" s="89">
        <f>IFERROR(IF(A208&lt;&gt;A207,AVERAGEIF(A$9:A207,A207,T$9:T207),""),"")</f>
        <v/>
      </c>
      <c r="N207" s="89">
        <f t="array" ref="N207">IFERROR(IF(A208&lt;&gt;A207,_xlfn.STDEV.P(IF(A$9:A207=A207,T$9:T207)),""),"")</f>
        <v/>
      </c>
      <c r="O207" s="89">
        <f t="array" ref="O207">IFERROR(IF(A208&lt;&gt;A207,_xlfn.STDEV.P(IF(A$9:A207=A207,S$9:S207)),""),"")</f>
        <v/>
      </c>
      <c r="P207" s="90">
        <f>IFERROR(IF(A207&lt;&gt;A208,MAX((((M207*24*60)/2)*(1+POWER((((N207*24*60) / (M207*24*60) )),2))) + ((M207*24*60 )*-0.1 + (K207*0.015)) +1,(((M207*24*60)/2)*(1+POWER((((N207*24*60) / (M207*24*60 ))),2)))),""),"")</f>
        <v/>
      </c>
      <c r="Q207" s="90">
        <f>IF(AND(O207&lt;&gt;"",L207&lt;&gt;""),IF(A207&lt;&gt;A208,((L207*24*60) / 2 ) * (1 + POWER(((O207*24*60) / (L207*24*60)),2)),""),"")</f>
        <v/>
      </c>
      <c r="R207" s="90">
        <f>IF(Q207&lt;&gt;"",MAX(P207,Q207),"")</f>
        <v/>
      </c>
      <c r="S207" s="89">
        <f>IF(I207&lt;&gt;"H. Sale Real",IF(AND(I208&lt;&gt;"",LEFT(C208,2)&lt;&gt;"Va"),IF(AND(I207&lt;&gt;"",LEFT(C207,2)&lt;&gt;"Va",I207&lt;&gt;"H. Sale Real"),IF(I208-I207&lt;0.208333333333333,I208-I207,""),IF(AND(I206&lt;&gt;"",LEFT(C206,2)&lt;&gt;"Va",I206&lt;&gt;"H. Sale Real"),IF(I208-I206&lt;0.208333333333333,I208-I206,""),IF(AND(I205&lt;&gt;"",LEFT(C205,2)&lt;&gt;"Va",I205&lt;&gt;"H. Sale Real"),IF(I208-I205&lt;0.208333333333333,I208-I205,""),IF(AND(I204&lt;&gt;"",LEFT(C204,2)&lt;&gt;"Va",I204&lt;&gt;"H. Sale Real"),IF(I208-I204&lt;0.208333333333333,I208-I204,""),IF(AND(I203&lt;&gt;"",LEFT(C203,2)&lt;&gt;"Va",I203&lt;&gt;"H. Sale Real"),IF(I208-I203&lt;0.208333333333333,I208-I203,""),""))))),""),"")</f>
        <v/>
      </c>
      <c r="T207" s="89">
        <f>IF(G207&lt;&gt;"H. Sale Real",IF(AND(G208&lt;&gt;"",LEFT(C208,2)&lt;&gt;"Va"),IF(AND(G207&lt;&gt;"",LEFT(C207,2)&lt;&gt;"Va",G207&lt;&gt;"H. Sale Real"),IF(G208-G207&lt;0.208333333333333,G208-G207,""),IF(AND(G206&lt;&gt;"",LEFT(C206,2)&lt;&gt;"Va",G206&lt;&gt;"H. Sale Real"),IF(G208-G206&lt;0.208333333333333,G208-G206,""),IF(AND(G205&lt;&gt;"",LEFT(C205,2)&lt;&gt;"Va",G205&lt;&gt;"H. Sale Real"),IF(G208-G205&lt;0.208333333333333,G208-G205,""),IF(AND(G204&lt;&gt;"",LEFT(C204,2)&lt;&gt;"Va",G204&lt;&gt;"H. Sale Real"),IF(G208-G204&lt;0.208333333333333,G208-G204,""),IF(AND(G203&lt;&gt;"",LEFT(C203,2)&lt;&gt;"Va",G203&lt;&gt;"H. Sale Real"),IF(G208-G203&lt;0.208333333333333,G208-G203,""),""))))),""),"")</f>
        <v/>
      </c>
      <c r="U207" s="87" t="n"/>
      <c r="V207" s="89" t="n"/>
      <c r="W207" s="87" t="n"/>
      <c r="X207" s="89" t="n"/>
      <c r="Y207" s="91" t="n"/>
      <c r="Z207" s="122">
        <f>IF(G207&lt;&gt;"",IF(AND(Z206&lt;&gt;"IE",P207&lt;&gt;0,R207&lt;&gt;""),IF(IFERROR((P207/R207),0) &lt;=1,IFERROR(P207/R207,""),1),""),"")</f>
        <v/>
      </c>
      <c r="AA207" s="93" t="n"/>
      <c r="AB207" s="2" t="n"/>
      <c r="AE207" s="10">
        <f>HOUR(AK207)+1</f>
        <v/>
      </c>
      <c r="AF207" s="7" t="n"/>
      <c r="AG207" s="7" t="n"/>
      <c r="AH207" s="86" t="n"/>
      <c r="AI207" s="8" t="n"/>
      <c r="AJ207" s="86" t="n"/>
      <c r="AK207" s="87" t="n"/>
      <c r="AL207" s="88">
        <f>IF(AM207="","",IF(AND((AM207-AK207)&gt;=TIME(0,0,0),(AM207-AK207)&lt;TIME(0,3,0)),"OK",IF(AND((AM207-AK207)&gt;=TIME(0,3,0),(AM207-AK207)&lt;TIME(0,5,0)),"RETRASO DE 3-5 MIN",IF(AND((AM207-AK207)&gt;=TIME(0,5,0),(AM207-AK207)&lt;TIME(0,10,0)),"RETRASO DE 5-10 MIN",IF((AM207-AK207)&gt;=TIME(0,10,0),"RETRASO &gt;10 MIN", IF(AND((AK207-AM207)&gt;=TIME(0,0,0),(AK207-AM207)&lt;TIME(0,3,0)),"OK",IF((AK207-AM207)&gt;=TIME(0,3,0),"ADELANTADO")))))))</f>
        <v/>
      </c>
      <c r="AM207" s="91" t="n"/>
      <c r="AN207" s="89">
        <f>IF(AE207&lt;&gt;"",HLOOKUP(VALUE(TEXT(AK207,"h:mm:ss")),IF($C$6="Laboral",$FZ$4:$GX$227,IF($C$6="Sábado",$FZ$231:$GX$452,$FZ$456:$GX$656)),VLOOKUP($C$4,$HF$2:$HH$99,3,0)+IF(AG$5="Ida",0,1),1),"")</f>
        <v/>
      </c>
      <c r="AO207" s="89">
        <f>IF(AE208&lt;&gt;AE207,AVERAGEIF(AE$9:AE207,AE207,AN$9:AN207),"")</f>
        <v/>
      </c>
      <c r="AP207" s="89">
        <f>IFERROR(IF(AE208&lt;&gt;AE207,AVERAGEIF(AE$9:AE207,AE207,AW$9:AW207),""),"")</f>
        <v/>
      </c>
      <c r="AQ207" s="89">
        <f>IFERROR(IF(AE208&lt;&gt;AE207,AVERAGEIF(AE$9:AE207,AE207,AX$9:AX207),""),"")</f>
        <v/>
      </c>
      <c r="AR207" s="89">
        <f t="array" ref="AR207">IFERROR(IF(AE208&lt;&gt;AE207,_xlfn.STDEV.P(IF(AE$9:AE207=AE207,AX$9:AX207)),""),"")</f>
        <v/>
      </c>
      <c r="AS207" s="89">
        <f t="array" ref="AS207">IFERROR(IF(AE208&lt;&gt;AE207,_xlfn.STDEV.P(IF(AE$9:AE207=AE207,AW$9:AW207)),""),"")</f>
        <v/>
      </c>
      <c r="AT207" s="90">
        <f>IFERROR(IF(AE207&lt;&gt;AE208,MAX((((AQ207*24*60)/2)*(1+POWER((((AR207*24*60) / (AQ207*24*60) )),2))) + ((AQ207*24*60 )*-0.1 + (AO207*0.015)) +1,(((AQ207*24*60)/2)*(1+POWER((((AR207*24*60) / (AQ207*24*60 ))),2)))),""),"")</f>
        <v/>
      </c>
      <c r="AU207" s="90">
        <f>IF(AND(AS207&lt;&gt;"",AP207&lt;&gt;""),IF(AE207&lt;&gt;AE208,((AP207*24*60) / 2 ) * (1 + POWER(((AS207*24*60) / (AP207*24*60)),2)),""),"")</f>
        <v/>
      </c>
      <c r="AV207" s="90">
        <f>IF(AU207&lt;&gt;"",MAX(AT207,AU207),"")</f>
        <v/>
      </c>
      <c r="AW207" s="89">
        <f>IF(AM207&lt;&gt;"H. Sale Real",IF(AND(AM208&lt;&gt;"",LEFT(AG208,2)&lt;&gt;"Va"),IF(AND(AM207&lt;&gt;"",LEFT(AG207,2)&lt;&gt;"Va",AM207&lt;&gt;"H. Sale Real"),IF(AM208-AM207&lt;0.208333333333333,AM208-AM207,""),IF(AND(AM206&lt;&gt;"",LEFT(AG206,2)&lt;&gt;"Va",AM206&lt;&gt;"H. Sale Real"),IF(AM208-AM206&lt;0.208333333333333,AM208-AM206,""),IF(AND(AM205&lt;&gt;"",LEFT(AG205,2)&lt;&gt;"Va",AM205&lt;&gt;"H. Sale Real"),IF(AM208-AM205&lt;0.208333333333333,AM208-AM205,""),IF(AND(AM204&lt;&gt;"",LEFT(AG204,2)&lt;&gt;"Va",AM204&lt;&gt;"H. Sale Real"),IF(AM208-AM204&lt;0.208333333333333,AM208-AM204,""),IF(AND(AM203&lt;&gt;"",LEFT(AG203,2)&lt;&gt;"Va",AM203&lt;&gt;"H. Sale Real"),IF(AM208-AM203&lt;0.208333333333333,AM208-AM203,""),""))))),""),"")</f>
        <v/>
      </c>
      <c r="AX207" s="89">
        <f>IF(AK207&lt;&gt;"H. Sale Real",IF(AND(AK208&lt;&gt;"",LEFT(AG208,2)&lt;&gt;"Va"),IF(AND(AK207&lt;&gt;"",LEFT(AG207,2)&lt;&gt;"Va",AK207&lt;&gt;"H. Sale Real"),IF(AK208-AK207&lt;0.208333333333333,AK208-AK207,""),IF(AND(AK206&lt;&gt;"",LEFT(AG206,2)&lt;&gt;"Va",AK206&lt;&gt;"H. Sale Real"),IF(AK208-AK206&lt;0.208333333333333,AK208-AK206,""),IF(AND(AK205&lt;&gt;"",LEFT(AG205,2)&lt;&gt;"NC",AK205&lt;&gt;"H. Sale Real"),IF(AK208-AK205&lt;0.208333333333333,AK208-AK205,""),IF(AND(AK204&lt;&gt;"",LEFT(AG204,2)&lt;&gt;"Va",AK204&lt;&gt;"H. Sale Real"),IF(AK208-AK204&lt;0.208333333333333,AK208-AK204,""),IF(AND(AK203&lt;&gt;"",LEFT(AG203,2)&lt;&gt;"Va",AK203&lt;&gt;"H. Sale Real"),IF(AK208-AK203&lt;0.208333333333333,AK208-AK203,""),""))))),""),"")</f>
        <v/>
      </c>
      <c r="AY207" s="87" t="n"/>
      <c r="AZ207" s="89" t="n"/>
      <c r="BA207" s="87" t="n"/>
      <c r="BB207" s="89" t="n"/>
      <c r="BC207" s="91" t="n"/>
      <c r="BD207" s="122">
        <f>IF(AK207&lt;&gt;"",IF(AND(BD206&lt;&gt;"IE",AT207&lt;&gt;0,AV207&lt;&gt;""),IF(IFERROR((AT207/AV207),0) &lt;=1,IFERROR(AT207/AV207,""),1),""),"")</f>
        <v/>
      </c>
      <c r="BE207" s="93" t="n"/>
      <c r="BF207" s="105" t="n"/>
      <c r="FC207" t="inlineStr">
        <is>
          <t>Diccionario 1</t>
        </is>
      </c>
      <c r="FD207" s="15" t="n">
        <v>1195</v>
      </c>
      <c r="FE207" s="15" t="inlineStr">
        <is>
          <t>YV3T7U528LA201851</t>
        </is>
      </c>
      <c r="FF207" s="15" t="n">
        <v>508008</v>
      </c>
      <c r="FG207" s="15" t="inlineStr">
        <is>
          <t>Volvo</t>
        </is>
      </c>
      <c r="FH207" s="15" t="inlineStr">
        <is>
          <t>B8RLEA</t>
        </is>
      </c>
      <c r="FI207" s="15" t="inlineStr">
        <is>
          <t>MARCOPOLO</t>
        </is>
      </c>
      <c r="FJ207" s="15" t="inlineStr">
        <is>
          <t>GRAN VIALE</t>
        </is>
      </c>
      <c r="FK207" s="15" t="n">
        <v>2020</v>
      </c>
      <c r="FL207" s="15" t="inlineStr">
        <is>
          <t>C</t>
        </is>
      </c>
      <c r="FM207" s="15" t="inlineStr">
        <is>
          <t>PIE ANDINO</t>
        </is>
      </c>
      <c r="FN207" s="15" t="inlineStr">
        <is>
          <t>Pie Andino 31 (Pie Andino 383)</t>
        </is>
      </c>
      <c r="FO207" s="15" t="inlineStr">
        <is>
          <t>Puente Alto</t>
        </is>
      </c>
      <c r="FP207" t="inlineStr">
        <is>
          <t>C</t>
        </is>
      </c>
      <c r="FS207" s="14" t="inlineStr">
        <is>
          <t>3051 / SFVZ-80|</t>
        </is>
      </c>
      <c r="FT207" t="inlineStr">
        <is>
          <t>SFVZ-80|</t>
        </is>
      </c>
      <c r="FU207" t="inlineStr">
        <is>
          <t>SFVZ-80</t>
        </is>
      </c>
      <c r="FV207">
        <f>VLOOKUP(FU207,FD:FL,9,0)</f>
        <v/>
      </c>
      <c r="HB207" s="35" t="n">
        <v>201</v>
      </c>
    </row>
    <row r="208" ht="15.5" customHeight="1">
      <c r="A208" s="10">
        <f>HOUR(G208)+1</f>
        <v/>
      </c>
      <c r="B208" s="7" t="n"/>
      <c r="C208" s="7" t="n"/>
      <c r="D208" s="85">
        <f>IFERROR(
IF(AND(OR(Planilla!B208="C",Planilla!B208="c"), VLOOKUP(E208,FD:FP,13,0)="C"), "OK",IF(AND(OR(Planilla!B208="C",Planilla!B208="c"), OR(VLOOKUP(E208,FD:FP,13,0)="B", VLOOKUP(E208,FD:FP,13,0)="A")), "DEFICIT",IF(
AND(OR(Planilla!B208="B", Planilla!B208="BPAL"), VLOOKUP(E208,FD:FP,13,0)="B"), "OK",IF(AND(OR(Planilla!B208="B", Planilla!B208="BPAL"), VLOOKUP(E208,FD:FP,13,0)="A"), "DEFICIT",IF(AND(OR(Planilla!B208="B", Planilla!B208="BPAL"), VLOOKUP(E208,FD:FP,13,0)="C"), "SOBREOFERTA",IF(AND(Planilla!B208="A", VLOOKUP(E208,FD:FP,13,0)="A"), "OK",IF(
AND(Planilla!B208="A", OR(VLOOKUP(E208,FD:FP,13,0)="B", VLOOKUP(E208,FD:FP,13,0)="C")), "SOBREOFERTA",""
))))))),"")</f>
        <v/>
      </c>
      <c r="E208" s="8" t="n"/>
      <c r="F208" s="86" t="n"/>
      <c r="G208" s="87" t="n"/>
      <c r="H208" s="88">
        <f>IF(I208="","",IF(AND((I208-G208)&gt;=TIME(0,0,0),(I208-G208)&lt;TIME(0,3,0)),"OK",IF(AND((I208-G208)&gt;=TIME(0,3,0),(I208-G208)&lt;TIME(0,5,0)),"RETRASO DE 3-5 MIN",IF(AND((I208-G208)&gt;=TIME(0,5,0),(I208-G208)&lt;TIME(0,10,0)),"RETRASO DE 5-10 MIN",IF((I208-G208)&gt;=TIME(0,10,0),"RETRASO &gt;10 MIN", IF(AND((G208-I208)&gt;=TIME(0,0,0),(G208-I208)&lt;TIME(0,3,0)),"OK",IF((G208-I208)&gt;=TIME(0,3,0),"ADELANTADO")))))))</f>
        <v/>
      </c>
      <c r="I208" s="89" t="n"/>
      <c r="J208" s="89">
        <f>IF(A208&lt;&gt;"",HLOOKUP(VALUE(TEXT(G208,"h:mm:ss")),IF($C$6="Laboral",$FZ$4:$GX$227,IF($C$6="Sábado",$FZ$231:$GX$452,$FZ$456:$GX$656)),VLOOKUP($C$4,$HF$2:$HH$99,3,0)+IF(C$5="Ida",0,1),1),"")</f>
        <v/>
      </c>
      <c r="K208" s="89">
        <f>IF(A209&lt;&gt;A208,AVERAGEIF(A$9:A208,A208,J$9:J208),"")</f>
        <v/>
      </c>
      <c r="L208" s="89">
        <f>IFERROR(IF(A209&lt;&gt;A208,AVERAGEIF(A$9:A208,A208,S$9:S208),""),"")</f>
        <v/>
      </c>
      <c r="M208" s="89">
        <f>IFERROR(IF(A209&lt;&gt;A208,AVERAGEIF(A$9:A208,A208,T$9:T208),""),"")</f>
        <v/>
      </c>
      <c r="N208" s="89">
        <f t="array" ref="N208">IFERROR(IF(A209&lt;&gt;A208,_xlfn.STDEV.P(IF(A$9:A208=A208,T$9:T208)),""),"")</f>
        <v/>
      </c>
      <c r="O208" s="89">
        <f t="array" ref="O208">IFERROR(IF(A209&lt;&gt;A208,_xlfn.STDEV.P(IF(A$9:A208=A208,S$9:S208)),""),"")</f>
        <v/>
      </c>
      <c r="P208" s="90">
        <f>IFERROR(IF(A208&lt;&gt;A209,MAX((((M208*24*60)/2)*(1+POWER((((N208*24*60) / (M208*24*60) )),2))) + ((M208*24*60 )*-0.1 + (K208*0.015)) +1,(((M208*24*60)/2)*(1+POWER((((N208*24*60) / (M208*24*60 ))),2)))),""),"")</f>
        <v/>
      </c>
      <c r="Q208" s="90">
        <f>IF(AND(O208&lt;&gt;"",L208&lt;&gt;""),IF(A208&lt;&gt;A209,((L208*24*60) / 2 ) * (1 + POWER(((O208*24*60) / (L208*24*60)),2)),""),"")</f>
        <v/>
      </c>
      <c r="R208" s="90">
        <f>IF(Q208&lt;&gt;"",MAX(P208,Q208),"")</f>
        <v/>
      </c>
      <c r="S208" s="89">
        <f>IF(I208&lt;&gt;"H. Sale Real",IF(AND(I209&lt;&gt;"",LEFT(C209,2)&lt;&gt;"Va"),IF(AND(I208&lt;&gt;"",LEFT(C208,2)&lt;&gt;"Va",I208&lt;&gt;"H. Sale Real"),IF(I209-I208&lt;0.208333333333333,I209-I208,""),IF(AND(I207&lt;&gt;"",LEFT(C207,2)&lt;&gt;"Va",I207&lt;&gt;"H. Sale Real"),IF(I209-I207&lt;0.208333333333333,I209-I207,""),IF(AND(I206&lt;&gt;"",LEFT(C206,2)&lt;&gt;"Va",I206&lt;&gt;"H. Sale Real"),IF(I209-I206&lt;0.208333333333333,I209-I206,""),IF(AND(I205&lt;&gt;"",LEFT(C205,2)&lt;&gt;"Va",I205&lt;&gt;"H. Sale Real"),IF(I209-I205&lt;0.208333333333333,I209-I205,""),IF(AND(I204&lt;&gt;"",LEFT(C204,2)&lt;&gt;"Va",I204&lt;&gt;"H. Sale Real"),IF(I209-I204&lt;0.208333333333333,I209-I204,""),""))))),""),"")</f>
        <v/>
      </c>
      <c r="T208" s="89">
        <f>IF(G208&lt;&gt;"H. Sale Real",IF(AND(G209&lt;&gt;"",LEFT(C209,2)&lt;&gt;"Va"),IF(AND(G208&lt;&gt;"",LEFT(C208,2)&lt;&gt;"Va",G208&lt;&gt;"H. Sale Real"),IF(G209-G208&lt;0.208333333333333,G209-G208,""),IF(AND(G207&lt;&gt;"",LEFT(C207,2)&lt;&gt;"Va",G207&lt;&gt;"H. Sale Real"),IF(G209-G207&lt;0.208333333333333,G209-G207,""),IF(AND(G206&lt;&gt;"",LEFT(C206,2)&lt;&gt;"Va",G206&lt;&gt;"H. Sale Real"),IF(G209-G206&lt;0.208333333333333,G209-G206,""),IF(AND(G205&lt;&gt;"",LEFT(C205,2)&lt;&gt;"Va",G205&lt;&gt;"H. Sale Real"),IF(G209-G205&lt;0.208333333333333,G209-G205,""),IF(AND(G204&lt;&gt;"",LEFT(C204,2)&lt;&gt;"Va",G204&lt;&gt;"H. Sale Real"),IF(G209-G204&lt;0.208333333333333,G209-G204,""),""))))),""),"")</f>
        <v/>
      </c>
      <c r="U208" s="87" t="n"/>
      <c r="V208" s="89" t="n"/>
      <c r="W208" s="87" t="n"/>
      <c r="X208" s="89" t="n"/>
      <c r="Y208" s="91" t="n"/>
      <c r="Z208" s="122">
        <f>IF(G208&lt;&gt;"",IF(AND(Z207&lt;&gt;"IE",P208&lt;&gt;0,R208&lt;&gt;""),IF(IFERROR((P208/R208),0) &lt;=1,IFERROR(P208/R208,""),1),""),"")</f>
        <v/>
      </c>
      <c r="AA208" s="93" t="n"/>
      <c r="AB208" s="2" t="n"/>
      <c r="AE208" s="10">
        <f>HOUR(AK208)+1</f>
        <v/>
      </c>
      <c r="AF208" s="7" t="n"/>
      <c r="AG208" s="7" t="n"/>
      <c r="AH208" s="86" t="n"/>
      <c r="AI208" s="8" t="n"/>
      <c r="AJ208" s="86" t="n"/>
      <c r="AK208" s="87" t="n"/>
      <c r="AL208" s="88">
        <f>IF(AM208="","",IF(AND((AM208-AK208)&gt;=TIME(0,0,0),(AM208-AK208)&lt;TIME(0,3,0)),"OK",IF(AND((AM208-AK208)&gt;=TIME(0,3,0),(AM208-AK208)&lt;TIME(0,5,0)),"RETRASO DE 3-5 MIN",IF(AND((AM208-AK208)&gt;=TIME(0,5,0),(AM208-AK208)&lt;TIME(0,10,0)),"RETRASO DE 5-10 MIN",IF((AM208-AK208)&gt;=TIME(0,10,0),"RETRASO &gt;10 MIN", IF(AND((AK208-AM208)&gt;=TIME(0,0,0),(AK208-AM208)&lt;TIME(0,3,0)),"OK",IF((AK208-AM208)&gt;=TIME(0,3,0),"ADELANTADO")))))))</f>
        <v/>
      </c>
      <c r="AM208" s="91" t="n"/>
      <c r="AN208" s="89">
        <f>IF(AE208&lt;&gt;"",HLOOKUP(VALUE(TEXT(AK208,"h:mm:ss")),IF($C$6="Laboral",$FZ$4:$GX$227,IF($C$6="Sábado",$FZ$231:$GX$452,$FZ$456:$GX$656)),VLOOKUP($C$4,$HF$2:$HH$99,3,0)+IF(AG$5="Ida",0,1),1),"")</f>
        <v/>
      </c>
      <c r="AO208" s="89">
        <f>IF(AE209&lt;&gt;AE208,AVERAGEIF(AE$9:AE208,AE208,AN$9:AN208),"")</f>
        <v/>
      </c>
      <c r="AP208" s="89">
        <f>IFERROR(IF(AE209&lt;&gt;AE208,AVERAGEIF(AE$9:AE208,AE208,AW$9:AW208),""),"")</f>
        <v/>
      </c>
      <c r="AQ208" s="89">
        <f>IFERROR(IF(AE209&lt;&gt;AE208,AVERAGEIF(AE$9:AE208,AE208,AX$9:AX208),""),"")</f>
        <v/>
      </c>
      <c r="AR208" s="89">
        <f t="array" ref="AR208">IFERROR(IF(AE209&lt;&gt;AE208,_xlfn.STDEV.P(IF(AE$9:AE208=AE208,AX$9:AX208)),""),"")</f>
        <v/>
      </c>
      <c r="AS208" s="89">
        <f t="array" ref="AS208">IFERROR(IF(AE209&lt;&gt;AE208,_xlfn.STDEV.P(IF(AE$9:AE208=AE208,AW$9:AW208)),""),"")</f>
        <v/>
      </c>
      <c r="AT208" s="90">
        <f>IFERROR(IF(AE208&lt;&gt;AE209,MAX((((AQ208*24*60)/2)*(1+POWER((((AR208*24*60) / (AQ208*24*60) )),2))) + ((AQ208*24*60 )*-0.1 + (AO208*0.015)) +1,(((AQ208*24*60)/2)*(1+POWER((((AR208*24*60) / (AQ208*24*60 ))),2)))),""),"")</f>
        <v/>
      </c>
      <c r="AU208" s="90">
        <f>IF(AND(AS208&lt;&gt;"",AP208&lt;&gt;""),IF(AE208&lt;&gt;AE209,((AP208*24*60) / 2 ) * (1 + POWER(((AS208*24*60) / (AP208*24*60)),2)),""),"")</f>
        <v/>
      </c>
      <c r="AV208" s="90">
        <f>IF(AU208&lt;&gt;"",MAX(AT208,AU208),"")</f>
        <v/>
      </c>
      <c r="AW208" s="89">
        <f>IF(AM208&lt;&gt;"H. Sale Real",IF(AND(AM209&lt;&gt;"",LEFT(AG209,2)&lt;&gt;"Va"),IF(AND(AM208&lt;&gt;"",LEFT(AG208,2)&lt;&gt;"Va",AM208&lt;&gt;"H. Sale Real"),IF(AM209-AM208&lt;0.208333333333333,AM209-AM208,""),IF(AND(AM207&lt;&gt;"",LEFT(AG207,2)&lt;&gt;"Va",AM207&lt;&gt;"H. Sale Real"),IF(AM209-AM207&lt;0.208333333333333,AM209-AM207,""),IF(AND(AM206&lt;&gt;"",LEFT(AG206,2)&lt;&gt;"Va",AM206&lt;&gt;"H. Sale Real"),IF(AM209-AM206&lt;0.208333333333333,AM209-AM206,""),IF(AND(AM205&lt;&gt;"",LEFT(AG205,2)&lt;&gt;"Va",AM205&lt;&gt;"H. Sale Real"),IF(AM209-AM205&lt;0.208333333333333,AM209-AM205,""),IF(AND(AM204&lt;&gt;"",LEFT(AG204,2)&lt;&gt;"Va",AM204&lt;&gt;"H. Sale Real"),IF(AM209-AM204&lt;0.208333333333333,AM209-AM204,""),""))))),""),"")</f>
        <v/>
      </c>
      <c r="AX208" s="89">
        <f>IF(AK208&lt;&gt;"H. Sale Real",IF(AND(AK209&lt;&gt;"",LEFT(AG209,2)&lt;&gt;"Va"),IF(AND(AK208&lt;&gt;"",LEFT(AG208,2)&lt;&gt;"Va",AK208&lt;&gt;"H. Sale Real"),IF(AK209-AK208&lt;0.208333333333333,AK209-AK208,""),IF(AND(AK207&lt;&gt;"",LEFT(AG207,2)&lt;&gt;"Va",AK207&lt;&gt;"H. Sale Real"),IF(AK209-AK207&lt;0.208333333333333,AK209-AK207,""),IF(AND(AK206&lt;&gt;"",LEFT(AG206,2)&lt;&gt;"NC",AK206&lt;&gt;"H. Sale Real"),IF(AK209-AK206&lt;0.208333333333333,AK209-AK206,""),IF(AND(AK205&lt;&gt;"",LEFT(AG205,2)&lt;&gt;"Va",AK205&lt;&gt;"H. Sale Real"),IF(AK209-AK205&lt;0.208333333333333,AK209-AK205,""),IF(AND(AK204&lt;&gt;"",LEFT(AG204,2)&lt;&gt;"Va",AK204&lt;&gt;"H. Sale Real"),IF(AK209-AK204&lt;0.208333333333333,AK209-AK204,""),""))))),""),"")</f>
        <v/>
      </c>
      <c r="AY208" s="87" t="n"/>
      <c r="AZ208" s="89" t="n"/>
      <c r="BA208" s="87" t="n"/>
      <c r="BB208" s="89" t="n"/>
      <c r="BC208" s="91" t="n"/>
      <c r="BD208" s="122">
        <f>IF(AK208&lt;&gt;"",IF(AND(BD207&lt;&gt;"IE",AT208&lt;&gt;0,AV208&lt;&gt;""),IF(IFERROR((AT208/AV208),0) &lt;=1,IFERROR(AT208/AV208,""),1),""),"")</f>
        <v/>
      </c>
      <c r="BE208" s="93" t="n"/>
      <c r="BF208" s="105" t="n"/>
      <c r="FC208" t="inlineStr">
        <is>
          <t>Diccionario 1</t>
        </is>
      </c>
      <c r="FD208" s="15" t="n">
        <v>1196</v>
      </c>
      <c r="FE208" s="15" t="inlineStr">
        <is>
          <t>YV3T7U529LA201499</t>
        </is>
      </c>
      <c r="FF208" s="15" t="n">
        <v>507878</v>
      </c>
      <c r="FG208" s="15" t="inlineStr">
        <is>
          <t>Volvo</t>
        </is>
      </c>
      <c r="FH208" s="15" t="inlineStr">
        <is>
          <t>B8RLEA</t>
        </is>
      </c>
      <c r="FI208" s="15" t="inlineStr">
        <is>
          <t>MARCOPOLO</t>
        </is>
      </c>
      <c r="FJ208" s="15" t="inlineStr">
        <is>
          <t>GRAN VIALE</t>
        </is>
      </c>
      <c r="FK208" s="15" t="n">
        <v>2020</v>
      </c>
      <c r="FL208" s="15" t="inlineStr">
        <is>
          <t>C</t>
        </is>
      </c>
      <c r="FM208" s="15" t="inlineStr">
        <is>
          <t>PIE ANDINO</t>
        </is>
      </c>
      <c r="FN208" s="15" t="inlineStr">
        <is>
          <t>Pie Andino 31 (Pie Andino 383)</t>
        </is>
      </c>
      <c r="FO208" s="15" t="inlineStr">
        <is>
          <t>Puente Alto</t>
        </is>
      </c>
      <c r="FP208" t="inlineStr">
        <is>
          <t>C</t>
        </is>
      </c>
      <c r="FS208" s="14" t="inlineStr">
        <is>
          <t>3052 / SFVZ-86|</t>
        </is>
      </c>
      <c r="FT208" t="inlineStr">
        <is>
          <t>SFVZ-86|</t>
        </is>
      </c>
      <c r="FU208" t="inlineStr">
        <is>
          <t>SFVZ-86</t>
        </is>
      </c>
      <c r="FV208">
        <f>VLOOKUP(FU208,FD:FL,9,0)</f>
        <v/>
      </c>
      <c r="HB208" s="35" t="n">
        <v>202</v>
      </c>
    </row>
    <row r="209" ht="15.5" customHeight="1">
      <c r="A209" s="10">
        <f>HOUR(G209)+1</f>
        <v/>
      </c>
      <c r="B209" s="7" t="n"/>
      <c r="C209" s="7" t="n"/>
      <c r="D209" s="85">
        <f>IFERROR(
IF(AND(OR(Planilla!B209="C",Planilla!B209="c"), VLOOKUP(E209,FD:FP,13,0)="C"), "OK",IF(AND(OR(Planilla!B209="C",Planilla!B209="c"), OR(VLOOKUP(E209,FD:FP,13,0)="B", VLOOKUP(E209,FD:FP,13,0)="A")), "DEFICIT",IF(
AND(OR(Planilla!B209="B", Planilla!B209="BPAL"), VLOOKUP(E209,FD:FP,13,0)="B"), "OK",IF(AND(OR(Planilla!B209="B", Planilla!B209="BPAL"), VLOOKUP(E209,FD:FP,13,0)="A"), "DEFICIT",IF(AND(OR(Planilla!B209="B", Planilla!B209="BPAL"), VLOOKUP(E209,FD:FP,13,0)="C"), "SOBREOFERTA",IF(AND(Planilla!B209="A", VLOOKUP(E209,FD:FP,13,0)="A"), "OK",IF(
AND(Planilla!B209="A", OR(VLOOKUP(E209,FD:FP,13,0)="B", VLOOKUP(E209,FD:FP,13,0)="C")), "SOBREOFERTA",""
))))))),"")</f>
        <v/>
      </c>
      <c r="E209" s="8" t="n"/>
      <c r="F209" s="86" t="n"/>
      <c r="G209" s="87" t="n"/>
      <c r="H209" s="88">
        <f>IF(I209="","",IF(AND((I209-G209)&gt;=TIME(0,0,0),(I209-G209)&lt;TIME(0,3,0)),"OK",IF(AND((I209-G209)&gt;=TIME(0,3,0),(I209-G209)&lt;TIME(0,5,0)),"RETRASO DE 3-5 MIN",IF(AND((I209-G209)&gt;=TIME(0,5,0),(I209-G209)&lt;TIME(0,10,0)),"RETRASO DE 5-10 MIN",IF((I209-G209)&gt;=TIME(0,10,0),"RETRASO &gt;10 MIN", IF(AND((G209-I209)&gt;=TIME(0,0,0),(G209-I209)&lt;TIME(0,3,0)),"OK",IF((G209-I209)&gt;=TIME(0,3,0),"ADELANTADO")))))))</f>
        <v/>
      </c>
      <c r="I209" s="89" t="n"/>
      <c r="J209" s="89">
        <f>IF(A209&lt;&gt;"",HLOOKUP(VALUE(TEXT(G209,"h:mm:ss")),IF($C$6="Laboral",$FZ$4:$GX$227,IF($C$6="Sábado",$FZ$231:$GX$452,$FZ$456:$GX$656)),VLOOKUP($C$4,$HF$2:$HH$99,3,0)+IF(C$5="Ida",0,1),1),"")</f>
        <v/>
      </c>
      <c r="K209" s="89">
        <f>IF(A210&lt;&gt;A209,AVERAGEIF(A$9:A209,A209,J$9:J209),"")</f>
        <v/>
      </c>
      <c r="L209" s="89">
        <f>IFERROR(IF(A210&lt;&gt;A209,AVERAGEIF(A$9:A209,A209,S$9:S209),""),"")</f>
        <v/>
      </c>
      <c r="M209" s="89">
        <f>IFERROR(IF(A210&lt;&gt;A209,AVERAGEIF(A$9:A209,A209,T$9:T209),""),"")</f>
        <v/>
      </c>
      <c r="N209" s="89">
        <f t="array" ref="N209">IFERROR(IF(A210&lt;&gt;A209,_xlfn.STDEV.P(IF(A$9:A209=A209,T$9:T209)),""),"")</f>
        <v/>
      </c>
      <c r="O209" s="89">
        <f t="array" ref="O209">IFERROR(IF(A210&lt;&gt;A209,_xlfn.STDEV.P(IF(A$9:A209=A209,S$9:S209)),""),"")</f>
        <v/>
      </c>
      <c r="P209" s="90">
        <f>IFERROR(IF(A209&lt;&gt;A210,MAX((((M209*24*60)/2)*(1+POWER((((N209*24*60) / (M209*24*60) )),2))) + ((M209*24*60 )*-0.1 + (K209*0.015)) +1,(((M209*24*60)/2)*(1+POWER((((N209*24*60) / (M209*24*60 ))),2)))),""),"")</f>
        <v/>
      </c>
      <c r="Q209" s="90">
        <f>IF(AND(O209&lt;&gt;"",L209&lt;&gt;""),IF(A209&lt;&gt;A210,((L209*24*60) / 2 ) * (1 + POWER(((O209*24*60) / (L209*24*60)),2)),""),"")</f>
        <v/>
      </c>
      <c r="R209" s="90">
        <f>IF(Q209&lt;&gt;"",MAX(P209,Q209),"")</f>
        <v/>
      </c>
      <c r="S209" s="89">
        <f>IF(I209&lt;&gt;"H. Sale Real",IF(AND(I210&lt;&gt;"",LEFT(C210,2)&lt;&gt;"Va"),IF(AND(I209&lt;&gt;"",LEFT(C209,2)&lt;&gt;"Va",I209&lt;&gt;"H. Sale Real"),IF(I210-I209&lt;0.208333333333333,I210-I209,""),IF(AND(I208&lt;&gt;"",LEFT(C208,2)&lt;&gt;"Va",I208&lt;&gt;"H. Sale Real"),IF(I210-I208&lt;0.208333333333333,I210-I208,""),IF(AND(I207&lt;&gt;"",LEFT(C207,2)&lt;&gt;"Va",I207&lt;&gt;"H. Sale Real"),IF(I210-I207&lt;0.208333333333333,I210-I207,""),IF(AND(I206&lt;&gt;"",LEFT(C206,2)&lt;&gt;"Va",I206&lt;&gt;"H. Sale Real"),IF(I210-I206&lt;0.208333333333333,I210-I206,""),IF(AND(I205&lt;&gt;"",LEFT(C205,2)&lt;&gt;"Va",I205&lt;&gt;"H. Sale Real"),IF(I210-I205&lt;0.208333333333333,I210-I205,""),""))))),""),"")</f>
        <v/>
      </c>
      <c r="T209" s="89">
        <f>IF(G209&lt;&gt;"H. Sale Real",IF(AND(G210&lt;&gt;"",LEFT(C210,2)&lt;&gt;"Va"),IF(AND(G209&lt;&gt;"",LEFT(C209,2)&lt;&gt;"Va",G209&lt;&gt;"H. Sale Real"),IF(G210-G209&lt;0.208333333333333,G210-G209,""),IF(AND(G208&lt;&gt;"",LEFT(C208,2)&lt;&gt;"Va",G208&lt;&gt;"H. Sale Real"),IF(G210-G208&lt;0.208333333333333,G210-G208,""),IF(AND(G207&lt;&gt;"",LEFT(C207,2)&lt;&gt;"Va",G207&lt;&gt;"H. Sale Real"),IF(G210-G207&lt;0.208333333333333,G210-G207,""),IF(AND(G206&lt;&gt;"",LEFT(C206,2)&lt;&gt;"Va",G206&lt;&gt;"H. Sale Real"),IF(G210-G206&lt;0.208333333333333,G210-G206,""),IF(AND(G205&lt;&gt;"",LEFT(C205,2)&lt;&gt;"Va",G205&lt;&gt;"H. Sale Real"),IF(G210-G205&lt;0.208333333333333,G210-G205,""),""))))),""),"")</f>
        <v/>
      </c>
      <c r="U209" s="87" t="n"/>
      <c r="V209" s="89" t="n"/>
      <c r="W209" s="87" t="n"/>
      <c r="X209" s="89" t="n"/>
      <c r="Y209" s="91" t="n"/>
      <c r="Z209" s="122">
        <f>IF(G209&lt;&gt;"",IF(AND(Z208&lt;&gt;"IE",P209&lt;&gt;0,R209&lt;&gt;""),IF(IFERROR((P209/R209),0) &lt;=1,IFERROR(P209/R209,""),1),""),"")</f>
        <v/>
      </c>
      <c r="AA209" s="93" t="n"/>
      <c r="AB209" s="2" t="n"/>
      <c r="AE209" s="10">
        <f>HOUR(AK209)+1</f>
        <v/>
      </c>
      <c r="AF209" s="7" t="n"/>
      <c r="AG209" s="7" t="n"/>
      <c r="AH209" s="86" t="n"/>
      <c r="AI209" s="8" t="n"/>
      <c r="AJ209" s="86" t="n"/>
      <c r="AK209" s="87" t="n"/>
      <c r="AL209" s="88">
        <f>IF(AM209="","",IF(AND((AM209-AK209)&gt;=TIME(0,0,0),(AM209-AK209)&lt;TIME(0,3,0)),"OK",IF(AND((AM209-AK209)&gt;=TIME(0,3,0),(AM209-AK209)&lt;TIME(0,5,0)),"RETRASO DE 3-5 MIN",IF(AND((AM209-AK209)&gt;=TIME(0,5,0),(AM209-AK209)&lt;TIME(0,10,0)),"RETRASO DE 5-10 MIN",IF((AM209-AK209)&gt;=TIME(0,10,0),"RETRASO &gt;10 MIN", IF(AND((AK209-AM209)&gt;=TIME(0,0,0),(AK209-AM209)&lt;TIME(0,3,0)),"OK",IF((AK209-AM209)&gt;=TIME(0,3,0),"ADELANTADO")))))))</f>
        <v/>
      </c>
      <c r="AM209" s="91" t="n"/>
      <c r="AN209" s="89">
        <f>IF(AE209&lt;&gt;"",HLOOKUP(VALUE(TEXT(AK209,"h:mm:ss")),IF($C$6="Laboral",$FZ$4:$GX$227,IF($C$6="Sábado",$FZ$231:$GX$452,$FZ$456:$GX$656)),VLOOKUP($C$4,$HF$2:$HH$99,3,0)+IF(AG$5="Ida",0,1),1),"")</f>
        <v/>
      </c>
      <c r="AO209" s="89">
        <f>IF(AE210&lt;&gt;AE209,AVERAGEIF(AE$9:AE209,AE209,AN$9:AN209),"")</f>
        <v/>
      </c>
      <c r="AP209" s="89">
        <f>IFERROR(IF(AE210&lt;&gt;AE209,AVERAGEIF(AE$9:AE209,AE209,AW$9:AW209),""),"")</f>
        <v/>
      </c>
      <c r="AQ209" s="89">
        <f>IFERROR(IF(AE210&lt;&gt;AE209,AVERAGEIF(AE$9:AE209,AE209,AX$9:AX209),""),"")</f>
        <v/>
      </c>
      <c r="AR209" s="89">
        <f t="array" ref="AR209">IFERROR(IF(AE210&lt;&gt;AE209,_xlfn.STDEV.P(IF(AE$9:AE209=AE209,AX$9:AX209)),""),"")</f>
        <v/>
      </c>
      <c r="AS209" s="89">
        <f t="array" ref="AS209">IFERROR(IF(AE210&lt;&gt;AE209,_xlfn.STDEV.P(IF(AE$9:AE209=AE209,AW$9:AW209)),""),"")</f>
        <v/>
      </c>
      <c r="AT209" s="90">
        <f>IFERROR(IF(AE209&lt;&gt;AE210,MAX((((AQ209*24*60)/2)*(1+POWER((((AR209*24*60) / (AQ209*24*60) )),2))) + ((AQ209*24*60 )*-0.1 + (AO209*0.015)) +1,(((AQ209*24*60)/2)*(1+POWER((((AR209*24*60) / (AQ209*24*60 ))),2)))),""),"")</f>
        <v/>
      </c>
      <c r="AU209" s="90">
        <f>IF(AND(AS209&lt;&gt;"",AP209&lt;&gt;""),IF(AE209&lt;&gt;AE210,((AP209*24*60) / 2 ) * (1 + POWER(((AS209*24*60) / (AP209*24*60)),2)),""),"")</f>
        <v/>
      </c>
      <c r="AV209" s="90">
        <f>IF(AU209&lt;&gt;"",MAX(AT209,AU209),"")</f>
        <v/>
      </c>
      <c r="AW209" s="89">
        <f>IF(AM209&lt;&gt;"H. Sale Real",IF(AND(AM210&lt;&gt;"",LEFT(AG210,2)&lt;&gt;"Va"),IF(AND(AM209&lt;&gt;"",LEFT(AG209,2)&lt;&gt;"Va",AM209&lt;&gt;"H. Sale Real"),IF(AM210-AM209&lt;0.208333333333333,AM210-AM209,""),IF(AND(AM208&lt;&gt;"",LEFT(AG208,2)&lt;&gt;"Va",AM208&lt;&gt;"H. Sale Real"),IF(AM210-AM208&lt;0.208333333333333,AM210-AM208,""),IF(AND(AM207&lt;&gt;"",LEFT(AG207,2)&lt;&gt;"Va",AM207&lt;&gt;"H. Sale Real"),IF(AM210-AM207&lt;0.208333333333333,AM210-AM207,""),IF(AND(AM206&lt;&gt;"",LEFT(AG206,2)&lt;&gt;"Va",AM206&lt;&gt;"H. Sale Real"),IF(AM210-AM206&lt;0.208333333333333,AM210-AM206,""),IF(AND(AM205&lt;&gt;"",LEFT(AG205,2)&lt;&gt;"Va",AM205&lt;&gt;"H. Sale Real"),IF(AM210-AM205&lt;0.208333333333333,AM210-AM205,""),""))))),""),"")</f>
        <v/>
      </c>
      <c r="AX209" s="89">
        <f>IF(AK209&lt;&gt;"H. Sale Real",IF(AND(AK210&lt;&gt;"",LEFT(AG210,2)&lt;&gt;"Va"),IF(AND(AK209&lt;&gt;"",LEFT(AG209,2)&lt;&gt;"Va",AK209&lt;&gt;"H. Sale Real"),IF(AK210-AK209&lt;0.208333333333333,AK210-AK209,""),IF(AND(AK208&lt;&gt;"",LEFT(AG208,2)&lt;&gt;"Va",AK208&lt;&gt;"H. Sale Real"),IF(AK210-AK208&lt;0.208333333333333,AK210-AK208,""),IF(AND(AK207&lt;&gt;"",LEFT(AG207,2)&lt;&gt;"NC",AK207&lt;&gt;"H. Sale Real"),IF(AK210-AK207&lt;0.208333333333333,AK210-AK207,""),IF(AND(AK206&lt;&gt;"",LEFT(AG206,2)&lt;&gt;"Va",AK206&lt;&gt;"H. Sale Real"),IF(AK210-AK206&lt;0.208333333333333,AK210-AK206,""),IF(AND(AK205&lt;&gt;"",LEFT(AG205,2)&lt;&gt;"Va",AK205&lt;&gt;"H. Sale Real"),IF(AK210-AK205&lt;0.208333333333333,AK210-AK205,""),""))))),""),"")</f>
        <v/>
      </c>
      <c r="AY209" s="87" t="n"/>
      <c r="AZ209" s="89" t="n"/>
      <c r="BA209" s="87" t="n"/>
      <c r="BB209" s="89" t="n"/>
      <c r="BC209" s="91" t="n"/>
      <c r="BD209" s="122">
        <f>IF(AK209&lt;&gt;"",IF(AND(BD208&lt;&gt;"IE",AT209&lt;&gt;0,AV209&lt;&gt;""),IF(IFERROR((AT209/AV209),0) &lt;=1,IFERROR(AT209/AV209,""),1),""),"")</f>
        <v/>
      </c>
      <c r="BE209" s="93" t="n"/>
      <c r="BF209" s="105" t="n"/>
      <c r="FC209" t="inlineStr">
        <is>
          <t>Diccionario 1</t>
        </is>
      </c>
      <c r="FD209" s="15" t="n">
        <v>1197</v>
      </c>
      <c r="FE209" s="15" t="inlineStr">
        <is>
          <t>YV3T7U524LA201541</t>
        </is>
      </c>
      <c r="FF209" s="15" t="n">
        <v>507933</v>
      </c>
      <c r="FG209" s="15" t="inlineStr">
        <is>
          <t>Volvo</t>
        </is>
      </c>
      <c r="FH209" s="15" t="inlineStr">
        <is>
          <t>B8RLEA</t>
        </is>
      </c>
      <c r="FI209" s="15" t="inlineStr">
        <is>
          <t>MARCOPOLO</t>
        </is>
      </c>
      <c r="FJ209" s="15" t="inlineStr">
        <is>
          <t>GRAN VIALE</t>
        </is>
      </c>
      <c r="FK209" s="15" t="n">
        <v>2020</v>
      </c>
      <c r="FL209" s="15" t="inlineStr">
        <is>
          <t>C</t>
        </is>
      </c>
      <c r="FM209" s="15" t="inlineStr">
        <is>
          <t>PIE ANDINO</t>
        </is>
      </c>
      <c r="FN209" s="15" t="inlineStr">
        <is>
          <t>Pie Andino 31 (Pie Andino 383)</t>
        </is>
      </c>
      <c r="FO209" s="15" t="inlineStr">
        <is>
          <t>Puente Alto</t>
        </is>
      </c>
      <c r="FP209" t="inlineStr">
        <is>
          <t>C</t>
        </is>
      </c>
      <c r="FS209" s="14" t="inlineStr">
        <is>
          <t>3052 / SFVZ-86|</t>
        </is>
      </c>
      <c r="FT209" t="inlineStr">
        <is>
          <t>SFVZ-86|</t>
        </is>
      </c>
      <c r="FU209" t="inlineStr">
        <is>
          <t>SFVZ-86</t>
        </is>
      </c>
      <c r="FV209">
        <f>VLOOKUP(FU209,FD:FL,9,0)</f>
        <v/>
      </c>
      <c r="HB209" s="35" t="n">
        <v>203</v>
      </c>
    </row>
    <row r="210" ht="15.5" customHeight="1">
      <c r="A210" s="10">
        <f>HOUR(G210)+1</f>
        <v/>
      </c>
      <c r="B210" s="7" t="n"/>
      <c r="C210" s="7" t="n"/>
      <c r="D210" s="85">
        <f>IFERROR(
IF(AND(OR(Planilla!B210="C",Planilla!B210="c"), VLOOKUP(E210,FD:FP,13,0)="C"), "OK",IF(AND(OR(Planilla!B210="C",Planilla!B210="c"), OR(VLOOKUP(E210,FD:FP,13,0)="B", VLOOKUP(E210,FD:FP,13,0)="A")), "DEFICIT",IF(
AND(OR(Planilla!B210="B", Planilla!B210="BPAL"), VLOOKUP(E210,FD:FP,13,0)="B"), "OK",IF(AND(OR(Planilla!B210="B", Planilla!B210="BPAL"), VLOOKUP(E210,FD:FP,13,0)="A"), "DEFICIT",IF(AND(OR(Planilla!B210="B", Planilla!B210="BPAL"), VLOOKUP(E210,FD:FP,13,0)="C"), "SOBREOFERTA",IF(AND(Planilla!B210="A", VLOOKUP(E210,FD:FP,13,0)="A"), "OK",IF(
AND(Planilla!B210="A", OR(VLOOKUP(E210,FD:FP,13,0)="B", VLOOKUP(E210,FD:FP,13,0)="C")), "SOBREOFERTA",""
))))))),"")</f>
        <v/>
      </c>
      <c r="E210" s="8" t="n"/>
      <c r="F210" s="86" t="n"/>
      <c r="G210" s="87" t="n"/>
      <c r="H210" s="88">
        <f>IF(I210="","",IF(AND((I210-G210)&gt;=TIME(0,0,0),(I210-G210)&lt;TIME(0,3,0)),"OK",IF(AND((I210-G210)&gt;=TIME(0,3,0),(I210-G210)&lt;TIME(0,5,0)),"RETRASO DE 3-5 MIN",IF(AND((I210-G210)&gt;=TIME(0,5,0),(I210-G210)&lt;TIME(0,10,0)),"RETRASO DE 5-10 MIN",IF((I210-G210)&gt;=TIME(0,10,0),"RETRASO &gt;10 MIN", IF(AND((G210-I210)&gt;=TIME(0,0,0),(G210-I210)&lt;TIME(0,3,0)),"OK",IF((G210-I210)&gt;=TIME(0,3,0),"ADELANTADO")))))))</f>
        <v/>
      </c>
      <c r="I210" s="89" t="n"/>
      <c r="J210" s="89">
        <f>IF(A210&lt;&gt;"",HLOOKUP(VALUE(TEXT(G210,"h:mm:ss")),IF($C$6="Laboral",$FZ$4:$GX$227,IF($C$6="Sábado",$FZ$231:$GX$452,$FZ$456:$GX$656)),VLOOKUP($C$4,$HF$2:$HH$99,3,0)+IF(C$5="Ida",0,1),1),"")</f>
        <v/>
      </c>
      <c r="K210" s="89">
        <f>IF(A211&lt;&gt;A210,AVERAGEIF(A$9:A210,A210,J$9:J210),"")</f>
        <v/>
      </c>
      <c r="L210" s="89">
        <f>IFERROR(IF(A211&lt;&gt;A210,AVERAGEIF(A$9:A210,A210,S$9:S210),""),"")</f>
        <v/>
      </c>
      <c r="M210" s="89">
        <f>IFERROR(IF(A211&lt;&gt;A210,AVERAGEIF(A$9:A210,A210,T$9:T210),""),"")</f>
        <v/>
      </c>
      <c r="N210" s="89">
        <f t="array" ref="N210">IFERROR(IF(A211&lt;&gt;A210,_xlfn.STDEV.P(IF(A$9:A210=A210,T$9:T210)),""),"")</f>
        <v/>
      </c>
      <c r="O210" s="89">
        <f t="array" ref="O210">IFERROR(IF(A211&lt;&gt;A210,_xlfn.STDEV.P(IF(A$9:A210=A210,S$9:S210)),""),"")</f>
        <v/>
      </c>
      <c r="P210" s="90">
        <f>IFERROR(IF(A210&lt;&gt;A211,MAX((((M210*24*60)/2)*(1+POWER((((N210*24*60) / (M210*24*60) )),2))) + ((M210*24*60 )*-0.1 + (K210*0.015)) +1,(((M210*24*60)/2)*(1+POWER((((N210*24*60) / (M210*24*60 ))),2)))),""),"")</f>
        <v/>
      </c>
      <c r="Q210" s="90">
        <f>IF(AND(O210&lt;&gt;"",L210&lt;&gt;""),IF(A210&lt;&gt;A211,((L210*24*60) / 2 ) * (1 + POWER(((O210*24*60) / (L210*24*60)),2)),""),"")</f>
        <v/>
      </c>
      <c r="R210" s="90">
        <f>IF(Q210&lt;&gt;"",MAX(P210,Q210),"")</f>
        <v/>
      </c>
      <c r="S210" s="89">
        <f>IF(I210&lt;&gt;"H. Sale Real",IF(AND(I211&lt;&gt;"",LEFT(C211,2)&lt;&gt;"Va"),IF(AND(I210&lt;&gt;"",LEFT(C210,2)&lt;&gt;"Va",I210&lt;&gt;"H. Sale Real"),IF(I211-I210&lt;0.208333333333333,I211-I210,""),IF(AND(I209&lt;&gt;"",LEFT(C209,2)&lt;&gt;"Va",I209&lt;&gt;"H. Sale Real"),IF(I211-I209&lt;0.208333333333333,I211-I209,""),IF(AND(I208&lt;&gt;"",LEFT(C208,2)&lt;&gt;"Va",I208&lt;&gt;"H. Sale Real"),IF(I211-I208&lt;0.208333333333333,I211-I208,""),IF(AND(I207&lt;&gt;"",LEFT(C207,2)&lt;&gt;"Va",I207&lt;&gt;"H. Sale Real"),IF(I211-I207&lt;0.208333333333333,I211-I207,""),IF(AND(I206&lt;&gt;"",LEFT(C206,2)&lt;&gt;"Va",I206&lt;&gt;"H. Sale Real"),IF(I211-I206&lt;0.208333333333333,I211-I206,""),""))))),""),"")</f>
        <v/>
      </c>
      <c r="T210" s="89">
        <f>IF(G210&lt;&gt;"H. Sale Real",IF(AND(G211&lt;&gt;"",LEFT(C211,2)&lt;&gt;"Va"),IF(AND(G210&lt;&gt;"",LEFT(C210,2)&lt;&gt;"Va",G210&lt;&gt;"H. Sale Real"),IF(G211-G210&lt;0.208333333333333,G211-G210,""),IF(AND(G209&lt;&gt;"",LEFT(C209,2)&lt;&gt;"Va",G209&lt;&gt;"H. Sale Real"),IF(G211-G209&lt;0.208333333333333,G211-G209,""),IF(AND(G208&lt;&gt;"",LEFT(C208,2)&lt;&gt;"Va",G208&lt;&gt;"H. Sale Real"),IF(G211-G208&lt;0.208333333333333,G211-G208,""),IF(AND(G207&lt;&gt;"",LEFT(C207,2)&lt;&gt;"Va",G207&lt;&gt;"H. Sale Real"),IF(G211-G207&lt;0.208333333333333,G211-G207,""),IF(AND(G206&lt;&gt;"",LEFT(C206,2)&lt;&gt;"Va",G206&lt;&gt;"H. Sale Real"),IF(G211-G206&lt;0.208333333333333,G211-G206,""),""))))),""),"")</f>
        <v/>
      </c>
      <c r="U210" s="87" t="n"/>
      <c r="V210" s="89" t="n"/>
      <c r="W210" s="87" t="n"/>
      <c r="X210" s="89" t="n"/>
      <c r="Y210" s="91" t="n"/>
      <c r="Z210" s="122">
        <f>IF(G210&lt;&gt;"",IF(AND(Z209&lt;&gt;"IE",P210&lt;&gt;0,R210&lt;&gt;""),IF(IFERROR((P210/R210),0) &lt;=1,IFERROR(P210/R210,""),1),""),"")</f>
        <v/>
      </c>
      <c r="AA210" s="93" t="n"/>
      <c r="AB210" s="2" t="n"/>
      <c r="AE210" s="10">
        <f>HOUR(AK210)+1</f>
        <v/>
      </c>
      <c r="AF210" s="7" t="n"/>
      <c r="AG210" s="7" t="n"/>
      <c r="AH210" s="86" t="n"/>
      <c r="AI210" s="8" t="n"/>
      <c r="AJ210" s="86" t="n"/>
      <c r="AK210" s="87" t="n"/>
      <c r="AL210" s="88">
        <f>IF(AM210="","",IF(AND((AM210-AK210)&gt;=TIME(0,0,0),(AM210-AK210)&lt;TIME(0,3,0)),"OK",IF(AND((AM210-AK210)&gt;=TIME(0,3,0),(AM210-AK210)&lt;TIME(0,5,0)),"RETRASO DE 3-5 MIN",IF(AND((AM210-AK210)&gt;=TIME(0,5,0),(AM210-AK210)&lt;TIME(0,10,0)),"RETRASO DE 5-10 MIN",IF((AM210-AK210)&gt;=TIME(0,10,0),"RETRASO &gt;10 MIN", IF(AND((AK210-AM210)&gt;=TIME(0,0,0),(AK210-AM210)&lt;TIME(0,3,0)),"OK",IF((AK210-AM210)&gt;=TIME(0,3,0),"ADELANTADO")))))))</f>
        <v/>
      </c>
      <c r="AM210" s="91" t="n"/>
      <c r="AN210" s="89">
        <f>IF(AE210&lt;&gt;"",HLOOKUP(VALUE(TEXT(AK210,"h:mm:ss")),IF($C$6="Laboral",$FZ$4:$GX$227,IF($C$6="Sábado",$FZ$231:$GX$452,$FZ$456:$GX$656)),VLOOKUP($C$4,$HF$2:$HH$99,3,0)+IF(AG$5="Ida",0,1),1),"")</f>
        <v/>
      </c>
      <c r="AO210" s="89">
        <f>IF(AE211&lt;&gt;AE210,AVERAGEIF(AE$9:AE210,AE210,AN$9:AN210),"")</f>
        <v/>
      </c>
      <c r="AP210" s="89">
        <f>IFERROR(IF(AE211&lt;&gt;AE210,AVERAGEIF(AE$9:AE210,AE210,AW$9:AW210),""),"")</f>
        <v/>
      </c>
      <c r="AQ210" s="89">
        <f>IFERROR(IF(AE211&lt;&gt;AE210,AVERAGEIF(AE$9:AE210,AE210,AX$9:AX210),""),"")</f>
        <v/>
      </c>
      <c r="AR210" s="89">
        <f t="array" ref="AR210">IFERROR(IF(AE211&lt;&gt;AE210,_xlfn.STDEV.P(IF(AE$9:AE210=AE210,AX$9:AX210)),""),"")</f>
        <v/>
      </c>
      <c r="AS210" s="89">
        <f t="array" ref="AS210">IFERROR(IF(AE211&lt;&gt;AE210,_xlfn.STDEV.P(IF(AE$9:AE210=AE210,AW$9:AW210)),""),"")</f>
        <v/>
      </c>
      <c r="AT210" s="90">
        <f>IFERROR(IF(AE210&lt;&gt;AE211,MAX((((AQ210*24*60)/2)*(1+POWER((((AR210*24*60) / (AQ210*24*60) )),2))) + ((AQ210*24*60 )*-0.1 + (AO210*0.015)) +1,(((AQ210*24*60)/2)*(1+POWER((((AR210*24*60) / (AQ210*24*60 ))),2)))),""),"")</f>
        <v/>
      </c>
      <c r="AU210" s="90">
        <f>IF(AND(AS210&lt;&gt;"",AP210&lt;&gt;""),IF(AE210&lt;&gt;AE211,((AP210*24*60) / 2 ) * (1 + POWER(((AS210*24*60) / (AP210*24*60)),2)),""),"")</f>
        <v/>
      </c>
      <c r="AV210" s="90">
        <f>IF(AU210&lt;&gt;"",MAX(AT210,AU210),"")</f>
        <v/>
      </c>
      <c r="AW210" s="89">
        <f>IF(AM210&lt;&gt;"H. Sale Real",IF(AND(AM211&lt;&gt;"",LEFT(AG211,2)&lt;&gt;"Va"),IF(AND(AM210&lt;&gt;"",LEFT(AG210,2)&lt;&gt;"Va",AM210&lt;&gt;"H. Sale Real"),IF(AM211-AM210&lt;0.208333333333333,AM211-AM210,""),IF(AND(AM209&lt;&gt;"",LEFT(AG209,2)&lt;&gt;"Va",AM209&lt;&gt;"H. Sale Real"),IF(AM211-AM209&lt;0.208333333333333,AM211-AM209,""),IF(AND(AM208&lt;&gt;"",LEFT(AG208,2)&lt;&gt;"Va",AM208&lt;&gt;"H. Sale Real"),IF(AM211-AM208&lt;0.208333333333333,AM211-AM208,""),IF(AND(AM207&lt;&gt;"",LEFT(AG207,2)&lt;&gt;"Va",AM207&lt;&gt;"H. Sale Real"),IF(AM211-AM207&lt;0.208333333333333,AM211-AM207,""),IF(AND(AM206&lt;&gt;"",LEFT(AG206,2)&lt;&gt;"Va",AM206&lt;&gt;"H. Sale Real"),IF(AM211-AM206&lt;0.208333333333333,AM211-AM206,""),""))))),""),"")</f>
        <v/>
      </c>
      <c r="AX210" s="89">
        <f>IF(AK210&lt;&gt;"H. Sale Real",IF(AND(AK211&lt;&gt;"",LEFT(AG211,2)&lt;&gt;"Va"),IF(AND(AK210&lt;&gt;"",LEFT(AG210,2)&lt;&gt;"Va",AK210&lt;&gt;"H. Sale Real"),IF(AK211-AK210&lt;0.208333333333333,AK211-AK210,""),IF(AND(AK209&lt;&gt;"",LEFT(AG209,2)&lt;&gt;"Va",AK209&lt;&gt;"H. Sale Real"),IF(AK211-AK209&lt;0.208333333333333,AK211-AK209,""),IF(AND(AK208&lt;&gt;"",LEFT(AG208,2)&lt;&gt;"NC",AK208&lt;&gt;"H. Sale Real"),IF(AK211-AK208&lt;0.208333333333333,AK211-AK208,""),IF(AND(AK207&lt;&gt;"",LEFT(AG207,2)&lt;&gt;"Va",AK207&lt;&gt;"H. Sale Real"),IF(AK211-AK207&lt;0.208333333333333,AK211-AK207,""),IF(AND(AK206&lt;&gt;"",LEFT(AG206,2)&lt;&gt;"Va",AK206&lt;&gt;"H. Sale Real"),IF(AK211-AK206&lt;0.208333333333333,AK211-AK206,""),""))))),""),"")</f>
        <v/>
      </c>
      <c r="AY210" s="87" t="n"/>
      <c r="AZ210" s="89" t="n"/>
      <c r="BA210" s="87" t="n"/>
      <c r="BB210" s="89" t="n"/>
      <c r="BC210" s="91" t="n"/>
      <c r="BD210" s="122">
        <f>IF(AK210&lt;&gt;"",IF(AND(BD209&lt;&gt;"IE",AT210&lt;&gt;0,AV210&lt;&gt;""),IF(IFERROR((AT210/AV210),0) &lt;=1,IFERROR(AT210/AV210,""),1),""),"")</f>
        <v/>
      </c>
      <c r="BE210" s="93" t="n"/>
      <c r="BF210" s="105" t="n"/>
      <c r="FC210" t="inlineStr">
        <is>
          <t>Diccionario 1</t>
        </is>
      </c>
      <c r="FD210" s="15" t="n">
        <v>1198</v>
      </c>
      <c r="FE210" s="15" t="inlineStr">
        <is>
          <t>YV3T7U524LA198723</t>
        </is>
      </c>
      <c r="FF210" s="15" t="n">
        <v>508173</v>
      </c>
      <c r="FG210" s="15" t="inlineStr">
        <is>
          <t>Volvo</t>
        </is>
      </c>
      <c r="FH210" s="15" t="inlineStr">
        <is>
          <t>B8RLEA</t>
        </is>
      </c>
      <c r="FI210" s="15" t="inlineStr">
        <is>
          <t>MARCOPOLO</t>
        </is>
      </c>
      <c r="FJ210" s="15" t="inlineStr">
        <is>
          <t>GRAN VIALE</t>
        </is>
      </c>
      <c r="FK210" s="15" t="n">
        <v>2020</v>
      </c>
      <c r="FL210" s="15" t="inlineStr">
        <is>
          <t>C</t>
        </is>
      </c>
      <c r="FM210" s="15" t="inlineStr">
        <is>
          <t>PIE ANDINO</t>
        </is>
      </c>
      <c r="FN210" s="15" t="inlineStr">
        <is>
          <t>Pie Andino 31 (Pie Andino 383)</t>
        </is>
      </c>
      <c r="FO210" s="15" t="inlineStr">
        <is>
          <t>Puente Alto</t>
        </is>
      </c>
      <c r="FP210" t="inlineStr">
        <is>
          <t>C</t>
        </is>
      </c>
      <c r="FS210" s="14" t="inlineStr">
        <is>
          <t>3052 / SFVZ-86|</t>
        </is>
      </c>
      <c r="FT210" t="inlineStr">
        <is>
          <t>SFVZ-86|</t>
        </is>
      </c>
      <c r="FU210" t="inlineStr">
        <is>
          <t>SFVZ-86</t>
        </is>
      </c>
      <c r="FV210">
        <f>VLOOKUP(FU210,FD:FL,9,0)</f>
        <v/>
      </c>
      <c r="HB210" s="35" t="n">
        <v>204</v>
      </c>
    </row>
    <row r="211" ht="15.5" customHeight="1">
      <c r="A211" s="10">
        <f>HOUR(G211)+1</f>
        <v/>
      </c>
      <c r="B211" s="7" t="n"/>
      <c r="C211" s="7" t="n"/>
      <c r="D211" s="85">
        <f>IFERROR(
IF(AND(OR(Planilla!B211="C",Planilla!B211="c"), VLOOKUP(E211,FD:FP,13,0)="C"), "OK",IF(AND(OR(Planilla!B211="C",Planilla!B211="c"), OR(VLOOKUP(E211,FD:FP,13,0)="B", VLOOKUP(E211,FD:FP,13,0)="A")), "DEFICIT",IF(
AND(OR(Planilla!B211="B", Planilla!B211="BPAL"), VLOOKUP(E211,FD:FP,13,0)="B"), "OK",IF(AND(OR(Planilla!B211="B", Planilla!B211="BPAL"), VLOOKUP(E211,FD:FP,13,0)="A"), "DEFICIT",IF(AND(OR(Planilla!B211="B", Planilla!B211="BPAL"), VLOOKUP(E211,FD:FP,13,0)="C"), "SOBREOFERTA",IF(AND(Planilla!B211="A", VLOOKUP(E211,FD:FP,13,0)="A"), "OK",IF(
AND(Planilla!B211="A", OR(VLOOKUP(E211,FD:FP,13,0)="B", VLOOKUP(E211,FD:FP,13,0)="C")), "SOBREOFERTA",""
))))))),"")</f>
        <v/>
      </c>
      <c r="E211" s="8" t="n"/>
      <c r="F211" s="86" t="n"/>
      <c r="G211" s="87" t="n"/>
      <c r="H211" s="88">
        <f>IF(I211="","",IF(AND((I211-G211)&gt;=TIME(0,0,0),(I211-G211)&lt;TIME(0,3,0)),"OK",IF(AND((I211-G211)&gt;=TIME(0,3,0),(I211-G211)&lt;TIME(0,5,0)),"RETRASO DE 3-5 MIN",IF(AND((I211-G211)&gt;=TIME(0,5,0),(I211-G211)&lt;TIME(0,10,0)),"RETRASO DE 5-10 MIN",IF((I211-G211)&gt;=TIME(0,10,0),"RETRASO &gt;10 MIN", IF(AND((G211-I211)&gt;=TIME(0,0,0),(G211-I211)&lt;TIME(0,3,0)),"OK",IF((G211-I211)&gt;=TIME(0,3,0),"ADELANTADO")))))))</f>
        <v/>
      </c>
      <c r="I211" s="89" t="n"/>
      <c r="J211" s="89">
        <f>IF(A211&lt;&gt;"",HLOOKUP(VALUE(TEXT(G211,"h:mm:ss")),IF($C$6="Laboral",$FZ$4:$GX$227,IF($C$6="Sábado",$FZ$231:$GX$452,$FZ$456:$GX$656)),VLOOKUP($C$4,$HF$2:$HH$99,3,0)+IF(C$5="Ida",0,1),1),"")</f>
        <v/>
      </c>
      <c r="K211" s="89">
        <f>IF(A212&lt;&gt;A211,AVERAGEIF(A$9:A211,A211,J$9:J211),"")</f>
        <v/>
      </c>
      <c r="L211" s="89">
        <f>IFERROR(IF(A212&lt;&gt;A211,AVERAGEIF(A$9:A211,A211,S$9:S211),""),"")</f>
        <v/>
      </c>
      <c r="M211" s="89">
        <f>IFERROR(IF(A212&lt;&gt;A211,AVERAGEIF(A$9:A211,A211,T$9:T211),""),"")</f>
        <v/>
      </c>
      <c r="N211" s="89">
        <f t="array" ref="N211">IFERROR(IF(A212&lt;&gt;A211,_xlfn.STDEV.P(IF(A$9:A211=A211,T$9:T211)),""),"")</f>
        <v/>
      </c>
      <c r="O211" s="89">
        <f t="array" ref="O211">IFERROR(IF(A212&lt;&gt;A211,_xlfn.STDEV.P(IF(A$9:A211=A211,S$9:S211)),""),"")</f>
        <v/>
      </c>
      <c r="P211" s="90">
        <f>IFERROR(IF(A211&lt;&gt;A212,MAX((((M211*24*60)/2)*(1+POWER((((N211*24*60) / (M211*24*60) )),2))) + ((M211*24*60 )*-0.1 + (K211*0.015)) +1,(((M211*24*60)/2)*(1+POWER((((N211*24*60) / (M211*24*60 ))),2)))),""),"")</f>
        <v/>
      </c>
      <c r="Q211" s="90">
        <f>IF(AND(O211&lt;&gt;"",L211&lt;&gt;""),IF(A211&lt;&gt;A212,((L211*24*60) / 2 ) * (1 + POWER(((O211*24*60) / (L211*24*60)),2)),""),"")</f>
        <v/>
      </c>
      <c r="R211" s="90">
        <f>IF(Q211&lt;&gt;"",MAX(P211,Q211),"")</f>
        <v/>
      </c>
      <c r="S211" s="89">
        <f>IF(I211&lt;&gt;"H. Sale Real",IF(AND(I212&lt;&gt;"",LEFT(C212,2)&lt;&gt;"Va"),IF(AND(I211&lt;&gt;"",LEFT(C211,2)&lt;&gt;"Va",I211&lt;&gt;"H. Sale Real"),IF(I212-I211&lt;0.208333333333333,I212-I211,""),IF(AND(I210&lt;&gt;"",LEFT(C210,2)&lt;&gt;"Va",I210&lt;&gt;"H. Sale Real"),IF(I212-I210&lt;0.208333333333333,I212-I210,""),IF(AND(I209&lt;&gt;"",LEFT(C209,2)&lt;&gt;"Va",I209&lt;&gt;"H. Sale Real"),IF(I212-I209&lt;0.208333333333333,I212-I209,""),IF(AND(I208&lt;&gt;"",LEFT(C208,2)&lt;&gt;"Va",I208&lt;&gt;"H. Sale Real"),IF(I212-I208&lt;0.208333333333333,I212-I208,""),IF(AND(I207&lt;&gt;"",LEFT(C207,2)&lt;&gt;"Va",I207&lt;&gt;"H. Sale Real"),IF(I212-I207&lt;0.208333333333333,I212-I207,""),""))))),""),"")</f>
        <v/>
      </c>
      <c r="T211" s="89">
        <f>IF(G211&lt;&gt;"H. Sale Real",IF(AND(G212&lt;&gt;"",LEFT(C212,2)&lt;&gt;"Va"),IF(AND(G211&lt;&gt;"",LEFT(C211,2)&lt;&gt;"Va",G211&lt;&gt;"H. Sale Real"),IF(G212-G211&lt;0.208333333333333,G212-G211,""),IF(AND(G210&lt;&gt;"",LEFT(C210,2)&lt;&gt;"Va",G210&lt;&gt;"H. Sale Real"),IF(G212-G210&lt;0.208333333333333,G212-G210,""),IF(AND(G209&lt;&gt;"",LEFT(C209,2)&lt;&gt;"Va",G209&lt;&gt;"H. Sale Real"),IF(G212-G209&lt;0.208333333333333,G212-G209,""),IF(AND(G208&lt;&gt;"",LEFT(C208,2)&lt;&gt;"Va",G208&lt;&gt;"H. Sale Real"),IF(G212-G208&lt;0.208333333333333,G212-G208,""),IF(AND(G207&lt;&gt;"",LEFT(C207,2)&lt;&gt;"Va",G207&lt;&gt;"H. Sale Real"),IF(G212-G207&lt;0.208333333333333,G212-G207,""),""))))),""),"")</f>
        <v/>
      </c>
      <c r="U211" s="87" t="n"/>
      <c r="V211" s="89" t="n"/>
      <c r="W211" s="87" t="n"/>
      <c r="X211" s="89" t="n"/>
      <c r="Y211" s="91" t="n"/>
      <c r="Z211" s="122">
        <f>IF(G211&lt;&gt;"",IF(AND(Z210&lt;&gt;"IE",P211&lt;&gt;0,R211&lt;&gt;""),IF(IFERROR((P211/R211),0) &lt;=1,IFERROR(P211/R211,""),1),""),"")</f>
        <v/>
      </c>
      <c r="AA211" s="93" t="n"/>
      <c r="AB211" s="2" t="n"/>
      <c r="AE211" s="10">
        <f>HOUR(AK211)+1</f>
        <v/>
      </c>
      <c r="AF211" s="7" t="n"/>
      <c r="AG211" s="7" t="n"/>
      <c r="AH211" s="86" t="n"/>
      <c r="AI211" s="8" t="n"/>
      <c r="AJ211" s="86" t="n"/>
      <c r="AK211" s="87" t="n"/>
      <c r="AL211" s="88">
        <f>IF(AM211="","",IF(AND((AM211-AK211)&gt;=TIME(0,0,0),(AM211-AK211)&lt;TIME(0,3,0)),"OK",IF(AND((AM211-AK211)&gt;=TIME(0,3,0),(AM211-AK211)&lt;TIME(0,5,0)),"RETRASO DE 3-5 MIN",IF(AND((AM211-AK211)&gt;=TIME(0,5,0),(AM211-AK211)&lt;TIME(0,10,0)),"RETRASO DE 5-10 MIN",IF((AM211-AK211)&gt;=TIME(0,10,0),"RETRASO &gt;10 MIN", IF(AND((AK211-AM211)&gt;=TIME(0,0,0),(AK211-AM211)&lt;TIME(0,3,0)),"OK",IF((AK211-AM211)&gt;=TIME(0,3,0),"ADELANTADO")))))))</f>
        <v/>
      </c>
      <c r="AM211" s="91" t="n"/>
      <c r="AN211" s="89">
        <f>IF(AE211&lt;&gt;"",HLOOKUP(VALUE(TEXT(AK211,"h:mm:ss")),IF($C$6="Laboral",$FZ$4:$GX$227,IF($C$6="Sábado",$FZ$231:$GX$452,$FZ$456:$GX$656)),VLOOKUP($C$4,$HF$2:$HH$99,3,0)+IF(AG$5="Ida",0,1),1),"")</f>
        <v/>
      </c>
      <c r="AO211" s="89">
        <f>IF(AE212&lt;&gt;AE211,AVERAGEIF(AE$9:AE211,AE211,AN$9:AN211),"")</f>
        <v/>
      </c>
      <c r="AP211" s="89">
        <f>IFERROR(IF(AE212&lt;&gt;AE211,AVERAGEIF(AE$9:AE211,AE211,AW$9:AW211),""),"")</f>
        <v/>
      </c>
      <c r="AQ211" s="89">
        <f>IFERROR(IF(AE212&lt;&gt;AE211,AVERAGEIF(AE$9:AE211,AE211,AX$9:AX211),""),"")</f>
        <v/>
      </c>
      <c r="AR211" s="89">
        <f t="array" ref="AR211">IFERROR(IF(AE212&lt;&gt;AE211,_xlfn.STDEV.P(IF(AE$9:AE211=AE211,AX$9:AX211)),""),"")</f>
        <v/>
      </c>
      <c r="AS211" s="89">
        <f t="array" ref="AS211">IFERROR(IF(AE212&lt;&gt;AE211,_xlfn.STDEV.P(IF(AE$9:AE211=AE211,AW$9:AW211)),""),"")</f>
        <v/>
      </c>
      <c r="AT211" s="90">
        <f>IFERROR(IF(AE211&lt;&gt;AE212,MAX((((AQ211*24*60)/2)*(1+POWER((((AR211*24*60) / (AQ211*24*60) )),2))) + ((AQ211*24*60 )*-0.1 + (AO211*0.015)) +1,(((AQ211*24*60)/2)*(1+POWER((((AR211*24*60) / (AQ211*24*60 ))),2)))),""),"")</f>
        <v/>
      </c>
      <c r="AU211" s="90">
        <f>IF(AND(AS211&lt;&gt;"",AP211&lt;&gt;""),IF(AE211&lt;&gt;AE212,((AP211*24*60) / 2 ) * (1 + POWER(((AS211*24*60) / (AP211*24*60)),2)),""),"")</f>
        <v/>
      </c>
      <c r="AV211" s="90">
        <f>IF(AU211&lt;&gt;"",MAX(AT211,AU211),"")</f>
        <v/>
      </c>
      <c r="AW211" s="89">
        <f>IF(AM211&lt;&gt;"H. Sale Real",IF(AND(AM212&lt;&gt;"",LEFT(AG212,2)&lt;&gt;"Va"),IF(AND(AM211&lt;&gt;"",LEFT(AG211,2)&lt;&gt;"Va",AM211&lt;&gt;"H. Sale Real"),IF(AM212-AM211&lt;0.208333333333333,AM212-AM211,""),IF(AND(AM210&lt;&gt;"",LEFT(AG210,2)&lt;&gt;"Va",AM210&lt;&gt;"H. Sale Real"),IF(AM212-AM210&lt;0.208333333333333,AM212-AM210,""),IF(AND(AM209&lt;&gt;"",LEFT(AG209,2)&lt;&gt;"Va",AM209&lt;&gt;"H. Sale Real"),IF(AM212-AM209&lt;0.208333333333333,AM212-AM209,""),IF(AND(AM208&lt;&gt;"",LEFT(AG208,2)&lt;&gt;"Va",AM208&lt;&gt;"H. Sale Real"),IF(AM212-AM208&lt;0.208333333333333,AM212-AM208,""),IF(AND(AM207&lt;&gt;"",LEFT(AG207,2)&lt;&gt;"Va",AM207&lt;&gt;"H. Sale Real"),IF(AM212-AM207&lt;0.208333333333333,AM212-AM207,""),""))))),""),"")</f>
        <v/>
      </c>
      <c r="AX211" s="89">
        <f>IF(AK211&lt;&gt;"H. Sale Real",IF(AND(AK212&lt;&gt;"",LEFT(AG212,2)&lt;&gt;"Va"),IF(AND(AK211&lt;&gt;"",LEFT(AG211,2)&lt;&gt;"Va",AK211&lt;&gt;"H. Sale Real"),IF(AK212-AK211&lt;0.208333333333333,AK212-AK211,""),IF(AND(AK210&lt;&gt;"",LEFT(AG210,2)&lt;&gt;"Va",AK210&lt;&gt;"H. Sale Real"),IF(AK212-AK210&lt;0.208333333333333,AK212-AK210,""),IF(AND(AK209&lt;&gt;"",LEFT(AG209,2)&lt;&gt;"NC",AK209&lt;&gt;"H. Sale Real"),IF(AK212-AK209&lt;0.208333333333333,AK212-AK209,""),IF(AND(AK208&lt;&gt;"",LEFT(AG208,2)&lt;&gt;"Va",AK208&lt;&gt;"H. Sale Real"),IF(AK212-AK208&lt;0.208333333333333,AK212-AK208,""),IF(AND(AK207&lt;&gt;"",LEFT(AG207,2)&lt;&gt;"Va",AK207&lt;&gt;"H. Sale Real"),IF(AK212-AK207&lt;0.208333333333333,AK212-AK207,""),""))))),""),"")</f>
        <v/>
      </c>
      <c r="AY211" s="87" t="n"/>
      <c r="AZ211" s="89" t="n"/>
      <c r="BA211" s="87" t="n"/>
      <c r="BB211" s="89" t="n"/>
      <c r="BC211" s="91" t="n"/>
      <c r="BD211" s="122">
        <f>IF(AK211&lt;&gt;"",IF(AND(BD210&lt;&gt;"IE",AT211&lt;&gt;0,AV211&lt;&gt;""),IF(IFERROR((AT211/AV211),0) &lt;=1,IFERROR(AT211/AV211,""),1),""),"")</f>
        <v/>
      </c>
      <c r="BE211" s="93" t="n"/>
      <c r="BF211" s="105" t="n"/>
      <c r="FC211" t="inlineStr">
        <is>
          <t>Diccionario 1</t>
        </is>
      </c>
      <c r="FD211" s="15" t="n">
        <v>1199</v>
      </c>
      <c r="FE211" s="15" t="inlineStr">
        <is>
          <t>YV3T7U528KA194902</t>
        </is>
      </c>
      <c r="FF211" s="15" t="n">
        <v>480074</v>
      </c>
      <c r="FG211" s="15" t="inlineStr">
        <is>
          <t>Volvo</t>
        </is>
      </c>
      <c r="FH211" s="15" t="inlineStr">
        <is>
          <t>B8RLEA</t>
        </is>
      </c>
      <c r="FI211" s="15" t="inlineStr">
        <is>
          <t>MARCOPOLO</t>
        </is>
      </c>
      <c r="FJ211" s="15" t="inlineStr">
        <is>
          <t>MONDEGO II</t>
        </is>
      </c>
      <c r="FK211" s="15" t="n">
        <v>2021</v>
      </c>
      <c r="FL211" s="15" t="inlineStr">
        <is>
          <t>C</t>
        </is>
      </c>
      <c r="FM211" s="15" t="inlineStr">
        <is>
          <t>PIE ANDINO</t>
        </is>
      </c>
      <c r="FN211" s="15" t="inlineStr">
        <is>
          <t>Pie Andino 31 (Pie Andino 383)</t>
        </is>
      </c>
      <c r="FO211" s="15" t="inlineStr">
        <is>
          <t>Puente Alto</t>
        </is>
      </c>
      <c r="FP211" t="inlineStr">
        <is>
          <t>C</t>
        </is>
      </c>
      <c r="FS211" s="14" t="inlineStr">
        <is>
          <t>3052 / SFVZ-86|</t>
        </is>
      </c>
      <c r="FT211" t="inlineStr">
        <is>
          <t>SFVZ-86|</t>
        </is>
      </c>
      <c r="FU211" t="inlineStr">
        <is>
          <t>SFVZ-86</t>
        </is>
      </c>
      <c r="FV211">
        <f>VLOOKUP(FU211,FD:FL,9,0)</f>
        <v/>
      </c>
      <c r="HB211" s="35" t="n">
        <v>205</v>
      </c>
    </row>
    <row r="212" ht="15.5" customHeight="1">
      <c r="A212" s="10">
        <f>HOUR(G212)+1</f>
        <v/>
      </c>
      <c r="B212" s="7" t="n"/>
      <c r="C212" s="7" t="n"/>
      <c r="D212" s="85">
        <f>IFERROR(
IF(AND(OR(Planilla!B212="C",Planilla!B212="c"), VLOOKUP(E212,FD:FP,13,0)="C"), "OK",IF(AND(OR(Planilla!B212="C",Planilla!B212="c"), OR(VLOOKUP(E212,FD:FP,13,0)="B", VLOOKUP(E212,FD:FP,13,0)="A")), "DEFICIT",IF(
AND(OR(Planilla!B212="B", Planilla!B212="BPAL"), VLOOKUP(E212,FD:FP,13,0)="B"), "OK",IF(AND(OR(Planilla!B212="B", Planilla!B212="BPAL"), VLOOKUP(E212,FD:FP,13,0)="A"), "DEFICIT",IF(AND(OR(Planilla!B212="B", Planilla!B212="BPAL"), VLOOKUP(E212,FD:FP,13,0)="C"), "SOBREOFERTA",IF(AND(Planilla!B212="A", VLOOKUP(E212,FD:FP,13,0)="A"), "OK",IF(
AND(Planilla!B212="A", OR(VLOOKUP(E212,FD:FP,13,0)="B", VLOOKUP(E212,FD:FP,13,0)="C")), "SOBREOFERTA",""
))))))),"")</f>
        <v/>
      </c>
      <c r="E212" s="8" t="n"/>
      <c r="F212" s="86" t="n"/>
      <c r="G212" s="87" t="n"/>
      <c r="H212" s="88">
        <f>IF(I212="","",IF(AND((I212-G212)&gt;=TIME(0,0,0),(I212-G212)&lt;TIME(0,3,0)),"OK",IF(AND((I212-G212)&gt;=TIME(0,3,0),(I212-G212)&lt;TIME(0,5,0)),"RETRASO DE 3-5 MIN",IF(AND((I212-G212)&gt;=TIME(0,5,0),(I212-G212)&lt;TIME(0,10,0)),"RETRASO DE 5-10 MIN",IF((I212-G212)&gt;=TIME(0,10,0),"RETRASO &gt;10 MIN", IF(AND((G212-I212)&gt;=TIME(0,0,0),(G212-I212)&lt;TIME(0,3,0)),"OK",IF((G212-I212)&gt;=TIME(0,3,0),"ADELANTADO")))))))</f>
        <v/>
      </c>
      <c r="I212" s="89" t="n"/>
      <c r="J212" s="89">
        <f>IF(A212&lt;&gt;"",HLOOKUP(VALUE(TEXT(G212,"h:mm:ss")),IF($C$6="Laboral",$FZ$4:$GX$227,IF($C$6="Sábado",$FZ$231:$GX$452,$FZ$456:$GX$656)),VLOOKUP($C$4,$HF$2:$HH$99,3,0)+IF(C$5="Ida",0,1),1),"")</f>
        <v/>
      </c>
      <c r="K212" s="89">
        <f>IF(A213&lt;&gt;A212,AVERAGEIF(A$9:A212,A212,J$9:J212),"")</f>
        <v/>
      </c>
      <c r="L212" s="89">
        <f>IFERROR(IF(A213&lt;&gt;A212,AVERAGEIF(A$9:A212,A212,S$9:S212),""),"")</f>
        <v/>
      </c>
      <c r="M212" s="89">
        <f>IFERROR(IF(A213&lt;&gt;A212,AVERAGEIF(A$9:A212,A212,T$9:T212),""),"")</f>
        <v/>
      </c>
      <c r="N212" s="89">
        <f t="array" ref="N212">IFERROR(IF(A213&lt;&gt;A212,_xlfn.STDEV.P(IF(A$9:A212=A212,T$9:T212)),""),"")</f>
        <v/>
      </c>
      <c r="O212" s="89">
        <f t="array" ref="O212">IFERROR(IF(A213&lt;&gt;A212,_xlfn.STDEV.P(IF(A$9:A212=A212,S$9:S212)),""),"")</f>
        <v/>
      </c>
      <c r="P212" s="90">
        <f>IFERROR(IF(A212&lt;&gt;A213,MAX((((M212*24*60)/2)*(1+POWER((((N212*24*60) / (M212*24*60) )),2))) + ((M212*24*60 )*-0.1 + (K212*0.015)) +1,(((M212*24*60)/2)*(1+POWER((((N212*24*60) / (M212*24*60 ))),2)))),""),"")</f>
        <v/>
      </c>
      <c r="Q212" s="90">
        <f>IF(AND(O212&lt;&gt;"",L212&lt;&gt;""),IF(A212&lt;&gt;A213,((L212*24*60) / 2 ) * (1 + POWER(((O212*24*60) / (L212*24*60)),2)),""),"")</f>
        <v/>
      </c>
      <c r="R212" s="90">
        <f>IF(Q212&lt;&gt;"",MAX(P212,Q212),"")</f>
        <v/>
      </c>
      <c r="S212" s="89">
        <f>IF(I212&lt;&gt;"H. Sale Real",IF(AND(I213&lt;&gt;"",LEFT(C213,2)&lt;&gt;"Va"),IF(AND(I212&lt;&gt;"",LEFT(C212,2)&lt;&gt;"Va",I212&lt;&gt;"H. Sale Real"),IF(I213-I212&lt;0.208333333333333,I213-I212,""),IF(AND(I211&lt;&gt;"",LEFT(C211,2)&lt;&gt;"Va",I211&lt;&gt;"H. Sale Real"),IF(I213-I211&lt;0.208333333333333,I213-I211,""),IF(AND(I210&lt;&gt;"",LEFT(C210,2)&lt;&gt;"Va",I210&lt;&gt;"H. Sale Real"),IF(I213-I210&lt;0.208333333333333,I213-I210,""),IF(AND(I209&lt;&gt;"",LEFT(C209,2)&lt;&gt;"Va",I209&lt;&gt;"H. Sale Real"),IF(I213-I209&lt;0.208333333333333,I213-I209,""),IF(AND(I208&lt;&gt;"",LEFT(C208,2)&lt;&gt;"Va",I208&lt;&gt;"H. Sale Real"),IF(I213-I208&lt;0.208333333333333,I213-I208,""),""))))),""),"")</f>
        <v/>
      </c>
      <c r="T212" s="89">
        <f>IF(G212&lt;&gt;"H. Sale Real",IF(AND(G213&lt;&gt;"",LEFT(C213,2)&lt;&gt;"Va"),IF(AND(G212&lt;&gt;"",LEFT(C212,2)&lt;&gt;"Va",G212&lt;&gt;"H. Sale Real"),IF(G213-G212&lt;0.208333333333333,G213-G212,""),IF(AND(G211&lt;&gt;"",LEFT(C211,2)&lt;&gt;"Va",G211&lt;&gt;"H. Sale Real"),IF(G213-G211&lt;0.208333333333333,G213-G211,""),IF(AND(G210&lt;&gt;"",LEFT(C210,2)&lt;&gt;"Va",G210&lt;&gt;"H. Sale Real"),IF(G213-G210&lt;0.208333333333333,G213-G210,""),IF(AND(G209&lt;&gt;"",LEFT(C209,2)&lt;&gt;"Va",G209&lt;&gt;"H. Sale Real"),IF(G213-G209&lt;0.208333333333333,G213-G209,""),IF(AND(G208&lt;&gt;"",LEFT(C208,2)&lt;&gt;"Va",G208&lt;&gt;"H. Sale Real"),IF(G213-G208&lt;0.208333333333333,G213-G208,""),""))))),""),"")</f>
        <v/>
      </c>
      <c r="U212" s="87" t="n"/>
      <c r="V212" s="89" t="n"/>
      <c r="W212" s="87" t="n"/>
      <c r="X212" s="89" t="n"/>
      <c r="Y212" s="91" t="n"/>
      <c r="Z212" s="122">
        <f>IF(G212&lt;&gt;"",IF(AND(Z211&lt;&gt;"IE",P212&lt;&gt;0,R212&lt;&gt;""),IF(IFERROR((P212/R212),0) &lt;=1,IFERROR(P212/R212,""),1),""),"")</f>
        <v/>
      </c>
      <c r="AA212" s="93" t="n"/>
      <c r="AB212" s="2" t="n"/>
      <c r="AE212" s="10">
        <f>HOUR(AK212)+1</f>
        <v/>
      </c>
      <c r="AF212" s="7" t="n"/>
      <c r="AG212" s="7" t="n"/>
      <c r="AH212" s="86" t="n"/>
      <c r="AI212" s="8" t="n"/>
      <c r="AJ212" s="86" t="n"/>
      <c r="AK212" s="87" t="n"/>
      <c r="AL212" s="88">
        <f>IF(AM212="","",IF(AND((AM212-AK212)&gt;=TIME(0,0,0),(AM212-AK212)&lt;TIME(0,3,0)),"OK",IF(AND((AM212-AK212)&gt;=TIME(0,3,0),(AM212-AK212)&lt;TIME(0,5,0)),"RETRASO DE 3-5 MIN",IF(AND((AM212-AK212)&gt;=TIME(0,5,0),(AM212-AK212)&lt;TIME(0,10,0)),"RETRASO DE 5-10 MIN",IF((AM212-AK212)&gt;=TIME(0,10,0),"RETRASO &gt;10 MIN", IF(AND((AK212-AM212)&gt;=TIME(0,0,0),(AK212-AM212)&lt;TIME(0,3,0)),"OK",IF((AK212-AM212)&gt;=TIME(0,3,0),"ADELANTADO")))))))</f>
        <v/>
      </c>
      <c r="AM212" s="91" t="n"/>
      <c r="AN212" s="89">
        <f>IF(AE212&lt;&gt;"",HLOOKUP(VALUE(TEXT(AK212,"h:mm:ss")),IF($C$6="Laboral",$FZ$4:$GX$227,IF($C$6="Sábado",$FZ$231:$GX$452,$FZ$456:$GX$656)),VLOOKUP($C$4,$HF$2:$HH$99,3,0)+IF(AG$5="Ida",0,1),1),"")</f>
        <v/>
      </c>
      <c r="AO212" s="89">
        <f>IF(AE213&lt;&gt;AE212,AVERAGEIF(AE$9:AE212,AE212,AN$9:AN212),"")</f>
        <v/>
      </c>
      <c r="AP212" s="89">
        <f>IFERROR(IF(AE213&lt;&gt;AE212,AVERAGEIF(AE$9:AE212,AE212,AW$9:AW212),""),"")</f>
        <v/>
      </c>
      <c r="AQ212" s="89">
        <f>IFERROR(IF(AE213&lt;&gt;AE212,AVERAGEIF(AE$9:AE212,AE212,AX$9:AX212),""),"")</f>
        <v/>
      </c>
      <c r="AR212" s="89">
        <f t="array" ref="AR212">IFERROR(IF(AE213&lt;&gt;AE212,_xlfn.STDEV.P(IF(AE$9:AE212=AE212,AX$9:AX212)),""),"")</f>
        <v/>
      </c>
      <c r="AS212" s="89">
        <f t="array" ref="AS212">IFERROR(IF(AE213&lt;&gt;AE212,_xlfn.STDEV.P(IF(AE$9:AE212=AE212,AW$9:AW212)),""),"")</f>
        <v/>
      </c>
      <c r="AT212" s="90">
        <f>IFERROR(IF(AE212&lt;&gt;AE213,MAX((((AQ212*24*60)/2)*(1+POWER((((AR212*24*60) / (AQ212*24*60) )),2))) + ((AQ212*24*60 )*-0.1 + (AO212*0.015)) +1,(((AQ212*24*60)/2)*(1+POWER((((AR212*24*60) / (AQ212*24*60 ))),2)))),""),"")</f>
        <v/>
      </c>
      <c r="AU212" s="90">
        <f>IF(AND(AS212&lt;&gt;"",AP212&lt;&gt;""),IF(AE212&lt;&gt;AE213,((AP212*24*60) / 2 ) * (1 + POWER(((AS212*24*60) / (AP212*24*60)),2)),""),"")</f>
        <v/>
      </c>
      <c r="AV212" s="90">
        <f>IF(AU212&lt;&gt;"",MAX(AT212,AU212),"")</f>
        <v/>
      </c>
      <c r="AW212" s="89">
        <f>IF(AM212&lt;&gt;"H. Sale Real",IF(AND(AM213&lt;&gt;"",LEFT(AG213,2)&lt;&gt;"Va"),IF(AND(AM212&lt;&gt;"",LEFT(AG212,2)&lt;&gt;"Va",AM212&lt;&gt;"H. Sale Real"),IF(AM213-AM212&lt;0.208333333333333,AM213-AM212,""),IF(AND(AM211&lt;&gt;"",LEFT(AG211,2)&lt;&gt;"Va",AM211&lt;&gt;"H. Sale Real"),IF(AM213-AM211&lt;0.208333333333333,AM213-AM211,""),IF(AND(AM210&lt;&gt;"",LEFT(AG210,2)&lt;&gt;"Va",AM210&lt;&gt;"H. Sale Real"),IF(AM213-AM210&lt;0.208333333333333,AM213-AM210,""),IF(AND(AM209&lt;&gt;"",LEFT(AG209,2)&lt;&gt;"Va",AM209&lt;&gt;"H. Sale Real"),IF(AM213-AM209&lt;0.208333333333333,AM213-AM209,""),IF(AND(AM208&lt;&gt;"",LEFT(AG208,2)&lt;&gt;"Va",AM208&lt;&gt;"H. Sale Real"),IF(AM213-AM208&lt;0.208333333333333,AM213-AM208,""),""))))),""),"")</f>
        <v/>
      </c>
      <c r="AX212" s="89">
        <f>IF(AK212&lt;&gt;"H. Sale Real",IF(AND(AK213&lt;&gt;"",LEFT(AG213,2)&lt;&gt;"Va"),IF(AND(AK212&lt;&gt;"",LEFT(AG212,2)&lt;&gt;"Va",AK212&lt;&gt;"H. Sale Real"),IF(AK213-AK212&lt;0.208333333333333,AK213-AK212,""),IF(AND(AK211&lt;&gt;"",LEFT(AG211,2)&lt;&gt;"Va",AK211&lt;&gt;"H. Sale Real"),IF(AK213-AK211&lt;0.208333333333333,AK213-AK211,""),IF(AND(AK210&lt;&gt;"",LEFT(AG210,2)&lt;&gt;"NC",AK210&lt;&gt;"H. Sale Real"),IF(AK213-AK210&lt;0.208333333333333,AK213-AK210,""),IF(AND(AK209&lt;&gt;"",LEFT(AG209,2)&lt;&gt;"Va",AK209&lt;&gt;"H. Sale Real"),IF(AK213-AK209&lt;0.208333333333333,AK213-AK209,""),IF(AND(AK208&lt;&gt;"",LEFT(AG208,2)&lt;&gt;"Va",AK208&lt;&gt;"H. Sale Real"),IF(AK213-AK208&lt;0.208333333333333,AK213-AK208,""),""))))),""),"")</f>
        <v/>
      </c>
      <c r="AY212" s="87" t="n"/>
      <c r="AZ212" s="89" t="n"/>
      <c r="BA212" s="87" t="n"/>
      <c r="BB212" s="89" t="n"/>
      <c r="BC212" s="91" t="n"/>
      <c r="BD212" s="122">
        <f>IF(AK212&lt;&gt;"",IF(AND(BD211&lt;&gt;"IE",AT212&lt;&gt;0,AV212&lt;&gt;""),IF(IFERROR((AT212/AV212),0) &lt;=1,IFERROR(AT212/AV212,""),1),""),"")</f>
        <v/>
      </c>
      <c r="BE212" s="93" t="n"/>
      <c r="BF212" s="105" t="n"/>
      <c r="FC212" t="inlineStr">
        <is>
          <t>Diccionario 1</t>
        </is>
      </c>
      <c r="FD212" s="15" t="n">
        <v>1200</v>
      </c>
      <c r="FE212" s="15" t="inlineStr">
        <is>
          <t>YV3T7U52XNA207976</t>
        </is>
      </c>
      <c r="FF212" s="15" t="n">
        <v>552632</v>
      </c>
      <c r="FG212" s="15" t="inlineStr">
        <is>
          <t>Volvo</t>
        </is>
      </c>
      <c r="FH212" s="15" t="inlineStr">
        <is>
          <t>B8RLEA</t>
        </is>
      </c>
      <c r="FI212" s="15" t="inlineStr">
        <is>
          <t>MARCOPOLO</t>
        </is>
      </c>
      <c r="FJ212" s="15" t="inlineStr">
        <is>
          <t>GRAN VIALE</t>
        </is>
      </c>
      <c r="FK212" s="15" t="n">
        <v>2022</v>
      </c>
      <c r="FL212" s="15" t="inlineStr">
        <is>
          <t>C</t>
        </is>
      </c>
      <c r="FM212" s="15" t="inlineStr">
        <is>
          <t>PIE ANDINO</t>
        </is>
      </c>
      <c r="FN212" s="15" t="inlineStr">
        <is>
          <t>Pie Andino 31 (Pie Andino 383)</t>
        </is>
      </c>
      <c r="FO212" s="15" t="inlineStr">
        <is>
          <t>Puente Alto</t>
        </is>
      </c>
      <c r="FP212" t="inlineStr">
        <is>
          <t>C</t>
        </is>
      </c>
      <c r="FS212" s="14" t="inlineStr">
        <is>
          <t>3052 / SFVZ-86|</t>
        </is>
      </c>
      <c r="FT212" t="inlineStr">
        <is>
          <t>SFVZ-86|</t>
        </is>
      </c>
      <c r="FU212" t="inlineStr">
        <is>
          <t>SFVZ-86</t>
        </is>
      </c>
      <c r="FV212">
        <f>VLOOKUP(FU212,FD:FL,9,0)</f>
        <v/>
      </c>
      <c r="HB212" s="35" t="n">
        <v>206</v>
      </c>
    </row>
    <row r="213" ht="15.5" customHeight="1">
      <c r="A213" s="10">
        <f>HOUR(G213)+1</f>
        <v/>
      </c>
      <c r="B213" s="7" t="n"/>
      <c r="C213" s="7" t="n"/>
      <c r="D213" s="85">
        <f>IFERROR(
IF(AND(OR(Planilla!B213="C",Planilla!B213="c"), VLOOKUP(E213,FD:FP,13,0)="C"), "OK",IF(AND(OR(Planilla!B213="C",Planilla!B213="c"), OR(VLOOKUP(E213,FD:FP,13,0)="B", VLOOKUP(E213,FD:FP,13,0)="A")), "DEFICIT",IF(
AND(OR(Planilla!B213="B", Planilla!B213="BPAL"), VLOOKUP(E213,FD:FP,13,0)="B"), "OK",IF(AND(OR(Planilla!B213="B", Planilla!B213="BPAL"), VLOOKUP(E213,FD:FP,13,0)="A"), "DEFICIT",IF(AND(OR(Planilla!B213="B", Planilla!B213="BPAL"), VLOOKUP(E213,FD:FP,13,0)="C"), "SOBREOFERTA",IF(AND(Planilla!B213="A", VLOOKUP(E213,FD:FP,13,0)="A"), "OK",IF(
AND(Planilla!B213="A", OR(VLOOKUP(E213,FD:FP,13,0)="B", VLOOKUP(E213,FD:FP,13,0)="C")), "SOBREOFERTA",""
))))))),"")</f>
        <v/>
      </c>
      <c r="E213" s="8" t="n"/>
      <c r="F213" s="86" t="n"/>
      <c r="G213" s="87" t="n"/>
      <c r="H213" s="88">
        <f>IF(I213="","",IF(AND((I213-G213)&gt;=TIME(0,0,0),(I213-G213)&lt;TIME(0,3,0)),"OK",IF(AND((I213-G213)&gt;=TIME(0,3,0),(I213-G213)&lt;TIME(0,5,0)),"RETRASO DE 3-5 MIN",IF(AND((I213-G213)&gt;=TIME(0,5,0),(I213-G213)&lt;TIME(0,10,0)),"RETRASO DE 5-10 MIN",IF((I213-G213)&gt;=TIME(0,10,0),"RETRASO &gt;10 MIN", IF(AND((G213-I213)&gt;=TIME(0,0,0),(G213-I213)&lt;TIME(0,3,0)),"OK",IF((G213-I213)&gt;=TIME(0,3,0),"ADELANTADO")))))))</f>
        <v/>
      </c>
      <c r="I213" s="89" t="n"/>
      <c r="J213" s="89">
        <f>IF(A213&lt;&gt;"",HLOOKUP(VALUE(TEXT(G213,"h:mm:ss")),IF($C$6="Laboral",$FZ$4:$GX$227,IF($C$6="Sábado",$FZ$231:$GX$452,$FZ$456:$GX$656)),VLOOKUP($C$4,$HF$2:$HH$99,3,0)+IF(C$5="Ida",0,1),1),"")</f>
        <v/>
      </c>
      <c r="K213" s="89">
        <f>IF(A214&lt;&gt;A213,AVERAGEIF(A$9:A213,A213,J$9:J213),"")</f>
        <v/>
      </c>
      <c r="L213" s="89">
        <f>IFERROR(IF(A214&lt;&gt;A213,AVERAGEIF(A$9:A213,A213,S$9:S213),""),"")</f>
        <v/>
      </c>
      <c r="M213" s="89">
        <f>IFERROR(IF(A214&lt;&gt;A213,AVERAGEIF(A$9:A213,A213,T$9:T213),""),"")</f>
        <v/>
      </c>
      <c r="N213" s="89">
        <f t="array" ref="N213">IFERROR(IF(A214&lt;&gt;A213,_xlfn.STDEV.P(IF(A$9:A213=A213,T$9:T213)),""),"")</f>
        <v/>
      </c>
      <c r="O213" s="89">
        <f t="array" ref="O213">IFERROR(IF(A214&lt;&gt;A213,_xlfn.STDEV.P(IF(A$9:A213=A213,S$9:S213)),""),"")</f>
        <v/>
      </c>
      <c r="P213" s="90">
        <f>IFERROR(IF(A213&lt;&gt;A214,MAX((((M213*24*60)/2)*(1+POWER((((N213*24*60) / (M213*24*60) )),2))) + ((M213*24*60 )*-0.1 + (K213*0.015)) +1,(((M213*24*60)/2)*(1+POWER((((N213*24*60) / (M213*24*60 ))),2)))),""),"")</f>
        <v/>
      </c>
      <c r="Q213" s="90">
        <f>IF(AND(O213&lt;&gt;"",L213&lt;&gt;""),IF(A213&lt;&gt;A214,((L213*24*60) / 2 ) * (1 + POWER(((O213*24*60) / (L213*24*60)),2)),""),"")</f>
        <v/>
      </c>
      <c r="R213" s="90">
        <f>IF(Q213&lt;&gt;"",MAX(P213,Q213),"")</f>
        <v/>
      </c>
      <c r="S213" s="89">
        <f>IF(I213&lt;&gt;"H. Sale Real",IF(AND(I214&lt;&gt;"",LEFT(C214,2)&lt;&gt;"Va"),IF(AND(I213&lt;&gt;"",LEFT(C213,2)&lt;&gt;"Va",I213&lt;&gt;"H. Sale Real"),IF(I214-I213&lt;0.208333333333333,I214-I213,""),IF(AND(I212&lt;&gt;"",LEFT(C212,2)&lt;&gt;"Va",I212&lt;&gt;"H. Sale Real"),IF(I214-I212&lt;0.208333333333333,I214-I212,""),IF(AND(I211&lt;&gt;"",LEFT(C211,2)&lt;&gt;"Va",I211&lt;&gt;"H. Sale Real"),IF(I214-I211&lt;0.208333333333333,I214-I211,""),IF(AND(I210&lt;&gt;"",LEFT(C210,2)&lt;&gt;"Va",I210&lt;&gt;"H. Sale Real"),IF(I214-I210&lt;0.208333333333333,I214-I210,""),IF(AND(I209&lt;&gt;"",LEFT(C209,2)&lt;&gt;"Va",I209&lt;&gt;"H. Sale Real"),IF(I214-I209&lt;0.208333333333333,I214-I209,""),""))))),""),"")</f>
        <v/>
      </c>
      <c r="T213" s="89">
        <f>IF(G213&lt;&gt;"H. Sale Real",IF(AND(G214&lt;&gt;"",LEFT(C214,2)&lt;&gt;"Va"),IF(AND(G213&lt;&gt;"",LEFT(C213,2)&lt;&gt;"Va",G213&lt;&gt;"H. Sale Real"),IF(G214-G213&lt;0.208333333333333,G214-G213,""),IF(AND(G212&lt;&gt;"",LEFT(C212,2)&lt;&gt;"Va",G212&lt;&gt;"H. Sale Real"),IF(G214-G212&lt;0.208333333333333,G214-G212,""),IF(AND(G211&lt;&gt;"",LEFT(C211,2)&lt;&gt;"Va",G211&lt;&gt;"H. Sale Real"),IF(G214-G211&lt;0.208333333333333,G214-G211,""),IF(AND(G210&lt;&gt;"",LEFT(C210,2)&lt;&gt;"Va",G210&lt;&gt;"H. Sale Real"),IF(G214-G210&lt;0.208333333333333,G214-G210,""),IF(AND(G209&lt;&gt;"",LEFT(C209,2)&lt;&gt;"Va",G209&lt;&gt;"H. Sale Real"),IF(G214-G209&lt;0.208333333333333,G214-G209,""),""))))),""),"")</f>
        <v/>
      </c>
      <c r="U213" s="87" t="n"/>
      <c r="V213" s="89" t="n"/>
      <c r="W213" s="87" t="n"/>
      <c r="X213" s="89" t="n"/>
      <c r="Y213" s="91" t="n"/>
      <c r="Z213" s="122">
        <f>IF(G213&lt;&gt;"",IF(AND(Z212&lt;&gt;"IE",P213&lt;&gt;0,R213&lt;&gt;""),IF(IFERROR((P213/R213),0) &lt;=1,IFERROR(P213/R213,""),1),""),"")</f>
        <v/>
      </c>
      <c r="AA213" s="93" t="n"/>
      <c r="AB213" s="2" t="n"/>
      <c r="AE213" s="10">
        <f>HOUR(AK213)+1</f>
        <v/>
      </c>
      <c r="AF213" s="7" t="n"/>
      <c r="AG213" s="7" t="n"/>
      <c r="AH213" s="86" t="n"/>
      <c r="AI213" s="8" t="n"/>
      <c r="AJ213" s="86" t="n"/>
      <c r="AK213" s="87" t="n"/>
      <c r="AL213" s="88">
        <f>IF(AM213="","",IF(AND((AM213-AK213)&gt;=TIME(0,0,0),(AM213-AK213)&lt;TIME(0,3,0)),"OK",IF(AND((AM213-AK213)&gt;=TIME(0,3,0),(AM213-AK213)&lt;TIME(0,5,0)),"RETRASO DE 3-5 MIN",IF(AND((AM213-AK213)&gt;=TIME(0,5,0),(AM213-AK213)&lt;TIME(0,10,0)),"RETRASO DE 5-10 MIN",IF((AM213-AK213)&gt;=TIME(0,10,0),"RETRASO &gt;10 MIN", IF(AND((AK213-AM213)&gt;=TIME(0,0,0),(AK213-AM213)&lt;TIME(0,3,0)),"OK",IF((AK213-AM213)&gt;=TIME(0,3,0),"ADELANTADO")))))))</f>
        <v/>
      </c>
      <c r="AM213" s="91" t="n"/>
      <c r="AN213" s="89">
        <f>IF(AE213&lt;&gt;"",HLOOKUP(VALUE(TEXT(AK213,"h:mm:ss")),IF($C$6="Laboral",$FZ$4:$GX$227,IF($C$6="Sábado",$FZ$231:$GX$452,$FZ$456:$GX$656)),VLOOKUP($C$4,$HF$2:$HH$99,3,0)+IF(AG$5="Ida",0,1),1),"")</f>
        <v/>
      </c>
      <c r="AO213" s="89">
        <f>IF(AE214&lt;&gt;AE213,AVERAGEIF(AE$9:AE213,AE213,AN$9:AN213),"")</f>
        <v/>
      </c>
      <c r="AP213" s="89">
        <f>IFERROR(IF(AE214&lt;&gt;AE213,AVERAGEIF(AE$9:AE213,AE213,AW$9:AW213),""),"")</f>
        <v/>
      </c>
      <c r="AQ213" s="89">
        <f>IFERROR(IF(AE214&lt;&gt;AE213,AVERAGEIF(AE$9:AE213,AE213,AX$9:AX213),""),"")</f>
        <v/>
      </c>
      <c r="AR213" s="89">
        <f t="array" ref="AR213">IFERROR(IF(AE214&lt;&gt;AE213,_xlfn.STDEV.P(IF(AE$9:AE213=AE213,AX$9:AX213)),""),"")</f>
        <v/>
      </c>
      <c r="AS213" s="89">
        <f t="array" ref="AS213">IFERROR(IF(AE214&lt;&gt;AE213,_xlfn.STDEV.P(IF(AE$9:AE213=AE213,AW$9:AW213)),""),"")</f>
        <v/>
      </c>
      <c r="AT213" s="90">
        <f>IFERROR(IF(AE213&lt;&gt;AE214,MAX((((AQ213*24*60)/2)*(1+POWER((((AR213*24*60) / (AQ213*24*60) )),2))) + ((AQ213*24*60 )*-0.1 + (AO213*0.015)) +1,(((AQ213*24*60)/2)*(1+POWER((((AR213*24*60) / (AQ213*24*60 ))),2)))),""),"")</f>
        <v/>
      </c>
      <c r="AU213" s="90">
        <f>IF(AND(AS213&lt;&gt;"",AP213&lt;&gt;""),IF(AE213&lt;&gt;AE214,((AP213*24*60) / 2 ) * (1 + POWER(((AS213*24*60) / (AP213*24*60)),2)),""),"")</f>
        <v/>
      </c>
      <c r="AV213" s="90">
        <f>IF(AU213&lt;&gt;"",MAX(AT213,AU213),"")</f>
        <v/>
      </c>
      <c r="AW213" s="89">
        <f>IF(AM213&lt;&gt;"H. Sale Real",IF(AND(AM214&lt;&gt;"",LEFT(AG214,2)&lt;&gt;"Va"),IF(AND(AM213&lt;&gt;"",LEFT(AG213,2)&lt;&gt;"Va",AM213&lt;&gt;"H. Sale Real"),IF(AM214-AM213&lt;0.208333333333333,AM214-AM213,""),IF(AND(AM212&lt;&gt;"",LEFT(AG212,2)&lt;&gt;"Va",AM212&lt;&gt;"H. Sale Real"),IF(AM214-AM212&lt;0.208333333333333,AM214-AM212,""),IF(AND(AM211&lt;&gt;"",LEFT(AG211,2)&lt;&gt;"Va",AM211&lt;&gt;"H. Sale Real"),IF(AM214-AM211&lt;0.208333333333333,AM214-AM211,""),IF(AND(AM210&lt;&gt;"",LEFT(AG210,2)&lt;&gt;"Va",AM210&lt;&gt;"H. Sale Real"),IF(AM214-AM210&lt;0.208333333333333,AM214-AM210,""),IF(AND(AM209&lt;&gt;"",LEFT(AG209,2)&lt;&gt;"Va",AM209&lt;&gt;"H. Sale Real"),IF(AM214-AM209&lt;0.208333333333333,AM214-AM209,""),""))))),""),"")</f>
        <v/>
      </c>
      <c r="AX213" s="89">
        <f>IF(AK213&lt;&gt;"H. Sale Real",IF(AND(AK214&lt;&gt;"",LEFT(AG214,2)&lt;&gt;"Va"),IF(AND(AK213&lt;&gt;"",LEFT(AG213,2)&lt;&gt;"Va",AK213&lt;&gt;"H. Sale Real"),IF(AK214-AK213&lt;0.208333333333333,AK214-AK213,""),IF(AND(AK212&lt;&gt;"",LEFT(AG212,2)&lt;&gt;"Va",AK212&lt;&gt;"H. Sale Real"),IF(AK214-AK212&lt;0.208333333333333,AK214-AK212,""),IF(AND(AK211&lt;&gt;"",LEFT(AG211,2)&lt;&gt;"NC",AK211&lt;&gt;"H. Sale Real"),IF(AK214-AK211&lt;0.208333333333333,AK214-AK211,""),IF(AND(AK210&lt;&gt;"",LEFT(AG210,2)&lt;&gt;"Va",AK210&lt;&gt;"H. Sale Real"),IF(AK214-AK210&lt;0.208333333333333,AK214-AK210,""),IF(AND(AK209&lt;&gt;"",LEFT(AG209,2)&lt;&gt;"Va",AK209&lt;&gt;"H. Sale Real"),IF(AK214-AK209&lt;0.208333333333333,AK214-AK209,""),""))))),""),"")</f>
        <v/>
      </c>
      <c r="AY213" s="87" t="n"/>
      <c r="AZ213" s="89" t="n"/>
      <c r="BA213" s="87" t="n"/>
      <c r="BB213" s="89" t="n"/>
      <c r="BC213" s="91" t="n"/>
      <c r="BD213" s="122">
        <f>IF(AK213&lt;&gt;"",IF(AND(BD212&lt;&gt;"IE",AT213&lt;&gt;0,AV213&lt;&gt;""),IF(IFERROR((AT213/AV213),0) &lt;=1,IFERROR(AT213/AV213,""),1),""),"")</f>
        <v/>
      </c>
      <c r="BE213" s="93" t="n"/>
      <c r="BF213" s="105" t="n"/>
      <c r="FC213" t="inlineStr">
        <is>
          <t>Diccionario 1</t>
        </is>
      </c>
      <c r="FD213" s="15" t="n">
        <v>1234</v>
      </c>
      <c r="FE213" s="15" t="inlineStr">
        <is>
          <t>YV3T7U52XNA207895</t>
        </is>
      </c>
      <c r="FF213" s="15" t="n">
        <v>552649</v>
      </c>
      <c r="FG213" s="15" t="inlineStr">
        <is>
          <t>Volvo</t>
        </is>
      </c>
      <c r="FH213" s="15" t="inlineStr">
        <is>
          <t>B8RLEA</t>
        </is>
      </c>
      <c r="FI213" s="15" t="inlineStr">
        <is>
          <t>MARCOPOLO</t>
        </is>
      </c>
      <c r="FJ213" s="15" t="inlineStr">
        <is>
          <t>GRAN VIALE</t>
        </is>
      </c>
      <c r="FK213" s="15" t="n">
        <v>2022</v>
      </c>
      <c r="FL213" s="15" t="inlineStr">
        <is>
          <t>C</t>
        </is>
      </c>
      <c r="FM213" s="15" t="inlineStr">
        <is>
          <t>SAN ALFONSO</t>
        </is>
      </c>
      <c r="FN213" s="15" t="inlineStr">
        <is>
          <t>San Alfonso 2141 (Ramón Subercaseaux 3060)</t>
        </is>
      </c>
      <c r="FO213" s="15" t="inlineStr">
        <is>
          <t>Estacion Central</t>
        </is>
      </c>
      <c r="FP213" t="inlineStr">
        <is>
          <t>C</t>
        </is>
      </c>
      <c r="FS213" s="14" t="inlineStr">
        <is>
          <t>3052 / SFVZ-86|</t>
        </is>
      </c>
      <c r="FT213" t="inlineStr">
        <is>
          <t>SFVZ-86|</t>
        </is>
      </c>
      <c r="FU213" t="inlineStr">
        <is>
          <t>SFVZ-86</t>
        </is>
      </c>
      <c r="FV213">
        <f>VLOOKUP(FU213,FD:FL,9,0)</f>
        <v/>
      </c>
      <c r="HB213" s="35" t="n">
        <v>207</v>
      </c>
    </row>
    <row r="214" ht="15.5" customHeight="1">
      <c r="A214" s="10">
        <f>HOUR(G214)+1</f>
        <v/>
      </c>
      <c r="B214" s="7" t="n"/>
      <c r="C214" s="7" t="n"/>
      <c r="D214" s="85">
        <f>IFERROR(
IF(AND(OR(Planilla!B214="C",Planilla!B214="c"), VLOOKUP(E214,FD:FP,13,0)="C"), "OK",IF(AND(OR(Planilla!B214="C",Planilla!B214="c"), OR(VLOOKUP(E214,FD:FP,13,0)="B", VLOOKUP(E214,FD:FP,13,0)="A")), "DEFICIT",IF(
AND(OR(Planilla!B214="B", Planilla!B214="BPAL"), VLOOKUP(E214,FD:FP,13,0)="B"), "OK",IF(AND(OR(Planilla!B214="B", Planilla!B214="BPAL"), VLOOKUP(E214,FD:FP,13,0)="A"), "DEFICIT",IF(AND(OR(Planilla!B214="B", Planilla!B214="BPAL"), VLOOKUP(E214,FD:FP,13,0)="C"), "SOBREOFERTA",IF(AND(Planilla!B214="A", VLOOKUP(E214,FD:FP,13,0)="A"), "OK",IF(
AND(Planilla!B214="A", OR(VLOOKUP(E214,FD:FP,13,0)="B", VLOOKUP(E214,FD:FP,13,0)="C")), "SOBREOFERTA",""
))))))),"")</f>
        <v/>
      </c>
      <c r="E214" s="8" t="n"/>
      <c r="F214" s="86" t="n"/>
      <c r="G214" s="87" t="n"/>
      <c r="H214" s="88">
        <f>IF(I214="","",IF(AND((I214-G214)&gt;=TIME(0,0,0),(I214-G214)&lt;TIME(0,3,0)),"OK",IF(AND((I214-G214)&gt;=TIME(0,3,0),(I214-G214)&lt;TIME(0,5,0)),"RETRASO DE 3-5 MIN",IF(AND((I214-G214)&gt;=TIME(0,5,0),(I214-G214)&lt;TIME(0,10,0)),"RETRASO DE 5-10 MIN",IF((I214-G214)&gt;=TIME(0,10,0),"RETRASO &gt;10 MIN", IF(AND((G214-I214)&gt;=TIME(0,0,0),(G214-I214)&lt;TIME(0,3,0)),"OK",IF((G214-I214)&gt;=TIME(0,3,0),"ADELANTADO")))))))</f>
        <v/>
      </c>
      <c r="I214" s="89" t="n"/>
      <c r="J214" s="89">
        <f>IF(A214&lt;&gt;"",HLOOKUP(VALUE(TEXT(G214,"h:mm:ss")),IF($C$6="Laboral",$FZ$4:$GX$227,IF($C$6="Sábado",$FZ$231:$GX$452,$FZ$456:$GX$656)),VLOOKUP($C$4,$HF$2:$HH$99,3,0)+IF(C$5="Ida",0,1),1),"")</f>
        <v/>
      </c>
      <c r="K214" s="89">
        <f>IF(A215&lt;&gt;A214,AVERAGEIF(A$9:A214,A214,J$9:J214),"")</f>
        <v/>
      </c>
      <c r="L214" s="89">
        <f>IFERROR(IF(A215&lt;&gt;A214,AVERAGEIF(A$9:A214,A214,S$9:S214),""),"")</f>
        <v/>
      </c>
      <c r="M214" s="89">
        <f>IFERROR(IF(A215&lt;&gt;A214,AVERAGEIF(A$9:A214,A214,T$9:T214),""),"")</f>
        <v/>
      </c>
      <c r="N214" s="89">
        <f t="array" ref="N214">IFERROR(IF(A215&lt;&gt;A214,_xlfn.STDEV.P(IF(A$9:A214=A214,T$9:T214)),""),"")</f>
        <v/>
      </c>
      <c r="O214" s="89">
        <f t="array" ref="O214">IFERROR(IF(A215&lt;&gt;A214,_xlfn.STDEV.P(IF(A$9:A214=A214,S$9:S214)),""),"")</f>
        <v/>
      </c>
      <c r="P214" s="90">
        <f>IFERROR(IF(A214&lt;&gt;A215,MAX((((M214*24*60)/2)*(1+POWER((((N214*24*60) / (M214*24*60) )),2))) + ((M214*24*60 )*-0.1 + (K214*0.015)) +1,(((M214*24*60)/2)*(1+POWER((((N214*24*60) / (M214*24*60 ))),2)))),""),"")</f>
        <v/>
      </c>
      <c r="Q214" s="90">
        <f>IF(AND(O214&lt;&gt;"",L214&lt;&gt;""),IF(A214&lt;&gt;A215,((L214*24*60) / 2 ) * (1 + POWER(((O214*24*60) / (L214*24*60)),2)),""),"")</f>
        <v/>
      </c>
      <c r="R214" s="90">
        <f>IF(Q214&lt;&gt;"",MAX(P214,Q214),"")</f>
        <v/>
      </c>
      <c r="S214" s="89">
        <f>IF(I214&lt;&gt;"H. Sale Real",IF(AND(I215&lt;&gt;"",LEFT(C215,2)&lt;&gt;"Va"),IF(AND(I214&lt;&gt;"",LEFT(C214,2)&lt;&gt;"Va",I214&lt;&gt;"H. Sale Real"),IF(I215-I214&lt;0.208333333333333,I215-I214,""),IF(AND(I213&lt;&gt;"",LEFT(C213,2)&lt;&gt;"Va",I213&lt;&gt;"H. Sale Real"),IF(I215-I213&lt;0.208333333333333,I215-I213,""),IF(AND(I212&lt;&gt;"",LEFT(C212,2)&lt;&gt;"Va",I212&lt;&gt;"H. Sale Real"),IF(I215-I212&lt;0.208333333333333,I215-I212,""),IF(AND(I211&lt;&gt;"",LEFT(C211,2)&lt;&gt;"Va",I211&lt;&gt;"H. Sale Real"),IF(I215-I211&lt;0.208333333333333,I215-I211,""),IF(AND(I210&lt;&gt;"",LEFT(C210,2)&lt;&gt;"Va",I210&lt;&gt;"H. Sale Real"),IF(I215-I210&lt;0.208333333333333,I215-I210,""),""))))),""),"")</f>
        <v/>
      </c>
      <c r="T214" s="89">
        <f>IF(G214&lt;&gt;"H. Sale Real",IF(AND(G215&lt;&gt;"",LEFT(C215,2)&lt;&gt;"Va"),IF(AND(G214&lt;&gt;"",LEFT(C214,2)&lt;&gt;"Va",G214&lt;&gt;"H. Sale Real"),IF(G215-G214&lt;0.208333333333333,G215-G214,""),IF(AND(G213&lt;&gt;"",LEFT(C213,2)&lt;&gt;"Va",G213&lt;&gt;"H. Sale Real"),IF(G215-G213&lt;0.208333333333333,G215-G213,""),IF(AND(G212&lt;&gt;"",LEFT(C212,2)&lt;&gt;"Va",G212&lt;&gt;"H. Sale Real"),IF(G215-G212&lt;0.208333333333333,G215-G212,""),IF(AND(G211&lt;&gt;"",LEFT(C211,2)&lt;&gt;"Va",G211&lt;&gt;"H. Sale Real"),IF(G215-G211&lt;0.208333333333333,G215-G211,""),IF(AND(G210&lt;&gt;"",LEFT(C210,2)&lt;&gt;"Va",G210&lt;&gt;"H. Sale Real"),IF(G215-G210&lt;0.208333333333333,G215-G210,""),""))))),""),"")</f>
        <v/>
      </c>
      <c r="U214" s="87" t="n"/>
      <c r="V214" s="89" t="n"/>
      <c r="W214" s="87" t="n"/>
      <c r="X214" s="89" t="n"/>
      <c r="Y214" s="91" t="n"/>
      <c r="Z214" s="122">
        <f>IF(G214&lt;&gt;"",IF(AND(Z213&lt;&gt;"IE",P214&lt;&gt;0,R214&lt;&gt;""),IF(IFERROR((P214/R214),0) &lt;=1,IFERROR(P214/R214,""),1),""),"")</f>
        <v/>
      </c>
      <c r="AA214" s="93" t="n"/>
      <c r="AB214" s="2" t="n"/>
      <c r="AE214" s="10">
        <f>HOUR(AK214)+1</f>
        <v/>
      </c>
      <c r="AF214" s="7" t="n"/>
      <c r="AG214" s="7" t="n"/>
      <c r="AH214" s="86" t="n"/>
      <c r="AI214" s="8" t="n"/>
      <c r="AJ214" s="86" t="n"/>
      <c r="AK214" s="87" t="n"/>
      <c r="AL214" s="88">
        <f>IF(AM214="","",IF(AND((AM214-AK214)&gt;=TIME(0,0,0),(AM214-AK214)&lt;TIME(0,3,0)),"OK",IF(AND((AM214-AK214)&gt;=TIME(0,3,0),(AM214-AK214)&lt;TIME(0,5,0)),"RETRASO DE 3-5 MIN",IF(AND((AM214-AK214)&gt;=TIME(0,5,0),(AM214-AK214)&lt;TIME(0,10,0)),"RETRASO DE 5-10 MIN",IF((AM214-AK214)&gt;=TIME(0,10,0),"RETRASO &gt;10 MIN", IF(AND((AK214-AM214)&gt;=TIME(0,0,0),(AK214-AM214)&lt;TIME(0,3,0)),"OK",IF((AK214-AM214)&gt;=TIME(0,3,0),"ADELANTADO")))))))</f>
        <v/>
      </c>
      <c r="AM214" s="91" t="n"/>
      <c r="AN214" s="89">
        <f>IF(AE214&lt;&gt;"",HLOOKUP(VALUE(TEXT(AK214,"h:mm:ss")),IF($C$6="Laboral",$FZ$4:$GX$227,IF($C$6="Sábado",$FZ$231:$GX$452,$FZ$456:$GX$656)),VLOOKUP($C$4,$HF$2:$HH$99,3,0)+IF(AG$5="Ida",0,1),1),"")</f>
        <v/>
      </c>
      <c r="AO214" s="89">
        <f>IF(AE215&lt;&gt;AE214,AVERAGEIF(AE$9:AE214,AE214,AN$9:AN214),"")</f>
        <v/>
      </c>
      <c r="AP214" s="89">
        <f>IFERROR(IF(AE215&lt;&gt;AE214,AVERAGEIF(AE$9:AE214,AE214,AW$9:AW214),""),"")</f>
        <v/>
      </c>
      <c r="AQ214" s="89">
        <f>IFERROR(IF(AE215&lt;&gt;AE214,AVERAGEIF(AE$9:AE214,AE214,AX$9:AX214),""),"")</f>
        <v/>
      </c>
      <c r="AR214" s="89">
        <f t="array" ref="AR214">IFERROR(IF(AE215&lt;&gt;AE214,_xlfn.STDEV.P(IF(AE$9:AE214=AE214,AX$9:AX214)),""),"")</f>
        <v/>
      </c>
      <c r="AS214" s="89">
        <f t="array" ref="AS214">IFERROR(IF(AE215&lt;&gt;AE214,_xlfn.STDEV.P(IF(AE$9:AE214=AE214,AW$9:AW214)),""),"")</f>
        <v/>
      </c>
      <c r="AT214" s="90">
        <f>IFERROR(IF(AE214&lt;&gt;AE215,MAX((((AQ214*24*60)/2)*(1+POWER((((AR214*24*60) / (AQ214*24*60) )),2))) + ((AQ214*24*60 )*-0.1 + (AO214*0.015)) +1,(((AQ214*24*60)/2)*(1+POWER((((AR214*24*60) / (AQ214*24*60 ))),2)))),""),"")</f>
        <v/>
      </c>
      <c r="AU214" s="90">
        <f>IF(AND(AS214&lt;&gt;"",AP214&lt;&gt;""),IF(AE214&lt;&gt;AE215,((AP214*24*60) / 2 ) * (1 + POWER(((AS214*24*60) / (AP214*24*60)),2)),""),"")</f>
        <v/>
      </c>
      <c r="AV214" s="90">
        <f>IF(AU214&lt;&gt;"",MAX(AT214,AU214),"")</f>
        <v/>
      </c>
      <c r="AW214" s="89">
        <f>IF(AM214&lt;&gt;"H. Sale Real",IF(AND(AM215&lt;&gt;"",LEFT(AG215,2)&lt;&gt;"Va"),IF(AND(AM214&lt;&gt;"",LEFT(AG214,2)&lt;&gt;"Va",AM214&lt;&gt;"H. Sale Real"),IF(AM215-AM214&lt;0.208333333333333,AM215-AM214,""),IF(AND(AM213&lt;&gt;"",LEFT(AG213,2)&lt;&gt;"Va",AM213&lt;&gt;"H. Sale Real"),IF(AM215-AM213&lt;0.208333333333333,AM215-AM213,""),IF(AND(AM212&lt;&gt;"",LEFT(AG212,2)&lt;&gt;"Va",AM212&lt;&gt;"H. Sale Real"),IF(AM215-AM212&lt;0.208333333333333,AM215-AM212,""),IF(AND(AM211&lt;&gt;"",LEFT(AG211,2)&lt;&gt;"Va",AM211&lt;&gt;"H. Sale Real"),IF(AM215-AM211&lt;0.208333333333333,AM215-AM211,""),IF(AND(AM210&lt;&gt;"",LEFT(AG210,2)&lt;&gt;"Va",AM210&lt;&gt;"H. Sale Real"),IF(AM215-AM210&lt;0.208333333333333,AM215-AM210,""),""))))),""),"")</f>
        <v/>
      </c>
      <c r="AX214" s="89">
        <f>IF(AK214&lt;&gt;"H. Sale Real",IF(AND(AK215&lt;&gt;"",LEFT(AG215,2)&lt;&gt;"Va"),IF(AND(AK214&lt;&gt;"",LEFT(AG214,2)&lt;&gt;"Va",AK214&lt;&gt;"H. Sale Real"),IF(AK215-AK214&lt;0.208333333333333,AK215-AK214,""),IF(AND(AK213&lt;&gt;"",LEFT(AG213,2)&lt;&gt;"Va",AK213&lt;&gt;"H. Sale Real"),IF(AK215-AK213&lt;0.208333333333333,AK215-AK213,""),IF(AND(AK212&lt;&gt;"",LEFT(AG212,2)&lt;&gt;"NC",AK212&lt;&gt;"H. Sale Real"),IF(AK215-AK212&lt;0.208333333333333,AK215-AK212,""),IF(AND(AK211&lt;&gt;"",LEFT(AG211,2)&lt;&gt;"Va",AK211&lt;&gt;"H. Sale Real"),IF(AK215-AK211&lt;0.208333333333333,AK215-AK211,""),IF(AND(AK210&lt;&gt;"",LEFT(AG210,2)&lt;&gt;"Va",AK210&lt;&gt;"H. Sale Real"),IF(AK215-AK210&lt;0.208333333333333,AK215-AK210,""),""))))),""),"")</f>
        <v/>
      </c>
      <c r="AY214" s="87" t="n"/>
      <c r="AZ214" s="89" t="n"/>
      <c r="BA214" s="87" t="n"/>
      <c r="BB214" s="89" t="n"/>
      <c r="BC214" s="91" t="n"/>
      <c r="BD214" s="122">
        <f>IF(AK214&lt;&gt;"",IF(AND(BD213&lt;&gt;"IE",AT214&lt;&gt;0,AV214&lt;&gt;""),IF(IFERROR((AT214/AV214),0) &lt;=1,IFERROR(AT214/AV214,""),1),""),"")</f>
        <v/>
      </c>
      <c r="BE214" s="93" t="n"/>
      <c r="BF214" s="105" t="n"/>
      <c r="FC214" t="inlineStr">
        <is>
          <t>Diccionario 1</t>
        </is>
      </c>
      <c r="FD214" s="15" t="n">
        <v>1235</v>
      </c>
      <c r="FE214" s="15" t="inlineStr">
        <is>
          <t>YV3T7U528NA207894</t>
        </is>
      </c>
      <c r="FF214" s="15" t="n">
        <v>552624</v>
      </c>
      <c r="FG214" s="15" t="inlineStr">
        <is>
          <t>Volvo</t>
        </is>
      </c>
      <c r="FH214" s="15" t="inlineStr">
        <is>
          <t>B8RLEA</t>
        </is>
      </c>
      <c r="FI214" s="15" t="inlineStr">
        <is>
          <t>MARCOPOLO</t>
        </is>
      </c>
      <c r="FJ214" s="15" t="inlineStr">
        <is>
          <t>GRAN VIALE</t>
        </is>
      </c>
      <c r="FK214" s="15" t="n">
        <v>2022</v>
      </c>
      <c r="FL214" s="15" t="inlineStr">
        <is>
          <t>C</t>
        </is>
      </c>
      <c r="FM214" s="15" t="inlineStr">
        <is>
          <t>SAN ALFONSO</t>
        </is>
      </c>
      <c r="FN214" s="15" t="inlineStr">
        <is>
          <t>San Alfonso 2141 (Ramón Subercaseaux 3060)</t>
        </is>
      </c>
      <c r="FO214" s="15" t="inlineStr">
        <is>
          <t>Estacion Central</t>
        </is>
      </c>
      <c r="FP214" t="inlineStr">
        <is>
          <t>C</t>
        </is>
      </c>
      <c r="FS214" s="14" t="inlineStr">
        <is>
          <t>3053 / SFWB-21|</t>
        </is>
      </c>
      <c r="FT214" t="inlineStr">
        <is>
          <t>SFWB-21|</t>
        </is>
      </c>
      <c r="FU214" t="inlineStr">
        <is>
          <t>SFWB-21</t>
        </is>
      </c>
      <c r="FV214">
        <f>VLOOKUP(FU214,FD:FL,9,0)</f>
        <v/>
      </c>
      <c r="HB214" s="35" t="n">
        <v>208</v>
      </c>
    </row>
    <row r="215" ht="15.5" customHeight="1">
      <c r="A215" s="10">
        <f>HOUR(G215)+1</f>
        <v/>
      </c>
      <c r="B215" s="7" t="n"/>
      <c r="C215" s="7" t="n"/>
      <c r="D215" s="85">
        <f>IFERROR(
IF(AND(OR(Planilla!B215="C",Planilla!B215="c"), VLOOKUP(E215,FD:FP,13,0)="C"), "OK",IF(AND(OR(Planilla!B215="C",Planilla!B215="c"), OR(VLOOKUP(E215,FD:FP,13,0)="B", VLOOKUP(E215,FD:FP,13,0)="A")), "DEFICIT",IF(
AND(OR(Planilla!B215="B", Planilla!B215="BPAL"), VLOOKUP(E215,FD:FP,13,0)="B"), "OK",IF(AND(OR(Planilla!B215="B", Planilla!B215="BPAL"), VLOOKUP(E215,FD:FP,13,0)="A"), "DEFICIT",IF(AND(OR(Planilla!B215="B", Planilla!B215="BPAL"), VLOOKUP(E215,FD:FP,13,0)="C"), "SOBREOFERTA",IF(AND(Planilla!B215="A", VLOOKUP(E215,FD:FP,13,0)="A"), "OK",IF(
AND(Planilla!B215="A", OR(VLOOKUP(E215,FD:FP,13,0)="B", VLOOKUP(E215,FD:FP,13,0)="C")), "SOBREOFERTA",""
))))))),"")</f>
        <v/>
      </c>
      <c r="E215" s="8" t="n"/>
      <c r="F215" s="86" t="n"/>
      <c r="G215" s="87" t="n"/>
      <c r="H215" s="88">
        <f>IF(I215="","",IF(AND((I215-G215)&gt;=TIME(0,0,0),(I215-G215)&lt;TIME(0,3,0)),"OK",IF(AND((I215-G215)&gt;=TIME(0,3,0),(I215-G215)&lt;TIME(0,5,0)),"RETRASO DE 3-5 MIN",IF(AND((I215-G215)&gt;=TIME(0,5,0),(I215-G215)&lt;TIME(0,10,0)),"RETRASO DE 5-10 MIN",IF((I215-G215)&gt;=TIME(0,10,0),"RETRASO &gt;10 MIN", IF(AND((G215-I215)&gt;=TIME(0,0,0),(G215-I215)&lt;TIME(0,3,0)),"OK",IF((G215-I215)&gt;=TIME(0,3,0),"ADELANTADO")))))))</f>
        <v/>
      </c>
      <c r="I215" s="89" t="n"/>
      <c r="J215" s="89">
        <f>IF(A215&lt;&gt;"",HLOOKUP(VALUE(TEXT(G215,"h:mm:ss")),IF($C$6="Laboral",$FZ$4:$GX$227,IF($C$6="Sábado",$FZ$231:$GX$452,$FZ$456:$GX$656)),VLOOKUP($C$4,$HF$2:$HH$99,3,0)+IF(C$5="Ida",0,1),1),"")</f>
        <v/>
      </c>
      <c r="K215" s="89">
        <f>IF(A216&lt;&gt;A215,AVERAGEIF(A$9:A215,A215,J$9:J215),"")</f>
        <v/>
      </c>
      <c r="L215" s="89">
        <f>IFERROR(IF(A216&lt;&gt;A215,AVERAGEIF(A$9:A215,A215,S$9:S215),""),"")</f>
        <v/>
      </c>
      <c r="M215" s="89">
        <f>IFERROR(IF(A216&lt;&gt;A215,AVERAGEIF(A$9:A215,A215,T$9:T215),""),"")</f>
        <v/>
      </c>
      <c r="N215" s="89">
        <f t="array" ref="N215">IFERROR(IF(A216&lt;&gt;A215,_xlfn.STDEV.P(IF(A$9:A215=A215,T$9:T215)),""),"")</f>
        <v/>
      </c>
      <c r="O215" s="89">
        <f t="array" ref="O215">IFERROR(IF(A216&lt;&gt;A215,_xlfn.STDEV.P(IF(A$9:A215=A215,S$9:S215)),""),"")</f>
        <v/>
      </c>
      <c r="P215" s="90">
        <f>IFERROR(IF(A215&lt;&gt;A216,MAX((((M215*24*60)/2)*(1+POWER((((N215*24*60) / (M215*24*60) )),2))) + ((M215*24*60 )*-0.1 + (K215*0.015)) +1,(((M215*24*60)/2)*(1+POWER((((N215*24*60) / (M215*24*60 ))),2)))),""),"")</f>
        <v/>
      </c>
      <c r="Q215" s="90">
        <f>IF(AND(O215&lt;&gt;"",L215&lt;&gt;""),IF(A215&lt;&gt;A216,((L215*24*60) / 2 ) * (1 + POWER(((O215*24*60) / (L215*24*60)),2)),""),"")</f>
        <v/>
      </c>
      <c r="R215" s="90">
        <f>IF(Q215&lt;&gt;"",MAX(P215,Q215),"")</f>
        <v/>
      </c>
      <c r="S215" s="89">
        <f>IF(I215&lt;&gt;"H. Sale Real",IF(AND(I216&lt;&gt;"",LEFT(C216,2)&lt;&gt;"Va"),IF(AND(I215&lt;&gt;"",LEFT(C215,2)&lt;&gt;"Va",I215&lt;&gt;"H. Sale Real"),IF(I216-I215&lt;0.208333333333333,I216-I215,""),IF(AND(I214&lt;&gt;"",LEFT(C214,2)&lt;&gt;"Va",I214&lt;&gt;"H. Sale Real"),IF(I216-I214&lt;0.208333333333333,I216-I214,""),IF(AND(I213&lt;&gt;"",LEFT(C213,2)&lt;&gt;"Va",I213&lt;&gt;"H. Sale Real"),IF(I216-I213&lt;0.208333333333333,I216-I213,""),IF(AND(I212&lt;&gt;"",LEFT(C212,2)&lt;&gt;"Va",I212&lt;&gt;"H. Sale Real"),IF(I216-I212&lt;0.208333333333333,I216-I212,""),IF(AND(I211&lt;&gt;"",LEFT(C211,2)&lt;&gt;"Va",I211&lt;&gt;"H. Sale Real"),IF(I216-I211&lt;0.208333333333333,I216-I211,""),""))))),""),"")</f>
        <v/>
      </c>
      <c r="T215" s="89">
        <f>IF(G215&lt;&gt;"H. Sale Real",IF(AND(G216&lt;&gt;"",LEFT(C216,2)&lt;&gt;"Va"),IF(AND(G215&lt;&gt;"",LEFT(C215,2)&lt;&gt;"Va",G215&lt;&gt;"H. Sale Real"),IF(G216-G215&lt;0.208333333333333,G216-G215,""),IF(AND(G214&lt;&gt;"",LEFT(C214,2)&lt;&gt;"Va",G214&lt;&gt;"H. Sale Real"),IF(G216-G214&lt;0.208333333333333,G216-G214,""),IF(AND(G213&lt;&gt;"",LEFT(C213,2)&lt;&gt;"Va",G213&lt;&gt;"H. Sale Real"),IF(G216-G213&lt;0.208333333333333,G216-G213,""),IF(AND(G212&lt;&gt;"",LEFT(C212,2)&lt;&gt;"Va",G212&lt;&gt;"H. Sale Real"),IF(G216-G212&lt;0.208333333333333,G216-G212,""),IF(AND(G211&lt;&gt;"",LEFT(C211,2)&lt;&gt;"Va",G211&lt;&gt;"H. Sale Real"),IF(G216-G211&lt;0.208333333333333,G216-G211,""),""))))),""),"")</f>
        <v/>
      </c>
      <c r="U215" s="87" t="n"/>
      <c r="V215" s="89" t="n"/>
      <c r="W215" s="87" t="n"/>
      <c r="X215" s="89" t="n"/>
      <c r="Y215" s="91" t="n"/>
      <c r="Z215" s="122">
        <f>IF(G215&lt;&gt;"",IF(AND(Z214&lt;&gt;"IE",P215&lt;&gt;0,R215&lt;&gt;""),IF(IFERROR((P215/R215),0) &lt;=1,IFERROR(P215/R215,""),1),""),"")</f>
        <v/>
      </c>
      <c r="AA215" s="93" t="n"/>
      <c r="AB215" s="2" t="n"/>
      <c r="AE215" s="10">
        <f>HOUR(AK215)+1</f>
        <v/>
      </c>
      <c r="AF215" s="7" t="n"/>
      <c r="AG215" s="7" t="n"/>
      <c r="AH215" s="86" t="n"/>
      <c r="AI215" s="8" t="n"/>
      <c r="AJ215" s="86" t="n"/>
      <c r="AK215" s="87" t="n"/>
      <c r="AL215" s="88">
        <f>IF(AM215="","",IF(AND((AM215-AK215)&gt;=TIME(0,0,0),(AM215-AK215)&lt;TIME(0,3,0)),"OK",IF(AND((AM215-AK215)&gt;=TIME(0,3,0),(AM215-AK215)&lt;TIME(0,5,0)),"RETRASO DE 3-5 MIN",IF(AND((AM215-AK215)&gt;=TIME(0,5,0),(AM215-AK215)&lt;TIME(0,10,0)),"RETRASO DE 5-10 MIN",IF((AM215-AK215)&gt;=TIME(0,10,0),"RETRASO &gt;10 MIN", IF(AND((AK215-AM215)&gt;=TIME(0,0,0),(AK215-AM215)&lt;TIME(0,3,0)),"OK",IF((AK215-AM215)&gt;=TIME(0,3,0),"ADELANTADO")))))))</f>
        <v/>
      </c>
      <c r="AM215" s="91" t="n"/>
      <c r="AN215" s="89">
        <f>IF(AE215&lt;&gt;"",HLOOKUP(VALUE(TEXT(AK215,"h:mm:ss")),IF($C$6="Laboral",$FZ$4:$GX$227,IF($C$6="Sábado",$FZ$231:$GX$452,$FZ$456:$GX$656)),VLOOKUP($C$4,$HF$2:$HH$99,3,0)+IF(AG$5="Ida",0,1),1),"")</f>
        <v/>
      </c>
      <c r="AO215" s="89">
        <f>IF(AE216&lt;&gt;AE215,AVERAGEIF(AE$9:AE215,AE215,AN$9:AN215),"")</f>
        <v/>
      </c>
      <c r="AP215" s="89">
        <f>IFERROR(IF(AE216&lt;&gt;AE215,AVERAGEIF(AE$9:AE215,AE215,AW$9:AW215),""),"")</f>
        <v/>
      </c>
      <c r="AQ215" s="89">
        <f>IFERROR(IF(AE216&lt;&gt;AE215,AVERAGEIF(AE$9:AE215,AE215,AX$9:AX215),""),"")</f>
        <v/>
      </c>
      <c r="AR215" s="89">
        <f t="array" ref="AR215">IFERROR(IF(AE216&lt;&gt;AE215,_xlfn.STDEV.P(IF(AE$9:AE215=AE215,AX$9:AX215)),""),"")</f>
        <v/>
      </c>
      <c r="AS215" s="89">
        <f t="array" ref="AS215">IFERROR(IF(AE216&lt;&gt;AE215,_xlfn.STDEV.P(IF(AE$9:AE215=AE215,AW$9:AW215)),""),"")</f>
        <v/>
      </c>
      <c r="AT215" s="90">
        <f>IFERROR(IF(AE215&lt;&gt;AE216,MAX((((AQ215*24*60)/2)*(1+POWER((((AR215*24*60) / (AQ215*24*60) )),2))) + ((AQ215*24*60 )*-0.1 + (AO215*0.015)) +1,(((AQ215*24*60)/2)*(1+POWER((((AR215*24*60) / (AQ215*24*60 ))),2)))),""),"")</f>
        <v/>
      </c>
      <c r="AU215" s="90">
        <f>IF(AND(AS215&lt;&gt;"",AP215&lt;&gt;""),IF(AE215&lt;&gt;AE216,((AP215*24*60) / 2 ) * (1 + POWER(((AS215*24*60) / (AP215*24*60)),2)),""),"")</f>
        <v/>
      </c>
      <c r="AV215" s="90">
        <f>IF(AU215&lt;&gt;"",MAX(AT215,AU215),"")</f>
        <v/>
      </c>
      <c r="AW215" s="89">
        <f>IF(AM215&lt;&gt;"H. Sale Real",IF(AND(AM216&lt;&gt;"",LEFT(AG216,2)&lt;&gt;"Va"),IF(AND(AM215&lt;&gt;"",LEFT(AG215,2)&lt;&gt;"Va",AM215&lt;&gt;"H. Sale Real"),IF(AM216-AM215&lt;0.208333333333333,AM216-AM215,""),IF(AND(AM214&lt;&gt;"",LEFT(AG214,2)&lt;&gt;"Va",AM214&lt;&gt;"H. Sale Real"),IF(AM216-AM214&lt;0.208333333333333,AM216-AM214,""),IF(AND(AM213&lt;&gt;"",LEFT(AG213,2)&lt;&gt;"Va",AM213&lt;&gt;"H. Sale Real"),IF(AM216-AM213&lt;0.208333333333333,AM216-AM213,""),IF(AND(AM212&lt;&gt;"",LEFT(AG212,2)&lt;&gt;"Va",AM212&lt;&gt;"H. Sale Real"),IF(AM216-AM212&lt;0.208333333333333,AM216-AM212,""),IF(AND(AM211&lt;&gt;"",LEFT(AG211,2)&lt;&gt;"Va",AM211&lt;&gt;"H. Sale Real"),IF(AM216-AM211&lt;0.208333333333333,AM216-AM211,""),""))))),""),"")</f>
        <v/>
      </c>
      <c r="AX215" s="89">
        <f>IF(AK215&lt;&gt;"H. Sale Real",IF(AND(AK216&lt;&gt;"",LEFT(AG216,2)&lt;&gt;"Va"),IF(AND(AK215&lt;&gt;"",LEFT(AG215,2)&lt;&gt;"Va",AK215&lt;&gt;"H. Sale Real"),IF(AK216-AK215&lt;0.208333333333333,AK216-AK215,""),IF(AND(AK214&lt;&gt;"",LEFT(AG214,2)&lt;&gt;"Va",AK214&lt;&gt;"H. Sale Real"),IF(AK216-AK214&lt;0.208333333333333,AK216-AK214,""),IF(AND(AK213&lt;&gt;"",LEFT(AG213,2)&lt;&gt;"NC",AK213&lt;&gt;"H. Sale Real"),IF(AK216-AK213&lt;0.208333333333333,AK216-AK213,""),IF(AND(AK212&lt;&gt;"",LEFT(AG212,2)&lt;&gt;"Va",AK212&lt;&gt;"H. Sale Real"),IF(AK216-AK212&lt;0.208333333333333,AK216-AK212,""),IF(AND(AK211&lt;&gt;"",LEFT(AG211,2)&lt;&gt;"Va",AK211&lt;&gt;"H. Sale Real"),IF(AK216-AK211&lt;0.208333333333333,AK216-AK211,""),""))))),""),"")</f>
        <v/>
      </c>
      <c r="AY215" s="87" t="n"/>
      <c r="AZ215" s="89" t="n"/>
      <c r="BA215" s="87" t="n"/>
      <c r="BB215" s="89" t="n"/>
      <c r="BC215" s="91" t="n"/>
      <c r="BD215" s="122">
        <f>IF(AK215&lt;&gt;"",IF(AND(BD214&lt;&gt;"IE",AT215&lt;&gt;0,AV215&lt;&gt;""),IF(IFERROR((AT215/AV215),0) &lt;=1,IFERROR(AT215/AV215,""),1),""),"")</f>
        <v/>
      </c>
      <c r="BE215" s="93" t="n"/>
      <c r="BF215" s="105" t="n"/>
      <c r="FC215" t="inlineStr">
        <is>
          <t>Diccionario 1</t>
        </is>
      </c>
      <c r="FD215" s="15" t="n">
        <v>1236</v>
      </c>
      <c r="FE215" s="15" t="inlineStr">
        <is>
          <t>YV3T7U526NA207893</t>
        </is>
      </c>
      <c r="FF215" s="15" t="n">
        <v>552338</v>
      </c>
      <c r="FG215" s="15" t="inlineStr">
        <is>
          <t>Volvo</t>
        </is>
      </c>
      <c r="FH215" s="15" t="inlineStr">
        <is>
          <t>B8RLEA</t>
        </is>
      </c>
      <c r="FI215" s="15" t="inlineStr">
        <is>
          <t>MARCOPOLO</t>
        </is>
      </c>
      <c r="FJ215" s="15" t="inlineStr">
        <is>
          <t>GRAN VIALE</t>
        </is>
      </c>
      <c r="FK215" s="15" t="n">
        <v>2022</v>
      </c>
      <c r="FL215" s="15" t="inlineStr">
        <is>
          <t>C</t>
        </is>
      </c>
      <c r="FM215" s="15" t="inlineStr">
        <is>
          <t>SAN ALFONSO</t>
        </is>
      </c>
      <c r="FN215" s="15" t="inlineStr">
        <is>
          <t>San Alfonso 2141 (Ramón Subercaseaux 3060)</t>
        </is>
      </c>
      <c r="FO215" s="15" t="inlineStr">
        <is>
          <t>Estacion Central</t>
        </is>
      </c>
      <c r="FP215" t="inlineStr">
        <is>
          <t>C</t>
        </is>
      </c>
      <c r="FS215" s="14" t="inlineStr">
        <is>
          <t>3053 / SFWB-21|</t>
        </is>
      </c>
      <c r="FT215" t="inlineStr">
        <is>
          <t>SFWB-21|</t>
        </is>
      </c>
      <c r="FU215" t="inlineStr">
        <is>
          <t>SFWB-21</t>
        </is>
      </c>
      <c r="FV215">
        <f>VLOOKUP(FU215,FD:FL,9,0)</f>
        <v/>
      </c>
      <c r="HB215" s="35" t="n">
        <v>209</v>
      </c>
    </row>
    <row r="216" ht="15.5" customHeight="1">
      <c r="A216" s="10">
        <f>HOUR(G216)+1</f>
        <v/>
      </c>
      <c r="B216" s="7" t="n"/>
      <c r="C216" s="7" t="n"/>
      <c r="D216" s="85">
        <f>IFERROR(
IF(AND(OR(Planilla!B216="C",Planilla!B216="c"), VLOOKUP(E216,FD:FP,13,0)="C"), "OK",IF(AND(OR(Planilla!B216="C",Planilla!B216="c"), OR(VLOOKUP(E216,FD:FP,13,0)="B", VLOOKUP(E216,FD:FP,13,0)="A")), "DEFICIT",IF(
AND(OR(Planilla!B216="B", Planilla!B216="BPAL"), VLOOKUP(E216,FD:FP,13,0)="B"), "OK",IF(AND(OR(Planilla!B216="B", Planilla!B216="BPAL"), VLOOKUP(E216,FD:FP,13,0)="A"), "DEFICIT",IF(AND(OR(Planilla!B216="B", Planilla!B216="BPAL"), VLOOKUP(E216,FD:FP,13,0)="C"), "SOBREOFERTA",IF(AND(Planilla!B216="A", VLOOKUP(E216,FD:FP,13,0)="A"), "OK",IF(
AND(Planilla!B216="A", OR(VLOOKUP(E216,FD:FP,13,0)="B", VLOOKUP(E216,FD:FP,13,0)="C")), "SOBREOFERTA",""
))))))),"")</f>
        <v/>
      </c>
      <c r="E216" s="8" t="n"/>
      <c r="F216" s="86" t="n"/>
      <c r="G216" s="87" t="n"/>
      <c r="H216" s="88">
        <f>IF(I216="","",IF(AND((I216-G216)&gt;=TIME(0,0,0),(I216-G216)&lt;TIME(0,3,0)),"OK",IF(AND((I216-G216)&gt;=TIME(0,3,0),(I216-G216)&lt;TIME(0,5,0)),"RETRASO DE 3-5 MIN",IF(AND((I216-G216)&gt;=TIME(0,5,0),(I216-G216)&lt;TIME(0,10,0)),"RETRASO DE 5-10 MIN",IF((I216-G216)&gt;=TIME(0,10,0),"RETRASO &gt;10 MIN", IF(AND((G216-I216)&gt;=TIME(0,0,0),(G216-I216)&lt;TIME(0,3,0)),"OK",IF((G216-I216)&gt;=TIME(0,3,0),"ADELANTADO")))))))</f>
        <v/>
      </c>
      <c r="I216" s="89" t="n"/>
      <c r="J216" s="89">
        <f>IF(A216&lt;&gt;"",HLOOKUP(VALUE(TEXT(G216,"h:mm:ss")),IF($C$6="Laboral",$FZ$4:$GX$227,IF($C$6="Sábado",$FZ$231:$GX$452,$FZ$456:$GX$656)),VLOOKUP($C$4,$HF$2:$HH$99,3,0)+IF(C$5="Ida",0,1),1),"")</f>
        <v/>
      </c>
      <c r="K216" s="89">
        <f>IF(A217&lt;&gt;A216,AVERAGEIF(A$9:A216,A216,J$9:J216),"")</f>
        <v/>
      </c>
      <c r="L216" s="89">
        <f>IFERROR(IF(A217&lt;&gt;A216,AVERAGEIF(A$9:A216,A216,S$9:S216),""),"")</f>
        <v/>
      </c>
      <c r="M216" s="89">
        <f>IFERROR(IF(A217&lt;&gt;A216,AVERAGEIF(A$9:A216,A216,T$9:T216),""),"")</f>
        <v/>
      </c>
      <c r="N216" s="89">
        <f t="array" ref="N216">IFERROR(IF(A217&lt;&gt;A216,_xlfn.STDEV.P(IF(A$9:A216=A216,T$9:T216)),""),"")</f>
        <v/>
      </c>
      <c r="O216" s="89">
        <f t="array" ref="O216">IFERROR(IF(A217&lt;&gt;A216,_xlfn.STDEV.P(IF(A$9:A216=A216,S$9:S216)),""),"")</f>
        <v/>
      </c>
      <c r="P216" s="90">
        <f>IFERROR(IF(A216&lt;&gt;A217,MAX((((M216*24*60)/2)*(1+POWER((((N216*24*60) / (M216*24*60) )),2))) + ((M216*24*60 )*-0.1 + (K216*0.015)) +1,(((M216*24*60)/2)*(1+POWER((((N216*24*60) / (M216*24*60 ))),2)))),""),"")</f>
        <v/>
      </c>
      <c r="Q216" s="90">
        <f>IF(AND(O216&lt;&gt;"",L216&lt;&gt;""),IF(A216&lt;&gt;A217,((L216*24*60) / 2 ) * (1 + POWER(((O216*24*60) / (L216*24*60)),2)),""),"")</f>
        <v/>
      </c>
      <c r="R216" s="90">
        <f>IF(Q216&lt;&gt;"",MAX(P216,Q216),"")</f>
        <v/>
      </c>
      <c r="S216" s="89">
        <f>IF(I216&lt;&gt;"H. Sale Real",IF(AND(I217&lt;&gt;"",LEFT(C217,2)&lt;&gt;"Va"),IF(AND(I216&lt;&gt;"",LEFT(C216,2)&lt;&gt;"Va",I216&lt;&gt;"H. Sale Real"),IF(I217-I216&lt;0.208333333333333,I217-I216,""),IF(AND(I215&lt;&gt;"",LEFT(C215,2)&lt;&gt;"Va",I215&lt;&gt;"H. Sale Real"),IF(I217-I215&lt;0.208333333333333,I217-I215,""),IF(AND(I214&lt;&gt;"",LEFT(C214,2)&lt;&gt;"Va",I214&lt;&gt;"H. Sale Real"),IF(I217-I214&lt;0.208333333333333,I217-I214,""),IF(AND(I213&lt;&gt;"",LEFT(C213,2)&lt;&gt;"Va",I213&lt;&gt;"H. Sale Real"),IF(I217-I213&lt;0.208333333333333,I217-I213,""),IF(AND(I212&lt;&gt;"",LEFT(C212,2)&lt;&gt;"Va",I212&lt;&gt;"H. Sale Real"),IF(I217-I212&lt;0.208333333333333,I217-I212,""),""))))),""),"")</f>
        <v/>
      </c>
      <c r="T216" s="89">
        <f>IF(G216&lt;&gt;"H. Sale Real",IF(AND(G217&lt;&gt;"",LEFT(C217,2)&lt;&gt;"Va"),IF(AND(G216&lt;&gt;"",LEFT(C216,2)&lt;&gt;"Va",G216&lt;&gt;"H. Sale Real"),IF(G217-G216&lt;0.208333333333333,G217-G216,""),IF(AND(G215&lt;&gt;"",LEFT(C215,2)&lt;&gt;"Va",G215&lt;&gt;"H. Sale Real"),IF(G217-G215&lt;0.208333333333333,G217-G215,""),IF(AND(G214&lt;&gt;"",LEFT(C214,2)&lt;&gt;"Va",G214&lt;&gt;"H. Sale Real"),IF(G217-G214&lt;0.208333333333333,G217-G214,""),IF(AND(G213&lt;&gt;"",LEFT(C213,2)&lt;&gt;"Va",G213&lt;&gt;"H. Sale Real"),IF(G217-G213&lt;0.208333333333333,G217-G213,""),IF(AND(G212&lt;&gt;"",LEFT(C212,2)&lt;&gt;"Va",G212&lt;&gt;"H. Sale Real"),IF(G217-G212&lt;0.208333333333333,G217-G212,""),""))))),""),"")</f>
        <v/>
      </c>
      <c r="U216" s="87" t="n"/>
      <c r="V216" s="89" t="n"/>
      <c r="W216" s="87" t="n"/>
      <c r="X216" s="89" t="n"/>
      <c r="Y216" s="91" t="n"/>
      <c r="Z216" s="122">
        <f>IF(G216&lt;&gt;"",IF(AND(Z215&lt;&gt;"IE",P216&lt;&gt;0,R216&lt;&gt;""),IF(IFERROR((P216/R216),0) &lt;=1,IFERROR(P216/R216,""),1),""),"")</f>
        <v/>
      </c>
      <c r="AA216" s="93" t="n"/>
      <c r="AB216" s="2" t="n"/>
      <c r="AE216" s="10">
        <f>HOUR(AK216)+1</f>
        <v/>
      </c>
      <c r="AF216" s="7" t="n"/>
      <c r="AG216" s="7" t="n"/>
      <c r="AH216" s="86" t="n"/>
      <c r="AI216" s="8" t="n"/>
      <c r="AJ216" s="86" t="n"/>
      <c r="AK216" s="87" t="n"/>
      <c r="AL216" s="88">
        <f>IF(AM216="","",IF(AND((AM216-AK216)&gt;=TIME(0,0,0),(AM216-AK216)&lt;TIME(0,3,0)),"OK",IF(AND((AM216-AK216)&gt;=TIME(0,3,0),(AM216-AK216)&lt;TIME(0,5,0)),"RETRASO DE 3-5 MIN",IF(AND((AM216-AK216)&gt;=TIME(0,5,0),(AM216-AK216)&lt;TIME(0,10,0)),"RETRASO DE 5-10 MIN",IF((AM216-AK216)&gt;=TIME(0,10,0),"RETRASO &gt;10 MIN", IF(AND((AK216-AM216)&gt;=TIME(0,0,0),(AK216-AM216)&lt;TIME(0,3,0)),"OK",IF((AK216-AM216)&gt;=TIME(0,3,0),"ADELANTADO")))))))</f>
        <v/>
      </c>
      <c r="AM216" s="91" t="n"/>
      <c r="AN216" s="89">
        <f>IF(AE216&lt;&gt;"",HLOOKUP(VALUE(TEXT(AK216,"h:mm:ss")),IF($C$6="Laboral",$FZ$4:$GX$227,IF($C$6="Sábado",$FZ$231:$GX$452,$FZ$456:$GX$656)),VLOOKUP($C$4,$HF$2:$HH$99,3,0)+IF(AG$5="Ida",0,1),1),"")</f>
        <v/>
      </c>
      <c r="AO216" s="89">
        <f>IF(AE217&lt;&gt;AE216,AVERAGEIF(AE$9:AE216,AE216,AN$9:AN216),"")</f>
        <v/>
      </c>
      <c r="AP216" s="89">
        <f>IFERROR(IF(AE217&lt;&gt;AE216,AVERAGEIF(AE$9:AE216,AE216,AW$9:AW216),""),"")</f>
        <v/>
      </c>
      <c r="AQ216" s="89">
        <f>IFERROR(IF(AE217&lt;&gt;AE216,AVERAGEIF(AE$9:AE216,AE216,AX$9:AX216),""),"")</f>
        <v/>
      </c>
      <c r="AR216" s="89">
        <f t="array" ref="AR216">IFERROR(IF(AE217&lt;&gt;AE216,_xlfn.STDEV.P(IF(AE$9:AE216=AE216,AX$9:AX216)),""),"")</f>
        <v/>
      </c>
      <c r="AS216" s="89">
        <f t="array" ref="AS216">IFERROR(IF(AE217&lt;&gt;AE216,_xlfn.STDEV.P(IF(AE$9:AE216=AE216,AW$9:AW216)),""),"")</f>
        <v/>
      </c>
      <c r="AT216" s="90">
        <f>IFERROR(IF(AE216&lt;&gt;AE217,MAX((((AQ216*24*60)/2)*(1+POWER((((AR216*24*60) / (AQ216*24*60) )),2))) + ((AQ216*24*60 )*-0.1 + (AO216*0.015)) +1,(((AQ216*24*60)/2)*(1+POWER((((AR216*24*60) / (AQ216*24*60 ))),2)))),""),"")</f>
        <v/>
      </c>
      <c r="AU216" s="90">
        <f>IF(AND(AS216&lt;&gt;"",AP216&lt;&gt;""),IF(AE216&lt;&gt;AE217,((AP216*24*60) / 2 ) * (1 + POWER(((AS216*24*60) / (AP216*24*60)),2)),""),"")</f>
        <v/>
      </c>
      <c r="AV216" s="90">
        <f>IF(AU216&lt;&gt;"",MAX(AT216,AU216),"")</f>
        <v/>
      </c>
      <c r="AW216" s="89">
        <f>IF(AM216&lt;&gt;"H. Sale Real",IF(AND(AM217&lt;&gt;"",LEFT(AG217,2)&lt;&gt;"Va"),IF(AND(AM216&lt;&gt;"",LEFT(AG216,2)&lt;&gt;"Va",AM216&lt;&gt;"H. Sale Real"),IF(AM217-AM216&lt;0.208333333333333,AM217-AM216,""),IF(AND(AM215&lt;&gt;"",LEFT(AG215,2)&lt;&gt;"Va",AM215&lt;&gt;"H. Sale Real"),IF(AM217-AM215&lt;0.208333333333333,AM217-AM215,""),IF(AND(AM214&lt;&gt;"",LEFT(AG214,2)&lt;&gt;"Va",AM214&lt;&gt;"H. Sale Real"),IF(AM217-AM214&lt;0.208333333333333,AM217-AM214,""),IF(AND(AM213&lt;&gt;"",LEFT(AG213,2)&lt;&gt;"Va",AM213&lt;&gt;"H. Sale Real"),IF(AM217-AM213&lt;0.208333333333333,AM217-AM213,""),IF(AND(AM212&lt;&gt;"",LEFT(AG212,2)&lt;&gt;"Va",AM212&lt;&gt;"H. Sale Real"),IF(AM217-AM212&lt;0.208333333333333,AM217-AM212,""),""))))),""),"")</f>
        <v/>
      </c>
      <c r="AX216" s="89">
        <f>IF(AK216&lt;&gt;"H. Sale Real",IF(AND(AK217&lt;&gt;"",LEFT(AG217,2)&lt;&gt;"Va"),IF(AND(AK216&lt;&gt;"",LEFT(AG216,2)&lt;&gt;"Va",AK216&lt;&gt;"H. Sale Real"),IF(AK217-AK216&lt;0.208333333333333,AK217-AK216,""),IF(AND(AK215&lt;&gt;"",LEFT(AG215,2)&lt;&gt;"Va",AK215&lt;&gt;"H. Sale Real"),IF(AK217-AK215&lt;0.208333333333333,AK217-AK215,""),IF(AND(AK214&lt;&gt;"",LEFT(AG214,2)&lt;&gt;"NC",AK214&lt;&gt;"H. Sale Real"),IF(AK217-AK214&lt;0.208333333333333,AK217-AK214,""),IF(AND(AK213&lt;&gt;"",LEFT(AG213,2)&lt;&gt;"Va",AK213&lt;&gt;"H. Sale Real"),IF(AK217-AK213&lt;0.208333333333333,AK217-AK213,""),IF(AND(AK212&lt;&gt;"",LEFT(AG212,2)&lt;&gt;"Va",AK212&lt;&gt;"H. Sale Real"),IF(AK217-AK212&lt;0.208333333333333,AK217-AK212,""),""))))),""),"")</f>
        <v/>
      </c>
      <c r="AY216" s="87" t="n"/>
      <c r="AZ216" s="89" t="n"/>
      <c r="BA216" s="87" t="n"/>
      <c r="BB216" s="89" t="n"/>
      <c r="BC216" s="91" t="n"/>
      <c r="BD216" s="122">
        <f>IF(AK216&lt;&gt;"",IF(AND(BD215&lt;&gt;"IE",AT216&lt;&gt;0,AV216&lt;&gt;""),IF(IFERROR((AT216/AV216),0) &lt;=1,IFERROR(AT216/AV216,""),1),""),"")</f>
        <v/>
      </c>
      <c r="BE216" s="93" t="n"/>
      <c r="BF216" s="105" t="n"/>
      <c r="FC216" t="inlineStr">
        <is>
          <t>Diccionario 1</t>
        </is>
      </c>
      <c r="FD216" s="15" t="n">
        <v>1237</v>
      </c>
      <c r="FE216" s="15" t="inlineStr">
        <is>
          <t>YV3T7U525NA207884</t>
        </is>
      </c>
      <c r="FF216" s="15" t="n">
        <v>552333</v>
      </c>
      <c r="FG216" s="15" t="inlineStr">
        <is>
          <t>Volvo</t>
        </is>
      </c>
      <c r="FH216" s="15" t="inlineStr">
        <is>
          <t>B8RLEA</t>
        </is>
      </c>
      <c r="FI216" s="15" t="inlineStr">
        <is>
          <t>MARCOPOLO</t>
        </is>
      </c>
      <c r="FJ216" s="15" t="inlineStr">
        <is>
          <t>GRAN VIALE</t>
        </is>
      </c>
      <c r="FK216" s="15" t="n">
        <v>2022</v>
      </c>
      <c r="FL216" s="15" t="inlineStr">
        <is>
          <t>C</t>
        </is>
      </c>
      <c r="FM216" s="15" t="inlineStr">
        <is>
          <t>SAN ALFONSO</t>
        </is>
      </c>
      <c r="FN216" s="15" t="inlineStr">
        <is>
          <t>San Alfonso 2141 (Ramón Subercaseaux 3060)</t>
        </is>
      </c>
      <c r="FO216" s="15" t="inlineStr">
        <is>
          <t>Estacion Central</t>
        </is>
      </c>
      <c r="FP216" t="inlineStr">
        <is>
          <t>C</t>
        </is>
      </c>
      <c r="FS216" s="14" t="inlineStr">
        <is>
          <t>3054 / SFWB-24|</t>
        </is>
      </c>
      <c r="FT216" t="inlineStr">
        <is>
          <t>SFWB-24|</t>
        </is>
      </c>
      <c r="FU216" t="inlineStr">
        <is>
          <t>SFWB-24</t>
        </is>
      </c>
      <c r="FV216">
        <f>VLOOKUP(FU216,FD:FL,9,0)</f>
        <v/>
      </c>
      <c r="HB216" s="35" t="n">
        <v>210</v>
      </c>
    </row>
    <row r="217" ht="15.5" customHeight="1">
      <c r="A217" s="10">
        <f>HOUR(G217)+1</f>
        <v/>
      </c>
      <c r="B217" s="7" t="n"/>
      <c r="C217" s="7" t="n"/>
      <c r="D217" s="85">
        <f>IFERROR(
IF(AND(OR(Planilla!B217="C",Planilla!B217="c"), VLOOKUP(E217,FD:FP,13,0)="C"), "OK",IF(AND(OR(Planilla!B217="C",Planilla!B217="c"), OR(VLOOKUP(E217,FD:FP,13,0)="B", VLOOKUP(E217,FD:FP,13,0)="A")), "DEFICIT",IF(
AND(OR(Planilla!B217="B", Planilla!B217="BPAL"), VLOOKUP(E217,FD:FP,13,0)="B"), "OK",IF(AND(OR(Planilla!B217="B", Planilla!B217="BPAL"), VLOOKUP(E217,FD:FP,13,0)="A"), "DEFICIT",IF(AND(OR(Planilla!B217="B", Planilla!B217="BPAL"), VLOOKUP(E217,FD:FP,13,0)="C"), "SOBREOFERTA",IF(AND(Planilla!B217="A", VLOOKUP(E217,FD:FP,13,0)="A"), "OK",IF(
AND(Planilla!B217="A", OR(VLOOKUP(E217,FD:FP,13,0)="B", VLOOKUP(E217,FD:FP,13,0)="C")), "SOBREOFERTA",""
))))))),"")</f>
        <v/>
      </c>
      <c r="E217" s="8" t="n"/>
      <c r="F217" s="86" t="n"/>
      <c r="G217" s="87" t="n"/>
      <c r="H217" s="88">
        <f>IF(I217="","",IF(AND((I217-G217)&gt;=TIME(0,0,0),(I217-G217)&lt;TIME(0,3,0)),"OK",IF(AND((I217-G217)&gt;=TIME(0,3,0),(I217-G217)&lt;TIME(0,5,0)),"RETRASO DE 3-5 MIN",IF(AND((I217-G217)&gt;=TIME(0,5,0),(I217-G217)&lt;TIME(0,10,0)),"RETRASO DE 5-10 MIN",IF((I217-G217)&gt;=TIME(0,10,0),"RETRASO &gt;10 MIN", IF(AND((G217-I217)&gt;=TIME(0,0,0),(G217-I217)&lt;TIME(0,3,0)),"OK",IF((G217-I217)&gt;=TIME(0,3,0),"ADELANTADO")))))))</f>
        <v/>
      </c>
      <c r="I217" s="89" t="n"/>
      <c r="J217" s="89">
        <f>IF(A217&lt;&gt;"",HLOOKUP(VALUE(TEXT(G217,"h:mm:ss")),IF($C$6="Laboral",$FZ$4:$GX$227,IF($C$6="Sábado",$FZ$231:$GX$452,$FZ$456:$GX$656)),VLOOKUP($C$4,$HF$2:$HH$99,3,0)+IF(C$5="Ida",0,1),1),"")</f>
        <v/>
      </c>
      <c r="K217" s="89">
        <f>IF(A218&lt;&gt;A217,AVERAGEIF(A$9:A217,A217,J$9:J217),"")</f>
        <v/>
      </c>
      <c r="L217" s="89">
        <f>IFERROR(IF(A218&lt;&gt;A217,AVERAGEIF(A$9:A217,A217,S$9:S217),""),"")</f>
        <v/>
      </c>
      <c r="M217" s="89">
        <f>IFERROR(IF(A218&lt;&gt;A217,AVERAGEIF(A$9:A217,A217,T$9:T217),""),"")</f>
        <v/>
      </c>
      <c r="N217" s="89">
        <f t="array" ref="N217">IFERROR(IF(A218&lt;&gt;A217,_xlfn.STDEV.P(IF(A$9:A217=A217,T$9:T217)),""),"")</f>
        <v/>
      </c>
      <c r="O217" s="89">
        <f t="array" ref="O217">IFERROR(IF(A218&lt;&gt;A217,_xlfn.STDEV.P(IF(A$9:A217=A217,S$9:S217)),""),"")</f>
        <v/>
      </c>
      <c r="P217" s="90">
        <f>IFERROR(IF(A217&lt;&gt;A218,MAX((((M217*24*60)/2)*(1+POWER((((N217*24*60) / (M217*24*60) )),2))) + ((M217*24*60 )*-0.1 + (K217*0.015)) +1,(((M217*24*60)/2)*(1+POWER((((N217*24*60) / (M217*24*60 ))),2)))),""),"")</f>
        <v/>
      </c>
      <c r="Q217" s="90">
        <f>IF(AND(O217&lt;&gt;"",L217&lt;&gt;""),IF(A217&lt;&gt;A218,((L217*24*60) / 2 ) * (1 + POWER(((O217*24*60) / (L217*24*60)),2)),""),"")</f>
        <v/>
      </c>
      <c r="R217" s="90">
        <f>IF(Q217&lt;&gt;"",MAX(P217,Q217),"")</f>
        <v/>
      </c>
      <c r="S217" s="89">
        <f>IF(I217&lt;&gt;"H. Sale Real",IF(AND(I218&lt;&gt;"",LEFT(C218,2)&lt;&gt;"Va"),IF(AND(I217&lt;&gt;"",LEFT(C217,2)&lt;&gt;"Va",I217&lt;&gt;"H. Sale Real"),IF(I218-I217&lt;0.208333333333333,I218-I217,""),IF(AND(I216&lt;&gt;"",LEFT(C216,2)&lt;&gt;"Va",I216&lt;&gt;"H. Sale Real"),IF(I218-I216&lt;0.208333333333333,I218-I216,""),IF(AND(I215&lt;&gt;"",LEFT(C215,2)&lt;&gt;"Va",I215&lt;&gt;"H. Sale Real"),IF(I218-I215&lt;0.208333333333333,I218-I215,""),IF(AND(I214&lt;&gt;"",LEFT(C214,2)&lt;&gt;"Va",I214&lt;&gt;"H. Sale Real"),IF(I218-I214&lt;0.208333333333333,I218-I214,""),IF(AND(I213&lt;&gt;"",LEFT(C213,2)&lt;&gt;"Va",I213&lt;&gt;"H. Sale Real"),IF(I218-I213&lt;0.208333333333333,I218-I213,""),""))))),""),"")</f>
        <v/>
      </c>
      <c r="T217" s="89">
        <f>IF(G217&lt;&gt;"H. Sale Real",IF(AND(G218&lt;&gt;"",LEFT(C218,2)&lt;&gt;"Va"),IF(AND(G217&lt;&gt;"",LEFT(C217,2)&lt;&gt;"Va",G217&lt;&gt;"H. Sale Real"),IF(G218-G217&lt;0.208333333333333,G218-G217,""),IF(AND(G216&lt;&gt;"",LEFT(C216,2)&lt;&gt;"Va",G216&lt;&gt;"H. Sale Real"),IF(G218-G216&lt;0.208333333333333,G218-G216,""),IF(AND(G215&lt;&gt;"",LEFT(C215,2)&lt;&gt;"Va",G215&lt;&gt;"H. Sale Real"),IF(G218-G215&lt;0.208333333333333,G218-G215,""),IF(AND(G214&lt;&gt;"",LEFT(C214,2)&lt;&gt;"Va",G214&lt;&gt;"H. Sale Real"),IF(G218-G214&lt;0.208333333333333,G218-G214,""),IF(AND(G213&lt;&gt;"",LEFT(C213,2)&lt;&gt;"Va",G213&lt;&gt;"H. Sale Real"),IF(G218-G213&lt;0.208333333333333,G218-G213,""),""))))),""),"")</f>
        <v/>
      </c>
      <c r="U217" s="87" t="n"/>
      <c r="V217" s="89" t="n"/>
      <c r="W217" s="87" t="n"/>
      <c r="X217" s="89" t="n"/>
      <c r="Y217" s="91" t="n"/>
      <c r="Z217" s="122">
        <f>IF(G217&lt;&gt;"",IF(AND(Z216&lt;&gt;"IE",P217&lt;&gt;0,R217&lt;&gt;""),IF(IFERROR((P217/R217),0) &lt;=1,IFERROR(P217/R217,""),1),""),"")</f>
        <v/>
      </c>
      <c r="AA217" s="93" t="n"/>
      <c r="AB217" s="2" t="n"/>
      <c r="AE217" s="10">
        <f>HOUR(AK217)+1</f>
        <v/>
      </c>
      <c r="AF217" s="7" t="n"/>
      <c r="AG217" s="7" t="n"/>
      <c r="AH217" s="86" t="n"/>
      <c r="AI217" s="8" t="n"/>
      <c r="AJ217" s="86" t="n"/>
      <c r="AK217" s="87" t="n"/>
      <c r="AL217" s="88">
        <f>IF(AM217="","",IF(AND((AM217-AK217)&gt;=TIME(0,0,0),(AM217-AK217)&lt;TIME(0,3,0)),"OK",IF(AND((AM217-AK217)&gt;=TIME(0,3,0),(AM217-AK217)&lt;TIME(0,5,0)),"RETRASO DE 3-5 MIN",IF(AND((AM217-AK217)&gt;=TIME(0,5,0),(AM217-AK217)&lt;TIME(0,10,0)),"RETRASO DE 5-10 MIN",IF((AM217-AK217)&gt;=TIME(0,10,0),"RETRASO &gt;10 MIN", IF(AND((AK217-AM217)&gt;=TIME(0,0,0),(AK217-AM217)&lt;TIME(0,3,0)),"OK",IF((AK217-AM217)&gt;=TIME(0,3,0),"ADELANTADO")))))))</f>
        <v/>
      </c>
      <c r="AM217" s="91" t="n"/>
      <c r="AN217" s="89">
        <f>IF(AE217&lt;&gt;"",HLOOKUP(VALUE(TEXT(AK217,"h:mm:ss")),IF($C$6="Laboral",$FZ$4:$GX$227,IF($C$6="Sábado",$FZ$231:$GX$452,$FZ$456:$GX$656)),VLOOKUP($C$4,$HF$2:$HH$99,3,0)+IF(AG$5="Ida",0,1),1),"")</f>
        <v/>
      </c>
      <c r="AO217" s="89">
        <f>IF(AE218&lt;&gt;AE217,AVERAGEIF(AE$9:AE217,AE217,AN$9:AN217),"")</f>
        <v/>
      </c>
      <c r="AP217" s="89">
        <f>IFERROR(IF(AE218&lt;&gt;AE217,AVERAGEIF(AE$9:AE217,AE217,AW$9:AW217),""),"")</f>
        <v/>
      </c>
      <c r="AQ217" s="89">
        <f>IFERROR(IF(AE218&lt;&gt;AE217,AVERAGEIF(AE$9:AE217,AE217,AX$9:AX217),""),"")</f>
        <v/>
      </c>
      <c r="AR217" s="89">
        <f t="array" ref="AR217">IFERROR(IF(AE218&lt;&gt;AE217,_xlfn.STDEV.P(IF(AE$9:AE217=AE217,AX$9:AX217)),""),"")</f>
        <v/>
      </c>
      <c r="AS217" s="89">
        <f t="array" ref="AS217">IFERROR(IF(AE218&lt;&gt;AE217,_xlfn.STDEV.P(IF(AE$9:AE217=AE217,AW$9:AW217)),""),"")</f>
        <v/>
      </c>
      <c r="AT217" s="90">
        <f>IFERROR(IF(AE217&lt;&gt;AE218,MAX((((AQ217*24*60)/2)*(1+POWER((((AR217*24*60) / (AQ217*24*60) )),2))) + ((AQ217*24*60 )*-0.1 + (AO217*0.015)) +1,(((AQ217*24*60)/2)*(1+POWER((((AR217*24*60) / (AQ217*24*60 ))),2)))),""),"")</f>
        <v/>
      </c>
      <c r="AU217" s="90">
        <f>IF(AND(AS217&lt;&gt;"",AP217&lt;&gt;""),IF(AE217&lt;&gt;AE218,((AP217*24*60) / 2 ) * (1 + POWER(((AS217*24*60) / (AP217*24*60)),2)),""),"")</f>
        <v/>
      </c>
      <c r="AV217" s="90">
        <f>IF(AU217&lt;&gt;"",MAX(AT217,AU217),"")</f>
        <v/>
      </c>
      <c r="AW217" s="89">
        <f>IF(AM217&lt;&gt;"H. Sale Real",IF(AND(AM218&lt;&gt;"",LEFT(AG218,2)&lt;&gt;"Va"),IF(AND(AM217&lt;&gt;"",LEFT(AG217,2)&lt;&gt;"Va",AM217&lt;&gt;"H. Sale Real"),IF(AM218-AM217&lt;0.208333333333333,AM218-AM217,""),IF(AND(AM216&lt;&gt;"",LEFT(AG216,2)&lt;&gt;"Va",AM216&lt;&gt;"H. Sale Real"),IF(AM218-AM216&lt;0.208333333333333,AM218-AM216,""),IF(AND(AM215&lt;&gt;"",LEFT(AG215,2)&lt;&gt;"Va",AM215&lt;&gt;"H. Sale Real"),IF(AM218-AM215&lt;0.208333333333333,AM218-AM215,""),IF(AND(AM214&lt;&gt;"",LEFT(AG214,2)&lt;&gt;"Va",AM214&lt;&gt;"H. Sale Real"),IF(AM218-AM214&lt;0.208333333333333,AM218-AM214,""),IF(AND(AM213&lt;&gt;"",LEFT(AG213,2)&lt;&gt;"Va",AM213&lt;&gt;"H. Sale Real"),IF(AM218-AM213&lt;0.208333333333333,AM218-AM213,""),""))))),""),"")</f>
        <v/>
      </c>
      <c r="AX217" s="89">
        <f>IF(AK217&lt;&gt;"H. Sale Real",IF(AND(AK218&lt;&gt;"",LEFT(AG218,2)&lt;&gt;"Va"),IF(AND(AK217&lt;&gt;"",LEFT(AG217,2)&lt;&gt;"Va",AK217&lt;&gt;"H. Sale Real"),IF(AK218-AK217&lt;0.208333333333333,AK218-AK217,""),IF(AND(AK216&lt;&gt;"",LEFT(AG216,2)&lt;&gt;"Va",AK216&lt;&gt;"H. Sale Real"),IF(AK218-AK216&lt;0.208333333333333,AK218-AK216,""),IF(AND(AK215&lt;&gt;"",LEFT(AG215,2)&lt;&gt;"NC",AK215&lt;&gt;"H. Sale Real"),IF(AK218-AK215&lt;0.208333333333333,AK218-AK215,""),IF(AND(AK214&lt;&gt;"",LEFT(AG214,2)&lt;&gt;"Va",AK214&lt;&gt;"H. Sale Real"),IF(AK218-AK214&lt;0.208333333333333,AK218-AK214,""),IF(AND(AK213&lt;&gt;"",LEFT(AG213,2)&lt;&gt;"Va",AK213&lt;&gt;"H. Sale Real"),IF(AK218-AK213&lt;0.208333333333333,AK218-AK213,""),""))))),""),"")</f>
        <v/>
      </c>
      <c r="AY217" s="87" t="n"/>
      <c r="AZ217" s="89" t="n"/>
      <c r="BA217" s="87" t="n"/>
      <c r="BB217" s="89" t="n"/>
      <c r="BC217" s="91" t="n"/>
      <c r="BD217" s="122">
        <f>IF(AK217&lt;&gt;"",IF(AND(BD216&lt;&gt;"IE",AT217&lt;&gt;0,AV217&lt;&gt;""),IF(IFERROR((AT217/AV217),0) &lt;=1,IFERROR(AT217/AV217,""),1),""),"")</f>
        <v/>
      </c>
      <c r="BE217" s="93" t="n"/>
      <c r="BF217" s="105" t="n"/>
      <c r="FC217" t="inlineStr">
        <is>
          <t>Diccionario 1</t>
        </is>
      </c>
      <c r="FD217" s="15" t="n">
        <v>1201</v>
      </c>
      <c r="FE217" s="15" t="inlineStr">
        <is>
          <t>YV3T7U523NA207995</t>
        </is>
      </c>
      <c r="FF217" s="15" t="n">
        <v>552881</v>
      </c>
      <c r="FG217" s="15" t="inlineStr">
        <is>
          <t>Volvo</t>
        </is>
      </c>
      <c r="FH217" s="15" t="inlineStr">
        <is>
          <t>B8RLEA</t>
        </is>
      </c>
      <c r="FI217" s="15" t="inlineStr">
        <is>
          <t>MARCOPOLO</t>
        </is>
      </c>
      <c r="FJ217" s="15" t="inlineStr">
        <is>
          <t>GRAN VIALE</t>
        </is>
      </c>
      <c r="FK217" s="15" t="n">
        <v>2022</v>
      </c>
      <c r="FL217" s="15" t="inlineStr">
        <is>
          <t>C</t>
        </is>
      </c>
      <c r="FM217" s="15" t="inlineStr">
        <is>
          <t>PIE ANDINO</t>
        </is>
      </c>
      <c r="FN217" s="15" t="inlineStr">
        <is>
          <t>Pie Andino 31 (Pie Andino 383)</t>
        </is>
      </c>
      <c r="FO217" s="15" t="inlineStr">
        <is>
          <t>Puente Alto</t>
        </is>
      </c>
      <c r="FP217" t="inlineStr">
        <is>
          <t>C</t>
        </is>
      </c>
      <c r="FS217" s="14" t="inlineStr">
        <is>
          <t>3054 / SFWB-24|</t>
        </is>
      </c>
      <c r="FT217" t="inlineStr">
        <is>
          <t>SFWB-24|</t>
        </is>
      </c>
      <c r="FU217" t="inlineStr">
        <is>
          <t>SFWB-24</t>
        </is>
      </c>
      <c r="FV217">
        <f>VLOOKUP(FU217,FD:FL,9,0)</f>
        <v/>
      </c>
      <c r="HB217" s="35" t="n">
        <v>211</v>
      </c>
    </row>
    <row r="218" ht="15.5" customHeight="1">
      <c r="A218" s="10">
        <f>HOUR(G218)+1</f>
        <v/>
      </c>
      <c r="B218" s="7" t="n"/>
      <c r="C218" s="7" t="n"/>
      <c r="D218" s="85">
        <f>IFERROR(
IF(AND(OR(Planilla!B218="C",Planilla!B218="c"), VLOOKUP(E218,FD:FP,13,0)="C"), "OK",IF(AND(OR(Planilla!B218="C",Planilla!B218="c"), OR(VLOOKUP(E218,FD:FP,13,0)="B", VLOOKUP(E218,FD:FP,13,0)="A")), "DEFICIT",IF(
AND(OR(Planilla!B218="B", Planilla!B218="BPAL"), VLOOKUP(E218,FD:FP,13,0)="B"), "OK",IF(AND(OR(Planilla!B218="B", Planilla!B218="BPAL"), VLOOKUP(E218,FD:FP,13,0)="A"), "DEFICIT",IF(AND(OR(Planilla!B218="B", Planilla!B218="BPAL"), VLOOKUP(E218,FD:FP,13,0)="C"), "SOBREOFERTA",IF(AND(Planilla!B218="A", VLOOKUP(E218,FD:FP,13,0)="A"), "OK",IF(
AND(Planilla!B218="A", OR(VLOOKUP(E218,FD:FP,13,0)="B", VLOOKUP(E218,FD:FP,13,0)="C")), "SOBREOFERTA",""
))))))),"")</f>
        <v/>
      </c>
      <c r="E218" s="8" t="n"/>
      <c r="F218" s="86" t="n"/>
      <c r="G218" s="87" t="n"/>
      <c r="H218" s="88">
        <f>IF(I218="","",IF(AND((I218-G218)&gt;=TIME(0,0,0),(I218-G218)&lt;TIME(0,3,0)),"OK",IF(AND((I218-G218)&gt;=TIME(0,3,0),(I218-G218)&lt;TIME(0,5,0)),"RETRASO DE 3-5 MIN",IF(AND((I218-G218)&gt;=TIME(0,5,0),(I218-G218)&lt;TIME(0,10,0)),"RETRASO DE 5-10 MIN",IF((I218-G218)&gt;=TIME(0,10,0),"RETRASO &gt;10 MIN", IF(AND((G218-I218)&gt;=TIME(0,0,0),(G218-I218)&lt;TIME(0,3,0)),"OK",IF((G218-I218)&gt;=TIME(0,3,0),"ADELANTADO")))))))</f>
        <v/>
      </c>
      <c r="I218" s="89" t="n"/>
      <c r="J218" s="89">
        <f>IF(A218&lt;&gt;"",HLOOKUP(VALUE(TEXT(G218,"h:mm:ss")),IF($C$6="Laboral",$FZ$4:$GX$227,IF($C$6="Sábado",$FZ$231:$GX$452,$FZ$456:$GX$656)),VLOOKUP($C$4,$HF$2:$HH$99,3,0)+IF(C$5="Ida",0,1),1),"")</f>
        <v/>
      </c>
      <c r="K218" s="89">
        <f>IF(A219&lt;&gt;A218,AVERAGEIF(A$9:A218,A218,J$9:J218),"")</f>
        <v/>
      </c>
      <c r="L218" s="89">
        <f>IFERROR(IF(A219&lt;&gt;A218,AVERAGEIF(A$9:A218,A218,S$9:S218),""),"")</f>
        <v/>
      </c>
      <c r="M218" s="89">
        <f>IFERROR(IF(A219&lt;&gt;A218,AVERAGEIF(A$9:A218,A218,T$9:T218),""),"")</f>
        <v/>
      </c>
      <c r="N218" s="89">
        <f t="array" ref="N218">IFERROR(IF(A219&lt;&gt;A218,_xlfn.STDEV.P(IF(A$9:A218=A218,T$9:T218)),""),"")</f>
        <v/>
      </c>
      <c r="O218" s="89">
        <f t="array" ref="O218">IFERROR(IF(A219&lt;&gt;A218,_xlfn.STDEV.P(IF(A$9:A218=A218,S$9:S218)),""),"")</f>
        <v/>
      </c>
      <c r="P218" s="90">
        <f>IFERROR(IF(A218&lt;&gt;A219,MAX((((M218*24*60)/2)*(1+POWER((((N218*24*60) / (M218*24*60) )),2))) + ((M218*24*60 )*-0.1 + (K218*0.015)) +1,(((M218*24*60)/2)*(1+POWER((((N218*24*60) / (M218*24*60 ))),2)))),""),"")</f>
        <v/>
      </c>
      <c r="Q218" s="90">
        <f>IF(AND(O218&lt;&gt;"",L218&lt;&gt;""),IF(A218&lt;&gt;A219,((L218*24*60) / 2 ) * (1 + POWER(((O218*24*60) / (L218*24*60)),2)),""),"")</f>
        <v/>
      </c>
      <c r="R218" s="90">
        <f>IF(Q218&lt;&gt;"",MAX(P218,Q218),"")</f>
        <v/>
      </c>
      <c r="S218" s="89">
        <f>IF(I218&lt;&gt;"H. Sale Real",IF(AND(I219&lt;&gt;"",LEFT(C219,2)&lt;&gt;"Va"),IF(AND(I218&lt;&gt;"",LEFT(C218,2)&lt;&gt;"Va",I218&lt;&gt;"H. Sale Real"),IF(I219-I218&lt;0.208333333333333,I219-I218,""),IF(AND(I217&lt;&gt;"",LEFT(C217,2)&lt;&gt;"Va",I217&lt;&gt;"H. Sale Real"),IF(I219-I217&lt;0.208333333333333,I219-I217,""),IF(AND(I216&lt;&gt;"",LEFT(C216,2)&lt;&gt;"Va",I216&lt;&gt;"H. Sale Real"),IF(I219-I216&lt;0.208333333333333,I219-I216,""),IF(AND(I215&lt;&gt;"",LEFT(C215,2)&lt;&gt;"Va",I215&lt;&gt;"H. Sale Real"),IF(I219-I215&lt;0.208333333333333,I219-I215,""),IF(AND(I214&lt;&gt;"",LEFT(C214,2)&lt;&gt;"Va",I214&lt;&gt;"H. Sale Real"),IF(I219-I214&lt;0.208333333333333,I219-I214,""),""))))),""),"")</f>
        <v/>
      </c>
      <c r="T218" s="89">
        <f>IF(G218&lt;&gt;"H. Sale Real",IF(AND(G219&lt;&gt;"",LEFT(C219,2)&lt;&gt;"Va"),IF(AND(G218&lt;&gt;"",LEFT(C218,2)&lt;&gt;"Va",G218&lt;&gt;"H. Sale Real"),IF(G219-G218&lt;0.208333333333333,G219-G218,""),IF(AND(G217&lt;&gt;"",LEFT(C217,2)&lt;&gt;"Va",G217&lt;&gt;"H. Sale Real"),IF(G219-G217&lt;0.208333333333333,G219-G217,""),IF(AND(G216&lt;&gt;"",LEFT(C216,2)&lt;&gt;"Va",G216&lt;&gt;"H. Sale Real"),IF(G219-G216&lt;0.208333333333333,G219-G216,""),IF(AND(G215&lt;&gt;"",LEFT(C215,2)&lt;&gt;"Va",G215&lt;&gt;"H. Sale Real"),IF(G219-G215&lt;0.208333333333333,G219-G215,""),IF(AND(G214&lt;&gt;"",LEFT(C214,2)&lt;&gt;"Va",G214&lt;&gt;"H. Sale Real"),IF(G219-G214&lt;0.208333333333333,G219-G214,""),""))))),""),"")</f>
        <v/>
      </c>
      <c r="U218" s="87" t="n"/>
      <c r="V218" s="89" t="n"/>
      <c r="W218" s="87" t="n"/>
      <c r="X218" s="89" t="n"/>
      <c r="Y218" s="91" t="n"/>
      <c r="Z218" s="122">
        <f>IF(G218&lt;&gt;"",IF(AND(Z217&lt;&gt;"IE",P218&lt;&gt;0,R218&lt;&gt;""),IF(IFERROR((P218/R218),0) &lt;=1,IFERROR(P218/R218,""),1),""),"")</f>
        <v/>
      </c>
      <c r="AA218" s="93" t="n"/>
      <c r="AB218" s="2" t="n"/>
      <c r="AE218" s="10">
        <f>HOUR(AK218)+1</f>
        <v/>
      </c>
      <c r="AF218" s="7" t="n"/>
      <c r="AG218" s="7" t="n"/>
      <c r="AH218" s="86" t="n"/>
      <c r="AI218" s="8" t="n"/>
      <c r="AJ218" s="86" t="n"/>
      <c r="AK218" s="87" t="n"/>
      <c r="AL218" s="88">
        <f>IF(AM218="","",IF(AND((AM218-AK218)&gt;=TIME(0,0,0),(AM218-AK218)&lt;TIME(0,3,0)),"OK",IF(AND((AM218-AK218)&gt;=TIME(0,3,0),(AM218-AK218)&lt;TIME(0,5,0)),"RETRASO DE 3-5 MIN",IF(AND((AM218-AK218)&gt;=TIME(0,5,0),(AM218-AK218)&lt;TIME(0,10,0)),"RETRASO DE 5-10 MIN",IF((AM218-AK218)&gt;=TIME(0,10,0),"RETRASO &gt;10 MIN", IF(AND((AK218-AM218)&gt;=TIME(0,0,0),(AK218-AM218)&lt;TIME(0,3,0)),"OK",IF((AK218-AM218)&gt;=TIME(0,3,0),"ADELANTADO")))))))</f>
        <v/>
      </c>
      <c r="AM218" s="91" t="n"/>
      <c r="AN218" s="89">
        <f>IF(AE218&lt;&gt;"",HLOOKUP(VALUE(TEXT(AK218,"h:mm:ss")),IF($C$6="Laboral",$FZ$4:$GX$227,IF($C$6="Sábado",$FZ$231:$GX$452,$FZ$456:$GX$656)),VLOOKUP($C$4,$HF$2:$HH$99,3,0)+IF(AG$5="Ida",0,1),1),"")</f>
        <v/>
      </c>
      <c r="AO218" s="89">
        <f>IF(AE219&lt;&gt;AE218,AVERAGEIF(AE$9:AE218,AE218,AN$9:AN218),"")</f>
        <v/>
      </c>
      <c r="AP218" s="89">
        <f>IFERROR(IF(AE219&lt;&gt;AE218,AVERAGEIF(AE$9:AE218,AE218,AW$9:AW218),""),"")</f>
        <v/>
      </c>
      <c r="AQ218" s="89">
        <f>IFERROR(IF(AE219&lt;&gt;AE218,AVERAGEIF(AE$9:AE218,AE218,AX$9:AX218),""),"")</f>
        <v/>
      </c>
      <c r="AR218" s="89">
        <f t="array" ref="AR218">IFERROR(IF(AE219&lt;&gt;AE218,_xlfn.STDEV.P(IF(AE$9:AE218=AE218,AX$9:AX218)),""),"")</f>
        <v/>
      </c>
      <c r="AS218" s="89">
        <f t="array" ref="AS218">IFERROR(IF(AE219&lt;&gt;AE218,_xlfn.STDEV.P(IF(AE$9:AE218=AE218,AW$9:AW218)),""),"")</f>
        <v/>
      </c>
      <c r="AT218" s="90">
        <f>IFERROR(IF(AE218&lt;&gt;AE219,MAX((((AQ218*24*60)/2)*(1+POWER((((AR218*24*60) / (AQ218*24*60) )),2))) + ((AQ218*24*60 )*-0.1 + (AO218*0.015)) +1,(((AQ218*24*60)/2)*(1+POWER((((AR218*24*60) / (AQ218*24*60 ))),2)))),""),"")</f>
        <v/>
      </c>
      <c r="AU218" s="90">
        <f>IF(AND(AS218&lt;&gt;"",AP218&lt;&gt;""),IF(AE218&lt;&gt;AE219,((AP218*24*60) / 2 ) * (1 + POWER(((AS218*24*60) / (AP218*24*60)),2)),""),"")</f>
        <v/>
      </c>
      <c r="AV218" s="90">
        <f>IF(AU218&lt;&gt;"",MAX(AT218,AU218),"")</f>
        <v/>
      </c>
      <c r="AW218" s="89">
        <f>IF(AM218&lt;&gt;"H. Sale Real",IF(AND(AM219&lt;&gt;"",LEFT(AG219,2)&lt;&gt;"Va"),IF(AND(AM218&lt;&gt;"",LEFT(AG218,2)&lt;&gt;"Va",AM218&lt;&gt;"H. Sale Real"),IF(AM219-AM218&lt;0.208333333333333,AM219-AM218,""),IF(AND(AM217&lt;&gt;"",LEFT(AG217,2)&lt;&gt;"Va",AM217&lt;&gt;"H. Sale Real"),IF(AM219-AM217&lt;0.208333333333333,AM219-AM217,""),IF(AND(AM216&lt;&gt;"",LEFT(AG216,2)&lt;&gt;"Va",AM216&lt;&gt;"H. Sale Real"),IF(AM219-AM216&lt;0.208333333333333,AM219-AM216,""),IF(AND(AM215&lt;&gt;"",LEFT(AG215,2)&lt;&gt;"Va",AM215&lt;&gt;"H. Sale Real"),IF(AM219-AM215&lt;0.208333333333333,AM219-AM215,""),IF(AND(AM214&lt;&gt;"",LEFT(AG214,2)&lt;&gt;"Va",AM214&lt;&gt;"H. Sale Real"),IF(AM219-AM214&lt;0.208333333333333,AM219-AM214,""),""))))),""),"")</f>
        <v/>
      </c>
      <c r="AX218" s="89">
        <f>IF(AK218&lt;&gt;"H. Sale Real",IF(AND(AK219&lt;&gt;"",LEFT(AG219,2)&lt;&gt;"Va"),IF(AND(AK218&lt;&gt;"",LEFT(AG218,2)&lt;&gt;"Va",AK218&lt;&gt;"H. Sale Real"),IF(AK219-AK218&lt;0.208333333333333,AK219-AK218,""),IF(AND(AK217&lt;&gt;"",LEFT(AG217,2)&lt;&gt;"Va",AK217&lt;&gt;"H. Sale Real"),IF(AK219-AK217&lt;0.208333333333333,AK219-AK217,""),IF(AND(AK216&lt;&gt;"",LEFT(AG216,2)&lt;&gt;"NC",AK216&lt;&gt;"H. Sale Real"),IF(AK219-AK216&lt;0.208333333333333,AK219-AK216,""),IF(AND(AK215&lt;&gt;"",LEFT(AG215,2)&lt;&gt;"Va",AK215&lt;&gt;"H. Sale Real"),IF(AK219-AK215&lt;0.208333333333333,AK219-AK215,""),IF(AND(AK214&lt;&gt;"",LEFT(AG214,2)&lt;&gt;"Va",AK214&lt;&gt;"H. Sale Real"),IF(AK219-AK214&lt;0.208333333333333,AK219-AK214,""),""))))),""),"")</f>
        <v/>
      </c>
      <c r="AY218" s="87" t="n"/>
      <c r="AZ218" s="89" t="n"/>
      <c r="BA218" s="87" t="n"/>
      <c r="BB218" s="89" t="n"/>
      <c r="BC218" s="91" t="n"/>
      <c r="BD218" s="122">
        <f>IF(AK218&lt;&gt;"",IF(AND(BD217&lt;&gt;"IE",AT218&lt;&gt;0,AV218&lt;&gt;""),IF(IFERROR((AT218/AV218),0) &lt;=1,IFERROR(AT218/AV218,""),1),""),"")</f>
        <v/>
      </c>
      <c r="BE218" s="93" t="n"/>
      <c r="BF218" s="105" t="n"/>
      <c r="FC218" t="inlineStr">
        <is>
          <t>Diccionario 1</t>
        </is>
      </c>
      <c r="FD218" s="15" t="n">
        <v>1238</v>
      </c>
      <c r="FE218" s="15" t="inlineStr">
        <is>
          <t>YV3T7U521NA207834</t>
        </is>
      </c>
      <c r="FF218" s="15" t="n">
        <v>550630</v>
      </c>
      <c r="FG218" s="15" t="inlineStr">
        <is>
          <t>Volvo</t>
        </is>
      </c>
      <c r="FH218" s="15" t="inlineStr">
        <is>
          <t>B8RLEA</t>
        </is>
      </c>
      <c r="FI218" s="15" t="inlineStr">
        <is>
          <t>MARCOPOLO</t>
        </is>
      </c>
      <c r="FJ218" s="15" t="inlineStr">
        <is>
          <t>GRAN VIALE</t>
        </is>
      </c>
      <c r="FK218" s="15" t="n">
        <v>2022</v>
      </c>
      <c r="FL218" s="15" t="inlineStr">
        <is>
          <t>C</t>
        </is>
      </c>
      <c r="FM218" s="15" t="inlineStr">
        <is>
          <t>SAN ALFONSO</t>
        </is>
      </c>
      <c r="FN218" s="15" t="inlineStr">
        <is>
          <t>San Alfonso 2141 (Ramón Subercaseaux 3060)</t>
        </is>
      </c>
      <c r="FO218" s="15" t="inlineStr">
        <is>
          <t>Estacion Central</t>
        </is>
      </c>
      <c r="FP218" t="inlineStr">
        <is>
          <t>C</t>
        </is>
      </c>
      <c r="FS218" s="14" t="inlineStr">
        <is>
          <t>3054 / SFWB-24|</t>
        </is>
      </c>
      <c r="FT218" t="inlineStr">
        <is>
          <t>SFWB-24|</t>
        </is>
      </c>
      <c r="FU218" t="inlineStr">
        <is>
          <t>SFWB-24</t>
        </is>
      </c>
      <c r="FV218">
        <f>VLOOKUP(FU218,FD:FL,9,0)</f>
        <v/>
      </c>
      <c r="HB218" s="35" t="n">
        <v>212</v>
      </c>
    </row>
    <row r="219" ht="15.5" customHeight="1">
      <c r="A219" s="10">
        <f>HOUR(G219)+1</f>
        <v/>
      </c>
      <c r="B219" s="7" t="n"/>
      <c r="C219" s="7" t="n"/>
      <c r="D219" s="85">
        <f>IFERROR(
IF(AND(OR(Planilla!B219="C",Planilla!B219="c"), VLOOKUP(E219,FD:FP,13,0)="C"), "OK",IF(AND(OR(Planilla!B219="C",Planilla!B219="c"), OR(VLOOKUP(E219,FD:FP,13,0)="B", VLOOKUP(E219,FD:FP,13,0)="A")), "DEFICIT",IF(
AND(OR(Planilla!B219="B", Planilla!B219="BPAL"), VLOOKUP(E219,FD:FP,13,0)="B"), "OK",IF(AND(OR(Planilla!B219="B", Planilla!B219="BPAL"), VLOOKUP(E219,FD:FP,13,0)="A"), "DEFICIT",IF(AND(OR(Planilla!B219="B", Planilla!B219="BPAL"), VLOOKUP(E219,FD:FP,13,0)="C"), "SOBREOFERTA",IF(AND(Planilla!B219="A", VLOOKUP(E219,FD:FP,13,0)="A"), "OK",IF(
AND(Planilla!B219="A", OR(VLOOKUP(E219,FD:FP,13,0)="B", VLOOKUP(E219,FD:FP,13,0)="C")), "SOBREOFERTA",""
))))))),"")</f>
        <v/>
      </c>
      <c r="E219" s="8" t="n"/>
      <c r="F219" s="86" t="n"/>
      <c r="G219" s="87" t="n"/>
      <c r="H219" s="88">
        <f>IF(I219="","",IF(AND((I219-G219)&gt;=TIME(0,0,0),(I219-G219)&lt;TIME(0,3,0)),"OK",IF(AND((I219-G219)&gt;=TIME(0,3,0),(I219-G219)&lt;TIME(0,5,0)),"RETRASO DE 3-5 MIN",IF(AND((I219-G219)&gt;=TIME(0,5,0),(I219-G219)&lt;TIME(0,10,0)),"RETRASO DE 5-10 MIN",IF((I219-G219)&gt;=TIME(0,10,0),"RETRASO &gt;10 MIN", IF(AND((G219-I219)&gt;=TIME(0,0,0),(G219-I219)&lt;TIME(0,3,0)),"OK",IF((G219-I219)&gt;=TIME(0,3,0),"ADELANTADO")))))))</f>
        <v/>
      </c>
      <c r="I219" s="89" t="n"/>
      <c r="J219" s="89">
        <f>IF(A219&lt;&gt;"",HLOOKUP(VALUE(TEXT(G219,"h:mm:ss")),IF($C$6="Laboral",$FZ$4:$GX$227,IF($C$6="Sábado",$FZ$231:$GX$452,$FZ$456:$GX$656)),VLOOKUP($C$4,$HF$2:$HH$99,3,0)+IF(C$5="Ida",0,1),1),"")</f>
        <v/>
      </c>
      <c r="K219" s="89">
        <f>IF(A220&lt;&gt;A219,AVERAGEIF(A$9:A219,A219,J$9:J219),"")</f>
        <v/>
      </c>
      <c r="L219" s="89">
        <f>IFERROR(IF(A220&lt;&gt;A219,AVERAGEIF(A$9:A219,A219,S$9:S219),""),"")</f>
        <v/>
      </c>
      <c r="M219" s="89">
        <f>IFERROR(IF(A220&lt;&gt;A219,AVERAGEIF(A$9:A219,A219,T$9:T219),""),"")</f>
        <v/>
      </c>
      <c r="N219" s="89">
        <f t="array" ref="N219">IFERROR(IF(A220&lt;&gt;A219,_xlfn.STDEV.P(IF(A$9:A219=A219,T$9:T219)),""),"")</f>
        <v/>
      </c>
      <c r="O219" s="89">
        <f t="array" ref="O219">IFERROR(IF(A220&lt;&gt;A219,_xlfn.STDEV.P(IF(A$9:A219=A219,S$9:S219)),""),"")</f>
        <v/>
      </c>
      <c r="P219" s="90">
        <f>IFERROR(IF(A219&lt;&gt;A220,MAX((((M219*24*60)/2)*(1+POWER((((N219*24*60) / (M219*24*60) )),2))) + ((M219*24*60 )*-0.1 + (K219*0.015)) +1,(((M219*24*60)/2)*(1+POWER((((N219*24*60) / (M219*24*60 ))),2)))),""),"")</f>
        <v/>
      </c>
      <c r="Q219" s="90">
        <f>IF(AND(O219&lt;&gt;"",L219&lt;&gt;""),IF(A219&lt;&gt;A220,((L219*24*60) / 2 ) * (1 + POWER(((O219*24*60) / (L219*24*60)),2)),""),"")</f>
        <v/>
      </c>
      <c r="R219" s="90">
        <f>IF(Q219&lt;&gt;"",MAX(P219,Q219),"")</f>
        <v/>
      </c>
      <c r="S219" s="89">
        <f>IF(I219&lt;&gt;"H. Sale Real",IF(AND(I220&lt;&gt;"",LEFT(C220,2)&lt;&gt;"Va"),IF(AND(I219&lt;&gt;"",LEFT(C219,2)&lt;&gt;"Va",I219&lt;&gt;"H. Sale Real"),IF(I220-I219&lt;0.208333333333333,I220-I219,""),IF(AND(I218&lt;&gt;"",LEFT(C218,2)&lt;&gt;"Va",I218&lt;&gt;"H. Sale Real"),IF(I220-I218&lt;0.208333333333333,I220-I218,""),IF(AND(I217&lt;&gt;"",LEFT(C217,2)&lt;&gt;"Va",I217&lt;&gt;"H. Sale Real"),IF(I220-I217&lt;0.208333333333333,I220-I217,""),IF(AND(I216&lt;&gt;"",LEFT(C216,2)&lt;&gt;"Va",I216&lt;&gt;"H. Sale Real"),IF(I220-I216&lt;0.208333333333333,I220-I216,""),IF(AND(I215&lt;&gt;"",LEFT(C215,2)&lt;&gt;"Va",I215&lt;&gt;"H. Sale Real"),IF(I220-I215&lt;0.208333333333333,I220-I215,""),""))))),""),"")</f>
        <v/>
      </c>
      <c r="T219" s="89">
        <f>IF(G219&lt;&gt;"H. Sale Real",IF(AND(G220&lt;&gt;"",LEFT(C220,2)&lt;&gt;"Va"),IF(AND(G219&lt;&gt;"",LEFT(C219,2)&lt;&gt;"Va",G219&lt;&gt;"H. Sale Real"),IF(G220-G219&lt;0.208333333333333,G220-G219,""),IF(AND(G218&lt;&gt;"",LEFT(C218,2)&lt;&gt;"Va",G218&lt;&gt;"H. Sale Real"),IF(G220-G218&lt;0.208333333333333,G220-G218,""),IF(AND(G217&lt;&gt;"",LEFT(C217,2)&lt;&gt;"Va",G217&lt;&gt;"H. Sale Real"),IF(G220-G217&lt;0.208333333333333,G220-G217,""),IF(AND(G216&lt;&gt;"",LEFT(C216,2)&lt;&gt;"Va",G216&lt;&gt;"H. Sale Real"),IF(G220-G216&lt;0.208333333333333,G220-G216,""),IF(AND(G215&lt;&gt;"",LEFT(C215,2)&lt;&gt;"Va",G215&lt;&gt;"H. Sale Real"),IF(G220-G215&lt;0.208333333333333,G220-G215,""),""))))),""),"")</f>
        <v/>
      </c>
      <c r="U219" s="87" t="n"/>
      <c r="V219" s="89" t="n"/>
      <c r="W219" s="87" t="n"/>
      <c r="X219" s="89" t="n"/>
      <c r="Y219" s="91" t="n"/>
      <c r="Z219" s="122">
        <f>IF(G219&lt;&gt;"",IF(AND(Z218&lt;&gt;"IE",P219&lt;&gt;0,R219&lt;&gt;""),IF(IFERROR((P219/R219),0) &lt;=1,IFERROR(P219/R219,""),1),""),"")</f>
        <v/>
      </c>
      <c r="AA219" s="93" t="n"/>
      <c r="AB219" s="2" t="n"/>
      <c r="AE219" s="10">
        <f>HOUR(AK219)+1</f>
        <v/>
      </c>
      <c r="AF219" s="7" t="n"/>
      <c r="AG219" s="7" t="n"/>
      <c r="AH219" s="86" t="n"/>
      <c r="AI219" s="8" t="n"/>
      <c r="AJ219" s="86" t="n"/>
      <c r="AK219" s="87" t="n"/>
      <c r="AL219" s="88">
        <f>IF(AM219="","",IF(AND((AM219-AK219)&gt;=TIME(0,0,0),(AM219-AK219)&lt;TIME(0,3,0)),"OK",IF(AND((AM219-AK219)&gt;=TIME(0,3,0),(AM219-AK219)&lt;TIME(0,5,0)),"RETRASO DE 3-5 MIN",IF(AND((AM219-AK219)&gt;=TIME(0,5,0),(AM219-AK219)&lt;TIME(0,10,0)),"RETRASO DE 5-10 MIN",IF((AM219-AK219)&gt;=TIME(0,10,0),"RETRASO &gt;10 MIN", IF(AND((AK219-AM219)&gt;=TIME(0,0,0),(AK219-AM219)&lt;TIME(0,3,0)),"OK",IF((AK219-AM219)&gt;=TIME(0,3,0),"ADELANTADO")))))))</f>
        <v/>
      </c>
      <c r="AM219" s="91" t="n"/>
      <c r="AN219" s="89">
        <f>IF(AE219&lt;&gt;"",HLOOKUP(VALUE(TEXT(AK219,"h:mm:ss")),IF($C$6="Laboral",$FZ$4:$GX$227,IF($C$6="Sábado",$FZ$231:$GX$452,$FZ$456:$GX$656)),VLOOKUP($C$4,$HF$2:$HH$99,3,0)+IF(AG$5="Ida",0,1),1),"")</f>
        <v/>
      </c>
      <c r="AO219" s="89">
        <f>IF(AE220&lt;&gt;AE219,AVERAGEIF(AE$9:AE219,AE219,AN$9:AN219),"")</f>
        <v/>
      </c>
      <c r="AP219" s="89">
        <f>IFERROR(IF(AE220&lt;&gt;AE219,AVERAGEIF(AE$9:AE219,AE219,AW$9:AW219),""),"")</f>
        <v/>
      </c>
      <c r="AQ219" s="89">
        <f>IFERROR(IF(AE220&lt;&gt;AE219,AVERAGEIF(AE$9:AE219,AE219,AX$9:AX219),""),"")</f>
        <v/>
      </c>
      <c r="AR219" s="89">
        <f t="array" ref="AR219">IFERROR(IF(AE220&lt;&gt;AE219,_xlfn.STDEV.P(IF(AE$9:AE219=AE219,AX$9:AX219)),""),"")</f>
        <v/>
      </c>
      <c r="AS219" s="89">
        <f t="array" ref="AS219">IFERROR(IF(AE220&lt;&gt;AE219,_xlfn.STDEV.P(IF(AE$9:AE219=AE219,AW$9:AW219)),""),"")</f>
        <v/>
      </c>
      <c r="AT219" s="90">
        <f>IFERROR(IF(AE219&lt;&gt;AE220,MAX((((AQ219*24*60)/2)*(1+POWER((((AR219*24*60) / (AQ219*24*60) )),2))) + ((AQ219*24*60 )*-0.1 + (AO219*0.015)) +1,(((AQ219*24*60)/2)*(1+POWER((((AR219*24*60) / (AQ219*24*60 ))),2)))),""),"")</f>
        <v/>
      </c>
      <c r="AU219" s="90">
        <f>IF(AND(AS219&lt;&gt;"",AP219&lt;&gt;""),IF(AE219&lt;&gt;AE220,((AP219*24*60) / 2 ) * (1 + POWER(((AS219*24*60) / (AP219*24*60)),2)),""),"")</f>
        <v/>
      </c>
      <c r="AV219" s="90">
        <f>IF(AU219&lt;&gt;"",MAX(AT219,AU219),"")</f>
        <v/>
      </c>
      <c r="AW219" s="89">
        <f>IF(AM219&lt;&gt;"H. Sale Real",IF(AND(AM220&lt;&gt;"",LEFT(AG220,2)&lt;&gt;"Va"),IF(AND(AM219&lt;&gt;"",LEFT(AG219,2)&lt;&gt;"Va",AM219&lt;&gt;"H. Sale Real"),IF(AM220-AM219&lt;0.208333333333333,AM220-AM219,""),IF(AND(AM218&lt;&gt;"",LEFT(AG218,2)&lt;&gt;"Va",AM218&lt;&gt;"H. Sale Real"),IF(AM220-AM218&lt;0.208333333333333,AM220-AM218,""),IF(AND(AM217&lt;&gt;"",LEFT(AG217,2)&lt;&gt;"Va",AM217&lt;&gt;"H. Sale Real"),IF(AM220-AM217&lt;0.208333333333333,AM220-AM217,""),IF(AND(AM216&lt;&gt;"",LEFT(AG216,2)&lt;&gt;"Va",AM216&lt;&gt;"H. Sale Real"),IF(AM220-AM216&lt;0.208333333333333,AM220-AM216,""),IF(AND(AM215&lt;&gt;"",LEFT(AG215,2)&lt;&gt;"Va",AM215&lt;&gt;"H. Sale Real"),IF(AM220-AM215&lt;0.208333333333333,AM220-AM215,""),""))))),""),"")</f>
        <v/>
      </c>
      <c r="AX219" s="89">
        <f>IF(AK219&lt;&gt;"H. Sale Real",IF(AND(AK220&lt;&gt;"",LEFT(AG220,2)&lt;&gt;"Va"),IF(AND(AK219&lt;&gt;"",LEFT(AG219,2)&lt;&gt;"Va",AK219&lt;&gt;"H. Sale Real"),IF(AK220-AK219&lt;0.208333333333333,AK220-AK219,""),IF(AND(AK218&lt;&gt;"",LEFT(AG218,2)&lt;&gt;"Va",AK218&lt;&gt;"H. Sale Real"),IF(AK220-AK218&lt;0.208333333333333,AK220-AK218,""),IF(AND(AK217&lt;&gt;"",LEFT(AG217,2)&lt;&gt;"NC",AK217&lt;&gt;"H. Sale Real"),IF(AK220-AK217&lt;0.208333333333333,AK220-AK217,""),IF(AND(AK216&lt;&gt;"",LEFT(AG216,2)&lt;&gt;"Va",AK216&lt;&gt;"H. Sale Real"),IF(AK220-AK216&lt;0.208333333333333,AK220-AK216,""),IF(AND(AK215&lt;&gt;"",LEFT(AG215,2)&lt;&gt;"Va",AK215&lt;&gt;"H. Sale Real"),IF(AK220-AK215&lt;0.208333333333333,AK220-AK215,""),""))))),""),"")</f>
        <v/>
      </c>
      <c r="AY219" s="87" t="n"/>
      <c r="AZ219" s="89" t="n"/>
      <c r="BA219" s="87" t="n"/>
      <c r="BB219" s="89" t="n"/>
      <c r="BC219" s="91" t="n"/>
      <c r="BD219" s="122">
        <f>IF(AK219&lt;&gt;"",IF(AND(BD218&lt;&gt;"IE",AT219&lt;&gt;0,AV219&lt;&gt;""),IF(IFERROR((AT219/AV219),0) &lt;=1,IFERROR(AT219/AV219,""),1),""),"")</f>
        <v/>
      </c>
      <c r="BE219" s="93" t="n"/>
      <c r="BF219" s="105" t="n"/>
      <c r="FC219" t="inlineStr">
        <is>
          <t>Diccionario 1</t>
        </is>
      </c>
      <c r="FD219" s="15" t="n">
        <v>1202</v>
      </c>
      <c r="FE219" s="15" t="inlineStr">
        <is>
          <t>YV3T7U529NA207967</t>
        </is>
      </c>
      <c r="FF219" s="15" t="n">
        <v>552303</v>
      </c>
      <c r="FG219" s="15" t="inlineStr">
        <is>
          <t>Volvo</t>
        </is>
      </c>
      <c r="FH219" s="15" t="inlineStr">
        <is>
          <t>B8RLEA</t>
        </is>
      </c>
      <c r="FI219" s="15" t="inlineStr">
        <is>
          <t>MARCOPOLO</t>
        </is>
      </c>
      <c r="FJ219" s="15" t="inlineStr">
        <is>
          <t>GRAN VIALE</t>
        </is>
      </c>
      <c r="FK219" s="15" t="n">
        <v>2022</v>
      </c>
      <c r="FL219" s="15" t="inlineStr">
        <is>
          <t>C</t>
        </is>
      </c>
      <c r="FM219" s="15" t="inlineStr">
        <is>
          <t>PIE ANDINO</t>
        </is>
      </c>
      <c r="FN219" s="15" t="inlineStr">
        <is>
          <t>Pie Andino 31 (Pie Andino 383)</t>
        </is>
      </c>
      <c r="FO219" s="15" t="inlineStr">
        <is>
          <t>Puente Alto</t>
        </is>
      </c>
      <c r="FP219" t="inlineStr">
        <is>
          <t>C</t>
        </is>
      </c>
      <c r="FS219" s="14" t="inlineStr">
        <is>
          <t>3054 / SFWB-24|</t>
        </is>
      </c>
      <c r="FT219" t="inlineStr">
        <is>
          <t>SFWB-24|</t>
        </is>
      </c>
      <c r="FU219" t="inlineStr">
        <is>
          <t>SFWB-24</t>
        </is>
      </c>
      <c r="FV219">
        <f>VLOOKUP(FU219,FD:FL,9,0)</f>
        <v/>
      </c>
      <c r="HB219" s="35" t="n">
        <v>213</v>
      </c>
    </row>
    <row r="220" ht="15.5" customHeight="1">
      <c r="A220" s="10">
        <f>HOUR(G220)+1</f>
        <v/>
      </c>
      <c r="B220" s="7" t="n"/>
      <c r="C220" s="7" t="n"/>
      <c r="D220" s="85">
        <f>IFERROR(
IF(AND(OR(Planilla!B220="C",Planilla!B220="c"), VLOOKUP(E220,FD:FP,13,0)="C"), "OK",IF(AND(OR(Planilla!B220="C",Planilla!B220="c"), OR(VLOOKUP(E220,FD:FP,13,0)="B", VLOOKUP(E220,FD:FP,13,0)="A")), "DEFICIT",IF(
AND(OR(Planilla!B220="B", Planilla!B220="BPAL"), VLOOKUP(E220,FD:FP,13,0)="B"), "OK",IF(AND(OR(Planilla!B220="B", Planilla!B220="BPAL"), VLOOKUP(E220,FD:FP,13,0)="A"), "DEFICIT",IF(AND(OR(Planilla!B220="B", Planilla!B220="BPAL"), VLOOKUP(E220,FD:FP,13,0)="C"), "SOBREOFERTA",IF(AND(Planilla!B220="A", VLOOKUP(E220,FD:FP,13,0)="A"), "OK",IF(
AND(Planilla!B220="A", OR(VLOOKUP(E220,FD:FP,13,0)="B", VLOOKUP(E220,FD:FP,13,0)="C")), "SOBREOFERTA",""
))))))),"")</f>
        <v/>
      </c>
      <c r="E220" s="8" t="n"/>
      <c r="F220" s="86" t="n"/>
      <c r="G220" s="87" t="n"/>
      <c r="H220" s="88">
        <f>IF(I220="","",IF(AND((I220-G220)&gt;=TIME(0,0,0),(I220-G220)&lt;TIME(0,3,0)),"OK",IF(AND((I220-G220)&gt;=TIME(0,3,0),(I220-G220)&lt;TIME(0,5,0)),"RETRASO DE 3-5 MIN",IF(AND((I220-G220)&gt;=TIME(0,5,0),(I220-G220)&lt;TIME(0,10,0)),"RETRASO DE 5-10 MIN",IF((I220-G220)&gt;=TIME(0,10,0),"RETRASO &gt;10 MIN", IF(AND((G220-I220)&gt;=TIME(0,0,0),(G220-I220)&lt;TIME(0,3,0)),"OK",IF((G220-I220)&gt;=TIME(0,3,0),"ADELANTADO")))))))</f>
        <v/>
      </c>
      <c r="I220" s="89" t="n"/>
      <c r="J220" s="89">
        <f>IF(A220&lt;&gt;"",HLOOKUP(VALUE(TEXT(G220,"h:mm:ss")),IF($C$6="Laboral",$FZ$4:$GX$227,IF($C$6="Sábado",$FZ$231:$GX$452,$FZ$456:$GX$656)),VLOOKUP($C$4,$HF$2:$HH$99,3,0)+IF(C$5="Ida",0,1),1),"")</f>
        <v/>
      </c>
      <c r="K220" s="89">
        <f>IF(A221&lt;&gt;A220,AVERAGEIF(A$9:A220,A220,J$9:J220),"")</f>
        <v/>
      </c>
      <c r="L220" s="89">
        <f>IFERROR(IF(A221&lt;&gt;A220,AVERAGEIF(A$9:A220,A220,S$9:S220),""),"")</f>
        <v/>
      </c>
      <c r="M220" s="89">
        <f>IFERROR(IF(A221&lt;&gt;A220,AVERAGEIF(A$9:A220,A220,T$9:T220),""),"")</f>
        <v/>
      </c>
      <c r="N220" s="89">
        <f t="array" ref="N220">IFERROR(IF(A221&lt;&gt;A220,_xlfn.STDEV.P(IF(A$9:A220=A220,T$9:T220)),""),"")</f>
        <v/>
      </c>
      <c r="O220" s="89">
        <f t="array" ref="O220">IFERROR(IF(A221&lt;&gt;A220,_xlfn.STDEV.P(IF(A$9:A220=A220,S$9:S220)),""),"")</f>
        <v/>
      </c>
      <c r="P220" s="90">
        <f>IFERROR(IF(A220&lt;&gt;A221,MAX((((M220*24*60)/2)*(1+POWER((((N220*24*60) / (M220*24*60) )),2))) + ((M220*24*60 )*-0.1 + (K220*0.015)) +1,(((M220*24*60)/2)*(1+POWER((((N220*24*60) / (M220*24*60 ))),2)))),""),"")</f>
        <v/>
      </c>
      <c r="Q220" s="90">
        <f>IF(AND(O220&lt;&gt;"",L220&lt;&gt;""),IF(A220&lt;&gt;A221,((L220*24*60) / 2 ) * (1 + POWER(((O220*24*60) / (L220*24*60)),2)),""),"")</f>
        <v/>
      </c>
      <c r="R220" s="90">
        <f>IF(Q220&lt;&gt;"",MAX(P220,Q220),"")</f>
        <v/>
      </c>
      <c r="S220" s="89">
        <f>IF(I220&lt;&gt;"H. Sale Real",IF(AND(I221&lt;&gt;"",LEFT(C221,2)&lt;&gt;"Va"),IF(AND(I220&lt;&gt;"",LEFT(C220,2)&lt;&gt;"Va",I220&lt;&gt;"H. Sale Real"),IF(I221-I220&lt;0.208333333333333,I221-I220,""),IF(AND(I219&lt;&gt;"",LEFT(C219,2)&lt;&gt;"Va",I219&lt;&gt;"H. Sale Real"),IF(I221-I219&lt;0.208333333333333,I221-I219,""),IF(AND(I218&lt;&gt;"",LEFT(C218,2)&lt;&gt;"Va",I218&lt;&gt;"H. Sale Real"),IF(I221-I218&lt;0.208333333333333,I221-I218,""),IF(AND(I217&lt;&gt;"",LEFT(C217,2)&lt;&gt;"Va",I217&lt;&gt;"H. Sale Real"),IF(I221-I217&lt;0.208333333333333,I221-I217,""),IF(AND(I216&lt;&gt;"",LEFT(C216,2)&lt;&gt;"Va",I216&lt;&gt;"H. Sale Real"),IF(I221-I216&lt;0.208333333333333,I221-I216,""),""))))),""),"")</f>
        <v/>
      </c>
      <c r="T220" s="89">
        <f>IF(G220&lt;&gt;"H. Sale Real",IF(AND(G221&lt;&gt;"",LEFT(C221,2)&lt;&gt;"Va"),IF(AND(G220&lt;&gt;"",LEFT(C220,2)&lt;&gt;"Va",G220&lt;&gt;"H. Sale Real"),IF(G221-G220&lt;0.208333333333333,G221-G220,""),IF(AND(G219&lt;&gt;"",LEFT(C219,2)&lt;&gt;"Va",G219&lt;&gt;"H. Sale Real"),IF(G221-G219&lt;0.208333333333333,G221-G219,""),IF(AND(G218&lt;&gt;"",LEFT(C218,2)&lt;&gt;"Va",G218&lt;&gt;"H. Sale Real"),IF(G221-G218&lt;0.208333333333333,G221-G218,""),IF(AND(G217&lt;&gt;"",LEFT(C217,2)&lt;&gt;"Va",G217&lt;&gt;"H. Sale Real"),IF(G221-G217&lt;0.208333333333333,G221-G217,""),IF(AND(G216&lt;&gt;"",LEFT(C216,2)&lt;&gt;"Va",G216&lt;&gt;"H. Sale Real"),IF(G221-G216&lt;0.208333333333333,G221-G216,""),""))))),""),"")</f>
        <v/>
      </c>
      <c r="U220" s="87" t="n"/>
      <c r="V220" s="89" t="n"/>
      <c r="W220" s="87" t="n"/>
      <c r="X220" s="89" t="n"/>
      <c r="Y220" s="91" t="n"/>
      <c r="Z220" s="122">
        <f>IF(G220&lt;&gt;"",IF(AND(Z219&lt;&gt;"IE",P220&lt;&gt;0,R220&lt;&gt;""),IF(IFERROR((P220/R220),0) &lt;=1,IFERROR(P220/R220,""),1),""),"")</f>
        <v/>
      </c>
      <c r="AA220" s="93" t="n"/>
      <c r="AB220" s="2" t="n"/>
      <c r="AE220" s="10">
        <f>HOUR(AK220)+1</f>
        <v/>
      </c>
      <c r="AF220" s="7" t="n"/>
      <c r="AG220" s="7" t="n"/>
      <c r="AH220" s="86" t="n"/>
      <c r="AI220" s="8" t="n"/>
      <c r="AJ220" s="86" t="n"/>
      <c r="AK220" s="87" t="n"/>
      <c r="AL220" s="88">
        <f>IF(AM220="","",IF(AND((AM220-AK220)&gt;=TIME(0,0,0),(AM220-AK220)&lt;TIME(0,3,0)),"OK",IF(AND((AM220-AK220)&gt;=TIME(0,3,0),(AM220-AK220)&lt;TIME(0,5,0)),"RETRASO DE 3-5 MIN",IF(AND((AM220-AK220)&gt;=TIME(0,5,0),(AM220-AK220)&lt;TIME(0,10,0)),"RETRASO DE 5-10 MIN",IF((AM220-AK220)&gt;=TIME(0,10,0),"RETRASO &gt;10 MIN", IF(AND((AK220-AM220)&gt;=TIME(0,0,0),(AK220-AM220)&lt;TIME(0,3,0)),"OK",IF((AK220-AM220)&gt;=TIME(0,3,0),"ADELANTADO")))))))</f>
        <v/>
      </c>
      <c r="AM220" s="91" t="n"/>
      <c r="AN220" s="89">
        <f>IF(AE220&lt;&gt;"",HLOOKUP(VALUE(TEXT(AK220,"h:mm:ss")),IF($C$6="Laboral",$FZ$4:$GX$227,IF($C$6="Sábado",$FZ$231:$GX$452,$FZ$456:$GX$656)),VLOOKUP($C$4,$HF$2:$HH$99,3,0)+IF(AG$5="Ida",0,1),1),"")</f>
        <v/>
      </c>
      <c r="AO220" s="89">
        <f>IF(AE221&lt;&gt;AE220,AVERAGEIF(AE$9:AE220,AE220,AN$9:AN220),"")</f>
        <v/>
      </c>
      <c r="AP220" s="89">
        <f>IFERROR(IF(AE221&lt;&gt;AE220,AVERAGEIF(AE$9:AE220,AE220,AW$9:AW220),""),"")</f>
        <v/>
      </c>
      <c r="AQ220" s="89">
        <f>IFERROR(IF(AE221&lt;&gt;AE220,AVERAGEIF(AE$9:AE220,AE220,AX$9:AX220),""),"")</f>
        <v/>
      </c>
      <c r="AR220" s="89">
        <f t="array" ref="AR220">IFERROR(IF(AE221&lt;&gt;AE220,_xlfn.STDEV.P(IF(AE$9:AE220=AE220,AX$9:AX220)),""),"")</f>
        <v/>
      </c>
      <c r="AS220" s="89">
        <f t="array" ref="AS220">IFERROR(IF(AE221&lt;&gt;AE220,_xlfn.STDEV.P(IF(AE$9:AE220=AE220,AW$9:AW220)),""),"")</f>
        <v/>
      </c>
      <c r="AT220" s="90">
        <f>IFERROR(IF(AE220&lt;&gt;AE221,MAX((((AQ220*24*60)/2)*(1+POWER((((AR220*24*60) / (AQ220*24*60) )),2))) + ((AQ220*24*60 )*-0.1 + (AO220*0.015)) +1,(((AQ220*24*60)/2)*(1+POWER((((AR220*24*60) / (AQ220*24*60 ))),2)))),""),"")</f>
        <v/>
      </c>
      <c r="AU220" s="90">
        <f>IF(AND(AS220&lt;&gt;"",AP220&lt;&gt;""),IF(AE220&lt;&gt;AE221,((AP220*24*60) / 2 ) * (1 + POWER(((AS220*24*60) / (AP220*24*60)),2)),""),"")</f>
        <v/>
      </c>
      <c r="AV220" s="90">
        <f>IF(AU220&lt;&gt;"",MAX(AT220,AU220),"")</f>
        <v/>
      </c>
      <c r="AW220" s="89">
        <f>IF(AM220&lt;&gt;"H. Sale Real",IF(AND(AM221&lt;&gt;"",LEFT(AG221,2)&lt;&gt;"Va"),IF(AND(AM220&lt;&gt;"",LEFT(AG220,2)&lt;&gt;"Va",AM220&lt;&gt;"H. Sale Real"),IF(AM221-AM220&lt;0.208333333333333,AM221-AM220,""),IF(AND(AM219&lt;&gt;"",LEFT(AG219,2)&lt;&gt;"Va",AM219&lt;&gt;"H. Sale Real"),IF(AM221-AM219&lt;0.208333333333333,AM221-AM219,""),IF(AND(AM218&lt;&gt;"",LEFT(AG218,2)&lt;&gt;"Va",AM218&lt;&gt;"H. Sale Real"),IF(AM221-AM218&lt;0.208333333333333,AM221-AM218,""),IF(AND(AM217&lt;&gt;"",LEFT(AG217,2)&lt;&gt;"Va",AM217&lt;&gt;"H. Sale Real"),IF(AM221-AM217&lt;0.208333333333333,AM221-AM217,""),IF(AND(AM216&lt;&gt;"",LEFT(AG216,2)&lt;&gt;"Va",AM216&lt;&gt;"H. Sale Real"),IF(AM221-AM216&lt;0.208333333333333,AM221-AM216,""),""))))),""),"")</f>
        <v/>
      </c>
      <c r="AX220" s="89">
        <f>IF(AK220&lt;&gt;"H. Sale Real",IF(AND(AK221&lt;&gt;"",LEFT(AG221,2)&lt;&gt;"Va"),IF(AND(AK220&lt;&gt;"",LEFT(AG220,2)&lt;&gt;"Va",AK220&lt;&gt;"H. Sale Real"),IF(AK221-AK220&lt;0.208333333333333,AK221-AK220,""),IF(AND(AK219&lt;&gt;"",LEFT(AG219,2)&lt;&gt;"Va",AK219&lt;&gt;"H. Sale Real"),IF(AK221-AK219&lt;0.208333333333333,AK221-AK219,""),IF(AND(AK218&lt;&gt;"",LEFT(AG218,2)&lt;&gt;"NC",AK218&lt;&gt;"H. Sale Real"),IF(AK221-AK218&lt;0.208333333333333,AK221-AK218,""),IF(AND(AK217&lt;&gt;"",LEFT(AG217,2)&lt;&gt;"Va",AK217&lt;&gt;"H. Sale Real"),IF(AK221-AK217&lt;0.208333333333333,AK221-AK217,""),IF(AND(AK216&lt;&gt;"",LEFT(AG216,2)&lt;&gt;"Va",AK216&lt;&gt;"H. Sale Real"),IF(AK221-AK216&lt;0.208333333333333,AK221-AK216,""),""))))),""),"")</f>
        <v/>
      </c>
      <c r="AY220" s="87" t="n"/>
      <c r="AZ220" s="89" t="n"/>
      <c r="BA220" s="87" t="n"/>
      <c r="BB220" s="89" t="n"/>
      <c r="BC220" s="91" t="n"/>
      <c r="BD220" s="122">
        <f>IF(AK220&lt;&gt;"",IF(AND(BD219&lt;&gt;"IE",AT220&lt;&gt;0,AV220&lt;&gt;""),IF(IFERROR((AT220/AV220),0) &lt;=1,IFERROR(AT220/AV220,""),1),""),"")</f>
        <v/>
      </c>
      <c r="BE220" s="93" t="n"/>
      <c r="BF220" s="105" t="n"/>
      <c r="FC220" t="inlineStr">
        <is>
          <t>Diccionario 1</t>
        </is>
      </c>
      <c r="FD220" s="15" t="n">
        <v>1203</v>
      </c>
      <c r="FE220" s="15" t="inlineStr">
        <is>
          <t>YV3T7U528NA207930</t>
        </is>
      </c>
      <c r="FF220" s="15" t="n">
        <v>551701</v>
      </c>
      <c r="FG220" s="15" t="inlineStr">
        <is>
          <t>Volvo</t>
        </is>
      </c>
      <c r="FH220" s="15" t="inlineStr">
        <is>
          <t>B8RLEA</t>
        </is>
      </c>
      <c r="FI220" s="15" t="inlineStr">
        <is>
          <t>MARCOPOLO</t>
        </is>
      </c>
      <c r="FJ220" s="15" t="inlineStr">
        <is>
          <t>GRAN VIALE</t>
        </is>
      </c>
      <c r="FK220" s="15" t="n">
        <v>2022</v>
      </c>
      <c r="FL220" s="15" t="inlineStr">
        <is>
          <t>C</t>
        </is>
      </c>
      <c r="FM220" s="15" t="inlineStr">
        <is>
          <t>PIE ANDINO</t>
        </is>
      </c>
      <c r="FN220" s="15" t="inlineStr">
        <is>
          <t>Pie Andino 31 (Pie Andino 383)</t>
        </is>
      </c>
      <c r="FO220" s="15" t="inlineStr">
        <is>
          <t>Puente Alto</t>
        </is>
      </c>
      <c r="FP220" t="inlineStr">
        <is>
          <t>C</t>
        </is>
      </c>
      <c r="FS220" s="14" t="inlineStr">
        <is>
          <t>3054 / SFWB-24|</t>
        </is>
      </c>
      <c r="FT220" t="inlineStr">
        <is>
          <t>SFWB-24|</t>
        </is>
      </c>
      <c r="FU220" t="inlineStr">
        <is>
          <t>SFWB-24</t>
        </is>
      </c>
      <c r="FV220">
        <f>VLOOKUP(FU220,FD:FL,9,0)</f>
        <v/>
      </c>
      <c r="HB220" s="35" t="n">
        <v>214</v>
      </c>
    </row>
    <row r="221" ht="15.5" customHeight="1">
      <c r="A221" s="10">
        <f>HOUR(G221)+1</f>
        <v/>
      </c>
      <c r="B221" s="7" t="n"/>
      <c r="C221" s="7" t="n"/>
      <c r="D221" s="85">
        <f>IFERROR(
IF(AND(OR(Planilla!B221="C",Planilla!B221="c"), VLOOKUP(E221,FD:FP,13,0)="C"), "OK",IF(AND(OR(Planilla!B221="C",Planilla!B221="c"), OR(VLOOKUP(E221,FD:FP,13,0)="B", VLOOKUP(E221,FD:FP,13,0)="A")), "DEFICIT",IF(
AND(OR(Planilla!B221="B", Planilla!B221="BPAL"), VLOOKUP(E221,FD:FP,13,0)="B"), "OK",IF(AND(OR(Planilla!B221="B", Planilla!B221="BPAL"), VLOOKUP(E221,FD:FP,13,0)="A"), "DEFICIT",IF(AND(OR(Planilla!B221="B", Planilla!B221="BPAL"), VLOOKUP(E221,FD:FP,13,0)="C"), "SOBREOFERTA",IF(AND(Planilla!B221="A", VLOOKUP(E221,FD:FP,13,0)="A"), "OK",IF(
AND(Planilla!B221="A", OR(VLOOKUP(E221,FD:FP,13,0)="B", VLOOKUP(E221,FD:FP,13,0)="C")), "SOBREOFERTA",""
))))))),"")</f>
        <v/>
      </c>
      <c r="E221" s="8" t="n"/>
      <c r="F221" s="86" t="n"/>
      <c r="G221" s="87" t="n"/>
      <c r="H221" s="88">
        <f>IF(I221="","",IF(AND((I221-G221)&gt;=TIME(0,0,0),(I221-G221)&lt;TIME(0,3,0)),"OK",IF(AND((I221-G221)&gt;=TIME(0,3,0),(I221-G221)&lt;TIME(0,5,0)),"RETRASO DE 3-5 MIN",IF(AND((I221-G221)&gt;=TIME(0,5,0),(I221-G221)&lt;TIME(0,10,0)),"RETRASO DE 5-10 MIN",IF((I221-G221)&gt;=TIME(0,10,0),"RETRASO &gt;10 MIN", IF(AND((G221-I221)&gt;=TIME(0,0,0),(G221-I221)&lt;TIME(0,3,0)),"OK",IF((G221-I221)&gt;=TIME(0,3,0),"ADELANTADO")))))))</f>
        <v/>
      </c>
      <c r="I221" s="89" t="n"/>
      <c r="J221" s="89">
        <f>IF(A221&lt;&gt;"",HLOOKUP(VALUE(TEXT(G221,"h:mm:ss")),IF($C$6="Laboral",$FZ$4:$GX$227,IF($C$6="Sábado",$FZ$231:$GX$452,$FZ$456:$GX$656)),VLOOKUP($C$4,$HF$2:$HH$99,3,0)+IF(C$5="Ida",0,1),1),"")</f>
        <v/>
      </c>
      <c r="K221" s="89">
        <f>IF(A222&lt;&gt;A221,AVERAGEIF(A$9:A221,A221,J$9:J221),"")</f>
        <v/>
      </c>
      <c r="L221" s="89">
        <f>IFERROR(IF(A222&lt;&gt;A221,AVERAGEIF(A$9:A221,A221,S$9:S221),""),"")</f>
        <v/>
      </c>
      <c r="M221" s="89">
        <f>IFERROR(IF(A222&lt;&gt;A221,AVERAGEIF(A$9:A221,A221,T$9:T221),""),"")</f>
        <v/>
      </c>
      <c r="N221" s="89">
        <f t="array" ref="N221">IFERROR(IF(A222&lt;&gt;A221,_xlfn.STDEV.P(IF(A$9:A221=A221,T$9:T221)),""),"")</f>
        <v/>
      </c>
      <c r="O221" s="89">
        <f t="array" ref="O221">IFERROR(IF(A222&lt;&gt;A221,_xlfn.STDEV.P(IF(A$9:A221=A221,S$9:S221)),""),"")</f>
        <v/>
      </c>
      <c r="P221" s="90">
        <f>IFERROR(IF(A221&lt;&gt;A222,MAX((((M221*24*60)/2)*(1+POWER((((N221*24*60) / (M221*24*60) )),2))) + ((M221*24*60 )*-0.1 + (K221*0.015)) +1,(((M221*24*60)/2)*(1+POWER((((N221*24*60) / (M221*24*60 ))),2)))),""),"")</f>
        <v/>
      </c>
      <c r="Q221" s="90">
        <f>IF(AND(O221&lt;&gt;"",L221&lt;&gt;""),IF(A221&lt;&gt;A222,((L221*24*60) / 2 ) * (1 + POWER(((O221*24*60) / (L221*24*60)),2)),""),"")</f>
        <v/>
      </c>
      <c r="R221" s="90">
        <f>IF(Q221&lt;&gt;"",MAX(P221,Q221),"")</f>
        <v/>
      </c>
      <c r="S221" s="89">
        <f>IF(I221&lt;&gt;"H. Sale Real",IF(AND(I222&lt;&gt;"",LEFT(C222,2)&lt;&gt;"Va"),IF(AND(I221&lt;&gt;"",LEFT(C221,2)&lt;&gt;"Va",I221&lt;&gt;"H. Sale Real"),IF(I222-I221&lt;0.208333333333333,I222-I221,""),IF(AND(I220&lt;&gt;"",LEFT(C220,2)&lt;&gt;"Va",I220&lt;&gt;"H. Sale Real"),IF(I222-I220&lt;0.208333333333333,I222-I220,""),IF(AND(I219&lt;&gt;"",LEFT(C219,2)&lt;&gt;"Va",I219&lt;&gt;"H. Sale Real"),IF(I222-I219&lt;0.208333333333333,I222-I219,""),IF(AND(I218&lt;&gt;"",LEFT(C218,2)&lt;&gt;"Va",I218&lt;&gt;"H. Sale Real"),IF(I222-I218&lt;0.208333333333333,I222-I218,""),IF(AND(I217&lt;&gt;"",LEFT(C217,2)&lt;&gt;"Va",I217&lt;&gt;"H. Sale Real"),IF(I222-I217&lt;0.208333333333333,I222-I217,""),""))))),""),"")</f>
        <v/>
      </c>
      <c r="T221" s="89">
        <f>IF(G221&lt;&gt;"H. Sale Real",IF(AND(G222&lt;&gt;"",LEFT(C222,2)&lt;&gt;"Va"),IF(AND(G221&lt;&gt;"",LEFT(C221,2)&lt;&gt;"Va",G221&lt;&gt;"H. Sale Real"),IF(G222-G221&lt;0.208333333333333,G222-G221,""),IF(AND(G220&lt;&gt;"",LEFT(C220,2)&lt;&gt;"Va",G220&lt;&gt;"H. Sale Real"),IF(G222-G220&lt;0.208333333333333,G222-G220,""),IF(AND(G219&lt;&gt;"",LEFT(C219,2)&lt;&gt;"Va",G219&lt;&gt;"H. Sale Real"),IF(G222-G219&lt;0.208333333333333,G222-G219,""),IF(AND(G218&lt;&gt;"",LEFT(C218,2)&lt;&gt;"Va",G218&lt;&gt;"H. Sale Real"),IF(G222-G218&lt;0.208333333333333,G222-G218,""),IF(AND(G217&lt;&gt;"",LEFT(C217,2)&lt;&gt;"Va",G217&lt;&gt;"H. Sale Real"),IF(G222-G217&lt;0.208333333333333,G222-G217,""),""))))),""),"")</f>
        <v/>
      </c>
      <c r="U221" s="87" t="n"/>
      <c r="V221" s="89" t="n"/>
      <c r="W221" s="87" t="n"/>
      <c r="X221" s="89" t="n"/>
      <c r="Y221" s="91" t="n"/>
      <c r="Z221" s="122">
        <f>IF(G221&lt;&gt;"",IF(AND(Z220&lt;&gt;"IE",P221&lt;&gt;0,R221&lt;&gt;""),IF(IFERROR((P221/R221),0) &lt;=1,IFERROR(P221/R221,""),1),""),"")</f>
        <v/>
      </c>
      <c r="AA221" s="93" t="n"/>
      <c r="AB221" s="2" t="n"/>
      <c r="AE221" s="10">
        <f>HOUR(AK221)+1</f>
        <v/>
      </c>
      <c r="AF221" s="7" t="n"/>
      <c r="AG221" s="7" t="n"/>
      <c r="AH221" s="86" t="n"/>
      <c r="AI221" s="8" t="n"/>
      <c r="AJ221" s="86" t="n"/>
      <c r="AK221" s="87" t="n"/>
      <c r="AL221" s="88">
        <f>IF(AM221="","",IF(AND((AM221-AK221)&gt;=TIME(0,0,0),(AM221-AK221)&lt;TIME(0,3,0)),"OK",IF(AND((AM221-AK221)&gt;=TIME(0,3,0),(AM221-AK221)&lt;TIME(0,5,0)),"RETRASO DE 3-5 MIN",IF(AND((AM221-AK221)&gt;=TIME(0,5,0),(AM221-AK221)&lt;TIME(0,10,0)),"RETRASO DE 5-10 MIN",IF((AM221-AK221)&gt;=TIME(0,10,0),"RETRASO &gt;10 MIN", IF(AND((AK221-AM221)&gt;=TIME(0,0,0),(AK221-AM221)&lt;TIME(0,3,0)),"OK",IF((AK221-AM221)&gt;=TIME(0,3,0),"ADELANTADO")))))))</f>
        <v/>
      </c>
      <c r="AM221" s="91" t="n"/>
      <c r="AN221" s="89">
        <f>IF(AE221&lt;&gt;"",HLOOKUP(VALUE(TEXT(AK221,"h:mm:ss")),IF($C$6="Laboral",$FZ$4:$GX$227,IF($C$6="Sábado",$FZ$231:$GX$452,$FZ$456:$GX$656)),VLOOKUP($C$4,$HF$2:$HH$99,3,0)+IF(AG$5="Ida",0,1),1),"")</f>
        <v/>
      </c>
      <c r="AO221" s="89">
        <f>IF(AE222&lt;&gt;AE221,AVERAGEIF(AE$9:AE221,AE221,AN$9:AN221),"")</f>
        <v/>
      </c>
      <c r="AP221" s="89">
        <f>IFERROR(IF(AE222&lt;&gt;AE221,AVERAGEIF(AE$9:AE221,AE221,AW$9:AW221),""),"")</f>
        <v/>
      </c>
      <c r="AQ221" s="89">
        <f>IFERROR(IF(AE222&lt;&gt;AE221,AVERAGEIF(AE$9:AE221,AE221,AX$9:AX221),""),"")</f>
        <v/>
      </c>
      <c r="AR221" s="89">
        <f t="array" ref="AR221">IFERROR(IF(AE222&lt;&gt;AE221,_xlfn.STDEV.P(IF(AE$9:AE221=AE221,AX$9:AX221)),""),"")</f>
        <v/>
      </c>
      <c r="AS221" s="89">
        <f t="array" ref="AS221">IFERROR(IF(AE222&lt;&gt;AE221,_xlfn.STDEV.P(IF(AE$9:AE221=AE221,AW$9:AW221)),""),"")</f>
        <v/>
      </c>
      <c r="AT221" s="90">
        <f>IFERROR(IF(AE221&lt;&gt;AE222,MAX((((AQ221*24*60)/2)*(1+POWER((((AR221*24*60) / (AQ221*24*60) )),2))) + ((AQ221*24*60 )*-0.1 + (AO221*0.015)) +1,(((AQ221*24*60)/2)*(1+POWER((((AR221*24*60) / (AQ221*24*60 ))),2)))),""),"")</f>
        <v/>
      </c>
      <c r="AU221" s="90">
        <f>IF(AND(AS221&lt;&gt;"",AP221&lt;&gt;""),IF(AE221&lt;&gt;AE222,((AP221*24*60) / 2 ) * (1 + POWER(((AS221*24*60) / (AP221*24*60)),2)),""),"")</f>
        <v/>
      </c>
      <c r="AV221" s="90">
        <f>IF(AU221&lt;&gt;"",MAX(AT221,AU221),"")</f>
        <v/>
      </c>
      <c r="AW221" s="89">
        <f>IF(AM221&lt;&gt;"H. Sale Real",IF(AND(AM222&lt;&gt;"",LEFT(AG222,2)&lt;&gt;"Va"),IF(AND(AM221&lt;&gt;"",LEFT(AG221,2)&lt;&gt;"Va",AM221&lt;&gt;"H. Sale Real"),IF(AM222-AM221&lt;0.208333333333333,AM222-AM221,""),IF(AND(AM220&lt;&gt;"",LEFT(AG220,2)&lt;&gt;"Va",AM220&lt;&gt;"H. Sale Real"),IF(AM222-AM220&lt;0.208333333333333,AM222-AM220,""),IF(AND(AM219&lt;&gt;"",LEFT(AG219,2)&lt;&gt;"Va",AM219&lt;&gt;"H. Sale Real"),IF(AM222-AM219&lt;0.208333333333333,AM222-AM219,""),IF(AND(AM218&lt;&gt;"",LEFT(AG218,2)&lt;&gt;"Va",AM218&lt;&gt;"H. Sale Real"),IF(AM222-AM218&lt;0.208333333333333,AM222-AM218,""),IF(AND(AM217&lt;&gt;"",LEFT(AG217,2)&lt;&gt;"Va",AM217&lt;&gt;"H. Sale Real"),IF(AM222-AM217&lt;0.208333333333333,AM222-AM217,""),""))))),""),"")</f>
        <v/>
      </c>
      <c r="AX221" s="89">
        <f>IF(AK221&lt;&gt;"H. Sale Real",IF(AND(AK222&lt;&gt;"",LEFT(AG222,2)&lt;&gt;"Va"),IF(AND(AK221&lt;&gt;"",LEFT(AG221,2)&lt;&gt;"Va",AK221&lt;&gt;"H. Sale Real"),IF(AK222-AK221&lt;0.208333333333333,AK222-AK221,""),IF(AND(AK220&lt;&gt;"",LEFT(AG220,2)&lt;&gt;"Va",AK220&lt;&gt;"H. Sale Real"),IF(AK222-AK220&lt;0.208333333333333,AK222-AK220,""),IF(AND(AK219&lt;&gt;"",LEFT(AG219,2)&lt;&gt;"NC",AK219&lt;&gt;"H. Sale Real"),IF(AK222-AK219&lt;0.208333333333333,AK222-AK219,""),IF(AND(AK218&lt;&gt;"",LEFT(AG218,2)&lt;&gt;"Va",AK218&lt;&gt;"H. Sale Real"),IF(AK222-AK218&lt;0.208333333333333,AK222-AK218,""),IF(AND(AK217&lt;&gt;"",LEFT(AG217,2)&lt;&gt;"Va",AK217&lt;&gt;"H. Sale Real"),IF(AK222-AK217&lt;0.208333333333333,AK222-AK217,""),""))))),""),"")</f>
        <v/>
      </c>
      <c r="AY221" s="87" t="n"/>
      <c r="AZ221" s="89" t="n"/>
      <c r="BA221" s="87" t="n"/>
      <c r="BB221" s="89" t="n"/>
      <c r="BC221" s="91" t="n"/>
      <c r="BD221" s="122">
        <f>IF(AK221&lt;&gt;"",IF(AND(BD220&lt;&gt;"IE",AT221&lt;&gt;0,AV221&lt;&gt;""),IF(IFERROR((AT221/AV221),0) &lt;=1,IFERROR(AT221/AV221,""),1),""),"")</f>
        <v/>
      </c>
      <c r="BE221" s="93" t="n"/>
      <c r="BF221" s="105" t="n"/>
      <c r="FC221" t="inlineStr">
        <is>
          <t>Diccionario 1</t>
        </is>
      </c>
      <c r="FD221" s="15" t="n">
        <v>1239</v>
      </c>
      <c r="FE221" s="15" t="inlineStr">
        <is>
          <t>YV3T7U522NA207891</t>
        </is>
      </c>
      <c r="FF221" s="15" t="n">
        <v>552373</v>
      </c>
      <c r="FG221" s="15" t="inlineStr">
        <is>
          <t>Volvo</t>
        </is>
      </c>
      <c r="FH221" s="15" t="inlineStr">
        <is>
          <t>B8RLEA</t>
        </is>
      </c>
      <c r="FI221" s="15" t="inlineStr">
        <is>
          <t>MARCOPOLO</t>
        </is>
      </c>
      <c r="FJ221" s="15" t="inlineStr">
        <is>
          <t>GRAN VIALE</t>
        </is>
      </c>
      <c r="FK221" s="15" t="n">
        <v>2022</v>
      </c>
      <c r="FL221" s="15" t="inlineStr">
        <is>
          <t>C</t>
        </is>
      </c>
      <c r="FM221" s="15" t="inlineStr">
        <is>
          <t>SAN ALFONSO</t>
        </is>
      </c>
      <c r="FN221" s="15" t="inlineStr">
        <is>
          <t>San Alfonso 2141 (Ramón Subercaseaux 3060)</t>
        </is>
      </c>
      <c r="FO221" s="15" t="inlineStr">
        <is>
          <t>Estacion Central</t>
        </is>
      </c>
      <c r="FP221" t="inlineStr">
        <is>
          <t>C</t>
        </is>
      </c>
      <c r="FS221" s="14" t="inlineStr">
        <is>
          <t>3055 / SFWB-51|</t>
        </is>
      </c>
      <c r="FT221" t="inlineStr">
        <is>
          <t>SFWB-51|</t>
        </is>
      </c>
      <c r="FU221" t="inlineStr">
        <is>
          <t>SFWB-51</t>
        </is>
      </c>
      <c r="FV221">
        <f>VLOOKUP(FU221,FD:FL,9,0)</f>
        <v/>
      </c>
      <c r="HB221" s="35" t="n">
        <v>215</v>
      </c>
    </row>
    <row r="222" ht="15.5" customHeight="1">
      <c r="A222" s="10">
        <f>HOUR(G222)+1</f>
        <v/>
      </c>
      <c r="B222" s="7" t="n"/>
      <c r="C222" s="7" t="n"/>
      <c r="D222" s="85">
        <f>IFERROR(
IF(AND(OR(Planilla!B222="C",Planilla!B222="c"), VLOOKUP(E222,FD:FP,13,0)="C"), "OK",IF(AND(OR(Planilla!B222="C",Planilla!B222="c"), OR(VLOOKUP(E222,FD:FP,13,0)="B", VLOOKUP(E222,FD:FP,13,0)="A")), "DEFICIT",IF(
AND(OR(Planilla!B222="B", Planilla!B222="BPAL"), VLOOKUP(E222,FD:FP,13,0)="B"), "OK",IF(AND(OR(Planilla!B222="B", Planilla!B222="BPAL"), VLOOKUP(E222,FD:FP,13,0)="A"), "DEFICIT",IF(AND(OR(Planilla!B222="B", Planilla!B222="BPAL"), VLOOKUP(E222,FD:FP,13,0)="C"), "SOBREOFERTA",IF(AND(Planilla!B222="A", VLOOKUP(E222,FD:FP,13,0)="A"), "OK",IF(
AND(Planilla!B222="A", OR(VLOOKUP(E222,FD:FP,13,0)="B", VLOOKUP(E222,FD:FP,13,0)="C")), "SOBREOFERTA",""
))))))),"")</f>
        <v/>
      </c>
      <c r="E222" s="8" t="n"/>
      <c r="F222" s="86" t="n"/>
      <c r="G222" s="87" t="n"/>
      <c r="H222" s="88">
        <f>IF(I222="","",IF(AND((I222-G222)&gt;=TIME(0,0,0),(I222-G222)&lt;TIME(0,3,0)),"OK",IF(AND((I222-G222)&gt;=TIME(0,3,0),(I222-G222)&lt;TIME(0,5,0)),"RETRASO DE 3-5 MIN",IF(AND((I222-G222)&gt;=TIME(0,5,0),(I222-G222)&lt;TIME(0,10,0)),"RETRASO DE 5-10 MIN",IF((I222-G222)&gt;=TIME(0,10,0),"RETRASO &gt;10 MIN", IF(AND((G222-I222)&gt;=TIME(0,0,0),(G222-I222)&lt;TIME(0,3,0)),"OK",IF((G222-I222)&gt;=TIME(0,3,0),"ADELANTADO")))))))</f>
        <v/>
      </c>
      <c r="I222" s="89" t="n"/>
      <c r="J222" s="89">
        <f>IF(A222&lt;&gt;"",HLOOKUP(VALUE(TEXT(G222,"h:mm:ss")),IF($C$6="Laboral",$FZ$4:$GX$227,IF($C$6="Sábado",$FZ$231:$GX$452,$FZ$456:$GX$656)),VLOOKUP($C$4,$HF$2:$HH$99,3,0)+IF(C$5="Ida",0,1),1),"")</f>
        <v/>
      </c>
      <c r="K222" s="89">
        <f>IF(A223&lt;&gt;A222,AVERAGEIF(A$9:A222,A222,J$9:J222),"")</f>
        <v/>
      </c>
      <c r="L222" s="89">
        <f>IFERROR(IF(A223&lt;&gt;A222,AVERAGEIF(A$9:A222,A222,S$9:S222),""),"")</f>
        <v/>
      </c>
      <c r="M222" s="89">
        <f>IFERROR(IF(A223&lt;&gt;A222,AVERAGEIF(A$9:A222,A222,T$9:T222),""),"")</f>
        <v/>
      </c>
      <c r="N222" s="89">
        <f t="array" ref="N222">IFERROR(IF(A223&lt;&gt;A222,_xlfn.STDEV.P(IF(A$9:A222=A222,T$9:T222)),""),"")</f>
        <v/>
      </c>
      <c r="O222" s="89">
        <f t="array" ref="O222">IFERROR(IF(A223&lt;&gt;A222,_xlfn.STDEV.P(IF(A$9:A222=A222,S$9:S222)),""),"")</f>
        <v/>
      </c>
      <c r="P222" s="90">
        <f>IFERROR(IF(A222&lt;&gt;A223,MAX((((M222*24*60)/2)*(1+POWER((((N222*24*60) / (M222*24*60) )),2))) + ((M222*24*60 )*-0.1 + (K222*0.015)) +1,(((M222*24*60)/2)*(1+POWER((((N222*24*60) / (M222*24*60 ))),2)))),""),"")</f>
        <v/>
      </c>
      <c r="Q222" s="90">
        <f>IF(AND(O222&lt;&gt;"",L222&lt;&gt;""),IF(A222&lt;&gt;A223,((L222*24*60) / 2 ) * (1 + POWER(((O222*24*60) / (L222*24*60)),2)),""),"")</f>
        <v/>
      </c>
      <c r="R222" s="90">
        <f>IF(Q222&lt;&gt;"",MAX(P222,Q222),"")</f>
        <v/>
      </c>
      <c r="S222" s="89">
        <f>IF(I222&lt;&gt;"H. Sale Real",IF(AND(I223&lt;&gt;"",LEFT(C223,2)&lt;&gt;"Va"),IF(AND(I222&lt;&gt;"",LEFT(C222,2)&lt;&gt;"Va",I222&lt;&gt;"H. Sale Real"),IF(I223-I222&lt;0.208333333333333,I223-I222,""),IF(AND(I221&lt;&gt;"",LEFT(C221,2)&lt;&gt;"Va",I221&lt;&gt;"H. Sale Real"),IF(I223-I221&lt;0.208333333333333,I223-I221,""),IF(AND(I220&lt;&gt;"",LEFT(C220,2)&lt;&gt;"Va",I220&lt;&gt;"H. Sale Real"),IF(I223-I220&lt;0.208333333333333,I223-I220,""),IF(AND(I219&lt;&gt;"",LEFT(C219,2)&lt;&gt;"Va",I219&lt;&gt;"H. Sale Real"),IF(I223-I219&lt;0.208333333333333,I223-I219,""),IF(AND(I218&lt;&gt;"",LEFT(C218,2)&lt;&gt;"Va",I218&lt;&gt;"H. Sale Real"),IF(I223-I218&lt;0.208333333333333,I223-I218,""),""))))),""),"")</f>
        <v/>
      </c>
      <c r="T222" s="89">
        <f>IF(G222&lt;&gt;"H. Sale Real",IF(AND(G223&lt;&gt;"",LEFT(C223,2)&lt;&gt;"Va"),IF(AND(G222&lt;&gt;"",LEFT(C222,2)&lt;&gt;"Va",G222&lt;&gt;"H. Sale Real"),IF(G223-G222&lt;0.208333333333333,G223-G222,""),IF(AND(G221&lt;&gt;"",LEFT(C221,2)&lt;&gt;"Va",G221&lt;&gt;"H. Sale Real"),IF(G223-G221&lt;0.208333333333333,G223-G221,""),IF(AND(G220&lt;&gt;"",LEFT(C220,2)&lt;&gt;"Va",G220&lt;&gt;"H. Sale Real"),IF(G223-G220&lt;0.208333333333333,G223-G220,""),IF(AND(G219&lt;&gt;"",LEFT(C219,2)&lt;&gt;"Va",G219&lt;&gt;"H. Sale Real"),IF(G223-G219&lt;0.208333333333333,G223-G219,""),IF(AND(G218&lt;&gt;"",LEFT(C218,2)&lt;&gt;"Va",G218&lt;&gt;"H. Sale Real"),IF(G223-G218&lt;0.208333333333333,G223-G218,""),""))))),""),"")</f>
        <v/>
      </c>
      <c r="U222" s="87" t="n"/>
      <c r="V222" s="89" t="n"/>
      <c r="W222" s="87" t="n"/>
      <c r="X222" s="89" t="n"/>
      <c r="Y222" s="91" t="n"/>
      <c r="Z222" s="122">
        <f>IF(G222&lt;&gt;"",IF(AND(Z221&lt;&gt;"IE",P222&lt;&gt;0,R222&lt;&gt;""),IF(IFERROR((P222/R222),0) &lt;=1,IFERROR(P222/R222,""),1),""),"")</f>
        <v/>
      </c>
      <c r="AA222" s="93" t="n"/>
      <c r="AB222" s="2" t="n"/>
      <c r="AE222" s="10">
        <f>HOUR(AK222)+1</f>
        <v/>
      </c>
      <c r="AF222" s="7" t="n"/>
      <c r="AG222" s="7" t="n"/>
      <c r="AH222" s="86" t="n"/>
      <c r="AI222" s="8" t="n"/>
      <c r="AJ222" s="86" t="n"/>
      <c r="AK222" s="87" t="n"/>
      <c r="AL222" s="88">
        <f>IF(AM222="","",IF(AND((AM222-AK222)&gt;=TIME(0,0,0),(AM222-AK222)&lt;TIME(0,3,0)),"OK",IF(AND((AM222-AK222)&gt;=TIME(0,3,0),(AM222-AK222)&lt;TIME(0,5,0)),"RETRASO DE 3-5 MIN",IF(AND((AM222-AK222)&gt;=TIME(0,5,0),(AM222-AK222)&lt;TIME(0,10,0)),"RETRASO DE 5-10 MIN",IF((AM222-AK222)&gt;=TIME(0,10,0),"RETRASO &gt;10 MIN", IF(AND((AK222-AM222)&gt;=TIME(0,0,0),(AK222-AM222)&lt;TIME(0,3,0)),"OK",IF((AK222-AM222)&gt;=TIME(0,3,0),"ADELANTADO")))))))</f>
        <v/>
      </c>
      <c r="AM222" s="91" t="n"/>
      <c r="AN222" s="89">
        <f>IF(AE222&lt;&gt;"",HLOOKUP(VALUE(TEXT(AK222,"h:mm:ss")),IF($C$6="Laboral",$FZ$4:$GX$227,IF($C$6="Sábado",$FZ$231:$GX$452,$FZ$456:$GX$656)),VLOOKUP($C$4,$HF$2:$HH$99,3,0)+IF(AG$5="Ida",0,1),1),"")</f>
        <v/>
      </c>
      <c r="AO222" s="89">
        <f>IF(AE223&lt;&gt;AE222,AVERAGEIF(AE$9:AE222,AE222,AN$9:AN222),"")</f>
        <v/>
      </c>
      <c r="AP222" s="89">
        <f>IFERROR(IF(AE223&lt;&gt;AE222,AVERAGEIF(AE$9:AE222,AE222,AW$9:AW222),""),"")</f>
        <v/>
      </c>
      <c r="AQ222" s="89">
        <f>IFERROR(IF(AE223&lt;&gt;AE222,AVERAGEIF(AE$9:AE222,AE222,AX$9:AX222),""),"")</f>
        <v/>
      </c>
      <c r="AR222" s="89">
        <f t="array" ref="AR222">IFERROR(IF(AE223&lt;&gt;AE222,_xlfn.STDEV.P(IF(AE$9:AE222=AE222,AX$9:AX222)),""),"")</f>
        <v/>
      </c>
      <c r="AS222" s="89">
        <f t="array" ref="AS222">IFERROR(IF(AE223&lt;&gt;AE222,_xlfn.STDEV.P(IF(AE$9:AE222=AE222,AW$9:AW222)),""),"")</f>
        <v/>
      </c>
      <c r="AT222" s="90">
        <f>IFERROR(IF(AE222&lt;&gt;AE223,MAX((((AQ222*24*60)/2)*(1+POWER((((AR222*24*60) / (AQ222*24*60) )),2))) + ((AQ222*24*60 )*-0.1 + (AO222*0.015)) +1,(((AQ222*24*60)/2)*(1+POWER((((AR222*24*60) / (AQ222*24*60 ))),2)))),""),"")</f>
        <v/>
      </c>
      <c r="AU222" s="90">
        <f>IF(AND(AS222&lt;&gt;"",AP222&lt;&gt;""),IF(AE222&lt;&gt;AE223,((AP222*24*60) / 2 ) * (1 + POWER(((AS222*24*60) / (AP222*24*60)),2)),""),"")</f>
        <v/>
      </c>
      <c r="AV222" s="90">
        <f>IF(AU222&lt;&gt;"",MAX(AT222,AU222),"")</f>
        <v/>
      </c>
      <c r="AW222" s="89">
        <f>IF(AM222&lt;&gt;"H. Sale Real",IF(AND(AM223&lt;&gt;"",LEFT(AG223,2)&lt;&gt;"Va"),IF(AND(AM222&lt;&gt;"",LEFT(AG222,2)&lt;&gt;"Va",AM222&lt;&gt;"H. Sale Real"),IF(AM223-AM222&lt;0.208333333333333,AM223-AM222,""),IF(AND(AM221&lt;&gt;"",LEFT(AG221,2)&lt;&gt;"Va",AM221&lt;&gt;"H. Sale Real"),IF(AM223-AM221&lt;0.208333333333333,AM223-AM221,""),IF(AND(AM220&lt;&gt;"",LEFT(AG220,2)&lt;&gt;"Va",AM220&lt;&gt;"H. Sale Real"),IF(AM223-AM220&lt;0.208333333333333,AM223-AM220,""),IF(AND(AM219&lt;&gt;"",LEFT(AG219,2)&lt;&gt;"Va",AM219&lt;&gt;"H. Sale Real"),IF(AM223-AM219&lt;0.208333333333333,AM223-AM219,""),IF(AND(AM218&lt;&gt;"",LEFT(AG218,2)&lt;&gt;"Va",AM218&lt;&gt;"H. Sale Real"),IF(AM223-AM218&lt;0.208333333333333,AM223-AM218,""),""))))),""),"")</f>
        <v/>
      </c>
      <c r="AX222" s="89">
        <f>IF(AK222&lt;&gt;"H. Sale Real",IF(AND(AK223&lt;&gt;"",LEFT(AG223,2)&lt;&gt;"Va"),IF(AND(AK222&lt;&gt;"",LEFT(AG222,2)&lt;&gt;"Va",AK222&lt;&gt;"H. Sale Real"),IF(AK223-AK222&lt;0.208333333333333,AK223-AK222,""),IF(AND(AK221&lt;&gt;"",LEFT(AG221,2)&lt;&gt;"Va",AK221&lt;&gt;"H. Sale Real"),IF(AK223-AK221&lt;0.208333333333333,AK223-AK221,""),IF(AND(AK220&lt;&gt;"",LEFT(AG220,2)&lt;&gt;"NC",AK220&lt;&gt;"H. Sale Real"),IF(AK223-AK220&lt;0.208333333333333,AK223-AK220,""),IF(AND(AK219&lt;&gt;"",LEFT(AG219,2)&lt;&gt;"Va",AK219&lt;&gt;"H. Sale Real"),IF(AK223-AK219&lt;0.208333333333333,AK223-AK219,""),IF(AND(AK218&lt;&gt;"",LEFT(AG218,2)&lt;&gt;"Va",AK218&lt;&gt;"H. Sale Real"),IF(AK223-AK218&lt;0.208333333333333,AK223-AK218,""),""))))),""),"")</f>
        <v/>
      </c>
      <c r="AY222" s="87" t="n"/>
      <c r="AZ222" s="89" t="n"/>
      <c r="BA222" s="87" t="n"/>
      <c r="BB222" s="89" t="n"/>
      <c r="BC222" s="91" t="n"/>
      <c r="BD222" s="122">
        <f>IF(AK222&lt;&gt;"",IF(AND(BD221&lt;&gt;"IE",AT222&lt;&gt;0,AV222&lt;&gt;""),IF(IFERROR((AT222/AV222),0) &lt;=1,IFERROR(AT222/AV222,""),1),""),"")</f>
        <v/>
      </c>
      <c r="BE222" s="93" t="n"/>
      <c r="BF222" s="105" t="n"/>
      <c r="FC222" t="inlineStr">
        <is>
          <t>Diccionario 1</t>
        </is>
      </c>
      <c r="FD222" s="15" t="n">
        <v>1240</v>
      </c>
      <c r="FE222" s="15" t="inlineStr">
        <is>
          <t>YV3T7U52XNA207881</t>
        </is>
      </c>
      <c r="FF222" s="15" t="n">
        <v>552573</v>
      </c>
      <c r="FG222" s="15" t="inlineStr">
        <is>
          <t>Volvo</t>
        </is>
      </c>
      <c r="FH222" s="15" t="inlineStr">
        <is>
          <t>B8RLEA</t>
        </is>
      </c>
      <c r="FI222" s="15" t="inlineStr">
        <is>
          <t>MARCOPOLO</t>
        </is>
      </c>
      <c r="FJ222" s="15" t="inlineStr">
        <is>
          <t>GRAN VIALE</t>
        </is>
      </c>
      <c r="FK222" s="15" t="n">
        <v>2022</v>
      </c>
      <c r="FL222" s="15" t="inlineStr">
        <is>
          <t>C</t>
        </is>
      </c>
      <c r="FM222" s="15" t="inlineStr">
        <is>
          <t>SAN ALFONSO</t>
        </is>
      </c>
      <c r="FN222" s="15" t="inlineStr">
        <is>
          <t>San Alfonso 2141 (Ramón Subercaseaux 3060)</t>
        </is>
      </c>
      <c r="FO222" s="15" t="inlineStr">
        <is>
          <t>Estacion Central</t>
        </is>
      </c>
      <c r="FP222" t="inlineStr">
        <is>
          <t>C</t>
        </is>
      </c>
      <c r="FS222" s="14" t="inlineStr">
        <is>
          <t>3055 / SFWB-51|</t>
        </is>
      </c>
      <c r="FT222" t="inlineStr">
        <is>
          <t>SFWB-51|</t>
        </is>
      </c>
      <c r="FU222" t="inlineStr">
        <is>
          <t>SFWB-51</t>
        </is>
      </c>
      <c r="FV222">
        <f>VLOOKUP(FU222,FD:FL,9,0)</f>
        <v/>
      </c>
      <c r="HB222" s="35" t="n">
        <v>216</v>
      </c>
    </row>
    <row r="223" ht="15.5" customHeight="1">
      <c r="A223" s="10">
        <f>HOUR(G223)+1</f>
        <v/>
      </c>
      <c r="B223" s="7" t="n"/>
      <c r="C223" s="7" t="n"/>
      <c r="D223" s="85">
        <f>IFERROR(
IF(AND(OR(Planilla!B223="C",Planilla!B223="c"), VLOOKUP(E223,FD:FP,13,0)="C"), "OK",IF(AND(OR(Planilla!B223="C",Planilla!B223="c"), OR(VLOOKUP(E223,FD:FP,13,0)="B", VLOOKUP(E223,FD:FP,13,0)="A")), "DEFICIT",IF(
AND(OR(Planilla!B223="B", Planilla!B223="BPAL"), VLOOKUP(E223,FD:FP,13,0)="B"), "OK",IF(AND(OR(Planilla!B223="B", Planilla!B223="BPAL"), VLOOKUP(E223,FD:FP,13,0)="A"), "DEFICIT",IF(AND(OR(Planilla!B223="B", Planilla!B223="BPAL"), VLOOKUP(E223,FD:FP,13,0)="C"), "SOBREOFERTA",IF(AND(Planilla!B223="A", VLOOKUP(E223,FD:FP,13,0)="A"), "OK",IF(
AND(Planilla!B223="A", OR(VLOOKUP(E223,FD:FP,13,0)="B", VLOOKUP(E223,FD:FP,13,0)="C")), "SOBREOFERTA",""
))))))),"")</f>
        <v/>
      </c>
      <c r="E223" s="8" t="n"/>
      <c r="F223" s="86" t="n"/>
      <c r="G223" s="87" t="n"/>
      <c r="H223" s="88">
        <f>IF(I223="","",IF(AND((I223-G223)&gt;=TIME(0,0,0),(I223-G223)&lt;TIME(0,3,0)),"OK",IF(AND((I223-G223)&gt;=TIME(0,3,0),(I223-G223)&lt;TIME(0,5,0)),"RETRASO DE 3-5 MIN",IF(AND((I223-G223)&gt;=TIME(0,5,0),(I223-G223)&lt;TIME(0,10,0)),"RETRASO DE 5-10 MIN",IF((I223-G223)&gt;=TIME(0,10,0),"RETRASO &gt;10 MIN", IF(AND((G223-I223)&gt;=TIME(0,0,0),(G223-I223)&lt;TIME(0,3,0)),"OK",IF((G223-I223)&gt;=TIME(0,3,0),"ADELANTADO")))))))</f>
        <v/>
      </c>
      <c r="I223" s="89" t="n"/>
      <c r="J223" s="89">
        <f>IF(A223&lt;&gt;"",HLOOKUP(VALUE(TEXT(G223,"h:mm:ss")),IF($C$6="Laboral",$FZ$4:$GX$227,IF($C$6="Sábado",$FZ$231:$GX$452,$FZ$456:$GX$656)),VLOOKUP($C$4,$HF$2:$HH$99,3,0)+IF(C$5="Ida",0,1),1),"")</f>
        <v/>
      </c>
      <c r="K223" s="89">
        <f>IF(A224&lt;&gt;A223,AVERAGEIF(A$9:A223,A223,J$9:J223),"")</f>
        <v/>
      </c>
      <c r="L223" s="89">
        <f>IFERROR(IF(A224&lt;&gt;A223,AVERAGEIF(A$9:A223,A223,S$9:S223),""),"")</f>
        <v/>
      </c>
      <c r="M223" s="89">
        <f>IFERROR(IF(A224&lt;&gt;A223,AVERAGEIF(A$9:A223,A223,T$9:T223),""),"")</f>
        <v/>
      </c>
      <c r="N223" s="89">
        <f t="array" ref="N223">IFERROR(IF(A224&lt;&gt;A223,_xlfn.STDEV.P(IF(A$9:A223=A223,T$9:T223)),""),"")</f>
        <v/>
      </c>
      <c r="O223" s="89">
        <f t="array" ref="O223">IFERROR(IF(A224&lt;&gt;A223,_xlfn.STDEV.P(IF(A$9:A223=A223,S$9:S223)),""),"")</f>
        <v/>
      </c>
      <c r="P223" s="90">
        <f>IFERROR(IF(A223&lt;&gt;A224,MAX((((M223*24*60)/2)*(1+POWER((((N223*24*60) / (M223*24*60) )),2))) + ((M223*24*60 )*-0.1 + (K223*0.015)) +1,(((M223*24*60)/2)*(1+POWER((((N223*24*60) / (M223*24*60 ))),2)))),""),"")</f>
        <v/>
      </c>
      <c r="Q223" s="90">
        <f>IF(AND(O223&lt;&gt;"",L223&lt;&gt;""),IF(A223&lt;&gt;A224,((L223*24*60) / 2 ) * (1 + POWER(((O223*24*60) / (L223*24*60)),2)),""),"")</f>
        <v/>
      </c>
      <c r="R223" s="90">
        <f>IF(Q223&lt;&gt;"",MAX(P223,Q223),"")</f>
        <v/>
      </c>
      <c r="S223" s="89">
        <f>IF(I223&lt;&gt;"H. Sale Real",IF(AND(I224&lt;&gt;"",LEFT(C224,2)&lt;&gt;"Va"),IF(AND(I223&lt;&gt;"",LEFT(C223,2)&lt;&gt;"Va",I223&lt;&gt;"H. Sale Real"),IF(I224-I223&lt;0.208333333333333,I224-I223,""),IF(AND(I222&lt;&gt;"",LEFT(C222,2)&lt;&gt;"Va",I222&lt;&gt;"H. Sale Real"),IF(I224-I222&lt;0.208333333333333,I224-I222,""),IF(AND(I221&lt;&gt;"",LEFT(C221,2)&lt;&gt;"Va",I221&lt;&gt;"H. Sale Real"),IF(I224-I221&lt;0.208333333333333,I224-I221,""),IF(AND(I220&lt;&gt;"",LEFT(C220,2)&lt;&gt;"Va",I220&lt;&gt;"H. Sale Real"),IF(I224-I220&lt;0.208333333333333,I224-I220,""),IF(AND(I219&lt;&gt;"",LEFT(C219,2)&lt;&gt;"Va",I219&lt;&gt;"H. Sale Real"),IF(I224-I219&lt;0.208333333333333,I224-I219,""),""))))),""),"")</f>
        <v/>
      </c>
      <c r="T223" s="89">
        <f>IF(G223&lt;&gt;"H. Sale Real",IF(AND(G224&lt;&gt;"",LEFT(C224,2)&lt;&gt;"Va"),IF(AND(G223&lt;&gt;"",LEFT(C223,2)&lt;&gt;"Va",G223&lt;&gt;"H. Sale Real"),IF(G224-G223&lt;0.208333333333333,G224-G223,""),IF(AND(G222&lt;&gt;"",LEFT(C222,2)&lt;&gt;"Va",G222&lt;&gt;"H. Sale Real"),IF(G224-G222&lt;0.208333333333333,G224-G222,""),IF(AND(G221&lt;&gt;"",LEFT(C221,2)&lt;&gt;"Va",G221&lt;&gt;"H. Sale Real"),IF(G224-G221&lt;0.208333333333333,G224-G221,""),IF(AND(G220&lt;&gt;"",LEFT(C220,2)&lt;&gt;"Va",G220&lt;&gt;"H. Sale Real"),IF(G224-G220&lt;0.208333333333333,G224-G220,""),IF(AND(G219&lt;&gt;"",LEFT(C219,2)&lt;&gt;"Va",G219&lt;&gt;"H. Sale Real"),IF(G224-G219&lt;0.208333333333333,G224-G219,""),""))))),""),"")</f>
        <v/>
      </c>
      <c r="U223" s="87" t="n"/>
      <c r="V223" s="89" t="n"/>
      <c r="W223" s="87" t="n"/>
      <c r="X223" s="89" t="n"/>
      <c r="Y223" s="91" t="n"/>
      <c r="Z223" s="122">
        <f>IF(G223&lt;&gt;"",IF(AND(Z222&lt;&gt;"IE",P223&lt;&gt;0,R223&lt;&gt;""),IF(IFERROR((P223/R223),0) &lt;=1,IFERROR(P223/R223,""),1),""),"")</f>
        <v/>
      </c>
      <c r="AA223" s="93" t="n"/>
      <c r="AB223" s="2" t="n"/>
      <c r="AE223" s="10">
        <f>HOUR(AK223)+1</f>
        <v/>
      </c>
      <c r="AF223" s="7" t="n"/>
      <c r="AG223" s="7" t="n"/>
      <c r="AH223" s="86" t="n"/>
      <c r="AI223" s="8" t="n"/>
      <c r="AJ223" s="86" t="n"/>
      <c r="AK223" s="87" t="n"/>
      <c r="AL223" s="88">
        <f>IF(AM223="","",IF(AND((AM223-AK223)&gt;=TIME(0,0,0),(AM223-AK223)&lt;TIME(0,3,0)),"OK",IF(AND((AM223-AK223)&gt;=TIME(0,3,0),(AM223-AK223)&lt;TIME(0,5,0)),"RETRASO DE 3-5 MIN",IF(AND((AM223-AK223)&gt;=TIME(0,5,0),(AM223-AK223)&lt;TIME(0,10,0)),"RETRASO DE 5-10 MIN",IF((AM223-AK223)&gt;=TIME(0,10,0),"RETRASO &gt;10 MIN", IF(AND((AK223-AM223)&gt;=TIME(0,0,0),(AK223-AM223)&lt;TIME(0,3,0)),"OK",IF((AK223-AM223)&gt;=TIME(0,3,0),"ADELANTADO")))))))</f>
        <v/>
      </c>
      <c r="AM223" s="91" t="n"/>
      <c r="AN223" s="89">
        <f>IF(AE223&lt;&gt;"",HLOOKUP(VALUE(TEXT(AK223,"h:mm:ss")),IF($C$6="Laboral",$FZ$4:$GX$227,IF($C$6="Sábado",$FZ$231:$GX$452,$FZ$456:$GX$656)),VLOOKUP($C$4,$HF$2:$HH$99,3,0)+IF(AG$5="Ida",0,1),1),"")</f>
        <v/>
      </c>
      <c r="AO223" s="89">
        <f>IF(AE224&lt;&gt;AE223,AVERAGEIF(AE$9:AE223,AE223,AN$9:AN223),"")</f>
        <v/>
      </c>
      <c r="AP223" s="89">
        <f>IFERROR(IF(AE224&lt;&gt;AE223,AVERAGEIF(AE$9:AE223,AE223,AW$9:AW223),""),"")</f>
        <v/>
      </c>
      <c r="AQ223" s="89">
        <f>IFERROR(IF(AE224&lt;&gt;AE223,AVERAGEIF(AE$9:AE223,AE223,AX$9:AX223),""),"")</f>
        <v/>
      </c>
      <c r="AR223" s="89">
        <f t="array" ref="AR223">IFERROR(IF(AE224&lt;&gt;AE223,_xlfn.STDEV.P(IF(AE$9:AE223=AE223,AX$9:AX223)),""),"")</f>
        <v/>
      </c>
      <c r="AS223" s="89">
        <f t="array" ref="AS223">IFERROR(IF(AE224&lt;&gt;AE223,_xlfn.STDEV.P(IF(AE$9:AE223=AE223,AW$9:AW223)),""),"")</f>
        <v/>
      </c>
      <c r="AT223" s="90">
        <f>IFERROR(IF(AE223&lt;&gt;AE224,MAX((((AQ223*24*60)/2)*(1+POWER((((AR223*24*60) / (AQ223*24*60) )),2))) + ((AQ223*24*60 )*-0.1 + (AO223*0.015)) +1,(((AQ223*24*60)/2)*(1+POWER((((AR223*24*60) / (AQ223*24*60 ))),2)))),""),"")</f>
        <v/>
      </c>
      <c r="AU223" s="90">
        <f>IF(AND(AS223&lt;&gt;"",AP223&lt;&gt;""),IF(AE223&lt;&gt;AE224,((AP223*24*60) / 2 ) * (1 + POWER(((AS223*24*60) / (AP223*24*60)),2)),""),"")</f>
        <v/>
      </c>
      <c r="AV223" s="90">
        <f>IF(AU223&lt;&gt;"",MAX(AT223,AU223),"")</f>
        <v/>
      </c>
      <c r="AW223" s="89">
        <f>IF(AM223&lt;&gt;"H. Sale Real",IF(AND(AM224&lt;&gt;"",LEFT(AG224,2)&lt;&gt;"Va"),IF(AND(AM223&lt;&gt;"",LEFT(AG223,2)&lt;&gt;"Va",AM223&lt;&gt;"H. Sale Real"),IF(AM224-AM223&lt;0.208333333333333,AM224-AM223,""),IF(AND(AM222&lt;&gt;"",LEFT(AG222,2)&lt;&gt;"Va",AM222&lt;&gt;"H. Sale Real"),IF(AM224-AM222&lt;0.208333333333333,AM224-AM222,""),IF(AND(AM221&lt;&gt;"",LEFT(AG221,2)&lt;&gt;"Va",AM221&lt;&gt;"H. Sale Real"),IF(AM224-AM221&lt;0.208333333333333,AM224-AM221,""),IF(AND(AM220&lt;&gt;"",LEFT(AG220,2)&lt;&gt;"Va",AM220&lt;&gt;"H. Sale Real"),IF(AM224-AM220&lt;0.208333333333333,AM224-AM220,""),IF(AND(AM219&lt;&gt;"",LEFT(AG219,2)&lt;&gt;"Va",AM219&lt;&gt;"H. Sale Real"),IF(AM224-AM219&lt;0.208333333333333,AM224-AM219,""),""))))),""),"")</f>
        <v/>
      </c>
      <c r="AX223" s="89">
        <f>IF(AK223&lt;&gt;"H. Sale Real",IF(AND(AK224&lt;&gt;"",LEFT(AG224,2)&lt;&gt;"Va"),IF(AND(AK223&lt;&gt;"",LEFT(AG223,2)&lt;&gt;"Va",AK223&lt;&gt;"H. Sale Real"),IF(AK224-AK223&lt;0.208333333333333,AK224-AK223,""),IF(AND(AK222&lt;&gt;"",LEFT(AG222,2)&lt;&gt;"Va",AK222&lt;&gt;"H. Sale Real"),IF(AK224-AK222&lt;0.208333333333333,AK224-AK222,""),IF(AND(AK221&lt;&gt;"",LEFT(AG221,2)&lt;&gt;"NC",AK221&lt;&gt;"H. Sale Real"),IF(AK224-AK221&lt;0.208333333333333,AK224-AK221,""),IF(AND(AK220&lt;&gt;"",LEFT(AG220,2)&lt;&gt;"Va",AK220&lt;&gt;"H. Sale Real"),IF(AK224-AK220&lt;0.208333333333333,AK224-AK220,""),IF(AND(AK219&lt;&gt;"",LEFT(AG219,2)&lt;&gt;"Va",AK219&lt;&gt;"H. Sale Real"),IF(AK224-AK219&lt;0.208333333333333,AK224-AK219,""),""))))),""),"")</f>
        <v/>
      </c>
      <c r="AY223" s="87" t="n"/>
      <c r="AZ223" s="89" t="n"/>
      <c r="BA223" s="87" t="n"/>
      <c r="BB223" s="89" t="n"/>
      <c r="BC223" s="91" t="n"/>
      <c r="BD223" s="122">
        <f>IF(AK223&lt;&gt;"",IF(AND(BD222&lt;&gt;"IE",AT223&lt;&gt;0,AV223&lt;&gt;""),IF(IFERROR((AT223/AV223),0) &lt;=1,IFERROR(AT223/AV223,""),1),""),"")</f>
        <v/>
      </c>
      <c r="BE223" s="93" t="n"/>
      <c r="BF223" s="105" t="n"/>
      <c r="FC223" t="inlineStr">
        <is>
          <t>Diccionario 1</t>
        </is>
      </c>
      <c r="FD223" s="15" t="n">
        <v>1241</v>
      </c>
      <c r="FE223" s="15" t="inlineStr">
        <is>
          <t>YV3T7U527NA207837</t>
        </is>
      </c>
      <c r="FF223" s="15" t="n">
        <v>550568</v>
      </c>
      <c r="FG223" s="15" t="inlineStr">
        <is>
          <t>Volvo</t>
        </is>
      </c>
      <c r="FH223" s="15" t="inlineStr">
        <is>
          <t>B8RLEA</t>
        </is>
      </c>
      <c r="FI223" s="15" t="inlineStr">
        <is>
          <t>MARCOPOLO</t>
        </is>
      </c>
      <c r="FJ223" s="15" t="inlineStr">
        <is>
          <t>GRAN VIALE</t>
        </is>
      </c>
      <c r="FK223" s="15" t="n">
        <v>2022</v>
      </c>
      <c r="FL223" s="15" t="inlineStr">
        <is>
          <t>C</t>
        </is>
      </c>
      <c r="FM223" s="15" t="inlineStr">
        <is>
          <t>SAN ALFONSO</t>
        </is>
      </c>
      <c r="FN223" s="15" t="inlineStr">
        <is>
          <t>San Alfonso 2141 (Ramón Subercaseaux 3060)</t>
        </is>
      </c>
      <c r="FO223" s="15" t="inlineStr">
        <is>
          <t>Estacion Central</t>
        </is>
      </c>
      <c r="FP223" t="inlineStr">
        <is>
          <t>C</t>
        </is>
      </c>
      <c r="FS223" s="14" t="inlineStr">
        <is>
          <t>3055 / SFWB-51|</t>
        </is>
      </c>
      <c r="FT223" t="inlineStr">
        <is>
          <t>SFWB-51|</t>
        </is>
      </c>
      <c r="FU223" t="inlineStr">
        <is>
          <t>SFWB-51</t>
        </is>
      </c>
      <c r="FV223">
        <f>VLOOKUP(FU223,FD:FL,9,0)</f>
        <v/>
      </c>
      <c r="HB223" s="35" t="n">
        <v>217</v>
      </c>
    </row>
    <row r="224" ht="15.5" customHeight="1">
      <c r="A224" s="10">
        <f>HOUR(G224)+1</f>
        <v/>
      </c>
      <c r="B224" s="7" t="n"/>
      <c r="C224" s="7" t="n"/>
      <c r="D224" s="85">
        <f>IFERROR(
IF(AND(OR(Planilla!B224="C",Planilla!B224="c"), VLOOKUP(E224,FD:FP,13,0)="C"), "OK",IF(AND(OR(Planilla!B224="C",Planilla!B224="c"), OR(VLOOKUP(E224,FD:FP,13,0)="B", VLOOKUP(E224,FD:FP,13,0)="A")), "DEFICIT",IF(
AND(OR(Planilla!B224="B", Planilla!B224="BPAL"), VLOOKUP(E224,FD:FP,13,0)="B"), "OK",IF(AND(OR(Planilla!B224="B", Planilla!B224="BPAL"), VLOOKUP(E224,FD:FP,13,0)="A"), "DEFICIT",IF(AND(OR(Planilla!B224="B", Planilla!B224="BPAL"), VLOOKUP(E224,FD:FP,13,0)="C"), "SOBREOFERTA",IF(AND(Planilla!B224="A", VLOOKUP(E224,FD:FP,13,0)="A"), "OK",IF(
AND(Planilla!B224="A", OR(VLOOKUP(E224,FD:FP,13,0)="B", VLOOKUP(E224,FD:FP,13,0)="C")), "SOBREOFERTA",""
))))))),"")</f>
        <v/>
      </c>
      <c r="E224" s="8" t="n"/>
      <c r="F224" s="86" t="n"/>
      <c r="G224" s="87" t="n"/>
      <c r="H224" s="88">
        <f>IF(I224="","",IF(AND((I224-G224)&gt;=TIME(0,0,0),(I224-G224)&lt;TIME(0,3,0)),"OK",IF(AND((I224-G224)&gt;=TIME(0,3,0),(I224-G224)&lt;TIME(0,5,0)),"RETRASO DE 3-5 MIN",IF(AND((I224-G224)&gt;=TIME(0,5,0),(I224-G224)&lt;TIME(0,10,0)),"RETRASO DE 5-10 MIN",IF((I224-G224)&gt;=TIME(0,10,0),"RETRASO &gt;10 MIN", IF(AND((G224-I224)&gt;=TIME(0,0,0),(G224-I224)&lt;TIME(0,3,0)),"OK",IF((G224-I224)&gt;=TIME(0,3,0),"ADELANTADO")))))))</f>
        <v/>
      </c>
      <c r="I224" s="89" t="n"/>
      <c r="J224" s="89">
        <f>IF(A224&lt;&gt;"",HLOOKUP(VALUE(TEXT(G224,"h:mm:ss")),IF($C$6="Laboral",$FZ$4:$GX$227,IF($C$6="Sábado",$FZ$231:$GX$452,$FZ$456:$GX$656)),VLOOKUP($C$4,$HF$2:$HH$99,3,0)+IF(C$5="Ida",0,1),1),"")</f>
        <v/>
      </c>
      <c r="K224" s="89">
        <f>IF(A225&lt;&gt;A224,AVERAGEIF(A$9:A224,A224,J$9:J224),"")</f>
        <v/>
      </c>
      <c r="L224" s="89">
        <f>IFERROR(IF(A225&lt;&gt;A224,AVERAGEIF(A$9:A224,A224,S$9:S224),""),"")</f>
        <v/>
      </c>
      <c r="M224" s="89">
        <f>IFERROR(IF(A225&lt;&gt;A224,AVERAGEIF(A$9:A224,A224,T$9:T224),""),"")</f>
        <v/>
      </c>
      <c r="N224" s="89">
        <f t="array" ref="N224">IFERROR(IF(A225&lt;&gt;A224,_xlfn.STDEV.P(IF(A$9:A224=A224,T$9:T224)),""),"")</f>
        <v/>
      </c>
      <c r="O224" s="89">
        <f t="array" ref="O224">IFERROR(IF(A225&lt;&gt;A224,_xlfn.STDEV.P(IF(A$9:A224=A224,S$9:S224)),""),"")</f>
        <v/>
      </c>
      <c r="P224" s="90">
        <f>IFERROR(IF(A224&lt;&gt;A225,MAX((((M224*24*60)/2)*(1+POWER((((N224*24*60) / (M224*24*60) )),2))) + ((M224*24*60 )*-0.1 + (K224*0.015)) +1,(((M224*24*60)/2)*(1+POWER((((N224*24*60) / (M224*24*60 ))),2)))),""),"")</f>
        <v/>
      </c>
      <c r="Q224" s="90">
        <f>IF(AND(O224&lt;&gt;"",L224&lt;&gt;""),IF(A224&lt;&gt;A225,((L224*24*60) / 2 ) * (1 + POWER(((O224*24*60) / (L224*24*60)),2)),""),"")</f>
        <v/>
      </c>
      <c r="R224" s="90">
        <f>IF(Q224&lt;&gt;"",MAX(P224,Q224),"")</f>
        <v/>
      </c>
      <c r="S224" s="89">
        <f>IF(I224&lt;&gt;"H. Sale Real",IF(AND(I225&lt;&gt;"",LEFT(C225,2)&lt;&gt;"Va"),IF(AND(I224&lt;&gt;"",LEFT(C224,2)&lt;&gt;"Va",I224&lt;&gt;"H. Sale Real"),IF(I225-I224&lt;0.208333333333333,I225-I224,""),IF(AND(I223&lt;&gt;"",LEFT(C223,2)&lt;&gt;"Va",I223&lt;&gt;"H. Sale Real"),IF(I225-I223&lt;0.208333333333333,I225-I223,""),IF(AND(I222&lt;&gt;"",LEFT(C222,2)&lt;&gt;"Va",I222&lt;&gt;"H. Sale Real"),IF(I225-I222&lt;0.208333333333333,I225-I222,""),IF(AND(I221&lt;&gt;"",LEFT(C221,2)&lt;&gt;"Va",I221&lt;&gt;"H. Sale Real"),IF(I225-I221&lt;0.208333333333333,I225-I221,""),IF(AND(I220&lt;&gt;"",LEFT(C220,2)&lt;&gt;"Va",I220&lt;&gt;"H. Sale Real"),IF(I225-I220&lt;0.208333333333333,I225-I220,""),""))))),""),"")</f>
        <v/>
      </c>
      <c r="T224" s="89">
        <f>IF(G224&lt;&gt;"H. Sale Real",IF(AND(G225&lt;&gt;"",LEFT(C225,2)&lt;&gt;"Va"),IF(AND(G224&lt;&gt;"",LEFT(C224,2)&lt;&gt;"Va",G224&lt;&gt;"H. Sale Real"),IF(G225-G224&lt;0.208333333333333,G225-G224,""),IF(AND(G223&lt;&gt;"",LEFT(C223,2)&lt;&gt;"Va",G223&lt;&gt;"H. Sale Real"),IF(G225-G223&lt;0.208333333333333,G225-G223,""),IF(AND(G222&lt;&gt;"",LEFT(C222,2)&lt;&gt;"Va",G222&lt;&gt;"H. Sale Real"),IF(G225-G222&lt;0.208333333333333,G225-G222,""),IF(AND(G221&lt;&gt;"",LEFT(C221,2)&lt;&gt;"Va",G221&lt;&gt;"H. Sale Real"),IF(G225-G221&lt;0.208333333333333,G225-G221,""),IF(AND(G220&lt;&gt;"",LEFT(C220,2)&lt;&gt;"Va",G220&lt;&gt;"H. Sale Real"),IF(G225-G220&lt;0.208333333333333,G225-G220,""),""))))),""),"")</f>
        <v/>
      </c>
      <c r="U224" s="87" t="n"/>
      <c r="V224" s="89" t="n"/>
      <c r="W224" s="87" t="n"/>
      <c r="X224" s="89" t="n"/>
      <c r="Y224" s="91" t="n"/>
      <c r="Z224" s="122">
        <f>IF(G224&lt;&gt;"",IF(AND(Z223&lt;&gt;"IE",P224&lt;&gt;0,R224&lt;&gt;""),IF(IFERROR((P224/R224),0) &lt;=1,IFERROR(P224/R224,""),1),""),"")</f>
        <v/>
      </c>
      <c r="AA224" s="93" t="n"/>
      <c r="AB224" s="2" t="n"/>
      <c r="AE224" s="10">
        <f>HOUR(AK224)+1</f>
        <v/>
      </c>
      <c r="AF224" s="7" t="n"/>
      <c r="AG224" s="7" t="n"/>
      <c r="AH224" s="86" t="n"/>
      <c r="AI224" s="8" t="n"/>
      <c r="AJ224" s="86" t="n"/>
      <c r="AK224" s="87" t="n"/>
      <c r="AL224" s="88">
        <f>IF(AM224="","",IF(AND((AM224-AK224)&gt;=TIME(0,0,0),(AM224-AK224)&lt;TIME(0,3,0)),"OK",IF(AND((AM224-AK224)&gt;=TIME(0,3,0),(AM224-AK224)&lt;TIME(0,5,0)),"RETRASO DE 3-5 MIN",IF(AND((AM224-AK224)&gt;=TIME(0,5,0),(AM224-AK224)&lt;TIME(0,10,0)),"RETRASO DE 5-10 MIN",IF((AM224-AK224)&gt;=TIME(0,10,0),"RETRASO &gt;10 MIN", IF(AND((AK224-AM224)&gt;=TIME(0,0,0),(AK224-AM224)&lt;TIME(0,3,0)),"OK",IF((AK224-AM224)&gt;=TIME(0,3,0),"ADELANTADO")))))))</f>
        <v/>
      </c>
      <c r="AM224" s="91" t="n"/>
      <c r="AN224" s="89">
        <f>IF(AE224&lt;&gt;"",HLOOKUP(VALUE(TEXT(AK224,"h:mm:ss")),IF($C$6="Laboral",$FZ$4:$GX$227,IF($C$6="Sábado",$FZ$231:$GX$452,$FZ$456:$GX$656)),VLOOKUP($C$4,$HF$2:$HH$99,3,0)+IF(AG$5="Ida",0,1),1),"")</f>
        <v/>
      </c>
      <c r="AO224" s="89">
        <f>IF(AE225&lt;&gt;AE224,AVERAGEIF(AE$9:AE224,AE224,AN$9:AN224),"")</f>
        <v/>
      </c>
      <c r="AP224" s="89">
        <f>IFERROR(IF(AE225&lt;&gt;AE224,AVERAGEIF(AE$9:AE224,AE224,AW$9:AW224),""),"")</f>
        <v/>
      </c>
      <c r="AQ224" s="89">
        <f>IFERROR(IF(AE225&lt;&gt;AE224,AVERAGEIF(AE$9:AE224,AE224,AX$9:AX224),""),"")</f>
        <v/>
      </c>
      <c r="AR224" s="89">
        <f t="array" ref="AR224">IFERROR(IF(AE225&lt;&gt;AE224,_xlfn.STDEV.P(IF(AE$9:AE224=AE224,AX$9:AX224)),""),"")</f>
        <v/>
      </c>
      <c r="AS224" s="89">
        <f t="array" ref="AS224">IFERROR(IF(AE225&lt;&gt;AE224,_xlfn.STDEV.P(IF(AE$9:AE224=AE224,AW$9:AW224)),""),"")</f>
        <v/>
      </c>
      <c r="AT224" s="90">
        <f>IFERROR(IF(AE224&lt;&gt;AE225,MAX((((AQ224*24*60)/2)*(1+POWER((((AR224*24*60) / (AQ224*24*60) )),2))) + ((AQ224*24*60 )*-0.1 + (AO224*0.015)) +1,(((AQ224*24*60)/2)*(1+POWER((((AR224*24*60) / (AQ224*24*60 ))),2)))),""),"")</f>
        <v/>
      </c>
      <c r="AU224" s="90">
        <f>IF(AND(AS224&lt;&gt;"",AP224&lt;&gt;""),IF(AE224&lt;&gt;AE225,((AP224*24*60) / 2 ) * (1 + POWER(((AS224*24*60) / (AP224*24*60)),2)),""),"")</f>
        <v/>
      </c>
      <c r="AV224" s="90">
        <f>IF(AU224&lt;&gt;"",MAX(AT224,AU224),"")</f>
        <v/>
      </c>
      <c r="AW224" s="89">
        <f>IF(AM224&lt;&gt;"H. Sale Real",IF(AND(AM225&lt;&gt;"",LEFT(AG225,2)&lt;&gt;"Va"),IF(AND(AM224&lt;&gt;"",LEFT(AG224,2)&lt;&gt;"Va",AM224&lt;&gt;"H. Sale Real"),IF(AM225-AM224&lt;0.208333333333333,AM225-AM224,""),IF(AND(AM223&lt;&gt;"",LEFT(AG223,2)&lt;&gt;"Va",AM223&lt;&gt;"H. Sale Real"),IF(AM225-AM223&lt;0.208333333333333,AM225-AM223,""),IF(AND(AM222&lt;&gt;"",LEFT(AG222,2)&lt;&gt;"Va",AM222&lt;&gt;"H. Sale Real"),IF(AM225-AM222&lt;0.208333333333333,AM225-AM222,""),IF(AND(AM221&lt;&gt;"",LEFT(AG221,2)&lt;&gt;"Va",AM221&lt;&gt;"H. Sale Real"),IF(AM225-AM221&lt;0.208333333333333,AM225-AM221,""),IF(AND(AM220&lt;&gt;"",LEFT(AG220,2)&lt;&gt;"Va",AM220&lt;&gt;"H. Sale Real"),IF(AM225-AM220&lt;0.208333333333333,AM225-AM220,""),""))))),""),"")</f>
        <v/>
      </c>
      <c r="AX224" s="89">
        <f>IF(AK224&lt;&gt;"H. Sale Real",IF(AND(AK225&lt;&gt;"",LEFT(AG225,2)&lt;&gt;"Va"),IF(AND(AK224&lt;&gt;"",LEFT(AG224,2)&lt;&gt;"Va",AK224&lt;&gt;"H. Sale Real"),IF(AK225-AK224&lt;0.208333333333333,AK225-AK224,""),IF(AND(AK223&lt;&gt;"",LEFT(AG223,2)&lt;&gt;"Va",AK223&lt;&gt;"H. Sale Real"),IF(AK225-AK223&lt;0.208333333333333,AK225-AK223,""),IF(AND(AK222&lt;&gt;"",LEFT(AG222,2)&lt;&gt;"NC",AK222&lt;&gt;"H. Sale Real"),IF(AK225-AK222&lt;0.208333333333333,AK225-AK222,""),IF(AND(AK221&lt;&gt;"",LEFT(AG221,2)&lt;&gt;"Va",AK221&lt;&gt;"H. Sale Real"),IF(AK225-AK221&lt;0.208333333333333,AK225-AK221,""),IF(AND(AK220&lt;&gt;"",LEFT(AG220,2)&lt;&gt;"Va",AK220&lt;&gt;"H. Sale Real"),IF(AK225-AK220&lt;0.208333333333333,AK225-AK220,""),""))))),""),"")</f>
        <v/>
      </c>
      <c r="AY224" s="87" t="n"/>
      <c r="AZ224" s="89" t="n"/>
      <c r="BA224" s="87" t="n"/>
      <c r="BB224" s="89" t="n"/>
      <c r="BC224" s="91" t="n"/>
      <c r="BD224" s="122">
        <f>IF(AK224&lt;&gt;"",IF(AND(BD223&lt;&gt;"IE",AT224&lt;&gt;0,AV224&lt;&gt;""),IF(IFERROR((AT224/AV224),0) &lt;=1,IFERROR(AT224/AV224,""),1),""),"")</f>
        <v/>
      </c>
      <c r="BE224" s="93" t="n"/>
      <c r="BF224" s="105" t="n"/>
      <c r="FC224" t="inlineStr">
        <is>
          <t>Diccionario 1</t>
        </is>
      </c>
      <c r="FD224" s="15" t="n">
        <v>1204</v>
      </c>
      <c r="FE224" s="15" t="inlineStr">
        <is>
          <t>YV3T7U527NA207935</t>
        </is>
      </c>
      <c r="FF224" s="15" t="n">
        <v>551734</v>
      </c>
      <c r="FG224" s="15" t="inlineStr">
        <is>
          <t>Volvo</t>
        </is>
      </c>
      <c r="FH224" s="15" t="inlineStr">
        <is>
          <t>B8RLEA</t>
        </is>
      </c>
      <c r="FI224" s="15" t="inlineStr">
        <is>
          <t>MARCOPOLO</t>
        </is>
      </c>
      <c r="FJ224" s="15" t="inlineStr">
        <is>
          <t>GRAN VIALE</t>
        </is>
      </c>
      <c r="FK224" s="15" t="n">
        <v>2022</v>
      </c>
      <c r="FL224" s="15" t="inlineStr">
        <is>
          <t>C</t>
        </is>
      </c>
      <c r="FM224" s="15" t="inlineStr">
        <is>
          <t>PIE ANDINO</t>
        </is>
      </c>
      <c r="FN224" s="15" t="inlineStr">
        <is>
          <t>Pie Andino 31 (Pie Andino 383)</t>
        </is>
      </c>
      <c r="FO224" s="15" t="inlineStr">
        <is>
          <t>Puente Alto</t>
        </is>
      </c>
      <c r="FP224" t="inlineStr">
        <is>
          <t>C</t>
        </is>
      </c>
      <c r="FS224" s="14" t="inlineStr">
        <is>
          <t>3055 / SFWB-51|</t>
        </is>
      </c>
      <c r="FT224" t="inlineStr">
        <is>
          <t>SFWB-51|</t>
        </is>
      </c>
      <c r="FU224" t="inlineStr">
        <is>
          <t>SFWB-51</t>
        </is>
      </c>
      <c r="FV224">
        <f>VLOOKUP(FU224,FD:FL,9,0)</f>
        <v/>
      </c>
      <c r="HB224" s="35" t="n">
        <v>218</v>
      </c>
    </row>
    <row r="225" ht="15.5" customHeight="1">
      <c r="A225" s="10">
        <f>HOUR(G225)+1</f>
        <v/>
      </c>
      <c r="B225" s="7" t="n"/>
      <c r="C225" s="7" t="n"/>
      <c r="D225" s="85">
        <f>IFERROR(
IF(AND(OR(Planilla!B225="C",Planilla!B225="c"), VLOOKUP(E225,FD:FP,13,0)="C"), "OK",IF(AND(OR(Planilla!B225="C",Planilla!B225="c"), OR(VLOOKUP(E225,FD:FP,13,0)="B", VLOOKUP(E225,FD:FP,13,0)="A")), "DEFICIT",IF(
AND(OR(Planilla!B225="B", Planilla!B225="BPAL"), VLOOKUP(E225,FD:FP,13,0)="B"), "OK",IF(AND(OR(Planilla!B225="B", Planilla!B225="BPAL"), VLOOKUP(E225,FD:FP,13,0)="A"), "DEFICIT",IF(AND(OR(Planilla!B225="B", Planilla!B225="BPAL"), VLOOKUP(E225,FD:FP,13,0)="C"), "SOBREOFERTA",IF(AND(Planilla!B225="A", VLOOKUP(E225,FD:FP,13,0)="A"), "OK",IF(
AND(Planilla!B225="A", OR(VLOOKUP(E225,FD:FP,13,0)="B", VLOOKUP(E225,FD:FP,13,0)="C")), "SOBREOFERTA",""
))))))),"")</f>
        <v/>
      </c>
      <c r="E225" s="8" t="n"/>
      <c r="F225" s="86" t="n"/>
      <c r="G225" s="87" t="n"/>
      <c r="H225" s="88">
        <f>IF(I225="","",IF(AND((I225-G225)&gt;=TIME(0,0,0),(I225-G225)&lt;TIME(0,3,0)),"OK",IF(AND((I225-G225)&gt;=TIME(0,3,0),(I225-G225)&lt;TIME(0,5,0)),"RETRASO DE 3-5 MIN",IF(AND((I225-G225)&gt;=TIME(0,5,0),(I225-G225)&lt;TIME(0,10,0)),"RETRASO DE 5-10 MIN",IF((I225-G225)&gt;=TIME(0,10,0),"RETRASO &gt;10 MIN", IF(AND((G225-I225)&gt;=TIME(0,0,0),(G225-I225)&lt;TIME(0,3,0)),"OK",IF((G225-I225)&gt;=TIME(0,3,0),"ADELANTADO")))))))</f>
        <v/>
      </c>
      <c r="I225" s="89" t="n"/>
      <c r="J225" s="89">
        <f>IF(A225&lt;&gt;"",HLOOKUP(VALUE(TEXT(G225,"h:mm:ss")),IF($C$6="Laboral",$FZ$4:$GX$227,IF($C$6="Sábado",$FZ$231:$GX$452,$FZ$456:$GX$656)),VLOOKUP($C$4,$HF$2:$HH$99,3,0)+IF(C$5="Ida",0,1),1),"")</f>
        <v/>
      </c>
      <c r="K225" s="89">
        <f>IF(A226&lt;&gt;A225,AVERAGEIF(A$9:A225,A225,J$9:J225),"")</f>
        <v/>
      </c>
      <c r="L225" s="89">
        <f>IFERROR(IF(A226&lt;&gt;A225,AVERAGEIF(A$9:A225,A225,S$9:S225),""),"")</f>
        <v/>
      </c>
      <c r="M225" s="89">
        <f>IFERROR(IF(A226&lt;&gt;A225,AVERAGEIF(A$9:A225,A225,T$9:T225),""),"")</f>
        <v/>
      </c>
      <c r="N225" s="89">
        <f t="array" ref="N225">IFERROR(IF(A226&lt;&gt;A225,_xlfn.STDEV.P(IF(A$9:A225=A225,T$9:T225)),""),"")</f>
        <v/>
      </c>
      <c r="O225" s="89">
        <f t="array" ref="O225">IFERROR(IF(A226&lt;&gt;A225,_xlfn.STDEV.P(IF(A$9:A225=A225,S$9:S225)),""),"")</f>
        <v/>
      </c>
      <c r="P225" s="90">
        <f>IFERROR(IF(A225&lt;&gt;A226,MAX((((M225*24*60)/2)*(1+POWER((((N225*24*60) / (M225*24*60) )),2))) + ((M225*24*60 )*-0.1 + (K225*0.015)) +1,(((M225*24*60)/2)*(1+POWER((((N225*24*60) / (M225*24*60 ))),2)))),""),"")</f>
        <v/>
      </c>
      <c r="Q225" s="90">
        <f>IF(AND(O225&lt;&gt;"",L225&lt;&gt;""),IF(A225&lt;&gt;A226,((L225*24*60) / 2 ) * (1 + POWER(((O225*24*60) / (L225*24*60)),2)),""),"")</f>
        <v/>
      </c>
      <c r="R225" s="90">
        <f>IF(Q225&lt;&gt;"",MAX(P225,Q225),"")</f>
        <v/>
      </c>
      <c r="S225" s="89">
        <f>IF(I225&lt;&gt;"H. Sale Real",IF(AND(I226&lt;&gt;"",LEFT(C226,2)&lt;&gt;"Va"),IF(AND(I225&lt;&gt;"",LEFT(C225,2)&lt;&gt;"Va",I225&lt;&gt;"H. Sale Real"),IF(I226-I225&lt;0.208333333333333,I226-I225,""),IF(AND(I224&lt;&gt;"",LEFT(C224,2)&lt;&gt;"Va",I224&lt;&gt;"H. Sale Real"),IF(I226-I224&lt;0.208333333333333,I226-I224,""),IF(AND(I223&lt;&gt;"",LEFT(C223,2)&lt;&gt;"Va",I223&lt;&gt;"H. Sale Real"),IF(I226-I223&lt;0.208333333333333,I226-I223,""),IF(AND(I222&lt;&gt;"",LEFT(C222,2)&lt;&gt;"Va",I222&lt;&gt;"H. Sale Real"),IF(I226-I222&lt;0.208333333333333,I226-I222,""),IF(AND(I221&lt;&gt;"",LEFT(C221,2)&lt;&gt;"Va",I221&lt;&gt;"H. Sale Real"),IF(I226-I221&lt;0.208333333333333,I226-I221,""),""))))),""),"")</f>
        <v/>
      </c>
      <c r="T225" s="89">
        <f>IF(G225&lt;&gt;"H. Sale Real",IF(AND(G226&lt;&gt;"",LEFT(C226,2)&lt;&gt;"Va"),IF(AND(G225&lt;&gt;"",LEFT(C225,2)&lt;&gt;"Va",G225&lt;&gt;"H. Sale Real"),IF(G226-G225&lt;0.208333333333333,G226-G225,""),IF(AND(G224&lt;&gt;"",LEFT(C224,2)&lt;&gt;"Va",G224&lt;&gt;"H. Sale Real"),IF(G226-G224&lt;0.208333333333333,G226-G224,""),IF(AND(G223&lt;&gt;"",LEFT(C223,2)&lt;&gt;"Va",G223&lt;&gt;"H. Sale Real"),IF(G226-G223&lt;0.208333333333333,G226-G223,""),IF(AND(G222&lt;&gt;"",LEFT(C222,2)&lt;&gt;"Va",G222&lt;&gt;"H. Sale Real"),IF(G226-G222&lt;0.208333333333333,G226-G222,""),IF(AND(G221&lt;&gt;"",LEFT(C221,2)&lt;&gt;"Va",G221&lt;&gt;"H. Sale Real"),IF(G226-G221&lt;0.208333333333333,G226-G221,""),""))))),""),"")</f>
        <v/>
      </c>
      <c r="U225" s="87" t="n"/>
      <c r="V225" s="89" t="n"/>
      <c r="W225" s="87" t="n"/>
      <c r="X225" s="89" t="n"/>
      <c r="Y225" s="91" t="n"/>
      <c r="Z225" s="122">
        <f>IF(G225&lt;&gt;"",IF(AND(Z224&lt;&gt;"IE",P225&lt;&gt;0,R225&lt;&gt;""),IF(IFERROR((P225/R225),0) &lt;=1,IFERROR(P225/R225,""),1),""),"")</f>
        <v/>
      </c>
      <c r="AA225" s="93" t="n"/>
      <c r="AB225" s="2" t="n"/>
      <c r="AE225" s="10">
        <f>HOUR(AK225)+1</f>
        <v/>
      </c>
      <c r="AF225" s="7" t="n"/>
      <c r="AG225" s="7" t="n"/>
      <c r="AH225" s="86" t="n"/>
      <c r="AI225" s="8" t="n"/>
      <c r="AJ225" s="86" t="n"/>
      <c r="AK225" s="87" t="n"/>
      <c r="AL225" s="88">
        <f>IF(AM225="","",IF(AND((AM225-AK225)&gt;=TIME(0,0,0),(AM225-AK225)&lt;TIME(0,3,0)),"OK",IF(AND((AM225-AK225)&gt;=TIME(0,3,0),(AM225-AK225)&lt;TIME(0,5,0)),"RETRASO DE 3-5 MIN",IF(AND((AM225-AK225)&gt;=TIME(0,5,0),(AM225-AK225)&lt;TIME(0,10,0)),"RETRASO DE 5-10 MIN",IF((AM225-AK225)&gt;=TIME(0,10,0),"RETRASO &gt;10 MIN", IF(AND((AK225-AM225)&gt;=TIME(0,0,0),(AK225-AM225)&lt;TIME(0,3,0)),"OK",IF((AK225-AM225)&gt;=TIME(0,3,0),"ADELANTADO")))))))</f>
        <v/>
      </c>
      <c r="AM225" s="91" t="n"/>
      <c r="AN225" s="89">
        <f>IF(AE225&lt;&gt;"",HLOOKUP(VALUE(TEXT(AK225,"h:mm:ss")),IF($C$6="Laboral",$FZ$4:$GX$227,IF($C$6="Sábado",$FZ$231:$GX$452,$FZ$456:$GX$656)),VLOOKUP($C$4,$HF$2:$HH$99,3,0)+IF(AG$5="Ida",0,1),1),"")</f>
        <v/>
      </c>
      <c r="AO225" s="89">
        <f>IF(AE226&lt;&gt;AE225,AVERAGEIF(AE$9:AE225,AE225,AN$9:AN225),"")</f>
        <v/>
      </c>
      <c r="AP225" s="89">
        <f>IFERROR(IF(AE226&lt;&gt;AE225,AVERAGEIF(AE$9:AE225,AE225,AW$9:AW225),""),"")</f>
        <v/>
      </c>
      <c r="AQ225" s="89">
        <f>IFERROR(IF(AE226&lt;&gt;AE225,AVERAGEIF(AE$9:AE225,AE225,AX$9:AX225),""),"")</f>
        <v/>
      </c>
      <c r="AR225" s="89">
        <f t="array" ref="AR225">IFERROR(IF(AE226&lt;&gt;AE225,_xlfn.STDEV.P(IF(AE$9:AE225=AE225,AX$9:AX225)),""),"")</f>
        <v/>
      </c>
      <c r="AS225" s="89">
        <f t="array" ref="AS225">IFERROR(IF(AE226&lt;&gt;AE225,_xlfn.STDEV.P(IF(AE$9:AE225=AE225,AW$9:AW225)),""),"")</f>
        <v/>
      </c>
      <c r="AT225" s="90">
        <f>IFERROR(IF(AE225&lt;&gt;AE226,MAX((((AQ225*24*60)/2)*(1+POWER((((AR225*24*60) / (AQ225*24*60) )),2))) + ((AQ225*24*60 )*-0.1 + (AO225*0.015)) +1,(((AQ225*24*60)/2)*(1+POWER((((AR225*24*60) / (AQ225*24*60 ))),2)))),""),"")</f>
        <v/>
      </c>
      <c r="AU225" s="90">
        <f>IF(AND(AS225&lt;&gt;"",AP225&lt;&gt;""),IF(AE225&lt;&gt;AE226,((AP225*24*60) / 2 ) * (1 + POWER(((AS225*24*60) / (AP225*24*60)),2)),""),"")</f>
        <v/>
      </c>
      <c r="AV225" s="90">
        <f>IF(AU225&lt;&gt;"",MAX(AT225,AU225),"")</f>
        <v/>
      </c>
      <c r="AW225" s="89">
        <f>IF(AM225&lt;&gt;"H. Sale Real",IF(AND(AM226&lt;&gt;"",LEFT(AG226,2)&lt;&gt;"Va"),IF(AND(AM225&lt;&gt;"",LEFT(AG225,2)&lt;&gt;"Va",AM225&lt;&gt;"H. Sale Real"),IF(AM226-AM225&lt;0.208333333333333,AM226-AM225,""),IF(AND(AM224&lt;&gt;"",LEFT(AG224,2)&lt;&gt;"Va",AM224&lt;&gt;"H. Sale Real"),IF(AM226-AM224&lt;0.208333333333333,AM226-AM224,""),IF(AND(AM223&lt;&gt;"",LEFT(AG223,2)&lt;&gt;"Va",AM223&lt;&gt;"H. Sale Real"),IF(AM226-AM223&lt;0.208333333333333,AM226-AM223,""),IF(AND(AM222&lt;&gt;"",LEFT(AG222,2)&lt;&gt;"Va",AM222&lt;&gt;"H. Sale Real"),IF(AM226-AM222&lt;0.208333333333333,AM226-AM222,""),IF(AND(AM221&lt;&gt;"",LEFT(AG221,2)&lt;&gt;"Va",AM221&lt;&gt;"H. Sale Real"),IF(AM226-AM221&lt;0.208333333333333,AM226-AM221,""),""))))),""),"")</f>
        <v/>
      </c>
      <c r="AX225" s="89">
        <f>IF(AK225&lt;&gt;"H. Sale Real",IF(AND(AK226&lt;&gt;"",LEFT(AG226,2)&lt;&gt;"Va"),IF(AND(AK225&lt;&gt;"",LEFT(AG225,2)&lt;&gt;"Va",AK225&lt;&gt;"H. Sale Real"),IF(AK226-AK225&lt;0.208333333333333,AK226-AK225,""),IF(AND(AK224&lt;&gt;"",LEFT(AG224,2)&lt;&gt;"Va",AK224&lt;&gt;"H. Sale Real"),IF(AK226-AK224&lt;0.208333333333333,AK226-AK224,""),IF(AND(AK223&lt;&gt;"",LEFT(AG223,2)&lt;&gt;"NC",AK223&lt;&gt;"H. Sale Real"),IF(AK226-AK223&lt;0.208333333333333,AK226-AK223,""),IF(AND(AK222&lt;&gt;"",LEFT(AG222,2)&lt;&gt;"Va",AK222&lt;&gt;"H. Sale Real"),IF(AK226-AK222&lt;0.208333333333333,AK226-AK222,""),IF(AND(AK221&lt;&gt;"",LEFT(AG221,2)&lt;&gt;"Va",AK221&lt;&gt;"H. Sale Real"),IF(AK226-AK221&lt;0.208333333333333,AK226-AK221,""),""))))),""),"")</f>
        <v/>
      </c>
      <c r="AY225" s="87" t="n"/>
      <c r="AZ225" s="89" t="n"/>
      <c r="BA225" s="87" t="n"/>
      <c r="BB225" s="89" t="n"/>
      <c r="BC225" s="91" t="n"/>
      <c r="BD225" s="122">
        <f>IF(AK225&lt;&gt;"",IF(AND(BD224&lt;&gt;"IE",AT225&lt;&gt;0,AV225&lt;&gt;""),IF(IFERROR((AT225/AV225),0) &lt;=1,IFERROR(AT225/AV225,""),1),""),"")</f>
        <v/>
      </c>
      <c r="BE225" s="93" t="n"/>
      <c r="BF225" s="105" t="n"/>
      <c r="FC225" t="inlineStr">
        <is>
          <t>Diccionario 1</t>
        </is>
      </c>
      <c r="FD225" s="15" t="n">
        <v>1242</v>
      </c>
      <c r="FE225" s="15" t="inlineStr">
        <is>
          <t>YV3T7U524NA207892</t>
        </is>
      </c>
      <c r="FF225" s="15" t="n">
        <v>552393</v>
      </c>
      <c r="FG225" s="15" t="inlineStr">
        <is>
          <t>Volvo</t>
        </is>
      </c>
      <c r="FH225" s="15" t="inlineStr">
        <is>
          <t>B8RLEA</t>
        </is>
      </c>
      <c r="FI225" s="15" t="inlineStr">
        <is>
          <t>MARCOPOLO</t>
        </is>
      </c>
      <c r="FJ225" s="15" t="inlineStr">
        <is>
          <t>GRAN VIALE</t>
        </is>
      </c>
      <c r="FK225" s="15" t="n">
        <v>2022</v>
      </c>
      <c r="FL225" s="15" t="inlineStr">
        <is>
          <t>C</t>
        </is>
      </c>
      <c r="FM225" s="15" t="inlineStr">
        <is>
          <t>SAN ALFONSO</t>
        </is>
      </c>
      <c r="FN225" s="15" t="inlineStr">
        <is>
          <t>San Alfonso 2141 (Ramón Subercaseaux 3060)</t>
        </is>
      </c>
      <c r="FO225" s="15" t="inlineStr">
        <is>
          <t>Estacion Central</t>
        </is>
      </c>
      <c r="FP225" t="inlineStr">
        <is>
          <t>C</t>
        </is>
      </c>
      <c r="FS225" s="14" t="inlineStr">
        <is>
          <t>3056 / SFWB-61|</t>
        </is>
      </c>
      <c r="FT225" t="inlineStr">
        <is>
          <t>SFWB-61|</t>
        </is>
      </c>
      <c r="FU225" t="inlineStr">
        <is>
          <t>SFWB-61</t>
        </is>
      </c>
      <c r="FV225">
        <f>VLOOKUP(FU225,FD:FL,9,0)</f>
        <v/>
      </c>
      <c r="HB225" s="35" t="n">
        <v>219</v>
      </c>
    </row>
    <row r="226" ht="15.5" customHeight="1">
      <c r="A226" s="10">
        <f>HOUR(G226)+1</f>
        <v/>
      </c>
      <c r="B226" s="7" t="n"/>
      <c r="C226" s="7" t="n"/>
      <c r="D226" s="85">
        <f>IFERROR(
IF(AND(OR(Planilla!B226="C",Planilla!B226="c"), VLOOKUP(E226,FD:FP,13,0)="C"), "OK",IF(AND(OR(Planilla!B226="C",Planilla!B226="c"), OR(VLOOKUP(E226,FD:FP,13,0)="B", VLOOKUP(E226,FD:FP,13,0)="A")), "DEFICIT",IF(
AND(OR(Planilla!B226="B", Planilla!B226="BPAL"), VLOOKUP(E226,FD:FP,13,0)="B"), "OK",IF(AND(OR(Planilla!B226="B", Planilla!B226="BPAL"), VLOOKUP(E226,FD:FP,13,0)="A"), "DEFICIT",IF(AND(OR(Planilla!B226="B", Planilla!B226="BPAL"), VLOOKUP(E226,FD:FP,13,0)="C"), "SOBREOFERTA",IF(AND(Planilla!B226="A", VLOOKUP(E226,FD:FP,13,0)="A"), "OK",IF(
AND(Planilla!B226="A", OR(VLOOKUP(E226,FD:FP,13,0)="B", VLOOKUP(E226,FD:FP,13,0)="C")), "SOBREOFERTA",""
))))))),"")</f>
        <v/>
      </c>
      <c r="E226" s="8" t="n"/>
      <c r="F226" s="86" t="n"/>
      <c r="G226" s="87" t="n"/>
      <c r="H226" s="88">
        <f>IF(I226="","",IF(AND((I226-G226)&gt;=TIME(0,0,0),(I226-G226)&lt;TIME(0,3,0)),"OK",IF(AND((I226-G226)&gt;=TIME(0,3,0),(I226-G226)&lt;TIME(0,5,0)),"RETRASO DE 3-5 MIN",IF(AND((I226-G226)&gt;=TIME(0,5,0),(I226-G226)&lt;TIME(0,10,0)),"RETRASO DE 5-10 MIN",IF((I226-G226)&gt;=TIME(0,10,0),"RETRASO &gt;10 MIN", IF(AND((G226-I226)&gt;=TIME(0,0,0),(G226-I226)&lt;TIME(0,3,0)),"OK",IF((G226-I226)&gt;=TIME(0,3,0),"ADELANTADO")))))))</f>
        <v/>
      </c>
      <c r="I226" s="89" t="n"/>
      <c r="J226" s="89">
        <f>IF(A226&lt;&gt;"",HLOOKUP(VALUE(TEXT(G226,"h:mm:ss")),IF($C$6="Laboral",$FZ$4:$GX$227,IF($C$6="Sábado",$FZ$231:$GX$452,$FZ$456:$GX$656)),VLOOKUP($C$4,$HF$2:$HH$99,3,0)+IF(C$5="Ida",0,1),1),"")</f>
        <v/>
      </c>
      <c r="K226" s="89">
        <f>IF(A227&lt;&gt;A226,AVERAGEIF(A$9:A226,A226,J$9:J226),"")</f>
        <v/>
      </c>
      <c r="L226" s="89">
        <f>IFERROR(IF(A227&lt;&gt;A226,AVERAGEIF(A$9:A226,A226,S$9:S226),""),"")</f>
        <v/>
      </c>
      <c r="M226" s="89">
        <f>IFERROR(IF(A227&lt;&gt;A226,AVERAGEIF(A$9:A226,A226,T$9:T226),""),"")</f>
        <v/>
      </c>
      <c r="N226" s="89">
        <f t="array" ref="N226">IFERROR(IF(A227&lt;&gt;A226,_xlfn.STDEV.P(IF(A$9:A226=A226,T$9:T226)),""),"")</f>
        <v/>
      </c>
      <c r="O226" s="89">
        <f t="array" ref="O226">IFERROR(IF(A227&lt;&gt;A226,_xlfn.STDEV.P(IF(A$9:A226=A226,S$9:S226)),""),"")</f>
        <v/>
      </c>
      <c r="P226" s="90">
        <f>IFERROR(IF(A226&lt;&gt;A227,MAX((((M226*24*60)/2)*(1+POWER((((N226*24*60) / (M226*24*60) )),2))) + ((M226*24*60 )*-0.1 + (K226*0.015)) +1,(((M226*24*60)/2)*(1+POWER((((N226*24*60) / (M226*24*60 ))),2)))),""),"")</f>
        <v/>
      </c>
      <c r="Q226" s="90">
        <f>IF(AND(O226&lt;&gt;"",L226&lt;&gt;""),IF(A226&lt;&gt;A227,((L226*24*60) / 2 ) * (1 + POWER(((O226*24*60) / (L226*24*60)),2)),""),"")</f>
        <v/>
      </c>
      <c r="R226" s="90">
        <f>IF(Q226&lt;&gt;"",MAX(P226,Q226),"")</f>
        <v/>
      </c>
      <c r="S226" s="89">
        <f>IF(I226&lt;&gt;"H. Sale Real",IF(AND(I227&lt;&gt;"",LEFT(C227,2)&lt;&gt;"Va"),IF(AND(I226&lt;&gt;"",LEFT(C226,2)&lt;&gt;"Va",I226&lt;&gt;"H. Sale Real"),IF(I227-I226&lt;0.208333333333333,I227-I226,""),IF(AND(I225&lt;&gt;"",LEFT(C225,2)&lt;&gt;"Va",I225&lt;&gt;"H. Sale Real"),IF(I227-I225&lt;0.208333333333333,I227-I225,""),IF(AND(I224&lt;&gt;"",LEFT(C224,2)&lt;&gt;"Va",I224&lt;&gt;"H. Sale Real"),IF(I227-I224&lt;0.208333333333333,I227-I224,""),IF(AND(I223&lt;&gt;"",LEFT(C223,2)&lt;&gt;"Va",I223&lt;&gt;"H. Sale Real"),IF(I227-I223&lt;0.208333333333333,I227-I223,""),IF(AND(I222&lt;&gt;"",LEFT(C222,2)&lt;&gt;"Va",I222&lt;&gt;"H. Sale Real"),IF(I227-I222&lt;0.208333333333333,I227-I222,""),""))))),""),"")</f>
        <v/>
      </c>
      <c r="T226" s="89">
        <f>IF(G226&lt;&gt;"H. Sale Real",IF(AND(G227&lt;&gt;"",LEFT(C227,2)&lt;&gt;"Va"),IF(AND(G226&lt;&gt;"",LEFT(C226,2)&lt;&gt;"Va",G226&lt;&gt;"H. Sale Real"),IF(G227-G226&lt;0.208333333333333,G227-G226,""),IF(AND(G225&lt;&gt;"",LEFT(C225,2)&lt;&gt;"Va",G225&lt;&gt;"H. Sale Real"),IF(G227-G225&lt;0.208333333333333,G227-G225,""),IF(AND(G224&lt;&gt;"",LEFT(C224,2)&lt;&gt;"Va",G224&lt;&gt;"H. Sale Real"),IF(G227-G224&lt;0.208333333333333,G227-G224,""),IF(AND(G223&lt;&gt;"",LEFT(C223,2)&lt;&gt;"Va",G223&lt;&gt;"H. Sale Real"),IF(G227-G223&lt;0.208333333333333,G227-G223,""),IF(AND(G222&lt;&gt;"",LEFT(C222,2)&lt;&gt;"Va",G222&lt;&gt;"H. Sale Real"),IF(G227-G222&lt;0.208333333333333,G227-G222,""),""))))),""),"")</f>
        <v/>
      </c>
      <c r="U226" s="87" t="n"/>
      <c r="V226" s="89" t="n"/>
      <c r="W226" s="87" t="n"/>
      <c r="X226" s="89" t="n"/>
      <c r="Y226" s="91" t="n"/>
      <c r="Z226" s="122">
        <f>IF(G226&lt;&gt;"",IF(AND(Z225&lt;&gt;"IE",P226&lt;&gt;0,R226&lt;&gt;""),IF(IFERROR((P226/R226),0) &lt;=1,IFERROR(P226/R226,""),1),""),"")</f>
        <v/>
      </c>
      <c r="AA226" s="93" t="n"/>
      <c r="AB226" s="2" t="n"/>
      <c r="AE226" s="10">
        <f>HOUR(AK226)+1</f>
        <v/>
      </c>
      <c r="AF226" s="7" t="n"/>
      <c r="AG226" s="7" t="n"/>
      <c r="AH226" s="86" t="n"/>
      <c r="AI226" s="8" t="n"/>
      <c r="AJ226" s="86" t="n"/>
      <c r="AK226" s="87" t="n"/>
      <c r="AL226" s="88">
        <f>IF(AM226="","",IF(AND((AM226-AK226)&gt;=TIME(0,0,0),(AM226-AK226)&lt;TIME(0,3,0)),"OK",IF(AND((AM226-AK226)&gt;=TIME(0,3,0),(AM226-AK226)&lt;TIME(0,5,0)),"RETRASO DE 3-5 MIN",IF(AND((AM226-AK226)&gt;=TIME(0,5,0),(AM226-AK226)&lt;TIME(0,10,0)),"RETRASO DE 5-10 MIN",IF((AM226-AK226)&gt;=TIME(0,10,0),"RETRASO &gt;10 MIN", IF(AND((AK226-AM226)&gt;=TIME(0,0,0),(AK226-AM226)&lt;TIME(0,3,0)),"OK",IF((AK226-AM226)&gt;=TIME(0,3,0),"ADELANTADO")))))))</f>
        <v/>
      </c>
      <c r="AM226" s="91" t="n"/>
      <c r="AN226" s="89">
        <f>IF(AE226&lt;&gt;"",HLOOKUP(VALUE(TEXT(AK226,"h:mm:ss")),IF($C$6="Laboral",$FZ$4:$GX$227,IF($C$6="Sábado",$FZ$231:$GX$452,$FZ$456:$GX$656)),VLOOKUP($C$4,$HF$2:$HH$99,3,0)+IF(AG$5="Ida",0,1),1),"")</f>
        <v/>
      </c>
      <c r="AO226" s="89">
        <f>IF(AE227&lt;&gt;AE226,AVERAGEIF(AE$9:AE226,AE226,AN$9:AN226),"")</f>
        <v/>
      </c>
      <c r="AP226" s="89">
        <f>IFERROR(IF(AE227&lt;&gt;AE226,AVERAGEIF(AE$9:AE226,AE226,AW$9:AW226),""),"")</f>
        <v/>
      </c>
      <c r="AQ226" s="89">
        <f>IFERROR(IF(AE227&lt;&gt;AE226,AVERAGEIF(AE$9:AE226,AE226,AX$9:AX226),""),"")</f>
        <v/>
      </c>
      <c r="AR226" s="89">
        <f t="array" ref="AR226">IFERROR(IF(AE227&lt;&gt;AE226,_xlfn.STDEV.P(IF(AE$9:AE226=AE226,AX$9:AX226)),""),"")</f>
        <v/>
      </c>
      <c r="AS226" s="89">
        <f t="array" ref="AS226">IFERROR(IF(AE227&lt;&gt;AE226,_xlfn.STDEV.P(IF(AE$9:AE226=AE226,AW$9:AW226)),""),"")</f>
        <v/>
      </c>
      <c r="AT226" s="90">
        <f>IFERROR(IF(AE226&lt;&gt;AE227,MAX((((AQ226*24*60)/2)*(1+POWER((((AR226*24*60) / (AQ226*24*60) )),2))) + ((AQ226*24*60 )*-0.1 + (AO226*0.015)) +1,(((AQ226*24*60)/2)*(1+POWER((((AR226*24*60) / (AQ226*24*60 ))),2)))),""),"")</f>
        <v/>
      </c>
      <c r="AU226" s="90">
        <f>IF(AND(AS226&lt;&gt;"",AP226&lt;&gt;""),IF(AE226&lt;&gt;AE227,((AP226*24*60) / 2 ) * (1 + POWER(((AS226*24*60) / (AP226*24*60)),2)),""),"")</f>
        <v/>
      </c>
      <c r="AV226" s="90">
        <f>IF(AU226&lt;&gt;"",MAX(AT226,AU226),"")</f>
        <v/>
      </c>
      <c r="AW226" s="89">
        <f>IF(AM226&lt;&gt;"H. Sale Real",IF(AND(AM227&lt;&gt;"",LEFT(AG227,2)&lt;&gt;"Va"),IF(AND(AM226&lt;&gt;"",LEFT(AG226,2)&lt;&gt;"Va",AM226&lt;&gt;"H. Sale Real"),IF(AM227-AM226&lt;0.208333333333333,AM227-AM226,""),IF(AND(AM225&lt;&gt;"",LEFT(AG225,2)&lt;&gt;"Va",AM225&lt;&gt;"H. Sale Real"),IF(AM227-AM225&lt;0.208333333333333,AM227-AM225,""),IF(AND(AM224&lt;&gt;"",LEFT(AG224,2)&lt;&gt;"Va",AM224&lt;&gt;"H. Sale Real"),IF(AM227-AM224&lt;0.208333333333333,AM227-AM224,""),IF(AND(AM223&lt;&gt;"",LEFT(AG223,2)&lt;&gt;"Va",AM223&lt;&gt;"H. Sale Real"),IF(AM227-AM223&lt;0.208333333333333,AM227-AM223,""),IF(AND(AM222&lt;&gt;"",LEFT(AG222,2)&lt;&gt;"Va",AM222&lt;&gt;"H. Sale Real"),IF(AM227-AM222&lt;0.208333333333333,AM227-AM222,""),""))))),""),"")</f>
        <v/>
      </c>
      <c r="AX226" s="89">
        <f>IF(AK226&lt;&gt;"H. Sale Real",IF(AND(AK227&lt;&gt;"",LEFT(AG227,2)&lt;&gt;"Va"),IF(AND(AK226&lt;&gt;"",LEFT(AG226,2)&lt;&gt;"Va",AK226&lt;&gt;"H. Sale Real"),IF(AK227-AK226&lt;0.208333333333333,AK227-AK226,""),IF(AND(AK225&lt;&gt;"",LEFT(AG225,2)&lt;&gt;"Va",AK225&lt;&gt;"H. Sale Real"),IF(AK227-AK225&lt;0.208333333333333,AK227-AK225,""),IF(AND(AK224&lt;&gt;"",LEFT(AG224,2)&lt;&gt;"NC",AK224&lt;&gt;"H. Sale Real"),IF(AK227-AK224&lt;0.208333333333333,AK227-AK224,""),IF(AND(AK223&lt;&gt;"",LEFT(AG223,2)&lt;&gt;"Va",AK223&lt;&gt;"H. Sale Real"),IF(AK227-AK223&lt;0.208333333333333,AK227-AK223,""),IF(AND(AK222&lt;&gt;"",LEFT(AG222,2)&lt;&gt;"Va",AK222&lt;&gt;"H. Sale Real"),IF(AK227-AK222&lt;0.208333333333333,AK227-AK222,""),""))))),""),"")</f>
        <v/>
      </c>
      <c r="AY226" s="87" t="n"/>
      <c r="AZ226" s="89" t="n"/>
      <c r="BA226" s="87" t="n"/>
      <c r="BB226" s="89" t="n"/>
      <c r="BC226" s="91" t="n"/>
      <c r="BD226" s="122">
        <f>IF(AK226&lt;&gt;"",IF(AND(BD225&lt;&gt;"IE",AT226&lt;&gt;0,AV226&lt;&gt;""),IF(IFERROR((AT226/AV226),0) &lt;=1,IFERROR(AT226/AV226,""),1),""),"")</f>
        <v/>
      </c>
      <c r="BE226" s="93" t="n"/>
      <c r="BF226" s="105" t="n"/>
      <c r="FC226" t="inlineStr">
        <is>
          <t>Diccionario 1</t>
        </is>
      </c>
      <c r="FD226" s="15" t="n">
        <v>1243</v>
      </c>
      <c r="FE226" s="15" t="inlineStr">
        <is>
          <t>YV3T7U523NA207835</t>
        </is>
      </c>
      <c r="FF226" s="15" t="n">
        <v>550593</v>
      </c>
      <c r="FG226" s="15" t="inlineStr">
        <is>
          <t>Volvo</t>
        </is>
      </c>
      <c r="FH226" s="15" t="inlineStr">
        <is>
          <t>B8RLEA</t>
        </is>
      </c>
      <c r="FI226" s="15" t="inlineStr">
        <is>
          <t>MARCOPOLO</t>
        </is>
      </c>
      <c r="FJ226" s="15" t="inlineStr">
        <is>
          <t>GRAN VIALE</t>
        </is>
      </c>
      <c r="FK226" s="15" t="n">
        <v>2022</v>
      </c>
      <c r="FL226" s="15" t="inlineStr">
        <is>
          <t>C</t>
        </is>
      </c>
      <c r="FM226" s="15" t="inlineStr">
        <is>
          <t>SAN ALFONSO</t>
        </is>
      </c>
      <c r="FN226" s="15" t="inlineStr">
        <is>
          <t>San Alfonso 2141 (Ramón Subercaseaux 3060)</t>
        </is>
      </c>
      <c r="FO226" s="15" t="inlineStr">
        <is>
          <t>Estacion Central</t>
        </is>
      </c>
      <c r="FP226" t="inlineStr">
        <is>
          <t>C</t>
        </is>
      </c>
      <c r="FS226" s="14" t="inlineStr">
        <is>
          <t>3056 / SFWB-61|</t>
        </is>
      </c>
      <c r="FT226" t="inlineStr">
        <is>
          <t>SFWB-61|</t>
        </is>
      </c>
      <c r="FU226" t="inlineStr">
        <is>
          <t>SFWB-61</t>
        </is>
      </c>
      <c r="FV226">
        <f>VLOOKUP(FU226,FD:FL,9,0)</f>
        <v/>
      </c>
      <c r="HB226" s="35" t="n">
        <v>220</v>
      </c>
    </row>
    <row r="227" ht="15.5" customHeight="1">
      <c r="A227" s="10">
        <f>HOUR(G227)+1</f>
        <v/>
      </c>
      <c r="B227" s="7" t="n"/>
      <c r="C227" s="7" t="n"/>
      <c r="D227" s="85">
        <f>IFERROR(
IF(AND(OR(Planilla!B227="C",Planilla!B227="c"), VLOOKUP(E227,FD:FP,13,0)="C"), "OK",IF(AND(OR(Planilla!B227="C",Planilla!B227="c"), OR(VLOOKUP(E227,FD:FP,13,0)="B", VLOOKUP(E227,FD:FP,13,0)="A")), "DEFICIT",IF(
AND(OR(Planilla!B227="B", Planilla!B227="BPAL"), VLOOKUP(E227,FD:FP,13,0)="B"), "OK",IF(AND(OR(Planilla!B227="B", Planilla!B227="BPAL"), VLOOKUP(E227,FD:FP,13,0)="A"), "DEFICIT",IF(AND(OR(Planilla!B227="B", Planilla!B227="BPAL"), VLOOKUP(E227,FD:FP,13,0)="C"), "SOBREOFERTA",IF(AND(Planilla!B227="A", VLOOKUP(E227,FD:FP,13,0)="A"), "OK",IF(
AND(Planilla!B227="A", OR(VLOOKUP(E227,FD:FP,13,0)="B", VLOOKUP(E227,FD:FP,13,0)="C")), "SOBREOFERTA",""
))))))),"")</f>
        <v/>
      </c>
      <c r="E227" s="8" t="n"/>
      <c r="F227" s="86" t="n"/>
      <c r="G227" s="87" t="n"/>
      <c r="H227" s="88">
        <f>IF(I227="","",IF(AND((I227-G227)&gt;=TIME(0,0,0),(I227-G227)&lt;TIME(0,3,0)),"OK",IF(AND((I227-G227)&gt;=TIME(0,3,0),(I227-G227)&lt;TIME(0,5,0)),"RETRASO DE 3-5 MIN",IF(AND((I227-G227)&gt;=TIME(0,5,0),(I227-G227)&lt;TIME(0,10,0)),"RETRASO DE 5-10 MIN",IF((I227-G227)&gt;=TIME(0,10,0),"RETRASO &gt;10 MIN", IF(AND((G227-I227)&gt;=TIME(0,0,0),(G227-I227)&lt;TIME(0,3,0)),"OK",IF((G227-I227)&gt;=TIME(0,3,0),"ADELANTADO")))))))</f>
        <v/>
      </c>
      <c r="I227" s="89" t="n"/>
      <c r="J227" s="89">
        <f>IF(A227&lt;&gt;"",HLOOKUP(VALUE(TEXT(G227,"h:mm:ss")),IF($C$6="Laboral",$FZ$4:$GX$227,IF($C$6="Sábado",$FZ$231:$GX$452,$FZ$456:$GX$656)),VLOOKUP($C$4,$HF$2:$HH$99,3,0)+IF(C$5="Ida",0,1),1),"")</f>
        <v/>
      </c>
      <c r="K227" s="89">
        <f>IF(A228&lt;&gt;A227,AVERAGEIF(A$9:A227,A227,J$9:J227),"")</f>
        <v/>
      </c>
      <c r="L227" s="89">
        <f>IFERROR(IF(A228&lt;&gt;A227,AVERAGEIF(A$9:A227,A227,S$9:S227),""),"")</f>
        <v/>
      </c>
      <c r="M227" s="89">
        <f>IFERROR(IF(A228&lt;&gt;A227,AVERAGEIF(A$9:A227,A227,T$9:T227),""),"")</f>
        <v/>
      </c>
      <c r="N227" s="89">
        <f t="array" ref="N227">IFERROR(IF(A228&lt;&gt;A227,_xlfn.STDEV.P(IF(A$9:A227=A227,T$9:T227)),""),"")</f>
        <v/>
      </c>
      <c r="O227" s="89">
        <f t="array" ref="O227">IFERROR(IF(A228&lt;&gt;A227,_xlfn.STDEV.P(IF(A$9:A227=A227,S$9:S227)),""),"")</f>
        <v/>
      </c>
      <c r="P227" s="90">
        <f>IFERROR(IF(A227&lt;&gt;A228,MAX((((M227*24*60)/2)*(1+POWER((((N227*24*60) / (M227*24*60) )),2))) + ((M227*24*60 )*-0.1 + (K227*0.015)) +1,(((M227*24*60)/2)*(1+POWER((((N227*24*60) / (M227*24*60 ))),2)))),""),"")</f>
        <v/>
      </c>
      <c r="Q227" s="90">
        <f>IF(AND(O227&lt;&gt;"",L227&lt;&gt;""),IF(A227&lt;&gt;A228,((L227*24*60) / 2 ) * (1 + POWER(((O227*24*60) / (L227*24*60)),2)),""),"")</f>
        <v/>
      </c>
      <c r="R227" s="90">
        <f>IF(Q227&lt;&gt;"",MAX(P227,Q227),"")</f>
        <v/>
      </c>
      <c r="S227" s="89">
        <f>IF(I227&lt;&gt;"H. Sale Real",IF(AND(I228&lt;&gt;"",LEFT(C228,2)&lt;&gt;"Va"),IF(AND(I227&lt;&gt;"",LEFT(C227,2)&lt;&gt;"Va",I227&lt;&gt;"H. Sale Real"),IF(I228-I227&lt;0.208333333333333,I228-I227,""),IF(AND(I226&lt;&gt;"",LEFT(C226,2)&lt;&gt;"Va",I226&lt;&gt;"H. Sale Real"),IF(I228-I226&lt;0.208333333333333,I228-I226,""),IF(AND(I225&lt;&gt;"",LEFT(C225,2)&lt;&gt;"Va",I225&lt;&gt;"H. Sale Real"),IF(I228-I225&lt;0.208333333333333,I228-I225,""),IF(AND(I224&lt;&gt;"",LEFT(C224,2)&lt;&gt;"Va",I224&lt;&gt;"H. Sale Real"),IF(I228-I224&lt;0.208333333333333,I228-I224,""),IF(AND(I223&lt;&gt;"",LEFT(C223,2)&lt;&gt;"Va",I223&lt;&gt;"H. Sale Real"),IF(I228-I223&lt;0.208333333333333,I228-I223,""),""))))),""),"")</f>
        <v/>
      </c>
      <c r="T227" s="89">
        <f>IF(G227&lt;&gt;"H. Sale Real",IF(AND(G228&lt;&gt;"",LEFT(C228,2)&lt;&gt;"Va"),IF(AND(G227&lt;&gt;"",LEFT(C227,2)&lt;&gt;"Va",G227&lt;&gt;"H. Sale Real"),IF(G228-G227&lt;0.208333333333333,G228-G227,""),IF(AND(G226&lt;&gt;"",LEFT(C226,2)&lt;&gt;"Va",G226&lt;&gt;"H. Sale Real"),IF(G228-G226&lt;0.208333333333333,G228-G226,""),IF(AND(G225&lt;&gt;"",LEFT(C225,2)&lt;&gt;"Va",G225&lt;&gt;"H. Sale Real"),IF(G228-G225&lt;0.208333333333333,G228-G225,""),IF(AND(G224&lt;&gt;"",LEFT(C224,2)&lt;&gt;"Va",G224&lt;&gt;"H. Sale Real"),IF(G228-G224&lt;0.208333333333333,G228-G224,""),IF(AND(G223&lt;&gt;"",LEFT(C223,2)&lt;&gt;"Va",G223&lt;&gt;"H. Sale Real"),IF(G228-G223&lt;0.208333333333333,G228-G223,""),""))))),""),"")</f>
        <v/>
      </c>
      <c r="U227" s="87" t="n"/>
      <c r="V227" s="89" t="n"/>
      <c r="W227" s="87" t="n"/>
      <c r="X227" s="89" t="n"/>
      <c r="Y227" s="91" t="n"/>
      <c r="Z227" s="122">
        <f>IF(G227&lt;&gt;"",IF(AND(Z226&lt;&gt;"IE",P227&lt;&gt;0,R227&lt;&gt;""),IF(IFERROR((P227/R227),0) &lt;=1,IFERROR(P227/R227,""),1),""),"")</f>
        <v/>
      </c>
      <c r="AA227" s="93" t="n"/>
      <c r="AB227" s="2" t="n"/>
      <c r="AE227" s="10">
        <f>HOUR(AK227)+1</f>
        <v/>
      </c>
      <c r="AF227" s="7" t="n"/>
      <c r="AG227" s="7" t="n"/>
      <c r="AH227" s="86" t="n"/>
      <c r="AI227" s="8" t="n"/>
      <c r="AJ227" s="86" t="n"/>
      <c r="AK227" s="87" t="n"/>
      <c r="AL227" s="88">
        <f>IF(AM227="","",IF(AND((AM227-AK227)&gt;=TIME(0,0,0),(AM227-AK227)&lt;TIME(0,3,0)),"OK",IF(AND((AM227-AK227)&gt;=TIME(0,3,0),(AM227-AK227)&lt;TIME(0,5,0)),"RETRASO DE 3-5 MIN",IF(AND((AM227-AK227)&gt;=TIME(0,5,0),(AM227-AK227)&lt;TIME(0,10,0)),"RETRASO DE 5-10 MIN",IF((AM227-AK227)&gt;=TIME(0,10,0),"RETRASO &gt;10 MIN", IF(AND((AK227-AM227)&gt;=TIME(0,0,0),(AK227-AM227)&lt;TIME(0,3,0)),"OK",IF((AK227-AM227)&gt;=TIME(0,3,0),"ADELANTADO")))))))</f>
        <v/>
      </c>
      <c r="AM227" s="91" t="n"/>
      <c r="AN227" s="89">
        <f>IF(AE227&lt;&gt;"",HLOOKUP(VALUE(TEXT(AK227,"h:mm:ss")),IF($C$6="Laboral",$FZ$4:$GX$227,IF($C$6="Sábado",$FZ$231:$GX$452,$FZ$456:$GX$656)),VLOOKUP($C$4,$HF$2:$HH$99,3,0)+IF(AG$5="Ida",0,1),1),"")</f>
        <v/>
      </c>
      <c r="AO227" s="89">
        <f>IF(AE228&lt;&gt;AE227,AVERAGEIF(AE$9:AE227,AE227,AN$9:AN227),"")</f>
        <v/>
      </c>
      <c r="AP227" s="89">
        <f>IFERROR(IF(AE228&lt;&gt;AE227,AVERAGEIF(AE$9:AE227,AE227,AW$9:AW227),""),"")</f>
        <v/>
      </c>
      <c r="AQ227" s="89">
        <f>IFERROR(IF(AE228&lt;&gt;AE227,AVERAGEIF(AE$9:AE227,AE227,AX$9:AX227),""),"")</f>
        <v/>
      </c>
      <c r="AR227" s="89">
        <f t="array" ref="AR227">IFERROR(IF(AE228&lt;&gt;AE227,_xlfn.STDEV.P(IF(AE$9:AE227=AE227,AX$9:AX227)),""),"")</f>
        <v/>
      </c>
      <c r="AS227" s="89">
        <f t="array" ref="AS227">IFERROR(IF(AE228&lt;&gt;AE227,_xlfn.STDEV.P(IF(AE$9:AE227=AE227,AW$9:AW227)),""),"")</f>
        <v/>
      </c>
      <c r="AT227" s="90">
        <f>IFERROR(IF(AE227&lt;&gt;AE228,MAX((((AQ227*24*60)/2)*(1+POWER((((AR227*24*60) / (AQ227*24*60) )),2))) + ((AQ227*24*60 )*-0.1 + (AO227*0.015)) +1,(((AQ227*24*60)/2)*(1+POWER((((AR227*24*60) / (AQ227*24*60 ))),2)))),""),"")</f>
        <v/>
      </c>
      <c r="AU227" s="90">
        <f>IF(AND(AS227&lt;&gt;"",AP227&lt;&gt;""),IF(AE227&lt;&gt;AE228,((AP227*24*60) / 2 ) * (1 + POWER(((AS227*24*60) / (AP227*24*60)),2)),""),"")</f>
        <v/>
      </c>
      <c r="AV227" s="90">
        <f>IF(AU227&lt;&gt;"",MAX(AT227,AU227),"")</f>
        <v/>
      </c>
      <c r="AW227" s="89">
        <f>IF(AM227&lt;&gt;"H. Sale Real",IF(AND(AM228&lt;&gt;"",LEFT(AG228,2)&lt;&gt;"Va"),IF(AND(AM227&lt;&gt;"",LEFT(AG227,2)&lt;&gt;"Va",AM227&lt;&gt;"H. Sale Real"),IF(AM228-AM227&lt;0.208333333333333,AM228-AM227,""),IF(AND(AM226&lt;&gt;"",LEFT(AG226,2)&lt;&gt;"Va",AM226&lt;&gt;"H. Sale Real"),IF(AM228-AM226&lt;0.208333333333333,AM228-AM226,""),IF(AND(AM225&lt;&gt;"",LEFT(AG225,2)&lt;&gt;"Va",AM225&lt;&gt;"H. Sale Real"),IF(AM228-AM225&lt;0.208333333333333,AM228-AM225,""),IF(AND(AM224&lt;&gt;"",LEFT(AG224,2)&lt;&gt;"Va",AM224&lt;&gt;"H. Sale Real"),IF(AM228-AM224&lt;0.208333333333333,AM228-AM224,""),IF(AND(AM223&lt;&gt;"",LEFT(AG223,2)&lt;&gt;"Va",AM223&lt;&gt;"H. Sale Real"),IF(AM228-AM223&lt;0.208333333333333,AM228-AM223,""),""))))),""),"")</f>
        <v/>
      </c>
      <c r="AX227" s="89">
        <f>IF(AK227&lt;&gt;"H. Sale Real",IF(AND(AK228&lt;&gt;"",LEFT(AG228,2)&lt;&gt;"Va"),IF(AND(AK227&lt;&gt;"",LEFT(AG227,2)&lt;&gt;"Va",AK227&lt;&gt;"H. Sale Real"),IF(AK228-AK227&lt;0.208333333333333,AK228-AK227,""),IF(AND(AK226&lt;&gt;"",LEFT(AG226,2)&lt;&gt;"Va",AK226&lt;&gt;"H. Sale Real"),IF(AK228-AK226&lt;0.208333333333333,AK228-AK226,""),IF(AND(AK225&lt;&gt;"",LEFT(AG225,2)&lt;&gt;"NC",AK225&lt;&gt;"H. Sale Real"),IF(AK228-AK225&lt;0.208333333333333,AK228-AK225,""),IF(AND(AK224&lt;&gt;"",LEFT(AG224,2)&lt;&gt;"Va",AK224&lt;&gt;"H. Sale Real"),IF(AK228-AK224&lt;0.208333333333333,AK228-AK224,""),IF(AND(AK223&lt;&gt;"",LEFT(AG223,2)&lt;&gt;"Va",AK223&lt;&gt;"H. Sale Real"),IF(AK228-AK223&lt;0.208333333333333,AK228-AK223,""),""))))),""),"")</f>
        <v/>
      </c>
      <c r="AY227" s="87" t="n"/>
      <c r="AZ227" s="89" t="n"/>
      <c r="BA227" s="87" t="n"/>
      <c r="BB227" s="89" t="n"/>
      <c r="BC227" s="91" t="n"/>
      <c r="BD227" s="122">
        <f>IF(AK227&lt;&gt;"",IF(AND(BD226&lt;&gt;"IE",AT227&lt;&gt;0,AV227&lt;&gt;""),IF(IFERROR((AT227/AV227),0) &lt;=1,IFERROR(AT227/AV227,""),1),""),"")</f>
        <v/>
      </c>
      <c r="BE227" s="93" t="n"/>
      <c r="BF227" s="105" t="n"/>
      <c r="FC227" t="inlineStr">
        <is>
          <t>Diccionario 1</t>
        </is>
      </c>
      <c r="FD227" s="15" t="n">
        <v>1244</v>
      </c>
      <c r="FE227" s="15" t="inlineStr">
        <is>
          <t>YV3T7U52XNA207833</t>
        </is>
      </c>
      <c r="FF227" s="15" t="n">
        <v>550451</v>
      </c>
      <c r="FG227" s="15" t="inlineStr">
        <is>
          <t>Volvo</t>
        </is>
      </c>
      <c r="FH227" s="15" t="inlineStr">
        <is>
          <t>B8RLEA</t>
        </is>
      </c>
      <c r="FI227" s="15" t="inlineStr">
        <is>
          <t>MARCOPOLO</t>
        </is>
      </c>
      <c r="FJ227" s="15" t="inlineStr">
        <is>
          <t>GRAN VIALE</t>
        </is>
      </c>
      <c r="FK227" s="15" t="n">
        <v>2022</v>
      </c>
      <c r="FL227" s="15" t="inlineStr">
        <is>
          <t>C</t>
        </is>
      </c>
      <c r="FM227" s="15" t="inlineStr">
        <is>
          <t>SAN ALFONSO</t>
        </is>
      </c>
      <c r="FN227" s="15" t="inlineStr">
        <is>
          <t>San Alfonso 2141 (Ramón Subercaseaux 3060)</t>
        </is>
      </c>
      <c r="FO227" s="15" t="inlineStr">
        <is>
          <t>Estacion Central</t>
        </is>
      </c>
      <c r="FP227" t="inlineStr">
        <is>
          <t>C</t>
        </is>
      </c>
      <c r="FS227" s="14" t="inlineStr">
        <is>
          <t>3057 / SFWB-16|</t>
        </is>
      </c>
      <c r="FT227" t="inlineStr">
        <is>
          <t>SFWB-16|</t>
        </is>
      </c>
      <c r="FU227" t="inlineStr">
        <is>
          <t>SFWB-16</t>
        </is>
      </c>
      <c r="FV227">
        <f>VLOOKUP(FU227,FD:FL,9,0)</f>
        <v/>
      </c>
      <c r="HB227" s="35" t="n">
        <v>221</v>
      </c>
    </row>
    <row r="228" ht="15.5" customHeight="1">
      <c r="A228" s="10">
        <f>HOUR(G228)+1</f>
        <v/>
      </c>
      <c r="B228" s="7" t="n"/>
      <c r="C228" s="7" t="n"/>
      <c r="D228" s="85">
        <f>IFERROR(
IF(AND(OR(Planilla!B228="C",Planilla!B228="c"), VLOOKUP(E228,FD:FP,13,0)="C"), "OK",IF(AND(OR(Planilla!B228="C",Planilla!B228="c"), OR(VLOOKUP(E228,FD:FP,13,0)="B", VLOOKUP(E228,FD:FP,13,0)="A")), "DEFICIT",IF(
AND(OR(Planilla!B228="B", Planilla!B228="BPAL"), VLOOKUP(E228,FD:FP,13,0)="B"), "OK",IF(AND(OR(Planilla!B228="B", Planilla!B228="BPAL"), VLOOKUP(E228,FD:FP,13,0)="A"), "DEFICIT",IF(AND(OR(Planilla!B228="B", Planilla!B228="BPAL"), VLOOKUP(E228,FD:FP,13,0)="C"), "SOBREOFERTA",IF(AND(Planilla!B228="A", VLOOKUP(E228,FD:FP,13,0)="A"), "OK",IF(
AND(Planilla!B228="A", OR(VLOOKUP(E228,FD:FP,13,0)="B", VLOOKUP(E228,FD:FP,13,0)="C")), "SOBREOFERTA",""
))))))),"")</f>
        <v/>
      </c>
      <c r="E228" s="8" t="n"/>
      <c r="F228" s="86" t="n"/>
      <c r="G228" s="87" t="n"/>
      <c r="H228" s="88">
        <f>IF(I228="","",IF(AND((I228-G228)&gt;=TIME(0,0,0),(I228-G228)&lt;TIME(0,3,0)),"OK",IF(AND((I228-G228)&gt;=TIME(0,3,0),(I228-G228)&lt;TIME(0,5,0)),"RETRASO DE 3-5 MIN",IF(AND((I228-G228)&gt;=TIME(0,5,0),(I228-G228)&lt;TIME(0,10,0)),"RETRASO DE 5-10 MIN",IF((I228-G228)&gt;=TIME(0,10,0),"RETRASO &gt;10 MIN", IF(AND((G228-I228)&gt;=TIME(0,0,0),(G228-I228)&lt;TIME(0,3,0)),"OK",IF((G228-I228)&gt;=TIME(0,3,0),"ADELANTADO")))))))</f>
        <v/>
      </c>
      <c r="I228" s="89" t="n"/>
      <c r="J228" s="89">
        <f>IF(A228&lt;&gt;"",HLOOKUP(VALUE(TEXT(G228,"h:mm:ss")),IF($C$6="Laboral",$FZ$4:$GX$227,IF($C$6="Sábado",$FZ$231:$GX$452,$FZ$456:$GX$656)),VLOOKUP($C$4,$HF$2:$HH$99,3,0)+IF(C$5="Ida",0,1),1),"")</f>
        <v/>
      </c>
      <c r="K228" s="89">
        <f>IF(A229&lt;&gt;A228,AVERAGEIF(A$9:A228,A228,J$9:J228),"")</f>
        <v/>
      </c>
      <c r="L228" s="89">
        <f>IFERROR(IF(A229&lt;&gt;A228,AVERAGEIF(A$9:A228,A228,S$9:S228),""),"")</f>
        <v/>
      </c>
      <c r="M228" s="89">
        <f>IFERROR(IF(A229&lt;&gt;A228,AVERAGEIF(A$9:A228,A228,T$9:T228),""),"")</f>
        <v/>
      </c>
      <c r="N228" s="89">
        <f t="array" ref="N228">IFERROR(IF(A229&lt;&gt;A228,_xlfn.STDEV.P(IF(A$9:A228=A228,T$9:T228)),""),"")</f>
        <v/>
      </c>
      <c r="O228" s="89">
        <f t="array" ref="O228">IFERROR(IF(A229&lt;&gt;A228,_xlfn.STDEV.P(IF(A$9:A228=A228,S$9:S228)),""),"")</f>
        <v/>
      </c>
      <c r="P228" s="90">
        <f>IFERROR(IF(A228&lt;&gt;A229,MAX((((M228*24*60)/2)*(1+POWER((((N228*24*60) / (M228*24*60) )),2))) + ((M228*24*60 )*-0.1 + (K228*0.015)) +1,(((M228*24*60)/2)*(1+POWER((((N228*24*60) / (M228*24*60 ))),2)))),""),"")</f>
        <v/>
      </c>
      <c r="Q228" s="90">
        <f>IF(AND(O228&lt;&gt;"",L228&lt;&gt;""),IF(A228&lt;&gt;A229,((L228*24*60) / 2 ) * (1 + POWER(((O228*24*60) / (L228*24*60)),2)),""),"")</f>
        <v/>
      </c>
      <c r="R228" s="90">
        <f>IF(Q228&lt;&gt;"",MAX(P228,Q228),"")</f>
        <v/>
      </c>
      <c r="S228" s="89">
        <f>IF(I228&lt;&gt;"H. Sale Real",IF(AND(I229&lt;&gt;"",LEFT(C229,2)&lt;&gt;"Va"),IF(AND(I228&lt;&gt;"",LEFT(C228,2)&lt;&gt;"Va",I228&lt;&gt;"H. Sale Real"),IF(I229-I228&lt;0.208333333333333,I229-I228,""),IF(AND(I227&lt;&gt;"",LEFT(C227,2)&lt;&gt;"Va",I227&lt;&gt;"H. Sale Real"),IF(I229-I227&lt;0.208333333333333,I229-I227,""),IF(AND(I226&lt;&gt;"",LEFT(C226,2)&lt;&gt;"Va",I226&lt;&gt;"H. Sale Real"),IF(I229-I226&lt;0.208333333333333,I229-I226,""),IF(AND(I225&lt;&gt;"",LEFT(C225,2)&lt;&gt;"Va",I225&lt;&gt;"H. Sale Real"),IF(I229-I225&lt;0.208333333333333,I229-I225,""),IF(AND(I224&lt;&gt;"",LEFT(C224,2)&lt;&gt;"Va",I224&lt;&gt;"H. Sale Real"),IF(I229-I224&lt;0.208333333333333,I229-I224,""),""))))),""),"")</f>
        <v/>
      </c>
      <c r="T228" s="89">
        <f>IF(G228&lt;&gt;"H. Sale Real",IF(AND(G229&lt;&gt;"",LEFT(C229,2)&lt;&gt;"Va"),IF(AND(G228&lt;&gt;"",LEFT(C228,2)&lt;&gt;"Va",G228&lt;&gt;"H. Sale Real"),IF(G229-G228&lt;0.208333333333333,G229-G228,""),IF(AND(G227&lt;&gt;"",LEFT(C227,2)&lt;&gt;"Va",G227&lt;&gt;"H. Sale Real"),IF(G229-G227&lt;0.208333333333333,G229-G227,""),IF(AND(G226&lt;&gt;"",LEFT(C226,2)&lt;&gt;"Va",G226&lt;&gt;"H. Sale Real"),IF(G229-G226&lt;0.208333333333333,G229-G226,""),IF(AND(G225&lt;&gt;"",LEFT(C225,2)&lt;&gt;"Va",G225&lt;&gt;"H. Sale Real"),IF(G229-G225&lt;0.208333333333333,G229-G225,""),IF(AND(G224&lt;&gt;"",LEFT(C224,2)&lt;&gt;"Va",G224&lt;&gt;"H. Sale Real"),IF(G229-G224&lt;0.208333333333333,G229-G224,""),""))))),""),"")</f>
        <v/>
      </c>
      <c r="U228" s="87" t="n"/>
      <c r="V228" s="89" t="n"/>
      <c r="W228" s="87" t="n"/>
      <c r="X228" s="89" t="n"/>
      <c r="Y228" s="91" t="n"/>
      <c r="Z228" s="122">
        <f>IF(G228&lt;&gt;"",IF(AND(Z227&lt;&gt;"IE",P228&lt;&gt;0,R228&lt;&gt;""),IF(IFERROR((P228/R228),0) &lt;=1,IFERROR(P228/R228,""),1),""),"")</f>
        <v/>
      </c>
      <c r="AA228" s="93" t="n"/>
      <c r="AB228" s="2" t="n"/>
      <c r="AE228" s="10">
        <f>HOUR(AK228)+1</f>
        <v/>
      </c>
      <c r="AF228" s="7" t="n"/>
      <c r="AG228" s="7" t="n"/>
      <c r="AH228" s="86" t="n"/>
      <c r="AI228" s="8" t="n"/>
      <c r="AJ228" s="86" t="n"/>
      <c r="AK228" s="87" t="n"/>
      <c r="AL228" s="88">
        <f>IF(AM228="","",IF(AND((AM228-AK228)&gt;=TIME(0,0,0),(AM228-AK228)&lt;TIME(0,3,0)),"OK",IF(AND((AM228-AK228)&gt;=TIME(0,3,0),(AM228-AK228)&lt;TIME(0,5,0)),"RETRASO DE 3-5 MIN",IF(AND((AM228-AK228)&gt;=TIME(0,5,0),(AM228-AK228)&lt;TIME(0,10,0)),"RETRASO DE 5-10 MIN",IF((AM228-AK228)&gt;=TIME(0,10,0),"RETRASO &gt;10 MIN", IF(AND((AK228-AM228)&gt;=TIME(0,0,0),(AK228-AM228)&lt;TIME(0,3,0)),"OK",IF((AK228-AM228)&gt;=TIME(0,3,0),"ADELANTADO")))))))</f>
        <v/>
      </c>
      <c r="AM228" s="91" t="n"/>
      <c r="AN228" s="89">
        <f>IF(AE228&lt;&gt;"",HLOOKUP(VALUE(TEXT(AK228,"h:mm:ss")),IF($C$6="Laboral",$FZ$4:$GX$227,IF($C$6="Sábado",$FZ$231:$GX$452,$FZ$456:$GX$656)),VLOOKUP($C$4,$HF$2:$HH$99,3,0)+IF(AG$5="Ida",0,1),1),"")</f>
        <v/>
      </c>
      <c r="AO228" s="89">
        <f>IF(AE229&lt;&gt;AE228,AVERAGEIF(AE$9:AE228,AE228,AN$9:AN228),"")</f>
        <v/>
      </c>
      <c r="AP228" s="89">
        <f>IFERROR(IF(AE229&lt;&gt;AE228,AVERAGEIF(AE$9:AE228,AE228,AW$9:AW228),""),"")</f>
        <v/>
      </c>
      <c r="AQ228" s="89">
        <f>IFERROR(IF(AE229&lt;&gt;AE228,AVERAGEIF(AE$9:AE228,AE228,AX$9:AX228),""),"")</f>
        <v/>
      </c>
      <c r="AR228" s="89">
        <f t="array" ref="AR228">IFERROR(IF(AE229&lt;&gt;AE228,_xlfn.STDEV.P(IF(AE$9:AE228=AE228,AX$9:AX228)),""),"")</f>
        <v/>
      </c>
      <c r="AS228" s="89">
        <f t="array" ref="AS228">IFERROR(IF(AE229&lt;&gt;AE228,_xlfn.STDEV.P(IF(AE$9:AE228=AE228,AW$9:AW228)),""),"")</f>
        <v/>
      </c>
      <c r="AT228" s="90">
        <f>IFERROR(IF(AE228&lt;&gt;AE229,MAX((((AQ228*24*60)/2)*(1+POWER((((AR228*24*60) / (AQ228*24*60) )),2))) + ((AQ228*24*60 )*-0.1 + (AO228*0.015)) +1,(((AQ228*24*60)/2)*(1+POWER((((AR228*24*60) / (AQ228*24*60 ))),2)))),""),"")</f>
        <v/>
      </c>
      <c r="AU228" s="90">
        <f>IF(AND(AS228&lt;&gt;"",AP228&lt;&gt;""),IF(AE228&lt;&gt;AE229,((AP228*24*60) / 2 ) * (1 + POWER(((AS228*24*60) / (AP228*24*60)),2)),""),"")</f>
        <v/>
      </c>
      <c r="AV228" s="90">
        <f>IF(AU228&lt;&gt;"",MAX(AT228,AU228),"")</f>
        <v/>
      </c>
      <c r="AW228" s="89">
        <f>IF(AM228&lt;&gt;"H. Sale Real",IF(AND(AM229&lt;&gt;"",LEFT(AG229,2)&lt;&gt;"Va"),IF(AND(AM228&lt;&gt;"",LEFT(AG228,2)&lt;&gt;"Va",AM228&lt;&gt;"H. Sale Real"),IF(AM229-AM228&lt;0.208333333333333,AM229-AM228,""),IF(AND(AM227&lt;&gt;"",LEFT(AG227,2)&lt;&gt;"Va",AM227&lt;&gt;"H. Sale Real"),IF(AM229-AM227&lt;0.208333333333333,AM229-AM227,""),IF(AND(AM226&lt;&gt;"",LEFT(AG226,2)&lt;&gt;"Va",AM226&lt;&gt;"H. Sale Real"),IF(AM229-AM226&lt;0.208333333333333,AM229-AM226,""),IF(AND(AM225&lt;&gt;"",LEFT(AG225,2)&lt;&gt;"Va",AM225&lt;&gt;"H. Sale Real"),IF(AM229-AM225&lt;0.208333333333333,AM229-AM225,""),IF(AND(AM224&lt;&gt;"",LEFT(AG224,2)&lt;&gt;"Va",AM224&lt;&gt;"H. Sale Real"),IF(AM229-AM224&lt;0.208333333333333,AM229-AM224,""),""))))),""),"")</f>
        <v/>
      </c>
      <c r="AX228" s="89">
        <f>IF(AK228&lt;&gt;"H. Sale Real",IF(AND(AK229&lt;&gt;"",LEFT(AG229,2)&lt;&gt;"Va"),IF(AND(AK228&lt;&gt;"",LEFT(AG228,2)&lt;&gt;"Va",AK228&lt;&gt;"H. Sale Real"),IF(AK229-AK228&lt;0.208333333333333,AK229-AK228,""),IF(AND(AK227&lt;&gt;"",LEFT(AG227,2)&lt;&gt;"Va",AK227&lt;&gt;"H. Sale Real"),IF(AK229-AK227&lt;0.208333333333333,AK229-AK227,""),IF(AND(AK226&lt;&gt;"",LEFT(AG226,2)&lt;&gt;"NC",AK226&lt;&gt;"H. Sale Real"),IF(AK229-AK226&lt;0.208333333333333,AK229-AK226,""),IF(AND(AK225&lt;&gt;"",LEFT(AG225,2)&lt;&gt;"Va",AK225&lt;&gt;"H. Sale Real"),IF(AK229-AK225&lt;0.208333333333333,AK229-AK225,""),IF(AND(AK224&lt;&gt;"",LEFT(AG224,2)&lt;&gt;"Va",AK224&lt;&gt;"H. Sale Real"),IF(AK229-AK224&lt;0.208333333333333,AK229-AK224,""),""))))),""),"")</f>
        <v/>
      </c>
      <c r="AY228" s="87" t="n"/>
      <c r="AZ228" s="89" t="n"/>
      <c r="BA228" s="87" t="n"/>
      <c r="BB228" s="89" t="n"/>
      <c r="BC228" s="91" t="n"/>
      <c r="BD228" s="122">
        <f>IF(AK228&lt;&gt;"",IF(AND(BD227&lt;&gt;"IE",AT228&lt;&gt;0,AV228&lt;&gt;""),IF(IFERROR((AT228/AV228),0) &lt;=1,IFERROR(AT228/AV228,""),1),""),"")</f>
        <v/>
      </c>
      <c r="BE228" s="93" t="n"/>
      <c r="BF228" s="105" t="n"/>
      <c r="FC228" t="inlineStr">
        <is>
          <t>Diccionario 1</t>
        </is>
      </c>
      <c r="FD228" s="15" t="n">
        <v>1205</v>
      </c>
      <c r="FE228" s="15" t="inlineStr">
        <is>
          <t>YV3T7U520NA207937</t>
        </is>
      </c>
      <c r="FF228" s="15" t="n">
        <v>551900</v>
      </c>
      <c r="FG228" s="15" t="inlineStr">
        <is>
          <t>Volvo</t>
        </is>
      </c>
      <c r="FH228" s="15" t="inlineStr">
        <is>
          <t>B8RLEA</t>
        </is>
      </c>
      <c r="FI228" s="15" t="inlineStr">
        <is>
          <t>MARCOPOLO</t>
        </is>
      </c>
      <c r="FJ228" s="15" t="inlineStr">
        <is>
          <t>GRAN VIALE</t>
        </is>
      </c>
      <c r="FK228" s="15" t="n">
        <v>2022</v>
      </c>
      <c r="FL228" s="15" t="inlineStr">
        <is>
          <t>C</t>
        </is>
      </c>
      <c r="FM228" s="15" t="inlineStr">
        <is>
          <t>PIE ANDINO</t>
        </is>
      </c>
      <c r="FN228" s="15" t="inlineStr">
        <is>
          <t>Pie Andino 31 (Pie Andino 383)</t>
        </is>
      </c>
      <c r="FO228" s="15" t="inlineStr">
        <is>
          <t>Puente Alto</t>
        </is>
      </c>
      <c r="FP228" t="inlineStr">
        <is>
          <t>C</t>
        </is>
      </c>
      <c r="FS228" s="14" t="inlineStr">
        <is>
          <t>3057 / SFWB-16|</t>
        </is>
      </c>
      <c r="FT228" t="inlineStr">
        <is>
          <t>SFWB-16|</t>
        </is>
      </c>
      <c r="FU228" t="inlineStr">
        <is>
          <t>SFWB-16</t>
        </is>
      </c>
      <c r="FV228">
        <f>VLOOKUP(FU228,FD:FL,9,0)</f>
        <v/>
      </c>
      <c r="HB228" s="35" t="n">
        <v>222</v>
      </c>
    </row>
    <row r="229" ht="15.5" customHeight="1">
      <c r="A229" s="10">
        <f>HOUR(G229)+1</f>
        <v/>
      </c>
      <c r="B229" s="7" t="n"/>
      <c r="C229" s="7" t="n"/>
      <c r="D229" s="85">
        <f>IFERROR(
IF(AND(OR(Planilla!B229="C",Planilla!B229="c"), VLOOKUP(E229,FD:FP,13,0)="C"), "OK",IF(AND(OR(Planilla!B229="C",Planilla!B229="c"), OR(VLOOKUP(E229,FD:FP,13,0)="B", VLOOKUP(E229,FD:FP,13,0)="A")), "DEFICIT",IF(
AND(OR(Planilla!B229="B", Planilla!B229="BPAL"), VLOOKUP(E229,FD:FP,13,0)="B"), "OK",IF(AND(OR(Planilla!B229="B", Planilla!B229="BPAL"), VLOOKUP(E229,FD:FP,13,0)="A"), "DEFICIT",IF(AND(OR(Planilla!B229="B", Planilla!B229="BPAL"), VLOOKUP(E229,FD:FP,13,0)="C"), "SOBREOFERTA",IF(AND(Planilla!B229="A", VLOOKUP(E229,FD:FP,13,0)="A"), "OK",IF(
AND(Planilla!B229="A", OR(VLOOKUP(E229,FD:FP,13,0)="B", VLOOKUP(E229,FD:FP,13,0)="C")), "SOBREOFERTA",""
))))))),"")</f>
        <v/>
      </c>
      <c r="E229" s="8" t="n"/>
      <c r="F229" s="86" t="n"/>
      <c r="G229" s="87" t="n"/>
      <c r="H229" s="88">
        <f>IF(I229="","",IF(AND((I229-G229)&gt;=TIME(0,0,0),(I229-G229)&lt;TIME(0,3,0)),"OK",IF(AND((I229-G229)&gt;=TIME(0,3,0),(I229-G229)&lt;TIME(0,5,0)),"RETRASO DE 3-5 MIN",IF(AND((I229-G229)&gt;=TIME(0,5,0),(I229-G229)&lt;TIME(0,10,0)),"RETRASO DE 5-10 MIN",IF((I229-G229)&gt;=TIME(0,10,0),"RETRASO &gt;10 MIN", IF(AND((G229-I229)&gt;=TIME(0,0,0),(G229-I229)&lt;TIME(0,3,0)),"OK",IF((G229-I229)&gt;=TIME(0,3,0),"ADELANTADO")))))))</f>
        <v/>
      </c>
      <c r="I229" s="89" t="n"/>
      <c r="J229" s="89">
        <f>IF(A229&lt;&gt;"",HLOOKUP(VALUE(TEXT(G229,"h:mm:ss")),IF($C$6="Laboral",$FZ$4:$GX$227,IF($C$6="Sábado",$FZ$231:$GX$452,$FZ$456:$GX$656)),VLOOKUP($C$4,$HF$2:$HH$99,3,0)+IF(C$5="Ida",0,1),1),"")</f>
        <v/>
      </c>
      <c r="K229" s="89">
        <f>IF(A230&lt;&gt;A229,AVERAGEIF(A$9:A229,A229,J$9:J229),"")</f>
        <v/>
      </c>
      <c r="L229" s="89">
        <f>IFERROR(IF(A230&lt;&gt;A229,AVERAGEIF(A$9:A229,A229,S$9:S229),""),"")</f>
        <v/>
      </c>
      <c r="M229" s="89">
        <f>IFERROR(IF(A230&lt;&gt;A229,AVERAGEIF(A$9:A229,A229,T$9:T229),""),"")</f>
        <v/>
      </c>
      <c r="N229" s="89">
        <f t="array" ref="N229">IFERROR(IF(A230&lt;&gt;A229,_xlfn.STDEV.P(IF(A$9:A229=A229,T$9:T229)),""),"")</f>
        <v/>
      </c>
      <c r="O229" s="89">
        <f t="array" ref="O229">IFERROR(IF(A230&lt;&gt;A229,_xlfn.STDEV.P(IF(A$9:A229=A229,S$9:S229)),""),"")</f>
        <v/>
      </c>
      <c r="P229" s="90">
        <f>IFERROR(IF(A229&lt;&gt;A230,MAX((((M229*24*60)/2)*(1+POWER((((N229*24*60) / (M229*24*60) )),2))) + ((M229*24*60 )*-0.1 + (K229*0.015)) +1,(((M229*24*60)/2)*(1+POWER((((N229*24*60) / (M229*24*60 ))),2)))),""),"")</f>
        <v/>
      </c>
      <c r="Q229" s="90">
        <f>IF(AND(O229&lt;&gt;"",L229&lt;&gt;""),IF(A229&lt;&gt;A230,((L229*24*60) / 2 ) * (1 + POWER(((O229*24*60) / (L229*24*60)),2)),""),"")</f>
        <v/>
      </c>
      <c r="R229" s="90">
        <f>IF(Q229&lt;&gt;"",MAX(P229,Q229),"")</f>
        <v/>
      </c>
      <c r="S229" s="89">
        <f>IF(I229&lt;&gt;"H. Sale Real",IF(AND(I230&lt;&gt;"",LEFT(C230,2)&lt;&gt;"Va"),IF(AND(I229&lt;&gt;"",LEFT(C229,2)&lt;&gt;"Va",I229&lt;&gt;"H. Sale Real"),IF(I230-I229&lt;0.208333333333333,I230-I229,""),IF(AND(I228&lt;&gt;"",LEFT(C228,2)&lt;&gt;"Va",I228&lt;&gt;"H. Sale Real"),IF(I230-I228&lt;0.208333333333333,I230-I228,""),IF(AND(I227&lt;&gt;"",LEFT(C227,2)&lt;&gt;"Va",I227&lt;&gt;"H. Sale Real"),IF(I230-I227&lt;0.208333333333333,I230-I227,""),IF(AND(I226&lt;&gt;"",LEFT(C226,2)&lt;&gt;"Va",I226&lt;&gt;"H. Sale Real"),IF(I230-I226&lt;0.208333333333333,I230-I226,""),IF(AND(I225&lt;&gt;"",LEFT(C225,2)&lt;&gt;"Va",I225&lt;&gt;"H. Sale Real"),IF(I230-I225&lt;0.208333333333333,I230-I225,""),""))))),""),"")</f>
        <v/>
      </c>
      <c r="T229" s="89">
        <f>IF(G229&lt;&gt;"H. Sale Real",IF(AND(G230&lt;&gt;"",LEFT(C230,2)&lt;&gt;"Va"),IF(AND(G229&lt;&gt;"",LEFT(C229,2)&lt;&gt;"Va",G229&lt;&gt;"H. Sale Real"),IF(G230-G229&lt;0.208333333333333,G230-G229,""),IF(AND(G228&lt;&gt;"",LEFT(C228,2)&lt;&gt;"Va",G228&lt;&gt;"H. Sale Real"),IF(G230-G228&lt;0.208333333333333,G230-G228,""),IF(AND(G227&lt;&gt;"",LEFT(C227,2)&lt;&gt;"Va",G227&lt;&gt;"H. Sale Real"),IF(G230-G227&lt;0.208333333333333,G230-G227,""),IF(AND(G226&lt;&gt;"",LEFT(C226,2)&lt;&gt;"Va",G226&lt;&gt;"H. Sale Real"),IF(G230-G226&lt;0.208333333333333,G230-G226,""),IF(AND(G225&lt;&gt;"",LEFT(C225,2)&lt;&gt;"Va",G225&lt;&gt;"H. Sale Real"),IF(G230-G225&lt;0.208333333333333,G230-G225,""),""))))),""),"")</f>
        <v/>
      </c>
      <c r="U229" s="87" t="n"/>
      <c r="V229" s="89" t="n"/>
      <c r="W229" s="87" t="n"/>
      <c r="X229" s="89" t="n"/>
      <c r="Y229" s="91" t="n"/>
      <c r="Z229" s="122">
        <f>IF(G229&lt;&gt;"",IF(AND(Z228&lt;&gt;"IE",P229&lt;&gt;0,R229&lt;&gt;""),IF(IFERROR((P229/R229),0) &lt;=1,IFERROR(P229/R229,""),1),""),"")</f>
        <v/>
      </c>
      <c r="AA229" s="93" t="n"/>
      <c r="AB229" s="2" t="n"/>
      <c r="AE229" s="10">
        <f>HOUR(AK229)+1</f>
        <v/>
      </c>
      <c r="AF229" s="7" t="n"/>
      <c r="AG229" s="7" t="n"/>
      <c r="AH229" s="86" t="n"/>
      <c r="AI229" s="8" t="n"/>
      <c r="AJ229" s="86" t="n"/>
      <c r="AK229" s="87" t="n"/>
      <c r="AL229" s="88">
        <f>IF(AM229="","",IF(AND((AM229-AK229)&gt;=TIME(0,0,0),(AM229-AK229)&lt;TIME(0,3,0)),"OK",IF(AND((AM229-AK229)&gt;=TIME(0,3,0),(AM229-AK229)&lt;TIME(0,5,0)),"RETRASO DE 3-5 MIN",IF(AND((AM229-AK229)&gt;=TIME(0,5,0),(AM229-AK229)&lt;TIME(0,10,0)),"RETRASO DE 5-10 MIN",IF((AM229-AK229)&gt;=TIME(0,10,0),"RETRASO &gt;10 MIN", IF(AND((AK229-AM229)&gt;=TIME(0,0,0),(AK229-AM229)&lt;TIME(0,3,0)),"OK",IF((AK229-AM229)&gt;=TIME(0,3,0),"ADELANTADO")))))))</f>
        <v/>
      </c>
      <c r="AM229" s="91" t="n"/>
      <c r="AN229" s="89">
        <f>IF(AE229&lt;&gt;"",HLOOKUP(VALUE(TEXT(AK229,"h:mm:ss")),IF($C$6="Laboral",$FZ$4:$GX$227,IF($C$6="Sábado",$FZ$231:$GX$452,$FZ$456:$GX$656)),VLOOKUP($C$4,$HF$2:$HH$99,3,0)+IF(AG$5="Ida",0,1),1),"")</f>
        <v/>
      </c>
      <c r="AO229" s="89">
        <f>IF(AE230&lt;&gt;AE229,AVERAGEIF(AE$9:AE229,AE229,AN$9:AN229),"")</f>
        <v/>
      </c>
      <c r="AP229" s="89">
        <f>IFERROR(IF(AE230&lt;&gt;AE229,AVERAGEIF(AE$9:AE229,AE229,AW$9:AW229),""),"")</f>
        <v/>
      </c>
      <c r="AQ229" s="89">
        <f>IFERROR(IF(AE230&lt;&gt;AE229,AVERAGEIF(AE$9:AE229,AE229,AX$9:AX229),""),"")</f>
        <v/>
      </c>
      <c r="AR229" s="89">
        <f t="array" ref="AR229">IFERROR(IF(AE230&lt;&gt;AE229,_xlfn.STDEV.P(IF(AE$9:AE229=AE229,AX$9:AX229)),""),"")</f>
        <v/>
      </c>
      <c r="AS229" s="89">
        <f t="array" ref="AS229">IFERROR(IF(AE230&lt;&gt;AE229,_xlfn.STDEV.P(IF(AE$9:AE229=AE229,AW$9:AW229)),""),"")</f>
        <v/>
      </c>
      <c r="AT229" s="90">
        <f>IFERROR(IF(AE229&lt;&gt;AE230,MAX((((AQ229*24*60)/2)*(1+POWER((((AR229*24*60) / (AQ229*24*60) )),2))) + ((AQ229*24*60 )*-0.1 + (AO229*0.015)) +1,(((AQ229*24*60)/2)*(1+POWER((((AR229*24*60) / (AQ229*24*60 ))),2)))),""),"")</f>
        <v/>
      </c>
      <c r="AU229" s="90">
        <f>IF(AND(AS229&lt;&gt;"",AP229&lt;&gt;""),IF(AE229&lt;&gt;AE230,((AP229*24*60) / 2 ) * (1 + POWER(((AS229*24*60) / (AP229*24*60)),2)),""),"")</f>
        <v/>
      </c>
      <c r="AV229" s="90">
        <f>IF(AU229&lt;&gt;"",MAX(AT229,AU229),"")</f>
        <v/>
      </c>
      <c r="AW229" s="89">
        <f>IF(AM229&lt;&gt;"H. Sale Real",IF(AND(AM230&lt;&gt;"",LEFT(AG230,2)&lt;&gt;"Va"),IF(AND(AM229&lt;&gt;"",LEFT(AG229,2)&lt;&gt;"Va",AM229&lt;&gt;"H. Sale Real"),IF(AM230-AM229&lt;0.208333333333333,AM230-AM229,""),IF(AND(AM228&lt;&gt;"",LEFT(AG228,2)&lt;&gt;"Va",AM228&lt;&gt;"H. Sale Real"),IF(AM230-AM228&lt;0.208333333333333,AM230-AM228,""),IF(AND(AM227&lt;&gt;"",LEFT(AG227,2)&lt;&gt;"Va",AM227&lt;&gt;"H. Sale Real"),IF(AM230-AM227&lt;0.208333333333333,AM230-AM227,""),IF(AND(AM226&lt;&gt;"",LEFT(AG226,2)&lt;&gt;"Va",AM226&lt;&gt;"H. Sale Real"),IF(AM230-AM226&lt;0.208333333333333,AM230-AM226,""),IF(AND(AM225&lt;&gt;"",LEFT(AG225,2)&lt;&gt;"Va",AM225&lt;&gt;"H. Sale Real"),IF(AM230-AM225&lt;0.208333333333333,AM230-AM225,""),""))))),""),"")</f>
        <v/>
      </c>
      <c r="AX229" s="89">
        <f>IF(AK229&lt;&gt;"H. Sale Real",IF(AND(AK230&lt;&gt;"",LEFT(AG230,2)&lt;&gt;"Va"),IF(AND(AK229&lt;&gt;"",LEFT(AG229,2)&lt;&gt;"Va",AK229&lt;&gt;"H. Sale Real"),IF(AK230-AK229&lt;0.208333333333333,AK230-AK229,""),IF(AND(AK228&lt;&gt;"",LEFT(AG228,2)&lt;&gt;"Va",AK228&lt;&gt;"H. Sale Real"),IF(AK230-AK228&lt;0.208333333333333,AK230-AK228,""),IF(AND(AK227&lt;&gt;"",LEFT(AG227,2)&lt;&gt;"NC",AK227&lt;&gt;"H. Sale Real"),IF(AK230-AK227&lt;0.208333333333333,AK230-AK227,""),IF(AND(AK226&lt;&gt;"",LEFT(AG226,2)&lt;&gt;"Va",AK226&lt;&gt;"H. Sale Real"),IF(AK230-AK226&lt;0.208333333333333,AK230-AK226,""),IF(AND(AK225&lt;&gt;"",LEFT(AG225,2)&lt;&gt;"Va",AK225&lt;&gt;"H. Sale Real"),IF(AK230-AK225&lt;0.208333333333333,AK230-AK225,""),""))))),""),"")</f>
        <v/>
      </c>
      <c r="AY229" s="87" t="n"/>
      <c r="AZ229" s="89" t="n"/>
      <c r="BA229" s="87" t="n"/>
      <c r="BB229" s="89" t="n"/>
      <c r="BC229" s="91" t="n"/>
      <c r="BD229" s="122">
        <f>IF(AK229&lt;&gt;"",IF(AND(BD228&lt;&gt;"IE",AT229&lt;&gt;0,AV229&lt;&gt;""),IF(IFERROR((AT229/AV229),0) &lt;=1,IFERROR(AT229/AV229,""),1),""),"")</f>
        <v/>
      </c>
      <c r="BE229" s="93" t="n"/>
      <c r="BF229" s="105" t="n"/>
      <c r="FC229" t="inlineStr">
        <is>
          <t>Diccionario 1</t>
        </is>
      </c>
      <c r="FD229" s="15" t="n">
        <v>1206</v>
      </c>
      <c r="FE229" s="15" t="inlineStr">
        <is>
          <t>YV3T7U523NA207978</t>
        </is>
      </c>
      <c r="FF229" s="15" t="n">
        <v>553953</v>
      </c>
      <c r="FG229" s="15" t="inlineStr">
        <is>
          <t>Volvo</t>
        </is>
      </c>
      <c r="FH229" s="15" t="inlineStr">
        <is>
          <t>B8RLEA</t>
        </is>
      </c>
      <c r="FI229" s="15" t="inlineStr">
        <is>
          <t>MARCOPOLO</t>
        </is>
      </c>
      <c r="FJ229" s="15" t="inlineStr">
        <is>
          <t>GRAN VIALE</t>
        </is>
      </c>
      <c r="FK229" s="15" t="n">
        <v>2022</v>
      </c>
      <c r="FL229" s="15" t="inlineStr">
        <is>
          <t>C</t>
        </is>
      </c>
      <c r="FM229" s="15" t="inlineStr">
        <is>
          <t>PIE ANDINO</t>
        </is>
      </c>
      <c r="FN229" s="15" t="inlineStr">
        <is>
          <t>Pie Andino 31 (Pie Andino 383)</t>
        </is>
      </c>
      <c r="FO229" s="15" t="inlineStr">
        <is>
          <t>Puente Alto</t>
        </is>
      </c>
      <c r="FP229" t="inlineStr">
        <is>
          <t>C</t>
        </is>
      </c>
      <c r="FS229" s="14" t="inlineStr">
        <is>
          <t>3057 / SFWB-16|</t>
        </is>
      </c>
      <c r="FT229" t="inlineStr">
        <is>
          <t>SFWB-16|</t>
        </is>
      </c>
      <c r="FU229" t="inlineStr">
        <is>
          <t>SFWB-16</t>
        </is>
      </c>
      <c r="FV229">
        <f>VLOOKUP(FU229,FD:FL,9,0)</f>
        <v/>
      </c>
      <c r="HB229" s="35" t="n">
        <v>223</v>
      </c>
    </row>
    <row r="230" ht="15.5" customHeight="1">
      <c r="A230" s="10">
        <f>HOUR(G230)+1</f>
        <v/>
      </c>
      <c r="B230" s="7" t="n"/>
      <c r="C230" s="7" t="n"/>
      <c r="D230" s="85">
        <f>IFERROR(
IF(AND(OR(Planilla!B230="C",Planilla!B230="c"), VLOOKUP(E230,FD:FP,13,0)="C"), "OK",IF(AND(OR(Planilla!B230="C",Planilla!B230="c"), OR(VLOOKUP(E230,FD:FP,13,0)="B", VLOOKUP(E230,FD:FP,13,0)="A")), "DEFICIT",IF(
AND(OR(Planilla!B230="B", Planilla!B230="BPAL"), VLOOKUP(E230,FD:FP,13,0)="B"), "OK",IF(AND(OR(Planilla!B230="B", Planilla!B230="BPAL"), VLOOKUP(E230,FD:FP,13,0)="A"), "DEFICIT",IF(AND(OR(Planilla!B230="B", Planilla!B230="BPAL"), VLOOKUP(E230,FD:FP,13,0)="C"), "SOBREOFERTA",IF(AND(Planilla!B230="A", VLOOKUP(E230,FD:FP,13,0)="A"), "OK",IF(
AND(Planilla!B230="A", OR(VLOOKUP(E230,FD:FP,13,0)="B", VLOOKUP(E230,FD:FP,13,0)="C")), "SOBREOFERTA",""
))))))),"")</f>
        <v/>
      </c>
      <c r="E230" s="8" t="n"/>
      <c r="F230" s="86" t="n"/>
      <c r="G230" s="87" t="n"/>
      <c r="H230" s="88">
        <f>IF(I230="","",IF(AND((I230-G230)&gt;=TIME(0,0,0),(I230-G230)&lt;TIME(0,3,0)),"OK",IF(AND((I230-G230)&gt;=TIME(0,3,0),(I230-G230)&lt;TIME(0,5,0)),"RETRASO DE 3-5 MIN",IF(AND((I230-G230)&gt;=TIME(0,5,0),(I230-G230)&lt;TIME(0,10,0)),"RETRASO DE 5-10 MIN",IF((I230-G230)&gt;=TIME(0,10,0),"RETRASO &gt;10 MIN", IF(AND((G230-I230)&gt;=TIME(0,0,0),(G230-I230)&lt;TIME(0,3,0)),"OK",IF((G230-I230)&gt;=TIME(0,3,0),"ADELANTADO")))))))</f>
        <v/>
      </c>
      <c r="I230" s="89" t="n"/>
      <c r="J230" s="89">
        <f>IF(A230&lt;&gt;"",HLOOKUP(VALUE(TEXT(G230,"h:mm:ss")),IF($C$6="Laboral",$FZ$4:$GX$227,IF($C$6="Sábado",$FZ$231:$GX$452,$FZ$456:$GX$656)),VLOOKUP($C$4,$HF$2:$HH$99,3,0)+IF(C$5="Ida",0,1),1),"")</f>
        <v/>
      </c>
      <c r="K230" s="89">
        <f>IF(A231&lt;&gt;A230,AVERAGEIF(A$9:A230,A230,J$9:J230),"")</f>
        <v/>
      </c>
      <c r="L230" s="89">
        <f>IFERROR(IF(A231&lt;&gt;A230,AVERAGEIF(A$9:A230,A230,S$9:S230),""),"")</f>
        <v/>
      </c>
      <c r="M230" s="89">
        <f>IFERROR(IF(A231&lt;&gt;A230,AVERAGEIF(A$9:A230,A230,T$9:T230),""),"")</f>
        <v/>
      </c>
      <c r="N230" s="89">
        <f t="array" ref="N230">IFERROR(IF(A231&lt;&gt;A230,_xlfn.STDEV.P(IF(A$9:A230=A230,T$9:T230)),""),"")</f>
        <v/>
      </c>
      <c r="O230" s="89">
        <f t="array" ref="O230">IFERROR(IF(A231&lt;&gt;A230,_xlfn.STDEV.P(IF(A$9:A230=A230,S$9:S230)),""),"")</f>
        <v/>
      </c>
      <c r="P230" s="90">
        <f>IFERROR(IF(A230&lt;&gt;A231,MAX((((M230*24*60)/2)*(1+POWER((((N230*24*60) / (M230*24*60) )),2))) + ((M230*24*60 )*-0.1 + (K230*0.015)) +1,(((M230*24*60)/2)*(1+POWER((((N230*24*60) / (M230*24*60 ))),2)))),""),"")</f>
        <v/>
      </c>
      <c r="Q230" s="90">
        <f>IF(AND(O230&lt;&gt;"",L230&lt;&gt;""),IF(A230&lt;&gt;A231,((L230*24*60) / 2 ) * (1 + POWER(((O230*24*60) / (L230*24*60)),2)),""),"")</f>
        <v/>
      </c>
      <c r="R230" s="90">
        <f>IF(Q230&lt;&gt;"",MAX(P230,Q230),"")</f>
        <v/>
      </c>
      <c r="S230" s="89">
        <f>IF(I230&lt;&gt;"H. Sale Real",IF(AND(I231&lt;&gt;"",LEFT(C231,2)&lt;&gt;"Va"),IF(AND(I230&lt;&gt;"",LEFT(C230,2)&lt;&gt;"Va",I230&lt;&gt;"H. Sale Real"),IF(I231-I230&lt;0.208333333333333,I231-I230,""),IF(AND(I229&lt;&gt;"",LEFT(C229,2)&lt;&gt;"Va",I229&lt;&gt;"H. Sale Real"),IF(I231-I229&lt;0.208333333333333,I231-I229,""),IF(AND(I228&lt;&gt;"",LEFT(C228,2)&lt;&gt;"Va",I228&lt;&gt;"H. Sale Real"),IF(I231-I228&lt;0.208333333333333,I231-I228,""),IF(AND(I227&lt;&gt;"",LEFT(C227,2)&lt;&gt;"Va",I227&lt;&gt;"H. Sale Real"),IF(I231-I227&lt;0.208333333333333,I231-I227,""),IF(AND(I226&lt;&gt;"",LEFT(C226,2)&lt;&gt;"Va",I226&lt;&gt;"H. Sale Real"),IF(I231-I226&lt;0.208333333333333,I231-I226,""),""))))),""),"")</f>
        <v/>
      </c>
      <c r="T230" s="89">
        <f>IF(G230&lt;&gt;"H. Sale Real",IF(AND(G231&lt;&gt;"",LEFT(C231,2)&lt;&gt;"Va"),IF(AND(G230&lt;&gt;"",LEFT(C230,2)&lt;&gt;"Va",G230&lt;&gt;"H. Sale Real"),IF(G231-G230&lt;0.208333333333333,G231-G230,""),IF(AND(G229&lt;&gt;"",LEFT(C229,2)&lt;&gt;"Va",G229&lt;&gt;"H. Sale Real"),IF(G231-G229&lt;0.208333333333333,G231-G229,""),IF(AND(G228&lt;&gt;"",LEFT(C228,2)&lt;&gt;"Va",G228&lt;&gt;"H. Sale Real"),IF(G231-G228&lt;0.208333333333333,G231-G228,""),IF(AND(G227&lt;&gt;"",LEFT(C227,2)&lt;&gt;"Va",G227&lt;&gt;"H. Sale Real"),IF(G231-G227&lt;0.208333333333333,G231-G227,""),IF(AND(G226&lt;&gt;"",LEFT(C226,2)&lt;&gt;"Va",G226&lt;&gt;"H. Sale Real"),IF(G231-G226&lt;0.208333333333333,G231-G226,""),""))))),""),"")</f>
        <v/>
      </c>
      <c r="U230" s="87" t="n"/>
      <c r="V230" s="89" t="n"/>
      <c r="W230" s="87" t="n"/>
      <c r="X230" s="89" t="n"/>
      <c r="Y230" s="91" t="n"/>
      <c r="Z230" s="122">
        <f>IF(G230&lt;&gt;"",IF(AND(Z229&lt;&gt;"IE",P230&lt;&gt;0,R230&lt;&gt;""),IF(IFERROR((P230/R230),0) &lt;=1,IFERROR(P230/R230,""),1),""),"")</f>
        <v/>
      </c>
      <c r="AA230" s="93" t="n"/>
      <c r="AB230" s="2" t="n"/>
      <c r="AE230" s="10">
        <f>HOUR(AK230)+1</f>
        <v/>
      </c>
      <c r="AF230" s="7" t="n"/>
      <c r="AG230" s="7" t="n"/>
      <c r="AH230" s="86" t="n"/>
      <c r="AI230" s="8" t="n"/>
      <c r="AJ230" s="86" t="n"/>
      <c r="AK230" s="87" t="n"/>
      <c r="AL230" s="88">
        <f>IF(AM230="","",IF(AND((AM230-AK230)&gt;=TIME(0,0,0),(AM230-AK230)&lt;TIME(0,3,0)),"OK",IF(AND((AM230-AK230)&gt;=TIME(0,3,0),(AM230-AK230)&lt;TIME(0,5,0)),"RETRASO DE 3-5 MIN",IF(AND((AM230-AK230)&gt;=TIME(0,5,0),(AM230-AK230)&lt;TIME(0,10,0)),"RETRASO DE 5-10 MIN",IF((AM230-AK230)&gt;=TIME(0,10,0),"RETRASO &gt;10 MIN", IF(AND((AK230-AM230)&gt;=TIME(0,0,0),(AK230-AM230)&lt;TIME(0,3,0)),"OK",IF((AK230-AM230)&gt;=TIME(0,3,0),"ADELANTADO")))))))</f>
        <v/>
      </c>
      <c r="AM230" s="91" t="n"/>
      <c r="AN230" s="89">
        <f>IF(AE230&lt;&gt;"",HLOOKUP(VALUE(TEXT(AK230,"h:mm:ss")),IF($C$6="Laboral",$FZ$4:$GX$227,IF($C$6="Sábado",$FZ$231:$GX$452,$FZ$456:$GX$656)),VLOOKUP($C$4,$HF$2:$HH$99,3,0)+IF(AG$5="Ida",0,1),1),"")</f>
        <v/>
      </c>
      <c r="AO230" s="89">
        <f>IF(AE231&lt;&gt;AE230,AVERAGEIF(AE$9:AE230,AE230,AN$9:AN230),"")</f>
        <v/>
      </c>
      <c r="AP230" s="89">
        <f>IFERROR(IF(AE231&lt;&gt;AE230,AVERAGEIF(AE$9:AE230,AE230,AW$9:AW230),""),"")</f>
        <v/>
      </c>
      <c r="AQ230" s="89">
        <f>IFERROR(IF(AE231&lt;&gt;AE230,AVERAGEIF(AE$9:AE230,AE230,AX$9:AX230),""),"")</f>
        <v/>
      </c>
      <c r="AR230" s="89">
        <f t="array" ref="AR230">IFERROR(IF(AE231&lt;&gt;AE230,_xlfn.STDEV.P(IF(AE$9:AE230=AE230,AX$9:AX230)),""),"")</f>
        <v/>
      </c>
      <c r="AS230" s="89">
        <f t="array" ref="AS230">IFERROR(IF(AE231&lt;&gt;AE230,_xlfn.STDEV.P(IF(AE$9:AE230=AE230,AW$9:AW230)),""),"")</f>
        <v/>
      </c>
      <c r="AT230" s="90">
        <f>IFERROR(IF(AE230&lt;&gt;AE231,MAX((((AQ230*24*60)/2)*(1+POWER((((AR230*24*60) / (AQ230*24*60) )),2))) + ((AQ230*24*60 )*-0.1 + (AO230*0.015)) +1,(((AQ230*24*60)/2)*(1+POWER((((AR230*24*60) / (AQ230*24*60 ))),2)))),""),"")</f>
        <v/>
      </c>
      <c r="AU230" s="90">
        <f>IF(AND(AS230&lt;&gt;"",AP230&lt;&gt;""),IF(AE230&lt;&gt;AE231,((AP230*24*60) / 2 ) * (1 + POWER(((AS230*24*60) / (AP230*24*60)),2)),""),"")</f>
        <v/>
      </c>
      <c r="AV230" s="90">
        <f>IF(AU230&lt;&gt;"",MAX(AT230,AU230),"")</f>
        <v/>
      </c>
      <c r="AW230" s="89">
        <f>IF(AM230&lt;&gt;"H. Sale Real",IF(AND(AM231&lt;&gt;"",LEFT(AG231,2)&lt;&gt;"Va"),IF(AND(AM230&lt;&gt;"",LEFT(AG230,2)&lt;&gt;"Va",AM230&lt;&gt;"H. Sale Real"),IF(AM231-AM230&lt;0.208333333333333,AM231-AM230,""),IF(AND(AM229&lt;&gt;"",LEFT(AG229,2)&lt;&gt;"Va",AM229&lt;&gt;"H. Sale Real"),IF(AM231-AM229&lt;0.208333333333333,AM231-AM229,""),IF(AND(AM228&lt;&gt;"",LEFT(AG228,2)&lt;&gt;"Va",AM228&lt;&gt;"H. Sale Real"),IF(AM231-AM228&lt;0.208333333333333,AM231-AM228,""),IF(AND(AM227&lt;&gt;"",LEFT(AG227,2)&lt;&gt;"Va",AM227&lt;&gt;"H. Sale Real"),IF(AM231-AM227&lt;0.208333333333333,AM231-AM227,""),IF(AND(AM226&lt;&gt;"",LEFT(AG226,2)&lt;&gt;"Va",AM226&lt;&gt;"H. Sale Real"),IF(AM231-AM226&lt;0.208333333333333,AM231-AM226,""),""))))),""),"")</f>
        <v/>
      </c>
      <c r="AX230" s="89">
        <f>IF(AK230&lt;&gt;"H. Sale Real",IF(AND(AK231&lt;&gt;"",LEFT(AG231,2)&lt;&gt;"Va"),IF(AND(AK230&lt;&gt;"",LEFT(AG230,2)&lt;&gt;"Va",AK230&lt;&gt;"H. Sale Real"),IF(AK231-AK230&lt;0.208333333333333,AK231-AK230,""),IF(AND(AK229&lt;&gt;"",LEFT(AG229,2)&lt;&gt;"Va",AK229&lt;&gt;"H. Sale Real"),IF(AK231-AK229&lt;0.208333333333333,AK231-AK229,""),IF(AND(AK228&lt;&gt;"",LEFT(AG228,2)&lt;&gt;"NC",AK228&lt;&gt;"H. Sale Real"),IF(AK231-AK228&lt;0.208333333333333,AK231-AK228,""),IF(AND(AK227&lt;&gt;"",LEFT(AG227,2)&lt;&gt;"Va",AK227&lt;&gt;"H. Sale Real"),IF(AK231-AK227&lt;0.208333333333333,AK231-AK227,""),IF(AND(AK226&lt;&gt;"",LEFT(AG226,2)&lt;&gt;"Va",AK226&lt;&gt;"H. Sale Real"),IF(AK231-AK226&lt;0.208333333333333,AK231-AK226,""),""))))),""),"")</f>
        <v/>
      </c>
      <c r="AY230" s="87" t="n"/>
      <c r="AZ230" s="89" t="n"/>
      <c r="BA230" s="87" t="n"/>
      <c r="BB230" s="89" t="n"/>
      <c r="BC230" s="91" t="n"/>
      <c r="BD230" s="122">
        <f>IF(AK230&lt;&gt;"",IF(AND(BD229&lt;&gt;"IE",AT230&lt;&gt;0,AV230&lt;&gt;""),IF(IFERROR((AT230/AV230),0) &lt;=1,IFERROR(AT230/AV230,""),1),""),"")</f>
        <v/>
      </c>
      <c r="BE230" s="93" t="n"/>
      <c r="BF230" s="105" t="n"/>
      <c r="FC230" t="inlineStr">
        <is>
          <t>Diccionario 1</t>
        </is>
      </c>
      <c r="FD230" s="15" t="n">
        <v>1207</v>
      </c>
      <c r="FE230" s="15" t="inlineStr">
        <is>
          <t>YV3T7U525NA207934</t>
        </is>
      </c>
      <c r="FF230" s="15" t="n">
        <v>551716</v>
      </c>
      <c r="FG230" s="15" t="inlineStr">
        <is>
          <t>Volvo</t>
        </is>
      </c>
      <c r="FH230" s="15" t="inlineStr">
        <is>
          <t>B8RLEA</t>
        </is>
      </c>
      <c r="FI230" s="15" t="inlineStr">
        <is>
          <t>MARCOPOLO</t>
        </is>
      </c>
      <c r="FJ230" s="15" t="inlineStr">
        <is>
          <t>GRAN VIALE</t>
        </is>
      </c>
      <c r="FK230" s="15" t="n">
        <v>2022</v>
      </c>
      <c r="FL230" s="15" t="inlineStr">
        <is>
          <t>C</t>
        </is>
      </c>
      <c r="FM230" s="15" t="inlineStr">
        <is>
          <t>PIE ANDINO</t>
        </is>
      </c>
      <c r="FN230" s="15" t="inlineStr">
        <is>
          <t>Pie Andino 31 (Pie Andino 383)</t>
        </is>
      </c>
      <c r="FO230" s="15" t="inlineStr">
        <is>
          <t>Puente Alto</t>
        </is>
      </c>
      <c r="FP230" t="inlineStr">
        <is>
          <t>C</t>
        </is>
      </c>
      <c r="FS230" s="14" t="inlineStr">
        <is>
          <t>3058 / SFWB-85|</t>
        </is>
      </c>
      <c r="FT230" t="inlineStr">
        <is>
          <t>SFWB-85|</t>
        </is>
      </c>
      <c r="FU230" t="inlineStr">
        <is>
          <t>SFWB-85</t>
        </is>
      </c>
      <c r="FV230">
        <f>VLOOKUP(FU230,FD:FL,9,0)</f>
        <v/>
      </c>
      <c r="FZ230" s="50" t="inlineStr">
        <is>
          <t>SABADO</t>
        </is>
      </c>
      <c r="GA230" s="36" t="inlineStr">
        <is>
          <t>P1</t>
        </is>
      </c>
      <c r="GB230" s="36" t="inlineStr">
        <is>
          <t>P2</t>
        </is>
      </c>
      <c r="GC230" s="36" t="inlineStr">
        <is>
          <t>P3</t>
        </is>
      </c>
      <c r="GD230" s="36" t="inlineStr">
        <is>
          <t>P4</t>
        </is>
      </c>
      <c r="GE230" s="36" t="inlineStr">
        <is>
          <t>P5</t>
        </is>
      </c>
      <c r="GF230" s="36" t="inlineStr">
        <is>
          <t>P6</t>
        </is>
      </c>
      <c r="GG230" s="36" t="inlineStr">
        <is>
          <t>P7</t>
        </is>
      </c>
      <c r="GH230" s="36" t="inlineStr">
        <is>
          <t>P8</t>
        </is>
      </c>
      <c r="GI230" s="36" t="inlineStr">
        <is>
          <t>P9</t>
        </is>
      </c>
      <c r="GJ230" s="36" t="inlineStr">
        <is>
          <t>P10</t>
        </is>
      </c>
      <c r="GK230" s="36" t="inlineStr">
        <is>
          <t>P11</t>
        </is>
      </c>
      <c r="GL230" s="36" t="inlineStr">
        <is>
          <t>P12</t>
        </is>
      </c>
      <c r="GM230" s="36" t="inlineStr">
        <is>
          <t>P13</t>
        </is>
      </c>
      <c r="GN230" s="36" t="inlineStr">
        <is>
          <t>P14</t>
        </is>
      </c>
      <c r="GO230" s="36" t="inlineStr">
        <is>
          <t>P15</t>
        </is>
      </c>
      <c r="GP230" s="36" t="inlineStr">
        <is>
          <t>P16</t>
        </is>
      </c>
      <c r="GQ230" s="36" t="inlineStr">
        <is>
          <t>P17</t>
        </is>
      </c>
      <c r="GR230" s="36" t="inlineStr">
        <is>
          <t>P18</t>
        </is>
      </c>
      <c r="GS230" s="36" t="inlineStr">
        <is>
          <t>P19</t>
        </is>
      </c>
      <c r="GT230" s="36" t="inlineStr">
        <is>
          <t>P20</t>
        </is>
      </c>
      <c r="GU230" s="36" t="inlineStr">
        <is>
          <t>P21</t>
        </is>
      </c>
      <c r="GV230" s="36" t="inlineStr">
        <is>
          <t>P22</t>
        </is>
      </c>
      <c r="GW230" s="36" t="inlineStr">
        <is>
          <t>P23</t>
        </is>
      </c>
      <c r="GX230" s="36" t="inlineStr">
        <is>
          <t>P24</t>
        </is>
      </c>
      <c r="GY230" s="37" t="n"/>
      <c r="GZ230" s="36" t="n"/>
      <c r="HA230" s="38" t="n"/>
      <c r="HB230" s="35" t="n">
        <v>224</v>
      </c>
      <c r="HC230" s="37" t="n"/>
      <c r="HD230" s="37" t="n"/>
    </row>
    <row r="231" ht="15.5" customHeight="1">
      <c r="A231" s="10">
        <f>HOUR(G231)+1</f>
        <v/>
      </c>
      <c r="B231" s="7" t="n"/>
      <c r="C231" s="7" t="n"/>
      <c r="D231" s="85">
        <f>IFERROR(
IF(AND(OR(Planilla!B231="C",Planilla!B231="c"), VLOOKUP(E231,FD:FP,13,0)="C"), "OK",IF(AND(OR(Planilla!B231="C",Planilla!B231="c"), OR(VLOOKUP(E231,FD:FP,13,0)="B", VLOOKUP(E231,FD:FP,13,0)="A")), "DEFICIT",IF(
AND(OR(Planilla!B231="B", Planilla!B231="BPAL"), VLOOKUP(E231,FD:FP,13,0)="B"), "OK",IF(AND(OR(Planilla!B231="B", Planilla!B231="BPAL"), VLOOKUP(E231,FD:FP,13,0)="A"), "DEFICIT",IF(AND(OR(Planilla!B231="B", Planilla!B231="BPAL"), VLOOKUP(E231,FD:FP,13,0)="C"), "SOBREOFERTA",IF(AND(Planilla!B231="A", VLOOKUP(E231,FD:FP,13,0)="A"), "OK",IF(
AND(Planilla!B231="A", OR(VLOOKUP(E231,FD:FP,13,0)="B", VLOOKUP(E231,FD:FP,13,0)="C")), "SOBREOFERTA",""
))))))),"")</f>
        <v/>
      </c>
      <c r="E231" s="8" t="n"/>
      <c r="F231" s="86" t="n"/>
      <c r="G231" s="87" t="n"/>
      <c r="H231" s="88">
        <f>IF(I231="","",IF(AND((I231-G231)&gt;=TIME(0,0,0),(I231-G231)&lt;TIME(0,3,0)),"OK",IF(AND((I231-G231)&gt;=TIME(0,3,0),(I231-G231)&lt;TIME(0,5,0)),"RETRASO DE 3-5 MIN",IF(AND((I231-G231)&gt;=TIME(0,5,0),(I231-G231)&lt;TIME(0,10,0)),"RETRASO DE 5-10 MIN",IF((I231-G231)&gt;=TIME(0,10,0),"RETRASO &gt;10 MIN", IF(AND((G231-I231)&gt;=TIME(0,0,0),(G231-I231)&lt;TIME(0,3,0)),"OK",IF((G231-I231)&gt;=TIME(0,3,0),"ADELANTADO")))))))</f>
        <v/>
      </c>
      <c r="I231" s="89" t="n"/>
      <c r="J231" s="89">
        <f>IF(A231&lt;&gt;"",HLOOKUP(VALUE(TEXT(G231,"h:mm:ss")),IF($C$6="Laboral",$FZ$4:$GX$227,IF($C$6="Sábado",$FZ$231:$GX$452,$FZ$456:$GX$656)),VLOOKUP($C$4,$HF$2:$HH$99,3,0)+IF(C$5="Ida",0,1),1),"")</f>
        <v/>
      </c>
      <c r="K231" s="89">
        <f>IF(A232&lt;&gt;A231,AVERAGEIF(A$9:A231,A231,J$9:J231),"")</f>
        <v/>
      </c>
      <c r="L231" s="89">
        <f>IFERROR(IF(A232&lt;&gt;A231,AVERAGEIF(A$9:A231,A231,S$9:S231),""),"")</f>
        <v/>
      </c>
      <c r="M231" s="89">
        <f>IFERROR(IF(A232&lt;&gt;A231,AVERAGEIF(A$9:A231,A231,T$9:T231),""),"")</f>
        <v/>
      </c>
      <c r="N231" s="89">
        <f t="array" ref="N231">IFERROR(IF(A232&lt;&gt;A231,_xlfn.STDEV.P(IF(A$9:A231=A231,T$9:T231)),""),"")</f>
        <v/>
      </c>
      <c r="O231" s="89">
        <f t="array" ref="O231">IFERROR(IF(A232&lt;&gt;A231,_xlfn.STDEV.P(IF(A$9:A231=A231,S$9:S231)),""),"")</f>
        <v/>
      </c>
      <c r="P231" s="90">
        <f>IFERROR(IF(A231&lt;&gt;A232,MAX((((M231*24*60)/2)*(1+POWER((((N231*24*60) / (M231*24*60) )),2))) + ((M231*24*60 )*-0.1 + (K231*0.015)) +1,(((M231*24*60)/2)*(1+POWER((((N231*24*60) / (M231*24*60 ))),2)))),""),"")</f>
        <v/>
      </c>
      <c r="Q231" s="90">
        <f>IF(AND(O231&lt;&gt;"",L231&lt;&gt;""),IF(A231&lt;&gt;A232,((L231*24*60) / 2 ) * (1 + POWER(((O231*24*60) / (L231*24*60)),2)),""),"")</f>
        <v/>
      </c>
      <c r="R231" s="90">
        <f>IF(Q231&lt;&gt;"",MAX(P231,Q231),"")</f>
        <v/>
      </c>
      <c r="S231" s="89">
        <f>IF(I231&lt;&gt;"H. Sale Real",IF(AND(I232&lt;&gt;"",LEFT(C232,2)&lt;&gt;"Va"),IF(AND(I231&lt;&gt;"",LEFT(C231,2)&lt;&gt;"Va",I231&lt;&gt;"H. Sale Real"),IF(I232-I231&lt;0.208333333333333,I232-I231,""),IF(AND(I230&lt;&gt;"",LEFT(C230,2)&lt;&gt;"Va",I230&lt;&gt;"H. Sale Real"),IF(I232-I230&lt;0.208333333333333,I232-I230,""),IF(AND(I229&lt;&gt;"",LEFT(C229,2)&lt;&gt;"Va",I229&lt;&gt;"H. Sale Real"),IF(I232-I229&lt;0.208333333333333,I232-I229,""),IF(AND(I228&lt;&gt;"",LEFT(C228,2)&lt;&gt;"Va",I228&lt;&gt;"H. Sale Real"),IF(I232-I228&lt;0.208333333333333,I232-I228,""),IF(AND(I227&lt;&gt;"",LEFT(C227,2)&lt;&gt;"Va",I227&lt;&gt;"H. Sale Real"),IF(I232-I227&lt;0.208333333333333,I232-I227,""),""))))),""),"")</f>
        <v/>
      </c>
      <c r="T231" s="89">
        <f>IF(G231&lt;&gt;"H. Sale Real",IF(AND(G232&lt;&gt;"",LEFT(C232,2)&lt;&gt;"Va"),IF(AND(G231&lt;&gt;"",LEFT(C231,2)&lt;&gt;"Va",G231&lt;&gt;"H. Sale Real"),IF(G232-G231&lt;0.208333333333333,G232-G231,""),IF(AND(G230&lt;&gt;"",LEFT(C230,2)&lt;&gt;"Va",G230&lt;&gt;"H. Sale Real"),IF(G232-G230&lt;0.208333333333333,G232-G230,""),IF(AND(G229&lt;&gt;"",LEFT(C229,2)&lt;&gt;"Va",G229&lt;&gt;"H. Sale Real"),IF(G232-G229&lt;0.208333333333333,G232-G229,""),IF(AND(G228&lt;&gt;"",LEFT(C228,2)&lt;&gt;"Va",G228&lt;&gt;"H. Sale Real"),IF(G232-G228&lt;0.208333333333333,G232-G228,""),IF(AND(G227&lt;&gt;"",LEFT(C227,2)&lt;&gt;"Va",G227&lt;&gt;"H. Sale Real"),IF(G232-G227&lt;0.208333333333333,G232-G227,""),""))))),""),"")</f>
        <v/>
      </c>
      <c r="U231" s="87" t="n"/>
      <c r="V231" s="89" t="n"/>
      <c r="W231" s="87" t="n"/>
      <c r="X231" s="89" t="n"/>
      <c r="Y231" s="91" t="n"/>
      <c r="Z231" s="122">
        <f>IF(G231&lt;&gt;"",IF(AND(Z230&lt;&gt;"IE",P231&lt;&gt;0,R231&lt;&gt;""),IF(IFERROR((P231/R231),0) &lt;=1,IFERROR(P231/R231,""),1),""),"")</f>
        <v/>
      </c>
      <c r="AA231" s="93" t="n"/>
      <c r="AB231" s="2" t="n"/>
      <c r="AE231" s="10">
        <f>HOUR(AK231)+1</f>
        <v/>
      </c>
      <c r="AF231" s="7" t="n"/>
      <c r="AG231" s="7" t="n"/>
      <c r="AH231" s="86" t="n"/>
      <c r="AI231" s="8" t="n"/>
      <c r="AJ231" s="86" t="n"/>
      <c r="AK231" s="87" t="n"/>
      <c r="AL231" s="88">
        <f>IF(AM231="","",IF(AND((AM231-AK231)&gt;=TIME(0,0,0),(AM231-AK231)&lt;TIME(0,3,0)),"OK",IF(AND((AM231-AK231)&gt;=TIME(0,3,0),(AM231-AK231)&lt;TIME(0,5,0)),"RETRASO DE 3-5 MIN",IF(AND((AM231-AK231)&gt;=TIME(0,5,0),(AM231-AK231)&lt;TIME(0,10,0)),"RETRASO DE 5-10 MIN",IF((AM231-AK231)&gt;=TIME(0,10,0),"RETRASO &gt;10 MIN", IF(AND((AK231-AM231)&gt;=TIME(0,0,0),(AK231-AM231)&lt;TIME(0,3,0)),"OK",IF((AK231-AM231)&gt;=TIME(0,3,0),"ADELANTADO")))))))</f>
        <v/>
      </c>
      <c r="AM231" s="91" t="n"/>
      <c r="AN231" s="89">
        <f>IF(AE231&lt;&gt;"",HLOOKUP(VALUE(TEXT(AK231,"h:mm:ss")),IF($C$6="Laboral",$FZ$4:$GX$227,IF($C$6="Sábado",$FZ$231:$GX$452,$FZ$456:$GX$656)),VLOOKUP($C$4,$HF$2:$HH$99,3,0)+IF(AG$5="Ida",0,1),1),"")</f>
        <v/>
      </c>
      <c r="AO231" s="89">
        <f>IF(AE232&lt;&gt;AE231,AVERAGEIF(AE$9:AE231,AE231,AN$9:AN231),"")</f>
        <v/>
      </c>
      <c r="AP231" s="89">
        <f>IFERROR(IF(AE232&lt;&gt;AE231,AVERAGEIF(AE$9:AE231,AE231,AW$9:AW231),""),"")</f>
        <v/>
      </c>
      <c r="AQ231" s="89">
        <f>IFERROR(IF(AE232&lt;&gt;AE231,AVERAGEIF(AE$9:AE231,AE231,AX$9:AX231),""),"")</f>
        <v/>
      </c>
      <c r="AR231" s="89">
        <f t="array" ref="AR231">IFERROR(IF(AE232&lt;&gt;AE231,_xlfn.STDEV.P(IF(AE$9:AE231=AE231,AX$9:AX231)),""),"")</f>
        <v/>
      </c>
      <c r="AS231" s="89">
        <f t="array" ref="AS231">IFERROR(IF(AE232&lt;&gt;AE231,_xlfn.STDEV.P(IF(AE$9:AE231=AE231,AW$9:AW231)),""),"")</f>
        <v/>
      </c>
      <c r="AT231" s="90">
        <f>IFERROR(IF(AE231&lt;&gt;AE232,MAX((((AQ231*24*60)/2)*(1+POWER((((AR231*24*60) / (AQ231*24*60) )),2))) + ((AQ231*24*60 )*-0.1 + (AO231*0.015)) +1,(((AQ231*24*60)/2)*(1+POWER((((AR231*24*60) / (AQ231*24*60 ))),2)))),""),"")</f>
        <v/>
      </c>
      <c r="AU231" s="90">
        <f>IF(AND(AS231&lt;&gt;"",AP231&lt;&gt;""),IF(AE231&lt;&gt;AE232,((AP231*24*60) / 2 ) * (1 + POWER(((AS231*24*60) / (AP231*24*60)),2)),""),"")</f>
        <v/>
      </c>
      <c r="AV231" s="90">
        <f>IF(AU231&lt;&gt;"",MAX(AT231,AU231),"")</f>
        <v/>
      </c>
      <c r="AW231" s="89">
        <f>IF(AM231&lt;&gt;"H. Sale Real",IF(AND(AM232&lt;&gt;"",LEFT(AG232,2)&lt;&gt;"Va"),IF(AND(AM231&lt;&gt;"",LEFT(AG231,2)&lt;&gt;"Va",AM231&lt;&gt;"H. Sale Real"),IF(AM232-AM231&lt;0.208333333333333,AM232-AM231,""),IF(AND(AM230&lt;&gt;"",LEFT(AG230,2)&lt;&gt;"Va",AM230&lt;&gt;"H. Sale Real"),IF(AM232-AM230&lt;0.208333333333333,AM232-AM230,""),IF(AND(AM229&lt;&gt;"",LEFT(AG229,2)&lt;&gt;"Va",AM229&lt;&gt;"H. Sale Real"),IF(AM232-AM229&lt;0.208333333333333,AM232-AM229,""),IF(AND(AM228&lt;&gt;"",LEFT(AG228,2)&lt;&gt;"Va",AM228&lt;&gt;"H. Sale Real"),IF(AM232-AM228&lt;0.208333333333333,AM232-AM228,""),IF(AND(AM227&lt;&gt;"",LEFT(AG227,2)&lt;&gt;"Va",AM227&lt;&gt;"H. Sale Real"),IF(AM232-AM227&lt;0.208333333333333,AM232-AM227,""),""))))),""),"")</f>
        <v/>
      </c>
      <c r="AX231" s="89">
        <f>IF(AK231&lt;&gt;"H. Sale Real",IF(AND(AK232&lt;&gt;"",LEFT(AG232,2)&lt;&gt;"Va"),IF(AND(AK231&lt;&gt;"",LEFT(AG231,2)&lt;&gt;"Va",AK231&lt;&gt;"H. Sale Real"),IF(AK232-AK231&lt;0.208333333333333,AK232-AK231,""),IF(AND(AK230&lt;&gt;"",LEFT(AG230,2)&lt;&gt;"Va",AK230&lt;&gt;"H. Sale Real"),IF(AK232-AK230&lt;0.208333333333333,AK232-AK230,""),IF(AND(AK229&lt;&gt;"",LEFT(AG229,2)&lt;&gt;"NC",AK229&lt;&gt;"H. Sale Real"),IF(AK232-AK229&lt;0.208333333333333,AK232-AK229,""),IF(AND(AK228&lt;&gt;"",LEFT(AG228,2)&lt;&gt;"Va",AK228&lt;&gt;"H. Sale Real"),IF(AK232-AK228&lt;0.208333333333333,AK232-AK228,""),IF(AND(AK227&lt;&gt;"",LEFT(AG227,2)&lt;&gt;"Va",AK227&lt;&gt;"H. Sale Real"),IF(AK232-AK227&lt;0.208333333333333,AK232-AK227,""),""))))),""),"")</f>
        <v/>
      </c>
      <c r="AY231" s="87" t="n"/>
      <c r="AZ231" s="89" t="n"/>
      <c r="BA231" s="87" t="n"/>
      <c r="BB231" s="89" t="n"/>
      <c r="BC231" s="91" t="n"/>
      <c r="BD231" s="122">
        <f>IF(AK231&lt;&gt;"",IF(AND(BD230&lt;&gt;"IE",AT231&lt;&gt;0,AV231&lt;&gt;""),IF(IFERROR((AT231/AV231),0) &lt;=1,IFERROR(AT231/AV231,""),1),""),"")</f>
        <v/>
      </c>
      <c r="BE231" s="93" t="n"/>
      <c r="BF231" s="105" t="n"/>
      <c r="FC231" t="inlineStr">
        <is>
          <t>Diccionario 1</t>
        </is>
      </c>
      <c r="FD231" s="15" t="n">
        <v>1208</v>
      </c>
      <c r="FE231" s="15" t="inlineStr">
        <is>
          <t>YV3T7U523NA207933</t>
        </is>
      </c>
      <c r="FF231" s="15" t="n">
        <v>551695</v>
      </c>
      <c r="FG231" s="15" t="inlineStr">
        <is>
          <t>Volvo</t>
        </is>
      </c>
      <c r="FH231" s="15" t="inlineStr">
        <is>
          <t>B8RLEA</t>
        </is>
      </c>
      <c r="FI231" s="15" t="inlineStr">
        <is>
          <t>MARCOPOLO</t>
        </is>
      </c>
      <c r="FJ231" s="15" t="inlineStr">
        <is>
          <t>GRAN VIALE</t>
        </is>
      </c>
      <c r="FK231" s="15" t="n">
        <v>2022</v>
      </c>
      <c r="FL231" s="15" t="inlineStr">
        <is>
          <t>C</t>
        </is>
      </c>
      <c r="FM231" s="15" t="inlineStr">
        <is>
          <t>PIE ANDINO</t>
        </is>
      </c>
      <c r="FN231" s="15" t="inlineStr">
        <is>
          <t>Pie Andino 31 (Pie Andino 383)</t>
        </is>
      </c>
      <c r="FO231" s="15" t="inlineStr">
        <is>
          <t>Puente Alto</t>
        </is>
      </c>
      <c r="FP231" t="inlineStr">
        <is>
          <t>C</t>
        </is>
      </c>
      <c r="FS231" s="14" t="inlineStr">
        <is>
          <t>3058 / SFWB-85|</t>
        </is>
      </c>
      <c r="FT231" t="inlineStr">
        <is>
          <t>SFWB-85|</t>
        </is>
      </c>
      <c r="FU231" t="inlineStr">
        <is>
          <t>SFWB-85</t>
        </is>
      </c>
      <c r="FV231">
        <f>VLOOKUP(FU231,FD:FL,9,0)</f>
        <v/>
      </c>
      <c r="FZ231" s="50" t="inlineStr">
        <is>
          <t>MH</t>
        </is>
      </c>
      <c r="GA231" s="39" t="n">
        <v>0</v>
      </c>
      <c r="GB231" s="39" t="n">
        <v>0.04166666666666666</v>
      </c>
      <c r="GC231" s="39" t="n">
        <v>0.08333333333333333</v>
      </c>
      <c r="GD231" s="39" t="n">
        <v>0.125</v>
      </c>
      <c r="GE231" s="39" t="n">
        <v>0.1666666666666667</v>
      </c>
      <c r="GF231" s="39" t="n">
        <v>0.2083333333333333</v>
      </c>
      <c r="GG231" s="39" t="n">
        <v>0.25</v>
      </c>
      <c r="GH231" s="39" t="n">
        <v>0.2916666666666667</v>
      </c>
      <c r="GI231" s="39" t="n">
        <v>0.3333333333333333</v>
      </c>
      <c r="GJ231" s="39" t="n">
        <v>0.375</v>
      </c>
      <c r="GK231" s="39" t="n">
        <v>0.4166666666666667</v>
      </c>
      <c r="GL231" s="39" t="n">
        <v>0.4583333333333333</v>
      </c>
      <c r="GM231" s="39" t="n">
        <v>0.5</v>
      </c>
      <c r="GN231" s="39" t="n">
        <v>0.5416666666666666</v>
      </c>
      <c r="GO231" s="39" t="n">
        <v>0.5833333333333334</v>
      </c>
      <c r="GP231" s="39" t="n">
        <v>0.625</v>
      </c>
      <c r="GQ231" s="39" t="n">
        <v>0.6666666666666666</v>
      </c>
      <c r="GR231" s="39" t="n">
        <v>0.7083333333333334</v>
      </c>
      <c r="GS231" s="39" t="n">
        <v>0.75</v>
      </c>
      <c r="GT231" s="39" t="n">
        <v>0.7916666666666666</v>
      </c>
      <c r="GU231" s="39" t="n">
        <v>0.8333333333333334</v>
      </c>
      <c r="GV231" s="39" t="n">
        <v>0.875</v>
      </c>
      <c r="GW231" s="39" t="n">
        <v>0.9166666666666666</v>
      </c>
      <c r="GX231" s="39" t="n">
        <v>0.9583333333333334</v>
      </c>
      <c r="GY231" s="40" t="n"/>
      <c r="GZ231" s="36" t="n"/>
      <c r="HA231" s="35" t="n">
        <v>1</v>
      </c>
      <c r="HB231" s="35" t="n">
        <v>225</v>
      </c>
      <c r="HC231" s="37" t="n"/>
      <c r="HD231" s="37" t="n"/>
    </row>
    <row r="232" ht="15.5" customHeight="1">
      <c r="A232" s="10">
        <f>HOUR(G232)+1</f>
        <v/>
      </c>
      <c r="B232" s="7" t="n"/>
      <c r="C232" s="7" t="n"/>
      <c r="D232" s="85">
        <f>IFERROR(
IF(AND(OR(Planilla!B232="C",Planilla!B232="c"), VLOOKUP(E232,FD:FP,13,0)="C"), "OK",IF(AND(OR(Planilla!B232="C",Planilla!B232="c"), OR(VLOOKUP(E232,FD:FP,13,0)="B", VLOOKUP(E232,FD:FP,13,0)="A")), "DEFICIT",IF(
AND(OR(Planilla!B232="B", Planilla!B232="BPAL"), VLOOKUP(E232,FD:FP,13,0)="B"), "OK",IF(AND(OR(Planilla!B232="B", Planilla!B232="BPAL"), VLOOKUP(E232,FD:FP,13,0)="A"), "DEFICIT",IF(AND(OR(Planilla!B232="B", Planilla!B232="BPAL"), VLOOKUP(E232,FD:FP,13,0)="C"), "SOBREOFERTA",IF(AND(Planilla!B232="A", VLOOKUP(E232,FD:FP,13,0)="A"), "OK",IF(
AND(Planilla!B232="A", OR(VLOOKUP(E232,FD:FP,13,0)="B", VLOOKUP(E232,FD:FP,13,0)="C")), "SOBREOFERTA",""
))))))),"")</f>
        <v/>
      </c>
      <c r="E232" s="8" t="n"/>
      <c r="F232" s="86" t="n"/>
      <c r="G232" s="87" t="n"/>
      <c r="H232" s="88">
        <f>IF(I232="","",IF(AND((I232-G232)&gt;=TIME(0,0,0),(I232-G232)&lt;TIME(0,3,0)),"OK",IF(AND((I232-G232)&gt;=TIME(0,3,0),(I232-G232)&lt;TIME(0,5,0)),"RETRASO DE 3-5 MIN",IF(AND((I232-G232)&gt;=TIME(0,5,0),(I232-G232)&lt;TIME(0,10,0)),"RETRASO DE 5-10 MIN",IF((I232-G232)&gt;=TIME(0,10,0),"RETRASO &gt;10 MIN", IF(AND((G232-I232)&gt;=TIME(0,0,0),(G232-I232)&lt;TIME(0,3,0)),"OK",IF((G232-I232)&gt;=TIME(0,3,0),"ADELANTADO")))))))</f>
        <v/>
      </c>
      <c r="I232" s="89" t="n"/>
      <c r="J232" s="89">
        <f>IF(A232&lt;&gt;"",HLOOKUP(VALUE(TEXT(G232,"h:mm:ss")),IF($C$6="Laboral",$FZ$4:$GX$227,IF($C$6="Sábado",$FZ$231:$GX$452,$FZ$456:$GX$656)),VLOOKUP($C$4,$HF$2:$HH$99,3,0)+IF(C$5="Ida",0,1),1),"")</f>
        <v/>
      </c>
      <c r="K232" s="89">
        <f>IF(A233&lt;&gt;A232,AVERAGEIF(A$9:A232,A232,J$9:J232),"")</f>
        <v/>
      </c>
      <c r="L232" s="89">
        <f>IFERROR(IF(A233&lt;&gt;A232,AVERAGEIF(A$9:A232,A232,S$9:S232),""),"")</f>
        <v/>
      </c>
      <c r="M232" s="89">
        <f>IFERROR(IF(A233&lt;&gt;A232,AVERAGEIF(A$9:A232,A232,T$9:T232),""),"")</f>
        <v/>
      </c>
      <c r="N232" s="89">
        <f t="array" ref="N232">IFERROR(IF(A233&lt;&gt;A232,_xlfn.STDEV.P(IF(A$9:A232=A232,T$9:T232)),""),"")</f>
        <v/>
      </c>
      <c r="O232" s="89">
        <f t="array" ref="O232">IFERROR(IF(A233&lt;&gt;A232,_xlfn.STDEV.P(IF(A$9:A232=A232,S$9:S232)),""),"")</f>
        <v/>
      </c>
      <c r="P232" s="90">
        <f>IFERROR(IF(A232&lt;&gt;A233,MAX((((M232*24*60)/2)*(1+POWER((((N232*24*60) / (M232*24*60) )),2))) + ((M232*24*60 )*-0.1 + (K232*0.015)) +1,(((M232*24*60)/2)*(1+POWER((((N232*24*60) / (M232*24*60 ))),2)))),""),"")</f>
        <v/>
      </c>
      <c r="Q232" s="90">
        <f>IF(AND(O232&lt;&gt;"",L232&lt;&gt;""),IF(A232&lt;&gt;A233,((L232*24*60) / 2 ) * (1 + POWER(((O232*24*60) / (L232*24*60)),2)),""),"")</f>
        <v/>
      </c>
      <c r="R232" s="90">
        <f>IF(Q232&lt;&gt;"",MAX(P232,Q232),"")</f>
        <v/>
      </c>
      <c r="S232" s="89">
        <f>IF(I232&lt;&gt;"H. Sale Real",IF(AND(I233&lt;&gt;"",LEFT(C233,2)&lt;&gt;"Va"),IF(AND(I232&lt;&gt;"",LEFT(C232,2)&lt;&gt;"Va",I232&lt;&gt;"H. Sale Real"),IF(I233-I232&lt;0.208333333333333,I233-I232,""),IF(AND(I231&lt;&gt;"",LEFT(C231,2)&lt;&gt;"Va",I231&lt;&gt;"H. Sale Real"),IF(I233-I231&lt;0.208333333333333,I233-I231,""),IF(AND(I230&lt;&gt;"",LEFT(C230,2)&lt;&gt;"Va",I230&lt;&gt;"H. Sale Real"),IF(I233-I230&lt;0.208333333333333,I233-I230,""),IF(AND(I229&lt;&gt;"",LEFT(C229,2)&lt;&gt;"Va",I229&lt;&gt;"H. Sale Real"),IF(I233-I229&lt;0.208333333333333,I233-I229,""),IF(AND(I228&lt;&gt;"",LEFT(C228,2)&lt;&gt;"Va",I228&lt;&gt;"H. Sale Real"),IF(I233-I228&lt;0.208333333333333,I233-I228,""),""))))),""),"")</f>
        <v/>
      </c>
      <c r="T232" s="89">
        <f>IF(G232&lt;&gt;"H. Sale Real",IF(AND(G233&lt;&gt;"",LEFT(C233,2)&lt;&gt;"Va"),IF(AND(G232&lt;&gt;"",LEFT(C232,2)&lt;&gt;"Va",G232&lt;&gt;"H. Sale Real"),IF(G233-G232&lt;0.208333333333333,G233-G232,""),IF(AND(G231&lt;&gt;"",LEFT(C231,2)&lt;&gt;"Va",G231&lt;&gt;"H. Sale Real"),IF(G233-G231&lt;0.208333333333333,G233-G231,""),IF(AND(G230&lt;&gt;"",LEFT(C230,2)&lt;&gt;"Va",G230&lt;&gt;"H. Sale Real"),IF(G233-G230&lt;0.208333333333333,G233-G230,""),IF(AND(G229&lt;&gt;"",LEFT(C229,2)&lt;&gt;"Va",G229&lt;&gt;"H. Sale Real"),IF(G233-G229&lt;0.208333333333333,G233-G229,""),IF(AND(G228&lt;&gt;"",LEFT(C228,2)&lt;&gt;"Va",G228&lt;&gt;"H. Sale Real"),IF(G233-G228&lt;0.208333333333333,G233-G228,""),""))))),""),"")</f>
        <v/>
      </c>
      <c r="U232" s="87" t="n"/>
      <c r="V232" s="89" t="n"/>
      <c r="W232" s="87" t="n"/>
      <c r="X232" s="89" t="n"/>
      <c r="Y232" s="91" t="n"/>
      <c r="Z232" s="122">
        <f>IF(G232&lt;&gt;"",IF(AND(Z231&lt;&gt;"IE",P232&lt;&gt;0,R232&lt;&gt;""),IF(IFERROR((P232/R232),0) &lt;=1,IFERROR(P232/R232,""),1),""),"")</f>
        <v/>
      </c>
      <c r="AA232" s="93" t="n"/>
      <c r="AB232" s="2" t="n"/>
      <c r="AE232" s="10">
        <f>HOUR(AK232)+1</f>
        <v/>
      </c>
      <c r="AF232" s="7" t="n"/>
      <c r="AG232" s="7" t="n"/>
      <c r="AH232" s="86" t="n"/>
      <c r="AI232" s="8" t="n"/>
      <c r="AJ232" s="86" t="n"/>
      <c r="AK232" s="87" t="n"/>
      <c r="AL232" s="88">
        <f>IF(AM232="","",IF(AND((AM232-AK232)&gt;=TIME(0,0,0),(AM232-AK232)&lt;TIME(0,3,0)),"OK",IF(AND((AM232-AK232)&gt;=TIME(0,3,0),(AM232-AK232)&lt;TIME(0,5,0)),"RETRASO DE 3-5 MIN",IF(AND((AM232-AK232)&gt;=TIME(0,5,0),(AM232-AK232)&lt;TIME(0,10,0)),"RETRASO DE 5-10 MIN",IF((AM232-AK232)&gt;=TIME(0,10,0),"RETRASO &gt;10 MIN", IF(AND((AK232-AM232)&gt;=TIME(0,0,0),(AK232-AM232)&lt;TIME(0,3,0)),"OK",IF((AK232-AM232)&gt;=TIME(0,3,0),"ADELANTADO")))))))</f>
        <v/>
      </c>
      <c r="AM232" s="91" t="n"/>
      <c r="AN232" s="89">
        <f>IF(AE232&lt;&gt;"",HLOOKUP(VALUE(TEXT(AK232,"h:mm:ss")),IF($C$6="Laboral",$FZ$4:$GX$227,IF($C$6="Sábado",$FZ$231:$GX$452,$FZ$456:$GX$656)),VLOOKUP($C$4,$HF$2:$HH$99,3,0)+IF(AG$5="Ida",0,1),1),"")</f>
        <v/>
      </c>
      <c r="AO232" s="89">
        <f>IF(AE233&lt;&gt;AE232,AVERAGEIF(AE$9:AE232,AE232,AN$9:AN232),"")</f>
        <v/>
      </c>
      <c r="AP232" s="89">
        <f>IFERROR(IF(AE233&lt;&gt;AE232,AVERAGEIF(AE$9:AE232,AE232,AW$9:AW232),""),"")</f>
        <v/>
      </c>
      <c r="AQ232" s="89">
        <f>IFERROR(IF(AE233&lt;&gt;AE232,AVERAGEIF(AE$9:AE232,AE232,AX$9:AX232),""),"")</f>
        <v/>
      </c>
      <c r="AR232" s="89">
        <f t="array" ref="AR232">IFERROR(IF(AE233&lt;&gt;AE232,_xlfn.STDEV.P(IF(AE$9:AE232=AE232,AX$9:AX232)),""),"")</f>
        <v/>
      </c>
      <c r="AS232" s="89">
        <f t="array" ref="AS232">IFERROR(IF(AE233&lt;&gt;AE232,_xlfn.STDEV.P(IF(AE$9:AE232=AE232,AW$9:AW232)),""),"")</f>
        <v/>
      </c>
      <c r="AT232" s="90">
        <f>IFERROR(IF(AE232&lt;&gt;AE233,MAX((((AQ232*24*60)/2)*(1+POWER((((AR232*24*60) / (AQ232*24*60) )),2))) + ((AQ232*24*60 )*-0.1 + (AO232*0.015)) +1,(((AQ232*24*60)/2)*(1+POWER((((AR232*24*60) / (AQ232*24*60 ))),2)))),""),"")</f>
        <v/>
      </c>
      <c r="AU232" s="90">
        <f>IF(AND(AS232&lt;&gt;"",AP232&lt;&gt;""),IF(AE232&lt;&gt;AE233,((AP232*24*60) / 2 ) * (1 + POWER(((AS232*24*60) / (AP232*24*60)),2)),""),"")</f>
        <v/>
      </c>
      <c r="AV232" s="90">
        <f>IF(AU232&lt;&gt;"",MAX(AT232,AU232),"")</f>
        <v/>
      </c>
      <c r="AW232" s="89">
        <f>IF(AM232&lt;&gt;"H. Sale Real",IF(AND(AM233&lt;&gt;"",LEFT(AG233,2)&lt;&gt;"Va"),IF(AND(AM232&lt;&gt;"",LEFT(AG232,2)&lt;&gt;"Va",AM232&lt;&gt;"H. Sale Real"),IF(AM233-AM232&lt;0.208333333333333,AM233-AM232,""),IF(AND(AM231&lt;&gt;"",LEFT(AG231,2)&lt;&gt;"Va",AM231&lt;&gt;"H. Sale Real"),IF(AM233-AM231&lt;0.208333333333333,AM233-AM231,""),IF(AND(AM230&lt;&gt;"",LEFT(AG230,2)&lt;&gt;"Va",AM230&lt;&gt;"H. Sale Real"),IF(AM233-AM230&lt;0.208333333333333,AM233-AM230,""),IF(AND(AM229&lt;&gt;"",LEFT(AG229,2)&lt;&gt;"Va",AM229&lt;&gt;"H. Sale Real"),IF(AM233-AM229&lt;0.208333333333333,AM233-AM229,""),IF(AND(AM228&lt;&gt;"",LEFT(AG228,2)&lt;&gt;"Va",AM228&lt;&gt;"H. Sale Real"),IF(AM233-AM228&lt;0.208333333333333,AM233-AM228,""),""))))),""),"")</f>
        <v/>
      </c>
      <c r="AX232" s="89">
        <f>IF(AK232&lt;&gt;"H. Sale Real",IF(AND(AK233&lt;&gt;"",LEFT(AG233,2)&lt;&gt;"Va"),IF(AND(AK232&lt;&gt;"",LEFT(AG232,2)&lt;&gt;"Va",AK232&lt;&gt;"H. Sale Real"),IF(AK233-AK232&lt;0.208333333333333,AK233-AK232,""),IF(AND(AK231&lt;&gt;"",LEFT(AG231,2)&lt;&gt;"Va",AK231&lt;&gt;"H. Sale Real"),IF(AK233-AK231&lt;0.208333333333333,AK233-AK231,""),IF(AND(AK230&lt;&gt;"",LEFT(AG230,2)&lt;&gt;"NC",AK230&lt;&gt;"H. Sale Real"),IF(AK233-AK230&lt;0.208333333333333,AK233-AK230,""),IF(AND(AK229&lt;&gt;"",LEFT(AG229,2)&lt;&gt;"Va",AK229&lt;&gt;"H. Sale Real"),IF(AK233-AK229&lt;0.208333333333333,AK233-AK229,""),IF(AND(AK228&lt;&gt;"",LEFT(AG228,2)&lt;&gt;"Va",AK228&lt;&gt;"H. Sale Real"),IF(AK233-AK228&lt;0.208333333333333,AK233-AK228,""),""))))),""),"")</f>
        <v/>
      </c>
      <c r="AY232" s="87" t="n"/>
      <c r="AZ232" s="89" t="n"/>
      <c r="BA232" s="87" t="n"/>
      <c r="BB232" s="89" t="n"/>
      <c r="BC232" s="91" t="n"/>
      <c r="BD232" s="122">
        <f>IF(AK232&lt;&gt;"",IF(AND(BD231&lt;&gt;"IE",AT232&lt;&gt;0,AV232&lt;&gt;""),IF(IFERROR((AT232/AV232),0) &lt;=1,IFERROR(AT232/AV232,""),1),""),"")</f>
        <v/>
      </c>
      <c r="BE232" s="93" t="n"/>
      <c r="BF232" s="105" t="n"/>
      <c r="FC232" t="inlineStr">
        <is>
          <t>Diccionario 1</t>
        </is>
      </c>
      <c r="FD232" s="15" t="n">
        <v>1209</v>
      </c>
      <c r="FE232" s="15" t="inlineStr">
        <is>
          <t>YV3T7U521NA207932</t>
        </is>
      </c>
      <c r="FF232" s="15" t="n">
        <v>551682</v>
      </c>
      <c r="FG232" s="15" t="inlineStr">
        <is>
          <t>Volvo</t>
        </is>
      </c>
      <c r="FH232" s="15" t="inlineStr">
        <is>
          <t>B8RLEA</t>
        </is>
      </c>
      <c r="FI232" s="15" t="inlineStr">
        <is>
          <t>MARCOPOLO</t>
        </is>
      </c>
      <c r="FJ232" s="15" t="inlineStr">
        <is>
          <t>GRAN VIALE</t>
        </is>
      </c>
      <c r="FK232" s="15" t="n">
        <v>2022</v>
      </c>
      <c r="FL232" s="15" t="inlineStr">
        <is>
          <t>C</t>
        </is>
      </c>
      <c r="FM232" s="15" t="inlineStr">
        <is>
          <t>PIE ANDINO</t>
        </is>
      </c>
      <c r="FN232" s="15" t="inlineStr">
        <is>
          <t>Pie Andino 31 (Pie Andino 383)</t>
        </is>
      </c>
      <c r="FO232" s="15" t="inlineStr">
        <is>
          <t>Puente Alto</t>
        </is>
      </c>
      <c r="FP232" t="inlineStr">
        <is>
          <t>C</t>
        </is>
      </c>
      <c r="FS232" s="14" t="inlineStr">
        <is>
          <t>3058 / SFWB-85|</t>
        </is>
      </c>
      <c r="FT232" t="inlineStr">
        <is>
          <t>SFWB-85|</t>
        </is>
      </c>
      <c r="FU232" t="inlineStr">
        <is>
          <t>SFWB-85</t>
        </is>
      </c>
      <c r="FV232">
        <f>VLOOKUP(FU232,FD:FL,9,0)</f>
        <v/>
      </c>
      <c r="FZ232" s="50" t="inlineStr">
        <is>
          <t>LP</t>
        </is>
      </c>
      <c r="GA232" s="41" t="n">
        <v>1</v>
      </c>
      <c r="GB232" s="41" t="n">
        <v>1</v>
      </c>
      <c r="GC232" s="41" t="n">
        <v>1</v>
      </c>
      <c r="GD232" s="41" t="n">
        <v>1</v>
      </c>
      <c r="GE232" s="41" t="n">
        <v>1</v>
      </c>
      <c r="GF232" s="41" t="n">
        <v>1</v>
      </c>
      <c r="GG232" s="41" t="n">
        <v>1</v>
      </c>
      <c r="GH232" s="41" t="n">
        <v>1</v>
      </c>
      <c r="GI232" s="41" t="n">
        <v>1</v>
      </c>
      <c r="GJ232" s="41" t="n">
        <v>1</v>
      </c>
      <c r="GK232" s="41" t="n">
        <v>1</v>
      </c>
      <c r="GL232" s="41" t="n">
        <v>1</v>
      </c>
      <c r="GM232" s="41" t="n">
        <v>1</v>
      </c>
      <c r="GN232" s="41" t="n">
        <v>1</v>
      </c>
      <c r="GO232" s="41" t="n">
        <v>1</v>
      </c>
      <c r="GP232" s="41" t="n">
        <v>1</v>
      </c>
      <c r="GQ232" s="41" t="n">
        <v>1</v>
      </c>
      <c r="GR232" s="41" t="n">
        <v>1</v>
      </c>
      <c r="GS232" s="41" t="n">
        <v>1</v>
      </c>
      <c r="GT232" s="41" t="n">
        <v>1</v>
      </c>
      <c r="GU232" s="41" t="n">
        <v>1</v>
      </c>
      <c r="GV232" s="41" t="n">
        <v>1</v>
      </c>
      <c r="GW232" s="41" t="n">
        <v>1</v>
      </c>
      <c r="GX232" s="41" t="n">
        <v>1</v>
      </c>
      <c r="GY232" s="37" t="n"/>
      <c r="GZ232" s="41" t="n"/>
      <c r="HA232" s="35" t="n">
        <v>2</v>
      </c>
      <c r="HB232" s="35" t="n">
        <v>226</v>
      </c>
      <c r="HC232" s="37" t="n"/>
      <c r="HD232" s="37" t="n"/>
    </row>
    <row r="233" ht="15.5" customHeight="1">
      <c r="A233" s="10">
        <f>HOUR(G233)+1</f>
        <v/>
      </c>
      <c r="B233" s="7" t="n"/>
      <c r="C233" s="7" t="n"/>
      <c r="D233" s="85">
        <f>IFERROR(
IF(AND(OR(Planilla!B233="C",Planilla!B233="c"), VLOOKUP(E233,FD:FP,13,0)="C"), "OK",IF(AND(OR(Planilla!B233="C",Planilla!B233="c"), OR(VLOOKUP(E233,FD:FP,13,0)="B", VLOOKUP(E233,FD:FP,13,0)="A")), "DEFICIT",IF(
AND(OR(Planilla!B233="B", Planilla!B233="BPAL"), VLOOKUP(E233,FD:FP,13,0)="B"), "OK",IF(AND(OR(Planilla!B233="B", Planilla!B233="BPAL"), VLOOKUP(E233,FD:FP,13,0)="A"), "DEFICIT",IF(AND(OR(Planilla!B233="B", Planilla!B233="BPAL"), VLOOKUP(E233,FD:FP,13,0)="C"), "SOBREOFERTA",IF(AND(Planilla!B233="A", VLOOKUP(E233,FD:FP,13,0)="A"), "OK",IF(
AND(Planilla!B233="A", OR(VLOOKUP(E233,FD:FP,13,0)="B", VLOOKUP(E233,FD:FP,13,0)="C")), "SOBREOFERTA",""
))))))),"")</f>
        <v/>
      </c>
      <c r="E233" s="8" t="n"/>
      <c r="F233" s="86" t="n"/>
      <c r="G233" s="87" t="n"/>
      <c r="H233" s="88">
        <f>IF(I233="","",IF(AND((I233-G233)&gt;=TIME(0,0,0),(I233-G233)&lt;TIME(0,3,0)),"OK",IF(AND((I233-G233)&gt;=TIME(0,3,0),(I233-G233)&lt;TIME(0,5,0)),"RETRASO DE 3-5 MIN",IF(AND((I233-G233)&gt;=TIME(0,5,0),(I233-G233)&lt;TIME(0,10,0)),"RETRASO DE 5-10 MIN",IF((I233-G233)&gt;=TIME(0,10,0),"RETRASO &gt;10 MIN", IF(AND((G233-I233)&gt;=TIME(0,0,0),(G233-I233)&lt;TIME(0,3,0)),"OK",IF((G233-I233)&gt;=TIME(0,3,0),"ADELANTADO")))))))</f>
        <v/>
      </c>
      <c r="I233" s="89" t="n"/>
      <c r="J233" s="89">
        <f>IF(A233&lt;&gt;"",HLOOKUP(VALUE(TEXT(G233,"h:mm:ss")),IF($C$6="Laboral",$FZ$4:$GX$227,IF($C$6="Sábado",$FZ$231:$GX$452,$FZ$456:$GX$656)),VLOOKUP($C$4,$HF$2:$HH$99,3,0)+IF(C$5="Ida",0,1),1),"")</f>
        <v/>
      </c>
      <c r="K233" s="89">
        <f>IF(A234&lt;&gt;A233,AVERAGEIF(A$9:A233,A233,J$9:J233),"")</f>
        <v/>
      </c>
      <c r="L233" s="89">
        <f>IFERROR(IF(A234&lt;&gt;A233,AVERAGEIF(A$9:A233,A233,S$9:S233),""),"")</f>
        <v/>
      </c>
      <c r="M233" s="89">
        <f>IFERROR(IF(A234&lt;&gt;A233,AVERAGEIF(A$9:A233,A233,T$9:T233),""),"")</f>
        <v/>
      </c>
      <c r="N233" s="89">
        <f t="array" ref="N233">IFERROR(IF(A234&lt;&gt;A233,_xlfn.STDEV.P(IF(A$9:A233=A233,T$9:T233)),""),"")</f>
        <v/>
      </c>
      <c r="O233" s="89">
        <f t="array" ref="O233">IFERROR(IF(A234&lt;&gt;A233,_xlfn.STDEV.P(IF(A$9:A233=A233,S$9:S233)),""),"")</f>
        <v/>
      </c>
      <c r="P233" s="90">
        <f>IFERROR(IF(A233&lt;&gt;A234,MAX((((M233*24*60)/2)*(1+POWER((((N233*24*60) / (M233*24*60) )),2))) + ((M233*24*60 )*-0.1 + (K233*0.015)) +1,(((M233*24*60)/2)*(1+POWER((((N233*24*60) / (M233*24*60 ))),2)))),""),"")</f>
        <v/>
      </c>
      <c r="Q233" s="90">
        <f>IF(AND(O233&lt;&gt;"",L233&lt;&gt;""),IF(A233&lt;&gt;A234,((L233*24*60) / 2 ) * (1 + POWER(((O233*24*60) / (L233*24*60)),2)),""),"")</f>
        <v/>
      </c>
      <c r="R233" s="90">
        <f>IF(Q233&lt;&gt;"",MAX(P233,Q233),"")</f>
        <v/>
      </c>
      <c r="S233" s="89">
        <f>IF(I233&lt;&gt;"H. Sale Real",IF(AND(I234&lt;&gt;"",LEFT(C234,2)&lt;&gt;"Va"),IF(AND(I233&lt;&gt;"",LEFT(C233,2)&lt;&gt;"Va",I233&lt;&gt;"H. Sale Real"),IF(I234-I233&lt;0.208333333333333,I234-I233,""),IF(AND(I232&lt;&gt;"",LEFT(C232,2)&lt;&gt;"Va",I232&lt;&gt;"H. Sale Real"),IF(I234-I232&lt;0.208333333333333,I234-I232,""),IF(AND(I231&lt;&gt;"",LEFT(C231,2)&lt;&gt;"Va",I231&lt;&gt;"H. Sale Real"),IF(I234-I231&lt;0.208333333333333,I234-I231,""),IF(AND(I230&lt;&gt;"",LEFT(C230,2)&lt;&gt;"Va",I230&lt;&gt;"H. Sale Real"),IF(I234-I230&lt;0.208333333333333,I234-I230,""),IF(AND(I229&lt;&gt;"",LEFT(C229,2)&lt;&gt;"Va",I229&lt;&gt;"H. Sale Real"),IF(I234-I229&lt;0.208333333333333,I234-I229,""),""))))),""),"")</f>
        <v/>
      </c>
      <c r="T233" s="89">
        <f>IF(G233&lt;&gt;"H. Sale Real",IF(AND(G234&lt;&gt;"",LEFT(C234,2)&lt;&gt;"Va"),IF(AND(G233&lt;&gt;"",LEFT(C233,2)&lt;&gt;"Va",G233&lt;&gt;"H. Sale Real"),IF(G234-G233&lt;0.208333333333333,G234-G233,""),IF(AND(G232&lt;&gt;"",LEFT(C232,2)&lt;&gt;"Va",G232&lt;&gt;"H. Sale Real"),IF(G234-G232&lt;0.208333333333333,G234-G232,""),IF(AND(G231&lt;&gt;"",LEFT(C231,2)&lt;&gt;"Va",G231&lt;&gt;"H. Sale Real"),IF(G234-G231&lt;0.208333333333333,G234-G231,""),IF(AND(G230&lt;&gt;"",LEFT(C230,2)&lt;&gt;"Va",G230&lt;&gt;"H. Sale Real"),IF(G234-G230&lt;0.208333333333333,G234-G230,""),IF(AND(G229&lt;&gt;"",LEFT(C229,2)&lt;&gt;"Va",G229&lt;&gt;"H. Sale Real"),IF(G234-G229&lt;0.208333333333333,G234-G229,""),""))))),""),"")</f>
        <v/>
      </c>
      <c r="U233" s="87" t="n"/>
      <c r="V233" s="89" t="n"/>
      <c r="W233" s="87" t="n"/>
      <c r="X233" s="89" t="n"/>
      <c r="Y233" s="91" t="n"/>
      <c r="Z233" s="122">
        <f>IF(G233&lt;&gt;"",IF(AND(Z232&lt;&gt;"IE",P233&lt;&gt;0,R233&lt;&gt;""),IF(IFERROR((P233/R233),0) &lt;=1,IFERROR(P233/R233,""),1),""),"")</f>
        <v/>
      </c>
      <c r="AA233" s="93" t="n"/>
      <c r="AB233" s="2" t="n"/>
      <c r="AE233" s="10">
        <f>HOUR(AK233)+1</f>
        <v/>
      </c>
      <c r="AF233" s="7" t="n"/>
      <c r="AG233" s="7" t="n"/>
      <c r="AH233" s="86" t="n"/>
      <c r="AI233" s="8" t="n"/>
      <c r="AJ233" s="86" t="n"/>
      <c r="AK233" s="87" t="n"/>
      <c r="AL233" s="88">
        <f>IF(AM233="","",IF(AND((AM233-AK233)&gt;=TIME(0,0,0),(AM233-AK233)&lt;TIME(0,3,0)),"OK",IF(AND((AM233-AK233)&gt;=TIME(0,3,0),(AM233-AK233)&lt;TIME(0,5,0)),"RETRASO DE 3-5 MIN",IF(AND((AM233-AK233)&gt;=TIME(0,5,0),(AM233-AK233)&lt;TIME(0,10,0)),"RETRASO DE 5-10 MIN",IF((AM233-AK233)&gt;=TIME(0,10,0),"RETRASO &gt;10 MIN", IF(AND((AK233-AM233)&gt;=TIME(0,0,0),(AK233-AM233)&lt;TIME(0,3,0)),"OK",IF((AK233-AM233)&gt;=TIME(0,3,0),"ADELANTADO")))))))</f>
        <v/>
      </c>
      <c r="AM233" s="91" t="n"/>
      <c r="AN233" s="89">
        <f>IF(AE233&lt;&gt;"",HLOOKUP(VALUE(TEXT(AK233,"h:mm:ss")),IF($C$6="Laboral",$FZ$4:$GX$227,IF($C$6="Sábado",$FZ$231:$GX$452,$FZ$456:$GX$656)),VLOOKUP($C$4,$HF$2:$HH$99,3,0)+IF(AG$5="Ida",0,1),1),"")</f>
        <v/>
      </c>
      <c r="AO233" s="89">
        <f>IF(AE234&lt;&gt;AE233,AVERAGEIF(AE$9:AE233,AE233,AN$9:AN233),"")</f>
        <v/>
      </c>
      <c r="AP233" s="89">
        <f>IFERROR(IF(AE234&lt;&gt;AE233,AVERAGEIF(AE$9:AE233,AE233,AW$9:AW233),""),"")</f>
        <v/>
      </c>
      <c r="AQ233" s="89">
        <f>IFERROR(IF(AE234&lt;&gt;AE233,AVERAGEIF(AE$9:AE233,AE233,AX$9:AX233),""),"")</f>
        <v/>
      </c>
      <c r="AR233" s="89">
        <f t="array" ref="AR233">IFERROR(IF(AE234&lt;&gt;AE233,_xlfn.STDEV.P(IF(AE$9:AE233=AE233,AX$9:AX233)),""),"")</f>
        <v/>
      </c>
      <c r="AS233" s="89">
        <f t="array" ref="AS233">IFERROR(IF(AE234&lt;&gt;AE233,_xlfn.STDEV.P(IF(AE$9:AE233=AE233,AW$9:AW233)),""),"")</f>
        <v/>
      </c>
      <c r="AT233" s="90">
        <f>IFERROR(IF(AE233&lt;&gt;AE234,MAX((((AQ233*24*60)/2)*(1+POWER((((AR233*24*60) / (AQ233*24*60) )),2))) + ((AQ233*24*60 )*-0.1 + (AO233*0.015)) +1,(((AQ233*24*60)/2)*(1+POWER((((AR233*24*60) / (AQ233*24*60 ))),2)))),""),"")</f>
        <v/>
      </c>
      <c r="AU233" s="90">
        <f>IF(AND(AS233&lt;&gt;"",AP233&lt;&gt;""),IF(AE233&lt;&gt;AE234,((AP233*24*60) / 2 ) * (1 + POWER(((AS233*24*60) / (AP233*24*60)),2)),""),"")</f>
        <v/>
      </c>
      <c r="AV233" s="90">
        <f>IF(AU233&lt;&gt;"",MAX(AT233,AU233),"")</f>
        <v/>
      </c>
      <c r="AW233" s="89">
        <f>IF(AM233&lt;&gt;"H. Sale Real",IF(AND(AM234&lt;&gt;"",LEFT(AG234,2)&lt;&gt;"Va"),IF(AND(AM233&lt;&gt;"",LEFT(AG233,2)&lt;&gt;"Va",AM233&lt;&gt;"H. Sale Real"),IF(AM234-AM233&lt;0.208333333333333,AM234-AM233,""),IF(AND(AM232&lt;&gt;"",LEFT(AG232,2)&lt;&gt;"Va",AM232&lt;&gt;"H. Sale Real"),IF(AM234-AM232&lt;0.208333333333333,AM234-AM232,""),IF(AND(AM231&lt;&gt;"",LEFT(AG231,2)&lt;&gt;"Va",AM231&lt;&gt;"H. Sale Real"),IF(AM234-AM231&lt;0.208333333333333,AM234-AM231,""),IF(AND(AM230&lt;&gt;"",LEFT(AG230,2)&lt;&gt;"Va",AM230&lt;&gt;"H. Sale Real"),IF(AM234-AM230&lt;0.208333333333333,AM234-AM230,""),IF(AND(AM229&lt;&gt;"",LEFT(AG229,2)&lt;&gt;"Va",AM229&lt;&gt;"H. Sale Real"),IF(AM234-AM229&lt;0.208333333333333,AM234-AM229,""),""))))),""),"")</f>
        <v/>
      </c>
      <c r="AX233" s="89">
        <f>IF(AK233&lt;&gt;"H. Sale Real",IF(AND(AK234&lt;&gt;"",LEFT(AG234,2)&lt;&gt;"Va"),IF(AND(AK233&lt;&gt;"",LEFT(AG233,2)&lt;&gt;"Va",AK233&lt;&gt;"H. Sale Real"),IF(AK234-AK233&lt;0.208333333333333,AK234-AK233,""),IF(AND(AK232&lt;&gt;"",LEFT(AG232,2)&lt;&gt;"Va",AK232&lt;&gt;"H. Sale Real"),IF(AK234-AK232&lt;0.208333333333333,AK234-AK232,""),IF(AND(AK231&lt;&gt;"",LEFT(AG231,2)&lt;&gt;"NC",AK231&lt;&gt;"H. Sale Real"),IF(AK234-AK231&lt;0.208333333333333,AK234-AK231,""),IF(AND(AK230&lt;&gt;"",LEFT(AG230,2)&lt;&gt;"Va",AK230&lt;&gt;"H. Sale Real"),IF(AK234-AK230&lt;0.208333333333333,AK234-AK230,""),IF(AND(AK229&lt;&gt;"",LEFT(AG229,2)&lt;&gt;"Va",AK229&lt;&gt;"H. Sale Real"),IF(AK234-AK229&lt;0.208333333333333,AK234-AK229,""),""))))),""),"")</f>
        <v/>
      </c>
      <c r="AY233" s="87" t="n"/>
      <c r="AZ233" s="89" t="n"/>
      <c r="BA233" s="87" t="n"/>
      <c r="BB233" s="89" t="n"/>
      <c r="BC233" s="91" t="n"/>
      <c r="BD233" s="122">
        <f>IF(AK233&lt;&gt;"",IF(AND(BD232&lt;&gt;"IE",AT233&lt;&gt;0,AV233&lt;&gt;""),IF(IFERROR((AT233/AV233),0) &lt;=1,IFERROR(AT233/AV233,""),1),""),"")</f>
        <v/>
      </c>
      <c r="BE233" s="93" t="n"/>
      <c r="BF233" s="105" t="n"/>
      <c r="FC233" t="inlineStr">
        <is>
          <t>Diccionario 1</t>
        </is>
      </c>
      <c r="FD233" s="15" t="n">
        <v>1210</v>
      </c>
      <c r="FE233" s="15" t="inlineStr">
        <is>
          <t>YV3T7U52XNA207931</t>
        </is>
      </c>
      <c r="FF233" s="15" t="n">
        <v>551698</v>
      </c>
      <c r="FG233" s="15" t="inlineStr">
        <is>
          <t>Volvo</t>
        </is>
      </c>
      <c r="FH233" s="15" t="inlineStr">
        <is>
          <t>B8RLEA</t>
        </is>
      </c>
      <c r="FI233" s="15" t="inlineStr">
        <is>
          <t>MARCOPOLO</t>
        </is>
      </c>
      <c r="FJ233" s="15" t="inlineStr">
        <is>
          <t>GRAN VIALE</t>
        </is>
      </c>
      <c r="FK233" s="15" t="n">
        <v>2022</v>
      </c>
      <c r="FL233" s="15" t="inlineStr">
        <is>
          <t>C</t>
        </is>
      </c>
      <c r="FM233" s="15" t="inlineStr">
        <is>
          <t>PIE ANDINO</t>
        </is>
      </c>
      <c r="FN233" s="15" t="inlineStr">
        <is>
          <t>Pie Andino 31 (Pie Andino 383)</t>
        </is>
      </c>
      <c r="FO233" s="15" t="inlineStr">
        <is>
          <t>Puente Alto</t>
        </is>
      </c>
      <c r="FP233" t="inlineStr">
        <is>
          <t>C</t>
        </is>
      </c>
      <c r="FS233" s="14" t="inlineStr">
        <is>
          <t>3060 / SFWB-14|</t>
        </is>
      </c>
      <c r="FT233" t="inlineStr">
        <is>
          <t>SFWB-14|</t>
        </is>
      </c>
      <c r="FU233" t="inlineStr">
        <is>
          <t>SFWB-14</t>
        </is>
      </c>
      <c r="FV233">
        <f>VLOOKUP(FU233,FD:FL,9,0)</f>
        <v/>
      </c>
      <c r="FZ233" s="51" t="inlineStr">
        <is>
          <t>B01</t>
        </is>
      </c>
      <c r="GA233" s="117" t="n">
        <v>27.905</v>
      </c>
      <c r="GB233" s="117" t="n">
        <v>0</v>
      </c>
      <c r="GC233" s="117" t="n">
        <v>0</v>
      </c>
      <c r="GD233" s="117" t="n">
        <v>0</v>
      </c>
      <c r="GE233" s="117" t="n">
        <v>0</v>
      </c>
      <c r="GF233" s="117" t="n">
        <v>10.39</v>
      </c>
      <c r="GG233" s="117" t="n">
        <v>20.38</v>
      </c>
      <c r="GH233" s="117" t="n">
        <v>19.195</v>
      </c>
      <c r="GI233" s="117" t="n">
        <v>18.46</v>
      </c>
      <c r="GJ233" s="117" t="n">
        <v>17.695</v>
      </c>
      <c r="GK233" s="117" t="n">
        <v>17.005</v>
      </c>
      <c r="GL233" s="117" t="n">
        <v>16.515</v>
      </c>
      <c r="GM233" s="117" t="n">
        <v>15.72</v>
      </c>
      <c r="GN233" s="117" t="n">
        <v>15.7</v>
      </c>
      <c r="GO233" s="117" t="n">
        <v>16.16</v>
      </c>
      <c r="GP233" s="117" t="n">
        <v>16.31</v>
      </c>
      <c r="GQ233" s="117" t="n">
        <v>15.59</v>
      </c>
      <c r="GR233" s="117" t="n">
        <v>15.01</v>
      </c>
      <c r="GS233" s="117" t="n">
        <v>15.045</v>
      </c>
      <c r="GT233" s="117" t="n">
        <v>16.06</v>
      </c>
      <c r="GU233" s="117" t="n">
        <v>16.925</v>
      </c>
      <c r="GV233" s="117" t="n">
        <v>18.365</v>
      </c>
      <c r="GW233" s="117" t="n">
        <v>19.815</v>
      </c>
      <c r="GX233" s="117" t="n">
        <v>22.985</v>
      </c>
      <c r="HA233" s="35" t="n">
        <v>3</v>
      </c>
      <c r="HB233" s="35" t="n">
        <v>227</v>
      </c>
    </row>
    <row r="234" ht="15.5" customHeight="1">
      <c r="A234" s="10">
        <f>HOUR(G234)+1</f>
        <v/>
      </c>
      <c r="B234" s="7" t="n"/>
      <c r="C234" s="7" t="n"/>
      <c r="D234" s="85">
        <f>IFERROR(
IF(AND(OR(Planilla!B234="C",Planilla!B234="c"), VLOOKUP(E234,FD:FP,13,0)="C"), "OK",IF(AND(OR(Planilla!B234="C",Planilla!B234="c"), OR(VLOOKUP(E234,FD:FP,13,0)="B", VLOOKUP(E234,FD:FP,13,0)="A")), "DEFICIT",IF(
AND(OR(Planilla!B234="B", Planilla!B234="BPAL"), VLOOKUP(E234,FD:FP,13,0)="B"), "OK",IF(AND(OR(Planilla!B234="B", Planilla!B234="BPAL"), VLOOKUP(E234,FD:FP,13,0)="A"), "DEFICIT",IF(AND(OR(Planilla!B234="B", Planilla!B234="BPAL"), VLOOKUP(E234,FD:FP,13,0)="C"), "SOBREOFERTA",IF(AND(Planilla!B234="A", VLOOKUP(E234,FD:FP,13,0)="A"), "OK",IF(
AND(Planilla!B234="A", OR(VLOOKUP(E234,FD:FP,13,0)="B", VLOOKUP(E234,FD:FP,13,0)="C")), "SOBREOFERTA",""
))))))),"")</f>
        <v/>
      </c>
      <c r="E234" s="8" t="n"/>
      <c r="F234" s="86" t="n"/>
      <c r="G234" s="87" t="n"/>
      <c r="H234" s="88">
        <f>IF(I234="","",IF(AND((I234-G234)&gt;=TIME(0,0,0),(I234-G234)&lt;TIME(0,3,0)),"OK",IF(AND((I234-G234)&gt;=TIME(0,3,0),(I234-G234)&lt;TIME(0,5,0)),"RETRASO DE 3-5 MIN",IF(AND((I234-G234)&gt;=TIME(0,5,0),(I234-G234)&lt;TIME(0,10,0)),"RETRASO DE 5-10 MIN",IF((I234-G234)&gt;=TIME(0,10,0),"RETRASO &gt;10 MIN", IF(AND((G234-I234)&gt;=TIME(0,0,0),(G234-I234)&lt;TIME(0,3,0)),"OK",IF((G234-I234)&gt;=TIME(0,3,0),"ADELANTADO")))))))</f>
        <v/>
      </c>
      <c r="I234" s="89" t="n"/>
      <c r="J234" s="89">
        <f>IF(A234&lt;&gt;"",HLOOKUP(VALUE(TEXT(G234,"h:mm:ss")),IF($C$6="Laboral",$FZ$4:$GX$227,IF($C$6="Sábado",$FZ$231:$GX$452,$FZ$456:$GX$656)),VLOOKUP($C$4,$HF$2:$HH$99,3,0)+IF(C$5="Ida",0,1),1),"")</f>
        <v/>
      </c>
      <c r="K234" s="89">
        <f>IF(A235&lt;&gt;A234,AVERAGEIF(A$9:A234,A234,J$9:J234),"")</f>
        <v/>
      </c>
      <c r="L234" s="89">
        <f>IFERROR(IF(A235&lt;&gt;A234,AVERAGEIF(A$9:A234,A234,S$9:S234),""),"")</f>
        <v/>
      </c>
      <c r="M234" s="89">
        <f>IFERROR(IF(A235&lt;&gt;A234,AVERAGEIF(A$9:A234,A234,T$9:T234),""),"")</f>
        <v/>
      </c>
      <c r="N234" s="89">
        <f t="array" ref="N234">IFERROR(IF(A235&lt;&gt;A234,_xlfn.STDEV.P(IF(A$9:A234=A234,T$9:T234)),""),"")</f>
        <v/>
      </c>
      <c r="O234" s="89">
        <f t="array" ref="O234">IFERROR(IF(A235&lt;&gt;A234,_xlfn.STDEV.P(IF(A$9:A234=A234,S$9:S234)),""),"")</f>
        <v/>
      </c>
      <c r="P234" s="90">
        <f>IFERROR(IF(A234&lt;&gt;A235,MAX((((M234*24*60)/2)*(1+POWER((((N234*24*60) / (M234*24*60) )),2))) + ((M234*24*60 )*-0.1 + (K234*0.015)) +1,(((M234*24*60)/2)*(1+POWER((((N234*24*60) / (M234*24*60 ))),2)))),""),"")</f>
        <v/>
      </c>
      <c r="Q234" s="90">
        <f>IF(AND(O234&lt;&gt;"",L234&lt;&gt;""),IF(A234&lt;&gt;A235,((L234*24*60) / 2 ) * (1 + POWER(((O234*24*60) / (L234*24*60)),2)),""),"")</f>
        <v/>
      </c>
      <c r="R234" s="90">
        <f>IF(Q234&lt;&gt;"",MAX(P234,Q234),"")</f>
        <v/>
      </c>
      <c r="S234" s="89">
        <f>IF(I234&lt;&gt;"H. Sale Real",IF(AND(I235&lt;&gt;"",LEFT(C235,2)&lt;&gt;"Va"),IF(AND(I234&lt;&gt;"",LEFT(C234,2)&lt;&gt;"Va",I234&lt;&gt;"H. Sale Real"),IF(I235-I234&lt;0.208333333333333,I235-I234,""),IF(AND(I233&lt;&gt;"",LEFT(C233,2)&lt;&gt;"Va",I233&lt;&gt;"H. Sale Real"),IF(I235-I233&lt;0.208333333333333,I235-I233,""),IF(AND(I232&lt;&gt;"",LEFT(C232,2)&lt;&gt;"Va",I232&lt;&gt;"H. Sale Real"),IF(I235-I232&lt;0.208333333333333,I235-I232,""),IF(AND(I231&lt;&gt;"",LEFT(C231,2)&lt;&gt;"Va",I231&lt;&gt;"H. Sale Real"),IF(I235-I231&lt;0.208333333333333,I235-I231,""),IF(AND(I230&lt;&gt;"",LEFT(C230,2)&lt;&gt;"Va",I230&lt;&gt;"H. Sale Real"),IF(I235-I230&lt;0.208333333333333,I235-I230,""),""))))),""),"")</f>
        <v/>
      </c>
      <c r="T234" s="89">
        <f>IF(G234&lt;&gt;"H. Sale Real",IF(AND(G235&lt;&gt;"",LEFT(C235,2)&lt;&gt;"Va"),IF(AND(G234&lt;&gt;"",LEFT(C234,2)&lt;&gt;"Va",G234&lt;&gt;"H. Sale Real"),IF(G235-G234&lt;0.208333333333333,G235-G234,""),IF(AND(G233&lt;&gt;"",LEFT(C233,2)&lt;&gt;"Va",G233&lt;&gt;"H. Sale Real"),IF(G235-G233&lt;0.208333333333333,G235-G233,""),IF(AND(G232&lt;&gt;"",LEFT(C232,2)&lt;&gt;"Va",G232&lt;&gt;"H. Sale Real"),IF(G235-G232&lt;0.208333333333333,G235-G232,""),IF(AND(G231&lt;&gt;"",LEFT(C231,2)&lt;&gt;"Va",G231&lt;&gt;"H. Sale Real"),IF(G235-G231&lt;0.208333333333333,G235-G231,""),IF(AND(G230&lt;&gt;"",LEFT(C230,2)&lt;&gt;"Va",G230&lt;&gt;"H. Sale Real"),IF(G235-G230&lt;0.208333333333333,G235-G230,""),""))))),""),"")</f>
        <v/>
      </c>
      <c r="U234" s="87" t="n"/>
      <c r="V234" s="89" t="n"/>
      <c r="W234" s="87" t="n"/>
      <c r="X234" s="89" t="n"/>
      <c r="Y234" s="91" t="n"/>
      <c r="Z234" s="122">
        <f>IF(G234&lt;&gt;"",IF(AND(Z233&lt;&gt;"IE",P234&lt;&gt;0,R234&lt;&gt;""),IF(IFERROR((P234/R234),0) &lt;=1,IFERROR(P234/R234,""),1),""),"")</f>
        <v/>
      </c>
      <c r="AA234" s="93" t="n"/>
      <c r="AB234" s="2" t="n"/>
      <c r="AE234" s="10">
        <f>HOUR(AK234)+1</f>
        <v/>
      </c>
      <c r="AF234" s="7" t="n"/>
      <c r="AG234" s="7" t="n"/>
      <c r="AH234" s="86" t="n"/>
      <c r="AI234" s="8" t="n"/>
      <c r="AJ234" s="86" t="n"/>
      <c r="AK234" s="87" t="n"/>
      <c r="AL234" s="88">
        <f>IF(AM234="","",IF(AND((AM234-AK234)&gt;=TIME(0,0,0),(AM234-AK234)&lt;TIME(0,3,0)),"OK",IF(AND((AM234-AK234)&gt;=TIME(0,3,0),(AM234-AK234)&lt;TIME(0,5,0)),"RETRASO DE 3-5 MIN",IF(AND((AM234-AK234)&gt;=TIME(0,5,0),(AM234-AK234)&lt;TIME(0,10,0)),"RETRASO DE 5-10 MIN",IF((AM234-AK234)&gt;=TIME(0,10,0),"RETRASO &gt;10 MIN", IF(AND((AK234-AM234)&gt;=TIME(0,0,0),(AK234-AM234)&lt;TIME(0,3,0)),"OK",IF((AK234-AM234)&gt;=TIME(0,3,0),"ADELANTADO")))))))</f>
        <v/>
      </c>
      <c r="AM234" s="91" t="n"/>
      <c r="AN234" s="89">
        <f>IF(AE234&lt;&gt;"",HLOOKUP(VALUE(TEXT(AK234,"h:mm:ss")),IF($C$6="Laboral",$FZ$4:$GX$227,IF($C$6="Sábado",$FZ$231:$GX$452,$FZ$456:$GX$656)),VLOOKUP($C$4,$HF$2:$HH$99,3,0)+IF(AG$5="Ida",0,1),1),"")</f>
        <v/>
      </c>
      <c r="AO234" s="89">
        <f>IF(AE235&lt;&gt;AE234,AVERAGEIF(AE$9:AE234,AE234,AN$9:AN234),"")</f>
        <v/>
      </c>
      <c r="AP234" s="89">
        <f>IFERROR(IF(AE235&lt;&gt;AE234,AVERAGEIF(AE$9:AE234,AE234,AW$9:AW234),""),"")</f>
        <v/>
      </c>
      <c r="AQ234" s="89">
        <f>IFERROR(IF(AE235&lt;&gt;AE234,AVERAGEIF(AE$9:AE234,AE234,AX$9:AX234),""),"")</f>
        <v/>
      </c>
      <c r="AR234" s="89">
        <f t="array" ref="AR234">IFERROR(IF(AE235&lt;&gt;AE234,_xlfn.STDEV.P(IF(AE$9:AE234=AE234,AX$9:AX234)),""),"")</f>
        <v/>
      </c>
      <c r="AS234" s="89">
        <f t="array" ref="AS234">IFERROR(IF(AE235&lt;&gt;AE234,_xlfn.STDEV.P(IF(AE$9:AE234=AE234,AW$9:AW234)),""),"")</f>
        <v/>
      </c>
      <c r="AT234" s="90">
        <f>IFERROR(IF(AE234&lt;&gt;AE235,MAX((((AQ234*24*60)/2)*(1+POWER((((AR234*24*60) / (AQ234*24*60) )),2))) + ((AQ234*24*60 )*-0.1 + (AO234*0.015)) +1,(((AQ234*24*60)/2)*(1+POWER((((AR234*24*60) / (AQ234*24*60 ))),2)))),""),"")</f>
        <v/>
      </c>
      <c r="AU234" s="90">
        <f>IF(AND(AS234&lt;&gt;"",AP234&lt;&gt;""),IF(AE234&lt;&gt;AE235,((AP234*24*60) / 2 ) * (1 + POWER(((AS234*24*60) / (AP234*24*60)),2)),""),"")</f>
        <v/>
      </c>
      <c r="AV234" s="90">
        <f>IF(AU234&lt;&gt;"",MAX(AT234,AU234),"")</f>
        <v/>
      </c>
      <c r="AW234" s="89">
        <f>IF(AM234&lt;&gt;"H. Sale Real",IF(AND(AM235&lt;&gt;"",LEFT(AG235,2)&lt;&gt;"Va"),IF(AND(AM234&lt;&gt;"",LEFT(AG234,2)&lt;&gt;"Va",AM234&lt;&gt;"H. Sale Real"),IF(AM235-AM234&lt;0.208333333333333,AM235-AM234,""),IF(AND(AM233&lt;&gt;"",LEFT(AG233,2)&lt;&gt;"Va",AM233&lt;&gt;"H. Sale Real"),IF(AM235-AM233&lt;0.208333333333333,AM235-AM233,""),IF(AND(AM232&lt;&gt;"",LEFT(AG232,2)&lt;&gt;"Va",AM232&lt;&gt;"H. Sale Real"),IF(AM235-AM232&lt;0.208333333333333,AM235-AM232,""),IF(AND(AM231&lt;&gt;"",LEFT(AG231,2)&lt;&gt;"Va",AM231&lt;&gt;"H. Sale Real"),IF(AM235-AM231&lt;0.208333333333333,AM235-AM231,""),IF(AND(AM230&lt;&gt;"",LEFT(AG230,2)&lt;&gt;"Va",AM230&lt;&gt;"H. Sale Real"),IF(AM235-AM230&lt;0.208333333333333,AM235-AM230,""),""))))),""),"")</f>
        <v/>
      </c>
      <c r="AX234" s="89">
        <f>IF(AK234&lt;&gt;"H. Sale Real",IF(AND(AK235&lt;&gt;"",LEFT(AG235,2)&lt;&gt;"Va"),IF(AND(AK234&lt;&gt;"",LEFT(AG234,2)&lt;&gt;"Va",AK234&lt;&gt;"H. Sale Real"),IF(AK235-AK234&lt;0.208333333333333,AK235-AK234,""),IF(AND(AK233&lt;&gt;"",LEFT(AG233,2)&lt;&gt;"Va",AK233&lt;&gt;"H. Sale Real"),IF(AK235-AK233&lt;0.208333333333333,AK235-AK233,""),IF(AND(AK232&lt;&gt;"",LEFT(AG232,2)&lt;&gt;"NC",AK232&lt;&gt;"H. Sale Real"),IF(AK235-AK232&lt;0.208333333333333,AK235-AK232,""),IF(AND(AK231&lt;&gt;"",LEFT(AG231,2)&lt;&gt;"Va",AK231&lt;&gt;"H. Sale Real"),IF(AK235-AK231&lt;0.208333333333333,AK235-AK231,""),IF(AND(AK230&lt;&gt;"",LEFT(AG230,2)&lt;&gt;"Va",AK230&lt;&gt;"H. Sale Real"),IF(AK235-AK230&lt;0.208333333333333,AK235-AK230,""),""))))),""),"")</f>
        <v/>
      </c>
      <c r="AY234" s="87" t="n"/>
      <c r="AZ234" s="89" t="n"/>
      <c r="BA234" s="87" t="n"/>
      <c r="BB234" s="89" t="n"/>
      <c r="BC234" s="91" t="n"/>
      <c r="BD234" s="122">
        <f>IF(AK234&lt;&gt;"",IF(AND(BD233&lt;&gt;"IE",AT234&lt;&gt;0,AV234&lt;&gt;""),IF(IFERROR((AT234/AV234),0) &lt;=1,IFERROR(AT234/AV234,""),1),""),"")</f>
        <v/>
      </c>
      <c r="BE234" s="93" t="n"/>
      <c r="BF234" s="105" t="n"/>
      <c r="FC234" t="inlineStr">
        <is>
          <t>Diccionario 1</t>
        </is>
      </c>
      <c r="FD234" s="15" t="n">
        <v>1245</v>
      </c>
      <c r="FE234" s="15" t="inlineStr">
        <is>
          <t>YV3T7U52XNA207928</t>
        </is>
      </c>
      <c r="FF234" s="15" t="n">
        <v>551645</v>
      </c>
      <c r="FG234" s="15" t="inlineStr">
        <is>
          <t>Volvo</t>
        </is>
      </c>
      <c r="FH234" s="15" t="inlineStr">
        <is>
          <t>B8RLEA</t>
        </is>
      </c>
      <c r="FI234" s="15" t="inlineStr">
        <is>
          <t>MARCOPOLO</t>
        </is>
      </c>
      <c r="FJ234" s="15" t="inlineStr">
        <is>
          <t>GRAN VIALE</t>
        </is>
      </c>
      <c r="FK234" s="15" t="n">
        <v>2022</v>
      </c>
      <c r="FL234" s="15" t="inlineStr">
        <is>
          <t>C</t>
        </is>
      </c>
      <c r="FM234" s="15" t="inlineStr">
        <is>
          <t>SAN ALFONSO</t>
        </is>
      </c>
      <c r="FN234" s="15" t="inlineStr">
        <is>
          <t>San Alfonso 2141 (Ramón Subercaseaux 3060)</t>
        </is>
      </c>
      <c r="FO234" s="15" t="inlineStr">
        <is>
          <t>Estacion Central</t>
        </is>
      </c>
      <c r="FP234" t="inlineStr">
        <is>
          <t>C</t>
        </is>
      </c>
      <c r="FS234" s="14" t="inlineStr">
        <is>
          <t>3060 / SFWB-14|</t>
        </is>
      </c>
      <c r="FT234" t="inlineStr">
        <is>
          <t>SFWB-14|</t>
        </is>
      </c>
      <c r="FU234" t="inlineStr">
        <is>
          <t>SFWB-14</t>
        </is>
      </c>
      <c r="FV234">
        <f>VLOOKUP(FU234,FD:FL,9,0)</f>
        <v/>
      </c>
      <c r="FZ234" s="51" t="inlineStr">
        <is>
          <t>B03</t>
        </is>
      </c>
      <c r="GA234" s="117" t="n">
        <v>0</v>
      </c>
      <c r="GB234" s="117" t="n">
        <v>0</v>
      </c>
      <c r="GC234" s="117" t="n">
        <v>0</v>
      </c>
      <c r="GD234" s="117" t="n">
        <v>0</v>
      </c>
      <c r="GE234" s="117" t="n">
        <v>0</v>
      </c>
      <c r="GF234" s="117" t="n">
        <v>20.61</v>
      </c>
      <c r="GG234" s="117" t="n">
        <v>19.79</v>
      </c>
      <c r="GH234" s="117" t="n">
        <v>18.61</v>
      </c>
      <c r="GI234" s="117" t="n">
        <v>17.96</v>
      </c>
      <c r="GJ234" s="117" t="n">
        <v>17.1</v>
      </c>
      <c r="GK234" s="117" t="n">
        <v>15.75</v>
      </c>
      <c r="GL234" s="117" t="n">
        <v>15.135</v>
      </c>
      <c r="GM234" s="117" t="n">
        <v>14.91</v>
      </c>
      <c r="GN234" s="117" t="n">
        <v>15.155</v>
      </c>
      <c r="GO234" s="117" t="n">
        <v>15.605</v>
      </c>
      <c r="GP234" s="117" t="n">
        <v>15.685</v>
      </c>
      <c r="GQ234" s="117" t="n">
        <v>15.73</v>
      </c>
      <c r="GR234" s="117" t="n">
        <v>16.045</v>
      </c>
      <c r="GS234" s="117" t="n">
        <v>16.58</v>
      </c>
      <c r="GT234" s="117" t="n">
        <v>17.75</v>
      </c>
      <c r="GU234" s="117" t="n">
        <v>18.435</v>
      </c>
      <c r="GV234" s="117" t="n">
        <v>19.84</v>
      </c>
      <c r="GW234" s="117" t="n">
        <v>21.485</v>
      </c>
      <c r="GX234" s="117" t="n">
        <v>0</v>
      </c>
      <c r="HA234" s="35" t="n">
        <v>4</v>
      </c>
      <c r="HB234" s="35" t="n">
        <v>228</v>
      </c>
    </row>
    <row r="235" ht="15.5" customHeight="1">
      <c r="A235" s="10">
        <f>HOUR(G235)+1</f>
        <v/>
      </c>
      <c r="B235" s="7" t="n"/>
      <c r="C235" s="7" t="n"/>
      <c r="D235" s="85">
        <f>IFERROR(
IF(AND(OR(Planilla!B235="C",Planilla!B235="c"), VLOOKUP(E235,FD:FP,13,0)="C"), "OK",IF(AND(OR(Planilla!B235="C",Planilla!B235="c"), OR(VLOOKUP(E235,FD:FP,13,0)="B", VLOOKUP(E235,FD:FP,13,0)="A")), "DEFICIT",IF(
AND(OR(Planilla!B235="B", Planilla!B235="BPAL"), VLOOKUP(E235,FD:FP,13,0)="B"), "OK",IF(AND(OR(Planilla!B235="B", Planilla!B235="BPAL"), VLOOKUP(E235,FD:FP,13,0)="A"), "DEFICIT",IF(AND(OR(Planilla!B235="B", Planilla!B235="BPAL"), VLOOKUP(E235,FD:FP,13,0)="C"), "SOBREOFERTA",IF(AND(Planilla!B235="A", VLOOKUP(E235,FD:FP,13,0)="A"), "OK",IF(
AND(Planilla!B235="A", OR(VLOOKUP(E235,FD:FP,13,0)="B", VLOOKUP(E235,FD:FP,13,0)="C")), "SOBREOFERTA",""
))))))),"")</f>
        <v/>
      </c>
      <c r="E235" s="8" t="n"/>
      <c r="F235" s="86" t="n"/>
      <c r="G235" s="87" t="n"/>
      <c r="H235" s="88">
        <f>IF(I235="","",IF(AND((I235-G235)&gt;=TIME(0,0,0),(I235-G235)&lt;TIME(0,3,0)),"OK",IF(AND((I235-G235)&gt;=TIME(0,3,0),(I235-G235)&lt;TIME(0,5,0)),"RETRASO DE 3-5 MIN",IF(AND((I235-G235)&gt;=TIME(0,5,0),(I235-G235)&lt;TIME(0,10,0)),"RETRASO DE 5-10 MIN",IF((I235-G235)&gt;=TIME(0,10,0),"RETRASO &gt;10 MIN", IF(AND((G235-I235)&gt;=TIME(0,0,0),(G235-I235)&lt;TIME(0,3,0)),"OK",IF((G235-I235)&gt;=TIME(0,3,0),"ADELANTADO")))))))</f>
        <v/>
      </c>
      <c r="I235" s="89" t="n"/>
      <c r="J235" s="89">
        <f>IF(A235&lt;&gt;"",HLOOKUP(VALUE(TEXT(G235,"h:mm:ss")),IF($C$6="Laboral",$FZ$4:$GX$227,IF($C$6="Sábado",$FZ$231:$GX$452,$FZ$456:$GX$656)),VLOOKUP($C$4,$HF$2:$HH$99,3,0)+IF(C$5="Ida",0,1),1),"")</f>
        <v/>
      </c>
      <c r="K235" s="89">
        <f>IF(A236&lt;&gt;A235,AVERAGEIF(A$9:A235,A235,J$9:J235),"")</f>
        <v/>
      </c>
      <c r="L235" s="89">
        <f>IFERROR(IF(A236&lt;&gt;A235,AVERAGEIF(A$9:A235,A235,S$9:S235),""),"")</f>
        <v/>
      </c>
      <c r="M235" s="89">
        <f>IFERROR(IF(A236&lt;&gt;A235,AVERAGEIF(A$9:A235,A235,T$9:T235),""),"")</f>
        <v/>
      </c>
      <c r="N235" s="89">
        <f t="array" ref="N235">IFERROR(IF(A236&lt;&gt;A235,_xlfn.STDEV.P(IF(A$9:A235=A235,T$9:T235)),""),"")</f>
        <v/>
      </c>
      <c r="O235" s="89">
        <f t="array" ref="O235">IFERROR(IF(A236&lt;&gt;A235,_xlfn.STDEV.P(IF(A$9:A235=A235,S$9:S235)),""),"")</f>
        <v/>
      </c>
      <c r="P235" s="90">
        <f>IFERROR(IF(A235&lt;&gt;A236,MAX((((M235*24*60)/2)*(1+POWER((((N235*24*60) / (M235*24*60) )),2))) + ((M235*24*60 )*-0.1 + (K235*0.015)) +1,(((M235*24*60)/2)*(1+POWER((((N235*24*60) / (M235*24*60 ))),2)))),""),"")</f>
        <v/>
      </c>
      <c r="Q235" s="90">
        <f>IF(AND(O235&lt;&gt;"",L235&lt;&gt;""),IF(A235&lt;&gt;A236,((L235*24*60) / 2 ) * (1 + POWER(((O235*24*60) / (L235*24*60)),2)),""),"")</f>
        <v/>
      </c>
      <c r="R235" s="90">
        <f>IF(Q235&lt;&gt;"",MAX(P235,Q235),"")</f>
        <v/>
      </c>
      <c r="S235" s="89">
        <f>IF(I235&lt;&gt;"H. Sale Real",IF(AND(I236&lt;&gt;"",LEFT(C236,2)&lt;&gt;"Va"),IF(AND(I235&lt;&gt;"",LEFT(C235,2)&lt;&gt;"Va",I235&lt;&gt;"H. Sale Real"),IF(I236-I235&lt;0.208333333333333,I236-I235,""),IF(AND(I234&lt;&gt;"",LEFT(C234,2)&lt;&gt;"Va",I234&lt;&gt;"H. Sale Real"),IF(I236-I234&lt;0.208333333333333,I236-I234,""),IF(AND(I233&lt;&gt;"",LEFT(C233,2)&lt;&gt;"Va",I233&lt;&gt;"H. Sale Real"),IF(I236-I233&lt;0.208333333333333,I236-I233,""),IF(AND(I232&lt;&gt;"",LEFT(C232,2)&lt;&gt;"Va",I232&lt;&gt;"H. Sale Real"),IF(I236-I232&lt;0.208333333333333,I236-I232,""),IF(AND(I231&lt;&gt;"",LEFT(C231,2)&lt;&gt;"Va",I231&lt;&gt;"H. Sale Real"),IF(I236-I231&lt;0.208333333333333,I236-I231,""),""))))),""),"")</f>
        <v/>
      </c>
      <c r="T235" s="89">
        <f>IF(G235&lt;&gt;"H. Sale Real",IF(AND(G236&lt;&gt;"",LEFT(C236,2)&lt;&gt;"Va"),IF(AND(G235&lt;&gt;"",LEFT(C235,2)&lt;&gt;"Va",G235&lt;&gt;"H. Sale Real"),IF(G236-G235&lt;0.208333333333333,G236-G235,""),IF(AND(G234&lt;&gt;"",LEFT(C234,2)&lt;&gt;"Va",G234&lt;&gt;"H. Sale Real"),IF(G236-G234&lt;0.208333333333333,G236-G234,""),IF(AND(G233&lt;&gt;"",LEFT(C233,2)&lt;&gt;"Va",G233&lt;&gt;"H. Sale Real"),IF(G236-G233&lt;0.208333333333333,G236-G233,""),IF(AND(G232&lt;&gt;"",LEFT(C232,2)&lt;&gt;"Va",G232&lt;&gt;"H. Sale Real"),IF(G236-G232&lt;0.208333333333333,G236-G232,""),IF(AND(G231&lt;&gt;"",LEFT(C231,2)&lt;&gt;"Va",G231&lt;&gt;"H. Sale Real"),IF(G236-G231&lt;0.208333333333333,G236-G231,""),""))))),""),"")</f>
        <v/>
      </c>
      <c r="U235" s="87" t="n"/>
      <c r="V235" s="89" t="n"/>
      <c r="W235" s="87" t="n"/>
      <c r="X235" s="89" t="n"/>
      <c r="Y235" s="91" t="n"/>
      <c r="Z235" s="122">
        <f>IF(G235&lt;&gt;"",IF(AND(Z234&lt;&gt;"IE",P235&lt;&gt;0,R235&lt;&gt;""),IF(IFERROR((P235/R235),0) &lt;=1,IFERROR(P235/R235,""),1),""),"")</f>
        <v/>
      </c>
      <c r="AA235" s="93" t="n"/>
      <c r="AB235" s="2" t="n"/>
      <c r="AE235" s="10">
        <f>HOUR(AK235)+1</f>
        <v/>
      </c>
      <c r="AF235" s="7" t="n"/>
      <c r="AG235" s="7" t="n"/>
      <c r="AH235" s="86" t="n"/>
      <c r="AI235" s="8" t="n"/>
      <c r="AJ235" s="86" t="n"/>
      <c r="AK235" s="87" t="n"/>
      <c r="AL235" s="88">
        <f>IF(AM235="","",IF(AND((AM235-AK235)&gt;=TIME(0,0,0),(AM235-AK235)&lt;TIME(0,3,0)),"OK",IF(AND((AM235-AK235)&gt;=TIME(0,3,0),(AM235-AK235)&lt;TIME(0,5,0)),"RETRASO DE 3-5 MIN",IF(AND((AM235-AK235)&gt;=TIME(0,5,0),(AM235-AK235)&lt;TIME(0,10,0)),"RETRASO DE 5-10 MIN",IF((AM235-AK235)&gt;=TIME(0,10,0),"RETRASO &gt;10 MIN", IF(AND((AK235-AM235)&gt;=TIME(0,0,0),(AK235-AM235)&lt;TIME(0,3,0)),"OK",IF((AK235-AM235)&gt;=TIME(0,3,0),"ADELANTADO")))))))</f>
        <v/>
      </c>
      <c r="AM235" s="91" t="n"/>
      <c r="AN235" s="89">
        <f>IF(AE235&lt;&gt;"",HLOOKUP(VALUE(TEXT(AK235,"h:mm:ss")),IF($C$6="Laboral",$FZ$4:$GX$227,IF($C$6="Sábado",$FZ$231:$GX$452,$FZ$456:$GX$656)),VLOOKUP($C$4,$HF$2:$HH$99,3,0)+IF(AG$5="Ida",0,1),1),"")</f>
        <v/>
      </c>
      <c r="AO235" s="89">
        <f>IF(AE236&lt;&gt;AE235,AVERAGEIF(AE$9:AE235,AE235,AN$9:AN235),"")</f>
        <v/>
      </c>
      <c r="AP235" s="89">
        <f>IFERROR(IF(AE236&lt;&gt;AE235,AVERAGEIF(AE$9:AE235,AE235,AW$9:AW235),""),"")</f>
        <v/>
      </c>
      <c r="AQ235" s="89">
        <f>IFERROR(IF(AE236&lt;&gt;AE235,AVERAGEIF(AE$9:AE235,AE235,AX$9:AX235),""),"")</f>
        <v/>
      </c>
      <c r="AR235" s="89">
        <f t="array" ref="AR235">IFERROR(IF(AE236&lt;&gt;AE235,_xlfn.STDEV.P(IF(AE$9:AE235=AE235,AX$9:AX235)),""),"")</f>
        <v/>
      </c>
      <c r="AS235" s="89">
        <f t="array" ref="AS235">IFERROR(IF(AE236&lt;&gt;AE235,_xlfn.STDEV.P(IF(AE$9:AE235=AE235,AW$9:AW235)),""),"")</f>
        <v/>
      </c>
      <c r="AT235" s="90">
        <f>IFERROR(IF(AE235&lt;&gt;AE236,MAX((((AQ235*24*60)/2)*(1+POWER((((AR235*24*60) / (AQ235*24*60) )),2))) + ((AQ235*24*60 )*-0.1 + (AO235*0.015)) +1,(((AQ235*24*60)/2)*(1+POWER((((AR235*24*60) / (AQ235*24*60 ))),2)))),""),"")</f>
        <v/>
      </c>
      <c r="AU235" s="90">
        <f>IF(AND(AS235&lt;&gt;"",AP235&lt;&gt;""),IF(AE235&lt;&gt;AE236,((AP235*24*60) / 2 ) * (1 + POWER(((AS235*24*60) / (AP235*24*60)),2)),""),"")</f>
        <v/>
      </c>
      <c r="AV235" s="90">
        <f>IF(AU235&lt;&gt;"",MAX(AT235,AU235),"")</f>
        <v/>
      </c>
      <c r="AW235" s="89">
        <f>IF(AM235&lt;&gt;"H. Sale Real",IF(AND(AM236&lt;&gt;"",LEFT(AG236,2)&lt;&gt;"Va"),IF(AND(AM235&lt;&gt;"",LEFT(AG235,2)&lt;&gt;"Va",AM235&lt;&gt;"H. Sale Real"),IF(AM236-AM235&lt;0.208333333333333,AM236-AM235,""),IF(AND(AM234&lt;&gt;"",LEFT(AG234,2)&lt;&gt;"Va",AM234&lt;&gt;"H. Sale Real"),IF(AM236-AM234&lt;0.208333333333333,AM236-AM234,""),IF(AND(AM233&lt;&gt;"",LEFT(AG233,2)&lt;&gt;"Va",AM233&lt;&gt;"H. Sale Real"),IF(AM236-AM233&lt;0.208333333333333,AM236-AM233,""),IF(AND(AM232&lt;&gt;"",LEFT(AG232,2)&lt;&gt;"Va",AM232&lt;&gt;"H. Sale Real"),IF(AM236-AM232&lt;0.208333333333333,AM236-AM232,""),IF(AND(AM231&lt;&gt;"",LEFT(AG231,2)&lt;&gt;"Va",AM231&lt;&gt;"H. Sale Real"),IF(AM236-AM231&lt;0.208333333333333,AM236-AM231,""),""))))),""),"")</f>
        <v/>
      </c>
      <c r="AX235" s="89">
        <f>IF(AK235&lt;&gt;"H. Sale Real",IF(AND(AK236&lt;&gt;"",LEFT(AG236,2)&lt;&gt;"Va"),IF(AND(AK235&lt;&gt;"",LEFT(AG235,2)&lt;&gt;"Va",AK235&lt;&gt;"H. Sale Real"),IF(AK236-AK235&lt;0.208333333333333,AK236-AK235,""),IF(AND(AK234&lt;&gt;"",LEFT(AG234,2)&lt;&gt;"Va",AK234&lt;&gt;"H. Sale Real"),IF(AK236-AK234&lt;0.208333333333333,AK236-AK234,""),IF(AND(AK233&lt;&gt;"",LEFT(AG233,2)&lt;&gt;"NC",AK233&lt;&gt;"H. Sale Real"),IF(AK236-AK233&lt;0.208333333333333,AK236-AK233,""),IF(AND(AK232&lt;&gt;"",LEFT(AG232,2)&lt;&gt;"Va",AK232&lt;&gt;"H. Sale Real"),IF(AK236-AK232&lt;0.208333333333333,AK236-AK232,""),IF(AND(AK231&lt;&gt;"",LEFT(AG231,2)&lt;&gt;"Va",AK231&lt;&gt;"H. Sale Real"),IF(AK236-AK231&lt;0.208333333333333,AK236-AK231,""),""))))),""),"")</f>
        <v/>
      </c>
      <c r="AY235" s="87" t="n"/>
      <c r="AZ235" s="89" t="n"/>
      <c r="BA235" s="87" t="n"/>
      <c r="BB235" s="89" t="n"/>
      <c r="BC235" s="91" t="n"/>
      <c r="BD235" s="122">
        <f>IF(AK235&lt;&gt;"",IF(AND(BD234&lt;&gt;"IE",AT235&lt;&gt;0,AV235&lt;&gt;""),IF(IFERROR((AT235/AV235),0) &lt;=1,IFERROR(AT235/AV235,""),1),""),"")</f>
        <v/>
      </c>
      <c r="BE235" s="93" t="n"/>
      <c r="BF235" s="105" t="n"/>
      <c r="FC235" t="inlineStr">
        <is>
          <t>Diccionario 1</t>
        </is>
      </c>
      <c r="FD235" s="15" t="n">
        <v>1246</v>
      </c>
      <c r="FE235" s="15" t="inlineStr">
        <is>
          <t>YV3T7U528NA207927</t>
        </is>
      </c>
      <c r="FF235" s="15" t="n">
        <v>551661</v>
      </c>
      <c r="FG235" s="15" t="inlineStr">
        <is>
          <t>Volvo</t>
        </is>
      </c>
      <c r="FH235" s="15" t="inlineStr">
        <is>
          <t>B8RLEA</t>
        </is>
      </c>
      <c r="FI235" s="15" t="inlineStr">
        <is>
          <t>MARCOPOLO</t>
        </is>
      </c>
      <c r="FJ235" s="15" t="inlineStr">
        <is>
          <t>GRAN VIALE</t>
        </is>
      </c>
      <c r="FK235" s="15" t="n">
        <v>2022</v>
      </c>
      <c r="FL235" s="15" t="inlineStr">
        <is>
          <t>C</t>
        </is>
      </c>
      <c r="FM235" s="15" t="inlineStr">
        <is>
          <t>SAN ALFONSO</t>
        </is>
      </c>
      <c r="FN235" s="15" t="inlineStr">
        <is>
          <t>San Alfonso 2141 (Ramón Subercaseaux 3060)</t>
        </is>
      </c>
      <c r="FO235" s="15" t="inlineStr">
        <is>
          <t>Estacion Central</t>
        </is>
      </c>
      <c r="FP235" t="inlineStr">
        <is>
          <t>C</t>
        </is>
      </c>
      <c r="FS235" s="14" t="inlineStr">
        <is>
          <t>3061 / SFWB-68|</t>
        </is>
      </c>
      <c r="FT235" t="inlineStr">
        <is>
          <t>SFWB-68|</t>
        </is>
      </c>
      <c r="FU235" t="inlineStr">
        <is>
          <t>SFWB-68</t>
        </is>
      </c>
      <c r="FV235">
        <f>VLOOKUP(FU235,FD:FL,9,0)</f>
        <v/>
      </c>
      <c r="FZ235" s="51" t="n">
        <v>105</v>
      </c>
      <c r="GA235" s="117" t="n">
        <v>0</v>
      </c>
      <c r="GB235" s="117" t="n">
        <v>0</v>
      </c>
      <c r="GC235" s="117" t="n">
        <v>0</v>
      </c>
      <c r="GD235" s="117" t="n">
        <v>0</v>
      </c>
      <c r="GE235" s="117" t="n">
        <v>0</v>
      </c>
      <c r="GF235" s="117" t="n">
        <v>9.94</v>
      </c>
      <c r="GG235" s="117" t="n">
        <v>19.7</v>
      </c>
      <c r="GH235" s="117" t="n">
        <v>19.235</v>
      </c>
      <c r="GI235" s="117" t="n">
        <v>19.07</v>
      </c>
      <c r="GJ235" s="117" t="n">
        <v>18.07</v>
      </c>
      <c r="GK235" s="117" t="n">
        <v>16.745</v>
      </c>
      <c r="GL235" s="117" t="n">
        <v>16.075</v>
      </c>
      <c r="GM235" s="117" t="n">
        <v>15.495</v>
      </c>
      <c r="GN235" s="117" t="n">
        <v>15.84</v>
      </c>
      <c r="GO235" s="117" t="n">
        <v>16.37</v>
      </c>
      <c r="GP235" s="117" t="n">
        <v>17.02</v>
      </c>
      <c r="GQ235" s="117" t="n">
        <v>17.11</v>
      </c>
      <c r="GR235" s="117" t="n">
        <v>16.97</v>
      </c>
      <c r="GS235" s="117" t="n">
        <v>16.915</v>
      </c>
      <c r="GT235" s="117" t="n">
        <v>17.525</v>
      </c>
      <c r="GU235" s="117" t="n">
        <v>18.52</v>
      </c>
      <c r="GV235" s="117" t="n">
        <v>19.795</v>
      </c>
      <c r="GW235" s="117" t="n">
        <v>21.5</v>
      </c>
      <c r="GX235" s="117" t="n">
        <v>23.51</v>
      </c>
      <c r="HA235" s="35" t="n">
        <v>5</v>
      </c>
      <c r="HB235" s="35" t="n">
        <v>229</v>
      </c>
    </row>
    <row r="236" ht="15.5" customHeight="1">
      <c r="A236" s="10">
        <f>HOUR(G236)+1</f>
        <v/>
      </c>
      <c r="B236" s="7" t="n"/>
      <c r="C236" s="7" t="n"/>
      <c r="D236" s="85">
        <f>IFERROR(
IF(AND(OR(Planilla!B236="C",Planilla!B236="c"), VLOOKUP(E236,FD:FP,13,0)="C"), "OK",IF(AND(OR(Planilla!B236="C",Planilla!B236="c"), OR(VLOOKUP(E236,FD:FP,13,0)="B", VLOOKUP(E236,FD:FP,13,0)="A")), "DEFICIT",IF(
AND(OR(Planilla!B236="B", Planilla!B236="BPAL"), VLOOKUP(E236,FD:FP,13,0)="B"), "OK",IF(AND(OR(Planilla!B236="B", Planilla!B236="BPAL"), VLOOKUP(E236,FD:FP,13,0)="A"), "DEFICIT",IF(AND(OR(Planilla!B236="B", Planilla!B236="BPAL"), VLOOKUP(E236,FD:FP,13,0)="C"), "SOBREOFERTA",IF(AND(Planilla!B236="A", VLOOKUP(E236,FD:FP,13,0)="A"), "OK",IF(
AND(Planilla!B236="A", OR(VLOOKUP(E236,FD:FP,13,0)="B", VLOOKUP(E236,FD:FP,13,0)="C")), "SOBREOFERTA",""
))))))),"")</f>
        <v/>
      </c>
      <c r="E236" s="8" t="n"/>
      <c r="F236" s="86" t="n"/>
      <c r="G236" s="87" t="n"/>
      <c r="H236" s="88">
        <f>IF(I236="","",IF(AND((I236-G236)&gt;=TIME(0,0,0),(I236-G236)&lt;TIME(0,3,0)),"OK",IF(AND((I236-G236)&gt;=TIME(0,3,0),(I236-G236)&lt;TIME(0,5,0)),"RETRASO DE 3-5 MIN",IF(AND((I236-G236)&gt;=TIME(0,5,0),(I236-G236)&lt;TIME(0,10,0)),"RETRASO DE 5-10 MIN",IF((I236-G236)&gt;=TIME(0,10,0),"RETRASO &gt;10 MIN", IF(AND((G236-I236)&gt;=TIME(0,0,0),(G236-I236)&lt;TIME(0,3,0)),"OK",IF((G236-I236)&gt;=TIME(0,3,0),"ADELANTADO")))))))</f>
        <v/>
      </c>
      <c r="I236" s="89" t="n"/>
      <c r="J236" s="89">
        <f>IF(A236&lt;&gt;"",HLOOKUP(VALUE(TEXT(G236,"h:mm:ss")),IF($C$6="Laboral",$FZ$4:$GX$227,IF($C$6="Sábado",$FZ$231:$GX$452,$FZ$456:$GX$656)),VLOOKUP($C$4,$HF$2:$HH$99,3,0)+IF(C$5="Ida",0,1),1),"")</f>
        <v/>
      </c>
      <c r="K236" s="89">
        <f>IF(A237&lt;&gt;A236,AVERAGEIF(A$9:A236,A236,J$9:J236),"")</f>
        <v/>
      </c>
      <c r="L236" s="89">
        <f>IFERROR(IF(A237&lt;&gt;A236,AVERAGEIF(A$9:A236,A236,S$9:S236),""),"")</f>
        <v/>
      </c>
      <c r="M236" s="89">
        <f>IFERROR(IF(A237&lt;&gt;A236,AVERAGEIF(A$9:A236,A236,T$9:T236),""),"")</f>
        <v/>
      </c>
      <c r="N236" s="89">
        <f t="array" ref="N236">IFERROR(IF(A237&lt;&gt;A236,_xlfn.STDEV.P(IF(A$9:A236=A236,T$9:T236)),""),"")</f>
        <v/>
      </c>
      <c r="O236" s="89">
        <f t="array" ref="O236">IFERROR(IF(A237&lt;&gt;A236,_xlfn.STDEV.P(IF(A$9:A236=A236,S$9:S236)),""),"")</f>
        <v/>
      </c>
      <c r="P236" s="90">
        <f>IFERROR(IF(A236&lt;&gt;A237,MAX((((M236*24*60)/2)*(1+POWER((((N236*24*60) / (M236*24*60) )),2))) + ((M236*24*60 )*-0.1 + (K236*0.015)) +1,(((M236*24*60)/2)*(1+POWER((((N236*24*60) / (M236*24*60 ))),2)))),""),"")</f>
        <v/>
      </c>
      <c r="Q236" s="90">
        <f>IF(AND(O236&lt;&gt;"",L236&lt;&gt;""),IF(A236&lt;&gt;A237,((L236*24*60) / 2 ) * (1 + POWER(((O236*24*60) / (L236*24*60)),2)),""),"")</f>
        <v/>
      </c>
      <c r="R236" s="90">
        <f>IF(Q236&lt;&gt;"",MAX(P236,Q236),"")</f>
        <v/>
      </c>
      <c r="S236" s="89">
        <f>IF(I236&lt;&gt;"H. Sale Real",IF(AND(I237&lt;&gt;"",LEFT(C237,2)&lt;&gt;"Va"),IF(AND(I236&lt;&gt;"",LEFT(C236,2)&lt;&gt;"Va",I236&lt;&gt;"H. Sale Real"),IF(I237-I236&lt;0.208333333333333,I237-I236,""),IF(AND(I235&lt;&gt;"",LEFT(C235,2)&lt;&gt;"Va",I235&lt;&gt;"H. Sale Real"),IF(I237-I235&lt;0.208333333333333,I237-I235,""),IF(AND(I234&lt;&gt;"",LEFT(C234,2)&lt;&gt;"Va",I234&lt;&gt;"H. Sale Real"),IF(I237-I234&lt;0.208333333333333,I237-I234,""),IF(AND(I233&lt;&gt;"",LEFT(C233,2)&lt;&gt;"Va",I233&lt;&gt;"H. Sale Real"),IF(I237-I233&lt;0.208333333333333,I237-I233,""),IF(AND(I232&lt;&gt;"",LEFT(C232,2)&lt;&gt;"Va",I232&lt;&gt;"H. Sale Real"),IF(I237-I232&lt;0.208333333333333,I237-I232,""),""))))),""),"")</f>
        <v/>
      </c>
      <c r="T236" s="89">
        <f>IF(G236&lt;&gt;"H. Sale Real",IF(AND(G237&lt;&gt;"",LEFT(C237,2)&lt;&gt;"Va"),IF(AND(G236&lt;&gt;"",LEFT(C236,2)&lt;&gt;"Va",G236&lt;&gt;"H. Sale Real"),IF(G237-G236&lt;0.208333333333333,G237-G236,""),IF(AND(G235&lt;&gt;"",LEFT(C235,2)&lt;&gt;"Va",G235&lt;&gt;"H. Sale Real"),IF(G237-G235&lt;0.208333333333333,G237-G235,""),IF(AND(G234&lt;&gt;"",LEFT(C234,2)&lt;&gt;"Va",G234&lt;&gt;"H. Sale Real"),IF(G237-G234&lt;0.208333333333333,G237-G234,""),IF(AND(G233&lt;&gt;"",LEFT(C233,2)&lt;&gt;"Va",G233&lt;&gt;"H. Sale Real"),IF(G237-G233&lt;0.208333333333333,G237-G233,""),IF(AND(G232&lt;&gt;"",LEFT(C232,2)&lt;&gt;"Va",G232&lt;&gt;"H. Sale Real"),IF(G237-G232&lt;0.208333333333333,G237-G232,""),""))))),""),"")</f>
        <v/>
      </c>
      <c r="U236" s="87" t="n"/>
      <c r="V236" s="89" t="n"/>
      <c r="W236" s="87" t="n"/>
      <c r="X236" s="89" t="n"/>
      <c r="Y236" s="91" t="n"/>
      <c r="Z236" s="122">
        <f>IF(G236&lt;&gt;"",IF(AND(Z235&lt;&gt;"IE",P236&lt;&gt;0,R236&lt;&gt;""),IF(IFERROR((P236/R236),0) &lt;=1,IFERROR(P236/R236,""),1),""),"")</f>
        <v/>
      </c>
      <c r="AA236" s="93" t="n"/>
      <c r="AB236" s="2" t="n"/>
      <c r="AE236" s="10">
        <f>HOUR(AK236)+1</f>
        <v/>
      </c>
      <c r="AF236" s="7" t="n"/>
      <c r="AG236" s="7" t="n"/>
      <c r="AH236" s="86" t="n"/>
      <c r="AI236" s="8" t="n"/>
      <c r="AJ236" s="86" t="n"/>
      <c r="AK236" s="87" t="n"/>
      <c r="AL236" s="88">
        <f>IF(AM236="","",IF(AND((AM236-AK236)&gt;=TIME(0,0,0),(AM236-AK236)&lt;TIME(0,3,0)),"OK",IF(AND((AM236-AK236)&gt;=TIME(0,3,0),(AM236-AK236)&lt;TIME(0,5,0)),"RETRASO DE 3-5 MIN",IF(AND((AM236-AK236)&gt;=TIME(0,5,0),(AM236-AK236)&lt;TIME(0,10,0)),"RETRASO DE 5-10 MIN",IF((AM236-AK236)&gt;=TIME(0,10,0),"RETRASO &gt;10 MIN", IF(AND((AK236-AM236)&gt;=TIME(0,0,0),(AK236-AM236)&lt;TIME(0,3,0)),"OK",IF((AK236-AM236)&gt;=TIME(0,3,0),"ADELANTADO")))))))</f>
        <v/>
      </c>
      <c r="AM236" s="91" t="n"/>
      <c r="AN236" s="89">
        <f>IF(AE236&lt;&gt;"",HLOOKUP(VALUE(TEXT(AK236,"h:mm:ss")),IF($C$6="Laboral",$FZ$4:$GX$227,IF($C$6="Sábado",$FZ$231:$GX$452,$FZ$456:$GX$656)),VLOOKUP($C$4,$HF$2:$HH$99,3,0)+IF(AG$5="Ida",0,1),1),"")</f>
        <v/>
      </c>
      <c r="AO236" s="89">
        <f>IF(AE237&lt;&gt;AE236,AVERAGEIF(AE$9:AE236,AE236,AN$9:AN236),"")</f>
        <v/>
      </c>
      <c r="AP236" s="89">
        <f>IFERROR(IF(AE237&lt;&gt;AE236,AVERAGEIF(AE$9:AE236,AE236,AW$9:AW236),""),"")</f>
        <v/>
      </c>
      <c r="AQ236" s="89">
        <f>IFERROR(IF(AE237&lt;&gt;AE236,AVERAGEIF(AE$9:AE236,AE236,AX$9:AX236),""),"")</f>
        <v/>
      </c>
      <c r="AR236" s="89">
        <f t="array" ref="AR236">IFERROR(IF(AE237&lt;&gt;AE236,_xlfn.STDEV.P(IF(AE$9:AE236=AE236,AX$9:AX236)),""),"")</f>
        <v/>
      </c>
      <c r="AS236" s="89">
        <f t="array" ref="AS236">IFERROR(IF(AE237&lt;&gt;AE236,_xlfn.STDEV.P(IF(AE$9:AE236=AE236,AW$9:AW236)),""),"")</f>
        <v/>
      </c>
      <c r="AT236" s="90">
        <f>IFERROR(IF(AE236&lt;&gt;AE237,MAX((((AQ236*24*60)/2)*(1+POWER((((AR236*24*60) / (AQ236*24*60) )),2))) + ((AQ236*24*60 )*-0.1 + (AO236*0.015)) +1,(((AQ236*24*60)/2)*(1+POWER((((AR236*24*60) / (AQ236*24*60 ))),2)))),""),"")</f>
        <v/>
      </c>
      <c r="AU236" s="90">
        <f>IF(AND(AS236&lt;&gt;"",AP236&lt;&gt;""),IF(AE236&lt;&gt;AE237,((AP236*24*60) / 2 ) * (1 + POWER(((AS236*24*60) / (AP236*24*60)),2)),""),"")</f>
        <v/>
      </c>
      <c r="AV236" s="90">
        <f>IF(AU236&lt;&gt;"",MAX(AT236,AU236),"")</f>
        <v/>
      </c>
      <c r="AW236" s="89">
        <f>IF(AM236&lt;&gt;"H. Sale Real",IF(AND(AM237&lt;&gt;"",LEFT(AG237,2)&lt;&gt;"Va"),IF(AND(AM236&lt;&gt;"",LEFT(AG236,2)&lt;&gt;"Va",AM236&lt;&gt;"H. Sale Real"),IF(AM237-AM236&lt;0.208333333333333,AM237-AM236,""),IF(AND(AM235&lt;&gt;"",LEFT(AG235,2)&lt;&gt;"Va",AM235&lt;&gt;"H. Sale Real"),IF(AM237-AM235&lt;0.208333333333333,AM237-AM235,""),IF(AND(AM234&lt;&gt;"",LEFT(AG234,2)&lt;&gt;"Va",AM234&lt;&gt;"H. Sale Real"),IF(AM237-AM234&lt;0.208333333333333,AM237-AM234,""),IF(AND(AM233&lt;&gt;"",LEFT(AG233,2)&lt;&gt;"Va",AM233&lt;&gt;"H. Sale Real"),IF(AM237-AM233&lt;0.208333333333333,AM237-AM233,""),IF(AND(AM232&lt;&gt;"",LEFT(AG232,2)&lt;&gt;"Va",AM232&lt;&gt;"H. Sale Real"),IF(AM237-AM232&lt;0.208333333333333,AM237-AM232,""),""))))),""),"")</f>
        <v/>
      </c>
      <c r="AX236" s="89">
        <f>IF(AK236&lt;&gt;"H. Sale Real",IF(AND(AK237&lt;&gt;"",LEFT(AG237,2)&lt;&gt;"Va"),IF(AND(AK236&lt;&gt;"",LEFT(AG236,2)&lt;&gt;"Va",AK236&lt;&gt;"H. Sale Real"),IF(AK237-AK236&lt;0.208333333333333,AK237-AK236,""),IF(AND(AK235&lt;&gt;"",LEFT(AG235,2)&lt;&gt;"Va",AK235&lt;&gt;"H. Sale Real"),IF(AK237-AK235&lt;0.208333333333333,AK237-AK235,""),IF(AND(AK234&lt;&gt;"",LEFT(AG234,2)&lt;&gt;"NC",AK234&lt;&gt;"H. Sale Real"),IF(AK237-AK234&lt;0.208333333333333,AK237-AK234,""),IF(AND(AK233&lt;&gt;"",LEFT(AG233,2)&lt;&gt;"Va",AK233&lt;&gt;"H. Sale Real"),IF(AK237-AK233&lt;0.208333333333333,AK237-AK233,""),IF(AND(AK232&lt;&gt;"",LEFT(AG232,2)&lt;&gt;"Va",AK232&lt;&gt;"H. Sale Real"),IF(AK237-AK232&lt;0.208333333333333,AK237-AK232,""),""))))),""),"")</f>
        <v/>
      </c>
      <c r="AY236" s="87" t="n"/>
      <c r="AZ236" s="89" t="n"/>
      <c r="BA236" s="87" t="n"/>
      <c r="BB236" s="89" t="n"/>
      <c r="BC236" s="91" t="n"/>
      <c r="BD236" s="122">
        <f>IF(AK236&lt;&gt;"",IF(AND(BD235&lt;&gt;"IE",AT236&lt;&gt;0,AV236&lt;&gt;""),IF(IFERROR((AT236/AV236),0) &lt;=1,IFERROR(AT236/AV236,""),1),""),"")</f>
        <v/>
      </c>
      <c r="BE236" s="93" t="n"/>
      <c r="BF236" s="105" t="n"/>
      <c r="FC236" t="inlineStr">
        <is>
          <t>Diccionario 1</t>
        </is>
      </c>
      <c r="FD236" s="15" t="n">
        <v>1211</v>
      </c>
      <c r="FE236" s="15" t="inlineStr">
        <is>
          <t>YV3T7U521NA208143</t>
        </is>
      </c>
      <c r="FF236" s="15" t="n">
        <v>554610</v>
      </c>
      <c r="FG236" s="15" t="inlineStr">
        <is>
          <t>Volvo</t>
        </is>
      </c>
      <c r="FH236" s="15" t="inlineStr">
        <is>
          <t>B8RLEA</t>
        </is>
      </c>
      <c r="FI236" s="15" t="inlineStr">
        <is>
          <t>MARCOPOLO</t>
        </is>
      </c>
      <c r="FJ236" s="15" t="inlineStr">
        <is>
          <t>GRAN VIALE</t>
        </is>
      </c>
      <c r="FK236" s="15" t="n">
        <v>2022</v>
      </c>
      <c r="FL236" s="15" t="inlineStr">
        <is>
          <t>C</t>
        </is>
      </c>
      <c r="FM236" s="15" t="inlineStr">
        <is>
          <t>PIE ANDINO</t>
        </is>
      </c>
      <c r="FN236" s="15" t="inlineStr">
        <is>
          <t>Pie Andino 31 (Pie Andino 383)</t>
        </is>
      </c>
      <c r="FO236" s="15" t="inlineStr">
        <is>
          <t>Puente Alto</t>
        </is>
      </c>
      <c r="FP236" t="inlineStr">
        <is>
          <t>C</t>
        </is>
      </c>
      <c r="FS236" s="14" t="inlineStr">
        <is>
          <t>3061 / SFWB-68|</t>
        </is>
      </c>
      <c r="FT236" t="inlineStr">
        <is>
          <t>SFWB-68|</t>
        </is>
      </c>
      <c r="FU236" t="inlineStr">
        <is>
          <t>SFWB-68</t>
        </is>
      </c>
      <c r="FV236">
        <f>VLOOKUP(FU236,FD:FL,9,0)</f>
        <v/>
      </c>
      <c r="FZ236" s="51" t="n">
        <v>105</v>
      </c>
      <c r="GA236" s="117" t="n">
        <v>0</v>
      </c>
      <c r="GB236" s="117" t="n">
        <v>0</v>
      </c>
      <c r="GC236" s="117" t="n">
        <v>0</v>
      </c>
      <c r="GD236" s="117" t="n">
        <v>0</v>
      </c>
      <c r="GE236" s="117" t="n">
        <v>0</v>
      </c>
      <c r="GF236" s="117" t="n">
        <v>22.3</v>
      </c>
      <c r="GG236" s="117" t="n">
        <v>20.835</v>
      </c>
      <c r="GH236" s="117" t="n">
        <v>20.115</v>
      </c>
      <c r="GI236" s="117" t="n">
        <v>19.02</v>
      </c>
      <c r="GJ236" s="117" t="n">
        <v>18.1</v>
      </c>
      <c r="GK236" s="117" t="n">
        <v>17.16</v>
      </c>
      <c r="GL236" s="117" t="n">
        <v>15.965</v>
      </c>
      <c r="GM236" s="117" t="n">
        <v>15.43</v>
      </c>
      <c r="GN236" s="117" t="n">
        <v>16</v>
      </c>
      <c r="GO236" s="117" t="n">
        <v>16.64</v>
      </c>
      <c r="GP236" s="117" t="n">
        <v>17.015</v>
      </c>
      <c r="GQ236" s="117" t="n">
        <v>17.07</v>
      </c>
      <c r="GR236" s="117" t="n">
        <v>17.3</v>
      </c>
      <c r="GS236" s="117" t="n">
        <v>17.59</v>
      </c>
      <c r="GT236" s="117" t="n">
        <v>18.27</v>
      </c>
      <c r="GU236" s="117" t="n">
        <v>19.06</v>
      </c>
      <c r="GV236" s="117" t="n">
        <v>19.54</v>
      </c>
      <c r="GW236" s="117" t="n">
        <v>21.8</v>
      </c>
      <c r="GX236" s="117" t="n">
        <v>24.12</v>
      </c>
      <c r="HA236" s="35" t="n">
        <v>6</v>
      </c>
      <c r="HB236" s="35" t="n">
        <v>230</v>
      </c>
    </row>
    <row r="237" ht="15.5" customHeight="1">
      <c r="A237" s="10">
        <f>HOUR(G237)+1</f>
        <v/>
      </c>
      <c r="B237" s="7" t="n"/>
      <c r="C237" s="7" t="n"/>
      <c r="D237" s="85">
        <f>IFERROR(
IF(AND(OR(Planilla!B237="C",Planilla!B237="c"), VLOOKUP(E237,FD:FP,13,0)="C"), "OK",IF(AND(OR(Planilla!B237="C",Planilla!B237="c"), OR(VLOOKUP(E237,FD:FP,13,0)="B", VLOOKUP(E237,FD:FP,13,0)="A")), "DEFICIT",IF(
AND(OR(Planilla!B237="B", Planilla!B237="BPAL"), VLOOKUP(E237,FD:FP,13,0)="B"), "OK",IF(AND(OR(Planilla!B237="B", Planilla!B237="BPAL"), VLOOKUP(E237,FD:FP,13,0)="A"), "DEFICIT",IF(AND(OR(Planilla!B237="B", Planilla!B237="BPAL"), VLOOKUP(E237,FD:FP,13,0)="C"), "SOBREOFERTA",IF(AND(Planilla!B237="A", VLOOKUP(E237,FD:FP,13,0)="A"), "OK",IF(
AND(Planilla!B237="A", OR(VLOOKUP(E237,FD:FP,13,0)="B", VLOOKUP(E237,FD:FP,13,0)="C")), "SOBREOFERTA",""
))))))),"")</f>
        <v/>
      </c>
      <c r="E237" s="8" t="n"/>
      <c r="F237" s="86" t="n"/>
      <c r="G237" s="87" t="n"/>
      <c r="H237" s="88">
        <f>IF(I237="","",IF(AND((I237-G237)&gt;=TIME(0,0,0),(I237-G237)&lt;TIME(0,3,0)),"OK",IF(AND((I237-G237)&gt;=TIME(0,3,0),(I237-G237)&lt;TIME(0,5,0)),"RETRASO DE 3-5 MIN",IF(AND((I237-G237)&gt;=TIME(0,5,0),(I237-G237)&lt;TIME(0,10,0)),"RETRASO DE 5-10 MIN",IF((I237-G237)&gt;=TIME(0,10,0),"RETRASO &gt;10 MIN", IF(AND((G237-I237)&gt;=TIME(0,0,0),(G237-I237)&lt;TIME(0,3,0)),"OK",IF((G237-I237)&gt;=TIME(0,3,0),"ADELANTADO")))))))</f>
        <v/>
      </c>
      <c r="I237" s="89" t="n"/>
      <c r="J237" s="89">
        <f>IF(A237&lt;&gt;"",HLOOKUP(VALUE(TEXT(G237,"h:mm:ss")),IF($C$6="Laboral",$FZ$4:$GX$227,IF($C$6="Sábado",$FZ$231:$GX$452,$FZ$456:$GX$656)),VLOOKUP($C$4,$HF$2:$HH$99,3,0)+IF(C$5="Ida",0,1),1),"")</f>
        <v/>
      </c>
      <c r="K237" s="89">
        <f>IF(A238&lt;&gt;A237,AVERAGEIF(A$9:A237,A237,J$9:J237),"")</f>
        <v/>
      </c>
      <c r="L237" s="89">
        <f>IFERROR(IF(A238&lt;&gt;A237,AVERAGEIF(A$9:A237,A237,S$9:S237),""),"")</f>
        <v/>
      </c>
      <c r="M237" s="89">
        <f>IFERROR(IF(A238&lt;&gt;A237,AVERAGEIF(A$9:A237,A237,T$9:T237),""),"")</f>
        <v/>
      </c>
      <c r="N237" s="89">
        <f t="array" ref="N237">IFERROR(IF(A238&lt;&gt;A237,_xlfn.STDEV.P(IF(A$9:A237=A237,T$9:T237)),""),"")</f>
        <v/>
      </c>
      <c r="O237" s="89">
        <f t="array" ref="O237">IFERROR(IF(A238&lt;&gt;A237,_xlfn.STDEV.P(IF(A$9:A237=A237,S$9:S237)),""),"")</f>
        <v/>
      </c>
      <c r="P237" s="90">
        <f>IFERROR(IF(A237&lt;&gt;A238,MAX((((M237*24*60)/2)*(1+POWER((((N237*24*60) / (M237*24*60) )),2))) + ((M237*24*60 )*-0.1 + (K237*0.015)) +1,(((M237*24*60)/2)*(1+POWER((((N237*24*60) / (M237*24*60 ))),2)))),""),"")</f>
        <v/>
      </c>
      <c r="Q237" s="90">
        <f>IF(AND(O237&lt;&gt;"",L237&lt;&gt;""),IF(A237&lt;&gt;A238,((L237*24*60) / 2 ) * (1 + POWER(((O237*24*60) / (L237*24*60)),2)),""),"")</f>
        <v/>
      </c>
      <c r="R237" s="90">
        <f>IF(Q237&lt;&gt;"",MAX(P237,Q237),"")</f>
        <v/>
      </c>
      <c r="S237" s="89">
        <f>IF(I237&lt;&gt;"H. Sale Real",IF(AND(I238&lt;&gt;"",LEFT(C238,2)&lt;&gt;"Va"),IF(AND(I237&lt;&gt;"",LEFT(C237,2)&lt;&gt;"Va",I237&lt;&gt;"H. Sale Real"),IF(I238-I237&lt;0.208333333333333,I238-I237,""),IF(AND(I236&lt;&gt;"",LEFT(C236,2)&lt;&gt;"Va",I236&lt;&gt;"H. Sale Real"),IF(I238-I236&lt;0.208333333333333,I238-I236,""),IF(AND(I235&lt;&gt;"",LEFT(C235,2)&lt;&gt;"Va",I235&lt;&gt;"H. Sale Real"),IF(I238-I235&lt;0.208333333333333,I238-I235,""),IF(AND(I234&lt;&gt;"",LEFT(C234,2)&lt;&gt;"Va",I234&lt;&gt;"H. Sale Real"),IF(I238-I234&lt;0.208333333333333,I238-I234,""),IF(AND(I233&lt;&gt;"",LEFT(C233,2)&lt;&gt;"Va",I233&lt;&gt;"H. Sale Real"),IF(I238-I233&lt;0.208333333333333,I238-I233,""),""))))),""),"")</f>
        <v/>
      </c>
      <c r="T237" s="89">
        <f>IF(G237&lt;&gt;"H. Sale Real",IF(AND(G238&lt;&gt;"",LEFT(C238,2)&lt;&gt;"Va"),IF(AND(G237&lt;&gt;"",LEFT(C237,2)&lt;&gt;"Va",G237&lt;&gt;"H. Sale Real"),IF(G238-G237&lt;0.208333333333333,G238-G237,""),IF(AND(G236&lt;&gt;"",LEFT(C236,2)&lt;&gt;"Va",G236&lt;&gt;"H. Sale Real"),IF(G238-G236&lt;0.208333333333333,G238-G236,""),IF(AND(G235&lt;&gt;"",LEFT(C235,2)&lt;&gt;"Va",G235&lt;&gt;"H. Sale Real"),IF(G238-G235&lt;0.208333333333333,G238-G235,""),IF(AND(G234&lt;&gt;"",LEFT(C234,2)&lt;&gt;"Va",G234&lt;&gt;"H. Sale Real"),IF(G238-G234&lt;0.208333333333333,G238-G234,""),IF(AND(G233&lt;&gt;"",LEFT(C233,2)&lt;&gt;"Va",G233&lt;&gt;"H. Sale Real"),IF(G238-G233&lt;0.208333333333333,G238-G233,""),""))))),""),"")</f>
        <v/>
      </c>
      <c r="U237" s="87" t="n"/>
      <c r="V237" s="89" t="n"/>
      <c r="W237" s="87" t="n"/>
      <c r="X237" s="89" t="n"/>
      <c r="Y237" s="91" t="n"/>
      <c r="Z237" s="122">
        <f>IF(G237&lt;&gt;"",IF(AND(Z236&lt;&gt;"IE",P237&lt;&gt;0,R237&lt;&gt;""),IF(IFERROR((P237/R237),0) &lt;=1,IFERROR(P237/R237,""),1),""),"")</f>
        <v/>
      </c>
      <c r="AA237" s="93" t="n"/>
      <c r="AB237" s="2" t="n"/>
      <c r="AE237" s="10">
        <f>HOUR(AK237)+1</f>
        <v/>
      </c>
      <c r="AF237" s="7" t="n"/>
      <c r="AG237" s="7" t="n"/>
      <c r="AH237" s="86" t="n"/>
      <c r="AI237" s="8" t="n"/>
      <c r="AJ237" s="86" t="n"/>
      <c r="AK237" s="87" t="n"/>
      <c r="AL237" s="88">
        <f>IF(AM237="","",IF(AND((AM237-AK237)&gt;=TIME(0,0,0),(AM237-AK237)&lt;TIME(0,3,0)),"OK",IF(AND((AM237-AK237)&gt;=TIME(0,3,0),(AM237-AK237)&lt;TIME(0,5,0)),"RETRASO DE 3-5 MIN",IF(AND((AM237-AK237)&gt;=TIME(0,5,0),(AM237-AK237)&lt;TIME(0,10,0)),"RETRASO DE 5-10 MIN",IF((AM237-AK237)&gt;=TIME(0,10,0),"RETRASO &gt;10 MIN", IF(AND((AK237-AM237)&gt;=TIME(0,0,0),(AK237-AM237)&lt;TIME(0,3,0)),"OK",IF((AK237-AM237)&gt;=TIME(0,3,0),"ADELANTADO")))))))</f>
        <v/>
      </c>
      <c r="AM237" s="91" t="n"/>
      <c r="AN237" s="89">
        <f>IF(AE237&lt;&gt;"",HLOOKUP(VALUE(TEXT(AK237,"h:mm:ss")),IF($C$6="Laboral",$FZ$4:$GX$227,IF($C$6="Sábado",$FZ$231:$GX$452,$FZ$456:$GX$656)),VLOOKUP($C$4,$HF$2:$HH$99,3,0)+IF(AG$5="Ida",0,1),1),"")</f>
        <v/>
      </c>
      <c r="AO237" s="89">
        <f>IF(AE238&lt;&gt;AE237,AVERAGEIF(AE$9:AE237,AE237,AN$9:AN237),"")</f>
        <v/>
      </c>
      <c r="AP237" s="89">
        <f>IFERROR(IF(AE238&lt;&gt;AE237,AVERAGEIF(AE$9:AE237,AE237,AW$9:AW237),""),"")</f>
        <v/>
      </c>
      <c r="AQ237" s="89">
        <f>IFERROR(IF(AE238&lt;&gt;AE237,AVERAGEIF(AE$9:AE237,AE237,AX$9:AX237),""),"")</f>
        <v/>
      </c>
      <c r="AR237" s="89">
        <f t="array" ref="AR237">IFERROR(IF(AE238&lt;&gt;AE237,_xlfn.STDEV.P(IF(AE$9:AE237=AE237,AX$9:AX237)),""),"")</f>
        <v/>
      </c>
      <c r="AS237" s="89">
        <f t="array" ref="AS237">IFERROR(IF(AE238&lt;&gt;AE237,_xlfn.STDEV.P(IF(AE$9:AE237=AE237,AW$9:AW237)),""),"")</f>
        <v/>
      </c>
      <c r="AT237" s="90">
        <f>IFERROR(IF(AE237&lt;&gt;AE238,MAX((((AQ237*24*60)/2)*(1+POWER((((AR237*24*60) / (AQ237*24*60) )),2))) + ((AQ237*24*60 )*-0.1 + (AO237*0.015)) +1,(((AQ237*24*60)/2)*(1+POWER((((AR237*24*60) / (AQ237*24*60 ))),2)))),""),"")</f>
        <v/>
      </c>
      <c r="AU237" s="90">
        <f>IF(AND(AS237&lt;&gt;"",AP237&lt;&gt;""),IF(AE237&lt;&gt;AE238,((AP237*24*60) / 2 ) * (1 + POWER(((AS237*24*60) / (AP237*24*60)),2)),""),"")</f>
        <v/>
      </c>
      <c r="AV237" s="90">
        <f>IF(AU237&lt;&gt;"",MAX(AT237,AU237),"")</f>
        <v/>
      </c>
      <c r="AW237" s="89">
        <f>IF(AM237&lt;&gt;"H. Sale Real",IF(AND(AM238&lt;&gt;"",LEFT(AG238,2)&lt;&gt;"Va"),IF(AND(AM237&lt;&gt;"",LEFT(AG237,2)&lt;&gt;"Va",AM237&lt;&gt;"H. Sale Real"),IF(AM238-AM237&lt;0.208333333333333,AM238-AM237,""),IF(AND(AM236&lt;&gt;"",LEFT(AG236,2)&lt;&gt;"Va",AM236&lt;&gt;"H. Sale Real"),IF(AM238-AM236&lt;0.208333333333333,AM238-AM236,""),IF(AND(AM235&lt;&gt;"",LEFT(AG235,2)&lt;&gt;"Va",AM235&lt;&gt;"H. Sale Real"),IF(AM238-AM235&lt;0.208333333333333,AM238-AM235,""),IF(AND(AM234&lt;&gt;"",LEFT(AG234,2)&lt;&gt;"Va",AM234&lt;&gt;"H. Sale Real"),IF(AM238-AM234&lt;0.208333333333333,AM238-AM234,""),IF(AND(AM233&lt;&gt;"",LEFT(AG233,2)&lt;&gt;"Va",AM233&lt;&gt;"H. Sale Real"),IF(AM238-AM233&lt;0.208333333333333,AM238-AM233,""),""))))),""),"")</f>
        <v/>
      </c>
      <c r="AX237" s="89">
        <f>IF(AK237&lt;&gt;"H. Sale Real",IF(AND(AK238&lt;&gt;"",LEFT(AG238,2)&lt;&gt;"Va"),IF(AND(AK237&lt;&gt;"",LEFT(AG237,2)&lt;&gt;"Va",AK237&lt;&gt;"H. Sale Real"),IF(AK238-AK237&lt;0.208333333333333,AK238-AK237,""),IF(AND(AK236&lt;&gt;"",LEFT(AG236,2)&lt;&gt;"Va",AK236&lt;&gt;"H. Sale Real"),IF(AK238-AK236&lt;0.208333333333333,AK238-AK236,""),IF(AND(AK235&lt;&gt;"",LEFT(AG235,2)&lt;&gt;"NC",AK235&lt;&gt;"H. Sale Real"),IF(AK238-AK235&lt;0.208333333333333,AK238-AK235,""),IF(AND(AK234&lt;&gt;"",LEFT(AG234,2)&lt;&gt;"Va",AK234&lt;&gt;"H. Sale Real"),IF(AK238-AK234&lt;0.208333333333333,AK238-AK234,""),IF(AND(AK233&lt;&gt;"",LEFT(AG233,2)&lt;&gt;"Va",AK233&lt;&gt;"H. Sale Real"),IF(AK238-AK233&lt;0.208333333333333,AK238-AK233,""),""))))),""),"")</f>
        <v/>
      </c>
      <c r="AY237" s="87" t="n"/>
      <c r="AZ237" s="89" t="n"/>
      <c r="BA237" s="87" t="n"/>
      <c r="BB237" s="89" t="n"/>
      <c r="BC237" s="91" t="n"/>
      <c r="BD237" s="122">
        <f>IF(AK237&lt;&gt;"",IF(AND(BD236&lt;&gt;"IE",AT237&lt;&gt;0,AV237&lt;&gt;""),IF(IFERROR((AT237/AV237),0) &lt;=1,IFERROR(AT237/AV237,""),1),""),"")</f>
        <v/>
      </c>
      <c r="BE237" s="93" t="n"/>
      <c r="BF237" s="105" t="n"/>
      <c r="FC237" t="inlineStr">
        <is>
          <t>Diccionario 1</t>
        </is>
      </c>
      <c r="FD237" s="15" t="n">
        <v>1212</v>
      </c>
      <c r="FE237" s="15" t="inlineStr">
        <is>
          <t>YV3T7U523NA208144</t>
        </is>
      </c>
      <c r="FF237" s="15" t="n">
        <v>554682</v>
      </c>
      <c r="FG237" s="15" t="inlineStr">
        <is>
          <t>Volvo</t>
        </is>
      </c>
      <c r="FH237" s="15" t="inlineStr">
        <is>
          <t>B8RLEA</t>
        </is>
      </c>
      <c r="FI237" s="15" t="inlineStr">
        <is>
          <t>MARCOPOLO</t>
        </is>
      </c>
      <c r="FJ237" s="15" t="inlineStr">
        <is>
          <t>GRAN VIALE</t>
        </is>
      </c>
      <c r="FK237" s="15" t="n">
        <v>2022</v>
      </c>
      <c r="FL237" s="15" t="inlineStr">
        <is>
          <t>C</t>
        </is>
      </c>
      <c r="FM237" s="15" t="inlineStr">
        <is>
          <t>PIE ANDINO</t>
        </is>
      </c>
      <c r="FN237" s="15" t="inlineStr">
        <is>
          <t>Pie Andino 31 (Pie Andino 383)</t>
        </is>
      </c>
      <c r="FO237" s="15" t="inlineStr">
        <is>
          <t>Puente Alto</t>
        </is>
      </c>
      <c r="FP237" t="inlineStr">
        <is>
          <t>C</t>
        </is>
      </c>
      <c r="FS237" s="14" t="inlineStr">
        <is>
          <t>3061 / SFWB-68|</t>
        </is>
      </c>
      <c r="FT237" t="inlineStr">
        <is>
          <t>SFWB-68|</t>
        </is>
      </c>
      <c r="FU237" t="inlineStr">
        <is>
          <t>SFWB-68</t>
        </is>
      </c>
      <c r="FV237">
        <f>VLOOKUP(FU237,FD:FL,9,0)</f>
        <v/>
      </c>
      <c r="FZ237" s="51" t="inlineStr">
        <is>
          <t>B07</t>
        </is>
      </c>
      <c r="GA237" s="117" t="n">
        <v>0</v>
      </c>
      <c r="GB237" s="117" t="n">
        <v>0</v>
      </c>
      <c r="GC237" s="117" t="n">
        <v>0</v>
      </c>
      <c r="GD237" s="117" t="n">
        <v>0</v>
      </c>
      <c r="GE237" s="117" t="n">
        <v>0</v>
      </c>
      <c r="GF237" s="117" t="n">
        <v>14.93</v>
      </c>
      <c r="GG237" s="117" t="n">
        <v>28.285</v>
      </c>
      <c r="GH237" s="117" t="n">
        <v>26.845</v>
      </c>
      <c r="GI237" s="117" t="n">
        <v>27.795</v>
      </c>
      <c r="GJ237" s="117" t="n">
        <v>27.54</v>
      </c>
      <c r="GK237" s="117" t="n">
        <v>27.65</v>
      </c>
      <c r="GL237" s="117" t="n">
        <v>27.55</v>
      </c>
      <c r="GM237" s="117" t="n">
        <v>26.435</v>
      </c>
      <c r="GN237" s="117" t="n">
        <v>25.86</v>
      </c>
      <c r="GO237" s="117" t="n">
        <v>26.635</v>
      </c>
      <c r="GP237" s="117" t="n">
        <v>27.01</v>
      </c>
      <c r="GQ237" s="117" t="n">
        <v>26.895</v>
      </c>
      <c r="GR237" s="117" t="n">
        <v>27.105</v>
      </c>
      <c r="GS237" s="117" t="n">
        <v>26.55</v>
      </c>
      <c r="GT237" s="117" t="n">
        <v>26.355</v>
      </c>
      <c r="GU237" s="117" t="n">
        <v>28.17</v>
      </c>
      <c r="GV237" s="117" t="n">
        <v>29.48</v>
      </c>
      <c r="GW237" s="117" t="n">
        <v>29.23</v>
      </c>
      <c r="GX237" s="117" t="n">
        <v>0</v>
      </c>
      <c r="HA237" s="35" t="n">
        <v>7</v>
      </c>
      <c r="HB237" s="35" t="n">
        <v>231</v>
      </c>
    </row>
    <row r="238" ht="15.5" customHeight="1">
      <c r="A238" s="10">
        <f>HOUR(G238)+1</f>
        <v/>
      </c>
      <c r="B238" s="7" t="n"/>
      <c r="C238" s="7" t="n"/>
      <c r="D238" s="85">
        <f>IFERROR(
IF(AND(OR(Planilla!B238="C",Planilla!B238="c"), VLOOKUP(E238,FD:FP,13,0)="C"), "OK",IF(AND(OR(Planilla!B238="C",Planilla!B238="c"), OR(VLOOKUP(E238,FD:FP,13,0)="B", VLOOKUP(E238,FD:FP,13,0)="A")), "DEFICIT",IF(
AND(OR(Planilla!B238="B", Planilla!B238="BPAL"), VLOOKUP(E238,FD:FP,13,0)="B"), "OK",IF(AND(OR(Planilla!B238="B", Planilla!B238="BPAL"), VLOOKUP(E238,FD:FP,13,0)="A"), "DEFICIT",IF(AND(OR(Planilla!B238="B", Planilla!B238="BPAL"), VLOOKUP(E238,FD:FP,13,0)="C"), "SOBREOFERTA",IF(AND(Planilla!B238="A", VLOOKUP(E238,FD:FP,13,0)="A"), "OK",IF(
AND(Planilla!B238="A", OR(VLOOKUP(E238,FD:FP,13,0)="B", VLOOKUP(E238,FD:FP,13,0)="C")), "SOBREOFERTA",""
))))))),"")</f>
        <v/>
      </c>
      <c r="E238" s="8" t="n"/>
      <c r="F238" s="86" t="n"/>
      <c r="G238" s="87" t="n"/>
      <c r="H238" s="88">
        <f>IF(I238="","",IF(AND((I238-G238)&gt;=TIME(0,0,0),(I238-G238)&lt;TIME(0,3,0)),"OK",IF(AND((I238-G238)&gt;=TIME(0,3,0),(I238-G238)&lt;TIME(0,5,0)),"RETRASO DE 3-5 MIN",IF(AND((I238-G238)&gt;=TIME(0,5,0),(I238-G238)&lt;TIME(0,10,0)),"RETRASO DE 5-10 MIN",IF((I238-G238)&gt;=TIME(0,10,0),"RETRASO &gt;10 MIN", IF(AND((G238-I238)&gt;=TIME(0,0,0),(G238-I238)&lt;TIME(0,3,0)),"OK",IF((G238-I238)&gt;=TIME(0,3,0),"ADELANTADO")))))))</f>
        <v/>
      </c>
      <c r="I238" s="89" t="n"/>
      <c r="J238" s="89">
        <f>IF(A238&lt;&gt;"",HLOOKUP(VALUE(TEXT(G238,"h:mm:ss")),IF($C$6="Laboral",$FZ$4:$GX$227,IF($C$6="Sábado",$FZ$231:$GX$452,$FZ$456:$GX$656)),VLOOKUP($C$4,$HF$2:$HH$99,3,0)+IF(C$5="Ida",0,1),1),"")</f>
        <v/>
      </c>
      <c r="K238" s="89">
        <f>IF(A239&lt;&gt;A238,AVERAGEIF(A$9:A238,A238,J$9:J238),"")</f>
        <v/>
      </c>
      <c r="L238" s="89">
        <f>IFERROR(IF(A239&lt;&gt;A238,AVERAGEIF(A$9:A238,A238,S$9:S238),""),"")</f>
        <v/>
      </c>
      <c r="M238" s="89">
        <f>IFERROR(IF(A239&lt;&gt;A238,AVERAGEIF(A$9:A238,A238,T$9:T238),""),"")</f>
        <v/>
      </c>
      <c r="N238" s="89">
        <f t="array" ref="N238">IFERROR(IF(A239&lt;&gt;A238,_xlfn.STDEV.P(IF(A$9:A238=A238,T$9:T238)),""),"")</f>
        <v/>
      </c>
      <c r="O238" s="89">
        <f t="array" ref="O238">IFERROR(IF(A239&lt;&gt;A238,_xlfn.STDEV.P(IF(A$9:A238=A238,S$9:S238)),""),"")</f>
        <v/>
      </c>
      <c r="P238" s="90">
        <f>IFERROR(IF(A238&lt;&gt;A239,MAX((((M238*24*60)/2)*(1+POWER((((N238*24*60) / (M238*24*60) )),2))) + ((M238*24*60 )*-0.1 + (K238*0.015)) +1,(((M238*24*60)/2)*(1+POWER((((N238*24*60) / (M238*24*60 ))),2)))),""),"")</f>
        <v/>
      </c>
      <c r="Q238" s="90">
        <f>IF(AND(O238&lt;&gt;"",L238&lt;&gt;""),IF(A238&lt;&gt;A239,((L238*24*60) / 2 ) * (1 + POWER(((O238*24*60) / (L238*24*60)),2)),""),"")</f>
        <v/>
      </c>
      <c r="R238" s="90">
        <f>IF(Q238&lt;&gt;"",MAX(P238,Q238),"")</f>
        <v/>
      </c>
      <c r="S238" s="89">
        <f>IF(I238&lt;&gt;"H. Sale Real",IF(AND(I239&lt;&gt;"",LEFT(C239,2)&lt;&gt;"Va"),IF(AND(I238&lt;&gt;"",LEFT(C238,2)&lt;&gt;"Va",I238&lt;&gt;"H. Sale Real"),IF(I239-I238&lt;0.208333333333333,I239-I238,""),IF(AND(I237&lt;&gt;"",LEFT(C237,2)&lt;&gt;"Va",I237&lt;&gt;"H. Sale Real"),IF(I239-I237&lt;0.208333333333333,I239-I237,""),IF(AND(I236&lt;&gt;"",LEFT(C236,2)&lt;&gt;"Va",I236&lt;&gt;"H. Sale Real"),IF(I239-I236&lt;0.208333333333333,I239-I236,""),IF(AND(I235&lt;&gt;"",LEFT(C235,2)&lt;&gt;"Va",I235&lt;&gt;"H. Sale Real"),IF(I239-I235&lt;0.208333333333333,I239-I235,""),IF(AND(I234&lt;&gt;"",LEFT(C234,2)&lt;&gt;"Va",I234&lt;&gt;"H. Sale Real"),IF(I239-I234&lt;0.208333333333333,I239-I234,""),""))))),""),"")</f>
        <v/>
      </c>
      <c r="T238" s="89">
        <f>IF(G238&lt;&gt;"H. Sale Real",IF(AND(G239&lt;&gt;"",LEFT(C239,2)&lt;&gt;"Va"),IF(AND(G238&lt;&gt;"",LEFT(C238,2)&lt;&gt;"Va",G238&lt;&gt;"H. Sale Real"),IF(G239-G238&lt;0.208333333333333,G239-G238,""),IF(AND(G237&lt;&gt;"",LEFT(C237,2)&lt;&gt;"Va",G237&lt;&gt;"H. Sale Real"),IF(G239-G237&lt;0.208333333333333,G239-G237,""),IF(AND(G236&lt;&gt;"",LEFT(C236,2)&lt;&gt;"Va",G236&lt;&gt;"H. Sale Real"),IF(G239-G236&lt;0.208333333333333,G239-G236,""),IF(AND(G235&lt;&gt;"",LEFT(C235,2)&lt;&gt;"Va",G235&lt;&gt;"H. Sale Real"),IF(G239-G235&lt;0.208333333333333,G239-G235,""),IF(AND(G234&lt;&gt;"",LEFT(C234,2)&lt;&gt;"Va",G234&lt;&gt;"H. Sale Real"),IF(G239-G234&lt;0.208333333333333,G239-G234,""),""))))),""),"")</f>
        <v/>
      </c>
      <c r="U238" s="87" t="n"/>
      <c r="V238" s="89" t="n"/>
      <c r="W238" s="87" t="n"/>
      <c r="X238" s="89" t="n"/>
      <c r="Y238" s="91" t="n"/>
      <c r="Z238" s="122">
        <f>IF(G238&lt;&gt;"",IF(AND(Z237&lt;&gt;"IE",P238&lt;&gt;0,R238&lt;&gt;""),IF(IFERROR((P238/R238),0) &lt;=1,IFERROR(P238/R238,""),1),""),"")</f>
        <v/>
      </c>
      <c r="AA238" s="93" t="n"/>
      <c r="AB238" s="2" t="n"/>
      <c r="AE238" s="10">
        <f>HOUR(AK238)+1</f>
        <v/>
      </c>
      <c r="AF238" s="7" t="n"/>
      <c r="AG238" s="7" t="n"/>
      <c r="AH238" s="86" t="n"/>
      <c r="AI238" s="8" t="n"/>
      <c r="AJ238" s="86" t="n"/>
      <c r="AK238" s="87" t="n"/>
      <c r="AL238" s="88">
        <f>IF(AM238="","",IF(AND((AM238-AK238)&gt;=TIME(0,0,0),(AM238-AK238)&lt;TIME(0,3,0)),"OK",IF(AND((AM238-AK238)&gt;=TIME(0,3,0),(AM238-AK238)&lt;TIME(0,5,0)),"RETRASO DE 3-5 MIN",IF(AND((AM238-AK238)&gt;=TIME(0,5,0),(AM238-AK238)&lt;TIME(0,10,0)),"RETRASO DE 5-10 MIN",IF((AM238-AK238)&gt;=TIME(0,10,0),"RETRASO &gt;10 MIN", IF(AND((AK238-AM238)&gt;=TIME(0,0,0),(AK238-AM238)&lt;TIME(0,3,0)),"OK",IF((AK238-AM238)&gt;=TIME(0,3,0),"ADELANTADO")))))))</f>
        <v/>
      </c>
      <c r="AM238" s="91" t="n"/>
      <c r="AN238" s="89">
        <f>IF(AE238&lt;&gt;"",HLOOKUP(VALUE(TEXT(AK238,"h:mm:ss")),IF($C$6="Laboral",$FZ$4:$GX$227,IF($C$6="Sábado",$FZ$231:$GX$452,$FZ$456:$GX$656)),VLOOKUP($C$4,$HF$2:$HH$99,3,0)+IF(AG$5="Ida",0,1),1),"")</f>
        <v/>
      </c>
      <c r="AO238" s="89">
        <f>IF(AE239&lt;&gt;AE238,AVERAGEIF(AE$9:AE238,AE238,AN$9:AN238),"")</f>
        <v/>
      </c>
      <c r="AP238" s="89">
        <f>IFERROR(IF(AE239&lt;&gt;AE238,AVERAGEIF(AE$9:AE238,AE238,AW$9:AW238),""),"")</f>
        <v/>
      </c>
      <c r="AQ238" s="89">
        <f>IFERROR(IF(AE239&lt;&gt;AE238,AVERAGEIF(AE$9:AE238,AE238,AX$9:AX238),""),"")</f>
        <v/>
      </c>
      <c r="AR238" s="89">
        <f t="array" ref="AR238">IFERROR(IF(AE239&lt;&gt;AE238,_xlfn.STDEV.P(IF(AE$9:AE238=AE238,AX$9:AX238)),""),"")</f>
        <v/>
      </c>
      <c r="AS238" s="89">
        <f t="array" ref="AS238">IFERROR(IF(AE239&lt;&gt;AE238,_xlfn.STDEV.P(IF(AE$9:AE238=AE238,AW$9:AW238)),""),"")</f>
        <v/>
      </c>
      <c r="AT238" s="90">
        <f>IFERROR(IF(AE238&lt;&gt;AE239,MAX((((AQ238*24*60)/2)*(1+POWER((((AR238*24*60) / (AQ238*24*60) )),2))) + ((AQ238*24*60 )*-0.1 + (AO238*0.015)) +1,(((AQ238*24*60)/2)*(1+POWER((((AR238*24*60) / (AQ238*24*60 ))),2)))),""),"")</f>
        <v/>
      </c>
      <c r="AU238" s="90">
        <f>IF(AND(AS238&lt;&gt;"",AP238&lt;&gt;""),IF(AE238&lt;&gt;AE239,((AP238*24*60) / 2 ) * (1 + POWER(((AS238*24*60) / (AP238*24*60)),2)),""),"")</f>
        <v/>
      </c>
      <c r="AV238" s="90">
        <f>IF(AU238&lt;&gt;"",MAX(AT238,AU238),"")</f>
        <v/>
      </c>
      <c r="AW238" s="89">
        <f>IF(AM238&lt;&gt;"H. Sale Real",IF(AND(AM239&lt;&gt;"",LEFT(AG239,2)&lt;&gt;"Va"),IF(AND(AM238&lt;&gt;"",LEFT(AG238,2)&lt;&gt;"Va",AM238&lt;&gt;"H. Sale Real"),IF(AM239-AM238&lt;0.208333333333333,AM239-AM238,""),IF(AND(AM237&lt;&gt;"",LEFT(AG237,2)&lt;&gt;"Va",AM237&lt;&gt;"H. Sale Real"),IF(AM239-AM237&lt;0.208333333333333,AM239-AM237,""),IF(AND(AM236&lt;&gt;"",LEFT(AG236,2)&lt;&gt;"Va",AM236&lt;&gt;"H. Sale Real"),IF(AM239-AM236&lt;0.208333333333333,AM239-AM236,""),IF(AND(AM235&lt;&gt;"",LEFT(AG235,2)&lt;&gt;"Va",AM235&lt;&gt;"H. Sale Real"),IF(AM239-AM235&lt;0.208333333333333,AM239-AM235,""),IF(AND(AM234&lt;&gt;"",LEFT(AG234,2)&lt;&gt;"Va",AM234&lt;&gt;"H. Sale Real"),IF(AM239-AM234&lt;0.208333333333333,AM239-AM234,""),""))))),""),"")</f>
        <v/>
      </c>
      <c r="AX238" s="89">
        <f>IF(AK238&lt;&gt;"H. Sale Real",IF(AND(AK239&lt;&gt;"",LEFT(AG239,2)&lt;&gt;"Va"),IF(AND(AK238&lt;&gt;"",LEFT(AG238,2)&lt;&gt;"Va",AK238&lt;&gt;"H. Sale Real"),IF(AK239-AK238&lt;0.208333333333333,AK239-AK238,""),IF(AND(AK237&lt;&gt;"",LEFT(AG237,2)&lt;&gt;"Va",AK237&lt;&gt;"H. Sale Real"),IF(AK239-AK237&lt;0.208333333333333,AK239-AK237,""),IF(AND(AK236&lt;&gt;"",LEFT(AG236,2)&lt;&gt;"NC",AK236&lt;&gt;"H. Sale Real"),IF(AK239-AK236&lt;0.208333333333333,AK239-AK236,""),IF(AND(AK235&lt;&gt;"",LEFT(AG235,2)&lt;&gt;"Va",AK235&lt;&gt;"H. Sale Real"),IF(AK239-AK235&lt;0.208333333333333,AK239-AK235,""),IF(AND(AK234&lt;&gt;"",LEFT(AG234,2)&lt;&gt;"Va",AK234&lt;&gt;"H. Sale Real"),IF(AK239-AK234&lt;0.208333333333333,AK239-AK234,""),""))))),""),"")</f>
        <v/>
      </c>
      <c r="AY238" s="87" t="n"/>
      <c r="AZ238" s="89" t="n"/>
      <c r="BA238" s="87" t="n"/>
      <c r="BB238" s="89" t="n"/>
      <c r="BC238" s="91" t="n"/>
      <c r="BD238" s="122">
        <f>IF(AK238&lt;&gt;"",IF(AND(BD237&lt;&gt;"IE",AT238&lt;&gt;0,AV238&lt;&gt;""),IF(IFERROR((AT238/AV238),0) &lt;=1,IFERROR(AT238/AV238,""),1),""),"")</f>
        <v/>
      </c>
      <c r="BE238" s="93" t="n"/>
      <c r="BF238" s="105" t="n"/>
      <c r="FC238" t="inlineStr">
        <is>
          <t>Diccionario 1</t>
        </is>
      </c>
      <c r="FD238" s="15" t="n">
        <v>1213</v>
      </c>
      <c r="FE238" s="15" t="inlineStr">
        <is>
          <t>YV3T7U522NA208152</t>
        </is>
      </c>
      <c r="FF238" s="15" t="n">
        <v>554694</v>
      </c>
      <c r="FG238" s="15" t="inlineStr">
        <is>
          <t>Volvo</t>
        </is>
      </c>
      <c r="FH238" s="15" t="inlineStr">
        <is>
          <t>B8RLEA</t>
        </is>
      </c>
      <c r="FI238" s="15" t="inlineStr">
        <is>
          <t>MARCOPOLO</t>
        </is>
      </c>
      <c r="FJ238" s="15" t="inlineStr">
        <is>
          <t>GRAN VIALE</t>
        </is>
      </c>
      <c r="FK238" s="15" t="n">
        <v>2022</v>
      </c>
      <c r="FL238" s="15" t="inlineStr">
        <is>
          <t>C</t>
        </is>
      </c>
      <c r="FM238" s="15" t="inlineStr">
        <is>
          <t>SAN ALFONSO</t>
        </is>
      </c>
      <c r="FN238" s="15" t="inlineStr">
        <is>
          <t>San Alfonso 2141 (Ramón Subercaseaux 3060)</t>
        </is>
      </c>
      <c r="FO238" s="15" t="inlineStr">
        <is>
          <t>Estacion Central</t>
        </is>
      </c>
      <c r="FP238" t="inlineStr">
        <is>
          <t>C</t>
        </is>
      </c>
      <c r="FS238" s="14" t="inlineStr">
        <is>
          <t>3061 / SFWB-68|</t>
        </is>
      </c>
      <c r="FT238" t="inlineStr">
        <is>
          <t>SFWB-68|</t>
        </is>
      </c>
      <c r="FU238" t="inlineStr">
        <is>
          <t>SFWB-68</t>
        </is>
      </c>
      <c r="FV238">
        <f>VLOOKUP(FU238,FD:FL,9,0)</f>
        <v/>
      </c>
      <c r="FZ238" s="51" t="inlineStr">
        <is>
          <t>B08</t>
        </is>
      </c>
      <c r="GA238" s="117" t="n">
        <v>14.065</v>
      </c>
      <c r="GB238" s="117" t="n">
        <v>0</v>
      </c>
      <c r="GC238" s="117" t="n">
        <v>0</v>
      </c>
      <c r="GD238" s="117" t="n">
        <v>0</v>
      </c>
      <c r="GE238" s="117" t="n">
        <v>15.085</v>
      </c>
      <c r="GF238" s="117" t="n">
        <v>27.195</v>
      </c>
      <c r="GG238" s="117" t="n">
        <v>22.855</v>
      </c>
      <c r="GH238" s="117" t="n">
        <v>21.39</v>
      </c>
      <c r="GI238" s="117" t="n">
        <v>20.66</v>
      </c>
      <c r="GJ238" s="117" t="n">
        <v>19.845</v>
      </c>
      <c r="GK238" s="117" t="n">
        <v>18.79</v>
      </c>
      <c r="GL238" s="117" t="n">
        <v>17.895</v>
      </c>
      <c r="GM238" s="117" t="n">
        <v>17.42</v>
      </c>
      <c r="GN238" s="117" t="n">
        <v>16.78</v>
      </c>
      <c r="GO238" s="117" t="n">
        <v>17.5</v>
      </c>
      <c r="GP238" s="117" t="n">
        <v>18.255</v>
      </c>
      <c r="GQ238" s="117" t="n">
        <v>18.01</v>
      </c>
      <c r="GR238" s="117" t="n">
        <v>18.035</v>
      </c>
      <c r="GS238" s="117" t="n">
        <v>17.63</v>
      </c>
      <c r="GT238" s="117" t="n">
        <v>18.505</v>
      </c>
      <c r="GU238" s="117" t="n">
        <v>20.09</v>
      </c>
      <c r="GV238" s="117" t="n">
        <v>22.075</v>
      </c>
      <c r="GW238" s="117" t="n">
        <v>23.16</v>
      </c>
      <c r="GX238" s="117" t="n">
        <v>25.3</v>
      </c>
      <c r="HA238" s="35" t="n">
        <v>8</v>
      </c>
      <c r="HB238" s="35" t="n">
        <v>232</v>
      </c>
    </row>
    <row r="239" ht="15.5" customHeight="1">
      <c r="A239" s="10">
        <f>HOUR(G239)+1</f>
        <v/>
      </c>
      <c r="B239" s="7" t="n"/>
      <c r="C239" s="7" t="n"/>
      <c r="D239" s="85">
        <f>IFERROR(
IF(AND(OR(Planilla!B239="C",Planilla!B239="c"), VLOOKUP(E239,FD:FP,13,0)="C"), "OK",IF(AND(OR(Planilla!B239="C",Planilla!B239="c"), OR(VLOOKUP(E239,FD:FP,13,0)="B", VLOOKUP(E239,FD:FP,13,0)="A")), "DEFICIT",IF(
AND(OR(Planilla!B239="B", Planilla!B239="BPAL"), VLOOKUP(E239,FD:FP,13,0)="B"), "OK",IF(AND(OR(Planilla!B239="B", Planilla!B239="BPAL"), VLOOKUP(E239,FD:FP,13,0)="A"), "DEFICIT",IF(AND(OR(Planilla!B239="B", Planilla!B239="BPAL"), VLOOKUP(E239,FD:FP,13,0)="C"), "SOBREOFERTA",IF(AND(Planilla!B239="A", VLOOKUP(E239,FD:FP,13,0)="A"), "OK",IF(
AND(Planilla!B239="A", OR(VLOOKUP(E239,FD:FP,13,0)="B", VLOOKUP(E239,FD:FP,13,0)="C")), "SOBREOFERTA",""
))))))),"")</f>
        <v/>
      </c>
      <c r="E239" s="8" t="n"/>
      <c r="F239" s="86" t="n"/>
      <c r="G239" s="87" t="n"/>
      <c r="H239" s="88">
        <f>IF(I239="","",IF(AND((I239-G239)&gt;=TIME(0,0,0),(I239-G239)&lt;TIME(0,3,0)),"OK",IF(AND((I239-G239)&gt;=TIME(0,3,0),(I239-G239)&lt;TIME(0,5,0)),"RETRASO DE 3-5 MIN",IF(AND((I239-G239)&gt;=TIME(0,5,0),(I239-G239)&lt;TIME(0,10,0)),"RETRASO DE 5-10 MIN",IF((I239-G239)&gt;=TIME(0,10,0),"RETRASO &gt;10 MIN", IF(AND((G239-I239)&gt;=TIME(0,0,0),(G239-I239)&lt;TIME(0,3,0)),"OK",IF((G239-I239)&gt;=TIME(0,3,0),"ADELANTADO")))))))</f>
        <v/>
      </c>
      <c r="I239" s="89" t="n"/>
      <c r="J239" s="89">
        <f>IF(A239&lt;&gt;"",HLOOKUP(VALUE(TEXT(G239,"h:mm:ss")),IF($C$6="Laboral",$FZ$4:$GX$227,IF($C$6="Sábado",$FZ$231:$GX$452,$FZ$456:$GX$656)),VLOOKUP($C$4,$HF$2:$HH$99,3,0)+IF(C$5="Ida",0,1),1),"")</f>
        <v/>
      </c>
      <c r="K239" s="89">
        <f>IF(A240&lt;&gt;A239,AVERAGEIF(A$9:A239,A239,J$9:J239),"")</f>
        <v/>
      </c>
      <c r="L239" s="89">
        <f>IFERROR(IF(A240&lt;&gt;A239,AVERAGEIF(A$9:A239,A239,S$9:S239),""),"")</f>
        <v/>
      </c>
      <c r="M239" s="89">
        <f>IFERROR(IF(A240&lt;&gt;A239,AVERAGEIF(A$9:A239,A239,T$9:T239),""),"")</f>
        <v/>
      </c>
      <c r="N239" s="89">
        <f t="array" ref="N239">IFERROR(IF(A240&lt;&gt;A239,_xlfn.STDEV.P(IF(A$9:A239=A239,T$9:T239)),""),"")</f>
        <v/>
      </c>
      <c r="O239" s="89">
        <f t="array" ref="O239">IFERROR(IF(A240&lt;&gt;A239,_xlfn.STDEV.P(IF(A$9:A239=A239,S$9:S239)),""),"")</f>
        <v/>
      </c>
      <c r="P239" s="90">
        <f>IFERROR(IF(A239&lt;&gt;A240,MAX((((M239*24*60)/2)*(1+POWER((((N239*24*60) / (M239*24*60) )),2))) + ((M239*24*60 )*-0.1 + (K239*0.015)) +1,(((M239*24*60)/2)*(1+POWER((((N239*24*60) / (M239*24*60 ))),2)))),""),"")</f>
        <v/>
      </c>
      <c r="Q239" s="90">
        <f>IF(AND(O239&lt;&gt;"",L239&lt;&gt;""),IF(A239&lt;&gt;A240,((L239*24*60) / 2 ) * (1 + POWER(((O239*24*60) / (L239*24*60)),2)),""),"")</f>
        <v/>
      </c>
      <c r="R239" s="90">
        <f>IF(Q239&lt;&gt;"",MAX(P239,Q239),"")</f>
        <v/>
      </c>
      <c r="S239" s="89">
        <f>IF(I239&lt;&gt;"H. Sale Real",IF(AND(I240&lt;&gt;"",LEFT(C240,2)&lt;&gt;"Va"),IF(AND(I239&lt;&gt;"",LEFT(C239,2)&lt;&gt;"Va",I239&lt;&gt;"H. Sale Real"),IF(I240-I239&lt;0.208333333333333,I240-I239,""),IF(AND(I238&lt;&gt;"",LEFT(C238,2)&lt;&gt;"Va",I238&lt;&gt;"H. Sale Real"),IF(I240-I238&lt;0.208333333333333,I240-I238,""),IF(AND(I237&lt;&gt;"",LEFT(C237,2)&lt;&gt;"Va",I237&lt;&gt;"H. Sale Real"),IF(I240-I237&lt;0.208333333333333,I240-I237,""),IF(AND(I236&lt;&gt;"",LEFT(C236,2)&lt;&gt;"Va",I236&lt;&gt;"H. Sale Real"),IF(I240-I236&lt;0.208333333333333,I240-I236,""),IF(AND(I235&lt;&gt;"",LEFT(C235,2)&lt;&gt;"Va",I235&lt;&gt;"H. Sale Real"),IF(I240-I235&lt;0.208333333333333,I240-I235,""),""))))),""),"")</f>
        <v/>
      </c>
      <c r="T239" s="89">
        <f>IF(G239&lt;&gt;"H. Sale Real",IF(AND(G240&lt;&gt;"",LEFT(C240,2)&lt;&gt;"Va"),IF(AND(G239&lt;&gt;"",LEFT(C239,2)&lt;&gt;"Va",G239&lt;&gt;"H. Sale Real"),IF(G240-G239&lt;0.208333333333333,G240-G239,""),IF(AND(G238&lt;&gt;"",LEFT(C238,2)&lt;&gt;"Va",G238&lt;&gt;"H. Sale Real"),IF(G240-G238&lt;0.208333333333333,G240-G238,""),IF(AND(G237&lt;&gt;"",LEFT(C237,2)&lt;&gt;"Va",G237&lt;&gt;"H. Sale Real"),IF(G240-G237&lt;0.208333333333333,G240-G237,""),IF(AND(G236&lt;&gt;"",LEFT(C236,2)&lt;&gt;"Va",G236&lt;&gt;"H. Sale Real"),IF(G240-G236&lt;0.208333333333333,G240-G236,""),IF(AND(G235&lt;&gt;"",LEFT(C235,2)&lt;&gt;"Va",G235&lt;&gt;"H. Sale Real"),IF(G240-G235&lt;0.208333333333333,G240-G235,""),""))))),""),"")</f>
        <v/>
      </c>
      <c r="U239" s="87" t="n"/>
      <c r="V239" s="89" t="n"/>
      <c r="W239" s="87" t="n"/>
      <c r="X239" s="89" t="n"/>
      <c r="Y239" s="91" t="n"/>
      <c r="Z239" s="122">
        <f>IF(G239&lt;&gt;"",IF(AND(Z238&lt;&gt;"IE",P239&lt;&gt;0,R239&lt;&gt;""),IF(IFERROR((P239/R239),0) &lt;=1,IFERROR(P239/R239,""),1),""),"")</f>
        <v/>
      </c>
      <c r="AA239" s="93" t="n"/>
      <c r="AB239" s="2" t="n"/>
      <c r="AE239" s="10">
        <f>HOUR(AK239)+1</f>
        <v/>
      </c>
      <c r="AF239" s="7" t="n"/>
      <c r="AG239" s="7" t="n"/>
      <c r="AH239" s="86" t="n"/>
      <c r="AI239" s="8" t="n"/>
      <c r="AJ239" s="86" t="n"/>
      <c r="AK239" s="87" t="n"/>
      <c r="AL239" s="88">
        <f>IF(AM239="","",IF(AND((AM239-AK239)&gt;=TIME(0,0,0),(AM239-AK239)&lt;TIME(0,3,0)),"OK",IF(AND((AM239-AK239)&gt;=TIME(0,3,0),(AM239-AK239)&lt;TIME(0,5,0)),"RETRASO DE 3-5 MIN",IF(AND((AM239-AK239)&gt;=TIME(0,5,0),(AM239-AK239)&lt;TIME(0,10,0)),"RETRASO DE 5-10 MIN",IF((AM239-AK239)&gt;=TIME(0,10,0),"RETRASO &gt;10 MIN", IF(AND((AK239-AM239)&gt;=TIME(0,0,0),(AK239-AM239)&lt;TIME(0,3,0)),"OK",IF((AK239-AM239)&gt;=TIME(0,3,0),"ADELANTADO")))))))</f>
        <v/>
      </c>
      <c r="AM239" s="91" t="n"/>
      <c r="AN239" s="89">
        <f>IF(AE239&lt;&gt;"",HLOOKUP(VALUE(TEXT(AK239,"h:mm:ss")),IF($C$6="Laboral",$FZ$4:$GX$227,IF($C$6="Sábado",$FZ$231:$GX$452,$FZ$456:$GX$656)),VLOOKUP($C$4,$HF$2:$HH$99,3,0)+IF(AG$5="Ida",0,1),1),"")</f>
        <v/>
      </c>
      <c r="AO239" s="89">
        <f>IF(AE240&lt;&gt;AE239,AVERAGEIF(AE$9:AE239,AE239,AN$9:AN239),"")</f>
        <v/>
      </c>
      <c r="AP239" s="89">
        <f>IFERROR(IF(AE240&lt;&gt;AE239,AVERAGEIF(AE$9:AE239,AE239,AW$9:AW239),""),"")</f>
        <v/>
      </c>
      <c r="AQ239" s="89">
        <f>IFERROR(IF(AE240&lt;&gt;AE239,AVERAGEIF(AE$9:AE239,AE239,AX$9:AX239),""),"")</f>
        <v/>
      </c>
      <c r="AR239" s="89">
        <f t="array" ref="AR239">IFERROR(IF(AE240&lt;&gt;AE239,_xlfn.STDEV.P(IF(AE$9:AE239=AE239,AX$9:AX239)),""),"")</f>
        <v/>
      </c>
      <c r="AS239" s="89">
        <f t="array" ref="AS239">IFERROR(IF(AE240&lt;&gt;AE239,_xlfn.STDEV.P(IF(AE$9:AE239=AE239,AW$9:AW239)),""),"")</f>
        <v/>
      </c>
      <c r="AT239" s="90">
        <f>IFERROR(IF(AE239&lt;&gt;AE240,MAX((((AQ239*24*60)/2)*(1+POWER((((AR239*24*60) / (AQ239*24*60) )),2))) + ((AQ239*24*60 )*-0.1 + (AO239*0.015)) +1,(((AQ239*24*60)/2)*(1+POWER((((AR239*24*60) / (AQ239*24*60 ))),2)))),""),"")</f>
        <v/>
      </c>
      <c r="AU239" s="90">
        <f>IF(AND(AS239&lt;&gt;"",AP239&lt;&gt;""),IF(AE239&lt;&gt;AE240,((AP239*24*60) / 2 ) * (1 + POWER(((AS239*24*60) / (AP239*24*60)),2)),""),"")</f>
        <v/>
      </c>
      <c r="AV239" s="90">
        <f>IF(AU239&lt;&gt;"",MAX(AT239,AU239),"")</f>
        <v/>
      </c>
      <c r="AW239" s="89">
        <f>IF(AM239&lt;&gt;"H. Sale Real",IF(AND(AM240&lt;&gt;"",LEFT(AG240,2)&lt;&gt;"Va"),IF(AND(AM239&lt;&gt;"",LEFT(AG239,2)&lt;&gt;"Va",AM239&lt;&gt;"H. Sale Real"),IF(AM240-AM239&lt;0.208333333333333,AM240-AM239,""),IF(AND(AM238&lt;&gt;"",LEFT(AG238,2)&lt;&gt;"Va",AM238&lt;&gt;"H. Sale Real"),IF(AM240-AM238&lt;0.208333333333333,AM240-AM238,""),IF(AND(AM237&lt;&gt;"",LEFT(AG237,2)&lt;&gt;"Va",AM237&lt;&gt;"H. Sale Real"),IF(AM240-AM237&lt;0.208333333333333,AM240-AM237,""),IF(AND(AM236&lt;&gt;"",LEFT(AG236,2)&lt;&gt;"Va",AM236&lt;&gt;"H. Sale Real"),IF(AM240-AM236&lt;0.208333333333333,AM240-AM236,""),IF(AND(AM235&lt;&gt;"",LEFT(AG235,2)&lt;&gt;"Va",AM235&lt;&gt;"H. Sale Real"),IF(AM240-AM235&lt;0.208333333333333,AM240-AM235,""),""))))),""),"")</f>
        <v/>
      </c>
      <c r="AX239" s="89">
        <f>IF(AK239&lt;&gt;"H. Sale Real",IF(AND(AK240&lt;&gt;"",LEFT(AG240,2)&lt;&gt;"Va"),IF(AND(AK239&lt;&gt;"",LEFT(AG239,2)&lt;&gt;"Va",AK239&lt;&gt;"H. Sale Real"),IF(AK240-AK239&lt;0.208333333333333,AK240-AK239,""),IF(AND(AK238&lt;&gt;"",LEFT(AG238,2)&lt;&gt;"Va",AK238&lt;&gt;"H. Sale Real"),IF(AK240-AK238&lt;0.208333333333333,AK240-AK238,""),IF(AND(AK237&lt;&gt;"",LEFT(AG237,2)&lt;&gt;"NC",AK237&lt;&gt;"H. Sale Real"),IF(AK240-AK237&lt;0.208333333333333,AK240-AK237,""),IF(AND(AK236&lt;&gt;"",LEFT(AG236,2)&lt;&gt;"Va",AK236&lt;&gt;"H. Sale Real"),IF(AK240-AK236&lt;0.208333333333333,AK240-AK236,""),IF(AND(AK235&lt;&gt;"",LEFT(AG235,2)&lt;&gt;"Va",AK235&lt;&gt;"H. Sale Real"),IF(AK240-AK235&lt;0.208333333333333,AK240-AK235,""),""))))),""),"")</f>
        <v/>
      </c>
      <c r="AY239" s="87" t="n"/>
      <c r="AZ239" s="89" t="n"/>
      <c r="BA239" s="87" t="n"/>
      <c r="BB239" s="89" t="n"/>
      <c r="BC239" s="91" t="n"/>
      <c r="BD239" s="122">
        <f>IF(AK239&lt;&gt;"",IF(AND(BD238&lt;&gt;"IE",AT239&lt;&gt;0,AV239&lt;&gt;""),IF(IFERROR((AT239/AV239),0) &lt;=1,IFERROR(AT239/AV239,""),1),""),"")</f>
        <v/>
      </c>
      <c r="BE239" s="93" t="n"/>
      <c r="BF239" s="105" t="n"/>
      <c r="FC239" t="inlineStr">
        <is>
          <t>Diccionario 1</t>
        </is>
      </c>
      <c r="FD239" s="15" t="n">
        <v>1214</v>
      </c>
      <c r="FE239" s="15" t="inlineStr">
        <is>
          <t>YV3T7U527NA208163</t>
        </is>
      </c>
      <c r="FF239" s="15" t="n">
        <v>555374</v>
      </c>
      <c r="FG239" s="15" t="inlineStr">
        <is>
          <t>Volvo</t>
        </is>
      </c>
      <c r="FH239" s="15" t="inlineStr">
        <is>
          <t>B8RLEA</t>
        </is>
      </c>
      <c r="FI239" s="15" t="inlineStr">
        <is>
          <t>MARCOPOLO</t>
        </is>
      </c>
      <c r="FJ239" s="15" t="inlineStr">
        <is>
          <t>GRAN VIALE</t>
        </is>
      </c>
      <c r="FK239" s="15" t="n">
        <v>2022</v>
      </c>
      <c r="FL239" s="15" t="inlineStr">
        <is>
          <t>C</t>
        </is>
      </c>
      <c r="FM239" s="15" t="inlineStr">
        <is>
          <t>SAN ALFONSO</t>
        </is>
      </c>
      <c r="FN239" s="15" t="inlineStr">
        <is>
          <t>San Alfonso 2141 (Ramón Subercaseaux 3060)</t>
        </is>
      </c>
      <c r="FO239" s="15" t="inlineStr">
        <is>
          <t>Estacion Central</t>
        </is>
      </c>
      <c r="FP239" t="inlineStr">
        <is>
          <t>C</t>
        </is>
      </c>
      <c r="FS239" s="14" t="inlineStr">
        <is>
          <t>3061 / SFWB-68|</t>
        </is>
      </c>
      <c r="FT239" t="inlineStr">
        <is>
          <t>SFWB-68|</t>
        </is>
      </c>
      <c r="FU239" t="inlineStr">
        <is>
          <t>SFWB-68</t>
        </is>
      </c>
      <c r="FV239">
        <f>VLOOKUP(FU239,FD:FL,9,0)</f>
        <v/>
      </c>
      <c r="FZ239" s="51" t="inlineStr">
        <is>
          <t>B08</t>
        </is>
      </c>
      <c r="GA239" s="117" t="n">
        <v>0</v>
      </c>
      <c r="GB239" s="117" t="n">
        <v>0</v>
      </c>
      <c r="GC239" s="117" t="n">
        <v>0</v>
      </c>
      <c r="GD239" s="117" t="n">
        <v>0</v>
      </c>
      <c r="GE239" s="117" t="n">
        <v>14.605</v>
      </c>
      <c r="GF239" s="117" t="n">
        <v>27.135</v>
      </c>
      <c r="GG239" s="117" t="n">
        <v>24.51</v>
      </c>
      <c r="GH239" s="117" t="n">
        <v>22.29</v>
      </c>
      <c r="GI239" s="117" t="n">
        <v>22.38</v>
      </c>
      <c r="GJ239" s="117" t="n">
        <v>21.455</v>
      </c>
      <c r="GK239" s="117" t="n">
        <v>20.175</v>
      </c>
      <c r="GL239" s="117" t="n">
        <v>18.91</v>
      </c>
      <c r="GM239" s="117" t="n">
        <v>17.1</v>
      </c>
      <c r="GN239" s="117" t="n">
        <v>16.1</v>
      </c>
      <c r="GO239" s="117" t="n">
        <v>16.575</v>
      </c>
      <c r="GP239" s="117" t="n">
        <v>17.545</v>
      </c>
      <c r="GQ239" s="117" t="n">
        <v>17.985</v>
      </c>
      <c r="GR239" s="117" t="n">
        <v>16.965</v>
      </c>
      <c r="GS239" s="117" t="n">
        <v>16.775</v>
      </c>
      <c r="GT239" s="117" t="n">
        <v>17.255</v>
      </c>
      <c r="GU239" s="117" t="n">
        <v>18.325</v>
      </c>
      <c r="GV239" s="117" t="n">
        <v>20.385</v>
      </c>
      <c r="GW239" s="117" t="n">
        <v>23.33</v>
      </c>
      <c r="GX239" s="117" t="n">
        <v>26.3</v>
      </c>
      <c r="HA239" s="35" t="n">
        <v>9</v>
      </c>
      <c r="HB239" s="35" t="n">
        <v>233</v>
      </c>
    </row>
    <row r="240" ht="15.5" customHeight="1">
      <c r="A240" s="10">
        <f>HOUR(G240)+1</f>
        <v/>
      </c>
      <c r="B240" s="7" t="n"/>
      <c r="C240" s="7" t="n"/>
      <c r="D240" s="85">
        <f>IFERROR(
IF(AND(OR(Planilla!B240="C",Planilla!B240="c"), VLOOKUP(E240,FD:FP,13,0)="C"), "OK",IF(AND(OR(Planilla!B240="C",Planilla!B240="c"), OR(VLOOKUP(E240,FD:FP,13,0)="B", VLOOKUP(E240,FD:FP,13,0)="A")), "DEFICIT",IF(
AND(OR(Planilla!B240="B", Planilla!B240="BPAL"), VLOOKUP(E240,FD:FP,13,0)="B"), "OK",IF(AND(OR(Planilla!B240="B", Planilla!B240="BPAL"), VLOOKUP(E240,FD:FP,13,0)="A"), "DEFICIT",IF(AND(OR(Planilla!B240="B", Planilla!B240="BPAL"), VLOOKUP(E240,FD:FP,13,0)="C"), "SOBREOFERTA",IF(AND(Planilla!B240="A", VLOOKUP(E240,FD:FP,13,0)="A"), "OK",IF(
AND(Planilla!B240="A", OR(VLOOKUP(E240,FD:FP,13,0)="B", VLOOKUP(E240,FD:FP,13,0)="C")), "SOBREOFERTA",""
))))))),"")</f>
        <v/>
      </c>
      <c r="E240" s="8" t="n"/>
      <c r="F240" s="86" t="n"/>
      <c r="G240" s="87" t="n"/>
      <c r="H240" s="88">
        <f>IF(I240="","",IF(AND((I240-G240)&gt;=TIME(0,0,0),(I240-G240)&lt;TIME(0,3,0)),"OK",IF(AND((I240-G240)&gt;=TIME(0,3,0),(I240-G240)&lt;TIME(0,5,0)),"RETRASO DE 3-5 MIN",IF(AND((I240-G240)&gt;=TIME(0,5,0),(I240-G240)&lt;TIME(0,10,0)),"RETRASO DE 5-10 MIN",IF((I240-G240)&gt;=TIME(0,10,0),"RETRASO &gt;10 MIN", IF(AND((G240-I240)&gt;=TIME(0,0,0),(G240-I240)&lt;TIME(0,3,0)),"OK",IF((G240-I240)&gt;=TIME(0,3,0),"ADELANTADO")))))))</f>
        <v/>
      </c>
      <c r="I240" s="89" t="n"/>
      <c r="J240" s="89">
        <f>IF(A240&lt;&gt;"",HLOOKUP(VALUE(TEXT(G240,"h:mm:ss")),IF($C$6="Laboral",$FZ$4:$GX$227,IF($C$6="Sábado",$FZ$231:$GX$452,$FZ$456:$GX$656)),VLOOKUP($C$4,$HF$2:$HH$99,3,0)+IF(C$5="Ida",0,1),1),"")</f>
        <v/>
      </c>
      <c r="K240" s="89">
        <f>IF(A241&lt;&gt;A240,AVERAGEIF(A$9:A240,A240,J$9:J240),"")</f>
        <v/>
      </c>
      <c r="L240" s="89">
        <f>IFERROR(IF(A241&lt;&gt;A240,AVERAGEIF(A$9:A240,A240,S$9:S240),""),"")</f>
        <v/>
      </c>
      <c r="M240" s="89">
        <f>IFERROR(IF(A241&lt;&gt;A240,AVERAGEIF(A$9:A240,A240,T$9:T240),""),"")</f>
        <v/>
      </c>
      <c r="N240" s="89">
        <f t="array" ref="N240">IFERROR(IF(A241&lt;&gt;A240,_xlfn.STDEV.P(IF(A$9:A240=A240,T$9:T240)),""),"")</f>
        <v/>
      </c>
      <c r="O240" s="89">
        <f t="array" ref="O240">IFERROR(IF(A241&lt;&gt;A240,_xlfn.STDEV.P(IF(A$9:A240=A240,S$9:S240)),""),"")</f>
        <v/>
      </c>
      <c r="P240" s="90">
        <f>IFERROR(IF(A240&lt;&gt;A241,MAX((((M240*24*60)/2)*(1+POWER((((N240*24*60) / (M240*24*60) )),2))) + ((M240*24*60 )*-0.1 + (K240*0.015)) +1,(((M240*24*60)/2)*(1+POWER((((N240*24*60) / (M240*24*60 ))),2)))),""),"")</f>
        <v/>
      </c>
      <c r="Q240" s="90">
        <f>IF(AND(O240&lt;&gt;"",L240&lt;&gt;""),IF(A240&lt;&gt;A241,((L240*24*60) / 2 ) * (1 + POWER(((O240*24*60) / (L240*24*60)),2)),""),"")</f>
        <v/>
      </c>
      <c r="R240" s="90">
        <f>IF(Q240&lt;&gt;"",MAX(P240,Q240),"")</f>
        <v/>
      </c>
      <c r="S240" s="89">
        <f>IF(I240&lt;&gt;"H. Sale Real",IF(AND(I241&lt;&gt;"",LEFT(C241,2)&lt;&gt;"Va"),IF(AND(I240&lt;&gt;"",LEFT(C240,2)&lt;&gt;"Va",I240&lt;&gt;"H. Sale Real"),IF(I241-I240&lt;0.208333333333333,I241-I240,""),IF(AND(I239&lt;&gt;"",LEFT(C239,2)&lt;&gt;"Va",I239&lt;&gt;"H. Sale Real"),IF(I241-I239&lt;0.208333333333333,I241-I239,""),IF(AND(I238&lt;&gt;"",LEFT(C238,2)&lt;&gt;"Va",I238&lt;&gt;"H. Sale Real"),IF(I241-I238&lt;0.208333333333333,I241-I238,""),IF(AND(I237&lt;&gt;"",LEFT(C237,2)&lt;&gt;"Va",I237&lt;&gt;"H. Sale Real"),IF(I241-I237&lt;0.208333333333333,I241-I237,""),IF(AND(I236&lt;&gt;"",LEFT(C236,2)&lt;&gt;"Va",I236&lt;&gt;"H. Sale Real"),IF(I241-I236&lt;0.208333333333333,I241-I236,""),""))))),""),"")</f>
        <v/>
      </c>
      <c r="T240" s="89">
        <f>IF(G240&lt;&gt;"H. Sale Real",IF(AND(G241&lt;&gt;"",LEFT(C241,2)&lt;&gt;"Va"),IF(AND(G240&lt;&gt;"",LEFT(C240,2)&lt;&gt;"Va",G240&lt;&gt;"H. Sale Real"),IF(G241-G240&lt;0.208333333333333,G241-G240,""),IF(AND(G239&lt;&gt;"",LEFT(C239,2)&lt;&gt;"Va",G239&lt;&gt;"H. Sale Real"),IF(G241-G239&lt;0.208333333333333,G241-G239,""),IF(AND(G238&lt;&gt;"",LEFT(C238,2)&lt;&gt;"Va",G238&lt;&gt;"H. Sale Real"),IF(G241-G238&lt;0.208333333333333,G241-G238,""),IF(AND(G237&lt;&gt;"",LEFT(C237,2)&lt;&gt;"Va",G237&lt;&gt;"H. Sale Real"),IF(G241-G237&lt;0.208333333333333,G241-G237,""),IF(AND(G236&lt;&gt;"",LEFT(C236,2)&lt;&gt;"Va",G236&lt;&gt;"H. Sale Real"),IF(G241-G236&lt;0.208333333333333,G241-G236,""),""))))),""),"")</f>
        <v/>
      </c>
      <c r="U240" s="87" t="n"/>
      <c r="V240" s="89" t="n"/>
      <c r="W240" s="87" t="n"/>
      <c r="X240" s="89" t="n"/>
      <c r="Y240" s="91" t="n"/>
      <c r="Z240" s="122">
        <f>IF(G240&lt;&gt;"",IF(AND(Z239&lt;&gt;"IE",P240&lt;&gt;0,R240&lt;&gt;""),IF(IFERROR((P240/R240),0) &lt;=1,IFERROR(P240/R240,""),1),""),"")</f>
        <v/>
      </c>
      <c r="AA240" s="93" t="n"/>
      <c r="AB240" s="2" t="n"/>
      <c r="AE240" s="10">
        <f>HOUR(AK240)+1</f>
        <v/>
      </c>
      <c r="AF240" s="7" t="n"/>
      <c r="AG240" s="7" t="n"/>
      <c r="AH240" s="86" t="n"/>
      <c r="AI240" s="8" t="n"/>
      <c r="AJ240" s="86" t="n"/>
      <c r="AK240" s="87" t="n"/>
      <c r="AL240" s="88">
        <f>IF(AM240="","",IF(AND((AM240-AK240)&gt;=TIME(0,0,0),(AM240-AK240)&lt;TIME(0,3,0)),"OK",IF(AND((AM240-AK240)&gt;=TIME(0,3,0),(AM240-AK240)&lt;TIME(0,5,0)),"RETRASO DE 3-5 MIN",IF(AND((AM240-AK240)&gt;=TIME(0,5,0),(AM240-AK240)&lt;TIME(0,10,0)),"RETRASO DE 5-10 MIN",IF((AM240-AK240)&gt;=TIME(0,10,0),"RETRASO &gt;10 MIN", IF(AND((AK240-AM240)&gt;=TIME(0,0,0),(AK240-AM240)&lt;TIME(0,3,0)),"OK",IF((AK240-AM240)&gt;=TIME(0,3,0),"ADELANTADO")))))))</f>
        <v/>
      </c>
      <c r="AM240" s="91" t="n"/>
      <c r="AN240" s="89">
        <f>IF(AE240&lt;&gt;"",HLOOKUP(VALUE(TEXT(AK240,"h:mm:ss")),IF($C$6="Laboral",$FZ$4:$GX$227,IF($C$6="Sábado",$FZ$231:$GX$452,$FZ$456:$GX$656)),VLOOKUP($C$4,$HF$2:$HH$99,3,0)+IF(AG$5="Ida",0,1),1),"")</f>
        <v/>
      </c>
      <c r="AO240" s="89">
        <f>IF(AE241&lt;&gt;AE240,AVERAGEIF(AE$9:AE240,AE240,AN$9:AN240),"")</f>
        <v/>
      </c>
      <c r="AP240" s="89">
        <f>IFERROR(IF(AE241&lt;&gt;AE240,AVERAGEIF(AE$9:AE240,AE240,AW$9:AW240),""),"")</f>
        <v/>
      </c>
      <c r="AQ240" s="89">
        <f>IFERROR(IF(AE241&lt;&gt;AE240,AVERAGEIF(AE$9:AE240,AE240,AX$9:AX240),""),"")</f>
        <v/>
      </c>
      <c r="AR240" s="89">
        <f t="array" ref="AR240">IFERROR(IF(AE241&lt;&gt;AE240,_xlfn.STDEV.P(IF(AE$9:AE240=AE240,AX$9:AX240)),""),"")</f>
        <v/>
      </c>
      <c r="AS240" s="89">
        <f t="array" ref="AS240">IFERROR(IF(AE241&lt;&gt;AE240,_xlfn.STDEV.P(IF(AE$9:AE240=AE240,AW$9:AW240)),""),"")</f>
        <v/>
      </c>
      <c r="AT240" s="90">
        <f>IFERROR(IF(AE240&lt;&gt;AE241,MAX((((AQ240*24*60)/2)*(1+POWER((((AR240*24*60) / (AQ240*24*60) )),2))) + ((AQ240*24*60 )*-0.1 + (AO240*0.015)) +1,(((AQ240*24*60)/2)*(1+POWER((((AR240*24*60) / (AQ240*24*60 ))),2)))),""),"")</f>
        <v/>
      </c>
      <c r="AU240" s="90">
        <f>IF(AND(AS240&lt;&gt;"",AP240&lt;&gt;""),IF(AE240&lt;&gt;AE241,((AP240*24*60) / 2 ) * (1 + POWER(((AS240*24*60) / (AP240*24*60)),2)),""),"")</f>
        <v/>
      </c>
      <c r="AV240" s="90">
        <f>IF(AU240&lt;&gt;"",MAX(AT240,AU240),"")</f>
        <v/>
      </c>
      <c r="AW240" s="89">
        <f>IF(AM240&lt;&gt;"H. Sale Real",IF(AND(AM241&lt;&gt;"",LEFT(AG241,2)&lt;&gt;"Va"),IF(AND(AM240&lt;&gt;"",LEFT(AG240,2)&lt;&gt;"Va",AM240&lt;&gt;"H. Sale Real"),IF(AM241-AM240&lt;0.208333333333333,AM241-AM240,""),IF(AND(AM239&lt;&gt;"",LEFT(AG239,2)&lt;&gt;"Va",AM239&lt;&gt;"H. Sale Real"),IF(AM241-AM239&lt;0.208333333333333,AM241-AM239,""),IF(AND(AM238&lt;&gt;"",LEFT(AG238,2)&lt;&gt;"Va",AM238&lt;&gt;"H. Sale Real"),IF(AM241-AM238&lt;0.208333333333333,AM241-AM238,""),IF(AND(AM237&lt;&gt;"",LEFT(AG237,2)&lt;&gt;"Va",AM237&lt;&gt;"H. Sale Real"),IF(AM241-AM237&lt;0.208333333333333,AM241-AM237,""),IF(AND(AM236&lt;&gt;"",LEFT(AG236,2)&lt;&gt;"Va",AM236&lt;&gt;"H. Sale Real"),IF(AM241-AM236&lt;0.208333333333333,AM241-AM236,""),""))))),""),"")</f>
        <v/>
      </c>
      <c r="AX240" s="89">
        <f>IF(AK240&lt;&gt;"H. Sale Real",IF(AND(AK241&lt;&gt;"",LEFT(AG241,2)&lt;&gt;"Va"),IF(AND(AK240&lt;&gt;"",LEFT(AG240,2)&lt;&gt;"Va",AK240&lt;&gt;"H. Sale Real"),IF(AK241-AK240&lt;0.208333333333333,AK241-AK240,""),IF(AND(AK239&lt;&gt;"",LEFT(AG239,2)&lt;&gt;"Va",AK239&lt;&gt;"H. Sale Real"),IF(AK241-AK239&lt;0.208333333333333,AK241-AK239,""),IF(AND(AK238&lt;&gt;"",LEFT(AG238,2)&lt;&gt;"NC",AK238&lt;&gt;"H. Sale Real"),IF(AK241-AK238&lt;0.208333333333333,AK241-AK238,""),IF(AND(AK237&lt;&gt;"",LEFT(AG237,2)&lt;&gt;"Va",AK237&lt;&gt;"H. Sale Real"),IF(AK241-AK237&lt;0.208333333333333,AK241-AK237,""),IF(AND(AK236&lt;&gt;"",LEFT(AG236,2)&lt;&gt;"Va",AK236&lt;&gt;"H. Sale Real"),IF(AK241-AK236&lt;0.208333333333333,AK241-AK236,""),""))))),""),"")</f>
        <v/>
      </c>
      <c r="AY240" s="87" t="n"/>
      <c r="AZ240" s="89" t="n"/>
      <c r="BA240" s="87" t="n"/>
      <c r="BB240" s="89" t="n"/>
      <c r="BC240" s="91" t="n"/>
      <c r="BD240" s="122">
        <f>IF(AK240&lt;&gt;"",IF(AND(BD239&lt;&gt;"IE",AT240&lt;&gt;0,AV240&lt;&gt;""),IF(IFERROR((AT240/AV240),0) &lt;=1,IFERROR(AT240/AV240,""),1),""),"")</f>
        <v/>
      </c>
      <c r="BE240" s="93" t="n"/>
      <c r="BF240" s="105" t="n"/>
      <c r="FC240" t="inlineStr">
        <is>
          <t>Diccionario 1</t>
        </is>
      </c>
      <c r="FD240" s="15" t="n">
        <v>1215</v>
      </c>
      <c r="FE240" s="15" t="inlineStr">
        <is>
          <t>YV3T7U528NA208169</t>
        </is>
      </c>
      <c r="FF240" s="15" t="n">
        <v>555138</v>
      </c>
      <c r="FG240" s="15" t="inlineStr">
        <is>
          <t>Volvo</t>
        </is>
      </c>
      <c r="FH240" s="15" t="inlineStr">
        <is>
          <t>B8RLEA</t>
        </is>
      </c>
      <c r="FI240" s="15" t="inlineStr">
        <is>
          <t>MARCOPOLO</t>
        </is>
      </c>
      <c r="FJ240" s="15" t="inlineStr">
        <is>
          <t>GRAN VIALE</t>
        </is>
      </c>
      <c r="FK240" s="15" t="n">
        <v>2022</v>
      </c>
      <c r="FL240" s="15" t="inlineStr">
        <is>
          <t>C</t>
        </is>
      </c>
      <c r="FM240" s="15" t="inlineStr">
        <is>
          <t>SAN ALFONSO</t>
        </is>
      </c>
      <c r="FN240" s="15" t="inlineStr">
        <is>
          <t>San Alfonso 2141 (Ramón Subercaseaux 3060)</t>
        </is>
      </c>
      <c r="FO240" s="15" t="inlineStr">
        <is>
          <t>Estacion Central</t>
        </is>
      </c>
      <c r="FP240" t="inlineStr">
        <is>
          <t>C</t>
        </is>
      </c>
      <c r="FS240" s="14" t="inlineStr">
        <is>
          <t>3061 / SFWB-68|</t>
        </is>
      </c>
      <c r="FT240" t="inlineStr">
        <is>
          <t>SFWB-68|</t>
        </is>
      </c>
      <c r="FU240" t="inlineStr">
        <is>
          <t>SFWB-68</t>
        </is>
      </c>
      <c r="FV240">
        <f>VLOOKUP(FU240,FD:FL,9,0)</f>
        <v/>
      </c>
      <c r="FZ240" s="51" t="inlineStr">
        <is>
          <t>B09</t>
        </is>
      </c>
      <c r="GA240" s="117" t="n">
        <v>0</v>
      </c>
      <c r="GB240" s="117" t="n">
        <v>0</v>
      </c>
      <c r="GC240" s="117" t="n">
        <v>0</v>
      </c>
      <c r="GD240" s="117" t="n">
        <v>0</v>
      </c>
      <c r="GE240" s="117" t="n">
        <v>0</v>
      </c>
      <c r="GF240" s="117" t="n">
        <v>12.38</v>
      </c>
      <c r="GG240" s="117" t="n">
        <v>23.975</v>
      </c>
      <c r="GH240" s="117" t="n">
        <v>24.405</v>
      </c>
      <c r="GI240" s="117" t="n">
        <v>24.9</v>
      </c>
      <c r="GJ240" s="117" t="n">
        <v>24.41</v>
      </c>
      <c r="GK240" s="117" t="n">
        <v>23.24</v>
      </c>
      <c r="GL240" s="117" t="n">
        <v>21.87</v>
      </c>
      <c r="GM240" s="117" t="n">
        <v>20.43</v>
      </c>
      <c r="GN240" s="117" t="n">
        <v>20.325</v>
      </c>
      <c r="GO240" s="117" t="n">
        <v>20.865</v>
      </c>
      <c r="GP240" s="117" t="n">
        <v>21.67</v>
      </c>
      <c r="GQ240" s="117" t="n">
        <v>22.265</v>
      </c>
      <c r="GR240" s="117" t="n">
        <v>21.74</v>
      </c>
      <c r="GS240" s="117" t="n">
        <v>22.025</v>
      </c>
      <c r="GT240" s="117" t="n">
        <v>22.39</v>
      </c>
      <c r="GU240" s="117" t="n">
        <v>23.88</v>
      </c>
      <c r="GV240" s="117" t="n">
        <v>25.74</v>
      </c>
      <c r="GW240" s="117" t="n">
        <v>26.755</v>
      </c>
      <c r="GX240" s="117" t="n">
        <v>0</v>
      </c>
      <c r="HA240" s="35" t="n">
        <v>10</v>
      </c>
      <c r="HB240" s="35" t="n">
        <v>234</v>
      </c>
    </row>
    <row r="241" ht="15.5" customHeight="1">
      <c r="A241" s="10">
        <f>HOUR(G241)+1</f>
        <v/>
      </c>
      <c r="B241" s="7" t="n"/>
      <c r="C241" s="7" t="n"/>
      <c r="D241" s="85">
        <f>IFERROR(
IF(AND(OR(Planilla!B241="C",Planilla!B241="c"), VLOOKUP(E241,FD:FP,13,0)="C"), "OK",IF(AND(OR(Planilla!B241="C",Planilla!B241="c"), OR(VLOOKUP(E241,FD:FP,13,0)="B", VLOOKUP(E241,FD:FP,13,0)="A")), "DEFICIT",IF(
AND(OR(Planilla!B241="B", Planilla!B241="BPAL"), VLOOKUP(E241,FD:FP,13,0)="B"), "OK",IF(AND(OR(Planilla!B241="B", Planilla!B241="BPAL"), VLOOKUP(E241,FD:FP,13,0)="A"), "DEFICIT",IF(AND(OR(Planilla!B241="B", Planilla!B241="BPAL"), VLOOKUP(E241,FD:FP,13,0)="C"), "SOBREOFERTA",IF(AND(Planilla!B241="A", VLOOKUP(E241,FD:FP,13,0)="A"), "OK",IF(
AND(Planilla!B241="A", OR(VLOOKUP(E241,FD:FP,13,0)="B", VLOOKUP(E241,FD:FP,13,0)="C")), "SOBREOFERTA",""
))))))),"")</f>
        <v/>
      </c>
      <c r="E241" s="8" t="n"/>
      <c r="F241" s="86" t="n"/>
      <c r="G241" s="87" t="n"/>
      <c r="H241" s="88">
        <f>IF(I241="","",IF(AND((I241-G241)&gt;=TIME(0,0,0),(I241-G241)&lt;TIME(0,3,0)),"OK",IF(AND((I241-G241)&gt;=TIME(0,3,0),(I241-G241)&lt;TIME(0,5,0)),"RETRASO DE 3-5 MIN",IF(AND((I241-G241)&gt;=TIME(0,5,0),(I241-G241)&lt;TIME(0,10,0)),"RETRASO DE 5-10 MIN",IF((I241-G241)&gt;=TIME(0,10,0),"RETRASO &gt;10 MIN", IF(AND((G241-I241)&gt;=TIME(0,0,0),(G241-I241)&lt;TIME(0,3,0)),"OK",IF((G241-I241)&gt;=TIME(0,3,0),"ADELANTADO")))))))</f>
        <v/>
      </c>
      <c r="I241" s="89" t="n"/>
      <c r="J241" s="89">
        <f>IF(A241&lt;&gt;"",HLOOKUP(VALUE(TEXT(G241,"h:mm:ss")),IF($C$6="Laboral",$FZ$4:$GX$227,IF($C$6="Sábado",$FZ$231:$GX$452,$FZ$456:$GX$656)),VLOOKUP($C$4,$HF$2:$HH$99,3,0)+IF(C$5="Ida",0,1),1),"")</f>
        <v/>
      </c>
      <c r="K241" s="89">
        <f>IF(A242&lt;&gt;A241,AVERAGEIF(A$9:A241,A241,J$9:J241),"")</f>
        <v/>
      </c>
      <c r="L241" s="89">
        <f>IFERROR(IF(A242&lt;&gt;A241,AVERAGEIF(A$9:A241,A241,S$9:S241),""),"")</f>
        <v/>
      </c>
      <c r="M241" s="89">
        <f>IFERROR(IF(A242&lt;&gt;A241,AVERAGEIF(A$9:A241,A241,T$9:T241),""),"")</f>
        <v/>
      </c>
      <c r="N241" s="89">
        <f t="array" ref="N241">IFERROR(IF(A242&lt;&gt;A241,_xlfn.STDEV.P(IF(A$9:A241=A241,T$9:T241)),""),"")</f>
        <v/>
      </c>
      <c r="O241" s="89">
        <f t="array" ref="O241">IFERROR(IF(A242&lt;&gt;A241,_xlfn.STDEV.P(IF(A$9:A241=A241,S$9:S241)),""),"")</f>
        <v/>
      </c>
      <c r="P241" s="90">
        <f>IFERROR(IF(A241&lt;&gt;A242,MAX((((M241*24*60)/2)*(1+POWER((((N241*24*60) / (M241*24*60) )),2))) + ((M241*24*60 )*-0.1 + (K241*0.015)) +1,(((M241*24*60)/2)*(1+POWER((((N241*24*60) / (M241*24*60 ))),2)))),""),"")</f>
        <v/>
      </c>
      <c r="Q241" s="90">
        <f>IF(AND(O241&lt;&gt;"",L241&lt;&gt;""),IF(A241&lt;&gt;A242,((L241*24*60) / 2 ) * (1 + POWER(((O241*24*60) / (L241*24*60)),2)),""),"")</f>
        <v/>
      </c>
      <c r="R241" s="90">
        <f>IF(Q241&lt;&gt;"",MAX(P241,Q241),"")</f>
        <v/>
      </c>
      <c r="S241" s="89">
        <f>IF(I241&lt;&gt;"H. Sale Real",IF(AND(I242&lt;&gt;"",LEFT(C242,2)&lt;&gt;"Va"),IF(AND(I241&lt;&gt;"",LEFT(C241,2)&lt;&gt;"Va",I241&lt;&gt;"H. Sale Real"),IF(I242-I241&lt;0.208333333333333,I242-I241,""),IF(AND(I240&lt;&gt;"",LEFT(C240,2)&lt;&gt;"Va",I240&lt;&gt;"H. Sale Real"),IF(I242-I240&lt;0.208333333333333,I242-I240,""),IF(AND(I239&lt;&gt;"",LEFT(C239,2)&lt;&gt;"Va",I239&lt;&gt;"H. Sale Real"),IF(I242-I239&lt;0.208333333333333,I242-I239,""),IF(AND(I238&lt;&gt;"",LEFT(C238,2)&lt;&gt;"Va",I238&lt;&gt;"H. Sale Real"),IF(I242-I238&lt;0.208333333333333,I242-I238,""),IF(AND(I237&lt;&gt;"",LEFT(C237,2)&lt;&gt;"Va",I237&lt;&gt;"H. Sale Real"),IF(I242-I237&lt;0.208333333333333,I242-I237,""),""))))),""),"")</f>
        <v/>
      </c>
      <c r="T241" s="89">
        <f>IF(G241&lt;&gt;"H. Sale Real",IF(AND(G242&lt;&gt;"",LEFT(C242,2)&lt;&gt;"Va"),IF(AND(G241&lt;&gt;"",LEFT(C241,2)&lt;&gt;"Va",G241&lt;&gt;"H. Sale Real"),IF(G242-G241&lt;0.208333333333333,G242-G241,""),IF(AND(G240&lt;&gt;"",LEFT(C240,2)&lt;&gt;"Va",G240&lt;&gt;"H. Sale Real"),IF(G242-G240&lt;0.208333333333333,G242-G240,""),IF(AND(G239&lt;&gt;"",LEFT(C239,2)&lt;&gt;"Va",G239&lt;&gt;"H. Sale Real"),IF(G242-G239&lt;0.208333333333333,G242-G239,""),IF(AND(G238&lt;&gt;"",LEFT(C238,2)&lt;&gt;"Va",G238&lt;&gt;"H. Sale Real"),IF(G242-G238&lt;0.208333333333333,G242-G238,""),IF(AND(G237&lt;&gt;"",LEFT(C237,2)&lt;&gt;"Va",G237&lt;&gt;"H. Sale Real"),IF(G242-G237&lt;0.208333333333333,G242-G237,""),""))))),""),"")</f>
        <v/>
      </c>
      <c r="U241" s="87" t="n"/>
      <c r="V241" s="89" t="n"/>
      <c r="W241" s="87" t="n"/>
      <c r="X241" s="89" t="n"/>
      <c r="Y241" s="91" t="n"/>
      <c r="Z241" s="122">
        <f>IF(G241&lt;&gt;"",IF(AND(Z240&lt;&gt;"IE",P241&lt;&gt;0,R241&lt;&gt;""),IF(IFERROR((P241/R241),0) &lt;=1,IFERROR(P241/R241,""),1),""),"")</f>
        <v/>
      </c>
      <c r="AA241" s="93" t="n"/>
      <c r="AB241" s="2" t="n"/>
      <c r="AE241" s="10">
        <f>HOUR(AK241)+1</f>
        <v/>
      </c>
      <c r="AF241" s="7" t="n"/>
      <c r="AG241" s="7" t="n"/>
      <c r="AH241" s="86" t="n"/>
      <c r="AI241" s="8" t="n"/>
      <c r="AJ241" s="86" t="n"/>
      <c r="AK241" s="87" t="n"/>
      <c r="AL241" s="88">
        <f>IF(AM241="","",IF(AND((AM241-AK241)&gt;=TIME(0,0,0),(AM241-AK241)&lt;TIME(0,3,0)),"OK",IF(AND((AM241-AK241)&gt;=TIME(0,3,0),(AM241-AK241)&lt;TIME(0,5,0)),"RETRASO DE 3-5 MIN",IF(AND((AM241-AK241)&gt;=TIME(0,5,0),(AM241-AK241)&lt;TIME(0,10,0)),"RETRASO DE 5-10 MIN",IF((AM241-AK241)&gt;=TIME(0,10,0),"RETRASO &gt;10 MIN", IF(AND((AK241-AM241)&gt;=TIME(0,0,0),(AK241-AM241)&lt;TIME(0,3,0)),"OK",IF((AK241-AM241)&gt;=TIME(0,3,0),"ADELANTADO")))))))</f>
        <v/>
      </c>
      <c r="AM241" s="91" t="n"/>
      <c r="AN241" s="89">
        <f>IF(AE241&lt;&gt;"",HLOOKUP(VALUE(TEXT(AK241,"h:mm:ss")),IF($C$6="Laboral",$FZ$4:$GX$227,IF($C$6="Sábado",$FZ$231:$GX$452,$FZ$456:$GX$656)),VLOOKUP($C$4,$HF$2:$HH$99,3,0)+IF(AG$5="Ida",0,1),1),"")</f>
        <v/>
      </c>
      <c r="AO241" s="89">
        <f>IF(AE242&lt;&gt;AE241,AVERAGEIF(AE$9:AE241,AE241,AN$9:AN241),"")</f>
        <v/>
      </c>
      <c r="AP241" s="89">
        <f>IFERROR(IF(AE242&lt;&gt;AE241,AVERAGEIF(AE$9:AE241,AE241,AW$9:AW241),""),"")</f>
        <v/>
      </c>
      <c r="AQ241" s="89">
        <f>IFERROR(IF(AE242&lt;&gt;AE241,AVERAGEIF(AE$9:AE241,AE241,AX$9:AX241),""),"")</f>
        <v/>
      </c>
      <c r="AR241" s="89">
        <f t="array" ref="AR241">IFERROR(IF(AE242&lt;&gt;AE241,_xlfn.STDEV.P(IF(AE$9:AE241=AE241,AX$9:AX241)),""),"")</f>
        <v/>
      </c>
      <c r="AS241" s="89">
        <f t="array" ref="AS241">IFERROR(IF(AE242&lt;&gt;AE241,_xlfn.STDEV.P(IF(AE$9:AE241=AE241,AW$9:AW241)),""),"")</f>
        <v/>
      </c>
      <c r="AT241" s="90">
        <f>IFERROR(IF(AE241&lt;&gt;AE242,MAX((((AQ241*24*60)/2)*(1+POWER((((AR241*24*60) / (AQ241*24*60) )),2))) + ((AQ241*24*60 )*-0.1 + (AO241*0.015)) +1,(((AQ241*24*60)/2)*(1+POWER((((AR241*24*60) / (AQ241*24*60 ))),2)))),""),"")</f>
        <v/>
      </c>
      <c r="AU241" s="90">
        <f>IF(AND(AS241&lt;&gt;"",AP241&lt;&gt;""),IF(AE241&lt;&gt;AE242,((AP241*24*60) / 2 ) * (1 + POWER(((AS241*24*60) / (AP241*24*60)),2)),""),"")</f>
        <v/>
      </c>
      <c r="AV241" s="90">
        <f>IF(AU241&lt;&gt;"",MAX(AT241,AU241),"")</f>
        <v/>
      </c>
      <c r="AW241" s="89">
        <f>IF(AM241&lt;&gt;"H. Sale Real",IF(AND(AM242&lt;&gt;"",LEFT(AG242,2)&lt;&gt;"Va"),IF(AND(AM241&lt;&gt;"",LEFT(AG241,2)&lt;&gt;"Va",AM241&lt;&gt;"H. Sale Real"),IF(AM242-AM241&lt;0.208333333333333,AM242-AM241,""),IF(AND(AM240&lt;&gt;"",LEFT(AG240,2)&lt;&gt;"Va",AM240&lt;&gt;"H. Sale Real"),IF(AM242-AM240&lt;0.208333333333333,AM242-AM240,""),IF(AND(AM239&lt;&gt;"",LEFT(AG239,2)&lt;&gt;"Va",AM239&lt;&gt;"H. Sale Real"),IF(AM242-AM239&lt;0.208333333333333,AM242-AM239,""),IF(AND(AM238&lt;&gt;"",LEFT(AG238,2)&lt;&gt;"Va",AM238&lt;&gt;"H. Sale Real"),IF(AM242-AM238&lt;0.208333333333333,AM242-AM238,""),IF(AND(AM237&lt;&gt;"",LEFT(AG237,2)&lt;&gt;"Va",AM237&lt;&gt;"H. Sale Real"),IF(AM242-AM237&lt;0.208333333333333,AM242-AM237,""),""))))),""),"")</f>
        <v/>
      </c>
      <c r="AX241" s="89">
        <f>IF(AK241&lt;&gt;"H. Sale Real",IF(AND(AK242&lt;&gt;"",LEFT(AG242,2)&lt;&gt;"Va"),IF(AND(AK241&lt;&gt;"",LEFT(AG241,2)&lt;&gt;"Va",AK241&lt;&gt;"H. Sale Real"),IF(AK242-AK241&lt;0.208333333333333,AK242-AK241,""),IF(AND(AK240&lt;&gt;"",LEFT(AG240,2)&lt;&gt;"Va",AK240&lt;&gt;"H. Sale Real"),IF(AK242-AK240&lt;0.208333333333333,AK242-AK240,""),IF(AND(AK239&lt;&gt;"",LEFT(AG239,2)&lt;&gt;"NC",AK239&lt;&gt;"H. Sale Real"),IF(AK242-AK239&lt;0.208333333333333,AK242-AK239,""),IF(AND(AK238&lt;&gt;"",LEFT(AG238,2)&lt;&gt;"Va",AK238&lt;&gt;"H. Sale Real"),IF(AK242-AK238&lt;0.208333333333333,AK242-AK238,""),IF(AND(AK237&lt;&gt;"",LEFT(AG237,2)&lt;&gt;"Va",AK237&lt;&gt;"H. Sale Real"),IF(AK242-AK237&lt;0.208333333333333,AK242-AK237,""),""))))),""),"")</f>
        <v/>
      </c>
      <c r="AY241" s="87" t="n"/>
      <c r="AZ241" s="89" t="n"/>
      <c r="BA241" s="87" t="n"/>
      <c r="BB241" s="89" t="n"/>
      <c r="BC241" s="91" t="n"/>
      <c r="BD241" s="122">
        <f>IF(AK241&lt;&gt;"",IF(AND(BD240&lt;&gt;"IE",AT241&lt;&gt;0,AV241&lt;&gt;""),IF(IFERROR((AT241/AV241),0) &lt;=1,IFERROR(AT241/AV241,""),1),""),"")</f>
        <v/>
      </c>
      <c r="BE241" s="93" t="n"/>
      <c r="BF241" s="105" t="n"/>
      <c r="FC241" t="inlineStr">
        <is>
          <t>Diccionario 1</t>
        </is>
      </c>
      <c r="FD241" s="15" t="n">
        <v>1216</v>
      </c>
      <c r="FE241" s="15" t="inlineStr">
        <is>
          <t>YV3T7U525NA208193</t>
        </is>
      </c>
      <c r="FF241" s="15" t="n">
        <v>555050</v>
      </c>
      <c r="FG241" s="15" t="inlineStr">
        <is>
          <t>Volvo</t>
        </is>
      </c>
      <c r="FH241" s="15" t="inlineStr">
        <is>
          <t>B8RLEA</t>
        </is>
      </c>
      <c r="FI241" s="15" t="inlineStr">
        <is>
          <t>MARCOPOLO</t>
        </is>
      </c>
      <c r="FJ241" s="15" t="inlineStr">
        <is>
          <t>GRAN VIALE</t>
        </is>
      </c>
      <c r="FK241" s="15" t="n">
        <v>2022</v>
      </c>
      <c r="FL241" s="15" t="inlineStr">
        <is>
          <t>C</t>
        </is>
      </c>
      <c r="FM241" s="15" t="inlineStr">
        <is>
          <t>SAN ALFONSO</t>
        </is>
      </c>
      <c r="FN241" s="15" t="inlineStr">
        <is>
          <t>San Alfonso 2141 (Ramón Subercaseaux 3060)</t>
        </is>
      </c>
      <c r="FO241" s="15" t="inlineStr">
        <is>
          <t>Estacion Central</t>
        </is>
      </c>
      <c r="FP241" t="inlineStr">
        <is>
          <t>C</t>
        </is>
      </c>
      <c r="FS241" s="14" t="inlineStr">
        <is>
          <t>3062 / SFWZ-10|</t>
        </is>
      </c>
      <c r="FT241" t="inlineStr">
        <is>
          <t>SFWZ-10|</t>
        </is>
      </c>
      <c r="FU241" t="inlineStr">
        <is>
          <t>SFWZ-10</t>
        </is>
      </c>
      <c r="FV241">
        <f>VLOOKUP(FU241,FD:FL,9,0)</f>
        <v/>
      </c>
      <c r="FZ241" s="51" t="inlineStr">
        <is>
          <t>B10</t>
        </is>
      </c>
      <c r="GA241" s="117" t="n">
        <v>0</v>
      </c>
      <c r="GB241" s="117" t="n">
        <v>0</v>
      </c>
      <c r="GC241" s="117" t="n">
        <v>0</v>
      </c>
      <c r="GD241" s="117" t="n">
        <v>0</v>
      </c>
      <c r="GE241" s="117" t="n">
        <v>0</v>
      </c>
      <c r="GF241" s="117" t="n">
        <v>11.23</v>
      </c>
      <c r="GG241" s="117" t="n">
        <v>20.94</v>
      </c>
      <c r="GH241" s="117" t="n">
        <v>19.265</v>
      </c>
      <c r="GI241" s="117" t="n">
        <v>18.26</v>
      </c>
      <c r="GJ241" s="117" t="n">
        <v>17.235</v>
      </c>
      <c r="GK241" s="117" t="n">
        <v>16.15</v>
      </c>
      <c r="GL241" s="117" t="n">
        <v>14.975</v>
      </c>
      <c r="GM241" s="117" t="n">
        <v>13.815</v>
      </c>
      <c r="GN241" s="117" t="n">
        <v>13.845</v>
      </c>
      <c r="GO241" s="117" t="n">
        <v>14.635</v>
      </c>
      <c r="GP241" s="117" t="n">
        <v>15.315</v>
      </c>
      <c r="GQ241" s="117" t="n">
        <v>15.33</v>
      </c>
      <c r="GR241" s="117" t="n">
        <v>15.115</v>
      </c>
      <c r="GS241" s="117" t="n">
        <v>15.145</v>
      </c>
      <c r="GT241" s="117" t="n">
        <v>15.25</v>
      </c>
      <c r="GU241" s="117" t="n">
        <v>16.395</v>
      </c>
      <c r="GV241" s="117" t="n">
        <v>17.835</v>
      </c>
      <c r="GW241" s="117" t="n">
        <v>20.325</v>
      </c>
      <c r="GX241" s="117" t="n">
        <v>22.575</v>
      </c>
      <c r="HA241" s="35" t="n">
        <v>11</v>
      </c>
      <c r="HB241" s="35" t="n">
        <v>235</v>
      </c>
    </row>
    <row r="242" ht="15.5" customHeight="1">
      <c r="A242" s="10">
        <f>HOUR(G242)+1</f>
        <v/>
      </c>
      <c r="B242" s="7" t="n"/>
      <c r="C242" s="7" t="n"/>
      <c r="D242" s="85">
        <f>IFERROR(
IF(AND(OR(Planilla!B242="C",Planilla!B242="c"), VLOOKUP(E242,FD:FP,13,0)="C"), "OK",IF(AND(OR(Planilla!B242="C",Planilla!B242="c"), OR(VLOOKUP(E242,FD:FP,13,0)="B", VLOOKUP(E242,FD:FP,13,0)="A")), "DEFICIT",IF(
AND(OR(Planilla!B242="B", Planilla!B242="BPAL"), VLOOKUP(E242,FD:FP,13,0)="B"), "OK",IF(AND(OR(Planilla!B242="B", Planilla!B242="BPAL"), VLOOKUP(E242,FD:FP,13,0)="A"), "DEFICIT",IF(AND(OR(Planilla!B242="B", Planilla!B242="BPAL"), VLOOKUP(E242,FD:FP,13,0)="C"), "SOBREOFERTA",IF(AND(Planilla!B242="A", VLOOKUP(E242,FD:FP,13,0)="A"), "OK",IF(
AND(Planilla!B242="A", OR(VLOOKUP(E242,FD:FP,13,0)="B", VLOOKUP(E242,FD:FP,13,0)="C")), "SOBREOFERTA",""
))))))),"")</f>
        <v/>
      </c>
      <c r="E242" s="8" t="n"/>
      <c r="F242" s="86" t="n"/>
      <c r="G242" s="87" t="n"/>
      <c r="H242" s="88">
        <f>IF(I242="","",IF(AND((I242-G242)&gt;=TIME(0,0,0),(I242-G242)&lt;TIME(0,3,0)),"OK",IF(AND((I242-G242)&gt;=TIME(0,3,0),(I242-G242)&lt;TIME(0,5,0)),"RETRASO DE 3-5 MIN",IF(AND((I242-G242)&gt;=TIME(0,5,0),(I242-G242)&lt;TIME(0,10,0)),"RETRASO DE 5-10 MIN",IF((I242-G242)&gt;=TIME(0,10,0),"RETRASO &gt;10 MIN", IF(AND((G242-I242)&gt;=TIME(0,0,0),(G242-I242)&lt;TIME(0,3,0)),"OK",IF((G242-I242)&gt;=TIME(0,3,0),"ADELANTADO")))))))</f>
        <v/>
      </c>
      <c r="I242" s="89" t="n"/>
      <c r="J242" s="89">
        <f>IF(A242&lt;&gt;"",HLOOKUP(VALUE(TEXT(G242,"h:mm:ss")),IF($C$6="Laboral",$FZ$4:$GX$227,IF($C$6="Sábado",$FZ$231:$GX$452,$FZ$456:$GX$656)),VLOOKUP($C$4,$HF$2:$HH$99,3,0)+IF(C$5="Ida",0,1),1),"")</f>
        <v/>
      </c>
      <c r="K242" s="89">
        <f>IF(A243&lt;&gt;A242,AVERAGEIF(A$9:A242,A242,J$9:J242),"")</f>
        <v/>
      </c>
      <c r="L242" s="89">
        <f>IFERROR(IF(A243&lt;&gt;A242,AVERAGEIF(A$9:A242,A242,S$9:S242),""),"")</f>
        <v/>
      </c>
      <c r="M242" s="89">
        <f>IFERROR(IF(A243&lt;&gt;A242,AVERAGEIF(A$9:A242,A242,T$9:T242),""),"")</f>
        <v/>
      </c>
      <c r="N242" s="89">
        <f t="array" ref="N242">IFERROR(IF(A243&lt;&gt;A242,_xlfn.STDEV.P(IF(A$9:A242=A242,T$9:T242)),""),"")</f>
        <v/>
      </c>
      <c r="O242" s="89">
        <f t="array" ref="O242">IFERROR(IF(A243&lt;&gt;A242,_xlfn.STDEV.P(IF(A$9:A242=A242,S$9:S242)),""),"")</f>
        <v/>
      </c>
      <c r="P242" s="90">
        <f>IFERROR(IF(A242&lt;&gt;A243,MAX((((M242*24*60)/2)*(1+POWER((((N242*24*60) / (M242*24*60) )),2))) + ((M242*24*60 )*-0.1 + (K242*0.015)) +1,(((M242*24*60)/2)*(1+POWER((((N242*24*60) / (M242*24*60 ))),2)))),""),"")</f>
        <v/>
      </c>
      <c r="Q242" s="90">
        <f>IF(AND(O242&lt;&gt;"",L242&lt;&gt;""),IF(A242&lt;&gt;A243,((L242*24*60) / 2 ) * (1 + POWER(((O242*24*60) / (L242*24*60)),2)),""),"")</f>
        <v/>
      </c>
      <c r="R242" s="90">
        <f>IF(Q242&lt;&gt;"",MAX(P242,Q242),"")</f>
        <v/>
      </c>
      <c r="S242" s="89">
        <f>IF(I242&lt;&gt;"H. Sale Real",IF(AND(I243&lt;&gt;"",LEFT(C243,2)&lt;&gt;"Va"),IF(AND(I242&lt;&gt;"",LEFT(C242,2)&lt;&gt;"Va",I242&lt;&gt;"H. Sale Real"),IF(I243-I242&lt;0.208333333333333,I243-I242,""),IF(AND(I241&lt;&gt;"",LEFT(C241,2)&lt;&gt;"Va",I241&lt;&gt;"H. Sale Real"),IF(I243-I241&lt;0.208333333333333,I243-I241,""),IF(AND(I240&lt;&gt;"",LEFT(C240,2)&lt;&gt;"Va",I240&lt;&gt;"H. Sale Real"),IF(I243-I240&lt;0.208333333333333,I243-I240,""),IF(AND(I239&lt;&gt;"",LEFT(C239,2)&lt;&gt;"Va",I239&lt;&gt;"H. Sale Real"),IF(I243-I239&lt;0.208333333333333,I243-I239,""),IF(AND(I238&lt;&gt;"",LEFT(C238,2)&lt;&gt;"Va",I238&lt;&gt;"H. Sale Real"),IF(I243-I238&lt;0.208333333333333,I243-I238,""),""))))),""),"")</f>
        <v/>
      </c>
      <c r="T242" s="89">
        <f>IF(G242&lt;&gt;"H. Sale Real",IF(AND(G243&lt;&gt;"",LEFT(C243,2)&lt;&gt;"Va"),IF(AND(G242&lt;&gt;"",LEFT(C242,2)&lt;&gt;"Va",G242&lt;&gt;"H. Sale Real"),IF(G243-G242&lt;0.208333333333333,G243-G242,""),IF(AND(G241&lt;&gt;"",LEFT(C241,2)&lt;&gt;"Va",G241&lt;&gt;"H. Sale Real"),IF(G243-G241&lt;0.208333333333333,G243-G241,""),IF(AND(G240&lt;&gt;"",LEFT(C240,2)&lt;&gt;"Va",G240&lt;&gt;"H. Sale Real"),IF(G243-G240&lt;0.208333333333333,G243-G240,""),IF(AND(G239&lt;&gt;"",LEFT(C239,2)&lt;&gt;"Va",G239&lt;&gt;"H. Sale Real"),IF(G243-G239&lt;0.208333333333333,G243-G239,""),IF(AND(G238&lt;&gt;"",LEFT(C238,2)&lt;&gt;"Va",G238&lt;&gt;"H. Sale Real"),IF(G243-G238&lt;0.208333333333333,G243-G238,""),""))))),""),"")</f>
        <v/>
      </c>
      <c r="U242" s="87" t="n"/>
      <c r="V242" s="89" t="n"/>
      <c r="W242" s="87" t="n"/>
      <c r="X242" s="89" t="n"/>
      <c r="Y242" s="91" t="n"/>
      <c r="Z242" s="122">
        <f>IF(G242&lt;&gt;"",IF(AND(Z241&lt;&gt;"IE",P242&lt;&gt;0,R242&lt;&gt;""),IF(IFERROR((P242/R242),0) &lt;=1,IFERROR(P242/R242,""),1),""),"")</f>
        <v/>
      </c>
      <c r="AA242" s="93" t="n"/>
      <c r="AB242" s="2" t="n"/>
      <c r="AE242" s="10">
        <f>HOUR(AK242)+1</f>
        <v/>
      </c>
      <c r="AF242" s="7" t="n"/>
      <c r="AG242" s="7" t="n"/>
      <c r="AH242" s="86" t="n"/>
      <c r="AI242" s="8" t="n"/>
      <c r="AJ242" s="86" t="n"/>
      <c r="AK242" s="87" t="n"/>
      <c r="AL242" s="88">
        <f>IF(AM242="","",IF(AND((AM242-AK242)&gt;=TIME(0,0,0),(AM242-AK242)&lt;TIME(0,3,0)),"OK",IF(AND((AM242-AK242)&gt;=TIME(0,3,0),(AM242-AK242)&lt;TIME(0,5,0)),"RETRASO DE 3-5 MIN",IF(AND((AM242-AK242)&gt;=TIME(0,5,0),(AM242-AK242)&lt;TIME(0,10,0)),"RETRASO DE 5-10 MIN",IF((AM242-AK242)&gt;=TIME(0,10,0),"RETRASO &gt;10 MIN", IF(AND((AK242-AM242)&gt;=TIME(0,0,0),(AK242-AM242)&lt;TIME(0,3,0)),"OK",IF((AK242-AM242)&gt;=TIME(0,3,0),"ADELANTADO")))))))</f>
        <v/>
      </c>
      <c r="AM242" s="91" t="n"/>
      <c r="AN242" s="89">
        <f>IF(AE242&lt;&gt;"",HLOOKUP(VALUE(TEXT(AK242,"h:mm:ss")),IF($C$6="Laboral",$FZ$4:$GX$227,IF($C$6="Sábado",$FZ$231:$GX$452,$FZ$456:$GX$656)),VLOOKUP($C$4,$HF$2:$HH$99,3,0)+IF(AG$5="Ida",0,1),1),"")</f>
        <v/>
      </c>
      <c r="AO242" s="89">
        <f>IF(AE243&lt;&gt;AE242,AVERAGEIF(AE$9:AE242,AE242,AN$9:AN242),"")</f>
        <v/>
      </c>
      <c r="AP242" s="89">
        <f>IFERROR(IF(AE243&lt;&gt;AE242,AVERAGEIF(AE$9:AE242,AE242,AW$9:AW242),""),"")</f>
        <v/>
      </c>
      <c r="AQ242" s="89">
        <f>IFERROR(IF(AE243&lt;&gt;AE242,AVERAGEIF(AE$9:AE242,AE242,AX$9:AX242),""),"")</f>
        <v/>
      </c>
      <c r="AR242" s="89">
        <f t="array" ref="AR242">IFERROR(IF(AE243&lt;&gt;AE242,_xlfn.STDEV.P(IF(AE$9:AE242=AE242,AX$9:AX242)),""),"")</f>
        <v/>
      </c>
      <c r="AS242" s="89">
        <f t="array" ref="AS242">IFERROR(IF(AE243&lt;&gt;AE242,_xlfn.STDEV.P(IF(AE$9:AE242=AE242,AW$9:AW242)),""),"")</f>
        <v/>
      </c>
      <c r="AT242" s="90">
        <f>IFERROR(IF(AE242&lt;&gt;AE243,MAX((((AQ242*24*60)/2)*(1+POWER((((AR242*24*60) / (AQ242*24*60) )),2))) + ((AQ242*24*60 )*-0.1 + (AO242*0.015)) +1,(((AQ242*24*60)/2)*(1+POWER((((AR242*24*60) / (AQ242*24*60 ))),2)))),""),"")</f>
        <v/>
      </c>
      <c r="AU242" s="90">
        <f>IF(AND(AS242&lt;&gt;"",AP242&lt;&gt;""),IF(AE242&lt;&gt;AE243,((AP242*24*60) / 2 ) * (1 + POWER(((AS242*24*60) / (AP242*24*60)),2)),""),"")</f>
        <v/>
      </c>
      <c r="AV242" s="90">
        <f>IF(AU242&lt;&gt;"",MAX(AT242,AU242),"")</f>
        <v/>
      </c>
      <c r="AW242" s="89">
        <f>IF(AM242&lt;&gt;"H. Sale Real",IF(AND(AM243&lt;&gt;"",LEFT(AG243,2)&lt;&gt;"Va"),IF(AND(AM242&lt;&gt;"",LEFT(AG242,2)&lt;&gt;"Va",AM242&lt;&gt;"H. Sale Real"),IF(AM243-AM242&lt;0.208333333333333,AM243-AM242,""),IF(AND(AM241&lt;&gt;"",LEFT(AG241,2)&lt;&gt;"Va",AM241&lt;&gt;"H. Sale Real"),IF(AM243-AM241&lt;0.208333333333333,AM243-AM241,""),IF(AND(AM240&lt;&gt;"",LEFT(AG240,2)&lt;&gt;"Va",AM240&lt;&gt;"H. Sale Real"),IF(AM243-AM240&lt;0.208333333333333,AM243-AM240,""),IF(AND(AM239&lt;&gt;"",LEFT(AG239,2)&lt;&gt;"Va",AM239&lt;&gt;"H. Sale Real"),IF(AM243-AM239&lt;0.208333333333333,AM243-AM239,""),IF(AND(AM238&lt;&gt;"",LEFT(AG238,2)&lt;&gt;"Va",AM238&lt;&gt;"H. Sale Real"),IF(AM243-AM238&lt;0.208333333333333,AM243-AM238,""),""))))),""),"")</f>
        <v/>
      </c>
      <c r="AX242" s="89">
        <f>IF(AK242&lt;&gt;"H. Sale Real",IF(AND(AK243&lt;&gt;"",LEFT(AG243,2)&lt;&gt;"Va"),IF(AND(AK242&lt;&gt;"",LEFT(AG242,2)&lt;&gt;"Va",AK242&lt;&gt;"H. Sale Real"),IF(AK243-AK242&lt;0.208333333333333,AK243-AK242,""),IF(AND(AK241&lt;&gt;"",LEFT(AG241,2)&lt;&gt;"Va",AK241&lt;&gt;"H. Sale Real"),IF(AK243-AK241&lt;0.208333333333333,AK243-AK241,""),IF(AND(AK240&lt;&gt;"",LEFT(AG240,2)&lt;&gt;"NC",AK240&lt;&gt;"H. Sale Real"),IF(AK243-AK240&lt;0.208333333333333,AK243-AK240,""),IF(AND(AK239&lt;&gt;"",LEFT(AG239,2)&lt;&gt;"Va",AK239&lt;&gt;"H. Sale Real"),IF(AK243-AK239&lt;0.208333333333333,AK243-AK239,""),IF(AND(AK238&lt;&gt;"",LEFT(AG238,2)&lt;&gt;"Va",AK238&lt;&gt;"H. Sale Real"),IF(AK243-AK238&lt;0.208333333333333,AK243-AK238,""),""))))),""),"")</f>
        <v/>
      </c>
      <c r="AY242" s="87" t="n"/>
      <c r="AZ242" s="89" t="n"/>
      <c r="BA242" s="87" t="n"/>
      <c r="BB242" s="89" t="n"/>
      <c r="BC242" s="91" t="n"/>
      <c r="BD242" s="122">
        <f>IF(AK242&lt;&gt;"",IF(AND(BD241&lt;&gt;"IE",AT242&lt;&gt;0,AV242&lt;&gt;""),IF(IFERROR((AT242/AV242),0) &lt;=1,IFERROR(AT242/AV242,""),1),""),"")</f>
        <v/>
      </c>
      <c r="BE242" s="93" t="n"/>
      <c r="BF242" s="105" t="n"/>
      <c r="FC242" t="inlineStr">
        <is>
          <t>Diccionario 1</t>
        </is>
      </c>
      <c r="FD242" s="15" t="n">
        <v>1217</v>
      </c>
      <c r="FE242" s="15" t="inlineStr">
        <is>
          <t>YV3T7U529RA212110</t>
        </is>
      </c>
      <c r="FF242" s="15" t="n">
        <v>593684</v>
      </c>
      <c r="FG242" s="15" t="inlineStr">
        <is>
          <t>Volvo</t>
        </is>
      </c>
      <c r="FH242" s="15" t="inlineStr">
        <is>
          <t>B8RLEA</t>
        </is>
      </c>
      <c r="FI242" s="15" t="inlineStr">
        <is>
          <t>MARCOPOLO</t>
        </is>
      </c>
      <c r="FJ242" s="15" t="inlineStr">
        <is>
          <t>GRAN VIALE</t>
        </is>
      </c>
      <c r="FK242" s="15" t="n">
        <v>2023</v>
      </c>
      <c r="FL242" s="15" t="inlineStr">
        <is>
          <t>C</t>
        </is>
      </c>
      <c r="FM242" s="15" t="inlineStr">
        <is>
          <t>SAN ALFONSO</t>
        </is>
      </c>
      <c r="FN242" s="15" t="inlineStr">
        <is>
          <t>San Alfonso 2141 (Ramón Subercaseaux 3060)</t>
        </is>
      </c>
      <c r="FO242" s="15" t="inlineStr">
        <is>
          <t>Estacion Central</t>
        </is>
      </c>
      <c r="FP242" t="inlineStr">
        <is>
          <t>C</t>
        </is>
      </c>
      <c r="FS242" s="14" t="inlineStr">
        <is>
          <t>3062 / SFWZ-10|</t>
        </is>
      </c>
      <c r="FT242" t="inlineStr">
        <is>
          <t>SFWZ-10|</t>
        </is>
      </c>
      <c r="FU242" t="inlineStr">
        <is>
          <t>SFWZ-10</t>
        </is>
      </c>
      <c r="FV242">
        <f>VLOOKUP(FU242,FD:FL,9,0)</f>
        <v/>
      </c>
      <c r="FZ242" s="51" t="n">
        <v>120</v>
      </c>
      <c r="GA242" s="117" t="n">
        <v>0</v>
      </c>
      <c r="GB242" s="117" t="n">
        <v>0</v>
      </c>
      <c r="GC242" s="117" t="n">
        <v>0</v>
      </c>
      <c r="GD242" s="117" t="n">
        <v>0</v>
      </c>
      <c r="GE242" s="117" t="n">
        <v>13.725</v>
      </c>
      <c r="GF242" s="117" t="n">
        <v>24.4</v>
      </c>
      <c r="GG242" s="117" t="n">
        <v>20.94</v>
      </c>
      <c r="GH242" s="117" t="n">
        <v>20.07</v>
      </c>
      <c r="GI242" s="117" t="n">
        <v>19.61</v>
      </c>
      <c r="GJ242" s="117" t="n">
        <v>18.635</v>
      </c>
      <c r="GK242" s="117" t="n">
        <v>17.83</v>
      </c>
      <c r="GL242" s="117" t="n">
        <v>16.98</v>
      </c>
      <c r="GM242" s="117" t="n">
        <v>16.25</v>
      </c>
      <c r="GN242" s="117" t="n">
        <v>16.21</v>
      </c>
      <c r="GO242" s="117" t="n">
        <v>17.13</v>
      </c>
      <c r="GP242" s="117" t="n">
        <v>17.955</v>
      </c>
      <c r="GQ242" s="117" t="n">
        <v>18.325</v>
      </c>
      <c r="GR242" s="117" t="n">
        <v>18.185</v>
      </c>
      <c r="GS242" s="117" t="n">
        <v>18.225</v>
      </c>
      <c r="GT242" s="117" t="n">
        <v>19.03</v>
      </c>
      <c r="GU242" s="117" t="n">
        <v>20.35</v>
      </c>
      <c r="GV242" s="117" t="n">
        <v>21.915</v>
      </c>
      <c r="GW242" s="117" t="n">
        <v>24.32</v>
      </c>
      <c r="GX242" s="117" t="n">
        <v>26.76</v>
      </c>
      <c r="HA242" s="35" t="n">
        <v>12</v>
      </c>
      <c r="HB242" s="35" t="n">
        <v>236</v>
      </c>
    </row>
    <row r="243" ht="15.5" customHeight="1">
      <c r="A243" s="10">
        <f>HOUR(G243)+1</f>
        <v/>
      </c>
      <c r="B243" s="7" t="n"/>
      <c r="C243" s="7" t="n"/>
      <c r="D243" s="85">
        <f>IFERROR(
IF(AND(OR(Planilla!B243="C",Planilla!B243="c"), VLOOKUP(E243,FD:FP,13,0)="C"), "OK",IF(AND(OR(Planilla!B243="C",Planilla!B243="c"), OR(VLOOKUP(E243,FD:FP,13,0)="B", VLOOKUP(E243,FD:FP,13,0)="A")), "DEFICIT",IF(
AND(OR(Planilla!B243="B", Planilla!B243="BPAL"), VLOOKUP(E243,FD:FP,13,0)="B"), "OK",IF(AND(OR(Planilla!B243="B", Planilla!B243="BPAL"), VLOOKUP(E243,FD:FP,13,0)="A"), "DEFICIT",IF(AND(OR(Planilla!B243="B", Planilla!B243="BPAL"), VLOOKUP(E243,FD:FP,13,0)="C"), "SOBREOFERTA",IF(AND(Planilla!B243="A", VLOOKUP(E243,FD:FP,13,0)="A"), "OK",IF(
AND(Planilla!B243="A", OR(VLOOKUP(E243,FD:FP,13,0)="B", VLOOKUP(E243,FD:FP,13,0)="C")), "SOBREOFERTA",""
))))))),"")</f>
        <v/>
      </c>
      <c r="E243" s="8" t="n"/>
      <c r="F243" s="86" t="n"/>
      <c r="G243" s="87" t="n"/>
      <c r="H243" s="88">
        <f>IF(I243="","",IF(AND((I243-G243)&gt;=TIME(0,0,0),(I243-G243)&lt;TIME(0,3,0)),"OK",IF(AND((I243-G243)&gt;=TIME(0,3,0),(I243-G243)&lt;TIME(0,5,0)),"RETRASO DE 3-5 MIN",IF(AND((I243-G243)&gt;=TIME(0,5,0),(I243-G243)&lt;TIME(0,10,0)),"RETRASO DE 5-10 MIN",IF((I243-G243)&gt;=TIME(0,10,0),"RETRASO &gt;10 MIN", IF(AND((G243-I243)&gt;=TIME(0,0,0),(G243-I243)&lt;TIME(0,3,0)),"OK",IF((G243-I243)&gt;=TIME(0,3,0),"ADELANTADO")))))))</f>
        <v/>
      </c>
      <c r="I243" s="89" t="n"/>
      <c r="J243" s="89">
        <f>IF(A243&lt;&gt;"",HLOOKUP(VALUE(TEXT(G243,"h:mm:ss")),IF($C$6="Laboral",$FZ$4:$GX$227,IF($C$6="Sábado",$FZ$231:$GX$452,$FZ$456:$GX$656)),VLOOKUP($C$4,$HF$2:$HH$99,3,0)+IF(C$5="Ida",0,1),1),"")</f>
        <v/>
      </c>
      <c r="K243" s="89">
        <f>IF(A244&lt;&gt;A243,AVERAGEIF(A$9:A243,A243,J$9:J243),"")</f>
        <v/>
      </c>
      <c r="L243" s="89">
        <f>IFERROR(IF(A244&lt;&gt;A243,AVERAGEIF(A$9:A243,A243,S$9:S243),""),"")</f>
        <v/>
      </c>
      <c r="M243" s="89">
        <f>IFERROR(IF(A244&lt;&gt;A243,AVERAGEIF(A$9:A243,A243,T$9:T243),""),"")</f>
        <v/>
      </c>
      <c r="N243" s="89">
        <f t="array" ref="N243">IFERROR(IF(A244&lt;&gt;A243,_xlfn.STDEV.P(IF(A$9:A243=A243,T$9:T243)),""),"")</f>
        <v/>
      </c>
      <c r="O243" s="89">
        <f t="array" ref="O243">IFERROR(IF(A244&lt;&gt;A243,_xlfn.STDEV.P(IF(A$9:A243=A243,S$9:S243)),""),"")</f>
        <v/>
      </c>
      <c r="P243" s="90">
        <f>IFERROR(IF(A243&lt;&gt;A244,MAX((((M243*24*60)/2)*(1+POWER((((N243*24*60) / (M243*24*60) )),2))) + ((M243*24*60 )*-0.1 + (K243*0.015)) +1,(((M243*24*60)/2)*(1+POWER((((N243*24*60) / (M243*24*60 ))),2)))),""),"")</f>
        <v/>
      </c>
      <c r="Q243" s="90">
        <f>IF(AND(O243&lt;&gt;"",L243&lt;&gt;""),IF(A243&lt;&gt;A244,((L243*24*60) / 2 ) * (1 + POWER(((O243*24*60) / (L243*24*60)),2)),""),"")</f>
        <v/>
      </c>
      <c r="R243" s="90">
        <f>IF(Q243&lt;&gt;"",MAX(P243,Q243),"")</f>
        <v/>
      </c>
      <c r="S243" s="89">
        <f>IF(I243&lt;&gt;"H. Sale Real",IF(AND(I244&lt;&gt;"",LEFT(C244,2)&lt;&gt;"Va"),IF(AND(I243&lt;&gt;"",LEFT(C243,2)&lt;&gt;"Va",I243&lt;&gt;"H. Sale Real"),IF(I244-I243&lt;0.208333333333333,I244-I243,""),IF(AND(I242&lt;&gt;"",LEFT(C242,2)&lt;&gt;"Va",I242&lt;&gt;"H. Sale Real"),IF(I244-I242&lt;0.208333333333333,I244-I242,""),IF(AND(I241&lt;&gt;"",LEFT(C241,2)&lt;&gt;"Va",I241&lt;&gt;"H. Sale Real"),IF(I244-I241&lt;0.208333333333333,I244-I241,""),IF(AND(I240&lt;&gt;"",LEFT(C240,2)&lt;&gt;"Va",I240&lt;&gt;"H. Sale Real"),IF(I244-I240&lt;0.208333333333333,I244-I240,""),IF(AND(I239&lt;&gt;"",LEFT(C239,2)&lt;&gt;"Va",I239&lt;&gt;"H. Sale Real"),IF(I244-I239&lt;0.208333333333333,I244-I239,""),""))))),""),"")</f>
        <v/>
      </c>
      <c r="T243" s="89">
        <f>IF(G243&lt;&gt;"H. Sale Real",IF(AND(G244&lt;&gt;"",LEFT(C244,2)&lt;&gt;"Va"),IF(AND(G243&lt;&gt;"",LEFT(C243,2)&lt;&gt;"Va",G243&lt;&gt;"H. Sale Real"),IF(G244-G243&lt;0.208333333333333,G244-G243,""),IF(AND(G242&lt;&gt;"",LEFT(C242,2)&lt;&gt;"Va",G242&lt;&gt;"H. Sale Real"),IF(G244-G242&lt;0.208333333333333,G244-G242,""),IF(AND(G241&lt;&gt;"",LEFT(C241,2)&lt;&gt;"Va",G241&lt;&gt;"H. Sale Real"),IF(G244-G241&lt;0.208333333333333,G244-G241,""),IF(AND(G240&lt;&gt;"",LEFT(C240,2)&lt;&gt;"Va",G240&lt;&gt;"H. Sale Real"),IF(G244-G240&lt;0.208333333333333,G244-G240,""),IF(AND(G239&lt;&gt;"",LEFT(C239,2)&lt;&gt;"Va",G239&lt;&gt;"H. Sale Real"),IF(G244-G239&lt;0.208333333333333,G244-G239,""),""))))),""),"")</f>
        <v/>
      </c>
      <c r="U243" s="87" t="n"/>
      <c r="V243" s="89" t="n"/>
      <c r="W243" s="87" t="n"/>
      <c r="X243" s="89" t="n"/>
      <c r="Y243" s="91" t="n"/>
      <c r="Z243" s="122">
        <f>IF(G243&lt;&gt;"",IF(AND(Z242&lt;&gt;"IE",P243&lt;&gt;0,R243&lt;&gt;""),IF(IFERROR((P243/R243),0) &lt;=1,IFERROR(P243/R243,""),1),""),"")</f>
        <v/>
      </c>
      <c r="AA243" s="93" t="n"/>
      <c r="AB243" s="2" t="n"/>
      <c r="AE243" s="10">
        <f>HOUR(AK243)+1</f>
        <v/>
      </c>
      <c r="AF243" s="7" t="n"/>
      <c r="AG243" s="7" t="n"/>
      <c r="AH243" s="86" t="n"/>
      <c r="AI243" s="8" t="n"/>
      <c r="AJ243" s="86" t="n"/>
      <c r="AK243" s="87" t="n"/>
      <c r="AL243" s="88">
        <f>IF(AM243="","",IF(AND((AM243-AK243)&gt;=TIME(0,0,0),(AM243-AK243)&lt;TIME(0,3,0)),"OK",IF(AND((AM243-AK243)&gt;=TIME(0,3,0),(AM243-AK243)&lt;TIME(0,5,0)),"RETRASO DE 3-5 MIN",IF(AND((AM243-AK243)&gt;=TIME(0,5,0),(AM243-AK243)&lt;TIME(0,10,0)),"RETRASO DE 5-10 MIN",IF((AM243-AK243)&gt;=TIME(0,10,0),"RETRASO &gt;10 MIN", IF(AND((AK243-AM243)&gt;=TIME(0,0,0),(AK243-AM243)&lt;TIME(0,3,0)),"OK",IF((AK243-AM243)&gt;=TIME(0,3,0),"ADELANTADO")))))))</f>
        <v/>
      </c>
      <c r="AM243" s="91" t="n"/>
      <c r="AN243" s="89">
        <f>IF(AE243&lt;&gt;"",HLOOKUP(VALUE(TEXT(AK243,"h:mm:ss")),IF($C$6="Laboral",$FZ$4:$GX$227,IF($C$6="Sábado",$FZ$231:$GX$452,$FZ$456:$GX$656)),VLOOKUP($C$4,$HF$2:$HH$99,3,0)+IF(AG$5="Ida",0,1),1),"")</f>
        <v/>
      </c>
      <c r="AO243" s="89">
        <f>IF(AE244&lt;&gt;AE243,AVERAGEIF(AE$9:AE243,AE243,AN$9:AN243),"")</f>
        <v/>
      </c>
      <c r="AP243" s="89">
        <f>IFERROR(IF(AE244&lt;&gt;AE243,AVERAGEIF(AE$9:AE243,AE243,AW$9:AW243),""),"")</f>
        <v/>
      </c>
      <c r="AQ243" s="89">
        <f>IFERROR(IF(AE244&lt;&gt;AE243,AVERAGEIF(AE$9:AE243,AE243,AX$9:AX243),""),"")</f>
        <v/>
      </c>
      <c r="AR243" s="89">
        <f t="array" ref="AR243">IFERROR(IF(AE244&lt;&gt;AE243,_xlfn.STDEV.P(IF(AE$9:AE243=AE243,AX$9:AX243)),""),"")</f>
        <v/>
      </c>
      <c r="AS243" s="89">
        <f t="array" ref="AS243">IFERROR(IF(AE244&lt;&gt;AE243,_xlfn.STDEV.P(IF(AE$9:AE243=AE243,AW$9:AW243)),""),"")</f>
        <v/>
      </c>
      <c r="AT243" s="90">
        <f>IFERROR(IF(AE243&lt;&gt;AE244,MAX((((AQ243*24*60)/2)*(1+POWER((((AR243*24*60) / (AQ243*24*60) )),2))) + ((AQ243*24*60 )*-0.1 + (AO243*0.015)) +1,(((AQ243*24*60)/2)*(1+POWER((((AR243*24*60) / (AQ243*24*60 ))),2)))),""),"")</f>
        <v/>
      </c>
      <c r="AU243" s="90">
        <f>IF(AND(AS243&lt;&gt;"",AP243&lt;&gt;""),IF(AE243&lt;&gt;AE244,((AP243*24*60) / 2 ) * (1 + POWER(((AS243*24*60) / (AP243*24*60)),2)),""),"")</f>
        <v/>
      </c>
      <c r="AV243" s="90">
        <f>IF(AU243&lt;&gt;"",MAX(AT243,AU243),"")</f>
        <v/>
      </c>
      <c r="AW243" s="89">
        <f>IF(AM243&lt;&gt;"H. Sale Real",IF(AND(AM244&lt;&gt;"",LEFT(AG244,2)&lt;&gt;"Va"),IF(AND(AM243&lt;&gt;"",LEFT(AG243,2)&lt;&gt;"Va",AM243&lt;&gt;"H. Sale Real"),IF(AM244-AM243&lt;0.208333333333333,AM244-AM243,""),IF(AND(AM242&lt;&gt;"",LEFT(AG242,2)&lt;&gt;"Va",AM242&lt;&gt;"H. Sale Real"),IF(AM244-AM242&lt;0.208333333333333,AM244-AM242,""),IF(AND(AM241&lt;&gt;"",LEFT(AG241,2)&lt;&gt;"Va",AM241&lt;&gt;"H. Sale Real"),IF(AM244-AM241&lt;0.208333333333333,AM244-AM241,""),IF(AND(AM240&lt;&gt;"",LEFT(AG240,2)&lt;&gt;"Va",AM240&lt;&gt;"H. Sale Real"),IF(AM244-AM240&lt;0.208333333333333,AM244-AM240,""),IF(AND(AM239&lt;&gt;"",LEFT(AG239,2)&lt;&gt;"Va",AM239&lt;&gt;"H. Sale Real"),IF(AM244-AM239&lt;0.208333333333333,AM244-AM239,""),""))))),""),"")</f>
        <v/>
      </c>
      <c r="AX243" s="89">
        <f>IF(AK243&lt;&gt;"H. Sale Real",IF(AND(AK244&lt;&gt;"",LEFT(AG244,2)&lt;&gt;"Va"),IF(AND(AK243&lt;&gt;"",LEFT(AG243,2)&lt;&gt;"Va",AK243&lt;&gt;"H. Sale Real"),IF(AK244-AK243&lt;0.208333333333333,AK244-AK243,""),IF(AND(AK242&lt;&gt;"",LEFT(AG242,2)&lt;&gt;"Va",AK242&lt;&gt;"H. Sale Real"),IF(AK244-AK242&lt;0.208333333333333,AK244-AK242,""),IF(AND(AK241&lt;&gt;"",LEFT(AG241,2)&lt;&gt;"NC",AK241&lt;&gt;"H. Sale Real"),IF(AK244-AK241&lt;0.208333333333333,AK244-AK241,""),IF(AND(AK240&lt;&gt;"",LEFT(AG240,2)&lt;&gt;"Va",AK240&lt;&gt;"H. Sale Real"),IF(AK244-AK240&lt;0.208333333333333,AK244-AK240,""),IF(AND(AK239&lt;&gt;"",LEFT(AG239,2)&lt;&gt;"Va",AK239&lt;&gt;"H. Sale Real"),IF(AK244-AK239&lt;0.208333333333333,AK244-AK239,""),""))))),""),"")</f>
        <v/>
      </c>
      <c r="AY243" s="87" t="n"/>
      <c r="AZ243" s="89" t="n"/>
      <c r="BA243" s="87" t="n"/>
      <c r="BB243" s="89" t="n"/>
      <c r="BC243" s="91" t="n"/>
      <c r="BD243" s="122">
        <f>IF(AK243&lt;&gt;"",IF(AND(BD242&lt;&gt;"IE",AT243&lt;&gt;0,AV243&lt;&gt;""),IF(IFERROR((AT243/AV243),0) &lt;=1,IFERROR(AT243/AV243,""),1),""),"")</f>
        <v/>
      </c>
      <c r="BE243" s="93" t="n"/>
      <c r="BF243" s="105" t="n"/>
      <c r="FC243" t="inlineStr">
        <is>
          <t>Diccionario 1</t>
        </is>
      </c>
      <c r="FD243" s="15" t="n">
        <v>1218</v>
      </c>
      <c r="FE243" s="15" t="inlineStr">
        <is>
          <t>YV3T7U522RA212109</t>
        </is>
      </c>
      <c r="FF243" s="15" t="n">
        <v>593717</v>
      </c>
      <c r="FG243" s="15" t="inlineStr">
        <is>
          <t>Volvo</t>
        </is>
      </c>
      <c r="FH243" s="15" t="inlineStr">
        <is>
          <t>B8RLEA</t>
        </is>
      </c>
      <c r="FI243" s="15" t="inlineStr">
        <is>
          <t>MARCOPOLO</t>
        </is>
      </c>
      <c r="FJ243" s="15" t="inlineStr">
        <is>
          <t>GRAN VIALE</t>
        </is>
      </c>
      <c r="FK243" s="15" t="n">
        <v>2023</v>
      </c>
      <c r="FL243" s="15" t="inlineStr">
        <is>
          <t>C</t>
        </is>
      </c>
      <c r="FM243" s="15" t="inlineStr">
        <is>
          <t>SAN ALFONSO</t>
        </is>
      </c>
      <c r="FN243" s="15" t="inlineStr">
        <is>
          <t>San Alfonso 2141 (Ramón Subercaseaux 3060)</t>
        </is>
      </c>
      <c r="FO243" s="15" t="inlineStr">
        <is>
          <t>Estacion Central</t>
        </is>
      </c>
      <c r="FP243" t="inlineStr">
        <is>
          <t>C</t>
        </is>
      </c>
      <c r="FS243" s="14" t="inlineStr">
        <is>
          <t>3062 / SFWZ-10|</t>
        </is>
      </c>
      <c r="FT243" t="inlineStr">
        <is>
          <t>SFWZ-10|</t>
        </is>
      </c>
      <c r="FU243" t="inlineStr">
        <is>
          <t>SFWZ-10</t>
        </is>
      </c>
      <c r="FV243">
        <f>VLOOKUP(FU243,FD:FL,9,0)</f>
        <v/>
      </c>
      <c r="FZ243" s="51" t="n">
        <v>120</v>
      </c>
      <c r="GA243" s="117" t="n">
        <v>27.8</v>
      </c>
      <c r="GB243" s="117" t="n">
        <v>0</v>
      </c>
      <c r="GC243" s="117" t="n">
        <v>0</v>
      </c>
      <c r="GD243" s="117" t="n">
        <v>0</v>
      </c>
      <c r="GE243" s="117" t="n">
        <v>0</v>
      </c>
      <c r="GF243" s="117" t="n">
        <v>12</v>
      </c>
      <c r="GG243" s="117" t="n">
        <v>23.03</v>
      </c>
      <c r="GH243" s="117" t="n">
        <v>21</v>
      </c>
      <c r="GI243" s="117" t="n">
        <v>19.885</v>
      </c>
      <c r="GJ243" s="117" t="n">
        <v>19.3</v>
      </c>
      <c r="GK243" s="117" t="n">
        <v>18.18</v>
      </c>
      <c r="GL243" s="117" t="n">
        <v>16.96</v>
      </c>
      <c r="GM243" s="117" t="n">
        <v>16.665</v>
      </c>
      <c r="GN243" s="117" t="n">
        <v>17.055</v>
      </c>
      <c r="GO243" s="117" t="n">
        <v>17.705</v>
      </c>
      <c r="GP243" s="117" t="n">
        <v>17.985</v>
      </c>
      <c r="GQ243" s="117" t="n">
        <v>18.27</v>
      </c>
      <c r="GR243" s="117" t="n">
        <v>18.305</v>
      </c>
      <c r="GS243" s="117" t="n">
        <v>18.41</v>
      </c>
      <c r="GT243" s="117" t="n">
        <v>18.83</v>
      </c>
      <c r="GU243" s="117" t="n">
        <v>19.63</v>
      </c>
      <c r="GV243" s="117" t="n">
        <v>20.995</v>
      </c>
      <c r="GW243" s="117" t="n">
        <v>23.795</v>
      </c>
      <c r="GX243" s="117" t="n">
        <v>25.9</v>
      </c>
      <c r="HA243" s="35" t="n">
        <v>13</v>
      </c>
      <c r="HB243" s="35" t="n">
        <v>237</v>
      </c>
    </row>
    <row r="244" ht="15.5" customHeight="1">
      <c r="A244" s="10">
        <f>HOUR(G244)+1</f>
        <v/>
      </c>
      <c r="B244" s="7" t="n"/>
      <c r="C244" s="7" t="n"/>
      <c r="D244" s="85">
        <f>IFERROR(
IF(AND(OR(Planilla!B244="C",Planilla!B244="c"), VLOOKUP(E244,FD:FP,13,0)="C"), "OK",IF(AND(OR(Planilla!B244="C",Planilla!B244="c"), OR(VLOOKUP(E244,FD:FP,13,0)="B", VLOOKUP(E244,FD:FP,13,0)="A")), "DEFICIT",IF(
AND(OR(Planilla!B244="B", Planilla!B244="BPAL"), VLOOKUP(E244,FD:FP,13,0)="B"), "OK",IF(AND(OR(Planilla!B244="B", Planilla!B244="BPAL"), VLOOKUP(E244,FD:FP,13,0)="A"), "DEFICIT",IF(AND(OR(Planilla!B244="B", Planilla!B244="BPAL"), VLOOKUP(E244,FD:FP,13,0)="C"), "SOBREOFERTA",IF(AND(Planilla!B244="A", VLOOKUP(E244,FD:FP,13,0)="A"), "OK",IF(
AND(Planilla!B244="A", OR(VLOOKUP(E244,FD:FP,13,0)="B", VLOOKUP(E244,FD:FP,13,0)="C")), "SOBREOFERTA",""
))))))),"")</f>
        <v/>
      </c>
      <c r="E244" s="8" t="n"/>
      <c r="F244" s="86" t="n"/>
      <c r="G244" s="87" t="n"/>
      <c r="H244" s="88">
        <f>IF(I244="","",IF(AND((I244-G244)&gt;=TIME(0,0,0),(I244-G244)&lt;TIME(0,3,0)),"OK",IF(AND((I244-G244)&gt;=TIME(0,3,0),(I244-G244)&lt;TIME(0,5,0)),"RETRASO DE 3-5 MIN",IF(AND((I244-G244)&gt;=TIME(0,5,0),(I244-G244)&lt;TIME(0,10,0)),"RETRASO DE 5-10 MIN",IF((I244-G244)&gt;=TIME(0,10,0),"RETRASO &gt;10 MIN", IF(AND((G244-I244)&gt;=TIME(0,0,0),(G244-I244)&lt;TIME(0,3,0)),"OK",IF((G244-I244)&gt;=TIME(0,3,0),"ADELANTADO")))))))</f>
        <v/>
      </c>
      <c r="I244" s="89" t="n"/>
      <c r="J244" s="89">
        <f>IF(A244&lt;&gt;"",HLOOKUP(VALUE(TEXT(G244,"h:mm:ss")),IF($C$6="Laboral",$FZ$4:$GX$227,IF($C$6="Sábado",$FZ$231:$GX$452,$FZ$456:$GX$656)),VLOOKUP($C$4,$HF$2:$HH$99,3,0)+IF(C$5="Ida",0,1),1),"")</f>
        <v/>
      </c>
      <c r="K244" s="89">
        <f>IF(A245&lt;&gt;A244,AVERAGEIF(A$9:A244,A244,J$9:J244),"")</f>
        <v/>
      </c>
      <c r="L244" s="89">
        <f>IFERROR(IF(A245&lt;&gt;A244,AVERAGEIF(A$9:A244,A244,S$9:S244),""),"")</f>
        <v/>
      </c>
      <c r="M244" s="89">
        <f>IFERROR(IF(A245&lt;&gt;A244,AVERAGEIF(A$9:A244,A244,T$9:T244),""),"")</f>
        <v/>
      </c>
      <c r="N244" s="89">
        <f t="array" ref="N244">IFERROR(IF(A245&lt;&gt;A244,_xlfn.STDEV.P(IF(A$9:A244=A244,T$9:T244)),""),"")</f>
        <v/>
      </c>
      <c r="O244" s="89">
        <f t="array" ref="O244">IFERROR(IF(A245&lt;&gt;A244,_xlfn.STDEV.P(IF(A$9:A244=A244,S$9:S244)),""),"")</f>
        <v/>
      </c>
      <c r="P244" s="90">
        <f>IFERROR(IF(A244&lt;&gt;A245,MAX((((M244*24*60)/2)*(1+POWER((((N244*24*60) / (M244*24*60) )),2))) + ((M244*24*60 )*-0.1 + (K244*0.015)) +1,(((M244*24*60)/2)*(1+POWER((((N244*24*60) / (M244*24*60 ))),2)))),""),"")</f>
        <v/>
      </c>
      <c r="Q244" s="90">
        <f>IF(AND(O244&lt;&gt;"",L244&lt;&gt;""),IF(A244&lt;&gt;A245,((L244*24*60) / 2 ) * (1 + POWER(((O244*24*60) / (L244*24*60)),2)),""),"")</f>
        <v/>
      </c>
      <c r="R244" s="90">
        <f>IF(Q244&lt;&gt;"",MAX(P244,Q244),"")</f>
        <v/>
      </c>
      <c r="S244" s="89">
        <f>IF(I244&lt;&gt;"H. Sale Real",IF(AND(I245&lt;&gt;"",LEFT(C245,2)&lt;&gt;"Va"),IF(AND(I244&lt;&gt;"",LEFT(C244,2)&lt;&gt;"Va",I244&lt;&gt;"H. Sale Real"),IF(I245-I244&lt;0.208333333333333,I245-I244,""),IF(AND(I243&lt;&gt;"",LEFT(C243,2)&lt;&gt;"Va",I243&lt;&gt;"H. Sale Real"),IF(I245-I243&lt;0.208333333333333,I245-I243,""),IF(AND(I242&lt;&gt;"",LEFT(C242,2)&lt;&gt;"Va",I242&lt;&gt;"H. Sale Real"),IF(I245-I242&lt;0.208333333333333,I245-I242,""),IF(AND(I241&lt;&gt;"",LEFT(C241,2)&lt;&gt;"Va",I241&lt;&gt;"H. Sale Real"),IF(I245-I241&lt;0.208333333333333,I245-I241,""),IF(AND(I240&lt;&gt;"",LEFT(C240,2)&lt;&gt;"Va",I240&lt;&gt;"H. Sale Real"),IF(I245-I240&lt;0.208333333333333,I245-I240,""),""))))),""),"")</f>
        <v/>
      </c>
      <c r="T244" s="89">
        <f>IF(G244&lt;&gt;"H. Sale Real",IF(AND(G245&lt;&gt;"",LEFT(C245,2)&lt;&gt;"Va"),IF(AND(G244&lt;&gt;"",LEFT(C244,2)&lt;&gt;"Va",G244&lt;&gt;"H. Sale Real"),IF(G245-G244&lt;0.208333333333333,G245-G244,""),IF(AND(G243&lt;&gt;"",LEFT(C243,2)&lt;&gt;"Va",G243&lt;&gt;"H. Sale Real"),IF(G245-G243&lt;0.208333333333333,G245-G243,""),IF(AND(G242&lt;&gt;"",LEFT(C242,2)&lt;&gt;"Va",G242&lt;&gt;"H. Sale Real"),IF(G245-G242&lt;0.208333333333333,G245-G242,""),IF(AND(G241&lt;&gt;"",LEFT(C241,2)&lt;&gt;"Va",G241&lt;&gt;"H. Sale Real"),IF(G245-G241&lt;0.208333333333333,G245-G241,""),IF(AND(G240&lt;&gt;"",LEFT(C240,2)&lt;&gt;"Va",G240&lt;&gt;"H. Sale Real"),IF(G245-G240&lt;0.208333333333333,G245-G240,""),""))))),""),"")</f>
        <v/>
      </c>
      <c r="U244" s="87" t="n"/>
      <c r="V244" s="89" t="n"/>
      <c r="W244" s="87" t="n"/>
      <c r="X244" s="89" t="n"/>
      <c r="Y244" s="91" t="n"/>
      <c r="Z244" s="122">
        <f>IF(G244&lt;&gt;"",IF(AND(Z243&lt;&gt;"IE",P244&lt;&gt;0,R244&lt;&gt;""),IF(IFERROR((P244/R244),0) &lt;=1,IFERROR(P244/R244,""),1),""),"")</f>
        <v/>
      </c>
      <c r="AA244" s="93" t="n"/>
      <c r="AB244" s="2" t="n"/>
      <c r="AE244" s="10">
        <f>HOUR(AK244)+1</f>
        <v/>
      </c>
      <c r="AF244" s="7" t="n"/>
      <c r="AG244" s="7" t="n"/>
      <c r="AH244" s="86" t="n"/>
      <c r="AI244" s="8" t="n"/>
      <c r="AJ244" s="86" t="n"/>
      <c r="AK244" s="87" t="n"/>
      <c r="AL244" s="88">
        <f>IF(AM244="","",IF(AND((AM244-AK244)&gt;=TIME(0,0,0),(AM244-AK244)&lt;TIME(0,3,0)),"OK",IF(AND((AM244-AK244)&gt;=TIME(0,3,0),(AM244-AK244)&lt;TIME(0,5,0)),"RETRASO DE 3-5 MIN",IF(AND((AM244-AK244)&gt;=TIME(0,5,0),(AM244-AK244)&lt;TIME(0,10,0)),"RETRASO DE 5-10 MIN",IF((AM244-AK244)&gt;=TIME(0,10,0),"RETRASO &gt;10 MIN", IF(AND((AK244-AM244)&gt;=TIME(0,0,0),(AK244-AM244)&lt;TIME(0,3,0)),"OK",IF((AK244-AM244)&gt;=TIME(0,3,0),"ADELANTADO")))))))</f>
        <v/>
      </c>
      <c r="AM244" s="91" t="n"/>
      <c r="AN244" s="89">
        <f>IF(AE244&lt;&gt;"",HLOOKUP(VALUE(TEXT(AK244,"h:mm:ss")),IF($C$6="Laboral",$FZ$4:$GX$227,IF($C$6="Sábado",$FZ$231:$GX$452,$FZ$456:$GX$656)),VLOOKUP($C$4,$HF$2:$HH$99,3,0)+IF(AG$5="Ida",0,1),1),"")</f>
        <v/>
      </c>
      <c r="AO244" s="89">
        <f>IF(AE245&lt;&gt;AE244,AVERAGEIF(AE$9:AE244,AE244,AN$9:AN244),"")</f>
        <v/>
      </c>
      <c r="AP244" s="89">
        <f>IFERROR(IF(AE245&lt;&gt;AE244,AVERAGEIF(AE$9:AE244,AE244,AW$9:AW244),""),"")</f>
        <v/>
      </c>
      <c r="AQ244" s="89">
        <f>IFERROR(IF(AE245&lt;&gt;AE244,AVERAGEIF(AE$9:AE244,AE244,AX$9:AX244),""),"")</f>
        <v/>
      </c>
      <c r="AR244" s="89">
        <f t="array" ref="AR244">IFERROR(IF(AE245&lt;&gt;AE244,_xlfn.STDEV.P(IF(AE$9:AE244=AE244,AX$9:AX244)),""),"")</f>
        <v/>
      </c>
      <c r="AS244" s="89">
        <f t="array" ref="AS244">IFERROR(IF(AE245&lt;&gt;AE244,_xlfn.STDEV.P(IF(AE$9:AE244=AE244,AW$9:AW244)),""),"")</f>
        <v/>
      </c>
      <c r="AT244" s="90">
        <f>IFERROR(IF(AE244&lt;&gt;AE245,MAX((((AQ244*24*60)/2)*(1+POWER((((AR244*24*60) / (AQ244*24*60) )),2))) + ((AQ244*24*60 )*-0.1 + (AO244*0.015)) +1,(((AQ244*24*60)/2)*(1+POWER((((AR244*24*60) / (AQ244*24*60 ))),2)))),""),"")</f>
        <v/>
      </c>
      <c r="AU244" s="90">
        <f>IF(AND(AS244&lt;&gt;"",AP244&lt;&gt;""),IF(AE244&lt;&gt;AE245,((AP244*24*60) / 2 ) * (1 + POWER(((AS244*24*60) / (AP244*24*60)),2)),""),"")</f>
        <v/>
      </c>
      <c r="AV244" s="90">
        <f>IF(AU244&lt;&gt;"",MAX(AT244,AU244),"")</f>
        <v/>
      </c>
      <c r="AW244" s="89">
        <f>IF(AM244&lt;&gt;"H. Sale Real",IF(AND(AM245&lt;&gt;"",LEFT(AG245,2)&lt;&gt;"Va"),IF(AND(AM244&lt;&gt;"",LEFT(AG244,2)&lt;&gt;"Va",AM244&lt;&gt;"H. Sale Real"),IF(AM245-AM244&lt;0.208333333333333,AM245-AM244,""),IF(AND(AM243&lt;&gt;"",LEFT(AG243,2)&lt;&gt;"Va",AM243&lt;&gt;"H. Sale Real"),IF(AM245-AM243&lt;0.208333333333333,AM245-AM243,""),IF(AND(AM242&lt;&gt;"",LEFT(AG242,2)&lt;&gt;"Va",AM242&lt;&gt;"H. Sale Real"),IF(AM245-AM242&lt;0.208333333333333,AM245-AM242,""),IF(AND(AM241&lt;&gt;"",LEFT(AG241,2)&lt;&gt;"Va",AM241&lt;&gt;"H. Sale Real"),IF(AM245-AM241&lt;0.208333333333333,AM245-AM241,""),IF(AND(AM240&lt;&gt;"",LEFT(AG240,2)&lt;&gt;"Va",AM240&lt;&gt;"H. Sale Real"),IF(AM245-AM240&lt;0.208333333333333,AM245-AM240,""),""))))),""),"")</f>
        <v/>
      </c>
      <c r="AX244" s="89">
        <f>IF(AK244&lt;&gt;"H. Sale Real",IF(AND(AK245&lt;&gt;"",LEFT(AG245,2)&lt;&gt;"Va"),IF(AND(AK244&lt;&gt;"",LEFT(AG244,2)&lt;&gt;"Va",AK244&lt;&gt;"H. Sale Real"),IF(AK245-AK244&lt;0.208333333333333,AK245-AK244,""),IF(AND(AK243&lt;&gt;"",LEFT(AG243,2)&lt;&gt;"Va",AK243&lt;&gt;"H. Sale Real"),IF(AK245-AK243&lt;0.208333333333333,AK245-AK243,""),IF(AND(AK242&lt;&gt;"",LEFT(AG242,2)&lt;&gt;"NC",AK242&lt;&gt;"H. Sale Real"),IF(AK245-AK242&lt;0.208333333333333,AK245-AK242,""),IF(AND(AK241&lt;&gt;"",LEFT(AG241,2)&lt;&gt;"Va",AK241&lt;&gt;"H. Sale Real"),IF(AK245-AK241&lt;0.208333333333333,AK245-AK241,""),IF(AND(AK240&lt;&gt;"",LEFT(AG240,2)&lt;&gt;"Va",AK240&lt;&gt;"H. Sale Real"),IF(AK245-AK240&lt;0.208333333333333,AK245-AK240,""),""))))),""),"")</f>
        <v/>
      </c>
      <c r="AY244" s="87" t="n"/>
      <c r="AZ244" s="89" t="n"/>
      <c r="BA244" s="87" t="n"/>
      <c r="BB244" s="89" t="n"/>
      <c r="BC244" s="91" t="n"/>
      <c r="BD244" s="122">
        <f>IF(AK244&lt;&gt;"",IF(AND(BD243&lt;&gt;"IE",AT244&lt;&gt;0,AV244&lt;&gt;""),IF(IFERROR((AT244/AV244),0) &lt;=1,IFERROR(AT244/AV244,""),1),""),"")</f>
        <v/>
      </c>
      <c r="BE244" s="93" t="n"/>
      <c r="BF244" s="105" t="n"/>
      <c r="FC244" t="inlineStr">
        <is>
          <t>Diccionario 1</t>
        </is>
      </c>
      <c r="FD244" s="15" t="n">
        <v>1247</v>
      </c>
      <c r="FE244" s="15" t="inlineStr">
        <is>
          <t>YV3T7U521RA211954</t>
        </is>
      </c>
      <c r="FF244" s="15" t="n">
        <v>592427</v>
      </c>
      <c r="FG244" s="15" t="inlineStr">
        <is>
          <t>Volvo</t>
        </is>
      </c>
      <c r="FH244" s="15" t="inlineStr">
        <is>
          <t>B8RLEA</t>
        </is>
      </c>
      <c r="FI244" s="15" t="inlineStr">
        <is>
          <t>MARCOPOLO</t>
        </is>
      </c>
      <c r="FJ244" s="15" t="inlineStr">
        <is>
          <t>GRAN VIALE</t>
        </is>
      </c>
      <c r="FK244" s="15" t="n">
        <v>2023</v>
      </c>
      <c r="FL244" s="15" t="inlineStr">
        <is>
          <t>C</t>
        </is>
      </c>
      <c r="FM244" s="15" t="inlineStr">
        <is>
          <t>SAN ALFONSO</t>
        </is>
      </c>
      <c r="FN244" s="15" t="inlineStr">
        <is>
          <t>San Alfonso 2141 (Ramón Subercaseaux 3060)</t>
        </is>
      </c>
      <c r="FO244" s="15" t="inlineStr">
        <is>
          <t>Estacion Central</t>
        </is>
      </c>
      <c r="FP244" t="inlineStr">
        <is>
          <t>C</t>
        </is>
      </c>
      <c r="FS244" s="14" t="inlineStr">
        <is>
          <t>3062 / SFWZ-10|</t>
        </is>
      </c>
      <c r="FT244" t="inlineStr">
        <is>
          <t>SFWZ-10|</t>
        </is>
      </c>
      <c r="FU244" t="inlineStr">
        <is>
          <t>SFWZ-10</t>
        </is>
      </c>
      <c r="FV244">
        <f>VLOOKUP(FU244,FD:FL,9,0)</f>
        <v/>
      </c>
      <c r="FZ244" s="51" t="inlineStr">
        <is>
          <t>B13</t>
        </is>
      </c>
      <c r="GA244" s="117" t="n">
        <v>0</v>
      </c>
      <c r="GB244" s="117" t="n">
        <v>0</v>
      </c>
      <c r="GC244" s="117" t="n">
        <v>0</v>
      </c>
      <c r="GD244" s="117" t="n">
        <v>0</v>
      </c>
      <c r="GE244" s="117" t="n">
        <v>0</v>
      </c>
      <c r="GF244" s="117" t="n">
        <v>13.305</v>
      </c>
      <c r="GG244" s="117" t="n">
        <v>24.72</v>
      </c>
      <c r="GH244" s="117" t="n">
        <v>23.74</v>
      </c>
      <c r="GI244" s="117" t="n">
        <v>23.46</v>
      </c>
      <c r="GJ244" s="117" t="n">
        <v>22.25</v>
      </c>
      <c r="GK244" s="117" t="n">
        <v>20.205</v>
      </c>
      <c r="GL244" s="117" t="n">
        <v>19.505</v>
      </c>
      <c r="GM244" s="117" t="n">
        <v>18.85</v>
      </c>
      <c r="GN244" s="117" t="n">
        <v>18.24</v>
      </c>
      <c r="GO244" s="117" t="n">
        <v>18.635</v>
      </c>
      <c r="GP244" s="117" t="n">
        <v>18.955</v>
      </c>
      <c r="GQ244" s="117" t="n">
        <v>19.555</v>
      </c>
      <c r="GR244" s="117" t="n">
        <v>19.315</v>
      </c>
      <c r="GS244" s="117" t="n">
        <v>19.425</v>
      </c>
      <c r="GT244" s="117" t="n">
        <v>20.225</v>
      </c>
      <c r="GU244" s="117" t="n">
        <v>21.35</v>
      </c>
      <c r="GV244" s="117" t="n">
        <v>23.225</v>
      </c>
      <c r="GW244" s="117" t="n">
        <v>24.625</v>
      </c>
      <c r="GX244" s="117" t="n">
        <v>25.97</v>
      </c>
      <c r="HA244" s="35" t="n">
        <v>14</v>
      </c>
      <c r="HB244" s="35" t="n">
        <v>238</v>
      </c>
    </row>
    <row r="245" ht="15.5" customHeight="1">
      <c r="A245" s="10">
        <f>HOUR(G245)+1</f>
        <v/>
      </c>
      <c r="B245" s="7" t="n"/>
      <c r="C245" s="7" t="n"/>
      <c r="D245" s="85">
        <f>IFERROR(
IF(AND(OR(Planilla!B245="C",Planilla!B245="c"), VLOOKUP(E245,FD:FP,13,0)="C"), "OK",IF(AND(OR(Planilla!B245="C",Planilla!B245="c"), OR(VLOOKUP(E245,FD:FP,13,0)="B", VLOOKUP(E245,FD:FP,13,0)="A")), "DEFICIT",IF(
AND(OR(Planilla!B245="B", Planilla!B245="BPAL"), VLOOKUP(E245,FD:FP,13,0)="B"), "OK",IF(AND(OR(Planilla!B245="B", Planilla!B245="BPAL"), VLOOKUP(E245,FD:FP,13,0)="A"), "DEFICIT",IF(AND(OR(Planilla!B245="B", Planilla!B245="BPAL"), VLOOKUP(E245,FD:FP,13,0)="C"), "SOBREOFERTA",IF(AND(Planilla!B245="A", VLOOKUP(E245,FD:FP,13,0)="A"), "OK",IF(
AND(Planilla!B245="A", OR(VLOOKUP(E245,FD:FP,13,0)="B", VLOOKUP(E245,FD:FP,13,0)="C")), "SOBREOFERTA",""
))))))),"")</f>
        <v/>
      </c>
      <c r="E245" s="8" t="n"/>
      <c r="F245" s="86" t="n"/>
      <c r="G245" s="87" t="n"/>
      <c r="H245" s="88">
        <f>IF(I245="","",IF(AND((I245-G245)&gt;=TIME(0,0,0),(I245-G245)&lt;TIME(0,3,0)),"OK",IF(AND((I245-G245)&gt;=TIME(0,3,0),(I245-G245)&lt;TIME(0,5,0)),"RETRASO DE 3-5 MIN",IF(AND((I245-G245)&gt;=TIME(0,5,0),(I245-G245)&lt;TIME(0,10,0)),"RETRASO DE 5-10 MIN",IF((I245-G245)&gt;=TIME(0,10,0),"RETRASO &gt;10 MIN", IF(AND((G245-I245)&gt;=TIME(0,0,0),(G245-I245)&lt;TIME(0,3,0)),"OK",IF((G245-I245)&gt;=TIME(0,3,0),"ADELANTADO")))))))</f>
        <v/>
      </c>
      <c r="I245" s="89" t="n"/>
      <c r="J245" s="89">
        <f>IF(A245&lt;&gt;"",HLOOKUP(VALUE(TEXT(G245,"h:mm:ss")),IF($C$6="Laboral",$FZ$4:$GX$227,IF($C$6="Sábado",$FZ$231:$GX$452,$FZ$456:$GX$656)),VLOOKUP($C$4,$HF$2:$HH$99,3,0)+IF(C$5="Ida",0,1),1),"")</f>
        <v/>
      </c>
      <c r="K245" s="89">
        <f>IF(A246&lt;&gt;A245,AVERAGEIF(A$9:A245,A245,J$9:J245),"")</f>
        <v/>
      </c>
      <c r="L245" s="89">
        <f>IFERROR(IF(A246&lt;&gt;A245,AVERAGEIF(A$9:A245,A245,S$9:S245),""),"")</f>
        <v/>
      </c>
      <c r="M245" s="89">
        <f>IFERROR(IF(A246&lt;&gt;A245,AVERAGEIF(A$9:A245,A245,T$9:T245),""),"")</f>
        <v/>
      </c>
      <c r="N245" s="89">
        <f t="array" ref="N245">IFERROR(IF(A246&lt;&gt;A245,_xlfn.STDEV.P(IF(A$9:A245=A245,T$9:T245)),""),"")</f>
        <v/>
      </c>
      <c r="O245" s="89">
        <f t="array" ref="O245">IFERROR(IF(A246&lt;&gt;A245,_xlfn.STDEV.P(IF(A$9:A245=A245,S$9:S245)),""),"")</f>
        <v/>
      </c>
      <c r="P245" s="90">
        <f>IFERROR(IF(A245&lt;&gt;A246,MAX((((M245*24*60)/2)*(1+POWER((((N245*24*60) / (M245*24*60) )),2))) + ((M245*24*60 )*-0.1 + (K245*0.015)) +1,(((M245*24*60)/2)*(1+POWER((((N245*24*60) / (M245*24*60 ))),2)))),""),"")</f>
        <v/>
      </c>
      <c r="Q245" s="90">
        <f>IF(AND(O245&lt;&gt;"",L245&lt;&gt;""),IF(A245&lt;&gt;A246,((L245*24*60) / 2 ) * (1 + POWER(((O245*24*60) / (L245*24*60)),2)),""),"")</f>
        <v/>
      </c>
      <c r="R245" s="90">
        <f>IF(Q245&lt;&gt;"",MAX(P245,Q245),"")</f>
        <v/>
      </c>
      <c r="S245" s="89">
        <f>IF(I245&lt;&gt;"H. Sale Real",IF(AND(I246&lt;&gt;"",LEFT(C246,2)&lt;&gt;"Va"),IF(AND(I245&lt;&gt;"",LEFT(C245,2)&lt;&gt;"Va",I245&lt;&gt;"H. Sale Real"),IF(I246-I245&lt;0.208333333333333,I246-I245,""),IF(AND(I244&lt;&gt;"",LEFT(C244,2)&lt;&gt;"Va",I244&lt;&gt;"H. Sale Real"),IF(I246-I244&lt;0.208333333333333,I246-I244,""),IF(AND(I243&lt;&gt;"",LEFT(C243,2)&lt;&gt;"Va",I243&lt;&gt;"H. Sale Real"),IF(I246-I243&lt;0.208333333333333,I246-I243,""),IF(AND(I242&lt;&gt;"",LEFT(C242,2)&lt;&gt;"Va",I242&lt;&gt;"H. Sale Real"),IF(I246-I242&lt;0.208333333333333,I246-I242,""),IF(AND(I241&lt;&gt;"",LEFT(C241,2)&lt;&gt;"Va",I241&lt;&gt;"H. Sale Real"),IF(I246-I241&lt;0.208333333333333,I246-I241,""),""))))),""),"")</f>
        <v/>
      </c>
      <c r="T245" s="89">
        <f>IF(G245&lt;&gt;"H. Sale Real",IF(AND(G246&lt;&gt;"",LEFT(C246,2)&lt;&gt;"Va"),IF(AND(G245&lt;&gt;"",LEFT(C245,2)&lt;&gt;"Va",G245&lt;&gt;"H. Sale Real"),IF(G246-G245&lt;0.208333333333333,G246-G245,""),IF(AND(G244&lt;&gt;"",LEFT(C244,2)&lt;&gt;"Va",G244&lt;&gt;"H. Sale Real"),IF(G246-G244&lt;0.208333333333333,G246-G244,""),IF(AND(G243&lt;&gt;"",LEFT(C243,2)&lt;&gt;"Va",G243&lt;&gt;"H. Sale Real"),IF(G246-G243&lt;0.208333333333333,G246-G243,""),IF(AND(G242&lt;&gt;"",LEFT(C242,2)&lt;&gt;"Va",G242&lt;&gt;"H. Sale Real"),IF(G246-G242&lt;0.208333333333333,G246-G242,""),IF(AND(G241&lt;&gt;"",LEFT(C241,2)&lt;&gt;"Va",G241&lt;&gt;"H. Sale Real"),IF(G246-G241&lt;0.208333333333333,G246-G241,""),""))))),""),"")</f>
        <v/>
      </c>
      <c r="U245" s="87" t="n"/>
      <c r="V245" s="89" t="n"/>
      <c r="W245" s="87" t="n"/>
      <c r="X245" s="89" t="n"/>
      <c r="Y245" s="91" t="n"/>
      <c r="Z245" s="122">
        <f>IF(G245&lt;&gt;"",IF(AND(Z244&lt;&gt;"IE",P245&lt;&gt;0,R245&lt;&gt;""),IF(IFERROR((P245/R245),0) &lt;=1,IFERROR(P245/R245,""),1),""),"")</f>
        <v/>
      </c>
      <c r="AA245" s="93" t="n"/>
      <c r="AB245" s="2" t="n"/>
      <c r="AE245" s="10">
        <f>HOUR(AK245)+1</f>
        <v/>
      </c>
      <c r="AF245" s="7" t="n"/>
      <c r="AG245" s="7" t="n"/>
      <c r="AH245" s="86" t="n"/>
      <c r="AI245" s="8" t="n"/>
      <c r="AJ245" s="86" t="n"/>
      <c r="AK245" s="87" t="n"/>
      <c r="AL245" s="88">
        <f>IF(AM245="","",IF(AND((AM245-AK245)&gt;=TIME(0,0,0),(AM245-AK245)&lt;TIME(0,3,0)),"OK",IF(AND((AM245-AK245)&gt;=TIME(0,3,0),(AM245-AK245)&lt;TIME(0,5,0)),"RETRASO DE 3-5 MIN",IF(AND((AM245-AK245)&gt;=TIME(0,5,0),(AM245-AK245)&lt;TIME(0,10,0)),"RETRASO DE 5-10 MIN",IF((AM245-AK245)&gt;=TIME(0,10,0),"RETRASO &gt;10 MIN", IF(AND((AK245-AM245)&gt;=TIME(0,0,0),(AK245-AM245)&lt;TIME(0,3,0)),"OK",IF((AK245-AM245)&gt;=TIME(0,3,0),"ADELANTADO")))))))</f>
        <v/>
      </c>
      <c r="AM245" s="91" t="n"/>
      <c r="AN245" s="89">
        <f>IF(AE245&lt;&gt;"",HLOOKUP(VALUE(TEXT(AK245,"h:mm:ss")),IF($C$6="Laboral",$FZ$4:$GX$227,IF($C$6="Sábado",$FZ$231:$GX$452,$FZ$456:$GX$656)),VLOOKUP($C$4,$HF$2:$HH$99,3,0)+IF(AG$5="Ida",0,1),1),"")</f>
        <v/>
      </c>
      <c r="AO245" s="89">
        <f>IF(AE246&lt;&gt;AE245,AVERAGEIF(AE$9:AE245,AE245,AN$9:AN245),"")</f>
        <v/>
      </c>
      <c r="AP245" s="89">
        <f>IFERROR(IF(AE246&lt;&gt;AE245,AVERAGEIF(AE$9:AE245,AE245,AW$9:AW245),""),"")</f>
        <v/>
      </c>
      <c r="AQ245" s="89">
        <f>IFERROR(IF(AE246&lt;&gt;AE245,AVERAGEIF(AE$9:AE245,AE245,AX$9:AX245),""),"")</f>
        <v/>
      </c>
      <c r="AR245" s="89">
        <f t="array" ref="AR245">IFERROR(IF(AE246&lt;&gt;AE245,_xlfn.STDEV.P(IF(AE$9:AE245=AE245,AX$9:AX245)),""),"")</f>
        <v/>
      </c>
      <c r="AS245" s="89">
        <f t="array" ref="AS245">IFERROR(IF(AE246&lt;&gt;AE245,_xlfn.STDEV.P(IF(AE$9:AE245=AE245,AW$9:AW245)),""),"")</f>
        <v/>
      </c>
      <c r="AT245" s="90">
        <f>IFERROR(IF(AE245&lt;&gt;AE246,MAX((((AQ245*24*60)/2)*(1+POWER((((AR245*24*60) / (AQ245*24*60) )),2))) + ((AQ245*24*60 )*-0.1 + (AO245*0.015)) +1,(((AQ245*24*60)/2)*(1+POWER((((AR245*24*60) / (AQ245*24*60 ))),2)))),""),"")</f>
        <v/>
      </c>
      <c r="AU245" s="90">
        <f>IF(AND(AS245&lt;&gt;"",AP245&lt;&gt;""),IF(AE245&lt;&gt;AE246,((AP245*24*60) / 2 ) * (1 + POWER(((AS245*24*60) / (AP245*24*60)),2)),""),"")</f>
        <v/>
      </c>
      <c r="AV245" s="90">
        <f>IF(AU245&lt;&gt;"",MAX(AT245,AU245),"")</f>
        <v/>
      </c>
      <c r="AW245" s="89">
        <f>IF(AM245&lt;&gt;"H. Sale Real",IF(AND(AM246&lt;&gt;"",LEFT(AG246,2)&lt;&gt;"Va"),IF(AND(AM245&lt;&gt;"",LEFT(AG245,2)&lt;&gt;"Va",AM245&lt;&gt;"H. Sale Real"),IF(AM246-AM245&lt;0.208333333333333,AM246-AM245,""),IF(AND(AM244&lt;&gt;"",LEFT(AG244,2)&lt;&gt;"Va",AM244&lt;&gt;"H. Sale Real"),IF(AM246-AM244&lt;0.208333333333333,AM246-AM244,""),IF(AND(AM243&lt;&gt;"",LEFT(AG243,2)&lt;&gt;"Va",AM243&lt;&gt;"H. Sale Real"),IF(AM246-AM243&lt;0.208333333333333,AM246-AM243,""),IF(AND(AM242&lt;&gt;"",LEFT(AG242,2)&lt;&gt;"Va",AM242&lt;&gt;"H. Sale Real"),IF(AM246-AM242&lt;0.208333333333333,AM246-AM242,""),IF(AND(AM241&lt;&gt;"",LEFT(AG241,2)&lt;&gt;"Va",AM241&lt;&gt;"H. Sale Real"),IF(AM246-AM241&lt;0.208333333333333,AM246-AM241,""),""))))),""),"")</f>
        <v/>
      </c>
      <c r="AX245" s="89">
        <f>IF(AK245&lt;&gt;"H. Sale Real",IF(AND(AK246&lt;&gt;"",LEFT(AG246,2)&lt;&gt;"Va"),IF(AND(AK245&lt;&gt;"",LEFT(AG245,2)&lt;&gt;"Va",AK245&lt;&gt;"H. Sale Real"),IF(AK246-AK245&lt;0.208333333333333,AK246-AK245,""),IF(AND(AK244&lt;&gt;"",LEFT(AG244,2)&lt;&gt;"Va",AK244&lt;&gt;"H. Sale Real"),IF(AK246-AK244&lt;0.208333333333333,AK246-AK244,""),IF(AND(AK243&lt;&gt;"",LEFT(AG243,2)&lt;&gt;"NC",AK243&lt;&gt;"H. Sale Real"),IF(AK246-AK243&lt;0.208333333333333,AK246-AK243,""),IF(AND(AK242&lt;&gt;"",LEFT(AG242,2)&lt;&gt;"Va",AK242&lt;&gt;"H. Sale Real"),IF(AK246-AK242&lt;0.208333333333333,AK246-AK242,""),IF(AND(AK241&lt;&gt;"",LEFT(AG241,2)&lt;&gt;"Va",AK241&lt;&gt;"H. Sale Real"),IF(AK246-AK241&lt;0.208333333333333,AK246-AK241,""),""))))),""),"")</f>
        <v/>
      </c>
      <c r="AY245" s="87" t="n"/>
      <c r="AZ245" s="89" t="n"/>
      <c r="BA245" s="87" t="n"/>
      <c r="BB245" s="89" t="n"/>
      <c r="BC245" s="91" t="n"/>
      <c r="BD245" s="122">
        <f>IF(AK245&lt;&gt;"",IF(AND(BD244&lt;&gt;"IE",AT245&lt;&gt;0,AV245&lt;&gt;""),IF(IFERROR((AT245/AV245),0) &lt;=1,IFERROR(AT245/AV245,""),1),""),"")</f>
        <v/>
      </c>
      <c r="BE245" s="93" t="n"/>
      <c r="BF245" s="105" t="n"/>
      <c r="FC245" t="inlineStr">
        <is>
          <t>Diccionario 1</t>
        </is>
      </c>
      <c r="FD245" s="15" t="n">
        <v>1248</v>
      </c>
      <c r="FE245" s="15" t="inlineStr">
        <is>
          <t>YV3T7U527RA211988</t>
        </is>
      </c>
      <c r="FF245" s="15" t="n">
        <v>593907</v>
      </c>
      <c r="FG245" s="15" t="inlineStr">
        <is>
          <t>Volvo</t>
        </is>
      </c>
      <c r="FH245" s="15" t="inlineStr">
        <is>
          <t>B8RLEA</t>
        </is>
      </c>
      <c r="FI245" s="15" t="inlineStr">
        <is>
          <t>MARCOPOLO</t>
        </is>
      </c>
      <c r="FJ245" s="15" t="inlineStr">
        <is>
          <t>GRAN VIALE</t>
        </is>
      </c>
      <c r="FK245" s="15" t="n">
        <v>2023</v>
      </c>
      <c r="FL245" s="15" t="inlineStr">
        <is>
          <t>C</t>
        </is>
      </c>
      <c r="FM245" s="15" t="inlineStr">
        <is>
          <t>SAN ALFONSO</t>
        </is>
      </c>
      <c r="FN245" s="15" t="inlineStr">
        <is>
          <t>San Alfonso 2141 (Ramón Subercaseaux 3060)</t>
        </is>
      </c>
      <c r="FO245" s="15" t="inlineStr">
        <is>
          <t>Estacion Central</t>
        </is>
      </c>
      <c r="FP245" t="inlineStr">
        <is>
          <t>C</t>
        </is>
      </c>
      <c r="FS245" s="14" t="inlineStr">
        <is>
          <t>3062 / SFWZ-10|</t>
        </is>
      </c>
      <c r="FT245" t="inlineStr">
        <is>
          <t>SFWZ-10|</t>
        </is>
      </c>
      <c r="FU245" t="inlineStr">
        <is>
          <t>SFWZ-10</t>
        </is>
      </c>
      <c r="FV245">
        <f>VLOOKUP(FU245,FD:FL,9,0)</f>
        <v/>
      </c>
      <c r="FZ245" s="51" t="inlineStr">
        <is>
          <t>B16</t>
        </is>
      </c>
      <c r="GA245" s="117" t="n">
        <v>0</v>
      </c>
      <c r="GB245" s="117" t="n">
        <v>0</v>
      </c>
      <c r="GC245" s="117" t="n">
        <v>0</v>
      </c>
      <c r="GD245" s="117" t="n">
        <v>0</v>
      </c>
      <c r="GE245" s="117" t="n">
        <v>0</v>
      </c>
      <c r="GF245" s="117" t="n">
        <v>26.56</v>
      </c>
      <c r="GG245" s="117" t="n">
        <v>23.355</v>
      </c>
      <c r="GH245" s="117" t="n">
        <v>21.345</v>
      </c>
      <c r="GI245" s="117" t="n">
        <v>20.365</v>
      </c>
      <c r="GJ245" s="117" t="n">
        <v>19.88</v>
      </c>
      <c r="GK245" s="117" t="n">
        <v>19.655</v>
      </c>
      <c r="GL245" s="117" t="n">
        <v>18.755</v>
      </c>
      <c r="GM245" s="117" t="n">
        <v>18.17</v>
      </c>
      <c r="GN245" s="117" t="n">
        <v>17.38</v>
      </c>
      <c r="GO245" s="117" t="n">
        <v>18.015</v>
      </c>
      <c r="GP245" s="117" t="n">
        <v>18.245</v>
      </c>
      <c r="GQ245" s="117" t="n">
        <v>17.73</v>
      </c>
      <c r="GR245" s="117" t="n">
        <v>17.475</v>
      </c>
      <c r="GS245" s="117" t="n">
        <v>17.165</v>
      </c>
      <c r="GT245" s="117" t="n">
        <v>17</v>
      </c>
      <c r="GU245" s="117" t="n">
        <v>18.41</v>
      </c>
      <c r="GV245" s="117" t="n">
        <v>20.58</v>
      </c>
      <c r="GW245" s="117" t="n">
        <v>23.07</v>
      </c>
      <c r="GX245" s="117" t="n">
        <v>25.44</v>
      </c>
      <c r="HA245" s="35" t="n">
        <v>15</v>
      </c>
      <c r="HB245" s="35" t="n">
        <v>239</v>
      </c>
    </row>
    <row r="246" ht="15.5" customHeight="1">
      <c r="A246" s="10">
        <f>HOUR(G246)+1</f>
        <v/>
      </c>
      <c r="B246" s="7" t="n"/>
      <c r="C246" s="7" t="n"/>
      <c r="D246" s="85">
        <f>IFERROR(
IF(AND(OR(Planilla!B246="C",Planilla!B246="c"), VLOOKUP(E246,FD:FP,13,0)="C"), "OK",IF(AND(OR(Planilla!B246="C",Planilla!B246="c"), OR(VLOOKUP(E246,FD:FP,13,0)="B", VLOOKUP(E246,FD:FP,13,0)="A")), "DEFICIT",IF(
AND(OR(Planilla!B246="B", Planilla!B246="BPAL"), VLOOKUP(E246,FD:FP,13,0)="B"), "OK",IF(AND(OR(Planilla!B246="B", Planilla!B246="BPAL"), VLOOKUP(E246,FD:FP,13,0)="A"), "DEFICIT",IF(AND(OR(Planilla!B246="B", Planilla!B246="BPAL"), VLOOKUP(E246,FD:FP,13,0)="C"), "SOBREOFERTA",IF(AND(Planilla!B246="A", VLOOKUP(E246,FD:FP,13,0)="A"), "OK",IF(
AND(Planilla!B246="A", OR(VLOOKUP(E246,FD:FP,13,0)="B", VLOOKUP(E246,FD:FP,13,0)="C")), "SOBREOFERTA",""
))))))),"")</f>
        <v/>
      </c>
      <c r="E246" s="8" t="n"/>
      <c r="F246" s="86" t="n"/>
      <c r="G246" s="87" t="n"/>
      <c r="H246" s="88">
        <f>IF(I246="","",IF(AND((I246-G246)&gt;=TIME(0,0,0),(I246-G246)&lt;TIME(0,3,0)),"OK",IF(AND((I246-G246)&gt;=TIME(0,3,0),(I246-G246)&lt;TIME(0,5,0)),"RETRASO DE 3-5 MIN",IF(AND((I246-G246)&gt;=TIME(0,5,0),(I246-G246)&lt;TIME(0,10,0)),"RETRASO DE 5-10 MIN",IF((I246-G246)&gt;=TIME(0,10,0),"RETRASO &gt;10 MIN", IF(AND((G246-I246)&gt;=TIME(0,0,0),(G246-I246)&lt;TIME(0,3,0)),"OK",IF((G246-I246)&gt;=TIME(0,3,0),"ADELANTADO")))))))</f>
        <v/>
      </c>
      <c r="I246" s="89" t="n"/>
      <c r="J246" s="89">
        <f>IF(A246&lt;&gt;"",HLOOKUP(VALUE(TEXT(G246,"h:mm:ss")),IF($C$6="Laboral",$FZ$4:$GX$227,IF($C$6="Sábado",$FZ$231:$GX$452,$FZ$456:$GX$656)),VLOOKUP($C$4,$HF$2:$HH$99,3,0)+IF(C$5="Ida",0,1),1),"")</f>
        <v/>
      </c>
      <c r="K246" s="89">
        <f>IF(A247&lt;&gt;A246,AVERAGEIF(A$9:A246,A246,J$9:J246),"")</f>
        <v/>
      </c>
      <c r="L246" s="89">
        <f>IFERROR(IF(A247&lt;&gt;A246,AVERAGEIF(A$9:A246,A246,S$9:S246),""),"")</f>
        <v/>
      </c>
      <c r="M246" s="89">
        <f>IFERROR(IF(A247&lt;&gt;A246,AVERAGEIF(A$9:A246,A246,T$9:T246),""),"")</f>
        <v/>
      </c>
      <c r="N246" s="89">
        <f t="array" ref="N246">IFERROR(IF(A247&lt;&gt;A246,_xlfn.STDEV.P(IF(A$9:A246=A246,T$9:T246)),""),"")</f>
        <v/>
      </c>
      <c r="O246" s="89">
        <f t="array" ref="O246">IFERROR(IF(A247&lt;&gt;A246,_xlfn.STDEV.P(IF(A$9:A246=A246,S$9:S246)),""),"")</f>
        <v/>
      </c>
      <c r="P246" s="90">
        <f>IFERROR(IF(A246&lt;&gt;A247,MAX((((M246*24*60)/2)*(1+POWER((((N246*24*60) / (M246*24*60) )),2))) + ((M246*24*60 )*-0.1 + (K246*0.015)) +1,(((M246*24*60)/2)*(1+POWER((((N246*24*60) / (M246*24*60 ))),2)))),""),"")</f>
        <v/>
      </c>
      <c r="Q246" s="90">
        <f>IF(AND(O246&lt;&gt;"",L246&lt;&gt;""),IF(A246&lt;&gt;A247,((L246*24*60) / 2 ) * (1 + POWER(((O246*24*60) / (L246*24*60)),2)),""),"")</f>
        <v/>
      </c>
      <c r="R246" s="90">
        <f>IF(Q246&lt;&gt;"",MAX(P246,Q246),"")</f>
        <v/>
      </c>
      <c r="S246" s="89">
        <f>IF(I246&lt;&gt;"H. Sale Real",IF(AND(I247&lt;&gt;"",LEFT(C247,2)&lt;&gt;"Va"),IF(AND(I246&lt;&gt;"",LEFT(C246,2)&lt;&gt;"Va",I246&lt;&gt;"H. Sale Real"),IF(I247-I246&lt;0.208333333333333,I247-I246,""),IF(AND(I245&lt;&gt;"",LEFT(C245,2)&lt;&gt;"Va",I245&lt;&gt;"H. Sale Real"),IF(I247-I245&lt;0.208333333333333,I247-I245,""),IF(AND(I244&lt;&gt;"",LEFT(C244,2)&lt;&gt;"Va",I244&lt;&gt;"H. Sale Real"),IF(I247-I244&lt;0.208333333333333,I247-I244,""),IF(AND(I243&lt;&gt;"",LEFT(C243,2)&lt;&gt;"Va",I243&lt;&gt;"H. Sale Real"),IF(I247-I243&lt;0.208333333333333,I247-I243,""),IF(AND(I242&lt;&gt;"",LEFT(C242,2)&lt;&gt;"Va",I242&lt;&gt;"H. Sale Real"),IF(I247-I242&lt;0.208333333333333,I247-I242,""),""))))),""),"")</f>
        <v/>
      </c>
      <c r="T246" s="89">
        <f>IF(G246&lt;&gt;"H. Sale Real",IF(AND(G247&lt;&gt;"",LEFT(C247,2)&lt;&gt;"Va"),IF(AND(G246&lt;&gt;"",LEFT(C246,2)&lt;&gt;"Va",G246&lt;&gt;"H. Sale Real"),IF(G247-G246&lt;0.208333333333333,G247-G246,""),IF(AND(G245&lt;&gt;"",LEFT(C245,2)&lt;&gt;"Va",G245&lt;&gt;"H. Sale Real"),IF(G247-G245&lt;0.208333333333333,G247-G245,""),IF(AND(G244&lt;&gt;"",LEFT(C244,2)&lt;&gt;"Va",G244&lt;&gt;"H. Sale Real"),IF(G247-G244&lt;0.208333333333333,G247-G244,""),IF(AND(G243&lt;&gt;"",LEFT(C243,2)&lt;&gt;"Va",G243&lt;&gt;"H. Sale Real"),IF(G247-G243&lt;0.208333333333333,G247-G243,""),IF(AND(G242&lt;&gt;"",LEFT(C242,2)&lt;&gt;"Va",G242&lt;&gt;"H. Sale Real"),IF(G247-G242&lt;0.208333333333333,G247-G242,""),""))))),""),"")</f>
        <v/>
      </c>
      <c r="U246" s="87" t="n"/>
      <c r="V246" s="89" t="n"/>
      <c r="W246" s="87" t="n"/>
      <c r="X246" s="89" t="n"/>
      <c r="Y246" s="91" t="n"/>
      <c r="Z246" s="122">
        <f>IF(G246&lt;&gt;"",IF(AND(Z245&lt;&gt;"IE",P246&lt;&gt;0,R246&lt;&gt;""),IF(IFERROR((P246/R246),0) &lt;=1,IFERROR(P246/R246,""),1),""),"")</f>
        <v/>
      </c>
      <c r="AA246" s="93" t="n"/>
      <c r="AB246" s="2" t="n"/>
      <c r="AE246" s="10">
        <f>HOUR(AK246)+1</f>
        <v/>
      </c>
      <c r="AF246" s="7" t="n"/>
      <c r="AG246" s="7" t="n"/>
      <c r="AH246" s="86" t="n"/>
      <c r="AI246" s="8" t="n"/>
      <c r="AJ246" s="86" t="n"/>
      <c r="AK246" s="87" t="n"/>
      <c r="AL246" s="88">
        <f>IF(AM246="","",IF(AND((AM246-AK246)&gt;=TIME(0,0,0),(AM246-AK246)&lt;TIME(0,3,0)),"OK",IF(AND((AM246-AK246)&gt;=TIME(0,3,0),(AM246-AK246)&lt;TIME(0,5,0)),"RETRASO DE 3-5 MIN",IF(AND((AM246-AK246)&gt;=TIME(0,5,0),(AM246-AK246)&lt;TIME(0,10,0)),"RETRASO DE 5-10 MIN",IF((AM246-AK246)&gt;=TIME(0,10,0),"RETRASO &gt;10 MIN", IF(AND((AK246-AM246)&gt;=TIME(0,0,0),(AK246-AM246)&lt;TIME(0,3,0)),"OK",IF((AK246-AM246)&gt;=TIME(0,3,0),"ADELANTADO")))))))</f>
        <v/>
      </c>
      <c r="AM246" s="91" t="n"/>
      <c r="AN246" s="89">
        <f>IF(AE246&lt;&gt;"",HLOOKUP(VALUE(TEXT(AK246,"h:mm:ss")),IF($C$6="Laboral",$FZ$4:$GX$227,IF($C$6="Sábado",$FZ$231:$GX$452,$FZ$456:$GX$656)),VLOOKUP($C$4,$HF$2:$HH$99,3,0)+IF(AG$5="Ida",0,1),1),"")</f>
        <v/>
      </c>
      <c r="AO246" s="89">
        <f>IF(AE247&lt;&gt;AE246,AVERAGEIF(AE$9:AE246,AE246,AN$9:AN246),"")</f>
        <v/>
      </c>
      <c r="AP246" s="89">
        <f>IFERROR(IF(AE247&lt;&gt;AE246,AVERAGEIF(AE$9:AE246,AE246,AW$9:AW246),""),"")</f>
        <v/>
      </c>
      <c r="AQ246" s="89">
        <f>IFERROR(IF(AE247&lt;&gt;AE246,AVERAGEIF(AE$9:AE246,AE246,AX$9:AX246),""),"")</f>
        <v/>
      </c>
      <c r="AR246" s="89">
        <f t="array" ref="AR246">IFERROR(IF(AE247&lt;&gt;AE246,_xlfn.STDEV.P(IF(AE$9:AE246=AE246,AX$9:AX246)),""),"")</f>
        <v/>
      </c>
      <c r="AS246" s="89">
        <f t="array" ref="AS246">IFERROR(IF(AE247&lt;&gt;AE246,_xlfn.STDEV.P(IF(AE$9:AE246=AE246,AW$9:AW246)),""),"")</f>
        <v/>
      </c>
      <c r="AT246" s="90">
        <f>IFERROR(IF(AE246&lt;&gt;AE247,MAX((((AQ246*24*60)/2)*(1+POWER((((AR246*24*60) / (AQ246*24*60) )),2))) + ((AQ246*24*60 )*-0.1 + (AO246*0.015)) +1,(((AQ246*24*60)/2)*(1+POWER((((AR246*24*60) / (AQ246*24*60 ))),2)))),""),"")</f>
        <v/>
      </c>
      <c r="AU246" s="90">
        <f>IF(AND(AS246&lt;&gt;"",AP246&lt;&gt;""),IF(AE246&lt;&gt;AE247,((AP246*24*60) / 2 ) * (1 + POWER(((AS246*24*60) / (AP246*24*60)),2)),""),"")</f>
        <v/>
      </c>
      <c r="AV246" s="90">
        <f>IF(AU246&lt;&gt;"",MAX(AT246,AU246),"")</f>
        <v/>
      </c>
      <c r="AW246" s="89">
        <f>IF(AM246&lt;&gt;"H. Sale Real",IF(AND(AM247&lt;&gt;"",LEFT(AG247,2)&lt;&gt;"Va"),IF(AND(AM246&lt;&gt;"",LEFT(AG246,2)&lt;&gt;"Va",AM246&lt;&gt;"H. Sale Real"),IF(AM247-AM246&lt;0.208333333333333,AM247-AM246,""),IF(AND(AM245&lt;&gt;"",LEFT(AG245,2)&lt;&gt;"Va",AM245&lt;&gt;"H. Sale Real"),IF(AM247-AM245&lt;0.208333333333333,AM247-AM245,""),IF(AND(AM244&lt;&gt;"",LEFT(AG244,2)&lt;&gt;"Va",AM244&lt;&gt;"H. Sale Real"),IF(AM247-AM244&lt;0.208333333333333,AM247-AM244,""),IF(AND(AM243&lt;&gt;"",LEFT(AG243,2)&lt;&gt;"Va",AM243&lt;&gt;"H. Sale Real"),IF(AM247-AM243&lt;0.208333333333333,AM247-AM243,""),IF(AND(AM242&lt;&gt;"",LEFT(AG242,2)&lt;&gt;"Va",AM242&lt;&gt;"H. Sale Real"),IF(AM247-AM242&lt;0.208333333333333,AM247-AM242,""),""))))),""),"")</f>
        <v/>
      </c>
      <c r="AX246" s="89">
        <f>IF(AK246&lt;&gt;"H. Sale Real",IF(AND(AK247&lt;&gt;"",LEFT(AG247,2)&lt;&gt;"Va"),IF(AND(AK246&lt;&gt;"",LEFT(AG246,2)&lt;&gt;"Va",AK246&lt;&gt;"H. Sale Real"),IF(AK247-AK246&lt;0.208333333333333,AK247-AK246,""),IF(AND(AK245&lt;&gt;"",LEFT(AG245,2)&lt;&gt;"Va",AK245&lt;&gt;"H. Sale Real"),IF(AK247-AK245&lt;0.208333333333333,AK247-AK245,""),IF(AND(AK244&lt;&gt;"",LEFT(AG244,2)&lt;&gt;"NC",AK244&lt;&gt;"H. Sale Real"),IF(AK247-AK244&lt;0.208333333333333,AK247-AK244,""),IF(AND(AK243&lt;&gt;"",LEFT(AG243,2)&lt;&gt;"Va",AK243&lt;&gt;"H. Sale Real"),IF(AK247-AK243&lt;0.208333333333333,AK247-AK243,""),IF(AND(AK242&lt;&gt;"",LEFT(AG242,2)&lt;&gt;"Va",AK242&lt;&gt;"H. Sale Real"),IF(AK247-AK242&lt;0.208333333333333,AK247-AK242,""),""))))),""),"")</f>
        <v/>
      </c>
      <c r="AY246" s="87" t="n"/>
      <c r="AZ246" s="89" t="n"/>
      <c r="BA246" s="87" t="n"/>
      <c r="BB246" s="89" t="n"/>
      <c r="BC246" s="91" t="n"/>
      <c r="BD246" s="122">
        <f>IF(AK246&lt;&gt;"",IF(AND(BD245&lt;&gt;"IE",AT246&lt;&gt;0,AV246&lt;&gt;""),IF(IFERROR((AT246/AV246),0) &lt;=1,IFERROR(AT246/AV246,""),1),""),"")</f>
        <v/>
      </c>
      <c r="BE246" s="93" t="n"/>
      <c r="BF246" s="105" t="n"/>
      <c r="FC246" t="inlineStr">
        <is>
          <t>Diccionario 1</t>
        </is>
      </c>
      <c r="FD246" s="15" t="n">
        <v>1219</v>
      </c>
      <c r="FE246" s="15" t="inlineStr">
        <is>
          <t>YV3T7U529RA211989</t>
        </is>
      </c>
      <c r="FF246" s="15" t="n">
        <v>593887</v>
      </c>
      <c r="FG246" s="15" t="inlineStr">
        <is>
          <t>Volvo</t>
        </is>
      </c>
      <c r="FH246" s="15" t="inlineStr">
        <is>
          <t>B8RLEA</t>
        </is>
      </c>
      <c r="FI246" s="15" t="inlineStr">
        <is>
          <t>MARCOPOLO</t>
        </is>
      </c>
      <c r="FJ246" s="15" t="inlineStr">
        <is>
          <t>GRAN VIALE</t>
        </is>
      </c>
      <c r="FK246" s="15" t="n">
        <v>2023</v>
      </c>
      <c r="FL246" s="15" t="inlineStr">
        <is>
          <t>C</t>
        </is>
      </c>
      <c r="FM246" s="15" t="inlineStr">
        <is>
          <t>SAN ALFONSO</t>
        </is>
      </c>
      <c r="FN246" s="15" t="inlineStr">
        <is>
          <t>San Alfonso 2141 (Ramón Subercaseaux 3060)</t>
        </is>
      </c>
      <c r="FO246" s="15" t="inlineStr">
        <is>
          <t>Estacion Central</t>
        </is>
      </c>
      <c r="FP246" t="inlineStr">
        <is>
          <t>C</t>
        </is>
      </c>
      <c r="FS246" s="14" t="inlineStr">
        <is>
          <t>3062 / SFWZ-10|</t>
        </is>
      </c>
      <c r="FT246" t="inlineStr">
        <is>
          <t>SFWZ-10|</t>
        </is>
      </c>
      <c r="FU246" t="inlineStr">
        <is>
          <t>SFWZ-10</t>
        </is>
      </c>
      <c r="FV246">
        <f>VLOOKUP(FU246,FD:FL,9,0)</f>
        <v/>
      </c>
      <c r="FZ246" s="51" t="inlineStr">
        <is>
          <t>B16</t>
        </is>
      </c>
      <c r="GA246" s="117" t="n">
        <v>0</v>
      </c>
      <c r="GB246" s="117" t="n">
        <v>0</v>
      </c>
      <c r="GC246" s="117" t="n">
        <v>0</v>
      </c>
      <c r="GD246" s="117" t="n">
        <v>0</v>
      </c>
      <c r="GE246" s="117" t="n">
        <v>0</v>
      </c>
      <c r="GF246" s="117" t="n">
        <v>14.565</v>
      </c>
      <c r="GG246" s="117" t="n">
        <v>26.59</v>
      </c>
      <c r="GH246" s="117" t="n">
        <v>22.34</v>
      </c>
      <c r="GI246" s="117" t="n">
        <v>20.715</v>
      </c>
      <c r="GJ246" s="117" t="n">
        <v>20.525</v>
      </c>
      <c r="GK246" s="117" t="n">
        <v>19.765</v>
      </c>
      <c r="GL246" s="117" t="n">
        <v>18.975</v>
      </c>
      <c r="GM246" s="117" t="n">
        <v>18.2</v>
      </c>
      <c r="GN246" s="117" t="n">
        <v>17.68</v>
      </c>
      <c r="GO246" s="117" t="n">
        <v>16.91</v>
      </c>
      <c r="GP246" s="117" t="n">
        <v>17.25</v>
      </c>
      <c r="GQ246" s="117" t="n">
        <v>17.31</v>
      </c>
      <c r="GR246" s="117" t="n">
        <v>17.37</v>
      </c>
      <c r="GS246" s="117" t="n">
        <v>16.875</v>
      </c>
      <c r="GT246" s="117" t="n">
        <v>16.935</v>
      </c>
      <c r="GU246" s="117" t="n">
        <v>17.94</v>
      </c>
      <c r="GV246" s="117" t="n">
        <v>20.04</v>
      </c>
      <c r="GW246" s="117" t="n">
        <v>22.565</v>
      </c>
      <c r="GX246" s="117" t="n">
        <v>25.74</v>
      </c>
      <c r="HA246" s="35" t="n">
        <v>16</v>
      </c>
      <c r="HB246" s="35" t="n">
        <v>240</v>
      </c>
    </row>
    <row r="247" ht="15.5" customHeight="1">
      <c r="A247" s="10">
        <f>HOUR(G247)+1</f>
        <v/>
      </c>
      <c r="B247" s="7" t="n"/>
      <c r="C247" s="7" t="n"/>
      <c r="D247" s="85">
        <f>IFERROR(
IF(AND(OR(Planilla!B247="C",Planilla!B247="c"), VLOOKUP(E247,FD:FP,13,0)="C"), "OK",IF(AND(OR(Planilla!B247="C",Planilla!B247="c"), OR(VLOOKUP(E247,FD:FP,13,0)="B", VLOOKUP(E247,FD:FP,13,0)="A")), "DEFICIT",IF(
AND(OR(Planilla!B247="B", Planilla!B247="BPAL"), VLOOKUP(E247,FD:FP,13,0)="B"), "OK",IF(AND(OR(Planilla!B247="B", Planilla!B247="BPAL"), VLOOKUP(E247,FD:FP,13,0)="A"), "DEFICIT",IF(AND(OR(Planilla!B247="B", Planilla!B247="BPAL"), VLOOKUP(E247,FD:FP,13,0)="C"), "SOBREOFERTA",IF(AND(Planilla!B247="A", VLOOKUP(E247,FD:FP,13,0)="A"), "OK",IF(
AND(Planilla!B247="A", OR(VLOOKUP(E247,FD:FP,13,0)="B", VLOOKUP(E247,FD:FP,13,0)="C")), "SOBREOFERTA",""
))))))),"")</f>
        <v/>
      </c>
      <c r="E247" s="8" t="n"/>
      <c r="F247" s="86" t="n"/>
      <c r="G247" s="87" t="n"/>
      <c r="H247" s="88">
        <f>IF(I247="","",IF(AND((I247-G247)&gt;=TIME(0,0,0),(I247-G247)&lt;TIME(0,3,0)),"OK",IF(AND((I247-G247)&gt;=TIME(0,3,0),(I247-G247)&lt;TIME(0,5,0)),"RETRASO DE 3-5 MIN",IF(AND((I247-G247)&gt;=TIME(0,5,0),(I247-G247)&lt;TIME(0,10,0)),"RETRASO DE 5-10 MIN",IF((I247-G247)&gt;=TIME(0,10,0),"RETRASO &gt;10 MIN", IF(AND((G247-I247)&gt;=TIME(0,0,0),(G247-I247)&lt;TIME(0,3,0)),"OK",IF((G247-I247)&gt;=TIME(0,3,0),"ADELANTADO")))))))</f>
        <v/>
      </c>
      <c r="I247" s="89" t="n"/>
      <c r="J247" s="89">
        <f>IF(A247&lt;&gt;"",HLOOKUP(VALUE(TEXT(G247,"h:mm:ss")),IF($C$6="Laboral",$FZ$4:$GX$227,IF($C$6="Sábado",$FZ$231:$GX$452,$FZ$456:$GX$656)),VLOOKUP($C$4,$HF$2:$HH$99,3,0)+IF(C$5="Ida",0,1),1),"")</f>
        <v/>
      </c>
      <c r="K247" s="89">
        <f>IF(A248&lt;&gt;A247,AVERAGEIF(A$9:A247,A247,J$9:J247),"")</f>
        <v/>
      </c>
      <c r="L247" s="89">
        <f>IFERROR(IF(A248&lt;&gt;A247,AVERAGEIF(A$9:A247,A247,S$9:S247),""),"")</f>
        <v/>
      </c>
      <c r="M247" s="89">
        <f>IFERROR(IF(A248&lt;&gt;A247,AVERAGEIF(A$9:A247,A247,T$9:T247),""),"")</f>
        <v/>
      </c>
      <c r="N247" s="89">
        <f t="array" ref="N247">IFERROR(IF(A248&lt;&gt;A247,_xlfn.STDEV.P(IF(A$9:A247=A247,T$9:T247)),""),"")</f>
        <v/>
      </c>
      <c r="O247" s="89">
        <f t="array" ref="O247">IFERROR(IF(A248&lt;&gt;A247,_xlfn.STDEV.P(IF(A$9:A247=A247,S$9:S247)),""),"")</f>
        <v/>
      </c>
      <c r="P247" s="90">
        <f>IFERROR(IF(A247&lt;&gt;A248,MAX((((M247*24*60)/2)*(1+POWER((((N247*24*60) / (M247*24*60) )),2))) + ((M247*24*60 )*-0.1 + (K247*0.015)) +1,(((M247*24*60)/2)*(1+POWER((((N247*24*60) / (M247*24*60 ))),2)))),""),"")</f>
        <v/>
      </c>
      <c r="Q247" s="90">
        <f>IF(AND(O247&lt;&gt;"",L247&lt;&gt;""),IF(A247&lt;&gt;A248,((L247*24*60) / 2 ) * (1 + POWER(((O247*24*60) / (L247*24*60)),2)),""),"")</f>
        <v/>
      </c>
      <c r="R247" s="90">
        <f>IF(Q247&lt;&gt;"",MAX(P247,Q247),"")</f>
        <v/>
      </c>
      <c r="S247" s="89">
        <f>IF(I247&lt;&gt;"H. Sale Real",IF(AND(I248&lt;&gt;"",LEFT(C248,2)&lt;&gt;"Va"),IF(AND(I247&lt;&gt;"",LEFT(C247,2)&lt;&gt;"Va",I247&lt;&gt;"H. Sale Real"),IF(I248-I247&lt;0.208333333333333,I248-I247,""),IF(AND(I246&lt;&gt;"",LEFT(C246,2)&lt;&gt;"Va",I246&lt;&gt;"H. Sale Real"),IF(I248-I246&lt;0.208333333333333,I248-I246,""),IF(AND(I245&lt;&gt;"",LEFT(C245,2)&lt;&gt;"Va",I245&lt;&gt;"H. Sale Real"),IF(I248-I245&lt;0.208333333333333,I248-I245,""),IF(AND(I244&lt;&gt;"",LEFT(C244,2)&lt;&gt;"Va",I244&lt;&gt;"H. Sale Real"),IF(I248-I244&lt;0.208333333333333,I248-I244,""),IF(AND(I243&lt;&gt;"",LEFT(C243,2)&lt;&gt;"Va",I243&lt;&gt;"H. Sale Real"),IF(I248-I243&lt;0.208333333333333,I248-I243,""),""))))),""),"")</f>
        <v/>
      </c>
      <c r="T247" s="89">
        <f>IF(G247&lt;&gt;"H. Sale Real",IF(AND(G248&lt;&gt;"",LEFT(C248,2)&lt;&gt;"Va"),IF(AND(G247&lt;&gt;"",LEFT(C247,2)&lt;&gt;"Va",G247&lt;&gt;"H. Sale Real"),IF(G248-G247&lt;0.208333333333333,G248-G247,""),IF(AND(G246&lt;&gt;"",LEFT(C246,2)&lt;&gt;"Va",G246&lt;&gt;"H. Sale Real"),IF(G248-G246&lt;0.208333333333333,G248-G246,""),IF(AND(G245&lt;&gt;"",LEFT(C245,2)&lt;&gt;"Va",G245&lt;&gt;"H. Sale Real"),IF(G248-G245&lt;0.208333333333333,G248-G245,""),IF(AND(G244&lt;&gt;"",LEFT(C244,2)&lt;&gt;"Va",G244&lt;&gt;"H. Sale Real"),IF(G248-G244&lt;0.208333333333333,G248-G244,""),IF(AND(G243&lt;&gt;"",LEFT(C243,2)&lt;&gt;"Va",G243&lt;&gt;"H. Sale Real"),IF(G248-G243&lt;0.208333333333333,G248-G243,""),""))))),""),"")</f>
        <v/>
      </c>
      <c r="U247" s="87" t="n"/>
      <c r="V247" s="89" t="n"/>
      <c r="W247" s="87" t="n"/>
      <c r="X247" s="89" t="n"/>
      <c r="Y247" s="91" t="n"/>
      <c r="Z247" s="122">
        <f>IF(G247&lt;&gt;"",IF(AND(Z246&lt;&gt;"IE",P247&lt;&gt;0,R247&lt;&gt;""),IF(IFERROR((P247/R247),0) &lt;=1,IFERROR(P247/R247,""),1),""),"")</f>
        <v/>
      </c>
      <c r="AA247" s="93" t="n"/>
      <c r="AB247" s="2" t="n"/>
      <c r="AE247" s="10">
        <f>HOUR(AK247)+1</f>
        <v/>
      </c>
      <c r="AF247" s="7" t="n"/>
      <c r="AG247" s="7" t="n"/>
      <c r="AH247" s="86" t="n"/>
      <c r="AI247" s="8" t="n"/>
      <c r="AJ247" s="86" t="n"/>
      <c r="AK247" s="87" t="n"/>
      <c r="AL247" s="88">
        <f>IF(AM247="","",IF(AND((AM247-AK247)&gt;=TIME(0,0,0),(AM247-AK247)&lt;TIME(0,3,0)),"OK",IF(AND((AM247-AK247)&gt;=TIME(0,3,0),(AM247-AK247)&lt;TIME(0,5,0)),"RETRASO DE 3-5 MIN",IF(AND((AM247-AK247)&gt;=TIME(0,5,0),(AM247-AK247)&lt;TIME(0,10,0)),"RETRASO DE 5-10 MIN",IF((AM247-AK247)&gt;=TIME(0,10,0),"RETRASO &gt;10 MIN", IF(AND((AK247-AM247)&gt;=TIME(0,0,0),(AK247-AM247)&lt;TIME(0,3,0)),"OK",IF((AK247-AM247)&gt;=TIME(0,3,0),"ADELANTADO")))))))</f>
        <v/>
      </c>
      <c r="AM247" s="91" t="n"/>
      <c r="AN247" s="89">
        <f>IF(AE247&lt;&gt;"",HLOOKUP(VALUE(TEXT(AK247,"h:mm:ss")),IF($C$6="Laboral",$FZ$4:$GX$227,IF($C$6="Sábado",$FZ$231:$GX$452,$FZ$456:$GX$656)),VLOOKUP($C$4,$HF$2:$HH$99,3,0)+IF(AG$5="Ida",0,1),1),"")</f>
        <v/>
      </c>
      <c r="AO247" s="89">
        <f>IF(AE248&lt;&gt;AE247,AVERAGEIF(AE$9:AE247,AE247,AN$9:AN247),"")</f>
        <v/>
      </c>
      <c r="AP247" s="89">
        <f>IFERROR(IF(AE248&lt;&gt;AE247,AVERAGEIF(AE$9:AE247,AE247,AW$9:AW247),""),"")</f>
        <v/>
      </c>
      <c r="AQ247" s="89">
        <f>IFERROR(IF(AE248&lt;&gt;AE247,AVERAGEIF(AE$9:AE247,AE247,AX$9:AX247),""),"")</f>
        <v/>
      </c>
      <c r="AR247" s="89">
        <f t="array" ref="AR247">IFERROR(IF(AE248&lt;&gt;AE247,_xlfn.STDEV.P(IF(AE$9:AE247=AE247,AX$9:AX247)),""),"")</f>
        <v/>
      </c>
      <c r="AS247" s="89">
        <f t="array" ref="AS247">IFERROR(IF(AE248&lt;&gt;AE247,_xlfn.STDEV.P(IF(AE$9:AE247=AE247,AW$9:AW247)),""),"")</f>
        <v/>
      </c>
      <c r="AT247" s="90">
        <f>IFERROR(IF(AE247&lt;&gt;AE248,MAX((((AQ247*24*60)/2)*(1+POWER((((AR247*24*60) / (AQ247*24*60) )),2))) + ((AQ247*24*60 )*-0.1 + (AO247*0.015)) +1,(((AQ247*24*60)/2)*(1+POWER((((AR247*24*60) / (AQ247*24*60 ))),2)))),""),"")</f>
        <v/>
      </c>
      <c r="AU247" s="90">
        <f>IF(AND(AS247&lt;&gt;"",AP247&lt;&gt;""),IF(AE247&lt;&gt;AE248,((AP247*24*60) / 2 ) * (1 + POWER(((AS247*24*60) / (AP247*24*60)),2)),""),"")</f>
        <v/>
      </c>
      <c r="AV247" s="90">
        <f>IF(AU247&lt;&gt;"",MAX(AT247,AU247),"")</f>
        <v/>
      </c>
      <c r="AW247" s="89">
        <f>IF(AM247&lt;&gt;"H. Sale Real",IF(AND(AM248&lt;&gt;"",LEFT(AG248,2)&lt;&gt;"Va"),IF(AND(AM247&lt;&gt;"",LEFT(AG247,2)&lt;&gt;"Va",AM247&lt;&gt;"H. Sale Real"),IF(AM248-AM247&lt;0.208333333333333,AM248-AM247,""),IF(AND(AM246&lt;&gt;"",LEFT(AG246,2)&lt;&gt;"Va",AM246&lt;&gt;"H. Sale Real"),IF(AM248-AM246&lt;0.208333333333333,AM248-AM246,""),IF(AND(AM245&lt;&gt;"",LEFT(AG245,2)&lt;&gt;"Va",AM245&lt;&gt;"H. Sale Real"),IF(AM248-AM245&lt;0.208333333333333,AM248-AM245,""),IF(AND(AM244&lt;&gt;"",LEFT(AG244,2)&lt;&gt;"Va",AM244&lt;&gt;"H. Sale Real"),IF(AM248-AM244&lt;0.208333333333333,AM248-AM244,""),IF(AND(AM243&lt;&gt;"",LEFT(AG243,2)&lt;&gt;"Va",AM243&lt;&gt;"H. Sale Real"),IF(AM248-AM243&lt;0.208333333333333,AM248-AM243,""),""))))),""),"")</f>
        <v/>
      </c>
      <c r="AX247" s="89">
        <f>IF(AK247&lt;&gt;"H. Sale Real",IF(AND(AK248&lt;&gt;"",LEFT(AG248,2)&lt;&gt;"Va"),IF(AND(AK247&lt;&gt;"",LEFT(AG247,2)&lt;&gt;"Va",AK247&lt;&gt;"H. Sale Real"),IF(AK248-AK247&lt;0.208333333333333,AK248-AK247,""),IF(AND(AK246&lt;&gt;"",LEFT(AG246,2)&lt;&gt;"Va",AK246&lt;&gt;"H. Sale Real"),IF(AK248-AK246&lt;0.208333333333333,AK248-AK246,""),IF(AND(AK245&lt;&gt;"",LEFT(AG245,2)&lt;&gt;"NC",AK245&lt;&gt;"H. Sale Real"),IF(AK248-AK245&lt;0.208333333333333,AK248-AK245,""),IF(AND(AK244&lt;&gt;"",LEFT(AG244,2)&lt;&gt;"Va",AK244&lt;&gt;"H. Sale Real"),IF(AK248-AK244&lt;0.208333333333333,AK248-AK244,""),IF(AND(AK243&lt;&gt;"",LEFT(AG243,2)&lt;&gt;"Va",AK243&lt;&gt;"H. Sale Real"),IF(AK248-AK243&lt;0.208333333333333,AK248-AK243,""),""))))),""),"")</f>
        <v/>
      </c>
      <c r="AY247" s="87" t="n"/>
      <c r="AZ247" s="89" t="n"/>
      <c r="BA247" s="87" t="n"/>
      <c r="BB247" s="89" t="n"/>
      <c r="BC247" s="91" t="n"/>
      <c r="BD247" s="122">
        <f>IF(AK247&lt;&gt;"",IF(AND(BD246&lt;&gt;"IE",AT247&lt;&gt;0,AV247&lt;&gt;""),IF(IFERROR((AT247/AV247),0) &lt;=1,IFERROR(AT247/AV247,""),1),""),"")</f>
        <v/>
      </c>
      <c r="BE247" s="93" t="n"/>
      <c r="BF247" s="105" t="n"/>
      <c r="FC247" t="inlineStr">
        <is>
          <t>Diccionario 1</t>
        </is>
      </c>
      <c r="FD247" s="15" t="n">
        <v>1220</v>
      </c>
      <c r="FE247" s="15" t="inlineStr">
        <is>
          <t>YV3T7U525RA211990</t>
        </is>
      </c>
      <c r="FF247" s="15" t="n">
        <v>593899</v>
      </c>
      <c r="FG247" s="15" t="inlineStr">
        <is>
          <t>Volvo</t>
        </is>
      </c>
      <c r="FH247" s="15" t="inlineStr">
        <is>
          <t>B8RLEA</t>
        </is>
      </c>
      <c r="FI247" s="15" t="inlineStr">
        <is>
          <t>MARCOPOLO</t>
        </is>
      </c>
      <c r="FJ247" s="15" t="inlineStr">
        <is>
          <t>GRAN VIALE</t>
        </is>
      </c>
      <c r="FK247" s="15" t="n">
        <v>2023</v>
      </c>
      <c r="FL247" s="15" t="inlineStr">
        <is>
          <t>C</t>
        </is>
      </c>
      <c r="FM247" s="15" t="inlineStr">
        <is>
          <t>SAN ALFONSO</t>
        </is>
      </c>
      <c r="FN247" s="15" t="inlineStr">
        <is>
          <t>San Alfonso 2141 (Ramón Subercaseaux 3060)</t>
        </is>
      </c>
      <c r="FO247" s="15" t="inlineStr">
        <is>
          <t>Estacion Central</t>
        </is>
      </c>
      <c r="FP247" t="inlineStr">
        <is>
          <t>C</t>
        </is>
      </c>
      <c r="FS247" s="14" t="inlineStr">
        <is>
          <t>3062 / SFWZ-10|</t>
        </is>
      </c>
      <c r="FT247" t="inlineStr">
        <is>
          <t>SFWZ-10|</t>
        </is>
      </c>
      <c r="FU247" t="inlineStr">
        <is>
          <t>SFWZ-10</t>
        </is>
      </c>
      <c r="FV247">
        <f>VLOOKUP(FU247,FD:FL,9,0)</f>
        <v/>
      </c>
      <c r="FZ247" s="51" t="inlineStr">
        <is>
          <t>B17</t>
        </is>
      </c>
      <c r="GA247" s="117" t="n">
        <v>0</v>
      </c>
      <c r="GB247" s="117" t="n">
        <v>0</v>
      </c>
      <c r="GC247" s="117" t="n">
        <v>0</v>
      </c>
      <c r="GD247" s="117" t="n">
        <v>0</v>
      </c>
      <c r="GE247" s="117" t="n">
        <v>0</v>
      </c>
      <c r="GF247" s="117" t="n">
        <v>22</v>
      </c>
      <c r="GG247" s="117" t="n">
        <v>20.445</v>
      </c>
      <c r="GH247" s="117" t="n">
        <v>19.585</v>
      </c>
      <c r="GI247" s="117" t="n">
        <v>18.86</v>
      </c>
      <c r="GJ247" s="117" t="n">
        <v>17.835</v>
      </c>
      <c r="GK247" s="117" t="n">
        <v>17.05</v>
      </c>
      <c r="GL247" s="117" t="n">
        <v>16.055</v>
      </c>
      <c r="GM247" s="117" t="n">
        <v>15.965</v>
      </c>
      <c r="GN247" s="117" t="n">
        <v>15.89</v>
      </c>
      <c r="GO247" s="117" t="n">
        <v>16.69</v>
      </c>
      <c r="GP247" s="117" t="n">
        <v>17.025</v>
      </c>
      <c r="GQ247" s="117" t="n">
        <v>17.385</v>
      </c>
      <c r="GR247" s="117" t="n">
        <v>17.275</v>
      </c>
      <c r="GS247" s="117" t="n">
        <v>17.155</v>
      </c>
      <c r="GT247" s="117" t="n">
        <v>17.73</v>
      </c>
      <c r="GU247" s="117" t="n">
        <v>18.77</v>
      </c>
      <c r="GV247" s="117" t="n">
        <v>19.94</v>
      </c>
      <c r="GW247" s="117" t="n">
        <v>21.325</v>
      </c>
      <c r="GX247" s="117" t="n">
        <v>22.57</v>
      </c>
      <c r="HA247" s="35" t="n">
        <v>17</v>
      </c>
      <c r="HB247" s="35" t="n">
        <v>241</v>
      </c>
    </row>
    <row r="248" ht="15.5" customHeight="1">
      <c r="A248" s="10">
        <f>HOUR(G248)+1</f>
        <v/>
      </c>
      <c r="B248" s="7" t="n"/>
      <c r="C248" s="7" t="n"/>
      <c r="D248" s="85">
        <f>IFERROR(
IF(AND(OR(Planilla!B248="C",Planilla!B248="c"), VLOOKUP(E248,FD:FP,13,0)="C"), "OK",IF(AND(OR(Planilla!B248="C",Planilla!B248="c"), OR(VLOOKUP(E248,FD:FP,13,0)="B", VLOOKUP(E248,FD:FP,13,0)="A")), "DEFICIT",IF(
AND(OR(Planilla!B248="B", Planilla!B248="BPAL"), VLOOKUP(E248,FD:FP,13,0)="B"), "OK",IF(AND(OR(Planilla!B248="B", Planilla!B248="BPAL"), VLOOKUP(E248,FD:FP,13,0)="A"), "DEFICIT",IF(AND(OR(Planilla!B248="B", Planilla!B248="BPAL"), VLOOKUP(E248,FD:FP,13,0)="C"), "SOBREOFERTA",IF(AND(Planilla!B248="A", VLOOKUP(E248,FD:FP,13,0)="A"), "OK",IF(
AND(Planilla!B248="A", OR(VLOOKUP(E248,FD:FP,13,0)="B", VLOOKUP(E248,FD:FP,13,0)="C")), "SOBREOFERTA",""
))))))),"")</f>
        <v/>
      </c>
      <c r="E248" s="8" t="n"/>
      <c r="F248" s="86" t="n"/>
      <c r="G248" s="87" t="n"/>
      <c r="H248" s="88">
        <f>IF(I248="","",IF(AND((I248-G248)&gt;=TIME(0,0,0),(I248-G248)&lt;TIME(0,3,0)),"OK",IF(AND((I248-G248)&gt;=TIME(0,3,0),(I248-G248)&lt;TIME(0,5,0)),"RETRASO DE 3-5 MIN",IF(AND((I248-G248)&gt;=TIME(0,5,0),(I248-G248)&lt;TIME(0,10,0)),"RETRASO DE 5-10 MIN",IF((I248-G248)&gt;=TIME(0,10,0),"RETRASO &gt;10 MIN", IF(AND((G248-I248)&gt;=TIME(0,0,0),(G248-I248)&lt;TIME(0,3,0)),"OK",IF((G248-I248)&gt;=TIME(0,3,0),"ADELANTADO")))))))</f>
        <v/>
      </c>
      <c r="I248" s="89" t="n"/>
      <c r="J248" s="89">
        <f>IF(A248&lt;&gt;"",HLOOKUP(VALUE(TEXT(G248,"h:mm:ss")),IF($C$6="Laboral",$FZ$4:$GX$227,IF($C$6="Sábado",$FZ$231:$GX$452,$FZ$456:$GX$656)),VLOOKUP($C$4,$HF$2:$HH$99,3,0)+IF(C$5="Ida",0,1),1),"")</f>
        <v/>
      </c>
      <c r="K248" s="89">
        <f>IF(A249&lt;&gt;A248,AVERAGEIF(A$9:A248,A248,J$9:J248),"")</f>
        <v/>
      </c>
      <c r="L248" s="89">
        <f>IFERROR(IF(A249&lt;&gt;A248,AVERAGEIF(A$9:A248,A248,S$9:S248),""),"")</f>
        <v/>
      </c>
      <c r="M248" s="89">
        <f>IFERROR(IF(A249&lt;&gt;A248,AVERAGEIF(A$9:A248,A248,T$9:T248),""),"")</f>
        <v/>
      </c>
      <c r="N248" s="89">
        <f t="array" ref="N248">IFERROR(IF(A249&lt;&gt;A248,_xlfn.STDEV.P(IF(A$9:A248=A248,T$9:T248)),""),"")</f>
        <v/>
      </c>
      <c r="O248" s="89">
        <f t="array" ref="O248">IFERROR(IF(A249&lt;&gt;A248,_xlfn.STDEV.P(IF(A$9:A248=A248,S$9:S248)),""),"")</f>
        <v/>
      </c>
      <c r="P248" s="90">
        <f>IFERROR(IF(A248&lt;&gt;A249,MAX((((M248*24*60)/2)*(1+POWER((((N248*24*60) / (M248*24*60) )),2))) + ((M248*24*60 )*-0.1 + (K248*0.015)) +1,(((M248*24*60)/2)*(1+POWER((((N248*24*60) / (M248*24*60 ))),2)))),""),"")</f>
        <v/>
      </c>
      <c r="Q248" s="90">
        <f>IF(AND(O248&lt;&gt;"",L248&lt;&gt;""),IF(A248&lt;&gt;A249,((L248*24*60) / 2 ) * (1 + POWER(((O248*24*60) / (L248*24*60)),2)),""),"")</f>
        <v/>
      </c>
      <c r="R248" s="90">
        <f>IF(Q248&lt;&gt;"",MAX(P248,Q248),"")</f>
        <v/>
      </c>
      <c r="S248" s="89">
        <f>IF(I248&lt;&gt;"H. Sale Real",IF(AND(I249&lt;&gt;"",LEFT(C249,2)&lt;&gt;"Va"),IF(AND(I248&lt;&gt;"",LEFT(C248,2)&lt;&gt;"Va",I248&lt;&gt;"H. Sale Real"),IF(I249-I248&lt;0.208333333333333,I249-I248,""),IF(AND(I247&lt;&gt;"",LEFT(C247,2)&lt;&gt;"Va",I247&lt;&gt;"H. Sale Real"),IF(I249-I247&lt;0.208333333333333,I249-I247,""),IF(AND(I246&lt;&gt;"",LEFT(C246,2)&lt;&gt;"Va",I246&lt;&gt;"H. Sale Real"),IF(I249-I246&lt;0.208333333333333,I249-I246,""),IF(AND(I245&lt;&gt;"",LEFT(C245,2)&lt;&gt;"Va",I245&lt;&gt;"H. Sale Real"),IF(I249-I245&lt;0.208333333333333,I249-I245,""),IF(AND(I244&lt;&gt;"",LEFT(C244,2)&lt;&gt;"Va",I244&lt;&gt;"H. Sale Real"),IF(I249-I244&lt;0.208333333333333,I249-I244,""),""))))),""),"")</f>
        <v/>
      </c>
      <c r="T248" s="89">
        <f>IF(G248&lt;&gt;"H. Sale Real",IF(AND(G249&lt;&gt;"",LEFT(C249,2)&lt;&gt;"Va"),IF(AND(G248&lt;&gt;"",LEFT(C248,2)&lt;&gt;"Va",G248&lt;&gt;"H. Sale Real"),IF(G249-G248&lt;0.208333333333333,G249-G248,""),IF(AND(G247&lt;&gt;"",LEFT(C247,2)&lt;&gt;"Va",G247&lt;&gt;"H. Sale Real"),IF(G249-G247&lt;0.208333333333333,G249-G247,""),IF(AND(G246&lt;&gt;"",LEFT(C246,2)&lt;&gt;"Va",G246&lt;&gt;"H. Sale Real"),IF(G249-G246&lt;0.208333333333333,G249-G246,""),IF(AND(G245&lt;&gt;"",LEFT(C245,2)&lt;&gt;"Va",G245&lt;&gt;"H. Sale Real"),IF(G249-G245&lt;0.208333333333333,G249-G245,""),IF(AND(G244&lt;&gt;"",LEFT(C244,2)&lt;&gt;"Va",G244&lt;&gt;"H. Sale Real"),IF(G249-G244&lt;0.208333333333333,G249-G244,""),""))))),""),"")</f>
        <v/>
      </c>
      <c r="U248" s="87" t="n"/>
      <c r="V248" s="89" t="n"/>
      <c r="W248" s="87" t="n"/>
      <c r="X248" s="89" t="n"/>
      <c r="Y248" s="91" t="n"/>
      <c r="Z248" s="122">
        <f>IF(G248&lt;&gt;"",IF(AND(Z247&lt;&gt;"IE",P248&lt;&gt;0,R248&lt;&gt;""),IF(IFERROR((P248/R248),0) &lt;=1,IFERROR(P248/R248,""),1),""),"")</f>
        <v/>
      </c>
      <c r="AA248" s="93" t="n"/>
      <c r="AB248" s="2" t="n"/>
      <c r="AE248" s="10">
        <f>HOUR(AK248)+1</f>
        <v/>
      </c>
      <c r="AF248" s="7" t="n"/>
      <c r="AG248" s="7" t="n"/>
      <c r="AH248" s="86" t="n"/>
      <c r="AI248" s="8" t="n"/>
      <c r="AJ248" s="86" t="n"/>
      <c r="AK248" s="87" t="n"/>
      <c r="AL248" s="88">
        <f>IF(AM248="","",IF(AND((AM248-AK248)&gt;=TIME(0,0,0),(AM248-AK248)&lt;TIME(0,3,0)),"OK",IF(AND((AM248-AK248)&gt;=TIME(0,3,0),(AM248-AK248)&lt;TIME(0,5,0)),"RETRASO DE 3-5 MIN",IF(AND((AM248-AK248)&gt;=TIME(0,5,0),(AM248-AK248)&lt;TIME(0,10,0)),"RETRASO DE 5-10 MIN",IF((AM248-AK248)&gt;=TIME(0,10,0),"RETRASO &gt;10 MIN", IF(AND((AK248-AM248)&gt;=TIME(0,0,0),(AK248-AM248)&lt;TIME(0,3,0)),"OK",IF((AK248-AM248)&gt;=TIME(0,3,0),"ADELANTADO")))))))</f>
        <v/>
      </c>
      <c r="AM248" s="91" t="n"/>
      <c r="AN248" s="89">
        <f>IF(AE248&lt;&gt;"",HLOOKUP(VALUE(TEXT(AK248,"h:mm:ss")),IF($C$6="Laboral",$FZ$4:$GX$227,IF($C$6="Sábado",$FZ$231:$GX$452,$FZ$456:$GX$656)),VLOOKUP($C$4,$HF$2:$HH$99,3,0)+IF(AG$5="Ida",0,1),1),"")</f>
        <v/>
      </c>
      <c r="AO248" s="89">
        <f>IF(AE249&lt;&gt;AE248,AVERAGEIF(AE$9:AE248,AE248,AN$9:AN248),"")</f>
        <v/>
      </c>
      <c r="AP248" s="89">
        <f>IFERROR(IF(AE249&lt;&gt;AE248,AVERAGEIF(AE$9:AE248,AE248,AW$9:AW248),""),"")</f>
        <v/>
      </c>
      <c r="AQ248" s="89">
        <f>IFERROR(IF(AE249&lt;&gt;AE248,AVERAGEIF(AE$9:AE248,AE248,AX$9:AX248),""),"")</f>
        <v/>
      </c>
      <c r="AR248" s="89">
        <f t="array" ref="AR248">IFERROR(IF(AE249&lt;&gt;AE248,_xlfn.STDEV.P(IF(AE$9:AE248=AE248,AX$9:AX248)),""),"")</f>
        <v/>
      </c>
      <c r="AS248" s="89">
        <f t="array" ref="AS248">IFERROR(IF(AE249&lt;&gt;AE248,_xlfn.STDEV.P(IF(AE$9:AE248=AE248,AW$9:AW248)),""),"")</f>
        <v/>
      </c>
      <c r="AT248" s="90">
        <f>IFERROR(IF(AE248&lt;&gt;AE249,MAX((((AQ248*24*60)/2)*(1+POWER((((AR248*24*60) / (AQ248*24*60) )),2))) + ((AQ248*24*60 )*-0.1 + (AO248*0.015)) +1,(((AQ248*24*60)/2)*(1+POWER((((AR248*24*60) / (AQ248*24*60 ))),2)))),""),"")</f>
        <v/>
      </c>
      <c r="AU248" s="90">
        <f>IF(AND(AS248&lt;&gt;"",AP248&lt;&gt;""),IF(AE248&lt;&gt;AE249,((AP248*24*60) / 2 ) * (1 + POWER(((AS248*24*60) / (AP248*24*60)),2)),""),"")</f>
        <v/>
      </c>
      <c r="AV248" s="90">
        <f>IF(AU248&lt;&gt;"",MAX(AT248,AU248),"")</f>
        <v/>
      </c>
      <c r="AW248" s="89">
        <f>IF(AM248&lt;&gt;"H. Sale Real",IF(AND(AM249&lt;&gt;"",LEFT(AG249,2)&lt;&gt;"Va"),IF(AND(AM248&lt;&gt;"",LEFT(AG248,2)&lt;&gt;"Va",AM248&lt;&gt;"H. Sale Real"),IF(AM249-AM248&lt;0.208333333333333,AM249-AM248,""),IF(AND(AM247&lt;&gt;"",LEFT(AG247,2)&lt;&gt;"Va",AM247&lt;&gt;"H. Sale Real"),IF(AM249-AM247&lt;0.208333333333333,AM249-AM247,""),IF(AND(AM246&lt;&gt;"",LEFT(AG246,2)&lt;&gt;"Va",AM246&lt;&gt;"H. Sale Real"),IF(AM249-AM246&lt;0.208333333333333,AM249-AM246,""),IF(AND(AM245&lt;&gt;"",LEFT(AG245,2)&lt;&gt;"Va",AM245&lt;&gt;"H. Sale Real"),IF(AM249-AM245&lt;0.208333333333333,AM249-AM245,""),IF(AND(AM244&lt;&gt;"",LEFT(AG244,2)&lt;&gt;"Va",AM244&lt;&gt;"H. Sale Real"),IF(AM249-AM244&lt;0.208333333333333,AM249-AM244,""),""))))),""),"")</f>
        <v/>
      </c>
      <c r="AX248" s="89">
        <f>IF(AK248&lt;&gt;"H. Sale Real",IF(AND(AK249&lt;&gt;"",LEFT(AG249,2)&lt;&gt;"Va"),IF(AND(AK248&lt;&gt;"",LEFT(AG248,2)&lt;&gt;"Va",AK248&lt;&gt;"H. Sale Real"),IF(AK249-AK248&lt;0.208333333333333,AK249-AK248,""),IF(AND(AK247&lt;&gt;"",LEFT(AG247,2)&lt;&gt;"Va",AK247&lt;&gt;"H. Sale Real"),IF(AK249-AK247&lt;0.208333333333333,AK249-AK247,""),IF(AND(AK246&lt;&gt;"",LEFT(AG246,2)&lt;&gt;"NC",AK246&lt;&gt;"H. Sale Real"),IF(AK249-AK246&lt;0.208333333333333,AK249-AK246,""),IF(AND(AK245&lt;&gt;"",LEFT(AG245,2)&lt;&gt;"Va",AK245&lt;&gt;"H. Sale Real"),IF(AK249-AK245&lt;0.208333333333333,AK249-AK245,""),IF(AND(AK244&lt;&gt;"",LEFT(AG244,2)&lt;&gt;"Va",AK244&lt;&gt;"H. Sale Real"),IF(AK249-AK244&lt;0.208333333333333,AK249-AK244,""),""))))),""),"")</f>
        <v/>
      </c>
      <c r="AY248" s="87" t="n"/>
      <c r="AZ248" s="89" t="n"/>
      <c r="BA248" s="87" t="n"/>
      <c r="BB248" s="89" t="n"/>
      <c r="BC248" s="91" t="n"/>
      <c r="BD248" s="122">
        <f>IF(AK248&lt;&gt;"",IF(AND(BD247&lt;&gt;"IE",AT248&lt;&gt;0,AV248&lt;&gt;""),IF(IFERROR((AT248/AV248),0) &lt;=1,IFERROR(AT248/AV248,""),1),""),"")</f>
        <v/>
      </c>
      <c r="BE248" s="93" t="n"/>
      <c r="BF248" s="105" t="n"/>
      <c r="FC248" t="inlineStr">
        <is>
          <t>Diccionario 1</t>
        </is>
      </c>
      <c r="FD248" s="15" t="n">
        <v>1221</v>
      </c>
      <c r="FE248" s="15" t="inlineStr">
        <is>
          <t>YV3T7U527RA211991</t>
        </is>
      </c>
      <c r="FF248" s="15" t="n">
        <v>593420</v>
      </c>
      <c r="FG248" s="15" t="inlineStr">
        <is>
          <t>Volvo</t>
        </is>
      </c>
      <c r="FH248" s="15" t="inlineStr">
        <is>
          <t>B8RLEA</t>
        </is>
      </c>
      <c r="FI248" s="15" t="inlineStr">
        <is>
          <t>MARCOPOLO</t>
        </is>
      </c>
      <c r="FJ248" s="15" t="inlineStr">
        <is>
          <t>GRAN VIALE</t>
        </is>
      </c>
      <c r="FK248" s="15" t="n">
        <v>2023</v>
      </c>
      <c r="FL248" s="15" t="inlineStr">
        <is>
          <t>C</t>
        </is>
      </c>
      <c r="FM248" s="15" t="inlineStr">
        <is>
          <t>SAN ALFONSO</t>
        </is>
      </c>
      <c r="FN248" s="15" t="inlineStr">
        <is>
          <t>San Alfonso 2141 (Ramón Subercaseaux 3060)</t>
        </is>
      </c>
      <c r="FO248" s="15" t="inlineStr">
        <is>
          <t>Estacion Central</t>
        </is>
      </c>
      <c r="FP248" t="inlineStr">
        <is>
          <t>C</t>
        </is>
      </c>
      <c r="FS248" s="14" t="inlineStr">
        <is>
          <t>3062 / SFWZ-10|</t>
        </is>
      </c>
      <c r="FT248" t="inlineStr">
        <is>
          <t>SFWZ-10|</t>
        </is>
      </c>
      <c r="FU248" t="inlineStr">
        <is>
          <t>SFWZ-10</t>
        </is>
      </c>
      <c r="FV248">
        <f>VLOOKUP(FU248,FD:FL,9,0)</f>
        <v/>
      </c>
      <c r="FZ248" s="51" t="inlineStr">
        <is>
          <t>B18</t>
        </is>
      </c>
      <c r="GA248" s="117" t="n">
        <v>17.985</v>
      </c>
      <c r="GB248" s="117" t="n">
        <v>0</v>
      </c>
      <c r="GC248" s="117" t="n">
        <v>0</v>
      </c>
      <c r="GD248" s="117" t="n">
        <v>0</v>
      </c>
      <c r="GE248" s="117" t="n">
        <v>0</v>
      </c>
      <c r="GF248" s="117" t="n">
        <v>12.26</v>
      </c>
      <c r="GG248" s="117" t="n">
        <v>22.75</v>
      </c>
      <c r="GH248" s="117" t="n">
        <v>21.595</v>
      </c>
      <c r="GI248" s="117" t="n">
        <v>20.76</v>
      </c>
      <c r="GJ248" s="117" t="n">
        <v>20.175</v>
      </c>
      <c r="GK248" s="117" t="n">
        <v>20.105</v>
      </c>
      <c r="GL248" s="117" t="n">
        <v>19.575</v>
      </c>
      <c r="GM248" s="117" t="n">
        <v>18.935</v>
      </c>
      <c r="GN248" s="117" t="n">
        <v>18.735</v>
      </c>
      <c r="GO248" s="117" t="n">
        <v>19.49</v>
      </c>
      <c r="GP248" s="117" t="n">
        <v>20.87</v>
      </c>
      <c r="GQ248" s="117" t="n">
        <v>21.055</v>
      </c>
      <c r="GR248" s="117" t="n">
        <v>21.975</v>
      </c>
      <c r="GS248" s="117" t="n">
        <v>23.03</v>
      </c>
      <c r="GT248" s="117" t="n">
        <v>24.835</v>
      </c>
      <c r="GU248" s="117" t="n">
        <v>26.275</v>
      </c>
      <c r="GV248" s="117" t="n">
        <v>28.835</v>
      </c>
      <c r="GW248" s="117" t="n">
        <v>31.585</v>
      </c>
      <c r="GX248" s="117" t="n">
        <v>33.02</v>
      </c>
      <c r="HA248" s="35" t="n">
        <v>18</v>
      </c>
      <c r="HB248" s="35" t="n">
        <v>242</v>
      </c>
    </row>
    <row r="249" ht="15.5" customHeight="1">
      <c r="A249" s="10">
        <f>HOUR(G249)+1</f>
        <v/>
      </c>
      <c r="B249" s="7" t="n"/>
      <c r="C249" s="7" t="n"/>
      <c r="D249" s="85">
        <f>IFERROR(
IF(AND(OR(Planilla!B249="C",Planilla!B249="c"), VLOOKUP(E249,FD:FP,13,0)="C"), "OK",IF(AND(OR(Planilla!B249="C",Planilla!B249="c"), OR(VLOOKUP(E249,FD:FP,13,0)="B", VLOOKUP(E249,FD:FP,13,0)="A")), "DEFICIT",IF(
AND(OR(Planilla!B249="B", Planilla!B249="BPAL"), VLOOKUP(E249,FD:FP,13,0)="B"), "OK",IF(AND(OR(Planilla!B249="B", Planilla!B249="BPAL"), VLOOKUP(E249,FD:FP,13,0)="A"), "DEFICIT",IF(AND(OR(Planilla!B249="B", Planilla!B249="BPAL"), VLOOKUP(E249,FD:FP,13,0)="C"), "SOBREOFERTA",IF(AND(Planilla!B249="A", VLOOKUP(E249,FD:FP,13,0)="A"), "OK",IF(
AND(Planilla!B249="A", OR(VLOOKUP(E249,FD:FP,13,0)="B", VLOOKUP(E249,FD:FP,13,0)="C")), "SOBREOFERTA",""
))))))),"")</f>
        <v/>
      </c>
      <c r="E249" s="8" t="n"/>
      <c r="F249" s="86" t="n"/>
      <c r="G249" s="87" t="n"/>
      <c r="H249" s="88">
        <f>IF(I249="","",IF(AND((I249-G249)&gt;=TIME(0,0,0),(I249-G249)&lt;TIME(0,3,0)),"OK",IF(AND((I249-G249)&gt;=TIME(0,3,0),(I249-G249)&lt;TIME(0,5,0)),"RETRASO DE 3-5 MIN",IF(AND((I249-G249)&gt;=TIME(0,5,0),(I249-G249)&lt;TIME(0,10,0)),"RETRASO DE 5-10 MIN",IF((I249-G249)&gt;=TIME(0,10,0),"RETRASO &gt;10 MIN", IF(AND((G249-I249)&gt;=TIME(0,0,0),(G249-I249)&lt;TIME(0,3,0)),"OK",IF((G249-I249)&gt;=TIME(0,3,0),"ADELANTADO")))))))</f>
        <v/>
      </c>
      <c r="I249" s="89" t="n"/>
      <c r="J249" s="89">
        <f>IF(A249&lt;&gt;"",HLOOKUP(VALUE(TEXT(G249,"h:mm:ss")),IF($C$6="Laboral",$FZ$4:$GX$227,IF($C$6="Sábado",$FZ$231:$GX$452,$FZ$456:$GX$656)),VLOOKUP($C$4,$HF$2:$HH$99,3,0)+IF(C$5="Ida",0,1),1),"")</f>
        <v/>
      </c>
      <c r="K249" s="89">
        <f>IF(A250&lt;&gt;A249,AVERAGEIF(A$9:A249,A249,J$9:J249),"")</f>
        <v/>
      </c>
      <c r="L249" s="89">
        <f>IFERROR(IF(A250&lt;&gt;A249,AVERAGEIF(A$9:A249,A249,S$9:S249),""),"")</f>
        <v/>
      </c>
      <c r="M249" s="89">
        <f>IFERROR(IF(A250&lt;&gt;A249,AVERAGEIF(A$9:A249,A249,T$9:T249),""),"")</f>
        <v/>
      </c>
      <c r="N249" s="89">
        <f t="array" ref="N249">IFERROR(IF(A250&lt;&gt;A249,_xlfn.STDEV.P(IF(A$9:A249=A249,T$9:T249)),""),"")</f>
        <v/>
      </c>
      <c r="O249" s="89">
        <f t="array" ref="O249">IFERROR(IF(A250&lt;&gt;A249,_xlfn.STDEV.P(IF(A$9:A249=A249,S$9:S249)),""),"")</f>
        <v/>
      </c>
      <c r="P249" s="90">
        <f>IFERROR(IF(A249&lt;&gt;A250,MAX((((M249*24*60)/2)*(1+POWER((((N249*24*60) / (M249*24*60) )),2))) + ((M249*24*60 )*-0.1 + (K249*0.015)) +1,(((M249*24*60)/2)*(1+POWER((((N249*24*60) / (M249*24*60 ))),2)))),""),"")</f>
        <v/>
      </c>
      <c r="Q249" s="90">
        <f>IF(AND(O249&lt;&gt;"",L249&lt;&gt;""),IF(A249&lt;&gt;A250,((L249*24*60) / 2 ) * (1 + POWER(((O249*24*60) / (L249*24*60)),2)),""),"")</f>
        <v/>
      </c>
      <c r="R249" s="90">
        <f>IF(Q249&lt;&gt;"",MAX(P249,Q249),"")</f>
        <v/>
      </c>
      <c r="S249" s="89">
        <f>IF(I249&lt;&gt;"H. Sale Real",IF(AND(I250&lt;&gt;"",LEFT(C250,2)&lt;&gt;"Va"),IF(AND(I249&lt;&gt;"",LEFT(C249,2)&lt;&gt;"Va",I249&lt;&gt;"H. Sale Real"),IF(I250-I249&lt;0.208333333333333,I250-I249,""),IF(AND(I248&lt;&gt;"",LEFT(C248,2)&lt;&gt;"Va",I248&lt;&gt;"H. Sale Real"),IF(I250-I248&lt;0.208333333333333,I250-I248,""),IF(AND(I247&lt;&gt;"",LEFT(C247,2)&lt;&gt;"Va",I247&lt;&gt;"H. Sale Real"),IF(I250-I247&lt;0.208333333333333,I250-I247,""),IF(AND(I246&lt;&gt;"",LEFT(C246,2)&lt;&gt;"Va",I246&lt;&gt;"H. Sale Real"),IF(I250-I246&lt;0.208333333333333,I250-I246,""),IF(AND(I245&lt;&gt;"",LEFT(C245,2)&lt;&gt;"Va",I245&lt;&gt;"H. Sale Real"),IF(I250-I245&lt;0.208333333333333,I250-I245,""),""))))),""),"")</f>
        <v/>
      </c>
      <c r="T249" s="89">
        <f>IF(G249&lt;&gt;"H. Sale Real",IF(AND(G250&lt;&gt;"",LEFT(C250,2)&lt;&gt;"Va"),IF(AND(G249&lt;&gt;"",LEFT(C249,2)&lt;&gt;"Va",G249&lt;&gt;"H. Sale Real"),IF(G250-G249&lt;0.208333333333333,G250-G249,""),IF(AND(G248&lt;&gt;"",LEFT(C248,2)&lt;&gt;"Va",G248&lt;&gt;"H. Sale Real"),IF(G250-G248&lt;0.208333333333333,G250-G248,""),IF(AND(G247&lt;&gt;"",LEFT(C247,2)&lt;&gt;"Va",G247&lt;&gt;"H. Sale Real"),IF(G250-G247&lt;0.208333333333333,G250-G247,""),IF(AND(G246&lt;&gt;"",LEFT(C246,2)&lt;&gt;"Va",G246&lt;&gt;"H. Sale Real"),IF(G250-G246&lt;0.208333333333333,G250-G246,""),IF(AND(G245&lt;&gt;"",LEFT(C245,2)&lt;&gt;"Va",G245&lt;&gt;"H. Sale Real"),IF(G250-G245&lt;0.208333333333333,G250-G245,""),""))))),""),"")</f>
        <v/>
      </c>
      <c r="U249" s="87" t="n"/>
      <c r="V249" s="89" t="n"/>
      <c r="W249" s="87" t="n"/>
      <c r="X249" s="89" t="n"/>
      <c r="Y249" s="91" t="n"/>
      <c r="Z249" s="122">
        <f>IF(G249&lt;&gt;"",IF(AND(Z248&lt;&gt;"IE",P249&lt;&gt;0,R249&lt;&gt;""),IF(IFERROR((P249/R249),0) &lt;=1,IFERROR(P249/R249,""),1),""),"")</f>
        <v/>
      </c>
      <c r="AA249" s="93" t="n"/>
      <c r="AB249" s="2" t="n"/>
      <c r="AE249" s="10">
        <f>HOUR(AK249)+1</f>
        <v/>
      </c>
      <c r="AF249" s="7" t="n"/>
      <c r="AG249" s="7" t="n"/>
      <c r="AH249" s="86" t="n"/>
      <c r="AI249" s="8" t="n"/>
      <c r="AJ249" s="86" t="n"/>
      <c r="AK249" s="87" t="n"/>
      <c r="AL249" s="88">
        <f>IF(AM249="","",IF(AND((AM249-AK249)&gt;=TIME(0,0,0),(AM249-AK249)&lt;TIME(0,3,0)),"OK",IF(AND((AM249-AK249)&gt;=TIME(0,3,0),(AM249-AK249)&lt;TIME(0,5,0)),"RETRASO DE 3-5 MIN",IF(AND((AM249-AK249)&gt;=TIME(0,5,0),(AM249-AK249)&lt;TIME(0,10,0)),"RETRASO DE 5-10 MIN",IF((AM249-AK249)&gt;=TIME(0,10,0),"RETRASO &gt;10 MIN", IF(AND((AK249-AM249)&gt;=TIME(0,0,0),(AK249-AM249)&lt;TIME(0,3,0)),"OK",IF((AK249-AM249)&gt;=TIME(0,3,0),"ADELANTADO")))))))</f>
        <v/>
      </c>
      <c r="AM249" s="91" t="n"/>
      <c r="AN249" s="89">
        <f>IF(AE249&lt;&gt;"",HLOOKUP(VALUE(TEXT(AK249,"h:mm:ss")),IF($C$6="Laboral",$FZ$4:$GX$227,IF($C$6="Sábado",$FZ$231:$GX$452,$FZ$456:$GX$656)),VLOOKUP($C$4,$HF$2:$HH$99,3,0)+IF(AG$5="Ida",0,1),1),"")</f>
        <v/>
      </c>
      <c r="AO249" s="89">
        <f>IF(AE250&lt;&gt;AE249,AVERAGEIF(AE$9:AE249,AE249,AN$9:AN249),"")</f>
        <v/>
      </c>
      <c r="AP249" s="89">
        <f>IFERROR(IF(AE250&lt;&gt;AE249,AVERAGEIF(AE$9:AE249,AE249,AW$9:AW249),""),"")</f>
        <v/>
      </c>
      <c r="AQ249" s="89">
        <f>IFERROR(IF(AE250&lt;&gt;AE249,AVERAGEIF(AE$9:AE249,AE249,AX$9:AX249),""),"")</f>
        <v/>
      </c>
      <c r="AR249" s="89">
        <f t="array" ref="AR249">IFERROR(IF(AE250&lt;&gt;AE249,_xlfn.STDEV.P(IF(AE$9:AE249=AE249,AX$9:AX249)),""),"")</f>
        <v/>
      </c>
      <c r="AS249" s="89">
        <f t="array" ref="AS249">IFERROR(IF(AE250&lt;&gt;AE249,_xlfn.STDEV.P(IF(AE$9:AE249=AE249,AW$9:AW249)),""),"")</f>
        <v/>
      </c>
      <c r="AT249" s="90">
        <f>IFERROR(IF(AE249&lt;&gt;AE250,MAX((((AQ249*24*60)/2)*(1+POWER((((AR249*24*60) / (AQ249*24*60) )),2))) + ((AQ249*24*60 )*-0.1 + (AO249*0.015)) +1,(((AQ249*24*60)/2)*(1+POWER((((AR249*24*60) / (AQ249*24*60 ))),2)))),""),"")</f>
        <v/>
      </c>
      <c r="AU249" s="90">
        <f>IF(AND(AS249&lt;&gt;"",AP249&lt;&gt;""),IF(AE249&lt;&gt;AE250,((AP249*24*60) / 2 ) * (1 + POWER(((AS249*24*60) / (AP249*24*60)),2)),""),"")</f>
        <v/>
      </c>
      <c r="AV249" s="90">
        <f>IF(AU249&lt;&gt;"",MAX(AT249,AU249),"")</f>
        <v/>
      </c>
      <c r="AW249" s="89">
        <f>IF(AM249&lt;&gt;"H. Sale Real",IF(AND(AM250&lt;&gt;"",LEFT(AG250,2)&lt;&gt;"Va"),IF(AND(AM249&lt;&gt;"",LEFT(AG249,2)&lt;&gt;"Va",AM249&lt;&gt;"H. Sale Real"),IF(AM250-AM249&lt;0.208333333333333,AM250-AM249,""),IF(AND(AM248&lt;&gt;"",LEFT(AG248,2)&lt;&gt;"Va",AM248&lt;&gt;"H. Sale Real"),IF(AM250-AM248&lt;0.208333333333333,AM250-AM248,""),IF(AND(AM247&lt;&gt;"",LEFT(AG247,2)&lt;&gt;"Va",AM247&lt;&gt;"H. Sale Real"),IF(AM250-AM247&lt;0.208333333333333,AM250-AM247,""),IF(AND(AM246&lt;&gt;"",LEFT(AG246,2)&lt;&gt;"Va",AM246&lt;&gt;"H. Sale Real"),IF(AM250-AM246&lt;0.208333333333333,AM250-AM246,""),IF(AND(AM245&lt;&gt;"",LEFT(AG245,2)&lt;&gt;"Va",AM245&lt;&gt;"H. Sale Real"),IF(AM250-AM245&lt;0.208333333333333,AM250-AM245,""),""))))),""),"")</f>
        <v/>
      </c>
      <c r="AX249" s="89">
        <f>IF(AK249&lt;&gt;"H. Sale Real",IF(AND(AK250&lt;&gt;"",LEFT(AG250,2)&lt;&gt;"Va"),IF(AND(AK249&lt;&gt;"",LEFT(AG249,2)&lt;&gt;"Va",AK249&lt;&gt;"H. Sale Real"),IF(AK250-AK249&lt;0.208333333333333,AK250-AK249,""),IF(AND(AK248&lt;&gt;"",LEFT(AG248,2)&lt;&gt;"Va",AK248&lt;&gt;"H. Sale Real"),IF(AK250-AK248&lt;0.208333333333333,AK250-AK248,""),IF(AND(AK247&lt;&gt;"",LEFT(AG247,2)&lt;&gt;"NC",AK247&lt;&gt;"H. Sale Real"),IF(AK250-AK247&lt;0.208333333333333,AK250-AK247,""),IF(AND(AK246&lt;&gt;"",LEFT(AG246,2)&lt;&gt;"Va",AK246&lt;&gt;"H. Sale Real"),IF(AK250-AK246&lt;0.208333333333333,AK250-AK246,""),IF(AND(AK245&lt;&gt;"",LEFT(AG245,2)&lt;&gt;"Va",AK245&lt;&gt;"H. Sale Real"),IF(AK250-AK245&lt;0.208333333333333,AK250-AK245,""),""))))),""),"")</f>
        <v/>
      </c>
      <c r="AY249" s="87" t="n"/>
      <c r="AZ249" s="89" t="n"/>
      <c r="BA249" s="87" t="n"/>
      <c r="BB249" s="89" t="n"/>
      <c r="BC249" s="91" t="n"/>
      <c r="BD249" s="122">
        <f>IF(AK249&lt;&gt;"",IF(AND(BD248&lt;&gt;"IE",AT249&lt;&gt;0,AV249&lt;&gt;""),IF(IFERROR((AT249/AV249),0) &lt;=1,IFERROR(AT249/AV249,""),1),""),"")</f>
        <v/>
      </c>
      <c r="BE249" s="93" t="n"/>
      <c r="BF249" s="105" t="n"/>
      <c r="FC249" t="inlineStr">
        <is>
          <t>Diccionario 1</t>
        </is>
      </c>
      <c r="FD249" s="15" t="n">
        <v>1222</v>
      </c>
      <c r="FE249" s="15" t="inlineStr">
        <is>
          <t>YV3T7U529RA211992</t>
        </is>
      </c>
      <c r="FF249" s="15" t="n">
        <v>593506</v>
      </c>
      <c r="FG249" s="15" t="inlineStr">
        <is>
          <t>Volvo</t>
        </is>
      </c>
      <c r="FH249" s="15" t="inlineStr">
        <is>
          <t>B8RLEA</t>
        </is>
      </c>
      <c r="FI249" s="15" t="inlineStr">
        <is>
          <t>MARCOPOLO</t>
        </is>
      </c>
      <c r="FJ249" s="15" t="inlineStr">
        <is>
          <t>GRAN VIALE</t>
        </is>
      </c>
      <c r="FK249" s="15" t="n">
        <v>2023</v>
      </c>
      <c r="FL249" s="15" t="inlineStr">
        <is>
          <t>C</t>
        </is>
      </c>
      <c r="FM249" s="15" t="inlineStr">
        <is>
          <t>SAN ALFONSO</t>
        </is>
      </c>
      <c r="FN249" s="15" t="inlineStr">
        <is>
          <t>San Alfonso 2141 (Ramón Subercaseaux 3060)</t>
        </is>
      </c>
      <c r="FO249" s="15" t="inlineStr">
        <is>
          <t>Estacion Central</t>
        </is>
      </c>
      <c r="FP249" t="inlineStr">
        <is>
          <t>C</t>
        </is>
      </c>
      <c r="FS249" s="14" t="inlineStr">
        <is>
          <t>3062 / SFWZ-10|</t>
        </is>
      </c>
      <c r="FT249" t="inlineStr">
        <is>
          <t>SFWZ-10|</t>
        </is>
      </c>
      <c r="FU249" t="inlineStr">
        <is>
          <t>SFWZ-10</t>
        </is>
      </c>
      <c r="FV249">
        <f>VLOOKUP(FU249,FD:FL,9,0)</f>
        <v/>
      </c>
      <c r="FZ249" s="51" t="inlineStr">
        <is>
          <t>B18</t>
        </is>
      </c>
      <c r="GA249" s="117" t="n">
        <v>0</v>
      </c>
      <c r="GB249" s="117" t="n">
        <v>0</v>
      </c>
      <c r="GC249" s="117" t="n">
        <v>0</v>
      </c>
      <c r="GD249" s="117" t="n">
        <v>0</v>
      </c>
      <c r="GE249" s="117" t="n">
        <v>0</v>
      </c>
      <c r="GF249" s="117" t="n">
        <v>12.94</v>
      </c>
      <c r="GG249" s="117" t="n">
        <v>24.555</v>
      </c>
      <c r="GH249" s="117" t="n">
        <v>22.86</v>
      </c>
      <c r="GI249" s="117" t="n">
        <v>22.565</v>
      </c>
      <c r="GJ249" s="117" t="n">
        <v>21.77</v>
      </c>
      <c r="GK249" s="117" t="n">
        <v>20.41</v>
      </c>
      <c r="GL249" s="117" t="n">
        <v>18.455</v>
      </c>
      <c r="GM249" s="117" t="n">
        <v>16.6</v>
      </c>
      <c r="GN249" s="117" t="n">
        <v>15.285</v>
      </c>
      <c r="GO249" s="117" t="n">
        <v>15.09</v>
      </c>
      <c r="GP249" s="117" t="n">
        <v>16.27</v>
      </c>
      <c r="GQ249" s="117" t="n">
        <v>17.13</v>
      </c>
      <c r="GR249" s="117" t="n">
        <v>17.055</v>
      </c>
      <c r="GS249" s="117" t="n">
        <v>17.015</v>
      </c>
      <c r="GT249" s="117" t="n">
        <v>17.69</v>
      </c>
      <c r="GU249" s="117" t="n">
        <v>19.035</v>
      </c>
      <c r="GV249" s="117" t="n">
        <v>21.4</v>
      </c>
      <c r="GW249" s="117" t="n">
        <v>24.275</v>
      </c>
      <c r="GX249" s="117" t="n">
        <v>26.635</v>
      </c>
      <c r="HA249" s="35" t="n">
        <v>19</v>
      </c>
      <c r="HB249" s="35" t="n">
        <v>243</v>
      </c>
    </row>
    <row r="250" ht="15.5" customHeight="1">
      <c r="A250" s="10">
        <f>HOUR(G250)+1</f>
        <v/>
      </c>
      <c r="B250" s="7" t="n"/>
      <c r="C250" s="7" t="n"/>
      <c r="D250" s="85">
        <f>IFERROR(
IF(AND(OR(Planilla!B250="C",Planilla!B250="c"), VLOOKUP(E250,FD:FP,13,0)="C"), "OK",IF(AND(OR(Planilla!B250="C",Planilla!B250="c"), OR(VLOOKUP(E250,FD:FP,13,0)="B", VLOOKUP(E250,FD:FP,13,0)="A")), "DEFICIT",IF(
AND(OR(Planilla!B250="B", Planilla!B250="BPAL"), VLOOKUP(E250,FD:FP,13,0)="B"), "OK",IF(AND(OR(Planilla!B250="B", Planilla!B250="BPAL"), VLOOKUP(E250,FD:FP,13,0)="A"), "DEFICIT",IF(AND(OR(Planilla!B250="B", Planilla!B250="BPAL"), VLOOKUP(E250,FD:FP,13,0)="C"), "SOBREOFERTA",IF(AND(Planilla!B250="A", VLOOKUP(E250,FD:FP,13,0)="A"), "OK",IF(
AND(Planilla!B250="A", OR(VLOOKUP(E250,FD:FP,13,0)="B", VLOOKUP(E250,FD:FP,13,0)="C")), "SOBREOFERTA",""
))))))),"")</f>
        <v/>
      </c>
      <c r="E250" s="8" t="n"/>
      <c r="F250" s="86" t="n"/>
      <c r="G250" s="87" t="n"/>
      <c r="H250" s="88">
        <f>IF(I250="","",IF(AND((I250-G250)&gt;=TIME(0,0,0),(I250-G250)&lt;TIME(0,3,0)),"OK",IF(AND((I250-G250)&gt;=TIME(0,3,0),(I250-G250)&lt;TIME(0,5,0)),"RETRASO DE 3-5 MIN",IF(AND((I250-G250)&gt;=TIME(0,5,0),(I250-G250)&lt;TIME(0,10,0)),"RETRASO DE 5-10 MIN",IF((I250-G250)&gt;=TIME(0,10,0),"RETRASO &gt;10 MIN", IF(AND((G250-I250)&gt;=TIME(0,0,0),(G250-I250)&lt;TIME(0,3,0)),"OK",IF((G250-I250)&gt;=TIME(0,3,0),"ADELANTADO")))))))</f>
        <v/>
      </c>
      <c r="I250" s="89" t="n"/>
      <c r="J250" s="89">
        <f>IF(A250&lt;&gt;"",HLOOKUP(VALUE(TEXT(G250,"h:mm:ss")),IF($C$6="Laboral",$FZ$4:$GX$227,IF($C$6="Sábado",$FZ$231:$GX$452,$FZ$456:$GX$656)),VLOOKUP($C$4,$HF$2:$HH$99,3,0)+IF(C$5="Ida",0,1),1),"")</f>
        <v/>
      </c>
      <c r="K250" s="89">
        <f>IF(A251&lt;&gt;A250,AVERAGEIF(A$9:A250,A250,J$9:J250),"")</f>
        <v/>
      </c>
      <c r="L250" s="89">
        <f>IFERROR(IF(A251&lt;&gt;A250,AVERAGEIF(A$9:A250,A250,S$9:S250),""),"")</f>
        <v/>
      </c>
      <c r="M250" s="89">
        <f>IFERROR(IF(A251&lt;&gt;A250,AVERAGEIF(A$9:A250,A250,T$9:T250),""),"")</f>
        <v/>
      </c>
      <c r="N250" s="89">
        <f t="array" ref="N250">IFERROR(IF(A251&lt;&gt;A250,_xlfn.STDEV.P(IF(A$9:A250=A250,T$9:T250)),""),"")</f>
        <v/>
      </c>
      <c r="O250" s="89">
        <f t="array" ref="O250">IFERROR(IF(A251&lt;&gt;A250,_xlfn.STDEV.P(IF(A$9:A250=A250,S$9:S250)),""),"")</f>
        <v/>
      </c>
      <c r="P250" s="90">
        <f>IFERROR(IF(A250&lt;&gt;A251,MAX((((M250*24*60)/2)*(1+POWER((((N250*24*60) / (M250*24*60) )),2))) + ((M250*24*60 )*-0.1 + (K250*0.015)) +1,(((M250*24*60)/2)*(1+POWER((((N250*24*60) / (M250*24*60 ))),2)))),""),"")</f>
        <v/>
      </c>
      <c r="Q250" s="90">
        <f>IF(AND(O250&lt;&gt;"",L250&lt;&gt;""),IF(A250&lt;&gt;A251,((L250*24*60) / 2 ) * (1 + POWER(((O250*24*60) / (L250*24*60)),2)),""),"")</f>
        <v/>
      </c>
      <c r="R250" s="90">
        <f>IF(Q250&lt;&gt;"",MAX(P250,Q250),"")</f>
        <v/>
      </c>
      <c r="S250" s="89">
        <f>IF(I250&lt;&gt;"H. Sale Real",IF(AND(I251&lt;&gt;"",LEFT(C251,2)&lt;&gt;"Va"),IF(AND(I250&lt;&gt;"",LEFT(C250,2)&lt;&gt;"Va",I250&lt;&gt;"H. Sale Real"),IF(I251-I250&lt;0.208333333333333,I251-I250,""),IF(AND(I249&lt;&gt;"",LEFT(C249,2)&lt;&gt;"Va",I249&lt;&gt;"H. Sale Real"),IF(I251-I249&lt;0.208333333333333,I251-I249,""),IF(AND(I248&lt;&gt;"",LEFT(C248,2)&lt;&gt;"Va",I248&lt;&gt;"H. Sale Real"),IF(I251-I248&lt;0.208333333333333,I251-I248,""),IF(AND(I247&lt;&gt;"",LEFT(C247,2)&lt;&gt;"Va",I247&lt;&gt;"H. Sale Real"),IF(I251-I247&lt;0.208333333333333,I251-I247,""),IF(AND(I246&lt;&gt;"",LEFT(C246,2)&lt;&gt;"Va",I246&lt;&gt;"H. Sale Real"),IF(I251-I246&lt;0.208333333333333,I251-I246,""),""))))),""),"")</f>
        <v/>
      </c>
      <c r="T250" s="89">
        <f>IF(G250&lt;&gt;"H. Sale Real",IF(AND(G251&lt;&gt;"",LEFT(C251,2)&lt;&gt;"Va"),IF(AND(G250&lt;&gt;"",LEFT(C250,2)&lt;&gt;"Va",G250&lt;&gt;"H. Sale Real"),IF(G251-G250&lt;0.208333333333333,G251-G250,""),IF(AND(G249&lt;&gt;"",LEFT(C249,2)&lt;&gt;"Va",G249&lt;&gt;"H. Sale Real"),IF(G251-G249&lt;0.208333333333333,G251-G249,""),IF(AND(G248&lt;&gt;"",LEFT(C248,2)&lt;&gt;"Va",G248&lt;&gt;"H. Sale Real"),IF(G251-G248&lt;0.208333333333333,G251-G248,""),IF(AND(G247&lt;&gt;"",LEFT(C247,2)&lt;&gt;"Va",G247&lt;&gt;"H. Sale Real"),IF(G251-G247&lt;0.208333333333333,G251-G247,""),IF(AND(G246&lt;&gt;"",LEFT(C246,2)&lt;&gt;"Va",G246&lt;&gt;"H. Sale Real"),IF(G251-G246&lt;0.208333333333333,G251-G246,""),""))))),""),"")</f>
        <v/>
      </c>
      <c r="U250" s="87" t="n"/>
      <c r="V250" s="89" t="n"/>
      <c r="W250" s="87" t="n"/>
      <c r="X250" s="89" t="n"/>
      <c r="Y250" s="91" t="n"/>
      <c r="Z250" s="122">
        <f>IF(G250&lt;&gt;"",IF(AND(Z249&lt;&gt;"IE",P250&lt;&gt;0,R250&lt;&gt;""),IF(IFERROR((P250/R250),0) &lt;=1,IFERROR(P250/R250,""),1),""),"")</f>
        <v/>
      </c>
      <c r="AA250" s="93" t="n"/>
      <c r="AB250" s="2" t="n"/>
      <c r="AE250" s="10">
        <f>HOUR(AK250)+1</f>
        <v/>
      </c>
      <c r="AF250" s="7" t="n"/>
      <c r="AG250" s="7" t="n"/>
      <c r="AH250" s="86" t="n"/>
      <c r="AI250" s="8" t="n"/>
      <c r="AJ250" s="86" t="n"/>
      <c r="AK250" s="87" t="n"/>
      <c r="AL250" s="88">
        <f>IF(AM250="","",IF(AND((AM250-AK250)&gt;=TIME(0,0,0),(AM250-AK250)&lt;TIME(0,3,0)),"OK",IF(AND((AM250-AK250)&gt;=TIME(0,3,0),(AM250-AK250)&lt;TIME(0,5,0)),"RETRASO DE 3-5 MIN",IF(AND((AM250-AK250)&gt;=TIME(0,5,0),(AM250-AK250)&lt;TIME(0,10,0)),"RETRASO DE 5-10 MIN",IF((AM250-AK250)&gt;=TIME(0,10,0),"RETRASO &gt;10 MIN", IF(AND((AK250-AM250)&gt;=TIME(0,0,0),(AK250-AM250)&lt;TIME(0,3,0)),"OK",IF((AK250-AM250)&gt;=TIME(0,3,0),"ADELANTADO")))))))</f>
        <v/>
      </c>
      <c r="AM250" s="91" t="n"/>
      <c r="AN250" s="89">
        <f>IF(AE250&lt;&gt;"",HLOOKUP(VALUE(TEXT(AK250,"h:mm:ss")),IF($C$6="Laboral",$FZ$4:$GX$227,IF($C$6="Sábado",$FZ$231:$GX$452,$FZ$456:$GX$656)),VLOOKUP($C$4,$HF$2:$HH$99,3,0)+IF(AG$5="Ida",0,1),1),"")</f>
        <v/>
      </c>
      <c r="AO250" s="89">
        <f>IF(AE251&lt;&gt;AE250,AVERAGEIF(AE$9:AE250,AE250,AN$9:AN250),"")</f>
        <v/>
      </c>
      <c r="AP250" s="89">
        <f>IFERROR(IF(AE251&lt;&gt;AE250,AVERAGEIF(AE$9:AE250,AE250,AW$9:AW250),""),"")</f>
        <v/>
      </c>
      <c r="AQ250" s="89">
        <f>IFERROR(IF(AE251&lt;&gt;AE250,AVERAGEIF(AE$9:AE250,AE250,AX$9:AX250),""),"")</f>
        <v/>
      </c>
      <c r="AR250" s="89">
        <f t="array" ref="AR250">IFERROR(IF(AE251&lt;&gt;AE250,_xlfn.STDEV.P(IF(AE$9:AE250=AE250,AX$9:AX250)),""),"")</f>
        <v/>
      </c>
      <c r="AS250" s="89">
        <f t="array" ref="AS250">IFERROR(IF(AE251&lt;&gt;AE250,_xlfn.STDEV.P(IF(AE$9:AE250=AE250,AW$9:AW250)),""),"")</f>
        <v/>
      </c>
      <c r="AT250" s="90">
        <f>IFERROR(IF(AE250&lt;&gt;AE251,MAX((((AQ250*24*60)/2)*(1+POWER((((AR250*24*60) / (AQ250*24*60) )),2))) + ((AQ250*24*60 )*-0.1 + (AO250*0.015)) +1,(((AQ250*24*60)/2)*(1+POWER((((AR250*24*60) / (AQ250*24*60 ))),2)))),""),"")</f>
        <v/>
      </c>
      <c r="AU250" s="90">
        <f>IF(AND(AS250&lt;&gt;"",AP250&lt;&gt;""),IF(AE250&lt;&gt;AE251,((AP250*24*60) / 2 ) * (1 + POWER(((AS250*24*60) / (AP250*24*60)),2)),""),"")</f>
        <v/>
      </c>
      <c r="AV250" s="90">
        <f>IF(AU250&lt;&gt;"",MAX(AT250,AU250),"")</f>
        <v/>
      </c>
      <c r="AW250" s="89">
        <f>IF(AM250&lt;&gt;"H. Sale Real",IF(AND(AM251&lt;&gt;"",LEFT(AG251,2)&lt;&gt;"Va"),IF(AND(AM250&lt;&gt;"",LEFT(AG250,2)&lt;&gt;"Va",AM250&lt;&gt;"H. Sale Real"),IF(AM251-AM250&lt;0.208333333333333,AM251-AM250,""),IF(AND(AM249&lt;&gt;"",LEFT(AG249,2)&lt;&gt;"Va",AM249&lt;&gt;"H. Sale Real"),IF(AM251-AM249&lt;0.208333333333333,AM251-AM249,""),IF(AND(AM248&lt;&gt;"",LEFT(AG248,2)&lt;&gt;"Va",AM248&lt;&gt;"H. Sale Real"),IF(AM251-AM248&lt;0.208333333333333,AM251-AM248,""),IF(AND(AM247&lt;&gt;"",LEFT(AG247,2)&lt;&gt;"Va",AM247&lt;&gt;"H. Sale Real"),IF(AM251-AM247&lt;0.208333333333333,AM251-AM247,""),IF(AND(AM246&lt;&gt;"",LEFT(AG246,2)&lt;&gt;"Va",AM246&lt;&gt;"H. Sale Real"),IF(AM251-AM246&lt;0.208333333333333,AM251-AM246,""),""))))),""),"")</f>
        <v/>
      </c>
      <c r="AX250" s="89">
        <f>IF(AK250&lt;&gt;"H. Sale Real",IF(AND(AK251&lt;&gt;"",LEFT(AG251,2)&lt;&gt;"Va"),IF(AND(AK250&lt;&gt;"",LEFT(AG250,2)&lt;&gt;"Va",AK250&lt;&gt;"H. Sale Real"),IF(AK251-AK250&lt;0.208333333333333,AK251-AK250,""),IF(AND(AK249&lt;&gt;"",LEFT(AG249,2)&lt;&gt;"Va",AK249&lt;&gt;"H. Sale Real"),IF(AK251-AK249&lt;0.208333333333333,AK251-AK249,""),IF(AND(AK248&lt;&gt;"",LEFT(AG248,2)&lt;&gt;"NC",AK248&lt;&gt;"H. Sale Real"),IF(AK251-AK248&lt;0.208333333333333,AK251-AK248,""),IF(AND(AK247&lt;&gt;"",LEFT(AG247,2)&lt;&gt;"Va",AK247&lt;&gt;"H. Sale Real"),IF(AK251-AK247&lt;0.208333333333333,AK251-AK247,""),IF(AND(AK246&lt;&gt;"",LEFT(AG246,2)&lt;&gt;"Va",AK246&lt;&gt;"H. Sale Real"),IF(AK251-AK246&lt;0.208333333333333,AK251-AK246,""),""))))),""),"")</f>
        <v/>
      </c>
      <c r="AY250" s="87" t="n"/>
      <c r="AZ250" s="89" t="n"/>
      <c r="BA250" s="87" t="n"/>
      <c r="BB250" s="89" t="n"/>
      <c r="BC250" s="91" t="n"/>
      <c r="BD250" s="122">
        <f>IF(AK250&lt;&gt;"",IF(AND(BD249&lt;&gt;"IE",AT250&lt;&gt;0,AV250&lt;&gt;""),IF(IFERROR((AT250/AV250),0) &lt;=1,IFERROR(AT250/AV250,""),1),""),"")</f>
        <v/>
      </c>
      <c r="BE250" s="93" t="n"/>
      <c r="BF250" s="105" t="n"/>
      <c r="FC250" t="inlineStr">
        <is>
          <t>Diccionario 1</t>
        </is>
      </c>
      <c r="FD250" s="15" t="n">
        <v>1223</v>
      </c>
      <c r="FE250" s="15" t="inlineStr">
        <is>
          <t>YV3T7U520RA211993</t>
        </is>
      </c>
      <c r="FF250" s="15" t="n">
        <v>593418</v>
      </c>
      <c r="FG250" s="15" t="inlineStr">
        <is>
          <t>Volvo</t>
        </is>
      </c>
      <c r="FH250" s="15" t="inlineStr">
        <is>
          <t>B8RLEA</t>
        </is>
      </c>
      <c r="FI250" s="15" t="inlineStr">
        <is>
          <t>MARCOPOLO</t>
        </is>
      </c>
      <c r="FJ250" s="15" t="inlineStr">
        <is>
          <t>GRAN VIALE</t>
        </is>
      </c>
      <c r="FK250" s="15" t="n">
        <v>2023</v>
      </c>
      <c r="FL250" s="15" t="inlineStr">
        <is>
          <t>C</t>
        </is>
      </c>
      <c r="FM250" s="15" t="inlineStr">
        <is>
          <t>SAN ALFONSO</t>
        </is>
      </c>
      <c r="FN250" s="15" t="inlineStr">
        <is>
          <t>San Alfonso 2141 (Ramón Subercaseaux 3060)</t>
        </is>
      </c>
      <c r="FO250" s="15" t="inlineStr">
        <is>
          <t>Estacion Central</t>
        </is>
      </c>
      <c r="FP250" t="inlineStr">
        <is>
          <t>C</t>
        </is>
      </c>
      <c r="FS250" s="14" t="inlineStr">
        <is>
          <t>3063 / SFWZ-21|</t>
        </is>
      </c>
      <c r="FT250" t="inlineStr">
        <is>
          <t>SFWZ-21|</t>
        </is>
      </c>
      <c r="FU250" t="inlineStr">
        <is>
          <t>SFWZ-21</t>
        </is>
      </c>
      <c r="FV250">
        <f>VLOOKUP(FU250,FD:FL,9,0)</f>
        <v/>
      </c>
      <c r="FZ250" s="51" t="inlineStr">
        <is>
          <t>B18e</t>
        </is>
      </c>
      <c r="GA250" s="117" t="n">
        <v>0</v>
      </c>
      <c r="GB250" s="117" t="n">
        <v>0</v>
      </c>
      <c r="GC250" s="117" t="n">
        <v>0</v>
      </c>
      <c r="GD250" s="117" t="n">
        <v>0</v>
      </c>
      <c r="GE250" s="117" t="n">
        <v>0</v>
      </c>
      <c r="GF250" s="117" t="n">
        <v>9.445</v>
      </c>
      <c r="GG250" s="117" t="n">
        <v>19.525</v>
      </c>
      <c r="GH250" s="117" t="n">
        <v>19.785</v>
      </c>
      <c r="GI250" s="117" t="n">
        <v>19.09</v>
      </c>
      <c r="GJ250" s="117" t="n">
        <v>18.965</v>
      </c>
      <c r="GK250" s="117" t="n">
        <v>18.035</v>
      </c>
      <c r="GL250" s="117" t="n">
        <v>18.63</v>
      </c>
      <c r="GM250" s="117" t="n">
        <v>18.095</v>
      </c>
      <c r="GN250" s="117" t="n">
        <v>17.805</v>
      </c>
      <c r="GO250" s="117" t="n">
        <v>18.585</v>
      </c>
      <c r="GP250" s="117" t="n">
        <v>18.835</v>
      </c>
      <c r="GQ250" s="117" t="n">
        <v>19.9</v>
      </c>
      <c r="GR250" s="117" t="n">
        <v>21.48</v>
      </c>
      <c r="GS250" s="117" t="n">
        <v>24.075</v>
      </c>
      <c r="GT250" s="117" t="n">
        <v>26.62</v>
      </c>
      <c r="GU250" s="117" t="n">
        <v>27.245</v>
      </c>
      <c r="GV250" s="117" t="n">
        <v>28.005</v>
      </c>
      <c r="GW250" s="117" t="n">
        <v>30.075</v>
      </c>
      <c r="GX250" s="117" t="n">
        <v>15.59</v>
      </c>
      <c r="HA250" s="35" t="n">
        <v>20</v>
      </c>
      <c r="HB250" s="35" t="n">
        <v>244</v>
      </c>
    </row>
    <row r="251" ht="15.5" customHeight="1">
      <c r="A251" s="10">
        <f>HOUR(G251)+1</f>
        <v/>
      </c>
      <c r="B251" s="7" t="n"/>
      <c r="C251" s="7" t="n"/>
      <c r="D251" s="85">
        <f>IFERROR(
IF(AND(OR(Planilla!B251="C",Planilla!B251="c"), VLOOKUP(E251,FD:FP,13,0)="C"), "OK",IF(AND(OR(Planilla!B251="C",Planilla!B251="c"), OR(VLOOKUP(E251,FD:FP,13,0)="B", VLOOKUP(E251,FD:FP,13,0)="A")), "DEFICIT",IF(
AND(OR(Planilla!B251="B", Planilla!B251="BPAL"), VLOOKUP(E251,FD:FP,13,0)="B"), "OK",IF(AND(OR(Planilla!B251="B", Planilla!B251="BPAL"), VLOOKUP(E251,FD:FP,13,0)="A"), "DEFICIT",IF(AND(OR(Planilla!B251="B", Planilla!B251="BPAL"), VLOOKUP(E251,FD:FP,13,0)="C"), "SOBREOFERTA",IF(AND(Planilla!B251="A", VLOOKUP(E251,FD:FP,13,0)="A"), "OK",IF(
AND(Planilla!B251="A", OR(VLOOKUP(E251,FD:FP,13,0)="B", VLOOKUP(E251,FD:FP,13,0)="C")), "SOBREOFERTA",""
))))))),"")</f>
        <v/>
      </c>
      <c r="E251" s="8" t="n"/>
      <c r="F251" s="86" t="n"/>
      <c r="G251" s="87" t="n"/>
      <c r="H251" s="88">
        <f>IF(I251="","",IF(AND((I251-G251)&gt;=TIME(0,0,0),(I251-G251)&lt;TIME(0,3,0)),"OK",IF(AND((I251-G251)&gt;=TIME(0,3,0),(I251-G251)&lt;TIME(0,5,0)),"RETRASO DE 3-5 MIN",IF(AND((I251-G251)&gt;=TIME(0,5,0),(I251-G251)&lt;TIME(0,10,0)),"RETRASO DE 5-10 MIN",IF((I251-G251)&gt;=TIME(0,10,0),"RETRASO &gt;10 MIN", IF(AND((G251-I251)&gt;=TIME(0,0,0),(G251-I251)&lt;TIME(0,3,0)),"OK",IF((G251-I251)&gt;=TIME(0,3,0),"ADELANTADO")))))))</f>
        <v/>
      </c>
      <c r="I251" s="89" t="n"/>
      <c r="J251" s="89">
        <f>IF(A251&lt;&gt;"",HLOOKUP(VALUE(TEXT(G251,"h:mm:ss")),IF($C$6="Laboral",$FZ$4:$GX$227,IF($C$6="Sábado",$FZ$231:$GX$452,$FZ$456:$GX$656)),VLOOKUP($C$4,$HF$2:$HH$99,3,0)+IF(C$5="Ida",0,1),1),"")</f>
        <v/>
      </c>
      <c r="K251" s="89">
        <f>IF(A252&lt;&gt;A251,AVERAGEIF(A$9:A251,A251,J$9:J251),"")</f>
        <v/>
      </c>
      <c r="L251" s="89">
        <f>IFERROR(IF(A252&lt;&gt;A251,AVERAGEIF(A$9:A251,A251,S$9:S251),""),"")</f>
        <v/>
      </c>
      <c r="M251" s="89">
        <f>IFERROR(IF(A252&lt;&gt;A251,AVERAGEIF(A$9:A251,A251,T$9:T251),""),"")</f>
        <v/>
      </c>
      <c r="N251" s="89">
        <f t="array" ref="N251">IFERROR(IF(A252&lt;&gt;A251,_xlfn.STDEV.P(IF(A$9:A251=A251,T$9:T251)),""),"")</f>
        <v/>
      </c>
      <c r="O251" s="89">
        <f t="array" ref="O251">IFERROR(IF(A252&lt;&gt;A251,_xlfn.STDEV.P(IF(A$9:A251=A251,S$9:S251)),""),"")</f>
        <v/>
      </c>
      <c r="P251" s="90">
        <f>IFERROR(IF(A251&lt;&gt;A252,MAX((((M251*24*60)/2)*(1+POWER((((N251*24*60) / (M251*24*60) )),2))) + ((M251*24*60 )*-0.1 + (K251*0.015)) +1,(((M251*24*60)/2)*(1+POWER((((N251*24*60) / (M251*24*60 ))),2)))),""),"")</f>
        <v/>
      </c>
      <c r="Q251" s="90">
        <f>IF(AND(O251&lt;&gt;"",L251&lt;&gt;""),IF(A251&lt;&gt;A252,((L251*24*60) / 2 ) * (1 + POWER(((O251*24*60) / (L251*24*60)),2)),""),"")</f>
        <v/>
      </c>
      <c r="R251" s="90">
        <f>IF(Q251&lt;&gt;"",MAX(P251,Q251),"")</f>
        <v/>
      </c>
      <c r="S251" s="89">
        <f>IF(I251&lt;&gt;"H. Sale Real",IF(AND(I252&lt;&gt;"",LEFT(C252,2)&lt;&gt;"Va"),IF(AND(I251&lt;&gt;"",LEFT(C251,2)&lt;&gt;"Va",I251&lt;&gt;"H. Sale Real"),IF(I252-I251&lt;0.208333333333333,I252-I251,""),IF(AND(I250&lt;&gt;"",LEFT(C250,2)&lt;&gt;"Va",I250&lt;&gt;"H. Sale Real"),IF(I252-I250&lt;0.208333333333333,I252-I250,""),IF(AND(I249&lt;&gt;"",LEFT(C249,2)&lt;&gt;"Va",I249&lt;&gt;"H. Sale Real"),IF(I252-I249&lt;0.208333333333333,I252-I249,""),IF(AND(I248&lt;&gt;"",LEFT(C248,2)&lt;&gt;"Va",I248&lt;&gt;"H. Sale Real"),IF(I252-I248&lt;0.208333333333333,I252-I248,""),IF(AND(I247&lt;&gt;"",LEFT(C247,2)&lt;&gt;"Va",I247&lt;&gt;"H. Sale Real"),IF(I252-I247&lt;0.208333333333333,I252-I247,""),""))))),""),"")</f>
        <v/>
      </c>
      <c r="T251" s="89">
        <f>IF(G251&lt;&gt;"H. Sale Real",IF(AND(G252&lt;&gt;"",LEFT(C252,2)&lt;&gt;"Va"),IF(AND(G251&lt;&gt;"",LEFT(C251,2)&lt;&gt;"Va",G251&lt;&gt;"H. Sale Real"),IF(G252-G251&lt;0.208333333333333,G252-G251,""),IF(AND(G250&lt;&gt;"",LEFT(C250,2)&lt;&gt;"Va",G250&lt;&gt;"H. Sale Real"),IF(G252-G250&lt;0.208333333333333,G252-G250,""),IF(AND(G249&lt;&gt;"",LEFT(C249,2)&lt;&gt;"Va",G249&lt;&gt;"H. Sale Real"),IF(G252-G249&lt;0.208333333333333,G252-G249,""),IF(AND(G248&lt;&gt;"",LEFT(C248,2)&lt;&gt;"Va",G248&lt;&gt;"H. Sale Real"),IF(G252-G248&lt;0.208333333333333,G252-G248,""),IF(AND(G247&lt;&gt;"",LEFT(C247,2)&lt;&gt;"Va",G247&lt;&gt;"H. Sale Real"),IF(G252-G247&lt;0.208333333333333,G252-G247,""),""))))),""),"")</f>
        <v/>
      </c>
      <c r="U251" s="87" t="n"/>
      <c r="V251" s="89" t="n"/>
      <c r="W251" s="87" t="n"/>
      <c r="X251" s="89" t="n"/>
      <c r="Y251" s="91" t="n"/>
      <c r="Z251" s="122">
        <f>IF(G251&lt;&gt;"",IF(AND(Z250&lt;&gt;"IE",P251&lt;&gt;0,R251&lt;&gt;""),IF(IFERROR((P251/R251),0) &lt;=1,IFERROR(P251/R251,""),1),""),"")</f>
        <v/>
      </c>
      <c r="AA251" s="93" t="n"/>
      <c r="AB251" s="2" t="n"/>
      <c r="AE251" s="10">
        <f>HOUR(AK251)+1</f>
        <v/>
      </c>
      <c r="AF251" s="7" t="n"/>
      <c r="AG251" s="7" t="n"/>
      <c r="AH251" s="86" t="n"/>
      <c r="AI251" s="8" t="n"/>
      <c r="AJ251" s="86" t="n"/>
      <c r="AK251" s="87" t="n"/>
      <c r="AL251" s="88">
        <f>IF(AM251="","",IF(AND((AM251-AK251)&gt;=TIME(0,0,0),(AM251-AK251)&lt;TIME(0,3,0)),"OK",IF(AND((AM251-AK251)&gt;=TIME(0,3,0),(AM251-AK251)&lt;TIME(0,5,0)),"RETRASO DE 3-5 MIN",IF(AND((AM251-AK251)&gt;=TIME(0,5,0),(AM251-AK251)&lt;TIME(0,10,0)),"RETRASO DE 5-10 MIN",IF((AM251-AK251)&gt;=TIME(0,10,0),"RETRASO &gt;10 MIN", IF(AND((AK251-AM251)&gt;=TIME(0,0,0),(AK251-AM251)&lt;TIME(0,3,0)),"OK",IF((AK251-AM251)&gt;=TIME(0,3,0),"ADELANTADO")))))))</f>
        <v/>
      </c>
      <c r="AM251" s="91" t="n"/>
      <c r="AN251" s="89">
        <f>IF(AE251&lt;&gt;"",HLOOKUP(VALUE(TEXT(AK251,"h:mm:ss")),IF($C$6="Laboral",$FZ$4:$GX$227,IF($C$6="Sábado",$FZ$231:$GX$452,$FZ$456:$GX$656)),VLOOKUP($C$4,$HF$2:$HH$99,3,0)+IF(AG$5="Ida",0,1),1),"")</f>
        <v/>
      </c>
      <c r="AO251" s="89">
        <f>IF(AE252&lt;&gt;AE251,AVERAGEIF(AE$9:AE251,AE251,AN$9:AN251),"")</f>
        <v/>
      </c>
      <c r="AP251" s="89">
        <f>IFERROR(IF(AE252&lt;&gt;AE251,AVERAGEIF(AE$9:AE251,AE251,AW$9:AW251),""),"")</f>
        <v/>
      </c>
      <c r="AQ251" s="89">
        <f>IFERROR(IF(AE252&lt;&gt;AE251,AVERAGEIF(AE$9:AE251,AE251,AX$9:AX251),""),"")</f>
        <v/>
      </c>
      <c r="AR251" s="89">
        <f t="array" ref="AR251">IFERROR(IF(AE252&lt;&gt;AE251,_xlfn.STDEV.P(IF(AE$9:AE251=AE251,AX$9:AX251)),""),"")</f>
        <v/>
      </c>
      <c r="AS251" s="89">
        <f t="array" ref="AS251">IFERROR(IF(AE252&lt;&gt;AE251,_xlfn.STDEV.P(IF(AE$9:AE251=AE251,AW$9:AW251)),""),"")</f>
        <v/>
      </c>
      <c r="AT251" s="90">
        <f>IFERROR(IF(AE251&lt;&gt;AE252,MAX((((AQ251*24*60)/2)*(1+POWER((((AR251*24*60) / (AQ251*24*60) )),2))) + ((AQ251*24*60 )*-0.1 + (AO251*0.015)) +1,(((AQ251*24*60)/2)*(1+POWER((((AR251*24*60) / (AQ251*24*60 ))),2)))),""),"")</f>
        <v/>
      </c>
      <c r="AU251" s="90">
        <f>IF(AND(AS251&lt;&gt;"",AP251&lt;&gt;""),IF(AE251&lt;&gt;AE252,((AP251*24*60) / 2 ) * (1 + POWER(((AS251*24*60) / (AP251*24*60)),2)),""),"")</f>
        <v/>
      </c>
      <c r="AV251" s="90">
        <f>IF(AU251&lt;&gt;"",MAX(AT251,AU251),"")</f>
        <v/>
      </c>
      <c r="AW251" s="89">
        <f>IF(AM251&lt;&gt;"H. Sale Real",IF(AND(AM252&lt;&gt;"",LEFT(AG252,2)&lt;&gt;"Va"),IF(AND(AM251&lt;&gt;"",LEFT(AG251,2)&lt;&gt;"Va",AM251&lt;&gt;"H. Sale Real"),IF(AM252-AM251&lt;0.208333333333333,AM252-AM251,""),IF(AND(AM250&lt;&gt;"",LEFT(AG250,2)&lt;&gt;"Va",AM250&lt;&gt;"H. Sale Real"),IF(AM252-AM250&lt;0.208333333333333,AM252-AM250,""),IF(AND(AM249&lt;&gt;"",LEFT(AG249,2)&lt;&gt;"Va",AM249&lt;&gt;"H. Sale Real"),IF(AM252-AM249&lt;0.208333333333333,AM252-AM249,""),IF(AND(AM248&lt;&gt;"",LEFT(AG248,2)&lt;&gt;"Va",AM248&lt;&gt;"H. Sale Real"),IF(AM252-AM248&lt;0.208333333333333,AM252-AM248,""),IF(AND(AM247&lt;&gt;"",LEFT(AG247,2)&lt;&gt;"Va",AM247&lt;&gt;"H. Sale Real"),IF(AM252-AM247&lt;0.208333333333333,AM252-AM247,""),""))))),""),"")</f>
        <v/>
      </c>
      <c r="AX251" s="89">
        <f>IF(AK251&lt;&gt;"H. Sale Real",IF(AND(AK252&lt;&gt;"",LEFT(AG252,2)&lt;&gt;"Va"),IF(AND(AK251&lt;&gt;"",LEFT(AG251,2)&lt;&gt;"Va",AK251&lt;&gt;"H. Sale Real"),IF(AK252-AK251&lt;0.208333333333333,AK252-AK251,""),IF(AND(AK250&lt;&gt;"",LEFT(AG250,2)&lt;&gt;"Va",AK250&lt;&gt;"H. Sale Real"),IF(AK252-AK250&lt;0.208333333333333,AK252-AK250,""),IF(AND(AK249&lt;&gt;"",LEFT(AG249,2)&lt;&gt;"NC",AK249&lt;&gt;"H. Sale Real"),IF(AK252-AK249&lt;0.208333333333333,AK252-AK249,""),IF(AND(AK248&lt;&gt;"",LEFT(AG248,2)&lt;&gt;"Va",AK248&lt;&gt;"H. Sale Real"),IF(AK252-AK248&lt;0.208333333333333,AK252-AK248,""),IF(AND(AK247&lt;&gt;"",LEFT(AG247,2)&lt;&gt;"Va",AK247&lt;&gt;"H. Sale Real"),IF(AK252-AK247&lt;0.208333333333333,AK252-AK247,""),""))))),""),"")</f>
        <v/>
      </c>
      <c r="AY251" s="87" t="n"/>
      <c r="AZ251" s="89" t="n"/>
      <c r="BA251" s="87" t="n"/>
      <c r="BB251" s="89" t="n"/>
      <c r="BC251" s="91" t="n"/>
      <c r="BD251" s="122">
        <f>IF(AK251&lt;&gt;"",IF(AND(BD250&lt;&gt;"IE",AT251&lt;&gt;0,AV251&lt;&gt;""),IF(IFERROR((AT251/AV251),0) &lt;=1,IFERROR(AT251/AV251,""),1),""),"")</f>
        <v/>
      </c>
      <c r="BE251" s="93" t="n"/>
      <c r="BF251" s="105" t="n"/>
      <c r="FC251" t="inlineStr">
        <is>
          <t>Diccionario 1</t>
        </is>
      </c>
      <c r="FD251" s="15" t="n">
        <v>1224</v>
      </c>
      <c r="FE251" s="15" t="inlineStr">
        <is>
          <t>YV3T7U529RA212107</t>
        </is>
      </c>
      <c r="FF251" s="15" t="n">
        <v>593145</v>
      </c>
      <c r="FG251" s="15" t="inlineStr">
        <is>
          <t>Volvo</t>
        </is>
      </c>
      <c r="FH251" s="15" t="inlineStr">
        <is>
          <t>B8RLEA</t>
        </is>
      </c>
      <c r="FI251" s="15" t="inlineStr">
        <is>
          <t>MARCOPOLO</t>
        </is>
      </c>
      <c r="FJ251" s="15" t="inlineStr">
        <is>
          <t>GRAN VIALE</t>
        </is>
      </c>
      <c r="FK251" s="15" t="n">
        <v>2023</v>
      </c>
      <c r="FL251" s="15" t="inlineStr">
        <is>
          <t>C</t>
        </is>
      </c>
      <c r="FM251" s="15" t="inlineStr">
        <is>
          <t>SAN ALFONSO</t>
        </is>
      </c>
      <c r="FN251" s="15" t="inlineStr">
        <is>
          <t>San Alfonso 2141 (Ramón Subercaseaux 3060)</t>
        </is>
      </c>
      <c r="FO251" s="15" t="inlineStr">
        <is>
          <t>Estacion Central</t>
        </is>
      </c>
      <c r="FP251" t="inlineStr">
        <is>
          <t>C</t>
        </is>
      </c>
      <c r="FS251" s="14" t="inlineStr">
        <is>
          <t>3063 / SFWZ-21|</t>
        </is>
      </c>
      <c r="FT251" t="inlineStr">
        <is>
          <t>SFWZ-21|</t>
        </is>
      </c>
      <c r="FU251" t="inlineStr">
        <is>
          <t>SFWZ-21</t>
        </is>
      </c>
      <c r="FV251">
        <f>VLOOKUP(FU251,FD:FL,9,0)</f>
        <v/>
      </c>
      <c r="FZ251" s="51" t="inlineStr">
        <is>
          <t>B18e</t>
        </is>
      </c>
      <c r="GA251" s="117" t="n">
        <v>0</v>
      </c>
      <c r="GB251" s="117" t="n">
        <v>0</v>
      </c>
      <c r="GC251" s="117" t="n">
        <v>0</v>
      </c>
      <c r="GD251" s="117" t="n">
        <v>0</v>
      </c>
      <c r="GE251" s="117" t="n">
        <v>0</v>
      </c>
      <c r="GF251" s="117" t="n">
        <v>35.285</v>
      </c>
      <c r="GG251" s="117" t="n">
        <v>30.125</v>
      </c>
      <c r="GH251" s="117" t="n">
        <v>23.92</v>
      </c>
      <c r="GI251" s="117" t="n">
        <v>24.275</v>
      </c>
      <c r="GJ251" s="117" t="n">
        <v>24.625</v>
      </c>
      <c r="GK251" s="117" t="n">
        <v>24.53</v>
      </c>
      <c r="GL251" s="117" t="n">
        <v>22.665</v>
      </c>
      <c r="GM251" s="117" t="n">
        <v>21.595</v>
      </c>
      <c r="GN251" s="117" t="n">
        <v>19.325</v>
      </c>
      <c r="GO251" s="117" t="n">
        <v>19.02</v>
      </c>
      <c r="GP251" s="117" t="n">
        <v>19.8</v>
      </c>
      <c r="GQ251" s="117" t="n">
        <v>20.435</v>
      </c>
      <c r="GR251" s="117" t="n">
        <v>19.735</v>
      </c>
      <c r="GS251" s="117" t="n">
        <v>20.525</v>
      </c>
      <c r="GT251" s="117" t="n">
        <v>20.985</v>
      </c>
      <c r="GU251" s="117" t="n">
        <v>21.265</v>
      </c>
      <c r="GV251" s="117" t="n">
        <v>22.955</v>
      </c>
      <c r="GW251" s="117" t="n">
        <v>25.105</v>
      </c>
      <c r="GX251" s="117" t="n">
        <v>0</v>
      </c>
      <c r="HA251" s="35" t="n">
        <v>21</v>
      </c>
      <c r="HB251" s="35" t="n">
        <v>245</v>
      </c>
    </row>
    <row r="252" ht="15.5" customHeight="1">
      <c r="A252" s="10">
        <f>HOUR(G252)+1</f>
        <v/>
      </c>
      <c r="B252" s="7" t="n"/>
      <c r="C252" s="7" t="n"/>
      <c r="D252" s="85">
        <f>IFERROR(
IF(AND(OR(Planilla!B252="C",Planilla!B252="c"), VLOOKUP(E252,FD:FP,13,0)="C"), "OK",IF(AND(OR(Planilla!B252="C",Planilla!B252="c"), OR(VLOOKUP(E252,FD:FP,13,0)="B", VLOOKUP(E252,FD:FP,13,0)="A")), "DEFICIT",IF(
AND(OR(Planilla!B252="B", Planilla!B252="BPAL"), VLOOKUP(E252,FD:FP,13,0)="B"), "OK",IF(AND(OR(Planilla!B252="B", Planilla!B252="BPAL"), VLOOKUP(E252,FD:FP,13,0)="A"), "DEFICIT",IF(AND(OR(Planilla!B252="B", Planilla!B252="BPAL"), VLOOKUP(E252,FD:FP,13,0)="C"), "SOBREOFERTA",IF(AND(Planilla!B252="A", VLOOKUP(E252,FD:FP,13,0)="A"), "OK",IF(
AND(Planilla!B252="A", OR(VLOOKUP(E252,FD:FP,13,0)="B", VLOOKUP(E252,FD:FP,13,0)="C")), "SOBREOFERTA",""
))))))),"")</f>
        <v/>
      </c>
      <c r="E252" s="8" t="n"/>
      <c r="F252" s="86" t="n"/>
      <c r="G252" s="87" t="n"/>
      <c r="H252" s="88">
        <f>IF(I252="","",IF(AND((I252-G252)&gt;=TIME(0,0,0),(I252-G252)&lt;TIME(0,3,0)),"OK",IF(AND((I252-G252)&gt;=TIME(0,3,0),(I252-G252)&lt;TIME(0,5,0)),"RETRASO DE 3-5 MIN",IF(AND((I252-G252)&gt;=TIME(0,5,0),(I252-G252)&lt;TIME(0,10,0)),"RETRASO DE 5-10 MIN",IF((I252-G252)&gt;=TIME(0,10,0),"RETRASO &gt;10 MIN", IF(AND((G252-I252)&gt;=TIME(0,0,0),(G252-I252)&lt;TIME(0,3,0)),"OK",IF((G252-I252)&gt;=TIME(0,3,0),"ADELANTADO")))))))</f>
        <v/>
      </c>
      <c r="I252" s="89" t="n"/>
      <c r="J252" s="89">
        <f>IF(A252&lt;&gt;"",HLOOKUP(VALUE(TEXT(G252,"h:mm:ss")),IF($C$6="Laboral",$FZ$4:$GX$227,IF($C$6="Sábado",$FZ$231:$GX$452,$FZ$456:$GX$656)),VLOOKUP($C$4,$HF$2:$HH$99,3,0)+IF(C$5="Ida",0,1),1),"")</f>
        <v/>
      </c>
      <c r="K252" s="89">
        <f>IF(A253&lt;&gt;A252,AVERAGEIF(A$9:A252,A252,J$9:J252),"")</f>
        <v/>
      </c>
      <c r="L252" s="89">
        <f>IFERROR(IF(A253&lt;&gt;A252,AVERAGEIF(A$9:A252,A252,S$9:S252),""),"")</f>
        <v/>
      </c>
      <c r="M252" s="89">
        <f>IFERROR(IF(A253&lt;&gt;A252,AVERAGEIF(A$9:A252,A252,T$9:T252),""),"")</f>
        <v/>
      </c>
      <c r="N252" s="89">
        <f t="array" ref="N252">IFERROR(IF(A253&lt;&gt;A252,_xlfn.STDEV.P(IF(A$9:A252=A252,T$9:T252)),""),"")</f>
        <v/>
      </c>
      <c r="O252" s="89">
        <f t="array" ref="O252">IFERROR(IF(A253&lt;&gt;A252,_xlfn.STDEV.P(IF(A$9:A252=A252,S$9:S252)),""),"")</f>
        <v/>
      </c>
      <c r="P252" s="90">
        <f>IFERROR(IF(A252&lt;&gt;A253,MAX((((M252*24*60)/2)*(1+POWER((((N252*24*60) / (M252*24*60) )),2))) + ((M252*24*60 )*-0.1 + (K252*0.015)) +1,(((M252*24*60)/2)*(1+POWER((((N252*24*60) / (M252*24*60 ))),2)))),""),"")</f>
        <v/>
      </c>
      <c r="Q252" s="90">
        <f>IF(AND(O252&lt;&gt;"",L252&lt;&gt;""),IF(A252&lt;&gt;A253,((L252*24*60) / 2 ) * (1 + POWER(((O252*24*60) / (L252*24*60)),2)),""),"")</f>
        <v/>
      </c>
      <c r="R252" s="90">
        <f>IF(Q252&lt;&gt;"",MAX(P252,Q252),"")</f>
        <v/>
      </c>
      <c r="S252" s="89">
        <f>IF(I252&lt;&gt;"H. Sale Real",IF(AND(I253&lt;&gt;"",LEFT(C253,2)&lt;&gt;"Va"),IF(AND(I252&lt;&gt;"",LEFT(C252,2)&lt;&gt;"Va",I252&lt;&gt;"H. Sale Real"),IF(I253-I252&lt;0.208333333333333,I253-I252,""),IF(AND(I251&lt;&gt;"",LEFT(C251,2)&lt;&gt;"Va",I251&lt;&gt;"H. Sale Real"),IF(I253-I251&lt;0.208333333333333,I253-I251,""),IF(AND(I250&lt;&gt;"",LEFT(C250,2)&lt;&gt;"Va",I250&lt;&gt;"H. Sale Real"),IF(I253-I250&lt;0.208333333333333,I253-I250,""),IF(AND(I249&lt;&gt;"",LEFT(C249,2)&lt;&gt;"Va",I249&lt;&gt;"H. Sale Real"),IF(I253-I249&lt;0.208333333333333,I253-I249,""),IF(AND(I248&lt;&gt;"",LEFT(C248,2)&lt;&gt;"Va",I248&lt;&gt;"H. Sale Real"),IF(I253-I248&lt;0.208333333333333,I253-I248,""),""))))),""),"")</f>
        <v/>
      </c>
      <c r="T252" s="89">
        <f>IF(G252&lt;&gt;"H. Sale Real",IF(AND(G253&lt;&gt;"",LEFT(C253,2)&lt;&gt;"Va"),IF(AND(G252&lt;&gt;"",LEFT(C252,2)&lt;&gt;"Va",G252&lt;&gt;"H. Sale Real"),IF(G253-G252&lt;0.208333333333333,G253-G252,""),IF(AND(G251&lt;&gt;"",LEFT(C251,2)&lt;&gt;"Va",G251&lt;&gt;"H. Sale Real"),IF(G253-G251&lt;0.208333333333333,G253-G251,""),IF(AND(G250&lt;&gt;"",LEFT(C250,2)&lt;&gt;"Va",G250&lt;&gt;"H. Sale Real"),IF(G253-G250&lt;0.208333333333333,G253-G250,""),IF(AND(G249&lt;&gt;"",LEFT(C249,2)&lt;&gt;"Va",G249&lt;&gt;"H. Sale Real"),IF(G253-G249&lt;0.208333333333333,G253-G249,""),IF(AND(G248&lt;&gt;"",LEFT(C248,2)&lt;&gt;"Va",G248&lt;&gt;"H. Sale Real"),IF(G253-G248&lt;0.208333333333333,G253-G248,""),""))))),""),"")</f>
        <v/>
      </c>
      <c r="U252" s="87" t="n"/>
      <c r="V252" s="89" t="n"/>
      <c r="W252" s="87" t="n"/>
      <c r="X252" s="89" t="n"/>
      <c r="Y252" s="91" t="n"/>
      <c r="Z252" s="122">
        <f>IF(G252&lt;&gt;"",IF(AND(Z251&lt;&gt;"IE",P252&lt;&gt;0,R252&lt;&gt;""),IF(IFERROR((P252/R252),0) &lt;=1,IFERROR(P252/R252,""),1),""),"")</f>
        <v/>
      </c>
      <c r="AA252" s="93" t="n"/>
      <c r="AB252" s="2" t="n"/>
      <c r="AE252" s="10">
        <f>HOUR(AK252)+1</f>
        <v/>
      </c>
      <c r="AF252" s="7" t="n"/>
      <c r="AG252" s="7" t="n"/>
      <c r="AH252" s="86" t="n"/>
      <c r="AI252" s="8" t="n"/>
      <c r="AJ252" s="86" t="n"/>
      <c r="AK252" s="87" t="n"/>
      <c r="AL252" s="88">
        <f>IF(AM252="","",IF(AND((AM252-AK252)&gt;=TIME(0,0,0),(AM252-AK252)&lt;TIME(0,3,0)),"OK",IF(AND((AM252-AK252)&gt;=TIME(0,3,0),(AM252-AK252)&lt;TIME(0,5,0)),"RETRASO DE 3-5 MIN",IF(AND((AM252-AK252)&gt;=TIME(0,5,0),(AM252-AK252)&lt;TIME(0,10,0)),"RETRASO DE 5-10 MIN",IF((AM252-AK252)&gt;=TIME(0,10,0),"RETRASO &gt;10 MIN", IF(AND((AK252-AM252)&gt;=TIME(0,0,0),(AK252-AM252)&lt;TIME(0,3,0)),"OK",IF((AK252-AM252)&gt;=TIME(0,3,0),"ADELANTADO")))))))</f>
        <v/>
      </c>
      <c r="AM252" s="91" t="n"/>
      <c r="AN252" s="89">
        <f>IF(AE252&lt;&gt;"",HLOOKUP(VALUE(TEXT(AK252,"h:mm:ss")),IF($C$6="Laboral",$FZ$4:$GX$227,IF($C$6="Sábado",$FZ$231:$GX$452,$FZ$456:$GX$656)),VLOOKUP($C$4,$HF$2:$HH$99,3,0)+IF(AG$5="Ida",0,1),1),"")</f>
        <v/>
      </c>
      <c r="AO252" s="89">
        <f>IF(AE253&lt;&gt;AE252,AVERAGEIF(AE$9:AE252,AE252,AN$9:AN252),"")</f>
        <v/>
      </c>
      <c r="AP252" s="89">
        <f>IFERROR(IF(AE253&lt;&gt;AE252,AVERAGEIF(AE$9:AE252,AE252,AW$9:AW252),""),"")</f>
        <v/>
      </c>
      <c r="AQ252" s="89">
        <f>IFERROR(IF(AE253&lt;&gt;AE252,AVERAGEIF(AE$9:AE252,AE252,AX$9:AX252),""),"")</f>
        <v/>
      </c>
      <c r="AR252" s="89">
        <f t="array" ref="AR252">IFERROR(IF(AE253&lt;&gt;AE252,_xlfn.STDEV.P(IF(AE$9:AE252=AE252,AX$9:AX252)),""),"")</f>
        <v/>
      </c>
      <c r="AS252" s="89">
        <f t="array" ref="AS252">IFERROR(IF(AE253&lt;&gt;AE252,_xlfn.STDEV.P(IF(AE$9:AE252=AE252,AW$9:AW252)),""),"")</f>
        <v/>
      </c>
      <c r="AT252" s="90">
        <f>IFERROR(IF(AE252&lt;&gt;AE253,MAX((((AQ252*24*60)/2)*(1+POWER((((AR252*24*60) / (AQ252*24*60) )),2))) + ((AQ252*24*60 )*-0.1 + (AO252*0.015)) +1,(((AQ252*24*60)/2)*(1+POWER((((AR252*24*60) / (AQ252*24*60 ))),2)))),""),"")</f>
        <v/>
      </c>
      <c r="AU252" s="90">
        <f>IF(AND(AS252&lt;&gt;"",AP252&lt;&gt;""),IF(AE252&lt;&gt;AE253,((AP252*24*60) / 2 ) * (1 + POWER(((AS252*24*60) / (AP252*24*60)),2)),""),"")</f>
        <v/>
      </c>
      <c r="AV252" s="90">
        <f>IF(AU252&lt;&gt;"",MAX(AT252,AU252),"")</f>
        <v/>
      </c>
      <c r="AW252" s="89">
        <f>IF(AM252&lt;&gt;"H. Sale Real",IF(AND(AM253&lt;&gt;"",LEFT(AG253,2)&lt;&gt;"Va"),IF(AND(AM252&lt;&gt;"",LEFT(AG252,2)&lt;&gt;"Va",AM252&lt;&gt;"H. Sale Real"),IF(AM253-AM252&lt;0.208333333333333,AM253-AM252,""),IF(AND(AM251&lt;&gt;"",LEFT(AG251,2)&lt;&gt;"Va",AM251&lt;&gt;"H. Sale Real"),IF(AM253-AM251&lt;0.208333333333333,AM253-AM251,""),IF(AND(AM250&lt;&gt;"",LEFT(AG250,2)&lt;&gt;"Va",AM250&lt;&gt;"H. Sale Real"),IF(AM253-AM250&lt;0.208333333333333,AM253-AM250,""),IF(AND(AM249&lt;&gt;"",LEFT(AG249,2)&lt;&gt;"Va",AM249&lt;&gt;"H. Sale Real"),IF(AM253-AM249&lt;0.208333333333333,AM253-AM249,""),IF(AND(AM248&lt;&gt;"",LEFT(AG248,2)&lt;&gt;"Va",AM248&lt;&gt;"H. Sale Real"),IF(AM253-AM248&lt;0.208333333333333,AM253-AM248,""),""))))),""),"")</f>
        <v/>
      </c>
      <c r="AX252" s="89">
        <f>IF(AK252&lt;&gt;"H. Sale Real",IF(AND(AK253&lt;&gt;"",LEFT(AG253,2)&lt;&gt;"Va"),IF(AND(AK252&lt;&gt;"",LEFT(AG252,2)&lt;&gt;"Va",AK252&lt;&gt;"H. Sale Real"),IF(AK253-AK252&lt;0.208333333333333,AK253-AK252,""),IF(AND(AK251&lt;&gt;"",LEFT(AG251,2)&lt;&gt;"Va",AK251&lt;&gt;"H. Sale Real"),IF(AK253-AK251&lt;0.208333333333333,AK253-AK251,""),IF(AND(AK250&lt;&gt;"",LEFT(AG250,2)&lt;&gt;"NC",AK250&lt;&gt;"H. Sale Real"),IF(AK253-AK250&lt;0.208333333333333,AK253-AK250,""),IF(AND(AK249&lt;&gt;"",LEFT(AG249,2)&lt;&gt;"Va",AK249&lt;&gt;"H. Sale Real"),IF(AK253-AK249&lt;0.208333333333333,AK253-AK249,""),IF(AND(AK248&lt;&gt;"",LEFT(AG248,2)&lt;&gt;"Va",AK248&lt;&gt;"H. Sale Real"),IF(AK253-AK248&lt;0.208333333333333,AK253-AK248,""),""))))),""),"")</f>
        <v/>
      </c>
      <c r="AY252" s="87" t="n"/>
      <c r="AZ252" s="89" t="n"/>
      <c r="BA252" s="87" t="n"/>
      <c r="BB252" s="89" t="n"/>
      <c r="BC252" s="91" t="n"/>
      <c r="BD252" s="122">
        <f>IF(AK252&lt;&gt;"",IF(AND(BD251&lt;&gt;"IE",AT252&lt;&gt;0,AV252&lt;&gt;""),IF(IFERROR((AT252/AV252),0) &lt;=1,IFERROR(AT252/AV252,""),1),""),"")</f>
        <v/>
      </c>
      <c r="BE252" s="93" t="n"/>
      <c r="BF252" s="105" t="n"/>
      <c r="FC252" t="inlineStr">
        <is>
          <t>Diccionario 1</t>
        </is>
      </c>
      <c r="FD252" s="15" t="n">
        <v>1251</v>
      </c>
      <c r="FE252" s="15" t="inlineStr">
        <is>
          <t>MDN35025020059</t>
        </is>
      </c>
      <c r="FF252" s="15" t="inlineStr">
        <is>
          <t>LDYECS312S0043986</t>
        </is>
      </c>
      <c r="FG252" s="15" t="inlineStr">
        <is>
          <t>Zhong Tong</t>
        </is>
      </c>
      <c r="FH252" s="15" t="inlineStr">
        <is>
          <t>Lck6122evg</t>
        </is>
      </c>
      <c r="FI252" s="15" t="inlineStr">
        <is>
          <t>ZHONGTONG</t>
        </is>
      </c>
      <c r="FJ252" s="15" t="inlineStr">
        <is>
          <t>LCK6122EVG</t>
        </is>
      </c>
      <c r="FK252" s="15" t="n">
        <v>2025</v>
      </c>
      <c r="FL252" s="15" t="inlineStr">
        <is>
          <t>B</t>
        </is>
      </c>
      <c r="FM252" s="15" t="inlineStr">
        <is>
          <t>CERRILLOS</t>
        </is>
      </c>
      <c r="FN252" s="15" t="inlineStr">
        <is>
          <t>Calle Uno 7371</t>
        </is>
      </c>
      <c r="FO252" s="15" t="inlineStr">
        <is>
          <t>Cerrillos</t>
        </is>
      </c>
      <c r="FP252" t="inlineStr">
        <is>
          <t>B</t>
        </is>
      </c>
      <c r="FS252" s="14" t="inlineStr">
        <is>
          <t>3063 / SFWZ-21|</t>
        </is>
      </c>
      <c r="FT252" t="inlineStr">
        <is>
          <t>SFWZ-21|</t>
        </is>
      </c>
      <c r="FU252" t="inlineStr">
        <is>
          <t>SFWZ-21</t>
        </is>
      </c>
      <c r="FV252">
        <f>VLOOKUP(FU252,FD:FL,9,0)</f>
        <v/>
      </c>
      <c r="FZ252" s="51" t="inlineStr">
        <is>
          <t>B20</t>
        </is>
      </c>
      <c r="GA252" s="117" t="n">
        <v>0</v>
      </c>
      <c r="GB252" s="117" t="n">
        <v>0</v>
      </c>
      <c r="GC252" s="117" t="n">
        <v>0</v>
      </c>
      <c r="GD252" s="117" t="n">
        <v>0</v>
      </c>
      <c r="GE252" s="117" t="n">
        <v>0</v>
      </c>
      <c r="GF252" s="117" t="n">
        <v>11.015</v>
      </c>
      <c r="GG252" s="117" t="n">
        <v>21.78</v>
      </c>
      <c r="GH252" s="117" t="n">
        <v>21.265</v>
      </c>
      <c r="GI252" s="117" t="n">
        <v>20.675</v>
      </c>
      <c r="GJ252" s="117" t="n">
        <v>19.385</v>
      </c>
      <c r="GK252" s="117" t="n">
        <v>17.935</v>
      </c>
      <c r="GL252" s="117" t="n">
        <v>17.21</v>
      </c>
      <c r="GM252" s="117" t="n">
        <v>17.035</v>
      </c>
      <c r="GN252" s="117" t="n">
        <v>17.48</v>
      </c>
      <c r="GO252" s="117" t="n">
        <v>18.105</v>
      </c>
      <c r="GP252" s="117" t="n">
        <v>18.61</v>
      </c>
      <c r="GQ252" s="117" t="n">
        <v>18.42</v>
      </c>
      <c r="GR252" s="117" t="n">
        <v>18.655</v>
      </c>
      <c r="GS252" s="117" t="n">
        <v>18.61</v>
      </c>
      <c r="GT252" s="117" t="n">
        <v>19.48</v>
      </c>
      <c r="GU252" s="117" t="n">
        <v>20.8</v>
      </c>
      <c r="GV252" s="117" t="n">
        <v>22.885</v>
      </c>
      <c r="GW252" s="117" t="n">
        <v>24.395</v>
      </c>
      <c r="GX252" s="117" t="n">
        <v>0</v>
      </c>
      <c r="HA252" s="35" t="n">
        <v>22</v>
      </c>
      <c r="HB252" s="35" t="n">
        <v>246</v>
      </c>
    </row>
    <row r="253" ht="15.5" customHeight="1">
      <c r="A253" s="10">
        <f>HOUR(G253)+1</f>
        <v/>
      </c>
      <c r="B253" s="7" t="n"/>
      <c r="C253" s="7" t="n"/>
      <c r="D253" s="85">
        <f>IFERROR(
IF(AND(OR(Planilla!B253="C",Planilla!B253="c"), VLOOKUP(E253,FD:FP,13,0)="C"), "OK",IF(AND(OR(Planilla!B253="C",Planilla!B253="c"), OR(VLOOKUP(E253,FD:FP,13,0)="B", VLOOKUP(E253,FD:FP,13,0)="A")), "DEFICIT",IF(
AND(OR(Planilla!B253="B", Planilla!B253="BPAL"), VLOOKUP(E253,FD:FP,13,0)="B"), "OK",IF(AND(OR(Planilla!B253="B", Planilla!B253="BPAL"), VLOOKUP(E253,FD:FP,13,0)="A"), "DEFICIT",IF(AND(OR(Planilla!B253="B", Planilla!B253="BPAL"), VLOOKUP(E253,FD:FP,13,0)="C"), "SOBREOFERTA",IF(AND(Planilla!B253="A", VLOOKUP(E253,FD:FP,13,0)="A"), "OK",IF(
AND(Planilla!B253="A", OR(VLOOKUP(E253,FD:FP,13,0)="B", VLOOKUP(E253,FD:FP,13,0)="C")), "SOBREOFERTA",""
))))))),"")</f>
        <v/>
      </c>
      <c r="E253" s="8" t="n"/>
      <c r="F253" s="86" t="n"/>
      <c r="G253" s="87" t="n"/>
      <c r="H253" s="88">
        <f>IF(I253="","",IF(AND((I253-G253)&gt;=TIME(0,0,0),(I253-G253)&lt;TIME(0,3,0)),"OK",IF(AND((I253-G253)&gt;=TIME(0,3,0),(I253-G253)&lt;TIME(0,5,0)),"RETRASO DE 3-5 MIN",IF(AND((I253-G253)&gt;=TIME(0,5,0),(I253-G253)&lt;TIME(0,10,0)),"RETRASO DE 5-10 MIN",IF((I253-G253)&gt;=TIME(0,10,0),"RETRASO &gt;10 MIN", IF(AND((G253-I253)&gt;=TIME(0,0,0),(G253-I253)&lt;TIME(0,3,0)),"OK",IF((G253-I253)&gt;=TIME(0,3,0),"ADELANTADO")))))))</f>
        <v/>
      </c>
      <c r="I253" s="89" t="n"/>
      <c r="J253" s="89">
        <f>IF(A253&lt;&gt;"",HLOOKUP(VALUE(TEXT(G253,"h:mm:ss")),IF($C$6="Laboral",$FZ$4:$GX$227,IF($C$6="Sábado",$FZ$231:$GX$452,$FZ$456:$GX$656)),VLOOKUP($C$4,$HF$2:$HH$99,3,0)+IF(C$5="Ida",0,1),1),"")</f>
        <v/>
      </c>
      <c r="K253" s="89">
        <f>IF(A254&lt;&gt;A253,AVERAGEIF(A$9:A253,A253,J$9:J253),"")</f>
        <v/>
      </c>
      <c r="L253" s="89">
        <f>IFERROR(IF(A254&lt;&gt;A253,AVERAGEIF(A$9:A253,A253,S$9:S253),""),"")</f>
        <v/>
      </c>
      <c r="M253" s="89">
        <f>IFERROR(IF(A254&lt;&gt;A253,AVERAGEIF(A$9:A253,A253,T$9:T253),""),"")</f>
        <v/>
      </c>
      <c r="N253" s="89">
        <f t="array" ref="N253">IFERROR(IF(A254&lt;&gt;A253,_xlfn.STDEV.P(IF(A$9:A253=A253,T$9:T253)),""),"")</f>
        <v/>
      </c>
      <c r="O253" s="89">
        <f t="array" ref="O253">IFERROR(IF(A254&lt;&gt;A253,_xlfn.STDEV.P(IF(A$9:A253=A253,S$9:S253)),""),"")</f>
        <v/>
      </c>
      <c r="P253" s="90">
        <f>IFERROR(IF(A253&lt;&gt;A254,MAX((((M253*24*60)/2)*(1+POWER((((N253*24*60) / (M253*24*60) )),2))) + ((M253*24*60 )*-0.1 + (K253*0.015)) +1,(((M253*24*60)/2)*(1+POWER((((N253*24*60) / (M253*24*60 ))),2)))),""),"")</f>
        <v/>
      </c>
      <c r="Q253" s="90">
        <f>IF(AND(O253&lt;&gt;"",L253&lt;&gt;""),IF(A253&lt;&gt;A254,((L253*24*60) / 2 ) * (1 + POWER(((O253*24*60) / (L253*24*60)),2)),""),"")</f>
        <v/>
      </c>
      <c r="R253" s="90">
        <f>IF(Q253&lt;&gt;"",MAX(P253,Q253),"")</f>
        <v/>
      </c>
      <c r="S253" s="89">
        <f>IF(I253&lt;&gt;"H. Sale Real",IF(AND(I254&lt;&gt;"",LEFT(C254,2)&lt;&gt;"Va"),IF(AND(I253&lt;&gt;"",LEFT(C253,2)&lt;&gt;"Va",I253&lt;&gt;"H. Sale Real"),IF(I254-I253&lt;0.208333333333333,I254-I253,""),IF(AND(I252&lt;&gt;"",LEFT(C252,2)&lt;&gt;"Va",I252&lt;&gt;"H. Sale Real"),IF(I254-I252&lt;0.208333333333333,I254-I252,""),IF(AND(I251&lt;&gt;"",LEFT(C251,2)&lt;&gt;"Va",I251&lt;&gt;"H. Sale Real"),IF(I254-I251&lt;0.208333333333333,I254-I251,""),IF(AND(I250&lt;&gt;"",LEFT(C250,2)&lt;&gt;"Va",I250&lt;&gt;"H. Sale Real"),IF(I254-I250&lt;0.208333333333333,I254-I250,""),IF(AND(I249&lt;&gt;"",LEFT(C249,2)&lt;&gt;"Va",I249&lt;&gt;"H. Sale Real"),IF(I254-I249&lt;0.208333333333333,I254-I249,""),""))))),""),"")</f>
        <v/>
      </c>
      <c r="T253" s="89">
        <f>IF(G253&lt;&gt;"H. Sale Real",IF(AND(G254&lt;&gt;"",LEFT(C254,2)&lt;&gt;"Va"),IF(AND(G253&lt;&gt;"",LEFT(C253,2)&lt;&gt;"Va",G253&lt;&gt;"H. Sale Real"),IF(G254-G253&lt;0.208333333333333,G254-G253,""),IF(AND(G252&lt;&gt;"",LEFT(C252,2)&lt;&gt;"Va",G252&lt;&gt;"H. Sale Real"),IF(G254-G252&lt;0.208333333333333,G254-G252,""),IF(AND(G251&lt;&gt;"",LEFT(C251,2)&lt;&gt;"Va",G251&lt;&gt;"H. Sale Real"),IF(G254-G251&lt;0.208333333333333,G254-G251,""),IF(AND(G250&lt;&gt;"",LEFT(C250,2)&lt;&gt;"Va",G250&lt;&gt;"H. Sale Real"),IF(G254-G250&lt;0.208333333333333,G254-G250,""),IF(AND(G249&lt;&gt;"",LEFT(C249,2)&lt;&gt;"Va",G249&lt;&gt;"H. Sale Real"),IF(G254-G249&lt;0.208333333333333,G254-G249,""),""))))),""),"")</f>
        <v/>
      </c>
      <c r="U253" s="87" t="n"/>
      <c r="V253" s="89" t="n"/>
      <c r="W253" s="87" t="n"/>
      <c r="X253" s="89" t="n"/>
      <c r="Y253" s="91" t="n"/>
      <c r="Z253" s="122">
        <f>IF(G253&lt;&gt;"",IF(AND(Z252&lt;&gt;"IE",P253&lt;&gt;0,R253&lt;&gt;""),IF(IFERROR((P253/R253),0) &lt;=1,IFERROR(P253/R253,""),1),""),"")</f>
        <v/>
      </c>
      <c r="AA253" s="93" t="n"/>
      <c r="AB253" s="2" t="n"/>
      <c r="AE253" s="10">
        <f>HOUR(AK253)+1</f>
        <v/>
      </c>
      <c r="AF253" s="7" t="n"/>
      <c r="AG253" s="7" t="n"/>
      <c r="AH253" s="86" t="n"/>
      <c r="AI253" s="8" t="n"/>
      <c r="AJ253" s="86" t="n"/>
      <c r="AK253" s="87" t="n"/>
      <c r="AL253" s="88">
        <f>IF(AM253="","",IF(AND((AM253-AK253)&gt;=TIME(0,0,0),(AM253-AK253)&lt;TIME(0,3,0)),"OK",IF(AND((AM253-AK253)&gt;=TIME(0,3,0),(AM253-AK253)&lt;TIME(0,5,0)),"RETRASO DE 3-5 MIN",IF(AND((AM253-AK253)&gt;=TIME(0,5,0),(AM253-AK253)&lt;TIME(0,10,0)),"RETRASO DE 5-10 MIN",IF((AM253-AK253)&gt;=TIME(0,10,0),"RETRASO &gt;10 MIN", IF(AND((AK253-AM253)&gt;=TIME(0,0,0),(AK253-AM253)&lt;TIME(0,3,0)),"OK",IF((AK253-AM253)&gt;=TIME(0,3,0),"ADELANTADO")))))))</f>
        <v/>
      </c>
      <c r="AM253" s="91" t="n"/>
      <c r="AN253" s="89">
        <f>IF(AE253&lt;&gt;"",HLOOKUP(VALUE(TEXT(AK253,"h:mm:ss")),IF($C$6="Laboral",$FZ$4:$GX$227,IF($C$6="Sábado",$FZ$231:$GX$452,$FZ$456:$GX$656)),VLOOKUP($C$4,$HF$2:$HH$99,3,0)+IF(AG$5="Ida",0,1),1),"")</f>
        <v/>
      </c>
      <c r="AO253" s="89">
        <f>IF(AE254&lt;&gt;AE253,AVERAGEIF(AE$9:AE253,AE253,AN$9:AN253),"")</f>
        <v/>
      </c>
      <c r="AP253" s="89">
        <f>IFERROR(IF(AE254&lt;&gt;AE253,AVERAGEIF(AE$9:AE253,AE253,AW$9:AW253),""),"")</f>
        <v/>
      </c>
      <c r="AQ253" s="89">
        <f>IFERROR(IF(AE254&lt;&gt;AE253,AVERAGEIF(AE$9:AE253,AE253,AX$9:AX253),""),"")</f>
        <v/>
      </c>
      <c r="AR253" s="89">
        <f t="array" ref="AR253">IFERROR(IF(AE254&lt;&gt;AE253,_xlfn.STDEV.P(IF(AE$9:AE253=AE253,AX$9:AX253)),""),"")</f>
        <v/>
      </c>
      <c r="AS253" s="89">
        <f t="array" ref="AS253">IFERROR(IF(AE254&lt;&gt;AE253,_xlfn.STDEV.P(IF(AE$9:AE253=AE253,AW$9:AW253)),""),"")</f>
        <v/>
      </c>
      <c r="AT253" s="90">
        <f>IFERROR(IF(AE253&lt;&gt;AE254,MAX((((AQ253*24*60)/2)*(1+POWER((((AR253*24*60) / (AQ253*24*60) )),2))) + ((AQ253*24*60 )*-0.1 + (AO253*0.015)) +1,(((AQ253*24*60)/2)*(1+POWER((((AR253*24*60) / (AQ253*24*60 ))),2)))),""),"")</f>
        <v/>
      </c>
      <c r="AU253" s="90">
        <f>IF(AND(AS253&lt;&gt;"",AP253&lt;&gt;""),IF(AE253&lt;&gt;AE254,((AP253*24*60) / 2 ) * (1 + POWER(((AS253*24*60) / (AP253*24*60)),2)),""),"")</f>
        <v/>
      </c>
      <c r="AV253" s="90">
        <f>IF(AU253&lt;&gt;"",MAX(AT253,AU253),"")</f>
        <v/>
      </c>
      <c r="AW253" s="89">
        <f>IF(AM253&lt;&gt;"H. Sale Real",IF(AND(AM254&lt;&gt;"",LEFT(AG254,2)&lt;&gt;"Va"),IF(AND(AM253&lt;&gt;"",LEFT(AG253,2)&lt;&gt;"Va",AM253&lt;&gt;"H. Sale Real"),IF(AM254-AM253&lt;0.208333333333333,AM254-AM253,""),IF(AND(AM252&lt;&gt;"",LEFT(AG252,2)&lt;&gt;"Va",AM252&lt;&gt;"H. Sale Real"),IF(AM254-AM252&lt;0.208333333333333,AM254-AM252,""),IF(AND(AM251&lt;&gt;"",LEFT(AG251,2)&lt;&gt;"Va",AM251&lt;&gt;"H. Sale Real"),IF(AM254-AM251&lt;0.208333333333333,AM254-AM251,""),IF(AND(AM250&lt;&gt;"",LEFT(AG250,2)&lt;&gt;"Va",AM250&lt;&gt;"H. Sale Real"),IF(AM254-AM250&lt;0.208333333333333,AM254-AM250,""),IF(AND(AM249&lt;&gt;"",LEFT(AG249,2)&lt;&gt;"Va",AM249&lt;&gt;"H. Sale Real"),IF(AM254-AM249&lt;0.208333333333333,AM254-AM249,""),""))))),""),"")</f>
        <v/>
      </c>
      <c r="AX253" s="89">
        <f>IF(AK253&lt;&gt;"H. Sale Real",IF(AND(AK254&lt;&gt;"",LEFT(AG254,2)&lt;&gt;"Va"),IF(AND(AK253&lt;&gt;"",LEFT(AG253,2)&lt;&gt;"Va",AK253&lt;&gt;"H. Sale Real"),IF(AK254-AK253&lt;0.208333333333333,AK254-AK253,""),IF(AND(AK252&lt;&gt;"",LEFT(AG252,2)&lt;&gt;"Va",AK252&lt;&gt;"H. Sale Real"),IF(AK254-AK252&lt;0.208333333333333,AK254-AK252,""),IF(AND(AK251&lt;&gt;"",LEFT(AG251,2)&lt;&gt;"NC",AK251&lt;&gt;"H. Sale Real"),IF(AK254-AK251&lt;0.208333333333333,AK254-AK251,""),IF(AND(AK250&lt;&gt;"",LEFT(AG250,2)&lt;&gt;"Va",AK250&lt;&gt;"H. Sale Real"),IF(AK254-AK250&lt;0.208333333333333,AK254-AK250,""),IF(AND(AK249&lt;&gt;"",LEFT(AG249,2)&lt;&gt;"Va",AK249&lt;&gt;"H. Sale Real"),IF(AK254-AK249&lt;0.208333333333333,AK254-AK249,""),""))))),""),"")</f>
        <v/>
      </c>
      <c r="AY253" s="87" t="n"/>
      <c r="AZ253" s="89" t="n"/>
      <c r="BA253" s="87" t="n"/>
      <c r="BB253" s="89" t="n"/>
      <c r="BC253" s="91" t="n"/>
      <c r="BD253" s="122">
        <f>IF(AK253&lt;&gt;"",IF(AND(BD252&lt;&gt;"IE",AT253&lt;&gt;0,AV253&lt;&gt;""),IF(IFERROR((AT253/AV253),0) &lt;=1,IFERROR(AT253/AV253,""),1),""),"")</f>
        <v/>
      </c>
      <c r="BE253" s="93" t="n"/>
      <c r="BF253" s="105" t="n"/>
      <c r="FC253" t="inlineStr">
        <is>
          <t>Diccionario 1</t>
        </is>
      </c>
      <c r="FD253" s="15" t="n">
        <v>1252</v>
      </c>
      <c r="FE253" s="15" t="inlineStr">
        <is>
          <t>MDN35025020068</t>
        </is>
      </c>
      <c r="FF253" s="15" t="inlineStr">
        <is>
          <t>LDYECS318S0044009</t>
        </is>
      </c>
      <c r="FG253" s="15" t="inlineStr">
        <is>
          <t>Zhong Tong</t>
        </is>
      </c>
      <c r="FH253" s="15" t="inlineStr">
        <is>
          <t>Lck6122evg</t>
        </is>
      </c>
      <c r="FI253" s="15" t="inlineStr">
        <is>
          <t>ZHONGTONG</t>
        </is>
      </c>
      <c r="FJ253" s="15" t="inlineStr">
        <is>
          <t>LCK6122EVG</t>
        </is>
      </c>
      <c r="FK253" s="15" t="n">
        <v>2025</v>
      </c>
      <c r="FL253" s="15" t="inlineStr">
        <is>
          <t>B</t>
        </is>
      </c>
      <c r="FM253" s="15" t="inlineStr">
        <is>
          <t>PIE ANDINO</t>
        </is>
      </c>
      <c r="FN253" s="15" t="inlineStr">
        <is>
          <t>Pie Andino 31 (Pie Andino 383)</t>
        </is>
      </c>
      <c r="FO253" s="15" t="inlineStr">
        <is>
          <t>Puente Alto</t>
        </is>
      </c>
      <c r="FP253" t="inlineStr">
        <is>
          <t>B</t>
        </is>
      </c>
      <c r="FS253" s="14" t="inlineStr">
        <is>
          <t>3063 / SFWZ-21|</t>
        </is>
      </c>
      <c r="FT253" t="inlineStr">
        <is>
          <t>SFWZ-21|</t>
        </is>
      </c>
      <c r="FU253" t="inlineStr">
        <is>
          <t>SFWZ-21</t>
        </is>
      </c>
      <c r="FV253">
        <f>VLOOKUP(FU253,FD:FL,9,0)</f>
        <v/>
      </c>
      <c r="FZ253" s="51" t="n">
        <v>722</v>
      </c>
      <c r="GA253" s="117" t="n">
        <v>0</v>
      </c>
      <c r="GB253" s="117" t="n">
        <v>0</v>
      </c>
      <c r="GC253" s="117" t="n">
        <v>0</v>
      </c>
      <c r="GD253" s="117" t="n">
        <v>0</v>
      </c>
      <c r="GE253" s="117" t="n">
        <v>16.14</v>
      </c>
      <c r="GF253" s="117" t="n">
        <v>30.56</v>
      </c>
      <c r="GG253" s="117" t="n">
        <v>26.22</v>
      </c>
      <c r="GH253" s="117" t="n">
        <v>24.315</v>
      </c>
      <c r="GI253" s="117" t="n">
        <v>23.74</v>
      </c>
      <c r="GJ253" s="117" t="n">
        <v>22.875</v>
      </c>
      <c r="GK253" s="117" t="n">
        <v>22.255</v>
      </c>
      <c r="GL253" s="117" t="n">
        <v>21.925</v>
      </c>
      <c r="GM253" s="117" t="n">
        <v>21.095</v>
      </c>
      <c r="GN253" s="117" t="n">
        <v>20.225</v>
      </c>
      <c r="GO253" s="117" t="n">
        <v>20.795</v>
      </c>
      <c r="GP253" s="117" t="n">
        <v>21.15</v>
      </c>
      <c r="GQ253" s="117" t="n">
        <v>21.365</v>
      </c>
      <c r="GR253" s="117" t="n">
        <v>21.035</v>
      </c>
      <c r="GS253" s="117" t="n">
        <v>21.015</v>
      </c>
      <c r="GT253" s="117" t="n">
        <v>21.65</v>
      </c>
      <c r="GU253" s="117" t="n">
        <v>22.14</v>
      </c>
      <c r="GV253" s="117" t="n">
        <v>23.9</v>
      </c>
      <c r="GW253" s="117" t="n">
        <v>26.025</v>
      </c>
      <c r="GX253" s="117" t="n">
        <v>27.615</v>
      </c>
      <c r="HA253" s="35" t="n">
        <v>23</v>
      </c>
      <c r="HB253" s="35" t="n">
        <v>247</v>
      </c>
    </row>
    <row r="254" ht="15.5" customHeight="1">
      <c r="A254" s="10">
        <f>HOUR(G254)+1</f>
        <v/>
      </c>
      <c r="B254" s="7" t="n"/>
      <c r="C254" s="7" t="n"/>
      <c r="D254" s="85">
        <f>IFERROR(
IF(AND(OR(Planilla!B254="C",Planilla!B254="c"), VLOOKUP(E254,FD:FP,13,0)="C"), "OK",IF(AND(OR(Planilla!B254="C",Planilla!B254="c"), OR(VLOOKUP(E254,FD:FP,13,0)="B", VLOOKUP(E254,FD:FP,13,0)="A")), "DEFICIT",IF(
AND(OR(Planilla!B254="B", Planilla!B254="BPAL"), VLOOKUP(E254,FD:FP,13,0)="B"), "OK",IF(AND(OR(Planilla!B254="B", Planilla!B254="BPAL"), VLOOKUP(E254,FD:FP,13,0)="A"), "DEFICIT",IF(AND(OR(Planilla!B254="B", Planilla!B254="BPAL"), VLOOKUP(E254,FD:FP,13,0)="C"), "SOBREOFERTA",IF(AND(Planilla!B254="A", VLOOKUP(E254,FD:FP,13,0)="A"), "OK",IF(
AND(Planilla!B254="A", OR(VLOOKUP(E254,FD:FP,13,0)="B", VLOOKUP(E254,FD:FP,13,0)="C")), "SOBREOFERTA",""
))))))),"")</f>
        <v/>
      </c>
      <c r="E254" s="8" t="n"/>
      <c r="F254" s="86" t="n"/>
      <c r="G254" s="87" t="n"/>
      <c r="H254" s="88">
        <f>IF(I254="","",IF(AND((I254-G254)&gt;=TIME(0,0,0),(I254-G254)&lt;TIME(0,3,0)),"OK",IF(AND((I254-G254)&gt;=TIME(0,3,0),(I254-G254)&lt;TIME(0,5,0)),"RETRASO DE 3-5 MIN",IF(AND((I254-G254)&gt;=TIME(0,5,0),(I254-G254)&lt;TIME(0,10,0)),"RETRASO DE 5-10 MIN",IF((I254-G254)&gt;=TIME(0,10,0),"RETRASO &gt;10 MIN", IF(AND((G254-I254)&gt;=TIME(0,0,0),(G254-I254)&lt;TIME(0,3,0)),"OK",IF((G254-I254)&gt;=TIME(0,3,0),"ADELANTADO")))))))</f>
        <v/>
      </c>
      <c r="I254" s="89" t="n"/>
      <c r="J254" s="89">
        <f>IF(A254&lt;&gt;"",HLOOKUP(VALUE(TEXT(G254,"h:mm:ss")),IF($C$6="Laboral",$FZ$4:$GX$227,IF($C$6="Sábado",$FZ$231:$GX$452,$FZ$456:$GX$656)),VLOOKUP($C$4,$HF$2:$HH$99,3,0)+IF(C$5="Ida",0,1),1),"")</f>
        <v/>
      </c>
      <c r="K254" s="89">
        <f>IF(A255&lt;&gt;A254,AVERAGEIF(A$9:A254,A254,J$9:J254),"")</f>
        <v/>
      </c>
      <c r="L254" s="89">
        <f>IFERROR(IF(A255&lt;&gt;A254,AVERAGEIF(A$9:A254,A254,S$9:S254),""),"")</f>
        <v/>
      </c>
      <c r="M254" s="89">
        <f>IFERROR(IF(A255&lt;&gt;A254,AVERAGEIF(A$9:A254,A254,T$9:T254),""),"")</f>
        <v/>
      </c>
      <c r="N254" s="89">
        <f t="array" ref="N254">IFERROR(IF(A255&lt;&gt;A254,_xlfn.STDEV.P(IF(A$9:A254=A254,T$9:T254)),""),"")</f>
        <v/>
      </c>
      <c r="O254" s="89">
        <f t="array" ref="O254">IFERROR(IF(A255&lt;&gt;A254,_xlfn.STDEV.P(IF(A$9:A254=A254,S$9:S254)),""),"")</f>
        <v/>
      </c>
      <c r="P254" s="90">
        <f>IFERROR(IF(A254&lt;&gt;A255,MAX((((M254*24*60)/2)*(1+POWER((((N254*24*60) / (M254*24*60) )),2))) + ((M254*24*60 )*-0.1 + (K254*0.015)) +1,(((M254*24*60)/2)*(1+POWER((((N254*24*60) / (M254*24*60 ))),2)))),""),"")</f>
        <v/>
      </c>
      <c r="Q254" s="90">
        <f>IF(AND(O254&lt;&gt;"",L254&lt;&gt;""),IF(A254&lt;&gt;A255,((L254*24*60) / 2 ) * (1 + POWER(((O254*24*60) / (L254*24*60)),2)),""),"")</f>
        <v/>
      </c>
      <c r="R254" s="90">
        <f>IF(Q254&lt;&gt;"",MAX(P254,Q254),"")</f>
        <v/>
      </c>
      <c r="S254" s="89">
        <f>IF(I254&lt;&gt;"H. Sale Real",IF(AND(I255&lt;&gt;"",LEFT(C255,2)&lt;&gt;"Va"),IF(AND(I254&lt;&gt;"",LEFT(C254,2)&lt;&gt;"Va",I254&lt;&gt;"H. Sale Real"),IF(I255-I254&lt;0.208333333333333,I255-I254,""),IF(AND(I253&lt;&gt;"",LEFT(C253,2)&lt;&gt;"Va",I253&lt;&gt;"H. Sale Real"),IF(I255-I253&lt;0.208333333333333,I255-I253,""),IF(AND(I252&lt;&gt;"",LEFT(C252,2)&lt;&gt;"Va",I252&lt;&gt;"H. Sale Real"),IF(I255-I252&lt;0.208333333333333,I255-I252,""),IF(AND(I251&lt;&gt;"",LEFT(C251,2)&lt;&gt;"Va",I251&lt;&gt;"H. Sale Real"),IF(I255-I251&lt;0.208333333333333,I255-I251,""),IF(AND(I250&lt;&gt;"",LEFT(C250,2)&lt;&gt;"Va",I250&lt;&gt;"H. Sale Real"),IF(I255-I250&lt;0.208333333333333,I255-I250,""),""))))),""),"")</f>
        <v/>
      </c>
      <c r="T254" s="89">
        <f>IF(G254&lt;&gt;"H. Sale Real",IF(AND(G255&lt;&gt;"",LEFT(C255,2)&lt;&gt;"Va"),IF(AND(G254&lt;&gt;"",LEFT(C254,2)&lt;&gt;"Va",G254&lt;&gt;"H. Sale Real"),IF(G255-G254&lt;0.208333333333333,G255-G254,""),IF(AND(G253&lt;&gt;"",LEFT(C253,2)&lt;&gt;"Va",G253&lt;&gt;"H. Sale Real"),IF(G255-G253&lt;0.208333333333333,G255-G253,""),IF(AND(G252&lt;&gt;"",LEFT(C252,2)&lt;&gt;"Va",G252&lt;&gt;"H. Sale Real"),IF(G255-G252&lt;0.208333333333333,G255-G252,""),IF(AND(G251&lt;&gt;"",LEFT(C251,2)&lt;&gt;"Va",G251&lt;&gt;"H. Sale Real"),IF(G255-G251&lt;0.208333333333333,G255-G251,""),IF(AND(G250&lt;&gt;"",LEFT(C250,2)&lt;&gt;"Va",G250&lt;&gt;"H. Sale Real"),IF(G255-G250&lt;0.208333333333333,G255-G250,""),""))))),""),"")</f>
        <v/>
      </c>
      <c r="U254" s="87" t="n"/>
      <c r="V254" s="89" t="n"/>
      <c r="W254" s="87" t="n"/>
      <c r="X254" s="89" t="n"/>
      <c r="Y254" s="91" t="n"/>
      <c r="Z254" s="122">
        <f>IF(G254&lt;&gt;"",IF(AND(Z253&lt;&gt;"IE",P254&lt;&gt;0,R254&lt;&gt;""),IF(IFERROR((P254/R254),0) &lt;=1,IFERROR(P254/R254,""),1),""),"")</f>
        <v/>
      </c>
      <c r="AA254" s="93" t="n"/>
      <c r="AB254" s="2" t="n"/>
      <c r="AE254" s="10">
        <f>HOUR(AK254)+1</f>
        <v/>
      </c>
      <c r="AF254" s="7" t="n"/>
      <c r="AG254" s="7" t="n"/>
      <c r="AH254" s="86" t="n"/>
      <c r="AI254" s="8" t="n"/>
      <c r="AJ254" s="86" t="n"/>
      <c r="AK254" s="87" t="n"/>
      <c r="AL254" s="88">
        <f>IF(AM254="","",IF(AND((AM254-AK254)&gt;=TIME(0,0,0),(AM254-AK254)&lt;TIME(0,3,0)),"OK",IF(AND((AM254-AK254)&gt;=TIME(0,3,0),(AM254-AK254)&lt;TIME(0,5,0)),"RETRASO DE 3-5 MIN",IF(AND((AM254-AK254)&gt;=TIME(0,5,0),(AM254-AK254)&lt;TIME(0,10,0)),"RETRASO DE 5-10 MIN",IF((AM254-AK254)&gt;=TIME(0,10,0),"RETRASO &gt;10 MIN", IF(AND((AK254-AM254)&gt;=TIME(0,0,0),(AK254-AM254)&lt;TIME(0,3,0)),"OK",IF((AK254-AM254)&gt;=TIME(0,3,0),"ADELANTADO")))))))</f>
        <v/>
      </c>
      <c r="AM254" s="91" t="n"/>
      <c r="AN254" s="89">
        <f>IF(AE254&lt;&gt;"",HLOOKUP(VALUE(TEXT(AK254,"h:mm:ss")),IF($C$6="Laboral",$FZ$4:$GX$227,IF($C$6="Sábado",$FZ$231:$GX$452,$FZ$456:$GX$656)),VLOOKUP($C$4,$HF$2:$HH$99,3,0)+IF(AG$5="Ida",0,1),1),"")</f>
        <v/>
      </c>
      <c r="AO254" s="89">
        <f>IF(AE255&lt;&gt;AE254,AVERAGEIF(AE$9:AE254,AE254,AN$9:AN254),"")</f>
        <v/>
      </c>
      <c r="AP254" s="89">
        <f>IFERROR(IF(AE255&lt;&gt;AE254,AVERAGEIF(AE$9:AE254,AE254,AW$9:AW254),""),"")</f>
        <v/>
      </c>
      <c r="AQ254" s="89">
        <f>IFERROR(IF(AE255&lt;&gt;AE254,AVERAGEIF(AE$9:AE254,AE254,AX$9:AX254),""),"")</f>
        <v/>
      </c>
      <c r="AR254" s="89">
        <f t="array" ref="AR254">IFERROR(IF(AE255&lt;&gt;AE254,_xlfn.STDEV.P(IF(AE$9:AE254=AE254,AX$9:AX254)),""),"")</f>
        <v/>
      </c>
      <c r="AS254" s="89">
        <f t="array" ref="AS254">IFERROR(IF(AE255&lt;&gt;AE254,_xlfn.STDEV.P(IF(AE$9:AE254=AE254,AW$9:AW254)),""),"")</f>
        <v/>
      </c>
      <c r="AT254" s="90">
        <f>IFERROR(IF(AE254&lt;&gt;AE255,MAX((((AQ254*24*60)/2)*(1+POWER((((AR254*24*60) / (AQ254*24*60) )),2))) + ((AQ254*24*60 )*-0.1 + (AO254*0.015)) +1,(((AQ254*24*60)/2)*(1+POWER((((AR254*24*60) / (AQ254*24*60 ))),2)))),""),"")</f>
        <v/>
      </c>
      <c r="AU254" s="90">
        <f>IF(AND(AS254&lt;&gt;"",AP254&lt;&gt;""),IF(AE254&lt;&gt;AE255,((AP254*24*60) / 2 ) * (1 + POWER(((AS254*24*60) / (AP254*24*60)),2)),""),"")</f>
        <v/>
      </c>
      <c r="AV254" s="90">
        <f>IF(AU254&lt;&gt;"",MAX(AT254,AU254),"")</f>
        <v/>
      </c>
      <c r="AW254" s="89">
        <f>IF(AM254&lt;&gt;"H. Sale Real",IF(AND(AM255&lt;&gt;"",LEFT(AG255,2)&lt;&gt;"Va"),IF(AND(AM254&lt;&gt;"",LEFT(AG254,2)&lt;&gt;"Va",AM254&lt;&gt;"H. Sale Real"),IF(AM255-AM254&lt;0.208333333333333,AM255-AM254,""),IF(AND(AM253&lt;&gt;"",LEFT(AG253,2)&lt;&gt;"Va",AM253&lt;&gt;"H. Sale Real"),IF(AM255-AM253&lt;0.208333333333333,AM255-AM253,""),IF(AND(AM252&lt;&gt;"",LEFT(AG252,2)&lt;&gt;"Va",AM252&lt;&gt;"H. Sale Real"),IF(AM255-AM252&lt;0.208333333333333,AM255-AM252,""),IF(AND(AM251&lt;&gt;"",LEFT(AG251,2)&lt;&gt;"Va",AM251&lt;&gt;"H. Sale Real"),IF(AM255-AM251&lt;0.208333333333333,AM255-AM251,""),IF(AND(AM250&lt;&gt;"",LEFT(AG250,2)&lt;&gt;"Va",AM250&lt;&gt;"H. Sale Real"),IF(AM255-AM250&lt;0.208333333333333,AM255-AM250,""),""))))),""),"")</f>
        <v/>
      </c>
      <c r="AX254" s="89">
        <f>IF(AK254&lt;&gt;"H. Sale Real",IF(AND(AK255&lt;&gt;"",LEFT(AG255,2)&lt;&gt;"Va"),IF(AND(AK254&lt;&gt;"",LEFT(AG254,2)&lt;&gt;"Va",AK254&lt;&gt;"H. Sale Real"),IF(AK255-AK254&lt;0.208333333333333,AK255-AK254,""),IF(AND(AK253&lt;&gt;"",LEFT(AG253,2)&lt;&gt;"Va",AK253&lt;&gt;"H. Sale Real"),IF(AK255-AK253&lt;0.208333333333333,AK255-AK253,""),IF(AND(AK252&lt;&gt;"",LEFT(AG252,2)&lt;&gt;"NC",AK252&lt;&gt;"H. Sale Real"),IF(AK255-AK252&lt;0.208333333333333,AK255-AK252,""),IF(AND(AK251&lt;&gt;"",LEFT(AG251,2)&lt;&gt;"Va",AK251&lt;&gt;"H. Sale Real"),IF(AK255-AK251&lt;0.208333333333333,AK255-AK251,""),IF(AND(AK250&lt;&gt;"",LEFT(AG250,2)&lt;&gt;"Va",AK250&lt;&gt;"H. Sale Real"),IF(AK255-AK250&lt;0.208333333333333,AK255-AK250,""),""))))),""),"")</f>
        <v/>
      </c>
      <c r="AY254" s="87" t="n"/>
      <c r="AZ254" s="89" t="n"/>
      <c r="BA254" s="87" t="n"/>
      <c r="BB254" s="89" t="n"/>
      <c r="BC254" s="91" t="n"/>
      <c r="BD254" s="122">
        <f>IF(AK254&lt;&gt;"",IF(AND(BD253&lt;&gt;"IE",AT254&lt;&gt;0,AV254&lt;&gt;""),IF(IFERROR((AT254/AV254),0) &lt;=1,IFERROR(AT254/AV254,""),1),""),"")</f>
        <v/>
      </c>
      <c r="BE254" s="93" t="n"/>
      <c r="BF254" s="105" t="n"/>
      <c r="FC254" t="inlineStr">
        <is>
          <t>Diccionario 1</t>
        </is>
      </c>
      <c r="FD254" s="15" t="n">
        <v>1253</v>
      </c>
      <c r="FE254" s="15" t="inlineStr">
        <is>
          <t>MDN35025020104</t>
        </is>
      </c>
      <c r="FF254" s="15" t="inlineStr">
        <is>
          <t>LDYECS315S0044016</t>
        </is>
      </c>
      <c r="FG254" s="15" t="inlineStr">
        <is>
          <t>Zhong Tong</t>
        </is>
      </c>
      <c r="FH254" s="15" t="inlineStr">
        <is>
          <t>Lck6122evg</t>
        </is>
      </c>
      <c r="FI254" s="15" t="inlineStr">
        <is>
          <t>ZHONGTONG</t>
        </is>
      </c>
      <c r="FJ254" s="15" t="inlineStr">
        <is>
          <t>LCK6122EVG</t>
        </is>
      </c>
      <c r="FK254" s="15" t="n">
        <v>2025</v>
      </c>
      <c r="FL254" s="15" t="inlineStr">
        <is>
          <t>B</t>
        </is>
      </c>
      <c r="FM254" s="15" t="inlineStr">
        <is>
          <t>SAN ALFONSO</t>
        </is>
      </c>
      <c r="FN254" s="15" t="inlineStr">
        <is>
          <t>San Alfonso 2141 (Ramón Subercaseaux 3060)</t>
        </is>
      </c>
      <c r="FO254" s="15" t="inlineStr">
        <is>
          <t>Estacion Central</t>
        </is>
      </c>
      <c r="FP254" t="inlineStr">
        <is>
          <t>B</t>
        </is>
      </c>
      <c r="FS254" s="14" t="inlineStr">
        <is>
          <t>3063 / SFWZ-21|</t>
        </is>
      </c>
      <c r="FT254" t="inlineStr">
        <is>
          <t>SFWZ-21|</t>
        </is>
      </c>
      <c r="FU254" t="inlineStr">
        <is>
          <t>SFWZ-21</t>
        </is>
      </c>
      <c r="FV254">
        <f>VLOOKUP(FU254,FD:FL,9,0)</f>
        <v/>
      </c>
      <c r="FZ254" s="51" t="n">
        <v>722</v>
      </c>
      <c r="GA254" s="117" t="n">
        <v>29.945</v>
      </c>
      <c r="GB254" s="117" t="n">
        <v>15.28</v>
      </c>
      <c r="GC254" s="117" t="n">
        <v>0</v>
      </c>
      <c r="GD254" s="117" t="n">
        <v>0</v>
      </c>
      <c r="GE254" s="117" t="n">
        <v>0</v>
      </c>
      <c r="GF254" s="117" t="n">
        <v>16.345</v>
      </c>
      <c r="GG254" s="117" t="n">
        <v>30.245</v>
      </c>
      <c r="GH254" s="117" t="n">
        <v>26.45</v>
      </c>
      <c r="GI254" s="117" t="n">
        <v>24.675</v>
      </c>
      <c r="GJ254" s="117" t="n">
        <v>24.185</v>
      </c>
      <c r="GK254" s="117" t="n">
        <v>24.04</v>
      </c>
      <c r="GL254" s="117" t="n">
        <v>22.37</v>
      </c>
      <c r="GM254" s="117" t="n">
        <v>20.565</v>
      </c>
      <c r="GN254" s="117" t="n">
        <v>19.655</v>
      </c>
      <c r="GO254" s="117" t="n">
        <v>21.355</v>
      </c>
      <c r="GP254" s="117" t="n">
        <v>22.72</v>
      </c>
      <c r="GQ254" s="117" t="n">
        <v>21.9</v>
      </c>
      <c r="GR254" s="117" t="n">
        <v>21.955</v>
      </c>
      <c r="GS254" s="117" t="n">
        <v>22.045</v>
      </c>
      <c r="GT254" s="117" t="n">
        <v>22.29</v>
      </c>
      <c r="GU254" s="117" t="n">
        <v>23.125</v>
      </c>
      <c r="GV254" s="117" t="n">
        <v>24.755</v>
      </c>
      <c r="GW254" s="117" t="n">
        <v>27.525</v>
      </c>
      <c r="GX254" s="117" t="n">
        <v>29.4</v>
      </c>
      <c r="HA254" s="35" t="n">
        <v>24</v>
      </c>
      <c r="HB254" s="35" t="n">
        <v>248</v>
      </c>
    </row>
    <row r="255" ht="15.5" customHeight="1">
      <c r="A255" s="10">
        <f>HOUR(G255)+1</f>
        <v/>
      </c>
      <c r="B255" s="7" t="n"/>
      <c r="C255" s="7" t="n"/>
      <c r="D255" s="85">
        <f>IFERROR(
IF(AND(OR(Planilla!B255="C",Planilla!B255="c"), VLOOKUP(E255,FD:FP,13,0)="C"), "OK",IF(AND(OR(Planilla!B255="C",Planilla!B255="c"), OR(VLOOKUP(E255,FD:FP,13,0)="B", VLOOKUP(E255,FD:FP,13,0)="A")), "DEFICIT",IF(
AND(OR(Planilla!B255="B", Planilla!B255="BPAL"), VLOOKUP(E255,FD:FP,13,0)="B"), "OK",IF(AND(OR(Planilla!B255="B", Planilla!B255="BPAL"), VLOOKUP(E255,FD:FP,13,0)="A"), "DEFICIT",IF(AND(OR(Planilla!B255="B", Planilla!B255="BPAL"), VLOOKUP(E255,FD:FP,13,0)="C"), "SOBREOFERTA",IF(AND(Planilla!B255="A", VLOOKUP(E255,FD:FP,13,0)="A"), "OK",IF(
AND(Planilla!B255="A", OR(VLOOKUP(E255,FD:FP,13,0)="B", VLOOKUP(E255,FD:FP,13,0)="C")), "SOBREOFERTA",""
))))))),"")</f>
        <v/>
      </c>
      <c r="E255" s="8" t="n"/>
      <c r="F255" s="86" t="n"/>
      <c r="G255" s="87" t="n"/>
      <c r="H255" s="88">
        <f>IF(I255="","",IF(AND((I255-G255)&gt;=TIME(0,0,0),(I255-G255)&lt;TIME(0,3,0)),"OK",IF(AND((I255-G255)&gt;=TIME(0,3,0),(I255-G255)&lt;TIME(0,5,0)),"RETRASO DE 3-5 MIN",IF(AND((I255-G255)&gt;=TIME(0,5,0),(I255-G255)&lt;TIME(0,10,0)),"RETRASO DE 5-10 MIN",IF((I255-G255)&gt;=TIME(0,10,0),"RETRASO &gt;10 MIN", IF(AND((G255-I255)&gt;=TIME(0,0,0),(G255-I255)&lt;TIME(0,3,0)),"OK",IF((G255-I255)&gt;=TIME(0,3,0),"ADELANTADO")))))))</f>
        <v/>
      </c>
      <c r="I255" s="89" t="n"/>
      <c r="J255" s="89">
        <f>IF(A255&lt;&gt;"",HLOOKUP(VALUE(TEXT(G255,"h:mm:ss")),IF($C$6="Laboral",$FZ$4:$GX$227,IF($C$6="Sábado",$FZ$231:$GX$452,$FZ$456:$GX$656)),VLOOKUP($C$4,$HF$2:$HH$99,3,0)+IF(C$5="Ida",0,1),1),"")</f>
        <v/>
      </c>
      <c r="K255" s="89">
        <f>IF(A256&lt;&gt;A255,AVERAGEIF(A$9:A255,A255,J$9:J255),"")</f>
        <v/>
      </c>
      <c r="L255" s="89">
        <f>IFERROR(IF(A256&lt;&gt;A255,AVERAGEIF(A$9:A255,A255,S$9:S255),""),"")</f>
        <v/>
      </c>
      <c r="M255" s="89">
        <f>IFERROR(IF(A256&lt;&gt;A255,AVERAGEIF(A$9:A255,A255,T$9:T255),""),"")</f>
        <v/>
      </c>
      <c r="N255" s="89">
        <f t="array" ref="N255">IFERROR(IF(A256&lt;&gt;A255,_xlfn.STDEV.P(IF(A$9:A255=A255,T$9:T255)),""),"")</f>
        <v/>
      </c>
      <c r="O255" s="89">
        <f t="array" ref="O255">IFERROR(IF(A256&lt;&gt;A255,_xlfn.STDEV.P(IF(A$9:A255=A255,S$9:S255)),""),"")</f>
        <v/>
      </c>
      <c r="P255" s="90">
        <f>IFERROR(IF(A255&lt;&gt;A256,MAX((((M255*24*60)/2)*(1+POWER((((N255*24*60) / (M255*24*60) )),2))) + ((M255*24*60 )*-0.1 + (K255*0.015)) +1,(((M255*24*60)/2)*(1+POWER((((N255*24*60) / (M255*24*60 ))),2)))),""),"")</f>
        <v/>
      </c>
      <c r="Q255" s="90">
        <f>IF(AND(O255&lt;&gt;"",L255&lt;&gt;""),IF(A255&lt;&gt;A256,((L255*24*60) / 2 ) * (1 + POWER(((O255*24*60) / (L255*24*60)),2)),""),"")</f>
        <v/>
      </c>
      <c r="R255" s="90">
        <f>IF(Q255&lt;&gt;"",MAX(P255,Q255),"")</f>
        <v/>
      </c>
      <c r="S255" s="89">
        <f>IF(I255&lt;&gt;"H. Sale Real",IF(AND(I256&lt;&gt;"",LEFT(C256,2)&lt;&gt;"Va"),IF(AND(I255&lt;&gt;"",LEFT(C255,2)&lt;&gt;"Va",I255&lt;&gt;"H. Sale Real"),IF(I256-I255&lt;0.208333333333333,I256-I255,""),IF(AND(I254&lt;&gt;"",LEFT(C254,2)&lt;&gt;"Va",I254&lt;&gt;"H. Sale Real"),IF(I256-I254&lt;0.208333333333333,I256-I254,""),IF(AND(I253&lt;&gt;"",LEFT(C253,2)&lt;&gt;"Va",I253&lt;&gt;"H. Sale Real"),IF(I256-I253&lt;0.208333333333333,I256-I253,""),IF(AND(I252&lt;&gt;"",LEFT(C252,2)&lt;&gt;"Va",I252&lt;&gt;"H. Sale Real"),IF(I256-I252&lt;0.208333333333333,I256-I252,""),IF(AND(I251&lt;&gt;"",LEFT(C251,2)&lt;&gt;"Va",I251&lt;&gt;"H. Sale Real"),IF(I256-I251&lt;0.208333333333333,I256-I251,""),""))))),""),"")</f>
        <v/>
      </c>
      <c r="T255" s="89">
        <f>IF(G255&lt;&gt;"H. Sale Real",IF(AND(G256&lt;&gt;"",LEFT(C256,2)&lt;&gt;"Va"),IF(AND(G255&lt;&gt;"",LEFT(C255,2)&lt;&gt;"Va",G255&lt;&gt;"H. Sale Real"),IF(G256-G255&lt;0.208333333333333,G256-G255,""),IF(AND(G254&lt;&gt;"",LEFT(C254,2)&lt;&gt;"Va",G254&lt;&gt;"H. Sale Real"),IF(G256-G254&lt;0.208333333333333,G256-G254,""),IF(AND(G253&lt;&gt;"",LEFT(C253,2)&lt;&gt;"Va",G253&lt;&gt;"H. Sale Real"),IF(G256-G253&lt;0.208333333333333,G256-G253,""),IF(AND(G252&lt;&gt;"",LEFT(C252,2)&lt;&gt;"Va",G252&lt;&gt;"H. Sale Real"),IF(G256-G252&lt;0.208333333333333,G256-G252,""),IF(AND(G251&lt;&gt;"",LEFT(C251,2)&lt;&gt;"Va",G251&lt;&gt;"H. Sale Real"),IF(G256-G251&lt;0.208333333333333,G256-G251,""),""))))),""),"")</f>
        <v/>
      </c>
      <c r="U255" s="87" t="n"/>
      <c r="V255" s="89" t="n"/>
      <c r="W255" s="87" t="n"/>
      <c r="X255" s="89" t="n"/>
      <c r="Y255" s="91" t="n"/>
      <c r="Z255" s="122">
        <f>IF(G255&lt;&gt;"",IF(AND(Z254&lt;&gt;"IE",P255&lt;&gt;0,R255&lt;&gt;""),IF(IFERROR((P255/R255),0) &lt;=1,IFERROR(P255/R255,""),1),""),"")</f>
        <v/>
      </c>
      <c r="AA255" s="93" t="n"/>
      <c r="AB255" s="2" t="n"/>
      <c r="AE255" s="10">
        <f>HOUR(AK255)+1</f>
        <v/>
      </c>
      <c r="AF255" s="7" t="n"/>
      <c r="AG255" s="7" t="n"/>
      <c r="AH255" s="86" t="n"/>
      <c r="AI255" s="8" t="n"/>
      <c r="AJ255" s="86" t="n"/>
      <c r="AK255" s="87" t="n"/>
      <c r="AL255" s="88">
        <f>IF(AM255="","",IF(AND((AM255-AK255)&gt;=TIME(0,0,0),(AM255-AK255)&lt;TIME(0,3,0)),"OK",IF(AND((AM255-AK255)&gt;=TIME(0,3,0),(AM255-AK255)&lt;TIME(0,5,0)),"RETRASO DE 3-5 MIN",IF(AND((AM255-AK255)&gt;=TIME(0,5,0),(AM255-AK255)&lt;TIME(0,10,0)),"RETRASO DE 5-10 MIN",IF((AM255-AK255)&gt;=TIME(0,10,0),"RETRASO &gt;10 MIN", IF(AND((AK255-AM255)&gt;=TIME(0,0,0),(AK255-AM255)&lt;TIME(0,3,0)),"OK",IF((AK255-AM255)&gt;=TIME(0,3,0),"ADELANTADO")))))))</f>
        <v/>
      </c>
      <c r="AM255" s="91" t="n"/>
      <c r="AN255" s="89">
        <f>IF(AE255&lt;&gt;"",HLOOKUP(VALUE(TEXT(AK255,"h:mm:ss")),IF($C$6="Laboral",$FZ$4:$GX$227,IF($C$6="Sábado",$FZ$231:$GX$452,$FZ$456:$GX$656)),VLOOKUP($C$4,$HF$2:$HH$99,3,0)+IF(AG$5="Ida",0,1),1),"")</f>
        <v/>
      </c>
      <c r="AO255" s="89">
        <f>IF(AE256&lt;&gt;AE255,AVERAGEIF(AE$9:AE255,AE255,AN$9:AN255),"")</f>
        <v/>
      </c>
      <c r="AP255" s="89">
        <f>IFERROR(IF(AE256&lt;&gt;AE255,AVERAGEIF(AE$9:AE255,AE255,AW$9:AW255),""),"")</f>
        <v/>
      </c>
      <c r="AQ255" s="89">
        <f>IFERROR(IF(AE256&lt;&gt;AE255,AVERAGEIF(AE$9:AE255,AE255,AX$9:AX255),""),"")</f>
        <v/>
      </c>
      <c r="AR255" s="89">
        <f t="array" ref="AR255">IFERROR(IF(AE256&lt;&gt;AE255,_xlfn.STDEV.P(IF(AE$9:AE255=AE255,AX$9:AX255)),""),"")</f>
        <v/>
      </c>
      <c r="AS255" s="89">
        <f t="array" ref="AS255">IFERROR(IF(AE256&lt;&gt;AE255,_xlfn.STDEV.P(IF(AE$9:AE255=AE255,AW$9:AW255)),""),"")</f>
        <v/>
      </c>
      <c r="AT255" s="90">
        <f>IFERROR(IF(AE255&lt;&gt;AE256,MAX((((AQ255*24*60)/2)*(1+POWER((((AR255*24*60) / (AQ255*24*60) )),2))) + ((AQ255*24*60 )*-0.1 + (AO255*0.015)) +1,(((AQ255*24*60)/2)*(1+POWER((((AR255*24*60) / (AQ255*24*60 ))),2)))),""),"")</f>
        <v/>
      </c>
      <c r="AU255" s="90">
        <f>IF(AND(AS255&lt;&gt;"",AP255&lt;&gt;""),IF(AE255&lt;&gt;AE256,((AP255*24*60) / 2 ) * (1 + POWER(((AS255*24*60) / (AP255*24*60)),2)),""),"")</f>
        <v/>
      </c>
      <c r="AV255" s="90">
        <f>IF(AU255&lt;&gt;"",MAX(AT255,AU255),"")</f>
        <v/>
      </c>
      <c r="AW255" s="89">
        <f>IF(AM255&lt;&gt;"H. Sale Real",IF(AND(AM256&lt;&gt;"",LEFT(AG256,2)&lt;&gt;"Va"),IF(AND(AM255&lt;&gt;"",LEFT(AG255,2)&lt;&gt;"Va",AM255&lt;&gt;"H. Sale Real"),IF(AM256-AM255&lt;0.208333333333333,AM256-AM255,""),IF(AND(AM254&lt;&gt;"",LEFT(AG254,2)&lt;&gt;"Va",AM254&lt;&gt;"H. Sale Real"),IF(AM256-AM254&lt;0.208333333333333,AM256-AM254,""),IF(AND(AM253&lt;&gt;"",LEFT(AG253,2)&lt;&gt;"Va",AM253&lt;&gt;"H. Sale Real"),IF(AM256-AM253&lt;0.208333333333333,AM256-AM253,""),IF(AND(AM252&lt;&gt;"",LEFT(AG252,2)&lt;&gt;"Va",AM252&lt;&gt;"H. Sale Real"),IF(AM256-AM252&lt;0.208333333333333,AM256-AM252,""),IF(AND(AM251&lt;&gt;"",LEFT(AG251,2)&lt;&gt;"Va",AM251&lt;&gt;"H. Sale Real"),IF(AM256-AM251&lt;0.208333333333333,AM256-AM251,""),""))))),""),"")</f>
        <v/>
      </c>
      <c r="AX255" s="89">
        <f>IF(AK255&lt;&gt;"H. Sale Real",IF(AND(AK256&lt;&gt;"",LEFT(AG256,2)&lt;&gt;"Va"),IF(AND(AK255&lt;&gt;"",LEFT(AG255,2)&lt;&gt;"Va",AK255&lt;&gt;"H. Sale Real"),IF(AK256-AK255&lt;0.208333333333333,AK256-AK255,""),IF(AND(AK254&lt;&gt;"",LEFT(AG254,2)&lt;&gt;"Va",AK254&lt;&gt;"H. Sale Real"),IF(AK256-AK254&lt;0.208333333333333,AK256-AK254,""),IF(AND(AK253&lt;&gt;"",LEFT(AG253,2)&lt;&gt;"NC",AK253&lt;&gt;"H. Sale Real"),IF(AK256-AK253&lt;0.208333333333333,AK256-AK253,""),IF(AND(AK252&lt;&gt;"",LEFT(AG252,2)&lt;&gt;"Va",AK252&lt;&gt;"H. Sale Real"),IF(AK256-AK252&lt;0.208333333333333,AK256-AK252,""),IF(AND(AK251&lt;&gt;"",LEFT(AG251,2)&lt;&gt;"Va",AK251&lt;&gt;"H. Sale Real"),IF(AK256-AK251&lt;0.208333333333333,AK256-AK251,""),""))))),""),"")</f>
        <v/>
      </c>
      <c r="AY255" s="87" t="n"/>
      <c r="AZ255" s="89" t="n"/>
      <c r="BA255" s="87" t="n"/>
      <c r="BB255" s="89" t="n"/>
      <c r="BC255" s="91" t="n"/>
      <c r="BD255" s="122">
        <f>IF(AK255&lt;&gt;"",IF(AND(BD254&lt;&gt;"IE",AT255&lt;&gt;0,AV255&lt;&gt;""),IF(IFERROR((AT255/AV255),0) &lt;=1,IFERROR(AT255/AV255,""),1),""),"")</f>
        <v/>
      </c>
      <c r="BE255" s="93" t="n"/>
      <c r="BF255" s="105" t="n"/>
      <c r="FC255" t="inlineStr">
        <is>
          <t>Diccionario 1</t>
        </is>
      </c>
      <c r="FD255" s="15" t="n">
        <v>1254</v>
      </c>
      <c r="FE255" s="15" t="inlineStr">
        <is>
          <t>MDN35025020124</t>
        </is>
      </c>
      <c r="FF255" s="15" t="inlineStr">
        <is>
          <t>LDYECS311S0044014</t>
        </is>
      </c>
      <c r="FG255" s="15" t="inlineStr">
        <is>
          <t>Zhong Tong</t>
        </is>
      </c>
      <c r="FH255" s="15" t="inlineStr">
        <is>
          <t>Lck6122evg</t>
        </is>
      </c>
      <c r="FI255" s="15" t="inlineStr">
        <is>
          <t>ZHONGTONG</t>
        </is>
      </c>
      <c r="FJ255" s="15" t="inlineStr">
        <is>
          <t>LCK6122EVG</t>
        </is>
      </c>
      <c r="FK255" s="15" t="n">
        <v>2025</v>
      </c>
      <c r="FL255" s="15" t="inlineStr">
        <is>
          <t>B</t>
        </is>
      </c>
      <c r="FM255" s="15" t="inlineStr">
        <is>
          <t>SAN ALFONSO</t>
        </is>
      </c>
      <c r="FN255" s="15" t="inlineStr">
        <is>
          <t>San Alfonso 2141 (Ramón Subercaseaux 3060)</t>
        </is>
      </c>
      <c r="FO255" s="15" t="inlineStr">
        <is>
          <t>Estacion Central</t>
        </is>
      </c>
      <c r="FP255" t="inlineStr">
        <is>
          <t>B</t>
        </is>
      </c>
      <c r="FS255" s="14" t="inlineStr">
        <is>
          <t>3063 / SFWZ-21|</t>
        </is>
      </c>
      <c r="FT255" t="inlineStr">
        <is>
          <t>SFWZ-21|</t>
        </is>
      </c>
      <c r="FU255" t="inlineStr">
        <is>
          <t>SFWZ-21</t>
        </is>
      </c>
      <c r="FV255">
        <f>VLOOKUP(FU255,FD:FL,9,0)</f>
        <v/>
      </c>
      <c r="FZ255" s="51" t="inlineStr">
        <is>
          <t>B24</t>
        </is>
      </c>
      <c r="GA255" s="117" t="n">
        <v>0</v>
      </c>
      <c r="GB255" s="117" t="n">
        <v>0</v>
      </c>
      <c r="GC255" s="117" t="n">
        <v>0</v>
      </c>
      <c r="GD255" s="117" t="n">
        <v>0</v>
      </c>
      <c r="GE255" s="117" t="n">
        <v>0</v>
      </c>
      <c r="GF255" s="117" t="n">
        <v>9.800000000000001</v>
      </c>
      <c r="GG255" s="117" t="n">
        <v>19.365</v>
      </c>
      <c r="GH255" s="117" t="n">
        <v>18.49</v>
      </c>
      <c r="GI255" s="117" t="n">
        <v>17.78</v>
      </c>
      <c r="GJ255" s="117" t="n">
        <v>16.23</v>
      </c>
      <c r="GK255" s="117" t="n">
        <v>14.635</v>
      </c>
      <c r="GL255" s="117" t="n">
        <v>13.59</v>
      </c>
      <c r="GM255" s="117" t="n">
        <v>13.29</v>
      </c>
      <c r="GN255" s="117" t="n">
        <v>13.41</v>
      </c>
      <c r="GO255" s="117" t="n">
        <v>14.305</v>
      </c>
      <c r="GP255" s="117" t="n">
        <v>14.73</v>
      </c>
      <c r="GQ255" s="117" t="n">
        <v>15.02</v>
      </c>
      <c r="GR255" s="117" t="n">
        <v>15.31</v>
      </c>
      <c r="GS255" s="117" t="n">
        <v>15.74</v>
      </c>
      <c r="GT255" s="117" t="n">
        <v>16.405</v>
      </c>
      <c r="GU255" s="117" t="n">
        <v>17.935</v>
      </c>
      <c r="GV255" s="117" t="n">
        <v>19.605</v>
      </c>
      <c r="GW255" s="117" t="n">
        <v>20.54</v>
      </c>
      <c r="GX255" s="117" t="n">
        <v>0</v>
      </c>
      <c r="HA255" s="35" t="n">
        <v>25</v>
      </c>
      <c r="HB255" s="35" t="n">
        <v>249</v>
      </c>
    </row>
    <row r="256" ht="15.5" customHeight="1">
      <c r="A256" s="10">
        <f>HOUR(G256)+1</f>
        <v/>
      </c>
      <c r="B256" s="7" t="n"/>
      <c r="C256" s="7" t="n"/>
      <c r="D256" s="85">
        <f>IFERROR(
IF(AND(OR(Planilla!B256="C",Planilla!B256="c"), VLOOKUP(E256,FD:FP,13,0)="C"), "OK",IF(AND(OR(Planilla!B256="C",Planilla!B256="c"), OR(VLOOKUP(E256,FD:FP,13,0)="B", VLOOKUP(E256,FD:FP,13,0)="A")), "DEFICIT",IF(
AND(OR(Planilla!B256="B", Planilla!B256="BPAL"), VLOOKUP(E256,FD:FP,13,0)="B"), "OK",IF(AND(OR(Planilla!B256="B", Planilla!B256="BPAL"), VLOOKUP(E256,FD:FP,13,0)="A"), "DEFICIT",IF(AND(OR(Planilla!B256="B", Planilla!B256="BPAL"), VLOOKUP(E256,FD:FP,13,0)="C"), "SOBREOFERTA",IF(AND(Planilla!B256="A", VLOOKUP(E256,FD:FP,13,0)="A"), "OK",IF(
AND(Planilla!B256="A", OR(VLOOKUP(E256,FD:FP,13,0)="B", VLOOKUP(E256,FD:FP,13,0)="C")), "SOBREOFERTA",""
))))))),"")</f>
        <v/>
      </c>
      <c r="E256" s="8" t="n"/>
      <c r="F256" s="86" t="n"/>
      <c r="G256" s="87" t="n"/>
      <c r="H256" s="88">
        <f>IF(I256="","",IF(AND((I256-G256)&gt;=TIME(0,0,0),(I256-G256)&lt;TIME(0,3,0)),"OK",IF(AND((I256-G256)&gt;=TIME(0,3,0),(I256-G256)&lt;TIME(0,5,0)),"RETRASO DE 3-5 MIN",IF(AND((I256-G256)&gt;=TIME(0,5,0),(I256-G256)&lt;TIME(0,10,0)),"RETRASO DE 5-10 MIN",IF((I256-G256)&gt;=TIME(0,10,0),"RETRASO &gt;10 MIN", IF(AND((G256-I256)&gt;=TIME(0,0,0),(G256-I256)&lt;TIME(0,3,0)),"OK",IF((G256-I256)&gt;=TIME(0,3,0),"ADELANTADO")))))))</f>
        <v/>
      </c>
      <c r="I256" s="89" t="n"/>
      <c r="J256" s="89">
        <f>IF(A256&lt;&gt;"",HLOOKUP(VALUE(TEXT(G256,"h:mm:ss")),IF($C$6="Laboral",$FZ$4:$GX$227,IF($C$6="Sábado",$FZ$231:$GX$452,$FZ$456:$GX$656)),VLOOKUP($C$4,$HF$2:$HH$99,3,0)+IF(C$5="Ida",0,1),1),"")</f>
        <v/>
      </c>
      <c r="K256" s="89">
        <f>IF(A257&lt;&gt;A256,AVERAGEIF(A$9:A256,A256,J$9:J256),"")</f>
        <v/>
      </c>
      <c r="L256" s="89">
        <f>IFERROR(IF(A257&lt;&gt;A256,AVERAGEIF(A$9:A256,A256,S$9:S256),""),"")</f>
        <v/>
      </c>
      <c r="M256" s="89">
        <f>IFERROR(IF(A257&lt;&gt;A256,AVERAGEIF(A$9:A256,A256,T$9:T256),""),"")</f>
        <v/>
      </c>
      <c r="N256" s="89">
        <f t="array" ref="N256">IFERROR(IF(A257&lt;&gt;A256,_xlfn.STDEV.P(IF(A$9:A256=A256,T$9:T256)),""),"")</f>
        <v/>
      </c>
      <c r="O256" s="89">
        <f t="array" ref="O256">IFERROR(IF(A257&lt;&gt;A256,_xlfn.STDEV.P(IF(A$9:A256=A256,S$9:S256)),""),"")</f>
        <v/>
      </c>
      <c r="P256" s="90">
        <f>IFERROR(IF(A256&lt;&gt;A257,MAX((((M256*24*60)/2)*(1+POWER((((N256*24*60) / (M256*24*60) )),2))) + ((M256*24*60 )*-0.1 + (K256*0.015)) +1,(((M256*24*60)/2)*(1+POWER((((N256*24*60) / (M256*24*60 ))),2)))),""),"")</f>
        <v/>
      </c>
      <c r="Q256" s="90">
        <f>IF(AND(O256&lt;&gt;"",L256&lt;&gt;""),IF(A256&lt;&gt;A257,((L256*24*60) / 2 ) * (1 + POWER(((O256*24*60) / (L256*24*60)),2)),""),"")</f>
        <v/>
      </c>
      <c r="R256" s="90">
        <f>IF(Q256&lt;&gt;"",MAX(P256,Q256),"")</f>
        <v/>
      </c>
      <c r="S256" s="89">
        <f>IF(I256&lt;&gt;"H. Sale Real",IF(AND(I257&lt;&gt;"",LEFT(C257,2)&lt;&gt;"Va"),IF(AND(I256&lt;&gt;"",LEFT(C256,2)&lt;&gt;"Va",I256&lt;&gt;"H. Sale Real"),IF(I257-I256&lt;0.208333333333333,I257-I256,""),IF(AND(I255&lt;&gt;"",LEFT(C255,2)&lt;&gt;"Va",I255&lt;&gt;"H. Sale Real"),IF(I257-I255&lt;0.208333333333333,I257-I255,""),IF(AND(I254&lt;&gt;"",LEFT(C254,2)&lt;&gt;"Va",I254&lt;&gt;"H. Sale Real"),IF(I257-I254&lt;0.208333333333333,I257-I254,""),IF(AND(I253&lt;&gt;"",LEFT(C253,2)&lt;&gt;"Va",I253&lt;&gt;"H. Sale Real"),IF(I257-I253&lt;0.208333333333333,I257-I253,""),IF(AND(I252&lt;&gt;"",LEFT(C252,2)&lt;&gt;"Va",I252&lt;&gt;"H. Sale Real"),IF(I257-I252&lt;0.208333333333333,I257-I252,""),""))))),""),"")</f>
        <v/>
      </c>
      <c r="T256" s="89">
        <f>IF(G256&lt;&gt;"H. Sale Real",IF(AND(G257&lt;&gt;"",LEFT(C257,2)&lt;&gt;"Va"),IF(AND(G256&lt;&gt;"",LEFT(C256,2)&lt;&gt;"Va",G256&lt;&gt;"H. Sale Real"),IF(G257-G256&lt;0.208333333333333,G257-G256,""),IF(AND(G255&lt;&gt;"",LEFT(C255,2)&lt;&gt;"Va",G255&lt;&gt;"H. Sale Real"),IF(G257-G255&lt;0.208333333333333,G257-G255,""),IF(AND(G254&lt;&gt;"",LEFT(C254,2)&lt;&gt;"Va",G254&lt;&gt;"H. Sale Real"),IF(G257-G254&lt;0.208333333333333,G257-G254,""),IF(AND(G253&lt;&gt;"",LEFT(C253,2)&lt;&gt;"Va",G253&lt;&gt;"H. Sale Real"),IF(G257-G253&lt;0.208333333333333,G257-G253,""),IF(AND(G252&lt;&gt;"",LEFT(C252,2)&lt;&gt;"Va",G252&lt;&gt;"H. Sale Real"),IF(G257-G252&lt;0.208333333333333,G257-G252,""),""))))),""),"")</f>
        <v/>
      </c>
      <c r="U256" s="87" t="n"/>
      <c r="V256" s="89" t="n"/>
      <c r="W256" s="87" t="n"/>
      <c r="X256" s="89" t="n"/>
      <c r="Y256" s="91" t="n"/>
      <c r="Z256" s="122">
        <f>IF(G256&lt;&gt;"",IF(AND(Z255&lt;&gt;"IE",P256&lt;&gt;0,R256&lt;&gt;""),IF(IFERROR((P256/R256),0) &lt;=1,IFERROR(P256/R256,""),1),""),"")</f>
        <v/>
      </c>
      <c r="AA256" s="93" t="n"/>
      <c r="AB256" s="2" t="n"/>
      <c r="AE256" s="10">
        <f>HOUR(AK256)+1</f>
        <v/>
      </c>
      <c r="AF256" s="7" t="n"/>
      <c r="AG256" s="7" t="n"/>
      <c r="AH256" s="86" t="n"/>
      <c r="AI256" s="8" t="n"/>
      <c r="AJ256" s="86" t="n"/>
      <c r="AK256" s="87" t="n"/>
      <c r="AL256" s="88">
        <f>IF(AM256="","",IF(AND((AM256-AK256)&gt;=TIME(0,0,0),(AM256-AK256)&lt;TIME(0,3,0)),"OK",IF(AND((AM256-AK256)&gt;=TIME(0,3,0),(AM256-AK256)&lt;TIME(0,5,0)),"RETRASO DE 3-5 MIN",IF(AND((AM256-AK256)&gt;=TIME(0,5,0),(AM256-AK256)&lt;TIME(0,10,0)),"RETRASO DE 5-10 MIN",IF((AM256-AK256)&gt;=TIME(0,10,0),"RETRASO &gt;10 MIN", IF(AND((AK256-AM256)&gt;=TIME(0,0,0),(AK256-AM256)&lt;TIME(0,3,0)),"OK",IF((AK256-AM256)&gt;=TIME(0,3,0),"ADELANTADO")))))))</f>
        <v/>
      </c>
      <c r="AM256" s="91" t="n"/>
      <c r="AN256" s="89">
        <f>IF(AE256&lt;&gt;"",HLOOKUP(VALUE(TEXT(AK256,"h:mm:ss")),IF($C$6="Laboral",$FZ$4:$GX$227,IF($C$6="Sábado",$FZ$231:$GX$452,$FZ$456:$GX$656)),VLOOKUP($C$4,$HF$2:$HH$99,3,0)+IF(AG$5="Ida",0,1),1),"")</f>
        <v/>
      </c>
      <c r="AO256" s="89">
        <f>IF(AE257&lt;&gt;AE256,AVERAGEIF(AE$9:AE256,AE256,AN$9:AN256),"")</f>
        <v/>
      </c>
      <c r="AP256" s="89">
        <f>IFERROR(IF(AE257&lt;&gt;AE256,AVERAGEIF(AE$9:AE256,AE256,AW$9:AW256),""),"")</f>
        <v/>
      </c>
      <c r="AQ256" s="89">
        <f>IFERROR(IF(AE257&lt;&gt;AE256,AVERAGEIF(AE$9:AE256,AE256,AX$9:AX256),""),"")</f>
        <v/>
      </c>
      <c r="AR256" s="89">
        <f t="array" ref="AR256">IFERROR(IF(AE257&lt;&gt;AE256,_xlfn.STDEV.P(IF(AE$9:AE256=AE256,AX$9:AX256)),""),"")</f>
        <v/>
      </c>
      <c r="AS256" s="89">
        <f t="array" ref="AS256">IFERROR(IF(AE257&lt;&gt;AE256,_xlfn.STDEV.P(IF(AE$9:AE256=AE256,AW$9:AW256)),""),"")</f>
        <v/>
      </c>
      <c r="AT256" s="90">
        <f>IFERROR(IF(AE256&lt;&gt;AE257,MAX((((AQ256*24*60)/2)*(1+POWER((((AR256*24*60) / (AQ256*24*60) )),2))) + ((AQ256*24*60 )*-0.1 + (AO256*0.015)) +1,(((AQ256*24*60)/2)*(1+POWER((((AR256*24*60) / (AQ256*24*60 ))),2)))),""),"")</f>
        <v/>
      </c>
      <c r="AU256" s="90">
        <f>IF(AND(AS256&lt;&gt;"",AP256&lt;&gt;""),IF(AE256&lt;&gt;AE257,((AP256*24*60) / 2 ) * (1 + POWER(((AS256*24*60) / (AP256*24*60)),2)),""),"")</f>
        <v/>
      </c>
      <c r="AV256" s="90">
        <f>IF(AU256&lt;&gt;"",MAX(AT256,AU256),"")</f>
        <v/>
      </c>
      <c r="AW256" s="89">
        <f>IF(AM256&lt;&gt;"H. Sale Real",IF(AND(AM257&lt;&gt;"",LEFT(AG257,2)&lt;&gt;"Va"),IF(AND(AM256&lt;&gt;"",LEFT(AG256,2)&lt;&gt;"Va",AM256&lt;&gt;"H. Sale Real"),IF(AM257-AM256&lt;0.208333333333333,AM257-AM256,""),IF(AND(AM255&lt;&gt;"",LEFT(AG255,2)&lt;&gt;"Va",AM255&lt;&gt;"H. Sale Real"),IF(AM257-AM255&lt;0.208333333333333,AM257-AM255,""),IF(AND(AM254&lt;&gt;"",LEFT(AG254,2)&lt;&gt;"Va",AM254&lt;&gt;"H. Sale Real"),IF(AM257-AM254&lt;0.208333333333333,AM257-AM254,""),IF(AND(AM253&lt;&gt;"",LEFT(AG253,2)&lt;&gt;"Va",AM253&lt;&gt;"H. Sale Real"),IF(AM257-AM253&lt;0.208333333333333,AM257-AM253,""),IF(AND(AM252&lt;&gt;"",LEFT(AG252,2)&lt;&gt;"Va",AM252&lt;&gt;"H. Sale Real"),IF(AM257-AM252&lt;0.208333333333333,AM257-AM252,""),""))))),""),"")</f>
        <v/>
      </c>
      <c r="AX256" s="89">
        <f>IF(AK256&lt;&gt;"H. Sale Real",IF(AND(AK257&lt;&gt;"",LEFT(AG257,2)&lt;&gt;"Va"),IF(AND(AK256&lt;&gt;"",LEFT(AG256,2)&lt;&gt;"Va",AK256&lt;&gt;"H. Sale Real"),IF(AK257-AK256&lt;0.208333333333333,AK257-AK256,""),IF(AND(AK255&lt;&gt;"",LEFT(AG255,2)&lt;&gt;"Va",AK255&lt;&gt;"H. Sale Real"),IF(AK257-AK255&lt;0.208333333333333,AK257-AK255,""),IF(AND(AK254&lt;&gt;"",LEFT(AG254,2)&lt;&gt;"NC",AK254&lt;&gt;"H. Sale Real"),IF(AK257-AK254&lt;0.208333333333333,AK257-AK254,""),IF(AND(AK253&lt;&gt;"",LEFT(AG253,2)&lt;&gt;"Va",AK253&lt;&gt;"H. Sale Real"),IF(AK257-AK253&lt;0.208333333333333,AK257-AK253,""),IF(AND(AK252&lt;&gt;"",LEFT(AG252,2)&lt;&gt;"Va",AK252&lt;&gt;"H. Sale Real"),IF(AK257-AK252&lt;0.208333333333333,AK257-AK252,""),""))))),""),"")</f>
        <v/>
      </c>
      <c r="AY256" s="87" t="n"/>
      <c r="AZ256" s="89" t="n"/>
      <c r="BA256" s="87" t="n"/>
      <c r="BB256" s="89" t="n"/>
      <c r="BC256" s="91" t="n"/>
      <c r="BD256" s="122">
        <f>IF(AK256&lt;&gt;"",IF(AND(BD255&lt;&gt;"IE",AT256&lt;&gt;0,AV256&lt;&gt;""),IF(IFERROR((AT256/AV256),0) &lt;=1,IFERROR(AT256/AV256,""),1),""),"")</f>
        <v/>
      </c>
      <c r="BE256" s="93" t="n"/>
      <c r="BF256" s="105" t="n"/>
      <c r="FC256" t="inlineStr">
        <is>
          <t>Diccionario 1</t>
        </is>
      </c>
      <c r="FD256" s="15" t="n">
        <v>1255</v>
      </c>
      <c r="FE256" s="15" t="inlineStr">
        <is>
          <t>MDN35025020027</t>
        </is>
      </c>
      <c r="FF256" s="15" t="inlineStr">
        <is>
          <t>LDYECS317S0044003</t>
        </is>
      </c>
      <c r="FG256" s="15" t="inlineStr">
        <is>
          <t>Zhong Tong</t>
        </is>
      </c>
      <c r="FH256" s="15" t="inlineStr">
        <is>
          <t>Lck6122evg</t>
        </is>
      </c>
      <c r="FI256" s="15" t="inlineStr">
        <is>
          <t>ZHONGTONG</t>
        </is>
      </c>
      <c r="FJ256" s="15" t="inlineStr">
        <is>
          <t>LCK6122EVG</t>
        </is>
      </c>
      <c r="FK256" s="15" t="n">
        <v>2025</v>
      </c>
      <c r="FL256" s="15" t="inlineStr">
        <is>
          <t>B</t>
        </is>
      </c>
      <c r="FM256" s="15" t="inlineStr">
        <is>
          <t>PIE ANDINO</t>
        </is>
      </c>
      <c r="FN256" s="15" t="inlineStr">
        <is>
          <t>Pie Andino 31 (Pie Andino 383)</t>
        </is>
      </c>
      <c r="FO256" s="15" t="inlineStr">
        <is>
          <t>Puente Alto</t>
        </is>
      </c>
      <c r="FP256" t="inlineStr">
        <is>
          <t>B</t>
        </is>
      </c>
      <c r="FS256" s="14" t="inlineStr">
        <is>
          <t>3063 / SFWZ-21|</t>
        </is>
      </c>
      <c r="FT256" t="inlineStr">
        <is>
          <t>SFWZ-21|</t>
        </is>
      </c>
      <c r="FU256" t="inlineStr">
        <is>
          <t>SFWZ-21</t>
        </is>
      </c>
      <c r="FV256">
        <f>VLOOKUP(FU256,FD:FL,9,0)</f>
        <v/>
      </c>
      <c r="FZ256" s="51" t="inlineStr">
        <is>
          <t>B25</t>
        </is>
      </c>
      <c r="GA256" s="117" t="n">
        <v>0</v>
      </c>
      <c r="GB256" s="117" t="n">
        <v>0</v>
      </c>
      <c r="GC256" s="117" t="n">
        <v>0</v>
      </c>
      <c r="GD256" s="117" t="n">
        <v>0</v>
      </c>
      <c r="GE256" s="117" t="n">
        <v>0</v>
      </c>
      <c r="GF256" s="117" t="n">
        <v>26.655</v>
      </c>
      <c r="GG256" s="117" t="n">
        <v>24.01</v>
      </c>
      <c r="GH256" s="117" t="n">
        <v>21.655</v>
      </c>
      <c r="GI256" s="117" t="n">
        <v>21.14</v>
      </c>
      <c r="GJ256" s="117" t="n">
        <v>20.92</v>
      </c>
      <c r="GK256" s="117" t="n">
        <v>20.29</v>
      </c>
      <c r="GL256" s="117" t="n">
        <v>18.38</v>
      </c>
      <c r="GM256" s="117" t="n">
        <v>17.635</v>
      </c>
      <c r="GN256" s="117" t="n">
        <v>17.125</v>
      </c>
      <c r="GO256" s="117" t="n">
        <v>17.19</v>
      </c>
      <c r="GP256" s="117" t="n">
        <v>17.67</v>
      </c>
      <c r="GQ256" s="117" t="n">
        <v>17.815</v>
      </c>
      <c r="GR256" s="117" t="n">
        <v>17.735</v>
      </c>
      <c r="GS256" s="117" t="n">
        <v>17.89</v>
      </c>
      <c r="GT256" s="117" t="n">
        <v>18.105</v>
      </c>
      <c r="GU256" s="117" t="n">
        <v>19.01</v>
      </c>
      <c r="GV256" s="117" t="n">
        <v>21.15</v>
      </c>
      <c r="GW256" s="117" t="n">
        <v>22.26</v>
      </c>
      <c r="GX256" s="117" t="n">
        <v>21.44</v>
      </c>
      <c r="HA256" s="35" t="n">
        <v>26</v>
      </c>
      <c r="HB256" s="35" t="n">
        <v>250</v>
      </c>
    </row>
    <row r="257" ht="15.5" customHeight="1">
      <c r="A257" s="10">
        <f>HOUR(G257)+1</f>
        <v/>
      </c>
      <c r="B257" s="7" t="n"/>
      <c r="C257" s="7" t="n"/>
      <c r="D257" s="85">
        <f>IFERROR(
IF(AND(OR(Planilla!B257="C",Planilla!B257="c"), VLOOKUP(E257,FD:FP,13,0)="C"), "OK",IF(AND(OR(Planilla!B257="C",Planilla!B257="c"), OR(VLOOKUP(E257,FD:FP,13,0)="B", VLOOKUP(E257,FD:FP,13,0)="A")), "DEFICIT",IF(
AND(OR(Planilla!B257="B", Planilla!B257="BPAL"), VLOOKUP(E257,FD:FP,13,0)="B"), "OK",IF(AND(OR(Planilla!B257="B", Planilla!B257="BPAL"), VLOOKUP(E257,FD:FP,13,0)="A"), "DEFICIT",IF(AND(OR(Planilla!B257="B", Planilla!B257="BPAL"), VLOOKUP(E257,FD:FP,13,0)="C"), "SOBREOFERTA",IF(AND(Planilla!B257="A", VLOOKUP(E257,FD:FP,13,0)="A"), "OK",IF(
AND(Planilla!B257="A", OR(VLOOKUP(E257,FD:FP,13,0)="B", VLOOKUP(E257,FD:FP,13,0)="C")), "SOBREOFERTA",""
))))))),"")</f>
        <v/>
      </c>
      <c r="E257" s="8" t="n"/>
      <c r="F257" s="86" t="n"/>
      <c r="G257" s="87" t="n"/>
      <c r="H257" s="88">
        <f>IF(I257="","",IF(AND((I257-G257)&gt;=TIME(0,0,0),(I257-G257)&lt;TIME(0,3,0)),"OK",IF(AND((I257-G257)&gt;=TIME(0,3,0),(I257-G257)&lt;TIME(0,5,0)),"RETRASO DE 3-5 MIN",IF(AND((I257-G257)&gt;=TIME(0,5,0),(I257-G257)&lt;TIME(0,10,0)),"RETRASO DE 5-10 MIN",IF((I257-G257)&gt;=TIME(0,10,0),"RETRASO &gt;10 MIN", IF(AND((G257-I257)&gt;=TIME(0,0,0),(G257-I257)&lt;TIME(0,3,0)),"OK",IF((G257-I257)&gt;=TIME(0,3,0),"ADELANTADO")))))))</f>
        <v/>
      </c>
      <c r="I257" s="89" t="n"/>
      <c r="J257" s="89">
        <f>IF(A257&lt;&gt;"",HLOOKUP(VALUE(TEXT(G257,"h:mm:ss")),IF($C$6="Laboral",$FZ$4:$GX$227,IF($C$6="Sábado",$FZ$231:$GX$452,$FZ$456:$GX$656)),VLOOKUP($C$4,$HF$2:$HH$99,3,0)+IF(C$5="Ida",0,1),1),"")</f>
        <v/>
      </c>
      <c r="K257" s="89">
        <f>IF(A258&lt;&gt;A257,AVERAGEIF(A$9:A257,A257,J$9:J257),"")</f>
        <v/>
      </c>
      <c r="L257" s="89">
        <f>IFERROR(IF(A258&lt;&gt;A257,AVERAGEIF(A$9:A257,A257,S$9:S257),""),"")</f>
        <v/>
      </c>
      <c r="M257" s="89">
        <f>IFERROR(IF(A258&lt;&gt;A257,AVERAGEIF(A$9:A257,A257,T$9:T257),""),"")</f>
        <v/>
      </c>
      <c r="N257" s="89">
        <f t="array" ref="N257">IFERROR(IF(A258&lt;&gt;A257,_xlfn.STDEV.P(IF(A$9:A257=A257,T$9:T257)),""),"")</f>
        <v/>
      </c>
      <c r="O257" s="89">
        <f t="array" ref="O257">IFERROR(IF(A258&lt;&gt;A257,_xlfn.STDEV.P(IF(A$9:A257=A257,S$9:S257)),""),"")</f>
        <v/>
      </c>
      <c r="P257" s="90">
        <f>IFERROR(IF(A257&lt;&gt;A258,MAX((((M257*24*60)/2)*(1+POWER((((N257*24*60) / (M257*24*60) )),2))) + ((M257*24*60 )*-0.1 + (K257*0.015)) +1,(((M257*24*60)/2)*(1+POWER((((N257*24*60) / (M257*24*60 ))),2)))),""),"")</f>
        <v/>
      </c>
      <c r="Q257" s="90">
        <f>IF(AND(O257&lt;&gt;"",L257&lt;&gt;""),IF(A257&lt;&gt;A258,((L257*24*60) / 2 ) * (1 + POWER(((O257*24*60) / (L257*24*60)),2)),""),"")</f>
        <v/>
      </c>
      <c r="R257" s="90">
        <f>IF(Q257&lt;&gt;"",MAX(P257,Q257),"")</f>
        <v/>
      </c>
      <c r="S257" s="89">
        <f>IF(I257&lt;&gt;"H. Sale Real",IF(AND(I258&lt;&gt;"",LEFT(C258,2)&lt;&gt;"Va"),IF(AND(I257&lt;&gt;"",LEFT(C257,2)&lt;&gt;"Va",I257&lt;&gt;"H. Sale Real"),IF(I258-I257&lt;0.208333333333333,I258-I257,""),IF(AND(I256&lt;&gt;"",LEFT(C256,2)&lt;&gt;"Va",I256&lt;&gt;"H. Sale Real"),IF(I258-I256&lt;0.208333333333333,I258-I256,""),IF(AND(I255&lt;&gt;"",LEFT(C255,2)&lt;&gt;"Va",I255&lt;&gt;"H. Sale Real"),IF(I258-I255&lt;0.208333333333333,I258-I255,""),IF(AND(I254&lt;&gt;"",LEFT(C254,2)&lt;&gt;"Va",I254&lt;&gt;"H. Sale Real"),IF(I258-I254&lt;0.208333333333333,I258-I254,""),IF(AND(I253&lt;&gt;"",LEFT(C253,2)&lt;&gt;"Va",I253&lt;&gt;"H. Sale Real"),IF(I258-I253&lt;0.208333333333333,I258-I253,""),""))))),""),"")</f>
        <v/>
      </c>
      <c r="T257" s="89">
        <f>IF(G257&lt;&gt;"H. Sale Real",IF(AND(G258&lt;&gt;"",LEFT(C258,2)&lt;&gt;"Va"),IF(AND(G257&lt;&gt;"",LEFT(C257,2)&lt;&gt;"Va",G257&lt;&gt;"H. Sale Real"),IF(G258-G257&lt;0.208333333333333,G258-G257,""),IF(AND(G256&lt;&gt;"",LEFT(C256,2)&lt;&gt;"Va",G256&lt;&gt;"H. Sale Real"),IF(G258-G256&lt;0.208333333333333,G258-G256,""),IF(AND(G255&lt;&gt;"",LEFT(C255,2)&lt;&gt;"Va",G255&lt;&gt;"H. Sale Real"),IF(G258-G255&lt;0.208333333333333,G258-G255,""),IF(AND(G254&lt;&gt;"",LEFT(C254,2)&lt;&gt;"Va",G254&lt;&gt;"H. Sale Real"),IF(G258-G254&lt;0.208333333333333,G258-G254,""),IF(AND(G253&lt;&gt;"",LEFT(C253,2)&lt;&gt;"Va",G253&lt;&gt;"H. Sale Real"),IF(G258-G253&lt;0.208333333333333,G258-G253,""),""))))),""),"")</f>
        <v/>
      </c>
      <c r="U257" s="87" t="n"/>
      <c r="V257" s="89" t="n"/>
      <c r="W257" s="87" t="n"/>
      <c r="X257" s="89" t="n"/>
      <c r="Y257" s="91" t="n"/>
      <c r="Z257" s="122">
        <f>IF(G257&lt;&gt;"",IF(AND(Z256&lt;&gt;"IE",P257&lt;&gt;0,R257&lt;&gt;""),IF(IFERROR((P257/R257),0) &lt;=1,IFERROR(P257/R257,""),1),""),"")</f>
        <v/>
      </c>
      <c r="AA257" s="93" t="n"/>
      <c r="AB257" s="2" t="n"/>
      <c r="AE257" s="10">
        <f>HOUR(AK257)+1</f>
        <v/>
      </c>
      <c r="AF257" s="7" t="n"/>
      <c r="AG257" s="7" t="n"/>
      <c r="AH257" s="86" t="n"/>
      <c r="AI257" s="8" t="n"/>
      <c r="AJ257" s="86" t="n"/>
      <c r="AK257" s="87" t="n"/>
      <c r="AL257" s="88">
        <f>IF(AM257="","",IF(AND((AM257-AK257)&gt;=TIME(0,0,0),(AM257-AK257)&lt;TIME(0,3,0)),"OK",IF(AND((AM257-AK257)&gt;=TIME(0,3,0),(AM257-AK257)&lt;TIME(0,5,0)),"RETRASO DE 3-5 MIN",IF(AND((AM257-AK257)&gt;=TIME(0,5,0),(AM257-AK257)&lt;TIME(0,10,0)),"RETRASO DE 5-10 MIN",IF((AM257-AK257)&gt;=TIME(0,10,0),"RETRASO &gt;10 MIN", IF(AND((AK257-AM257)&gt;=TIME(0,0,0),(AK257-AM257)&lt;TIME(0,3,0)),"OK",IF((AK257-AM257)&gt;=TIME(0,3,0),"ADELANTADO")))))))</f>
        <v/>
      </c>
      <c r="AM257" s="91" t="n"/>
      <c r="AN257" s="89">
        <f>IF(AE257&lt;&gt;"",HLOOKUP(VALUE(TEXT(AK257,"h:mm:ss")),IF($C$6="Laboral",$FZ$4:$GX$227,IF($C$6="Sábado",$FZ$231:$GX$452,$FZ$456:$GX$656)),VLOOKUP($C$4,$HF$2:$HH$99,3,0)+IF(AG$5="Ida",0,1),1),"")</f>
        <v/>
      </c>
      <c r="AO257" s="89">
        <f>IF(AE258&lt;&gt;AE257,AVERAGEIF(AE$9:AE257,AE257,AN$9:AN257),"")</f>
        <v/>
      </c>
      <c r="AP257" s="89">
        <f>IFERROR(IF(AE258&lt;&gt;AE257,AVERAGEIF(AE$9:AE257,AE257,AW$9:AW257),""),"")</f>
        <v/>
      </c>
      <c r="AQ257" s="89">
        <f>IFERROR(IF(AE258&lt;&gt;AE257,AVERAGEIF(AE$9:AE257,AE257,AX$9:AX257),""),"")</f>
        <v/>
      </c>
      <c r="AR257" s="89">
        <f t="array" ref="AR257">IFERROR(IF(AE258&lt;&gt;AE257,_xlfn.STDEV.P(IF(AE$9:AE257=AE257,AX$9:AX257)),""),"")</f>
        <v/>
      </c>
      <c r="AS257" s="89">
        <f t="array" ref="AS257">IFERROR(IF(AE258&lt;&gt;AE257,_xlfn.STDEV.P(IF(AE$9:AE257=AE257,AW$9:AW257)),""),"")</f>
        <v/>
      </c>
      <c r="AT257" s="90">
        <f>IFERROR(IF(AE257&lt;&gt;AE258,MAX((((AQ257*24*60)/2)*(1+POWER((((AR257*24*60) / (AQ257*24*60) )),2))) + ((AQ257*24*60 )*-0.1 + (AO257*0.015)) +1,(((AQ257*24*60)/2)*(1+POWER((((AR257*24*60) / (AQ257*24*60 ))),2)))),""),"")</f>
        <v/>
      </c>
      <c r="AU257" s="90">
        <f>IF(AND(AS257&lt;&gt;"",AP257&lt;&gt;""),IF(AE257&lt;&gt;AE258,((AP257*24*60) / 2 ) * (1 + POWER(((AS257*24*60) / (AP257*24*60)),2)),""),"")</f>
        <v/>
      </c>
      <c r="AV257" s="90">
        <f>IF(AU257&lt;&gt;"",MAX(AT257,AU257),"")</f>
        <v/>
      </c>
      <c r="AW257" s="89">
        <f>IF(AM257&lt;&gt;"H. Sale Real",IF(AND(AM258&lt;&gt;"",LEFT(AG258,2)&lt;&gt;"Va"),IF(AND(AM257&lt;&gt;"",LEFT(AG257,2)&lt;&gt;"Va",AM257&lt;&gt;"H. Sale Real"),IF(AM258-AM257&lt;0.208333333333333,AM258-AM257,""),IF(AND(AM256&lt;&gt;"",LEFT(AG256,2)&lt;&gt;"Va",AM256&lt;&gt;"H. Sale Real"),IF(AM258-AM256&lt;0.208333333333333,AM258-AM256,""),IF(AND(AM255&lt;&gt;"",LEFT(AG255,2)&lt;&gt;"Va",AM255&lt;&gt;"H. Sale Real"),IF(AM258-AM255&lt;0.208333333333333,AM258-AM255,""),IF(AND(AM254&lt;&gt;"",LEFT(AG254,2)&lt;&gt;"Va",AM254&lt;&gt;"H. Sale Real"),IF(AM258-AM254&lt;0.208333333333333,AM258-AM254,""),IF(AND(AM253&lt;&gt;"",LEFT(AG253,2)&lt;&gt;"Va",AM253&lt;&gt;"H. Sale Real"),IF(AM258-AM253&lt;0.208333333333333,AM258-AM253,""),""))))),""),"")</f>
        <v/>
      </c>
      <c r="AX257" s="89">
        <f>IF(AK257&lt;&gt;"H. Sale Real",IF(AND(AK258&lt;&gt;"",LEFT(AG258,2)&lt;&gt;"Va"),IF(AND(AK257&lt;&gt;"",LEFT(AG257,2)&lt;&gt;"Va",AK257&lt;&gt;"H. Sale Real"),IF(AK258-AK257&lt;0.208333333333333,AK258-AK257,""),IF(AND(AK256&lt;&gt;"",LEFT(AG256,2)&lt;&gt;"Va",AK256&lt;&gt;"H. Sale Real"),IF(AK258-AK256&lt;0.208333333333333,AK258-AK256,""),IF(AND(AK255&lt;&gt;"",LEFT(AG255,2)&lt;&gt;"NC",AK255&lt;&gt;"H. Sale Real"),IF(AK258-AK255&lt;0.208333333333333,AK258-AK255,""),IF(AND(AK254&lt;&gt;"",LEFT(AG254,2)&lt;&gt;"Va",AK254&lt;&gt;"H. Sale Real"),IF(AK258-AK254&lt;0.208333333333333,AK258-AK254,""),IF(AND(AK253&lt;&gt;"",LEFT(AG253,2)&lt;&gt;"Va",AK253&lt;&gt;"H. Sale Real"),IF(AK258-AK253&lt;0.208333333333333,AK258-AK253,""),""))))),""),"")</f>
        <v/>
      </c>
      <c r="AY257" s="87" t="n"/>
      <c r="AZ257" s="89" t="n"/>
      <c r="BA257" s="87" t="n"/>
      <c r="BB257" s="89" t="n"/>
      <c r="BC257" s="91" t="n"/>
      <c r="BD257" s="122">
        <f>IF(AK257&lt;&gt;"",IF(AND(BD256&lt;&gt;"IE",AT257&lt;&gt;0,AV257&lt;&gt;""),IF(IFERROR((AT257/AV257),0) &lt;=1,IFERROR(AT257/AV257,""),1),""),"")</f>
        <v/>
      </c>
      <c r="BE257" s="93" t="n"/>
      <c r="BF257" s="105" t="n"/>
      <c r="FC257" t="inlineStr">
        <is>
          <t>Diccionario 1</t>
        </is>
      </c>
      <c r="FD257" s="15" t="n">
        <v>1256</v>
      </c>
      <c r="FE257" s="15" t="inlineStr">
        <is>
          <t>MDN35025020086</t>
        </is>
      </c>
      <c r="FF257" s="15" t="inlineStr">
        <is>
          <t>LDYECS31XS0043976</t>
        </is>
      </c>
      <c r="FG257" s="15" t="inlineStr">
        <is>
          <t>Zhong Tong</t>
        </is>
      </c>
      <c r="FH257" s="15" t="inlineStr">
        <is>
          <t>Lck6122evg</t>
        </is>
      </c>
      <c r="FI257" s="15" t="inlineStr">
        <is>
          <t>ZHONGTONG</t>
        </is>
      </c>
      <c r="FJ257" s="15" t="inlineStr">
        <is>
          <t>LCK6122EVG</t>
        </is>
      </c>
      <c r="FK257" s="15" t="n">
        <v>2025</v>
      </c>
      <c r="FL257" s="15" t="inlineStr">
        <is>
          <t>B</t>
        </is>
      </c>
      <c r="FM257" s="15" t="inlineStr">
        <is>
          <t>CERRILLOS</t>
        </is>
      </c>
      <c r="FN257" s="15" t="inlineStr">
        <is>
          <t>Calle Uno 7371</t>
        </is>
      </c>
      <c r="FO257" s="15" t="inlineStr">
        <is>
          <t>Cerrillos</t>
        </is>
      </c>
      <c r="FP257" t="inlineStr">
        <is>
          <t>B</t>
        </is>
      </c>
      <c r="FS257" s="14" t="inlineStr">
        <is>
          <t>3064 / SFWZ-61|</t>
        </is>
      </c>
      <c r="FT257" t="inlineStr">
        <is>
          <t>SFWZ-61|</t>
        </is>
      </c>
      <c r="FU257" t="inlineStr">
        <is>
          <t>SFWZ-61</t>
        </is>
      </c>
      <c r="FV257">
        <f>VLOOKUP(FU257,FD:FL,9,0)</f>
        <v/>
      </c>
      <c r="FZ257" s="51" t="inlineStr">
        <is>
          <t>B26</t>
        </is>
      </c>
      <c r="GA257" s="117" t="n">
        <v>0</v>
      </c>
      <c r="GB257" s="117" t="n">
        <v>0</v>
      </c>
      <c r="GC257" s="117" t="n">
        <v>0</v>
      </c>
      <c r="GD257" s="117" t="n">
        <v>0</v>
      </c>
      <c r="GE257" s="117" t="n">
        <v>13.24</v>
      </c>
      <c r="GF257" s="117" t="n">
        <v>23.92</v>
      </c>
      <c r="GG257" s="117" t="n">
        <v>21.53</v>
      </c>
      <c r="GH257" s="117" t="n">
        <v>19.605</v>
      </c>
      <c r="GI257" s="117" t="n">
        <v>18.63</v>
      </c>
      <c r="GJ257" s="117" t="n">
        <v>17.6</v>
      </c>
      <c r="GK257" s="117" t="n">
        <v>16.465</v>
      </c>
      <c r="GL257" s="117" t="n">
        <v>14.995</v>
      </c>
      <c r="GM257" s="117" t="n">
        <v>13.86</v>
      </c>
      <c r="GN257" s="117" t="n">
        <v>13.865</v>
      </c>
      <c r="GO257" s="117" t="n">
        <v>14.67</v>
      </c>
      <c r="GP257" s="117" t="n">
        <v>15.285</v>
      </c>
      <c r="GQ257" s="117" t="n">
        <v>15.75</v>
      </c>
      <c r="GR257" s="117" t="n">
        <v>16.07</v>
      </c>
      <c r="GS257" s="117" t="n">
        <v>16.72</v>
      </c>
      <c r="GT257" s="117" t="n">
        <v>17.59</v>
      </c>
      <c r="GU257" s="117" t="n">
        <v>18.735</v>
      </c>
      <c r="GV257" s="117" t="n">
        <v>20.22</v>
      </c>
      <c r="GW257" s="117" t="n">
        <v>21.635</v>
      </c>
      <c r="GX257" s="117" t="n">
        <v>23.495</v>
      </c>
      <c r="HA257" s="35" t="n">
        <v>27</v>
      </c>
      <c r="HB257" s="35" t="n">
        <v>251</v>
      </c>
    </row>
    <row r="258" ht="15.5" customHeight="1">
      <c r="A258" s="10">
        <f>HOUR(G258)+1</f>
        <v/>
      </c>
      <c r="B258" s="7" t="n"/>
      <c r="C258" s="7" t="n"/>
      <c r="D258" s="85">
        <f>IFERROR(
IF(AND(OR(Planilla!B258="C",Planilla!B258="c"), VLOOKUP(E258,FD:FP,13,0)="C"), "OK",IF(AND(OR(Planilla!B258="C",Planilla!B258="c"), OR(VLOOKUP(E258,FD:FP,13,0)="B", VLOOKUP(E258,FD:FP,13,0)="A")), "DEFICIT",IF(
AND(OR(Planilla!B258="B", Planilla!B258="BPAL"), VLOOKUP(E258,FD:FP,13,0)="B"), "OK",IF(AND(OR(Planilla!B258="B", Planilla!B258="BPAL"), VLOOKUP(E258,FD:FP,13,0)="A"), "DEFICIT",IF(AND(OR(Planilla!B258="B", Planilla!B258="BPAL"), VLOOKUP(E258,FD:FP,13,0)="C"), "SOBREOFERTA",IF(AND(Planilla!B258="A", VLOOKUP(E258,FD:FP,13,0)="A"), "OK",IF(
AND(Planilla!B258="A", OR(VLOOKUP(E258,FD:FP,13,0)="B", VLOOKUP(E258,FD:FP,13,0)="C")), "SOBREOFERTA",""
))))))),"")</f>
        <v/>
      </c>
      <c r="E258" s="8" t="n"/>
      <c r="F258" s="86" t="n"/>
      <c r="G258" s="87" t="n"/>
      <c r="H258" s="88">
        <f>IF(I258="","",IF(AND((I258-G258)&gt;=TIME(0,0,0),(I258-G258)&lt;TIME(0,3,0)),"OK",IF(AND((I258-G258)&gt;=TIME(0,3,0),(I258-G258)&lt;TIME(0,5,0)),"RETRASO DE 3-5 MIN",IF(AND((I258-G258)&gt;=TIME(0,5,0),(I258-G258)&lt;TIME(0,10,0)),"RETRASO DE 5-10 MIN",IF((I258-G258)&gt;=TIME(0,10,0),"RETRASO &gt;10 MIN", IF(AND((G258-I258)&gt;=TIME(0,0,0),(G258-I258)&lt;TIME(0,3,0)),"OK",IF((G258-I258)&gt;=TIME(0,3,0),"ADELANTADO")))))))</f>
        <v/>
      </c>
      <c r="I258" s="89" t="n"/>
      <c r="J258" s="89">
        <f>IF(A258&lt;&gt;"",HLOOKUP(VALUE(TEXT(G258,"h:mm:ss")),IF($C$6="Laboral",$FZ$4:$GX$227,IF($C$6="Sábado",$FZ$231:$GX$452,$FZ$456:$GX$656)),VLOOKUP($C$4,$HF$2:$HH$99,3,0)+IF(C$5="Ida",0,1),1),"")</f>
        <v/>
      </c>
      <c r="K258" s="89">
        <f>IF(A259&lt;&gt;A258,AVERAGEIF(A$9:A258,A258,J$9:J258),"")</f>
        <v/>
      </c>
      <c r="L258" s="89">
        <f>IFERROR(IF(A259&lt;&gt;A258,AVERAGEIF(A$9:A258,A258,S$9:S258),""),"")</f>
        <v/>
      </c>
      <c r="M258" s="89">
        <f>IFERROR(IF(A259&lt;&gt;A258,AVERAGEIF(A$9:A258,A258,T$9:T258),""),"")</f>
        <v/>
      </c>
      <c r="N258" s="89">
        <f t="array" ref="N258">IFERROR(IF(A259&lt;&gt;A258,_xlfn.STDEV.P(IF(A$9:A258=A258,T$9:T258)),""),"")</f>
        <v/>
      </c>
      <c r="O258" s="89">
        <f t="array" ref="O258">IFERROR(IF(A259&lt;&gt;A258,_xlfn.STDEV.P(IF(A$9:A258=A258,S$9:S258)),""),"")</f>
        <v/>
      </c>
      <c r="P258" s="90">
        <f>IFERROR(IF(A258&lt;&gt;A259,MAX((((M258*24*60)/2)*(1+POWER((((N258*24*60) / (M258*24*60) )),2))) + ((M258*24*60 )*-0.1 + (K258*0.015)) +1,(((M258*24*60)/2)*(1+POWER((((N258*24*60) / (M258*24*60 ))),2)))),""),"")</f>
        <v/>
      </c>
      <c r="Q258" s="90">
        <f>IF(AND(O258&lt;&gt;"",L258&lt;&gt;""),IF(A258&lt;&gt;A259,((L258*24*60) / 2 ) * (1 + POWER(((O258*24*60) / (L258*24*60)),2)),""),"")</f>
        <v/>
      </c>
      <c r="R258" s="90">
        <f>IF(Q258&lt;&gt;"",MAX(P258,Q258),"")</f>
        <v/>
      </c>
      <c r="S258" s="89">
        <f>IF(I258&lt;&gt;"H. Sale Real",IF(AND(I259&lt;&gt;"",LEFT(C259,2)&lt;&gt;"Va"),IF(AND(I258&lt;&gt;"",LEFT(C258,2)&lt;&gt;"Va",I258&lt;&gt;"H. Sale Real"),IF(I259-I258&lt;0.208333333333333,I259-I258,""),IF(AND(I257&lt;&gt;"",LEFT(C257,2)&lt;&gt;"Va",I257&lt;&gt;"H. Sale Real"),IF(I259-I257&lt;0.208333333333333,I259-I257,""),IF(AND(I256&lt;&gt;"",LEFT(C256,2)&lt;&gt;"Va",I256&lt;&gt;"H. Sale Real"),IF(I259-I256&lt;0.208333333333333,I259-I256,""),IF(AND(I255&lt;&gt;"",LEFT(C255,2)&lt;&gt;"Va",I255&lt;&gt;"H. Sale Real"),IF(I259-I255&lt;0.208333333333333,I259-I255,""),IF(AND(I254&lt;&gt;"",LEFT(C254,2)&lt;&gt;"Va",I254&lt;&gt;"H. Sale Real"),IF(I259-I254&lt;0.208333333333333,I259-I254,""),""))))),""),"")</f>
        <v/>
      </c>
      <c r="T258" s="89">
        <f>IF(G258&lt;&gt;"H. Sale Real",IF(AND(G259&lt;&gt;"",LEFT(C259,2)&lt;&gt;"Va"),IF(AND(G258&lt;&gt;"",LEFT(C258,2)&lt;&gt;"Va",G258&lt;&gt;"H. Sale Real"),IF(G259-G258&lt;0.208333333333333,G259-G258,""),IF(AND(G257&lt;&gt;"",LEFT(C257,2)&lt;&gt;"Va",G257&lt;&gt;"H. Sale Real"),IF(G259-G257&lt;0.208333333333333,G259-G257,""),IF(AND(G256&lt;&gt;"",LEFT(C256,2)&lt;&gt;"Va",G256&lt;&gt;"H. Sale Real"),IF(G259-G256&lt;0.208333333333333,G259-G256,""),IF(AND(G255&lt;&gt;"",LEFT(C255,2)&lt;&gt;"Va",G255&lt;&gt;"H. Sale Real"),IF(G259-G255&lt;0.208333333333333,G259-G255,""),IF(AND(G254&lt;&gt;"",LEFT(C254,2)&lt;&gt;"Va",G254&lt;&gt;"H. Sale Real"),IF(G259-G254&lt;0.208333333333333,G259-G254,""),""))))),""),"")</f>
        <v/>
      </c>
      <c r="U258" s="87" t="n"/>
      <c r="V258" s="89" t="n"/>
      <c r="W258" s="87" t="n"/>
      <c r="X258" s="89" t="n"/>
      <c r="Y258" s="91" t="n"/>
      <c r="Z258" s="122">
        <f>IF(G258&lt;&gt;"",IF(AND(Z257&lt;&gt;"IE",P258&lt;&gt;0,R258&lt;&gt;""),IF(IFERROR((P258/R258),0) &lt;=1,IFERROR(P258/R258,""),1),""),"")</f>
        <v/>
      </c>
      <c r="AA258" s="93" t="n"/>
      <c r="AB258" s="2" t="n"/>
      <c r="AE258" s="10">
        <f>HOUR(AK258)+1</f>
        <v/>
      </c>
      <c r="AF258" s="7" t="n"/>
      <c r="AG258" s="7" t="n"/>
      <c r="AH258" s="86" t="n"/>
      <c r="AI258" s="8" t="n"/>
      <c r="AJ258" s="86" t="n"/>
      <c r="AK258" s="87" t="n"/>
      <c r="AL258" s="88">
        <f>IF(AM258="","",IF(AND((AM258-AK258)&gt;=TIME(0,0,0),(AM258-AK258)&lt;TIME(0,3,0)),"OK",IF(AND((AM258-AK258)&gt;=TIME(0,3,0),(AM258-AK258)&lt;TIME(0,5,0)),"RETRASO DE 3-5 MIN",IF(AND((AM258-AK258)&gt;=TIME(0,5,0),(AM258-AK258)&lt;TIME(0,10,0)),"RETRASO DE 5-10 MIN",IF((AM258-AK258)&gt;=TIME(0,10,0),"RETRASO &gt;10 MIN", IF(AND((AK258-AM258)&gt;=TIME(0,0,0),(AK258-AM258)&lt;TIME(0,3,0)),"OK",IF((AK258-AM258)&gt;=TIME(0,3,0),"ADELANTADO")))))))</f>
        <v/>
      </c>
      <c r="AM258" s="91" t="n"/>
      <c r="AN258" s="89">
        <f>IF(AE258&lt;&gt;"",HLOOKUP(VALUE(TEXT(AK258,"h:mm:ss")),IF($C$6="Laboral",$FZ$4:$GX$227,IF($C$6="Sábado",$FZ$231:$GX$452,$FZ$456:$GX$656)),VLOOKUP($C$4,$HF$2:$HH$99,3,0)+IF(AG$5="Ida",0,1),1),"")</f>
        <v/>
      </c>
      <c r="AO258" s="89">
        <f>IF(AE259&lt;&gt;AE258,AVERAGEIF(AE$9:AE258,AE258,AN$9:AN258),"")</f>
        <v/>
      </c>
      <c r="AP258" s="89">
        <f>IFERROR(IF(AE259&lt;&gt;AE258,AVERAGEIF(AE$9:AE258,AE258,AW$9:AW258),""),"")</f>
        <v/>
      </c>
      <c r="AQ258" s="89">
        <f>IFERROR(IF(AE259&lt;&gt;AE258,AVERAGEIF(AE$9:AE258,AE258,AX$9:AX258),""),"")</f>
        <v/>
      </c>
      <c r="AR258" s="89">
        <f t="array" ref="AR258">IFERROR(IF(AE259&lt;&gt;AE258,_xlfn.STDEV.P(IF(AE$9:AE258=AE258,AX$9:AX258)),""),"")</f>
        <v/>
      </c>
      <c r="AS258" s="89">
        <f t="array" ref="AS258">IFERROR(IF(AE259&lt;&gt;AE258,_xlfn.STDEV.P(IF(AE$9:AE258=AE258,AW$9:AW258)),""),"")</f>
        <v/>
      </c>
      <c r="AT258" s="90">
        <f>IFERROR(IF(AE258&lt;&gt;AE259,MAX((((AQ258*24*60)/2)*(1+POWER((((AR258*24*60) / (AQ258*24*60) )),2))) + ((AQ258*24*60 )*-0.1 + (AO258*0.015)) +1,(((AQ258*24*60)/2)*(1+POWER((((AR258*24*60) / (AQ258*24*60 ))),2)))),""),"")</f>
        <v/>
      </c>
      <c r="AU258" s="90">
        <f>IF(AND(AS258&lt;&gt;"",AP258&lt;&gt;""),IF(AE258&lt;&gt;AE259,((AP258*24*60) / 2 ) * (1 + POWER(((AS258*24*60) / (AP258*24*60)),2)),""),"")</f>
        <v/>
      </c>
      <c r="AV258" s="90">
        <f>IF(AU258&lt;&gt;"",MAX(AT258,AU258),"")</f>
        <v/>
      </c>
      <c r="AW258" s="89">
        <f>IF(AM258&lt;&gt;"H. Sale Real",IF(AND(AM259&lt;&gt;"",LEFT(AG259,2)&lt;&gt;"Va"),IF(AND(AM258&lt;&gt;"",LEFT(AG258,2)&lt;&gt;"Va",AM258&lt;&gt;"H. Sale Real"),IF(AM259-AM258&lt;0.208333333333333,AM259-AM258,""),IF(AND(AM257&lt;&gt;"",LEFT(AG257,2)&lt;&gt;"Va",AM257&lt;&gt;"H. Sale Real"),IF(AM259-AM257&lt;0.208333333333333,AM259-AM257,""),IF(AND(AM256&lt;&gt;"",LEFT(AG256,2)&lt;&gt;"Va",AM256&lt;&gt;"H. Sale Real"),IF(AM259-AM256&lt;0.208333333333333,AM259-AM256,""),IF(AND(AM255&lt;&gt;"",LEFT(AG255,2)&lt;&gt;"Va",AM255&lt;&gt;"H. Sale Real"),IF(AM259-AM255&lt;0.208333333333333,AM259-AM255,""),IF(AND(AM254&lt;&gt;"",LEFT(AG254,2)&lt;&gt;"Va",AM254&lt;&gt;"H. Sale Real"),IF(AM259-AM254&lt;0.208333333333333,AM259-AM254,""),""))))),""),"")</f>
        <v/>
      </c>
      <c r="AX258" s="89">
        <f>IF(AK258&lt;&gt;"H. Sale Real",IF(AND(AK259&lt;&gt;"",LEFT(AG259,2)&lt;&gt;"Va"),IF(AND(AK258&lt;&gt;"",LEFT(AG258,2)&lt;&gt;"Va",AK258&lt;&gt;"H. Sale Real"),IF(AK259-AK258&lt;0.208333333333333,AK259-AK258,""),IF(AND(AK257&lt;&gt;"",LEFT(AG257,2)&lt;&gt;"Va",AK257&lt;&gt;"H. Sale Real"),IF(AK259-AK257&lt;0.208333333333333,AK259-AK257,""),IF(AND(AK256&lt;&gt;"",LEFT(AG256,2)&lt;&gt;"NC",AK256&lt;&gt;"H. Sale Real"),IF(AK259-AK256&lt;0.208333333333333,AK259-AK256,""),IF(AND(AK255&lt;&gt;"",LEFT(AG255,2)&lt;&gt;"Va",AK255&lt;&gt;"H. Sale Real"),IF(AK259-AK255&lt;0.208333333333333,AK259-AK255,""),IF(AND(AK254&lt;&gt;"",LEFT(AG254,2)&lt;&gt;"Va",AK254&lt;&gt;"H. Sale Real"),IF(AK259-AK254&lt;0.208333333333333,AK259-AK254,""),""))))),""),"")</f>
        <v/>
      </c>
      <c r="AY258" s="87" t="n"/>
      <c r="AZ258" s="89" t="n"/>
      <c r="BA258" s="87" t="n"/>
      <c r="BB258" s="89" t="n"/>
      <c r="BC258" s="91" t="n"/>
      <c r="BD258" s="122">
        <f>IF(AK258&lt;&gt;"",IF(AND(BD257&lt;&gt;"IE",AT258&lt;&gt;0,AV258&lt;&gt;""),IF(IFERROR((AT258/AV258),0) &lt;=1,IFERROR(AT258/AV258,""),1),""),"")</f>
        <v/>
      </c>
      <c r="BE258" s="93" t="n"/>
      <c r="BF258" s="105" t="n"/>
      <c r="FC258" t="inlineStr">
        <is>
          <t>Diccionario 1</t>
        </is>
      </c>
      <c r="FD258" s="15" t="n">
        <v>1257</v>
      </c>
      <c r="FE258" s="15" t="inlineStr">
        <is>
          <t>MDN35025020119</t>
        </is>
      </c>
      <c r="FF258" s="15" t="inlineStr">
        <is>
          <t>LDYECS313S0043981</t>
        </is>
      </c>
      <c r="FG258" s="15" t="inlineStr">
        <is>
          <t>Zhong Tong</t>
        </is>
      </c>
      <c r="FH258" s="15" t="inlineStr">
        <is>
          <t>Lck6122evg</t>
        </is>
      </c>
      <c r="FI258" s="15" t="inlineStr">
        <is>
          <t>ZHONGTONG</t>
        </is>
      </c>
      <c r="FJ258" s="15" t="inlineStr">
        <is>
          <t>LCK6122EVG</t>
        </is>
      </c>
      <c r="FK258" s="15" t="n">
        <v>2025</v>
      </c>
      <c r="FL258" s="15" t="inlineStr">
        <is>
          <t>B</t>
        </is>
      </c>
      <c r="FM258" s="15" t="inlineStr">
        <is>
          <t>PIE ANDINO</t>
        </is>
      </c>
      <c r="FN258" s="15" t="inlineStr">
        <is>
          <t>Pie Andino 31 (Pie Andino 383)</t>
        </is>
      </c>
      <c r="FO258" s="15" t="inlineStr">
        <is>
          <t>Puente Alto</t>
        </is>
      </c>
      <c r="FP258" t="inlineStr">
        <is>
          <t>B</t>
        </is>
      </c>
      <c r="FS258" s="14" t="inlineStr">
        <is>
          <t>3064 / SFWZ-61|</t>
        </is>
      </c>
      <c r="FT258" t="inlineStr">
        <is>
          <t>SFWZ-61|</t>
        </is>
      </c>
      <c r="FU258" t="inlineStr">
        <is>
          <t>SFWZ-61</t>
        </is>
      </c>
      <c r="FV258">
        <f>VLOOKUP(FU258,FD:FL,9,0)</f>
        <v/>
      </c>
      <c r="FZ258" s="51" t="inlineStr">
        <is>
          <t>B37</t>
        </is>
      </c>
      <c r="GA258" s="117" t="n">
        <v>0</v>
      </c>
      <c r="GB258" s="117" t="n">
        <v>0</v>
      </c>
      <c r="GC258" s="117" t="n">
        <v>0</v>
      </c>
      <c r="GD258" s="117" t="n">
        <v>0</v>
      </c>
      <c r="GE258" s="117" t="n">
        <v>0</v>
      </c>
      <c r="GF258" s="117" t="n">
        <v>14.93</v>
      </c>
      <c r="GG258" s="117" t="n">
        <v>28.285</v>
      </c>
      <c r="GH258" s="117" t="n">
        <v>26.845</v>
      </c>
      <c r="GI258" s="117" t="n">
        <v>27.795</v>
      </c>
      <c r="GJ258" s="117" t="n">
        <v>27.54</v>
      </c>
      <c r="GK258" s="117" t="n">
        <v>27.65</v>
      </c>
      <c r="GL258" s="117" t="n">
        <v>27.55</v>
      </c>
      <c r="GM258" s="117" t="n">
        <v>26.435</v>
      </c>
      <c r="GN258" s="117" t="n">
        <v>25.86</v>
      </c>
      <c r="GO258" s="117" t="n">
        <v>26.635</v>
      </c>
      <c r="GP258" s="117" t="n">
        <v>27.01</v>
      </c>
      <c r="GQ258" s="117" t="n">
        <v>26.895</v>
      </c>
      <c r="GR258" s="117" t="n">
        <v>27.105</v>
      </c>
      <c r="GS258" s="117" t="n">
        <v>26.55</v>
      </c>
      <c r="GT258" s="117" t="n">
        <v>26.355</v>
      </c>
      <c r="GU258" s="117" t="n">
        <v>28.17</v>
      </c>
      <c r="GV258" s="117" t="n">
        <v>29.48</v>
      </c>
      <c r="GW258" s="117" t="n">
        <v>29.23</v>
      </c>
      <c r="GX258" s="117" t="n">
        <v>0</v>
      </c>
      <c r="HA258" s="35" t="n">
        <v>28</v>
      </c>
      <c r="HB258" s="35" t="n">
        <v>252</v>
      </c>
    </row>
    <row r="259" ht="15.5" customHeight="1">
      <c r="A259" s="10">
        <f>HOUR(G259)+1</f>
        <v/>
      </c>
      <c r="B259" s="7" t="n"/>
      <c r="C259" s="7" t="n"/>
      <c r="D259" s="85">
        <f>IFERROR(
IF(AND(OR(Planilla!B259="C",Planilla!B259="c"), VLOOKUP(E259,FD:FP,13,0)="C"), "OK",IF(AND(OR(Planilla!B259="C",Planilla!B259="c"), OR(VLOOKUP(E259,FD:FP,13,0)="B", VLOOKUP(E259,FD:FP,13,0)="A")), "DEFICIT",IF(
AND(OR(Planilla!B259="B", Planilla!B259="BPAL"), VLOOKUP(E259,FD:FP,13,0)="B"), "OK",IF(AND(OR(Planilla!B259="B", Planilla!B259="BPAL"), VLOOKUP(E259,FD:FP,13,0)="A"), "DEFICIT",IF(AND(OR(Planilla!B259="B", Planilla!B259="BPAL"), VLOOKUP(E259,FD:FP,13,0)="C"), "SOBREOFERTA",IF(AND(Planilla!B259="A", VLOOKUP(E259,FD:FP,13,0)="A"), "OK",IF(
AND(Planilla!B259="A", OR(VLOOKUP(E259,FD:FP,13,0)="B", VLOOKUP(E259,FD:FP,13,0)="C")), "SOBREOFERTA",""
))))))),"")</f>
        <v/>
      </c>
      <c r="E259" s="8" t="n"/>
      <c r="F259" s="86" t="n"/>
      <c r="G259" s="87" t="n"/>
      <c r="H259" s="88">
        <f>IF(I259="","",IF(AND((I259-G259)&gt;=TIME(0,0,0),(I259-G259)&lt;TIME(0,3,0)),"OK",IF(AND((I259-G259)&gt;=TIME(0,3,0),(I259-G259)&lt;TIME(0,5,0)),"RETRASO DE 3-5 MIN",IF(AND((I259-G259)&gt;=TIME(0,5,0),(I259-G259)&lt;TIME(0,10,0)),"RETRASO DE 5-10 MIN",IF((I259-G259)&gt;=TIME(0,10,0),"RETRASO &gt;10 MIN", IF(AND((G259-I259)&gt;=TIME(0,0,0),(G259-I259)&lt;TIME(0,3,0)),"OK",IF((G259-I259)&gt;=TIME(0,3,0),"ADELANTADO")))))))</f>
        <v/>
      </c>
      <c r="I259" s="89" t="n"/>
      <c r="J259" s="89">
        <f>IF(A259&lt;&gt;"",HLOOKUP(VALUE(TEXT(G259,"h:mm:ss")),IF($C$6="Laboral",$FZ$4:$GX$227,IF($C$6="Sábado",$FZ$231:$GX$452,$FZ$456:$GX$656)),VLOOKUP($C$4,$HF$2:$HH$99,3,0)+IF(C$5="Ida",0,1),1),"")</f>
        <v/>
      </c>
      <c r="K259" s="89">
        <f>IF(A260&lt;&gt;A259,AVERAGEIF(A$9:A259,A259,J$9:J259),"")</f>
        <v/>
      </c>
      <c r="L259" s="89">
        <f>IFERROR(IF(A260&lt;&gt;A259,AVERAGEIF(A$9:A259,A259,S$9:S259),""),"")</f>
        <v/>
      </c>
      <c r="M259" s="89">
        <f>IFERROR(IF(A260&lt;&gt;A259,AVERAGEIF(A$9:A259,A259,T$9:T259),""),"")</f>
        <v/>
      </c>
      <c r="N259" s="89">
        <f t="array" ref="N259">IFERROR(IF(A260&lt;&gt;A259,_xlfn.STDEV.P(IF(A$9:A259=A259,T$9:T259)),""),"")</f>
        <v/>
      </c>
      <c r="O259" s="89">
        <f t="array" ref="O259">IFERROR(IF(A260&lt;&gt;A259,_xlfn.STDEV.P(IF(A$9:A259=A259,S$9:S259)),""),"")</f>
        <v/>
      </c>
      <c r="P259" s="90">
        <f>IFERROR(IF(A259&lt;&gt;A260,MAX((((M259*24*60)/2)*(1+POWER((((N259*24*60) / (M259*24*60) )),2))) + ((M259*24*60 )*-0.1 + (K259*0.015)) +1,(((M259*24*60)/2)*(1+POWER((((N259*24*60) / (M259*24*60 ))),2)))),""),"")</f>
        <v/>
      </c>
      <c r="Q259" s="90">
        <f>IF(AND(O259&lt;&gt;"",L259&lt;&gt;""),IF(A259&lt;&gt;A260,((L259*24*60) / 2 ) * (1 + POWER(((O259*24*60) / (L259*24*60)),2)),""),"")</f>
        <v/>
      </c>
      <c r="R259" s="90">
        <f>IF(Q259&lt;&gt;"",MAX(P259,Q259),"")</f>
        <v/>
      </c>
      <c r="S259" s="89">
        <f>IF(I259&lt;&gt;"H. Sale Real",IF(AND(I260&lt;&gt;"",LEFT(C260,2)&lt;&gt;"Va"),IF(AND(I259&lt;&gt;"",LEFT(C259,2)&lt;&gt;"Va",I259&lt;&gt;"H. Sale Real"),IF(I260-I259&lt;0.208333333333333,I260-I259,""),IF(AND(I258&lt;&gt;"",LEFT(C258,2)&lt;&gt;"Va",I258&lt;&gt;"H. Sale Real"),IF(I260-I258&lt;0.208333333333333,I260-I258,""),IF(AND(I257&lt;&gt;"",LEFT(C257,2)&lt;&gt;"Va",I257&lt;&gt;"H. Sale Real"),IF(I260-I257&lt;0.208333333333333,I260-I257,""),IF(AND(I256&lt;&gt;"",LEFT(C256,2)&lt;&gt;"Va",I256&lt;&gt;"H. Sale Real"),IF(I260-I256&lt;0.208333333333333,I260-I256,""),IF(AND(I255&lt;&gt;"",LEFT(C255,2)&lt;&gt;"Va",I255&lt;&gt;"H. Sale Real"),IF(I260-I255&lt;0.208333333333333,I260-I255,""),""))))),""),"")</f>
        <v/>
      </c>
      <c r="T259" s="89">
        <f>IF(G259&lt;&gt;"H. Sale Real",IF(AND(G260&lt;&gt;"",LEFT(C260,2)&lt;&gt;"Va"),IF(AND(G259&lt;&gt;"",LEFT(C259,2)&lt;&gt;"Va",G259&lt;&gt;"H. Sale Real"),IF(G260-G259&lt;0.208333333333333,G260-G259,""),IF(AND(G258&lt;&gt;"",LEFT(C258,2)&lt;&gt;"Va",G258&lt;&gt;"H. Sale Real"),IF(G260-G258&lt;0.208333333333333,G260-G258,""),IF(AND(G257&lt;&gt;"",LEFT(C257,2)&lt;&gt;"Va",G257&lt;&gt;"H. Sale Real"),IF(G260-G257&lt;0.208333333333333,G260-G257,""),IF(AND(G256&lt;&gt;"",LEFT(C256,2)&lt;&gt;"Va",G256&lt;&gt;"H. Sale Real"),IF(G260-G256&lt;0.208333333333333,G260-G256,""),IF(AND(G255&lt;&gt;"",LEFT(C255,2)&lt;&gt;"Va",G255&lt;&gt;"H. Sale Real"),IF(G260-G255&lt;0.208333333333333,G260-G255,""),""))))),""),"")</f>
        <v/>
      </c>
      <c r="U259" s="87" t="n"/>
      <c r="V259" s="89" t="n"/>
      <c r="W259" s="87" t="n"/>
      <c r="X259" s="89" t="n"/>
      <c r="Y259" s="91" t="n"/>
      <c r="Z259" s="122">
        <f>IF(G259&lt;&gt;"",IF(AND(Z258&lt;&gt;"IE",P259&lt;&gt;0,R259&lt;&gt;""),IF(IFERROR((P259/R259),0) &lt;=1,IFERROR(P259/R259,""),1),""),"")</f>
        <v/>
      </c>
      <c r="AA259" s="93" t="n"/>
      <c r="AB259" s="2" t="n"/>
      <c r="AE259" s="10">
        <f>HOUR(AK259)+1</f>
        <v/>
      </c>
      <c r="AF259" s="7" t="n"/>
      <c r="AG259" s="7" t="n"/>
      <c r="AH259" s="86" t="n"/>
      <c r="AI259" s="8" t="n"/>
      <c r="AJ259" s="86" t="n"/>
      <c r="AK259" s="87" t="n"/>
      <c r="AL259" s="88">
        <f>IF(AM259="","",IF(AND((AM259-AK259)&gt;=TIME(0,0,0),(AM259-AK259)&lt;TIME(0,3,0)),"OK",IF(AND((AM259-AK259)&gt;=TIME(0,3,0),(AM259-AK259)&lt;TIME(0,5,0)),"RETRASO DE 3-5 MIN",IF(AND((AM259-AK259)&gt;=TIME(0,5,0),(AM259-AK259)&lt;TIME(0,10,0)),"RETRASO DE 5-10 MIN",IF((AM259-AK259)&gt;=TIME(0,10,0),"RETRASO &gt;10 MIN", IF(AND((AK259-AM259)&gt;=TIME(0,0,0),(AK259-AM259)&lt;TIME(0,3,0)),"OK",IF((AK259-AM259)&gt;=TIME(0,3,0),"ADELANTADO")))))))</f>
        <v/>
      </c>
      <c r="AM259" s="91" t="n"/>
      <c r="AN259" s="89">
        <f>IF(AE259&lt;&gt;"",HLOOKUP(VALUE(TEXT(AK259,"h:mm:ss")),IF($C$6="Laboral",$FZ$4:$GX$227,IF($C$6="Sábado",$FZ$231:$GX$452,$FZ$456:$GX$656)),VLOOKUP($C$4,$HF$2:$HH$99,3,0)+IF(AG$5="Ida",0,1),1),"")</f>
        <v/>
      </c>
      <c r="AO259" s="89">
        <f>IF(AE260&lt;&gt;AE259,AVERAGEIF(AE$9:AE259,AE259,AN$9:AN259),"")</f>
        <v/>
      </c>
      <c r="AP259" s="89">
        <f>IFERROR(IF(AE260&lt;&gt;AE259,AVERAGEIF(AE$9:AE259,AE259,AW$9:AW259),""),"")</f>
        <v/>
      </c>
      <c r="AQ259" s="89">
        <f>IFERROR(IF(AE260&lt;&gt;AE259,AVERAGEIF(AE$9:AE259,AE259,AX$9:AX259),""),"")</f>
        <v/>
      </c>
      <c r="AR259" s="89">
        <f t="array" ref="AR259">IFERROR(IF(AE260&lt;&gt;AE259,_xlfn.STDEV.P(IF(AE$9:AE259=AE259,AX$9:AX259)),""),"")</f>
        <v/>
      </c>
      <c r="AS259" s="89">
        <f t="array" ref="AS259">IFERROR(IF(AE260&lt;&gt;AE259,_xlfn.STDEV.P(IF(AE$9:AE259=AE259,AW$9:AW259)),""),"")</f>
        <v/>
      </c>
      <c r="AT259" s="90">
        <f>IFERROR(IF(AE259&lt;&gt;AE260,MAX((((AQ259*24*60)/2)*(1+POWER((((AR259*24*60) / (AQ259*24*60) )),2))) + ((AQ259*24*60 )*-0.1 + (AO259*0.015)) +1,(((AQ259*24*60)/2)*(1+POWER((((AR259*24*60) / (AQ259*24*60 ))),2)))),""),"")</f>
        <v/>
      </c>
      <c r="AU259" s="90">
        <f>IF(AND(AS259&lt;&gt;"",AP259&lt;&gt;""),IF(AE259&lt;&gt;AE260,((AP259*24*60) / 2 ) * (1 + POWER(((AS259*24*60) / (AP259*24*60)),2)),""),"")</f>
        <v/>
      </c>
      <c r="AV259" s="90">
        <f>IF(AU259&lt;&gt;"",MAX(AT259,AU259),"")</f>
        <v/>
      </c>
      <c r="AW259" s="89">
        <f>IF(AM259&lt;&gt;"H. Sale Real",IF(AND(AM260&lt;&gt;"",LEFT(AG260,2)&lt;&gt;"Va"),IF(AND(AM259&lt;&gt;"",LEFT(AG259,2)&lt;&gt;"Va",AM259&lt;&gt;"H. Sale Real"),IF(AM260-AM259&lt;0.208333333333333,AM260-AM259,""),IF(AND(AM258&lt;&gt;"",LEFT(AG258,2)&lt;&gt;"Va",AM258&lt;&gt;"H. Sale Real"),IF(AM260-AM258&lt;0.208333333333333,AM260-AM258,""),IF(AND(AM257&lt;&gt;"",LEFT(AG257,2)&lt;&gt;"Va",AM257&lt;&gt;"H. Sale Real"),IF(AM260-AM257&lt;0.208333333333333,AM260-AM257,""),IF(AND(AM256&lt;&gt;"",LEFT(AG256,2)&lt;&gt;"Va",AM256&lt;&gt;"H. Sale Real"),IF(AM260-AM256&lt;0.208333333333333,AM260-AM256,""),IF(AND(AM255&lt;&gt;"",LEFT(AG255,2)&lt;&gt;"Va",AM255&lt;&gt;"H. Sale Real"),IF(AM260-AM255&lt;0.208333333333333,AM260-AM255,""),""))))),""),"")</f>
        <v/>
      </c>
      <c r="AX259" s="89">
        <f>IF(AK259&lt;&gt;"H. Sale Real",IF(AND(AK260&lt;&gt;"",LEFT(AG260,2)&lt;&gt;"Va"),IF(AND(AK259&lt;&gt;"",LEFT(AG259,2)&lt;&gt;"Va",AK259&lt;&gt;"H. Sale Real"),IF(AK260-AK259&lt;0.208333333333333,AK260-AK259,""),IF(AND(AK258&lt;&gt;"",LEFT(AG258,2)&lt;&gt;"Va",AK258&lt;&gt;"H. Sale Real"),IF(AK260-AK258&lt;0.208333333333333,AK260-AK258,""),IF(AND(AK257&lt;&gt;"",LEFT(AG257,2)&lt;&gt;"NC",AK257&lt;&gt;"H. Sale Real"),IF(AK260-AK257&lt;0.208333333333333,AK260-AK257,""),IF(AND(AK256&lt;&gt;"",LEFT(AG256,2)&lt;&gt;"Va",AK256&lt;&gt;"H. Sale Real"),IF(AK260-AK256&lt;0.208333333333333,AK260-AK256,""),IF(AND(AK255&lt;&gt;"",LEFT(AG255,2)&lt;&gt;"Va",AK255&lt;&gt;"H. Sale Real"),IF(AK260-AK255&lt;0.208333333333333,AK260-AK255,""),""))))),""),"")</f>
        <v/>
      </c>
      <c r="AY259" s="87" t="n"/>
      <c r="AZ259" s="89" t="n"/>
      <c r="BA259" s="87" t="n"/>
      <c r="BB259" s="89" t="n"/>
      <c r="BC259" s="91" t="n"/>
      <c r="BD259" s="122">
        <f>IF(AK259&lt;&gt;"",IF(AND(BD258&lt;&gt;"IE",AT259&lt;&gt;0,AV259&lt;&gt;""),IF(IFERROR((AT259/AV259),0) &lt;=1,IFERROR(AT259/AV259,""),1),""),"")</f>
        <v/>
      </c>
      <c r="BE259" s="93" t="n"/>
      <c r="BF259" s="105" t="n"/>
      <c r="FC259" t="inlineStr">
        <is>
          <t>Diccionario 1</t>
        </is>
      </c>
      <c r="FD259" s="15" t="n">
        <v>1258</v>
      </c>
      <c r="FE259" s="15" t="inlineStr">
        <is>
          <t>MDN35025020092</t>
        </is>
      </c>
      <c r="FF259" s="15" t="inlineStr">
        <is>
          <t>LDYECS319S0043998</t>
        </is>
      </c>
      <c r="FG259" s="15" t="inlineStr">
        <is>
          <t>Zhong Tong</t>
        </is>
      </c>
      <c r="FH259" s="15" t="inlineStr">
        <is>
          <t>Lck6122evg</t>
        </is>
      </c>
      <c r="FI259" s="15" t="inlineStr">
        <is>
          <t>ZHONGTONG</t>
        </is>
      </c>
      <c r="FJ259" s="15" t="inlineStr">
        <is>
          <t>LCK6122EVG</t>
        </is>
      </c>
      <c r="FK259" s="15" t="n">
        <v>2025</v>
      </c>
      <c r="FL259" s="15" t="inlineStr">
        <is>
          <t>B</t>
        </is>
      </c>
      <c r="FM259" s="15" t="inlineStr">
        <is>
          <t>CERRILLOS</t>
        </is>
      </c>
      <c r="FN259" s="15" t="inlineStr">
        <is>
          <t>Calle Uno 7371</t>
        </is>
      </c>
      <c r="FO259" s="15" t="inlineStr">
        <is>
          <t>Cerrillos</t>
        </is>
      </c>
      <c r="FP259" t="inlineStr">
        <is>
          <t>B</t>
        </is>
      </c>
      <c r="FS259" s="14" t="inlineStr">
        <is>
          <t>3064 / SFWZ-61|</t>
        </is>
      </c>
      <c r="FT259" t="inlineStr">
        <is>
          <t>SFWZ-61|</t>
        </is>
      </c>
      <c r="FU259" t="inlineStr">
        <is>
          <t>SFWZ-61</t>
        </is>
      </c>
      <c r="FV259">
        <f>VLOOKUP(FU259,FD:FL,9,0)</f>
        <v/>
      </c>
      <c r="FZ259" s="51" t="inlineStr">
        <is>
          <t>B28</t>
        </is>
      </c>
      <c r="GA259" s="117" t="n">
        <v>0</v>
      </c>
      <c r="GB259" s="117" t="n">
        <v>0</v>
      </c>
      <c r="GC259" s="117" t="n">
        <v>0</v>
      </c>
      <c r="GD259" s="117" t="n">
        <v>0</v>
      </c>
      <c r="GE259" s="117" t="n">
        <v>0</v>
      </c>
      <c r="GF259" s="117" t="n">
        <v>10.3</v>
      </c>
      <c r="GG259" s="117" t="n">
        <v>20.43</v>
      </c>
      <c r="GH259" s="117" t="n">
        <v>20.02</v>
      </c>
      <c r="GI259" s="117" t="n">
        <v>19.51</v>
      </c>
      <c r="GJ259" s="117" t="n">
        <v>18.61</v>
      </c>
      <c r="GK259" s="117" t="n">
        <v>17.66</v>
      </c>
      <c r="GL259" s="117" t="n">
        <v>16.585</v>
      </c>
      <c r="GM259" s="117" t="n">
        <v>15.55</v>
      </c>
      <c r="GN259" s="117" t="n">
        <v>15.495</v>
      </c>
      <c r="GO259" s="117" t="n">
        <v>16.365</v>
      </c>
      <c r="GP259" s="117" t="n">
        <v>16.25</v>
      </c>
      <c r="GQ259" s="117" t="n">
        <v>16.265</v>
      </c>
      <c r="GR259" s="117" t="n">
        <v>16.605</v>
      </c>
      <c r="GS259" s="117" t="n">
        <v>17.15</v>
      </c>
      <c r="GT259" s="117" t="n">
        <v>17.73</v>
      </c>
      <c r="GU259" s="117" t="n">
        <v>19.41</v>
      </c>
      <c r="GV259" s="117" t="n">
        <v>20.235</v>
      </c>
      <c r="GW259" s="117" t="n">
        <v>22.475</v>
      </c>
      <c r="GX259" s="117" t="n">
        <v>24.025</v>
      </c>
      <c r="HA259" s="35" t="n">
        <v>29</v>
      </c>
      <c r="HB259" s="35" t="n">
        <v>253</v>
      </c>
    </row>
    <row r="260" ht="15.5" customHeight="1">
      <c r="A260" s="10">
        <f>HOUR(G260)+1</f>
        <v/>
      </c>
      <c r="B260" s="7" t="n"/>
      <c r="C260" s="7" t="n"/>
      <c r="D260" s="85">
        <f>IFERROR(
IF(AND(OR(Planilla!B260="C",Planilla!B260="c"), VLOOKUP(E260,FD:FP,13,0)="C"), "OK",IF(AND(OR(Planilla!B260="C",Planilla!B260="c"), OR(VLOOKUP(E260,FD:FP,13,0)="B", VLOOKUP(E260,FD:FP,13,0)="A")), "DEFICIT",IF(
AND(OR(Planilla!B260="B", Planilla!B260="BPAL"), VLOOKUP(E260,FD:FP,13,0)="B"), "OK",IF(AND(OR(Planilla!B260="B", Planilla!B260="BPAL"), VLOOKUP(E260,FD:FP,13,0)="A"), "DEFICIT",IF(AND(OR(Planilla!B260="B", Planilla!B260="BPAL"), VLOOKUP(E260,FD:FP,13,0)="C"), "SOBREOFERTA",IF(AND(Planilla!B260="A", VLOOKUP(E260,FD:FP,13,0)="A"), "OK",IF(
AND(Planilla!B260="A", OR(VLOOKUP(E260,FD:FP,13,0)="B", VLOOKUP(E260,FD:FP,13,0)="C")), "SOBREOFERTA",""
))))))),"")</f>
        <v/>
      </c>
      <c r="E260" s="8" t="n"/>
      <c r="F260" s="86" t="n"/>
      <c r="G260" s="87" t="n"/>
      <c r="H260" s="88">
        <f>IF(I260="","",IF(AND((I260-G260)&gt;=TIME(0,0,0),(I260-G260)&lt;TIME(0,3,0)),"OK",IF(AND((I260-G260)&gt;=TIME(0,3,0),(I260-G260)&lt;TIME(0,5,0)),"RETRASO DE 3-5 MIN",IF(AND((I260-G260)&gt;=TIME(0,5,0),(I260-G260)&lt;TIME(0,10,0)),"RETRASO DE 5-10 MIN",IF((I260-G260)&gt;=TIME(0,10,0),"RETRASO &gt;10 MIN", IF(AND((G260-I260)&gt;=TIME(0,0,0),(G260-I260)&lt;TIME(0,3,0)),"OK",IF((G260-I260)&gt;=TIME(0,3,0),"ADELANTADO")))))))</f>
        <v/>
      </c>
      <c r="I260" s="89" t="n"/>
      <c r="J260" s="89">
        <f>IF(A260&lt;&gt;"",HLOOKUP(VALUE(TEXT(G260,"h:mm:ss")),IF($C$6="Laboral",$FZ$4:$GX$227,IF($C$6="Sábado",$FZ$231:$GX$452,$FZ$456:$GX$656)),VLOOKUP($C$4,$HF$2:$HH$99,3,0)+IF(C$5="Ida",0,1),1),"")</f>
        <v/>
      </c>
      <c r="K260" s="89">
        <f>IF(A261&lt;&gt;A260,AVERAGEIF(A$9:A260,A260,J$9:J260),"")</f>
        <v/>
      </c>
      <c r="L260" s="89">
        <f>IFERROR(IF(A261&lt;&gt;A260,AVERAGEIF(A$9:A260,A260,S$9:S260),""),"")</f>
        <v/>
      </c>
      <c r="M260" s="89">
        <f>IFERROR(IF(A261&lt;&gt;A260,AVERAGEIF(A$9:A260,A260,T$9:T260),""),"")</f>
        <v/>
      </c>
      <c r="N260" s="89">
        <f t="array" ref="N260">IFERROR(IF(A261&lt;&gt;A260,_xlfn.STDEV.P(IF(A$9:A260=A260,T$9:T260)),""),"")</f>
        <v/>
      </c>
      <c r="O260" s="89">
        <f t="array" ref="O260">IFERROR(IF(A261&lt;&gt;A260,_xlfn.STDEV.P(IF(A$9:A260=A260,S$9:S260)),""),"")</f>
        <v/>
      </c>
      <c r="P260" s="90">
        <f>IFERROR(IF(A260&lt;&gt;A261,MAX((((M260*24*60)/2)*(1+POWER((((N260*24*60) / (M260*24*60) )),2))) + ((M260*24*60 )*-0.1 + (K260*0.015)) +1,(((M260*24*60)/2)*(1+POWER((((N260*24*60) / (M260*24*60 ))),2)))),""),"")</f>
        <v/>
      </c>
      <c r="Q260" s="90">
        <f>IF(AND(O260&lt;&gt;"",L260&lt;&gt;""),IF(A260&lt;&gt;A261,((L260*24*60) / 2 ) * (1 + POWER(((O260*24*60) / (L260*24*60)),2)),""),"")</f>
        <v/>
      </c>
      <c r="R260" s="90">
        <f>IF(Q260&lt;&gt;"",MAX(P260,Q260),"")</f>
        <v/>
      </c>
      <c r="S260" s="89">
        <f>IF(I260&lt;&gt;"H. Sale Real",IF(AND(I261&lt;&gt;"",LEFT(C261,2)&lt;&gt;"Va"),IF(AND(I260&lt;&gt;"",LEFT(C260,2)&lt;&gt;"Va",I260&lt;&gt;"H. Sale Real"),IF(I261-I260&lt;0.208333333333333,I261-I260,""),IF(AND(I259&lt;&gt;"",LEFT(C259,2)&lt;&gt;"Va",I259&lt;&gt;"H. Sale Real"),IF(I261-I259&lt;0.208333333333333,I261-I259,""),IF(AND(I258&lt;&gt;"",LEFT(C258,2)&lt;&gt;"Va",I258&lt;&gt;"H. Sale Real"),IF(I261-I258&lt;0.208333333333333,I261-I258,""),IF(AND(I257&lt;&gt;"",LEFT(C257,2)&lt;&gt;"Va",I257&lt;&gt;"H. Sale Real"),IF(I261-I257&lt;0.208333333333333,I261-I257,""),IF(AND(I256&lt;&gt;"",LEFT(C256,2)&lt;&gt;"Va",I256&lt;&gt;"H. Sale Real"),IF(I261-I256&lt;0.208333333333333,I261-I256,""),""))))),""),"")</f>
        <v/>
      </c>
      <c r="T260" s="89">
        <f>IF(G260&lt;&gt;"H. Sale Real",IF(AND(G261&lt;&gt;"",LEFT(C261,2)&lt;&gt;"Va"),IF(AND(G260&lt;&gt;"",LEFT(C260,2)&lt;&gt;"Va",G260&lt;&gt;"H. Sale Real"),IF(G261-G260&lt;0.208333333333333,G261-G260,""),IF(AND(G259&lt;&gt;"",LEFT(C259,2)&lt;&gt;"Va",G259&lt;&gt;"H. Sale Real"),IF(G261-G259&lt;0.208333333333333,G261-G259,""),IF(AND(G258&lt;&gt;"",LEFT(C258,2)&lt;&gt;"Va",G258&lt;&gt;"H. Sale Real"),IF(G261-G258&lt;0.208333333333333,G261-G258,""),IF(AND(G257&lt;&gt;"",LEFT(C257,2)&lt;&gt;"Va",G257&lt;&gt;"H. Sale Real"),IF(G261-G257&lt;0.208333333333333,G261-G257,""),IF(AND(G256&lt;&gt;"",LEFT(C256,2)&lt;&gt;"Va",G256&lt;&gt;"H. Sale Real"),IF(G261-G256&lt;0.208333333333333,G261-G256,""),""))))),""),"")</f>
        <v/>
      </c>
      <c r="U260" s="87" t="n"/>
      <c r="V260" s="89" t="n"/>
      <c r="W260" s="87" t="n"/>
      <c r="X260" s="89" t="n"/>
      <c r="Y260" s="91" t="n"/>
      <c r="Z260" s="122">
        <f>IF(G260&lt;&gt;"",IF(AND(Z259&lt;&gt;"IE",P260&lt;&gt;0,R260&lt;&gt;""),IF(IFERROR((P260/R260),0) &lt;=1,IFERROR(P260/R260,""),1),""),"")</f>
        <v/>
      </c>
      <c r="AA260" s="93" t="n"/>
      <c r="AB260" s="2" t="n"/>
      <c r="AE260" s="10">
        <f>HOUR(AK260)+1</f>
        <v/>
      </c>
      <c r="AF260" s="7" t="n"/>
      <c r="AG260" s="7" t="n"/>
      <c r="AH260" s="86" t="n"/>
      <c r="AI260" s="8" t="n"/>
      <c r="AJ260" s="86" t="n"/>
      <c r="AK260" s="87" t="n"/>
      <c r="AL260" s="88">
        <f>IF(AM260="","",IF(AND((AM260-AK260)&gt;=TIME(0,0,0),(AM260-AK260)&lt;TIME(0,3,0)),"OK",IF(AND((AM260-AK260)&gt;=TIME(0,3,0),(AM260-AK260)&lt;TIME(0,5,0)),"RETRASO DE 3-5 MIN",IF(AND((AM260-AK260)&gt;=TIME(0,5,0),(AM260-AK260)&lt;TIME(0,10,0)),"RETRASO DE 5-10 MIN",IF((AM260-AK260)&gt;=TIME(0,10,0),"RETRASO &gt;10 MIN", IF(AND((AK260-AM260)&gt;=TIME(0,0,0),(AK260-AM260)&lt;TIME(0,3,0)),"OK",IF((AK260-AM260)&gt;=TIME(0,3,0),"ADELANTADO")))))))</f>
        <v/>
      </c>
      <c r="AM260" s="91" t="n"/>
      <c r="AN260" s="89">
        <f>IF(AE260&lt;&gt;"",HLOOKUP(VALUE(TEXT(AK260,"h:mm:ss")),IF($C$6="Laboral",$FZ$4:$GX$227,IF($C$6="Sábado",$FZ$231:$GX$452,$FZ$456:$GX$656)),VLOOKUP($C$4,$HF$2:$HH$99,3,0)+IF(AG$5="Ida",0,1),1),"")</f>
        <v/>
      </c>
      <c r="AO260" s="89">
        <f>IF(AE261&lt;&gt;AE260,AVERAGEIF(AE$9:AE260,AE260,AN$9:AN260),"")</f>
        <v/>
      </c>
      <c r="AP260" s="89">
        <f>IFERROR(IF(AE261&lt;&gt;AE260,AVERAGEIF(AE$9:AE260,AE260,AW$9:AW260),""),"")</f>
        <v/>
      </c>
      <c r="AQ260" s="89">
        <f>IFERROR(IF(AE261&lt;&gt;AE260,AVERAGEIF(AE$9:AE260,AE260,AX$9:AX260),""),"")</f>
        <v/>
      </c>
      <c r="AR260" s="89">
        <f t="array" ref="AR260">IFERROR(IF(AE261&lt;&gt;AE260,_xlfn.STDEV.P(IF(AE$9:AE260=AE260,AX$9:AX260)),""),"")</f>
        <v/>
      </c>
      <c r="AS260" s="89">
        <f t="array" ref="AS260">IFERROR(IF(AE261&lt;&gt;AE260,_xlfn.STDEV.P(IF(AE$9:AE260=AE260,AW$9:AW260)),""),"")</f>
        <v/>
      </c>
      <c r="AT260" s="90">
        <f>IFERROR(IF(AE260&lt;&gt;AE261,MAX((((AQ260*24*60)/2)*(1+POWER((((AR260*24*60) / (AQ260*24*60) )),2))) + ((AQ260*24*60 )*-0.1 + (AO260*0.015)) +1,(((AQ260*24*60)/2)*(1+POWER((((AR260*24*60) / (AQ260*24*60 ))),2)))),""),"")</f>
        <v/>
      </c>
      <c r="AU260" s="90">
        <f>IF(AND(AS260&lt;&gt;"",AP260&lt;&gt;""),IF(AE260&lt;&gt;AE261,((AP260*24*60) / 2 ) * (1 + POWER(((AS260*24*60) / (AP260*24*60)),2)),""),"")</f>
        <v/>
      </c>
      <c r="AV260" s="90">
        <f>IF(AU260&lt;&gt;"",MAX(AT260,AU260),"")</f>
        <v/>
      </c>
      <c r="AW260" s="89">
        <f>IF(AM260&lt;&gt;"H. Sale Real",IF(AND(AM261&lt;&gt;"",LEFT(AG261,2)&lt;&gt;"Va"),IF(AND(AM260&lt;&gt;"",LEFT(AG260,2)&lt;&gt;"Va",AM260&lt;&gt;"H. Sale Real"),IF(AM261-AM260&lt;0.208333333333333,AM261-AM260,""),IF(AND(AM259&lt;&gt;"",LEFT(AG259,2)&lt;&gt;"Va",AM259&lt;&gt;"H. Sale Real"),IF(AM261-AM259&lt;0.208333333333333,AM261-AM259,""),IF(AND(AM258&lt;&gt;"",LEFT(AG258,2)&lt;&gt;"Va",AM258&lt;&gt;"H. Sale Real"),IF(AM261-AM258&lt;0.208333333333333,AM261-AM258,""),IF(AND(AM257&lt;&gt;"",LEFT(AG257,2)&lt;&gt;"Va",AM257&lt;&gt;"H. Sale Real"),IF(AM261-AM257&lt;0.208333333333333,AM261-AM257,""),IF(AND(AM256&lt;&gt;"",LEFT(AG256,2)&lt;&gt;"Va",AM256&lt;&gt;"H. Sale Real"),IF(AM261-AM256&lt;0.208333333333333,AM261-AM256,""),""))))),""),"")</f>
        <v/>
      </c>
      <c r="AX260" s="89">
        <f>IF(AK260&lt;&gt;"H. Sale Real",IF(AND(AK261&lt;&gt;"",LEFT(AG261,2)&lt;&gt;"Va"),IF(AND(AK260&lt;&gt;"",LEFT(AG260,2)&lt;&gt;"Va",AK260&lt;&gt;"H. Sale Real"),IF(AK261-AK260&lt;0.208333333333333,AK261-AK260,""),IF(AND(AK259&lt;&gt;"",LEFT(AG259,2)&lt;&gt;"Va",AK259&lt;&gt;"H. Sale Real"),IF(AK261-AK259&lt;0.208333333333333,AK261-AK259,""),IF(AND(AK258&lt;&gt;"",LEFT(AG258,2)&lt;&gt;"NC",AK258&lt;&gt;"H. Sale Real"),IF(AK261-AK258&lt;0.208333333333333,AK261-AK258,""),IF(AND(AK257&lt;&gt;"",LEFT(AG257,2)&lt;&gt;"Va",AK257&lt;&gt;"H. Sale Real"),IF(AK261-AK257&lt;0.208333333333333,AK261-AK257,""),IF(AND(AK256&lt;&gt;"",LEFT(AG256,2)&lt;&gt;"Va",AK256&lt;&gt;"H. Sale Real"),IF(AK261-AK256&lt;0.208333333333333,AK261-AK256,""),""))))),""),"")</f>
        <v/>
      </c>
      <c r="AY260" s="87" t="n"/>
      <c r="AZ260" s="89" t="n"/>
      <c r="BA260" s="87" t="n"/>
      <c r="BB260" s="89" t="n"/>
      <c r="BC260" s="91" t="n"/>
      <c r="BD260" s="122">
        <f>IF(AK260&lt;&gt;"",IF(AND(BD259&lt;&gt;"IE",AT260&lt;&gt;0,AV260&lt;&gt;""),IF(IFERROR((AT260/AV260),0) &lt;=1,IFERROR(AT260/AV260,""),1),""),"")</f>
        <v/>
      </c>
      <c r="BE260" s="93" t="n"/>
      <c r="BF260" s="105" t="n"/>
      <c r="FC260" t="inlineStr">
        <is>
          <t>Diccionario 1</t>
        </is>
      </c>
      <c r="FD260" s="15" t="n">
        <v>1259</v>
      </c>
      <c r="FE260" s="15" t="inlineStr">
        <is>
          <t>MDN35025020153</t>
        </is>
      </c>
      <c r="FF260" s="15" t="inlineStr">
        <is>
          <t>LDYECS310S0043999</t>
        </is>
      </c>
      <c r="FG260" s="15" t="inlineStr">
        <is>
          <t>Zhong Tong</t>
        </is>
      </c>
      <c r="FH260" s="15" t="inlineStr">
        <is>
          <t>Lck6122evg</t>
        </is>
      </c>
      <c r="FI260" s="15" t="inlineStr">
        <is>
          <t>ZHONGTONG</t>
        </is>
      </c>
      <c r="FJ260" s="15" t="inlineStr">
        <is>
          <t>LCK6122EVG</t>
        </is>
      </c>
      <c r="FK260" s="15" t="n">
        <v>2025</v>
      </c>
      <c r="FL260" s="15" t="inlineStr">
        <is>
          <t>B</t>
        </is>
      </c>
      <c r="FM260" s="15" t="inlineStr">
        <is>
          <t>CERRILLOS</t>
        </is>
      </c>
      <c r="FN260" s="15" t="inlineStr">
        <is>
          <t>Calle Uno 7371</t>
        </is>
      </c>
      <c r="FO260" s="15" t="inlineStr">
        <is>
          <t>Cerrillos</t>
        </is>
      </c>
      <c r="FP260" t="inlineStr">
        <is>
          <t>B</t>
        </is>
      </c>
      <c r="FS260" s="14" t="inlineStr">
        <is>
          <t>3064 / SFWZ-61|</t>
        </is>
      </c>
      <c r="FT260" t="inlineStr">
        <is>
          <t>SFWZ-61|</t>
        </is>
      </c>
      <c r="FU260" t="inlineStr">
        <is>
          <t>SFWZ-61</t>
        </is>
      </c>
      <c r="FV260">
        <f>VLOOKUP(FU260,FD:FL,9,0)</f>
        <v/>
      </c>
      <c r="FZ260" s="51" t="inlineStr">
        <is>
          <t>B29</t>
        </is>
      </c>
      <c r="GA260" s="117" t="n">
        <v>0</v>
      </c>
      <c r="GB260" s="117" t="n">
        <v>0</v>
      </c>
      <c r="GC260" s="117" t="n">
        <v>0</v>
      </c>
      <c r="GD260" s="117" t="n">
        <v>0</v>
      </c>
      <c r="GE260" s="117" t="n">
        <v>0</v>
      </c>
      <c r="GF260" s="117" t="n">
        <v>23.885</v>
      </c>
      <c r="GG260" s="117" t="n">
        <v>22.645</v>
      </c>
      <c r="GH260" s="117" t="n">
        <v>22.545</v>
      </c>
      <c r="GI260" s="117" t="n">
        <v>21.83</v>
      </c>
      <c r="GJ260" s="117" t="n">
        <v>21.095</v>
      </c>
      <c r="GK260" s="117" t="n">
        <v>20.025</v>
      </c>
      <c r="GL260" s="117" t="n">
        <v>19.425</v>
      </c>
      <c r="GM260" s="117" t="n">
        <v>19.06</v>
      </c>
      <c r="GN260" s="117" t="n">
        <v>19.755</v>
      </c>
      <c r="GO260" s="117" t="n">
        <v>20.295</v>
      </c>
      <c r="GP260" s="117" t="n">
        <v>20.23</v>
      </c>
      <c r="GQ260" s="117" t="n">
        <v>19.81</v>
      </c>
      <c r="GR260" s="117" t="n">
        <v>19.94</v>
      </c>
      <c r="GS260" s="117" t="n">
        <v>20.185</v>
      </c>
      <c r="GT260" s="117" t="n">
        <v>21.07</v>
      </c>
      <c r="GU260" s="117" t="n">
        <v>22.545</v>
      </c>
      <c r="GV260" s="117" t="n">
        <v>23.61</v>
      </c>
      <c r="GW260" s="117" t="n">
        <v>25.49</v>
      </c>
      <c r="GX260" s="117" t="n">
        <v>0</v>
      </c>
      <c r="HA260" s="35" t="n">
        <v>30</v>
      </c>
      <c r="HB260" s="35" t="n">
        <v>254</v>
      </c>
    </row>
    <row r="261" ht="15.5" customHeight="1">
      <c r="A261" s="10">
        <f>HOUR(G261)+1</f>
        <v/>
      </c>
      <c r="B261" s="7" t="n"/>
      <c r="C261" s="7" t="n"/>
      <c r="D261" s="85">
        <f>IFERROR(
IF(AND(OR(Planilla!B261="C",Planilla!B261="c"), VLOOKUP(E261,FD:FP,13,0)="C"), "OK",IF(AND(OR(Planilla!B261="C",Planilla!B261="c"), OR(VLOOKUP(E261,FD:FP,13,0)="B", VLOOKUP(E261,FD:FP,13,0)="A")), "DEFICIT",IF(
AND(OR(Planilla!B261="B", Planilla!B261="BPAL"), VLOOKUP(E261,FD:FP,13,0)="B"), "OK",IF(AND(OR(Planilla!B261="B", Planilla!B261="BPAL"), VLOOKUP(E261,FD:FP,13,0)="A"), "DEFICIT",IF(AND(OR(Planilla!B261="B", Planilla!B261="BPAL"), VLOOKUP(E261,FD:FP,13,0)="C"), "SOBREOFERTA",IF(AND(Planilla!B261="A", VLOOKUP(E261,FD:FP,13,0)="A"), "OK",IF(
AND(Planilla!B261="A", OR(VLOOKUP(E261,FD:FP,13,0)="B", VLOOKUP(E261,FD:FP,13,0)="C")), "SOBREOFERTA",""
))))))),"")</f>
        <v/>
      </c>
      <c r="E261" s="8" t="n"/>
      <c r="F261" s="86" t="n"/>
      <c r="G261" s="87" t="n"/>
      <c r="H261" s="88">
        <f>IF(I261="","",IF(AND((I261-G261)&gt;=TIME(0,0,0),(I261-G261)&lt;TIME(0,3,0)),"OK",IF(AND((I261-G261)&gt;=TIME(0,3,0),(I261-G261)&lt;TIME(0,5,0)),"RETRASO DE 3-5 MIN",IF(AND((I261-G261)&gt;=TIME(0,5,0),(I261-G261)&lt;TIME(0,10,0)),"RETRASO DE 5-10 MIN",IF((I261-G261)&gt;=TIME(0,10,0),"RETRASO &gt;10 MIN", IF(AND((G261-I261)&gt;=TIME(0,0,0),(G261-I261)&lt;TIME(0,3,0)),"OK",IF((G261-I261)&gt;=TIME(0,3,0),"ADELANTADO")))))))</f>
        <v/>
      </c>
      <c r="I261" s="89" t="n"/>
      <c r="J261" s="89">
        <f>IF(A261&lt;&gt;"",HLOOKUP(VALUE(TEXT(G261,"h:mm:ss")),IF($C$6="Laboral",$FZ$4:$GX$227,IF($C$6="Sábado",$FZ$231:$GX$452,$FZ$456:$GX$656)),VLOOKUP($C$4,$HF$2:$HH$99,3,0)+IF(C$5="Ida",0,1),1),"")</f>
        <v/>
      </c>
      <c r="K261" s="89">
        <f>IF(A262&lt;&gt;A261,AVERAGEIF(A$9:A261,A261,J$9:J261),"")</f>
        <v/>
      </c>
      <c r="L261" s="89">
        <f>IFERROR(IF(A262&lt;&gt;A261,AVERAGEIF(A$9:A261,A261,S$9:S261),""),"")</f>
        <v/>
      </c>
      <c r="M261" s="89">
        <f>IFERROR(IF(A262&lt;&gt;A261,AVERAGEIF(A$9:A261,A261,T$9:T261),""),"")</f>
        <v/>
      </c>
      <c r="N261" s="89">
        <f t="array" ref="N261">IFERROR(IF(A262&lt;&gt;A261,_xlfn.STDEV.P(IF(A$9:A261=A261,T$9:T261)),""),"")</f>
        <v/>
      </c>
      <c r="O261" s="89">
        <f t="array" ref="O261">IFERROR(IF(A262&lt;&gt;A261,_xlfn.STDEV.P(IF(A$9:A261=A261,S$9:S261)),""),"")</f>
        <v/>
      </c>
      <c r="P261" s="90">
        <f>IFERROR(IF(A261&lt;&gt;A262,MAX((((M261*24*60)/2)*(1+POWER((((N261*24*60) / (M261*24*60) )),2))) + ((M261*24*60 )*-0.1 + (K261*0.015)) +1,(((M261*24*60)/2)*(1+POWER((((N261*24*60) / (M261*24*60 ))),2)))),""),"")</f>
        <v/>
      </c>
      <c r="Q261" s="90">
        <f>IF(AND(O261&lt;&gt;"",L261&lt;&gt;""),IF(A261&lt;&gt;A262,((L261*24*60) / 2 ) * (1 + POWER(((O261*24*60) / (L261*24*60)),2)),""),"")</f>
        <v/>
      </c>
      <c r="R261" s="90">
        <f>IF(Q261&lt;&gt;"",MAX(P261,Q261),"")</f>
        <v/>
      </c>
      <c r="S261" s="89">
        <f>IF(I261&lt;&gt;"H. Sale Real",IF(AND(I262&lt;&gt;"",LEFT(C262,2)&lt;&gt;"Va"),IF(AND(I261&lt;&gt;"",LEFT(C261,2)&lt;&gt;"Va",I261&lt;&gt;"H. Sale Real"),IF(I262-I261&lt;0.208333333333333,I262-I261,""),IF(AND(I260&lt;&gt;"",LEFT(C260,2)&lt;&gt;"Va",I260&lt;&gt;"H. Sale Real"),IF(I262-I260&lt;0.208333333333333,I262-I260,""),IF(AND(I259&lt;&gt;"",LEFT(C259,2)&lt;&gt;"Va",I259&lt;&gt;"H. Sale Real"),IF(I262-I259&lt;0.208333333333333,I262-I259,""),IF(AND(I258&lt;&gt;"",LEFT(C258,2)&lt;&gt;"Va",I258&lt;&gt;"H. Sale Real"),IF(I262-I258&lt;0.208333333333333,I262-I258,""),IF(AND(I257&lt;&gt;"",LEFT(C257,2)&lt;&gt;"Va",I257&lt;&gt;"H. Sale Real"),IF(I262-I257&lt;0.208333333333333,I262-I257,""),""))))),""),"")</f>
        <v/>
      </c>
      <c r="T261" s="89">
        <f>IF(G261&lt;&gt;"H. Sale Real",IF(AND(G262&lt;&gt;"",LEFT(C262,2)&lt;&gt;"Va"),IF(AND(G261&lt;&gt;"",LEFT(C261,2)&lt;&gt;"Va",G261&lt;&gt;"H. Sale Real"),IF(G262-G261&lt;0.208333333333333,G262-G261,""),IF(AND(G260&lt;&gt;"",LEFT(C260,2)&lt;&gt;"Va",G260&lt;&gt;"H. Sale Real"),IF(G262-G260&lt;0.208333333333333,G262-G260,""),IF(AND(G259&lt;&gt;"",LEFT(C259,2)&lt;&gt;"Va",G259&lt;&gt;"H. Sale Real"),IF(G262-G259&lt;0.208333333333333,G262-G259,""),IF(AND(G258&lt;&gt;"",LEFT(C258,2)&lt;&gt;"Va",G258&lt;&gt;"H. Sale Real"),IF(G262-G258&lt;0.208333333333333,G262-G258,""),IF(AND(G257&lt;&gt;"",LEFT(C257,2)&lt;&gt;"Va",G257&lt;&gt;"H. Sale Real"),IF(G262-G257&lt;0.208333333333333,G262-G257,""),""))))),""),"")</f>
        <v/>
      </c>
      <c r="U261" s="87" t="n"/>
      <c r="V261" s="89" t="n"/>
      <c r="W261" s="87" t="n"/>
      <c r="X261" s="89" t="n"/>
      <c r="Y261" s="91" t="n"/>
      <c r="Z261" s="122">
        <f>IF(G261&lt;&gt;"",IF(AND(Z260&lt;&gt;"IE",P261&lt;&gt;0,R261&lt;&gt;""),IF(IFERROR((P261/R261),0) &lt;=1,IFERROR(P261/R261,""),1),""),"")</f>
        <v/>
      </c>
      <c r="AA261" s="93" t="n"/>
      <c r="AB261" s="2" t="n"/>
      <c r="AE261" s="10">
        <f>HOUR(AK261)+1</f>
        <v/>
      </c>
      <c r="AF261" s="7" t="n"/>
      <c r="AG261" s="7" t="n"/>
      <c r="AH261" s="86" t="n"/>
      <c r="AI261" s="8" t="n"/>
      <c r="AJ261" s="86" t="n"/>
      <c r="AK261" s="87" t="n"/>
      <c r="AL261" s="88">
        <f>IF(AM261="","",IF(AND((AM261-AK261)&gt;=TIME(0,0,0),(AM261-AK261)&lt;TIME(0,3,0)),"OK",IF(AND((AM261-AK261)&gt;=TIME(0,3,0),(AM261-AK261)&lt;TIME(0,5,0)),"RETRASO DE 3-5 MIN",IF(AND((AM261-AK261)&gt;=TIME(0,5,0),(AM261-AK261)&lt;TIME(0,10,0)),"RETRASO DE 5-10 MIN",IF((AM261-AK261)&gt;=TIME(0,10,0),"RETRASO &gt;10 MIN", IF(AND((AK261-AM261)&gt;=TIME(0,0,0),(AK261-AM261)&lt;TIME(0,3,0)),"OK",IF((AK261-AM261)&gt;=TIME(0,3,0),"ADELANTADO")))))))</f>
        <v/>
      </c>
      <c r="AM261" s="91" t="n"/>
      <c r="AN261" s="89">
        <f>IF(AE261&lt;&gt;"",HLOOKUP(VALUE(TEXT(AK261,"h:mm:ss")),IF($C$6="Laboral",$FZ$4:$GX$227,IF($C$6="Sábado",$FZ$231:$GX$452,$FZ$456:$GX$656)),VLOOKUP($C$4,$HF$2:$HH$99,3,0)+IF(AG$5="Ida",0,1),1),"")</f>
        <v/>
      </c>
      <c r="AO261" s="89">
        <f>IF(AE262&lt;&gt;AE261,AVERAGEIF(AE$9:AE261,AE261,AN$9:AN261),"")</f>
        <v/>
      </c>
      <c r="AP261" s="89">
        <f>IFERROR(IF(AE262&lt;&gt;AE261,AVERAGEIF(AE$9:AE261,AE261,AW$9:AW261),""),"")</f>
        <v/>
      </c>
      <c r="AQ261" s="89">
        <f>IFERROR(IF(AE262&lt;&gt;AE261,AVERAGEIF(AE$9:AE261,AE261,AX$9:AX261),""),"")</f>
        <v/>
      </c>
      <c r="AR261" s="89">
        <f t="array" ref="AR261">IFERROR(IF(AE262&lt;&gt;AE261,_xlfn.STDEV.P(IF(AE$9:AE261=AE261,AX$9:AX261)),""),"")</f>
        <v/>
      </c>
      <c r="AS261" s="89">
        <f t="array" ref="AS261">IFERROR(IF(AE262&lt;&gt;AE261,_xlfn.STDEV.P(IF(AE$9:AE261=AE261,AW$9:AW261)),""),"")</f>
        <v/>
      </c>
      <c r="AT261" s="90">
        <f>IFERROR(IF(AE261&lt;&gt;AE262,MAX((((AQ261*24*60)/2)*(1+POWER((((AR261*24*60) / (AQ261*24*60) )),2))) + ((AQ261*24*60 )*-0.1 + (AO261*0.015)) +1,(((AQ261*24*60)/2)*(1+POWER((((AR261*24*60) / (AQ261*24*60 ))),2)))),""),"")</f>
        <v/>
      </c>
      <c r="AU261" s="90">
        <f>IF(AND(AS261&lt;&gt;"",AP261&lt;&gt;""),IF(AE261&lt;&gt;AE262,((AP261*24*60) / 2 ) * (1 + POWER(((AS261*24*60) / (AP261*24*60)),2)),""),"")</f>
        <v/>
      </c>
      <c r="AV261" s="90">
        <f>IF(AU261&lt;&gt;"",MAX(AT261,AU261),"")</f>
        <v/>
      </c>
      <c r="AW261" s="89">
        <f>IF(AM261&lt;&gt;"H. Sale Real",IF(AND(AM262&lt;&gt;"",LEFT(AG262,2)&lt;&gt;"Va"),IF(AND(AM261&lt;&gt;"",LEFT(AG261,2)&lt;&gt;"Va",AM261&lt;&gt;"H. Sale Real"),IF(AM262-AM261&lt;0.208333333333333,AM262-AM261,""),IF(AND(AM260&lt;&gt;"",LEFT(AG260,2)&lt;&gt;"Va",AM260&lt;&gt;"H. Sale Real"),IF(AM262-AM260&lt;0.208333333333333,AM262-AM260,""),IF(AND(AM259&lt;&gt;"",LEFT(AG259,2)&lt;&gt;"Va",AM259&lt;&gt;"H. Sale Real"),IF(AM262-AM259&lt;0.208333333333333,AM262-AM259,""),IF(AND(AM258&lt;&gt;"",LEFT(AG258,2)&lt;&gt;"Va",AM258&lt;&gt;"H. Sale Real"),IF(AM262-AM258&lt;0.208333333333333,AM262-AM258,""),IF(AND(AM257&lt;&gt;"",LEFT(AG257,2)&lt;&gt;"Va",AM257&lt;&gt;"H. Sale Real"),IF(AM262-AM257&lt;0.208333333333333,AM262-AM257,""),""))))),""),"")</f>
        <v/>
      </c>
      <c r="AX261" s="89">
        <f>IF(AK261&lt;&gt;"H. Sale Real",IF(AND(AK262&lt;&gt;"",LEFT(AG262,2)&lt;&gt;"Va"),IF(AND(AK261&lt;&gt;"",LEFT(AG261,2)&lt;&gt;"Va",AK261&lt;&gt;"H. Sale Real"),IF(AK262-AK261&lt;0.208333333333333,AK262-AK261,""),IF(AND(AK260&lt;&gt;"",LEFT(AG260,2)&lt;&gt;"Va",AK260&lt;&gt;"H. Sale Real"),IF(AK262-AK260&lt;0.208333333333333,AK262-AK260,""),IF(AND(AK259&lt;&gt;"",LEFT(AG259,2)&lt;&gt;"NC",AK259&lt;&gt;"H. Sale Real"),IF(AK262-AK259&lt;0.208333333333333,AK262-AK259,""),IF(AND(AK258&lt;&gt;"",LEFT(AG258,2)&lt;&gt;"Va",AK258&lt;&gt;"H. Sale Real"),IF(AK262-AK258&lt;0.208333333333333,AK262-AK258,""),IF(AND(AK257&lt;&gt;"",LEFT(AG257,2)&lt;&gt;"Va",AK257&lt;&gt;"H. Sale Real"),IF(AK262-AK257&lt;0.208333333333333,AK262-AK257,""),""))))),""),"")</f>
        <v/>
      </c>
      <c r="AY261" s="87" t="n"/>
      <c r="AZ261" s="89" t="n"/>
      <c r="BA261" s="87" t="n"/>
      <c r="BB261" s="89" t="n"/>
      <c r="BC261" s="91" t="n"/>
      <c r="BD261" s="122">
        <f>IF(AK261&lt;&gt;"",IF(AND(BD260&lt;&gt;"IE",AT261&lt;&gt;0,AV261&lt;&gt;""),IF(IFERROR((AT261/AV261),0) &lt;=1,IFERROR(AT261/AV261,""),1),""),"")</f>
        <v/>
      </c>
      <c r="BE261" s="93" t="n"/>
      <c r="BF261" s="105" t="n"/>
      <c r="FC261" t="inlineStr">
        <is>
          <t>Diccionario 1</t>
        </is>
      </c>
      <c r="FD261" s="15" t="n">
        <v>1260</v>
      </c>
      <c r="FE261" s="15" t="inlineStr">
        <is>
          <t>MDN35025010097</t>
        </is>
      </c>
      <c r="FF261" s="15" t="inlineStr">
        <is>
          <t>LDYECS318S0044110</t>
        </is>
      </c>
      <c r="FG261" s="15" t="inlineStr">
        <is>
          <t>Zhong Tong</t>
        </is>
      </c>
      <c r="FH261" s="15" t="inlineStr">
        <is>
          <t>Lck6122evg</t>
        </is>
      </c>
      <c r="FI261" s="15" t="inlineStr">
        <is>
          <t>ZHONGTONG</t>
        </is>
      </c>
      <c r="FJ261" s="15" t="inlineStr">
        <is>
          <t>LCK6122EVG</t>
        </is>
      </c>
      <c r="FK261" s="15" t="n">
        <v>2025</v>
      </c>
      <c r="FL261" s="15" t="inlineStr">
        <is>
          <t>B</t>
        </is>
      </c>
      <c r="FM261" s="15" t="inlineStr">
        <is>
          <t>CERRILLOS</t>
        </is>
      </c>
      <c r="FN261" s="15" t="inlineStr">
        <is>
          <t>Calle Uno 7371</t>
        </is>
      </c>
      <c r="FO261" s="15" t="inlineStr">
        <is>
          <t>Cerrillos</t>
        </is>
      </c>
      <c r="FP261" t="inlineStr">
        <is>
          <t>B</t>
        </is>
      </c>
      <c r="FS261" s="14" t="inlineStr">
        <is>
          <t>3064 / SFWZ-61|</t>
        </is>
      </c>
      <c r="FT261" t="inlineStr">
        <is>
          <t>SFWZ-61|</t>
        </is>
      </c>
      <c r="FU261" t="inlineStr">
        <is>
          <t>SFWZ-61</t>
        </is>
      </c>
      <c r="FV261">
        <f>VLOOKUP(FU261,FD:FL,9,0)</f>
        <v/>
      </c>
      <c r="FZ261" s="51" t="inlineStr">
        <is>
          <t>B30n</t>
        </is>
      </c>
      <c r="GA261" s="117" t="n">
        <v>22.39</v>
      </c>
      <c r="GB261" s="117" t="n">
        <v>23.835</v>
      </c>
      <c r="GC261" s="117" t="n">
        <v>24.455</v>
      </c>
      <c r="GD261" s="117" t="n">
        <v>24.39</v>
      </c>
      <c r="GE261" s="117" t="n">
        <v>23.72</v>
      </c>
      <c r="GF261" s="117" t="n">
        <v>22.34</v>
      </c>
      <c r="GG261" s="117" t="n">
        <v>22.16</v>
      </c>
      <c r="GH261" s="117" t="n">
        <v>0</v>
      </c>
      <c r="GI261" s="117" t="n">
        <v>0</v>
      </c>
      <c r="GJ261" s="117" t="n">
        <v>0</v>
      </c>
      <c r="GK261" s="117" t="n">
        <v>0</v>
      </c>
      <c r="GL261" s="117" t="n">
        <v>0</v>
      </c>
      <c r="GM261" s="117" t="n">
        <v>0</v>
      </c>
      <c r="GN261" s="117" t="n">
        <v>0</v>
      </c>
      <c r="GO261" s="117" t="n">
        <v>0</v>
      </c>
      <c r="GP261" s="117" t="n">
        <v>0</v>
      </c>
      <c r="GQ261" s="117" t="n">
        <v>0</v>
      </c>
      <c r="GR261" s="117" t="n">
        <v>0</v>
      </c>
      <c r="GS261" s="117" t="n">
        <v>0</v>
      </c>
      <c r="GT261" s="117" t="n">
        <v>0</v>
      </c>
      <c r="GU261" s="117" t="n">
        <v>0</v>
      </c>
      <c r="GV261" s="117" t="n">
        <v>0</v>
      </c>
      <c r="GW261" s="117" t="n">
        <v>11.05</v>
      </c>
      <c r="GX261" s="117" t="n">
        <v>21.985</v>
      </c>
      <c r="HA261" s="35" t="n">
        <v>31</v>
      </c>
      <c r="HB261" s="35" t="n">
        <v>255</v>
      </c>
    </row>
    <row r="262" ht="15.5" customHeight="1">
      <c r="A262" s="10">
        <f>HOUR(G262)+1</f>
        <v/>
      </c>
      <c r="B262" s="7" t="n"/>
      <c r="C262" s="7" t="n"/>
      <c r="D262" s="85">
        <f>IFERROR(
IF(AND(OR(Planilla!B262="C",Planilla!B262="c"), VLOOKUP(E262,FD:FP,13,0)="C"), "OK",IF(AND(OR(Planilla!B262="C",Planilla!B262="c"), OR(VLOOKUP(E262,FD:FP,13,0)="B", VLOOKUP(E262,FD:FP,13,0)="A")), "DEFICIT",IF(
AND(OR(Planilla!B262="B", Planilla!B262="BPAL"), VLOOKUP(E262,FD:FP,13,0)="B"), "OK",IF(AND(OR(Planilla!B262="B", Planilla!B262="BPAL"), VLOOKUP(E262,FD:FP,13,0)="A"), "DEFICIT",IF(AND(OR(Planilla!B262="B", Planilla!B262="BPAL"), VLOOKUP(E262,FD:FP,13,0)="C"), "SOBREOFERTA",IF(AND(Planilla!B262="A", VLOOKUP(E262,FD:FP,13,0)="A"), "OK",IF(
AND(Planilla!B262="A", OR(VLOOKUP(E262,FD:FP,13,0)="B", VLOOKUP(E262,FD:FP,13,0)="C")), "SOBREOFERTA",""
))))))),"")</f>
        <v/>
      </c>
      <c r="E262" s="8" t="n"/>
      <c r="F262" s="86" t="n"/>
      <c r="G262" s="87" t="n"/>
      <c r="H262" s="88">
        <f>IF(I262="","",IF(AND((I262-G262)&gt;=TIME(0,0,0),(I262-G262)&lt;TIME(0,3,0)),"OK",IF(AND((I262-G262)&gt;=TIME(0,3,0),(I262-G262)&lt;TIME(0,5,0)),"RETRASO DE 3-5 MIN",IF(AND((I262-G262)&gt;=TIME(0,5,0),(I262-G262)&lt;TIME(0,10,0)),"RETRASO DE 5-10 MIN",IF((I262-G262)&gt;=TIME(0,10,0),"RETRASO &gt;10 MIN", IF(AND((G262-I262)&gt;=TIME(0,0,0),(G262-I262)&lt;TIME(0,3,0)),"OK",IF((G262-I262)&gt;=TIME(0,3,0),"ADELANTADO")))))))</f>
        <v/>
      </c>
      <c r="I262" s="89" t="n"/>
      <c r="J262" s="89">
        <f>IF(A262&lt;&gt;"",HLOOKUP(VALUE(TEXT(G262,"h:mm:ss")),IF($C$6="Laboral",$FZ$4:$GX$227,IF($C$6="Sábado",$FZ$231:$GX$452,$FZ$456:$GX$656)),VLOOKUP($C$4,$HF$2:$HH$99,3,0)+IF(C$5="Ida",0,1),1),"")</f>
        <v/>
      </c>
      <c r="K262" s="89">
        <f>IF(A263&lt;&gt;A262,AVERAGEIF(A$9:A262,A262,J$9:J262),"")</f>
        <v/>
      </c>
      <c r="L262" s="89">
        <f>IFERROR(IF(A263&lt;&gt;A262,AVERAGEIF(A$9:A262,A262,S$9:S262),""),"")</f>
        <v/>
      </c>
      <c r="M262" s="89">
        <f>IFERROR(IF(A263&lt;&gt;A262,AVERAGEIF(A$9:A262,A262,T$9:T262),""),"")</f>
        <v/>
      </c>
      <c r="N262" s="89">
        <f t="array" ref="N262">IFERROR(IF(A263&lt;&gt;A262,_xlfn.STDEV.P(IF(A$9:A262=A262,T$9:T262)),""),"")</f>
        <v/>
      </c>
      <c r="O262" s="89">
        <f t="array" ref="O262">IFERROR(IF(A263&lt;&gt;A262,_xlfn.STDEV.P(IF(A$9:A262=A262,S$9:S262)),""),"")</f>
        <v/>
      </c>
      <c r="P262" s="90">
        <f>IFERROR(IF(A262&lt;&gt;A263,MAX((((M262*24*60)/2)*(1+POWER((((N262*24*60) / (M262*24*60) )),2))) + ((M262*24*60 )*-0.1 + (K262*0.015)) +1,(((M262*24*60)/2)*(1+POWER((((N262*24*60) / (M262*24*60 ))),2)))),""),"")</f>
        <v/>
      </c>
      <c r="Q262" s="90">
        <f>IF(AND(O262&lt;&gt;"",L262&lt;&gt;""),IF(A262&lt;&gt;A263,((L262*24*60) / 2 ) * (1 + POWER(((O262*24*60) / (L262*24*60)),2)),""),"")</f>
        <v/>
      </c>
      <c r="R262" s="90">
        <f>IF(Q262&lt;&gt;"",MAX(P262,Q262),"")</f>
        <v/>
      </c>
      <c r="S262" s="89">
        <f>IF(I262&lt;&gt;"H. Sale Real",IF(AND(I263&lt;&gt;"",LEFT(C263,2)&lt;&gt;"Va"),IF(AND(I262&lt;&gt;"",LEFT(C262,2)&lt;&gt;"Va",I262&lt;&gt;"H. Sale Real"),IF(I263-I262&lt;0.208333333333333,I263-I262,""),IF(AND(I261&lt;&gt;"",LEFT(C261,2)&lt;&gt;"Va",I261&lt;&gt;"H. Sale Real"),IF(I263-I261&lt;0.208333333333333,I263-I261,""),IF(AND(I260&lt;&gt;"",LEFT(C260,2)&lt;&gt;"Va",I260&lt;&gt;"H. Sale Real"),IF(I263-I260&lt;0.208333333333333,I263-I260,""),IF(AND(I259&lt;&gt;"",LEFT(C259,2)&lt;&gt;"Va",I259&lt;&gt;"H. Sale Real"),IF(I263-I259&lt;0.208333333333333,I263-I259,""),IF(AND(I258&lt;&gt;"",LEFT(C258,2)&lt;&gt;"Va",I258&lt;&gt;"H. Sale Real"),IF(I263-I258&lt;0.208333333333333,I263-I258,""),""))))),""),"")</f>
        <v/>
      </c>
      <c r="T262" s="89">
        <f>IF(G262&lt;&gt;"H. Sale Real",IF(AND(G263&lt;&gt;"",LEFT(C263,2)&lt;&gt;"Va"),IF(AND(G262&lt;&gt;"",LEFT(C262,2)&lt;&gt;"Va",G262&lt;&gt;"H. Sale Real"),IF(G263-G262&lt;0.208333333333333,G263-G262,""),IF(AND(G261&lt;&gt;"",LEFT(C261,2)&lt;&gt;"Va",G261&lt;&gt;"H. Sale Real"),IF(G263-G261&lt;0.208333333333333,G263-G261,""),IF(AND(G260&lt;&gt;"",LEFT(C260,2)&lt;&gt;"Va",G260&lt;&gt;"H. Sale Real"),IF(G263-G260&lt;0.208333333333333,G263-G260,""),IF(AND(G259&lt;&gt;"",LEFT(C259,2)&lt;&gt;"Va",G259&lt;&gt;"H. Sale Real"),IF(G263-G259&lt;0.208333333333333,G263-G259,""),IF(AND(G258&lt;&gt;"",LEFT(C258,2)&lt;&gt;"Va",G258&lt;&gt;"H. Sale Real"),IF(G263-G258&lt;0.208333333333333,G263-G258,""),""))))),""),"")</f>
        <v/>
      </c>
      <c r="U262" s="87" t="n"/>
      <c r="V262" s="89" t="n"/>
      <c r="W262" s="87" t="n"/>
      <c r="X262" s="89" t="n"/>
      <c r="Y262" s="91" t="n"/>
      <c r="Z262" s="122">
        <f>IF(G262&lt;&gt;"",IF(AND(Z261&lt;&gt;"IE",P262&lt;&gt;0,R262&lt;&gt;""),IF(IFERROR((P262/R262),0) &lt;=1,IFERROR(P262/R262,""),1),""),"")</f>
        <v/>
      </c>
      <c r="AA262" s="93" t="n"/>
      <c r="AB262" s="2" t="n"/>
      <c r="AE262" s="10">
        <f>HOUR(AK262)+1</f>
        <v/>
      </c>
      <c r="AF262" s="7" t="n"/>
      <c r="AG262" s="7" t="n"/>
      <c r="AH262" s="86" t="n"/>
      <c r="AI262" s="8" t="n"/>
      <c r="AJ262" s="86" t="n"/>
      <c r="AK262" s="87" t="n"/>
      <c r="AL262" s="88">
        <f>IF(AM262="","",IF(AND((AM262-AK262)&gt;=TIME(0,0,0),(AM262-AK262)&lt;TIME(0,3,0)),"OK",IF(AND((AM262-AK262)&gt;=TIME(0,3,0),(AM262-AK262)&lt;TIME(0,5,0)),"RETRASO DE 3-5 MIN",IF(AND((AM262-AK262)&gt;=TIME(0,5,0),(AM262-AK262)&lt;TIME(0,10,0)),"RETRASO DE 5-10 MIN",IF((AM262-AK262)&gt;=TIME(0,10,0),"RETRASO &gt;10 MIN", IF(AND((AK262-AM262)&gt;=TIME(0,0,0),(AK262-AM262)&lt;TIME(0,3,0)),"OK",IF((AK262-AM262)&gt;=TIME(0,3,0),"ADELANTADO")))))))</f>
        <v/>
      </c>
      <c r="AM262" s="91" t="n"/>
      <c r="AN262" s="89">
        <f>IF(AE262&lt;&gt;"",HLOOKUP(VALUE(TEXT(AK262,"h:mm:ss")),IF($C$6="Laboral",$FZ$4:$GX$227,IF($C$6="Sábado",$FZ$231:$GX$452,$FZ$456:$GX$656)),VLOOKUP($C$4,$HF$2:$HH$99,3,0)+IF(AG$5="Ida",0,1),1),"")</f>
        <v/>
      </c>
      <c r="AO262" s="89">
        <f>IF(AE263&lt;&gt;AE262,AVERAGEIF(AE$9:AE262,AE262,AN$9:AN262),"")</f>
        <v/>
      </c>
      <c r="AP262" s="89">
        <f>IFERROR(IF(AE263&lt;&gt;AE262,AVERAGEIF(AE$9:AE262,AE262,AW$9:AW262),""),"")</f>
        <v/>
      </c>
      <c r="AQ262" s="89">
        <f>IFERROR(IF(AE263&lt;&gt;AE262,AVERAGEIF(AE$9:AE262,AE262,AX$9:AX262),""),"")</f>
        <v/>
      </c>
      <c r="AR262" s="89">
        <f t="array" ref="AR262">IFERROR(IF(AE263&lt;&gt;AE262,_xlfn.STDEV.P(IF(AE$9:AE262=AE262,AX$9:AX262)),""),"")</f>
        <v/>
      </c>
      <c r="AS262" s="89">
        <f t="array" ref="AS262">IFERROR(IF(AE263&lt;&gt;AE262,_xlfn.STDEV.P(IF(AE$9:AE262=AE262,AW$9:AW262)),""),"")</f>
        <v/>
      </c>
      <c r="AT262" s="90">
        <f>IFERROR(IF(AE262&lt;&gt;AE263,MAX((((AQ262*24*60)/2)*(1+POWER((((AR262*24*60) / (AQ262*24*60) )),2))) + ((AQ262*24*60 )*-0.1 + (AO262*0.015)) +1,(((AQ262*24*60)/2)*(1+POWER((((AR262*24*60) / (AQ262*24*60 ))),2)))),""),"")</f>
        <v/>
      </c>
      <c r="AU262" s="90">
        <f>IF(AND(AS262&lt;&gt;"",AP262&lt;&gt;""),IF(AE262&lt;&gt;AE263,((AP262*24*60) / 2 ) * (1 + POWER(((AS262*24*60) / (AP262*24*60)),2)),""),"")</f>
        <v/>
      </c>
      <c r="AV262" s="90">
        <f>IF(AU262&lt;&gt;"",MAX(AT262,AU262),"")</f>
        <v/>
      </c>
      <c r="AW262" s="89">
        <f>IF(AM262&lt;&gt;"H. Sale Real",IF(AND(AM263&lt;&gt;"",LEFT(AG263,2)&lt;&gt;"Va"),IF(AND(AM262&lt;&gt;"",LEFT(AG262,2)&lt;&gt;"Va",AM262&lt;&gt;"H. Sale Real"),IF(AM263-AM262&lt;0.208333333333333,AM263-AM262,""),IF(AND(AM261&lt;&gt;"",LEFT(AG261,2)&lt;&gt;"Va",AM261&lt;&gt;"H. Sale Real"),IF(AM263-AM261&lt;0.208333333333333,AM263-AM261,""),IF(AND(AM260&lt;&gt;"",LEFT(AG260,2)&lt;&gt;"Va",AM260&lt;&gt;"H. Sale Real"),IF(AM263-AM260&lt;0.208333333333333,AM263-AM260,""),IF(AND(AM259&lt;&gt;"",LEFT(AG259,2)&lt;&gt;"Va",AM259&lt;&gt;"H. Sale Real"),IF(AM263-AM259&lt;0.208333333333333,AM263-AM259,""),IF(AND(AM258&lt;&gt;"",LEFT(AG258,2)&lt;&gt;"Va",AM258&lt;&gt;"H. Sale Real"),IF(AM263-AM258&lt;0.208333333333333,AM263-AM258,""),""))))),""),"")</f>
        <v/>
      </c>
      <c r="AX262" s="89">
        <f>IF(AK262&lt;&gt;"H. Sale Real",IF(AND(AK263&lt;&gt;"",LEFT(AG263,2)&lt;&gt;"Va"),IF(AND(AK262&lt;&gt;"",LEFT(AG262,2)&lt;&gt;"Va",AK262&lt;&gt;"H. Sale Real"),IF(AK263-AK262&lt;0.208333333333333,AK263-AK262,""),IF(AND(AK261&lt;&gt;"",LEFT(AG261,2)&lt;&gt;"Va",AK261&lt;&gt;"H. Sale Real"),IF(AK263-AK261&lt;0.208333333333333,AK263-AK261,""),IF(AND(AK260&lt;&gt;"",LEFT(AG260,2)&lt;&gt;"NC",AK260&lt;&gt;"H. Sale Real"),IF(AK263-AK260&lt;0.208333333333333,AK263-AK260,""),IF(AND(AK259&lt;&gt;"",LEFT(AG259,2)&lt;&gt;"Va",AK259&lt;&gt;"H. Sale Real"),IF(AK263-AK259&lt;0.208333333333333,AK263-AK259,""),IF(AND(AK258&lt;&gt;"",LEFT(AG258,2)&lt;&gt;"Va",AK258&lt;&gt;"H. Sale Real"),IF(AK263-AK258&lt;0.208333333333333,AK263-AK258,""),""))))),""),"")</f>
        <v/>
      </c>
      <c r="AY262" s="87" t="n"/>
      <c r="AZ262" s="89" t="n"/>
      <c r="BA262" s="87" t="n"/>
      <c r="BB262" s="89" t="n"/>
      <c r="BC262" s="91" t="n"/>
      <c r="BD262" s="122">
        <f>IF(AK262&lt;&gt;"",IF(AND(BD261&lt;&gt;"IE",AT262&lt;&gt;0,AV262&lt;&gt;""),IF(IFERROR((AT262/AV262),0) &lt;=1,IFERROR(AT262/AV262,""),1),""),"")</f>
        <v/>
      </c>
      <c r="BE262" s="93" t="n"/>
      <c r="BF262" s="105" t="n"/>
      <c r="FC262" t="inlineStr">
        <is>
          <t>Diccionario 1</t>
        </is>
      </c>
      <c r="FD262" s="15" t="n">
        <v>1261</v>
      </c>
      <c r="FE262" s="15" t="inlineStr">
        <is>
          <t>MDN35025020026</t>
        </is>
      </c>
      <c r="FF262" s="15" t="inlineStr">
        <is>
          <t>LDYECS31XS0043993</t>
        </is>
      </c>
      <c r="FG262" s="15" t="inlineStr">
        <is>
          <t>Zhong Tong</t>
        </is>
      </c>
      <c r="FH262" s="15" t="inlineStr">
        <is>
          <t>Lck6122evg</t>
        </is>
      </c>
      <c r="FI262" s="15" t="inlineStr">
        <is>
          <t>ZHONGTONG</t>
        </is>
      </c>
      <c r="FJ262" s="15" t="inlineStr">
        <is>
          <t>LCK6122EVG</t>
        </is>
      </c>
      <c r="FK262" s="15" t="n">
        <v>2025</v>
      </c>
      <c r="FL262" s="15" t="inlineStr">
        <is>
          <t>B</t>
        </is>
      </c>
      <c r="FM262" s="15" t="inlineStr">
        <is>
          <t>CERRILLOS</t>
        </is>
      </c>
      <c r="FN262" s="15" t="inlineStr">
        <is>
          <t>Calle Uno 7371</t>
        </is>
      </c>
      <c r="FO262" s="15" t="inlineStr">
        <is>
          <t>Cerrillos</t>
        </is>
      </c>
      <c r="FP262" t="inlineStr">
        <is>
          <t>B</t>
        </is>
      </c>
      <c r="FS262" s="14" t="inlineStr">
        <is>
          <t xml:space="preserve">3064 / SFWZ-61| </t>
        </is>
      </c>
      <c r="FT262" t="inlineStr">
        <is>
          <t xml:space="preserve">FWZ-61| </t>
        </is>
      </c>
      <c r="FU262" t="inlineStr">
        <is>
          <t>FWZ-61|</t>
        </is>
      </c>
      <c r="FV262">
        <f>VLOOKUP(FU262,FD:FL,9,0)</f>
        <v/>
      </c>
      <c r="FZ262" s="51" t="inlineStr">
        <is>
          <t>B32</t>
        </is>
      </c>
      <c r="GA262" s="117" t="n">
        <v>0</v>
      </c>
      <c r="GB262" s="117" t="n">
        <v>0</v>
      </c>
      <c r="GC262" s="117" t="n">
        <v>0</v>
      </c>
      <c r="GD262" s="117" t="n">
        <v>0</v>
      </c>
      <c r="GE262" s="117" t="n">
        <v>0</v>
      </c>
      <c r="GF262" s="117" t="n">
        <v>0</v>
      </c>
      <c r="GG262" s="117" t="n">
        <v>9.1</v>
      </c>
      <c r="GH262" s="117" t="n">
        <v>16.065</v>
      </c>
      <c r="GI262" s="117" t="n">
        <v>14.135</v>
      </c>
      <c r="GJ262" s="117" t="n">
        <v>14.625</v>
      </c>
      <c r="GK262" s="117" t="n">
        <v>15.46</v>
      </c>
      <c r="GL262" s="117" t="n">
        <v>14.595</v>
      </c>
      <c r="GM262" s="117" t="n">
        <v>14.33</v>
      </c>
      <c r="GN262" s="117" t="n">
        <v>13.54</v>
      </c>
      <c r="GO262" s="117" t="n">
        <v>13.11</v>
      </c>
      <c r="GP262" s="117" t="n">
        <v>13.655</v>
      </c>
      <c r="GQ262" s="117" t="n">
        <v>14.23</v>
      </c>
      <c r="GR262" s="117" t="n">
        <v>16.09</v>
      </c>
      <c r="GS262" s="117" t="n">
        <v>17.425</v>
      </c>
      <c r="GT262" s="117" t="n">
        <v>18.315</v>
      </c>
      <c r="GU262" s="117" t="n">
        <v>19.485</v>
      </c>
      <c r="GV262" s="117" t="n">
        <v>20.785</v>
      </c>
      <c r="GW262" s="117" t="n">
        <v>21.57</v>
      </c>
      <c r="GX262" s="117" t="n">
        <v>11.195</v>
      </c>
      <c r="HA262" s="35" t="n">
        <v>32</v>
      </c>
      <c r="HB262" s="35" t="n">
        <v>256</v>
      </c>
    </row>
    <row r="263" ht="15.5" customHeight="1">
      <c r="A263" s="10">
        <f>HOUR(G263)+1</f>
        <v/>
      </c>
      <c r="B263" s="7" t="n"/>
      <c r="C263" s="7" t="n"/>
      <c r="D263" s="85">
        <f>IFERROR(
IF(AND(OR(Planilla!B263="C",Planilla!B263="c"), VLOOKUP(E263,FD:FP,13,0)="C"), "OK",IF(AND(OR(Planilla!B263="C",Planilla!B263="c"), OR(VLOOKUP(E263,FD:FP,13,0)="B", VLOOKUP(E263,FD:FP,13,0)="A")), "DEFICIT",IF(
AND(OR(Planilla!B263="B", Planilla!B263="BPAL"), VLOOKUP(E263,FD:FP,13,0)="B"), "OK",IF(AND(OR(Planilla!B263="B", Planilla!B263="BPAL"), VLOOKUP(E263,FD:FP,13,0)="A"), "DEFICIT",IF(AND(OR(Planilla!B263="B", Planilla!B263="BPAL"), VLOOKUP(E263,FD:FP,13,0)="C"), "SOBREOFERTA",IF(AND(Planilla!B263="A", VLOOKUP(E263,FD:FP,13,0)="A"), "OK",IF(
AND(Planilla!B263="A", OR(VLOOKUP(E263,FD:FP,13,0)="B", VLOOKUP(E263,FD:FP,13,0)="C")), "SOBREOFERTA",""
))))))),"")</f>
        <v/>
      </c>
      <c r="E263" s="8" t="n"/>
      <c r="F263" s="86" t="n"/>
      <c r="G263" s="87" t="n"/>
      <c r="H263" s="88">
        <f>IF(I263="","",IF(AND((I263-G263)&gt;=TIME(0,0,0),(I263-G263)&lt;TIME(0,3,0)),"OK",IF(AND((I263-G263)&gt;=TIME(0,3,0),(I263-G263)&lt;TIME(0,5,0)),"RETRASO DE 3-5 MIN",IF(AND((I263-G263)&gt;=TIME(0,5,0),(I263-G263)&lt;TIME(0,10,0)),"RETRASO DE 5-10 MIN",IF((I263-G263)&gt;=TIME(0,10,0),"RETRASO &gt;10 MIN", IF(AND((G263-I263)&gt;=TIME(0,0,0),(G263-I263)&lt;TIME(0,3,0)),"OK",IF((G263-I263)&gt;=TIME(0,3,0),"ADELANTADO")))))))</f>
        <v/>
      </c>
      <c r="I263" s="89" t="n"/>
      <c r="J263" s="89">
        <f>IF(A263&lt;&gt;"",HLOOKUP(VALUE(TEXT(G263,"h:mm:ss")),IF($C$6="Laboral",$FZ$4:$GX$227,IF($C$6="Sábado",$FZ$231:$GX$452,$FZ$456:$GX$656)),VLOOKUP($C$4,$HF$2:$HH$99,3,0)+IF(C$5="Ida",0,1),1),"")</f>
        <v/>
      </c>
      <c r="K263" s="89">
        <f>IF(A264&lt;&gt;A263,AVERAGEIF(A$9:A263,A263,J$9:J263),"")</f>
        <v/>
      </c>
      <c r="L263" s="89">
        <f>IFERROR(IF(A264&lt;&gt;A263,AVERAGEIF(A$9:A263,A263,S$9:S263),""),"")</f>
        <v/>
      </c>
      <c r="M263" s="89">
        <f>IFERROR(IF(A264&lt;&gt;A263,AVERAGEIF(A$9:A263,A263,T$9:T263),""),"")</f>
        <v/>
      </c>
      <c r="N263" s="89">
        <f t="array" ref="N263">IFERROR(IF(A264&lt;&gt;A263,_xlfn.STDEV.P(IF(A$9:A263=A263,T$9:T263)),""),"")</f>
        <v/>
      </c>
      <c r="O263" s="89">
        <f t="array" ref="O263">IFERROR(IF(A264&lt;&gt;A263,_xlfn.STDEV.P(IF(A$9:A263=A263,S$9:S263)),""),"")</f>
        <v/>
      </c>
      <c r="P263" s="90">
        <f>IFERROR(IF(A263&lt;&gt;A264,MAX((((M263*24*60)/2)*(1+POWER((((N263*24*60) / (M263*24*60) )),2))) + ((M263*24*60 )*-0.1 + (K263*0.015)) +1,(((M263*24*60)/2)*(1+POWER((((N263*24*60) / (M263*24*60 ))),2)))),""),"")</f>
        <v/>
      </c>
      <c r="Q263" s="90">
        <f>IF(AND(O263&lt;&gt;"",L263&lt;&gt;""),IF(A263&lt;&gt;A264,((L263*24*60) / 2 ) * (1 + POWER(((O263*24*60) / (L263*24*60)),2)),""),"")</f>
        <v/>
      </c>
      <c r="R263" s="90">
        <f>IF(Q263&lt;&gt;"",MAX(P263,Q263),"")</f>
        <v/>
      </c>
      <c r="S263" s="89">
        <f>IF(I263&lt;&gt;"H. Sale Real",IF(AND(I264&lt;&gt;"",LEFT(C264,2)&lt;&gt;"Va"),IF(AND(I263&lt;&gt;"",LEFT(C263,2)&lt;&gt;"Va",I263&lt;&gt;"H. Sale Real"),IF(I264-I263&lt;0.208333333333333,I264-I263,""),IF(AND(I262&lt;&gt;"",LEFT(C262,2)&lt;&gt;"Va",I262&lt;&gt;"H. Sale Real"),IF(I264-I262&lt;0.208333333333333,I264-I262,""),IF(AND(I261&lt;&gt;"",LEFT(C261,2)&lt;&gt;"Va",I261&lt;&gt;"H. Sale Real"),IF(I264-I261&lt;0.208333333333333,I264-I261,""),IF(AND(I260&lt;&gt;"",LEFT(C260,2)&lt;&gt;"Va",I260&lt;&gt;"H. Sale Real"),IF(I264-I260&lt;0.208333333333333,I264-I260,""),IF(AND(I259&lt;&gt;"",LEFT(C259,2)&lt;&gt;"Va",I259&lt;&gt;"H. Sale Real"),IF(I264-I259&lt;0.208333333333333,I264-I259,""),""))))),""),"")</f>
        <v/>
      </c>
      <c r="T263" s="89">
        <f>IF(G263&lt;&gt;"H. Sale Real",IF(AND(G264&lt;&gt;"",LEFT(C264,2)&lt;&gt;"Va"),IF(AND(G263&lt;&gt;"",LEFT(C263,2)&lt;&gt;"Va",G263&lt;&gt;"H. Sale Real"),IF(G264-G263&lt;0.208333333333333,G264-G263,""),IF(AND(G262&lt;&gt;"",LEFT(C262,2)&lt;&gt;"Va",G262&lt;&gt;"H. Sale Real"),IF(G264-G262&lt;0.208333333333333,G264-G262,""),IF(AND(G261&lt;&gt;"",LEFT(C261,2)&lt;&gt;"Va",G261&lt;&gt;"H. Sale Real"),IF(G264-G261&lt;0.208333333333333,G264-G261,""),IF(AND(G260&lt;&gt;"",LEFT(C260,2)&lt;&gt;"Va",G260&lt;&gt;"H. Sale Real"),IF(G264-G260&lt;0.208333333333333,G264-G260,""),IF(AND(G259&lt;&gt;"",LEFT(C259,2)&lt;&gt;"Va",G259&lt;&gt;"H. Sale Real"),IF(G264-G259&lt;0.208333333333333,G264-G259,""),""))))),""),"")</f>
        <v/>
      </c>
      <c r="U263" s="87" t="n"/>
      <c r="V263" s="89" t="n"/>
      <c r="W263" s="87" t="n"/>
      <c r="X263" s="89" t="n"/>
      <c r="Y263" s="91" t="n"/>
      <c r="Z263" s="122">
        <f>IF(G263&lt;&gt;"",IF(AND(Z262&lt;&gt;"IE",P263&lt;&gt;0,R263&lt;&gt;""),IF(IFERROR((P263/R263),0) &lt;=1,IFERROR(P263/R263,""),1),""),"")</f>
        <v/>
      </c>
      <c r="AA263" s="93" t="n"/>
      <c r="AB263" s="2" t="n"/>
      <c r="AE263" s="10">
        <f>HOUR(AK263)+1</f>
        <v/>
      </c>
      <c r="AF263" s="7" t="n"/>
      <c r="AG263" s="7" t="n"/>
      <c r="AH263" s="86" t="n"/>
      <c r="AI263" s="8" t="n"/>
      <c r="AJ263" s="86" t="n"/>
      <c r="AK263" s="87" t="n"/>
      <c r="AL263" s="88">
        <f>IF(AM263="","",IF(AND((AM263-AK263)&gt;=TIME(0,0,0),(AM263-AK263)&lt;TIME(0,3,0)),"OK",IF(AND((AM263-AK263)&gt;=TIME(0,3,0),(AM263-AK263)&lt;TIME(0,5,0)),"RETRASO DE 3-5 MIN",IF(AND((AM263-AK263)&gt;=TIME(0,5,0),(AM263-AK263)&lt;TIME(0,10,0)),"RETRASO DE 5-10 MIN",IF((AM263-AK263)&gt;=TIME(0,10,0),"RETRASO &gt;10 MIN", IF(AND((AK263-AM263)&gt;=TIME(0,0,0),(AK263-AM263)&lt;TIME(0,3,0)),"OK",IF((AK263-AM263)&gt;=TIME(0,3,0),"ADELANTADO")))))))</f>
        <v/>
      </c>
      <c r="AM263" s="91" t="n"/>
      <c r="AN263" s="89">
        <f>IF(AE263&lt;&gt;"",HLOOKUP(VALUE(TEXT(AK263,"h:mm:ss")),IF($C$6="Laboral",$FZ$4:$GX$227,IF($C$6="Sábado",$FZ$231:$GX$452,$FZ$456:$GX$656)),VLOOKUP($C$4,$HF$2:$HH$99,3,0)+IF(AG$5="Ida",0,1),1),"")</f>
        <v/>
      </c>
      <c r="AO263" s="89">
        <f>IF(AE264&lt;&gt;AE263,AVERAGEIF(AE$9:AE263,AE263,AN$9:AN263),"")</f>
        <v/>
      </c>
      <c r="AP263" s="89">
        <f>IFERROR(IF(AE264&lt;&gt;AE263,AVERAGEIF(AE$9:AE263,AE263,AW$9:AW263),""),"")</f>
        <v/>
      </c>
      <c r="AQ263" s="89">
        <f>IFERROR(IF(AE264&lt;&gt;AE263,AVERAGEIF(AE$9:AE263,AE263,AX$9:AX263),""),"")</f>
        <v/>
      </c>
      <c r="AR263" s="89">
        <f t="array" ref="AR263">IFERROR(IF(AE264&lt;&gt;AE263,_xlfn.STDEV.P(IF(AE$9:AE263=AE263,AX$9:AX263)),""),"")</f>
        <v/>
      </c>
      <c r="AS263" s="89">
        <f t="array" ref="AS263">IFERROR(IF(AE264&lt;&gt;AE263,_xlfn.STDEV.P(IF(AE$9:AE263=AE263,AW$9:AW263)),""),"")</f>
        <v/>
      </c>
      <c r="AT263" s="90">
        <f>IFERROR(IF(AE263&lt;&gt;AE264,MAX((((AQ263*24*60)/2)*(1+POWER((((AR263*24*60) / (AQ263*24*60) )),2))) + ((AQ263*24*60 )*-0.1 + (AO263*0.015)) +1,(((AQ263*24*60)/2)*(1+POWER((((AR263*24*60) / (AQ263*24*60 ))),2)))),""),"")</f>
        <v/>
      </c>
      <c r="AU263" s="90">
        <f>IF(AND(AS263&lt;&gt;"",AP263&lt;&gt;""),IF(AE263&lt;&gt;AE264,((AP263*24*60) / 2 ) * (1 + POWER(((AS263*24*60) / (AP263*24*60)),2)),""),"")</f>
        <v/>
      </c>
      <c r="AV263" s="90">
        <f>IF(AU263&lt;&gt;"",MAX(AT263,AU263),"")</f>
        <v/>
      </c>
      <c r="AW263" s="89">
        <f>IF(AM263&lt;&gt;"H. Sale Real",IF(AND(AM264&lt;&gt;"",LEFT(AG264,2)&lt;&gt;"Va"),IF(AND(AM263&lt;&gt;"",LEFT(AG263,2)&lt;&gt;"Va",AM263&lt;&gt;"H. Sale Real"),IF(AM264-AM263&lt;0.208333333333333,AM264-AM263,""),IF(AND(AM262&lt;&gt;"",LEFT(AG262,2)&lt;&gt;"Va",AM262&lt;&gt;"H. Sale Real"),IF(AM264-AM262&lt;0.208333333333333,AM264-AM262,""),IF(AND(AM261&lt;&gt;"",LEFT(AG261,2)&lt;&gt;"Va",AM261&lt;&gt;"H. Sale Real"),IF(AM264-AM261&lt;0.208333333333333,AM264-AM261,""),IF(AND(AM260&lt;&gt;"",LEFT(AG260,2)&lt;&gt;"Va",AM260&lt;&gt;"H. Sale Real"),IF(AM264-AM260&lt;0.208333333333333,AM264-AM260,""),IF(AND(AM259&lt;&gt;"",LEFT(AG259,2)&lt;&gt;"Va",AM259&lt;&gt;"H. Sale Real"),IF(AM264-AM259&lt;0.208333333333333,AM264-AM259,""),""))))),""),"")</f>
        <v/>
      </c>
      <c r="AX263" s="89">
        <f>IF(AK263&lt;&gt;"H. Sale Real",IF(AND(AK264&lt;&gt;"",LEFT(AG264,2)&lt;&gt;"Va"),IF(AND(AK263&lt;&gt;"",LEFT(AG263,2)&lt;&gt;"Va",AK263&lt;&gt;"H. Sale Real"),IF(AK264-AK263&lt;0.208333333333333,AK264-AK263,""),IF(AND(AK262&lt;&gt;"",LEFT(AG262,2)&lt;&gt;"Va",AK262&lt;&gt;"H. Sale Real"),IF(AK264-AK262&lt;0.208333333333333,AK264-AK262,""),IF(AND(AK261&lt;&gt;"",LEFT(AG261,2)&lt;&gt;"NC",AK261&lt;&gt;"H. Sale Real"),IF(AK264-AK261&lt;0.208333333333333,AK264-AK261,""),IF(AND(AK260&lt;&gt;"",LEFT(AG260,2)&lt;&gt;"Va",AK260&lt;&gt;"H. Sale Real"),IF(AK264-AK260&lt;0.208333333333333,AK264-AK260,""),IF(AND(AK259&lt;&gt;"",LEFT(AG259,2)&lt;&gt;"Va",AK259&lt;&gt;"H. Sale Real"),IF(AK264-AK259&lt;0.208333333333333,AK264-AK259,""),""))))),""),"")</f>
        <v/>
      </c>
      <c r="AY263" s="87" t="n"/>
      <c r="AZ263" s="89" t="n"/>
      <c r="BA263" s="87" t="n"/>
      <c r="BB263" s="89" t="n"/>
      <c r="BC263" s="91" t="n"/>
      <c r="BD263" s="122">
        <f>IF(AK263&lt;&gt;"",IF(AND(BD262&lt;&gt;"IE",AT263&lt;&gt;0,AV263&lt;&gt;""),IF(IFERROR((AT263/AV263),0) &lt;=1,IFERROR(AT263/AV263,""),1),""),"")</f>
        <v/>
      </c>
      <c r="BE263" s="93" t="n"/>
      <c r="BF263" s="105" t="n"/>
      <c r="FC263" t="inlineStr">
        <is>
          <t>Diccionario 1</t>
        </is>
      </c>
      <c r="FD263" s="15" t="n">
        <v>1262</v>
      </c>
      <c r="FE263" s="15" t="inlineStr">
        <is>
          <t>MDN35025020048</t>
        </is>
      </c>
      <c r="FF263" s="15" t="inlineStr">
        <is>
          <t>LDYECS316S0043988</t>
        </is>
      </c>
      <c r="FG263" s="15" t="inlineStr">
        <is>
          <t>Zhong Tong</t>
        </is>
      </c>
      <c r="FH263" s="15" t="inlineStr">
        <is>
          <t>Lck6122evg</t>
        </is>
      </c>
      <c r="FI263" s="15" t="inlineStr">
        <is>
          <t>ZHONGTONG</t>
        </is>
      </c>
      <c r="FJ263" s="15" t="inlineStr">
        <is>
          <t>LCK6122EVG</t>
        </is>
      </c>
      <c r="FK263" s="15" t="n">
        <v>2025</v>
      </c>
      <c r="FL263" s="15" t="inlineStr">
        <is>
          <t>B</t>
        </is>
      </c>
      <c r="FM263" s="15" t="inlineStr">
        <is>
          <t>PIE ANDINO</t>
        </is>
      </c>
      <c r="FN263" s="15" t="inlineStr">
        <is>
          <t>Pie Andino 31 (Pie Andino 383)</t>
        </is>
      </c>
      <c r="FO263" s="15" t="inlineStr">
        <is>
          <t>Puente Alto</t>
        </is>
      </c>
      <c r="FP263" t="inlineStr">
        <is>
          <t>B</t>
        </is>
      </c>
      <c r="FS263" s="14" t="inlineStr">
        <is>
          <t>3065 / SFVZ-40|</t>
        </is>
      </c>
      <c r="FT263" t="inlineStr">
        <is>
          <t>SFVZ-40|</t>
        </is>
      </c>
      <c r="FU263" t="inlineStr">
        <is>
          <t>SFVZ-40</t>
        </is>
      </c>
      <c r="FV263">
        <f>VLOOKUP(FU263,FD:FL,9,0)</f>
        <v/>
      </c>
      <c r="FZ263" s="51" t="inlineStr">
        <is>
          <t>B36</t>
        </is>
      </c>
      <c r="GA263" s="117" t="n">
        <v>0</v>
      </c>
      <c r="GB263" s="117" t="n">
        <v>0</v>
      </c>
      <c r="GC263" s="117" t="n">
        <v>0</v>
      </c>
      <c r="GD263" s="117" t="n">
        <v>0</v>
      </c>
      <c r="GE263" s="117" t="n">
        <v>0</v>
      </c>
      <c r="GF263" s="117" t="n">
        <v>12.405</v>
      </c>
      <c r="GG263" s="117" t="n">
        <v>22.945</v>
      </c>
      <c r="GH263" s="117" t="n">
        <v>21.605</v>
      </c>
      <c r="GI263" s="117" t="n">
        <v>20.97</v>
      </c>
      <c r="GJ263" s="117" t="n">
        <v>19.99</v>
      </c>
      <c r="GK263" s="117" t="n">
        <v>19.185</v>
      </c>
      <c r="GL263" s="117" t="n">
        <v>18.26</v>
      </c>
      <c r="GM263" s="117" t="n">
        <v>17.58</v>
      </c>
      <c r="GN263" s="117" t="n">
        <v>17.795</v>
      </c>
      <c r="GO263" s="117" t="n">
        <v>17.78</v>
      </c>
      <c r="GP263" s="117" t="n">
        <v>17.92</v>
      </c>
      <c r="GQ263" s="117" t="n">
        <v>18.465</v>
      </c>
      <c r="GR263" s="117" t="n">
        <v>18.065</v>
      </c>
      <c r="GS263" s="117" t="n">
        <v>17.6</v>
      </c>
      <c r="GT263" s="117" t="n">
        <v>18.425</v>
      </c>
      <c r="GU263" s="117" t="n">
        <v>20.02</v>
      </c>
      <c r="GV263" s="117" t="n">
        <v>21.45</v>
      </c>
      <c r="GW263" s="117" t="n">
        <v>22.39</v>
      </c>
      <c r="GX263" s="117" t="n">
        <v>11.735</v>
      </c>
      <c r="HA263" s="35" t="n">
        <v>33</v>
      </c>
      <c r="HB263" s="35" t="n">
        <v>257</v>
      </c>
    </row>
    <row r="264" ht="15.5" customHeight="1">
      <c r="A264" s="10">
        <f>HOUR(G264)+1</f>
        <v/>
      </c>
      <c r="B264" s="7" t="n"/>
      <c r="C264" s="7" t="n"/>
      <c r="D264" s="85">
        <f>IFERROR(
IF(AND(OR(Planilla!B264="C",Planilla!B264="c"), VLOOKUP(E264,FD:FP,13,0)="C"), "OK",IF(AND(OR(Planilla!B264="C",Planilla!B264="c"), OR(VLOOKUP(E264,FD:FP,13,0)="B", VLOOKUP(E264,FD:FP,13,0)="A")), "DEFICIT",IF(
AND(OR(Planilla!B264="B", Planilla!B264="BPAL"), VLOOKUP(E264,FD:FP,13,0)="B"), "OK",IF(AND(OR(Planilla!B264="B", Planilla!B264="BPAL"), VLOOKUP(E264,FD:FP,13,0)="A"), "DEFICIT",IF(AND(OR(Planilla!B264="B", Planilla!B264="BPAL"), VLOOKUP(E264,FD:FP,13,0)="C"), "SOBREOFERTA",IF(AND(Planilla!B264="A", VLOOKUP(E264,FD:FP,13,0)="A"), "OK",IF(
AND(Planilla!B264="A", OR(VLOOKUP(E264,FD:FP,13,0)="B", VLOOKUP(E264,FD:FP,13,0)="C")), "SOBREOFERTA",""
))))))),"")</f>
        <v/>
      </c>
      <c r="E264" s="8" t="n"/>
      <c r="F264" s="86" t="n"/>
      <c r="G264" s="87" t="n"/>
      <c r="H264" s="88">
        <f>IF(I264="","",IF(AND((I264-G264)&gt;=TIME(0,0,0),(I264-G264)&lt;TIME(0,3,0)),"OK",IF(AND((I264-G264)&gt;=TIME(0,3,0),(I264-G264)&lt;TIME(0,5,0)),"RETRASO DE 3-5 MIN",IF(AND((I264-G264)&gt;=TIME(0,5,0),(I264-G264)&lt;TIME(0,10,0)),"RETRASO DE 5-10 MIN",IF((I264-G264)&gt;=TIME(0,10,0),"RETRASO &gt;10 MIN", IF(AND((G264-I264)&gt;=TIME(0,0,0),(G264-I264)&lt;TIME(0,3,0)),"OK",IF((G264-I264)&gt;=TIME(0,3,0),"ADELANTADO")))))))</f>
        <v/>
      </c>
      <c r="I264" s="89" t="n"/>
      <c r="J264" s="89">
        <f>IF(A264&lt;&gt;"",HLOOKUP(VALUE(TEXT(G264,"h:mm:ss")),IF($C$6="Laboral",$FZ$4:$GX$227,IF($C$6="Sábado",$FZ$231:$GX$452,$FZ$456:$GX$656)),VLOOKUP($C$4,$HF$2:$HH$99,3,0)+IF(C$5="Ida",0,1),1),"")</f>
        <v/>
      </c>
      <c r="K264" s="89">
        <f>IF(A265&lt;&gt;A264,AVERAGEIF(A$9:A264,A264,J$9:J264),"")</f>
        <v/>
      </c>
      <c r="L264" s="89">
        <f>IFERROR(IF(A265&lt;&gt;A264,AVERAGEIF(A$9:A264,A264,S$9:S264),""),"")</f>
        <v/>
      </c>
      <c r="M264" s="89">
        <f>IFERROR(IF(A265&lt;&gt;A264,AVERAGEIF(A$9:A264,A264,T$9:T264),""),"")</f>
        <v/>
      </c>
      <c r="N264" s="89">
        <f t="array" ref="N264">IFERROR(IF(A265&lt;&gt;A264,_xlfn.STDEV.P(IF(A$9:A264=A264,T$9:T264)),""),"")</f>
        <v/>
      </c>
      <c r="O264" s="89">
        <f t="array" ref="O264">IFERROR(IF(A265&lt;&gt;A264,_xlfn.STDEV.P(IF(A$9:A264=A264,S$9:S264)),""),"")</f>
        <v/>
      </c>
      <c r="P264" s="90">
        <f>IFERROR(IF(A264&lt;&gt;A265,MAX((((M264*24*60)/2)*(1+POWER((((N264*24*60) / (M264*24*60) )),2))) + ((M264*24*60 )*-0.1 + (K264*0.015)) +1,(((M264*24*60)/2)*(1+POWER((((N264*24*60) / (M264*24*60 ))),2)))),""),"")</f>
        <v/>
      </c>
      <c r="Q264" s="90">
        <f>IF(AND(O264&lt;&gt;"",L264&lt;&gt;""),IF(A264&lt;&gt;A265,((L264*24*60) / 2 ) * (1 + POWER(((O264*24*60) / (L264*24*60)),2)),""),"")</f>
        <v/>
      </c>
      <c r="R264" s="90">
        <f>IF(Q264&lt;&gt;"",MAX(P264,Q264),"")</f>
        <v/>
      </c>
      <c r="S264" s="89">
        <f>IF(I264&lt;&gt;"H. Sale Real",IF(AND(I265&lt;&gt;"",LEFT(C265,2)&lt;&gt;"Va"),IF(AND(I264&lt;&gt;"",LEFT(C264,2)&lt;&gt;"Va",I264&lt;&gt;"H. Sale Real"),IF(I265-I264&lt;0.208333333333333,I265-I264,""),IF(AND(I263&lt;&gt;"",LEFT(C263,2)&lt;&gt;"Va",I263&lt;&gt;"H. Sale Real"),IF(I265-I263&lt;0.208333333333333,I265-I263,""),IF(AND(I262&lt;&gt;"",LEFT(C262,2)&lt;&gt;"Va",I262&lt;&gt;"H. Sale Real"),IF(I265-I262&lt;0.208333333333333,I265-I262,""),IF(AND(I261&lt;&gt;"",LEFT(C261,2)&lt;&gt;"Va",I261&lt;&gt;"H. Sale Real"),IF(I265-I261&lt;0.208333333333333,I265-I261,""),IF(AND(I260&lt;&gt;"",LEFT(C260,2)&lt;&gt;"Va",I260&lt;&gt;"H. Sale Real"),IF(I265-I260&lt;0.208333333333333,I265-I260,""),""))))),""),"")</f>
        <v/>
      </c>
      <c r="T264" s="89">
        <f>IF(G264&lt;&gt;"H. Sale Real",IF(AND(G265&lt;&gt;"",LEFT(C265,2)&lt;&gt;"Va"),IF(AND(G264&lt;&gt;"",LEFT(C264,2)&lt;&gt;"Va",G264&lt;&gt;"H. Sale Real"),IF(G265-G264&lt;0.208333333333333,G265-G264,""),IF(AND(G263&lt;&gt;"",LEFT(C263,2)&lt;&gt;"Va",G263&lt;&gt;"H. Sale Real"),IF(G265-G263&lt;0.208333333333333,G265-G263,""),IF(AND(G262&lt;&gt;"",LEFT(C262,2)&lt;&gt;"Va",G262&lt;&gt;"H. Sale Real"),IF(G265-G262&lt;0.208333333333333,G265-G262,""),IF(AND(G261&lt;&gt;"",LEFT(C261,2)&lt;&gt;"Va",G261&lt;&gt;"H. Sale Real"),IF(G265-G261&lt;0.208333333333333,G265-G261,""),IF(AND(G260&lt;&gt;"",LEFT(C260,2)&lt;&gt;"Va",G260&lt;&gt;"H. Sale Real"),IF(G265-G260&lt;0.208333333333333,G265-G260,""),""))))),""),"")</f>
        <v/>
      </c>
      <c r="U264" s="87" t="n"/>
      <c r="V264" s="89" t="n"/>
      <c r="W264" s="87" t="n"/>
      <c r="X264" s="89" t="n"/>
      <c r="Y264" s="91" t="n"/>
      <c r="Z264" s="122">
        <f>IF(G264&lt;&gt;"",IF(AND(Z263&lt;&gt;"IE",P264&lt;&gt;0,R264&lt;&gt;""),IF(IFERROR((P264/R264),0) &lt;=1,IFERROR(P264/R264,""),1),""),"")</f>
        <v/>
      </c>
      <c r="AA264" s="93" t="n"/>
      <c r="AB264" s="2" t="n"/>
      <c r="AE264" s="10">
        <f>HOUR(AK264)+1</f>
        <v/>
      </c>
      <c r="AF264" s="7" t="n"/>
      <c r="AG264" s="7" t="n"/>
      <c r="AH264" s="86" t="n"/>
      <c r="AI264" s="8" t="n"/>
      <c r="AJ264" s="86" t="n"/>
      <c r="AK264" s="87" t="n"/>
      <c r="AL264" s="88">
        <f>IF(AM264="","",IF(AND((AM264-AK264)&gt;=TIME(0,0,0),(AM264-AK264)&lt;TIME(0,3,0)),"OK",IF(AND((AM264-AK264)&gt;=TIME(0,3,0),(AM264-AK264)&lt;TIME(0,5,0)),"RETRASO DE 3-5 MIN",IF(AND((AM264-AK264)&gt;=TIME(0,5,0),(AM264-AK264)&lt;TIME(0,10,0)),"RETRASO DE 5-10 MIN",IF((AM264-AK264)&gt;=TIME(0,10,0),"RETRASO &gt;10 MIN", IF(AND((AK264-AM264)&gt;=TIME(0,0,0),(AK264-AM264)&lt;TIME(0,3,0)),"OK",IF((AK264-AM264)&gt;=TIME(0,3,0),"ADELANTADO")))))))</f>
        <v/>
      </c>
      <c r="AM264" s="91" t="n"/>
      <c r="AN264" s="89">
        <f>IF(AE264&lt;&gt;"",HLOOKUP(VALUE(TEXT(AK264,"h:mm:ss")),IF($C$6="Laboral",$FZ$4:$GX$227,IF($C$6="Sábado",$FZ$231:$GX$452,$FZ$456:$GX$656)),VLOOKUP($C$4,$HF$2:$HH$99,3,0)+IF(AG$5="Ida",0,1),1),"")</f>
        <v/>
      </c>
      <c r="AO264" s="89">
        <f>IF(AE265&lt;&gt;AE264,AVERAGEIF(AE$9:AE264,AE264,AN$9:AN264),"")</f>
        <v/>
      </c>
      <c r="AP264" s="89">
        <f>IFERROR(IF(AE265&lt;&gt;AE264,AVERAGEIF(AE$9:AE264,AE264,AW$9:AW264),""),"")</f>
        <v/>
      </c>
      <c r="AQ264" s="89">
        <f>IFERROR(IF(AE265&lt;&gt;AE264,AVERAGEIF(AE$9:AE264,AE264,AX$9:AX264),""),"")</f>
        <v/>
      </c>
      <c r="AR264" s="89">
        <f t="array" ref="AR264">IFERROR(IF(AE265&lt;&gt;AE264,_xlfn.STDEV.P(IF(AE$9:AE264=AE264,AX$9:AX264)),""),"")</f>
        <v/>
      </c>
      <c r="AS264" s="89">
        <f t="array" ref="AS264">IFERROR(IF(AE265&lt;&gt;AE264,_xlfn.STDEV.P(IF(AE$9:AE264=AE264,AW$9:AW264)),""),"")</f>
        <v/>
      </c>
      <c r="AT264" s="90">
        <f>IFERROR(IF(AE264&lt;&gt;AE265,MAX((((AQ264*24*60)/2)*(1+POWER((((AR264*24*60) / (AQ264*24*60) )),2))) + ((AQ264*24*60 )*-0.1 + (AO264*0.015)) +1,(((AQ264*24*60)/2)*(1+POWER((((AR264*24*60) / (AQ264*24*60 ))),2)))),""),"")</f>
        <v/>
      </c>
      <c r="AU264" s="90">
        <f>IF(AND(AS264&lt;&gt;"",AP264&lt;&gt;""),IF(AE264&lt;&gt;AE265,((AP264*24*60) / 2 ) * (1 + POWER(((AS264*24*60) / (AP264*24*60)),2)),""),"")</f>
        <v/>
      </c>
      <c r="AV264" s="90">
        <f>IF(AU264&lt;&gt;"",MAX(AT264,AU264),"")</f>
        <v/>
      </c>
      <c r="AW264" s="89">
        <f>IF(AM264&lt;&gt;"H. Sale Real",IF(AND(AM265&lt;&gt;"",LEFT(AG265,2)&lt;&gt;"Va"),IF(AND(AM264&lt;&gt;"",LEFT(AG264,2)&lt;&gt;"Va",AM264&lt;&gt;"H. Sale Real"),IF(AM265-AM264&lt;0.208333333333333,AM265-AM264,""),IF(AND(AM263&lt;&gt;"",LEFT(AG263,2)&lt;&gt;"Va",AM263&lt;&gt;"H. Sale Real"),IF(AM265-AM263&lt;0.208333333333333,AM265-AM263,""),IF(AND(AM262&lt;&gt;"",LEFT(AG262,2)&lt;&gt;"Va",AM262&lt;&gt;"H. Sale Real"),IF(AM265-AM262&lt;0.208333333333333,AM265-AM262,""),IF(AND(AM261&lt;&gt;"",LEFT(AG261,2)&lt;&gt;"Va",AM261&lt;&gt;"H. Sale Real"),IF(AM265-AM261&lt;0.208333333333333,AM265-AM261,""),IF(AND(AM260&lt;&gt;"",LEFT(AG260,2)&lt;&gt;"Va",AM260&lt;&gt;"H. Sale Real"),IF(AM265-AM260&lt;0.208333333333333,AM265-AM260,""),""))))),""),"")</f>
        <v/>
      </c>
      <c r="AX264" s="89">
        <f>IF(AK264&lt;&gt;"H. Sale Real",IF(AND(AK265&lt;&gt;"",LEFT(AG265,2)&lt;&gt;"Va"),IF(AND(AK264&lt;&gt;"",LEFT(AG264,2)&lt;&gt;"Va",AK264&lt;&gt;"H. Sale Real"),IF(AK265-AK264&lt;0.208333333333333,AK265-AK264,""),IF(AND(AK263&lt;&gt;"",LEFT(AG263,2)&lt;&gt;"Va",AK263&lt;&gt;"H. Sale Real"),IF(AK265-AK263&lt;0.208333333333333,AK265-AK263,""),IF(AND(AK262&lt;&gt;"",LEFT(AG262,2)&lt;&gt;"NC",AK262&lt;&gt;"H. Sale Real"),IF(AK265-AK262&lt;0.208333333333333,AK265-AK262,""),IF(AND(AK261&lt;&gt;"",LEFT(AG261,2)&lt;&gt;"Va",AK261&lt;&gt;"H. Sale Real"),IF(AK265-AK261&lt;0.208333333333333,AK265-AK261,""),IF(AND(AK260&lt;&gt;"",LEFT(AG260,2)&lt;&gt;"Va",AK260&lt;&gt;"H. Sale Real"),IF(AK265-AK260&lt;0.208333333333333,AK265-AK260,""),""))))),""),"")</f>
        <v/>
      </c>
      <c r="AY264" s="87" t="n"/>
      <c r="AZ264" s="89" t="n"/>
      <c r="BA264" s="87" t="n"/>
      <c r="BB264" s="89" t="n"/>
      <c r="BC264" s="91" t="n"/>
      <c r="BD264" s="122">
        <f>IF(AK264&lt;&gt;"",IF(AND(BD263&lt;&gt;"IE",AT264&lt;&gt;0,AV264&lt;&gt;""),IF(IFERROR((AT264/AV264),0) &lt;=1,IFERROR(AT264/AV264,""),1),""),"")</f>
        <v/>
      </c>
      <c r="BE264" s="93" t="n"/>
      <c r="BF264" s="105" t="n"/>
      <c r="FC264" t="inlineStr">
        <is>
          <t>Diccionario 1</t>
        </is>
      </c>
      <c r="FD264" s="15" t="n">
        <v>1263</v>
      </c>
      <c r="FE264" s="15" t="inlineStr">
        <is>
          <t>MDN35025020053</t>
        </is>
      </c>
      <c r="FF264" s="15" t="inlineStr">
        <is>
          <t>LDYECS310S0043985</t>
        </is>
      </c>
      <c r="FG264" s="15" t="inlineStr">
        <is>
          <t>Zhong Tong</t>
        </is>
      </c>
      <c r="FH264" s="15" t="inlineStr">
        <is>
          <t>Lck6122evg</t>
        </is>
      </c>
      <c r="FI264" s="15" t="inlineStr">
        <is>
          <t>ZHONGTONG</t>
        </is>
      </c>
      <c r="FJ264" s="15" t="inlineStr">
        <is>
          <t>LCK6122EVG</t>
        </is>
      </c>
      <c r="FK264" s="15" t="n">
        <v>2025</v>
      </c>
      <c r="FL264" s="15" t="inlineStr">
        <is>
          <t>B</t>
        </is>
      </c>
      <c r="FM264" s="15" t="inlineStr">
        <is>
          <t>CERRILLOS</t>
        </is>
      </c>
      <c r="FN264" s="15" t="inlineStr">
        <is>
          <t>Calle Uno 7371</t>
        </is>
      </c>
      <c r="FO264" s="15" t="inlineStr">
        <is>
          <t>Cerrillos</t>
        </is>
      </c>
      <c r="FP264" t="inlineStr">
        <is>
          <t>B</t>
        </is>
      </c>
      <c r="FS264" s="14" t="inlineStr">
        <is>
          <t>3065 / SFVZ-40|</t>
        </is>
      </c>
      <c r="FT264" t="inlineStr">
        <is>
          <t>SFVZ-40|</t>
        </is>
      </c>
      <c r="FU264" t="inlineStr">
        <is>
          <t>SFVZ-40</t>
        </is>
      </c>
      <c r="FV264">
        <f>VLOOKUP(FU264,FD:FL,9,0)</f>
        <v/>
      </c>
      <c r="FZ264" s="51" t="n">
        <v>410</v>
      </c>
      <c r="GA264" s="117" t="n">
        <v>0</v>
      </c>
      <c r="GB264" s="117" t="n">
        <v>0</v>
      </c>
      <c r="GC264" s="117" t="n">
        <v>0</v>
      </c>
      <c r="GD264" s="117" t="n">
        <v>0</v>
      </c>
      <c r="GE264" s="117" t="n">
        <v>16</v>
      </c>
      <c r="GF264" s="117" t="n">
        <v>29.675</v>
      </c>
      <c r="GG264" s="117" t="n">
        <v>27.6</v>
      </c>
      <c r="GH264" s="117" t="n">
        <v>27.005</v>
      </c>
      <c r="GI264" s="117" t="n">
        <v>26.355</v>
      </c>
      <c r="GJ264" s="117" t="n">
        <v>25.795</v>
      </c>
      <c r="GK264" s="117" t="n">
        <v>24.91</v>
      </c>
      <c r="GL264" s="117" t="n">
        <v>24.17</v>
      </c>
      <c r="GM264" s="117" t="n">
        <v>23.62</v>
      </c>
      <c r="GN264" s="117" t="n">
        <v>23.37</v>
      </c>
      <c r="GO264" s="117" t="n">
        <v>24.495</v>
      </c>
      <c r="GP264" s="117" t="n">
        <v>25.25</v>
      </c>
      <c r="GQ264" s="117" t="n">
        <v>25.065</v>
      </c>
      <c r="GR264" s="117" t="n">
        <v>26.115</v>
      </c>
      <c r="GS264" s="117" t="n">
        <v>26.6</v>
      </c>
      <c r="GT264" s="117" t="n">
        <v>27.115</v>
      </c>
      <c r="GU264" s="117" t="n">
        <v>28.415</v>
      </c>
      <c r="GV264" s="117" t="n">
        <v>30.275</v>
      </c>
      <c r="GW264" s="117" t="n">
        <v>31.395</v>
      </c>
      <c r="GX264" s="117" t="n">
        <v>32.085</v>
      </c>
      <c r="HA264" s="35" t="n">
        <v>34</v>
      </c>
      <c r="HB264" s="35" t="n">
        <v>258</v>
      </c>
    </row>
    <row r="265" ht="15.5" customHeight="1">
      <c r="A265" s="10">
        <f>HOUR(G265)+1</f>
        <v/>
      </c>
      <c r="B265" s="7" t="n"/>
      <c r="C265" s="7" t="n"/>
      <c r="D265" s="85">
        <f>IFERROR(
IF(AND(OR(Planilla!B265="C",Planilla!B265="c"), VLOOKUP(E265,FD:FP,13,0)="C"), "OK",IF(AND(OR(Planilla!B265="C",Planilla!B265="c"), OR(VLOOKUP(E265,FD:FP,13,0)="B", VLOOKUP(E265,FD:FP,13,0)="A")), "DEFICIT",IF(
AND(OR(Planilla!B265="B", Planilla!B265="BPAL"), VLOOKUP(E265,FD:FP,13,0)="B"), "OK",IF(AND(OR(Planilla!B265="B", Planilla!B265="BPAL"), VLOOKUP(E265,FD:FP,13,0)="A"), "DEFICIT",IF(AND(OR(Planilla!B265="B", Planilla!B265="BPAL"), VLOOKUP(E265,FD:FP,13,0)="C"), "SOBREOFERTA",IF(AND(Planilla!B265="A", VLOOKUP(E265,FD:FP,13,0)="A"), "OK",IF(
AND(Planilla!B265="A", OR(VLOOKUP(E265,FD:FP,13,0)="B", VLOOKUP(E265,FD:FP,13,0)="C")), "SOBREOFERTA",""
))))))),"")</f>
        <v/>
      </c>
      <c r="E265" s="8" t="n"/>
      <c r="F265" s="86" t="n"/>
      <c r="G265" s="87" t="n"/>
      <c r="H265" s="88">
        <f>IF(I265="","",IF(AND((I265-G265)&gt;=TIME(0,0,0),(I265-G265)&lt;TIME(0,3,0)),"OK",IF(AND((I265-G265)&gt;=TIME(0,3,0),(I265-G265)&lt;TIME(0,5,0)),"RETRASO DE 3-5 MIN",IF(AND((I265-G265)&gt;=TIME(0,5,0),(I265-G265)&lt;TIME(0,10,0)),"RETRASO DE 5-10 MIN",IF((I265-G265)&gt;=TIME(0,10,0),"RETRASO &gt;10 MIN", IF(AND((G265-I265)&gt;=TIME(0,0,0),(G265-I265)&lt;TIME(0,3,0)),"OK",IF((G265-I265)&gt;=TIME(0,3,0),"ADELANTADO")))))))</f>
        <v/>
      </c>
      <c r="I265" s="89" t="n"/>
      <c r="J265" s="89">
        <f>IF(A265&lt;&gt;"",HLOOKUP(VALUE(TEXT(G265,"h:mm:ss")),IF($C$6="Laboral",$FZ$4:$GX$227,IF($C$6="Sábado",$FZ$231:$GX$452,$FZ$456:$GX$656)),VLOOKUP($C$4,$HF$2:$HH$99,3,0)+IF(C$5="Ida",0,1),1),"")</f>
        <v/>
      </c>
      <c r="K265" s="89">
        <f>IF(A266&lt;&gt;A265,AVERAGEIF(A$9:A265,A265,J$9:J265),"")</f>
        <v/>
      </c>
      <c r="L265" s="89">
        <f>IFERROR(IF(A266&lt;&gt;A265,AVERAGEIF(A$9:A265,A265,S$9:S265),""),"")</f>
        <v/>
      </c>
      <c r="M265" s="89">
        <f>IFERROR(IF(A266&lt;&gt;A265,AVERAGEIF(A$9:A265,A265,T$9:T265),""),"")</f>
        <v/>
      </c>
      <c r="N265" s="89">
        <f t="array" ref="N265">IFERROR(IF(A266&lt;&gt;A265,_xlfn.STDEV.P(IF(A$9:A265=A265,T$9:T265)),""),"")</f>
        <v/>
      </c>
      <c r="O265" s="89">
        <f t="array" ref="O265">IFERROR(IF(A266&lt;&gt;A265,_xlfn.STDEV.P(IF(A$9:A265=A265,S$9:S265)),""),"")</f>
        <v/>
      </c>
      <c r="P265" s="90">
        <f>IFERROR(IF(A265&lt;&gt;A266,MAX((((M265*24*60)/2)*(1+POWER((((N265*24*60) / (M265*24*60) )),2))) + ((M265*24*60 )*-0.1 + (K265*0.015)) +1,(((M265*24*60)/2)*(1+POWER((((N265*24*60) / (M265*24*60 ))),2)))),""),"")</f>
        <v/>
      </c>
      <c r="Q265" s="90">
        <f>IF(AND(O265&lt;&gt;"",L265&lt;&gt;""),IF(A265&lt;&gt;A266,((L265*24*60) / 2 ) * (1 + POWER(((O265*24*60) / (L265*24*60)),2)),""),"")</f>
        <v/>
      </c>
      <c r="R265" s="90">
        <f>IF(Q265&lt;&gt;"",MAX(P265,Q265),"")</f>
        <v/>
      </c>
      <c r="S265" s="89">
        <f>IF(I265&lt;&gt;"H. Sale Real",IF(AND(I266&lt;&gt;"",LEFT(C266,2)&lt;&gt;"Va"),IF(AND(I265&lt;&gt;"",LEFT(C265,2)&lt;&gt;"Va",I265&lt;&gt;"H. Sale Real"),IF(I266-I265&lt;0.208333333333333,I266-I265,""),IF(AND(I264&lt;&gt;"",LEFT(C264,2)&lt;&gt;"Va",I264&lt;&gt;"H. Sale Real"),IF(I266-I264&lt;0.208333333333333,I266-I264,""),IF(AND(I263&lt;&gt;"",LEFT(C263,2)&lt;&gt;"Va",I263&lt;&gt;"H. Sale Real"),IF(I266-I263&lt;0.208333333333333,I266-I263,""),IF(AND(I262&lt;&gt;"",LEFT(C262,2)&lt;&gt;"Va",I262&lt;&gt;"H. Sale Real"),IF(I266-I262&lt;0.208333333333333,I266-I262,""),IF(AND(I261&lt;&gt;"",LEFT(C261,2)&lt;&gt;"Va",I261&lt;&gt;"H. Sale Real"),IF(I266-I261&lt;0.208333333333333,I266-I261,""),""))))),""),"")</f>
        <v/>
      </c>
      <c r="T265" s="89">
        <f>IF(G265&lt;&gt;"H. Sale Real",IF(AND(G266&lt;&gt;"",LEFT(C266,2)&lt;&gt;"Va"),IF(AND(G265&lt;&gt;"",LEFT(C265,2)&lt;&gt;"Va",G265&lt;&gt;"H. Sale Real"),IF(G266-G265&lt;0.208333333333333,G266-G265,""),IF(AND(G264&lt;&gt;"",LEFT(C264,2)&lt;&gt;"Va",G264&lt;&gt;"H. Sale Real"),IF(G266-G264&lt;0.208333333333333,G266-G264,""),IF(AND(G263&lt;&gt;"",LEFT(C263,2)&lt;&gt;"Va",G263&lt;&gt;"H. Sale Real"),IF(G266-G263&lt;0.208333333333333,G266-G263,""),IF(AND(G262&lt;&gt;"",LEFT(C262,2)&lt;&gt;"Va",G262&lt;&gt;"H. Sale Real"),IF(G266-G262&lt;0.208333333333333,G266-G262,""),IF(AND(G261&lt;&gt;"",LEFT(C261,2)&lt;&gt;"Va",G261&lt;&gt;"H. Sale Real"),IF(G266-G261&lt;0.208333333333333,G266-G261,""),""))))),""),"")</f>
        <v/>
      </c>
      <c r="U265" s="87" t="n"/>
      <c r="V265" s="89" t="n"/>
      <c r="W265" s="87" t="n"/>
      <c r="X265" s="89" t="n"/>
      <c r="Y265" s="91" t="n"/>
      <c r="Z265" s="122">
        <f>IF(G265&lt;&gt;"",IF(AND(Z264&lt;&gt;"IE",P265&lt;&gt;0,R265&lt;&gt;""),IF(IFERROR((P265/R265),0) &lt;=1,IFERROR(P265/R265,""),1),""),"")</f>
        <v/>
      </c>
      <c r="AA265" s="93" t="n"/>
      <c r="AB265" s="2" t="n"/>
      <c r="AE265" s="10">
        <f>HOUR(AK265)+1</f>
        <v/>
      </c>
      <c r="AF265" s="7" t="n"/>
      <c r="AG265" s="7" t="n"/>
      <c r="AH265" s="86" t="n"/>
      <c r="AI265" s="8" t="n"/>
      <c r="AJ265" s="86" t="n"/>
      <c r="AK265" s="87" t="n"/>
      <c r="AL265" s="88">
        <f>IF(AM265="","",IF(AND((AM265-AK265)&gt;=TIME(0,0,0),(AM265-AK265)&lt;TIME(0,3,0)),"OK",IF(AND((AM265-AK265)&gt;=TIME(0,3,0),(AM265-AK265)&lt;TIME(0,5,0)),"RETRASO DE 3-5 MIN",IF(AND((AM265-AK265)&gt;=TIME(0,5,0),(AM265-AK265)&lt;TIME(0,10,0)),"RETRASO DE 5-10 MIN",IF((AM265-AK265)&gt;=TIME(0,10,0),"RETRASO &gt;10 MIN", IF(AND((AK265-AM265)&gt;=TIME(0,0,0),(AK265-AM265)&lt;TIME(0,3,0)),"OK",IF((AK265-AM265)&gt;=TIME(0,3,0),"ADELANTADO")))))))</f>
        <v/>
      </c>
      <c r="AM265" s="91" t="n"/>
      <c r="AN265" s="89">
        <f>IF(AE265&lt;&gt;"",HLOOKUP(VALUE(TEXT(AK265,"h:mm:ss")),IF($C$6="Laboral",$FZ$4:$GX$227,IF($C$6="Sábado",$FZ$231:$GX$452,$FZ$456:$GX$656)),VLOOKUP($C$4,$HF$2:$HH$99,3,0)+IF(AG$5="Ida",0,1),1),"")</f>
        <v/>
      </c>
      <c r="AO265" s="89">
        <f>IF(AE266&lt;&gt;AE265,AVERAGEIF(AE$9:AE265,AE265,AN$9:AN265),"")</f>
        <v/>
      </c>
      <c r="AP265" s="89">
        <f>IFERROR(IF(AE266&lt;&gt;AE265,AVERAGEIF(AE$9:AE265,AE265,AW$9:AW265),""),"")</f>
        <v/>
      </c>
      <c r="AQ265" s="89">
        <f>IFERROR(IF(AE266&lt;&gt;AE265,AVERAGEIF(AE$9:AE265,AE265,AX$9:AX265),""),"")</f>
        <v/>
      </c>
      <c r="AR265" s="89">
        <f t="array" ref="AR265">IFERROR(IF(AE266&lt;&gt;AE265,_xlfn.STDEV.P(IF(AE$9:AE265=AE265,AX$9:AX265)),""),"")</f>
        <v/>
      </c>
      <c r="AS265" s="89">
        <f t="array" ref="AS265">IFERROR(IF(AE266&lt;&gt;AE265,_xlfn.STDEV.P(IF(AE$9:AE265=AE265,AW$9:AW265)),""),"")</f>
        <v/>
      </c>
      <c r="AT265" s="90">
        <f>IFERROR(IF(AE265&lt;&gt;AE266,MAX((((AQ265*24*60)/2)*(1+POWER((((AR265*24*60) / (AQ265*24*60) )),2))) + ((AQ265*24*60 )*-0.1 + (AO265*0.015)) +1,(((AQ265*24*60)/2)*(1+POWER((((AR265*24*60) / (AQ265*24*60 ))),2)))),""),"")</f>
        <v/>
      </c>
      <c r="AU265" s="90">
        <f>IF(AND(AS265&lt;&gt;"",AP265&lt;&gt;""),IF(AE265&lt;&gt;AE266,((AP265*24*60) / 2 ) * (1 + POWER(((AS265*24*60) / (AP265*24*60)),2)),""),"")</f>
        <v/>
      </c>
      <c r="AV265" s="90">
        <f>IF(AU265&lt;&gt;"",MAX(AT265,AU265),"")</f>
        <v/>
      </c>
      <c r="AW265" s="89">
        <f>IF(AM265&lt;&gt;"H. Sale Real",IF(AND(AM266&lt;&gt;"",LEFT(AG266,2)&lt;&gt;"Va"),IF(AND(AM265&lt;&gt;"",LEFT(AG265,2)&lt;&gt;"Va",AM265&lt;&gt;"H. Sale Real"),IF(AM266-AM265&lt;0.208333333333333,AM266-AM265,""),IF(AND(AM264&lt;&gt;"",LEFT(AG264,2)&lt;&gt;"Va",AM264&lt;&gt;"H. Sale Real"),IF(AM266-AM264&lt;0.208333333333333,AM266-AM264,""),IF(AND(AM263&lt;&gt;"",LEFT(AG263,2)&lt;&gt;"Va",AM263&lt;&gt;"H. Sale Real"),IF(AM266-AM263&lt;0.208333333333333,AM266-AM263,""),IF(AND(AM262&lt;&gt;"",LEFT(AG262,2)&lt;&gt;"Va",AM262&lt;&gt;"H. Sale Real"),IF(AM266-AM262&lt;0.208333333333333,AM266-AM262,""),IF(AND(AM261&lt;&gt;"",LEFT(AG261,2)&lt;&gt;"Va",AM261&lt;&gt;"H. Sale Real"),IF(AM266-AM261&lt;0.208333333333333,AM266-AM261,""),""))))),""),"")</f>
        <v/>
      </c>
      <c r="AX265" s="89">
        <f>IF(AK265&lt;&gt;"H. Sale Real",IF(AND(AK266&lt;&gt;"",LEFT(AG266,2)&lt;&gt;"Va"),IF(AND(AK265&lt;&gt;"",LEFT(AG265,2)&lt;&gt;"Va",AK265&lt;&gt;"H. Sale Real"),IF(AK266-AK265&lt;0.208333333333333,AK266-AK265,""),IF(AND(AK264&lt;&gt;"",LEFT(AG264,2)&lt;&gt;"Va",AK264&lt;&gt;"H. Sale Real"),IF(AK266-AK264&lt;0.208333333333333,AK266-AK264,""),IF(AND(AK263&lt;&gt;"",LEFT(AG263,2)&lt;&gt;"NC",AK263&lt;&gt;"H. Sale Real"),IF(AK266-AK263&lt;0.208333333333333,AK266-AK263,""),IF(AND(AK262&lt;&gt;"",LEFT(AG262,2)&lt;&gt;"Va",AK262&lt;&gt;"H. Sale Real"),IF(AK266-AK262&lt;0.208333333333333,AK266-AK262,""),IF(AND(AK261&lt;&gt;"",LEFT(AG261,2)&lt;&gt;"Va",AK261&lt;&gt;"H. Sale Real"),IF(AK266-AK261&lt;0.208333333333333,AK266-AK261,""),""))))),""),"")</f>
        <v/>
      </c>
      <c r="AY265" s="87" t="n"/>
      <c r="AZ265" s="89" t="n"/>
      <c r="BA265" s="87" t="n"/>
      <c r="BB265" s="89" t="n"/>
      <c r="BC265" s="91" t="n"/>
      <c r="BD265" s="122">
        <f>IF(AK265&lt;&gt;"",IF(AND(BD264&lt;&gt;"IE",AT265&lt;&gt;0,AV265&lt;&gt;""),IF(IFERROR((AT265/AV265),0) &lt;=1,IFERROR(AT265/AV265,""),1),""),"")</f>
        <v/>
      </c>
      <c r="BE265" s="93" t="n"/>
      <c r="BF265" s="105" t="n"/>
      <c r="FC265" t="inlineStr">
        <is>
          <t>Diccionario 1</t>
        </is>
      </c>
      <c r="FD265" s="15" t="n">
        <v>1264</v>
      </c>
      <c r="FE265" s="15" t="inlineStr">
        <is>
          <t>MDN35025020080</t>
        </is>
      </c>
      <c r="FF265" s="15" t="inlineStr">
        <is>
          <t>LDYECS314S0043990</t>
        </is>
      </c>
      <c r="FG265" s="15" t="inlineStr">
        <is>
          <t>Zhong Tong</t>
        </is>
      </c>
      <c r="FH265" s="15" t="inlineStr">
        <is>
          <t>Lck6122evg</t>
        </is>
      </c>
      <c r="FI265" s="15" t="inlineStr">
        <is>
          <t>ZHONGTONG</t>
        </is>
      </c>
      <c r="FJ265" s="15" t="inlineStr">
        <is>
          <t>LCK6122EVG</t>
        </is>
      </c>
      <c r="FK265" s="15" t="n">
        <v>2025</v>
      </c>
      <c r="FL265" s="15" t="inlineStr">
        <is>
          <t>B</t>
        </is>
      </c>
      <c r="FM265" s="15" t="inlineStr">
        <is>
          <t>CERRILLOS</t>
        </is>
      </c>
      <c r="FN265" s="15" t="inlineStr">
        <is>
          <t>Calle Uno 7371</t>
        </is>
      </c>
      <c r="FO265" s="15" t="inlineStr">
        <is>
          <t>Cerrillos</t>
        </is>
      </c>
      <c r="FP265" t="inlineStr">
        <is>
          <t>B</t>
        </is>
      </c>
      <c r="FS265" s="14" t="inlineStr">
        <is>
          <t>3065 / SFVZ-40|</t>
        </is>
      </c>
      <c r="FT265" t="inlineStr">
        <is>
          <t>SFVZ-40|</t>
        </is>
      </c>
      <c r="FU265" t="inlineStr">
        <is>
          <t>SFVZ-40</t>
        </is>
      </c>
      <c r="FV265">
        <f>VLOOKUP(FU265,FD:FL,9,0)</f>
        <v/>
      </c>
      <c r="FZ265" s="51" t="n">
        <v>410</v>
      </c>
      <c r="GA265" s="117" t="n">
        <v>27.605</v>
      </c>
      <c r="GB265" s="117" t="n">
        <v>0</v>
      </c>
      <c r="GC265" s="117" t="n">
        <v>0</v>
      </c>
      <c r="GD265" s="117" t="n">
        <v>0</v>
      </c>
      <c r="GE265" s="117" t="n">
        <v>0</v>
      </c>
      <c r="GF265" s="117" t="n">
        <v>13.225</v>
      </c>
      <c r="GG265" s="117" t="n">
        <v>25.555</v>
      </c>
      <c r="GH265" s="117" t="n">
        <v>23.94</v>
      </c>
      <c r="GI265" s="117" t="n">
        <v>23.135</v>
      </c>
      <c r="GJ265" s="117" t="n">
        <v>22.335</v>
      </c>
      <c r="GK265" s="117" t="n">
        <v>20.945</v>
      </c>
      <c r="GL265" s="117" t="n">
        <v>19.195</v>
      </c>
      <c r="GM265" s="117" t="n">
        <v>18.815</v>
      </c>
      <c r="GN265" s="117" t="n">
        <v>18.9</v>
      </c>
      <c r="GO265" s="117" t="n">
        <v>19.57</v>
      </c>
      <c r="GP265" s="117" t="n">
        <v>20.82</v>
      </c>
      <c r="GQ265" s="117" t="n">
        <v>20.775</v>
      </c>
      <c r="GR265" s="117" t="n">
        <v>19.715</v>
      </c>
      <c r="GS265" s="117" t="n">
        <v>19.35</v>
      </c>
      <c r="GT265" s="117" t="n">
        <v>19.86</v>
      </c>
      <c r="GU265" s="117" t="n">
        <v>20.345</v>
      </c>
      <c r="GV265" s="117" t="n">
        <v>21.48</v>
      </c>
      <c r="GW265" s="117" t="n">
        <v>23.295</v>
      </c>
      <c r="GX265" s="117" t="n">
        <v>25.365</v>
      </c>
      <c r="HA265" s="35" t="n">
        <v>35</v>
      </c>
      <c r="HB265" s="35" t="n">
        <v>259</v>
      </c>
    </row>
    <row r="266" ht="15.5" customHeight="1">
      <c r="A266" s="10">
        <f>HOUR(G266)+1</f>
        <v/>
      </c>
      <c r="B266" s="7" t="n"/>
      <c r="C266" s="7" t="n"/>
      <c r="D266" s="85">
        <f>IFERROR(
IF(AND(OR(Planilla!B266="C",Planilla!B266="c"), VLOOKUP(E266,FD:FP,13,0)="C"), "OK",IF(AND(OR(Planilla!B266="C",Planilla!B266="c"), OR(VLOOKUP(E266,FD:FP,13,0)="B", VLOOKUP(E266,FD:FP,13,0)="A")), "DEFICIT",IF(
AND(OR(Planilla!B266="B", Planilla!B266="BPAL"), VLOOKUP(E266,FD:FP,13,0)="B"), "OK",IF(AND(OR(Planilla!B266="B", Planilla!B266="BPAL"), VLOOKUP(E266,FD:FP,13,0)="A"), "DEFICIT",IF(AND(OR(Planilla!B266="B", Planilla!B266="BPAL"), VLOOKUP(E266,FD:FP,13,0)="C"), "SOBREOFERTA",IF(AND(Planilla!B266="A", VLOOKUP(E266,FD:FP,13,0)="A"), "OK",IF(
AND(Planilla!B266="A", OR(VLOOKUP(E266,FD:FP,13,0)="B", VLOOKUP(E266,FD:FP,13,0)="C")), "SOBREOFERTA",""
))))))),"")</f>
        <v/>
      </c>
      <c r="E266" s="8" t="n"/>
      <c r="F266" s="86" t="n"/>
      <c r="G266" s="87" t="n"/>
      <c r="H266" s="88">
        <f>IF(I266="","",IF(AND((I266-G266)&gt;=TIME(0,0,0),(I266-G266)&lt;TIME(0,3,0)),"OK",IF(AND((I266-G266)&gt;=TIME(0,3,0),(I266-G266)&lt;TIME(0,5,0)),"RETRASO DE 3-5 MIN",IF(AND((I266-G266)&gt;=TIME(0,5,0),(I266-G266)&lt;TIME(0,10,0)),"RETRASO DE 5-10 MIN",IF((I266-G266)&gt;=TIME(0,10,0),"RETRASO &gt;10 MIN", IF(AND((G266-I266)&gt;=TIME(0,0,0),(G266-I266)&lt;TIME(0,3,0)),"OK",IF((G266-I266)&gt;=TIME(0,3,0),"ADELANTADO")))))))</f>
        <v/>
      </c>
      <c r="I266" s="89" t="n"/>
      <c r="J266" s="89">
        <f>IF(A266&lt;&gt;"",HLOOKUP(VALUE(TEXT(G266,"h:mm:ss")),IF($C$6="Laboral",$FZ$4:$GX$227,IF($C$6="Sábado",$FZ$231:$GX$452,$FZ$456:$GX$656)),VLOOKUP($C$4,$HF$2:$HH$99,3,0)+IF(C$5="Ida",0,1),1),"")</f>
        <v/>
      </c>
      <c r="K266" s="89">
        <f>IF(A267&lt;&gt;A266,AVERAGEIF(A$9:A266,A266,J$9:J266),"")</f>
        <v/>
      </c>
      <c r="L266" s="89">
        <f>IFERROR(IF(A267&lt;&gt;A266,AVERAGEIF(A$9:A266,A266,S$9:S266),""),"")</f>
        <v/>
      </c>
      <c r="M266" s="89">
        <f>IFERROR(IF(A267&lt;&gt;A266,AVERAGEIF(A$9:A266,A266,T$9:T266),""),"")</f>
        <v/>
      </c>
      <c r="N266" s="89">
        <f t="array" ref="N266">IFERROR(IF(A267&lt;&gt;A266,_xlfn.STDEV.P(IF(A$9:A266=A266,T$9:T266)),""),"")</f>
        <v/>
      </c>
      <c r="O266" s="89">
        <f t="array" ref="O266">IFERROR(IF(A267&lt;&gt;A266,_xlfn.STDEV.P(IF(A$9:A266=A266,S$9:S266)),""),"")</f>
        <v/>
      </c>
      <c r="P266" s="90">
        <f>IFERROR(IF(A266&lt;&gt;A267,MAX((((M266*24*60)/2)*(1+POWER((((N266*24*60) / (M266*24*60) )),2))) + ((M266*24*60 )*-0.1 + (K266*0.015)) +1,(((M266*24*60)/2)*(1+POWER((((N266*24*60) / (M266*24*60 ))),2)))),""),"")</f>
        <v/>
      </c>
      <c r="Q266" s="90">
        <f>IF(AND(O266&lt;&gt;"",L266&lt;&gt;""),IF(A266&lt;&gt;A267,((L266*24*60) / 2 ) * (1 + POWER(((O266*24*60) / (L266*24*60)),2)),""),"")</f>
        <v/>
      </c>
      <c r="R266" s="90">
        <f>IF(Q266&lt;&gt;"",MAX(P266,Q266),"")</f>
        <v/>
      </c>
      <c r="S266" s="89">
        <f>IF(I266&lt;&gt;"H. Sale Real",IF(AND(I267&lt;&gt;"",LEFT(C267,2)&lt;&gt;"Va"),IF(AND(I266&lt;&gt;"",LEFT(C266,2)&lt;&gt;"Va",I266&lt;&gt;"H. Sale Real"),IF(I267-I266&lt;0.208333333333333,I267-I266,""),IF(AND(I265&lt;&gt;"",LEFT(C265,2)&lt;&gt;"Va",I265&lt;&gt;"H. Sale Real"),IF(I267-I265&lt;0.208333333333333,I267-I265,""),IF(AND(I264&lt;&gt;"",LEFT(C264,2)&lt;&gt;"Va",I264&lt;&gt;"H. Sale Real"),IF(I267-I264&lt;0.208333333333333,I267-I264,""),IF(AND(I263&lt;&gt;"",LEFT(C263,2)&lt;&gt;"Va",I263&lt;&gt;"H. Sale Real"),IF(I267-I263&lt;0.208333333333333,I267-I263,""),IF(AND(I262&lt;&gt;"",LEFT(C262,2)&lt;&gt;"Va",I262&lt;&gt;"H. Sale Real"),IF(I267-I262&lt;0.208333333333333,I267-I262,""),""))))),""),"")</f>
        <v/>
      </c>
      <c r="T266" s="89">
        <f>IF(G266&lt;&gt;"H. Sale Real",IF(AND(G267&lt;&gt;"",LEFT(C267,2)&lt;&gt;"Va"),IF(AND(G266&lt;&gt;"",LEFT(C266,2)&lt;&gt;"Va",G266&lt;&gt;"H. Sale Real"),IF(G267-G266&lt;0.208333333333333,G267-G266,""),IF(AND(G265&lt;&gt;"",LEFT(C265,2)&lt;&gt;"Va",G265&lt;&gt;"H. Sale Real"),IF(G267-G265&lt;0.208333333333333,G267-G265,""),IF(AND(G264&lt;&gt;"",LEFT(C264,2)&lt;&gt;"Va",G264&lt;&gt;"H. Sale Real"),IF(G267-G264&lt;0.208333333333333,G267-G264,""),IF(AND(G263&lt;&gt;"",LEFT(C263,2)&lt;&gt;"Va",G263&lt;&gt;"H. Sale Real"),IF(G267-G263&lt;0.208333333333333,G267-G263,""),IF(AND(G262&lt;&gt;"",LEFT(C262,2)&lt;&gt;"Va",G262&lt;&gt;"H. Sale Real"),IF(G267-G262&lt;0.208333333333333,G267-G262,""),""))))),""),"")</f>
        <v/>
      </c>
      <c r="U266" s="87" t="n"/>
      <c r="V266" s="89" t="n"/>
      <c r="W266" s="87" t="n"/>
      <c r="X266" s="89" t="n"/>
      <c r="Y266" s="91" t="n"/>
      <c r="Z266" s="122">
        <f>IF(G266&lt;&gt;"",IF(AND(Z265&lt;&gt;"IE",P266&lt;&gt;0,R266&lt;&gt;""),IF(IFERROR((P266/R266),0) &lt;=1,IFERROR(P266/R266,""),1),""),"")</f>
        <v/>
      </c>
      <c r="AA266" s="93" t="n"/>
      <c r="AB266" s="2" t="n"/>
      <c r="AE266" s="10">
        <f>HOUR(AK266)+1</f>
        <v/>
      </c>
      <c r="AF266" s="7" t="n"/>
      <c r="AG266" s="7" t="n"/>
      <c r="AH266" s="86" t="n"/>
      <c r="AI266" s="8" t="n"/>
      <c r="AJ266" s="86" t="n"/>
      <c r="AK266" s="87" t="n"/>
      <c r="AL266" s="88">
        <f>IF(AM266="","",IF(AND((AM266-AK266)&gt;=TIME(0,0,0),(AM266-AK266)&lt;TIME(0,3,0)),"OK",IF(AND((AM266-AK266)&gt;=TIME(0,3,0),(AM266-AK266)&lt;TIME(0,5,0)),"RETRASO DE 3-5 MIN",IF(AND((AM266-AK266)&gt;=TIME(0,5,0),(AM266-AK266)&lt;TIME(0,10,0)),"RETRASO DE 5-10 MIN",IF((AM266-AK266)&gt;=TIME(0,10,0),"RETRASO &gt;10 MIN", IF(AND((AK266-AM266)&gt;=TIME(0,0,0),(AK266-AM266)&lt;TIME(0,3,0)),"OK",IF((AK266-AM266)&gt;=TIME(0,3,0),"ADELANTADO")))))))</f>
        <v/>
      </c>
      <c r="AM266" s="91" t="n"/>
      <c r="AN266" s="89">
        <f>IF(AE266&lt;&gt;"",HLOOKUP(VALUE(TEXT(AK266,"h:mm:ss")),IF($C$6="Laboral",$FZ$4:$GX$227,IF($C$6="Sábado",$FZ$231:$GX$452,$FZ$456:$GX$656)),VLOOKUP($C$4,$HF$2:$HH$99,3,0)+IF(AG$5="Ida",0,1),1),"")</f>
        <v/>
      </c>
      <c r="AO266" s="89">
        <f>IF(AE267&lt;&gt;AE266,AVERAGEIF(AE$9:AE266,AE266,AN$9:AN266),"")</f>
        <v/>
      </c>
      <c r="AP266" s="89">
        <f>IFERROR(IF(AE267&lt;&gt;AE266,AVERAGEIF(AE$9:AE266,AE266,AW$9:AW266),""),"")</f>
        <v/>
      </c>
      <c r="AQ266" s="89">
        <f>IFERROR(IF(AE267&lt;&gt;AE266,AVERAGEIF(AE$9:AE266,AE266,AX$9:AX266),""),"")</f>
        <v/>
      </c>
      <c r="AR266" s="89">
        <f t="array" ref="AR266">IFERROR(IF(AE267&lt;&gt;AE266,_xlfn.STDEV.P(IF(AE$9:AE266=AE266,AX$9:AX266)),""),"")</f>
        <v/>
      </c>
      <c r="AS266" s="89">
        <f t="array" ref="AS266">IFERROR(IF(AE267&lt;&gt;AE266,_xlfn.STDEV.P(IF(AE$9:AE266=AE266,AW$9:AW266)),""),"")</f>
        <v/>
      </c>
      <c r="AT266" s="90">
        <f>IFERROR(IF(AE266&lt;&gt;AE267,MAX((((AQ266*24*60)/2)*(1+POWER((((AR266*24*60) / (AQ266*24*60) )),2))) + ((AQ266*24*60 )*-0.1 + (AO266*0.015)) +1,(((AQ266*24*60)/2)*(1+POWER((((AR266*24*60) / (AQ266*24*60 ))),2)))),""),"")</f>
        <v/>
      </c>
      <c r="AU266" s="90">
        <f>IF(AND(AS266&lt;&gt;"",AP266&lt;&gt;""),IF(AE266&lt;&gt;AE267,((AP266*24*60) / 2 ) * (1 + POWER(((AS266*24*60) / (AP266*24*60)),2)),""),"")</f>
        <v/>
      </c>
      <c r="AV266" s="90">
        <f>IF(AU266&lt;&gt;"",MAX(AT266,AU266),"")</f>
        <v/>
      </c>
      <c r="AW266" s="89">
        <f>IF(AM266&lt;&gt;"H. Sale Real",IF(AND(AM267&lt;&gt;"",LEFT(AG267,2)&lt;&gt;"Va"),IF(AND(AM266&lt;&gt;"",LEFT(AG266,2)&lt;&gt;"Va",AM266&lt;&gt;"H. Sale Real"),IF(AM267-AM266&lt;0.208333333333333,AM267-AM266,""),IF(AND(AM265&lt;&gt;"",LEFT(AG265,2)&lt;&gt;"Va",AM265&lt;&gt;"H. Sale Real"),IF(AM267-AM265&lt;0.208333333333333,AM267-AM265,""),IF(AND(AM264&lt;&gt;"",LEFT(AG264,2)&lt;&gt;"Va",AM264&lt;&gt;"H. Sale Real"),IF(AM267-AM264&lt;0.208333333333333,AM267-AM264,""),IF(AND(AM263&lt;&gt;"",LEFT(AG263,2)&lt;&gt;"Va",AM263&lt;&gt;"H. Sale Real"),IF(AM267-AM263&lt;0.208333333333333,AM267-AM263,""),IF(AND(AM262&lt;&gt;"",LEFT(AG262,2)&lt;&gt;"Va",AM262&lt;&gt;"H. Sale Real"),IF(AM267-AM262&lt;0.208333333333333,AM267-AM262,""),""))))),""),"")</f>
        <v/>
      </c>
      <c r="AX266" s="89">
        <f>IF(AK266&lt;&gt;"H. Sale Real",IF(AND(AK267&lt;&gt;"",LEFT(AG267,2)&lt;&gt;"Va"),IF(AND(AK266&lt;&gt;"",LEFT(AG266,2)&lt;&gt;"Va",AK266&lt;&gt;"H. Sale Real"),IF(AK267-AK266&lt;0.208333333333333,AK267-AK266,""),IF(AND(AK265&lt;&gt;"",LEFT(AG265,2)&lt;&gt;"Va",AK265&lt;&gt;"H. Sale Real"),IF(AK267-AK265&lt;0.208333333333333,AK267-AK265,""),IF(AND(AK264&lt;&gt;"",LEFT(AG264,2)&lt;&gt;"NC",AK264&lt;&gt;"H. Sale Real"),IF(AK267-AK264&lt;0.208333333333333,AK267-AK264,""),IF(AND(AK263&lt;&gt;"",LEFT(AG263,2)&lt;&gt;"Va",AK263&lt;&gt;"H. Sale Real"),IF(AK267-AK263&lt;0.208333333333333,AK267-AK263,""),IF(AND(AK262&lt;&gt;"",LEFT(AG262,2)&lt;&gt;"Va",AK262&lt;&gt;"H. Sale Real"),IF(AK267-AK262&lt;0.208333333333333,AK267-AK262,""),""))))),""),"")</f>
        <v/>
      </c>
      <c r="AY266" s="87" t="n"/>
      <c r="AZ266" s="89" t="n"/>
      <c r="BA266" s="87" t="n"/>
      <c r="BB266" s="89" t="n"/>
      <c r="BC266" s="91" t="n"/>
      <c r="BD266" s="122">
        <f>IF(AK266&lt;&gt;"",IF(AND(BD265&lt;&gt;"IE",AT266&lt;&gt;0,AV266&lt;&gt;""),IF(IFERROR((AT266/AV266),0) &lt;=1,IFERROR(AT266/AV266,""),1),""),"")</f>
        <v/>
      </c>
      <c r="BE266" s="93" t="n"/>
      <c r="BF266" s="105" t="n"/>
      <c r="FC266" t="inlineStr">
        <is>
          <t>Diccionario 1</t>
        </is>
      </c>
      <c r="FD266" s="15" t="n">
        <v>1265</v>
      </c>
      <c r="FE266" s="15" t="inlineStr">
        <is>
          <t>MDN35025020046</t>
        </is>
      </c>
      <c r="FF266" s="15" t="inlineStr">
        <is>
          <t>LDYECS311S0043994</t>
        </is>
      </c>
      <c r="FG266" s="15" t="inlineStr">
        <is>
          <t>Zhong Tong</t>
        </is>
      </c>
      <c r="FH266" s="15" t="inlineStr">
        <is>
          <t>Lck6122evg</t>
        </is>
      </c>
      <c r="FI266" s="15" t="inlineStr">
        <is>
          <t>ZHONGTONG</t>
        </is>
      </c>
      <c r="FJ266" s="15" t="inlineStr">
        <is>
          <t>LCK6122EVG</t>
        </is>
      </c>
      <c r="FK266" s="15" t="n">
        <v>2025</v>
      </c>
      <c r="FL266" s="15" t="inlineStr">
        <is>
          <t>B</t>
        </is>
      </c>
      <c r="FM266" s="15" t="inlineStr">
        <is>
          <t>PIE ANDINO</t>
        </is>
      </c>
      <c r="FN266" s="15" t="inlineStr">
        <is>
          <t>Pie Andino 31 (Pie Andino 383)</t>
        </is>
      </c>
      <c r="FO266" s="15" t="inlineStr">
        <is>
          <t>Puente Alto</t>
        </is>
      </c>
      <c r="FP266" t="inlineStr">
        <is>
          <t>B</t>
        </is>
      </c>
      <c r="FS266" s="14" t="inlineStr">
        <is>
          <t>3065 / SFVZ-40|</t>
        </is>
      </c>
      <c r="FT266" t="inlineStr">
        <is>
          <t>SFVZ-40|</t>
        </is>
      </c>
      <c r="FU266" t="inlineStr">
        <is>
          <t>SFVZ-40</t>
        </is>
      </c>
      <c r="FV266">
        <f>VLOOKUP(FU266,FD:FL,9,0)</f>
        <v/>
      </c>
      <c r="FZ266" s="51" t="inlineStr">
        <is>
          <t>B02</t>
        </is>
      </c>
      <c r="GA266" s="43" t="n">
        <v>0</v>
      </c>
      <c r="GB266" s="43" t="n">
        <v>0</v>
      </c>
      <c r="GC266" s="43" t="n">
        <v>0</v>
      </c>
      <c r="GD266" s="43" t="n">
        <v>0</v>
      </c>
      <c r="GE266" s="43" t="n">
        <v>0</v>
      </c>
      <c r="GF266" s="43" t="n">
        <v>10.65</v>
      </c>
      <c r="GG266" s="43" t="n">
        <v>19.915</v>
      </c>
      <c r="GH266" s="43" t="n">
        <v>18.295</v>
      </c>
      <c r="GI266" s="43" t="n">
        <v>17.15</v>
      </c>
      <c r="GJ266" s="43" t="n">
        <v>15.875</v>
      </c>
      <c r="GK266" s="43" t="n">
        <v>14.485</v>
      </c>
      <c r="GL266" s="43" t="n">
        <v>13.47</v>
      </c>
      <c r="GM266" s="43" t="n">
        <v>13.52</v>
      </c>
      <c r="GN266" s="43" t="n">
        <v>13.99</v>
      </c>
      <c r="GO266" s="43" t="n">
        <v>14.365</v>
      </c>
      <c r="GP266" s="43" t="n">
        <v>14.875</v>
      </c>
      <c r="GQ266" s="43" t="n">
        <v>14.955</v>
      </c>
      <c r="GR266" s="43" t="n">
        <v>15.18</v>
      </c>
      <c r="GS266" s="43" t="n">
        <v>16.15</v>
      </c>
      <c r="GT266" s="43" t="n">
        <v>16.92</v>
      </c>
      <c r="GU266" s="43" t="n">
        <v>17.92</v>
      </c>
      <c r="GV266" s="43" t="n">
        <v>18.855</v>
      </c>
      <c r="GW266" s="43" t="n">
        <v>9.435</v>
      </c>
      <c r="GX266" s="43" t="n">
        <v>0</v>
      </c>
      <c r="HA266" s="35" t="n">
        <v>36</v>
      </c>
      <c r="HB266" s="35" t="n">
        <v>260</v>
      </c>
    </row>
    <row r="267" ht="15.5" customHeight="1">
      <c r="A267" s="10">
        <f>HOUR(G267)+1</f>
        <v/>
      </c>
      <c r="B267" s="7" t="n"/>
      <c r="C267" s="7" t="n"/>
      <c r="D267" s="85">
        <f>IFERROR(
IF(AND(OR(Planilla!B267="C",Planilla!B267="c"), VLOOKUP(E267,FD:FP,13,0)="C"), "OK",IF(AND(OR(Planilla!B267="C",Planilla!B267="c"), OR(VLOOKUP(E267,FD:FP,13,0)="B", VLOOKUP(E267,FD:FP,13,0)="A")), "DEFICIT",IF(
AND(OR(Planilla!B267="B", Planilla!B267="BPAL"), VLOOKUP(E267,FD:FP,13,0)="B"), "OK",IF(AND(OR(Planilla!B267="B", Planilla!B267="BPAL"), VLOOKUP(E267,FD:FP,13,0)="A"), "DEFICIT",IF(AND(OR(Planilla!B267="B", Planilla!B267="BPAL"), VLOOKUP(E267,FD:FP,13,0)="C"), "SOBREOFERTA",IF(AND(Planilla!B267="A", VLOOKUP(E267,FD:FP,13,0)="A"), "OK",IF(
AND(Planilla!B267="A", OR(VLOOKUP(E267,FD:FP,13,0)="B", VLOOKUP(E267,FD:FP,13,0)="C")), "SOBREOFERTA",""
))))))),"")</f>
        <v/>
      </c>
      <c r="E267" s="8" t="n"/>
      <c r="F267" s="86" t="n"/>
      <c r="G267" s="87" t="n"/>
      <c r="H267" s="88">
        <f>IF(I267="","",IF(AND((I267-G267)&gt;=TIME(0,0,0),(I267-G267)&lt;TIME(0,3,0)),"OK",IF(AND((I267-G267)&gt;=TIME(0,3,0),(I267-G267)&lt;TIME(0,5,0)),"RETRASO DE 3-5 MIN",IF(AND((I267-G267)&gt;=TIME(0,5,0),(I267-G267)&lt;TIME(0,10,0)),"RETRASO DE 5-10 MIN",IF((I267-G267)&gt;=TIME(0,10,0),"RETRASO &gt;10 MIN", IF(AND((G267-I267)&gt;=TIME(0,0,0),(G267-I267)&lt;TIME(0,3,0)),"OK",IF((G267-I267)&gt;=TIME(0,3,0),"ADELANTADO")))))))</f>
        <v/>
      </c>
      <c r="I267" s="89" t="n"/>
      <c r="J267" s="89">
        <f>IF(A267&lt;&gt;"",HLOOKUP(VALUE(TEXT(G267,"h:mm:ss")),IF($C$6="Laboral",$FZ$4:$GX$227,IF($C$6="Sábado",$FZ$231:$GX$452,$FZ$456:$GX$656)),VLOOKUP($C$4,$HF$2:$HH$99,3,0)+IF(C$5="Ida",0,1),1),"")</f>
        <v/>
      </c>
      <c r="K267" s="89">
        <f>IF(A268&lt;&gt;A267,AVERAGEIF(A$9:A267,A267,J$9:J267),"")</f>
        <v/>
      </c>
      <c r="L267" s="89">
        <f>IFERROR(IF(A268&lt;&gt;A267,AVERAGEIF(A$9:A267,A267,S$9:S267),""),"")</f>
        <v/>
      </c>
      <c r="M267" s="89">
        <f>IFERROR(IF(A268&lt;&gt;A267,AVERAGEIF(A$9:A267,A267,T$9:T267),""),"")</f>
        <v/>
      </c>
      <c r="N267" s="89">
        <f t="array" ref="N267">IFERROR(IF(A268&lt;&gt;A267,_xlfn.STDEV.P(IF(A$9:A267=A267,T$9:T267)),""),"")</f>
        <v/>
      </c>
      <c r="O267" s="89">
        <f t="array" ref="O267">IFERROR(IF(A268&lt;&gt;A267,_xlfn.STDEV.P(IF(A$9:A267=A267,S$9:S267)),""),"")</f>
        <v/>
      </c>
      <c r="P267" s="90">
        <f>IFERROR(IF(A267&lt;&gt;A268,MAX((((M267*24*60)/2)*(1+POWER((((N267*24*60) / (M267*24*60) )),2))) + ((M267*24*60 )*-0.1 + (K267*0.015)) +1,(((M267*24*60)/2)*(1+POWER((((N267*24*60) / (M267*24*60 ))),2)))),""),"")</f>
        <v/>
      </c>
      <c r="Q267" s="90">
        <f>IF(AND(O267&lt;&gt;"",L267&lt;&gt;""),IF(A267&lt;&gt;A268,((L267*24*60) / 2 ) * (1 + POWER(((O267*24*60) / (L267*24*60)),2)),""),"")</f>
        <v/>
      </c>
      <c r="R267" s="90">
        <f>IF(Q267&lt;&gt;"",MAX(P267,Q267),"")</f>
        <v/>
      </c>
      <c r="S267" s="89">
        <f>IF(I267&lt;&gt;"H. Sale Real",IF(AND(I268&lt;&gt;"",LEFT(C268,2)&lt;&gt;"Va"),IF(AND(I267&lt;&gt;"",LEFT(C267,2)&lt;&gt;"Va",I267&lt;&gt;"H. Sale Real"),IF(I268-I267&lt;0.208333333333333,I268-I267,""),IF(AND(I266&lt;&gt;"",LEFT(C266,2)&lt;&gt;"Va",I266&lt;&gt;"H. Sale Real"),IF(I268-I266&lt;0.208333333333333,I268-I266,""),IF(AND(I265&lt;&gt;"",LEFT(C265,2)&lt;&gt;"Va",I265&lt;&gt;"H. Sale Real"),IF(I268-I265&lt;0.208333333333333,I268-I265,""),IF(AND(I264&lt;&gt;"",LEFT(C264,2)&lt;&gt;"Va",I264&lt;&gt;"H. Sale Real"),IF(I268-I264&lt;0.208333333333333,I268-I264,""),IF(AND(I263&lt;&gt;"",LEFT(C263,2)&lt;&gt;"Va",I263&lt;&gt;"H. Sale Real"),IF(I268-I263&lt;0.208333333333333,I268-I263,""),""))))),""),"")</f>
        <v/>
      </c>
      <c r="T267" s="89">
        <f>IF(G267&lt;&gt;"H. Sale Real",IF(AND(G268&lt;&gt;"",LEFT(C268,2)&lt;&gt;"Va"),IF(AND(G267&lt;&gt;"",LEFT(C267,2)&lt;&gt;"Va",G267&lt;&gt;"H. Sale Real"),IF(G268-G267&lt;0.208333333333333,G268-G267,""),IF(AND(G266&lt;&gt;"",LEFT(C266,2)&lt;&gt;"Va",G266&lt;&gt;"H. Sale Real"),IF(G268-G266&lt;0.208333333333333,G268-G266,""),IF(AND(G265&lt;&gt;"",LEFT(C265,2)&lt;&gt;"Va",G265&lt;&gt;"H. Sale Real"),IF(G268-G265&lt;0.208333333333333,G268-G265,""),IF(AND(G264&lt;&gt;"",LEFT(C264,2)&lt;&gt;"Va",G264&lt;&gt;"H. Sale Real"),IF(G268-G264&lt;0.208333333333333,G268-G264,""),IF(AND(G263&lt;&gt;"",LEFT(C263,2)&lt;&gt;"Va",G263&lt;&gt;"H. Sale Real"),IF(G268-G263&lt;0.208333333333333,G268-G263,""),""))))),""),"")</f>
        <v/>
      </c>
      <c r="U267" s="87" t="n"/>
      <c r="V267" s="89" t="n"/>
      <c r="W267" s="87" t="n"/>
      <c r="X267" s="89" t="n"/>
      <c r="Y267" s="91" t="n"/>
      <c r="Z267" s="122">
        <f>IF(G267&lt;&gt;"",IF(AND(Z266&lt;&gt;"IE",P267&lt;&gt;0,R267&lt;&gt;""),IF(IFERROR((P267/R267),0) &lt;=1,IFERROR(P267/R267,""),1),""),"")</f>
        <v/>
      </c>
      <c r="AA267" s="93" t="n"/>
      <c r="AB267" s="2" t="n"/>
      <c r="AE267" s="10">
        <f>HOUR(AK267)+1</f>
        <v/>
      </c>
      <c r="AF267" s="7" t="n"/>
      <c r="AG267" s="7" t="n"/>
      <c r="AH267" s="86" t="n"/>
      <c r="AI267" s="8" t="n"/>
      <c r="AJ267" s="86" t="n"/>
      <c r="AK267" s="87" t="n"/>
      <c r="AL267" s="88">
        <f>IF(AM267="","",IF(AND((AM267-AK267)&gt;=TIME(0,0,0),(AM267-AK267)&lt;TIME(0,3,0)),"OK",IF(AND((AM267-AK267)&gt;=TIME(0,3,0),(AM267-AK267)&lt;TIME(0,5,0)),"RETRASO DE 3-5 MIN",IF(AND((AM267-AK267)&gt;=TIME(0,5,0),(AM267-AK267)&lt;TIME(0,10,0)),"RETRASO DE 5-10 MIN",IF((AM267-AK267)&gt;=TIME(0,10,0),"RETRASO &gt;10 MIN", IF(AND((AK267-AM267)&gt;=TIME(0,0,0),(AK267-AM267)&lt;TIME(0,3,0)),"OK",IF((AK267-AM267)&gt;=TIME(0,3,0),"ADELANTADO")))))))</f>
        <v/>
      </c>
      <c r="AM267" s="91" t="n"/>
      <c r="AN267" s="89">
        <f>IF(AE267&lt;&gt;"",HLOOKUP(VALUE(TEXT(AK267,"h:mm:ss")),IF($C$6="Laboral",$FZ$4:$GX$227,IF($C$6="Sábado",$FZ$231:$GX$452,$FZ$456:$GX$656)),VLOOKUP($C$4,$HF$2:$HH$99,3,0)+IF(AG$5="Ida",0,1),1),"")</f>
        <v/>
      </c>
      <c r="AO267" s="89">
        <f>IF(AE268&lt;&gt;AE267,AVERAGEIF(AE$9:AE267,AE267,AN$9:AN267),"")</f>
        <v/>
      </c>
      <c r="AP267" s="89">
        <f>IFERROR(IF(AE268&lt;&gt;AE267,AVERAGEIF(AE$9:AE267,AE267,AW$9:AW267),""),"")</f>
        <v/>
      </c>
      <c r="AQ267" s="89">
        <f>IFERROR(IF(AE268&lt;&gt;AE267,AVERAGEIF(AE$9:AE267,AE267,AX$9:AX267),""),"")</f>
        <v/>
      </c>
      <c r="AR267" s="89">
        <f t="array" ref="AR267">IFERROR(IF(AE268&lt;&gt;AE267,_xlfn.STDEV.P(IF(AE$9:AE267=AE267,AX$9:AX267)),""),"")</f>
        <v/>
      </c>
      <c r="AS267" s="89">
        <f t="array" ref="AS267">IFERROR(IF(AE268&lt;&gt;AE267,_xlfn.STDEV.P(IF(AE$9:AE267=AE267,AW$9:AW267)),""),"")</f>
        <v/>
      </c>
      <c r="AT267" s="90">
        <f>IFERROR(IF(AE267&lt;&gt;AE268,MAX((((AQ267*24*60)/2)*(1+POWER((((AR267*24*60) / (AQ267*24*60) )),2))) + ((AQ267*24*60 )*-0.1 + (AO267*0.015)) +1,(((AQ267*24*60)/2)*(1+POWER((((AR267*24*60) / (AQ267*24*60 ))),2)))),""),"")</f>
        <v/>
      </c>
      <c r="AU267" s="90">
        <f>IF(AND(AS267&lt;&gt;"",AP267&lt;&gt;""),IF(AE267&lt;&gt;AE268,((AP267*24*60) / 2 ) * (1 + POWER(((AS267*24*60) / (AP267*24*60)),2)),""),"")</f>
        <v/>
      </c>
      <c r="AV267" s="90">
        <f>IF(AU267&lt;&gt;"",MAX(AT267,AU267),"")</f>
        <v/>
      </c>
      <c r="AW267" s="89">
        <f>IF(AM267&lt;&gt;"H. Sale Real",IF(AND(AM268&lt;&gt;"",LEFT(AG268,2)&lt;&gt;"Va"),IF(AND(AM267&lt;&gt;"",LEFT(AG267,2)&lt;&gt;"Va",AM267&lt;&gt;"H. Sale Real"),IF(AM268-AM267&lt;0.208333333333333,AM268-AM267,""),IF(AND(AM266&lt;&gt;"",LEFT(AG266,2)&lt;&gt;"Va",AM266&lt;&gt;"H. Sale Real"),IF(AM268-AM266&lt;0.208333333333333,AM268-AM266,""),IF(AND(AM265&lt;&gt;"",LEFT(AG265,2)&lt;&gt;"Va",AM265&lt;&gt;"H. Sale Real"),IF(AM268-AM265&lt;0.208333333333333,AM268-AM265,""),IF(AND(AM264&lt;&gt;"",LEFT(AG264,2)&lt;&gt;"Va",AM264&lt;&gt;"H. Sale Real"),IF(AM268-AM264&lt;0.208333333333333,AM268-AM264,""),IF(AND(AM263&lt;&gt;"",LEFT(AG263,2)&lt;&gt;"Va",AM263&lt;&gt;"H. Sale Real"),IF(AM268-AM263&lt;0.208333333333333,AM268-AM263,""),""))))),""),"")</f>
        <v/>
      </c>
      <c r="AX267" s="89">
        <f>IF(AK267&lt;&gt;"H. Sale Real",IF(AND(AK268&lt;&gt;"",LEFT(AG268,2)&lt;&gt;"Va"),IF(AND(AK267&lt;&gt;"",LEFT(AG267,2)&lt;&gt;"Va",AK267&lt;&gt;"H. Sale Real"),IF(AK268-AK267&lt;0.208333333333333,AK268-AK267,""),IF(AND(AK266&lt;&gt;"",LEFT(AG266,2)&lt;&gt;"Va",AK266&lt;&gt;"H. Sale Real"),IF(AK268-AK266&lt;0.208333333333333,AK268-AK266,""),IF(AND(AK265&lt;&gt;"",LEFT(AG265,2)&lt;&gt;"NC",AK265&lt;&gt;"H. Sale Real"),IF(AK268-AK265&lt;0.208333333333333,AK268-AK265,""),IF(AND(AK264&lt;&gt;"",LEFT(AG264,2)&lt;&gt;"Va",AK264&lt;&gt;"H. Sale Real"),IF(AK268-AK264&lt;0.208333333333333,AK268-AK264,""),IF(AND(AK263&lt;&gt;"",LEFT(AG263,2)&lt;&gt;"Va",AK263&lt;&gt;"H. Sale Real"),IF(AK268-AK263&lt;0.208333333333333,AK268-AK263,""),""))))),""),"")</f>
        <v/>
      </c>
      <c r="AY267" s="87" t="n"/>
      <c r="AZ267" s="89" t="n"/>
      <c r="BA267" s="87" t="n"/>
      <c r="BB267" s="89" t="n"/>
      <c r="BC267" s="91" t="n"/>
      <c r="BD267" s="122">
        <f>IF(AK267&lt;&gt;"",IF(AND(BD266&lt;&gt;"IE",AT267&lt;&gt;0,AV267&lt;&gt;""),IF(IFERROR((AT267/AV267),0) &lt;=1,IFERROR(AT267/AV267,""),1),""),"")</f>
        <v/>
      </c>
      <c r="BE267" s="93" t="n"/>
      <c r="BF267" s="105" t="n"/>
      <c r="FC267" t="inlineStr">
        <is>
          <t>Diccionario 1</t>
        </is>
      </c>
      <c r="FD267" s="15" t="n">
        <v>1266</v>
      </c>
      <c r="FE267" s="15" t="inlineStr">
        <is>
          <t>MDN35025020061</t>
        </is>
      </c>
      <c r="FF267" s="15" t="inlineStr">
        <is>
          <t>LDYECS318S0043992</t>
        </is>
      </c>
      <c r="FG267" s="15" t="inlineStr">
        <is>
          <t>Zhong Tong</t>
        </is>
      </c>
      <c r="FH267" s="15" t="inlineStr">
        <is>
          <t>Lck6122evg</t>
        </is>
      </c>
      <c r="FI267" s="15" t="inlineStr">
        <is>
          <t>ZHONGTONG</t>
        </is>
      </c>
      <c r="FJ267" s="15" t="inlineStr">
        <is>
          <t>LCK6122EVG</t>
        </is>
      </c>
      <c r="FK267" s="15" t="n">
        <v>2025</v>
      </c>
      <c r="FL267" s="15" t="inlineStr">
        <is>
          <t>B</t>
        </is>
      </c>
      <c r="FM267" s="15" t="inlineStr">
        <is>
          <t>SAN ALFONSO</t>
        </is>
      </c>
      <c r="FN267" s="15" t="inlineStr">
        <is>
          <t>San Alfonso 2141 (Ramón Subercaseaux 3060)</t>
        </is>
      </c>
      <c r="FO267" s="15" t="inlineStr">
        <is>
          <t>Estacion Central</t>
        </is>
      </c>
      <c r="FP267" t="inlineStr">
        <is>
          <t>B</t>
        </is>
      </c>
      <c r="FS267" s="14" t="inlineStr">
        <is>
          <t>3065 / SFVZ-40|</t>
        </is>
      </c>
      <c r="FT267" t="inlineStr">
        <is>
          <t>SFVZ-40|</t>
        </is>
      </c>
      <c r="FU267" t="inlineStr">
        <is>
          <t>SFVZ-40</t>
        </is>
      </c>
      <c r="FV267">
        <f>VLOOKUP(FU267,FD:FL,9,0)</f>
        <v/>
      </c>
      <c r="FZ267" s="51" t="inlineStr">
        <is>
          <t>B02n</t>
        </is>
      </c>
      <c r="GA267" s="43" t="n">
        <v>21.62</v>
      </c>
      <c r="GB267" s="43" t="n">
        <v>23.355</v>
      </c>
      <c r="GC267" s="43" t="n">
        <v>24.21</v>
      </c>
      <c r="GD267" s="43" t="n">
        <v>24.755</v>
      </c>
      <c r="GE267" s="43" t="n">
        <v>24.425</v>
      </c>
      <c r="GF267" s="43" t="n">
        <v>11.765</v>
      </c>
      <c r="GG267" s="43" t="n">
        <v>0</v>
      </c>
      <c r="GH267" s="43" t="n">
        <v>0</v>
      </c>
      <c r="GI267" s="43" t="n">
        <v>0</v>
      </c>
      <c r="GJ267" s="43" t="n">
        <v>0</v>
      </c>
      <c r="GK267" s="43" t="n">
        <v>0</v>
      </c>
      <c r="GL267" s="43" t="n">
        <v>0</v>
      </c>
      <c r="GM267" s="43" t="n">
        <v>0</v>
      </c>
      <c r="GN267" s="43" t="n">
        <v>0</v>
      </c>
      <c r="GO267" s="43" t="n">
        <v>0</v>
      </c>
      <c r="GP267" s="43" t="n">
        <v>0</v>
      </c>
      <c r="GQ267" s="43" t="n">
        <v>0</v>
      </c>
      <c r="GR267" s="43" t="n">
        <v>0</v>
      </c>
      <c r="GS267" s="43" t="n">
        <v>0</v>
      </c>
      <c r="GT267" s="43" t="n">
        <v>0</v>
      </c>
      <c r="GU267" s="43" t="n">
        <v>0</v>
      </c>
      <c r="GV267" s="43" t="n">
        <v>0</v>
      </c>
      <c r="GW267" s="43" t="n">
        <v>10.61</v>
      </c>
      <c r="GX267" s="43" t="n">
        <v>21.74</v>
      </c>
      <c r="HA267" s="35" t="n">
        <v>37</v>
      </c>
      <c r="HB267" s="35" t="n">
        <v>261</v>
      </c>
    </row>
    <row r="268" ht="15.5" customHeight="1">
      <c r="A268" s="10">
        <f>HOUR(G268)+1</f>
        <v/>
      </c>
      <c r="B268" s="7" t="n"/>
      <c r="C268" s="7" t="n"/>
      <c r="D268" s="85">
        <f>IFERROR(
IF(AND(OR(Planilla!B268="C",Planilla!B268="c"), VLOOKUP(E268,FD:FP,13,0)="C"), "OK",IF(AND(OR(Planilla!B268="C",Planilla!B268="c"), OR(VLOOKUP(E268,FD:FP,13,0)="B", VLOOKUP(E268,FD:FP,13,0)="A")), "DEFICIT",IF(
AND(OR(Planilla!B268="B", Planilla!B268="BPAL"), VLOOKUP(E268,FD:FP,13,0)="B"), "OK",IF(AND(OR(Planilla!B268="B", Planilla!B268="BPAL"), VLOOKUP(E268,FD:FP,13,0)="A"), "DEFICIT",IF(AND(OR(Planilla!B268="B", Planilla!B268="BPAL"), VLOOKUP(E268,FD:FP,13,0)="C"), "SOBREOFERTA",IF(AND(Planilla!B268="A", VLOOKUP(E268,FD:FP,13,0)="A"), "OK",IF(
AND(Planilla!B268="A", OR(VLOOKUP(E268,FD:FP,13,0)="B", VLOOKUP(E268,FD:FP,13,0)="C")), "SOBREOFERTA",""
))))))),"")</f>
        <v/>
      </c>
      <c r="E268" s="8" t="n"/>
      <c r="F268" s="86" t="n"/>
      <c r="G268" s="87" t="n"/>
      <c r="H268" s="88">
        <f>IF(I268="","",IF(AND((I268-G268)&gt;=TIME(0,0,0),(I268-G268)&lt;TIME(0,3,0)),"OK",IF(AND((I268-G268)&gt;=TIME(0,3,0),(I268-G268)&lt;TIME(0,5,0)),"RETRASO DE 3-5 MIN",IF(AND((I268-G268)&gt;=TIME(0,5,0),(I268-G268)&lt;TIME(0,10,0)),"RETRASO DE 5-10 MIN",IF((I268-G268)&gt;=TIME(0,10,0),"RETRASO &gt;10 MIN", IF(AND((G268-I268)&gt;=TIME(0,0,0),(G268-I268)&lt;TIME(0,3,0)),"OK",IF((G268-I268)&gt;=TIME(0,3,0),"ADELANTADO")))))))</f>
        <v/>
      </c>
      <c r="I268" s="89" t="n"/>
      <c r="J268" s="89">
        <f>IF(A268&lt;&gt;"",HLOOKUP(VALUE(TEXT(G268,"h:mm:ss")),IF($C$6="Laboral",$FZ$4:$GX$227,IF($C$6="Sábado",$FZ$231:$GX$452,$FZ$456:$GX$656)),VLOOKUP($C$4,$HF$2:$HH$99,3,0)+IF(C$5="Ida",0,1),1),"")</f>
        <v/>
      </c>
      <c r="K268" s="89">
        <f>IF(A269&lt;&gt;A268,AVERAGEIF(A$9:A268,A268,J$9:J268),"")</f>
        <v/>
      </c>
      <c r="L268" s="89">
        <f>IFERROR(IF(A269&lt;&gt;A268,AVERAGEIF(A$9:A268,A268,S$9:S268),""),"")</f>
        <v/>
      </c>
      <c r="M268" s="89">
        <f>IFERROR(IF(A269&lt;&gt;A268,AVERAGEIF(A$9:A268,A268,T$9:T268),""),"")</f>
        <v/>
      </c>
      <c r="N268" s="89">
        <f t="array" ref="N268">IFERROR(IF(A269&lt;&gt;A268,_xlfn.STDEV.P(IF(A$9:A268=A268,T$9:T268)),""),"")</f>
        <v/>
      </c>
      <c r="O268" s="89">
        <f t="array" ref="O268">IFERROR(IF(A269&lt;&gt;A268,_xlfn.STDEV.P(IF(A$9:A268=A268,S$9:S268)),""),"")</f>
        <v/>
      </c>
      <c r="P268" s="90">
        <f>IFERROR(IF(A268&lt;&gt;A269,MAX((((M268*24*60)/2)*(1+POWER((((N268*24*60) / (M268*24*60) )),2))) + ((M268*24*60 )*-0.1 + (K268*0.015)) +1,(((M268*24*60)/2)*(1+POWER((((N268*24*60) / (M268*24*60 ))),2)))),""),"")</f>
        <v/>
      </c>
      <c r="Q268" s="90">
        <f>IF(AND(O268&lt;&gt;"",L268&lt;&gt;""),IF(A268&lt;&gt;A269,((L268*24*60) / 2 ) * (1 + POWER(((O268*24*60) / (L268*24*60)),2)),""),"")</f>
        <v/>
      </c>
      <c r="R268" s="90">
        <f>IF(Q268&lt;&gt;"",MAX(P268,Q268),"")</f>
        <v/>
      </c>
      <c r="S268" s="89">
        <f>IF(I268&lt;&gt;"H. Sale Real",IF(AND(I269&lt;&gt;"",LEFT(C269,2)&lt;&gt;"Va"),IF(AND(I268&lt;&gt;"",LEFT(C268,2)&lt;&gt;"Va",I268&lt;&gt;"H. Sale Real"),IF(I269-I268&lt;0.208333333333333,I269-I268,""),IF(AND(I267&lt;&gt;"",LEFT(C267,2)&lt;&gt;"Va",I267&lt;&gt;"H. Sale Real"),IF(I269-I267&lt;0.208333333333333,I269-I267,""),IF(AND(I266&lt;&gt;"",LEFT(C266,2)&lt;&gt;"Va",I266&lt;&gt;"H. Sale Real"),IF(I269-I266&lt;0.208333333333333,I269-I266,""),IF(AND(I265&lt;&gt;"",LEFT(C265,2)&lt;&gt;"Va",I265&lt;&gt;"H. Sale Real"),IF(I269-I265&lt;0.208333333333333,I269-I265,""),IF(AND(I264&lt;&gt;"",LEFT(C264,2)&lt;&gt;"Va",I264&lt;&gt;"H. Sale Real"),IF(I269-I264&lt;0.208333333333333,I269-I264,""),""))))),""),"")</f>
        <v/>
      </c>
      <c r="T268" s="89">
        <f>IF(G268&lt;&gt;"H. Sale Real",IF(AND(G269&lt;&gt;"",LEFT(C269,2)&lt;&gt;"Va"),IF(AND(G268&lt;&gt;"",LEFT(C268,2)&lt;&gt;"Va",G268&lt;&gt;"H. Sale Real"),IF(G269-G268&lt;0.208333333333333,G269-G268,""),IF(AND(G267&lt;&gt;"",LEFT(C267,2)&lt;&gt;"Va",G267&lt;&gt;"H. Sale Real"),IF(G269-G267&lt;0.208333333333333,G269-G267,""),IF(AND(G266&lt;&gt;"",LEFT(C266,2)&lt;&gt;"Va",G266&lt;&gt;"H. Sale Real"),IF(G269-G266&lt;0.208333333333333,G269-G266,""),IF(AND(G265&lt;&gt;"",LEFT(C265,2)&lt;&gt;"Va",G265&lt;&gt;"H. Sale Real"),IF(G269-G265&lt;0.208333333333333,G269-G265,""),IF(AND(G264&lt;&gt;"",LEFT(C264,2)&lt;&gt;"Va",G264&lt;&gt;"H. Sale Real"),IF(G269-G264&lt;0.208333333333333,G269-G264,""),""))))),""),"")</f>
        <v/>
      </c>
      <c r="U268" s="87" t="n"/>
      <c r="V268" s="89" t="n"/>
      <c r="W268" s="87" t="n"/>
      <c r="X268" s="89" t="n"/>
      <c r="Y268" s="91" t="n"/>
      <c r="Z268" s="122">
        <f>IF(G268&lt;&gt;"",IF(AND(Z267&lt;&gt;"IE",P268&lt;&gt;0,R268&lt;&gt;""),IF(IFERROR((P268/R268),0) &lt;=1,IFERROR(P268/R268,""),1),""),"")</f>
        <v/>
      </c>
      <c r="AA268" s="93" t="n"/>
      <c r="AB268" s="2" t="n"/>
      <c r="AE268" s="10">
        <f>HOUR(AK268)+1</f>
        <v/>
      </c>
      <c r="AF268" s="7" t="n"/>
      <c r="AG268" s="7" t="n"/>
      <c r="AH268" s="86" t="n"/>
      <c r="AI268" s="8" t="n"/>
      <c r="AJ268" s="86" t="n"/>
      <c r="AK268" s="87" t="n"/>
      <c r="AL268" s="88">
        <f>IF(AM268="","",IF(AND((AM268-AK268)&gt;=TIME(0,0,0),(AM268-AK268)&lt;TIME(0,3,0)),"OK",IF(AND((AM268-AK268)&gt;=TIME(0,3,0),(AM268-AK268)&lt;TIME(0,5,0)),"RETRASO DE 3-5 MIN",IF(AND((AM268-AK268)&gt;=TIME(0,5,0),(AM268-AK268)&lt;TIME(0,10,0)),"RETRASO DE 5-10 MIN",IF((AM268-AK268)&gt;=TIME(0,10,0),"RETRASO &gt;10 MIN", IF(AND((AK268-AM268)&gt;=TIME(0,0,0),(AK268-AM268)&lt;TIME(0,3,0)),"OK",IF((AK268-AM268)&gt;=TIME(0,3,0),"ADELANTADO")))))))</f>
        <v/>
      </c>
      <c r="AM268" s="91" t="n"/>
      <c r="AN268" s="89">
        <f>IF(AE268&lt;&gt;"",HLOOKUP(VALUE(TEXT(AK268,"h:mm:ss")),IF($C$6="Laboral",$FZ$4:$GX$227,IF($C$6="Sábado",$FZ$231:$GX$452,$FZ$456:$GX$656)),VLOOKUP($C$4,$HF$2:$HH$99,3,0)+IF(AG$5="Ida",0,1),1),"")</f>
        <v/>
      </c>
      <c r="AO268" s="89">
        <f>IF(AE269&lt;&gt;AE268,AVERAGEIF(AE$9:AE268,AE268,AN$9:AN268),"")</f>
        <v/>
      </c>
      <c r="AP268" s="89">
        <f>IFERROR(IF(AE269&lt;&gt;AE268,AVERAGEIF(AE$9:AE268,AE268,AW$9:AW268),""),"")</f>
        <v/>
      </c>
      <c r="AQ268" s="89">
        <f>IFERROR(IF(AE269&lt;&gt;AE268,AVERAGEIF(AE$9:AE268,AE268,AX$9:AX268),""),"")</f>
        <v/>
      </c>
      <c r="AR268" s="89">
        <f t="array" ref="AR268">IFERROR(IF(AE269&lt;&gt;AE268,_xlfn.STDEV.P(IF(AE$9:AE268=AE268,AX$9:AX268)),""),"")</f>
        <v/>
      </c>
      <c r="AS268" s="89">
        <f t="array" ref="AS268">IFERROR(IF(AE269&lt;&gt;AE268,_xlfn.STDEV.P(IF(AE$9:AE268=AE268,AW$9:AW268)),""),"")</f>
        <v/>
      </c>
      <c r="AT268" s="90">
        <f>IFERROR(IF(AE268&lt;&gt;AE269,MAX((((AQ268*24*60)/2)*(1+POWER((((AR268*24*60) / (AQ268*24*60) )),2))) + ((AQ268*24*60 )*-0.1 + (AO268*0.015)) +1,(((AQ268*24*60)/2)*(1+POWER((((AR268*24*60) / (AQ268*24*60 ))),2)))),""),"")</f>
        <v/>
      </c>
      <c r="AU268" s="90">
        <f>IF(AND(AS268&lt;&gt;"",AP268&lt;&gt;""),IF(AE268&lt;&gt;AE269,((AP268*24*60) / 2 ) * (1 + POWER(((AS268*24*60) / (AP268*24*60)),2)),""),"")</f>
        <v/>
      </c>
      <c r="AV268" s="90">
        <f>IF(AU268&lt;&gt;"",MAX(AT268,AU268),"")</f>
        <v/>
      </c>
      <c r="AW268" s="89">
        <f>IF(AM268&lt;&gt;"H. Sale Real",IF(AND(AM269&lt;&gt;"",LEFT(AG269,2)&lt;&gt;"Va"),IF(AND(AM268&lt;&gt;"",LEFT(AG268,2)&lt;&gt;"Va",AM268&lt;&gt;"H. Sale Real"),IF(AM269-AM268&lt;0.208333333333333,AM269-AM268,""),IF(AND(AM267&lt;&gt;"",LEFT(AG267,2)&lt;&gt;"Va",AM267&lt;&gt;"H. Sale Real"),IF(AM269-AM267&lt;0.208333333333333,AM269-AM267,""),IF(AND(AM266&lt;&gt;"",LEFT(AG266,2)&lt;&gt;"Va",AM266&lt;&gt;"H. Sale Real"),IF(AM269-AM266&lt;0.208333333333333,AM269-AM266,""),IF(AND(AM265&lt;&gt;"",LEFT(AG265,2)&lt;&gt;"Va",AM265&lt;&gt;"H. Sale Real"),IF(AM269-AM265&lt;0.208333333333333,AM269-AM265,""),IF(AND(AM264&lt;&gt;"",LEFT(AG264,2)&lt;&gt;"Va",AM264&lt;&gt;"H. Sale Real"),IF(AM269-AM264&lt;0.208333333333333,AM269-AM264,""),""))))),""),"")</f>
        <v/>
      </c>
      <c r="AX268" s="89">
        <f>IF(AK268&lt;&gt;"H. Sale Real",IF(AND(AK269&lt;&gt;"",LEFT(AG269,2)&lt;&gt;"Va"),IF(AND(AK268&lt;&gt;"",LEFT(AG268,2)&lt;&gt;"Va",AK268&lt;&gt;"H. Sale Real"),IF(AK269-AK268&lt;0.208333333333333,AK269-AK268,""),IF(AND(AK267&lt;&gt;"",LEFT(AG267,2)&lt;&gt;"Va",AK267&lt;&gt;"H. Sale Real"),IF(AK269-AK267&lt;0.208333333333333,AK269-AK267,""),IF(AND(AK266&lt;&gt;"",LEFT(AG266,2)&lt;&gt;"NC",AK266&lt;&gt;"H. Sale Real"),IF(AK269-AK266&lt;0.208333333333333,AK269-AK266,""),IF(AND(AK265&lt;&gt;"",LEFT(AG265,2)&lt;&gt;"Va",AK265&lt;&gt;"H. Sale Real"),IF(AK269-AK265&lt;0.208333333333333,AK269-AK265,""),IF(AND(AK264&lt;&gt;"",LEFT(AG264,2)&lt;&gt;"Va",AK264&lt;&gt;"H. Sale Real"),IF(AK269-AK264&lt;0.208333333333333,AK269-AK264,""),""))))),""),"")</f>
        <v/>
      </c>
      <c r="AY268" s="87" t="n"/>
      <c r="AZ268" s="89" t="n"/>
      <c r="BA268" s="87" t="n"/>
      <c r="BB268" s="89" t="n"/>
      <c r="BC268" s="91" t="n"/>
      <c r="BD268" s="122">
        <f>IF(AK268&lt;&gt;"",IF(AND(BD267&lt;&gt;"IE",AT268&lt;&gt;0,AV268&lt;&gt;""),IF(IFERROR((AT268/AV268),0) &lt;=1,IFERROR(AT268/AV268,""),1),""),"")</f>
        <v/>
      </c>
      <c r="BE268" s="93" t="n"/>
      <c r="BF268" s="105" t="n"/>
      <c r="FC268" t="inlineStr">
        <is>
          <t>Diccionario 1</t>
        </is>
      </c>
      <c r="FD268" s="15" t="n">
        <v>1267</v>
      </c>
      <c r="FE268" s="15" t="inlineStr">
        <is>
          <t>MDN35025020044</t>
        </is>
      </c>
      <c r="FF268" s="15" t="inlineStr">
        <is>
          <t>LDYECS31XS0044058</t>
        </is>
      </c>
      <c r="FG268" s="15" t="inlineStr">
        <is>
          <t>Zhong Tong</t>
        </is>
      </c>
      <c r="FH268" s="15" t="inlineStr">
        <is>
          <t>Lck6122evg</t>
        </is>
      </c>
      <c r="FI268" s="15" t="inlineStr">
        <is>
          <t>ZHONGTONG</t>
        </is>
      </c>
      <c r="FJ268" s="15" t="inlineStr">
        <is>
          <t>LCK6122EVG</t>
        </is>
      </c>
      <c r="FK268" s="15" t="n">
        <v>2025</v>
      </c>
      <c r="FL268" s="15" t="inlineStr">
        <is>
          <t>B</t>
        </is>
      </c>
      <c r="FM268" s="15" t="inlineStr">
        <is>
          <t>CERRILLOS</t>
        </is>
      </c>
      <c r="FN268" s="15" t="inlineStr">
        <is>
          <t>Calle Uno 7371</t>
        </is>
      </c>
      <c r="FO268" s="15" t="inlineStr">
        <is>
          <t>Cerrillos</t>
        </is>
      </c>
      <c r="FP268" t="inlineStr">
        <is>
          <t>B</t>
        </is>
      </c>
      <c r="FS268" s="14" t="inlineStr">
        <is>
          <t>3065 / SFVZ-40|</t>
        </is>
      </c>
      <c r="FT268" t="inlineStr">
        <is>
          <t>SFVZ-40|</t>
        </is>
      </c>
      <c r="FU268" t="inlineStr">
        <is>
          <t>SFVZ-40</t>
        </is>
      </c>
      <c r="FV268">
        <f>VLOOKUP(FU268,FD:FL,9,0)</f>
        <v/>
      </c>
      <c r="FZ268" s="51" t="inlineStr">
        <is>
          <t>B04</t>
        </is>
      </c>
      <c r="GA268" s="43" t="n">
        <v>0</v>
      </c>
      <c r="GB268" s="43" t="n">
        <v>0</v>
      </c>
      <c r="GC268" s="43" t="n">
        <v>0</v>
      </c>
      <c r="GD268" s="43" t="n">
        <v>0</v>
      </c>
      <c r="GE268" s="43" t="n">
        <v>0</v>
      </c>
      <c r="GF268" s="43" t="n">
        <v>22.835</v>
      </c>
      <c r="GG268" s="43" t="n">
        <v>20.33</v>
      </c>
      <c r="GH268" s="43" t="n">
        <v>18.345</v>
      </c>
      <c r="GI268" s="43" t="n">
        <v>18.19</v>
      </c>
      <c r="GJ268" s="43" t="n">
        <v>16.96</v>
      </c>
      <c r="GK268" s="43" t="n">
        <v>15.435</v>
      </c>
      <c r="GL268" s="43" t="n">
        <v>14.84</v>
      </c>
      <c r="GM268" s="43" t="n">
        <v>14.86</v>
      </c>
      <c r="GN268" s="43" t="n">
        <v>15.145</v>
      </c>
      <c r="GO268" s="43" t="n">
        <v>16.33</v>
      </c>
      <c r="GP268" s="43" t="n">
        <v>16.225</v>
      </c>
      <c r="GQ268" s="43" t="n">
        <v>16.2</v>
      </c>
      <c r="GR268" s="43" t="n">
        <v>16.6</v>
      </c>
      <c r="GS268" s="43" t="n">
        <v>17.555</v>
      </c>
      <c r="GT268" s="43" t="n">
        <v>18.335</v>
      </c>
      <c r="GU268" s="43" t="n">
        <v>18.62</v>
      </c>
      <c r="GV268" s="43" t="n">
        <v>19.49</v>
      </c>
      <c r="GW268" s="43" t="n">
        <v>20.595</v>
      </c>
      <c r="GX268" s="43" t="n">
        <v>11.19</v>
      </c>
      <c r="HA268" s="35" t="n">
        <v>38</v>
      </c>
      <c r="HB268" s="35" t="n">
        <v>262</v>
      </c>
    </row>
    <row r="269" ht="15.5" customHeight="1">
      <c r="A269" s="10">
        <f>HOUR(G269)+1</f>
        <v/>
      </c>
      <c r="B269" s="7" t="n"/>
      <c r="C269" s="7" t="n"/>
      <c r="D269" s="85">
        <f>IFERROR(
IF(AND(OR(Planilla!B269="C",Planilla!B269="c"), VLOOKUP(E269,FD:FP,13,0)="C"), "OK",IF(AND(OR(Planilla!B269="C",Planilla!B269="c"), OR(VLOOKUP(E269,FD:FP,13,0)="B", VLOOKUP(E269,FD:FP,13,0)="A")), "DEFICIT",IF(
AND(OR(Planilla!B269="B", Planilla!B269="BPAL"), VLOOKUP(E269,FD:FP,13,0)="B"), "OK",IF(AND(OR(Planilla!B269="B", Planilla!B269="BPAL"), VLOOKUP(E269,FD:FP,13,0)="A"), "DEFICIT",IF(AND(OR(Planilla!B269="B", Planilla!B269="BPAL"), VLOOKUP(E269,FD:FP,13,0)="C"), "SOBREOFERTA",IF(AND(Planilla!B269="A", VLOOKUP(E269,FD:FP,13,0)="A"), "OK",IF(
AND(Planilla!B269="A", OR(VLOOKUP(E269,FD:FP,13,0)="B", VLOOKUP(E269,FD:FP,13,0)="C")), "SOBREOFERTA",""
))))))),"")</f>
        <v/>
      </c>
      <c r="E269" s="8" t="n"/>
      <c r="F269" s="86" t="n"/>
      <c r="G269" s="87" t="n"/>
      <c r="H269" s="88">
        <f>IF(I269="","",IF(AND((I269-G269)&gt;=TIME(0,0,0),(I269-G269)&lt;TIME(0,3,0)),"OK",IF(AND((I269-G269)&gt;=TIME(0,3,0),(I269-G269)&lt;TIME(0,5,0)),"RETRASO DE 3-5 MIN",IF(AND((I269-G269)&gt;=TIME(0,5,0),(I269-G269)&lt;TIME(0,10,0)),"RETRASO DE 5-10 MIN",IF((I269-G269)&gt;=TIME(0,10,0),"RETRASO &gt;10 MIN", IF(AND((G269-I269)&gt;=TIME(0,0,0),(G269-I269)&lt;TIME(0,3,0)),"OK",IF((G269-I269)&gt;=TIME(0,3,0),"ADELANTADO")))))))</f>
        <v/>
      </c>
      <c r="I269" s="89" t="n"/>
      <c r="J269" s="89">
        <f>IF(A269&lt;&gt;"",HLOOKUP(VALUE(TEXT(G269,"h:mm:ss")),IF($C$6="Laboral",$FZ$4:$GX$227,IF($C$6="Sábado",$FZ$231:$GX$452,$FZ$456:$GX$656)),VLOOKUP($C$4,$HF$2:$HH$99,3,0)+IF(C$5="Ida",0,1),1),"")</f>
        <v/>
      </c>
      <c r="K269" s="89">
        <f>IF(A270&lt;&gt;A269,AVERAGEIF(A$9:A269,A269,J$9:J269),"")</f>
        <v/>
      </c>
      <c r="L269" s="89">
        <f>IFERROR(IF(A270&lt;&gt;A269,AVERAGEIF(A$9:A269,A269,S$9:S269),""),"")</f>
        <v/>
      </c>
      <c r="M269" s="89">
        <f>IFERROR(IF(A270&lt;&gt;A269,AVERAGEIF(A$9:A269,A269,T$9:T269),""),"")</f>
        <v/>
      </c>
      <c r="N269" s="89">
        <f t="array" ref="N269">IFERROR(IF(A270&lt;&gt;A269,_xlfn.STDEV.P(IF(A$9:A269=A269,T$9:T269)),""),"")</f>
        <v/>
      </c>
      <c r="O269" s="89">
        <f t="array" ref="O269">IFERROR(IF(A270&lt;&gt;A269,_xlfn.STDEV.P(IF(A$9:A269=A269,S$9:S269)),""),"")</f>
        <v/>
      </c>
      <c r="P269" s="90">
        <f>IFERROR(IF(A269&lt;&gt;A270,MAX((((M269*24*60)/2)*(1+POWER((((N269*24*60) / (M269*24*60) )),2))) + ((M269*24*60 )*-0.1 + (K269*0.015)) +1,(((M269*24*60)/2)*(1+POWER((((N269*24*60) / (M269*24*60 ))),2)))),""),"")</f>
        <v/>
      </c>
      <c r="Q269" s="90">
        <f>IF(AND(O269&lt;&gt;"",L269&lt;&gt;""),IF(A269&lt;&gt;A270,((L269*24*60) / 2 ) * (1 + POWER(((O269*24*60) / (L269*24*60)),2)),""),"")</f>
        <v/>
      </c>
      <c r="R269" s="90">
        <f>IF(Q269&lt;&gt;"",MAX(P269,Q269),"")</f>
        <v/>
      </c>
      <c r="S269" s="89">
        <f>IF(I269&lt;&gt;"H. Sale Real",IF(AND(I270&lt;&gt;"",LEFT(C270,2)&lt;&gt;"Va"),IF(AND(I269&lt;&gt;"",LEFT(C269,2)&lt;&gt;"Va",I269&lt;&gt;"H. Sale Real"),IF(I270-I269&lt;0.208333333333333,I270-I269,""),IF(AND(I268&lt;&gt;"",LEFT(C268,2)&lt;&gt;"Va",I268&lt;&gt;"H. Sale Real"),IF(I270-I268&lt;0.208333333333333,I270-I268,""),IF(AND(I267&lt;&gt;"",LEFT(C267,2)&lt;&gt;"Va",I267&lt;&gt;"H. Sale Real"),IF(I270-I267&lt;0.208333333333333,I270-I267,""),IF(AND(I266&lt;&gt;"",LEFT(C266,2)&lt;&gt;"Va",I266&lt;&gt;"H. Sale Real"),IF(I270-I266&lt;0.208333333333333,I270-I266,""),IF(AND(I265&lt;&gt;"",LEFT(C265,2)&lt;&gt;"Va",I265&lt;&gt;"H. Sale Real"),IF(I270-I265&lt;0.208333333333333,I270-I265,""),""))))),""),"")</f>
        <v/>
      </c>
      <c r="T269" s="89">
        <f>IF(G269&lt;&gt;"H. Sale Real",IF(AND(G270&lt;&gt;"",LEFT(C270,2)&lt;&gt;"Va"),IF(AND(G269&lt;&gt;"",LEFT(C269,2)&lt;&gt;"Va",G269&lt;&gt;"H. Sale Real"),IF(G270-G269&lt;0.208333333333333,G270-G269,""),IF(AND(G268&lt;&gt;"",LEFT(C268,2)&lt;&gt;"Va",G268&lt;&gt;"H. Sale Real"),IF(G270-G268&lt;0.208333333333333,G270-G268,""),IF(AND(G267&lt;&gt;"",LEFT(C267,2)&lt;&gt;"Va",G267&lt;&gt;"H. Sale Real"),IF(G270-G267&lt;0.208333333333333,G270-G267,""),IF(AND(G266&lt;&gt;"",LEFT(C266,2)&lt;&gt;"Va",G266&lt;&gt;"H. Sale Real"),IF(G270-G266&lt;0.208333333333333,G270-G266,""),IF(AND(G265&lt;&gt;"",LEFT(C265,2)&lt;&gt;"Va",G265&lt;&gt;"H. Sale Real"),IF(G270-G265&lt;0.208333333333333,G270-G265,""),""))))),""),"")</f>
        <v/>
      </c>
      <c r="U269" s="87" t="n"/>
      <c r="V269" s="89" t="n"/>
      <c r="W269" s="87" t="n"/>
      <c r="X269" s="89" t="n"/>
      <c r="Y269" s="91" t="n"/>
      <c r="Z269" s="122">
        <f>IF(G269&lt;&gt;"",IF(AND(Z268&lt;&gt;"IE",P269&lt;&gt;0,R269&lt;&gt;""),IF(IFERROR((P269/R269),0) &lt;=1,IFERROR(P269/R269,""),1),""),"")</f>
        <v/>
      </c>
      <c r="AA269" s="93" t="n"/>
      <c r="AB269" s="2" t="n"/>
      <c r="AE269" s="10">
        <f>HOUR(AK269)+1</f>
        <v/>
      </c>
      <c r="AF269" s="7" t="n"/>
      <c r="AG269" s="7" t="n"/>
      <c r="AH269" s="86" t="n"/>
      <c r="AI269" s="8" t="n"/>
      <c r="AJ269" s="86" t="n"/>
      <c r="AK269" s="87" t="n"/>
      <c r="AL269" s="88">
        <f>IF(AM269="","",IF(AND((AM269-AK269)&gt;=TIME(0,0,0),(AM269-AK269)&lt;TIME(0,3,0)),"OK",IF(AND((AM269-AK269)&gt;=TIME(0,3,0),(AM269-AK269)&lt;TIME(0,5,0)),"RETRASO DE 3-5 MIN",IF(AND((AM269-AK269)&gt;=TIME(0,5,0),(AM269-AK269)&lt;TIME(0,10,0)),"RETRASO DE 5-10 MIN",IF((AM269-AK269)&gt;=TIME(0,10,0),"RETRASO &gt;10 MIN", IF(AND((AK269-AM269)&gt;=TIME(0,0,0),(AK269-AM269)&lt;TIME(0,3,0)),"OK",IF((AK269-AM269)&gt;=TIME(0,3,0),"ADELANTADO")))))))</f>
        <v/>
      </c>
      <c r="AM269" s="91" t="n"/>
      <c r="AN269" s="89">
        <f>IF(AE269&lt;&gt;"",HLOOKUP(VALUE(TEXT(AK269,"h:mm:ss")),IF($C$6="Laboral",$FZ$4:$GX$227,IF($C$6="Sábado",$FZ$231:$GX$452,$FZ$456:$GX$656)),VLOOKUP($C$4,$HF$2:$HH$99,3,0)+IF(AG$5="Ida",0,1),1),"")</f>
        <v/>
      </c>
      <c r="AO269" s="89">
        <f>IF(AE270&lt;&gt;AE269,AVERAGEIF(AE$9:AE269,AE269,AN$9:AN269),"")</f>
        <v/>
      </c>
      <c r="AP269" s="89">
        <f>IFERROR(IF(AE270&lt;&gt;AE269,AVERAGEIF(AE$9:AE269,AE269,AW$9:AW269),""),"")</f>
        <v/>
      </c>
      <c r="AQ269" s="89">
        <f>IFERROR(IF(AE270&lt;&gt;AE269,AVERAGEIF(AE$9:AE269,AE269,AX$9:AX269),""),"")</f>
        <v/>
      </c>
      <c r="AR269" s="89">
        <f t="array" ref="AR269">IFERROR(IF(AE270&lt;&gt;AE269,_xlfn.STDEV.P(IF(AE$9:AE269=AE269,AX$9:AX269)),""),"")</f>
        <v/>
      </c>
      <c r="AS269" s="89">
        <f t="array" ref="AS269">IFERROR(IF(AE270&lt;&gt;AE269,_xlfn.STDEV.P(IF(AE$9:AE269=AE269,AW$9:AW269)),""),"")</f>
        <v/>
      </c>
      <c r="AT269" s="90">
        <f>IFERROR(IF(AE269&lt;&gt;AE270,MAX((((AQ269*24*60)/2)*(1+POWER((((AR269*24*60) / (AQ269*24*60) )),2))) + ((AQ269*24*60 )*-0.1 + (AO269*0.015)) +1,(((AQ269*24*60)/2)*(1+POWER((((AR269*24*60) / (AQ269*24*60 ))),2)))),""),"")</f>
        <v/>
      </c>
      <c r="AU269" s="90">
        <f>IF(AND(AS269&lt;&gt;"",AP269&lt;&gt;""),IF(AE269&lt;&gt;AE270,((AP269*24*60) / 2 ) * (1 + POWER(((AS269*24*60) / (AP269*24*60)),2)),""),"")</f>
        <v/>
      </c>
      <c r="AV269" s="90">
        <f>IF(AU269&lt;&gt;"",MAX(AT269,AU269),"")</f>
        <v/>
      </c>
      <c r="AW269" s="89">
        <f>IF(AM269&lt;&gt;"H. Sale Real",IF(AND(AM270&lt;&gt;"",LEFT(AG270,2)&lt;&gt;"Va"),IF(AND(AM269&lt;&gt;"",LEFT(AG269,2)&lt;&gt;"Va",AM269&lt;&gt;"H. Sale Real"),IF(AM270-AM269&lt;0.208333333333333,AM270-AM269,""),IF(AND(AM268&lt;&gt;"",LEFT(AG268,2)&lt;&gt;"Va",AM268&lt;&gt;"H. Sale Real"),IF(AM270-AM268&lt;0.208333333333333,AM270-AM268,""),IF(AND(AM267&lt;&gt;"",LEFT(AG267,2)&lt;&gt;"Va",AM267&lt;&gt;"H. Sale Real"),IF(AM270-AM267&lt;0.208333333333333,AM270-AM267,""),IF(AND(AM266&lt;&gt;"",LEFT(AG266,2)&lt;&gt;"Va",AM266&lt;&gt;"H. Sale Real"),IF(AM270-AM266&lt;0.208333333333333,AM270-AM266,""),IF(AND(AM265&lt;&gt;"",LEFT(AG265,2)&lt;&gt;"Va",AM265&lt;&gt;"H. Sale Real"),IF(AM270-AM265&lt;0.208333333333333,AM270-AM265,""),""))))),""),"")</f>
        <v/>
      </c>
      <c r="AX269" s="89">
        <f>IF(AK269&lt;&gt;"H. Sale Real",IF(AND(AK270&lt;&gt;"",LEFT(AG270,2)&lt;&gt;"Va"),IF(AND(AK269&lt;&gt;"",LEFT(AG269,2)&lt;&gt;"Va",AK269&lt;&gt;"H. Sale Real"),IF(AK270-AK269&lt;0.208333333333333,AK270-AK269,""),IF(AND(AK268&lt;&gt;"",LEFT(AG268,2)&lt;&gt;"Va",AK268&lt;&gt;"H. Sale Real"),IF(AK270-AK268&lt;0.208333333333333,AK270-AK268,""),IF(AND(AK267&lt;&gt;"",LEFT(AG267,2)&lt;&gt;"NC",AK267&lt;&gt;"H. Sale Real"),IF(AK270-AK267&lt;0.208333333333333,AK270-AK267,""),IF(AND(AK266&lt;&gt;"",LEFT(AG266,2)&lt;&gt;"Va",AK266&lt;&gt;"H. Sale Real"),IF(AK270-AK266&lt;0.208333333333333,AK270-AK266,""),IF(AND(AK265&lt;&gt;"",LEFT(AG265,2)&lt;&gt;"Va",AK265&lt;&gt;"H. Sale Real"),IF(AK270-AK265&lt;0.208333333333333,AK270-AK265,""),""))))),""),"")</f>
        <v/>
      </c>
      <c r="AY269" s="87" t="n"/>
      <c r="AZ269" s="89" t="n"/>
      <c r="BA269" s="87" t="n"/>
      <c r="BB269" s="89" t="n"/>
      <c r="BC269" s="91" t="n"/>
      <c r="BD269" s="122">
        <f>IF(AK269&lt;&gt;"",IF(AND(BD268&lt;&gt;"IE",AT269&lt;&gt;0,AV269&lt;&gt;""),IF(IFERROR((AT269/AV269),0) &lt;=1,IFERROR(AT269/AV269,""),1),""),"")</f>
        <v/>
      </c>
      <c r="BE269" s="93" t="n"/>
      <c r="BF269" s="105" t="n"/>
      <c r="FC269" t="inlineStr">
        <is>
          <t>Diccionario 1</t>
        </is>
      </c>
      <c r="FD269" s="15" t="n">
        <v>1268</v>
      </c>
      <c r="FE269" s="15" t="inlineStr">
        <is>
          <t>MDN35025020113</t>
        </is>
      </c>
      <c r="FF269" s="15" t="inlineStr">
        <is>
          <t>LDYECS318S0044012</t>
        </is>
      </c>
      <c r="FG269" s="15" t="inlineStr">
        <is>
          <t>Zhong Tong</t>
        </is>
      </c>
      <c r="FH269" s="15" t="inlineStr">
        <is>
          <t>Lck6122evg</t>
        </is>
      </c>
      <c r="FI269" s="15" t="inlineStr">
        <is>
          <t>ZHONGTONG</t>
        </is>
      </c>
      <c r="FJ269" s="15" t="inlineStr">
        <is>
          <t>LCK6122EVG</t>
        </is>
      </c>
      <c r="FK269" s="15" t="n">
        <v>2025</v>
      </c>
      <c r="FL269" s="15" t="inlineStr">
        <is>
          <t>B</t>
        </is>
      </c>
      <c r="FM269" s="15" t="inlineStr">
        <is>
          <t>CERRILLOS</t>
        </is>
      </c>
      <c r="FN269" s="15" t="inlineStr">
        <is>
          <t>Calle Uno 7371</t>
        </is>
      </c>
      <c r="FO269" s="15" t="inlineStr">
        <is>
          <t>Cerrillos</t>
        </is>
      </c>
      <c r="FP269" t="inlineStr">
        <is>
          <t>B</t>
        </is>
      </c>
      <c r="FS269" s="14" t="inlineStr">
        <is>
          <t>3066 / SFWB-10|</t>
        </is>
      </c>
      <c r="FT269" t="inlineStr">
        <is>
          <t>SFWB-10|</t>
        </is>
      </c>
      <c r="FU269" t="inlineStr">
        <is>
          <t>SFWB-10</t>
        </is>
      </c>
      <c r="FV269">
        <f>VLOOKUP(FU269,FD:FL,9,0)</f>
        <v/>
      </c>
      <c r="FZ269" s="51" t="inlineStr">
        <is>
          <t>C18</t>
        </is>
      </c>
      <c r="GA269" s="43" t="n">
        <v>0</v>
      </c>
      <c r="GB269" s="43" t="n">
        <v>0</v>
      </c>
      <c r="GC269" s="43" t="n">
        <v>0</v>
      </c>
      <c r="GD269" s="43" t="n">
        <v>0</v>
      </c>
      <c r="GE269" s="43" t="n">
        <v>0</v>
      </c>
      <c r="GF269" s="43" t="n">
        <v>13.355</v>
      </c>
      <c r="GG269" s="43" t="n">
        <v>26.105</v>
      </c>
      <c r="GH269" s="43" t="n">
        <v>24.585</v>
      </c>
      <c r="GI269" s="43" t="n">
        <v>24.43</v>
      </c>
      <c r="GJ269" s="43" t="n">
        <v>24.505</v>
      </c>
      <c r="GK269" s="43" t="n">
        <v>23.885</v>
      </c>
      <c r="GL269" s="43" t="n">
        <v>22.805</v>
      </c>
      <c r="GM269" s="43" t="n">
        <v>21.55</v>
      </c>
      <c r="GN269" s="43" t="n">
        <v>20.675</v>
      </c>
      <c r="GO269" s="43" t="n">
        <v>21.3</v>
      </c>
      <c r="GP269" s="43" t="n">
        <v>22.12</v>
      </c>
      <c r="GQ269" s="43" t="n">
        <v>21.97</v>
      </c>
      <c r="GR269" s="43" t="n">
        <v>21.9</v>
      </c>
      <c r="GS269" s="43" t="n">
        <v>22.135</v>
      </c>
      <c r="GT269" s="43" t="n">
        <v>22.38</v>
      </c>
      <c r="GU269" s="43" t="n">
        <v>22.99</v>
      </c>
      <c r="GV269" s="43" t="n">
        <v>23.895</v>
      </c>
      <c r="GW269" s="43" t="n">
        <v>25.88</v>
      </c>
      <c r="GX269" s="43" t="n">
        <v>28.26</v>
      </c>
      <c r="HA269" s="35" t="n">
        <v>39</v>
      </c>
      <c r="HB269" s="35" t="n">
        <v>263</v>
      </c>
    </row>
    <row r="270" ht="15.5" customHeight="1">
      <c r="A270" s="10">
        <f>HOUR(G270)+1</f>
        <v/>
      </c>
      <c r="B270" s="7" t="n"/>
      <c r="C270" s="7" t="n"/>
      <c r="D270" s="85">
        <f>IFERROR(
IF(AND(OR(Planilla!B270="C",Planilla!B270="c"), VLOOKUP(E270,FD:FP,13,0)="C"), "OK",IF(AND(OR(Planilla!B270="C",Planilla!B270="c"), OR(VLOOKUP(E270,FD:FP,13,0)="B", VLOOKUP(E270,FD:FP,13,0)="A")), "DEFICIT",IF(
AND(OR(Planilla!B270="B", Planilla!B270="BPAL"), VLOOKUP(E270,FD:FP,13,0)="B"), "OK",IF(AND(OR(Planilla!B270="B", Planilla!B270="BPAL"), VLOOKUP(E270,FD:FP,13,0)="A"), "DEFICIT",IF(AND(OR(Planilla!B270="B", Planilla!B270="BPAL"), VLOOKUP(E270,FD:FP,13,0)="C"), "SOBREOFERTA",IF(AND(Planilla!B270="A", VLOOKUP(E270,FD:FP,13,0)="A"), "OK",IF(
AND(Planilla!B270="A", OR(VLOOKUP(E270,FD:FP,13,0)="B", VLOOKUP(E270,FD:FP,13,0)="C")), "SOBREOFERTA",""
))))))),"")</f>
        <v/>
      </c>
      <c r="E270" s="8" t="n"/>
      <c r="F270" s="86" t="n"/>
      <c r="G270" s="87" t="n"/>
      <c r="H270" s="88">
        <f>IF(I270="","",IF(AND((I270-G270)&gt;=TIME(0,0,0),(I270-G270)&lt;TIME(0,3,0)),"OK",IF(AND((I270-G270)&gt;=TIME(0,3,0),(I270-G270)&lt;TIME(0,5,0)),"RETRASO DE 3-5 MIN",IF(AND((I270-G270)&gt;=TIME(0,5,0),(I270-G270)&lt;TIME(0,10,0)),"RETRASO DE 5-10 MIN",IF((I270-G270)&gt;=TIME(0,10,0),"RETRASO &gt;10 MIN",         IF(AND((G270-I270)&gt;=TIME(0,0,0),(G270-I270)&lt;TIME(0,3,0)),"OK",IF((G270-I270)&gt;=TIME(0,3,0),"ADELANTADO")))))))</f>
        <v/>
      </c>
      <c r="I270" s="89" t="n"/>
      <c r="J270" s="89">
        <f>IF(A270&lt;&gt;"",HLOOKUP(VALUE(TEXT(G270,"h:mm:ss")),IF($C$6="Laboral",$FZ$4:$GX$227,IF($C$6="Sábado",$FZ$231:$GX$452,$FZ$456:$GX$656)),VLOOKUP($C$4,$HF$2:$HH$99,3,0)+IF(C$5="Ida",0,1),1),"")</f>
        <v/>
      </c>
      <c r="K270" s="89">
        <f>IF(A271&lt;&gt;A270,AVERAGEIF(A$9:A270,A270,J$9:J270),"")</f>
        <v/>
      </c>
      <c r="L270" s="89">
        <f>IFERROR(IF(A271&lt;&gt;A270,AVERAGEIF(A$9:A270,A270,S$9:S270),""),"")</f>
        <v/>
      </c>
      <c r="M270" s="89">
        <f>IFERROR(IF(A271&lt;&gt;A270,AVERAGEIF(A$9:A270,A270,T$9:T270),""),"")</f>
        <v/>
      </c>
      <c r="N270" s="89">
        <f t="array" ref="N270">IFERROR(IF(A271&lt;&gt;A270,_xlfn.STDEV.P(IF(A$9:A270=A270,T$9:T270)),""),"")</f>
        <v/>
      </c>
      <c r="O270" s="89">
        <f t="array" ref="O270">IFERROR(IF(A271&lt;&gt;A270,_xlfn.STDEV.P(IF(A$9:A270=A270,S$9:S270)),""),"")</f>
        <v/>
      </c>
      <c r="P270" s="90">
        <f>IFERROR(IF(A270&lt;&gt;A271,MAX((((M270*24*60)/2)*(1+POWER((((N270*24*60) / (M270*24*60) )),2))) + ((M270*24*60 )*-0.1 + (K270*0.015)) +1,(((M270*24*60)/2)*(1+POWER((((N270*24*60) / (M270*24*60 ))),2)))),""),"")</f>
        <v/>
      </c>
      <c r="Q270" s="90">
        <f>IF(AND(O270&lt;&gt;"",L270&lt;&gt;""),IF(A270&lt;&gt;A271,((L270*24*60) / 2 ) * (1 + POWER(((O270*24*60) / (L270*24*60)),2)),""),"")</f>
        <v/>
      </c>
      <c r="R270" s="90">
        <f>IF(Q270&lt;&gt;"",MAX(P270,Q270),"")</f>
        <v/>
      </c>
      <c r="S270" s="89">
        <f>IF(I270&lt;&gt;"H. Sale Real",IF(AND(I271&lt;&gt;"",LEFT(C271,2)&lt;&gt;"Va"),IF(AND(I270&lt;&gt;"",LEFT(C270,2)&lt;&gt;"Va",I270&lt;&gt;"H. Sale Real"),IF(I271-I270&lt;0.208333333333333,I271-I270,""),IF(AND(I269&lt;&gt;"",LEFT(C269,2)&lt;&gt;"Va",I269&lt;&gt;"H. Sale Real"),IF(I271-I269&lt;0.208333333333333,I271-I269,""),IF(AND(I268&lt;&gt;"",LEFT(C268,2)&lt;&gt;"Va",I268&lt;&gt;"H. Sale Real"),IF(I271-I268&lt;0.208333333333333,I271-I268,""),IF(AND(I267&lt;&gt;"",LEFT(C267,2)&lt;&gt;"Va",I267&lt;&gt;"H. Sale Real"),IF(I271-I267&lt;0.208333333333333,I271-I267,""),IF(AND(I266&lt;&gt;"",LEFT(C266,2)&lt;&gt;"Va",I266&lt;&gt;"H. Sale Real"),IF(I271-I266&lt;0.208333333333333,I271-I266,""),""))))),""),"")</f>
        <v/>
      </c>
      <c r="T270" s="89">
        <f>IF(G270&lt;&gt;"H. Sale Real",IF(AND(G271&lt;&gt;"",LEFT(C271,2)&lt;&gt;"Va"),IF(AND(G270&lt;&gt;"",LEFT(C270,2)&lt;&gt;"Va",G270&lt;&gt;"H. Sale Real"),IF(G271-G270&lt;0.208333333333333,G271-G270,""),IF(AND(G269&lt;&gt;"",LEFT(C269,2)&lt;&gt;"Va",G269&lt;&gt;"H. Sale Real"),IF(G271-G269&lt;0.208333333333333,G271-G269,""),IF(AND(G268&lt;&gt;"",LEFT(C268,2)&lt;&gt;"Va",G268&lt;&gt;"H. Sale Real"),IF(G271-G268&lt;0.208333333333333,G271-G268,""),IF(AND(G267&lt;&gt;"",LEFT(C267,2)&lt;&gt;"Va",G267&lt;&gt;"H. Sale Real"),IF(G271-G267&lt;0.208333333333333,G271-G267,""),IF(AND(G266&lt;&gt;"",LEFT(C266,2)&lt;&gt;"Va",G266&lt;&gt;"H. Sale Real"),IF(G271-G266&lt;0.208333333333333,G271-G266,""),""))))),""),"")</f>
        <v/>
      </c>
      <c r="U270" s="87" t="n"/>
      <c r="V270" s="89" t="n"/>
      <c r="W270" s="87" t="n"/>
      <c r="X270" s="89" t="n"/>
      <c r="Y270" s="91" t="n"/>
      <c r="Z270" s="122">
        <f>IF(G270&lt;&gt;"",IF(AND(Z269&lt;&gt;"IE",P270&lt;&gt;0,R270&lt;&gt;""),IF(IFERROR((P270/R270),0) &lt;=1,IFERROR(P270/R270,""),1),""),"")</f>
        <v/>
      </c>
      <c r="AA270" s="93" t="n"/>
      <c r="AB270" s="2" t="n"/>
      <c r="AE270" s="10">
        <f>HOUR(AK270)+1</f>
        <v/>
      </c>
      <c r="AF270" s="7" t="n"/>
      <c r="AG270" s="7" t="n"/>
      <c r="AH270" s="86" t="n"/>
      <c r="AI270" s="8" t="n"/>
      <c r="AJ270" s="86" t="n"/>
      <c r="AK270" s="87" t="n"/>
      <c r="AL270" s="88">
        <f>IF(AM270="","",IF(AND((AM270-AK270)&gt;=TIME(0,0,0),(AM270-AK270)&lt;TIME(0,3,0)),"OK",IF(AND((AM270-AK270)&gt;=TIME(0,3,0),(AM270-AK270)&lt;TIME(0,5,0)),"RETRASO DE 3-5 MIN",IF(AND((AM270-AK270)&gt;=TIME(0,5,0),(AM270-AK270)&lt;TIME(0,10,0)),"RETRASO DE 5-10 MIN",IF((AM270-AK270)&gt;=TIME(0,10,0),"RETRASO &gt;10 MIN",         IF(AND((AK270-AM270)&gt;=TIME(0,0,0),(AK270-AM270)&lt;TIME(0,3,0)),"OK",IF((AK270-AM270)&gt;=TIME(0,3,0),"ADELANTADO")))))))</f>
        <v/>
      </c>
      <c r="AM270" s="91" t="n"/>
      <c r="AN270" s="89">
        <f>IF(AE270&lt;&gt;"",HLOOKUP(VALUE(TEXT(AK270,"h:mm:ss")),IF($C$6="Laboral",$FZ$4:$GX$227,IF($C$6="Sábado",$FZ$231:$GX$452,$FZ$456:$GX$656)),VLOOKUP($C$4,$HF$2:$HH$99,3,0)+IF(AG$5="Ida",0,1),1),"")</f>
        <v/>
      </c>
      <c r="AO270" s="89">
        <f>IF(AE271&lt;&gt;AE270,AVERAGEIF(AE$9:AE270,AE270,AN$9:AN270),"")</f>
        <v/>
      </c>
      <c r="AP270" s="89">
        <f>IFERROR(IF(AE271&lt;&gt;AE270,AVERAGEIF(AE$9:AE270,AE270,AW$9:AW270),""),"")</f>
        <v/>
      </c>
      <c r="AQ270" s="89">
        <f>IFERROR(IF(AE271&lt;&gt;AE270,AVERAGEIF(AE$9:AE270,AE270,AX$9:AX270),""),"")</f>
        <v/>
      </c>
      <c r="AR270" s="89">
        <f t="array" ref="AR270">IFERROR(IF(AE271&lt;&gt;AE270,_xlfn.STDEV.P(IF(AE$9:AE270=AE270,AX$9:AX270)),""),"")</f>
        <v/>
      </c>
      <c r="AS270" s="89">
        <f t="array" ref="AS270">IFERROR(IF(AE271&lt;&gt;AE270,_xlfn.STDEV.P(IF(AE$9:AE270=AE270,AW$9:AW270)),""),"")</f>
        <v/>
      </c>
      <c r="AT270" s="90">
        <f>IFERROR(IF(AE270&lt;&gt;AE271,MAX((((AQ270*24*60)/2)*(1+POWER((((AR270*24*60) / (AQ270*24*60) )),2))) + ((AQ270*24*60 )*-0.1 + (AO270*0.015)) +1,(((AQ270*24*60)/2)*(1+POWER((((AR270*24*60) / (AQ270*24*60 ))),2)))),""),"")</f>
        <v/>
      </c>
      <c r="AU270" s="90">
        <f>IF(AND(AS270&lt;&gt;"",AP270&lt;&gt;""),IF(AE270&lt;&gt;AE271,((AP270*24*60) / 2 ) * (1 + POWER(((AS270*24*60) / (AP270*24*60)),2)),""),"")</f>
        <v/>
      </c>
      <c r="AV270" s="90">
        <f>IF(AU270&lt;&gt;"",MAX(AT270,AU270),"")</f>
        <v/>
      </c>
      <c r="AW270" s="89">
        <f>IF(AM270&lt;&gt;"H. Sale Real",IF(AND(AM271&lt;&gt;"",LEFT(AG271,2)&lt;&gt;"Va"),IF(AND(AM270&lt;&gt;"",LEFT(AG270,2)&lt;&gt;"Va",AM270&lt;&gt;"H. Sale Real"),IF(AM271-AM270&lt;0.208333333333333,AM271-AM270,""),IF(AND(AM269&lt;&gt;"",LEFT(AG269,2)&lt;&gt;"Va",AM269&lt;&gt;"H. Sale Real"),IF(AM271-AM269&lt;0.208333333333333,AM271-AM269,""),IF(AND(AM268&lt;&gt;"",LEFT(AG268,2)&lt;&gt;"Va",AM268&lt;&gt;"H. Sale Real"),IF(AM271-AM268&lt;0.208333333333333,AM271-AM268,""),IF(AND(AM267&lt;&gt;"",LEFT(AG267,2)&lt;&gt;"Va",AM267&lt;&gt;"H. Sale Real"),IF(AM271-AM267&lt;0.208333333333333,AM271-AM267,""),IF(AND(AM266&lt;&gt;"",LEFT(AG266,2)&lt;&gt;"Va",AM266&lt;&gt;"H. Sale Real"),IF(AM271-AM266&lt;0.208333333333333,AM271-AM266,""),""))))),""),"")</f>
        <v/>
      </c>
      <c r="AX270" s="89">
        <f>IF(AK270&lt;&gt;"H. Sale Real",IF(AND(AK271&lt;&gt;"",LEFT(AG271,2)&lt;&gt;"Va"),IF(AND(AK270&lt;&gt;"",LEFT(AG270,2)&lt;&gt;"Va",AK270&lt;&gt;"H. Sale Real"),IF(AK271-AK270&lt;0.208333333333333,AK271-AK270,""),IF(AND(AK269&lt;&gt;"",LEFT(AG269,2)&lt;&gt;"Va",AK269&lt;&gt;"H. Sale Real"),IF(AK271-AK269&lt;0.208333333333333,AK271-AK269,""),IF(AND(AK268&lt;&gt;"",LEFT(AG268,2)&lt;&gt;"NC",AK268&lt;&gt;"H. Sale Real"),IF(AK271-AK268&lt;0.208333333333333,AK271-AK268,""),IF(AND(AK267&lt;&gt;"",LEFT(AG267,2)&lt;&gt;"Va",AK267&lt;&gt;"H. Sale Real"),IF(AK271-AK267&lt;0.208333333333333,AK271-AK267,""),IF(AND(AK266&lt;&gt;"",LEFT(AG266,2)&lt;&gt;"Va",AK266&lt;&gt;"H. Sale Real"),IF(AK271-AK266&lt;0.208333333333333,AK271-AK266,""),""))))),""),"")</f>
        <v/>
      </c>
      <c r="AY270" s="87" t="n"/>
      <c r="AZ270" s="89" t="n"/>
      <c r="BA270" s="87" t="n"/>
      <c r="BB270" s="89" t="n"/>
      <c r="BC270" s="91" t="n"/>
      <c r="BD270" s="122">
        <f>IF(AK270&lt;&gt;"",IF(AND(BD269&lt;&gt;"IE",AT270&lt;&gt;0,AV270&lt;&gt;""),IF(IFERROR((AT270/AV270),0) &lt;=1,IFERROR(AT270/AV270,""),1),""),"")</f>
        <v/>
      </c>
      <c r="BE270" s="93" t="n"/>
      <c r="BF270" s="105" t="n"/>
      <c r="FC270" t="inlineStr">
        <is>
          <t>Diccionario 1</t>
        </is>
      </c>
      <c r="FD270" s="15" t="n">
        <v>1269</v>
      </c>
      <c r="FE270" s="15" t="inlineStr">
        <is>
          <t>MDN35025020051</t>
        </is>
      </c>
      <c r="FF270" s="15" t="inlineStr">
        <is>
          <t>LDYECS310S0044019</t>
        </is>
      </c>
      <c r="FG270" s="15" t="inlineStr">
        <is>
          <t>Zhong Tong</t>
        </is>
      </c>
      <c r="FH270" s="15" t="inlineStr">
        <is>
          <t>Lck6122evg</t>
        </is>
      </c>
      <c r="FI270" s="15" t="inlineStr">
        <is>
          <t>ZHONGTONG</t>
        </is>
      </c>
      <c r="FJ270" s="15" t="inlineStr">
        <is>
          <t>LCK6122EVG</t>
        </is>
      </c>
      <c r="FK270" s="15" t="n">
        <v>2025</v>
      </c>
      <c r="FL270" s="15" t="inlineStr">
        <is>
          <t>B</t>
        </is>
      </c>
      <c r="FM270" s="15" t="inlineStr">
        <is>
          <t>PIE ANDINO</t>
        </is>
      </c>
      <c r="FN270" s="15" t="inlineStr">
        <is>
          <t>Pie Andino 31 (Pie Andino 383)</t>
        </is>
      </c>
      <c r="FO270" s="15" t="inlineStr">
        <is>
          <t>Puente Alto</t>
        </is>
      </c>
      <c r="FP270" t="inlineStr">
        <is>
          <t>B</t>
        </is>
      </c>
      <c r="FS270" s="14" t="inlineStr">
        <is>
          <t>3066 / SFWB-10|</t>
        </is>
      </c>
      <c r="FT270" t="inlineStr">
        <is>
          <t>SFWB-10|</t>
        </is>
      </c>
      <c r="FU270" t="inlineStr">
        <is>
          <t>SFWB-10</t>
        </is>
      </c>
      <c r="FV270">
        <f>VLOOKUP(FU270,FD:FL,9,0)</f>
        <v/>
      </c>
      <c r="FZ270" s="51" t="inlineStr">
        <is>
          <t>C18</t>
        </is>
      </c>
      <c r="GA270" s="43" t="n">
        <v>0</v>
      </c>
      <c r="GB270" s="43" t="n">
        <v>0</v>
      </c>
      <c r="GC270" s="43" t="n">
        <v>0</v>
      </c>
      <c r="GD270" s="43" t="n">
        <v>0</v>
      </c>
      <c r="GE270" s="43" t="n">
        <v>0</v>
      </c>
      <c r="GF270" s="43" t="n">
        <v>13.58</v>
      </c>
      <c r="GG270" s="43" t="n">
        <v>25.75</v>
      </c>
      <c r="GH270" s="43" t="n">
        <v>25.085</v>
      </c>
      <c r="GI270" s="43" t="n">
        <v>25.35</v>
      </c>
      <c r="GJ270" s="43" t="n">
        <v>25.53</v>
      </c>
      <c r="GK270" s="43" t="n">
        <v>24.815</v>
      </c>
      <c r="GL270" s="43" t="n">
        <v>24.21</v>
      </c>
      <c r="GM270" s="43" t="n">
        <v>22.985</v>
      </c>
      <c r="GN270" s="43" t="n">
        <v>22.15</v>
      </c>
      <c r="GO270" s="43" t="n">
        <v>22.75</v>
      </c>
      <c r="GP270" s="43" t="n">
        <v>23.375</v>
      </c>
      <c r="GQ270" s="43" t="n">
        <v>23.47</v>
      </c>
      <c r="GR270" s="43" t="n">
        <v>23.295</v>
      </c>
      <c r="GS270" s="43" t="n">
        <v>23.22</v>
      </c>
      <c r="GT270" s="43" t="n">
        <v>23.455</v>
      </c>
      <c r="GU270" s="43" t="n">
        <v>23.73</v>
      </c>
      <c r="GV270" s="43" t="n">
        <v>25.42</v>
      </c>
      <c r="GW270" s="43" t="n">
        <v>27.66</v>
      </c>
      <c r="GX270" s="43" t="n">
        <v>14.05</v>
      </c>
      <c r="HA270" s="35" t="n">
        <v>40</v>
      </c>
      <c r="HB270" s="35" t="n">
        <v>264</v>
      </c>
    </row>
    <row r="271" ht="15.5" customHeight="1">
      <c r="A271" s="10">
        <f>HOUR(G271)+1</f>
        <v/>
      </c>
      <c r="B271" s="7" t="n"/>
      <c r="C271" s="7" t="n"/>
      <c r="D271" s="85">
        <f>IFERROR(
IF(AND(OR(Planilla!B271="C",Planilla!B271="c"), VLOOKUP(E271,FD:FP,13,0)="C"), "OK",IF(AND(OR(Planilla!B271="C",Planilla!B271="c"), OR(VLOOKUP(E271,FD:FP,13,0)="B", VLOOKUP(E271,FD:FP,13,0)="A")), "DEFICIT",IF(
AND(OR(Planilla!B271="B", Planilla!B271="BPAL"), VLOOKUP(E271,FD:FP,13,0)="B"), "OK",IF(AND(OR(Planilla!B271="B", Planilla!B271="BPAL"), VLOOKUP(E271,FD:FP,13,0)="A"), "DEFICIT",IF(AND(OR(Planilla!B271="B", Planilla!B271="BPAL"), VLOOKUP(E271,FD:FP,13,0)="C"), "SOBREOFERTA",IF(AND(Planilla!B271="A", VLOOKUP(E271,FD:FP,13,0)="A"), "OK",IF(
AND(Planilla!B271="A", OR(VLOOKUP(E271,FD:FP,13,0)="B", VLOOKUP(E271,FD:FP,13,0)="C")), "SOBREOFERTA",""
))))))),"")</f>
        <v/>
      </c>
      <c r="E271" s="8" t="n"/>
      <c r="F271" s="86" t="n"/>
      <c r="G271" s="87" t="n"/>
      <c r="H271" s="88">
        <f>IF(I271="","",IF(AND((I271-G271)&gt;=TIME(0,0,0),(I271-G271)&lt;TIME(0,3,0)),"OK",IF(AND((I271-G271)&gt;=TIME(0,3,0),(I271-G271)&lt;TIME(0,5,0)),"RETRASO DE 3-5 MIN",IF(AND((I271-G271)&gt;=TIME(0,5,0),(I271-G271)&lt;TIME(0,10,0)),"RETRASO DE 5-10 MIN",IF((I271-G271)&gt;=TIME(0,10,0),"RETRASO &gt;10 MIN", IF(AND((G271-I271)&gt;=TIME(0,0,0),(G271-I271)&lt;TIME(0,3,0)),"OK",IF((G271-I271)&gt;=TIME(0,3,0),"ADELANTADO")))))))</f>
        <v/>
      </c>
      <c r="I271" s="89" t="n"/>
      <c r="J271" s="89">
        <f>IF(A271&lt;&gt;"",HLOOKUP(VALUE(TEXT(G271,"h:mm:ss")),IF($C$6="Laboral",$FZ$4:$GX$227,IF($C$6="Sábado",$FZ$231:$GX$452,$FZ$456:$GX$656)),VLOOKUP($C$4,$HF$2:$HH$99,3,0)+IF(C$5="Ida",0,1),1),"")</f>
        <v/>
      </c>
      <c r="K271" s="89">
        <f>IF(A272&lt;&gt;A271,AVERAGEIF(A$9:A271,A271,J$9:J271),"")</f>
        <v/>
      </c>
      <c r="L271" s="89">
        <f>IFERROR(IF(A272&lt;&gt;A271,AVERAGEIF(A$9:A271,A271,S$9:S271),""),"")</f>
        <v/>
      </c>
      <c r="M271" s="89">
        <f>IFERROR(IF(A272&lt;&gt;A271,AVERAGEIF(A$9:A271,A271,T$9:T271),""),"")</f>
        <v/>
      </c>
      <c r="N271" s="89">
        <f t="array" ref="N271">IFERROR(IF(A272&lt;&gt;A271,_xlfn.STDEV.P(IF(A$9:A271=A271,T$9:T271)),""),"")</f>
        <v/>
      </c>
      <c r="O271" s="89">
        <f t="array" ref="O271">IFERROR(IF(A272&lt;&gt;A271,_xlfn.STDEV.P(IF(A$9:A271=A271,S$9:S271)),""),"")</f>
        <v/>
      </c>
      <c r="P271" s="90">
        <f>IFERROR(IF(A271&lt;&gt;A272,MAX((((M271*24*60)/2)*(1+POWER((((N271*24*60) / (M271*24*60) )),2))) + ((M271*24*60 )*-0.1 + (K271*0.015)) +1,(((M271*24*60)/2)*(1+POWER((((N271*24*60) / (M271*24*60 ))),2)))),""),"")</f>
        <v/>
      </c>
      <c r="Q271" s="90">
        <f>IF(AND(O271&lt;&gt;"",L271&lt;&gt;""),IF(A271&lt;&gt;A272,((L271*24*60) / 2 ) * (1 + POWER(((O271*24*60) / (L271*24*60)),2)),""),"")</f>
        <v/>
      </c>
      <c r="R271" s="90">
        <f>IF(Q271&lt;&gt;"",MAX(P271,Q271),"")</f>
        <v/>
      </c>
      <c r="S271" s="89">
        <f>IF(I271&lt;&gt;"H. Sale Real",IF(AND(I272&lt;&gt;"",LEFT(C272,2)&lt;&gt;"Va"),IF(AND(I271&lt;&gt;"",LEFT(C271,2)&lt;&gt;"Va",I271&lt;&gt;"H. Sale Real"),IF(I272-I271&lt;0.208333333333333,I272-I271,""),IF(AND(I270&lt;&gt;"",LEFT(C270,2)&lt;&gt;"Va",I270&lt;&gt;"H. Sale Real"),IF(I272-I270&lt;0.208333333333333,I272-I270,""),IF(AND(I269&lt;&gt;"",LEFT(C269,2)&lt;&gt;"Va",I269&lt;&gt;"H. Sale Real"),IF(I272-I269&lt;0.208333333333333,I272-I269,""),IF(AND(I268&lt;&gt;"",LEFT(C268,2)&lt;&gt;"Va",I268&lt;&gt;"H. Sale Real"),IF(I272-I268&lt;0.208333333333333,I272-I268,""),IF(AND(I267&lt;&gt;"",LEFT(C267,2)&lt;&gt;"Va",I267&lt;&gt;"H. Sale Real"),IF(I272-I267&lt;0.208333333333333,I272-I267,""),""))))),""),"")</f>
        <v/>
      </c>
      <c r="T271" s="89">
        <f>IF(G271&lt;&gt;"H. Sale Real",IF(AND(G272&lt;&gt;"",LEFT(C272,2)&lt;&gt;"Va"),IF(AND(G271&lt;&gt;"",LEFT(C271,2)&lt;&gt;"Va",G271&lt;&gt;"H. Sale Real"),IF(G272-G271&lt;0.208333333333333,G272-G271,""),IF(AND(G270&lt;&gt;"",LEFT(C270,2)&lt;&gt;"Va",G270&lt;&gt;"H. Sale Real"),IF(G272-G270&lt;0.208333333333333,G272-G270,""),IF(AND(G269&lt;&gt;"",LEFT(C269,2)&lt;&gt;"Va",G269&lt;&gt;"H. Sale Real"),IF(G272-G269&lt;0.208333333333333,G272-G269,""),IF(AND(G268&lt;&gt;"",LEFT(C268,2)&lt;&gt;"Va",G268&lt;&gt;"H. Sale Real"),IF(G272-G268&lt;0.208333333333333,G272-G268,""),IF(AND(G267&lt;&gt;"",LEFT(C267,2)&lt;&gt;"Va",G267&lt;&gt;"H. Sale Real"),IF(G272-G267&lt;0.208333333333333,G272-G267,""),""))))),""),"")</f>
        <v/>
      </c>
      <c r="U271" s="87" t="n"/>
      <c r="V271" s="89" t="n"/>
      <c r="W271" s="87" t="n"/>
      <c r="X271" s="89" t="n"/>
      <c r="Y271" s="91" t="n"/>
      <c r="Z271" s="122">
        <f>IF(G271&lt;&gt;"",IF(AND(Z270&lt;&gt;"IE",P271&lt;&gt;0,R271&lt;&gt;""),IF(IFERROR((P271/R271),0) &lt;=1,IFERROR(P271/R271,""),1),""),"")</f>
        <v/>
      </c>
      <c r="AA271" s="93" t="n"/>
      <c r="AB271" s="2" t="n"/>
      <c r="AE271" s="10">
        <f>HOUR(AK271)+1</f>
        <v/>
      </c>
      <c r="AF271" s="7" t="n"/>
      <c r="AG271" s="7" t="n"/>
      <c r="AH271" s="86" t="n"/>
      <c r="AI271" s="8" t="n"/>
      <c r="AJ271" s="86" t="n"/>
      <c r="AK271" s="87" t="n"/>
      <c r="AL271" s="88">
        <f>IF(AM271="","",IF(AND((AM271-AK271)&gt;=TIME(0,0,0),(AM271-AK271)&lt;TIME(0,3,0)),"OK",IF(AND((AM271-AK271)&gt;=TIME(0,3,0),(AM271-AK271)&lt;TIME(0,5,0)),"RETRASO DE 3-5 MIN",IF(AND((AM271-AK271)&gt;=TIME(0,5,0),(AM271-AK271)&lt;TIME(0,10,0)),"RETRASO DE 5-10 MIN",IF((AM271-AK271)&gt;=TIME(0,10,0),"RETRASO &gt;10 MIN", IF(AND((AK271-AM271)&gt;=TIME(0,0,0),(AK271-AM271)&lt;TIME(0,3,0)),"OK",IF((AK271-AM271)&gt;=TIME(0,3,0),"ADELANTADO")))))))</f>
        <v/>
      </c>
      <c r="AM271" s="91" t="n"/>
      <c r="AN271" s="89">
        <f>IF(AE271&lt;&gt;"",HLOOKUP(VALUE(TEXT(AK271,"h:mm:ss")),IF($C$6="Laboral",$FZ$4:$GX$227,IF($C$6="Sábado",$FZ$231:$GX$452,$FZ$456:$GX$656)),VLOOKUP($C$4,$HF$2:$HH$99,3,0)+IF(AG$5="Ida",0,1),1),"")</f>
        <v/>
      </c>
      <c r="AO271" s="89">
        <f>IF(AE272&lt;&gt;AE271,AVERAGEIF(AE$9:AE271,AE271,AN$9:AN271),"")</f>
        <v/>
      </c>
      <c r="AP271" s="89">
        <f>IFERROR(IF(AE272&lt;&gt;AE271,AVERAGEIF(AE$9:AE271,AE271,AW$9:AW271),""),"")</f>
        <v/>
      </c>
      <c r="AQ271" s="89">
        <f>IFERROR(IF(AE272&lt;&gt;AE271,AVERAGEIF(AE$9:AE271,AE271,AX$9:AX271),""),"")</f>
        <v/>
      </c>
      <c r="AR271" s="89">
        <f t="array" ref="AR271">IFERROR(IF(AE272&lt;&gt;AE271,_xlfn.STDEV.P(IF(AE$9:AE271=AE271,AX$9:AX271)),""),"")</f>
        <v/>
      </c>
      <c r="AS271" s="89">
        <f t="array" ref="AS271">IFERROR(IF(AE272&lt;&gt;AE271,_xlfn.STDEV.P(IF(AE$9:AE271=AE271,AW$9:AW271)),""),"")</f>
        <v/>
      </c>
      <c r="AT271" s="90">
        <f>IFERROR(IF(AE271&lt;&gt;AE272,MAX((((AQ271*24*60)/2)*(1+POWER((((AR271*24*60) / (AQ271*24*60) )),2))) + ((AQ271*24*60 )*-0.1 + (AO271*0.015)) +1,(((AQ271*24*60)/2)*(1+POWER((((AR271*24*60) / (AQ271*24*60 ))),2)))),""),"")</f>
        <v/>
      </c>
      <c r="AU271" s="90">
        <f>IF(AND(AS271&lt;&gt;"",AP271&lt;&gt;""),IF(AE271&lt;&gt;AE272,((AP271*24*60) / 2 ) * (1 + POWER(((AS271*24*60) / (AP271*24*60)),2)),""),"")</f>
        <v/>
      </c>
      <c r="AV271" s="90">
        <f>IF(AU271&lt;&gt;"",MAX(AT271,AU271),"")</f>
        <v/>
      </c>
      <c r="AW271" s="89">
        <f>IF(AM271&lt;&gt;"H. Sale Real",IF(AND(AM272&lt;&gt;"",LEFT(AG272,2)&lt;&gt;"Va"),IF(AND(AM271&lt;&gt;"",LEFT(AG271,2)&lt;&gt;"Va",AM271&lt;&gt;"H. Sale Real"),IF(AM272-AM271&lt;0.208333333333333,AM272-AM271,""),IF(AND(AM270&lt;&gt;"",LEFT(AG270,2)&lt;&gt;"Va",AM270&lt;&gt;"H. Sale Real"),IF(AM272-AM270&lt;0.208333333333333,AM272-AM270,""),IF(AND(AM269&lt;&gt;"",LEFT(AG269,2)&lt;&gt;"Va",AM269&lt;&gt;"H. Sale Real"),IF(AM272-AM269&lt;0.208333333333333,AM272-AM269,""),IF(AND(AM268&lt;&gt;"",LEFT(AG268,2)&lt;&gt;"Va",AM268&lt;&gt;"H. Sale Real"),IF(AM272-AM268&lt;0.208333333333333,AM272-AM268,""),IF(AND(AM267&lt;&gt;"",LEFT(AG267,2)&lt;&gt;"Va",AM267&lt;&gt;"H. Sale Real"),IF(AM272-AM267&lt;0.208333333333333,AM272-AM267,""),""))))),""),"")</f>
        <v/>
      </c>
      <c r="AX271" s="89">
        <f>IF(AK271&lt;&gt;"H. Sale Real",IF(AND(AK272&lt;&gt;"",LEFT(AG272,2)&lt;&gt;"Va"),IF(AND(AK271&lt;&gt;"",LEFT(AG271,2)&lt;&gt;"Va",AK271&lt;&gt;"H. Sale Real"),IF(AK272-AK271&lt;0.208333333333333,AK272-AK271,""),IF(AND(AK270&lt;&gt;"",LEFT(AG270,2)&lt;&gt;"Va",AK270&lt;&gt;"H. Sale Real"),IF(AK272-AK270&lt;0.208333333333333,AK272-AK270,""),IF(AND(AK269&lt;&gt;"",LEFT(AG269,2)&lt;&gt;"NC",AK269&lt;&gt;"H. Sale Real"),IF(AK272-AK269&lt;0.208333333333333,AK272-AK269,""),IF(AND(AK268&lt;&gt;"",LEFT(AG268,2)&lt;&gt;"Va",AK268&lt;&gt;"H. Sale Real"),IF(AK272-AK268&lt;0.208333333333333,AK272-AK268,""),IF(AND(AK267&lt;&gt;"",LEFT(AG267,2)&lt;&gt;"Va",AK267&lt;&gt;"H. Sale Real"),IF(AK272-AK267&lt;0.208333333333333,AK272-AK267,""),""))))),""),"")</f>
        <v/>
      </c>
      <c r="AY271" s="87" t="n"/>
      <c r="AZ271" s="89" t="n"/>
      <c r="BA271" s="87" t="n"/>
      <c r="BB271" s="89" t="n"/>
      <c r="BC271" s="91" t="n"/>
      <c r="BD271" s="122">
        <f>IF(AK271&lt;&gt;"",IF(AND(BD270&lt;&gt;"IE",AT271&lt;&gt;0,AV271&lt;&gt;""),IF(IFERROR((AT271/AV271),0) &lt;=1,IFERROR(AT271/AV271,""),1),""),"")</f>
        <v/>
      </c>
      <c r="BE271" s="93" t="n"/>
      <c r="BF271" s="105" t="n"/>
      <c r="FC271" t="inlineStr">
        <is>
          <t>Diccionario 1</t>
        </is>
      </c>
      <c r="FD271" s="15" t="n">
        <v>1270</v>
      </c>
      <c r="FE271" s="15" t="inlineStr">
        <is>
          <t>MDN35025020130</t>
        </is>
      </c>
      <c r="FF271" s="15" t="inlineStr">
        <is>
          <t>LDYECS319S0044021</t>
        </is>
      </c>
      <c r="FG271" s="15" t="inlineStr">
        <is>
          <t>Zhong Tong</t>
        </is>
      </c>
      <c r="FH271" s="15" t="inlineStr">
        <is>
          <t>Lck6122evg</t>
        </is>
      </c>
      <c r="FI271" s="15" t="inlineStr">
        <is>
          <t>ZHONGTONG</t>
        </is>
      </c>
      <c r="FJ271" s="15" t="inlineStr">
        <is>
          <t>LCK6122EVG</t>
        </is>
      </c>
      <c r="FK271" s="15" t="n">
        <v>2025</v>
      </c>
      <c r="FL271" s="15" t="inlineStr">
        <is>
          <t>B</t>
        </is>
      </c>
      <c r="FM271" s="15" t="inlineStr">
        <is>
          <t>PIE ANDINO</t>
        </is>
      </c>
      <c r="FN271" s="15" t="inlineStr">
        <is>
          <t>Pie Andino 31 (Pie Andino 383)</t>
        </is>
      </c>
      <c r="FO271" s="15" t="inlineStr">
        <is>
          <t>Puente Alto</t>
        </is>
      </c>
      <c r="FP271" t="inlineStr">
        <is>
          <t>B</t>
        </is>
      </c>
      <c r="FS271" s="14" t="inlineStr">
        <is>
          <t>3066 / SFWB-10|</t>
        </is>
      </c>
      <c r="FT271" t="inlineStr">
        <is>
          <t>SFWB-10|</t>
        </is>
      </c>
      <c r="FU271" t="inlineStr">
        <is>
          <t>SFWB-10</t>
        </is>
      </c>
      <c r="FV271">
        <f>VLOOKUP(FU271,FD:FL,9,0)</f>
        <v/>
      </c>
      <c r="FZ271" s="51" t="inlineStr">
        <is>
          <t>B19</t>
        </is>
      </c>
      <c r="GA271" s="43" t="n">
        <v>0</v>
      </c>
      <c r="GB271" s="43" t="n">
        <v>0</v>
      </c>
      <c r="GC271" s="43" t="n">
        <v>0</v>
      </c>
      <c r="GD271" s="43" t="n">
        <v>0</v>
      </c>
      <c r="GE271" s="43" t="n">
        <v>0</v>
      </c>
      <c r="GF271" s="43" t="n">
        <v>28.035</v>
      </c>
      <c r="GG271" s="43" t="n">
        <v>25.715</v>
      </c>
      <c r="GH271" s="43" t="n">
        <v>24.01</v>
      </c>
      <c r="GI271" s="43" t="n">
        <v>23.18</v>
      </c>
      <c r="GJ271" s="43" t="n">
        <v>22.62</v>
      </c>
      <c r="GK271" s="43" t="n">
        <v>21.78</v>
      </c>
      <c r="GL271" s="43" t="n">
        <v>20.21</v>
      </c>
      <c r="GM271" s="43" t="n">
        <v>19.08</v>
      </c>
      <c r="GN271" s="43" t="n">
        <v>19.065</v>
      </c>
      <c r="GO271" s="43" t="n">
        <v>19.53</v>
      </c>
      <c r="GP271" s="43" t="n">
        <v>19.675</v>
      </c>
      <c r="GQ271" s="43" t="n">
        <v>19.2</v>
      </c>
      <c r="GR271" s="43" t="n">
        <v>18.865</v>
      </c>
      <c r="GS271" s="43" t="n">
        <v>19.085</v>
      </c>
      <c r="GT271" s="43" t="n">
        <v>19.64</v>
      </c>
      <c r="GU271" s="43" t="n">
        <v>20.125</v>
      </c>
      <c r="GV271" s="43" t="n">
        <v>22.06</v>
      </c>
      <c r="GW271" s="43" t="n">
        <v>21.43</v>
      </c>
      <c r="GX271" s="43" t="n">
        <v>0</v>
      </c>
      <c r="HA271" s="35" t="n">
        <v>41</v>
      </c>
      <c r="HB271" s="35" t="n">
        <v>265</v>
      </c>
    </row>
    <row r="272" ht="15.5" customHeight="1">
      <c r="A272" s="10">
        <f>HOUR(G272)+1</f>
        <v/>
      </c>
      <c r="B272" s="7" t="n"/>
      <c r="C272" s="7" t="n"/>
      <c r="D272" s="85">
        <f>IFERROR(
IF(AND(OR(Planilla!B272="C",Planilla!B272="c"), VLOOKUP(E272,FD:FP,13,0)="C"), "OK",IF(AND(OR(Planilla!B272="C",Planilla!B272="c"), OR(VLOOKUP(E272,FD:FP,13,0)="B", VLOOKUP(E272,FD:FP,13,0)="A")), "DEFICIT",IF(
AND(OR(Planilla!B272="B", Planilla!B272="BPAL"), VLOOKUP(E272,FD:FP,13,0)="B"), "OK",IF(AND(OR(Planilla!B272="B", Planilla!B272="BPAL"), VLOOKUP(E272,FD:FP,13,0)="A"), "DEFICIT",IF(AND(OR(Planilla!B272="B", Planilla!B272="BPAL"), VLOOKUP(E272,FD:FP,13,0)="C"), "SOBREOFERTA",IF(AND(Planilla!B272="A", VLOOKUP(E272,FD:FP,13,0)="A"), "OK",IF(
AND(Planilla!B272="A", OR(VLOOKUP(E272,FD:FP,13,0)="B", VLOOKUP(E272,FD:FP,13,0)="C")), "SOBREOFERTA",""
))))))),"")</f>
        <v/>
      </c>
      <c r="E272" s="8" t="n"/>
      <c r="F272" s="86" t="n"/>
      <c r="G272" s="87" t="n"/>
      <c r="H272" s="88">
        <f>IF(I272="","",IF(AND((I272-G272)&gt;=TIME(0,0,0),(I272-G272)&lt;TIME(0,3,0)),"OK",IF(AND((I272-G272)&gt;=TIME(0,3,0),(I272-G272)&lt;TIME(0,5,0)),"RETRASO DE 3-5 MIN",IF(AND((I272-G272)&gt;=TIME(0,5,0),(I272-G272)&lt;TIME(0,10,0)),"RETRASO DE 5-10 MIN",IF((I272-G272)&gt;=TIME(0,10,0),"RETRASO &gt;10 MIN", IF(AND((G272-I272)&gt;=TIME(0,0,0),(G272-I272)&lt;TIME(0,3,0)),"OK",IF((G272-I272)&gt;=TIME(0,3,0),"ADELANTADO")))))))</f>
        <v/>
      </c>
      <c r="I272" s="89" t="n"/>
      <c r="J272" s="89">
        <f>IF(A272&lt;&gt;"",HLOOKUP(VALUE(TEXT(G272,"h:mm:ss")),IF($C$6="Laboral",$FZ$4:$GX$227,IF($C$6="Sábado",$FZ$231:$GX$452,$FZ$456:$GX$656)),VLOOKUP($C$4,$HF$2:$HH$99,3,0)+IF(C$5="Ida",0,1),1),"")</f>
        <v/>
      </c>
      <c r="K272" s="89">
        <f>IF(A273&lt;&gt;A272,AVERAGEIF(A$9:A272,A272,J$9:J272),"")</f>
        <v/>
      </c>
      <c r="L272" s="89">
        <f>IFERROR(IF(A273&lt;&gt;A272,AVERAGEIF(A$9:A272,A272,S$9:S272),""),"")</f>
        <v/>
      </c>
      <c r="M272" s="89">
        <f>IFERROR(IF(A273&lt;&gt;A272,AVERAGEIF(A$9:A272,A272,T$9:T272),""),"")</f>
        <v/>
      </c>
      <c r="N272" s="89">
        <f t="array" ref="N272">IFERROR(IF(A273&lt;&gt;A272,_xlfn.STDEV.P(IF(A$9:A272=A272,T$9:T272)),""),"")</f>
        <v/>
      </c>
      <c r="O272" s="89">
        <f t="array" ref="O272">IFERROR(IF(A273&lt;&gt;A272,_xlfn.STDEV.P(IF(A$9:A272=A272,S$9:S272)),""),"")</f>
        <v/>
      </c>
      <c r="P272" s="90">
        <f>IFERROR(IF(A272&lt;&gt;A273,MAX((((M272*24*60)/2)*(1+POWER((((N272*24*60) / (M272*24*60) )),2))) + ((M272*24*60 )*-0.1 + (K272*0.015)) +1,(((M272*24*60)/2)*(1+POWER((((N272*24*60) / (M272*24*60 ))),2)))),""),"")</f>
        <v/>
      </c>
      <c r="Q272" s="90">
        <f>IF(AND(O272&lt;&gt;"",L272&lt;&gt;""),IF(A272&lt;&gt;A273,((L272*24*60) / 2 ) * (1 + POWER(((O272*24*60) / (L272*24*60)),2)),""),"")</f>
        <v/>
      </c>
      <c r="R272" s="90">
        <f>IF(Q272&lt;&gt;"",MAX(P272,Q272),"")</f>
        <v/>
      </c>
      <c r="S272" s="89">
        <f>IF(I272&lt;&gt;"H. Sale Real",IF(AND(I273&lt;&gt;"",LEFT(C273,2)&lt;&gt;"Va"),IF(AND(I272&lt;&gt;"",LEFT(C272,2)&lt;&gt;"Va",I272&lt;&gt;"H. Sale Real"),IF(I273-I272&lt;0.208333333333333,I273-I272,""),IF(AND(I271&lt;&gt;"",LEFT(C271,2)&lt;&gt;"Va",I271&lt;&gt;"H. Sale Real"),IF(I273-I271&lt;0.208333333333333,I273-I271,""),IF(AND(I270&lt;&gt;"",LEFT(C270,2)&lt;&gt;"Va",I270&lt;&gt;"H. Sale Real"),IF(I273-I270&lt;0.208333333333333,I273-I270,""),IF(AND(I269&lt;&gt;"",LEFT(C269,2)&lt;&gt;"Va",I269&lt;&gt;"H. Sale Real"),IF(I273-I269&lt;0.208333333333333,I273-I269,""),IF(AND(I268&lt;&gt;"",LEFT(C268,2)&lt;&gt;"Va",I268&lt;&gt;"H. Sale Real"),IF(I273-I268&lt;0.208333333333333,I273-I268,""),""))))),""),"")</f>
        <v/>
      </c>
      <c r="T272" s="89">
        <f>IF(G272&lt;&gt;"H. Sale Real",IF(AND(G273&lt;&gt;"",LEFT(C273,2)&lt;&gt;"Va"),IF(AND(G272&lt;&gt;"",LEFT(C272,2)&lt;&gt;"Va",G272&lt;&gt;"H. Sale Real"),IF(G273-G272&lt;0.208333333333333,G273-G272,""),IF(AND(G271&lt;&gt;"",LEFT(C271,2)&lt;&gt;"Va",G271&lt;&gt;"H. Sale Real"),IF(G273-G271&lt;0.208333333333333,G273-G271,""),IF(AND(G270&lt;&gt;"",LEFT(C270,2)&lt;&gt;"Va",G270&lt;&gt;"H. Sale Real"),IF(G273-G270&lt;0.208333333333333,G273-G270,""),IF(AND(G269&lt;&gt;"",LEFT(C269,2)&lt;&gt;"Va",G269&lt;&gt;"H. Sale Real"),IF(G273-G269&lt;0.208333333333333,G273-G269,""),IF(AND(G268&lt;&gt;"",LEFT(C268,2)&lt;&gt;"Va",G268&lt;&gt;"H. Sale Real"),IF(G273-G268&lt;0.208333333333333,G273-G268,""),""))))),""),"")</f>
        <v/>
      </c>
      <c r="U272" s="87" t="n"/>
      <c r="V272" s="89" t="n"/>
      <c r="W272" s="87" t="n"/>
      <c r="X272" s="89" t="n"/>
      <c r="Y272" s="91" t="n"/>
      <c r="Z272" s="122">
        <f>IF(G272&lt;&gt;"",IF(AND(Z271&lt;&gt;"IE",P272&lt;&gt;0,R272&lt;&gt;""),IF(IFERROR((P272/R272),0) &lt;=1,IFERROR(P272/R272,""),1),""),"")</f>
        <v/>
      </c>
      <c r="AA272" s="93" t="n"/>
      <c r="AB272" s="2" t="n"/>
      <c r="AE272" s="10">
        <f>HOUR(AK272)+1</f>
        <v/>
      </c>
      <c r="AF272" s="7" t="n"/>
      <c r="AG272" s="7" t="n"/>
      <c r="AH272" s="86" t="n"/>
      <c r="AI272" s="8" t="n"/>
      <c r="AJ272" s="86" t="n"/>
      <c r="AK272" s="87" t="n"/>
      <c r="AL272" s="88">
        <f>IF(AM272="","",IF(AND((AM272-AK272)&gt;=TIME(0,0,0),(AM272-AK272)&lt;TIME(0,3,0)),"OK",IF(AND((AM272-AK272)&gt;=TIME(0,3,0),(AM272-AK272)&lt;TIME(0,5,0)),"RETRASO DE 3-5 MIN",IF(AND((AM272-AK272)&gt;=TIME(0,5,0),(AM272-AK272)&lt;TIME(0,10,0)),"RETRASO DE 5-10 MIN",IF((AM272-AK272)&gt;=TIME(0,10,0),"RETRASO &gt;10 MIN", IF(AND((AK272-AM272)&gt;=TIME(0,0,0),(AK272-AM272)&lt;TIME(0,3,0)),"OK",IF((AK272-AM272)&gt;=TIME(0,3,0),"ADELANTADO")))))))</f>
        <v/>
      </c>
      <c r="AM272" s="91" t="n"/>
      <c r="AN272" s="89">
        <f>IF(AE272&lt;&gt;"",HLOOKUP(VALUE(TEXT(AK272,"h:mm:ss")),IF($C$6="Laboral",$FZ$4:$GX$227,IF($C$6="Sábado",$FZ$231:$GX$452,$FZ$456:$GX$656)),VLOOKUP($C$4,$HF$2:$HH$99,3,0)+IF(AG$5="Ida",0,1),1),"")</f>
        <v/>
      </c>
      <c r="AO272" s="89">
        <f>IF(AE273&lt;&gt;AE272,AVERAGEIF(AE$9:AE272,AE272,AN$9:AN272),"")</f>
        <v/>
      </c>
      <c r="AP272" s="89">
        <f>IFERROR(IF(AE273&lt;&gt;AE272,AVERAGEIF(AE$9:AE272,AE272,AW$9:AW272),""),"")</f>
        <v/>
      </c>
      <c r="AQ272" s="89">
        <f>IFERROR(IF(AE273&lt;&gt;AE272,AVERAGEIF(AE$9:AE272,AE272,AX$9:AX272),""),"")</f>
        <v/>
      </c>
      <c r="AR272" s="89">
        <f t="array" ref="AR272">IFERROR(IF(AE273&lt;&gt;AE272,_xlfn.STDEV.P(IF(AE$9:AE272=AE272,AX$9:AX272)),""),"")</f>
        <v/>
      </c>
      <c r="AS272" s="89">
        <f t="array" ref="AS272">IFERROR(IF(AE273&lt;&gt;AE272,_xlfn.STDEV.P(IF(AE$9:AE272=AE272,AW$9:AW272)),""),"")</f>
        <v/>
      </c>
      <c r="AT272" s="90">
        <f>IFERROR(IF(AE272&lt;&gt;AE273,MAX((((AQ272*24*60)/2)*(1+POWER((((AR272*24*60) / (AQ272*24*60) )),2))) + ((AQ272*24*60 )*-0.1 + (AO272*0.015)) +1,(((AQ272*24*60)/2)*(1+POWER((((AR272*24*60) / (AQ272*24*60 ))),2)))),""),"")</f>
        <v/>
      </c>
      <c r="AU272" s="90">
        <f>IF(AND(AS272&lt;&gt;"",AP272&lt;&gt;""),IF(AE272&lt;&gt;AE273,((AP272*24*60) / 2 ) * (1 + POWER(((AS272*24*60) / (AP272*24*60)),2)),""),"")</f>
        <v/>
      </c>
      <c r="AV272" s="90">
        <f>IF(AU272&lt;&gt;"",MAX(AT272,AU272),"")</f>
        <v/>
      </c>
      <c r="AW272" s="89">
        <f>IF(AM272&lt;&gt;"H. Sale Real",IF(AND(AM273&lt;&gt;"",LEFT(AG273,2)&lt;&gt;"Va"),IF(AND(AM272&lt;&gt;"",LEFT(AG272,2)&lt;&gt;"Va",AM272&lt;&gt;"H. Sale Real"),IF(AM273-AM272&lt;0.208333333333333,AM273-AM272,""),IF(AND(AM271&lt;&gt;"",LEFT(AG271,2)&lt;&gt;"Va",AM271&lt;&gt;"H. Sale Real"),IF(AM273-AM271&lt;0.208333333333333,AM273-AM271,""),IF(AND(AM270&lt;&gt;"",LEFT(AG270,2)&lt;&gt;"Va",AM270&lt;&gt;"H. Sale Real"),IF(AM273-AM270&lt;0.208333333333333,AM273-AM270,""),IF(AND(AM269&lt;&gt;"",LEFT(AG269,2)&lt;&gt;"Va",AM269&lt;&gt;"H. Sale Real"),IF(AM273-AM269&lt;0.208333333333333,AM273-AM269,""),IF(AND(AM268&lt;&gt;"",LEFT(AG268,2)&lt;&gt;"Va",AM268&lt;&gt;"H. Sale Real"),IF(AM273-AM268&lt;0.208333333333333,AM273-AM268,""),""))))),""),"")</f>
        <v/>
      </c>
      <c r="AX272" s="89">
        <f>IF(AK272&lt;&gt;"H. Sale Real",IF(AND(AK273&lt;&gt;"",LEFT(AG273,2)&lt;&gt;"Va"),IF(AND(AK272&lt;&gt;"",LEFT(AG272,2)&lt;&gt;"Va",AK272&lt;&gt;"H. Sale Real"),IF(AK273-AK272&lt;0.208333333333333,AK273-AK272,""),IF(AND(AK271&lt;&gt;"",LEFT(AG271,2)&lt;&gt;"Va",AK271&lt;&gt;"H. Sale Real"),IF(AK273-AK271&lt;0.208333333333333,AK273-AK271,""),IF(AND(AK270&lt;&gt;"",LEFT(AG270,2)&lt;&gt;"NC",AK270&lt;&gt;"H. Sale Real"),IF(AK273-AK270&lt;0.208333333333333,AK273-AK270,""),IF(AND(AK269&lt;&gt;"",LEFT(AG269,2)&lt;&gt;"Va",AK269&lt;&gt;"H. Sale Real"),IF(AK273-AK269&lt;0.208333333333333,AK273-AK269,""),IF(AND(AK268&lt;&gt;"",LEFT(AG268,2)&lt;&gt;"Va",AK268&lt;&gt;"H. Sale Real"),IF(AK273-AK268&lt;0.208333333333333,AK273-AK268,""),""))))),""),"")</f>
        <v/>
      </c>
      <c r="AY272" s="87" t="n"/>
      <c r="AZ272" s="89" t="n"/>
      <c r="BA272" s="87" t="n"/>
      <c r="BB272" s="89" t="n"/>
      <c r="BC272" s="91" t="n"/>
      <c r="BD272" s="122">
        <f>IF(AK272&lt;&gt;"",IF(AND(BD271&lt;&gt;"IE",AT272&lt;&gt;0,AV272&lt;&gt;""),IF(IFERROR((AT272/AV272),0) &lt;=1,IFERROR(AT272/AV272,""),1),""),"")</f>
        <v/>
      </c>
      <c r="BE272" s="93" t="n"/>
      <c r="BF272" s="105" t="n"/>
      <c r="FC272" t="inlineStr">
        <is>
          <t>Diccionario 1</t>
        </is>
      </c>
      <c r="FD272" s="15" t="n">
        <v>1271</v>
      </c>
      <c r="FE272" s="15" t="inlineStr">
        <is>
          <t>MDN35025020025</t>
        </is>
      </c>
      <c r="FF272" s="15" t="inlineStr">
        <is>
          <t>LDYECS313S0044001</t>
        </is>
      </c>
      <c r="FG272" s="15" t="inlineStr">
        <is>
          <t>Zhong Tong</t>
        </is>
      </c>
      <c r="FH272" s="15" t="inlineStr">
        <is>
          <t>Lck6122evg</t>
        </is>
      </c>
      <c r="FI272" s="15" t="inlineStr">
        <is>
          <t>ZHONGTONG</t>
        </is>
      </c>
      <c r="FJ272" s="15" t="inlineStr">
        <is>
          <t>LCK6122EVG</t>
        </is>
      </c>
      <c r="FK272" s="15" t="n">
        <v>2025</v>
      </c>
      <c r="FL272" s="15" t="inlineStr">
        <is>
          <t>B</t>
        </is>
      </c>
      <c r="FM272" s="15" t="inlineStr">
        <is>
          <t>CERRILLOS</t>
        </is>
      </c>
      <c r="FN272" s="15" t="inlineStr">
        <is>
          <t>Calle Uno 7371</t>
        </is>
      </c>
      <c r="FO272" s="15" t="inlineStr">
        <is>
          <t>Cerrillos</t>
        </is>
      </c>
      <c r="FP272" t="inlineStr">
        <is>
          <t>B</t>
        </is>
      </c>
      <c r="FS272" s="14" t="inlineStr">
        <is>
          <t>3066 / SFWB-10|</t>
        </is>
      </c>
      <c r="FT272" t="inlineStr">
        <is>
          <t>SFWB-10|</t>
        </is>
      </c>
      <c r="FU272" t="inlineStr">
        <is>
          <t>SFWB-10</t>
        </is>
      </c>
      <c r="FV272">
        <f>VLOOKUP(FU272,FD:FL,9,0)</f>
        <v/>
      </c>
      <c r="FZ272" s="51" t="inlineStr">
        <is>
          <t>F02</t>
        </is>
      </c>
      <c r="GA272" s="43" t="n">
        <v>0</v>
      </c>
      <c r="GB272" s="43" t="n">
        <v>0</v>
      </c>
      <c r="GC272" s="43" t="n">
        <v>0</v>
      </c>
      <c r="GD272" s="43" t="n">
        <v>0</v>
      </c>
      <c r="GE272" s="43" t="n">
        <v>0</v>
      </c>
      <c r="GF272" s="43" t="n">
        <v>11.01</v>
      </c>
      <c r="GG272" s="43" t="n">
        <v>21.25</v>
      </c>
      <c r="GH272" s="43" t="n">
        <v>20.25</v>
      </c>
      <c r="GI272" s="43" t="n">
        <v>19.73</v>
      </c>
      <c r="GJ272" s="43" t="n">
        <v>19.03</v>
      </c>
      <c r="GK272" s="43" t="n">
        <v>17.9</v>
      </c>
      <c r="GL272" s="43" t="n">
        <v>16.975</v>
      </c>
      <c r="GM272" s="43" t="n">
        <v>15.58</v>
      </c>
      <c r="GN272" s="43" t="n">
        <v>15.285</v>
      </c>
      <c r="GO272" s="43" t="n">
        <v>16.51</v>
      </c>
      <c r="GP272" s="43" t="n">
        <v>16.24</v>
      </c>
      <c r="GQ272" s="43" t="n">
        <v>15.43</v>
      </c>
      <c r="GR272" s="43" t="n">
        <v>14.85</v>
      </c>
      <c r="GS272" s="43" t="n">
        <v>14.96</v>
      </c>
      <c r="GT272" s="43" t="n">
        <v>16.34</v>
      </c>
      <c r="GU272" s="43" t="n">
        <v>17.11</v>
      </c>
      <c r="GV272" s="43" t="n">
        <v>18.195</v>
      </c>
      <c r="GW272" s="43" t="n">
        <v>19.2</v>
      </c>
      <c r="GX272" s="43" t="n">
        <v>0</v>
      </c>
      <c r="HA272" s="35" t="n">
        <v>42</v>
      </c>
      <c r="HB272" s="35" t="n">
        <v>266</v>
      </c>
    </row>
    <row r="273" ht="15.5" customHeight="1">
      <c r="A273" s="10">
        <f>HOUR(G273)+1</f>
        <v/>
      </c>
      <c r="B273" s="7" t="n"/>
      <c r="C273" s="7" t="n"/>
      <c r="D273" s="85">
        <f>IFERROR(
IF(AND(OR(Planilla!B273="C",Planilla!B273="c"), VLOOKUP(E273,FD:FP,13,0)="C"), "OK",IF(AND(OR(Planilla!B273="C",Planilla!B273="c"), OR(VLOOKUP(E273,FD:FP,13,0)="B", VLOOKUP(E273,FD:FP,13,0)="A")), "DEFICIT",IF(
AND(OR(Planilla!B273="B", Planilla!B273="BPAL"), VLOOKUP(E273,FD:FP,13,0)="B"), "OK",IF(AND(OR(Planilla!B273="B", Planilla!B273="BPAL"), VLOOKUP(E273,FD:FP,13,0)="A"), "DEFICIT",IF(AND(OR(Planilla!B273="B", Planilla!B273="BPAL"), VLOOKUP(E273,FD:FP,13,0)="C"), "SOBREOFERTA",IF(AND(Planilla!B273="A", VLOOKUP(E273,FD:FP,13,0)="A"), "OK",IF(
AND(Planilla!B273="A", OR(VLOOKUP(E273,FD:FP,13,0)="B", VLOOKUP(E273,FD:FP,13,0)="C")), "SOBREOFERTA",""
))))))),"")</f>
        <v/>
      </c>
      <c r="E273" s="8" t="n"/>
      <c r="F273" s="86" t="n"/>
      <c r="G273" s="87" t="n"/>
      <c r="H273" s="88">
        <f>IF(I273="","",IF(AND((I273-G273)&gt;=TIME(0,0,0),(I273-G273)&lt;TIME(0,3,0)),"OK",IF(AND((I273-G273)&gt;=TIME(0,3,0),(I273-G273)&lt;TIME(0,5,0)),"RETRASO DE 3-5 MIN",IF(AND((I273-G273)&gt;=TIME(0,5,0),(I273-G273)&lt;TIME(0,10,0)),"RETRASO DE 5-10 MIN",IF((I273-G273)&gt;=TIME(0,10,0),"RETRASO &gt;10 MIN", IF(AND((G273-I273)&gt;=TIME(0,0,0),(G273-I273)&lt;TIME(0,3,0)),"OK",IF((G273-I273)&gt;=TIME(0,3,0),"ADELANTADO")))))))</f>
        <v/>
      </c>
      <c r="I273" s="89" t="n"/>
      <c r="J273" s="89">
        <f>IF(A273&lt;&gt;"",HLOOKUP(VALUE(TEXT(G273,"h:mm:ss")),IF($C$6="Laboral",$FZ$4:$GX$227,IF($C$6="Sábado",$FZ$231:$GX$452,$FZ$456:$GX$656)),VLOOKUP($C$4,$HF$2:$HH$99,3,0)+IF(C$5="Ida",0,1),1),"")</f>
        <v/>
      </c>
      <c r="K273" s="89">
        <f>IF(A274&lt;&gt;A273,AVERAGEIF(A$9:A273,A273,J$9:J273),"")</f>
        <v/>
      </c>
      <c r="L273" s="89">
        <f>IFERROR(IF(A274&lt;&gt;A273,AVERAGEIF(A$9:A273,A273,S$9:S273),""),"")</f>
        <v/>
      </c>
      <c r="M273" s="89">
        <f>IFERROR(IF(A274&lt;&gt;A273,AVERAGEIF(A$9:A273,A273,T$9:T273),""),"")</f>
        <v/>
      </c>
      <c r="N273" s="89">
        <f t="array" ref="N273">IFERROR(IF(A274&lt;&gt;A273,_xlfn.STDEV.P(IF(A$9:A273=A273,T$9:T273)),""),"")</f>
        <v/>
      </c>
      <c r="O273" s="89">
        <f t="array" ref="O273">IFERROR(IF(A274&lt;&gt;A273,_xlfn.STDEV.P(IF(A$9:A273=A273,S$9:S273)),""),"")</f>
        <v/>
      </c>
      <c r="P273" s="90">
        <f>IFERROR(IF(A273&lt;&gt;A274,MAX((((M273*24*60)/2)*(1+POWER((((N273*24*60) / (M273*24*60) )),2))) + ((M273*24*60 )*-0.1 + (K273*0.015)) +1,(((M273*24*60)/2)*(1+POWER((((N273*24*60) / (M273*24*60 ))),2)))),""),"")</f>
        <v/>
      </c>
      <c r="Q273" s="90">
        <f>IF(AND(O273&lt;&gt;"",L273&lt;&gt;""),IF(A273&lt;&gt;A274,((L273*24*60) / 2 ) * (1 + POWER(((O273*24*60) / (L273*24*60)),2)),""),"")</f>
        <v/>
      </c>
      <c r="R273" s="90">
        <f>IF(Q273&lt;&gt;"",MAX(P273,Q273),"")</f>
        <v/>
      </c>
      <c r="S273" s="89">
        <f>IF(I273&lt;&gt;"H. Sale Real",IF(AND(I274&lt;&gt;"",LEFT(C274,2)&lt;&gt;"Va"),IF(AND(I273&lt;&gt;"",LEFT(C273,2)&lt;&gt;"Va",I273&lt;&gt;"H. Sale Real"),IF(I274-I273&lt;0.208333333333333,I274-I273,""),IF(AND(I272&lt;&gt;"",LEFT(C272,2)&lt;&gt;"Va",I272&lt;&gt;"H. Sale Real"),IF(I274-I272&lt;0.208333333333333,I274-I272,""),IF(AND(I271&lt;&gt;"",LEFT(C271,2)&lt;&gt;"Va",I271&lt;&gt;"H. Sale Real"),IF(I274-I271&lt;0.208333333333333,I274-I271,""),IF(AND(I270&lt;&gt;"",LEFT(C270,2)&lt;&gt;"Va",I270&lt;&gt;"H. Sale Real"),IF(I274-I270&lt;0.208333333333333,I274-I270,""),IF(AND(I269&lt;&gt;"",LEFT(C269,2)&lt;&gt;"Va",I269&lt;&gt;"H. Sale Real"),IF(I274-I269&lt;0.208333333333333,I274-I269,""),""))))),""),"")</f>
        <v/>
      </c>
      <c r="T273" s="89">
        <f>IF(G273&lt;&gt;"H. Sale Real",IF(AND(G274&lt;&gt;"",LEFT(C274,2)&lt;&gt;"Va"),IF(AND(G273&lt;&gt;"",LEFT(C273,2)&lt;&gt;"Va",G273&lt;&gt;"H. Sale Real"),IF(G274-G273&lt;0.208333333333333,G274-G273,""),IF(AND(G272&lt;&gt;"",LEFT(C272,2)&lt;&gt;"Va",G272&lt;&gt;"H. Sale Real"),IF(G274-G272&lt;0.208333333333333,G274-G272,""),IF(AND(G271&lt;&gt;"",LEFT(C271,2)&lt;&gt;"Va",G271&lt;&gt;"H. Sale Real"),IF(G274-G271&lt;0.208333333333333,G274-G271,""),IF(AND(G270&lt;&gt;"",LEFT(C270,2)&lt;&gt;"Va",G270&lt;&gt;"H. Sale Real"),IF(G274-G270&lt;0.208333333333333,G274-G270,""),IF(AND(G269&lt;&gt;"",LEFT(C269,2)&lt;&gt;"Va",G269&lt;&gt;"H. Sale Real"),IF(G274-G269&lt;0.208333333333333,G274-G269,""),""))))),""),"")</f>
        <v/>
      </c>
      <c r="U273" s="87" t="n"/>
      <c r="V273" s="89" t="n"/>
      <c r="W273" s="87" t="n"/>
      <c r="X273" s="89" t="n"/>
      <c r="Y273" s="91" t="n"/>
      <c r="Z273" s="122">
        <f>IF(G273&lt;&gt;"",IF(AND(Z272&lt;&gt;"IE",P273&lt;&gt;0,R273&lt;&gt;""),IF(IFERROR((P273/R273),0) &lt;=1,IFERROR(P273/R273,""),1),""),"")</f>
        <v/>
      </c>
      <c r="AA273" s="93" t="n"/>
      <c r="AB273" s="2" t="n"/>
      <c r="AE273" s="10">
        <f>HOUR(AK273)+1</f>
        <v/>
      </c>
      <c r="AF273" s="7" t="n"/>
      <c r="AG273" s="7" t="n"/>
      <c r="AH273" s="86" t="n"/>
      <c r="AI273" s="8" t="n"/>
      <c r="AJ273" s="86" t="n"/>
      <c r="AK273" s="87" t="n"/>
      <c r="AL273" s="88">
        <f>IF(AM273="","",IF(AND((AM273-AK273)&gt;=TIME(0,0,0),(AM273-AK273)&lt;TIME(0,3,0)),"OK",IF(AND((AM273-AK273)&gt;=TIME(0,3,0),(AM273-AK273)&lt;TIME(0,5,0)),"RETRASO DE 3-5 MIN",IF(AND((AM273-AK273)&gt;=TIME(0,5,0),(AM273-AK273)&lt;TIME(0,10,0)),"RETRASO DE 5-10 MIN",IF((AM273-AK273)&gt;=TIME(0,10,0),"RETRASO &gt;10 MIN", IF(AND((AK273-AM273)&gt;=TIME(0,0,0),(AK273-AM273)&lt;TIME(0,3,0)),"OK",IF((AK273-AM273)&gt;=TIME(0,3,0),"ADELANTADO")))))))</f>
        <v/>
      </c>
      <c r="AM273" s="91" t="n"/>
      <c r="AN273" s="89">
        <f>IF(AE273&lt;&gt;"",HLOOKUP(VALUE(TEXT(AK273,"h:mm:ss")),IF($C$6="Laboral",$FZ$4:$GX$227,IF($C$6="Sábado",$FZ$231:$GX$452,$FZ$456:$GX$656)),VLOOKUP($C$4,$HF$2:$HH$99,3,0)+IF(AG$5="Ida",0,1),1),"")</f>
        <v/>
      </c>
      <c r="AO273" s="89">
        <f>IF(AE274&lt;&gt;AE273,AVERAGEIF(AE$9:AE273,AE273,AN$9:AN273),"")</f>
        <v/>
      </c>
      <c r="AP273" s="89">
        <f>IFERROR(IF(AE274&lt;&gt;AE273,AVERAGEIF(AE$9:AE273,AE273,AW$9:AW273),""),"")</f>
        <v/>
      </c>
      <c r="AQ273" s="89">
        <f>IFERROR(IF(AE274&lt;&gt;AE273,AVERAGEIF(AE$9:AE273,AE273,AX$9:AX273),""),"")</f>
        <v/>
      </c>
      <c r="AR273" s="89">
        <f t="array" ref="AR273">IFERROR(IF(AE274&lt;&gt;AE273,_xlfn.STDEV.P(IF(AE$9:AE273=AE273,AX$9:AX273)),""),"")</f>
        <v/>
      </c>
      <c r="AS273" s="89">
        <f t="array" ref="AS273">IFERROR(IF(AE274&lt;&gt;AE273,_xlfn.STDEV.P(IF(AE$9:AE273=AE273,AW$9:AW273)),""),"")</f>
        <v/>
      </c>
      <c r="AT273" s="90">
        <f>IFERROR(IF(AE273&lt;&gt;AE274,MAX((((AQ273*24*60)/2)*(1+POWER((((AR273*24*60) / (AQ273*24*60) )),2))) + ((AQ273*24*60 )*-0.1 + (AO273*0.015)) +1,(((AQ273*24*60)/2)*(1+POWER((((AR273*24*60) / (AQ273*24*60 ))),2)))),""),"")</f>
        <v/>
      </c>
      <c r="AU273" s="90">
        <f>IF(AND(AS273&lt;&gt;"",AP273&lt;&gt;""),IF(AE273&lt;&gt;AE274,((AP273*24*60) / 2 ) * (1 + POWER(((AS273*24*60) / (AP273*24*60)),2)),""),"")</f>
        <v/>
      </c>
      <c r="AV273" s="90">
        <f>IF(AU273&lt;&gt;"",MAX(AT273,AU273),"")</f>
        <v/>
      </c>
      <c r="AW273" s="89">
        <f>IF(AM273&lt;&gt;"H. Sale Real",IF(AND(AM274&lt;&gt;"",LEFT(AG274,2)&lt;&gt;"Va"),IF(AND(AM273&lt;&gt;"",LEFT(AG273,2)&lt;&gt;"Va",AM273&lt;&gt;"H. Sale Real"),IF(AM274-AM273&lt;0.208333333333333,AM274-AM273,""),IF(AND(AM272&lt;&gt;"",LEFT(AG272,2)&lt;&gt;"Va",AM272&lt;&gt;"H. Sale Real"),IF(AM274-AM272&lt;0.208333333333333,AM274-AM272,""),IF(AND(AM271&lt;&gt;"",LEFT(AG271,2)&lt;&gt;"Va",AM271&lt;&gt;"H. Sale Real"),IF(AM274-AM271&lt;0.208333333333333,AM274-AM271,""),IF(AND(AM270&lt;&gt;"",LEFT(AG270,2)&lt;&gt;"Va",AM270&lt;&gt;"H. Sale Real"),IF(AM274-AM270&lt;0.208333333333333,AM274-AM270,""),IF(AND(AM269&lt;&gt;"",LEFT(AG269,2)&lt;&gt;"Va",AM269&lt;&gt;"H. Sale Real"),IF(AM274-AM269&lt;0.208333333333333,AM274-AM269,""),""))))),""),"")</f>
        <v/>
      </c>
      <c r="AX273" s="89">
        <f>IF(AK273&lt;&gt;"H. Sale Real",IF(AND(AK274&lt;&gt;"",LEFT(AG274,2)&lt;&gt;"Va"),IF(AND(AK273&lt;&gt;"",LEFT(AG273,2)&lt;&gt;"Va",AK273&lt;&gt;"H. Sale Real"),IF(AK274-AK273&lt;0.208333333333333,AK274-AK273,""),IF(AND(AK272&lt;&gt;"",LEFT(AG272,2)&lt;&gt;"Va",AK272&lt;&gt;"H. Sale Real"),IF(AK274-AK272&lt;0.208333333333333,AK274-AK272,""),IF(AND(AK271&lt;&gt;"",LEFT(AG271,2)&lt;&gt;"NC",AK271&lt;&gt;"H. Sale Real"),IF(AK274-AK271&lt;0.208333333333333,AK274-AK271,""),IF(AND(AK270&lt;&gt;"",LEFT(AG270,2)&lt;&gt;"Va",AK270&lt;&gt;"H. Sale Real"),IF(AK274-AK270&lt;0.208333333333333,AK274-AK270,""),IF(AND(AK269&lt;&gt;"",LEFT(AG269,2)&lt;&gt;"Va",AK269&lt;&gt;"H. Sale Real"),IF(AK274-AK269&lt;0.208333333333333,AK274-AK269,""),""))))),""),"")</f>
        <v/>
      </c>
      <c r="AY273" s="87" t="n"/>
      <c r="AZ273" s="89" t="n"/>
      <c r="BA273" s="87" t="n"/>
      <c r="BB273" s="89" t="n"/>
      <c r="BC273" s="91" t="n"/>
      <c r="BD273" s="122">
        <f>IF(AK273&lt;&gt;"",IF(AND(BD272&lt;&gt;"IE",AT273&lt;&gt;0,AV273&lt;&gt;""),IF(IFERROR((AT273/AV273),0) &lt;=1,IFERROR(AT273/AV273,""),1),""),"")</f>
        <v/>
      </c>
      <c r="BE273" s="93" t="n"/>
      <c r="BF273" s="105" t="n"/>
      <c r="FC273" t="inlineStr">
        <is>
          <t>Diccionario 1</t>
        </is>
      </c>
      <c r="FD273" s="15" t="n">
        <v>1272</v>
      </c>
      <c r="FE273" s="15" t="inlineStr">
        <is>
          <t>MDN35025020054</t>
        </is>
      </c>
      <c r="FF273" s="15" t="inlineStr">
        <is>
          <t>LDYECS311S0044000</t>
        </is>
      </c>
      <c r="FG273" s="15" t="inlineStr">
        <is>
          <t>Zhong Tong</t>
        </is>
      </c>
      <c r="FH273" s="15" t="inlineStr">
        <is>
          <t>Lck6122evg</t>
        </is>
      </c>
      <c r="FI273" s="15" t="inlineStr">
        <is>
          <t>ZHONGTONG</t>
        </is>
      </c>
      <c r="FJ273" s="15" t="inlineStr">
        <is>
          <t>LCK6122EVG</t>
        </is>
      </c>
      <c r="FK273" s="15" t="n">
        <v>2025</v>
      </c>
      <c r="FL273" s="15" t="inlineStr">
        <is>
          <t>B</t>
        </is>
      </c>
      <c r="FM273" s="15" t="inlineStr">
        <is>
          <t>PIE ANDINO</t>
        </is>
      </c>
      <c r="FN273" s="15" t="inlineStr">
        <is>
          <t>Pie Andino 31 (Pie Andino 383)</t>
        </is>
      </c>
      <c r="FO273" s="15" t="inlineStr">
        <is>
          <t>Puente Alto</t>
        </is>
      </c>
      <c r="FP273" t="inlineStr">
        <is>
          <t>B</t>
        </is>
      </c>
      <c r="FS273" s="14" t="inlineStr">
        <is>
          <t>3066 / SFWB-10|</t>
        </is>
      </c>
      <c r="FT273" t="inlineStr">
        <is>
          <t>SFWB-10|</t>
        </is>
      </c>
      <c r="FU273" t="inlineStr">
        <is>
          <t>SFWB-10</t>
        </is>
      </c>
      <c r="FV273">
        <f>VLOOKUP(FU273,FD:FL,9,0)</f>
        <v/>
      </c>
      <c r="FZ273" s="51" t="inlineStr">
        <is>
          <t>F03c</t>
        </is>
      </c>
      <c r="GA273" s="43" t="n">
        <v>0</v>
      </c>
      <c r="GB273" s="43" t="n">
        <v>0</v>
      </c>
      <c r="GC273" s="43" t="n">
        <v>0</v>
      </c>
      <c r="GD273" s="43" t="n">
        <v>0</v>
      </c>
      <c r="GE273" s="43" t="n">
        <v>0</v>
      </c>
      <c r="GF273" s="43" t="n">
        <v>10.215</v>
      </c>
      <c r="GG273" s="43" t="n">
        <v>20.06</v>
      </c>
      <c r="GH273" s="43" t="n">
        <v>19.54</v>
      </c>
      <c r="GI273" s="43" t="n">
        <v>18.215</v>
      </c>
      <c r="GJ273" s="43" t="n">
        <v>16.875</v>
      </c>
      <c r="GK273" s="43" t="n">
        <v>15.495</v>
      </c>
      <c r="GL273" s="43" t="n">
        <v>13.975</v>
      </c>
      <c r="GM273" s="43" t="n">
        <v>13.025</v>
      </c>
      <c r="GN273" s="43" t="n">
        <v>13.46</v>
      </c>
      <c r="GO273" s="43" t="n">
        <v>14.36</v>
      </c>
      <c r="GP273" s="43" t="n">
        <v>14.725</v>
      </c>
      <c r="GQ273" s="43" t="n">
        <v>14.54</v>
      </c>
      <c r="GR273" s="43" t="n">
        <v>14.525</v>
      </c>
      <c r="GS273" s="43" t="n">
        <v>14.99</v>
      </c>
      <c r="GT273" s="43" t="n">
        <v>15.885</v>
      </c>
      <c r="GU273" s="43" t="n">
        <v>16.58</v>
      </c>
      <c r="GV273" s="43" t="n">
        <v>18.01</v>
      </c>
      <c r="GW273" s="43" t="n">
        <v>19.16</v>
      </c>
      <c r="GX273" s="43" t="n">
        <v>0</v>
      </c>
      <c r="HA273" s="35" t="n">
        <v>43</v>
      </c>
      <c r="HB273" s="35" t="n">
        <v>267</v>
      </c>
    </row>
    <row r="274" ht="15.5" customHeight="1">
      <c r="A274" s="10">
        <f>HOUR(G274)+1</f>
        <v/>
      </c>
      <c r="B274" s="7" t="n"/>
      <c r="C274" s="7" t="n"/>
      <c r="D274" s="85">
        <f>IFERROR(
IF(AND(OR(Planilla!B274="C",Planilla!B274="c"), VLOOKUP(E274,FD:FP,13,0)="C"), "OK",IF(AND(OR(Planilla!B274="C",Planilla!B274="c"), OR(VLOOKUP(E274,FD:FP,13,0)="B", VLOOKUP(E274,FD:FP,13,0)="A")), "DEFICIT",IF(
AND(OR(Planilla!B274="B", Planilla!B274="BPAL"), VLOOKUP(E274,FD:FP,13,0)="B"), "OK",IF(AND(OR(Planilla!B274="B", Planilla!B274="BPAL"), VLOOKUP(E274,FD:FP,13,0)="A"), "DEFICIT",IF(AND(OR(Planilla!B274="B", Planilla!B274="BPAL"), VLOOKUP(E274,FD:FP,13,0)="C"), "SOBREOFERTA",IF(AND(Planilla!B274="A", VLOOKUP(E274,FD:FP,13,0)="A"), "OK",IF(
AND(Planilla!B274="A", OR(VLOOKUP(E274,FD:FP,13,0)="B", VLOOKUP(E274,FD:FP,13,0)="C")), "SOBREOFERTA",""
))))))),"")</f>
        <v/>
      </c>
      <c r="E274" s="8" t="n"/>
      <c r="F274" s="86" t="n"/>
      <c r="G274" s="87" t="n"/>
      <c r="H274" s="88">
        <f>IF(I274="","",IF(AND((I274-G274)&gt;=TIME(0,0,0),(I274-G274)&lt;TIME(0,3,0)),"OK",IF(AND((I274-G274)&gt;=TIME(0,3,0),(I274-G274)&lt;TIME(0,5,0)),"RETRASO DE 3-5 MIN",IF(AND((I274-G274)&gt;=TIME(0,5,0),(I274-G274)&lt;TIME(0,10,0)),"RETRASO DE 5-10 MIN",IF((I274-G274)&gt;=TIME(0,10,0),"RETRASO &gt;10 MIN", IF(AND((G274-I274)&gt;=TIME(0,0,0),(G274-I274)&lt;TIME(0,3,0)),"OK",IF((G274-I274)&gt;=TIME(0,3,0),"ADELANTADO")))))))</f>
        <v/>
      </c>
      <c r="I274" s="89" t="n"/>
      <c r="J274" s="89">
        <f>IF(A274&lt;&gt;"",HLOOKUP(VALUE(TEXT(G274,"h:mm:ss")),IF($C$6="Laboral",$FZ$4:$GX$227,IF($C$6="Sábado",$FZ$231:$GX$452,$FZ$456:$GX$656)),VLOOKUP($C$4,$HF$2:$HH$99,3,0)+IF(C$5="Ida",0,1),1),"")</f>
        <v/>
      </c>
      <c r="K274" s="89">
        <f>IF(A275&lt;&gt;A274,AVERAGEIF(A$9:A274,A274,J$9:J274),"")</f>
        <v/>
      </c>
      <c r="L274" s="89">
        <f>IFERROR(IF(A275&lt;&gt;A274,AVERAGEIF(A$9:A274,A274,S$9:S274),""),"")</f>
        <v/>
      </c>
      <c r="M274" s="89">
        <f>IFERROR(IF(A275&lt;&gt;A274,AVERAGEIF(A$9:A274,A274,T$9:T274),""),"")</f>
        <v/>
      </c>
      <c r="N274" s="89">
        <f t="array" ref="N274">IFERROR(IF(A275&lt;&gt;A274,_xlfn.STDEV.P(IF(A$9:A274=A274,T$9:T274)),""),"")</f>
        <v/>
      </c>
      <c r="O274" s="89">
        <f t="array" ref="O274">IFERROR(IF(A275&lt;&gt;A274,_xlfn.STDEV.P(IF(A$9:A274=A274,S$9:S274)),""),"")</f>
        <v/>
      </c>
      <c r="P274" s="90">
        <f>IFERROR(IF(A274&lt;&gt;A275,MAX((((M274*24*60)/2)*(1+POWER((((N274*24*60) / (M274*24*60) )),2))) + ((M274*24*60 )*-0.1 + (K274*0.015)) +1,(((M274*24*60)/2)*(1+POWER((((N274*24*60) / (M274*24*60 ))),2)))),""),"")</f>
        <v/>
      </c>
      <c r="Q274" s="90">
        <f>IF(AND(O274&lt;&gt;"",L274&lt;&gt;""),IF(A274&lt;&gt;A275,((L274*24*60) / 2 ) * (1 + POWER(((O274*24*60) / (L274*24*60)),2)),""),"")</f>
        <v/>
      </c>
      <c r="R274" s="90">
        <f>IF(Q274&lt;&gt;"",MAX(P274,Q274),"")</f>
        <v/>
      </c>
      <c r="S274" s="89">
        <f>IF(I274&lt;&gt;"H. Sale Real",IF(AND(I275&lt;&gt;"",LEFT(C275,2)&lt;&gt;"Va"),IF(AND(I274&lt;&gt;"",LEFT(C274,2)&lt;&gt;"Va",I274&lt;&gt;"H. Sale Real"),IF(I275-I274&lt;0.208333333333333,I275-I274,""),IF(AND(I273&lt;&gt;"",LEFT(C273,2)&lt;&gt;"Va",I273&lt;&gt;"H. Sale Real"),IF(I275-I273&lt;0.208333333333333,I275-I273,""),IF(AND(I272&lt;&gt;"",LEFT(C272,2)&lt;&gt;"Va",I272&lt;&gt;"H. Sale Real"),IF(I275-I272&lt;0.208333333333333,I275-I272,""),IF(AND(I271&lt;&gt;"",LEFT(C271,2)&lt;&gt;"Va",I271&lt;&gt;"H. Sale Real"),IF(I275-I271&lt;0.208333333333333,I275-I271,""),IF(AND(I270&lt;&gt;"",LEFT(C270,2)&lt;&gt;"Va",I270&lt;&gt;"H. Sale Real"),IF(I275-I270&lt;0.208333333333333,I275-I270,""),""))))),""),"")</f>
        <v/>
      </c>
      <c r="T274" s="89">
        <f>IF(G274&lt;&gt;"H. Sale Real",IF(AND(G275&lt;&gt;"",LEFT(C275,2)&lt;&gt;"Va"),IF(AND(G274&lt;&gt;"",LEFT(C274,2)&lt;&gt;"Va",G274&lt;&gt;"H. Sale Real"),IF(G275-G274&lt;0.208333333333333,G275-G274,""),IF(AND(G273&lt;&gt;"",LEFT(C273,2)&lt;&gt;"Va",G273&lt;&gt;"H. Sale Real"),IF(G275-G273&lt;0.208333333333333,G275-G273,""),IF(AND(G272&lt;&gt;"",LEFT(C272,2)&lt;&gt;"Va",G272&lt;&gt;"H. Sale Real"),IF(G275-G272&lt;0.208333333333333,G275-G272,""),IF(AND(G271&lt;&gt;"",LEFT(C271,2)&lt;&gt;"Va",G271&lt;&gt;"H. Sale Real"),IF(G275-G271&lt;0.208333333333333,G275-G271,""),IF(AND(G270&lt;&gt;"",LEFT(C270,2)&lt;&gt;"Va",G270&lt;&gt;"H. Sale Real"),IF(G275-G270&lt;0.208333333333333,G275-G270,""),""))))),""),"")</f>
        <v/>
      </c>
      <c r="U274" s="87" t="n"/>
      <c r="V274" s="89" t="n"/>
      <c r="W274" s="87" t="n"/>
      <c r="X274" s="89" t="n"/>
      <c r="Y274" s="91" t="n"/>
      <c r="Z274" s="122">
        <f>IF(G274&lt;&gt;"",IF(AND(Z273&lt;&gt;"IE",P274&lt;&gt;0,R274&lt;&gt;""),IF(IFERROR((P274/R274),0) &lt;=1,IFERROR(P274/R274,""),1),""),"")</f>
        <v/>
      </c>
      <c r="AA274" s="93" t="n"/>
      <c r="AB274" s="2" t="n"/>
      <c r="AE274" s="10">
        <f>HOUR(AK274)+1</f>
        <v/>
      </c>
      <c r="AF274" s="7" t="n"/>
      <c r="AG274" s="7" t="n"/>
      <c r="AH274" s="86" t="n"/>
      <c r="AI274" s="8" t="n"/>
      <c r="AJ274" s="86" t="n"/>
      <c r="AK274" s="87" t="n"/>
      <c r="AL274" s="88">
        <f>IF(AM274="","",IF(AND((AM274-AK274)&gt;=TIME(0,0,0),(AM274-AK274)&lt;TIME(0,3,0)),"OK",IF(AND((AM274-AK274)&gt;=TIME(0,3,0),(AM274-AK274)&lt;TIME(0,5,0)),"RETRASO DE 3-5 MIN",IF(AND((AM274-AK274)&gt;=TIME(0,5,0),(AM274-AK274)&lt;TIME(0,10,0)),"RETRASO DE 5-10 MIN",IF((AM274-AK274)&gt;=TIME(0,10,0),"RETRASO &gt;10 MIN", IF(AND((AK274-AM274)&gt;=TIME(0,0,0),(AK274-AM274)&lt;TIME(0,3,0)),"OK",IF((AK274-AM274)&gt;=TIME(0,3,0),"ADELANTADO")))))))</f>
        <v/>
      </c>
      <c r="AM274" s="91" t="n"/>
      <c r="AN274" s="89">
        <f>IF(AE274&lt;&gt;"",HLOOKUP(VALUE(TEXT(AK274,"h:mm:ss")),IF($C$6="Laboral",$FZ$4:$GX$227,IF($C$6="Sábado",$FZ$231:$GX$452,$FZ$456:$GX$656)),VLOOKUP($C$4,$HF$2:$HH$99,3,0)+IF(AG$5="Ida",0,1),1),"")</f>
        <v/>
      </c>
      <c r="AO274" s="89">
        <f>IF(AE275&lt;&gt;AE274,AVERAGEIF(AE$9:AE274,AE274,AN$9:AN274),"")</f>
        <v/>
      </c>
      <c r="AP274" s="89">
        <f>IFERROR(IF(AE275&lt;&gt;AE274,AVERAGEIF(AE$9:AE274,AE274,AW$9:AW274),""),"")</f>
        <v/>
      </c>
      <c r="AQ274" s="89">
        <f>IFERROR(IF(AE275&lt;&gt;AE274,AVERAGEIF(AE$9:AE274,AE274,AX$9:AX274),""),"")</f>
        <v/>
      </c>
      <c r="AR274" s="89">
        <f t="array" ref="AR274">IFERROR(IF(AE275&lt;&gt;AE274,_xlfn.STDEV.P(IF(AE$9:AE274=AE274,AX$9:AX274)),""),"")</f>
        <v/>
      </c>
      <c r="AS274" s="89">
        <f t="array" ref="AS274">IFERROR(IF(AE275&lt;&gt;AE274,_xlfn.STDEV.P(IF(AE$9:AE274=AE274,AW$9:AW274)),""),"")</f>
        <v/>
      </c>
      <c r="AT274" s="90">
        <f>IFERROR(IF(AE274&lt;&gt;AE275,MAX((((AQ274*24*60)/2)*(1+POWER((((AR274*24*60) / (AQ274*24*60) )),2))) + ((AQ274*24*60 )*-0.1 + (AO274*0.015)) +1,(((AQ274*24*60)/2)*(1+POWER((((AR274*24*60) / (AQ274*24*60 ))),2)))),""),"")</f>
        <v/>
      </c>
      <c r="AU274" s="90">
        <f>IF(AND(AS274&lt;&gt;"",AP274&lt;&gt;""),IF(AE274&lt;&gt;AE275,((AP274*24*60) / 2 ) * (1 + POWER(((AS274*24*60) / (AP274*24*60)),2)),""),"")</f>
        <v/>
      </c>
      <c r="AV274" s="90">
        <f>IF(AU274&lt;&gt;"",MAX(AT274,AU274),"")</f>
        <v/>
      </c>
      <c r="AW274" s="89">
        <f>IF(AM274&lt;&gt;"H. Sale Real",IF(AND(AM275&lt;&gt;"",LEFT(AG275,2)&lt;&gt;"Va"),IF(AND(AM274&lt;&gt;"",LEFT(AG274,2)&lt;&gt;"Va",AM274&lt;&gt;"H. Sale Real"),IF(AM275-AM274&lt;0.208333333333333,AM275-AM274,""),IF(AND(AM273&lt;&gt;"",LEFT(AG273,2)&lt;&gt;"Va",AM273&lt;&gt;"H. Sale Real"),IF(AM275-AM273&lt;0.208333333333333,AM275-AM273,""),IF(AND(AM272&lt;&gt;"",LEFT(AG272,2)&lt;&gt;"Va",AM272&lt;&gt;"H. Sale Real"),IF(AM275-AM272&lt;0.208333333333333,AM275-AM272,""),IF(AND(AM271&lt;&gt;"",LEFT(AG271,2)&lt;&gt;"Va",AM271&lt;&gt;"H. Sale Real"),IF(AM275-AM271&lt;0.208333333333333,AM275-AM271,""),IF(AND(AM270&lt;&gt;"",LEFT(AG270,2)&lt;&gt;"Va",AM270&lt;&gt;"H. Sale Real"),IF(AM275-AM270&lt;0.208333333333333,AM275-AM270,""),""))))),""),"")</f>
        <v/>
      </c>
      <c r="AX274" s="89">
        <f>IF(AK274&lt;&gt;"H. Sale Real",IF(AND(AK275&lt;&gt;"",LEFT(AG275,2)&lt;&gt;"Va"),IF(AND(AK274&lt;&gt;"",LEFT(AG274,2)&lt;&gt;"Va",AK274&lt;&gt;"H. Sale Real"),IF(AK275-AK274&lt;0.208333333333333,AK275-AK274,""),IF(AND(AK273&lt;&gt;"",LEFT(AG273,2)&lt;&gt;"Va",AK273&lt;&gt;"H. Sale Real"),IF(AK275-AK273&lt;0.208333333333333,AK275-AK273,""),IF(AND(AK272&lt;&gt;"",LEFT(AG272,2)&lt;&gt;"NC",AK272&lt;&gt;"H. Sale Real"),IF(AK275-AK272&lt;0.208333333333333,AK275-AK272,""),IF(AND(AK271&lt;&gt;"",LEFT(AG271,2)&lt;&gt;"Va",AK271&lt;&gt;"H. Sale Real"),IF(AK275-AK271&lt;0.208333333333333,AK275-AK271,""),IF(AND(AK270&lt;&gt;"",LEFT(AG270,2)&lt;&gt;"Va",AK270&lt;&gt;"H. Sale Real"),IF(AK275-AK270&lt;0.208333333333333,AK275-AK270,""),""))))),""),"")</f>
        <v/>
      </c>
      <c r="AY274" s="87" t="n"/>
      <c r="AZ274" s="89" t="n"/>
      <c r="BA274" s="87" t="n"/>
      <c r="BB274" s="89" t="n"/>
      <c r="BC274" s="91" t="n"/>
      <c r="BD274" s="122">
        <f>IF(AK274&lt;&gt;"",IF(AND(BD273&lt;&gt;"IE",AT274&lt;&gt;0,AV274&lt;&gt;""),IF(IFERROR((AT274/AV274),0) &lt;=1,IFERROR(AT274/AV274,""),1),""),"")</f>
        <v/>
      </c>
      <c r="BE274" s="93" t="n"/>
      <c r="BF274" s="105" t="n"/>
      <c r="FC274" t="inlineStr">
        <is>
          <t>Diccionario 1</t>
        </is>
      </c>
      <c r="FD274" s="15" t="n">
        <v>1273</v>
      </c>
      <c r="FE274" s="15" t="inlineStr">
        <is>
          <t>MDN35025020154</t>
        </is>
      </c>
      <c r="FF274" s="15" t="inlineStr">
        <is>
          <t>LDYECS315S0044002</t>
        </is>
      </c>
      <c r="FG274" s="15" t="inlineStr">
        <is>
          <t>Zhong Tong</t>
        </is>
      </c>
      <c r="FH274" s="15" t="inlineStr">
        <is>
          <t>Lck6122evg</t>
        </is>
      </c>
      <c r="FI274" s="15" t="inlineStr">
        <is>
          <t>ZHONGTONG</t>
        </is>
      </c>
      <c r="FJ274" s="15" t="inlineStr">
        <is>
          <t>LCK6122EVG</t>
        </is>
      </c>
      <c r="FK274" s="15" t="n">
        <v>2025</v>
      </c>
      <c r="FL274" s="15" t="inlineStr">
        <is>
          <t>B</t>
        </is>
      </c>
      <c r="FM274" s="15" t="inlineStr">
        <is>
          <t>CERRILLOS</t>
        </is>
      </c>
      <c r="FN274" s="15" t="inlineStr">
        <is>
          <t>Calle Uno 7371</t>
        </is>
      </c>
      <c r="FO274" s="15" t="inlineStr">
        <is>
          <t>Cerrillos</t>
        </is>
      </c>
      <c r="FP274" t="inlineStr">
        <is>
          <t>B</t>
        </is>
      </c>
      <c r="FS274" s="14" t="inlineStr">
        <is>
          <t>3067 / SFWB-73|</t>
        </is>
      </c>
      <c r="FT274" t="inlineStr">
        <is>
          <t>SFWB-73|</t>
        </is>
      </c>
      <c r="FU274" t="inlineStr">
        <is>
          <t>SFWB-73</t>
        </is>
      </c>
      <c r="FV274">
        <f>VLOOKUP(FU274,FD:FL,9,0)</f>
        <v/>
      </c>
      <c r="FZ274" s="51" t="inlineStr">
        <is>
          <t>F05</t>
        </is>
      </c>
      <c r="GA274" s="43" t="n">
        <v>25.89</v>
      </c>
      <c r="GB274" s="43" t="n">
        <v>0</v>
      </c>
      <c r="GC274" s="43" t="n">
        <v>0</v>
      </c>
      <c r="GD274" s="43" t="n">
        <v>0</v>
      </c>
      <c r="GE274" s="43" t="n">
        <v>0</v>
      </c>
      <c r="GF274" s="43" t="n">
        <v>12.135</v>
      </c>
      <c r="GG274" s="43" t="n">
        <v>22.7</v>
      </c>
      <c r="GH274" s="43" t="n">
        <v>20.205</v>
      </c>
      <c r="GI274" s="43" t="n">
        <v>18.645</v>
      </c>
      <c r="GJ274" s="43" t="n">
        <v>18.125</v>
      </c>
      <c r="GK274" s="43" t="n">
        <v>17.335</v>
      </c>
      <c r="GL274" s="43" t="n">
        <v>16.185</v>
      </c>
      <c r="GM274" s="43" t="n">
        <v>15.65</v>
      </c>
      <c r="GN274" s="43" t="n">
        <v>15.45</v>
      </c>
      <c r="GO274" s="43" t="n">
        <v>15.43</v>
      </c>
      <c r="GP274" s="43" t="n">
        <v>15.485</v>
      </c>
      <c r="GQ274" s="43" t="n">
        <v>15.5</v>
      </c>
      <c r="GR274" s="43" t="n">
        <v>15.775</v>
      </c>
      <c r="GS274" s="43" t="n">
        <v>15.925</v>
      </c>
      <c r="GT274" s="43" t="n">
        <v>16.645</v>
      </c>
      <c r="GU274" s="43" t="n">
        <v>17.65</v>
      </c>
      <c r="GV274" s="43" t="n">
        <v>18.995</v>
      </c>
      <c r="GW274" s="43" t="n">
        <v>20.295</v>
      </c>
      <c r="GX274" s="43" t="n">
        <v>23.27</v>
      </c>
      <c r="HA274" s="35" t="n">
        <v>44</v>
      </c>
      <c r="HB274" s="35" t="n">
        <v>268</v>
      </c>
    </row>
    <row r="275" ht="15.5" customHeight="1">
      <c r="A275" s="10">
        <f>HOUR(G275)+1</f>
        <v/>
      </c>
      <c r="B275" s="7" t="n"/>
      <c r="C275" s="7" t="n"/>
      <c r="D275" s="85">
        <f>IFERROR(
IF(AND(OR(Planilla!B275="C",Planilla!B275="c"), VLOOKUP(E275,FD:FP,13,0)="C"), "OK",IF(AND(OR(Planilla!B275="C",Planilla!B275="c"), OR(VLOOKUP(E275,FD:FP,13,0)="B", VLOOKUP(E275,FD:FP,13,0)="A")), "DEFICIT",IF(
AND(OR(Planilla!B275="B", Planilla!B275="BPAL"), VLOOKUP(E275,FD:FP,13,0)="B"), "OK",IF(AND(OR(Planilla!B275="B", Planilla!B275="BPAL"), VLOOKUP(E275,FD:FP,13,0)="A"), "DEFICIT",IF(AND(OR(Planilla!B275="B", Planilla!B275="BPAL"), VLOOKUP(E275,FD:FP,13,0)="C"), "SOBREOFERTA",IF(AND(Planilla!B275="A", VLOOKUP(E275,FD:FP,13,0)="A"), "OK",IF(
AND(Planilla!B275="A", OR(VLOOKUP(E275,FD:FP,13,0)="B", VLOOKUP(E275,FD:FP,13,0)="C")), "SOBREOFERTA",""
))))))),"")</f>
        <v/>
      </c>
      <c r="E275" s="8" t="n"/>
      <c r="F275" s="86" t="n"/>
      <c r="G275" s="87" t="n"/>
      <c r="H275" s="88">
        <f>IF(I275="","",IF(AND((I275-G275)&gt;=TIME(0,0,0),(I275-G275)&lt;TIME(0,3,0)),"OK",IF(AND((I275-G275)&gt;=TIME(0,3,0),(I275-G275)&lt;TIME(0,5,0)),"RETRASO DE 3-5 MIN",IF(AND((I275-G275)&gt;=TIME(0,5,0),(I275-G275)&lt;TIME(0,10,0)),"RETRASO DE 5-10 MIN",IF((I275-G275)&gt;=TIME(0,10,0),"RETRASO &gt;10 MIN", IF(AND((G275-I275)&gt;=TIME(0,0,0),(G275-I275)&lt;TIME(0,3,0)),"OK",IF((G275-I275)&gt;=TIME(0,3,0),"ADELANTADO")))))))</f>
        <v/>
      </c>
      <c r="I275" s="89" t="n"/>
      <c r="J275" s="89">
        <f>IF(A275&lt;&gt;"",HLOOKUP(VALUE(TEXT(G275,"h:mm:ss")),IF($C$6="Laboral",$FZ$4:$GX$227,IF($C$6="Sábado",$FZ$231:$GX$452,$FZ$456:$GX$656)),VLOOKUP($C$4,$HF$2:$HH$99,3,0)+IF(C$5="Ida",0,1),1),"")</f>
        <v/>
      </c>
      <c r="K275" s="89">
        <f>IF(A276&lt;&gt;A275,AVERAGEIF(A$9:A275,A275,J$9:J275),"")</f>
        <v/>
      </c>
      <c r="L275" s="89">
        <f>IFERROR(IF(A276&lt;&gt;A275,AVERAGEIF(A$9:A275,A275,S$9:S275),""),"")</f>
        <v/>
      </c>
      <c r="M275" s="89">
        <f>IFERROR(IF(A276&lt;&gt;A275,AVERAGEIF(A$9:A275,A275,T$9:T275),""),"")</f>
        <v/>
      </c>
      <c r="N275" s="89">
        <f t="array" ref="N275">IFERROR(IF(A276&lt;&gt;A275,_xlfn.STDEV.P(IF(A$9:A275=A275,T$9:T275)),""),"")</f>
        <v/>
      </c>
      <c r="O275" s="89">
        <f t="array" ref="O275">IFERROR(IF(A276&lt;&gt;A275,_xlfn.STDEV.P(IF(A$9:A275=A275,S$9:S275)),""),"")</f>
        <v/>
      </c>
      <c r="P275" s="90">
        <f>IFERROR(IF(A275&lt;&gt;A276,MAX((((M275*24*60)/2)*(1+POWER((((N275*24*60) / (M275*24*60) )),2))) + ((M275*24*60 )*-0.1 + (K275*0.015)) +1,(((M275*24*60)/2)*(1+POWER((((N275*24*60) / (M275*24*60 ))),2)))),""),"")</f>
        <v/>
      </c>
      <c r="Q275" s="90">
        <f>IF(AND(O275&lt;&gt;"",L275&lt;&gt;""),IF(A275&lt;&gt;A276,((L275*24*60) / 2 ) * (1 + POWER(((O275*24*60) / (L275*24*60)),2)),""),"")</f>
        <v/>
      </c>
      <c r="R275" s="90">
        <f>IF(Q275&lt;&gt;"",MAX(P275,Q275),"")</f>
        <v/>
      </c>
      <c r="S275" s="89">
        <f>IF(I275&lt;&gt;"H. Sale Real",IF(AND(I276&lt;&gt;"",LEFT(C276,2)&lt;&gt;"Va"),IF(AND(I275&lt;&gt;"",LEFT(C275,2)&lt;&gt;"Va",I275&lt;&gt;"H. Sale Real"),IF(I276-I275&lt;0.208333333333333,I276-I275,""),IF(AND(I274&lt;&gt;"",LEFT(C274,2)&lt;&gt;"Va",I274&lt;&gt;"H. Sale Real"),IF(I276-I274&lt;0.208333333333333,I276-I274,""),IF(AND(I273&lt;&gt;"",LEFT(C273,2)&lt;&gt;"Va",I273&lt;&gt;"H. Sale Real"),IF(I276-I273&lt;0.208333333333333,I276-I273,""),IF(AND(I272&lt;&gt;"",LEFT(C272,2)&lt;&gt;"Va",I272&lt;&gt;"H. Sale Real"),IF(I276-I272&lt;0.208333333333333,I276-I272,""),IF(AND(I271&lt;&gt;"",LEFT(C271,2)&lt;&gt;"Va",I271&lt;&gt;"H. Sale Real"),IF(I276-I271&lt;0.208333333333333,I276-I271,""),""))))),""),"")</f>
        <v/>
      </c>
      <c r="T275" s="89">
        <f>IF(G275&lt;&gt;"H. Sale Real",IF(AND(G276&lt;&gt;"",LEFT(C276,2)&lt;&gt;"Va"),IF(AND(G275&lt;&gt;"",LEFT(C275,2)&lt;&gt;"Va",G275&lt;&gt;"H. Sale Real"),IF(G276-G275&lt;0.208333333333333,G276-G275,""),IF(AND(G274&lt;&gt;"",LEFT(C274,2)&lt;&gt;"Va",G274&lt;&gt;"H. Sale Real"),IF(G276-G274&lt;0.208333333333333,G276-G274,""),IF(AND(G273&lt;&gt;"",LEFT(C273,2)&lt;&gt;"Va",G273&lt;&gt;"H. Sale Real"),IF(G276-G273&lt;0.208333333333333,G276-G273,""),IF(AND(G272&lt;&gt;"",LEFT(C272,2)&lt;&gt;"Va",G272&lt;&gt;"H. Sale Real"),IF(G276-G272&lt;0.208333333333333,G276-G272,""),IF(AND(G271&lt;&gt;"",LEFT(C271,2)&lt;&gt;"Va",G271&lt;&gt;"H. Sale Real"),IF(G276-G271&lt;0.208333333333333,G276-G271,""),""))))),""),"")</f>
        <v/>
      </c>
      <c r="U275" s="87" t="n"/>
      <c r="V275" s="89" t="n"/>
      <c r="W275" s="87" t="n"/>
      <c r="X275" s="89" t="n"/>
      <c r="Y275" s="91" t="n"/>
      <c r="Z275" s="122">
        <f>IF(G275&lt;&gt;"",IF(AND(Z274&lt;&gt;"IE",P275&lt;&gt;0,R275&lt;&gt;""),IF(IFERROR((P275/R275),0) &lt;=1,IFERROR(P275/R275,""),1),""),"")</f>
        <v/>
      </c>
      <c r="AA275" s="93" t="n"/>
      <c r="AB275" s="2" t="n"/>
      <c r="AE275" s="10">
        <f>HOUR(AK275)+1</f>
        <v/>
      </c>
      <c r="AF275" s="7" t="n"/>
      <c r="AG275" s="7" t="n"/>
      <c r="AH275" s="86" t="n"/>
      <c r="AI275" s="8" t="n"/>
      <c r="AJ275" s="86" t="n"/>
      <c r="AK275" s="87" t="n"/>
      <c r="AL275" s="88">
        <f>IF(AM275="","",IF(AND((AM275-AK275)&gt;=TIME(0,0,0),(AM275-AK275)&lt;TIME(0,3,0)),"OK",IF(AND((AM275-AK275)&gt;=TIME(0,3,0),(AM275-AK275)&lt;TIME(0,5,0)),"RETRASO DE 3-5 MIN",IF(AND((AM275-AK275)&gt;=TIME(0,5,0),(AM275-AK275)&lt;TIME(0,10,0)),"RETRASO DE 5-10 MIN",IF((AM275-AK275)&gt;=TIME(0,10,0),"RETRASO &gt;10 MIN", IF(AND((AK275-AM275)&gt;=TIME(0,0,0),(AK275-AM275)&lt;TIME(0,3,0)),"OK",IF((AK275-AM275)&gt;=TIME(0,3,0),"ADELANTADO")))))))</f>
        <v/>
      </c>
      <c r="AM275" s="91" t="n"/>
      <c r="AN275" s="89">
        <f>IF(AE275&lt;&gt;"",HLOOKUP(VALUE(TEXT(AK275,"h:mm:ss")),IF($C$6="Laboral",$FZ$4:$GX$227,IF($C$6="Sábado",$FZ$231:$GX$452,$FZ$456:$GX$656)),VLOOKUP($C$4,$HF$2:$HH$99,3,0)+IF(AG$5="Ida",0,1),1),"")</f>
        <v/>
      </c>
      <c r="AO275" s="89">
        <f>IF(AE276&lt;&gt;AE275,AVERAGEIF(AE$9:AE275,AE275,AN$9:AN275),"")</f>
        <v/>
      </c>
      <c r="AP275" s="89">
        <f>IFERROR(IF(AE276&lt;&gt;AE275,AVERAGEIF(AE$9:AE275,AE275,AW$9:AW275),""),"")</f>
        <v/>
      </c>
      <c r="AQ275" s="89">
        <f>IFERROR(IF(AE276&lt;&gt;AE275,AVERAGEIF(AE$9:AE275,AE275,AX$9:AX275),""),"")</f>
        <v/>
      </c>
      <c r="AR275" s="89">
        <f t="array" ref="AR275">IFERROR(IF(AE276&lt;&gt;AE275,_xlfn.STDEV.P(IF(AE$9:AE275=AE275,AX$9:AX275)),""),"")</f>
        <v/>
      </c>
      <c r="AS275" s="89">
        <f t="array" ref="AS275">IFERROR(IF(AE276&lt;&gt;AE275,_xlfn.STDEV.P(IF(AE$9:AE275=AE275,AW$9:AW275)),""),"")</f>
        <v/>
      </c>
      <c r="AT275" s="90">
        <f>IFERROR(IF(AE275&lt;&gt;AE276,MAX((((AQ275*24*60)/2)*(1+POWER((((AR275*24*60) / (AQ275*24*60) )),2))) + ((AQ275*24*60 )*-0.1 + (AO275*0.015)) +1,(((AQ275*24*60)/2)*(1+POWER((((AR275*24*60) / (AQ275*24*60 ))),2)))),""),"")</f>
        <v/>
      </c>
      <c r="AU275" s="90">
        <f>IF(AND(AS275&lt;&gt;"",AP275&lt;&gt;""),IF(AE275&lt;&gt;AE276,((AP275*24*60) / 2 ) * (1 + POWER(((AS275*24*60) / (AP275*24*60)),2)),""),"")</f>
        <v/>
      </c>
      <c r="AV275" s="90">
        <f>IF(AU275&lt;&gt;"",MAX(AT275,AU275),"")</f>
        <v/>
      </c>
      <c r="AW275" s="89">
        <f>IF(AM275&lt;&gt;"H. Sale Real",IF(AND(AM276&lt;&gt;"",LEFT(AG276,2)&lt;&gt;"Va"),IF(AND(AM275&lt;&gt;"",LEFT(AG275,2)&lt;&gt;"Va",AM275&lt;&gt;"H. Sale Real"),IF(AM276-AM275&lt;0.208333333333333,AM276-AM275,""),IF(AND(AM274&lt;&gt;"",LEFT(AG274,2)&lt;&gt;"Va",AM274&lt;&gt;"H. Sale Real"),IF(AM276-AM274&lt;0.208333333333333,AM276-AM274,""),IF(AND(AM273&lt;&gt;"",LEFT(AG273,2)&lt;&gt;"Va",AM273&lt;&gt;"H. Sale Real"),IF(AM276-AM273&lt;0.208333333333333,AM276-AM273,""),IF(AND(AM272&lt;&gt;"",LEFT(AG272,2)&lt;&gt;"Va",AM272&lt;&gt;"H. Sale Real"),IF(AM276-AM272&lt;0.208333333333333,AM276-AM272,""),IF(AND(AM271&lt;&gt;"",LEFT(AG271,2)&lt;&gt;"Va",AM271&lt;&gt;"H. Sale Real"),IF(AM276-AM271&lt;0.208333333333333,AM276-AM271,""),""))))),""),"")</f>
        <v/>
      </c>
      <c r="AX275" s="89">
        <f>IF(AK275&lt;&gt;"H. Sale Real",IF(AND(AK276&lt;&gt;"",LEFT(AG276,2)&lt;&gt;"Va"),IF(AND(AK275&lt;&gt;"",LEFT(AG275,2)&lt;&gt;"Va",AK275&lt;&gt;"H. Sale Real"),IF(AK276-AK275&lt;0.208333333333333,AK276-AK275,""),IF(AND(AK274&lt;&gt;"",LEFT(AG274,2)&lt;&gt;"Va",AK274&lt;&gt;"H. Sale Real"),IF(AK276-AK274&lt;0.208333333333333,AK276-AK274,""),IF(AND(AK273&lt;&gt;"",LEFT(AG273,2)&lt;&gt;"NC",AK273&lt;&gt;"H. Sale Real"),IF(AK276-AK273&lt;0.208333333333333,AK276-AK273,""),IF(AND(AK272&lt;&gt;"",LEFT(AG272,2)&lt;&gt;"Va",AK272&lt;&gt;"H. Sale Real"),IF(AK276-AK272&lt;0.208333333333333,AK276-AK272,""),IF(AND(AK271&lt;&gt;"",LEFT(AG271,2)&lt;&gt;"Va",AK271&lt;&gt;"H. Sale Real"),IF(AK276-AK271&lt;0.208333333333333,AK276-AK271,""),""))))),""),"")</f>
        <v/>
      </c>
      <c r="AY275" s="87" t="n"/>
      <c r="AZ275" s="89" t="n"/>
      <c r="BA275" s="87" t="n"/>
      <c r="BB275" s="89" t="n"/>
      <c r="BC275" s="91" t="n"/>
      <c r="BD275" s="122">
        <f>IF(AK275&lt;&gt;"",IF(AND(BD274&lt;&gt;"IE",AT275&lt;&gt;0,AV275&lt;&gt;""),IF(IFERROR((AT275/AV275),0) &lt;=1,IFERROR(AT275/AV275,""),1),""),"")</f>
        <v/>
      </c>
      <c r="BE275" s="93" t="n"/>
      <c r="BF275" s="105" t="n"/>
      <c r="FC275" t="inlineStr">
        <is>
          <t>Diccionario 1</t>
        </is>
      </c>
      <c r="FD275" s="15" t="n">
        <v>1274</v>
      </c>
      <c r="FE275" s="15" t="inlineStr">
        <is>
          <t>MDN35025020121</t>
        </is>
      </c>
      <c r="FF275" s="15" t="inlineStr">
        <is>
          <t>LDYECS314S0044007</t>
        </is>
      </c>
      <c r="FG275" s="15" t="inlineStr">
        <is>
          <t>Zhong Tong</t>
        </is>
      </c>
      <c r="FH275" s="15" t="inlineStr">
        <is>
          <t>Lck6122evg</t>
        </is>
      </c>
      <c r="FI275" s="15" t="inlineStr">
        <is>
          <t>ZHONGTONG</t>
        </is>
      </c>
      <c r="FJ275" s="15" t="inlineStr">
        <is>
          <t>LCK6122EVG</t>
        </is>
      </c>
      <c r="FK275" s="15" t="n">
        <v>2025</v>
      </c>
      <c r="FL275" s="15" t="inlineStr">
        <is>
          <t>B</t>
        </is>
      </c>
      <c r="FM275" s="15" t="inlineStr">
        <is>
          <t>PIE ANDINO</t>
        </is>
      </c>
      <c r="FN275" s="15" t="inlineStr">
        <is>
          <t>Pie Andino 31 (Pie Andino 383)</t>
        </is>
      </c>
      <c r="FO275" s="15" t="inlineStr">
        <is>
          <t>Puente Alto</t>
        </is>
      </c>
      <c r="FP275" t="inlineStr">
        <is>
          <t>B</t>
        </is>
      </c>
      <c r="FS275" s="14" t="inlineStr">
        <is>
          <t>3067 / SFWB-73|</t>
        </is>
      </c>
      <c r="FT275" t="inlineStr">
        <is>
          <t>SFWB-73|</t>
        </is>
      </c>
      <c r="FU275" t="inlineStr">
        <is>
          <t>SFWB-73</t>
        </is>
      </c>
      <c r="FV275">
        <f>VLOOKUP(FU275,FD:FL,9,0)</f>
        <v/>
      </c>
      <c r="FZ275" s="51" t="inlineStr">
        <is>
          <t>F05</t>
        </is>
      </c>
      <c r="GA275" s="43" t="n">
        <v>0</v>
      </c>
      <c r="GB275" s="43" t="n">
        <v>0</v>
      </c>
      <c r="GC275" s="43" t="n">
        <v>0</v>
      </c>
      <c r="GD275" s="43" t="n">
        <v>0</v>
      </c>
      <c r="GE275" s="43" t="n">
        <v>27.125</v>
      </c>
      <c r="GF275" s="43" t="n">
        <v>23.38</v>
      </c>
      <c r="GG275" s="43" t="n">
        <v>20.775</v>
      </c>
      <c r="GH275" s="43" t="n">
        <v>19.455</v>
      </c>
      <c r="GI275" s="43" t="n">
        <v>18.86</v>
      </c>
      <c r="GJ275" s="43" t="n">
        <v>17.845</v>
      </c>
      <c r="GK275" s="43" t="n">
        <v>17.025</v>
      </c>
      <c r="GL275" s="43" t="n">
        <v>16.635</v>
      </c>
      <c r="GM275" s="43" t="n">
        <v>16.04</v>
      </c>
      <c r="GN275" s="43" t="n">
        <v>16.055</v>
      </c>
      <c r="GO275" s="43" t="n">
        <v>16.545</v>
      </c>
      <c r="GP275" s="43" t="n">
        <v>16.36</v>
      </c>
      <c r="GQ275" s="43" t="n">
        <v>16.105</v>
      </c>
      <c r="GR275" s="43" t="n">
        <v>16.45</v>
      </c>
      <c r="GS275" s="43" t="n">
        <v>16.795</v>
      </c>
      <c r="GT275" s="43" t="n">
        <v>17.415</v>
      </c>
      <c r="GU275" s="43" t="n">
        <v>18.035</v>
      </c>
      <c r="GV275" s="43" t="n">
        <v>19.375</v>
      </c>
      <c r="GW275" s="43" t="n">
        <v>21.365</v>
      </c>
      <c r="GX275" s="43" t="n">
        <v>23.545</v>
      </c>
      <c r="HA275" s="35" t="n">
        <v>45</v>
      </c>
      <c r="HB275" s="35" t="n">
        <v>269</v>
      </c>
    </row>
    <row r="276" ht="15.5" customHeight="1">
      <c r="A276" s="10">
        <f>HOUR(G276)+1</f>
        <v/>
      </c>
      <c r="B276" s="7" t="n"/>
      <c r="C276" s="7" t="n"/>
      <c r="D276" s="85">
        <f>IFERROR(
IF(AND(OR(Planilla!B276="C",Planilla!B276="c"), VLOOKUP(E276,FD:FP,13,0)="C"), "OK",IF(AND(OR(Planilla!B276="C",Planilla!B276="c"), OR(VLOOKUP(E276,FD:FP,13,0)="B", VLOOKUP(E276,FD:FP,13,0)="A")), "DEFICIT",IF(
AND(OR(Planilla!B276="B", Planilla!B276="BPAL"), VLOOKUP(E276,FD:FP,13,0)="B"), "OK",IF(AND(OR(Planilla!B276="B", Planilla!B276="BPAL"), VLOOKUP(E276,FD:FP,13,0)="A"), "DEFICIT",IF(AND(OR(Planilla!B276="B", Planilla!B276="BPAL"), VLOOKUP(E276,FD:FP,13,0)="C"), "SOBREOFERTA",IF(AND(Planilla!B276="A", VLOOKUP(E276,FD:FP,13,0)="A"), "OK",IF(
AND(Planilla!B276="A", OR(VLOOKUP(E276,FD:FP,13,0)="B", VLOOKUP(E276,FD:FP,13,0)="C")), "SOBREOFERTA",""
))))))),"")</f>
        <v/>
      </c>
      <c r="E276" s="8" t="n"/>
      <c r="F276" s="86" t="n"/>
      <c r="G276" s="87" t="n"/>
      <c r="H276" s="88">
        <f>IF(I276="","",IF(AND((I276-G276)&gt;=TIME(0,0,0),(I276-G276)&lt;TIME(0,3,0)),"OK",IF(AND((I276-G276)&gt;=TIME(0,3,0),(I276-G276)&lt;TIME(0,5,0)),"RETRASO DE 3-5 MIN",IF(AND((I276-G276)&gt;=TIME(0,5,0),(I276-G276)&lt;TIME(0,10,0)),"RETRASO DE 5-10 MIN",IF((I276-G276)&gt;=TIME(0,10,0),"RETRASO &gt;10 MIN", IF(AND((G276-I276)&gt;=TIME(0,0,0),(G276-I276)&lt;TIME(0,3,0)),"OK",IF((G276-I276)&gt;=TIME(0,3,0),"ADELANTADO")))))))</f>
        <v/>
      </c>
      <c r="I276" s="89" t="n"/>
      <c r="J276" s="89">
        <f>IF(A276&lt;&gt;"",HLOOKUP(VALUE(TEXT(G276,"h:mm:ss")),IF($C$6="Laboral",$FZ$4:$GX$227,IF($C$6="Sábado",$FZ$231:$GX$452,$FZ$456:$GX$656)),VLOOKUP($C$4,$HF$2:$HH$99,3,0)+IF(C$5="Ida",0,1),1),"")</f>
        <v/>
      </c>
      <c r="K276" s="89">
        <f>IF(A277&lt;&gt;A276,AVERAGEIF(A$9:A276,A276,J$9:J276),"")</f>
        <v/>
      </c>
      <c r="L276" s="89">
        <f>IFERROR(IF(A277&lt;&gt;A276,AVERAGEIF(A$9:A276,A276,S$9:S276),""),"")</f>
        <v/>
      </c>
      <c r="M276" s="89">
        <f>IFERROR(IF(A277&lt;&gt;A276,AVERAGEIF(A$9:A276,A276,T$9:T276),""),"")</f>
        <v/>
      </c>
      <c r="N276" s="89">
        <f t="array" ref="N276">IFERROR(IF(A277&lt;&gt;A276,_xlfn.STDEV.P(IF(A$9:A276=A276,T$9:T276)),""),"")</f>
        <v/>
      </c>
      <c r="O276" s="89">
        <f t="array" ref="O276">IFERROR(IF(A277&lt;&gt;A276,_xlfn.STDEV.P(IF(A$9:A276=A276,S$9:S276)),""),"")</f>
        <v/>
      </c>
      <c r="P276" s="90">
        <f>IFERROR(IF(A276&lt;&gt;A277,MAX((((M276*24*60)/2)*(1+POWER((((N276*24*60) / (M276*24*60) )),2))) + ((M276*24*60 )*-0.1 + (K276*0.015)) +1,(((M276*24*60)/2)*(1+POWER((((N276*24*60) / (M276*24*60 ))),2)))),""),"")</f>
        <v/>
      </c>
      <c r="Q276" s="90">
        <f>IF(AND(O276&lt;&gt;"",L276&lt;&gt;""),IF(A276&lt;&gt;A277,((L276*24*60) / 2 ) * (1 + POWER(((O276*24*60) / (L276*24*60)),2)),""),"")</f>
        <v/>
      </c>
      <c r="R276" s="90">
        <f>IF(Q276&lt;&gt;"",MAX(P276,Q276),"")</f>
        <v/>
      </c>
      <c r="S276" s="89">
        <f>IF(I276&lt;&gt;"H. Sale Real",IF(AND(I277&lt;&gt;"",LEFT(C277,2)&lt;&gt;"Va"),IF(AND(I276&lt;&gt;"",LEFT(C276,2)&lt;&gt;"Va",I276&lt;&gt;"H. Sale Real"),IF(I277-I276&lt;0.208333333333333,I277-I276,""),IF(AND(I275&lt;&gt;"",LEFT(C275,2)&lt;&gt;"Va",I275&lt;&gt;"H. Sale Real"),IF(I277-I275&lt;0.208333333333333,I277-I275,""),IF(AND(I274&lt;&gt;"",LEFT(C274,2)&lt;&gt;"Va",I274&lt;&gt;"H. Sale Real"),IF(I277-I274&lt;0.208333333333333,I277-I274,""),IF(AND(I273&lt;&gt;"",LEFT(C273,2)&lt;&gt;"Va",I273&lt;&gt;"H. Sale Real"),IF(I277-I273&lt;0.208333333333333,I277-I273,""),IF(AND(I272&lt;&gt;"",LEFT(C272,2)&lt;&gt;"Va",I272&lt;&gt;"H. Sale Real"),IF(I277-I272&lt;0.208333333333333,I277-I272,""),""))))),""),"")</f>
        <v/>
      </c>
      <c r="T276" s="89">
        <f>IF(G276&lt;&gt;"H. Sale Real",IF(AND(G277&lt;&gt;"",LEFT(C277,2)&lt;&gt;"Va"),IF(AND(G276&lt;&gt;"",LEFT(C276,2)&lt;&gt;"Va",G276&lt;&gt;"H. Sale Real"),IF(G277-G276&lt;0.208333333333333,G277-G276,""),IF(AND(G275&lt;&gt;"",LEFT(C275,2)&lt;&gt;"Va",G275&lt;&gt;"H. Sale Real"),IF(G277-G275&lt;0.208333333333333,G277-G275,""),IF(AND(G274&lt;&gt;"",LEFT(C274,2)&lt;&gt;"Va",G274&lt;&gt;"H. Sale Real"),IF(G277-G274&lt;0.208333333333333,G277-G274,""),IF(AND(G273&lt;&gt;"",LEFT(C273,2)&lt;&gt;"Va",G273&lt;&gt;"H. Sale Real"),IF(G277-G273&lt;0.208333333333333,G277-G273,""),IF(AND(G272&lt;&gt;"",LEFT(C272,2)&lt;&gt;"Va",G272&lt;&gt;"H. Sale Real"),IF(G277-G272&lt;0.208333333333333,G277-G272,""),""))))),""),"")</f>
        <v/>
      </c>
      <c r="U276" s="87" t="n"/>
      <c r="V276" s="89" t="n"/>
      <c r="W276" s="87" t="n"/>
      <c r="X276" s="89" t="n"/>
      <c r="Y276" s="91" t="n"/>
      <c r="Z276" s="122">
        <f>IF(G276&lt;&gt;"",IF(AND(Z275&lt;&gt;"IE",P276&lt;&gt;0,R276&lt;&gt;""),IF(IFERROR((P276/R276),0) &lt;=1,IFERROR(P276/R276,""),1),""),"")</f>
        <v/>
      </c>
      <c r="AA276" s="93" t="n"/>
      <c r="AB276" s="2" t="n"/>
      <c r="AE276" s="10">
        <f>HOUR(AK276)+1</f>
        <v/>
      </c>
      <c r="AF276" s="7" t="n"/>
      <c r="AG276" s="7" t="n"/>
      <c r="AH276" s="86" t="n"/>
      <c r="AI276" s="8" t="n"/>
      <c r="AJ276" s="86" t="n"/>
      <c r="AK276" s="87" t="n"/>
      <c r="AL276" s="88">
        <f>IF(AM276="","",IF(AND((AM276-AK276)&gt;=TIME(0,0,0),(AM276-AK276)&lt;TIME(0,3,0)),"OK",IF(AND((AM276-AK276)&gt;=TIME(0,3,0),(AM276-AK276)&lt;TIME(0,5,0)),"RETRASO DE 3-5 MIN",IF(AND((AM276-AK276)&gt;=TIME(0,5,0),(AM276-AK276)&lt;TIME(0,10,0)),"RETRASO DE 5-10 MIN",IF((AM276-AK276)&gt;=TIME(0,10,0),"RETRASO &gt;10 MIN", IF(AND((AK276-AM276)&gt;=TIME(0,0,0),(AK276-AM276)&lt;TIME(0,3,0)),"OK",IF((AK276-AM276)&gt;=TIME(0,3,0),"ADELANTADO")))))))</f>
        <v/>
      </c>
      <c r="AM276" s="91" t="n"/>
      <c r="AN276" s="89">
        <f>IF(AE276&lt;&gt;"",HLOOKUP(VALUE(TEXT(AK276,"h:mm:ss")),IF($C$6="Laboral",$FZ$4:$GX$227,IF($C$6="Sábado",$FZ$231:$GX$452,$FZ$456:$GX$656)),VLOOKUP($C$4,$HF$2:$HH$99,3,0)+IF(AG$5="Ida",0,1),1),"")</f>
        <v/>
      </c>
      <c r="AO276" s="89">
        <f>IF(AE277&lt;&gt;AE276,AVERAGEIF(AE$9:AE276,AE276,AN$9:AN276),"")</f>
        <v/>
      </c>
      <c r="AP276" s="89">
        <f>IFERROR(IF(AE277&lt;&gt;AE276,AVERAGEIF(AE$9:AE276,AE276,AW$9:AW276),""),"")</f>
        <v/>
      </c>
      <c r="AQ276" s="89">
        <f>IFERROR(IF(AE277&lt;&gt;AE276,AVERAGEIF(AE$9:AE276,AE276,AX$9:AX276),""),"")</f>
        <v/>
      </c>
      <c r="AR276" s="89">
        <f t="array" ref="AR276">IFERROR(IF(AE277&lt;&gt;AE276,_xlfn.STDEV.P(IF(AE$9:AE276=AE276,AX$9:AX276)),""),"")</f>
        <v/>
      </c>
      <c r="AS276" s="89">
        <f t="array" ref="AS276">IFERROR(IF(AE277&lt;&gt;AE276,_xlfn.STDEV.P(IF(AE$9:AE276=AE276,AW$9:AW276)),""),"")</f>
        <v/>
      </c>
      <c r="AT276" s="90">
        <f>IFERROR(IF(AE276&lt;&gt;AE277,MAX((((AQ276*24*60)/2)*(1+POWER((((AR276*24*60) / (AQ276*24*60) )),2))) + ((AQ276*24*60 )*-0.1 + (AO276*0.015)) +1,(((AQ276*24*60)/2)*(1+POWER((((AR276*24*60) / (AQ276*24*60 ))),2)))),""),"")</f>
        <v/>
      </c>
      <c r="AU276" s="90">
        <f>IF(AND(AS276&lt;&gt;"",AP276&lt;&gt;""),IF(AE276&lt;&gt;AE277,((AP276*24*60) / 2 ) * (1 + POWER(((AS276*24*60) / (AP276*24*60)),2)),""),"")</f>
        <v/>
      </c>
      <c r="AV276" s="90">
        <f>IF(AU276&lt;&gt;"",MAX(AT276,AU276),"")</f>
        <v/>
      </c>
      <c r="AW276" s="89">
        <f>IF(AM276&lt;&gt;"H. Sale Real",IF(AND(AM277&lt;&gt;"",LEFT(AG277,2)&lt;&gt;"Va"),IF(AND(AM276&lt;&gt;"",LEFT(AG276,2)&lt;&gt;"Va",AM276&lt;&gt;"H. Sale Real"),IF(AM277-AM276&lt;0.208333333333333,AM277-AM276,""),IF(AND(AM275&lt;&gt;"",LEFT(AG275,2)&lt;&gt;"Va",AM275&lt;&gt;"H. Sale Real"),IF(AM277-AM275&lt;0.208333333333333,AM277-AM275,""),IF(AND(AM274&lt;&gt;"",LEFT(AG274,2)&lt;&gt;"Va",AM274&lt;&gt;"H. Sale Real"),IF(AM277-AM274&lt;0.208333333333333,AM277-AM274,""),IF(AND(AM273&lt;&gt;"",LEFT(AG273,2)&lt;&gt;"Va",AM273&lt;&gt;"H. Sale Real"),IF(AM277-AM273&lt;0.208333333333333,AM277-AM273,""),IF(AND(AM272&lt;&gt;"",LEFT(AG272,2)&lt;&gt;"Va",AM272&lt;&gt;"H. Sale Real"),IF(AM277-AM272&lt;0.208333333333333,AM277-AM272,""),""))))),""),"")</f>
        <v/>
      </c>
      <c r="AX276" s="89">
        <f>IF(AK276&lt;&gt;"H. Sale Real",IF(AND(AK277&lt;&gt;"",LEFT(AG277,2)&lt;&gt;"Va"),IF(AND(AK276&lt;&gt;"",LEFT(AG276,2)&lt;&gt;"Va",AK276&lt;&gt;"H. Sale Real"),IF(AK277-AK276&lt;0.208333333333333,AK277-AK276,""),IF(AND(AK275&lt;&gt;"",LEFT(AG275,2)&lt;&gt;"Va",AK275&lt;&gt;"H. Sale Real"),IF(AK277-AK275&lt;0.208333333333333,AK277-AK275,""),IF(AND(AK274&lt;&gt;"",LEFT(AG274,2)&lt;&gt;"NC",AK274&lt;&gt;"H. Sale Real"),IF(AK277-AK274&lt;0.208333333333333,AK277-AK274,""),IF(AND(AK273&lt;&gt;"",LEFT(AG273,2)&lt;&gt;"Va",AK273&lt;&gt;"H. Sale Real"),IF(AK277-AK273&lt;0.208333333333333,AK277-AK273,""),IF(AND(AK272&lt;&gt;"",LEFT(AG272,2)&lt;&gt;"Va",AK272&lt;&gt;"H. Sale Real"),IF(AK277-AK272&lt;0.208333333333333,AK277-AK272,""),""))))),""),"")</f>
        <v/>
      </c>
      <c r="AY276" s="87" t="n"/>
      <c r="AZ276" s="89" t="n"/>
      <c r="BA276" s="87" t="n"/>
      <c r="BB276" s="89" t="n"/>
      <c r="BC276" s="91" t="n"/>
      <c r="BD276" s="122">
        <f>IF(AK276&lt;&gt;"",IF(AND(BD275&lt;&gt;"IE",AT276&lt;&gt;0,AV276&lt;&gt;""),IF(IFERROR((AT276/AV276),0) &lt;=1,IFERROR(AT276/AV276,""),1),""),"")</f>
        <v/>
      </c>
      <c r="BE276" s="93" t="n"/>
      <c r="BF276" s="105" t="n"/>
      <c r="FC276" t="inlineStr">
        <is>
          <t>Diccionario 1</t>
        </is>
      </c>
      <c r="FD276" s="15" t="n">
        <v>1275</v>
      </c>
      <c r="FE276" s="15" t="inlineStr">
        <is>
          <t>MDN35025020096</t>
        </is>
      </c>
      <c r="FF276" s="15" t="inlineStr">
        <is>
          <t>LDYECS318S0044060</t>
        </is>
      </c>
      <c r="FG276" s="15" t="inlineStr">
        <is>
          <t>Zhong Tong</t>
        </is>
      </c>
      <c r="FH276" s="15" t="inlineStr">
        <is>
          <t>Lck6122evg</t>
        </is>
      </c>
      <c r="FI276" s="15" t="inlineStr">
        <is>
          <t>ZHONGTONG</t>
        </is>
      </c>
      <c r="FJ276" s="15" t="inlineStr">
        <is>
          <t>LCK6122EVG</t>
        </is>
      </c>
      <c r="FK276" s="15" t="n">
        <v>2025</v>
      </c>
      <c r="FL276" s="15" t="inlineStr">
        <is>
          <t>B</t>
        </is>
      </c>
      <c r="FM276" s="15" t="inlineStr">
        <is>
          <t>PIE ANDINO</t>
        </is>
      </c>
      <c r="FN276" s="15" t="inlineStr">
        <is>
          <t>Pie Andino 31 (Pie Andino 383)</t>
        </is>
      </c>
      <c r="FO276" s="15" t="inlineStr">
        <is>
          <t>Puente Alto</t>
        </is>
      </c>
      <c r="FP276" t="inlineStr">
        <is>
          <t>B</t>
        </is>
      </c>
      <c r="FS276" s="14" t="inlineStr">
        <is>
          <t>3068 / SFWB-84|</t>
        </is>
      </c>
      <c r="FT276" t="inlineStr">
        <is>
          <t>SFWB-84|</t>
        </is>
      </c>
      <c r="FU276" t="inlineStr">
        <is>
          <t>SFWB-84</t>
        </is>
      </c>
      <c r="FV276">
        <f>VLOOKUP(FU276,FD:FL,9,0)</f>
        <v/>
      </c>
      <c r="FZ276" s="51" t="inlineStr">
        <is>
          <t>F06</t>
        </is>
      </c>
      <c r="GA276" s="43" t="n">
        <v>26.235</v>
      </c>
      <c r="GB276" s="43" t="n">
        <v>0</v>
      </c>
      <c r="GC276" s="43" t="n">
        <v>0</v>
      </c>
      <c r="GD276" s="43" t="n">
        <v>0</v>
      </c>
      <c r="GE276" s="43" t="n">
        <v>0</v>
      </c>
      <c r="GF276" s="43" t="n">
        <v>11.94</v>
      </c>
      <c r="GG276" s="43" t="n">
        <v>22.32</v>
      </c>
      <c r="GH276" s="43" t="n">
        <v>20.59</v>
      </c>
      <c r="GI276" s="43" t="n">
        <v>19.4</v>
      </c>
      <c r="GJ276" s="43" t="n">
        <v>18.375</v>
      </c>
      <c r="GK276" s="43" t="n">
        <v>17.635</v>
      </c>
      <c r="GL276" s="43" t="n">
        <v>16.745</v>
      </c>
      <c r="GM276" s="43" t="n">
        <v>15.825</v>
      </c>
      <c r="GN276" s="43" t="n">
        <v>15.625</v>
      </c>
      <c r="GO276" s="43" t="n">
        <v>16.23</v>
      </c>
      <c r="GP276" s="43" t="n">
        <v>16.375</v>
      </c>
      <c r="GQ276" s="43" t="n">
        <v>16.235</v>
      </c>
      <c r="GR276" s="43" t="n">
        <v>16.175</v>
      </c>
      <c r="GS276" s="43" t="n">
        <v>16.51</v>
      </c>
      <c r="GT276" s="43" t="n">
        <v>17.04</v>
      </c>
      <c r="GU276" s="43" t="n">
        <v>17.99</v>
      </c>
      <c r="GV276" s="43" t="n">
        <v>18.89</v>
      </c>
      <c r="GW276" s="43" t="n">
        <v>19.75</v>
      </c>
      <c r="GX276" s="43" t="n">
        <v>22.72</v>
      </c>
      <c r="HA276" s="35" t="n">
        <v>46</v>
      </c>
      <c r="HB276" s="35" t="n">
        <v>270</v>
      </c>
    </row>
    <row r="277" ht="15.5" customHeight="1">
      <c r="A277" s="10">
        <f>HOUR(G277)+1</f>
        <v/>
      </c>
      <c r="B277" s="7" t="n"/>
      <c r="C277" s="7" t="n"/>
      <c r="D277" s="85">
        <f>IFERROR(
IF(AND(OR(Planilla!B277="C",Planilla!B277="c"), VLOOKUP(E277,FD:FP,13,0)="C"), "OK",IF(AND(OR(Planilla!B277="C",Planilla!B277="c"), OR(VLOOKUP(E277,FD:FP,13,0)="B", VLOOKUP(E277,FD:FP,13,0)="A")), "DEFICIT",IF(
AND(OR(Planilla!B277="B", Planilla!B277="BPAL"), VLOOKUP(E277,FD:FP,13,0)="B"), "OK",IF(AND(OR(Planilla!B277="B", Planilla!B277="BPAL"), VLOOKUP(E277,FD:FP,13,0)="A"), "DEFICIT",IF(AND(OR(Planilla!B277="B", Planilla!B277="BPAL"), VLOOKUP(E277,FD:FP,13,0)="C"), "SOBREOFERTA",IF(AND(Planilla!B277="A", VLOOKUP(E277,FD:FP,13,0)="A"), "OK",IF(
AND(Planilla!B277="A", OR(VLOOKUP(E277,FD:FP,13,0)="B", VLOOKUP(E277,FD:FP,13,0)="C")), "SOBREOFERTA",""
))))))),"")</f>
        <v/>
      </c>
      <c r="E277" s="8" t="n"/>
      <c r="F277" s="86" t="n"/>
      <c r="G277" s="87" t="n"/>
      <c r="H277" s="88">
        <f>IF(I277="","",IF(AND((I277-G277)&gt;=TIME(0,0,0),(I277-G277)&lt;TIME(0,3,0)),"OK",IF(AND((I277-G277)&gt;=TIME(0,3,0),(I277-G277)&lt;TIME(0,5,0)),"RETRASO DE 3-5 MIN",IF(AND((I277-G277)&gt;=TIME(0,5,0),(I277-G277)&lt;TIME(0,10,0)),"RETRASO DE 5-10 MIN",IF((I277-G277)&gt;=TIME(0,10,0),"RETRASO &gt;10 MIN", IF(AND((G277-I277)&gt;=TIME(0,0,0),(G277-I277)&lt;TIME(0,3,0)),"OK",IF((G277-I277)&gt;=TIME(0,3,0),"ADELANTADO")))))))</f>
        <v/>
      </c>
      <c r="I277" s="89" t="n"/>
      <c r="J277" s="89">
        <f>IF(A277&lt;&gt;"",HLOOKUP(VALUE(TEXT(G277,"h:mm:ss")),IF($C$6="Laboral",$FZ$4:$GX$227,IF($C$6="Sábado",$FZ$231:$GX$452,$FZ$456:$GX$656)),VLOOKUP($C$4,$HF$2:$HH$99,3,0)+IF(C$5="Ida",0,1),1),"")</f>
        <v/>
      </c>
      <c r="K277" s="89">
        <f>IF(A278&lt;&gt;A277,AVERAGEIF(A$9:A277,A277,J$9:J277),"")</f>
        <v/>
      </c>
      <c r="L277" s="89">
        <f>IFERROR(IF(A278&lt;&gt;A277,AVERAGEIF(A$9:A277,A277,S$9:S277),""),"")</f>
        <v/>
      </c>
      <c r="M277" s="89">
        <f>IFERROR(IF(A278&lt;&gt;A277,AVERAGEIF(A$9:A277,A277,T$9:T277),""),"")</f>
        <v/>
      </c>
      <c r="N277" s="89">
        <f t="array" ref="N277">IFERROR(IF(A278&lt;&gt;A277,_xlfn.STDEV.P(IF(A$9:A277=A277,T$9:T277)),""),"")</f>
        <v/>
      </c>
      <c r="O277" s="89">
        <f t="array" ref="O277">IFERROR(IF(A278&lt;&gt;A277,_xlfn.STDEV.P(IF(A$9:A277=A277,S$9:S277)),""),"")</f>
        <v/>
      </c>
      <c r="P277" s="90">
        <f>IFERROR(IF(A277&lt;&gt;A278,MAX((((M277*24*60)/2)*(1+POWER((((N277*24*60) / (M277*24*60) )),2))) + ((M277*24*60 )*-0.1 + (K277*0.015)) +1,(((M277*24*60)/2)*(1+POWER((((N277*24*60) / (M277*24*60 ))),2)))),""),"")</f>
        <v/>
      </c>
      <c r="Q277" s="90">
        <f>IF(AND(O277&lt;&gt;"",L277&lt;&gt;""),IF(A277&lt;&gt;A278,((L277*24*60) / 2 ) * (1 + POWER(((O277*24*60) / (L277*24*60)),2)),""),"")</f>
        <v/>
      </c>
      <c r="R277" s="90">
        <f>IF(Q277&lt;&gt;"",MAX(P277,Q277),"")</f>
        <v/>
      </c>
      <c r="S277" s="89">
        <f>IF(I277&lt;&gt;"H. Sale Real",IF(AND(I278&lt;&gt;"",LEFT(C278,2)&lt;&gt;"Va"),IF(AND(I277&lt;&gt;"",LEFT(C277,2)&lt;&gt;"Va",I277&lt;&gt;"H. Sale Real"),IF(I278-I277&lt;0.208333333333333,I278-I277,""),IF(AND(I276&lt;&gt;"",LEFT(C276,2)&lt;&gt;"Va",I276&lt;&gt;"H. Sale Real"),IF(I278-I276&lt;0.208333333333333,I278-I276,""),IF(AND(I275&lt;&gt;"",LEFT(C275,2)&lt;&gt;"Va",I275&lt;&gt;"H. Sale Real"),IF(I278-I275&lt;0.208333333333333,I278-I275,""),IF(AND(I274&lt;&gt;"",LEFT(C274,2)&lt;&gt;"Va",I274&lt;&gt;"H. Sale Real"),IF(I278-I274&lt;0.208333333333333,I278-I274,""),IF(AND(I273&lt;&gt;"",LEFT(C273,2)&lt;&gt;"Va",I273&lt;&gt;"H. Sale Real"),IF(I278-I273&lt;0.208333333333333,I278-I273,""),""))))),""),"")</f>
        <v/>
      </c>
      <c r="T277" s="89">
        <f>IF(G277&lt;&gt;"H. Sale Real",IF(AND(G278&lt;&gt;"",LEFT(C278,2)&lt;&gt;"Va"),IF(AND(G277&lt;&gt;"",LEFT(C277,2)&lt;&gt;"Va",G277&lt;&gt;"H. Sale Real"),IF(G278-G277&lt;0.208333333333333,G278-G277,""),IF(AND(G276&lt;&gt;"",LEFT(C276,2)&lt;&gt;"Va",G276&lt;&gt;"H. Sale Real"),IF(G278-G276&lt;0.208333333333333,G278-G276,""),IF(AND(G275&lt;&gt;"",LEFT(C275,2)&lt;&gt;"Va",G275&lt;&gt;"H. Sale Real"),IF(G278-G275&lt;0.208333333333333,G278-G275,""),IF(AND(G274&lt;&gt;"",LEFT(C274,2)&lt;&gt;"Va",G274&lt;&gt;"H. Sale Real"),IF(G278-G274&lt;0.208333333333333,G278-G274,""),IF(AND(G273&lt;&gt;"",LEFT(C273,2)&lt;&gt;"Va",G273&lt;&gt;"H. Sale Real"),IF(G278-G273&lt;0.208333333333333,G278-G273,""),""))))),""),"")</f>
        <v/>
      </c>
      <c r="U277" s="87" t="n"/>
      <c r="V277" s="89" t="n"/>
      <c r="W277" s="87" t="n"/>
      <c r="X277" s="89" t="n"/>
      <c r="Y277" s="91" t="n"/>
      <c r="Z277" s="122">
        <f>IF(G277&lt;&gt;"",IF(AND(Z276&lt;&gt;"IE",P277&lt;&gt;0,R277&lt;&gt;""),IF(IFERROR((P277/R277),0) &lt;=1,IFERROR(P277/R277,""),1),""),"")</f>
        <v/>
      </c>
      <c r="AA277" s="93" t="n"/>
      <c r="AB277" s="2" t="n"/>
      <c r="AE277" s="10">
        <f>HOUR(AK277)+1</f>
        <v/>
      </c>
      <c r="AF277" s="7" t="n"/>
      <c r="AG277" s="7" t="n"/>
      <c r="AH277" s="86" t="n"/>
      <c r="AI277" s="8" t="n"/>
      <c r="AJ277" s="86" t="n"/>
      <c r="AK277" s="87" t="n"/>
      <c r="AL277" s="88">
        <f>IF(AM277="","",IF(AND((AM277-AK277)&gt;=TIME(0,0,0),(AM277-AK277)&lt;TIME(0,3,0)),"OK",IF(AND((AM277-AK277)&gt;=TIME(0,3,0),(AM277-AK277)&lt;TIME(0,5,0)),"RETRASO DE 3-5 MIN",IF(AND((AM277-AK277)&gt;=TIME(0,5,0),(AM277-AK277)&lt;TIME(0,10,0)),"RETRASO DE 5-10 MIN",IF((AM277-AK277)&gt;=TIME(0,10,0),"RETRASO &gt;10 MIN", IF(AND((AK277-AM277)&gt;=TIME(0,0,0),(AK277-AM277)&lt;TIME(0,3,0)),"OK",IF((AK277-AM277)&gt;=TIME(0,3,0),"ADELANTADO")))))))</f>
        <v/>
      </c>
      <c r="AM277" s="91" t="n"/>
      <c r="AN277" s="89">
        <f>IF(AE277&lt;&gt;"",HLOOKUP(VALUE(TEXT(AK277,"h:mm:ss")),IF($C$6="Laboral",$FZ$4:$GX$227,IF($C$6="Sábado",$FZ$231:$GX$452,$FZ$456:$GX$656)),VLOOKUP($C$4,$HF$2:$HH$99,3,0)+IF(AG$5="Ida",0,1),1),"")</f>
        <v/>
      </c>
      <c r="AO277" s="89">
        <f>IF(AE278&lt;&gt;AE277,AVERAGEIF(AE$9:AE277,AE277,AN$9:AN277),"")</f>
        <v/>
      </c>
      <c r="AP277" s="89">
        <f>IFERROR(IF(AE278&lt;&gt;AE277,AVERAGEIF(AE$9:AE277,AE277,AW$9:AW277),""),"")</f>
        <v/>
      </c>
      <c r="AQ277" s="89">
        <f>IFERROR(IF(AE278&lt;&gt;AE277,AVERAGEIF(AE$9:AE277,AE277,AX$9:AX277),""),"")</f>
        <v/>
      </c>
      <c r="AR277" s="89">
        <f t="array" ref="AR277">IFERROR(IF(AE278&lt;&gt;AE277,_xlfn.STDEV.P(IF(AE$9:AE277=AE277,AX$9:AX277)),""),"")</f>
        <v/>
      </c>
      <c r="AS277" s="89">
        <f t="array" ref="AS277">IFERROR(IF(AE278&lt;&gt;AE277,_xlfn.STDEV.P(IF(AE$9:AE277=AE277,AW$9:AW277)),""),"")</f>
        <v/>
      </c>
      <c r="AT277" s="90">
        <f>IFERROR(IF(AE277&lt;&gt;AE278,MAX((((AQ277*24*60)/2)*(1+POWER((((AR277*24*60) / (AQ277*24*60) )),2))) + ((AQ277*24*60 )*-0.1 + (AO277*0.015)) +1,(((AQ277*24*60)/2)*(1+POWER((((AR277*24*60) / (AQ277*24*60 ))),2)))),""),"")</f>
        <v/>
      </c>
      <c r="AU277" s="90">
        <f>IF(AND(AS277&lt;&gt;"",AP277&lt;&gt;""),IF(AE277&lt;&gt;AE278,((AP277*24*60) / 2 ) * (1 + POWER(((AS277*24*60) / (AP277*24*60)),2)),""),"")</f>
        <v/>
      </c>
      <c r="AV277" s="90">
        <f>IF(AU277&lt;&gt;"",MAX(AT277,AU277),"")</f>
        <v/>
      </c>
      <c r="AW277" s="89">
        <f>IF(AM277&lt;&gt;"H. Sale Real",IF(AND(AM278&lt;&gt;"",LEFT(AG278,2)&lt;&gt;"Va"),IF(AND(AM277&lt;&gt;"",LEFT(AG277,2)&lt;&gt;"Va",AM277&lt;&gt;"H. Sale Real"),IF(AM278-AM277&lt;0.208333333333333,AM278-AM277,""),IF(AND(AM276&lt;&gt;"",LEFT(AG276,2)&lt;&gt;"Va",AM276&lt;&gt;"H. Sale Real"),IF(AM278-AM276&lt;0.208333333333333,AM278-AM276,""),IF(AND(AM275&lt;&gt;"",LEFT(AG275,2)&lt;&gt;"Va",AM275&lt;&gt;"H. Sale Real"),IF(AM278-AM275&lt;0.208333333333333,AM278-AM275,""),IF(AND(AM274&lt;&gt;"",LEFT(AG274,2)&lt;&gt;"Va",AM274&lt;&gt;"H. Sale Real"),IF(AM278-AM274&lt;0.208333333333333,AM278-AM274,""),IF(AND(AM273&lt;&gt;"",LEFT(AG273,2)&lt;&gt;"Va",AM273&lt;&gt;"H. Sale Real"),IF(AM278-AM273&lt;0.208333333333333,AM278-AM273,""),""))))),""),"")</f>
        <v/>
      </c>
      <c r="AX277" s="89">
        <f>IF(AK277&lt;&gt;"H. Sale Real",IF(AND(AK278&lt;&gt;"",LEFT(AG278,2)&lt;&gt;"Va"),IF(AND(AK277&lt;&gt;"",LEFT(AG277,2)&lt;&gt;"Va",AK277&lt;&gt;"H. Sale Real"),IF(AK278-AK277&lt;0.208333333333333,AK278-AK277,""),IF(AND(AK276&lt;&gt;"",LEFT(AG276,2)&lt;&gt;"Va",AK276&lt;&gt;"H. Sale Real"),IF(AK278-AK276&lt;0.208333333333333,AK278-AK276,""),IF(AND(AK275&lt;&gt;"",LEFT(AG275,2)&lt;&gt;"NC",AK275&lt;&gt;"H. Sale Real"),IF(AK278-AK275&lt;0.208333333333333,AK278-AK275,""),IF(AND(AK274&lt;&gt;"",LEFT(AG274,2)&lt;&gt;"Va",AK274&lt;&gt;"H. Sale Real"),IF(AK278-AK274&lt;0.208333333333333,AK278-AK274,""),IF(AND(AK273&lt;&gt;"",LEFT(AG273,2)&lt;&gt;"Va",AK273&lt;&gt;"H. Sale Real"),IF(AK278-AK273&lt;0.208333333333333,AK278-AK273,""),""))))),""),"")</f>
        <v/>
      </c>
      <c r="AY277" s="87" t="n"/>
      <c r="AZ277" s="89" t="n"/>
      <c r="BA277" s="87" t="n"/>
      <c r="BB277" s="89" t="n"/>
      <c r="BC277" s="91" t="n"/>
      <c r="BD277" s="122">
        <f>IF(AK277&lt;&gt;"",IF(AND(BD276&lt;&gt;"IE",AT277&lt;&gt;0,AV277&lt;&gt;""),IF(IFERROR((AT277/AV277),0) &lt;=1,IFERROR(AT277/AV277,""),1),""),"")</f>
        <v/>
      </c>
      <c r="BE277" s="93" t="n"/>
      <c r="BF277" s="105" t="n"/>
      <c r="FC277" t="inlineStr">
        <is>
          <t>Diccionario 1</t>
        </is>
      </c>
      <c r="FD277" s="15" t="n">
        <v>1276</v>
      </c>
      <c r="FE277" s="15" t="inlineStr">
        <is>
          <t>MDN35025020045</t>
        </is>
      </c>
      <c r="FF277" s="15" t="inlineStr">
        <is>
          <t>LDYECS312S0044023</t>
        </is>
      </c>
      <c r="FG277" s="15" t="inlineStr">
        <is>
          <t>Zhong Tong</t>
        </is>
      </c>
      <c r="FH277" s="15" t="inlineStr">
        <is>
          <t>Lck6122evg</t>
        </is>
      </c>
      <c r="FI277" s="15" t="inlineStr">
        <is>
          <t>ZHONGTONG</t>
        </is>
      </c>
      <c r="FJ277" s="15" t="inlineStr">
        <is>
          <t>LCK6122EVG</t>
        </is>
      </c>
      <c r="FK277" s="15" t="n">
        <v>2025</v>
      </c>
      <c r="FL277" s="15" t="inlineStr">
        <is>
          <t>B</t>
        </is>
      </c>
      <c r="FM277" s="15" t="inlineStr">
        <is>
          <t>PIE ANDINO</t>
        </is>
      </c>
      <c r="FN277" s="15" t="inlineStr">
        <is>
          <t>Pie Andino 31 (Pie Andino 383)</t>
        </is>
      </c>
      <c r="FO277" s="15" t="inlineStr">
        <is>
          <t>Puente Alto</t>
        </is>
      </c>
      <c r="FP277" t="inlineStr">
        <is>
          <t>B</t>
        </is>
      </c>
      <c r="FS277" s="14" t="inlineStr">
        <is>
          <t>3069 / SFWZ-32|</t>
        </is>
      </c>
      <c r="FT277" t="inlineStr">
        <is>
          <t>SFWZ-32|</t>
        </is>
      </c>
      <c r="FU277" t="inlineStr">
        <is>
          <t>SFWZ-32</t>
        </is>
      </c>
      <c r="FV277">
        <f>VLOOKUP(FU277,FD:FL,9,0)</f>
        <v/>
      </c>
      <c r="FZ277" s="51" t="inlineStr">
        <is>
          <t>F06</t>
        </is>
      </c>
      <c r="GA277" s="43" t="n">
        <v>0</v>
      </c>
      <c r="GB277" s="43" t="n">
        <v>0</v>
      </c>
      <c r="GC277" s="43" t="n">
        <v>0</v>
      </c>
      <c r="GD277" s="43" t="n">
        <v>0</v>
      </c>
      <c r="GE277" s="43" t="n">
        <v>13.05</v>
      </c>
      <c r="GF277" s="43" t="n">
        <v>23.255</v>
      </c>
      <c r="GG277" s="43" t="n">
        <v>21.295</v>
      </c>
      <c r="GH277" s="43" t="n">
        <v>20.215</v>
      </c>
      <c r="GI277" s="43" t="n">
        <v>18.985</v>
      </c>
      <c r="GJ277" s="43" t="n">
        <v>18.015</v>
      </c>
      <c r="GK277" s="43" t="n">
        <v>17.005</v>
      </c>
      <c r="GL277" s="43" t="n">
        <v>16.025</v>
      </c>
      <c r="GM277" s="43" t="n">
        <v>15.67</v>
      </c>
      <c r="GN277" s="43" t="n">
        <v>15.605</v>
      </c>
      <c r="GO277" s="43" t="n">
        <v>15.605</v>
      </c>
      <c r="GP277" s="43" t="n">
        <v>15.335</v>
      </c>
      <c r="GQ277" s="43" t="n">
        <v>15.465</v>
      </c>
      <c r="GR277" s="43" t="n">
        <v>15.89</v>
      </c>
      <c r="GS277" s="43" t="n">
        <v>16.235</v>
      </c>
      <c r="GT277" s="43" t="n">
        <v>16.97</v>
      </c>
      <c r="GU277" s="43" t="n">
        <v>17.855</v>
      </c>
      <c r="GV277" s="43" t="n">
        <v>19.035</v>
      </c>
      <c r="GW277" s="43" t="n">
        <v>20.78</v>
      </c>
      <c r="GX277" s="43" t="n">
        <v>23.325</v>
      </c>
      <c r="HA277" s="35" t="n">
        <v>47</v>
      </c>
      <c r="HB277" s="35" t="n">
        <v>271</v>
      </c>
    </row>
    <row r="278" ht="15.5" customHeight="1">
      <c r="A278" s="10">
        <f>HOUR(G278)+1</f>
        <v/>
      </c>
      <c r="B278" s="7" t="n"/>
      <c r="C278" s="7" t="n"/>
      <c r="D278" s="85">
        <f>IFERROR(
IF(AND(OR(Planilla!B278="C",Planilla!B278="c"), VLOOKUP(E278,FD:FP,13,0)="C"), "OK",IF(AND(OR(Planilla!B278="C",Planilla!B278="c"), OR(VLOOKUP(E278,FD:FP,13,0)="B", VLOOKUP(E278,FD:FP,13,0)="A")), "DEFICIT",IF(
AND(OR(Planilla!B278="B", Planilla!B278="BPAL"), VLOOKUP(E278,FD:FP,13,0)="B"), "OK",IF(AND(OR(Planilla!B278="B", Planilla!B278="BPAL"), VLOOKUP(E278,FD:FP,13,0)="A"), "DEFICIT",IF(AND(OR(Planilla!B278="B", Planilla!B278="BPAL"), VLOOKUP(E278,FD:FP,13,0)="C"), "SOBREOFERTA",IF(AND(Planilla!B278="A", VLOOKUP(E278,FD:FP,13,0)="A"), "OK",IF(
AND(Planilla!B278="A", OR(VLOOKUP(E278,FD:FP,13,0)="B", VLOOKUP(E278,FD:FP,13,0)="C")), "SOBREOFERTA",""
))))))),"")</f>
        <v/>
      </c>
      <c r="E278" s="8" t="n"/>
      <c r="F278" s="86" t="n"/>
      <c r="G278" s="87" t="n"/>
      <c r="H278" s="88">
        <f>IF(I278="","",IF(AND((I278-G278)&gt;=TIME(0,0,0),(I278-G278)&lt;TIME(0,3,0)),"OK",IF(AND((I278-G278)&gt;=TIME(0,3,0),(I278-G278)&lt;TIME(0,5,0)),"RETRASO DE 3-5 MIN",IF(AND((I278-G278)&gt;=TIME(0,5,0),(I278-G278)&lt;TIME(0,10,0)),"RETRASO DE 5-10 MIN",IF((I278-G278)&gt;=TIME(0,10,0),"RETRASO &gt;10 MIN", IF(AND((G278-I278)&gt;=TIME(0,0,0),(G278-I278)&lt;TIME(0,3,0)),"OK",IF((G278-I278)&gt;=TIME(0,3,0),"ADELANTADO")))))))</f>
        <v/>
      </c>
      <c r="I278" s="89" t="n"/>
      <c r="J278" s="89">
        <f>IF(A278&lt;&gt;"",HLOOKUP(VALUE(TEXT(G278,"h:mm:ss")),IF($C$6="Laboral",$FZ$4:$GX$227,IF($C$6="Sábado",$FZ$231:$GX$452,$FZ$456:$GX$656)),VLOOKUP($C$4,$HF$2:$HH$99,3,0)+IF(C$5="Ida",0,1),1),"")</f>
        <v/>
      </c>
      <c r="K278" s="89">
        <f>IF(A279&lt;&gt;A278,AVERAGEIF(A$9:A278,A278,J$9:J278),"")</f>
        <v/>
      </c>
      <c r="L278" s="89">
        <f>IFERROR(IF(A279&lt;&gt;A278,AVERAGEIF(A$9:A278,A278,S$9:S278),""),"")</f>
        <v/>
      </c>
      <c r="M278" s="89">
        <f>IFERROR(IF(A279&lt;&gt;A278,AVERAGEIF(A$9:A278,A278,T$9:T278),""),"")</f>
        <v/>
      </c>
      <c r="N278" s="89">
        <f t="array" ref="N278">IFERROR(IF(A279&lt;&gt;A278,_xlfn.STDEV.P(IF(A$9:A278=A278,T$9:T278)),""),"")</f>
        <v/>
      </c>
      <c r="O278" s="89">
        <f t="array" ref="O278">IFERROR(IF(A279&lt;&gt;A278,_xlfn.STDEV.P(IF(A$9:A278=A278,S$9:S278)),""),"")</f>
        <v/>
      </c>
      <c r="P278" s="90">
        <f>IFERROR(IF(A278&lt;&gt;A279,MAX((((M278*24*60)/2)*(1+POWER((((N278*24*60) / (M278*24*60) )),2))) + ((M278*24*60 )*-0.1 + (K278*0.015)) +1,(((M278*24*60)/2)*(1+POWER((((N278*24*60) / (M278*24*60 ))),2)))),""),"")</f>
        <v/>
      </c>
      <c r="Q278" s="90">
        <f>IF(AND(O278&lt;&gt;"",L278&lt;&gt;""),IF(A278&lt;&gt;A279,((L278*24*60) / 2 ) * (1 + POWER(((O278*24*60) / (L278*24*60)),2)),""),"")</f>
        <v/>
      </c>
      <c r="R278" s="90">
        <f>IF(Q278&lt;&gt;"",MAX(P278,Q278),"")</f>
        <v/>
      </c>
      <c r="S278" s="89">
        <f>IF(I278&lt;&gt;"H. Sale Real",IF(AND(I279&lt;&gt;"",LEFT(C279,2)&lt;&gt;"Va"),IF(AND(I278&lt;&gt;"",LEFT(C278,2)&lt;&gt;"Va",I278&lt;&gt;"H. Sale Real"),IF(I279-I278&lt;0.208333333333333,I279-I278,""),IF(AND(I277&lt;&gt;"",LEFT(C277,2)&lt;&gt;"Va",I277&lt;&gt;"H. Sale Real"),IF(I279-I277&lt;0.208333333333333,I279-I277,""),IF(AND(I276&lt;&gt;"",LEFT(C276,2)&lt;&gt;"Va",I276&lt;&gt;"H. Sale Real"),IF(I279-I276&lt;0.208333333333333,I279-I276,""),IF(AND(I275&lt;&gt;"",LEFT(C275,2)&lt;&gt;"Va",I275&lt;&gt;"H. Sale Real"),IF(I279-I275&lt;0.208333333333333,I279-I275,""),IF(AND(I274&lt;&gt;"",LEFT(C274,2)&lt;&gt;"Va",I274&lt;&gt;"H. Sale Real"),IF(I279-I274&lt;0.208333333333333,I279-I274,""),""))))),""),"")</f>
        <v/>
      </c>
      <c r="T278" s="89">
        <f>IF(G278&lt;&gt;"H. Sale Real",IF(AND(G279&lt;&gt;"",LEFT(C279,2)&lt;&gt;"Va"),IF(AND(G278&lt;&gt;"",LEFT(C278,2)&lt;&gt;"Va",G278&lt;&gt;"H. Sale Real"),IF(G279-G278&lt;0.208333333333333,G279-G278,""),IF(AND(G277&lt;&gt;"",LEFT(C277,2)&lt;&gt;"Va",G277&lt;&gt;"H. Sale Real"),IF(G279-G277&lt;0.208333333333333,G279-G277,""),IF(AND(G276&lt;&gt;"",LEFT(C276,2)&lt;&gt;"Va",G276&lt;&gt;"H. Sale Real"),IF(G279-G276&lt;0.208333333333333,G279-G276,""),IF(AND(G275&lt;&gt;"",LEFT(C275,2)&lt;&gt;"Va",G275&lt;&gt;"H. Sale Real"),IF(G279-G275&lt;0.208333333333333,G279-G275,""),IF(AND(G274&lt;&gt;"",LEFT(C274,2)&lt;&gt;"Va",G274&lt;&gt;"H. Sale Real"),IF(G279-G274&lt;0.208333333333333,G279-G274,""),""))))),""),"")</f>
        <v/>
      </c>
      <c r="U278" s="87" t="n"/>
      <c r="V278" s="89" t="n"/>
      <c r="W278" s="87" t="n"/>
      <c r="X278" s="89" t="n"/>
      <c r="Y278" s="91" t="n"/>
      <c r="Z278" s="122">
        <f>IF(G278&lt;&gt;"",IF(AND(Z277&lt;&gt;"IE",P278&lt;&gt;0,R278&lt;&gt;""),IF(IFERROR((P278/R278),0) &lt;=1,IFERROR(P278/R278,""),1),""),"")</f>
        <v/>
      </c>
      <c r="AA278" s="93" t="n"/>
      <c r="AB278" s="2" t="n"/>
      <c r="AE278" s="10">
        <f>HOUR(AK278)+1</f>
        <v/>
      </c>
      <c r="AF278" s="7" t="n"/>
      <c r="AG278" s="7" t="n"/>
      <c r="AH278" s="86" t="n"/>
      <c r="AI278" s="8" t="n"/>
      <c r="AJ278" s="86" t="n"/>
      <c r="AK278" s="87" t="n"/>
      <c r="AL278" s="88">
        <f>IF(AM278="","",IF(AND((AM278-AK278)&gt;=TIME(0,0,0),(AM278-AK278)&lt;TIME(0,3,0)),"OK",IF(AND((AM278-AK278)&gt;=TIME(0,3,0),(AM278-AK278)&lt;TIME(0,5,0)),"RETRASO DE 3-5 MIN",IF(AND((AM278-AK278)&gt;=TIME(0,5,0),(AM278-AK278)&lt;TIME(0,10,0)),"RETRASO DE 5-10 MIN",IF((AM278-AK278)&gt;=TIME(0,10,0),"RETRASO &gt;10 MIN", IF(AND((AK278-AM278)&gt;=TIME(0,0,0),(AK278-AM278)&lt;TIME(0,3,0)),"OK",IF((AK278-AM278)&gt;=TIME(0,3,0),"ADELANTADO")))))))</f>
        <v/>
      </c>
      <c r="AM278" s="91" t="n"/>
      <c r="AN278" s="89">
        <f>IF(AE278&lt;&gt;"",HLOOKUP(VALUE(TEXT(AK278,"h:mm:ss")),IF($C$6="Laboral",$FZ$4:$GX$227,IF($C$6="Sábado",$FZ$231:$GX$452,$FZ$456:$GX$656)),VLOOKUP($C$4,$HF$2:$HH$99,3,0)+IF(AG$5="Ida",0,1),1),"")</f>
        <v/>
      </c>
      <c r="AO278" s="89">
        <f>IF(AE279&lt;&gt;AE278,AVERAGEIF(AE$9:AE278,AE278,AN$9:AN278),"")</f>
        <v/>
      </c>
      <c r="AP278" s="89">
        <f>IFERROR(IF(AE279&lt;&gt;AE278,AVERAGEIF(AE$9:AE278,AE278,AW$9:AW278),""),"")</f>
        <v/>
      </c>
      <c r="AQ278" s="89">
        <f>IFERROR(IF(AE279&lt;&gt;AE278,AVERAGEIF(AE$9:AE278,AE278,AX$9:AX278),""),"")</f>
        <v/>
      </c>
      <c r="AR278" s="89">
        <f t="array" ref="AR278">IFERROR(IF(AE279&lt;&gt;AE278,_xlfn.STDEV.P(IF(AE$9:AE278=AE278,AX$9:AX278)),""),"")</f>
        <v/>
      </c>
      <c r="AS278" s="89">
        <f t="array" ref="AS278">IFERROR(IF(AE279&lt;&gt;AE278,_xlfn.STDEV.P(IF(AE$9:AE278=AE278,AW$9:AW278)),""),"")</f>
        <v/>
      </c>
      <c r="AT278" s="90">
        <f>IFERROR(IF(AE278&lt;&gt;AE279,MAX((((AQ278*24*60)/2)*(1+POWER((((AR278*24*60) / (AQ278*24*60) )),2))) + ((AQ278*24*60 )*-0.1 + (AO278*0.015)) +1,(((AQ278*24*60)/2)*(1+POWER((((AR278*24*60) / (AQ278*24*60 ))),2)))),""),"")</f>
        <v/>
      </c>
      <c r="AU278" s="90">
        <f>IF(AND(AS278&lt;&gt;"",AP278&lt;&gt;""),IF(AE278&lt;&gt;AE279,((AP278*24*60) / 2 ) * (1 + POWER(((AS278*24*60) / (AP278*24*60)),2)),""),"")</f>
        <v/>
      </c>
      <c r="AV278" s="90">
        <f>IF(AU278&lt;&gt;"",MAX(AT278,AU278),"")</f>
        <v/>
      </c>
      <c r="AW278" s="89">
        <f>IF(AM278&lt;&gt;"H. Sale Real",IF(AND(AM279&lt;&gt;"",LEFT(AG279,2)&lt;&gt;"Va"),IF(AND(AM278&lt;&gt;"",LEFT(AG278,2)&lt;&gt;"Va",AM278&lt;&gt;"H. Sale Real"),IF(AM279-AM278&lt;0.208333333333333,AM279-AM278,""),IF(AND(AM277&lt;&gt;"",LEFT(AG277,2)&lt;&gt;"Va",AM277&lt;&gt;"H. Sale Real"),IF(AM279-AM277&lt;0.208333333333333,AM279-AM277,""),IF(AND(AM276&lt;&gt;"",LEFT(AG276,2)&lt;&gt;"Va",AM276&lt;&gt;"H. Sale Real"),IF(AM279-AM276&lt;0.208333333333333,AM279-AM276,""),IF(AND(AM275&lt;&gt;"",LEFT(AG275,2)&lt;&gt;"Va",AM275&lt;&gt;"H. Sale Real"),IF(AM279-AM275&lt;0.208333333333333,AM279-AM275,""),IF(AND(AM274&lt;&gt;"",LEFT(AG274,2)&lt;&gt;"Va",AM274&lt;&gt;"H. Sale Real"),IF(AM279-AM274&lt;0.208333333333333,AM279-AM274,""),""))))),""),"")</f>
        <v/>
      </c>
      <c r="AX278" s="89">
        <f>IF(AK278&lt;&gt;"H. Sale Real",IF(AND(AK279&lt;&gt;"",LEFT(AG279,2)&lt;&gt;"Va"),IF(AND(AK278&lt;&gt;"",LEFT(AG278,2)&lt;&gt;"Va",AK278&lt;&gt;"H. Sale Real"),IF(AK279-AK278&lt;0.208333333333333,AK279-AK278,""),IF(AND(AK277&lt;&gt;"",LEFT(AG277,2)&lt;&gt;"Va",AK277&lt;&gt;"H. Sale Real"),IF(AK279-AK277&lt;0.208333333333333,AK279-AK277,""),IF(AND(AK276&lt;&gt;"",LEFT(AG276,2)&lt;&gt;"NC",AK276&lt;&gt;"H. Sale Real"),IF(AK279-AK276&lt;0.208333333333333,AK279-AK276,""),IF(AND(AK275&lt;&gt;"",LEFT(AG275,2)&lt;&gt;"Va",AK275&lt;&gt;"H. Sale Real"),IF(AK279-AK275&lt;0.208333333333333,AK279-AK275,""),IF(AND(AK274&lt;&gt;"",LEFT(AG274,2)&lt;&gt;"Va",AK274&lt;&gt;"H. Sale Real"),IF(AK279-AK274&lt;0.208333333333333,AK279-AK274,""),""))))),""),"")</f>
        <v/>
      </c>
      <c r="AY278" s="87" t="n"/>
      <c r="AZ278" s="89" t="n"/>
      <c r="BA278" s="87" t="n"/>
      <c r="BB278" s="89" t="n"/>
      <c r="BC278" s="91" t="n"/>
      <c r="BD278" s="122">
        <f>IF(AK278&lt;&gt;"",IF(AND(BD277&lt;&gt;"IE",AT278&lt;&gt;0,AV278&lt;&gt;""),IF(IFERROR((AT278/AV278),0) &lt;=1,IFERROR(AT278/AV278,""),1),""),"")</f>
        <v/>
      </c>
      <c r="BE278" s="93" t="n"/>
      <c r="BF278" s="105" t="n"/>
      <c r="FC278" t="inlineStr">
        <is>
          <t>Diccionario 1</t>
        </is>
      </c>
      <c r="FD278" s="15" t="n">
        <v>1277</v>
      </c>
      <c r="FE278" s="15" t="inlineStr">
        <is>
          <t>MDN35025020128</t>
        </is>
      </c>
      <c r="FF278" s="15" t="inlineStr">
        <is>
          <t>LDYECS31XS0044030</t>
        </is>
      </c>
      <c r="FG278" s="15" t="inlineStr">
        <is>
          <t>Zhong Tong</t>
        </is>
      </c>
      <c r="FH278" s="15" t="inlineStr">
        <is>
          <t>Lck6122evg</t>
        </is>
      </c>
      <c r="FI278" s="15" t="inlineStr">
        <is>
          <t>ZHONGTONG</t>
        </is>
      </c>
      <c r="FJ278" s="15" t="inlineStr">
        <is>
          <t>LCK6122EVG</t>
        </is>
      </c>
      <c r="FK278" s="15" t="n">
        <v>2025</v>
      </c>
      <c r="FL278" s="15" t="inlineStr">
        <is>
          <t>B</t>
        </is>
      </c>
      <c r="FM278" s="15" t="inlineStr">
        <is>
          <t>SAN ALFONSO</t>
        </is>
      </c>
      <c r="FN278" s="15" t="inlineStr">
        <is>
          <t>San Alfonso 2141 (Ramón Subercaseaux 3060)</t>
        </is>
      </c>
      <c r="FO278" s="15" t="inlineStr">
        <is>
          <t>Estacion Central</t>
        </is>
      </c>
      <c r="FP278" t="inlineStr">
        <is>
          <t>B</t>
        </is>
      </c>
      <c r="FS278" s="14" t="inlineStr">
        <is>
          <t>3069 / SFWZ-32|</t>
        </is>
      </c>
      <c r="FT278" t="inlineStr">
        <is>
          <t>SFWZ-32|</t>
        </is>
      </c>
      <c r="FU278" t="inlineStr">
        <is>
          <t>SFWZ-32</t>
        </is>
      </c>
      <c r="FV278">
        <f>VLOOKUP(FU278,FD:FL,9,0)</f>
        <v/>
      </c>
      <c r="FZ278" s="51" t="inlineStr">
        <is>
          <t>F09</t>
        </is>
      </c>
      <c r="GA278" s="43" t="n">
        <v>0</v>
      </c>
      <c r="GB278" s="43" t="n">
        <v>0</v>
      </c>
      <c r="GC278" s="43" t="n">
        <v>0</v>
      </c>
      <c r="GD278" s="43" t="n">
        <v>0</v>
      </c>
      <c r="GE278" s="43" t="n">
        <v>0</v>
      </c>
      <c r="GF278" s="43" t="n">
        <v>11.985</v>
      </c>
      <c r="GG278" s="43" t="n">
        <v>22.215</v>
      </c>
      <c r="GH278" s="43" t="n">
        <v>20.24</v>
      </c>
      <c r="GI278" s="43" t="n">
        <v>18.59</v>
      </c>
      <c r="GJ278" s="43" t="n">
        <v>17.075</v>
      </c>
      <c r="GK278" s="43" t="n">
        <v>16.4</v>
      </c>
      <c r="GL278" s="43" t="n">
        <v>15.965</v>
      </c>
      <c r="GM278" s="43" t="n">
        <v>14.25</v>
      </c>
      <c r="GN278" s="43" t="n">
        <v>13.14</v>
      </c>
      <c r="GO278" s="43" t="n">
        <v>13.995</v>
      </c>
      <c r="GP278" s="43" t="n">
        <v>14.94</v>
      </c>
      <c r="GQ278" s="43" t="n">
        <v>14.81</v>
      </c>
      <c r="GR278" s="43" t="n">
        <v>14.36</v>
      </c>
      <c r="GS278" s="43" t="n">
        <v>14.15</v>
      </c>
      <c r="GT278" s="43" t="n">
        <v>15.59</v>
      </c>
      <c r="GU278" s="43" t="n">
        <v>18.71</v>
      </c>
      <c r="GV278" s="43" t="n">
        <v>19.895</v>
      </c>
      <c r="GW278" s="43" t="n">
        <v>20.65</v>
      </c>
      <c r="GX278" s="43" t="n">
        <v>21.9</v>
      </c>
      <c r="HA278" s="35" t="n">
        <v>48</v>
      </c>
      <c r="HB278" s="35" t="n">
        <v>272</v>
      </c>
    </row>
    <row r="279" ht="15.5" customHeight="1">
      <c r="A279" s="10">
        <f>HOUR(G279)+1</f>
        <v/>
      </c>
      <c r="B279" s="7" t="n"/>
      <c r="C279" s="7" t="n"/>
      <c r="D279" s="85">
        <f>IFERROR(
IF(AND(OR(Planilla!B279="C",Planilla!B279="c"), VLOOKUP(E279,FD:FP,13,0)="C"), "OK",IF(AND(OR(Planilla!B279="C",Planilla!B279="c"), OR(VLOOKUP(E279,FD:FP,13,0)="B", VLOOKUP(E279,FD:FP,13,0)="A")), "DEFICIT",IF(
AND(OR(Planilla!B279="B", Planilla!B279="BPAL"), VLOOKUP(E279,FD:FP,13,0)="B"), "OK",IF(AND(OR(Planilla!B279="B", Planilla!B279="BPAL"), VLOOKUP(E279,FD:FP,13,0)="A"), "DEFICIT",IF(AND(OR(Planilla!B279="B", Planilla!B279="BPAL"), VLOOKUP(E279,FD:FP,13,0)="C"), "SOBREOFERTA",IF(AND(Planilla!B279="A", VLOOKUP(E279,FD:FP,13,0)="A"), "OK",IF(
AND(Planilla!B279="A", OR(VLOOKUP(E279,FD:FP,13,0)="B", VLOOKUP(E279,FD:FP,13,0)="C")), "SOBREOFERTA",""
))))))),"")</f>
        <v/>
      </c>
      <c r="E279" s="8" t="n"/>
      <c r="F279" s="86" t="n"/>
      <c r="G279" s="87" t="n"/>
      <c r="H279" s="88">
        <f>IF(I279="","",IF(AND((I279-G279)&gt;=TIME(0,0,0),(I279-G279)&lt;TIME(0,3,0)),"OK",IF(AND((I279-G279)&gt;=TIME(0,3,0),(I279-G279)&lt;TIME(0,5,0)),"RETRASO DE 3-5 MIN",IF(AND((I279-G279)&gt;=TIME(0,5,0),(I279-G279)&lt;TIME(0,10,0)),"RETRASO DE 5-10 MIN",IF((I279-G279)&gt;=TIME(0,10,0),"RETRASO &gt;10 MIN", IF(AND((G279-I279)&gt;=TIME(0,0,0),(G279-I279)&lt;TIME(0,3,0)),"OK",IF((G279-I279)&gt;=TIME(0,3,0),"ADELANTADO")))))))</f>
        <v/>
      </c>
      <c r="I279" s="89" t="n"/>
      <c r="J279" s="89">
        <f>IF(A279&lt;&gt;"",HLOOKUP(VALUE(TEXT(G279,"h:mm:ss")),IF($C$6="Laboral",$FZ$4:$GX$227,IF($C$6="Sábado",$FZ$231:$GX$452,$FZ$456:$GX$656)),VLOOKUP($C$4,$HF$2:$HH$99,3,0)+IF(C$5="Ida",0,1),1),"")</f>
        <v/>
      </c>
      <c r="K279" s="89">
        <f>IF(A280&lt;&gt;A279,AVERAGEIF(A$9:A279,A279,J$9:J279),"")</f>
        <v/>
      </c>
      <c r="L279" s="89">
        <f>IFERROR(IF(A280&lt;&gt;A279,AVERAGEIF(A$9:A279,A279,S$9:S279),""),"")</f>
        <v/>
      </c>
      <c r="M279" s="89">
        <f>IFERROR(IF(A280&lt;&gt;A279,AVERAGEIF(A$9:A279,A279,T$9:T279),""),"")</f>
        <v/>
      </c>
      <c r="N279" s="89">
        <f t="array" ref="N279">IFERROR(IF(A280&lt;&gt;A279,_xlfn.STDEV.P(IF(A$9:A279=A279,T$9:T279)),""),"")</f>
        <v/>
      </c>
      <c r="O279" s="89">
        <f t="array" ref="O279">IFERROR(IF(A280&lt;&gt;A279,_xlfn.STDEV.P(IF(A$9:A279=A279,S$9:S279)),""),"")</f>
        <v/>
      </c>
      <c r="P279" s="90">
        <f>IFERROR(IF(A279&lt;&gt;A280,MAX((((M279*24*60)/2)*(1+POWER((((N279*24*60) / (M279*24*60) )),2))) + ((M279*24*60 )*-0.1 + (K279*0.015)) +1,(((M279*24*60)/2)*(1+POWER((((N279*24*60) / (M279*24*60 ))),2)))),""),"")</f>
        <v/>
      </c>
      <c r="Q279" s="90">
        <f>IF(AND(O279&lt;&gt;"",L279&lt;&gt;""),IF(A279&lt;&gt;A280,((L279*24*60) / 2 ) * (1 + POWER(((O279*24*60) / (L279*24*60)),2)),""),"")</f>
        <v/>
      </c>
      <c r="R279" s="90">
        <f>IF(Q279&lt;&gt;"",MAX(P279,Q279),"")</f>
        <v/>
      </c>
      <c r="S279" s="89">
        <f>IF(I279&lt;&gt;"H. Sale Real",IF(AND(I280&lt;&gt;"",LEFT(C280,2)&lt;&gt;"Va"),IF(AND(I279&lt;&gt;"",LEFT(C279,2)&lt;&gt;"Va",I279&lt;&gt;"H. Sale Real"),IF(I280-I279&lt;0.208333333333333,I280-I279,""),IF(AND(I278&lt;&gt;"",LEFT(C278,2)&lt;&gt;"Va",I278&lt;&gt;"H. Sale Real"),IF(I280-I278&lt;0.208333333333333,I280-I278,""),IF(AND(I277&lt;&gt;"",LEFT(C277,2)&lt;&gt;"Va",I277&lt;&gt;"H. Sale Real"),IF(I280-I277&lt;0.208333333333333,I280-I277,""),IF(AND(I276&lt;&gt;"",LEFT(C276,2)&lt;&gt;"Va",I276&lt;&gt;"H. Sale Real"),IF(I280-I276&lt;0.208333333333333,I280-I276,""),IF(AND(I275&lt;&gt;"",LEFT(C275,2)&lt;&gt;"Va",I275&lt;&gt;"H. Sale Real"),IF(I280-I275&lt;0.208333333333333,I280-I275,""),""))))),""),"")</f>
        <v/>
      </c>
      <c r="T279" s="89">
        <f>IF(G279&lt;&gt;"H. Sale Real",IF(AND(G280&lt;&gt;"",LEFT(C280,2)&lt;&gt;"Va"),IF(AND(G279&lt;&gt;"",LEFT(C279,2)&lt;&gt;"Va",G279&lt;&gt;"H. Sale Real"),IF(G280-G279&lt;0.208333333333333,G280-G279,""),IF(AND(G278&lt;&gt;"",LEFT(C278,2)&lt;&gt;"Va",G278&lt;&gt;"H. Sale Real"),IF(G280-G278&lt;0.208333333333333,G280-G278,""),IF(AND(G277&lt;&gt;"",LEFT(C277,2)&lt;&gt;"Va",G277&lt;&gt;"H. Sale Real"),IF(G280-G277&lt;0.208333333333333,G280-G277,""),IF(AND(G276&lt;&gt;"",LEFT(C276,2)&lt;&gt;"Va",G276&lt;&gt;"H. Sale Real"),IF(G280-G276&lt;0.208333333333333,G280-G276,""),IF(AND(G275&lt;&gt;"",LEFT(C275,2)&lt;&gt;"Va",G275&lt;&gt;"H. Sale Real"),IF(G280-G275&lt;0.208333333333333,G280-G275,""),""))))),""),"")</f>
        <v/>
      </c>
      <c r="U279" s="87" t="n"/>
      <c r="V279" s="89" t="n"/>
      <c r="W279" s="87" t="n"/>
      <c r="X279" s="89" t="n"/>
      <c r="Y279" s="91" t="n"/>
      <c r="Z279" s="122">
        <f>IF(G279&lt;&gt;"",IF(AND(Z278&lt;&gt;"IE",P279&lt;&gt;0,R279&lt;&gt;""),IF(IFERROR((P279/R279),0) &lt;=1,IFERROR(P279/R279,""),1),""),"")</f>
        <v/>
      </c>
      <c r="AA279" s="93" t="n"/>
      <c r="AB279" s="2" t="n"/>
      <c r="AE279" s="10">
        <f>HOUR(AK279)+1</f>
        <v/>
      </c>
      <c r="AF279" s="7" t="n"/>
      <c r="AG279" s="7" t="n"/>
      <c r="AH279" s="86" t="n"/>
      <c r="AI279" s="8" t="n"/>
      <c r="AJ279" s="86" t="n"/>
      <c r="AK279" s="87" t="n"/>
      <c r="AL279" s="88">
        <f>IF(AM279="","",IF(AND((AM279-AK279)&gt;=TIME(0,0,0),(AM279-AK279)&lt;TIME(0,3,0)),"OK",IF(AND((AM279-AK279)&gt;=TIME(0,3,0),(AM279-AK279)&lt;TIME(0,5,0)),"RETRASO DE 3-5 MIN",IF(AND((AM279-AK279)&gt;=TIME(0,5,0),(AM279-AK279)&lt;TIME(0,10,0)),"RETRASO DE 5-10 MIN",IF((AM279-AK279)&gt;=TIME(0,10,0),"RETRASO &gt;10 MIN", IF(AND((AK279-AM279)&gt;=TIME(0,0,0),(AK279-AM279)&lt;TIME(0,3,0)),"OK",IF((AK279-AM279)&gt;=TIME(0,3,0),"ADELANTADO")))))))</f>
        <v/>
      </c>
      <c r="AM279" s="91" t="n"/>
      <c r="AN279" s="89">
        <f>IF(AE279&lt;&gt;"",HLOOKUP(VALUE(TEXT(AK279,"h:mm:ss")),IF($C$6="Laboral",$FZ$4:$GX$227,IF($C$6="Sábado",$FZ$231:$GX$452,$FZ$456:$GX$656)),VLOOKUP($C$4,$HF$2:$HH$99,3,0)+IF(AG$5="Ida",0,1),1),"")</f>
        <v/>
      </c>
      <c r="AO279" s="89">
        <f>IF(AE280&lt;&gt;AE279,AVERAGEIF(AE$9:AE279,AE279,AN$9:AN279),"")</f>
        <v/>
      </c>
      <c r="AP279" s="89">
        <f>IFERROR(IF(AE280&lt;&gt;AE279,AVERAGEIF(AE$9:AE279,AE279,AW$9:AW279),""),"")</f>
        <v/>
      </c>
      <c r="AQ279" s="89">
        <f>IFERROR(IF(AE280&lt;&gt;AE279,AVERAGEIF(AE$9:AE279,AE279,AX$9:AX279),""),"")</f>
        <v/>
      </c>
      <c r="AR279" s="89">
        <f t="array" ref="AR279">IFERROR(IF(AE280&lt;&gt;AE279,_xlfn.STDEV.P(IF(AE$9:AE279=AE279,AX$9:AX279)),""),"")</f>
        <v/>
      </c>
      <c r="AS279" s="89">
        <f t="array" ref="AS279">IFERROR(IF(AE280&lt;&gt;AE279,_xlfn.STDEV.P(IF(AE$9:AE279=AE279,AW$9:AW279)),""),"")</f>
        <v/>
      </c>
      <c r="AT279" s="90">
        <f>IFERROR(IF(AE279&lt;&gt;AE280,MAX((((AQ279*24*60)/2)*(1+POWER((((AR279*24*60) / (AQ279*24*60) )),2))) + ((AQ279*24*60 )*-0.1 + (AO279*0.015)) +1,(((AQ279*24*60)/2)*(1+POWER((((AR279*24*60) / (AQ279*24*60 ))),2)))),""),"")</f>
        <v/>
      </c>
      <c r="AU279" s="90">
        <f>IF(AND(AS279&lt;&gt;"",AP279&lt;&gt;""),IF(AE279&lt;&gt;AE280,((AP279*24*60) / 2 ) * (1 + POWER(((AS279*24*60) / (AP279*24*60)),2)),""),"")</f>
        <v/>
      </c>
      <c r="AV279" s="90">
        <f>IF(AU279&lt;&gt;"",MAX(AT279,AU279),"")</f>
        <v/>
      </c>
      <c r="AW279" s="89">
        <f>IF(AM279&lt;&gt;"H. Sale Real",IF(AND(AM280&lt;&gt;"",LEFT(AG280,2)&lt;&gt;"Va"),IF(AND(AM279&lt;&gt;"",LEFT(AG279,2)&lt;&gt;"Va",AM279&lt;&gt;"H. Sale Real"),IF(AM280-AM279&lt;0.208333333333333,AM280-AM279,""),IF(AND(AM278&lt;&gt;"",LEFT(AG278,2)&lt;&gt;"Va",AM278&lt;&gt;"H. Sale Real"),IF(AM280-AM278&lt;0.208333333333333,AM280-AM278,""),IF(AND(AM277&lt;&gt;"",LEFT(AG277,2)&lt;&gt;"Va",AM277&lt;&gt;"H. Sale Real"),IF(AM280-AM277&lt;0.208333333333333,AM280-AM277,""),IF(AND(AM276&lt;&gt;"",LEFT(AG276,2)&lt;&gt;"Va",AM276&lt;&gt;"H. Sale Real"),IF(AM280-AM276&lt;0.208333333333333,AM280-AM276,""),IF(AND(AM275&lt;&gt;"",LEFT(AG275,2)&lt;&gt;"Va",AM275&lt;&gt;"H. Sale Real"),IF(AM280-AM275&lt;0.208333333333333,AM280-AM275,""),""))))),""),"")</f>
        <v/>
      </c>
      <c r="AX279" s="89">
        <f>IF(AK279&lt;&gt;"H. Sale Real",IF(AND(AK280&lt;&gt;"",LEFT(AG280,2)&lt;&gt;"Va"),IF(AND(AK279&lt;&gt;"",LEFT(AG279,2)&lt;&gt;"Va",AK279&lt;&gt;"H. Sale Real"),IF(AK280-AK279&lt;0.208333333333333,AK280-AK279,""),IF(AND(AK278&lt;&gt;"",LEFT(AG278,2)&lt;&gt;"Va",AK278&lt;&gt;"H. Sale Real"),IF(AK280-AK278&lt;0.208333333333333,AK280-AK278,""),IF(AND(AK277&lt;&gt;"",LEFT(AG277,2)&lt;&gt;"NC",AK277&lt;&gt;"H. Sale Real"),IF(AK280-AK277&lt;0.208333333333333,AK280-AK277,""),IF(AND(AK276&lt;&gt;"",LEFT(AG276,2)&lt;&gt;"Va",AK276&lt;&gt;"H. Sale Real"),IF(AK280-AK276&lt;0.208333333333333,AK280-AK276,""),IF(AND(AK275&lt;&gt;"",LEFT(AG275,2)&lt;&gt;"Va",AK275&lt;&gt;"H. Sale Real"),IF(AK280-AK275&lt;0.208333333333333,AK280-AK275,""),""))))),""),"")</f>
        <v/>
      </c>
      <c r="AY279" s="87" t="n"/>
      <c r="AZ279" s="89" t="n"/>
      <c r="BA279" s="87" t="n"/>
      <c r="BB279" s="89" t="n"/>
      <c r="BC279" s="91" t="n"/>
      <c r="BD279" s="122">
        <f>IF(AK279&lt;&gt;"",IF(AND(BD278&lt;&gt;"IE",AT279&lt;&gt;0,AV279&lt;&gt;""),IF(IFERROR((AT279/AV279),0) &lt;=1,IFERROR(AT279/AV279,""),1),""),"")</f>
        <v/>
      </c>
      <c r="BE279" s="93" t="n"/>
      <c r="BF279" s="105" t="n"/>
      <c r="FC279" t="inlineStr">
        <is>
          <t>Diccionario 1</t>
        </is>
      </c>
      <c r="FD279" s="15" t="n">
        <v>1278</v>
      </c>
      <c r="FE279" s="15" t="inlineStr">
        <is>
          <t>MDN35025010019</t>
        </is>
      </c>
      <c r="FF279" s="15" t="inlineStr">
        <is>
          <t>LDYECS319S0044116</t>
        </is>
      </c>
      <c r="FG279" s="15" t="inlineStr">
        <is>
          <t>Zhong Tong</t>
        </is>
      </c>
      <c r="FH279" s="15" t="inlineStr">
        <is>
          <t>Lck6122evg</t>
        </is>
      </c>
      <c r="FI279" s="15" t="inlineStr">
        <is>
          <t>ZHONGTONG</t>
        </is>
      </c>
      <c r="FJ279" s="15" t="inlineStr">
        <is>
          <t>LCK6122EVG</t>
        </is>
      </c>
      <c r="FK279" s="15" t="n">
        <v>2025</v>
      </c>
      <c r="FL279" s="15" t="inlineStr">
        <is>
          <t>B</t>
        </is>
      </c>
      <c r="FM279" s="15" t="inlineStr">
        <is>
          <t>CERRILLOS</t>
        </is>
      </c>
      <c r="FN279" s="15" t="inlineStr">
        <is>
          <t>Calle Uno 7371</t>
        </is>
      </c>
      <c r="FO279" s="15" t="inlineStr">
        <is>
          <t>Cerrillos</t>
        </is>
      </c>
      <c r="FP279" t="inlineStr">
        <is>
          <t>B</t>
        </is>
      </c>
      <c r="FS279" s="14" t="inlineStr">
        <is>
          <t>3069 / SFWZ-32|</t>
        </is>
      </c>
      <c r="FT279" t="inlineStr">
        <is>
          <t>SFWZ-32|</t>
        </is>
      </c>
      <c r="FU279" t="inlineStr">
        <is>
          <t>SFWZ-32</t>
        </is>
      </c>
      <c r="FV279">
        <f>VLOOKUP(FU279,FD:FL,9,0)</f>
        <v/>
      </c>
      <c r="FZ279" s="51" t="inlineStr">
        <is>
          <t>F09</t>
        </is>
      </c>
      <c r="GA279" s="43" t="n">
        <v>12.66</v>
      </c>
      <c r="GB279" s="43" t="n">
        <v>0</v>
      </c>
      <c r="GC279" s="43" t="n">
        <v>0</v>
      </c>
      <c r="GD279" s="43" t="n">
        <v>0</v>
      </c>
      <c r="GE279" s="43" t="n">
        <v>0</v>
      </c>
      <c r="GF279" s="43" t="n">
        <v>11.085</v>
      </c>
      <c r="GG279" s="43" t="n">
        <v>22.92</v>
      </c>
      <c r="GH279" s="43" t="n">
        <v>21.88</v>
      </c>
      <c r="GI279" s="43" t="n">
        <v>20.315</v>
      </c>
      <c r="GJ279" s="43" t="n">
        <v>19.58</v>
      </c>
      <c r="GK279" s="43" t="n">
        <v>18.435</v>
      </c>
      <c r="GL279" s="43" t="n">
        <v>17.325</v>
      </c>
      <c r="GM279" s="43" t="n">
        <v>16.61</v>
      </c>
      <c r="GN279" s="43" t="n">
        <v>16.37</v>
      </c>
      <c r="GO279" s="43" t="n">
        <v>16.955</v>
      </c>
      <c r="GP279" s="43" t="n">
        <v>16.915</v>
      </c>
      <c r="GQ279" s="43" t="n">
        <v>17.065</v>
      </c>
      <c r="GR279" s="43" t="n">
        <v>16.72</v>
      </c>
      <c r="GS279" s="43" t="n">
        <v>16.23</v>
      </c>
      <c r="GT279" s="43" t="n">
        <v>16.86</v>
      </c>
      <c r="GU279" s="43" t="n">
        <v>17.805</v>
      </c>
      <c r="GV279" s="43" t="n">
        <v>19.78</v>
      </c>
      <c r="GW279" s="43" t="n">
        <v>21.22</v>
      </c>
      <c r="GX279" s="43" t="n">
        <v>23.56</v>
      </c>
      <c r="HA279" s="35" t="n">
        <v>49</v>
      </c>
      <c r="HB279" s="35" t="n">
        <v>273</v>
      </c>
    </row>
    <row r="280" ht="15.5" customHeight="1">
      <c r="A280" s="10">
        <f>HOUR(G280)+1</f>
        <v/>
      </c>
      <c r="B280" s="7" t="n"/>
      <c r="C280" s="7" t="n"/>
      <c r="D280" s="85">
        <f>IFERROR(
IF(AND(OR(Planilla!B280="C",Planilla!B280="c"), VLOOKUP(E280,FD:FP,13,0)="C"), "OK",IF(AND(OR(Planilla!B280="C",Planilla!B280="c"), OR(VLOOKUP(E280,FD:FP,13,0)="B", VLOOKUP(E280,FD:FP,13,0)="A")), "DEFICIT",IF(
AND(OR(Planilla!B280="B", Planilla!B280="BPAL"), VLOOKUP(E280,FD:FP,13,0)="B"), "OK",IF(AND(OR(Planilla!B280="B", Planilla!B280="BPAL"), VLOOKUP(E280,FD:FP,13,0)="A"), "DEFICIT",IF(AND(OR(Planilla!B280="B", Planilla!B280="BPAL"), VLOOKUP(E280,FD:FP,13,0)="C"), "SOBREOFERTA",IF(AND(Planilla!B280="A", VLOOKUP(E280,FD:FP,13,0)="A"), "OK",IF(
AND(Planilla!B280="A", OR(VLOOKUP(E280,FD:FP,13,0)="B", VLOOKUP(E280,FD:FP,13,0)="C")), "SOBREOFERTA",""
))))))),"")</f>
        <v/>
      </c>
      <c r="E280" s="8" t="n"/>
      <c r="F280" s="86" t="n"/>
      <c r="G280" s="87" t="n"/>
      <c r="H280" s="88">
        <f>IF(I280="","",IF(AND((I280-G280)&gt;=TIME(0,0,0),(I280-G280)&lt;TIME(0,3,0)),"OK",IF(AND((I280-G280)&gt;=TIME(0,3,0),(I280-G280)&lt;TIME(0,5,0)),"RETRASO DE 3-5 MIN",IF(AND((I280-G280)&gt;=TIME(0,5,0),(I280-G280)&lt;TIME(0,10,0)),"RETRASO DE 5-10 MIN",IF((I280-G280)&gt;=TIME(0,10,0),"RETRASO &gt;10 MIN", IF(AND((G280-I280)&gt;=TIME(0,0,0),(G280-I280)&lt;TIME(0,3,0)),"OK",IF((G280-I280)&gt;=TIME(0,3,0),"ADELANTADO")))))))</f>
        <v/>
      </c>
      <c r="I280" s="89" t="n"/>
      <c r="J280" s="89">
        <f>IF(A280&lt;&gt;"",HLOOKUP(VALUE(TEXT(G280,"h:mm:ss")),IF($C$6="Laboral",$FZ$4:$GX$227,IF($C$6="Sábado",$FZ$231:$GX$452,$FZ$456:$GX$656)),VLOOKUP($C$4,$HF$2:$HH$99,3,0)+IF(C$5="Ida",0,1),1),"")</f>
        <v/>
      </c>
      <c r="K280" s="89">
        <f>IF(A281&lt;&gt;A280,AVERAGEIF(A$9:A280,A280,J$9:J280),"")</f>
        <v/>
      </c>
      <c r="L280" s="89">
        <f>IFERROR(IF(A281&lt;&gt;A280,AVERAGEIF(A$9:A280,A280,S$9:S280),""),"")</f>
        <v/>
      </c>
      <c r="M280" s="89">
        <f>IFERROR(IF(A281&lt;&gt;A280,AVERAGEIF(A$9:A280,A280,T$9:T280),""),"")</f>
        <v/>
      </c>
      <c r="N280" s="89">
        <f t="array" ref="N280">IFERROR(IF(A281&lt;&gt;A280,_xlfn.STDEV.P(IF(A$9:A280=A280,T$9:T280)),""),"")</f>
        <v/>
      </c>
      <c r="O280" s="89">
        <f t="array" ref="O280">IFERROR(IF(A281&lt;&gt;A280,_xlfn.STDEV.P(IF(A$9:A280=A280,S$9:S280)),""),"")</f>
        <v/>
      </c>
      <c r="P280" s="90">
        <f>IFERROR(IF(A280&lt;&gt;A281,MAX((((M280*24*60)/2)*(1+POWER((((N280*24*60) / (M280*24*60) )),2))) + ((M280*24*60 )*-0.1 + (K280*0.015)) +1,(((M280*24*60)/2)*(1+POWER((((N280*24*60) / (M280*24*60 ))),2)))),""),"")</f>
        <v/>
      </c>
      <c r="Q280" s="90">
        <f>IF(AND(O280&lt;&gt;"",L280&lt;&gt;""),IF(A280&lt;&gt;A281,((L280*24*60) / 2 ) * (1 + POWER(((O280*24*60) / (L280*24*60)),2)),""),"")</f>
        <v/>
      </c>
      <c r="R280" s="90">
        <f>IF(Q280&lt;&gt;"",MAX(P280,Q280),"")</f>
        <v/>
      </c>
      <c r="S280" s="89">
        <f>IF(I280&lt;&gt;"H. Sale Real",IF(AND(I281&lt;&gt;"",LEFT(C281,2)&lt;&gt;"Va"),IF(AND(I280&lt;&gt;"",LEFT(C280,2)&lt;&gt;"Va",I280&lt;&gt;"H. Sale Real"),IF(I281-I280&lt;0.208333333333333,I281-I280,""),IF(AND(I279&lt;&gt;"",LEFT(C279,2)&lt;&gt;"Va",I279&lt;&gt;"H. Sale Real"),IF(I281-I279&lt;0.208333333333333,I281-I279,""),IF(AND(I278&lt;&gt;"",LEFT(C278,2)&lt;&gt;"Va",I278&lt;&gt;"H. Sale Real"),IF(I281-I278&lt;0.208333333333333,I281-I278,""),IF(AND(I277&lt;&gt;"",LEFT(C277,2)&lt;&gt;"Va",I277&lt;&gt;"H. Sale Real"),IF(I281-I277&lt;0.208333333333333,I281-I277,""),IF(AND(I276&lt;&gt;"",LEFT(C276,2)&lt;&gt;"Va",I276&lt;&gt;"H. Sale Real"),IF(I281-I276&lt;0.208333333333333,I281-I276,""),""))))),""),"")</f>
        <v/>
      </c>
      <c r="T280" s="89">
        <f>IF(G280&lt;&gt;"H. Sale Real",IF(AND(G281&lt;&gt;"",LEFT(C281,2)&lt;&gt;"Va"),IF(AND(G280&lt;&gt;"",LEFT(C280,2)&lt;&gt;"Va",G280&lt;&gt;"H. Sale Real"),IF(G281-G280&lt;0.208333333333333,G281-G280,""),IF(AND(G279&lt;&gt;"",LEFT(C279,2)&lt;&gt;"Va",G279&lt;&gt;"H. Sale Real"),IF(G281-G279&lt;0.208333333333333,G281-G279,""),IF(AND(G278&lt;&gt;"",LEFT(C278,2)&lt;&gt;"Va",G278&lt;&gt;"H. Sale Real"),IF(G281-G278&lt;0.208333333333333,G281-G278,""),IF(AND(G277&lt;&gt;"",LEFT(C277,2)&lt;&gt;"Va",G277&lt;&gt;"H. Sale Real"),IF(G281-G277&lt;0.208333333333333,G281-G277,""),IF(AND(G276&lt;&gt;"",LEFT(C276,2)&lt;&gt;"Va",G276&lt;&gt;"H. Sale Real"),IF(G281-G276&lt;0.208333333333333,G281-G276,""),""))))),""),"")</f>
        <v/>
      </c>
      <c r="U280" s="87" t="n"/>
      <c r="V280" s="89" t="n"/>
      <c r="W280" s="87" t="n"/>
      <c r="X280" s="89" t="n"/>
      <c r="Y280" s="91" t="n"/>
      <c r="Z280" s="122">
        <f>IF(G280&lt;&gt;"",IF(AND(Z279&lt;&gt;"IE",P280&lt;&gt;0,R280&lt;&gt;""),IF(IFERROR((P280/R280),0) &lt;=1,IFERROR(P280/R280,""),1),""),"")</f>
        <v/>
      </c>
      <c r="AA280" s="93" t="n"/>
      <c r="AB280" s="2" t="n"/>
      <c r="AE280" s="10">
        <f>HOUR(AK280)+1</f>
        <v/>
      </c>
      <c r="AF280" s="7" t="n"/>
      <c r="AG280" s="7" t="n"/>
      <c r="AH280" s="86" t="n"/>
      <c r="AI280" s="8" t="n"/>
      <c r="AJ280" s="86" t="n"/>
      <c r="AK280" s="87" t="n"/>
      <c r="AL280" s="88">
        <f>IF(AM280="","",IF(AND((AM280-AK280)&gt;=TIME(0,0,0),(AM280-AK280)&lt;TIME(0,3,0)),"OK",IF(AND((AM280-AK280)&gt;=TIME(0,3,0),(AM280-AK280)&lt;TIME(0,5,0)),"RETRASO DE 3-5 MIN",IF(AND((AM280-AK280)&gt;=TIME(0,5,0),(AM280-AK280)&lt;TIME(0,10,0)),"RETRASO DE 5-10 MIN",IF((AM280-AK280)&gt;=TIME(0,10,0),"RETRASO &gt;10 MIN", IF(AND((AK280-AM280)&gt;=TIME(0,0,0),(AK280-AM280)&lt;TIME(0,3,0)),"OK",IF((AK280-AM280)&gt;=TIME(0,3,0),"ADELANTADO")))))))</f>
        <v/>
      </c>
      <c r="AM280" s="91" t="n"/>
      <c r="AN280" s="89">
        <f>IF(AE280&lt;&gt;"",HLOOKUP(VALUE(TEXT(AK280,"h:mm:ss")),IF($C$6="Laboral",$FZ$4:$GX$227,IF($C$6="Sábado",$FZ$231:$GX$452,$FZ$456:$GX$656)),VLOOKUP($C$4,$HF$2:$HH$99,3,0)+IF(AG$5="Ida",0,1),1),"")</f>
        <v/>
      </c>
      <c r="AO280" s="89">
        <f>IF(AE281&lt;&gt;AE280,AVERAGEIF(AE$9:AE280,AE280,AN$9:AN280),"")</f>
        <v/>
      </c>
      <c r="AP280" s="89">
        <f>IFERROR(IF(AE281&lt;&gt;AE280,AVERAGEIF(AE$9:AE280,AE280,AW$9:AW280),""),"")</f>
        <v/>
      </c>
      <c r="AQ280" s="89">
        <f>IFERROR(IF(AE281&lt;&gt;AE280,AVERAGEIF(AE$9:AE280,AE280,AX$9:AX280),""),"")</f>
        <v/>
      </c>
      <c r="AR280" s="89">
        <f t="array" ref="AR280">IFERROR(IF(AE281&lt;&gt;AE280,_xlfn.STDEV.P(IF(AE$9:AE280=AE280,AX$9:AX280)),""),"")</f>
        <v/>
      </c>
      <c r="AS280" s="89">
        <f t="array" ref="AS280">IFERROR(IF(AE281&lt;&gt;AE280,_xlfn.STDEV.P(IF(AE$9:AE280=AE280,AW$9:AW280)),""),"")</f>
        <v/>
      </c>
      <c r="AT280" s="90">
        <f>IFERROR(IF(AE280&lt;&gt;AE281,MAX((((AQ280*24*60)/2)*(1+POWER((((AR280*24*60) / (AQ280*24*60) )),2))) + ((AQ280*24*60 )*-0.1 + (AO280*0.015)) +1,(((AQ280*24*60)/2)*(1+POWER((((AR280*24*60) / (AQ280*24*60 ))),2)))),""),"")</f>
        <v/>
      </c>
      <c r="AU280" s="90">
        <f>IF(AND(AS280&lt;&gt;"",AP280&lt;&gt;""),IF(AE280&lt;&gt;AE281,((AP280*24*60) / 2 ) * (1 + POWER(((AS280*24*60) / (AP280*24*60)),2)),""),"")</f>
        <v/>
      </c>
      <c r="AV280" s="90">
        <f>IF(AU280&lt;&gt;"",MAX(AT280,AU280),"")</f>
        <v/>
      </c>
      <c r="AW280" s="89">
        <f>IF(AM280&lt;&gt;"H. Sale Real",IF(AND(AM281&lt;&gt;"",LEFT(AG281,2)&lt;&gt;"Va"),IF(AND(AM280&lt;&gt;"",LEFT(AG280,2)&lt;&gt;"Va",AM280&lt;&gt;"H. Sale Real"),IF(AM281-AM280&lt;0.208333333333333,AM281-AM280,""),IF(AND(AM279&lt;&gt;"",LEFT(AG279,2)&lt;&gt;"Va",AM279&lt;&gt;"H. Sale Real"),IF(AM281-AM279&lt;0.208333333333333,AM281-AM279,""),IF(AND(AM278&lt;&gt;"",LEFT(AG278,2)&lt;&gt;"Va",AM278&lt;&gt;"H. Sale Real"),IF(AM281-AM278&lt;0.208333333333333,AM281-AM278,""),IF(AND(AM277&lt;&gt;"",LEFT(AG277,2)&lt;&gt;"Va",AM277&lt;&gt;"H. Sale Real"),IF(AM281-AM277&lt;0.208333333333333,AM281-AM277,""),IF(AND(AM276&lt;&gt;"",LEFT(AG276,2)&lt;&gt;"Va",AM276&lt;&gt;"H. Sale Real"),IF(AM281-AM276&lt;0.208333333333333,AM281-AM276,""),""))))),""),"")</f>
        <v/>
      </c>
      <c r="AX280" s="89">
        <f>IF(AK280&lt;&gt;"H. Sale Real",IF(AND(AK281&lt;&gt;"",LEFT(AG281,2)&lt;&gt;"Va"),IF(AND(AK280&lt;&gt;"",LEFT(AG280,2)&lt;&gt;"Va",AK280&lt;&gt;"H. Sale Real"),IF(AK281-AK280&lt;0.208333333333333,AK281-AK280,""),IF(AND(AK279&lt;&gt;"",LEFT(AG279,2)&lt;&gt;"Va",AK279&lt;&gt;"H. Sale Real"),IF(AK281-AK279&lt;0.208333333333333,AK281-AK279,""),IF(AND(AK278&lt;&gt;"",LEFT(AG278,2)&lt;&gt;"NC",AK278&lt;&gt;"H. Sale Real"),IF(AK281-AK278&lt;0.208333333333333,AK281-AK278,""),IF(AND(AK277&lt;&gt;"",LEFT(AG277,2)&lt;&gt;"Va",AK277&lt;&gt;"H. Sale Real"),IF(AK281-AK277&lt;0.208333333333333,AK281-AK277,""),IF(AND(AK276&lt;&gt;"",LEFT(AG276,2)&lt;&gt;"Va",AK276&lt;&gt;"H. Sale Real"),IF(AK281-AK276&lt;0.208333333333333,AK281-AK276,""),""))))),""),"")</f>
        <v/>
      </c>
      <c r="AY280" s="87" t="n"/>
      <c r="AZ280" s="89" t="n"/>
      <c r="BA280" s="87" t="n"/>
      <c r="BB280" s="89" t="n"/>
      <c r="BC280" s="91" t="n"/>
      <c r="BD280" s="122">
        <f>IF(AK280&lt;&gt;"",IF(AND(BD279&lt;&gt;"IE",AT280&lt;&gt;0,AV280&lt;&gt;""),IF(IFERROR((AT280/AV280),0) &lt;=1,IFERROR(AT280/AV280,""),1),""),"")</f>
        <v/>
      </c>
      <c r="BE280" s="93" t="n"/>
      <c r="BF280" s="105" t="n"/>
      <c r="FC280" t="inlineStr">
        <is>
          <t>Diccionario 1</t>
        </is>
      </c>
      <c r="FD280" s="15" t="n">
        <v>1279</v>
      </c>
      <c r="FE280" s="15" t="inlineStr">
        <is>
          <t>MDN35025020127</t>
        </is>
      </c>
      <c r="FF280" s="15" t="inlineStr">
        <is>
          <t>LDYECS313S0044029</t>
        </is>
      </c>
      <c r="FG280" s="15" t="inlineStr">
        <is>
          <t>Zhong Tong</t>
        </is>
      </c>
      <c r="FH280" s="15" t="inlineStr">
        <is>
          <t>Lck6122evg</t>
        </is>
      </c>
      <c r="FI280" s="15" t="inlineStr">
        <is>
          <t>ZHONGTONG</t>
        </is>
      </c>
      <c r="FJ280" s="15" t="inlineStr">
        <is>
          <t>LCK6122EVG</t>
        </is>
      </c>
      <c r="FK280" s="15" t="n">
        <v>2025</v>
      </c>
      <c r="FL280" s="15" t="inlineStr">
        <is>
          <t>B</t>
        </is>
      </c>
      <c r="FM280" s="15" t="inlineStr">
        <is>
          <t>PIE ANDINO</t>
        </is>
      </c>
      <c r="FN280" s="15" t="inlineStr">
        <is>
          <t>Pie Andino 31 (Pie Andino 383)</t>
        </is>
      </c>
      <c r="FO280" s="15" t="inlineStr">
        <is>
          <t>Puente Alto</t>
        </is>
      </c>
      <c r="FP280" t="inlineStr">
        <is>
          <t>B</t>
        </is>
      </c>
      <c r="FS280" s="14" t="inlineStr">
        <is>
          <t>3069 / SFWZ-32|</t>
        </is>
      </c>
      <c r="FT280" t="inlineStr">
        <is>
          <t>SFWZ-32|</t>
        </is>
      </c>
      <c r="FU280" t="inlineStr">
        <is>
          <t>SFWZ-32</t>
        </is>
      </c>
      <c r="FV280">
        <f>VLOOKUP(FU280,FD:FL,9,0)</f>
        <v/>
      </c>
      <c r="FZ280" s="51" t="inlineStr">
        <is>
          <t>F10c</t>
        </is>
      </c>
      <c r="GA280" s="43" t="n">
        <v>0</v>
      </c>
      <c r="GB280" s="43" t="n">
        <v>0</v>
      </c>
      <c r="GC280" s="43" t="n">
        <v>0</v>
      </c>
      <c r="GD280" s="43" t="n">
        <v>0</v>
      </c>
      <c r="GE280" s="43" t="n">
        <v>0</v>
      </c>
      <c r="GF280" s="43" t="n">
        <v>23.325</v>
      </c>
      <c r="GG280" s="43" t="n">
        <v>21.51</v>
      </c>
      <c r="GH280" s="43" t="n">
        <v>20.365</v>
      </c>
      <c r="GI280" s="43" t="n">
        <v>19.02</v>
      </c>
      <c r="GJ280" s="43" t="n">
        <v>17.645</v>
      </c>
      <c r="GK280" s="43" t="n">
        <v>0</v>
      </c>
      <c r="GL280" s="43" t="n">
        <v>0</v>
      </c>
      <c r="GM280" s="43" t="n">
        <v>0</v>
      </c>
      <c r="GN280" s="43" t="n">
        <v>0</v>
      </c>
      <c r="GO280" s="43" t="n">
        <v>0</v>
      </c>
      <c r="GP280" s="43" t="n">
        <v>0</v>
      </c>
      <c r="GQ280" s="43" t="n">
        <v>0</v>
      </c>
      <c r="GR280" s="43" t="n">
        <v>0</v>
      </c>
      <c r="GS280" s="43" t="n">
        <v>0</v>
      </c>
      <c r="GT280" s="43" t="n">
        <v>0</v>
      </c>
      <c r="GU280" s="43" t="n">
        <v>0</v>
      </c>
      <c r="GV280" s="43" t="n">
        <v>0</v>
      </c>
      <c r="GW280" s="43" t="n">
        <v>0</v>
      </c>
      <c r="GX280" s="43" t="n">
        <v>0</v>
      </c>
      <c r="HA280" s="35" t="n">
        <v>50</v>
      </c>
      <c r="HB280" s="35" t="n">
        <v>274</v>
      </c>
    </row>
    <row r="281" ht="15.5" customHeight="1">
      <c r="A281" s="10">
        <f>HOUR(G281)+1</f>
        <v/>
      </c>
      <c r="B281" s="7" t="n"/>
      <c r="C281" s="7" t="n"/>
      <c r="D281" s="85">
        <f>IFERROR(
IF(AND(OR(Planilla!B281="C",Planilla!B281="c"), VLOOKUP(E281,FD:FP,13,0)="C"), "OK",IF(AND(OR(Planilla!B281="C",Planilla!B281="c"), OR(VLOOKUP(E281,FD:FP,13,0)="B", VLOOKUP(E281,FD:FP,13,0)="A")), "DEFICIT",IF(
AND(OR(Planilla!B281="B", Planilla!B281="BPAL"), VLOOKUP(E281,FD:FP,13,0)="B"), "OK",IF(AND(OR(Planilla!B281="B", Planilla!B281="BPAL"), VLOOKUP(E281,FD:FP,13,0)="A"), "DEFICIT",IF(AND(OR(Planilla!B281="B", Planilla!B281="BPAL"), VLOOKUP(E281,FD:FP,13,0)="C"), "SOBREOFERTA",IF(AND(Planilla!B281="A", VLOOKUP(E281,FD:FP,13,0)="A"), "OK",IF(
AND(Planilla!B281="A", OR(VLOOKUP(E281,FD:FP,13,0)="B", VLOOKUP(E281,FD:FP,13,0)="C")), "SOBREOFERTA",""
))))))),"")</f>
        <v/>
      </c>
      <c r="E281" s="8" t="n"/>
      <c r="F281" s="86" t="n"/>
      <c r="G281" s="87" t="n"/>
      <c r="H281" s="88">
        <f>IF(I281="","",IF(AND((I281-G281)&gt;=TIME(0,0,0),(I281-G281)&lt;TIME(0,3,0)),"OK",IF(AND((I281-G281)&gt;=TIME(0,3,0),(I281-G281)&lt;TIME(0,5,0)),"RETRASO DE 3-5 MIN",IF(AND((I281-G281)&gt;=TIME(0,5,0),(I281-G281)&lt;TIME(0,10,0)),"RETRASO DE 5-10 MIN",IF((I281-G281)&gt;=TIME(0,10,0),"RETRASO &gt;10 MIN", IF(AND((G281-I281)&gt;=TIME(0,0,0),(G281-I281)&lt;TIME(0,3,0)),"OK",IF((G281-I281)&gt;=TIME(0,3,0),"ADELANTADO")))))))</f>
        <v/>
      </c>
      <c r="I281" s="89" t="n"/>
      <c r="J281" s="89">
        <f>IF(A281&lt;&gt;"",HLOOKUP(VALUE(TEXT(G281,"h:mm:ss")),IF($C$6="Laboral",$FZ$4:$GX$227,IF($C$6="Sábado",$FZ$231:$GX$452,$FZ$456:$GX$656)),VLOOKUP($C$4,$HF$2:$HH$99,3,0)+IF(C$5="Ida",0,1),1),"")</f>
        <v/>
      </c>
      <c r="K281" s="89">
        <f>IF(A282&lt;&gt;A281,AVERAGEIF(A$9:A281,A281,J$9:J281),"")</f>
        <v/>
      </c>
      <c r="L281" s="89">
        <f>IFERROR(IF(A282&lt;&gt;A281,AVERAGEIF(A$9:A281,A281,S$9:S281),""),"")</f>
        <v/>
      </c>
      <c r="M281" s="89">
        <f>IFERROR(IF(A282&lt;&gt;A281,AVERAGEIF(A$9:A281,A281,T$9:T281),""),"")</f>
        <v/>
      </c>
      <c r="N281" s="89">
        <f t="array" ref="N281">IFERROR(IF(A282&lt;&gt;A281,_xlfn.STDEV.P(IF(A$9:A281=A281,T$9:T281)),""),"")</f>
        <v/>
      </c>
      <c r="O281" s="89">
        <f t="array" ref="O281">IFERROR(IF(A282&lt;&gt;A281,_xlfn.STDEV.P(IF(A$9:A281=A281,S$9:S281)),""),"")</f>
        <v/>
      </c>
      <c r="P281" s="90">
        <f>IFERROR(IF(A281&lt;&gt;A282,MAX((((M281*24*60)/2)*(1+POWER((((N281*24*60) / (M281*24*60) )),2))) + ((M281*24*60 )*-0.1 + (K281*0.015)) +1,(((M281*24*60)/2)*(1+POWER((((N281*24*60) / (M281*24*60 ))),2)))),""),"")</f>
        <v/>
      </c>
      <c r="Q281" s="90">
        <f>IF(AND(O281&lt;&gt;"",L281&lt;&gt;""),IF(A281&lt;&gt;A282,((L281*24*60) / 2 ) * (1 + POWER(((O281*24*60) / (L281*24*60)),2)),""),"")</f>
        <v/>
      </c>
      <c r="R281" s="90">
        <f>IF(Q281&lt;&gt;"",MAX(P281,Q281),"")</f>
        <v/>
      </c>
      <c r="S281" s="89">
        <f>IF(I281&lt;&gt;"H. Sale Real",IF(AND(I282&lt;&gt;"",LEFT(C282,2)&lt;&gt;"Va"),IF(AND(I281&lt;&gt;"",LEFT(C281,2)&lt;&gt;"Va",I281&lt;&gt;"H. Sale Real"),IF(I282-I281&lt;0.208333333333333,I282-I281,""),IF(AND(I280&lt;&gt;"",LEFT(C280,2)&lt;&gt;"Va",I280&lt;&gt;"H. Sale Real"),IF(I282-I280&lt;0.208333333333333,I282-I280,""),IF(AND(I279&lt;&gt;"",LEFT(C279,2)&lt;&gt;"Va",I279&lt;&gt;"H. Sale Real"),IF(I282-I279&lt;0.208333333333333,I282-I279,""),IF(AND(I278&lt;&gt;"",LEFT(C278,2)&lt;&gt;"Va",I278&lt;&gt;"H. Sale Real"),IF(I282-I278&lt;0.208333333333333,I282-I278,""),IF(AND(I277&lt;&gt;"",LEFT(C277,2)&lt;&gt;"Va",I277&lt;&gt;"H. Sale Real"),IF(I282-I277&lt;0.208333333333333,I282-I277,""),""))))),""),"")</f>
        <v/>
      </c>
      <c r="T281" s="89">
        <f>IF(G281&lt;&gt;"H. Sale Real",IF(AND(G282&lt;&gt;"",LEFT(C282,2)&lt;&gt;"Va"),IF(AND(G281&lt;&gt;"",LEFT(C281,2)&lt;&gt;"Va",G281&lt;&gt;"H. Sale Real"),IF(G282-G281&lt;0.208333333333333,G282-G281,""),IF(AND(G280&lt;&gt;"",LEFT(C280,2)&lt;&gt;"Va",G280&lt;&gt;"H. Sale Real"),IF(G282-G280&lt;0.208333333333333,G282-G280,""),IF(AND(G279&lt;&gt;"",LEFT(C279,2)&lt;&gt;"Va",G279&lt;&gt;"H. Sale Real"),IF(G282-G279&lt;0.208333333333333,G282-G279,""),IF(AND(G278&lt;&gt;"",LEFT(C278,2)&lt;&gt;"Va",G278&lt;&gt;"H. Sale Real"),IF(G282-G278&lt;0.208333333333333,G282-G278,""),IF(AND(G277&lt;&gt;"",LEFT(C277,2)&lt;&gt;"Va",G277&lt;&gt;"H. Sale Real"),IF(G282-G277&lt;0.208333333333333,G282-G277,""),""))))),""),"")</f>
        <v/>
      </c>
      <c r="U281" s="87" t="n"/>
      <c r="V281" s="89" t="n"/>
      <c r="W281" s="87" t="n"/>
      <c r="X281" s="89" t="n"/>
      <c r="Y281" s="91" t="n"/>
      <c r="Z281" s="122">
        <f>IF(G281&lt;&gt;"",IF(AND(Z280&lt;&gt;"IE",P281&lt;&gt;0,R281&lt;&gt;""),IF(IFERROR((P281/R281),0) &lt;=1,IFERROR(P281/R281,""),1),""),"")</f>
        <v/>
      </c>
      <c r="AA281" s="93" t="n"/>
      <c r="AB281" s="2" t="n"/>
      <c r="AE281" s="10">
        <f>HOUR(AK281)+1</f>
        <v/>
      </c>
      <c r="AF281" s="7" t="n"/>
      <c r="AG281" s="7" t="n"/>
      <c r="AH281" s="86" t="n"/>
      <c r="AI281" s="8" t="n"/>
      <c r="AJ281" s="86" t="n"/>
      <c r="AK281" s="87" t="n"/>
      <c r="AL281" s="88">
        <f>IF(AM281="","",IF(AND((AM281-AK281)&gt;=TIME(0,0,0),(AM281-AK281)&lt;TIME(0,3,0)),"OK",IF(AND((AM281-AK281)&gt;=TIME(0,3,0),(AM281-AK281)&lt;TIME(0,5,0)),"RETRASO DE 3-5 MIN",IF(AND((AM281-AK281)&gt;=TIME(0,5,0),(AM281-AK281)&lt;TIME(0,10,0)),"RETRASO DE 5-10 MIN",IF((AM281-AK281)&gt;=TIME(0,10,0),"RETRASO &gt;10 MIN", IF(AND((AK281-AM281)&gt;=TIME(0,0,0),(AK281-AM281)&lt;TIME(0,3,0)),"OK",IF((AK281-AM281)&gt;=TIME(0,3,0),"ADELANTADO")))))))</f>
        <v/>
      </c>
      <c r="AM281" s="91" t="n"/>
      <c r="AN281" s="89">
        <f>IF(AE281&lt;&gt;"",HLOOKUP(VALUE(TEXT(AK281,"h:mm:ss")),IF($C$6="Laboral",$FZ$4:$GX$227,IF($C$6="Sábado",$FZ$231:$GX$452,$FZ$456:$GX$656)),VLOOKUP($C$4,$HF$2:$HH$99,3,0)+IF(AG$5="Ida",0,1),1),"")</f>
        <v/>
      </c>
      <c r="AO281" s="89">
        <f>IF(AE282&lt;&gt;AE281,AVERAGEIF(AE$9:AE281,AE281,AN$9:AN281),"")</f>
        <v/>
      </c>
      <c r="AP281" s="89">
        <f>IFERROR(IF(AE282&lt;&gt;AE281,AVERAGEIF(AE$9:AE281,AE281,AW$9:AW281),""),"")</f>
        <v/>
      </c>
      <c r="AQ281" s="89">
        <f>IFERROR(IF(AE282&lt;&gt;AE281,AVERAGEIF(AE$9:AE281,AE281,AX$9:AX281),""),"")</f>
        <v/>
      </c>
      <c r="AR281" s="89">
        <f t="array" ref="AR281">IFERROR(IF(AE282&lt;&gt;AE281,_xlfn.STDEV.P(IF(AE$9:AE281=AE281,AX$9:AX281)),""),"")</f>
        <v/>
      </c>
      <c r="AS281" s="89">
        <f t="array" ref="AS281">IFERROR(IF(AE282&lt;&gt;AE281,_xlfn.STDEV.P(IF(AE$9:AE281=AE281,AW$9:AW281)),""),"")</f>
        <v/>
      </c>
      <c r="AT281" s="90">
        <f>IFERROR(IF(AE281&lt;&gt;AE282,MAX((((AQ281*24*60)/2)*(1+POWER((((AR281*24*60) / (AQ281*24*60) )),2))) + ((AQ281*24*60 )*-0.1 + (AO281*0.015)) +1,(((AQ281*24*60)/2)*(1+POWER((((AR281*24*60) / (AQ281*24*60 ))),2)))),""),"")</f>
        <v/>
      </c>
      <c r="AU281" s="90">
        <f>IF(AND(AS281&lt;&gt;"",AP281&lt;&gt;""),IF(AE281&lt;&gt;AE282,((AP281*24*60) / 2 ) * (1 + POWER(((AS281*24*60) / (AP281*24*60)),2)),""),"")</f>
        <v/>
      </c>
      <c r="AV281" s="90">
        <f>IF(AU281&lt;&gt;"",MAX(AT281,AU281),"")</f>
        <v/>
      </c>
      <c r="AW281" s="89">
        <f>IF(AM281&lt;&gt;"H. Sale Real",IF(AND(AM282&lt;&gt;"",LEFT(AG282,2)&lt;&gt;"Va"),IF(AND(AM281&lt;&gt;"",LEFT(AG281,2)&lt;&gt;"Va",AM281&lt;&gt;"H. Sale Real"),IF(AM282-AM281&lt;0.208333333333333,AM282-AM281,""),IF(AND(AM280&lt;&gt;"",LEFT(AG280,2)&lt;&gt;"Va",AM280&lt;&gt;"H. Sale Real"),IF(AM282-AM280&lt;0.208333333333333,AM282-AM280,""),IF(AND(AM279&lt;&gt;"",LEFT(AG279,2)&lt;&gt;"Va",AM279&lt;&gt;"H. Sale Real"),IF(AM282-AM279&lt;0.208333333333333,AM282-AM279,""),IF(AND(AM278&lt;&gt;"",LEFT(AG278,2)&lt;&gt;"Va",AM278&lt;&gt;"H. Sale Real"),IF(AM282-AM278&lt;0.208333333333333,AM282-AM278,""),IF(AND(AM277&lt;&gt;"",LEFT(AG277,2)&lt;&gt;"Va",AM277&lt;&gt;"H. Sale Real"),IF(AM282-AM277&lt;0.208333333333333,AM282-AM277,""),""))))),""),"")</f>
        <v/>
      </c>
      <c r="AX281" s="89">
        <f>IF(AK281&lt;&gt;"H. Sale Real",IF(AND(AK282&lt;&gt;"",LEFT(AG282,2)&lt;&gt;"Va"),IF(AND(AK281&lt;&gt;"",LEFT(AG281,2)&lt;&gt;"Va",AK281&lt;&gt;"H. Sale Real"),IF(AK282-AK281&lt;0.208333333333333,AK282-AK281,""),IF(AND(AK280&lt;&gt;"",LEFT(AG280,2)&lt;&gt;"Va",AK280&lt;&gt;"H. Sale Real"),IF(AK282-AK280&lt;0.208333333333333,AK282-AK280,""),IF(AND(AK279&lt;&gt;"",LEFT(AG279,2)&lt;&gt;"NC",AK279&lt;&gt;"H. Sale Real"),IF(AK282-AK279&lt;0.208333333333333,AK282-AK279,""),IF(AND(AK278&lt;&gt;"",LEFT(AG278,2)&lt;&gt;"Va",AK278&lt;&gt;"H. Sale Real"),IF(AK282-AK278&lt;0.208333333333333,AK282-AK278,""),IF(AND(AK277&lt;&gt;"",LEFT(AG277,2)&lt;&gt;"Va",AK277&lt;&gt;"H. Sale Real"),IF(AK282-AK277&lt;0.208333333333333,AK282-AK277,""),""))))),""),"")</f>
        <v/>
      </c>
      <c r="AY281" s="87" t="n"/>
      <c r="AZ281" s="89" t="n"/>
      <c r="BA281" s="87" t="n"/>
      <c r="BB281" s="89" t="n"/>
      <c r="BC281" s="91" t="n"/>
      <c r="BD281" s="122">
        <f>IF(AK281&lt;&gt;"",IF(AND(BD280&lt;&gt;"IE",AT281&lt;&gt;0,AV281&lt;&gt;""),IF(IFERROR((AT281/AV281),0) &lt;=1,IFERROR(AT281/AV281,""),1),""),"")</f>
        <v/>
      </c>
      <c r="BE281" s="93" t="n"/>
      <c r="BF281" s="105" t="n"/>
      <c r="FC281" t="inlineStr">
        <is>
          <t>Diccionario 1</t>
        </is>
      </c>
      <c r="FD281" s="15" t="n">
        <v>1280</v>
      </c>
      <c r="FE281" s="15" t="inlineStr">
        <is>
          <t>MDN35025020123</t>
        </is>
      </c>
      <c r="FF281" s="15" t="inlineStr">
        <is>
          <t>LDYECS314S0044010</t>
        </is>
      </c>
      <c r="FG281" s="15" t="inlineStr">
        <is>
          <t>Zhong Tong</t>
        </is>
      </c>
      <c r="FH281" s="15" t="inlineStr">
        <is>
          <t>Lck6122evg</t>
        </is>
      </c>
      <c r="FI281" s="15" t="inlineStr">
        <is>
          <t>ZHONGTONG</t>
        </is>
      </c>
      <c r="FJ281" s="15" t="inlineStr">
        <is>
          <t>LCK6122EVG</t>
        </is>
      </c>
      <c r="FK281" s="15" t="n">
        <v>2025</v>
      </c>
      <c r="FL281" s="15" t="inlineStr">
        <is>
          <t>B</t>
        </is>
      </c>
      <c r="FM281" s="15" t="inlineStr">
        <is>
          <t>PIE ANDINO</t>
        </is>
      </c>
      <c r="FN281" s="15" t="inlineStr">
        <is>
          <t>Pie Andino 31 (Pie Andino 383)</t>
        </is>
      </c>
      <c r="FO281" s="15" t="inlineStr">
        <is>
          <t>Puente Alto</t>
        </is>
      </c>
      <c r="FP281" t="inlineStr">
        <is>
          <t>B</t>
        </is>
      </c>
      <c r="FS281" s="14" t="inlineStr">
        <is>
          <t>3069 / SFWZ-32|</t>
        </is>
      </c>
      <c r="FT281" t="inlineStr">
        <is>
          <t>SFWZ-32|</t>
        </is>
      </c>
      <c r="FU281" t="inlineStr">
        <is>
          <t>SFWZ-32</t>
        </is>
      </c>
      <c r="FV281">
        <f>VLOOKUP(FU281,FD:FL,9,0)</f>
        <v/>
      </c>
      <c r="FZ281" s="51" t="inlineStr">
        <is>
          <t>B33</t>
        </is>
      </c>
      <c r="GA281" s="43" t="n">
        <v>0</v>
      </c>
      <c r="GB281" s="43" t="n">
        <v>0</v>
      </c>
      <c r="GC281" s="43" t="n">
        <v>0</v>
      </c>
      <c r="GD281" s="43" t="n">
        <v>0</v>
      </c>
      <c r="GE281" s="43" t="n">
        <v>0</v>
      </c>
      <c r="GF281" s="43" t="n">
        <v>16.615</v>
      </c>
      <c r="GG281" s="43" t="n">
        <v>30.195</v>
      </c>
      <c r="GH281" s="43" t="n">
        <v>28.095</v>
      </c>
      <c r="GI281" s="43" t="n">
        <v>28.775</v>
      </c>
      <c r="GJ281" s="43" t="n">
        <v>29.19</v>
      </c>
      <c r="GK281" s="43" t="n">
        <v>29.005</v>
      </c>
      <c r="GL281" s="43" t="n">
        <v>28.02</v>
      </c>
      <c r="GM281" s="43" t="n">
        <v>27.755</v>
      </c>
      <c r="GN281" s="43" t="n">
        <v>27.475</v>
      </c>
      <c r="GO281" s="43" t="n">
        <v>27.545</v>
      </c>
      <c r="GP281" s="43" t="n">
        <v>27.585</v>
      </c>
      <c r="GQ281" s="43" t="n">
        <v>27.535</v>
      </c>
      <c r="GR281" s="43" t="n">
        <v>27.99</v>
      </c>
      <c r="GS281" s="43" t="n">
        <v>27.905</v>
      </c>
      <c r="GT281" s="43" t="n">
        <v>28.09</v>
      </c>
      <c r="GU281" s="43" t="n">
        <v>30.675</v>
      </c>
      <c r="GV281" s="43" t="n">
        <v>32.34999999999999</v>
      </c>
      <c r="GW281" s="43" t="n">
        <v>33.18</v>
      </c>
      <c r="GX281" s="43" t="n">
        <v>0</v>
      </c>
      <c r="HA281" s="35" t="n">
        <v>51</v>
      </c>
      <c r="HB281" s="35" t="n">
        <v>275</v>
      </c>
    </row>
    <row r="282" ht="15.5" customHeight="1">
      <c r="A282" s="10">
        <f>HOUR(G282)+1</f>
        <v/>
      </c>
      <c r="B282" s="7" t="n"/>
      <c r="C282" s="7" t="n"/>
      <c r="D282" s="85">
        <f>IFERROR(
IF(AND(OR(Planilla!B282="C",Planilla!B282="c"), VLOOKUP(E282,FD:FP,13,0)="C"), "OK",IF(AND(OR(Planilla!B282="C",Planilla!B282="c"), OR(VLOOKUP(E282,FD:FP,13,0)="B", VLOOKUP(E282,FD:FP,13,0)="A")), "DEFICIT",IF(
AND(OR(Planilla!B282="B", Planilla!B282="BPAL"), VLOOKUP(E282,FD:FP,13,0)="B"), "OK",IF(AND(OR(Planilla!B282="B", Planilla!B282="BPAL"), VLOOKUP(E282,FD:FP,13,0)="A"), "DEFICIT",IF(AND(OR(Planilla!B282="B", Planilla!B282="BPAL"), VLOOKUP(E282,FD:FP,13,0)="C"), "SOBREOFERTA",IF(AND(Planilla!B282="A", VLOOKUP(E282,FD:FP,13,0)="A"), "OK",IF(
AND(Planilla!B282="A", OR(VLOOKUP(E282,FD:FP,13,0)="B", VLOOKUP(E282,FD:FP,13,0)="C")), "SOBREOFERTA",""
))))))),"")</f>
        <v/>
      </c>
      <c r="E282" s="8" t="n"/>
      <c r="F282" s="86" t="n"/>
      <c r="G282" s="87" t="n"/>
      <c r="H282" s="88">
        <f>IF(I282="","",IF(AND((I282-G282)&gt;=TIME(0,0,0),(I282-G282)&lt;TIME(0,3,0)),"OK",IF(AND((I282-G282)&gt;=TIME(0,3,0),(I282-G282)&lt;TIME(0,5,0)),"RETRASO DE 3-5 MIN",IF(AND((I282-G282)&gt;=TIME(0,5,0),(I282-G282)&lt;TIME(0,10,0)),"RETRASO DE 5-10 MIN",IF((I282-G282)&gt;=TIME(0,10,0),"RETRASO &gt;10 MIN", IF(AND((G282-I282)&gt;=TIME(0,0,0),(G282-I282)&lt;TIME(0,3,0)),"OK",IF((G282-I282)&gt;=TIME(0,3,0),"ADELANTADO")))))))</f>
        <v/>
      </c>
      <c r="I282" s="89" t="n"/>
      <c r="J282" s="89">
        <f>IF(A282&lt;&gt;"",HLOOKUP(VALUE(TEXT(G282,"h:mm:ss")),IF($C$6="Laboral",$FZ$4:$GX$227,IF($C$6="Sábado",$FZ$231:$GX$452,$FZ$456:$GX$656)),VLOOKUP($C$4,$HF$2:$HH$99,3,0)+IF(C$5="Ida",0,1),1),"")</f>
        <v/>
      </c>
      <c r="K282" s="89">
        <f>IF(A283&lt;&gt;A282,AVERAGEIF(A$9:A282,A282,J$9:J282),"")</f>
        <v/>
      </c>
      <c r="L282" s="89">
        <f>IFERROR(IF(A283&lt;&gt;A282,AVERAGEIF(A$9:A282,A282,S$9:S282),""),"")</f>
        <v/>
      </c>
      <c r="M282" s="89">
        <f>IFERROR(IF(A283&lt;&gt;A282,AVERAGEIF(A$9:A282,A282,T$9:T282),""),"")</f>
        <v/>
      </c>
      <c r="N282" s="89">
        <f t="array" ref="N282">IFERROR(IF(A283&lt;&gt;A282,_xlfn.STDEV.P(IF(A$9:A282=A282,T$9:T282)),""),"")</f>
        <v/>
      </c>
      <c r="O282" s="89">
        <f t="array" ref="O282">IFERROR(IF(A283&lt;&gt;A282,_xlfn.STDEV.P(IF(A$9:A282=A282,S$9:S282)),""),"")</f>
        <v/>
      </c>
      <c r="P282" s="90">
        <f>IFERROR(IF(A282&lt;&gt;A283,MAX((((M282*24*60)/2)*(1+POWER((((N282*24*60) / (M282*24*60) )),2))) + ((M282*24*60 )*-0.1 + (K282*0.015)) +1,(((M282*24*60)/2)*(1+POWER((((N282*24*60) / (M282*24*60 ))),2)))),""),"")</f>
        <v/>
      </c>
      <c r="Q282" s="90">
        <f>IF(AND(O282&lt;&gt;"",L282&lt;&gt;""),IF(A282&lt;&gt;A283,((L282*24*60) / 2 ) * (1 + POWER(((O282*24*60) / (L282*24*60)),2)),""),"")</f>
        <v/>
      </c>
      <c r="R282" s="90">
        <f>IF(Q282&lt;&gt;"",MAX(P282,Q282),"")</f>
        <v/>
      </c>
      <c r="S282" s="89">
        <f>IF(I282&lt;&gt;"H. Sale Real",IF(AND(I283&lt;&gt;"",LEFT(C283,2)&lt;&gt;"Va"),IF(AND(I282&lt;&gt;"",LEFT(C282,2)&lt;&gt;"Va",I282&lt;&gt;"H. Sale Real"),IF(I283-I282&lt;0.208333333333333,I283-I282,""),IF(AND(I281&lt;&gt;"",LEFT(C281,2)&lt;&gt;"Va",I281&lt;&gt;"H. Sale Real"),IF(I283-I281&lt;0.208333333333333,I283-I281,""),IF(AND(I280&lt;&gt;"",LEFT(C280,2)&lt;&gt;"Va",I280&lt;&gt;"H. Sale Real"),IF(I283-I280&lt;0.208333333333333,I283-I280,""),IF(AND(I279&lt;&gt;"",LEFT(C279,2)&lt;&gt;"Va",I279&lt;&gt;"H. Sale Real"),IF(I283-I279&lt;0.208333333333333,I283-I279,""),IF(AND(I278&lt;&gt;"",LEFT(C278,2)&lt;&gt;"Va",I278&lt;&gt;"H. Sale Real"),IF(I283-I278&lt;0.208333333333333,I283-I278,""),""))))),""),"")</f>
        <v/>
      </c>
      <c r="T282" s="89">
        <f>IF(G282&lt;&gt;"H. Sale Real",IF(AND(G283&lt;&gt;"",LEFT(C283,2)&lt;&gt;"Va"),IF(AND(G282&lt;&gt;"",LEFT(C282,2)&lt;&gt;"Va",G282&lt;&gt;"H. Sale Real"),IF(G283-G282&lt;0.208333333333333,G283-G282,""),IF(AND(G281&lt;&gt;"",LEFT(C281,2)&lt;&gt;"Va",G281&lt;&gt;"H. Sale Real"),IF(G283-G281&lt;0.208333333333333,G283-G281,""),IF(AND(G280&lt;&gt;"",LEFT(C280,2)&lt;&gt;"Va",G280&lt;&gt;"H. Sale Real"),IF(G283-G280&lt;0.208333333333333,G283-G280,""),IF(AND(G279&lt;&gt;"",LEFT(C279,2)&lt;&gt;"Va",G279&lt;&gt;"H. Sale Real"),IF(G283-G279&lt;0.208333333333333,G283-G279,""),IF(AND(G278&lt;&gt;"",LEFT(C278,2)&lt;&gt;"Va",G278&lt;&gt;"H. Sale Real"),IF(G283-G278&lt;0.208333333333333,G283-G278,""),""))))),""),"")</f>
        <v/>
      </c>
      <c r="U282" s="87" t="n"/>
      <c r="V282" s="89" t="n"/>
      <c r="W282" s="87" t="n"/>
      <c r="X282" s="89" t="n"/>
      <c r="Y282" s="91" t="n"/>
      <c r="Z282" s="122">
        <f>IF(G282&lt;&gt;"",IF(AND(Z281&lt;&gt;"IE",P282&lt;&gt;0,R282&lt;&gt;""),IF(IFERROR((P282/R282),0) &lt;=1,IFERROR(P282/R282,""),1),""),"")</f>
        <v/>
      </c>
      <c r="AA282" s="93" t="n"/>
      <c r="AB282" s="2" t="n"/>
      <c r="AE282" s="10">
        <f>HOUR(AK282)+1</f>
        <v/>
      </c>
      <c r="AF282" s="7" t="n"/>
      <c r="AG282" s="7" t="n"/>
      <c r="AH282" s="86" t="n"/>
      <c r="AI282" s="8" t="n"/>
      <c r="AJ282" s="86" t="n"/>
      <c r="AK282" s="87" t="n"/>
      <c r="AL282" s="88">
        <f>IF(AM282="","",IF(AND((AM282-AK282)&gt;=TIME(0,0,0),(AM282-AK282)&lt;TIME(0,3,0)),"OK",IF(AND((AM282-AK282)&gt;=TIME(0,3,0),(AM282-AK282)&lt;TIME(0,5,0)),"RETRASO DE 3-5 MIN",IF(AND((AM282-AK282)&gt;=TIME(0,5,0),(AM282-AK282)&lt;TIME(0,10,0)),"RETRASO DE 5-10 MIN",IF((AM282-AK282)&gt;=TIME(0,10,0),"RETRASO &gt;10 MIN", IF(AND((AK282-AM282)&gt;=TIME(0,0,0),(AK282-AM282)&lt;TIME(0,3,0)),"OK",IF((AK282-AM282)&gt;=TIME(0,3,0),"ADELANTADO")))))))</f>
        <v/>
      </c>
      <c r="AM282" s="91" t="n"/>
      <c r="AN282" s="89">
        <f>IF(AE282&lt;&gt;"",HLOOKUP(VALUE(TEXT(AK282,"h:mm:ss")),IF($C$6="Laboral",$FZ$4:$GX$227,IF($C$6="Sábado",$FZ$231:$GX$452,$FZ$456:$GX$656)),VLOOKUP($C$4,$HF$2:$HH$99,3,0)+IF(AG$5="Ida",0,1),1),"")</f>
        <v/>
      </c>
      <c r="AO282" s="89">
        <f>IF(AE283&lt;&gt;AE282,AVERAGEIF(AE$9:AE282,AE282,AN$9:AN282),"")</f>
        <v/>
      </c>
      <c r="AP282" s="89">
        <f>IFERROR(IF(AE283&lt;&gt;AE282,AVERAGEIF(AE$9:AE282,AE282,AW$9:AW282),""),"")</f>
        <v/>
      </c>
      <c r="AQ282" s="89">
        <f>IFERROR(IF(AE283&lt;&gt;AE282,AVERAGEIF(AE$9:AE282,AE282,AX$9:AX282),""),"")</f>
        <v/>
      </c>
      <c r="AR282" s="89">
        <f t="array" ref="AR282">IFERROR(IF(AE283&lt;&gt;AE282,_xlfn.STDEV.P(IF(AE$9:AE282=AE282,AX$9:AX282)),""),"")</f>
        <v/>
      </c>
      <c r="AS282" s="89">
        <f t="array" ref="AS282">IFERROR(IF(AE283&lt;&gt;AE282,_xlfn.STDEV.P(IF(AE$9:AE282=AE282,AW$9:AW282)),""),"")</f>
        <v/>
      </c>
      <c r="AT282" s="90">
        <f>IFERROR(IF(AE282&lt;&gt;AE283,MAX((((AQ282*24*60)/2)*(1+POWER((((AR282*24*60) / (AQ282*24*60) )),2))) + ((AQ282*24*60 )*-0.1 + (AO282*0.015)) +1,(((AQ282*24*60)/2)*(1+POWER((((AR282*24*60) / (AQ282*24*60 ))),2)))),""),"")</f>
        <v/>
      </c>
      <c r="AU282" s="90">
        <f>IF(AND(AS282&lt;&gt;"",AP282&lt;&gt;""),IF(AE282&lt;&gt;AE283,((AP282*24*60) / 2 ) * (1 + POWER(((AS282*24*60) / (AP282*24*60)),2)),""),"")</f>
        <v/>
      </c>
      <c r="AV282" s="90">
        <f>IF(AU282&lt;&gt;"",MAX(AT282,AU282),"")</f>
        <v/>
      </c>
      <c r="AW282" s="89">
        <f>IF(AM282&lt;&gt;"H. Sale Real",IF(AND(AM283&lt;&gt;"",LEFT(AG283,2)&lt;&gt;"Va"),IF(AND(AM282&lt;&gt;"",LEFT(AG282,2)&lt;&gt;"Va",AM282&lt;&gt;"H. Sale Real"),IF(AM283-AM282&lt;0.208333333333333,AM283-AM282,""),IF(AND(AM281&lt;&gt;"",LEFT(AG281,2)&lt;&gt;"Va",AM281&lt;&gt;"H. Sale Real"),IF(AM283-AM281&lt;0.208333333333333,AM283-AM281,""),IF(AND(AM280&lt;&gt;"",LEFT(AG280,2)&lt;&gt;"Va",AM280&lt;&gt;"H. Sale Real"),IF(AM283-AM280&lt;0.208333333333333,AM283-AM280,""),IF(AND(AM279&lt;&gt;"",LEFT(AG279,2)&lt;&gt;"Va",AM279&lt;&gt;"H. Sale Real"),IF(AM283-AM279&lt;0.208333333333333,AM283-AM279,""),IF(AND(AM278&lt;&gt;"",LEFT(AG278,2)&lt;&gt;"Va",AM278&lt;&gt;"H. Sale Real"),IF(AM283-AM278&lt;0.208333333333333,AM283-AM278,""),""))))),""),"")</f>
        <v/>
      </c>
      <c r="AX282" s="89">
        <f>IF(AK282&lt;&gt;"H. Sale Real",IF(AND(AK283&lt;&gt;"",LEFT(AG283,2)&lt;&gt;"Va"),IF(AND(AK282&lt;&gt;"",LEFT(AG282,2)&lt;&gt;"Va",AK282&lt;&gt;"H. Sale Real"),IF(AK283-AK282&lt;0.208333333333333,AK283-AK282,""),IF(AND(AK281&lt;&gt;"",LEFT(AG281,2)&lt;&gt;"Va",AK281&lt;&gt;"H. Sale Real"),IF(AK283-AK281&lt;0.208333333333333,AK283-AK281,""),IF(AND(AK280&lt;&gt;"",LEFT(AG280,2)&lt;&gt;"NC",AK280&lt;&gt;"H. Sale Real"),IF(AK283-AK280&lt;0.208333333333333,AK283-AK280,""),IF(AND(AK279&lt;&gt;"",LEFT(AG279,2)&lt;&gt;"Va",AK279&lt;&gt;"H. Sale Real"),IF(AK283-AK279&lt;0.208333333333333,AK283-AK279,""),IF(AND(AK278&lt;&gt;"",LEFT(AG278,2)&lt;&gt;"Va",AK278&lt;&gt;"H. Sale Real"),IF(AK283-AK278&lt;0.208333333333333,AK283-AK278,""),""))))),""),"")</f>
        <v/>
      </c>
      <c r="AY282" s="87" t="n"/>
      <c r="AZ282" s="89" t="n"/>
      <c r="BA282" s="87" t="n"/>
      <c r="BB282" s="89" t="n"/>
      <c r="BC282" s="91" t="n"/>
      <c r="BD282" s="122">
        <f>IF(AK282&lt;&gt;"",IF(AND(BD281&lt;&gt;"IE",AT282&lt;&gt;0,AV282&lt;&gt;""),IF(IFERROR((AT282/AV282),0) &lt;=1,IFERROR(AT282/AV282,""),1),""),"")</f>
        <v/>
      </c>
      <c r="BE282" s="93" t="n"/>
      <c r="BF282" s="105" t="n"/>
      <c r="FC282" t="inlineStr">
        <is>
          <t>Diccionario 1</t>
        </is>
      </c>
      <c r="FD282" s="15" t="n">
        <v>1281</v>
      </c>
      <c r="FE282" s="15" t="inlineStr">
        <is>
          <t>MDN35025020070</t>
        </is>
      </c>
      <c r="FF282" s="15" t="inlineStr">
        <is>
          <t>LDYECS313S0043995</t>
        </is>
      </c>
      <c r="FG282" s="15" t="inlineStr">
        <is>
          <t>Zhong Tong</t>
        </is>
      </c>
      <c r="FH282" s="15" t="inlineStr">
        <is>
          <t>Lck6122evg</t>
        </is>
      </c>
      <c r="FI282" s="15" t="inlineStr">
        <is>
          <t>ZHONGTONG</t>
        </is>
      </c>
      <c r="FJ282" s="15" t="inlineStr">
        <is>
          <t>LCK6122EVG</t>
        </is>
      </c>
      <c r="FK282" s="15" t="n">
        <v>2025</v>
      </c>
      <c r="FL282" s="15" t="inlineStr">
        <is>
          <t>B</t>
        </is>
      </c>
      <c r="FM282" s="15" t="inlineStr">
        <is>
          <t>CERRILLOS</t>
        </is>
      </c>
      <c r="FN282" s="15" t="inlineStr">
        <is>
          <t>Calle Uno 7371</t>
        </is>
      </c>
      <c r="FO282" s="15" t="inlineStr">
        <is>
          <t>Cerrillos</t>
        </is>
      </c>
      <c r="FP282" t="inlineStr">
        <is>
          <t>B</t>
        </is>
      </c>
      <c r="FS282" s="14" t="inlineStr">
        <is>
          <t>3070 / SFWZ-38|</t>
        </is>
      </c>
      <c r="FT282" t="inlineStr">
        <is>
          <t>SFWZ-38|</t>
        </is>
      </c>
      <c r="FU282" t="inlineStr">
        <is>
          <t>SFWZ-38</t>
        </is>
      </c>
      <c r="FV282">
        <f>VLOOKUP(FU282,FD:FL,9,0)</f>
        <v/>
      </c>
      <c r="FZ282" s="51" t="inlineStr">
        <is>
          <t>F15</t>
        </is>
      </c>
      <c r="GA282" s="43" t="n">
        <v>0</v>
      </c>
      <c r="GB282" s="43" t="n">
        <v>0</v>
      </c>
      <c r="GC282" s="43" t="n">
        <v>0</v>
      </c>
      <c r="GD282" s="43" t="n">
        <v>0</v>
      </c>
      <c r="GE282" s="43" t="n">
        <v>12.55</v>
      </c>
      <c r="GF282" s="43" t="n">
        <v>23.905</v>
      </c>
      <c r="GG282" s="43" t="n">
        <v>21.97</v>
      </c>
      <c r="GH282" s="43" t="n">
        <v>21.01</v>
      </c>
      <c r="GI282" s="43" t="n">
        <v>20.135</v>
      </c>
      <c r="GJ282" s="43" t="n">
        <v>18.835</v>
      </c>
      <c r="GK282" s="43" t="n">
        <v>17.865</v>
      </c>
      <c r="GL282" s="43" t="n">
        <v>17.005</v>
      </c>
      <c r="GM282" s="43" t="n">
        <v>16.395</v>
      </c>
      <c r="GN282" s="43" t="n">
        <v>15.945</v>
      </c>
      <c r="GO282" s="43" t="n">
        <v>16.255</v>
      </c>
      <c r="GP282" s="43" t="n">
        <v>16.965</v>
      </c>
      <c r="GQ282" s="43" t="n">
        <v>16.41</v>
      </c>
      <c r="GR282" s="43" t="n">
        <v>16.33</v>
      </c>
      <c r="GS282" s="43" t="n">
        <v>16.88</v>
      </c>
      <c r="GT282" s="43" t="n">
        <v>17.995</v>
      </c>
      <c r="GU282" s="43" t="n">
        <v>18.985</v>
      </c>
      <c r="GV282" s="43" t="n">
        <v>20.285</v>
      </c>
      <c r="GW282" s="43" t="n">
        <v>21.14</v>
      </c>
      <c r="GX282" s="43" t="n">
        <v>0</v>
      </c>
      <c r="HA282" s="35" t="n">
        <v>52</v>
      </c>
      <c r="HB282" s="35" t="n">
        <v>276</v>
      </c>
    </row>
    <row r="283" ht="15.5" customHeight="1">
      <c r="A283" s="10">
        <f>HOUR(G283)+1</f>
        <v/>
      </c>
      <c r="B283" s="7" t="n"/>
      <c r="C283" s="7" t="n"/>
      <c r="D283" s="85">
        <f>IFERROR(
IF(AND(OR(Planilla!B283="C",Planilla!B283="c"), VLOOKUP(E283,FD:FP,13,0)="C"), "OK",IF(AND(OR(Planilla!B283="C",Planilla!B283="c"), OR(VLOOKUP(E283,FD:FP,13,0)="B", VLOOKUP(E283,FD:FP,13,0)="A")), "DEFICIT",IF(
AND(OR(Planilla!B283="B", Planilla!B283="BPAL"), VLOOKUP(E283,FD:FP,13,0)="B"), "OK",IF(AND(OR(Planilla!B283="B", Planilla!B283="BPAL"), VLOOKUP(E283,FD:FP,13,0)="A"), "DEFICIT",IF(AND(OR(Planilla!B283="B", Planilla!B283="BPAL"), VLOOKUP(E283,FD:FP,13,0)="C"), "SOBREOFERTA",IF(AND(Planilla!B283="A", VLOOKUP(E283,FD:FP,13,0)="A"), "OK",IF(
AND(Planilla!B283="A", OR(VLOOKUP(E283,FD:FP,13,0)="B", VLOOKUP(E283,FD:FP,13,0)="C")), "SOBREOFERTA",""
))))))),"")</f>
        <v/>
      </c>
      <c r="E283" s="8" t="n"/>
      <c r="F283" s="86" t="n"/>
      <c r="G283" s="87" t="n"/>
      <c r="H283" s="88">
        <f>IF(I283="","",IF(AND((I283-G283)&gt;=TIME(0,0,0),(I283-G283)&lt;TIME(0,3,0)),"OK",IF(AND((I283-G283)&gt;=TIME(0,3,0),(I283-G283)&lt;TIME(0,5,0)),"RETRASO DE 3-5 MIN",IF(AND((I283-G283)&gt;=TIME(0,5,0),(I283-G283)&lt;TIME(0,10,0)),"RETRASO DE 5-10 MIN",IF((I283-G283)&gt;=TIME(0,10,0),"RETRASO &gt;10 MIN", IF(AND((G283-I283)&gt;=TIME(0,0,0),(G283-I283)&lt;TIME(0,3,0)),"OK",IF((G283-I283)&gt;=TIME(0,3,0),"ADELANTADO")))))))</f>
        <v/>
      </c>
      <c r="I283" s="89" t="n"/>
      <c r="J283" s="89">
        <f>IF(A283&lt;&gt;"",HLOOKUP(VALUE(TEXT(G283,"h:mm:ss")),IF($C$6="Laboral",$FZ$4:$GX$227,IF($C$6="Sábado",$FZ$231:$GX$452,$FZ$456:$GX$656)),VLOOKUP($C$4,$HF$2:$HH$99,3,0)+IF(C$5="Ida",0,1),1),"")</f>
        <v/>
      </c>
      <c r="K283" s="89">
        <f>IF(A284&lt;&gt;A283,AVERAGEIF(A$9:A283,A283,J$9:J283),"")</f>
        <v/>
      </c>
      <c r="L283" s="89">
        <f>IFERROR(IF(A284&lt;&gt;A283,AVERAGEIF(A$9:A283,A283,S$9:S283),""),"")</f>
        <v/>
      </c>
      <c r="M283" s="89">
        <f>IFERROR(IF(A284&lt;&gt;A283,AVERAGEIF(A$9:A283,A283,T$9:T283),""),"")</f>
        <v/>
      </c>
      <c r="N283" s="89">
        <f t="array" ref="N283">IFERROR(IF(A284&lt;&gt;A283,_xlfn.STDEV.P(IF(A$9:A283=A283,T$9:T283)),""),"")</f>
        <v/>
      </c>
      <c r="O283" s="89">
        <f t="array" ref="O283">IFERROR(IF(A284&lt;&gt;A283,_xlfn.STDEV.P(IF(A$9:A283=A283,S$9:S283)),""),"")</f>
        <v/>
      </c>
      <c r="P283" s="90">
        <f>IFERROR(IF(A283&lt;&gt;A284,MAX((((M283*24*60)/2)*(1+POWER((((N283*24*60) / (M283*24*60) )),2))) + ((M283*24*60 )*-0.1 + (K283*0.015)) +1,(((M283*24*60)/2)*(1+POWER((((N283*24*60) / (M283*24*60 ))),2)))),""),"")</f>
        <v/>
      </c>
      <c r="Q283" s="90">
        <f>IF(AND(O283&lt;&gt;"",L283&lt;&gt;""),IF(A283&lt;&gt;A284,((L283*24*60) / 2 ) * (1 + POWER(((O283*24*60) / (L283*24*60)),2)),""),"")</f>
        <v/>
      </c>
      <c r="R283" s="90">
        <f>IF(Q283&lt;&gt;"",MAX(P283,Q283),"")</f>
        <v/>
      </c>
      <c r="S283" s="89">
        <f>IF(I283&lt;&gt;"H. Sale Real",IF(AND(I284&lt;&gt;"",LEFT(C284,2)&lt;&gt;"Va"),IF(AND(I283&lt;&gt;"",LEFT(C283,2)&lt;&gt;"Va",I283&lt;&gt;"H. Sale Real"),IF(I284-I283&lt;0.208333333333333,I284-I283,""),IF(AND(I282&lt;&gt;"",LEFT(C282,2)&lt;&gt;"Va",I282&lt;&gt;"H. Sale Real"),IF(I284-I282&lt;0.208333333333333,I284-I282,""),IF(AND(I281&lt;&gt;"",LEFT(C281,2)&lt;&gt;"Va",I281&lt;&gt;"H. Sale Real"),IF(I284-I281&lt;0.208333333333333,I284-I281,""),IF(AND(I280&lt;&gt;"",LEFT(C280,2)&lt;&gt;"Va",I280&lt;&gt;"H. Sale Real"),IF(I284-I280&lt;0.208333333333333,I284-I280,""),IF(AND(I279&lt;&gt;"",LEFT(C279,2)&lt;&gt;"Va",I279&lt;&gt;"H. Sale Real"),IF(I284-I279&lt;0.208333333333333,I284-I279,""),""))))),""),"")</f>
        <v/>
      </c>
      <c r="T283" s="89">
        <f>IF(G283&lt;&gt;"H. Sale Real",IF(AND(G284&lt;&gt;"",LEFT(C284,2)&lt;&gt;"Va"),IF(AND(G283&lt;&gt;"",LEFT(C283,2)&lt;&gt;"Va",G283&lt;&gt;"H. Sale Real"),IF(G284-G283&lt;0.208333333333333,G284-G283,""),IF(AND(G282&lt;&gt;"",LEFT(C282,2)&lt;&gt;"Va",G282&lt;&gt;"H. Sale Real"),IF(G284-G282&lt;0.208333333333333,G284-G282,""),IF(AND(G281&lt;&gt;"",LEFT(C281,2)&lt;&gt;"Va",G281&lt;&gt;"H. Sale Real"),IF(G284-G281&lt;0.208333333333333,G284-G281,""),IF(AND(G280&lt;&gt;"",LEFT(C280,2)&lt;&gt;"Va",G280&lt;&gt;"H. Sale Real"),IF(G284-G280&lt;0.208333333333333,G284-G280,""),IF(AND(G279&lt;&gt;"",LEFT(C279,2)&lt;&gt;"Va",G279&lt;&gt;"H. Sale Real"),IF(G284-G279&lt;0.208333333333333,G284-G279,""),""))))),""),"")</f>
        <v/>
      </c>
      <c r="U283" s="87" t="n"/>
      <c r="V283" s="89" t="n"/>
      <c r="W283" s="87" t="n"/>
      <c r="X283" s="89" t="n"/>
      <c r="Y283" s="91" t="n"/>
      <c r="Z283" s="122">
        <f>IF(G283&lt;&gt;"",IF(AND(Z282&lt;&gt;"IE",P283&lt;&gt;0,R283&lt;&gt;""),IF(IFERROR((P283/R283),0) &lt;=1,IFERROR(P283/R283,""),1),""),"")</f>
        <v/>
      </c>
      <c r="AA283" s="93" t="n"/>
      <c r="AB283" s="2" t="n"/>
      <c r="AE283" s="10">
        <f>HOUR(AK283)+1</f>
        <v/>
      </c>
      <c r="AF283" s="7" t="n"/>
      <c r="AG283" s="7" t="n"/>
      <c r="AH283" s="86" t="n"/>
      <c r="AI283" s="8" t="n"/>
      <c r="AJ283" s="86" t="n"/>
      <c r="AK283" s="87" t="n"/>
      <c r="AL283" s="88">
        <f>IF(AM283="","",IF(AND((AM283-AK283)&gt;=TIME(0,0,0),(AM283-AK283)&lt;TIME(0,3,0)),"OK",IF(AND((AM283-AK283)&gt;=TIME(0,3,0),(AM283-AK283)&lt;TIME(0,5,0)),"RETRASO DE 3-5 MIN",IF(AND((AM283-AK283)&gt;=TIME(0,5,0),(AM283-AK283)&lt;TIME(0,10,0)),"RETRASO DE 5-10 MIN",IF((AM283-AK283)&gt;=TIME(0,10,0),"RETRASO &gt;10 MIN", IF(AND((AK283-AM283)&gt;=TIME(0,0,0),(AK283-AM283)&lt;TIME(0,3,0)),"OK",IF((AK283-AM283)&gt;=TIME(0,3,0),"ADELANTADO")))))))</f>
        <v/>
      </c>
      <c r="AM283" s="91" t="n"/>
      <c r="AN283" s="89">
        <f>IF(AE283&lt;&gt;"",HLOOKUP(VALUE(TEXT(AK283,"h:mm:ss")),IF($C$6="Laboral",$FZ$4:$GX$227,IF($C$6="Sábado",$FZ$231:$GX$452,$FZ$456:$GX$656)),VLOOKUP($C$4,$HF$2:$HH$99,3,0)+IF(AG$5="Ida",0,1),1),"")</f>
        <v/>
      </c>
      <c r="AO283" s="89">
        <f>IF(AE284&lt;&gt;AE283,AVERAGEIF(AE$9:AE283,AE283,AN$9:AN283),"")</f>
        <v/>
      </c>
      <c r="AP283" s="89">
        <f>IFERROR(IF(AE284&lt;&gt;AE283,AVERAGEIF(AE$9:AE283,AE283,AW$9:AW283),""),"")</f>
        <v/>
      </c>
      <c r="AQ283" s="89">
        <f>IFERROR(IF(AE284&lt;&gt;AE283,AVERAGEIF(AE$9:AE283,AE283,AX$9:AX283),""),"")</f>
        <v/>
      </c>
      <c r="AR283" s="89">
        <f t="array" ref="AR283">IFERROR(IF(AE284&lt;&gt;AE283,_xlfn.STDEV.P(IF(AE$9:AE283=AE283,AX$9:AX283)),""),"")</f>
        <v/>
      </c>
      <c r="AS283" s="89">
        <f t="array" ref="AS283">IFERROR(IF(AE284&lt;&gt;AE283,_xlfn.STDEV.P(IF(AE$9:AE283=AE283,AW$9:AW283)),""),"")</f>
        <v/>
      </c>
      <c r="AT283" s="90">
        <f>IFERROR(IF(AE283&lt;&gt;AE284,MAX((((AQ283*24*60)/2)*(1+POWER((((AR283*24*60) / (AQ283*24*60) )),2))) + ((AQ283*24*60 )*-0.1 + (AO283*0.015)) +1,(((AQ283*24*60)/2)*(1+POWER((((AR283*24*60) / (AQ283*24*60 ))),2)))),""),"")</f>
        <v/>
      </c>
      <c r="AU283" s="90">
        <f>IF(AND(AS283&lt;&gt;"",AP283&lt;&gt;""),IF(AE283&lt;&gt;AE284,((AP283*24*60) / 2 ) * (1 + POWER(((AS283*24*60) / (AP283*24*60)),2)),""),"")</f>
        <v/>
      </c>
      <c r="AV283" s="90">
        <f>IF(AU283&lt;&gt;"",MAX(AT283,AU283),"")</f>
        <v/>
      </c>
      <c r="AW283" s="89">
        <f>IF(AM283&lt;&gt;"H. Sale Real",IF(AND(AM284&lt;&gt;"",LEFT(AG284,2)&lt;&gt;"Va"),IF(AND(AM283&lt;&gt;"",LEFT(AG283,2)&lt;&gt;"Va",AM283&lt;&gt;"H. Sale Real"),IF(AM284-AM283&lt;0.208333333333333,AM284-AM283,""),IF(AND(AM282&lt;&gt;"",LEFT(AG282,2)&lt;&gt;"Va",AM282&lt;&gt;"H. Sale Real"),IF(AM284-AM282&lt;0.208333333333333,AM284-AM282,""),IF(AND(AM281&lt;&gt;"",LEFT(AG281,2)&lt;&gt;"Va",AM281&lt;&gt;"H. Sale Real"),IF(AM284-AM281&lt;0.208333333333333,AM284-AM281,""),IF(AND(AM280&lt;&gt;"",LEFT(AG280,2)&lt;&gt;"Va",AM280&lt;&gt;"H. Sale Real"),IF(AM284-AM280&lt;0.208333333333333,AM284-AM280,""),IF(AND(AM279&lt;&gt;"",LEFT(AG279,2)&lt;&gt;"Va",AM279&lt;&gt;"H. Sale Real"),IF(AM284-AM279&lt;0.208333333333333,AM284-AM279,""),""))))),""),"")</f>
        <v/>
      </c>
      <c r="AX283" s="89">
        <f>IF(AK283&lt;&gt;"H. Sale Real",IF(AND(AK284&lt;&gt;"",LEFT(AG284,2)&lt;&gt;"Va"),IF(AND(AK283&lt;&gt;"",LEFT(AG283,2)&lt;&gt;"Va",AK283&lt;&gt;"H. Sale Real"),IF(AK284-AK283&lt;0.208333333333333,AK284-AK283,""),IF(AND(AK282&lt;&gt;"",LEFT(AG282,2)&lt;&gt;"Va",AK282&lt;&gt;"H. Sale Real"),IF(AK284-AK282&lt;0.208333333333333,AK284-AK282,""),IF(AND(AK281&lt;&gt;"",LEFT(AG281,2)&lt;&gt;"NC",AK281&lt;&gt;"H. Sale Real"),IF(AK284-AK281&lt;0.208333333333333,AK284-AK281,""),IF(AND(AK280&lt;&gt;"",LEFT(AG280,2)&lt;&gt;"Va",AK280&lt;&gt;"H. Sale Real"),IF(AK284-AK280&lt;0.208333333333333,AK284-AK280,""),IF(AND(AK279&lt;&gt;"",LEFT(AG279,2)&lt;&gt;"Va",AK279&lt;&gt;"H. Sale Real"),IF(AK284-AK279&lt;0.208333333333333,AK284-AK279,""),""))))),""),"")</f>
        <v/>
      </c>
      <c r="AY283" s="87" t="n"/>
      <c r="AZ283" s="89" t="n"/>
      <c r="BA283" s="87" t="n"/>
      <c r="BB283" s="89" t="n"/>
      <c r="BC283" s="91" t="n"/>
      <c r="BD283" s="122">
        <f>IF(AK283&lt;&gt;"",IF(AND(BD282&lt;&gt;"IE",AT283&lt;&gt;0,AV283&lt;&gt;""),IF(IFERROR((AT283/AV283),0) &lt;=1,IFERROR(AT283/AV283,""),1),""),"")</f>
        <v/>
      </c>
      <c r="BE283" s="93" t="n"/>
      <c r="BF283" s="105" t="n"/>
      <c r="FC283" t="inlineStr">
        <is>
          <t>Diccionario 1</t>
        </is>
      </c>
      <c r="FD283" s="15" t="n">
        <v>1282</v>
      </c>
      <c r="FE283" s="15" t="inlineStr">
        <is>
          <t>MDN35025020109</t>
        </is>
      </c>
      <c r="FF283" s="15" t="inlineStr">
        <is>
          <t>LDYECS314S0044024</t>
        </is>
      </c>
      <c r="FG283" s="15" t="inlineStr">
        <is>
          <t>Zhong Tong</t>
        </is>
      </c>
      <c r="FH283" s="15" t="inlineStr">
        <is>
          <t>Lck6122evg</t>
        </is>
      </c>
      <c r="FI283" s="15" t="inlineStr">
        <is>
          <t>ZHONGTONG</t>
        </is>
      </c>
      <c r="FJ283" s="15" t="inlineStr">
        <is>
          <t>LCK6122EVG</t>
        </is>
      </c>
      <c r="FK283" s="15" t="n">
        <v>2025</v>
      </c>
      <c r="FL283" s="15" t="inlineStr">
        <is>
          <t>B</t>
        </is>
      </c>
      <c r="FM283" s="15" t="inlineStr">
        <is>
          <t>PIE ANDINO</t>
        </is>
      </c>
      <c r="FN283" s="15" t="inlineStr">
        <is>
          <t>Pie Andino 31 (Pie Andino 383)</t>
        </is>
      </c>
      <c r="FO283" s="15" t="inlineStr">
        <is>
          <t>Puente Alto</t>
        </is>
      </c>
      <c r="FP283" t="inlineStr">
        <is>
          <t>B</t>
        </is>
      </c>
      <c r="FS283" s="14" t="inlineStr">
        <is>
          <t>3071 / SFWZ-29|</t>
        </is>
      </c>
      <c r="FT283" t="inlineStr">
        <is>
          <t>SFWZ-29|</t>
        </is>
      </c>
      <c r="FU283" t="inlineStr">
        <is>
          <t>SFWZ-29</t>
        </is>
      </c>
      <c r="FV283">
        <f>VLOOKUP(FU283,FD:FL,9,0)</f>
        <v/>
      </c>
      <c r="FZ283" s="51" t="inlineStr">
        <is>
          <t>F15</t>
        </is>
      </c>
      <c r="GA283" s="43" t="n">
        <v>11.985</v>
      </c>
      <c r="GB283" s="43" t="n">
        <v>0</v>
      </c>
      <c r="GC283" s="43" t="n">
        <v>0</v>
      </c>
      <c r="GD283" s="43" t="n">
        <v>0</v>
      </c>
      <c r="GE283" s="43" t="n">
        <v>0</v>
      </c>
      <c r="GF283" s="43" t="n">
        <v>11.91</v>
      </c>
      <c r="GG283" s="43" t="n">
        <v>23.035</v>
      </c>
      <c r="GH283" s="43" t="n">
        <v>21.68</v>
      </c>
      <c r="GI283" s="43" t="n">
        <v>20.885</v>
      </c>
      <c r="GJ283" s="43" t="n">
        <v>19.645</v>
      </c>
      <c r="GK283" s="43" t="n">
        <v>18.095</v>
      </c>
      <c r="GL283" s="43" t="n">
        <v>16.705</v>
      </c>
      <c r="GM283" s="43" t="n">
        <v>16.21</v>
      </c>
      <c r="GN283" s="43" t="n">
        <v>16.1</v>
      </c>
      <c r="GO283" s="43" t="n">
        <v>16.45</v>
      </c>
      <c r="GP283" s="43" t="n">
        <v>17.225</v>
      </c>
      <c r="GQ283" s="43" t="n">
        <v>16.885</v>
      </c>
      <c r="GR283" s="43" t="n">
        <v>16.5</v>
      </c>
      <c r="GS283" s="43" t="n">
        <v>16.28</v>
      </c>
      <c r="GT283" s="43" t="n">
        <v>16.43</v>
      </c>
      <c r="GU283" s="43" t="n">
        <v>17.38</v>
      </c>
      <c r="GV283" s="43" t="n">
        <v>18.565</v>
      </c>
      <c r="GW283" s="43" t="n">
        <v>20.4</v>
      </c>
      <c r="GX283" s="43" t="n">
        <v>22.515</v>
      </c>
      <c r="HA283" s="35" t="n">
        <v>53</v>
      </c>
      <c r="HB283" s="35" t="n">
        <v>277</v>
      </c>
    </row>
    <row r="284" ht="15.5" customHeight="1">
      <c r="A284" s="10">
        <f>HOUR(G284)+1</f>
        <v/>
      </c>
      <c r="B284" s="7" t="n"/>
      <c r="C284" s="7" t="n"/>
      <c r="D284" s="85">
        <f>IFERROR(
IF(AND(OR(Planilla!B284="C",Planilla!B284="c"), VLOOKUP(E284,FD:FP,13,0)="C"), "OK",IF(AND(OR(Planilla!B284="C",Planilla!B284="c"), OR(VLOOKUP(E284,FD:FP,13,0)="B", VLOOKUP(E284,FD:FP,13,0)="A")), "DEFICIT",IF(
AND(OR(Planilla!B284="B", Planilla!B284="BPAL"), VLOOKUP(E284,FD:FP,13,0)="B"), "OK",IF(AND(OR(Planilla!B284="B", Planilla!B284="BPAL"), VLOOKUP(E284,FD:FP,13,0)="A"), "DEFICIT",IF(AND(OR(Planilla!B284="B", Planilla!B284="BPAL"), VLOOKUP(E284,FD:FP,13,0)="C"), "SOBREOFERTA",IF(AND(Planilla!B284="A", VLOOKUP(E284,FD:FP,13,0)="A"), "OK",IF(
AND(Planilla!B284="A", OR(VLOOKUP(E284,FD:FP,13,0)="B", VLOOKUP(E284,FD:FP,13,0)="C")), "SOBREOFERTA",""
))))))),"")</f>
        <v/>
      </c>
      <c r="E284" s="8" t="n"/>
      <c r="F284" s="86" t="n"/>
      <c r="G284" s="87" t="n"/>
      <c r="H284" s="88">
        <f>IF(I284="","",IF(AND((I284-G284)&gt;=TIME(0,0,0),(I284-G284)&lt;TIME(0,3,0)),"OK",IF(AND((I284-G284)&gt;=TIME(0,3,0),(I284-G284)&lt;TIME(0,5,0)),"RETRASO DE 3-5 MIN",IF(AND((I284-G284)&gt;=TIME(0,5,0),(I284-G284)&lt;TIME(0,10,0)),"RETRASO DE 5-10 MIN",IF((I284-G284)&gt;=TIME(0,10,0),"RETRASO &gt;10 MIN", IF(AND((G284-I284)&gt;=TIME(0,0,0),(G284-I284)&lt;TIME(0,3,0)),"OK",IF((G284-I284)&gt;=TIME(0,3,0),"ADELANTADO")))))))</f>
        <v/>
      </c>
      <c r="I284" s="89" t="n"/>
      <c r="J284" s="89">
        <f>IF(A284&lt;&gt;"",HLOOKUP(VALUE(TEXT(G284,"h:mm:ss")),IF($C$6="Laboral",$FZ$4:$GX$227,IF($C$6="Sábado",$FZ$231:$GX$452,$FZ$456:$GX$656)),VLOOKUP($C$4,$HF$2:$HH$99,3,0)+IF(C$5="Ida",0,1),1),"")</f>
        <v/>
      </c>
      <c r="K284" s="89">
        <f>IF(A285&lt;&gt;A284,AVERAGEIF(A$9:A284,A284,J$9:J284),"")</f>
        <v/>
      </c>
      <c r="L284" s="89">
        <f>IFERROR(IF(A285&lt;&gt;A284,AVERAGEIF(A$9:A284,A284,S$9:S284),""),"")</f>
        <v/>
      </c>
      <c r="M284" s="89">
        <f>IFERROR(IF(A285&lt;&gt;A284,AVERAGEIF(A$9:A284,A284,T$9:T284),""),"")</f>
        <v/>
      </c>
      <c r="N284" s="89">
        <f t="array" ref="N284">IFERROR(IF(A285&lt;&gt;A284,_xlfn.STDEV.P(IF(A$9:A284=A284,T$9:T284)),""),"")</f>
        <v/>
      </c>
      <c r="O284" s="89">
        <f t="array" ref="O284">IFERROR(IF(A285&lt;&gt;A284,_xlfn.STDEV.P(IF(A$9:A284=A284,S$9:S284)),""),"")</f>
        <v/>
      </c>
      <c r="P284" s="90">
        <f>IFERROR(IF(A284&lt;&gt;A285,MAX((((M284*24*60)/2)*(1+POWER((((N284*24*60) / (M284*24*60) )),2))) + ((M284*24*60 )*-0.1 + (K284*0.015)) +1,(((M284*24*60)/2)*(1+POWER((((N284*24*60) / (M284*24*60 ))),2)))),""),"")</f>
        <v/>
      </c>
      <c r="Q284" s="90">
        <f>IF(AND(O284&lt;&gt;"",L284&lt;&gt;""),IF(A284&lt;&gt;A285,((L284*24*60) / 2 ) * (1 + POWER(((O284*24*60) / (L284*24*60)),2)),""),"")</f>
        <v/>
      </c>
      <c r="R284" s="90">
        <f>IF(Q284&lt;&gt;"",MAX(P284,Q284),"")</f>
        <v/>
      </c>
      <c r="S284" s="89">
        <f>IF(I284&lt;&gt;"H. Sale Real",IF(AND(I285&lt;&gt;"",LEFT(C285,2)&lt;&gt;"Va"),IF(AND(I284&lt;&gt;"",LEFT(C284,2)&lt;&gt;"Va",I284&lt;&gt;"H. Sale Real"),IF(I285-I284&lt;0.208333333333333,I285-I284,""),IF(AND(I283&lt;&gt;"",LEFT(C283,2)&lt;&gt;"Va",I283&lt;&gt;"H. Sale Real"),IF(I285-I283&lt;0.208333333333333,I285-I283,""),IF(AND(I282&lt;&gt;"",LEFT(C282,2)&lt;&gt;"Va",I282&lt;&gt;"H. Sale Real"),IF(I285-I282&lt;0.208333333333333,I285-I282,""),IF(AND(I281&lt;&gt;"",LEFT(C281,2)&lt;&gt;"Va",I281&lt;&gt;"H. Sale Real"),IF(I285-I281&lt;0.208333333333333,I285-I281,""),IF(AND(I280&lt;&gt;"",LEFT(C280,2)&lt;&gt;"Va",I280&lt;&gt;"H. Sale Real"),IF(I285-I280&lt;0.208333333333333,I285-I280,""),""))))),""),"")</f>
        <v/>
      </c>
      <c r="T284" s="89">
        <f>IF(G284&lt;&gt;"H. Sale Real",IF(AND(G285&lt;&gt;"",LEFT(C285,2)&lt;&gt;"Va"),IF(AND(G284&lt;&gt;"",LEFT(C284,2)&lt;&gt;"Va",G284&lt;&gt;"H. Sale Real"),IF(G285-G284&lt;0.208333333333333,G285-G284,""),IF(AND(G283&lt;&gt;"",LEFT(C283,2)&lt;&gt;"Va",G283&lt;&gt;"H. Sale Real"),IF(G285-G283&lt;0.208333333333333,G285-G283,""),IF(AND(G282&lt;&gt;"",LEFT(C282,2)&lt;&gt;"Va",G282&lt;&gt;"H. Sale Real"),IF(G285-G282&lt;0.208333333333333,G285-G282,""),IF(AND(G281&lt;&gt;"",LEFT(C281,2)&lt;&gt;"Va",G281&lt;&gt;"H. Sale Real"),IF(G285-G281&lt;0.208333333333333,G285-G281,""),IF(AND(G280&lt;&gt;"",LEFT(C280,2)&lt;&gt;"Va",G280&lt;&gt;"H. Sale Real"),IF(G285-G280&lt;0.208333333333333,G285-G280,""),""))))),""),"")</f>
        <v/>
      </c>
      <c r="U284" s="87" t="n"/>
      <c r="V284" s="89" t="n"/>
      <c r="W284" s="87" t="n"/>
      <c r="X284" s="89" t="n"/>
      <c r="Y284" s="91" t="n"/>
      <c r="Z284" s="122">
        <f>IF(G284&lt;&gt;"",IF(AND(Z283&lt;&gt;"IE",P284&lt;&gt;0,R284&lt;&gt;""),IF(IFERROR((P284/R284),0) &lt;=1,IFERROR(P284/R284,""),1),""),"")</f>
        <v/>
      </c>
      <c r="AA284" s="93" t="n"/>
      <c r="AB284" s="2" t="n"/>
      <c r="AE284" s="10">
        <f>HOUR(AK284)+1</f>
        <v/>
      </c>
      <c r="AF284" s="7" t="n"/>
      <c r="AG284" s="7" t="n"/>
      <c r="AH284" s="86" t="n"/>
      <c r="AI284" s="8" t="n"/>
      <c r="AJ284" s="86" t="n"/>
      <c r="AK284" s="87" t="n"/>
      <c r="AL284" s="88">
        <f>IF(AM284="","",IF(AND((AM284-AK284)&gt;=TIME(0,0,0),(AM284-AK284)&lt;TIME(0,3,0)),"OK",IF(AND((AM284-AK284)&gt;=TIME(0,3,0),(AM284-AK284)&lt;TIME(0,5,0)),"RETRASO DE 3-5 MIN",IF(AND((AM284-AK284)&gt;=TIME(0,5,0),(AM284-AK284)&lt;TIME(0,10,0)),"RETRASO DE 5-10 MIN",IF((AM284-AK284)&gt;=TIME(0,10,0),"RETRASO &gt;10 MIN", IF(AND((AK284-AM284)&gt;=TIME(0,0,0),(AK284-AM284)&lt;TIME(0,3,0)),"OK",IF((AK284-AM284)&gt;=TIME(0,3,0),"ADELANTADO")))))))</f>
        <v/>
      </c>
      <c r="AM284" s="91" t="n"/>
      <c r="AN284" s="89">
        <f>IF(AE284&lt;&gt;"",HLOOKUP(VALUE(TEXT(AK284,"h:mm:ss")),IF($C$6="Laboral",$FZ$4:$GX$227,IF($C$6="Sábado",$FZ$231:$GX$452,$FZ$456:$GX$656)),VLOOKUP($C$4,$HF$2:$HH$99,3,0)+IF(AG$5="Ida",0,1),1),"")</f>
        <v/>
      </c>
      <c r="AO284" s="89">
        <f>IF(AE285&lt;&gt;AE284,AVERAGEIF(AE$9:AE284,AE284,AN$9:AN284),"")</f>
        <v/>
      </c>
      <c r="AP284" s="89">
        <f>IFERROR(IF(AE285&lt;&gt;AE284,AVERAGEIF(AE$9:AE284,AE284,AW$9:AW284),""),"")</f>
        <v/>
      </c>
      <c r="AQ284" s="89">
        <f>IFERROR(IF(AE285&lt;&gt;AE284,AVERAGEIF(AE$9:AE284,AE284,AX$9:AX284),""),"")</f>
        <v/>
      </c>
      <c r="AR284" s="89">
        <f t="array" ref="AR284">IFERROR(IF(AE285&lt;&gt;AE284,_xlfn.STDEV.P(IF(AE$9:AE284=AE284,AX$9:AX284)),""),"")</f>
        <v/>
      </c>
      <c r="AS284" s="89">
        <f t="array" ref="AS284">IFERROR(IF(AE285&lt;&gt;AE284,_xlfn.STDEV.P(IF(AE$9:AE284=AE284,AW$9:AW284)),""),"")</f>
        <v/>
      </c>
      <c r="AT284" s="90">
        <f>IFERROR(IF(AE284&lt;&gt;AE285,MAX((((AQ284*24*60)/2)*(1+POWER((((AR284*24*60) / (AQ284*24*60) )),2))) + ((AQ284*24*60 )*-0.1 + (AO284*0.015)) +1,(((AQ284*24*60)/2)*(1+POWER((((AR284*24*60) / (AQ284*24*60 ))),2)))),""),"")</f>
        <v/>
      </c>
      <c r="AU284" s="90">
        <f>IF(AND(AS284&lt;&gt;"",AP284&lt;&gt;""),IF(AE284&lt;&gt;AE285,((AP284*24*60) / 2 ) * (1 + POWER(((AS284*24*60) / (AP284*24*60)),2)),""),"")</f>
        <v/>
      </c>
      <c r="AV284" s="90">
        <f>IF(AU284&lt;&gt;"",MAX(AT284,AU284),"")</f>
        <v/>
      </c>
      <c r="AW284" s="89">
        <f>IF(AM284&lt;&gt;"H. Sale Real",IF(AND(AM285&lt;&gt;"",LEFT(AG285,2)&lt;&gt;"Va"),IF(AND(AM284&lt;&gt;"",LEFT(AG284,2)&lt;&gt;"Va",AM284&lt;&gt;"H. Sale Real"),IF(AM285-AM284&lt;0.208333333333333,AM285-AM284,""),IF(AND(AM283&lt;&gt;"",LEFT(AG283,2)&lt;&gt;"Va",AM283&lt;&gt;"H. Sale Real"),IF(AM285-AM283&lt;0.208333333333333,AM285-AM283,""),IF(AND(AM282&lt;&gt;"",LEFT(AG282,2)&lt;&gt;"Va",AM282&lt;&gt;"H. Sale Real"),IF(AM285-AM282&lt;0.208333333333333,AM285-AM282,""),IF(AND(AM281&lt;&gt;"",LEFT(AG281,2)&lt;&gt;"Va",AM281&lt;&gt;"H. Sale Real"),IF(AM285-AM281&lt;0.208333333333333,AM285-AM281,""),IF(AND(AM280&lt;&gt;"",LEFT(AG280,2)&lt;&gt;"Va",AM280&lt;&gt;"H. Sale Real"),IF(AM285-AM280&lt;0.208333333333333,AM285-AM280,""),""))))),""),"")</f>
        <v/>
      </c>
      <c r="AX284" s="89">
        <f>IF(AK284&lt;&gt;"H. Sale Real",IF(AND(AK285&lt;&gt;"",LEFT(AG285,2)&lt;&gt;"Va"),IF(AND(AK284&lt;&gt;"",LEFT(AG284,2)&lt;&gt;"Va",AK284&lt;&gt;"H. Sale Real"),IF(AK285-AK284&lt;0.208333333333333,AK285-AK284,""),IF(AND(AK283&lt;&gt;"",LEFT(AG283,2)&lt;&gt;"Va",AK283&lt;&gt;"H. Sale Real"),IF(AK285-AK283&lt;0.208333333333333,AK285-AK283,""),IF(AND(AK282&lt;&gt;"",LEFT(AG282,2)&lt;&gt;"NC",AK282&lt;&gt;"H. Sale Real"),IF(AK285-AK282&lt;0.208333333333333,AK285-AK282,""),IF(AND(AK281&lt;&gt;"",LEFT(AG281,2)&lt;&gt;"Va",AK281&lt;&gt;"H. Sale Real"),IF(AK285-AK281&lt;0.208333333333333,AK285-AK281,""),IF(AND(AK280&lt;&gt;"",LEFT(AG280,2)&lt;&gt;"Va",AK280&lt;&gt;"H. Sale Real"),IF(AK285-AK280&lt;0.208333333333333,AK285-AK280,""),""))))),""),"")</f>
        <v/>
      </c>
      <c r="AY284" s="87" t="n"/>
      <c r="AZ284" s="89" t="n"/>
      <c r="BA284" s="87" t="n"/>
      <c r="BB284" s="89" t="n"/>
      <c r="BC284" s="91" t="n"/>
      <c r="BD284" s="122">
        <f>IF(AK284&lt;&gt;"",IF(AND(BD283&lt;&gt;"IE",AT284&lt;&gt;0,AV284&lt;&gt;""),IF(IFERROR((AT284/AV284),0) &lt;=1,IFERROR(AT284/AV284,""),1),""),"")</f>
        <v/>
      </c>
      <c r="BE284" s="93" t="n"/>
      <c r="BF284" s="105" t="n"/>
      <c r="FC284" t="inlineStr">
        <is>
          <t>Diccionario 1</t>
        </is>
      </c>
      <c r="FD284" s="15" t="n">
        <v>1283</v>
      </c>
      <c r="FE284" s="15" t="inlineStr">
        <is>
          <t>MDN35025020024</t>
        </is>
      </c>
      <c r="FF284" s="15" t="inlineStr">
        <is>
          <t>LDYECS318S0044026</t>
        </is>
      </c>
      <c r="FG284" s="15" t="inlineStr">
        <is>
          <t>Zhong Tong</t>
        </is>
      </c>
      <c r="FH284" s="15" t="inlineStr">
        <is>
          <t>Lck6122evg</t>
        </is>
      </c>
      <c r="FI284" s="15" t="inlineStr">
        <is>
          <t>ZHONGTONG</t>
        </is>
      </c>
      <c r="FJ284" s="15" t="inlineStr">
        <is>
          <t>LCK6122EVG</t>
        </is>
      </c>
      <c r="FK284" s="15" t="n">
        <v>2025</v>
      </c>
      <c r="FL284" s="15" t="inlineStr">
        <is>
          <t>B</t>
        </is>
      </c>
      <c r="FM284" s="15" t="inlineStr">
        <is>
          <t>CERRILLOS</t>
        </is>
      </c>
      <c r="FN284" s="15" t="inlineStr">
        <is>
          <t>Calle Uno 7371</t>
        </is>
      </c>
      <c r="FO284" s="15" t="inlineStr">
        <is>
          <t>Cerrillos</t>
        </is>
      </c>
      <c r="FP284" t="inlineStr">
        <is>
          <t>B</t>
        </is>
      </c>
      <c r="FS284" s="14" t="inlineStr">
        <is>
          <t>3071 / SFWZ-29|</t>
        </is>
      </c>
      <c r="FT284" t="inlineStr">
        <is>
          <t>SFWZ-29|</t>
        </is>
      </c>
      <c r="FU284" t="inlineStr">
        <is>
          <t>SFWZ-29</t>
        </is>
      </c>
      <c r="FV284">
        <f>VLOOKUP(FU284,FD:FL,9,0)</f>
        <v/>
      </c>
      <c r="FZ284" s="51" t="inlineStr">
        <is>
          <t>F18</t>
        </is>
      </c>
      <c r="GA284" s="43" t="n">
        <v>0</v>
      </c>
      <c r="GB284" s="43" t="n">
        <v>0</v>
      </c>
      <c r="GC284" s="43" t="n">
        <v>0</v>
      </c>
      <c r="GD284" s="43" t="n">
        <v>0</v>
      </c>
      <c r="GE284" s="43" t="n">
        <v>0</v>
      </c>
      <c r="GF284" s="43" t="n">
        <v>23.69</v>
      </c>
      <c r="GG284" s="43" t="n">
        <v>21.025</v>
      </c>
      <c r="GH284" s="43" t="n">
        <v>19.685</v>
      </c>
      <c r="GI284" s="43" t="n">
        <v>18.65</v>
      </c>
      <c r="GJ284" s="43" t="n">
        <v>17.645</v>
      </c>
      <c r="GK284" s="43" t="n">
        <v>16.73</v>
      </c>
      <c r="GL284" s="43" t="n">
        <v>16.25</v>
      </c>
      <c r="GM284" s="43" t="n">
        <v>15.805</v>
      </c>
      <c r="GN284" s="43" t="n">
        <v>15.785</v>
      </c>
      <c r="GO284" s="43" t="n">
        <v>16.365</v>
      </c>
      <c r="GP284" s="43" t="n">
        <v>16.53</v>
      </c>
      <c r="GQ284" s="43" t="n">
        <v>15.81</v>
      </c>
      <c r="GR284" s="43" t="n">
        <v>15.855</v>
      </c>
      <c r="GS284" s="43" t="n">
        <v>16.695</v>
      </c>
      <c r="GT284" s="43" t="n">
        <v>17.73</v>
      </c>
      <c r="GU284" s="43" t="n">
        <v>18.905</v>
      </c>
      <c r="GV284" s="43" t="n">
        <v>20.28</v>
      </c>
      <c r="GW284" s="43" t="n">
        <v>21.815</v>
      </c>
      <c r="GX284" s="43" t="n">
        <v>0</v>
      </c>
      <c r="HA284" s="35" t="n">
        <v>54</v>
      </c>
      <c r="HB284" s="35" t="n">
        <v>278</v>
      </c>
    </row>
    <row r="285" ht="15.5" customHeight="1">
      <c r="A285" s="10">
        <f>HOUR(G285)+1</f>
        <v/>
      </c>
      <c r="B285" s="7" t="n"/>
      <c r="C285" s="7" t="n"/>
      <c r="D285" s="85">
        <f>IFERROR(
IF(AND(OR(Planilla!B285="C",Planilla!B285="c"), VLOOKUP(E285,FD:FP,13,0)="C"), "OK",IF(AND(OR(Planilla!B285="C",Planilla!B285="c"), OR(VLOOKUP(E285,FD:FP,13,0)="B", VLOOKUP(E285,FD:FP,13,0)="A")), "DEFICIT",IF(
AND(OR(Planilla!B285="B", Planilla!B285="BPAL"), VLOOKUP(E285,FD:FP,13,0)="B"), "OK",IF(AND(OR(Planilla!B285="B", Planilla!B285="BPAL"), VLOOKUP(E285,FD:FP,13,0)="A"), "DEFICIT",IF(AND(OR(Planilla!B285="B", Planilla!B285="BPAL"), VLOOKUP(E285,FD:FP,13,0)="C"), "SOBREOFERTA",IF(AND(Planilla!B285="A", VLOOKUP(E285,FD:FP,13,0)="A"), "OK",IF(
AND(Planilla!B285="A", OR(VLOOKUP(E285,FD:FP,13,0)="B", VLOOKUP(E285,FD:FP,13,0)="C")), "SOBREOFERTA",""
))))))),"")</f>
        <v/>
      </c>
      <c r="E285" s="8" t="n"/>
      <c r="F285" s="86" t="n"/>
      <c r="G285" s="87" t="n"/>
      <c r="H285" s="88">
        <f>IF(I285="","",IF(AND((I285-G285)&gt;=TIME(0,0,0),(I285-G285)&lt;TIME(0,3,0)),"OK",IF(AND((I285-G285)&gt;=TIME(0,3,0),(I285-G285)&lt;TIME(0,5,0)),"RETRASO DE 3-5 MIN",IF(AND((I285-G285)&gt;=TIME(0,5,0),(I285-G285)&lt;TIME(0,10,0)),"RETRASO DE 5-10 MIN",IF((I285-G285)&gt;=TIME(0,10,0),"RETRASO &gt;10 MIN", IF(AND((G285-I285)&gt;=TIME(0,0,0),(G285-I285)&lt;TIME(0,3,0)),"OK",IF((G285-I285)&gt;=TIME(0,3,0),"ADELANTADO")))))))</f>
        <v/>
      </c>
      <c r="I285" s="89" t="n"/>
      <c r="J285" s="89">
        <f>IF(A285&lt;&gt;"",HLOOKUP(VALUE(TEXT(G285,"h:mm:ss")),IF($C$6="Laboral",$FZ$4:$GX$227,IF($C$6="Sábado",$FZ$231:$GX$452,$FZ$456:$GX$656)),VLOOKUP($C$4,$HF$2:$HH$99,3,0)+IF(C$5="Ida",0,1),1),"")</f>
        <v/>
      </c>
      <c r="K285" s="89">
        <f>IF(A286&lt;&gt;A285,AVERAGEIF(A$9:A285,A285,J$9:J285),"")</f>
        <v/>
      </c>
      <c r="L285" s="89">
        <f>IFERROR(IF(A286&lt;&gt;A285,AVERAGEIF(A$9:A285,A285,S$9:S285),""),"")</f>
        <v/>
      </c>
      <c r="M285" s="89">
        <f>IFERROR(IF(A286&lt;&gt;A285,AVERAGEIF(A$9:A285,A285,T$9:T285),""),"")</f>
        <v/>
      </c>
      <c r="N285" s="89">
        <f t="array" ref="N285">IFERROR(IF(A286&lt;&gt;A285,_xlfn.STDEV.P(IF(A$9:A285=A285,T$9:T285)),""),"")</f>
        <v/>
      </c>
      <c r="O285" s="89">
        <f t="array" ref="O285">IFERROR(IF(A286&lt;&gt;A285,_xlfn.STDEV.P(IF(A$9:A285=A285,S$9:S285)),""),"")</f>
        <v/>
      </c>
      <c r="P285" s="90">
        <f>IFERROR(IF(A285&lt;&gt;A286,MAX((((M285*24*60)/2)*(1+POWER((((N285*24*60) / (M285*24*60) )),2))) + ((M285*24*60 )*-0.1 + (K285*0.015)) +1,(((M285*24*60)/2)*(1+POWER((((N285*24*60) / (M285*24*60 ))),2)))),""),"")</f>
        <v/>
      </c>
      <c r="Q285" s="90">
        <f>IF(AND(O285&lt;&gt;"",L285&lt;&gt;""),IF(A285&lt;&gt;A286,((L285*24*60) / 2 ) * (1 + POWER(((O285*24*60) / (L285*24*60)),2)),""),"")</f>
        <v/>
      </c>
      <c r="R285" s="90">
        <f>IF(Q285&lt;&gt;"",MAX(P285,Q285),"")</f>
        <v/>
      </c>
      <c r="S285" s="89">
        <f>IF(I285&lt;&gt;"H. Sale Real",IF(AND(I286&lt;&gt;"",LEFT(C286,2)&lt;&gt;"Va"),IF(AND(I285&lt;&gt;"",LEFT(C285,2)&lt;&gt;"Va",I285&lt;&gt;"H. Sale Real"),IF(I286-I285&lt;0.208333333333333,I286-I285,""),IF(AND(I284&lt;&gt;"",LEFT(C284,2)&lt;&gt;"Va",I284&lt;&gt;"H. Sale Real"),IF(I286-I284&lt;0.208333333333333,I286-I284,""),IF(AND(I283&lt;&gt;"",LEFT(C283,2)&lt;&gt;"Va",I283&lt;&gt;"H. Sale Real"),IF(I286-I283&lt;0.208333333333333,I286-I283,""),IF(AND(I282&lt;&gt;"",LEFT(C282,2)&lt;&gt;"Va",I282&lt;&gt;"H. Sale Real"),IF(I286-I282&lt;0.208333333333333,I286-I282,""),IF(AND(I281&lt;&gt;"",LEFT(C281,2)&lt;&gt;"Va",I281&lt;&gt;"H. Sale Real"),IF(I286-I281&lt;0.208333333333333,I286-I281,""),""))))),""),"")</f>
        <v/>
      </c>
      <c r="T285" s="89">
        <f>IF(G285&lt;&gt;"H. Sale Real",IF(AND(G286&lt;&gt;"",LEFT(C286,2)&lt;&gt;"Va"),IF(AND(G285&lt;&gt;"",LEFT(C285,2)&lt;&gt;"Va",G285&lt;&gt;"H. Sale Real"),IF(G286-G285&lt;0.208333333333333,G286-G285,""),IF(AND(G284&lt;&gt;"",LEFT(C284,2)&lt;&gt;"Va",G284&lt;&gt;"H. Sale Real"),IF(G286-G284&lt;0.208333333333333,G286-G284,""),IF(AND(G283&lt;&gt;"",LEFT(C283,2)&lt;&gt;"Va",G283&lt;&gt;"H. Sale Real"),IF(G286-G283&lt;0.208333333333333,G286-G283,""),IF(AND(G282&lt;&gt;"",LEFT(C282,2)&lt;&gt;"Va",G282&lt;&gt;"H. Sale Real"),IF(G286-G282&lt;0.208333333333333,G286-G282,""),IF(AND(G281&lt;&gt;"",LEFT(C281,2)&lt;&gt;"Va",G281&lt;&gt;"H. Sale Real"),IF(G286-G281&lt;0.208333333333333,G286-G281,""),""))))),""),"")</f>
        <v/>
      </c>
      <c r="U285" s="87" t="n"/>
      <c r="V285" s="89" t="n"/>
      <c r="W285" s="87" t="n"/>
      <c r="X285" s="89" t="n"/>
      <c r="Y285" s="91" t="n"/>
      <c r="Z285" s="122">
        <f>IF(G285&lt;&gt;"",IF(AND(Z284&lt;&gt;"IE",P285&lt;&gt;0,R285&lt;&gt;""),IF(IFERROR((P285/R285),0) &lt;=1,IFERROR(P285/R285,""),1),""),"")</f>
        <v/>
      </c>
      <c r="AA285" s="93" t="n"/>
      <c r="AB285" s="2" t="n"/>
      <c r="AE285" s="10">
        <f>HOUR(AK285)+1</f>
        <v/>
      </c>
      <c r="AF285" s="7" t="n"/>
      <c r="AG285" s="7" t="n"/>
      <c r="AH285" s="86" t="n"/>
      <c r="AI285" s="8" t="n"/>
      <c r="AJ285" s="86" t="n"/>
      <c r="AK285" s="87" t="n"/>
      <c r="AL285" s="88">
        <f>IF(AM285="","",IF(AND((AM285-AK285)&gt;=TIME(0,0,0),(AM285-AK285)&lt;TIME(0,3,0)),"OK",IF(AND((AM285-AK285)&gt;=TIME(0,3,0),(AM285-AK285)&lt;TIME(0,5,0)),"RETRASO DE 3-5 MIN",IF(AND((AM285-AK285)&gt;=TIME(0,5,0),(AM285-AK285)&lt;TIME(0,10,0)),"RETRASO DE 5-10 MIN",IF((AM285-AK285)&gt;=TIME(0,10,0),"RETRASO &gt;10 MIN", IF(AND((AK285-AM285)&gt;=TIME(0,0,0),(AK285-AM285)&lt;TIME(0,3,0)),"OK",IF((AK285-AM285)&gt;=TIME(0,3,0),"ADELANTADO")))))))</f>
        <v/>
      </c>
      <c r="AM285" s="91" t="n"/>
      <c r="AN285" s="89">
        <f>IF(AE285&lt;&gt;"",HLOOKUP(VALUE(TEXT(AK285,"h:mm:ss")),IF($C$6="Laboral",$FZ$4:$GX$227,IF($C$6="Sábado",$FZ$231:$GX$452,$FZ$456:$GX$656)),VLOOKUP($C$4,$HF$2:$HH$99,3,0)+IF(AG$5="Ida",0,1),1),"")</f>
        <v/>
      </c>
      <c r="AO285" s="89">
        <f>IF(AE286&lt;&gt;AE285,AVERAGEIF(AE$9:AE285,AE285,AN$9:AN285),"")</f>
        <v/>
      </c>
      <c r="AP285" s="89">
        <f>IFERROR(IF(AE286&lt;&gt;AE285,AVERAGEIF(AE$9:AE285,AE285,AW$9:AW285),""),"")</f>
        <v/>
      </c>
      <c r="AQ285" s="89">
        <f>IFERROR(IF(AE286&lt;&gt;AE285,AVERAGEIF(AE$9:AE285,AE285,AX$9:AX285),""),"")</f>
        <v/>
      </c>
      <c r="AR285" s="89">
        <f t="array" ref="AR285">IFERROR(IF(AE286&lt;&gt;AE285,_xlfn.STDEV.P(IF(AE$9:AE285=AE285,AX$9:AX285)),""),"")</f>
        <v/>
      </c>
      <c r="AS285" s="89">
        <f t="array" ref="AS285">IFERROR(IF(AE286&lt;&gt;AE285,_xlfn.STDEV.P(IF(AE$9:AE285=AE285,AW$9:AW285)),""),"")</f>
        <v/>
      </c>
      <c r="AT285" s="90">
        <f>IFERROR(IF(AE285&lt;&gt;AE286,MAX((((AQ285*24*60)/2)*(1+POWER((((AR285*24*60) / (AQ285*24*60) )),2))) + ((AQ285*24*60 )*-0.1 + (AO285*0.015)) +1,(((AQ285*24*60)/2)*(1+POWER((((AR285*24*60) / (AQ285*24*60 ))),2)))),""),"")</f>
        <v/>
      </c>
      <c r="AU285" s="90">
        <f>IF(AND(AS285&lt;&gt;"",AP285&lt;&gt;""),IF(AE285&lt;&gt;AE286,((AP285*24*60) / 2 ) * (1 + POWER(((AS285*24*60) / (AP285*24*60)),2)),""),"")</f>
        <v/>
      </c>
      <c r="AV285" s="90">
        <f>IF(AU285&lt;&gt;"",MAX(AT285,AU285),"")</f>
        <v/>
      </c>
      <c r="AW285" s="89">
        <f>IF(AM285&lt;&gt;"H. Sale Real",IF(AND(AM286&lt;&gt;"",LEFT(AG286,2)&lt;&gt;"Va"),IF(AND(AM285&lt;&gt;"",LEFT(AG285,2)&lt;&gt;"Va",AM285&lt;&gt;"H. Sale Real"),IF(AM286-AM285&lt;0.208333333333333,AM286-AM285,""),IF(AND(AM284&lt;&gt;"",LEFT(AG284,2)&lt;&gt;"Va",AM284&lt;&gt;"H. Sale Real"),IF(AM286-AM284&lt;0.208333333333333,AM286-AM284,""),IF(AND(AM283&lt;&gt;"",LEFT(AG283,2)&lt;&gt;"Va",AM283&lt;&gt;"H. Sale Real"),IF(AM286-AM283&lt;0.208333333333333,AM286-AM283,""),IF(AND(AM282&lt;&gt;"",LEFT(AG282,2)&lt;&gt;"Va",AM282&lt;&gt;"H. Sale Real"),IF(AM286-AM282&lt;0.208333333333333,AM286-AM282,""),IF(AND(AM281&lt;&gt;"",LEFT(AG281,2)&lt;&gt;"Va",AM281&lt;&gt;"H. Sale Real"),IF(AM286-AM281&lt;0.208333333333333,AM286-AM281,""),""))))),""),"")</f>
        <v/>
      </c>
      <c r="AX285" s="89">
        <f>IF(AK285&lt;&gt;"H. Sale Real",IF(AND(AK286&lt;&gt;"",LEFT(AG286,2)&lt;&gt;"Va"),IF(AND(AK285&lt;&gt;"",LEFT(AG285,2)&lt;&gt;"Va",AK285&lt;&gt;"H. Sale Real"),IF(AK286-AK285&lt;0.208333333333333,AK286-AK285,""),IF(AND(AK284&lt;&gt;"",LEFT(AG284,2)&lt;&gt;"Va",AK284&lt;&gt;"H. Sale Real"),IF(AK286-AK284&lt;0.208333333333333,AK286-AK284,""),IF(AND(AK283&lt;&gt;"",LEFT(AG283,2)&lt;&gt;"NC",AK283&lt;&gt;"H. Sale Real"),IF(AK286-AK283&lt;0.208333333333333,AK286-AK283,""),IF(AND(AK282&lt;&gt;"",LEFT(AG282,2)&lt;&gt;"Va",AK282&lt;&gt;"H. Sale Real"),IF(AK286-AK282&lt;0.208333333333333,AK286-AK282,""),IF(AND(AK281&lt;&gt;"",LEFT(AG281,2)&lt;&gt;"Va",AK281&lt;&gt;"H. Sale Real"),IF(AK286-AK281&lt;0.208333333333333,AK286-AK281,""),""))))),""),"")</f>
        <v/>
      </c>
      <c r="AY285" s="87" t="n"/>
      <c r="AZ285" s="89" t="n"/>
      <c r="BA285" s="87" t="n"/>
      <c r="BB285" s="89" t="n"/>
      <c r="BC285" s="91" t="n"/>
      <c r="BD285" s="122">
        <f>IF(AK285&lt;&gt;"",IF(AND(BD284&lt;&gt;"IE",AT285&lt;&gt;0,AV285&lt;&gt;""),IF(IFERROR((AT285/AV285),0) &lt;=1,IFERROR(AT285/AV285,""),1),""),"")</f>
        <v/>
      </c>
      <c r="BE285" s="93" t="n"/>
      <c r="BF285" s="105" t="n"/>
      <c r="FC285" t="inlineStr">
        <is>
          <t>Diccionario 1</t>
        </is>
      </c>
      <c r="FD285" s="15" t="n">
        <v>1284</v>
      </c>
      <c r="FE285" s="15" t="inlineStr">
        <is>
          <t>MDN35025020049</t>
        </is>
      </c>
      <c r="FF285" s="15" t="inlineStr">
        <is>
          <t>LDYECS310S0044005</t>
        </is>
      </c>
      <c r="FG285" s="15" t="inlineStr">
        <is>
          <t>Zhong Tong</t>
        </is>
      </c>
      <c r="FH285" s="15" t="inlineStr">
        <is>
          <t>Lck6122evg</t>
        </is>
      </c>
      <c r="FI285" s="15" t="inlineStr">
        <is>
          <t>ZHONGTONG</t>
        </is>
      </c>
      <c r="FJ285" s="15" t="inlineStr">
        <is>
          <t>LCK6122EVG</t>
        </is>
      </c>
      <c r="FK285" s="15" t="n">
        <v>2025</v>
      </c>
      <c r="FL285" s="15" t="inlineStr">
        <is>
          <t>B</t>
        </is>
      </c>
      <c r="FM285" s="15" t="inlineStr">
        <is>
          <t>PIE ANDINO</t>
        </is>
      </c>
      <c r="FN285" s="15" t="inlineStr">
        <is>
          <t>Pie Andino 31 (Pie Andino 383)</t>
        </is>
      </c>
      <c r="FO285" s="15" t="inlineStr">
        <is>
          <t>Puente Alto</t>
        </is>
      </c>
      <c r="FP285" t="inlineStr">
        <is>
          <t>B</t>
        </is>
      </c>
      <c r="FS285" s="14" t="inlineStr">
        <is>
          <t>3072 / SFWB-89|</t>
        </is>
      </c>
      <c r="FT285" t="inlineStr">
        <is>
          <t>SFWB-89|</t>
        </is>
      </c>
      <c r="FU285" t="inlineStr">
        <is>
          <t>SFWB-89</t>
        </is>
      </c>
      <c r="FV285">
        <f>VLOOKUP(FU285,FD:FL,9,0)</f>
        <v/>
      </c>
      <c r="FZ285" s="51" t="inlineStr">
        <is>
          <t>F18</t>
        </is>
      </c>
      <c r="GA285" s="43" t="n">
        <v>12.7</v>
      </c>
      <c r="GB285" s="43" t="n">
        <v>0</v>
      </c>
      <c r="GC285" s="43" t="n">
        <v>0</v>
      </c>
      <c r="GD285" s="43" t="n">
        <v>0</v>
      </c>
      <c r="GE285" s="43" t="n">
        <v>0</v>
      </c>
      <c r="GF285" s="43" t="n">
        <v>11.78</v>
      </c>
      <c r="GG285" s="43" t="n">
        <v>22.86</v>
      </c>
      <c r="GH285" s="43" t="n">
        <v>21.685</v>
      </c>
      <c r="GI285" s="43" t="n">
        <v>20.28</v>
      </c>
      <c r="GJ285" s="43" t="n">
        <v>19.245</v>
      </c>
      <c r="GK285" s="43" t="n">
        <v>18.11</v>
      </c>
      <c r="GL285" s="43" t="n">
        <v>17.045</v>
      </c>
      <c r="GM285" s="43" t="n">
        <v>16.55</v>
      </c>
      <c r="GN285" s="43" t="n">
        <v>16.79</v>
      </c>
      <c r="GO285" s="43" t="n">
        <v>16.645</v>
      </c>
      <c r="GP285" s="43" t="n">
        <v>16.45</v>
      </c>
      <c r="GQ285" s="43" t="n">
        <v>16.27</v>
      </c>
      <c r="GR285" s="43" t="n">
        <v>16.46</v>
      </c>
      <c r="GS285" s="43" t="n">
        <v>16.635</v>
      </c>
      <c r="GT285" s="43" t="n">
        <v>16.72</v>
      </c>
      <c r="GU285" s="43" t="n">
        <v>17.625</v>
      </c>
      <c r="GV285" s="43" t="n">
        <v>19.015</v>
      </c>
      <c r="GW285" s="43" t="n">
        <v>20.28</v>
      </c>
      <c r="GX285" s="43" t="n">
        <v>21.74</v>
      </c>
      <c r="HA285" s="35" t="n">
        <v>55</v>
      </c>
      <c r="HB285" s="35" t="n">
        <v>279</v>
      </c>
    </row>
    <row r="286" ht="15.5" customHeight="1">
      <c r="A286" s="10">
        <f>HOUR(G286)+1</f>
        <v/>
      </c>
      <c r="B286" s="7" t="n"/>
      <c r="C286" s="7" t="n"/>
      <c r="D286" s="85">
        <f>IFERROR(
IF(AND(OR(Planilla!B286="C",Planilla!B286="c"), VLOOKUP(E286,FD:FP,13,0)="C"), "OK",IF(AND(OR(Planilla!B286="C",Planilla!B286="c"), OR(VLOOKUP(E286,FD:FP,13,0)="B", VLOOKUP(E286,FD:FP,13,0)="A")), "DEFICIT",IF(
AND(OR(Planilla!B286="B", Planilla!B286="BPAL"), VLOOKUP(E286,FD:FP,13,0)="B"), "OK",IF(AND(OR(Planilla!B286="B", Planilla!B286="BPAL"), VLOOKUP(E286,FD:FP,13,0)="A"), "DEFICIT",IF(AND(OR(Planilla!B286="B", Planilla!B286="BPAL"), VLOOKUP(E286,FD:FP,13,0)="C"), "SOBREOFERTA",IF(AND(Planilla!B286="A", VLOOKUP(E286,FD:FP,13,0)="A"), "OK",IF(
AND(Planilla!B286="A", OR(VLOOKUP(E286,FD:FP,13,0)="B", VLOOKUP(E286,FD:FP,13,0)="C")), "SOBREOFERTA",""
))))))),"")</f>
        <v/>
      </c>
      <c r="E286" s="8" t="n"/>
      <c r="F286" s="86" t="n"/>
      <c r="G286" s="87" t="n"/>
      <c r="H286" s="88">
        <f>IF(I286="","",IF(AND((I286-G286)&gt;=TIME(0,0,0),(I286-G286)&lt;TIME(0,3,0)),"OK",IF(AND((I286-G286)&gt;=TIME(0,3,0),(I286-G286)&lt;TIME(0,5,0)),"RETRASO DE 3-5 MIN",IF(AND((I286-G286)&gt;=TIME(0,5,0),(I286-G286)&lt;TIME(0,10,0)),"RETRASO DE 5-10 MIN",IF((I286-G286)&gt;=TIME(0,10,0),"RETRASO &gt;10 MIN", IF(AND((G286-I286)&gt;=TIME(0,0,0),(G286-I286)&lt;TIME(0,3,0)),"OK",IF((G286-I286)&gt;=TIME(0,3,0),"ADELANTADO")))))))</f>
        <v/>
      </c>
      <c r="I286" s="89" t="n"/>
      <c r="J286" s="89">
        <f>IF(A286&lt;&gt;"",HLOOKUP(VALUE(TEXT(G286,"h:mm:ss")),IF($C$6="Laboral",$FZ$4:$GX$227,IF($C$6="Sábado",$FZ$231:$GX$452,$FZ$456:$GX$656)),VLOOKUP($C$4,$HF$2:$HH$99,3,0)+IF(C$5="Ida",0,1),1),"")</f>
        <v/>
      </c>
      <c r="K286" s="89">
        <f>IF(A287&lt;&gt;A286,AVERAGEIF(A$9:A286,A286,J$9:J286),"")</f>
        <v/>
      </c>
      <c r="L286" s="89">
        <f>IFERROR(IF(A287&lt;&gt;A286,AVERAGEIF(A$9:A286,A286,S$9:S286),""),"")</f>
        <v/>
      </c>
      <c r="M286" s="89">
        <f>IFERROR(IF(A287&lt;&gt;A286,AVERAGEIF(A$9:A286,A286,T$9:T286),""),"")</f>
        <v/>
      </c>
      <c r="N286" s="89">
        <f t="array" ref="N286">IFERROR(IF(A287&lt;&gt;A286,_xlfn.STDEV.P(IF(A$9:A286=A286,T$9:T286)),""),"")</f>
        <v/>
      </c>
      <c r="O286" s="89">
        <f t="array" ref="O286">IFERROR(IF(A287&lt;&gt;A286,_xlfn.STDEV.P(IF(A$9:A286=A286,S$9:S286)),""),"")</f>
        <v/>
      </c>
      <c r="P286" s="90">
        <f>IFERROR(IF(A286&lt;&gt;A287,MAX((((M286*24*60)/2)*(1+POWER((((N286*24*60) / (M286*24*60) )),2))) + ((M286*24*60 )*-0.1 + (K286*0.015)) +1,(((M286*24*60)/2)*(1+POWER((((N286*24*60) / (M286*24*60 ))),2)))),""),"")</f>
        <v/>
      </c>
      <c r="Q286" s="90">
        <f>IF(AND(O286&lt;&gt;"",L286&lt;&gt;""),IF(A286&lt;&gt;A287,((L286*24*60) / 2 ) * (1 + POWER(((O286*24*60) / (L286*24*60)),2)),""),"")</f>
        <v/>
      </c>
      <c r="R286" s="90">
        <f>IF(Q286&lt;&gt;"",MAX(P286,Q286),"")</f>
        <v/>
      </c>
      <c r="S286" s="89">
        <f>IF(I286&lt;&gt;"H. Sale Real",IF(AND(I287&lt;&gt;"",LEFT(C287,2)&lt;&gt;"Va"),IF(AND(I286&lt;&gt;"",LEFT(C286,2)&lt;&gt;"Va",I286&lt;&gt;"H. Sale Real"),IF(I287-I286&lt;0.208333333333333,I287-I286,""),IF(AND(I285&lt;&gt;"",LEFT(C285,2)&lt;&gt;"Va",I285&lt;&gt;"H. Sale Real"),IF(I287-I285&lt;0.208333333333333,I287-I285,""),IF(AND(I284&lt;&gt;"",LEFT(C284,2)&lt;&gt;"Va",I284&lt;&gt;"H. Sale Real"),IF(I287-I284&lt;0.208333333333333,I287-I284,""),IF(AND(I283&lt;&gt;"",LEFT(C283,2)&lt;&gt;"Va",I283&lt;&gt;"H. Sale Real"),IF(I287-I283&lt;0.208333333333333,I287-I283,""),IF(AND(I282&lt;&gt;"",LEFT(C282,2)&lt;&gt;"Va",I282&lt;&gt;"H. Sale Real"),IF(I287-I282&lt;0.208333333333333,I287-I282,""),""))))),""),"")</f>
        <v/>
      </c>
      <c r="T286" s="89">
        <f>IF(G286&lt;&gt;"H. Sale Real",IF(AND(G287&lt;&gt;"",LEFT(C287,2)&lt;&gt;"Va"),IF(AND(G286&lt;&gt;"",LEFT(C286,2)&lt;&gt;"Va",G286&lt;&gt;"H. Sale Real"),IF(G287-G286&lt;0.208333333333333,G287-G286,""),IF(AND(G285&lt;&gt;"",LEFT(C285,2)&lt;&gt;"Va",G285&lt;&gt;"H. Sale Real"),IF(G287-G285&lt;0.208333333333333,G287-G285,""),IF(AND(G284&lt;&gt;"",LEFT(C284,2)&lt;&gt;"Va",G284&lt;&gt;"H. Sale Real"),IF(G287-G284&lt;0.208333333333333,G287-G284,""),IF(AND(G283&lt;&gt;"",LEFT(C283,2)&lt;&gt;"Va",G283&lt;&gt;"H. Sale Real"),IF(G287-G283&lt;0.208333333333333,G287-G283,""),IF(AND(G282&lt;&gt;"",LEFT(C282,2)&lt;&gt;"Va",G282&lt;&gt;"H. Sale Real"),IF(G287-G282&lt;0.208333333333333,G287-G282,""),""))))),""),"")</f>
        <v/>
      </c>
      <c r="U286" s="87" t="n"/>
      <c r="V286" s="89" t="n"/>
      <c r="W286" s="87" t="n"/>
      <c r="X286" s="89" t="n"/>
      <c r="Y286" s="91" t="n"/>
      <c r="Z286" s="122">
        <f>IF(G286&lt;&gt;"",IF(AND(Z285&lt;&gt;"IE",P286&lt;&gt;0,R286&lt;&gt;""),IF(IFERROR((P286/R286),0) &lt;=1,IFERROR(P286/R286,""),1),""),"")</f>
        <v/>
      </c>
      <c r="AA286" s="93" t="n"/>
      <c r="AB286" s="2" t="n"/>
      <c r="AE286" s="10">
        <f>HOUR(AK286)+1</f>
        <v/>
      </c>
      <c r="AF286" s="7" t="n"/>
      <c r="AG286" s="7" t="n"/>
      <c r="AH286" s="86" t="n"/>
      <c r="AI286" s="8" t="n"/>
      <c r="AJ286" s="86" t="n"/>
      <c r="AK286" s="87" t="n"/>
      <c r="AL286" s="88">
        <f>IF(AM286="","",IF(AND((AM286-AK286)&gt;=TIME(0,0,0),(AM286-AK286)&lt;TIME(0,3,0)),"OK",IF(AND((AM286-AK286)&gt;=TIME(0,3,0),(AM286-AK286)&lt;TIME(0,5,0)),"RETRASO DE 3-5 MIN",IF(AND((AM286-AK286)&gt;=TIME(0,5,0),(AM286-AK286)&lt;TIME(0,10,0)),"RETRASO DE 5-10 MIN",IF((AM286-AK286)&gt;=TIME(0,10,0),"RETRASO &gt;10 MIN", IF(AND((AK286-AM286)&gt;=TIME(0,0,0),(AK286-AM286)&lt;TIME(0,3,0)),"OK",IF((AK286-AM286)&gt;=TIME(0,3,0),"ADELANTADO")))))))</f>
        <v/>
      </c>
      <c r="AM286" s="91" t="n"/>
      <c r="AN286" s="89">
        <f>IF(AE286&lt;&gt;"",HLOOKUP(VALUE(TEXT(AK286,"h:mm:ss")),IF($C$6="Laboral",$FZ$4:$GX$227,IF($C$6="Sábado",$FZ$231:$GX$452,$FZ$456:$GX$656)),VLOOKUP($C$4,$HF$2:$HH$99,3,0)+IF(AG$5="Ida",0,1),1),"")</f>
        <v/>
      </c>
      <c r="AO286" s="89">
        <f>IF(AE287&lt;&gt;AE286,AVERAGEIF(AE$9:AE286,AE286,AN$9:AN286),"")</f>
        <v/>
      </c>
      <c r="AP286" s="89">
        <f>IFERROR(IF(AE287&lt;&gt;AE286,AVERAGEIF(AE$9:AE286,AE286,AW$9:AW286),""),"")</f>
        <v/>
      </c>
      <c r="AQ286" s="89">
        <f>IFERROR(IF(AE287&lt;&gt;AE286,AVERAGEIF(AE$9:AE286,AE286,AX$9:AX286),""),"")</f>
        <v/>
      </c>
      <c r="AR286" s="89">
        <f t="array" ref="AR286">IFERROR(IF(AE287&lt;&gt;AE286,_xlfn.STDEV.P(IF(AE$9:AE286=AE286,AX$9:AX286)),""),"")</f>
        <v/>
      </c>
      <c r="AS286" s="89">
        <f t="array" ref="AS286">IFERROR(IF(AE287&lt;&gt;AE286,_xlfn.STDEV.P(IF(AE$9:AE286=AE286,AW$9:AW286)),""),"")</f>
        <v/>
      </c>
      <c r="AT286" s="90">
        <f>IFERROR(IF(AE286&lt;&gt;AE287,MAX((((AQ286*24*60)/2)*(1+POWER((((AR286*24*60) / (AQ286*24*60) )),2))) + ((AQ286*24*60 )*-0.1 + (AO286*0.015)) +1,(((AQ286*24*60)/2)*(1+POWER((((AR286*24*60) / (AQ286*24*60 ))),2)))),""),"")</f>
        <v/>
      </c>
      <c r="AU286" s="90">
        <f>IF(AND(AS286&lt;&gt;"",AP286&lt;&gt;""),IF(AE286&lt;&gt;AE287,((AP286*24*60) / 2 ) * (1 + POWER(((AS286*24*60) / (AP286*24*60)),2)),""),"")</f>
        <v/>
      </c>
      <c r="AV286" s="90">
        <f>IF(AU286&lt;&gt;"",MAX(AT286,AU286),"")</f>
        <v/>
      </c>
      <c r="AW286" s="89">
        <f>IF(AM286&lt;&gt;"H. Sale Real",IF(AND(AM287&lt;&gt;"",LEFT(AG287,2)&lt;&gt;"Va"),IF(AND(AM286&lt;&gt;"",LEFT(AG286,2)&lt;&gt;"Va",AM286&lt;&gt;"H. Sale Real"),IF(AM287-AM286&lt;0.208333333333333,AM287-AM286,""),IF(AND(AM285&lt;&gt;"",LEFT(AG285,2)&lt;&gt;"Va",AM285&lt;&gt;"H. Sale Real"),IF(AM287-AM285&lt;0.208333333333333,AM287-AM285,""),IF(AND(AM284&lt;&gt;"",LEFT(AG284,2)&lt;&gt;"Va",AM284&lt;&gt;"H. Sale Real"),IF(AM287-AM284&lt;0.208333333333333,AM287-AM284,""),IF(AND(AM283&lt;&gt;"",LEFT(AG283,2)&lt;&gt;"Va",AM283&lt;&gt;"H. Sale Real"),IF(AM287-AM283&lt;0.208333333333333,AM287-AM283,""),IF(AND(AM282&lt;&gt;"",LEFT(AG282,2)&lt;&gt;"Va",AM282&lt;&gt;"H. Sale Real"),IF(AM287-AM282&lt;0.208333333333333,AM287-AM282,""),""))))),""),"")</f>
        <v/>
      </c>
      <c r="AX286" s="89">
        <f>IF(AK286&lt;&gt;"H. Sale Real",IF(AND(AK287&lt;&gt;"",LEFT(AG287,2)&lt;&gt;"Va"),IF(AND(AK286&lt;&gt;"",LEFT(AG286,2)&lt;&gt;"Va",AK286&lt;&gt;"H. Sale Real"),IF(AK287-AK286&lt;0.208333333333333,AK287-AK286,""),IF(AND(AK285&lt;&gt;"",LEFT(AG285,2)&lt;&gt;"Va",AK285&lt;&gt;"H. Sale Real"),IF(AK287-AK285&lt;0.208333333333333,AK287-AK285,""),IF(AND(AK284&lt;&gt;"",LEFT(AG284,2)&lt;&gt;"NC",AK284&lt;&gt;"H. Sale Real"),IF(AK287-AK284&lt;0.208333333333333,AK287-AK284,""),IF(AND(AK283&lt;&gt;"",LEFT(AG283,2)&lt;&gt;"Va",AK283&lt;&gt;"H. Sale Real"),IF(AK287-AK283&lt;0.208333333333333,AK287-AK283,""),IF(AND(AK282&lt;&gt;"",LEFT(AG282,2)&lt;&gt;"Va",AK282&lt;&gt;"H. Sale Real"),IF(AK287-AK282&lt;0.208333333333333,AK287-AK282,""),""))))),""),"")</f>
        <v/>
      </c>
      <c r="AY286" s="87" t="n"/>
      <c r="AZ286" s="89" t="n"/>
      <c r="BA286" s="87" t="n"/>
      <c r="BB286" s="89" t="n"/>
      <c r="BC286" s="91" t="n"/>
      <c r="BD286" s="122">
        <f>IF(AK286&lt;&gt;"",IF(AND(BD285&lt;&gt;"IE",AT286&lt;&gt;0,AV286&lt;&gt;""),IF(IFERROR((AT286/AV286),0) &lt;=1,IFERROR(AT286/AV286,""),1),""),"")</f>
        <v/>
      </c>
      <c r="BE286" s="93" t="n"/>
      <c r="BF286" s="105" t="n"/>
      <c r="FC286" t="inlineStr">
        <is>
          <t>Diccionario 1</t>
        </is>
      </c>
      <c r="FD286" s="15" t="n">
        <v>1285</v>
      </c>
      <c r="FE286" s="15" t="inlineStr">
        <is>
          <t>MDN35025020108</t>
        </is>
      </c>
      <c r="FF286" s="15" t="inlineStr">
        <is>
          <t>LDYECS31XS0044061</t>
        </is>
      </c>
      <c r="FG286" s="15" t="inlineStr">
        <is>
          <t>Zhong Tong</t>
        </is>
      </c>
      <c r="FH286" s="15" t="inlineStr">
        <is>
          <t>Lck6122evg</t>
        </is>
      </c>
      <c r="FI286" s="15" t="inlineStr">
        <is>
          <t>ZHONGTONG</t>
        </is>
      </c>
      <c r="FJ286" s="15" t="inlineStr">
        <is>
          <t>LCK6122EVG</t>
        </is>
      </c>
      <c r="FK286" s="15" t="n">
        <v>2025</v>
      </c>
      <c r="FL286" s="15" t="inlineStr">
        <is>
          <t>B</t>
        </is>
      </c>
      <c r="FM286" s="15" t="inlineStr">
        <is>
          <t>CERRILLOS</t>
        </is>
      </c>
      <c r="FN286" s="15" t="inlineStr">
        <is>
          <t>Calle Uno 7371</t>
        </is>
      </c>
      <c r="FO286" s="15" t="inlineStr">
        <is>
          <t>Cerrillos</t>
        </is>
      </c>
      <c r="FP286" t="inlineStr">
        <is>
          <t>B</t>
        </is>
      </c>
      <c r="FS286" s="14" t="inlineStr">
        <is>
          <t>3072 / SFWB-89|</t>
        </is>
      </c>
      <c r="FT286" t="inlineStr">
        <is>
          <t>SFWB-89|</t>
        </is>
      </c>
      <c r="FU286" t="inlineStr">
        <is>
          <t>SFWB-89</t>
        </is>
      </c>
      <c r="FV286">
        <f>VLOOKUP(FU286,FD:FL,9,0)</f>
        <v/>
      </c>
      <c r="FZ286" s="51" t="inlineStr">
        <is>
          <t>F20</t>
        </is>
      </c>
      <c r="GA286" s="43" t="n">
        <v>29.15</v>
      </c>
      <c r="GB286" s="43" t="n">
        <v>30.315</v>
      </c>
      <c r="GC286" s="43" t="n">
        <v>30.675</v>
      </c>
      <c r="GD286" s="43" t="n">
        <v>31.615</v>
      </c>
      <c r="GE286" s="43" t="n">
        <v>30.915</v>
      </c>
      <c r="GF286" s="43" t="n">
        <v>28.225</v>
      </c>
      <c r="GG286" s="43" t="n">
        <v>24.71</v>
      </c>
      <c r="GH286" s="43" t="n">
        <v>21.815</v>
      </c>
      <c r="GI286" s="43" t="n">
        <v>20.435</v>
      </c>
      <c r="GJ286" s="43" t="n">
        <v>19.87</v>
      </c>
      <c r="GK286" s="43" t="n">
        <v>18.98</v>
      </c>
      <c r="GL286" s="43" t="n">
        <v>18.005</v>
      </c>
      <c r="GM286" s="43" t="n">
        <v>17.035</v>
      </c>
      <c r="GN286" s="43" t="n">
        <v>17.245</v>
      </c>
      <c r="GO286" s="43" t="n">
        <v>17.435</v>
      </c>
      <c r="GP286" s="43" t="n">
        <v>17.265</v>
      </c>
      <c r="GQ286" s="43" t="n">
        <v>16.765</v>
      </c>
      <c r="GR286" s="43" t="n">
        <v>16.59</v>
      </c>
      <c r="GS286" s="43" t="n">
        <v>16.925</v>
      </c>
      <c r="GT286" s="43" t="n">
        <v>17.765</v>
      </c>
      <c r="GU286" s="43" t="n">
        <v>19.025</v>
      </c>
      <c r="GV286" s="43" t="n">
        <v>19.625</v>
      </c>
      <c r="GW286" s="43" t="n">
        <v>21.435</v>
      </c>
      <c r="GX286" s="43" t="n">
        <v>24.515</v>
      </c>
      <c r="HA286" s="35" t="n">
        <v>56</v>
      </c>
      <c r="HB286" s="35" t="n">
        <v>280</v>
      </c>
    </row>
    <row r="287" ht="15.5" customHeight="1">
      <c r="A287" s="10">
        <f>HOUR(G287)+1</f>
        <v/>
      </c>
      <c r="B287" s="7" t="n"/>
      <c r="C287" s="7" t="n"/>
      <c r="D287" s="85">
        <f>IFERROR(
IF(AND(OR(Planilla!B287="C",Planilla!B287="c"), VLOOKUP(E287,FD:FP,13,0)="C"), "OK",IF(AND(OR(Planilla!B287="C",Planilla!B287="c"), OR(VLOOKUP(E287,FD:FP,13,0)="B", VLOOKUP(E287,FD:FP,13,0)="A")), "DEFICIT",IF(
AND(OR(Planilla!B287="B", Planilla!B287="BPAL"), VLOOKUP(E287,FD:FP,13,0)="B"), "OK",IF(AND(OR(Planilla!B287="B", Planilla!B287="BPAL"), VLOOKUP(E287,FD:FP,13,0)="A"), "DEFICIT",IF(AND(OR(Planilla!B287="B", Planilla!B287="BPAL"), VLOOKUP(E287,FD:FP,13,0)="C"), "SOBREOFERTA",IF(AND(Planilla!B287="A", VLOOKUP(E287,FD:FP,13,0)="A"), "OK",IF(
AND(Planilla!B287="A", OR(VLOOKUP(E287,FD:FP,13,0)="B", VLOOKUP(E287,FD:FP,13,0)="C")), "SOBREOFERTA",""
))))))),"")</f>
        <v/>
      </c>
      <c r="E287" s="8" t="n"/>
      <c r="F287" s="86" t="n"/>
      <c r="G287" s="87" t="n"/>
      <c r="H287" s="88">
        <f>IF(I287="","",IF(AND((I287-G287)&gt;=TIME(0,0,0),(I287-G287)&lt;TIME(0,3,0)),"OK",IF(AND((I287-G287)&gt;=TIME(0,3,0),(I287-G287)&lt;TIME(0,5,0)),"RETRASO DE 3-5 MIN",IF(AND((I287-G287)&gt;=TIME(0,5,0),(I287-G287)&lt;TIME(0,10,0)),"RETRASO DE 5-10 MIN",IF((I287-G287)&gt;=TIME(0,10,0),"RETRASO &gt;10 MIN", IF(AND((G287-I287)&gt;=TIME(0,0,0),(G287-I287)&lt;TIME(0,3,0)),"OK",IF((G287-I287)&gt;=TIME(0,3,0),"ADELANTADO")))))))</f>
        <v/>
      </c>
      <c r="I287" s="89" t="n"/>
      <c r="J287" s="89">
        <f>IF(A287&lt;&gt;"",HLOOKUP(VALUE(TEXT(G287,"h:mm:ss")),IF($C$6="Laboral",$FZ$4:$GX$227,IF($C$6="Sábado",$FZ$231:$GX$452,$FZ$456:$GX$656)),VLOOKUP($C$4,$HF$2:$HH$99,3,0)+IF(C$5="Ida",0,1),1),"")</f>
        <v/>
      </c>
      <c r="K287" s="89">
        <f>IF(A288&lt;&gt;A287,AVERAGEIF(A$9:A287,A287,J$9:J287),"")</f>
        <v/>
      </c>
      <c r="L287" s="89">
        <f>IFERROR(IF(A288&lt;&gt;A287,AVERAGEIF(A$9:A287,A287,S$9:S287),""),"")</f>
        <v/>
      </c>
      <c r="M287" s="89">
        <f>IFERROR(IF(A288&lt;&gt;A287,AVERAGEIF(A$9:A287,A287,T$9:T287),""),"")</f>
        <v/>
      </c>
      <c r="N287" s="89">
        <f t="array" ref="N287">IFERROR(IF(A288&lt;&gt;A287,_xlfn.STDEV.P(IF(A$9:A287=A287,T$9:T287)),""),"")</f>
        <v/>
      </c>
      <c r="O287" s="89">
        <f t="array" ref="O287">IFERROR(IF(A288&lt;&gt;A287,_xlfn.STDEV.P(IF(A$9:A287=A287,S$9:S287)),""),"")</f>
        <v/>
      </c>
      <c r="P287" s="90">
        <f>IFERROR(IF(A287&lt;&gt;A288,MAX((((M287*24*60)/2)*(1+POWER((((N287*24*60) / (M287*24*60) )),2))) + ((M287*24*60 )*-0.1 + (K287*0.015)) +1,(((M287*24*60)/2)*(1+POWER((((N287*24*60) / (M287*24*60 ))),2)))),""),"")</f>
        <v/>
      </c>
      <c r="Q287" s="90">
        <f>IF(AND(O287&lt;&gt;"",L287&lt;&gt;""),IF(A287&lt;&gt;A288,((L287*24*60) / 2 ) * (1 + POWER(((O287*24*60) / (L287*24*60)),2)),""),"")</f>
        <v/>
      </c>
      <c r="R287" s="90">
        <f>IF(Q287&lt;&gt;"",MAX(P287,Q287),"")</f>
        <v/>
      </c>
      <c r="S287" s="89">
        <f>IF(I287&lt;&gt;"H. Sale Real",IF(AND(I288&lt;&gt;"",LEFT(C288,2)&lt;&gt;"Va"),IF(AND(I287&lt;&gt;"",LEFT(C287,2)&lt;&gt;"Va",I287&lt;&gt;"H. Sale Real"),IF(I288-I287&lt;0.208333333333333,I288-I287,""),IF(AND(I286&lt;&gt;"",LEFT(C286,2)&lt;&gt;"Va",I286&lt;&gt;"H. Sale Real"),IF(I288-I286&lt;0.208333333333333,I288-I286,""),IF(AND(I285&lt;&gt;"",LEFT(C285,2)&lt;&gt;"Va",I285&lt;&gt;"H. Sale Real"),IF(I288-I285&lt;0.208333333333333,I288-I285,""),IF(AND(I284&lt;&gt;"",LEFT(C284,2)&lt;&gt;"Va",I284&lt;&gt;"H. Sale Real"),IF(I288-I284&lt;0.208333333333333,I288-I284,""),IF(AND(I283&lt;&gt;"",LEFT(C283,2)&lt;&gt;"Va",I283&lt;&gt;"H. Sale Real"),IF(I288-I283&lt;0.208333333333333,I288-I283,""),""))))),""),"")</f>
        <v/>
      </c>
      <c r="T287" s="89">
        <f>IF(G287&lt;&gt;"H. Sale Real",IF(AND(G288&lt;&gt;"",LEFT(C288,2)&lt;&gt;"Va"),IF(AND(G287&lt;&gt;"",LEFT(C287,2)&lt;&gt;"Va",G287&lt;&gt;"H. Sale Real"),IF(G288-G287&lt;0.208333333333333,G288-G287,""),IF(AND(G286&lt;&gt;"",LEFT(C286,2)&lt;&gt;"Va",G286&lt;&gt;"H. Sale Real"),IF(G288-G286&lt;0.208333333333333,G288-G286,""),IF(AND(G285&lt;&gt;"",LEFT(C285,2)&lt;&gt;"Va",G285&lt;&gt;"H. Sale Real"),IF(G288-G285&lt;0.208333333333333,G288-G285,""),IF(AND(G284&lt;&gt;"",LEFT(C284,2)&lt;&gt;"Va",G284&lt;&gt;"H. Sale Real"),IF(G288-G284&lt;0.208333333333333,G288-G284,""),IF(AND(G283&lt;&gt;"",LEFT(C283,2)&lt;&gt;"Va",G283&lt;&gt;"H. Sale Real"),IF(G288-G283&lt;0.208333333333333,G288-G283,""),""))))),""),"")</f>
        <v/>
      </c>
      <c r="U287" s="87" t="n"/>
      <c r="V287" s="89" t="n"/>
      <c r="W287" s="87" t="n"/>
      <c r="X287" s="89" t="n"/>
      <c r="Y287" s="91" t="n"/>
      <c r="Z287" s="122">
        <f>IF(G287&lt;&gt;"",IF(AND(Z286&lt;&gt;"IE",P287&lt;&gt;0,R287&lt;&gt;""),IF(IFERROR((P287/R287),0) &lt;=1,IFERROR(P287/R287,""),1),""),"")</f>
        <v/>
      </c>
      <c r="AA287" s="93" t="n"/>
      <c r="AB287" s="2" t="n"/>
      <c r="AE287" s="10">
        <f>HOUR(AK287)+1</f>
        <v/>
      </c>
      <c r="AF287" s="7" t="n"/>
      <c r="AG287" s="7" t="n"/>
      <c r="AH287" s="86" t="n"/>
      <c r="AI287" s="8" t="n"/>
      <c r="AJ287" s="86" t="n"/>
      <c r="AK287" s="87" t="n"/>
      <c r="AL287" s="88">
        <f>IF(AM287="","",IF(AND((AM287-AK287)&gt;=TIME(0,0,0),(AM287-AK287)&lt;TIME(0,3,0)),"OK",IF(AND((AM287-AK287)&gt;=TIME(0,3,0),(AM287-AK287)&lt;TIME(0,5,0)),"RETRASO DE 3-5 MIN",IF(AND((AM287-AK287)&gt;=TIME(0,5,0),(AM287-AK287)&lt;TIME(0,10,0)),"RETRASO DE 5-10 MIN",IF((AM287-AK287)&gt;=TIME(0,10,0),"RETRASO &gt;10 MIN", IF(AND((AK287-AM287)&gt;=TIME(0,0,0),(AK287-AM287)&lt;TIME(0,3,0)),"OK",IF((AK287-AM287)&gt;=TIME(0,3,0),"ADELANTADO")))))))</f>
        <v/>
      </c>
      <c r="AM287" s="91" t="n"/>
      <c r="AN287" s="89">
        <f>IF(AE287&lt;&gt;"",HLOOKUP(VALUE(TEXT(AK287,"h:mm:ss")),IF($C$6="Laboral",$FZ$4:$GX$227,IF($C$6="Sábado",$FZ$231:$GX$452,$FZ$456:$GX$656)),VLOOKUP($C$4,$HF$2:$HH$99,3,0)+IF(AG$5="Ida",0,1),1),"")</f>
        <v/>
      </c>
      <c r="AO287" s="89">
        <f>IF(AE288&lt;&gt;AE287,AVERAGEIF(AE$9:AE287,AE287,AN$9:AN287),"")</f>
        <v/>
      </c>
      <c r="AP287" s="89">
        <f>IFERROR(IF(AE288&lt;&gt;AE287,AVERAGEIF(AE$9:AE287,AE287,AW$9:AW287),""),"")</f>
        <v/>
      </c>
      <c r="AQ287" s="89">
        <f>IFERROR(IF(AE288&lt;&gt;AE287,AVERAGEIF(AE$9:AE287,AE287,AX$9:AX287),""),"")</f>
        <v/>
      </c>
      <c r="AR287" s="89">
        <f t="array" ref="AR287">IFERROR(IF(AE288&lt;&gt;AE287,_xlfn.STDEV.P(IF(AE$9:AE287=AE287,AX$9:AX287)),""),"")</f>
        <v/>
      </c>
      <c r="AS287" s="89">
        <f t="array" ref="AS287">IFERROR(IF(AE288&lt;&gt;AE287,_xlfn.STDEV.P(IF(AE$9:AE287=AE287,AW$9:AW287)),""),"")</f>
        <v/>
      </c>
      <c r="AT287" s="90">
        <f>IFERROR(IF(AE287&lt;&gt;AE288,MAX((((AQ287*24*60)/2)*(1+POWER((((AR287*24*60) / (AQ287*24*60) )),2))) + ((AQ287*24*60 )*-0.1 + (AO287*0.015)) +1,(((AQ287*24*60)/2)*(1+POWER((((AR287*24*60) / (AQ287*24*60 ))),2)))),""),"")</f>
        <v/>
      </c>
      <c r="AU287" s="90">
        <f>IF(AND(AS287&lt;&gt;"",AP287&lt;&gt;""),IF(AE287&lt;&gt;AE288,((AP287*24*60) / 2 ) * (1 + POWER(((AS287*24*60) / (AP287*24*60)),2)),""),"")</f>
        <v/>
      </c>
      <c r="AV287" s="90">
        <f>IF(AU287&lt;&gt;"",MAX(AT287,AU287),"")</f>
        <v/>
      </c>
      <c r="AW287" s="89">
        <f>IF(AM287&lt;&gt;"H. Sale Real",IF(AND(AM288&lt;&gt;"",LEFT(AG288,2)&lt;&gt;"Va"),IF(AND(AM287&lt;&gt;"",LEFT(AG287,2)&lt;&gt;"Va",AM287&lt;&gt;"H. Sale Real"),IF(AM288-AM287&lt;0.208333333333333,AM288-AM287,""),IF(AND(AM286&lt;&gt;"",LEFT(AG286,2)&lt;&gt;"Va",AM286&lt;&gt;"H. Sale Real"),IF(AM288-AM286&lt;0.208333333333333,AM288-AM286,""),IF(AND(AM285&lt;&gt;"",LEFT(AG285,2)&lt;&gt;"Va",AM285&lt;&gt;"H. Sale Real"),IF(AM288-AM285&lt;0.208333333333333,AM288-AM285,""),IF(AND(AM284&lt;&gt;"",LEFT(AG284,2)&lt;&gt;"Va",AM284&lt;&gt;"H. Sale Real"),IF(AM288-AM284&lt;0.208333333333333,AM288-AM284,""),IF(AND(AM283&lt;&gt;"",LEFT(AG283,2)&lt;&gt;"Va",AM283&lt;&gt;"H. Sale Real"),IF(AM288-AM283&lt;0.208333333333333,AM288-AM283,""),""))))),""),"")</f>
        <v/>
      </c>
      <c r="AX287" s="89">
        <f>IF(AK287&lt;&gt;"H. Sale Real",IF(AND(AK288&lt;&gt;"",LEFT(AG288,2)&lt;&gt;"Va"),IF(AND(AK287&lt;&gt;"",LEFT(AG287,2)&lt;&gt;"Va",AK287&lt;&gt;"H. Sale Real"),IF(AK288-AK287&lt;0.208333333333333,AK288-AK287,""),IF(AND(AK286&lt;&gt;"",LEFT(AG286,2)&lt;&gt;"Va",AK286&lt;&gt;"H. Sale Real"),IF(AK288-AK286&lt;0.208333333333333,AK288-AK286,""),IF(AND(AK285&lt;&gt;"",LEFT(AG285,2)&lt;&gt;"NC",AK285&lt;&gt;"H. Sale Real"),IF(AK288-AK285&lt;0.208333333333333,AK288-AK285,""),IF(AND(AK284&lt;&gt;"",LEFT(AG284,2)&lt;&gt;"Va",AK284&lt;&gt;"H. Sale Real"),IF(AK288-AK284&lt;0.208333333333333,AK288-AK284,""),IF(AND(AK283&lt;&gt;"",LEFT(AG283,2)&lt;&gt;"Va",AK283&lt;&gt;"H. Sale Real"),IF(AK288-AK283&lt;0.208333333333333,AK288-AK283,""),""))))),""),"")</f>
        <v/>
      </c>
      <c r="AY287" s="87" t="n"/>
      <c r="AZ287" s="89" t="n"/>
      <c r="BA287" s="87" t="n"/>
      <c r="BB287" s="89" t="n"/>
      <c r="BC287" s="91" t="n"/>
      <c r="BD287" s="122">
        <f>IF(AK287&lt;&gt;"",IF(AND(BD286&lt;&gt;"IE",AT287&lt;&gt;0,AV287&lt;&gt;""),IF(IFERROR((AT287/AV287),0) &lt;=1,IFERROR(AT287/AV287,""),1),""),"")</f>
        <v/>
      </c>
      <c r="BE287" s="93" t="n"/>
      <c r="BF287" s="105" t="n"/>
      <c r="FC287" t="inlineStr">
        <is>
          <t>Diccionario 1</t>
        </is>
      </c>
      <c r="FD287" s="15" t="n">
        <v>1286</v>
      </c>
      <c r="FE287" s="15" t="inlineStr">
        <is>
          <t>MDN35025020064</t>
        </is>
      </c>
      <c r="FF287" s="15" t="inlineStr">
        <is>
          <t>LDYECS316S0044008</t>
        </is>
      </c>
      <c r="FG287" s="15" t="inlineStr">
        <is>
          <t>Zhong Tong</t>
        </is>
      </c>
      <c r="FH287" s="15" t="inlineStr">
        <is>
          <t>Lck6122evg</t>
        </is>
      </c>
      <c r="FI287" s="15" t="inlineStr">
        <is>
          <t>ZHONGTONG</t>
        </is>
      </c>
      <c r="FJ287" s="15" t="inlineStr">
        <is>
          <t>LCK6122EVG</t>
        </is>
      </c>
      <c r="FK287" s="15" t="n">
        <v>2025</v>
      </c>
      <c r="FL287" s="15" t="inlineStr">
        <is>
          <t>B</t>
        </is>
      </c>
      <c r="FM287" s="15" t="inlineStr">
        <is>
          <t>PIE ANDINO</t>
        </is>
      </c>
      <c r="FN287" s="15" t="inlineStr">
        <is>
          <t>Pie Andino 31 (Pie Andino 383)</t>
        </is>
      </c>
      <c r="FO287" s="15" t="inlineStr">
        <is>
          <t>Puente Alto</t>
        </is>
      </c>
      <c r="FP287" t="inlineStr">
        <is>
          <t>B</t>
        </is>
      </c>
      <c r="FS287" s="14" t="inlineStr">
        <is>
          <t>3072 / SFWB-89|</t>
        </is>
      </c>
      <c r="FT287" t="inlineStr">
        <is>
          <t>SFWB-89|</t>
        </is>
      </c>
      <c r="FU287" t="inlineStr">
        <is>
          <t>SFWB-89</t>
        </is>
      </c>
      <c r="FV287">
        <f>VLOOKUP(FU287,FD:FL,9,0)</f>
        <v/>
      </c>
      <c r="FZ287" s="51" t="inlineStr">
        <is>
          <t>F20</t>
        </is>
      </c>
      <c r="GA287" s="43" t="n">
        <v>28.315</v>
      </c>
      <c r="GB287" s="43" t="n">
        <v>28.99</v>
      </c>
      <c r="GC287" s="43" t="n">
        <v>29.935</v>
      </c>
      <c r="GD287" s="43" t="n">
        <v>30.72</v>
      </c>
      <c r="GE287" s="43" t="n">
        <v>30.585</v>
      </c>
      <c r="GF287" s="43" t="n">
        <v>27.86</v>
      </c>
      <c r="GG287" s="43" t="n">
        <v>24.06</v>
      </c>
      <c r="GH287" s="43" t="n">
        <v>21.865</v>
      </c>
      <c r="GI287" s="43" t="n">
        <v>20.895</v>
      </c>
      <c r="GJ287" s="43" t="n">
        <v>19.835</v>
      </c>
      <c r="GK287" s="43" t="n">
        <v>19.035</v>
      </c>
      <c r="GL287" s="43" t="n">
        <v>17.755</v>
      </c>
      <c r="GM287" s="43" t="n">
        <v>16.94</v>
      </c>
      <c r="GN287" s="43" t="n">
        <v>17.15</v>
      </c>
      <c r="GO287" s="43" t="n">
        <v>17.535</v>
      </c>
      <c r="GP287" s="43" t="n">
        <v>17.365</v>
      </c>
      <c r="GQ287" s="43" t="n">
        <v>17.405</v>
      </c>
      <c r="GR287" s="43" t="n">
        <v>17.29</v>
      </c>
      <c r="GS287" s="43" t="n">
        <v>17.73</v>
      </c>
      <c r="GT287" s="43" t="n">
        <v>18.625</v>
      </c>
      <c r="GU287" s="43" t="n">
        <v>19.655</v>
      </c>
      <c r="GV287" s="43" t="n">
        <v>20.375</v>
      </c>
      <c r="GW287" s="43" t="n">
        <v>22.74</v>
      </c>
      <c r="GX287" s="43" t="n">
        <v>25.74</v>
      </c>
      <c r="HA287" s="35" t="n">
        <v>57</v>
      </c>
      <c r="HB287" s="35" t="n">
        <v>281</v>
      </c>
    </row>
    <row r="288" ht="15.5" customHeight="1">
      <c r="A288" s="10">
        <f>HOUR(G288)+1</f>
        <v/>
      </c>
      <c r="B288" s="7" t="n"/>
      <c r="C288" s="7" t="n"/>
      <c r="D288" s="85">
        <f>IFERROR(
IF(AND(OR(Planilla!B288="C",Planilla!B288="c"), VLOOKUP(E288,FD:FP,13,0)="C"), "OK",IF(AND(OR(Planilla!B288="C",Planilla!B288="c"), OR(VLOOKUP(E288,FD:FP,13,0)="B", VLOOKUP(E288,FD:FP,13,0)="A")), "DEFICIT",IF(
AND(OR(Planilla!B288="B", Planilla!B288="BPAL"), VLOOKUP(E288,FD:FP,13,0)="B"), "OK",IF(AND(OR(Planilla!B288="B", Planilla!B288="BPAL"), VLOOKUP(E288,FD:FP,13,0)="A"), "DEFICIT",IF(AND(OR(Planilla!B288="B", Planilla!B288="BPAL"), VLOOKUP(E288,FD:FP,13,0)="C"), "SOBREOFERTA",IF(AND(Planilla!B288="A", VLOOKUP(E288,FD:FP,13,0)="A"), "OK",IF(
AND(Planilla!B288="A", OR(VLOOKUP(E288,FD:FP,13,0)="B", VLOOKUP(E288,FD:FP,13,0)="C")), "SOBREOFERTA",""
))))))),"")</f>
        <v/>
      </c>
      <c r="E288" s="8" t="n"/>
      <c r="F288" s="86" t="n"/>
      <c r="G288" s="87" t="n"/>
      <c r="H288" s="88">
        <f>IF(I288="","",IF(AND((I288-G288)&gt;=TIME(0,0,0),(I288-G288)&lt;TIME(0,3,0)),"OK",IF(AND((I288-G288)&gt;=TIME(0,3,0),(I288-G288)&lt;TIME(0,5,0)),"RETRASO DE 3-5 MIN",IF(AND((I288-G288)&gt;=TIME(0,5,0),(I288-G288)&lt;TIME(0,10,0)),"RETRASO DE 5-10 MIN",IF((I288-G288)&gt;=TIME(0,10,0),"RETRASO &gt;10 MIN", IF(AND((G288-I288)&gt;=TIME(0,0,0),(G288-I288)&lt;TIME(0,3,0)),"OK",IF((G288-I288)&gt;=TIME(0,3,0),"ADELANTADO")))))))</f>
        <v/>
      </c>
      <c r="I288" s="89" t="n"/>
      <c r="J288" s="89">
        <f>IF(A288&lt;&gt;"",HLOOKUP(VALUE(TEXT(G288,"h:mm:ss")),IF($C$6="Laboral",$FZ$4:$GX$227,IF($C$6="Sábado",$FZ$231:$GX$452,$FZ$456:$GX$656)),VLOOKUP($C$4,$HF$2:$HH$99,3,0)+IF(C$5="Ida",0,1),1),"")</f>
        <v/>
      </c>
      <c r="K288" s="89">
        <f>IF(A289&lt;&gt;A288,AVERAGEIF(A$9:A288,A288,J$9:J288),"")</f>
        <v/>
      </c>
      <c r="L288" s="89">
        <f>IFERROR(IF(A289&lt;&gt;A288,AVERAGEIF(A$9:A288,A288,S$9:S288),""),"")</f>
        <v/>
      </c>
      <c r="M288" s="89">
        <f>IFERROR(IF(A289&lt;&gt;A288,AVERAGEIF(A$9:A288,A288,T$9:T288),""),"")</f>
        <v/>
      </c>
      <c r="N288" s="89">
        <f t="array" ref="N288">IFERROR(IF(A289&lt;&gt;A288,_xlfn.STDEV.P(IF(A$9:A288=A288,T$9:T288)),""),"")</f>
        <v/>
      </c>
      <c r="O288" s="89">
        <f t="array" ref="O288">IFERROR(IF(A289&lt;&gt;A288,_xlfn.STDEV.P(IF(A$9:A288=A288,S$9:S288)),""),"")</f>
        <v/>
      </c>
      <c r="P288" s="90">
        <f>IFERROR(IF(A288&lt;&gt;A289,MAX((((M288*24*60)/2)*(1+POWER((((N288*24*60) / (M288*24*60) )),2))) + ((M288*24*60 )*-0.1 + (K288*0.015)) +1,(((M288*24*60)/2)*(1+POWER((((N288*24*60) / (M288*24*60 ))),2)))),""),"")</f>
        <v/>
      </c>
      <c r="Q288" s="90">
        <f>IF(AND(O288&lt;&gt;"",L288&lt;&gt;""),IF(A288&lt;&gt;A289,((L288*24*60) / 2 ) * (1 + POWER(((O288*24*60) / (L288*24*60)),2)),""),"")</f>
        <v/>
      </c>
      <c r="R288" s="90">
        <f>IF(Q288&lt;&gt;"",MAX(P288,Q288),"")</f>
        <v/>
      </c>
      <c r="S288" s="89">
        <f>IF(I288&lt;&gt;"H. Sale Real",IF(AND(I289&lt;&gt;"",LEFT(C289,2)&lt;&gt;"Va"),IF(AND(I288&lt;&gt;"",LEFT(C288,2)&lt;&gt;"Va",I288&lt;&gt;"H. Sale Real"),IF(I289-I288&lt;0.208333333333333,I289-I288,""),IF(AND(I287&lt;&gt;"",LEFT(C287,2)&lt;&gt;"Va",I287&lt;&gt;"H. Sale Real"),IF(I289-I287&lt;0.208333333333333,I289-I287,""),IF(AND(I286&lt;&gt;"",LEFT(C286,2)&lt;&gt;"Va",I286&lt;&gt;"H. Sale Real"),IF(I289-I286&lt;0.208333333333333,I289-I286,""),IF(AND(I285&lt;&gt;"",LEFT(C285,2)&lt;&gt;"Va",I285&lt;&gt;"H. Sale Real"),IF(I289-I285&lt;0.208333333333333,I289-I285,""),IF(AND(I284&lt;&gt;"",LEFT(C284,2)&lt;&gt;"Va",I284&lt;&gt;"H. Sale Real"),IF(I289-I284&lt;0.208333333333333,I289-I284,""),""))))),""),"")</f>
        <v/>
      </c>
      <c r="T288" s="89">
        <f>IF(G288&lt;&gt;"H. Sale Real",IF(AND(G289&lt;&gt;"",LEFT(C289,2)&lt;&gt;"Va"),IF(AND(G288&lt;&gt;"",LEFT(C288,2)&lt;&gt;"Va",G288&lt;&gt;"H. Sale Real"),IF(G289-G288&lt;0.208333333333333,G289-G288,""),IF(AND(G287&lt;&gt;"",LEFT(C287,2)&lt;&gt;"Va",G287&lt;&gt;"H. Sale Real"),IF(G289-G287&lt;0.208333333333333,G289-G287,""),IF(AND(G286&lt;&gt;"",LEFT(C286,2)&lt;&gt;"Va",G286&lt;&gt;"H. Sale Real"),IF(G289-G286&lt;0.208333333333333,G289-G286,""),IF(AND(G285&lt;&gt;"",LEFT(C285,2)&lt;&gt;"Va",G285&lt;&gt;"H. Sale Real"),IF(G289-G285&lt;0.208333333333333,G289-G285,""),IF(AND(G284&lt;&gt;"",LEFT(C284,2)&lt;&gt;"Va",G284&lt;&gt;"H. Sale Real"),IF(G289-G284&lt;0.208333333333333,G289-G284,""),""))))),""),"")</f>
        <v/>
      </c>
      <c r="U288" s="87" t="n"/>
      <c r="V288" s="89" t="n"/>
      <c r="W288" s="87" t="n"/>
      <c r="X288" s="89" t="n"/>
      <c r="Y288" s="91" t="n"/>
      <c r="Z288" s="122">
        <f>IF(G288&lt;&gt;"",IF(AND(Z287&lt;&gt;"IE",P288&lt;&gt;0,R288&lt;&gt;""),IF(IFERROR((P288/R288),0) &lt;=1,IFERROR(P288/R288,""),1),""),"")</f>
        <v/>
      </c>
      <c r="AA288" s="93" t="n"/>
      <c r="AB288" s="2" t="n"/>
      <c r="AE288" s="10">
        <f>HOUR(AK288)+1</f>
        <v/>
      </c>
      <c r="AF288" s="7" t="n"/>
      <c r="AG288" s="7" t="n"/>
      <c r="AH288" s="86" t="n"/>
      <c r="AI288" s="8" t="n"/>
      <c r="AJ288" s="86" t="n"/>
      <c r="AK288" s="87" t="n"/>
      <c r="AL288" s="88">
        <f>IF(AM288="","",IF(AND((AM288-AK288)&gt;=TIME(0,0,0),(AM288-AK288)&lt;TIME(0,3,0)),"OK",IF(AND((AM288-AK288)&gt;=TIME(0,3,0),(AM288-AK288)&lt;TIME(0,5,0)),"RETRASO DE 3-5 MIN",IF(AND((AM288-AK288)&gt;=TIME(0,5,0),(AM288-AK288)&lt;TIME(0,10,0)),"RETRASO DE 5-10 MIN",IF((AM288-AK288)&gt;=TIME(0,10,0),"RETRASO &gt;10 MIN", IF(AND((AK288-AM288)&gt;=TIME(0,0,0),(AK288-AM288)&lt;TIME(0,3,0)),"OK",IF((AK288-AM288)&gt;=TIME(0,3,0),"ADELANTADO")))))))</f>
        <v/>
      </c>
      <c r="AM288" s="91" t="n"/>
      <c r="AN288" s="89">
        <f>IF(AE288&lt;&gt;"",HLOOKUP(VALUE(TEXT(AK288,"h:mm:ss")),IF($C$6="Laboral",$FZ$4:$GX$227,IF($C$6="Sábado",$FZ$231:$GX$452,$FZ$456:$GX$656)),VLOOKUP($C$4,$HF$2:$HH$99,3,0)+IF(AG$5="Ida",0,1),1),"")</f>
        <v/>
      </c>
      <c r="AO288" s="89">
        <f>IF(AE289&lt;&gt;AE288,AVERAGEIF(AE$9:AE288,AE288,AN$9:AN288),"")</f>
        <v/>
      </c>
      <c r="AP288" s="89">
        <f>IFERROR(IF(AE289&lt;&gt;AE288,AVERAGEIF(AE$9:AE288,AE288,AW$9:AW288),""),"")</f>
        <v/>
      </c>
      <c r="AQ288" s="89">
        <f>IFERROR(IF(AE289&lt;&gt;AE288,AVERAGEIF(AE$9:AE288,AE288,AX$9:AX288),""),"")</f>
        <v/>
      </c>
      <c r="AR288" s="89">
        <f t="array" ref="AR288">IFERROR(IF(AE289&lt;&gt;AE288,_xlfn.STDEV.P(IF(AE$9:AE288=AE288,AX$9:AX288)),""),"")</f>
        <v/>
      </c>
      <c r="AS288" s="89">
        <f t="array" ref="AS288">IFERROR(IF(AE289&lt;&gt;AE288,_xlfn.STDEV.P(IF(AE$9:AE288=AE288,AW$9:AW288)),""),"")</f>
        <v/>
      </c>
      <c r="AT288" s="90">
        <f>IFERROR(IF(AE288&lt;&gt;AE289,MAX((((AQ288*24*60)/2)*(1+POWER((((AR288*24*60) / (AQ288*24*60) )),2))) + ((AQ288*24*60 )*-0.1 + (AO288*0.015)) +1,(((AQ288*24*60)/2)*(1+POWER((((AR288*24*60) / (AQ288*24*60 ))),2)))),""),"")</f>
        <v/>
      </c>
      <c r="AU288" s="90">
        <f>IF(AND(AS288&lt;&gt;"",AP288&lt;&gt;""),IF(AE288&lt;&gt;AE289,((AP288*24*60) / 2 ) * (1 + POWER(((AS288*24*60) / (AP288*24*60)),2)),""),"")</f>
        <v/>
      </c>
      <c r="AV288" s="90">
        <f>IF(AU288&lt;&gt;"",MAX(AT288,AU288),"")</f>
        <v/>
      </c>
      <c r="AW288" s="89">
        <f>IF(AM288&lt;&gt;"H. Sale Real",IF(AND(AM289&lt;&gt;"",LEFT(AG289,2)&lt;&gt;"Va"),IF(AND(AM288&lt;&gt;"",LEFT(AG288,2)&lt;&gt;"Va",AM288&lt;&gt;"H. Sale Real"),IF(AM289-AM288&lt;0.208333333333333,AM289-AM288,""),IF(AND(AM287&lt;&gt;"",LEFT(AG287,2)&lt;&gt;"Va",AM287&lt;&gt;"H. Sale Real"),IF(AM289-AM287&lt;0.208333333333333,AM289-AM287,""),IF(AND(AM286&lt;&gt;"",LEFT(AG286,2)&lt;&gt;"Va",AM286&lt;&gt;"H. Sale Real"),IF(AM289-AM286&lt;0.208333333333333,AM289-AM286,""),IF(AND(AM285&lt;&gt;"",LEFT(AG285,2)&lt;&gt;"Va",AM285&lt;&gt;"H. Sale Real"),IF(AM289-AM285&lt;0.208333333333333,AM289-AM285,""),IF(AND(AM284&lt;&gt;"",LEFT(AG284,2)&lt;&gt;"Va",AM284&lt;&gt;"H. Sale Real"),IF(AM289-AM284&lt;0.208333333333333,AM289-AM284,""),""))))),""),"")</f>
        <v/>
      </c>
      <c r="AX288" s="89">
        <f>IF(AK288&lt;&gt;"H. Sale Real",IF(AND(AK289&lt;&gt;"",LEFT(AG289,2)&lt;&gt;"Va"),IF(AND(AK288&lt;&gt;"",LEFT(AG288,2)&lt;&gt;"Va",AK288&lt;&gt;"H. Sale Real"),IF(AK289-AK288&lt;0.208333333333333,AK289-AK288,""),IF(AND(AK287&lt;&gt;"",LEFT(AG287,2)&lt;&gt;"Va",AK287&lt;&gt;"H. Sale Real"),IF(AK289-AK287&lt;0.208333333333333,AK289-AK287,""),IF(AND(AK286&lt;&gt;"",LEFT(AG286,2)&lt;&gt;"NC",AK286&lt;&gt;"H. Sale Real"),IF(AK289-AK286&lt;0.208333333333333,AK289-AK286,""),IF(AND(AK285&lt;&gt;"",LEFT(AG285,2)&lt;&gt;"Va",AK285&lt;&gt;"H. Sale Real"),IF(AK289-AK285&lt;0.208333333333333,AK289-AK285,""),IF(AND(AK284&lt;&gt;"",LEFT(AG284,2)&lt;&gt;"Va",AK284&lt;&gt;"H. Sale Real"),IF(AK289-AK284&lt;0.208333333333333,AK289-AK284,""),""))))),""),"")</f>
        <v/>
      </c>
      <c r="AY288" s="87" t="n"/>
      <c r="AZ288" s="89" t="n"/>
      <c r="BA288" s="87" t="n"/>
      <c r="BB288" s="89" t="n"/>
      <c r="BC288" s="91" t="n"/>
      <c r="BD288" s="122">
        <f>IF(AK288&lt;&gt;"",IF(AND(BD287&lt;&gt;"IE",AT288&lt;&gt;0,AV288&lt;&gt;""),IF(IFERROR((AT288/AV288),0) &lt;=1,IFERROR(AT288/AV288,""),1),""),"")</f>
        <v/>
      </c>
      <c r="BE288" s="93" t="n"/>
      <c r="BF288" s="105" t="n"/>
      <c r="FC288" t="inlineStr">
        <is>
          <t>Diccionario 1</t>
        </is>
      </c>
      <c r="FD288" s="15" t="n">
        <v>1287</v>
      </c>
      <c r="FE288" s="15" t="inlineStr">
        <is>
          <t>MDN35025020103</t>
        </is>
      </c>
      <c r="FF288" s="15" t="inlineStr">
        <is>
          <t>LDYECS313S0044015</t>
        </is>
      </c>
      <c r="FG288" s="15" t="inlineStr">
        <is>
          <t>Zhong Tong</t>
        </is>
      </c>
      <c r="FH288" s="15" t="inlineStr">
        <is>
          <t>Lck6122evg</t>
        </is>
      </c>
      <c r="FI288" s="15" t="inlineStr">
        <is>
          <t>ZHONGTONG</t>
        </is>
      </c>
      <c r="FJ288" s="15" t="inlineStr">
        <is>
          <t>LCK6122EVG</t>
        </is>
      </c>
      <c r="FK288" s="15" t="n">
        <v>2025</v>
      </c>
      <c r="FL288" s="15" t="inlineStr">
        <is>
          <t>B</t>
        </is>
      </c>
      <c r="FM288" s="15" t="inlineStr">
        <is>
          <t>CERRILLOS</t>
        </is>
      </c>
      <c r="FN288" s="15" t="inlineStr">
        <is>
          <t>Calle Uno 7371</t>
        </is>
      </c>
      <c r="FO288" s="15" t="inlineStr">
        <is>
          <t>Cerrillos</t>
        </is>
      </c>
      <c r="FP288" t="inlineStr">
        <is>
          <t>B</t>
        </is>
      </c>
      <c r="FS288" s="14" t="inlineStr">
        <is>
          <t>3073 / SFWB-96|</t>
        </is>
      </c>
      <c r="FT288" t="inlineStr">
        <is>
          <t>SFWB-96|</t>
        </is>
      </c>
      <c r="FU288" t="inlineStr">
        <is>
          <t>SFWB-96</t>
        </is>
      </c>
      <c r="FV288">
        <f>VLOOKUP(FU288,FD:FL,9,0)</f>
        <v/>
      </c>
      <c r="FZ288" s="51" t="inlineStr">
        <is>
          <t>F25</t>
        </is>
      </c>
      <c r="GA288" s="43" t="n">
        <v>15.305</v>
      </c>
      <c r="GB288" s="43" t="n">
        <v>0</v>
      </c>
      <c r="GC288" s="43" t="n">
        <v>0</v>
      </c>
      <c r="GD288" s="43" t="n">
        <v>0</v>
      </c>
      <c r="GE288" s="43" t="n">
        <v>0</v>
      </c>
      <c r="GF288" s="43" t="n">
        <v>24.44</v>
      </c>
      <c r="GG288" s="43" t="n">
        <v>21.95</v>
      </c>
      <c r="GH288" s="43" t="n">
        <v>20.975</v>
      </c>
      <c r="GI288" s="43" t="n">
        <v>19.455</v>
      </c>
      <c r="GJ288" s="43" t="n">
        <v>17.94</v>
      </c>
      <c r="GK288" s="43" t="n">
        <v>16.815</v>
      </c>
      <c r="GL288" s="43" t="n">
        <v>15.9</v>
      </c>
      <c r="GM288" s="43" t="n">
        <v>15.21</v>
      </c>
      <c r="GN288" s="43" t="n">
        <v>15.365</v>
      </c>
      <c r="GO288" s="43" t="n">
        <v>15.97</v>
      </c>
      <c r="GP288" s="43" t="n">
        <v>16.215</v>
      </c>
      <c r="GQ288" s="43" t="n">
        <v>16.105</v>
      </c>
      <c r="GR288" s="43" t="n">
        <v>16.02</v>
      </c>
      <c r="GS288" s="43" t="n">
        <v>16.58</v>
      </c>
      <c r="GT288" s="43" t="n">
        <v>17.805</v>
      </c>
      <c r="GU288" s="43" t="n">
        <v>18.74</v>
      </c>
      <c r="GV288" s="43" t="n">
        <v>19.925</v>
      </c>
      <c r="GW288" s="43" t="n">
        <v>22.305</v>
      </c>
      <c r="GX288" s="43" t="n">
        <v>23.25</v>
      </c>
      <c r="HA288" s="35" t="n">
        <v>58</v>
      </c>
      <c r="HB288" s="35" t="n">
        <v>282</v>
      </c>
    </row>
    <row r="289" ht="15.5" customHeight="1">
      <c r="A289" s="10">
        <f>HOUR(G289)+1</f>
        <v/>
      </c>
      <c r="B289" s="7" t="n"/>
      <c r="C289" s="7" t="n"/>
      <c r="D289" s="85">
        <f>IFERROR(
IF(AND(OR(Planilla!B289="C",Planilla!B289="c"), VLOOKUP(E289,FD:FP,13,0)="C"), "OK",IF(AND(OR(Planilla!B289="C",Planilla!B289="c"), OR(VLOOKUP(E289,FD:FP,13,0)="B", VLOOKUP(E289,FD:FP,13,0)="A")), "DEFICIT",IF(
AND(OR(Planilla!B289="B", Planilla!B289="BPAL"), VLOOKUP(E289,FD:FP,13,0)="B"), "OK",IF(AND(OR(Planilla!B289="B", Planilla!B289="BPAL"), VLOOKUP(E289,FD:FP,13,0)="A"), "DEFICIT",IF(AND(OR(Planilla!B289="B", Planilla!B289="BPAL"), VLOOKUP(E289,FD:FP,13,0)="C"), "SOBREOFERTA",IF(AND(Planilla!B289="A", VLOOKUP(E289,FD:FP,13,0)="A"), "OK",IF(
AND(Planilla!B289="A", OR(VLOOKUP(E289,FD:FP,13,0)="B", VLOOKUP(E289,FD:FP,13,0)="C")), "SOBREOFERTA",""
))))))),"")</f>
        <v/>
      </c>
      <c r="E289" s="8" t="n"/>
      <c r="F289" s="86" t="n"/>
      <c r="G289" s="87" t="n"/>
      <c r="H289" s="88">
        <f>IF(I289="","",IF(AND((I289-G289)&gt;=TIME(0,0,0),(I289-G289)&lt;TIME(0,3,0)),"OK",IF(AND((I289-G289)&gt;=TIME(0,3,0),(I289-G289)&lt;TIME(0,5,0)),"RETRASO DE 3-5 MIN",IF(AND((I289-G289)&gt;=TIME(0,5,0),(I289-G289)&lt;TIME(0,10,0)),"RETRASO DE 5-10 MIN",IF((I289-G289)&gt;=TIME(0,10,0),"RETRASO &gt;10 MIN", IF(AND((G289-I289)&gt;=TIME(0,0,0),(G289-I289)&lt;TIME(0,3,0)),"OK",IF((G289-I289)&gt;=TIME(0,3,0),"ADELANTADO")))))))</f>
        <v/>
      </c>
      <c r="I289" s="89" t="n"/>
      <c r="J289" s="89">
        <f>IF(A289&lt;&gt;"",HLOOKUP(VALUE(TEXT(G289,"h:mm:ss")),IF($C$6="Laboral",$FZ$4:$GX$227,IF($C$6="Sábado",$FZ$231:$GX$452,$FZ$456:$GX$656)),VLOOKUP($C$4,$HF$2:$HH$99,3,0)+IF(C$5="Ida",0,1),1),"")</f>
        <v/>
      </c>
      <c r="K289" s="89">
        <f>IF(A290&lt;&gt;A289,AVERAGEIF(A$9:A289,A289,J$9:J289),"")</f>
        <v/>
      </c>
      <c r="L289" s="89">
        <f>IFERROR(IF(A290&lt;&gt;A289,AVERAGEIF(A$9:A289,A289,S$9:S289),""),"")</f>
        <v/>
      </c>
      <c r="M289" s="89">
        <f>IFERROR(IF(A290&lt;&gt;A289,AVERAGEIF(A$9:A289,A289,T$9:T289),""),"")</f>
        <v/>
      </c>
      <c r="N289" s="89">
        <f t="array" ref="N289">IFERROR(IF(A290&lt;&gt;A289,_xlfn.STDEV.P(IF(A$9:A289=A289,T$9:T289)),""),"")</f>
        <v/>
      </c>
      <c r="O289" s="89">
        <f t="array" ref="O289">IFERROR(IF(A290&lt;&gt;A289,_xlfn.STDEV.P(IF(A$9:A289=A289,S$9:S289)),""),"")</f>
        <v/>
      </c>
      <c r="P289" s="90">
        <f>IFERROR(IF(A289&lt;&gt;A290,MAX((((M289*24*60)/2)*(1+POWER((((N289*24*60) / (M289*24*60) )),2))) + ((M289*24*60 )*-0.1 + (K289*0.015)) +1,(((M289*24*60)/2)*(1+POWER((((N289*24*60) / (M289*24*60 ))),2)))),""),"")</f>
        <v/>
      </c>
      <c r="Q289" s="90">
        <f>IF(AND(O289&lt;&gt;"",L289&lt;&gt;""),IF(A289&lt;&gt;A290,((L289*24*60) / 2 ) * (1 + POWER(((O289*24*60) / (L289*24*60)),2)),""),"")</f>
        <v/>
      </c>
      <c r="R289" s="90">
        <f>IF(Q289&lt;&gt;"",MAX(P289,Q289),"")</f>
        <v/>
      </c>
      <c r="S289" s="89">
        <f>IF(I289&lt;&gt;"H. Sale Real",IF(AND(I290&lt;&gt;"",LEFT(C290,2)&lt;&gt;"Va"),IF(AND(I289&lt;&gt;"",LEFT(C289,2)&lt;&gt;"Va",I289&lt;&gt;"H. Sale Real"),IF(I290-I289&lt;0.208333333333333,I290-I289,""),IF(AND(I288&lt;&gt;"",LEFT(C288,2)&lt;&gt;"Va",I288&lt;&gt;"H. Sale Real"),IF(I290-I288&lt;0.208333333333333,I290-I288,""),IF(AND(I287&lt;&gt;"",LEFT(C287,2)&lt;&gt;"Va",I287&lt;&gt;"H. Sale Real"),IF(I290-I287&lt;0.208333333333333,I290-I287,""),IF(AND(I286&lt;&gt;"",LEFT(C286,2)&lt;&gt;"Va",I286&lt;&gt;"H. Sale Real"),IF(I290-I286&lt;0.208333333333333,I290-I286,""),IF(AND(I285&lt;&gt;"",LEFT(C285,2)&lt;&gt;"Va",I285&lt;&gt;"H. Sale Real"),IF(I290-I285&lt;0.208333333333333,I290-I285,""),""))))),""),"")</f>
        <v/>
      </c>
      <c r="T289" s="89">
        <f>IF(G289&lt;&gt;"H. Sale Real",IF(AND(G290&lt;&gt;"",LEFT(C290,2)&lt;&gt;"Va"),IF(AND(G289&lt;&gt;"",LEFT(C289,2)&lt;&gt;"Va",G289&lt;&gt;"H. Sale Real"),IF(G290-G289&lt;0.208333333333333,G290-G289,""),IF(AND(G288&lt;&gt;"",LEFT(C288,2)&lt;&gt;"Va",G288&lt;&gt;"H. Sale Real"),IF(G290-G288&lt;0.208333333333333,G290-G288,""),IF(AND(G287&lt;&gt;"",LEFT(C287,2)&lt;&gt;"Va",G287&lt;&gt;"H. Sale Real"),IF(G290-G287&lt;0.208333333333333,G290-G287,""),IF(AND(G286&lt;&gt;"",LEFT(C286,2)&lt;&gt;"Va",G286&lt;&gt;"H. Sale Real"),IF(G290-G286&lt;0.208333333333333,G290-G286,""),IF(AND(G285&lt;&gt;"",LEFT(C285,2)&lt;&gt;"Va",G285&lt;&gt;"H. Sale Real"),IF(G290-G285&lt;0.208333333333333,G290-G285,""),""))))),""),"")</f>
        <v/>
      </c>
      <c r="U289" s="87" t="n"/>
      <c r="V289" s="89" t="n"/>
      <c r="W289" s="87" t="n"/>
      <c r="X289" s="89" t="n"/>
      <c r="Y289" s="91" t="n"/>
      <c r="Z289" s="122">
        <f>IF(G289&lt;&gt;"",IF(AND(Z288&lt;&gt;"IE",P289&lt;&gt;0,R289&lt;&gt;""),IF(IFERROR((P289/R289),0) &lt;=1,IFERROR(P289/R289,""),1),""),"")</f>
        <v/>
      </c>
      <c r="AA289" s="93" t="n"/>
      <c r="AB289" s="2" t="n"/>
      <c r="AE289" s="10">
        <f>HOUR(AK289)+1</f>
        <v/>
      </c>
      <c r="AF289" s="7" t="n"/>
      <c r="AG289" s="7" t="n"/>
      <c r="AH289" s="86" t="n"/>
      <c r="AI289" s="8" t="n"/>
      <c r="AJ289" s="86" t="n"/>
      <c r="AK289" s="87" t="n"/>
      <c r="AL289" s="88">
        <f>IF(AM289="","",IF(AND((AM289-AK289)&gt;=TIME(0,0,0),(AM289-AK289)&lt;TIME(0,3,0)),"OK",IF(AND((AM289-AK289)&gt;=TIME(0,3,0),(AM289-AK289)&lt;TIME(0,5,0)),"RETRASO DE 3-5 MIN",IF(AND((AM289-AK289)&gt;=TIME(0,5,0),(AM289-AK289)&lt;TIME(0,10,0)),"RETRASO DE 5-10 MIN",IF((AM289-AK289)&gt;=TIME(0,10,0),"RETRASO &gt;10 MIN", IF(AND((AK289-AM289)&gt;=TIME(0,0,0),(AK289-AM289)&lt;TIME(0,3,0)),"OK",IF((AK289-AM289)&gt;=TIME(0,3,0),"ADELANTADO")))))))</f>
        <v/>
      </c>
      <c r="AM289" s="91" t="n"/>
      <c r="AN289" s="89">
        <f>IF(AE289&lt;&gt;"",HLOOKUP(VALUE(TEXT(AK289,"h:mm:ss")),IF($C$6="Laboral",$FZ$4:$GX$227,IF($C$6="Sábado",$FZ$231:$GX$452,$FZ$456:$GX$656)),VLOOKUP($C$4,$HF$2:$HH$99,3,0)+IF(AG$5="Ida",0,1),1),"")</f>
        <v/>
      </c>
      <c r="AO289" s="89">
        <f>IF(AE290&lt;&gt;AE289,AVERAGEIF(AE$9:AE289,AE289,AN$9:AN289),"")</f>
        <v/>
      </c>
      <c r="AP289" s="89">
        <f>IFERROR(IF(AE290&lt;&gt;AE289,AVERAGEIF(AE$9:AE289,AE289,AW$9:AW289),""),"")</f>
        <v/>
      </c>
      <c r="AQ289" s="89">
        <f>IFERROR(IF(AE290&lt;&gt;AE289,AVERAGEIF(AE$9:AE289,AE289,AX$9:AX289),""),"")</f>
        <v/>
      </c>
      <c r="AR289" s="89">
        <f t="array" ref="AR289">IFERROR(IF(AE290&lt;&gt;AE289,_xlfn.STDEV.P(IF(AE$9:AE289=AE289,AX$9:AX289)),""),"")</f>
        <v/>
      </c>
      <c r="AS289" s="89">
        <f t="array" ref="AS289">IFERROR(IF(AE290&lt;&gt;AE289,_xlfn.STDEV.P(IF(AE$9:AE289=AE289,AW$9:AW289)),""),"")</f>
        <v/>
      </c>
      <c r="AT289" s="90">
        <f>IFERROR(IF(AE289&lt;&gt;AE290,MAX((((AQ289*24*60)/2)*(1+POWER((((AR289*24*60) / (AQ289*24*60) )),2))) + ((AQ289*24*60 )*-0.1 + (AO289*0.015)) +1,(((AQ289*24*60)/2)*(1+POWER((((AR289*24*60) / (AQ289*24*60 ))),2)))),""),"")</f>
        <v/>
      </c>
      <c r="AU289" s="90">
        <f>IF(AND(AS289&lt;&gt;"",AP289&lt;&gt;""),IF(AE289&lt;&gt;AE290,((AP289*24*60) / 2 ) * (1 + POWER(((AS289*24*60) / (AP289*24*60)),2)),""),"")</f>
        <v/>
      </c>
      <c r="AV289" s="90">
        <f>IF(AU289&lt;&gt;"",MAX(AT289,AU289),"")</f>
        <v/>
      </c>
      <c r="AW289" s="89">
        <f>IF(AM289&lt;&gt;"H. Sale Real",IF(AND(AM290&lt;&gt;"",LEFT(AG290,2)&lt;&gt;"Va"),IF(AND(AM289&lt;&gt;"",LEFT(AG289,2)&lt;&gt;"Va",AM289&lt;&gt;"H. Sale Real"),IF(AM290-AM289&lt;0.208333333333333,AM290-AM289,""),IF(AND(AM288&lt;&gt;"",LEFT(AG288,2)&lt;&gt;"Va",AM288&lt;&gt;"H. Sale Real"),IF(AM290-AM288&lt;0.208333333333333,AM290-AM288,""),IF(AND(AM287&lt;&gt;"",LEFT(AG287,2)&lt;&gt;"Va",AM287&lt;&gt;"H. Sale Real"),IF(AM290-AM287&lt;0.208333333333333,AM290-AM287,""),IF(AND(AM286&lt;&gt;"",LEFT(AG286,2)&lt;&gt;"Va",AM286&lt;&gt;"H. Sale Real"),IF(AM290-AM286&lt;0.208333333333333,AM290-AM286,""),IF(AND(AM285&lt;&gt;"",LEFT(AG285,2)&lt;&gt;"Va",AM285&lt;&gt;"H. Sale Real"),IF(AM290-AM285&lt;0.208333333333333,AM290-AM285,""),""))))),""),"")</f>
        <v/>
      </c>
      <c r="AX289" s="89">
        <f>IF(AK289&lt;&gt;"H. Sale Real",IF(AND(AK290&lt;&gt;"",LEFT(AG290,2)&lt;&gt;"Va"),IF(AND(AK289&lt;&gt;"",LEFT(AG289,2)&lt;&gt;"Va",AK289&lt;&gt;"H. Sale Real"),IF(AK290-AK289&lt;0.208333333333333,AK290-AK289,""),IF(AND(AK288&lt;&gt;"",LEFT(AG288,2)&lt;&gt;"Va",AK288&lt;&gt;"H. Sale Real"),IF(AK290-AK288&lt;0.208333333333333,AK290-AK288,""),IF(AND(AK287&lt;&gt;"",LEFT(AG287,2)&lt;&gt;"NC",AK287&lt;&gt;"H. Sale Real"),IF(AK290-AK287&lt;0.208333333333333,AK290-AK287,""),IF(AND(AK286&lt;&gt;"",LEFT(AG286,2)&lt;&gt;"Va",AK286&lt;&gt;"H. Sale Real"),IF(AK290-AK286&lt;0.208333333333333,AK290-AK286,""),IF(AND(AK285&lt;&gt;"",LEFT(AG285,2)&lt;&gt;"Va",AK285&lt;&gt;"H. Sale Real"),IF(AK290-AK285&lt;0.208333333333333,AK290-AK285,""),""))))),""),"")</f>
        <v/>
      </c>
      <c r="AY289" s="87" t="n"/>
      <c r="AZ289" s="89" t="n"/>
      <c r="BA289" s="87" t="n"/>
      <c r="BB289" s="89" t="n"/>
      <c r="BC289" s="91" t="n"/>
      <c r="BD289" s="122">
        <f>IF(AK289&lt;&gt;"",IF(AND(BD288&lt;&gt;"IE",AT289&lt;&gt;0,AV289&lt;&gt;""),IF(IFERROR((AT289/AV289),0) &lt;=1,IFERROR(AT289/AV289,""),1),""),"")</f>
        <v/>
      </c>
      <c r="BE289" s="93" t="n"/>
      <c r="BF289" s="105" t="n"/>
      <c r="FC289" t="inlineStr">
        <is>
          <t>Diccionario 1</t>
        </is>
      </c>
      <c r="FD289" s="15" t="n">
        <v>1288</v>
      </c>
      <c r="FE289" s="15" t="inlineStr">
        <is>
          <t>MDN35025020131</t>
        </is>
      </c>
      <c r="FF289" s="15" t="inlineStr">
        <is>
          <t>LDYECS317S0044017</t>
        </is>
      </c>
      <c r="FG289" s="15" t="inlineStr">
        <is>
          <t>Zhong Tong</t>
        </is>
      </c>
      <c r="FH289" s="15" t="inlineStr">
        <is>
          <t>Lck6122evg</t>
        </is>
      </c>
      <c r="FI289" s="15" t="inlineStr">
        <is>
          <t>ZHONGTONG</t>
        </is>
      </c>
      <c r="FJ289" s="15" t="inlineStr">
        <is>
          <t>LCK6122EVG</t>
        </is>
      </c>
      <c r="FK289" s="15" t="n">
        <v>2025</v>
      </c>
      <c r="FL289" s="15" t="inlineStr">
        <is>
          <t>B</t>
        </is>
      </c>
      <c r="FM289" s="15" t="inlineStr">
        <is>
          <t>PIE ANDINO</t>
        </is>
      </c>
      <c r="FN289" s="15" t="inlineStr">
        <is>
          <t>Pie Andino 31 (Pie Andino 383)</t>
        </is>
      </c>
      <c r="FO289" s="15" t="inlineStr">
        <is>
          <t>Puente Alto</t>
        </is>
      </c>
      <c r="FP289" t="inlineStr">
        <is>
          <t>B</t>
        </is>
      </c>
      <c r="FS289" s="14" t="inlineStr">
        <is>
          <t>3074 / SFWZ-17|</t>
        </is>
      </c>
      <c r="FT289" t="inlineStr">
        <is>
          <t>SFWZ-17|</t>
        </is>
      </c>
      <c r="FU289" t="inlineStr">
        <is>
          <t>SFWZ-17</t>
        </is>
      </c>
      <c r="FV289">
        <f>VLOOKUP(FU289,FD:FL,9,0)</f>
        <v/>
      </c>
      <c r="FZ289" s="51" t="inlineStr">
        <is>
          <t>F25</t>
        </is>
      </c>
      <c r="GA289" s="43" t="n">
        <v>28.245</v>
      </c>
      <c r="GB289" s="43" t="n">
        <v>0</v>
      </c>
      <c r="GC289" s="43" t="n">
        <v>0</v>
      </c>
      <c r="GD289" s="43" t="n">
        <v>0</v>
      </c>
      <c r="GE289" s="43" t="n">
        <v>0</v>
      </c>
      <c r="GF289" s="43" t="n">
        <v>0</v>
      </c>
      <c r="GG289" s="43" t="n">
        <v>23.535</v>
      </c>
      <c r="GH289" s="43" t="n">
        <v>22.7</v>
      </c>
      <c r="GI289" s="43" t="n">
        <v>21.485</v>
      </c>
      <c r="GJ289" s="43" t="n">
        <v>20.405</v>
      </c>
      <c r="GK289" s="43" t="n">
        <v>18.81</v>
      </c>
      <c r="GL289" s="43" t="n">
        <v>17.19</v>
      </c>
      <c r="GM289" s="43" t="n">
        <v>16.3</v>
      </c>
      <c r="GN289" s="43" t="n">
        <v>16.13</v>
      </c>
      <c r="GO289" s="43" t="n">
        <v>16.415</v>
      </c>
      <c r="GP289" s="43" t="n">
        <v>16.965</v>
      </c>
      <c r="GQ289" s="43" t="n">
        <v>16.965</v>
      </c>
      <c r="GR289" s="43" t="n">
        <v>16.205</v>
      </c>
      <c r="GS289" s="43" t="n">
        <v>16.025</v>
      </c>
      <c r="GT289" s="43" t="n">
        <v>16.875</v>
      </c>
      <c r="GU289" s="43" t="n">
        <v>18.42</v>
      </c>
      <c r="GV289" s="43" t="n">
        <v>20.075</v>
      </c>
      <c r="GW289" s="43" t="n">
        <v>22.76</v>
      </c>
      <c r="GX289" s="43" t="n">
        <v>23.68</v>
      </c>
      <c r="HA289" s="35" t="n">
        <v>59</v>
      </c>
      <c r="HB289" s="35" t="n">
        <v>283</v>
      </c>
    </row>
    <row r="290" ht="15.5" customHeight="1">
      <c r="A290" s="10">
        <f>HOUR(G290)+1</f>
        <v/>
      </c>
      <c r="B290" s="7" t="n"/>
      <c r="C290" s="7" t="n"/>
      <c r="D290" s="85">
        <f>IFERROR(
IF(AND(OR(Planilla!B290="C",Planilla!B290="c"), VLOOKUP(E290,FD:FP,13,0)="C"), "OK",IF(AND(OR(Planilla!B290="C",Planilla!B290="c"), OR(VLOOKUP(E290,FD:FP,13,0)="B", VLOOKUP(E290,FD:FP,13,0)="A")), "DEFICIT",IF(
AND(OR(Planilla!B290="B", Planilla!B290="BPAL"), VLOOKUP(E290,FD:FP,13,0)="B"), "OK",IF(AND(OR(Planilla!B290="B", Planilla!B290="BPAL"), VLOOKUP(E290,FD:FP,13,0)="A"), "DEFICIT",IF(AND(OR(Planilla!B290="B", Planilla!B290="BPAL"), VLOOKUP(E290,FD:FP,13,0)="C"), "SOBREOFERTA",IF(AND(Planilla!B290="A", VLOOKUP(E290,FD:FP,13,0)="A"), "OK",IF(
AND(Planilla!B290="A", OR(VLOOKUP(E290,FD:FP,13,0)="B", VLOOKUP(E290,FD:FP,13,0)="C")), "SOBREOFERTA",""
))))))),"")</f>
        <v/>
      </c>
      <c r="E290" s="8" t="n"/>
      <c r="F290" s="86" t="n"/>
      <c r="G290" s="87" t="n"/>
      <c r="H290" s="88">
        <f>IF(I290="","",IF(AND((I290-G290)&gt;=TIME(0,0,0),(I290-G290)&lt;TIME(0,3,0)),"OK",IF(AND((I290-G290)&gt;=TIME(0,3,0),(I290-G290)&lt;TIME(0,5,0)),"RETRASO DE 3-5 MIN",IF(AND((I290-G290)&gt;=TIME(0,5,0),(I290-G290)&lt;TIME(0,10,0)),"RETRASO DE 5-10 MIN",IF((I290-G290)&gt;=TIME(0,10,0),"RETRASO &gt;10 MIN", IF(AND((G290-I290)&gt;=TIME(0,0,0),(G290-I290)&lt;TIME(0,3,0)),"OK",IF((G290-I290)&gt;=TIME(0,3,0),"ADELANTADO")))))))</f>
        <v/>
      </c>
      <c r="I290" s="89" t="n"/>
      <c r="J290" s="89">
        <f>IF(A290&lt;&gt;"",HLOOKUP(VALUE(TEXT(G290,"h:mm:ss")),IF($C$6="Laboral",$FZ$4:$GX$227,IF($C$6="Sábado",$FZ$231:$GX$452,$FZ$456:$GX$656)),VLOOKUP($C$4,$HF$2:$HH$99,3,0)+IF(C$5="Ida",0,1),1),"")</f>
        <v/>
      </c>
      <c r="K290" s="89">
        <f>IF(A291&lt;&gt;A290,AVERAGEIF(A$9:A290,A290,J$9:J290),"")</f>
        <v/>
      </c>
      <c r="L290" s="89">
        <f>IFERROR(IF(A291&lt;&gt;A290,AVERAGEIF(A$9:A290,A290,S$9:S290),""),"")</f>
        <v/>
      </c>
      <c r="M290" s="89">
        <f>IFERROR(IF(A291&lt;&gt;A290,AVERAGEIF(A$9:A290,A290,T$9:T290),""),"")</f>
        <v/>
      </c>
      <c r="N290" s="89">
        <f t="array" ref="N290">IFERROR(IF(A291&lt;&gt;A290,_xlfn.STDEV.P(IF(A$9:A290=A290,T$9:T290)),""),"")</f>
        <v/>
      </c>
      <c r="O290" s="89">
        <f t="array" ref="O290">IFERROR(IF(A291&lt;&gt;A290,_xlfn.STDEV.P(IF(A$9:A290=A290,S$9:S290)),""),"")</f>
        <v/>
      </c>
      <c r="P290" s="90">
        <f>IFERROR(IF(A290&lt;&gt;A291,MAX((((M290*24*60)/2)*(1+POWER((((N290*24*60) / (M290*24*60) )),2))) + ((M290*24*60 )*-0.1 + (K290*0.015)) +1,(((M290*24*60)/2)*(1+POWER((((N290*24*60) / (M290*24*60 ))),2)))),""),"")</f>
        <v/>
      </c>
      <c r="Q290" s="90">
        <f>IF(AND(O290&lt;&gt;"",L290&lt;&gt;""),IF(A290&lt;&gt;A291,((L290*24*60) / 2 ) * (1 + POWER(((O290*24*60) / (L290*24*60)),2)),""),"")</f>
        <v/>
      </c>
      <c r="R290" s="90">
        <f>IF(Q290&lt;&gt;"",MAX(P290,Q290),"")</f>
        <v/>
      </c>
      <c r="S290" s="89">
        <f>IF(I290&lt;&gt;"H. Sale Real",IF(AND(I291&lt;&gt;"",LEFT(C291,2)&lt;&gt;"Va"),IF(AND(I290&lt;&gt;"",LEFT(C290,2)&lt;&gt;"Va",I290&lt;&gt;"H. Sale Real"),IF(I291-I290&lt;0.208333333333333,I291-I290,""),IF(AND(I289&lt;&gt;"",LEFT(C289,2)&lt;&gt;"Va",I289&lt;&gt;"H. Sale Real"),IF(I291-I289&lt;0.208333333333333,I291-I289,""),IF(AND(I288&lt;&gt;"",LEFT(C288,2)&lt;&gt;"Va",I288&lt;&gt;"H. Sale Real"),IF(I291-I288&lt;0.208333333333333,I291-I288,""),IF(AND(I287&lt;&gt;"",LEFT(C287,2)&lt;&gt;"Va",I287&lt;&gt;"H. Sale Real"),IF(I291-I287&lt;0.208333333333333,I291-I287,""),IF(AND(I286&lt;&gt;"",LEFT(C286,2)&lt;&gt;"Va",I286&lt;&gt;"H. Sale Real"),IF(I291-I286&lt;0.208333333333333,I291-I286,""),""))))),""),"")</f>
        <v/>
      </c>
      <c r="T290" s="89">
        <f>IF(G290&lt;&gt;"H. Sale Real",IF(AND(G291&lt;&gt;"",LEFT(C291,2)&lt;&gt;"Va"),IF(AND(G290&lt;&gt;"",LEFT(C290,2)&lt;&gt;"Va",G290&lt;&gt;"H. Sale Real"),IF(G291-G290&lt;0.208333333333333,G291-G290,""),IF(AND(G289&lt;&gt;"",LEFT(C289,2)&lt;&gt;"Va",G289&lt;&gt;"H. Sale Real"),IF(G291-G289&lt;0.208333333333333,G291-G289,""),IF(AND(G288&lt;&gt;"",LEFT(C288,2)&lt;&gt;"Va",G288&lt;&gt;"H. Sale Real"),IF(G291-G288&lt;0.208333333333333,G291-G288,""),IF(AND(G287&lt;&gt;"",LEFT(C287,2)&lt;&gt;"Va",G287&lt;&gt;"H. Sale Real"),IF(G291-G287&lt;0.208333333333333,G291-G287,""),IF(AND(G286&lt;&gt;"",LEFT(C286,2)&lt;&gt;"Va",G286&lt;&gt;"H. Sale Real"),IF(G291-G286&lt;0.208333333333333,G291-G286,""),""))))),""),"")</f>
        <v/>
      </c>
      <c r="U290" s="87" t="n"/>
      <c r="V290" s="89" t="n"/>
      <c r="W290" s="87" t="n"/>
      <c r="X290" s="89" t="n"/>
      <c r="Y290" s="91" t="n"/>
      <c r="Z290" s="122">
        <f>IF(G290&lt;&gt;"",IF(AND(Z289&lt;&gt;"IE",P290&lt;&gt;0,R290&lt;&gt;""),IF(IFERROR((P290/R290),0) &lt;=1,IFERROR(P290/R290,""),1),""),"")</f>
        <v/>
      </c>
      <c r="AA290" s="93" t="n"/>
      <c r="AB290" s="2" t="n"/>
      <c r="AE290" s="10">
        <f>HOUR(AK290)+1</f>
        <v/>
      </c>
      <c r="AF290" s="7" t="n"/>
      <c r="AG290" s="7" t="n"/>
      <c r="AH290" s="86" t="n"/>
      <c r="AI290" s="8" t="n"/>
      <c r="AJ290" s="86" t="n"/>
      <c r="AK290" s="87" t="n"/>
      <c r="AL290" s="88">
        <f>IF(AM290="","",IF(AND((AM290-AK290)&gt;=TIME(0,0,0),(AM290-AK290)&lt;TIME(0,3,0)),"OK",IF(AND((AM290-AK290)&gt;=TIME(0,3,0),(AM290-AK290)&lt;TIME(0,5,0)),"RETRASO DE 3-5 MIN",IF(AND((AM290-AK290)&gt;=TIME(0,5,0),(AM290-AK290)&lt;TIME(0,10,0)),"RETRASO DE 5-10 MIN",IF((AM290-AK290)&gt;=TIME(0,10,0),"RETRASO &gt;10 MIN", IF(AND((AK290-AM290)&gt;=TIME(0,0,0),(AK290-AM290)&lt;TIME(0,3,0)),"OK",IF((AK290-AM290)&gt;=TIME(0,3,0),"ADELANTADO")))))))</f>
        <v/>
      </c>
      <c r="AM290" s="91" t="n"/>
      <c r="AN290" s="89">
        <f>IF(AE290&lt;&gt;"",HLOOKUP(VALUE(TEXT(AK290,"h:mm:ss")),IF($C$6="Laboral",$FZ$4:$GX$227,IF($C$6="Sábado",$FZ$231:$GX$452,$FZ$456:$GX$656)),VLOOKUP($C$4,$HF$2:$HH$99,3,0)+IF(AG$5="Ida",0,1),1),"")</f>
        <v/>
      </c>
      <c r="AO290" s="89">
        <f>IF(AE291&lt;&gt;AE290,AVERAGEIF(AE$9:AE290,AE290,AN$9:AN290),"")</f>
        <v/>
      </c>
      <c r="AP290" s="89">
        <f>IFERROR(IF(AE291&lt;&gt;AE290,AVERAGEIF(AE$9:AE290,AE290,AW$9:AW290),""),"")</f>
        <v/>
      </c>
      <c r="AQ290" s="89">
        <f>IFERROR(IF(AE291&lt;&gt;AE290,AVERAGEIF(AE$9:AE290,AE290,AX$9:AX290),""),"")</f>
        <v/>
      </c>
      <c r="AR290" s="89">
        <f t="array" ref="AR290">IFERROR(IF(AE291&lt;&gt;AE290,_xlfn.STDEV.P(IF(AE$9:AE290=AE290,AX$9:AX290)),""),"")</f>
        <v/>
      </c>
      <c r="AS290" s="89">
        <f t="array" ref="AS290">IFERROR(IF(AE291&lt;&gt;AE290,_xlfn.STDEV.P(IF(AE$9:AE290=AE290,AW$9:AW290)),""),"")</f>
        <v/>
      </c>
      <c r="AT290" s="90">
        <f>IFERROR(IF(AE290&lt;&gt;AE291,MAX((((AQ290*24*60)/2)*(1+POWER((((AR290*24*60) / (AQ290*24*60) )),2))) + ((AQ290*24*60 )*-0.1 + (AO290*0.015)) +1,(((AQ290*24*60)/2)*(1+POWER((((AR290*24*60) / (AQ290*24*60 ))),2)))),""),"")</f>
        <v/>
      </c>
      <c r="AU290" s="90">
        <f>IF(AND(AS290&lt;&gt;"",AP290&lt;&gt;""),IF(AE290&lt;&gt;AE291,((AP290*24*60) / 2 ) * (1 + POWER(((AS290*24*60) / (AP290*24*60)),2)),""),"")</f>
        <v/>
      </c>
      <c r="AV290" s="90">
        <f>IF(AU290&lt;&gt;"",MAX(AT290,AU290),"")</f>
        <v/>
      </c>
      <c r="AW290" s="89">
        <f>IF(AM290&lt;&gt;"H. Sale Real",IF(AND(AM291&lt;&gt;"",LEFT(AG291,2)&lt;&gt;"Va"),IF(AND(AM290&lt;&gt;"",LEFT(AG290,2)&lt;&gt;"Va",AM290&lt;&gt;"H. Sale Real"),IF(AM291-AM290&lt;0.208333333333333,AM291-AM290,""),IF(AND(AM289&lt;&gt;"",LEFT(AG289,2)&lt;&gt;"Va",AM289&lt;&gt;"H. Sale Real"),IF(AM291-AM289&lt;0.208333333333333,AM291-AM289,""),IF(AND(AM288&lt;&gt;"",LEFT(AG288,2)&lt;&gt;"Va",AM288&lt;&gt;"H. Sale Real"),IF(AM291-AM288&lt;0.208333333333333,AM291-AM288,""),IF(AND(AM287&lt;&gt;"",LEFT(AG287,2)&lt;&gt;"Va",AM287&lt;&gt;"H. Sale Real"),IF(AM291-AM287&lt;0.208333333333333,AM291-AM287,""),IF(AND(AM286&lt;&gt;"",LEFT(AG286,2)&lt;&gt;"Va",AM286&lt;&gt;"H. Sale Real"),IF(AM291-AM286&lt;0.208333333333333,AM291-AM286,""),""))))),""),"")</f>
        <v/>
      </c>
      <c r="AX290" s="89">
        <f>IF(AK290&lt;&gt;"H. Sale Real",IF(AND(AK291&lt;&gt;"",LEFT(AG291,2)&lt;&gt;"Va"),IF(AND(AK290&lt;&gt;"",LEFT(AG290,2)&lt;&gt;"Va",AK290&lt;&gt;"H. Sale Real"),IF(AK291-AK290&lt;0.208333333333333,AK291-AK290,""),IF(AND(AK289&lt;&gt;"",LEFT(AG289,2)&lt;&gt;"Va",AK289&lt;&gt;"H. Sale Real"),IF(AK291-AK289&lt;0.208333333333333,AK291-AK289,""),IF(AND(AK288&lt;&gt;"",LEFT(AG288,2)&lt;&gt;"NC",AK288&lt;&gt;"H. Sale Real"),IF(AK291-AK288&lt;0.208333333333333,AK291-AK288,""),IF(AND(AK287&lt;&gt;"",LEFT(AG287,2)&lt;&gt;"Va",AK287&lt;&gt;"H. Sale Real"),IF(AK291-AK287&lt;0.208333333333333,AK291-AK287,""),IF(AND(AK286&lt;&gt;"",LEFT(AG286,2)&lt;&gt;"Va",AK286&lt;&gt;"H. Sale Real"),IF(AK291-AK286&lt;0.208333333333333,AK291-AK286,""),""))))),""),"")</f>
        <v/>
      </c>
      <c r="AY290" s="87" t="n"/>
      <c r="AZ290" s="89" t="n"/>
      <c r="BA290" s="87" t="n"/>
      <c r="BB290" s="89" t="n"/>
      <c r="BC290" s="91" t="n"/>
      <c r="BD290" s="122">
        <f>IF(AK290&lt;&gt;"",IF(AND(BD289&lt;&gt;"IE",AT290&lt;&gt;0,AV290&lt;&gt;""),IF(IFERROR((AT290/AV290),0) &lt;=1,IFERROR(AT290/AV290,""),1),""),"")</f>
        <v/>
      </c>
      <c r="BE290" s="93" t="n"/>
      <c r="BF290" s="105" t="n"/>
      <c r="FC290" t="inlineStr">
        <is>
          <t>Diccionario 1</t>
        </is>
      </c>
      <c r="FD290" s="15" t="n">
        <v>1289</v>
      </c>
      <c r="FE290" s="15" t="inlineStr">
        <is>
          <t>MDN35025020115</t>
        </is>
      </c>
      <c r="FF290" s="15" t="inlineStr">
        <is>
          <t>LDYECS319S0044018</t>
        </is>
      </c>
      <c r="FG290" s="15" t="inlineStr">
        <is>
          <t>Zhong Tong</t>
        </is>
      </c>
      <c r="FH290" s="15" t="inlineStr">
        <is>
          <t>Lck6122evg</t>
        </is>
      </c>
      <c r="FI290" s="15" t="inlineStr">
        <is>
          <t>ZHONGTONG</t>
        </is>
      </c>
      <c r="FJ290" s="15" t="inlineStr">
        <is>
          <t>LCK6122EVG</t>
        </is>
      </c>
      <c r="FK290" s="15" t="n">
        <v>2025</v>
      </c>
      <c r="FL290" s="15" t="inlineStr">
        <is>
          <t>B</t>
        </is>
      </c>
      <c r="FM290" s="15" t="inlineStr">
        <is>
          <t>CERRILLOS</t>
        </is>
      </c>
      <c r="FN290" s="15" t="inlineStr">
        <is>
          <t>Calle Uno 7371</t>
        </is>
      </c>
      <c r="FO290" s="15" t="inlineStr">
        <is>
          <t>Cerrillos</t>
        </is>
      </c>
      <c r="FP290" t="inlineStr">
        <is>
          <t>B</t>
        </is>
      </c>
      <c r="FS290" s="14" t="inlineStr">
        <is>
          <t>3074 / SFWZ-17|</t>
        </is>
      </c>
      <c r="FT290" t="inlineStr">
        <is>
          <t>SFWZ-17|</t>
        </is>
      </c>
      <c r="FU290" t="inlineStr">
        <is>
          <t>SFWZ-17</t>
        </is>
      </c>
      <c r="FV290">
        <f>VLOOKUP(FU290,FD:FL,9,0)</f>
        <v/>
      </c>
      <c r="FZ290" s="51" t="inlineStr">
        <is>
          <t>F30n</t>
        </is>
      </c>
      <c r="GA290" s="43" t="n">
        <v>26.96</v>
      </c>
      <c r="GB290" s="43" t="n">
        <v>27.485</v>
      </c>
      <c r="GC290" s="43" t="n">
        <v>28.32</v>
      </c>
      <c r="GD290" s="43" t="n">
        <v>29.15</v>
      </c>
      <c r="GE290" s="43" t="n">
        <v>27.955</v>
      </c>
      <c r="GF290" s="43" t="n">
        <v>24.99</v>
      </c>
      <c r="GG290" s="43" t="n">
        <v>23.765</v>
      </c>
      <c r="GH290" s="43" t="n">
        <v>0</v>
      </c>
      <c r="GI290" s="43" t="n">
        <v>0</v>
      </c>
      <c r="GJ290" s="43" t="n">
        <v>0</v>
      </c>
      <c r="GK290" s="43" t="n">
        <v>0</v>
      </c>
      <c r="GL290" s="43" t="n">
        <v>0</v>
      </c>
      <c r="GM290" s="43" t="n">
        <v>0</v>
      </c>
      <c r="GN290" s="43" t="n">
        <v>0</v>
      </c>
      <c r="GO290" s="43" t="n">
        <v>0</v>
      </c>
      <c r="GP290" s="43" t="n">
        <v>0</v>
      </c>
      <c r="GQ290" s="43" t="n">
        <v>0</v>
      </c>
      <c r="GR290" s="43" t="n">
        <v>0</v>
      </c>
      <c r="GS290" s="43" t="n">
        <v>0</v>
      </c>
      <c r="GT290" s="43" t="n">
        <v>0</v>
      </c>
      <c r="GU290" s="43" t="n">
        <v>0</v>
      </c>
      <c r="GV290" s="43" t="n">
        <v>11.935</v>
      </c>
      <c r="GW290" s="43" t="n">
        <v>24.275</v>
      </c>
      <c r="GX290" s="43" t="n">
        <v>25.27</v>
      </c>
      <c r="HA290" s="35" t="n">
        <v>60</v>
      </c>
      <c r="HB290" s="35" t="n">
        <v>284</v>
      </c>
    </row>
    <row r="291" ht="15.5" customHeight="1">
      <c r="A291" s="10">
        <f>HOUR(G291)+1</f>
        <v/>
      </c>
      <c r="B291" s="7" t="n"/>
      <c r="C291" s="7" t="n"/>
      <c r="D291" s="85">
        <f>IFERROR(
IF(AND(OR(Planilla!B291="C",Planilla!B291="c"), VLOOKUP(E291,FD:FP,13,0)="C"), "OK",IF(AND(OR(Planilla!B291="C",Planilla!B291="c"), OR(VLOOKUP(E291,FD:FP,13,0)="B", VLOOKUP(E291,FD:FP,13,0)="A")), "DEFICIT",IF(
AND(OR(Planilla!B291="B", Planilla!B291="BPAL"), VLOOKUP(E291,FD:FP,13,0)="B"), "OK",IF(AND(OR(Planilla!B291="B", Planilla!B291="BPAL"), VLOOKUP(E291,FD:FP,13,0)="A"), "DEFICIT",IF(AND(OR(Planilla!B291="B", Planilla!B291="BPAL"), VLOOKUP(E291,FD:FP,13,0)="C"), "SOBREOFERTA",IF(AND(Planilla!B291="A", VLOOKUP(E291,FD:FP,13,0)="A"), "OK",IF(
AND(Planilla!B291="A", OR(VLOOKUP(E291,FD:FP,13,0)="B", VLOOKUP(E291,FD:FP,13,0)="C")), "SOBREOFERTA",""
))))))),"")</f>
        <v/>
      </c>
      <c r="E291" s="8" t="n"/>
      <c r="F291" s="86" t="n"/>
      <c r="G291" s="87" t="n"/>
      <c r="H291" s="88">
        <f>IF(I291="","",IF(AND((I291-G291)&gt;=TIME(0,0,0),(I291-G291)&lt;TIME(0,3,0)),"OK",IF(AND((I291-G291)&gt;=TIME(0,3,0),(I291-G291)&lt;TIME(0,5,0)),"RETRASO DE 3-5 MIN",IF(AND((I291-G291)&gt;=TIME(0,5,0),(I291-G291)&lt;TIME(0,10,0)),"RETRASO DE 5-10 MIN",IF((I291-G291)&gt;=TIME(0,10,0),"RETRASO &gt;10 MIN", IF(AND((G291-I291)&gt;=TIME(0,0,0),(G291-I291)&lt;TIME(0,3,0)),"OK",IF((G291-I291)&gt;=TIME(0,3,0),"ADELANTADO")))))))</f>
        <v/>
      </c>
      <c r="I291" s="89" t="n"/>
      <c r="J291" s="89">
        <f>IF(A291&lt;&gt;"",HLOOKUP(VALUE(TEXT(G291,"h:mm:ss")),IF($C$6="Laboral",$FZ$4:$GX$227,IF($C$6="Sábado",$FZ$231:$GX$452,$FZ$456:$GX$656)),VLOOKUP($C$4,$HF$2:$HH$99,3,0)+IF(C$5="Ida",0,1),1),"")</f>
        <v/>
      </c>
      <c r="K291" s="89">
        <f>IF(A292&lt;&gt;A291,AVERAGEIF(A$9:A291,A291,J$9:J291),"")</f>
        <v/>
      </c>
      <c r="L291" s="89">
        <f>IFERROR(IF(A292&lt;&gt;A291,AVERAGEIF(A$9:A291,A291,S$9:S291),""),"")</f>
        <v/>
      </c>
      <c r="M291" s="89">
        <f>IFERROR(IF(A292&lt;&gt;A291,AVERAGEIF(A$9:A291,A291,T$9:T291),""),"")</f>
        <v/>
      </c>
      <c r="N291" s="89">
        <f t="array" ref="N291">IFERROR(IF(A292&lt;&gt;A291,_xlfn.STDEV.P(IF(A$9:A291=A291,T$9:T291)),""),"")</f>
        <v/>
      </c>
      <c r="O291" s="89">
        <f t="array" ref="O291">IFERROR(IF(A292&lt;&gt;A291,_xlfn.STDEV.P(IF(A$9:A291=A291,S$9:S291)),""),"")</f>
        <v/>
      </c>
      <c r="P291" s="90">
        <f>IFERROR(IF(A291&lt;&gt;A292,MAX((((M291*24*60)/2)*(1+POWER((((N291*24*60) / (M291*24*60) )),2))) + ((M291*24*60 )*-0.1 + (K291*0.015)) +1,(((M291*24*60)/2)*(1+POWER((((N291*24*60) / (M291*24*60 ))),2)))),""),"")</f>
        <v/>
      </c>
      <c r="Q291" s="90">
        <f>IF(AND(O291&lt;&gt;"",L291&lt;&gt;""),IF(A291&lt;&gt;A292,((L291*24*60) / 2 ) * (1 + POWER(((O291*24*60) / (L291*24*60)),2)),""),"")</f>
        <v/>
      </c>
      <c r="R291" s="90">
        <f>IF(Q291&lt;&gt;"",MAX(P291,Q291),"")</f>
        <v/>
      </c>
      <c r="S291" s="89">
        <f>IF(I291&lt;&gt;"H. Sale Real",IF(AND(I292&lt;&gt;"",LEFT(C292,2)&lt;&gt;"Va"),IF(AND(I291&lt;&gt;"",LEFT(C291,2)&lt;&gt;"Va",I291&lt;&gt;"H. Sale Real"),IF(I292-I291&lt;0.208333333333333,I292-I291,""),IF(AND(I290&lt;&gt;"",LEFT(C290,2)&lt;&gt;"Va",I290&lt;&gt;"H. Sale Real"),IF(I292-I290&lt;0.208333333333333,I292-I290,""),IF(AND(I289&lt;&gt;"",LEFT(C289,2)&lt;&gt;"Va",I289&lt;&gt;"H. Sale Real"),IF(I292-I289&lt;0.208333333333333,I292-I289,""),IF(AND(I288&lt;&gt;"",LEFT(C288,2)&lt;&gt;"Va",I288&lt;&gt;"H. Sale Real"),IF(I292-I288&lt;0.208333333333333,I292-I288,""),IF(AND(I287&lt;&gt;"",LEFT(C287,2)&lt;&gt;"Va",I287&lt;&gt;"H. Sale Real"),IF(I292-I287&lt;0.208333333333333,I292-I287,""),""))))),""),"")</f>
        <v/>
      </c>
      <c r="T291" s="89">
        <f>IF(G291&lt;&gt;"H. Sale Real",IF(AND(G292&lt;&gt;"",LEFT(C292,2)&lt;&gt;"Va"),IF(AND(G291&lt;&gt;"",LEFT(C291,2)&lt;&gt;"Va",G291&lt;&gt;"H. Sale Real"),IF(G292-G291&lt;0.208333333333333,G292-G291,""),IF(AND(G290&lt;&gt;"",LEFT(C290,2)&lt;&gt;"Va",G290&lt;&gt;"H. Sale Real"),IF(G292-G290&lt;0.208333333333333,G292-G290,""),IF(AND(G289&lt;&gt;"",LEFT(C289,2)&lt;&gt;"Va",G289&lt;&gt;"H. Sale Real"),IF(G292-G289&lt;0.208333333333333,G292-G289,""),IF(AND(G288&lt;&gt;"",LEFT(C288,2)&lt;&gt;"Va",G288&lt;&gt;"H. Sale Real"),IF(G292-G288&lt;0.208333333333333,G292-G288,""),IF(AND(G287&lt;&gt;"",LEFT(C287,2)&lt;&gt;"Va",G287&lt;&gt;"H. Sale Real"),IF(G292-G287&lt;0.208333333333333,G292-G287,""),""))))),""),"")</f>
        <v/>
      </c>
      <c r="U291" s="87" t="n"/>
      <c r="V291" s="89" t="n"/>
      <c r="W291" s="87" t="n"/>
      <c r="X291" s="89" t="n"/>
      <c r="Y291" s="91" t="n"/>
      <c r="Z291" s="122">
        <f>IF(G291&lt;&gt;"",IF(AND(Z290&lt;&gt;"IE",P291&lt;&gt;0,R291&lt;&gt;""),IF(IFERROR((P291/R291),0) &lt;=1,IFERROR(P291/R291,""),1),""),"")</f>
        <v/>
      </c>
      <c r="AA291" s="93" t="n"/>
      <c r="AB291" s="2" t="n"/>
      <c r="AE291" s="10">
        <f>HOUR(AK291)+1</f>
        <v/>
      </c>
      <c r="AF291" s="7" t="n"/>
      <c r="AG291" s="7" t="n"/>
      <c r="AH291" s="86" t="n"/>
      <c r="AI291" s="8" t="n"/>
      <c r="AJ291" s="86" t="n"/>
      <c r="AK291" s="87" t="n"/>
      <c r="AL291" s="88">
        <f>IF(AM291="","",IF(AND((AM291-AK291)&gt;=TIME(0,0,0),(AM291-AK291)&lt;TIME(0,3,0)),"OK",IF(AND((AM291-AK291)&gt;=TIME(0,3,0),(AM291-AK291)&lt;TIME(0,5,0)),"RETRASO DE 3-5 MIN",IF(AND((AM291-AK291)&gt;=TIME(0,5,0),(AM291-AK291)&lt;TIME(0,10,0)),"RETRASO DE 5-10 MIN",IF((AM291-AK291)&gt;=TIME(0,10,0),"RETRASO &gt;10 MIN", IF(AND((AK291-AM291)&gt;=TIME(0,0,0),(AK291-AM291)&lt;TIME(0,3,0)),"OK",IF((AK291-AM291)&gt;=TIME(0,3,0),"ADELANTADO")))))))</f>
        <v/>
      </c>
      <c r="AM291" s="91" t="n"/>
      <c r="AN291" s="89">
        <f>IF(AE291&lt;&gt;"",HLOOKUP(VALUE(TEXT(AK291,"h:mm:ss")),IF($C$6="Laboral",$FZ$4:$GX$227,IF($C$6="Sábado",$FZ$231:$GX$452,$FZ$456:$GX$656)),VLOOKUP($C$4,$HF$2:$HH$99,3,0)+IF(AG$5="Ida",0,1),1),"")</f>
        <v/>
      </c>
      <c r="AO291" s="89">
        <f>IF(AE292&lt;&gt;AE291,AVERAGEIF(AE$9:AE291,AE291,AN$9:AN291),"")</f>
        <v/>
      </c>
      <c r="AP291" s="89">
        <f>IFERROR(IF(AE292&lt;&gt;AE291,AVERAGEIF(AE$9:AE291,AE291,AW$9:AW291),""),"")</f>
        <v/>
      </c>
      <c r="AQ291" s="89">
        <f>IFERROR(IF(AE292&lt;&gt;AE291,AVERAGEIF(AE$9:AE291,AE291,AX$9:AX291),""),"")</f>
        <v/>
      </c>
      <c r="AR291" s="89">
        <f t="array" ref="AR291">IFERROR(IF(AE292&lt;&gt;AE291,_xlfn.STDEV.P(IF(AE$9:AE291=AE291,AX$9:AX291)),""),"")</f>
        <v/>
      </c>
      <c r="AS291" s="89">
        <f t="array" ref="AS291">IFERROR(IF(AE292&lt;&gt;AE291,_xlfn.STDEV.P(IF(AE$9:AE291=AE291,AW$9:AW291)),""),"")</f>
        <v/>
      </c>
      <c r="AT291" s="90">
        <f>IFERROR(IF(AE291&lt;&gt;AE292,MAX((((AQ291*24*60)/2)*(1+POWER((((AR291*24*60) / (AQ291*24*60) )),2))) + ((AQ291*24*60 )*-0.1 + (AO291*0.015)) +1,(((AQ291*24*60)/2)*(1+POWER((((AR291*24*60) / (AQ291*24*60 ))),2)))),""),"")</f>
        <v/>
      </c>
      <c r="AU291" s="90">
        <f>IF(AND(AS291&lt;&gt;"",AP291&lt;&gt;""),IF(AE291&lt;&gt;AE292,((AP291*24*60) / 2 ) * (1 + POWER(((AS291*24*60) / (AP291*24*60)),2)),""),"")</f>
        <v/>
      </c>
      <c r="AV291" s="90">
        <f>IF(AU291&lt;&gt;"",MAX(AT291,AU291),"")</f>
        <v/>
      </c>
      <c r="AW291" s="89">
        <f>IF(AM291&lt;&gt;"H. Sale Real",IF(AND(AM292&lt;&gt;"",LEFT(AG292,2)&lt;&gt;"Va"),IF(AND(AM291&lt;&gt;"",LEFT(AG291,2)&lt;&gt;"Va",AM291&lt;&gt;"H. Sale Real"),IF(AM292-AM291&lt;0.208333333333333,AM292-AM291,""),IF(AND(AM290&lt;&gt;"",LEFT(AG290,2)&lt;&gt;"Va",AM290&lt;&gt;"H. Sale Real"),IF(AM292-AM290&lt;0.208333333333333,AM292-AM290,""),IF(AND(AM289&lt;&gt;"",LEFT(AG289,2)&lt;&gt;"Va",AM289&lt;&gt;"H. Sale Real"),IF(AM292-AM289&lt;0.208333333333333,AM292-AM289,""),IF(AND(AM288&lt;&gt;"",LEFT(AG288,2)&lt;&gt;"Va",AM288&lt;&gt;"H. Sale Real"),IF(AM292-AM288&lt;0.208333333333333,AM292-AM288,""),IF(AND(AM287&lt;&gt;"",LEFT(AG287,2)&lt;&gt;"Va",AM287&lt;&gt;"H. Sale Real"),IF(AM292-AM287&lt;0.208333333333333,AM292-AM287,""),""))))),""),"")</f>
        <v/>
      </c>
      <c r="AX291" s="89">
        <f>IF(AK291&lt;&gt;"H. Sale Real",IF(AND(AK292&lt;&gt;"",LEFT(AG292,2)&lt;&gt;"Va"),IF(AND(AK291&lt;&gt;"",LEFT(AG291,2)&lt;&gt;"Va",AK291&lt;&gt;"H. Sale Real"),IF(AK292-AK291&lt;0.208333333333333,AK292-AK291,""),IF(AND(AK290&lt;&gt;"",LEFT(AG290,2)&lt;&gt;"Va",AK290&lt;&gt;"H. Sale Real"),IF(AK292-AK290&lt;0.208333333333333,AK292-AK290,""),IF(AND(AK289&lt;&gt;"",LEFT(AG289,2)&lt;&gt;"NC",AK289&lt;&gt;"H. Sale Real"),IF(AK292-AK289&lt;0.208333333333333,AK292-AK289,""),IF(AND(AK288&lt;&gt;"",LEFT(AG288,2)&lt;&gt;"Va",AK288&lt;&gt;"H. Sale Real"),IF(AK292-AK288&lt;0.208333333333333,AK292-AK288,""),IF(AND(AK287&lt;&gt;"",LEFT(AG287,2)&lt;&gt;"Va",AK287&lt;&gt;"H. Sale Real"),IF(AK292-AK287&lt;0.208333333333333,AK292-AK287,""),""))))),""),"")</f>
        <v/>
      </c>
      <c r="AY291" s="87" t="n"/>
      <c r="AZ291" s="89" t="n"/>
      <c r="BA291" s="87" t="n"/>
      <c r="BB291" s="89" t="n"/>
      <c r="BC291" s="91" t="n"/>
      <c r="BD291" s="122">
        <f>IF(AK291&lt;&gt;"",IF(AND(BD290&lt;&gt;"IE",AT291&lt;&gt;0,AV291&lt;&gt;""),IF(IFERROR((AT291/AV291),0) &lt;=1,IFERROR(AT291/AV291,""),1),""),"")</f>
        <v/>
      </c>
      <c r="BE291" s="93" t="n"/>
      <c r="BF291" s="105" t="n"/>
      <c r="FC291" t="inlineStr">
        <is>
          <t>Diccionario 1</t>
        </is>
      </c>
      <c r="FD291" s="15" t="n">
        <v>1290</v>
      </c>
      <c r="FE291" s="15" t="inlineStr">
        <is>
          <t>MDN35025020019</t>
        </is>
      </c>
      <c r="FF291" s="15" t="inlineStr">
        <is>
          <t>LDYECS313S0044094</t>
        </is>
      </c>
      <c r="FG291" s="15" t="inlineStr">
        <is>
          <t>Zhong Tong</t>
        </is>
      </c>
      <c r="FH291" s="15" t="inlineStr">
        <is>
          <t>Lck6122evg</t>
        </is>
      </c>
      <c r="FI291" s="15" t="inlineStr">
        <is>
          <t>ZHONGTONG</t>
        </is>
      </c>
      <c r="FJ291" s="15" t="inlineStr">
        <is>
          <t>LCK6122EVG</t>
        </is>
      </c>
      <c r="FK291" s="15" t="n">
        <v>2025</v>
      </c>
      <c r="FL291" s="15" t="inlineStr">
        <is>
          <t>B</t>
        </is>
      </c>
      <c r="FM291" s="15" t="inlineStr">
        <is>
          <t>PIE ANDINO</t>
        </is>
      </c>
      <c r="FN291" s="15" t="inlineStr">
        <is>
          <t>Pie Andino 31 (Pie Andino 383)</t>
        </is>
      </c>
      <c r="FO291" s="15" t="inlineStr">
        <is>
          <t>Puente Alto</t>
        </is>
      </c>
      <c r="FP291" t="inlineStr">
        <is>
          <t>B</t>
        </is>
      </c>
      <c r="FS291" s="14" t="inlineStr">
        <is>
          <t>3074 / SFWZ-17|</t>
        </is>
      </c>
      <c r="FT291" t="inlineStr">
        <is>
          <t>SFWZ-17|</t>
        </is>
      </c>
      <c r="FU291" t="inlineStr">
        <is>
          <t>SFWZ-17</t>
        </is>
      </c>
      <c r="FV291">
        <f>VLOOKUP(FU291,FD:FL,9,0)</f>
        <v/>
      </c>
      <c r="FZ291" s="51" t="inlineStr">
        <is>
          <t>F30n</t>
        </is>
      </c>
      <c r="GA291" s="43" t="n">
        <v>25.165</v>
      </c>
      <c r="GB291" s="43" t="n">
        <v>27.23</v>
      </c>
      <c r="GC291" s="43" t="n">
        <v>28.485</v>
      </c>
      <c r="GD291" s="43" t="n">
        <v>27.73</v>
      </c>
      <c r="GE291" s="43" t="n">
        <v>28.09</v>
      </c>
      <c r="GF291" s="43" t="n">
        <v>27.89</v>
      </c>
      <c r="GG291" s="43" t="n">
        <v>25.87</v>
      </c>
      <c r="GH291" s="43" t="n">
        <v>12.645</v>
      </c>
      <c r="GI291" s="43" t="n">
        <v>0</v>
      </c>
      <c r="GJ291" s="43" t="n">
        <v>0</v>
      </c>
      <c r="GK291" s="43" t="n">
        <v>0</v>
      </c>
      <c r="GL291" s="43" t="n">
        <v>0</v>
      </c>
      <c r="GM291" s="43" t="n">
        <v>0</v>
      </c>
      <c r="GN291" s="43" t="n">
        <v>0</v>
      </c>
      <c r="GO291" s="43" t="n">
        <v>0</v>
      </c>
      <c r="GP291" s="43" t="n">
        <v>0</v>
      </c>
      <c r="GQ291" s="43" t="n">
        <v>0</v>
      </c>
      <c r="GR291" s="43" t="n">
        <v>0</v>
      </c>
      <c r="GS291" s="43" t="n">
        <v>0</v>
      </c>
      <c r="GT291" s="43" t="n">
        <v>0</v>
      </c>
      <c r="GU291" s="43" t="n">
        <v>0</v>
      </c>
      <c r="GV291" s="43" t="n">
        <v>0</v>
      </c>
      <c r="GW291" s="43" t="n">
        <v>0</v>
      </c>
      <c r="GX291" s="43" t="n">
        <v>24.96</v>
      </c>
      <c r="HA291" s="35" t="n">
        <v>61</v>
      </c>
      <c r="HB291" s="35" t="n">
        <v>285</v>
      </c>
    </row>
    <row r="292" ht="15.5" customHeight="1">
      <c r="A292" s="10">
        <f>HOUR(G292)+1</f>
        <v/>
      </c>
      <c r="B292" s="7" t="n"/>
      <c r="C292" s="7" t="n"/>
      <c r="D292" s="85">
        <f>IFERROR(
IF(AND(OR(Planilla!B292="C",Planilla!B292="c"), VLOOKUP(E292,FD:FP,13,0)="C"), "OK",IF(AND(OR(Planilla!B292="C",Planilla!B292="c"), OR(VLOOKUP(E292,FD:FP,13,0)="B", VLOOKUP(E292,FD:FP,13,0)="A")), "DEFICIT",IF(
AND(OR(Planilla!B292="B", Planilla!B292="BPAL"), VLOOKUP(E292,FD:FP,13,0)="B"), "OK",IF(AND(OR(Planilla!B292="B", Planilla!B292="BPAL"), VLOOKUP(E292,FD:FP,13,0)="A"), "DEFICIT",IF(AND(OR(Planilla!B292="B", Planilla!B292="BPAL"), VLOOKUP(E292,FD:FP,13,0)="C"), "SOBREOFERTA",IF(AND(Planilla!B292="A", VLOOKUP(E292,FD:FP,13,0)="A"), "OK",IF(
AND(Planilla!B292="A", OR(VLOOKUP(E292,FD:FP,13,0)="B", VLOOKUP(E292,FD:FP,13,0)="C")), "SOBREOFERTA",""
))))))),"")</f>
        <v/>
      </c>
      <c r="E292" s="8" t="n"/>
      <c r="F292" s="86" t="n"/>
      <c r="G292" s="87" t="n"/>
      <c r="H292" s="88">
        <f>IF(I292="","",IF(AND((I292-G292)&gt;=TIME(0,0,0),(I292-G292)&lt;TIME(0,3,0)),"OK",IF(AND((I292-G292)&gt;=TIME(0,3,0),(I292-G292)&lt;TIME(0,5,0)),"RETRASO DE 3-5 MIN",IF(AND((I292-G292)&gt;=TIME(0,5,0),(I292-G292)&lt;TIME(0,10,0)),"RETRASO DE 5-10 MIN",IF((I292-G292)&gt;=TIME(0,10,0),"RETRASO &gt;10 MIN", IF(AND((G292-I292)&gt;=TIME(0,0,0),(G292-I292)&lt;TIME(0,3,0)),"OK",IF((G292-I292)&gt;=TIME(0,3,0),"ADELANTADO")))))))</f>
        <v/>
      </c>
      <c r="I292" s="89" t="n"/>
      <c r="J292" s="89">
        <f>IF(A292&lt;&gt;"",HLOOKUP(VALUE(TEXT(G292,"h:mm:ss")),IF($C$6="Laboral",$FZ$4:$GX$227,IF($C$6="Sábado",$FZ$231:$GX$452,$FZ$456:$GX$656)),VLOOKUP($C$4,$HF$2:$HH$99,3,0)+IF(C$5="Ida",0,1),1),"")</f>
        <v/>
      </c>
      <c r="K292" s="89">
        <f>IF(A293&lt;&gt;A292,AVERAGEIF(A$9:A292,A292,J$9:J292),"")</f>
        <v/>
      </c>
      <c r="L292" s="89">
        <f>IFERROR(IF(A293&lt;&gt;A292,AVERAGEIF(A$9:A292,A292,S$9:S292),""),"")</f>
        <v/>
      </c>
      <c r="M292" s="89">
        <f>IFERROR(IF(A293&lt;&gt;A292,AVERAGEIF(A$9:A292,A292,T$9:T292),""),"")</f>
        <v/>
      </c>
      <c r="N292" s="89">
        <f t="array" ref="N292">IFERROR(IF(A293&lt;&gt;A292,_xlfn.STDEV.P(IF(A$9:A292=A292,T$9:T292)),""),"")</f>
        <v/>
      </c>
      <c r="O292" s="89">
        <f t="array" ref="O292">IFERROR(IF(A293&lt;&gt;A292,_xlfn.STDEV.P(IF(A$9:A292=A292,S$9:S292)),""),"")</f>
        <v/>
      </c>
      <c r="P292" s="90">
        <f>IFERROR(IF(A292&lt;&gt;A293,MAX((((M292*24*60)/2)*(1+POWER((((N292*24*60) / (M292*24*60) )),2))) + ((M292*24*60 )*-0.1 + (K292*0.015)) +1,(((M292*24*60)/2)*(1+POWER((((N292*24*60) / (M292*24*60 ))),2)))),""),"")</f>
        <v/>
      </c>
      <c r="Q292" s="90">
        <f>IF(AND(O292&lt;&gt;"",L292&lt;&gt;""),IF(A292&lt;&gt;A293,((L292*24*60) / 2 ) * (1 + POWER(((O292*24*60) / (L292*24*60)),2)),""),"")</f>
        <v/>
      </c>
      <c r="R292" s="90">
        <f>IF(Q292&lt;&gt;"",MAX(P292,Q292),"")</f>
        <v/>
      </c>
      <c r="S292" s="89">
        <f>IF(I292&lt;&gt;"H. Sale Real",IF(AND(I293&lt;&gt;"",LEFT(C293,2)&lt;&gt;"Va"),IF(AND(I292&lt;&gt;"",LEFT(C292,2)&lt;&gt;"Va",I292&lt;&gt;"H. Sale Real"),IF(I293-I292&lt;0.208333333333333,I293-I292,""),IF(AND(I291&lt;&gt;"",LEFT(C291,2)&lt;&gt;"Va",I291&lt;&gt;"H. Sale Real"),IF(I293-I291&lt;0.208333333333333,I293-I291,""),IF(AND(I290&lt;&gt;"",LEFT(C290,2)&lt;&gt;"Va",I290&lt;&gt;"H. Sale Real"),IF(I293-I290&lt;0.208333333333333,I293-I290,""),IF(AND(I289&lt;&gt;"",LEFT(C289,2)&lt;&gt;"Va",I289&lt;&gt;"H. Sale Real"),IF(I293-I289&lt;0.208333333333333,I293-I289,""),IF(AND(I288&lt;&gt;"",LEFT(C288,2)&lt;&gt;"Va",I288&lt;&gt;"H. Sale Real"),IF(I293-I288&lt;0.208333333333333,I293-I288,""),""))))),""),"")</f>
        <v/>
      </c>
      <c r="T292" s="89">
        <f>IF(G292&lt;&gt;"H. Sale Real",IF(AND(G293&lt;&gt;"",LEFT(C293,2)&lt;&gt;"Va"),IF(AND(G292&lt;&gt;"",LEFT(C292,2)&lt;&gt;"Va",G292&lt;&gt;"H. Sale Real"),IF(G293-G292&lt;0.208333333333333,G293-G292,""),IF(AND(G291&lt;&gt;"",LEFT(C291,2)&lt;&gt;"Va",G291&lt;&gt;"H. Sale Real"),IF(G293-G291&lt;0.208333333333333,G293-G291,""),IF(AND(G290&lt;&gt;"",LEFT(C290,2)&lt;&gt;"Va",G290&lt;&gt;"H. Sale Real"),IF(G293-G290&lt;0.208333333333333,G293-G290,""),IF(AND(G289&lt;&gt;"",LEFT(C289,2)&lt;&gt;"Va",G289&lt;&gt;"H. Sale Real"),IF(G293-G289&lt;0.208333333333333,G293-G289,""),IF(AND(G288&lt;&gt;"",LEFT(C288,2)&lt;&gt;"Va",G288&lt;&gt;"H. Sale Real"),IF(G293-G288&lt;0.208333333333333,G293-G288,""),""))))),""),"")</f>
        <v/>
      </c>
      <c r="U292" s="87" t="n"/>
      <c r="V292" s="89" t="n"/>
      <c r="W292" s="87" t="n"/>
      <c r="X292" s="89" t="n"/>
      <c r="Y292" s="91" t="n"/>
      <c r="Z292" s="122">
        <f>IF(G292&lt;&gt;"",IF(AND(Z291&lt;&gt;"IE",P292&lt;&gt;0,R292&lt;&gt;""),IF(IFERROR((P292/R292),0) &lt;=1,IFERROR(P292/R292,""),1),""),"")</f>
        <v/>
      </c>
      <c r="AA292" s="93" t="n"/>
      <c r="AB292" s="2" t="n"/>
      <c r="AE292" s="10">
        <f>HOUR(AK292)+1</f>
        <v/>
      </c>
      <c r="AF292" s="7" t="n"/>
      <c r="AG292" s="7" t="n"/>
      <c r="AH292" s="86" t="n"/>
      <c r="AI292" s="8" t="n"/>
      <c r="AJ292" s="86" t="n"/>
      <c r="AK292" s="87" t="n"/>
      <c r="AL292" s="88">
        <f>IF(AM292="","",IF(AND((AM292-AK292)&gt;=TIME(0,0,0),(AM292-AK292)&lt;TIME(0,3,0)),"OK",IF(AND((AM292-AK292)&gt;=TIME(0,3,0),(AM292-AK292)&lt;TIME(0,5,0)),"RETRASO DE 3-5 MIN",IF(AND((AM292-AK292)&gt;=TIME(0,5,0),(AM292-AK292)&lt;TIME(0,10,0)),"RETRASO DE 5-10 MIN",IF((AM292-AK292)&gt;=TIME(0,10,0),"RETRASO &gt;10 MIN", IF(AND((AK292-AM292)&gt;=TIME(0,0,0),(AK292-AM292)&lt;TIME(0,3,0)),"OK",IF((AK292-AM292)&gt;=TIME(0,3,0),"ADELANTADO")))))))</f>
        <v/>
      </c>
      <c r="AM292" s="91" t="n"/>
      <c r="AN292" s="89">
        <f>IF(AE292&lt;&gt;"",HLOOKUP(VALUE(TEXT(AK292,"h:mm:ss")),IF($C$6="Laboral",$FZ$4:$GX$227,IF($C$6="Sábado",$FZ$231:$GX$452,$FZ$456:$GX$656)),VLOOKUP($C$4,$HF$2:$HH$99,3,0)+IF(AG$5="Ida",0,1),1),"")</f>
        <v/>
      </c>
      <c r="AO292" s="89">
        <f>IF(AE293&lt;&gt;AE292,AVERAGEIF(AE$9:AE292,AE292,AN$9:AN292),"")</f>
        <v/>
      </c>
      <c r="AP292" s="89">
        <f>IFERROR(IF(AE293&lt;&gt;AE292,AVERAGEIF(AE$9:AE292,AE292,AW$9:AW292),""),"")</f>
        <v/>
      </c>
      <c r="AQ292" s="89">
        <f>IFERROR(IF(AE293&lt;&gt;AE292,AVERAGEIF(AE$9:AE292,AE292,AX$9:AX292),""),"")</f>
        <v/>
      </c>
      <c r="AR292" s="89">
        <f t="array" ref="AR292">IFERROR(IF(AE293&lt;&gt;AE292,_xlfn.STDEV.P(IF(AE$9:AE292=AE292,AX$9:AX292)),""),"")</f>
        <v/>
      </c>
      <c r="AS292" s="89">
        <f t="array" ref="AS292">IFERROR(IF(AE293&lt;&gt;AE292,_xlfn.STDEV.P(IF(AE$9:AE292=AE292,AW$9:AW292)),""),"")</f>
        <v/>
      </c>
      <c r="AT292" s="90">
        <f>IFERROR(IF(AE292&lt;&gt;AE293,MAX((((AQ292*24*60)/2)*(1+POWER((((AR292*24*60) / (AQ292*24*60) )),2))) + ((AQ292*24*60 )*-0.1 + (AO292*0.015)) +1,(((AQ292*24*60)/2)*(1+POWER((((AR292*24*60) / (AQ292*24*60 ))),2)))),""),"")</f>
        <v/>
      </c>
      <c r="AU292" s="90">
        <f>IF(AND(AS292&lt;&gt;"",AP292&lt;&gt;""),IF(AE292&lt;&gt;AE293,((AP292*24*60) / 2 ) * (1 + POWER(((AS292*24*60) / (AP292*24*60)),2)),""),"")</f>
        <v/>
      </c>
      <c r="AV292" s="90">
        <f>IF(AU292&lt;&gt;"",MAX(AT292,AU292),"")</f>
        <v/>
      </c>
      <c r="AW292" s="89">
        <f>IF(AM292&lt;&gt;"H. Sale Real",IF(AND(AM293&lt;&gt;"",LEFT(AG293,2)&lt;&gt;"Va"),IF(AND(AM292&lt;&gt;"",LEFT(AG292,2)&lt;&gt;"Va",AM292&lt;&gt;"H. Sale Real"),IF(AM293-AM292&lt;0.208333333333333,AM293-AM292,""),IF(AND(AM291&lt;&gt;"",LEFT(AG291,2)&lt;&gt;"Va",AM291&lt;&gt;"H. Sale Real"),IF(AM293-AM291&lt;0.208333333333333,AM293-AM291,""),IF(AND(AM290&lt;&gt;"",LEFT(AG290,2)&lt;&gt;"Va",AM290&lt;&gt;"H. Sale Real"),IF(AM293-AM290&lt;0.208333333333333,AM293-AM290,""),IF(AND(AM289&lt;&gt;"",LEFT(AG289,2)&lt;&gt;"Va",AM289&lt;&gt;"H. Sale Real"),IF(AM293-AM289&lt;0.208333333333333,AM293-AM289,""),IF(AND(AM288&lt;&gt;"",LEFT(AG288,2)&lt;&gt;"Va",AM288&lt;&gt;"H. Sale Real"),IF(AM293-AM288&lt;0.208333333333333,AM293-AM288,""),""))))),""),"")</f>
        <v/>
      </c>
      <c r="AX292" s="89">
        <f>IF(AK292&lt;&gt;"H. Sale Real",IF(AND(AK293&lt;&gt;"",LEFT(AG293,2)&lt;&gt;"Va"),IF(AND(AK292&lt;&gt;"",LEFT(AG292,2)&lt;&gt;"Va",AK292&lt;&gt;"H. Sale Real"),IF(AK293-AK292&lt;0.208333333333333,AK293-AK292,""),IF(AND(AK291&lt;&gt;"",LEFT(AG291,2)&lt;&gt;"Va",AK291&lt;&gt;"H. Sale Real"),IF(AK293-AK291&lt;0.208333333333333,AK293-AK291,""),IF(AND(AK290&lt;&gt;"",LEFT(AG290,2)&lt;&gt;"NC",AK290&lt;&gt;"H. Sale Real"),IF(AK293-AK290&lt;0.208333333333333,AK293-AK290,""),IF(AND(AK289&lt;&gt;"",LEFT(AG289,2)&lt;&gt;"Va",AK289&lt;&gt;"H. Sale Real"),IF(AK293-AK289&lt;0.208333333333333,AK293-AK289,""),IF(AND(AK288&lt;&gt;"",LEFT(AG288,2)&lt;&gt;"Va",AK288&lt;&gt;"H. Sale Real"),IF(AK293-AK288&lt;0.208333333333333,AK293-AK288,""),""))))),""),"")</f>
        <v/>
      </c>
      <c r="AY292" s="87" t="n"/>
      <c r="AZ292" s="89" t="n"/>
      <c r="BA292" s="87" t="n"/>
      <c r="BB292" s="89" t="n"/>
      <c r="BC292" s="91" t="n"/>
      <c r="BD292" s="122">
        <f>IF(AK292&lt;&gt;"",IF(AND(BD291&lt;&gt;"IE",AT292&lt;&gt;0,AV292&lt;&gt;""),IF(IFERROR((AT292/AV292),0) &lt;=1,IFERROR(AT292/AV292,""),1),""),"")</f>
        <v/>
      </c>
      <c r="BE292" s="93" t="n"/>
      <c r="BF292" s="105" t="n"/>
      <c r="FC292" t="inlineStr">
        <is>
          <t>Diccionario 1</t>
        </is>
      </c>
      <c r="FD292" s="15" t="n">
        <v>1291</v>
      </c>
      <c r="FE292" s="15" t="inlineStr">
        <is>
          <t>MDN35025010038</t>
        </is>
      </c>
      <c r="FF292" s="15" t="inlineStr">
        <is>
          <t>LDYECS315S0044114</t>
        </is>
      </c>
      <c r="FG292" s="15" t="inlineStr">
        <is>
          <t>Zhong Tong</t>
        </is>
      </c>
      <c r="FH292" s="15" t="inlineStr">
        <is>
          <t>Lck6122evg</t>
        </is>
      </c>
      <c r="FI292" s="15" t="inlineStr">
        <is>
          <t>ZHONGTONG</t>
        </is>
      </c>
      <c r="FJ292" s="15" t="inlineStr">
        <is>
          <t>LCK6122EVG</t>
        </is>
      </c>
      <c r="FK292" s="15" t="n">
        <v>2025</v>
      </c>
      <c r="FL292" s="15" t="inlineStr">
        <is>
          <t>B</t>
        </is>
      </c>
      <c r="FM292" s="15" t="inlineStr">
        <is>
          <t>PIE ANDINO</t>
        </is>
      </c>
      <c r="FN292" s="15" t="inlineStr">
        <is>
          <t>Pie Andino 31 (Pie Andino 383)</t>
        </is>
      </c>
      <c r="FO292" s="15" t="inlineStr">
        <is>
          <t>Puente Alto</t>
        </is>
      </c>
      <c r="FP292" t="inlineStr">
        <is>
          <t>B</t>
        </is>
      </c>
      <c r="FS292" s="14" t="inlineStr">
        <is>
          <t>3074 / SFWZ-17|</t>
        </is>
      </c>
      <c r="FT292" t="inlineStr">
        <is>
          <t>SFWZ-17|</t>
        </is>
      </c>
      <c r="FU292" t="inlineStr">
        <is>
          <t>SFWZ-17</t>
        </is>
      </c>
      <c r="FV292">
        <f>VLOOKUP(FU292,FD:FL,9,0)</f>
        <v/>
      </c>
      <c r="FZ292" s="51" t="inlineStr">
        <is>
          <t>F33</t>
        </is>
      </c>
      <c r="GA292" s="43" t="n">
        <v>0</v>
      </c>
      <c r="GB292" s="43" t="n">
        <v>0</v>
      </c>
      <c r="GC292" s="43" t="n">
        <v>0</v>
      </c>
      <c r="GD292" s="43" t="n">
        <v>0</v>
      </c>
      <c r="GE292" s="43" t="n">
        <v>0</v>
      </c>
      <c r="GF292" s="43" t="n">
        <v>26.285</v>
      </c>
      <c r="GG292" s="43" t="n">
        <v>22.98</v>
      </c>
      <c r="GH292" s="43" t="n">
        <v>21.355</v>
      </c>
      <c r="GI292" s="43" t="n">
        <v>20.955</v>
      </c>
      <c r="GJ292" s="43" t="n">
        <v>19.865</v>
      </c>
      <c r="GK292" s="43" t="n">
        <v>18.37</v>
      </c>
      <c r="GL292" s="43" t="n">
        <v>17.17</v>
      </c>
      <c r="GM292" s="43" t="n">
        <v>16.12</v>
      </c>
      <c r="GN292" s="43" t="n">
        <v>16.15</v>
      </c>
      <c r="GO292" s="43" t="n">
        <v>16.725</v>
      </c>
      <c r="GP292" s="43" t="n">
        <v>17.075</v>
      </c>
      <c r="GQ292" s="43" t="n">
        <v>16.88</v>
      </c>
      <c r="GR292" s="43" t="n">
        <v>16.62</v>
      </c>
      <c r="GS292" s="43" t="n">
        <v>15.855</v>
      </c>
      <c r="GT292" s="43" t="n">
        <v>16.04</v>
      </c>
      <c r="GU292" s="43" t="n">
        <v>17.725</v>
      </c>
      <c r="GV292" s="43" t="n">
        <v>18.835</v>
      </c>
      <c r="GW292" s="43" t="n">
        <v>20.355</v>
      </c>
      <c r="GX292" s="43" t="n">
        <v>21.615</v>
      </c>
      <c r="HA292" s="35" t="n">
        <v>62</v>
      </c>
      <c r="HB292" s="35" t="n">
        <v>286</v>
      </c>
    </row>
    <row r="293" ht="15.5" customHeight="1">
      <c r="A293" s="10">
        <f>HOUR(G293)+1</f>
        <v/>
      </c>
      <c r="B293" s="7" t="n"/>
      <c r="C293" s="7" t="n"/>
      <c r="D293" s="85">
        <f>IFERROR(
IF(AND(OR(Planilla!B293="C",Planilla!B293="c"), VLOOKUP(E293,FD:FP,13,0)="C"), "OK",IF(AND(OR(Planilla!B293="C",Planilla!B293="c"), OR(VLOOKUP(E293,FD:FP,13,0)="B", VLOOKUP(E293,FD:FP,13,0)="A")), "DEFICIT",IF(
AND(OR(Planilla!B293="B", Planilla!B293="BPAL"), VLOOKUP(E293,FD:FP,13,0)="B"), "OK",IF(AND(OR(Planilla!B293="B", Planilla!B293="BPAL"), VLOOKUP(E293,FD:FP,13,0)="A"), "DEFICIT",IF(AND(OR(Planilla!B293="B", Planilla!B293="BPAL"), VLOOKUP(E293,FD:FP,13,0)="C"), "SOBREOFERTA",IF(AND(Planilla!B293="A", VLOOKUP(E293,FD:FP,13,0)="A"), "OK",IF(
AND(Planilla!B293="A", OR(VLOOKUP(E293,FD:FP,13,0)="B", VLOOKUP(E293,FD:FP,13,0)="C")), "SOBREOFERTA",""
))))))),"")</f>
        <v/>
      </c>
      <c r="E293" s="8" t="n"/>
      <c r="F293" s="86" t="n"/>
      <c r="G293" s="87" t="n"/>
      <c r="H293" s="88">
        <f>IF(I293="","",IF(AND((I293-G293)&gt;=TIME(0,0,0),(I293-G293)&lt;TIME(0,3,0)),"OK",IF(AND((I293-G293)&gt;=TIME(0,3,0),(I293-G293)&lt;TIME(0,5,0)),"RETRASO DE 3-5 MIN",IF(AND((I293-G293)&gt;=TIME(0,5,0),(I293-G293)&lt;TIME(0,10,0)),"RETRASO DE 5-10 MIN",IF((I293-G293)&gt;=TIME(0,10,0),"RETRASO &gt;10 MIN", IF(AND((G293-I293)&gt;=TIME(0,0,0),(G293-I293)&lt;TIME(0,3,0)),"OK",IF((G293-I293)&gt;=TIME(0,3,0),"ADELANTADO")))))))</f>
        <v/>
      </c>
      <c r="I293" s="89" t="n"/>
      <c r="J293" s="89">
        <f>IF(A293&lt;&gt;"",HLOOKUP(VALUE(TEXT(G293,"h:mm:ss")),IF($C$6="Laboral",$FZ$4:$GX$227,IF($C$6="Sábado",$FZ$231:$GX$452,$FZ$456:$GX$656)),VLOOKUP($C$4,$HF$2:$HH$99,3,0)+IF(C$5="Ida",0,1),1),"")</f>
        <v/>
      </c>
      <c r="K293" s="89">
        <f>IF(A294&lt;&gt;A293,AVERAGEIF(A$9:A293,A293,J$9:J293),"")</f>
        <v/>
      </c>
      <c r="L293" s="89">
        <f>IFERROR(IF(A294&lt;&gt;A293,AVERAGEIF(A$9:A293,A293,S$9:S293),""),"")</f>
        <v/>
      </c>
      <c r="M293" s="89">
        <f>IFERROR(IF(A294&lt;&gt;A293,AVERAGEIF(A$9:A293,A293,T$9:T293),""),"")</f>
        <v/>
      </c>
      <c r="N293" s="89">
        <f t="array" ref="N293">IFERROR(IF(A294&lt;&gt;A293,_xlfn.STDEV.P(IF(A$9:A293=A293,T$9:T293)),""),"")</f>
        <v/>
      </c>
      <c r="O293" s="89">
        <f t="array" ref="O293">IFERROR(IF(A294&lt;&gt;A293,_xlfn.STDEV.P(IF(A$9:A293=A293,S$9:S293)),""),"")</f>
        <v/>
      </c>
      <c r="P293" s="90">
        <f>IFERROR(IF(A293&lt;&gt;A294,MAX((((M293*24*60)/2)*(1+POWER((((N293*24*60) / (M293*24*60) )),2))) + ((M293*24*60 )*-0.1 + (K293*0.015)) +1,(((M293*24*60)/2)*(1+POWER((((N293*24*60) / (M293*24*60 ))),2)))),""),"")</f>
        <v/>
      </c>
      <c r="Q293" s="90">
        <f>IF(AND(O293&lt;&gt;"",L293&lt;&gt;""),IF(A293&lt;&gt;A294,((L293*24*60) / 2 ) * (1 + POWER(((O293*24*60) / (L293*24*60)),2)),""),"")</f>
        <v/>
      </c>
      <c r="R293" s="90">
        <f>IF(Q293&lt;&gt;"",MAX(P293,Q293),"")</f>
        <v/>
      </c>
      <c r="S293" s="89">
        <f>IF(I293&lt;&gt;"H. Sale Real",IF(AND(I294&lt;&gt;"",LEFT(C294,2)&lt;&gt;"Va"),IF(AND(I293&lt;&gt;"",LEFT(C293,2)&lt;&gt;"Va",I293&lt;&gt;"H. Sale Real"),IF(I294-I293&lt;0.208333333333333,I294-I293,""),IF(AND(I292&lt;&gt;"",LEFT(C292,2)&lt;&gt;"Va",I292&lt;&gt;"H. Sale Real"),IF(I294-I292&lt;0.208333333333333,I294-I292,""),IF(AND(I291&lt;&gt;"",LEFT(C291,2)&lt;&gt;"Va",I291&lt;&gt;"H. Sale Real"),IF(I294-I291&lt;0.208333333333333,I294-I291,""),IF(AND(I290&lt;&gt;"",LEFT(C290,2)&lt;&gt;"Va",I290&lt;&gt;"H. Sale Real"),IF(I294-I290&lt;0.208333333333333,I294-I290,""),IF(AND(I289&lt;&gt;"",LEFT(C289,2)&lt;&gt;"Va",I289&lt;&gt;"H. Sale Real"),IF(I294-I289&lt;0.208333333333333,I294-I289,""),""))))),""),"")</f>
        <v/>
      </c>
      <c r="T293" s="89">
        <f>IF(G293&lt;&gt;"H. Sale Real",IF(AND(G294&lt;&gt;"",LEFT(C294,2)&lt;&gt;"Va"),IF(AND(G293&lt;&gt;"",LEFT(C293,2)&lt;&gt;"Va",G293&lt;&gt;"H. Sale Real"),IF(G294-G293&lt;0.208333333333333,G294-G293,""),IF(AND(G292&lt;&gt;"",LEFT(C292,2)&lt;&gt;"Va",G292&lt;&gt;"H. Sale Real"),IF(G294-G292&lt;0.208333333333333,G294-G292,""),IF(AND(G291&lt;&gt;"",LEFT(C291,2)&lt;&gt;"Va",G291&lt;&gt;"H. Sale Real"),IF(G294-G291&lt;0.208333333333333,G294-G291,""),IF(AND(G290&lt;&gt;"",LEFT(C290,2)&lt;&gt;"Va",G290&lt;&gt;"H. Sale Real"),IF(G294-G290&lt;0.208333333333333,G294-G290,""),IF(AND(G289&lt;&gt;"",LEFT(C289,2)&lt;&gt;"Va",G289&lt;&gt;"H. Sale Real"),IF(G294-G289&lt;0.208333333333333,G294-G289,""),""))))),""),"")</f>
        <v/>
      </c>
      <c r="U293" s="87" t="n"/>
      <c r="V293" s="89" t="n"/>
      <c r="W293" s="87" t="n"/>
      <c r="X293" s="89" t="n"/>
      <c r="Y293" s="91" t="n"/>
      <c r="Z293" s="122">
        <f>IF(G293&lt;&gt;"",IF(AND(Z292&lt;&gt;"IE",P293&lt;&gt;0,R293&lt;&gt;""),IF(IFERROR((P293/R293),0) &lt;=1,IFERROR(P293/R293,""),1),""),"")</f>
        <v/>
      </c>
      <c r="AA293" s="93" t="n"/>
      <c r="AB293" s="2" t="n"/>
      <c r="AE293" s="10">
        <f>HOUR(AK293)+1</f>
        <v/>
      </c>
      <c r="AF293" s="7" t="n"/>
      <c r="AG293" s="7" t="n"/>
      <c r="AH293" s="86" t="n"/>
      <c r="AI293" s="8" t="n"/>
      <c r="AJ293" s="86" t="n"/>
      <c r="AK293" s="87" t="n"/>
      <c r="AL293" s="88">
        <f>IF(AM293="","",IF(AND((AM293-AK293)&gt;=TIME(0,0,0),(AM293-AK293)&lt;TIME(0,3,0)),"OK",IF(AND((AM293-AK293)&gt;=TIME(0,3,0),(AM293-AK293)&lt;TIME(0,5,0)),"RETRASO DE 3-5 MIN",IF(AND((AM293-AK293)&gt;=TIME(0,5,0),(AM293-AK293)&lt;TIME(0,10,0)),"RETRASO DE 5-10 MIN",IF((AM293-AK293)&gt;=TIME(0,10,0),"RETRASO &gt;10 MIN", IF(AND((AK293-AM293)&gt;=TIME(0,0,0),(AK293-AM293)&lt;TIME(0,3,0)),"OK",IF((AK293-AM293)&gt;=TIME(0,3,0),"ADELANTADO")))))))</f>
        <v/>
      </c>
      <c r="AM293" s="91" t="n"/>
      <c r="AN293" s="89">
        <f>IF(AE293&lt;&gt;"",HLOOKUP(VALUE(TEXT(AK293,"h:mm:ss")),IF($C$6="Laboral",$FZ$4:$GX$227,IF($C$6="Sábado",$FZ$231:$GX$452,$FZ$456:$GX$656)),VLOOKUP($C$4,$HF$2:$HH$99,3,0)+IF(AG$5="Ida",0,1),1),"")</f>
        <v/>
      </c>
      <c r="AO293" s="89">
        <f>IF(AE294&lt;&gt;AE293,AVERAGEIF(AE$9:AE293,AE293,AN$9:AN293),"")</f>
        <v/>
      </c>
      <c r="AP293" s="89">
        <f>IFERROR(IF(AE294&lt;&gt;AE293,AVERAGEIF(AE$9:AE293,AE293,AW$9:AW293),""),"")</f>
        <v/>
      </c>
      <c r="AQ293" s="89">
        <f>IFERROR(IF(AE294&lt;&gt;AE293,AVERAGEIF(AE$9:AE293,AE293,AX$9:AX293),""),"")</f>
        <v/>
      </c>
      <c r="AR293" s="89">
        <f t="array" ref="AR293">IFERROR(IF(AE294&lt;&gt;AE293,_xlfn.STDEV.P(IF(AE$9:AE293=AE293,AX$9:AX293)),""),"")</f>
        <v/>
      </c>
      <c r="AS293" s="89">
        <f t="array" ref="AS293">IFERROR(IF(AE294&lt;&gt;AE293,_xlfn.STDEV.P(IF(AE$9:AE293=AE293,AW$9:AW293)),""),"")</f>
        <v/>
      </c>
      <c r="AT293" s="90">
        <f>IFERROR(IF(AE293&lt;&gt;AE294,MAX((((AQ293*24*60)/2)*(1+POWER((((AR293*24*60) / (AQ293*24*60) )),2))) + ((AQ293*24*60 )*-0.1 + (AO293*0.015)) +1,(((AQ293*24*60)/2)*(1+POWER((((AR293*24*60) / (AQ293*24*60 ))),2)))),""),"")</f>
        <v/>
      </c>
      <c r="AU293" s="90">
        <f>IF(AND(AS293&lt;&gt;"",AP293&lt;&gt;""),IF(AE293&lt;&gt;AE294,((AP293*24*60) / 2 ) * (1 + POWER(((AS293*24*60) / (AP293*24*60)),2)),""),"")</f>
        <v/>
      </c>
      <c r="AV293" s="90">
        <f>IF(AU293&lt;&gt;"",MAX(AT293,AU293),"")</f>
        <v/>
      </c>
      <c r="AW293" s="89">
        <f>IF(AM293&lt;&gt;"H. Sale Real",IF(AND(AM294&lt;&gt;"",LEFT(AG294,2)&lt;&gt;"Va"),IF(AND(AM293&lt;&gt;"",LEFT(AG293,2)&lt;&gt;"Va",AM293&lt;&gt;"H. Sale Real"),IF(AM294-AM293&lt;0.208333333333333,AM294-AM293,""),IF(AND(AM292&lt;&gt;"",LEFT(AG292,2)&lt;&gt;"Va",AM292&lt;&gt;"H. Sale Real"),IF(AM294-AM292&lt;0.208333333333333,AM294-AM292,""),IF(AND(AM291&lt;&gt;"",LEFT(AG291,2)&lt;&gt;"Va",AM291&lt;&gt;"H. Sale Real"),IF(AM294-AM291&lt;0.208333333333333,AM294-AM291,""),IF(AND(AM290&lt;&gt;"",LEFT(AG290,2)&lt;&gt;"Va",AM290&lt;&gt;"H. Sale Real"),IF(AM294-AM290&lt;0.208333333333333,AM294-AM290,""),IF(AND(AM289&lt;&gt;"",LEFT(AG289,2)&lt;&gt;"Va",AM289&lt;&gt;"H. Sale Real"),IF(AM294-AM289&lt;0.208333333333333,AM294-AM289,""),""))))),""),"")</f>
        <v/>
      </c>
      <c r="AX293" s="89">
        <f>IF(AK293&lt;&gt;"H. Sale Real",IF(AND(AK294&lt;&gt;"",LEFT(AG294,2)&lt;&gt;"Va"),IF(AND(AK293&lt;&gt;"",LEFT(AG293,2)&lt;&gt;"Va",AK293&lt;&gt;"H. Sale Real"),IF(AK294-AK293&lt;0.208333333333333,AK294-AK293,""),IF(AND(AK292&lt;&gt;"",LEFT(AG292,2)&lt;&gt;"Va",AK292&lt;&gt;"H. Sale Real"),IF(AK294-AK292&lt;0.208333333333333,AK294-AK292,""),IF(AND(AK291&lt;&gt;"",LEFT(AG291,2)&lt;&gt;"NC",AK291&lt;&gt;"H. Sale Real"),IF(AK294-AK291&lt;0.208333333333333,AK294-AK291,""),IF(AND(AK290&lt;&gt;"",LEFT(AG290,2)&lt;&gt;"Va",AK290&lt;&gt;"H. Sale Real"),IF(AK294-AK290&lt;0.208333333333333,AK294-AK290,""),IF(AND(AK289&lt;&gt;"",LEFT(AG289,2)&lt;&gt;"Va",AK289&lt;&gt;"H. Sale Real"),IF(AK294-AK289&lt;0.208333333333333,AK294-AK289,""),""))))),""),"")</f>
        <v/>
      </c>
      <c r="AY293" s="87" t="n"/>
      <c r="AZ293" s="89" t="n"/>
      <c r="BA293" s="87" t="n"/>
      <c r="BB293" s="89" t="n"/>
      <c r="BC293" s="91" t="n"/>
      <c r="BD293" s="122">
        <f>IF(AK293&lt;&gt;"",IF(AND(BD292&lt;&gt;"IE",AT293&lt;&gt;0,AV293&lt;&gt;""),IF(IFERROR((AT293/AV293),0) &lt;=1,IFERROR(AT293/AV293,""),1),""),"")</f>
        <v/>
      </c>
      <c r="BE293" s="93" t="n"/>
      <c r="BF293" s="105" t="n"/>
      <c r="FC293" t="inlineStr">
        <is>
          <t>Diccionario 1</t>
        </is>
      </c>
      <c r="FD293" s="15" t="n">
        <v>1292</v>
      </c>
      <c r="FE293" s="15" t="inlineStr">
        <is>
          <t>MDN35025020028</t>
        </is>
      </c>
      <c r="FF293" s="15" t="inlineStr">
        <is>
          <t>LDYECS314S0044041</t>
        </is>
      </c>
      <c r="FG293" s="15" t="inlineStr">
        <is>
          <t>Zhong Tong</t>
        </is>
      </c>
      <c r="FH293" s="15" t="inlineStr">
        <is>
          <t>Lck6122evg</t>
        </is>
      </c>
      <c r="FI293" s="15" t="inlineStr">
        <is>
          <t>ZHONGTONG</t>
        </is>
      </c>
      <c r="FJ293" s="15" t="inlineStr">
        <is>
          <t>LCK6122EVG</t>
        </is>
      </c>
      <c r="FK293" s="15" t="n">
        <v>2025</v>
      </c>
      <c r="FL293" s="15" t="inlineStr">
        <is>
          <t>B</t>
        </is>
      </c>
      <c r="FM293" s="15" t="inlineStr">
        <is>
          <t>PIE ANDINO</t>
        </is>
      </c>
      <c r="FN293" s="15" t="inlineStr">
        <is>
          <t>Pie Andino 31 (Pie Andino 383)</t>
        </is>
      </c>
      <c r="FO293" s="15" t="inlineStr">
        <is>
          <t>Puente Alto</t>
        </is>
      </c>
      <c r="FP293" t="inlineStr">
        <is>
          <t>B</t>
        </is>
      </c>
      <c r="FS293" s="14" t="inlineStr">
        <is>
          <t>3074 / SFWZ-17|</t>
        </is>
      </c>
      <c r="FT293" t="inlineStr">
        <is>
          <t>SFWZ-17|</t>
        </is>
      </c>
      <c r="FU293" t="inlineStr">
        <is>
          <t>SFWZ-17</t>
        </is>
      </c>
      <c r="FV293">
        <f>VLOOKUP(FU293,FD:FL,9,0)</f>
        <v/>
      </c>
      <c r="FZ293" s="51" t="inlineStr">
        <is>
          <t>F33</t>
        </is>
      </c>
      <c r="GA293" s="43" t="n">
        <v>12.105</v>
      </c>
      <c r="GB293" s="43" t="n">
        <v>0</v>
      </c>
      <c r="GC293" s="43" t="n">
        <v>0</v>
      </c>
      <c r="GD293" s="43" t="n">
        <v>0</v>
      </c>
      <c r="GE293" s="43" t="n">
        <v>0</v>
      </c>
      <c r="GF293" s="43" t="n">
        <v>14.375</v>
      </c>
      <c r="GG293" s="43" t="n">
        <v>26.955</v>
      </c>
      <c r="GH293" s="43" t="n">
        <v>23.355</v>
      </c>
      <c r="GI293" s="43" t="n">
        <v>20.715</v>
      </c>
      <c r="GJ293" s="43" t="n">
        <v>18.8</v>
      </c>
      <c r="GK293" s="43" t="n">
        <v>18.965</v>
      </c>
      <c r="GL293" s="43" t="n">
        <v>17.505</v>
      </c>
      <c r="GM293" s="43" t="n">
        <v>16.04</v>
      </c>
      <c r="GN293" s="43" t="n">
        <v>15.235</v>
      </c>
      <c r="GO293" s="43" t="n">
        <v>14.79</v>
      </c>
      <c r="GP293" s="43" t="n">
        <v>14.475</v>
      </c>
      <c r="GQ293" s="43" t="n">
        <v>15.25</v>
      </c>
      <c r="GR293" s="43" t="n">
        <v>14.455</v>
      </c>
      <c r="GS293" s="43" t="n">
        <v>14.04</v>
      </c>
      <c r="GT293" s="43" t="n">
        <v>14.53</v>
      </c>
      <c r="GU293" s="43" t="n">
        <v>15.485</v>
      </c>
      <c r="GV293" s="43" t="n">
        <v>17.51</v>
      </c>
      <c r="GW293" s="43" t="n">
        <v>19.185</v>
      </c>
      <c r="GX293" s="43" t="n">
        <v>20.5</v>
      </c>
      <c r="HA293" s="35" t="n">
        <v>63</v>
      </c>
      <c r="HB293" s="35" t="n">
        <v>287</v>
      </c>
    </row>
    <row r="294" ht="15.5" customHeight="1">
      <c r="A294" s="10">
        <f>HOUR(G294)+1</f>
        <v/>
      </c>
      <c r="B294" s="7" t="n"/>
      <c r="C294" s="7" t="n"/>
      <c r="D294" s="85">
        <f>IFERROR(
IF(AND(OR(Planilla!B294="C",Planilla!B294="c"), VLOOKUP(E294,FD:FP,13,0)="C"), "OK",IF(AND(OR(Planilla!B294="C",Planilla!B294="c"), OR(VLOOKUP(E294,FD:FP,13,0)="B", VLOOKUP(E294,FD:FP,13,0)="A")), "DEFICIT",IF(
AND(OR(Planilla!B294="B", Planilla!B294="BPAL"), VLOOKUP(E294,FD:FP,13,0)="B"), "OK",IF(AND(OR(Planilla!B294="B", Planilla!B294="BPAL"), VLOOKUP(E294,FD:FP,13,0)="A"), "DEFICIT",IF(AND(OR(Planilla!B294="B", Planilla!B294="BPAL"), VLOOKUP(E294,FD:FP,13,0)="C"), "SOBREOFERTA",IF(AND(Planilla!B294="A", VLOOKUP(E294,FD:FP,13,0)="A"), "OK",IF(
AND(Planilla!B294="A", OR(VLOOKUP(E294,FD:FP,13,0)="B", VLOOKUP(E294,FD:FP,13,0)="C")), "SOBREOFERTA",""
))))))),"")</f>
        <v/>
      </c>
      <c r="E294" s="8" t="n"/>
      <c r="F294" s="86" t="n"/>
      <c r="G294" s="87" t="n"/>
      <c r="H294" s="88">
        <f>IF(I294="","",IF(AND((I294-G294)&gt;=TIME(0,0,0),(I294-G294)&lt;TIME(0,3,0)),"OK",IF(AND((I294-G294)&gt;=TIME(0,3,0),(I294-G294)&lt;TIME(0,5,0)),"RETRASO DE 3-5 MIN",IF(AND((I294-G294)&gt;=TIME(0,5,0),(I294-G294)&lt;TIME(0,10,0)),"RETRASO DE 5-10 MIN",IF((I294-G294)&gt;=TIME(0,10,0),"RETRASO &gt;10 MIN", IF(AND((G294-I294)&gt;=TIME(0,0,0),(G294-I294)&lt;TIME(0,3,0)),"OK",IF((G294-I294)&gt;=TIME(0,3,0),"ADELANTADO")))))))</f>
        <v/>
      </c>
      <c r="I294" s="89" t="n"/>
      <c r="J294" s="89">
        <f>IF(A294&lt;&gt;"",HLOOKUP(VALUE(TEXT(G294,"h:mm:ss")),IF($C$6="Laboral",$FZ$4:$GX$227,IF($C$6="Sábado",$FZ$231:$GX$452,$FZ$456:$GX$656)),VLOOKUP($C$4,$HF$2:$HH$99,3,0)+IF(C$5="Ida",0,1),1),"")</f>
        <v/>
      </c>
      <c r="K294" s="89">
        <f>IF(A295&lt;&gt;A294,AVERAGEIF(A$9:A294,A294,J$9:J294),"")</f>
        <v/>
      </c>
      <c r="L294" s="89">
        <f>IFERROR(IF(A295&lt;&gt;A294,AVERAGEIF(A$9:A294,A294,S$9:S294),""),"")</f>
        <v/>
      </c>
      <c r="M294" s="89">
        <f>IFERROR(IF(A295&lt;&gt;A294,AVERAGEIF(A$9:A294,A294,T$9:T294),""),"")</f>
        <v/>
      </c>
      <c r="N294" s="89">
        <f t="array" ref="N294">IFERROR(IF(A295&lt;&gt;A294,_xlfn.STDEV.P(IF(A$9:A294=A294,T$9:T294)),""),"")</f>
        <v/>
      </c>
      <c r="O294" s="89">
        <f t="array" ref="O294">IFERROR(IF(A295&lt;&gt;A294,_xlfn.STDEV.P(IF(A$9:A294=A294,S$9:S294)),""),"")</f>
        <v/>
      </c>
      <c r="P294" s="90">
        <f>IFERROR(IF(A294&lt;&gt;A295,MAX((((M294*24*60)/2)*(1+POWER((((N294*24*60) / (M294*24*60) )),2))) + ((M294*24*60 )*-0.1 + (K294*0.015)) +1,(((M294*24*60)/2)*(1+POWER((((N294*24*60) / (M294*24*60 ))),2)))),""),"")</f>
        <v/>
      </c>
      <c r="Q294" s="90">
        <f>IF(AND(O294&lt;&gt;"",L294&lt;&gt;""),IF(A294&lt;&gt;A295,((L294*24*60) / 2 ) * (1 + POWER(((O294*24*60) / (L294*24*60)),2)),""),"")</f>
        <v/>
      </c>
      <c r="R294" s="90">
        <f>IF(Q294&lt;&gt;"",MAX(P294,Q294),"")</f>
        <v/>
      </c>
      <c r="S294" s="89">
        <f>IF(I294&lt;&gt;"H. Sale Real",IF(AND(I295&lt;&gt;"",LEFT(C295,2)&lt;&gt;"Va"),IF(AND(I294&lt;&gt;"",LEFT(C294,2)&lt;&gt;"Va",I294&lt;&gt;"H. Sale Real"),IF(I295-I294&lt;0.208333333333333,I295-I294,""),IF(AND(I293&lt;&gt;"",LEFT(C293,2)&lt;&gt;"Va",I293&lt;&gt;"H. Sale Real"),IF(I295-I293&lt;0.208333333333333,I295-I293,""),IF(AND(I292&lt;&gt;"",LEFT(C292,2)&lt;&gt;"Va",I292&lt;&gt;"H. Sale Real"),IF(I295-I292&lt;0.208333333333333,I295-I292,""),IF(AND(I291&lt;&gt;"",LEFT(C291,2)&lt;&gt;"Va",I291&lt;&gt;"H. Sale Real"),IF(I295-I291&lt;0.208333333333333,I295-I291,""),IF(AND(I290&lt;&gt;"",LEFT(C290,2)&lt;&gt;"Va",I290&lt;&gt;"H. Sale Real"),IF(I295-I290&lt;0.208333333333333,I295-I290,""),""))))),""),"")</f>
        <v/>
      </c>
      <c r="T294" s="89">
        <f>IF(G294&lt;&gt;"H. Sale Real",IF(AND(G295&lt;&gt;"",LEFT(C295,2)&lt;&gt;"Va"),IF(AND(G294&lt;&gt;"",LEFT(C294,2)&lt;&gt;"Va",G294&lt;&gt;"H. Sale Real"),IF(G295-G294&lt;0.208333333333333,G295-G294,""),IF(AND(G293&lt;&gt;"",LEFT(C293,2)&lt;&gt;"Va",G293&lt;&gt;"H. Sale Real"),IF(G295-G293&lt;0.208333333333333,G295-G293,""),IF(AND(G292&lt;&gt;"",LEFT(C292,2)&lt;&gt;"Va",G292&lt;&gt;"H. Sale Real"),IF(G295-G292&lt;0.208333333333333,G295-G292,""),IF(AND(G291&lt;&gt;"",LEFT(C291,2)&lt;&gt;"Va",G291&lt;&gt;"H. Sale Real"),IF(G295-G291&lt;0.208333333333333,G295-G291,""),IF(AND(G290&lt;&gt;"",LEFT(C290,2)&lt;&gt;"Va",G290&lt;&gt;"H. Sale Real"),IF(G295-G290&lt;0.208333333333333,G295-G290,""),""))))),""),"")</f>
        <v/>
      </c>
      <c r="U294" s="87" t="n"/>
      <c r="V294" s="89" t="n"/>
      <c r="W294" s="87" t="n"/>
      <c r="X294" s="89" t="n"/>
      <c r="Y294" s="91" t="n"/>
      <c r="Z294" s="122">
        <f>IF(G294&lt;&gt;"",IF(AND(Z293&lt;&gt;"IE",P294&lt;&gt;0,R294&lt;&gt;""),IF(IFERROR((P294/R294),0) &lt;=1,IFERROR(P294/R294,""),1),""),"")</f>
        <v/>
      </c>
      <c r="AA294" s="93" t="n"/>
      <c r="AB294" s="2" t="n"/>
      <c r="AE294" s="10">
        <f>HOUR(AK294)+1</f>
        <v/>
      </c>
      <c r="AF294" s="7" t="n"/>
      <c r="AG294" s="7" t="n"/>
      <c r="AH294" s="86" t="n"/>
      <c r="AI294" s="8" t="n"/>
      <c r="AJ294" s="86" t="n"/>
      <c r="AK294" s="87" t="n"/>
      <c r="AL294" s="88">
        <f>IF(AM294="","",IF(AND((AM294-AK294)&gt;=TIME(0,0,0),(AM294-AK294)&lt;TIME(0,3,0)),"OK",IF(AND((AM294-AK294)&gt;=TIME(0,3,0),(AM294-AK294)&lt;TIME(0,5,0)),"RETRASO DE 3-5 MIN",IF(AND((AM294-AK294)&gt;=TIME(0,5,0),(AM294-AK294)&lt;TIME(0,10,0)),"RETRASO DE 5-10 MIN",IF((AM294-AK294)&gt;=TIME(0,10,0),"RETRASO &gt;10 MIN", IF(AND((AK294-AM294)&gt;=TIME(0,0,0),(AK294-AM294)&lt;TIME(0,3,0)),"OK",IF((AK294-AM294)&gt;=TIME(0,3,0),"ADELANTADO")))))))</f>
        <v/>
      </c>
      <c r="AM294" s="91" t="n"/>
      <c r="AN294" s="89">
        <f>IF(AE294&lt;&gt;"",HLOOKUP(VALUE(TEXT(AK294,"h:mm:ss")),IF($C$6="Laboral",$FZ$4:$GX$227,IF($C$6="Sábado",$FZ$231:$GX$452,$FZ$456:$GX$656)),VLOOKUP($C$4,$HF$2:$HH$99,3,0)+IF(AG$5="Ida",0,1),1),"")</f>
        <v/>
      </c>
      <c r="AO294" s="89">
        <f>IF(AE295&lt;&gt;AE294,AVERAGEIF(AE$9:AE294,AE294,AN$9:AN294),"")</f>
        <v/>
      </c>
      <c r="AP294" s="89">
        <f>IFERROR(IF(AE295&lt;&gt;AE294,AVERAGEIF(AE$9:AE294,AE294,AW$9:AW294),""),"")</f>
        <v/>
      </c>
      <c r="AQ294" s="89">
        <f>IFERROR(IF(AE295&lt;&gt;AE294,AVERAGEIF(AE$9:AE294,AE294,AX$9:AX294),""),"")</f>
        <v/>
      </c>
      <c r="AR294" s="89">
        <f t="array" ref="AR294">IFERROR(IF(AE295&lt;&gt;AE294,_xlfn.STDEV.P(IF(AE$9:AE294=AE294,AX$9:AX294)),""),"")</f>
        <v/>
      </c>
      <c r="AS294" s="89">
        <f t="array" ref="AS294">IFERROR(IF(AE295&lt;&gt;AE294,_xlfn.STDEV.P(IF(AE$9:AE294=AE294,AW$9:AW294)),""),"")</f>
        <v/>
      </c>
      <c r="AT294" s="90">
        <f>IFERROR(IF(AE294&lt;&gt;AE295,MAX((((AQ294*24*60)/2)*(1+POWER((((AR294*24*60) / (AQ294*24*60) )),2))) + ((AQ294*24*60 )*-0.1 + (AO294*0.015)) +1,(((AQ294*24*60)/2)*(1+POWER((((AR294*24*60) / (AQ294*24*60 ))),2)))),""),"")</f>
        <v/>
      </c>
      <c r="AU294" s="90">
        <f>IF(AND(AS294&lt;&gt;"",AP294&lt;&gt;""),IF(AE294&lt;&gt;AE295,((AP294*24*60) / 2 ) * (1 + POWER(((AS294*24*60) / (AP294*24*60)),2)),""),"")</f>
        <v/>
      </c>
      <c r="AV294" s="90">
        <f>IF(AU294&lt;&gt;"",MAX(AT294,AU294),"")</f>
        <v/>
      </c>
      <c r="AW294" s="89">
        <f>IF(AM294&lt;&gt;"H. Sale Real",IF(AND(AM295&lt;&gt;"",LEFT(AG295,2)&lt;&gt;"Va"),IF(AND(AM294&lt;&gt;"",LEFT(AG294,2)&lt;&gt;"Va",AM294&lt;&gt;"H. Sale Real"),IF(AM295-AM294&lt;0.208333333333333,AM295-AM294,""),IF(AND(AM293&lt;&gt;"",LEFT(AG293,2)&lt;&gt;"Va",AM293&lt;&gt;"H. Sale Real"),IF(AM295-AM293&lt;0.208333333333333,AM295-AM293,""),IF(AND(AM292&lt;&gt;"",LEFT(AG292,2)&lt;&gt;"Va",AM292&lt;&gt;"H. Sale Real"),IF(AM295-AM292&lt;0.208333333333333,AM295-AM292,""),IF(AND(AM291&lt;&gt;"",LEFT(AG291,2)&lt;&gt;"Va",AM291&lt;&gt;"H. Sale Real"),IF(AM295-AM291&lt;0.208333333333333,AM295-AM291,""),IF(AND(AM290&lt;&gt;"",LEFT(AG290,2)&lt;&gt;"Va",AM290&lt;&gt;"H. Sale Real"),IF(AM295-AM290&lt;0.208333333333333,AM295-AM290,""),""))))),""),"")</f>
        <v/>
      </c>
      <c r="AX294" s="89">
        <f>IF(AK294&lt;&gt;"H. Sale Real",IF(AND(AK295&lt;&gt;"",LEFT(AG295,2)&lt;&gt;"Va"),IF(AND(AK294&lt;&gt;"",LEFT(AG294,2)&lt;&gt;"Va",AK294&lt;&gt;"H. Sale Real"),IF(AK295-AK294&lt;0.208333333333333,AK295-AK294,""),IF(AND(AK293&lt;&gt;"",LEFT(AG293,2)&lt;&gt;"Va",AK293&lt;&gt;"H. Sale Real"),IF(AK295-AK293&lt;0.208333333333333,AK295-AK293,""),IF(AND(AK292&lt;&gt;"",LEFT(AG292,2)&lt;&gt;"NC",AK292&lt;&gt;"H. Sale Real"),IF(AK295-AK292&lt;0.208333333333333,AK295-AK292,""),IF(AND(AK291&lt;&gt;"",LEFT(AG291,2)&lt;&gt;"Va",AK291&lt;&gt;"H. Sale Real"),IF(AK295-AK291&lt;0.208333333333333,AK295-AK291,""),IF(AND(AK290&lt;&gt;"",LEFT(AG290,2)&lt;&gt;"Va",AK290&lt;&gt;"H. Sale Real"),IF(AK295-AK290&lt;0.208333333333333,AK295-AK290,""),""))))),""),"")</f>
        <v/>
      </c>
      <c r="AY294" s="87" t="n"/>
      <c r="AZ294" s="89" t="n"/>
      <c r="BA294" s="87" t="n"/>
      <c r="BB294" s="89" t="n"/>
      <c r="BC294" s="91" t="n"/>
      <c r="BD294" s="122">
        <f>IF(AK294&lt;&gt;"",IF(AND(BD293&lt;&gt;"IE",AT294&lt;&gt;0,AV294&lt;&gt;""),IF(IFERROR((AT294/AV294),0) &lt;=1,IFERROR(AT294/AV294,""),1),""),"")</f>
        <v/>
      </c>
      <c r="BE294" s="93" t="n"/>
      <c r="BF294" s="105" t="n"/>
      <c r="FC294" t="inlineStr">
        <is>
          <t>Diccionario 1</t>
        </is>
      </c>
      <c r="FD294" s="15" t="n">
        <v>1293</v>
      </c>
      <c r="FE294" s="15" t="inlineStr">
        <is>
          <t>MDN35025020111</t>
        </is>
      </c>
      <c r="FF294" s="15" t="inlineStr">
        <is>
          <t>LDYECS31XS0044013</t>
        </is>
      </c>
      <c r="FG294" s="15" t="inlineStr">
        <is>
          <t>Zhong Tong</t>
        </is>
      </c>
      <c r="FH294" s="15" t="inlineStr">
        <is>
          <t>Lck6122evg</t>
        </is>
      </c>
      <c r="FI294" s="15" t="inlineStr">
        <is>
          <t>ZHONGTONG</t>
        </is>
      </c>
      <c r="FJ294" s="15" t="inlineStr">
        <is>
          <t>LCK6122EVG</t>
        </is>
      </c>
      <c r="FK294" s="15" t="n">
        <v>2025</v>
      </c>
      <c r="FL294" s="15" t="inlineStr">
        <is>
          <t>B</t>
        </is>
      </c>
      <c r="FM294" s="15" t="inlineStr">
        <is>
          <t>PIE ANDINO</t>
        </is>
      </c>
      <c r="FN294" s="15" t="inlineStr">
        <is>
          <t>Pie Andino 31 (Pie Andino 383)</t>
        </is>
      </c>
      <c r="FO294" s="15" t="inlineStr">
        <is>
          <t>Puente Alto</t>
        </is>
      </c>
      <c r="FP294" t="inlineStr">
        <is>
          <t>B</t>
        </is>
      </c>
      <c r="FS294" s="14" t="inlineStr">
        <is>
          <t>3074 / SFWZ-17|</t>
        </is>
      </c>
      <c r="FT294" t="inlineStr">
        <is>
          <t>SFWZ-17|</t>
        </is>
      </c>
      <c r="FU294" t="inlineStr">
        <is>
          <t>SFWZ-17</t>
        </is>
      </c>
      <c r="FV294">
        <f>VLOOKUP(FU294,FD:FL,9,0)</f>
        <v/>
      </c>
      <c r="FZ294" s="51" t="n">
        <v>102</v>
      </c>
      <c r="GA294" s="43" t="n">
        <v>28.25</v>
      </c>
      <c r="GB294" s="43" t="n">
        <v>14.42</v>
      </c>
      <c r="GC294" s="43" t="n">
        <v>0</v>
      </c>
      <c r="GD294" s="43" t="n">
        <v>0</v>
      </c>
      <c r="GE294" s="43" t="n">
        <v>0</v>
      </c>
      <c r="GF294" s="43" t="n">
        <v>12.51</v>
      </c>
      <c r="GG294" s="43" t="n">
        <v>24.31</v>
      </c>
      <c r="GH294" s="43" t="n">
        <v>22.66</v>
      </c>
      <c r="GI294" s="43" t="n">
        <v>20.955</v>
      </c>
      <c r="GJ294" s="43" t="n">
        <v>19.88</v>
      </c>
      <c r="GK294" s="43" t="n">
        <v>18.74</v>
      </c>
      <c r="GL294" s="43" t="n">
        <v>17.745</v>
      </c>
      <c r="GM294" s="43" t="n">
        <v>16.815</v>
      </c>
      <c r="GN294" s="43" t="n">
        <v>16.535</v>
      </c>
      <c r="GO294" s="43" t="n">
        <v>17.27</v>
      </c>
      <c r="GP294" s="43" t="n">
        <v>17.735</v>
      </c>
      <c r="GQ294" s="43" t="n">
        <v>17.67</v>
      </c>
      <c r="GR294" s="43" t="n">
        <v>17.85</v>
      </c>
      <c r="GS294" s="43" t="n">
        <v>18.14</v>
      </c>
      <c r="GT294" s="43" t="n">
        <v>18.865</v>
      </c>
      <c r="GU294" s="43" t="n">
        <v>20.32</v>
      </c>
      <c r="GV294" s="43" t="n">
        <v>21.675</v>
      </c>
      <c r="GW294" s="43" t="n">
        <v>24.38</v>
      </c>
      <c r="GX294" s="43" t="n">
        <v>27.22</v>
      </c>
      <c r="HA294" s="35" t="n">
        <v>64</v>
      </c>
      <c r="HB294" s="35" t="n">
        <v>288</v>
      </c>
    </row>
    <row r="295" ht="15.5" customHeight="1">
      <c r="A295" s="10">
        <f>HOUR(G295)+1</f>
        <v/>
      </c>
      <c r="B295" s="7" t="n"/>
      <c r="C295" s="7" t="n"/>
      <c r="D295" s="85">
        <f>IFERROR(
IF(AND(OR(Planilla!B295="C",Planilla!B295="c"), VLOOKUP(E295,FD:FP,13,0)="C"), "OK",IF(AND(OR(Planilla!B295="C",Planilla!B295="c"), OR(VLOOKUP(E295,FD:FP,13,0)="B", VLOOKUP(E295,FD:FP,13,0)="A")), "DEFICIT",IF(
AND(OR(Planilla!B295="B", Planilla!B295="BPAL"), VLOOKUP(E295,FD:FP,13,0)="B"), "OK",IF(AND(OR(Planilla!B295="B", Planilla!B295="BPAL"), VLOOKUP(E295,FD:FP,13,0)="A"), "DEFICIT",IF(AND(OR(Planilla!B295="B", Planilla!B295="BPAL"), VLOOKUP(E295,FD:FP,13,0)="C"), "SOBREOFERTA",IF(AND(Planilla!B295="A", VLOOKUP(E295,FD:FP,13,0)="A"), "OK",IF(
AND(Planilla!B295="A", OR(VLOOKUP(E295,FD:FP,13,0)="B", VLOOKUP(E295,FD:FP,13,0)="C")), "SOBREOFERTA",""
))))))),"")</f>
        <v/>
      </c>
      <c r="E295" s="8" t="n"/>
      <c r="F295" s="86" t="n"/>
      <c r="G295" s="87" t="n"/>
      <c r="H295" s="88">
        <f>IF(I295="","",IF(AND((I295-G295)&gt;=TIME(0,0,0),(I295-G295)&lt;TIME(0,3,0)),"OK",IF(AND((I295-G295)&gt;=TIME(0,3,0),(I295-G295)&lt;TIME(0,5,0)),"RETRASO DE 3-5 MIN",IF(AND((I295-G295)&gt;=TIME(0,5,0),(I295-G295)&lt;TIME(0,10,0)),"RETRASO DE 5-10 MIN",IF((I295-G295)&gt;=TIME(0,10,0),"RETRASO &gt;10 MIN", IF(AND((G295-I295)&gt;=TIME(0,0,0),(G295-I295)&lt;TIME(0,3,0)),"OK",IF((G295-I295)&gt;=TIME(0,3,0),"ADELANTADO")))))))</f>
        <v/>
      </c>
      <c r="I295" s="89" t="n"/>
      <c r="J295" s="89">
        <f>IF(A295&lt;&gt;"",HLOOKUP(VALUE(TEXT(G295,"h:mm:ss")),IF($C$6="Laboral",$FZ$4:$GX$227,IF($C$6="Sábado",$FZ$231:$GX$452,$FZ$456:$GX$656)),VLOOKUP($C$4,$HF$2:$HH$99,3,0)+IF(C$5="Ida",0,1),1),"")</f>
        <v/>
      </c>
      <c r="K295" s="89">
        <f>IF(A296&lt;&gt;A295,AVERAGEIF(A$9:A295,A295,J$9:J295),"")</f>
        <v/>
      </c>
      <c r="L295" s="89">
        <f>IFERROR(IF(A296&lt;&gt;A295,AVERAGEIF(A$9:A295,A295,S$9:S295),""),"")</f>
        <v/>
      </c>
      <c r="M295" s="89">
        <f>IFERROR(IF(A296&lt;&gt;A295,AVERAGEIF(A$9:A295,A295,T$9:T295),""),"")</f>
        <v/>
      </c>
      <c r="N295" s="89">
        <f t="array" ref="N295">IFERROR(IF(A296&lt;&gt;A295,_xlfn.STDEV.P(IF(A$9:A295=A295,T$9:T295)),""),"")</f>
        <v/>
      </c>
      <c r="O295" s="89">
        <f t="array" ref="O295">IFERROR(IF(A296&lt;&gt;A295,_xlfn.STDEV.P(IF(A$9:A295=A295,S$9:S295)),""),"")</f>
        <v/>
      </c>
      <c r="P295" s="90">
        <f>IFERROR(IF(A295&lt;&gt;A296,MAX((((M295*24*60)/2)*(1+POWER((((N295*24*60) / (M295*24*60) )),2))) + ((M295*24*60 )*-0.1 + (K295*0.015)) +1,(((M295*24*60)/2)*(1+POWER((((N295*24*60) / (M295*24*60 ))),2)))),""),"")</f>
        <v/>
      </c>
      <c r="Q295" s="90">
        <f>IF(AND(O295&lt;&gt;"",L295&lt;&gt;""),IF(A295&lt;&gt;A296,((L295*24*60) / 2 ) * (1 + POWER(((O295*24*60) / (L295*24*60)),2)),""),"")</f>
        <v/>
      </c>
      <c r="R295" s="90">
        <f>IF(Q295&lt;&gt;"",MAX(P295,Q295),"")</f>
        <v/>
      </c>
      <c r="S295" s="89">
        <f>IF(I295&lt;&gt;"H. Sale Real",IF(AND(I296&lt;&gt;"",LEFT(C296,2)&lt;&gt;"Va"),IF(AND(I295&lt;&gt;"",LEFT(C295,2)&lt;&gt;"Va",I295&lt;&gt;"H. Sale Real"),IF(I296-I295&lt;0.208333333333333,I296-I295,""),IF(AND(I294&lt;&gt;"",LEFT(C294,2)&lt;&gt;"Va",I294&lt;&gt;"H. Sale Real"),IF(I296-I294&lt;0.208333333333333,I296-I294,""),IF(AND(I293&lt;&gt;"",LEFT(C293,2)&lt;&gt;"Va",I293&lt;&gt;"H. Sale Real"),IF(I296-I293&lt;0.208333333333333,I296-I293,""),IF(AND(I292&lt;&gt;"",LEFT(C292,2)&lt;&gt;"Va",I292&lt;&gt;"H. Sale Real"),IF(I296-I292&lt;0.208333333333333,I296-I292,""),IF(AND(I291&lt;&gt;"",LEFT(C291,2)&lt;&gt;"Va",I291&lt;&gt;"H. Sale Real"),IF(I296-I291&lt;0.208333333333333,I296-I291,""),""))))),""),"")</f>
        <v/>
      </c>
      <c r="T295" s="89">
        <f>IF(G295&lt;&gt;"H. Sale Real",IF(AND(G296&lt;&gt;"",LEFT(C296,2)&lt;&gt;"Va"),IF(AND(G295&lt;&gt;"",LEFT(C295,2)&lt;&gt;"Va",G295&lt;&gt;"H. Sale Real"),IF(G296-G295&lt;0.208333333333333,G296-G295,""),IF(AND(G294&lt;&gt;"",LEFT(C294,2)&lt;&gt;"Va",G294&lt;&gt;"H. Sale Real"),IF(G296-G294&lt;0.208333333333333,G296-G294,""),IF(AND(G293&lt;&gt;"",LEFT(C293,2)&lt;&gt;"Va",G293&lt;&gt;"H. Sale Real"),IF(G296-G293&lt;0.208333333333333,G296-G293,""),IF(AND(G292&lt;&gt;"",LEFT(C292,2)&lt;&gt;"Va",G292&lt;&gt;"H. Sale Real"),IF(G296-G292&lt;0.208333333333333,G296-G292,""),IF(AND(G291&lt;&gt;"",LEFT(C291,2)&lt;&gt;"Va",G291&lt;&gt;"H. Sale Real"),IF(G296-G291&lt;0.208333333333333,G296-G291,""),""))))),""),"")</f>
        <v/>
      </c>
      <c r="U295" s="87" t="n"/>
      <c r="V295" s="89" t="n"/>
      <c r="W295" s="87" t="n"/>
      <c r="X295" s="89" t="n"/>
      <c r="Y295" s="91" t="n"/>
      <c r="Z295" s="122">
        <f>IF(G295&lt;&gt;"",IF(AND(Z294&lt;&gt;"IE",P295&lt;&gt;0,R295&lt;&gt;""),IF(IFERROR((P295/R295),0) &lt;=1,IFERROR(P295/R295,""),1),""),"")</f>
        <v/>
      </c>
      <c r="AA295" s="93" t="n"/>
      <c r="AB295" s="2" t="n"/>
      <c r="AE295" s="10">
        <f>HOUR(AK295)+1</f>
        <v/>
      </c>
      <c r="AF295" s="7" t="n"/>
      <c r="AG295" s="7" t="n"/>
      <c r="AH295" s="86" t="n"/>
      <c r="AI295" s="8" t="n"/>
      <c r="AJ295" s="86" t="n"/>
      <c r="AK295" s="87" t="n"/>
      <c r="AL295" s="88">
        <f>IF(AM295="","",IF(AND((AM295-AK295)&gt;=TIME(0,0,0),(AM295-AK295)&lt;TIME(0,3,0)),"OK",IF(AND((AM295-AK295)&gt;=TIME(0,3,0),(AM295-AK295)&lt;TIME(0,5,0)),"RETRASO DE 3-5 MIN",IF(AND((AM295-AK295)&gt;=TIME(0,5,0),(AM295-AK295)&lt;TIME(0,10,0)),"RETRASO DE 5-10 MIN",IF((AM295-AK295)&gt;=TIME(0,10,0),"RETRASO &gt;10 MIN", IF(AND((AK295-AM295)&gt;=TIME(0,0,0),(AK295-AM295)&lt;TIME(0,3,0)),"OK",IF((AK295-AM295)&gt;=TIME(0,3,0),"ADELANTADO")))))))</f>
        <v/>
      </c>
      <c r="AM295" s="91" t="n"/>
      <c r="AN295" s="89">
        <f>IF(AE295&lt;&gt;"",HLOOKUP(VALUE(TEXT(AK295,"h:mm:ss")),IF($C$6="Laboral",$FZ$4:$GX$227,IF($C$6="Sábado",$FZ$231:$GX$452,$FZ$456:$GX$656)),VLOOKUP($C$4,$HF$2:$HH$99,3,0)+IF(AG$5="Ida",0,1),1),"")</f>
        <v/>
      </c>
      <c r="AO295" s="89">
        <f>IF(AE296&lt;&gt;AE295,AVERAGEIF(AE$9:AE295,AE295,AN$9:AN295),"")</f>
        <v/>
      </c>
      <c r="AP295" s="89">
        <f>IFERROR(IF(AE296&lt;&gt;AE295,AVERAGEIF(AE$9:AE295,AE295,AW$9:AW295),""),"")</f>
        <v/>
      </c>
      <c r="AQ295" s="89">
        <f>IFERROR(IF(AE296&lt;&gt;AE295,AVERAGEIF(AE$9:AE295,AE295,AX$9:AX295),""),"")</f>
        <v/>
      </c>
      <c r="AR295" s="89">
        <f t="array" ref="AR295">IFERROR(IF(AE296&lt;&gt;AE295,_xlfn.STDEV.P(IF(AE$9:AE295=AE295,AX$9:AX295)),""),"")</f>
        <v/>
      </c>
      <c r="AS295" s="89">
        <f t="array" ref="AS295">IFERROR(IF(AE296&lt;&gt;AE295,_xlfn.STDEV.P(IF(AE$9:AE295=AE295,AW$9:AW295)),""),"")</f>
        <v/>
      </c>
      <c r="AT295" s="90">
        <f>IFERROR(IF(AE295&lt;&gt;AE296,MAX((((AQ295*24*60)/2)*(1+POWER((((AR295*24*60) / (AQ295*24*60) )),2))) + ((AQ295*24*60 )*-0.1 + (AO295*0.015)) +1,(((AQ295*24*60)/2)*(1+POWER((((AR295*24*60) / (AQ295*24*60 ))),2)))),""),"")</f>
        <v/>
      </c>
      <c r="AU295" s="90">
        <f>IF(AND(AS295&lt;&gt;"",AP295&lt;&gt;""),IF(AE295&lt;&gt;AE296,((AP295*24*60) / 2 ) * (1 + POWER(((AS295*24*60) / (AP295*24*60)),2)),""),"")</f>
        <v/>
      </c>
      <c r="AV295" s="90">
        <f>IF(AU295&lt;&gt;"",MAX(AT295,AU295),"")</f>
        <v/>
      </c>
      <c r="AW295" s="89">
        <f>IF(AM295&lt;&gt;"H. Sale Real",IF(AND(AM296&lt;&gt;"",LEFT(AG296,2)&lt;&gt;"Va"),IF(AND(AM295&lt;&gt;"",LEFT(AG295,2)&lt;&gt;"Va",AM295&lt;&gt;"H. Sale Real"),IF(AM296-AM295&lt;0.208333333333333,AM296-AM295,""),IF(AND(AM294&lt;&gt;"",LEFT(AG294,2)&lt;&gt;"Va",AM294&lt;&gt;"H. Sale Real"),IF(AM296-AM294&lt;0.208333333333333,AM296-AM294,""),IF(AND(AM293&lt;&gt;"",LEFT(AG293,2)&lt;&gt;"Va",AM293&lt;&gt;"H. Sale Real"),IF(AM296-AM293&lt;0.208333333333333,AM296-AM293,""),IF(AND(AM292&lt;&gt;"",LEFT(AG292,2)&lt;&gt;"Va",AM292&lt;&gt;"H. Sale Real"),IF(AM296-AM292&lt;0.208333333333333,AM296-AM292,""),IF(AND(AM291&lt;&gt;"",LEFT(AG291,2)&lt;&gt;"Va",AM291&lt;&gt;"H. Sale Real"),IF(AM296-AM291&lt;0.208333333333333,AM296-AM291,""),""))))),""),"")</f>
        <v/>
      </c>
      <c r="AX295" s="89">
        <f>IF(AK295&lt;&gt;"H. Sale Real",IF(AND(AK296&lt;&gt;"",LEFT(AG296,2)&lt;&gt;"Va"),IF(AND(AK295&lt;&gt;"",LEFT(AG295,2)&lt;&gt;"Va",AK295&lt;&gt;"H. Sale Real"),IF(AK296-AK295&lt;0.208333333333333,AK296-AK295,""),IF(AND(AK294&lt;&gt;"",LEFT(AG294,2)&lt;&gt;"Va",AK294&lt;&gt;"H. Sale Real"),IF(AK296-AK294&lt;0.208333333333333,AK296-AK294,""),IF(AND(AK293&lt;&gt;"",LEFT(AG293,2)&lt;&gt;"NC",AK293&lt;&gt;"H. Sale Real"),IF(AK296-AK293&lt;0.208333333333333,AK296-AK293,""),IF(AND(AK292&lt;&gt;"",LEFT(AG292,2)&lt;&gt;"Va",AK292&lt;&gt;"H. Sale Real"),IF(AK296-AK292&lt;0.208333333333333,AK296-AK292,""),IF(AND(AK291&lt;&gt;"",LEFT(AG291,2)&lt;&gt;"Va",AK291&lt;&gt;"H. Sale Real"),IF(AK296-AK291&lt;0.208333333333333,AK296-AK291,""),""))))),""),"")</f>
        <v/>
      </c>
      <c r="AY295" s="87" t="n"/>
      <c r="AZ295" s="89" t="n"/>
      <c r="BA295" s="87" t="n"/>
      <c r="BB295" s="89" t="n"/>
      <c r="BC295" s="91" t="n"/>
      <c r="BD295" s="122">
        <f>IF(AK295&lt;&gt;"",IF(AND(BD294&lt;&gt;"IE",AT295&lt;&gt;0,AV295&lt;&gt;""),IF(IFERROR((AT295/AV295),0) &lt;=1,IFERROR(AT295/AV295,""),1),""),"")</f>
        <v/>
      </c>
      <c r="BE295" s="93" t="n"/>
      <c r="BF295" s="105" t="n"/>
      <c r="FC295" t="inlineStr">
        <is>
          <t>Diccionario 1</t>
        </is>
      </c>
      <c r="FD295" s="15" t="n">
        <v>1294</v>
      </c>
      <c r="FE295" s="15" t="inlineStr">
        <is>
          <t>MDN35025020125</t>
        </is>
      </c>
      <c r="FF295" s="15" t="inlineStr">
        <is>
          <t>LDYECS313S0044032</t>
        </is>
      </c>
      <c r="FG295" s="15" t="inlineStr">
        <is>
          <t>Zhong Tong</t>
        </is>
      </c>
      <c r="FH295" s="15" t="inlineStr">
        <is>
          <t>Lck6122evg</t>
        </is>
      </c>
      <c r="FI295" s="15" t="inlineStr">
        <is>
          <t>ZHONGTONG</t>
        </is>
      </c>
      <c r="FJ295" s="15" t="inlineStr">
        <is>
          <t>LCK6122EVG</t>
        </is>
      </c>
      <c r="FK295" s="15" t="n">
        <v>2025</v>
      </c>
      <c r="FL295" s="15" t="inlineStr">
        <is>
          <t>B</t>
        </is>
      </c>
      <c r="FM295" s="15" t="inlineStr">
        <is>
          <t>PIE ANDINO</t>
        </is>
      </c>
      <c r="FN295" s="15" t="inlineStr">
        <is>
          <t>Pie Andino 31 (Pie Andino 383)</t>
        </is>
      </c>
      <c r="FO295" s="15" t="inlineStr">
        <is>
          <t>Puente Alto</t>
        </is>
      </c>
      <c r="FP295" t="inlineStr">
        <is>
          <t>B</t>
        </is>
      </c>
      <c r="FS295" s="14" t="inlineStr">
        <is>
          <t>3074 / SFWZ-17|</t>
        </is>
      </c>
      <c r="FT295" t="inlineStr">
        <is>
          <t>SFWZ-17|</t>
        </is>
      </c>
      <c r="FU295" t="inlineStr">
        <is>
          <t>SFWZ-17</t>
        </is>
      </c>
      <c r="FV295">
        <f>VLOOKUP(FU295,FD:FL,9,0)</f>
        <v/>
      </c>
      <c r="FZ295" s="51" t="n">
        <v>102</v>
      </c>
      <c r="GA295" s="43" t="n">
        <v>29.085</v>
      </c>
      <c r="GB295" s="43" t="n">
        <v>0</v>
      </c>
      <c r="GC295" s="43" t="n">
        <v>0</v>
      </c>
      <c r="GD295" s="43" t="n">
        <v>0</v>
      </c>
      <c r="GE295" s="43" t="n">
        <v>31.105</v>
      </c>
      <c r="GF295" s="43" t="n">
        <v>28.245</v>
      </c>
      <c r="GG295" s="43" t="n">
        <v>24.79</v>
      </c>
      <c r="GH295" s="43" t="n">
        <v>23.495</v>
      </c>
      <c r="GI295" s="43" t="n">
        <v>21.24</v>
      </c>
      <c r="GJ295" s="43" t="n">
        <v>20.33</v>
      </c>
      <c r="GK295" s="43" t="n">
        <v>19.09</v>
      </c>
      <c r="GL295" s="43" t="n">
        <v>17.92</v>
      </c>
      <c r="GM295" s="43" t="n">
        <v>17.005</v>
      </c>
      <c r="GN295" s="43" t="n">
        <v>17.11</v>
      </c>
      <c r="GO295" s="43" t="n">
        <v>18.305</v>
      </c>
      <c r="GP295" s="43" t="n">
        <v>18.8</v>
      </c>
      <c r="GQ295" s="43" t="n">
        <v>18.17</v>
      </c>
      <c r="GR295" s="43" t="n">
        <v>18.295</v>
      </c>
      <c r="GS295" s="43" t="n">
        <v>19.29</v>
      </c>
      <c r="GT295" s="43" t="n">
        <v>20.24</v>
      </c>
      <c r="GU295" s="43" t="n">
        <v>22.005</v>
      </c>
      <c r="GV295" s="43" t="n">
        <v>23.66</v>
      </c>
      <c r="GW295" s="43" t="n">
        <v>25.44</v>
      </c>
      <c r="GX295" s="43" t="n">
        <v>26.785</v>
      </c>
      <c r="HA295" s="35" t="n">
        <v>65</v>
      </c>
      <c r="HB295" s="35" t="n">
        <v>289</v>
      </c>
    </row>
    <row r="296" ht="15.5" customHeight="1">
      <c r="A296" s="10">
        <f>HOUR(G296)+1</f>
        <v/>
      </c>
      <c r="B296" s="7" t="n"/>
      <c r="C296" s="7" t="n"/>
      <c r="D296" s="85">
        <f>IFERROR(
IF(AND(OR(Planilla!B296="C",Planilla!B296="c"), VLOOKUP(E296,FD:FP,13,0)="C"), "OK",IF(AND(OR(Planilla!B296="C",Planilla!B296="c"), OR(VLOOKUP(E296,FD:FP,13,0)="B", VLOOKUP(E296,FD:FP,13,0)="A")), "DEFICIT",IF(
AND(OR(Planilla!B296="B", Planilla!B296="BPAL"), VLOOKUP(E296,FD:FP,13,0)="B"), "OK",IF(AND(OR(Planilla!B296="B", Planilla!B296="BPAL"), VLOOKUP(E296,FD:FP,13,0)="A"), "DEFICIT",IF(AND(OR(Planilla!B296="B", Planilla!B296="BPAL"), VLOOKUP(E296,FD:FP,13,0)="C"), "SOBREOFERTA",IF(AND(Planilla!B296="A", VLOOKUP(E296,FD:FP,13,0)="A"), "OK",IF(
AND(Planilla!B296="A", OR(VLOOKUP(E296,FD:FP,13,0)="B", VLOOKUP(E296,FD:FP,13,0)="C")), "SOBREOFERTA",""
))))))),"")</f>
        <v/>
      </c>
      <c r="E296" s="8" t="n"/>
      <c r="F296" s="86" t="n"/>
      <c r="G296" s="87" t="n"/>
      <c r="H296" s="88">
        <f>IF(I296="","",IF(AND((I296-G296)&gt;=TIME(0,0,0),(I296-G296)&lt;TIME(0,3,0)),"OK",IF(AND((I296-G296)&gt;=TIME(0,3,0),(I296-G296)&lt;TIME(0,5,0)),"RETRASO DE 3-5 MIN",IF(AND((I296-G296)&gt;=TIME(0,5,0),(I296-G296)&lt;TIME(0,10,0)),"RETRASO DE 5-10 MIN",IF((I296-G296)&gt;=TIME(0,10,0),"RETRASO &gt;10 MIN", IF(AND((G296-I296)&gt;=TIME(0,0,0),(G296-I296)&lt;TIME(0,3,0)),"OK",IF((G296-I296)&gt;=TIME(0,3,0),"ADELANTADO")))))))</f>
        <v/>
      </c>
      <c r="I296" s="89" t="n"/>
      <c r="J296" s="89">
        <f>IF(A296&lt;&gt;"",HLOOKUP(VALUE(TEXT(G296,"h:mm:ss")),IF($C$6="Laboral",$FZ$4:$GX$227,IF($C$6="Sábado",$FZ$231:$GX$452,$FZ$456:$GX$656)),VLOOKUP($C$4,$HF$2:$HH$99,3,0)+IF(C$5="Ida",0,1),1),"")</f>
        <v/>
      </c>
      <c r="K296" s="89">
        <f>IF(A297&lt;&gt;A296,AVERAGEIF(A$9:A296,A296,J$9:J296),"")</f>
        <v/>
      </c>
      <c r="L296" s="89">
        <f>IFERROR(IF(A297&lt;&gt;A296,AVERAGEIF(A$9:A296,A296,S$9:S296),""),"")</f>
        <v/>
      </c>
      <c r="M296" s="89">
        <f>IFERROR(IF(A297&lt;&gt;A296,AVERAGEIF(A$9:A296,A296,T$9:T296),""),"")</f>
        <v/>
      </c>
      <c r="N296" s="89">
        <f t="array" ref="N296">IFERROR(IF(A297&lt;&gt;A296,_xlfn.STDEV.P(IF(A$9:A296=A296,T$9:T296)),""),"")</f>
        <v/>
      </c>
      <c r="O296" s="89">
        <f t="array" ref="O296">IFERROR(IF(A297&lt;&gt;A296,_xlfn.STDEV.P(IF(A$9:A296=A296,S$9:S296)),""),"")</f>
        <v/>
      </c>
      <c r="P296" s="90">
        <f>IFERROR(IF(A296&lt;&gt;A297,MAX((((M296*24*60)/2)*(1+POWER((((N296*24*60) / (M296*24*60) )),2))) + ((M296*24*60 )*-0.1 + (K296*0.015)) +1,(((M296*24*60)/2)*(1+POWER((((N296*24*60) / (M296*24*60 ))),2)))),""),"")</f>
        <v/>
      </c>
      <c r="Q296" s="90">
        <f>IF(AND(O296&lt;&gt;"",L296&lt;&gt;""),IF(A296&lt;&gt;A297,((L296*24*60) / 2 ) * (1 + POWER(((O296*24*60) / (L296*24*60)),2)),""),"")</f>
        <v/>
      </c>
      <c r="R296" s="90">
        <f>IF(Q296&lt;&gt;"",MAX(P296,Q296),"")</f>
        <v/>
      </c>
      <c r="S296" s="89">
        <f>IF(I296&lt;&gt;"H. Sale Real",IF(AND(I297&lt;&gt;"",LEFT(C297,2)&lt;&gt;"Va"),IF(AND(I296&lt;&gt;"",LEFT(C296,2)&lt;&gt;"Va",I296&lt;&gt;"H. Sale Real"),IF(I297-I296&lt;0.208333333333333,I297-I296,""),IF(AND(I295&lt;&gt;"",LEFT(C295,2)&lt;&gt;"Va",I295&lt;&gt;"H. Sale Real"),IF(I297-I295&lt;0.208333333333333,I297-I295,""),IF(AND(I294&lt;&gt;"",LEFT(C294,2)&lt;&gt;"Va",I294&lt;&gt;"H. Sale Real"),IF(I297-I294&lt;0.208333333333333,I297-I294,""),IF(AND(I293&lt;&gt;"",LEFT(C293,2)&lt;&gt;"Va",I293&lt;&gt;"H. Sale Real"),IF(I297-I293&lt;0.208333333333333,I297-I293,""),IF(AND(I292&lt;&gt;"",LEFT(C292,2)&lt;&gt;"Va",I292&lt;&gt;"H. Sale Real"),IF(I297-I292&lt;0.208333333333333,I297-I292,""),""))))),""),"")</f>
        <v/>
      </c>
      <c r="T296" s="89">
        <f>IF(G296&lt;&gt;"H. Sale Real",IF(AND(G297&lt;&gt;"",LEFT(C297,2)&lt;&gt;"Va"),IF(AND(G296&lt;&gt;"",LEFT(C296,2)&lt;&gt;"Va",G296&lt;&gt;"H. Sale Real"),IF(G297-G296&lt;0.208333333333333,G297-G296,""),IF(AND(G295&lt;&gt;"",LEFT(C295,2)&lt;&gt;"Va",G295&lt;&gt;"H. Sale Real"),IF(G297-G295&lt;0.208333333333333,G297-G295,""),IF(AND(G294&lt;&gt;"",LEFT(C294,2)&lt;&gt;"Va",G294&lt;&gt;"H. Sale Real"),IF(G297-G294&lt;0.208333333333333,G297-G294,""),IF(AND(G293&lt;&gt;"",LEFT(C293,2)&lt;&gt;"Va",G293&lt;&gt;"H. Sale Real"),IF(G297-G293&lt;0.208333333333333,G297-G293,""),IF(AND(G292&lt;&gt;"",LEFT(C292,2)&lt;&gt;"Va",G292&lt;&gt;"H. Sale Real"),IF(G297-G292&lt;0.208333333333333,G297-G292,""),""))))),""),"")</f>
        <v/>
      </c>
      <c r="U296" s="87" t="n"/>
      <c r="V296" s="89" t="n"/>
      <c r="W296" s="87" t="n"/>
      <c r="X296" s="89" t="n"/>
      <c r="Y296" s="91" t="n"/>
      <c r="Z296" s="122">
        <f>IF(G296&lt;&gt;"",IF(AND(Z295&lt;&gt;"IE",P296&lt;&gt;0,R296&lt;&gt;""),IF(IFERROR((P296/R296),0) &lt;=1,IFERROR(P296/R296,""),1),""),"")</f>
        <v/>
      </c>
      <c r="AA296" s="93" t="n"/>
      <c r="AB296" s="2" t="n"/>
      <c r="AE296" s="10">
        <f>HOUR(AK296)+1</f>
        <v/>
      </c>
      <c r="AF296" s="7" t="n"/>
      <c r="AG296" s="7" t="n"/>
      <c r="AH296" s="86" t="n"/>
      <c r="AI296" s="8" t="n"/>
      <c r="AJ296" s="86" t="n"/>
      <c r="AK296" s="87" t="n"/>
      <c r="AL296" s="88">
        <f>IF(AM296="","",IF(AND((AM296-AK296)&gt;=TIME(0,0,0),(AM296-AK296)&lt;TIME(0,3,0)),"OK",IF(AND((AM296-AK296)&gt;=TIME(0,3,0),(AM296-AK296)&lt;TIME(0,5,0)),"RETRASO DE 3-5 MIN",IF(AND((AM296-AK296)&gt;=TIME(0,5,0),(AM296-AK296)&lt;TIME(0,10,0)),"RETRASO DE 5-10 MIN",IF((AM296-AK296)&gt;=TIME(0,10,0),"RETRASO &gt;10 MIN", IF(AND((AK296-AM296)&gt;=TIME(0,0,0),(AK296-AM296)&lt;TIME(0,3,0)),"OK",IF((AK296-AM296)&gt;=TIME(0,3,0),"ADELANTADO")))))))</f>
        <v/>
      </c>
      <c r="AM296" s="91" t="n"/>
      <c r="AN296" s="89">
        <f>IF(AE296&lt;&gt;"",HLOOKUP(VALUE(TEXT(AK296,"h:mm:ss")),IF($C$6="Laboral",$FZ$4:$GX$227,IF($C$6="Sábado",$FZ$231:$GX$452,$FZ$456:$GX$656)),VLOOKUP($C$4,$HF$2:$HH$99,3,0)+IF(AG$5="Ida",0,1),1),"")</f>
        <v/>
      </c>
      <c r="AO296" s="89">
        <f>IF(AE297&lt;&gt;AE296,AVERAGEIF(AE$9:AE296,AE296,AN$9:AN296),"")</f>
        <v/>
      </c>
      <c r="AP296" s="89">
        <f>IFERROR(IF(AE297&lt;&gt;AE296,AVERAGEIF(AE$9:AE296,AE296,AW$9:AW296),""),"")</f>
        <v/>
      </c>
      <c r="AQ296" s="89">
        <f>IFERROR(IF(AE297&lt;&gt;AE296,AVERAGEIF(AE$9:AE296,AE296,AX$9:AX296),""),"")</f>
        <v/>
      </c>
      <c r="AR296" s="89">
        <f t="array" ref="AR296">IFERROR(IF(AE297&lt;&gt;AE296,_xlfn.STDEV.P(IF(AE$9:AE296=AE296,AX$9:AX296)),""),"")</f>
        <v/>
      </c>
      <c r="AS296" s="89">
        <f t="array" ref="AS296">IFERROR(IF(AE297&lt;&gt;AE296,_xlfn.STDEV.P(IF(AE$9:AE296=AE296,AW$9:AW296)),""),"")</f>
        <v/>
      </c>
      <c r="AT296" s="90">
        <f>IFERROR(IF(AE296&lt;&gt;AE297,MAX((((AQ296*24*60)/2)*(1+POWER((((AR296*24*60) / (AQ296*24*60) )),2))) + ((AQ296*24*60 )*-0.1 + (AO296*0.015)) +1,(((AQ296*24*60)/2)*(1+POWER((((AR296*24*60) / (AQ296*24*60 ))),2)))),""),"")</f>
        <v/>
      </c>
      <c r="AU296" s="90">
        <f>IF(AND(AS296&lt;&gt;"",AP296&lt;&gt;""),IF(AE296&lt;&gt;AE297,((AP296*24*60) / 2 ) * (1 + POWER(((AS296*24*60) / (AP296*24*60)),2)),""),"")</f>
        <v/>
      </c>
      <c r="AV296" s="90">
        <f>IF(AU296&lt;&gt;"",MAX(AT296,AU296),"")</f>
        <v/>
      </c>
      <c r="AW296" s="89">
        <f>IF(AM296&lt;&gt;"H. Sale Real",IF(AND(AM297&lt;&gt;"",LEFT(AG297,2)&lt;&gt;"Va"),IF(AND(AM296&lt;&gt;"",LEFT(AG296,2)&lt;&gt;"Va",AM296&lt;&gt;"H. Sale Real"),IF(AM297-AM296&lt;0.208333333333333,AM297-AM296,""),IF(AND(AM295&lt;&gt;"",LEFT(AG295,2)&lt;&gt;"Va",AM295&lt;&gt;"H. Sale Real"),IF(AM297-AM295&lt;0.208333333333333,AM297-AM295,""),IF(AND(AM294&lt;&gt;"",LEFT(AG294,2)&lt;&gt;"Va",AM294&lt;&gt;"H. Sale Real"),IF(AM297-AM294&lt;0.208333333333333,AM297-AM294,""),IF(AND(AM293&lt;&gt;"",LEFT(AG293,2)&lt;&gt;"Va",AM293&lt;&gt;"H. Sale Real"),IF(AM297-AM293&lt;0.208333333333333,AM297-AM293,""),IF(AND(AM292&lt;&gt;"",LEFT(AG292,2)&lt;&gt;"Va",AM292&lt;&gt;"H. Sale Real"),IF(AM297-AM292&lt;0.208333333333333,AM297-AM292,""),""))))),""),"")</f>
        <v/>
      </c>
      <c r="AX296" s="89">
        <f>IF(AK296&lt;&gt;"H. Sale Real",IF(AND(AK297&lt;&gt;"",LEFT(AG297,2)&lt;&gt;"Va"),IF(AND(AK296&lt;&gt;"",LEFT(AG296,2)&lt;&gt;"Va",AK296&lt;&gt;"H. Sale Real"),IF(AK297-AK296&lt;0.208333333333333,AK297-AK296,""),IF(AND(AK295&lt;&gt;"",LEFT(AG295,2)&lt;&gt;"Va",AK295&lt;&gt;"H. Sale Real"),IF(AK297-AK295&lt;0.208333333333333,AK297-AK295,""),IF(AND(AK294&lt;&gt;"",LEFT(AG294,2)&lt;&gt;"NC",AK294&lt;&gt;"H. Sale Real"),IF(AK297-AK294&lt;0.208333333333333,AK297-AK294,""),IF(AND(AK293&lt;&gt;"",LEFT(AG293,2)&lt;&gt;"Va",AK293&lt;&gt;"H. Sale Real"),IF(AK297-AK293&lt;0.208333333333333,AK297-AK293,""),IF(AND(AK292&lt;&gt;"",LEFT(AG292,2)&lt;&gt;"Va",AK292&lt;&gt;"H. Sale Real"),IF(AK297-AK292&lt;0.208333333333333,AK297-AK292,""),""))))),""),"")</f>
        <v/>
      </c>
      <c r="AY296" s="87" t="n"/>
      <c r="AZ296" s="89" t="n"/>
      <c r="BA296" s="87" t="n"/>
      <c r="BB296" s="89" t="n"/>
      <c r="BC296" s="91" t="n"/>
      <c r="BD296" s="122">
        <f>IF(AK296&lt;&gt;"",IF(AND(BD295&lt;&gt;"IE",AT296&lt;&gt;0,AV296&lt;&gt;""),IF(IFERROR((AT296/AV296),0) &lt;=1,IFERROR(AT296/AV296,""),1),""),"")</f>
        <v/>
      </c>
      <c r="BE296" s="93" t="n"/>
      <c r="BF296" s="105" t="n"/>
      <c r="FC296" t="inlineStr">
        <is>
          <t>Diccionario 1</t>
        </is>
      </c>
      <c r="FD296" s="15" t="n">
        <v>1295</v>
      </c>
      <c r="FE296" s="15" t="inlineStr">
        <is>
          <t>MDN35025020117</t>
        </is>
      </c>
      <c r="FF296" s="15" t="inlineStr">
        <is>
          <t>LDYECS310S0044022</t>
        </is>
      </c>
      <c r="FG296" s="15" t="inlineStr">
        <is>
          <t>Zhong Tong</t>
        </is>
      </c>
      <c r="FH296" s="15" t="inlineStr">
        <is>
          <t>Lck6122evg</t>
        </is>
      </c>
      <c r="FI296" s="15" t="inlineStr">
        <is>
          <t>ZHONGTONG</t>
        </is>
      </c>
      <c r="FJ296" s="15" t="inlineStr">
        <is>
          <t>LCK6122EVG</t>
        </is>
      </c>
      <c r="FK296" s="15" t="n">
        <v>2025</v>
      </c>
      <c r="FL296" s="15" t="inlineStr">
        <is>
          <t>B</t>
        </is>
      </c>
      <c r="FM296" s="15" t="inlineStr">
        <is>
          <t>PIE ANDINO</t>
        </is>
      </c>
      <c r="FN296" s="15" t="inlineStr">
        <is>
          <t>Pie Andino 31 (Pie Andino 383)</t>
        </is>
      </c>
      <c r="FO296" s="15" t="inlineStr">
        <is>
          <t>Puente Alto</t>
        </is>
      </c>
      <c r="FP296" t="inlineStr">
        <is>
          <t>B</t>
        </is>
      </c>
      <c r="FS296" s="14" t="inlineStr">
        <is>
          <t>3074 / SFWZ-17|</t>
        </is>
      </c>
      <c r="FT296" t="inlineStr">
        <is>
          <t>SFWZ-17|</t>
        </is>
      </c>
      <c r="FU296" t="inlineStr">
        <is>
          <t>SFWZ-17</t>
        </is>
      </c>
      <c r="FV296">
        <f>VLOOKUP(FU296,FD:FL,9,0)</f>
        <v/>
      </c>
      <c r="FZ296" s="51" t="n">
        <v>124</v>
      </c>
      <c r="GA296" s="43" t="n">
        <v>12.345</v>
      </c>
      <c r="GB296" s="43" t="n">
        <v>0</v>
      </c>
      <c r="GC296" s="43" t="n">
        <v>0</v>
      </c>
      <c r="GD296" s="43" t="n">
        <v>0</v>
      </c>
      <c r="GE296" s="43" t="n">
        <v>0</v>
      </c>
      <c r="GF296" s="43" t="n">
        <v>11.86</v>
      </c>
      <c r="GG296" s="43" t="n">
        <v>22.49</v>
      </c>
      <c r="GH296" s="43" t="n">
        <v>20.935</v>
      </c>
      <c r="GI296" s="43" t="n">
        <v>19.97</v>
      </c>
      <c r="GJ296" s="43" t="n">
        <v>18.62</v>
      </c>
      <c r="GK296" s="43" t="n">
        <v>17.14</v>
      </c>
      <c r="GL296" s="43" t="n">
        <v>16.14</v>
      </c>
      <c r="GM296" s="43" t="n">
        <v>15.725</v>
      </c>
      <c r="GN296" s="43" t="n">
        <v>15.22</v>
      </c>
      <c r="GO296" s="43" t="n">
        <v>14.865</v>
      </c>
      <c r="GP296" s="43" t="n">
        <v>15.19</v>
      </c>
      <c r="GQ296" s="43" t="n">
        <v>15.57</v>
      </c>
      <c r="GR296" s="43" t="n">
        <v>15.625</v>
      </c>
      <c r="GS296" s="43" t="n">
        <v>15.925</v>
      </c>
      <c r="GT296" s="43" t="n">
        <v>16.88</v>
      </c>
      <c r="GU296" s="43" t="n">
        <v>17.755</v>
      </c>
      <c r="GV296" s="43" t="n">
        <v>18.995</v>
      </c>
      <c r="GW296" s="43" t="n">
        <v>21.38</v>
      </c>
      <c r="GX296" s="43" t="n">
        <v>24.4</v>
      </c>
      <c r="HA296" s="35" t="n">
        <v>66</v>
      </c>
      <c r="HB296" s="35" t="n">
        <v>290</v>
      </c>
    </row>
    <row r="297" ht="15.5" customHeight="1">
      <c r="A297" s="10">
        <f>HOUR(G297)+1</f>
        <v/>
      </c>
      <c r="B297" s="7" t="n"/>
      <c r="C297" s="7" t="n"/>
      <c r="D297" s="85">
        <f>IFERROR(
IF(AND(OR(Planilla!B297="C",Planilla!B297="c"), VLOOKUP(E297,FD:FP,13,0)="C"), "OK",IF(AND(OR(Planilla!B297="C",Planilla!B297="c"), OR(VLOOKUP(E297,FD:FP,13,0)="B", VLOOKUP(E297,FD:FP,13,0)="A")), "DEFICIT",IF(
AND(OR(Planilla!B297="B", Planilla!B297="BPAL"), VLOOKUP(E297,FD:FP,13,0)="B"), "OK",IF(AND(OR(Planilla!B297="B", Planilla!B297="BPAL"), VLOOKUP(E297,FD:FP,13,0)="A"), "DEFICIT",IF(AND(OR(Planilla!B297="B", Planilla!B297="BPAL"), VLOOKUP(E297,FD:FP,13,0)="C"), "SOBREOFERTA",IF(AND(Planilla!B297="A", VLOOKUP(E297,FD:FP,13,0)="A"), "OK",IF(
AND(Planilla!B297="A", OR(VLOOKUP(E297,FD:FP,13,0)="B", VLOOKUP(E297,FD:FP,13,0)="C")), "SOBREOFERTA",""
))))))),"")</f>
        <v/>
      </c>
      <c r="E297" s="8" t="n"/>
      <c r="F297" s="86" t="n"/>
      <c r="G297" s="87" t="n"/>
      <c r="H297" s="88">
        <f>IF(I297="","",IF(AND((I297-G297)&gt;=TIME(0,0,0),(I297-G297)&lt;TIME(0,3,0)),"OK",IF(AND((I297-G297)&gt;=TIME(0,3,0),(I297-G297)&lt;TIME(0,5,0)),"RETRASO DE 3-5 MIN",IF(AND((I297-G297)&gt;=TIME(0,5,0),(I297-G297)&lt;TIME(0,10,0)),"RETRASO DE 5-10 MIN",IF((I297-G297)&gt;=TIME(0,10,0),"RETRASO &gt;10 MIN", IF(AND((G297-I297)&gt;=TIME(0,0,0),(G297-I297)&lt;TIME(0,3,0)),"OK",IF((G297-I297)&gt;=TIME(0,3,0),"ADELANTADO")))))))</f>
        <v/>
      </c>
      <c r="I297" s="89" t="n"/>
      <c r="J297" s="89">
        <f>IF(A297&lt;&gt;"",HLOOKUP(VALUE(TEXT(G297,"h:mm:ss")),IF($C$6="Laboral",$FZ$4:$GX$227,IF($C$6="Sábado",$FZ$231:$GX$452,$FZ$456:$GX$656)),VLOOKUP($C$4,$HF$2:$HH$99,3,0)+IF(C$5="Ida",0,1),1),"")</f>
        <v/>
      </c>
      <c r="K297" s="89">
        <f>IF(A298&lt;&gt;A297,AVERAGEIF(A$9:A297,A297,J$9:J297),"")</f>
        <v/>
      </c>
      <c r="L297" s="89">
        <f>IFERROR(IF(A298&lt;&gt;A297,AVERAGEIF(A$9:A297,A297,S$9:S297),""),"")</f>
        <v/>
      </c>
      <c r="M297" s="89">
        <f>IFERROR(IF(A298&lt;&gt;A297,AVERAGEIF(A$9:A297,A297,T$9:T297),""),"")</f>
        <v/>
      </c>
      <c r="N297" s="89">
        <f t="array" ref="N297">IFERROR(IF(A298&lt;&gt;A297,_xlfn.STDEV.P(IF(A$9:A297=A297,T$9:T297)),""),"")</f>
        <v/>
      </c>
      <c r="O297" s="89">
        <f t="array" ref="O297">IFERROR(IF(A298&lt;&gt;A297,_xlfn.STDEV.P(IF(A$9:A297=A297,S$9:S297)),""),"")</f>
        <v/>
      </c>
      <c r="P297" s="90">
        <f>IFERROR(IF(A297&lt;&gt;A298,MAX((((M297*24*60)/2)*(1+POWER((((N297*24*60) / (M297*24*60) )),2))) + ((M297*24*60 )*-0.1 + (K297*0.015)) +1,(((M297*24*60)/2)*(1+POWER((((N297*24*60) / (M297*24*60 ))),2)))),""),"")</f>
        <v/>
      </c>
      <c r="Q297" s="90">
        <f>IF(AND(O297&lt;&gt;"",L297&lt;&gt;""),IF(A297&lt;&gt;A298,((L297*24*60) / 2 ) * (1 + POWER(((O297*24*60) / (L297*24*60)),2)),""),"")</f>
        <v/>
      </c>
      <c r="R297" s="90">
        <f>IF(Q297&lt;&gt;"",MAX(P297,Q297),"")</f>
        <v/>
      </c>
      <c r="S297" s="89">
        <f>IF(I297&lt;&gt;"H. Sale Real",IF(AND(I298&lt;&gt;"",LEFT(C298,2)&lt;&gt;"Va"),IF(AND(I297&lt;&gt;"",LEFT(C297,2)&lt;&gt;"Va",I297&lt;&gt;"H. Sale Real"),IF(I298-I297&lt;0.208333333333333,I298-I297,""),IF(AND(I296&lt;&gt;"",LEFT(C296,2)&lt;&gt;"Va",I296&lt;&gt;"H. Sale Real"),IF(I298-I296&lt;0.208333333333333,I298-I296,""),IF(AND(I295&lt;&gt;"",LEFT(C295,2)&lt;&gt;"Va",I295&lt;&gt;"H. Sale Real"),IF(I298-I295&lt;0.208333333333333,I298-I295,""),IF(AND(I294&lt;&gt;"",LEFT(C294,2)&lt;&gt;"Va",I294&lt;&gt;"H. Sale Real"),IF(I298-I294&lt;0.208333333333333,I298-I294,""),IF(AND(I293&lt;&gt;"",LEFT(C293,2)&lt;&gt;"Va",I293&lt;&gt;"H. Sale Real"),IF(I298-I293&lt;0.208333333333333,I298-I293,""),""))))),""),"")</f>
        <v/>
      </c>
      <c r="T297" s="89">
        <f>IF(G297&lt;&gt;"H. Sale Real",IF(AND(G298&lt;&gt;"",LEFT(C298,2)&lt;&gt;"Va"),IF(AND(G297&lt;&gt;"",LEFT(C297,2)&lt;&gt;"Va",G297&lt;&gt;"H. Sale Real"),IF(G298-G297&lt;0.208333333333333,G298-G297,""),IF(AND(G296&lt;&gt;"",LEFT(C296,2)&lt;&gt;"Va",G296&lt;&gt;"H. Sale Real"),IF(G298-G296&lt;0.208333333333333,G298-G296,""),IF(AND(G295&lt;&gt;"",LEFT(C295,2)&lt;&gt;"Va",G295&lt;&gt;"H. Sale Real"),IF(G298-G295&lt;0.208333333333333,G298-G295,""),IF(AND(G294&lt;&gt;"",LEFT(C294,2)&lt;&gt;"Va",G294&lt;&gt;"H. Sale Real"),IF(G298-G294&lt;0.208333333333333,G298-G294,""),IF(AND(G293&lt;&gt;"",LEFT(C293,2)&lt;&gt;"Va",G293&lt;&gt;"H. Sale Real"),IF(G298-G293&lt;0.208333333333333,G298-G293,""),""))))),""),"")</f>
        <v/>
      </c>
      <c r="U297" s="87" t="n"/>
      <c r="V297" s="89" t="n"/>
      <c r="W297" s="87" t="n"/>
      <c r="X297" s="89" t="n"/>
      <c r="Y297" s="91" t="n"/>
      <c r="Z297" s="122">
        <f>IF(G297&lt;&gt;"",IF(AND(Z296&lt;&gt;"IE",P297&lt;&gt;0,R297&lt;&gt;""),IF(IFERROR((P297/R297),0) &lt;=1,IFERROR(P297/R297,""),1),""),"")</f>
        <v/>
      </c>
      <c r="AA297" s="93" t="n"/>
      <c r="AB297" s="2" t="n"/>
      <c r="AE297" s="10">
        <f>HOUR(AK297)+1</f>
        <v/>
      </c>
      <c r="AF297" s="7" t="n"/>
      <c r="AG297" s="7" t="n"/>
      <c r="AH297" s="86" t="n"/>
      <c r="AI297" s="8" t="n"/>
      <c r="AJ297" s="86" t="n"/>
      <c r="AK297" s="87" t="n"/>
      <c r="AL297" s="88">
        <f>IF(AM297="","",IF(AND((AM297-AK297)&gt;=TIME(0,0,0),(AM297-AK297)&lt;TIME(0,3,0)),"OK",IF(AND((AM297-AK297)&gt;=TIME(0,3,0),(AM297-AK297)&lt;TIME(0,5,0)),"RETRASO DE 3-5 MIN",IF(AND((AM297-AK297)&gt;=TIME(0,5,0),(AM297-AK297)&lt;TIME(0,10,0)),"RETRASO DE 5-10 MIN",IF((AM297-AK297)&gt;=TIME(0,10,0),"RETRASO &gt;10 MIN", IF(AND((AK297-AM297)&gt;=TIME(0,0,0),(AK297-AM297)&lt;TIME(0,3,0)),"OK",IF((AK297-AM297)&gt;=TIME(0,3,0),"ADELANTADO")))))))</f>
        <v/>
      </c>
      <c r="AM297" s="91" t="n"/>
      <c r="AN297" s="89">
        <f>IF(AE297&lt;&gt;"",HLOOKUP(VALUE(TEXT(AK297,"h:mm:ss")),IF($C$6="Laboral",$FZ$4:$GX$227,IF($C$6="Sábado",$FZ$231:$GX$452,$FZ$456:$GX$656)),VLOOKUP($C$4,$HF$2:$HH$99,3,0)+IF(AG$5="Ida",0,1),1),"")</f>
        <v/>
      </c>
      <c r="AO297" s="89">
        <f>IF(AE298&lt;&gt;AE297,AVERAGEIF(AE$9:AE297,AE297,AN$9:AN297),"")</f>
        <v/>
      </c>
      <c r="AP297" s="89">
        <f>IFERROR(IF(AE298&lt;&gt;AE297,AVERAGEIF(AE$9:AE297,AE297,AW$9:AW297),""),"")</f>
        <v/>
      </c>
      <c r="AQ297" s="89">
        <f>IFERROR(IF(AE298&lt;&gt;AE297,AVERAGEIF(AE$9:AE297,AE297,AX$9:AX297),""),"")</f>
        <v/>
      </c>
      <c r="AR297" s="89">
        <f t="array" ref="AR297">IFERROR(IF(AE298&lt;&gt;AE297,_xlfn.STDEV.P(IF(AE$9:AE297=AE297,AX$9:AX297)),""),"")</f>
        <v/>
      </c>
      <c r="AS297" s="89">
        <f t="array" ref="AS297">IFERROR(IF(AE298&lt;&gt;AE297,_xlfn.STDEV.P(IF(AE$9:AE297=AE297,AW$9:AW297)),""),"")</f>
        <v/>
      </c>
      <c r="AT297" s="90">
        <f>IFERROR(IF(AE297&lt;&gt;AE298,MAX((((AQ297*24*60)/2)*(1+POWER((((AR297*24*60) / (AQ297*24*60) )),2))) + ((AQ297*24*60 )*-0.1 + (AO297*0.015)) +1,(((AQ297*24*60)/2)*(1+POWER((((AR297*24*60) / (AQ297*24*60 ))),2)))),""),"")</f>
        <v/>
      </c>
      <c r="AU297" s="90">
        <f>IF(AND(AS297&lt;&gt;"",AP297&lt;&gt;""),IF(AE297&lt;&gt;AE298,((AP297*24*60) / 2 ) * (1 + POWER(((AS297*24*60) / (AP297*24*60)),2)),""),"")</f>
        <v/>
      </c>
      <c r="AV297" s="90">
        <f>IF(AU297&lt;&gt;"",MAX(AT297,AU297),"")</f>
        <v/>
      </c>
      <c r="AW297" s="89">
        <f>IF(AM297&lt;&gt;"H. Sale Real",IF(AND(AM298&lt;&gt;"",LEFT(AG298,2)&lt;&gt;"Va"),IF(AND(AM297&lt;&gt;"",LEFT(AG297,2)&lt;&gt;"Va",AM297&lt;&gt;"H. Sale Real"),IF(AM298-AM297&lt;0.208333333333333,AM298-AM297,""),IF(AND(AM296&lt;&gt;"",LEFT(AG296,2)&lt;&gt;"Va",AM296&lt;&gt;"H. Sale Real"),IF(AM298-AM296&lt;0.208333333333333,AM298-AM296,""),IF(AND(AM295&lt;&gt;"",LEFT(AG295,2)&lt;&gt;"Va",AM295&lt;&gt;"H. Sale Real"),IF(AM298-AM295&lt;0.208333333333333,AM298-AM295,""),IF(AND(AM294&lt;&gt;"",LEFT(AG294,2)&lt;&gt;"Va",AM294&lt;&gt;"H. Sale Real"),IF(AM298-AM294&lt;0.208333333333333,AM298-AM294,""),IF(AND(AM293&lt;&gt;"",LEFT(AG293,2)&lt;&gt;"Va",AM293&lt;&gt;"H. Sale Real"),IF(AM298-AM293&lt;0.208333333333333,AM298-AM293,""),""))))),""),"")</f>
        <v/>
      </c>
      <c r="AX297" s="89">
        <f>IF(AK297&lt;&gt;"H. Sale Real",IF(AND(AK298&lt;&gt;"",LEFT(AG298,2)&lt;&gt;"Va"),IF(AND(AK297&lt;&gt;"",LEFT(AG297,2)&lt;&gt;"Va",AK297&lt;&gt;"H. Sale Real"),IF(AK298-AK297&lt;0.208333333333333,AK298-AK297,""),IF(AND(AK296&lt;&gt;"",LEFT(AG296,2)&lt;&gt;"Va",AK296&lt;&gt;"H. Sale Real"),IF(AK298-AK296&lt;0.208333333333333,AK298-AK296,""),IF(AND(AK295&lt;&gt;"",LEFT(AG295,2)&lt;&gt;"NC",AK295&lt;&gt;"H. Sale Real"),IF(AK298-AK295&lt;0.208333333333333,AK298-AK295,""),IF(AND(AK294&lt;&gt;"",LEFT(AG294,2)&lt;&gt;"Va",AK294&lt;&gt;"H. Sale Real"),IF(AK298-AK294&lt;0.208333333333333,AK298-AK294,""),IF(AND(AK293&lt;&gt;"",LEFT(AG293,2)&lt;&gt;"Va",AK293&lt;&gt;"H. Sale Real"),IF(AK298-AK293&lt;0.208333333333333,AK298-AK293,""),""))))),""),"")</f>
        <v/>
      </c>
      <c r="AY297" s="87" t="n"/>
      <c r="AZ297" s="89" t="n"/>
      <c r="BA297" s="87" t="n"/>
      <c r="BB297" s="89" t="n"/>
      <c r="BC297" s="91" t="n"/>
      <c r="BD297" s="122">
        <f>IF(AK297&lt;&gt;"",IF(AND(BD296&lt;&gt;"IE",AT297&lt;&gt;0,AV297&lt;&gt;""),IF(IFERROR((AT297/AV297),0) &lt;=1,IFERROR(AT297/AV297,""),1),""),"")</f>
        <v/>
      </c>
      <c r="BE297" s="93" t="n"/>
      <c r="BF297" s="105" t="n"/>
      <c r="FC297" t="inlineStr">
        <is>
          <t>Diccionario 1</t>
        </is>
      </c>
      <c r="FD297" s="15" t="n">
        <v>1296</v>
      </c>
      <c r="FE297" s="15" t="inlineStr">
        <is>
          <t>MDN35025020006</t>
        </is>
      </c>
      <c r="FF297" s="15" t="inlineStr">
        <is>
          <t>LDYECS316S0044073</t>
        </is>
      </c>
      <c r="FG297" s="15" t="inlineStr">
        <is>
          <t>Zhong Tong</t>
        </is>
      </c>
      <c r="FH297" s="15" t="inlineStr">
        <is>
          <t>Lck6122evg</t>
        </is>
      </c>
      <c r="FI297" s="15" t="inlineStr">
        <is>
          <t>ZHONGTONG</t>
        </is>
      </c>
      <c r="FJ297" s="15" t="inlineStr">
        <is>
          <t>LCK6122EVG</t>
        </is>
      </c>
      <c r="FK297" s="15" t="n">
        <v>2025</v>
      </c>
      <c r="FL297" s="15" t="inlineStr">
        <is>
          <t>B</t>
        </is>
      </c>
      <c r="FM297" s="15" t="inlineStr">
        <is>
          <t>PIE ANDINO</t>
        </is>
      </c>
      <c r="FN297" s="15" t="inlineStr">
        <is>
          <t>Pie Andino 31 (Pie Andino 383)</t>
        </is>
      </c>
      <c r="FO297" s="15" t="inlineStr">
        <is>
          <t>Puente Alto</t>
        </is>
      </c>
      <c r="FP297" t="inlineStr">
        <is>
          <t>B</t>
        </is>
      </c>
      <c r="FS297" s="14" t="inlineStr">
        <is>
          <t>3074 / SFWZ-17|</t>
        </is>
      </c>
      <c r="FT297" t="inlineStr">
        <is>
          <t>SFWZ-17|</t>
        </is>
      </c>
      <c r="FU297" t="inlineStr">
        <is>
          <t>SFWZ-17</t>
        </is>
      </c>
      <c r="FV297">
        <f>VLOOKUP(FU297,FD:FL,9,0)</f>
        <v/>
      </c>
      <c r="FZ297" s="51" t="n">
        <v>124</v>
      </c>
      <c r="GA297" s="43" t="n">
        <v>0</v>
      </c>
      <c r="GB297" s="43" t="n">
        <v>0</v>
      </c>
      <c r="GC297" s="43" t="n">
        <v>0</v>
      </c>
      <c r="GD297" s="43" t="n">
        <v>13.55</v>
      </c>
      <c r="GE297" s="43" t="n">
        <v>27.44</v>
      </c>
      <c r="GF297" s="43" t="n">
        <v>25.305</v>
      </c>
      <c r="GG297" s="43" t="n">
        <v>22.155</v>
      </c>
      <c r="GH297" s="43" t="n">
        <v>20.79</v>
      </c>
      <c r="GI297" s="43" t="n">
        <v>18.94</v>
      </c>
      <c r="GJ297" s="43" t="n">
        <v>17.59</v>
      </c>
      <c r="GK297" s="43" t="n">
        <v>17.275</v>
      </c>
      <c r="GL297" s="43" t="n">
        <v>16.555</v>
      </c>
      <c r="GM297" s="43" t="n">
        <v>15.575</v>
      </c>
      <c r="GN297" s="43" t="n">
        <v>15.94</v>
      </c>
      <c r="GO297" s="43" t="n">
        <v>16.36</v>
      </c>
      <c r="GP297" s="43" t="n">
        <v>16.465</v>
      </c>
      <c r="GQ297" s="43" t="n">
        <v>16.225</v>
      </c>
      <c r="GR297" s="43" t="n">
        <v>16.215</v>
      </c>
      <c r="GS297" s="43" t="n">
        <v>16.97</v>
      </c>
      <c r="GT297" s="43" t="n">
        <v>18.5</v>
      </c>
      <c r="GU297" s="43" t="n">
        <v>20.28</v>
      </c>
      <c r="GV297" s="43" t="n">
        <v>21.53</v>
      </c>
      <c r="GW297" s="43" t="n">
        <v>23.515</v>
      </c>
      <c r="GX297" s="43" t="n">
        <v>25.65</v>
      </c>
      <c r="HA297" s="35" t="n">
        <v>67</v>
      </c>
      <c r="HB297" s="35" t="n">
        <v>291</v>
      </c>
    </row>
    <row r="298" ht="15.5" customHeight="1">
      <c r="A298" s="10">
        <f>HOUR(G298)+1</f>
        <v/>
      </c>
      <c r="B298" s="7" t="n"/>
      <c r="C298" s="7" t="n"/>
      <c r="D298" s="85">
        <f>IFERROR(
IF(AND(OR(Planilla!B298="C",Planilla!B298="c"), VLOOKUP(E298,FD:FP,13,0)="C"), "OK",IF(AND(OR(Planilla!B298="C",Planilla!B298="c"), OR(VLOOKUP(E298,FD:FP,13,0)="B", VLOOKUP(E298,FD:FP,13,0)="A")), "DEFICIT",IF(
AND(OR(Planilla!B298="B", Planilla!B298="BPAL"), VLOOKUP(E298,FD:FP,13,0)="B"), "OK",IF(AND(OR(Planilla!B298="B", Planilla!B298="BPAL"), VLOOKUP(E298,FD:FP,13,0)="A"), "DEFICIT",IF(AND(OR(Planilla!B298="B", Planilla!B298="BPAL"), VLOOKUP(E298,FD:FP,13,0)="C"), "SOBREOFERTA",IF(AND(Planilla!B298="A", VLOOKUP(E298,FD:FP,13,0)="A"), "OK",IF(
AND(Planilla!B298="A", OR(VLOOKUP(E298,FD:FP,13,0)="B", VLOOKUP(E298,FD:FP,13,0)="C")), "SOBREOFERTA",""
))))))),"")</f>
        <v/>
      </c>
      <c r="E298" s="8" t="n"/>
      <c r="F298" s="86" t="n"/>
      <c r="G298" s="87" t="n"/>
      <c r="H298" s="88">
        <f>IF(I298="","",IF(AND((I298-G298)&gt;=TIME(0,0,0),(I298-G298)&lt;TIME(0,3,0)),"OK",IF(AND((I298-G298)&gt;=TIME(0,3,0),(I298-G298)&lt;TIME(0,5,0)),"RETRASO DE 3-5 MIN",IF(AND((I298-G298)&gt;=TIME(0,5,0),(I298-G298)&lt;TIME(0,10,0)),"RETRASO DE 5-10 MIN",IF((I298-G298)&gt;=TIME(0,10,0),"RETRASO &gt;10 MIN", IF(AND((G298-I298)&gt;=TIME(0,0,0),(G298-I298)&lt;TIME(0,3,0)),"OK",IF((G298-I298)&gt;=TIME(0,3,0),"ADELANTADO")))))))</f>
        <v/>
      </c>
      <c r="I298" s="89" t="n"/>
      <c r="J298" s="89">
        <f>IF(A298&lt;&gt;"",HLOOKUP(VALUE(TEXT(G298,"h:mm:ss")),IF($C$6="Laboral",$FZ$4:$GX$227,IF($C$6="Sábado",$FZ$231:$GX$452,$FZ$456:$GX$656)),VLOOKUP($C$4,$HF$2:$HH$99,3,0)+IF(C$5="Ida",0,1),1),"")</f>
        <v/>
      </c>
      <c r="K298" s="89">
        <f>IF(A299&lt;&gt;A298,AVERAGEIF(A$9:A298,A298,J$9:J298),"")</f>
        <v/>
      </c>
      <c r="L298" s="89">
        <f>IFERROR(IF(A299&lt;&gt;A298,AVERAGEIF(A$9:A298,A298,S$9:S298),""),"")</f>
        <v/>
      </c>
      <c r="M298" s="89">
        <f>IFERROR(IF(A299&lt;&gt;A298,AVERAGEIF(A$9:A298,A298,T$9:T298),""),"")</f>
        <v/>
      </c>
      <c r="N298" s="89">
        <f t="array" ref="N298">IFERROR(IF(A299&lt;&gt;A298,_xlfn.STDEV.P(IF(A$9:A298=A298,T$9:T298)),""),"")</f>
        <v/>
      </c>
      <c r="O298" s="89">
        <f t="array" ref="O298">IFERROR(IF(A299&lt;&gt;A298,_xlfn.STDEV.P(IF(A$9:A298=A298,S$9:S298)),""),"")</f>
        <v/>
      </c>
      <c r="P298" s="90">
        <f>IFERROR(IF(A298&lt;&gt;A299,MAX((((M298*24*60)/2)*(1+POWER((((N298*24*60) / (M298*24*60) )),2))) + ((M298*24*60 )*-0.1 + (K298*0.015)) +1,(((M298*24*60)/2)*(1+POWER((((N298*24*60) / (M298*24*60 ))),2)))),""),"")</f>
        <v/>
      </c>
      <c r="Q298" s="90">
        <f>IF(AND(O298&lt;&gt;"",L298&lt;&gt;""),IF(A298&lt;&gt;A299,((L298*24*60) / 2 ) * (1 + POWER(((O298*24*60) / (L298*24*60)),2)),""),"")</f>
        <v/>
      </c>
      <c r="R298" s="90">
        <f>IF(Q298&lt;&gt;"",MAX(P298,Q298),"")</f>
        <v/>
      </c>
      <c r="S298" s="89">
        <f>IF(I298&lt;&gt;"H. Sale Real",IF(AND(I299&lt;&gt;"",LEFT(C299,2)&lt;&gt;"Va"),IF(AND(I298&lt;&gt;"",LEFT(C298,2)&lt;&gt;"Va",I298&lt;&gt;"H. Sale Real"),IF(I299-I298&lt;0.208333333333333,I299-I298,""),IF(AND(I297&lt;&gt;"",LEFT(C297,2)&lt;&gt;"Va",I297&lt;&gt;"H. Sale Real"),IF(I299-I297&lt;0.208333333333333,I299-I297,""),IF(AND(I296&lt;&gt;"",LEFT(C296,2)&lt;&gt;"Va",I296&lt;&gt;"H. Sale Real"),IF(I299-I296&lt;0.208333333333333,I299-I296,""),IF(AND(I295&lt;&gt;"",LEFT(C295,2)&lt;&gt;"Va",I295&lt;&gt;"H. Sale Real"),IF(I299-I295&lt;0.208333333333333,I299-I295,""),IF(AND(I294&lt;&gt;"",LEFT(C294,2)&lt;&gt;"Va",I294&lt;&gt;"H. Sale Real"),IF(I299-I294&lt;0.208333333333333,I299-I294,""),""))))),""),"")</f>
        <v/>
      </c>
      <c r="T298" s="89">
        <f>IF(G298&lt;&gt;"H. Sale Real",IF(AND(G299&lt;&gt;"",LEFT(C299,2)&lt;&gt;"Va"),IF(AND(G298&lt;&gt;"",LEFT(C298,2)&lt;&gt;"Va",G298&lt;&gt;"H. Sale Real"),IF(G299-G298&lt;0.208333333333333,G299-G298,""),IF(AND(G297&lt;&gt;"",LEFT(C297,2)&lt;&gt;"Va",G297&lt;&gt;"H. Sale Real"),IF(G299-G297&lt;0.208333333333333,G299-G297,""),IF(AND(G296&lt;&gt;"",LEFT(C296,2)&lt;&gt;"Va",G296&lt;&gt;"H. Sale Real"),IF(G299-G296&lt;0.208333333333333,G299-G296,""),IF(AND(G295&lt;&gt;"",LEFT(C295,2)&lt;&gt;"Va",G295&lt;&gt;"H. Sale Real"),IF(G299-G295&lt;0.208333333333333,G299-G295,""),IF(AND(G294&lt;&gt;"",LEFT(C294,2)&lt;&gt;"Va",G294&lt;&gt;"H. Sale Real"),IF(G299-G294&lt;0.208333333333333,G299-G294,""),""))))),""),"")</f>
        <v/>
      </c>
      <c r="U298" s="87" t="n"/>
      <c r="V298" s="89" t="n"/>
      <c r="W298" s="87" t="n"/>
      <c r="X298" s="89" t="n"/>
      <c r="Y298" s="91" t="n"/>
      <c r="Z298" s="122">
        <f>IF(G298&lt;&gt;"",IF(AND(Z297&lt;&gt;"IE",P298&lt;&gt;0,R298&lt;&gt;""),IF(IFERROR((P298/R298),0) &lt;=1,IFERROR(P298/R298,""),1),""),"")</f>
        <v/>
      </c>
      <c r="AA298" s="93" t="n"/>
      <c r="AB298" s="2" t="n"/>
      <c r="AE298" s="10">
        <f>HOUR(AK298)+1</f>
        <v/>
      </c>
      <c r="AF298" s="7" t="n"/>
      <c r="AG298" s="7" t="n"/>
      <c r="AH298" s="86" t="n"/>
      <c r="AI298" s="8" t="n"/>
      <c r="AJ298" s="86" t="n"/>
      <c r="AK298" s="87" t="n"/>
      <c r="AL298" s="88">
        <f>IF(AM298="","",IF(AND((AM298-AK298)&gt;=TIME(0,0,0),(AM298-AK298)&lt;TIME(0,3,0)),"OK",IF(AND((AM298-AK298)&gt;=TIME(0,3,0),(AM298-AK298)&lt;TIME(0,5,0)),"RETRASO DE 3-5 MIN",IF(AND((AM298-AK298)&gt;=TIME(0,5,0),(AM298-AK298)&lt;TIME(0,10,0)),"RETRASO DE 5-10 MIN",IF((AM298-AK298)&gt;=TIME(0,10,0),"RETRASO &gt;10 MIN", IF(AND((AK298-AM298)&gt;=TIME(0,0,0),(AK298-AM298)&lt;TIME(0,3,0)),"OK",IF((AK298-AM298)&gt;=TIME(0,3,0),"ADELANTADO")))))))</f>
        <v/>
      </c>
      <c r="AM298" s="91" t="n"/>
      <c r="AN298" s="89">
        <f>IF(AE298&lt;&gt;"",HLOOKUP(VALUE(TEXT(AK298,"h:mm:ss")),IF($C$6="Laboral",$FZ$4:$GX$227,IF($C$6="Sábado",$FZ$231:$GX$452,$FZ$456:$GX$656)),VLOOKUP($C$4,$HF$2:$HH$99,3,0)+IF(AG$5="Ida",0,1),1),"")</f>
        <v/>
      </c>
      <c r="AO298" s="89">
        <f>IF(AE299&lt;&gt;AE298,AVERAGEIF(AE$9:AE298,AE298,AN$9:AN298),"")</f>
        <v/>
      </c>
      <c r="AP298" s="89">
        <f>IFERROR(IF(AE299&lt;&gt;AE298,AVERAGEIF(AE$9:AE298,AE298,AW$9:AW298),""),"")</f>
        <v/>
      </c>
      <c r="AQ298" s="89">
        <f>IFERROR(IF(AE299&lt;&gt;AE298,AVERAGEIF(AE$9:AE298,AE298,AX$9:AX298),""),"")</f>
        <v/>
      </c>
      <c r="AR298" s="89">
        <f t="array" ref="AR298">IFERROR(IF(AE299&lt;&gt;AE298,_xlfn.STDEV.P(IF(AE$9:AE298=AE298,AX$9:AX298)),""),"")</f>
        <v/>
      </c>
      <c r="AS298" s="89">
        <f t="array" ref="AS298">IFERROR(IF(AE299&lt;&gt;AE298,_xlfn.STDEV.P(IF(AE$9:AE298=AE298,AW$9:AW298)),""),"")</f>
        <v/>
      </c>
      <c r="AT298" s="90">
        <f>IFERROR(IF(AE298&lt;&gt;AE299,MAX((((AQ298*24*60)/2)*(1+POWER((((AR298*24*60) / (AQ298*24*60) )),2))) + ((AQ298*24*60 )*-0.1 + (AO298*0.015)) +1,(((AQ298*24*60)/2)*(1+POWER((((AR298*24*60) / (AQ298*24*60 ))),2)))),""),"")</f>
        <v/>
      </c>
      <c r="AU298" s="90">
        <f>IF(AND(AS298&lt;&gt;"",AP298&lt;&gt;""),IF(AE298&lt;&gt;AE299,((AP298*24*60) / 2 ) * (1 + POWER(((AS298*24*60) / (AP298*24*60)),2)),""),"")</f>
        <v/>
      </c>
      <c r="AV298" s="90">
        <f>IF(AU298&lt;&gt;"",MAX(AT298,AU298),"")</f>
        <v/>
      </c>
      <c r="AW298" s="89">
        <f>IF(AM298&lt;&gt;"H. Sale Real",IF(AND(AM299&lt;&gt;"",LEFT(AG299,2)&lt;&gt;"Va"),IF(AND(AM298&lt;&gt;"",LEFT(AG298,2)&lt;&gt;"Va",AM298&lt;&gt;"H. Sale Real"),IF(AM299-AM298&lt;0.208333333333333,AM299-AM298,""),IF(AND(AM297&lt;&gt;"",LEFT(AG297,2)&lt;&gt;"Va",AM297&lt;&gt;"H. Sale Real"),IF(AM299-AM297&lt;0.208333333333333,AM299-AM297,""),IF(AND(AM296&lt;&gt;"",LEFT(AG296,2)&lt;&gt;"Va",AM296&lt;&gt;"H. Sale Real"),IF(AM299-AM296&lt;0.208333333333333,AM299-AM296,""),IF(AND(AM295&lt;&gt;"",LEFT(AG295,2)&lt;&gt;"Va",AM295&lt;&gt;"H. Sale Real"),IF(AM299-AM295&lt;0.208333333333333,AM299-AM295,""),IF(AND(AM294&lt;&gt;"",LEFT(AG294,2)&lt;&gt;"Va",AM294&lt;&gt;"H. Sale Real"),IF(AM299-AM294&lt;0.208333333333333,AM299-AM294,""),""))))),""),"")</f>
        <v/>
      </c>
      <c r="AX298" s="89">
        <f>IF(AK298&lt;&gt;"H. Sale Real",IF(AND(AK299&lt;&gt;"",LEFT(AG299,2)&lt;&gt;"Va"),IF(AND(AK298&lt;&gt;"",LEFT(AG298,2)&lt;&gt;"Va",AK298&lt;&gt;"H. Sale Real"),IF(AK299-AK298&lt;0.208333333333333,AK299-AK298,""),IF(AND(AK297&lt;&gt;"",LEFT(AG297,2)&lt;&gt;"Va",AK297&lt;&gt;"H. Sale Real"),IF(AK299-AK297&lt;0.208333333333333,AK299-AK297,""),IF(AND(AK296&lt;&gt;"",LEFT(AG296,2)&lt;&gt;"NC",AK296&lt;&gt;"H. Sale Real"),IF(AK299-AK296&lt;0.208333333333333,AK299-AK296,""),IF(AND(AK295&lt;&gt;"",LEFT(AG295,2)&lt;&gt;"Va",AK295&lt;&gt;"H. Sale Real"),IF(AK299-AK295&lt;0.208333333333333,AK299-AK295,""),IF(AND(AK294&lt;&gt;"",LEFT(AG294,2)&lt;&gt;"Va",AK294&lt;&gt;"H. Sale Real"),IF(AK299-AK294&lt;0.208333333333333,AK299-AK294,""),""))))),""),"")</f>
        <v/>
      </c>
      <c r="AY298" s="87" t="n"/>
      <c r="AZ298" s="89" t="n"/>
      <c r="BA298" s="87" t="n"/>
      <c r="BB298" s="89" t="n"/>
      <c r="BC298" s="91" t="n"/>
      <c r="BD298" s="122">
        <f>IF(AK298&lt;&gt;"",IF(AND(BD297&lt;&gt;"IE",AT298&lt;&gt;0,AV298&lt;&gt;""),IF(IFERROR((AT298/AV298),0) &lt;=1,IFERROR(AT298/AV298,""),1),""),"")</f>
        <v/>
      </c>
      <c r="BE298" s="93" t="n"/>
      <c r="BF298" s="105" t="n"/>
      <c r="FC298" t="inlineStr">
        <is>
          <t>Diccionario 1</t>
        </is>
      </c>
      <c r="FD298" s="15" t="n">
        <v>1297</v>
      </c>
      <c r="FE298" s="15" t="inlineStr">
        <is>
          <t>MDN35025020062</t>
        </is>
      </c>
      <c r="FF298" s="15" t="inlineStr">
        <is>
          <t>LDYECS312S0044006</t>
        </is>
      </c>
      <c r="FG298" s="15" t="inlineStr">
        <is>
          <t>Zhong Tong</t>
        </is>
      </c>
      <c r="FH298" s="15" t="inlineStr">
        <is>
          <t>Lck6122evg</t>
        </is>
      </c>
      <c r="FI298" s="15" t="inlineStr">
        <is>
          <t>ZHONGTONG</t>
        </is>
      </c>
      <c r="FJ298" s="15" t="inlineStr">
        <is>
          <t>LCK6122EVG</t>
        </is>
      </c>
      <c r="FK298" s="15" t="n">
        <v>2025</v>
      </c>
      <c r="FL298" s="15" t="inlineStr">
        <is>
          <t>B</t>
        </is>
      </c>
      <c r="FM298" s="15" t="inlineStr">
        <is>
          <t>SAN ALFONSO</t>
        </is>
      </c>
      <c r="FN298" s="15" t="inlineStr">
        <is>
          <t>San Alfonso 2141 (Ramón Subercaseaux 3060)</t>
        </is>
      </c>
      <c r="FO298" s="15" t="inlineStr">
        <is>
          <t>Estacion Central</t>
        </is>
      </c>
      <c r="FP298" t="inlineStr">
        <is>
          <t>B</t>
        </is>
      </c>
      <c r="FS298" s="14" t="inlineStr">
        <is>
          <t>3075 / SFWZ-64|</t>
        </is>
      </c>
      <c r="FT298" t="inlineStr">
        <is>
          <t>SFWZ-64|</t>
        </is>
      </c>
      <c r="FU298" t="inlineStr">
        <is>
          <t>SFWZ-64</t>
        </is>
      </c>
      <c r="FV298">
        <f>VLOOKUP(FU298,FD:FL,9,0)</f>
        <v/>
      </c>
      <c r="FZ298" s="51" t="n">
        <v>712</v>
      </c>
      <c r="GA298" s="43" t="n">
        <v>30.6</v>
      </c>
      <c r="GB298" s="43" t="n">
        <v>31.785</v>
      </c>
      <c r="GC298" s="43" t="n">
        <v>32.68000000000001</v>
      </c>
      <c r="GD298" s="43" t="n">
        <v>32.81</v>
      </c>
      <c r="GE298" s="43" t="n">
        <v>30.22</v>
      </c>
      <c r="GF298" s="43" t="n">
        <v>26.295</v>
      </c>
      <c r="GG298" s="43" t="n">
        <v>24.32</v>
      </c>
      <c r="GH298" s="43" t="n">
        <v>22.815</v>
      </c>
      <c r="GI298" s="43" t="n">
        <v>21.46</v>
      </c>
      <c r="GJ298" s="43" t="n">
        <v>20.455</v>
      </c>
      <c r="GK298" s="43" t="n">
        <v>19.18</v>
      </c>
      <c r="GL298" s="43" t="n">
        <v>17.935</v>
      </c>
      <c r="GM298" s="43" t="n">
        <v>17.685</v>
      </c>
      <c r="GN298" s="43" t="n">
        <v>18.6</v>
      </c>
      <c r="GO298" s="43" t="n">
        <v>19.645</v>
      </c>
      <c r="GP298" s="43" t="n">
        <v>19.995</v>
      </c>
      <c r="GQ298" s="43" t="n">
        <v>19.725</v>
      </c>
      <c r="GR298" s="43" t="n">
        <v>19.64</v>
      </c>
      <c r="GS298" s="43" t="n">
        <v>20.935</v>
      </c>
      <c r="GT298" s="43" t="n">
        <v>22.595</v>
      </c>
      <c r="GU298" s="43" t="n">
        <v>24.215</v>
      </c>
      <c r="GV298" s="43" t="n">
        <v>25.635</v>
      </c>
      <c r="GW298" s="43" t="n">
        <v>26.66</v>
      </c>
      <c r="GX298" s="43" t="n">
        <v>28.565</v>
      </c>
      <c r="HA298" s="35" t="n">
        <v>68</v>
      </c>
      <c r="HB298" s="35" t="n">
        <v>292</v>
      </c>
    </row>
    <row r="299" ht="15.5" customHeight="1">
      <c r="A299" s="10">
        <f>HOUR(G299)+1</f>
        <v/>
      </c>
      <c r="B299" s="7" t="n"/>
      <c r="C299" s="7" t="n"/>
      <c r="D299" s="85">
        <f>IFERROR(
IF(AND(OR(Planilla!B299="C",Planilla!B299="c"), VLOOKUP(E299,FD:FP,13,0)="C"), "OK",IF(AND(OR(Planilla!B299="C",Planilla!B299="c"), OR(VLOOKUP(E299,FD:FP,13,0)="B", VLOOKUP(E299,FD:FP,13,0)="A")), "DEFICIT",IF(
AND(OR(Planilla!B299="B", Planilla!B299="BPAL"), VLOOKUP(E299,FD:FP,13,0)="B"), "OK",IF(AND(OR(Planilla!B299="B", Planilla!B299="BPAL"), VLOOKUP(E299,FD:FP,13,0)="A"), "DEFICIT",IF(AND(OR(Planilla!B299="B", Planilla!B299="BPAL"), VLOOKUP(E299,FD:FP,13,0)="C"), "SOBREOFERTA",IF(AND(Planilla!B299="A", VLOOKUP(E299,FD:FP,13,0)="A"), "OK",IF(
AND(Planilla!B299="A", OR(VLOOKUP(E299,FD:FP,13,0)="B", VLOOKUP(E299,FD:FP,13,0)="C")), "SOBREOFERTA",""
))))))),"")</f>
        <v/>
      </c>
      <c r="E299" s="8" t="n"/>
      <c r="F299" s="86" t="n"/>
      <c r="G299" s="87" t="n"/>
      <c r="H299" s="88">
        <f>IF(I299="","",IF(AND((I299-G299)&gt;=TIME(0,0,0),(I299-G299)&lt;TIME(0,3,0)),"OK",IF(AND((I299-G299)&gt;=TIME(0,3,0),(I299-G299)&lt;TIME(0,5,0)),"RETRASO DE 3-5 MIN",IF(AND((I299-G299)&gt;=TIME(0,5,0),(I299-G299)&lt;TIME(0,10,0)),"RETRASO DE 5-10 MIN",IF((I299-G299)&gt;=TIME(0,10,0),"RETRASO &gt;10 MIN", IF(AND((G299-I299)&gt;=TIME(0,0,0),(G299-I299)&lt;TIME(0,3,0)),"OK",IF((G299-I299)&gt;=TIME(0,3,0),"ADELANTADO")))))))</f>
        <v/>
      </c>
      <c r="I299" s="89" t="n"/>
      <c r="J299" s="89">
        <f>IF(A299&lt;&gt;"",HLOOKUP(VALUE(TEXT(G299,"h:mm:ss")),IF($C$6="Laboral",$FZ$4:$GX$227,IF($C$6="Sábado",$FZ$231:$GX$452,$FZ$456:$GX$656)),VLOOKUP($C$4,$HF$2:$HH$99,3,0)+IF(C$5="Ida",0,1),1),"")</f>
        <v/>
      </c>
      <c r="K299" s="89">
        <f>IF(A300&lt;&gt;A299,AVERAGEIF(A$9:A299,A299,J$9:J299),"")</f>
        <v/>
      </c>
      <c r="L299" s="89">
        <f>IFERROR(IF(A300&lt;&gt;A299,AVERAGEIF(A$9:A299,A299,S$9:S299),""),"")</f>
        <v/>
      </c>
      <c r="M299" s="89">
        <f>IFERROR(IF(A300&lt;&gt;A299,AVERAGEIF(A$9:A299,A299,T$9:T299),""),"")</f>
        <v/>
      </c>
      <c r="N299" s="89">
        <f t="array" ref="N299">IFERROR(IF(A300&lt;&gt;A299,_xlfn.STDEV.P(IF(A$9:A299=A299,T$9:T299)),""),"")</f>
        <v/>
      </c>
      <c r="O299" s="89">
        <f t="array" ref="O299">IFERROR(IF(A300&lt;&gt;A299,_xlfn.STDEV.P(IF(A$9:A299=A299,S$9:S299)),""),"")</f>
        <v/>
      </c>
      <c r="P299" s="90">
        <f>IFERROR(IF(A299&lt;&gt;A300,MAX((((M299*24*60)/2)*(1+POWER((((N299*24*60) / (M299*24*60) )),2))) + ((M299*24*60 )*-0.1 + (K299*0.015)) +1,(((M299*24*60)/2)*(1+POWER((((N299*24*60) / (M299*24*60 ))),2)))),""),"")</f>
        <v/>
      </c>
      <c r="Q299" s="90">
        <f>IF(AND(O299&lt;&gt;"",L299&lt;&gt;""),IF(A299&lt;&gt;A300,((L299*24*60) / 2 ) * (1 + POWER(((O299*24*60) / (L299*24*60)),2)),""),"")</f>
        <v/>
      </c>
      <c r="R299" s="90">
        <f>IF(Q299&lt;&gt;"",MAX(P299,Q299),"")</f>
        <v/>
      </c>
      <c r="S299" s="89">
        <f>IF(I299&lt;&gt;"H. Sale Real",IF(AND(I300&lt;&gt;"",LEFT(C300,2)&lt;&gt;"Va"),IF(AND(I299&lt;&gt;"",LEFT(C299,2)&lt;&gt;"Va",I299&lt;&gt;"H. Sale Real"),IF(I300-I299&lt;0.208333333333333,I300-I299,""),IF(AND(I298&lt;&gt;"",LEFT(C298,2)&lt;&gt;"Va",I298&lt;&gt;"H. Sale Real"),IF(I300-I298&lt;0.208333333333333,I300-I298,""),IF(AND(I297&lt;&gt;"",LEFT(C297,2)&lt;&gt;"Va",I297&lt;&gt;"H. Sale Real"),IF(I300-I297&lt;0.208333333333333,I300-I297,""),IF(AND(I296&lt;&gt;"",LEFT(C296,2)&lt;&gt;"Va",I296&lt;&gt;"H. Sale Real"),IF(I300-I296&lt;0.208333333333333,I300-I296,""),IF(AND(I295&lt;&gt;"",LEFT(C295,2)&lt;&gt;"Va",I295&lt;&gt;"H. Sale Real"),IF(I300-I295&lt;0.208333333333333,I300-I295,""),""))))),""),"")</f>
        <v/>
      </c>
      <c r="T299" s="89">
        <f>IF(G299&lt;&gt;"H. Sale Real",IF(AND(G300&lt;&gt;"",LEFT(C300,2)&lt;&gt;"Va"),IF(AND(G299&lt;&gt;"",LEFT(C299,2)&lt;&gt;"Va",G299&lt;&gt;"H. Sale Real"),IF(G300-G299&lt;0.208333333333333,G300-G299,""),IF(AND(G298&lt;&gt;"",LEFT(C298,2)&lt;&gt;"Va",G298&lt;&gt;"H. Sale Real"),IF(G300-G298&lt;0.208333333333333,G300-G298,""),IF(AND(G297&lt;&gt;"",LEFT(C297,2)&lt;&gt;"Va",G297&lt;&gt;"H. Sale Real"),IF(G300-G297&lt;0.208333333333333,G300-G297,""),IF(AND(G296&lt;&gt;"",LEFT(C296,2)&lt;&gt;"Va",G296&lt;&gt;"H. Sale Real"),IF(G300-G296&lt;0.208333333333333,G300-G296,""),IF(AND(G295&lt;&gt;"",LEFT(C295,2)&lt;&gt;"Va",G295&lt;&gt;"H. Sale Real"),IF(G300-G295&lt;0.208333333333333,G300-G295,""),""))))),""),"")</f>
        <v/>
      </c>
      <c r="U299" s="87" t="n"/>
      <c r="V299" s="89" t="n"/>
      <c r="W299" s="87" t="n"/>
      <c r="X299" s="89" t="n"/>
      <c r="Y299" s="91" t="n"/>
      <c r="Z299" s="122">
        <f>IF(G299&lt;&gt;"",IF(AND(Z298&lt;&gt;"IE",P299&lt;&gt;0,R299&lt;&gt;""),IF(IFERROR((P299/R299),0) &lt;=1,IFERROR(P299/R299,""),1),""),"")</f>
        <v/>
      </c>
      <c r="AA299" s="93" t="n"/>
      <c r="AB299" s="2" t="n"/>
      <c r="AE299" s="10">
        <f>HOUR(AK299)+1</f>
        <v/>
      </c>
      <c r="AF299" s="7" t="n"/>
      <c r="AG299" s="7" t="n"/>
      <c r="AH299" s="86" t="n"/>
      <c r="AI299" s="8" t="n"/>
      <c r="AJ299" s="86" t="n"/>
      <c r="AK299" s="87" t="n"/>
      <c r="AL299" s="88">
        <f>IF(AM299="","",IF(AND((AM299-AK299)&gt;=TIME(0,0,0),(AM299-AK299)&lt;TIME(0,3,0)),"OK",IF(AND((AM299-AK299)&gt;=TIME(0,3,0),(AM299-AK299)&lt;TIME(0,5,0)),"RETRASO DE 3-5 MIN",IF(AND((AM299-AK299)&gt;=TIME(0,5,0),(AM299-AK299)&lt;TIME(0,10,0)),"RETRASO DE 5-10 MIN",IF((AM299-AK299)&gt;=TIME(0,10,0),"RETRASO &gt;10 MIN", IF(AND((AK299-AM299)&gt;=TIME(0,0,0),(AK299-AM299)&lt;TIME(0,3,0)),"OK",IF((AK299-AM299)&gt;=TIME(0,3,0),"ADELANTADO")))))))</f>
        <v/>
      </c>
      <c r="AM299" s="91" t="n"/>
      <c r="AN299" s="89">
        <f>IF(AE299&lt;&gt;"",HLOOKUP(VALUE(TEXT(AK299,"h:mm:ss")),IF($C$6="Laboral",$FZ$4:$GX$227,IF($C$6="Sábado",$FZ$231:$GX$452,$FZ$456:$GX$656)),VLOOKUP($C$4,$HF$2:$HH$99,3,0)+IF(AG$5="Ida",0,1),1),"")</f>
        <v/>
      </c>
      <c r="AO299" s="89">
        <f>IF(AE300&lt;&gt;AE299,AVERAGEIF(AE$9:AE299,AE299,AN$9:AN299),"")</f>
        <v/>
      </c>
      <c r="AP299" s="89">
        <f>IFERROR(IF(AE300&lt;&gt;AE299,AVERAGEIF(AE$9:AE299,AE299,AW$9:AW299),""),"")</f>
        <v/>
      </c>
      <c r="AQ299" s="89">
        <f>IFERROR(IF(AE300&lt;&gt;AE299,AVERAGEIF(AE$9:AE299,AE299,AX$9:AX299),""),"")</f>
        <v/>
      </c>
      <c r="AR299" s="89">
        <f t="array" ref="AR299">IFERROR(IF(AE300&lt;&gt;AE299,_xlfn.STDEV.P(IF(AE$9:AE299=AE299,AX$9:AX299)),""),"")</f>
        <v/>
      </c>
      <c r="AS299" s="89">
        <f t="array" ref="AS299">IFERROR(IF(AE300&lt;&gt;AE299,_xlfn.STDEV.P(IF(AE$9:AE299=AE299,AW$9:AW299)),""),"")</f>
        <v/>
      </c>
      <c r="AT299" s="90">
        <f>IFERROR(IF(AE299&lt;&gt;AE300,MAX((((AQ299*24*60)/2)*(1+POWER((((AR299*24*60) / (AQ299*24*60) )),2))) + ((AQ299*24*60 )*-0.1 + (AO299*0.015)) +1,(((AQ299*24*60)/2)*(1+POWER((((AR299*24*60) / (AQ299*24*60 ))),2)))),""),"")</f>
        <v/>
      </c>
      <c r="AU299" s="90">
        <f>IF(AND(AS299&lt;&gt;"",AP299&lt;&gt;""),IF(AE299&lt;&gt;AE300,((AP299*24*60) / 2 ) * (1 + POWER(((AS299*24*60) / (AP299*24*60)),2)),""),"")</f>
        <v/>
      </c>
      <c r="AV299" s="90">
        <f>IF(AU299&lt;&gt;"",MAX(AT299,AU299),"")</f>
        <v/>
      </c>
      <c r="AW299" s="89">
        <f>IF(AM299&lt;&gt;"H. Sale Real",IF(AND(AM300&lt;&gt;"",LEFT(AG300,2)&lt;&gt;"Va"),IF(AND(AM299&lt;&gt;"",LEFT(AG299,2)&lt;&gt;"Va",AM299&lt;&gt;"H. Sale Real"),IF(AM300-AM299&lt;0.208333333333333,AM300-AM299,""),IF(AND(AM298&lt;&gt;"",LEFT(AG298,2)&lt;&gt;"Va",AM298&lt;&gt;"H. Sale Real"),IF(AM300-AM298&lt;0.208333333333333,AM300-AM298,""),IF(AND(AM297&lt;&gt;"",LEFT(AG297,2)&lt;&gt;"Va",AM297&lt;&gt;"H. Sale Real"),IF(AM300-AM297&lt;0.208333333333333,AM300-AM297,""),IF(AND(AM296&lt;&gt;"",LEFT(AG296,2)&lt;&gt;"Va",AM296&lt;&gt;"H. Sale Real"),IF(AM300-AM296&lt;0.208333333333333,AM300-AM296,""),IF(AND(AM295&lt;&gt;"",LEFT(AG295,2)&lt;&gt;"Va",AM295&lt;&gt;"H. Sale Real"),IF(AM300-AM295&lt;0.208333333333333,AM300-AM295,""),""))))),""),"")</f>
        <v/>
      </c>
      <c r="AX299" s="89">
        <f>IF(AK299&lt;&gt;"H. Sale Real",IF(AND(AK300&lt;&gt;"",LEFT(AG300,2)&lt;&gt;"Va"),IF(AND(AK299&lt;&gt;"",LEFT(AG299,2)&lt;&gt;"Va",AK299&lt;&gt;"H. Sale Real"),IF(AK300-AK299&lt;0.208333333333333,AK300-AK299,""),IF(AND(AK298&lt;&gt;"",LEFT(AG298,2)&lt;&gt;"Va",AK298&lt;&gt;"H. Sale Real"),IF(AK300-AK298&lt;0.208333333333333,AK300-AK298,""),IF(AND(AK297&lt;&gt;"",LEFT(AG297,2)&lt;&gt;"NC",AK297&lt;&gt;"H. Sale Real"),IF(AK300-AK297&lt;0.208333333333333,AK300-AK297,""),IF(AND(AK296&lt;&gt;"",LEFT(AG296,2)&lt;&gt;"Va",AK296&lt;&gt;"H. Sale Real"),IF(AK300-AK296&lt;0.208333333333333,AK300-AK296,""),IF(AND(AK295&lt;&gt;"",LEFT(AG295,2)&lt;&gt;"Va",AK295&lt;&gt;"H. Sale Real"),IF(AK300-AK295&lt;0.208333333333333,AK300-AK295,""),""))))),""),"")</f>
        <v/>
      </c>
      <c r="AY299" s="87" t="n"/>
      <c r="AZ299" s="89" t="n"/>
      <c r="BA299" s="87" t="n"/>
      <c r="BB299" s="89" t="n"/>
      <c r="BC299" s="91" t="n"/>
      <c r="BD299" s="122">
        <f>IF(AK299&lt;&gt;"",IF(AND(BD298&lt;&gt;"IE",AT299&lt;&gt;0,AV299&lt;&gt;""),IF(IFERROR((AT299/AV299),0) &lt;=1,IFERROR(AT299/AV299,""),1),""),"")</f>
        <v/>
      </c>
      <c r="BE299" s="93" t="n"/>
      <c r="BF299" s="105" t="n"/>
      <c r="FC299" t="inlineStr">
        <is>
          <t>Diccionario 1</t>
        </is>
      </c>
      <c r="FD299" s="15" t="n">
        <v>1298</v>
      </c>
      <c r="FE299" s="15" t="inlineStr">
        <is>
          <t>MDN35025020116</t>
        </is>
      </c>
      <c r="FF299" s="15" t="inlineStr">
        <is>
          <t>LDYECS317S0044020</t>
        </is>
      </c>
      <c r="FG299" s="15" t="inlineStr">
        <is>
          <t>Zhong Tong</t>
        </is>
      </c>
      <c r="FH299" s="15" t="inlineStr">
        <is>
          <t>Lck6122evg</t>
        </is>
      </c>
      <c r="FI299" s="15" t="inlineStr">
        <is>
          <t>ZHONGTONG</t>
        </is>
      </c>
      <c r="FJ299" s="15" t="inlineStr">
        <is>
          <t>LCK6122EVG</t>
        </is>
      </c>
      <c r="FK299" s="15" t="n">
        <v>2025</v>
      </c>
      <c r="FL299" s="15" t="inlineStr">
        <is>
          <t>B</t>
        </is>
      </c>
      <c r="FM299" s="15" t="inlineStr">
        <is>
          <t>SAN ALFONSO</t>
        </is>
      </c>
      <c r="FN299" s="15" t="inlineStr">
        <is>
          <t>San Alfonso 2141 (Ramón Subercaseaux 3060)</t>
        </is>
      </c>
      <c r="FO299" s="15" t="inlineStr">
        <is>
          <t>Estacion Central</t>
        </is>
      </c>
      <c r="FP299" t="inlineStr">
        <is>
          <t>B</t>
        </is>
      </c>
      <c r="FS299" s="14" t="inlineStr">
        <is>
          <t>3076 / SFWZ-53|</t>
        </is>
      </c>
      <c r="FT299" t="inlineStr">
        <is>
          <t>SFWZ-53|</t>
        </is>
      </c>
      <c r="FU299" t="inlineStr">
        <is>
          <t>SFWZ-53</t>
        </is>
      </c>
      <c r="FV299">
        <f>VLOOKUP(FU299,FD:FL,9,0)</f>
        <v/>
      </c>
      <c r="FZ299" s="51" t="n">
        <v>712</v>
      </c>
      <c r="GA299" s="43" t="n">
        <v>27.94</v>
      </c>
      <c r="GB299" s="43" t="n">
        <v>29.68</v>
      </c>
      <c r="GC299" s="43" t="n">
        <v>30.695</v>
      </c>
      <c r="GD299" s="43" t="n">
        <v>31.34</v>
      </c>
      <c r="GE299" s="43" t="n">
        <v>31.85</v>
      </c>
      <c r="GF299" s="43" t="n">
        <v>29.755</v>
      </c>
      <c r="GG299" s="43" t="n">
        <v>26.9</v>
      </c>
      <c r="GH299" s="43" t="n">
        <v>25.035</v>
      </c>
      <c r="GI299" s="43" t="n">
        <v>23.295</v>
      </c>
      <c r="GJ299" s="43" t="n">
        <v>21.455</v>
      </c>
      <c r="GK299" s="43" t="n">
        <v>19.7</v>
      </c>
      <c r="GL299" s="43" t="n">
        <v>18.52</v>
      </c>
      <c r="GM299" s="43" t="n">
        <v>17.745</v>
      </c>
      <c r="GN299" s="43" t="n">
        <v>17.69</v>
      </c>
      <c r="GO299" s="43" t="n">
        <v>18.53</v>
      </c>
      <c r="GP299" s="43" t="n">
        <v>19.08</v>
      </c>
      <c r="GQ299" s="43" t="n">
        <v>19.495</v>
      </c>
      <c r="GR299" s="43" t="n">
        <v>19.935</v>
      </c>
      <c r="GS299" s="43" t="n">
        <v>20.23</v>
      </c>
      <c r="GT299" s="43" t="n">
        <v>20.42</v>
      </c>
      <c r="GU299" s="43" t="n">
        <v>21.4</v>
      </c>
      <c r="GV299" s="43" t="n">
        <v>23.265</v>
      </c>
      <c r="GW299" s="43" t="n">
        <v>25.31</v>
      </c>
      <c r="GX299" s="43" t="n">
        <v>26.595</v>
      </c>
      <c r="HA299" s="35" t="n">
        <v>69</v>
      </c>
      <c r="HB299" s="35" t="n">
        <v>293</v>
      </c>
    </row>
    <row r="300" ht="15.5" customHeight="1">
      <c r="A300" s="10">
        <f>HOUR(G300)+1</f>
        <v/>
      </c>
      <c r="B300" s="7" t="n"/>
      <c r="C300" s="7" t="n"/>
      <c r="D300" s="85">
        <f>IFERROR(
IF(AND(OR(Planilla!B300="C",Planilla!B300="c"), VLOOKUP(E300,FD:FP,13,0)="C"), "OK",IF(AND(OR(Planilla!B300="C",Planilla!B300="c"), OR(VLOOKUP(E300,FD:FP,13,0)="B", VLOOKUP(E300,FD:FP,13,0)="A")), "DEFICIT",IF(
AND(OR(Planilla!B300="B", Planilla!B300="BPAL"), VLOOKUP(E300,FD:FP,13,0)="B"), "OK",IF(AND(OR(Planilla!B300="B", Planilla!B300="BPAL"), VLOOKUP(E300,FD:FP,13,0)="A"), "DEFICIT",IF(AND(OR(Planilla!B300="B", Planilla!B300="BPAL"), VLOOKUP(E300,FD:FP,13,0)="C"), "SOBREOFERTA",IF(AND(Planilla!B300="A", VLOOKUP(E300,FD:FP,13,0)="A"), "OK",IF(
AND(Planilla!B300="A", OR(VLOOKUP(E300,FD:FP,13,0)="B", VLOOKUP(E300,FD:FP,13,0)="C")), "SOBREOFERTA",""
))))))),"")</f>
        <v/>
      </c>
      <c r="E300" s="8" t="n"/>
      <c r="F300" s="86" t="n"/>
      <c r="G300" s="87" t="n"/>
      <c r="H300" s="88">
        <f>IF(I300="","",IF(AND((I300-G300)&gt;=TIME(0,0,0),(I300-G300)&lt;TIME(0,3,0)),"OK",IF(AND((I300-G300)&gt;=TIME(0,3,0),(I300-G300)&lt;TIME(0,5,0)),"RETRASO DE 3-5 MIN",IF(AND((I300-G300)&gt;=TIME(0,5,0),(I300-G300)&lt;TIME(0,10,0)),"RETRASO DE 5-10 MIN",IF((I300-G300)&gt;=TIME(0,10,0),"RETRASO &gt;10 MIN", IF(AND((G300-I300)&gt;=TIME(0,0,0),(G300-I300)&lt;TIME(0,3,0)),"OK",IF((G300-I300)&gt;=TIME(0,3,0),"ADELANTADO")))))))</f>
        <v/>
      </c>
      <c r="I300" s="89" t="n"/>
      <c r="J300" s="89">
        <f>IF(A300&lt;&gt;"",HLOOKUP(VALUE(TEXT(G300,"h:mm:ss")),IF($C$6="Laboral",$FZ$4:$GX$227,IF($C$6="Sábado",$FZ$231:$GX$452,$FZ$456:$GX$656)),VLOOKUP($C$4,$HF$2:$HH$99,3,0)+IF(C$5="Ida",0,1),1),"")</f>
        <v/>
      </c>
      <c r="K300" s="89">
        <f>IF(A301&lt;&gt;A300,AVERAGEIF(A$9:A300,A300,J$9:J300),"")</f>
        <v/>
      </c>
      <c r="L300" s="89">
        <f>IFERROR(IF(A301&lt;&gt;A300,AVERAGEIF(A$9:A300,A300,S$9:S300),""),"")</f>
        <v/>
      </c>
      <c r="M300" s="89">
        <f>IFERROR(IF(A301&lt;&gt;A300,AVERAGEIF(A$9:A300,A300,T$9:T300),""),"")</f>
        <v/>
      </c>
      <c r="N300" s="89">
        <f t="array" ref="N300">IFERROR(IF(A301&lt;&gt;A300,_xlfn.STDEV.P(IF(A$9:A300=A300,T$9:T300)),""),"")</f>
        <v/>
      </c>
      <c r="O300" s="89">
        <f t="array" ref="O300">IFERROR(IF(A301&lt;&gt;A300,_xlfn.STDEV.P(IF(A$9:A300=A300,S$9:S300)),""),"")</f>
        <v/>
      </c>
      <c r="P300" s="90">
        <f>IFERROR(IF(A300&lt;&gt;A301,MAX((((M300*24*60)/2)*(1+POWER((((N300*24*60) / (M300*24*60) )),2))) + ((M300*24*60 )*-0.1 + (K300*0.015)) +1,(((M300*24*60)/2)*(1+POWER((((N300*24*60) / (M300*24*60 ))),2)))),""),"")</f>
        <v/>
      </c>
      <c r="Q300" s="90">
        <f>IF(AND(O300&lt;&gt;"",L300&lt;&gt;""),IF(A300&lt;&gt;A301,((L300*24*60) / 2 ) * (1 + POWER(((O300*24*60) / (L300*24*60)),2)),""),"")</f>
        <v/>
      </c>
      <c r="R300" s="90">
        <f>IF(Q300&lt;&gt;"",MAX(P300,Q300),"")</f>
        <v/>
      </c>
      <c r="S300" s="89">
        <f>IF(I300&lt;&gt;"H. Sale Real",IF(AND(I301&lt;&gt;"",LEFT(C301,2)&lt;&gt;"Va"),IF(AND(I300&lt;&gt;"",LEFT(C300,2)&lt;&gt;"Va",I300&lt;&gt;"H. Sale Real"),IF(I301-I300&lt;0.208333333333333,I301-I300,""),IF(AND(I299&lt;&gt;"",LEFT(C299,2)&lt;&gt;"Va",I299&lt;&gt;"H. Sale Real"),IF(I301-I299&lt;0.208333333333333,I301-I299,""),IF(AND(I298&lt;&gt;"",LEFT(C298,2)&lt;&gt;"Va",I298&lt;&gt;"H. Sale Real"),IF(I301-I298&lt;0.208333333333333,I301-I298,""),IF(AND(I297&lt;&gt;"",LEFT(C297,2)&lt;&gt;"Va",I297&lt;&gt;"H. Sale Real"),IF(I301-I297&lt;0.208333333333333,I301-I297,""),IF(AND(I296&lt;&gt;"",LEFT(C296,2)&lt;&gt;"Va",I296&lt;&gt;"H. Sale Real"),IF(I301-I296&lt;0.208333333333333,I301-I296,""),""))))),""),"")</f>
        <v/>
      </c>
      <c r="T300" s="89">
        <f>IF(G300&lt;&gt;"H. Sale Real",IF(AND(G301&lt;&gt;"",LEFT(C301,2)&lt;&gt;"Va"),IF(AND(G300&lt;&gt;"",LEFT(C300,2)&lt;&gt;"Va",G300&lt;&gt;"H. Sale Real"),IF(G301-G300&lt;0.208333333333333,G301-G300,""),IF(AND(G299&lt;&gt;"",LEFT(C299,2)&lt;&gt;"Va",G299&lt;&gt;"H. Sale Real"),IF(G301-G299&lt;0.208333333333333,G301-G299,""),IF(AND(G298&lt;&gt;"",LEFT(C298,2)&lt;&gt;"Va",G298&lt;&gt;"H. Sale Real"),IF(G301-G298&lt;0.208333333333333,G301-G298,""),IF(AND(G297&lt;&gt;"",LEFT(C297,2)&lt;&gt;"Va",G297&lt;&gt;"H. Sale Real"),IF(G301-G297&lt;0.208333333333333,G301-G297,""),IF(AND(G296&lt;&gt;"",LEFT(C296,2)&lt;&gt;"Va",G296&lt;&gt;"H. Sale Real"),IF(G301-G296&lt;0.208333333333333,G301-G296,""),""))))),""),"")</f>
        <v/>
      </c>
      <c r="U300" s="87" t="n"/>
      <c r="V300" s="89" t="n"/>
      <c r="W300" s="87" t="n"/>
      <c r="X300" s="89" t="n"/>
      <c r="Y300" s="91" t="n"/>
      <c r="Z300" s="122">
        <f>IF(G300&lt;&gt;"",IF(AND(Z299&lt;&gt;"IE",P300&lt;&gt;0,R300&lt;&gt;""),IF(IFERROR((P300/R300),0) &lt;=1,IFERROR(P300/R300,""),1),""),"")</f>
        <v/>
      </c>
      <c r="AA300" s="93" t="n"/>
      <c r="AB300" s="2" t="n"/>
      <c r="AE300" s="10">
        <f>HOUR(AK300)+1</f>
        <v/>
      </c>
      <c r="AF300" s="7" t="n"/>
      <c r="AG300" s="7" t="n"/>
      <c r="AH300" s="86" t="n"/>
      <c r="AI300" s="8" t="n"/>
      <c r="AJ300" s="86" t="n"/>
      <c r="AK300" s="87" t="n"/>
      <c r="AL300" s="88">
        <f>IF(AM300="","",IF(AND((AM300-AK300)&gt;=TIME(0,0,0),(AM300-AK300)&lt;TIME(0,3,0)),"OK",IF(AND((AM300-AK300)&gt;=TIME(0,3,0),(AM300-AK300)&lt;TIME(0,5,0)),"RETRASO DE 3-5 MIN",IF(AND((AM300-AK300)&gt;=TIME(0,5,0),(AM300-AK300)&lt;TIME(0,10,0)),"RETRASO DE 5-10 MIN",IF((AM300-AK300)&gt;=TIME(0,10,0),"RETRASO &gt;10 MIN", IF(AND((AK300-AM300)&gt;=TIME(0,0,0),(AK300-AM300)&lt;TIME(0,3,0)),"OK",IF((AK300-AM300)&gt;=TIME(0,3,0),"ADELANTADO")))))))</f>
        <v/>
      </c>
      <c r="AM300" s="91" t="n"/>
      <c r="AN300" s="89">
        <f>IF(AE300&lt;&gt;"",HLOOKUP(VALUE(TEXT(AK300,"h:mm:ss")),IF($C$6="Laboral",$FZ$4:$GX$227,IF($C$6="Sábado",$FZ$231:$GX$452,$FZ$456:$GX$656)),VLOOKUP($C$4,$HF$2:$HH$99,3,0)+IF(AG$5="Ida",0,1),1),"")</f>
        <v/>
      </c>
      <c r="AO300" s="89">
        <f>IF(AE301&lt;&gt;AE300,AVERAGEIF(AE$9:AE300,AE300,AN$9:AN300),"")</f>
        <v/>
      </c>
      <c r="AP300" s="89">
        <f>IFERROR(IF(AE301&lt;&gt;AE300,AVERAGEIF(AE$9:AE300,AE300,AW$9:AW300),""),"")</f>
        <v/>
      </c>
      <c r="AQ300" s="89">
        <f>IFERROR(IF(AE301&lt;&gt;AE300,AVERAGEIF(AE$9:AE300,AE300,AX$9:AX300),""),"")</f>
        <v/>
      </c>
      <c r="AR300" s="89">
        <f t="array" ref="AR300">IFERROR(IF(AE301&lt;&gt;AE300,_xlfn.STDEV.P(IF(AE$9:AE300=AE300,AX$9:AX300)),""),"")</f>
        <v/>
      </c>
      <c r="AS300" s="89">
        <f t="array" ref="AS300">IFERROR(IF(AE301&lt;&gt;AE300,_xlfn.STDEV.P(IF(AE$9:AE300=AE300,AW$9:AW300)),""),"")</f>
        <v/>
      </c>
      <c r="AT300" s="90">
        <f>IFERROR(IF(AE300&lt;&gt;AE301,MAX((((AQ300*24*60)/2)*(1+POWER((((AR300*24*60) / (AQ300*24*60) )),2))) + ((AQ300*24*60 )*-0.1 + (AO300*0.015)) +1,(((AQ300*24*60)/2)*(1+POWER((((AR300*24*60) / (AQ300*24*60 ))),2)))),""),"")</f>
        <v/>
      </c>
      <c r="AU300" s="90">
        <f>IF(AND(AS300&lt;&gt;"",AP300&lt;&gt;""),IF(AE300&lt;&gt;AE301,((AP300*24*60) / 2 ) * (1 + POWER(((AS300*24*60) / (AP300*24*60)),2)),""),"")</f>
        <v/>
      </c>
      <c r="AV300" s="90">
        <f>IF(AU300&lt;&gt;"",MAX(AT300,AU300),"")</f>
        <v/>
      </c>
      <c r="AW300" s="89">
        <f>IF(AM300&lt;&gt;"H. Sale Real",IF(AND(AM301&lt;&gt;"",LEFT(AG301,2)&lt;&gt;"Va"),IF(AND(AM300&lt;&gt;"",LEFT(AG300,2)&lt;&gt;"Va",AM300&lt;&gt;"H. Sale Real"),IF(AM301-AM300&lt;0.208333333333333,AM301-AM300,""),IF(AND(AM299&lt;&gt;"",LEFT(AG299,2)&lt;&gt;"Va",AM299&lt;&gt;"H. Sale Real"),IF(AM301-AM299&lt;0.208333333333333,AM301-AM299,""),IF(AND(AM298&lt;&gt;"",LEFT(AG298,2)&lt;&gt;"Va",AM298&lt;&gt;"H. Sale Real"),IF(AM301-AM298&lt;0.208333333333333,AM301-AM298,""),IF(AND(AM297&lt;&gt;"",LEFT(AG297,2)&lt;&gt;"Va",AM297&lt;&gt;"H. Sale Real"),IF(AM301-AM297&lt;0.208333333333333,AM301-AM297,""),IF(AND(AM296&lt;&gt;"",LEFT(AG296,2)&lt;&gt;"Va",AM296&lt;&gt;"H. Sale Real"),IF(AM301-AM296&lt;0.208333333333333,AM301-AM296,""),""))))),""),"")</f>
        <v/>
      </c>
      <c r="AX300" s="89">
        <f>IF(AK300&lt;&gt;"H. Sale Real",IF(AND(AK301&lt;&gt;"",LEFT(AG301,2)&lt;&gt;"Va"),IF(AND(AK300&lt;&gt;"",LEFT(AG300,2)&lt;&gt;"Va",AK300&lt;&gt;"H. Sale Real"),IF(AK301-AK300&lt;0.208333333333333,AK301-AK300,""),IF(AND(AK299&lt;&gt;"",LEFT(AG299,2)&lt;&gt;"Va",AK299&lt;&gt;"H. Sale Real"),IF(AK301-AK299&lt;0.208333333333333,AK301-AK299,""),IF(AND(AK298&lt;&gt;"",LEFT(AG298,2)&lt;&gt;"NC",AK298&lt;&gt;"H. Sale Real"),IF(AK301-AK298&lt;0.208333333333333,AK301-AK298,""),IF(AND(AK297&lt;&gt;"",LEFT(AG297,2)&lt;&gt;"Va",AK297&lt;&gt;"H. Sale Real"),IF(AK301-AK297&lt;0.208333333333333,AK301-AK297,""),IF(AND(AK296&lt;&gt;"",LEFT(AG296,2)&lt;&gt;"Va",AK296&lt;&gt;"H. Sale Real"),IF(AK301-AK296&lt;0.208333333333333,AK301-AK296,""),""))))),""),"")</f>
        <v/>
      </c>
      <c r="AY300" s="87" t="n"/>
      <c r="AZ300" s="89" t="n"/>
      <c r="BA300" s="87" t="n"/>
      <c r="BB300" s="89" t="n"/>
      <c r="BC300" s="91" t="n"/>
      <c r="BD300" s="122">
        <f>IF(AK300&lt;&gt;"",IF(AND(BD299&lt;&gt;"IE",AT300&lt;&gt;0,AV300&lt;&gt;""),IF(IFERROR((AT300/AV300),0) &lt;=1,IFERROR(AT300/AV300,""),1),""),"")</f>
        <v/>
      </c>
      <c r="BE300" s="93" t="n"/>
      <c r="BF300" s="105" t="n"/>
      <c r="FC300" t="inlineStr">
        <is>
          <t>Diccionario 1</t>
        </is>
      </c>
      <c r="FD300" s="15" t="n">
        <v>1299</v>
      </c>
      <c r="FE300" s="15" t="inlineStr">
        <is>
          <t>MDN35025020106</t>
        </is>
      </c>
      <c r="FF300" s="15" t="inlineStr">
        <is>
          <t>LDYECS316S0044025</t>
        </is>
      </c>
      <c r="FG300" s="15" t="inlineStr">
        <is>
          <t>Zhong Tong</t>
        </is>
      </c>
      <c r="FH300" s="15" t="inlineStr">
        <is>
          <t>Lck6122evg</t>
        </is>
      </c>
      <c r="FI300" s="15" t="inlineStr">
        <is>
          <t>ZHONGTONG</t>
        </is>
      </c>
      <c r="FJ300" s="15" t="inlineStr">
        <is>
          <t>LCK6122EVG</t>
        </is>
      </c>
      <c r="FK300" s="15" t="n">
        <v>2025</v>
      </c>
      <c r="FL300" s="15" t="inlineStr">
        <is>
          <t>B</t>
        </is>
      </c>
      <c r="FM300" s="15" t="inlineStr">
        <is>
          <t>CERRILLOS</t>
        </is>
      </c>
      <c r="FN300" s="15" t="inlineStr">
        <is>
          <t>Calle Uno 7371</t>
        </is>
      </c>
      <c r="FO300" s="15" t="inlineStr">
        <is>
          <t>Cerrillos</t>
        </is>
      </c>
      <c r="FP300" t="inlineStr">
        <is>
          <t>B</t>
        </is>
      </c>
      <c r="FS300" s="14" t="inlineStr">
        <is>
          <t>3076 / SFWZ-53|</t>
        </is>
      </c>
      <c r="FT300" t="inlineStr">
        <is>
          <t>SFWZ-53|</t>
        </is>
      </c>
      <c r="FU300" t="inlineStr">
        <is>
          <t>SFWZ-53</t>
        </is>
      </c>
      <c r="FV300">
        <f>VLOOKUP(FU300,FD:FL,9,0)</f>
        <v/>
      </c>
      <c r="HA300" s="35" t="n">
        <v>70</v>
      </c>
      <c r="HB300" s="35" t="n">
        <v>294</v>
      </c>
    </row>
    <row r="301" ht="15.5" customHeight="1">
      <c r="A301" s="10">
        <f>HOUR(G301)+1</f>
        <v/>
      </c>
      <c r="B301" s="7" t="n"/>
      <c r="C301" s="7" t="n"/>
      <c r="D301" s="85">
        <f>IFERROR(
IF(AND(OR(Planilla!B301="C",Planilla!B301="c"), VLOOKUP(E301,FD:FP,13,0)="C"), "OK",IF(AND(OR(Planilla!B301="C",Planilla!B301="c"), OR(VLOOKUP(E301,FD:FP,13,0)="B", VLOOKUP(E301,FD:FP,13,0)="A")), "DEFICIT",IF(
AND(OR(Planilla!B301="B", Planilla!B301="BPAL"), VLOOKUP(E301,FD:FP,13,0)="B"), "OK",IF(AND(OR(Planilla!B301="B", Planilla!B301="BPAL"), VLOOKUP(E301,FD:FP,13,0)="A"), "DEFICIT",IF(AND(OR(Planilla!B301="B", Planilla!B301="BPAL"), VLOOKUP(E301,FD:FP,13,0)="C"), "SOBREOFERTA",IF(AND(Planilla!B301="A", VLOOKUP(E301,FD:FP,13,0)="A"), "OK",IF(
AND(Planilla!B301="A", OR(VLOOKUP(E301,FD:FP,13,0)="B", VLOOKUP(E301,FD:FP,13,0)="C")), "SOBREOFERTA",""
))))))),"")</f>
        <v/>
      </c>
      <c r="E301" s="8" t="n"/>
      <c r="F301" s="86" t="n"/>
      <c r="G301" s="87" t="n"/>
      <c r="H301" s="88">
        <f>IF(I301="","",IF(AND((I301-G301)&gt;=TIME(0,0,0),(I301-G301)&lt;TIME(0,3,0)),"OK",IF(AND((I301-G301)&gt;=TIME(0,3,0),(I301-G301)&lt;TIME(0,5,0)),"RETRASO DE 3-5 MIN",IF(AND((I301-G301)&gt;=TIME(0,5,0),(I301-G301)&lt;TIME(0,10,0)),"RETRASO DE 5-10 MIN",IF((I301-G301)&gt;=TIME(0,10,0),"RETRASO &gt;10 MIN", IF(AND((G301-I301)&gt;=TIME(0,0,0),(G301-I301)&lt;TIME(0,3,0)),"OK",IF((G301-I301)&gt;=TIME(0,3,0),"ADELANTADO")))))))</f>
        <v/>
      </c>
      <c r="I301" s="89" t="n"/>
      <c r="J301" s="89">
        <f>IF(A301&lt;&gt;"",HLOOKUP(VALUE(TEXT(G301,"h:mm:ss")),IF($C$6="Laboral",$FZ$4:$GX$227,IF($C$6="Sábado",$FZ$231:$GX$452,$FZ$456:$GX$656)),VLOOKUP($C$4,$HF$2:$HH$99,3,0)+IF(C$5="Ida",0,1),1),"")</f>
        <v/>
      </c>
      <c r="K301" s="89">
        <f>IF(A302&lt;&gt;A301,AVERAGEIF(A$9:A301,A301,J$9:J301),"")</f>
        <v/>
      </c>
      <c r="L301" s="89">
        <f>IFERROR(IF(A302&lt;&gt;A301,AVERAGEIF(A$9:A301,A301,S$9:S301),""),"")</f>
        <v/>
      </c>
      <c r="M301" s="89">
        <f>IFERROR(IF(A302&lt;&gt;A301,AVERAGEIF(A$9:A301,A301,T$9:T301),""),"")</f>
        <v/>
      </c>
      <c r="N301" s="89">
        <f t="array" ref="N301">IFERROR(IF(A302&lt;&gt;A301,_xlfn.STDEV.P(IF(A$9:A301=A301,T$9:T301)),""),"")</f>
        <v/>
      </c>
      <c r="O301" s="89">
        <f t="array" ref="O301">IFERROR(IF(A302&lt;&gt;A301,_xlfn.STDEV.P(IF(A$9:A301=A301,S$9:S301)),""),"")</f>
        <v/>
      </c>
      <c r="P301" s="90">
        <f>IFERROR(IF(A301&lt;&gt;A302,MAX((((M301*24*60)/2)*(1+POWER((((N301*24*60) / (M301*24*60) )),2))) + ((M301*24*60 )*-0.1 + (K301*0.015)) +1,(((M301*24*60)/2)*(1+POWER((((N301*24*60) / (M301*24*60 ))),2)))),""),"")</f>
        <v/>
      </c>
      <c r="Q301" s="90">
        <f>IF(AND(O301&lt;&gt;"",L301&lt;&gt;""),IF(A301&lt;&gt;A302,((L301*24*60) / 2 ) * (1 + POWER(((O301*24*60) / (L301*24*60)),2)),""),"")</f>
        <v/>
      </c>
      <c r="R301" s="90">
        <f>IF(Q301&lt;&gt;"",MAX(P301,Q301),"")</f>
        <v/>
      </c>
      <c r="S301" s="89">
        <f>IF(I301&lt;&gt;"H. Sale Real",IF(AND(I302&lt;&gt;"",LEFT(C302,2)&lt;&gt;"Va"),IF(AND(I301&lt;&gt;"",LEFT(C301,2)&lt;&gt;"Va",I301&lt;&gt;"H. Sale Real"),IF(I302-I301&lt;0.208333333333333,I302-I301,""),IF(AND(I300&lt;&gt;"",LEFT(C300,2)&lt;&gt;"Va",I300&lt;&gt;"H. Sale Real"),IF(I302-I300&lt;0.208333333333333,I302-I300,""),IF(AND(I299&lt;&gt;"",LEFT(C299,2)&lt;&gt;"Va",I299&lt;&gt;"H. Sale Real"),IF(I302-I299&lt;0.208333333333333,I302-I299,""),IF(AND(I298&lt;&gt;"",LEFT(C298,2)&lt;&gt;"Va",I298&lt;&gt;"H. Sale Real"),IF(I302-I298&lt;0.208333333333333,I302-I298,""),IF(AND(I297&lt;&gt;"",LEFT(C297,2)&lt;&gt;"Va",I297&lt;&gt;"H. Sale Real"),IF(I302-I297&lt;0.208333333333333,I302-I297,""),""))))),""),"")</f>
        <v/>
      </c>
      <c r="T301" s="89">
        <f>IF(G301&lt;&gt;"H. Sale Real",IF(AND(G302&lt;&gt;"",LEFT(C302,2)&lt;&gt;"Va"),IF(AND(G301&lt;&gt;"",LEFT(C301,2)&lt;&gt;"Va",G301&lt;&gt;"H. Sale Real"),IF(G302-G301&lt;0.208333333333333,G302-G301,""),IF(AND(G300&lt;&gt;"",LEFT(C300,2)&lt;&gt;"Va",G300&lt;&gt;"H. Sale Real"),IF(G302-G300&lt;0.208333333333333,G302-G300,""),IF(AND(G299&lt;&gt;"",LEFT(C299,2)&lt;&gt;"Va",G299&lt;&gt;"H. Sale Real"),IF(G302-G299&lt;0.208333333333333,G302-G299,""),IF(AND(G298&lt;&gt;"",LEFT(C298,2)&lt;&gt;"Va",G298&lt;&gt;"H. Sale Real"),IF(G302-G298&lt;0.208333333333333,G302-G298,""),IF(AND(G297&lt;&gt;"",LEFT(C297,2)&lt;&gt;"Va",G297&lt;&gt;"H. Sale Real"),IF(G302-G297&lt;0.208333333333333,G302-G297,""),""))))),""),"")</f>
        <v/>
      </c>
      <c r="U301" s="87" t="n"/>
      <c r="V301" s="89" t="n"/>
      <c r="W301" s="87" t="n"/>
      <c r="X301" s="89" t="n"/>
      <c r="Y301" s="91" t="n"/>
      <c r="Z301" s="122">
        <f>IF(G301&lt;&gt;"",IF(AND(Z300&lt;&gt;"IE",P301&lt;&gt;0,R301&lt;&gt;""),IF(IFERROR((P301/R301),0) &lt;=1,IFERROR(P301/R301,""),1),""),"")</f>
        <v/>
      </c>
      <c r="AA301" s="93" t="n"/>
      <c r="AB301" s="2" t="n"/>
      <c r="AE301" s="10">
        <f>HOUR(AK301)+1</f>
        <v/>
      </c>
      <c r="AF301" s="7" t="n"/>
      <c r="AG301" s="7" t="n"/>
      <c r="AH301" s="86" t="n"/>
      <c r="AI301" s="8" t="n"/>
      <c r="AJ301" s="86" t="n"/>
      <c r="AK301" s="87" t="n"/>
      <c r="AL301" s="88">
        <f>IF(AM301="","",IF(AND((AM301-AK301)&gt;=TIME(0,0,0),(AM301-AK301)&lt;TIME(0,3,0)),"OK",IF(AND((AM301-AK301)&gt;=TIME(0,3,0),(AM301-AK301)&lt;TIME(0,5,0)),"RETRASO DE 3-5 MIN",IF(AND((AM301-AK301)&gt;=TIME(0,5,0),(AM301-AK301)&lt;TIME(0,10,0)),"RETRASO DE 5-10 MIN",IF((AM301-AK301)&gt;=TIME(0,10,0),"RETRASO &gt;10 MIN", IF(AND((AK301-AM301)&gt;=TIME(0,0,0),(AK301-AM301)&lt;TIME(0,3,0)),"OK",IF((AK301-AM301)&gt;=TIME(0,3,0),"ADELANTADO")))))))</f>
        <v/>
      </c>
      <c r="AM301" s="91" t="n"/>
      <c r="AN301" s="89">
        <f>IF(AE301&lt;&gt;"",HLOOKUP(VALUE(TEXT(AK301,"h:mm:ss")),IF($C$6="Laboral",$FZ$4:$GX$227,IF($C$6="Sábado",$FZ$231:$GX$452,$FZ$456:$GX$656)),VLOOKUP($C$4,$HF$2:$HH$99,3,0)+IF(AG$5="Ida",0,1),1),"")</f>
        <v/>
      </c>
      <c r="AO301" s="89">
        <f>IF(AE302&lt;&gt;AE301,AVERAGEIF(AE$9:AE301,AE301,AN$9:AN301),"")</f>
        <v/>
      </c>
      <c r="AP301" s="89">
        <f>IFERROR(IF(AE302&lt;&gt;AE301,AVERAGEIF(AE$9:AE301,AE301,AW$9:AW301),""),"")</f>
        <v/>
      </c>
      <c r="AQ301" s="89">
        <f>IFERROR(IF(AE302&lt;&gt;AE301,AVERAGEIF(AE$9:AE301,AE301,AX$9:AX301),""),"")</f>
        <v/>
      </c>
      <c r="AR301" s="89">
        <f t="array" ref="AR301">IFERROR(IF(AE302&lt;&gt;AE301,_xlfn.STDEV.P(IF(AE$9:AE301=AE301,AX$9:AX301)),""),"")</f>
        <v/>
      </c>
      <c r="AS301" s="89">
        <f t="array" ref="AS301">IFERROR(IF(AE302&lt;&gt;AE301,_xlfn.STDEV.P(IF(AE$9:AE301=AE301,AW$9:AW301)),""),"")</f>
        <v/>
      </c>
      <c r="AT301" s="90">
        <f>IFERROR(IF(AE301&lt;&gt;AE302,MAX((((AQ301*24*60)/2)*(1+POWER((((AR301*24*60) / (AQ301*24*60) )),2))) + ((AQ301*24*60 )*-0.1 + (AO301*0.015)) +1,(((AQ301*24*60)/2)*(1+POWER((((AR301*24*60) / (AQ301*24*60 ))),2)))),""),"")</f>
        <v/>
      </c>
      <c r="AU301" s="90">
        <f>IF(AND(AS301&lt;&gt;"",AP301&lt;&gt;""),IF(AE301&lt;&gt;AE302,((AP301*24*60) / 2 ) * (1 + POWER(((AS301*24*60) / (AP301*24*60)),2)),""),"")</f>
        <v/>
      </c>
      <c r="AV301" s="90">
        <f>IF(AU301&lt;&gt;"",MAX(AT301,AU301),"")</f>
        <v/>
      </c>
      <c r="AW301" s="89">
        <f>IF(AM301&lt;&gt;"H. Sale Real",IF(AND(AM302&lt;&gt;"",LEFT(AG302,2)&lt;&gt;"Va"),IF(AND(AM301&lt;&gt;"",LEFT(AG301,2)&lt;&gt;"Va",AM301&lt;&gt;"H. Sale Real"),IF(AM302-AM301&lt;0.208333333333333,AM302-AM301,""),IF(AND(AM300&lt;&gt;"",LEFT(AG300,2)&lt;&gt;"Va",AM300&lt;&gt;"H. Sale Real"),IF(AM302-AM300&lt;0.208333333333333,AM302-AM300,""),IF(AND(AM299&lt;&gt;"",LEFT(AG299,2)&lt;&gt;"Va",AM299&lt;&gt;"H. Sale Real"),IF(AM302-AM299&lt;0.208333333333333,AM302-AM299,""),IF(AND(AM298&lt;&gt;"",LEFT(AG298,2)&lt;&gt;"Va",AM298&lt;&gt;"H. Sale Real"),IF(AM302-AM298&lt;0.208333333333333,AM302-AM298,""),IF(AND(AM297&lt;&gt;"",LEFT(AG297,2)&lt;&gt;"Va",AM297&lt;&gt;"H. Sale Real"),IF(AM302-AM297&lt;0.208333333333333,AM302-AM297,""),""))))),""),"")</f>
        <v/>
      </c>
      <c r="AX301" s="89">
        <f>IF(AK301&lt;&gt;"H. Sale Real",IF(AND(AK302&lt;&gt;"",LEFT(AG302,2)&lt;&gt;"Va"),IF(AND(AK301&lt;&gt;"",LEFT(AG301,2)&lt;&gt;"Va",AK301&lt;&gt;"H. Sale Real"),IF(AK302-AK301&lt;0.208333333333333,AK302-AK301,""),IF(AND(AK300&lt;&gt;"",LEFT(AG300,2)&lt;&gt;"Va",AK300&lt;&gt;"H. Sale Real"),IF(AK302-AK300&lt;0.208333333333333,AK302-AK300,""),IF(AND(AK299&lt;&gt;"",LEFT(AG299,2)&lt;&gt;"NC",AK299&lt;&gt;"H. Sale Real"),IF(AK302-AK299&lt;0.208333333333333,AK302-AK299,""),IF(AND(AK298&lt;&gt;"",LEFT(AG298,2)&lt;&gt;"Va",AK298&lt;&gt;"H. Sale Real"),IF(AK302-AK298&lt;0.208333333333333,AK302-AK298,""),IF(AND(AK297&lt;&gt;"",LEFT(AG297,2)&lt;&gt;"Va",AK297&lt;&gt;"H. Sale Real"),IF(AK302-AK297&lt;0.208333333333333,AK302-AK297,""),""))))),""),"")</f>
        <v/>
      </c>
      <c r="AY301" s="87" t="n"/>
      <c r="AZ301" s="89" t="n"/>
      <c r="BA301" s="87" t="n"/>
      <c r="BB301" s="89" t="n"/>
      <c r="BC301" s="91" t="n"/>
      <c r="BD301" s="122">
        <f>IF(AK301&lt;&gt;"",IF(AND(BD300&lt;&gt;"IE",AT301&lt;&gt;0,AV301&lt;&gt;""),IF(IFERROR((AT301/AV301),0) &lt;=1,IFERROR(AT301/AV301,""),1),""),"")</f>
        <v/>
      </c>
      <c r="BE301" s="93" t="n"/>
      <c r="BF301" s="105" t="n"/>
      <c r="FC301" t="inlineStr">
        <is>
          <t>Diccionario 1</t>
        </is>
      </c>
      <c r="FD301" s="15" t="n">
        <v>1300</v>
      </c>
      <c r="FE301" s="15" t="inlineStr">
        <is>
          <t>MDN35025020110</t>
        </is>
      </c>
      <c r="FF301" s="15" t="inlineStr">
        <is>
          <t>LDYECS317S0044034</t>
        </is>
      </c>
      <c r="FG301" s="15" t="inlineStr">
        <is>
          <t>Zhong Tong</t>
        </is>
      </c>
      <c r="FH301" s="15" t="inlineStr">
        <is>
          <t>Lck6122evg</t>
        </is>
      </c>
      <c r="FI301" s="15" t="inlineStr">
        <is>
          <t>ZHONGTONG</t>
        </is>
      </c>
      <c r="FJ301" s="15" t="inlineStr">
        <is>
          <t>LCK6122EVG</t>
        </is>
      </c>
      <c r="FK301" s="15" t="n">
        <v>2025</v>
      </c>
      <c r="FL301" s="15" t="inlineStr">
        <is>
          <t>B</t>
        </is>
      </c>
      <c r="FM301" s="15" t="inlineStr">
        <is>
          <t>CERRILLOS</t>
        </is>
      </c>
      <c r="FN301" s="15" t="inlineStr">
        <is>
          <t>Calle Uno 7371</t>
        </is>
      </c>
      <c r="FO301" s="15" t="inlineStr">
        <is>
          <t>Cerrillos</t>
        </is>
      </c>
      <c r="FP301" t="inlineStr">
        <is>
          <t>B</t>
        </is>
      </c>
      <c r="FS301" s="14" t="inlineStr">
        <is>
          <t>3076 / SFWZ-53|</t>
        </is>
      </c>
      <c r="FT301" t="inlineStr">
        <is>
          <t>SFWZ-53|</t>
        </is>
      </c>
      <c r="FU301" t="inlineStr">
        <is>
          <t>SFWZ-53</t>
        </is>
      </c>
      <c r="FV301">
        <f>VLOOKUP(FU301,FD:FL,9,0)</f>
        <v/>
      </c>
      <c r="HA301" s="35" t="n">
        <v>71</v>
      </c>
      <c r="HB301" s="35" t="n">
        <v>295</v>
      </c>
    </row>
    <row r="302" ht="15.5" customHeight="1">
      <c r="A302" s="10">
        <f>HOUR(G302)+1</f>
        <v/>
      </c>
      <c r="B302" s="7" t="n"/>
      <c r="C302" s="7" t="n"/>
      <c r="D302" s="85">
        <f>IFERROR(
IF(AND(OR(Planilla!B302="C",Planilla!B302="c"), VLOOKUP(E302,FD:FP,13,0)="C"), "OK",IF(AND(OR(Planilla!B302="C",Planilla!B302="c"), OR(VLOOKUP(E302,FD:FP,13,0)="B", VLOOKUP(E302,FD:FP,13,0)="A")), "DEFICIT",IF(
AND(OR(Planilla!B302="B", Planilla!B302="BPAL"), VLOOKUP(E302,FD:FP,13,0)="B"), "OK",IF(AND(OR(Planilla!B302="B", Planilla!B302="BPAL"), VLOOKUP(E302,FD:FP,13,0)="A"), "DEFICIT",IF(AND(OR(Planilla!B302="B", Planilla!B302="BPAL"), VLOOKUP(E302,FD:FP,13,0)="C"), "SOBREOFERTA",IF(AND(Planilla!B302="A", VLOOKUP(E302,FD:FP,13,0)="A"), "OK",IF(
AND(Planilla!B302="A", OR(VLOOKUP(E302,FD:FP,13,0)="B", VLOOKUP(E302,FD:FP,13,0)="C")), "SOBREOFERTA",""
))))))),"")</f>
        <v/>
      </c>
      <c r="E302" s="8" t="n"/>
      <c r="F302" s="86" t="n"/>
      <c r="G302" s="87" t="n"/>
      <c r="H302" s="88">
        <f>IF(I302="","",IF(AND((I302-G302)&gt;=TIME(0,0,0),(I302-G302)&lt;TIME(0,3,0)),"OK",IF(AND((I302-G302)&gt;=TIME(0,3,0),(I302-G302)&lt;TIME(0,5,0)),"RETRASO DE 3-5 MIN",IF(AND((I302-G302)&gt;=TIME(0,5,0),(I302-G302)&lt;TIME(0,10,0)),"RETRASO DE 5-10 MIN",IF((I302-G302)&gt;=TIME(0,10,0),"RETRASO &gt;10 MIN", IF(AND((G302-I302)&gt;=TIME(0,0,0),(G302-I302)&lt;TIME(0,3,0)),"OK",IF((G302-I302)&gt;=TIME(0,3,0),"ADELANTADO")))))))</f>
        <v/>
      </c>
      <c r="I302" s="89" t="n"/>
      <c r="J302" s="89">
        <f>IF(A302&lt;&gt;"",HLOOKUP(VALUE(TEXT(G302,"h:mm:ss")),IF($C$6="Laboral",$FZ$4:$GX$227,IF($C$6="Sábado",$FZ$231:$GX$452,$FZ$456:$GX$656)),VLOOKUP($C$4,$HF$2:$HH$99,3,0)+IF(C$5="Ida",0,1),1),"")</f>
        <v/>
      </c>
      <c r="K302" s="89">
        <f>IF(A303&lt;&gt;A302,AVERAGEIF(A$9:A302,A302,J$9:J302),"")</f>
        <v/>
      </c>
      <c r="L302" s="89">
        <f>IFERROR(IF(A303&lt;&gt;A302,AVERAGEIF(A$9:A302,A302,S$9:S302),""),"")</f>
        <v/>
      </c>
      <c r="M302" s="89">
        <f>IFERROR(IF(A303&lt;&gt;A302,AVERAGEIF(A$9:A302,A302,T$9:T302),""),"")</f>
        <v/>
      </c>
      <c r="N302" s="89">
        <f t="array" ref="N302">IFERROR(IF(A303&lt;&gt;A302,_xlfn.STDEV.P(IF(A$9:A302=A302,T$9:T302)),""),"")</f>
        <v/>
      </c>
      <c r="O302" s="89">
        <f t="array" ref="O302">IFERROR(IF(A303&lt;&gt;A302,_xlfn.STDEV.P(IF(A$9:A302=A302,S$9:S302)),""),"")</f>
        <v/>
      </c>
      <c r="P302" s="90">
        <f>IFERROR(IF(A302&lt;&gt;A303,MAX((((M302*24*60)/2)*(1+POWER((((N302*24*60) / (M302*24*60) )),2))) + ((M302*24*60 )*-0.1 + (K302*0.015)) +1,(((M302*24*60)/2)*(1+POWER((((N302*24*60) / (M302*24*60 ))),2)))),""),"")</f>
        <v/>
      </c>
      <c r="Q302" s="90">
        <f>IF(AND(O302&lt;&gt;"",L302&lt;&gt;""),IF(A302&lt;&gt;A303,((L302*24*60) / 2 ) * (1 + POWER(((O302*24*60) / (L302*24*60)),2)),""),"")</f>
        <v/>
      </c>
      <c r="R302" s="90">
        <f>IF(Q302&lt;&gt;"",MAX(P302,Q302),"")</f>
        <v/>
      </c>
      <c r="S302" s="89">
        <f>IF(I302&lt;&gt;"H. Sale Real",IF(AND(I303&lt;&gt;"",LEFT(C303,2)&lt;&gt;"Va"),IF(AND(I302&lt;&gt;"",LEFT(C302,2)&lt;&gt;"Va",I302&lt;&gt;"H. Sale Real"),IF(I303-I302&lt;0.208333333333333,I303-I302,""),IF(AND(I301&lt;&gt;"",LEFT(C301,2)&lt;&gt;"Va",I301&lt;&gt;"H. Sale Real"),IF(I303-I301&lt;0.208333333333333,I303-I301,""),IF(AND(I300&lt;&gt;"",LEFT(C300,2)&lt;&gt;"Va",I300&lt;&gt;"H. Sale Real"),IF(I303-I300&lt;0.208333333333333,I303-I300,""),IF(AND(I299&lt;&gt;"",LEFT(C299,2)&lt;&gt;"Va",I299&lt;&gt;"H. Sale Real"),IF(I303-I299&lt;0.208333333333333,I303-I299,""),IF(AND(I298&lt;&gt;"",LEFT(C298,2)&lt;&gt;"Va",I298&lt;&gt;"H. Sale Real"),IF(I303-I298&lt;0.208333333333333,I303-I298,""),""))))),""),"")</f>
        <v/>
      </c>
      <c r="T302" s="89">
        <f>IF(G302&lt;&gt;"H. Sale Real",IF(AND(G303&lt;&gt;"",LEFT(C303,2)&lt;&gt;"Va"),IF(AND(G302&lt;&gt;"",LEFT(C302,2)&lt;&gt;"Va",G302&lt;&gt;"H. Sale Real"),IF(G303-G302&lt;0.208333333333333,G303-G302,""),IF(AND(G301&lt;&gt;"",LEFT(C301,2)&lt;&gt;"Va",G301&lt;&gt;"H. Sale Real"),IF(G303-G301&lt;0.208333333333333,G303-G301,""),IF(AND(G300&lt;&gt;"",LEFT(C300,2)&lt;&gt;"Va",G300&lt;&gt;"H. Sale Real"),IF(G303-G300&lt;0.208333333333333,G303-G300,""),IF(AND(G299&lt;&gt;"",LEFT(C299,2)&lt;&gt;"Va",G299&lt;&gt;"H. Sale Real"),IF(G303-G299&lt;0.208333333333333,G303-G299,""),IF(AND(G298&lt;&gt;"",LEFT(C298,2)&lt;&gt;"Va",G298&lt;&gt;"H. Sale Real"),IF(G303-G298&lt;0.208333333333333,G303-G298,""),""))))),""),"")</f>
        <v/>
      </c>
      <c r="U302" s="87" t="n"/>
      <c r="V302" s="89" t="n"/>
      <c r="W302" s="87" t="n"/>
      <c r="X302" s="89" t="n"/>
      <c r="Y302" s="91" t="n"/>
      <c r="Z302" s="122">
        <f>IF(G302&lt;&gt;"",IF(AND(Z301&lt;&gt;"IE",P302&lt;&gt;0,R302&lt;&gt;""),IF(IFERROR((P302/R302),0) &lt;=1,IFERROR(P302/R302,""),1),""),"")</f>
        <v/>
      </c>
      <c r="AA302" s="93" t="n"/>
      <c r="AB302" s="2" t="n"/>
      <c r="AE302" s="10">
        <f>HOUR(AK302)+1</f>
        <v/>
      </c>
      <c r="AF302" s="7" t="n"/>
      <c r="AG302" s="7" t="n"/>
      <c r="AH302" s="86" t="n"/>
      <c r="AI302" s="8" t="n"/>
      <c r="AJ302" s="86" t="n"/>
      <c r="AK302" s="87" t="n"/>
      <c r="AL302" s="88">
        <f>IF(AM302="","",IF(AND((AM302-AK302)&gt;=TIME(0,0,0),(AM302-AK302)&lt;TIME(0,3,0)),"OK",IF(AND((AM302-AK302)&gt;=TIME(0,3,0),(AM302-AK302)&lt;TIME(0,5,0)),"RETRASO DE 3-5 MIN",IF(AND((AM302-AK302)&gt;=TIME(0,5,0),(AM302-AK302)&lt;TIME(0,10,0)),"RETRASO DE 5-10 MIN",IF((AM302-AK302)&gt;=TIME(0,10,0),"RETRASO &gt;10 MIN", IF(AND((AK302-AM302)&gt;=TIME(0,0,0),(AK302-AM302)&lt;TIME(0,3,0)),"OK",IF((AK302-AM302)&gt;=TIME(0,3,0),"ADELANTADO")))))))</f>
        <v/>
      </c>
      <c r="AM302" s="91" t="n"/>
      <c r="AN302" s="89">
        <f>IF(AE302&lt;&gt;"",HLOOKUP(VALUE(TEXT(AK302,"h:mm:ss")),IF($C$6="Laboral",$FZ$4:$GX$227,IF($C$6="Sábado",$FZ$231:$GX$452,$FZ$456:$GX$656)),VLOOKUP($C$4,$HF$2:$HH$99,3,0)+IF(AG$5="Ida",0,1),1),"")</f>
        <v/>
      </c>
      <c r="AO302" s="89">
        <f>IF(AE303&lt;&gt;AE302,AVERAGEIF(AE$9:AE302,AE302,AN$9:AN302),"")</f>
        <v/>
      </c>
      <c r="AP302" s="89">
        <f>IFERROR(IF(AE303&lt;&gt;AE302,AVERAGEIF(AE$9:AE302,AE302,AW$9:AW302),""),"")</f>
        <v/>
      </c>
      <c r="AQ302" s="89">
        <f>IFERROR(IF(AE303&lt;&gt;AE302,AVERAGEIF(AE$9:AE302,AE302,AX$9:AX302),""),"")</f>
        <v/>
      </c>
      <c r="AR302" s="89">
        <f t="array" ref="AR302">IFERROR(IF(AE303&lt;&gt;AE302,_xlfn.STDEV.P(IF(AE$9:AE302=AE302,AX$9:AX302)),""),"")</f>
        <v/>
      </c>
      <c r="AS302" s="89">
        <f t="array" ref="AS302">IFERROR(IF(AE303&lt;&gt;AE302,_xlfn.STDEV.P(IF(AE$9:AE302=AE302,AW$9:AW302)),""),"")</f>
        <v/>
      </c>
      <c r="AT302" s="90">
        <f>IFERROR(IF(AE302&lt;&gt;AE303,MAX((((AQ302*24*60)/2)*(1+POWER((((AR302*24*60) / (AQ302*24*60) )),2))) + ((AQ302*24*60 )*-0.1 + (AO302*0.015)) +1,(((AQ302*24*60)/2)*(1+POWER((((AR302*24*60) / (AQ302*24*60 ))),2)))),""),"")</f>
        <v/>
      </c>
      <c r="AU302" s="90">
        <f>IF(AND(AS302&lt;&gt;"",AP302&lt;&gt;""),IF(AE302&lt;&gt;AE303,((AP302*24*60) / 2 ) * (1 + POWER(((AS302*24*60) / (AP302*24*60)),2)),""),"")</f>
        <v/>
      </c>
      <c r="AV302" s="90">
        <f>IF(AU302&lt;&gt;"",MAX(AT302,AU302),"")</f>
        <v/>
      </c>
      <c r="AW302" s="89">
        <f>IF(AM302&lt;&gt;"H. Sale Real",IF(AND(AM303&lt;&gt;"",LEFT(AG303,2)&lt;&gt;"Va"),IF(AND(AM302&lt;&gt;"",LEFT(AG302,2)&lt;&gt;"Va",AM302&lt;&gt;"H. Sale Real"),IF(AM303-AM302&lt;0.208333333333333,AM303-AM302,""),IF(AND(AM301&lt;&gt;"",LEFT(AG301,2)&lt;&gt;"Va",AM301&lt;&gt;"H. Sale Real"),IF(AM303-AM301&lt;0.208333333333333,AM303-AM301,""),IF(AND(AM300&lt;&gt;"",LEFT(AG300,2)&lt;&gt;"Va",AM300&lt;&gt;"H. Sale Real"),IF(AM303-AM300&lt;0.208333333333333,AM303-AM300,""),IF(AND(AM299&lt;&gt;"",LEFT(AG299,2)&lt;&gt;"Va",AM299&lt;&gt;"H. Sale Real"),IF(AM303-AM299&lt;0.208333333333333,AM303-AM299,""),IF(AND(AM298&lt;&gt;"",LEFT(AG298,2)&lt;&gt;"Va",AM298&lt;&gt;"H. Sale Real"),IF(AM303-AM298&lt;0.208333333333333,AM303-AM298,""),""))))),""),"")</f>
        <v/>
      </c>
      <c r="AX302" s="89">
        <f>IF(AK302&lt;&gt;"H. Sale Real",IF(AND(AK303&lt;&gt;"",LEFT(AG303,2)&lt;&gt;"Va"),IF(AND(AK302&lt;&gt;"",LEFT(AG302,2)&lt;&gt;"Va",AK302&lt;&gt;"H. Sale Real"),IF(AK303-AK302&lt;0.208333333333333,AK303-AK302,""),IF(AND(AK301&lt;&gt;"",LEFT(AG301,2)&lt;&gt;"Va",AK301&lt;&gt;"H. Sale Real"),IF(AK303-AK301&lt;0.208333333333333,AK303-AK301,""),IF(AND(AK300&lt;&gt;"",LEFT(AG300,2)&lt;&gt;"NC",AK300&lt;&gt;"H. Sale Real"),IF(AK303-AK300&lt;0.208333333333333,AK303-AK300,""),IF(AND(AK299&lt;&gt;"",LEFT(AG299,2)&lt;&gt;"Va",AK299&lt;&gt;"H. Sale Real"),IF(AK303-AK299&lt;0.208333333333333,AK303-AK299,""),IF(AND(AK298&lt;&gt;"",LEFT(AG298,2)&lt;&gt;"Va",AK298&lt;&gt;"H. Sale Real"),IF(AK303-AK298&lt;0.208333333333333,AK303-AK298,""),""))))),""),"")</f>
        <v/>
      </c>
      <c r="AY302" s="87" t="n"/>
      <c r="AZ302" s="89" t="n"/>
      <c r="BA302" s="87" t="n"/>
      <c r="BB302" s="89" t="n"/>
      <c r="BC302" s="91" t="n"/>
      <c r="BD302" s="122">
        <f>IF(AK302&lt;&gt;"",IF(AND(BD301&lt;&gt;"IE",AT302&lt;&gt;0,AV302&lt;&gt;""),IF(IFERROR((AT302/AV302),0) &lt;=1,IFERROR(AT302/AV302,""),1),""),"")</f>
        <v/>
      </c>
      <c r="BE302" s="93" t="n"/>
      <c r="BF302" s="105" t="n"/>
      <c r="FC302" t="inlineStr">
        <is>
          <t>Diccionario 1</t>
        </is>
      </c>
      <c r="FD302" s="15" t="n">
        <v>1301</v>
      </c>
      <c r="FE302" s="15" t="inlineStr">
        <is>
          <t>MDN35025020035</t>
        </is>
      </c>
      <c r="FF302" s="15" t="inlineStr">
        <is>
          <t>LDYECS319S0044052</t>
        </is>
      </c>
      <c r="FG302" s="15" t="inlineStr">
        <is>
          <t>Zhong Tong</t>
        </is>
      </c>
      <c r="FH302" s="15" t="inlineStr">
        <is>
          <t>Lck6122evg</t>
        </is>
      </c>
      <c r="FI302" s="15" t="inlineStr">
        <is>
          <t>ZHONGTONG</t>
        </is>
      </c>
      <c r="FJ302" s="15" t="inlineStr">
        <is>
          <t>LCK6122EVG</t>
        </is>
      </c>
      <c r="FK302" s="15" t="n">
        <v>2025</v>
      </c>
      <c r="FL302" s="15" t="inlineStr">
        <is>
          <t>B</t>
        </is>
      </c>
      <c r="FM302" s="15" t="inlineStr">
        <is>
          <t>CERRILLOS</t>
        </is>
      </c>
      <c r="FN302" s="15" t="inlineStr">
        <is>
          <t>Calle Uno 7371</t>
        </is>
      </c>
      <c r="FO302" s="15" t="inlineStr">
        <is>
          <t>Cerrillos</t>
        </is>
      </c>
      <c r="FP302" t="inlineStr">
        <is>
          <t>B</t>
        </is>
      </c>
      <c r="FS302" s="14" t="inlineStr">
        <is>
          <t>3077 / SFWZ-55|</t>
        </is>
      </c>
      <c r="FT302" t="inlineStr">
        <is>
          <t>SFWZ-55|</t>
        </is>
      </c>
      <c r="FU302" t="inlineStr">
        <is>
          <t>SFWZ-55</t>
        </is>
      </c>
      <c r="FV302">
        <f>VLOOKUP(FU302,FD:FL,9,0)</f>
        <v/>
      </c>
      <c r="HA302" s="35" t="n">
        <v>72</v>
      </c>
      <c r="HB302" s="35" t="n">
        <v>296</v>
      </c>
    </row>
    <row r="303" ht="15.5" customHeight="1">
      <c r="A303" s="10">
        <f>HOUR(G303)+1</f>
        <v/>
      </c>
      <c r="B303" s="7" t="n"/>
      <c r="C303" s="7" t="n"/>
      <c r="D303" s="85">
        <f>IFERROR(
IF(AND(OR(Planilla!B303="C",Planilla!B303="c"), VLOOKUP(E303,FD:FP,13,0)="C"), "OK",IF(AND(OR(Planilla!B303="C",Planilla!B303="c"), OR(VLOOKUP(E303,FD:FP,13,0)="B", VLOOKUP(E303,FD:FP,13,0)="A")), "DEFICIT",IF(
AND(OR(Planilla!B303="B", Planilla!B303="BPAL"), VLOOKUP(E303,FD:FP,13,0)="B"), "OK",IF(AND(OR(Planilla!B303="B", Planilla!B303="BPAL"), VLOOKUP(E303,FD:FP,13,0)="A"), "DEFICIT",IF(AND(OR(Planilla!B303="B", Planilla!B303="BPAL"), VLOOKUP(E303,FD:FP,13,0)="C"), "SOBREOFERTA",IF(AND(Planilla!B303="A", VLOOKUP(E303,FD:FP,13,0)="A"), "OK",IF(
AND(Planilla!B303="A", OR(VLOOKUP(E303,FD:FP,13,0)="B", VLOOKUP(E303,FD:FP,13,0)="C")), "SOBREOFERTA",""
))))))),"")</f>
        <v/>
      </c>
      <c r="E303" s="8" t="n"/>
      <c r="F303" s="86" t="n"/>
      <c r="G303" s="87" t="n"/>
      <c r="H303" s="88">
        <f>IF(I303="","",IF(AND((I303-G303)&gt;=TIME(0,0,0),(I303-G303)&lt;TIME(0,3,0)),"OK",IF(AND((I303-G303)&gt;=TIME(0,3,0),(I303-G303)&lt;TIME(0,5,0)),"RETRASO DE 3-5 MIN",IF(AND((I303-G303)&gt;=TIME(0,5,0),(I303-G303)&lt;TIME(0,10,0)),"RETRASO DE 5-10 MIN",IF((I303-G303)&gt;=TIME(0,10,0),"RETRASO &gt;10 MIN", IF(AND((G303-I303)&gt;=TIME(0,0,0),(G303-I303)&lt;TIME(0,3,0)),"OK",IF((G303-I303)&gt;=TIME(0,3,0),"ADELANTADO")))))))</f>
        <v/>
      </c>
      <c r="I303" s="89" t="n"/>
      <c r="J303" s="89">
        <f>IF(A303&lt;&gt;"",HLOOKUP(VALUE(TEXT(G303,"h:mm:ss")),IF($C$6="Laboral",$FZ$4:$GX$227,IF($C$6="Sábado",$FZ$231:$GX$452,$FZ$456:$GX$656)),VLOOKUP($C$4,$HF$2:$HH$99,3,0)+IF(C$5="Ida",0,1),1),"")</f>
        <v/>
      </c>
      <c r="K303" s="89">
        <f>IF(A304&lt;&gt;A303,AVERAGEIF(A$9:A303,A303,J$9:J303),"")</f>
        <v/>
      </c>
      <c r="L303" s="89">
        <f>IFERROR(IF(A304&lt;&gt;A303,AVERAGEIF(A$9:A303,A303,S$9:S303),""),"")</f>
        <v/>
      </c>
      <c r="M303" s="89">
        <f>IFERROR(IF(A304&lt;&gt;A303,AVERAGEIF(A$9:A303,A303,T$9:T303),""),"")</f>
        <v/>
      </c>
      <c r="N303" s="89">
        <f t="array" ref="N303">IFERROR(IF(A304&lt;&gt;A303,_xlfn.STDEV.P(IF(A$9:A303=A303,T$9:T303)),""),"")</f>
        <v/>
      </c>
      <c r="O303" s="89">
        <f t="array" ref="O303">IFERROR(IF(A304&lt;&gt;A303,_xlfn.STDEV.P(IF(A$9:A303=A303,S$9:S303)),""),"")</f>
        <v/>
      </c>
      <c r="P303" s="90">
        <f>IFERROR(IF(A303&lt;&gt;A304,MAX((((M303*24*60)/2)*(1+POWER((((N303*24*60) / (M303*24*60) )),2))) + ((M303*24*60 )*-0.1 + (K303*0.015)) +1,(((M303*24*60)/2)*(1+POWER((((N303*24*60) / (M303*24*60 ))),2)))),""),"")</f>
        <v/>
      </c>
      <c r="Q303" s="90">
        <f>IF(AND(O303&lt;&gt;"",L303&lt;&gt;""),IF(A303&lt;&gt;A304,((L303*24*60) / 2 ) * (1 + POWER(((O303*24*60) / (L303*24*60)),2)),""),"")</f>
        <v/>
      </c>
      <c r="R303" s="90">
        <f>IF(Q303&lt;&gt;"",MAX(P303,Q303),"")</f>
        <v/>
      </c>
      <c r="S303" s="89">
        <f>IF(I303&lt;&gt;"H. Sale Real",IF(AND(I304&lt;&gt;"",LEFT(C304,2)&lt;&gt;"Va"),IF(AND(I303&lt;&gt;"",LEFT(C303,2)&lt;&gt;"Va",I303&lt;&gt;"H. Sale Real"),IF(I304-I303&lt;0.208333333333333,I304-I303,""),IF(AND(I302&lt;&gt;"",LEFT(C302,2)&lt;&gt;"Va",I302&lt;&gt;"H. Sale Real"),IF(I304-I302&lt;0.208333333333333,I304-I302,""),IF(AND(I301&lt;&gt;"",LEFT(C301,2)&lt;&gt;"Va",I301&lt;&gt;"H. Sale Real"),IF(I304-I301&lt;0.208333333333333,I304-I301,""),IF(AND(I300&lt;&gt;"",LEFT(C300,2)&lt;&gt;"Va",I300&lt;&gt;"H. Sale Real"),IF(I304-I300&lt;0.208333333333333,I304-I300,""),IF(AND(I299&lt;&gt;"",LEFT(C299,2)&lt;&gt;"Va",I299&lt;&gt;"H. Sale Real"),IF(I304-I299&lt;0.208333333333333,I304-I299,""),""))))),""),"")</f>
        <v/>
      </c>
      <c r="T303" s="89">
        <f>IF(G303&lt;&gt;"H. Sale Real",IF(AND(G304&lt;&gt;"",LEFT(C304,2)&lt;&gt;"Va"),IF(AND(G303&lt;&gt;"",LEFT(C303,2)&lt;&gt;"Va",G303&lt;&gt;"H. Sale Real"),IF(G304-G303&lt;0.208333333333333,G304-G303,""),IF(AND(G302&lt;&gt;"",LEFT(C302,2)&lt;&gt;"Va",G302&lt;&gt;"H. Sale Real"),IF(G304-G302&lt;0.208333333333333,G304-G302,""),IF(AND(G301&lt;&gt;"",LEFT(C301,2)&lt;&gt;"Va",G301&lt;&gt;"H. Sale Real"),IF(G304-G301&lt;0.208333333333333,G304-G301,""),IF(AND(G300&lt;&gt;"",LEFT(C300,2)&lt;&gt;"Va",G300&lt;&gt;"H. Sale Real"),IF(G304-G300&lt;0.208333333333333,G304-G300,""),IF(AND(G299&lt;&gt;"",LEFT(C299,2)&lt;&gt;"Va",G299&lt;&gt;"H. Sale Real"),IF(G304-G299&lt;0.208333333333333,G304-G299,""),""))))),""),"")</f>
        <v/>
      </c>
      <c r="U303" s="87" t="n"/>
      <c r="V303" s="89" t="n"/>
      <c r="W303" s="87" t="n"/>
      <c r="X303" s="89" t="n"/>
      <c r="Y303" s="91" t="n"/>
      <c r="Z303" s="122">
        <f>IF(G303&lt;&gt;"",IF(AND(Z302&lt;&gt;"IE",P303&lt;&gt;0,R303&lt;&gt;""),IF(IFERROR((P303/R303),0) &lt;=1,IFERROR(P303/R303,""),1),""),"")</f>
        <v/>
      </c>
      <c r="AA303" s="93" t="n"/>
      <c r="AB303" s="2" t="n"/>
      <c r="AE303" s="10">
        <f>HOUR(AK303)+1</f>
        <v/>
      </c>
      <c r="AF303" s="7" t="n"/>
      <c r="AG303" s="7" t="n"/>
      <c r="AH303" s="86" t="n"/>
      <c r="AI303" s="8" t="n"/>
      <c r="AJ303" s="86" t="n"/>
      <c r="AK303" s="87" t="n"/>
      <c r="AL303" s="88">
        <f>IF(AM303="","",IF(AND((AM303-AK303)&gt;=TIME(0,0,0),(AM303-AK303)&lt;TIME(0,3,0)),"OK",IF(AND((AM303-AK303)&gt;=TIME(0,3,0),(AM303-AK303)&lt;TIME(0,5,0)),"RETRASO DE 3-5 MIN",IF(AND((AM303-AK303)&gt;=TIME(0,5,0),(AM303-AK303)&lt;TIME(0,10,0)),"RETRASO DE 5-10 MIN",IF((AM303-AK303)&gt;=TIME(0,10,0),"RETRASO &gt;10 MIN", IF(AND((AK303-AM303)&gt;=TIME(0,0,0),(AK303-AM303)&lt;TIME(0,3,0)),"OK",IF((AK303-AM303)&gt;=TIME(0,3,0),"ADELANTADO")))))))</f>
        <v/>
      </c>
      <c r="AM303" s="91" t="n"/>
      <c r="AN303" s="89">
        <f>IF(AE303&lt;&gt;"",HLOOKUP(VALUE(TEXT(AK303,"h:mm:ss")),IF($C$6="Laboral",$FZ$4:$GX$227,IF($C$6="Sábado",$FZ$231:$GX$452,$FZ$456:$GX$656)),VLOOKUP($C$4,$HF$2:$HH$99,3,0)+IF(AG$5="Ida",0,1),1),"")</f>
        <v/>
      </c>
      <c r="AO303" s="89">
        <f>IF(AE304&lt;&gt;AE303,AVERAGEIF(AE$9:AE303,AE303,AN$9:AN303),"")</f>
        <v/>
      </c>
      <c r="AP303" s="89">
        <f>IFERROR(IF(AE304&lt;&gt;AE303,AVERAGEIF(AE$9:AE303,AE303,AW$9:AW303),""),"")</f>
        <v/>
      </c>
      <c r="AQ303" s="89">
        <f>IFERROR(IF(AE304&lt;&gt;AE303,AVERAGEIF(AE$9:AE303,AE303,AX$9:AX303),""),"")</f>
        <v/>
      </c>
      <c r="AR303" s="89">
        <f t="array" ref="AR303">IFERROR(IF(AE304&lt;&gt;AE303,_xlfn.STDEV.P(IF(AE$9:AE303=AE303,AX$9:AX303)),""),"")</f>
        <v/>
      </c>
      <c r="AS303" s="89">
        <f t="array" ref="AS303">IFERROR(IF(AE304&lt;&gt;AE303,_xlfn.STDEV.P(IF(AE$9:AE303=AE303,AW$9:AW303)),""),"")</f>
        <v/>
      </c>
      <c r="AT303" s="90">
        <f>IFERROR(IF(AE303&lt;&gt;AE304,MAX((((AQ303*24*60)/2)*(1+POWER((((AR303*24*60) / (AQ303*24*60) )),2))) + ((AQ303*24*60 )*-0.1 + (AO303*0.015)) +1,(((AQ303*24*60)/2)*(1+POWER((((AR303*24*60) / (AQ303*24*60 ))),2)))),""),"")</f>
        <v/>
      </c>
      <c r="AU303" s="90">
        <f>IF(AND(AS303&lt;&gt;"",AP303&lt;&gt;""),IF(AE303&lt;&gt;AE304,((AP303*24*60) / 2 ) * (1 + POWER(((AS303*24*60) / (AP303*24*60)),2)),""),"")</f>
        <v/>
      </c>
      <c r="AV303" s="90">
        <f>IF(AU303&lt;&gt;"",MAX(AT303,AU303),"")</f>
        <v/>
      </c>
      <c r="AW303" s="89">
        <f>IF(AM303&lt;&gt;"H. Sale Real",IF(AND(AM304&lt;&gt;"",LEFT(AG304,2)&lt;&gt;"Va"),IF(AND(AM303&lt;&gt;"",LEFT(AG303,2)&lt;&gt;"Va",AM303&lt;&gt;"H. Sale Real"),IF(AM304-AM303&lt;0.208333333333333,AM304-AM303,""),IF(AND(AM302&lt;&gt;"",LEFT(AG302,2)&lt;&gt;"Va",AM302&lt;&gt;"H. Sale Real"),IF(AM304-AM302&lt;0.208333333333333,AM304-AM302,""),IF(AND(AM301&lt;&gt;"",LEFT(AG301,2)&lt;&gt;"Va",AM301&lt;&gt;"H. Sale Real"),IF(AM304-AM301&lt;0.208333333333333,AM304-AM301,""),IF(AND(AM300&lt;&gt;"",LEFT(AG300,2)&lt;&gt;"Va",AM300&lt;&gt;"H. Sale Real"),IF(AM304-AM300&lt;0.208333333333333,AM304-AM300,""),IF(AND(AM299&lt;&gt;"",LEFT(AG299,2)&lt;&gt;"Va",AM299&lt;&gt;"H. Sale Real"),IF(AM304-AM299&lt;0.208333333333333,AM304-AM299,""),""))))),""),"")</f>
        <v/>
      </c>
      <c r="AX303" s="89">
        <f>IF(AK303&lt;&gt;"H. Sale Real",IF(AND(AK304&lt;&gt;"",LEFT(AG304,2)&lt;&gt;"Va"),IF(AND(AK303&lt;&gt;"",LEFT(AG303,2)&lt;&gt;"Va",AK303&lt;&gt;"H. Sale Real"),IF(AK304-AK303&lt;0.208333333333333,AK304-AK303,""),IF(AND(AK302&lt;&gt;"",LEFT(AG302,2)&lt;&gt;"Va",AK302&lt;&gt;"H. Sale Real"),IF(AK304-AK302&lt;0.208333333333333,AK304-AK302,""),IF(AND(AK301&lt;&gt;"",LEFT(AG301,2)&lt;&gt;"NC",AK301&lt;&gt;"H. Sale Real"),IF(AK304-AK301&lt;0.208333333333333,AK304-AK301,""),IF(AND(AK300&lt;&gt;"",LEFT(AG300,2)&lt;&gt;"Va",AK300&lt;&gt;"H. Sale Real"),IF(AK304-AK300&lt;0.208333333333333,AK304-AK300,""),IF(AND(AK299&lt;&gt;"",LEFT(AG299,2)&lt;&gt;"Va",AK299&lt;&gt;"H. Sale Real"),IF(AK304-AK299&lt;0.208333333333333,AK304-AK299,""),""))))),""),"")</f>
        <v/>
      </c>
      <c r="AY303" s="87" t="n"/>
      <c r="AZ303" s="89" t="n"/>
      <c r="BA303" s="87" t="n"/>
      <c r="BB303" s="89" t="n"/>
      <c r="BC303" s="91" t="n"/>
      <c r="BD303" s="122">
        <f>IF(AK303&lt;&gt;"",IF(AND(BD302&lt;&gt;"IE",AT303&lt;&gt;0,AV303&lt;&gt;""),IF(IFERROR((AT303/AV303),0) &lt;=1,IFERROR(AT303/AV303,""),1),""),"")</f>
        <v/>
      </c>
      <c r="BE303" s="93" t="n"/>
      <c r="BF303" s="105" t="n"/>
      <c r="FC303" t="inlineStr">
        <is>
          <t>Diccionario 1</t>
        </is>
      </c>
      <c r="FD303" s="15" t="n">
        <v>1302</v>
      </c>
      <c r="FE303" s="15" t="inlineStr">
        <is>
          <t>MDN35025020077</t>
        </is>
      </c>
      <c r="FF303" s="15" t="inlineStr">
        <is>
          <t>LDYECS312S0044037</t>
        </is>
      </c>
      <c r="FG303" s="15" t="inlineStr">
        <is>
          <t>Zhong Tong</t>
        </is>
      </c>
      <c r="FH303" s="15" t="inlineStr">
        <is>
          <t>Lck6122evg</t>
        </is>
      </c>
      <c r="FI303" s="15" t="inlineStr">
        <is>
          <t>ZHONGTONG</t>
        </is>
      </c>
      <c r="FJ303" s="15" t="inlineStr">
        <is>
          <t>LCK6122EVG</t>
        </is>
      </c>
      <c r="FK303" s="15" t="n">
        <v>2025</v>
      </c>
      <c r="FL303" s="15" t="inlineStr">
        <is>
          <t>B</t>
        </is>
      </c>
      <c r="FM303" s="15" t="inlineStr">
        <is>
          <t>CERRILLOS</t>
        </is>
      </c>
      <c r="FN303" s="15" t="inlineStr">
        <is>
          <t>Calle Uno 7371</t>
        </is>
      </c>
      <c r="FO303" s="15" t="inlineStr">
        <is>
          <t>Cerrillos</t>
        </is>
      </c>
      <c r="FP303" t="inlineStr">
        <is>
          <t>B</t>
        </is>
      </c>
      <c r="FS303" s="14" t="inlineStr">
        <is>
          <t>3077 / SFWZ-55|</t>
        </is>
      </c>
      <c r="FT303" t="inlineStr">
        <is>
          <t>SFWZ-55|</t>
        </is>
      </c>
      <c r="FU303" t="inlineStr">
        <is>
          <t>SFWZ-55</t>
        </is>
      </c>
      <c r="FV303">
        <f>VLOOKUP(FU303,FD:FL,9,0)</f>
        <v/>
      </c>
      <c r="HA303" s="35" t="n">
        <v>73</v>
      </c>
      <c r="HB303" s="35" t="n">
        <v>297</v>
      </c>
    </row>
    <row r="304" ht="15.5" customHeight="1">
      <c r="A304" s="10">
        <f>HOUR(G304)+1</f>
        <v/>
      </c>
      <c r="B304" s="7" t="n"/>
      <c r="C304" s="7" t="n"/>
      <c r="D304" s="85">
        <f>IFERROR(
IF(AND(OR(Planilla!B304="C",Planilla!B304="c"), VLOOKUP(E304,FD:FP,13,0)="C"), "OK",IF(AND(OR(Planilla!B304="C",Planilla!B304="c"), OR(VLOOKUP(E304,FD:FP,13,0)="B", VLOOKUP(E304,FD:FP,13,0)="A")), "DEFICIT",IF(
AND(OR(Planilla!B304="B", Planilla!B304="BPAL"), VLOOKUP(E304,FD:FP,13,0)="B"), "OK",IF(AND(OR(Planilla!B304="B", Planilla!B304="BPAL"), VLOOKUP(E304,FD:FP,13,0)="A"), "DEFICIT",IF(AND(OR(Planilla!B304="B", Planilla!B304="BPAL"), VLOOKUP(E304,FD:FP,13,0)="C"), "SOBREOFERTA",IF(AND(Planilla!B304="A", VLOOKUP(E304,FD:FP,13,0)="A"), "OK",IF(
AND(Planilla!B304="A", OR(VLOOKUP(E304,FD:FP,13,0)="B", VLOOKUP(E304,FD:FP,13,0)="C")), "SOBREOFERTA",""
))))))),"")</f>
        <v/>
      </c>
      <c r="E304" s="8" t="n"/>
      <c r="F304" s="86" t="n"/>
      <c r="G304" s="87" t="n"/>
      <c r="H304" s="88">
        <f>IF(I304="","",IF(AND((I304-G304)&gt;=TIME(0,0,0),(I304-G304)&lt;TIME(0,3,0)),"OK",IF(AND((I304-G304)&gt;=TIME(0,3,0),(I304-G304)&lt;TIME(0,5,0)),"RETRASO DE 3-5 MIN",IF(AND((I304-G304)&gt;=TIME(0,5,0),(I304-G304)&lt;TIME(0,10,0)),"RETRASO DE 5-10 MIN",IF((I304-G304)&gt;=TIME(0,10,0),"RETRASO &gt;10 MIN", IF(AND((G304-I304)&gt;=TIME(0,0,0),(G304-I304)&lt;TIME(0,3,0)),"OK",IF((G304-I304)&gt;=TIME(0,3,0),"ADELANTADO")))))))</f>
        <v/>
      </c>
      <c r="I304" s="89" t="n"/>
      <c r="J304" s="89">
        <f>IF(A304&lt;&gt;"",HLOOKUP(VALUE(TEXT(G304,"h:mm:ss")),IF($C$6="Laboral",$FZ$4:$GX$227,IF($C$6="Sábado",$FZ$231:$GX$452,$FZ$456:$GX$656)),VLOOKUP($C$4,$HF$2:$HH$99,3,0)+IF(C$5="Ida",0,1),1),"")</f>
        <v/>
      </c>
      <c r="K304" s="89">
        <f>IF(A305&lt;&gt;A304,AVERAGEIF(A$9:A304,A304,J$9:J304),"")</f>
        <v/>
      </c>
      <c r="L304" s="89">
        <f>IFERROR(IF(A305&lt;&gt;A304,AVERAGEIF(A$9:A304,A304,S$9:S304),""),"")</f>
        <v/>
      </c>
      <c r="M304" s="89">
        <f>IFERROR(IF(A305&lt;&gt;A304,AVERAGEIF(A$9:A304,A304,T$9:T304),""),"")</f>
        <v/>
      </c>
      <c r="N304" s="89">
        <f t="array" ref="N304">IFERROR(IF(A305&lt;&gt;A304,_xlfn.STDEV.P(IF(A$9:A304=A304,T$9:T304)),""),"")</f>
        <v/>
      </c>
      <c r="O304" s="89">
        <f t="array" ref="O304">IFERROR(IF(A305&lt;&gt;A304,_xlfn.STDEV.P(IF(A$9:A304=A304,S$9:S304)),""),"")</f>
        <v/>
      </c>
      <c r="P304" s="90">
        <f>IFERROR(IF(A304&lt;&gt;A305,MAX((((M304*24*60)/2)*(1+POWER((((N304*24*60) / (M304*24*60) )),2))) + ((M304*24*60 )*-0.1 + (K304*0.015)) +1,(((M304*24*60)/2)*(1+POWER((((N304*24*60) / (M304*24*60 ))),2)))),""),"")</f>
        <v/>
      </c>
      <c r="Q304" s="90">
        <f>IF(AND(O304&lt;&gt;"",L304&lt;&gt;""),IF(A304&lt;&gt;A305,((L304*24*60) / 2 ) * (1 + POWER(((O304*24*60) / (L304*24*60)),2)),""),"")</f>
        <v/>
      </c>
      <c r="R304" s="90">
        <f>IF(Q304&lt;&gt;"",MAX(P304,Q304),"")</f>
        <v/>
      </c>
      <c r="S304" s="89">
        <f>IF(I304&lt;&gt;"H. Sale Real",IF(AND(I305&lt;&gt;"",LEFT(C305,2)&lt;&gt;"Va"),IF(AND(I304&lt;&gt;"",LEFT(C304,2)&lt;&gt;"Va",I304&lt;&gt;"H. Sale Real"),IF(I305-I304&lt;0.208333333333333,I305-I304,""),IF(AND(I303&lt;&gt;"",LEFT(C303,2)&lt;&gt;"Va",I303&lt;&gt;"H. Sale Real"),IF(I305-I303&lt;0.208333333333333,I305-I303,""),IF(AND(I302&lt;&gt;"",LEFT(C302,2)&lt;&gt;"Va",I302&lt;&gt;"H. Sale Real"),IF(I305-I302&lt;0.208333333333333,I305-I302,""),IF(AND(I301&lt;&gt;"",LEFT(C301,2)&lt;&gt;"Va",I301&lt;&gt;"H. Sale Real"),IF(I305-I301&lt;0.208333333333333,I305-I301,""),IF(AND(I300&lt;&gt;"",LEFT(C300,2)&lt;&gt;"Va",I300&lt;&gt;"H. Sale Real"),IF(I305-I300&lt;0.208333333333333,I305-I300,""),""))))),""),"")</f>
        <v/>
      </c>
      <c r="T304" s="89">
        <f>IF(G304&lt;&gt;"H. Sale Real",IF(AND(G305&lt;&gt;"",LEFT(C305,2)&lt;&gt;"Va"),IF(AND(G304&lt;&gt;"",LEFT(C304,2)&lt;&gt;"Va",G304&lt;&gt;"H. Sale Real"),IF(G305-G304&lt;0.208333333333333,G305-G304,""),IF(AND(G303&lt;&gt;"",LEFT(C303,2)&lt;&gt;"Va",G303&lt;&gt;"H. Sale Real"),IF(G305-G303&lt;0.208333333333333,G305-G303,""),IF(AND(G302&lt;&gt;"",LEFT(C302,2)&lt;&gt;"Va",G302&lt;&gt;"H. Sale Real"),IF(G305-G302&lt;0.208333333333333,G305-G302,""),IF(AND(G301&lt;&gt;"",LEFT(C301,2)&lt;&gt;"Va",G301&lt;&gt;"H. Sale Real"),IF(G305-G301&lt;0.208333333333333,G305-G301,""),IF(AND(G300&lt;&gt;"",LEFT(C300,2)&lt;&gt;"Va",G300&lt;&gt;"H. Sale Real"),IF(G305-G300&lt;0.208333333333333,G305-G300,""),""))))),""),"")</f>
        <v/>
      </c>
      <c r="U304" s="87" t="n"/>
      <c r="V304" s="89" t="n"/>
      <c r="W304" s="87" t="n"/>
      <c r="X304" s="89" t="n"/>
      <c r="Y304" s="91" t="n"/>
      <c r="Z304" s="122">
        <f>IF(G304&lt;&gt;"",IF(AND(Z303&lt;&gt;"IE",P304&lt;&gt;0,R304&lt;&gt;""),IF(IFERROR((P304/R304),0) &lt;=1,IFERROR(P304/R304,""),1),""),"")</f>
        <v/>
      </c>
      <c r="AA304" s="93" t="n"/>
      <c r="AB304" s="2" t="n"/>
      <c r="AE304" s="10">
        <f>HOUR(AK304)+1</f>
        <v/>
      </c>
      <c r="AF304" s="7" t="n"/>
      <c r="AG304" s="7" t="n"/>
      <c r="AH304" s="86" t="n"/>
      <c r="AI304" s="8" t="n"/>
      <c r="AJ304" s="86" t="n"/>
      <c r="AK304" s="87" t="n"/>
      <c r="AL304" s="88">
        <f>IF(AM304="","",IF(AND((AM304-AK304)&gt;=TIME(0,0,0),(AM304-AK304)&lt;TIME(0,3,0)),"OK",IF(AND((AM304-AK304)&gt;=TIME(0,3,0),(AM304-AK304)&lt;TIME(0,5,0)),"RETRASO DE 3-5 MIN",IF(AND((AM304-AK304)&gt;=TIME(0,5,0),(AM304-AK304)&lt;TIME(0,10,0)),"RETRASO DE 5-10 MIN",IF((AM304-AK304)&gt;=TIME(0,10,0),"RETRASO &gt;10 MIN", IF(AND((AK304-AM304)&gt;=TIME(0,0,0),(AK304-AM304)&lt;TIME(0,3,0)),"OK",IF((AK304-AM304)&gt;=TIME(0,3,0),"ADELANTADO")))))))</f>
        <v/>
      </c>
      <c r="AM304" s="91" t="n"/>
      <c r="AN304" s="89">
        <f>IF(AE304&lt;&gt;"",HLOOKUP(VALUE(TEXT(AK304,"h:mm:ss")),IF($C$6="Laboral",$FZ$4:$GX$227,IF($C$6="Sábado",$FZ$231:$GX$452,$FZ$456:$GX$656)),VLOOKUP($C$4,$HF$2:$HH$99,3,0)+IF(AG$5="Ida",0,1),1),"")</f>
        <v/>
      </c>
      <c r="AO304" s="89">
        <f>IF(AE305&lt;&gt;AE304,AVERAGEIF(AE$9:AE304,AE304,AN$9:AN304),"")</f>
        <v/>
      </c>
      <c r="AP304" s="89">
        <f>IFERROR(IF(AE305&lt;&gt;AE304,AVERAGEIF(AE$9:AE304,AE304,AW$9:AW304),""),"")</f>
        <v/>
      </c>
      <c r="AQ304" s="89">
        <f>IFERROR(IF(AE305&lt;&gt;AE304,AVERAGEIF(AE$9:AE304,AE304,AX$9:AX304),""),"")</f>
        <v/>
      </c>
      <c r="AR304" s="89">
        <f t="array" ref="AR304">IFERROR(IF(AE305&lt;&gt;AE304,_xlfn.STDEV.P(IF(AE$9:AE304=AE304,AX$9:AX304)),""),"")</f>
        <v/>
      </c>
      <c r="AS304" s="89">
        <f t="array" ref="AS304">IFERROR(IF(AE305&lt;&gt;AE304,_xlfn.STDEV.P(IF(AE$9:AE304=AE304,AW$9:AW304)),""),"")</f>
        <v/>
      </c>
      <c r="AT304" s="90">
        <f>IFERROR(IF(AE304&lt;&gt;AE305,MAX((((AQ304*24*60)/2)*(1+POWER((((AR304*24*60) / (AQ304*24*60) )),2))) + ((AQ304*24*60 )*-0.1 + (AO304*0.015)) +1,(((AQ304*24*60)/2)*(1+POWER((((AR304*24*60) / (AQ304*24*60 ))),2)))),""),"")</f>
        <v/>
      </c>
      <c r="AU304" s="90">
        <f>IF(AND(AS304&lt;&gt;"",AP304&lt;&gt;""),IF(AE304&lt;&gt;AE305,((AP304*24*60) / 2 ) * (1 + POWER(((AS304*24*60) / (AP304*24*60)),2)),""),"")</f>
        <v/>
      </c>
      <c r="AV304" s="90">
        <f>IF(AU304&lt;&gt;"",MAX(AT304,AU304),"")</f>
        <v/>
      </c>
      <c r="AW304" s="89">
        <f>IF(AM304&lt;&gt;"H. Sale Real",IF(AND(AM305&lt;&gt;"",LEFT(AG305,2)&lt;&gt;"Va"),IF(AND(AM304&lt;&gt;"",LEFT(AG304,2)&lt;&gt;"Va",AM304&lt;&gt;"H. Sale Real"),IF(AM305-AM304&lt;0.208333333333333,AM305-AM304,""),IF(AND(AM303&lt;&gt;"",LEFT(AG303,2)&lt;&gt;"Va",AM303&lt;&gt;"H. Sale Real"),IF(AM305-AM303&lt;0.208333333333333,AM305-AM303,""),IF(AND(AM302&lt;&gt;"",LEFT(AG302,2)&lt;&gt;"Va",AM302&lt;&gt;"H. Sale Real"),IF(AM305-AM302&lt;0.208333333333333,AM305-AM302,""),IF(AND(AM301&lt;&gt;"",LEFT(AG301,2)&lt;&gt;"Va",AM301&lt;&gt;"H. Sale Real"),IF(AM305-AM301&lt;0.208333333333333,AM305-AM301,""),IF(AND(AM300&lt;&gt;"",LEFT(AG300,2)&lt;&gt;"Va",AM300&lt;&gt;"H. Sale Real"),IF(AM305-AM300&lt;0.208333333333333,AM305-AM300,""),""))))),""),"")</f>
        <v/>
      </c>
      <c r="AX304" s="89">
        <f>IF(AK304&lt;&gt;"H. Sale Real",IF(AND(AK305&lt;&gt;"",LEFT(AG305,2)&lt;&gt;"Va"),IF(AND(AK304&lt;&gt;"",LEFT(AG304,2)&lt;&gt;"Va",AK304&lt;&gt;"H. Sale Real"),IF(AK305-AK304&lt;0.208333333333333,AK305-AK304,""),IF(AND(AK303&lt;&gt;"",LEFT(AG303,2)&lt;&gt;"Va",AK303&lt;&gt;"H. Sale Real"),IF(AK305-AK303&lt;0.208333333333333,AK305-AK303,""),IF(AND(AK302&lt;&gt;"",LEFT(AG302,2)&lt;&gt;"NC",AK302&lt;&gt;"H. Sale Real"),IF(AK305-AK302&lt;0.208333333333333,AK305-AK302,""),IF(AND(AK301&lt;&gt;"",LEFT(AG301,2)&lt;&gt;"Va",AK301&lt;&gt;"H. Sale Real"),IF(AK305-AK301&lt;0.208333333333333,AK305-AK301,""),IF(AND(AK300&lt;&gt;"",LEFT(AG300,2)&lt;&gt;"Va",AK300&lt;&gt;"H. Sale Real"),IF(AK305-AK300&lt;0.208333333333333,AK305-AK300,""),""))))),""),"")</f>
        <v/>
      </c>
      <c r="AY304" s="87" t="n"/>
      <c r="AZ304" s="89" t="n"/>
      <c r="BA304" s="87" t="n"/>
      <c r="BB304" s="89" t="n"/>
      <c r="BC304" s="91" t="n"/>
      <c r="BD304" s="122">
        <f>IF(AK304&lt;&gt;"",IF(AND(BD303&lt;&gt;"IE",AT304&lt;&gt;0,AV304&lt;&gt;""),IF(IFERROR((AT304/AV304),0) &lt;=1,IFERROR(AT304/AV304,""),1),""),"")</f>
        <v/>
      </c>
      <c r="BE304" s="93" t="n"/>
      <c r="BF304" s="105" t="n"/>
      <c r="FC304" t="inlineStr">
        <is>
          <t>Diccionario 1</t>
        </is>
      </c>
      <c r="FD304" s="15" t="n">
        <v>1303</v>
      </c>
      <c r="FE304" s="15" t="inlineStr">
        <is>
          <t>MDN35025020033</t>
        </is>
      </c>
      <c r="FF304" s="15" t="inlineStr">
        <is>
          <t>LDYECS318S0044088</t>
        </is>
      </c>
      <c r="FG304" s="15" t="inlineStr">
        <is>
          <t>Zhong Tong</t>
        </is>
      </c>
      <c r="FH304" s="15" t="inlineStr">
        <is>
          <t>Lck6122evg</t>
        </is>
      </c>
      <c r="FI304" s="15" t="inlineStr">
        <is>
          <t>ZHONGTONG</t>
        </is>
      </c>
      <c r="FJ304" s="15" t="inlineStr">
        <is>
          <t>LCK6122EVG</t>
        </is>
      </c>
      <c r="FK304" s="15" t="n">
        <v>2025</v>
      </c>
      <c r="FL304" s="15" t="inlineStr">
        <is>
          <t>B</t>
        </is>
      </c>
      <c r="FM304" s="15" t="inlineStr">
        <is>
          <t>PIE ANDINO</t>
        </is>
      </c>
      <c r="FN304" s="15" t="inlineStr">
        <is>
          <t>Pie Andino 31 (Pie Andino 383)</t>
        </is>
      </c>
      <c r="FO304" s="15" t="inlineStr">
        <is>
          <t>Puente Alto</t>
        </is>
      </c>
      <c r="FP304" t="inlineStr">
        <is>
          <t>B</t>
        </is>
      </c>
      <c r="FS304" s="14" t="inlineStr">
        <is>
          <t>3077 / SFWZ-55|</t>
        </is>
      </c>
      <c r="FT304" t="inlineStr">
        <is>
          <t>SFWZ-55|</t>
        </is>
      </c>
      <c r="FU304" t="inlineStr">
        <is>
          <t>SFWZ-55</t>
        </is>
      </c>
      <c r="FV304">
        <f>VLOOKUP(FU304,FD:FL,9,0)</f>
        <v/>
      </c>
      <c r="HA304" s="35" t="n">
        <v>74</v>
      </c>
      <c r="HB304" s="35" t="n">
        <v>298</v>
      </c>
    </row>
    <row r="305" ht="15.5" customHeight="1">
      <c r="A305" s="10">
        <f>HOUR(G305)+1</f>
        <v/>
      </c>
      <c r="B305" s="7" t="n"/>
      <c r="C305" s="7" t="n"/>
      <c r="D305" s="85">
        <f>IFERROR(
IF(AND(OR(Planilla!B305="C",Planilla!B305="c"), VLOOKUP(E305,FD:FP,13,0)="C"), "OK",IF(AND(OR(Planilla!B305="C",Planilla!B305="c"), OR(VLOOKUP(E305,FD:FP,13,0)="B", VLOOKUP(E305,FD:FP,13,0)="A")), "DEFICIT",IF(
AND(OR(Planilla!B305="B", Planilla!B305="BPAL"), VLOOKUP(E305,FD:FP,13,0)="B"), "OK",IF(AND(OR(Planilla!B305="B", Planilla!B305="BPAL"), VLOOKUP(E305,FD:FP,13,0)="A"), "DEFICIT",IF(AND(OR(Planilla!B305="B", Planilla!B305="BPAL"), VLOOKUP(E305,FD:FP,13,0)="C"), "SOBREOFERTA",IF(AND(Planilla!B305="A", VLOOKUP(E305,FD:FP,13,0)="A"), "OK",IF(
AND(Planilla!B305="A", OR(VLOOKUP(E305,FD:FP,13,0)="B", VLOOKUP(E305,FD:FP,13,0)="C")), "SOBREOFERTA",""
))))))),"")</f>
        <v/>
      </c>
      <c r="E305" s="8" t="n"/>
      <c r="F305" s="86" t="n"/>
      <c r="G305" s="87" t="n"/>
      <c r="H305" s="88">
        <f>IF(I305="","",IF(AND((I305-G305)&gt;=TIME(0,0,0),(I305-G305)&lt;TIME(0,3,0)),"OK",IF(AND((I305-G305)&gt;=TIME(0,3,0),(I305-G305)&lt;TIME(0,5,0)),"RETRASO DE 3-5 MIN",IF(AND((I305-G305)&gt;=TIME(0,5,0),(I305-G305)&lt;TIME(0,10,0)),"RETRASO DE 5-10 MIN",IF((I305-G305)&gt;=TIME(0,10,0),"RETRASO &gt;10 MIN", IF(AND((G305-I305)&gt;=TIME(0,0,0),(G305-I305)&lt;TIME(0,3,0)),"OK",IF((G305-I305)&gt;=TIME(0,3,0),"ADELANTADO")))))))</f>
        <v/>
      </c>
      <c r="I305" s="89" t="n"/>
      <c r="J305" s="89">
        <f>IF(A305&lt;&gt;"",HLOOKUP(VALUE(TEXT(G305,"h:mm:ss")),IF($C$6="Laboral",$FZ$4:$GX$227,IF($C$6="Sábado",$FZ$231:$GX$452,$FZ$456:$GX$656)),VLOOKUP($C$4,$HF$2:$HH$99,3,0)+IF(C$5="Ida",0,1),1),"")</f>
        <v/>
      </c>
      <c r="K305" s="89">
        <f>IF(A306&lt;&gt;A305,AVERAGEIF(A$9:A305,A305,J$9:J305),"")</f>
        <v/>
      </c>
      <c r="L305" s="89">
        <f>IFERROR(IF(A306&lt;&gt;A305,AVERAGEIF(A$9:A305,A305,S$9:S305),""),"")</f>
        <v/>
      </c>
      <c r="M305" s="89">
        <f>IFERROR(IF(A306&lt;&gt;A305,AVERAGEIF(A$9:A305,A305,T$9:T305),""),"")</f>
        <v/>
      </c>
      <c r="N305" s="89">
        <f t="array" ref="N305">IFERROR(IF(A306&lt;&gt;A305,_xlfn.STDEV.P(IF(A$9:A305=A305,T$9:T305)),""),"")</f>
        <v/>
      </c>
      <c r="O305" s="89">
        <f t="array" ref="O305">IFERROR(IF(A306&lt;&gt;A305,_xlfn.STDEV.P(IF(A$9:A305=A305,S$9:S305)),""),"")</f>
        <v/>
      </c>
      <c r="P305" s="90">
        <f>IFERROR(IF(A305&lt;&gt;A306,MAX((((M305*24*60)/2)*(1+POWER((((N305*24*60) / (M305*24*60) )),2))) + ((M305*24*60 )*-0.1 + (K305*0.015)) +1,(((M305*24*60)/2)*(1+POWER((((N305*24*60) / (M305*24*60 ))),2)))),""),"")</f>
        <v/>
      </c>
      <c r="Q305" s="90">
        <f>IF(AND(O305&lt;&gt;"",L305&lt;&gt;""),IF(A305&lt;&gt;A306,((L305*24*60) / 2 ) * (1 + POWER(((O305*24*60) / (L305*24*60)),2)),""),"")</f>
        <v/>
      </c>
      <c r="R305" s="90">
        <f>IF(Q305&lt;&gt;"",MAX(P305,Q305),"")</f>
        <v/>
      </c>
      <c r="S305" s="89">
        <f>IF(I305&lt;&gt;"H. Sale Real",IF(AND(I306&lt;&gt;"",LEFT(C306,2)&lt;&gt;"Va"),IF(AND(I305&lt;&gt;"",LEFT(C305,2)&lt;&gt;"Va",I305&lt;&gt;"H. Sale Real"),IF(I306-I305&lt;0.208333333333333,I306-I305,""),IF(AND(I304&lt;&gt;"",LEFT(C304,2)&lt;&gt;"Va",I304&lt;&gt;"H. Sale Real"),IF(I306-I304&lt;0.208333333333333,I306-I304,""),IF(AND(I303&lt;&gt;"",LEFT(C303,2)&lt;&gt;"Va",I303&lt;&gt;"H. Sale Real"),IF(I306-I303&lt;0.208333333333333,I306-I303,""),IF(AND(I302&lt;&gt;"",LEFT(C302,2)&lt;&gt;"Va",I302&lt;&gt;"H. Sale Real"),IF(I306-I302&lt;0.208333333333333,I306-I302,""),IF(AND(I301&lt;&gt;"",LEFT(C301,2)&lt;&gt;"Va",I301&lt;&gt;"H. Sale Real"),IF(I306-I301&lt;0.208333333333333,I306-I301,""),""))))),""),"")</f>
        <v/>
      </c>
      <c r="T305" s="89">
        <f>IF(G305&lt;&gt;"H. Sale Real",IF(AND(G306&lt;&gt;"",LEFT(C306,2)&lt;&gt;"Va"),IF(AND(G305&lt;&gt;"",LEFT(C305,2)&lt;&gt;"Va",G305&lt;&gt;"H. Sale Real"),IF(G306-G305&lt;0.208333333333333,G306-G305,""),IF(AND(G304&lt;&gt;"",LEFT(C304,2)&lt;&gt;"Va",G304&lt;&gt;"H. Sale Real"),IF(G306-G304&lt;0.208333333333333,G306-G304,""),IF(AND(G303&lt;&gt;"",LEFT(C303,2)&lt;&gt;"Va",G303&lt;&gt;"H. Sale Real"),IF(G306-G303&lt;0.208333333333333,G306-G303,""),IF(AND(G302&lt;&gt;"",LEFT(C302,2)&lt;&gt;"Va",G302&lt;&gt;"H. Sale Real"),IF(G306-G302&lt;0.208333333333333,G306-G302,""),IF(AND(G301&lt;&gt;"",LEFT(C301,2)&lt;&gt;"Va",G301&lt;&gt;"H. Sale Real"),IF(G306-G301&lt;0.208333333333333,G306-G301,""),""))))),""),"")</f>
        <v/>
      </c>
      <c r="U305" s="87" t="n"/>
      <c r="V305" s="89" t="n"/>
      <c r="W305" s="87" t="n"/>
      <c r="X305" s="89" t="n"/>
      <c r="Y305" s="91" t="n"/>
      <c r="Z305" s="122">
        <f>IF(G305&lt;&gt;"",IF(AND(Z304&lt;&gt;"IE",P305&lt;&gt;0,R305&lt;&gt;""),IF(IFERROR((P305/R305),0) &lt;=1,IFERROR(P305/R305,""),1),""),"")</f>
        <v/>
      </c>
      <c r="AA305" s="93" t="n"/>
      <c r="AB305" s="2" t="n"/>
      <c r="AE305" s="10">
        <f>HOUR(AK305)+1</f>
        <v/>
      </c>
      <c r="AF305" s="7" t="n"/>
      <c r="AG305" s="7" t="n"/>
      <c r="AH305" s="86" t="n"/>
      <c r="AI305" s="8" t="n"/>
      <c r="AJ305" s="86" t="n"/>
      <c r="AK305" s="87" t="n"/>
      <c r="AL305" s="88">
        <f>IF(AM305="","",IF(AND((AM305-AK305)&gt;=TIME(0,0,0),(AM305-AK305)&lt;TIME(0,3,0)),"OK",IF(AND((AM305-AK305)&gt;=TIME(0,3,0),(AM305-AK305)&lt;TIME(0,5,0)),"RETRASO DE 3-5 MIN",IF(AND((AM305-AK305)&gt;=TIME(0,5,0),(AM305-AK305)&lt;TIME(0,10,0)),"RETRASO DE 5-10 MIN",IF((AM305-AK305)&gt;=TIME(0,10,0),"RETRASO &gt;10 MIN", IF(AND((AK305-AM305)&gt;=TIME(0,0,0),(AK305-AM305)&lt;TIME(0,3,0)),"OK",IF((AK305-AM305)&gt;=TIME(0,3,0),"ADELANTADO")))))))</f>
        <v/>
      </c>
      <c r="AM305" s="91" t="n"/>
      <c r="AN305" s="89">
        <f>IF(AE305&lt;&gt;"",HLOOKUP(VALUE(TEXT(AK305,"h:mm:ss")),IF($C$6="Laboral",$FZ$4:$GX$227,IF($C$6="Sábado",$FZ$231:$GX$452,$FZ$456:$GX$656)),VLOOKUP($C$4,$HF$2:$HH$99,3,0)+IF(AG$5="Ida",0,1),1),"")</f>
        <v/>
      </c>
      <c r="AO305" s="89">
        <f>IF(AE306&lt;&gt;AE305,AVERAGEIF(AE$9:AE305,AE305,AN$9:AN305),"")</f>
        <v/>
      </c>
      <c r="AP305" s="89">
        <f>IFERROR(IF(AE306&lt;&gt;AE305,AVERAGEIF(AE$9:AE305,AE305,AW$9:AW305),""),"")</f>
        <v/>
      </c>
      <c r="AQ305" s="89">
        <f>IFERROR(IF(AE306&lt;&gt;AE305,AVERAGEIF(AE$9:AE305,AE305,AX$9:AX305),""),"")</f>
        <v/>
      </c>
      <c r="AR305" s="89">
        <f t="array" ref="AR305">IFERROR(IF(AE306&lt;&gt;AE305,_xlfn.STDEV.P(IF(AE$9:AE305=AE305,AX$9:AX305)),""),"")</f>
        <v/>
      </c>
      <c r="AS305" s="89">
        <f t="array" ref="AS305">IFERROR(IF(AE306&lt;&gt;AE305,_xlfn.STDEV.P(IF(AE$9:AE305=AE305,AW$9:AW305)),""),"")</f>
        <v/>
      </c>
      <c r="AT305" s="90">
        <f>IFERROR(IF(AE305&lt;&gt;AE306,MAX((((AQ305*24*60)/2)*(1+POWER((((AR305*24*60) / (AQ305*24*60) )),2))) + ((AQ305*24*60 )*-0.1 + (AO305*0.015)) +1,(((AQ305*24*60)/2)*(1+POWER((((AR305*24*60) / (AQ305*24*60 ))),2)))),""),"")</f>
        <v/>
      </c>
      <c r="AU305" s="90">
        <f>IF(AND(AS305&lt;&gt;"",AP305&lt;&gt;""),IF(AE305&lt;&gt;AE306,((AP305*24*60) / 2 ) * (1 + POWER(((AS305*24*60) / (AP305*24*60)),2)),""),"")</f>
        <v/>
      </c>
      <c r="AV305" s="90">
        <f>IF(AU305&lt;&gt;"",MAX(AT305,AU305),"")</f>
        <v/>
      </c>
      <c r="AW305" s="89">
        <f>IF(AM305&lt;&gt;"H. Sale Real",IF(AND(AM306&lt;&gt;"",LEFT(AG306,2)&lt;&gt;"Va"),IF(AND(AM305&lt;&gt;"",LEFT(AG305,2)&lt;&gt;"Va",AM305&lt;&gt;"H. Sale Real"),IF(AM306-AM305&lt;0.208333333333333,AM306-AM305,""),IF(AND(AM304&lt;&gt;"",LEFT(AG304,2)&lt;&gt;"Va",AM304&lt;&gt;"H. Sale Real"),IF(AM306-AM304&lt;0.208333333333333,AM306-AM304,""),IF(AND(AM303&lt;&gt;"",LEFT(AG303,2)&lt;&gt;"Va",AM303&lt;&gt;"H. Sale Real"),IF(AM306-AM303&lt;0.208333333333333,AM306-AM303,""),IF(AND(AM302&lt;&gt;"",LEFT(AG302,2)&lt;&gt;"Va",AM302&lt;&gt;"H. Sale Real"),IF(AM306-AM302&lt;0.208333333333333,AM306-AM302,""),IF(AND(AM301&lt;&gt;"",LEFT(AG301,2)&lt;&gt;"Va",AM301&lt;&gt;"H. Sale Real"),IF(AM306-AM301&lt;0.208333333333333,AM306-AM301,""),""))))),""),"")</f>
        <v/>
      </c>
      <c r="AX305" s="89">
        <f>IF(AK305&lt;&gt;"H. Sale Real",IF(AND(AK306&lt;&gt;"",LEFT(AG306,2)&lt;&gt;"Va"),IF(AND(AK305&lt;&gt;"",LEFT(AG305,2)&lt;&gt;"Va",AK305&lt;&gt;"H. Sale Real"),IF(AK306-AK305&lt;0.208333333333333,AK306-AK305,""),IF(AND(AK304&lt;&gt;"",LEFT(AG304,2)&lt;&gt;"Va",AK304&lt;&gt;"H. Sale Real"),IF(AK306-AK304&lt;0.208333333333333,AK306-AK304,""),IF(AND(AK303&lt;&gt;"",LEFT(AG303,2)&lt;&gt;"NC",AK303&lt;&gt;"H. Sale Real"),IF(AK306-AK303&lt;0.208333333333333,AK306-AK303,""),IF(AND(AK302&lt;&gt;"",LEFT(AG302,2)&lt;&gt;"Va",AK302&lt;&gt;"H. Sale Real"),IF(AK306-AK302&lt;0.208333333333333,AK306-AK302,""),IF(AND(AK301&lt;&gt;"",LEFT(AG301,2)&lt;&gt;"Va",AK301&lt;&gt;"H. Sale Real"),IF(AK306-AK301&lt;0.208333333333333,AK306-AK301,""),""))))),""),"")</f>
        <v/>
      </c>
      <c r="AY305" s="87" t="n"/>
      <c r="AZ305" s="89" t="n"/>
      <c r="BA305" s="87" t="n"/>
      <c r="BB305" s="89" t="n"/>
      <c r="BC305" s="91" t="n"/>
      <c r="BD305" s="122">
        <f>IF(AK305&lt;&gt;"",IF(AND(BD304&lt;&gt;"IE",AT305&lt;&gt;0,AV305&lt;&gt;""),IF(IFERROR((AT305/AV305),0) &lt;=1,IFERROR(AT305/AV305,""),1),""),"")</f>
        <v/>
      </c>
      <c r="BE305" s="93" t="n"/>
      <c r="BF305" s="105" t="n"/>
      <c r="FC305" t="inlineStr">
        <is>
          <t>Diccionario 1</t>
        </is>
      </c>
      <c r="FD305" s="15" t="n">
        <v>1304</v>
      </c>
      <c r="FE305" s="15" t="inlineStr">
        <is>
          <t>MDN35025010021</t>
        </is>
      </c>
      <c r="FF305" s="15" t="inlineStr">
        <is>
          <t>LDYECS313S0044113</t>
        </is>
      </c>
      <c r="FG305" s="15" t="inlineStr">
        <is>
          <t>Zhong Tong</t>
        </is>
      </c>
      <c r="FH305" s="15" t="inlineStr">
        <is>
          <t>Lck6122evg</t>
        </is>
      </c>
      <c r="FI305" s="15" t="inlineStr">
        <is>
          <t>ZHONGTONG</t>
        </is>
      </c>
      <c r="FJ305" s="15" t="inlineStr">
        <is>
          <t>LCK6122EVG</t>
        </is>
      </c>
      <c r="FK305" s="15" t="n">
        <v>2025</v>
      </c>
      <c r="FL305" s="15" t="inlineStr">
        <is>
          <t>B</t>
        </is>
      </c>
      <c r="FM305" s="15" t="inlineStr">
        <is>
          <t>CERRILLOS</t>
        </is>
      </c>
      <c r="FN305" s="15" t="inlineStr">
        <is>
          <t>Calle Uno 7371</t>
        </is>
      </c>
      <c r="FO305" s="15" t="inlineStr">
        <is>
          <t>Cerrillos</t>
        </is>
      </c>
      <c r="FP305" t="inlineStr">
        <is>
          <t>B</t>
        </is>
      </c>
      <c r="FS305" s="14" t="inlineStr">
        <is>
          <t>3077 / SFWZ-55|</t>
        </is>
      </c>
      <c r="FT305" t="inlineStr">
        <is>
          <t>SFWZ-55|</t>
        </is>
      </c>
      <c r="FU305" t="inlineStr">
        <is>
          <t>SFWZ-55</t>
        </is>
      </c>
      <c r="FV305">
        <f>VLOOKUP(FU305,FD:FL,9,0)</f>
        <v/>
      </c>
      <c r="HA305" s="35" t="n">
        <v>75</v>
      </c>
      <c r="HB305" s="35" t="n">
        <v>299</v>
      </c>
    </row>
    <row r="306" ht="15.5" customHeight="1">
      <c r="A306" s="10">
        <f>HOUR(G306)+1</f>
        <v/>
      </c>
      <c r="B306" s="7" t="n"/>
      <c r="C306" s="7" t="n"/>
      <c r="D306" s="85">
        <f>IFERROR(
IF(AND(OR(Planilla!B306="C",Planilla!B306="c"), VLOOKUP(E306,FD:FP,13,0)="C"), "OK",IF(AND(OR(Planilla!B306="C",Planilla!B306="c"), OR(VLOOKUP(E306,FD:FP,13,0)="B", VLOOKUP(E306,FD:FP,13,0)="A")), "DEFICIT",IF(
AND(OR(Planilla!B306="B", Planilla!B306="BPAL"), VLOOKUP(E306,FD:FP,13,0)="B"), "OK",IF(AND(OR(Planilla!B306="B", Planilla!B306="BPAL"), VLOOKUP(E306,FD:FP,13,0)="A"), "DEFICIT",IF(AND(OR(Planilla!B306="B", Planilla!B306="BPAL"), VLOOKUP(E306,FD:FP,13,0)="C"), "SOBREOFERTA",IF(AND(Planilla!B306="A", VLOOKUP(E306,FD:FP,13,0)="A"), "OK",IF(
AND(Planilla!B306="A", OR(VLOOKUP(E306,FD:FP,13,0)="B", VLOOKUP(E306,FD:FP,13,0)="C")), "SOBREOFERTA",""
))))))),"")</f>
        <v/>
      </c>
      <c r="E306" s="8" t="n"/>
      <c r="F306" s="86" t="n"/>
      <c r="G306" s="87" t="n"/>
      <c r="H306" s="88">
        <f>IF(I306="","",IF(AND((I306-G306)&gt;=TIME(0,0,0),(I306-G306)&lt;TIME(0,3,0)),"OK",IF(AND((I306-G306)&gt;=TIME(0,3,0),(I306-G306)&lt;TIME(0,5,0)),"RETRASO DE 3-5 MIN",IF(AND((I306-G306)&gt;=TIME(0,5,0),(I306-G306)&lt;TIME(0,10,0)),"RETRASO DE 5-10 MIN",IF((I306-G306)&gt;=TIME(0,10,0),"RETRASO &gt;10 MIN", IF(AND((G306-I306)&gt;=TIME(0,0,0),(G306-I306)&lt;TIME(0,3,0)),"OK",IF((G306-I306)&gt;=TIME(0,3,0),"ADELANTADO")))))))</f>
        <v/>
      </c>
      <c r="I306" s="89" t="n"/>
      <c r="J306" s="89">
        <f>IF(A306&lt;&gt;"",HLOOKUP(VALUE(TEXT(G306,"h:mm:ss")),IF($C$6="Laboral",$FZ$4:$GX$227,IF($C$6="Sábado",$FZ$231:$GX$452,$FZ$456:$GX$656)),VLOOKUP($C$4,$HF$2:$HH$99,3,0)+IF(C$5="Ida",0,1),1),"")</f>
        <v/>
      </c>
      <c r="K306" s="89">
        <f>IF(A307&lt;&gt;A306,AVERAGEIF(A$9:A306,A306,J$9:J306),"")</f>
        <v/>
      </c>
      <c r="L306" s="89">
        <f>IFERROR(IF(A307&lt;&gt;A306,AVERAGEIF(A$9:A306,A306,S$9:S306),""),"")</f>
        <v/>
      </c>
      <c r="M306" s="89">
        <f>IFERROR(IF(A307&lt;&gt;A306,AVERAGEIF(A$9:A306,A306,T$9:T306),""),"")</f>
        <v/>
      </c>
      <c r="N306" s="89">
        <f t="array" ref="N306">IFERROR(IF(A307&lt;&gt;A306,_xlfn.STDEV.P(IF(A$9:A306=A306,T$9:T306)),""),"")</f>
        <v/>
      </c>
      <c r="O306" s="89">
        <f t="array" ref="O306">IFERROR(IF(A307&lt;&gt;A306,_xlfn.STDEV.P(IF(A$9:A306=A306,S$9:S306)),""),"")</f>
        <v/>
      </c>
      <c r="P306" s="90">
        <f>IFERROR(IF(A306&lt;&gt;A307,MAX((((M306*24*60)/2)*(1+POWER((((N306*24*60) / (M306*24*60) )),2))) + ((M306*24*60 )*-0.1 + (K306*0.015)) +1,(((M306*24*60)/2)*(1+POWER((((N306*24*60) / (M306*24*60 ))),2)))),""),"")</f>
        <v/>
      </c>
      <c r="Q306" s="90">
        <f>IF(AND(O306&lt;&gt;"",L306&lt;&gt;""),IF(A306&lt;&gt;A307,((L306*24*60) / 2 ) * (1 + POWER(((O306*24*60) / (L306*24*60)),2)),""),"")</f>
        <v/>
      </c>
      <c r="R306" s="90">
        <f>IF(Q306&lt;&gt;"",MAX(P306,Q306),"")</f>
        <v/>
      </c>
      <c r="S306" s="89">
        <f>IF(I306&lt;&gt;"H. Sale Real",IF(AND(I307&lt;&gt;"",LEFT(C307,2)&lt;&gt;"Va"),IF(AND(I306&lt;&gt;"",LEFT(C306,2)&lt;&gt;"Va",I306&lt;&gt;"H. Sale Real"),IF(I307-I306&lt;0.208333333333333,I307-I306,""),IF(AND(I305&lt;&gt;"",LEFT(C305,2)&lt;&gt;"Va",I305&lt;&gt;"H. Sale Real"),IF(I307-I305&lt;0.208333333333333,I307-I305,""),IF(AND(I304&lt;&gt;"",LEFT(C304,2)&lt;&gt;"Va",I304&lt;&gt;"H. Sale Real"),IF(I307-I304&lt;0.208333333333333,I307-I304,""),IF(AND(I303&lt;&gt;"",LEFT(C303,2)&lt;&gt;"Va",I303&lt;&gt;"H. Sale Real"),IF(I307-I303&lt;0.208333333333333,I307-I303,""),IF(AND(I302&lt;&gt;"",LEFT(C302,2)&lt;&gt;"Va",I302&lt;&gt;"H. Sale Real"),IF(I307-I302&lt;0.208333333333333,I307-I302,""),""))))),""),"")</f>
        <v/>
      </c>
      <c r="T306" s="89">
        <f>IF(G306&lt;&gt;"H. Sale Real",IF(AND(G307&lt;&gt;"",LEFT(C307,2)&lt;&gt;"Va"),IF(AND(G306&lt;&gt;"",LEFT(C306,2)&lt;&gt;"Va",G306&lt;&gt;"H. Sale Real"),IF(G307-G306&lt;0.208333333333333,G307-G306,""),IF(AND(G305&lt;&gt;"",LEFT(C305,2)&lt;&gt;"Va",G305&lt;&gt;"H. Sale Real"),IF(G307-G305&lt;0.208333333333333,G307-G305,""),IF(AND(G304&lt;&gt;"",LEFT(C304,2)&lt;&gt;"Va",G304&lt;&gt;"H. Sale Real"),IF(G307-G304&lt;0.208333333333333,G307-G304,""),IF(AND(G303&lt;&gt;"",LEFT(C303,2)&lt;&gt;"Va",G303&lt;&gt;"H. Sale Real"),IF(G307-G303&lt;0.208333333333333,G307-G303,""),IF(AND(G302&lt;&gt;"",LEFT(C302,2)&lt;&gt;"Va",G302&lt;&gt;"H. Sale Real"),IF(G307-G302&lt;0.208333333333333,G307-G302,""),""))))),""),"")</f>
        <v/>
      </c>
      <c r="U306" s="87" t="n"/>
      <c r="V306" s="89" t="n"/>
      <c r="W306" s="87" t="n"/>
      <c r="X306" s="89" t="n"/>
      <c r="Y306" s="91" t="n"/>
      <c r="Z306" s="122">
        <f>IF(G306&lt;&gt;"",IF(AND(Z305&lt;&gt;"IE",P306&lt;&gt;0,R306&lt;&gt;""),IF(IFERROR((P306/R306),0) &lt;=1,IFERROR(P306/R306,""),1),""),"")</f>
        <v/>
      </c>
      <c r="AA306" s="93" t="n"/>
      <c r="AB306" s="2" t="n"/>
      <c r="AE306" s="10">
        <f>HOUR(AK306)+1</f>
        <v/>
      </c>
      <c r="AF306" s="7" t="n"/>
      <c r="AG306" s="7" t="n"/>
      <c r="AH306" s="86" t="n"/>
      <c r="AI306" s="8" t="n"/>
      <c r="AJ306" s="86" t="n"/>
      <c r="AK306" s="87" t="n"/>
      <c r="AL306" s="88">
        <f>IF(AM306="","",IF(AND((AM306-AK306)&gt;=TIME(0,0,0),(AM306-AK306)&lt;TIME(0,3,0)),"OK",IF(AND((AM306-AK306)&gt;=TIME(0,3,0),(AM306-AK306)&lt;TIME(0,5,0)),"RETRASO DE 3-5 MIN",IF(AND((AM306-AK306)&gt;=TIME(0,5,0),(AM306-AK306)&lt;TIME(0,10,0)),"RETRASO DE 5-10 MIN",IF((AM306-AK306)&gt;=TIME(0,10,0),"RETRASO &gt;10 MIN", IF(AND((AK306-AM306)&gt;=TIME(0,0,0),(AK306-AM306)&lt;TIME(0,3,0)),"OK",IF((AK306-AM306)&gt;=TIME(0,3,0),"ADELANTADO")))))))</f>
        <v/>
      </c>
      <c r="AM306" s="91" t="n"/>
      <c r="AN306" s="89">
        <f>IF(AE306&lt;&gt;"",HLOOKUP(VALUE(TEXT(AK306,"h:mm:ss")),IF($C$6="Laboral",$FZ$4:$GX$227,IF($C$6="Sábado",$FZ$231:$GX$452,$FZ$456:$GX$656)),VLOOKUP($C$4,$HF$2:$HH$99,3,0)+IF(AG$5="Ida",0,1),1),"")</f>
        <v/>
      </c>
      <c r="AO306" s="89">
        <f>IF(AE307&lt;&gt;AE306,AVERAGEIF(AE$9:AE306,AE306,AN$9:AN306),"")</f>
        <v/>
      </c>
      <c r="AP306" s="89">
        <f>IFERROR(IF(AE307&lt;&gt;AE306,AVERAGEIF(AE$9:AE306,AE306,AW$9:AW306),""),"")</f>
        <v/>
      </c>
      <c r="AQ306" s="89">
        <f>IFERROR(IF(AE307&lt;&gt;AE306,AVERAGEIF(AE$9:AE306,AE306,AX$9:AX306),""),"")</f>
        <v/>
      </c>
      <c r="AR306" s="89">
        <f t="array" ref="AR306">IFERROR(IF(AE307&lt;&gt;AE306,_xlfn.STDEV.P(IF(AE$9:AE306=AE306,AX$9:AX306)),""),"")</f>
        <v/>
      </c>
      <c r="AS306" s="89">
        <f t="array" ref="AS306">IFERROR(IF(AE307&lt;&gt;AE306,_xlfn.STDEV.P(IF(AE$9:AE306=AE306,AW$9:AW306)),""),"")</f>
        <v/>
      </c>
      <c r="AT306" s="90">
        <f>IFERROR(IF(AE306&lt;&gt;AE307,MAX((((AQ306*24*60)/2)*(1+POWER((((AR306*24*60) / (AQ306*24*60) )),2))) + ((AQ306*24*60 )*-0.1 + (AO306*0.015)) +1,(((AQ306*24*60)/2)*(1+POWER((((AR306*24*60) / (AQ306*24*60 ))),2)))),""),"")</f>
        <v/>
      </c>
      <c r="AU306" s="90">
        <f>IF(AND(AS306&lt;&gt;"",AP306&lt;&gt;""),IF(AE306&lt;&gt;AE307,((AP306*24*60) / 2 ) * (1 + POWER(((AS306*24*60) / (AP306*24*60)),2)),""),"")</f>
        <v/>
      </c>
      <c r="AV306" s="90">
        <f>IF(AU306&lt;&gt;"",MAX(AT306,AU306),"")</f>
        <v/>
      </c>
      <c r="AW306" s="89">
        <f>IF(AM306&lt;&gt;"H. Sale Real",IF(AND(AM307&lt;&gt;"",LEFT(AG307,2)&lt;&gt;"Va"),IF(AND(AM306&lt;&gt;"",LEFT(AG306,2)&lt;&gt;"Va",AM306&lt;&gt;"H. Sale Real"),IF(AM307-AM306&lt;0.208333333333333,AM307-AM306,""),IF(AND(AM305&lt;&gt;"",LEFT(AG305,2)&lt;&gt;"Va",AM305&lt;&gt;"H. Sale Real"),IF(AM307-AM305&lt;0.208333333333333,AM307-AM305,""),IF(AND(AM304&lt;&gt;"",LEFT(AG304,2)&lt;&gt;"Va",AM304&lt;&gt;"H. Sale Real"),IF(AM307-AM304&lt;0.208333333333333,AM307-AM304,""),IF(AND(AM303&lt;&gt;"",LEFT(AG303,2)&lt;&gt;"Va",AM303&lt;&gt;"H. Sale Real"),IF(AM307-AM303&lt;0.208333333333333,AM307-AM303,""),IF(AND(AM302&lt;&gt;"",LEFT(AG302,2)&lt;&gt;"Va",AM302&lt;&gt;"H. Sale Real"),IF(AM307-AM302&lt;0.208333333333333,AM307-AM302,""),""))))),""),"")</f>
        <v/>
      </c>
      <c r="AX306" s="89">
        <f>IF(AK306&lt;&gt;"H. Sale Real",IF(AND(AK307&lt;&gt;"",LEFT(AG307,2)&lt;&gt;"Va"),IF(AND(AK306&lt;&gt;"",LEFT(AG306,2)&lt;&gt;"Va",AK306&lt;&gt;"H. Sale Real"),IF(AK307-AK306&lt;0.208333333333333,AK307-AK306,""),IF(AND(AK305&lt;&gt;"",LEFT(AG305,2)&lt;&gt;"Va",AK305&lt;&gt;"H. Sale Real"),IF(AK307-AK305&lt;0.208333333333333,AK307-AK305,""),IF(AND(AK304&lt;&gt;"",LEFT(AG304,2)&lt;&gt;"NC",AK304&lt;&gt;"H. Sale Real"),IF(AK307-AK304&lt;0.208333333333333,AK307-AK304,""),IF(AND(AK303&lt;&gt;"",LEFT(AG303,2)&lt;&gt;"Va",AK303&lt;&gt;"H. Sale Real"),IF(AK307-AK303&lt;0.208333333333333,AK307-AK303,""),IF(AND(AK302&lt;&gt;"",LEFT(AG302,2)&lt;&gt;"Va",AK302&lt;&gt;"H. Sale Real"),IF(AK307-AK302&lt;0.208333333333333,AK307-AK302,""),""))))),""),"")</f>
        <v/>
      </c>
      <c r="AY306" s="87" t="n"/>
      <c r="AZ306" s="89" t="n"/>
      <c r="BA306" s="87" t="n"/>
      <c r="BB306" s="89" t="n"/>
      <c r="BC306" s="91" t="n"/>
      <c r="BD306" s="122">
        <f>IF(AK306&lt;&gt;"",IF(AND(BD305&lt;&gt;"IE",AT306&lt;&gt;0,AV306&lt;&gt;""),IF(IFERROR((AT306/AV306),0) &lt;=1,IFERROR(AT306/AV306,""),1),""),"")</f>
        <v/>
      </c>
      <c r="BE306" s="93" t="n"/>
      <c r="BF306" s="105" t="n"/>
      <c r="FC306" t="inlineStr">
        <is>
          <t>Diccionario 1</t>
        </is>
      </c>
      <c r="FD306" s="15" t="n">
        <v>1305</v>
      </c>
      <c r="FE306" s="15" t="inlineStr">
        <is>
          <t>MDN35025020120</t>
        </is>
      </c>
      <c r="FF306" s="15" t="inlineStr">
        <is>
          <t>LDYECS316S0044011</t>
        </is>
      </c>
      <c r="FG306" s="15" t="inlineStr">
        <is>
          <t>Zhong Tong</t>
        </is>
      </c>
      <c r="FH306" s="15" t="inlineStr">
        <is>
          <t>Lck6122evg</t>
        </is>
      </c>
      <c r="FI306" s="15" t="inlineStr">
        <is>
          <t>ZHONGTONG</t>
        </is>
      </c>
      <c r="FJ306" s="15" t="inlineStr">
        <is>
          <t>LCK6122EVG</t>
        </is>
      </c>
      <c r="FK306" s="15" t="n">
        <v>2025</v>
      </c>
      <c r="FL306" s="15" t="inlineStr">
        <is>
          <t>B</t>
        </is>
      </c>
      <c r="FM306" s="15" t="inlineStr">
        <is>
          <t>CERRILLOS</t>
        </is>
      </c>
      <c r="FN306" s="15" t="inlineStr">
        <is>
          <t>Calle Uno 7371</t>
        </is>
      </c>
      <c r="FO306" s="15" t="inlineStr">
        <is>
          <t>Cerrillos</t>
        </is>
      </c>
      <c r="FP306" t="inlineStr">
        <is>
          <t>B</t>
        </is>
      </c>
      <c r="FS306" s="14" t="inlineStr">
        <is>
          <t>3078 / SFWZ-69|</t>
        </is>
      </c>
      <c r="FT306" t="inlineStr">
        <is>
          <t>SFWZ-69|</t>
        </is>
      </c>
      <c r="FU306" t="inlineStr">
        <is>
          <t>SFWZ-69</t>
        </is>
      </c>
      <c r="FV306">
        <f>VLOOKUP(FU306,FD:FL,9,0)</f>
        <v/>
      </c>
      <c r="HA306" s="35" t="n">
        <v>76</v>
      </c>
      <c r="HB306" s="35" t="n">
        <v>300</v>
      </c>
    </row>
    <row r="307" ht="15.5" customHeight="1">
      <c r="A307" s="10">
        <f>HOUR(G307)+1</f>
        <v/>
      </c>
      <c r="B307" s="7" t="n"/>
      <c r="C307" s="7" t="n"/>
      <c r="D307" s="85">
        <f>IFERROR(
IF(AND(OR(Planilla!B307="C",Planilla!B307="c"), VLOOKUP(E307,FD:FP,13,0)="C"), "OK",IF(AND(OR(Planilla!B307="C",Planilla!B307="c"), OR(VLOOKUP(E307,FD:FP,13,0)="B", VLOOKUP(E307,FD:FP,13,0)="A")), "DEFICIT",IF(
AND(OR(Planilla!B307="B", Planilla!B307="BPAL"), VLOOKUP(E307,FD:FP,13,0)="B"), "OK",IF(AND(OR(Planilla!B307="B", Planilla!B307="BPAL"), VLOOKUP(E307,FD:FP,13,0)="A"), "DEFICIT",IF(AND(OR(Planilla!B307="B", Planilla!B307="BPAL"), VLOOKUP(E307,FD:FP,13,0)="C"), "SOBREOFERTA",IF(AND(Planilla!B307="A", VLOOKUP(E307,FD:FP,13,0)="A"), "OK",IF(
AND(Planilla!B307="A", OR(VLOOKUP(E307,FD:FP,13,0)="B", VLOOKUP(E307,FD:FP,13,0)="C")), "SOBREOFERTA",""
))))))),"")</f>
        <v/>
      </c>
      <c r="E307" s="8" t="n"/>
      <c r="F307" s="86" t="n"/>
      <c r="G307" s="87" t="n"/>
      <c r="H307" s="88">
        <f>IF(I307="","",IF(AND((I307-G307)&gt;=TIME(0,0,0),(I307-G307)&lt;TIME(0,3,0)),"OK",IF(AND((I307-G307)&gt;=TIME(0,3,0),(I307-G307)&lt;TIME(0,5,0)),"RETRASO DE 3-5 MIN",IF(AND((I307-G307)&gt;=TIME(0,5,0),(I307-G307)&lt;TIME(0,10,0)),"RETRASO DE 5-10 MIN",IF((I307-G307)&gt;=TIME(0,10,0),"RETRASO &gt;10 MIN", IF(AND((G307-I307)&gt;=TIME(0,0,0),(G307-I307)&lt;TIME(0,3,0)),"OK",IF((G307-I307)&gt;=TIME(0,3,0),"ADELANTADO")))))))</f>
        <v/>
      </c>
      <c r="I307" s="89" t="n"/>
      <c r="J307" s="89">
        <f>IF(A307&lt;&gt;"",HLOOKUP(VALUE(TEXT(G307,"h:mm:ss")),IF($C$6="Laboral",$FZ$4:$GX$227,IF($C$6="Sábado",$FZ$231:$GX$452,$FZ$456:$GX$656)),VLOOKUP($C$4,$HF$2:$HH$99,3,0)+IF(C$5="Ida",0,1),1),"")</f>
        <v/>
      </c>
      <c r="K307" s="89">
        <f>IF(A308&lt;&gt;A307,AVERAGEIF(A$9:A307,A307,J$9:J307),"")</f>
        <v/>
      </c>
      <c r="L307" s="89">
        <f>IFERROR(IF(A308&lt;&gt;A307,AVERAGEIF(A$9:A307,A307,S$9:S307),""),"")</f>
        <v/>
      </c>
      <c r="M307" s="89">
        <f>IFERROR(IF(A308&lt;&gt;A307,AVERAGEIF(A$9:A307,A307,T$9:T307),""),"")</f>
        <v/>
      </c>
      <c r="N307" s="89">
        <f t="array" ref="N307">IFERROR(IF(A308&lt;&gt;A307,_xlfn.STDEV.P(IF(A$9:A307=A307,T$9:T307)),""),"")</f>
        <v/>
      </c>
      <c r="O307" s="89">
        <f t="array" ref="O307">IFERROR(IF(A308&lt;&gt;A307,_xlfn.STDEV.P(IF(A$9:A307=A307,S$9:S307)),""),"")</f>
        <v/>
      </c>
      <c r="P307" s="90">
        <f>IFERROR(IF(A307&lt;&gt;A308,MAX((((M307*24*60)/2)*(1+POWER((((N307*24*60) / (M307*24*60) )),2))) + ((M307*24*60 )*-0.1 + (K307*0.015)) +1,(((M307*24*60)/2)*(1+POWER((((N307*24*60) / (M307*24*60 ))),2)))),""),"")</f>
        <v/>
      </c>
      <c r="Q307" s="90">
        <f>IF(AND(O307&lt;&gt;"",L307&lt;&gt;""),IF(A307&lt;&gt;A308,((L307*24*60) / 2 ) * (1 + POWER(((O307*24*60) / (L307*24*60)),2)),""),"")</f>
        <v/>
      </c>
      <c r="R307" s="90">
        <f>IF(Q307&lt;&gt;"",MAX(P307,Q307),"")</f>
        <v/>
      </c>
      <c r="S307" s="89">
        <f>IF(I307&lt;&gt;"H. Sale Real",IF(AND(I308&lt;&gt;"",LEFT(C308,2)&lt;&gt;"Va"),IF(AND(I307&lt;&gt;"",LEFT(C307,2)&lt;&gt;"Va",I307&lt;&gt;"H. Sale Real"),IF(I308-I307&lt;0.208333333333333,I308-I307,""),IF(AND(I306&lt;&gt;"",LEFT(C306,2)&lt;&gt;"Va",I306&lt;&gt;"H. Sale Real"),IF(I308-I306&lt;0.208333333333333,I308-I306,""),IF(AND(I305&lt;&gt;"",LEFT(C305,2)&lt;&gt;"Va",I305&lt;&gt;"H. Sale Real"),IF(I308-I305&lt;0.208333333333333,I308-I305,""),IF(AND(I304&lt;&gt;"",LEFT(C304,2)&lt;&gt;"Va",I304&lt;&gt;"H. Sale Real"),IF(I308-I304&lt;0.208333333333333,I308-I304,""),IF(AND(I303&lt;&gt;"",LEFT(C303,2)&lt;&gt;"Va",I303&lt;&gt;"H. Sale Real"),IF(I308-I303&lt;0.208333333333333,I308-I303,""),""))))),""),"")</f>
        <v/>
      </c>
      <c r="T307" s="89">
        <f>IF(G307&lt;&gt;"H. Sale Real",IF(AND(G308&lt;&gt;"",LEFT(C308,2)&lt;&gt;"Va"),IF(AND(G307&lt;&gt;"",LEFT(C307,2)&lt;&gt;"Va",G307&lt;&gt;"H. Sale Real"),IF(G308-G307&lt;0.208333333333333,G308-G307,""),IF(AND(G306&lt;&gt;"",LEFT(C306,2)&lt;&gt;"Va",G306&lt;&gt;"H. Sale Real"),IF(G308-G306&lt;0.208333333333333,G308-G306,""),IF(AND(G305&lt;&gt;"",LEFT(C305,2)&lt;&gt;"Va",G305&lt;&gt;"H. Sale Real"),IF(G308-G305&lt;0.208333333333333,G308-G305,""),IF(AND(G304&lt;&gt;"",LEFT(C304,2)&lt;&gt;"Va",G304&lt;&gt;"H. Sale Real"),IF(G308-G304&lt;0.208333333333333,G308-G304,""),IF(AND(G303&lt;&gt;"",LEFT(C303,2)&lt;&gt;"Va",G303&lt;&gt;"H. Sale Real"),IF(G308-G303&lt;0.208333333333333,G308-G303,""),""))))),""),"")</f>
        <v/>
      </c>
      <c r="U307" s="87" t="n"/>
      <c r="V307" s="89" t="n"/>
      <c r="W307" s="87" t="n"/>
      <c r="X307" s="89" t="n"/>
      <c r="Y307" s="91" t="n"/>
      <c r="Z307" s="122">
        <f>IF(G307&lt;&gt;"",IF(AND(Z306&lt;&gt;"IE",P307&lt;&gt;0,R307&lt;&gt;""),IF(IFERROR((P307/R307),0) &lt;=1,IFERROR(P307/R307,""),1),""),"")</f>
        <v/>
      </c>
      <c r="AA307" s="93" t="n"/>
      <c r="AB307" s="2" t="n"/>
      <c r="AE307" s="10">
        <f>HOUR(AK307)+1</f>
        <v/>
      </c>
      <c r="AF307" s="7" t="n"/>
      <c r="AG307" s="7" t="n"/>
      <c r="AH307" s="86" t="n"/>
      <c r="AI307" s="8" t="n"/>
      <c r="AJ307" s="86" t="n"/>
      <c r="AK307" s="87" t="n"/>
      <c r="AL307" s="88">
        <f>IF(AM307="","",IF(AND((AM307-AK307)&gt;=TIME(0,0,0),(AM307-AK307)&lt;TIME(0,3,0)),"OK",IF(AND((AM307-AK307)&gt;=TIME(0,3,0),(AM307-AK307)&lt;TIME(0,5,0)),"RETRASO DE 3-5 MIN",IF(AND((AM307-AK307)&gt;=TIME(0,5,0),(AM307-AK307)&lt;TIME(0,10,0)),"RETRASO DE 5-10 MIN",IF((AM307-AK307)&gt;=TIME(0,10,0),"RETRASO &gt;10 MIN", IF(AND((AK307-AM307)&gt;=TIME(0,0,0),(AK307-AM307)&lt;TIME(0,3,0)),"OK",IF((AK307-AM307)&gt;=TIME(0,3,0),"ADELANTADO")))))))</f>
        <v/>
      </c>
      <c r="AM307" s="91" t="n"/>
      <c r="AN307" s="89">
        <f>IF(AE307&lt;&gt;"",HLOOKUP(VALUE(TEXT(AK307,"h:mm:ss")),IF($C$6="Laboral",$FZ$4:$GX$227,IF($C$6="Sábado",$FZ$231:$GX$452,$FZ$456:$GX$656)),VLOOKUP($C$4,$HF$2:$HH$99,3,0)+IF(AG$5="Ida",0,1),1),"")</f>
        <v/>
      </c>
      <c r="AO307" s="89">
        <f>IF(AE308&lt;&gt;AE307,AVERAGEIF(AE$9:AE307,AE307,AN$9:AN307),"")</f>
        <v/>
      </c>
      <c r="AP307" s="89">
        <f>IFERROR(IF(AE308&lt;&gt;AE307,AVERAGEIF(AE$9:AE307,AE307,AW$9:AW307),""),"")</f>
        <v/>
      </c>
      <c r="AQ307" s="89">
        <f>IFERROR(IF(AE308&lt;&gt;AE307,AVERAGEIF(AE$9:AE307,AE307,AX$9:AX307),""),"")</f>
        <v/>
      </c>
      <c r="AR307" s="89">
        <f t="array" ref="AR307">IFERROR(IF(AE308&lt;&gt;AE307,_xlfn.STDEV.P(IF(AE$9:AE307=AE307,AX$9:AX307)),""),"")</f>
        <v/>
      </c>
      <c r="AS307" s="89">
        <f t="array" ref="AS307">IFERROR(IF(AE308&lt;&gt;AE307,_xlfn.STDEV.P(IF(AE$9:AE307=AE307,AW$9:AW307)),""),"")</f>
        <v/>
      </c>
      <c r="AT307" s="90">
        <f>IFERROR(IF(AE307&lt;&gt;AE308,MAX((((AQ307*24*60)/2)*(1+POWER((((AR307*24*60) / (AQ307*24*60) )),2))) + ((AQ307*24*60 )*-0.1 + (AO307*0.015)) +1,(((AQ307*24*60)/2)*(1+POWER((((AR307*24*60) / (AQ307*24*60 ))),2)))),""),"")</f>
        <v/>
      </c>
      <c r="AU307" s="90">
        <f>IF(AND(AS307&lt;&gt;"",AP307&lt;&gt;""),IF(AE307&lt;&gt;AE308,((AP307*24*60) / 2 ) * (1 + POWER(((AS307*24*60) / (AP307*24*60)),2)),""),"")</f>
        <v/>
      </c>
      <c r="AV307" s="90">
        <f>IF(AU307&lt;&gt;"",MAX(AT307,AU307),"")</f>
        <v/>
      </c>
      <c r="AW307" s="89">
        <f>IF(AM307&lt;&gt;"H. Sale Real",IF(AND(AM308&lt;&gt;"",LEFT(AG308,2)&lt;&gt;"Va"),IF(AND(AM307&lt;&gt;"",LEFT(AG307,2)&lt;&gt;"Va",AM307&lt;&gt;"H. Sale Real"),IF(AM308-AM307&lt;0.208333333333333,AM308-AM307,""),IF(AND(AM306&lt;&gt;"",LEFT(AG306,2)&lt;&gt;"Va",AM306&lt;&gt;"H. Sale Real"),IF(AM308-AM306&lt;0.208333333333333,AM308-AM306,""),IF(AND(AM305&lt;&gt;"",LEFT(AG305,2)&lt;&gt;"Va",AM305&lt;&gt;"H. Sale Real"),IF(AM308-AM305&lt;0.208333333333333,AM308-AM305,""),IF(AND(AM304&lt;&gt;"",LEFT(AG304,2)&lt;&gt;"Va",AM304&lt;&gt;"H. Sale Real"),IF(AM308-AM304&lt;0.208333333333333,AM308-AM304,""),IF(AND(AM303&lt;&gt;"",LEFT(AG303,2)&lt;&gt;"Va",AM303&lt;&gt;"H. Sale Real"),IF(AM308-AM303&lt;0.208333333333333,AM308-AM303,""),""))))),""),"")</f>
        <v/>
      </c>
      <c r="AX307" s="89">
        <f>IF(AK307&lt;&gt;"H. Sale Real",IF(AND(AK308&lt;&gt;"",LEFT(AG308,2)&lt;&gt;"Va"),IF(AND(AK307&lt;&gt;"",LEFT(AG307,2)&lt;&gt;"Va",AK307&lt;&gt;"H. Sale Real"),IF(AK308-AK307&lt;0.208333333333333,AK308-AK307,""),IF(AND(AK306&lt;&gt;"",LEFT(AG306,2)&lt;&gt;"Va",AK306&lt;&gt;"H. Sale Real"),IF(AK308-AK306&lt;0.208333333333333,AK308-AK306,""),IF(AND(AK305&lt;&gt;"",LEFT(AG305,2)&lt;&gt;"NC",AK305&lt;&gt;"H. Sale Real"),IF(AK308-AK305&lt;0.208333333333333,AK308-AK305,""),IF(AND(AK304&lt;&gt;"",LEFT(AG304,2)&lt;&gt;"Va",AK304&lt;&gt;"H. Sale Real"),IF(AK308-AK304&lt;0.208333333333333,AK308-AK304,""),IF(AND(AK303&lt;&gt;"",LEFT(AG303,2)&lt;&gt;"Va",AK303&lt;&gt;"H. Sale Real"),IF(AK308-AK303&lt;0.208333333333333,AK308-AK303,""),""))))),""),"")</f>
        <v/>
      </c>
      <c r="AY307" s="87" t="n"/>
      <c r="AZ307" s="89" t="n"/>
      <c r="BA307" s="87" t="n"/>
      <c r="BB307" s="89" t="n"/>
      <c r="BC307" s="91" t="n"/>
      <c r="BD307" s="122">
        <f>IF(AK307&lt;&gt;"",IF(AND(BD306&lt;&gt;"IE",AT307&lt;&gt;0,AV307&lt;&gt;""),IF(IFERROR((AT307/AV307),0) &lt;=1,IFERROR(AT307/AV307,""),1),""),"")</f>
        <v/>
      </c>
      <c r="BE307" s="93" t="n"/>
      <c r="BF307" s="105" t="n"/>
      <c r="FC307" t="inlineStr">
        <is>
          <t>Diccionario 1</t>
        </is>
      </c>
      <c r="FD307" s="15" t="n">
        <v>1306</v>
      </c>
      <c r="FE307" s="15" t="inlineStr">
        <is>
          <t>MDN35025020101</t>
        </is>
      </c>
      <c r="FF307" s="15" t="inlineStr">
        <is>
          <t>LDYECS315S0044047</t>
        </is>
      </c>
      <c r="FG307" s="15" t="inlineStr">
        <is>
          <t>Zhong Tong</t>
        </is>
      </c>
      <c r="FH307" s="15" t="inlineStr">
        <is>
          <t>Lck6122evg</t>
        </is>
      </c>
      <c r="FI307" s="15" t="inlineStr">
        <is>
          <t>ZHONGTONG</t>
        </is>
      </c>
      <c r="FJ307" s="15" t="inlineStr">
        <is>
          <t>LCK6122EVG</t>
        </is>
      </c>
      <c r="FK307" s="15" t="n">
        <v>2025</v>
      </c>
      <c r="FL307" s="15" t="inlineStr">
        <is>
          <t>B</t>
        </is>
      </c>
      <c r="FM307" s="15" t="inlineStr">
        <is>
          <t>CERRILLOS</t>
        </is>
      </c>
      <c r="FN307" s="15" t="inlineStr">
        <is>
          <t>Calle Uno 7371</t>
        </is>
      </c>
      <c r="FO307" s="15" t="inlineStr">
        <is>
          <t>Cerrillos</t>
        </is>
      </c>
      <c r="FP307" t="inlineStr">
        <is>
          <t>B</t>
        </is>
      </c>
      <c r="FS307" s="14" t="inlineStr">
        <is>
          <t>3078 / SFWZ-69|</t>
        </is>
      </c>
      <c r="FT307" t="inlineStr">
        <is>
          <t>SFWZ-69|</t>
        </is>
      </c>
      <c r="FU307" t="inlineStr">
        <is>
          <t>SFWZ-69</t>
        </is>
      </c>
      <c r="FV307">
        <f>VLOOKUP(FU307,FD:FL,9,0)</f>
        <v/>
      </c>
      <c r="HA307" s="35" t="n">
        <v>77</v>
      </c>
      <c r="HB307" s="35" t="n">
        <v>301</v>
      </c>
    </row>
    <row r="308" ht="15.5" customHeight="1">
      <c r="A308" s="10">
        <f>HOUR(G308)+1</f>
        <v/>
      </c>
      <c r="B308" s="7" t="n"/>
      <c r="C308" s="7" t="n"/>
      <c r="D308" s="85">
        <f>IFERROR(
IF(AND(OR(Planilla!B308="C",Planilla!B308="c"), VLOOKUP(E308,FD:FP,13,0)="C"), "OK",IF(AND(OR(Planilla!B308="C",Planilla!B308="c"), OR(VLOOKUP(E308,FD:FP,13,0)="B", VLOOKUP(E308,FD:FP,13,0)="A")), "DEFICIT",IF(
AND(OR(Planilla!B308="B", Planilla!B308="BPAL"), VLOOKUP(E308,FD:FP,13,0)="B"), "OK",IF(AND(OR(Planilla!B308="B", Planilla!B308="BPAL"), VLOOKUP(E308,FD:FP,13,0)="A"), "DEFICIT",IF(AND(OR(Planilla!B308="B", Planilla!B308="BPAL"), VLOOKUP(E308,FD:FP,13,0)="C"), "SOBREOFERTA",IF(AND(Planilla!B308="A", VLOOKUP(E308,FD:FP,13,0)="A"), "OK",IF(
AND(Planilla!B308="A", OR(VLOOKUP(E308,FD:FP,13,0)="B", VLOOKUP(E308,FD:FP,13,0)="C")), "SOBREOFERTA",""
))))))),"")</f>
        <v/>
      </c>
      <c r="E308" s="8" t="n"/>
      <c r="F308" s="86" t="n"/>
      <c r="G308" s="87" t="n"/>
      <c r="H308" s="88">
        <f>IF(I308="","",IF(AND((I308-G308)&gt;=TIME(0,0,0),(I308-G308)&lt;TIME(0,3,0)),"OK",IF(AND((I308-G308)&gt;=TIME(0,3,0),(I308-G308)&lt;TIME(0,5,0)),"RETRASO DE 3-5 MIN",IF(AND((I308-G308)&gt;=TIME(0,5,0),(I308-G308)&lt;TIME(0,10,0)),"RETRASO DE 5-10 MIN",IF((I308-G308)&gt;=TIME(0,10,0),"RETRASO &gt;10 MIN", IF(AND((G308-I308)&gt;=TIME(0,0,0),(G308-I308)&lt;TIME(0,3,0)),"OK",IF((G308-I308)&gt;=TIME(0,3,0),"ADELANTADO")))))))</f>
        <v/>
      </c>
      <c r="I308" s="89" t="n"/>
      <c r="J308" s="89">
        <f>IF(A308&lt;&gt;"",HLOOKUP(VALUE(TEXT(G308,"h:mm:ss")),IF($C$6="Laboral",$FZ$4:$GX$227,IF($C$6="Sábado",$FZ$231:$GX$452,$FZ$456:$GX$656)),VLOOKUP($C$4,$HF$2:$HH$99,3,0)+IF(C$5="Ida",0,1),1),"")</f>
        <v/>
      </c>
      <c r="K308" s="89">
        <f>IF(A309&lt;&gt;A308,AVERAGEIF(A$9:A308,A308,J$9:J308),"")</f>
        <v/>
      </c>
      <c r="L308" s="89">
        <f>IFERROR(IF(A309&lt;&gt;A308,AVERAGEIF(A$9:A308,A308,S$9:S308),""),"")</f>
        <v/>
      </c>
      <c r="M308" s="89">
        <f>IFERROR(IF(A309&lt;&gt;A308,AVERAGEIF(A$9:A308,A308,T$9:T308),""),"")</f>
        <v/>
      </c>
      <c r="N308" s="89">
        <f t="array" ref="N308">IFERROR(IF(A309&lt;&gt;A308,_xlfn.STDEV.P(IF(A$9:A308=A308,T$9:T308)),""),"")</f>
        <v/>
      </c>
      <c r="O308" s="89">
        <f t="array" ref="O308">IFERROR(IF(A309&lt;&gt;A308,_xlfn.STDEV.P(IF(A$9:A308=A308,S$9:S308)),""),"")</f>
        <v/>
      </c>
      <c r="P308" s="90">
        <f>IFERROR(IF(A308&lt;&gt;A309,MAX((((M308*24*60)/2)*(1+POWER((((N308*24*60) / (M308*24*60) )),2))) + ((M308*24*60 )*-0.1 + (K308*0.015)) +1,(((M308*24*60)/2)*(1+POWER((((N308*24*60) / (M308*24*60 ))),2)))),""),"")</f>
        <v/>
      </c>
      <c r="Q308" s="90">
        <f>IF(AND(O308&lt;&gt;"",L308&lt;&gt;""),IF(A308&lt;&gt;A309,((L308*24*60) / 2 ) * (1 + POWER(((O308*24*60) / (L308*24*60)),2)),""),"")</f>
        <v/>
      </c>
      <c r="R308" s="90">
        <f>IF(Q308&lt;&gt;"",MAX(P308,Q308),"")</f>
        <v/>
      </c>
      <c r="S308" s="89">
        <f>IF(I308&lt;&gt;"H. Sale Real",IF(AND(I309&lt;&gt;"",LEFT(C309,2)&lt;&gt;"Va"),IF(AND(I308&lt;&gt;"",LEFT(C308,2)&lt;&gt;"Va",I308&lt;&gt;"H. Sale Real"),IF(I309-I308&lt;0.208333333333333,I309-I308,""),IF(AND(I307&lt;&gt;"",LEFT(C307,2)&lt;&gt;"Va",I307&lt;&gt;"H. Sale Real"),IF(I309-I307&lt;0.208333333333333,I309-I307,""),IF(AND(I306&lt;&gt;"",LEFT(C306,2)&lt;&gt;"Va",I306&lt;&gt;"H. Sale Real"),IF(I309-I306&lt;0.208333333333333,I309-I306,""),IF(AND(I305&lt;&gt;"",LEFT(C305,2)&lt;&gt;"Va",I305&lt;&gt;"H. Sale Real"),IF(I309-I305&lt;0.208333333333333,I309-I305,""),IF(AND(I304&lt;&gt;"",LEFT(C304,2)&lt;&gt;"Va",I304&lt;&gt;"H. Sale Real"),IF(I309-I304&lt;0.208333333333333,I309-I304,""),""))))),""),"")</f>
        <v/>
      </c>
      <c r="T308" s="89">
        <f>IF(G308&lt;&gt;"H. Sale Real",IF(AND(G309&lt;&gt;"",LEFT(C309,2)&lt;&gt;"Va"),IF(AND(G308&lt;&gt;"",LEFT(C308,2)&lt;&gt;"Va",G308&lt;&gt;"H. Sale Real"),IF(G309-G308&lt;0.208333333333333,G309-G308,""),IF(AND(G307&lt;&gt;"",LEFT(C307,2)&lt;&gt;"Va",G307&lt;&gt;"H. Sale Real"),IF(G309-G307&lt;0.208333333333333,G309-G307,""),IF(AND(G306&lt;&gt;"",LEFT(C306,2)&lt;&gt;"Va",G306&lt;&gt;"H. Sale Real"),IF(G309-G306&lt;0.208333333333333,G309-G306,""),IF(AND(G305&lt;&gt;"",LEFT(C305,2)&lt;&gt;"Va",G305&lt;&gt;"H. Sale Real"),IF(G309-G305&lt;0.208333333333333,G309-G305,""),IF(AND(G304&lt;&gt;"",LEFT(C304,2)&lt;&gt;"Va",G304&lt;&gt;"H. Sale Real"),IF(G309-G304&lt;0.208333333333333,G309-G304,""),""))))),""),"")</f>
        <v/>
      </c>
      <c r="U308" s="87" t="n"/>
      <c r="V308" s="89" t="n"/>
      <c r="W308" s="87" t="n"/>
      <c r="X308" s="89" t="n"/>
      <c r="Y308" s="91" t="n"/>
      <c r="Z308" s="122">
        <f>IF(G308&lt;&gt;"",IF(AND(Z307&lt;&gt;"IE",P308&lt;&gt;0,R308&lt;&gt;""),IF(IFERROR((P308/R308),0) &lt;=1,IFERROR(P308/R308,""),1),""),"")</f>
        <v/>
      </c>
      <c r="AA308" s="93" t="n"/>
      <c r="AB308" s="2" t="n"/>
      <c r="AE308" s="10">
        <f>HOUR(AK308)+1</f>
        <v/>
      </c>
      <c r="AF308" s="7" t="n"/>
      <c r="AG308" s="7" t="n"/>
      <c r="AH308" s="86" t="n"/>
      <c r="AI308" s="8" t="n"/>
      <c r="AJ308" s="86" t="n"/>
      <c r="AK308" s="87" t="n"/>
      <c r="AL308" s="88">
        <f>IF(AM308="","",IF(AND((AM308-AK308)&gt;=TIME(0,0,0),(AM308-AK308)&lt;TIME(0,3,0)),"OK",IF(AND((AM308-AK308)&gt;=TIME(0,3,0),(AM308-AK308)&lt;TIME(0,5,0)),"RETRASO DE 3-5 MIN",IF(AND((AM308-AK308)&gt;=TIME(0,5,0),(AM308-AK308)&lt;TIME(0,10,0)),"RETRASO DE 5-10 MIN",IF((AM308-AK308)&gt;=TIME(0,10,0),"RETRASO &gt;10 MIN", IF(AND((AK308-AM308)&gt;=TIME(0,0,0),(AK308-AM308)&lt;TIME(0,3,0)),"OK",IF((AK308-AM308)&gt;=TIME(0,3,0),"ADELANTADO")))))))</f>
        <v/>
      </c>
      <c r="AM308" s="91" t="n"/>
      <c r="AN308" s="89">
        <f>IF(AE308&lt;&gt;"",HLOOKUP(VALUE(TEXT(AK308,"h:mm:ss")),IF($C$6="Laboral",$FZ$4:$GX$227,IF($C$6="Sábado",$FZ$231:$GX$452,$FZ$456:$GX$656)),VLOOKUP($C$4,$HF$2:$HH$99,3,0)+IF(AG$5="Ida",0,1),1),"")</f>
        <v/>
      </c>
      <c r="AO308" s="89">
        <f>IF(AE309&lt;&gt;AE308,AVERAGEIF(AE$9:AE308,AE308,AN$9:AN308),"")</f>
        <v/>
      </c>
      <c r="AP308" s="89">
        <f>IFERROR(IF(AE309&lt;&gt;AE308,AVERAGEIF(AE$9:AE308,AE308,AW$9:AW308),""),"")</f>
        <v/>
      </c>
      <c r="AQ308" s="89">
        <f>IFERROR(IF(AE309&lt;&gt;AE308,AVERAGEIF(AE$9:AE308,AE308,AX$9:AX308),""),"")</f>
        <v/>
      </c>
      <c r="AR308" s="89">
        <f t="array" ref="AR308">IFERROR(IF(AE309&lt;&gt;AE308,_xlfn.STDEV.P(IF(AE$9:AE308=AE308,AX$9:AX308)),""),"")</f>
        <v/>
      </c>
      <c r="AS308" s="89">
        <f t="array" ref="AS308">IFERROR(IF(AE309&lt;&gt;AE308,_xlfn.STDEV.P(IF(AE$9:AE308=AE308,AW$9:AW308)),""),"")</f>
        <v/>
      </c>
      <c r="AT308" s="90">
        <f>IFERROR(IF(AE308&lt;&gt;AE309,MAX((((AQ308*24*60)/2)*(1+POWER((((AR308*24*60) / (AQ308*24*60) )),2))) + ((AQ308*24*60 )*-0.1 + (AO308*0.015)) +1,(((AQ308*24*60)/2)*(1+POWER((((AR308*24*60) / (AQ308*24*60 ))),2)))),""),"")</f>
        <v/>
      </c>
      <c r="AU308" s="90">
        <f>IF(AND(AS308&lt;&gt;"",AP308&lt;&gt;""),IF(AE308&lt;&gt;AE309,((AP308*24*60) / 2 ) * (1 + POWER(((AS308*24*60) / (AP308*24*60)),2)),""),"")</f>
        <v/>
      </c>
      <c r="AV308" s="90">
        <f>IF(AU308&lt;&gt;"",MAX(AT308,AU308),"")</f>
        <v/>
      </c>
      <c r="AW308" s="89">
        <f>IF(AM308&lt;&gt;"H. Sale Real",IF(AND(AM309&lt;&gt;"",LEFT(AG309,2)&lt;&gt;"Va"),IF(AND(AM308&lt;&gt;"",LEFT(AG308,2)&lt;&gt;"Va",AM308&lt;&gt;"H. Sale Real"),IF(AM309-AM308&lt;0.208333333333333,AM309-AM308,""),IF(AND(AM307&lt;&gt;"",LEFT(AG307,2)&lt;&gt;"Va",AM307&lt;&gt;"H. Sale Real"),IF(AM309-AM307&lt;0.208333333333333,AM309-AM307,""),IF(AND(AM306&lt;&gt;"",LEFT(AG306,2)&lt;&gt;"Va",AM306&lt;&gt;"H. Sale Real"),IF(AM309-AM306&lt;0.208333333333333,AM309-AM306,""),IF(AND(AM305&lt;&gt;"",LEFT(AG305,2)&lt;&gt;"Va",AM305&lt;&gt;"H. Sale Real"),IF(AM309-AM305&lt;0.208333333333333,AM309-AM305,""),IF(AND(AM304&lt;&gt;"",LEFT(AG304,2)&lt;&gt;"Va",AM304&lt;&gt;"H. Sale Real"),IF(AM309-AM304&lt;0.208333333333333,AM309-AM304,""),""))))),""),"")</f>
        <v/>
      </c>
      <c r="AX308" s="89">
        <f>IF(AK308&lt;&gt;"H. Sale Real",IF(AND(AK309&lt;&gt;"",LEFT(AG309,2)&lt;&gt;"Va"),IF(AND(AK308&lt;&gt;"",LEFT(AG308,2)&lt;&gt;"Va",AK308&lt;&gt;"H. Sale Real"),IF(AK309-AK308&lt;0.208333333333333,AK309-AK308,""),IF(AND(AK307&lt;&gt;"",LEFT(AG307,2)&lt;&gt;"Va",AK307&lt;&gt;"H. Sale Real"),IF(AK309-AK307&lt;0.208333333333333,AK309-AK307,""),IF(AND(AK306&lt;&gt;"",LEFT(AG306,2)&lt;&gt;"NC",AK306&lt;&gt;"H. Sale Real"),IF(AK309-AK306&lt;0.208333333333333,AK309-AK306,""),IF(AND(AK305&lt;&gt;"",LEFT(AG305,2)&lt;&gt;"Va",AK305&lt;&gt;"H. Sale Real"),IF(AK309-AK305&lt;0.208333333333333,AK309-AK305,""),IF(AND(AK304&lt;&gt;"",LEFT(AG304,2)&lt;&gt;"Va",AK304&lt;&gt;"H. Sale Real"),IF(AK309-AK304&lt;0.208333333333333,AK309-AK304,""),""))))),""),"")</f>
        <v/>
      </c>
      <c r="AY308" s="87" t="n"/>
      <c r="AZ308" s="89" t="n"/>
      <c r="BA308" s="87" t="n"/>
      <c r="BB308" s="89" t="n"/>
      <c r="BC308" s="91" t="n"/>
      <c r="BD308" s="122">
        <f>IF(AK308&lt;&gt;"",IF(AND(BD307&lt;&gt;"IE",AT308&lt;&gt;0,AV308&lt;&gt;""),IF(IFERROR((AT308/AV308),0) &lt;=1,IFERROR(AT308/AV308,""),1),""),"")</f>
        <v/>
      </c>
      <c r="BE308" s="93" t="n"/>
      <c r="BF308" s="105" t="n"/>
      <c r="FC308" t="inlineStr">
        <is>
          <t>Diccionario 1</t>
        </is>
      </c>
      <c r="FD308" s="15" t="n">
        <v>1307</v>
      </c>
      <c r="FE308" s="15" t="inlineStr">
        <is>
          <t>MDN35025020071</t>
        </is>
      </c>
      <c r="FF308" s="15" t="inlineStr">
        <is>
          <t>LDYECS316S0044039</t>
        </is>
      </c>
      <c r="FG308" s="15" t="inlineStr">
        <is>
          <t>Zhong Tong</t>
        </is>
      </c>
      <c r="FH308" s="15" t="inlineStr">
        <is>
          <t>Lck6122evg</t>
        </is>
      </c>
      <c r="FI308" s="15" t="inlineStr">
        <is>
          <t>ZHONGTONG</t>
        </is>
      </c>
      <c r="FJ308" s="15" t="inlineStr">
        <is>
          <t>LCK6122EVG</t>
        </is>
      </c>
      <c r="FK308" s="15" t="n">
        <v>2025</v>
      </c>
      <c r="FL308" s="15" t="inlineStr">
        <is>
          <t>B</t>
        </is>
      </c>
      <c r="FM308" s="15" t="inlineStr">
        <is>
          <t>PIE ANDINO</t>
        </is>
      </c>
      <c r="FN308" s="15" t="inlineStr">
        <is>
          <t>Pie Andino 31 (Pie Andino 383)</t>
        </is>
      </c>
      <c r="FO308" s="15" t="inlineStr">
        <is>
          <t>Puente Alto</t>
        </is>
      </c>
      <c r="FP308" t="inlineStr">
        <is>
          <t>B</t>
        </is>
      </c>
      <c r="FS308" s="14" t="inlineStr">
        <is>
          <t>3078 / SFWZ-69|</t>
        </is>
      </c>
      <c r="FT308" t="inlineStr">
        <is>
          <t>SFWZ-69|</t>
        </is>
      </c>
      <c r="FU308" t="inlineStr">
        <is>
          <t>SFWZ-69</t>
        </is>
      </c>
      <c r="FV308">
        <f>VLOOKUP(FU308,FD:FL,9,0)</f>
        <v/>
      </c>
      <c r="HA308" s="35" t="n">
        <v>78</v>
      </c>
      <c r="HB308" s="35" t="n">
        <v>302</v>
      </c>
    </row>
    <row r="309" ht="15.5" customHeight="1">
      <c r="A309" s="10">
        <f>HOUR(G309)+1</f>
        <v/>
      </c>
      <c r="B309" s="7" t="n"/>
      <c r="C309" s="7" t="n"/>
      <c r="D309" s="85">
        <f>IFERROR(
IF(AND(OR(Planilla!B309="C",Planilla!B309="c"), VLOOKUP(E309,FD:FP,13,0)="C"), "OK",IF(AND(OR(Planilla!B309="C",Planilla!B309="c"), OR(VLOOKUP(E309,FD:FP,13,0)="B", VLOOKUP(E309,FD:FP,13,0)="A")), "DEFICIT",IF(
AND(OR(Planilla!B309="B", Planilla!B309="BPAL"), VLOOKUP(E309,FD:FP,13,0)="B"), "OK",IF(AND(OR(Planilla!B309="B", Planilla!B309="BPAL"), VLOOKUP(E309,FD:FP,13,0)="A"), "DEFICIT",IF(AND(OR(Planilla!B309="B", Planilla!B309="BPAL"), VLOOKUP(E309,FD:FP,13,0)="C"), "SOBREOFERTA",IF(AND(Planilla!B309="A", VLOOKUP(E309,FD:FP,13,0)="A"), "OK",IF(
AND(Planilla!B309="A", OR(VLOOKUP(E309,FD:FP,13,0)="B", VLOOKUP(E309,FD:FP,13,0)="C")), "SOBREOFERTA",""
))))))),"")</f>
        <v/>
      </c>
      <c r="E309" s="8" t="n"/>
      <c r="F309" s="86" t="n"/>
      <c r="G309" s="87" t="n"/>
      <c r="H309" s="88">
        <f>IF(I309="","",IF(AND((I309-G309)&gt;=TIME(0,0,0),(I309-G309)&lt;TIME(0,3,0)),"OK",IF(AND((I309-G309)&gt;=TIME(0,3,0),(I309-G309)&lt;TIME(0,5,0)),"RETRASO DE 3-5 MIN",IF(AND((I309-G309)&gt;=TIME(0,5,0),(I309-G309)&lt;TIME(0,10,0)),"RETRASO DE 5-10 MIN",IF((I309-G309)&gt;=TIME(0,10,0),"RETRASO &gt;10 MIN", IF(AND((G309-I309)&gt;=TIME(0,0,0),(G309-I309)&lt;TIME(0,3,0)),"OK",IF((G309-I309)&gt;=TIME(0,3,0),"ADELANTADO")))))))</f>
        <v/>
      </c>
      <c r="I309" s="89" t="n"/>
      <c r="J309" s="89">
        <f>IF(A309&lt;&gt;"",HLOOKUP(VALUE(TEXT(G309,"h:mm:ss")),IF($C$6="Laboral",$FZ$4:$GX$227,IF($C$6="Sábado",$FZ$231:$GX$452,$FZ$456:$GX$656)),VLOOKUP($C$4,$HF$2:$HH$99,3,0)+IF(C$5="Ida",0,1),1),"")</f>
        <v/>
      </c>
      <c r="K309" s="89">
        <f>IF(A310&lt;&gt;A309,AVERAGEIF(A$9:A309,A309,J$9:J309),"")</f>
        <v/>
      </c>
      <c r="L309" s="89">
        <f>IFERROR(IF(A310&lt;&gt;A309,AVERAGEIF(A$9:A309,A309,S$9:S309),""),"")</f>
        <v/>
      </c>
      <c r="M309" s="89">
        <f>IFERROR(IF(A310&lt;&gt;A309,AVERAGEIF(A$9:A309,A309,T$9:T309),""),"")</f>
        <v/>
      </c>
      <c r="N309" s="89">
        <f t="array" ref="N309">IFERROR(IF(A310&lt;&gt;A309,_xlfn.STDEV.P(IF(A$9:A309=A309,T$9:T309)),""),"")</f>
        <v/>
      </c>
      <c r="O309" s="89">
        <f t="array" ref="O309">IFERROR(IF(A310&lt;&gt;A309,_xlfn.STDEV.P(IF(A$9:A309=A309,S$9:S309)),""),"")</f>
        <v/>
      </c>
      <c r="P309" s="90">
        <f>IFERROR(IF(A309&lt;&gt;A310,MAX((((M309*24*60)/2)*(1+POWER((((N309*24*60) / (M309*24*60) )),2))) + ((M309*24*60 )*-0.1 + (K309*0.015)) +1,(((M309*24*60)/2)*(1+POWER((((N309*24*60) / (M309*24*60 ))),2)))),""),"")</f>
        <v/>
      </c>
      <c r="Q309" s="90">
        <f>IF(AND(O309&lt;&gt;"",L309&lt;&gt;""),IF(A309&lt;&gt;A310,((L309*24*60) / 2 ) * (1 + POWER(((O309*24*60) / (L309*24*60)),2)),""),"")</f>
        <v/>
      </c>
      <c r="R309" s="90">
        <f>IF(Q309&lt;&gt;"",MAX(P309,Q309),"")</f>
        <v/>
      </c>
      <c r="S309" s="89">
        <f>IF(I309&lt;&gt;"H. Sale Real",IF(AND(I310&lt;&gt;"",LEFT(C310,2)&lt;&gt;"Va"),IF(AND(I309&lt;&gt;"",LEFT(C309,2)&lt;&gt;"Va",I309&lt;&gt;"H. Sale Real"),IF(I310-I309&lt;0.208333333333333,I310-I309,""),IF(AND(I308&lt;&gt;"",LEFT(C308,2)&lt;&gt;"Va",I308&lt;&gt;"H. Sale Real"),IF(I310-I308&lt;0.208333333333333,I310-I308,""),IF(AND(I307&lt;&gt;"",LEFT(C307,2)&lt;&gt;"Va",I307&lt;&gt;"H. Sale Real"),IF(I310-I307&lt;0.208333333333333,I310-I307,""),IF(AND(I306&lt;&gt;"",LEFT(C306,2)&lt;&gt;"Va",I306&lt;&gt;"H. Sale Real"),IF(I310-I306&lt;0.208333333333333,I310-I306,""),IF(AND(I305&lt;&gt;"",LEFT(C305,2)&lt;&gt;"Va",I305&lt;&gt;"H. Sale Real"),IF(I310-I305&lt;0.208333333333333,I310-I305,""),""))))),""),"")</f>
        <v/>
      </c>
      <c r="T309" s="89">
        <f>IF(G309&lt;&gt;"H. Sale Real",IF(AND(G310&lt;&gt;"",LEFT(C310,2)&lt;&gt;"Va"),IF(AND(G309&lt;&gt;"",LEFT(C309,2)&lt;&gt;"Va",G309&lt;&gt;"H. Sale Real"),IF(G310-G309&lt;0.208333333333333,G310-G309,""),IF(AND(G308&lt;&gt;"",LEFT(C308,2)&lt;&gt;"Va",G308&lt;&gt;"H. Sale Real"),IF(G310-G308&lt;0.208333333333333,G310-G308,""),IF(AND(G307&lt;&gt;"",LEFT(C307,2)&lt;&gt;"Va",G307&lt;&gt;"H. Sale Real"),IF(G310-G307&lt;0.208333333333333,G310-G307,""),IF(AND(G306&lt;&gt;"",LEFT(C306,2)&lt;&gt;"Va",G306&lt;&gt;"H. Sale Real"),IF(G310-G306&lt;0.208333333333333,G310-G306,""),IF(AND(G305&lt;&gt;"",LEFT(C305,2)&lt;&gt;"Va",G305&lt;&gt;"H. Sale Real"),IF(G310-G305&lt;0.208333333333333,G310-G305,""),""))))),""),"")</f>
        <v/>
      </c>
      <c r="U309" s="87" t="n"/>
      <c r="V309" s="89" t="n"/>
      <c r="W309" s="87" t="n"/>
      <c r="X309" s="89" t="n"/>
      <c r="Y309" s="91" t="n"/>
      <c r="Z309" s="122">
        <f>IF(G309&lt;&gt;"",IF(AND(Z308&lt;&gt;"IE",P309&lt;&gt;0,R309&lt;&gt;""),IF(IFERROR((P309/R309),0) &lt;=1,IFERROR(P309/R309,""),1),""),"")</f>
        <v/>
      </c>
      <c r="AA309" s="93" t="n"/>
      <c r="AB309" s="2" t="n"/>
      <c r="AE309" s="10">
        <f>HOUR(AK309)+1</f>
        <v/>
      </c>
      <c r="AF309" s="7" t="n"/>
      <c r="AG309" s="7" t="n"/>
      <c r="AH309" s="86" t="n"/>
      <c r="AI309" s="8" t="n"/>
      <c r="AJ309" s="86" t="n"/>
      <c r="AK309" s="87" t="n"/>
      <c r="AL309" s="88">
        <f>IF(AM309="","",IF(AND((AM309-AK309)&gt;=TIME(0,0,0),(AM309-AK309)&lt;TIME(0,3,0)),"OK",IF(AND((AM309-AK309)&gt;=TIME(0,3,0),(AM309-AK309)&lt;TIME(0,5,0)),"RETRASO DE 3-5 MIN",IF(AND((AM309-AK309)&gt;=TIME(0,5,0),(AM309-AK309)&lt;TIME(0,10,0)),"RETRASO DE 5-10 MIN",IF((AM309-AK309)&gt;=TIME(0,10,0),"RETRASO &gt;10 MIN", IF(AND((AK309-AM309)&gt;=TIME(0,0,0),(AK309-AM309)&lt;TIME(0,3,0)),"OK",IF((AK309-AM309)&gt;=TIME(0,3,0),"ADELANTADO")))))))</f>
        <v/>
      </c>
      <c r="AM309" s="91" t="n"/>
      <c r="AN309" s="89">
        <f>IF(AE309&lt;&gt;"",HLOOKUP(VALUE(TEXT(AK309,"h:mm:ss")),IF($C$6="Laboral",$FZ$4:$GX$227,IF($C$6="Sábado",$FZ$231:$GX$452,$FZ$456:$GX$656)),VLOOKUP($C$4,$HF$2:$HH$99,3,0)+IF(AG$5="Ida",0,1),1),"")</f>
        <v/>
      </c>
      <c r="AO309" s="89">
        <f>IF(AE310&lt;&gt;AE309,AVERAGEIF(AE$9:AE309,AE309,AN$9:AN309),"")</f>
        <v/>
      </c>
      <c r="AP309" s="89">
        <f>IFERROR(IF(AE310&lt;&gt;AE309,AVERAGEIF(AE$9:AE309,AE309,AW$9:AW309),""),"")</f>
        <v/>
      </c>
      <c r="AQ309" s="89">
        <f>IFERROR(IF(AE310&lt;&gt;AE309,AVERAGEIF(AE$9:AE309,AE309,AX$9:AX309),""),"")</f>
        <v/>
      </c>
      <c r="AR309" s="89">
        <f t="array" ref="AR309">IFERROR(IF(AE310&lt;&gt;AE309,_xlfn.STDEV.P(IF(AE$9:AE309=AE309,AX$9:AX309)),""),"")</f>
        <v/>
      </c>
      <c r="AS309" s="89">
        <f t="array" ref="AS309">IFERROR(IF(AE310&lt;&gt;AE309,_xlfn.STDEV.P(IF(AE$9:AE309=AE309,AW$9:AW309)),""),"")</f>
        <v/>
      </c>
      <c r="AT309" s="90">
        <f>IFERROR(IF(AE309&lt;&gt;AE310,MAX((((AQ309*24*60)/2)*(1+POWER((((AR309*24*60) / (AQ309*24*60) )),2))) + ((AQ309*24*60 )*-0.1 + (AO309*0.015)) +1,(((AQ309*24*60)/2)*(1+POWER((((AR309*24*60) / (AQ309*24*60 ))),2)))),""),"")</f>
        <v/>
      </c>
      <c r="AU309" s="90">
        <f>IF(AND(AS309&lt;&gt;"",AP309&lt;&gt;""),IF(AE309&lt;&gt;AE310,((AP309*24*60) / 2 ) * (1 + POWER(((AS309*24*60) / (AP309*24*60)),2)),""),"")</f>
        <v/>
      </c>
      <c r="AV309" s="90">
        <f>IF(AU309&lt;&gt;"",MAX(AT309,AU309),"")</f>
        <v/>
      </c>
      <c r="AW309" s="89">
        <f>IF(AM309&lt;&gt;"H. Sale Real",IF(AND(AM310&lt;&gt;"",LEFT(AG310,2)&lt;&gt;"Va"),IF(AND(AM309&lt;&gt;"",LEFT(AG309,2)&lt;&gt;"Va",AM309&lt;&gt;"H. Sale Real"),IF(AM310-AM309&lt;0.208333333333333,AM310-AM309,""),IF(AND(AM308&lt;&gt;"",LEFT(AG308,2)&lt;&gt;"Va",AM308&lt;&gt;"H. Sale Real"),IF(AM310-AM308&lt;0.208333333333333,AM310-AM308,""),IF(AND(AM307&lt;&gt;"",LEFT(AG307,2)&lt;&gt;"Va",AM307&lt;&gt;"H. Sale Real"),IF(AM310-AM307&lt;0.208333333333333,AM310-AM307,""),IF(AND(AM306&lt;&gt;"",LEFT(AG306,2)&lt;&gt;"Va",AM306&lt;&gt;"H. Sale Real"),IF(AM310-AM306&lt;0.208333333333333,AM310-AM306,""),IF(AND(AM305&lt;&gt;"",LEFT(AG305,2)&lt;&gt;"Va",AM305&lt;&gt;"H. Sale Real"),IF(AM310-AM305&lt;0.208333333333333,AM310-AM305,""),""))))),""),"")</f>
        <v/>
      </c>
      <c r="AX309" s="89">
        <f>IF(AK309&lt;&gt;"H. Sale Real",IF(AND(AK310&lt;&gt;"",LEFT(AG310,2)&lt;&gt;"Va"),IF(AND(AK309&lt;&gt;"",LEFT(AG309,2)&lt;&gt;"Va",AK309&lt;&gt;"H. Sale Real"),IF(AK310-AK309&lt;0.208333333333333,AK310-AK309,""),IF(AND(AK308&lt;&gt;"",LEFT(AG308,2)&lt;&gt;"Va",AK308&lt;&gt;"H. Sale Real"),IF(AK310-AK308&lt;0.208333333333333,AK310-AK308,""),IF(AND(AK307&lt;&gt;"",LEFT(AG307,2)&lt;&gt;"NC",AK307&lt;&gt;"H. Sale Real"),IF(AK310-AK307&lt;0.208333333333333,AK310-AK307,""),IF(AND(AK306&lt;&gt;"",LEFT(AG306,2)&lt;&gt;"Va",AK306&lt;&gt;"H. Sale Real"),IF(AK310-AK306&lt;0.208333333333333,AK310-AK306,""),IF(AND(AK305&lt;&gt;"",LEFT(AG305,2)&lt;&gt;"Va",AK305&lt;&gt;"H. Sale Real"),IF(AK310-AK305&lt;0.208333333333333,AK310-AK305,""),""))))),""),"")</f>
        <v/>
      </c>
      <c r="AY309" s="87" t="n"/>
      <c r="AZ309" s="89" t="n"/>
      <c r="BA309" s="87" t="n"/>
      <c r="BB309" s="89" t="n"/>
      <c r="BC309" s="91" t="n"/>
      <c r="BD309" s="122">
        <f>IF(AK309&lt;&gt;"",IF(AND(BD308&lt;&gt;"IE",AT309&lt;&gt;0,AV309&lt;&gt;""),IF(IFERROR((AT309/AV309),0) &lt;=1,IFERROR(AT309/AV309,""),1),""),"")</f>
        <v/>
      </c>
      <c r="BE309" s="93" t="n"/>
      <c r="BF309" s="105" t="n"/>
      <c r="FC309" t="inlineStr">
        <is>
          <t>Diccionario 1</t>
        </is>
      </c>
      <c r="FD309" s="15" t="n">
        <v>1308</v>
      </c>
      <c r="FE309" s="15" t="inlineStr">
        <is>
          <t>MDN35025010192</t>
        </is>
      </c>
      <c r="FF309" s="15" t="inlineStr">
        <is>
          <t>LDYECS312S0044054</t>
        </is>
      </c>
      <c r="FG309" s="15" t="inlineStr">
        <is>
          <t>Zhong Tong</t>
        </is>
      </c>
      <c r="FH309" s="15" t="inlineStr">
        <is>
          <t>Lck6122evg</t>
        </is>
      </c>
      <c r="FI309" s="15" t="inlineStr">
        <is>
          <t>ZHONGTONG</t>
        </is>
      </c>
      <c r="FJ309" s="15" t="inlineStr">
        <is>
          <t>LCK6122EVG</t>
        </is>
      </c>
      <c r="FK309" s="15" t="n">
        <v>2025</v>
      </c>
      <c r="FL309" s="15" t="inlineStr">
        <is>
          <t>B</t>
        </is>
      </c>
      <c r="FM309" s="15" t="inlineStr">
        <is>
          <t>PIE ANDINO</t>
        </is>
      </c>
      <c r="FN309" s="15" t="inlineStr">
        <is>
          <t>Pie Andino 31 (Pie Andino 383)</t>
        </is>
      </c>
      <c r="FO309" s="15" t="inlineStr">
        <is>
          <t>Puente Alto</t>
        </is>
      </c>
      <c r="FP309" t="inlineStr">
        <is>
          <t>B</t>
        </is>
      </c>
      <c r="FS309" s="14" t="inlineStr">
        <is>
          <t>3078 / SFWZ-69|</t>
        </is>
      </c>
      <c r="FT309" t="inlineStr">
        <is>
          <t>SFWZ-69|</t>
        </is>
      </c>
      <c r="FU309" t="inlineStr">
        <is>
          <t>SFWZ-69</t>
        </is>
      </c>
      <c r="FV309">
        <f>VLOOKUP(FU309,FD:FL,9,0)</f>
        <v/>
      </c>
      <c r="HA309" s="35" t="n">
        <v>79</v>
      </c>
      <c r="HB309" s="35" t="n">
        <v>303</v>
      </c>
    </row>
    <row r="310" ht="15.5" customHeight="1">
      <c r="A310" s="10">
        <f>HOUR(G310)+1</f>
        <v/>
      </c>
      <c r="B310" s="7" t="n"/>
      <c r="C310" s="7" t="n"/>
      <c r="D310" s="85">
        <f>IFERROR(
IF(AND(OR(Planilla!B310="C",Planilla!B310="c"), VLOOKUP(E310,FD:FP,13,0)="C"), "OK",IF(AND(OR(Planilla!B310="C",Planilla!B310="c"), OR(VLOOKUP(E310,FD:FP,13,0)="B", VLOOKUP(E310,FD:FP,13,0)="A")), "DEFICIT",IF(
AND(OR(Planilla!B310="B", Planilla!B310="BPAL"), VLOOKUP(E310,FD:FP,13,0)="B"), "OK",IF(AND(OR(Planilla!B310="B", Planilla!B310="BPAL"), VLOOKUP(E310,FD:FP,13,0)="A"), "DEFICIT",IF(AND(OR(Planilla!B310="B", Planilla!B310="BPAL"), VLOOKUP(E310,FD:FP,13,0)="C"), "SOBREOFERTA",IF(AND(Planilla!B310="A", VLOOKUP(E310,FD:FP,13,0)="A"), "OK",IF(
AND(Planilla!B310="A", OR(VLOOKUP(E310,FD:FP,13,0)="B", VLOOKUP(E310,FD:FP,13,0)="C")), "SOBREOFERTA",""
))))))),"")</f>
        <v/>
      </c>
      <c r="E310" s="8" t="n"/>
      <c r="F310" s="86" t="n"/>
      <c r="G310" s="87" t="n"/>
      <c r="H310" s="88">
        <f>IF(I310="","",IF(AND((I310-G310)&gt;=TIME(0,0,0),(I310-G310)&lt;TIME(0,3,0)),"OK",IF(AND((I310-G310)&gt;=TIME(0,3,0),(I310-G310)&lt;TIME(0,5,0)),"RETRASO DE 3-5 MIN",IF(AND((I310-G310)&gt;=TIME(0,5,0),(I310-G310)&lt;TIME(0,10,0)),"RETRASO DE 5-10 MIN",IF((I310-G310)&gt;=TIME(0,10,0),"RETRASO &gt;10 MIN", IF(AND((G310-I310)&gt;=TIME(0,0,0),(G310-I310)&lt;TIME(0,3,0)),"OK",IF((G310-I310)&gt;=TIME(0,3,0),"ADELANTADO")))))))</f>
        <v/>
      </c>
      <c r="I310" s="89" t="n"/>
      <c r="J310" s="89">
        <f>IF(A310&lt;&gt;"",HLOOKUP(VALUE(TEXT(G310,"h:mm:ss")),IF($C$6="Laboral",$FZ$4:$GX$227,IF($C$6="Sábado",$FZ$231:$GX$452,$FZ$456:$GX$656)),VLOOKUP($C$4,$HF$2:$HH$99,3,0)+IF(C$5="Ida",0,1),1),"")</f>
        <v/>
      </c>
      <c r="K310" s="89">
        <f>IF(A311&lt;&gt;A310,AVERAGEIF(A$9:A310,A310,J$9:J310),"")</f>
        <v/>
      </c>
      <c r="L310" s="89">
        <f>IFERROR(IF(A311&lt;&gt;A310,AVERAGEIF(A$9:A310,A310,S$9:S310),""),"")</f>
        <v/>
      </c>
      <c r="M310" s="89">
        <f>IFERROR(IF(A311&lt;&gt;A310,AVERAGEIF(A$9:A310,A310,T$9:T310),""),"")</f>
        <v/>
      </c>
      <c r="N310" s="89">
        <f t="array" ref="N310">IFERROR(IF(A311&lt;&gt;A310,_xlfn.STDEV.P(IF(A$9:A310=A310,T$9:T310)),""),"")</f>
        <v/>
      </c>
      <c r="O310" s="89">
        <f t="array" ref="O310">IFERROR(IF(A311&lt;&gt;A310,_xlfn.STDEV.P(IF(A$9:A310=A310,S$9:S310)),""),"")</f>
        <v/>
      </c>
      <c r="P310" s="90">
        <f>IFERROR(IF(A310&lt;&gt;A311,MAX((((M310*24*60)/2)*(1+POWER((((N310*24*60) / (M310*24*60) )),2))) + ((M310*24*60 )*-0.1 + (K310*0.015)) +1,(((M310*24*60)/2)*(1+POWER((((N310*24*60) / (M310*24*60 ))),2)))),""),"")</f>
        <v/>
      </c>
      <c r="Q310" s="90">
        <f>IF(AND(O310&lt;&gt;"",L310&lt;&gt;""),IF(A310&lt;&gt;A311,((L310*24*60) / 2 ) * (1 + POWER(((O310*24*60) / (L310*24*60)),2)),""),"")</f>
        <v/>
      </c>
      <c r="R310" s="90">
        <f>IF(Q310&lt;&gt;"",MAX(P310,Q310),"")</f>
        <v/>
      </c>
      <c r="S310" s="89">
        <f>IF(I310&lt;&gt;"H. Sale Real",IF(AND(I311&lt;&gt;"",LEFT(C311,2)&lt;&gt;"Va"),IF(AND(I310&lt;&gt;"",LEFT(C310,2)&lt;&gt;"Va",I310&lt;&gt;"H. Sale Real"),IF(I311-I310&lt;0.208333333333333,I311-I310,""),IF(AND(I309&lt;&gt;"",LEFT(C309,2)&lt;&gt;"Va",I309&lt;&gt;"H. Sale Real"),IF(I311-I309&lt;0.208333333333333,I311-I309,""),IF(AND(I308&lt;&gt;"",LEFT(C308,2)&lt;&gt;"Va",I308&lt;&gt;"H. Sale Real"),IF(I311-I308&lt;0.208333333333333,I311-I308,""),IF(AND(I307&lt;&gt;"",LEFT(C307,2)&lt;&gt;"Va",I307&lt;&gt;"H. Sale Real"),IF(I311-I307&lt;0.208333333333333,I311-I307,""),IF(AND(I306&lt;&gt;"",LEFT(C306,2)&lt;&gt;"Va",I306&lt;&gt;"H. Sale Real"),IF(I311-I306&lt;0.208333333333333,I311-I306,""),""))))),""),"")</f>
        <v/>
      </c>
      <c r="T310" s="89">
        <f>IF(G310&lt;&gt;"H. Sale Real",IF(AND(G311&lt;&gt;"",LEFT(C311,2)&lt;&gt;"Va"),IF(AND(G310&lt;&gt;"",LEFT(C310,2)&lt;&gt;"Va",G310&lt;&gt;"H. Sale Real"),IF(G311-G310&lt;0.208333333333333,G311-G310,""),IF(AND(G309&lt;&gt;"",LEFT(C309,2)&lt;&gt;"Va",G309&lt;&gt;"H. Sale Real"),IF(G311-G309&lt;0.208333333333333,G311-G309,""),IF(AND(G308&lt;&gt;"",LEFT(C308,2)&lt;&gt;"Va",G308&lt;&gt;"H. Sale Real"),IF(G311-G308&lt;0.208333333333333,G311-G308,""),IF(AND(G307&lt;&gt;"",LEFT(C307,2)&lt;&gt;"Va",G307&lt;&gt;"H. Sale Real"),IF(G311-G307&lt;0.208333333333333,G311-G307,""),IF(AND(G306&lt;&gt;"",LEFT(C306,2)&lt;&gt;"Va",G306&lt;&gt;"H. Sale Real"),IF(G311-G306&lt;0.208333333333333,G311-G306,""),""))))),""),"")</f>
        <v/>
      </c>
      <c r="U310" s="87" t="n"/>
      <c r="V310" s="89" t="n"/>
      <c r="W310" s="87" t="n"/>
      <c r="X310" s="89" t="n"/>
      <c r="Y310" s="91" t="n"/>
      <c r="Z310" s="122">
        <f>IF(G310&lt;&gt;"",IF(AND(Z309&lt;&gt;"IE",P310&lt;&gt;0,R310&lt;&gt;""),IF(IFERROR((P310/R310),0) &lt;=1,IFERROR(P310/R310,""),1),""),"")</f>
        <v/>
      </c>
      <c r="AA310" s="93" t="n"/>
      <c r="AB310" s="2" t="n"/>
      <c r="AE310" s="10">
        <f>HOUR(AK310)+1</f>
        <v/>
      </c>
      <c r="AF310" s="7" t="n"/>
      <c r="AG310" s="7" t="n"/>
      <c r="AH310" s="86" t="n"/>
      <c r="AI310" s="8" t="n"/>
      <c r="AJ310" s="86" t="n"/>
      <c r="AK310" s="87" t="n"/>
      <c r="AL310" s="88">
        <f>IF(AM310="","",IF(AND((AM310-AK310)&gt;=TIME(0,0,0),(AM310-AK310)&lt;TIME(0,3,0)),"OK",IF(AND((AM310-AK310)&gt;=TIME(0,3,0),(AM310-AK310)&lt;TIME(0,5,0)),"RETRASO DE 3-5 MIN",IF(AND((AM310-AK310)&gt;=TIME(0,5,0),(AM310-AK310)&lt;TIME(0,10,0)),"RETRASO DE 5-10 MIN",IF((AM310-AK310)&gt;=TIME(0,10,0),"RETRASO &gt;10 MIN", IF(AND((AK310-AM310)&gt;=TIME(0,0,0),(AK310-AM310)&lt;TIME(0,3,0)),"OK",IF((AK310-AM310)&gt;=TIME(0,3,0),"ADELANTADO")))))))</f>
        <v/>
      </c>
      <c r="AM310" s="91" t="n"/>
      <c r="AN310" s="89">
        <f>IF(AE310&lt;&gt;"",HLOOKUP(VALUE(TEXT(AK310,"h:mm:ss")),IF($C$6="Laboral",$FZ$4:$GX$227,IF($C$6="Sábado",$FZ$231:$GX$452,$FZ$456:$GX$656)),VLOOKUP($C$4,$HF$2:$HH$99,3,0)+IF(AG$5="Ida",0,1),1),"")</f>
        <v/>
      </c>
      <c r="AO310" s="89">
        <f>IF(AE311&lt;&gt;AE310,AVERAGEIF(AE$9:AE310,AE310,AN$9:AN310),"")</f>
        <v/>
      </c>
      <c r="AP310" s="89">
        <f>IFERROR(IF(AE311&lt;&gt;AE310,AVERAGEIF(AE$9:AE310,AE310,AW$9:AW310),""),"")</f>
        <v/>
      </c>
      <c r="AQ310" s="89">
        <f>IFERROR(IF(AE311&lt;&gt;AE310,AVERAGEIF(AE$9:AE310,AE310,AX$9:AX310),""),"")</f>
        <v/>
      </c>
      <c r="AR310" s="89">
        <f t="array" ref="AR310">IFERROR(IF(AE311&lt;&gt;AE310,_xlfn.STDEV.P(IF(AE$9:AE310=AE310,AX$9:AX310)),""),"")</f>
        <v/>
      </c>
      <c r="AS310" s="89">
        <f t="array" ref="AS310">IFERROR(IF(AE311&lt;&gt;AE310,_xlfn.STDEV.P(IF(AE$9:AE310=AE310,AW$9:AW310)),""),"")</f>
        <v/>
      </c>
      <c r="AT310" s="90">
        <f>IFERROR(IF(AE310&lt;&gt;AE311,MAX((((AQ310*24*60)/2)*(1+POWER((((AR310*24*60) / (AQ310*24*60) )),2))) + ((AQ310*24*60 )*-0.1 + (AO310*0.015)) +1,(((AQ310*24*60)/2)*(1+POWER((((AR310*24*60) / (AQ310*24*60 ))),2)))),""),"")</f>
        <v/>
      </c>
      <c r="AU310" s="90">
        <f>IF(AND(AS310&lt;&gt;"",AP310&lt;&gt;""),IF(AE310&lt;&gt;AE311,((AP310*24*60) / 2 ) * (1 + POWER(((AS310*24*60) / (AP310*24*60)),2)),""),"")</f>
        <v/>
      </c>
      <c r="AV310" s="90">
        <f>IF(AU310&lt;&gt;"",MAX(AT310,AU310),"")</f>
        <v/>
      </c>
      <c r="AW310" s="89">
        <f>IF(AM310&lt;&gt;"H. Sale Real",IF(AND(AM311&lt;&gt;"",LEFT(AG311,2)&lt;&gt;"Va"),IF(AND(AM310&lt;&gt;"",LEFT(AG310,2)&lt;&gt;"Va",AM310&lt;&gt;"H. Sale Real"),IF(AM311-AM310&lt;0.208333333333333,AM311-AM310,""),IF(AND(AM309&lt;&gt;"",LEFT(AG309,2)&lt;&gt;"Va",AM309&lt;&gt;"H. Sale Real"),IF(AM311-AM309&lt;0.208333333333333,AM311-AM309,""),IF(AND(AM308&lt;&gt;"",LEFT(AG308,2)&lt;&gt;"Va",AM308&lt;&gt;"H. Sale Real"),IF(AM311-AM308&lt;0.208333333333333,AM311-AM308,""),IF(AND(AM307&lt;&gt;"",LEFT(AG307,2)&lt;&gt;"Va",AM307&lt;&gt;"H. Sale Real"),IF(AM311-AM307&lt;0.208333333333333,AM311-AM307,""),IF(AND(AM306&lt;&gt;"",LEFT(AG306,2)&lt;&gt;"Va",AM306&lt;&gt;"H. Sale Real"),IF(AM311-AM306&lt;0.208333333333333,AM311-AM306,""),""))))),""),"")</f>
        <v/>
      </c>
      <c r="AX310" s="89">
        <f>IF(AK310&lt;&gt;"H. Sale Real",IF(AND(AK311&lt;&gt;"",LEFT(AG311,2)&lt;&gt;"Va"),IF(AND(AK310&lt;&gt;"",LEFT(AG310,2)&lt;&gt;"Va",AK310&lt;&gt;"H. Sale Real"),IF(AK311-AK310&lt;0.208333333333333,AK311-AK310,""),IF(AND(AK309&lt;&gt;"",LEFT(AG309,2)&lt;&gt;"Va",AK309&lt;&gt;"H. Sale Real"),IF(AK311-AK309&lt;0.208333333333333,AK311-AK309,""),IF(AND(AK308&lt;&gt;"",LEFT(AG308,2)&lt;&gt;"NC",AK308&lt;&gt;"H. Sale Real"),IF(AK311-AK308&lt;0.208333333333333,AK311-AK308,""),IF(AND(AK307&lt;&gt;"",LEFT(AG307,2)&lt;&gt;"Va",AK307&lt;&gt;"H. Sale Real"),IF(AK311-AK307&lt;0.208333333333333,AK311-AK307,""),IF(AND(AK306&lt;&gt;"",LEFT(AG306,2)&lt;&gt;"Va",AK306&lt;&gt;"H. Sale Real"),IF(AK311-AK306&lt;0.208333333333333,AK311-AK306,""),""))))),""),"")</f>
        <v/>
      </c>
      <c r="AY310" s="87" t="n"/>
      <c r="AZ310" s="89" t="n"/>
      <c r="BA310" s="87" t="n"/>
      <c r="BB310" s="89" t="n"/>
      <c r="BC310" s="91" t="n"/>
      <c r="BD310" s="122">
        <f>IF(AK310&lt;&gt;"",IF(AND(BD309&lt;&gt;"IE",AT310&lt;&gt;0,AV310&lt;&gt;""),IF(IFERROR((AT310/AV310),0) &lt;=1,IFERROR(AT310/AV310,""),1),""),"")</f>
        <v/>
      </c>
      <c r="BE310" s="93" t="n"/>
      <c r="BF310" s="105" t="n"/>
      <c r="FC310" t="inlineStr">
        <is>
          <t>Diccionario 1</t>
        </is>
      </c>
      <c r="FD310" s="15" t="n">
        <v>1309</v>
      </c>
      <c r="FE310" s="15" t="inlineStr">
        <is>
          <t>MDN35025010191</t>
        </is>
      </c>
      <c r="FF310" s="15" t="inlineStr">
        <is>
          <t>LDYECS316S0044056</t>
        </is>
      </c>
      <c r="FG310" s="15" t="inlineStr">
        <is>
          <t>Zhong Tong</t>
        </is>
      </c>
      <c r="FH310" s="15" t="inlineStr">
        <is>
          <t>Lck6122evg</t>
        </is>
      </c>
      <c r="FI310" s="15" t="inlineStr">
        <is>
          <t>ZHONGTONG</t>
        </is>
      </c>
      <c r="FJ310" s="15" t="inlineStr">
        <is>
          <t>LCK6122EVG</t>
        </is>
      </c>
      <c r="FK310" s="15" t="n">
        <v>2025</v>
      </c>
      <c r="FL310" s="15" t="inlineStr">
        <is>
          <t>B</t>
        </is>
      </c>
      <c r="FM310" s="15" t="inlineStr">
        <is>
          <t>PIE ANDINO</t>
        </is>
      </c>
      <c r="FN310" s="15" t="inlineStr">
        <is>
          <t>Pie Andino 31 (Pie Andino 383)</t>
        </is>
      </c>
      <c r="FO310" s="15" t="inlineStr">
        <is>
          <t>Puente Alto</t>
        </is>
      </c>
      <c r="FP310" t="inlineStr">
        <is>
          <t>B</t>
        </is>
      </c>
      <c r="FS310" s="14" t="inlineStr">
        <is>
          <t>3078 / SFWZ-69|</t>
        </is>
      </c>
      <c r="FT310" t="inlineStr">
        <is>
          <t>SFWZ-69|</t>
        </is>
      </c>
      <c r="FU310" t="inlineStr">
        <is>
          <t>SFWZ-69</t>
        </is>
      </c>
      <c r="FV310">
        <f>VLOOKUP(FU310,FD:FL,9,0)</f>
        <v/>
      </c>
      <c r="HA310" s="35" t="n">
        <v>80</v>
      </c>
      <c r="HB310" s="35" t="n">
        <v>304</v>
      </c>
    </row>
    <row r="311" ht="15.5" customHeight="1">
      <c r="A311" s="10">
        <f>HOUR(G311)+1</f>
        <v/>
      </c>
      <c r="B311" s="7" t="n"/>
      <c r="C311" s="7" t="n"/>
      <c r="D311" s="85">
        <f>IFERROR(
IF(AND(OR(Planilla!B311="C",Planilla!B311="c"), VLOOKUP(E311,FD:FP,13,0)="C"), "OK",IF(AND(OR(Planilla!B311="C",Planilla!B311="c"), OR(VLOOKUP(E311,FD:FP,13,0)="B", VLOOKUP(E311,FD:FP,13,0)="A")), "DEFICIT",IF(
AND(OR(Planilla!B311="B", Planilla!B311="BPAL"), VLOOKUP(E311,FD:FP,13,0)="B"), "OK",IF(AND(OR(Planilla!B311="B", Planilla!B311="BPAL"), VLOOKUP(E311,FD:FP,13,0)="A"), "DEFICIT",IF(AND(OR(Planilla!B311="B", Planilla!B311="BPAL"), VLOOKUP(E311,FD:FP,13,0)="C"), "SOBREOFERTA",IF(AND(Planilla!B311="A", VLOOKUP(E311,FD:FP,13,0)="A"), "OK",IF(
AND(Planilla!B311="A", OR(VLOOKUP(E311,FD:FP,13,0)="B", VLOOKUP(E311,FD:FP,13,0)="C")), "SOBREOFERTA",""
))))))),"")</f>
        <v/>
      </c>
      <c r="E311" s="8" t="n"/>
      <c r="F311" s="86" t="n"/>
      <c r="G311" s="87" t="n"/>
      <c r="H311" s="88">
        <f>IF(I311="","",IF(AND((I311-G311)&gt;=TIME(0,0,0),(I311-G311)&lt;TIME(0,3,0)),"OK",IF(AND((I311-G311)&gt;=TIME(0,3,0),(I311-G311)&lt;TIME(0,5,0)),"RETRASO DE 3-5 MIN",IF(AND((I311-G311)&gt;=TIME(0,5,0),(I311-G311)&lt;TIME(0,10,0)),"RETRASO DE 5-10 MIN",IF((I311-G311)&gt;=TIME(0,10,0),"RETRASO &gt;10 MIN", IF(AND((G311-I311)&gt;=TIME(0,0,0),(G311-I311)&lt;TIME(0,3,0)),"OK",IF((G311-I311)&gt;=TIME(0,3,0),"ADELANTADO")))))))</f>
        <v/>
      </c>
      <c r="I311" s="89" t="n"/>
      <c r="J311" s="89">
        <f>IF(A311&lt;&gt;"",HLOOKUP(VALUE(TEXT(G311,"h:mm:ss")),IF($C$6="Laboral",$FZ$4:$GX$227,IF($C$6="Sábado",$FZ$231:$GX$452,$FZ$456:$GX$656)),VLOOKUP($C$4,$HF$2:$HH$99,3,0)+IF(C$5="Ida",0,1),1),"")</f>
        <v/>
      </c>
      <c r="K311" s="89">
        <f>IF(A312&lt;&gt;A311,AVERAGEIF(A$9:A311,A311,J$9:J311),"")</f>
        <v/>
      </c>
      <c r="L311" s="89">
        <f>IFERROR(IF(A312&lt;&gt;A311,AVERAGEIF(A$9:A311,A311,S$9:S311),""),"")</f>
        <v/>
      </c>
      <c r="M311" s="89">
        <f>IFERROR(IF(A312&lt;&gt;A311,AVERAGEIF(A$9:A311,A311,T$9:T311),""),"")</f>
        <v/>
      </c>
      <c r="N311" s="89">
        <f t="array" ref="N311">IFERROR(IF(A312&lt;&gt;A311,_xlfn.STDEV.P(IF(A$9:A311=A311,T$9:T311)),""),"")</f>
        <v/>
      </c>
      <c r="O311" s="89">
        <f t="array" ref="O311">IFERROR(IF(A312&lt;&gt;A311,_xlfn.STDEV.P(IF(A$9:A311=A311,S$9:S311)),""),"")</f>
        <v/>
      </c>
      <c r="P311" s="90">
        <f>IFERROR(IF(A311&lt;&gt;A312,MAX((((M311*24*60)/2)*(1+POWER((((N311*24*60) / (M311*24*60) )),2))) + ((M311*24*60 )*-0.1 + (K311*0.015)) +1,(((M311*24*60)/2)*(1+POWER((((N311*24*60) / (M311*24*60 ))),2)))),""),"")</f>
        <v/>
      </c>
      <c r="Q311" s="90">
        <f>IF(AND(O311&lt;&gt;"",L311&lt;&gt;""),IF(A311&lt;&gt;A312,((L311*24*60) / 2 ) * (1 + POWER(((O311*24*60) / (L311*24*60)),2)),""),"")</f>
        <v/>
      </c>
      <c r="R311" s="90">
        <f>IF(Q311&lt;&gt;"",MAX(P311,Q311),"")</f>
        <v/>
      </c>
      <c r="S311" s="89">
        <f>IF(I311&lt;&gt;"H. Sale Real",IF(AND(I312&lt;&gt;"",LEFT(C312,2)&lt;&gt;"Va"),IF(AND(I311&lt;&gt;"",LEFT(C311,2)&lt;&gt;"Va",I311&lt;&gt;"H. Sale Real"),IF(I312-I311&lt;0.208333333333333,I312-I311,""),IF(AND(I310&lt;&gt;"",LEFT(C310,2)&lt;&gt;"Va",I310&lt;&gt;"H. Sale Real"),IF(I312-I310&lt;0.208333333333333,I312-I310,""),IF(AND(I309&lt;&gt;"",LEFT(C309,2)&lt;&gt;"Va",I309&lt;&gt;"H. Sale Real"),IF(I312-I309&lt;0.208333333333333,I312-I309,""),IF(AND(I308&lt;&gt;"",LEFT(C308,2)&lt;&gt;"Va",I308&lt;&gt;"H. Sale Real"),IF(I312-I308&lt;0.208333333333333,I312-I308,""),IF(AND(I307&lt;&gt;"",LEFT(C307,2)&lt;&gt;"Va",I307&lt;&gt;"H. Sale Real"),IF(I312-I307&lt;0.208333333333333,I312-I307,""),""))))),""),"")</f>
        <v/>
      </c>
      <c r="T311" s="89">
        <f>IF(G311&lt;&gt;"H. Sale Real",IF(AND(G312&lt;&gt;"",LEFT(C312,2)&lt;&gt;"Va"),IF(AND(G311&lt;&gt;"",LEFT(C311,2)&lt;&gt;"Va",G311&lt;&gt;"H. Sale Real"),IF(G312-G311&lt;0.208333333333333,G312-G311,""),IF(AND(G310&lt;&gt;"",LEFT(C310,2)&lt;&gt;"Va",G310&lt;&gt;"H. Sale Real"),IF(G312-G310&lt;0.208333333333333,G312-G310,""),IF(AND(G309&lt;&gt;"",LEFT(C309,2)&lt;&gt;"Va",G309&lt;&gt;"H. Sale Real"),IF(G312-G309&lt;0.208333333333333,G312-G309,""),IF(AND(G308&lt;&gt;"",LEFT(C308,2)&lt;&gt;"Va",G308&lt;&gt;"H. Sale Real"),IF(G312-G308&lt;0.208333333333333,G312-G308,""),IF(AND(G307&lt;&gt;"",LEFT(C307,2)&lt;&gt;"Va",G307&lt;&gt;"H. Sale Real"),IF(G312-G307&lt;0.208333333333333,G312-G307,""),""))))),""),"")</f>
        <v/>
      </c>
      <c r="U311" s="87" t="n"/>
      <c r="V311" s="89" t="n"/>
      <c r="W311" s="87" t="n"/>
      <c r="X311" s="89" t="n"/>
      <c r="Y311" s="91" t="n"/>
      <c r="Z311" s="122">
        <f>IF(G311&lt;&gt;"",IF(AND(Z310&lt;&gt;"IE",P311&lt;&gt;0,R311&lt;&gt;""),IF(IFERROR((P311/R311),0) &lt;=1,IFERROR(P311/R311,""),1),""),"")</f>
        <v/>
      </c>
      <c r="AA311" s="93" t="n"/>
      <c r="AB311" s="2" t="n"/>
      <c r="AE311" s="10">
        <f>HOUR(AK311)+1</f>
        <v/>
      </c>
      <c r="AF311" s="7" t="n"/>
      <c r="AG311" s="7" t="n"/>
      <c r="AH311" s="86" t="n"/>
      <c r="AI311" s="8" t="n"/>
      <c r="AJ311" s="86" t="n"/>
      <c r="AK311" s="87" t="n"/>
      <c r="AL311" s="88">
        <f>IF(AM311="","",IF(AND((AM311-AK311)&gt;=TIME(0,0,0),(AM311-AK311)&lt;TIME(0,3,0)),"OK",IF(AND((AM311-AK311)&gt;=TIME(0,3,0),(AM311-AK311)&lt;TIME(0,5,0)),"RETRASO DE 3-5 MIN",IF(AND((AM311-AK311)&gt;=TIME(0,5,0),(AM311-AK311)&lt;TIME(0,10,0)),"RETRASO DE 5-10 MIN",IF((AM311-AK311)&gt;=TIME(0,10,0),"RETRASO &gt;10 MIN", IF(AND((AK311-AM311)&gt;=TIME(0,0,0),(AK311-AM311)&lt;TIME(0,3,0)),"OK",IF((AK311-AM311)&gt;=TIME(0,3,0),"ADELANTADO")))))))</f>
        <v/>
      </c>
      <c r="AM311" s="91" t="n"/>
      <c r="AN311" s="89">
        <f>IF(AE311&lt;&gt;"",HLOOKUP(VALUE(TEXT(AK311,"h:mm:ss")),IF($C$6="Laboral",$FZ$4:$GX$227,IF($C$6="Sábado",$FZ$231:$GX$452,$FZ$456:$GX$656)),VLOOKUP($C$4,$HF$2:$HH$99,3,0)+IF(AG$5="Ida",0,1),1),"")</f>
        <v/>
      </c>
      <c r="AO311" s="89">
        <f>IF(AE312&lt;&gt;AE311,AVERAGEIF(AE$9:AE311,AE311,AN$9:AN311),"")</f>
        <v/>
      </c>
      <c r="AP311" s="89">
        <f>IFERROR(IF(AE312&lt;&gt;AE311,AVERAGEIF(AE$9:AE311,AE311,AW$9:AW311),""),"")</f>
        <v/>
      </c>
      <c r="AQ311" s="89">
        <f>IFERROR(IF(AE312&lt;&gt;AE311,AVERAGEIF(AE$9:AE311,AE311,AX$9:AX311),""),"")</f>
        <v/>
      </c>
      <c r="AR311" s="89">
        <f t="array" ref="AR311">IFERROR(IF(AE312&lt;&gt;AE311,_xlfn.STDEV.P(IF(AE$9:AE311=AE311,AX$9:AX311)),""),"")</f>
        <v/>
      </c>
      <c r="AS311" s="89">
        <f t="array" ref="AS311">IFERROR(IF(AE312&lt;&gt;AE311,_xlfn.STDEV.P(IF(AE$9:AE311=AE311,AW$9:AW311)),""),"")</f>
        <v/>
      </c>
      <c r="AT311" s="90">
        <f>IFERROR(IF(AE311&lt;&gt;AE312,MAX((((AQ311*24*60)/2)*(1+POWER((((AR311*24*60) / (AQ311*24*60) )),2))) + ((AQ311*24*60 )*-0.1 + (AO311*0.015)) +1,(((AQ311*24*60)/2)*(1+POWER((((AR311*24*60) / (AQ311*24*60 ))),2)))),""),"")</f>
        <v/>
      </c>
      <c r="AU311" s="90">
        <f>IF(AND(AS311&lt;&gt;"",AP311&lt;&gt;""),IF(AE311&lt;&gt;AE312,((AP311*24*60) / 2 ) * (1 + POWER(((AS311*24*60) / (AP311*24*60)),2)),""),"")</f>
        <v/>
      </c>
      <c r="AV311" s="90">
        <f>IF(AU311&lt;&gt;"",MAX(AT311,AU311),"")</f>
        <v/>
      </c>
      <c r="AW311" s="89">
        <f>IF(AM311&lt;&gt;"H. Sale Real",IF(AND(AM312&lt;&gt;"",LEFT(AG312,2)&lt;&gt;"Va"),IF(AND(AM311&lt;&gt;"",LEFT(AG311,2)&lt;&gt;"Va",AM311&lt;&gt;"H. Sale Real"),IF(AM312-AM311&lt;0.208333333333333,AM312-AM311,""),IF(AND(AM310&lt;&gt;"",LEFT(AG310,2)&lt;&gt;"Va",AM310&lt;&gt;"H. Sale Real"),IF(AM312-AM310&lt;0.208333333333333,AM312-AM310,""),IF(AND(AM309&lt;&gt;"",LEFT(AG309,2)&lt;&gt;"Va",AM309&lt;&gt;"H. Sale Real"),IF(AM312-AM309&lt;0.208333333333333,AM312-AM309,""),IF(AND(AM308&lt;&gt;"",LEFT(AG308,2)&lt;&gt;"Va",AM308&lt;&gt;"H. Sale Real"),IF(AM312-AM308&lt;0.208333333333333,AM312-AM308,""),IF(AND(AM307&lt;&gt;"",LEFT(AG307,2)&lt;&gt;"Va",AM307&lt;&gt;"H. Sale Real"),IF(AM312-AM307&lt;0.208333333333333,AM312-AM307,""),""))))),""),"")</f>
        <v/>
      </c>
      <c r="AX311" s="89">
        <f>IF(AK311&lt;&gt;"H. Sale Real",IF(AND(AK312&lt;&gt;"",LEFT(AG312,2)&lt;&gt;"Va"),IF(AND(AK311&lt;&gt;"",LEFT(AG311,2)&lt;&gt;"Va",AK311&lt;&gt;"H. Sale Real"),IF(AK312-AK311&lt;0.208333333333333,AK312-AK311,""),IF(AND(AK310&lt;&gt;"",LEFT(AG310,2)&lt;&gt;"Va",AK310&lt;&gt;"H. Sale Real"),IF(AK312-AK310&lt;0.208333333333333,AK312-AK310,""),IF(AND(AK309&lt;&gt;"",LEFT(AG309,2)&lt;&gt;"NC",AK309&lt;&gt;"H. Sale Real"),IF(AK312-AK309&lt;0.208333333333333,AK312-AK309,""),IF(AND(AK308&lt;&gt;"",LEFT(AG308,2)&lt;&gt;"Va",AK308&lt;&gt;"H. Sale Real"),IF(AK312-AK308&lt;0.208333333333333,AK312-AK308,""),IF(AND(AK307&lt;&gt;"",LEFT(AG307,2)&lt;&gt;"Va",AK307&lt;&gt;"H. Sale Real"),IF(AK312-AK307&lt;0.208333333333333,AK312-AK307,""),""))))),""),"")</f>
        <v/>
      </c>
      <c r="AY311" s="87" t="n"/>
      <c r="AZ311" s="89" t="n"/>
      <c r="BA311" s="87" t="n"/>
      <c r="BB311" s="89" t="n"/>
      <c r="BC311" s="91" t="n"/>
      <c r="BD311" s="122">
        <f>IF(AK311&lt;&gt;"",IF(AND(BD310&lt;&gt;"IE",AT311&lt;&gt;0,AV311&lt;&gt;""),IF(IFERROR((AT311/AV311),0) &lt;=1,IFERROR(AT311/AV311,""),1),""),"")</f>
        <v/>
      </c>
      <c r="BE311" s="93" t="n"/>
      <c r="BF311" s="105" t="n"/>
      <c r="FC311" t="inlineStr">
        <is>
          <t>Diccionario 1</t>
        </is>
      </c>
      <c r="FD311" s="15" t="n">
        <v>1310</v>
      </c>
      <c r="FE311" s="15" t="inlineStr">
        <is>
          <t>MDN35025010217</t>
        </is>
      </c>
      <c r="FF311" s="15" t="inlineStr">
        <is>
          <t>LDYECS319S0044083</t>
        </is>
      </c>
      <c r="FG311" s="15" t="inlineStr">
        <is>
          <t>Zhong Tong</t>
        </is>
      </c>
      <c r="FH311" s="15" t="inlineStr">
        <is>
          <t>Lck6122evg</t>
        </is>
      </c>
      <c r="FI311" s="15" t="inlineStr">
        <is>
          <t>ZHONGTONG</t>
        </is>
      </c>
      <c r="FJ311" s="15" t="inlineStr">
        <is>
          <t>LCK6122EVG</t>
        </is>
      </c>
      <c r="FK311" s="15" t="n">
        <v>2025</v>
      </c>
      <c r="FL311" s="15" t="inlineStr">
        <is>
          <t>B</t>
        </is>
      </c>
      <c r="FM311" s="15" t="inlineStr">
        <is>
          <t>CERRILLOS</t>
        </is>
      </c>
      <c r="FN311" s="15" t="inlineStr">
        <is>
          <t>Calle Uno 7371</t>
        </is>
      </c>
      <c r="FO311" s="15" t="inlineStr">
        <is>
          <t>Cerrillos</t>
        </is>
      </c>
      <c r="FP311" t="inlineStr">
        <is>
          <t>B</t>
        </is>
      </c>
      <c r="FS311" s="14" t="inlineStr">
        <is>
          <t>3079 / SFWZ-62|</t>
        </is>
      </c>
      <c r="FT311" t="inlineStr">
        <is>
          <t>SFWZ-62|</t>
        </is>
      </c>
      <c r="FU311" t="inlineStr">
        <is>
          <t>SFWZ-62</t>
        </is>
      </c>
      <c r="FV311">
        <f>VLOOKUP(FU311,FD:FL,9,0)</f>
        <v/>
      </c>
      <c r="HA311" s="35" t="n">
        <v>81</v>
      </c>
      <c r="HB311" s="35" t="n">
        <v>305</v>
      </c>
    </row>
    <row r="312" ht="15.5" customHeight="1">
      <c r="A312" s="10">
        <f>HOUR(G312)+1</f>
        <v/>
      </c>
      <c r="B312" s="7" t="n"/>
      <c r="C312" s="7" t="n"/>
      <c r="D312" s="85">
        <f>IFERROR(
IF(AND(OR(Planilla!B312="C",Planilla!B312="c"), VLOOKUP(E312,FD:FP,13,0)="C"), "OK",IF(AND(OR(Planilla!B312="C",Planilla!B312="c"), OR(VLOOKUP(E312,FD:FP,13,0)="B", VLOOKUP(E312,FD:FP,13,0)="A")), "DEFICIT",IF(
AND(OR(Planilla!B312="B", Planilla!B312="BPAL"), VLOOKUP(E312,FD:FP,13,0)="B"), "OK",IF(AND(OR(Planilla!B312="B", Planilla!B312="BPAL"), VLOOKUP(E312,FD:FP,13,0)="A"), "DEFICIT",IF(AND(OR(Planilla!B312="B", Planilla!B312="BPAL"), VLOOKUP(E312,FD:FP,13,0)="C"), "SOBREOFERTA",IF(AND(Planilla!B312="A", VLOOKUP(E312,FD:FP,13,0)="A"), "OK",IF(
AND(Planilla!B312="A", OR(VLOOKUP(E312,FD:FP,13,0)="B", VLOOKUP(E312,FD:FP,13,0)="C")), "SOBREOFERTA",""
))))))),"")</f>
        <v/>
      </c>
      <c r="E312" s="8" t="n"/>
      <c r="F312" s="86" t="n"/>
      <c r="G312" s="87" t="n"/>
      <c r="H312" s="88">
        <f>IF(I312="","",IF(AND((I312-G312)&gt;=TIME(0,0,0),(I312-G312)&lt;TIME(0,3,0)),"OK",IF(AND((I312-G312)&gt;=TIME(0,3,0),(I312-G312)&lt;TIME(0,5,0)),"RETRASO DE 3-5 MIN",IF(AND((I312-G312)&gt;=TIME(0,5,0),(I312-G312)&lt;TIME(0,10,0)),"RETRASO DE 5-10 MIN",IF((I312-G312)&gt;=TIME(0,10,0),"RETRASO &gt;10 MIN", IF(AND((G312-I312)&gt;=TIME(0,0,0),(G312-I312)&lt;TIME(0,3,0)),"OK",IF((G312-I312)&gt;=TIME(0,3,0),"ADELANTADO")))))))</f>
        <v/>
      </c>
      <c r="I312" s="89" t="n"/>
      <c r="J312" s="89">
        <f>IF(A312&lt;&gt;"",HLOOKUP(VALUE(TEXT(G312,"h:mm:ss")),IF($C$6="Laboral",$FZ$4:$GX$227,IF($C$6="Sábado",$FZ$231:$GX$452,$FZ$456:$GX$656)),VLOOKUP($C$4,$HF$2:$HH$99,3,0)+IF(C$5="Ida",0,1),1),"")</f>
        <v/>
      </c>
      <c r="K312" s="89">
        <f>IF(A313&lt;&gt;A312,AVERAGEIF(A$9:A312,A312,J$9:J312),"")</f>
        <v/>
      </c>
      <c r="L312" s="89">
        <f>IFERROR(IF(A313&lt;&gt;A312,AVERAGEIF(A$9:A312,A312,S$9:S312),""),"")</f>
        <v/>
      </c>
      <c r="M312" s="89">
        <f>IFERROR(IF(A313&lt;&gt;A312,AVERAGEIF(A$9:A312,A312,T$9:T312),""),"")</f>
        <v/>
      </c>
      <c r="N312" s="89">
        <f t="array" ref="N312">IFERROR(IF(A313&lt;&gt;A312,_xlfn.STDEV.P(IF(A$9:A312=A312,T$9:T312)),""),"")</f>
        <v/>
      </c>
      <c r="O312" s="89">
        <f t="array" ref="O312">IFERROR(IF(A313&lt;&gt;A312,_xlfn.STDEV.P(IF(A$9:A312=A312,S$9:S312)),""),"")</f>
        <v/>
      </c>
      <c r="P312" s="90">
        <f>IFERROR(IF(A312&lt;&gt;A313,MAX((((M312*24*60)/2)*(1+POWER((((N312*24*60) / (M312*24*60) )),2))) + ((M312*24*60 )*-0.1 + (K312*0.015)) +1,(((M312*24*60)/2)*(1+POWER((((N312*24*60) / (M312*24*60 ))),2)))),""),"")</f>
        <v/>
      </c>
      <c r="Q312" s="90">
        <f>IF(AND(O312&lt;&gt;"",L312&lt;&gt;""),IF(A312&lt;&gt;A313,((L312*24*60) / 2 ) * (1 + POWER(((O312*24*60) / (L312*24*60)),2)),""),"")</f>
        <v/>
      </c>
      <c r="R312" s="90">
        <f>IF(Q312&lt;&gt;"",MAX(P312,Q312),"")</f>
        <v/>
      </c>
      <c r="S312" s="89">
        <f>IF(I312&lt;&gt;"H. Sale Real",IF(AND(I313&lt;&gt;"",LEFT(C313,2)&lt;&gt;"Va"),IF(AND(I312&lt;&gt;"",LEFT(C312,2)&lt;&gt;"Va",I312&lt;&gt;"H. Sale Real"),IF(I313-I312&lt;0.208333333333333,I313-I312,""),IF(AND(I311&lt;&gt;"",LEFT(C311,2)&lt;&gt;"Va",I311&lt;&gt;"H. Sale Real"),IF(I313-I311&lt;0.208333333333333,I313-I311,""),IF(AND(I310&lt;&gt;"",LEFT(C310,2)&lt;&gt;"Va",I310&lt;&gt;"H. Sale Real"),IF(I313-I310&lt;0.208333333333333,I313-I310,""),IF(AND(I309&lt;&gt;"",LEFT(C309,2)&lt;&gt;"Va",I309&lt;&gt;"H. Sale Real"),IF(I313-I309&lt;0.208333333333333,I313-I309,""),IF(AND(I308&lt;&gt;"",LEFT(C308,2)&lt;&gt;"Va",I308&lt;&gt;"H. Sale Real"),IF(I313-I308&lt;0.208333333333333,I313-I308,""),""))))),""),"")</f>
        <v/>
      </c>
      <c r="T312" s="89">
        <f>IF(G312&lt;&gt;"H. Sale Real",IF(AND(G313&lt;&gt;"",LEFT(C313,2)&lt;&gt;"Va"),IF(AND(G312&lt;&gt;"",LEFT(C312,2)&lt;&gt;"Va",G312&lt;&gt;"H. Sale Real"),IF(G313-G312&lt;0.208333333333333,G313-G312,""),IF(AND(G311&lt;&gt;"",LEFT(C311,2)&lt;&gt;"Va",G311&lt;&gt;"H. Sale Real"),IF(G313-G311&lt;0.208333333333333,G313-G311,""),IF(AND(G310&lt;&gt;"",LEFT(C310,2)&lt;&gt;"Va",G310&lt;&gt;"H. Sale Real"),IF(G313-G310&lt;0.208333333333333,G313-G310,""),IF(AND(G309&lt;&gt;"",LEFT(C309,2)&lt;&gt;"Va",G309&lt;&gt;"H. Sale Real"),IF(G313-G309&lt;0.208333333333333,G313-G309,""),IF(AND(G308&lt;&gt;"",LEFT(C308,2)&lt;&gt;"Va",G308&lt;&gt;"H. Sale Real"),IF(G313-G308&lt;0.208333333333333,G313-G308,""),""))))),""),"")</f>
        <v/>
      </c>
      <c r="U312" s="87" t="n"/>
      <c r="V312" s="89" t="n"/>
      <c r="W312" s="87" t="n"/>
      <c r="X312" s="89" t="n"/>
      <c r="Y312" s="91" t="n"/>
      <c r="Z312" s="122">
        <f>IF(G312&lt;&gt;"",IF(AND(Z311&lt;&gt;"IE",P312&lt;&gt;0,R312&lt;&gt;""),IF(IFERROR((P312/R312),0) &lt;=1,IFERROR(P312/R312,""),1),""),"")</f>
        <v/>
      </c>
      <c r="AA312" s="93" t="n"/>
      <c r="AB312" s="2" t="n"/>
      <c r="AE312" s="10">
        <f>HOUR(AK312)+1</f>
        <v/>
      </c>
      <c r="AF312" s="7" t="n"/>
      <c r="AG312" s="7" t="n"/>
      <c r="AH312" s="86" t="n"/>
      <c r="AI312" s="8" t="n"/>
      <c r="AJ312" s="86" t="n"/>
      <c r="AK312" s="87" t="n"/>
      <c r="AL312" s="88">
        <f>IF(AM312="","",IF(AND((AM312-AK312)&gt;=TIME(0,0,0),(AM312-AK312)&lt;TIME(0,3,0)),"OK",IF(AND((AM312-AK312)&gt;=TIME(0,3,0),(AM312-AK312)&lt;TIME(0,5,0)),"RETRASO DE 3-5 MIN",IF(AND((AM312-AK312)&gt;=TIME(0,5,0),(AM312-AK312)&lt;TIME(0,10,0)),"RETRASO DE 5-10 MIN",IF((AM312-AK312)&gt;=TIME(0,10,0),"RETRASO &gt;10 MIN", IF(AND((AK312-AM312)&gt;=TIME(0,0,0),(AK312-AM312)&lt;TIME(0,3,0)),"OK",IF((AK312-AM312)&gt;=TIME(0,3,0),"ADELANTADO")))))))</f>
        <v/>
      </c>
      <c r="AM312" s="91" t="n"/>
      <c r="AN312" s="89">
        <f>IF(AE312&lt;&gt;"",HLOOKUP(VALUE(TEXT(AK312,"h:mm:ss")),IF($C$6="Laboral",$FZ$4:$GX$227,IF($C$6="Sábado",$FZ$231:$GX$452,$FZ$456:$GX$656)),VLOOKUP($C$4,$HF$2:$HH$99,3,0)+IF(AG$5="Ida",0,1),1),"")</f>
        <v/>
      </c>
      <c r="AO312" s="89">
        <f>IF(AE313&lt;&gt;AE312,AVERAGEIF(AE$9:AE312,AE312,AN$9:AN312),"")</f>
        <v/>
      </c>
      <c r="AP312" s="89">
        <f>IFERROR(IF(AE313&lt;&gt;AE312,AVERAGEIF(AE$9:AE312,AE312,AW$9:AW312),""),"")</f>
        <v/>
      </c>
      <c r="AQ312" s="89">
        <f>IFERROR(IF(AE313&lt;&gt;AE312,AVERAGEIF(AE$9:AE312,AE312,AX$9:AX312),""),"")</f>
        <v/>
      </c>
      <c r="AR312" s="89">
        <f t="array" ref="AR312">IFERROR(IF(AE313&lt;&gt;AE312,_xlfn.STDEV.P(IF(AE$9:AE312=AE312,AX$9:AX312)),""),"")</f>
        <v/>
      </c>
      <c r="AS312" s="89">
        <f t="array" ref="AS312">IFERROR(IF(AE313&lt;&gt;AE312,_xlfn.STDEV.P(IF(AE$9:AE312=AE312,AW$9:AW312)),""),"")</f>
        <v/>
      </c>
      <c r="AT312" s="90">
        <f>IFERROR(IF(AE312&lt;&gt;AE313,MAX((((AQ312*24*60)/2)*(1+POWER((((AR312*24*60) / (AQ312*24*60) )),2))) + ((AQ312*24*60 )*-0.1 + (AO312*0.015)) +1,(((AQ312*24*60)/2)*(1+POWER((((AR312*24*60) / (AQ312*24*60 ))),2)))),""),"")</f>
        <v/>
      </c>
      <c r="AU312" s="90">
        <f>IF(AND(AS312&lt;&gt;"",AP312&lt;&gt;""),IF(AE312&lt;&gt;AE313,((AP312*24*60) / 2 ) * (1 + POWER(((AS312*24*60) / (AP312*24*60)),2)),""),"")</f>
        <v/>
      </c>
      <c r="AV312" s="90">
        <f>IF(AU312&lt;&gt;"",MAX(AT312,AU312),"")</f>
        <v/>
      </c>
      <c r="AW312" s="89">
        <f>IF(AM312&lt;&gt;"H. Sale Real",IF(AND(AM313&lt;&gt;"",LEFT(AG313,2)&lt;&gt;"Va"),IF(AND(AM312&lt;&gt;"",LEFT(AG312,2)&lt;&gt;"Va",AM312&lt;&gt;"H. Sale Real"),IF(AM313-AM312&lt;0.208333333333333,AM313-AM312,""),IF(AND(AM311&lt;&gt;"",LEFT(AG311,2)&lt;&gt;"Va",AM311&lt;&gt;"H. Sale Real"),IF(AM313-AM311&lt;0.208333333333333,AM313-AM311,""),IF(AND(AM310&lt;&gt;"",LEFT(AG310,2)&lt;&gt;"Va",AM310&lt;&gt;"H. Sale Real"),IF(AM313-AM310&lt;0.208333333333333,AM313-AM310,""),IF(AND(AM309&lt;&gt;"",LEFT(AG309,2)&lt;&gt;"Va",AM309&lt;&gt;"H. Sale Real"),IF(AM313-AM309&lt;0.208333333333333,AM313-AM309,""),IF(AND(AM308&lt;&gt;"",LEFT(AG308,2)&lt;&gt;"Va",AM308&lt;&gt;"H. Sale Real"),IF(AM313-AM308&lt;0.208333333333333,AM313-AM308,""),""))))),""),"")</f>
        <v/>
      </c>
      <c r="AX312" s="89">
        <f>IF(AK312&lt;&gt;"H. Sale Real",IF(AND(AK313&lt;&gt;"",LEFT(AG313,2)&lt;&gt;"Va"),IF(AND(AK312&lt;&gt;"",LEFT(AG312,2)&lt;&gt;"Va",AK312&lt;&gt;"H. Sale Real"),IF(AK313-AK312&lt;0.208333333333333,AK313-AK312,""),IF(AND(AK311&lt;&gt;"",LEFT(AG311,2)&lt;&gt;"Va",AK311&lt;&gt;"H. Sale Real"),IF(AK313-AK311&lt;0.208333333333333,AK313-AK311,""),IF(AND(AK310&lt;&gt;"",LEFT(AG310,2)&lt;&gt;"NC",AK310&lt;&gt;"H. Sale Real"),IF(AK313-AK310&lt;0.208333333333333,AK313-AK310,""),IF(AND(AK309&lt;&gt;"",LEFT(AG309,2)&lt;&gt;"Va",AK309&lt;&gt;"H. Sale Real"),IF(AK313-AK309&lt;0.208333333333333,AK313-AK309,""),IF(AND(AK308&lt;&gt;"",LEFT(AG308,2)&lt;&gt;"Va",AK308&lt;&gt;"H. Sale Real"),IF(AK313-AK308&lt;0.208333333333333,AK313-AK308,""),""))))),""),"")</f>
        <v/>
      </c>
      <c r="AY312" s="87" t="n"/>
      <c r="AZ312" s="89" t="n"/>
      <c r="BA312" s="87" t="n"/>
      <c r="BB312" s="89" t="n"/>
      <c r="BC312" s="91" t="n"/>
      <c r="BD312" s="122">
        <f>IF(AK312&lt;&gt;"",IF(AND(BD311&lt;&gt;"IE",AT312&lt;&gt;0,AV312&lt;&gt;""),IF(IFERROR((AT312/AV312),0) &lt;=1,IFERROR(AT312/AV312,""),1),""),"")</f>
        <v/>
      </c>
      <c r="BE312" s="93" t="n"/>
      <c r="BF312" s="105" t="n"/>
      <c r="FC312" t="inlineStr">
        <is>
          <t>Diccionario 1</t>
        </is>
      </c>
      <c r="FD312" s="15" t="n">
        <v>1311</v>
      </c>
      <c r="FE312" s="15" t="inlineStr">
        <is>
          <t>MDN35025020132</t>
        </is>
      </c>
      <c r="FF312" s="15" t="inlineStr">
        <is>
          <t>LDYECS318S0044057</t>
        </is>
      </c>
      <c r="FG312" s="15" t="inlineStr">
        <is>
          <t>Zhong Tong</t>
        </is>
      </c>
      <c r="FH312" s="15" t="inlineStr">
        <is>
          <t>Lck6122evg</t>
        </is>
      </c>
      <c r="FI312" s="15" t="inlineStr">
        <is>
          <t>ZHONGTONG</t>
        </is>
      </c>
      <c r="FJ312" s="15" t="inlineStr">
        <is>
          <t>LCK6122EVG</t>
        </is>
      </c>
      <c r="FK312" s="15" t="n">
        <v>2025</v>
      </c>
      <c r="FL312" s="15" t="inlineStr">
        <is>
          <t>B</t>
        </is>
      </c>
      <c r="FM312" s="15" t="inlineStr">
        <is>
          <t>CERRILLOS</t>
        </is>
      </c>
      <c r="FN312" s="15" t="inlineStr">
        <is>
          <t>Calle Uno 7371</t>
        </is>
      </c>
      <c r="FO312" s="15" t="inlineStr">
        <is>
          <t>Cerrillos</t>
        </is>
      </c>
      <c r="FP312" t="inlineStr">
        <is>
          <t>B</t>
        </is>
      </c>
      <c r="FS312" s="14" t="inlineStr">
        <is>
          <t>3079 / SFWZ-62|</t>
        </is>
      </c>
      <c r="FT312" t="inlineStr">
        <is>
          <t>SFWZ-62|</t>
        </is>
      </c>
      <c r="FU312" t="inlineStr">
        <is>
          <t>SFWZ-62</t>
        </is>
      </c>
      <c r="FV312">
        <f>VLOOKUP(FU312,FD:FL,9,0)</f>
        <v/>
      </c>
      <c r="HA312" s="35" t="n">
        <v>82</v>
      </c>
      <c r="HB312" s="35" t="n">
        <v>306</v>
      </c>
    </row>
    <row r="313" ht="15.5" customHeight="1">
      <c r="A313" s="10">
        <f>HOUR(G313)+1</f>
        <v/>
      </c>
      <c r="B313" s="7" t="n"/>
      <c r="C313" s="7" t="n"/>
      <c r="D313" s="85">
        <f>IFERROR(
IF(AND(OR(Planilla!B313="C",Planilla!B313="c"), VLOOKUP(E313,FD:FP,13,0)="C"), "OK",IF(AND(OR(Planilla!B313="C",Planilla!B313="c"), OR(VLOOKUP(E313,FD:FP,13,0)="B", VLOOKUP(E313,FD:FP,13,0)="A")), "DEFICIT",IF(
AND(OR(Planilla!B313="B", Planilla!B313="BPAL"), VLOOKUP(E313,FD:FP,13,0)="B"), "OK",IF(AND(OR(Planilla!B313="B", Planilla!B313="BPAL"), VLOOKUP(E313,FD:FP,13,0)="A"), "DEFICIT",IF(AND(OR(Planilla!B313="B", Planilla!B313="BPAL"), VLOOKUP(E313,FD:FP,13,0)="C"), "SOBREOFERTA",IF(AND(Planilla!B313="A", VLOOKUP(E313,FD:FP,13,0)="A"), "OK",IF(
AND(Planilla!B313="A", OR(VLOOKUP(E313,FD:FP,13,0)="B", VLOOKUP(E313,FD:FP,13,0)="C")), "SOBREOFERTA",""
))))))),"")</f>
        <v/>
      </c>
      <c r="E313" s="8" t="n"/>
      <c r="F313" s="86" t="n"/>
      <c r="G313" s="87" t="n"/>
      <c r="H313" s="88">
        <f>IF(I313="","",IF(AND((I313-G313)&gt;=TIME(0,0,0),(I313-G313)&lt;TIME(0,3,0)),"OK",IF(AND((I313-G313)&gt;=TIME(0,3,0),(I313-G313)&lt;TIME(0,5,0)),"RETRASO DE 3-5 MIN",IF(AND((I313-G313)&gt;=TIME(0,5,0),(I313-G313)&lt;TIME(0,10,0)),"RETRASO DE 5-10 MIN",IF((I313-G313)&gt;=TIME(0,10,0),"RETRASO &gt;10 MIN", IF(AND((G313-I313)&gt;=TIME(0,0,0),(G313-I313)&lt;TIME(0,3,0)),"OK",IF((G313-I313)&gt;=TIME(0,3,0),"ADELANTADO")))))))</f>
        <v/>
      </c>
      <c r="I313" s="89" t="n"/>
      <c r="J313" s="89">
        <f>IF(A313&lt;&gt;"",HLOOKUP(VALUE(TEXT(G313,"h:mm:ss")),IF($C$6="Laboral",$FZ$4:$GX$227,IF($C$6="Sábado",$FZ$231:$GX$452,$FZ$456:$GX$656)),VLOOKUP($C$4,$HF$2:$HH$99,3,0)+IF(C$5="Ida",0,1),1),"")</f>
        <v/>
      </c>
      <c r="K313" s="89">
        <f>IF(A314&lt;&gt;A313,AVERAGEIF(A$9:A313,A313,J$9:J313),"")</f>
        <v/>
      </c>
      <c r="L313" s="89">
        <f>IFERROR(IF(A314&lt;&gt;A313,AVERAGEIF(A$9:A313,A313,S$9:S313),""),"")</f>
        <v/>
      </c>
      <c r="M313" s="89">
        <f>IFERROR(IF(A314&lt;&gt;A313,AVERAGEIF(A$9:A313,A313,T$9:T313),""),"")</f>
        <v/>
      </c>
      <c r="N313" s="89">
        <f t="array" ref="N313">IFERROR(IF(A314&lt;&gt;A313,_xlfn.STDEV.P(IF(A$9:A313=A313,T$9:T313)),""),"")</f>
        <v/>
      </c>
      <c r="O313" s="89">
        <f t="array" ref="O313">IFERROR(IF(A314&lt;&gt;A313,_xlfn.STDEV.P(IF(A$9:A313=A313,S$9:S313)),""),"")</f>
        <v/>
      </c>
      <c r="P313" s="90">
        <f>IFERROR(IF(A313&lt;&gt;A314,MAX((((M313*24*60)/2)*(1+POWER((((N313*24*60) / (M313*24*60) )),2))) + ((M313*24*60 )*-0.1 + (K313*0.015)) +1,(((M313*24*60)/2)*(1+POWER((((N313*24*60) / (M313*24*60 ))),2)))),""),"")</f>
        <v/>
      </c>
      <c r="Q313" s="90">
        <f>IF(AND(O313&lt;&gt;"",L313&lt;&gt;""),IF(A313&lt;&gt;A314,((L313*24*60) / 2 ) * (1 + POWER(((O313*24*60) / (L313*24*60)),2)),""),"")</f>
        <v/>
      </c>
      <c r="R313" s="90">
        <f>IF(Q313&lt;&gt;"",MAX(P313,Q313),"")</f>
        <v/>
      </c>
      <c r="S313" s="89">
        <f>IF(I313&lt;&gt;"H. Sale Real",IF(AND(I314&lt;&gt;"",LEFT(C314,2)&lt;&gt;"Va"),IF(AND(I313&lt;&gt;"",LEFT(C313,2)&lt;&gt;"Va",I313&lt;&gt;"H. Sale Real"),IF(I314-I313&lt;0.208333333333333,I314-I313,""),IF(AND(I312&lt;&gt;"",LEFT(C312,2)&lt;&gt;"Va",I312&lt;&gt;"H. Sale Real"),IF(I314-I312&lt;0.208333333333333,I314-I312,""),IF(AND(I311&lt;&gt;"",LEFT(C311,2)&lt;&gt;"Va",I311&lt;&gt;"H. Sale Real"),IF(I314-I311&lt;0.208333333333333,I314-I311,""),IF(AND(I310&lt;&gt;"",LEFT(C310,2)&lt;&gt;"Va",I310&lt;&gt;"H. Sale Real"),IF(I314-I310&lt;0.208333333333333,I314-I310,""),IF(AND(I309&lt;&gt;"",LEFT(C309,2)&lt;&gt;"Va",I309&lt;&gt;"H. Sale Real"),IF(I314-I309&lt;0.208333333333333,I314-I309,""),""))))),""),"")</f>
        <v/>
      </c>
      <c r="T313" s="89">
        <f>IF(G313&lt;&gt;"H. Sale Real",IF(AND(G314&lt;&gt;"",LEFT(C314,2)&lt;&gt;"Va"),IF(AND(G313&lt;&gt;"",LEFT(C313,2)&lt;&gt;"Va",G313&lt;&gt;"H. Sale Real"),IF(G314-G313&lt;0.208333333333333,G314-G313,""),IF(AND(G312&lt;&gt;"",LEFT(C312,2)&lt;&gt;"Va",G312&lt;&gt;"H. Sale Real"),IF(G314-G312&lt;0.208333333333333,G314-G312,""),IF(AND(G311&lt;&gt;"",LEFT(C311,2)&lt;&gt;"Va",G311&lt;&gt;"H. Sale Real"),IF(G314-G311&lt;0.208333333333333,G314-G311,""),IF(AND(G310&lt;&gt;"",LEFT(C310,2)&lt;&gt;"Va",G310&lt;&gt;"H. Sale Real"),IF(G314-G310&lt;0.208333333333333,G314-G310,""),IF(AND(G309&lt;&gt;"",LEFT(C309,2)&lt;&gt;"Va",G309&lt;&gt;"H. Sale Real"),IF(G314-G309&lt;0.208333333333333,G314-G309,""),""))))),""),"")</f>
        <v/>
      </c>
      <c r="U313" s="87" t="n"/>
      <c r="V313" s="89" t="n"/>
      <c r="W313" s="87" t="n"/>
      <c r="X313" s="89" t="n"/>
      <c r="Y313" s="91" t="n"/>
      <c r="Z313" s="122">
        <f>IF(G313&lt;&gt;"",IF(AND(Z312&lt;&gt;"IE",P313&lt;&gt;0,R313&lt;&gt;""),IF(IFERROR((P313/R313),0) &lt;=1,IFERROR(P313/R313,""),1),""),"")</f>
        <v/>
      </c>
      <c r="AA313" s="93" t="n"/>
      <c r="AB313" s="2" t="n"/>
      <c r="AE313" s="10">
        <f>HOUR(AK313)+1</f>
        <v/>
      </c>
      <c r="AF313" s="7" t="n"/>
      <c r="AG313" s="7" t="n"/>
      <c r="AH313" s="86" t="n"/>
      <c r="AI313" s="8" t="n"/>
      <c r="AJ313" s="86" t="n"/>
      <c r="AK313" s="87" t="n"/>
      <c r="AL313" s="88">
        <f>IF(AM313="","",IF(AND((AM313-AK313)&gt;=TIME(0,0,0),(AM313-AK313)&lt;TIME(0,3,0)),"OK",IF(AND((AM313-AK313)&gt;=TIME(0,3,0),(AM313-AK313)&lt;TIME(0,5,0)),"RETRASO DE 3-5 MIN",IF(AND((AM313-AK313)&gt;=TIME(0,5,0),(AM313-AK313)&lt;TIME(0,10,0)),"RETRASO DE 5-10 MIN",IF((AM313-AK313)&gt;=TIME(0,10,0),"RETRASO &gt;10 MIN", IF(AND((AK313-AM313)&gt;=TIME(0,0,0),(AK313-AM313)&lt;TIME(0,3,0)),"OK",IF((AK313-AM313)&gt;=TIME(0,3,0),"ADELANTADO")))))))</f>
        <v/>
      </c>
      <c r="AM313" s="91" t="n"/>
      <c r="AN313" s="89">
        <f>IF(AE313&lt;&gt;"",HLOOKUP(VALUE(TEXT(AK313,"h:mm:ss")),IF($C$6="Laboral",$FZ$4:$GX$227,IF($C$6="Sábado",$FZ$231:$GX$452,$FZ$456:$GX$656)),VLOOKUP($C$4,$HF$2:$HH$99,3,0)+IF(AG$5="Ida",0,1),1),"")</f>
        <v/>
      </c>
      <c r="AO313" s="89">
        <f>IF(AE314&lt;&gt;AE313,AVERAGEIF(AE$9:AE313,AE313,AN$9:AN313),"")</f>
        <v/>
      </c>
      <c r="AP313" s="89">
        <f>IFERROR(IF(AE314&lt;&gt;AE313,AVERAGEIF(AE$9:AE313,AE313,AW$9:AW313),""),"")</f>
        <v/>
      </c>
      <c r="AQ313" s="89">
        <f>IFERROR(IF(AE314&lt;&gt;AE313,AVERAGEIF(AE$9:AE313,AE313,AX$9:AX313),""),"")</f>
        <v/>
      </c>
      <c r="AR313" s="89">
        <f t="array" ref="AR313">IFERROR(IF(AE314&lt;&gt;AE313,_xlfn.STDEV.P(IF(AE$9:AE313=AE313,AX$9:AX313)),""),"")</f>
        <v/>
      </c>
      <c r="AS313" s="89">
        <f t="array" ref="AS313">IFERROR(IF(AE314&lt;&gt;AE313,_xlfn.STDEV.P(IF(AE$9:AE313=AE313,AW$9:AW313)),""),"")</f>
        <v/>
      </c>
      <c r="AT313" s="90">
        <f>IFERROR(IF(AE313&lt;&gt;AE314,MAX((((AQ313*24*60)/2)*(1+POWER((((AR313*24*60) / (AQ313*24*60) )),2))) + ((AQ313*24*60 )*-0.1 + (AO313*0.015)) +1,(((AQ313*24*60)/2)*(1+POWER((((AR313*24*60) / (AQ313*24*60 ))),2)))),""),"")</f>
        <v/>
      </c>
      <c r="AU313" s="90">
        <f>IF(AND(AS313&lt;&gt;"",AP313&lt;&gt;""),IF(AE313&lt;&gt;AE314,((AP313*24*60) / 2 ) * (1 + POWER(((AS313*24*60) / (AP313*24*60)),2)),""),"")</f>
        <v/>
      </c>
      <c r="AV313" s="90">
        <f>IF(AU313&lt;&gt;"",MAX(AT313,AU313),"")</f>
        <v/>
      </c>
      <c r="AW313" s="89">
        <f>IF(AM313&lt;&gt;"H. Sale Real",IF(AND(AM314&lt;&gt;"",LEFT(AG314,2)&lt;&gt;"Va"),IF(AND(AM313&lt;&gt;"",LEFT(AG313,2)&lt;&gt;"Va",AM313&lt;&gt;"H. Sale Real"),IF(AM314-AM313&lt;0.208333333333333,AM314-AM313,""),IF(AND(AM312&lt;&gt;"",LEFT(AG312,2)&lt;&gt;"Va",AM312&lt;&gt;"H. Sale Real"),IF(AM314-AM312&lt;0.208333333333333,AM314-AM312,""),IF(AND(AM311&lt;&gt;"",LEFT(AG311,2)&lt;&gt;"Va",AM311&lt;&gt;"H. Sale Real"),IF(AM314-AM311&lt;0.208333333333333,AM314-AM311,""),IF(AND(AM310&lt;&gt;"",LEFT(AG310,2)&lt;&gt;"Va",AM310&lt;&gt;"H. Sale Real"),IF(AM314-AM310&lt;0.208333333333333,AM314-AM310,""),IF(AND(AM309&lt;&gt;"",LEFT(AG309,2)&lt;&gt;"Va",AM309&lt;&gt;"H. Sale Real"),IF(AM314-AM309&lt;0.208333333333333,AM314-AM309,""),""))))),""),"")</f>
        <v/>
      </c>
      <c r="AX313" s="89">
        <f>IF(AK313&lt;&gt;"H. Sale Real",IF(AND(AK314&lt;&gt;"",LEFT(AG314,2)&lt;&gt;"Va"),IF(AND(AK313&lt;&gt;"",LEFT(AG313,2)&lt;&gt;"Va",AK313&lt;&gt;"H. Sale Real"),IF(AK314-AK313&lt;0.208333333333333,AK314-AK313,""),IF(AND(AK312&lt;&gt;"",LEFT(AG312,2)&lt;&gt;"Va",AK312&lt;&gt;"H. Sale Real"),IF(AK314-AK312&lt;0.208333333333333,AK314-AK312,""),IF(AND(AK311&lt;&gt;"",LEFT(AG311,2)&lt;&gt;"NC",AK311&lt;&gt;"H. Sale Real"),IF(AK314-AK311&lt;0.208333333333333,AK314-AK311,""),IF(AND(AK310&lt;&gt;"",LEFT(AG310,2)&lt;&gt;"Va",AK310&lt;&gt;"H. Sale Real"),IF(AK314-AK310&lt;0.208333333333333,AK314-AK310,""),IF(AND(AK309&lt;&gt;"",LEFT(AG309,2)&lt;&gt;"Va",AK309&lt;&gt;"H. Sale Real"),IF(AK314-AK309&lt;0.208333333333333,AK314-AK309,""),""))))),""),"")</f>
        <v/>
      </c>
      <c r="AY313" s="87" t="n"/>
      <c r="AZ313" s="89" t="n"/>
      <c r="BA313" s="87" t="n"/>
      <c r="BB313" s="89" t="n"/>
      <c r="BC313" s="91" t="n"/>
      <c r="BD313" s="122">
        <f>IF(AK313&lt;&gt;"",IF(AND(BD312&lt;&gt;"IE",AT313&lt;&gt;0,AV313&lt;&gt;""),IF(IFERROR((AT313/AV313),0) &lt;=1,IFERROR(AT313/AV313,""),1),""),"")</f>
        <v/>
      </c>
      <c r="BE313" s="93" t="n"/>
      <c r="BF313" s="105" t="n"/>
      <c r="FC313" t="inlineStr">
        <is>
          <t>Diccionario 1</t>
        </is>
      </c>
      <c r="FD313" s="15" t="n">
        <v>1312</v>
      </c>
      <c r="FE313" s="15" t="inlineStr">
        <is>
          <t>MDN35025020073</t>
        </is>
      </c>
      <c r="FF313" s="15" t="inlineStr">
        <is>
          <t>LDYECS315S0044050</t>
        </is>
      </c>
      <c r="FG313" s="15" t="inlineStr">
        <is>
          <t>Zhong Tong</t>
        </is>
      </c>
      <c r="FH313" s="15" t="inlineStr">
        <is>
          <t>Lck6122evg</t>
        </is>
      </c>
      <c r="FI313" s="15" t="inlineStr">
        <is>
          <t>ZHONGTONG</t>
        </is>
      </c>
      <c r="FJ313" s="15" t="inlineStr">
        <is>
          <t>LCK6122EVG</t>
        </is>
      </c>
      <c r="FK313" s="15" t="n">
        <v>2025</v>
      </c>
      <c r="FL313" s="15" t="inlineStr">
        <is>
          <t>B</t>
        </is>
      </c>
      <c r="FM313" s="15" t="inlineStr">
        <is>
          <t>PIE ANDINO</t>
        </is>
      </c>
      <c r="FN313" s="15" t="inlineStr">
        <is>
          <t>Pie Andino 31 (Pie Andino 383)</t>
        </is>
      </c>
      <c r="FO313" s="15" t="inlineStr">
        <is>
          <t>Puente Alto</t>
        </is>
      </c>
      <c r="FP313" t="inlineStr">
        <is>
          <t>B</t>
        </is>
      </c>
      <c r="FS313" s="14" t="inlineStr">
        <is>
          <t>3079 / SFWZ-62|</t>
        </is>
      </c>
      <c r="FT313" t="inlineStr">
        <is>
          <t>SFWZ-62|</t>
        </is>
      </c>
      <c r="FU313" t="inlineStr">
        <is>
          <t>SFWZ-62</t>
        </is>
      </c>
      <c r="FV313">
        <f>VLOOKUP(FU313,FD:FL,9,0)</f>
        <v/>
      </c>
      <c r="HA313" s="35" t="n">
        <v>83</v>
      </c>
      <c r="HB313" s="35" t="n">
        <v>307</v>
      </c>
    </row>
    <row r="314" ht="15.5" customHeight="1">
      <c r="A314" s="10">
        <f>HOUR(G314)+1</f>
        <v/>
      </c>
      <c r="B314" s="7" t="n"/>
      <c r="C314" s="7" t="n"/>
      <c r="D314" s="85">
        <f>IFERROR(
IF(AND(OR(Planilla!B314="C",Planilla!B314="c"), VLOOKUP(E314,FD:FP,13,0)="C"), "OK",IF(AND(OR(Planilla!B314="C",Planilla!B314="c"), OR(VLOOKUP(E314,FD:FP,13,0)="B", VLOOKUP(E314,FD:FP,13,0)="A")), "DEFICIT",IF(
AND(OR(Planilla!B314="B", Planilla!B314="BPAL"), VLOOKUP(E314,FD:FP,13,0)="B"), "OK",IF(AND(OR(Planilla!B314="B", Planilla!B314="BPAL"), VLOOKUP(E314,FD:FP,13,0)="A"), "DEFICIT",IF(AND(OR(Planilla!B314="B", Planilla!B314="BPAL"), VLOOKUP(E314,FD:FP,13,0)="C"), "SOBREOFERTA",IF(AND(Planilla!B314="A", VLOOKUP(E314,FD:FP,13,0)="A"), "OK",IF(
AND(Planilla!B314="A", OR(VLOOKUP(E314,FD:FP,13,0)="B", VLOOKUP(E314,FD:FP,13,0)="C")), "SOBREOFERTA",""
))))))),"")</f>
        <v/>
      </c>
      <c r="E314" s="8" t="n"/>
      <c r="F314" s="86" t="n"/>
      <c r="G314" s="87" t="n"/>
      <c r="H314" s="88">
        <f>IF(I314="","",IF(AND((I314-G314)&gt;=TIME(0,0,0),(I314-G314)&lt;TIME(0,3,0)),"OK",IF(AND((I314-G314)&gt;=TIME(0,3,0),(I314-G314)&lt;TIME(0,5,0)),"RETRASO DE 3-5 MIN",IF(AND((I314-G314)&gt;=TIME(0,5,0),(I314-G314)&lt;TIME(0,10,0)),"RETRASO DE 5-10 MIN",IF((I314-G314)&gt;=TIME(0,10,0),"RETRASO &gt;10 MIN", IF(AND((G314-I314)&gt;=TIME(0,0,0),(G314-I314)&lt;TIME(0,3,0)),"OK",IF((G314-I314)&gt;=TIME(0,3,0),"ADELANTADO")))))))</f>
        <v/>
      </c>
      <c r="I314" s="89" t="n"/>
      <c r="J314" s="89">
        <f>IF(A314&lt;&gt;"",HLOOKUP(VALUE(TEXT(G314,"h:mm:ss")),IF($C$6="Laboral",$FZ$4:$GX$227,IF($C$6="Sábado",$FZ$231:$GX$452,$FZ$456:$GX$656)),VLOOKUP($C$4,$HF$2:$HH$99,3,0)+IF(C$5="Ida",0,1),1),"")</f>
        <v/>
      </c>
      <c r="K314" s="89">
        <f>IF(A315&lt;&gt;A314,AVERAGEIF(A$9:A314,A314,J$9:J314),"")</f>
        <v/>
      </c>
      <c r="L314" s="89">
        <f>IFERROR(IF(A315&lt;&gt;A314,AVERAGEIF(A$9:A314,A314,S$9:S314),""),"")</f>
        <v/>
      </c>
      <c r="M314" s="89">
        <f>IFERROR(IF(A315&lt;&gt;A314,AVERAGEIF(A$9:A314,A314,T$9:T314),""),"")</f>
        <v/>
      </c>
      <c r="N314" s="89">
        <f t="array" ref="N314">IFERROR(IF(A315&lt;&gt;A314,_xlfn.STDEV.P(IF(A$9:A314=A314,T$9:T314)),""),"")</f>
        <v/>
      </c>
      <c r="O314" s="89">
        <f t="array" ref="O314">IFERROR(IF(A315&lt;&gt;A314,_xlfn.STDEV.P(IF(A$9:A314=A314,S$9:S314)),""),"")</f>
        <v/>
      </c>
      <c r="P314" s="90">
        <f>IFERROR(IF(A314&lt;&gt;A315,MAX((((M314*24*60)/2)*(1+POWER((((N314*24*60) / (M314*24*60) )),2))) + ((M314*24*60 )*-0.1 + (K314*0.015)) +1,(((M314*24*60)/2)*(1+POWER((((N314*24*60) / (M314*24*60 ))),2)))),""),"")</f>
        <v/>
      </c>
      <c r="Q314" s="90">
        <f>IF(AND(O314&lt;&gt;"",L314&lt;&gt;""),IF(A314&lt;&gt;A315,((L314*24*60) / 2 ) * (1 + POWER(((O314*24*60) / (L314*24*60)),2)),""),"")</f>
        <v/>
      </c>
      <c r="R314" s="90">
        <f>IF(Q314&lt;&gt;"",MAX(P314,Q314),"")</f>
        <v/>
      </c>
      <c r="S314" s="89">
        <f>IF(I314&lt;&gt;"H. Sale Real",IF(AND(I315&lt;&gt;"",LEFT(C315,2)&lt;&gt;"Va"),IF(AND(I314&lt;&gt;"",LEFT(C314,2)&lt;&gt;"Va",I314&lt;&gt;"H. Sale Real"),IF(I315-I314&lt;0.208333333333333,I315-I314,""),IF(AND(I313&lt;&gt;"",LEFT(C313,2)&lt;&gt;"Va",I313&lt;&gt;"H. Sale Real"),IF(I315-I313&lt;0.208333333333333,I315-I313,""),IF(AND(I312&lt;&gt;"",LEFT(C312,2)&lt;&gt;"Va",I312&lt;&gt;"H. Sale Real"),IF(I315-I312&lt;0.208333333333333,I315-I312,""),IF(AND(I311&lt;&gt;"",LEFT(C311,2)&lt;&gt;"Va",I311&lt;&gt;"H. Sale Real"),IF(I315-I311&lt;0.208333333333333,I315-I311,""),IF(AND(I310&lt;&gt;"",LEFT(C310,2)&lt;&gt;"Va",I310&lt;&gt;"H. Sale Real"),IF(I315-I310&lt;0.208333333333333,I315-I310,""),""))))),""),"")</f>
        <v/>
      </c>
      <c r="T314" s="89">
        <f>IF(G314&lt;&gt;"H. Sale Real",IF(AND(G315&lt;&gt;"",LEFT(C315,2)&lt;&gt;"Va"),IF(AND(G314&lt;&gt;"",LEFT(C314,2)&lt;&gt;"Va",G314&lt;&gt;"H. Sale Real"),IF(G315-G314&lt;0.208333333333333,G315-G314,""),IF(AND(G313&lt;&gt;"",LEFT(C313,2)&lt;&gt;"Va",G313&lt;&gt;"H. Sale Real"),IF(G315-G313&lt;0.208333333333333,G315-G313,""),IF(AND(G312&lt;&gt;"",LEFT(C312,2)&lt;&gt;"Va",G312&lt;&gt;"H. Sale Real"),IF(G315-G312&lt;0.208333333333333,G315-G312,""),IF(AND(G311&lt;&gt;"",LEFT(C311,2)&lt;&gt;"Va",G311&lt;&gt;"H. Sale Real"),IF(G315-G311&lt;0.208333333333333,G315-G311,""),IF(AND(G310&lt;&gt;"",LEFT(C310,2)&lt;&gt;"Va",G310&lt;&gt;"H. Sale Real"),IF(G315-G310&lt;0.208333333333333,G315-G310,""),""))))),""),"")</f>
        <v/>
      </c>
      <c r="U314" s="87" t="n"/>
      <c r="V314" s="89" t="n"/>
      <c r="W314" s="87" t="n"/>
      <c r="X314" s="89" t="n"/>
      <c r="Y314" s="91" t="n"/>
      <c r="Z314" s="122">
        <f>IF(G314&lt;&gt;"",IF(AND(Z313&lt;&gt;"IE",P314&lt;&gt;0,R314&lt;&gt;""),IF(IFERROR((P314/R314),0) &lt;=1,IFERROR(P314/R314,""),1),""),"")</f>
        <v/>
      </c>
      <c r="AA314" s="93" t="n"/>
      <c r="AB314" s="2" t="n"/>
      <c r="AE314" s="10">
        <f>HOUR(AK314)+1</f>
        <v/>
      </c>
      <c r="AF314" s="7" t="n"/>
      <c r="AG314" s="7" t="n"/>
      <c r="AH314" s="86" t="n"/>
      <c r="AI314" s="8" t="n"/>
      <c r="AJ314" s="86" t="n"/>
      <c r="AK314" s="87" t="n"/>
      <c r="AL314" s="88">
        <f>IF(AM314="","",IF(AND((AM314-AK314)&gt;=TIME(0,0,0),(AM314-AK314)&lt;TIME(0,3,0)),"OK",IF(AND((AM314-AK314)&gt;=TIME(0,3,0),(AM314-AK314)&lt;TIME(0,5,0)),"RETRASO DE 3-5 MIN",IF(AND((AM314-AK314)&gt;=TIME(0,5,0),(AM314-AK314)&lt;TIME(0,10,0)),"RETRASO DE 5-10 MIN",IF((AM314-AK314)&gt;=TIME(0,10,0),"RETRASO &gt;10 MIN", IF(AND((AK314-AM314)&gt;=TIME(0,0,0),(AK314-AM314)&lt;TIME(0,3,0)),"OK",IF((AK314-AM314)&gt;=TIME(0,3,0),"ADELANTADO")))))))</f>
        <v/>
      </c>
      <c r="AM314" s="91" t="n"/>
      <c r="AN314" s="89">
        <f>IF(AE314&lt;&gt;"",HLOOKUP(VALUE(TEXT(AK314,"h:mm:ss")),IF($C$6="Laboral",$FZ$4:$GX$227,IF($C$6="Sábado",$FZ$231:$GX$452,$FZ$456:$GX$656)),VLOOKUP($C$4,$HF$2:$HH$99,3,0)+IF(AG$5="Ida",0,1),1),"")</f>
        <v/>
      </c>
      <c r="AO314" s="89">
        <f>IF(AE315&lt;&gt;AE314,AVERAGEIF(AE$9:AE314,AE314,AN$9:AN314),"")</f>
        <v/>
      </c>
      <c r="AP314" s="89">
        <f>IFERROR(IF(AE315&lt;&gt;AE314,AVERAGEIF(AE$9:AE314,AE314,AW$9:AW314),""),"")</f>
        <v/>
      </c>
      <c r="AQ314" s="89">
        <f>IFERROR(IF(AE315&lt;&gt;AE314,AVERAGEIF(AE$9:AE314,AE314,AX$9:AX314),""),"")</f>
        <v/>
      </c>
      <c r="AR314" s="89">
        <f t="array" ref="AR314">IFERROR(IF(AE315&lt;&gt;AE314,_xlfn.STDEV.P(IF(AE$9:AE314=AE314,AX$9:AX314)),""),"")</f>
        <v/>
      </c>
      <c r="AS314" s="89">
        <f t="array" ref="AS314">IFERROR(IF(AE315&lt;&gt;AE314,_xlfn.STDEV.P(IF(AE$9:AE314=AE314,AW$9:AW314)),""),"")</f>
        <v/>
      </c>
      <c r="AT314" s="90">
        <f>IFERROR(IF(AE314&lt;&gt;AE315,MAX((((AQ314*24*60)/2)*(1+POWER((((AR314*24*60) / (AQ314*24*60) )),2))) + ((AQ314*24*60 )*-0.1 + (AO314*0.015)) +1,(((AQ314*24*60)/2)*(1+POWER((((AR314*24*60) / (AQ314*24*60 ))),2)))),""),"")</f>
        <v/>
      </c>
      <c r="AU314" s="90">
        <f>IF(AND(AS314&lt;&gt;"",AP314&lt;&gt;""),IF(AE314&lt;&gt;AE315,((AP314*24*60) / 2 ) * (1 + POWER(((AS314*24*60) / (AP314*24*60)),2)),""),"")</f>
        <v/>
      </c>
      <c r="AV314" s="90">
        <f>IF(AU314&lt;&gt;"",MAX(AT314,AU314),"")</f>
        <v/>
      </c>
      <c r="AW314" s="89">
        <f>IF(AM314&lt;&gt;"H. Sale Real",IF(AND(AM315&lt;&gt;"",LEFT(AG315,2)&lt;&gt;"Va"),IF(AND(AM314&lt;&gt;"",LEFT(AG314,2)&lt;&gt;"Va",AM314&lt;&gt;"H. Sale Real"),IF(AM315-AM314&lt;0.208333333333333,AM315-AM314,""),IF(AND(AM313&lt;&gt;"",LEFT(AG313,2)&lt;&gt;"Va",AM313&lt;&gt;"H. Sale Real"),IF(AM315-AM313&lt;0.208333333333333,AM315-AM313,""),IF(AND(AM312&lt;&gt;"",LEFT(AG312,2)&lt;&gt;"Va",AM312&lt;&gt;"H. Sale Real"),IF(AM315-AM312&lt;0.208333333333333,AM315-AM312,""),IF(AND(AM311&lt;&gt;"",LEFT(AG311,2)&lt;&gt;"Va",AM311&lt;&gt;"H. Sale Real"),IF(AM315-AM311&lt;0.208333333333333,AM315-AM311,""),IF(AND(AM310&lt;&gt;"",LEFT(AG310,2)&lt;&gt;"Va",AM310&lt;&gt;"H. Sale Real"),IF(AM315-AM310&lt;0.208333333333333,AM315-AM310,""),""))))),""),"")</f>
        <v/>
      </c>
      <c r="AX314" s="89">
        <f>IF(AK314&lt;&gt;"H. Sale Real",IF(AND(AK315&lt;&gt;"",LEFT(AG315,2)&lt;&gt;"Va"),IF(AND(AK314&lt;&gt;"",LEFT(AG314,2)&lt;&gt;"Va",AK314&lt;&gt;"H. Sale Real"),IF(AK315-AK314&lt;0.208333333333333,AK315-AK314,""),IF(AND(AK313&lt;&gt;"",LEFT(AG313,2)&lt;&gt;"Va",AK313&lt;&gt;"H. Sale Real"),IF(AK315-AK313&lt;0.208333333333333,AK315-AK313,""),IF(AND(AK312&lt;&gt;"",LEFT(AG312,2)&lt;&gt;"NC",AK312&lt;&gt;"H. Sale Real"),IF(AK315-AK312&lt;0.208333333333333,AK315-AK312,""),IF(AND(AK311&lt;&gt;"",LEFT(AG311,2)&lt;&gt;"Va",AK311&lt;&gt;"H. Sale Real"),IF(AK315-AK311&lt;0.208333333333333,AK315-AK311,""),IF(AND(AK310&lt;&gt;"",LEFT(AG310,2)&lt;&gt;"Va",AK310&lt;&gt;"H. Sale Real"),IF(AK315-AK310&lt;0.208333333333333,AK315-AK310,""),""))))),""),"")</f>
        <v/>
      </c>
      <c r="AY314" s="87" t="n"/>
      <c r="AZ314" s="89" t="n"/>
      <c r="BA314" s="87" t="n"/>
      <c r="BB314" s="89" t="n"/>
      <c r="BC314" s="91" t="n"/>
      <c r="BD314" s="122">
        <f>IF(AK314&lt;&gt;"",IF(AND(BD313&lt;&gt;"IE",AT314&lt;&gt;0,AV314&lt;&gt;""),IF(IFERROR((AT314/AV314),0) &lt;=1,IFERROR(AT314/AV314,""),1),""),"")</f>
        <v/>
      </c>
      <c r="BE314" s="93" t="n"/>
      <c r="BF314" s="105" t="n"/>
      <c r="FC314" t="inlineStr">
        <is>
          <t>Diccionario 1</t>
        </is>
      </c>
      <c r="FD314" s="15" t="n">
        <v>1313</v>
      </c>
      <c r="FE314" s="15" t="inlineStr">
        <is>
          <t>MDN35025010190</t>
        </is>
      </c>
      <c r="FF314" s="15" t="inlineStr">
        <is>
          <t>LDYECS310S0044084</t>
        </is>
      </c>
      <c r="FG314" s="15" t="inlineStr">
        <is>
          <t>Zhong Tong</t>
        </is>
      </c>
      <c r="FH314" s="15" t="inlineStr">
        <is>
          <t>Lck6122evg</t>
        </is>
      </c>
      <c r="FI314" s="15" t="inlineStr">
        <is>
          <t>ZHONGTONG</t>
        </is>
      </c>
      <c r="FJ314" s="15" t="inlineStr">
        <is>
          <t>LCK6122EVG</t>
        </is>
      </c>
      <c r="FK314" s="15" t="n">
        <v>2025</v>
      </c>
      <c r="FL314" s="15" t="inlineStr">
        <is>
          <t>B</t>
        </is>
      </c>
      <c r="FM314" s="15" t="inlineStr">
        <is>
          <t>PIE ANDINO</t>
        </is>
      </c>
      <c r="FN314" s="15" t="inlineStr">
        <is>
          <t>Pie Andino 31 (Pie Andino 383)</t>
        </is>
      </c>
      <c r="FO314" s="15" t="inlineStr">
        <is>
          <t>Puente Alto</t>
        </is>
      </c>
      <c r="FP314" t="inlineStr">
        <is>
          <t>B</t>
        </is>
      </c>
      <c r="FS314" s="14" t="inlineStr">
        <is>
          <t>3080 / SFWZ-65|</t>
        </is>
      </c>
      <c r="FT314" t="inlineStr">
        <is>
          <t>SFWZ-65|</t>
        </is>
      </c>
      <c r="FU314" t="inlineStr">
        <is>
          <t>SFWZ-65</t>
        </is>
      </c>
      <c r="FV314">
        <f>VLOOKUP(FU314,FD:FL,9,0)</f>
        <v/>
      </c>
      <c r="HA314" s="35" t="n">
        <v>84</v>
      </c>
      <c r="HB314" s="35" t="n">
        <v>308</v>
      </c>
    </row>
    <row r="315" ht="15.5" customHeight="1">
      <c r="A315" s="10">
        <f>HOUR(G315)+1</f>
        <v/>
      </c>
      <c r="B315" s="7" t="n"/>
      <c r="C315" s="7" t="n"/>
      <c r="D315" s="85">
        <f>IFERROR(
IF(AND(OR(Planilla!B315="C",Planilla!B315="c"), VLOOKUP(E315,FD:FP,13,0)="C"), "OK",IF(AND(OR(Planilla!B315="C",Planilla!B315="c"), OR(VLOOKUP(E315,FD:FP,13,0)="B", VLOOKUP(E315,FD:FP,13,0)="A")), "DEFICIT",IF(
AND(OR(Planilla!B315="B", Planilla!B315="BPAL"), VLOOKUP(E315,FD:FP,13,0)="B"), "OK",IF(AND(OR(Planilla!B315="B", Planilla!B315="BPAL"), VLOOKUP(E315,FD:FP,13,0)="A"), "DEFICIT",IF(AND(OR(Planilla!B315="B", Planilla!B315="BPAL"), VLOOKUP(E315,FD:FP,13,0)="C"), "SOBREOFERTA",IF(AND(Planilla!B315="A", VLOOKUP(E315,FD:FP,13,0)="A"), "OK",IF(
AND(Planilla!B315="A", OR(VLOOKUP(E315,FD:FP,13,0)="B", VLOOKUP(E315,FD:FP,13,0)="C")), "SOBREOFERTA",""
))))))),"")</f>
        <v/>
      </c>
      <c r="E315" s="8" t="n"/>
      <c r="F315" s="86" t="n"/>
      <c r="G315" s="87" t="n"/>
      <c r="H315" s="88">
        <f>IF(I315="","",IF(AND((I315-G315)&gt;=TIME(0,0,0),(I315-G315)&lt;TIME(0,3,0)),"OK",IF(AND((I315-G315)&gt;=TIME(0,3,0),(I315-G315)&lt;TIME(0,5,0)),"RETRASO DE 3-5 MIN",IF(AND((I315-G315)&gt;=TIME(0,5,0),(I315-G315)&lt;TIME(0,10,0)),"RETRASO DE 5-10 MIN",IF((I315-G315)&gt;=TIME(0,10,0),"RETRASO &gt;10 MIN", IF(AND((G315-I315)&gt;=TIME(0,0,0),(G315-I315)&lt;TIME(0,3,0)),"OK",IF((G315-I315)&gt;=TIME(0,3,0),"ADELANTADO")))))))</f>
        <v/>
      </c>
      <c r="I315" s="89" t="n"/>
      <c r="J315" s="89">
        <f>IF(A315&lt;&gt;"",HLOOKUP(VALUE(TEXT(G315,"h:mm:ss")),IF($C$6="Laboral",$FZ$4:$GX$227,IF($C$6="Sábado",$FZ$231:$GX$452,$FZ$456:$GX$656)),VLOOKUP($C$4,$HF$2:$HH$99,3,0)+IF(C$5="Ida",0,1),1),"")</f>
        <v/>
      </c>
      <c r="K315" s="89">
        <f>IF(A316&lt;&gt;A315,AVERAGEIF(A$9:A315,A315,J$9:J315),"")</f>
        <v/>
      </c>
      <c r="L315" s="89">
        <f>IFERROR(IF(A316&lt;&gt;A315,AVERAGEIF(A$9:A315,A315,S$9:S315),""),"")</f>
        <v/>
      </c>
      <c r="M315" s="89">
        <f>IFERROR(IF(A316&lt;&gt;A315,AVERAGEIF(A$9:A315,A315,T$9:T315),""),"")</f>
        <v/>
      </c>
      <c r="N315" s="89">
        <f t="array" ref="N315">IFERROR(IF(A316&lt;&gt;A315,_xlfn.STDEV.P(IF(A$9:A315=A315,T$9:T315)),""),"")</f>
        <v/>
      </c>
      <c r="O315" s="89">
        <f t="array" ref="O315">IFERROR(IF(A316&lt;&gt;A315,_xlfn.STDEV.P(IF(A$9:A315=A315,S$9:S315)),""),"")</f>
        <v/>
      </c>
      <c r="P315" s="90">
        <f>IFERROR(IF(A315&lt;&gt;A316,MAX((((M315*24*60)/2)*(1+POWER((((N315*24*60) / (M315*24*60) )),2))) + ((M315*24*60 )*-0.1 + (K315*0.015)) +1,(((M315*24*60)/2)*(1+POWER((((N315*24*60) / (M315*24*60 ))),2)))),""),"")</f>
        <v/>
      </c>
      <c r="Q315" s="90">
        <f>IF(AND(O315&lt;&gt;"",L315&lt;&gt;""),IF(A315&lt;&gt;A316,((L315*24*60) / 2 ) * (1 + POWER(((O315*24*60) / (L315*24*60)),2)),""),"")</f>
        <v/>
      </c>
      <c r="R315" s="90">
        <f>IF(Q315&lt;&gt;"",MAX(P315,Q315),"")</f>
        <v/>
      </c>
      <c r="S315" s="89">
        <f>IF(I315&lt;&gt;"H. Sale Real",IF(AND(I316&lt;&gt;"",LEFT(C316,2)&lt;&gt;"Va"),IF(AND(I315&lt;&gt;"",LEFT(C315,2)&lt;&gt;"Va",I315&lt;&gt;"H. Sale Real"),IF(I316-I315&lt;0.208333333333333,I316-I315,""),IF(AND(I314&lt;&gt;"",LEFT(C314,2)&lt;&gt;"Va",I314&lt;&gt;"H. Sale Real"),IF(I316-I314&lt;0.208333333333333,I316-I314,""),IF(AND(I313&lt;&gt;"",LEFT(C313,2)&lt;&gt;"Va",I313&lt;&gt;"H. Sale Real"),IF(I316-I313&lt;0.208333333333333,I316-I313,""),IF(AND(I312&lt;&gt;"",LEFT(C312,2)&lt;&gt;"Va",I312&lt;&gt;"H. Sale Real"),IF(I316-I312&lt;0.208333333333333,I316-I312,""),IF(AND(I311&lt;&gt;"",LEFT(C311,2)&lt;&gt;"Va",I311&lt;&gt;"H. Sale Real"),IF(I316-I311&lt;0.208333333333333,I316-I311,""),""))))),""),"")</f>
        <v/>
      </c>
      <c r="T315" s="89">
        <f>IF(G315&lt;&gt;"H. Sale Real",IF(AND(G316&lt;&gt;"",LEFT(C316,2)&lt;&gt;"Va"),IF(AND(G315&lt;&gt;"",LEFT(C315,2)&lt;&gt;"Va",G315&lt;&gt;"H. Sale Real"),IF(G316-G315&lt;0.208333333333333,G316-G315,""),IF(AND(G314&lt;&gt;"",LEFT(C314,2)&lt;&gt;"Va",G314&lt;&gt;"H. Sale Real"),IF(G316-G314&lt;0.208333333333333,G316-G314,""),IF(AND(G313&lt;&gt;"",LEFT(C313,2)&lt;&gt;"Va",G313&lt;&gt;"H. Sale Real"),IF(G316-G313&lt;0.208333333333333,G316-G313,""),IF(AND(G312&lt;&gt;"",LEFT(C312,2)&lt;&gt;"Va",G312&lt;&gt;"H. Sale Real"),IF(G316-G312&lt;0.208333333333333,G316-G312,""),IF(AND(G311&lt;&gt;"",LEFT(C311,2)&lt;&gt;"Va",G311&lt;&gt;"H. Sale Real"),IF(G316-G311&lt;0.208333333333333,G316-G311,""),""))))),""),"")</f>
        <v/>
      </c>
      <c r="U315" s="87" t="n"/>
      <c r="V315" s="89" t="n"/>
      <c r="W315" s="87" t="n"/>
      <c r="X315" s="89" t="n"/>
      <c r="Y315" s="91" t="n"/>
      <c r="Z315" s="122">
        <f>IF(G315&lt;&gt;"",IF(AND(Z314&lt;&gt;"IE",P315&lt;&gt;0,R315&lt;&gt;""),IF(IFERROR((P315/R315),0) &lt;=1,IFERROR(P315/R315,""),1),""),"")</f>
        <v/>
      </c>
      <c r="AA315" s="93" t="n"/>
      <c r="AB315" s="2" t="n"/>
      <c r="AE315" s="10">
        <f>HOUR(AK315)+1</f>
        <v/>
      </c>
      <c r="AF315" s="7" t="n"/>
      <c r="AG315" s="7" t="n"/>
      <c r="AH315" s="86" t="n"/>
      <c r="AI315" s="8" t="n"/>
      <c r="AJ315" s="86" t="n"/>
      <c r="AK315" s="87" t="n"/>
      <c r="AL315" s="88">
        <f>IF(AM315="","",IF(AND((AM315-AK315)&gt;=TIME(0,0,0),(AM315-AK315)&lt;TIME(0,3,0)),"OK",IF(AND((AM315-AK315)&gt;=TIME(0,3,0),(AM315-AK315)&lt;TIME(0,5,0)),"RETRASO DE 3-5 MIN",IF(AND((AM315-AK315)&gt;=TIME(0,5,0),(AM315-AK315)&lt;TIME(0,10,0)),"RETRASO DE 5-10 MIN",IF((AM315-AK315)&gt;=TIME(0,10,0),"RETRASO &gt;10 MIN", IF(AND((AK315-AM315)&gt;=TIME(0,0,0),(AK315-AM315)&lt;TIME(0,3,0)),"OK",IF((AK315-AM315)&gt;=TIME(0,3,0),"ADELANTADO")))))))</f>
        <v/>
      </c>
      <c r="AM315" s="91" t="n"/>
      <c r="AN315" s="89">
        <f>IF(AE315&lt;&gt;"",HLOOKUP(VALUE(TEXT(AK315,"h:mm:ss")),IF($C$6="Laboral",$FZ$4:$GX$227,IF($C$6="Sábado",$FZ$231:$GX$452,$FZ$456:$GX$656)),VLOOKUP($C$4,$HF$2:$HH$99,3,0)+IF(AG$5="Ida",0,1),1),"")</f>
        <v/>
      </c>
      <c r="AO315" s="89">
        <f>IF(AE316&lt;&gt;AE315,AVERAGEIF(AE$9:AE315,AE315,AN$9:AN315),"")</f>
        <v/>
      </c>
      <c r="AP315" s="89">
        <f>IFERROR(IF(AE316&lt;&gt;AE315,AVERAGEIF(AE$9:AE315,AE315,AW$9:AW315),""),"")</f>
        <v/>
      </c>
      <c r="AQ315" s="89">
        <f>IFERROR(IF(AE316&lt;&gt;AE315,AVERAGEIF(AE$9:AE315,AE315,AX$9:AX315),""),"")</f>
        <v/>
      </c>
      <c r="AR315" s="89">
        <f t="array" ref="AR315">IFERROR(IF(AE316&lt;&gt;AE315,_xlfn.STDEV.P(IF(AE$9:AE315=AE315,AX$9:AX315)),""),"")</f>
        <v/>
      </c>
      <c r="AS315" s="89">
        <f t="array" ref="AS315">IFERROR(IF(AE316&lt;&gt;AE315,_xlfn.STDEV.P(IF(AE$9:AE315=AE315,AW$9:AW315)),""),"")</f>
        <v/>
      </c>
      <c r="AT315" s="90">
        <f>IFERROR(IF(AE315&lt;&gt;AE316,MAX((((AQ315*24*60)/2)*(1+POWER((((AR315*24*60) / (AQ315*24*60) )),2))) + ((AQ315*24*60 )*-0.1 + (AO315*0.015)) +1,(((AQ315*24*60)/2)*(1+POWER((((AR315*24*60) / (AQ315*24*60 ))),2)))),""),"")</f>
        <v/>
      </c>
      <c r="AU315" s="90">
        <f>IF(AND(AS315&lt;&gt;"",AP315&lt;&gt;""),IF(AE315&lt;&gt;AE316,((AP315*24*60) / 2 ) * (1 + POWER(((AS315*24*60) / (AP315*24*60)),2)),""),"")</f>
        <v/>
      </c>
      <c r="AV315" s="90">
        <f>IF(AU315&lt;&gt;"",MAX(AT315,AU315),"")</f>
        <v/>
      </c>
      <c r="AW315" s="89">
        <f>IF(AM315&lt;&gt;"H. Sale Real",IF(AND(AM316&lt;&gt;"",LEFT(AG316,2)&lt;&gt;"Va"),IF(AND(AM315&lt;&gt;"",LEFT(AG315,2)&lt;&gt;"Va",AM315&lt;&gt;"H. Sale Real"),IF(AM316-AM315&lt;0.208333333333333,AM316-AM315,""),IF(AND(AM314&lt;&gt;"",LEFT(AG314,2)&lt;&gt;"Va",AM314&lt;&gt;"H. Sale Real"),IF(AM316-AM314&lt;0.208333333333333,AM316-AM314,""),IF(AND(AM313&lt;&gt;"",LEFT(AG313,2)&lt;&gt;"Va",AM313&lt;&gt;"H. Sale Real"),IF(AM316-AM313&lt;0.208333333333333,AM316-AM313,""),IF(AND(AM312&lt;&gt;"",LEFT(AG312,2)&lt;&gt;"Va",AM312&lt;&gt;"H. Sale Real"),IF(AM316-AM312&lt;0.208333333333333,AM316-AM312,""),IF(AND(AM311&lt;&gt;"",LEFT(AG311,2)&lt;&gt;"Va",AM311&lt;&gt;"H. Sale Real"),IF(AM316-AM311&lt;0.208333333333333,AM316-AM311,""),""))))),""),"")</f>
        <v/>
      </c>
      <c r="AX315" s="89">
        <f>IF(AK315&lt;&gt;"H. Sale Real",IF(AND(AK316&lt;&gt;"",LEFT(AG316,2)&lt;&gt;"Va"),IF(AND(AK315&lt;&gt;"",LEFT(AG315,2)&lt;&gt;"Va",AK315&lt;&gt;"H. Sale Real"),IF(AK316-AK315&lt;0.208333333333333,AK316-AK315,""),IF(AND(AK314&lt;&gt;"",LEFT(AG314,2)&lt;&gt;"Va",AK314&lt;&gt;"H. Sale Real"),IF(AK316-AK314&lt;0.208333333333333,AK316-AK314,""),IF(AND(AK313&lt;&gt;"",LEFT(AG313,2)&lt;&gt;"NC",AK313&lt;&gt;"H. Sale Real"),IF(AK316-AK313&lt;0.208333333333333,AK316-AK313,""),IF(AND(AK312&lt;&gt;"",LEFT(AG312,2)&lt;&gt;"Va",AK312&lt;&gt;"H. Sale Real"),IF(AK316-AK312&lt;0.208333333333333,AK316-AK312,""),IF(AND(AK311&lt;&gt;"",LEFT(AG311,2)&lt;&gt;"Va",AK311&lt;&gt;"H. Sale Real"),IF(AK316-AK311&lt;0.208333333333333,AK316-AK311,""),""))))),""),"")</f>
        <v/>
      </c>
      <c r="AY315" s="87" t="n"/>
      <c r="AZ315" s="89" t="n"/>
      <c r="BA315" s="87" t="n"/>
      <c r="BB315" s="89" t="n"/>
      <c r="BC315" s="91" t="n"/>
      <c r="BD315" s="122">
        <f>IF(AK315&lt;&gt;"",IF(AND(BD314&lt;&gt;"IE",AT315&lt;&gt;0,AV315&lt;&gt;""),IF(IFERROR((AT315/AV315),0) &lt;=1,IFERROR(AT315/AV315,""),1),""),"")</f>
        <v/>
      </c>
      <c r="BE315" s="93" t="n"/>
      <c r="BF315" s="105" t="n"/>
      <c r="FC315" t="inlineStr">
        <is>
          <t>Diccionario 1</t>
        </is>
      </c>
      <c r="FD315" s="15" t="n">
        <v>1314</v>
      </c>
      <c r="FE315" s="15" t="inlineStr">
        <is>
          <t>MDN35025020029</t>
        </is>
      </c>
      <c r="FF315" s="15" t="inlineStr">
        <is>
          <t>LDYECS311S0044045</t>
        </is>
      </c>
      <c r="FG315" s="15" t="inlineStr">
        <is>
          <t>Zhong Tong</t>
        </is>
      </c>
      <c r="FH315" s="15" t="inlineStr">
        <is>
          <t>Lck6122evg</t>
        </is>
      </c>
      <c r="FI315" s="15" t="inlineStr">
        <is>
          <t>ZHONGTONG</t>
        </is>
      </c>
      <c r="FJ315" s="15" t="inlineStr">
        <is>
          <t>LCK6122EVG</t>
        </is>
      </c>
      <c r="FK315" s="15" t="n">
        <v>2025</v>
      </c>
      <c r="FL315" s="15" t="inlineStr">
        <is>
          <t>B</t>
        </is>
      </c>
      <c r="FM315" s="15" t="inlineStr">
        <is>
          <t>CERRILLOS</t>
        </is>
      </c>
      <c r="FN315" s="15" t="inlineStr">
        <is>
          <t>Calle Uno 7371</t>
        </is>
      </c>
      <c r="FO315" s="15" t="inlineStr">
        <is>
          <t>Cerrillos</t>
        </is>
      </c>
      <c r="FP315" t="inlineStr">
        <is>
          <t>B</t>
        </is>
      </c>
      <c r="FS315" s="14" t="inlineStr">
        <is>
          <t>3080 / SFWZ-65|</t>
        </is>
      </c>
      <c r="FT315" t="inlineStr">
        <is>
          <t>SFWZ-65|</t>
        </is>
      </c>
      <c r="FU315" t="inlineStr">
        <is>
          <t>SFWZ-65</t>
        </is>
      </c>
      <c r="FV315">
        <f>VLOOKUP(FU315,FD:FL,9,0)</f>
        <v/>
      </c>
      <c r="HA315" s="35" t="n">
        <v>85</v>
      </c>
      <c r="HB315" s="35" t="n">
        <v>309</v>
      </c>
    </row>
    <row r="316" ht="15.5" customHeight="1">
      <c r="A316" s="10">
        <f>HOUR(G316)+1</f>
        <v/>
      </c>
      <c r="B316" s="7" t="n"/>
      <c r="C316" s="7" t="n"/>
      <c r="D316" s="85">
        <f>IFERROR(
IF(AND(OR(Planilla!B316="C",Planilla!B316="c"), VLOOKUP(E316,FD:FP,13,0)="C"), "OK",IF(AND(OR(Planilla!B316="C",Planilla!B316="c"), OR(VLOOKUP(E316,FD:FP,13,0)="B", VLOOKUP(E316,FD:FP,13,0)="A")), "DEFICIT",IF(
AND(OR(Planilla!B316="B", Planilla!B316="BPAL"), VLOOKUP(E316,FD:FP,13,0)="B"), "OK",IF(AND(OR(Planilla!B316="B", Planilla!B316="BPAL"), VLOOKUP(E316,FD:FP,13,0)="A"), "DEFICIT",IF(AND(OR(Planilla!B316="B", Planilla!B316="BPAL"), VLOOKUP(E316,FD:FP,13,0)="C"), "SOBREOFERTA",IF(AND(Planilla!B316="A", VLOOKUP(E316,FD:FP,13,0)="A"), "OK",IF(
AND(Planilla!B316="A", OR(VLOOKUP(E316,FD:FP,13,0)="B", VLOOKUP(E316,FD:FP,13,0)="C")), "SOBREOFERTA",""
))))))),"")</f>
        <v/>
      </c>
      <c r="E316" s="8" t="n"/>
      <c r="F316" s="86" t="n"/>
      <c r="G316" s="87" t="n"/>
      <c r="H316" s="88">
        <f>IF(I316="","",IF(AND((I316-G316)&gt;=TIME(0,0,0),(I316-G316)&lt;TIME(0,3,0)),"OK",IF(AND((I316-G316)&gt;=TIME(0,3,0),(I316-G316)&lt;TIME(0,5,0)),"RETRASO DE 3-5 MIN",IF(AND((I316-G316)&gt;=TIME(0,5,0),(I316-G316)&lt;TIME(0,10,0)),"RETRASO DE 5-10 MIN",IF((I316-G316)&gt;=TIME(0,10,0),"RETRASO &gt;10 MIN", IF(AND((G316-I316)&gt;=TIME(0,0,0),(G316-I316)&lt;TIME(0,3,0)),"OK",IF((G316-I316)&gt;=TIME(0,3,0),"ADELANTADO")))))))</f>
        <v/>
      </c>
      <c r="I316" s="89" t="n"/>
      <c r="J316" s="89">
        <f>IF(A316&lt;&gt;"",HLOOKUP(VALUE(TEXT(G316,"h:mm:ss")),IF($C$6="Laboral",$FZ$4:$GX$227,IF($C$6="Sábado",$FZ$231:$GX$452,$FZ$456:$GX$656)),VLOOKUP($C$4,$HF$2:$HH$99,3,0)+IF(C$5="Ida",0,1),1),"")</f>
        <v/>
      </c>
      <c r="K316" s="89">
        <f>IF(A317&lt;&gt;A316,AVERAGEIF(A$9:A316,A316,J$9:J316),"")</f>
        <v/>
      </c>
      <c r="L316" s="89">
        <f>IFERROR(IF(A317&lt;&gt;A316,AVERAGEIF(A$9:A316,A316,S$9:S316),""),"")</f>
        <v/>
      </c>
      <c r="M316" s="89">
        <f>IFERROR(IF(A317&lt;&gt;A316,AVERAGEIF(A$9:A316,A316,T$9:T316),""),"")</f>
        <v/>
      </c>
      <c r="N316" s="89">
        <f t="array" ref="N316">IFERROR(IF(A317&lt;&gt;A316,_xlfn.STDEV.P(IF(A$9:A316=A316,T$9:T316)),""),"")</f>
        <v/>
      </c>
      <c r="O316" s="89">
        <f t="array" ref="O316">IFERROR(IF(A317&lt;&gt;A316,_xlfn.STDEV.P(IF(A$9:A316=A316,S$9:S316)),""),"")</f>
        <v/>
      </c>
      <c r="P316" s="90">
        <f>IFERROR(IF(A316&lt;&gt;A317,MAX((((M316*24*60)/2)*(1+POWER((((N316*24*60) / (M316*24*60) )),2))) + ((M316*24*60 )*-0.1 + (K316*0.015)) +1,(((M316*24*60)/2)*(1+POWER((((N316*24*60) / (M316*24*60 ))),2)))),""),"")</f>
        <v/>
      </c>
      <c r="Q316" s="90">
        <f>IF(AND(O316&lt;&gt;"",L316&lt;&gt;""),IF(A316&lt;&gt;A317,((L316*24*60) / 2 ) * (1 + POWER(((O316*24*60) / (L316*24*60)),2)),""),"")</f>
        <v/>
      </c>
      <c r="R316" s="90">
        <f>IF(Q316&lt;&gt;"",MAX(P316,Q316),"")</f>
        <v/>
      </c>
      <c r="S316" s="89">
        <f>IF(I316&lt;&gt;"H. Sale Real",IF(AND(I317&lt;&gt;"",LEFT(C317,2)&lt;&gt;"Va"),IF(AND(I316&lt;&gt;"",LEFT(C316,2)&lt;&gt;"Va",I316&lt;&gt;"H. Sale Real"),IF(I317-I316&lt;0.208333333333333,I317-I316,""),IF(AND(I315&lt;&gt;"",LEFT(C315,2)&lt;&gt;"Va",I315&lt;&gt;"H. Sale Real"),IF(I317-I315&lt;0.208333333333333,I317-I315,""),IF(AND(I314&lt;&gt;"",LEFT(C314,2)&lt;&gt;"Va",I314&lt;&gt;"H. Sale Real"),IF(I317-I314&lt;0.208333333333333,I317-I314,""),IF(AND(I313&lt;&gt;"",LEFT(C313,2)&lt;&gt;"Va",I313&lt;&gt;"H. Sale Real"),IF(I317-I313&lt;0.208333333333333,I317-I313,""),IF(AND(I312&lt;&gt;"",LEFT(C312,2)&lt;&gt;"Va",I312&lt;&gt;"H. Sale Real"),IF(I317-I312&lt;0.208333333333333,I317-I312,""),""))))),""),"")</f>
        <v/>
      </c>
      <c r="T316" s="89">
        <f>IF(G316&lt;&gt;"H. Sale Real",IF(AND(G317&lt;&gt;"",LEFT(C317,2)&lt;&gt;"Va"),IF(AND(G316&lt;&gt;"",LEFT(C316,2)&lt;&gt;"Va",G316&lt;&gt;"H. Sale Real"),IF(G317-G316&lt;0.208333333333333,G317-G316,""),IF(AND(G315&lt;&gt;"",LEFT(C315,2)&lt;&gt;"Va",G315&lt;&gt;"H. Sale Real"),IF(G317-G315&lt;0.208333333333333,G317-G315,""),IF(AND(G314&lt;&gt;"",LEFT(C314,2)&lt;&gt;"Va",G314&lt;&gt;"H. Sale Real"),IF(G317-G314&lt;0.208333333333333,G317-G314,""),IF(AND(G313&lt;&gt;"",LEFT(C313,2)&lt;&gt;"Va",G313&lt;&gt;"H. Sale Real"),IF(G317-G313&lt;0.208333333333333,G317-G313,""),IF(AND(G312&lt;&gt;"",LEFT(C312,2)&lt;&gt;"Va",G312&lt;&gt;"H. Sale Real"),IF(G317-G312&lt;0.208333333333333,G317-G312,""),""))))),""),"")</f>
        <v/>
      </c>
      <c r="U316" s="87" t="n"/>
      <c r="V316" s="89" t="n"/>
      <c r="W316" s="87" t="n"/>
      <c r="X316" s="89" t="n"/>
      <c r="Y316" s="91" t="n"/>
      <c r="Z316" s="122">
        <f>IF(G316&lt;&gt;"",IF(AND(Z315&lt;&gt;"IE",P316&lt;&gt;0,R316&lt;&gt;""),IF(IFERROR((P316/R316),0) &lt;=1,IFERROR(P316/R316,""),1),""),"")</f>
        <v/>
      </c>
      <c r="AA316" s="93" t="n"/>
      <c r="AB316" s="2" t="n"/>
      <c r="AE316" s="10">
        <f>HOUR(AK316)+1</f>
        <v/>
      </c>
      <c r="AF316" s="7" t="n"/>
      <c r="AG316" s="7" t="n"/>
      <c r="AH316" s="86" t="n"/>
      <c r="AI316" s="8" t="n"/>
      <c r="AJ316" s="86" t="n"/>
      <c r="AK316" s="87" t="n"/>
      <c r="AL316" s="88">
        <f>IF(AM316="","",IF(AND((AM316-AK316)&gt;=TIME(0,0,0),(AM316-AK316)&lt;TIME(0,3,0)),"OK",IF(AND((AM316-AK316)&gt;=TIME(0,3,0),(AM316-AK316)&lt;TIME(0,5,0)),"RETRASO DE 3-5 MIN",IF(AND((AM316-AK316)&gt;=TIME(0,5,0),(AM316-AK316)&lt;TIME(0,10,0)),"RETRASO DE 5-10 MIN",IF((AM316-AK316)&gt;=TIME(0,10,0),"RETRASO &gt;10 MIN", IF(AND((AK316-AM316)&gt;=TIME(0,0,0),(AK316-AM316)&lt;TIME(0,3,0)),"OK",IF((AK316-AM316)&gt;=TIME(0,3,0),"ADELANTADO")))))))</f>
        <v/>
      </c>
      <c r="AM316" s="91" t="n"/>
      <c r="AN316" s="89">
        <f>IF(AE316&lt;&gt;"",HLOOKUP(VALUE(TEXT(AK316,"h:mm:ss")),IF($C$6="Laboral",$FZ$4:$GX$227,IF($C$6="Sábado",$FZ$231:$GX$452,$FZ$456:$GX$656)),VLOOKUP($C$4,$HF$2:$HH$99,3,0)+IF(AG$5="Ida",0,1),1),"")</f>
        <v/>
      </c>
      <c r="AO316" s="89">
        <f>IF(AE317&lt;&gt;AE316,AVERAGEIF(AE$9:AE316,AE316,AN$9:AN316),"")</f>
        <v/>
      </c>
      <c r="AP316" s="89">
        <f>IFERROR(IF(AE317&lt;&gt;AE316,AVERAGEIF(AE$9:AE316,AE316,AW$9:AW316),""),"")</f>
        <v/>
      </c>
      <c r="AQ316" s="89">
        <f>IFERROR(IF(AE317&lt;&gt;AE316,AVERAGEIF(AE$9:AE316,AE316,AX$9:AX316),""),"")</f>
        <v/>
      </c>
      <c r="AR316" s="89">
        <f t="array" ref="AR316">IFERROR(IF(AE317&lt;&gt;AE316,_xlfn.STDEV.P(IF(AE$9:AE316=AE316,AX$9:AX316)),""),"")</f>
        <v/>
      </c>
      <c r="AS316" s="89">
        <f t="array" ref="AS316">IFERROR(IF(AE317&lt;&gt;AE316,_xlfn.STDEV.P(IF(AE$9:AE316=AE316,AW$9:AW316)),""),"")</f>
        <v/>
      </c>
      <c r="AT316" s="90">
        <f>IFERROR(IF(AE316&lt;&gt;AE317,MAX((((AQ316*24*60)/2)*(1+POWER((((AR316*24*60) / (AQ316*24*60) )),2))) + ((AQ316*24*60 )*-0.1 + (AO316*0.015)) +1,(((AQ316*24*60)/2)*(1+POWER((((AR316*24*60) / (AQ316*24*60 ))),2)))),""),"")</f>
        <v/>
      </c>
      <c r="AU316" s="90">
        <f>IF(AND(AS316&lt;&gt;"",AP316&lt;&gt;""),IF(AE316&lt;&gt;AE317,((AP316*24*60) / 2 ) * (1 + POWER(((AS316*24*60) / (AP316*24*60)),2)),""),"")</f>
        <v/>
      </c>
      <c r="AV316" s="90">
        <f>IF(AU316&lt;&gt;"",MAX(AT316,AU316),"")</f>
        <v/>
      </c>
      <c r="AW316" s="89">
        <f>IF(AM316&lt;&gt;"H. Sale Real",IF(AND(AM317&lt;&gt;"",LEFT(AG317,2)&lt;&gt;"Va"),IF(AND(AM316&lt;&gt;"",LEFT(AG316,2)&lt;&gt;"Va",AM316&lt;&gt;"H. Sale Real"),IF(AM317-AM316&lt;0.208333333333333,AM317-AM316,""),IF(AND(AM315&lt;&gt;"",LEFT(AG315,2)&lt;&gt;"Va",AM315&lt;&gt;"H. Sale Real"),IF(AM317-AM315&lt;0.208333333333333,AM317-AM315,""),IF(AND(AM314&lt;&gt;"",LEFT(AG314,2)&lt;&gt;"Va",AM314&lt;&gt;"H. Sale Real"),IF(AM317-AM314&lt;0.208333333333333,AM317-AM314,""),IF(AND(AM313&lt;&gt;"",LEFT(AG313,2)&lt;&gt;"Va",AM313&lt;&gt;"H. Sale Real"),IF(AM317-AM313&lt;0.208333333333333,AM317-AM313,""),IF(AND(AM312&lt;&gt;"",LEFT(AG312,2)&lt;&gt;"Va",AM312&lt;&gt;"H. Sale Real"),IF(AM317-AM312&lt;0.208333333333333,AM317-AM312,""),""))))),""),"")</f>
        <v/>
      </c>
      <c r="AX316" s="89">
        <f>IF(AK316&lt;&gt;"H. Sale Real",IF(AND(AK317&lt;&gt;"",LEFT(AG317,2)&lt;&gt;"Va"),IF(AND(AK316&lt;&gt;"",LEFT(AG316,2)&lt;&gt;"Va",AK316&lt;&gt;"H. Sale Real"),IF(AK317-AK316&lt;0.208333333333333,AK317-AK316,""),IF(AND(AK315&lt;&gt;"",LEFT(AG315,2)&lt;&gt;"Va",AK315&lt;&gt;"H. Sale Real"),IF(AK317-AK315&lt;0.208333333333333,AK317-AK315,""),IF(AND(AK314&lt;&gt;"",LEFT(AG314,2)&lt;&gt;"NC",AK314&lt;&gt;"H. Sale Real"),IF(AK317-AK314&lt;0.208333333333333,AK317-AK314,""),IF(AND(AK313&lt;&gt;"",LEFT(AG313,2)&lt;&gt;"Va",AK313&lt;&gt;"H. Sale Real"),IF(AK317-AK313&lt;0.208333333333333,AK317-AK313,""),IF(AND(AK312&lt;&gt;"",LEFT(AG312,2)&lt;&gt;"Va",AK312&lt;&gt;"H. Sale Real"),IF(AK317-AK312&lt;0.208333333333333,AK317-AK312,""),""))))),""),"")</f>
        <v/>
      </c>
      <c r="AY316" s="87" t="n"/>
      <c r="AZ316" s="89" t="n"/>
      <c r="BA316" s="87" t="n"/>
      <c r="BB316" s="89" t="n"/>
      <c r="BC316" s="91" t="n"/>
      <c r="BD316" s="122">
        <f>IF(AK316&lt;&gt;"",IF(AND(BD315&lt;&gt;"IE",AT316&lt;&gt;0,AV316&lt;&gt;""),IF(IFERROR((AT316/AV316),0) &lt;=1,IFERROR(AT316/AV316,""),1),""),"")</f>
        <v/>
      </c>
      <c r="BE316" s="93" t="n"/>
      <c r="BF316" s="105" t="n"/>
      <c r="FC316" t="inlineStr">
        <is>
          <t>Diccionario 1</t>
        </is>
      </c>
      <c r="FD316" s="15" t="n">
        <v>1315</v>
      </c>
      <c r="FE316" s="15" t="inlineStr">
        <is>
          <t>MDN35025010198</t>
        </is>
      </c>
      <c r="FF316" s="15" t="inlineStr">
        <is>
          <t>LDYECS314S0044038</t>
        </is>
      </c>
      <c r="FG316" s="15" t="inlineStr">
        <is>
          <t>Zhong Tong</t>
        </is>
      </c>
      <c r="FH316" s="15" t="inlineStr">
        <is>
          <t>Lck6122evg</t>
        </is>
      </c>
      <c r="FI316" s="15" t="inlineStr">
        <is>
          <t>ZHONGTONG</t>
        </is>
      </c>
      <c r="FJ316" s="15" t="inlineStr">
        <is>
          <t>LCK6122EVG</t>
        </is>
      </c>
      <c r="FK316" s="15" t="n">
        <v>2025</v>
      </c>
      <c r="FL316" s="15" t="inlineStr">
        <is>
          <t>B</t>
        </is>
      </c>
      <c r="FM316" s="15" t="inlineStr">
        <is>
          <t>CERRILLOS</t>
        </is>
      </c>
      <c r="FN316" s="15" t="inlineStr">
        <is>
          <t>Calle Uno 7371</t>
        </is>
      </c>
      <c r="FO316" s="15" t="inlineStr">
        <is>
          <t>Cerrillos</t>
        </is>
      </c>
      <c r="FP316" t="inlineStr">
        <is>
          <t>B</t>
        </is>
      </c>
      <c r="FS316" s="14" t="inlineStr">
        <is>
          <t>3080 / SFWZ-65|</t>
        </is>
      </c>
      <c r="FT316" t="inlineStr">
        <is>
          <t>SFWZ-65|</t>
        </is>
      </c>
      <c r="FU316" t="inlineStr">
        <is>
          <t>SFWZ-65</t>
        </is>
      </c>
      <c r="FV316">
        <f>VLOOKUP(FU316,FD:FL,9,0)</f>
        <v/>
      </c>
      <c r="HA316" s="35" t="n">
        <v>86</v>
      </c>
      <c r="HB316" s="35" t="n">
        <v>310</v>
      </c>
    </row>
    <row r="317" ht="15.5" customHeight="1">
      <c r="A317" s="10">
        <f>HOUR(G317)+1</f>
        <v/>
      </c>
      <c r="B317" s="7" t="n"/>
      <c r="C317" s="7" t="n"/>
      <c r="D317" s="85">
        <f>IFERROR(
IF(AND(OR(Planilla!B317="C",Planilla!B317="c"), VLOOKUP(E317,FD:FP,13,0)="C"), "OK",IF(AND(OR(Planilla!B317="C",Planilla!B317="c"), OR(VLOOKUP(E317,FD:FP,13,0)="B", VLOOKUP(E317,FD:FP,13,0)="A")), "DEFICIT",IF(
AND(OR(Planilla!B317="B", Planilla!B317="BPAL"), VLOOKUP(E317,FD:FP,13,0)="B"), "OK",IF(AND(OR(Planilla!B317="B", Planilla!B317="BPAL"), VLOOKUP(E317,FD:FP,13,0)="A"), "DEFICIT",IF(AND(OR(Planilla!B317="B", Planilla!B317="BPAL"), VLOOKUP(E317,FD:FP,13,0)="C"), "SOBREOFERTA",IF(AND(Planilla!B317="A", VLOOKUP(E317,FD:FP,13,0)="A"), "OK",IF(
AND(Planilla!B317="A", OR(VLOOKUP(E317,FD:FP,13,0)="B", VLOOKUP(E317,FD:FP,13,0)="C")), "SOBREOFERTA",""
))))))),"")</f>
        <v/>
      </c>
      <c r="E317" s="8" t="n"/>
      <c r="F317" s="86" t="n"/>
      <c r="G317" s="87" t="n"/>
      <c r="H317" s="88">
        <f>IF(I317="","",IF(AND((I317-G317)&gt;=TIME(0,0,0),(I317-G317)&lt;TIME(0,3,0)),"OK",IF(AND((I317-G317)&gt;=TIME(0,3,0),(I317-G317)&lt;TIME(0,5,0)),"RETRASO DE 3-5 MIN",IF(AND((I317-G317)&gt;=TIME(0,5,0),(I317-G317)&lt;TIME(0,10,0)),"RETRASO DE 5-10 MIN",IF((I317-G317)&gt;=TIME(0,10,0),"RETRASO &gt;10 MIN", IF(AND((G317-I317)&gt;=TIME(0,0,0),(G317-I317)&lt;TIME(0,3,0)),"OK",IF((G317-I317)&gt;=TIME(0,3,0),"ADELANTADO")))))))</f>
        <v/>
      </c>
      <c r="I317" s="89" t="n"/>
      <c r="J317" s="89">
        <f>IF(A317&lt;&gt;"",HLOOKUP(VALUE(TEXT(G317,"h:mm:ss")),IF($C$6="Laboral",$FZ$4:$GX$227,IF($C$6="Sábado",$FZ$231:$GX$452,$FZ$456:$GX$656)),VLOOKUP($C$4,$HF$2:$HH$99,3,0)+IF(C$5="Ida",0,1),1),"")</f>
        <v/>
      </c>
      <c r="K317" s="89">
        <f>IF(A318&lt;&gt;A317,AVERAGEIF(A$9:A317,A317,J$9:J317),"")</f>
        <v/>
      </c>
      <c r="L317" s="89">
        <f>IFERROR(IF(A318&lt;&gt;A317,AVERAGEIF(A$9:A317,A317,S$9:S317),""),"")</f>
        <v/>
      </c>
      <c r="M317" s="89">
        <f>IFERROR(IF(A318&lt;&gt;A317,AVERAGEIF(A$9:A317,A317,T$9:T317),""),"")</f>
        <v/>
      </c>
      <c r="N317" s="89">
        <f t="array" ref="N317">IFERROR(IF(A318&lt;&gt;A317,_xlfn.STDEV.P(IF(A$9:A317=A317,T$9:T317)),""),"")</f>
        <v/>
      </c>
      <c r="O317" s="89">
        <f t="array" ref="O317">IFERROR(IF(A318&lt;&gt;A317,_xlfn.STDEV.P(IF(A$9:A317=A317,S$9:S317)),""),"")</f>
        <v/>
      </c>
      <c r="P317" s="90">
        <f>IFERROR(IF(A317&lt;&gt;A318,MAX((((M317*24*60)/2)*(1+POWER((((N317*24*60) / (M317*24*60) )),2))) + ((M317*24*60 )*-0.1 + (K317*0.015)) +1,(((M317*24*60)/2)*(1+POWER((((N317*24*60) / (M317*24*60 ))),2)))),""),"")</f>
        <v/>
      </c>
      <c r="Q317" s="90">
        <f>IF(AND(O317&lt;&gt;"",L317&lt;&gt;""),IF(A317&lt;&gt;A318,((L317*24*60) / 2 ) * (1 + POWER(((O317*24*60) / (L317*24*60)),2)),""),"")</f>
        <v/>
      </c>
      <c r="R317" s="90">
        <f>IF(Q317&lt;&gt;"",MAX(P317,Q317),"")</f>
        <v/>
      </c>
      <c r="S317" s="89">
        <f>IF(I317&lt;&gt;"H. Sale Real",IF(AND(I318&lt;&gt;"",LEFT(C318,2)&lt;&gt;"Va"),IF(AND(I317&lt;&gt;"",LEFT(C317,2)&lt;&gt;"Va",I317&lt;&gt;"H. Sale Real"),IF(I318-I317&lt;0.208333333333333,I318-I317,""),IF(AND(I316&lt;&gt;"",LEFT(C316,2)&lt;&gt;"Va",I316&lt;&gt;"H. Sale Real"),IF(I318-I316&lt;0.208333333333333,I318-I316,""),IF(AND(I315&lt;&gt;"",LEFT(C315,2)&lt;&gt;"Va",I315&lt;&gt;"H. Sale Real"),IF(I318-I315&lt;0.208333333333333,I318-I315,""),IF(AND(I314&lt;&gt;"",LEFT(C314,2)&lt;&gt;"Va",I314&lt;&gt;"H. Sale Real"),IF(I318-I314&lt;0.208333333333333,I318-I314,""),IF(AND(I313&lt;&gt;"",LEFT(C313,2)&lt;&gt;"Va",I313&lt;&gt;"H. Sale Real"),IF(I318-I313&lt;0.208333333333333,I318-I313,""),""))))),""),"")</f>
        <v/>
      </c>
      <c r="T317" s="89">
        <f>IF(G317&lt;&gt;"H. Sale Real",IF(AND(G318&lt;&gt;"",LEFT(C318,2)&lt;&gt;"Va"),IF(AND(G317&lt;&gt;"",LEFT(C317,2)&lt;&gt;"Va",G317&lt;&gt;"H. Sale Real"),IF(G318-G317&lt;0.208333333333333,G318-G317,""),IF(AND(G316&lt;&gt;"",LEFT(C316,2)&lt;&gt;"Va",G316&lt;&gt;"H. Sale Real"),IF(G318-G316&lt;0.208333333333333,G318-G316,""),IF(AND(G315&lt;&gt;"",LEFT(C315,2)&lt;&gt;"Va",G315&lt;&gt;"H. Sale Real"),IF(G318-G315&lt;0.208333333333333,G318-G315,""),IF(AND(G314&lt;&gt;"",LEFT(C314,2)&lt;&gt;"Va",G314&lt;&gt;"H. Sale Real"),IF(G318-G314&lt;0.208333333333333,G318-G314,""),IF(AND(G313&lt;&gt;"",LEFT(C313,2)&lt;&gt;"Va",G313&lt;&gt;"H. Sale Real"),IF(G318-G313&lt;0.208333333333333,G318-G313,""),""))))),""),"")</f>
        <v/>
      </c>
      <c r="U317" s="87" t="n"/>
      <c r="V317" s="89" t="n"/>
      <c r="W317" s="87" t="n"/>
      <c r="X317" s="89" t="n"/>
      <c r="Y317" s="91" t="n"/>
      <c r="Z317" s="122">
        <f>IF(G317&lt;&gt;"",IF(AND(Z316&lt;&gt;"IE",P317&lt;&gt;0,R317&lt;&gt;""),IF(IFERROR((P317/R317),0) &lt;=1,IFERROR(P317/R317,""),1),""),"")</f>
        <v/>
      </c>
      <c r="AA317" s="93" t="n"/>
      <c r="AB317" s="2" t="n"/>
      <c r="AE317" s="10">
        <f>HOUR(AK317)+1</f>
        <v/>
      </c>
      <c r="AF317" s="7" t="n"/>
      <c r="AG317" s="7" t="n"/>
      <c r="AH317" s="86" t="n"/>
      <c r="AI317" s="8" t="n"/>
      <c r="AJ317" s="86" t="n"/>
      <c r="AK317" s="87" t="n"/>
      <c r="AL317" s="88">
        <f>IF(AM317="","",IF(AND((AM317-AK317)&gt;=TIME(0,0,0),(AM317-AK317)&lt;TIME(0,3,0)),"OK",IF(AND((AM317-AK317)&gt;=TIME(0,3,0),(AM317-AK317)&lt;TIME(0,5,0)),"RETRASO DE 3-5 MIN",IF(AND((AM317-AK317)&gt;=TIME(0,5,0),(AM317-AK317)&lt;TIME(0,10,0)),"RETRASO DE 5-10 MIN",IF((AM317-AK317)&gt;=TIME(0,10,0),"RETRASO &gt;10 MIN", IF(AND((AK317-AM317)&gt;=TIME(0,0,0),(AK317-AM317)&lt;TIME(0,3,0)),"OK",IF((AK317-AM317)&gt;=TIME(0,3,0),"ADELANTADO")))))))</f>
        <v/>
      </c>
      <c r="AM317" s="91" t="n"/>
      <c r="AN317" s="89">
        <f>IF(AE317&lt;&gt;"",HLOOKUP(VALUE(TEXT(AK317,"h:mm:ss")),IF($C$6="Laboral",$FZ$4:$GX$227,IF($C$6="Sábado",$FZ$231:$GX$452,$FZ$456:$GX$656)),VLOOKUP($C$4,$HF$2:$HH$99,3,0)+IF(AG$5="Ida",0,1),1),"")</f>
        <v/>
      </c>
      <c r="AO317" s="89">
        <f>IF(AE318&lt;&gt;AE317,AVERAGEIF(AE$9:AE317,AE317,AN$9:AN317),"")</f>
        <v/>
      </c>
      <c r="AP317" s="89">
        <f>IFERROR(IF(AE318&lt;&gt;AE317,AVERAGEIF(AE$9:AE317,AE317,AW$9:AW317),""),"")</f>
        <v/>
      </c>
      <c r="AQ317" s="89">
        <f>IFERROR(IF(AE318&lt;&gt;AE317,AVERAGEIF(AE$9:AE317,AE317,AX$9:AX317),""),"")</f>
        <v/>
      </c>
      <c r="AR317" s="89">
        <f t="array" ref="AR317">IFERROR(IF(AE318&lt;&gt;AE317,_xlfn.STDEV.P(IF(AE$9:AE317=AE317,AX$9:AX317)),""),"")</f>
        <v/>
      </c>
      <c r="AS317" s="89">
        <f t="array" ref="AS317">IFERROR(IF(AE318&lt;&gt;AE317,_xlfn.STDEV.P(IF(AE$9:AE317=AE317,AW$9:AW317)),""),"")</f>
        <v/>
      </c>
      <c r="AT317" s="90">
        <f>IFERROR(IF(AE317&lt;&gt;AE318,MAX((((AQ317*24*60)/2)*(1+POWER((((AR317*24*60) / (AQ317*24*60) )),2))) + ((AQ317*24*60 )*-0.1 + (AO317*0.015)) +1,(((AQ317*24*60)/2)*(1+POWER((((AR317*24*60) / (AQ317*24*60 ))),2)))),""),"")</f>
        <v/>
      </c>
      <c r="AU317" s="90">
        <f>IF(AND(AS317&lt;&gt;"",AP317&lt;&gt;""),IF(AE317&lt;&gt;AE318,((AP317*24*60) / 2 ) * (1 + POWER(((AS317*24*60) / (AP317*24*60)),2)),""),"")</f>
        <v/>
      </c>
      <c r="AV317" s="90">
        <f>IF(AU317&lt;&gt;"",MAX(AT317,AU317),"")</f>
        <v/>
      </c>
      <c r="AW317" s="89">
        <f>IF(AM317&lt;&gt;"H. Sale Real",IF(AND(AM318&lt;&gt;"",LEFT(AG318,2)&lt;&gt;"Va"),IF(AND(AM317&lt;&gt;"",LEFT(AG317,2)&lt;&gt;"Va",AM317&lt;&gt;"H. Sale Real"),IF(AM318-AM317&lt;0.208333333333333,AM318-AM317,""),IF(AND(AM316&lt;&gt;"",LEFT(AG316,2)&lt;&gt;"Va",AM316&lt;&gt;"H. Sale Real"),IF(AM318-AM316&lt;0.208333333333333,AM318-AM316,""),IF(AND(AM315&lt;&gt;"",LEFT(AG315,2)&lt;&gt;"Va",AM315&lt;&gt;"H. Sale Real"),IF(AM318-AM315&lt;0.208333333333333,AM318-AM315,""),IF(AND(AM314&lt;&gt;"",LEFT(AG314,2)&lt;&gt;"Va",AM314&lt;&gt;"H. Sale Real"),IF(AM318-AM314&lt;0.208333333333333,AM318-AM314,""),IF(AND(AM313&lt;&gt;"",LEFT(AG313,2)&lt;&gt;"Va",AM313&lt;&gt;"H. Sale Real"),IF(AM318-AM313&lt;0.208333333333333,AM318-AM313,""),""))))),""),"")</f>
        <v/>
      </c>
      <c r="AX317" s="89">
        <f>IF(AK317&lt;&gt;"H. Sale Real",IF(AND(AK318&lt;&gt;"",LEFT(AG318,2)&lt;&gt;"Va"),IF(AND(AK317&lt;&gt;"",LEFT(AG317,2)&lt;&gt;"Va",AK317&lt;&gt;"H. Sale Real"),IF(AK318-AK317&lt;0.208333333333333,AK318-AK317,""),IF(AND(AK316&lt;&gt;"",LEFT(AG316,2)&lt;&gt;"Va",AK316&lt;&gt;"H. Sale Real"),IF(AK318-AK316&lt;0.208333333333333,AK318-AK316,""),IF(AND(AK315&lt;&gt;"",LEFT(AG315,2)&lt;&gt;"NC",AK315&lt;&gt;"H. Sale Real"),IF(AK318-AK315&lt;0.208333333333333,AK318-AK315,""),IF(AND(AK314&lt;&gt;"",LEFT(AG314,2)&lt;&gt;"Va",AK314&lt;&gt;"H. Sale Real"),IF(AK318-AK314&lt;0.208333333333333,AK318-AK314,""),IF(AND(AK313&lt;&gt;"",LEFT(AG313,2)&lt;&gt;"Va",AK313&lt;&gt;"H. Sale Real"),IF(AK318-AK313&lt;0.208333333333333,AK318-AK313,""),""))))),""),"")</f>
        <v/>
      </c>
      <c r="AY317" s="87" t="n"/>
      <c r="AZ317" s="89" t="n"/>
      <c r="BA317" s="87" t="n"/>
      <c r="BB317" s="89" t="n"/>
      <c r="BC317" s="91" t="n"/>
      <c r="BD317" s="122">
        <f>IF(AK317&lt;&gt;"",IF(AND(BD316&lt;&gt;"IE",AT317&lt;&gt;0,AV317&lt;&gt;""),IF(IFERROR((AT317/AV317),0) &lt;=1,IFERROR(AT317/AV317,""),1),""),"")</f>
        <v/>
      </c>
      <c r="BE317" s="93" t="n"/>
      <c r="BF317" s="105" t="n"/>
      <c r="FC317" t="inlineStr">
        <is>
          <t>Diccionario 1</t>
        </is>
      </c>
      <c r="FD317" s="15" t="n">
        <v>1316</v>
      </c>
      <c r="FE317" s="15" t="inlineStr">
        <is>
          <t>MDN35025020050</t>
        </is>
      </c>
      <c r="FF317" s="15" t="inlineStr">
        <is>
          <t>LDYECS311S0044028</t>
        </is>
      </c>
      <c r="FG317" s="15" t="inlineStr">
        <is>
          <t>Zhong Tong</t>
        </is>
      </c>
      <c r="FH317" s="15" t="inlineStr">
        <is>
          <t>Lck6122evg</t>
        </is>
      </c>
      <c r="FI317" s="15" t="inlineStr">
        <is>
          <t>ZHONGTONG</t>
        </is>
      </c>
      <c r="FJ317" s="15" t="inlineStr">
        <is>
          <t>LCK6122EVG</t>
        </is>
      </c>
      <c r="FK317" s="15" t="n">
        <v>2025</v>
      </c>
      <c r="FL317" s="15" t="inlineStr">
        <is>
          <t>B</t>
        </is>
      </c>
      <c r="FM317" s="15" t="inlineStr">
        <is>
          <t>PIE ANDINO</t>
        </is>
      </c>
      <c r="FN317" s="15" t="inlineStr">
        <is>
          <t>Pie Andino 31 (Pie Andino 383)</t>
        </is>
      </c>
      <c r="FO317" s="15" t="inlineStr">
        <is>
          <t>Puente Alto</t>
        </is>
      </c>
      <c r="FP317" t="inlineStr">
        <is>
          <t>B</t>
        </is>
      </c>
      <c r="FS317" s="14" t="inlineStr">
        <is>
          <t>3080 / SFWZ-65|</t>
        </is>
      </c>
      <c r="FT317" t="inlineStr">
        <is>
          <t>SFWZ-65|</t>
        </is>
      </c>
      <c r="FU317" t="inlineStr">
        <is>
          <t>SFWZ-65</t>
        </is>
      </c>
      <c r="FV317">
        <f>VLOOKUP(FU317,FD:FL,9,0)</f>
        <v/>
      </c>
      <c r="HA317" s="35" t="n">
        <v>87</v>
      </c>
      <c r="HB317" s="35" t="n">
        <v>311</v>
      </c>
    </row>
    <row r="318" ht="15.5" customHeight="1">
      <c r="A318" s="10">
        <f>HOUR(G318)+1</f>
        <v/>
      </c>
      <c r="B318" s="7" t="n"/>
      <c r="C318" s="7" t="n"/>
      <c r="D318" s="85">
        <f>IFERROR(
IF(AND(OR(Planilla!B318="C",Planilla!B318="c"), VLOOKUP(E318,FD:FP,13,0)="C"), "OK",IF(AND(OR(Planilla!B318="C",Planilla!B318="c"), OR(VLOOKUP(E318,FD:FP,13,0)="B", VLOOKUP(E318,FD:FP,13,0)="A")), "DEFICIT",IF(
AND(OR(Planilla!B318="B", Planilla!B318="BPAL"), VLOOKUP(E318,FD:FP,13,0)="B"), "OK",IF(AND(OR(Planilla!B318="B", Planilla!B318="BPAL"), VLOOKUP(E318,FD:FP,13,0)="A"), "DEFICIT",IF(AND(OR(Planilla!B318="B", Planilla!B318="BPAL"), VLOOKUP(E318,FD:FP,13,0)="C"), "SOBREOFERTA",IF(AND(Planilla!B318="A", VLOOKUP(E318,FD:FP,13,0)="A"), "OK",IF(
AND(Planilla!B318="A", OR(VLOOKUP(E318,FD:FP,13,0)="B", VLOOKUP(E318,FD:FP,13,0)="C")), "SOBREOFERTA",""
))))))),"")</f>
        <v/>
      </c>
      <c r="E318" s="8" t="n"/>
      <c r="F318" s="86" t="n"/>
      <c r="G318" s="87" t="n"/>
      <c r="H318" s="88">
        <f>IF(I318="","",IF(AND((I318-G318)&gt;=TIME(0,0,0),(I318-G318)&lt;TIME(0,3,0)),"OK",IF(AND((I318-G318)&gt;=TIME(0,3,0),(I318-G318)&lt;TIME(0,5,0)),"RETRASO DE 3-5 MIN",IF(AND((I318-G318)&gt;=TIME(0,5,0),(I318-G318)&lt;TIME(0,10,0)),"RETRASO DE 5-10 MIN",IF((I318-G318)&gt;=TIME(0,10,0),"RETRASO &gt;10 MIN", IF(AND((G318-I318)&gt;=TIME(0,0,0),(G318-I318)&lt;TIME(0,3,0)),"OK",IF((G318-I318)&gt;=TIME(0,3,0),"ADELANTADO")))))))</f>
        <v/>
      </c>
      <c r="I318" s="89" t="n"/>
      <c r="J318" s="89">
        <f>IF(A318&lt;&gt;"",HLOOKUP(VALUE(TEXT(G318,"h:mm:ss")),IF($C$6="Laboral",$FZ$4:$GX$227,IF($C$6="Sábado",$FZ$231:$GX$452,$FZ$456:$GX$656)),VLOOKUP($C$4,$HF$2:$HH$99,3,0)+IF(C$5="Ida",0,1),1),"")</f>
        <v/>
      </c>
      <c r="K318" s="89">
        <f>IF(A319&lt;&gt;A318,AVERAGEIF(A$9:A318,A318,J$9:J318),"")</f>
        <v/>
      </c>
      <c r="L318" s="89">
        <f>IFERROR(IF(A319&lt;&gt;A318,AVERAGEIF(A$9:A318,A318,S$9:S318),""),"")</f>
        <v/>
      </c>
      <c r="M318" s="89">
        <f>IFERROR(IF(A319&lt;&gt;A318,AVERAGEIF(A$9:A318,A318,T$9:T318),""),"")</f>
        <v/>
      </c>
      <c r="N318" s="89">
        <f t="array" ref="N318">IFERROR(IF(A319&lt;&gt;A318,_xlfn.STDEV.P(IF(A$9:A318=A318,T$9:T318)),""),"")</f>
        <v/>
      </c>
      <c r="O318" s="89">
        <f t="array" ref="O318">IFERROR(IF(A319&lt;&gt;A318,_xlfn.STDEV.P(IF(A$9:A318=A318,S$9:S318)),""),"")</f>
        <v/>
      </c>
      <c r="P318" s="90">
        <f>IFERROR(IF(A318&lt;&gt;A319,MAX((((M318*24*60)/2)*(1+POWER((((N318*24*60) / (M318*24*60) )),2))) + ((M318*24*60 )*-0.1 + (K318*0.015)) +1,(((M318*24*60)/2)*(1+POWER((((N318*24*60) / (M318*24*60 ))),2)))),""),"")</f>
        <v/>
      </c>
      <c r="Q318" s="90">
        <f>IF(AND(O318&lt;&gt;"",L318&lt;&gt;""),IF(A318&lt;&gt;A319,((L318*24*60) / 2 ) * (1 + POWER(((O318*24*60) / (L318*24*60)),2)),""),"")</f>
        <v/>
      </c>
      <c r="R318" s="90">
        <f>IF(Q318&lt;&gt;"",MAX(P318,Q318),"")</f>
        <v/>
      </c>
      <c r="S318" s="89">
        <f>IF(I318&lt;&gt;"H. Sale Real",IF(AND(I319&lt;&gt;"",LEFT(C319,2)&lt;&gt;"Va"),IF(AND(I318&lt;&gt;"",LEFT(C318,2)&lt;&gt;"Va",I318&lt;&gt;"H. Sale Real"),IF(I319-I318&lt;0.208333333333333,I319-I318,""),IF(AND(I317&lt;&gt;"",LEFT(C317,2)&lt;&gt;"Va",I317&lt;&gt;"H. Sale Real"),IF(I319-I317&lt;0.208333333333333,I319-I317,""),IF(AND(I316&lt;&gt;"",LEFT(C316,2)&lt;&gt;"Va",I316&lt;&gt;"H. Sale Real"),IF(I319-I316&lt;0.208333333333333,I319-I316,""),IF(AND(I315&lt;&gt;"",LEFT(C315,2)&lt;&gt;"Va",I315&lt;&gt;"H. Sale Real"),IF(I319-I315&lt;0.208333333333333,I319-I315,""),IF(AND(I314&lt;&gt;"",LEFT(C314,2)&lt;&gt;"Va",I314&lt;&gt;"H. Sale Real"),IF(I319-I314&lt;0.208333333333333,I319-I314,""),""))))),""),"")</f>
        <v/>
      </c>
      <c r="T318" s="89">
        <f>IF(G318&lt;&gt;"H. Sale Real",IF(AND(G319&lt;&gt;"",LEFT(C319,2)&lt;&gt;"Va"),IF(AND(G318&lt;&gt;"",LEFT(C318,2)&lt;&gt;"Va",G318&lt;&gt;"H. Sale Real"),IF(G319-G318&lt;0.208333333333333,G319-G318,""),IF(AND(G317&lt;&gt;"",LEFT(C317,2)&lt;&gt;"Va",G317&lt;&gt;"H. Sale Real"),IF(G319-G317&lt;0.208333333333333,G319-G317,""),IF(AND(G316&lt;&gt;"",LEFT(C316,2)&lt;&gt;"Va",G316&lt;&gt;"H. Sale Real"),IF(G319-G316&lt;0.208333333333333,G319-G316,""),IF(AND(G315&lt;&gt;"",LEFT(C315,2)&lt;&gt;"Va",G315&lt;&gt;"H. Sale Real"),IF(G319-G315&lt;0.208333333333333,G319-G315,""),IF(AND(G314&lt;&gt;"",LEFT(C314,2)&lt;&gt;"Va",G314&lt;&gt;"H. Sale Real"),IF(G319-G314&lt;0.208333333333333,G319-G314,""),""))))),""),"")</f>
        <v/>
      </c>
      <c r="U318" s="87" t="n"/>
      <c r="V318" s="89" t="n"/>
      <c r="W318" s="87" t="n"/>
      <c r="X318" s="89" t="n"/>
      <c r="Y318" s="91" t="n"/>
      <c r="Z318" s="122">
        <f>IF(G318&lt;&gt;"",IF(AND(Z317&lt;&gt;"IE",P318&lt;&gt;0,R318&lt;&gt;""),IF(IFERROR((P318/R318),0) &lt;=1,IFERROR(P318/R318,""),1),""),"")</f>
        <v/>
      </c>
      <c r="AA318" s="93" t="n"/>
      <c r="AB318" s="2" t="n"/>
      <c r="AE318" s="10">
        <f>HOUR(AK318)+1</f>
        <v/>
      </c>
      <c r="AF318" s="7" t="n"/>
      <c r="AG318" s="7" t="n"/>
      <c r="AH318" s="86" t="n"/>
      <c r="AI318" s="8" t="n"/>
      <c r="AJ318" s="86" t="n"/>
      <c r="AK318" s="87" t="n"/>
      <c r="AL318" s="88">
        <f>IF(AM318="","",IF(AND((AM318-AK318)&gt;=TIME(0,0,0),(AM318-AK318)&lt;TIME(0,3,0)),"OK",IF(AND((AM318-AK318)&gt;=TIME(0,3,0),(AM318-AK318)&lt;TIME(0,5,0)),"RETRASO DE 3-5 MIN",IF(AND((AM318-AK318)&gt;=TIME(0,5,0),(AM318-AK318)&lt;TIME(0,10,0)),"RETRASO DE 5-10 MIN",IF((AM318-AK318)&gt;=TIME(0,10,0),"RETRASO &gt;10 MIN", IF(AND((AK318-AM318)&gt;=TIME(0,0,0),(AK318-AM318)&lt;TIME(0,3,0)),"OK",IF((AK318-AM318)&gt;=TIME(0,3,0),"ADELANTADO")))))))</f>
        <v/>
      </c>
      <c r="AM318" s="91" t="n"/>
      <c r="AN318" s="89">
        <f>IF(AE318&lt;&gt;"",HLOOKUP(VALUE(TEXT(AK318,"h:mm:ss")),IF($C$6="Laboral",$FZ$4:$GX$227,IF($C$6="Sábado",$FZ$231:$GX$452,$FZ$456:$GX$656)),VLOOKUP($C$4,$HF$2:$HH$99,3,0)+IF(AG$5="Ida",0,1),1),"")</f>
        <v/>
      </c>
      <c r="AO318" s="89">
        <f>IF(AE319&lt;&gt;AE318,AVERAGEIF(AE$9:AE318,AE318,AN$9:AN318),"")</f>
        <v/>
      </c>
      <c r="AP318" s="89">
        <f>IFERROR(IF(AE319&lt;&gt;AE318,AVERAGEIF(AE$9:AE318,AE318,AW$9:AW318),""),"")</f>
        <v/>
      </c>
      <c r="AQ318" s="89">
        <f>IFERROR(IF(AE319&lt;&gt;AE318,AVERAGEIF(AE$9:AE318,AE318,AX$9:AX318),""),"")</f>
        <v/>
      </c>
      <c r="AR318" s="89">
        <f t="array" ref="AR318">IFERROR(IF(AE319&lt;&gt;AE318,_xlfn.STDEV.P(IF(AE$9:AE318=AE318,AX$9:AX318)),""),"")</f>
        <v/>
      </c>
      <c r="AS318" s="89">
        <f t="array" ref="AS318">IFERROR(IF(AE319&lt;&gt;AE318,_xlfn.STDEV.P(IF(AE$9:AE318=AE318,AW$9:AW318)),""),"")</f>
        <v/>
      </c>
      <c r="AT318" s="90">
        <f>IFERROR(IF(AE318&lt;&gt;AE319,MAX((((AQ318*24*60)/2)*(1+POWER((((AR318*24*60) / (AQ318*24*60) )),2))) + ((AQ318*24*60 )*-0.1 + (AO318*0.015)) +1,(((AQ318*24*60)/2)*(1+POWER((((AR318*24*60) / (AQ318*24*60 ))),2)))),""),"")</f>
        <v/>
      </c>
      <c r="AU318" s="90">
        <f>IF(AND(AS318&lt;&gt;"",AP318&lt;&gt;""),IF(AE318&lt;&gt;AE319,((AP318*24*60) / 2 ) * (1 + POWER(((AS318*24*60) / (AP318*24*60)),2)),""),"")</f>
        <v/>
      </c>
      <c r="AV318" s="90">
        <f>IF(AU318&lt;&gt;"",MAX(AT318,AU318),"")</f>
        <v/>
      </c>
      <c r="AW318" s="89">
        <f>IF(AM318&lt;&gt;"H. Sale Real",IF(AND(AM319&lt;&gt;"",LEFT(AG319,2)&lt;&gt;"Va"),IF(AND(AM318&lt;&gt;"",LEFT(AG318,2)&lt;&gt;"Va",AM318&lt;&gt;"H. Sale Real"),IF(AM319-AM318&lt;0.208333333333333,AM319-AM318,""),IF(AND(AM317&lt;&gt;"",LEFT(AG317,2)&lt;&gt;"Va",AM317&lt;&gt;"H. Sale Real"),IF(AM319-AM317&lt;0.208333333333333,AM319-AM317,""),IF(AND(AM316&lt;&gt;"",LEFT(AG316,2)&lt;&gt;"Va",AM316&lt;&gt;"H. Sale Real"),IF(AM319-AM316&lt;0.208333333333333,AM319-AM316,""),IF(AND(AM315&lt;&gt;"",LEFT(AG315,2)&lt;&gt;"Va",AM315&lt;&gt;"H. Sale Real"),IF(AM319-AM315&lt;0.208333333333333,AM319-AM315,""),IF(AND(AM314&lt;&gt;"",LEFT(AG314,2)&lt;&gt;"Va",AM314&lt;&gt;"H. Sale Real"),IF(AM319-AM314&lt;0.208333333333333,AM319-AM314,""),""))))),""),"")</f>
        <v/>
      </c>
      <c r="AX318" s="89">
        <f>IF(AK318&lt;&gt;"H. Sale Real",IF(AND(AK319&lt;&gt;"",LEFT(AG319,2)&lt;&gt;"Va"),IF(AND(AK318&lt;&gt;"",LEFT(AG318,2)&lt;&gt;"Va",AK318&lt;&gt;"H. Sale Real"),IF(AK319-AK318&lt;0.208333333333333,AK319-AK318,""),IF(AND(AK317&lt;&gt;"",LEFT(AG317,2)&lt;&gt;"Va",AK317&lt;&gt;"H. Sale Real"),IF(AK319-AK317&lt;0.208333333333333,AK319-AK317,""),IF(AND(AK316&lt;&gt;"",LEFT(AG316,2)&lt;&gt;"NC",AK316&lt;&gt;"H. Sale Real"),IF(AK319-AK316&lt;0.208333333333333,AK319-AK316,""),IF(AND(AK315&lt;&gt;"",LEFT(AG315,2)&lt;&gt;"Va",AK315&lt;&gt;"H. Sale Real"),IF(AK319-AK315&lt;0.208333333333333,AK319-AK315,""),IF(AND(AK314&lt;&gt;"",LEFT(AG314,2)&lt;&gt;"Va",AK314&lt;&gt;"H. Sale Real"),IF(AK319-AK314&lt;0.208333333333333,AK319-AK314,""),""))))),""),"")</f>
        <v/>
      </c>
      <c r="AY318" s="87" t="n"/>
      <c r="AZ318" s="89" t="n"/>
      <c r="BA318" s="87" t="n"/>
      <c r="BB318" s="89" t="n"/>
      <c r="BC318" s="91" t="n"/>
      <c r="BD318" s="122">
        <f>IF(AK318&lt;&gt;"",IF(AND(BD317&lt;&gt;"IE",AT318&lt;&gt;0,AV318&lt;&gt;""),IF(IFERROR((AT318/AV318),0) &lt;=1,IFERROR(AT318/AV318,""),1),""),"")</f>
        <v/>
      </c>
      <c r="BE318" s="93" t="n"/>
      <c r="BF318" s="105" t="n"/>
      <c r="FC318" t="inlineStr">
        <is>
          <t>Diccionario 1</t>
        </is>
      </c>
      <c r="FD318" s="15" t="n">
        <v>1317</v>
      </c>
      <c r="FE318" s="15" t="inlineStr">
        <is>
          <t>MDN35025020099</t>
        </is>
      </c>
      <c r="FF318" s="15" t="inlineStr">
        <is>
          <t>LDYECS311S0044031</t>
        </is>
      </c>
      <c r="FG318" s="15" t="inlineStr">
        <is>
          <t>Zhong Tong</t>
        </is>
      </c>
      <c r="FH318" s="15" t="inlineStr">
        <is>
          <t>Lck6122evg</t>
        </is>
      </c>
      <c r="FI318" s="15" t="inlineStr">
        <is>
          <t>ZHONGTONG</t>
        </is>
      </c>
      <c r="FJ318" s="15" t="inlineStr">
        <is>
          <t>LCK6122EVG</t>
        </is>
      </c>
      <c r="FK318" s="15" t="n">
        <v>2025</v>
      </c>
      <c r="FL318" s="15" t="inlineStr">
        <is>
          <t>B</t>
        </is>
      </c>
      <c r="FM318" s="15" t="inlineStr">
        <is>
          <t>PIE ANDINO</t>
        </is>
      </c>
      <c r="FN318" s="15" t="inlineStr">
        <is>
          <t>Pie Andino 31 (Pie Andino 383)</t>
        </is>
      </c>
      <c r="FO318" s="15" t="inlineStr">
        <is>
          <t>Puente Alto</t>
        </is>
      </c>
      <c r="FP318" t="inlineStr">
        <is>
          <t>B</t>
        </is>
      </c>
      <c r="FS318" s="14" t="inlineStr">
        <is>
          <t>3080 / SFWZ-65|</t>
        </is>
      </c>
      <c r="FT318" t="inlineStr">
        <is>
          <t>SFWZ-65|</t>
        </is>
      </c>
      <c r="FU318" t="inlineStr">
        <is>
          <t>SFWZ-65</t>
        </is>
      </c>
      <c r="FV318">
        <f>VLOOKUP(FU318,FD:FL,9,0)</f>
        <v/>
      </c>
      <c r="HA318" s="35" t="n">
        <v>88</v>
      </c>
      <c r="HB318" s="35" t="n">
        <v>312</v>
      </c>
    </row>
    <row r="319" ht="15.5" customHeight="1">
      <c r="A319" s="10">
        <f>HOUR(G319)+1</f>
        <v/>
      </c>
      <c r="B319" s="7" t="n"/>
      <c r="C319" s="7" t="n"/>
      <c r="D319" s="85">
        <f>IFERROR(
IF(AND(OR(Planilla!B319="C",Planilla!B319="c"), VLOOKUP(E319,FD:FP,13,0)="C"), "OK",IF(AND(OR(Planilla!B319="C",Planilla!B319="c"), OR(VLOOKUP(E319,FD:FP,13,0)="B", VLOOKUP(E319,FD:FP,13,0)="A")), "DEFICIT",IF(
AND(OR(Planilla!B319="B", Planilla!B319="BPAL"), VLOOKUP(E319,FD:FP,13,0)="B"), "OK",IF(AND(OR(Planilla!B319="B", Planilla!B319="BPAL"), VLOOKUP(E319,FD:FP,13,0)="A"), "DEFICIT",IF(AND(OR(Planilla!B319="B", Planilla!B319="BPAL"), VLOOKUP(E319,FD:FP,13,0)="C"), "SOBREOFERTA",IF(AND(Planilla!B319="A", VLOOKUP(E319,FD:FP,13,0)="A"), "OK",IF(
AND(Planilla!B319="A", OR(VLOOKUP(E319,FD:FP,13,0)="B", VLOOKUP(E319,FD:FP,13,0)="C")), "SOBREOFERTA",""
))))))),"")</f>
        <v/>
      </c>
      <c r="E319" s="8" t="n"/>
      <c r="F319" s="86" t="n"/>
      <c r="G319" s="87" t="n"/>
      <c r="H319" s="88">
        <f>IF(I319="","",IF(AND((I319-G319)&gt;=TIME(0,0,0),(I319-G319)&lt;TIME(0,3,0)),"OK",IF(AND((I319-G319)&gt;=TIME(0,3,0),(I319-G319)&lt;TIME(0,5,0)),"RETRASO DE 3-5 MIN",IF(AND((I319-G319)&gt;=TIME(0,5,0),(I319-G319)&lt;TIME(0,10,0)),"RETRASO DE 5-10 MIN",IF((I319-G319)&gt;=TIME(0,10,0),"RETRASO &gt;10 MIN", IF(AND((G319-I319)&gt;=TIME(0,0,0),(G319-I319)&lt;TIME(0,3,0)),"OK",IF((G319-I319)&gt;=TIME(0,3,0),"ADELANTADO")))))))</f>
        <v/>
      </c>
      <c r="I319" s="89" t="n"/>
      <c r="J319" s="89">
        <f>IF(A319&lt;&gt;"",HLOOKUP(VALUE(TEXT(G319,"h:mm:ss")),IF($C$6="Laboral",$FZ$4:$GX$227,IF($C$6="Sábado",$FZ$231:$GX$452,$FZ$456:$GX$656)),VLOOKUP($C$4,$HF$2:$HH$99,3,0)+IF(C$5="Ida",0,1),1),"")</f>
        <v/>
      </c>
      <c r="K319" s="89">
        <f>IF(A320&lt;&gt;A319,AVERAGEIF(A$9:A319,A319,J$9:J319),"")</f>
        <v/>
      </c>
      <c r="L319" s="89">
        <f>IFERROR(IF(A320&lt;&gt;A319,AVERAGEIF(A$9:A319,A319,S$9:S319),""),"")</f>
        <v/>
      </c>
      <c r="M319" s="89">
        <f>IFERROR(IF(A320&lt;&gt;A319,AVERAGEIF(A$9:A319,A319,T$9:T319),""),"")</f>
        <v/>
      </c>
      <c r="N319" s="89">
        <f t="array" ref="N319">IFERROR(IF(A320&lt;&gt;A319,_xlfn.STDEV.P(IF(A$9:A319=A319,T$9:T319)),""),"")</f>
        <v/>
      </c>
      <c r="O319" s="89">
        <f t="array" ref="O319">IFERROR(IF(A320&lt;&gt;A319,_xlfn.STDEV.P(IF(A$9:A319=A319,S$9:S319)),""),"")</f>
        <v/>
      </c>
      <c r="P319" s="90">
        <f>IFERROR(IF(A319&lt;&gt;A320,MAX((((M319*24*60)/2)*(1+POWER((((N319*24*60) / (M319*24*60) )),2))) + ((M319*24*60 )*-0.1 + (K319*0.015)) +1,(((M319*24*60)/2)*(1+POWER((((N319*24*60) / (M319*24*60 ))),2)))),""),"")</f>
        <v/>
      </c>
      <c r="Q319" s="90">
        <f>IF(AND(O319&lt;&gt;"",L319&lt;&gt;""),IF(A319&lt;&gt;A320,((L319*24*60) / 2 ) * (1 + POWER(((O319*24*60) / (L319*24*60)),2)),""),"")</f>
        <v/>
      </c>
      <c r="R319" s="90">
        <f>IF(Q319&lt;&gt;"",MAX(P319,Q319),"")</f>
        <v/>
      </c>
      <c r="S319" s="89">
        <f>IF(I319&lt;&gt;"H. Sale Real",IF(AND(I320&lt;&gt;"",LEFT(C320,2)&lt;&gt;"Va"),IF(AND(I319&lt;&gt;"",LEFT(C319,2)&lt;&gt;"Va",I319&lt;&gt;"H. Sale Real"),IF(I320-I319&lt;0.208333333333333,I320-I319,""),IF(AND(I318&lt;&gt;"",LEFT(C318,2)&lt;&gt;"Va",I318&lt;&gt;"H. Sale Real"),IF(I320-I318&lt;0.208333333333333,I320-I318,""),IF(AND(I317&lt;&gt;"",LEFT(C317,2)&lt;&gt;"Va",I317&lt;&gt;"H. Sale Real"),IF(I320-I317&lt;0.208333333333333,I320-I317,""),IF(AND(I316&lt;&gt;"",LEFT(C316,2)&lt;&gt;"Va",I316&lt;&gt;"H. Sale Real"),IF(I320-I316&lt;0.208333333333333,I320-I316,""),IF(AND(I315&lt;&gt;"",LEFT(C315,2)&lt;&gt;"Va",I315&lt;&gt;"H. Sale Real"),IF(I320-I315&lt;0.208333333333333,I320-I315,""),""))))),""),"")</f>
        <v/>
      </c>
      <c r="T319" s="89">
        <f>IF(G319&lt;&gt;"H. Sale Real",IF(AND(G320&lt;&gt;"",LEFT(C320,2)&lt;&gt;"Va"),IF(AND(G319&lt;&gt;"",LEFT(C319,2)&lt;&gt;"Va",G319&lt;&gt;"H. Sale Real"),IF(G320-G319&lt;0.208333333333333,G320-G319,""),IF(AND(G318&lt;&gt;"",LEFT(C318,2)&lt;&gt;"Va",G318&lt;&gt;"H. Sale Real"),IF(G320-G318&lt;0.208333333333333,G320-G318,""),IF(AND(G317&lt;&gt;"",LEFT(C317,2)&lt;&gt;"Va",G317&lt;&gt;"H. Sale Real"),IF(G320-G317&lt;0.208333333333333,G320-G317,""),IF(AND(G316&lt;&gt;"",LEFT(C316,2)&lt;&gt;"Va",G316&lt;&gt;"H. Sale Real"),IF(G320-G316&lt;0.208333333333333,G320-G316,""),IF(AND(G315&lt;&gt;"",LEFT(C315,2)&lt;&gt;"Va",G315&lt;&gt;"H. Sale Real"),IF(G320-G315&lt;0.208333333333333,G320-G315,""),""))))),""),"")</f>
        <v/>
      </c>
      <c r="U319" s="87" t="n"/>
      <c r="V319" s="89" t="n"/>
      <c r="W319" s="87" t="n"/>
      <c r="X319" s="89" t="n"/>
      <c r="Y319" s="91" t="n"/>
      <c r="Z319" s="122">
        <f>IF(G319&lt;&gt;"",IF(AND(Z318&lt;&gt;"IE",P319&lt;&gt;0,R319&lt;&gt;""),IF(IFERROR((P319/R319),0) &lt;=1,IFERROR(P319/R319,""),1),""),"")</f>
        <v/>
      </c>
      <c r="AA319" s="93" t="n"/>
      <c r="AB319" s="2" t="n"/>
      <c r="AE319" s="10">
        <f>HOUR(AK319)+1</f>
        <v/>
      </c>
      <c r="AF319" s="7" t="n"/>
      <c r="AG319" s="7" t="n"/>
      <c r="AH319" s="86" t="n"/>
      <c r="AI319" s="8" t="n"/>
      <c r="AJ319" s="86" t="n"/>
      <c r="AK319" s="87" t="n"/>
      <c r="AL319" s="88">
        <f>IF(AM319="","",IF(AND((AM319-AK319)&gt;=TIME(0,0,0),(AM319-AK319)&lt;TIME(0,3,0)),"OK",IF(AND((AM319-AK319)&gt;=TIME(0,3,0),(AM319-AK319)&lt;TIME(0,5,0)),"RETRASO DE 3-5 MIN",IF(AND((AM319-AK319)&gt;=TIME(0,5,0),(AM319-AK319)&lt;TIME(0,10,0)),"RETRASO DE 5-10 MIN",IF((AM319-AK319)&gt;=TIME(0,10,0),"RETRASO &gt;10 MIN", IF(AND((AK319-AM319)&gt;=TIME(0,0,0),(AK319-AM319)&lt;TIME(0,3,0)),"OK",IF((AK319-AM319)&gt;=TIME(0,3,0),"ADELANTADO")))))))</f>
        <v/>
      </c>
      <c r="AM319" s="91" t="n"/>
      <c r="AN319" s="89">
        <f>IF(AE319&lt;&gt;"",HLOOKUP(VALUE(TEXT(AK319,"h:mm:ss")),IF($C$6="Laboral",$FZ$4:$GX$227,IF($C$6="Sábado",$FZ$231:$GX$452,$FZ$456:$GX$656)),VLOOKUP($C$4,$HF$2:$HH$99,3,0)+IF(AG$5="Ida",0,1),1),"")</f>
        <v/>
      </c>
      <c r="AO319" s="89">
        <f>IF(AE320&lt;&gt;AE319,AVERAGEIF(AE$9:AE319,AE319,AN$9:AN319),"")</f>
        <v/>
      </c>
      <c r="AP319" s="89">
        <f>IFERROR(IF(AE320&lt;&gt;AE319,AVERAGEIF(AE$9:AE319,AE319,AW$9:AW319),""),"")</f>
        <v/>
      </c>
      <c r="AQ319" s="89">
        <f>IFERROR(IF(AE320&lt;&gt;AE319,AVERAGEIF(AE$9:AE319,AE319,AX$9:AX319),""),"")</f>
        <v/>
      </c>
      <c r="AR319" s="89">
        <f t="array" ref="AR319">IFERROR(IF(AE320&lt;&gt;AE319,_xlfn.STDEV.P(IF(AE$9:AE319=AE319,AX$9:AX319)),""),"")</f>
        <v/>
      </c>
      <c r="AS319" s="89">
        <f t="array" ref="AS319">IFERROR(IF(AE320&lt;&gt;AE319,_xlfn.STDEV.P(IF(AE$9:AE319=AE319,AW$9:AW319)),""),"")</f>
        <v/>
      </c>
      <c r="AT319" s="90">
        <f>IFERROR(IF(AE319&lt;&gt;AE320,MAX((((AQ319*24*60)/2)*(1+POWER((((AR319*24*60) / (AQ319*24*60) )),2))) + ((AQ319*24*60 )*-0.1 + (AO319*0.015)) +1,(((AQ319*24*60)/2)*(1+POWER((((AR319*24*60) / (AQ319*24*60 ))),2)))),""),"")</f>
        <v/>
      </c>
      <c r="AU319" s="90">
        <f>IF(AND(AS319&lt;&gt;"",AP319&lt;&gt;""),IF(AE319&lt;&gt;AE320,((AP319*24*60) / 2 ) * (1 + POWER(((AS319*24*60) / (AP319*24*60)),2)),""),"")</f>
        <v/>
      </c>
      <c r="AV319" s="90">
        <f>IF(AU319&lt;&gt;"",MAX(AT319,AU319),"")</f>
        <v/>
      </c>
      <c r="AW319" s="89">
        <f>IF(AM319&lt;&gt;"H. Sale Real",IF(AND(AM320&lt;&gt;"",LEFT(AG320,2)&lt;&gt;"Va"),IF(AND(AM319&lt;&gt;"",LEFT(AG319,2)&lt;&gt;"Va",AM319&lt;&gt;"H. Sale Real"),IF(AM320-AM319&lt;0.208333333333333,AM320-AM319,""),IF(AND(AM318&lt;&gt;"",LEFT(AG318,2)&lt;&gt;"Va",AM318&lt;&gt;"H. Sale Real"),IF(AM320-AM318&lt;0.208333333333333,AM320-AM318,""),IF(AND(AM317&lt;&gt;"",LEFT(AG317,2)&lt;&gt;"Va",AM317&lt;&gt;"H. Sale Real"),IF(AM320-AM317&lt;0.208333333333333,AM320-AM317,""),IF(AND(AM316&lt;&gt;"",LEFT(AG316,2)&lt;&gt;"Va",AM316&lt;&gt;"H. Sale Real"),IF(AM320-AM316&lt;0.208333333333333,AM320-AM316,""),IF(AND(AM315&lt;&gt;"",LEFT(AG315,2)&lt;&gt;"Va",AM315&lt;&gt;"H. Sale Real"),IF(AM320-AM315&lt;0.208333333333333,AM320-AM315,""),""))))),""),"")</f>
        <v/>
      </c>
      <c r="AX319" s="89">
        <f>IF(AK319&lt;&gt;"H. Sale Real",IF(AND(AK320&lt;&gt;"",LEFT(AG320,2)&lt;&gt;"Va"),IF(AND(AK319&lt;&gt;"",LEFT(AG319,2)&lt;&gt;"Va",AK319&lt;&gt;"H. Sale Real"),IF(AK320-AK319&lt;0.208333333333333,AK320-AK319,""),IF(AND(AK318&lt;&gt;"",LEFT(AG318,2)&lt;&gt;"Va",AK318&lt;&gt;"H. Sale Real"),IF(AK320-AK318&lt;0.208333333333333,AK320-AK318,""),IF(AND(AK317&lt;&gt;"",LEFT(AG317,2)&lt;&gt;"NC",AK317&lt;&gt;"H. Sale Real"),IF(AK320-AK317&lt;0.208333333333333,AK320-AK317,""),IF(AND(AK316&lt;&gt;"",LEFT(AG316,2)&lt;&gt;"Va",AK316&lt;&gt;"H. Sale Real"),IF(AK320-AK316&lt;0.208333333333333,AK320-AK316,""),IF(AND(AK315&lt;&gt;"",LEFT(AG315,2)&lt;&gt;"Va",AK315&lt;&gt;"H. Sale Real"),IF(AK320-AK315&lt;0.208333333333333,AK320-AK315,""),""))))),""),"")</f>
        <v/>
      </c>
      <c r="AY319" s="87" t="n"/>
      <c r="AZ319" s="89" t="n"/>
      <c r="BA319" s="87" t="n"/>
      <c r="BB319" s="89" t="n"/>
      <c r="BC319" s="91" t="n"/>
      <c r="BD319" s="122">
        <f>IF(AK319&lt;&gt;"",IF(AND(BD318&lt;&gt;"IE",AT319&lt;&gt;0,AV319&lt;&gt;""),IF(IFERROR((AT319/AV319),0) &lt;=1,IFERROR(AT319/AV319,""),1),""),"")</f>
        <v/>
      </c>
      <c r="BE319" s="93" t="n"/>
      <c r="BF319" s="105" t="n"/>
      <c r="FC319" t="inlineStr">
        <is>
          <t>Diccionario 1</t>
        </is>
      </c>
      <c r="FD319" s="15" t="n">
        <v>1318</v>
      </c>
      <c r="FE319" s="15" t="inlineStr">
        <is>
          <t>MDN35025010246</t>
        </is>
      </c>
      <c r="FF319" s="15" t="inlineStr">
        <is>
          <t>LDYECS314S0044055</t>
        </is>
      </c>
      <c r="FG319" s="15" t="inlineStr">
        <is>
          <t>Zhong Tong</t>
        </is>
      </c>
      <c r="FH319" s="15" t="inlineStr">
        <is>
          <t>Lck6122evg</t>
        </is>
      </c>
      <c r="FI319" s="15" t="inlineStr">
        <is>
          <t>ZHONGTONG</t>
        </is>
      </c>
      <c r="FJ319" s="15" t="inlineStr">
        <is>
          <t>LCK6122EVG</t>
        </is>
      </c>
      <c r="FK319" s="15" t="n">
        <v>2025</v>
      </c>
      <c r="FL319" s="15" t="inlineStr">
        <is>
          <t>B</t>
        </is>
      </c>
      <c r="FM319" s="15" t="inlineStr">
        <is>
          <t>PIE ANDINO</t>
        </is>
      </c>
      <c r="FN319" s="15" t="inlineStr">
        <is>
          <t>Pie Andino 31 (Pie Andino 383)</t>
        </is>
      </c>
      <c r="FO319" s="15" t="inlineStr">
        <is>
          <t>Puente Alto</t>
        </is>
      </c>
      <c r="FP319" t="inlineStr">
        <is>
          <t>B</t>
        </is>
      </c>
      <c r="FS319" s="14" t="inlineStr">
        <is>
          <t>3080 / SFWZ-65|</t>
        </is>
      </c>
      <c r="FT319" t="inlineStr">
        <is>
          <t>SFWZ-65|</t>
        </is>
      </c>
      <c r="FU319" t="inlineStr">
        <is>
          <t>SFWZ-65</t>
        </is>
      </c>
      <c r="FV319">
        <f>VLOOKUP(FU319,FD:FL,9,0)</f>
        <v/>
      </c>
      <c r="HA319" s="35" t="n">
        <v>89</v>
      </c>
      <c r="HB319" s="35" t="n">
        <v>313</v>
      </c>
    </row>
    <row r="320" ht="15.5" customHeight="1">
      <c r="A320" s="10">
        <f>HOUR(G320)+1</f>
        <v/>
      </c>
      <c r="B320" s="7" t="n"/>
      <c r="C320" s="7" t="n"/>
      <c r="D320" s="85">
        <f>IFERROR(
IF(AND(OR(Planilla!B320="C",Planilla!B320="c"), VLOOKUP(E320,FD:FP,13,0)="C"), "OK",IF(AND(OR(Planilla!B320="C",Planilla!B320="c"), OR(VLOOKUP(E320,FD:FP,13,0)="B", VLOOKUP(E320,FD:FP,13,0)="A")), "DEFICIT",IF(
AND(OR(Planilla!B320="B", Planilla!B320="BPAL"), VLOOKUP(E320,FD:FP,13,0)="B"), "OK",IF(AND(OR(Planilla!B320="B", Planilla!B320="BPAL"), VLOOKUP(E320,FD:FP,13,0)="A"), "DEFICIT",IF(AND(OR(Planilla!B320="B", Planilla!B320="BPAL"), VLOOKUP(E320,FD:FP,13,0)="C"), "SOBREOFERTA",IF(AND(Planilla!B320="A", VLOOKUP(E320,FD:FP,13,0)="A"), "OK",IF(
AND(Planilla!B320="A", OR(VLOOKUP(E320,FD:FP,13,0)="B", VLOOKUP(E320,FD:FP,13,0)="C")), "SOBREOFERTA",""
))))))),"")</f>
        <v/>
      </c>
      <c r="E320" s="8" t="n"/>
      <c r="F320" s="86" t="n"/>
      <c r="G320" s="87" t="n"/>
      <c r="H320" s="88">
        <f>IF(I320="","",IF(AND((I320-G320)&gt;=TIME(0,0,0),(I320-G320)&lt;TIME(0,3,0)),"OK",IF(AND((I320-G320)&gt;=TIME(0,3,0),(I320-G320)&lt;TIME(0,5,0)),"RETRASO DE 3-5 MIN",IF(AND((I320-G320)&gt;=TIME(0,5,0),(I320-G320)&lt;TIME(0,10,0)),"RETRASO DE 5-10 MIN",IF((I320-G320)&gt;=TIME(0,10,0),"RETRASO &gt;10 MIN", IF(AND((G320-I320)&gt;=TIME(0,0,0),(G320-I320)&lt;TIME(0,3,0)),"OK",IF((G320-I320)&gt;=TIME(0,3,0),"ADELANTADO")))))))</f>
        <v/>
      </c>
      <c r="I320" s="89" t="n"/>
      <c r="J320" s="89">
        <f>IF(A320&lt;&gt;"",HLOOKUP(VALUE(TEXT(G320,"h:mm:ss")),IF($C$6="Laboral",$FZ$4:$GX$227,IF($C$6="Sábado",$FZ$231:$GX$452,$FZ$456:$GX$656)),VLOOKUP($C$4,$HF$2:$HH$99,3,0)+IF(C$5="Ida",0,1),1),"")</f>
        <v/>
      </c>
      <c r="K320" s="89">
        <f>IF(A321&lt;&gt;A320,AVERAGEIF(A$9:A320,A320,J$9:J320),"")</f>
        <v/>
      </c>
      <c r="L320" s="89">
        <f>IFERROR(IF(A321&lt;&gt;A320,AVERAGEIF(A$9:A320,A320,S$9:S320),""),"")</f>
        <v/>
      </c>
      <c r="M320" s="89">
        <f>IFERROR(IF(A321&lt;&gt;A320,AVERAGEIF(A$9:A320,A320,T$9:T320),""),"")</f>
        <v/>
      </c>
      <c r="N320" s="89">
        <f t="array" ref="N320">IFERROR(IF(A321&lt;&gt;A320,_xlfn.STDEV.P(IF(A$9:A320=A320,T$9:T320)),""),"")</f>
        <v/>
      </c>
      <c r="O320" s="89">
        <f t="array" ref="O320">IFERROR(IF(A321&lt;&gt;A320,_xlfn.STDEV.P(IF(A$9:A320=A320,S$9:S320)),""),"")</f>
        <v/>
      </c>
      <c r="P320" s="90">
        <f>IFERROR(IF(A320&lt;&gt;A321,MAX((((M320*24*60)/2)*(1+POWER((((N320*24*60) / (M320*24*60) )),2))) + ((M320*24*60 )*-0.1 + (K320*0.015)) +1,(((M320*24*60)/2)*(1+POWER((((N320*24*60) / (M320*24*60 ))),2)))),""),"")</f>
        <v/>
      </c>
      <c r="Q320" s="90">
        <f>IF(AND(O320&lt;&gt;"",L320&lt;&gt;""),IF(A320&lt;&gt;A321,((L320*24*60) / 2 ) * (1 + POWER(((O320*24*60) / (L320*24*60)),2)),""),"")</f>
        <v/>
      </c>
      <c r="R320" s="90">
        <f>IF(Q320&lt;&gt;"",MAX(P320,Q320),"")</f>
        <v/>
      </c>
      <c r="S320" s="89">
        <f>IF(I320&lt;&gt;"H. Sale Real",IF(AND(I321&lt;&gt;"",LEFT(C321,2)&lt;&gt;"Va"),IF(AND(I320&lt;&gt;"",LEFT(C320,2)&lt;&gt;"Va",I320&lt;&gt;"H. Sale Real"),IF(I321-I320&lt;0.208333333333333,I321-I320,""),IF(AND(I319&lt;&gt;"",LEFT(C319,2)&lt;&gt;"Va",I319&lt;&gt;"H. Sale Real"),IF(I321-I319&lt;0.208333333333333,I321-I319,""),IF(AND(I318&lt;&gt;"",LEFT(C318,2)&lt;&gt;"Va",I318&lt;&gt;"H. Sale Real"),IF(I321-I318&lt;0.208333333333333,I321-I318,""),IF(AND(I317&lt;&gt;"",LEFT(C317,2)&lt;&gt;"Va",I317&lt;&gt;"H. Sale Real"),IF(I321-I317&lt;0.208333333333333,I321-I317,""),IF(AND(I316&lt;&gt;"",LEFT(C316,2)&lt;&gt;"Va",I316&lt;&gt;"H. Sale Real"),IF(I321-I316&lt;0.208333333333333,I321-I316,""),""))))),""),"")</f>
        <v/>
      </c>
      <c r="T320" s="89">
        <f>IF(G320&lt;&gt;"H. Sale Real",IF(AND(G321&lt;&gt;"",LEFT(C321,2)&lt;&gt;"Va"),IF(AND(G320&lt;&gt;"",LEFT(C320,2)&lt;&gt;"Va",G320&lt;&gt;"H. Sale Real"),IF(G321-G320&lt;0.208333333333333,G321-G320,""),IF(AND(G319&lt;&gt;"",LEFT(C319,2)&lt;&gt;"Va",G319&lt;&gt;"H. Sale Real"),IF(G321-G319&lt;0.208333333333333,G321-G319,""),IF(AND(G318&lt;&gt;"",LEFT(C318,2)&lt;&gt;"Va",G318&lt;&gt;"H. Sale Real"),IF(G321-G318&lt;0.208333333333333,G321-G318,""),IF(AND(G317&lt;&gt;"",LEFT(C317,2)&lt;&gt;"Va",G317&lt;&gt;"H. Sale Real"),IF(G321-G317&lt;0.208333333333333,G321-G317,""),IF(AND(G316&lt;&gt;"",LEFT(C316,2)&lt;&gt;"Va",G316&lt;&gt;"H. Sale Real"),IF(G321-G316&lt;0.208333333333333,G321-G316,""),""))))),""),"")</f>
        <v/>
      </c>
      <c r="U320" s="87" t="n"/>
      <c r="V320" s="89" t="n"/>
      <c r="W320" s="87" t="n"/>
      <c r="X320" s="89" t="n"/>
      <c r="Y320" s="91" t="n"/>
      <c r="Z320" s="122">
        <f>IF(G320&lt;&gt;"",IF(AND(Z319&lt;&gt;"IE",P320&lt;&gt;0,R320&lt;&gt;""),IF(IFERROR((P320/R320),0) &lt;=1,IFERROR(P320/R320,""),1),""),"")</f>
        <v/>
      </c>
      <c r="AA320" s="93" t="n"/>
      <c r="AB320" s="2" t="n"/>
      <c r="AE320" s="10">
        <f>HOUR(AK320)+1</f>
        <v/>
      </c>
      <c r="AF320" s="7" t="n"/>
      <c r="AG320" s="7" t="n"/>
      <c r="AH320" s="86" t="n"/>
      <c r="AI320" s="8" t="n"/>
      <c r="AJ320" s="86" t="n"/>
      <c r="AK320" s="87" t="n"/>
      <c r="AL320" s="88">
        <f>IF(AM320="","",IF(AND((AM320-AK320)&gt;=TIME(0,0,0),(AM320-AK320)&lt;TIME(0,3,0)),"OK",IF(AND((AM320-AK320)&gt;=TIME(0,3,0),(AM320-AK320)&lt;TIME(0,5,0)),"RETRASO DE 3-5 MIN",IF(AND((AM320-AK320)&gt;=TIME(0,5,0),(AM320-AK320)&lt;TIME(0,10,0)),"RETRASO DE 5-10 MIN",IF((AM320-AK320)&gt;=TIME(0,10,0),"RETRASO &gt;10 MIN", IF(AND((AK320-AM320)&gt;=TIME(0,0,0),(AK320-AM320)&lt;TIME(0,3,0)),"OK",IF((AK320-AM320)&gt;=TIME(0,3,0),"ADELANTADO")))))))</f>
        <v/>
      </c>
      <c r="AM320" s="91" t="n"/>
      <c r="AN320" s="89">
        <f>IF(AE320&lt;&gt;"",HLOOKUP(VALUE(TEXT(AK320,"h:mm:ss")),IF($C$6="Laboral",$FZ$4:$GX$227,IF($C$6="Sábado",$FZ$231:$GX$452,$FZ$456:$GX$656)),VLOOKUP($C$4,$HF$2:$HH$99,3,0)+IF(AG$5="Ida",0,1),1),"")</f>
        <v/>
      </c>
      <c r="AO320" s="89">
        <f>IF(AE321&lt;&gt;AE320,AVERAGEIF(AE$9:AE320,AE320,AN$9:AN320),"")</f>
        <v/>
      </c>
      <c r="AP320" s="89">
        <f>IFERROR(IF(AE321&lt;&gt;AE320,AVERAGEIF(AE$9:AE320,AE320,AW$9:AW320),""),"")</f>
        <v/>
      </c>
      <c r="AQ320" s="89">
        <f>IFERROR(IF(AE321&lt;&gt;AE320,AVERAGEIF(AE$9:AE320,AE320,AX$9:AX320),""),"")</f>
        <v/>
      </c>
      <c r="AR320" s="89">
        <f t="array" ref="AR320">IFERROR(IF(AE321&lt;&gt;AE320,_xlfn.STDEV.P(IF(AE$9:AE320=AE320,AX$9:AX320)),""),"")</f>
        <v/>
      </c>
      <c r="AS320" s="89">
        <f t="array" ref="AS320">IFERROR(IF(AE321&lt;&gt;AE320,_xlfn.STDEV.P(IF(AE$9:AE320=AE320,AW$9:AW320)),""),"")</f>
        <v/>
      </c>
      <c r="AT320" s="90">
        <f>IFERROR(IF(AE320&lt;&gt;AE321,MAX((((AQ320*24*60)/2)*(1+POWER((((AR320*24*60) / (AQ320*24*60) )),2))) + ((AQ320*24*60 )*-0.1 + (AO320*0.015)) +1,(((AQ320*24*60)/2)*(1+POWER((((AR320*24*60) / (AQ320*24*60 ))),2)))),""),"")</f>
        <v/>
      </c>
      <c r="AU320" s="90">
        <f>IF(AND(AS320&lt;&gt;"",AP320&lt;&gt;""),IF(AE320&lt;&gt;AE321,((AP320*24*60) / 2 ) * (1 + POWER(((AS320*24*60) / (AP320*24*60)),2)),""),"")</f>
        <v/>
      </c>
      <c r="AV320" s="90">
        <f>IF(AU320&lt;&gt;"",MAX(AT320,AU320),"")</f>
        <v/>
      </c>
      <c r="AW320" s="89">
        <f>IF(AM320&lt;&gt;"H. Sale Real",IF(AND(AM321&lt;&gt;"",LEFT(AG321,2)&lt;&gt;"Va"),IF(AND(AM320&lt;&gt;"",LEFT(AG320,2)&lt;&gt;"Va",AM320&lt;&gt;"H. Sale Real"),IF(AM321-AM320&lt;0.208333333333333,AM321-AM320,""),IF(AND(AM319&lt;&gt;"",LEFT(AG319,2)&lt;&gt;"Va",AM319&lt;&gt;"H. Sale Real"),IF(AM321-AM319&lt;0.208333333333333,AM321-AM319,""),IF(AND(AM318&lt;&gt;"",LEFT(AG318,2)&lt;&gt;"Va",AM318&lt;&gt;"H. Sale Real"),IF(AM321-AM318&lt;0.208333333333333,AM321-AM318,""),IF(AND(AM317&lt;&gt;"",LEFT(AG317,2)&lt;&gt;"Va",AM317&lt;&gt;"H. Sale Real"),IF(AM321-AM317&lt;0.208333333333333,AM321-AM317,""),IF(AND(AM316&lt;&gt;"",LEFT(AG316,2)&lt;&gt;"Va",AM316&lt;&gt;"H. Sale Real"),IF(AM321-AM316&lt;0.208333333333333,AM321-AM316,""),""))))),""),"")</f>
        <v/>
      </c>
      <c r="AX320" s="89">
        <f>IF(AK320&lt;&gt;"H. Sale Real",IF(AND(AK321&lt;&gt;"",LEFT(AG321,2)&lt;&gt;"Va"),IF(AND(AK320&lt;&gt;"",LEFT(AG320,2)&lt;&gt;"Va",AK320&lt;&gt;"H. Sale Real"),IF(AK321-AK320&lt;0.208333333333333,AK321-AK320,""),IF(AND(AK319&lt;&gt;"",LEFT(AG319,2)&lt;&gt;"Va",AK319&lt;&gt;"H. Sale Real"),IF(AK321-AK319&lt;0.208333333333333,AK321-AK319,""),IF(AND(AK318&lt;&gt;"",LEFT(AG318,2)&lt;&gt;"NC",AK318&lt;&gt;"H. Sale Real"),IF(AK321-AK318&lt;0.208333333333333,AK321-AK318,""),IF(AND(AK317&lt;&gt;"",LEFT(AG317,2)&lt;&gt;"Va",AK317&lt;&gt;"H. Sale Real"),IF(AK321-AK317&lt;0.208333333333333,AK321-AK317,""),IF(AND(AK316&lt;&gt;"",LEFT(AG316,2)&lt;&gt;"Va",AK316&lt;&gt;"H. Sale Real"),IF(AK321-AK316&lt;0.208333333333333,AK321-AK316,""),""))))),""),"")</f>
        <v/>
      </c>
      <c r="AY320" s="87" t="n"/>
      <c r="AZ320" s="89" t="n"/>
      <c r="BA320" s="87" t="n"/>
      <c r="BB320" s="89" t="n"/>
      <c r="BC320" s="91" t="n"/>
      <c r="BD320" s="122">
        <f>IF(AK320&lt;&gt;"",IF(AND(BD319&lt;&gt;"IE",AT320&lt;&gt;0,AV320&lt;&gt;""),IF(IFERROR((AT320/AV320),0) &lt;=1,IFERROR(AT320/AV320,""),1),""),"")</f>
        <v/>
      </c>
      <c r="BE320" s="93" t="n"/>
      <c r="BF320" s="105" t="n"/>
      <c r="FC320" t="inlineStr">
        <is>
          <t>Diccionario 1</t>
        </is>
      </c>
      <c r="FD320" s="15" t="n">
        <v>1319</v>
      </c>
      <c r="FE320" s="15" t="inlineStr">
        <is>
          <t>MDN35025020047</t>
        </is>
      </c>
      <c r="FF320" s="15" t="inlineStr">
        <is>
          <t>LDYECS310S0044036</t>
        </is>
      </c>
      <c r="FG320" s="15" t="inlineStr">
        <is>
          <t>Zhong Tong</t>
        </is>
      </c>
      <c r="FH320" s="15" t="inlineStr">
        <is>
          <t>Lck6122evg</t>
        </is>
      </c>
      <c r="FI320" s="15" t="inlineStr">
        <is>
          <t>ZHONGTONG</t>
        </is>
      </c>
      <c r="FJ320" s="15" t="inlineStr">
        <is>
          <t>LCK6122EVG</t>
        </is>
      </c>
      <c r="FK320" s="15" t="n">
        <v>2025</v>
      </c>
      <c r="FL320" s="15" t="inlineStr">
        <is>
          <t>B</t>
        </is>
      </c>
      <c r="FM320" s="15" t="inlineStr">
        <is>
          <t>PIE ANDINO</t>
        </is>
      </c>
      <c r="FN320" s="15" t="inlineStr">
        <is>
          <t>Pie Andino 31 (Pie Andino 383)</t>
        </is>
      </c>
      <c r="FO320" s="15" t="inlineStr">
        <is>
          <t>Puente Alto</t>
        </is>
      </c>
      <c r="FP320" t="inlineStr">
        <is>
          <t>B</t>
        </is>
      </c>
      <c r="FS320" s="14" t="inlineStr">
        <is>
          <t>3080 / SFWZ-65|</t>
        </is>
      </c>
      <c r="FT320" t="inlineStr">
        <is>
          <t>SFWZ-65|</t>
        </is>
      </c>
      <c r="FU320" t="inlineStr">
        <is>
          <t>SFWZ-65</t>
        </is>
      </c>
      <c r="FV320">
        <f>VLOOKUP(FU320,FD:FL,9,0)</f>
        <v/>
      </c>
      <c r="HA320" s="35" t="n">
        <v>90</v>
      </c>
      <c r="HB320" s="35" t="n">
        <v>314</v>
      </c>
    </row>
    <row r="321" ht="15.5" customHeight="1">
      <c r="A321" s="10">
        <f>HOUR(G321)+1</f>
        <v/>
      </c>
      <c r="B321" s="7" t="n"/>
      <c r="C321" s="7" t="n"/>
      <c r="D321" s="85">
        <f>IFERROR(
IF(AND(OR(Planilla!B321="C",Planilla!B321="c"), VLOOKUP(E321,FD:FP,13,0)="C"), "OK",IF(AND(OR(Planilla!B321="C",Planilla!B321="c"), OR(VLOOKUP(E321,FD:FP,13,0)="B", VLOOKUP(E321,FD:FP,13,0)="A")), "DEFICIT",IF(
AND(OR(Planilla!B321="B", Planilla!B321="BPAL"), VLOOKUP(E321,FD:FP,13,0)="B"), "OK",IF(AND(OR(Planilla!B321="B", Planilla!B321="BPAL"), VLOOKUP(E321,FD:FP,13,0)="A"), "DEFICIT",IF(AND(OR(Planilla!B321="B", Planilla!B321="BPAL"), VLOOKUP(E321,FD:FP,13,0)="C"), "SOBREOFERTA",IF(AND(Planilla!B321="A", VLOOKUP(E321,FD:FP,13,0)="A"), "OK",IF(
AND(Planilla!B321="A", OR(VLOOKUP(E321,FD:FP,13,0)="B", VLOOKUP(E321,FD:FP,13,0)="C")), "SOBREOFERTA",""
))))))),"")</f>
        <v/>
      </c>
      <c r="E321" s="8" t="n"/>
      <c r="F321" s="86" t="n"/>
      <c r="G321" s="87" t="n"/>
      <c r="H321" s="88">
        <f>IF(I321="","",IF(AND((I321-G321)&gt;=TIME(0,0,0),(I321-G321)&lt;TIME(0,3,0)),"OK",IF(AND((I321-G321)&gt;=TIME(0,3,0),(I321-G321)&lt;TIME(0,5,0)),"RETRASO DE 3-5 MIN",IF(AND((I321-G321)&gt;=TIME(0,5,0),(I321-G321)&lt;TIME(0,10,0)),"RETRASO DE 5-10 MIN",IF((I321-G321)&gt;=TIME(0,10,0),"RETRASO &gt;10 MIN", IF(AND((G321-I321)&gt;=TIME(0,0,0),(G321-I321)&lt;TIME(0,3,0)),"OK",IF((G321-I321)&gt;=TIME(0,3,0),"ADELANTADO")))))))</f>
        <v/>
      </c>
      <c r="I321" s="89" t="n"/>
      <c r="J321" s="89">
        <f>IF(A321&lt;&gt;"",HLOOKUP(VALUE(TEXT(G321,"h:mm:ss")),IF($C$6="Laboral",$FZ$4:$GX$227,IF($C$6="Sábado",$FZ$231:$GX$452,$FZ$456:$GX$656)),VLOOKUP($C$4,$HF$2:$HH$99,3,0)+IF(C$5="Ida",0,1),1),"")</f>
        <v/>
      </c>
      <c r="K321" s="89">
        <f>IF(A322&lt;&gt;A321,AVERAGEIF(A$9:A321,A321,J$9:J321),"")</f>
        <v/>
      </c>
      <c r="L321" s="89">
        <f>IFERROR(IF(A322&lt;&gt;A321,AVERAGEIF(A$9:A321,A321,S$9:S321),""),"")</f>
        <v/>
      </c>
      <c r="M321" s="89">
        <f>IFERROR(IF(A322&lt;&gt;A321,AVERAGEIF(A$9:A321,A321,T$9:T321),""),"")</f>
        <v/>
      </c>
      <c r="N321" s="89">
        <f t="array" ref="N321">IFERROR(IF(A322&lt;&gt;A321,_xlfn.STDEV.P(IF(A$9:A321=A321,T$9:T321)),""),"")</f>
        <v/>
      </c>
      <c r="O321" s="89">
        <f t="array" ref="O321">IFERROR(IF(A322&lt;&gt;A321,_xlfn.STDEV.P(IF(A$9:A321=A321,S$9:S321)),""),"")</f>
        <v/>
      </c>
      <c r="P321" s="90">
        <f>IFERROR(IF(A321&lt;&gt;A322,MAX((((M321*24*60)/2)*(1+POWER((((N321*24*60) / (M321*24*60) )),2))) + ((M321*24*60 )*-0.1 + (K321*0.015)) +1,(((M321*24*60)/2)*(1+POWER((((N321*24*60) / (M321*24*60 ))),2)))),""),"")</f>
        <v/>
      </c>
      <c r="Q321" s="90">
        <f>IF(AND(O321&lt;&gt;"",L321&lt;&gt;""),IF(A321&lt;&gt;A322,((L321*24*60) / 2 ) * (1 + POWER(((O321*24*60) / (L321*24*60)),2)),""),"")</f>
        <v/>
      </c>
      <c r="R321" s="90">
        <f>IF(Q321&lt;&gt;"",MAX(P321,Q321),"")</f>
        <v/>
      </c>
      <c r="S321" s="89">
        <f>IF(I321&lt;&gt;"H. Sale Real",IF(AND(I322&lt;&gt;"",LEFT(C322,2)&lt;&gt;"Va"),IF(AND(I321&lt;&gt;"",LEFT(C321,2)&lt;&gt;"Va",I321&lt;&gt;"H. Sale Real"),IF(I322-I321&lt;0.208333333333333,I322-I321,""),IF(AND(I320&lt;&gt;"",LEFT(C320,2)&lt;&gt;"Va",I320&lt;&gt;"H. Sale Real"),IF(I322-I320&lt;0.208333333333333,I322-I320,""),IF(AND(I319&lt;&gt;"",LEFT(C319,2)&lt;&gt;"Va",I319&lt;&gt;"H. Sale Real"),IF(I322-I319&lt;0.208333333333333,I322-I319,""),IF(AND(I318&lt;&gt;"",LEFT(C318,2)&lt;&gt;"Va",I318&lt;&gt;"H. Sale Real"),IF(I322-I318&lt;0.208333333333333,I322-I318,""),IF(AND(I317&lt;&gt;"",LEFT(C317,2)&lt;&gt;"Va",I317&lt;&gt;"H. Sale Real"),IF(I322-I317&lt;0.208333333333333,I322-I317,""),""))))),""),"")</f>
        <v/>
      </c>
      <c r="T321" s="89">
        <f>IF(G321&lt;&gt;"H. Sale Real",IF(AND(G322&lt;&gt;"",LEFT(C322,2)&lt;&gt;"Va"),IF(AND(G321&lt;&gt;"",LEFT(C321,2)&lt;&gt;"Va",G321&lt;&gt;"H. Sale Real"),IF(G322-G321&lt;0.208333333333333,G322-G321,""),IF(AND(G320&lt;&gt;"",LEFT(C320,2)&lt;&gt;"Va",G320&lt;&gt;"H. Sale Real"),IF(G322-G320&lt;0.208333333333333,G322-G320,""),IF(AND(G319&lt;&gt;"",LEFT(C319,2)&lt;&gt;"Va",G319&lt;&gt;"H. Sale Real"),IF(G322-G319&lt;0.208333333333333,G322-G319,""),IF(AND(G318&lt;&gt;"",LEFT(C318,2)&lt;&gt;"Va",G318&lt;&gt;"H. Sale Real"),IF(G322-G318&lt;0.208333333333333,G322-G318,""),IF(AND(G317&lt;&gt;"",LEFT(C317,2)&lt;&gt;"Va",G317&lt;&gt;"H. Sale Real"),IF(G322-G317&lt;0.208333333333333,G322-G317,""),""))))),""),"")</f>
        <v/>
      </c>
      <c r="U321" s="87" t="n"/>
      <c r="V321" s="89" t="n"/>
      <c r="W321" s="87" t="n"/>
      <c r="X321" s="89" t="n"/>
      <c r="Y321" s="91" t="n"/>
      <c r="Z321" s="122">
        <f>IF(G321&lt;&gt;"",IF(AND(Z320&lt;&gt;"IE",P321&lt;&gt;0,R321&lt;&gt;""),IF(IFERROR((P321/R321),0) &lt;=1,IFERROR(P321/R321,""),1),""),"")</f>
        <v/>
      </c>
      <c r="AA321" s="93" t="n"/>
      <c r="AB321" s="2" t="n"/>
      <c r="AE321" s="10">
        <f>HOUR(AK321)+1</f>
        <v/>
      </c>
      <c r="AF321" s="7" t="n"/>
      <c r="AG321" s="7" t="n"/>
      <c r="AH321" s="86" t="n"/>
      <c r="AI321" s="8" t="n"/>
      <c r="AJ321" s="86" t="n"/>
      <c r="AK321" s="87" t="n"/>
      <c r="AL321" s="88">
        <f>IF(AM321="","",IF(AND((AM321-AK321)&gt;=TIME(0,0,0),(AM321-AK321)&lt;TIME(0,3,0)),"OK",IF(AND((AM321-AK321)&gt;=TIME(0,3,0),(AM321-AK321)&lt;TIME(0,5,0)),"RETRASO DE 3-5 MIN",IF(AND((AM321-AK321)&gt;=TIME(0,5,0),(AM321-AK321)&lt;TIME(0,10,0)),"RETRASO DE 5-10 MIN",IF((AM321-AK321)&gt;=TIME(0,10,0),"RETRASO &gt;10 MIN", IF(AND((AK321-AM321)&gt;=TIME(0,0,0),(AK321-AM321)&lt;TIME(0,3,0)),"OK",IF((AK321-AM321)&gt;=TIME(0,3,0),"ADELANTADO")))))))</f>
        <v/>
      </c>
      <c r="AM321" s="91" t="n"/>
      <c r="AN321" s="89">
        <f>IF(AE321&lt;&gt;"",HLOOKUP(VALUE(TEXT(AK321,"h:mm:ss")),IF($C$6="Laboral",$FZ$4:$GX$227,IF($C$6="Sábado",$FZ$231:$GX$452,$FZ$456:$GX$656)),VLOOKUP($C$4,$HF$2:$HH$99,3,0)+IF(AG$5="Ida",0,1),1),"")</f>
        <v/>
      </c>
      <c r="AO321" s="89">
        <f>IF(AE322&lt;&gt;AE321,AVERAGEIF(AE$9:AE321,AE321,AN$9:AN321),"")</f>
        <v/>
      </c>
      <c r="AP321" s="89">
        <f>IFERROR(IF(AE322&lt;&gt;AE321,AVERAGEIF(AE$9:AE321,AE321,AW$9:AW321),""),"")</f>
        <v/>
      </c>
      <c r="AQ321" s="89">
        <f>IFERROR(IF(AE322&lt;&gt;AE321,AVERAGEIF(AE$9:AE321,AE321,AX$9:AX321),""),"")</f>
        <v/>
      </c>
      <c r="AR321" s="89">
        <f t="array" ref="AR321">IFERROR(IF(AE322&lt;&gt;AE321,_xlfn.STDEV.P(IF(AE$9:AE321=AE321,AX$9:AX321)),""),"")</f>
        <v/>
      </c>
      <c r="AS321" s="89">
        <f t="array" ref="AS321">IFERROR(IF(AE322&lt;&gt;AE321,_xlfn.STDEV.P(IF(AE$9:AE321=AE321,AW$9:AW321)),""),"")</f>
        <v/>
      </c>
      <c r="AT321" s="90">
        <f>IFERROR(IF(AE321&lt;&gt;AE322,MAX((((AQ321*24*60)/2)*(1+POWER((((AR321*24*60) / (AQ321*24*60) )),2))) + ((AQ321*24*60 )*-0.1 + (AO321*0.015)) +1,(((AQ321*24*60)/2)*(1+POWER((((AR321*24*60) / (AQ321*24*60 ))),2)))),""),"")</f>
        <v/>
      </c>
      <c r="AU321" s="90">
        <f>IF(AND(AS321&lt;&gt;"",AP321&lt;&gt;""),IF(AE321&lt;&gt;AE322,((AP321*24*60) / 2 ) * (1 + POWER(((AS321*24*60) / (AP321*24*60)),2)),""),"")</f>
        <v/>
      </c>
      <c r="AV321" s="90">
        <f>IF(AU321&lt;&gt;"",MAX(AT321,AU321),"")</f>
        <v/>
      </c>
      <c r="AW321" s="89">
        <f>IF(AM321&lt;&gt;"H. Sale Real",IF(AND(AM322&lt;&gt;"",LEFT(AG322,2)&lt;&gt;"Va"),IF(AND(AM321&lt;&gt;"",LEFT(AG321,2)&lt;&gt;"Va",AM321&lt;&gt;"H. Sale Real"),IF(AM322-AM321&lt;0.208333333333333,AM322-AM321,""),IF(AND(AM320&lt;&gt;"",LEFT(AG320,2)&lt;&gt;"Va",AM320&lt;&gt;"H. Sale Real"),IF(AM322-AM320&lt;0.208333333333333,AM322-AM320,""),IF(AND(AM319&lt;&gt;"",LEFT(AG319,2)&lt;&gt;"Va",AM319&lt;&gt;"H. Sale Real"),IF(AM322-AM319&lt;0.208333333333333,AM322-AM319,""),IF(AND(AM318&lt;&gt;"",LEFT(AG318,2)&lt;&gt;"Va",AM318&lt;&gt;"H. Sale Real"),IF(AM322-AM318&lt;0.208333333333333,AM322-AM318,""),IF(AND(AM317&lt;&gt;"",LEFT(AG317,2)&lt;&gt;"Va",AM317&lt;&gt;"H. Sale Real"),IF(AM322-AM317&lt;0.208333333333333,AM322-AM317,""),""))))),""),"")</f>
        <v/>
      </c>
      <c r="AX321" s="89">
        <f>IF(AK321&lt;&gt;"H. Sale Real",IF(AND(AK322&lt;&gt;"",LEFT(AG322,2)&lt;&gt;"Va"),IF(AND(AK321&lt;&gt;"",LEFT(AG321,2)&lt;&gt;"Va",AK321&lt;&gt;"H. Sale Real"),IF(AK322-AK321&lt;0.208333333333333,AK322-AK321,""),IF(AND(AK320&lt;&gt;"",LEFT(AG320,2)&lt;&gt;"Va",AK320&lt;&gt;"H. Sale Real"),IF(AK322-AK320&lt;0.208333333333333,AK322-AK320,""),IF(AND(AK319&lt;&gt;"",LEFT(AG319,2)&lt;&gt;"NC",AK319&lt;&gt;"H. Sale Real"),IF(AK322-AK319&lt;0.208333333333333,AK322-AK319,""),IF(AND(AK318&lt;&gt;"",LEFT(AG318,2)&lt;&gt;"Va",AK318&lt;&gt;"H. Sale Real"),IF(AK322-AK318&lt;0.208333333333333,AK322-AK318,""),IF(AND(AK317&lt;&gt;"",LEFT(AG317,2)&lt;&gt;"Va",AK317&lt;&gt;"H. Sale Real"),IF(AK322-AK317&lt;0.208333333333333,AK322-AK317,""),""))))),""),"")</f>
        <v/>
      </c>
      <c r="AY321" s="87" t="n"/>
      <c r="AZ321" s="89" t="n"/>
      <c r="BA321" s="87" t="n"/>
      <c r="BB321" s="89" t="n"/>
      <c r="BC321" s="91" t="n"/>
      <c r="BD321" s="122">
        <f>IF(AK321&lt;&gt;"",IF(AND(BD320&lt;&gt;"IE",AT321&lt;&gt;0,AV321&lt;&gt;""),IF(IFERROR((AT321/AV321),0) &lt;=1,IFERROR(AT321/AV321,""),1),""),"")</f>
        <v/>
      </c>
      <c r="BE321" s="93" t="n"/>
      <c r="BF321" s="105" t="n"/>
      <c r="FC321" t="inlineStr">
        <is>
          <t>Diccionario 1</t>
        </is>
      </c>
      <c r="FD321" s="15" t="n">
        <v>1320</v>
      </c>
      <c r="FE321" s="15" t="inlineStr">
        <is>
          <t>MDN35025020114</t>
        </is>
      </c>
      <c r="FF321" s="15" t="inlineStr">
        <is>
          <t>LDYECS315S0044033</t>
        </is>
      </c>
      <c r="FG321" s="15" t="inlineStr">
        <is>
          <t>Zhong Tong</t>
        </is>
      </c>
      <c r="FH321" s="15" t="inlineStr">
        <is>
          <t>Lck6122evg</t>
        </is>
      </c>
      <c r="FI321" s="15" t="inlineStr">
        <is>
          <t>ZHONGTONG</t>
        </is>
      </c>
      <c r="FJ321" s="15" t="inlineStr">
        <is>
          <t>LCK6122EVG</t>
        </is>
      </c>
      <c r="FK321" s="15" t="n">
        <v>2025</v>
      </c>
      <c r="FL321" s="15" t="inlineStr">
        <is>
          <t>B</t>
        </is>
      </c>
      <c r="FM321" s="15" t="inlineStr">
        <is>
          <t>CERRILLOS</t>
        </is>
      </c>
      <c r="FN321" s="15" t="inlineStr">
        <is>
          <t>Calle Uno 7371</t>
        </is>
      </c>
      <c r="FO321" s="15" t="inlineStr">
        <is>
          <t>Cerrillos</t>
        </is>
      </c>
      <c r="FP321" t="inlineStr">
        <is>
          <t>B</t>
        </is>
      </c>
      <c r="FS321" s="14" t="inlineStr">
        <is>
          <t>3082 / SFWZ-56|</t>
        </is>
      </c>
      <c r="FT321" t="inlineStr">
        <is>
          <t>SFWZ-56|</t>
        </is>
      </c>
      <c r="FU321" t="inlineStr">
        <is>
          <t>SFWZ-56</t>
        </is>
      </c>
      <c r="FV321">
        <f>VLOOKUP(FU321,FD:FL,9,0)</f>
        <v/>
      </c>
      <c r="HA321" s="35" t="n">
        <v>91</v>
      </c>
      <c r="HB321" s="35" t="n">
        <v>315</v>
      </c>
    </row>
    <row r="322" ht="15.5" customHeight="1">
      <c r="A322" s="10">
        <f>HOUR(G322)+1</f>
        <v/>
      </c>
      <c r="B322" s="7" t="n"/>
      <c r="C322" s="7" t="n"/>
      <c r="D322" s="85">
        <f>IFERROR(
IF(AND(OR(Planilla!B322="C",Planilla!B322="c"), VLOOKUP(E322,FD:FP,13,0)="C"), "OK",IF(AND(OR(Planilla!B322="C",Planilla!B322="c"), OR(VLOOKUP(E322,FD:FP,13,0)="B", VLOOKUP(E322,FD:FP,13,0)="A")), "DEFICIT",IF(
AND(OR(Planilla!B322="B", Planilla!B322="BPAL"), VLOOKUP(E322,FD:FP,13,0)="B"), "OK",IF(AND(OR(Planilla!B322="B", Planilla!B322="BPAL"), VLOOKUP(E322,FD:FP,13,0)="A"), "DEFICIT",IF(AND(OR(Planilla!B322="B", Planilla!B322="BPAL"), VLOOKUP(E322,FD:FP,13,0)="C"), "SOBREOFERTA",IF(AND(Planilla!B322="A", VLOOKUP(E322,FD:FP,13,0)="A"), "OK",IF(
AND(Planilla!B322="A", OR(VLOOKUP(E322,FD:FP,13,0)="B", VLOOKUP(E322,FD:FP,13,0)="C")), "SOBREOFERTA",""
))))))),"")</f>
        <v/>
      </c>
      <c r="E322" s="8" t="n"/>
      <c r="F322" s="86" t="n"/>
      <c r="G322" s="87" t="n"/>
      <c r="H322" s="88">
        <f>IF(I322="","",IF(AND((I322-G322)&gt;=TIME(0,0,0),(I322-G322)&lt;TIME(0,3,0)),"OK",IF(AND((I322-G322)&gt;=TIME(0,3,0),(I322-G322)&lt;TIME(0,5,0)),"RETRASO DE 3-5 MIN",IF(AND((I322-G322)&gt;=TIME(0,5,0),(I322-G322)&lt;TIME(0,10,0)),"RETRASO DE 5-10 MIN",IF((I322-G322)&gt;=TIME(0,10,0),"RETRASO &gt;10 MIN", IF(AND((G322-I322)&gt;=TIME(0,0,0),(G322-I322)&lt;TIME(0,3,0)),"OK",IF((G322-I322)&gt;=TIME(0,3,0),"ADELANTADO")))))))</f>
        <v/>
      </c>
      <c r="I322" s="89" t="n"/>
      <c r="J322" s="89">
        <f>IF(A322&lt;&gt;"",HLOOKUP(VALUE(TEXT(G322,"h:mm:ss")),IF($C$6="Laboral",$FZ$4:$GX$227,IF($C$6="Sábado",$FZ$231:$GX$452,$FZ$456:$GX$656)),VLOOKUP($C$4,$HF$2:$HH$99,3,0)+IF(C$5="Ida",0,1),1),"")</f>
        <v/>
      </c>
      <c r="K322" s="89">
        <f>IF(A323&lt;&gt;A322,AVERAGEIF(A$9:A322,A322,J$9:J322),"")</f>
        <v/>
      </c>
      <c r="L322" s="89">
        <f>IFERROR(IF(A323&lt;&gt;A322,AVERAGEIF(A$9:A322,A322,S$9:S322),""),"")</f>
        <v/>
      </c>
      <c r="M322" s="89">
        <f>IFERROR(IF(A323&lt;&gt;A322,AVERAGEIF(A$9:A322,A322,T$9:T322),""),"")</f>
        <v/>
      </c>
      <c r="N322" s="89">
        <f t="array" ref="N322">IFERROR(IF(A323&lt;&gt;A322,_xlfn.STDEV.P(IF(A$9:A322=A322,T$9:T322)),""),"")</f>
        <v/>
      </c>
      <c r="O322" s="89">
        <f t="array" ref="O322">IFERROR(IF(A323&lt;&gt;A322,_xlfn.STDEV.P(IF(A$9:A322=A322,S$9:S322)),""),"")</f>
        <v/>
      </c>
      <c r="P322" s="90">
        <f>IFERROR(IF(A322&lt;&gt;A323,MAX((((M322*24*60)/2)*(1+POWER((((N322*24*60) / (M322*24*60) )),2))) + ((M322*24*60 )*-0.1 + (K322*0.015)) +1,(((M322*24*60)/2)*(1+POWER((((N322*24*60) / (M322*24*60 ))),2)))),""),"")</f>
        <v/>
      </c>
      <c r="Q322" s="90">
        <f>IF(AND(O322&lt;&gt;"",L322&lt;&gt;""),IF(A322&lt;&gt;A323,((L322*24*60) / 2 ) * (1 + POWER(((O322*24*60) / (L322*24*60)),2)),""),"")</f>
        <v/>
      </c>
      <c r="R322" s="90">
        <f>IF(Q322&lt;&gt;"",MAX(P322,Q322),"")</f>
        <v/>
      </c>
      <c r="S322" s="89">
        <f>IF(I322&lt;&gt;"H. Sale Real",IF(AND(I323&lt;&gt;"",LEFT(C323,2)&lt;&gt;"Va"),IF(AND(I322&lt;&gt;"",LEFT(C322,2)&lt;&gt;"Va",I322&lt;&gt;"H. Sale Real"),IF(I323-I322&lt;0.208333333333333,I323-I322,""),IF(AND(I321&lt;&gt;"",LEFT(C321,2)&lt;&gt;"Va",I321&lt;&gt;"H. Sale Real"),IF(I323-I321&lt;0.208333333333333,I323-I321,""),IF(AND(I320&lt;&gt;"",LEFT(C320,2)&lt;&gt;"Va",I320&lt;&gt;"H. Sale Real"),IF(I323-I320&lt;0.208333333333333,I323-I320,""),IF(AND(I319&lt;&gt;"",LEFT(C319,2)&lt;&gt;"Va",I319&lt;&gt;"H. Sale Real"),IF(I323-I319&lt;0.208333333333333,I323-I319,""),IF(AND(I318&lt;&gt;"",LEFT(C318,2)&lt;&gt;"Va",I318&lt;&gt;"H. Sale Real"),IF(I323-I318&lt;0.208333333333333,I323-I318,""),""))))),""),"")</f>
        <v/>
      </c>
      <c r="T322" s="89">
        <f>IF(G322&lt;&gt;"H. Sale Real",IF(AND(G323&lt;&gt;"",LEFT(C323,2)&lt;&gt;"Va"),IF(AND(G322&lt;&gt;"",LEFT(C322,2)&lt;&gt;"Va",G322&lt;&gt;"H. Sale Real"),IF(G323-G322&lt;0.208333333333333,G323-G322,""),IF(AND(G321&lt;&gt;"",LEFT(C321,2)&lt;&gt;"Va",G321&lt;&gt;"H. Sale Real"),IF(G323-G321&lt;0.208333333333333,G323-G321,""),IF(AND(G320&lt;&gt;"",LEFT(C320,2)&lt;&gt;"Va",G320&lt;&gt;"H. Sale Real"),IF(G323-G320&lt;0.208333333333333,G323-G320,""),IF(AND(G319&lt;&gt;"",LEFT(C319,2)&lt;&gt;"Va",G319&lt;&gt;"H. Sale Real"),IF(G323-G319&lt;0.208333333333333,G323-G319,""),IF(AND(G318&lt;&gt;"",LEFT(C318,2)&lt;&gt;"Va",G318&lt;&gt;"H. Sale Real"),IF(G323-G318&lt;0.208333333333333,G323-G318,""),""))))),""),"")</f>
        <v/>
      </c>
      <c r="U322" s="87" t="n"/>
      <c r="V322" s="89" t="n"/>
      <c r="W322" s="87" t="n"/>
      <c r="X322" s="89" t="n"/>
      <c r="Y322" s="91" t="n"/>
      <c r="Z322" s="122">
        <f>IF(G322&lt;&gt;"",IF(AND(Z321&lt;&gt;"IE",P322&lt;&gt;0,R322&lt;&gt;""),IF(IFERROR((P322/R322),0) &lt;=1,IFERROR(P322/R322,""),1),""),"")</f>
        <v/>
      </c>
      <c r="AA322" s="93" t="n"/>
      <c r="AB322" s="2" t="n"/>
      <c r="AE322" s="10">
        <f>HOUR(AK322)+1</f>
        <v/>
      </c>
      <c r="AF322" s="7" t="n"/>
      <c r="AG322" s="7" t="n"/>
      <c r="AH322" s="86" t="n"/>
      <c r="AI322" s="8" t="n"/>
      <c r="AJ322" s="86" t="n"/>
      <c r="AK322" s="87" t="n"/>
      <c r="AL322" s="88">
        <f>IF(AM322="","",IF(AND((AM322-AK322)&gt;=TIME(0,0,0),(AM322-AK322)&lt;TIME(0,3,0)),"OK",IF(AND((AM322-AK322)&gt;=TIME(0,3,0),(AM322-AK322)&lt;TIME(0,5,0)),"RETRASO DE 3-5 MIN",IF(AND((AM322-AK322)&gt;=TIME(0,5,0),(AM322-AK322)&lt;TIME(0,10,0)),"RETRASO DE 5-10 MIN",IF((AM322-AK322)&gt;=TIME(0,10,0),"RETRASO &gt;10 MIN", IF(AND((AK322-AM322)&gt;=TIME(0,0,0),(AK322-AM322)&lt;TIME(0,3,0)),"OK",IF((AK322-AM322)&gt;=TIME(0,3,0),"ADELANTADO")))))))</f>
        <v/>
      </c>
      <c r="AM322" s="91" t="n"/>
      <c r="AN322" s="89">
        <f>IF(AE322&lt;&gt;"",HLOOKUP(VALUE(TEXT(AK322,"h:mm:ss")),IF($C$6="Laboral",$FZ$4:$GX$227,IF($C$6="Sábado",$FZ$231:$GX$452,$FZ$456:$GX$656)),VLOOKUP($C$4,$HF$2:$HH$99,3,0)+IF(AG$5="Ida",0,1),1),"")</f>
        <v/>
      </c>
      <c r="AO322" s="89">
        <f>IF(AE323&lt;&gt;AE322,AVERAGEIF(AE$9:AE322,AE322,AN$9:AN322),"")</f>
        <v/>
      </c>
      <c r="AP322" s="89">
        <f>IFERROR(IF(AE323&lt;&gt;AE322,AVERAGEIF(AE$9:AE322,AE322,AW$9:AW322),""),"")</f>
        <v/>
      </c>
      <c r="AQ322" s="89">
        <f>IFERROR(IF(AE323&lt;&gt;AE322,AVERAGEIF(AE$9:AE322,AE322,AX$9:AX322),""),"")</f>
        <v/>
      </c>
      <c r="AR322" s="89">
        <f t="array" ref="AR322">IFERROR(IF(AE323&lt;&gt;AE322,_xlfn.STDEV.P(IF(AE$9:AE322=AE322,AX$9:AX322)),""),"")</f>
        <v/>
      </c>
      <c r="AS322" s="89">
        <f t="array" ref="AS322">IFERROR(IF(AE323&lt;&gt;AE322,_xlfn.STDEV.P(IF(AE$9:AE322=AE322,AW$9:AW322)),""),"")</f>
        <v/>
      </c>
      <c r="AT322" s="90">
        <f>IFERROR(IF(AE322&lt;&gt;AE323,MAX((((AQ322*24*60)/2)*(1+POWER((((AR322*24*60) / (AQ322*24*60) )),2))) + ((AQ322*24*60 )*-0.1 + (AO322*0.015)) +1,(((AQ322*24*60)/2)*(1+POWER((((AR322*24*60) / (AQ322*24*60 ))),2)))),""),"")</f>
        <v/>
      </c>
      <c r="AU322" s="90">
        <f>IF(AND(AS322&lt;&gt;"",AP322&lt;&gt;""),IF(AE322&lt;&gt;AE323,((AP322*24*60) / 2 ) * (1 + POWER(((AS322*24*60) / (AP322*24*60)),2)),""),"")</f>
        <v/>
      </c>
      <c r="AV322" s="90">
        <f>IF(AU322&lt;&gt;"",MAX(AT322,AU322),"")</f>
        <v/>
      </c>
      <c r="AW322" s="89">
        <f>IF(AM322&lt;&gt;"H. Sale Real",IF(AND(AM323&lt;&gt;"",LEFT(AG323,2)&lt;&gt;"Va"),IF(AND(AM322&lt;&gt;"",LEFT(AG322,2)&lt;&gt;"Va",AM322&lt;&gt;"H. Sale Real"),IF(AM323-AM322&lt;0.208333333333333,AM323-AM322,""),IF(AND(AM321&lt;&gt;"",LEFT(AG321,2)&lt;&gt;"Va",AM321&lt;&gt;"H. Sale Real"),IF(AM323-AM321&lt;0.208333333333333,AM323-AM321,""),IF(AND(AM320&lt;&gt;"",LEFT(AG320,2)&lt;&gt;"Va",AM320&lt;&gt;"H. Sale Real"),IF(AM323-AM320&lt;0.208333333333333,AM323-AM320,""),IF(AND(AM319&lt;&gt;"",LEFT(AG319,2)&lt;&gt;"Va",AM319&lt;&gt;"H. Sale Real"),IF(AM323-AM319&lt;0.208333333333333,AM323-AM319,""),IF(AND(AM318&lt;&gt;"",LEFT(AG318,2)&lt;&gt;"Va",AM318&lt;&gt;"H. Sale Real"),IF(AM323-AM318&lt;0.208333333333333,AM323-AM318,""),""))))),""),"")</f>
        <v/>
      </c>
      <c r="AX322" s="89">
        <f>IF(AK322&lt;&gt;"H. Sale Real",IF(AND(AK323&lt;&gt;"",LEFT(AG323,2)&lt;&gt;"Va"),IF(AND(AK322&lt;&gt;"",LEFT(AG322,2)&lt;&gt;"Va",AK322&lt;&gt;"H. Sale Real"),IF(AK323-AK322&lt;0.208333333333333,AK323-AK322,""),IF(AND(AK321&lt;&gt;"",LEFT(AG321,2)&lt;&gt;"Va",AK321&lt;&gt;"H. Sale Real"),IF(AK323-AK321&lt;0.208333333333333,AK323-AK321,""),IF(AND(AK320&lt;&gt;"",LEFT(AG320,2)&lt;&gt;"NC",AK320&lt;&gt;"H. Sale Real"),IF(AK323-AK320&lt;0.208333333333333,AK323-AK320,""),IF(AND(AK319&lt;&gt;"",LEFT(AG319,2)&lt;&gt;"Va",AK319&lt;&gt;"H. Sale Real"),IF(AK323-AK319&lt;0.208333333333333,AK323-AK319,""),IF(AND(AK318&lt;&gt;"",LEFT(AG318,2)&lt;&gt;"Va",AK318&lt;&gt;"H. Sale Real"),IF(AK323-AK318&lt;0.208333333333333,AK323-AK318,""),""))))),""),"")</f>
        <v/>
      </c>
      <c r="AY322" s="87" t="n"/>
      <c r="AZ322" s="89" t="n"/>
      <c r="BA322" s="87" t="n"/>
      <c r="BB322" s="89" t="n"/>
      <c r="BC322" s="91" t="n"/>
      <c r="BD322" s="122">
        <f>IF(AK322&lt;&gt;"",IF(AND(BD321&lt;&gt;"IE",AT322&lt;&gt;0,AV322&lt;&gt;""),IF(IFERROR((AT322/AV322),0) &lt;=1,IFERROR(AT322/AV322,""),1),""),"")</f>
        <v/>
      </c>
      <c r="BE322" s="93" t="n"/>
      <c r="BF322" s="105" t="n"/>
      <c r="FC322" t="inlineStr">
        <is>
          <t>Diccionario 1</t>
        </is>
      </c>
      <c r="FD322" s="15" t="n">
        <v>1321</v>
      </c>
      <c r="FE322" s="15" t="inlineStr">
        <is>
          <t>MDN35025020031</t>
        </is>
      </c>
      <c r="FF322" s="15" t="inlineStr">
        <is>
          <t>LDYECS319S0044049</t>
        </is>
      </c>
      <c r="FG322" s="15" t="inlineStr">
        <is>
          <t>Zhong Tong</t>
        </is>
      </c>
      <c r="FH322" s="15" t="inlineStr">
        <is>
          <t>Lck6122evg</t>
        </is>
      </c>
      <c r="FI322" s="15" t="inlineStr">
        <is>
          <t>ZHONGTONG</t>
        </is>
      </c>
      <c r="FJ322" s="15" t="inlineStr">
        <is>
          <t>LCK6122EVG</t>
        </is>
      </c>
      <c r="FK322" s="15" t="n">
        <v>2025</v>
      </c>
      <c r="FL322" s="15" t="inlineStr">
        <is>
          <t>B</t>
        </is>
      </c>
      <c r="FM322" s="15" t="inlineStr">
        <is>
          <t>PIE ANDINO</t>
        </is>
      </c>
      <c r="FN322" s="15" t="inlineStr">
        <is>
          <t>Pie Andino 31 (Pie Andino 383)</t>
        </is>
      </c>
      <c r="FO322" s="15" t="inlineStr">
        <is>
          <t>Puente Alto</t>
        </is>
      </c>
      <c r="FP322" t="inlineStr">
        <is>
          <t>B</t>
        </is>
      </c>
      <c r="FS322" s="14" t="inlineStr">
        <is>
          <t>3082 / SFWZ-56|</t>
        </is>
      </c>
      <c r="FT322" t="inlineStr">
        <is>
          <t>SFWZ-56|</t>
        </is>
      </c>
      <c r="FU322" t="inlineStr">
        <is>
          <t>SFWZ-56</t>
        </is>
      </c>
      <c r="FV322">
        <f>VLOOKUP(FU322,FD:FL,9,0)</f>
        <v/>
      </c>
      <c r="HA322" s="35" t="n">
        <v>92</v>
      </c>
      <c r="HB322" s="35" t="n">
        <v>316</v>
      </c>
    </row>
    <row r="323" ht="15.5" customHeight="1">
      <c r="A323" s="10">
        <f>HOUR(G323)+1</f>
        <v/>
      </c>
      <c r="B323" s="7" t="n"/>
      <c r="C323" s="7" t="n"/>
      <c r="D323" s="85">
        <f>IFERROR(
IF(AND(OR(Planilla!B323="C",Planilla!B323="c"), VLOOKUP(E323,FD:FP,13,0)="C"), "OK",IF(AND(OR(Planilla!B323="C",Planilla!B323="c"), OR(VLOOKUP(E323,FD:FP,13,0)="B", VLOOKUP(E323,FD:FP,13,0)="A")), "DEFICIT",IF(
AND(OR(Planilla!B323="B", Planilla!B323="BPAL"), VLOOKUP(E323,FD:FP,13,0)="B"), "OK",IF(AND(OR(Planilla!B323="B", Planilla!B323="BPAL"), VLOOKUP(E323,FD:FP,13,0)="A"), "DEFICIT",IF(AND(OR(Planilla!B323="B", Planilla!B323="BPAL"), VLOOKUP(E323,FD:FP,13,0)="C"), "SOBREOFERTA",IF(AND(Planilla!B323="A", VLOOKUP(E323,FD:FP,13,0)="A"), "OK",IF(
AND(Planilla!B323="A", OR(VLOOKUP(E323,FD:FP,13,0)="B", VLOOKUP(E323,FD:FP,13,0)="C")), "SOBREOFERTA",""
))))))),"")</f>
        <v/>
      </c>
      <c r="E323" s="8" t="n"/>
      <c r="F323" s="86" t="n"/>
      <c r="G323" s="87" t="n"/>
      <c r="H323" s="88">
        <f>IF(I323="","",IF(AND((I323-G323)&gt;=TIME(0,0,0),(I323-G323)&lt;TIME(0,3,0)),"OK",IF(AND((I323-G323)&gt;=TIME(0,3,0),(I323-G323)&lt;TIME(0,5,0)),"RETRASO DE 3-5 MIN",IF(AND((I323-G323)&gt;=TIME(0,5,0),(I323-G323)&lt;TIME(0,10,0)),"RETRASO DE 5-10 MIN",IF((I323-G323)&gt;=TIME(0,10,0),"RETRASO &gt;10 MIN", IF(AND((G323-I323)&gt;=TIME(0,0,0),(G323-I323)&lt;TIME(0,3,0)),"OK",IF((G323-I323)&gt;=TIME(0,3,0),"ADELANTADO")))))))</f>
        <v/>
      </c>
      <c r="I323" s="89" t="n"/>
      <c r="J323" s="89">
        <f>IF(A323&lt;&gt;"",HLOOKUP(VALUE(TEXT(G323,"h:mm:ss")),IF($C$6="Laboral",$FZ$4:$GX$227,IF($C$6="Sábado",$FZ$231:$GX$452,$FZ$456:$GX$656)),VLOOKUP($C$4,$HF$2:$HH$99,3,0)+IF(C$5="Ida",0,1),1),"")</f>
        <v/>
      </c>
      <c r="K323" s="89">
        <f>IF(A324&lt;&gt;A323,AVERAGEIF(A$9:A323,A323,J$9:J323),"")</f>
        <v/>
      </c>
      <c r="L323" s="89">
        <f>IFERROR(IF(A324&lt;&gt;A323,AVERAGEIF(A$9:A323,A323,S$9:S323),""),"")</f>
        <v/>
      </c>
      <c r="M323" s="89">
        <f>IFERROR(IF(A324&lt;&gt;A323,AVERAGEIF(A$9:A323,A323,T$9:T323),""),"")</f>
        <v/>
      </c>
      <c r="N323" s="89">
        <f t="array" ref="N323">IFERROR(IF(A324&lt;&gt;A323,_xlfn.STDEV.P(IF(A$9:A323=A323,T$9:T323)),""),"")</f>
        <v/>
      </c>
      <c r="O323" s="89">
        <f t="array" ref="O323">IFERROR(IF(A324&lt;&gt;A323,_xlfn.STDEV.P(IF(A$9:A323=A323,S$9:S323)),""),"")</f>
        <v/>
      </c>
      <c r="P323" s="90">
        <f>IFERROR(IF(A323&lt;&gt;A324,MAX((((M323*24*60)/2)*(1+POWER((((N323*24*60) / (M323*24*60) )),2))) + ((M323*24*60 )*-0.1 + (K323*0.015)) +1,(((M323*24*60)/2)*(1+POWER((((N323*24*60) / (M323*24*60 ))),2)))),""),"")</f>
        <v/>
      </c>
      <c r="Q323" s="90">
        <f>IF(AND(O323&lt;&gt;"",L323&lt;&gt;""),IF(A323&lt;&gt;A324,((L323*24*60) / 2 ) * (1 + POWER(((O323*24*60) / (L323*24*60)),2)),""),"")</f>
        <v/>
      </c>
      <c r="R323" s="90">
        <f>IF(Q323&lt;&gt;"",MAX(P323,Q323),"")</f>
        <v/>
      </c>
      <c r="S323" s="89">
        <f>IF(I323&lt;&gt;"H. Sale Real",IF(AND(I324&lt;&gt;"",LEFT(C324,2)&lt;&gt;"Va"),IF(AND(I323&lt;&gt;"",LEFT(C323,2)&lt;&gt;"Va",I323&lt;&gt;"H. Sale Real"),IF(I324-I323&lt;0.208333333333333,I324-I323,""),IF(AND(I322&lt;&gt;"",LEFT(C322,2)&lt;&gt;"Va",I322&lt;&gt;"H. Sale Real"),IF(I324-I322&lt;0.208333333333333,I324-I322,""),IF(AND(I321&lt;&gt;"",LEFT(C321,2)&lt;&gt;"Va",I321&lt;&gt;"H. Sale Real"),IF(I324-I321&lt;0.208333333333333,I324-I321,""),IF(AND(I320&lt;&gt;"",LEFT(C320,2)&lt;&gt;"Va",I320&lt;&gt;"H. Sale Real"),IF(I324-I320&lt;0.208333333333333,I324-I320,""),IF(AND(I319&lt;&gt;"",LEFT(C319,2)&lt;&gt;"Va",I319&lt;&gt;"H. Sale Real"),IF(I324-I319&lt;0.208333333333333,I324-I319,""),""))))),""),"")</f>
        <v/>
      </c>
      <c r="T323" s="89">
        <f>IF(G323&lt;&gt;"H. Sale Real",IF(AND(G324&lt;&gt;"",LEFT(C324,2)&lt;&gt;"Va"),IF(AND(G323&lt;&gt;"",LEFT(C323,2)&lt;&gt;"Va",G323&lt;&gt;"H. Sale Real"),IF(G324-G323&lt;0.208333333333333,G324-G323,""),IF(AND(G322&lt;&gt;"",LEFT(C322,2)&lt;&gt;"Va",G322&lt;&gt;"H. Sale Real"),IF(G324-G322&lt;0.208333333333333,G324-G322,""),IF(AND(G321&lt;&gt;"",LEFT(C321,2)&lt;&gt;"Va",G321&lt;&gt;"H. Sale Real"),IF(G324-G321&lt;0.208333333333333,G324-G321,""),IF(AND(G320&lt;&gt;"",LEFT(C320,2)&lt;&gt;"Va",G320&lt;&gt;"H. Sale Real"),IF(G324-G320&lt;0.208333333333333,G324-G320,""),IF(AND(G319&lt;&gt;"",LEFT(C319,2)&lt;&gt;"Va",G319&lt;&gt;"H. Sale Real"),IF(G324-G319&lt;0.208333333333333,G324-G319,""),""))))),""),"")</f>
        <v/>
      </c>
      <c r="U323" s="87" t="n"/>
      <c r="V323" s="89" t="n"/>
      <c r="W323" s="87" t="n"/>
      <c r="X323" s="89" t="n"/>
      <c r="Y323" s="91" t="n"/>
      <c r="Z323" s="122">
        <f>IF(G323&lt;&gt;"",IF(AND(Z322&lt;&gt;"IE",P323&lt;&gt;0,R323&lt;&gt;""),IF(IFERROR((P323/R323),0) &lt;=1,IFERROR(P323/R323,""),1),""),"")</f>
        <v/>
      </c>
      <c r="AA323" s="93" t="n"/>
      <c r="AB323" s="2" t="n"/>
      <c r="AE323" s="10">
        <f>HOUR(AK323)+1</f>
        <v/>
      </c>
      <c r="AF323" s="7" t="n"/>
      <c r="AG323" s="7" t="n"/>
      <c r="AH323" s="86" t="n"/>
      <c r="AI323" s="8" t="n"/>
      <c r="AJ323" s="86" t="n"/>
      <c r="AK323" s="87" t="n"/>
      <c r="AL323" s="88">
        <f>IF(AM323="","",IF(AND((AM323-AK323)&gt;=TIME(0,0,0),(AM323-AK323)&lt;TIME(0,3,0)),"OK",IF(AND((AM323-AK323)&gt;=TIME(0,3,0),(AM323-AK323)&lt;TIME(0,5,0)),"RETRASO DE 3-5 MIN",IF(AND((AM323-AK323)&gt;=TIME(0,5,0),(AM323-AK323)&lt;TIME(0,10,0)),"RETRASO DE 5-10 MIN",IF((AM323-AK323)&gt;=TIME(0,10,0),"RETRASO &gt;10 MIN", IF(AND((AK323-AM323)&gt;=TIME(0,0,0),(AK323-AM323)&lt;TIME(0,3,0)),"OK",IF((AK323-AM323)&gt;=TIME(0,3,0),"ADELANTADO")))))))</f>
        <v/>
      </c>
      <c r="AM323" s="91" t="n"/>
      <c r="AN323" s="89">
        <f>IF(AE323&lt;&gt;"",HLOOKUP(VALUE(TEXT(AK323,"h:mm:ss")),IF($C$6="Laboral",$FZ$4:$GX$227,IF($C$6="Sábado",$FZ$231:$GX$452,$FZ$456:$GX$656)),VLOOKUP($C$4,$HF$2:$HH$99,3,0)+IF(AG$5="Ida",0,1),1),"")</f>
        <v/>
      </c>
      <c r="AO323" s="89">
        <f>IF(AE324&lt;&gt;AE323,AVERAGEIF(AE$9:AE323,AE323,AN$9:AN323),"")</f>
        <v/>
      </c>
      <c r="AP323" s="89">
        <f>IFERROR(IF(AE324&lt;&gt;AE323,AVERAGEIF(AE$9:AE323,AE323,AW$9:AW323),""),"")</f>
        <v/>
      </c>
      <c r="AQ323" s="89">
        <f>IFERROR(IF(AE324&lt;&gt;AE323,AVERAGEIF(AE$9:AE323,AE323,AX$9:AX323),""),"")</f>
        <v/>
      </c>
      <c r="AR323" s="89">
        <f t="array" ref="AR323">IFERROR(IF(AE324&lt;&gt;AE323,_xlfn.STDEV.P(IF(AE$9:AE323=AE323,AX$9:AX323)),""),"")</f>
        <v/>
      </c>
      <c r="AS323" s="89">
        <f t="array" ref="AS323">IFERROR(IF(AE324&lt;&gt;AE323,_xlfn.STDEV.P(IF(AE$9:AE323=AE323,AW$9:AW323)),""),"")</f>
        <v/>
      </c>
      <c r="AT323" s="90">
        <f>IFERROR(IF(AE323&lt;&gt;AE324,MAX((((AQ323*24*60)/2)*(1+POWER((((AR323*24*60) / (AQ323*24*60) )),2))) + ((AQ323*24*60 )*-0.1 + (AO323*0.015)) +1,(((AQ323*24*60)/2)*(1+POWER((((AR323*24*60) / (AQ323*24*60 ))),2)))),""),"")</f>
        <v/>
      </c>
      <c r="AU323" s="90">
        <f>IF(AND(AS323&lt;&gt;"",AP323&lt;&gt;""),IF(AE323&lt;&gt;AE324,((AP323*24*60) / 2 ) * (1 + POWER(((AS323*24*60) / (AP323*24*60)),2)),""),"")</f>
        <v/>
      </c>
      <c r="AV323" s="90">
        <f>IF(AU323&lt;&gt;"",MAX(AT323,AU323),"")</f>
        <v/>
      </c>
      <c r="AW323" s="89">
        <f>IF(AM323&lt;&gt;"H. Sale Real",IF(AND(AM324&lt;&gt;"",LEFT(AG324,2)&lt;&gt;"Va"),IF(AND(AM323&lt;&gt;"",LEFT(AG323,2)&lt;&gt;"Va",AM323&lt;&gt;"H. Sale Real"),IF(AM324-AM323&lt;0.208333333333333,AM324-AM323,""),IF(AND(AM322&lt;&gt;"",LEFT(AG322,2)&lt;&gt;"Va",AM322&lt;&gt;"H. Sale Real"),IF(AM324-AM322&lt;0.208333333333333,AM324-AM322,""),IF(AND(AM321&lt;&gt;"",LEFT(AG321,2)&lt;&gt;"Va",AM321&lt;&gt;"H. Sale Real"),IF(AM324-AM321&lt;0.208333333333333,AM324-AM321,""),IF(AND(AM320&lt;&gt;"",LEFT(AG320,2)&lt;&gt;"Va",AM320&lt;&gt;"H. Sale Real"),IF(AM324-AM320&lt;0.208333333333333,AM324-AM320,""),IF(AND(AM319&lt;&gt;"",LEFT(AG319,2)&lt;&gt;"Va",AM319&lt;&gt;"H. Sale Real"),IF(AM324-AM319&lt;0.208333333333333,AM324-AM319,""),""))))),""),"")</f>
        <v/>
      </c>
      <c r="AX323" s="89">
        <f>IF(AK323&lt;&gt;"H. Sale Real",IF(AND(AK324&lt;&gt;"",LEFT(AG324,2)&lt;&gt;"Va"),IF(AND(AK323&lt;&gt;"",LEFT(AG323,2)&lt;&gt;"Va",AK323&lt;&gt;"H. Sale Real"),IF(AK324-AK323&lt;0.208333333333333,AK324-AK323,""),IF(AND(AK322&lt;&gt;"",LEFT(AG322,2)&lt;&gt;"Va",AK322&lt;&gt;"H. Sale Real"),IF(AK324-AK322&lt;0.208333333333333,AK324-AK322,""),IF(AND(AK321&lt;&gt;"",LEFT(AG321,2)&lt;&gt;"NC",AK321&lt;&gt;"H. Sale Real"),IF(AK324-AK321&lt;0.208333333333333,AK324-AK321,""),IF(AND(AK320&lt;&gt;"",LEFT(AG320,2)&lt;&gt;"Va",AK320&lt;&gt;"H. Sale Real"),IF(AK324-AK320&lt;0.208333333333333,AK324-AK320,""),IF(AND(AK319&lt;&gt;"",LEFT(AG319,2)&lt;&gt;"Va",AK319&lt;&gt;"H. Sale Real"),IF(AK324-AK319&lt;0.208333333333333,AK324-AK319,""),""))))),""),"")</f>
        <v/>
      </c>
      <c r="AY323" s="87" t="n"/>
      <c r="AZ323" s="89" t="n"/>
      <c r="BA323" s="87" t="n"/>
      <c r="BB323" s="89" t="n"/>
      <c r="BC323" s="91" t="n"/>
      <c r="BD323" s="122">
        <f>IF(AK323&lt;&gt;"",IF(AND(BD322&lt;&gt;"IE",AT323&lt;&gt;0,AV323&lt;&gt;""),IF(IFERROR((AT323/AV323),0) &lt;=1,IFERROR(AT323/AV323,""),1),""),"")</f>
        <v/>
      </c>
      <c r="BE323" s="93" t="n"/>
      <c r="BF323" s="105" t="n"/>
      <c r="FC323" t="inlineStr">
        <is>
          <t>Diccionario 1</t>
        </is>
      </c>
      <c r="FD323" s="15" t="n">
        <v>1322</v>
      </c>
      <c r="FE323" s="15" t="inlineStr">
        <is>
          <t>MDN35025020072</t>
        </is>
      </c>
      <c r="FF323" s="15" t="inlineStr">
        <is>
          <t>LDYECS317S0044051</t>
        </is>
      </c>
      <c r="FG323" s="15" t="inlineStr">
        <is>
          <t>Zhong Tong</t>
        </is>
      </c>
      <c r="FH323" s="15" t="inlineStr">
        <is>
          <t>Lck6122evg</t>
        </is>
      </c>
      <c r="FI323" s="15" t="inlineStr">
        <is>
          <t>ZHONGTONG</t>
        </is>
      </c>
      <c r="FJ323" s="15" t="inlineStr">
        <is>
          <t>LCK6122EVG</t>
        </is>
      </c>
      <c r="FK323" s="15" t="n">
        <v>2025</v>
      </c>
      <c r="FL323" s="15" t="inlineStr">
        <is>
          <t>B</t>
        </is>
      </c>
      <c r="FM323" s="15" t="inlineStr">
        <is>
          <t>PIE ANDINO</t>
        </is>
      </c>
      <c r="FN323" s="15" t="inlineStr">
        <is>
          <t>Pie Andino 31 (Pie Andino 383)</t>
        </is>
      </c>
      <c r="FO323" s="15" t="inlineStr">
        <is>
          <t>Puente Alto</t>
        </is>
      </c>
      <c r="FP323" t="inlineStr">
        <is>
          <t>B</t>
        </is>
      </c>
      <c r="FS323" s="14" t="inlineStr">
        <is>
          <t>3083 / SFWZ-70|</t>
        </is>
      </c>
      <c r="FT323" t="inlineStr">
        <is>
          <t>SFWZ-70|</t>
        </is>
      </c>
      <c r="FU323" t="inlineStr">
        <is>
          <t>SFWZ-70</t>
        </is>
      </c>
      <c r="FV323">
        <f>VLOOKUP(FU323,FD:FL,9,0)</f>
        <v/>
      </c>
      <c r="HA323" s="35" t="n">
        <v>93</v>
      </c>
      <c r="HB323" s="35" t="n">
        <v>317</v>
      </c>
    </row>
    <row r="324" ht="15.5" customHeight="1">
      <c r="A324" s="10">
        <f>HOUR(G324)+1</f>
        <v/>
      </c>
      <c r="B324" s="7" t="n"/>
      <c r="C324" s="7" t="n"/>
      <c r="D324" s="85">
        <f>IFERROR(
IF(AND(OR(Planilla!B324="C",Planilla!B324="c"), VLOOKUP(E324,FD:FP,13,0)="C"), "OK",IF(AND(OR(Planilla!B324="C",Planilla!B324="c"), OR(VLOOKUP(E324,FD:FP,13,0)="B", VLOOKUP(E324,FD:FP,13,0)="A")), "DEFICIT",IF(
AND(OR(Planilla!B324="B", Planilla!B324="BPAL"), VLOOKUP(E324,FD:FP,13,0)="B"), "OK",IF(AND(OR(Planilla!B324="B", Planilla!B324="BPAL"), VLOOKUP(E324,FD:FP,13,0)="A"), "DEFICIT",IF(AND(OR(Planilla!B324="B", Planilla!B324="BPAL"), VLOOKUP(E324,FD:FP,13,0)="C"), "SOBREOFERTA",IF(AND(Planilla!B324="A", VLOOKUP(E324,FD:FP,13,0)="A"), "OK",IF(
AND(Planilla!B324="A", OR(VLOOKUP(E324,FD:FP,13,0)="B", VLOOKUP(E324,FD:FP,13,0)="C")), "SOBREOFERTA",""
))))))),"")</f>
        <v/>
      </c>
      <c r="E324" s="8" t="n"/>
      <c r="F324" s="86" t="n"/>
      <c r="G324" s="87" t="n"/>
      <c r="H324" s="88">
        <f>IF(I324="","",IF(AND((I324-G324)&gt;=TIME(0,0,0),(I324-G324)&lt;TIME(0,3,0)),"OK",IF(AND((I324-G324)&gt;=TIME(0,3,0),(I324-G324)&lt;TIME(0,5,0)),"RETRASO DE 3-5 MIN",IF(AND((I324-G324)&gt;=TIME(0,5,0),(I324-G324)&lt;TIME(0,10,0)),"RETRASO DE 5-10 MIN",IF((I324-G324)&gt;=TIME(0,10,0),"RETRASO &gt;10 MIN", IF(AND((G324-I324)&gt;=TIME(0,0,0),(G324-I324)&lt;TIME(0,3,0)),"OK",IF((G324-I324)&gt;=TIME(0,3,0),"ADELANTADO")))))))</f>
        <v/>
      </c>
      <c r="I324" s="89" t="n"/>
      <c r="J324" s="89">
        <f>IF(A324&lt;&gt;"",HLOOKUP(VALUE(TEXT(G324,"h:mm:ss")),IF($C$6="Laboral",$FZ$4:$GX$227,IF($C$6="Sábado",$FZ$231:$GX$452,$FZ$456:$GX$656)),VLOOKUP($C$4,$HF$2:$HH$99,3,0)+IF(C$5="Ida",0,1),1),"")</f>
        <v/>
      </c>
      <c r="K324" s="89">
        <f>IF(A325&lt;&gt;A324,AVERAGEIF(A$9:A324,A324,J$9:J324),"")</f>
        <v/>
      </c>
      <c r="L324" s="89">
        <f>IFERROR(IF(A325&lt;&gt;A324,AVERAGEIF(A$9:A324,A324,S$9:S324),""),"")</f>
        <v/>
      </c>
      <c r="M324" s="89">
        <f>IFERROR(IF(A325&lt;&gt;A324,AVERAGEIF(A$9:A324,A324,T$9:T324),""),"")</f>
        <v/>
      </c>
      <c r="N324" s="89">
        <f t="array" ref="N324">IFERROR(IF(A325&lt;&gt;A324,_xlfn.STDEV.P(IF(A$9:A324=A324,T$9:T324)),""),"")</f>
        <v/>
      </c>
      <c r="O324" s="89">
        <f t="array" ref="O324">IFERROR(IF(A325&lt;&gt;A324,_xlfn.STDEV.P(IF(A$9:A324=A324,S$9:S324)),""),"")</f>
        <v/>
      </c>
      <c r="P324" s="90">
        <f>IFERROR(IF(A324&lt;&gt;A325,MAX((((M324*24*60)/2)*(1+POWER((((N324*24*60) / (M324*24*60) )),2))) + ((M324*24*60 )*-0.1 + (K324*0.015)) +1,(((M324*24*60)/2)*(1+POWER((((N324*24*60) / (M324*24*60 ))),2)))),""),"")</f>
        <v/>
      </c>
      <c r="Q324" s="90">
        <f>IF(AND(O324&lt;&gt;"",L324&lt;&gt;""),IF(A324&lt;&gt;A325,((L324*24*60) / 2 ) * (1 + POWER(((O324*24*60) / (L324*24*60)),2)),""),"")</f>
        <v/>
      </c>
      <c r="R324" s="90">
        <f>IF(Q324&lt;&gt;"",MAX(P324,Q324),"")</f>
        <v/>
      </c>
      <c r="S324" s="89">
        <f>IF(I324&lt;&gt;"H. Sale Real",IF(AND(I325&lt;&gt;"",LEFT(C325,2)&lt;&gt;"Va"),IF(AND(I324&lt;&gt;"",LEFT(C324,2)&lt;&gt;"Va",I324&lt;&gt;"H. Sale Real"),IF(I325-I324&lt;0.208333333333333,I325-I324,""),IF(AND(I323&lt;&gt;"",LEFT(C323,2)&lt;&gt;"Va",I323&lt;&gt;"H. Sale Real"),IF(I325-I323&lt;0.208333333333333,I325-I323,""),IF(AND(I322&lt;&gt;"",LEFT(C322,2)&lt;&gt;"Va",I322&lt;&gt;"H. Sale Real"),IF(I325-I322&lt;0.208333333333333,I325-I322,""),IF(AND(I321&lt;&gt;"",LEFT(C321,2)&lt;&gt;"Va",I321&lt;&gt;"H. Sale Real"),IF(I325-I321&lt;0.208333333333333,I325-I321,""),IF(AND(I320&lt;&gt;"",LEFT(C320,2)&lt;&gt;"Va",I320&lt;&gt;"H. Sale Real"),IF(I325-I320&lt;0.208333333333333,I325-I320,""),""))))),""),"")</f>
        <v/>
      </c>
      <c r="T324" s="89">
        <f>IF(G324&lt;&gt;"H. Sale Real",IF(AND(G325&lt;&gt;"",LEFT(C325,2)&lt;&gt;"Va"),IF(AND(G324&lt;&gt;"",LEFT(C324,2)&lt;&gt;"Va",G324&lt;&gt;"H. Sale Real"),IF(G325-G324&lt;0.208333333333333,G325-G324,""),IF(AND(G323&lt;&gt;"",LEFT(C323,2)&lt;&gt;"Va",G323&lt;&gt;"H. Sale Real"),IF(G325-G323&lt;0.208333333333333,G325-G323,""),IF(AND(G322&lt;&gt;"",LEFT(C322,2)&lt;&gt;"Va",G322&lt;&gt;"H. Sale Real"),IF(G325-G322&lt;0.208333333333333,G325-G322,""),IF(AND(G321&lt;&gt;"",LEFT(C321,2)&lt;&gt;"Va",G321&lt;&gt;"H. Sale Real"),IF(G325-G321&lt;0.208333333333333,G325-G321,""),IF(AND(G320&lt;&gt;"",LEFT(C320,2)&lt;&gt;"Va",G320&lt;&gt;"H. Sale Real"),IF(G325-G320&lt;0.208333333333333,G325-G320,""),""))))),""),"")</f>
        <v/>
      </c>
      <c r="U324" s="87" t="n"/>
      <c r="V324" s="89" t="n"/>
      <c r="W324" s="87" t="n"/>
      <c r="X324" s="89" t="n"/>
      <c r="Y324" s="91" t="n"/>
      <c r="Z324" s="122">
        <f>IF(G324&lt;&gt;"",IF(AND(Z323&lt;&gt;"IE",P324&lt;&gt;0,R324&lt;&gt;""),IF(IFERROR((P324/R324),0) &lt;=1,IFERROR(P324/R324,""),1),""),"")</f>
        <v/>
      </c>
      <c r="AA324" s="93" t="n"/>
      <c r="AB324" s="2" t="n"/>
      <c r="AE324" s="10">
        <f>HOUR(AK324)+1</f>
        <v/>
      </c>
      <c r="AF324" s="7" t="n"/>
      <c r="AG324" s="7" t="n"/>
      <c r="AH324" s="86" t="n"/>
      <c r="AI324" s="8" t="n"/>
      <c r="AJ324" s="86" t="n"/>
      <c r="AK324" s="87" t="n"/>
      <c r="AL324" s="88">
        <f>IF(AM324="","",IF(AND((AM324-AK324)&gt;=TIME(0,0,0),(AM324-AK324)&lt;TIME(0,3,0)),"OK",IF(AND((AM324-AK324)&gt;=TIME(0,3,0),(AM324-AK324)&lt;TIME(0,5,0)),"RETRASO DE 3-5 MIN",IF(AND((AM324-AK324)&gt;=TIME(0,5,0),(AM324-AK324)&lt;TIME(0,10,0)),"RETRASO DE 5-10 MIN",IF((AM324-AK324)&gt;=TIME(0,10,0),"RETRASO &gt;10 MIN", IF(AND((AK324-AM324)&gt;=TIME(0,0,0),(AK324-AM324)&lt;TIME(0,3,0)),"OK",IF((AK324-AM324)&gt;=TIME(0,3,0),"ADELANTADO")))))))</f>
        <v/>
      </c>
      <c r="AM324" s="91" t="n"/>
      <c r="AN324" s="89">
        <f>IF(AE324&lt;&gt;"",HLOOKUP(VALUE(TEXT(AK324,"h:mm:ss")),IF($C$6="Laboral",$FZ$4:$GX$227,IF($C$6="Sábado",$FZ$231:$GX$452,$FZ$456:$GX$656)),VLOOKUP($C$4,$HF$2:$HH$99,3,0)+IF(AG$5="Ida",0,1),1),"")</f>
        <v/>
      </c>
      <c r="AO324" s="89">
        <f>IF(AE325&lt;&gt;AE324,AVERAGEIF(AE$9:AE324,AE324,AN$9:AN324),"")</f>
        <v/>
      </c>
      <c r="AP324" s="89">
        <f>IFERROR(IF(AE325&lt;&gt;AE324,AVERAGEIF(AE$9:AE324,AE324,AW$9:AW324),""),"")</f>
        <v/>
      </c>
      <c r="AQ324" s="89">
        <f>IFERROR(IF(AE325&lt;&gt;AE324,AVERAGEIF(AE$9:AE324,AE324,AX$9:AX324),""),"")</f>
        <v/>
      </c>
      <c r="AR324" s="89">
        <f t="array" ref="AR324">IFERROR(IF(AE325&lt;&gt;AE324,_xlfn.STDEV.P(IF(AE$9:AE324=AE324,AX$9:AX324)),""),"")</f>
        <v/>
      </c>
      <c r="AS324" s="89">
        <f t="array" ref="AS324">IFERROR(IF(AE325&lt;&gt;AE324,_xlfn.STDEV.P(IF(AE$9:AE324=AE324,AW$9:AW324)),""),"")</f>
        <v/>
      </c>
      <c r="AT324" s="90">
        <f>IFERROR(IF(AE324&lt;&gt;AE325,MAX((((AQ324*24*60)/2)*(1+POWER((((AR324*24*60) / (AQ324*24*60) )),2))) + ((AQ324*24*60 )*-0.1 + (AO324*0.015)) +1,(((AQ324*24*60)/2)*(1+POWER((((AR324*24*60) / (AQ324*24*60 ))),2)))),""),"")</f>
        <v/>
      </c>
      <c r="AU324" s="90">
        <f>IF(AND(AS324&lt;&gt;"",AP324&lt;&gt;""),IF(AE324&lt;&gt;AE325,((AP324*24*60) / 2 ) * (1 + POWER(((AS324*24*60) / (AP324*24*60)),2)),""),"")</f>
        <v/>
      </c>
      <c r="AV324" s="90">
        <f>IF(AU324&lt;&gt;"",MAX(AT324,AU324),"")</f>
        <v/>
      </c>
      <c r="AW324" s="89">
        <f>IF(AM324&lt;&gt;"H. Sale Real",IF(AND(AM325&lt;&gt;"",LEFT(AG325,2)&lt;&gt;"Va"),IF(AND(AM324&lt;&gt;"",LEFT(AG324,2)&lt;&gt;"Va",AM324&lt;&gt;"H. Sale Real"),IF(AM325-AM324&lt;0.208333333333333,AM325-AM324,""),IF(AND(AM323&lt;&gt;"",LEFT(AG323,2)&lt;&gt;"Va",AM323&lt;&gt;"H. Sale Real"),IF(AM325-AM323&lt;0.208333333333333,AM325-AM323,""),IF(AND(AM322&lt;&gt;"",LEFT(AG322,2)&lt;&gt;"Va",AM322&lt;&gt;"H. Sale Real"),IF(AM325-AM322&lt;0.208333333333333,AM325-AM322,""),IF(AND(AM321&lt;&gt;"",LEFT(AG321,2)&lt;&gt;"Va",AM321&lt;&gt;"H. Sale Real"),IF(AM325-AM321&lt;0.208333333333333,AM325-AM321,""),IF(AND(AM320&lt;&gt;"",LEFT(AG320,2)&lt;&gt;"Va",AM320&lt;&gt;"H. Sale Real"),IF(AM325-AM320&lt;0.208333333333333,AM325-AM320,""),""))))),""),"")</f>
        <v/>
      </c>
      <c r="AX324" s="89">
        <f>IF(AK324&lt;&gt;"H. Sale Real",IF(AND(AK325&lt;&gt;"",LEFT(AG325,2)&lt;&gt;"Va"),IF(AND(AK324&lt;&gt;"",LEFT(AG324,2)&lt;&gt;"Va",AK324&lt;&gt;"H. Sale Real"),IF(AK325-AK324&lt;0.208333333333333,AK325-AK324,""),IF(AND(AK323&lt;&gt;"",LEFT(AG323,2)&lt;&gt;"Va",AK323&lt;&gt;"H. Sale Real"),IF(AK325-AK323&lt;0.208333333333333,AK325-AK323,""),IF(AND(AK322&lt;&gt;"",LEFT(AG322,2)&lt;&gt;"NC",AK322&lt;&gt;"H. Sale Real"),IF(AK325-AK322&lt;0.208333333333333,AK325-AK322,""),IF(AND(AK321&lt;&gt;"",LEFT(AG321,2)&lt;&gt;"Va",AK321&lt;&gt;"H. Sale Real"),IF(AK325-AK321&lt;0.208333333333333,AK325-AK321,""),IF(AND(AK320&lt;&gt;"",LEFT(AG320,2)&lt;&gt;"Va",AK320&lt;&gt;"H. Sale Real"),IF(AK325-AK320&lt;0.208333333333333,AK325-AK320,""),""))))),""),"")</f>
        <v/>
      </c>
      <c r="AY324" s="87" t="n"/>
      <c r="AZ324" s="89" t="n"/>
      <c r="BA324" s="87" t="n"/>
      <c r="BB324" s="89" t="n"/>
      <c r="BC324" s="91" t="n"/>
      <c r="BD324" s="122">
        <f>IF(AK324&lt;&gt;"",IF(AND(BD323&lt;&gt;"IE",AT324&lt;&gt;0,AV324&lt;&gt;""),IF(IFERROR((AT324/AV324),0) &lt;=1,IFERROR(AT324/AV324,""),1),""),"")</f>
        <v/>
      </c>
      <c r="BE324" s="93" t="n"/>
      <c r="BF324" s="105" t="n"/>
      <c r="FC324" t="inlineStr">
        <is>
          <t>Diccionario 1</t>
        </is>
      </c>
      <c r="FD324" s="15" t="n">
        <v>1323</v>
      </c>
      <c r="FE324" s="15" t="inlineStr">
        <is>
          <t>MDN35025020042</t>
        </is>
      </c>
      <c r="FF324" s="15" t="inlineStr">
        <is>
          <t>LDYECS315S0044078</t>
        </is>
      </c>
      <c r="FG324" s="15" t="inlineStr">
        <is>
          <t>Zhong Tong</t>
        </is>
      </c>
      <c r="FH324" s="15" t="inlineStr">
        <is>
          <t>Lck6122evg</t>
        </is>
      </c>
      <c r="FI324" s="15" t="inlineStr">
        <is>
          <t>ZHONGTONG</t>
        </is>
      </c>
      <c r="FJ324" s="15" t="inlineStr">
        <is>
          <t>LCK6122EVG</t>
        </is>
      </c>
      <c r="FK324" s="15" t="n">
        <v>2025</v>
      </c>
      <c r="FL324" s="15" t="inlineStr">
        <is>
          <t>B</t>
        </is>
      </c>
      <c r="FM324" s="15" t="inlineStr">
        <is>
          <t>PIE ANDINO</t>
        </is>
      </c>
      <c r="FN324" s="15" t="inlineStr">
        <is>
          <t>Pie Andino 31 (Pie Andino 383)</t>
        </is>
      </c>
      <c r="FO324" s="15" t="inlineStr">
        <is>
          <t>Puente Alto</t>
        </is>
      </c>
      <c r="FP324" t="inlineStr">
        <is>
          <t>B</t>
        </is>
      </c>
      <c r="FS324" s="14" t="inlineStr">
        <is>
          <t>3085 / SFWZ-48|</t>
        </is>
      </c>
      <c r="FT324" t="inlineStr">
        <is>
          <t>SFWZ-48|</t>
        </is>
      </c>
      <c r="FU324" t="inlineStr">
        <is>
          <t>SFWZ-48</t>
        </is>
      </c>
      <c r="FV324">
        <f>VLOOKUP(FU324,FD:FL,9,0)</f>
        <v/>
      </c>
      <c r="HA324" s="35" t="n">
        <v>94</v>
      </c>
      <c r="HB324" s="35" t="n">
        <v>318</v>
      </c>
    </row>
    <row r="325" ht="15.5" customHeight="1">
      <c r="A325" s="10">
        <f>HOUR(G325)+1</f>
        <v/>
      </c>
      <c r="B325" s="7" t="n"/>
      <c r="C325" s="7" t="n"/>
      <c r="D325" s="85">
        <f>IFERROR(
IF(AND(OR(Planilla!B325="C",Planilla!B325="c"), VLOOKUP(E325,FD:FP,13,0)="C"), "OK",IF(AND(OR(Planilla!B325="C",Planilla!B325="c"), OR(VLOOKUP(E325,FD:FP,13,0)="B", VLOOKUP(E325,FD:FP,13,0)="A")), "DEFICIT",IF(
AND(OR(Planilla!B325="B", Planilla!B325="BPAL"), VLOOKUP(E325,FD:FP,13,0)="B"), "OK",IF(AND(OR(Planilla!B325="B", Planilla!B325="BPAL"), VLOOKUP(E325,FD:FP,13,0)="A"), "DEFICIT",IF(AND(OR(Planilla!B325="B", Planilla!B325="BPAL"), VLOOKUP(E325,FD:FP,13,0)="C"), "SOBREOFERTA",IF(AND(Planilla!B325="A", VLOOKUP(E325,FD:FP,13,0)="A"), "OK",IF(
AND(Planilla!B325="A", OR(VLOOKUP(E325,FD:FP,13,0)="B", VLOOKUP(E325,FD:FP,13,0)="C")), "SOBREOFERTA",""
))))))),"")</f>
        <v/>
      </c>
      <c r="E325" s="8" t="n"/>
      <c r="F325" s="86" t="n"/>
      <c r="G325" s="87" t="n"/>
      <c r="H325" s="88">
        <f>IF(I325="","",IF(AND((I325-G325)&gt;=TIME(0,0,0),(I325-G325)&lt;TIME(0,3,0)),"OK",IF(AND((I325-G325)&gt;=TIME(0,3,0),(I325-G325)&lt;TIME(0,5,0)),"RETRASO DE 3-5 MIN",IF(AND((I325-G325)&gt;=TIME(0,5,0),(I325-G325)&lt;TIME(0,10,0)),"RETRASO DE 5-10 MIN",IF((I325-G325)&gt;=TIME(0,10,0),"RETRASO &gt;10 MIN", IF(AND((G325-I325)&gt;=TIME(0,0,0),(G325-I325)&lt;TIME(0,3,0)),"OK",IF((G325-I325)&gt;=TIME(0,3,0),"ADELANTADO")))))))</f>
        <v/>
      </c>
      <c r="I325" s="89" t="n"/>
      <c r="J325" s="89">
        <f>IF(A325&lt;&gt;"",HLOOKUP(VALUE(TEXT(G325,"h:mm:ss")),IF($C$6="Laboral",$FZ$4:$GX$227,IF($C$6="Sábado",$FZ$231:$GX$452,$FZ$456:$GX$656)),VLOOKUP($C$4,$HF$2:$HH$99,3,0)+IF(C$5="Ida",0,1),1),"")</f>
        <v/>
      </c>
      <c r="K325" s="89">
        <f>IF(A326&lt;&gt;A325,AVERAGEIF(A$9:A325,A325,J$9:J325),"")</f>
        <v/>
      </c>
      <c r="L325" s="89">
        <f>IFERROR(IF(A326&lt;&gt;A325,AVERAGEIF(A$9:A325,A325,S$9:S325),""),"")</f>
        <v/>
      </c>
      <c r="M325" s="89">
        <f>IFERROR(IF(A326&lt;&gt;A325,AVERAGEIF(A$9:A325,A325,T$9:T325),""),"")</f>
        <v/>
      </c>
      <c r="N325" s="89">
        <f t="array" ref="N325">IFERROR(IF(A326&lt;&gt;A325,_xlfn.STDEV.P(IF(A$9:A325=A325,T$9:T325)),""),"")</f>
        <v/>
      </c>
      <c r="O325" s="89">
        <f t="array" ref="O325">IFERROR(IF(A326&lt;&gt;A325,_xlfn.STDEV.P(IF(A$9:A325=A325,S$9:S325)),""),"")</f>
        <v/>
      </c>
      <c r="P325" s="90">
        <f>IFERROR(IF(A325&lt;&gt;A326,MAX((((M325*24*60)/2)*(1+POWER((((N325*24*60) / (M325*24*60) )),2))) + ((M325*24*60 )*-0.1 + (K325*0.015)) +1,(((M325*24*60)/2)*(1+POWER((((N325*24*60) / (M325*24*60 ))),2)))),""),"")</f>
        <v/>
      </c>
      <c r="Q325" s="90">
        <f>IF(AND(O325&lt;&gt;"",L325&lt;&gt;""),IF(A325&lt;&gt;A326,((L325*24*60) / 2 ) * (1 + POWER(((O325*24*60) / (L325*24*60)),2)),""),"")</f>
        <v/>
      </c>
      <c r="R325" s="90">
        <f>IF(Q325&lt;&gt;"",MAX(P325,Q325),"")</f>
        <v/>
      </c>
      <c r="S325" s="89">
        <f>IF(I325&lt;&gt;"H. Sale Real",IF(AND(I326&lt;&gt;"",LEFT(C326,2)&lt;&gt;"Va"),IF(AND(I325&lt;&gt;"",LEFT(C325,2)&lt;&gt;"Va",I325&lt;&gt;"H. Sale Real"),IF(I326-I325&lt;0.208333333333333,I326-I325,""),IF(AND(I324&lt;&gt;"",LEFT(C324,2)&lt;&gt;"Va",I324&lt;&gt;"H. Sale Real"),IF(I326-I324&lt;0.208333333333333,I326-I324,""),IF(AND(I323&lt;&gt;"",LEFT(C323,2)&lt;&gt;"Va",I323&lt;&gt;"H. Sale Real"),IF(I326-I323&lt;0.208333333333333,I326-I323,""),IF(AND(I322&lt;&gt;"",LEFT(C322,2)&lt;&gt;"Va",I322&lt;&gt;"H. Sale Real"),IF(I326-I322&lt;0.208333333333333,I326-I322,""),IF(AND(I321&lt;&gt;"",LEFT(C321,2)&lt;&gt;"Va",I321&lt;&gt;"H. Sale Real"),IF(I326-I321&lt;0.208333333333333,I326-I321,""),""))))),""),"")</f>
        <v/>
      </c>
      <c r="T325" s="89">
        <f>IF(G325&lt;&gt;"H. Sale Real",IF(AND(G326&lt;&gt;"",LEFT(C326,2)&lt;&gt;"Va"),IF(AND(G325&lt;&gt;"",LEFT(C325,2)&lt;&gt;"Va",G325&lt;&gt;"H. Sale Real"),IF(G326-G325&lt;0.208333333333333,G326-G325,""),IF(AND(G324&lt;&gt;"",LEFT(C324,2)&lt;&gt;"Va",G324&lt;&gt;"H. Sale Real"),IF(G326-G324&lt;0.208333333333333,G326-G324,""),IF(AND(G323&lt;&gt;"",LEFT(C323,2)&lt;&gt;"Va",G323&lt;&gt;"H. Sale Real"),IF(G326-G323&lt;0.208333333333333,G326-G323,""),IF(AND(G322&lt;&gt;"",LEFT(C322,2)&lt;&gt;"Va",G322&lt;&gt;"H. Sale Real"),IF(G326-G322&lt;0.208333333333333,G326-G322,""),IF(AND(G321&lt;&gt;"",LEFT(C321,2)&lt;&gt;"Va",G321&lt;&gt;"H. Sale Real"),IF(G326-G321&lt;0.208333333333333,G326-G321,""),""))))),""),"")</f>
        <v/>
      </c>
      <c r="U325" s="87" t="n"/>
      <c r="V325" s="89" t="n"/>
      <c r="W325" s="87" t="n"/>
      <c r="X325" s="89" t="n"/>
      <c r="Y325" s="91" t="n"/>
      <c r="Z325" s="122">
        <f>IF(G325&lt;&gt;"",IF(AND(Z324&lt;&gt;"IE",P325&lt;&gt;0,R325&lt;&gt;""),IF(IFERROR((P325/R325),0) &lt;=1,IFERROR(P325/R325,""),1),""),"")</f>
        <v/>
      </c>
      <c r="AA325" s="93" t="n"/>
      <c r="AB325" s="2" t="n"/>
      <c r="AE325" s="10">
        <f>HOUR(AK325)+1</f>
        <v/>
      </c>
      <c r="AF325" s="7" t="n"/>
      <c r="AG325" s="7" t="n"/>
      <c r="AH325" s="86" t="n"/>
      <c r="AI325" s="8" t="n"/>
      <c r="AJ325" s="86" t="n"/>
      <c r="AK325" s="87" t="n"/>
      <c r="AL325" s="88">
        <f>IF(AM325="","",IF(AND((AM325-AK325)&gt;=TIME(0,0,0),(AM325-AK325)&lt;TIME(0,3,0)),"OK",IF(AND((AM325-AK325)&gt;=TIME(0,3,0),(AM325-AK325)&lt;TIME(0,5,0)),"RETRASO DE 3-5 MIN",IF(AND((AM325-AK325)&gt;=TIME(0,5,0),(AM325-AK325)&lt;TIME(0,10,0)),"RETRASO DE 5-10 MIN",IF((AM325-AK325)&gt;=TIME(0,10,0),"RETRASO &gt;10 MIN", IF(AND((AK325-AM325)&gt;=TIME(0,0,0),(AK325-AM325)&lt;TIME(0,3,0)),"OK",IF((AK325-AM325)&gt;=TIME(0,3,0),"ADELANTADO")))))))</f>
        <v/>
      </c>
      <c r="AM325" s="91" t="n"/>
      <c r="AN325" s="89">
        <f>IF(AE325&lt;&gt;"",HLOOKUP(VALUE(TEXT(AK325,"h:mm:ss")),IF($C$6="Laboral",$FZ$4:$GX$227,IF($C$6="Sábado",$FZ$231:$GX$452,$FZ$456:$GX$656)),VLOOKUP($C$4,$HF$2:$HH$99,3,0)+IF(AG$5="Ida",0,1),1),"")</f>
        <v/>
      </c>
      <c r="AO325" s="89">
        <f>IF(AE326&lt;&gt;AE325,AVERAGEIF(AE$9:AE325,AE325,AN$9:AN325),"")</f>
        <v/>
      </c>
      <c r="AP325" s="89">
        <f>IFERROR(IF(AE326&lt;&gt;AE325,AVERAGEIF(AE$9:AE325,AE325,AW$9:AW325),""),"")</f>
        <v/>
      </c>
      <c r="AQ325" s="89">
        <f>IFERROR(IF(AE326&lt;&gt;AE325,AVERAGEIF(AE$9:AE325,AE325,AX$9:AX325),""),"")</f>
        <v/>
      </c>
      <c r="AR325" s="89">
        <f t="array" ref="AR325">IFERROR(IF(AE326&lt;&gt;AE325,_xlfn.STDEV.P(IF(AE$9:AE325=AE325,AX$9:AX325)),""),"")</f>
        <v/>
      </c>
      <c r="AS325" s="89">
        <f t="array" ref="AS325">IFERROR(IF(AE326&lt;&gt;AE325,_xlfn.STDEV.P(IF(AE$9:AE325=AE325,AW$9:AW325)),""),"")</f>
        <v/>
      </c>
      <c r="AT325" s="90">
        <f>IFERROR(IF(AE325&lt;&gt;AE326,MAX((((AQ325*24*60)/2)*(1+POWER((((AR325*24*60) / (AQ325*24*60) )),2))) + ((AQ325*24*60 )*-0.1 + (AO325*0.015)) +1,(((AQ325*24*60)/2)*(1+POWER((((AR325*24*60) / (AQ325*24*60 ))),2)))),""),"")</f>
        <v/>
      </c>
      <c r="AU325" s="90">
        <f>IF(AND(AS325&lt;&gt;"",AP325&lt;&gt;""),IF(AE325&lt;&gt;AE326,((AP325*24*60) / 2 ) * (1 + POWER(((AS325*24*60) / (AP325*24*60)),2)),""),"")</f>
        <v/>
      </c>
      <c r="AV325" s="90">
        <f>IF(AU325&lt;&gt;"",MAX(AT325,AU325),"")</f>
        <v/>
      </c>
      <c r="AW325" s="89">
        <f>IF(AM325&lt;&gt;"H. Sale Real",IF(AND(AM326&lt;&gt;"",LEFT(AG326,2)&lt;&gt;"Va"),IF(AND(AM325&lt;&gt;"",LEFT(AG325,2)&lt;&gt;"Va",AM325&lt;&gt;"H. Sale Real"),IF(AM326-AM325&lt;0.208333333333333,AM326-AM325,""),IF(AND(AM324&lt;&gt;"",LEFT(AG324,2)&lt;&gt;"Va",AM324&lt;&gt;"H. Sale Real"),IF(AM326-AM324&lt;0.208333333333333,AM326-AM324,""),IF(AND(AM323&lt;&gt;"",LEFT(AG323,2)&lt;&gt;"Va",AM323&lt;&gt;"H. Sale Real"),IF(AM326-AM323&lt;0.208333333333333,AM326-AM323,""),IF(AND(AM322&lt;&gt;"",LEFT(AG322,2)&lt;&gt;"Va",AM322&lt;&gt;"H. Sale Real"),IF(AM326-AM322&lt;0.208333333333333,AM326-AM322,""),IF(AND(AM321&lt;&gt;"",LEFT(AG321,2)&lt;&gt;"Va",AM321&lt;&gt;"H. Sale Real"),IF(AM326-AM321&lt;0.208333333333333,AM326-AM321,""),""))))),""),"")</f>
        <v/>
      </c>
      <c r="AX325" s="89">
        <f>IF(AK325&lt;&gt;"H. Sale Real",IF(AND(AK326&lt;&gt;"",LEFT(AG326,2)&lt;&gt;"Va"),IF(AND(AK325&lt;&gt;"",LEFT(AG325,2)&lt;&gt;"Va",AK325&lt;&gt;"H. Sale Real"),IF(AK326-AK325&lt;0.208333333333333,AK326-AK325,""),IF(AND(AK324&lt;&gt;"",LEFT(AG324,2)&lt;&gt;"Va",AK324&lt;&gt;"H. Sale Real"),IF(AK326-AK324&lt;0.208333333333333,AK326-AK324,""),IF(AND(AK323&lt;&gt;"",LEFT(AG323,2)&lt;&gt;"NC",AK323&lt;&gt;"H. Sale Real"),IF(AK326-AK323&lt;0.208333333333333,AK326-AK323,""),IF(AND(AK322&lt;&gt;"",LEFT(AG322,2)&lt;&gt;"Va",AK322&lt;&gt;"H. Sale Real"),IF(AK326-AK322&lt;0.208333333333333,AK326-AK322,""),IF(AND(AK321&lt;&gt;"",LEFT(AG321,2)&lt;&gt;"Va",AK321&lt;&gt;"H. Sale Real"),IF(AK326-AK321&lt;0.208333333333333,AK326-AK321,""),""))))),""),"")</f>
        <v/>
      </c>
      <c r="AY325" s="87" t="n"/>
      <c r="AZ325" s="89" t="n"/>
      <c r="BA325" s="87" t="n"/>
      <c r="BB325" s="89" t="n"/>
      <c r="BC325" s="91" t="n"/>
      <c r="BD325" s="122">
        <f>IF(AK325&lt;&gt;"",IF(AND(BD324&lt;&gt;"IE",AT325&lt;&gt;0,AV325&lt;&gt;""),IF(IFERROR((AT325/AV325),0) &lt;=1,IFERROR(AT325/AV325,""),1),""),"")</f>
        <v/>
      </c>
      <c r="BE325" s="93" t="n"/>
      <c r="BF325" s="105" t="n"/>
      <c r="FC325" t="inlineStr">
        <is>
          <t>Diccionario 1</t>
        </is>
      </c>
      <c r="FD325" s="15" t="n">
        <v>1324</v>
      </c>
      <c r="FE325" s="15" t="inlineStr">
        <is>
          <t>MDN35025020105</t>
        </is>
      </c>
      <c r="FF325" s="15" t="inlineStr">
        <is>
          <t>LDYECS312S0044040</t>
        </is>
      </c>
      <c r="FG325" s="15" t="inlineStr">
        <is>
          <t>Zhong Tong</t>
        </is>
      </c>
      <c r="FH325" s="15" t="inlineStr">
        <is>
          <t>Lck6122evg</t>
        </is>
      </c>
      <c r="FI325" s="15" t="inlineStr">
        <is>
          <t>ZHONGTONG</t>
        </is>
      </c>
      <c r="FJ325" s="15" t="inlineStr">
        <is>
          <t>LCK6122EVG</t>
        </is>
      </c>
      <c r="FK325" s="15" t="n">
        <v>2025</v>
      </c>
      <c r="FL325" s="15" t="inlineStr">
        <is>
          <t>B</t>
        </is>
      </c>
      <c r="FM325" s="15" t="inlineStr">
        <is>
          <t>SAN ALFONSO</t>
        </is>
      </c>
      <c r="FN325" s="15" t="inlineStr">
        <is>
          <t>San Alfonso 2141 (Ramón Subercaseaux 3060)</t>
        </is>
      </c>
      <c r="FO325" s="15" t="inlineStr">
        <is>
          <t>Estacion Central</t>
        </is>
      </c>
      <c r="FP325" t="inlineStr">
        <is>
          <t>B</t>
        </is>
      </c>
      <c r="FS325" s="14" t="inlineStr">
        <is>
          <t>3085 / SFWZ-48|</t>
        </is>
      </c>
      <c r="FT325" t="inlineStr">
        <is>
          <t>SFWZ-48|</t>
        </is>
      </c>
      <c r="FU325" t="inlineStr">
        <is>
          <t>SFWZ-48</t>
        </is>
      </c>
      <c r="FV325">
        <f>VLOOKUP(FU325,FD:FL,9,0)</f>
        <v/>
      </c>
      <c r="HA325" s="35" t="n">
        <v>95</v>
      </c>
      <c r="HB325" s="35" t="n">
        <v>319</v>
      </c>
    </row>
    <row r="326" ht="15.5" customHeight="1">
      <c r="A326" s="10">
        <f>HOUR(G326)+1</f>
        <v/>
      </c>
      <c r="B326" s="7" t="n"/>
      <c r="C326" s="7" t="n"/>
      <c r="D326" s="85">
        <f>IFERROR(
IF(AND(OR(Planilla!B326="C",Planilla!B326="c"), VLOOKUP(E326,FD:FP,13,0)="C"), "OK",IF(AND(OR(Planilla!B326="C",Planilla!B326="c"), OR(VLOOKUP(E326,FD:FP,13,0)="B", VLOOKUP(E326,FD:FP,13,0)="A")), "DEFICIT",IF(
AND(OR(Planilla!B326="B", Planilla!B326="BPAL"), VLOOKUP(E326,FD:FP,13,0)="B"), "OK",IF(AND(OR(Planilla!B326="B", Planilla!B326="BPAL"), VLOOKUP(E326,FD:FP,13,0)="A"), "DEFICIT",IF(AND(OR(Planilla!B326="B", Planilla!B326="BPAL"), VLOOKUP(E326,FD:FP,13,0)="C"), "SOBREOFERTA",IF(AND(Planilla!B326="A", VLOOKUP(E326,FD:FP,13,0)="A"), "OK",IF(
AND(Planilla!B326="A", OR(VLOOKUP(E326,FD:FP,13,0)="B", VLOOKUP(E326,FD:FP,13,0)="C")), "SOBREOFERTA",""
))))))),"")</f>
        <v/>
      </c>
      <c r="E326" s="8" t="n"/>
      <c r="F326" s="86" t="n"/>
      <c r="G326" s="87" t="n"/>
      <c r="H326" s="88">
        <f>IF(I326="","",IF(AND((I326-G326)&gt;=TIME(0,0,0),(I326-G326)&lt;TIME(0,3,0)),"OK",IF(AND((I326-G326)&gt;=TIME(0,3,0),(I326-G326)&lt;TIME(0,5,0)),"RETRASO DE 3-5 MIN",IF(AND((I326-G326)&gt;=TIME(0,5,0),(I326-G326)&lt;TIME(0,10,0)),"RETRASO DE 5-10 MIN",IF((I326-G326)&gt;=TIME(0,10,0),"RETRASO &gt;10 MIN", IF(AND((G326-I326)&gt;=TIME(0,0,0),(G326-I326)&lt;TIME(0,3,0)),"OK",IF((G326-I326)&gt;=TIME(0,3,0),"ADELANTADO")))))))</f>
        <v/>
      </c>
      <c r="I326" s="89" t="n"/>
      <c r="J326" s="89">
        <f>IF(A326&lt;&gt;"",HLOOKUP(VALUE(TEXT(G326,"h:mm:ss")),IF($C$6="Laboral",$FZ$4:$GX$227,IF($C$6="Sábado",$FZ$231:$GX$452,$FZ$456:$GX$656)),VLOOKUP($C$4,$HF$2:$HH$99,3,0)+IF(C$5="Ida",0,1),1),"")</f>
        <v/>
      </c>
      <c r="K326" s="89">
        <f>IF(A327&lt;&gt;A326,AVERAGEIF(A$9:A326,A326,J$9:J326),"")</f>
        <v/>
      </c>
      <c r="L326" s="89">
        <f>IFERROR(IF(A327&lt;&gt;A326,AVERAGEIF(A$9:A326,A326,S$9:S326),""),"")</f>
        <v/>
      </c>
      <c r="M326" s="89">
        <f>IFERROR(IF(A327&lt;&gt;A326,AVERAGEIF(A$9:A326,A326,T$9:T326),""),"")</f>
        <v/>
      </c>
      <c r="N326" s="89">
        <f t="array" ref="N326">IFERROR(IF(A327&lt;&gt;A326,_xlfn.STDEV.P(IF(A$9:A326=A326,T$9:T326)),""),"")</f>
        <v/>
      </c>
      <c r="O326" s="89">
        <f t="array" ref="O326">IFERROR(IF(A327&lt;&gt;A326,_xlfn.STDEV.P(IF(A$9:A326=A326,S$9:S326)),""),"")</f>
        <v/>
      </c>
      <c r="P326" s="90">
        <f>IFERROR(IF(A326&lt;&gt;A327,MAX((((M326*24*60)/2)*(1+POWER((((N326*24*60) / (M326*24*60) )),2))) + ((M326*24*60 )*-0.1 + (K326*0.015)) +1,(((M326*24*60)/2)*(1+POWER((((N326*24*60) / (M326*24*60 ))),2)))),""),"")</f>
        <v/>
      </c>
      <c r="Q326" s="90">
        <f>IF(AND(O326&lt;&gt;"",L326&lt;&gt;""),IF(A326&lt;&gt;A327,((L326*24*60) / 2 ) * (1 + POWER(((O326*24*60) / (L326*24*60)),2)),""),"")</f>
        <v/>
      </c>
      <c r="R326" s="90">
        <f>IF(Q326&lt;&gt;"",MAX(P326,Q326),"")</f>
        <v/>
      </c>
      <c r="S326" s="89">
        <f>IF(I326&lt;&gt;"H. Sale Real",IF(AND(I327&lt;&gt;"",LEFT(C327,2)&lt;&gt;"Va"),IF(AND(I326&lt;&gt;"",LEFT(C326,2)&lt;&gt;"Va",I326&lt;&gt;"H. Sale Real"),IF(I327-I326&lt;0.208333333333333,I327-I326,""),IF(AND(I325&lt;&gt;"",LEFT(C325,2)&lt;&gt;"Va",I325&lt;&gt;"H. Sale Real"),IF(I327-I325&lt;0.208333333333333,I327-I325,""),IF(AND(I324&lt;&gt;"",LEFT(C324,2)&lt;&gt;"Va",I324&lt;&gt;"H. Sale Real"),IF(I327-I324&lt;0.208333333333333,I327-I324,""),IF(AND(I323&lt;&gt;"",LEFT(C323,2)&lt;&gt;"Va",I323&lt;&gt;"H. Sale Real"),IF(I327-I323&lt;0.208333333333333,I327-I323,""),IF(AND(I322&lt;&gt;"",LEFT(C322,2)&lt;&gt;"Va",I322&lt;&gt;"H. Sale Real"),IF(I327-I322&lt;0.208333333333333,I327-I322,""),""))))),""),"")</f>
        <v/>
      </c>
      <c r="T326" s="89">
        <f>IF(G326&lt;&gt;"H. Sale Real",IF(AND(G327&lt;&gt;"",LEFT(C327,2)&lt;&gt;"Va"),IF(AND(G326&lt;&gt;"",LEFT(C326,2)&lt;&gt;"Va",G326&lt;&gt;"H. Sale Real"),IF(G327-G326&lt;0.208333333333333,G327-G326,""),IF(AND(G325&lt;&gt;"",LEFT(C325,2)&lt;&gt;"Va",G325&lt;&gt;"H. Sale Real"),IF(G327-G325&lt;0.208333333333333,G327-G325,""),IF(AND(G324&lt;&gt;"",LEFT(C324,2)&lt;&gt;"Va",G324&lt;&gt;"H. Sale Real"),IF(G327-G324&lt;0.208333333333333,G327-G324,""),IF(AND(G323&lt;&gt;"",LEFT(C323,2)&lt;&gt;"Va",G323&lt;&gt;"H. Sale Real"),IF(G327-G323&lt;0.208333333333333,G327-G323,""),IF(AND(G322&lt;&gt;"",LEFT(C322,2)&lt;&gt;"Va",G322&lt;&gt;"H. Sale Real"),IF(G327-G322&lt;0.208333333333333,G327-G322,""),""))))),""),"")</f>
        <v/>
      </c>
      <c r="U326" s="87" t="n"/>
      <c r="V326" s="89" t="n"/>
      <c r="W326" s="87" t="n"/>
      <c r="X326" s="89" t="n"/>
      <c r="Y326" s="91" t="n"/>
      <c r="Z326" s="122">
        <f>IF(G326&lt;&gt;"",IF(AND(Z325&lt;&gt;"IE",P326&lt;&gt;0,R326&lt;&gt;""),IF(IFERROR((P326/R326),0) &lt;=1,IFERROR(P326/R326,""),1),""),"")</f>
        <v/>
      </c>
      <c r="AA326" s="93" t="n"/>
      <c r="AB326" s="2" t="n"/>
      <c r="AE326" s="10">
        <f>HOUR(AK326)+1</f>
        <v/>
      </c>
      <c r="AF326" s="7" t="n"/>
      <c r="AG326" s="7" t="n"/>
      <c r="AH326" s="86" t="n"/>
      <c r="AI326" s="8" t="n"/>
      <c r="AJ326" s="86" t="n"/>
      <c r="AK326" s="87" t="n"/>
      <c r="AL326" s="88">
        <f>IF(AM326="","",IF(AND((AM326-AK326)&gt;=TIME(0,0,0),(AM326-AK326)&lt;TIME(0,3,0)),"OK",IF(AND((AM326-AK326)&gt;=TIME(0,3,0),(AM326-AK326)&lt;TIME(0,5,0)),"RETRASO DE 3-5 MIN",IF(AND((AM326-AK326)&gt;=TIME(0,5,0),(AM326-AK326)&lt;TIME(0,10,0)),"RETRASO DE 5-10 MIN",IF((AM326-AK326)&gt;=TIME(0,10,0),"RETRASO &gt;10 MIN", IF(AND((AK326-AM326)&gt;=TIME(0,0,0),(AK326-AM326)&lt;TIME(0,3,0)),"OK",IF((AK326-AM326)&gt;=TIME(0,3,0),"ADELANTADO")))))))</f>
        <v/>
      </c>
      <c r="AM326" s="91" t="n"/>
      <c r="AN326" s="89">
        <f>IF(AE326&lt;&gt;"",HLOOKUP(VALUE(TEXT(AK326,"h:mm:ss")),IF($C$6="Laboral",$FZ$4:$GX$227,IF($C$6="Sábado",$FZ$231:$GX$452,$FZ$456:$GX$656)),VLOOKUP($C$4,$HF$2:$HH$99,3,0)+IF(AG$5="Ida",0,1),1),"")</f>
        <v/>
      </c>
      <c r="AO326" s="89">
        <f>IF(AE327&lt;&gt;AE326,AVERAGEIF(AE$9:AE326,AE326,AN$9:AN326),"")</f>
        <v/>
      </c>
      <c r="AP326" s="89">
        <f>IFERROR(IF(AE327&lt;&gt;AE326,AVERAGEIF(AE$9:AE326,AE326,AW$9:AW326),""),"")</f>
        <v/>
      </c>
      <c r="AQ326" s="89">
        <f>IFERROR(IF(AE327&lt;&gt;AE326,AVERAGEIF(AE$9:AE326,AE326,AX$9:AX326),""),"")</f>
        <v/>
      </c>
      <c r="AR326" s="89">
        <f t="array" ref="AR326">IFERROR(IF(AE327&lt;&gt;AE326,_xlfn.STDEV.P(IF(AE$9:AE326=AE326,AX$9:AX326)),""),"")</f>
        <v/>
      </c>
      <c r="AS326" s="89">
        <f t="array" ref="AS326">IFERROR(IF(AE327&lt;&gt;AE326,_xlfn.STDEV.P(IF(AE$9:AE326=AE326,AW$9:AW326)),""),"")</f>
        <v/>
      </c>
      <c r="AT326" s="90">
        <f>IFERROR(IF(AE326&lt;&gt;AE327,MAX((((AQ326*24*60)/2)*(1+POWER((((AR326*24*60) / (AQ326*24*60) )),2))) + ((AQ326*24*60 )*-0.1 + (AO326*0.015)) +1,(((AQ326*24*60)/2)*(1+POWER((((AR326*24*60) / (AQ326*24*60 ))),2)))),""),"")</f>
        <v/>
      </c>
      <c r="AU326" s="90">
        <f>IF(AND(AS326&lt;&gt;"",AP326&lt;&gt;""),IF(AE326&lt;&gt;AE327,((AP326*24*60) / 2 ) * (1 + POWER(((AS326*24*60) / (AP326*24*60)),2)),""),"")</f>
        <v/>
      </c>
      <c r="AV326" s="90">
        <f>IF(AU326&lt;&gt;"",MAX(AT326,AU326),"")</f>
        <v/>
      </c>
      <c r="AW326" s="89">
        <f>IF(AM326&lt;&gt;"H. Sale Real",IF(AND(AM327&lt;&gt;"",LEFT(AG327,2)&lt;&gt;"Va"),IF(AND(AM326&lt;&gt;"",LEFT(AG326,2)&lt;&gt;"Va",AM326&lt;&gt;"H. Sale Real"),IF(AM327-AM326&lt;0.208333333333333,AM327-AM326,""),IF(AND(AM325&lt;&gt;"",LEFT(AG325,2)&lt;&gt;"Va",AM325&lt;&gt;"H. Sale Real"),IF(AM327-AM325&lt;0.208333333333333,AM327-AM325,""),IF(AND(AM324&lt;&gt;"",LEFT(AG324,2)&lt;&gt;"Va",AM324&lt;&gt;"H. Sale Real"),IF(AM327-AM324&lt;0.208333333333333,AM327-AM324,""),IF(AND(AM323&lt;&gt;"",LEFT(AG323,2)&lt;&gt;"Va",AM323&lt;&gt;"H. Sale Real"),IF(AM327-AM323&lt;0.208333333333333,AM327-AM323,""),IF(AND(AM322&lt;&gt;"",LEFT(AG322,2)&lt;&gt;"Va",AM322&lt;&gt;"H. Sale Real"),IF(AM327-AM322&lt;0.208333333333333,AM327-AM322,""),""))))),""),"")</f>
        <v/>
      </c>
      <c r="AX326" s="89">
        <f>IF(AK326&lt;&gt;"H. Sale Real",IF(AND(AK327&lt;&gt;"",LEFT(AG327,2)&lt;&gt;"Va"),IF(AND(AK326&lt;&gt;"",LEFT(AG326,2)&lt;&gt;"Va",AK326&lt;&gt;"H. Sale Real"),IF(AK327-AK326&lt;0.208333333333333,AK327-AK326,""),IF(AND(AK325&lt;&gt;"",LEFT(AG325,2)&lt;&gt;"Va",AK325&lt;&gt;"H. Sale Real"),IF(AK327-AK325&lt;0.208333333333333,AK327-AK325,""),IF(AND(AK324&lt;&gt;"",LEFT(AG324,2)&lt;&gt;"NC",AK324&lt;&gt;"H. Sale Real"),IF(AK327-AK324&lt;0.208333333333333,AK327-AK324,""),IF(AND(AK323&lt;&gt;"",LEFT(AG323,2)&lt;&gt;"Va",AK323&lt;&gt;"H. Sale Real"),IF(AK327-AK323&lt;0.208333333333333,AK327-AK323,""),IF(AND(AK322&lt;&gt;"",LEFT(AG322,2)&lt;&gt;"Va",AK322&lt;&gt;"H. Sale Real"),IF(AK327-AK322&lt;0.208333333333333,AK327-AK322,""),""))))),""),"")</f>
        <v/>
      </c>
      <c r="AY326" s="87" t="n"/>
      <c r="AZ326" s="89" t="n"/>
      <c r="BA326" s="87" t="n"/>
      <c r="BB326" s="89" t="n"/>
      <c r="BC326" s="91" t="n"/>
      <c r="BD326" s="122">
        <f>IF(AK326&lt;&gt;"",IF(AND(BD325&lt;&gt;"IE",AT326&lt;&gt;0,AV326&lt;&gt;""),IF(IFERROR((AT326/AV326),0) &lt;=1,IFERROR(AT326/AV326,""),1),""),"")</f>
        <v/>
      </c>
      <c r="BE326" s="93" t="n"/>
      <c r="BF326" s="105" t="n"/>
      <c r="FC326" t="inlineStr">
        <is>
          <t>Diccionario 1</t>
        </is>
      </c>
      <c r="FD326" s="15" t="n">
        <v>1325</v>
      </c>
      <c r="FE326" s="15" t="inlineStr">
        <is>
          <t>MDN35025020129</t>
        </is>
      </c>
      <c r="FF326" s="15" t="inlineStr">
        <is>
          <t>LDYECS319S0044035</t>
        </is>
      </c>
      <c r="FG326" s="15" t="inlineStr">
        <is>
          <t>Zhong Tong</t>
        </is>
      </c>
      <c r="FH326" s="15" t="inlineStr">
        <is>
          <t>Lck6122evg</t>
        </is>
      </c>
      <c r="FI326" s="15" t="inlineStr">
        <is>
          <t>ZHONGTONG</t>
        </is>
      </c>
      <c r="FJ326" s="15" t="inlineStr">
        <is>
          <t>LCK6122EVG</t>
        </is>
      </c>
      <c r="FK326" s="15" t="n">
        <v>2025</v>
      </c>
      <c r="FL326" s="15" t="inlineStr">
        <is>
          <t>B</t>
        </is>
      </c>
      <c r="FM326" s="15" t="inlineStr">
        <is>
          <t>SAN ALFONSO</t>
        </is>
      </c>
      <c r="FN326" s="15" t="inlineStr">
        <is>
          <t>San Alfonso 2141 (Ramón Subercaseaux 3060)</t>
        </is>
      </c>
      <c r="FO326" s="15" t="inlineStr">
        <is>
          <t>Estacion Central</t>
        </is>
      </c>
      <c r="FP326" t="inlineStr">
        <is>
          <t>B</t>
        </is>
      </c>
      <c r="FS326" s="14" t="inlineStr">
        <is>
          <t>3085 / SFWZ-48|</t>
        </is>
      </c>
      <c r="FT326" t="inlineStr">
        <is>
          <t>SFWZ-48|</t>
        </is>
      </c>
      <c r="FU326" t="inlineStr">
        <is>
          <t>SFWZ-48</t>
        </is>
      </c>
      <c r="FV326">
        <f>VLOOKUP(FU326,FD:FL,9,0)</f>
        <v/>
      </c>
      <c r="HA326" s="35" t="n">
        <v>96</v>
      </c>
      <c r="HB326" s="35" t="n">
        <v>320</v>
      </c>
    </row>
    <row r="327" ht="15.5" customHeight="1">
      <c r="A327" s="10">
        <f>HOUR(G327)+1</f>
        <v/>
      </c>
      <c r="B327" s="7" t="n"/>
      <c r="C327" s="7" t="n"/>
      <c r="D327" s="85">
        <f>IFERROR(
IF(AND(OR(Planilla!B327="C",Planilla!B327="c"), VLOOKUP(E327,FD:FP,13,0)="C"), "OK",IF(AND(OR(Planilla!B327="C",Planilla!B327="c"), OR(VLOOKUP(E327,FD:FP,13,0)="B", VLOOKUP(E327,FD:FP,13,0)="A")), "DEFICIT",IF(
AND(OR(Planilla!B327="B", Planilla!B327="BPAL"), VLOOKUP(E327,FD:FP,13,0)="B"), "OK",IF(AND(OR(Planilla!B327="B", Planilla!B327="BPAL"), VLOOKUP(E327,FD:FP,13,0)="A"), "DEFICIT",IF(AND(OR(Planilla!B327="B", Planilla!B327="BPAL"), VLOOKUP(E327,FD:FP,13,0)="C"), "SOBREOFERTA",IF(AND(Planilla!B327="A", VLOOKUP(E327,FD:FP,13,0)="A"), "OK",IF(
AND(Planilla!B327="A", OR(VLOOKUP(E327,FD:FP,13,0)="B", VLOOKUP(E327,FD:FP,13,0)="C")), "SOBREOFERTA",""
))))))),"")</f>
        <v/>
      </c>
      <c r="E327" s="8" t="n"/>
      <c r="F327" s="86" t="n"/>
      <c r="G327" s="87" t="n"/>
      <c r="H327" s="88">
        <f>IF(I327="","",IF(AND((I327-G327)&gt;=TIME(0,0,0),(I327-G327)&lt;TIME(0,3,0)),"OK",IF(AND((I327-G327)&gt;=TIME(0,3,0),(I327-G327)&lt;TIME(0,5,0)),"RETRASO DE 3-5 MIN",IF(AND((I327-G327)&gt;=TIME(0,5,0),(I327-G327)&lt;TIME(0,10,0)),"RETRASO DE 5-10 MIN",IF((I327-G327)&gt;=TIME(0,10,0),"RETRASO &gt;10 MIN", IF(AND((G327-I327)&gt;=TIME(0,0,0),(G327-I327)&lt;TIME(0,3,0)),"OK",IF((G327-I327)&gt;=TIME(0,3,0),"ADELANTADO")))))))</f>
        <v/>
      </c>
      <c r="I327" s="89" t="n"/>
      <c r="J327" s="89">
        <f>IF(A327&lt;&gt;"",HLOOKUP(VALUE(TEXT(G327,"h:mm:ss")),IF($C$6="Laboral",$FZ$4:$GX$227,IF($C$6="Sábado",$FZ$231:$GX$452,$FZ$456:$GX$656)),VLOOKUP($C$4,$HF$2:$HH$99,3,0)+IF(C$5="Ida",0,1),1),"")</f>
        <v/>
      </c>
      <c r="K327" s="89">
        <f>IF(A328&lt;&gt;A327,AVERAGEIF(A$9:A327,A327,J$9:J327),"")</f>
        <v/>
      </c>
      <c r="L327" s="89">
        <f>IFERROR(IF(A328&lt;&gt;A327,AVERAGEIF(A$9:A327,A327,S$9:S327),""),"")</f>
        <v/>
      </c>
      <c r="M327" s="89">
        <f>IFERROR(IF(A328&lt;&gt;A327,AVERAGEIF(A$9:A327,A327,T$9:T327),""),"")</f>
        <v/>
      </c>
      <c r="N327" s="89">
        <f t="array" ref="N327">IFERROR(IF(A328&lt;&gt;A327,_xlfn.STDEV.P(IF(A$9:A327=A327,T$9:T327)),""),"")</f>
        <v/>
      </c>
      <c r="O327" s="89">
        <f t="array" ref="O327">IFERROR(IF(A328&lt;&gt;A327,_xlfn.STDEV.P(IF(A$9:A327=A327,S$9:S327)),""),"")</f>
        <v/>
      </c>
      <c r="P327" s="90">
        <f>IFERROR(IF(A327&lt;&gt;A328,MAX((((M327*24*60)/2)*(1+POWER((((N327*24*60) / (M327*24*60) )),2))) + ((M327*24*60 )*-0.1 + (K327*0.015)) +1,(((M327*24*60)/2)*(1+POWER((((N327*24*60) / (M327*24*60 ))),2)))),""),"")</f>
        <v/>
      </c>
      <c r="Q327" s="90">
        <f>IF(AND(O327&lt;&gt;"",L327&lt;&gt;""),IF(A327&lt;&gt;A328,((L327*24*60) / 2 ) * (1 + POWER(((O327*24*60) / (L327*24*60)),2)),""),"")</f>
        <v/>
      </c>
      <c r="R327" s="90">
        <f>IF(Q327&lt;&gt;"",MAX(P327,Q327),"")</f>
        <v/>
      </c>
      <c r="S327" s="89">
        <f>IF(I327&lt;&gt;"H. Sale Real",IF(AND(I328&lt;&gt;"",LEFT(C328,2)&lt;&gt;"Va"),IF(AND(I327&lt;&gt;"",LEFT(C327,2)&lt;&gt;"Va",I327&lt;&gt;"H. Sale Real"),IF(I328-I327&lt;0.208333333333333,I328-I327,""),IF(AND(I326&lt;&gt;"",LEFT(C326,2)&lt;&gt;"Va",I326&lt;&gt;"H. Sale Real"),IF(I328-I326&lt;0.208333333333333,I328-I326,""),IF(AND(I325&lt;&gt;"",LEFT(C325,2)&lt;&gt;"Va",I325&lt;&gt;"H. Sale Real"),IF(I328-I325&lt;0.208333333333333,I328-I325,""),IF(AND(I324&lt;&gt;"",LEFT(C324,2)&lt;&gt;"Va",I324&lt;&gt;"H. Sale Real"),IF(I328-I324&lt;0.208333333333333,I328-I324,""),IF(AND(I323&lt;&gt;"",LEFT(C323,2)&lt;&gt;"Va",I323&lt;&gt;"H. Sale Real"),IF(I328-I323&lt;0.208333333333333,I328-I323,""),""))))),""),"")</f>
        <v/>
      </c>
      <c r="T327" s="89">
        <f>IF(G327&lt;&gt;"H. Sale Real",IF(AND(G328&lt;&gt;"",LEFT(C328,2)&lt;&gt;"Va"),IF(AND(G327&lt;&gt;"",LEFT(C327,2)&lt;&gt;"Va",G327&lt;&gt;"H. Sale Real"),IF(G328-G327&lt;0.208333333333333,G328-G327,""),IF(AND(G326&lt;&gt;"",LEFT(C326,2)&lt;&gt;"Va",G326&lt;&gt;"H. Sale Real"),IF(G328-G326&lt;0.208333333333333,G328-G326,""),IF(AND(G325&lt;&gt;"",LEFT(C325,2)&lt;&gt;"Va",G325&lt;&gt;"H. Sale Real"),IF(G328-G325&lt;0.208333333333333,G328-G325,""),IF(AND(G324&lt;&gt;"",LEFT(C324,2)&lt;&gt;"Va",G324&lt;&gt;"H. Sale Real"),IF(G328-G324&lt;0.208333333333333,G328-G324,""),IF(AND(G323&lt;&gt;"",LEFT(C323,2)&lt;&gt;"Va",G323&lt;&gt;"H. Sale Real"),IF(G328-G323&lt;0.208333333333333,G328-G323,""),""))))),""),"")</f>
        <v/>
      </c>
      <c r="U327" s="87" t="n"/>
      <c r="V327" s="89" t="n"/>
      <c r="W327" s="87" t="n"/>
      <c r="X327" s="89" t="n"/>
      <c r="Y327" s="91" t="n"/>
      <c r="Z327" s="122">
        <f>IF(G327&lt;&gt;"",IF(AND(Z326&lt;&gt;"IE",P327&lt;&gt;0,R327&lt;&gt;""),IF(IFERROR((P327/R327),0) &lt;=1,IFERROR(P327/R327,""),1),""),"")</f>
        <v/>
      </c>
      <c r="AA327" s="93" t="n"/>
      <c r="AB327" s="2" t="n"/>
      <c r="AE327" s="10">
        <f>HOUR(AK327)+1</f>
        <v/>
      </c>
      <c r="AF327" s="7" t="n"/>
      <c r="AG327" s="7" t="n"/>
      <c r="AH327" s="86" t="n"/>
      <c r="AI327" s="8" t="n"/>
      <c r="AJ327" s="86" t="n"/>
      <c r="AK327" s="87" t="n"/>
      <c r="AL327" s="88">
        <f>IF(AM327="","",IF(AND((AM327-AK327)&gt;=TIME(0,0,0),(AM327-AK327)&lt;TIME(0,3,0)),"OK",IF(AND((AM327-AK327)&gt;=TIME(0,3,0),(AM327-AK327)&lt;TIME(0,5,0)),"RETRASO DE 3-5 MIN",IF(AND((AM327-AK327)&gt;=TIME(0,5,0),(AM327-AK327)&lt;TIME(0,10,0)),"RETRASO DE 5-10 MIN",IF((AM327-AK327)&gt;=TIME(0,10,0),"RETRASO &gt;10 MIN", IF(AND((AK327-AM327)&gt;=TIME(0,0,0),(AK327-AM327)&lt;TIME(0,3,0)),"OK",IF((AK327-AM327)&gt;=TIME(0,3,0),"ADELANTADO")))))))</f>
        <v/>
      </c>
      <c r="AM327" s="91" t="n"/>
      <c r="AN327" s="89">
        <f>IF(AE327&lt;&gt;"",HLOOKUP(VALUE(TEXT(AK327,"h:mm:ss")),IF($C$6="Laboral",$FZ$4:$GX$227,IF($C$6="Sábado",$FZ$231:$GX$452,$FZ$456:$GX$656)),VLOOKUP($C$4,$HF$2:$HH$99,3,0)+IF(AG$5="Ida",0,1),1),"")</f>
        <v/>
      </c>
      <c r="AO327" s="89">
        <f>IF(AE328&lt;&gt;AE327,AVERAGEIF(AE$9:AE327,AE327,AN$9:AN327),"")</f>
        <v/>
      </c>
      <c r="AP327" s="89">
        <f>IFERROR(IF(AE328&lt;&gt;AE327,AVERAGEIF(AE$9:AE327,AE327,AW$9:AW327),""),"")</f>
        <v/>
      </c>
      <c r="AQ327" s="89">
        <f>IFERROR(IF(AE328&lt;&gt;AE327,AVERAGEIF(AE$9:AE327,AE327,AX$9:AX327),""),"")</f>
        <v/>
      </c>
      <c r="AR327" s="89">
        <f t="array" ref="AR327">IFERROR(IF(AE328&lt;&gt;AE327,_xlfn.STDEV.P(IF(AE$9:AE327=AE327,AX$9:AX327)),""),"")</f>
        <v/>
      </c>
      <c r="AS327" s="89">
        <f t="array" ref="AS327">IFERROR(IF(AE328&lt;&gt;AE327,_xlfn.STDEV.P(IF(AE$9:AE327=AE327,AW$9:AW327)),""),"")</f>
        <v/>
      </c>
      <c r="AT327" s="90">
        <f>IFERROR(IF(AE327&lt;&gt;AE328,MAX((((AQ327*24*60)/2)*(1+POWER((((AR327*24*60) / (AQ327*24*60) )),2))) + ((AQ327*24*60 )*-0.1 + (AO327*0.015)) +1,(((AQ327*24*60)/2)*(1+POWER((((AR327*24*60) / (AQ327*24*60 ))),2)))),""),"")</f>
        <v/>
      </c>
      <c r="AU327" s="90">
        <f>IF(AND(AS327&lt;&gt;"",AP327&lt;&gt;""),IF(AE327&lt;&gt;AE328,((AP327*24*60) / 2 ) * (1 + POWER(((AS327*24*60) / (AP327*24*60)),2)),""),"")</f>
        <v/>
      </c>
      <c r="AV327" s="90">
        <f>IF(AU327&lt;&gt;"",MAX(AT327,AU327),"")</f>
        <v/>
      </c>
      <c r="AW327" s="89">
        <f>IF(AM327&lt;&gt;"H. Sale Real",IF(AND(AM328&lt;&gt;"",LEFT(AG328,2)&lt;&gt;"Va"),IF(AND(AM327&lt;&gt;"",LEFT(AG327,2)&lt;&gt;"Va",AM327&lt;&gt;"H. Sale Real"),IF(AM328-AM327&lt;0.208333333333333,AM328-AM327,""),IF(AND(AM326&lt;&gt;"",LEFT(AG326,2)&lt;&gt;"Va",AM326&lt;&gt;"H. Sale Real"),IF(AM328-AM326&lt;0.208333333333333,AM328-AM326,""),IF(AND(AM325&lt;&gt;"",LEFT(AG325,2)&lt;&gt;"Va",AM325&lt;&gt;"H. Sale Real"),IF(AM328-AM325&lt;0.208333333333333,AM328-AM325,""),IF(AND(AM324&lt;&gt;"",LEFT(AG324,2)&lt;&gt;"Va",AM324&lt;&gt;"H. Sale Real"),IF(AM328-AM324&lt;0.208333333333333,AM328-AM324,""),IF(AND(AM323&lt;&gt;"",LEFT(AG323,2)&lt;&gt;"Va",AM323&lt;&gt;"H. Sale Real"),IF(AM328-AM323&lt;0.208333333333333,AM328-AM323,""),""))))),""),"")</f>
        <v/>
      </c>
      <c r="AX327" s="89">
        <f>IF(AK327&lt;&gt;"H. Sale Real",IF(AND(AK328&lt;&gt;"",LEFT(AG328,2)&lt;&gt;"Va"),IF(AND(AK327&lt;&gt;"",LEFT(AG327,2)&lt;&gt;"Va",AK327&lt;&gt;"H. Sale Real"),IF(AK328-AK327&lt;0.208333333333333,AK328-AK327,""),IF(AND(AK326&lt;&gt;"",LEFT(AG326,2)&lt;&gt;"Va",AK326&lt;&gt;"H. Sale Real"),IF(AK328-AK326&lt;0.208333333333333,AK328-AK326,""),IF(AND(AK325&lt;&gt;"",LEFT(AG325,2)&lt;&gt;"NC",AK325&lt;&gt;"H. Sale Real"),IF(AK328-AK325&lt;0.208333333333333,AK328-AK325,""),IF(AND(AK324&lt;&gt;"",LEFT(AG324,2)&lt;&gt;"Va",AK324&lt;&gt;"H. Sale Real"),IF(AK328-AK324&lt;0.208333333333333,AK328-AK324,""),IF(AND(AK323&lt;&gt;"",LEFT(AG323,2)&lt;&gt;"Va",AK323&lt;&gt;"H. Sale Real"),IF(AK328-AK323&lt;0.208333333333333,AK328-AK323,""),""))))),""),"")</f>
        <v/>
      </c>
      <c r="AY327" s="87" t="n"/>
      <c r="AZ327" s="89" t="n"/>
      <c r="BA327" s="87" t="n"/>
      <c r="BB327" s="89" t="n"/>
      <c r="BC327" s="91" t="n"/>
      <c r="BD327" s="122">
        <f>IF(AK327&lt;&gt;"",IF(AND(BD326&lt;&gt;"IE",AT327&lt;&gt;0,AV327&lt;&gt;""),IF(IFERROR((AT327/AV327),0) &lt;=1,IFERROR(AT327/AV327,""),1),""),"")</f>
        <v/>
      </c>
      <c r="BE327" s="93" t="n"/>
      <c r="BF327" s="105" t="n"/>
      <c r="FC327" t="inlineStr">
        <is>
          <t>Diccionario 1</t>
        </is>
      </c>
      <c r="FD327" s="15" t="n">
        <v>1326</v>
      </c>
      <c r="FE327" s="15" t="inlineStr">
        <is>
          <t>MDN35025020107</t>
        </is>
      </c>
      <c r="FF327" s="15" t="inlineStr">
        <is>
          <t>LDYECS313S0044063</t>
        </is>
      </c>
      <c r="FG327" s="15" t="inlineStr">
        <is>
          <t>Zhong Tong</t>
        </is>
      </c>
      <c r="FH327" s="15" t="inlineStr">
        <is>
          <t>Lck6122evg</t>
        </is>
      </c>
      <c r="FI327" s="15" t="inlineStr">
        <is>
          <t>ZHONGTONG</t>
        </is>
      </c>
      <c r="FJ327" s="15" t="inlineStr">
        <is>
          <t>LCK6122EVG</t>
        </is>
      </c>
      <c r="FK327" s="15" t="n">
        <v>2025</v>
      </c>
      <c r="FL327" s="15" t="inlineStr">
        <is>
          <t>B</t>
        </is>
      </c>
      <c r="FM327" s="15" t="inlineStr">
        <is>
          <t>PIE ANDINO</t>
        </is>
      </c>
      <c r="FN327" s="15" t="inlineStr">
        <is>
          <t>Pie Andino 31 (Pie Andino 383)</t>
        </is>
      </c>
      <c r="FO327" s="15" t="inlineStr">
        <is>
          <t>Puente Alto</t>
        </is>
      </c>
      <c r="FP327" t="inlineStr">
        <is>
          <t>B</t>
        </is>
      </c>
      <c r="FS327" s="14" t="inlineStr">
        <is>
          <t>3088 / SFWZ-81|</t>
        </is>
      </c>
      <c r="FT327" t="inlineStr">
        <is>
          <t>SFWZ-81|</t>
        </is>
      </c>
      <c r="FU327" t="inlineStr">
        <is>
          <t>SFWZ-81</t>
        </is>
      </c>
      <c r="FV327">
        <f>VLOOKUP(FU327,FD:FL,9,0)</f>
        <v/>
      </c>
      <c r="HA327" s="35" t="n">
        <v>97</v>
      </c>
      <c r="HB327" s="35" t="n">
        <v>321</v>
      </c>
    </row>
    <row r="328" ht="15.5" customHeight="1">
      <c r="A328" s="10">
        <f>HOUR(G328)+1</f>
        <v/>
      </c>
      <c r="B328" s="7" t="n"/>
      <c r="C328" s="7" t="n"/>
      <c r="D328" s="85">
        <f>IFERROR(
IF(AND(OR(Planilla!B328="C",Planilla!B328="c"), VLOOKUP(E328,FD:FP,13,0)="C"), "OK",IF(AND(OR(Planilla!B328="C",Planilla!B328="c"), OR(VLOOKUP(E328,FD:FP,13,0)="B", VLOOKUP(E328,FD:FP,13,0)="A")), "DEFICIT",IF(
AND(OR(Planilla!B328="B", Planilla!B328="BPAL"), VLOOKUP(E328,FD:FP,13,0)="B"), "OK",IF(AND(OR(Planilla!B328="B", Planilla!B328="BPAL"), VLOOKUP(E328,FD:FP,13,0)="A"), "DEFICIT",IF(AND(OR(Planilla!B328="B", Planilla!B328="BPAL"), VLOOKUP(E328,FD:FP,13,0)="C"), "SOBREOFERTA",IF(AND(Planilla!B328="A", VLOOKUP(E328,FD:FP,13,0)="A"), "OK",IF(
AND(Planilla!B328="A", OR(VLOOKUP(E328,FD:FP,13,0)="B", VLOOKUP(E328,FD:FP,13,0)="C")), "SOBREOFERTA",""
))))))),"")</f>
        <v/>
      </c>
      <c r="E328" s="8" t="n"/>
      <c r="F328" s="86" t="n"/>
      <c r="G328" s="87" t="n"/>
      <c r="H328" s="88">
        <f>IF(I328="","",IF(AND((I328-G328)&gt;=TIME(0,0,0),(I328-G328)&lt;TIME(0,3,0)),"OK",IF(AND((I328-G328)&gt;=TIME(0,3,0),(I328-G328)&lt;TIME(0,5,0)),"RETRASO DE 3-5 MIN",IF(AND((I328-G328)&gt;=TIME(0,5,0),(I328-G328)&lt;TIME(0,10,0)),"RETRASO DE 5-10 MIN",IF((I328-G328)&gt;=TIME(0,10,0),"RETRASO &gt;10 MIN", IF(AND((G328-I328)&gt;=TIME(0,0,0),(G328-I328)&lt;TIME(0,3,0)),"OK",IF((G328-I328)&gt;=TIME(0,3,0),"ADELANTADO")))))))</f>
        <v/>
      </c>
      <c r="I328" s="89" t="n"/>
      <c r="J328" s="89">
        <f>IF(A328&lt;&gt;"",HLOOKUP(VALUE(TEXT(G328,"h:mm:ss")),IF($C$6="Laboral",$FZ$4:$GX$227,IF($C$6="Sábado",$FZ$231:$GX$452,$FZ$456:$GX$656)),VLOOKUP($C$4,$HF$2:$HH$99,3,0)+IF(C$5="Ida",0,1),1),"")</f>
        <v/>
      </c>
      <c r="K328" s="89">
        <f>IF(A329&lt;&gt;A328,AVERAGEIF(A$9:A328,A328,J$9:J328),"")</f>
        <v/>
      </c>
      <c r="L328" s="89">
        <f>IFERROR(IF(A329&lt;&gt;A328,AVERAGEIF(A$9:A328,A328,S$9:S328),""),"")</f>
        <v/>
      </c>
      <c r="M328" s="89">
        <f>IFERROR(IF(A329&lt;&gt;A328,AVERAGEIF(A$9:A328,A328,T$9:T328),""),"")</f>
        <v/>
      </c>
      <c r="N328" s="89">
        <f t="array" ref="N328">IFERROR(IF(A329&lt;&gt;A328,_xlfn.STDEV.P(IF(A$9:A328=A328,T$9:T328)),""),"")</f>
        <v/>
      </c>
      <c r="O328" s="89">
        <f t="array" ref="O328">IFERROR(IF(A329&lt;&gt;A328,_xlfn.STDEV.P(IF(A$9:A328=A328,S$9:S328)),""),"")</f>
        <v/>
      </c>
      <c r="P328" s="90">
        <f>IFERROR(IF(A328&lt;&gt;A329,MAX((((M328*24*60)/2)*(1+POWER((((N328*24*60) / (M328*24*60) )),2))) + ((M328*24*60 )*-0.1 + (K328*0.015)) +1,(((M328*24*60)/2)*(1+POWER((((N328*24*60) / (M328*24*60 ))),2)))),""),"")</f>
        <v/>
      </c>
      <c r="Q328" s="90">
        <f>IF(AND(O328&lt;&gt;"",L328&lt;&gt;""),IF(A328&lt;&gt;A329,((L328*24*60) / 2 ) * (1 + POWER(((O328*24*60) / (L328*24*60)),2)),""),"")</f>
        <v/>
      </c>
      <c r="R328" s="90">
        <f>IF(Q328&lt;&gt;"",MAX(P328,Q328),"")</f>
        <v/>
      </c>
      <c r="S328" s="89">
        <f>IF(I328&lt;&gt;"H. Sale Real",IF(AND(I329&lt;&gt;"",LEFT(C329,2)&lt;&gt;"Va"),IF(AND(I328&lt;&gt;"",LEFT(C328,2)&lt;&gt;"Va",I328&lt;&gt;"H. Sale Real"),IF(I329-I328&lt;0.208333333333333,I329-I328,""),IF(AND(I327&lt;&gt;"",LEFT(C327,2)&lt;&gt;"Va",I327&lt;&gt;"H. Sale Real"),IF(I329-I327&lt;0.208333333333333,I329-I327,""),IF(AND(I326&lt;&gt;"",LEFT(C326,2)&lt;&gt;"Va",I326&lt;&gt;"H. Sale Real"),IF(I329-I326&lt;0.208333333333333,I329-I326,""),IF(AND(I325&lt;&gt;"",LEFT(C325,2)&lt;&gt;"Va",I325&lt;&gt;"H. Sale Real"),IF(I329-I325&lt;0.208333333333333,I329-I325,""),IF(AND(I324&lt;&gt;"",LEFT(C324,2)&lt;&gt;"Va",I324&lt;&gt;"H. Sale Real"),IF(I329-I324&lt;0.208333333333333,I329-I324,""),""))))),""),"")</f>
        <v/>
      </c>
      <c r="T328" s="89">
        <f>IF(G328&lt;&gt;"H. Sale Real",IF(AND(G329&lt;&gt;"",LEFT(C329,2)&lt;&gt;"Va"),IF(AND(G328&lt;&gt;"",LEFT(C328,2)&lt;&gt;"Va",G328&lt;&gt;"H. Sale Real"),IF(G329-G328&lt;0.208333333333333,G329-G328,""),IF(AND(G327&lt;&gt;"",LEFT(C327,2)&lt;&gt;"Va",G327&lt;&gt;"H. Sale Real"),IF(G329-G327&lt;0.208333333333333,G329-G327,""),IF(AND(G326&lt;&gt;"",LEFT(C326,2)&lt;&gt;"Va",G326&lt;&gt;"H. Sale Real"),IF(G329-G326&lt;0.208333333333333,G329-G326,""),IF(AND(G325&lt;&gt;"",LEFT(C325,2)&lt;&gt;"Va",G325&lt;&gt;"H. Sale Real"),IF(G329-G325&lt;0.208333333333333,G329-G325,""),IF(AND(G324&lt;&gt;"",LEFT(C324,2)&lt;&gt;"Va",G324&lt;&gt;"H. Sale Real"),IF(G329-G324&lt;0.208333333333333,G329-G324,""),""))))),""),"")</f>
        <v/>
      </c>
      <c r="U328" s="87" t="n"/>
      <c r="V328" s="89" t="n"/>
      <c r="W328" s="87" t="n"/>
      <c r="X328" s="89" t="n"/>
      <c r="Y328" s="91" t="n"/>
      <c r="Z328" s="122">
        <f>IF(G328&lt;&gt;"",IF(AND(Z327&lt;&gt;"IE",P328&lt;&gt;0,R328&lt;&gt;""),IF(IFERROR((P328/R328),0) &lt;=1,IFERROR(P328/R328,""),1),""),"")</f>
        <v/>
      </c>
      <c r="AA328" s="93" t="n"/>
      <c r="AB328" s="2" t="n"/>
      <c r="AE328" s="10">
        <f>HOUR(AK328)+1</f>
        <v/>
      </c>
      <c r="AF328" s="7" t="n"/>
      <c r="AG328" s="7" t="n"/>
      <c r="AH328" s="86" t="n"/>
      <c r="AI328" s="8" t="n"/>
      <c r="AJ328" s="86" t="n"/>
      <c r="AK328" s="87" t="n"/>
      <c r="AL328" s="88">
        <f>IF(AM328="","",IF(AND((AM328-AK328)&gt;=TIME(0,0,0),(AM328-AK328)&lt;TIME(0,3,0)),"OK",IF(AND((AM328-AK328)&gt;=TIME(0,3,0),(AM328-AK328)&lt;TIME(0,5,0)),"RETRASO DE 3-5 MIN",IF(AND((AM328-AK328)&gt;=TIME(0,5,0),(AM328-AK328)&lt;TIME(0,10,0)),"RETRASO DE 5-10 MIN",IF((AM328-AK328)&gt;=TIME(0,10,0),"RETRASO &gt;10 MIN", IF(AND((AK328-AM328)&gt;=TIME(0,0,0),(AK328-AM328)&lt;TIME(0,3,0)),"OK",IF((AK328-AM328)&gt;=TIME(0,3,0),"ADELANTADO")))))))</f>
        <v/>
      </c>
      <c r="AM328" s="91" t="n"/>
      <c r="AN328" s="89">
        <f>IF(AE328&lt;&gt;"",HLOOKUP(VALUE(TEXT(AK328,"h:mm:ss")),IF($C$6="Laboral",$FZ$4:$GX$227,IF($C$6="Sábado",$FZ$231:$GX$452,$FZ$456:$GX$656)),VLOOKUP($C$4,$HF$2:$HH$99,3,0)+IF(AG$5="Ida",0,1),1),"")</f>
        <v/>
      </c>
      <c r="AO328" s="89">
        <f>IF(AE329&lt;&gt;AE328,AVERAGEIF(AE$9:AE328,AE328,AN$9:AN328),"")</f>
        <v/>
      </c>
      <c r="AP328" s="89">
        <f>IFERROR(IF(AE329&lt;&gt;AE328,AVERAGEIF(AE$9:AE328,AE328,AW$9:AW328),""),"")</f>
        <v/>
      </c>
      <c r="AQ328" s="89">
        <f>IFERROR(IF(AE329&lt;&gt;AE328,AVERAGEIF(AE$9:AE328,AE328,AX$9:AX328),""),"")</f>
        <v/>
      </c>
      <c r="AR328" s="89">
        <f t="array" ref="AR328">IFERROR(IF(AE329&lt;&gt;AE328,_xlfn.STDEV.P(IF(AE$9:AE328=AE328,AX$9:AX328)),""),"")</f>
        <v/>
      </c>
      <c r="AS328" s="89">
        <f t="array" ref="AS328">IFERROR(IF(AE329&lt;&gt;AE328,_xlfn.STDEV.P(IF(AE$9:AE328=AE328,AW$9:AW328)),""),"")</f>
        <v/>
      </c>
      <c r="AT328" s="90">
        <f>IFERROR(IF(AE328&lt;&gt;AE329,MAX((((AQ328*24*60)/2)*(1+POWER((((AR328*24*60) / (AQ328*24*60) )),2))) + ((AQ328*24*60 )*-0.1 + (AO328*0.015)) +1,(((AQ328*24*60)/2)*(1+POWER((((AR328*24*60) / (AQ328*24*60 ))),2)))),""),"")</f>
        <v/>
      </c>
      <c r="AU328" s="90">
        <f>IF(AND(AS328&lt;&gt;"",AP328&lt;&gt;""),IF(AE328&lt;&gt;AE329,((AP328*24*60) / 2 ) * (1 + POWER(((AS328*24*60) / (AP328*24*60)),2)),""),"")</f>
        <v/>
      </c>
      <c r="AV328" s="90">
        <f>IF(AU328&lt;&gt;"",MAX(AT328,AU328),"")</f>
        <v/>
      </c>
      <c r="AW328" s="89">
        <f>IF(AM328&lt;&gt;"H. Sale Real",IF(AND(AM329&lt;&gt;"",LEFT(AG329,2)&lt;&gt;"Va"),IF(AND(AM328&lt;&gt;"",LEFT(AG328,2)&lt;&gt;"Va",AM328&lt;&gt;"H. Sale Real"),IF(AM329-AM328&lt;0.208333333333333,AM329-AM328,""),IF(AND(AM327&lt;&gt;"",LEFT(AG327,2)&lt;&gt;"Va",AM327&lt;&gt;"H. Sale Real"),IF(AM329-AM327&lt;0.208333333333333,AM329-AM327,""),IF(AND(AM326&lt;&gt;"",LEFT(AG326,2)&lt;&gt;"Va",AM326&lt;&gt;"H. Sale Real"),IF(AM329-AM326&lt;0.208333333333333,AM329-AM326,""),IF(AND(AM325&lt;&gt;"",LEFT(AG325,2)&lt;&gt;"Va",AM325&lt;&gt;"H. Sale Real"),IF(AM329-AM325&lt;0.208333333333333,AM329-AM325,""),IF(AND(AM324&lt;&gt;"",LEFT(AG324,2)&lt;&gt;"Va",AM324&lt;&gt;"H. Sale Real"),IF(AM329-AM324&lt;0.208333333333333,AM329-AM324,""),""))))),""),"")</f>
        <v/>
      </c>
      <c r="AX328" s="89">
        <f>IF(AK328&lt;&gt;"H. Sale Real",IF(AND(AK329&lt;&gt;"",LEFT(AG329,2)&lt;&gt;"Va"),IF(AND(AK328&lt;&gt;"",LEFT(AG328,2)&lt;&gt;"Va",AK328&lt;&gt;"H. Sale Real"),IF(AK329-AK328&lt;0.208333333333333,AK329-AK328,""),IF(AND(AK327&lt;&gt;"",LEFT(AG327,2)&lt;&gt;"Va",AK327&lt;&gt;"H. Sale Real"),IF(AK329-AK327&lt;0.208333333333333,AK329-AK327,""),IF(AND(AK326&lt;&gt;"",LEFT(AG326,2)&lt;&gt;"NC",AK326&lt;&gt;"H. Sale Real"),IF(AK329-AK326&lt;0.208333333333333,AK329-AK326,""),IF(AND(AK325&lt;&gt;"",LEFT(AG325,2)&lt;&gt;"Va",AK325&lt;&gt;"H. Sale Real"),IF(AK329-AK325&lt;0.208333333333333,AK329-AK325,""),IF(AND(AK324&lt;&gt;"",LEFT(AG324,2)&lt;&gt;"Va",AK324&lt;&gt;"H. Sale Real"),IF(AK329-AK324&lt;0.208333333333333,AK329-AK324,""),""))))),""),"")</f>
        <v/>
      </c>
      <c r="AY328" s="87" t="n"/>
      <c r="AZ328" s="89" t="n"/>
      <c r="BA328" s="87" t="n"/>
      <c r="BB328" s="89" t="n"/>
      <c r="BC328" s="91" t="n"/>
      <c r="BD328" s="122">
        <f>IF(AK328&lt;&gt;"",IF(AND(BD327&lt;&gt;"IE",AT328&lt;&gt;0,AV328&lt;&gt;""),IF(IFERROR((AT328/AV328),0) &lt;=1,IFERROR(AT328/AV328,""),1),""),"")</f>
        <v/>
      </c>
      <c r="BE328" s="93" t="n"/>
      <c r="BF328" s="105" t="n"/>
      <c r="FC328" t="inlineStr">
        <is>
          <t>Diccionario 1</t>
        </is>
      </c>
      <c r="FD328" s="15" t="n">
        <v>1327</v>
      </c>
      <c r="FE328" s="15" t="inlineStr">
        <is>
          <t>MDN35025010243</t>
        </is>
      </c>
      <c r="FF328" s="15" t="inlineStr">
        <is>
          <t>LDYECS310S0044053</t>
        </is>
      </c>
      <c r="FG328" s="15" t="inlineStr">
        <is>
          <t>Zhong Tong</t>
        </is>
      </c>
      <c r="FH328" s="15" t="inlineStr">
        <is>
          <t>Lck6122evg</t>
        </is>
      </c>
      <c r="FI328" s="15" t="inlineStr">
        <is>
          <t>ZHONGTONG</t>
        </is>
      </c>
      <c r="FJ328" s="15" t="inlineStr">
        <is>
          <t>LCK6122EVG</t>
        </is>
      </c>
      <c r="FK328" s="15" t="n">
        <v>2025</v>
      </c>
      <c r="FL328" s="15" t="inlineStr">
        <is>
          <t>B</t>
        </is>
      </c>
      <c r="FM328" s="15" t="inlineStr">
        <is>
          <t>PIE ANDINO</t>
        </is>
      </c>
      <c r="FN328" s="15" t="inlineStr">
        <is>
          <t>Pie Andino 31 (Pie Andino 383)</t>
        </is>
      </c>
      <c r="FO328" s="15" t="inlineStr">
        <is>
          <t>Puente Alto</t>
        </is>
      </c>
      <c r="FP328" t="inlineStr">
        <is>
          <t>B</t>
        </is>
      </c>
      <c r="FS328" s="14" t="inlineStr">
        <is>
          <t>3088 / SFWZ-81|</t>
        </is>
      </c>
      <c r="FT328" t="inlineStr">
        <is>
          <t>SFWZ-81|</t>
        </is>
      </c>
      <c r="FU328" t="inlineStr">
        <is>
          <t>SFWZ-81</t>
        </is>
      </c>
      <c r="FV328">
        <f>VLOOKUP(FU328,FD:FL,9,0)</f>
        <v/>
      </c>
      <c r="HA328" s="35" t="n">
        <v>98</v>
      </c>
      <c r="HB328" s="35" t="n">
        <v>322</v>
      </c>
    </row>
    <row r="329" ht="15.5" customHeight="1">
      <c r="A329" s="10">
        <f>HOUR(G329)+1</f>
        <v/>
      </c>
      <c r="B329" s="7" t="n"/>
      <c r="C329" s="7" t="n"/>
      <c r="D329" s="85">
        <f>IFERROR(
IF(AND(OR(Planilla!B329="C",Planilla!B329="c"), VLOOKUP(E329,FD:FP,13,0)="C"), "OK",IF(AND(OR(Planilla!B329="C",Planilla!B329="c"), OR(VLOOKUP(E329,FD:FP,13,0)="B", VLOOKUP(E329,FD:FP,13,0)="A")), "DEFICIT",IF(
AND(OR(Planilla!B329="B", Planilla!B329="BPAL"), VLOOKUP(E329,FD:FP,13,0)="B"), "OK",IF(AND(OR(Planilla!B329="B", Planilla!B329="BPAL"), VLOOKUP(E329,FD:FP,13,0)="A"), "DEFICIT",IF(AND(OR(Planilla!B329="B", Planilla!B329="BPAL"), VLOOKUP(E329,FD:FP,13,0)="C"), "SOBREOFERTA",IF(AND(Planilla!B329="A", VLOOKUP(E329,FD:FP,13,0)="A"), "OK",IF(
AND(Planilla!B329="A", OR(VLOOKUP(E329,FD:FP,13,0)="B", VLOOKUP(E329,FD:FP,13,0)="C")), "SOBREOFERTA",""
))))))),"")</f>
        <v/>
      </c>
      <c r="E329" s="8" t="n"/>
      <c r="F329" s="86" t="n"/>
      <c r="G329" s="87" t="n"/>
      <c r="H329" s="88">
        <f>IF(I329="","",IF(AND((I329-G329)&gt;=TIME(0,0,0),(I329-G329)&lt;TIME(0,3,0)),"OK",IF(AND((I329-G329)&gt;=TIME(0,3,0),(I329-G329)&lt;TIME(0,5,0)),"RETRASO DE 3-5 MIN",IF(AND((I329-G329)&gt;=TIME(0,5,0),(I329-G329)&lt;TIME(0,10,0)),"RETRASO DE 5-10 MIN",IF((I329-G329)&gt;=TIME(0,10,0),"RETRASO &gt;10 MIN", IF(AND((G329-I329)&gt;=TIME(0,0,0),(G329-I329)&lt;TIME(0,3,0)),"OK",IF((G329-I329)&gt;=TIME(0,3,0),"ADELANTADO")))))))</f>
        <v/>
      </c>
      <c r="I329" s="89" t="n"/>
      <c r="J329" s="89">
        <f>IF(A329&lt;&gt;"",HLOOKUP(VALUE(TEXT(G329,"h:mm:ss")),IF($C$6="Laboral",$FZ$4:$GX$227,IF($C$6="Sábado",$FZ$231:$GX$452,$FZ$456:$GX$656)),VLOOKUP($C$4,$HF$2:$HH$99,3,0)+IF(C$5="Ida",0,1),1),"")</f>
        <v/>
      </c>
      <c r="K329" s="89">
        <f>IF(A330&lt;&gt;A329,AVERAGEIF(A$9:A329,A329,J$9:J329),"")</f>
        <v/>
      </c>
      <c r="L329" s="89">
        <f>IFERROR(IF(A330&lt;&gt;A329,AVERAGEIF(A$9:A329,A329,S$9:S329),""),"")</f>
        <v/>
      </c>
      <c r="M329" s="89">
        <f>IFERROR(IF(A330&lt;&gt;A329,AVERAGEIF(A$9:A329,A329,T$9:T329),""),"")</f>
        <v/>
      </c>
      <c r="N329" s="89">
        <f t="array" ref="N329">IFERROR(IF(A330&lt;&gt;A329,_xlfn.STDEV.P(IF(A$9:A329=A329,T$9:T329)),""),"")</f>
        <v/>
      </c>
      <c r="O329" s="89">
        <f t="array" ref="O329">IFERROR(IF(A330&lt;&gt;A329,_xlfn.STDEV.P(IF(A$9:A329=A329,S$9:S329)),""),"")</f>
        <v/>
      </c>
      <c r="P329" s="90">
        <f>IFERROR(IF(A329&lt;&gt;A330,MAX((((M329*24*60)/2)*(1+POWER((((N329*24*60) / (M329*24*60) )),2))) + ((M329*24*60 )*-0.1 + (K329*0.015)) +1,(((M329*24*60)/2)*(1+POWER((((N329*24*60) / (M329*24*60 ))),2)))),""),"")</f>
        <v/>
      </c>
      <c r="Q329" s="90">
        <f>IF(AND(O329&lt;&gt;"",L329&lt;&gt;""),IF(A329&lt;&gt;A330,((L329*24*60) / 2 ) * (1 + POWER(((O329*24*60) / (L329*24*60)),2)),""),"")</f>
        <v/>
      </c>
      <c r="R329" s="90">
        <f>IF(Q329&lt;&gt;"",MAX(P329,Q329),"")</f>
        <v/>
      </c>
      <c r="S329" s="89">
        <f>IF(I329&lt;&gt;"H. Sale Real",IF(AND(I330&lt;&gt;"",LEFT(C330,2)&lt;&gt;"Va"),IF(AND(I329&lt;&gt;"",LEFT(C329,2)&lt;&gt;"Va",I329&lt;&gt;"H. Sale Real"),IF(I330-I329&lt;0.208333333333333,I330-I329,""),IF(AND(I328&lt;&gt;"",LEFT(C328,2)&lt;&gt;"Va",I328&lt;&gt;"H. Sale Real"),IF(I330-I328&lt;0.208333333333333,I330-I328,""),IF(AND(I327&lt;&gt;"",LEFT(C327,2)&lt;&gt;"Va",I327&lt;&gt;"H. Sale Real"),IF(I330-I327&lt;0.208333333333333,I330-I327,""),IF(AND(I326&lt;&gt;"",LEFT(C326,2)&lt;&gt;"Va",I326&lt;&gt;"H. Sale Real"),IF(I330-I326&lt;0.208333333333333,I330-I326,""),IF(AND(I325&lt;&gt;"",LEFT(C325,2)&lt;&gt;"Va",I325&lt;&gt;"H. Sale Real"),IF(I330-I325&lt;0.208333333333333,I330-I325,""),""))))),""),"")</f>
        <v/>
      </c>
      <c r="T329" s="89">
        <f>IF(G329&lt;&gt;"H. Sale Real",IF(AND(G330&lt;&gt;"",LEFT(C330,2)&lt;&gt;"Va"),IF(AND(G329&lt;&gt;"",LEFT(C329,2)&lt;&gt;"Va",G329&lt;&gt;"H. Sale Real"),IF(G330-G329&lt;0.208333333333333,G330-G329,""),IF(AND(G328&lt;&gt;"",LEFT(C328,2)&lt;&gt;"Va",G328&lt;&gt;"H. Sale Real"),IF(G330-G328&lt;0.208333333333333,G330-G328,""),IF(AND(G327&lt;&gt;"",LEFT(C327,2)&lt;&gt;"Va",G327&lt;&gt;"H. Sale Real"),IF(G330-G327&lt;0.208333333333333,G330-G327,""),IF(AND(G326&lt;&gt;"",LEFT(C326,2)&lt;&gt;"Va",G326&lt;&gt;"H. Sale Real"),IF(G330-G326&lt;0.208333333333333,G330-G326,""),IF(AND(G325&lt;&gt;"",LEFT(C325,2)&lt;&gt;"Va",G325&lt;&gt;"H. Sale Real"),IF(G330-G325&lt;0.208333333333333,G330-G325,""),""))))),""),"")</f>
        <v/>
      </c>
      <c r="U329" s="87" t="n"/>
      <c r="V329" s="89" t="n"/>
      <c r="W329" s="87" t="n"/>
      <c r="X329" s="89" t="n"/>
      <c r="Y329" s="91" t="n"/>
      <c r="Z329" s="122">
        <f>IF(G329&lt;&gt;"",IF(AND(Z328&lt;&gt;"IE",P329&lt;&gt;0,R329&lt;&gt;""),IF(IFERROR((P329/R329),0) &lt;=1,IFERROR(P329/R329,""),1),""),"")</f>
        <v/>
      </c>
      <c r="AA329" s="93" t="n"/>
      <c r="AB329" s="2" t="n"/>
      <c r="AE329" s="10">
        <f>HOUR(AK329)+1</f>
        <v/>
      </c>
      <c r="AF329" s="7" t="n"/>
      <c r="AG329" s="7" t="n"/>
      <c r="AH329" s="86" t="n"/>
      <c r="AI329" s="8" t="n"/>
      <c r="AJ329" s="86" t="n"/>
      <c r="AK329" s="87" t="n"/>
      <c r="AL329" s="88">
        <f>IF(AM329="","",IF(AND((AM329-AK329)&gt;=TIME(0,0,0),(AM329-AK329)&lt;TIME(0,3,0)),"OK",IF(AND((AM329-AK329)&gt;=TIME(0,3,0),(AM329-AK329)&lt;TIME(0,5,0)),"RETRASO DE 3-5 MIN",IF(AND((AM329-AK329)&gt;=TIME(0,5,0),(AM329-AK329)&lt;TIME(0,10,0)),"RETRASO DE 5-10 MIN",IF((AM329-AK329)&gt;=TIME(0,10,0),"RETRASO &gt;10 MIN", IF(AND((AK329-AM329)&gt;=TIME(0,0,0),(AK329-AM329)&lt;TIME(0,3,0)),"OK",IF((AK329-AM329)&gt;=TIME(0,3,0),"ADELANTADO")))))))</f>
        <v/>
      </c>
      <c r="AM329" s="91" t="n"/>
      <c r="AN329" s="89">
        <f>IF(AE329&lt;&gt;"",HLOOKUP(VALUE(TEXT(AK329,"h:mm:ss")),IF($C$6="Laboral",$FZ$4:$GX$227,IF($C$6="Sábado",$FZ$231:$GX$452,$FZ$456:$GX$656)),VLOOKUP($C$4,$HF$2:$HH$99,3,0)+IF(AG$5="Ida",0,1),1),"")</f>
        <v/>
      </c>
      <c r="AO329" s="89">
        <f>IF(AE330&lt;&gt;AE329,AVERAGEIF(AE$9:AE329,AE329,AN$9:AN329),"")</f>
        <v/>
      </c>
      <c r="AP329" s="89">
        <f>IFERROR(IF(AE330&lt;&gt;AE329,AVERAGEIF(AE$9:AE329,AE329,AW$9:AW329),""),"")</f>
        <v/>
      </c>
      <c r="AQ329" s="89">
        <f>IFERROR(IF(AE330&lt;&gt;AE329,AVERAGEIF(AE$9:AE329,AE329,AX$9:AX329),""),"")</f>
        <v/>
      </c>
      <c r="AR329" s="89">
        <f t="array" ref="AR329">IFERROR(IF(AE330&lt;&gt;AE329,_xlfn.STDEV.P(IF(AE$9:AE329=AE329,AX$9:AX329)),""),"")</f>
        <v/>
      </c>
      <c r="AS329" s="89">
        <f t="array" ref="AS329">IFERROR(IF(AE330&lt;&gt;AE329,_xlfn.STDEV.P(IF(AE$9:AE329=AE329,AW$9:AW329)),""),"")</f>
        <v/>
      </c>
      <c r="AT329" s="90">
        <f>IFERROR(IF(AE329&lt;&gt;AE330,MAX((((AQ329*24*60)/2)*(1+POWER((((AR329*24*60) / (AQ329*24*60) )),2))) + ((AQ329*24*60 )*-0.1 + (AO329*0.015)) +1,(((AQ329*24*60)/2)*(1+POWER((((AR329*24*60) / (AQ329*24*60 ))),2)))),""),"")</f>
        <v/>
      </c>
      <c r="AU329" s="90">
        <f>IF(AND(AS329&lt;&gt;"",AP329&lt;&gt;""),IF(AE329&lt;&gt;AE330,((AP329*24*60) / 2 ) * (1 + POWER(((AS329*24*60) / (AP329*24*60)),2)),""),"")</f>
        <v/>
      </c>
      <c r="AV329" s="90">
        <f>IF(AU329&lt;&gt;"",MAX(AT329,AU329),"")</f>
        <v/>
      </c>
      <c r="AW329" s="89">
        <f>IF(AM329&lt;&gt;"H. Sale Real",IF(AND(AM330&lt;&gt;"",LEFT(AG330,2)&lt;&gt;"Va"),IF(AND(AM329&lt;&gt;"",LEFT(AG329,2)&lt;&gt;"Va",AM329&lt;&gt;"H. Sale Real"),IF(AM330-AM329&lt;0.208333333333333,AM330-AM329,""),IF(AND(AM328&lt;&gt;"",LEFT(AG328,2)&lt;&gt;"Va",AM328&lt;&gt;"H. Sale Real"),IF(AM330-AM328&lt;0.208333333333333,AM330-AM328,""),IF(AND(AM327&lt;&gt;"",LEFT(AG327,2)&lt;&gt;"Va",AM327&lt;&gt;"H. Sale Real"),IF(AM330-AM327&lt;0.208333333333333,AM330-AM327,""),IF(AND(AM326&lt;&gt;"",LEFT(AG326,2)&lt;&gt;"Va",AM326&lt;&gt;"H. Sale Real"),IF(AM330-AM326&lt;0.208333333333333,AM330-AM326,""),IF(AND(AM325&lt;&gt;"",LEFT(AG325,2)&lt;&gt;"Va",AM325&lt;&gt;"H. Sale Real"),IF(AM330-AM325&lt;0.208333333333333,AM330-AM325,""),""))))),""),"")</f>
        <v/>
      </c>
      <c r="AX329" s="89">
        <f>IF(AK329&lt;&gt;"H. Sale Real",IF(AND(AK330&lt;&gt;"",LEFT(AG330,2)&lt;&gt;"Va"),IF(AND(AK329&lt;&gt;"",LEFT(AG329,2)&lt;&gt;"Va",AK329&lt;&gt;"H. Sale Real"),IF(AK330-AK329&lt;0.208333333333333,AK330-AK329,""),IF(AND(AK328&lt;&gt;"",LEFT(AG328,2)&lt;&gt;"Va",AK328&lt;&gt;"H. Sale Real"),IF(AK330-AK328&lt;0.208333333333333,AK330-AK328,""),IF(AND(AK327&lt;&gt;"",LEFT(AG327,2)&lt;&gt;"NC",AK327&lt;&gt;"H. Sale Real"),IF(AK330-AK327&lt;0.208333333333333,AK330-AK327,""),IF(AND(AK326&lt;&gt;"",LEFT(AG326,2)&lt;&gt;"Va",AK326&lt;&gt;"H. Sale Real"),IF(AK330-AK326&lt;0.208333333333333,AK330-AK326,""),IF(AND(AK325&lt;&gt;"",LEFT(AG325,2)&lt;&gt;"Va",AK325&lt;&gt;"H. Sale Real"),IF(AK330-AK325&lt;0.208333333333333,AK330-AK325,""),""))))),""),"")</f>
        <v/>
      </c>
      <c r="AY329" s="87" t="n"/>
      <c r="AZ329" s="89" t="n"/>
      <c r="BA329" s="87" t="n"/>
      <c r="BB329" s="89" t="n"/>
      <c r="BC329" s="91" t="n"/>
      <c r="BD329" s="122">
        <f>IF(AK329&lt;&gt;"",IF(AND(BD328&lt;&gt;"IE",AT329&lt;&gt;0,AV329&lt;&gt;""),IF(IFERROR((AT329/AV329),0) &lt;=1,IFERROR(AT329/AV329,""),1),""),"")</f>
        <v/>
      </c>
      <c r="BE329" s="93" t="n"/>
      <c r="BF329" s="105" t="n"/>
      <c r="FC329" t="inlineStr">
        <is>
          <t>Diccionario 1</t>
        </is>
      </c>
      <c r="FD329" s="15" t="n">
        <v>1328</v>
      </c>
      <c r="FE329" s="15" t="inlineStr">
        <is>
          <t>MDN35025020034</t>
        </is>
      </c>
      <c r="FF329" s="15" t="inlineStr">
        <is>
          <t>LDYECS315S0044064</t>
        </is>
      </c>
      <c r="FG329" s="15" t="inlineStr">
        <is>
          <t>Zhong Tong</t>
        </is>
      </c>
      <c r="FH329" s="15" t="inlineStr">
        <is>
          <t>Lck6122evg</t>
        </is>
      </c>
      <c r="FI329" s="15" t="inlineStr">
        <is>
          <t>ZHONGTONG</t>
        </is>
      </c>
      <c r="FJ329" s="15" t="inlineStr">
        <is>
          <t>LCK6122EVG</t>
        </is>
      </c>
      <c r="FK329" s="15" t="n">
        <v>2025</v>
      </c>
      <c r="FL329" s="15" t="inlineStr">
        <is>
          <t>B</t>
        </is>
      </c>
      <c r="FM329" s="15" t="inlineStr">
        <is>
          <t>PIE ANDINO</t>
        </is>
      </c>
      <c r="FN329" s="15" t="inlineStr">
        <is>
          <t>Pie Andino 31 (Pie Andino 383)</t>
        </is>
      </c>
      <c r="FO329" s="15" t="inlineStr">
        <is>
          <t>Puente Alto</t>
        </is>
      </c>
      <c r="FP329" t="inlineStr">
        <is>
          <t>B</t>
        </is>
      </c>
      <c r="FS329" s="14" t="inlineStr">
        <is>
          <t>3088 / SFWZ-81|</t>
        </is>
      </c>
      <c r="FT329" t="inlineStr">
        <is>
          <t>SFWZ-81|</t>
        </is>
      </c>
      <c r="FU329" t="inlineStr">
        <is>
          <t>SFWZ-81</t>
        </is>
      </c>
      <c r="FV329">
        <f>VLOOKUP(FU329,FD:FL,9,0)</f>
        <v/>
      </c>
      <c r="HA329" s="35" t="n">
        <v>99</v>
      </c>
      <c r="HB329" s="35" t="n">
        <v>323</v>
      </c>
    </row>
    <row r="330" ht="15.5" customHeight="1">
      <c r="A330" s="10">
        <f>HOUR(G330)+1</f>
        <v/>
      </c>
      <c r="B330" s="7" t="n"/>
      <c r="C330" s="7" t="n"/>
      <c r="D330" s="85">
        <f>IFERROR(
IF(AND(OR(Planilla!B330="C",Planilla!B330="c"), VLOOKUP(E330,FD:FP,13,0)="C"), "OK",IF(AND(OR(Planilla!B330="C",Planilla!B330="c"), OR(VLOOKUP(E330,FD:FP,13,0)="B", VLOOKUP(E330,FD:FP,13,0)="A")), "DEFICIT",IF(
AND(OR(Planilla!B330="B", Planilla!B330="BPAL"), VLOOKUP(E330,FD:FP,13,0)="B"), "OK",IF(AND(OR(Planilla!B330="B", Planilla!B330="BPAL"), VLOOKUP(E330,FD:FP,13,0)="A"), "DEFICIT",IF(AND(OR(Planilla!B330="B", Planilla!B330="BPAL"), VLOOKUP(E330,FD:FP,13,0)="C"), "SOBREOFERTA",IF(AND(Planilla!B330="A", VLOOKUP(E330,FD:FP,13,0)="A"), "OK",IF(
AND(Planilla!B330="A", OR(VLOOKUP(E330,FD:FP,13,0)="B", VLOOKUP(E330,FD:FP,13,0)="C")), "SOBREOFERTA",""
))))))),"")</f>
        <v/>
      </c>
      <c r="E330" s="8" t="n"/>
      <c r="F330" s="86" t="n"/>
      <c r="G330" s="87" t="n"/>
      <c r="H330" s="88">
        <f>IF(I330="","",IF(AND((I330-G330)&gt;=TIME(0,0,0),(I330-G330)&lt;TIME(0,3,0)),"OK",IF(AND((I330-G330)&gt;=TIME(0,3,0),(I330-G330)&lt;TIME(0,5,0)),"RETRASO DE 3-5 MIN",IF(AND((I330-G330)&gt;=TIME(0,5,0),(I330-G330)&lt;TIME(0,10,0)),"RETRASO DE 5-10 MIN",IF((I330-G330)&gt;=TIME(0,10,0),"RETRASO &gt;10 MIN", IF(AND((G330-I330)&gt;=TIME(0,0,0),(G330-I330)&lt;TIME(0,3,0)),"OK",IF((G330-I330)&gt;=TIME(0,3,0),"ADELANTADO")))))))</f>
        <v/>
      </c>
      <c r="I330" s="89" t="n"/>
      <c r="J330" s="89">
        <f>IF(A330&lt;&gt;"",HLOOKUP(VALUE(TEXT(G330,"h:mm:ss")),IF($C$6="Laboral",$FZ$4:$GX$227,IF($C$6="Sábado",$FZ$231:$GX$452,$FZ$456:$GX$656)),VLOOKUP($C$4,$HF$2:$HH$99,3,0)+IF(C$5="Ida",0,1),1),"")</f>
        <v/>
      </c>
      <c r="K330" s="89">
        <f>IF(A331&lt;&gt;A330,AVERAGEIF(A$9:A330,A330,J$9:J330),"")</f>
        <v/>
      </c>
      <c r="L330" s="89">
        <f>IFERROR(IF(A331&lt;&gt;A330,AVERAGEIF(A$9:A330,A330,S$9:S330),""),"")</f>
        <v/>
      </c>
      <c r="M330" s="89">
        <f>IFERROR(IF(A331&lt;&gt;A330,AVERAGEIF(A$9:A330,A330,T$9:T330),""),"")</f>
        <v/>
      </c>
      <c r="N330" s="89">
        <f t="array" ref="N330">IFERROR(IF(A331&lt;&gt;A330,_xlfn.STDEV.P(IF(A$9:A330=A330,T$9:T330)),""),"")</f>
        <v/>
      </c>
      <c r="O330" s="89">
        <f t="array" ref="O330">IFERROR(IF(A331&lt;&gt;A330,_xlfn.STDEV.P(IF(A$9:A330=A330,S$9:S330)),""),"")</f>
        <v/>
      </c>
      <c r="P330" s="90">
        <f>IFERROR(IF(A330&lt;&gt;A331,MAX((((M330*24*60)/2)*(1+POWER((((N330*24*60) / (M330*24*60) )),2))) + ((M330*24*60 )*-0.1 + (K330*0.015)) +1,(((M330*24*60)/2)*(1+POWER((((N330*24*60) / (M330*24*60 ))),2)))),""),"")</f>
        <v/>
      </c>
      <c r="Q330" s="90">
        <f>IF(AND(O330&lt;&gt;"",L330&lt;&gt;""),IF(A330&lt;&gt;A331,((L330*24*60) / 2 ) * (1 + POWER(((O330*24*60) / (L330*24*60)),2)),""),"")</f>
        <v/>
      </c>
      <c r="R330" s="90">
        <f>IF(Q330&lt;&gt;"",MAX(P330,Q330),"")</f>
        <v/>
      </c>
      <c r="S330" s="89">
        <f>IF(I330&lt;&gt;"H. Sale Real",IF(AND(I331&lt;&gt;"",LEFT(C331,2)&lt;&gt;"Va"),IF(AND(I330&lt;&gt;"",LEFT(C330,2)&lt;&gt;"Va",I330&lt;&gt;"H. Sale Real"),IF(I331-I330&lt;0.208333333333333,I331-I330,""),IF(AND(I329&lt;&gt;"",LEFT(C329,2)&lt;&gt;"Va",I329&lt;&gt;"H. Sale Real"),IF(I331-I329&lt;0.208333333333333,I331-I329,""),IF(AND(I328&lt;&gt;"",LEFT(C328,2)&lt;&gt;"Va",I328&lt;&gt;"H. Sale Real"),IF(I331-I328&lt;0.208333333333333,I331-I328,""),IF(AND(I327&lt;&gt;"",LEFT(C327,2)&lt;&gt;"Va",I327&lt;&gt;"H. Sale Real"),IF(I331-I327&lt;0.208333333333333,I331-I327,""),IF(AND(I326&lt;&gt;"",LEFT(C326,2)&lt;&gt;"Va",I326&lt;&gt;"H. Sale Real"),IF(I331-I326&lt;0.208333333333333,I331-I326,""),""))))),""),"")</f>
        <v/>
      </c>
      <c r="T330" s="89">
        <f>IF(G330&lt;&gt;"H. Sale Real",IF(AND(G331&lt;&gt;"",LEFT(C331,2)&lt;&gt;"Va"),IF(AND(G330&lt;&gt;"",LEFT(C330,2)&lt;&gt;"Va",G330&lt;&gt;"H. Sale Real"),IF(G331-G330&lt;0.208333333333333,G331-G330,""),IF(AND(G329&lt;&gt;"",LEFT(C329,2)&lt;&gt;"Va",G329&lt;&gt;"H. Sale Real"),IF(G331-G329&lt;0.208333333333333,G331-G329,""),IF(AND(G328&lt;&gt;"",LEFT(C328,2)&lt;&gt;"Va",G328&lt;&gt;"H. Sale Real"),IF(G331-G328&lt;0.208333333333333,G331-G328,""),IF(AND(G327&lt;&gt;"",LEFT(C327,2)&lt;&gt;"Va",G327&lt;&gt;"H. Sale Real"),IF(G331-G327&lt;0.208333333333333,G331-G327,""),IF(AND(G326&lt;&gt;"",LEFT(C326,2)&lt;&gt;"Va",G326&lt;&gt;"H. Sale Real"),IF(G331-G326&lt;0.208333333333333,G331-G326,""),""))))),""),"")</f>
        <v/>
      </c>
      <c r="U330" s="87" t="n"/>
      <c r="V330" s="89" t="n"/>
      <c r="W330" s="87" t="n"/>
      <c r="X330" s="89" t="n"/>
      <c r="Y330" s="91" t="n"/>
      <c r="Z330" s="122">
        <f>IF(G330&lt;&gt;"",IF(AND(Z329&lt;&gt;"IE",P330&lt;&gt;0,R330&lt;&gt;""),IF(IFERROR((P330/R330),0) &lt;=1,IFERROR(P330/R330,""),1),""),"")</f>
        <v/>
      </c>
      <c r="AA330" s="93" t="n"/>
      <c r="AB330" s="2" t="n"/>
      <c r="AE330" s="10">
        <f>HOUR(AK330)+1</f>
        <v/>
      </c>
      <c r="AF330" s="7" t="n"/>
      <c r="AG330" s="7" t="n"/>
      <c r="AH330" s="86" t="n"/>
      <c r="AI330" s="8" t="n"/>
      <c r="AJ330" s="86" t="n"/>
      <c r="AK330" s="87" t="n"/>
      <c r="AL330" s="88">
        <f>IF(AM330="","",IF(AND((AM330-AK330)&gt;=TIME(0,0,0),(AM330-AK330)&lt;TIME(0,3,0)),"OK",IF(AND((AM330-AK330)&gt;=TIME(0,3,0),(AM330-AK330)&lt;TIME(0,5,0)),"RETRASO DE 3-5 MIN",IF(AND((AM330-AK330)&gt;=TIME(0,5,0),(AM330-AK330)&lt;TIME(0,10,0)),"RETRASO DE 5-10 MIN",IF((AM330-AK330)&gt;=TIME(0,10,0),"RETRASO &gt;10 MIN", IF(AND((AK330-AM330)&gt;=TIME(0,0,0),(AK330-AM330)&lt;TIME(0,3,0)),"OK",IF((AK330-AM330)&gt;=TIME(0,3,0),"ADELANTADO")))))))</f>
        <v/>
      </c>
      <c r="AM330" s="91" t="n"/>
      <c r="AN330" s="89">
        <f>IF(AE330&lt;&gt;"",HLOOKUP(VALUE(TEXT(AK330,"h:mm:ss")),IF($C$6="Laboral",$FZ$4:$GX$227,IF($C$6="Sábado",$FZ$231:$GX$452,$FZ$456:$GX$656)),VLOOKUP($C$4,$HF$2:$HH$99,3,0)+IF(AG$5="Ida",0,1),1),"")</f>
        <v/>
      </c>
      <c r="AO330" s="89">
        <f>IF(AE331&lt;&gt;AE330,AVERAGEIF(AE$9:AE330,AE330,AN$9:AN330),"")</f>
        <v/>
      </c>
      <c r="AP330" s="89">
        <f>IFERROR(IF(AE331&lt;&gt;AE330,AVERAGEIF(AE$9:AE330,AE330,AW$9:AW330),""),"")</f>
        <v/>
      </c>
      <c r="AQ330" s="89">
        <f>IFERROR(IF(AE331&lt;&gt;AE330,AVERAGEIF(AE$9:AE330,AE330,AX$9:AX330),""),"")</f>
        <v/>
      </c>
      <c r="AR330" s="89">
        <f t="array" ref="AR330">IFERROR(IF(AE331&lt;&gt;AE330,_xlfn.STDEV.P(IF(AE$9:AE330=AE330,AX$9:AX330)),""),"")</f>
        <v/>
      </c>
      <c r="AS330" s="89">
        <f t="array" ref="AS330">IFERROR(IF(AE331&lt;&gt;AE330,_xlfn.STDEV.P(IF(AE$9:AE330=AE330,AW$9:AW330)),""),"")</f>
        <v/>
      </c>
      <c r="AT330" s="90">
        <f>IFERROR(IF(AE330&lt;&gt;AE331,MAX((((AQ330*24*60)/2)*(1+POWER((((AR330*24*60) / (AQ330*24*60) )),2))) + ((AQ330*24*60 )*-0.1 + (AO330*0.015)) +1,(((AQ330*24*60)/2)*(1+POWER((((AR330*24*60) / (AQ330*24*60 ))),2)))),""),"")</f>
        <v/>
      </c>
      <c r="AU330" s="90">
        <f>IF(AND(AS330&lt;&gt;"",AP330&lt;&gt;""),IF(AE330&lt;&gt;AE331,((AP330*24*60) / 2 ) * (1 + POWER(((AS330*24*60) / (AP330*24*60)),2)),""),"")</f>
        <v/>
      </c>
      <c r="AV330" s="90">
        <f>IF(AU330&lt;&gt;"",MAX(AT330,AU330),"")</f>
        <v/>
      </c>
      <c r="AW330" s="89">
        <f>IF(AM330&lt;&gt;"H. Sale Real",IF(AND(AM331&lt;&gt;"",LEFT(AG331,2)&lt;&gt;"Va"),IF(AND(AM330&lt;&gt;"",LEFT(AG330,2)&lt;&gt;"Va",AM330&lt;&gt;"H. Sale Real"),IF(AM331-AM330&lt;0.208333333333333,AM331-AM330,""),IF(AND(AM329&lt;&gt;"",LEFT(AG329,2)&lt;&gt;"Va",AM329&lt;&gt;"H. Sale Real"),IF(AM331-AM329&lt;0.208333333333333,AM331-AM329,""),IF(AND(AM328&lt;&gt;"",LEFT(AG328,2)&lt;&gt;"Va",AM328&lt;&gt;"H. Sale Real"),IF(AM331-AM328&lt;0.208333333333333,AM331-AM328,""),IF(AND(AM327&lt;&gt;"",LEFT(AG327,2)&lt;&gt;"Va",AM327&lt;&gt;"H. Sale Real"),IF(AM331-AM327&lt;0.208333333333333,AM331-AM327,""),IF(AND(AM326&lt;&gt;"",LEFT(AG326,2)&lt;&gt;"Va",AM326&lt;&gt;"H. Sale Real"),IF(AM331-AM326&lt;0.208333333333333,AM331-AM326,""),""))))),""),"")</f>
        <v/>
      </c>
      <c r="AX330" s="89">
        <f>IF(AK330&lt;&gt;"H. Sale Real",IF(AND(AK331&lt;&gt;"",LEFT(AG331,2)&lt;&gt;"Va"),IF(AND(AK330&lt;&gt;"",LEFT(AG330,2)&lt;&gt;"Va",AK330&lt;&gt;"H. Sale Real"),IF(AK331-AK330&lt;0.208333333333333,AK331-AK330,""),IF(AND(AK329&lt;&gt;"",LEFT(AG329,2)&lt;&gt;"Va",AK329&lt;&gt;"H. Sale Real"),IF(AK331-AK329&lt;0.208333333333333,AK331-AK329,""),IF(AND(AK328&lt;&gt;"",LEFT(AG328,2)&lt;&gt;"NC",AK328&lt;&gt;"H. Sale Real"),IF(AK331-AK328&lt;0.208333333333333,AK331-AK328,""),IF(AND(AK327&lt;&gt;"",LEFT(AG327,2)&lt;&gt;"Va",AK327&lt;&gt;"H. Sale Real"),IF(AK331-AK327&lt;0.208333333333333,AK331-AK327,""),IF(AND(AK326&lt;&gt;"",LEFT(AG326,2)&lt;&gt;"Va",AK326&lt;&gt;"H. Sale Real"),IF(AK331-AK326&lt;0.208333333333333,AK331-AK326,""),""))))),""),"")</f>
        <v/>
      </c>
      <c r="AY330" s="87" t="n"/>
      <c r="AZ330" s="89" t="n"/>
      <c r="BA330" s="87" t="n"/>
      <c r="BB330" s="89" t="n"/>
      <c r="BC330" s="91" t="n"/>
      <c r="BD330" s="122">
        <f>IF(AK330&lt;&gt;"",IF(AND(BD329&lt;&gt;"IE",AT330&lt;&gt;0,AV330&lt;&gt;""),IF(IFERROR((AT330/AV330),0) &lt;=1,IFERROR(AT330/AV330,""),1),""),"")</f>
        <v/>
      </c>
      <c r="BE330" s="93" t="n"/>
      <c r="BF330" s="105" t="n"/>
      <c r="FC330" t="inlineStr">
        <is>
          <t>Diccionario 1</t>
        </is>
      </c>
      <c r="FD330" s="15" t="n">
        <v>1329</v>
      </c>
      <c r="FE330" s="15" t="inlineStr">
        <is>
          <t>MDN35025010187</t>
        </is>
      </c>
      <c r="FF330" s="15" t="inlineStr">
        <is>
          <t>LDYECS318S0044043</t>
        </is>
      </c>
      <c r="FG330" s="15" t="inlineStr">
        <is>
          <t>Zhong Tong</t>
        </is>
      </c>
      <c r="FH330" s="15" t="inlineStr">
        <is>
          <t>Lck6122evg</t>
        </is>
      </c>
      <c r="FI330" s="15" t="inlineStr">
        <is>
          <t>ZHONGTONG</t>
        </is>
      </c>
      <c r="FJ330" s="15" t="inlineStr">
        <is>
          <t>LCK6122EVG</t>
        </is>
      </c>
      <c r="FK330" s="15" t="n">
        <v>2025</v>
      </c>
      <c r="FL330" s="15" t="inlineStr">
        <is>
          <t>B</t>
        </is>
      </c>
      <c r="FM330" s="15" t="inlineStr">
        <is>
          <t>PIE ANDINO</t>
        </is>
      </c>
      <c r="FN330" s="15" t="inlineStr">
        <is>
          <t>Pie Andino 31 (Pie Andino 383)</t>
        </is>
      </c>
      <c r="FO330" s="15" t="inlineStr">
        <is>
          <t>Puente Alto</t>
        </is>
      </c>
      <c r="FP330" t="inlineStr">
        <is>
          <t>B</t>
        </is>
      </c>
      <c r="FS330" s="14" t="inlineStr">
        <is>
          <t>3088 / SFWZ-81|</t>
        </is>
      </c>
      <c r="FT330" t="inlineStr">
        <is>
          <t>SFWZ-81|</t>
        </is>
      </c>
      <c r="FU330" t="inlineStr">
        <is>
          <t>SFWZ-81</t>
        </is>
      </c>
      <c r="FV330">
        <f>VLOOKUP(FU330,FD:FL,9,0)</f>
        <v/>
      </c>
      <c r="HA330" s="35" t="n">
        <v>100</v>
      </c>
      <c r="HB330" s="35" t="n">
        <v>324</v>
      </c>
    </row>
    <row r="331" ht="15.5" customHeight="1">
      <c r="A331" s="10">
        <f>HOUR(G331)+1</f>
        <v/>
      </c>
      <c r="B331" s="7" t="n"/>
      <c r="C331" s="7" t="n"/>
      <c r="D331" s="85">
        <f>IFERROR(
IF(AND(OR(Planilla!B331="C",Planilla!B331="c"), VLOOKUP(E331,FD:FP,13,0)="C"), "OK",IF(AND(OR(Planilla!B331="C",Planilla!B331="c"), OR(VLOOKUP(E331,FD:FP,13,0)="B", VLOOKUP(E331,FD:FP,13,0)="A")), "DEFICIT",IF(
AND(OR(Planilla!B331="B", Planilla!B331="BPAL"), VLOOKUP(E331,FD:FP,13,0)="B"), "OK",IF(AND(OR(Planilla!B331="B", Planilla!B331="BPAL"), VLOOKUP(E331,FD:FP,13,0)="A"), "DEFICIT",IF(AND(OR(Planilla!B331="B", Planilla!B331="BPAL"), VLOOKUP(E331,FD:FP,13,0)="C"), "SOBREOFERTA",IF(AND(Planilla!B331="A", VLOOKUP(E331,FD:FP,13,0)="A"), "OK",IF(
AND(Planilla!B331="A", OR(VLOOKUP(E331,FD:FP,13,0)="B", VLOOKUP(E331,FD:FP,13,0)="C")), "SOBREOFERTA",""
))))))),"")</f>
        <v/>
      </c>
      <c r="E331" s="8" t="n"/>
      <c r="F331" s="86" t="n"/>
      <c r="G331" s="87" t="n"/>
      <c r="H331" s="88">
        <f>IF(I331="","",IF(AND((I331-G331)&gt;=TIME(0,0,0),(I331-G331)&lt;TIME(0,3,0)),"OK",IF(AND((I331-G331)&gt;=TIME(0,3,0),(I331-G331)&lt;TIME(0,5,0)),"RETRASO DE 3-5 MIN",IF(AND((I331-G331)&gt;=TIME(0,5,0),(I331-G331)&lt;TIME(0,10,0)),"RETRASO DE 5-10 MIN",IF((I331-G331)&gt;=TIME(0,10,0),"RETRASO &gt;10 MIN", IF(AND((G331-I331)&gt;=TIME(0,0,0),(G331-I331)&lt;TIME(0,3,0)),"OK",IF((G331-I331)&gt;=TIME(0,3,0),"ADELANTADO")))))))</f>
        <v/>
      </c>
      <c r="I331" s="89" t="n"/>
      <c r="J331" s="89">
        <f>IF(A331&lt;&gt;"",HLOOKUP(VALUE(TEXT(G331,"h:mm:ss")),IF($C$6="Laboral",$FZ$4:$GX$227,IF($C$6="Sábado",$FZ$231:$GX$452,$FZ$456:$GX$656)),VLOOKUP($C$4,$HF$2:$HH$99,3,0)+IF(C$5="Ida",0,1),1),"")</f>
        <v/>
      </c>
      <c r="K331" s="89">
        <f>IF(A332&lt;&gt;A331,AVERAGEIF(A$9:A331,A331,J$9:J331),"")</f>
        <v/>
      </c>
      <c r="L331" s="89">
        <f>IFERROR(IF(A332&lt;&gt;A331,AVERAGEIF(A$9:A331,A331,S$9:S331),""),"")</f>
        <v/>
      </c>
      <c r="M331" s="89">
        <f>IFERROR(IF(A332&lt;&gt;A331,AVERAGEIF(A$9:A331,A331,T$9:T331),""),"")</f>
        <v/>
      </c>
      <c r="N331" s="89">
        <f t="array" ref="N331">IFERROR(IF(A332&lt;&gt;A331,_xlfn.STDEV.P(IF(A$9:A331=A331,T$9:T331)),""),"")</f>
        <v/>
      </c>
      <c r="O331" s="89">
        <f t="array" ref="O331">IFERROR(IF(A332&lt;&gt;A331,_xlfn.STDEV.P(IF(A$9:A331=A331,S$9:S331)),""),"")</f>
        <v/>
      </c>
      <c r="P331" s="90">
        <f>IFERROR(IF(A331&lt;&gt;A332,MAX((((M331*24*60)/2)*(1+POWER((((N331*24*60) / (M331*24*60) )),2))) + ((M331*24*60 )*-0.1 + (K331*0.015)) +1,(((M331*24*60)/2)*(1+POWER((((N331*24*60) / (M331*24*60 ))),2)))),""),"")</f>
        <v/>
      </c>
      <c r="Q331" s="90">
        <f>IF(AND(O331&lt;&gt;"",L331&lt;&gt;""),IF(A331&lt;&gt;A332,((L331*24*60) / 2 ) * (1 + POWER(((O331*24*60) / (L331*24*60)),2)),""),"")</f>
        <v/>
      </c>
      <c r="R331" s="90">
        <f>IF(Q331&lt;&gt;"",MAX(P331,Q331),"")</f>
        <v/>
      </c>
      <c r="S331" s="89">
        <f>IF(I331&lt;&gt;"H. Sale Real",IF(AND(I332&lt;&gt;"",LEFT(C332,2)&lt;&gt;"Va"),IF(AND(I331&lt;&gt;"",LEFT(C331,2)&lt;&gt;"Va",I331&lt;&gt;"H. Sale Real"),IF(I332-I331&lt;0.208333333333333,I332-I331,""),IF(AND(I330&lt;&gt;"",LEFT(C330,2)&lt;&gt;"Va",I330&lt;&gt;"H. Sale Real"),IF(I332-I330&lt;0.208333333333333,I332-I330,""),IF(AND(I329&lt;&gt;"",LEFT(C329,2)&lt;&gt;"Va",I329&lt;&gt;"H. Sale Real"),IF(I332-I329&lt;0.208333333333333,I332-I329,""),IF(AND(I328&lt;&gt;"",LEFT(C328,2)&lt;&gt;"Va",I328&lt;&gt;"H. Sale Real"),IF(I332-I328&lt;0.208333333333333,I332-I328,""),IF(AND(I327&lt;&gt;"",LEFT(C327,2)&lt;&gt;"Va",I327&lt;&gt;"H. Sale Real"),IF(I332-I327&lt;0.208333333333333,I332-I327,""),""))))),""),"")</f>
        <v/>
      </c>
      <c r="T331" s="89">
        <f>IF(G331&lt;&gt;"H. Sale Real",IF(AND(G332&lt;&gt;"",LEFT(C332,2)&lt;&gt;"Va"),IF(AND(G331&lt;&gt;"",LEFT(C331,2)&lt;&gt;"Va",G331&lt;&gt;"H. Sale Real"),IF(G332-G331&lt;0.208333333333333,G332-G331,""),IF(AND(G330&lt;&gt;"",LEFT(C330,2)&lt;&gt;"Va",G330&lt;&gt;"H. Sale Real"),IF(G332-G330&lt;0.208333333333333,G332-G330,""),IF(AND(G329&lt;&gt;"",LEFT(C329,2)&lt;&gt;"Va",G329&lt;&gt;"H. Sale Real"),IF(G332-G329&lt;0.208333333333333,G332-G329,""),IF(AND(G328&lt;&gt;"",LEFT(C328,2)&lt;&gt;"Va",G328&lt;&gt;"H. Sale Real"),IF(G332-G328&lt;0.208333333333333,G332-G328,""),IF(AND(G327&lt;&gt;"",LEFT(C327,2)&lt;&gt;"Va",G327&lt;&gt;"H. Sale Real"),IF(G332-G327&lt;0.208333333333333,G332-G327,""),""))))),""),"")</f>
        <v/>
      </c>
      <c r="U331" s="87" t="n"/>
      <c r="V331" s="89" t="n"/>
      <c r="W331" s="87" t="n"/>
      <c r="X331" s="89" t="n"/>
      <c r="Y331" s="91" t="n"/>
      <c r="Z331" s="122">
        <f>IF(G331&lt;&gt;"",IF(AND(Z330&lt;&gt;"IE",P331&lt;&gt;0,R331&lt;&gt;""),IF(IFERROR((P331/R331),0) &lt;=1,IFERROR(P331/R331,""),1),""),"")</f>
        <v/>
      </c>
      <c r="AA331" s="93" t="n"/>
      <c r="AB331" s="2" t="n"/>
      <c r="AE331" s="10">
        <f>HOUR(AK331)+1</f>
        <v/>
      </c>
      <c r="AF331" s="7" t="n"/>
      <c r="AG331" s="7" t="n"/>
      <c r="AH331" s="86" t="n"/>
      <c r="AI331" s="8" t="n"/>
      <c r="AJ331" s="86" t="n"/>
      <c r="AK331" s="87" t="n"/>
      <c r="AL331" s="88">
        <f>IF(AM331="","",IF(AND((AM331-AK331)&gt;=TIME(0,0,0),(AM331-AK331)&lt;TIME(0,3,0)),"OK",IF(AND((AM331-AK331)&gt;=TIME(0,3,0),(AM331-AK331)&lt;TIME(0,5,0)),"RETRASO DE 3-5 MIN",IF(AND((AM331-AK331)&gt;=TIME(0,5,0),(AM331-AK331)&lt;TIME(0,10,0)),"RETRASO DE 5-10 MIN",IF((AM331-AK331)&gt;=TIME(0,10,0),"RETRASO &gt;10 MIN", IF(AND((AK331-AM331)&gt;=TIME(0,0,0),(AK331-AM331)&lt;TIME(0,3,0)),"OK",IF((AK331-AM331)&gt;=TIME(0,3,0),"ADELANTADO")))))))</f>
        <v/>
      </c>
      <c r="AM331" s="91" t="n"/>
      <c r="AN331" s="89">
        <f>IF(AE331&lt;&gt;"",HLOOKUP(VALUE(TEXT(AK331,"h:mm:ss")),IF($C$6="Laboral",$FZ$4:$GX$227,IF($C$6="Sábado",$FZ$231:$GX$452,$FZ$456:$GX$656)),VLOOKUP($C$4,$HF$2:$HH$99,3,0)+IF(AG$5="Ida",0,1),1),"")</f>
        <v/>
      </c>
      <c r="AO331" s="89">
        <f>IF(AE332&lt;&gt;AE331,AVERAGEIF(AE$9:AE331,AE331,AN$9:AN331),"")</f>
        <v/>
      </c>
      <c r="AP331" s="89">
        <f>IFERROR(IF(AE332&lt;&gt;AE331,AVERAGEIF(AE$9:AE331,AE331,AW$9:AW331),""),"")</f>
        <v/>
      </c>
      <c r="AQ331" s="89">
        <f>IFERROR(IF(AE332&lt;&gt;AE331,AVERAGEIF(AE$9:AE331,AE331,AX$9:AX331),""),"")</f>
        <v/>
      </c>
      <c r="AR331" s="89">
        <f t="array" ref="AR331">IFERROR(IF(AE332&lt;&gt;AE331,_xlfn.STDEV.P(IF(AE$9:AE331=AE331,AX$9:AX331)),""),"")</f>
        <v/>
      </c>
      <c r="AS331" s="89">
        <f t="array" ref="AS331">IFERROR(IF(AE332&lt;&gt;AE331,_xlfn.STDEV.P(IF(AE$9:AE331=AE331,AW$9:AW331)),""),"")</f>
        <v/>
      </c>
      <c r="AT331" s="90">
        <f>IFERROR(IF(AE331&lt;&gt;AE332,MAX((((AQ331*24*60)/2)*(1+POWER((((AR331*24*60) / (AQ331*24*60) )),2))) + ((AQ331*24*60 )*-0.1 + (AO331*0.015)) +1,(((AQ331*24*60)/2)*(1+POWER((((AR331*24*60) / (AQ331*24*60 ))),2)))),""),"")</f>
        <v/>
      </c>
      <c r="AU331" s="90">
        <f>IF(AND(AS331&lt;&gt;"",AP331&lt;&gt;""),IF(AE331&lt;&gt;AE332,((AP331*24*60) / 2 ) * (1 + POWER(((AS331*24*60) / (AP331*24*60)),2)),""),"")</f>
        <v/>
      </c>
      <c r="AV331" s="90">
        <f>IF(AU331&lt;&gt;"",MAX(AT331,AU331),"")</f>
        <v/>
      </c>
      <c r="AW331" s="89">
        <f>IF(AM331&lt;&gt;"H. Sale Real",IF(AND(AM332&lt;&gt;"",LEFT(AG332,2)&lt;&gt;"Va"),IF(AND(AM331&lt;&gt;"",LEFT(AG331,2)&lt;&gt;"Va",AM331&lt;&gt;"H. Sale Real"),IF(AM332-AM331&lt;0.208333333333333,AM332-AM331,""),IF(AND(AM330&lt;&gt;"",LEFT(AG330,2)&lt;&gt;"Va",AM330&lt;&gt;"H. Sale Real"),IF(AM332-AM330&lt;0.208333333333333,AM332-AM330,""),IF(AND(AM329&lt;&gt;"",LEFT(AG329,2)&lt;&gt;"Va",AM329&lt;&gt;"H. Sale Real"),IF(AM332-AM329&lt;0.208333333333333,AM332-AM329,""),IF(AND(AM328&lt;&gt;"",LEFT(AG328,2)&lt;&gt;"Va",AM328&lt;&gt;"H. Sale Real"),IF(AM332-AM328&lt;0.208333333333333,AM332-AM328,""),IF(AND(AM327&lt;&gt;"",LEFT(AG327,2)&lt;&gt;"Va",AM327&lt;&gt;"H. Sale Real"),IF(AM332-AM327&lt;0.208333333333333,AM332-AM327,""),""))))),""),"")</f>
        <v/>
      </c>
      <c r="AX331" s="89">
        <f>IF(AK331&lt;&gt;"H. Sale Real",IF(AND(AK332&lt;&gt;"",LEFT(AG332,2)&lt;&gt;"Va"),IF(AND(AK331&lt;&gt;"",LEFT(AG331,2)&lt;&gt;"Va",AK331&lt;&gt;"H. Sale Real"),IF(AK332-AK331&lt;0.208333333333333,AK332-AK331,""),IF(AND(AK330&lt;&gt;"",LEFT(AG330,2)&lt;&gt;"Va",AK330&lt;&gt;"H. Sale Real"),IF(AK332-AK330&lt;0.208333333333333,AK332-AK330,""),IF(AND(AK329&lt;&gt;"",LEFT(AG329,2)&lt;&gt;"NC",AK329&lt;&gt;"H. Sale Real"),IF(AK332-AK329&lt;0.208333333333333,AK332-AK329,""),IF(AND(AK328&lt;&gt;"",LEFT(AG328,2)&lt;&gt;"Va",AK328&lt;&gt;"H. Sale Real"),IF(AK332-AK328&lt;0.208333333333333,AK332-AK328,""),IF(AND(AK327&lt;&gt;"",LEFT(AG327,2)&lt;&gt;"Va",AK327&lt;&gt;"H. Sale Real"),IF(AK332-AK327&lt;0.208333333333333,AK332-AK327,""),""))))),""),"")</f>
        <v/>
      </c>
      <c r="AY331" s="87" t="n"/>
      <c r="AZ331" s="89" t="n"/>
      <c r="BA331" s="87" t="n"/>
      <c r="BB331" s="89" t="n"/>
      <c r="BC331" s="91" t="n"/>
      <c r="BD331" s="122">
        <f>IF(AK331&lt;&gt;"",IF(AND(BD330&lt;&gt;"IE",AT331&lt;&gt;0,AV331&lt;&gt;""),IF(IFERROR((AT331/AV331),0) &lt;=1,IFERROR(AT331/AV331,""),1),""),"")</f>
        <v/>
      </c>
      <c r="BE331" s="93" t="n"/>
      <c r="BF331" s="105" t="n"/>
      <c r="FC331" t="inlineStr">
        <is>
          <t>Diccionario 1</t>
        </is>
      </c>
      <c r="FD331" s="15" t="n">
        <v>1330</v>
      </c>
      <c r="FE331" s="15" t="inlineStr">
        <is>
          <t>MDN35025010199</t>
        </is>
      </c>
      <c r="FF331" s="15" t="inlineStr">
        <is>
          <t>LDYECS316S0044042</t>
        </is>
      </c>
      <c r="FG331" s="15" t="inlineStr">
        <is>
          <t>Zhong Tong</t>
        </is>
      </c>
      <c r="FH331" s="15" t="inlineStr">
        <is>
          <t>Lck6122evg</t>
        </is>
      </c>
      <c r="FI331" s="15" t="inlineStr">
        <is>
          <t>ZHONGTONG</t>
        </is>
      </c>
      <c r="FJ331" s="15" t="inlineStr">
        <is>
          <t>LCK6122EVG</t>
        </is>
      </c>
      <c r="FK331" s="15" t="n">
        <v>2025</v>
      </c>
      <c r="FL331" s="15" t="inlineStr">
        <is>
          <t>B</t>
        </is>
      </c>
      <c r="FM331" s="15" t="inlineStr">
        <is>
          <t>PIE ANDINO</t>
        </is>
      </c>
      <c r="FN331" s="15" t="inlineStr">
        <is>
          <t>Pie Andino 31 (Pie Andino 383)</t>
        </is>
      </c>
      <c r="FO331" s="15" t="inlineStr">
        <is>
          <t>Puente Alto</t>
        </is>
      </c>
      <c r="FP331" t="inlineStr">
        <is>
          <t>B</t>
        </is>
      </c>
      <c r="FS331" s="14" t="inlineStr">
        <is>
          <t>3088 / SFWZ-81|</t>
        </is>
      </c>
      <c r="FT331" t="inlineStr">
        <is>
          <t>SFWZ-81|</t>
        </is>
      </c>
      <c r="FU331" t="inlineStr">
        <is>
          <t>SFWZ-81</t>
        </is>
      </c>
      <c r="FV331">
        <f>VLOOKUP(FU331,FD:FL,9,0)</f>
        <v/>
      </c>
      <c r="HA331" s="35" t="n">
        <v>101</v>
      </c>
      <c r="HB331" s="35" t="n">
        <v>325</v>
      </c>
    </row>
    <row r="332" ht="15.5" customHeight="1">
      <c r="A332" s="10">
        <f>HOUR(G332)+1</f>
        <v/>
      </c>
      <c r="B332" s="7" t="n"/>
      <c r="C332" s="7" t="n"/>
      <c r="D332" s="85">
        <f>IFERROR(
IF(AND(OR(Planilla!B332="C",Planilla!B332="c"), VLOOKUP(E332,FD:FP,13,0)="C"), "OK",IF(AND(OR(Planilla!B332="C",Planilla!B332="c"), OR(VLOOKUP(E332,FD:FP,13,0)="B", VLOOKUP(E332,FD:FP,13,0)="A")), "DEFICIT",IF(
AND(OR(Planilla!B332="B", Planilla!B332="BPAL"), VLOOKUP(E332,FD:FP,13,0)="B"), "OK",IF(AND(OR(Planilla!B332="B", Planilla!B332="BPAL"), VLOOKUP(E332,FD:FP,13,0)="A"), "DEFICIT",IF(AND(OR(Planilla!B332="B", Planilla!B332="BPAL"), VLOOKUP(E332,FD:FP,13,0)="C"), "SOBREOFERTA",IF(AND(Planilla!B332="A", VLOOKUP(E332,FD:FP,13,0)="A"), "OK",IF(
AND(Planilla!B332="A", OR(VLOOKUP(E332,FD:FP,13,0)="B", VLOOKUP(E332,FD:FP,13,0)="C")), "SOBREOFERTA",""
))))))),"")</f>
        <v/>
      </c>
      <c r="E332" s="8" t="n"/>
      <c r="F332" s="86" t="n"/>
      <c r="G332" s="87" t="n"/>
      <c r="H332" s="88">
        <f>IF(I332="","",IF(AND((I332-G332)&gt;=TIME(0,0,0),(I332-G332)&lt;TIME(0,3,0)),"OK",IF(AND((I332-G332)&gt;=TIME(0,3,0),(I332-G332)&lt;TIME(0,5,0)),"RETRASO DE 3-5 MIN",IF(AND((I332-G332)&gt;=TIME(0,5,0),(I332-G332)&lt;TIME(0,10,0)),"RETRASO DE 5-10 MIN",IF((I332-G332)&gt;=TIME(0,10,0),"RETRASO &gt;10 MIN", IF(AND((G332-I332)&gt;=TIME(0,0,0),(G332-I332)&lt;TIME(0,3,0)),"OK",IF((G332-I332)&gt;=TIME(0,3,0),"ADELANTADO")))))))</f>
        <v/>
      </c>
      <c r="I332" s="89" t="n"/>
      <c r="J332" s="89">
        <f>IF(A332&lt;&gt;"",HLOOKUP(VALUE(TEXT(G332,"h:mm:ss")),IF($C$6="Laboral",$FZ$4:$GX$227,IF($C$6="Sábado",$FZ$231:$GX$452,$FZ$456:$GX$656)),VLOOKUP($C$4,$HF$2:$HH$99,3,0)+IF(C$5="Ida",0,1),1),"")</f>
        <v/>
      </c>
      <c r="K332" s="89">
        <f>IF(A333&lt;&gt;A332,AVERAGEIF(A$9:A332,A332,J$9:J332),"")</f>
        <v/>
      </c>
      <c r="L332" s="89">
        <f>IFERROR(IF(A333&lt;&gt;A332,AVERAGEIF(A$9:A332,A332,S$9:S332),""),"")</f>
        <v/>
      </c>
      <c r="M332" s="89">
        <f>IFERROR(IF(A333&lt;&gt;A332,AVERAGEIF(A$9:A332,A332,T$9:T332),""),"")</f>
        <v/>
      </c>
      <c r="N332" s="89">
        <f t="array" ref="N332">IFERROR(IF(A333&lt;&gt;A332,_xlfn.STDEV.P(IF(A$9:A332=A332,T$9:T332)),""),"")</f>
        <v/>
      </c>
      <c r="O332" s="89">
        <f t="array" ref="O332">IFERROR(IF(A333&lt;&gt;A332,_xlfn.STDEV.P(IF(A$9:A332=A332,S$9:S332)),""),"")</f>
        <v/>
      </c>
      <c r="P332" s="90">
        <f>IFERROR(IF(A332&lt;&gt;A333,MAX((((M332*24*60)/2)*(1+POWER((((N332*24*60) / (M332*24*60) )),2))) + ((M332*24*60 )*-0.1 + (K332*0.015)) +1,(((M332*24*60)/2)*(1+POWER((((N332*24*60) / (M332*24*60 ))),2)))),""),"")</f>
        <v/>
      </c>
      <c r="Q332" s="90">
        <f>IF(AND(O332&lt;&gt;"",L332&lt;&gt;""),IF(A332&lt;&gt;A333,((L332*24*60) / 2 ) * (1 + POWER(((O332*24*60) / (L332*24*60)),2)),""),"")</f>
        <v/>
      </c>
      <c r="R332" s="90">
        <f>IF(Q332&lt;&gt;"",MAX(P332,Q332),"")</f>
        <v/>
      </c>
      <c r="S332" s="89">
        <f>IF(I332&lt;&gt;"H. Sale Real",IF(AND(I333&lt;&gt;"",LEFT(C333,2)&lt;&gt;"Va"),IF(AND(I332&lt;&gt;"",LEFT(C332,2)&lt;&gt;"Va",I332&lt;&gt;"H. Sale Real"),IF(I333-I332&lt;0.208333333333333,I333-I332,""),IF(AND(I331&lt;&gt;"",LEFT(C331,2)&lt;&gt;"Va",I331&lt;&gt;"H. Sale Real"),IF(I333-I331&lt;0.208333333333333,I333-I331,""),IF(AND(I330&lt;&gt;"",LEFT(C330,2)&lt;&gt;"Va",I330&lt;&gt;"H. Sale Real"),IF(I333-I330&lt;0.208333333333333,I333-I330,""),IF(AND(I329&lt;&gt;"",LEFT(C329,2)&lt;&gt;"Va",I329&lt;&gt;"H. Sale Real"),IF(I333-I329&lt;0.208333333333333,I333-I329,""),IF(AND(I328&lt;&gt;"",LEFT(C328,2)&lt;&gt;"Va",I328&lt;&gt;"H. Sale Real"),IF(I333-I328&lt;0.208333333333333,I333-I328,""),""))))),""),"")</f>
        <v/>
      </c>
      <c r="T332" s="89">
        <f>IF(G332&lt;&gt;"H. Sale Real",IF(AND(G333&lt;&gt;"",LEFT(C333,2)&lt;&gt;"Va"),IF(AND(G332&lt;&gt;"",LEFT(C332,2)&lt;&gt;"Va",G332&lt;&gt;"H. Sale Real"),IF(G333-G332&lt;0.208333333333333,G333-G332,""),IF(AND(G331&lt;&gt;"",LEFT(C331,2)&lt;&gt;"Va",G331&lt;&gt;"H. Sale Real"),IF(G333-G331&lt;0.208333333333333,G333-G331,""),IF(AND(G330&lt;&gt;"",LEFT(C330,2)&lt;&gt;"Va",G330&lt;&gt;"H. Sale Real"),IF(G333-G330&lt;0.208333333333333,G333-G330,""),IF(AND(G329&lt;&gt;"",LEFT(C329,2)&lt;&gt;"Va",G329&lt;&gt;"H. Sale Real"),IF(G333-G329&lt;0.208333333333333,G333-G329,""),IF(AND(G328&lt;&gt;"",LEFT(C328,2)&lt;&gt;"Va",G328&lt;&gt;"H. Sale Real"),IF(G333-G328&lt;0.208333333333333,G333-G328,""),""))))),""),"")</f>
        <v/>
      </c>
      <c r="U332" s="87" t="n"/>
      <c r="V332" s="89" t="n"/>
      <c r="W332" s="87" t="n"/>
      <c r="X332" s="89" t="n"/>
      <c r="Y332" s="91" t="n"/>
      <c r="Z332" s="122">
        <f>IF(G332&lt;&gt;"",IF(AND(Z331&lt;&gt;"IE",P332&lt;&gt;0,R332&lt;&gt;""),IF(IFERROR((P332/R332),0) &lt;=1,IFERROR(P332/R332,""),1),""),"")</f>
        <v/>
      </c>
      <c r="AA332" s="93" t="n"/>
      <c r="AB332" s="2" t="n"/>
      <c r="AE332" s="10">
        <f>HOUR(AK332)+1</f>
        <v/>
      </c>
      <c r="AF332" s="7" t="n"/>
      <c r="AG332" s="7" t="n"/>
      <c r="AH332" s="86" t="n"/>
      <c r="AI332" s="8" t="n"/>
      <c r="AJ332" s="86" t="n"/>
      <c r="AK332" s="87" t="n"/>
      <c r="AL332" s="88">
        <f>IF(AM332="","",IF(AND((AM332-AK332)&gt;=TIME(0,0,0),(AM332-AK332)&lt;TIME(0,3,0)),"OK",IF(AND((AM332-AK332)&gt;=TIME(0,3,0),(AM332-AK332)&lt;TIME(0,5,0)),"RETRASO DE 3-5 MIN",IF(AND((AM332-AK332)&gt;=TIME(0,5,0),(AM332-AK332)&lt;TIME(0,10,0)),"RETRASO DE 5-10 MIN",IF((AM332-AK332)&gt;=TIME(0,10,0),"RETRASO &gt;10 MIN", IF(AND((AK332-AM332)&gt;=TIME(0,0,0),(AK332-AM332)&lt;TIME(0,3,0)),"OK",IF((AK332-AM332)&gt;=TIME(0,3,0),"ADELANTADO")))))))</f>
        <v/>
      </c>
      <c r="AM332" s="91" t="n"/>
      <c r="AN332" s="89">
        <f>IF(AE332&lt;&gt;"",HLOOKUP(VALUE(TEXT(AK332,"h:mm:ss")),IF($C$6="Laboral",$FZ$4:$GX$227,IF($C$6="Sábado",$FZ$231:$GX$452,$FZ$456:$GX$656)),VLOOKUP($C$4,$HF$2:$HH$99,3,0)+IF(AG$5="Ida",0,1),1),"")</f>
        <v/>
      </c>
      <c r="AO332" s="89">
        <f>IF(AE333&lt;&gt;AE332,AVERAGEIF(AE$9:AE332,AE332,AN$9:AN332),"")</f>
        <v/>
      </c>
      <c r="AP332" s="89">
        <f>IFERROR(IF(AE333&lt;&gt;AE332,AVERAGEIF(AE$9:AE332,AE332,AW$9:AW332),""),"")</f>
        <v/>
      </c>
      <c r="AQ332" s="89">
        <f>IFERROR(IF(AE333&lt;&gt;AE332,AVERAGEIF(AE$9:AE332,AE332,AX$9:AX332),""),"")</f>
        <v/>
      </c>
      <c r="AR332" s="89">
        <f t="array" ref="AR332">IFERROR(IF(AE333&lt;&gt;AE332,_xlfn.STDEV.P(IF(AE$9:AE332=AE332,AX$9:AX332)),""),"")</f>
        <v/>
      </c>
      <c r="AS332" s="89">
        <f t="array" ref="AS332">IFERROR(IF(AE333&lt;&gt;AE332,_xlfn.STDEV.P(IF(AE$9:AE332=AE332,AW$9:AW332)),""),"")</f>
        <v/>
      </c>
      <c r="AT332" s="90">
        <f>IFERROR(IF(AE332&lt;&gt;AE333,MAX((((AQ332*24*60)/2)*(1+POWER((((AR332*24*60) / (AQ332*24*60) )),2))) + ((AQ332*24*60 )*-0.1 + (AO332*0.015)) +1,(((AQ332*24*60)/2)*(1+POWER((((AR332*24*60) / (AQ332*24*60 ))),2)))),""),"")</f>
        <v/>
      </c>
      <c r="AU332" s="90">
        <f>IF(AND(AS332&lt;&gt;"",AP332&lt;&gt;""),IF(AE332&lt;&gt;AE333,((AP332*24*60) / 2 ) * (1 + POWER(((AS332*24*60) / (AP332*24*60)),2)),""),"")</f>
        <v/>
      </c>
      <c r="AV332" s="90">
        <f>IF(AU332&lt;&gt;"",MAX(AT332,AU332),"")</f>
        <v/>
      </c>
      <c r="AW332" s="89">
        <f>IF(AM332&lt;&gt;"H. Sale Real",IF(AND(AM333&lt;&gt;"",LEFT(AG333,2)&lt;&gt;"Va"),IF(AND(AM332&lt;&gt;"",LEFT(AG332,2)&lt;&gt;"Va",AM332&lt;&gt;"H. Sale Real"),IF(AM333-AM332&lt;0.208333333333333,AM333-AM332,""),IF(AND(AM331&lt;&gt;"",LEFT(AG331,2)&lt;&gt;"Va",AM331&lt;&gt;"H. Sale Real"),IF(AM333-AM331&lt;0.208333333333333,AM333-AM331,""),IF(AND(AM330&lt;&gt;"",LEFT(AG330,2)&lt;&gt;"Va",AM330&lt;&gt;"H. Sale Real"),IF(AM333-AM330&lt;0.208333333333333,AM333-AM330,""),IF(AND(AM329&lt;&gt;"",LEFT(AG329,2)&lt;&gt;"Va",AM329&lt;&gt;"H. Sale Real"),IF(AM333-AM329&lt;0.208333333333333,AM333-AM329,""),IF(AND(AM328&lt;&gt;"",LEFT(AG328,2)&lt;&gt;"Va",AM328&lt;&gt;"H. Sale Real"),IF(AM333-AM328&lt;0.208333333333333,AM333-AM328,""),""))))),""),"")</f>
        <v/>
      </c>
      <c r="AX332" s="89">
        <f>IF(AK332&lt;&gt;"H. Sale Real",IF(AND(AK333&lt;&gt;"",LEFT(AG333,2)&lt;&gt;"Va"),IF(AND(AK332&lt;&gt;"",LEFT(AG332,2)&lt;&gt;"Va",AK332&lt;&gt;"H. Sale Real"),IF(AK333-AK332&lt;0.208333333333333,AK333-AK332,""),IF(AND(AK331&lt;&gt;"",LEFT(AG331,2)&lt;&gt;"Va",AK331&lt;&gt;"H. Sale Real"),IF(AK333-AK331&lt;0.208333333333333,AK333-AK331,""),IF(AND(AK330&lt;&gt;"",LEFT(AG330,2)&lt;&gt;"NC",AK330&lt;&gt;"H. Sale Real"),IF(AK333-AK330&lt;0.208333333333333,AK333-AK330,""),IF(AND(AK329&lt;&gt;"",LEFT(AG329,2)&lt;&gt;"Va",AK329&lt;&gt;"H. Sale Real"),IF(AK333-AK329&lt;0.208333333333333,AK333-AK329,""),IF(AND(AK328&lt;&gt;"",LEFT(AG328,2)&lt;&gt;"Va",AK328&lt;&gt;"H. Sale Real"),IF(AK333-AK328&lt;0.208333333333333,AK333-AK328,""),""))))),""),"")</f>
        <v/>
      </c>
      <c r="AY332" s="87" t="n"/>
      <c r="AZ332" s="89" t="n"/>
      <c r="BA332" s="87" t="n"/>
      <c r="BB332" s="89" t="n"/>
      <c r="BC332" s="91" t="n"/>
      <c r="BD332" s="122">
        <f>IF(AK332&lt;&gt;"",IF(AND(BD331&lt;&gt;"IE",AT332&lt;&gt;0,AV332&lt;&gt;""),IF(IFERROR((AT332/AV332),0) &lt;=1,IFERROR(AT332/AV332,""),1),""),"")</f>
        <v/>
      </c>
      <c r="BE332" s="93" t="n"/>
      <c r="BF332" s="105" t="n"/>
      <c r="FC332" t="inlineStr">
        <is>
          <t>Diccionario 1</t>
        </is>
      </c>
      <c r="FD332" s="15" t="n">
        <v>1331</v>
      </c>
      <c r="FE332" s="15" t="inlineStr">
        <is>
          <t>MDN35025020089</t>
        </is>
      </c>
      <c r="FF332" s="15" t="inlineStr">
        <is>
          <t>LDYECS317S0044048</t>
        </is>
      </c>
      <c r="FG332" s="15" t="inlineStr">
        <is>
          <t>Zhong Tong</t>
        </is>
      </c>
      <c r="FH332" s="15" t="inlineStr">
        <is>
          <t>Lck6122evg</t>
        </is>
      </c>
      <c r="FI332" s="15" t="inlineStr">
        <is>
          <t>ZHONGTONG</t>
        </is>
      </c>
      <c r="FJ332" s="15" t="inlineStr">
        <is>
          <t>LCK6122EVG</t>
        </is>
      </c>
      <c r="FK332" s="15" t="n">
        <v>2025</v>
      </c>
      <c r="FL332" s="15" t="inlineStr">
        <is>
          <t>B</t>
        </is>
      </c>
      <c r="FM332" s="15" t="inlineStr">
        <is>
          <t>SAN ALFONSO</t>
        </is>
      </c>
      <c r="FN332" s="15" t="inlineStr">
        <is>
          <t>San Alfonso 2141 (Ramón Subercaseaux 3060)</t>
        </is>
      </c>
      <c r="FO332" s="15" t="inlineStr">
        <is>
          <t>Estacion Central</t>
        </is>
      </c>
      <c r="FP332" t="inlineStr">
        <is>
          <t>B</t>
        </is>
      </c>
      <c r="FS332" s="14" t="inlineStr">
        <is>
          <t>3089 / SFWZ-73|</t>
        </is>
      </c>
      <c r="FT332" t="inlineStr">
        <is>
          <t>SFWZ-73|</t>
        </is>
      </c>
      <c r="FU332" t="inlineStr">
        <is>
          <t>SFWZ-73</t>
        </is>
      </c>
      <c r="FV332">
        <f>VLOOKUP(FU332,FD:FL,9,0)</f>
        <v/>
      </c>
      <c r="HA332" s="35" t="n">
        <v>102</v>
      </c>
      <c r="HB332" s="35" t="n">
        <v>326</v>
      </c>
    </row>
    <row r="333" ht="15.5" customHeight="1">
      <c r="A333" s="10">
        <f>HOUR(G333)+1</f>
        <v/>
      </c>
      <c r="B333" s="7" t="n"/>
      <c r="C333" s="7" t="n"/>
      <c r="D333" s="85">
        <f>IFERROR(
IF(AND(OR(Planilla!B333="C",Planilla!B333="c"), VLOOKUP(E333,FD:FP,13,0)="C"), "OK",IF(AND(OR(Planilla!B333="C",Planilla!B333="c"), OR(VLOOKUP(E333,FD:FP,13,0)="B", VLOOKUP(E333,FD:FP,13,0)="A")), "DEFICIT",IF(
AND(OR(Planilla!B333="B", Planilla!B333="BPAL"), VLOOKUP(E333,FD:FP,13,0)="B"), "OK",IF(AND(OR(Planilla!B333="B", Planilla!B333="BPAL"), VLOOKUP(E333,FD:FP,13,0)="A"), "DEFICIT",IF(AND(OR(Planilla!B333="B", Planilla!B333="BPAL"), VLOOKUP(E333,FD:FP,13,0)="C"), "SOBREOFERTA",IF(AND(Planilla!B333="A", VLOOKUP(E333,FD:FP,13,0)="A"), "OK",IF(
AND(Planilla!B333="A", OR(VLOOKUP(E333,FD:FP,13,0)="B", VLOOKUP(E333,FD:FP,13,0)="C")), "SOBREOFERTA",""
))))))),"")</f>
        <v/>
      </c>
      <c r="E333" s="8" t="n"/>
      <c r="F333" s="86" t="n"/>
      <c r="G333" s="87" t="n"/>
      <c r="H333" s="88">
        <f>IF(I333="","",IF(AND((I333-G333)&gt;=TIME(0,0,0),(I333-G333)&lt;TIME(0,3,0)),"OK",IF(AND((I333-G333)&gt;=TIME(0,3,0),(I333-G333)&lt;TIME(0,5,0)),"RETRASO DE 3-5 MIN",IF(AND((I333-G333)&gt;=TIME(0,5,0),(I333-G333)&lt;TIME(0,10,0)),"RETRASO DE 5-10 MIN",IF((I333-G333)&gt;=TIME(0,10,0),"RETRASO &gt;10 MIN", IF(AND((G333-I333)&gt;=TIME(0,0,0),(G333-I333)&lt;TIME(0,3,0)),"OK",IF((G333-I333)&gt;=TIME(0,3,0),"ADELANTADO")))))))</f>
        <v/>
      </c>
      <c r="I333" s="89" t="n"/>
      <c r="J333" s="89">
        <f>IF(A333&lt;&gt;"",HLOOKUP(VALUE(TEXT(G333,"h:mm:ss")),IF($C$6="Laboral",$FZ$4:$GX$227,IF($C$6="Sábado",$FZ$231:$GX$452,$FZ$456:$GX$656)),VLOOKUP($C$4,$HF$2:$HH$99,3,0)+IF(C$5="Ida",0,1),1),"")</f>
        <v/>
      </c>
      <c r="K333" s="89">
        <f>IF(A334&lt;&gt;A333,AVERAGEIF(A$9:A333,A333,J$9:J333),"")</f>
        <v/>
      </c>
      <c r="L333" s="89">
        <f>IFERROR(IF(A334&lt;&gt;A333,AVERAGEIF(A$9:A333,A333,S$9:S333),""),"")</f>
        <v/>
      </c>
      <c r="M333" s="89">
        <f>IFERROR(IF(A334&lt;&gt;A333,AVERAGEIF(A$9:A333,A333,T$9:T333),""),"")</f>
        <v/>
      </c>
      <c r="N333" s="89">
        <f t="array" ref="N333">IFERROR(IF(A334&lt;&gt;A333,_xlfn.STDEV.P(IF(A$9:A333=A333,T$9:T333)),""),"")</f>
        <v/>
      </c>
      <c r="O333" s="89">
        <f t="array" ref="O333">IFERROR(IF(A334&lt;&gt;A333,_xlfn.STDEV.P(IF(A$9:A333=A333,S$9:S333)),""),"")</f>
        <v/>
      </c>
      <c r="P333" s="90">
        <f>IFERROR(IF(A333&lt;&gt;A334,MAX((((M333*24*60)/2)*(1+POWER((((N333*24*60) / (M333*24*60) )),2))) + ((M333*24*60 )*-0.1 + (K333*0.015)) +1,(((M333*24*60)/2)*(1+POWER((((N333*24*60) / (M333*24*60 ))),2)))),""),"")</f>
        <v/>
      </c>
      <c r="Q333" s="90">
        <f>IF(AND(O333&lt;&gt;"",L333&lt;&gt;""),IF(A333&lt;&gt;A334,((L333*24*60) / 2 ) * (1 + POWER(((O333*24*60) / (L333*24*60)),2)),""),"")</f>
        <v/>
      </c>
      <c r="R333" s="90">
        <f>IF(Q333&lt;&gt;"",MAX(P333,Q333),"")</f>
        <v/>
      </c>
      <c r="S333" s="89">
        <f>IF(I333&lt;&gt;"H. Sale Real",IF(AND(I334&lt;&gt;"",LEFT(C334,2)&lt;&gt;"Va"),IF(AND(I333&lt;&gt;"",LEFT(C333,2)&lt;&gt;"Va",I333&lt;&gt;"H. Sale Real"),IF(I334-I333&lt;0.208333333333333,I334-I333,""),IF(AND(I332&lt;&gt;"",LEFT(C332,2)&lt;&gt;"Va",I332&lt;&gt;"H. Sale Real"),IF(I334-I332&lt;0.208333333333333,I334-I332,""),IF(AND(I331&lt;&gt;"",LEFT(C331,2)&lt;&gt;"Va",I331&lt;&gt;"H. Sale Real"),IF(I334-I331&lt;0.208333333333333,I334-I331,""),IF(AND(I330&lt;&gt;"",LEFT(C330,2)&lt;&gt;"Va",I330&lt;&gt;"H. Sale Real"),IF(I334-I330&lt;0.208333333333333,I334-I330,""),IF(AND(I329&lt;&gt;"",LEFT(C329,2)&lt;&gt;"Va",I329&lt;&gt;"H. Sale Real"),IF(I334-I329&lt;0.208333333333333,I334-I329,""),""))))),""),"")</f>
        <v/>
      </c>
      <c r="T333" s="89">
        <f>IF(G333&lt;&gt;"H. Sale Real",IF(AND(G334&lt;&gt;"",LEFT(C334,2)&lt;&gt;"Va"),IF(AND(G333&lt;&gt;"",LEFT(C333,2)&lt;&gt;"Va",G333&lt;&gt;"H. Sale Real"),IF(G334-G333&lt;0.208333333333333,G334-G333,""),IF(AND(G332&lt;&gt;"",LEFT(C332,2)&lt;&gt;"Va",G332&lt;&gt;"H. Sale Real"),IF(G334-G332&lt;0.208333333333333,G334-G332,""),IF(AND(G331&lt;&gt;"",LEFT(C331,2)&lt;&gt;"Va",G331&lt;&gt;"H. Sale Real"),IF(G334-G331&lt;0.208333333333333,G334-G331,""),IF(AND(G330&lt;&gt;"",LEFT(C330,2)&lt;&gt;"Va",G330&lt;&gt;"H. Sale Real"),IF(G334-G330&lt;0.208333333333333,G334-G330,""),IF(AND(G329&lt;&gt;"",LEFT(C329,2)&lt;&gt;"Va",G329&lt;&gt;"H. Sale Real"),IF(G334-G329&lt;0.208333333333333,G334-G329,""),""))))),""),"")</f>
        <v/>
      </c>
      <c r="U333" s="87" t="n"/>
      <c r="V333" s="89" t="n"/>
      <c r="W333" s="87" t="n"/>
      <c r="X333" s="89" t="n"/>
      <c r="Y333" s="91" t="n"/>
      <c r="Z333" s="122">
        <f>IF(G333&lt;&gt;"",IF(AND(Z332&lt;&gt;"IE",P333&lt;&gt;0,R333&lt;&gt;""),IF(IFERROR((P333/R333),0) &lt;=1,IFERROR(P333/R333,""),1),""),"")</f>
        <v/>
      </c>
      <c r="AA333" s="93" t="n"/>
      <c r="AB333" s="2" t="n"/>
      <c r="AE333" s="10">
        <f>HOUR(AK333)+1</f>
        <v/>
      </c>
      <c r="AF333" s="7" t="n"/>
      <c r="AG333" s="7" t="n"/>
      <c r="AH333" s="86" t="n"/>
      <c r="AI333" s="8" t="n"/>
      <c r="AJ333" s="86" t="n"/>
      <c r="AK333" s="87" t="n"/>
      <c r="AL333" s="88">
        <f>IF(AM333="","",IF(AND((AM333-AK333)&gt;=TIME(0,0,0),(AM333-AK333)&lt;TIME(0,3,0)),"OK",IF(AND((AM333-AK333)&gt;=TIME(0,3,0),(AM333-AK333)&lt;TIME(0,5,0)),"RETRASO DE 3-5 MIN",IF(AND((AM333-AK333)&gt;=TIME(0,5,0),(AM333-AK333)&lt;TIME(0,10,0)),"RETRASO DE 5-10 MIN",IF((AM333-AK333)&gt;=TIME(0,10,0),"RETRASO &gt;10 MIN", IF(AND((AK333-AM333)&gt;=TIME(0,0,0),(AK333-AM333)&lt;TIME(0,3,0)),"OK",IF((AK333-AM333)&gt;=TIME(0,3,0),"ADELANTADO")))))))</f>
        <v/>
      </c>
      <c r="AM333" s="91" t="n"/>
      <c r="AN333" s="89">
        <f>IF(AE333&lt;&gt;"",HLOOKUP(VALUE(TEXT(AK333,"h:mm:ss")),IF($C$6="Laboral",$FZ$4:$GX$227,IF($C$6="Sábado",$FZ$231:$GX$452,$FZ$456:$GX$656)),VLOOKUP($C$4,$HF$2:$HH$99,3,0)+IF(AG$5="Ida",0,1),1),"")</f>
        <v/>
      </c>
      <c r="AO333" s="89">
        <f>IF(AE334&lt;&gt;AE333,AVERAGEIF(AE$9:AE333,AE333,AN$9:AN333),"")</f>
        <v/>
      </c>
      <c r="AP333" s="89">
        <f>IFERROR(IF(AE334&lt;&gt;AE333,AVERAGEIF(AE$9:AE333,AE333,AW$9:AW333),""),"")</f>
        <v/>
      </c>
      <c r="AQ333" s="89">
        <f>IFERROR(IF(AE334&lt;&gt;AE333,AVERAGEIF(AE$9:AE333,AE333,AX$9:AX333),""),"")</f>
        <v/>
      </c>
      <c r="AR333" s="89">
        <f t="array" ref="AR333">IFERROR(IF(AE334&lt;&gt;AE333,_xlfn.STDEV.P(IF(AE$9:AE333=AE333,AX$9:AX333)),""),"")</f>
        <v/>
      </c>
      <c r="AS333" s="89">
        <f t="array" ref="AS333">IFERROR(IF(AE334&lt;&gt;AE333,_xlfn.STDEV.P(IF(AE$9:AE333=AE333,AW$9:AW333)),""),"")</f>
        <v/>
      </c>
      <c r="AT333" s="90">
        <f>IFERROR(IF(AE333&lt;&gt;AE334,MAX((((AQ333*24*60)/2)*(1+POWER((((AR333*24*60) / (AQ333*24*60) )),2))) + ((AQ333*24*60 )*-0.1 + (AO333*0.015)) +1,(((AQ333*24*60)/2)*(1+POWER((((AR333*24*60) / (AQ333*24*60 ))),2)))),""),"")</f>
        <v/>
      </c>
      <c r="AU333" s="90">
        <f>IF(AND(AS333&lt;&gt;"",AP333&lt;&gt;""),IF(AE333&lt;&gt;AE334,((AP333*24*60) / 2 ) * (1 + POWER(((AS333*24*60) / (AP333*24*60)),2)),""),"")</f>
        <v/>
      </c>
      <c r="AV333" s="90">
        <f>IF(AU333&lt;&gt;"",MAX(AT333,AU333),"")</f>
        <v/>
      </c>
      <c r="AW333" s="89">
        <f>IF(AM333&lt;&gt;"H. Sale Real",IF(AND(AM334&lt;&gt;"",LEFT(AG334,2)&lt;&gt;"Va"),IF(AND(AM333&lt;&gt;"",LEFT(AG333,2)&lt;&gt;"Va",AM333&lt;&gt;"H. Sale Real"),IF(AM334-AM333&lt;0.208333333333333,AM334-AM333,""),IF(AND(AM332&lt;&gt;"",LEFT(AG332,2)&lt;&gt;"Va",AM332&lt;&gt;"H. Sale Real"),IF(AM334-AM332&lt;0.208333333333333,AM334-AM332,""),IF(AND(AM331&lt;&gt;"",LEFT(AG331,2)&lt;&gt;"Va",AM331&lt;&gt;"H. Sale Real"),IF(AM334-AM331&lt;0.208333333333333,AM334-AM331,""),IF(AND(AM330&lt;&gt;"",LEFT(AG330,2)&lt;&gt;"Va",AM330&lt;&gt;"H. Sale Real"),IF(AM334-AM330&lt;0.208333333333333,AM334-AM330,""),IF(AND(AM329&lt;&gt;"",LEFT(AG329,2)&lt;&gt;"Va",AM329&lt;&gt;"H. Sale Real"),IF(AM334-AM329&lt;0.208333333333333,AM334-AM329,""),""))))),""),"")</f>
        <v/>
      </c>
      <c r="AX333" s="89">
        <f>IF(AK333&lt;&gt;"H. Sale Real",IF(AND(AK334&lt;&gt;"",LEFT(AG334,2)&lt;&gt;"Va"),IF(AND(AK333&lt;&gt;"",LEFT(AG333,2)&lt;&gt;"Va",AK333&lt;&gt;"H. Sale Real"),IF(AK334-AK333&lt;0.208333333333333,AK334-AK333,""),IF(AND(AK332&lt;&gt;"",LEFT(AG332,2)&lt;&gt;"Va",AK332&lt;&gt;"H. Sale Real"),IF(AK334-AK332&lt;0.208333333333333,AK334-AK332,""),IF(AND(AK331&lt;&gt;"",LEFT(AG331,2)&lt;&gt;"NC",AK331&lt;&gt;"H. Sale Real"),IF(AK334-AK331&lt;0.208333333333333,AK334-AK331,""),IF(AND(AK330&lt;&gt;"",LEFT(AG330,2)&lt;&gt;"Va",AK330&lt;&gt;"H. Sale Real"),IF(AK334-AK330&lt;0.208333333333333,AK334-AK330,""),IF(AND(AK329&lt;&gt;"",LEFT(AG329,2)&lt;&gt;"Va",AK329&lt;&gt;"H. Sale Real"),IF(AK334-AK329&lt;0.208333333333333,AK334-AK329,""),""))))),""),"")</f>
        <v/>
      </c>
      <c r="AY333" s="87" t="n"/>
      <c r="AZ333" s="89" t="n"/>
      <c r="BA333" s="87" t="n"/>
      <c r="BB333" s="89" t="n"/>
      <c r="BC333" s="91" t="n"/>
      <c r="BD333" s="122">
        <f>IF(AK333&lt;&gt;"",IF(AND(BD332&lt;&gt;"IE",AT333&lt;&gt;0,AV333&lt;&gt;""),IF(IFERROR((AT333/AV333),0) &lt;=1,IFERROR(AT333/AV333,""),1),""),"")</f>
        <v/>
      </c>
      <c r="BE333" s="93" t="n"/>
      <c r="BF333" s="105" t="n"/>
      <c r="FC333" t="inlineStr">
        <is>
          <t>Diccionario 1</t>
        </is>
      </c>
      <c r="FD333" s="15" t="n">
        <v>1332</v>
      </c>
      <c r="FE333" s="15" t="inlineStr">
        <is>
          <t>MDN35025020078</t>
        </is>
      </c>
      <c r="FF333" s="15" t="inlineStr">
        <is>
          <t>LDYECS311S0044062</t>
        </is>
      </c>
      <c r="FG333" s="15" t="inlineStr">
        <is>
          <t>Zhong Tong</t>
        </is>
      </c>
      <c r="FH333" s="15" t="inlineStr">
        <is>
          <t>Lck6122evg</t>
        </is>
      </c>
      <c r="FI333" s="15" t="inlineStr">
        <is>
          <t>ZHONGTONG</t>
        </is>
      </c>
      <c r="FJ333" s="15" t="inlineStr">
        <is>
          <t>LCK6122EVG</t>
        </is>
      </c>
      <c r="FK333" s="15" t="n">
        <v>2025</v>
      </c>
      <c r="FL333" s="15" t="inlineStr">
        <is>
          <t>B</t>
        </is>
      </c>
      <c r="FM333" s="15" t="inlineStr">
        <is>
          <t>SAN ALFONSO</t>
        </is>
      </c>
      <c r="FN333" s="15" t="inlineStr">
        <is>
          <t>San Alfonso 2141 (Ramón Subercaseaux 3060)</t>
        </is>
      </c>
      <c r="FO333" s="15" t="inlineStr">
        <is>
          <t>Estacion Central</t>
        </is>
      </c>
      <c r="FP333" t="inlineStr">
        <is>
          <t>B</t>
        </is>
      </c>
      <c r="FS333" s="14" t="inlineStr">
        <is>
          <t>3089 / SFWZ-73|</t>
        </is>
      </c>
      <c r="FT333" t="inlineStr">
        <is>
          <t>SFWZ-73|</t>
        </is>
      </c>
      <c r="FU333" t="inlineStr">
        <is>
          <t>SFWZ-73</t>
        </is>
      </c>
      <c r="FV333">
        <f>VLOOKUP(FU333,FD:FL,9,0)</f>
        <v/>
      </c>
      <c r="HA333" s="35" t="n">
        <v>103</v>
      </c>
      <c r="HB333" s="35" t="n">
        <v>327</v>
      </c>
    </row>
    <row r="334" ht="15.5" customHeight="1">
      <c r="A334" s="10">
        <f>HOUR(G334)+1</f>
        <v/>
      </c>
      <c r="B334" s="7" t="n"/>
      <c r="C334" s="7" t="n"/>
      <c r="D334" s="85">
        <f>IFERROR(
IF(AND(OR(Planilla!B334="C",Planilla!B334="c"), VLOOKUP(E334,FD:FP,13,0)="C"), "OK",IF(AND(OR(Planilla!B334="C",Planilla!B334="c"), OR(VLOOKUP(E334,FD:FP,13,0)="B", VLOOKUP(E334,FD:FP,13,0)="A")), "DEFICIT",IF(
AND(OR(Planilla!B334="B", Planilla!B334="BPAL"), VLOOKUP(E334,FD:FP,13,0)="B"), "OK",IF(AND(OR(Planilla!B334="B", Planilla!B334="BPAL"), VLOOKUP(E334,FD:FP,13,0)="A"), "DEFICIT",IF(AND(OR(Planilla!B334="B", Planilla!B334="BPAL"), VLOOKUP(E334,FD:FP,13,0)="C"), "SOBREOFERTA",IF(AND(Planilla!B334="A", VLOOKUP(E334,FD:FP,13,0)="A"), "OK",IF(
AND(Planilla!B334="A", OR(VLOOKUP(E334,FD:FP,13,0)="B", VLOOKUP(E334,FD:FP,13,0)="C")), "SOBREOFERTA",""
))))))),"")</f>
        <v/>
      </c>
      <c r="E334" s="8" t="n"/>
      <c r="F334" s="86" t="n"/>
      <c r="G334" s="87" t="n"/>
      <c r="H334" s="88">
        <f>IF(I334="","",IF(AND((I334-G334)&gt;=TIME(0,0,0),(I334-G334)&lt;TIME(0,3,0)),"OK",IF(AND((I334-G334)&gt;=TIME(0,3,0),(I334-G334)&lt;TIME(0,5,0)),"RETRASO DE 3-5 MIN",IF(AND((I334-G334)&gt;=TIME(0,5,0),(I334-G334)&lt;TIME(0,10,0)),"RETRASO DE 5-10 MIN",IF((I334-G334)&gt;=TIME(0,10,0),"RETRASO &gt;10 MIN",         IF(AND((G334-I334)&gt;=TIME(0,0,0),(G334-I334)&lt;TIME(0,3,0)),"OK",IF((G334-I334)&gt;=TIME(0,3,0),"ADELANTADO")))))))</f>
        <v/>
      </c>
      <c r="I334" s="89" t="n"/>
      <c r="J334" s="89">
        <f>IF(A334&lt;&gt;"",HLOOKUP(VALUE(TEXT(G334,"h:mm:ss")),IF($C$6="Laboral",$FZ$4:$GX$227,IF($C$6="Sábado",$FZ$231:$GX$452,$FZ$456:$GX$656)),VLOOKUP($C$4,$HF$2:$HH$99,3,0)+IF(C$5="Ida",0,1),1),"")</f>
        <v/>
      </c>
      <c r="K334" s="89">
        <f>IF(A335&lt;&gt;A334,AVERAGEIF(A$9:A334,A334,J$9:J334),"")</f>
        <v/>
      </c>
      <c r="L334" s="89">
        <f>IFERROR(IF(A335&lt;&gt;A334,AVERAGEIF(A$9:A334,A334,S$9:S334),""),"")</f>
        <v/>
      </c>
      <c r="M334" s="89">
        <f>IFERROR(IF(A335&lt;&gt;A334,AVERAGEIF(A$9:A334,A334,T$9:T334),""),"")</f>
        <v/>
      </c>
      <c r="N334" s="89">
        <f t="array" ref="N334">IFERROR(IF(A335&lt;&gt;A334,_xlfn.STDEV.P(IF(A$9:A334=A334,T$9:T334)),""),"")</f>
        <v/>
      </c>
      <c r="O334" s="89">
        <f t="array" ref="O334">IFERROR(IF(A335&lt;&gt;A334,_xlfn.STDEV.P(IF(A$9:A334=A334,S$9:S334)),""),"")</f>
        <v/>
      </c>
      <c r="P334" s="90">
        <f>IFERROR(IF(A334&lt;&gt;A335,MAX((((M334*24*60)/2)*(1+POWER((((N334*24*60) / (M334*24*60) )),2))) + ((M334*24*60 )*-0.1 + (K334*0.015)) +1,(((M334*24*60)/2)*(1+POWER((((N334*24*60) / (M334*24*60 ))),2)))),""),"")</f>
        <v/>
      </c>
      <c r="Q334" s="90">
        <f>IF(AND(O334&lt;&gt;"",L334&lt;&gt;""),IF(A334&lt;&gt;A335,((L334*24*60) / 2 ) * (1 + POWER(((O334*24*60) / (L334*24*60)),2)),""),"")</f>
        <v/>
      </c>
      <c r="R334" s="90">
        <f>IF(Q334&lt;&gt;"",MAX(P334,Q334),"")</f>
        <v/>
      </c>
      <c r="S334" s="89">
        <f>IF(I334&lt;&gt;"H. Sale Real",IF(AND(I335&lt;&gt;"",LEFT(C335,2)&lt;&gt;"Va"),IF(AND(I334&lt;&gt;"",LEFT(C334,2)&lt;&gt;"Va",I334&lt;&gt;"H. Sale Real"),IF(I335-I334&lt;0.208333333333333,I335-I334,""),IF(AND(I333&lt;&gt;"",LEFT(C333,2)&lt;&gt;"Va",I333&lt;&gt;"H. Sale Real"),IF(I335-I333&lt;0.208333333333333,I335-I333,""),IF(AND(I332&lt;&gt;"",LEFT(C332,2)&lt;&gt;"Va",I332&lt;&gt;"H. Sale Real"),IF(I335-I332&lt;0.208333333333333,I335-I332,""),IF(AND(I331&lt;&gt;"",LEFT(C331,2)&lt;&gt;"Va",I331&lt;&gt;"H. Sale Real"),IF(I335-I331&lt;0.208333333333333,I335-I331,""),IF(AND(I330&lt;&gt;"",LEFT(C330,2)&lt;&gt;"Va",I330&lt;&gt;"H. Sale Real"),IF(I335-I330&lt;0.208333333333333,I335-I330,""),""))))),""),"")</f>
        <v/>
      </c>
      <c r="T334" s="89">
        <f>IF(G334&lt;&gt;"H. Sale Real",IF(AND(G335&lt;&gt;"",LEFT(C335,2)&lt;&gt;"Va"),IF(AND(G334&lt;&gt;"",LEFT(C334,2)&lt;&gt;"Va",G334&lt;&gt;"H. Sale Real"),IF(G335-G334&lt;0.208333333333333,G335-G334,""),IF(AND(G333&lt;&gt;"",LEFT(C333,2)&lt;&gt;"Va",G333&lt;&gt;"H. Sale Real"),IF(G335-G333&lt;0.208333333333333,G335-G333,""),IF(AND(G332&lt;&gt;"",LEFT(C332,2)&lt;&gt;"Va",G332&lt;&gt;"H. Sale Real"),IF(G335-G332&lt;0.208333333333333,G335-G332,""),IF(AND(G331&lt;&gt;"",LEFT(C331,2)&lt;&gt;"Va",G331&lt;&gt;"H. Sale Real"),IF(G335-G331&lt;0.208333333333333,G335-G331,""),IF(AND(G330&lt;&gt;"",LEFT(C330,2)&lt;&gt;"Va",G330&lt;&gt;"H. Sale Real"),IF(G335-G330&lt;0.208333333333333,G335-G330,""),""))))),""),"")</f>
        <v/>
      </c>
      <c r="U334" s="87" t="n"/>
      <c r="V334" s="89" t="n"/>
      <c r="W334" s="87" t="n"/>
      <c r="X334" s="89" t="n"/>
      <c r="Y334" s="91" t="n"/>
      <c r="Z334" s="122">
        <f>IF(G334&lt;&gt;"",IF(AND(Z333&lt;&gt;"IE",P334&lt;&gt;0,R334&lt;&gt;""),IF(IFERROR((P334/R334),0) &lt;=1,IFERROR(P334/R334,""),1),""),"")</f>
        <v/>
      </c>
      <c r="AA334" s="93" t="n"/>
      <c r="AB334" s="2" t="n"/>
      <c r="AE334" s="10">
        <f>HOUR(AK334)+1</f>
        <v/>
      </c>
      <c r="AF334" s="7" t="n"/>
      <c r="AG334" s="7" t="n"/>
      <c r="AH334" s="86" t="n"/>
      <c r="AI334" s="8" t="n"/>
      <c r="AJ334" s="86" t="n"/>
      <c r="AK334" s="87" t="n"/>
      <c r="AL334" s="88">
        <f>IF(AM334="","",IF(AND((AM334-AK334)&gt;=TIME(0,0,0),(AM334-AK334)&lt;TIME(0,3,0)),"OK",IF(AND((AM334-AK334)&gt;=TIME(0,3,0),(AM334-AK334)&lt;TIME(0,5,0)),"RETRASO DE 3-5 MIN",IF(AND((AM334-AK334)&gt;=TIME(0,5,0),(AM334-AK334)&lt;TIME(0,10,0)),"RETRASO DE 5-10 MIN",IF((AM334-AK334)&gt;=TIME(0,10,0),"RETRASO &gt;10 MIN",         IF(AND((AK334-AM334)&gt;=TIME(0,0,0),(AK334-AM334)&lt;TIME(0,3,0)),"OK",IF((AK334-AM334)&gt;=TIME(0,3,0),"ADELANTADO")))))))</f>
        <v/>
      </c>
      <c r="AM334" s="91" t="n"/>
      <c r="AN334" s="89">
        <f>IF(AE334&lt;&gt;"",HLOOKUP(VALUE(TEXT(AK334,"h:mm:ss")),IF($C$6="Laboral",$FZ$4:$GX$227,IF($C$6="Sábado",$FZ$231:$GX$452,$FZ$456:$GX$656)),VLOOKUP($C$4,$HF$2:$HH$99,3,0)+IF(AG$5="Ida",0,1),1),"")</f>
        <v/>
      </c>
      <c r="AO334" s="89">
        <f>IF(AE335&lt;&gt;AE334,AVERAGEIF(AE$9:AE334,AE334,AN$9:AN334),"")</f>
        <v/>
      </c>
      <c r="AP334" s="89">
        <f>IFERROR(IF(AE335&lt;&gt;AE334,AVERAGEIF(AE$9:AE334,AE334,AW$9:AW334),""),"")</f>
        <v/>
      </c>
      <c r="AQ334" s="89">
        <f>IFERROR(IF(AE335&lt;&gt;AE334,AVERAGEIF(AE$9:AE334,AE334,AX$9:AX334),""),"")</f>
        <v/>
      </c>
      <c r="AR334" s="89">
        <f t="array" ref="AR334">IFERROR(IF(AE335&lt;&gt;AE334,_xlfn.STDEV.P(IF(AE$9:AE334=AE334,AX$9:AX334)),""),"")</f>
        <v/>
      </c>
      <c r="AS334" s="89">
        <f t="array" ref="AS334">IFERROR(IF(AE335&lt;&gt;AE334,_xlfn.STDEV.P(IF(AE$9:AE334=AE334,AW$9:AW334)),""),"")</f>
        <v/>
      </c>
      <c r="AT334" s="90">
        <f>IFERROR(IF(AE334&lt;&gt;AE335,MAX((((AQ334*24*60)/2)*(1+POWER((((AR334*24*60) / (AQ334*24*60) )),2))) + ((AQ334*24*60 )*-0.1 + (AO334*0.015)) +1,(((AQ334*24*60)/2)*(1+POWER((((AR334*24*60) / (AQ334*24*60 ))),2)))),""),"")</f>
        <v/>
      </c>
      <c r="AU334" s="90">
        <f>IF(AND(AS334&lt;&gt;"",AP334&lt;&gt;""),IF(AE334&lt;&gt;AE335,((AP334*24*60) / 2 ) * (1 + POWER(((AS334*24*60) / (AP334*24*60)),2)),""),"")</f>
        <v/>
      </c>
      <c r="AV334" s="90">
        <f>IF(AU334&lt;&gt;"",MAX(AT334,AU334),"")</f>
        <v/>
      </c>
      <c r="AW334" s="89">
        <f>IF(AM334&lt;&gt;"H. Sale Real",IF(AND(AM335&lt;&gt;"",LEFT(AG335,2)&lt;&gt;"Va"),IF(AND(AM334&lt;&gt;"",LEFT(AG334,2)&lt;&gt;"Va",AM334&lt;&gt;"H. Sale Real"),IF(AM335-AM334&lt;0.208333333333333,AM335-AM334,""),IF(AND(AM333&lt;&gt;"",LEFT(AG333,2)&lt;&gt;"Va",AM333&lt;&gt;"H. Sale Real"),IF(AM335-AM333&lt;0.208333333333333,AM335-AM333,""),IF(AND(AM332&lt;&gt;"",LEFT(AG332,2)&lt;&gt;"Va",AM332&lt;&gt;"H. Sale Real"),IF(AM335-AM332&lt;0.208333333333333,AM335-AM332,""),IF(AND(AM331&lt;&gt;"",LEFT(AG331,2)&lt;&gt;"Va",AM331&lt;&gt;"H. Sale Real"),IF(AM335-AM331&lt;0.208333333333333,AM335-AM331,""),IF(AND(AM330&lt;&gt;"",LEFT(AG330,2)&lt;&gt;"Va",AM330&lt;&gt;"H. Sale Real"),IF(AM335-AM330&lt;0.208333333333333,AM335-AM330,""),""))))),""),"")</f>
        <v/>
      </c>
      <c r="AX334" s="89">
        <f>IF(AK334&lt;&gt;"H. Sale Real",IF(AND(AK335&lt;&gt;"",LEFT(AG335,2)&lt;&gt;"Va"),IF(AND(AK334&lt;&gt;"",LEFT(AG334,2)&lt;&gt;"Va",AK334&lt;&gt;"H. Sale Real"),IF(AK335-AK334&lt;0.208333333333333,AK335-AK334,""),IF(AND(AK333&lt;&gt;"",LEFT(AG333,2)&lt;&gt;"Va",AK333&lt;&gt;"H. Sale Real"),IF(AK335-AK333&lt;0.208333333333333,AK335-AK333,""),IF(AND(AK332&lt;&gt;"",LEFT(AG332,2)&lt;&gt;"NC",AK332&lt;&gt;"H. Sale Real"),IF(AK335-AK332&lt;0.208333333333333,AK335-AK332,""),IF(AND(AK331&lt;&gt;"",LEFT(AG331,2)&lt;&gt;"Va",AK331&lt;&gt;"H. Sale Real"),IF(AK335-AK331&lt;0.208333333333333,AK335-AK331,""),IF(AND(AK330&lt;&gt;"",LEFT(AG330,2)&lt;&gt;"Va",AK330&lt;&gt;"H. Sale Real"),IF(AK335-AK330&lt;0.208333333333333,AK335-AK330,""),""))))),""),"")</f>
        <v/>
      </c>
      <c r="AY334" s="87" t="n"/>
      <c r="AZ334" s="89" t="n"/>
      <c r="BA334" s="87" t="n"/>
      <c r="BB334" s="89" t="n"/>
      <c r="BC334" s="91" t="n"/>
      <c r="BD334" s="122">
        <f>IF(AK334&lt;&gt;"",IF(AND(BD333&lt;&gt;"IE",AT334&lt;&gt;0,AV334&lt;&gt;""),IF(IFERROR((AT334/AV334),0) &lt;=1,IFERROR(AT334/AV334,""),1),""),"")</f>
        <v/>
      </c>
      <c r="BE334" s="93" t="n"/>
      <c r="BF334" s="105" t="n"/>
      <c r="FC334" t="inlineStr">
        <is>
          <t>Diccionario 1</t>
        </is>
      </c>
      <c r="FD334" s="15" t="n">
        <v>1333</v>
      </c>
      <c r="FE334" s="15" t="inlineStr">
        <is>
          <t>MDN35025020036</t>
        </is>
      </c>
      <c r="FF334" s="15" t="inlineStr">
        <is>
          <t>LDYECS319S0044066</t>
        </is>
      </c>
      <c r="FG334" s="15" t="inlineStr">
        <is>
          <t>Zhong Tong</t>
        </is>
      </c>
      <c r="FH334" s="15" t="inlineStr">
        <is>
          <t>Lck6122evg</t>
        </is>
      </c>
      <c r="FI334" s="15" t="inlineStr">
        <is>
          <t>ZHONGTONG</t>
        </is>
      </c>
      <c r="FJ334" s="15" t="inlineStr">
        <is>
          <t>LCK6122EVG</t>
        </is>
      </c>
      <c r="FK334" s="15" t="n">
        <v>2025</v>
      </c>
      <c r="FL334" s="15" t="inlineStr">
        <is>
          <t>B</t>
        </is>
      </c>
      <c r="FM334" s="15" t="inlineStr">
        <is>
          <t>PIE ANDINO</t>
        </is>
      </c>
      <c r="FN334" s="15" t="inlineStr">
        <is>
          <t>Pie Andino 31 (Pie Andino 383)</t>
        </is>
      </c>
      <c r="FO334" s="15" t="inlineStr">
        <is>
          <t>Puente Alto</t>
        </is>
      </c>
      <c r="FP334" t="inlineStr">
        <is>
          <t>B</t>
        </is>
      </c>
      <c r="FS334" s="14" t="inlineStr">
        <is>
          <t>3089 / SFWZ-73|</t>
        </is>
      </c>
      <c r="FT334" t="inlineStr">
        <is>
          <t>SFWZ-73|</t>
        </is>
      </c>
      <c r="FU334" t="inlineStr">
        <is>
          <t>SFWZ-73</t>
        </is>
      </c>
      <c r="FV334">
        <f>VLOOKUP(FU334,FD:FL,9,0)</f>
        <v/>
      </c>
      <c r="HA334" s="35" t="n">
        <v>104</v>
      </c>
      <c r="HB334" s="35" t="n">
        <v>328</v>
      </c>
    </row>
    <row r="335" ht="15.5" customHeight="1">
      <c r="A335" s="10">
        <f>HOUR(G335)+1</f>
        <v/>
      </c>
      <c r="B335" s="7" t="n"/>
      <c r="C335" s="7" t="n"/>
      <c r="D335" s="85">
        <f>IFERROR(
IF(AND(OR(Planilla!B335="C",Planilla!B335="c"), VLOOKUP(E335,FD:FP,13,0)="C"), "OK",IF(AND(OR(Planilla!B335="C",Planilla!B335="c"), OR(VLOOKUP(E335,FD:FP,13,0)="B", VLOOKUP(E335,FD:FP,13,0)="A")), "DEFICIT",IF(
AND(OR(Planilla!B335="B", Planilla!B335="BPAL"), VLOOKUP(E335,FD:FP,13,0)="B"), "OK",IF(AND(OR(Planilla!B335="B", Planilla!B335="BPAL"), VLOOKUP(E335,FD:FP,13,0)="A"), "DEFICIT",IF(AND(OR(Planilla!B335="B", Planilla!B335="BPAL"), VLOOKUP(E335,FD:FP,13,0)="C"), "SOBREOFERTA",IF(AND(Planilla!B335="A", VLOOKUP(E335,FD:FP,13,0)="A"), "OK",IF(
AND(Planilla!B335="A", OR(VLOOKUP(E335,FD:FP,13,0)="B", VLOOKUP(E335,FD:FP,13,0)="C")), "SOBREOFERTA",""
))))))),"")</f>
        <v/>
      </c>
      <c r="E335" s="8" t="n"/>
      <c r="F335" s="86" t="n"/>
      <c r="G335" s="87" t="n"/>
      <c r="H335" s="88">
        <f>IF(I335="","",IF(AND((I335-G335)&gt;=TIME(0,0,0),(I335-G335)&lt;TIME(0,3,0)),"OK",IF(AND((I335-G335)&gt;=TIME(0,3,0),(I335-G335)&lt;TIME(0,5,0)),"RETRASO DE 3-5 MIN",IF(AND((I335-G335)&gt;=TIME(0,5,0),(I335-G335)&lt;TIME(0,10,0)),"RETRASO DE 5-10 MIN",IF((I335-G335)&gt;=TIME(0,10,0),"RETRASO &gt;10 MIN", IF(AND((G335-I335)&gt;=TIME(0,0,0),(G335-I335)&lt;TIME(0,3,0)),"OK",IF((G335-I335)&gt;=TIME(0,3,0),"ADELANTADO")))))))</f>
        <v/>
      </c>
      <c r="I335" s="89" t="n"/>
      <c r="J335" s="89">
        <f>IF(A335&lt;&gt;"",HLOOKUP(VALUE(TEXT(G335,"h:mm:ss")),IF($C$6="Laboral",$FZ$4:$GX$227,IF($C$6="Sábado",$FZ$231:$GX$452,$FZ$456:$GX$656)),VLOOKUP($C$4,$HF$2:$HH$99,3,0)+IF(C$5="Ida",0,1),1),"")</f>
        <v/>
      </c>
      <c r="K335" s="89">
        <f>IF(A336&lt;&gt;A335,AVERAGEIF(A$9:A335,A335,J$9:J335),"")</f>
        <v/>
      </c>
      <c r="L335" s="89">
        <f>IFERROR(IF(A336&lt;&gt;A335,AVERAGEIF(A$9:A335,A335,S$9:S335),""),"")</f>
        <v/>
      </c>
      <c r="M335" s="89">
        <f>IFERROR(IF(A336&lt;&gt;A335,AVERAGEIF(A$9:A335,A335,T$9:T335),""),"")</f>
        <v/>
      </c>
      <c r="N335" s="89">
        <f t="array" ref="N335">IFERROR(IF(A336&lt;&gt;A335,_xlfn.STDEV.P(IF(A$9:A335=A335,T$9:T335)),""),"")</f>
        <v/>
      </c>
      <c r="O335" s="89">
        <f t="array" ref="O335">IFERROR(IF(A336&lt;&gt;A335,_xlfn.STDEV.P(IF(A$9:A335=A335,S$9:S335)),""),"")</f>
        <v/>
      </c>
      <c r="P335" s="90">
        <f>IFERROR(IF(A335&lt;&gt;A336,MAX((((M335*24*60)/2)*(1+POWER((((N335*24*60) / (M335*24*60) )),2))) + ((M335*24*60 )*-0.1 + (K335*0.015)) +1,(((M335*24*60)/2)*(1+POWER((((N335*24*60) / (M335*24*60 ))),2)))),""),"")</f>
        <v/>
      </c>
      <c r="Q335" s="90">
        <f>IF(AND(O335&lt;&gt;"",L335&lt;&gt;""),IF(A335&lt;&gt;A336,((L335*24*60) / 2 ) * (1 + POWER(((O335*24*60) / (L335*24*60)),2)),""),"")</f>
        <v/>
      </c>
      <c r="R335" s="90">
        <f>IF(Q335&lt;&gt;"",MAX(P335,Q335),"")</f>
        <v/>
      </c>
      <c r="S335" s="89">
        <f>IF(I335&lt;&gt;"H. Sale Real",IF(AND(I336&lt;&gt;"",LEFT(C336,2)&lt;&gt;"Va"),IF(AND(I335&lt;&gt;"",LEFT(C335,2)&lt;&gt;"Va",I335&lt;&gt;"H. Sale Real"),IF(I336-I335&lt;0.208333333333333,I336-I335,""),IF(AND(I334&lt;&gt;"",LEFT(C334,2)&lt;&gt;"Va",I334&lt;&gt;"H. Sale Real"),IF(I336-I334&lt;0.208333333333333,I336-I334,""),IF(AND(I333&lt;&gt;"",LEFT(C333,2)&lt;&gt;"Va",I333&lt;&gt;"H. Sale Real"),IF(I336-I333&lt;0.208333333333333,I336-I333,""),IF(AND(I332&lt;&gt;"",LEFT(C332,2)&lt;&gt;"Va",I332&lt;&gt;"H. Sale Real"),IF(I336-I332&lt;0.208333333333333,I336-I332,""),IF(AND(I331&lt;&gt;"",LEFT(C331,2)&lt;&gt;"Va",I331&lt;&gt;"H. Sale Real"),IF(I336-I331&lt;0.208333333333333,I336-I331,""),""))))),""),"")</f>
        <v/>
      </c>
      <c r="T335" s="89">
        <f>IF(G335&lt;&gt;"H. Sale Real",IF(AND(G336&lt;&gt;"",LEFT(C336,2)&lt;&gt;"Va"),IF(AND(G335&lt;&gt;"",LEFT(C335,2)&lt;&gt;"Va",G335&lt;&gt;"H. Sale Real"),IF(G336-G335&lt;0.208333333333333,G336-G335,""),IF(AND(G334&lt;&gt;"",LEFT(C334,2)&lt;&gt;"Va",G334&lt;&gt;"H. Sale Real"),IF(G336-G334&lt;0.208333333333333,G336-G334,""),IF(AND(G333&lt;&gt;"",LEFT(C333,2)&lt;&gt;"Va",G333&lt;&gt;"H. Sale Real"),IF(G336-G333&lt;0.208333333333333,G336-G333,""),IF(AND(G332&lt;&gt;"",LEFT(C332,2)&lt;&gt;"Va",G332&lt;&gt;"H. Sale Real"),IF(G336-G332&lt;0.208333333333333,G336-G332,""),IF(AND(G331&lt;&gt;"",LEFT(C331,2)&lt;&gt;"Va",G331&lt;&gt;"H. Sale Real"),IF(G336-G331&lt;0.208333333333333,G336-G331,""),""))))),""),"")</f>
        <v/>
      </c>
      <c r="U335" s="87" t="n"/>
      <c r="V335" s="89" t="n"/>
      <c r="W335" s="87" t="n"/>
      <c r="X335" s="89" t="n"/>
      <c r="Y335" s="91" t="n"/>
      <c r="Z335" s="122">
        <f>IF(G335&lt;&gt;"",IF(AND(Z334&lt;&gt;"IE",P335&lt;&gt;0,R335&lt;&gt;""),IF(IFERROR((P335/R335),0) &lt;=1,IFERROR(P335/R335,""),1),""),"")</f>
        <v/>
      </c>
      <c r="AA335" s="93" t="n"/>
      <c r="AB335" s="2" t="n"/>
      <c r="AE335" s="10">
        <f>HOUR(AK335)+1</f>
        <v/>
      </c>
      <c r="AF335" s="7" t="n"/>
      <c r="AG335" s="7" t="n"/>
      <c r="AH335" s="86" t="n"/>
      <c r="AI335" s="8" t="n"/>
      <c r="AJ335" s="86" t="n"/>
      <c r="AK335" s="87" t="n"/>
      <c r="AL335" s="88">
        <f>IF(AM335="","",IF(AND((AM335-AK335)&gt;=TIME(0,0,0),(AM335-AK335)&lt;TIME(0,3,0)),"OK",IF(AND((AM335-AK335)&gt;=TIME(0,3,0),(AM335-AK335)&lt;TIME(0,5,0)),"RETRASO DE 3-5 MIN",IF(AND((AM335-AK335)&gt;=TIME(0,5,0),(AM335-AK335)&lt;TIME(0,10,0)),"RETRASO DE 5-10 MIN",IF((AM335-AK335)&gt;=TIME(0,10,0),"RETRASO &gt;10 MIN", IF(AND((AK335-AM335)&gt;=TIME(0,0,0),(AK335-AM335)&lt;TIME(0,3,0)),"OK",IF((AK335-AM335)&gt;=TIME(0,3,0),"ADELANTADO")))))))</f>
        <v/>
      </c>
      <c r="AM335" s="91" t="n"/>
      <c r="AN335" s="89">
        <f>IF(AE335&lt;&gt;"",HLOOKUP(VALUE(TEXT(AK335,"h:mm:ss")),IF($C$6="Laboral",$FZ$4:$GX$227,IF($C$6="Sábado",$FZ$231:$GX$452,$FZ$456:$GX$656)),VLOOKUP($C$4,$HF$2:$HH$99,3,0)+IF(AG$5="Ida",0,1),1),"")</f>
        <v/>
      </c>
      <c r="AO335" s="89">
        <f>IF(AE336&lt;&gt;AE335,AVERAGEIF(AE$9:AE335,AE335,AN$9:AN335),"")</f>
        <v/>
      </c>
      <c r="AP335" s="89">
        <f>IFERROR(IF(AE336&lt;&gt;AE335,AVERAGEIF(AE$9:AE335,AE335,AW$9:AW335),""),"")</f>
        <v/>
      </c>
      <c r="AQ335" s="89">
        <f>IFERROR(IF(AE336&lt;&gt;AE335,AVERAGEIF(AE$9:AE335,AE335,AX$9:AX335),""),"")</f>
        <v/>
      </c>
      <c r="AR335" s="89">
        <f t="array" ref="AR335">IFERROR(IF(AE336&lt;&gt;AE335,_xlfn.STDEV.P(IF(AE$9:AE335=AE335,AX$9:AX335)),""),"")</f>
        <v/>
      </c>
      <c r="AS335" s="89">
        <f t="array" ref="AS335">IFERROR(IF(AE336&lt;&gt;AE335,_xlfn.STDEV.P(IF(AE$9:AE335=AE335,AW$9:AW335)),""),"")</f>
        <v/>
      </c>
      <c r="AT335" s="90">
        <f>IFERROR(IF(AE335&lt;&gt;AE336,MAX((((AQ335*24*60)/2)*(1+POWER((((AR335*24*60) / (AQ335*24*60) )),2))) + ((AQ335*24*60 )*-0.1 + (AO335*0.015)) +1,(((AQ335*24*60)/2)*(1+POWER((((AR335*24*60) / (AQ335*24*60 ))),2)))),""),"")</f>
        <v/>
      </c>
      <c r="AU335" s="90">
        <f>IF(AND(AS335&lt;&gt;"",AP335&lt;&gt;""),IF(AE335&lt;&gt;AE336,((AP335*24*60) / 2 ) * (1 + POWER(((AS335*24*60) / (AP335*24*60)),2)),""),"")</f>
        <v/>
      </c>
      <c r="AV335" s="90">
        <f>IF(AU335&lt;&gt;"",MAX(AT335,AU335),"")</f>
        <v/>
      </c>
      <c r="AW335" s="89">
        <f>IF(AM335&lt;&gt;"H. Sale Real",IF(AND(AM336&lt;&gt;"",LEFT(AG336,2)&lt;&gt;"Va"),IF(AND(AM335&lt;&gt;"",LEFT(AG335,2)&lt;&gt;"Va",AM335&lt;&gt;"H. Sale Real"),IF(AM336-AM335&lt;0.208333333333333,AM336-AM335,""),IF(AND(AM334&lt;&gt;"",LEFT(AG334,2)&lt;&gt;"Va",AM334&lt;&gt;"H. Sale Real"),IF(AM336-AM334&lt;0.208333333333333,AM336-AM334,""),IF(AND(AM333&lt;&gt;"",LEFT(AG333,2)&lt;&gt;"Va",AM333&lt;&gt;"H. Sale Real"),IF(AM336-AM333&lt;0.208333333333333,AM336-AM333,""),IF(AND(AM332&lt;&gt;"",LEFT(AG332,2)&lt;&gt;"Va",AM332&lt;&gt;"H. Sale Real"),IF(AM336-AM332&lt;0.208333333333333,AM336-AM332,""),IF(AND(AM331&lt;&gt;"",LEFT(AG331,2)&lt;&gt;"Va",AM331&lt;&gt;"H. Sale Real"),IF(AM336-AM331&lt;0.208333333333333,AM336-AM331,""),""))))),""),"")</f>
        <v/>
      </c>
      <c r="AX335" s="89">
        <f>IF(AK335&lt;&gt;"H. Sale Real",IF(AND(AK336&lt;&gt;"",LEFT(AG336,2)&lt;&gt;"Va"),IF(AND(AK335&lt;&gt;"",LEFT(AG335,2)&lt;&gt;"Va",AK335&lt;&gt;"H. Sale Real"),IF(AK336-AK335&lt;0.208333333333333,AK336-AK335,""),IF(AND(AK334&lt;&gt;"",LEFT(AG334,2)&lt;&gt;"Va",AK334&lt;&gt;"H. Sale Real"),IF(AK336-AK334&lt;0.208333333333333,AK336-AK334,""),IF(AND(AK333&lt;&gt;"",LEFT(AG333,2)&lt;&gt;"NC",AK333&lt;&gt;"H. Sale Real"),IF(AK336-AK333&lt;0.208333333333333,AK336-AK333,""),IF(AND(AK332&lt;&gt;"",LEFT(AG332,2)&lt;&gt;"Va",AK332&lt;&gt;"H. Sale Real"),IF(AK336-AK332&lt;0.208333333333333,AK336-AK332,""),IF(AND(AK331&lt;&gt;"",LEFT(AG331,2)&lt;&gt;"Va",AK331&lt;&gt;"H. Sale Real"),IF(AK336-AK331&lt;0.208333333333333,AK336-AK331,""),""))))),""),"")</f>
        <v/>
      </c>
      <c r="AY335" s="87" t="n"/>
      <c r="AZ335" s="89" t="n"/>
      <c r="BA335" s="87" t="n"/>
      <c r="BB335" s="89" t="n"/>
      <c r="BC335" s="91" t="n"/>
      <c r="BD335" s="122">
        <f>IF(AK335&lt;&gt;"",IF(AND(BD334&lt;&gt;"IE",AT335&lt;&gt;0,AV335&lt;&gt;""),IF(IFERROR((AT335/AV335),0) &lt;=1,IFERROR(AT335/AV335,""),1),""),"")</f>
        <v/>
      </c>
      <c r="BE335" s="93" t="n"/>
      <c r="BF335" s="105" t="n"/>
      <c r="FC335" t="inlineStr">
        <is>
          <t>Diccionario 1</t>
        </is>
      </c>
      <c r="FD335" s="15" t="n">
        <v>1334</v>
      </c>
      <c r="FE335" s="15" t="inlineStr">
        <is>
          <t>MDN35025020126</t>
        </is>
      </c>
      <c r="FF335" s="15" t="inlineStr">
        <is>
          <t>LDYECS318S0044074</t>
        </is>
      </c>
      <c r="FG335" s="15" t="inlineStr">
        <is>
          <t>Zhong Tong</t>
        </is>
      </c>
      <c r="FH335" s="15" t="inlineStr">
        <is>
          <t>Lck6122evg</t>
        </is>
      </c>
      <c r="FI335" s="15" t="inlineStr">
        <is>
          <t>ZHONGTONG</t>
        </is>
      </c>
      <c r="FJ335" s="15" t="inlineStr">
        <is>
          <t>LCK6122EVG</t>
        </is>
      </c>
      <c r="FK335" s="15" t="n">
        <v>2025</v>
      </c>
      <c r="FL335" s="15" t="inlineStr">
        <is>
          <t>B</t>
        </is>
      </c>
      <c r="FM335" s="15" t="inlineStr">
        <is>
          <t>PIE ANDINO</t>
        </is>
      </c>
      <c r="FN335" s="15" t="inlineStr">
        <is>
          <t>Pie Andino 31 (Pie Andino 383)</t>
        </is>
      </c>
      <c r="FO335" s="15" t="inlineStr">
        <is>
          <t>Puente Alto</t>
        </is>
      </c>
      <c r="FP335" t="inlineStr">
        <is>
          <t>B</t>
        </is>
      </c>
      <c r="FS335" s="14" t="inlineStr">
        <is>
          <t>3089 / SFWZ-73|</t>
        </is>
      </c>
      <c r="FT335" t="inlineStr">
        <is>
          <t>SFWZ-73|</t>
        </is>
      </c>
      <c r="FU335" t="inlineStr">
        <is>
          <t>SFWZ-73</t>
        </is>
      </c>
      <c r="FV335">
        <f>VLOOKUP(FU335,FD:FL,9,0)</f>
        <v/>
      </c>
      <c r="HA335" s="35" t="n">
        <v>105</v>
      </c>
      <c r="HB335" s="35" t="n">
        <v>329</v>
      </c>
    </row>
    <row r="336" ht="15.5" customHeight="1">
      <c r="A336" s="10">
        <f>HOUR(G336)+1</f>
        <v/>
      </c>
      <c r="B336" s="7" t="n"/>
      <c r="C336" s="7" t="n"/>
      <c r="D336" s="85">
        <f>IFERROR(
IF(AND(OR(Planilla!B336="C",Planilla!B336="c"), VLOOKUP(E336,FD:FP,13,0)="C"), "OK",IF(AND(OR(Planilla!B336="C",Planilla!B336="c"), OR(VLOOKUP(E336,FD:FP,13,0)="B", VLOOKUP(E336,FD:FP,13,0)="A")), "DEFICIT",IF(
AND(OR(Planilla!B336="B", Planilla!B336="BPAL"), VLOOKUP(E336,FD:FP,13,0)="B"), "OK",IF(AND(OR(Planilla!B336="B", Planilla!B336="BPAL"), VLOOKUP(E336,FD:FP,13,0)="A"), "DEFICIT",IF(AND(OR(Planilla!B336="B", Planilla!B336="BPAL"), VLOOKUP(E336,FD:FP,13,0)="C"), "SOBREOFERTA",IF(AND(Planilla!B336="A", VLOOKUP(E336,FD:FP,13,0)="A"), "OK",IF(
AND(Planilla!B336="A", OR(VLOOKUP(E336,FD:FP,13,0)="B", VLOOKUP(E336,FD:FP,13,0)="C")), "SOBREOFERTA",""
))))))),"")</f>
        <v/>
      </c>
      <c r="E336" s="8" t="n"/>
      <c r="F336" s="86" t="n"/>
      <c r="G336" s="87" t="n"/>
      <c r="H336" s="88">
        <f>IF(I336="","",IF(AND((I336-G336)&gt;=TIME(0,0,0),(I336-G336)&lt;TIME(0,3,0)),"OK",IF(AND((I336-G336)&gt;=TIME(0,3,0),(I336-G336)&lt;TIME(0,5,0)),"RETRASO DE 3-5 MIN",IF(AND((I336-G336)&gt;=TIME(0,5,0),(I336-G336)&lt;TIME(0,10,0)),"RETRASO DE 5-10 MIN",IF((I336-G336)&gt;=TIME(0,10,0),"RETRASO &gt;10 MIN", IF(AND((G336-I336)&gt;=TIME(0,0,0),(G336-I336)&lt;TIME(0,3,0)),"OK",IF((G336-I336)&gt;=TIME(0,3,0),"ADELANTADO")))))))</f>
        <v/>
      </c>
      <c r="I336" s="89" t="n"/>
      <c r="J336" s="89">
        <f>IF(A336&lt;&gt;"",HLOOKUP(VALUE(TEXT(G336,"h:mm:ss")),IF($C$6="Laboral",$FZ$4:$GX$227,IF($C$6="Sábado",$FZ$231:$GX$452,$FZ$456:$GX$656)),VLOOKUP($C$4,$HF$2:$HH$99,3,0)+IF(C$5="Ida",0,1),1),"")</f>
        <v/>
      </c>
      <c r="K336" s="89">
        <f>IF(A337&lt;&gt;A336,AVERAGEIF(A$9:A336,A336,J$9:J336),"")</f>
        <v/>
      </c>
      <c r="L336" s="89">
        <f>IFERROR(IF(A337&lt;&gt;A336,AVERAGEIF(A$9:A336,A336,S$9:S336),""),"")</f>
        <v/>
      </c>
      <c r="M336" s="89">
        <f>IFERROR(IF(A337&lt;&gt;A336,AVERAGEIF(A$9:A336,A336,T$9:T336),""),"")</f>
        <v/>
      </c>
      <c r="N336" s="89">
        <f t="array" ref="N336">IFERROR(IF(A337&lt;&gt;A336,_xlfn.STDEV.P(IF(A$9:A336=A336,T$9:T336)),""),"")</f>
        <v/>
      </c>
      <c r="O336" s="89">
        <f t="array" ref="O336">IFERROR(IF(A337&lt;&gt;A336,_xlfn.STDEV.P(IF(A$9:A336=A336,S$9:S336)),""),"")</f>
        <v/>
      </c>
      <c r="P336" s="90">
        <f>IFERROR(IF(A336&lt;&gt;A337,MAX((((M336*24*60)/2)*(1+POWER((((N336*24*60) / (M336*24*60) )),2))) + ((M336*24*60 )*-0.1 + (K336*0.015)) +1,(((M336*24*60)/2)*(1+POWER((((N336*24*60) / (M336*24*60 ))),2)))),""),"")</f>
        <v/>
      </c>
      <c r="Q336" s="90">
        <f>IF(AND(O336&lt;&gt;"",L336&lt;&gt;""),IF(A336&lt;&gt;A337,((L336*24*60) / 2 ) * (1 + POWER(((O336*24*60) / (L336*24*60)),2)),""),"")</f>
        <v/>
      </c>
      <c r="R336" s="90">
        <f>IF(Q336&lt;&gt;"",MAX(P336,Q336),"")</f>
        <v/>
      </c>
      <c r="S336" s="89">
        <f>IF(I336&lt;&gt;"H. Sale Real",IF(AND(I337&lt;&gt;"",LEFT(C337,2)&lt;&gt;"Va"),IF(AND(I336&lt;&gt;"",LEFT(C336,2)&lt;&gt;"Va",I336&lt;&gt;"H. Sale Real"),IF(I337-I336&lt;0.208333333333333,I337-I336,""),IF(AND(I335&lt;&gt;"",LEFT(C335,2)&lt;&gt;"Va",I335&lt;&gt;"H. Sale Real"),IF(I337-I335&lt;0.208333333333333,I337-I335,""),IF(AND(I334&lt;&gt;"",LEFT(C334,2)&lt;&gt;"Va",I334&lt;&gt;"H. Sale Real"),IF(I337-I334&lt;0.208333333333333,I337-I334,""),IF(AND(I333&lt;&gt;"",LEFT(C333,2)&lt;&gt;"Va",I333&lt;&gt;"H. Sale Real"),IF(I337-I333&lt;0.208333333333333,I337-I333,""),IF(AND(I332&lt;&gt;"",LEFT(C332,2)&lt;&gt;"Va",I332&lt;&gt;"H. Sale Real"),IF(I337-I332&lt;0.208333333333333,I337-I332,""),""))))),""),"")</f>
        <v/>
      </c>
      <c r="T336" s="89">
        <f>IF(G336&lt;&gt;"H. Sale Real",IF(AND(G337&lt;&gt;"",LEFT(C337,2)&lt;&gt;"Va"),IF(AND(G336&lt;&gt;"",LEFT(C336,2)&lt;&gt;"Va",G336&lt;&gt;"H. Sale Real"),IF(G337-G336&lt;0.208333333333333,G337-G336,""),IF(AND(G335&lt;&gt;"",LEFT(C335,2)&lt;&gt;"Va",G335&lt;&gt;"H. Sale Real"),IF(G337-G335&lt;0.208333333333333,G337-G335,""),IF(AND(G334&lt;&gt;"",LEFT(C334,2)&lt;&gt;"Va",G334&lt;&gt;"H. Sale Real"),IF(G337-G334&lt;0.208333333333333,G337-G334,""),IF(AND(G333&lt;&gt;"",LEFT(C333,2)&lt;&gt;"Va",G333&lt;&gt;"H. Sale Real"),IF(G337-G333&lt;0.208333333333333,G337-G333,""),IF(AND(G332&lt;&gt;"",LEFT(C332,2)&lt;&gt;"Va",G332&lt;&gt;"H. Sale Real"),IF(G337-G332&lt;0.208333333333333,G337-G332,""),""))))),""),"")</f>
        <v/>
      </c>
      <c r="U336" s="87" t="n"/>
      <c r="V336" s="89" t="n"/>
      <c r="W336" s="87" t="n"/>
      <c r="X336" s="89" t="n"/>
      <c r="Y336" s="91" t="n"/>
      <c r="Z336" s="122">
        <f>IF(G336&lt;&gt;"",IF(AND(Z335&lt;&gt;"IE",P336&lt;&gt;0,R336&lt;&gt;""),IF(IFERROR((P336/R336),0) &lt;=1,IFERROR(P336/R336,""),1),""),"")</f>
        <v/>
      </c>
      <c r="AA336" s="93" t="n"/>
      <c r="AB336" s="2" t="n"/>
      <c r="AE336" s="10">
        <f>HOUR(AK336)+1</f>
        <v/>
      </c>
      <c r="AF336" s="7" t="n"/>
      <c r="AG336" s="7" t="n"/>
      <c r="AH336" s="86" t="n"/>
      <c r="AI336" s="8" t="n"/>
      <c r="AJ336" s="86" t="n"/>
      <c r="AK336" s="87" t="n"/>
      <c r="AL336" s="88">
        <f>IF(AM336="","",IF(AND((AM336-AK336)&gt;=TIME(0,0,0),(AM336-AK336)&lt;TIME(0,3,0)),"OK",IF(AND((AM336-AK336)&gt;=TIME(0,3,0),(AM336-AK336)&lt;TIME(0,5,0)),"RETRASO DE 3-5 MIN",IF(AND((AM336-AK336)&gt;=TIME(0,5,0),(AM336-AK336)&lt;TIME(0,10,0)),"RETRASO DE 5-10 MIN",IF((AM336-AK336)&gt;=TIME(0,10,0),"RETRASO &gt;10 MIN", IF(AND((AK336-AM336)&gt;=TIME(0,0,0),(AK336-AM336)&lt;TIME(0,3,0)),"OK",IF((AK336-AM336)&gt;=TIME(0,3,0),"ADELANTADO")))))))</f>
        <v/>
      </c>
      <c r="AM336" s="91" t="n"/>
      <c r="AN336" s="89">
        <f>IF(AE336&lt;&gt;"",HLOOKUP(VALUE(TEXT(AK336,"h:mm:ss")),IF($C$6="Laboral",$FZ$4:$GX$227,IF($C$6="Sábado",$FZ$231:$GX$452,$FZ$456:$GX$656)),VLOOKUP($C$4,$HF$2:$HH$99,3,0)+IF(AG$5="Ida",0,1),1),"")</f>
        <v/>
      </c>
      <c r="AO336" s="89">
        <f>IF(AE337&lt;&gt;AE336,AVERAGEIF(AE$9:AE336,AE336,AN$9:AN336),"")</f>
        <v/>
      </c>
      <c r="AP336" s="89">
        <f>IFERROR(IF(AE337&lt;&gt;AE336,AVERAGEIF(AE$9:AE336,AE336,AW$9:AW336),""),"")</f>
        <v/>
      </c>
      <c r="AQ336" s="89">
        <f>IFERROR(IF(AE337&lt;&gt;AE336,AVERAGEIF(AE$9:AE336,AE336,AX$9:AX336),""),"")</f>
        <v/>
      </c>
      <c r="AR336" s="89">
        <f t="array" ref="AR336">IFERROR(IF(AE337&lt;&gt;AE336,_xlfn.STDEV.P(IF(AE$9:AE336=AE336,AX$9:AX336)),""),"")</f>
        <v/>
      </c>
      <c r="AS336" s="89">
        <f t="array" ref="AS336">IFERROR(IF(AE337&lt;&gt;AE336,_xlfn.STDEV.P(IF(AE$9:AE336=AE336,AW$9:AW336)),""),"")</f>
        <v/>
      </c>
      <c r="AT336" s="90">
        <f>IFERROR(IF(AE336&lt;&gt;AE337,MAX((((AQ336*24*60)/2)*(1+POWER((((AR336*24*60) / (AQ336*24*60) )),2))) + ((AQ336*24*60 )*-0.1 + (AO336*0.015)) +1,(((AQ336*24*60)/2)*(1+POWER((((AR336*24*60) / (AQ336*24*60 ))),2)))),""),"")</f>
        <v/>
      </c>
      <c r="AU336" s="90">
        <f>IF(AND(AS336&lt;&gt;"",AP336&lt;&gt;""),IF(AE336&lt;&gt;AE337,((AP336*24*60) / 2 ) * (1 + POWER(((AS336*24*60) / (AP336*24*60)),2)),""),"")</f>
        <v/>
      </c>
      <c r="AV336" s="90">
        <f>IF(AU336&lt;&gt;"",MAX(AT336,AU336),"")</f>
        <v/>
      </c>
      <c r="AW336" s="89">
        <f>IF(AM336&lt;&gt;"H. Sale Real",IF(AND(AM337&lt;&gt;"",LEFT(AG337,2)&lt;&gt;"Va"),IF(AND(AM336&lt;&gt;"",LEFT(AG336,2)&lt;&gt;"Va",AM336&lt;&gt;"H. Sale Real"),IF(AM337-AM336&lt;0.208333333333333,AM337-AM336,""),IF(AND(AM335&lt;&gt;"",LEFT(AG335,2)&lt;&gt;"Va",AM335&lt;&gt;"H. Sale Real"),IF(AM337-AM335&lt;0.208333333333333,AM337-AM335,""),IF(AND(AM334&lt;&gt;"",LEFT(AG334,2)&lt;&gt;"Va",AM334&lt;&gt;"H. Sale Real"),IF(AM337-AM334&lt;0.208333333333333,AM337-AM334,""),IF(AND(AM333&lt;&gt;"",LEFT(AG333,2)&lt;&gt;"Va",AM333&lt;&gt;"H. Sale Real"),IF(AM337-AM333&lt;0.208333333333333,AM337-AM333,""),IF(AND(AM332&lt;&gt;"",LEFT(AG332,2)&lt;&gt;"Va",AM332&lt;&gt;"H. Sale Real"),IF(AM337-AM332&lt;0.208333333333333,AM337-AM332,""),""))))),""),"")</f>
        <v/>
      </c>
      <c r="AX336" s="89">
        <f>IF(AK336&lt;&gt;"H. Sale Real",IF(AND(AK337&lt;&gt;"",LEFT(AG337,2)&lt;&gt;"Va"),IF(AND(AK336&lt;&gt;"",LEFT(AG336,2)&lt;&gt;"Va",AK336&lt;&gt;"H. Sale Real"),IF(AK337-AK336&lt;0.208333333333333,AK337-AK336,""),IF(AND(AK335&lt;&gt;"",LEFT(AG335,2)&lt;&gt;"Va",AK335&lt;&gt;"H. Sale Real"),IF(AK337-AK335&lt;0.208333333333333,AK337-AK335,""),IF(AND(AK334&lt;&gt;"",LEFT(AG334,2)&lt;&gt;"NC",AK334&lt;&gt;"H. Sale Real"),IF(AK337-AK334&lt;0.208333333333333,AK337-AK334,""),IF(AND(AK333&lt;&gt;"",LEFT(AG333,2)&lt;&gt;"Va",AK333&lt;&gt;"H. Sale Real"),IF(AK337-AK333&lt;0.208333333333333,AK337-AK333,""),IF(AND(AK332&lt;&gt;"",LEFT(AG332,2)&lt;&gt;"Va",AK332&lt;&gt;"H. Sale Real"),IF(AK337-AK332&lt;0.208333333333333,AK337-AK332,""),""))))),""),"")</f>
        <v/>
      </c>
      <c r="AY336" s="87" t="n"/>
      <c r="AZ336" s="89" t="n"/>
      <c r="BA336" s="87" t="n"/>
      <c r="BB336" s="89" t="n"/>
      <c r="BC336" s="91" t="n"/>
      <c r="BD336" s="122">
        <f>IF(AK336&lt;&gt;"",IF(AND(BD335&lt;&gt;"IE",AT336&lt;&gt;0,AV336&lt;&gt;""),IF(IFERROR((AT336/AV336),0) &lt;=1,IFERROR(AT336/AV336,""),1),""),"")</f>
        <v/>
      </c>
      <c r="BE336" s="93" t="n"/>
      <c r="BF336" s="105" t="n"/>
      <c r="FC336" t="inlineStr">
        <is>
          <t>Diccionario 1</t>
        </is>
      </c>
      <c r="FD336" s="15" t="n">
        <v>1335</v>
      </c>
      <c r="FE336" s="15" t="inlineStr">
        <is>
          <t>MDN35025010041</t>
        </is>
      </c>
      <c r="FF336" s="15" t="inlineStr">
        <is>
          <t>LDYECS315S0043819</t>
        </is>
      </c>
      <c r="FG336" s="15" t="inlineStr">
        <is>
          <t>Zhong Tong</t>
        </is>
      </c>
      <c r="FH336" s="15" t="inlineStr">
        <is>
          <t>Lck6122evg</t>
        </is>
      </c>
      <c r="FI336" s="15" t="inlineStr">
        <is>
          <t>ZHONGTONG</t>
        </is>
      </c>
      <c r="FJ336" s="15" t="inlineStr">
        <is>
          <t>LCK6122EVG</t>
        </is>
      </c>
      <c r="FK336" s="15" t="n">
        <v>2025</v>
      </c>
      <c r="FL336" s="15" t="inlineStr">
        <is>
          <t>B</t>
        </is>
      </c>
      <c r="FM336" s="15" t="inlineStr">
        <is>
          <t>SAN ALFONSO</t>
        </is>
      </c>
      <c r="FN336" s="15" t="inlineStr">
        <is>
          <t>San Alfonso 2141 (Ramón Subercaseaux 3060)</t>
        </is>
      </c>
      <c r="FO336" s="15" t="inlineStr">
        <is>
          <t>Estacion Central</t>
        </is>
      </c>
      <c r="FP336" t="inlineStr">
        <is>
          <t>B</t>
        </is>
      </c>
      <c r="FS336" s="14" t="inlineStr">
        <is>
          <t>3089 / SFWZ-73|</t>
        </is>
      </c>
      <c r="FT336" t="inlineStr">
        <is>
          <t>SFWZ-73|</t>
        </is>
      </c>
      <c r="FU336" t="inlineStr">
        <is>
          <t>SFWZ-73</t>
        </is>
      </c>
      <c r="FV336">
        <f>VLOOKUP(FU336,FD:FL,9,0)</f>
        <v/>
      </c>
      <c r="HA336" s="35" t="n">
        <v>106</v>
      </c>
      <c r="HB336" s="35" t="n">
        <v>330</v>
      </c>
    </row>
    <row r="337" ht="15.5" customHeight="1">
      <c r="A337" s="10">
        <f>HOUR(G337)+1</f>
        <v/>
      </c>
      <c r="B337" s="7" t="n"/>
      <c r="C337" s="7" t="n"/>
      <c r="D337" s="85">
        <f>IFERROR(
IF(AND(OR(Planilla!B337="C",Planilla!B337="c"), VLOOKUP(E337,FD:FP,13,0)="C"), "OK",IF(AND(OR(Planilla!B337="C",Planilla!B337="c"), OR(VLOOKUP(E337,FD:FP,13,0)="B", VLOOKUP(E337,FD:FP,13,0)="A")), "DEFICIT",IF(
AND(OR(Planilla!B337="B", Planilla!B337="BPAL"), VLOOKUP(E337,FD:FP,13,0)="B"), "OK",IF(AND(OR(Planilla!B337="B", Planilla!B337="BPAL"), VLOOKUP(E337,FD:FP,13,0)="A"), "DEFICIT",IF(AND(OR(Planilla!B337="B", Planilla!B337="BPAL"), VLOOKUP(E337,FD:FP,13,0)="C"), "SOBREOFERTA",IF(AND(Planilla!B337="A", VLOOKUP(E337,FD:FP,13,0)="A"), "OK",IF(
AND(Planilla!B337="A", OR(VLOOKUP(E337,FD:FP,13,0)="B", VLOOKUP(E337,FD:FP,13,0)="C")), "SOBREOFERTA",""
))))))),"")</f>
        <v/>
      </c>
      <c r="E337" s="8" t="n"/>
      <c r="F337" s="86" t="n"/>
      <c r="G337" s="87" t="n"/>
      <c r="H337" s="88">
        <f>IF(I337="","",IF(AND((I337-G337)&gt;=TIME(0,0,0),(I337-G337)&lt;TIME(0,3,0)),"OK",IF(AND((I337-G337)&gt;=TIME(0,3,0),(I337-G337)&lt;TIME(0,5,0)),"RETRASO DE 3-5 MIN",IF(AND((I337-G337)&gt;=TIME(0,5,0),(I337-G337)&lt;TIME(0,10,0)),"RETRASO DE 5-10 MIN",IF((I337-G337)&gt;=TIME(0,10,0),"RETRASO &gt;10 MIN", IF(AND((G337-I337)&gt;=TIME(0,0,0),(G337-I337)&lt;TIME(0,3,0)),"OK",IF((G337-I337)&gt;=TIME(0,3,0),"ADELANTADO")))))))</f>
        <v/>
      </c>
      <c r="I337" s="89" t="n"/>
      <c r="J337" s="89">
        <f>IF(A337&lt;&gt;"",HLOOKUP(VALUE(TEXT(G337,"h:mm:ss")),IF($C$6="Laboral",$FZ$4:$GX$227,IF($C$6="Sábado",$FZ$231:$GX$452,$FZ$456:$GX$656)),VLOOKUP($C$4,$HF$2:$HH$99,3,0)+IF(C$5="Ida",0,1),1),"")</f>
        <v/>
      </c>
      <c r="K337" s="89">
        <f>IF(A338&lt;&gt;A337,AVERAGEIF(A$9:A337,A337,J$9:J337),"")</f>
        <v/>
      </c>
      <c r="L337" s="89">
        <f>IFERROR(IF(A338&lt;&gt;A337,AVERAGEIF(A$9:A337,A337,S$9:S337),""),"")</f>
        <v/>
      </c>
      <c r="M337" s="89">
        <f>IFERROR(IF(A338&lt;&gt;A337,AVERAGEIF(A$9:A337,A337,T$9:T337),""),"")</f>
        <v/>
      </c>
      <c r="N337" s="89">
        <f t="array" ref="N337">IFERROR(IF(A338&lt;&gt;A337,_xlfn.STDEV.P(IF(A$9:A337=A337,T$9:T337)),""),"")</f>
        <v/>
      </c>
      <c r="O337" s="89">
        <f t="array" ref="O337">IFERROR(IF(A338&lt;&gt;A337,_xlfn.STDEV.P(IF(A$9:A337=A337,S$9:S337)),""),"")</f>
        <v/>
      </c>
      <c r="P337" s="90">
        <f>IFERROR(IF(A337&lt;&gt;A338,MAX((((M337*24*60)/2)*(1+POWER((((N337*24*60) / (M337*24*60) )),2))) + ((M337*24*60 )*-0.1 + (K337*0.015)) +1,(((M337*24*60)/2)*(1+POWER((((N337*24*60) / (M337*24*60 ))),2)))),""),"")</f>
        <v/>
      </c>
      <c r="Q337" s="90">
        <f>IF(AND(O337&lt;&gt;"",L337&lt;&gt;""),IF(A337&lt;&gt;A338,((L337*24*60) / 2 ) * (1 + POWER(((O337*24*60) / (L337*24*60)),2)),""),"")</f>
        <v/>
      </c>
      <c r="R337" s="90">
        <f>IF(Q337&lt;&gt;"",MAX(P337,Q337),"")</f>
        <v/>
      </c>
      <c r="S337" s="89">
        <f>IF(I337&lt;&gt;"H. Sale Real",IF(AND(I338&lt;&gt;"",LEFT(C338,2)&lt;&gt;"Va"),IF(AND(I337&lt;&gt;"",LEFT(C337,2)&lt;&gt;"Va",I337&lt;&gt;"H. Sale Real"),IF(I338-I337&lt;0.208333333333333,I338-I337,""),IF(AND(I336&lt;&gt;"",LEFT(C336,2)&lt;&gt;"Va",I336&lt;&gt;"H. Sale Real"),IF(I338-I336&lt;0.208333333333333,I338-I336,""),IF(AND(I335&lt;&gt;"",LEFT(C335,2)&lt;&gt;"Va",I335&lt;&gt;"H. Sale Real"),IF(I338-I335&lt;0.208333333333333,I338-I335,""),IF(AND(I334&lt;&gt;"",LEFT(C334,2)&lt;&gt;"Va",I334&lt;&gt;"H. Sale Real"),IF(I338-I334&lt;0.208333333333333,I338-I334,""),IF(AND(I333&lt;&gt;"",LEFT(C333,2)&lt;&gt;"Va",I333&lt;&gt;"H. Sale Real"),IF(I338-I333&lt;0.208333333333333,I338-I333,""),""))))),""),"")</f>
        <v/>
      </c>
      <c r="T337" s="89">
        <f>IF(G337&lt;&gt;"H. Sale Real",IF(AND(G338&lt;&gt;"",LEFT(C338,2)&lt;&gt;"Va"),IF(AND(G337&lt;&gt;"",LEFT(C337,2)&lt;&gt;"Va",G337&lt;&gt;"H. Sale Real"),IF(G338-G337&lt;0.208333333333333,G338-G337,""),IF(AND(G336&lt;&gt;"",LEFT(C336,2)&lt;&gt;"Va",G336&lt;&gt;"H. Sale Real"),IF(G338-G336&lt;0.208333333333333,G338-G336,""),IF(AND(G335&lt;&gt;"",LEFT(C335,2)&lt;&gt;"Va",G335&lt;&gt;"H. Sale Real"),IF(G338-G335&lt;0.208333333333333,G338-G335,""),IF(AND(G334&lt;&gt;"",LEFT(C334,2)&lt;&gt;"Va",G334&lt;&gt;"H. Sale Real"),IF(G338-G334&lt;0.208333333333333,G338-G334,""),IF(AND(G333&lt;&gt;"",LEFT(C333,2)&lt;&gt;"Va",G333&lt;&gt;"H. Sale Real"),IF(G338-G333&lt;0.208333333333333,G338-G333,""),""))))),""),"")</f>
        <v/>
      </c>
      <c r="U337" s="87" t="n"/>
      <c r="V337" s="89" t="n"/>
      <c r="W337" s="87" t="n"/>
      <c r="X337" s="89" t="n"/>
      <c r="Y337" s="91" t="n"/>
      <c r="Z337" s="122">
        <f>IF(G337&lt;&gt;"",IF(AND(Z336&lt;&gt;"IE",P337&lt;&gt;0,R337&lt;&gt;""),IF(IFERROR((P337/R337),0) &lt;=1,IFERROR(P337/R337,""),1),""),"")</f>
        <v/>
      </c>
      <c r="AA337" s="93" t="n"/>
      <c r="AB337" s="2" t="n"/>
      <c r="AE337" s="10">
        <f>HOUR(AK337)+1</f>
        <v/>
      </c>
      <c r="AF337" s="7" t="n"/>
      <c r="AG337" s="7" t="n"/>
      <c r="AH337" s="86" t="n"/>
      <c r="AI337" s="8" t="n"/>
      <c r="AJ337" s="86" t="n"/>
      <c r="AK337" s="87" t="n"/>
      <c r="AL337" s="88">
        <f>IF(AM337="","",IF(AND((AM337-AK337)&gt;=TIME(0,0,0),(AM337-AK337)&lt;TIME(0,3,0)),"OK",IF(AND((AM337-AK337)&gt;=TIME(0,3,0),(AM337-AK337)&lt;TIME(0,5,0)),"RETRASO DE 3-5 MIN",IF(AND((AM337-AK337)&gt;=TIME(0,5,0),(AM337-AK337)&lt;TIME(0,10,0)),"RETRASO DE 5-10 MIN",IF((AM337-AK337)&gt;=TIME(0,10,0),"RETRASO &gt;10 MIN", IF(AND((AK337-AM337)&gt;=TIME(0,0,0),(AK337-AM337)&lt;TIME(0,3,0)),"OK",IF((AK337-AM337)&gt;=TIME(0,3,0),"ADELANTADO")))))))</f>
        <v/>
      </c>
      <c r="AM337" s="91" t="n"/>
      <c r="AN337" s="89">
        <f>IF(AE337&lt;&gt;"",HLOOKUP(VALUE(TEXT(AK337,"h:mm:ss")),IF($C$6="Laboral",$FZ$4:$GX$227,IF($C$6="Sábado",$FZ$231:$GX$452,$FZ$456:$GX$656)),VLOOKUP($C$4,$HF$2:$HH$99,3,0)+IF(AG$5="Ida",0,1),1),"")</f>
        <v/>
      </c>
      <c r="AO337" s="89">
        <f>IF(AE338&lt;&gt;AE337,AVERAGEIF(AE$9:AE337,AE337,AN$9:AN337),"")</f>
        <v/>
      </c>
      <c r="AP337" s="89">
        <f>IFERROR(IF(AE338&lt;&gt;AE337,AVERAGEIF(AE$9:AE337,AE337,AW$9:AW337),""),"")</f>
        <v/>
      </c>
      <c r="AQ337" s="89">
        <f>IFERROR(IF(AE338&lt;&gt;AE337,AVERAGEIF(AE$9:AE337,AE337,AX$9:AX337),""),"")</f>
        <v/>
      </c>
      <c r="AR337" s="89">
        <f t="array" ref="AR337">IFERROR(IF(AE338&lt;&gt;AE337,_xlfn.STDEV.P(IF(AE$9:AE337=AE337,AX$9:AX337)),""),"")</f>
        <v/>
      </c>
      <c r="AS337" s="89">
        <f t="array" ref="AS337">IFERROR(IF(AE338&lt;&gt;AE337,_xlfn.STDEV.P(IF(AE$9:AE337=AE337,AW$9:AW337)),""),"")</f>
        <v/>
      </c>
      <c r="AT337" s="90">
        <f>IFERROR(IF(AE337&lt;&gt;AE338,MAX((((AQ337*24*60)/2)*(1+POWER((((AR337*24*60) / (AQ337*24*60) )),2))) + ((AQ337*24*60 )*-0.1 + (AO337*0.015)) +1,(((AQ337*24*60)/2)*(1+POWER((((AR337*24*60) / (AQ337*24*60 ))),2)))),""),"")</f>
        <v/>
      </c>
      <c r="AU337" s="90">
        <f>IF(AND(AS337&lt;&gt;"",AP337&lt;&gt;""),IF(AE337&lt;&gt;AE338,((AP337*24*60) / 2 ) * (1 + POWER(((AS337*24*60) / (AP337*24*60)),2)),""),"")</f>
        <v/>
      </c>
      <c r="AV337" s="90">
        <f>IF(AU337&lt;&gt;"",MAX(AT337,AU337),"")</f>
        <v/>
      </c>
      <c r="AW337" s="89">
        <f>IF(AM337&lt;&gt;"H. Sale Real",IF(AND(AM338&lt;&gt;"",LEFT(AG338,2)&lt;&gt;"Va"),IF(AND(AM337&lt;&gt;"",LEFT(AG337,2)&lt;&gt;"Va",AM337&lt;&gt;"H. Sale Real"),IF(AM338-AM337&lt;0.208333333333333,AM338-AM337,""),IF(AND(AM336&lt;&gt;"",LEFT(AG336,2)&lt;&gt;"Va",AM336&lt;&gt;"H. Sale Real"),IF(AM338-AM336&lt;0.208333333333333,AM338-AM336,""),IF(AND(AM335&lt;&gt;"",LEFT(AG335,2)&lt;&gt;"Va",AM335&lt;&gt;"H. Sale Real"),IF(AM338-AM335&lt;0.208333333333333,AM338-AM335,""),IF(AND(AM334&lt;&gt;"",LEFT(AG334,2)&lt;&gt;"Va",AM334&lt;&gt;"H. Sale Real"),IF(AM338-AM334&lt;0.208333333333333,AM338-AM334,""),IF(AND(AM333&lt;&gt;"",LEFT(AG333,2)&lt;&gt;"Va",AM333&lt;&gt;"H. Sale Real"),IF(AM338-AM333&lt;0.208333333333333,AM338-AM333,""),""))))),""),"")</f>
        <v/>
      </c>
      <c r="AX337" s="89">
        <f>IF(AK337&lt;&gt;"H. Sale Real",IF(AND(AK338&lt;&gt;"",LEFT(AG338,2)&lt;&gt;"Va"),IF(AND(AK337&lt;&gt;"",LEFT(AG337,2)&lt;&gt;"Va",AK337&lt;&gt;"H. Sale Real"),IF(AK338-AK337&lt;0.208333333333333,AK338-AK337,""),IF(AND(AK336&lt;&gt;"",LEFT(AG336,2)&lt;&gt;"Va",AK336&lt;&gt;"H. Sale Real"),IF(AK338-AK336&lt;0.208333333333333,AK338-AK336,""),IF(AND(AK335&lt;&gt;"",LEFT(AG335,2)&lt;&gt;"NC",AK335&lt;&gt;"H. Sale Real"),IF(AK338-AK335&lt;0.208333333333333,AK338-AK335,""),IF(AND(AK334&lt;&gt;"",LEFT(AG334,2)&lt;&gt;"Va",AK334&lt;&gt;"H. Sale Real"),IF(AK338-AK334&lt;0.208333333333333,AK338-AK334,""),IF(AND(AK333&lt;&gt;"",LEFT(AG333,2)&lt;&gt;"Va",AK333&lt;&gt;"H. Sale Real"),IF(AK338-AK333&lt;0.208333333333333,AK338-AK333,""),""))))),""),"")</f>
        <v/>
      </c>
      <c r="AY337" s="87" t="n"/>
      <c r="AZ337" s="89" t="n"/>
      <c r="BA337" s="87" t="n"/>
      <c r="BB337" s="89" t="n"/>
      <c r="BC337" s="91" t="n"/>
      <c r="BD337" s="122">
        <f>IF(AK337&lt;&gt;"",IF(AND(BD336&lt;&gt;"IE",AT337&lt;&gt;0,AV337&lt;&gt;""),IF(IFERROR((AT337/AV337),0) &lt;=1,IFERROR(AT337/AV337,""),1),""),"")</f>
        <v/>
      </c>
      <c r="BE337" s="93" t="n"/>
      <c r="BF337" s="105" t="n"/>
      <c r="FC337" t="inlineStr">
        <is>
          <t>Diccionario 1</t>
        </is>
      </c>
      <c r="FD337" s="15" t="n">
        <v>1336</v>
      </c>
      <c r="FE337" s="15" t="inlineStr">
        <is>
          <t>MDN35025020021</t>
        </is>
      </c>
      <c r="FF337" s="15" t="inlineStr">
        <is>
          <t>LDYECS316S0044106</t>
        </is>
      </c>
      <c r="FG337" s="15" t="inlineStr">
        <is>
          <t>Zhong Tong</t>
        </is>
      </c>
      <c r="FH337" s="15" t="inlineStr">
        <is>
          <t>Lck6122evg</t>
        </is>
      </c>
      <c r="FI337" s="15" t="inlineStr">
        <is>
          <t>ZHONGTONG</t>
        </is>
      </c>
      <c r="FJ337" s="15" t="inlineStr">
        <is>
          <t>LCK6122EVG</t>
        </is>
      </c>
      <c r="FK337" s="15" t="n">
        <v>2025</v>
      </c>
      <c r="FL337" s="15" t="inlineStr">
        <is>
          <t>B</t>
        </is>
      </c>
      <c r="FM337" s="15" t="inlineStr">
        <is>
          <t>SAN ALFONSO</t>
        </is>
      </c>
      <c r="FN337" s="15" t="inlineStr">
        <is>
          <t>San Alfonso 2141 (Ramón Subercaseaux 3060)</t>
        </is>
      </c>
      <c r="FO337" s="15" t="inlineStr">
        <is>
          <t>Estacion Central</t>
        </is>
      </c>
      <c r="FP337" t="inlineStr">
        <is>
          <t>B</t>
        </is>
      </c>
      <c r="FS337" s="14" t="inlineStr">
        <is>
          <t>3089 / SFWZ-73|</t>
        </is>
      </c>
      <c r="FT337" t="inlineStr">
        <is>
          <t>SFWZ-73|</t>
        </is>
      </c>
      <c r="FU337" t="inlineStr">
        <is>
          <t>SFWZ-73</t>
        </is>
      </c>
      <c r="FV337">
        <f>VLOOKUP(FU337,FD:FL,9,0)</f>
        <v/>
      </c>
      <c r="HA337" s="35" t="n">
        <v>107</v>
      </c>
      <c r="HB337" s="35" t="n">
        <v>331</v>
      </c>
    </row>
    <row r="338" ht="15.5" customHeight="1">
      <c r="A338" s="10">
        <f>HOUR(G338)+1</f>
        <v/>
      </c>
      <c r="B338" s="7" t="n"/>
      <c r="C338" s="7" t="n"/>
      <c r="D338" s="85">
        <f>IFERROR(
IF(AND(OR(Planilla!B338="C",Planilla!B338="c"), VLOOKUP(E338,FD:FP,13,0)="C"), "OK",IF(AND(OR(Planilla!B338="C",Planilla!B338="c"), OR(VLOOKUP(E338,FD:FP,13,0)="B", VLOOKUP(E338,FD:FP,13,0)="A")), "DEFICIT",IF(
AND(OR(Planilla!B338="B", Planilla!B338="BPAL"), VLOOKUP(E338,FD:FP,13,0)="B"), "OK",IF(AND(OR(Planilla!B338="B", Planilla!B338="BPAL"), VLOOKUP(E338,FD:FP,13,0)="A"), "DEFICIT",IF(AND(OR(Planilla!B338="B", Planilla!B338="BPAL"), VLOOKUP(E338,FD:FP,13,0)="C"), "SOBREOFERTA",IF(AND(Planilla!B338="A", VLOOKUP(E338,FD:FP,13,0)="A"), "OK",IF(
AND(Planilla!B338="A", OR(VLOOKUP(E338,FD:FP,13,0)="B", VLOOKUP(E338,FD:FP,13,0)="C")), "SOBREOFERTA",""
))))))),"")</f>
        <v/>
      </c>
      <c r="E338" s="8" t="n"/>
      <c r="F338" s="86" t="n"/>
      <c r="G338" s="87" t="n"/>
      <c r="H338" s="88">
        <f>IF(I338="","",IF(AND((I338-G338)&gt;=TIME(0,0,0),(I338-G338)&lt;TIME(0,3,0)),"OK",IF(AND((I338-G338)&gt;=TIME(0,3,0),(I338-G338)&lt;TIME(0,5,0)),"RETRASO DE 3-5 MIN",IF(AND((I338-G338)&gt;=TIME(0,5,0),(I338-G338)&lt;TIME(0,10,0)),"RETRASO DE 5-10 MIN",IF((I338-G338)&gt;=TIME(0,10,0),"RETRASO &gt;10 MIN", IF(AND((G338-I338)&gt;=TIME(0,0,0),(G338-I338)&lt;TIME(0,3,0)),"OK",IF((G338-I338)&gt;=TIME(0,3,0),"ADELANTADO")))))))</f>
        <v/>
      </c>
      <c r="I338" s="89" t="n"/>
      <c r="J338" s="89">
        <f>IF(A338&lt;&gt;"",HLOOKUP(VALUE(TEXT(G338,"h:mm:ss")),IF($C$6="Laboral",$FZ$4:$GX$227,IF($C$6="Sábado",$FZ$231:$GX$452,$FZ$456:$GX$656)),VLOOKUP($C$4,$HF$2:$HH$99,3,0)+IF(C$5="Ida",0,1),1),"")</f>
        <v/>
      </c>
      <c r="K338" s="89">
        <f>IF(A339&lt;&gt;A338,AVERAGEIF(A$9:A338,A338,J$9:J338),"")</f>
        <v/>
      </c>
      <c r="L338" s="89">
        <f>IFERROR(IF(A339&lt;&gt;A338,AVERAGEIF(A$9:A338,A338,S$9:S338),""),"")</f>
        <v/>
      </c>
      <c r="M338" s="89">
        <f>IFERROR(IF(A339&lt;&gt;A338,AVERAGEIF(A$9:A338,A338,T$9:T338),""),"")</f>
        <v/>
      </c>
      <c r="N338" s="89">
        <f t="array" ref="N338">IFERROR(IF(A339&lt;&gt;A338,_xlfn.STDEV.P(IF(A$9:A338=A338,T$9:T338)),""),"")</f>
        <v/>
      </c>
      <c r="O338" s="89">
        <f t="array" ref="O338">IFERROR(IF(A339&lt;&gt;A338,_xlfn.STDEV.P(IF(A$9:A338=A338,S$9:S338)),""),"")</f>
        <v/>
      </c>
      <c r="P338" s="90">
        <f>IFERROR(IF(A338&lt;&gt;A339,MAX((((M338*24*60)/2)*(1+POWER((((N338*24*60) / (M338*24*60) )),2))) + ((M338*24*60 )*-0.1 + (K338*0.015)) +1,(((M338*24*60)/2)*(1+POWER((((N338*24*60) / (M338*24*60 ))),2)))),""),"")</f>
        <v/>
      </c>
      <c r="Q338" s="90">
        <f>IF(AND(O338&lt;&gt;"",L338&lt;&gt;""),IF(A338&lt;&gt;A339,((L338*24*60) / 2 ) * (1 + POWER(((O338*24*60) / (L338*24*60)),2)),""),"")</f>
        <v/>
      </c>
      <c r="R338" s="90">
        <f>IF(Q338&lt;&gt;"",MAX(P338,Q338),"")</f>
        <v/>
      </c>
      <c r="S338" s="89">
        <f>IF(I338&lt;&gt;"H. Sale Real",IF(AND(I339&lt;&gt;"",LEFT(C339,2)&lt;&gt;"Va"),IF(AND(I338&lt;&gt;"",LEFT(C338,2)&lt;&gt;"Va",I338&lt;&gt;"H. Sale Real"),IF(I339-I338&lt;0.208333333333333,I339-I338,""),IF(AND(I337&lt;&gt;"",LEFT(C337,2)&lt;&gt;"Va",I337&lt;&gt;"H. Sale Real"),IF(I339-I337&lt;0.208333333333333,I339-I337,""),IF(AND(I336&lt;&gt;"",LEFT(C336,2)&lt;&gt;"Va",I336&lt;&gt;"H. Sale Real"),IF(I339-I336&lt;0.208333333333333,I339-I336,""),IF(AND(I335&lt;&gt;"",LEFT(C335,2)&lt;&gt;"Va",I335&lt;&gt;"H. Sale Real"),IF(I339-I335&lt;0.208333333333333,I339-I335,""),IF(AND(I334&lt;&gt;"",LEFT(C334,2)&lt;&gt;"Va",I334&lt;&gt;"H. Sale Real"),IF(I339-I334&lt;0.208333333333333,I339-I334,""),""))))),""),"")</f>
        <v/>
      </c>
      <c r="T338" s="89">
        <f>IF(G338&lt;&gt;"H. Sale Real",IF(AND(G339&lt;&gt;"",LEFT(C339,2)&lt;&gt;"Va"),IF(AND(G338&lt;&gt;"",LEFT(C338,2)&lt;&gt;"Va",G338&lt;&gt;"H. Sale Real"),IF(G339-G338&lt;0.208333333333333,G339-G338,""),IF(AND(G337&lt;&gt;"",LEFT(C337,2)&lt;&gt;"Va",G337&lt;&gt;"H. Sale Real"),IF(G339-G337&lt;0.208333333333333,G339-G337,""),IF(AND(G336&lt;&gt;"",LEFT(C336,2)&lt;&gt;"Va",G336&lt;&gt;"H. Sale Real"),IF(G339-G336&lt;0.208333333333333,G339-G336,""),IF(AND(G335&lt;&gt;"",LEFT(C335,2)&lt;&gt;"Va",G335&lt;&gt;"H. Sale Real"),IF(G339-G335&lt;0.208333333333333,G339-G335,""),IF(AND(G334&lt;&gt;"",LEFT(C334,2)&lt;&gt;"Va",G334&lt;&gt;"H. Sale Real"),IF(G339-G334&lt;0.208333333333333,G339-G334,""),""))))),""),"")</f>
        <v/>
      </c>
      <c r="U338" s="87" t="n"/>
      <c r="V338" s="89" t="n"/>
      <c r="W338" s="87" t="n"/>
      <c r="X338" s="89" t="n"/>
      <c r="Y338" s="91" t="n"/>
      <c r="Z338" s="122">
        <f>IF(G338&lt;&gt;"",IF(AND(Z337&lt;&gt;"IE",P338&lt;&gt;0,R338&lt;&gt;""),IF(IFERROR((P338/R338),0) &lt;=1,IFERROR(P338/R338,""),1),""),"")</f>
        <v/>
      </c>
      <c r="AA338" s="93" t="n"/>
      <c r="AB338" s="2" t="n"/>
      <c r="AE338" s="10">
        <f>HOUR(AK338)+1</f>
        <v/>
      </c>
      <c r="AF338" s="7" t="n"/>
      <c r="AG338" s="7" t="n"/>
      <c r="AH338" s="86" t="n"/>
      <c r="AI338" s="8" t="n"/>
      <c r="AJ338" s="86" t="n"/>
      <c r="AK338" s="87" t="n"/>
      <c r="AL338" s="88">
        <f>IF(AM338="","",IF(AND((AM338-AK338)&gt;=TIME(0,0,0),(AM338-AK338)&lt;TIME(0,3,0)),"OK",IF(AND((AM338-AK338)&gt;=TIME(0,3,0),(AM338-AK338)&lt;TIME(0,5,0)),"RETRASO DE 3-5 MIN",IF(AND((AM338-AK338)&gt;=TIME(0,5,0),(AM338-AK338)&lt;TIME(0,10,0)),"RETRASO DE 5-10 MIN",IF((AM338-AK338)&gt;=TIME(0,10,0),"RETRASO &gt;10 MIN", IF(AND((AK338-AM338)&gt;=TIME(0,0,0),(AK338-AM338)&lt;TIME(0,3,0)),"OK",IF((AK338-AM338)&gt;=TIME(0,3,0),"ADELANTADO")))))))</f>
        <v/>
      </c>
      <c r="AM338" s="91" t="n"/>
      <c r="AN338" s="89">
        <f>IF(AE338&lt;&gt;"",HLOOKUP(VALUE(TEXT(AK338,"h:mm:ss")),IF($C$6="Laboral",$FZ$4:$GX$227,IF($C$6="Sábado",$FZ$231:$GX$452,$FZ$456:$GX$656)),VLOOKUP($C$4,$HF$2:$HH$99,3,0)+IF(AG$5="Ida",0,1),1),"")</f>
        <v/>
      </c>
      <c r="AO338" s="89">
        <f>IF(AE339&lt;&gt;AE338,AVERAGEIF(AE$9:AE338,AE338,AN$9:AN338),"")</f>
        <v/>
      </c>
      <c r="AP338" s="89">
        <f>IFERROR(IF(AE339&lt;&gt;AE338,AVERAGEIF(AE$9:AE338,AE338,AW$9:AW338),""),"")</f>
        <v/>
      </c>
      <c r="AQ338" s="89">
        <f>IFERROR(IF(AE339&lt;&gt;AE338,AVERAGEIF(AE$9:AE338,AE338,AX$9:AX338),""),"")</f>
        <v/>
      </c>
      <c r="AR338" s="89">
        <f t="array" ref="AR338">IFERROR(IF(AE339&lt;&gt;AE338,_xlfn.STDEV.P(IF(AE$9:AE338=AE338,AX$9:AX338)),""),"")</f>
        <v/>
      </c>
      <c r="AS338" s="89">
        <f t="array" ref="AS338">IFERROR(IF(AE339&lt;&gt;AE338,_xlfn.STDEV.P(IF(AE$9:AE338=AE338,AW$9:AW338)),""),"")</f>
        <v/>
      </c>
      <c r="AT338" s="90">
        <f>IFERROR(IF(AE338&lt;&gt;AE339,MAX((((AQ338*24*60)/2)*(1+POWER((((AR338*24*60) / (AQ338*24*60) )),2))) + ((AQ338*24*60 )*-0.1 + (AO338*0.015)) +1,(((AQ338*24*60)/2)*(1+POWER((((AR338*24*60) / (AQ338*24*60 ))),2)))),""),"")</f>
        <v/>
      </c>
      <c r="AU338" s="90">
        <f>IF(AND(AS338&lt;&gt;"",AP338&lt;&gt;""),IF(AE338&lt;&gt;AE339,((AP338*24*60) / 2 ) * (1 + POWER(((AS338*24*60) / (AP338*24*60)),2)),""),"")</f>
        <v/>
      </c>
      <c r="AV338" s="90">
        <f>IF(AU338&lt;&gt;"",MAX(AT338,AU338),"")</f>
        <v/>
      </c>
      <c r="AW338" s="89">
        <f>IF(AM338&lt;&gt;"H. Sale Real",IF(AND(AM339&lt;&gt;"",LEFT(AG339,2)&lt;&gt;"Va"),IF(AND(AM338&lt;&gt;"",LEFT(AG338,2)&lt;&gt;"Va",AM338&lt;&gt;"H. Sale Real"),IF(AM339-AM338&lt;0.208333333333333,AM339-AM338,""),IF(AND(AM337&lt;&gt;"",LEFT(AG337,2)&lt;&gt;"Va",AM337&lt;&gt;"H. Sale Real"),IF(AM339-AM337&lt;0.208333333333333,AM339-AM337,""),IF(AND(AM336&lt;&gt;"",LEFT(AG336,2)&lt;&gt;"Va",AM336&lt;&gt;"H. Sale Real"),IF(AM339-AM336&lt;0.208333333333333,AM339-AM336,""),IF(AND(AM335&lt;&gt;"",LEFT(AG335,2)&lt;&gt;"Va",AM335&lt;&gt;"H. Sale Real"),IF(AM339-AM335&lt;0.208333333333333,AM339-AM335,""),IF(AND(AM334&lt;&gt;"",LEFT(AG334,2)&lt;&gt;"Va",AM334&lt;&gt;"H. Sale Real"),IF(AM339-AM334&lt;0.208333333333333,AM339-AM334,""),""))))),""),"")</f>
        <v/>
      </c>
      <c r="AX338" s="89">
        <f>IF(AK338&lt;&gt;"H. Sale Real",IF(AND(AK339&lt;&gt;"",LEFT(AG339,2)&lt;&gt;"Va"),IF(AND(AK338&lt;&gt;"",LEFT(AG338,2)&lt;&gt;"Va",AK338&lt;&gt;"H. Sale Real"),IF(AK339-AK338&lt;0.208333333333333,AK339-AK338,""),IF(AND(AK337&lt;&gt;"",LEFT(AG337,2)&lt;&gt;"Va",AK337&lt;&gt;"H. Sale Real"),IF(AK339-AK337&lt;0.208333333333333,AK339-AK337,""),IF(AND(AK336&lt;&gt;"",LEFT(AG336,2)&lt;&gt;"NC",AK336&lt;&gt;"H. Sale Real"),IF(AK339-AK336&lt;0.208333333333333,AK339-AK336,""),IF(AND(AK335&lt;&gt;"",LEFT(AG335,2)&lt;&gt;"Va",AK335&lt;&gt;"H. Sale Real"),IF(AK339-AK335&lt;0.208333333333333,AK339-AK335,""),IF(AND(AK334&lt;&gt;"",LEFT(AG334,2)&lt;&gt;"Va",AK334&lt;&gt;"H. Sale Real"),IF(AK339-AK334&lt;0.208333333333333,AK339-AK334,""),""))))),""),"")</f>
        <v/>
      </c>
      <c r="AY338" s="87" t="n"/>
      <c r="AZ338" s="89" t="n"/>
      <c r="BA338" s="87" t="n"/>
      <c r="BB338" s="89" t="n"/>
      <c r="BC338" s="91" t="n"/>
      <c r="BD338" s="122">
        <f>IF(AK338&lt;&gt;"",IF(AND(BD337&lt;&gt;"IE",AT338&lt;&gt;0,AV338&lt;&gt;""),IF(IFERROR((AT338/AV338),0) &lt;=1,IFERROR(AT338/AV338,""),1),""),"")</f>
        <v/>
      </c>
      <c r="BE338" s="93" t="n"/>
      <c r="BF338" s="105" t="n"/>
      <c r="FC338" t="inlineStr">
        <is>
          <t>Diccionario 1</t>
        </is>
      </c>
      <c r="FD338" s="15" t="n">
        <v>1337</v>
      </c>
      <c r="FE338" s="15" t="inlineStr">
        <is>
          <t>MDN35025020102</t>
        </is>
      </c>
      <c r="FF338" s="15" t="inlineStr">
        <is>
          <t>LDYECS31XS0044044</t>
        </is>
      </c>
      <c r="FG338" s="15" t="inlineStr">
        <is>
          <t>Zhong Tong</t>
        </is>
      </c>
      <c r="FH338" s="15" t="inlineStr">
        <is>
          <t>Lck6122evg</t>
        </is>
      </c>
      <c r="FI338" s="15" t="inlineStr">
        <is>
          <t>ZHONGTONG</t>
        </is>
      </c>
      <c r="FJ338" s="15" t="inlineStr">
        <is>
          <t>LCK6122EVG</t>
        </is>
      </c>
      <c r="FK338" s="15" t="n">
        <v>2025</v>
      </c>
      <c r="FL338" s="15" t="inlineStr">
        <is>
          <t>B</t>
        </is>
      </c>
      <c r="FM338" s="15" t="inlineStr">
        <is>
          <t>SAN ALFONSO</t>
        </is>
      </c>
      <c r="FN338" s="15" t="inlineStr">
        <is>
          <t>San Alfonso 2141 (Ramón Subercaseaux 3060)</t>
        </is>
      </c>
      <c r="FO338" s="15" t="inlineStr">
        <is>
          <t>Estacion Central</t>
        </is>
      </c>
      <c r="FP338" t="inlineStr">
        <is>
          <t>B</t>
        </is>
      </c>
      <c r="FS338" s="14" t="inlineStr">
        <is>
          <t>3089 / SFWZ-73|</t>
        </is>
      </c>
      <c r="FT338" t="inlineStr">
        <is>
          <t>SFWZ-73|</t>
        </is>
      </c>
      <c r="FU338" t="inlineStr">
        <is>
          <t>SFWZ-73</t>
        </is>
      </c>
      <c r="FV338">
        <f>VLOOKUP(FU338,FD:FL,9,0)</f>
        <v/>
      </c>
      <c r="HA338" s="35" t="n">
        <v>108</v>
      </c>
      <c r="HB338" s="35" t="n">
        <v>332</v>
      </c>
    </row>
    <row r="339" ht="15.5" customHeight="1">
      <c r="A339" s="10">
        <f>HOUR(G339)+1</f>
        <v/>
      </c>
      <c r="B339" s="7" t="n"/>
      <c r="C339" s="7" t="n"/>
      <c r="D339" s="85">
        <f>IFERROR(
IF(AND(OR(Planilla!B339="C",Planilla!B339="c"), VLOOKUP(E339,FD:FP,13,0)="C"), "OK",IF(AND(OR(Planilla!B339="C",Planilla!B339="c"), OR(VLOOKUP(E339,FD:FP,13,0)="B", VLOOKUP(E339,FD:FP,13,0)="A")), "DEFICIT",IF(
AND(OR(Planilla!B339="B", Planilla!B339="BPAL"), VLOOKUP(E339,FD:FP,13,0)="B"), "OK",IF(AND(OR(Planilla!B339="B", Planilla!B339="BPAL"), VLOOKUP(E339,FD:FP,13,0)="A"), "DEFICIT",IF(AND(OR(Planilla!B339="B", Planilla!B339="BPAL"), VLOOKUP(E339,FD:FP,13,0)="C"), "SOBREOFERTA",IF(AND(Planilla!B339="A", VLOOKUP(E339,FD:FP,13,0)="A"), "OK",IF(
AND(Planilla!B339="A", OR(VLOOKUP(E339,FD:FP,13,0)="B", VLOOKUP(E339,FD:FP,13,0)="C")), "SOBREOFERTA",""
))))))),"")</f>
        <v/>
      </c>
      <c r="E339" s="8" t="n"/>
      <c r="F339" s="86" t="n"/>
      <c r="G339" s="87" t="n"/>
      <c r="H339" s="88">
        <f>IF(I339="","",IF(AND((I339-G339)&gt;=TIME(0,0,0),(I339-G339)&lt;TIME(0,3,0)),"OK",IF(AND((I339-G339)&gt;=TIME(0,3,0),(I339-G339)&lt;TIME(0,5,0)),"RETRASO DE 3-5 MIN",IF(AND((I339-G339)&gt;=TIME(0,5,0),(I339-G339)&lt;TIME(0,10,0)),"RETRASO DE 5-10 MIN",IF((I339-G339)&gt;=TIME(0,10,0),"RETRASO &gt;10 MIN", IF(AND((G339-I339)&gt;=TIME(0,0,0),(G339-I339)&lt;TIME(0,3,0)),"OK",IF((G339-I339)&gt;=TIME(0,3,0),"ADELANTADO")))))))</f>
        <v/>
      </c>
      <c r="I339" s="89" t="n"/>
      <c r="J339" s="89">
        <f>IF(A339&lt;&gt;"",HLOOKUP(VALUE(TEXT(G339,"h:mm:ss")),IF($C$6="Laboral",$FZ$4:$GX$227,IF($C$6="Sábado",$FZ$231:$GX$452,$FZ$456:$GX$656)),VLOOKUP($C$4,$HF$2:$HH$99,3,0)+IF(C$5="Ida",0,1),1),"")</f>
        <v/>
      </c>
      <c r="K339" s="89">
        <f>IF(A340&lt;&gt;A339,AVERAGEIF(A$9:A339,A339,J$9:J339),"")</f>
        <v/>
      </c>
      <c r="L339" s="89">
        <f>IFERROR(IF(A340&lt;&gt;A339,AVERAGEIF(A$9:A339,A339,S$9:S339),""),"")</f>
        <v/>
      </c>
      <c r="M339" s="89">
        <f>IFERROR(IF(A340&lt;&gt;A339,AVERAGEIF(A$9:A339,A339,T$9:T339),""),"")</f>
        <v/>
      </c>
      <c r="N339" s="89">
        <f t="array" ref="N339">IFERROR(IF(A340&lt;&gt;A339,_xlfn.STDEV.P(IF(A$9:A339=A339,T$9:T339)),""),"")</f>
        <v/>
      </c>
      <c r="O339" s="89">
        <f t="array" ref="O339">IFERROR(IF(A340&lt;&gt;A339,_xlfn.STDEV.P(IF(A$9:A339=A339,S$9:S339)),""),"")</f>
        <v/>
      </c>
      <c r="P339" s="90">
        <f>IFERROR(IF(A339&lt;&gt;A340,MAX((((M339*24*60)/2)*(1+POWER((((N339*24*60) / (M339*24*60) )),2))) + ((M339*24*60 )*-0.1 + (K339*0.015)) +1,(((M339*24*60)/2)*(1+POWER((((N339*24*60) / (M339*24*60 ))),2)))),""),"")</f>
        <v/>
      </c>
      <c r="Q339" s="90">
        <f>IF(AND(O339&lt;&gt;"",L339&lt;&gt;""),IF(A339&lt;&gt;A340,((L339*24*60) / 2 ) * (1 + POWER(((O339*24*60) / (L339*24*60)),2)),""),"")</f>
        <v/>
      </c>
      <c r="R339" s="90">
        <f>IF(Q339&lt;&gt;"",MAX(P339,Q339),"")</f>
        <v/>
      </c>
      <c r="S339" s="89">
        <f>IF(I339&lt;&gt;"H. Sale Real",IF(AND(I340&lt;&gt;"",LEFT(C340,2)&lt;&gt;"Va"),IF(AND(I339&lt;&gt;"",LEFT(C339,2)&lt;&gt;"Va",I339&lt;&gt;"H. Sale Real"),IF(I340-I339&lt;0.208333333333333,I340-I339,""),IF(AND(I338&lt;&gt;"",LEFT(C338,2)&lt;&gt;"Va",I338&lt;&gt;"H. Sale Real"),IF(I340-I338&lt;0.208333333333333,I340-I338,""),IF(AND(I337&lt;&gt;"",LEFT(C337,2)&lt;&gt;"Va",I337&lt;&gt;"H. Sale Real"),IF(I340-I337&lt;0.208333333333333,I340-I337,""),IF(AND(I336&lt;&gt;"",LEFT(C336,2)&lt;&gt;"Va",I336&lt;&gt;"H. Sale Real"),IF(I340-I336&lt;0.208333333333333,I340-I336,""),IF(AND(I335&lt;&gt;"",LEFT(C335,2)&lt;&gt;"Va",I335&lt;&gt;"H. Sale Real"),IF(I340-I335&lt;0.208333333333333,I340-I335,""),""))))),""),"")</f>
        <v/>
      </c>
      <c r="T339" s="89">
        <f>IF(G339&lt;&gt;"H. Sale Real",IF(AND(G340&lt;&gt;"",LEFT(C340,2)&lt;&gt;"Va"),IF(AND(G339&lt;&gt;"",LEFT(C339,2)&lt;&gt;"Va",G339&lt;&gt;"H. Sale Real"),IF(G340-G339&lt;0.208333333333333,G340-G339,""),IF(AND(G338&lt;&gt;"",LEFT(C338,2)&lt;&gt;"Va",G338&lt;&gt;"H. Sale Real"),IF(G340-G338&lt;0.208333333333333,G340-G338,""),IF(AND(G337&lt;&gt;"",LEFT(C337,2)&lt;&gt;"Va",G337&lt;&gt;"H. Sale Real"),IF(G340-G337&lt;0.208333333333333,G340-G337,""),IF(AND(G336&lt;&gt;"",LEFT(C336,2)&lt;&gt;"Va",G336&lt;&gt;"H. Sale Real"),IF(G340-G336&lt;0.208333333333333,G340-G336,""),IF(AND(G335&lt;&gt;"",LEFT(C335,2)&lt;&gt;"Va",G335&lt;&gt;"H. Sale Real"),IF(G340-G335&lt;0.208333333333333,G340-G335,""),""))))),""),"")</f>
        <v/>
      </c>
      <c r="U339" s="87" t="n"/>
      <c r="V339" s="89" t="n"/>
      <c r="W339" s="87" t="n"/>
      <c r="X339" s="89" t="n"/>
      <c r="Y339" s="91" t="n"/>
      <c r="Z339" s="122">
        <f>IF(G339&lt;&gt;"",IF(AND(Z338&lt;&gt;"IE",P339&lt;&gt;0,R339&lt;&gt;""),IF(IFERROR((P339/R339),0) &lt;=1,IFERROR(P339/R339,""),1),""),"")</f>
        <v/>
      </c>
      <c r="AA339" s="93" t="n"/>
      <c r="AB339" s="2" t="n"/>
      <c r="AE339" s="10">
        <f>HOUR(AK339)+1</f>
        <v/>
      </c>
      <c r="AF339" s="7" t="n"/>
      <c r="AG339" s="7" t="n"/>
      <c r="AH339" s="86" t="n"/>
      <c r="AI339" s="8" t="n"/>
      <c r="AJ339" s="86" t="n"/>
      <c r="AK339" s="87" t="n"/>
      <c r="AL339" s="88">
        <f>IF(AM339="","",IF(AND((AM339-AK339)&gt;=TIME(0,0,0),(AM339-AK339)&lt;TIME(0,3,0)),"OK",IF(AND((AM339-AK339)&gt;=TIME(0,3,0),(AM339-AK339)&lt;TIME(0,5,0)),"RETRASO DE 3-5 MIN",IF(AND((AM339-AK339)&gt;=TIME(0,5,0),(AM339-AK339)&lt;TIME(0,10,0)),"RETRASO DE 5-10 MIN",IF((AM339-AK339)&gt;=TIME(0,10,0),"RETRASO &gt;10 MIN", IF(AND((AK339-AM339)&gt;=TIME(0,0,0),(AK339-AM339)&lt;TIME(0,3,0)),"OK",IF((AK339-AM339)&gt;=TIME(0,3,0),"ADELANTADO")))))))</f>
        <v/>
      </c>
      <c r="AM339" s="91" t="n"/>
      <c r="AN339" s="89">
        <f>IF(AE339&lt;&gt;"",HLOOKUP(VALUE(TEXT(AK339,"h:mm:ss")),IF($C$6="Laboral",$FZ$4:$GX$227,IF($C$6="Sábado",$FZ$231:$GX$452,$FZ$456:$GX$656)),VLOOKUP($C$4,$HF$2:$HH$99,3,0)+IF(AG$5="Ida",0,1),1),"")</f>
        <v/>
      </c>
      <c r="AO339" s="89">
        <f>IF(AE340&lt;&gt;AE339,AVERAGEIF(AE$9:AE339,AE339,AN$9:AN339),"")</f>
        <v/>
      </c>
      <c r="AP339" s="89">
        <f>IFERROR(IF(AE340&lt;&gt;AE339,AVERAGEIF(AE$9:AE339,AE339,AW$9:AW339),""),"")</f>
        <v/>
      </c>
      <c r="AQ339" s="89">
        <f>IFERROR(IF(AE340&lt;&gt;AE339,AVERAGEIF(AE$9:AE339,AE339,AX$9:AX339),""),"")</f>
        <v/>
      </c>
      <c r="AR339" s="89">
        <f t="array" ref="AR339">IFERROR(IF(AE340&lt;&gt;AE339,_xlfn.STDEV.P(IF(AE$9:AE339=AE339,AX$9:AX339)),""),"")</f>
        <v/>
      </c>
      <c r="AS339" s="89">
        <f t="array" ref="AS339">IFERROR(IF(AE340&lt;&gt;AE339,_xlfn.STDEV.P(IF(AE$9:AE339=AE339,AW$9:AW339)),""),"")</f>
        <v/>
      </c>
      <c r="AT339" s="90">
        <f>IFERROR(IF(AE339&lt;&gt;AE340,MAX((((AQ339*24*60)/2)*(1+POWER((((AR339*24*60) / (AQ339*24*60) )),2))) + ((AQ339*24*60 )*-0.1 + (AO339*0.015)) +1,(((AQ339*24*60)/2)*(1+POWER((((AR339*24*60) / (AQ339*24*60 ))),2)))),""),"")</f>
        <v/>
      </c>
      <c r="AU339" s="90">
        <f>IF(AND(AS339&lt;&gt;"",AP339&lt;&gt;""),IF(AE339&lt;&gt;AE340,((AP339*24*60) / 2 ) * (1 + POWER(((AS339*24*60) / (AP339*24*60)),2)),""),"")</f>
        <v/>
      </c>
      <c r="AV339" s="90">
        <f>IF(AU339&lt;&gt;"",MAX(AT339,AU339),"")</f>
        <v/>
      </c>
      <c r="AW339" s="89">
        <f>IF(AM339&lt;&gt;"H. Sale Real",IF(AND(AM340&lt;&gt;"",LEFT(AG340,2)&lt;&gt;"Va"),IF(AND(AM339&lt;&gt;"",LEFT(AG339,2)&lt;&gt;"Va",AM339&lt;&gt;"H. Sale Real"),IF(AM340-AM339&lt;0.208333333333333,AM340-AM339,""),IF(AND(AM338&lt;&gt;"",LEFT(AG338,2)&lt;&gt;"Va",AM338&lt;&gt;"H. Sale Real"),IF(AM340-AM338&lt;0.208333333333333,AM340-AM338,""),IF(AND(AM337&lt;&gt;"",LEFT(AG337,2)&lt;&gt;"Va",AM337&lt;&gt;"H. Sale Real"),IF(AM340-AM337&lt;0.208333333333333,AM340-AM337,""),IF(AND(AM336&lt;&gt;"",LEFT(AG336,2)&lt;&gt;"Va",AM336&lt;&gt;"H. Sale Real"),IF(AM340-AM336&lt;0.208333333333333,AM340-AM336,""),IF(AND(AM335&lt;&gt;"",LEFT(AG335,2)&lt;&gt;"Va",AM335&lt;&gt;"H. Sale Real"),IF(AM340-AM335&lt;0.208333333333333,AM340-AM335,""),""))))),""),"")</f>
        <v/>
      </c>
      <c r="AX339" s="89">
        <f>IF(AK339&lt;&gt;"H. Sale Real",IF(AND(AK340&lt;&gt;"",LEFT(AG340,2)&lt;&gt;"Va"),IF(AND(AK339&lt;&gt;"",LEFT(AG339,2)&lt;&gt;"Va",AK339&lt;&gt;"H. Sale Real"),IF(AK340-AK339&lt;0.208333333333333,AK340-AK339,""),IF(AND(AK338&lt;&gt;"",LEFT(AG338,2)&lt;&gt;"Va",AK338&lt;&gt;"H. Sale Real"),IF(AK340-AK338&lt;0.208333333333333,AK340-AK338,""),IF(AND(AK337&lt;&gt;"",LEFT(AG337,2)&lt;&gt;"NC",AK337&lt;&gt;"H. Sale Real"),IF(AK340-AK337&lt;0.208333333333333,AK340-AK337,""),IF(AND(AK336&lt;&gt;"",LEFT(AG336,2)&lt;&gt;"Va",AK336&lt;&gt;"H. Sale Real"),IF(AK340-AK336&lt;0.208333333333333,AK340-AK336,""),IF(AND(AK335&lt;&gt;"",LEFT(AG335,2)&lt;&gt;"Va",AK335&lt;&gt;"H. Sale Real"),IF(AK340-AK335&lt;0.208333333333333,AK340-AK335,""),""))))),""),"")</f>
        <v/>
      </c>
      <c r="AY339" s="87" t="n"/>
      <c r="AZ339" s="89" t="n"/>
      <c r="BA339" s="87" t="n"/>
      <c r="BB339" s="89" t="n"/>
      <c r="BC339" s="91" t="n"/>
      <c r="BD339" s="122">
        <f>IF(AK339&lt;&gt;"",IF(AND(BD338&lt;&gt;"IE",AT339&lt;&gt;0,AV339&lt;&gt;""),IF(IFERROR((AT339/AV339),0) &lt;=1,IFERROR(AT339/AV339,""),1),""),"")</f>
        <v/>
      </c>
      <c r="BE339" s="93" t="n"/>
      <c r="BF339" s="105" t="n"/>
      <c r="FC339" t="inlineStr">
        <is>
          <t>Diccionario 1</t>
        </is>
      </c>
      <c r="FD339" s="15" t="n">
        <v>1338</v>
      </c>
      <c r="FE339" s="15" t="inlineStr">
        <is>
          <t>MDN35025020003</t>
        </is>
      </c>
      <c r="FF339" s="15" t="inlineStr">
        <is>
          <t>LDYECS314S0044069</t>
        </is>
      </c>
      <c r="FG339" s="15" t="inlineStr">
        <is>
          <t>Zhong Tong</t>
        </is>
      </c>
      <c r="FH339" s="15" t="inlineStr">
        <is>
          <t>Lck6122evg</t>
        </is>
      </c>
      <c r="FI339" s="15" t="inlineStr">
        <is>
          <t>ZHONGTONG</t>
        </is>
      </c>
      <c r="FJ339" s="15" t="inlineStr">
        <is>
          <t>LCK6122EVG</t>
        </is>
      </c>
      <c r="FK339" s="15" t="n">
        <v>2025</v>
      </c>
      <c r="FL339" s="15" t="inlineStr">
        <is>
          <t>B</t>
        </is>
      </c>
      <c r="FM339" s="15" t="inlineStr">
        <is>
          <t>PIE ANDINO</t>
        </is>
      </c>
      <c r="FN339" s="15" t="inlineStr">
        <is>
          <t>Pie Andino 31 (Pie Andino 383)</t>
        </is>
      </c>
      <c r="FO339" s="15" t="inlineStr">
        <is>
          <t>Puente Alto</t>
        </is>
      </c>
      <c r="FP339" t="inlineStr">
        <is>
          <t>B</t>
        </is>
      </c>
      <c r="FS339" s="14" t="inlineStr">
        <is>
          <t>3089 / SFWZ-73|</t>
        </is>
      </c>
      <c r="FT339" t="inlineStr">
        <is>
          <t>SFWZ-73|</t>
        </is>
      </c>
      <c r="FU339" t="inlineStr">
        <is>
          <t>SFWZ-73</t>
        </is>
      </c>
      <c r="FV339">
        <f>VLOOKUP(FU339,FD:FL,9,0)</f>
        <v/>
      </c>
      <c r="HA339" s="35" t="n">
        <v>109</v>
      </c>
      <c r="HB339" s="35" t="n">
        <v>333</v>
      </c>
    </row>
    <row r="340" ht="15.5" customHeight="1">
      <c r="A340" s="10">
        <f>HOUR(G340)+1</f>
        <v/>
      </c>
      <c r="B340" s="7" t="n"/>
      <c r="C340" s="7" t="n"/>
      <c r="D340" s="85">
        <f>IFERROR(
IF(AND(OR(Planilla!B340="C",Planilla!B340="c"), VLOOKUP(E340,FD:FP,13,0)="C"), "OK",IF(AND(OR(Planilla!B340="C",Planilla!B340="c"), OR(VLOOKUP(E340,FD:FP,13,0)="B", VLOOKUP(E340,FD:FP,13,0)="A")), "DEFICIT",IF(
AND(OR(Planilla!B340="B", Planilla!B340="BPAL"), VLOOKUP(E340,FD:FP,13,0)="B"), "OK",IF(AND(OR(Planilla!B340="B", Planilla!B340="BPAL"), VLOOKUP(E340,FD:FP,13,0)="A"), "DEFICIT",IF(AND(OR(Planilla!B340="B", Planilla!B340="BPAL"), VLOOKUP(E340,FD:FP,13,0)="C"), "SOBREOFERTA",IF(AND(Planilla!B340="A", VLOOKUP(E340,FD:FP,13,0)="A"), "OK",IF(
AND(Planilla!B340="A", OR(VLOOKUP(E340,FD:FP,13,0)="B", VLOOKUP(E340,FD:FP,13,0)="C")), "SOBREOFERTA",""
))))))),"")</f>
        <v/>
      </c>
      <c r="E340" s="8" t="n"/>
      <c r="F340" s="86" t="n"/>
      <c r="G340" s="87" t="n"/>
      <c r="H340" s="88">
        <f>IF(I340="","",IF(AND((I340-G340)&gt;=TIME(0,0,0),(I340-G340)&lt;TIME(0,3,0)),"OK",IF(AND((I340-G340)&gt;=TIME(0,3,0),(I340-G340)&lt;TIME(0,5,0)),"RETRASO DE 3-5 MIN",IF(AND((I340-G340)&gt;=TIME(0,5,0),(I340-G340)&lt;TIME(0,10,0)),"RETRASO DE 5-10 MIN",IF((I340-G340)&gt;=TIME(0,10,0),"RETRASO &gt;10 MIN", IF(AND((G340-I340)&gt;=TIME(0,0,0),(G340-I340)&lt;TIME(0,3,0)),"OK",IF((G340-I340)&gt;=TIME(0,3,0),"ADELANTADO")))))))</f>
        <v/>
      </c>
      <c r="I340" s="89" t="n"/>
      <c r="J340" s="89">
        <f>IF(A340&lt;&gt;"",HLOOKUP(VALUE(TEXT(G340,"h:mm:ss")),IF($C$6="Laboral",$FZ$4:$GX$227,IF($C$6="Sábado",$FZ$231:$GX$452,$FZ$456:$GX$656)),VLOOKUP($C$4,$HF$2:$HH$99,3,0)+IF(C$5="Ida",0,1),1),"")</f>
        <v/>
      </c>
      <c r="K340" s="89">
        <f>IF(A341&lt;&gt;A340,AVERAGEIF(A$9:A340,A340,J$9:J340),"")</f>
        <v/>
      </c>
      <c r="L340" s="89">
        <f>IFERROR(IF(A341&lt;&gt;A340,AVERAGEIF(A$9:A340,A340,S$9:S340),""),"")</f>
        <v/>
      </c>
      <c r="M340" s="89">
        <f>IFERROR(IF(A341&lt;&gt;A340,AVERAGEIF(A$9:A340,A340,T$9:T340),""),"")</f>
        <v/>
      </c>
      <c r="N340" s="89">
        <f t="array" ref="N340">IFERROR(IF(A341&lt;&gt;A340,_xlfn.STDEV.P(IF(A$9:A340=A340,T$9:T340)),""),"")</f>
        <v/>
      </c>
      <c r="O340" s="89">
        <f t="array" ref="O340">IFERROR(IF(A341&lt;&gt;A340,_xlfn.STDEV.P(IF(A$9:A340=A340,S$9:S340)),""),"")</f>
        <v/>
      </c>
      <c r="P340" s="90">
        <f>IFERROR(IF(A340&lt;&gt;A341,MAX((((M340*24*60)/2)*(1+POWER((((N340*24*60) / (M340*24*60) )),2))) + ((M340*24*60 )*-0.1 + (K340*0.015)) +1,(((M340*24*60)/2)*(1+POWER((((N340*24*60) / (M340*24*60 ))),2)))),""),"")</f>
        <v/>
      </c>
      <c r="Q340" s="90">
        <f>IF(AND(O340&lt;&gt;"",L340&lt;&gt;""),IF(A340&lt;&gt;A341,((L340*24*60) / 2 ) * (1 + POWER(((O340*24*60) / (L340*24*60)),2)),""),"")</f>
        <v/>
      </c>
      <c r="R340" s="90">
        <f>IF(Q340&lt;&gt;"",MAX(P340,Q340),"")</f>
        <v/>
      </c>
      <c r="S340" s="89">
        <f>IF(I340&lt;&gt;"H. Sale Real",IF(AND(I341&lt;&gt;"",LEFT(C341,2)&lt;&gt;"Va"),IF(AND(I340&lt;&gt;"",LEFT(C340,2)&lt;&gt;"Va",I340&lt;&gt;"H. Sale Real"),IF(I341-I340&lt;0.208333333333333,I341-I340,""),IF(AND(I339&lt;&gt;"",LEFT(C339,2)&lt;&gt;"Va",I339&lt;&gt;"H. Sale Real"),IF(I341-I339&lt;0.208333333333333,I341-I339,""),IF(AND(I338&lt;&gt;"",LEFT(C338,2)&lt;&gt;"Va",I338&lt;&gt;"H. Sale Real"),IF(I341-I338&lt;0.208333333333333,I341-I338,""),IF(AND(I337&lt;&gt;"",LEFT(C337,2)&lt;&gt;"Va",I337&lt;&gt;"H. Sale Real"),IF(I341-I337&lt;0.208333333333333,I341-I337,""),IF(AND(I336&lt;&gt;"",LEFT(C336,2)&lt;&gt;"Va",I336&lt;&gt;"H. Sale Real"),IF(I341-I336&lt;0.208333333333333,I341-I336,""),""))))),""),"")</f>
        <v/>
      </c>
      <c r="T340" s="89">
        <f>IF(G340&lt;&gt;"H. Sale Real",IF(AND(G341&lt;&gt;"",LEFT(C341,2)&lt;&gt;"Va"),IF(AND(G340&lt;&gt;"",LEFT(C340,2)&lt;&gt;"Va",G340&lt;&gt;"H. Sale Real"),IF(G341-G340&lt;0.208333333333333,G341-G340,""),IF(AND(G339&lt;&gt;"",LEFT(C339,2)&lt;&gt;"Va",G339&lt;&gt;"H. Sale Real"),IF(G341-G339&lt;0.208333333333333,G341-G339,""),IF(AND(G338&lt;&gt;"",LEFT(C338,2)&lt;&gt;"Va",G338&lt;&gt;"H. Sale Real"),IF(G341-G338&lt;0.208333333333333,G341-G338,""),IF(AND(G337&lt;&gt;"",LEFT(C337,2)&lt;&gt;"Va",G337&lt;&gt;"H. Sale Real"),IF(G341-G337&lt;0.208333333333333,G341-G337,""),IF(AND(G336&lt;&gt;"",LEFT(C336,2)&lt;&gt;"Va",G336&lt;&gt;"H. Sale Real"),IF(G341-G336&lt;0.208333333333333,G341-G336,""),""))))),""),"")</f>
        <v/>
      </c>
      <c r="U340" s="87" t="n"/>
      <c r="V340" s="89" t="n"/>
      <c r="W340" s="87" t="n"/>
      <c r="X340" s="89" t="n"/>
      <c r="Y340" s="91" t="n"/>
      <c r="Z340" s="122">
        <f>IF(G340&lt;&gt;"",IF(AND(Z339&lt;&gt;"IE",P340&lt;&gt;0,R340&lt;&gt;""),IF(IFERROR((P340/R340),0) &lt;=1,IFERROR(P340/R340,""),1),""),"")</f>
        <v/>
      </c>
      <c r="AA340" s="93" t="n"/>
      <c r="AB340" s="2" t="n"/>
      <c r="AE340" s="10">
        <f>HOUR(AK340)+1</f>
        <v/>
      </c>
      <c r="AF340" s="7" t="n"/>
      <c r="AG340" s="7" t="n"/>
      <c r="AH340" s="86" t="n"/>
      <c r="AI340" s="8" t="n"/>
      <c r="AJ340" s="86" t="n"/>
      <c r="AK340" s="87" t="n"/>
      <c r="AL340" s="88">
        <f>IF(AM340="","",IF(AND((AM340-AK340)&gt;=TIME(0,0,0),(AM340-AK340)&lt;TIME(0,3,0)),"OK",IF(AND((AM340-AK340)&gt;=TIME(0,3,0),(AM340-AK340)&lt;TIME(0,5,0)),"RETRASO DE 3-5 MIN",IF(AND((AM340-AK340)&gt;=TIME(0,5,0),(AM340-AK340)&lt;TIME(0,10,0)),"RETRASO DE 5-10 MIN",IF((AM340-AK340)&gt;=TIME(0,10,0),"RETRASO &gt;10 MIN", IF(AND((AK340-AM340)&gt;=TIME(0,0,0),(AK340-AM340)&lt;TIME(0,3,0)),"OK",IF((AK340-AM340)&gt;=TIME(0,3,0),"ADELANTADO")))))))</f>
        <v/>
      </c>
      <c r="AM340" s="91" t="n"/>
      <c r="AN340" s="89">
        <f>IF(AE340&lt;&gt;"",HLOOKUP(VALUE(TEXT(AK340,"h:mm:ss")),IF($C$6="Laboral",$FZ$4:$GX$227,IF($C$6="Sábado",$FZ$231:$GX$452,$FZ$456:$GX$656)),VLOOKUP($C$4,$HF$2:$HH$99,3,0)+IF(AG$5="Ida",0,1),1),"")</f>
        <v/>
      </c>
      <c r="AO340" s="89">
        <f>IF(AE341&lt;&gt;AE340,AVERAGEIF(AE$9:AE340,AE340,AN$9:AN340),"")</f>
        <v/>
      </c>
      <c r="AP340" s="89">
        <f>IFERROR(IF(AE341&lt;&gt;AE340,AVERAGEIF(AE$9:AE340,AE340,AW$9:AW340),""),"")</f>
        <v/>
      </c>
      <c r="AQ340" s="89">
        <f>IFERROR(IF(AE341&lt;&gt;AE340,AVERAGEIF(AE$9:AE340,AE340,AX$9:AX340),""),"")</f>
        <v/>
      </c>
      <c r="AR340" s="89">
        <f t="array" ref="AR340">IFERROR(IF(AE341&lt;&gt;AE340,_xlfn.STDEV.P(IF(AE$9:AE340=AE340,AX$9:AX340)),""),"")</f>
        <v/>
      </c>
      <c r="AS340" s="89">
        <f t="array" ref="AS340">IFERROR(IF(AE341&lt;&gt;AE340,_xlfn.STDEV.P(IF(AE$9:AE340=AE340,AW$9:AW340)),""),"")</f>
        <v/>
      </c>
      <c r="AT340" s="90">
        <f>IFERROR(IF(AE340&lt;&gt;AE341,MAX((((AQ340*24*60)/2)*(1+POWER((((AR340*24*60) / (AQ340*24*60) )),2))) + ((AQ340*24*60 )*-0.1 + (AO340*0.015)) +1,(((AQ340*24*60)/2)*(1+POWER((((AR340*24*60) / (AQ340*24*60 ))),2)))),""),"")</f>
        <v/>
      </c>
      <c r="AU340" s="90">
        <f>IF(AND(AS340&lt;&gt;"",AP340&lt;&gt;""),IF(AE340&lt;&gt;AE341,((AP340*24*60) / 2 ) * (1 + POWER(((AS340*24*60) / (AP340*24*60)),2)),""),"")</f>
        <v/>
      </c>
      <c r="AV340" s="90">
        <f>IF(AU340&lt;&gt;"",MAX(AT340,AU340),"")</f>
        <v/>
      </c>
      <c r="AW340" s="89">
        <f>IF(AM340&lt;&gt;"H. Sale Real",IF(AND(AM341&lt;&gt;"",LEFT(AG341,2)&lt;&gt;"Va"),IF(AND(AM340&lt;&gt;"",LEFT(AG340,2)&lt;&gt;"Va",AM340&lt;&gt;"H. Sale Real"),IF(AM341-AM340&lt;0.208333333333333,AM341-AM340,""),IF(AND(AM339&lt;&gt;"",LEFT(AG339,2)&lt;&gt;"Va",AM339&lt;&gt;"H. Sale Real"),IF(AM341-AM339&lt;0.208333333333333,AM341-AM339,""),IF(AND(AM338&lt;&gt;"",LEFT(AG338,2)&lt;&gt;"Va",AM338&lt;&gt;"H. Sale Real"),IF(AM341-AM338&lt;0.208333333333333,AM341-AM338,""),IF(AND(AM337&lt;&gt;"",LEFT(AG337,2)&lt;&gt;"Va",AM337&lt;&gt;"H. Sale Real"),IF(AM341-AM337&lt;0.208333333333333,AM341-AM337,""),IF(AND(AM336&lt;&gt;"",LEFT(AG336,2)&lt;&gt;"Va",AM336&lt;&gt;"H. Sale Real"),IF(AM341-AM336&lt;0.208333333333333,AM341-AM336,""),""))))),""),"")</f>
        <v/>
      </c>
      <c r="AX340" s="89">
        <f>IF(AK340&lt;&gt;"H. Sale Real",IF(AND(AK341&lt;&gt;"",LEFT(AG341,2)&lt;&gt;"Va"),IF(AND(AK340&lt;&gt;"",LEFT(AG340,2)&lt;&gt;"Va",AK340&lt;&gt;"H. Sale Real"),IF(AK341-AK340&lt;0.208333333333333,AK341-AK340,""),IF(AND(AK339&lt;&gt;"",LEFT(AG339,2)&lt;&gt;"Va",AK339&lt;&gt;"H. Sale Real"),IF(AK341-AK339&lt;0.208333333333333,AK341-AK339,""),IF(AND(AK338&lt;&gt;"",LEFT(AG338,2)&lt;&gt;"NC",AK338&lt;&gt;"H. Sale Real"),IF(AK341-AK338&lt;0.208333333333333,AK341-AK338,""),IF(AND(AK337&lt;&gt;"",LEFT(AG337,2)&lt;&gt;"Va",AK337&lt;&gt;"H. Sale Real"),IF(AK341-AK337&lt;0.208333333333333,AK341-AK337,""),IF(AND(AK336&lt;&gt;"",LEFT(AG336,2)&lt;&gt;"Va",AK336&lt;&gt;"H. Sale Real"),IF(AK341-AK336&lt;0.208333333333333,AK341-AK336,""),""))))),""),"")</f>
        <v/>
      </c>
      <c r="AY340" s="87" t="n"/>
      <c r="AZ340" s="89" t="n"/>
      <c r="BA340" s="87" t="n"/>
      <c r="BB340" s="89" t="n"/>
      <c r="BC340" s="91" t="n"/>
      <c r="BD340" s="122">
        <f>IF(AK340&lt;&gt;"",IF(AND(BD339&lt;&gt;"IE",AT340&lt;&gt;0,AV340&lt;&gt;""),IF(IFERROR((AT340/AV340),0) &lt;=1,IFERROR(AT340/AV340,""),1),""),"")</f>
        <v/>
      </c>
      <c r="BE340" s="93" t="n"/>
      <c r="BF340" s="105" t="n"/>
      <c r="FC340" t="inlineStr">
        <is>
          <t>Diccionario 1</t>
        </is>
      </c>
      <c r="FD340" s="15" t="n">
        <v>1339</v>
      </c>
      <c r="FE340" s="15" t="inlineStr">
        <is>
          <t>MDN35025020091</t>
        </is>
      </c>
      <c r="FF340" s="15" t="inlineStr">
        <is>
          <t>LDYECS313S0044046</t>
        </is>
      </c>
      <c r="FG340" s="15" t="inlineStr">
        <is>
          <t>Zhong Tong</t>
        </is>
      </c>
      <c r="FH340" s="15" t="inlineStr">
        <is>
          <t>Lck6122evg</t>
        </is>
      </c>
      <c r="FI340" s="15" t="inlineStr">
        <is>
          <t>ZHONGTONG</t>
        </is>
      </c>
      <c r="FJ340" s="15" t="inlineStr">
        <is>
          <t>LCK6122EVG</t>
        </is>
      </c>
      <c r="FK340" s="15" t="n">
        <v>2025</v>
      </c>
      <c r="FL340" s="15" t="inlineStr">
        <is>
          <t>B</t>
        </is>
      </c>
      <c r="FM340" s="15" t="inlineStr">
        <is>
          <t>SAN ALFONSO</t>
        </is>
      </c>
      <c r="FN340" s="15" t="inlineStr">
        <is>
          <t>San Alfonso 2141 (Ramón Subercaseaux 3060)</t>
        </is>
      </c>
      <c r="FO340" s="15" t="inlineStr">
        <is>
          <t>Estacion Central</t>
        </is>
      </c>
      <c r="FP340" t="inlineStr">
        <is>
          <t>B</t>
        </is>
      </c>
      <c r="FS340" s="14" t="inlineStr">
        <is>
          <t>3091 / SFWZ-49|</t>
        </is>
      </c>
      <c r="FT340" t="inlineStr">
        <is>
          <t>SFWZ-49|</t>
        </is>
      </c>
      <c r="FU340" t="inlineStr">
        <is>
          <t>SFWZ-49</t>
        </is>
      </c>
      <c r="FV340">
        <f>VLOOKUP(FU340,FD:FL,9,0)</f>
        <v/>
      </c>
      <c r="HA340" s="35" t="n">
        <v>110</v>
      </c>
      <c r="HB340" s="35" t="n">
        <v>334</v>
      </c>
    </row>
    <row r="341" ht="15.5" customHeight="1">
      <c r="A341" s="10">
        <f>HOUR(G341)+1</f>
        <v/>
      </c>
      <c r="B341" s="7" t="n"/>
      <c r="C341" s="7" t="n"/>
      <c r="D341" s="85">
        <f>IFERROR(
IF(AND(OR(Planilla!B341="C",Planilla!B341="c"), VLOOKUP(E341,FD:FP,13,0)="C"), "OK",IF(AND(OR(Planilla!B341="C",Planilla!B341="c"), OR(VLOOKUP(E341,FD:FP,13,0)="B", VLOOKUP(E341,FD:FP,13,0)="A")), "DEFICIT",IF(
AND(OR(Planilla!B341="B", Planilla!B341="BPAL"), VLOOKUP(E341,FD:FP,13,0)="B"), "OK",IF(AND(OR(Planilla!B341="B", Planilla!B341="BPAL"), VLOOKUP(E341,FD:FP,13,0)="A"), "DEFICIT",IF(AND(OR(Planilla!B341="B", Planilla!B341="BPAL"), VLOOKUP(E341,FD:FP,13,0)="C"), "SOBREOFERTA",IF(AND(Planilla!B341="A", VLOOKUP(E341,FD:FP,13,0)="A"), "OK",IF(
AND(Planilla!B341="A", OR(VLOOKUP(E341,FD:FP,13,0)="B", VLOOKUP(E341,FD:FP,13,0)="C")), "SOBREOFERTA",""
))))))),"")</f>
        <v/>
      </c>
      <c r="E341" s="8" t="n"/>
      <c r="F341" s="86" t="n"/>
      <c r="G341" s="87" t="n"/>
      <c r="H341" s="88">
        <f>IF(I341="","",IF(AND((I341-G341)&gt;=TIME(0,0,0),(I341-G341)&lt;TIME(0,3,0)),"OK",IF(AND((I341-G341)&gt;=TIME(0,3,0),(I341-G341)&lt;TIME(0,5,0)),"RETRASO DE 3-5 MIN",IF(AND((I341-G341)&gt;=TIME(0,5,0),(I341-G341)&lt;TIME(0,10,0)),"RETRASO DE 5-10 MIN",IF((I341-G341)&gt;=TIME(0,10,0),"RETRASO &gt;10 MIN", IF(AND((G341-I341)&gt;=TIME(0,0,0),(G341-I341)&lt;TIME(0,3,0)),"OK",IF((G341-I341)&gt;=TIME(0,3,0),"ADELANTADO")))))))</f>
        <v/>
      </c>
      <c r="I341" s="89" t="n"/>
      <c r="J341" s="89">
        <f>IF(A341&lt;&gt;"",HLOOKUP(VALUE(TEXT(G341,"h:mm:ss")),IF($C$6="Laboral",$FZ$4:$GX$227,IF($C$6="Sábado",$FZ$231:$GX$452,$FZ$456:$GX$656)),VLOOKUP($C$4,$HF$2:$HH$99,3,0)+IF(C$5="Ida",0,1),1),"")</f>
        <v/>
      </c>
      <c r="K341" s="89">
        <f>IF(A342&lt;&gt;A341,AVERAGEIF(A$9:A341,A341,J$9:J341),"")</f>
        <v/>
      </c>
      <c r="L341" s="89">
        <f>IFERROR(IF(A342&lt;&gt;A341,AVERAGEIF(A$9:A341,A341,S$9:S341),""),"")</f>
        <v/>
      </c>
      <c r="M341" s="89">
        <f>IFERROR(IF(A342&lt;&gt;A341,AVERAGEIF(A$9:A341,A341,T$9:T341),""),"")</f>
        <v/>
      </c>
      <c r="N341" s="89">
        <f t="array" ref="N341">IFERROR(IF(A342&lt;&gt;A341,_xlfn.STDEV.P(IF(A$9:A341=A341,T$9:T341)),""),"")</f>
        <v/>
      </c>
      <c r="O341" s="89">
        <f t="array" ref="O341">IFERROR(IF(A342&lt;&gt;A341,_xlfn.STDEV.P(IF(A$9:A341=A341,S$9:S341)),""),"")</f>
        <v/>
      </c>
      <c r="P341" s="90">
        <f>IFERROR(IF(A341&lt;&gt;A342,MAX((((M341*24*60)/2)*(1+POWER((((N341*24*60) / (M341*24*60) )),2))) + ((M341*24*60 )*-0.1 + (K341*0.015)) +1,(((M341*24*60)/2)*(1+POWER((((N341*24*60) / (M341*24*60 ))),2)))),""),"")</f>
        <v/>
      </c>
      <c r="Q341" s="90">
        <f>IF(AND(O341&lt;&gt;"",L341&lt;&gt;""),IF(A341&lt;&gt;A342,((L341*24*60) / 2 ) * (1 + POWER(((O341*24*60) / (L341*24*60)),2)),""),"")</f>
        <v/>
      </c>
      <c r="R341" s="90">
        <f>IF(Q341&lt;&gt;"",MAX(P341,Q341),"")</f>
        <v/>
      </c>
      <c r="S341" s="89">
        <f>IF(I341&lt;&gt;"H. Sale Real",IF(AND(I342&lt;&gt;"",LEFT(C342,2)&lt;&gt;"Va"),IF(AND(I341&lt;&gt;"",LEFT(C341,2)&lt;&gt;"Va",I341&lt;&gt;"H. Sale Real"),IF(I342-I341&lt;0.208333333333333,I342-I341,""),IF(AND(I340&lt;&gt;"",LEFT(C340,2)&lt;&gt;"Va",I340&lt;&gt;"H. Sale Real"),IF(I342-I340&lt;0.208333333333333,I342-I340,""),IF(AND(I339&lt;&gt;"",LEFT(C339,2)&lt;&gt;"Va",I339&lt;&gt;"H. Sale Real"),IF(I342-I339&lt;0.208333333333333,I342-I339,""),IF(AND(I338&lt;&gt;"",LEFT(C338,2)&lt;&gt;"Va",I338&lt;&gt;"H. Sale Real"),IF(I342-I338&lt;0.208333333333333,I342-I338,""),IF(AND(I337&lt;&gt;"",LEFT(C337,2)&lt;&gt;"Va",I337&lt;&gt;"H. Sale Real"),IF(I342-I337&lt;0.208333333333333,I342-I337,""),""))))),""),"")</f>
        <v/>
      </c>
      <c r="T341" s="89">
        <f>IF(G341&lt;&gt;"H. Sale Real",IF(AND(G342&lt;&gt;"",LEFT(C342,2)&lt;&gt;"Va"),IF(AND(G341&lt;&gt;"",LEFT(C341,2)&lt;&gt;"Va",G341&lt;&gt;"H. Sale Real"),IF(G342-G341&lt;0.208333333333333,G342-G341,""),IF(AND(G340&lt;&gt;"",LEFT(C340,2)&lt;&gt;"Va",G340&lt;&gt;"H. Sale Real"),IF(G342-G340&lt;0.208333333333333,G342-G340,""),IF(AND(G339&lt;&gt;"",LEFT(C339,2)&lt;&gt;"Va",G339&lt;&gt;"H. Sale Real"),IF(G342-G339&lt;0.208333333333333,G342-G339,""),IF(AND(G338&lt;&gt;"",LEFT(C338,2)&lt;&gt;"Va",G338&lt;&gt;"H. Sale Real"),IF(G342-G338&lt;0.208333333333333,G342-G338,""),IF(AND(G337&lt;&gt;"",LEFT(C337,2)&lt;&gt;"Va",G337&lt;&gt;"H. Sale Real"),IF(G342-G337&lt;0.208333333333333,G342-G337,""),""))))),""),"")</f>
        <v/>
      </c>
      <c r="U341" s="87" t="n"/>
      <c r="V341" s="89" t="n"/>
      <c r="W341" s="87" t="n"/>
      <c r="X341" s="89" t="n"/>
      <c r="Y341" s="91" t="n"/>
      <c r="Z341" s="122">
        <f>IF(G341&lt;&gt;"",IF(AND(Z340&lt;&gt;"IE",P341&lt;&gt;0,R341&lt;&gt;""),IF(IFERROR((P341/R341),0) &lt;=1,IFERROR(P341/R341,""),1),""),"")</f>
        <v/>
      </c>
      <c r="AA341" s="93" t="n"/>
      <c r="AB341" s="2" t="n"/>
      <c r="AE341" s="10">
        <f>HOUR(AK341)+1</f>
        <v/>
      </c>
      <c r="AF341" s="7" t="n"/>
      <c r="AG341" s="7" t="n"/>
      <c r="AH341" s="86" t="n"/>
      <c r="AI341" s="8" t="n"/>
      <c r="AJ341" s="86" t="n"/>
      <c r="AK341" s="87" t="n"/>
      <c r="AL341" s="88">
        <f>IF(AM341="","",IF(AND((AM341-AK341)&gt;=TIME(0,0,0),(AM341-AK341)&lt;TIME(0,3,0)),"OK",IF(AND((AM341-AK341)&gt;=TIME(0,3,0),(AM341-AK341)&lt;TIME(0,5,0)),"RETRASO DE 3-5 MIN",IF(AND((AM341-AK341)&gt;=TIME(0,5,0),(AM341-AK341)&lt;TIME(0,10,0)),"RETRASO DE 5-10 MIN",IF((AM341-AK341)&gt;=TIME(0,10,0),"RETRASO &gt;10 MIN", IF(AND((AK341-AM341)&gt;=TIME(0,0,0),(AK341-AM341)&lt;TIME(0,3,0)),"OK",IF((AK341-AM341)&gt;=TIME(0,3,0),"ADELANTADO")))))))</f>
        <v/>
      </c>
      <c r="AM341" s="91" t="n"/>
      <c r="AN341" s="89">
        <f>IF(AE341&lt;&gt;"",HLOOKUP(VALUE(TEXT(AK341,"h:mm:ss")),IF($C$6="Laboral",$FZ$4:$GX$227,IF($C$6="Sábado",$FZ$231:$GX$452,$FZ$456:$GX$656)),VLOOKUP($C$4,$HF$2:$HH$99,3,0)+IF(AG$5="Ida",0,1),1),"")</f>
        <v/>
      </c>
      <c r="AO341" s="89">
        <f>IF(AE342&lt;&gt;AE341,AVERAGEIF(AE$9:AE341,AE341,AN$9:AN341),"")</f>
        <v/>
      </c>
      <c r="AP341" s="89">
        <f>IFERROR(IF(AE342&lt;&gt;AE341,AVERAGEIF(AE$9:AE341,AE341,AW$9:AW341),""),"")</f>
        <v/>
      </c>
      <c r="AQ341" s="89">
        <f>IFERROR(IF(AE342&lt;&gt;AE341,AVERAGEIF(AE$9:AE341,AE341,AX$9:AX341),""),"")</f>
        <v/>
      </c>
      <c r="AR341" s="89">
        <f t="array" ref="AR341">IFERROR(IF(AE342&lt;&gt;AE341,_xlfn.STDEV.P(IF(AE$9:AE341=AE341,AX$9:AX341)),""),"")</f>
        <v/>
      </c>
      <c r="AS341" s="89">
        <f t="array" ref="AS341">IFERROR(IF(AE342&lt;&gt;AE341,_xlfn.STDEV.P(IF(AE$9:AE341=AE341,AW$9:AW341)),""),"")</f>
        <v/>
      </c>
      <c r="AT341" s="90">
        <f>IFERROR(IF(AE341&lt;&gt;AE342,MAX((((AQ341*24*60)/2)*(1+POWER((((AR341*24*60) / (AQ341*24*60) )),2))) + ((AQ341*24*60 )*-0.1 + (AO341*0.015)) +1,(((AQ341*24*60)/2)*(1+POWER((((AR341*24*60) / (AQ341*24*60 ))),2)))),""),"")</f>
        <v/>
      </c>
      <c r="AU341" s="90">
        <f>IF(AND(AS341&lt;&gt;"",AP341&lt;&gt;""),IF(AE341&lt;&gt;AE342,((AP341*24*60) / 2 ) * (1 + POWER(((AS341*24*60) / (AP341*24*60)),2)),""),"")</f>
        <v/>
      </c>
      <c r="AV341" s="90">
        <f>IF(AU341&lt;&gt;"",MAX(AT341,AU341),"")</f>
        <v/>
      </c>
      <c r="AW341" s="89">
        <f>IF(AM341&lt;&gt;"H. Sale Real",IF(AND(AM342&lt;&gt;"",LEFT(AG342,2)&lt;&gt;"Va"),IF(AND(AM341&lt;&gt;"",LEFT(AG341,2)&lt;&gt;"Va",AM341&lt;&gt;"H. Sale Real"),IF(AM342-AM341&lt;0.208333333333333,AM342-AM341,""),IF(AND(AM340&lt;&gt;"",LEFT(AG340,2)&lt;&gt;"Va",AM340&lt;&gt;"H. Sale Real"),IF(AM342-AM340&lt;0.208333333333333,AM342-AM340,""),IF(AND(AM339&lt;&gt;"",LEFT(AG339,2)&lt;&gt;"Va",AM339&lt;&gt;"H. Sale Real"),IF(AM342-AM339&lt;0.208333333333333,AM342-AM339,""),IF(AND(AM338&lt;&gt;"",LEFT(AG338,2)&lt;&gt;"Va",AM338&lt;&gt;"H. Sale Real"),IF(AM342-AM338&lt;0.208333333333333,AM342-AM338,""),IF(AND(AM337&lt;&gt;"",LEFT(AG337,2)&lt;&gt;"Va",AM337&lt;&gt;"H. Sale Real"),IF(AM342-AM337&lt;0.208333333333333,AM342-AM337,""),""))))),""),"")</f>
        <v/>
      </c>
      <c r="AX341" s="89">
        <f>IF(AK341&lt;&gt;"H. Sale Real",IF(AND(AK342&lt;&gt;"",LEFT(AG342,2)&lt;&gt;"Va"),IF(AND(AK341&lt;&gt;"",LEFT(AG341,2)&lt;&gt;"Va",AK341&lt;&gt;"H. Sale Real"),IF(AK342-AK341&lt;0.208333333333333,AK342-AK341,""),IF(AND(AK340&lt;&gt;"",LEFT(AG340,2)&lt;&gt;"Va",AK340&lt;&gt;"H. Sale Real"),IF(AK342-AK340&lt;0.208333333333333,AK342-AK340,""),IF(AND(AK339&lt;&gt;"",LEFT(AG339,2)&lt;&gt;"NC",AK339&lt;&gt;"H. Sale Real"),IF(AK342-AK339&lt;0.208333333333333,AK342-AK339,""),IF(AND(AK338&lt;&gt;"",LEFT(AG338,2)&lt;&gt;"Va",AK338&lt;&gt;"H. Sale Real"),IF(AK342-AK338&lt;0.208333333333333,AK342-AK338,""),IF(AND(AK337&lt;&gt;"",LEFT(AG337,2)&lt;&gt;"Va",AK337&lt;&gt;"H. Sale Real"),IF(AK342-AK337&lt;0.208333333333333,AK342-AK337,""),""))))),""),"")</f>
        <v/>
      </c>
      <c r="AY341" s="87" t="n"/>
      <c r="AZ341" s="89" t="n"/>
      <c r="BA341" s="87" t="n"/>
      <c r="BB341" s="89" t="n"/>
      <c r="BC341" s="91" t="n"/>
      <c r="BD341" s="122">
        <f>IF(AK341&lt;&gt;"",IF(AND(BD340&lt;&gt;"IE",AT341&lt;&gt;0,AV341&lt;&gt;""),IF(IFERROR((AT341/AV341),0) &lt;=1,IFERROR(AT341/AV341,""),1),""),"")</f>
        <v/>
      </c>
      <c r="BE341" s="93" t="n"/>
      <c r="BF341" s="105" t="n"/>
      <c r="FC341" t="inlineStr">
        <is>
          <t>Diccionario 1</t>
        </is>
      </c>
      <c r="FD341" s="15" t="n">
        <v>1340</v>
      </c>
      <c r="FE341" s="15" t="inlineStr">
        <is>
          <t>MDN35025020039</t>
        </is>
      </c>
      <c r="FF341" s="15" t="inlineStr">
        <is>
          <t>LDYECS312S0044071</t>
        </is>
      </c>
      <c r="FG341" s="15" t="inlineStr">
        <is>
          <t>Zhong Tong</t>
        </is>
      </c>
      <c r="FH341" s="15" t="inlineStr">
        <is>
          <t>Lck6122evg</t>
        </is>
      </c>
      <c r="FI341" s="15" t="inlineStr">
        <is>
          <t>ZHONGTONG</t>
        </is>
      </c>
      <c r="FJ341" s="15" t="inlineStr">
        <is>
          <t>LCK6122EVG</t>
        </is>
      </c>
      <c r="FK341" s="15" t="n">
        <v>2025</v>
      </c>
      <c r="FL341" s="15" t="inlineStr">
        <is>
          <t>B</t>
        </is>
      </c>
      <c r="FM341" s="15" t="inlineStr">
        <is>
          <t>SAN ALFONSO</t>
        </is>
      </c>
      <c r="FN341" s="15" t="inlineStr">
        <is>
          <t>San Alfonso 2141 (Ramón Subercaseaux 3060)</t>
        </is>
      </c>
      <c r="FO341" s="15" t="inlineStr">
        <is>
          <t>Estacion Central</t>
        </is>
      </c>
      <c r="FP341" t="inlineStr">
        <is>
          <t>B</t>
        </is>
      </c>
      <c r="FS341" s="14" t="inlineStr">
        <is>
          <t>3091 / SFWZ-49|</t>
        </is>
      </c>
      <c r="FT341" t="inlineStr">
        <is>
          <t>SFWZ-49|</t>
        </is>
      </c>
      <c r="FU341" t="inlineStr">
        <is>
          <t>SFWZ-49</t>
        </is>
      </c>
      <c r="FV341">
        <f>VLOOKUP(FU341,FD:FL,9,0)</f>
        <v/>
      </c>
      <c r="HA341" s="35" t="n">
        <v>111</v>
      </c>
      <c r="HB341" s="35" t="n">
        <v>335</v>
      </c>
    </row>
    <row r="342" ht="15.5" customHeight="1">
      <c r="A342" s="10">
        <f>HOUR(G342)+1</f>
        <v/>
      </c>
      <c r="B342" s="7" t="n"/>
      <c r="C342" s="7" t="n"/>
      <c r="D342" s="85">
        <f>IFERROR(
IF(AND(OR(Planilla!B342="C",Planilla!B342="c"), VLOOKUP(E342,FD:FP,13,0)="C"), "OK",IF(AND(OR(Planilla!B342="C",Planilla!B342="c"), OR(VLOOKUP(E342,FD:FP,13,0)="B", VLOOKUP(E342,FD:FP,13,0)="A")), "DEFICIT",IF(
AND(OR(Planilla!B342="B", Planilla!B342="BPAL"), VLOOKUP(E342,FD:FP,13,0)="B"), "OK",IF(AND(OR(Planilla!B342="B", Planilla!B342="BPAL"), VLOOKUP(E342,FD:FP,13,0)="A"), "DEFICIT",IF(AND(OR(Planilla!B342="B", Planilla!B342="BPAL"), VLOOKUP(E342,FD:FP,13,0)="C"), "SOBREOFERTA",IF(AND(Planilla!B342="A", VLOOKUP(E342,FD:FP,13,0)="A"), "OK",IF(
AND(Planilla!B342="A", OR(VLOOKUP(E342,FD:FP,13,0)="B", VLOOKUP(E342,FD:FP,13,0)="C")), "SOBREOFERTA",""
))))))),"")</f>
        <v/>
      </c>
      <c r="E342" s="8" t="n"/>
      <c r="F342" s="86" t="n"/>
      <c r="G342" s="87" t="n"/>
      <c r="H342" s="88">
        <f>IF(I342="","",IF(AND((I342-G342)&gt;=TIME(0,0,0),(I342-G342)&lt;TIME(0,3,0)),"OK",IF(AND((I342-G342)&gt;=TIME(0,3,0),(I342-G342)&lt;TIME(0,5,0)),"RETRASO DE 3-5 MIN",IF(AND((I342-G342)&gt;=TIME(0,5,0),(I342-G342)&lt;TIME(0,10,0)),"RETRASO DE 5-10 MIN",IF((I342-G342)&gt;=TIME(0,10,0),"RETRASO &gt;10 MIN", IF(AND((G342-I342)&gt;=TIME(0,0,0),(G342-I342)&lt;TIME(0,3,0)),"OK",IF((G342-I342)&gt;=TIME(0,3,0),"ADELANTADO")))))))</f>
        <v/>
      </c>
      <c r="I342" s="89" t="n"/>
      <c r="J342" s="89">
        <f>IF(A342&lt;&gt;"",HLOOKUP(VALUE(TEXT(G342,"h:mm:ss")),IF($C$6="Laboral",$FZ$4:$GX$227,IF($C$6="Sábado",$FZ$231:$GX$452,$FZ$456:$GX$656)),VLOOKUP($C$4,$HF$2:$HH$99,3,0)+IF(C$5="Ida",0,1),1),"")</f>
        <v/>
      </c>
      <c r="K342" s="89">
        <f>IF(A343&lt;&gt;A342,AVERAGEIF(A$9:A342,A342,J$9:J342),"")</f>
        <v/>
      </c>
      <c r="L342" s="89">
        <f>IFERROR(IF(A343&lt;&gt;A342,AVERAGEIF(A$9:A342,A342,S$9:S342),""),"")</f>
        <v/>
      </c>
      <c r="M342" s="89">
        <f>IFERROR(IF(A343&lt;&gt;A342,AVERAGEIF(A$9:A342,A342,T$9:T342),""),"")</f>
        <v/>
      </c>
      <c r="N342" s="89">
        <f t="array" ref="N342">IFERROR(IF(A343&lt;&gt;A342,_xlfn.STDEV.P(IF(A$9:A342=A342,T$9:T342)),""),"")</f>
        <v/>
      </c>
      <c r="O342" s="89">
        <f t="array" ref="O342">IFERROR(IF(A343&lt;&gt;A342,_xlfn.STDEV.P(IF(A$9:A342=A342,S$9:S342)),""),"")</f>
        <v/>
      </c>
      <c r="P342" s="90">
        <f>IFERROR(IF(A342&lt;&gt;A343,MAX((((M342*24*60)/2)*(1+POWER((((N342*24*60) / (M342*24*60) )),2))) + ((M342*24*60 )*-0.1 + (K342*0.015)) +1,(((M342*24*60)/2)*(1+POWER((((N342*24*60) / (M342*24*60 ))),2)))),""),"")</f>
        <v/>
      </c>
      <c r="Q342" s="90">
        <f>IF(AND(O342&lt;&gt;"",L342&lt;&gt;""),IF(A342&lt;&gt;A343,((L342*24*60) / 2 ) * (1 + POWER(((O342*24*60) / (L342*24*60)),2)),""),"")</f>
        <v/>
      </c>
      <c r="R342" s="90">
        <f>IF(Q342&lt;&gt;"",MAX(P342,Q342),"")</f>
        <v/>
      </c>
      <c r="S342" s="89">
        <f>IF(I342&lt;&gt;"H. Sale Real",IF(AND(I343&lt;&gt;"",LEFT(C343,2)&lt;&gt;"Va"),IF(AND(I342&lt;&gt;"",LEFT(C342,2)&lt;&gt;"Va",I342&lt;&gt;"H. Sale Real"),IF(I343-I342&lt;0.208333333333333,I343-I342,""),IF(AND(I341&lt;&gt;"",LEFT(C341,2)&lt;&gt;"Va",I341&lt;&gt;"H. Sale Real"),IF(I343-I341&lt;0.208333333333333,I343-I341,""),IF(AND(I340&lt;&gt;"",LEFT(C340,2)&lt;&gt;"Va",I340&lt;&gt;"H. Sale Real"),IF(I343-I340&lt;0.208333333333333,I343-I340,""),IF(AND(I339&lt;&gt;"",LEFT(C339,2)&lt;&gt;"Va",I339&lt;&gt;"H. Sale Real"),IF(I343-I339&lt;0.208333333333333,I343-I339,""),IF(AND(I338&lt;&gt;"",LEFT(C338,2)&lt;&gt;"Va",I338&lt;&gt;"H. Sale Real"),IF(I343-I338&lt;0.208333333333333,I343-I338,""),""))))),""),"")</f>
        <v/>
      </c>
      <c r="T342" s="89">
        <f>IF(G342&lt;&gt;"H. Sale Real",IF(AND(G343&lt;&gt;"",LEFT(C343,2)&lt;&gt;"Va"),IF(AND(G342&lt;&gt;"",LEFT(C342,2)&lt;&gt;"Va",G342&lt;&gt;"H. Sale Real"),IF(G343-G342&lt;0.208333333333333,G343-G342,""),IF(AND(G341&lt;&gt;"",LEFT(C341,2)&lt;&gt;"Va",G341&lt;&gt;"H. Sale Real"),IF(G343-G341&lt;0.208333333333333,G343-G341,""),IF(AND(G340&lt;&gt;"",LEFT(C340,2)&lt;&gt;"Va",G340&lt;&gt;"H. Sale Real"),IF(G343-G340&lt;0.208333333333333,G343-G340,""),IF(AND(G339&lt;&gt;"",LEFT(C339,2)&lt;&gt;"Va",G339&lt;&gt;"H. Sale Real"),IF(G343-G339&lt;0.208333333333333,G343-G339,""),IF(AND(G338&lt;&gt;"",LEFT(C338,2)&lt;&gt;"Va",G338&lt;&gt;"H. Sale Real"),IF(G343-G338&lt;0.208333333333333,G343-G338,""),""))))),""),"")</f>
        <v/>
      </c>
      <c r="U342" s="87" t="n"/>
      <c r="V342" s="89" t="n"/>
      <c r="W342" s="87" t="n"/>
      <c r="X342" s="89" t="n"/>
      <c r="Y342" s="91" t="n"/>
      <c r="Z342" s="122">
        <f>IF(G342&lt;&gt;"",IF(AND(Z341&lt;&gt;"IE",P342&lt;&gt;0,R342&lt;&gt;""),IF(IFERROR((P342/R342),0) &lt;=1,IFERROR(P342/R342,""),1),""),"")</f>
        <v/>
      </c>
      <c r="AA342" s="93" t="n"/>
      <c r="AB342" s="2" t="n"/>
      <c r="AE342" s="10">
        <f>HOUR(AK342)+1</f>
        <v/>
      </c>
      <c r="AF342" s="7" t="n"/>
      <c r="AG342" s="7" t="n"/>
      <c r="AH342" s="86" t="n"/>
      <c r="AI342" s="8" t="n"/>
      <c r="AJ342" s="86" t="n"/>
      <c r="AK342" s="87" t="n"/>
      <c r="AL342" s="88">
        <f>IF(AM342="","",IF(AND((AM342-AK342)&gt;=TIME(0,0,0),(AM342-AK342)&lt;TIME(0,3,0)),"OK",IF(AND((AM342-AK342)&gt;=TIME(0,3,0),(AM342-AK342)&lt;TIME(0,5,0)),"RETRASO DE 3-5 MIN",IF(AND((AM342-AK342)&gt;=TIME(0,5,0),(AM342-AK342)&lt;TIME(0,10,0)),"RETRASO DE 5-10 MIN",IF((AM342-AK342)&gt;=TIME(0,10,0),"RETRASO &gt;10 MIN", IF(AND((AK342-AM342)&gt;=TIME(0,0,0),(AK342-AM342)&lt;TIME(0,3,0)),"OK",IF((AK342-AM342)&gt;=TIME(0,3,0),"ADELANTADO")))))))</f>
        <v/>
      </c>
      <c r="AM342" s="91" t="n"/>
      <c r="AN342" s="89">
        <f>IF(AE342&lt;&gt;"",HLOOKUP(VALUE(TEXT(AK342,"h:mm:ss")),IF($C$6="Laboral",$FZ$4:$GX$227,IF($C$6="Sábado",$FZ$231:$GX$452,$FZ$456:$GX$656)),VLOOKUP($C$4,$HF$2:$HH$99,3,0)+IF(AG$5="Ida",0,1),1),"")</f>
        <v/>
      </c>
      <c r="AO342" s="89">
        <f>IF(AE343&lt;&gt;AE342,AVERAGEIF(AE$9:AE342,AE342,AN$9:AN342),"")</f>
        <v/>
      </c>
      <c r="AP342" s="89">
        <f>IFERROR(IF(AE343&lt;&gt;AE342,AVERAGEIF(AE$9:AE342,AE342,AW$9:AW342),""),"")</f>
        <v/>
      </c>
      <c r="AQ342" s="89">
        <f>IFERROR(IF(AE343&lt;&gt;AE342,AVERAGEIF(AE$9:AE342,AE342,AX$9:AX342),""),"")</f>
        <v/>
      </c>
      <c r="AR342" s="89">
        <f t="array" ref="AR342">IFERROR(IF(AE343&lt;&gt;AE342,_xlfn.STDEV.P(IF(AE$9:AE342=AE342,AX$9:AX342)),""),"")</f>
        <v/>
      </c>
      <c r="AS342" s="89">
        <f t="array" ref="AS342">IFERROR(IF(AE343&lt;&gt;AE342,_xlfn.STDEV.P(IF(AE$9:AE342=AE342,AW$9:AW342)),""),"")</f>
        <v/>
      </c>
      <c r="AT342" s="90">
        <f>IFERROR(IF(AE342&lt;&gt;AE343,MAX((((AQ342*24*60)/2)*(1+POWER((((AR342*24*60) / (AQ342*24*60) )),2))) + ((AQ342*24*60 )*-0.1 + (AO342*0.015)) +1,(((AQ342*24*60)/2)*(1+POWER((((AR342*24*60) / (AQ342*24*60 ))),2)))),""),"")</f>
        <v/>
      </c>
      <c r="AU342" s="90">
        <f>IF(AND(AS342&lt;&gt;"",AP342&lt;&gt;""),IF(AE342&lt;&gt;AE343,((AP342*24*60) / 2 ) * (1 + POWER(((AS342*24*60) / (AP342*24*60)),2)),""),"")</f>
        <v/>
      </c>
      <c r="AV342" s="90">
        <f>IF(AU342&lt;&gt;"",MAX(AT342,AU342),"")</f>
        <v/>
      </c>
      <c r="AW342" s="89">
        <f>IF(AM342&lt;&gt;"H. Sale Real",IF(AND(AM343&lt;&gt;"",LEFT(AG343,2)&lt;&gt;"Va"),IF(AND(AM342&lt;&gt;"",LEFT(AG342,2)&lt;&gt;"Va",AM342&lt;&gt;"H. Sale Real"),IF(AM343-AM342&lt;0.208333333333333,AM343-AM342,""),IF(AND(AM341&lt;&gt;"",LEFT(AG341,2)&lt;&gt;"Va",AM341&lt;&gt;"H. Sale Real"),IF(AM343-AM341&lt;0.208333333333333,AM343-AM341,""),IF(AND(AM340&lt;&gt;"",LEFT(AG340,2)&lt;&gt;"Va",AM340&lt;&gt;"H. Sale Real"),IF(AM343-AM340&lt;0.208333333333333,AM343-AM340,""),IF(AND(AM339&lt;&gt;"",LEFT(AG339,2)&lt;&gt;"Va",AM339&lt;&gt;"H. Sale Real"),IF(AM343-AM339&lt;0.208333333333333,AM343-AM339,""),IF(AND(AM338&lt;&gt;"",LEFT(AG338,2)&lt;&gt;"Va",AM338&lt;&gt;"H. Sale Real"),IF(AM343-AM338&lt;0.208333333333333,AM343-AM338,""),""))))),""),"")</f>
        <v/>
      </c>
      <c r="AX342" s="89">
        <f>IF(AK342&lt;&gt;"H. Sale Real",IF(AND(AK343&lt;&gt;"",LEFT(AG343,2)&lt;&gt;"Va"),IF(AND(AK342&lt;&gt;"",LEFT(AG342,2)&lt;&gt;"Va",AK342&lt;&gt;"H. Sale Real"),IF(AK343-AK342&lt;0.208333333333333,AK343-AK342,""),IF(AND(AK341&lt;&gt;"",LEFT(AG341,2)&lt;&gt;"Va",AK341&lt;&gt;"H. Sale Real"),IF(AK343-AK341&lt;0.208333333333333,AK343-AK341,""),IF(AND(AK340&lt;&gt;"",LEFT(AG340,2)&lt;&gt;"NC",AK340&lt;&gt;"H. Sale Real"),IF(AK343-AK340&lt;0.208333333333333,AK343-AK340,""),IF(AND(AK339&lt;&gt;"",LEFT(AG339,2)&lt;&gt;"Va",AK339&lt;&gt;"H. Sale Real"),IF(AK343-AK339&lt;0.208333333333333,AK343-AK339,""),IF(AND(AK338&lt;&gt;"",LEFT(AG338,2)&lt;&gt;"Va",AK338&lt;&gt;"H. Sale Real"),IF(AK343-AK338&lt;0.208333333333333,AK343-AK338,""),""))))),""),"")</f>
        <v/>
      </c>
      <c r="AY342" s="87" t="n"/>
      <c r="AZ342" s="89" t="n"/>
      <c r="BA342" s="87" t="n"/>
      <c r="BB342" s="89" t="n"/>
      <c r="BC342" s="91" t="n"/>
      <c r="BD342" s="122">
        <f>IF(AK342&lt;&gt;"",IF(AND(BD341&lt;&gt;"IE",AT342&lt;&gt;0,AV342&lt;&gt;""),IF(IFERROR((AT342/AV342),0) &lt;=1,IFERROR(AT342/AV342,""),1),""),"")</f>
        <v/>
      </c>
      <c r="BE342" s="93" t="n"/>
      <c r="BF342" s="105" t="n"/>
      <c r="FC342" t="inlineStr">
        <is>
          <t>Diccionario 1</t>
        </is>
      </c>
      <c r="FD342" s="15" t="n">
        <v>1341</v>
      </c>
      <c r="FE342" s="15" t="inlineStr">
        <is>
          <t>MDN35025020085</t>
        </is>
      </c>
      <c r="FF342" s="15" t="inlineStr">
        <is>
          <t>LDYECS311S0044076</t>
        </is>
      </c>
      <c r="FG342" s="15" t="inlineStr">
        <is>
          <t>Zhong Tong</t>
        </is>
      </c>
      <c r="FH342" s="15" t="inlineStr">
        <is>
          <t>Lck6122evg</t>
        </is>
      </c>
      <c r="FI342" s="15" t="inlineStr">
        <is>
          <t>ZHONGTONG</t>
        </is>
      </c>
      <c r="FJ342" s="15" t="inlineStr">
        <is>
          <t>LCK6122EVG</t>
        </is>
      </c>
      <c r="FK342" s="15" t="n">
        <v>2025</v>
      </c>
      <c r="FL342" s="15" t="inlineStr">
        <is>
          <t>B</t>
        </is>
      </c>
      <c r="FM342" s="15" t="inlineStr">
        <is>
          <t>SAN ALFONSO</t>
        </is>
      </c>
      <c r="FN342" s="15" t="inlineStr">
        <is>
          <t>San Alfonso 2141 (Ramón Subercaseaux 3060)</t>
        </is>
      </c>
      <c r="FO342" s="15" t="inlineStr">
        <is>
          <t>Estacion Central</t>
        </is>
      </c>
      <c r="FP342" t="inlineStr">
        <is>
          <t>B</t>
        </is>
      </c>
      <c r="FS342" s="14" t="inlineStr">
        <is>
          <t>3091 / SFWZ-49|</t>
        </is>
      </c>
      <c r="FT342" t="inlineStr">
        <is>
          <t>SFWZ-49|</t>
        </is>
      </c>
      <c r="FU342" t="inlineStr">
        <is>
          <t>SFWZ-49</t>
        </is>
      </c>
      <c r="FV342">
        <f>VLOOKUP(FU342,FD:FL,9,0)</f>
        <v/>
      </c>
      <c r="HA342" s="35" t="n">
        <v>112</v>
      </c>
      <c r="HB342" s="35" t="n">
        <v>336</v>
      </c>
    </row>
    <row r="343" ht="15.5" customHeight="1">
      <c r="A343" s="10">
        <f>HOUR(G343)+1</f>
        <v/>
      </c>
      <c r="B343" s="7" t="n"/>
      <c r="C343" s="7" t="n"/>
      <c r="D343" s="85">
        <f>IFERROR(
IF(AND(OR(Planilla!B343="C",Planilla!B343="c"), VLOOKUP(E343,FD:FP,13,0)="C"), "OK",IF(AND(OR(Planilla!B343="C",Planilla!B343="c"), OR(VLOOKUP(E343,FD:FP,13,0)="B", VLOOKUP(E343,FD:FP,13,0)="A")), "DEFICIT",IF(
AND(OR(Planilla!B343="B", Planilla!B343="BPAL"), VLOOKUP(E343,FD:FP,13,0)="B"), "OK",IF(AND(OR(Planilla!B343="B", Planilla!B343="BPAL"), VLOOKUP(E343,FD:FP,13,0)="A"), "DEFICIT",IF(AND(OR(Planilla!B343="B", Planilla!B343="BPAL"), VLOOKUP(E343,FD:FP,13,0)="C"), "SOBREOFERTA",IF(AND(Planilla!B343="A", VLOOKUP(E343,FD:FP,13,0)="A"), "OK",IF(
AND(Planilla!B343="A", OR(VLOOKUP(E343,FD:FP,13,0)="B", VLOOKUP(E343,FD:FP,13,0)="C")), "SOBREOFERTA",""
))))))),"")</f>
        <v/>
      </c>
      <c r="E343" s="8" t="n"/>
      <c r="F343" s="86" t="n"/>
      <c r="G343" s="87" t="n"/>
      <c r="H343" s="88">
        <f>IF(I343="","",IF(AND((I343-G343)&gt;=TIME(0,0,0),(I343-G343)&lt;TIME(0,3,0)),"OK",IF(AND((I343-G343)&gt;=TIME(0,3,0),(I343-G343)&lt;TIME(0,5,0)),"RETRASO DE 3-5 MIN",IF(AND((I343-G343)&gt;=TIME(0,5,0),(I343-G343)&lt;TIME(0,10,0)),"RETRASO DE 5-10 MIN",IF((I343-G343)&gt;=TIME(0,10,0),"RETRASO &gt;10 MIN", IF(AND((G343-I343)&gt;=TIME(0,0,0),(G343-I343)&lt;TIME(0,3,0)),"OK",IF((G343-I343)&gt;=TIME(0,3,0),"ADELANTADO")))))))</f>
        <v/>
      </c>
      <c r="I343" s="89" t="n"/>
      <c r="J343" s="89">
        <f>IF(A343&lt;&gt;"",HLOOKUP(VALUE(TEXT(G343,"h:mm:ss")),IF($C$6="Laboral",$FZ$4:$GX$227,IF($C$6="Sábado",$FZ$231:$GX$452,$FZ$456:$GX$656)),VLOOKUP($C$4,$HF$2:$HH$99,3,0)+IF(C$5="Ida",0,1),1),"")</f>
        <v/>
      </c>
      <c r="K343" s="89">
        <f>IF(A344&lt;&gt;A343,AVERAGEIF(A$9:A343,A343,J$9:J343),"")</f>
        <v/>
      </c>
      <c r="L343" s="89">
        <f>IFERROR(IF(A344&lt;&gt;A343,AVERAGEIF(A$9:A343,A343,S$9:S343),""),"")</f>
        <v/>
      </c>
      <c r="M343" s="89">
        <f>IFERROR(IF(A344&lt;&gt;A343,AVERAGEIF(A$9:A343,A343,T$9:T343),""),"")</f>
        <v/>
      </c>
      <c r="N343" s="89">
        <f t="array" ref="N343">IFERROR(IF(A344&lt;&gt;A343,_xlfn.STDEV.P(IF(A$9:A343=A343,T$9:T343)),""),"")</f>
        <v/>
      </c>
      <c r="O343" s="89">
        <f t="array" ref="O343">IFERROR(IF(A344&lt;&gt;A343,_xlfn.STDEV.P(IF(A$9:A343=A343,S$9:S343)),""),"")</f>
        <v/>
      </c>
      <c r="P343" s="90">
        <f>IFERROR(IF(A343&lt;&gt;A344,MAX((((M343*24*60)/2)*(1+POWER((((N343*24*60) / (M343*24*60) )),2))) + ((M343*24*60 )*-0.1 + (K343*0.015)) +1,(((M343*24*60)/2)*(1+POWER((((N343*24*60) / (M343*24*60 ))),2)))),""),"")</f>
        <v/>
      </c>
      <c r="Q343" s="90">
        <f>IF(AND(O343&lt;&gt;"",L343&lt;&gt;""),IF(A343&lt;&gt;A344,((L343*24*60) / 2 ) * (1 + POWER(((O343*24*60) / (L343*24*60)),2)),""),"")</f>
        <v/>
      </c>
      <c r="R343" s="90">
        <f>IF(Q343&lt;&gt;"",MAX(P343,Q343),"")</f>
        <v/>
      </c>
      <c r="S343" s="89">
        <f>IF(I343&lt;&gt;"H. Sale Real",IF(AND(I344&lt;&gt;"",LEFT(C344,2)&lt;&gt;"Va"),IF(AND(I343&lt;&gt;"",LEFT(C343,2)&lt;&gt;"Va",I343&lt;&gt;"H. Sale Real"),IF(I344-I343&lt;0.208333333333333,I344-I343,""),IF(AND(I342&lt;&gt;"",LEFT(C342,2)&lt;&gt;"Va",I342&lt;&gt;"H. Sale Real"),IF(I344-I342&lt;0.208333333333333,I344-I342,""),IF(AND(I341&lt;&gt;"",LEFT(C341,2)&lt;&gt;"Va",I341&lt;&gt;"H. Sale Real"),IF(I344-I341&lt;0.208333333333333,I344-I341,""),IF(AND(I340&lt;&gt;"",LEFT(C340,2)&lt;&gt;"Va",I340&lt;&gt;"H. Sale Real"),IF(I344-I340&lt;0.208333333333333,I344-I340,""),IF(AND(I339&lt;&gt;"",LEFT(C339,2)&lt;&gt;"Va",I339&lt;&gt;"H. Sale Real"),IF(I344-I339&lt;0.208333333333333,I344-I339,""),""))))),""),"")</f>
        <v/>
      </c>
      <c r="T343" s="89">
        <f>IF(G343&lt;&gt;"H. Sale Real",IF(AND(G344&lt;&gt;"",LEFT(C344,2)&lt;&gt;"Va"),IF(AND(G343&lt;&gt;"",LEFT(C343,2)&lt;&gt;"Va",G343&lt;&gt;"H. Sale Real"),IF(G344-G343&lt;0.208333333333333,G344-G343,""),IF(AND(G342&lt;&gt;"",LEFT(C342,2)&lt;&gt;"Va",G342&lt;&gt;"H. Sale Real"),IF(G344-G342&lt;0.208333333333333,G344-G342,""),IF(AND(G341&lt;&gt;"",LEFT(C341,2)&lt;&gt;"Va",G341&lt;&gt;"H. Sale Real"),IF(G344-G341&lt;0.208333333333333,G344-G341,""),IF(AND(G340&lt;&gt;"",LEFT(C340,2)&lt;&gt;"Va",G340&lt;&gt;"H. Sale Real"),IF(G344-G340&lt;0.208333333333333,G344-G340,""),IF(AND(G339&lt;&gt;"",LEFT(C339,2)&lt;&gt;"Va",G339&lt;&gt;"H. Sale Real"),IF(G344-G339&lt;0.208333333333333,G344-G339,""),""))))),""),"")</f>
        <v/>
      </c>
      <c r="U343" s="87" t="n"/>
      <c r="V343" s="89" t="n"/>
      <c r="W343" s="87" t="n"/>
      <c r="X343" s="89" t="n"/>
      <c r="Y343" s="91" t="n"/>
      <c r="Z343" s="122">
        <f>IF(G343&lt;&gt;"",IF(AND(Z342&lt;&gt;"IE",P343&lt;&gt;0,R343&lt;&gt;""),IF(IFERROR((P343/R343),0) &lt;=1,IFERROR(P343/R343,""),1),""),"")</f>
        <v/>
      </c>
      <c r="AA343" s="93" t="n"/>
      <c r="AB343" s="2" t="n"/>
      <c r="AE343" s="10">
        <f>HOUR(AK343)+1</f>
        <v/>
      </c>
      <c r="AF343" s="7" t="n"/>
      <c r="AG343" s="7" t="n"/>
      <c r="AH343" s="86" t="n"/>
      <c r="AI343" s="8" t="n"/>
      <c r="AJ343" s="86" t="n"/>
      <c r="AK343" s="87" t="n"/>
      <c r="AL343" s="88">
        <f>IF(AM343="","",IF(AND((AM343-AK343)&gt;=TIME(0,0,0),(AM343-AK343)&lt;TIME(0,3,0)),"OK",IF(AND((AM343-AK343)&gt;=TIME(0,3,0),(AM343-AK343)&lt;TIME(0,5,0)),"RETRASO DE 3-5 MIN",IF(AND((AM343-AK343)&gt;=TIME(0,5,0),(AM343-AK343)&lt;TIME(0,10,0)),"RETRASO DE 5-10 MIN",IF((AM343-AK343)&gt;=TIME(0,10,0),"RETRASO &gt;10 MIN", IF(AND((AK343-AM343)&gt;=TIME(0,0,0),(AK343-AM343)&lt;TIME(0,3,0)),"OK",IF((AK343-AM343)&gt;=TIME(0,3,0),"ADELANTADO")))))))</f>
        <v/>
      </c>
      <c r="AM343" s="91" t="n"/>
      <c r="AN343" s="89">
        <f>IF(AE343&lt;&gt;"",HLOOKUP(VALUE(TEXT(AK343,"h:mm:ss")),IF($C$6="Laboral",$FZ$4:$GX$227,IF($C$6="Sábado",$FZ$231:$GX$452,$FZ$456:$GX$656)),VLOOKUP($C$4,$HF$2:$HH$99,3,0)+IF(AG$5="Ida",0,1),1),"")</f>
        <v/>
      </c>
      <c r="AO343" s="89">
        <f>IF(AE344&lt;&gt;AE343,AVERAGEIF(AE$9:AE343,AE343,AN$9:AN343),"")</f>
        <v/>
      </c>
      <c r="AP343" s="89">
        <f>IFERROR(IF(AE344&lt;&gt;AE343,AVERAGEIF(AE$9:AE343,AE343,AW$9:AW343),""),"")</f>
        <v/>
      </c>
      <c r="AQ343" s="89">
        <f>IFERROR(IF(AE344&lt;&gt;AE343,AVERAGEIF(AE$9:AE343,AE343,AX$9:AX343),""),"")</f>
        <v/>
      </c>
      <c r="AR343" s="89">
        <f t="array" ref="AR343">IFERROR(IF(AE344&lt;&gt;AE343,_xlfn.STDEV.P(IF(AE$9:AE343=AE343,AX$9:AX343)),""),"")</f>
        <v/>
      </c>
      <c r="AS343" s="89">
        <f t="array" ref="AS343">IFERROR(IF(AE344&lt;&gt;AE343,_xlfn.STDEV.P(IF(AE$9:AE343=AE343,AW$9:AW343)),""),"")</f>
        <v/>
      </c>
      <c r="AT343" s="90">
        <f>IFERROR(IF(AE343&lt;&gt;AE344,MAX((((AQ343*24*60)/2)*(1+POWER((((AR343*24*60) / (AQ343*24*60) )),2))) + ((AQ343*24*60 )*-0.1 + (AO343*0.015)) +1,(((AQ343*24*60)/2)*(1+POWER((((AR343*24*60) / (AQ343*24*60 ))),2)))),""),"")</f>
        <v/>
      </c>
      <c r="AU343" s="90">
        <f>IF(AND(AS343&lt;&gt;"",AP343&lt;&gt;""),IF(AE343&lt;&gt;AE344,((AP343*24*60) / 2 ) * (1 + POWER(((AS343*24*60) / (AP343*24*60)),2)),""),"")</f>
        <v/>
      </c>
      <c r="AV343" s="90">
        <f>IF(AU343&lt;&gt;"",MAX(AT343,AU343),"")</f>
        <v/>
      </c>
      <c r="AW343" s="89">
        <f>IF(AM343&lt;&gt;"H. Sale Real",IF(AND(AM344&lt;&gt;"",LEFT(AG344,2)&lt;&gt;"Va"),IF(AND(AM343&lt;&gt;"",LEFT(AG343,2)&lt;&gt;"Va",AM343&lt;&gt;"H. Sale Real"),IF(AM344-AM343&lt;0.208333333333333,AM344-AM343,""),IF(AND(AM342&lt;&gt;"",LEFT(AG342,2)&lt;&gt;"Va",AM342&lt;&gt;"H. Sale Real"),IF(AM344-AM342&lt;0.208333333333333,AM344-AM342,""),IF(AND(AM341&lt;&gt;"",LEFT(AG341,2)&lt;&gt;"Va",AM341&lt;&gt;"H. Sale Real"),IF(AM344-AM341&lt;0.208333333333333,AM344-AM341,""),IF(AND(AM340&lt;&gt;"",LEFT(AG340,2)&lt;&gt;"Va",AM340&lt;&gt;"H. Sale Real"),IF(AM344-AM340&lt;0.208333333333333,AM344-AM340,""),IF(AND(AM339&lt;&gt;"",LEFT(AG339,2)&lt;&gt;"Va",AM339&lt;&gt;"H. Sale Real"),IF(AM344-AM339&lt;0.208333333333333,AM344-AM339,""),""))))),""),"")</f>
        <v/>
      </c>
      <c r="AX343" s="89">
        <f>IF(AK343&lt;&gt;"H. Sale Real",IF(AND(AK344&lt;&gt;"",LEFT(AG344,2)&lt;&gt;"Va"),IF(AND(AK343&lt;&gt;"",LEFT(AG343,2)&lt;&gt;"Va",AK343&lt;&gt;"H. Sale Real"),IF(AK344-AK343&lt;0.208333333333333,AK344-AK343,""),IF(AND(AK342&lt;&gt;"",LEFT(AG342,2)&lt;&gt;"Va",AK342&lt;&gt;"H. Sale Real"),IF(AK344-AK342&lt;0.208333333333333,AK344-AK342,""),IF(AND(AK341&lt;&gt;"",LEFT(AG341,2)&lt;&gt;"NC",AK341&lt;&gt;"H. Sale Real"),IF(AK344-AK341&lt;0.208333333333333,AK344-AK341,""),IF(AND(AK340&lt;&gt;"",LEFT(AG340,2)&lt;&gt;"Va",AK340&lt;&gt;"H. Sale Real"),IF(AK344-AK340&lt;0.208333333333333,AK344-AK340,""),IF(AND(AK339&lt;&gt;"",LEFT(AG339,2)&lt;&gt;"Va",AK339&lt;&gt;"H. Sale Real"),IF(AK344-AK339&lt;0.208333333333333,AK344-AK339,""),""))))),""),"")</f>
        <v/>
      </c>
      <c r="AY343" s="87" t="n"/>
      <c r="AZ343" s="89" t="n"/>
      <c r="BA343" s="87" t="n"/>
      <c r="BB343" s="89" t="n"/>
      <c r="BC343" s="91" t="n"/>
      <c r="BD343" s="122">
        <f>IF(AK343&lt;&gt;"",IF(AND(BD342&lt;&gt;"IE",AT343&lt;&gt;0,AV343&lt;&gt;""),IF(IFERROR((AT343/AV343),0) &lt;=1,IFERROR(AT343/AV343,""),1),""),"")</f>
        <v/>
      </c>
      <c r="BE343" s="93" t="n"/>
      <c r="BF343" s="105" t="n"/>
      <c r="FC343" t="inlineStr">
        <is>
          <t>Diccionario 1</t>
        </is>
      </c>
      <c r="FD343" s="15" t="n">
        <v>1342</v>
      </c>
      <c r="FE343" s="15" t="inlineStr">
        <is>
          <t>MDN35025010194</t>
        </is>
      </c>
      <c r="FF343" s="15" t="inlineStr">
        <is>
          <t>LDYECS311S0044059</t>
        </is>
      </c>
      <c r="FG343" s="15" t="inlineStr">
        <is>
          <t>Zhong Tong</t>
        </is>
      </c>
      <c r="FH343" s="15" t="inlineStr">
        <is>
          <t>Lck6122evg</t>
        </is>
      </c>
      <c r="FI343" s="15" t="inlineStr">
        <is>
          <t>ZHONGTONG</t>
        </is>
      </c>
      <c r="FJ343" s="15" t="inlineStr">
        <is>
          <t>LCK6122EVG</t>
        </is>
      </c>
      <c r="FK343" s="15" t="n">
        <v>2025</v>
      </c>
      <c r="FL343" s="15" t="inlineStr">
        <is>
          <t>B</t>
        </is>
      </c>
      <c r="FM343" s="15" t="inlineStr">
        <is>
          <t>PIE ANDINO</t>
        </is>
      </c>
      <c r="FN343" s="15" t="inlineStr">
        <is>
          <t>Pie Andino 31 (Pie Andino 383)</t>
        </is>
      </c>
      <c r="FO343" s="15" t="inlineStr">
        <is>
          <t>Puente Alto</t>
        </is>
      </c>
      <c r="FP343" t="inlineStr">
        <is>
          <t>B</t>
        </is>
      </c>
      <c r="FS343" s="14" t="inlineStr">
        <is>
          <t>3091 / SFWZ-49|</t>
        </is>
      </c>
      <c r="FT343" t="inlineStr">
        <is>
          <t>SFWZ-49|</t>
        </is>
      </c>
      <c r="FU343" t="inlineStr">
        <is>
          <t>SFWZ-49</t>
        </is>
      </c>
      <c r="FV343">
        <f>VLOOKUP(FU343,FD:FL,9,0)</f>
        <v/>
      </c>
      <c r="HA343" s="35" t="n">
        <v>113</v>
      </c>
      <c r="HB343" s="35" t="n">
        <v>337</v>
      </c>
    </row>
    <row r="344" ht="15.5" customHeight="1">
      <c r="A344" s="10">
        <f>HOUR(G344)+1</f>
        <v/>
      </c>
      <c r="B344" s="7" t="n"/>
      <c r="C344" s="7" t="n"/>
      <c r="D344" s="85">
        <f>IFERROR(
IF(AND(OR(Planilla!B344="C",Planilla!B344="c"), VLOOKUP(E344,FD:FP,13,0)="C"), "OK",IF(AND(OR(Planilla!B344="C",Planilla!B344="c"), OR(VLOOKUP(E344,FD:FP,13,0)="B", VLOOKUP(E344,FD:FP,13,0)="A")), "DEFICIT",IF(
AND(OR(Planilla!B344="B", Planilla!B344="BPAL"), VLOOKUP(E344,FD:FP,13,0)="B"), "OK",IF(AND(OR(Planilla!B344="B", Planilla!B344="BPAL"), VLOOKUP(E344,FD:FP,13,0)="A"), "DEFICIT",IF(AND(OR(Planilla!B344="B", Planilla!B344="BPAL"), VLOOKUP(E344,FD:FP,13,0)="C"), "SOBREOFERTA",IF(AND(Planilla!B344="A", VLOOKUP(E344,FD:FP,13,0)="A"), "OK",IF(
AND(Planilla!B344="A", OR(VLOOKUP(E344,FD:FP,13,0)="B", VLOOKUP(E344,FD:FP,13,0)="C")), "SOBREOFERTA",""
))))))),"")</f>
        <v/>
      </c>
      <c r="E344" s="8" t="n"/>
      <c r="F344" s="86" t="n"/>
      <c r="G344" s="87" t="n"/>
      <c r="H344" s="88">
        <f>IF(I344="","",IF(AND((I344-G344)&gt;=TIME(0,0,0),(I344-G344)&lt;TIME(0,3,0)),"OK",IF(AND((I344-G344)&gt;=TIME(0,3,0),(I344-G344)&lt;TIME(0,5,0)),"RETRASO DE 3-5 MIN",IF(AND((I344-G344)&gt;=TIME(0,5,0),(I344-G344)&lt;TIME(0,10,0)),"RETRASO DE 5-10 MIN",IF((I344-G344)&gt;=TIME(0,10,0),"RETRASO &gt;10 MIN", IF(AND((G344-I344)&gt;=TIME(0,0,0),(G344-I344)&lt;TIME(0,3,0)),"OK",IF((G344-I344)&gt;=TIME(0,3,0),"ADELANTADO")))))))</f>
        <v/>
      </c>
      <c r="I344" s="89" t="n"/>
      <c r="J344" s="89">
        <f>IF(A344&lt;&gt;"",HLOOKUP(VALUE(TEXT(G344,"h:mm:ss")),IF($C$6="Laboral",$FZ$4:$GX$227,IF($C$6="Sábado",$FZ$231:$GX$452,$FZ$456:$GX$656)),VLOOKUP($C$4,$HF$2:$HH$99,3,0)+IF(C$5="Ida",0,1),1),"")</f>
        <v/>
      </c>
      <c r="K344" s="89">
        <f>IF(A345&lt;&gt;A344,AVERAGEIF(A$9:A344,A344,J$9:J344),"")</f>
        <v/>
      </c>
      <c r="L344" s="89">
        <f>IFERROR(IF(A345&lt;&gt;A344,AVERAGEIF(A$9:A344,A344,S$9:S344),""),"")</f>
        <v/>
      </c>
      <c r="M344" s="89">
        <f>IFERROR(IF(A345&lt;&gt;A344,AVERAGEIF(A$9:A344,A344,T$9:T344),""),"")</f>
        <v/>
      </c>
      <c r="N344" s="89">
        <f t="array" ref="N344">IFERROR(IF(A345&lt;&gt;A344,_xlfn.STDEV.P(IF(A$9:A344=A344,T$9:T344)),""),"")</f>
        <v/>
      </c>
      <c r="O344" s="89">
        <f t="array" ref="O344">IFERROR(IF(A345&lt;&gt;A344,_xlfn.STDEV.P(IF(A$9:A344=A344,S$9:S344)),""),"")</f>
        <v/>
      </c>
      <c r="P344" s="90">
        <f>IFERROR(IF(A344&lt;&gt;A345,MAX((((M344*24*60)/2)*(1+POWER((((N344*24*60) / (M344*24*60) )),2))) + ((M344*24*60 )*-0.1 + (K344*0.015)) +1,(((M344*24*60)/2)*(1+POWER((((N344*24*60) / (M344*24*60 ))),2)))),""),"")</f>
        <v/>
      </c>
      <c r="Q344" s="90">
        <f>IF(AND(O344&lt;&gt;"",L344&lt;&gt;""),IF(A344&lt;&gt;A345,((L344*24*60) / 2 ) * (1 + POWER(((O344*24*60) / (L344*24*60)),2)),""),"")</f>
        <v/>
      </c>
      <c r="R344" s="90">
        <f>IF(Q344&lt;&gt;"",MAX(P344,Q344),"")</f>
        <v/>
      </c>
      <c r="S344" s="89">
        <f>IF(I344&lt;&gt;"H. Sale Real",IF(AND(I345&lt;&gt;"",LEFT(C345,2)&lt;&gt;"Va"),IF(AND(I344&lt;&gt;"",LEFT(C344,2)&lt;&gt;"Va",I344&lt;&gt;"H. Sale Real"),IF(I345-I344&lt;0.208333333333333,I345-I344,""),IF(AND(I343&lt;&gt;"",LEFT(C343,2)&lt;&gt;"Va",I343&lt;&gt;"H. Sale Real"),IF(I345-I343&lt;0.208333333333333,I345-I343,""),IF(AND(I342&lt;&gt;"",LEFT(C342,2)&lt;&gt;"Va",I342&lt;&gt;"H. Sale Real"),IF(I345-I342&lt;0.208333333333333,I345-I342,""),IF(AND(I341&lt;&gt;"",LEFT(C341,2)&lt;&gt;"Va",I341&lt;&gt;"H. Sale Real"),IF(I345-I341&lt;0.208333333333333,I345-I341,""),IF(AND(I340&lt;&gt;"",LEFT(C340,2)&lt;&gt;"Va",I340&lt;&gt;"H. Sale Real"),IF(I345-I340&lt;0.208333333333333,I345-I340,""),""))))),""),"")</f>
        <v/>
      </c>
      <c r="T344" s="89">
        <f>IF(G344&lt;&gt;"H. Sale Real",IF(AND(G345&lt;&gt;"",LEFT(C345,2)&lt;&gt;"Va"),IF(AND(G344&lt;&gt;"",LEFT(C344,2)&lt;&gt;"Va",G344&lt;&gt;"H. Sale Real"),IF(G345-G344&lt;0.208333333333333,G345-G344,""),IF(AND(G343&lt;&gt;"",LEFT(C343,2)&lt;&gt;"Va",G343&lt;&gt;"H. Sale Real"),IF(G345-G343&lt;0.208333333333333,G345-G343,""),IF(AND(G342&lt;&gt;"",LEFT(C342,2)&lt;&gt;"Va",G342&lt;&gt;"H. Sale Real"),IF(G345-G342&lt;0.208333333333333,G345-G342,""),IF(AND(G341&lt;&gt;"",LEFT(C341,2)&lt;&gt;"Va",G341&lt;&gt;"H. Sale Real"),IF(G345-G341&lt;0.208333333333333,G345-G341,""),IF(AND(G340&lt;&gt;"",LEFT(C340,2)&lt;&gt;"Va",G340&lt;&gt;"H. Sale Real"),IF(G345-G340&lt;0.208333333333333,G345-G340,""),""))))),""),"")</f>
        <v/>
      </c>
      <c r="U344" s="87" t="n"/>
      <c r="V344" s="89" t="n"/>
      <c r="W344" s="87" t="n"/>
      <c r="X344" s="89" t="n"/>
      <c r="Y344" s="91" t="n"/>
      <c r="Z344" s="122">
        <f>IF(G344&lt;&gt;"",IF(AND(Z343&lt;&gt;"IE",P344&lt;&gt;0,R344&lt;&gt;""),IF(IFERROR((P344/R344),0) &lt;=1,IFERROR(P344/R344,""),1),""),"")</f>
        <v/>
      </c>
      <c r="AA344" s="93" t="n"/>
      <c r="AB344" s="2" t="n"/>
      <c r="AE344" s="10">
        <f>HOUR(AK344)+1</f>
        <v/>
      </c>
      <c r="AF344" s="7" t="n"/>
      <c r="AG344" s="7" t="n"/>
      <c r="AH344" s="86" t="n"/>
      <c r="AI344" s="8" t="n"/>
      <c r="AJ344" s="86" t="n"/>
      <c r="AK344" s="87" t="n"/>
      <c r="AL344" s="88">
        <f>IF(AM344="","",IF(AND((AM344-AK344)&gt;=TIME(0,0,0),(AM344-AK344)&lt;TIME(0,3,0)),"OK",IF(AND((AM344-AK344)&gt;=TIME(0,3,0),(AM344-AK344)&lt;TIME(0,5,0)),"RETRASO DE 3-5 MIN",IF(AND((AM344-AK344)&gt;=TIME(0,5,0),(AM344-AK344)&lt;TIME(0,10,0)),"RETRASO DE 5-10 MIN",IF((AM344-AK344)&gt;=TIME(0,10,0),"RETRASO &gt;10 MIN", IF(AND((AK344-AM344)&gt;=TIME(0,0,0),(AK344-AM344)&lt;TIME(0,3,0)),"OK",IF((AK344-AM344)&gt;=TIME(0,3,0),"ADELANTADO")))))))</f>
        <v/>
      </c>
      <c r="AM344" s="91" t="n"/>
      <c r="AN344" s="89">
        <f>IF(AE344&lt;&gt;"",HLOOKUP(VALUE(TEXT(AK344,"h:mm:ss")),IF($C$6="Laboral",$FZ$4:$GX$227,IF($C$6="Sábado",$FZ$231:$GX$452,$FZ$456:$GX$656)),VLOOKUP($C$4,$HF$2:$HH$99,3,0)+IF(AG$5="Ida",0,1),1),"")</f>
        <v/>
      </c>
      <c r="AO344" s="89">
        <f>IF(AE345&lt;&gt;AE344,AVERAGEIF(AE$9:AE344,AE344,AN$9:AN344),"")</f>
        <v/>
      </c>
      <c r="AP344" s="89">
        <f>IFERROR(IF(AE345&lt;&gt;AE344,AVERAGEIF(AE$9:AE344,AE344,AW$9:AW344),""),"")</f>
        <v/>
      </c>
      <c r="AQ344" s="89">
        <f>IFERROR(IF(AE345&lt;&gt;AE344,AVERAGEIF(AE$9:AE344,AE344,AX$9:AX344),""),"")</f>
        <v/>
      </c>
      <c r="AR344" s="89">
        <f t="array" ref="AR344">IFERROR(IF(AE345&lt;&gt;AE344,_xlfn.STDEV.P(IF(AE$9:AE344=AE344,AX$9:AX344)),""),"")</f>
        <v/>
      </c>
      <c r="AS344" s="89">
        <f t="array" ref="AS344">IFERROR(IF(AE345&lt;&gt;AE344,_xlfn.STDEV.P(IF(AE$9:AE344=AE344,AW$9:AW344)),""),"")</f>
        <v/>
      </c>
      <c r="AT344" s="90">
        <f>IFERROR(IF(AE344&lt;&gt;AE345,MAX((((AQ344*24*60)/2)*(1+POWER((((AR344*24*60) / (AQ344*24*60) )),2))) + ((AQ344*24*60 )*-0.1 + (AO344*0.015)) +1,(((AQ344*24*60)/2)*(1+POWER((((AR344*24*60) / (AQ344*24*60 ))),2)))),""),"")</f>
        <v/>
      </c>
      <c r="AU344" s="90">
        <f>IF(AND(AS344&lt;&gt;"",AP344&lt;&gt;""),IF(AE344&lt;&gt;AE345,((AP344*24*60) / 2 ) * (1 + POWER(((AS344*24*60) / (AP344*24*60)),2)),""),"")</f>
        <v/>
      </c>
      <c r="AV344" s="90">
        <f>IF(AU344&lt;&gt;"",MAX(AT344,AU344),"")</f>
        <v/>
      </c>
      <c r="AW344" s="89">
        <f>IF(AM344&lt;&gt;"H. Sale Real",IF(AND(AM345&lt;&gt;"",LEFT(AG345,2)&lt;&gt;"Va"),IF(AND(AM344&lt;&gt;"",LEFT(AG344,2)&lt;&gt;"Va",AM344&lt;&gt;"H. Sale Real"),IF(AM345-AM344&lt;0.208333333333333,AM345-AM344,""),IF(AND(AM343&lt;&gt;"",LEFT(AG343,2)&lt;&gt;"Va",AM343&lt;&gt;"H. Sale Real"),IF(AM345-AM343&lt;0.208333333333333,AM345-AM343,""),IF(AND(AM342&lt;&gt;"",LEFT(AG342,2)&lt;&gt;"Va",AM342&lt;&gt;"H. Sale Real"),IF(AM345-AM342&lt;0.208333333333333,AM345-AM342,""),IF(AND(AM341&lt;&gt;"",LEFT(AG341,2)&lt;&gt;"Va",AM341&lt;&gt;"H. Sale Real"),IF(AM345-AM341&lt;0.208333333333333,AM345-AM341,""),IF(AND(AM340&lt;&gt;"",LEFT(AG340,2)&lt;&gt;"Va",AM340&lt;&gt;"H. Sale Real"),IF(AM345-AM340&lt;0.208333333333333,AM345-AM340,""),""))))),""),"")</f>
        <v/>
      </c>
      <c r="AX344" s="89">
        <f>IF(AK344&lt;&gt;"H. Sale Real",IF(AND(AK345&lt;&gt;"",LEFT(AG345,2)&lt;&gt;"Va"),IF(AND(AK344&lt;&gt;"",LEFT(AG344,2)&lt;&gt;"Va",AK344&lt;&gt;"H. Sale Real"),IF(AK345-AK344&lt;0.208333333333333,AK345-AK344,""),IF(AND(AK343&lt;&gt;"",LEFT(AG343,2)&lt;&gt;"Va",AK343&lt;&gt;"H. Sale Real"),IF(AK345-AK343&lt;0.208333333333333,AK345-AK343,""),IF(AND(AK342&lt;&gt;"",LEFT(AG342,2)&lt;&gt;"NC",AK342&lt;&gt;"H. Sale Real"),IF(AK345-AK342&lt;0.208333333333333,AK345-AK342,""),IF(AND(AK341&lt;&gt;"",LEFT(AG341,2)&lt;&gt;"Va",AK341&lt;&gt;"H. Sale Real"),IF(AK345-AK341&lt;0.208333333333333,AK345-AK341,""),IF(AND(AK340&lt;&gt;"",LEFT(AG340,2)&lt;&gt;"Va",AK340&lt;&gt;"H. Sale Real"),IF(AK345-AK340&lt;0.208333333333333,AK345-AK340,""),""))))),""),"")</f>
        <v/>
      </c>
      <c r="AY344" s="87" t="n"/>
      <c r="AZ344" s="89" t="n"/>
      <c r="BA344" s="87" t="n"/>
      <c r="BB344" s="89" t="n"/>
      <c r="BC344" s="91" t="n"/>
      <c r="BD344" s="122">
        <f>IF(AK344&lt;&gt;"",IF(AND(BD343&lt;&gt;"IE",AT344&lt;&gt;0,AV344&lt;&gt;""),IF(IFERROR((AT344/AV344),0) &lt;=1,IFERROR(AT344/AV344,""),1),""),"")</f>
        <v/>
      </c>
      <c r="BE344" s="93" t="n"/>
      <c r="BF344" s="105" t="n"/>
      <c r="FC344" t="inlineStr">
        <is>
          <t>Diccionario 1</t>
        </is>
      </c>
      <c r="FD344" s="15" t="n">
        <v>1343</v>
      </c>
      <c r="FE344" s="15" t="inlineStr">
        <is>
          <t>MDN35025010098</t>
        </is>
      </c>
      <c r="FF344" s="15" t="inlineStr">
        <is>
          <t>LDYECS31XS0044111</t>
        </is>
      </c>
      <c r="FG344" s="15" t="inlineStr">
        <is>
          <t>Zhong Tong</t>
        </is>
      </c>
      <c r="FH344" s="15" t="inlineStr">
        <is>
          <t>Lck6122evg</t>
        </is>
      </c>
      <c r="FI344" s="15" t="inlineStr">
        <is>
          <t>ZHONGTONG</t>
        </is>
      </c>
      <c r="FJ344" s="15" t="inlineStr">
        <is>
          <t>LCK6122EVG</t>
        </is>
      </c>
      <c r="FK344" s="15" t="n">
        <v>2025</v>
      </c>
      <c r="FL344" s="15" t="inlineStr">
        <is>
          <t>B</t>
        </is>
      </c>
      <c r="FM344" s="15" t="inlineStr">
        <is>
          <t>PIE ANDINO</t>
        </is>
      </c>
      <c r="FN344" s="15" t="inlineStr">
        <is>
          <t>Pie Andino 31 (Pie Andino 383)</t>
        </is>
      </c>
      <c r="FO344" s="15" t="inlineStr">
        <is>
          <t>Puente Alto</t>
        </is>
      </c>
      <c r="FP344" t="inlineStr">
        <is>
          <t>B</t>
        </is>
      </c>
      <c r="FS344" s="14" t="inlineStr">
        <is>
          <t>3092 / SFWZ-67|</t>
        </is>
      </c>
      <c r="FT344" t="inlineStr">
        <is>
          <t>SFWZ-67|</t>
        </is>
      </c>
      <c r="FU344" t="inlineStr">
        <is>
          <t>SFWZ-67</t>
        </is>
      </c>
      <c r="FV344">
        <f>VLOOKUP(FU344,FD:FL,9,0)</f>
        <v/>
      </c>
      <c r="HA344" s="35" t="n">
        <v>114</v>
      </c>
      <c r="HB344" s="35" t="n">
        <v>338</v>
      </c>
    </row>
    <row r="345" ht="15.5" customHeight="1">
      <c r="A345" s="10">
        <f>HOUR(G345)+1</f>
        <v/>
      </c>
      <c r="B345" s="7" t="n"/>
      <c r="C345" s="7" t="n"/>
      <c r="D345" s="85">
        <f>IFERROR(
IF(AND(OR(Planilla!B345="C",Planilla!B345="c"), VLOOKUP(E345,FD:FP,13,0)="C"), "OK",IF(AND(OR(Planilla!B345="C",Planilla!B345="c"), OR(VLOOKUP(E345,FD:FP,13,0)="B", VLOOKUP(E345,FD:FP,13,0)="A")), "DEFICIT",IF(
AND(OR(Planilla!B345="B", Planilla!B345="BPAL"), VLOOKUP(E345,FD:FP,13,0)="B"), "OK",IF(AND(OR(Planilla!B345="B", Planilla!B345="BPAL"), VLOOKUP(E345,FD:FP,13,0)="A"), "DEFICIT",IF(AND(OR(Planilla!B345="B", Planilla!B345="BPAL"), VLOOKUP(E345,FD:FP,13,0)="C"), "SOBREOFERTA",IF(AND(Planilla!B345="A", VLOOKUP(E345,FD:FP,13,0)="A"), "OK",IF(
AND(Planilla!B345="A", OR(VLOOKUP(E345,FD:FP,13,0)="B", VLOOKUP(E345,FD:FP,13,0)="C")), "SOBREOFERTA",""
))))))),"")</f>
        <v/>
      </c>
      <c r="E345" s="8" t="n"/>
      <c r="F345" s="86" t="n"/>
      <c r="G345" s="87" t="n"/>
      <c r="H345" s="88">
        <f>IF(I345="","",IF(AND((I345-G345)&gt;=TIME(0,0,0),(I345-G345)&lt;TIME(0,3,0)),"OK",IF(AND((I345-G345)&gt;=TIME(0,3,0),(I345-G345)&lt;TIME(0,5,0)),"RETRASO DE 3-5 MIN",IF(AND((I345-G345)&gt;=TIME(0,5,0),(I345-G345)&lt;TIME(0,10,0)),"RETRASO DE 5-10 MIN",IF((I345-G345)&gt;=TIME(0,10,0),"RETRASO &gt;10 MIN", IF(AND((G345-I345)&gt;=TIME(0,0,0),(G345-I345)&lt;TIME(0,3,0)),"OK",IF((G345-I345)&gt;=TIME(0,3,0),"ADELANTADO")))))))</f>
        <v/>
      </c>
      <c r="I345" s="89" t="n"/>
      <c r="J345" s="89">
        <f>IF(A345&lt;&gt;"",HLOOKUP(VALUE(TEXT(G345,"h:mm:ss")),IF($C$6="Laboral",$FZ$4:$GX$227,IF($C$6="Sábado",$FZ$231:$GX$452,$FZ$456:$GX$656)),VLOOKUP($C$4,$HF$2:$HH$99,3,0)+IF(C$5="Ida",0,1),1),"")</f>
        <v/>
      </c>
      <c r="K345" s="89">
        <f>IF(A346&lt;&gt;A345,AVERAGEIF(A$9:A345,A345,J$9:J345),"")</f>
        <v/>
      </c>
      <c r="L345" s="89">
        <f>IFERROR(IF(A346&lt;&gt;A345,AVERAGEIF(A$9:A345,A345,S$9:S345),""),"")</f>
        <v/>
      </c>
      <c r="M345" s="89">
        <f>IFERROR(IF(A346&lt;&gt;A345,AVERAGEIF(A$9:A345,A345,T$9:T345),""),"")</f>
        <v/>
      </c>
      <c r="N345" s="89">
        <f t="array" ref="N345">IFERROR(IF(A346&lt;&gt;A345,_xlfn.STDEV.P(IF(A$9:A345=A345,T$9:T345)),""),"")</f>
        <v/>
      </c>
      <c r="O345" s="89">
        <f t="array" ref="O345">IFERROR(IF(A346&lt;&gt;A345,_xlfn.STDEV.P(IF(A$9:A345=A345,S$9:S345)),""),"")</f>
        <v/>
      </c>
      <c r="P345" s="90">
        <f>IFERROR(IF(A345&lt;&gt;A346,MAX((((M345*24*60)/2)*(1+POWER((((N345*24*60) / (M345*24*60) )),2))) + ((M345*24*60 )*-0.1 + (K345*0.015)) +1,(((M345*24*60)/2)*(1+POWER((((N345*24*60) / (M345*24*60 ))),2)))),""),"")</f>
        <v/>
      </c>
      <c r="Q345" s="90">
        <f>IF(AND(O345&lt;&gt;"",L345&lt;&gt;""),IF(A345&lt;&gt;A346,((L345*24*60) / 2 ) * (1 + POWER(((O345*24*60) / (L345*24*60)),2)),""),"")</f>
        <v/>
      </c>
      <c r="R345" s="90">
        <f>IF(Q345&lt;&gt;"",MAX(P345,Q345),"")</f>
        <v/>
      </c>
      <c r="S345" s="89">
        <f>IF(I345&lt;&gt;"H. Sale Real",IF(AND(I346&lt;&gt;"",LEFT(C346,2)&lt;&gt;"Va"),IF(AND(I345&lt;&gt;"",LEFT(C345,2)&lt;&gt;"Va",I345&lt;&gt;"H. Sale Real"),IF(I346-I345&lt;0.208333333333333,I346-I345,""),IF(AND(I344&lt;&gt;"",LEFT(C344,2)&lt;&gt;"Va",I344&lt;&gt;"H. Sale Real"),IF(I346-I344&lt;0.208333333333333,I346-I344,""),IF(AND(I343&lt;&gt;"",LEFT(C343,2)&lt;&gt;"Va",I343&lt;&gt;"H. Sale Real"),IF(I346-I343&lt;0.208333333333333,I346-I343,""),IF(AND(I342&lt;&gt;"",LEFT(C342,2)&lt;&gt;"Va",I342&lt;&gt;"H. Sale Real"),IF(I346-I342&lt;0.208333333333333,I346-I342,""),IF(AND(I341&lt;&gt;"",LEFT(C341,2)&lt;&gt;"Va",I341&lt;&gt;"H. Sale Real"),IF(I346-I341&lt;0.208333333333333,I346-I341,""),""))))),""),"")</f>
        <v/>
      </c>
      <c r="T345" s="89">
        <f>IF(G345&lt;&gt;"H. Sale Real",IF(AND(G346&lt;&gt;"",LEFT(C346,2)&lt;&gt;"Va"),IF(AND(G345&lt;&gt;"",LEFT(C345,2)&lt;&gt;"Va",G345&lt;&gt;"H. Sale Real"),IF(G346-G345&lt;0.208333333333333,G346-G345,""),IF(AND(G344&lt;&gt;"",LEFT(C344,2)&lt;&gt;"Va",G344&lt;&gt;"H. Sale Real"),IF(G346-G344&lt;0.208333333333333,G346-G344,""),IF(AND(G343&lt;&gt;"",LEFT(C343,2)&lt;&gt;"Va",G343&lt;&gt;"H. Sale Real"),IF(G346-G343&lt;0.208333333333333,G346-G343,""),IF(AND(G342&lt;&gt;"",LEFT(C342,2)&lt;&gt;"Va",G342&lt;&gt;"H. Sale Real"),IF(G346-G342&lt;0.208333333333333,G346-G342,""),IF(AND(G341&lt;&gt;"",LEFT(C341,2)&lt;&gt;"Va",G341&lt;&gt;"H. Sale Real"),IF(G346-G341&lt;0.208333333333333,G346-G341,""),""))))),""),"")</f>
        <v/>
      </c>
      <c r="U345" s="87" t="n"/>
      <c r="V345" s="89" t="n"/>
      <c r="W345" s="87" t="n"/>
      <c r="X345" s="89" t="n"/>
      <c r="Y345" s="91" t="n"/>
      <c r="Z345" s="122">
        <f>IF(G345&lt;&gt;"",IF(AND(Z344&lt;&gt;"IE",P345&lt;&gt;0,R345&lt;&gt;""),IF(IFERROR((P345/R345),0) &lt;=1,IFERROR(P345/R345,""),1),""),"")</f>
        <v/>
      </c>
      <c r="AA345" s="93" t="n"/>
      <c r="AB345" s="2" t="n"/>
      <c r="AE345" s="10">
        <f>HOUR(AK345)+1</f>
        <v/>
      </c>
      <c r="AF345" s="7" t="n"/>
      <c r="AG345" s="7" t="n"/>
      <c r="AH345" s="86" t="n"/>
      <c r="AI345" s="8" t="n"/>
      <c r="AJ345" s="86" t="n"/>
      <c r="AK345" s="87" t="n"/>
      <c r="AL345" s="88">
        <f>IF(AM345="","",IF(AND((AM345-AK345)&gt;=TIME(0,0,0),(AM345-AK345)&lt;TIME(0,3,0)),"OK",IF(AND((AM345-AK345)&gt;=TIME(0,3,0),(AM345-AK345)&lt;TIME(0,5,0)),"RETRASO DE 3-5 MIN",IF(AND((AM345-AK345)&gt;=TIME(0,5,0),(AM345-AK345)&lt;TIME(0,10,0)),"RETRASO DE 5-10 MIN",IF((AM345-AK345)&gt;=TIME(0,10,0),"RETRASO &gt;10 MIN", IF(AND((AK345-AM345)&gt;=TIME(0,0,0),(AK345-AM345)&lt;TIME(0,3,0)),"OK",IF((AK345-AM345)&gt;=TIME(0,3,0),"ADELANTADO")))))))</f>
        <v/>
      </c>
      <c r="AM345" s="91" t="n"/>
      <c r="AN345" s="89">
        <f>IF(AE345&lt;&gt;"",HLOOKUP(VALUE(TEXT(AK345,"h:mm:ss")),IF($C$6="Laboral",$FZ$4:$GX$227,IF($C$6="Sábado",$FZ$231:$GX$452,$FZ$456:$GX$656)),VLOOKUP($C$4,$HF$2:$HH$99,3,0)+IF(AG$5="Ida",0,1),1),"")</f>
        <v/>
      </c>
      <c r="AO345" s="89">
        <f>IF(AE346&lt;&gt;AE345,AVERAGEIF(AE$9:AE345,AE345,AN$9:AN345),"")</f>
        <v/>
      </c>
      <c r="AP345" s="89">
        <f>IFERROR(IF(AE346&lt;&gt;AE345,AVERAGEIF(AE$9:AE345,AE345,AW$9:AW345),""),"")</f>
        <v/>
      </c>
      <c r="AQ345" s="89">
        <f>IFERROR(IF(AE346&lt;&gt;AE345,AVERAGEIF(AE$9:AE345,AE345,AX$9:AX345),""),"")</f>
        <v/>
      </c>
      <c r="AR345" s="89">
        <f t="array" ref="AR345">IFERROR(IF(AE346&lt;&gt;AE345,_xlfn.STDEV.P(IF(AE$9:AE345=AE345,AX$9:AX345)),""),"")</f>
        <v/>
      </c>
      <c r="AS345" s="89">
        <f t="array" ref="AS345">IFERROR(IF(AE346&lt;&gt;AE345,_xlfn.STDEV.P(IF(AE$9:AE345=AE345,AW$9:AW345)),""),"")</f>
        <v/>
      </c>
      <c r="AT345" s="90">
        <f>IFERROR(IF(AE345&lt;&gt;AE346,MAX((((AQ345*24*60)/2)*(1+POWER((((AR345*24*60) / (AQ345*24*60) )),2))) + ((AQ345*24*60 )*-0.1 + (AO345*0.015)) +1,(((AQ345*24*60)/2)*(1+POWER((((AR345*24*60) / (AQ345*24*60 ))),2)))),""),"")</f>
        <v/>
      </c>
      <c r="AU345" s="90">
        <f>IF(AND(AS345&lt;&gt;"",AP345&lt;&gt;""),IF(AE345&lt;&gt;AE346,((AP345*24*60) / 2 ) * (1 + POWER(((AS345*24*60) / (AP345*24*60)),2)),""),"")</f>
        <v/>
      </c>
      <c r="AV345" s="90">
        <f>IF(AU345&lt;&gt;"",MAX(AT345,AU345),"")</f>
        <v/>
      </c>
      <c r="AW345" s="89">
        <f>IF(AM345&lt;&gt;"H. Sale Real",IF(AND(AM346&lt;&gt;"",LEFT(AG346,2)&lt;&gt;"Va"),IF(AND(AM345&lt;&gt;"",LEFT(AG345,2)&lt;&gt;"Va",AM345&lt;&gt;"H. Sale Real"),IF(AM346-AM345&lt;0.208333333333333,AM346-AM345,""),IF(AND(AM344&lt;&gt;"",LEFT(AG344,2)&lt;&gt;"Va",AM344&lt;&gt;"H. Sale Real"),IF(AM346-AM344&lt;0.208333333333333,AM346-AM344,""),IF(AND(AM343&lt;&gt;"",LEFT(AG343,2)&lt;&gt;"Va",AM343&lt;&gt;"H. Sale Real"),IF(AM346-AM343&lt;0.208333333333333,AM346-AM343,""),IF(AND(AM342&lt;&gt;"",LEFT(AG342,2)&lt;&gt;"Va",AM342&lt;&gt;"H. Sale Real"),IF(AM346-AM342&lt;0.208333333333333,AM346-AM342,""),IF(AND(AM341&lt;&gt;"",LEFT(AG341,2)&lt;&gt;"Va",AM341&lt;&gt;"H. Sale Real"),IF(AM346-AM341&lt;0.208333333333333,AM346-AM341,""),""))))),""),"")</f>
        <v/>
      </c>
      <c r="AX345" s="89">
        <f>IF(AK345&lt;&gt;"H. Sale Real",IF(AND(AK346&lt;&gt;"",LEFT(AG346,2)&lt;&gt;"Va"),IF(AND(AK345&lt;&gt;"",LEFT(AG345,2)&lt;&gt;"Va",AK345&lt;&gt;"H. Sale Real"),IF(AK346-AK345&lt;0.208333333333333,AK346-AK345,""),IF(AND(AK344&lt;&gt;"",LEFT(AG344,2)&lt;&gt;"Va",AK344&lt;&gt;"H. Sale Real"),IF(AK346-AK344&lt;0.208333333333333,AK346-AK344,""),IF(AND(AK343&lt;&gt;"",LEFT(AG343,2)&lt;&gt;"NC",AK343&lt;&gt;"H. Sale Real"),IF(AK346-AK343&lt;0.208333333333333,AK346-AK343,""),IF(AND(AK342&lt;&gt;"",LEFT(AG342,2)&lt;&gt;"Va",AK342&lt;&gt;"H. Sale Real"),IF(AK346-AK342&lt;0.208333333333333,AK346-AK342,""),IF(AND(AK341&lt;&gt;"",LEFT(AG341,2)&lt;&gt;"Va",AK341&lt;&gt;"H. Sale Real"),IF(AK346-AK341&lt;0.208333333333333,AK346-AK341,""),""))))),""),"")</f>
        <v/>
      </c>
      <c r="AY345" s="87" t="n"/>
      <c r="AZ345" s="89" t="n"/>
      <c r="BA345" s="87" t="n"/>
      <c r="BB345" s="89" t="n"/>
      <c r="BC345" s="91" t="n"/>
      <c r="BD345" s="122">
        <f>IF(AK345&lt;&gt;"",IF(AND(BD344&lt;&gt;"IE",AT345&lt;&gt;0,AV345&lt;&gt;""),IF(IFERROR((AT345/AV345),0) &lt;=1,IFERROR(AT345/AV345,""),1),""),"")</f>
        <v/>
      </c>
      <c r="BE345" s="93" t="n"/>
      <c r="BF345" s="105" t="n"/>
      <c r="FC345" t="inlineStr">
        <is>
          <t>Diccionario 1</t>
        </is>
      </c>
      <c r="FD345" s="15" t="n">
        <v>1344</v>
      </c>
      <c r="FE345" s="15" t="inlineStr">
        <is>
          <t>MDN35025020037</t>
        </is>
      </c>
      <c r="FF345" s="15" t="inlineStr">
        <is>
          <t>LDYECS310S0044070</t>
        </is>
      </c>
      <c r="FG345" s="15" t="inlineStr">
        <is>
          <t>Zhong Tong</t>
        </is>
      </c>
      <c r="FH345" s="15" t="inlineStr">
        <is>
          <t>Lck6122evg</t>
        </is>
      </c>
      <c r="FI345" s="15" t="inlineStr">
        <is>
          <t>ZHONGTONG</t>
        </is>
      </c>
      <c r="FJ345" s="15" t="inlineStr">
        <is>
          <t>LCK6122EVG</t>
        </is>
      </c>
      <c r="FK345" s="15" t="n">
        <v>2025</v>
      </c>
      <c r="FL345" s="15" t="inlineStr">
        <is>
          <t>B</t>
        </is>
      </c>
      <c r="FM345" s="15" t="inlineStr">
        <is>
          <t>PIE ANDINO</t>
        </is>
      </c>
      <c r="FN345" s="15" t="inlineStr">
        <is>
          <t>Pie Andino 31 (Pie Andino 383)</t>
        </is>
      </c>
      <c r="FO345" s="15" t="inlineStr">
        <is>
          <t>Puente Alto</t>
        </is>
      </c>
      <c r="FP345" t="inlineStr">
        <is>
          <t>B</t>
        </is>
      </c>
      <c r="FS345" s="14" t="inlineStr">
        <is>
          <t>3092 / SFWZ-67|</t>
        </is>
      </c>
      <c r="FT345" t="inlineStr">
        <is>
          <t>SFWZ-67|</t>
        </is>
      </c>
      <c r="FU345" t="inlineStr">
        <is>
          <t>SFWZ-67</t>
        </is>
      </c>
      <c r="FV345">
        <f>VLOOKUP(FU345,FD:FL,9,0)</f>
        <v/>
      </c>
      <c r="HA345" s="35" t="n">
        <v>115</v>
      </c>
      <c r="HB345" s="35" t="n">
        <v>339</v>
      </c>
    </row>
    <row r="346" ht="15.5" customHeight="1">
      <c r="A346" s="10">
        <f>HOUR(G346)+1</f>
        <v/>
      </c>
      <c r="B346" s="7" t="n"/>
      <c r="C346" s="7" t="n"/>
      <c r="D346" s="85">
        <f>IFERROR(
IF(AND(OR(Planilla!B346="C",Planilla!B346="c"), VLOOKUP(E346,FD:FP,13,0)="C"), "OK",IF(AND(OR(Planilla!B346="C",Planilla!B346="c"), OR(VLOOKUP(E346,FD:FP,13,0)="B", VLOOKUP(E346,FD:FP,13,0)="A")), "DEFICIT",IF(
AND(OR(Planilla!B346="B", Planilla!B346="BPAL"), VLOOKUP(E346,FD:FP,13,0)="B"), "OK",IF(AND(OR(Planilla!B346="B", Planilla!B346="BPAL"), VLOOKUP(E346,FD:FP,13,0)="A"), "DEFICIT",IF(AND(OR(Planilla!B346="B", Planilla!B346="BPAL"), VLOOKUP(E346,FD:FP,13,0)="C"), "SOBREOFERTA",IF(AND(Planilla!B346="A", VLOOKUP(E346,FD:FP,13,0)="A"), "OK",IF(
AND(Planilla!B346="A", OR(VLOOKUP(E346,FD:FP,13,0)="B", VLOOKUP(E346,FD:FP,13,0)="C")), "SOBREOFERTA",""
))))))),"")</f>
        <v/>
      </c>
      <c r="E346" s="8" t="n"/>
      <c r="F346" s="86" t="n"/>
      <c r="G346" s="87" t="n"/>
      <c r="H346" s="88">
        <f>IF(I346="","",IF(AND((I346-G346)&gt;=TIME(0,0,0),(I346-G346)&lt;TIME(0,3,0)),"OK",IF(AND((I346-G346)&gt;=TIME(0,3,0),(I346-G346)&lt;TIME(0,5,0)),"RETRASO DE 3-5 MIN",IF(AND((I346-G346)&gt;=TIME(0,5,0),(I346-G346)&lt;TIME(0,10,0)),"RETRASO DE 5-10 MIN",IF((I346-G346)&gt;=TIME(0,10,0),"RETRASO &gt;10 MIN", IF(AND((G346-I346)&gt;=TIME(0,0,0),(G346-I346)&lt;TIME(0,3,0)),"OK",IF((G346-I346)&gt;=TIME(0,3,0),"ADELANTADO")))))))</f>
        <v/>
      </c>
      <c r="I346" s="89" t="n"/>
      <c r="J346" s="89">
        <f>IF(A346&lt;&gt;"",HLOOKUP(VALUE(TEXT(G346,"h:mm:ss")),IF($C$6="Laboral",$FZ$4:$GX$227,IF($C$6="Sábado",$FZ$231:$GX$452,$FZ$456:$GX$656)),VLOOKUP($C$4,$HF$2:$HH$99,3,0)+IF(C$5="Ida",0,1),1),"")</f>
        <v/>
      </c>
      <c r="K346" s="89">
        <f>IF(A347&lt;&gt;A346,AVERAGEIF(A$9:A346,A346,J$9:J346),"")</f>
        <v/>
      </c>
      <c r="L346" s="89">
        <f>IFERROR(IF(A347&lt;&gt;A346,AVERAGEIF(A$9:A346,A346,S$9:S346),""),"")</f>
        <v/>
      </c>
      <c r="M346" s="89">
        <f>IFERROR(IF(A347&lt;&gt;A346,AVERAGEIF(A$9:A346,A346,T$9:T346),""),"")</f>
        <v/>
      </c>
      <c r="N346" s="89">
        <f t="array" ref="N346">IFERROR(IF(A347&lt;&gt;A346,_xlfn.STDEV.P(IF(A$9:A346=A346,T$9:T346)),""),"")</f>
        <v/>
      </c>
      <c r="O346" s="89">
        <f t="array" ref="O346">IFERROR(IF(A347&lt;&gt;A346,_xlfn.STDEV.P(IF(A$9:A346=A346,S$9:S346)),""),"")</f>
        <v/>
      </c>
      <c r="P346" s="90">
        <f>IFERROR(IF(A346&lt;&gt;A347,MAX((((M346*24*60)/2)*(1+POWER((((N346*24*60) / (M346*24*60) )),2))) + ((M346*24*60 )*-0.1 + (K346*0.015)) +1,(((M346*24*60)/2)*(1+POWER((((N346*24*60) / (M346*24*60 ))),2)))),""),"")</f>
        <v/>
      </c>
      <c r="Q346" s="90">
        <f>IF(AND(O346&lt;&gt;"",L346&lt;&gt;""),IF(A346&lt;&gt;A347,((L346*24*60) / 2 ) * (1 + POWER(((O346*24*60) / (L346*24*60)),2)),""),"")</f>
        <v/>
      </c>
      <c r="R346" s="90">
        <f>IF(Q346&lt;&gt;"",MAX(P346,Q346),"")</f>
        <v/>
      </c>
      <c r="S346" s="89">
        <f>IF(I346&lt;&gt;"H. Sale Real",IF(AND(I347&lt;&gt;"",LEFT(C347,2)&lt;&gt;"Va"),IF(AND(I346&lt;&gt;"",LEFT(C346,2)&lt;&gt;"Va",I346&lt;&gt;"H. Sale Real"),IF(I347-I346&lt;0.208333333333333,I347-I346,""),IF(AND(I345&lt;&gt;"",LEFT(C345,2)&lt;&gt;"Va",I345&lt;&gt;"H. Sale Real"),IF(I347-I345&lt;0.208333333333333,I347-I345,""),IF(AND(I344&lt;&gt;"",LEFT(C344,2)&lt;&gt;"Va",I344&lt;&gt;"H. Sale Real"),IF(I347-I344&lt;0.208333333333333,I347-I344,""),IF(AND(I343&lt;&gt;"",LEFT(C343,2)&lt;&gt;"Va",I343&lt;&gt;"H. Sale Real"),IF(I347-I343&lt;0.208333333333333,I347-I343,""),IF(AND(I342&lt;&gt;"",LEFT(C342,2)&lt;&gt;"Va",I342&lt;&gt;"H. Sale Real"),IF(I347-I342&lt;0.208333333333333,I347-I342,""),""))))),""),"")</f>
        <v/>
      </c>
      <c r="T346" s="89">
        <f>IF(G346&lt;&gt;"H. Sale Real",IF(AND(G347&lt;&gt;"",LEFT(C347,2)&lt;&gt;"Va"),IF(AND(G346&lt;&gt;"",LEFT(C346,2)&lt;&gt;"Va",G346&lt;&gt;"H. Sale Real"),IF(G347-G346&lt;0.208333333333333,G347-G346,""),IF(AND(G345&lt;&gt;"",LEFT(C345,2)&lt;&gt;"Va",G345&lt;&gt;"H. Sale Real"),IF(G347-G345&lt;0.208333333333333,G347-G345,""),IF(AND(G344&lt;&gt;"",LEFT(C344,2)&lt;&gt;"Va",G344&lt;&gt;"H. Sale Real"),IF(G347-G344&lt;0.208333333333333,G347-G344,""),IF(AND(G343&lt;&gt;"",LEFT(C343,2)&lt;&gt;"Va",G343&lt;&gt;"H. Sale Real"),IF(G347-G343&lt;0.208333333333333,G347-G343,""),IF(AND(G342&lt;&gt;"",LEFT(C342,2)&lt;&gt;"Va",G342&lt;&gt;"H. Sale Real"),IF(G347-G342&lt;0.208333333333333,G347-G342,""),""))))),""),"")</f>
        <v/>
      </c>
      <c r="U346" s="87" t="n"/>
      <c r="V346" s="89" t="n"/>
      <c r="W346" s="87" t="n"/>
      <c r="X346" s="89" t="n"/>
      <c r="Y346" s="91" t="n"/>
      <c r="Z346" s="122">
        <f>IF(G346&lt;&gt;"",IF(AND(Z345&lt;&gt;"IE",P346&lt;&gt;0,R346&lt;&gt;""),IF(IFERROR((P346/R346),0) &lt;=1,IFERROR(P346/R346,""),1),""),"")</f>
        <v/>
      </c>
      <c r="AA346" s="93" t="n"/>
      <c r="AB346" s="2" t="n"/>
      <c r="AE346" s="10">
        <f>HOUR(AK346)+1</f>
        <v/>
      </c>
      <c r="AF346" s="7" t="n"/>
      <c r="AG346" s="7" t="n"/>
      <c r="AH346" s="86" t="n"/>
      <c r="AI346" s="8" t="n"/>
      <c r="AJ346" s="86" t="n"/>
      <c r="AK346" s="87" t="n"/>
      <c r="AL346" s="88">
        <f>IF(AM346="","",IF(AND((AM346-AK346)&gt;=TIME(0,0,0),(AM346-AK346)&lt;TIME(0,3,0)),"OK",IF(AND((AM346-AK346)&gt;=TIME(0,3,0),(AM346-AK346)&lt;TIME(0,5,0)),"RETRASO DE 3-5 MIN",IF(AND((AM346-AK346)&gt;=TIME(0,5,0),(AM346-AK346)&lt;TIME(0,10,0)),"RETRASO DE 5-10 MIN",IF((AM346-AK346)&gt;=TIME(0,10,0),"RETRASO &gt;10 MIN", IF(AND((AK346-AM346)&gt;=TIME(0,0,0),(AK346-AM346)&lt;TIME(0,3,0)),"OK",IF((AK346-AM346)&gt;=TIME(0,3,0),"ADELANTADO")))))))</f>
        <v/>
      </c>
      <c r="AM346" s="91" t="n"/>
      <c r="AN346" s="89">
        <f>IF(AE346&lt;&gt;"",HLOOKUP(VALUE(TEXT(AK346,"h:mm:ss")),IF($C$6="Laboral",$FZ$4:$GX$227,IF($C$6="Sábado",$FZ$231:$GX$452,$FZ$456:$GX$656)),VLOOKUP($C$4,$HF$2:$HH$99,3,0)+IF(AG$5="Ida",0,1),1),"")</f>
        <v/>
      </c>
      <c r="AO346" s="89">
        <f>IF(AE347&lt;&gt;AE346,AVERAGEIF(AE$9:AE346,AE346,AN$9:AN346),"")</f>
        <v/>
      </c>
      <c r="AP346" s="89">
        <f>IFERROR(IF(AE347&lt;&gt;AE346,AVERAGEIF(AE$9:AE346,AE346,AW$9:AW346),""),"")</f>
        <v/>
      </c>
      <c r="AQ346" s="89">
        <f>IFERROR(IF(AE347&lt;&gt;AE346,AVERAGEIF(AE$9:AE346,AE346,AX$9:AX346),""),"")</f>
        <v/>
      </c>
      <c r="AR346" s="89">
        <f t="array" ref="AR346">IFERROR(IF(AE347&lt;&gt;AE346,_xlfn.STDEV.P(IF(AE$9:AE346=AE346,AX$9:AX346)),""),"")</f>
        <v/>
      </c>
      <c r="AS346" s="89">
        <f t="array" ref="AS346">IFERROR(IF(AE347&lt;&gt;AE346,_xlfn.STDEV.P(IF(AE$9:AE346=AE346,AW$9:AW346)),""),"")</f>
        <v/>
      </c>
      <c r="AT346" s="90">
        <f>IFERROR(IF(AE346&lt;&gt;AE347,MAX((((AQ346*24*60)/2)*(1+POWER((((AR346*24*60) / (AQ346*24*60) )),2))) + ((AQ346*24*60 )*-0.1 + (AO346*0.015)) +1,(((AQ346*24*60)/2)*(1+POWER((((AR346*24*60) / (AQ346*24*60 ))),2)))),""),"")</f>
        <v/>
      </c>
      <c r="AU346" s="90">
        <f>IF(AND(AS346&lt;&gt;"",AP346&lt;&gt;""),IF(AE346&lt;&gt;AE347,((AP346*24*60) / 2 ) * (1 + POWER(((AS346*24*60) / (AP346*24*60)),2)),""),"")</f>
        <v/>
      </c>
      <c r="AV346" s="90">
        <f>IF(AU346&lt;&gt;"",MAX(AT346,AU346),"")</f>
        <v/>
      </c>
      <c r="AW346" s="89">
        <f>IF(AM346&lt;&gt;"H. Sale Real",IF(AND(AM347&lt;&gt;"",LEFT(AG347,2)&lt;&gt;"Va"),IF(AND(AM346&lt;&gt;"",LEFT(AG346,2)&lt;&gt;"Va",AM346&lt;&gt;"H. Sale Real"),IF(AM347-AM346&lt;0.208333333333333,AM347-AM346,""),IF(AND(AM345&lt;&gt;"",LEFT(AG345,2)&lt;&gt;"Va",AM345&lt;&gt;"H. Sale Real"),IF(AM347-AM345&lt;0.208333333333333,AM347-AM345,""),IF(AND(AM344&lt;&gt;"",LEFT(AG344,2)&lt;&gt;"Va",AM344&lt;&gt;"H. Sale Real"),IF(AM347-AM344&lt;0.208333333333333,AM347-AM344,""),IF(AND(AM343&lt;&gt;"",LEFT(AG343,2)&lt;&gt;"Va",AM343&lt;&gt;"H. Sale Real"),IF(AM347-AM343&lt;0.208333333333333,AM347-AM343,""),IF(AND(AM342&lt;&gt;"",LEFT(AG342,2)&lt;&gt;"Va",AM342&lt;&gt;"H. Sale Real"),IF(AM347-AM342&lt;0.208333333333333,AM347-AM342,""),""))))),""),"")</f>
        <v/>
      </c>
      <c r="AX346" s="89">
        <f>IF(AK346&lt;&gt;"H. Sale Real",IF(AND(AK347&lt;&gt;"",LEFT(AG347,2)&lt;&gt;"Va"),IF(AND(AK346&lt;&gt;"",LEFT(AG346,2)&lt;&gt;"Va",AK346&lt;&gt;"H. Sale Real"),IF(AK347-AK346&lt;0.208333333333333,AK347-AK346,""),IF(AND(AK345&lt;&gt;"",LEFT(AG345,2)&lt;&gt;"Va",AK345&lt;&gt;"H. Sale Real"),IF(AK347-AK345&lt;0.208333333333333,AK347-AK345,""),IF(AND(AK344&lt;&gt;"",LEFT(AG344,2)&lt;&gt;"NC",AK344&lt;&gt;"H. Sale Real"),IF(AK347-AK344&lt;0.208333333333333,AK347-AK344,""),IF(AND(AK343&lt;&gt;"",LEFT(AG343,2)&lt;&gt;"Va",AK343&lt;&gt;"H. Sale Real"),IF(AK347-AK343&lt;0.208333333333333,AK347-AK343,""),IF(AND(AK342&lt;&gt;"",LEFT(AG342,2)&lt;&gt;"Va",AK342&lt;&gt;"H. Sale Real"),IF(AK347-AK342&lt;0.208333333333333,AK347-AK342,""),""))))),""),"")</f>
        <v/>
      </c>
      <c r="AY346" s="87" t="n"/>
      <c r="AZ346" s="89" t="n"/>
      <c r="BA346" s="87" t="n"/>
      <c r="BB346" s="89" t="n"/>
      <c r="BC346" s="91" t="n"/>
      <c r="BD346" s="122">
        <f>IF(AK346&lt;&gt;"",IF(AND(BD345&lt;&gt;"IE",AT346&lt;&gt;0,AV346&lt;&gt;""),IF(IFERROR((AT346/AV346),0) &lt;=1,IFERROR(AT346/AV346,""),1),""),"")</f>
        <v/>
      </c>
      <c r="BE346" s="93" t="n"/>
      <c r="BF346" s="105" t="n"/>
      <c r="FC346" t="inlineStr">
        <is>
          <t>Diccionario 1</t>
        </is>
      </c>
      <c r="FD346" s="15" t="n">
        <v>1345</v>
      </c>
      <c r="FE346" s="15" t="inlineStr">
        <is>
          <t>MDN35025020023</t>
        </is>
      </c>
      <c r="FF346" s="15" t="inlineStr">
        <is>
          <t>LDYECS310S0044067</t>
        </is>
      </c>
      <c r="FG346" s="15" t="inlineStr">
        <is>
          <t>Zhong Tong</t>
        </is>
      </c>
      <c r="FH346" s="15" t="inlineStr">
        <is>
          <t>Lck6122evg</t>
        </is>
      </c>
      <c r="FI346" s="15" t="inlineStr">
        <is>
          <t>ZHONGTONG</t>
        </is>
      </c>
      <c r="FJ346" s="15" t="inlineStr">
        <is>
          <t>LCK6122EVG</t>
        </is>
      </c>
      <c r="FK346" s="15" t="n">
        <v>2025</v>
      </c>
      <c r="FL346" s="15" t="inlineStr">
        <is>
          <t>B</t>
        </is>
      </c>
      <c r="FM346" s="15" t="inlineStr">
        <is>
          <t>PIE ANDINO</t>
        </is>
      </c>
      <c r="FN346" s="15" t="inlineStr">
        <is>
          <t>Pie Andino 31 (Pie Andino 383)</t>
        </is>
      </c>
      <c r="FO346" s="15" t="inlineStr">
        <is>
          <t>Puente Alto</t>
        </is>
      </c>
      <c r="FP346" t="inlineStr">
        <is>
          <t>B</t>
        </is>
      </c>
      <c r="FS346" s="14" t="inlineStr">
        <is>
          <t>3092 / SFWZ-67|</t>
        </is>
      </c>
      <c r="FT346" t="inlineStr">
        <is>
          <t>SFWZ-67|</t>
        </is>
      </c>
      <c r="FU346" t="inlineStr">
        <is>
          <t>SFWZ-67</t>
        </is>
      </c>
      <c r="FV346">
        <f>VLOOKUP(FU346,FD:FL,9,0)</f>
        <v/>
      </c>
      <c r="HA346" s="35" t="n">
        <v>116</v>
      </c>
      <c r="HB346" s="35" t="n">
        <v>340</v>
      </c>
    </row>
    <row r="347" ht="15.5" customHeight="1">
      <c r="A347" s="10">
        <f>HOUR(G347)+1</f>
        <v/>
      </c>
      <c r="B347" s="7" t="n"/>
      <c r="C347" s="7" t="n"/>
      <c r="D347" s="85">
        <f>IFERROR(
IF(AND(OR(Planilla!B347="C",Planilla!B347="c"), VLOOKUP(E347,FD:FP,13,0)="C"), "OK",IF(AND(OR(Planilla!B347="C",Planilla!B347="c"), OR(VLOOKUP(E347,FD:FP,13,0)="B", VLOOKUP(E347,FD:FP,13,0)="A")), "DEFICIT",IF(
AND(OR(Planilla!B347="B", Planilla!B347="BPAL"), VLOOKUP(E347,FD:FP,13,0)="B"), "OK",IF(AND(OR(Planilla!B347="B", Planilla!B347="BPAL"), VLOOKUP(E347,FD:FP,13,0)="A"), "DEFICIT",IF(AND(OR(Planilla!B347="B", Planilla!B347="BPAL"), VLOOKUP(E347,FD:FP,13,0)="C"), "SOBREOFERTA",IF(AND(Planilla!B347="A", VLOOKUP(E347,FD:FP,13,0)="A"), "OK",IF(
AND(Planilla!B347="A", OR(VLOOKUP(E347,FD:FP,13,0)="B", VLOOKUP(E347,FD:FP,13,0)="C")), "SOBREOFERTA",""
))))))),"")</f>
        <v/>
      </c>
      <c r="E347" s="8" t="n"/>
      <c r="F347" s="86" t="n"/>
      <c r="G347" s="87" t="n"/>
      <c r="H347" s="88">
        <f>IF(I347="","",IF(AND((I347-G347)&gt;=TIME(0,0,0),(I347-G347)&lt;TIME(0,3,0)),"OK",IF(AND((I347-G347)&gt;=TIME(0,3,0),(I347-G347)&lt;TIME(0,5,0)),"RETRASO DE 3-5 MIN",IF(AND((I347-G347)&gt;=TIME(0,5,0),(I347-G347)&lt;TIME(0,10,0)),"RETRASO DE 5-10 MIN",IF((I347-G347)&gt;=TIME(0,10,0),"RETRASO &gt;10 MIN", IF(AND((G347-I347)&gt;=TIME(0,0,0),(G347-I347)&lt;TIME(0,3,0)),"OK",IF((G347-I347)&gt;=TIME(0,3,0),"ADELANTADO")))))))</f>
        <v/>
      </c>
      <c r="I347" s="89" t="n"/>
      <c r="J347" s="89">
        <f>IF(A347&lt;&gt;"",HLOOKUP(VALUE(TEXT(G347,"h:mm:ss")),IF($C$6="Laboral",$FZ$4:$GX$227,IF($C$6="Sábado",$FZ$231:$GX$452,$FZ$456:$GX$656)),VLOOKUP($C$4,$HF$2:$HH$99,3,0)+IF(C$5="Ida",0,1),1),"")</f>
        <v/>
      </c>
      <c r="K347" s="89">
        <f>IF(A348&lt;&gt;A347,AVERAGEIF(A$9:A347,A347,J$9:J347),"")</f>
        <v/>
      </c>
      <c r="L347" s="89">
        <f>IFERROR(IF(A348&lt;&gt;A347,AVERAGEIF(A$9:A347,A347,S$9:S347),""),"")</f>
        <v/>
      </c>
      <c r="M347" s="89">
        <f>IFERROR(IF(A348&lt;&gt;A347,AVERAGEIF(A$9:A347,A347,T$9:T347),""),"")</f>
        <v/>
      </c>
      <c r="N347" s="89">
        <f t="array" ref="N347">IFERROR(IF(A348&lt;&gt;A347,_xlfn.STDEV.P(IF(A$9:A347=A347,T$9:T347)),""),"")</f>
        <v/>
      </c>
      <c r="O347" s="89">
        <f t="array" ref="O347">IFERROR(IF(A348&lt;&gt;A347,_xlfn.STDEV.P(IF(A$9:A347=A347,S$9:S347)),""),"")</f>
        <v/>
      </c>
      <c r="P347" s="90">
        <f>IFERROR(IF(A347&lt;&gt;A348,MAX((((M347*24*60)/2)*(1+POWER((((N347*24*60) / (M347*24*60) )),2))) + ((M347*24*60 )*-0.1 + (K347*0.015)) +1,(((M347*24*60)/2)*(1+POWER((((N347*24*60) / (M347*24*60 ))),2)))),""),"")</f>
        <v/>
      </c>
      <c r="Q347" s="90">
        <f>IF(AND(O347&lt;&gt;"",L347&lt;&gt;""),IF(A347&lt;&gt;A348,((L347*24*60) / 2 ) * (1 + POWER(((O347*24*60) / (L347*24*60)),2)),""),"")</f>
        <v/>
      </c>
      <c r="R347" s="90">
        <f>IF(Q347&lt;&gt;"",MAX(P347,Q347),"")</f>
        <v/>
      </c>
      <c r="S347" s="89">
        <f>IF(I347&lt;&gt;"H. Sale Real",IF(AND(I348&lt;&gt;"",LEFT(C348,2)&lt;&gt;"Va"),IF(AND(I347&lt;&gt;"",LEFT(C347,2)&lt;&gt;"Va",I347&lt;&gt;"H. Sale Real"),IF(I348-I347&lt;0.208333333333333,I348-I347,""),IF(AND(I346&lt;&gt;"",LEFT(C346,2)&lt;&gt;"Va",I346&lt;&gt;"H. Sale Real"),IF(I348-I346&lt;0.208333333333333,I348-I346,""),IF(AND(I345&lt;&gt;"",LEFT(C345,2)&lt;&gt;"Va",I345&lt;&gt;"H. Sale Real"),IF(I348-I345&lt;0.208333333333333,I348-I345,""),IF(AND(I344&lt;&gt;"",LEFT(C344,2)&lt;&gt;"Va",I344&lt;&gt;"H. Sale Real"),IF(I348-I344&lt;0.208333333333333,I348-I344,""),IF(AND(I343&lt;&gt;"",LEFT(C343,2)&lt;&gt;"Va",I343&lt;&gt;"H. Sale Real"),IF(I348-I343&lt;0.208333333333333,I348-I343,""),""))))),""),"")</f>
        <v/>
      </c>
      <c r="T347" s="89">
        <f>IF(G347&lt;&gt;"H. Sale Real",IF(AND(G348&lt;&gt;"",LEFT(C348,2)&lt;&gt;"Va"),IF(AND(G347&lt;&gt;"",LEFT(C347,2)&lt;&gt;"Va",G347&lt;&gt;"H. Sale Real"),IF(G348-G347&lt;0.208333333333333,G348-G347,""),IF(AND(G346&lt;&gt;"",LEFT(C346,2)&lt;&gt;"Va",G346&lt;&gt;"H. Sale Real"),IF(G348-G346&lt;0.208333333333333,G348-G346,""),IF(AND(G345&lt;&gt;"",LEFT(C345,2)&lt;&gt;"Va",G345&lt;&gt;"H. Sale Real"),IF(G348-G345&lt;0.208333333333333,G348-G345,""),IF(AND(G344&lt;&gt;"",LEFT(C344,2)&lt;&gt;"Va",G344&lt;&gt;"H. Sale Real"),IF(G348-G344&lt;0.208333333333333,G348-G344,""),IF(AND(G343&lt;&gt;"",LEFT(C343,2)&lt;&gt;"Va",G343&lt;&gt;"H. Sale Real"),IF(G348-G343&lt;0.208333333333333,G348-G343,""),""))))),""),"")</f>
        <v/>
      </c>
      <c r="U347" s="87" t="n"/>
      <c r="V347" s="89" t="n"/>
      <c r="W347" s="87" t="n"/>
      <c r="X347" s="89" t="n"/>
      <c r="Y347" s="91" t="n"/>
      <c r="Z347" s="122">
        <f>IF(G347&lt;&gt;"",IF(AND(Z346&lt;&gt;"IE",P347&lt;&gt;0,R347&lt;&gt;""),IF(IFERROR((P347/R347),0) &lt;=1,IFERROR(P347/R347,""),1),""),"")</f>
        <v/>
      </c>
      <c r="AA347" s="93" t="n"/>
      <c r="AB347" s="2" t="n"/>
      <c r="AE347" s="10">
        <f>HOUR(AK347)+1</f>
        <v/>
      </c>
      <c r="AF347" s="7" t="n"/>
      <c r="AG347" s="7" t="n"/>
      <c r="AH347" s="86" t="n"/>
      <c r="AI347" s="8" t="n"/>
      <c r="AJ347" s="86" t="n"/>
      <c r="AK347" s="87" t="n"/>
      <c r="AL347" s="88">
        <f>IF(AM347="","",IF(AND((AM347-AK347)&gt;=TIME(0,0,0),(AM347-AK347)&lt;TIME(0,3,0)),"OK",IF(AND((AM347-AK347)&gt;=TIME(0,3,0),(AM347-AK347)&lt;TIME(0,5,0)),"RETRASO DE 3-5 MIN",IF(AND((AM347-AK347)&gt;=TIME(0,5,0),(AM347-AK347)&lt;TIME(0,10,0)),"RETRASO DE 5-10 MIN",IF((AM347-AK347)&gt;=TIME(0,10,0),"RETRASO &gt;10 MIN", IF(AND((AK347-AM347)&gt;=TIME(0,0,0),(AK347-AM347)&lt;TIME(0,3,0)),"OK",IF((AK347-AM347)&gt;=TIME(0,3,0),"ADELANTADO")))))))</f>
        <v/>
      </c>
      <c r="AM347" s="91" t="n"/>
      <c r="AN347" s="89">
        <f>IF(AE347&lt;&gt;"",HLOOKUP(VALUE(TEXT(AK347,"h:mm:ss")),IF($C$6="Laboral",$FZ$4:$GX$227,IF($C$6="Sábado",$FZ$231:$GX$452,$FZ$456:$GX$656)),VLOOKUP($C$4,$HF$2:$HH$99,3,0)+IF(AG$5="Ida",0,1),1),"")</f>
        <v/>
      </c>
      <c r="AO347" s="89">
        <f>IF(AE348&lt;&gt;AE347,AVERAGEIF(AE$9:AE347,AE347,AN$9:AN347),"")</f>
        <v/>
      </c>
      <c r="AP347" s="89">
        <f>IFERROR(IF(AE348&lt;&gt;AE347,AVERAGEIF(AE$9:AE347,AE347,AW$9:AW347),""),"")</f>
        <v/>
      </c>
      <c r="AQ347" s="89">
        <f>IFERROR(IF(AE348&lt;&gt;AE347,AVERAGEIF(AE$9:AE347,AE347,AX$9:AX347),""),"")</f>
        <v/>
      </c>
      <c r="AR347" s="89">
        <f t="array" ref="AR347">IFERROR(IF(AE348&lt;&gt;AE347,_xlfn.STDEV.P(IF(AE$9:AE347=AE347,AX$9:AX347)),""),"")</f>
        <v/>
      </c>
      <c r="AS347" s="89">
        <f t="array" ref="AS347">IFERROR(IF(AE348&lt;&gt;AE347,_xlfn.STDEV.P(IF(AE$9:AE347=AE347,AW$9:AW347)),""),"")</f>
        <v/>
      </c>
      <c r="AT347" s="90">
        <f>IFERROR(IF(AE347&lt;&gt;AE348,MAX((((AQ347*24*60)/2)*(1+POWER((((AR347*24*60) / (AQ347*24*60) )),2))) + ((AQ347*24*60 )*-0.1 + (AO347*0.015)) +1,(((AQ347*24*60)/2)*(1+POWER((((AR347*24*60) / (AQ347*24*60 ))),2)))),""),"")</f>
        <v/>
      </c>
      <c r="AU347" s="90">
        <f>IF(AND(AS347&lt;&gt;"",AP347&lt;&gt;""),IF(AE347&lt;&gt;AE348,((AP347*24*60) / 2 ) * (1 + POWER(((AS347*24*60) / (AP347*24*60)),2)),""),"")</f>
        <v/>
      </c>
      <c r="AV347" s="90">
        <f>IF(AU347&lt;&gt;"",MAX(AT347,AU347),"")</f>
        <v/>
      </c>
      <c r="AW347" s="89">
        <f>IF(AM347&lt;&gt;"H. Sale Real",IF(AND(AM348&lt;&gt;"",LEFT(AG348,2)&lt;&gt;"Va"),IF(AND(AM347&lt;&gt;"",LEFT(AG347,2)&lt;&gt;"Va",AM347&lt;&gt;"H. Sale Real"),IF(AM348-AM347&lt;0.208333333333333,AM348-AM347,""),IF(AND(AM346&lt;&gt;"",LEFT(AG346,2)&lt;&gt;"Va",AM346&lt;&gt;"H. Sale Real"),IF(AM348-AM346&lt;0.208333333333333,AM348-AM346,""),IF(AND(AM345&lt;&gt;"",LEFT(AG345,2)&lt;&gt;"Va",AM345&lt;&gt;"H. Sale Real"),IF(AM348-AM345&lt;0.208333333333333,AM348-AM345,""),IF(AND(AM344&lt;&gt;"",LEFT(AG344,2)&lt;&gt;"Va",AM344&lt;&gt;"H. Sale Real"),IF(AM348-AM344&lt;0.208333333333333,AM348-AM344,""),IF(AND(AM343&lt;&gt;"",LEFT(AG343,2)&lt;&gt;"Va",AM343&lt;&gt;"H. Sale Real"),IF(AM348-AM343&lt;0.208333333333333,AM348-AM343,""),""))))),""),"")</f>
        <v/>
      </c>
      <c r="AX347" s="89">
        <f>IF(AK347&lt;&gt;"H. Sale Real",IF(AND(AK348&lt;&gt;"",LEFT(AG348,2)&lt;&gt;"Va"),IF(AND(AK347&lt;&gt;"",LEFT(AG347,2)&lt;&gt;"Va",AK347&lt;&gt;"H. Sale Real"),IF(AK348-AK347&lt;0.208333333333333,AK348-AK347,""),IF(AND(AK346&lt;&gt;"",LEFT(AG346,2)&lt;&gt;"Va",AK346&lt;&gt;"H. Sale Real"),IF(AK348-AK346&lt;0.208333333333333,AK348-AK346,""),IF(AND(AK345&lt;&gt;"",LEFT(AG345,2)&lt;&gt;"NC",AK345&lt;&gt;"H. Sale Real"),IF(AK348-AK345&lt;0.208333333333333,AK348-AK345,""),IF(AND(AK344&lt;&gt;"",LEFT(AG344,2)&lt;&gt;"Va",AK344&lt;&gt;"H. Sale Real"),IF(AK348-AK344&lt;0.208333333333333,AK348-AK344,""),IF(AND(AK343&lt;&gt;"",LEFT(AG343,2)&lt;&gt;"Va",AK343&lt;&gt;"H. Sale Real"),IF(AK348-AK343&lt;0.208333333333333,AK348-AK343,""),""))))),""),"")</f>
        <v/>
      </c>
      <c r="AY347" s="87" t="n"/>
      <c r="AZ347" s="89" t="n"/>
      <c r="BA347" s="87" t="n"/>
      <c r="BB347" s="89" t="n"/>
      <c r="BC347" s="91" t="n"/>
      <c r="BD347" s="122">
        <f>IF(AK347&lt;&gt;"",IF(AND(BD346&lt;&gt;"IE",AT347&lt;&gt;0,AV347&lt;&gt;""),IF(IFERROR((AT347/AV347),0) &lt;=1,IFERROR(AT347/AV347,""),1),""),"")</f>
        <v/>
      </c>
      <c r="BE347" s="93" t="n"/>
      <c r="BF347" s="105" t="n"/>
      <c r="FC347" t="inlineStr">
        <is>
          <t>Diccionario 1</t>
        </is>
      </c>
      <c r="FD347" s="15" t="n">
        <v>1346</v>
      </c>
      <c r="FE347" s="15" t="inlineStr">
        <is>
          <t>MDN35025010218</t>
        </is>
      </c>
      <c r="FF347" s="15" t="inlineStr">
        <is>
          <t>LDYECS316S0044087</t>
        </is>
      </c>
      <c r="FG347" s="15" t="inlineStr">
        <is>
          <t>Zhong Tong</t>
        </is>
      </c>
      <c r="FH347" s="15" t="inlineStr">
        <is>
          <t>Lck6122evg</t>
        </is>
      </c>
      <c r="FI347" s="15" t="inlineStr">
        <is>
          <t>ZHONGTONG</t>
        </is>
      </c>
      <c r="FJ347" s="15" t="inlineStr">
        <is>
          <t>LCK6122EVG</t>
        </is>
      </c>
      <c r="FK347" s="15" t="n">
        <v>2025</v>
      </c>
      <c r="FL347" s="15" t="inlineStr">
        <is>
          <t>B</t>
        </is>
      </c>
      <c r="FM347" s="15" t="inlineStr">
        <is>
          <t>SAN ALFONSO</t>
        </is>
      </c>
      <c r="FN347" s="15" t="inlineStr">
        <is>
          <t>San Alfonso 2141 (Ramón Subercaseaux 3060)</t>
        </is>
      </c>
      <c r="FO347" s="15" t="inlineStr">
        <is>
          <t>Estacion Central</t>
        </is>
      </c>
      <c r="FP347" t="inlineStr">
        <is>
          <t>B</t>
        </is>
      </c>
      <c r="FS347" s="14" t="inlineStr">
        <is>
          <t>3092 / SFWZ-67|</t>
        </is>
      </c>
      <c r="FT347" t="inlineStr">
        <is>
          <t>SFWZ-67|</t>
        </is>
      </c>
      <c r="FU347" t="inlineStr">
        <is>
          <t>SFWZ-67</t>
        </is>
      </c>
      <c r="FV347">
        <f>VLOOKUP(FU347,FD:FL,9,0)</f>
        <v/>
      </c>
      <c r="HA347" s="35" t="n">
        <v>117</v>
      </c>
      <c r="HB347" s="35" t="n">
        <v>341</v>
      </c>
    </row>
    <row r="348" ht="15.5" customHeight="1">
      <c r="A348" s="10">
        <f>HOUR(G348)+1</f>
        <v/>
      </c>
      <c r="B348" s="7" t="n"/>
      <c r="C348" s="7" t="n"/>
      <c r="D348" s="85">
        <f>IFERROR(
IF(AND(OR(Planilla!B348="C",Planilla!B348="c"), VLOOKUP(E348,FD:FP,13,0)="C"), "OK",IF(AND(OR(Planilla!B348="C",Planilla!B348="c"), OR(VLOOKUP(E348,FD:FP,13,0)="B", VLOOKUP(E348,FD:FP,13,0)="A")), "DEFICIT",IF(
AND(OR(Planilla!B348="B", Planilla!B348="BPAL"), VLOOKUP(E348,FD:FP,13,0)="B"), "OK",IF(AND(OR(Planilla!B348="B", Planilla!B348="BPAL"), VLOOKUP(E348,FD:FP,13,0)="A"), "DEFICIT",IF(AND(OR(Planilla!B348="B", Planilla!B348="BPAL"), VLOOKUP(E348,FD:FP,13,0)="C"), "SOBREOFERTA",IF(AND(Planilla!B348="A", VLOOKUP(E348,FD:FP,13,0)="A"), "OK",IF(
AND(Planilla!B348="A", OR(VLOOKUP(E348,FD:FP,13,0)="B", VLOOKUP(E348,FD:FP,13,0)="C")), "SOBREOFERTA",""
))))))),"")</f>
        <v/>
      </c>
      <c r="E348" s="8" t="n"/>
      <c r="F348" s="86" t="n"/>
      <c r="G348" s="87" t="n"/>
      <c r="H348" s="88">
        <f>IF(I348="","",IF(AND((I348-G348)&gt;=TIME(0,0,0),(I348-G348)&lt;TIME(0,3,0)),"OK",IF(AND((I348-G348)&gt;=TIME(0,3,0),(I348-G348)&lt;TIME(0,5,0)),"RETRASO DE 3-5 MIN",IF(AND((I348-G348)&gt;=TIME(0,5,0),(I348-G348)&lt;TIME(0,10,0)),"RETRASO DE 5-10 MIN",IF((I348-G348)&gt;=TIME(0,10,0),"RETRASO &gt;10 MIN", IF(AND((G348-I348)&gt;=TIME(0,0,0),(G348-I348)&lt;TIME(0,3,0)),"OK",IF((G348-I348)&gt;=TIME(0,3,0),"ADELANTADO")))))))</f>
        <v/>
      </c>
      <c r="I348" s="89" t="n"/>
      <c r="J348" s="89">
        <f>IF(A348&lt;&gt;"",HLOOKUP(VALUE(TEXT(G348,"h:mm:ss")),IF($C$6="Laboral",$FZ$4:$GX$227,IF($C$6="Sábado",$FZ$231:$GX$452,$FZ$456:$GX$656)),VLOOKUP($C$4,$HF$2:$HH$99,3,0)+IF(C$5="Ida",0,1),1),"")</f>
        <v/>
      </c>
      <c r="K348" s="89">
        <f>IF(A349&lt;&gt;A348,AVERAGEIF(A$9:A348,A348,J$9:J348),"")</f>
        <v/>
      </c>
      <c r="L348" s="89">
        <f>IFERROR(IF(A349&lt;&gt;A348,AVERAGEIF(A$9:A348,A348,S$9:S348),""),"")</f>
        <v/>
      </c>
      <c r="M348" s="89">
        <f>IFERROR(IF(A349&lt;&gt;A348,AVERAGEIF(A$9:A348,A348,T$9:T348),""),"")</f>
        <v/>
      </c>
      <c r="N348" s="89">
        <f t="array" ref="N348">IFERROR(IF(A349&lt;&gt;A348,_xlfn.STDEV.P(IF(A$9:A348=A348,T$9:T348)),""),"")</f>
        <v/>
      </c>
      <c r="O348" s="89">
        <f t="array" ref="O348">IFERROR(IF(A349&lt;&gt;A348,_xlfn.STDEV.P(IF(A$9:A348=A348,S$9:S348)),""),"")</f>
        <v/>
      </c>
      <c r="P348" s="90">
        <f>IFERROR(IF(A348&lt;&gt;A349,MAX((((M348*24*60)/2)*(1+POWER((((N348*24*60) / (M348*24*60) )),2))) + ((M348*24*60 )*-0.1 + (K348*0.015)) +1,(((M348*24*60)/2)*(1+POWER((((N348*24*60) / (M348*24*60 ))),2)))),""),"")</f>
        <v/>
      </c>
      <c r="Q348" s="90">
        <f>IF(AND(O348&lt;&gt;"",L348&lt;&gt;""),IF(A348&lt;&gt;A349,((L348*24*60) / 2 ) * (1 + POWER(((O348*24*60) / (L348*24*60)),2)),""),"")</f>
        <v/>
      </c>
      <c r="R348" s="90">
        <f>IF(Q348&lt;&gt;"",MAX(P348,Q348),"")</f>
        <v/>
      </c>
      <c r="S348" s="89">
        <f>IF(I348&lt;&gt;"H. Sale Real",IF(AND(I349&lt;&gt;"",LEFT(C349,2)&lt;&gt;"Va"),IF(AND(I348&lt;&gt;"",LEFT(C348,2)&lt;&gt;"Va",I348&lt;&gt;"H. Sale Real"),IF(I349-I348&lt;0.208333333333333,I349-I348,""),IF(AND(I347&lt;&gt;"",LEFT(C347,2)&lt;&gt;"Va",I347&lt;&gt;"H. Sale Real"),IF(I349-I347&lt;0.208333333333333,I349-I347,""),IF(AND(I346&lt;&gt;"",LEFT(C346,2)&lt;&gt;"Va",I346&lt;&gt;"H. Sale Real"),IF(I349-I346&lt;0.208333333333333,I349-I346,""),IF(AND(I345&lt;&gt;"",LEFT(C345,2)&lt;&gt;"Va",I345&lt;&gt;"H. Sale Real"),IF(I349-I345&lt;0.208333333333333,I349-I345,""),IF(AND(I344&lt;&gt;"",LEFT(C344,2)&lt;&gt;"Va",I344&lt;&gt;"H. Sale Real"),IF(I349-I344&lt;0.208333333333333,I349-I344,""),""))))),""),"")</f>
        <v/>
      </c>
      <c r="T348" s="89">
        <f>IF(G348&lt;&gt;"H. Sale Real",IF(AND(G349&lt;&gt;"",LEFT(C349,2)&lt;&gt;"Va"),IF(AND(G348&lt;&gt;"",LEFT(C348,2)&lt;&gt;"Va",G348&lt;&gt;"H. Sale Real"),IF(G349-G348&lt;0.208333333333333,G349-G348,""),IF(AND(G347&lt;&gt;"",LEFT(C347,2)&lt;&gt;"Va",G347&lt;&gt;"H. Sale Real"),IF(G349-G347&lt;0.208333333333333,G349-G347,""),IF(AND(G346&lt;&gt;"",LEFT(C346,2)&lt;&gt;"Va",G346&lt;&gt;"H. Sale Real"),IF(G349-G346&lt;0.208333333333333,G349-G346,""),IF(AND(G345&lt;&gt;"",LEFT(C345,2)&lt;&gt;"Va",G345&lt;&gt;"H. Sale Real"),IF(G349-G345&lt;0.208333333333333,G349-G345,""),IF(AND(G344&lt;&gt;"",LEFT(C344,2)&lt;&gt;"Va",G344&lt;&gt;"H. Sale Real"),IF(G349-G344&lt;0.208333333333333,G349-G344,""),""))))),""),"")</f>
        <v/>
      </c>
      <c r="U348" s="87" t="n"/>
      <c r="V348" s="89" t="n"/>
      <c r="W348" s="87" t="n"/>
      <c r="X348" s="89" t="n"/>
      <c r="Y348" s="91" t="n"/>
      <c r="Z348" s="122">
        <f>IF(G348&lt;&gt;"",IF(AND(Z347&lt;&gt;"IE",P348&lt;&gt;0,R348&lt;&gt;""),IF(IFERROR((P348/R348),0) &lt;=1,IFERROR(P348/R348,""),1),""),"")</f>
        <v/>
      </c>
      <c r="AA348" s="93" t="n"/>
      <c r="AB348" s="2" t="n"/>
      <c r="AE348" s="10">
        <f>HOUR(AK348)+1</f>
        <v/>
      </c>
      <c r="AF348" s="7" t="n"/>
      <c r="AG348" s="7" t="n"/>
      <c r="AH348" s="86" t="n"/>
      <c r="AI348" s="8" t="n"/>
      <c r="AJ348" s="86" t="n"/>
      <c r="AK348" s="87" t="n"/>
      <c r="AL348" s="88">
        <f>IF(AM348="","",IF(AND((AM348-AK348)&gt;=TIME(0,0,0),(AM348-AK348)&lt;TIME(0,3,0)),"OK",IF(AND((AM348-AK348)&gt;=TIME(0,3,0),(AM348-AK348)&lt;TIME(0,5,0)),"RETRASO DE 3-5 MIN",IF(AND((AM348-AK348)&gt;=TIME(0,5,0),(AM348-AK348)&lt;TIME(0,10,0)),"RETRASO DE 5-10 MIN",IF((AM348-AK348)&gt;=TIME(0,10,0),"RETRASO &gt;10 MIN", IF(AND((AK348-AM348)&gt;=TIME(0,0,0),(AK348-AM348)&lt;TIME(0,3,0)),"OK",IF((AK348-AM348)&gt;=TIME(0,3,0),"ADELANTADO")))))))</f>
        <v/>
      </c>
      <c r="AM348" s="91" t="n"/>
      <c r="AN348" s="89">
        <f>IF(AE348&lt;&gt;"",HLOOKUP(VALUE(TEXT(AK348,"h:mm:ss")),IF($C$6="Laboral",$FZ$4:$GX$227,IF($C$6="Sábado",$FZ$231:$GX$452,$FZ$456:$GX$656)),VLOOKUP($C$4,$HF$2:$HH$99,3,0)+IF(AG$5="Ida",0,1),1),"")</f>
        <v/>
      </c>
      <c r="AO348" s="89">
        <f>IF(AE349&lt;&gt;AE348,AVERAGEIF(AE$9:AE348,AE348,AN$9:AN348),"")</f>
        <v/>
      </c>
      <c r="AP348" s="89">
        <f>IFERROR(IF(AE349&lt;&gt;AE348,AVERAGEIF(AE$9:AE348,AE348,AW$9:AW348),""),"")</f>
        <v/>
      </c>
      <c r="AQ348" s="89">
        <f>IFERROR(IF(AE349&lt;&gt;AE348,AVERAGEIF(AE$9:AE348,AE348,AX$9:AX348),""),"")</f>
        <v/>
      </c>
      <c r="AR348" s="89">
        <f t="array" ref="AR348">IFERROR(IF(AE349&lt;&gt;AE348,_xlfn.STDEV.P(IF(AE$9:AE348=AE348,AX$9:AX348)),""),"")</f>
        <v/>
      </c>
      <c r="AS348" s="89">
        <f t="array" ref="AS348">IFERROR(IF(AE349&lt;&gt;AE348,_xlfn.STDEV.P(IF(AE$9:AE348=AE348,AW$9:AW348)),""),"")</f>
        <v/>
      </c>
      <c r="AT348" s="90">
        <f>IFERROR(IF(AE348&lt;&gt;AE349,MAX((((AQ348*24*60)/2)*(1+POWER((((AR348*24*60) / (AQ348*24*60) )),2))) + ((AQ348*24*60 )*-0.1 + (AO348*0.015)) +1,(((AQ348*24*60)/2)*(1+POWER((((AR348*24*60) / (AQ348*24*60 ))),2)))),""),"")</f>
        <v/>
      </c>
      <c r="AU348" s="90">
        <f>IF(AND(AS348&lt;&gt;"",AP348&lt;&gt;""),IF(AE348&lt;&gt;AE349,((AP348*24*60) / 2 ) * (1 + POWER(((AS348*24*60) / (AP348*24*60)),2)),""),"")</f>
        <v/>
      </c>
      <c r="AV348" s="90">
        <f>IF(AU348&lt;&gt;"",MAX(AT348,AU348),"")</f>
        <v/>
      </c>
      <c r="AW348" s="89">
        <f>IF(AM348&lt;&gt;"H. Sale Real",IF(AND(AM349&lt;&gt;"",LEFT(AG349,2)&lt;&gt;"Va"),IF(AND(AM348&lt;&gt;"",LEFT(AG348,2)&lt;&gt;"Va",AM348&lt;&gt;"H. Sale Real"),IF(AM349-AM348&lt;0.208333333333333,AM349-AM348,""),IF(AND(AM347&lt;&gt;"",LEFT(AG347,2)&lt;&gt;"Va",AM347&lt;&gt;"H. Sale Real"),IF(AM349-AM347&lt;0.208333333333333,AM349-AM347,""),IF(AND(AM346&lt;&gt;"",LEFT(AG346,2)&lt;&gt;"Va",AM346&lt;&gt;"H. Sale Real"),IF(AM349-AM346&lt;0.208333333333333,AM349-AM346,""),IF(AND(AM345&lt;&gt;"",LEFT(AG345,2)&lt;&gt;"Va",AM345&lt;&gt;"H. Sale Real"),IF(AM349-AM345&lt;0.208333333333333,AM349-AM345,""),IF(AND(AM344&lt;&gt;"",LEFT(AG344,2)&lt;&gt;"Va",AM344&lt;&gt;"H. Sale Real"),IF(AM349-AM344&lt;0.208333333333333,AM349-AM344,""),""))))),""),"")</f>
        <v/>
      </c>
      <c r="AX348" s="89">
        <f>IF(AK348&lt;&gt;"H. Sale Real",IF(AND(AK349&lt;&gt;"",LEFT(AG349,2)&lt;&gt;"Va"),IF(AND(AK348&lt;&gt;"",LEFT(AG348,2)&lt;&gt;"Va",AK348&lt;&gt;"H. Sale Real"),IF(AK349-AK348&lt;0.208333333333333,AK349-AK348,""),IF(AND(AK347&lt;&gt;"",LEFT(AG347,2)&lt;&gt;"Va",AK347&lt;&gt;"H. Sale Real"),IF(AK349-AK347&lt;0.208333333333333,AK349-AK347,""),IF(AND(AK346&lt;&gt;"",LEFT(AG346,2)&lt;&gt;"NC",AK346&lt;&gt;"H. Sale Real"),IF(AK349-AK346&lt;0.208333333333333,AK349-AK346,""),IF(AND(AK345&lt;&gt;"",LEFT(AG345,2)&lt;&gt;"Va",AK345&lt;&gt;"H. Sale Real"),IF(AK349-AK345&lt;0.208333333333333,AK349-AK345,""),IF(AND(AK344&lt;&gt;"",LEFT(AG344,2)&lt;&gt;"Va",AK344&lt;&gt;"H. Sale Real"),IF(AK349-AK344&lt;0.208333333333333,AK349-AK344,""),""))))),""),"")</f>
        <v/>
      </c>
      <c r="AY348" s="87" t="n"/>
      <c r="AZ348" s="89" t="n"/>
      <c r="BA348" s="87" t="n"/>
      <c r="BB348" s="89" t="n"/>
      <c r="BC348" s="91" t="n"/>
      <c r="BD348" s="122">
        <f>IF(AK348&lt;&gt;"",IF(AND(BD347&lt;&gt;"IE",AT348&lt;&gt;0,AV348&lt;&gt;""),IF(IFERROR((AT348/AV348),0) &lt;=1,IFERROR(AT348/AV348,""),1),""),"")</f>
        <v/>
      </c>
      <c r="BE348" s="93" t="n"/>
      <c r="BF348" s="105" t="n"/>
      <c r="FC348" t="inlineStr">
        <is>
          <t>Diccionario 1</t>
        </is>
      </c>
      <c r="FD348" s="15" t="n">
        <v>1347</v>
      </c>
      <c r="FE348" s="15" t="inlineStr">
        <is>
          <t>MDN35025020098</t>
        </is>
      </c>
      <c r="FF348" s="15" t="inlineStr">
        <is>
          <t>LDYECS315S0044095</t>
        </is>
      </c>
      <c r="FG348" s="15" t="inlineStr">
        <is>
          <t>Zhong Tong</t>
        </is>
      </c>
      <c r="FH348" s="15" t="inlineStr">
        <is>
          <t>Lck6122evg</t>
        </is>
      </c>
      <c r="FI348" s="15" t="inlineStr">
        <is>
          <t>ZHONGTONG</t>
        </is>
      </c>
      <c r="FJ348" s="15" t="inlineStr">
        <is>
          <t>LCK6122EVG</t>
        </is>
      </c>
      <c r="FK348" s="15" t="n">
        <v>2025</v>
      </c>
      <c r="FL348" s="15" t="inlineStr">
        <is>
          <t>B</t>
        </is>
      </c>
      <c r="FM348" s="15" t="inlineStr">
        <is>
          <t>PIE ANDINO</t>
        </is>
      </c>
      <c r="FN348" s="15" t="inlineStr">
        <is>
          <t>Pie Andino 31 (Pie Andino 383)</t>
        </is>
      </c>
      <c r="FO348" s="15" t="inlineStr">
        <is>
          <t>Puente Alto</t>
        </is>
      </c>
      <c r="FP348" t="inlineStr">
        <is>
          <t>B</t>
        </is>
      </c>
      <c r="FS348" s="14" t="inlineStr">
        <is>
          <t>3092 / SFWZ-67|</t>
        </is>
      </c>
      <c r="FT348" t="inlineStr">
        <is>
          <t>SFWZ-67|</t>
        </is>
      </c>
      <c r="FU348" t="inlineStr">
        <is>
          <t>SFWZ-67</t>
        </is>
      </c>
      <c r="FV348">
        <f>VLOOKUP(FU348,FD:FL,9,0)</f>
        <v/>
      </c>
      <c r="HA348" s="35" t="n">
        <v>118</v>
      </c>
      <c r="HB348" s="35" t="n">
        <v>342</v>
      </c>
    </row>
    <row r="349" ht="15.5" customHeight="1">
      <c r="A349" s="10">
        <f>HOUR(G349)+1</f>
        <v/>
      </c>
      <c r="B349" s="7" t="n"/>
      <c r="C349" s="7" t="n"/>
      <c r="D349" s="85">
        <f>IFERROR(
IF(AND(OR(Planilla!B349="C",Planilla!B349="c"), VLOOKUP(E349,FD:FP,13,0)="C"), "OK",IF(AND(OR(Planilla!B349="C",Planilla!B349="c"), OR(VLOOKUP(E349,FD:FP,13,0)="B", VLOOKUP(E349,FD:FP,13,0)="A")), "DEFICIT",IF(
AND(OR(Planilla!B349="B", Planilla!B349="BPAL"), VLOOKUP(E349,FD:FP,13,0)="B"), "OK",IF(AND(OR(Planilla!B349="B", Planilla!B349="BPAL"), VLOOKUP(E349,FD:FP,13,0)="A"), "DEFICIT",IF(AND(OR(Planilla!B349="B", Planilla!B349="BPAL"), VLOOKUP(E349,FD:FP,13,0)="C"), "SOBREOFERTA",IF(AND(Planilla!B349="A", VLOOKUP(E349,FD:FP,13,0)="A"), "OK",IF(
AND(Planilla!B349="A", OR(VLOOKUP(E349,FD:FP,13,0)="B", VLOOKUP(E349,FD:FP,13,0)="C")), "SOBREOFERTA",""
))))))),"")</f>
        <v/>
      </c>
      <c r="E349" s="8" t="n"/>
      <c r="F349" s="86" t="n"/>
      <c r="G349" s="87" t="n"/>
      <c r="H349" s="88">
        <f>IF(I349="","",IF(AND((I349-G349)&gt;=TIME(0,0,0),(I349-G349)&lt;TIME(0,3,0)),"OK",IF(AND((I349-G349)&gt;=TIME(0,3,0),(I349-G349)&lt;TIME(0,5,0)),"RETRASO DE 3-5 MIN",IF(AND((I349-G349)&gt;=TIME(0,5,0),(I349-G349)&lt;TIME(0,10,0)),"RETRASO DE 5-10 MIN",IF((I349-G349)&gt;=TIME(0,10,0),"RETRASO &gt;10 MIN", IF(AND((G349-I349)&gt;=TIME(0,0,0),(G349-I349)&lt;TIME(0,3,0)),"OK",IF((G349-I349)&gt;=TIME(0,3,0),"ADELANTADO")))))))</f>
        <v/>
      </c>
      <c r="I349" s="89" t="n"/>
      <c r="J349" s="89">
        <f>IF(A349&lt;&gt;"",HLOOKUP(VALUE(TEXT(G349,"h:mm:ss")),IF($C$6="Laboral",$FZ$4:$GX$227,IF($C$6="Sábado",$FZ$231:$GX$452,$FZ$456:$GX$656)),VLOOKUP($C$4,$HF$2:$HH$99,3,0)+IF(C$5="Ida",0,1),1),"")</f>
        <v/>
      </c>
      <c r="K349" s="89">
        <f>IF(A350&lt;&gt;A349,AVERAGEIF(A$9:A349,A349,J$9:J349),"")</f>
        <v/>
      </c>
      <c r="L349" s="89">
        <f>IFERROR(IF(A350&lt;&gt;A349,AVERAGEIF(A$9:A349,A349,S$9:S349),""),"")</f>
        <v/>
      </c>
      <c r="M349" s="89">
        <f>IFERROR(IF(A350&lt;&gt;A349,AVERAGEIF(A$9:A349,A349,T$9:T349),""),"")</f>
        <v/>
      </c>
      <c r="N349" s="89">
        <f t="array" ref="N349">IFERROR(IF(A350&lt;&gt;A349,_xlfn.STDEV.P(IF(A$9:A349=A349,T$9:T349)),""),"")</f>
        <v/>
      </c>
      <c r="O349" s="89">
        <f t="array" ref="O349">IFERROR(IF(A350&lt;&gt;A349,_xlfn.STDEV.P(IF(A$9:A349=A349,S$9:S349)),""),"")</f>
        <v/>
      </c>
      <c r="P349" s="90">
        <f>IFERROR(IF(A349&lt;&gt;A350,MAX((((M349*24*60)/2)*(1+POWER((((N349*24*60) / (M349*24*60) )),2))) + ((M349*24*60 )*-0.1 + (K349*0.015)) +1,(((M349*24*60)/2)*(1+POWER((((N349*24*60) / (M349*24*60 ))),2)))),""),"")</f>
        <v/>
      </c>
      <c r="Q349" s="90">
        <f>IF(AND(O349&lt;&gt;"",L349&lt;&gt;""),IF(A349&lt;&gt;A350,((L349*24*60) / 2 ) * (1 + POWER(((O349*24*60) / (L349*24*60)),2)),""),"")</f>
        <v/>
      </c>
      <c r="R349" s="90">
        <f>IF(Q349&lt;&gt;"",MAX(P349,Q349),"")</f>
        <v/>
      </c>
      <c r="S349" s="89">
        <f>IF(I349&lt;&gt;"H. Sale Real",IF(AND(I350&lt;&gt;"",LEFT(C350,2)&lt;&gt;"Va"),IF(AND(I349&lt;&gt;"",LEFT(C349,2)&lt;&gt;"Va",I349&lt;&gt;"H. Sale Real"),IF(I350-I349&lt;0.208333333333333,I350-I349,""),IF(AND(I348&lt;&gt;"",LEFT(C348,2)&lt;&gt;"Va",I348&lt;&gt;"H. Sale Real"),IF(I350-I348&lt;0.208333333333333,I350-I348,""),IF(AND(I347&lt;&gt;"",LEFT(C347,2)&lt;&gt;"Va",I347&lt;&gt;"H. Sale Real"),IF(I350-I347&lt;0.208333333333333,I350-I347,""),IF(AND(I346&lt;&gt;"",LEFT(C346,2)&lt;&gt;"Va",I346&lt;&gt;"H. Sale Real"),IF(I350-I346&lt;0.208333333333333,I350-I346,""),IF(AND(I345&lt;&gt;"",LEFT(C345,2)&lt;&gt;"Va",I345&lt;&gt;"H. Sale Real"),IF(I350-I345&lt;0.208333333333333,I350-I345,""),""))))),""),"")</f>
        <v/>
      </c>
      <c r="T349" s="89">
        <f>IF(G349&lt;&gt;"H. Sale Real",IF(AND(G350&lt;&gt;"",LEFT(C350,2)&lt;&gt;"Va"),IF(AND(G349&lt;&gt;"",LEFT(C349,2)&lt;&gt;"Va",G349&lt;&gt;"H. Sale Real"),IF(G350-G349&lt;0.208333333333333,G350-G349,""),IF(AND(G348&lt;&gt;"",LEFT(C348,2)&lt;&gt;"Va",G348&lt;&gt;"H. Sale Real"),IF(G350-G348&lt;0.208333333333333,G350-G348,""),IF(AND(G347&lt;&gt;"",LEFT(C347,2)&lt;&gt;"Va",G347&lt;&gt;"H. Sale Real"),IF(G350-G347&lt;0.208333333333333,G350-G347,""),IF(AND(G346&lt;&gt;"",LEFT(C346,2)&lt;&gt;"Va",G346&lt;&gt;"H. Sale Real"),IF(G350-G346&lt;0.208333333333333,G350-G346,""),IF(AND(G345&lt;&gt;"",LEFT(C345,2)&lt;&gt;"Va",G345&lt;&gt;"H. Sale Real"),IF(G350-G345&lt;0.208333333333333,G350-G345,""),""))))),""),"")</f>
        <v/>
      </c>
      <c r="U349" s="87" t="n"/>
      <c r="V349" s="89" t="n"/>
      <c r="W349" s="87" t="n"/>
      <c r="X349" s="89" t="n"/>
      <c r="Y349" s="91" t="n"/>
      <c r="Z349" s="122">
        <f>IF(G349&lt;&gt;"",IF(AND(Z348&lt;&gt;"IE",P349&lt;&gt;0,R349&lt;&gt;""),IF(IFERROR((P349/R349),0) &lt;=1,IFERROR(P349/R349,""),1),""),"")</f>
        <v/>
      </c>
      <c r="AA349" s="93" t="n"/>
      <c r="AB349" s="2" t="n"/>
      <c r="AE349" s="10">
        <f>HOUR(AK349)+1</f>
        <v/>
      </c>
      <c r="AF349" s="7" t="n"/>
      <c r="AG349" s="7" t="n"/>
      <c r="AH349" s="86" t="n"/>
      <c r="AI349" s="8" t="n"/>
      <c r="AJ349" s="86" t="n"/>
      <c r="AK349" s="87" t="n"/>
      <c r="AL349" s="88">
        <f>IF(AM349="","",IF(AND((AM349-AK349)&gt;=TIME(0,0,0),(AM349-AK349)&lt;TIME(0,3,0)),"OK",IF(AND((AM349-AK349)&gt;=TIME(0,3,0),(AM349-AK349)&lt;TIME(0,5,0)),"RETRASO DE 3-5 MIN",IF(AND((AM349-AK349)&gt;=TIME(0,5,0),(AM349-AK349)&lt;TIME(0,10,0)),"RETRASO DE 5-10 MIN",IF((AM349-AK349)&gt;=TIME(0,10,0),"RETRASO &gt;10 MIN", IF(AND((AK349-AM349)&gt;=TIME(0,0,0),(AK349-AM349)&lt;TIME(0,3,0)),"OK",IF((AK349-AM349)&gt;=TIME(0,3,0),"ADELANTADO")))))))</f>
        <v/>
      </c>
      <c r="AM349" s="91" t="n"/>
      <c r="AN349" s="89">
        <f>IF(AE349&lt;&gt;"",HLOOKUP(VALUE(TEXT(AK349,"h:mm:ss")),IF($C$6="Laboral",$FZ$4:$GX$227,IF($C$6="Sábado",$FZ$231:$GX$452,$FZ$456:$GX$656)),VLOOKUP($C$4,$HF$2:$HH$99,3,0)+IF(AG$5="Ida",0,1),1),"")</f>
        <v/>
      </c>
      <c r="AO349" s="89">
        <f>IF(AE350&lt;&gt;AE349,AVERAGEIF(AE$9:AE349,AE349,AN$9:AN349),"")</f>
        <v/>
      </c>
      <c r="AP349" s="89">
        <f>IFERROR(IF(AE350&lt;&gt;AE349,AVERAGEIF(AE$9:AE349,AE349,AW$9:AW349),""),"")</f>
        <v/>
      </c>
      <c r="AQ349" s="89">
        <f>IFERROR(IF(AE350&lt;&gt;AE349,AVERAGEIF(AE$9:AE349,AE349,AX$9:AX349),""),"")</f>
        <v/>
      </c>
      <c r="AR349" s="89">
        <f t="array" ref="AR349">IFERROR(IF(AE350&lt;&gt;AE349,_xlfn.STDEV.P(IF(AE$9:AE349=AE349,AX$9:AX349)),""),"")</f>
        <v/>
      </c>
      <c r="AS349" s="89">
        <f t="array" ref="AS349">IFERROR(IF(AE350&lt;&gt;AE349,_xlfn.STDEV.P(IF(AE$9:AE349=AE349,AW$9:AW349)),""),"")</f>
        <v/>
      </c>
      <c r="AT349" s="90">
        <f>IFERROR(IF(AE349&lt;&gt;AE350,MAX((((AQ349*24*60)/2)*(1+POWER((((AR349*24*60) / (AQ349*24*60) )),2))) + ((AQ349*24*60 )*-0.1 + (AO349*0.015)) +1,(((AQ349*24*60)/2)*(1+POWER((((AR349*24*60) / (AQ349*24*60 ))),2)))),""),"")</f>
        <v/>
      </c>
      <c r="AU349" s="90">
        <f>IF(AND(AS349&lt;&gt;"",AP349&lt;&gt;""),IF(AE349&lt;&gt;AE350,((AP349*24*60) / 2 ) * (1 + POWER(((AS349*24*60) / (AP349*24*60)),2)),""),"")</f>
        <v/>
      </c>
      <c r="AV349" s="90">
        <f>IF(AU349&lt;&gt;"",MAX(AT349,AU349),"")</f>
        <v/>
      </c>
      <c r="AW349" s="89">
        <f>IF(AM349&lt;&gt;"H. Sale Real",IF(AND(AM350&lt;&gt;"",LEFT(AG350,2)&lt;&gt;"Va"),IF(AND(AM349&lt;&gt;"",LEFT(AG349,2)&lt;&gt;"Va",AM349&lt;&gt;"H. Sale Real"),IF(AM350-AM349&lt;0.208333333333333,AM350-AM349,""),IF(AND(AM348&lt;&gt;"",LEFT(AG348,2)&lt;&gt;"Va",AM348&lt;&gt;"H. Sale Real"),IF(AM350-AM348&lt;0.208333333333333,AM350-AM348,""),IF(AND(AM347&lt;&gt;"",LEFT(AG347,2)&lt;&gt;"Va",AM347&lt;&gt;"H. Sale Real"),IF(AM350-AM347&lt;0.208333333333333,AM350-AM347,""),IF(AND(AM346&lt;&gt;"",LEFT(AG346,2)&lt;&gt;"Va",AM346&lt;&gt;"H. Sale Real"),IF(AM350-AM346&lt;0.208333333333333,AM350-AM346,""),IF(AND(AM345&lt;&gt;"",LEFT(AG345,2)&lt;&gt;"Va",AM345&lt;&gt;"H. Sale Real"),IF(AM350-AM345&lt;0.208333333333333,AM350-AM345,""),""))))),""),"")</f>
        <v/>
      </c>
      <c r="AX349" s="89">
        <f>IF(AK349&lt;&gt;"H. Sale Real",IF(AND(AK350&lt;&gt;"",LEFT(AG350,2)&lt;&gt;"Va"),IF(AND(AK349&lt;&gt;"",LEFT(AG349,2)&lt;&gt;"Va",AK349&lt;&gt;"H. Sale Real"),IF(AK350-AK349&lt;0.208333333333333,AK350-AK349,""),IF(AND(AK348&lt;&gt;"",LEFT(AG348,2)&lt;&gt;"Va",AK348&lt;&gt;"H. Sale Real"),IF(AK350-AK348&lt;0.208333333333333,AK350-AK348,""),IF(AND(AK347&lt;&gt;"",LEFT(AG347,2)&lt;&gt;"NC",AK347&lt;&gt;"H. Sale Real"),IF(AK350-AK347&lt;0.208333333333333,AK350-AK347,""),IF(AND(AK346&lt;&gt;"",LEFT(AG346,2)&lt;&gt;"Va",AK346&lt;&gt;"H. Sale Real"),IF(AK350-AK346&lt;0.208333333333333,AK350-AK346,""),IF(AND(AK345&lt;&gt;"",LEFT(AG345,2)&lt;&gt;"Va",AK345&lt;&gt;"H. Sale Real"),IF(AK350-AK345&lt;0.208333333333333,AK350-AK345,""),""))))),""),"")</f>
        <v/>
      </c>
      <c r="AY349" s="87" t="n"/>
      <c r="AZ349" s="89" t="n"/>
      <c r="BA349" s="87" t="n"/>
      <c r="BB349" s="89" t="n"/>
      <c r="BC349" s="91" t="n"/>
      <c r="BD349" s="122">
        <f>IF(AK349&lt;&gt;"",IF(AND(BD348&lt;&gt;"IE",AT349&lt;&gt;0,AV349&lt;&gt;""),IF(IFERROR((AT349/AV349),0) &lt;=1,IFERROR(AT349/AV349,""),1),""),"")</f>
        <v/>
      </c>
      <c r="BE349" s="93" t="n"/>
      <c r="BF349" s="105" t="n"/>
      <c r="FC349" t="inlineStr">
        <is>
          <t>Diccionario 1</t>
        </is>
      </c>
      <c r="FD349" s="15" t="n">
        <v>1348</v>
      </c>
      <c r="FE349" s="15" t="inlineStr">
        <is>
          <t>MDN35025020038</t>
        </is>
      </c>
      <c r="FF349" s="15" t="inlineStr">
        <is>
          <t>LDYECS317S0044065</t>
        </is>
      </c>
      <c r="FG349" s="15" t="inlineStr">
        <is>
          <t>Zhong Tong</t>
        </is>
      </c>
      <c r="FH349" s="15" t="inlineStr">
        <is>
          <t>Lck6122evg</t>
        </is>
      </c>
      <c r="FI349" s="15" t="inlineStr">
        <is>
          <t>ZHONGTONG</t>
        </is>
      </c>
      <c r="FJ349" s="15" t="inlineStr">
        <is>
          <t>LCK6122EVG</t>
        </is>
      </c>
      <c r="FK349" s="15" t="n">
        <v>2025</v>
      </c>
      <c r="FL349" s="15" t="inlineStr">
        <is>
          <t>B</t>
        </is>
      </c>
      <c r="FM349" s="15" t="inlineStr">
        <is>
          <t>PIE ANDINO</t>
        </is>
      </c>
      <c r="FN349" s="15" t="inlineStr">
        <is>
          <t>Pie Andino 31 (Pie Andino 383)</t>
        </is>
      </c>
      <c r="FO349" s="15" t="inlineStr">
        <is>
          <t>Puente Alto</t>
        </is>
      </c>
      <c r="FP349" t="inlineStr">
        <is>
          <t>B</t>
        </is>
      </c>
      <c r="FS349" s="14" t="inlineStr">
        <is>
          <t>3093 / SFWZ-82|</t>
        </is>
      </c>
      <c r="FT349" t="inlineStr">
        <is>
          <t>SFWZ-82|</t>
        </is>
      </c>
      <c r="FU349" t="inlineStr">
        <is>
          <t>SFWZ-82</t>
        </is>
      </c>
      <c r="FV349">
        <f>VLOOKUP(FU349,FD:FL,9,0)</f>
        <v/>
      </c>
      <c r="HA349" s="35" t="n">
        <v>119</v>
      </c>
      <c r="HB349" s="35" t="n">
        <v>343</v>
      </c>
    </row>
    <row r="350" ht="15.5" customHeight="1">
      <c r="A350" s="10">
        <f>HOUR(G350)+1</f>
        <v/>
      </c>
      <c r="B350" s="7" t="n"/>
      <c r="C350" s="7" t="n"/>
      <c r="D350" s="85">
        <f>IFERROR(
IF(AND(OR(Planilla!B350="C",Planilla!B350="c"), VLOOKUP(E350,FD:FP,13,0)="C"), "OK",IF(AND(OR(Planilla!B350="C",Planilla!B350="c"), OR(VLOOKUP(E350,FD:FP,13,0)="B", VLOOKUP(E350,FD:FP,13,0)="A")), "DEFICIT",IF(
AND(OR(Planilla!B350="B", Planilla!B350="BPAL"), VLOOKUP(E350,FD:FP,13,0)="B"), "OK",IF(AND(OR(Planilla!B350="B", Planilla!B350="BPAL"), VLOOKUP(E350,FD:FP,13,0)="A"), "DEFICIT",IF(AND(OR(Planilla!B350="B", Planilla!B350="BPAL"), VLOOKUP(E350,FD:FP,13,0)="C"), "SOBREOFERTA",IF(AND(Planilla!B350="A", VLOOKUP(E350,FD:FP,13,0)="A"), "OK",IF(
AND(Planilla!B350="A", OR(VLOOKUP(E350,FD:FP,13,0)="B", VLOOKUP(E350,FD:FP,13,0)="C")), "SOBREOFERTA",""
))))))),"")</f>
        <v/>
      </c>
      <c r="E350" s="8" t="n"/>
      <c r="F350" s="86" t="n"/>
      <c r="G350" s="87" t="n"/>
      <c r="H350" s="88">
        <f>IF(I350="","",IF(AND((I350-G350)&gt;=TIME(0,0,0),(I350-G350)&lt;TIME(0,3,0)),"OK",IF(AND((I350-G350)&gt;=TIME(0,3,0),(I350-G350)&lt;TIME(0,5,0)),"RETRASO DE 3-5 MIN",IF(AND((I350-G350)&gt;=TIME(0,5,0),(I350-G350)&lt;TIME(0,10,0)),"RETRASO DE 5-10 MIN",IF((I350-G350)&gt;=TIME(0,10,0),"RETRASO &gt;10 MIN", IF(AND((G350-I350)&gt;=TIME(0,0,0),(G350-I350)&lt;TIME(0,3,0)),"OK",IF((G350-I350)&gt;=TIME(0,3,0),"ADELANTADO")))))))</f>
        <v/>
      </c>
      <c r="I350" s="89" t="n"/>
      <c r="J350" s="89">
        <f>IF(A350&lt;&gt;"",HLOOKUP(VALUE(TEXT(G350,"h:mm:ss")),IF($C$6="Laboral",$FZ$4:$GX$227,IF($C$6="Sábado",$FZ$231:$GX$452,$FZ$456:$GX$656)),VLOOKUP($C$4,$HF$2:$HH$99,3,0)+IF(C$5="Ida",0,1),1),"")</f>
        <v/>
      </c>
      <c r="K350" s="89">
        <f>IF(A351&lt;&gt;A350,AVERAGEIF(A$9:A350,A350,J$9:J350),"")</f>
        <v/>
      </c>
      <c r="L350" s="89">
        <f>IFERROR(IF(A351&lt;&gt;A350,AVERAGEIF(A$9:A350,A350,S$9:S350),""),"")</f>
        <v/>
      </c>
      <c r="M350" s="89">
        <f>IFERROR(IF(A351&lt;&gt;A350,AVERAGEIF(A$9:A350,A350,T$9:T350),""),"")</f>
        <v/>
      </c>
      <c r="N350" s="89">
        <f t="array" ref="N350">IFERROR(IF(A351&lt;&gt;A350,_xlfn.STDEV.P(IF(A$9:A350=A350,T$9:T350)),""),"")</f>
        <v/>
      </c>
      <c r="O350" s="89">
        <f t="array" ref="O350">IFERROR(IF(A351&lt;&gt;A350,_xlfn.STDEV.P(IF(A$9:A350=A350,S$9:S350)),""),"")</f>
        <v/>
      </c>
      <c r="P350" s="90">
        <f>IFERROR(IF(A350&lt;&gt;A351,MAX((((M350*24*60)/2)*(1+POWER((((N350*24*60) / (M350*24*60) )),2))) + ((M350*24*60 )*-0.1 + (K350*0.015)) +1,(((M350*24*60)/2)*(1+POWER((((N350*24*60) / (M350*24*60 ))),2)))),""),"")</f>
        <v/>
      </c>
      <c r="Q350" s="90">
        <f>IF(AND(O350&lt;&gt;"",L350&lt;&gt;""),IF(A350&lt;&gt;A351,((L350*24*60) / 2 ) * (1 + POWER(((O350*24*60) / (L350*24*60)),2)),""),"")</f>
        <v/>
      </c>
      <c r="R350" s="90">
        <f>IF(Q350&lt;&gt;"",MAX(P350,Q350),"")</f>
        <v/>
      </c>
      <c r="S350" s="89">
        <f>IF(I350&lt;&gt;"H. Sale Real",IF(AND(I351&lt;&gt;"",LEFT(C351,2)&lt;&gt;"Va"),IF(AND(I350&lt;&gt;"",LEFT(C350,2)&lt;&gt;"Va",I350&lt;&gt;"H. Sale Real"),IF(I351-I350&lt;0.208333333333333,I351-I350,""),IF(AND(I349&lt;&gt;"",LEFT(C349,2)&lt;&gt;"Va",I349&lt;&gt;"H. Sale Real"),IF(I351-I349&lt;0.208333333333333,I351-I349,""),IF(AND(I348&lt;&gt;"",LEFT(C348,2)&lt;&gt;"Va",I348&lt;&gt;"H. Sale Real"),IF(I351-I348&lt;0.208333333333333,I351-I348,""),IF(AND(I347&lt;&gt;"",LEFT(C347,2)&lt;&gt;"Va",I347&lt;&gt;"H. Sale Real"),IF(I351-I347&lt;0.208333333333333,I351-I347,""),IF(AND(I346&lt;&gt;"",LEFT(C346,2)&lt;&gt;"Va",I346&lt;&gt;"H. Sale Real"),IF(I351-I346&lt;0.208333333333333,I351-I346,""),""))))),""),"")</f>
        <v/>
      </c>
      <c r="T350" s="89">
        <f>IF(G350&lt;&gt;"H. Sale Real",IF(AND(G351&lt;&gt;"",LEFT(C351,2)&lt;&gt;"Va"),IF(AND(G350&lt;&gt;"",LEFT(C350,2)&lt;&gt;"Va",G350&lt;&gt;"H. Sale Real"),IF(G351-G350&lt;0.208333333333333,G351-G350,""),IF(AND(G349&lt;&gt;"",LEFT(C349,2)&lt;&gt;"Va",G349&lt;&gt;"H. Sale Real"),IF(G351-G349&lt;0.208333333333333,G351-G349,""),IF(AND(G348&lt;&gt;"",LEFT(C348,2)&lt;&gt;"Va",G348&lt;&gt;"H. Sale Real"),IF(G351-G348&lt;0.208333333333333,G351-G348,""),IF(AND(G347&lt;&gt;"",LEFT(C347,2)&lt;&gt;"Va",G347&lt;&gt;"H. Sale Real"),IF(G351-G347&lt;0.208333333333333,G351-G347,""),IF(AND(G346&lt;&gt;"",LEFT(C346,2)&lt;&gt;"Va",G346&lt;&gt;"H. Sale Real"),IF(G351-G346&lt;0.208333333333333,G351-G346,""),""))))),""),"")</f>
        <v/>
      </c>
      <c r="U350" s="87" t="n"/>
      <c r="V350" s="89" t="n"/>
      <c r="W350" s="87" t="n"/>
      <c r="X350" s="89" t="n"/>
      <c r="Y350" s="91" t="n"/>
      <c r="Z350" s="122">
        <f>IF(G350&lt;&gt;"",IF(AND(Z349&lt;&gt;"IE",P350&lt;&gt;0,R350&lt;&gt;""),IF(IFERROR((P350/R350),0) &lt;=1,IFERROR(P350/R350,""),1),""),"")</f>
        <v/>
      </c>
      <c r="AA350" s="93" t="n"/>
      <c r="AB350" s="2" t="n"/>
      <c r="AE350" s="10">
        <f>HOUR(AK350)+1</f>
        <v/>
      </c>
      <c r="AF350" s="7" t="n"/>
      <c r="AG350" s="7" t="n"/>
      <c r="AH350" s="86" t="n"/>
      <c r="AI350" s="8" t="n"/>
      <c r="AJ350" s="86" t="n"/>
      <c r="AK350" s="87" t="n"/>
      <c r="AL350" s="88">
        <f>IF(AM350="","",IF(AND((AM350-AK350)&gt;=TIME(0,0,0),(AM350-AK350)&lt;TIME(0,3,0)),"OK",IF(AND((AM350-AK350)&gt;=TIME(0,3,0),(AM350-AK350)&lt;TIME(0,5,0)),"RETRASO DE 3-5 MIN",IF(AND((AM350-AK350)&gt;=TIME(0,5,0),(AM350-AK350)&lt;TIME(0,10,0)),"RETRASO DE 5-10 MIN",IF((AM350-AK350)&gt;=TIME(0,10,0),"RETRASO &gt;10 MIN", IF(AND((AK350-AM350)&gt;=TIME(0,0,0),(AK350-AM350)&lt;TIME(0,3,0)),"OK",IF((AK350-AM350)&gt;=TIME(0,3,0),"ADELANTADO")))))))</f>
        <v/>
      </c>
      <c r="AM350" s="91" t="n"/>
      <c r="AN350" s="89">
        <f>IF(AE350&lt;&gt;"",HLOOKUP(VALUE(TEXT(AK350,"h:mm:ss")),IF($C$6="Laboral",$FZ$4:$GX$227,IF($C$6="Sábado",$FZ$231:$GX$452,$FZ$456:$GX$656)),VLOOKUP($C$4,$HF$2:$HH$99,3,0)+IF(AG$5="Ida",0,1),1),"")</f>
        <v/>
      </c>
      <c r="AO350" s="89">
        <f>IF(AE351&lt;&gt;AE350,AVERAGEIF(AE$9:AE350,AE350,AN$9:AN350),"")</f>
        <v/>
      </c>
      <c r="AP350" s="89">
        <f>IFERROR(IF(AE351&lt;&gt;AE350,AVERAGEIF(AE$9:AE350,AE350,AW$9:AW350),""),"")</f>
        <v/>
      </c>
      <c r="AQ350" s="89">
        <f>IFERROR(IF(AE351&lt;&gt;AE350,AVERAGEIF(AE$9:AE350,AE350,AX$9:AX350),""),"")</f>
        <v/>
      </c>
      <c r="AR350" s="89">
        <f t="array" ref="AR350">IFERROR(IF(AE351&lt;&gt;AE350,_xlfn.STDEV.P(IF(AE$9:AE350=AE350,AX$9:AX350)),""),"")</f>
        <v/>
      </c>
      <c r="AS350" s="89">
        <f t="array" ref="AS350">IFERROR(IF(AE351&lt;&gt;AE350,_xlfn.STDEV.P(IF(AE$9:AE350=AE350,AW$9:AW350)),""),"")</f>
        <v/>
      </c>
      <c r="AT350" s="90">
        <f>IFERROR(IF(AE350&lt;&gt;AE351,MAX((((AQ350*24*60)/2)*(1+POWER((((AR350*24*60) / (AQ350*24*60) )),2))) + ((AQ350*24*60 )*-0.1 + (AO350*0.015)) +1,(((AQ350*24*60)/2)*(1+POWER((((AR350*24*60) / (AQ350*24*60 ))),2)))),""),"")</f>
        <v/>
      </c>
      <c r="AU350" s="90">
        <f>IF(AND(AS350&lt;&gt;"",AP350&lt;&gt;""),IF(AE350&lt;&gt;AE351,((AP350*24*60) / 2 ) * (1 + POWER(((AS350*24*60) / (AP350*24*60)),2)),""),"")</f>
        <v/>
      </c>
      <c r="AV350" s="90">
        <f>IF(AU350&lt;&gt;"",MAX(AT350,AU350),"")</f>
        <v/>
      </c>
      <c r="AW350" s="89">
        <f>IF(AM350&lt;&gt;"H. Sale Real",IF(AND(AM351&lt;&gt;"",LEFT(AG351,2)&lt;&gt;"Va"),IF(AND(AM350&lt;&gt;"",LEFT(AG350,2)&lt;&gt;"Va",AM350&lt;&gt;"H. Sale Real"),IF(AM351-AM350&lt;0.208333333333333,AM351-AM350,""),IF(AND(AM349&lt;&gt;"",LEFT(AG349,2)&lt;&gt;"Va",AM349&lt;&gt;"H. Sale Real"),IF(AM351-AM349&lt;0.208333333333333,AM351-AM349,""),IF(AND(AM348&lt;&gt;"",LEFT(AG348,2)&lt;&gt;"Va",AM348&lt;&gt;"H. Sale Real"),IF(AM351-AM348&lt;0.208333333333333,AM351-AM348,""),IF(AND(AM347&lt;&gt;"",LEFT(AG347,2)&lt;&gt;"Va",AM347&lt;&gt;"H. Sale Real"),IF(AM351-AM347&lt;0.208333333333333,AM351-AM347,""),IF(AND(AM346&lt;&gt;"",LEFT(AG346,2)&lt;&gt;"Va",AM346&lt;&gt;"H. Sale Real"),IF(AM351-AM346&lt;0.208333333333333,AM351-AM346,""),""))))),""),"")</f>
        <v/>
      </c>
      <c r="AX350" s="89">
        <f>IF(AK350&lt;&gt;"H. Sale Real",IF(AND(AK351&lt;&gt;"",LEFT(AG351,2)&lt;&gt;"Va"),IF(AND(AK350&lt;&gt;"",LEFT(AG350,2)&lt;&gt;"Va",AK350&lt;&gt;"H. Sale Real"),IF(AK351-AK350&lt;0.208333333333333,AK351-AK350,""),IF(AND(AK349&lt;&gt;"",LEFT(AG349,2)&lt;&gt;"Va",AK349&lt;&gt;"H. Sale Real"),IF(AK351-AK349&lt;0.208333333333333,AK351-AK349,""),IF(AND(AK348&lt;&gt;"",LEFT(AG348,2)&lt;&gt;"NC",AK348&lt;&gt;"H. Sale Real"),IF(AK351-AK348&lt;0.208333333333333,AK351-AK348,""),IF(AND(AK347&lt;&gt;"",LEFT(AG347,2)&lt;&gt;"Va",AK347&lt;&gt;"H. Sale Real"),IF(AK351-AK347&lt;0.208333333333333,AK351-AK347,""),IF(AND(AK346&lt;&gt;"",LEFT(AG346,2)&lt;&gt;"Va",AK346&lt;&gt;"H. Sale Real"),IF(AK351-AK346&lt;0.208333333333333,AK351-AK346,""),""))))),""),"")</f>
        <v/>
      </c>
      <c r="AY350" s="87" t="n"/>
      <c r="AZ350" s="89" t="n"/>
      <c r="BA350" s="87" t="n"/>
      <c r="BB350" s="89" t="n"/>
      <c r="BC350" s="91" t="n"/>
      <c r="BD350" s="122">
        <f>IF(AK350&lt;&gt;"",IF(AND(BD349&lt;&gt;"IE",AT350&lt;&gt;0,AV350&lt;&gt;""),IF(IFERROR((AT350/AV350),0) &lt;=1,IFERROR(AT350/AV350,""),1),""),"")</f>
        <v/>
      </c>
      <c r="BE350" s="93" t="n"/>
      <c r="BF350" s="105" t="n"/>
      <c r="FC350" t="inlineStr">
        <is>
          <t>Diccionario 1</t>
        </is>
      </c>
      <c r="FD350" s="15" t="n">
        <v>1349</v>
      </c>
      <c r="FE350" s="15" t="inlineStr">
        <is>
          <t>MDN35025010188</t>
        </is>
      </c>
      <c r="FF350" s="15" t="inlineStr">
        <is>
          <t>LDYECS314S0044072</t>
        </is>
      </c>
      <c r="FG350" s="15" t="inlineStr">
        <is>
          <t>Zhong Tong</t>
        </is>
      </c>
      <c r="FH350" s="15" t="inlineStr">
        <is>
          <t>Lck6122evg</t>
        </is>
      </c>
      <c r="FI350" s="15" t="inlineStr">
        <is>
          <t>ZHONGTONG</t>
        </is>
      </c>
      <c r="FJ350" s="15" t="inlineStr">
        <is>
          <t>LCK6122EVG</t>
        </is>
      </c>
      <c r="FK350" s="15" t="n">
        <v>2025</v>
      </c>
      <c r="FL350" s="15" t="inlineStr">
        <is>
          <t>B</t>
        </is>
      </c>
      <c r="FM350" s="15" t="inlineStr">
        <is>
          <t>SAN ALFONSO</t>
        </is>
      </c>
      <c r="FN350" s="15" t="inlineStr">
        <is>
          <t>San Alfonso 2141 (Ramón Subercaseaux 3060)</t>
        </is>
      </c>
      <c r="FO350" s="15" t="inlineStr">
        <is>
          <t>Estacion Central</t>
        </is>
      </c>
      <c r="FP350" t="inlineStr">
        <is>
          <t>B</t>
        </is>
      </c>
      <c r="FS350" s="14" t="inlineStr">
        <is>
          <t>3093 / SFWZ-82|</t>
        </is>
      </c>
      <c r="FT350" t="inlineStr">
        <is>
          <t>SFWZ-82|</t>
        </is>
      </c>
      <c r="FU350" t="inlineStr">
        <is>
          <t>SFWZ-82</t>
        </is>
      </c>
      <c r="FV350">
        <f>VLOOKUP(FU350,FD:FL,9,0)</f>
        <v/>
      </c>
      <c r="HA350" s="35" t="n">
        <v>120</v>
      </c>
      <c r="HB350" s="35" t="n">
        <v>344</v>
      </c>
    </row>
    <row r="351" ht="15.5" customHeight="1">
      <c r="A351" s="10">
        <f>HOUR(G351)+1</f>
        <v/>
      </c>
      <c r="B351" s="7" t="n"/>
      <c r="C351" s="7" t="n"/>
      <c r="D351" s="85">
        <f>IFERROR(
IF(AND(OR(Planilla!B351="C",Planilla!B351="c"), VLOOKUP(E351,FD:FP,13,0)="C"), "OK",IF(AND(OR(Planilla!B351="C",Planilla!B351="c"), OR(VLOOKUP(E351,FD:FP,13,0)="B", VLOOKUP(E351,FD:FP,13,0)="A")), "DEFICIT",IF(
AND(OR(Planilla!B351="B", Planilla!B351="BPAL"), VLOOKUP(E351,FD:FP,13,0)="B"), "OK",IF(AND(OR(Planilla!B351="B", Planilla!B351="BPAL"), VLOOKUP(E351,FD:FP,13,0)="A"), "DEFICIT",IF(AND(OR(Planilla!B351="B", Planilla!B351="BPAL"), VLOOKUP(E351,FD:FP,13,0)="C"), "SOBREOFERTA",IF(AND(Planilla!B351="A", VLOOKUP(E351,FD:FP,13,0)="A"), "OK",IF(
AND(Planilla!B351="A", OR(VLOOKUP(E351,FD:FP,13,0)="B", VLOOKUP(E351,FD:FP,13,0)="C")), "SOBREOFERTA",""
))))))),"")</f>
        <v/>
      </c>
      <c r="E351" s="8" t="n"/>
      <c r="F351" s="86" t="n"/>
      <c r="G351" s="87" t="n"/>
      <c r="H351" s="88">
        <f>IF(I351="","",IF(AND((I351-G351)&gt;=TIME(0,0,0),(I351-G351)&lt;TIME(0,3,0)),"OK",IF(AND((I351-G351)&gt;=TIME(0,3,0),(I351-G351)&lt;TIME(0,5,0)),"RETRASO DE 3-5 MIN",IF(AND((I351-G351)&gt;=TIME(0,5,0),(I351-G351)&lt;TIME(0,10,0)),"RETRASO DE 5-10 MIN",IF((I351-G351)&gt;=TIME(0,10,0),"RETRASO &gt;10 MIN", IF(AND((G351-I351)&gt;=TIME(0,0,0),(G351-I351)&lt;TIME(0,3,0)),"OK",IF((G351-I351)&gt;=TIME(0,3,0),"ADELANTADO")))))))</f>
        <v/>
      </c>
      <c r="I351" s="89" t="n"/>
      <c r="J351" s="89">
        <f>IF(A351&lt;&gt;"",HLOOKUP(VALUE(TEXT(G351,"h:mm:ss")),IF($C$6="Laboral",$FZ$4:$GX$227,IF($C$6="Sábado",$FZ$231:$GX$452,$FZ$456:$GX$656)),VLOOKUP($C$4,$HF$2:$HH$99,3,0)+IF(C$5="Ida",0,1),1),"")</f>
        <v/>
      </c>
      <c r="K351" s="89">
        <f>IF(A352&lt;&gt;A351,AVERAGEIF(A$9:A351,A351,J$9:J351),"")</f>
        <v/>
      </c>
      <c r="L351" s="89">
        <f>IFERROR(IF(A352&lt;&gt;A351,AVERAGEIF(A$9:A351,A351,S$9:S351),""),"")</f>
        <v/>
      </c>
      <c r="M351" s="89">
        <f>IFERROR(IF(A352&lt;&gt;A351,AVERAGEIF(A$9:A351,A351,T$9:T351),""),"")</f>
        <v/>
      </c>
      <c r="N351" s="89">
        <f t="array" ref="N351">IFERROR(IF(A352&lt;&gt;A351,_xlfn.STDEV.P(IF(A$9:A351=A351,T$9:T351)),""),"")</f>
        <v/>
      </c>
      <c r="O351" s="89">
        <f t="array" ref="O351">IFERROR(IF(A352&lt;&gt;A351,_xlfn.STDEV.P(IF(A$9:A351=A351,S$9:S351)),""),"")</f>
        <v/>
      </c>
      <c r="P351" s="90">
        <f>IFERROR(IF(A351&lt;&gt;A352,MAX((((M351*24*60)/2)*(1+POWER((((N351*24*60) / (M351*24*60) )),2))) + ((M351*24*60 )*-0.1 + (K351*0.015)) +1,(((M351*24*60)/2)*(1+POWER((((N351*24*60) / (M351*24*60 ))),2)))),""),"")</f>
        <v/>
      </c>
      <c r="Q351" s="90">
        <f>IF(AND(O351&lt;&gt;"",L351&lt;&gt;""),IF(A351&lt;&gt;A352,((L351*24*60) / 2 ) * (1 + POWER(((O351*24*60) / (L351*24*60)),2)),""),"")</f>
        <v/>
      </c>
      <c r="R351" s="90">
        <f>IF(Q351&lt;&gt;"",MAX(P351,Q351),"")</f>
        <v/>
      </c>
      <c r="S351" s="89">
        <f>IF(I351&lt;&gt;"H. Sale Real",IF(AND(I352&lt;&gt;"",LEFT(C352,2)&lt;&gt;"Va"),IF(AND(I351&lt;&gt;"",LEFT(C351,2)&lt;&gt;"Va",I351&lt;&gt;"H. Sale Real"),IF(I352-I351&lt;0.208333333333333,I352-I351,""),IF(AND(I350&lt;&gt;"",LEFT(C350,2)&lt;&gt;"Va",I350&lt;&gt;"H. Sale Real"),IF(I352-I350&lt;0.208333333333333,I352-I350,""),IF(AND(I349&lt;&gt;"",LEFT(C349,2)&lt;&gt;"Va",I349&lt;&gt;"H. Sale Real"),IF(I352-I349&lt;0.208333333333333,I352-I349,""),IF(AND(I348&lt;&gt;"",LEFT(C348,2)&lt;&gt;"Va",I348&lt;&gt;"H. Sale Real"),IF(I352-I348&lt;0.208333333333333,I352-I348,""),IF(AND(I347&lt;&gt;"",LEFT(C347,2)&lt;&gt;"Va",I347&lt;&gt;"H. Sale Real"),IF(I352-I347&lt;0.208333333333333,I352-I347,""),""))))),""),"")</f>
        <v/>
      </c>
      <c r="T351" s="89">
        <f>IF(G351&lt;&gt;"H. Sale Real",IF(AND(G352&lt;&gt;"",LEFT(C352,2)&lt;&gt;"Va"),IF(AND(G351&lt;&gt;"",LEFT(C351,2)&lt;&gt;"Va",G351&lt;&gt;"H. Sale Real"),IF(G352-G351&lt;0.208333333333333,G352-G351,""),IF(AND(G350&lt;&gt;"",LEFT(C350,2)&lt;&gt;"Va",G350&lt;&gt;"H. Sale Real"),IF(G352-G350&lt;0.208333333333333,G352-G350,""),IF(AND(G349&lt;&gt;"",LEFT(C349,2)&lt;&gt;"Va",G349&lt;&gt;"H. Sale Real"),IF(G352-G349&lt;0.208333333333333,G352-G349,""),IF(AND(G348&lt;&gt;"",LEFT(C348,2)&lt;&gt;"Va",G348&lt;&gt;"H. Sale Real"),IF(G352-G348&lt;0.208333333333333,G352-G348,""),IF(AND(G347&lt;&gt;"",LEFT(C347,2)&lt;&gt;"Va",G347&lt;&gt;"H. Sale Real"),IF(G352-G347&lt;0.208333333333333,G352-G347,""),""))))),""),"")</f>
        <v/>
      </c>
      <c r="U351" s="87" t="n"/>
      <c r="V351" s="89" t="n"/>
      <c r="W351" s="87" t="n"/>
      <c r="X351" s="89" t="n"/>
      <c r="Y351" s="91" t="n"/>
      <c r="Z351" s="122">
        <f>IF(G351&lt;&gt;"",IF(AND(Z350&lt;&gt;"IE",P351&lt;&gt;0,R351&lt;&gt;""),IF(IFERROR((P351/R351),0) &lt;=1,IFERROR(P351/R351,""),1),""),"")</f>
        <v/>
      </c>
      <c r="AA351" s="93" t="n"/>
      <c r="AB351" s="2" t="n"/>
      <c r="AE351" s="10">
        <f>HOUR(AK351)+1</f>
        <v/>
      </c>
      <c r="AF351" s="7" t="n"/>
      <c r="AG351" s="7" t="n"/>
      <c r="AH351" s="86" t="n"/>
      <c r="AI351" s="8" t="n"/>
      <c r="AJ351" s="86" t="n"/>
      <c r="AK351" s="87" t="n"/>
      <c r="AL351" s="88">
        <f>IF(AM351="","",IF(AND((AM351-AK351)&gt;=TIME(0,0,0),(AM351-AK351)&lt;TIME(0,3,0)),"OK",IF(AND((AM351-AK351)&gt;=TIME(0,3,0),(AM351-AK351)&lt;TIME(0,5,0)),"RETRASO DE 3-5 MIN",IF(AND((AM351-AK351)&gt;=TIME(0,5,0),(AM351-AK351)&lt;TIME(0,10,0)),"RETRASO DE 5-10 MIN",IF((AM351-AK351)&gt;=TIME(0,10,0),"RETRASO &gt;10 MIN", IF(AND((AK351-AM351)&gt;=TIME(0,0,0),(AK351-AM351)&lt;TIME(0,3,0)),"OK",IF((AK351-AM351)&gt;=TIME(0,3,0),"ADELANTADO")))))))</f>
        <v/>
      </c>
      <c r="AM351" s="91" t="n"/>
      <c r="AN351" s="89">
        <f>IF(AE351&lt;&gt;"",HLOOKUP(VALUE(TEXT(AK351,"h:mm:ss")),IF($C$6="Laboral",$FZ$4:$GX$227,IF($C$6="Sábado",$FZ$231:$GX$452,$FZ$456:$GX$656)),VLOOKUP($C$4,$HF$2:$HH$99,3,0)+IF(AG$5="Ida",0,1),1),"")</f>
        <v/>
      </c>
      <c r="AO351" s="89">
        <f>IF(AE352&lt;&gt;AE351,AVERAGEIF(AE$9:AE351,AE351,AN$9:AN351),"")</f>
        <v/>
      </c>
      <c r="AP351" s="89">
        <f>IFERROR(IF(AE352&lt;&gt;AE351,AVERAGEIF(AE$9:AE351,AE351,AW$9:AW351),""),"")</f>
        <v/>
      </c>
      <c r="AQ351" s="89">
        <f>IFERROR(IF(AE352&lt;&gt;AE351,AVERAGEIF(AE$9:AE351,AE351,AX$9:AX351),""),"")</f>
        <v/>
      </c>
      <c r="AR351" s="89">
        <f t="array" ref="AR351">IFERROR(IF(AE352&lt;&gt;AE351,_xlfn.STDEV.P(IF(AE$9:AE351=AE351,AX$9:AX351)),""),"")</f>
        <v/>
      </c>
      <c r="AS351" s="89">
        <f t="array" ref="AS351">IFERROR(IF(AE352&lt;&gt;AE351,_xlfn.STDEV.P(IF(AE$9:AE351=AE351,AW$9:AW351)),""),"")</f>
        <v/>
      </c>
      <c r="AT351" s="90">
        <f>IFERROR(IF(AE351&lt;&gt;AE352,MAX((((AQ351*24*60)/2)*(1+POWER((((AR351*24*60) / (AQ351*24*60) )),2))) + ((AQ351*24*60 )*-0.1 + (AO351*0.015)) +1,(((AQ351*24*60)/2)*(1+POWER((((AR351*24*60) / (AQ351*24*60 ))),2)))),""),"")</f>
        <v/>
      </c>
      <c r="AU351" s="90">
        <f>IF(AND(AS351&lt;&gt;"",AP351&lt;&gt;""),IF(AE351&lt;&gt;AE352,((AP351*24*60) / 2 ) * (1 + POWER(((AS351*24*60) / (AP351*24*60)),2)),""),"")</f>
        <v/>
      </c>
      <c r="AV351" s="90">
        <f>IF(AU351&lt;&gt;"",MAX(AT351,AU351),"")</f>
        <v/>
      </c>
      <c r="AW351" s="89">
        <f>IF(AM351&lt;&gt;"H. Sale Real",IF(AND(AM352&lt;&gt;"",LEFT(AG352,2)&lt;&gt;"Va"),IF(AND(AM351&lt;&gt;"",LEFT(AG351,2)&lt;&gt;"Va",AM351&lt;&gt;"H. Sale Real"),IF(AM352-AM351&lt;0.208333333333333,AM352-AM351,""),IF(AND(AM350&lt;&gt;"",LEFT(AG350,2)&lt;&gt;"Va",AM350&lt;&gt;"H. Sale Real"),IF(AM352-AM350&lt;0.208333333333333,AM352-AM350,""),IF(AND(AM349&lt;&gt;"",LEFT(AG349,2)&lt;&gt;"Va",AM349&lt;&gt;"H. Sale Real"),IF(AM352-AM349&lt;0.208333333333333,AM352-AM349,""),IF(AND(AM348&lt;&gt;"",LEFT(AG348,2)&lt;&gt;"Va",AM348&lt;&gt;"H. Sale Real"),IF(AM352-AM348&lt;0.208333333333333,AM352-AM348,""),IF(AND(AM347&lt;&gt;"",LEFT(AG347,2)&lt;&gt;"Va",AM347&lt;&gt;"H. Sale Real"),IF(AM352-AM347&lt;0.208333333333333,AM352-AM347,""),""))))),""),"")</f>
        <v/>
      </c>
      <c r="AX351" s="89">
        <f>IF(AK351&lt;&gt;"H. Sale Real",IF(AND(AK352&lt;&gt;"",LEFT(AG352,2)&lt;&gt;"Va"),IF(AND(AK351&lt;&gt;"",LEFT(AG351,2)&lt;&gt;"Va",AK351&lt;&gt;"H. Sale Real"),IF(AK352-AK351&lt;0.208333333333333,AK352-AK351,""),IF(AND(AK350&lt;&gt;"",LEFT(AG350,2)&lt;&gt;"Va",AK350&lt;&gt;"H. Sale Real"),IF(AK352-AK350&lt;0.208333333333333,AK352-AK350,""),IF(AND(AK349&lt;&gt;"",LEFT(AG349,2)&lt;&gt;"NC",AK349&lt;&gt;"H. Sale Real"),IF(AK352-AK349&lt;0.208333333333333,AK352-AK349,""),IF(AND(AK348&lt;&gt;"",LEFT(AG348,2)&lt;&gt;"Va",AK348&lt;&gt;"H. Sale Real"),IF(AK352-AK348&lt;0.208333333333333,AK352-AK348,""),IF(AND(AK347&lt;&gt;"",LEFT(AG347,2)&lt;&gt;"Va",AK347&lt;&gt;"H. Sale Real"),IF(AK352-AK347&lt;0.208333333333333,AK352-AK347,""),""))))),""),"")</f>
        <v/>
      </c>
      <c r="AY351" s="87" t="n"/>
      <c r="AZ351" s="89" t="n"/>
      <c r="BA351" s="87" t="n"/>
      <c r="BB351" s="89" t="n"/>
      <c r="BC351" s="91" t="n"/>
      <c r="BD351" s="122">
        <f>IF(AK351&lt;&gt;"",IF(AND(BD350&lt;&gt;"IE",AT351&lt;&gt;0,AV351&lt;&gt;""),IF(IFERROR((AT351/AV351),0) &lt;=1,IFERROR(AT351/AV351,""),1),""),"")</f>
        <v/>
      </c>
      <c r="BE351" s="93" t="n"/>
      <c r="BF351" s="105" t="n"/>
      <c r="FC351" t="inlineStr">
        <is>
          <t>Diccionario 1</t>
        </is>
      </c>
      <c r="FD351" s="15" t="n">
        <v>1350</v>
      </c>
      <c r="FE351" s="15" t="inlineStr">
        <is>
          <t>MDN35025010203</t>
        </is>
      </c>
      <c r="FF351" s="15" t="inlineStr">
        <is>
          <t>LDYECS311S0044109</t>
        </is>
      </c>
      <c r="FG351" s="15" t="inlineStr">
        <is>
          <t>Zhong Tong</t>
        </is>
      </c>
      <c r="FH351" s="15" t="inlineStr">
        <is>
          <t>Lck6122evg</t>
        </is>
      </c>
      <c r="FI351" s="15" t="inlineStr">
        <is>
          <t>ZHONGTONG</t>
        </is>
      </c>
      <c r="FJ351" s="15" t="inlineStr">
        <is>
          <t>LCK6122EVG</t>
        </is>
      </c>
      <c r="FK351" s="15" t="n">
        <v>2025</v>
      </c>
      <c r="FL351" s="15" t="inlineStr">
        <is>
          <t>B</t>
        </is>
      </c>
      <c r="FM351" s="15" t="inlineStr">
        <is>
          <t>SAN ALFONSO</t>
        </is>
      </c>
      <c r="FN351" s="15" t="inlineStr">
        <is>
          <t>San Alfonso 2141 (Ramón Subercaseaux 3060)</t>
        </is>
      </c>
      <c r="FO351" s="15" t="inlineStr">
        <is>
          <t>Estacion Central</t>
        </is>
      </c>
      <c r="FP351" t="inlineStr">
        <is>
          <t>B</t>
        </is>
      </c>
      <c r="FS351" s="14" t="inlineStr">
        <is>
          <t>3093 / SFWZ-82|</t>
        </is>
      </c>
      <c r="FT351" t="inlineStr">
        <is>
          <t>SFWZ-82|</t>
        </is>
      </c>
      <c r="FU351" t="inlineStr">
        <is>
          <t>SFWZ-82</t>
        </is>
      </c>
      <c r="FV351">
        <f>VLOOKUP(FU351,FD:FL,9,0)</f>
        <v/>
      </c>
      <c r="HA351" s="35" t="n">
        <v>121</v>
      </c>
      <c r="HB351" s="35" t="n">
        <v>345</v>
      </c>
    </row>
    <row r="352" ht="15.5" customHeight="1">
      <c r="A352" s="10">
        <f>HOUR(G352)+1</f>
        <v/>
      </c>
      <c r="B352" s="7" t="n"/>
      <c r="C352" s="7" t="n"/>
      <c r="D352" s="85">
        <f>IFERROR(
IF(AND(OR(Planilla!B352="C",Planilla!B352="c"), VLOOKUP(E352,FD:FP,13,0)="C"), "OK",IF(AND(OR(Planilla!B352="C",Planilla!B352="c"), OR(VLOOKUP(E352,FD:FP,13,0)="B", VLOOKUP(E352,FD:FP,13,0)="A")), "DEFICIT",IF(
AND(OR(Planilla!B352="B", Planilla!B352="BPAL"), VLOOKUP(E352,FD:FP,13,0)="B"), "OK",IF(AND(OR(Planilla!B352="B", Planilla!B352="BPAL"), VLOOKUP(E352,FD:FP,13,0)="A"), "DEFICIT",IF(AND(OR(Planilla!B352="B", Planilla!B352="BPAL"), VLOOKUP(E352,FD:FP,13,0)="C"), "SOBREOFERTA",IF(AND(Planilla!B352="A", VLOOKUP(E352,FD:FP,13,0)="A"), "OK",IF(
AND(Planilla!B352="A", OR(VLOOKUP(E352,FD:FP,13,0)="B", VLOOKUP(E352,FD:FP,13,0)="C")), "SOBREOFERTA",""
))))))),"")</f>
        <v/>
      </c>
      <c r="E352" s="8" t="n"/>
      <c r="F352" s="86" t="n"/>
      <c r="G352" s="87" t="n"/>
      <c r="H352" s="88">
        <f>IF(I352="","",IF(AND((I352-G352)&gt;=TIME(0,0,0),(I352-G352)&lt;TIME(0,3,0)),"OK",IF(AND((I352-G352)&gt;=TIME(0,3,0),(I352-G352)&lt;TIME(0,5,0)),"RETRASO DE 3-5 MIN",IF(AND((I352-G352)&gt;=TIME(0,5,0),(I352-G352)&lt;TIME(0,10,0)),"RETRASO DE 5-10 MIN",IF((I352-G352)&gt;=TIME(0,10,0),"RETRASO &gt;10 MIN", IF(AND((G352-I352)&gt;=TIME(0,0,0),(G352-I352)&lt;TIME(0,3,0)),"OK",IF((G352-I352)&gt;=TIME(0,3,0),"ADELANTADO")))))))</f>
        <v/>
      </c>
      <c r="I352" s="89" t="n"/>
      <c r="J352" s="89">
        <f>IF(A352&lt;&gt;"",HLOOKUP(VALUE(TEXT(G352,"h:mm:ss")),IF($C$6="Laboral",$FZ$4:$GX$227,IF($C$6="Sábado",$FZ$231:$GX$452,$FZ$456:$GX$656)),VLOOKUP($C$4,$HF$2:$HH$99,3,0)+IF(C$5="Ida",0,1),1),"")</f>
        <v/>
      </c>
      <c r="K352" s="89">
        <f>IF(A353&lt;&gt;A352,AVERAGEIF(A$9:A352,A352,J$9:J352),"")</f>
        <v/>
      </c>
      <c r="L352" s="89">
        <f>IFERROR(IF(A353&lt;&gt;A352,AVERAGEIF(A$9:A352,A352,S$9:S352),""),"")</f>
        <v/>
      </c>
      <c r="M352" s="89">
        <f>IFERROR(IF(A353&lt;&gt;A352,AVERAGEIF(A$9:A352,A352,T$9:T352),""),"")</f>
        <v/>
      </c>
      <c r="N352" s="89">
        <f t="array" ref="N352">IFERROR(IF(A353&lt;&gt;A352,_xlfn.STDEV.P(IF(A$9:A352=A352,T$9:T352)),""),"")</f>
        <v/>
      </c>
      <c r="O352" s="89">
        <f t="array" ref="O352">IFERROR(IF(A353&lt;&gt;A352,_xlfn.STDEV.P(IF(A$9:A352=A352,S$9:S352)),""),"")</f>
        <v/>
      </c>
      <c r="P352" s="90">
        <f>IFERROR(IF(A352&lt;&gt;A353,MAX((((M352*24*60)/2)*(1+POWER((((N352*24*60) / (M352*24*60) )),2))) + ((M352*24*60 )*-0.1 + (K352*0.015)) +1,(((M352*24*60)/2)*(1+POWER((((N352*24*60) / (M352*24*60 ))),2)))),""),"")</f>
        <v/>
      </c>
      <c r="Q352" s="90">
        <f>IF(AND(O352&lt;&gt;"",L352&lt;&gt;""),IF(A352&lt;&gt;A353,((L352*24*60) / 2 ) * (1 + POWER(((O352*24*60) / (L352*24*60)),2)),""),"")</f>
        <v/>
      </c>
      <c r="R352" s="90">
        <f>IF(Q352&lt;&gt;"",MAX(P352,Q352),"")</f>
        <v/>
      </c>
      <c r="S352" s="89">
        <f>IF(I352&lt;&gt;"H. Sale Real",IF(AND(I353&lt;&gt;"",LEFT(C353,2)&lt;&gt;"Va"),IF(AND(I352&lt;&gt;"",LEFT(C352,2)&lt;&gt;"Va",I352&lt;&gt;"H. Sale Real"),IF(I353-I352&lt;0.208333333333333,I353-I352,""),IF(AND(I351&lt;&gt;"",LEFT(C351,2)&lt;&gt;"Va",I351&lt;&gt;"H. Sale Real"),IF(I353-I351&lt;0.208333333333333,I353-I351,""),IF(AND(I350&lt;&gt;"",LEFT(C350,2)&lt;&gt;"Va",I350&lt;&gt;"H. Sale Real"),IF(I353-I350&lt;0.208333333333333,I353-I350,""),IF(AND(I349&lt;&gt;"",LEFT(C349,2)&lt;&gt;"Va",I349&lt;&gt;"H. Sale Real"),IF(I353-I349&lt;0.208333333333333,I353-I349,""),IF(AND(I348&lt;&gt;"",LEFT(C348,2)&lt;&gt;"Va",I348&lt;&gt;"H. Sale Real"),IF(I353-I348&lt;0.208333333333333,I353-I348,""),""))))),""),"")</f>
        <v/>
      </c>
      <c r="T352" s="89">
        <f>IF(G352&lt;&gt;"H. Sale Real",IF(AND(G353&lt;&gt;"",LEFT(C353,2)&lt;&gt;"Va"),IF(AND(G352&lt;&gt;"",LEFT(C352,2)&lt;&gt;"Va",G352&lt;&gt;"H. Sale Real"),IF(G353-G352&lt;0.208333333333333,G353-G352,""),IF(AND(G351&lt;&gt;"",LEFT(C351,2)&lt;&gt;"Va",G351&lt;&gt;"H. Sale Real"),IF(G353-G351&lt;0.208333333333333,G353-G351,""),IF(AND(G350&lt;&gt;"",LEFT(C350,2)&lt;&gt;"Va",G350&lt;&gt;"H. Sale Real"),IF(G353-G350&lt;0.208333333333333,G353-G350,""),IF(AND(G349&lt;&gt;"",LEFT(C349,2)&lt;&gt;"Va",G349&lt;&gt;"H. Sale Real"),IF(G353-G349&lt;0.208333333333333,G353-G349,""),IF(AND(G348&lt;&gt;"",LEFT(C348,2)&lt;&gt;"Va",G348&lt;&gt;"H. Sale Real"),IF(G353-G348&lt;0.208333333333333,G353-G348,""),""))))),""),"")</f>
        <v/>
      </c>
      <c r="U352" s="87" t="n"/>
      <c r="V352" s="89" t="n"/>
      <c r="W352" s="87" t="n"/>
      <c r="X352" s="89" t="n"/>
      <c r="Y352" s="91" t="n"/>
      <c r="Z352" s="122">
        <f>IF(G352&lt;&gt;"",IF(AND(Z351&lt;&gt;"IE",P352&lt;&gt;0,R352&lt;&gt;""),IF(IFERROR((P352/R352),0) &lt;=1,IFERROR(P352/R352,""),1),""),"")</f>
        <v/>
      </c>
      <c r="AA352" s="93" t="n"/>
      <c r="AB352" s="2" t="n"/>
      <c r="AE352" s="10">
        <f>HOUR(AK352)+1</f>
        <v/>
      </c>
      <c r="AF352" s="7" t="n"/>
      <c r="AG352" s="7" t="n"/>
      <c r="AH352" s="86" t="n"/>
      <c r="AI352" s="8" t="n"/>
      <c r="AJ352" s="86" t="n"/>
      <c r="AK352" s="87" t="n"/>
      <c r="AL352" s="88">
        <f>IF(AM352="","",IF(AND((AM352-AK352)&gt;=TIME(0,0,0),(AM352-AK352)&lt;TIME(0,3,0)),"OK",IF(AND((AM352-AK352)&gt;=TIME(0,3,0),(AM352-AK352)&lt;TIME(0,5,0)),"RETRASO DE 3-5 MIN",IF(AND((AM352-AK352)&gt;=TIME(0,5,0),(AM352-AK352)&lt;TIME(0,10,0)),"RETRASO DE 5-10 MIN",IF((AM352-AK352)&gt;=TIME(0,10,0),"RETRASO &gt;10 MIN", IF(AND((AK352-AM352)&gt;=TIME(0,0,0),(AK352-AM352)&lt;TIME(0,3,0)),"OK",IF((AK352-AM352)&gt;=TIME(0,3,0),"ADELANTADO")))))))</f>
        <v/>
      </c>
      <c r="AM352" s="91" t="n"/>
      <c r="AN352" s="89">
        <f>IF(AE352&lt;&gt;"",HLOOKUP(VALUE(TEXT(AK352,"h:mm:ss")),IF($C$6="Laboral",$FZ$4:$GX$227,IF($C$6="Sábado",$FZ$231:$GX$452,$FZ$456:$GX$656)),VLOOKUP($C$4,$HF$2:$HH$99,3,0)+IF(AG$5="Ida",0,1),1),"")</f>
        <v/>
      </c>
      <c r="AO352" s="89">
        <f>IF(AE353&lt;&gt;AE352,AVERAGEIF(AE$9:AE352,AE352,AN$9:AN352),"")</f>
        <v/>
      </c>
      <c r="AP352" s="89">
        <f>IFERROR(IF(AE353&lt;&gt;AE352,AVERAGEIF(AE$9:AE352,AE352,AW$9:AW352),""),"")</f>
        <v/>
      </c>
      <c r="AQ352" s="89">
        <f>IFERROR(IF(AE353&lt;&gt;AE352,AVERAGEIF(AE$9:AE352,AE352,AX$9:AX352),""),"")</f>
        <v/>
      </c>
      <c r="AR352" s="89">
        <f t="array" ref="AR352">IFERROR(IF(AE353&lt;&gt;AE352,_xlfn.STDEV.P(IF(AE$9:AE352=AE352,AX$9:AX352)),""),"")</f>
        <v/>
      </c>
      <c r="AS352" s="89">
        <f t="array" ref="AS352">IFERROR(IF(AE353&lt;&gt;AE352,_xlfn.STDEV.P(IF(AE$9:AE352=AE352,AW$9:AW352)),""),"")</f>
        <v/>
      </c>
      <c r="AT352" s="90">
        <f>IFERROR(IF(AE352&lt;&gt;AE353,MAX((((AQ352*24*60)/2)*(1+POWER((((AR352*24*60) / (AQ352*24*60) )),2))) + ((AQ352*24*60 )*-0.1 + (AO352*0.015)) +1,(((AQ352*24*60)/2)*(1+POWER((((AR352*24*60) / (AQ352*24*60 ))),2)))),""),"")</f>
        <v/>
      </c>
      <c r="AU352" s="90">
        <f>IF(AND(AS352&lt;&gt;"",AP352&lt;&gt;""),IF(AE352&lt;&gt;AE353,((AP352*24*60) / 2 ) * (1 + POWER(((AS352*24*60) / (AP352*24*60)),2)),""),"")</f>
        <v/>
      </c>
      <c r="AV352" s="90">
        <f>IF(AU352&lt;&gt;"",MAX(AT352,AU352),"")</f>
        <v/>
      </c>
      <c r="AW352" s="89">
        <f>IF(AM352&lt;&gt;"H. Sale Real",IF(AND(AM353&lt;&gt;"",LEFT(AG353,2)&lt;&gt;"Va"),IF(AND(AM352&lt;&gt;"",LEFT(AG352,2)&lt;&gt;"Va",AM352&lt;&gt;"H. Sale Real"),IF(AM353-AM352&lt;0.208333333333333,AM353-AM352,""),IF(AND(AM351&lt;&gt;"",LEFT(AG351,2)&lt;&gt;"Va",AM351&lt;&gt;"H. Sale Real"),IF(AM353-AM351&lt;0.208333333333333,AM353-AM351,""),IF(AND(AM350&lt;&gt;"",LEFT(AG350,2)&lt;&gt;"Va",AM350&lt;&gt;"H. Sale Real"),IF(AM353-AM350&lt;0.208333333333333,AM353-AM350,""),IF(AND(AM349&lt;&gt;"",LEFT(AG349,2)&lt;&gt;"Va",AM349&lt;&gt;"H. Sale Real"),IF(AM353-AM349&lt;0.208333333333333,AM353-AM349,""),IF(AND(AM348&lt;&gt;"",LEFT(AG348,2)&lt;&gt;"Va",AM348&lt;&gt;"H. Sale Real"),IF(AM353-AM348&lt;0.208333333333333,AM353-AM348,""),""))))),""),"")</f>
        <v/>
      </c>
      <c r="AX352" s="89">
        <f>IF(AK352&lt;&gt;"H. Sale Real",IF(AND(AK353&lt;&gt;"",LEFT(AG353,2)&lt;&gt;"Va"),IF(AND(AK352&lt;&gt;"",LEFT(AG352,2)&lt;&gt;"Va",AK352&lt;&gt;"H. Sale Real"),IF(AK353-AK352&lt;0.208333333333333,AK353-AK352,""),IF(AND(AK351&lt;&gt;"",LEFT(AG351,2)&lt;&gt;"Va",AK351&lt;&gt;"H. Sale Real"),IF(AK353-AK351&lt;0.208333333333333,AK353-AK351,""),IF(AND(AK350&lt;&gt;"",LEFT(AG350,2)&lt;&gt;"NC",AK350&lt;&gt;"H. Sale Real"),IF(AK353-AK350&lt;0.208333333333333,AK353-AK350,""),IF(AND(AK349&lt;&gt;"",LEFT(AG349,2)&lt;&gt;"Va",AK349&lt;&gt;"H. Sale Real"),IF(AK353-AK349&lt;0.208333333333333,AK353-AK349,""),IF(AND(AK348&lt;&gt;"",LEFT(AG348,2)&lt;&gt;"Va",AK348&lt;&gt;"H. Sale Real"),IF(AK353-AK348&lt;0.208333333333333,AK353-AK348,""),""))))),""),"")</f>
        <v/>
      </c>
      <c r="AY352" s="87" t="n"/>
      <c r="AZ352" s="89" t="n"/>
      <c r="BA352" s="87" t="n"/>
      <c r="BB352" s="89" t="n"/>
      <c r="BC352" s="91" t="n"/>
      <c r="BD352" s="122">
        <f>IF(AK352&lt;&gt;"",IF(AND(BD351&lt;&gt;"IE",AT352&lt;&gt;0,AV352&lt;&gt;""),IF(IFERROR((AT352/AV352),0) &lt;=1,IFERROR(AT352/AV352,""),1),""),"")</f>
        <v/>
      </c>
      <c r="BE352" s="93" t="n"/>
      <c r="BF352" s="105" t="n"/>
      <c r="FC352" t="inlineStr">
        <is>
          <t>Diccionario 1</t>
        </is>
      </c>
      <c r="FD352" s="15" t="n">
        <v>1351</v>
      </c>
      <c r="FE352" s="15" t="inlineStr">
        <is>
          <t>MDN35025010193</t>
        </is>
      </c>
      <c r="FF352" s="15" t="inlineStr">
        <is>
          <t>LDYECS312S0044068</t>
        </is>
      </c>
      <c r="FG352" s="15" t="inlineStr">
        <is>
          <t>Zhong Tong</t>
        </is>
      </c>
      <c r="FH352" s="15" t="inlineStr">
        <is>
          <t>Lck6122evg</t>
        </is>
      </c>
      <c r="FI352" s="15" t="inlineStr">
        <is>
          <t>ZHONGTONG</t>
        </is>
      </c>
      <c r="FJ352" s="15" t="inlineStr">
        <is>
          <t>LCK6122EVG</t>
        </is>
      </c>
      <c r="FK352" s="15" t="n">
        <v>2025</v>
      </c>
      <c r="FL352" s="15" t="inlineStr">
        <is>
          <t>B</t>
        </is>
      </c>
      <c r="FM352" s="15" t="inlineStr">
        <is>
          <t>SAN ALFONSO</t>
        </is>
      </c>
      <c r="FN352" s="15" t="inlineStr">
        <is>
          <t>San Alfonso 2141 (Ramón Subercaseaux 3060)</t>
        </is>
      </c>
      <c r="FO352" s="15" t="inlineStr">
        <is>
          <t>Estacion Central</t>
        </is>
      </c>
      <c r="FP352" t="inlineStr">
        <is>
          <t>B</t>
        </is>
      </c>
      <c r="FS352" s="14" t="inlineStr">
        <is>
          <t>3093 / SFWZ-82|</t>
        </is>
      </c>
      <c r="FT352" t="inlineStr">
        <is>
          <t>SFWZ-82|</t>
        </is>
      </c>
      <c r="FU352" t="inlineStr">
        <is>
          <t>SFWZ-82</t>
        </is>
      </c>
      <c r="FV352">
        <f>VLOOKUP(FU352,FD:FL,9,0)</f>
        <v/>
      </c>
      <c r="HA352" s="35" t="n">
        <v>122</v>
      </c>
      <c r="HB352" s="35" t="n">
        <v>346</v>
      </c>
    </row>
    <row r="353" ht="15.5" customHeight="1">
      <c r="A353" s="10">
        <f>HOUR(G353)+1</f>
        <v/>
      </c>
      <c r="B353" s="7" t="n"/>
      <c r="C353" s="7" t="n"/>
      <c r="D353" s="85">
        <f>IFERROR(
IF(AND(OR(Planilla!B353="C",Planilla!B353="c"), VLOOKUP(E353,FD:FP,13,0)="C"), "OK",IF(AND(OR(Planilla!B353="C",Planilla!B353="c"), OR(VLOOKUP(E353,FD:FP,13,0)="B", VLOOKUP(E353,FD:FP,13,0)="A")), "DEFICIT",IF(
AND(OR(Planilla!B353="B", Planilla!B353="BPAL"), VLOOKUP(E353,FD:FP,13,0)="B"), "OK",IF(AND(OR(Planilla!B353="B", Planilla!B353="BPAL"), VLOOKUP(E353,FD:FP,13,0)="A"), "DEFICIT",IF(AND(OR(Planilla!B353="B", Planilla!B353="BPAL"), VLOOKUP(E353,FD:FP,13,0)="C"), "SOBREOFERTA",IF(AND(Planilla!B353="A", VLOOKUP(E353,FD:FP,13,0)="A"), "OK",IF(
AND(Planilla!B353="A", OR(VLOOKUP(E353,FD:FP,13,0)="B", VLOOKUP(E353,FD:FP,13,0)="C")), "SOBREOFERTA",""
))))))),"")</f>
        <v/>
      </c>
      <c r="E353" s="8" t="n"/>
      <c r="F353" s="86" t="n"/>
      <c r="G353" s="87" t="n"/>
      <c r="H353" s="88">
        <f>IF(I353="","",IF(AND((I353-G353)&gt;=TIME(0,0,0),(I353-G353)&lt;TIME(0,3,0)),"OK",IF(AND((I353-G353)&gt;=TIME(0,3,0),(I353-G353)&lt;TIME(0,5,0)),"RETRASO DE 3-5 MIN",IF(AND((I353-G353)&gt;=TIME(0,5,0),(I353-G353)&lt;TIME(0,10,0)),"RETRASO DE 5-10 MIN",IF((I353-G353)&gt;=TIME(0,10,0),"RETRASO &gt;10 MIN", IF(AND((G353-I353)&gt;=TIME(0,0,0),(G353-I353)&lt;TIME(0,3,0)),"OK",IF((G353-I353)&gt;=TIME(0,3,0),"ADELANTADO")))))))</f>
        <v/>
      </c>
      <c r="I353" s="89" t="n"/>
      <c r="J353" s="89">
        <f>IF(A353&lt;&gt;"",HLOOKUP(VALUE(TEXT(G353,"h:mm:ss")),IF($C$6="Laboral",$FZ$4:$GX$227,IF($C$6="Sábado",$FZ$231:$GX$452,$FZ$456:$GX$656)),VLOOKUP($C$4,$HF$2:$HH$99,3,0)+IF(C$5="Ida",0,1),1),"")</f>
        <v/>
      </c>
      <c r="K353" s="89">
        <f>IF(A354&lt;&gt;A353,AVERAGEIF(A$9:A353,A353,J$9:J353),"")</f>
        <v/>
      </c>
      <c r="L353" s="89">
        <f>IFERROR(IF(A354&lt;&gt;A353,AVERAGEIF(A$9:A353,A353,S$9:S353),""),"")</f>
        <v/>
      </c>
      <c r="M353" s="89">
        <f>IFERROR(IF(A354&lt;&gt;A353,AVERAGEIF(A$9:A353,A353,T$9:T353),""),"")</f>
        <v/>
      </c>
      <c r="N353" s="89">
        <f t="array" ref="N353">IFERROR(IF(A354&lt;&gt;A353,_xlfn.STDEV.P(IF(A$9:A353=A353,T$9:T353)),""),"")</f>
        <v/>
      </c>
      <c r="O353" s="89">
        <f t="array" ref="O353">IFERROR(IF(A354&lt;&gt;A353,_xlfn.STDEV.P(IF(A$9:A353=A353,S$9:S353)),""),"")</f>
        <v/>
      </c>
      <c r="P353" s="90">
        <f>IFERROR(IF(A353&lt;&gt;A354,MAX((((M353*24*60)/2)*(1+POWER((((N353*24*60) / (M353*24*60) )),2))) + ((M353*24*60 )*-0.1 + (K353*0.015)) +1,(((M353*24*60)/2)*(1+POWER((((N353*24*60) / (M353*24*60 ))),2)))),""),"")</f>
        <v/>
      </c>
      <c r="Q353" s="90">
        <f>IF(AND(O353&lt;&gt;"",L353&lt;&gt;""),IF(A353&lt;&gt;A354,((L353*24*60) / 2 ) * (1 + POWER(((O353*24*60) / (L353*24*60)),2)),""),"")</f>
        <v/>
      </c>
      <c r="R353" s="90">
        <f>IF(Q353&lt;&gt;"",MAX(P353,Q353),"")</f>
        <v/>
      </c>
      <c r="S353" s="89">
        <f>IF(I353&lt;&gt;"H. Sale Real",IF(AND(I354&lt;&gt;"",LEFT(C354,2)&lt;&gt;"Va"),IF(AND(I353&lt;&gt;"",LEFT(C353,2)&lt;&gt;"Va",I353&lt;&gt;"H. Sale Real"),IF(I354-I353&lt;0.208333333333333,I354-I353,""),IF(AND(I352&lt;&gt;"",LEFT(C352,2)&lt;&gt;"Va",I352&lt;&gt;"H. Sale Real"),IF(I354-I352&lt;0.208333333333333,I354-I352,""),IF(AND(I351&lt;&gt;"",LEFT(C351,2)&lt;&gt;"Va",I351&lt;&gt;"H. Sale Real"),IF(I354-I351&lt;0.208333333333333,I354-I351,""),IF(AND(I350&lt;&gt;"",LEFT(C350,2)&lt;&gt;"Va",I350&lt;&gt;"H. Sale Real"),IF(I354-I350&lt;0.208333333333333,I354-I350,""),IF(AND(I349&lt;&gt;"",LEFT(C349,2)&lt;&gt;"Va",I349&lt;&gt;"H. Sale Real"),IF(I354-I349&lt;0.208333333333333,I354-I349,""),""))))),""),"")</f>
        <v/>
      </c>
      <c r="T353" s="89">
        <f>IF(G353&lt;&gt;"H. Sale Real",IF(AND(G354&lt;&gt;"",LEFT(C354,2)&lt;&gt;"Va"),IF(AND(G353&lt;&gt;"",LEFT(C353,2)&lt;&gt;"Va",G353&lt;&gt;"H. Sale Real"),IF(G354-G353&lt;0.208333333333333,G354-G353,""),IF(AND(G352&lt;&gt;"",LEFT(C352,2)&lt;&gt;"Va",G352&lt;&gt;"H. Sale Real"),IF(G354-G352&lt;0.208333333333333,G354-G352,""),IF(AND(G351&lt;&gt;"",LEFT(C351,2)&lt;&gt;"Va",G351&lt;&gt;"H. Sale Real"),IF(G354-G351&lt;0.208333333333333,G354-G351,""),IF(AND(G350&lt;&gt;"",LEFT(C350,2)&lt;&gt;"Va",G350&lt;&gt;"H. Sale Real"),IF(G354-G350&lt;0.208333333333333,G354-G350,""),IF(AND(G349&lt;&gt;"",LEFT(C349,2)&lt;&gt;"Va",G349&lt;&gt;"H. Sale Real"),IF(G354-G349&lt;0.208333333333333,G354-G349,""),""))))),""),"")</f>
        <v/>
      </c>
      <c r="U353" s="87" t="n"/>
      <c r="V353" s="89" t="n"/>
      <c r="W353" s="87" t="n"/>
      <c r="X353" s="89" t="n"/>
      <c r="Y353" s="91" t="n"/>
      <c r="Z353" s="122">
        <f>IF(G353&lt;&gt;"",IF(AND(Z352&lt;&gt;"IE",P353&lt;&gt;0,R353&lt;&gt;""),IF(IFERROR((P353/R353),0) &lt;=1,IFERROR(P353/R353,""),1),""),"")</f>
        <v/>
      </c>
      <c r="AA353" s="93" t="n"/>
      <c r="AB353" s="2" t="n"/>
      <c r="AE353" s="10">
        <f>HOUR(AK353)+1</f>
        <v/>
      </c>
      <c r="AF353" s="7" t="n"/>
      <c r="AG353" s="7" t="n"/>
      <c r="AH353" s="86" t="n"/>
      <c r="AI353" s="8" t="n"/>
      <c r="AJ353" s="86" t="n"/>
      <c r="AK353" s="87" t="n"/>
      <c r="AL353" s="88">
        <f>IF(AM353="","",IF(AND((AM353-AK353)&gt;=TIME(0,0,0),(AM353-AK353)&lt;TIME(0,3,0)),"OK",IF(AND((AM353-AK353)&gt;=TIME(0,3,0),(AM353-AK353)&lt;TIME(0,5,0)),"RETRASO DE 3-5 MIN",IF(AND((AM353-AK353)&gt;=TIME(0,5,0),(AM353-AK353)&lt;TIME(0,10,0)),"RETRASO DE 5-10 MIN",IF((AM353-AK353)&gt;=TIME(0,10,0),"RETRASO &gt;10 MIN", IF(AND((AK353-AM353)&gt;=TIME(0,0,0),(AK353-AM353)&lt;TIME(0,3,0)),"OK",IF((AK353-AM353)&gt;=TIME(0,3,0),"ADELANTADO")))))))</f>
        <v/>
      </c>
      <c r="AM353" s="91" t="n"/>
      <c r="AN353" s="89">
        <f>IF(AE353&lt;&gt;"",HLOOKUP(VALUE(TEXT(AK353,"h:mm:ss")),IF($C$6="Laboral",$FZ$4:$GX$227,IF($C$6="Sábado",$FZ$231:$GX$452,$FZ$456:$GX$656)),VLOOKUP($C$4,$HF$2:$HH$99,3,0)+IF(AG$5="Ida",0,1),1),"")</f>
        <v/>
      </c>
      <c r="AO353" s="89">
        <f>IF(AE354&lt;&gt;AE353,AVERAGEIF(AE$9:AE353,AE353,AN$9:AN353),"")</f>
        <v/>
      </c>
      <c r="AP353" s="89">
        <f>IFERROR(IF(AE354&lt;&gt;AE353,AVERAGEIF(AE$9:AE353,AE353,AW$9:AW353),""),"")</f>
        <v/>
      </c>
      <c r="AQ353" s="89">
        <f>IFERROR(IF(AE354&lt;&gt;AE353,AVERAGEIF(AE$9:AE353,AE353,AX$9:AX353),""),"")</f>
        <v/>
      </c>
      <c r="AR353" s="89">
        <f t="array" ref="AR353">IFERROR(IF(AE354&lt;&gt;AE353,_xlfn.STDEV.P(IF(AE$9:AE353=AE353,AX$9:AX353)),""),"")</f>
        <v/>
      </c>
      <c r="AS353" s="89">
        <f t="array" ref="AS353">IFERROR(IF(AE354&lt;&gt;AE353,_xlfn.STDEV.P(IF(AE$9:AE353=AE353,AW$9:AW353)),""),"")</f>
        <v/>
      </c>
      <c r="AT353" s="90">
        <f>IFERROR(IF(AE353&lt;&gt;AE354,MAX((((AQ353*24*60)/2)*(1+POWER((((AR353*24*60) / (AQ353*24*60) )),2))) + ((AQ353*24*60 )*-0.1 + (AO353*0.015)) +1,(((AQ353*24*60)/2)*(1+POWER((((AR353*24*60) / (AQ353*24*60 ))),2)))),""),"")</f>
        <v/>
      </c>
      <c r="AU353" s="90">
        <f>IF(AND(AS353&lt;&gt;"",AP353&lt;&gt;""),IF(AE353&lt;&gt;AE354,((AP353*24*60) / 2 ) * (1 + POWER(((AS353*24*60) / (AP353*24*60)),2)),""),"")</f>
        <v/>
      </c>
      <c r="AV353" s="90">
        <f>IF(AU353&lt;&gt;"",MAX(AT353,AU353),"")</f>
        <v/>
      </c>
      <c r="AW353" s="89">
        <f>IF(AM353&lt;&gt;"H. Sale Real",IF(AND(AM354&lt;&gt;"",LEFT(AG354,2)&lt;&gt;"Va"),IF(AND(AM353&lt;&gt;"",LEFT(AG353,2)&lt;&gt;"Va",AM353&lt;&gt;"H. Sale Real"),IF(AM354-AM353&lt;0.208333333333333,AM354-AM353,""),IF(AND(AM352&lt;&gt;"",LEFT(AG352,2)&lt;&gt;"Va",AM352&lt;&gt;"H. Sale Real"),IF(AM354-AM352&lt;0.208333333333333,AM354-AM352,""),IF(AND(AM351&lt;&gt;"",LEFT(AG351,2)&lt;&gt;"Va",AM351&lt;&gt;"H. Sale Real"),IF(AM354-AM351&lt;0.208333333333333,AM354-AM351,""),IF(AND(AM350&lt;&gt;"",LEFT(AG350,2)&lt;&gt;"Va",AM350&lt;&gt;"H. Sale Real"),IF(AM354-AM350&lt;0.208333333333333,AM354-AM350,""),IF(AND(AM349&lt;&gt;"",LEFT(AG349,2)&lt;&gt;"Va",AM349&lt;&gt;"H. Sale Real"),IF(AM354-AM349&lt;0.208333333333333,AM354-AM349,""),""))))),""),"")</f>
        <v/>
      </c>
      <c r="AX353" s="89">
        <f>IF(AK353&lt;&gt;"H. Sale Real",IF(AND(AK354&lt;&gt;"",LEFT(AG354,2)&lt;&gt;"Va"),IF(AND(AK353&lt;&gt;"",LEFT(AG353,2)&lt;&gt;"Va",AK353&lt;&gt;"H. Sale Real"),IF(AK354-AK353&lt;0.208333333333333,AK354-AK353,""),IF(AND(AK352&lt;&gt;"",LEFT(AG352,2)&lt;&gt;"Va",AK352&lt;&gt;"H. Sale Real"),IF(AK354-AK352&lt;0.208333333333333,AK354-AK352,""),IF(AND(AK351&lt;&gt;"",LEFT(AG351,2)&lt;&gt;"NC",AK351&lt;&gt;"H. Sale Real"),IF(AK354-AK351&lt;0.208333333333333,AK354-AK351,""),IF(AND(AK350&lt;&gt;"",LEFT(AG350,2)&lt;&gt;"Va",AK350&lt;&gt;"H. Sale Real"),IF(AK354-AK350&lt;0.208333333333333,AK354-AK350,""),IF(AND(AK349&lt;&gt;"",LEFT(AG349,2)&lt;&gt;"Va",AK349&lt;&gt;"H. Sale Real"),IF(AK354-AK349&lt;0.208333333333333,AK354-AK349,""),""))))),""),"")</f>
        <v/>
      </c>
      <c r="AY353" s="87" t="n"/>
      <c r="AZ353" s="89" t="n"/>
      <c r="BA353" s="87" t="n"/>
      <c r="BB353" s="89" t="n"/>
      <c r="BC353" s="91" t="n"/>
      <c r="BD353" s="122">
        <f>IF(AK353&lt;&gt;"",IF(AND(BD352&lt;&gt;"IE",AT353&lt;&gt;0,AV353&lt;&gt;""),IF(IFERROR((AT353/AV353),0) &lt;=1,IFERROR(AT353/AV353,""),1),""),"")</f>
        <v/>
      </c>
      <c r="BE353" s="93" t="n"/>
      <c r="BF353" s="105" t="n"/>
      <c r="FC353" t="inlineStr">
        <is>
          <t>Diccionario 1</t>
        </is>
      </c>
      <c r="FD353" s="15" t="n">
        <v>1352</v>
      </c>
      <c r="FE353" s="15" t="inlineStr">
        <is>
          <t>MDN35025020011</t>
        </is>
      </c>
      <c r="FF353" s="15" t="inlineStr">
        <is>
          <t>LDYECS316S0044090</t>
        </is>
      </c>
      <c r="FG353" s="15" t="inlineStr">
        <is>
          <t>Zhong Tong</t>
        </is>
      </c>
      <c r="FH353" s="15" t="inlineStr">
        <is>
          <t>Lck6122evg</t>
        </is>
      </c>
      <c r="FI353" s="15" t="inlineStr">
        <is>
          <t>ZHONGTONG</t>
        </is>
      </c>
      <c r="FJ353" s="15" t="inlineStr">
        <is>
          <t>LCK6122EVG</t>
        </is>
      </c>
      <c r="FK353" s="15" t="n">
        <v>2025</v>
      </c>
      <c r="FL353" s="15" t="inlineStr">
        <is>
          <t>B</t>
        </is>
      </c>
      <c r="FM353" s="15" t="inlineStr">
        <is>
          <t>SAN ALFONSO</t>
        </is>
      </c>
      <c r="FN353" s="15" t="inlineStr">
        <is>
          <t>San Alfonso 2141 (Ramón Subercaseaux 3060)</t>
        </is>
      </c>
      <c r="FO353" s="15" t="inlineStr">
        <is>
          <t>Estacion Central</t>
        </is>
      </c>
      <c r="FP353" t="inlineStr">
        <is>
          <t>B</t>
        </is>
      </c>
      <c r="FS353" s="14" t="inlineStr">
        <is>
          <t>3094 / SFWZ-40|</t>
        </is>
      </c>
      <c r="FT353" t="inlineStr">
        <is>
          <t>SFWZ-40|</t>
        </is>
      </c>
      <c r="FU353" t="inlineStr">
        <is>
          <t>SFWZ-40</t>
        </is>
      </c>
      <c r="FV353">
        <f>VLOOKUP(FU353,FD:FL,9,0)</f>
        <v/>
      </c>
      <c r="HA353" s="35" t="n">
        <v>123</v>
      </c>
      <c r="HB353" s="35" t="n">
        <v>347</v>
      </c>
    </row>
    <row r="354" ht="15.5" customHeight="1">
      <c r="A354" s="10">
        <f>HOUR(G354)+1</f>
        <v/>
      </c>
      <c r="B354" s="7" t="n"/>
      <c r="C354" s="7" t="n"/>
      <c r="D354" s="85">
        <f>IFERROR(
IF(AND(OR(Planilla!B354="C",Planilla!B354="c"), VLOOKUP(E354,FD:FP,13,0)="C"), "OK",IF(AND(OR(Planilla!B354="C",Planilla!B354="c"), OR(VLOOKUP(E354,FD:FP,13,0)="B", VLOOKUP(E354,FD:FP,13,0)="A")), "DEFICIT",IF(
AND(OR(Planilla!B354="B", Planilla!B354="BPAL"), VLOOKUP(E354,FD:FP,13,0)="B"), "OK",IF(AND(OR(Planilla!B354="B", Planilla!B354="BPAL"), VLOOKUP(E354,FD:FP,13,0)="A"), "DEFICIT",IF(AND(OR(Planilla!B354="B", Planilla!B354="BPAL"), VLOOKUP(E354,FD:FP,13,0)="C"), "SOBREOFERTA",IF(AND(Planilla!B354="A", VLOOKUP(E354,FD:FP,13,0)="A"), "OK",IF(
AND(Planilla!B354="A", OR(VLOOKUP(E354,FD:FP,13,0)="B", VLOOKUP(E354,FD:FP,13,0)="C")), "SOBREOFERTA",""
))))))),"")</f>
        <v/>
      </c>
      <c r="E354" s="8" t="n"/>
      <c r="F354" s="86" t="n"/>
      <c r="G354" s="87" t="n"/>
      <c r="H354" s="88">
        <f>IF(I354="","",IF(AND((I354-G354)&gt;=TIME(0,0,0),(I354-G354)&lt;TIME(0,3,0)),"OK",IF(AND((I354-G354)&gt;=TIME(0,3,0),(I354-G354)&lt;TIME(0,5,0)),"RETRASO DE 3-5 MIN",IF(AND((I354-G354)&gt;=TIME(0,5,0),(I354-G354)&lt;TIME(0,10,0)),"RETRASO DE 5-10 MIN",IF((I354-G354)&gt;=TIME(0,10,0),"RETRASO &gt;10 MIN", IF(AND((G354-I354)&gt;=TIME(0,0,0),(G354-I354)&lt;TIME(0,3,0)),"OK",IF((G354-I354)&gt;=TIME(0,3,0),"ADELANTADO")))))))</f>
        <v/>
      </c>
      <c r="I354" s="89" t="n"/>
      <c r="J354" s="89">
        <f>IF(A354&lt;&gt;"",HLOOKUP(VALUE(TEXT(G354,"h:mm:ss")),IF($C$6="Laboral",$FZ$4:$GX$227,IF($C$6="Sábado",$FZ$231:$GX$452,$FZ$456:$GX$656)),VLOOKUP($C$4,$HF$2:$HH$99,3,0)+IF(C$5="Ida",0,1),1),"")</f>
        <v/>
      </c>
      <c r="K354" s="89">
        <f>IF(A355&lt;&gt;A354,AVERAGEIF(A$9:A354,A354,J$9:J354),"")</f>
        <v/>
      </c>
      <c r="L354" s="89">
        <f>IFERROR(IF(A355&lt;&gt;A354,AVERAGEIF(A$9:A354,A354,S$9:S354),""),"")</f>
        <v/>
      </c>
      <c r="M354" s="89">
        <f>IFERROR(IF(A355&lt;&gt;A354,AVERAGEIF(A$9:A354,A354,T$9:T354),""),"")</f>
        <v/>
      </c>
      <c r="N354" s="89">
        <f t="array" ref="N354">IFERROR(IF(A355&lt;&gt;A354,_xlfn.STDEV.P(IF(A$9:A354=A354,T$9:T354)),""),"")</f>
        <v/>
      </c>
      <c r="O354" s="89">
        <f t="array" ref="O354">IFERROR(IF(A355&lt;&gt;A354,_xlfn.STDEV.P(IF(A$9:A354=A354,S$9:S354)),""),"")</f>
        <v/>
      </c>
      <c r="P354" s="90">
        <f>IFERROR(IF(A354&lt;&gt;A355,MAX((((M354*24*60)/2)*(1+POWER((((N354*24*60) / (M354*24*60) )),2))) + ((M354*24*60 )*-0.1 + (K354*0.015)) +1,(((M354*24*60)/2)*(1+POWER((((N354*24*60) / (M354*24*60 ))),2)))),""),"")</f>
        <v/>
      </c>
      <c r="Q354" s="90">
        <f>IF(AND(O354&lt;&gt;"",L354&lt;&gt;""),IF(A354&lt;&gt;A355,((L354*24*60) / 2 ) * (1 + POWER(((O354*24*60) / (L354*24*60)),2)),""),"")</f>
        <v/>
      </c>
      <c r="R354" s="90">
        <f>IF(Q354&lt;&gt;"",MAX(P354,Q354),"")</f>
        <v/>
      </c>
      <c r="S354" s="89">
        <f>IF(I354&lt;&gt;"H. Sale Real",IF(AND(I355&lt;&gt;"",LEFT(C355,2)&lt;&gt;"Va"),IF(AND(I354&lt;&gt;"",LEFT(C354,2)&lt;&gt;"Va",I354&lt;&gt;"H. Sale Real"),IF(I355-I354&lt;0.208333333333333,I355-I354,""),IF(AND(I353&lt;&gt;"",LEFT(C353,2)&lt;&gt;"Va",I353&lt;&gt;"H. Sale Real"),IF(I355-I353&lt;0.208333333333333,I355-I353,""),IF(AND(I352&lt;&gt;"",LEFT(C352,2)&lt;&gt;"Va",I352&lt;&gt;"H. Sale Real"),IF(I355-I352&lt;0.208333333333333,I355-I352,""),IF(AND(I351&lt;&gt;"",LEFT(C351,2)&lt;&gt;"Va",I351&lt;&gt;"H. Sale Real"),IF(I355-I351&lt;0.208333333333333,I355-I351,""),IF(AND(I350&lt;&gt;"",LEFT(C350,2)&lt;&gt;"Va",I350&lt;&gt;"H. Sale Real"),IF(I355-I350&lt;0.208333333333333,I355-I350,""),""))))),""),"")</f>
        <v/>
      </c>
      <c r="T354" s="89">
        <f>IF(G354&lt;&gt;"H. Sale Real",IF(AND(G355&lt;&gt;"",LEFT(C355,2)&lt;&gt;"Va"),IF(AND(G354&lt;&gt;"",LEFT(C354,2)&lt;&gt;"Va",G354&lt;&gt;"H. Sale Real"),IF(G355-G354&lt;0.208333333333333,G355-G354,""),IF(AND(G353&lt;&gt;"",LEFT(C353,2)&lt;&gt;"Va",G353&lt;&gt;"H. Sale Real"),IF(G355-G353&lt;0.208333333333333,G355-G353,""),IF(AND(G352&lt;&gt;"",LEFT(C352,2)&lt;&gt;"Va",G352&lt;&gt;"H. Sale Real"),IF(G355-G352&lt;0.208333333333333,G355-G352,""),IF(AND(G351&lt;&gt;"",LEFT(C351,2)&lt;&gt;"Va",G351&lt;&gt;"H. Sale Real"),IF(G355-G351&lt;0.208333333333333,G355-G351,""),IF(AND(G350&lt;&gt;"",LEFT(C350,2)&lt;&gt;"Va",G350&lt;&gt;"H. Sale Real"),IF(G355-G350&lt;0.208333333333333,G355-G350,""),""))))),""),"")</f>
        <v/>
      </c>
      <c r="U354" s="87" t="n"/>
      <c r="V354" s="89" t="n"/>
      <c r="W354" s="87" t="n"/>
      <c r="X354" s="89" t="n"/>
      <c r="Y354" s="91" t="n"/>
      <c r="Z354" s="122">
        <f>IF(G354&lt;&gt;"",IF(AND(Z353&lt;&gt;"IE",P354&lt;&gt;0,R354&lt;&gt;""),IF(IFERROR((P354/R354),0) &lt;=1,IFERROR(P354/R354,""),1),""),"")</f>
        <v/>
      </c>
      <c r="AA354" s="93" t="n"/>
      <c r="AB354" s="2" t="n"/>
      <c r="AE354" s="10">
        <f>HOUR(AK354)+1</f>
        <v/>
      </c>
      <c r="AF354" s="7" t="n"/>
      <c r="AG354" s="7" t="n"/>
      <c r="AH354" s="86" t="n"/>
      <c r="AI354" s="8" t="n"/>
      <c r="AJ354" s="86" t="n"/>
      <c r="AK354" s="87" t="n"/>
      <c r="AL354" s="88">
        <f>IF(AM354="","",IF(AND((AM354-AK354)&gt;=TIME(0,0,0),(AM354-AK354)&lt;TIME(0,3,0)),"OK",IF(AND((AM354-AK354)&gt;=TIME(0,3,0),(AM354-AK354)&lt;TIME(0,5,0)),"RETRASO DE 3-5 MIN",IF(AND((AM354-AK354)&gt;=TIME(0,5,0),(AM354-AK354)&lt;TIME(0,10,0)),"RETRASO DE 5-10 MIN",IF((AM354-AK354)&gt;=TIME(0,10,0),"RETRASO &gt;10 MIN", IF(AND((AK354-AM354)&gt;=TIME(0,0,0),(AK354-AM354)&lt;TIME(0,3,0)),"OK",IF((AK354-AM354)&gt;=TIME(0,3,0),"ADELANTADO")))))))</f>
        <v/>
      </c>
      <c r="AM354" s="91" t="n"/>
      <c r="AN354" s="89">
        <f>IF(AE354&lt;&gt;"",HLOOKUP(VALUE(TEXT(AK354,"h:mm:ss")),IF($C$6="Laboral",$FZ$4:$GX$227,IF($C$6="Sábado",$FZ$231:$GX$452,$FZ$456:$GX$656)),VLOOKUP($C$4,$HF$2:$HH$99,3,0)+IF(AG$5="Ida",0,1),1),"")</f>
        <v/>
      </c>
      <c r="AO354" s="89">
        <f>IF(AE355&lt;&gt;AE354,AVERAGEIF(AE$9:AE354,AE354,AN$9:AN354),"")</f>
        <v/>
      </c>
      <c r="AP354" s="89">
        <f>IFERROR(IF(AE355&lt;&gt;AE354,AVERAGEIF(AE$9:AE354,AE354,AW$9:AW354),""),"")</f>
        <v/>
      </c>
      <c r="AQ354" s="89">
        <f>IFERROR(IF(AE355&lt;&gt;AE354,AVERAGEIF(AE$9:AE354,AE354,AX$9:AX354),""),"")</f>
        <v/>
      </c>
      <c r="AR354" s="89">
        <f t="array" ref="AR354">IFERROR(IF(AE355&lt;&gt;AE354,_xlfn.STDEV.P(IF(AE$9:AE354=AE354,AX$9:AX354)),""),"")</f>
        <v/>
      </c>
      <c r="AS354" s="89">
        <f t="array" ref="AS354">IFERROR(IF(AE355&lt;&gt;AE354,_xlfn.STDEV.P(IF(AE$9:AE354=AE354,AW$9:AW354)),""),"")</f>
        <v/>
      </c>
      <c r="AT354" s="90">
        <f>IFERROR(IF(AE354&lt;&gt;AE355,MAX((((AQ354*24*60)/2)*(1+POWER((((AR354*24*60) / (AQ354*24*60) )),2))) + ((AQ354*24*60 )*-0.1 + (AO354*0.015)) +1,(((AQ354*24*60)/2)*(1+POWER((((AR354*24*60) / (AQ354*24*60 ))),2)))),""),"")</f>
        <v/>
      </c>
      <c r="AU354" s="90">
        <f>IF(AND(AS354&lt;&gt;"",AP354&lt;&gt;""),IF(AE354&lt;&gt;AE355,((AP354*24*60) / 2 ) * (1 + POWER(((AS354*24*60) / (AP354*24*60)),2)),""),"")</f>
        <v/>
      </c>
      <c r="AV354" s="90">
        <f>IF(AU354&lt;&gt;"",MAX(AT354,AU354),"")</f>
        <v/>
      </c>
      <c r="AW354" s="89">
        <f>IF(AM354&lt;&gt;"H. Sale Real",IF(AND(AM355&lt;&gt;"",LEFT(AG355,2)&lt;&gt;"Va"),IF(AND(AM354&lt;&gt;"",LEFT(AG354,2)&lt;&gt;"Va",AM354&lt;&gt;"H. Sale Real"),IF(AM355-AM354&lt;0.208333333333333,AM355-AM354,""),IF(AND(AM353&lt;&gt;"",LEFT(AG353,2)&lt;&gt;"Va",AM353&lt;&gt;"H. Sale Real"),IF(AM355-AM353&lt;0.208333333333333,AM355-AM353,""),IF(AND(AM352&lt;&gt;"",LEFT(AG352,2)&lt;&gt;"Va",AM352&lt;&gt;"H. Sale Real"),IF(AM355-AM352&lt;0.208333333333333,AM355-AM352,""),IF(AND(AM351&lt;&gt;"",LEFT(AG351,2)&lt;&gt;"Va",AM351&lt;&gt;"H. Sale Real"),IF(AM355-AM351&lt;0.208333333333333,AM355-AM351,""),IF(AND(AM350&lt;&gt;"",LEFT(AG350,2)&lt;&gt;"Va",AM350&lt;&gt;"H. Sale Real"),IF(AM355-AM350&lt;0.208333333333333,AM355-AM350,""),""))))),""),"")</f>
        <v/>
      </c>
      <c r="AX354" s="89">
        <f>IF(AK354&lt;&gt;"H. Sale Real",IF(AND(AK355&lt;&gt;"",LEFT(AG355,2)&lt;&gt;"Va"),IF(AND(AK354&lt;&gt;"",LEFT(AG354,2)&lt;&gt;"Va",AK354&lt;&gt;"H. Sale Real"),IF(AK355-AK354&lt;0.208333333333333,AK355-AK354,""),IF(AND(AK353&lt;&gt;"",LEFT(AG353,2)&lt;&gt;"Va",AK353&lt;&gt;"H. Sale Real"),IF(AK355-AK353&lt;0.208333333333333,AK355-AK353,""),IF(AND(AK352&lt;&gt;"",LEFT(AG352,2)&lt;&gt;"NC",AK352&lt;&gt;"H. Sale Real"),IF(AK355-AK352&lt;0.208333333333333,AK355-AK352,""),IF(AND(AK351&lt;&gt;"",LEFT(AG351,2)&lt;&gt;"Va",AK351&lt;&gt;"H. Sale Real"),IF(AK355-AK351&lt;0.208333333333333,AK355-AK351,""),IF(AND(AK350&lt;&gt;"",LEFT(AG350,2)&lt;&gt;"Va",AK350&lt;&gt;"H. Sale Real"),IF(AK355-AK350&lt;0.208333333333333,AK355-AK350,""),""))))),""),"")</f>
        <v/>
      </c>
      <c r="AY354" s="87" t="n"/>
      <c r="AZ354" s="89" t="n"/>
      <c r="BA354" s="87" t="n"/>
      <c r="BB354" s="89" t="n"/>
      <c r="BC354" s="91" t="n"/>
      <c r="BD354" s="122">
        <f>IF(AK354&lt;&gt;"",IF(AND(BD353&lt;&gt;"IE",AT354&lt;&gt;0,AV354&lt;&gt;""),IF(IFERROR((AT354/AV354),0) &lt;=1,IFERROR(AT354/AV354,""),1),""),"")</f>
        <v/>
      </c>
      <c r="BE354" s="93" t="n"/>
      <c r="BF354" s="105" t="n"/>
      <c r="FC354" t="inlineStr">
        <is>
          <t>Diccionario 1</t>
        </is>
      </c>
      <c r="FD354" s="15" t="n">
        <v>1353</v>
      </c>
      <c r="FE354" s="15" t="inlineStr">
        <is>
          <t>MDN35025010208</t>
        </is>
      </c>
      <c r="FF354" s="15" t="inlineStr">
        <is>
          <t>LDYECS317S0044082</t>
        </is>
      </c>
      <c r="FG354" s="15" t="inlineStr">
        <is>
          <t>Zhong Tong</t>
        </is>
      </c>
      <c r="FH354" s="15" t="inlineStr">
        <is>
          <t>Lck6122evg</t>
        </is>
      </c>
      <c r="FI354" s="15" t="inlineStr">
        <is>
          <t>ZHONGTONG</t>
        </is>
      </c>
      <c r="FJ354" s="15" t="inlineStr">
        <is>
          <t>LCK6122EVG</t>
        </is>
      </c>
      <c r="FK354" s="15" t="n">
        <v>2025</v>
      </c>
      <c r="FL354" s="15" t="inlineStr">
        <is>
          <t>B</t>
        </is>
      </c>
      <c r="FM354" s="15" t="inlineStr">
        <is>
          <t>SAN ALFONSO</t>
        </is>
      </c>
      <c r="FN354" s="15" t="inlineStr">
        <is>
          <t>San Alfonso 2141 (Ramón Subercaseaux 3060)</t>
        </is>
      </c>
      <c r="FO354" s="15" t="inlineStr">
        <is>
          <t>Estacion Central</t>
        </is>
      </c>
      <c r="FP354" t="inlineStr">
        <is>
          <t>B</t>
        </is>
      </c>
      <c r="FS354" s="14" t="inlineStr">
        <is>
          <t>3094 / SFWZ-40|</t>
        </is>
      </c>
      <c r="FT354" t="inlineStr">
        <is>
          <t>SFWZ-40|</t>
        </is>
      </c>
      <c r="FU354" t="inlineStr">
        <is>
          <t>SFWZ-40</t>
        </is>
      </c>
      <c r="FV354">
        <f>VLOOKUP(FU354,FD:FL,9,0)</f>
        <v/>
      </c>
      <c r="HA354" s="35" t="n">
        <v>124</v>
      </c>
      <c r="HB354" s="35" t="n">
        <v>348</v>
      </c>
    </row>
    <row r="355" ht="15.5" customHeight="1">
      <c r="A355" s="10">
        <f>HOUR(G355)+1</f>
        <v/>
      </c>
      <c r="B355" s="7" t="n"/>
      <c r="C355" s="7" t="n"/>
      <c r="D355" s="85">
        <f>IFERROR(
IF(AND(OR(Planilla!B355="C",Planilla!B355="c"), VLOOKUP(E355,FD:FP,13,0)="C"), "OK",IF(AND(OR(Planilla!B355="C",Planilla!B355="c"), OR(VLOOKUP(E355,FD:FP,13,0)="B", VLOOKUP(E355,FD:FP,13,0)="A")), "DEFICIT",IF(
AND(OR(Planilla!B355="B", Planilla!B355="BPAL"), VLOOKUP(E355,FD:FP,13,0)="B"), "OK",IF(AND(OR(Planilla!B355="B", Planilla!B355="BPAL"), VLOOKUP(E355,FD:FP,13,0)="A"), "DEFICIT",IF(AND(OR(Planilla!B355="B", Planilla!B355="BPAL"), VLOOKUP(E355,FD:FP,13,0)="C"), "SOBREOFERTA",IF(AND(Planilla!B355="A", VLOOKUP(E355,FD:FP,13,0)="A"), "OK",IF(
AND(Planilla!B355="A", OR(VLOOKUP(E355,FD:FP,13,0)="B", VLOOKUP(E355,FD:FP,13,0)="C")), "SOBREOFERTA",""
))))))),"")</f>
        <v/>
      </c>
      <c r="E355" s="8" t="n"/>
      <c r="F355" s="86" t="n"/>
      <c r="G355" s="87" t="n"/>
      <c r="H355" s="88">
        <f>IF(I355="","",IF(AND((I355-G355)&gt;=TIME(0,0,0),(I355-G355)&lt;TIME(0,3,0)),"OK",IF(AND((I355-G355)&gt;=TIME(0,3,0),(I355-G355)&lt;TIME(0,5,0)),"RETRASO DE 3-5 MIN",IF(AND((I355-G355)&gt;=TIME(0,5,0),(I355-G355)&lt;TIME(0,10,0)),"RETRASO DE 5-10 MIN",IF((I355-G355)&gt;=TIME(0,10,0),"RETRASO &gt;10 MIN", IF(AND((G355-I355)&gt;=TIME(0,0,0),(G355-I355)&lt;TIME(0,3,0)),"OK",IF((G355-I355)&gt;=TIME(0,3,0),"ADELANTADO")))))))</f>
        <v/>
      </c>
      <c r="I355" s="89" t="n"/>
      <c r="J355" s="89">
        <f>IF(A355&lt;&gt;"",HLOOKUP(VALUE(TEXT(G355,"h:mm:ss")),IF($C$6="Laboral",$FZ$4:$GX$227,IF($C$6="Sábado",$FZ$231:$GX$452,$FZ$456:$GX$656)),VLOOKUP($C$4,$HF$2:$HH$99,3,0)+IF(C$5="Ida",0,1),1),"")</f>
        <v/>
      </c>
      <c r="K355" s="89">
        <f>IF(A356&lt;&gt;A355,AVERAGEIF(A$9:A355,A355,J$9:J355),"")</f>
        <v/>
      </c>
      <c r="L355" s="89">
        <f>IFERROR(IF(A356&lt;&gt;A355,AVERAGEIF(A$9:A355,A355,S$9:S355),""),"")</f>
        <v/>
      </c>
      <c r="M355" s="89">
        <f>IFERROR(IF(A356&lt;&gt;A355,AVERAGEIF(A$9:A355,A355,T$9:T355),""),"")</f>
        <v/>
      </c>
      <c r="N355" s="89">
        <f t="array" ref="N355">IFERROR(IF(A356&lt;&gt;A355,_xlfn.STDEV.P(IF(A$9:A355=A355,T$9:T355)),""),"")</f>
        <v/>
      </c>
      <c r="O355" s="89">
        <f t="array" ref="O355">IFERROR(IF(A356&lt;&gt;A355,_xlfn.STDEV.P(IF(A$9:A355=A355,S$9:S355)),""),"")</f>
        <v/>
      </c>
      <c r="P355" s="90">
        <f>IFERROR(IF(A355&lt;&gt;A356,MAX((((M355*24*60)/2)*(1+POWER((((N355*24*60) / (M355*24*60) )),2))) + ((M355*24*60 )*-0.1 + (K355*0.015)) +1,(((M355*24*60)/2)*(1+POWER((((N355*24*60) / (M355*24*60 ))),2)))),""),"")</f>
        <v/>
      </c>
      <c r="Q355" s="90">
        <f>IF(AND(O355&lt;&gt;"",L355&lt;&gt;""),IF(A355&lt;&gt;A356,((L355*24*60) / 2 ) * (1 + POWER(((O355*24*60) / (L355*24*60)),2)),""),"")</f>
        <v/>
      </c>
      <c r="R355" s="90">
        <f>IF(Q355&lt;&gt;"",MAX(P355,Q355),"")</f>
        <v/>
      </c>
      <c r="S355" s="89">
        <f>IF(I355&lt;&gt;"H. Sale Real",IF(AND(I356&lt;&gt;"",LEFT(C356,2)&lt;&gt;"Va"),IF(AND(I355&lt;&gt;"",LEFT(C355,2)&lt;&gt;"Va",I355&lt;&gt;"H. Sale Real"),IF(I356-I355&lt;0.208333333333333,I356-I355,""),IF(AND(I354&lt;&gt;"",LEFT(C354,2)&lt;&gt;"Va",I354&lt;&gt;"H. Sale Real"),IF(I356-I354&lt;0.208333333333333,I356-I354,""),IF(AND(I353&lt;&gt;"",LEFT(C353,2)&lt;&gt;"Va",I353&lt;&gt;"H. Sale Real"),IF(I356-I353&lt;0.208333333333333,I356-I353,""),IF(AND(I352&lt;&gt;"",LEFT(C352,2)&lt;&gt;"Va",I352&lt;&gt;"H. Sale Real"),IF(I356-I352&lt;0.208333333333333,I356-I352,""),IF(AND(I351&lt;&gt;"",LEFT(C351,2)&lt;&gt;"Va",I351&lt;&gt;"H. Sale Real"),IF(I356-I351&lt;0.208333333333333,I356-I351,""),""))))),""),"")</f>
        <v/>
      </c>
      <c r="T355" s="89">
        <f>IF(G355&lt;&gt;"H. Sale Real",IF(AND(G356&lt;&gt;"",LEFT(C356,2)&lt;&gt;"Va"),IF(AND(G355&lt;&gt;"",LEFT(C355,2)&lt;&gt;"Va",G355&lt;&gt;"H. Sale Real"),IF(G356-G355&lt;0.208333333333333,G356-G355,""),IF(AND(G354&lt;&gt;"",LEFT(C354,2)&lt;&gt;"Va",G354&lt;&gt;"H. Sale Real"),IF(G356-G354&lt;0.208333333333333,G356-G354,""),IF(AND(G353&lt;&gt;"",LEFT(C353,2)&lt;&gt;"Va",G353&lt;&gt;"H. Sale Real"),IF(G356-G353&lt;0.208333333333333,G356-G353,""),IF(AND(G352&lt;&gt;"",LEFT(C352,2)&lt;&gt;"Va",G352&lt;&gt;"H. Sale Real"),IF(G356-G352&lt;0.208333333333333,G356-G352,""),IF(AND(G351&lt;&gt;"",LEFT(C351,2)&lt;&gt;"Va",G351&lt;&gt;"H. Sale Real"),IF(G356-G351&lt;0.208333333333333,G356-G351,""),""))))),""),"")</f>
        <v/>
      </c>
      <c r="U355" s="87" t="n"/>
      <c r="V355" s="89" t="n"/>
      <c r="W355" s="87" t="n"/>
      <c r="X355" s="89" t="n"/>
      <c r="Y355" s="91" t="n"/>
      <c r="Z355" s="122">
        <f>IF(G355&lt;&gt;"",IF(AND(Z354&lt;&gt;"IE",P355&lt;&gt;0,R355&lt;&gt;""),IF(IFERROR((P355/R355),0) &lt;=1,IFERROR(P355/R355,""),1),""),"")</f>
        <v/>
      </c>
      <c r="AA355" s="93" t="n"/>
      <c r="AB355" s="2" t="n"/>
      <c r="AE355" s="10">
        <f>HOUR(AK355)+1</f>
        <v/>
      </c>
      <c r="AF355" s="7" t="n"/>
      <c r="AG355" s="7" t="n"/>
      <c r="AH355" s="86" t="n"/>
      <c r="AI355" s="8" t="n"/>
      <c r="AJ355" s="86" t="n"/>
      <c r="AK355" s="87" t="n"/>
      <c r="AL355" s="88">
        <f>IF(AM355="","",IF(AND((AM355-AK355)&gt;=TIME(0,0,0),(AM355-AK355)&lt;TIME(0,3,0)),"OK",IF(AND((AM355-AK355)&gt;=TIME(0,3,0),(AM355-AK355)&lt;TIME(0,5,0)),"RETRASO DE 3-5 MIN",IF(AND((AM355-AK355)&gt;=TIME(0,5,0),(AM355-AK355)&lt;TIME(0,10,0)),"RETRASO DE 5-10 MIN",IF((AM355-AK355)&gt;=TIME(0,10,0),"RETRASO &gt;10 MIN", IF(AND((AK355-AM355)&gt;=TIME(0,0,0),(AK355-AM355)&lt;TIME(0,3,0)),"OK",IF((AK355-AM355)&gt;=TIME(0,3,0),"ADELANTADO")))))))</f>
        <v/>
      </c>
      <c r="AM355" s="91" t="n"/>
      <c r="AN355" s="89">
        <f>IF(AE355&lt;&gt;"",HLOOKUP(VALUE(TEXT(AK355,"h:mm:ss")),IF($C$6="Laboral",$FZ$4:$GX$227,IF($C$6="Sábado",$FZ$231:$GX$452,$FZ$456:$GX$656)),VLOOKUP($C$4,$HF$2:$HH$99,3,0)+IF(AG$5="Ida",0,1),1),"")</f>
        <v/>
      </c>
      <c r="AO355" s="89">
        <f>IF(AE356&lt;&gt;AE355,AVERAGEIF(AE$9:AE355,AE355,AN$9:AN355),"")</f>
        <v/>
      </c>
      <c r="AP355" s="89">
        <f>IFERROR(IF(AE356&lt;&gt;AE355,AVERAGEIF(AE$9:AE355,AE355,AW$9:AW355),""),"")</f>
        <v/>
      </c>
      <c r="AQ355" s="89">
        <f>IFERROR(IF(AE356&lt;&gt;AE355,AVERAGEIF(AE$9:AE355,AE355,AX$9:AX355),""),"")</f>
        <v/>
      </c>
      <c r="AR355" s="89">
        <f t="array" ref="AR355">IFERROR(IF(AE356&lt;&gt;AE355,_xlfn.STDEV.P(IF(AE$9:AE355=AE355,AX$9:AX355)),""),"")</f>
        <v/>
      </c>
      <c r="AS355" s="89">
        <f t="array" ref="AS355">IFERROR(IF(AE356&lt;&gt;AE355,_xlfn.STDEV.P(IF(AE$9:AE355=AE355,AW$9:AW355)),""),"")</f>
        <v/>
      </c>
      <c r="AT355" s="90">
        <f>IFERROR(IF(AE355&lt;&gt;AE356,MAX((((AQ355*24*60)/2)*(1+POWER((((AR355*24*60) / (AQ355*24*60) )),2))) + ((AQ355*24*60 )*-0.1 + (AO355*0.015)) +1,(((AQ355*24*60)/2)*(1+POWER((((AR355*24*60) / (AQ355*24*60 ))),2)))),""),"")</f>
        <v/>
      </c>
      <c r="AU355" s="90">
        <f>IF(AND(AS355&lt;&gt;"",AP355&lt;&gt;""),IF(AE355&lt;&gt;AE356,((AP355*24*60) / 2 ) * (1 + POWER(((AS355*24*60) / (AP355*24*60)),2)),""),"")</f>
        <v/>
      </c>
      <c r="AV355" s="90">
        <f>IF(AU355&lt;&gt;"",MAX(AT355,AU355),"")</f>
        <v/>
      </c>
      <c r="AW355" s="89">
        <f>IF(AM355&lt;&gt;"H. Sale Real",IF(AND(AM356&lt;&gt;"",LEFT(AG356,2)&lt;&gt;"Va"),IF(AND(AM355&lt;&gt;"",LEFT(AG355,2)&lt;&gt;"Va",AM355&lt;&gt;"H. Sale Real"),IF(AM356-AM355&lt;0.208333333333333,AM356-AM355,""),IF(AND(AM354&lt;&gt;"",LEFT(AG354,2)&lt;&gt;"Va",AM354&lt;&gt;"H. Sale Real"),IF(AM356-AM354&lt;0.208333333333333,AM356-AM354,""),IF(AND(AM353&lt;&gt;"",LEFT(AG353,2)&lt;&gt;"Va",AM353&lt;&gt;"H. Sale Real"),IF(AM356-AM353&lt;0.208333333333333,AM356-AM353,""),IF(AND(AM352&lt;&gt;"",LEFT(AG352,2)&lt;&gt;"Va",AM352&lt;&gt;"H. Sale Real"),IF(AM356-AM352&lt;0.208333333333333,AM356-AM352,""),IF(AND(AM351&lt;&gt;"",LEFT(AG351,2)&lt;&gt;"Va",AM351&lt;&gt;"H. Sale Real"),IF(AM356-AM351&lt;0.208333333333333,AM356-AM351,""),""))))),""),"")</f>
        <v/>
      </c>
      <c r="AX355" s="89">
        <f>IF(AK355&lt;&gt;"H. Sale Real",IF(AND(AK356&lt;&gt;"",LEFT(AG356,2)&lt;&gt;"Va"),IF(AND(AK355&lt;&gt;"",LEFT(AG355,2)&lt;&gt;"Va",AK355&lt;&gt;"H. Sale Real"),IF(AK356-AK355&lt;0.208333333333333,AK356-AK355,""),IF(AND(AK354&lt;&gt;"",LEFT(AG354,2)&lt;&gt;"Va",AK354&lt;&gt;"H. Sale Real"),IF(AK356-AK354&lt;0.208333333333333,AK356-AK354,""),IF(AND(AK353&lt;&gt;"",LEFT(AG353,2)&lt;&gt;"NC",AK353&lt;&gt;"H. Sale Real"),IF(AK356-AK353&lt;0.208333333333333,AK356-AK353,""),IF(AND(AK352&lt;&gt;"",LEFT(AG352,2)&lt;&gt;"Va",AK352&lt;&gt;"H. Sale Real"),IF(AK356-AK352&lt;0.208333333333333,AK356-AK352,""),IF(AND(AK351&lt;&gt;"",LEFT(AG351,2)&lt;&gt;"Va",AK351&lt;&gt;"H. Sale Real"),IF(AK356-AK351&lt;0.208333333333333,AK356-AK351,""),""))))),""),"")</f>
        <v/>
      </c>
      <c r="AY355" s="87" t="n"/>
      <c r="AZ355" s="89" t="n"/>
      <c r="BA355" s="87" t="n"/>
      <c r="BB355" s="89" t="n"/>
      <c r="BC355" s="91" t="n"/>
      <c r="BD355" s="122">
        <f>IF(AK355&lt;&gt;"",IF(AND(BD354&lt;&gt;"IE",AT355&lt;&gt;0,AV355&lt;&gt;""),IF(IFERROR((AT355/AV355),0) &lt;=1,IFERROR(AT355/AV355,""),1),""),"")</f>
        <v/>
      </c>
      <c r="BE355" s="93" t="n"/>
      <c r="BF355" s="105" t="n"/>
      <c r="FC355" t="inlineStr">
        <is>
          <t>Diccionario 1</t>
        </is>
      </c>
      <c r="FD355" s="15" t="n">
        <v>1354</v>
      </c>
      <c r="FE355" s="15" t="inlineStr">
        <is>
          <t>MDN35025020043</t>
        </is>
      </c>
      <c r="FF355" s="15" t="inlineStr">
        <is>
          <t>LDYECS31XS0044075</t>
        </is>
      </c>
      <c r="FG355" s="15" t="inlineStr">
        <is>
          <t>Zhong Tong</t>
        </is>
      </c>
      <c r="FH355" s="15" t="inlineStr">
        <is>
          <t>Lck6122evg</t>
        </is>
      </c>
      <c r="FI355" s="15" t="inlineStr">
        <is>
          <t>ZHONGTONG</t>
        </is>
      </c>
      <c r="FJ355" s="15" t="inlineStr">
        <is>
          <t>LCK6122EVG</t>
        </is>
      </c>
      <c r="FK355" s="15" t="n">
        <v>2025</v>
      </c>
      <c r="FL355" s="15" t="inlineStr">
        <is>
          <t>B</t>
        </is>
      </c>
      <c r="FM355" s="15" t="inlineStr">
        <is>
          <t>PIE ANDINO</t>
        </is>
      </c>
      <c r="FN355" s="15" t="inlineStr">
        <is>
          <t>Pie Andino 31 (Pie Andino 383)</t>
        </is>
      </c>
      <c r="FO355" s="15" t="inlineStr">
        <is>
          <t>Puente Alto</t>
        </is>
      </c>
      <c r="FP355" t="inlineStr">
        <is>
          <t>B</t>
        </is>
      </c>
      <c r="FS355" s="14" t="inlineStr">
        <is>
          <t>3094 / SFWZ-40|</t>
        </is>
      </c>
      <c r="FT355" t="inlineStr">
        <is>
          <t>SFWZ-40|</t>
        </is>
      </c>
      <c r="FU355" t="inlineStr">
        <is>
          <t>SFWZ-40</t>
        </is>
      </c>
      <c r="FV355">
        <f>VLOOKUP(FU355,FD:FL,9,0)</f>
        <v/>
      </c>
      <c r="HA355" s="35" t="n">
        <v>125</v>
      </c>
      <c r="HB355" s="35" t="n">
        <v>349</v>
      </c>
    </row>
    <row r="356" ht="15.5" customHeight="1">
      <c r="A356" s="10">
        <f>HOUR(G356)+1</f>
        <v/>
      </c>
      <c r="B356" s="7" t="n"/>
      <c r="C356" s="7" t="n"/>
      <c r="D356" s="85">
        <f>IFERROR(
IF(AND(OR(Planilla!B356="C",Planilla!B356="c"), VLOOKUP(E356,FD:FP,13,0)="C"), "OK",IF(AND(OR(Planilla!B356="C",Planilla!B356="c"), OR(VLOOKUP(E356,FD:FP,13,0)="B", VLOOKUP(E356,FD:FP,13,0)="A")), "DEFICIT",IF(
AND(OR(Planilla!B356="B", Planilla!B356="BPAL"), VLOOKUP(E356,FD:FP,13,0)="B"), "OK",IF(AND(OR(Planilla!B356="B", Planilla!B356="BPAL"), VLOOKUP(E356,FD:FP,13,0)="A"), "DEFICIT",IF(AND(OR(Planilla!B356="B", Planilla!B356="BPAL"), VLOOKUP(E356,FD:FP,13,0)="C"), "SOBREOFERTA",IF(AND(Planilla!B356="A", VLOOKUP(E356,FD:FP,13,0)="A"), "OK",IF(
AND(Planilla!B356="A", OR(VLOOKUP(E356,FD:FP,13,0)="B", VLOOKUP(E356,FD:FP,13,0)="C")), "SOBREOFERTA",""
))))))),"")</f>
        <v/>
      </c>
      <c r="E356" s="8" t="n"/>
      <c r="F356" s="86" t="n"/>
      <c r="G356" s="87" t="n"/>
      <c r="H356" s="88">
        <f>IF(I356="","",IF(AND((I356-G356)&gt;=TIME(0,0,0),(I356-G356)&lt;TIME(0,3,0)),"OK",IF(AND((I356-G356)&gt;=TIME(0,3,0),(I356-G356)&lt;TIME(0,5,0)),"RETRASO DE 3-5 MIN",IF(AND((I356-G356)&gt;=TIME(0,5,0),(I356-G356)&lt;TIME(0,10,0)),"RETRASO DE 5-10 MIN",IF((I356-G356)&gt;=TIME(0,10,0),"RETRASO &gt;10 MIN", IF(AND((G356-I356)&gt;=TIME(0,0,0),(G356-I356)&lt;TIME(0,3,0)),"OK",IF((G356-I356)&gt;=TIME(0,3,0),"ADELANTADO")))))))</f>
        <v/>
      </c>
      <c r="I356" s="89" t="n"/>
      <c r="J356" s="89">
        <f>IF(A356&lt;&gt;"",HLOOKUP(VALUE(TEXT(G356,"h:mm:ss")),IF($C$6="Laboral",$FZ$4:$GX$227,IF($C$6="Sábado",$FZ$231:$GX$452,$FZ$456:$GX$656)),VLOOKUP($C$4,$HF$2:$HH$99,3,0)+IF(C$5="Ida",0,1),1),"")</f>
        <v/>
      </c>
      <c r="K356" s="89">
        <f>IF(A357&lt;&gt;A356,AVERAGEIF(A$9:A356,A356,J$9:J356),"")</f>
        <v/>
      </c>
      <c r="L356" s="89">
        <f>IFERROR(IF(A357&lt;&gt;A356,AVERAGEIF(A$9:A356,A356,S$9:S356),""),"")</f>
        <v/>
      </c>
      <c r="M356" s="89">
        <f>IFERROR(IF(A357&lt;&gt;A356,AVERAGEIF(A$9:A356,A356,T$9:T356),""),"")</f>
        <v/>
      </c>
      <c r="N356" s="89">
        <f t="array" ref="N356">IFERROR(IF(A357&lt;&gt;A356,_xlfn.STDEV.P(IF(A$9:A356=A356,T$9:T356)),""),"")</f>
        <v/>
      </c>
      <c r="O356" s="89">
        <f t="array" ref="O356">IFERROR(IF(A357&lt;&gt;A356,_xlfn.STDEV.P(IF(A$9:A356=A356,S$9:S356)),""),"")</f>
        <v/>
      </c>
      <c r="P356" s="90">
        <f>IFERROR(IF(A356&lt;&gt;A357,MAX((((M356*24*60)/2)*(1+POWER((((N356*24*60) / (M356*24*60) )),2))) + ((M356*24*60 )*-0.1 + (K356*0.015)) +1,(((M356*24*60)/2)*(1+POWER((((N356*24*60) / (M356*24*60 ))),2)))),""),"")</f>
        <v/>
      </c>
      <c r="Q356" s="90">
        <f>IF(AND(O356&lt;&gt;"",L356&lt;&gt;""),IF(A356&lt;&gt;A357,((L356*24*60) / 2 ) * (1 + POWER(((O356*24*60) / (L356*24*60)),2)),""),"")</f>
        <v/>
      </c>
      <c r="R356" s="90">
        <f>IF(Q356&lt;&gt;"",MAX(P356,Q356),"")</f>
        <v/>
      </c>
      <c r="S356" s="89">
        <f>IF(I356&lt;&gt;"H. Sale Real",IF(AND(I357&lt;&gt;"",LEFT(C357,2)&lt;&gt;"Va"),IF(AND(I356&lt;&gt;"",LEFT(C356,2)&lt;&gt;"Va",I356&lt;&gt;"H. Sale Real"),IF(I357-I356&lt;0.208333333333333,I357-I356,""),IF(AND(I355&lt;&gt;"",LEFT(C355,2)&lt;&gt;"Va",I355&lt;&gt;"H. Sale Real"),IF(I357-I355&lt;0.208333333333333,I357-I355,""),IF(AND(I354&lt;&gt;"",LEFT(C354,2)&lt;&gt;"Va",I354&lt;&gt;"H. Sale Real"),IF(I357-I354&lt;0.208333333333333,I357-I354,""),IF(AND(I353&lt;&gt;"",LEFT(C353,2)&lt;&gt;"Va",I353&lt;&gt;"H. Sale Real"),IF(I357-I353&lt;0.208333333333333,I357-I353,""),IF(AND(I352&lt;&gt;"",LEFT(C352,2)&lt;&gt;"Va",I352&lt;&gt;"H. Sale Real"),IF(I357-I352&lt;0.208333333333333,I357-I352,""),""))))),""),"")</f>
        <v/>
      </c>
      <c r="T356" s="89">
        <f>IF(G356&lt;&gt;"H. Sale Real",IF(AND(G357&lt;&gt;"",LEFT(C357,2)&lt;&gt;"Va"),IF(AND(G356&lt;&gt;"",LEFT(C356,2)&lt;&gt;"Va",G356&lt;&gt;"H. Sale Real"),IF(G357-G356&lt;0.208333333333333,G357-G356,""),IF(AND(G355&lt;&gt;"",LEFT(C355,2)&lt;&gt;"Va",G355&lt;&gt;"H. Sale Real"),IF(G357-G355&lt;0.208333333333333,G357-G355,""),IF(AND(G354&lt;&gt;"",LEFT(C354,2)&lt;&gt;"Va",G354&lt;&gt;"H. Sale Real"),IF(G357-G354&lt;0.208333333333333,G357-G354,""),IF(AND(G353&lt;&gt;"",LEFT(C353,2)&lt;&gt;"Va",G353&lt;&gt;"H. Sale Real"),IF(G357-G353&lt;0.208333333333333,G357-G353,""),IF(AND(G352&lt;&gt;"",LEFT(C352,2)&lt;&gt;"Va",G352&lt;&gt;"H. Sale Real"),IF(G357-G352&lt;0.208333333333333,G357-G352,""),""))))),""),"")</f>
        <v/>
      </c>
      <c r="U356" s="87" t="n"/>
      <c r="V356" s="89" t="n"/>
      <c r="W356" s="87" t="n"/>
      <c r="X356" s="89" t="n"/>
      <c r="Y356" s="91" t="n"/>
      <c r="Z356" s="122">
        <f>IF(G356&lt;&gt;"",IF(AND(Z355&lt;&gt;"IE",P356&lt;&gt;0,R356&lt;&gt;""),IF(IFERROR((P356/R356),0) &lt;=1,IFERROR(P356/R356,""),1),""),"")</f>
        <v/>
      </c>
      <c r="AA356" s="93" t="n"/>
      <c r="AB356" s="2" t="n"/>
      <c r="AE356" s="10">
        <f>HOUR(AK356)+1</f>
        <v/>
      </c>
      <c r="AF356" s="7" t="n"/>
      <c r="AG356" s="7" t="n"/>
      <c r="AH356" s="86" t="n"/>
      <c r="AI356" s="8" t="n"/>
      <c r="AJ356" s="86" t="n"/>
      <c r="AK356" s="87" t="n"/>
      <c r="AL356" s="88">
        <f>IF(AM356="","",IF(AND((AM356-AK356)&gt;=TIME(0,0,0),(AM356-AK356)&lt;TIME(0,3,0)),"OK",IF(AND((AM356-AK356)&gt;=TIME(0,3,0),(AM356-AK356)&lt;TIME(0,5,0)),"RETRASO DE 3-5 MIN",IF(AND((AM356-AK356)&gt;=TIME(0,5,0),(AM356-AK356)&lt;TIME(0,10,0)),"RETRASO DE 5-10 MIN",IF((AM356-AK356)&gt;=TIME(0,10,0),"RETRASO &gt;10 MIN", IF(AND((AK356-AM356)&gt;=TIME(0,0,0),(AK356-AM356)&lt;TIME(0,3,0)),"OK",IF((AK356-AM356)&gt;=TIME(0,3,0),"ADELANTADO")))))))</f>
        <v/>
      </c>
      <c r="AM356" s="91" t="n"/>
      <c r="AN356" s="89">
        <f>IF(AE356&lt;&gt;"",HLOOKUP(VALUE(TEXT(AK356,"h:mm:ss")),IF($C$6="Laboral",$FZ$4:$GX$227,IF($C$6="Sábado",$FZ$231:$GX$452,$FZ$456:$GX$656)),VLOOKUP($C$4,$HF$2:$HH$99,3,0)+IF(AG$5="Ida",0,1),1),"")</f>
        <v/>
      </c>
      <c r="AO356" s="89">
        <f>IF(AE357&lt;&gt;AE356,AVERAGEIF(AE$9:AE356,AE356,AN$9:AN356),"")</f>
        <v/>
      </c>
      <c r="AP356" s="89">
        <f>IFERROR(IF(AE357&lt;&gt;AE356,AVERAGEIF(AE$9:AE356,AE356,AW$9:AW356),""),"")</f>
        <v/>
      </c>
      <c r="AQ356" s="89">
        <f>IFERROR(IF(AE357&lt;&gt;AE356,AVERAGEIF(AE$9:AE356,AE356,AX$9:AX356),""),"")</f>
        <v/>
      </c>
      <c r="AR356" s="89">
        <f t="array" ref="AR356">IFERROR(IF(AE357&lt;&gt;AE356,_xlfn.STDEV.P(IF(AE$9:AE356=AE356,AX$9:AX356)),""),"")</f>
        <v/>
      </c>
      <c r="AS356" s="89">
        <f t="array" ref="AS356">IFERROR(IF(AE357&lt;&gt;AE356,_xlfn.STDEV.P(IF(AE$9:AE356=AE356,AW$9:AW356)),""),"")</f>
        <v/>
      </c>
      <c r="AT356" s="90">
        <f>IFERROR(IF(AE356&lt;&gt;AE357,MAX((((AQ356*24*60)/2)*(1+POWER((((AR356*24*60) / (AQ356*24*60) )),2))) + ((AQ356*24*60 )*-0.1 + (AO356*0.015)) +1,(((AQ356*24*60)/2)*(1+POWER((((AR356*24*60) / (AQ356*24*60 ))),2)))),""),"")</f>
        <v/>
      </c>
      <c r="AU356" s="90">
        <f>IF(AND(AS356&lt;&gt;"",AP356&lt;&gt;""),IF(AE356&lt;&gt;AE357,((AP356*24*60) / 2 ) * (1 + POWER(((AS356*24*60) / (AP356*24*60)),2)),""),"")</f>
        <v/>
      </c>
      <c r="AV356" s="90">
        <f>IF(AU356&lt;&gt;"",MAX(AT356,AU356),"")</f>
        <v/>
      </c>
      <c r="AW356" s="89">
        <f>IF(AM356&lt;&gt;"H. Sale Real",IF(AND(AM357&lt;&gt;"",LEFT(AG357,2)&lt;&gt;"Va"),IF(AND(AM356&lt;&gt;"",LEFT(AG356,2)&lt;&gt;"Va",AM356&lt;&gt;"H. Sale Real"),IF(AM357-AM356&lt;0.208333333333333,AM357-AM356,""),IF(AND(AM355&lt;&gt;"",LEFT(AG355,2)&lt;&gt;"Va",AM355&lt;&gt;"H. Sale Real"),IF(AM357-AM355&lt;0.208333333333333,AM357-AM355,""),IF(AND(AM354&lt;&gt;"",LEFT(AG354,2)&lt;&gt;"Va",AM354&lt;&gt;"H. Sale Real"),IF(AM357-AM354&lt;0.208333333333333,AM357-AM354,""),IF(AND(AM353&lt;&gt;"",LEFT(AG353,2)&lt;&gt;"Va",AM353&lt;&gt;"H. Sale Real"),IF(AM357-AM353&lt;0.208333333333333,AM357-AM353,""),IF(AND(AM352&lt;&gt;"",LEFT(AG352,2)&lt;&gt;"Va",AM352&lt;&gt;"H. Sale Real"),IF(AM357-AM352&lt;0.208333333333333,AM357-AM352,""),""))))),""),"")</f>
        <v/>
      </c>
      <c r="AX356" s="89">
        <f>IF(AK356&lt;&gt;"H. Sale Real",IF(AND(AK357&lt;&gt;"",LEFT(AG357,2)&lt;&gt;"Va"),IF(AND(AK356&lt;&gt;"",LEFT(AG356,2)&lt;&gt;"Va",AK356&lt;&gt;"H. Sale Real"),IF(AK357-AK356&lt;0.208333333333333,AK357-AK356,""),IF(AND(AK355&lt;&gt;"",LEFT(AG355,2)&lt;&gt;"Va",AK355&lt;&gt;"H. Sale Real"),IF(AK357-AK355&lt;0.208333333333333,AK357-AK355,""),IF(AND(AK354&lt;&gt;"",LEFT(AG354,2)&lt;&gt;"NC",AK354&lt;&gt;"H. Sale Real"),IF(AK357-AK354&lt;0.208333333333333,AK357-AK354,""),IF(AND(AK353&lt;&gt;"",LEFT(AG353,2)&lt;&gt;"Va",AK353&lt;&gt;"H. Sale Real"),IF(AK357-AK353&lt;0.208333333333333,AK357-AK353,""),IF(AND(AK352&lt;&gt;"",LEFT(AG352,2)&lt;&gt;"Va",AK352&lt;&gt;"H. Sale Real"),IF(AK357-AK352&lt;0.208333333333333,AK357-AK352,""),""))))),""),"")</f>
        <v/>
      </c>
      <c r="AY356" s="87" t="n"/>
      <c r="AZ356" s="89" t="n"/>
      <c r="BA356" s="87" t="n"/>
      <c r="BB356" s="89" t="n"/>
      <c r="BC356" s="91" t="n"/>
      <c r="BD356" s="122">
        <f>IF(AK356&lt;&gt;"",IF(AND(BD355&lt;&gt;"IE",AT356&lt;&gt;0,AV356&lt;&gt;""),IF(IFERROR((AT356/AV356),0) &lt;=1,IFERROR(AT356/AV356,""),1),""),"")</f>
        <v/>
      </c>
      <c r="BE356" s="93" t="n"/>
      <c r="BF356" s="105" t="n"/>
      <c r="FC356" t="inlineStr">
        <is>
          <t>Diccionario 1</t>
        </is>
      </c>
      <c r="FD356" s="15" t="n">
        <v>1355</v>
      </c>
      <c r="FE356" s="15" t="inlineStr">
        <is>
          <t>MDN35025020017</t>
        </is>
      </c>
      <c r="FF356" s="15" t="inlineStr">
        <is>
          <t>LDYECS312S0044085</t>
        </is>
      </c>
      <c r="FG356" s="15" t="inlineStr">
        <is>
          <t>Zhong Tong</t>
        </is>
      </c>
      <c r="FH356" s="15" t="inlineStr">
        <is>
          <t>Lck6122evg</t>
        </is>
      </c>
      <c r="FI356" s="15" t="inlineStr">
        <is>
          <t>ZHONGTONG</t>
        </is>
      </c>
      <c r="FJ356" s="15" t="inlineStr">
        <is>
          <t>LCK6122EVG</t>
        </is>
      </c>
      <c r="FK356" s="15" t="n">
        <v>2025</v>
      </c>
      <c r="FL356" s="15" t="inlineStr">
        <is>
          <t>B</t>
        </is>
      </c>
      <c r="FM356" s="15" t="inlineStr">
        <is>
          <t>PIE ANDINO</t>
        </is>
      </c>
      <c r="FN356" s="15" t="inlineStr">
        <is>
          <t>Pie Andino 31 (Pie Andino 383)</t>
        </is>
      </c>
      <c r="FO356" s="15" t="inlineStr">
        <is>
          <t>Puente Alto</t>
        </is>
      </c>
      <c r="FP356" t="inlineStr">
        <is>
          <t>B</t>
        </is>
      </c>
      <c r="FS356" s="14" t="inlineStr">
        <is>
          <t>3094 / SFWZ-40|</t>
        </is>
      </c>
      <c r="FT356" t="inlineStr">
        <is>
          <t>SFWZ-40|</t>
        </is>
      </c>
      <c r="FU356" t="inlineStr">
        <is>
          <t>SFWZ-40</t>
        </is>
      </c>
      <c r="FV356">
        <f>VLOOKUP(FU356,FD:FL,9,0)</f>
        <v/>
      </c>
      <c r="HA356" s="35" t="n">
        <v>126</v>
      </c>
      <c r="HB356" s="35" t="n">
        <v>350</v>
      </c>
    </row>
    <row r="357" ht="15.5" customHeight="1">
      <c r="A357" s="10">
        <f>HOUR(G357)+1</f>
        <v/>
      </c>
      <c r="B357" s="7" t="n"/>
      <c r="C357" s="7" t="n"/>
      <c r="D357" s="85">
        <f>IFERROR(
IF(AND(OR(Planilla!B357="C",Planilla!B357="c"), VLOOKUP(E357,FD:FP,13,0)="C"), "OK",IF(AND(OR(Planilla!B357="C",Planilla!B357="c"), OR(VLOOKUP(E357,FD:FP,13,0)="B", VLOOKUP(E357,FD:FP,13,0)="A")), "DEFICIT",IF(
AND(OR(Planilla!B357="B", Planilla!B357="BPAL"), VLOOKUP(E357,FD:FP,13,0)="B"), "OK",IF(AND(OR(Planilla!B357="B", Planilla!B357="BPAL"), VLOOKUP(E357,FD:FP,13,0)="A"), "DEFICIT",IF(AND(OR(Planilla!B357="B", Planilla!B357="BPAL"), VLOOKUP(E357,FD:FP,13,0)="C"), "SOBREOFERTA",IF(AND(Planilla!B357="A", VLOOKUP(E357,FD:FP,13,0)="A"), "OK",IF(
AND(Planilla!B357="A", OR(VLOOKUP(E357,FD:FP,13,0)="B", VLOOKUP(E357,FD:FP,13,0)="C")), "SOBREOFERTA",""
))))))),"")</f>
        <v/>
      </c>
      <c r="E357" s="8" t="n"/>
      <c r="F357" s="86" t="n"/>
      <c r="G357" s="87" t="n"/>
      <c r="H357" s="88">
        <f>IF(I357="","",IF(AND((I357-G357)&gt;=TIME(0,0,0),(I357-G357)&lt;TIME(0,3,0)),"OK",IF(AND((I357-G357)&gt;=TIME(0,3,0),(I357-G357)&lt;TIME(0,5,0)),"RETRASO DE 3-5 MIN",IF(AND((I357-G357)&gt;=TIME(0,5,0),(I357-G357)&lt;TIME(0,10,0)),"RETRASO DE 5-10 MIN",IF((I357-G357)&gt;=TIME(0,10,0),"RETRASO &gt;10 MIN", IF(AND((G357-I357)&gt;=TIME(0,0,0),(G357-I357)&lt;TIME(0,3,0)),"OK",IF((G357-I357)&gt;=TIME(0,3,0),"ADELANTADO")))))))</f>
        <v/>
      </c>
      <c r="I357" s="89" t="n"/>
      <c r="J357" s="89">
        <f>IF(A357&lt;&gt;"",HLOOKUP(VALUE(TEXT(G357,"h:mm:ss")),IF($C$6="Laboral",$FZ$4:$GX$227,IF($C$6="Sábado",$FZ$231:$GX$452,$FZ$456:$GX$656)),VLOOKUP($C$4,$HF$2:$HH$99,3,0)+IF(C$5="Ida",0,1),1),"")</f>
        <v/>
      </c>
      <c r="K357" s="89">
        <f>IF(A358&lt;&gt;A357,AVERAGEIF(A$9:A357,A357,J$9:J357),"")</f>
        <v/>
      </c>
      <c r="L357" s="89">
        <f>IFERROR(IF(A358&lt;&gt;A357,AVERAGEIF(A$9:A357,A357,S$9:S357),""),"")</f>
        <v/>
      </c>
      <c r="M357" s="89">
        <f>IFERROR(IF(A358&lt;&gt;A357,AVERAGEIF(A$9:A357,A357,T$9:T357),""),"")</f>
        <v/>
      </c>
      <c r="N357" s="89">
        <f t="array" ref="N357">IFERROR(IF(A358&lt;&gt;A357,_xlfn.STDEV.P(IF(A$9:A357=A357,T$9:T357)),""),"")</f>
        <v/>
      </c>
      <c r="O357" s="89">
        <f t="array" ref="O357">IFERROR(IF(A358&lt;&gt;A357,_xlfn.STDEV.P(IF(A$9:A357=A357,S$9:S357)),""),"")</f>
        <v/>
      </c>
      <c r="P357" s="90">
        <f>IFERROR(IF(A357&lt;&gt;A358,MAX((((M357*24*60)/2)*(1+POWER((((N357*24*60) / (M357*24*60) )),2))) + ((M357*24*60 )*-0.1 + (K357*0.015)) +1,(((M357*24*60)/2)*(1+POWER((((N357*24*60) / (M357*24*60 ))),2)))),""),"")</f>
        <v/>
      </c>
      <c r="Q357" s="90">
        <f>IF(AND(O357&lt;&gt;"",L357&lt;&gt;""),IF(A357&lt;&gt;A358,((L357*24*60) / 2 ) * (1 + POWER(((O357*24*60) / (L357*24*60)),2)),""),"")</f>
        <v/>
      </c>
      <c r="R357" s="90">
        <f>IF(Q357&lt;&gt;"",MAX(P357,Q357),"")</f>
        <v/>
      </c>
      <c r="S357" s="89">
        <f>IF(I357&lt;&gt;"H. Sale Real",IF(AND(I358&lt;&gt;"",LEFT(C358,2)&lt;&gt;"Va"),IF(AND(I357&lt;&gt;"",LEFT(C357,2)&lt;&gt;"Va",I357&lt;&gt;"H. Sale Real"),IF(I358-I357&lt;0.208333333333333,I358-I357,""),IF(AND(I356&lt;&gt;"",LEFT(C356,2)&lt;&gt;"Va",I356&lt;&gt;"H. Sale Real"),IF(I358-I356&lt;0.208333333333333,I358-I356,""),IF(AND(I355&lt;&gt;"",LEFT(C355,2)&lt;&gt;"Va",I355&lt;&gt;"H. Sale Real"),IF(I358-I355&lt;0.208333333333333,I358-I355,""),IF(AND(I354&lt;&gt;"",LEFT(C354,2)&lt;&gt;"Va",I354&lt;&gt;"H. Sale Real"),IF(I358-I354&lt;0.208333333333333,I358-I354,""),IF(AND(I353&lt;&gt;"",LEFT(C353,2)&lt;&gt;"Va",I353&lt;&gt;"H. Sale Real"),IF(I358-I353&lt;0.208333333333333,I358-I353,""),""))))),""),"")</f>
        <v/>
      </c>
      <c r="T357" s="89">
        <f>IF(G357&lt;&gt;"H. Sale Real",IF(AND(G358&lt;&gt;"",LEFT(C358,2)&lt;&gt;"Va"),IF(AND(G357&lt;&gt;"",LEFT(C357,2)&lt;&gt;"Va",G357&lt;&gt;"H. Sale Real"),IF(G358-G357&lt;0.208333333333333,G358-G357,""),IF(AND(G356&lt;&gt;"",LEFT(C356,2)&lt;&gt;"Va",G356&lt;&gt;"H. Sale Real"),IF(G358-G356&lt;0.208333333333333,G358-G356,""),IF(AND(G355&lt;&gt;"",LEFT(C355,2)&lt;&gt;"Va",G355&lt;&gt;"H. Sale Real"),IF(G358-G355&lt;0.208333333333333,G358-G355,""),IF(AND(G354&lt;&gt;"",LEFT(C354,2)&lt;&gt;"Va",G354&lt;&gt;"H. Sale Real"),IF(G358-G354&lt;0.208333333333333,G358-G354,""),IF(AND(G353&lt;&gt;"",LEFT(C353,2)&lt;&gt;"Va",G353&lt;&gt;"H. Sale Real"),IF(G358-G353&lt;0.208333333333333,G358-G353,""),""))))),""),"")</f>
        <v/>
      </c>
      <c r="U357" s="87" t="n"/>
      <c r="V357" s="89" t="n"/>
      <c r="W357" s="87" t="n"/>
      <c r="X357" s="89" t="n"/>
      <c r="Y357" s="91" t="n"/>
      <c r="Z357" s="122">
        <f>IF(G357&lt;&gt;"",IF(AND(Z356&lt;&gt;"IE",P357&lt;&gt;0,R357&lt;&gt;""),IF(IFERROR((P357/R357),0) &lt;=1,IFERROR(P357/R357,""),1),""),"")</f>
        <v/>
      </c>
      <c r="AA357" s="93" t="n"/>
      <c r="AB357" s="2" t="n"/>
      <c r="AE357" s="10">
        <f>HOUR(AK357)+1</f>
        <v/>
      </c>
      <c r="AF357" s="7" t="n"/>
      <c r="AG357" s="7" t="n"/>
      <c r="AH357" s="86" t="n"/>
      <c r="AI357" s="8" t="n"/>
      <c r="AJ357" s="86" t="n"/>
      <c r="AK357" s="87" t="n"/>
      <c r="AL357" s="88">
        <f>IF(AM357="","",IF(AND((AM357-AK357)&gt;=TIME(0,0,0),(AM357-AK357)&lt;TIME(0,3,0)),"OK",IF(AND((AM357-AK357)&gt;=TIME(0,3,0),(AM357-AK357)&lt;TIME(0,5,0)),"RETRASO DE 3-5 MIN",IF(AND((AM357-AK357)&gt;=TIME(0,5,0),(AM357-AK357)&lt;TIME(0,10,0)),"RETRASO DE 5-10 MIN",IF((AM357-AK357)&gt;=TIME(0,10,0),"RETRASO &gt;10 MIN", IF(AND((AK357-AM357)&gt;=TIME(0,0,0),(AK357-AM357)&lt;TIME(0,3,0)),"OK",IF((AK357-AM357)&gt;=TIME(0,3,0),"ADELANTADO")))))))</f>
        <v/>
      </c>
      <c r="AM357" s="91" t="n"/>
      <c r="AN357" s="89">
        <f>IF(AE357&lt;&gt;"",HLOOKUP(VALUE(TEXT(AK357,"h:mm:ss")),IF($C$6="Laboral",$FZ$4:$GX$227,IF($C$6="Sábado",$FZ$231:$GX$452,$FZ$456:$GX$656)),VLOOKUP($C$4,$HF$2:$HH$99,3,0)+IF(AG$5="Ida",0,1),1),"")</f>
        <v/>
      </c>
      <c r="AO357" s="89">
        <f>IF(AE358&lt;&gt;AE357,AVERAGEIF(AE$9:AE357,AE357,AN$9:AN357),"")</f>
        <v/>
      </c>
      <c r="AP357" s="89">
        <f>IFERROR(IF(AE358&lt;&gt;AE357,AVERAGEIF(AE$9:AE357,AE357,AW$9:AW357),""),"")</f>
        <v/>
      </c>
      <c r="AQ357" s="89">
        <f>IFERROR(IF(AE358&lt;&gt;AE357,AVERAGEIF(AE$9:AE357,AE357,AX$9:AX357),""),"")</f>
        <v/>
      </c>
      <c r="AR357" s="89">
        <f t="array" ref="AR357">IFERROR(IF(AE358&lt;&gt;AE357,_xlfn.STDEV.P(IF(AE$9:AE357=AE357,AX$9:AX357)),""),"")</f>
        <v/>
      </c>
      <c r="AS357" s="89">
        <f t="array" ref="AS357">IFERROR(IF(AE358&lt;&gt;AE357,_xlfn.STDEV.P(IF(AE$9:AE357=AE357,AW$9:AW357)),""),"")</f>
        <v/>
      </c>
      <c r="AT357" s="90">
        <f>IFERROR(IF(AE357&lt;&gt;AE358,MAX((((AQ357*24*60)/2)*(1+POWER((((AR357*24*60) / (AQ357*24*60) )),2))) + ((AQ357*24*60 )*-0.1 + (AO357*0.015)) +1,(((AQ357*24*60)/2)*(1+POWER((((AR357*24*60) / (AQ357*24*60 ))),2)))),""),"")</f>
        <v/>
      </c>
      <c r="AU357" s="90">
        <f>IF(AND(AS357&lt;&gt;"",AP357&lt;&gt;""),IF(AE357&lt;&gt;AE358,((AP357*24*60) / 2 ) * (1 + POWER(((AS357*24*60) / (AP357*24*60)),2)),""),"")</f>
        <v/>
      </c>
      <c r="AV357" s="90">
        <f>IF(AU357&lt;&gt;"",MAX(AT357,AU357),"")</f>
        <v/>
      </c>
      <c r="AW357" s="89">
        <f>IF(AM357&lt;&gt;"H. Sale Real",IF(AND(AM358&lt;&gt;"",LEFT(AG358,2)&lt;&gt;"Va"),IF(AND(AM357&lt;&gt;"",LEFT(AG357,2)&lt;&gt;"Va",AM357&lt;&gt;"H. Sale Real"),IF(AM358-AM357&lt;0.208333333333333,AM358-AM357,""),IF(AND(AM356&lt;&gt;"",LEFT(AG356,2)&lt;&gt;"Va",AM356&lt;&gt;"H. Sale Real"),IF(AM358-AM356&lt;0.208333333333333,AM358-AM356,""),IF(AND(AM355&lt;&gt;"",LEFT(AG355,2)&lt;&gt;"Va",AM355&lt;&gt;"H. Sale Real"),IF(AM358-AM355&lt;0.208333333333333,AM358-AM355,""),IF(AND(AM354&lt;&gt;"",LEFT(AG354,2)&lt;&gt;"Va",AM354&lt;&gt;"H. Sale Real"),IF(AM358-AM354&lt;0.208333333333333,AM358-AM354,""),IF(AND(AM353&lt;&gt;"",LEFT(AG353,2)&lt;&gt;"Va",AM353&lt;&gt;"H. Sale Real"),IF(AM358-AM353&lt;0.208333333333333,AM358-AM353,""),""))))),""),"")</f>
        <v/>
      </c>
      <c r="AX357" s="89">
        <f>IF(AK357&lt;&gt;"H. Sale Real",IF(AND(AK358&lt;&gt;"",LEFT(AG358,2)&lt;&gt;"Va"),IF(AND(AK357&lt;&gt;"",LEFT(AG357,2)&lt;&gt;"Va",AK357&lt;&gt;"H. Sale Real"),IF(AK358-AK357&lt;0.208333333333333,AK358-AK357,""),IF(AND(AK356&lt;&gt;"",LEFT(AG356,2)&lt;&gt;"Va",AK356&lt;&gt;"H. Sale Real"),IF(AK358-AK356&lt;0.208333333333333,AK358-AK356,""),IF(AND(AK355&lt;&gt;"",LEFT(AG355,2)&lt;&gt;"NC",AK355&lt;&gt;"H. Sale Real"),IF(AK358-AK355&lt;0.208333333333333,AK358-AK355,""),IF(AND(AK354&lt;&gt;"",LEFT(AG354,2)&lt;&gt;"Va",AK354&lt;&gt;"H. Sale Real"),IF(AK358-AK354&lt;0.208333333333333,AK358-AK354,""),IF(AND(AK353&lt;&gt;"",LEFT(AG353,2)&lt;&gt;"Va",AK353&lt;&gt;"H. Sale Real"),IF(AK358-AK353&lt;0.208333333333333,AK358-AK353,""),""))))),""),"")</f>
        <v/>
      </c>
      <c r="AY357" s="87" t="n"/>
      <c r="AZ357" s="89" t="n"/>
      <c r="BA357" s="87" t="n"/>
      <c r="BB357" s="89" t="n"/>
      <c r="BC357" s="91" t="n"/>
      <c r="BD357" s="122">
        <f>IF(AK357&lt;&gt;"",IF(AND(BD356&lt;&gt;"IE",AT357&lt;&gt;0,AV357&lt;&gt;""),IF(IFERROR((AT357/AV357),0) &lt;=1,IFERROR(AT357/AV357,""),1),""),"")</f>
        <v/>
      </c>
      <c r="BE357" s="93" t="n"/>
      <c r="BF357" s="105" t="n"/>
      <c r="FC357" t="inlineStr">
        <is>
          <t>Diccionario 1</t>
        </is>
      </c>
      <c r="FD357" s="15" t="n">
        <v>1356</v>
      </c>
      <c r="FE357" s="15" t="inlineStr">
        <is>
          <t>MDN35025020001</t>
        </is>
      </c>
      <c r="FF357" s="15" t="inlineStr">
        <is>
          <t>LDYECS313S0044077</t>
        </is>
      </c>
      <c r="FG357" s="15" t="inlineStr">
        <is>
          <t>Zhong Tong</t>
        </is>
      </c>
      <c r="FH357" s="15" t="inlineStr">
        <is>
          <t>Lck6122evg</t>
        </is>
      </c>
      <c r="FI357" s="15" t="inlineStr">
        <is>
          <t>ZHONGTONG</t>
        </is>
      </c>
      <c r="FJ357" s="15" t="inlineStr">
        <is>
          <t>LCK6122EVG</t>
        </is>
      </c>
      <c r="FK357" s="15" t="n">
        <v>2025</v>
      </c>
      <c r="FL357" s="15" t="inlineStr">
        <is>
          <t>B</t>
        </is>
      </c>
      <c r="FM357" s="15" t="inlineStr">
        <is>
          <t>PIE ANDINO</t>
        </is>
      </c>
      <c r="FN357" s="15" t="inlineStr">
        <is>
          <t>Pie Andino 31 (Pie Andino 383)</t>
        </is>
      </c>
      <c r="FO357" s="15" t="inlineStr">
        <is>
          <t>Puente Alto</t>
        </is>
      </c>
      <c r="FP357" t="inlineStr">
        <is>
          <t>B</t>
        </is>
      </c>
      <c r="FS357" s="14" t="inlineStr">
        <is>
          <t>3094 / SFWZ-40|</t>
        </is>
      </c>
      <c r="FT357" t="inlineStr">
        <is>
          <t>SFWZ-40|</t>
        </is>
      </c>
      <c r="FU357" t="inlineStr">
        <is>
          <t>SFWZ-40</t>
        </is>
      </c>
      <c r="FV357">
        <f>VLOOKUP(FU357,FD:FL,9,0)</f>
        <v/>
      </c>
      <c r="HA357" s="35" t="n">
        <v>127</v>
      </c>
      <c r="HB357" s="35" t="n">
        <v>351</v>
      </c>
    </row>
    <row r="358" ht="15.5" customHeight="1">
      <c r="A358" s="10">
        <f>HOUR(G358)+1</f>
        <v/>
      </c>
      <c r="B358" s="7" t="n"/>
      <c r="C358" s="7" t="n"/>
      <c r="D358" s="85">
        <f>IFERROR(
IF(AND(OR(Planilla!B358="C",Planilla!B358="c"), VLOOKUP(E358,FD:FP,13,0)="C"), "OK",IF(AND(OR(Planilla!B358="C",Planilla!B358="c"), OR(VLOOKUP(E358,FD:FP,13,0)="B", VLOOKUP(E358,FD:FP,13,0)="A")), "DEFICIT",IF(
AND(OR(Planilla!B358="B", Planilla!B358="BPAL"), VLOOKUP(E358,FD:FP,13,0)="B"), "OK",IF(AND(OR(Planilla!B358="B", Planilla!B358="BPAL"), VLOOKUP(E358,FD:FP,13,0)="A"), "DEFICIT",IF(AND(OR(Planilla!B358="B", Planilla!B358="BPAL"), VLOOKUP(E358,FD:FP,13,0)="C"), "SOBREOFERTA",IF(AND(Planilla!B358="A", VLOOKUP(E358,FD:FP,13,0)="A"), "OK",IF(
AND(Planilla!B358="A", OR(VLOOKUP(E358,FD:FP,13,0)="B", VLOOKUP(E358,FD:FP,13,0)="C")), "SOBREOFERTA",""
))))))),"")</f>
        <v/>
      </c>
      <c r="E358" s="8" t="n"/>
      <c r="F358" s="86" t="n"/>
      <c r="G358" s="87" t="n"/>
      <c r="H358" s="88">
        <f>IF(I358="","",IF(AND((I358-G358)&gt;=TIME(0,0,0),(I358-G358)&lt;TIME(0,3,0)),"OK",IF(AND((I358-G358)&gt;=TIME(0,3,0),(I358-G358)&lt;TIME(0,5,0)),"RETRASO DE 3-5 MIN",IF(AND((I358-G358)&gt;=TIME(0,5,0),(I358-G358)&lt;TIME(0,10,0)),"RETRASO DE 5-10 MIN",IF((I358-G358)&gt;=TIME(0,10,0),"RETRASO &gt;10 MIN", IF(AND((G358-I358)&gt;=TIME(0,0,0),(G358-I358)&lt;TIME(0,3,0)),"OK",IF((G358-I358)&gt;=TIME(0,3,0),"ADELANTADO")))))))</f>
        <v/>
      </c>
      <c r="I358" s="89" t="n"/>
      <c r="J358" s="89">
        <f>IF(A358&lt;&gt;"",HLOOKUP(VALUE(TEXT(G358,"h:mm:ss")),IF($C$6="Laboral",$FZ$4:$GX$227,IF($C$6="Sábado",$FZ$231:$GX$452,$FZ$456:$GX$656)),VLOOKUP($C$4,$HF$2:$HH$99,3,0)+IF(C$5="Ida",0,1),1),"")</f>
        <v/>
      </c>
      <c r="K358" s="89">
        <f>IF(A359&lt;&gt;A358,AVERAGEIF(A$9:A358,A358,J$9:J358),"")</f>
        <v/>
      </c>
      <c r="L358" s="89">
        <f>IFERROR(IF(A359&lt;&gt;A358,AVERAGEIF(A$9:A358,A358,S$9:S358),""),"")</f>
        <v/>
      </c>
      <c r="M358" s="89">
        <f>IFERROR(IF(A359&lt;&gt;A358,AVERAGEIF(A$9:A358,A358,T$9:T358),""),"")</f>
        <v/>
      </c>
      <c r="N358" s="89">
        <f t="array" ref="N358">IFERROR(IF(A359&lt;&gt;A358,_xlfn.STDEV.P(IF(A$9:A358=A358,T$9:T358)),""),"")</f>
        <v/>
      </c>
      <c r="O358" s="89">
        <f t="array" ref="O358">IFERROR(IF(A359&lt;&gt;A358,_xlfn.STDEV.P(IF(A$9:A358=A358,S$9:S358)),""),"")</f>
        <v/>
      </c>
      <c r="P358" s="90">
        <f>IFERROR(IF(A358&lt;&gt;A359,MAX((((M358*24*60)/2)*(1+POWER((((N358*24*60) / (M358*24*60) )),2))) + ((M358*24*60 )*-0.1 + (K358*0.015)) +1,(((M358*24*60)/2)*(1+POWER((((N358*24*60) / (M358*24*60 ))),2)))),""),"")</f>
        <v/>
      </c>
      <c r="Q358" s="90">
        <f>IF(AND(O358&lt;&gt;"",L358&lt;&gt;""),IF(A358&lt;&gt;A359,((L358*24*60) / 2 ) * (1 + POWER(((O358*24*60) / (L358*24*60)),2)),""),"")</f>
        <v/>
      </c>
      <c r="R358" s="90">
        <f>IF(Q358&lt;&gt;"",MAX(P358,Q358),"")</f>
        <v/>
      </c>
      <c r="S358" s="89">
        <f>IF(I358&lt;&gt;"H. Sale Real",IF(AND(I359&lt;&gt;"",LEFT(C359,2)&lt;&gt;"Va"),IF(AND(I358&lt;&gt;"",LEFT(C358,2)&lt;&gt;"Va",I358&lt;&gt;"H. Sale Real"),IF(I359-I358&lt;0.208333333333333,I359-I358,""),IF(AND(I357&lt;&gt;"",LEFT(C357,2)&lt;&gt;"Va",I357&lt;&gt;"H. Sale Real"),IF(I359-I357&lt;0.208333333333333,I359-I357,""),IF(AND(I356&lt;&gt;"",LEFT(C356,2)&lt;&gt;"Va",I356&lt;&gt;"H. Sale Real"),IF(I359-I356&lt;0.208333333333333,I359-I356,""),IF(AND(I355&lt;&gt;"",LEFT(C355,2)&lt;&gt;"Va",I355&lt;&gt;"H. Sale Real"),IF(I359-I355&lt;0.208333333333333,I359-I355,""),IF(AND(I354&lt;&gt;"",LEFT(C354,2)&lt;&gt;"Va",I354&lt;&gt;"H. Sale Real"),IF(I359-I354&lt;0.208333333333333,I359-I354,""),""))))),""),"")</f>
        <v/>
      </c>
      <c r="T358" s="89">
        <f>IF(G358&lt;&gt;"H. Sale Real",IF(AND(G359&lt;&gt;"",LEFT(C359,2)&lt;&gt;"Va"),IF(AND(G358&lt;&gt;"",LEFT(C358,2)&lt;&gt;"Va",G358&lt;&gt;"H. Sale Real"),IF(G359-G358&lt;0.208333333333333,G359-G358,""),IF(AND(G357&lt;&gt;"",LEFT(C357,2)&lt;&gt;"Va",G357&lt;&gt;"H. Sale Real"),IF(G359-G357&lt;0.208333333333333,G359-G357,""),IF(AND(G356&lt;&gt;"",LEFT(C356,2)&lt;&gt;"Va",G356&lt;&gt;"H. Sale Real"),IF(G359-G356&lt;0.208333333333333,G359-G356,""),IF(AND(G355&lt;&gt;"",LEFT(C355,2)&lt;&gt;"Va",G355&lt;&gt;"H. Sale Real"),IF(G359-G355&lt;0.208333333333333,G359-G355,""),IF(AND(G354&lt;&gt;"",LEFT(C354,2)&lt;&gt;"Va",G354&lt;&gt;"H. Sale Real"),IF(G359-G354&lt;0.208333333333333,G359-G354,""),""))))),""),"")</f>
        <v/>
      </c>
      <c r="U358" s="87" t="n"/>
      <c r="V358" s="89" t="n"/>
      <c r="W358" s="87" t="n"/>
      <c r="X358" s="89" t="n"/>
      <c r="Y358" s="91" t="n"/>
      <c r="Z358" s="122">
        <f>IF(G358&lt;&gt;"",IF(AND(Z357&lt;&gt;"IE",P358&lt;&gt;0,R358&lt;&gt;""),IF(IFERROR((P358/R358),0) &lt;=1,IFERROR(P358/R358,""),1),""),"")</f>
        <v/>
      </c>
      <c r="AA358" s="93" t="n"/>
      <c r="AB358" s="2" t="n"/>
      <c r="AE358" s="10">
        <f>HOUR(AK358)+1</f>
        <v/>
      </c>
      <c r="AF358" s="7" t="n"/>
      <c r="AG358" s="7" t="n"/>
      <c r="AH358" s="86" t="n"/>
      <c r="AI358" s="8" t="n"/>
      <c r="AJ358" s="86" t="n"/>
      <c r="AK358" s="87" t="n"/>
      <c r="AL358" s="88">
        <f>IF(AM358="","",IF(AND((AM358-AK358)&gt;=TIME(0,0,0),(AM358-AK358)&lt;TIME(0,3,0)),"OK",IF(AND((AM358-AK358)&gt;=TIME(0,3,0),(AM358-AK358)&lt;TIME(0,5,0)),"RETRASO DE 3-5 MIN",IF(AND((AM358-AK358)&gt;=TIME(0,5,0),(AM358-AK358)&lt;TIME(0,10,0)),"RETRASO DE 5-10 MIN",IF((AM358-AK358)&gt;=TIME(0,10,0),"RETRASO &gt;10 MIN", IF(AND((AK358-AM358)&gt;=TIME(0,0,0),(AK358-AM358)&lt;TIME(0,3,0)),"OK",IF((AK358-AM358)&gt;=TIME(0,3,0),"ADELANTADO")))))))</f>
        <v/>
      </c>
      <c r="AM358" s="91" t="n"/>
      <c r="AN358" s="89">
        <f>IF(AE358&lt;&gt;"",HLOOKUP(VALUE(TEXT(AK358,"h:mm:ss")),IF($C$6="Laboral",$FZ$4:$GX$227,IF($C$6="Sábado",$FZ$231:$GX$452,$FZ$456:$GX$656)),VLOOKUP($C$4,$HF$2:$HH$99,3,0)+IF(AG$5="Ida",0,1),1),"")</f>
        <v/>
      </c>
      <c r="AO358" s="89">
        <f>IF(AE359&lt;&gt;AE358,AVERAGEIF(AE$9:AE358,AE358,AN$9:AN358),"")</f>
        <v/>
      </c>
      <c r="AP358" s="89">
        <f>IFERROR(IF(AE359&lt;&gt;AE358,AVERAGEIF(AE$9:AE358,AE358,AW$9:AW358),""),"")</f>
        <v/>
      </c>
      <c r="AQ358" s="89">
        <f>IFERROR(IF(AE359&lt;&gt;AE358,AVERAGEIF(AE$9:AE358,AE358,AX$9:AX358),""),"")</f>
        <v/>
      </c>
      <c r="AR358" s="89">
        <f t="array" ref="AR358">IFERROR(IF(AE359&lt;&gt;AE358,_xlfn.STDEV.P(IF(AE$9:AE358=AE358,AX$9:AX358)),""),"")</f>
        <v/>
      </c>
      <c r="AS358" s="89">
        <f t="array" ref="AS358">IFERROR(IF(AE359&lt;&gt;AE358,_xlfn.STDEV.P(IF(AE$9:AE358=AE358,AW$9:AW358)),""),"")</f>
        <v/>
      </c>
      <c r="AT358" s="90">
        <f>IFERROR(IF(AE358&lt;&gt;AE359,MAX((((AQ358*24*60)/2)*(1+POWER((((AR358*24*60) / (AQ358*24*60) )),2))) + ((AQ358*24*60 )*-0.1 + (AO358*0.015)) +1,(((AQ358*24*60)/2)*(1+POWER((((AR358*24*60) / (AQ358*24*60 ))),2)))),""),"")</f>
        <v/>
      </c>
      <c r="AU358" s="90">
        <f>IF(AND(AS358&lt;&gt;"",AP358&lt;&gt;""),IF(AE358&lt;&gt;AE359,((AP358*24*60) / 2 ) * (1 + POWER(((AS358*24*60) / (AP358*24*60)),2)),""),"")</f>
        <v/>
      </c>
      <c r="AV358" s="90">
        <f>IF(AU358&lt;&gt;"",MAX(AT358,AU358),"")</f>
        <v/>
      </c>
      <c r="AW358" s="89">
        <f>IF(AM358&lt;&gt;"H. Sale Real",IF(AND(AM359&lt;&gt;"",LEFT(AG359,2)&lt;&gt;"Va"),IF(AND(AM358&lt;&gt;"",LEFT(AG358,2)&lt;&gt;"Va",AM358&lt;&gt;"H. Sale Real"),IF(AM359-AM358&lt;0.208333333333333,AM359-AM358,""),IF(AND(AM357&lt;&gt;"",LEFT(AG357,2)&lt;&gt;"Va",AM357&lt;&gt;"H. Sale Real"),IF(AM359-AM357&lt;0.208333333333333,AM359-AM357,""),IF(AND(AM356&lt;&gt;"",LEFT(AG356,2)&lt;&gt;"Va",AM356&lt;&gt;"H. Sale Real"),IF(AM359-AM356&lt;0.208333333333333,AM359-AM356,""),IF(AND(AM355&lt;&gt;"",LEFT(AG355,2)&lt;&gt;"Va",AM355&lt;&gt;"H. Sale Real"),IF(AM359-AM355&lt;0.208333333333333,AM359-AM355,""),IF(AND(AM354&lt;&gt;"",LEFT(AG354,2)&lt;&gt;"Va",AM354&lt;&gt;"H. Sale Real"),IF(AM359-AM354&lt;0.208333333333333,AM359-AM354,""),""))))),""),"")</f>
        <v/>
      </c>
      <c r="AX358" s="89">
        <f>IF(AK358&lt;&gt;"H. Sale Real",IF(AND(AK359&lt;&gt;"",LEFT(AG359,2)&lt;&gt;"Va"),IF(AND(AK358&lt;&gt;"",LEFT(AG358,2)&lt;&gt;"Va",AK358&lt;&gt;"H. Sale Real"),IF(AK359-AK358&lt;0.208333333333333,AK359-AK358,""),IF(AND(AK357&lt;&gt;"",LEFT(AG357,2)&lt;&gt;"Va",AK357&lt;&gt;"H. Sale Real"),IF(AK359-AK357&lt;0.208333333333333,AK359-AK357,""),IF(AND(AK356&lt;&gt;"",LEFT(AG356,2)&lt;&gt;"NC",AK356&lt;&gt;"H. Sale Real"),IF(AK359-AK356&lt;0.208333333333333,AK359-AK356,""),IF(AND(AK355&lt;&gt;"",LEFT(AG355,2)&lt;&gt;"Va",AK355&lt;&gt;"H. Sale Real"),IF(AK359-AK355&lt;0.208333333333333,AK359-AK355,""),IF(AND(AK354&lt;&gt;"",LEFT(AG354,2)&lt;&gt;"Va",AK354&lt;&gt;"H. Sale Real"),IF(AK359-AK354&lt;0.208333333333333,AK359-AK354,""),""))))),""),"")</f>
        <v/>
      </c>
      <c r="AY358" s="87" t="n"/>
      <c r="AZ358" s="89" t="n"/>
      <c r="BA358" s="87" t="n"/>
      <c r="BB358" s="89" t="n"/>
      <c r="BC358" s="91" t="n"/>
      <c r="BD358" s="122">
        <f>IF(AK358&lt;&gt;"",IF(AND(BD357&lt;&gt;"IE",AT358&lt;&gt;0,AV358&lt;&gt;""),IF(IFERROR((AT358/AV358),0) &lt;=1,IFERROR(AT358/AV358,""),1),""),"")</f>
        <v/>
      </c>
      <c r="BE358" s="93" t="n"/>
      <c r="BF358" s="105" t="n"/>
      <c r="FC358" t="inlineStr">
        <is>
          <t>Diccionario 1</t>
        </is>
      </c>
      <c r="FD358" s="15" t="n">
        <v>1357</v>
      </c>
      <c r="FE358" s="15" t="inlineStr">
        <is>
          <t>MDN35025010028</t>
        </is>
      </c>
      <c r="FF358" s="15" t="inlineStr">
        <is>
          <t>LDYECS311S0044112</t>
        </is>
      </c>
      <c r="FG358" s="15" t="inlineStr">
        <is>
          <t>Zhong Tong</t>
        </is>
      </c>
      <c r="FH358" s="15" t="inlineStr">
        <is>
          <t>Lck6122evg</t>
        </is>
      </c>
      <c r="FI358" s="15" t="inlineStr">
        <is>
          <t>ZHONGTONG</t>
        </is>
      </c>
      <c r="FJ358" s="15" t="inlineStr">
        <is>
          <t>LCK6122EVG</t>
        </is>
      </c>
      <c r="FK358" s="15" t="n">
        <v>2025</v>
      </c>
      <c r="FL358" s="15" t="inlineStr">
        <is>
          <t>B</t>
        </is>
      </c>
      <c r="FM358" s="15" t="inlineStr">
        <is>
          <t>SAN ALFONSO</t>
        </is>
      </c>
      <c r="FN358" s="15" t="inlineStr">
        <is>
          <t>San Alfonso 2141 (Ramón Subercaseaux 3060)</t>
        </is>
      </c>
      <c r="FO358" s="15" t="inlineStr">
        <is>
          <t>Estacion Central</t>
        </is>
      </c>
      <c r="FP358" t="inlineStr">
        <is>
          <t>B</t>
        </is>
      </c>
      <c r="FS358" s="14" t="inlineStr">
        <is>
          <t>3094 / SFWZ-40|</t>
        </is>
      </c>
      <c r="FT358" t="inlineStr">
        <is>
          <t>SFWZ-40|</t>
        </is>
      </c>
      <c r="FU358" t="inlineStr">
        <is>
          <t>SFWZ-40</t>
        </is>
      </c>
      <c r="FV358">
        <f>VLOOKUP(FU358,FD:FL,9,0)</f>
        <v/>
      </c>
      <c r="HA358" s="35" t="n">
        <v>128</v>
      </c>
      <c r="HB358" s="35" t="n">
        <v>352</v>
      </c>
    </row>
    <row r="359" ht="15.5" customHeight="1">
      <c r="A359" s="10">
        <f>HOUR(G359)+1</f>
        <v/>
      </c>
      <c r="B359" s="7" t="n"/>
      <c r="C359" s="7" t="n"/>
      <c r="D359" s="85">
        <f>IFERROR(
IF(AND(OR(Planilla!B359="C",Planilla!B359="c"), VLOOKUP(E359,FD:FP,13,0)="C"), "OK",IF(AND(OR(Planilla!B359="C",Planilla!B359="c"), OR(VLOOKUP(E359,FD:FP,13,0)="B", VLOOKUP(E359,FD:FP,13,0)="A")), "DEFICIT",IF(
AND(OR(Planilla!B359="B", Planilla!B359="BPAL"), VLOOKUP(E359,FD:FP,13,0)="B"), "OK",IF(AND(OR(Planilla!B359="B", Planilla!B359="BPAL"), VLOOKUP(E359,FD:FP,13,0)="A"), "DEFICIT",IF(AND(OR(Planilla!B359="B", Planilla!B359="BPAL"), VLOOKUP(E359,FD:FP,13,0)="C"), "SOBREOFERTA",IF(AND(Planilla!B359="A", VLOOKUP(E359,FD:FP,13,0)="A"), "OK",IF(
AND(Planilla!B359="A", OR(VLOOKUP(E359,FD:FP,13,0)="B", VLOOKUP(E359,FD:FP,13,0)="C")), "SOBREOFERTA",""
))))))),"")</f>
        <v/>
      </c>
      <c r="E359" s="8" t="n"/>
      <c r="F359" s="86" t="n"/>
      <c r="G359" s="87" t="n"/>
      <c r="H359" s="88">
        <f>IF(I359="","",IF(AND((I359-G359)&gt;=TIME(0,0,0),(I359-G359)&lt;TIME(0,3,0)),"OK",IF(AND((I359-G359)&gt;=TIME(0,3,0),(I359-G359)&lt;TIME(0,5,0)),"RETRASO DE 3-5 MIN",IF(AND((I359-G359)&gt;=TIME(0,5,0),(I359-G359)&lt;TIME(0,10,0)),"RETRASO DE 5-10 MIN",IF((I359-G359)&gt;=TIME(0,10,0),"RETRASO &gt;10 MIN", IF(AND((G359-I359)&gt;=TIME(0,0,0),(G359-I359)&lt;TIME(0,3,0)),"OK",IF((G359-I359)&gt;=TIME(0,3,0),"ADELANTADO")))))))</f>
        <v/>
      </c>
      <c r="I359" s="89" t="n"/>
      <c r="J359" s="89">
        <f>IF(A359&lt;&gt;"",HLOOKUP(VALUE(TEXT(G359,"h:mm:ss")),IF($C$6="Laboral",$FZ$4:$GX$227,IF($C$6="Sábado",$FZ$231:$GX$452,$FZ$456:$GX$656)),VLOOKUP($C$4,$HF$2:$HH$99,3,0)+IF(C$5="Ida",0,1),1),"")</f>
        <v/>
      </c>
      <c r="K359" s="89">
        <f>IF(A360&lt;&gt;A359,AVERAGEIF(A$9:A359,A359,J$9:J359),"")</f>
        <v/>
      </c>
      <c r="L359" s="89">
        <f>IFERROR(IF(A360&lt;&gt;A359,AVERAGEIF(A$9:A359,A359,S$9:S359),""),"")</f>
        <v/>
      </c>
      <c r="M359" s="89">
        <f>IFERROR(IF(A360&lt;&gt;A359,AVERAGEIF(A$9:A359,A359,T$9:T359),""),"")</f>
        <v/>
      </c>
      <c r="N359" s="89">
        <f t="array" ref="N359">IFERROR(IF(A360&lt;&gt;A359,_xlfn.STDEV.P(IF(A$9:A359=A359,T$9:T359)),""),"")</f>
        <v/>
      </c>
      <c r="O359" s="89">
        <f t="array" ref="O359">IFERROR(IF(A360&lt;&gt;A359,_xlfn.STDEV.P(IF(A$9:A359=A359,S$9:S359)),""),"")</f>
        <v/>
      </c>
      <c r="P359" s="90">
        <f>IFERROR(IF(A359&lt;&gt;A360,MAX((((M359*24*60)/2)*(1+POWER((((N359*24*60) / (M359*24*60) )),2))) + ((M359*24*60 )*-0.1 + (K359*0.015)) +1,(((M359*24*60)/2)*(1+POWER((((N359*24*60) / (M359*24*60 ))),2)))),""),"")</f>
        <v/>
      </c>
      <c r="Q359" s="90">
        <f>IF(AND(O359&lt;&gt;"",L359&lt;&gt;""),IF(A359&lt;&gt;A360,((L359*24*60) / 2 ) * (1 + POWER(((O359*24*60) / (L359*24*60)),2)),""),"")</f>
        <v/>
      </c>
      <c r="R359" s="90">
        <f>IF(Q359&lt;&gt;"",MAX(P359,Q359),"")</f>
        <v/>
      </c>
      <c r="S359" s="89">
        <f>IF(I359&lt;&gt;"H. Sale Real",IF(AND(I360&lt;&gt;"",LEFT(C360,2)&lt;&gt;"Va"),IF(AND(I359&lt;&gt;"",LEFT(C359,2)&lt;&gt;"Va",I359&lt;&gt;"H. Sale Real"),IF(I360-I359&lt;0.208333333333333,I360-I359,""),IF(AND(I358&lt;&gt;"",LEFT(C358,2)&lt;&gt;"Va",I358&lt;&gt;"H. Sale Real"),IF(I360-I358&lt;0.208333333333333,I360-I358,""),IF(AND(I357&lt;&gt;"",LEFT(C357,2)&lt;&gt;"Va",I357&lt;&gt;"H. Sale Real"),IF(I360-I357&lt;0.208333333333333,I360-I357,""),IF(AND(I356&lt;&gt;"",LEFT(C356,2)&lt;&gt;"Va",I356&lt;&gt;"H. Sale Real"),IF(I360-I356&lt;0.208333333333333,I360-I356,""),IF(AND(I355&lt;&gt;"",LEFT(C355,2)&lt;&gt;"Va",I355&lt;&gt;"H. Sale Real"),IF(I360-I355&lt;0.208333333333333,I360-I355,""),""))))),""),"")</f>
        <v/>
      </c>
      <c r="T359" s="89">
        <f>IF(G359&lt;&gt;"H. Sale Real",IF(AND(G360&lt;&gt;"",LEFT(C360,2)&lt;&gt;"Va"),IF(AND(G359&lt;&gt;"",LEFT(C359,2)&lt;&gt;"Va",G359&lt;&gt;"H. Sale Real"),IF(G360-G359&lt;0.208333333333333,G360-G359,""),IF(AND(G358&lt;&gt;"",LEFT(C358,2)&lt;&gt;"Va",G358&lt;&gt;"H. Sale Real"),IF(G360-G358&lt;0.208333333333333,G360-G358,""),IF(AND(G357&lt;&gt;"",LEFT(C357,2)&lt;&gt;"Va",G357&lt;&gt;"H. Sale Real"),IF(G360-G357&lt;0.208333333333333,G360-G357,""),IF(AND(G356&lt;&gt;"",LEFT(C356,2)&lt;&gt;"Va",G356&lt;&gt;"H. Sale Real"),IF(G360-G356&lt;0.208333333333333,G360-G356,""),IF(AND(G355&lt;&gt;"",LEFT(C355,2)&lt;&gt;"Va",G355&lt;&gt;"H. Sale Real"),IF(G360-G355&lt;0.208333333333333,G360-G355,""),""))))),""),"")</f>
        <v/>
      </c>
      <c r="U359" s="87" t="n"/>
      <c r="V359" s="89" t="n"/>
      <c r="W359" s="87" t="n"/>
      <c r="X359" s="89" t="n"/>
      <c r="Y359" s="91" t="n"/>
      <c r="Z359" s="122">
        <f>IF(G359&lt;&gt;"",IF(AND(Z358&lt;&gt;"IE",P359&lt;&gt;0,R359&lt;&gt;""),IF(IFERROR((P359/R359),0) &lt;=1,IFERROR(P359/R359,""),1),""),"")</f>
        <v/>
      </c>
      <c r="AA359" s="93" t="n"/>
      <c r="AB359" s="2" t="n"/>
      <c r="AE359" s="10">
        <f>HOUR(AK359)+1</f>
        <v/>
      </c>
      <c r="AF359" s="7" t="n"/>
      <c r="AG359" s="7" t="n"/>
      <c r="AH359" s="86" t="n"/>
      <c r="AI359" s="8" t="n"/>
      <c r="AJ359" s="86" t="n"/>
      <c r="AK359" s="87" t="n"/>
      <c r="AL359" s="88">
        <f>IF(AM359="","",IF(AND((AM359-AK359)&gt;=TIME(0,0,0),(AM359-AK359)&lt;TIME(0,3,0)),"OK",IF(AND((AM359-AK359)&gt;=TIME(0,3,0),(AM359-AK359)&lt;TIME(0,5,0)),"RETRASO DE 3-5 MIN",IF(AND((AM359-AK359)&gt;=TIME(0,5,0),(AM359-AK359)&lt;TIME(0,10,0)),"RETRASO DE 5-10 MIN",IF((AM359-AK359)&gt;=TIME(0,10,0),"RETRASO &gt;10 MIN", IF(AND((AK359-AM359)&gt;=TIME(0,0,0),(AK359-AM359)&lt;TIME(0,3,0)),"OK",IF((AK359-AM359)&gt;=TIME(0,3,0),"ADELANTADO")))))))</f>
        <v/>
      </c>
      <c r="AM359" s="91" t="n"/>
      <c r="AN359" s="89">
        <f>IF(AE359&lt;&gt;"",HLOOKUP(VALUE(TEXT(AK359,"h:mm:ss")),IF($C$6="Laboral",$FZ$4:$GX$227,IF($C$6="Sábado",$FZ$231:$GX$452,$FZ$456:$GX$656)),VLOOKUP($C$4,$HF$2:$HH$99,3,0)+IF(AG$5="Ida",0,1),1),"")</f>
        <v/>
      </c>
      <c r="AO359" s="89">
        <f>IF(AE360&lt;&gt;AE359,AVERAGEIF(AE$9:AE359,AE359,AN$9:AN359),"")</f>
        <v/>
      </c>
      <c r="AP359" s="89">
        <f>IFERROR(IF(AE360&lt;&gt;AE359,AVERAGEIF(AE$9:AE359,AE359,AW$9:AW359),""),"")</f>
        <v/>
      </c>
      <c r="AQ359" s="89">
        <f>IFERROR(IF(AE360&lt;&gt;AE359,AVERAGEIF(AE$9:AE359,AE359,AX$9:AX359),""),"")</f>
        <v/>
      </c>
      <c r="AR359" s="89">
        <f t="array" ref="AR359">IFERROR(IF(AE360&lt;&gt;AE359,_xlfn.STDEV.P(IF(AE$9:AE359=AE359,AX$9:AX359)),""),"")</f>
        <v/>
      </c>
      <c r="AS359" s="89">
        <f t="array" ref="AS359">IFERROR(IF(AE360&lt;&gt;AE359,_xlfn.STDEV.P(IF(AE$9:AE359=AE359,AW$9:AW359)),""),"")</f>
        <v/>
      </c>
      <c r="AT359" s="90">
        <f>IFERROR(IF(AE359&lt;&gt;AE360,MAX((((AQ359*24*60)/2)*(1+POWER((((AR359*24*60) / (AQ359*24*60) )),2))) + ((AQ359*24*60 )*-0.1 + (AO359*0.015)) +1,(((AQ359*24*60)/2)*(1+POWER((((AR359*24*60) / (AQ359*24*60 ))),2)))),""),"")</f>
        <v/>
      </c>
      <c r="AU359" s="90">
        <f>IF(AND(AS359&lt;&gt;"",AP359&lt;&gt;""),IF(AE359&lt;&gt;AE360,((AP359*24*60) / 2 ) * (1 + POWER(((AS359*24*60) / (AP359*24*60)),2)),""),"")</f>
        <v/>
      </c>
      <c r="AV359" s="90">
        <f>IF(AU359&lt;&gt;"",MAX(AT359,AU359),"")</f>
        <v/>
      </c>
      <c r="AW359" s="89">
        <f>IF(AM359&lt;&gt;"H. Sale Real",IF(AND(AM360&lt;&gt;"",LEFT(AG360,2)&lt;&gt;"Va"),IF(AND(AM359&lt;&gt;"",LEFT(AG359,2)&lt;&gt;"Va",AM359&lt;&gt;"H. Sale Real"),IF(AM360-AM359&lt;0.208333333333333,AM360-AM359,""),IF(AND(AM358&lt;&gt;"",LEFT(AG358,2)&lt;&gt;"Va",AM358&lt;&gt;"H. Sale Real"),IF(AM360-AM358&lt;0.208333333333333,AM360-AM358,""),IF(AND(AM357&lt;&gt;"",LEFT(AG357,2)&lt;&gt;"Va",AM357&lt;&gt;"H. Sale Real"),IF(AM360-AM357&lt;0.208333333333333,AM360-AM357,""),IF(AND(AM356&lt;&gt;"",LEFT(AG356,2)&lt;&gt;"Va",AM356&lt;&gt;"H. Sale Real"),IF(AM360-AM356&lt;0.208333333333333,AM360-AM356,""),IF(AND(AM355&lt;&gt;"",LEFT(AG355,2)&lt;&gt;"Va",AM355&lt;&gt;"H. Sale Real"),IF(AM360-AM355&lt;0.208333333333333,AM360-AM355,""),""))))),""),"")</f>
        <v/>
      </c>
      <c r="AX359" s="89">
        <f>IF(AK359&lt;&gt;"H. Sale Real",IF(AND(AK360&lt;&gt;"",LEFT(AG360,2)&lt;&gt;"Va"),IF(AND(AK359&lt;&gt;"",LEFT(AG359,2)&lt;&gt;"Va",AK359&lt;&gt;"H. Sale Real"),IF(AK360-AK359&lt;0.208333333333333,AK360-AK359,""),IF(AND(AK358&lt;&gt;"",LEFT(AG358,2)&lt;&gt;"Va",AK358&lt;&gt;"H. Sale Real"),IF(AK360-AK358&lt;0.208333333333333,AK360-AK358,""),IF(AND(AK357&lt;&gt;"",LEFT(AG357,2)&lt;&gt;"NC",AK357&lt;&gt;"H. Sale Real"),IF(AK360-AK357&lt;0.208333333333333,AK360-AK357,""),IF(AND(AK356&lt;&gt;"",LEFT(AG356,2)&lt;&gt;"Va",AK356&lt;&gt;"H. Sale Real"),IF(AK360-AK356&lt;0.208333333333333,AK360-AK356,""),IF(AND(AK355&lt;&gt;"",LEFT(AG355,2)&lt;&gt;"Va",AK355&lt;&gt;"H. Sale Real"),IF(AK360-AK355&lt;0.208333333333333,AK360-AK355,""),""))))),""),"")</f>
        <v/>
      </c>
      <c r="AY359" s="87" t="n"/>
      <c r="AZ359" s="89" t="n"/>
      <c r="BA359" s="87" t="n"/>
      <c r="BB359" s="89" t="n"/>
      <c r="BC359" s="91" t="n"/>
      <c r="BD359" s="122">
        <f>IF(AK359&lt;&gt;"",IF(AND(BD358&lt;&gt;"IE",AT359&lt;&gt;0,AV359&lt;&gt;""),IF(IFERROR((AT359/AV359),0) &lt;=1,IFERROR(AT359/AV359,""),1),""),"")</f>
        <v/>
      </c>
      <c r="BE359" s="93" t="n"/>
      <c r="BF359" s="105" t="n"/>
      <c r="FC359" t="inlineStr">
        <is>
          <t>Diccionario 1</t>
        </is>
      </c>
      <c r="FD359" s="15" t="n">
        <v>1358</v>
      </c>
      <c r="FE359" s="15" t="inlineStr">
        <is>
          <t>MDN35025020032</t>
        </is>
      </c>
      <c r="FF359" s="15" t="inlineStr">
        <is>
          <t>LDYECS319S0044102</t>
        </is>
      </c>
      <c r="FG359" s="15" t="inlineStr">
        <is>
          <t>Zhong Tong</t>
        </is>
      </c>
      <c r="FH359" s="15" t="inlineStr">
        <is>
          <t>Lck6122evg</t>
        </is>
      </c>
      <c r="FI359" s="15" t="inlineStr">
        <is>
          <t>ZHONGTONG</t>
        </is>
      </c>
      <c r="FJ359" s="15" t="inlineStr">
        <is>
          <t>LCK6122EVG</t>
        </is>
      </c>
      <c r="FK359" s="15" t="n">
        <v>2025</v>
      </c>
      <c r="FL359" s="15" t="inlineStr">
        <is>
          <t>B</t>
        </is>
      </c>
      <c r="FM359" s="15" t="inlineStr">
        <is>
          <t>SAN ALFONSO</t>
        </is>
      </c>
      <c r="FN359" s="15" t="inlineStr">
        <is>
          <t>San Alfonso 2141 (Ramón Subercaseaux 3060)</t>
        </is>
      </c>
      <c r="FO359" s="15" t="inlineStr">
        <is>
          <t>Estacion Central</t>
        </is>
      </c>
      <c r="FP359" t="inlineStr">
        <is>
          <t>B</t>
        </is>
      </c>
      <c r="FS359" s="14" t="inlineStr">
        <is>
          <t>3094 / SFWZ-40|</t>
        </is>
      </c>
      <c r="FT359" t="inlineStr">
        <is>
          <t>SFWZ-40|</t>
        </is>
      </c>
      <c r="FU359" t="inlineStr">
        <is>
          <t>SFWZ-40</t>
        </is>
      </c>
      <c r="FV359">
        <f>VLOOKUP(FU359,FD:FL,9,0)</f>
        <v/>
      </c>
      <c r="HA359" s="35" t="n">
        <v>129</v>
      </c>
      <c r="HB359" s="35" t="n">
        <v>353</v>
      </c>
    </row>
    <row r="360" ht="15.5" customHeight="1">
      <c r="A360" s="10">
        <f>HOUR(G360)+1</f>
        <v/>
      </c>
      <c r="B360" s="7" t="n"/>
      <c r="C360" s="7" t="n"/>
      <c r="D360" s="85">
        <f>IFERROR(
IF(AND(OR(Planilla!B360="C",Planilla!B360="c"), VLOOKUP(E360,FD:FP,13,0)="C"), "OK",IF(AND(OR(Planilla!B360="C",Planilla!B360="c"), OR(VLOOKUP(E360,FD:FP,13,0)="B", VLOOKUP(E360,FD:FP,13,0)="A")), "DEFICIT",IF(
AND(OR(Planilla!B360="B", Planilla!B360="BPAL"), VLOOKUP(E360,FD:FP,13,0)="B"), "OK",IF(AND(OR(Planilla!B360="B", Planilla!B360="BPAL"), VLOOKUP(E360,FD:FP,13,0)="A"), "DEFICIT",IF(AND(OR(Planilla!B360="B", Planilla!B360="BPAL"), VLOOKUP(E360,FD:FP,13,0)="C"), "SOBREOFERTA",IF(AND(Planilla!B360="A", VLOOKUP(E360,FD:FP,13,0)="A"), "OK",IF(
AND(Planilla!B360="A", OR(VLOOKUP(E360,FD:FP,13,0)="B", VLOOKUP(E360,FD:FP,13,0)="C")), "SOBREOFERTA",""
))))))),"")</f>
        <v/>
      </c>
      <c r="E360" s="8" t="n"/>
      <c r="F360" s="86" t="n"/>
      <c r="G360" s="87" t="n"/>
      <c r="H360" s="88">
        <f>IF(I360="","",IF(AND((I360-G360)&gt;=TIME(0,0,0),(I360-G360)&lt;TIME(0,3,0)),"OK",IF(AND((I360-G360)&gt;=TIME(0,3,0),(I360-G360)&lt;TIME(0,5,0)),"RETRASO DE 3-5 MIN",IF(AND((I360-G360)&gt;=TIME(0,5,0),(I360-G360)&lt;TIME(0,10,0)),"RETRASO DE 5-10 MIN",IF((I360-G360)&gt;=TIME(0,10,0),"RETRASO &gt;10 MIN", IF(AND((G360-I360)&gt;=TIME(0,0,0),(G360-I360)&lt;TIME(0,3,0)),"OK",IF((G360-I360)&gt;=TIME(0,3,0),"ADELANTADO")))))))</f>
        <v/>
      </c>
      <c r="I360" s="89" t="n"/>
      <c r="J360" s="89">
        <f>IF(A360&lt;&gt;"",HLOOKUP(VALUE(TEXT(G360,"h:mm:ss")),IF($C$6="Laboral",$FZ$4:$GX$227,IF($C$6="Sábado",$FZ$231:$GX$452,$FZ$456:$GX$656)),VLOOKUP($C$4,$HF$2:$HH$99,3,0)+IF(C$5="Ida",0,1),1),"")</f>
        <v/>
      </c>
      <c r="K360" s="89">
        <f>IF(A361&lt;&gt;A360,AVERAGEIF(A$9:A360,A360,J$9:J360),"")</f>
        <v/>
      </c>
      <c r="L360" s="89">
        <f>IFERROR(IF(A361&lt;&gt;A360,AVERAGEIF(A$9:A360,A360,S$9:S360),""),"")</f>
        <v/>
      </c>
      <c r="M360" s="89">
        <f>IFERROR(IF(A361&lt;&gt;A360,AVERAGEIF(A$9:A360,A360,T$9:T360),""),"")</f>
        <v/>
      </c>
      <c r="N360" s="89">
        <f t="array" ref="N360">IFERROR(IF(A361&lt;&gt;A360,_xlfn.STDEV.P(IF(A$9:A360=A360,T$9:T360)),""),"")</f>
        <v/>
      </c>
      <c r="O360" s="89">
        <f t="array" ref="O360">IFERROR(IF(A361&lt;&gt;A360,_xlfn.STDEV.P(IF(A$9:A360=A360,S$9:S360)),""),"")</f>
        <v/>
      </c>
      <c r="P360" s="90">
        <f>IFERROR(IF(A360&lt;&gt;A361,MAX((((M360*24*60)/2)*(1+POWER((((N360*24*60) / (M360*24*60) )),2))) + ((M360*24*60 )*-0.1 + (K360*0.015)) +1,(((M360*24*60)/2)*(1+POWER((((N360*24*60) / (M360*24*60 ))),2)))),""),"")</f>
        <v/>
      </c>
      <c r="Q360" s="90">
        <f>IF(AND(O360&lt;&gt;"",L360&lt;&gt;""),IF(A360&lt;&gt;A361,((L360*24*60) / 2 ) * (1 + POWER(((O360*24*60) / (L360*24*60)),2)),""),"")</f>
        <v/>
      </c>
      <c r="R360" s="90">
        <f>IF(Q360&lt;&gt;"",MAX(P360,Q360),"")</f>
        <v/>
      </c>
      <c r="S360" s="89">
        <f>IF(I360&lt;&gt;"H. Sale Real",IF(AND(I361&lt;&gt;"",LEFT(C361,2)&lt;&gt;"Va"),IF(AND(I360&lt;&gt;"",LEFT(C360,2)&lt;&gt;"Va",I360&lt;&gt;"H. Sale Real"),IF(I361-I360&lt;0.208333333333333,I361-I360,""),IF(AND(I359&lt;&gt;"",LEFT(C359,2)&lt;&gt;"Va",I359&lt;&gt;"H. Sale Real"),IF(I361-I359&lt;0.208333333333333,I361-I359,""),IF(AND(I358&lt;&gt;"",LEFT(C358,2)&lt;&gt;"Va",I358&lt;&gt;"H. Sale Real"),IF(I361-I358&lt;0.208333333333333,I361-I358,""),IF(AND(I357&lt;&gt;"",LEFT(C357,2)&lt;&gt;"Va",I357&lt;&gt;"H. Sale Real"),IF(I361-I357&lt;0.208333333333333,I361-I357,""),IF(AND(I356&lt;&gt;"",LEFT(C356,2)&lt;&gt;"Va",I356&lt;&gt;"H. Sale Real"),IF(I361-I356&lt;0.208333333333333,I361-I356,""),""))))),""),"")</f>
        <v/>
      </c>
      <c r="T360" s="89">
        <f>IF(G360&lt;&gt;"H. Sale Real",IF(AND(G361&lt;&gt;"",LEFT(C361,2)&lt;&gt;"Va"),IF(AND(G360&lt;&gt;"",LEFT(C360,2)&lt;&gt;"Va",G360&lt;&gt;"H. Sale Real"),IF(G361-G360&lt;0.208333333333333,G361-G360,""),IF(AND(G359&lt;&gt;"",LEFT(C359,2)&lt;&gt;"Va",G359&lt;&gt;"H. Sale Real"),IF(G361-G359&lt;0.208333333333333,G361-G359,""),IF(AND(G358&lt;&gt;"",LEFT(C358,2)&lt;&gt;"Va",G358&lt;&gt;"H. Sale Real"),IF(G361-G358&lt;0.208333333333333,G361-G358,""),IF(AND(G357&lt;&gt;"",LEFT(C357,2)&lt;&gt;"Va",G357&lt;&gt;"H. Sale Real"),IF(G361-G357&lt;0.208333333333333,G361-G357,""),IF(AND(G356&lt;&gt;"",LEFT(C356,2)&lt;&gt;"Va",G356&lt;&gt;"H. Sale Real"),IF(G361-G356&lt;0.208333333333333,G361-G356,""),""))))),""),"")</f>
        <v/>
      </c>
      <c r="U360" s="87" t="n"/>
      <c r="V360" s="89" t="n"/>
      <c r="W360" s="87" t="n"/>
      <c r="X360" s="89" t="n"/>
      <c r="Y360" s="91" t="n"/>
      <c r="Z360" s="122">
        <f>IF(G360&lt;&gt;"",IF(AND(Z359&lt;&gt;"IE",P360&lt;&gt;0,R360&lt;&gt;""),IF(IFERROR((P360/R360),0) &lt;=1,IFERROR(P360/R360,""),1),""),"")</f>
        <v/>
      </c>
      <c r="AA360" s="93" t="n"/>
      <c r="AB360" s="2" t="n"/>
      <c r="AE360" s="10">
        <f>HOUR(AK360)+1</f>
        <v/>
      </c>
      <c r="AF360" s="7" t="n"/>
      <c r="AG360" s="7" t="n"/>
      <c r="AH360" s="86" t="n"/>
      <c r="AI360" s="8" t="n"/>
      <c r="AJ360" s="86" t="n"/>
      <c r="AK360" s="87" t="n"/>
      <c r="AL360" s="88">
        <f>IF(AM360="","",IF(AND((AM360-AK360)&gt;=TIME(0,0,0),(AM360-AK360)&lt;TIME(0,3,0)),"OK",IF(AND((AM360-AK360)&gt;=TIME(0,3,0),(AM360-AK360)&lt;TIME(0,5,0)),"RETRASO DE 3-5 MIN",IF(AND((AM360-AK360)&gt;=TIME(0,5,0),(AM360-AK360)&lt;TIME(0,10,0)),"RETRASO DE 5-10 MIN",IF((AM360-AK360)&gt;=TIME(0,10,0),"RETRASO &gt;10 MIN", IF(AND((AK360-AM360)&gt;=TIME(0,0,0),(AK360-AM360)&lt;TIME(0,3,0)),"OK",IF((AK360-AM360)&gt;=TIME(0,3,0),"ADELANTADO")))))))</f>
        <v/>
      </c>
      <c r="AM360" s="91" t="n"/>
      <c r="AN360" s="89">
        <f>IF(AE360&lt;&gt;"",HLOOKUP(VALUE(TEXT(AK360,"h:mm:ss")),IF($C$6="Laboral",$FZ$4:$GX$227,IF($C$6="Sábado",$FZ$231:$GX$452,$FZ$456:$GX$656)),VLOOKUP($C$4,$HF$2:$HH$99,3,0)+IF(AG$5="Ida",0,1),1),"")</f>
        <v/>
      </c>
      <c r="AO360" s="89">
        <f>IF(AE361&lt;&gt;AE360,AVERAGEIF(AE$9:AE360,AE360,AN$9:AN360),"")</f>
        <v/>
      </c>
      <c r="AP360" s="89">
        <f>IFERROR(IF(AE361&lt;&gt;AE360,AVERAGEIF(AE$9:AE360,AE360,AW$9:AW360),""),"")</f>
        <v/>
      </c>
      <c r="AQ360" s="89">
        <f>IFERROR(IF(AE361&lt;&gt;AE360,AVERAGEIF(AE$9:AE360,AE360,AX$9:AX360),""),"")</f>
        <v/>
      </c>
      <c r="AR360" s="89">
        <f t="array" ref="AR360">IFERROR(IF(AE361&lt;&gt;AE360,_xlfn.STDEV.P(IF(AE$9:AE360=AE360,AX$9:AX360)),""),"")</f>
        <v/>
      </c>
      <c r="AS360" s="89">
        <f t="array" ref="AS360">IFERROR(IF(AE361&lt;&gt;AE360,_xlfn.STDEV.P(IF(AE$9:AE360=AE360,AW$9:AW360)),""),"")</f>
        <v/>
      </c>
      <c r="AT360" s="90">
        <f>IFERROR(IF(AE360&lt;&gt;AE361,MAX((((AQ360*24*60)/2)*(1+POWER((((AR360*24*60) / (AQ360*24*60) )),2))) + ((AQ360*24*60 )*-0.1 + (AO360*0.015)) +1,(((AQ360*24*60)/2)*(1+POWER((((AR360*24*60) / (AQ360*24*60 ))),2)))),""),"")</f>
        <v/>
      </c>
      <c r="AU360" s="90">
        <f>IF(AND(AS360&lt;&gt;"",AP360&lt;&gt;""),IF(AE360&lt;&gt;AE361,((AP360*24*60) / 2 ) * (1 + POWER(((AS360*24*60) / (AP360*24*60)),2)),""),"")</f>
        <v/>
      </c>
      <c r="AV360" s="90">
        <f>IF(AU360&lt;&gt;"",MAX(AT360,AU360),"")</f>
        <v/>
      </c>
      <c r="AW360" s="89">
        <f>IF(AM360&lt;&gt;"H. Sale Real",IF(AND(AM361&lt;&gt;"",LEFT(AG361,2)&lt;&gt;"Va"),IF(AND(AM360&lt;&gt;"",LEFT(AG360,2)&lt;&gt;"Va",AM360&lt;&gt;"H. Sale Real"),IF(AM361-AM360&lt;0.208333333333333,AM361-AM360,""),IF(AND(AM359&lt;&gt;"",LEFT(AG359,2)&lt;&gt;"Va",AM359&lt;&gt;"H. Sale Real"),IF(AM361-AM359&lt;0.208333333333333,AM361-AM359,""),IF(AND(AM358&lt;&gt;"",LEFT(AG358,2)&lt;&gt;"Va",AM358&lt;&gt;"H. Sale Real"),IF(AM361-AM358&lt;0.208333333333333,AM361-AM358,""),IF(AND(AM357&lt;&gt;"",LEFT(AG357,2)&lt;&gt;"Va",AM357&lt;&gt;"H. Sale Real"),IF(AM361-AM357&lt;0.208333333333333,AM361-AM357,""),IF(AND(AM356&lt;&gt;"",LEFT(AG356,2)&lt;&gt;"Va",AM356&lt;&gt;"H. Sale Real"),IF(AM361-AM356&lt;0.208333333333333,AM361-AM356,""),""))))),""),"")</f>
        <v/>
      </c>
      <c r="AX360" s="89">
        <f>IF(AK360&lt;&gt;"H. Sale Real",IF(AND(AK361&lt;&gt;"",LEFT(AG361,2)&lt;&gt;"Va"),IF(AND(AK360&lt;&gt;"",LEFT(AG360,2)&lt;&gt;"Va",AK360&lt;&gt;"H. Sale Real"),IF(AK361-AK360&lt;0.208333333333333,AK361-AK360,""),IF(AND(AK359&lt;&gt;"",LEFT(AG359,2)&lt;&gt;"Va",AK359&lt;&gt;"H. Sale Real"),IF(AK361-AK359&lt;0.208333333333333,AK361-AK359,""),IF(AND(AK358&lt;&gt;"",LEFT(AG358,2)&lt;&gt;"NC",AK358&lt;&gt;"H. Sale Real"),IF(AK361-AK358&lt;0.208333333333333,AK361-AK358,""),IF(AND(AK357&lt;&gt;"",LEFT(AG357,2)&lt;&gt;"Va",AK357&lt;&gt;"H. Sale Real"),IF(AK361-AK357&lt;0.208333333333333,AK361-AK357,""),IF(AND(AK356&lt;&gt;"",LEFT(AG356,2)&lt;&gt;"Va",AK356&lt;&gt;"H. Sale Real"),IF(AK361-AK356&lt;0.208333333333333,AK361-AK356,""),""))))),""),"")</f>
        <v/>
      </c>
      <c r="AY360" s="87" t="n"/>
      <c r="AZ360" s="89" t="n"/>
      <c r="BA360" s="87" t="n"/>
      <c r="BB360" s="89" t="n"/>
      <c r="BC360" s="91" t="n"/>
      <c r="BD360" s="122">
        <f>IF(AK360&lt;&gt;"",IF(AND(BD359&lt;&gt;"IE",AT360&lt;&gt;0,AV360&lt;&gt;""),IF(IFERROR((AT360/AV360),0) &lt;=1,IFERROR(AT360/AV360,""),1),""),"")</f>
        <v/>
      </c>
      <c r="BE360" s="93" t="n"/>
      <c r="BF360" s="105" t="n"/>
      <c r="FC360" t="inlineStr">
        <is>
          <t>Diccionario 1</t>
        </is>
      </c>
      <c r="FD360" s="15" t="n">
        <v>1359</v>
      </c>
      <c r="FE360" s="15" t="inlineStr">
        <is>
          <t>MDN35025020030</t>
        </is>
      </c>
      <c r="FF360" s="15" t="inlineStr">
        <is>
          <t>LDYECS31XS0044089</t>
        </is>
      </c>
      <c r="FG360" s="15" t="inlineStr">
        <is>
          <t>Zhong Tong</t>
        </is>
      </c>
      <c r="FH360" s="15" t="inlineStr">
        <is>
          <t>Lck6122evg</t>
        </is>
      </c>
      <c r="FI360" s="15" t="inlineStr">
        <is>
          <t>ZHONGTONG</t>
        </is>
      </c>
      <c r="FJ360" s="15" t="inlineStr">
        <is>
          <t>LCK6122EVG</t>
        </is>
      </c>
      <c r="FK360" s="15" t="n">
        <v>2025</v>
      </c>
      <c r="FL360" s="15" t="inlineStr">
        <is>
          <t>B</t>
        </is>
      </c>
      <c r="FM360" s="15" t="inlineStr">
        <is>
          <t>SAN ALFONSO</t>
        </is>
      </c>
      <c r="FN360" s="15" t="inlineStr">
        <is>
          <t>San Alfonso 2141 (Ramón Subercaseaux 3060)</t>
        </is>
      </c>
      <c r="FO360" s="15" t="inlineStr">
        <is>
          <t>Estacion Central</t>
        </is>
      </c>
      <c r="FP360" t="inlineStr">
        <is>
          <t>B</t>
        </is>
      </c>
      <c r="FS360" s="14" t="inlineStr">
        <is>
          <t>3094 / SFWZ-40|</t>
        </is>
      </c>
      <c r="FT360" t="inlineStr">
        <is>
          <t>SFWZ-40|</t>
        </is>
      </c>
      <c r="FU360" t="inlineStr">
        <is>
          <t>SFWZ-40</t>
        </is>
      </c>
      <c r="FV360">
        <f>VLOOKUP(FU360,FD:FL,9,0)</f>
        <v/>
      </c>
      <c r="HA360" s="35" t="n">
        <v>130</v>
      </c>
      <c r="HB360" s="35" t="n">
        <v>354</v>
      </c>
    </row>
    <row r="361" ht="15.5" customHeight="1">
      <c r="A361" s="10">
        <f>HOUR(G361)+1</f>
        <v/>
      </c>
      <c r="B361" s="7" t="n"/>
      <c r="C361" s="7" t="n"/>
      <c r="D361" s="85">
        <f>IFERROR(
IF(AND(OR(Planilla!B361="C",Planilla!B361="c"), VLOOKUP(E361,FD:FP,13,0)="C"), "OK",IF(AND(OR(Planilla!B361="C",Planilla!B361="c"), OR(VLOOKUP(E361,FD:FP,13,0)="B", VLOOKUP(E361,FD:FP,13,0)="A")), "DEFICIT",IF(
AND(OR(Planilla!B361="B", Planilla!B361="BPAL"), VLOOKUP(E361,FD:FP,13,0)="B"), "OK",IF(AND(OR(Planilla!B361="B", Planilla!B361="BPAL"), VLOOKUP(E361,FD:FP,13,0)="A"), "DEFICIT",IF(AND(OR(Planilla!B361="B", Planilla!B361="BPAL"), VLOOKUP(E361,FD:FP,13,0)="C"), "SOBREOFERTA",IF(AND(Planilla!B361="A", VLOOKUP(E361,FD:FP,13,0)="A"), "OK",IF(
AND(Planilla!B361="A", OR(VLOOKUP(E361,FD:FP,13,0)="B", VLOOKUP(E361,FD:FP,13,0)="C")), "SOBREOFERTA",""
))))))),"")</f>
        <v/>
      </c>
      <c r="E361" s="8" t="n"/>
      <c r="F361" s="86" t="n"/>
      <c r="G361" s="87" t="n"/>
      <c r="H361" s="88">
        <f>IF(I361="","",IF(AND((I361-G361)&gt;=TIME(0,0,0),(I361-G361)&lt;TIME(0,3,0)),"OK",IF(AND((I361-G361)&gt;=TIME(0,3,0),(I361-G361)&lt;TIME(0,5,0)),"RETRASO DE 3-5 MIN",IF(AND((I361-G361)&gt;=TIME(0,5,0),(I361-G361)&lt;TIME(0,10,0)),"RETRASO DE 5-10 MIN",IF((I361-G361)&gt;=TIME(0,10,0),"RETRASO &gt;10 MIN", IF(AND((G361-I361)&gt;=TIME(0,0,0),(G361-I361)&lt;TIME(0,3,0)),"OK",IF((G361-I361)&gt;=TIME(0,3,0),"ADELANTADO")))))))</f>
        <v/>
      </c>
      <c r="I361" s="89" t="n"/>
      <c r="J361" s="89">
        <f>IF(A361&lt;&gt;"",HLOOKUP(VALUE(TEXT(G361,"h:mm:ss")),IF($C$6="Laboral",$FZ$4:$GX$227,IF($C$6="Sábado",$FZ$231:$GX$452,$FZ$456:$GX$656)),VLOOKUP($C$4,$HF$2:$HH$99,3,0)+IF(C$5="Ida",0,1),1),"")</f>
        <v/>
      </c>
      <c r="K361" s="89">
        <f>IF(A362&lt;&gt;A361,AVERAGEIF(A$9:A361,A361,J$9:J361),"")</f>
        <v/>
      </c>
      <c r="L361" s="89">
        <f>IFERROR(IF(A362&lt;&gt;A361,AVERAGEIF(A$9:A361,A361,S$9:S361),""),"")</f>
        <v/>
      </c>
      <c r="M361" s="89">
        <f>IFERROR(IF(A362&lt;&gt;A361,AVERAGEIF(A$9:A361,A361,T$9:T361),""),"")</f>
        <v/>
      </c>
      <c r="N361" s="89">
        <f t="array" ref="N361">IFERROR(IF(A362&lt;&gt;A361,_xlfn.STDEV.P(IF(A$9:A361=A361,T$9:T361)),""),"")</f>
        <v/>
      </c>
      <c r="O361" s="89">
        <f t="array" ref="O361">IFERROR(IF(A362&lt;&gt;A361,_xlfn.STDEV.P(IF(A$9:A361=A361,S$9:S361)),""),"")</f>
        <v/>
      </c>
      <c r="P361" s="90">
        <f>IFERROR(IF(A361&lt;&gt;A362,MAX((((M361*24*60)/2)*(1+POWER((((N361*24*60) / (M361*24*60) )),2))) + ((M361*24*60 )*-0.1 + (K361*0.015)) +1,(((M361*24*60)/2)*(1+POWER((((N361*24*60) / (M361*24*60 ))),2)))),""),"")</f>
        <v/>
      </c>
      <c r="Q361" s="90">
        <f>IF(AND(O361&lt;&gt;"",L361&lt;&gt;""),IF(A361&lt;&gt;A362,((L361*24*60) / 2 ) * (1 + POWER(((O361*24*60) / (L361*24*60)),2)),""),"")</f>
        <v/>
      </c>
      <c r="R361" s="90">
        <f>IF(Q361&lt;&gt;"",MAX(P361,Q361),"")</f>
        <v/>
      </c>
      <c r="S361" s="89">
        <f>IF(I361&lt;&gt;"H. Sale Real",IF(AND(I362&lt;&gt;"",LEFT(C362,2)&lt;&gt;"Va"),IF(AND(I361&lt;&gt;"",LEFT(C361,2)&lt;&gt;"Va",I361&lt;&gt;"H. Sale Real"),IF(I362-I361&lt;0.208333333333333,I362-I361,""),IF(AND(I360&lt;&gt;"",LEFT(C360,2)&lt;&gt;"Va",I360&lt;&gt;"H. Sale Real"),IF(I362-I360&lt;0.208333333333333,I362-I360,""),IF(AND(I359&lt;&gt;"",LEFT(C359,2)&lt;&gt;"Va",I359&lt;&gt;"H. Sale Real"),IF(I362-I359&lt;0.208333333333333,I362-I359,""),IF(AND(I358&lt;&gt;"",LEFT(C358,2)&lt;&gt;"Va",I358&lt;&gt;"H. Sale Real"),IF(I362-I358&lt;0.208333333333333,I362-I358,""),IF(AND(I357&lt;&gt;"",LEFT(C357,2)&lt;&gt;"Va",I357&lt;&gt;"H. Sale Real"),IF(I362-I357&lt;0.208333333333333,I362-I357,""),""))))),""),"")</f>
        <v/>
      </c>
      <c r="T361" s="89">
        <f>IF(G361&lt;&gt;"H. Sale Real",IF(AND(G362&lt;&gt;"",LEFT(C362,2)&lt;&gt;"Va"),IF(AND(G361&lt;&gt;"",LEFT(C361,2)&lt;&gt;"Va",G361&lt;&gt;"H. Sale Real"),IF(G362-G361&lt;0.208333333333333,G362-G361,""),IF(AND(G360&lt;&gt;"",LEFT(C360,2)&lt;&gt;"Va",G360&lt;&gt;"H. Sale Real"),IF(G362-G360&lt;0.208333333333333,G362-G360,""),IF(AND(G359&lt;&gt;"",LEFT(C359,2)&lt;&gt;"Va",G359&lt;&gt;"H. Sale Real"),IF(G362-G359&lt;0.208333333333333,G362-G359,""),IF(AND(G358&lt;&gt;"",LEFT(C358,2)&lt;&gt;"Va",G358&lt;&gt;"H. Sale Real"),IF(G362-G358&lt;0.208333333333333,G362-G358,""),IF(AND(G357&lt;&gt;"",LEFT(C357,2)&lt;&gt;"Va",G357&lt;&gt;"H. Sale Real"),IF(G362-G357&lt;0.208333333333333,G362-G357,""),""))))),""),"")</f>
        <v/>
      </c>
      <c r="U361" s="87" t="n"/>
      <c r="V361" s="89" t="n"/>
      <c r="W361" s="87" t="n"/>
      <c r="X361" s="89" t="n"/>
      <c r="Y361" s="91" t="n"/>
      <c r="Z361" s="122">
        <f>IF(G361&lt;&gt;"",IF(AND(Z360&lt;&gt;"IE",P361&lt;&gt;0,R361&lt;&gt;""),IF(IFERROR((P361/R361),0) &lt;=1,IFERROR(P361/R361,""),1),""),"")</f>
        <v/>
      </c>
      <c r="AA361" s="93" t="n"/>
      <c r="AB361" s="2" t="n"/>
      <c r="AE361" s="10">
        <f>HOUR(AK361)+1</f>
        <v/>
      </c>
      <c r="AF361" s="7" t="n"/>
      <c r="AG361" s="7" t="n"/>
      <c r="AH361" s="86" t="n"/>
      <c r="AI361" s="8" t="n"/>
      <c r="AJ361" s="86" t="n"/>
      <c r="AK361" s="87" t="n"/>
      <c r="AL361" s="88">
        <f>IF(AM361="","",IF(AND((AM361-AK361)&gt;=TIME(0,0,0),(AM361-AK361)&lt;TIME(0,3,0)),"OK",IF(AND((AM361-AK361)&gt;=TIME(0,3,0),(AM361-AK361)&lt;TIME(0,5,0)),"RETRASO DE 3-5 MIN",IF(AND((AM361-AK361)&gt;=TIME(0,5,0),(AM361-AK361)&lt;TIME(0,10,0)),"RETRASO DE 5-10 MIN",IF((AM361-AK361)&gt;=TIME(0,10,0),"RETRASO &gt;10 MIN", IF(AND((AK361-AM361)&gt;=TIME(0,0,0),(AK361-AM361)&lt;TIME(0,3,0)),"OK",IF((AK361-AM361)&gt;=TIME(0,3,0),"ADELANTADO")))))))</f>
        <v/>
      </c>
      <c r="AM361" s="91" t="n"/>
      <c r="AN361" s="89">
        <f>IF(AE361&lt;&gt;"",HLOOKUP(VALUE(TEXT(AK361,"h:mm:ss")),IF($C$6="Laboral",$FZ$4:$GX$227,IF($C$6="Sábado",$FZ$231:$GX$452,$FZ$456:$GX$656)),VLOOKUP($C$4,$HF$2:$HH$99,3,0)+IF(AG$5="Ida",0,1),1),"")</f>
        <v/>
      </c>
      <c r="AO361" s="89">
        <f>IF(AE362&lt;&gt;AE361,AVERAGEIF(AE$9:AE361,AE361,AN$9:AN361),"")</f>
        <v/>
      </c>
      <c r="AP361" s="89">
        <f>IFERROR(IF(AE362&lt;&gt;AE361,AVERAGEIF(AE$9:AE361,AE361,AW$9:AW361),""),"")</f>
        <v/>
      </c>
      <c r="AQ361" s="89">
        <f>IFERROR(IF(AE362&lt;&gt;AE361,AVERAGEIF(AE$9:AE361,AE361,AX$9:AX361),""),"")</f>
        <v/>
      </c>
      <c r="AR361" s="89">
        <f t="array" ref="AR361">IFERROR(IF(AE362&lt;&gt;AE361,_xlfn.STDEV.P(IF(AE$9:AE361=AE361,AX$9:AX361)),""),"")</f>
        <v/>
      </c>
      <c r="AS361" s="89">
        <f t="array" ref="AS361">IFERROR(IF(AE362&lt;&gt;AE361,_xlfn.STDEV.P(IF(AE$9:AE361=AE361,AW$9:AW361)),""),"")</f>
        <v/>
      </c>
      <c r="AT361" s="90">
        <f>IFERROR(IF(AE361&lt;&gt;AE362,MAX((((AQ361*24*60)/2)*(1+POWER((((AR361*24*60) / (AQ361*24*60) )),2))) + ((AQ361*24*60 )*-0.1 + (AO361*0.015)) +1,(((AQ361*24*60)/2)*(1+POWER((((AR361*24*60) / (AQ361*24*60 ))),2)))),""),"")</f>
        <v/>
      </c>
      <c r="AU361" s="90">
        <f>IF(AND(AS361&lt;&gt;"",AP361&lt;&gt;""),IF(AE361&lt;&gt;AE362,((AP361*24*60) / 2 ) * (1 + POWER(((AS361*24*60) / (AP361*24*60)),2)),""),"")</f>
        <v/>
      </c>
      <c r="AV361" s="90">
        <f>IF(AU361&lt;&gt;"",MAX(AT361,AU361),"")</f>
        <v/>
      </c>
      <c r="AW361" s="89">
        <f>IF(AM361&lt;&gt;"H. Sale Real",IF(AND(AM362&lt;&gt;"",LEFT(AG362,2)&lt;&gt;"Va"),IF(AND(AM361&lt;&gt;"",LEFT(AG361,2)&lt;&gt;"Va",AM361&lt;&gt;"H. Sale Real"),IF(AM362-AM361&lt;0.208333333333333,AM362-AM361,""),IF(AND(AM360&lt;&gt;"",LEFT(AG360,2)&lt;&gt;"Va",AM360&lt;&gt;"H. Sale Real"),IF(AM362-AM360&lt;0.208333333333333,AM362-AM360,""),IF(AND(AM359&lt;&gt;"",LEFT(AG359,2)&lt;&gt;"Va",AM359&lt;&gt;"H. Sale Real"),IF(AM362-AM359&lt;0.208333333333333,AM362-AM359,""),IF(AND(AM358&lt;&gt;"",LEFT(AG358,2)&lt;&gt;"Va",AM358&lt;&gt;"H. Sale Real"),IF(AM362-AM358&lt;0.208333333333333,AM362-AM358,""),IF(AND(AM357&lt;&gt;"",LEFT(AG357,2)&lt;&gt;"Va",AM357&lt;&gt;"H. Sale Real"),IF(AM362-AM357&lt;0.208333333333333,AM362-AM357,""),""))))),""),"")</f>
        <v/>
      </c>
      <c r="AX361" s="89">
        <f>IF(AK361&lt;&gt;"H. Sale Real",IF(AND(AK362&lt;&gt;"",LEFT(AG362,2)&lt;&gt;"Va"),IF(AND(AK361&lt;&gt;"",LEFT(AG361,2)&lt;&gt;"Va",AK361&lt;&gt;"H. Sale Real"),IF(AK362-AK361&lt;0.208333333333333,AK362-AK361,""),IF(AND(AK360&lt;&gt;"",LEFT(AG360,2)&lt;&gt;"Va",AK360&lt;&gt;"H. Sale Real"),IF(AK362-AK360&lt;0.208333333333333,AK362-AK360,""),IF(AND(AK359&lt;&gt;"",LEFT(AG359,2)&lt;&gt;"NC",AK359&lt;&gt;"H. Sale Real"),IF(AK362-AK359&lt;0.208333333333333,AK362-AK359,""),IF(AND(AK358&lt;&gt;"",LEFT(AG358,2)&lt;&gt;"Va",AK358&lt;&gt;"H. Sale Real"),IF(AK362-AK358&lt;0.208333333333333,AK362-AK358,""),IF(AND(AK357&lt;&gt;"",LEFT(AG357,2)&lt;&gt;"Va",AK357&lt;&gt;"H. Sale Real"),IF(AK362-AK357&lt;0.208333333333333,AK362-AK357,""),""))))),""),"")</f>
        <v/>
      </c>
      <c r="AY361" s="87" t="n"/>
      <c r="AZ361" s="89" t="n"/>
      <c r="BA361" s="87" t="n"/>
      <c r="BB361" s="89" t="n"/>
      <c r="BC361" s="91" t="n"/>
      <c r="BD361" s="122">
        <f>IF(AK361&lt;&gt;"",IF(AND(BD360&lt;&gt;"IE",AT361&lt;&gt;0,AV361&lt;&gt;""),IF(IFERROR((AT361/AV361),0) &lt;=1,IFERROR(AT361/AV361,""),1),""),"")</f>
        <v/>
      </c>
      <c r="BE361" s="93" t="n"/>
      <c r="BF361" s="105" t="n"/>
      <c r="FC361" t="inlineStr">
        <is>
          <t>Diccionario 1</t>
        </is>
      </c>
      <c r="FD361" s="15" t="n">
        <v>1360</v>
      </c>
      <c r="FE361" s="15" t="inlineStr">
        <is>
          <t>MDN35025010247</t>
        </is>
      </c>
      <c r="FF361" s="15" t="inlineStr">
        <is>
          <t>LDYECS312S0044104</t>
        </is>
      </c>
      <c r="FG361" s="15" t="inlineStr">
        <is>
          <t>Zhong Tong</t>
        </is>
      </c>
      <c r="FH361" s="15" t="inlineStr">
        <is>
          <t>Lck6122evg</t>
        </is>
      </c>
      <c r="FI361" s="15" t="inlineStr">
        <is>
          <t>ZHONGTONG</t>
        </is>
      </c>
      <c r="FJ361" s="15" t="inlineStr">
        <is>
          <t>LCK6122EVG</t>
        </is>
      </c>
      <c r="FK361" s="15" t="n">
        <v>2025</v>
      </c>
      <c r="FL361" s="15" t="inlineStr">
        <is>
          <t>B</t>
        </is>
      </c>
      <c r="FM361" s="15" t="inlineStr">
        <is>
          <t>SAN ALFONSO</t>
        </is>
      </c>
      <c r="FN361" s="15" t="inlineStr">
        <is>
          <t>San Alfonso 2141 (Ramón Subercaseaux 3060)</t>
        </is>
      </c>
      <c r="FO361" s="15" t="inlineStr">
        <is>
          <t>Estacion Central</t>
        </is>
      </c>
      <c r="FP361" t="inlineStr">
        <is>
          <t>B</t>
        </is>
      </c>
      <c r="FS361" s="14" t="inlineStr">
        <is>
          <t>3095 / SFWZ-58|</t>
        </is>
      </c>
      <c r="FT361" t="inlineStr">
        <is>
          <t>SFWZ-58|</t>
        </is>
      </c>
      <c r="FU361" t="inlineStr">
        <is>
          <t>SFWZ-58</t>
        </is>
      </c>
      <c r="FV361">
        <f>VLOOKUP(FU361,FD:FL,9,0)</f>
        <v/>
      </c>
      <c r="HA361" s="35" t="n">
        <v>131</v>
      </c>
      <c r="HB361" s="35" t="n">
        <v>355</v>
      </c>
    </row>
    <row r="362" ht="15.5" customHeight="1">
      <c r="A362" s="10">
        <f>HOUR(G362)+1</f>
        <v/>
      </c>
      <c r="B362" s="7" t="n"/>
      <c r="C362" s="7" t="n"/>
      <c r="D362" s="85">
        <f>IFERROR(
IF(AND(OR(Planilla!B362="C",Planilla!B362="c"), VLOOKUP(E362,FD:FP,13,0)="C"), "OK",IF(AND(OR(Planilla!B362="C",Planilla!B362="c"), OR(VLOOKUP(E362,FD:FP,13,0)="B", VLOOKUP(E362,FD:FP,13,0)="A")), "DEFICIT",IF(
AND(OR(Planilla!B362="B", Planilla!B362="BPAL"), VLOOKUP(E362,FD:FP,13,0)="B"), "OK",IF(AND(OR(Planilla!B362="B", Planilla!B362="BPAL"), VLOOKUP(E362,FD:FP,13,0)="A"), "DEFICIT",IF(AND(OR(Planilla!B362="B", Planilla!B362="BPAL"), VLOOKUP(E362,FD:FP,13,0)="C"), "SOBREOFERTA",IF(AND(Planilla!B362="A", VLOOKUP(E362,FD:FP,13,0)="A"), "OK",IF(
AND(Planilla!B362="A", OR(VLOOKUP(E362,FD:FP,13,0)="B", VLOOKUP(E362,FD:FP,13,0)="C")), "SOBREOFERTA",""
))))))),"")</f>
        <v/>
      </c>
      <c r="E362" s="8" t="n"/>
      <c r="F362" s="86" t="n"/>
      <c r="G362" s="87" t="n"/>
      <c r="H362" s="88">
        <f>IF(I362="","",IF(AND((I362-G362)&gt;=TIME(0,0,0),(I362-G362)&lt;TIME(0,3,0)),"OK",IF(AND((I362-G362)&gt;=TIME(0,3,0),(I362-G362)&lt;TIME(0,5,0)),"RETRASO DE 3-5 MIN",IF(AND((I362-G362)&gt;=TIME(0,5,0),(I362-G362)&lt;TIME(0,10,0)),"RETRASO DE 5-10 MIN",IF((I362-G362)&gt;=TIME(0,10,0),"RETRASO &gt;10 MIN", IF(AND((G362-I362)&gt;=TIME(0,0,0),(G362-I362)&lt;TIME(0,3,0)),"OK",IF((G362-I362)&gt;=TIME(0,3,0),"ADELANTADO")))))))</f>
        <v/>
      </c>
      <c r="I362" s="89" t="n"/>
      <c r="J362" s="89">
        <f>IF(A362&lt;&gt;"",HLOOKUP(VALUE(TEXT(G362,"h:mm:ss")),IF($C$6="Laboral",$FZ$4:$GX$227,IF($C$6="Sábado",$FZ$231:$GX$452,$FZ$456:$GX$656)),VLOOKUP($C$4,$HF$2:$HH$99,3,0)+IF(C$5="Ida",0,1),1),"")</f>
        <v/>
      </c>
      <c r="K362" s="89">
        <f>IF(A363&lt;&gt;A362,AVERAGEIF(A$9:A362,A362,J$9:J362),"")</f>
        <v/>
      </c>
      <c r="L362" s="89">
        <f>IFERROR(IF(A363&lt;&gt;A362,AVERAGEIF(A$9:A362,A362,S$9:S362),""),"")</f>
        <v/>
      </c>
      <c r="M362" s="89">
        <f>IFERROR(IF(A363&lt;&gt;A362,AVERAGEIF(A$9:A362,A362,T$9:T362),""),"")</f>
        <v/>
      </c>
      <c r="N362" s="89">
        <f t="array" ref="N362">IFERROR(IF(A363&lt;&gt;A362,_xlfn.STDEV.P(IF(A$9:A362=A362,T$9:T362)),""),"")</f>
        <v/>
      </c>
      <c r="O362" s="89">
        <f t="array" ref="O362">IFERROR(IF(A363&lt;&gt;A362,_xlfn.STDEV.P(IF(A$9:A362=A362,S$9:S362)),""),"")</f>
        <v/>
      </c>
      <c r="P362" s="90">
        <f>IFERROR(IF(A362&lt;&gt;A363,MAX((((M362*24*60)/2)*(1+POWER((((N362*24*60) / (M362*24*60) )),2))) + ((M362*24*60 )*-0.1 + (K362*0.015)) +1,(((M362*24*60)/2)*(1+POWER((((N362*24*60) / (M362*24*60 ))),2)))),""),"")</f>
        <v/>
      </c>
      <c r="Q362" s="90">
        <f>IF(AND(O362&lt;&gt;"",L362&lt;&gt;""),IF(A362&lt;&gt;A363,((L362*24*60) / 2 ) * (1 + POWER(((O362*24*60) / (L362*24*60)),2)),""),"")</f>
        <v/>
      </c>
      <c r="R362" s="90">
        <f>IF(Q362&lt;&gt;"",MAX(P362,Q362),"")</f>
        <v/>
      </c>
      <c r="S362" s="89">
        <f>IF(I362&lt;&gt;"H. Sale Real",IF(AND(I363&lt;&gt;"",LEFT(C363,2)&lt;&gt;"Va"),IF(AND(I362&lt;&gt;"",LEFT(C362,2)&lt;&gt;"Va",I362&lt;&gt;"H. Sale Real"),IF(I363-I362&lt;0.208333333333333,I363-I362,""),IF(AND(I361&lt;&gt;"",LEFT(C361,2)&lt;&gt;"Va",I361&lt;&gt;"H. Sale Real"),IF(I363-I361&lt;0.208333333333333,I363-I361,""),IF(AND(I360&lt;&gt;"",LEFT(C360,2)&lt;&gt;"Va",I360&lt;&gt;"H. Sale Real"),IF(I363-I360&lt;0.208333333333333,I363-I360,""),IF(AND(I359&lt;&gt;"",LEFT(C359,2)&lt;&gt;"Va",I359&lt;&gt;"H. Sale Real"),IF(I363-I359&lt;0.208333333333333,I363-I359,""),IF(AND(I358&lt;&gt;"",LEFT(C358,2)&lt;&gt;"Va",I358&lt;&gt;"H. Sale Real"),IF(I363-I358&lt;0.208333333333333,I363-I358,""),""))))),""),"")</f>
        <v/>
      </c>
      <c r="T362" s="89">
        <f>IF(G362&lt;&gt;"H. Sale Real",IF(AND(G363&lt;&gt;"",LEFT(C363,2)&lt;&gt;"Va"),IF(AND(G362&lt;&gt;"",LEFT(C362,2)&lt;&gt;"Va",G362&lt;&gt;"H. Sale Real"),IF(G363-G362&lt;0.208333333333333,G363-G362,""),IF(AND(G361&lt;&gt;"",LEFT(C361,2)&lt;&gt;"Va",G361&lt;&gt;"H. Sale Real"),IF(G363-G361&lt;0.208333333333333,G363-G361,""),IF(AND(G360&lt;&gt;"",LEFT(C360,2)&lt;&gt;"Va",G360&lt;&gt;"H. Sale Real"),IF(G363-G360&lt;0.208333333333333,G363-G360,""),IF(AND(G359&lt;&gt;"",LEFT(C359,2)&lt;&gt;"Va",G359&lt;&gt;"H. Sale Real"),IF(G363-G359&lt;0.208333333333333,G363-G359,""),IF(AND(G358&lt;&gt;"",LEFT(C358,2)&lt;&gt;"Va",G358&lt;&gt;"H. Sale Real"),IF(G363-G358&lt;0.208333333333333,G363-G358,""),""))))),""),"")</f>
        <v/>
      </c>
      <c r="U362" s="87" t="n"/>
      <c r="V362" s="89" t="n"/>
      <c r="W362" s="87" t="n"/>
      <c r="X362" s="89" t="n"/>
      <c r="Y362" s="91" t="n"/>
      <c r="Z362" s="122">
        <f>IF(G362&lt;&gt;"",IF(AND(Z361&lt;&gt;"IE",P362&lt;&gt;0,R362&lt;&gt;""),IF(IFERROR((P362/R362),0) &lt;=1,IFERROR(P362/R362,""),1),""),"")</f>
        <v/>
      </c>
      <c r="AA362" s="93" t="n"/>
      <c r="AB362" s="2" t="n"/>
      <c r="AE362" s="10">
        <f>HOUR(AK362)+1</f>
        <v/>
      </c>
      <c r="AF362" s="7" t="n"/>
      <c r="AG362" s="7" t="n"/>
      <c r="AH362" s="86" t="n"/>
      <c r="AI362" s="8" t="n"/>
      <c r="AJ362" s="86" t="n"/>
      <c r="AK362" s="87" t="n"/>
      <c r="AL362" s="88">
        <f>IF(AM362="","",IF(AND((AM362-AK362)&gt;=TIME(0,0,0),(AM362-AK362)&lt;TIME(0,3,0)),"OK",IF(AND((AM362-AK362)&gt;=TIME(0,3,0),(AM362-AK362)&lt;TIME(0,5,0)),"RETRASO DE 3-5 MIN",IF(AND((AM362-AK362)&gt;=TIME(0,5,0),(AM362-AK362)&lt;TIME(0,10,0)),"RETRASO DE 5-10 MIN",IF((AM362-AK362)&gt;=TIME(0,10,0),"RETRASO &gt;10 MIN", IF(AND((AK362-AM362)&gt;=TIME(0,0,0),(AK362-AM362)&lt;TIME(0,3,0)),"OK",IF((AK362-AM362)&gt;=TIME(0,3,0),"ADELANTADO")))))))</f>
        <v/>
      </c>
      <c r="AM362" s="91" t="n"/>
      <c r="AN362" s="89">
        <f>IF(AE362&lt;&gt;"",HLOOKUP(VALUE(TEXT(AK362,"h:mm:ss")),IF($C$6="Laboral",$FZ$4:$GX$227,IF($C$6="Sábado",$FZ$231:$GX$452,$FZ$456:$GX$656)),VLOOKUP($C$4,$HF$2:$HH$99,3,0)+IF(AG$5="Ida",0,1),1),"")</f>
        <v/>
      </c>
      <c r="AO362" s="89">
        <f>IF(AE363&lt;&gt;AE362,AVERAGEIF(AE$9:AE362,AE362,AN$9:AN362),"")</f>
        <v/>
      </c>
      <c r="AP362" s="89">
        <f>IFERROR(IF(AE363&lt;&gt;AE362,AVERAGEIF(AE$9:AE362,AE362,AW$9:AW362),""),"")</f>
        <v/>
      </c>
      <c r="AQ362" s="89">
        <f>IFERROR(IF(AE363&lt;&gt;AE362,AVERAGEIF(AE$9:AE362,AE362,AX$9:AX362),""),"")</f>
        <v/>
      </c>
      <c r="AR362" s="89">
        <f t="array" ref="AR362">IFERROR(IF(AE363&lt;&gt;AE362,_xlfn.STDEV.P(IF(AE$9:AE362=AE362,AX$9:AX362)),""),"")</f>
        <v/>
      </c>
      <c r="AS362" s="89">
        <f t="array" ref="AS362">IFERROR(IF(AE363&lt;&gt;AE362,_xlfn.STDEV.P(IF(AE$9:AE362=AE362,AW$9:AW362)),""),"")</f>
        <v/>
      </c>
      <c r="AT362" s="90">
        <f>IFERROR(IF(AE362&lt;&gt;AE363,MAX((((AQ362*24*60)/2)*(1+POWER((((AR362*24*60) / (AQ362*24*60) )),2))) + ((AQ362*24*60 )*-0.1 + (AO362*0.015)) +1,(((AQ362*24*60)/2)*(1+POWER((((AR362*24*60) / (AQ362*24*60 ))),2)))),""),"")</f>
        <v/>
      </c>
      <c r="AU362" s="90">
        <f>IF(AND(AS362&lt;&gt;"",AP362&lt;&gt;""),IF(AE362&lt;&gt;AE363,((AP362*24*60) / 2 ) * (1 + POWER(((AS362*24*60) / (AP362*24*60)),2)),""),"")</f>
        <v/>
      </c>
      <c r="AV362" s="90">
        <f>IF(AU362&lt;&gt;"",MAX(AT362,AU362),"")</f>
        <v/>
      </c>
      <c r="AW362" s="89">
        <f>IF(AM362&lt;&gt;"H. Sale Real",IF(AND(AM363&lt;&gt;"",LEFT(AG363,2)&lt;&gt;"Va"),IF(AND(AM362&lt;&gt;"",LEFT(AG362,2)&lt;&gt;"Va",AM362&lt;&gt;"H. Sale Real"),IF(AM363-AM362&lt;0.208333333333333,AM363-AM362,""),IF(AND(AM361&lt;&gt;"",LEFT(AG361,2)&lt;&gt;"Va",AM361&lt;&gt;"H. Sale Real"),IF(AM363-AM361&lt;0.208333333333333,AM363-AM361,""),IF(AND(AM360&lt;&gt;"",LEFT(AG360,2)&lt;&gt;"Va",AM360&lt;&gt;"H. Sale Real"),IF(AM363-AM360&lt;0.208333333333333,AM363-AM360,""),IF(AND(AM359&lt;&gt;"",LEFT(AG359,2)&lt;&gt;"Va",AM359&lt;&gt;"H. Sale Real"),IF(AM363-AM359&lt;0.208333333333333,AM363-AM359,""),IF(AND(AM358&lt;&gt;"",LEFT(AG358,2)&lt;&gt;"Va",AM358&lt;&gt;"H. Sale Real"),IF(AM363-AM358&lt;0.208333333333333,AM363-AM358,""),""))))),""),"")</f>
        <v/>
      </c>
      <c r="AX362" s="89">
        <f>IF(AK362&lt;&gt;"H. Sale Real",IF(AND(AK363&lt;&gt;"",LEFT(AG363,2)&lt;&gt;"Va"),IF(AND(AK362&lt;&gt;"",LEFT(AG362,2)&lt;&gt;"Va",AK362&lt;&gt;"H. Sale Real"),IF(AK363-AK362&lt;0.208333333333333,AK363-AK362,""),IF(AND(AK361&lt;&gt;"",LEFT(AG361,2)&lt;&gt;"Va",AK361&lt;&gt;"H. Sale Real"),IF(AK363-AK361&lt;0.208333333333333,AK363-AK361,""),IF(AND(AK360&lt;&gt;"",LEFT(AG360,2)&lt;&gt;"NC",AK360&lt;&gt;"H. Sale Real"),IF(AK363-AK360&lt;0.208333333333333,AK363-AK360,""),IF(AND(AK359&lt;&gt;"",LEFT(AG359,2)&lt;&gt;"Va",AK359&lt;&gt;"H. Sale Real"),IF(AK363-AK359&lt;0.208333333333333,AK363-AK359,""),IF(AND(AK358&lt;&gt;"",LEFT(AG358,2)&lt;&gt;"Va",AK358&lt;&gt;"H. Sale Real"),IF(AK363-AK358&lt;0.208333333333333,AK363-AK358,""),""))))),""),"")</f>
        <v/>
      </c>
      <c r="AY362" s="87" t="n"/>
      <c r="AZ362" s="89" t="n"/>
      <c r="BA362" s="87" t="n"/>
      <c r="BB362" s="89" t="n"/>
      <c r="BC362" s="91" t="n"/>
      <c r="BD362" s="122">
        <f>IF(AK362&lt;&gt;"",IF(AND(BD361&lt;&gt;"IE",AT362&lt;&gt;0,AV362&lt;&gt;""),IF(IFERROR((AT362/AV362),0) &lt;=1,IFERROR(AT362/AV362,""),1),""),"")</f>
        <v/>
      </c>
      <c r="BE362" s="93" t="n"/>
      <c r="BF362" s="105" t="n"/>
      <c r="FC362" t="inlineStr">
        <is>
          <t>Diccionario 1</t>
        </is>
      </c>
      <c r="FD362" s="15" t="n">
        <v>1361</v>
      </c>
      <c r="FE362" s="15" t="inlineStr">
        <is>
          <t>MDN35025010213</t>
        </is>
      </c>
      <c r="FF362" s="15" t="inlineStr">
        <is>
          <t>LDYECS315S0044081</t>
        </is>
      </c>
      <c r="FG362" s="15" t="inlineStr">
        <is>
          <t>Zhong Tong</t>
        </is>
      </c>
      <c r="FH362" s="15" t="inlineStr">
        <is>
          <t>Lck6122evg</t>
        </is>
      </c>
      <c r="FI362" s="15" t="inlineStr">
        <is>
          <t>ZHONGTONG</t>
        </is>
      </c>
      <c r="FJ362" s="15" t="inlineStr">
        <is>
          <t>LCK6122EVG</t>
        </is>
      </c>
      <c r="FK362" s="15" t="n">
        <v>2025</v>
      </c>
      <c r="FL362" s="15" t="inlineStr">
        <is>
          <t>B</t>
        </is>
      </c>
      <c r="FM362" s="15" t="inlineStr">
        <is>
          <t>SAN ALFONSO</t>
        </is>
      </c>
      <c r="FN362" s="15" t="inlineStr">
        <is>
          <t>San Alfonso 2141 (Ramón Subercaseaux 3060)</t>
        </is>
      </c>
      <c r="FO362" s="15" t="inlineStr">
        <is>
          <t>Estacion Central</t>
        </is>
      </c>
      <c r="FP362" t="inlineStr">
        <is>
          <t>B</t>
        </is>
      </c>
      <c r="FS362" s="14" t="inlineStr">
        <is>
          <t>3095 / SFWZ-58|</t>
        </is>
      </c>
      <c r="FT362" t="inlineStr">
        <is>
          <t>SFWZ-58|</t>
        </is>
      </c>
      <c r="FU362" t="inlineStr">
        <is>
          <t>SFWZ-58</t>
        </is>
      </c>
      <c r="FV362">
        <f>VLOOKUP(FU362,FD:FL,9,0)</f>
        <v/>
      </c>
      <c r="HA362" s="35" t="n">
        <v>132</v>
      </c>
      <c r="HB362" s="35" t="n">
        <v>356</v>
      </c>
    </row>
    <row r="363" ht="15.5" customHeight="1">
      <c r="A363" s="10">
        <f>HOUR(G363)+1</f>
        <v/>
      </c>
      <c r="B363" s="7" t="n"/>
      <c r="C363" s="7" t="n"/>
      <c r="D363" s="85">
        <f>IFERROR(
IF(AND(OR(Planilla!B363="C",Planilla!B363="c"), VLOOKUP(E363,FD:FP,13,0)="C"), "OK",IF(AND(OR(Planilla!B363="C",Planilla!B363="c"), OR(VLOOKUP(E363,FD:FP,13,0)="B", VLOOKUP(E363,FD:FP,13,0)="A")), "DEFICIT",IF(
AND(OR(Planilla!B363="B", Planilla!B363="BPAL"), VLOOKUP(E363,FD:FP,13,0)="B"), "OK",IF(AND(OR(Planilla!B363="B", Planilla!B363="BPAL"), VLOOKUP(E363,FD:FP,13,0)="A"), "DEFICIT",IF(AND(OR(Planilla!B363="B", Planilla!B363="BPAL"), VLOOKUP(E363,FD:FP,13,0)="C"), "SOBREOFERTA",IF(AND(Planilla!B363="A", VLOOKUP(E363,FD:FP,13,0)="A"), "OK",IF(
AND(Planilla!B363="A", OR(VLOOKUP(E363,FD:FP,13,0)="B", VLOOKUP(E363,FD:FP,13,0)="C")), "SOBREOFERTA",""
))))))),"")</f>
        <v/>
      </c>
      <c r="E363" s="8" t="n"/>
      <c r="F363" s="86" t="n"/>
      <c r="G363" s="87" t="n"/>
      <c r="H363" s="88">
        <f>IF(I363="","",IF(AND((I363-G363)&gt;=TIME(0,0,0),(I363-G363)&lt;TIME(0,3,0)),"OK",IF(AND((I363-G363)&gt;=TIME(0,3,0),(I363-G363)&lt;TIME(0,5,0)),"RETRASO DE 3-5 MIN",IF(AND((I363-G363)&gt;=TIME(0,5,0),(I363-G363)&lt;TIME(0,10,0)),"RETRASO DE 5-10 MIN",IF((I363-G363)&gt;=TIME(0,10,0),"RETRASO &gt;10 MIN", IF(AND((G363-I363)&gt;=TIME(0,0,0),(G363-I363)&lt;TIME(0,3,0)),"OK",IF((G363-I363)&gt;=TIME(0,3,0),"ADELANTADO")))))))</f>
        <v/>
      </c>
      <c r="I363" s="89" t="n"/>
      <c r="J363" s="89">
        <f>IF(A363&lt;&gt;"",HLOOKUP(VALUE(TEXT(G363,"h:mm:ss")),IF($C$6="Laboral",$FZ$4:$GX$227,IF($C$6="Sábado",$FZ$231:$GX$452,$FZ$456:$GX$656)),VLOOKUP($C$4,$HF$2:$HH$99,3,0)+IF(C$5="Ida",0,1),1),"")</f>
        <v/>
      </c>
      <c r="K363" s="89">
        <f>IF(A364&lt;&gt;A363,AVERAGEIF(A$9:A363,A363,J$9:J363),"")</f>
        <v/>
      </c>
      <c r="L363" s="89">
        <f>IFERROR(IF(A364&lt;&gt;A363,AVERAGEIF(A$9:A363,A363,S$9:S363),""),"")</f>
        <v/>
      </c>
      <c r="M363" s="89">
        <f>IFERROR(IF(A364&lt;&gt;A363,AVERAGEIF(A$9:A363,A363,T$9:T363),""),"")</f>
        <v/>
      </c>
      <c r="N363" s="89">
        <f t="array" ref="N363">IFERROR(IF(A364&lt;&gt;A363,_xlfn.STDEV.P(IF(A$9:A363=A363,T$9:T363)),""),"")</f>
        <v/>
      </c>
      <c r="O363" s="89">
        <f t="array" ref="O363">IFERROR(IF(A364&lt;&gt;A363,_xlfn.STDEV.P(IF(A$9:A363=A363,S$9:S363)),""),"")</f>
        <v/>
      </c>
      <c r="P363" s="90">
        <f>IFERROR(IF(A363&lt;&gt;A364,MAX((((M363*24*60)/2)*(1+POWER((((N363*24*60) / (M363*24*60) )),2))) + ((M363*24*60 )*-0.1 + (K363*0.015)) +1,(((M363*24*60)/2)*(1+POWER((((N363*24*60) / (M363*24*60 ))),2)))),""),"")</f>
        <v/>
      </c>
      <c r="Q363" s="90">
        <f>IF(AND(O363&lt;&gt;"",L363&lt;&gt;""),IF(A363&lt;&gt;A364,((L363*24*60) / 2 ) * (1 + POWER(((O363*24*60) / (L363*24*60)),2)),""),"")</f>
        <v/>
      </c>
      <c r="R363" s="90">
        <f>IF(Q363&lt;&gt;"",MAX(P363,Q363),"")</f>
        <v/>
      </c>
      <c r="S363" s="89">
        <f>IF(I363&lt;&gt;"H. Sale Real",IF(AND(I364&lt;&gt;"",LEFT(C364,2)&lt;&gt;"Va"),IF(AND(I363&lt;&gt;"",LEFT(C363,2)&lt;&gt;"Va",I363&lt;&gt;"H. Sale Real"),IF(I364-I363&lt;0.208333333333333,I364-I363,""),IF(AND(I362&lt;&gt;"",LEFT(C362,2)&lt;&gt;"Va",I362&lt;&gt;"H. Sale Real"),IF(I364-I362&lt;0.208333333333333,I364-I362,""),IF(AND(I361&lt;&gt;"",LEFT(C361,2)&lt;&gt;"Va",I361&lt;&gt;"H. Sale Real"),IF(I364-I361&lt;0.208333333333333,I364-I361,""),IF(AND(I360&lt;&gt;"",LEFT(C360,2)&lt;&gt;"Va",I360&lt;&gt;"H. Sale Real"),IF(I364-I360&lt;0.208333333333333,I364-I360,""),IF(AND(I359&lt;&gt;"",LEFT(C359,2)&lt;&gt;"Va",I359&lt;&gt;"H. Sale Real"),IF(I364-I359&lt;0.208333333333333,I364-I359,""),""))))),""),"")</f>
        <v/>
      </c>
      <c r="T363" s="89">
        <f>IF(G363&lt;&gt;"H. Sale Real",IF(AND(G364&lt;&gt;"",LEFT(C364,2)&lt;&gt;"Va"),IF(AND(G363&lt;&gt;"",LEFT(C363,2)&lt;&gt;"Va",G363&lt;&gt;"H. Sale Real"),IF(G364-G363&lt;0.208333333333333,G364-G363,""),IF(AND(G362&lt;&gt;"",LEFT(C362,2)&lt;&gt;"Va",G362&lt;&gt;"H. Sale Real"),IF(G364-G362&lt;0.208333333333333,G364-G362,""),IF(AND(G361&lt;&gt;"",LEFT(C361,2)&lt;&gt;"Va",G361&lt;&gt;"H. Sale Real"),IF(G364-G361&lt;0.208333333333333,G364-G361,""),IF(AND(G360&lt;&gt;"",LEFT(C360,2)&lt;&gt;"Va",G360&lt;&gt;"H. Sale Real"),IF(G364-G360&lt;0.208333333333333,G364-G360,""),IF(AND(G359&lt;&gt;"",LEFT(C359,2)&lt;&gt;"Va",G359&lt;&gt;"H. Sale Real"),IF(G364-G359&lt;0.208333333333333,G364-G359,""),""))))),""),"")</f>
        <v/>
      </c>
      <c r="U363" s="87" t="n"/>
      <c r="V363" s="89" t="n"/>
      <c r="W363" s="87" t="n"/>
      <c r="X363" s="89" t="n"/>
      <c r="Y363" s="91" t="n"/>
      <c r="Z363" s="122">
        <f>IF(G363&lt;&gt;"",IF(AND(Z362&lt;&gt;"IE",P363&lt;&gt;0,R363&lt;&gt;""),IF(IFERROR((P363/R363),0) &lt;=1,IFERROR(P363/R363,""),1),""),"")</f>
        <v/>
      </c>
      <c r="AA363" s="93" t="n"/>
      <c r="AB363" s="2" t="n"/>
      <c r="AE363" s="10">
        <f>HOUR(AK363)+1</f>
        <v/>
      </c>
      <c r="AF363" s="7" t="n"/>
      <c r="AG363" s="7" t="n"/>
      <c r="AH363" s="86" t="n"/>
      <c r="AI363" s="8" t="n"/>
      <c r="AJ363" s="86" t="n"/>
      <c r="AK363" s="87" t="n"/>
      <c r="AL363" s="88">
        <f>IF(AM363="","",IF(AND((AM363-AK363)&gt;=TIME(0,0,0),(AM363-AK363)&lt;TIME(0,3,0)),"OK",IF(AND((AM363-AK363)&gt;=TIME(0,3,0),(AM363-AK363)&lt;TIME(0,5,0)),"RETRASO DE 3-5 MIN",IF(AND((AM363-AK363)&gt;=TIME(0,5,0),(AM363-AK363)&lt;TIME(0,10,0)),"RETRASO DE 5-10 MIN",IF((AM363-AK363)&gt;=TIME(0,10,0),"RETRASO &gt;10 MIN", IF(AND((AK363-AM363)&gt;=TIME(0,0,0),(AK363-AM363)&lt;TIME(0,3,0)),"OK",IF((AK363-AM363)&gt;=TIME(0,3,0),"ADELANTADO")))))))</f>
        <v/>
      </c>
      <c r="AM363" s="91" t="n"/>
      <c r="AN363" s="89">
        <f>IF(AE363&lt;&gt;"",HLOOKUP(VALUE(TEXT(AK363,"h:mm:ss")),IF($C$6="Laboral",$FZ$4:$GX$227,IF($C$6="Sábado",$FZ$231:$GX$452,$FZ$456:$GX$656)),VLOOKUP($C$4,$HF$2:$HH$99,3,0)+IF(AG$5="Ida",0,1),1),"")</f>
        <v/>
      </c>
      <c r="AO363" s="89">
        <f>IF(AE364&lt;&gt;AE363,AVERAGEIF(AE$9:AE363,AE363,AN$9:AN363),"")</f>
        <v/>
      </c>
      <c r="AP363" s="89">
        <f>IFERROR(IF(AE364&lt;&gt;AE363,AVERAGEIF(AE$9:AE363,AE363,AW$9:AW363),""),"")</f>
        <v/>
      </c>
      <c r="AQ363" s="89">
        <f>IFERROR(IF(AE364&lt;&gt;AE363,AVERAGEIF(AE$9:AE363,AE363,AX$9:AX363),""),"")</f>
        <v/>
      </c>
      <c r="AR363" s="89">
        <f t="array" ref="AR363">IFERROR(IF(AE364&lt;&gt;AE363,_xlfn.STDEV.P(IF(AE$9:AE363=AE363,AX$9:AX363)),""),"")</f>
        <v/>
      </c>
      <c r="AS363" s="89">
        <f t="array" ref="AS363">IFERROR(IF(AE364&lt;&gt;AE363,_xlfn.STDEV.P(IF(AE$9:AE363=AE363,AW$9:AW363)),""),"")</f>
        <v/>
      </c>
      <c r="AT363" s="90">
        <f>IFERROR(IF(AE363&lt;&gt;AE364,MAX((((AQ363*24*60)/2)*(1+POWER((((AR363*24*60) / (AQ363*24*60) )),2))) + ((AQ363*24*60 )*-0.1 + (AO363*0.015)) +1,(((AQ363*24*60)/2)*(1+POWER((((AR363*24*60) / (AQ363*24*60 ))),2)))),""),"")</f>
        <v/>
      </c>
      <c r="AU363" s="90">
        <f>IF(AND(AS363&lt;&gt;"",AP363&lt;&gt;""),IF(AE363&lt;&gt;AE364,((AP363*24*60) / 2 ) * (1 + POWER(((AS363*24*60) / (AP363*24*60)),2)),""),"")</f>
        <v/>
      </c>
      <c r="AV363" s="90">
        <f>IF(AU363&lt;&gt;"",MAX(AT363,AU363),"")</f>
        <v/>
      </c>
      <c r="AW363" s="89">
        <f>IF(AM363&lt;&gt;"H. Sale Real",IF(AND(AM364&lt;&gt;"",LEFT(AG364,2)&lt;&gt;"Va"),IF(AND(AM363&lt;&gt;"",LEFT(AG363,2)&lt;&gt;"Va",AM363&lt;&gt;"H. Sale Real"),IF(AM364-AM363&lt;0.208333333333333,AM364-AM363,""),IF(AND(AM362&lt;&gt;"",LEFT(AG362,2)&lt;&gt;"Va",AM362&lt;&gt;"H. Sale Real"),IF(AM364-AM362&lt;0.208333333333333,AM364-AM362,""),IF(AND(AM361&lt;&gt;"",LEFT(AG361,2)&lt;&gt;"Va",AM361&lt;&gt;"H. Sale Real"),IF(AM364-AM361&lt;0.208333333333333,AM364-AM361,""),IF(AND(AM360&lt;&gt;"",LEFT(AG360,2)&lt;&gt;"Va",AM360&lt;&gt;"H. Sale Real"),IF(AM364-AM360&lt;0.208333333333333,AM364-AM360,""),IF(AND(AM359&lt;&gt;"",LEFT(AG359,2)&lt;&gt;"Va",AM359&lt;&gt;"H. Sale Real"),IF(AM364-AM359&lt;0.208333333333333,AM364-AM359,""),""))))),""),"")</f>
        <v/>
      </c>
      <c r="AX363" s="89">
        <f>IF(AK363&lt;&gt;"H. Sale Real",IF(AND(AK364&lt;&gt;"",LEFT(AG364,2)&lt;&gt;"Va"),IF(AND(AK363&lt;&gt;"",LEFT(AG363,2)&lt;&gt;"Va",AK363&lt;&gt;"H. Sale Real"),IF(AK364-AK363&lt;0.208333333333333,AK364-AK363,""),IF(AND(AK362&lt;&gt;"",LEFT(AG362,2)&lt;&gt;"Va",AK362&lt;&gt;"H. Sale Real"),IF(AK364-AK362&lt;0.208333333333333,AK364-AK362,""),IF(AND(AK361&lt;&gt;"",LEFT(AG361,2)&lt;&gt;"NC",AK361&lt;&gt;"H. Sale Real"),IF(AK364-AK361&lt;0.208333333333333,AK364-AK361,""),IF(AND(AK360&lt;&gt;"",LEFT(AG360,2)&lt;&gt;"Va",AK360&lt;&gt;"H. Sale Real"),IF(AK364-AK360&lt;0.208333333333333,AK364-AK360,""),IF(AND(AK359&lt;&gt;"",LEFT(AG359,2)&lt;&gt;"Va",AK359&lt;&gt;"H. Sale Real"),IF(AK364-AK359&lt;0.208333333333333,AK364-AK359,""),""))))),""),"")</f>
        <v/>
      </c>
      <c r="AY363" s="87" t="n"/>
      <c r="AZ363" s="89" t="n"/>
      <c r="BA363" s="87" t="n"/>
      <c r="BB363" s="89" t="n"/>
      <c r="BC363" s="91" t="n"/>
      <c r="BD363" s="122">
        <f>IF(AK363&lt;&gt;"",IF(AND(BD362&lt;&gt;"IE",AT363&lt;&gt;0,AV363&lt;&gt;""),IF(IFERROR((AT363/AV363),0) &lt;=1,IFERROR(AT363/AV363,""),1),""),"")</f>
        <v/>
      </c>
      <c r="BE363" s="93" t="n"/>
      <c r="BF363" s="105" t="n"/>
      <c r="FC363" t="inlineStr">
        <is>
          <t>Diccionario 1</t>
        </is>
      </c>
      <c r="FD363" s="15" t="n">
        <v>1362</v>
      </c>
      <c r="FE363" s="15" t="inlineStr">
        <is>
          <t>MDN35025010226</t>
        </is>
      </c>
      <c r="FF363" s="15" t="inlineStr">
        <is>
          <t>LDYECS313S0044080</t>
        </is>
      </c>
      <c r="FG363" s="15" t="inlineStr">
        <is>
          <t>Zhong Tong</t>
        </is>
      </c>
      <c r="FH363" s="15" t="inlineStr">
        <is>
          <t>Lck6122evg</t>
        </is>
      </c>
      <c r="FI363" s="15" t="inlineStr">
        <is>
          <t>ZHONGTONG</t>
        </is>
      </c>
      <c r="FJ363" s="15" t="inlineStr">
        <is>
          <t>LCK6122EVG</t>
        </is>
      </c>
      <c r="FK363" s="15" t="n">
        <v>2025</v>
      </c>
      <c r="FL363" s="15" t="inlineStr">
        <is>
          <t>B</t>
        </is>
      </c>
      <c r="FM363" s="15" t="inlineStr">
        <is>
          <t>PIE ANDINO</t>
        </is>
      </c>
      <c r="FN363" s="15" t="inlineStr">
        <is>
          <t>Pie Andino 31 (Pie Andino 383)</t>
        </is>
      </c>
      <c r="FO363" s="15" t="inlineStr">
        <is>
          <t>Puente Alto</t>
        </is>
      </c>
      <c r="FP363" t="inlineStr">
        <is>
          <t>B</t>
        </is>
      </c>
      <c r="FS363" s="14" t="inlineStr">
        <is>
          <t>3095 / SFWZ-58|</t>
        </is>
      </c>
      <c r="FT363" t="inlineStr">
        <is>
          <t>SFWZ-58|</t>
        </is>
      </c>
      <c r="FU363" t="inlineStr">
        <is>
          <t>SFWZ-58</t>
        </is>
      </c>
      <c r="FV363">
        <f>VLOOKUP(FU363,FD:FL,9,0)</f>
        <v/>
      </c>
      <c r="HA363" s="35" t="n">
        <v>133</v>
      </c>
      <c r="HB363" s="35" t="n">
        <v>357</v>
      </c>
    </row>
    <row r="364" ht="15.5" customHeight="1">
      <c r="A364" s="10">
        <f>HOUR(G364)+1</f>
        <v/>
      </c>
      <c r="B364" s="7" t="n"/>
      <c r="C364" s="7" t="n"/>
      <c r="D364" s="85">
        <f>IFERROR(
IF(AND(OR(Planilla!B364="C",Planilla!B364="c"), VLOOKUP(E364,FD:FP,13,0)="C"), "OK",IF(AND(OR(Planilla!B364="C",Planilla!B364="c"), OR(VLOOKUP(E364,FD:FP,13,0)="B", VLOOKUP(E364,FD:FP,13,0)="A")), "DEFICIT",IF(
AND(OR(Planilla!B364="B", Planilla!B364="BPAL"), VLOOKUP(E364,FD:FP,13,0)="B"), "OK",IF(AND(OR(Planilla!B364="B", Planilla!B364="BPAL"), VLOOKUP(E364,FD:FP,13,0)="A"), "DEFICIT",IF(AND(OR(Planilla!B364="B", Planilla!B364="BPAL"), VLOOKUP(E364,FD:FP,13,0)="C"), "SOBREOFERTA",IF(AND(Planilla!B364="A", VLOOKUP(E364,FD:FP,13,0)="A"), "OK",IF(
AND(Planilla!B364="A", OR(VLOOKUP(E364,FD:FP,13,0)="B", VLOOKUP(E364,FD:FP,13,0)="C")), "SOBREOFERTA",""
))))))),"")</f>
        <v/>
      </c>
      <c r="E364" s="8" t="n"/>
      <c r="F364" s="86" t="n"/>
      <c r="G364" s="87" t="n"/>
      <c r="H364" s="88">
        <f>IF(I364="","",IF(AND((I364-G364)&gt;=TIME(0,0,0),(I364-G364)&lt;TIME(0,3,0)),"OK",IF(AND((I364-G364)&gt;=TIME(0,3,0),(I364-G364)&lt;TIME(0,5,0)),"RETRASO DE 3-5 MIN",IF(AND((I364-G364)&gt;=TIME(0,5,0),(I364-G364)&lt;TIME(0,10,0)),"RETRASO DE 5-10 MIN",IF((I364-G364)&gt;=TIME(0,10,0),"RETRASO &gt;10 MIN", IF(AND((G364-I364)&gt;=TIME(0,0,0),(G364-I364)&lt;TIME(0,3,0)),"OK",IF((G364-I364)&gt;=TIME(0,3,0),"ADELANTADO")))))))</f>
        <v/>
      </c>
      <c r="I364" s="89" t="n"/>
      <c r="J364" s="89">
        <f>IF(A364&lt;&gt;"",HLOOKUP(VALUE(TEXT(G364,"h:mm:ss")),IF($C$6="Laboral",$FZ$4:$GX$227,IF($C$6="Sábado",$FZ$231:$GX$452,$FZ$456:$GX$656)),VLOOKUP($C$4,$HF$2:$HH$99,3,0)+IF(C$5="Ida",0,1),1),"")</f>
        <v/>
      </c>
      <c r="K364" s="89">
        <f>IF(A365&lt;&gt;A364,AVERAGEIF(A$9:A364,A364,J$9:J364),"")</f>
        <v/>
      </c>
      <c r="L364" s="89">
        <f>IFERROR(IF(A365&lt;&gt;A364,AVERAGEIF(A$9:A364,A364,S$9:S364),""),"")</f>
        <v/>
      </c>
      <c r="M364" s="89">
        <f>IFERROR(IF(A365&lt;&gt;A364,AVERAGEIF(A$9:A364,A364,T$9:T364),""),"")</f>
        <v/>
      </c>
      <c r="N364" s="89">
        <f t="array" ref="N364">IFERROR(IF(A365&lt;&gt;A364,_xlfn.STDEV.P(IF(A$9:A364=A364,T$9:T364)),""),"")</f>
        <v/>
      </c>
      <c r="O364" s="89">
        <f t="array" ref="O364">IFERROR(IF(A365&lt;&gt;A364,_xlfn.STDEV.P(IF(A$9:A364=A364,S$9:S364)),""),"")</f>
        <v/>
      </c>
      <c r="P364" s="90">
        <f>IFERROR(IF(A364&lt;&gt;A365,MAX((((M364*24*60)/2)*(1+POWER((((N364*24*60) / (M364*24*60) )),2))) + ((M364*24*60 )*-0.1 + (K364*0.015)) +1,(((M364*24*60)/2)*(1+POWER((((N364*24*60) / (M364*24*60 ))),2)))),""),"")</f>
        <v/>
      </c>
      <c r="Q364" s="90">
        <f>IF(AND(O364&lt;&gt;"",L364&lt;&gt;""),IF(A364&lt;&gt;A365,((L364*24*60) / 2 ) * (1 + POWER(((O364*24*60) / (L364*24*60)),2)),""),"")</f>
        <v/>
      </c>
      <c r="R364" s="90">
        <f>IF(Q364&lt;&gt;"",MAX(P364,Q364),"")</f>
        <v/>
      </c>
      <c r="S364" s="89">
        <f>IF(I364&lt;&gt;"H. Sale Real",IF(AND(I365&lt;&gt;"",LEFT(C365,2)&lt;&gt;"Va"),IF(AND(I364&lt;&gt;"",LEFT(C364,2)&lt;&gt;"Va",I364&lt;&gt;"H. Sale Real"),IF(I365-I364&lt;0.208333333333333,I365-I364,""),IF(AND(I363&lt;&gt;"",LEFT(C363,2)&lt;&gt;"Va",I363&lt;&gt;"H. Sale Real"),IF(I365-I363&lt;0.208333333333333,I365-I363,""),IF(AND(I362&lt;&gt;"",LEFT(C362,2)&lt;&gt;"Va",I362&lt;&gt;"H. Sale Real"),IF(I365-I362&lt;0.208333333333333,I365-I362,""),IF(AND(I361&lt;&gt;"",LEFT(C361,2)&lt;&gt;"Va",I361&lt;&gt;"H. Sale Real"),IF(I365-I361&lt;0.208333333333333,I365-I361,""),IF(AND(I360&lt;&gt;"",LEFT(C360,2)&lt;&gt;"Va",I360&lt;&gt;"H. Sale Real"),IF(I365-I360&lt;0.208333333333333,I365-I360,""),""))))),""),"")</f>
        <v/>
      </c>
      <c r="T364" s="89">
        <f>IF(G364&lt;&gt;"H. Sale Real",IF(AND(G365&lt;&gt;"",LEFT(C365,2)&lt;&gt;"Va"),IF(AND(G364&lt;&gt;"",LEFT(C364,2)&lt;&gt;"Va",G364&lt;&gt;"H. Sale Real"),IF(G365-G364&lt;0.208333333333333,G365-G364,""),IF(AND(G363&lt;&gt;"",LEFT(C363,2)&lt;&gt;"Va",G363&lt;&gt;"H. Sale Real"),IF(G365-G363&lt;0.208333333333333,G365-G363,""),IF(AND(G362&lt;&gt;"",LEFT(C362,2)&lt;&gt;"Va",G362&lt;&gt;"H. Sale Real"),IF(G365-G362&lt;0.208333333333333,G365-G362,""),IF(AND(G361&lt;&gt;"",LEFT(C361,2)&lt;&gt;"Va",G361&lt;&gt;"H. Sale Real"),IF(G365-G361&lt;0.208333333333333,G365-G361,""),IF(AND(G360&lt;&gt;"",LEFT(C360,2)&lt;&gt;"Va",G360&lt;&gt;"H. Sale Real"),IF(G365-G360&lt;0.208333333333333,G365-G360,""),""))))),""),"")</f>
        <v/>
      </c>
      <c r="U364" s="87" t="n"/>
      <c r="V364" s="89" t="n"/>
      <c r="W364" s="87" t="n"/>
      <c r="X364" s="89" t="n"/>
      <c r="Y364" s="91" t="n"/>
      <c r="Z364" s="122">
        <f>IF(G364&lt;&gt;"",IF(AND(Z363&lt;&gt;"IE",P364&lt;&gt;0,R364&lt;&gt;""),IF(IFERROR((P364/R364),0) &lt;=1,IFERROR(P364/R364,""),1),""),"")</f>
        <v/>
      </c>
      <c r="AA364" s="93" t="n"/>
      <c r="AB364" s="2" t="n"/>
      <c r="AE364" s="10">
        <f>HOUR(AK364)+1</f>
        <v/>
      </c>
      <c r="AF364" s="7" t="n"/>
      <c r="AG364" s="7" t="n"/>
      <c r="AH364" s="86" t="n"/>
      <c r="AI364" s="8" t="n"/>
      <c r="AJ364" s="86" t="n"/>
      <c r="AK364" s="87" t="n"/>
      <c r="AL364" s="88">
        <f>IF(AM364="","",IF(AND((AM364-AK364)&gt;=TIME(0,0,0),(AM364-AK364)&lt;TIME(0,3,0)),"OK",IF(AND((AM364-AK364)&gt;=TIME(0,3,0),(AM364-AK364)&lt;TIME(0,5,0)),"RETRASO DE 3-5 MIN",IF(AND((AM364-AK364)&gt;=TIME(0,5,0),(AM364-AK364)&lt;TIME(0,10,0)),"RETRASO DE 5-10 MIN",IF((AM364-AK364)&gt;=TIME(0,10,0),"RETRASO &gt;10 MIN", IF(AND((AK364-AM364)&gt;=TIME(0,0,0),(AK364-AM364)&lt;TIME(0,3,0)),"OK",IF((AK364-AM364)&gt;=TIME(0,3,0),"ADELANTADO")))))))</f>
        <v/>
      </c>
      <c r="AM364" s="91" t="n"/>
      <c r="AN364" s="89">
        <f>IF(AE364&lt;&gt;"",HLOOKUP(VALUE(TEXT(AK364,"h:mm:ss")),IF($C$6="Laboral",$FZ$4:$GX$227,IF($C$6="Sábado",$FZ$231:$GX$452,$FZ$456:$GX$656)),VLOOKUP($C$4,$HF$2:$HH$99,3,0)+IF(AG$5="Ida",0,1),1),"")</f>
        <v/>
      </c>
      <c r="AO364" s="89">
        <f>IF(AE365&lt;&gt;AE364,AVERAGEIF(AE$9:AE364,AE364,AN$9:AN364),"")</f>
        <v/>
      </c>
      <c r="AP364" s="89">
        <f>IFERROR(IF(AE365&lt;&gt;AE364,AVERAGEIF(AE$9:AE364,AE364,AW$9:AW364),""),"")</f>
        <v/>
      </c>
      <c r="AQ364" s="89">
        <f>IFERROR(IF(AE365&lt;&gt;AE364,AVERAGEIF(AE$9:AE364,AE364,AX$9:AX364),""),"")</f>
        <v/>
      </c>
      <c r="AR364" s="89">
        <f t="array" ref="AR364">IFERROR(IF(AE365&lt;&gt;AE364,_xlfn.STDEV.P(IF(AE$9:AE364=AE364,AX$9:AX364)),""),"")</f>
        <v/>
      </c>
      <c r="AS364" s="89">
        <f t="array" ref="AS364">IFERROR(IF(AE365&lt;&gt;AE364,_xlfn.STDEV.P(IF(AE$9:AE364=AE364,AW$9:AW364)),""),"")</f>
        <v/>
      </c>
      <c r="AT364" s="90">
        <f>IFERROR(IF(AE364&lt;&gt;AE365,MAX((((AQ364*24*60)/2)*(1+POWER((((AR364*24*60) / (AQ364*24*60) )),2))) + ((AQ364*24*60 )*-0.1 + (AO364*0.015)) +1,(((AQ364*24*60)/2)*(1+POWER((((AR364*24*60) / (AQ364*24*60 ))),2)))),""),"")</f>
        <v/>
      </c>
      <c r="AU364" s="90">
        <f>IF(AND(AS364&lt;&gt;"",AP364&lt;&gt;""),IF(AE364&lt;&gt;AE365,((AP364*24*60) / 2 ) * (1 + POWER(((AS364*24*60) / (AP364*24*60)),2)),""),"")</f>
        <v/>
      </c>
      <c r="AV364" s="90">
        <f>IF(AU364&lt;&gt;"",MAX(AT364,AU364),"")</f>
        <v/>
      </c>
      <c r="AW364" s="89">
        <f>IF(AM364&lt;&gt;"H. Sale Real",IF(AND(AM365&lt;&gt;"",LEFT(AG365,2)&lt;&gt;"Va"),IF(AND(AM364&lt;&gt;"",LEFT(AG364,2)&lt;&gt;"Va",AM364&lt;&gt;"H. Sale Real"),IF(AM365-AM364&lt;0.208333333333333,AM365-AM364,""),IF(AND(AM363&lt;&gt;"",LEFT(AG363,2)&lt;&gt;"Va",AM363&lt;&gt;"H. Sale Real"),IF(AM365-AM363&lt;0.208333333333333,AM365-AM363,""),IF(AND(AM362&lt;&gt;"",LEFT(AG362,2)&lt;&gt;"Va",AM362&lt;&gt;"H. Sale Real"),IF(AM365-AM362&lt;0.208333333333333,AM365-AM362,""),IF(AND(AM361&lt;&gt;"",LEFT(AG361,2)&lt;&gt;"Va",AM361&lt;&gt;"H. Sale Real"),IF(AM365-AM361&lt;0.208333333333333,AM365-AM361,""),IF(AND(AM360&lt;&gt;"",LEFT(AG360,2)&lt;&gt;"Va",AM360&lt;&gt;"H. Sale Real"),IF(AM365-AM360&lt;0.208333333333333,AM365-AM360,""),""))))),""),"")</f>
        <v/>
      </c>
      <c r="AX364" s="89">
        <f>IF(AK364&lt;&gt;"H. Sale Real",IF(AND(AK365&lt;&gt;"",LEFT(AG365,2)&lt;&gt;"Va"),IF(AND(AK364&lt;&gt;"",LEFT(AG364,2)&lt;&gt;"Va",AK364&lt;&gt;"H. Sale Real"),IF(AK365-AK364&lt;0.208333333333333,AK365-AK364,""),IF(AND(AK363&lt;&gt;"",LEFT(AG363,2)&lt;&gt;"Va",AK363&lt;&gt;"H. Sale Real"),IF(AK365-AK363&lt;0.208333333333333,AK365-AK363,""),IF(AND(AK362&lt;&gt;"",LEFT(AG362,2)&lt;&gt;"NC",AK362&lt;&gt;"H. Sale Real"),IF(AK365-AK362&lt;0.208333333333333,AK365-AK362,""),IF(AND(AK361&lt;&gt;"",LEFT(AG361,2)&lt;&gt;"Va",AK361&lt;&gt;"H. Sale Real"),IF(AK365-AK361&lt;0.208333333333333,AK365-AK361,""),IF(AND(AK360&lt;&gt;"",LEFT(AG360,2)&lt;&gt;"Va",AK360&lt;&gt;"H. Sale Real"),IF(AK365-AK360&lt;0.208333333333333,AK365-AK360,""),""))))),""),"")</f>
        <v/>
      </c>
      <c r="AY364" s="87" t="n"/>
      <c r="AZ364" s="89" t="n"/>
      <c r="BA364" s="87" t="n"/>
      <c r="BB364" s="89" t="n"/>
      <c r="BC364" s="91" t="n"/>
      <c r="BD364" s="122">
        <f>IF(AK364&lt;&gt;"",IF(AND(BD363&lt;&gt;"IE",AT364&lt;&gt;0,AV364&lt;&gt;""),IF(IFERROR((AT364/AV364),0) &lt;=1,IFERROR(AT364/AV364,""),1),""),"")</f>
        <v/>
      </c>
      <c r="BE364" s="93" t="n"/>
      <c r="BF364" s="105" t="n"/>
      <c r="FC364" t="inlineStr">
        <is>
          <t>Diccionario 1</t>
        </is>
      </c>
      <c r="FD364" s="15" t="n">
        <v>1363</v>
      </c>
      <c r="FE364" s="15" t="inlineStr">
        <is>
          <t>MDN35025010225</t>
        </is>
      </c>
      <c r="FF364" s="15" t="inlineStr">
        <is>
          <t>LDYECS317S0044079</t>
        </is>
      </c>
      <c r="FG364" s="15" t="inlineStr">
        <is>
          <t>Zhong Tong</t>
        </is>
      </c>
      <c r="FH364" s="15" t="inlineStr">
        <is>
          <t>Lck6122evg</t>
        </is>
      </c>
      <c r="FI364" s="15" t="inlineStr">
        <is>
          <t>ZHONGTONG</t>
        </is>
      </c>
      <c r="FJ364" s="15" t="inlineStr">
        <is>
          <t>LCK6122EVG</t>
        </is>
      </c>
      <c r="FK364" s="15" t="n">
        <v>2025</v>
      </c>
      <c r="FL364" s="15" t="inlineStr">
        <is>
          <t>B</t>
        </is>
      </c>
      <c r="FM364" s="15" t="inlineStr">
        <is>
          <t>SAN ALFONSO</t>
        </is>
      </c>
      <c r="FN364" s="15" t="inlineStr">
        <is>
          <t>San Alfonso 2141 (Ramón Subercaseaux 3060)</t>
        </is>
      </c>
      <c r="FO364" s="15" t="inlineStr">
        <is>
          <t>Estacion Central</t>
        </is>
      </c>
      <c r="FP364" t="inlineStr">
        <is>
          <t>B</t>
        </is>
      </c>
      <c r="FS364" s="14" t="inlineStr">
        <is>
          <t>3096 / SFWZ-74|</t>
        </is>
      </c>
      <c r="FT364" t="inlineStr">
        <is>
          <t>SFWZ-74|</t>
        </is>
      </c>
      <c r="FU364" t="inlineStr">
        <is>
          <t>SFWZ-74</t>
        </is>
      </c>
      <c r="FV364">
        <f>VLOOKUP(FU364,FD:FL,9,0)</f>
        <v/>
      </c>
      <c r="HA364" s="35" t="n">
        <v>134</v>
      </c>
      <c r="HB364" s="35" t="n">
        <v>358</v>
      </c>
    </row>
    <row r="365" ht="15.5" customHeight="1">
      <c r="A365" s="10">
        <f>HOUR(G365)+1</f>
        <v/>
      </c>
      <c r="B365" s="7" t="n"/>
      <c r="C365" s="7" t="n"/>
      <c r="D365" s="85">
        <f>IFERROR(
IF(AND(OR(Planilla!B365="C",Planilla!B365="c"), VLOOKUP(E365,FD:FP,13,0)="C"), "OK",IF(AND(OR(Planilla!B365="C",Planilla!B365="c"), OR(VLOOKUP(E365,FD:FP,13,0)="B", VLOOKUP(E365,FD:FP,13,0)="A")), "DEFICIT",IF(
AND(OR(Planilla!B365="B", Planilla!B365="BPAL"), VLOOKUP(E365,FD:FP,13,0)="B"), "OK",IF(AND(OR(Planilla!B365="B", Planilla!B365="BPAL"), VLOOKUP(E365,FD:FP,13,0)="A"), "DEFICIT",IF(AND(OR(Planilla!B365="B", Planilla!B365="BPAL"), VLOOKUP(E365,FD:FP,13,0)="C"), "SOBREOFERTA",IF(AND(Planilla!B365="A", VLOOKUP(E365,FD:FP,13,0)="A"), "OK",IF(
AND(Planilla!B365="A", OR(VLOOKUP(E365,FD:FP,13,0)="B", VLOOKUP(E365,FD:FP,13,0)="C")), "SOBREOFERTA",""
))))))),"")</f>
        <v/>
      </c>
      <c r="E365" s="8" t="n"/>
      <c r="F365" s="86" t="n"/>
      <c r="G365" s="87" t="n"/>
      <c r="H365" s="88">
        <f>IF(I365="","",IF(AND((I365-G365)&gt;=TIME(0,0,0),(I365-G365)&lt;TIME(0,3,0)),"OK",IF(AND((I365-G365)&gt;=TIME(0,3,0),(I365-G365)&lt;TIME(0,5,0)),"RETRASO DE 3-5 MIN",IF(AND((I365-G365)&gt;=TIME(0,5,0),(I365-G365)&lt;TIME(0,10,0)),"RETRASO DE 5-10 MIN",IF((I365-G365)&gt;=TIME(0,10,0),"RETRASO &gt;10 MIN", IF(AND((G365-I365)&gt;=TIME(0,0,0),(G365-I365)&lt;TIME(0,3,0)),"OK",IF((G365-I365)&gt;=TIME(0,3,0),"ADELANTADO")))))))</f>
        <v/>
      </c>
      <c r="I365" s="89" t="n"/>
      <c r="J365" s="89">
        <f>IF(A365&lt;&gt;"",HLOOKUP(VALUE(TEXT(G365,"h:mm:ss")),IF($C$6="Laboral",$FZ$4:$GX$227,IF($C$6="Sábado",$FZ$231:$GX$452,$FZ$456:$GX$656)),VLOOKUP($C$4,$HF$2:$HH$99,3,0)+IF(C$5="Ida",0,1),1),"")</f>
        <v/>
      </c>
      <c r="K365" s="89">
        <f>IF(A366&lt;&gt;A365,AVERAGEIF(A$9:A365,A365,J$9:J365),"")</f>
        <v/>
      </c>
      <c r="L365" s="89">
        <f>IFERROR(IF(A366&lt;&gt;A365,AVERAGEIF(A$9:A365,A365,S$9:S365),""),"")</f>
        <v/>
      </c>
      <c r="M365" s="89">
        <f>IFERROR(IF(A366&lt;&gt;A365,AVERAGEIF(A$9:A365,A365,T$9:T365),""),"")</f>
        <v/>
      </c>
      <c r="N365" s="89">
        <f t="array" ref="N365">IFERROR(IF(A366&lt;&gt;A365,_xlfn.STDEV.P(IF(A$9:A365=A365,T$9:T365)),""),"")</f>
        <v/>
      </c>
      <c r="O365" s="89">
        <f t="array" ref="O365">IFERROR(IF(A366&lt;&gt;A365,_xlfn.STDEV.P(IF(A$9:A365=A365,S$9:S365)),""),"")</f>
        <v/>
      </c>
      <c r="P365" s="90">
        <f>IFERROR(IF(A365&lt;&gt;A366,MAX((((M365*24*60)/2)*(1+POWER((((N365*24*60) / (M365*24*60) )),2))) + ((M365*24*60 )*-0.1 + (K365*0.015)) +1,(((M365*24*60)/2)*(1+POWER((((N365*24*60) / (M365*24*60 ))),2)))),""),"")</f>
        <v/>
      </c>
      <c r="Q365" s="90">
        <f>IF(AND(O365&lt;&gt;"",L365&lt;&gt;""),IF(A365&lt;&gt;A366,((L365*24*60) / 2 ) * (1 + POWER(((O365*24*60) / (L365*24*60)),2)),""),"")</f>
        <v/>
      </c>
      <c r="R365" s="90">
        <f>IF(Q365&lt;&gt;"",MAX(P365,Q365),"")</f>
        <v/>
      </c>
      <c r="S365" s="89">
        <f>IF(I365&lt;&gt;"H. Sale Real",IF(AND(I366&lt;&gt;"",LEFT(C366,2)&lt;&gt;"Va"),IF(AND(I365&lt;&gt;"",LEFT(C365,2)&lt;&gt;"Va",I365&lt;&gt;"H. Sale Real"),IF(I366-I365&lt;0.208333333333333,I366-I365,""),IF(AND(I364&lt;&gt;"",LEFT(C364,2)&lt;&gt;"Va",I364&lt;&gt;"H. Sale Real"),IF(I366-I364&lt;0.208333333333333,I366-I364,""),IF(AND(I363&lt;&gt;"",LEFT(C363,2)&lt;&gt;"Va",I363&lt;&gt;"H. Sale Real"),IF(I366-I363&lt;0.208333333333333,I366-I363,""),IF(AND(I362&lt;&gt;"",LEFT(C362,2)&lt;&gt;"Va",I362&lt;&gt;"H. Sale Real"),IF(I366-I362&lt;0.208333333333333,I366-I362,""),IF(AND(I361&lt;&gt;"",LEFT(C361,2)&lt;&gt;"Va",I361&lt;&gt;"H. Sale Real"),IF(I366-I361&lt;0.208333333333333,I366-I361,""),""))))),""),"")</f>
        <v/>
      </c>
      <c r="T365" s="89">
        <f>IF(G365&lt;&gt;"H. Sale Real",IF(AND(G366&lt;&gt;"",LEFT(C366,2)&lt;&gt;"Va"),IF(AND(G365&lt;&gt;"",LEFT(C365,2)&lt;&gt;"Va",G365&lt;&gt;"H. Sale Real"),IF(G366-G365&lt;0.208333333333333,G366-G365,""),IF(AND(G364&lt;&gt;"",LEFT(C364,2)&lt;&gt;"Va",G364&lt;&gt;"H. Sale Real"),IF(G366-G364&lt;0.208333333333333,G366-G364,""),IF(AND(G363&lt;&gt;"",LEFT(C363,2)&lt;&gt;"Va",G363&lt;&gt;"H. Sale Real"),IF(G366-G363&lt;0.208333333333333,G366-G363,""),IF(AND(G362&lt;&gt;"",LEFT(C362,2)&lt;&gt;"Va",G362&lt;&gt;"H. Sale Real"),IF(G366-G362&lt;0.208333333333333,G366-G362,""),IF(AND(G361&lt;&gt;"",LEFT(C361,2)&lt;&gt;"Va",G361&lt;&gt;"H. Sale Real"),IF(G366-G361&lt;0.208333333333333,G366-G361,""),""))))),""),"")</f>
        <v/>
      </c>
      <c r="U365" s="87" t="n"/>
      <c r="V365" s="89" t="n"/>
      <c r="W365" s="87" t="n"/>
      <c r="X365" s="89" t="n"/>
      <c r="Y365" s="91" t="n"/>
      <c r="Z365" s="122">
        <f>IF(G365&lt;&gt;"",IF(AND(Z364&lt;&gt;"IE",P365&lt;&gt;0,R365&lt;&gt;""),IF(IFERROR((P365/R365),0) &lt;=1,IFERROR(P365/R365,""),1),""),"")</f>
        <v/>
      </c>
      <c r="AA365" s="93" t="n"/>
      <c r="AB365" s="2" t="n"/>
      <c r="AE365" s="10">
        <f>HOUR(AK365)+1</f>
        <v/>
      </c>
      <c r="AF365" s="7" t="n"/>
      <c r="AG365" s="7" t="n"/>
      <c r="AH365" s="86" t="n"/>
      <c r="AI365" s="8" t="n"/>
      <c r="AJ365" s="86" t="n"/>
      <c r="AK365" s="87" t="n"/>
      <c r="AL365" s="88">
        <f>IF(AM365="","",IF(AND((AM365-AK365)&gt;=TIME(0,0,0),(AM365-AK365)&lt;TIME(0,3,0)),"OK",IF(AND((AM365-AK365)&gt;=TIME(0,3,0),(AM365-AK365)&lt;TIME(0,5,0)),"RETRASO DE 3-5 MIN",IF(AND((AM365-AK365)&gt;=TIME(0,5,0),(AM365-AK365)&lt;TIME(0,10,0)),"RETRASO DE 5-10 MIN",IF((AM365-AK365)&gt;=TIME(0,10,0),"RETRASO &gt;10 MIN", IF(AND((AK365-AM365)&gt;=TIME(0,0,0),(AK365-AM365)&lt;TIME(0,3,0)),"OK",IF((AK365-AM365)&gt;=TIME(0,3,0),"ADELANTADO")))))))</f>
        <v/>
      </c>
      <c r="AM365" s="91" t="n"/>
      <c r="AN365" s="89">
        <f>IF(AE365&lt;&gt;"",HLOOKUP(VALUE(TEXT(AK365,"h:mm:ss")),IF($C$6="Laboral",$FZ$4:$GX$227,IF($C$6="Sábado",$FZ$231:$GX$452,$FZ$456:$GX$656)),VLOOKUP($C$4,$HF$2:$HH$99,3,0)+IF(AG$5="Ida",0,1),1),"")</f>
        <v/>
      </c>
      <c r="AO365" s="89">
        <f>IF(AE366&lt;&gt;AE365,AVERAGEIF(AE$9:AE365,AE365,AN$9:AN365),"")</f>
        <v/>
      </c>
      <c r="AP365" s="89">
        <f>IFERROR(IF(AE366&lt;&gt;AE365,AVERAGEIF(AE$9:AE365,AE365,AW$9:AW365),""),"")</f>
        <v/>
      </c>
      <c r="AQ365" s="89">
        <f>IFERROR(IF(AE366&lt;&gt;AE365,AVERAGEIF(AE$9:AE365,AE365,AX$9:AX365),""),"")</f>
        <v/>
      </c>
      <c r="AR365" s="89">
        <f t="array" ref="AR365">IFERROR(IF(AE366&lt;&gt;AE365,_xlfn.STDEV.P(IF(AE$9:AE365=AE365,AX$9:AX365)),""),"")</f>
        <v/>
      </c>
      <c r="AS365" s="89">
        <f t="array" ref="AS365">IFERROR(IF(AE366&lt;&gt;AE365,_xlfn.STDEV.P(IF(AE$9:AE365=AE365,AW$9:AW365)),""),"")</f>
        <v/>
      </c>
      <c r="AT365" s="90">
        <f>IFERROR(IF(AE365&lt;&gt;AE366,MAX((((AQ365*24*60)/2)*(1+POWER((((AR365*24*60) / (AQ365*24*60) )),2))) + ((AQ365*24*60 )*-0.1 + (AO365*0.015)) +1,(((AQ365*24*60)/2)*(1+POWER((((AR365*24*60) / (AQ365*24*60 ))),2)))),""),"")</f>
        <v/>
      </c>
      <c r="AU365" s="90">
        <f>IF(AND(AS365&lt;&gt;"",AP365&lt;&gt;""),IF(AE365&lt;&gt;AE366,((AP365*24*60) / 2 ) * (1 + POWER(((AS365*24*60) / (AP365*24*60)),2)),""),"")</f>
        <v/>
      </c>
      <c r="AV365" s="90">
        <f>IF(AU365&lt;&gt;"",MAX(AT365,AU365),"")</f>
        <v/>
      </c>
      <c r="AW365" s="89">
        <f>IF(AM365&lt;&gt;"H. Sale Real",IF(AND(AM366&lt;&gt;"",LEFT(AG366,2)&lt;&gt;"Va"),IF(AND(AM365&lt;&gt;"",LEFT(AG365,2)&lt;&gt;"Va",AM365&lt;&gt;"H. Sale Real"),IF(AM366-AM365&lt;0.208333333333333,AM366-AM365,""),IF(AND(AM364&lt;&gt;"",LEFT(AG364,2)&lt;&gt;"Va",AM364&lt;&gt;"H. Sale Real"),IF(AM366-AM364&lt;0.208333333333333,AM366-AM364,""),IF(AND(AM363&lt;&gt;"",LEFT(AG363,2)&lt;&gt;"Va",AM363&lt;&gt;"H. Sale Real"),IF(AM366-AM363&lt;0.208333333333333,AM366-AM363,""),IF(AND(AM362&lt;&gt;"",LEFT(AG362,2)&lt;&gt;"Va",AM362&lt;&gt;"H. Sale Real"),IF(AM366-AM362&lt;0.208333333333333,AM366-AM362,""),IF(AND(AM361&lt;&gt;"",LEFT(AG361,2)&lt;&gt;"Va",AM361&lt;&gt;"H. Sale Real"),IF(AM366-AM361&lt;0.208333333333333,AM366-AM361,""),""))))),""),"")</f>
        <v/>
      </c>
      <c r="AX365" s="89">
        <f>IF(AK365&lt;&gt;"H. Sale Real",IF(AND(AK366&lt;&gt;"",LEFT(AG366,2)&lt;&gt;"Va"),IF(AND(AK365&lt;&gt;"",LEFT(AG365,2)&lt;&gt;"Va",AK365&lt;&gt;"H. Sale Real"),IF(AK366-AK365&lt;0.208333333333333,AK366-AK365,""),IF(AND(AK364&lt;&gt;"",LEFT(AG364,2)&lt;&gt;"Va",AK364&lt;&gt;"H. Sale Real"),IF(AK366-AK364&lt;0.208333333333333,AK366-AK364,""),IF(AND(AK363&lt;&gt;"",LEFT(AG363,2)&lt;&gt;"NC",AK363&lt;&gt;"H. Sale Real"),IF(AK366-AK363&lt;0.208333333333333,AK366-AK363,""),IF(AND(AK362&lt;&gt;"",LEFT(AG362,2)&lt;&gt;"Va",AK362&lt;&gt;"H. Sale Real"),IF(AK366-AK362&lt;0.208333333333333,AK366-AK362,""),IF(AND(AK361&lt;&gt;"",LEFT(AG361,2)&lt;&gt;"Va",AK361&lt;&gt;"H. Sale Real"),IF(AK366-AK361&lt;0.208333333333333,AK366-AK361,""),""))))),""),"")</f>
        <v/>
      </c>
      <c r="AY365" s="87" t="n"/>
      <c r="AZ365" s="89" t="n"/>
      <c r="BA365" s="87" t="n"/>
      <c r="BB365" s="89" t="n"/>
      <c r="BC365" s="91" t="n"/>
      <c r="BD365" s="122">
        <f>IF(AK365&lt;&gt;"",IF(AND(BD364&lt;&gt;"IE",AT365&lt;&gt;0,AV365&lt;&gt;""),IF(IFERROR((AT365/AV365),0) &lt;=1,IFERROR(AT365/AV365,""),1),""),"")</f>
        <v/>
      </c>
      <c r="BE365" s="93" t="n"/>
      <c r="BF365" s="105" t="n"/>
      <c r="FC365" t="inlineStr">
        <is>
          <t>Diccionario 1</t>
        </is>
      </c>
      <c r="FD365" s="15" t="n">
        <v>1364</v>
      </c>
      <c r="FE365" s="15" t="inlineStr">
        <is>
          <t>MDN35025010204</t>
        </is>
      </c>
      <c r="FF365" s="15" t="inlineStr">
        <is>
          <t>LDYECS31XS0044108</t>
        </is>
      </c>
      <c r="FG365" s="15" t="inlineStr">
        <is>
          <t>Zhong Tong</t>
        </is>
      </c>
      <c r="FH365" s="15" t="inlineStr">
        <is>
          <t>Lck6122evg</t>
        </is>
      </c>
      <c r="FI365" s="15" t="inlineStr">
        <is>
          <t>ZHONGTONG</t>
        </is>
      </c>
      <c r="FJ365" s="15" t="inlineStr">
        <is>
          <t>LCK6122EVG</t>
        </is>
      </c>
      <c r="FK365" s="15" t="n">
        <v>2025</v>
      </c>
      <c r="FL365" s="15" t="inlineStr">
        <is>
          <t>B</t>
        </is>
      </c>
      <c r="FM365" s="15" t="inlineStr">
        <is>
          <t>SAN ALFONSO</t>
        </is>
      </c>
      <c r="FN365" s="15" t="inlineStr">
        <is>
          <t>San Alfonso 2141 (Ramón Subercaseaux 3060)</t>
        </is>
      </c>
      <c r="FO365" s="15" t="inlineStr">
        <is>
          <t>Estacion Central</t>
        </is>
      </c>
      <c r="FP365" t="inlineStr">
        <is>
          <t>B</t>
        </is>
      </c>
      <c r="FS365" s="14" t="inlineStr">
        <is>
          <t>3096 / SFWZ-74|</t>
        </is>
      </c>
      <c r="FT365" t="inlineStr">
        <is>
          <t>SFWZ-74|</t>
        </is>
      </c>
      <c r="FU365" t="inlineStr">
        <is>
          <t>SFWZ-74</t>
        </is>
      </c>
      <c r="FV365">
        <f>VLOOKUP(FU365,FD:FL,9,0)</f>
        <v/>
      </c>
      <c r="HA365" s="35" t="n">
        <v>135</v>
      </c>
      <c r="HB365" s="35" t="n">
        <v>359</v>
      </c>
    </row>
    <row r="366" ht="15.5" customHeight="1">
      <c r="A366" s="10">
        <f>HOUR(G366)+1</f>
        <v/>
      </c>
      <c r="B366" s="7" t="n"/>
      <c r="C366" s="7" t="n"/>
      <c r="D366" s="85">
        <f>IFERROR(
IF(AND(OR(Planilla!B366="C",Planilla!B366="c"), VLOOKUP(E366,FD:FP,13,0)="C"), "OK",IF(AND(OR(Planilla!B366="C",Planilla!B366="c"), OR(VLOOKUP(E366,FD:FP,13,0)="B", VLOOKUP(E366,FD:FP,13,0)="A")), "DEFICIT",IF(
AND(OR(Planilla!B366="B", Planilla!B366="BPAL"), VLOOKUP(E366,FD:FP,13,0)="B"), "OK",IF(AND(OR(Planilla!B366="B", Planilla!B366="BPAL"), VLOOKUP(E366,FD:FP,13,0)="A"), "DEFICIT",IF(AND(OR(Planilla!B366="B", Planilla!B366="BPAL"), VLOOKUP(E366,FD:FP,13,0)="C"), "SOBREOFERTA",IF(AND(Planilla!B366="A", VLOOKUP(E366,FD:FP,13,0)="A"), "OK",IF(
AND(Planilla!B366="A", OR(VLOOKUP(E366,FD:FP,13,0)="B", VLOOKUP(E366,FD:FP,13,0)="C")), "SOBREOFERTA",""
))))))),"")</f>
        <v/>
      </c>
      <c r="E366" s="8" t="n"/>
      <c r="F366" s="86" t="n"/>
      <c r="G366" s="87" t="n"/>
      <c r="H366" s="88">
        <f>IF(I366="","",IF(AND((I366-G366)&gt;=TIME(0,0,0),(I366-G366)&lt;TIME(0,3,0)),"OK",IF(AND((I366-G366)&gt;=TIME(0,3,0),(I366-G366)&lt;TIME(0,5,0)),"RETRASO DE 3-5 MIN",IF(AND((I366-G366)&gt;=TIME(0,5,0),(I366-G366)&lt;TIME(0,10,0)),"RETRASO DE 5-10 MIN",IF((I366-G366)&gt;=TIME(0,10,0),"RETRASO &gt;10 MIN", IF(AND((G366-I366)&gt;=TIME(0,0,0),(G366-I366)&lt;TIME(0,3,0)),"OK",IF((G366-I366)&gt;=TIME(0,3,0),"ADELANTADO")))))))</f>
        <v/>
      </c>
      <c r="I366" s="89" t="n"/>
      <c r="J366" s="89">
        <f>IF(A366&lt;&gt;"",HLOOKUP(VALUE(TEXT(G366,"h:mm:ss")),IF($C$6="Laboral",$FZ$4:$GX$227,IF($C$6="Sábado",$FZ$231:$GX$452,$FZ$456:$GX$656)),VLOOKUP($C$4,$HF$2:$HH$99,3,0)+IF(C$5="Ida",0,1),1),"")</f>
        <v/>
      </c>
      <c r="K366" s="89">
        <f>IF(A367&lt;&gt;A366,AVERAGEIF(A$9:A366,A366,J$9:J366),"")</f>
        <v/>
      </c>
      <c r="L366" s="89">
        <f>IFERROR(IF(A367&lt;&gt;A366,AVERAGEIF(A$9:A366,A366,S$9:S366),""),"")</f>
        <v/>
      </c>
      <c r="M366" s="89">
        <f>IFERROR(IF(A367&lt;&gt;A366,AVERAGEIF(A$9:A366,A366,T$9:T366),""),"")</f>
        <v/>
      </c>
      <c r="N366" s="89">
        <f t="array" ref="N366">IFERROR(IF(A367&lt;&gt;A366,_xlfn.STDEV.P(IF(A$9:A366=A366,T$9:T366)),""),"")</f>
        <v/>
      </c>
      <c r="O366" s="89">
        <f t="array" ref="O366">IFERROR(IF(A367&lt;&gt;A366,_xlfn.STDEV.P(IF(A$9:A366=A366,S$9:S366)),""),"")</f>
        <v/>
      </c>
      <c r="P366" s="90">
        <f>IFERROR(IF(A366&lt;&gt;A367,MAX((((M366*24*60)/2)*(1+POWER((((N366*24*60) / (M366*24*60) )),2))) + ((M366*24*60 )*-0.1 + (K366*0.015)) +1,(((M366*24*60)/2)*(1+POWER((((N366*24*60) / (M366*24*60 ))),2)))),""),"")</f>
        <v/>
      </c>
      <c r="Q366" s="90">
        <f>IF(AND(O366&lt;&gt;"",L366&lt;&gt;""),IF(A366&lt;&gt;A367,((L366*24*60) / 2 ) * (1 + POWER(((O366*24*60) / (L366*24*60)),2)),""),"")</f>
        <v/>
      </c>
      <c r="R366" s="90">
        <f>IF(Q366&lt;&gt;"",MAX(P366,Q366),"")</f>
        <v/>
      </c>
      <c r="S366" s="89">
        <f>IF(I366&lt;&gt;"H. Sale Real",IF(AND(I367&lt;&gt;"",LEFT(C367,2)&lt;&gt;"Va"),IF(AND(I366&lt;&gt;"",LEFT(C366,2)&lt;&gt;"Va",I366&lt;&gt;"H. Sale Real"),IF(I367-I366&lt;0.208333333333333,I367-I366,""),IF(AND(I365&lt;&gt;"",LEFT(C365,2)&lt;&gt;"Va",I365&lt;&gt;"H. Sale Real"),IF(I367-I365&lt;0.208333333333333,I367-I365,""),IF(AND(I364&lt;&gt;"",LEFT(C364,2)&lt;&gt;"Va",I364&lt;&gt;"H. Sale Real"),IF(I367-I364&lt;0.208333333333333,I367-I364,""),IF(AND(I363&lt;&gt;"",LEFT(C363,2)&lt;&gt;"Va",I363&lt;&gt;"H. Sale Real"),IF(I367-I363&lt;0.208333333333333,I367-I363,""),IF(AND(I362&lt;&gt;"",LEFT(C362,2)&lt;&gt;"Va",I362&lt;&gt;"H. Sale Real"),IF(I367-I362&lt;0.208333333333333,I367-I362,""),""))))),""),"")</f>
        <v/>
      </c>
      <c r="T366" s="89">
        <f>IF(G366&lt;&gt;"H. Sale Real",IF(AND(G367&lt;&gt;"",LEFT(C367,2)&lt;&gt;"Va"),IF(AND(G366&lt;&gt;"",LEFT(C366,2)&lt;&gt;"Va",G366&lt;&gt;"H. Sale Real"),IF(G367-G366&lt;0.208333333333333,G367-G366,""),IF(AND(G365&lt;&gt;"",LEFT(C365,2)&lt;&gt;"Va",G365&lt;&gt;"H. Sale Real"),IF(G367-G365&lt;0.208333333333333,G367-G365,""),IF(AND(G364&lt;&gt;"",LEFT(C364,2)&lt;&gt;"Va",G364&lt;&gt;"H. Sale Real"),IF(G367-G364&lt;0.208333333333333,G367-G364,""),IF(AND(G363&lt;&gt;"",LEFT(C363,2)&lt;&gt;"Va",G363&lt;&gt;"H. Sale Real"),IF(G367-G363&lt;0.208333333333333,G367-G363,""),IF(AND(G362&lt;&gt;"",LEFT(C362,2)&lt;&gt;"Va",G362&lt;&gt;"H. Sale Real"),IF(G367-G362&lt;0.208333333333333,G367-G362,""),""))))),""),"")</f>
        <v/>
      </c>
      <c r="U366" s="87" t="n"/>
      <c r="V366" s="89" t="n"/>
      <c r="W366" s="87" t="n"/>
      <c r="X366" s="89" t="n"/>
      <c r="Y366" s="91" t="n"/>
      <c r="Z366" s="122">
        <f>IF(G366&lt;&gt;"",IF(AND(Z365&lt;&gt;"IE",P366&lt;&gt;0,R366&lt;&gt;""),IF(IFERROR((P366/R366),0) &lt;=1,IFERROR(P366/R366,""),1),""),"")</f>
        <v/>
      </c>
      <c r="AA366" s="93" t="n"/>
      <c r="AB366" s="2" t="n"/>
      <c r="AE366" s="10">
        <f>HOUR(AK366)+1</f>
        <v/>
      </c>
      <c r="AF366" s="7" t="n"/>
      <c r="AG366" s="7" t="n"/>
      <c r="AH366" s="86" t="n"/>
      <c r="AI366" s="8" t="n"/>
      <c r="AJ366" s="86" t="n"/>
      <c r="AK366" s="87" t="n"/>
      <c r="AL366" s="88">
        <f>IF(AM366="","",IF(AND((AM366-AK366)&gt;=TIME(0,0,0),(AM366-AK366)&lt;TIME(0,3,0)),"OK",IF(AND((AM366-AK366)&gt;=TIME(0,3,0),(AM366-AK366)&lt;TIME(0,5,0)),"RETRASO DE 3-5 MIN",IF(AND((AM366-AK366)&gt;=TIME(0,5,0),(AM366-AK366)&lt;TIME(0,10,0)),"RETRASO DE 5-10 MIN",IF((AM366-AK366)&gt;=TIME(0,10,0),"RETRASO &gt;10 MIN", IF(AND((AK366-AM366)&gt;=TIME(0,0,0),(AK366-AM366)&lt;TIME(0,3,0)),"OK",IF((AK366-AM366)&gt;=TIME(0,3,0),"ADELANTADO")))))))</f>
        <v/>
      </c>
      <c r="AM366" s="91" t="n"/>
      <c r="AN366" s="89">
        <f>IF(AE366&lt;&gt;"",HLOOKUP(VALUE(TEXT(AK366,"h:mm:ss")),IF($C$6="Laboral",$FZ$4:$GX$227,IF($C$6="Sábado",$FZ$231:$GX$452,$FZ$456:$GX$656)),VLOOKUP($C$4,$HF$2:$HH$99,3,0)+IF(AG$5="Ida",0,1),1),"")</f>
        <v/>
      </c>
      <c r="AO366" s="89">
        <f>IF(AE367&lt;&gt;AE366,AVERAGEIF(AE$9:AE366,AE366,AN$9:AN366),"")</f>
        <v/>
      </c>
      <c r="AP366" s="89">
        <f>IFERROR(IF(AE367&lt;&gt;AE366,AVERAGEIF(AE$9:AE366,AE366,AW$9:AW366),""),"")</f>
        <v/>
      </c>
      <c r="AQ366" s="89">
        <f>IFERROR(IF(AE367&lt;&gt;AE366,AVERAGEIF(AE$9:AE366,AE366,AX$9:AX366),""),"")</f>
        <v/>
      </c>
      <c r="AR366" s="89">
        <f t="array" ref="AR366">IFERROR(IF(AE367&lt;&gt;AE366,_xlfn.STDEV.P(IF(AE$9:AE366=AE366,AX$9:AX366)),""),"")</f>
        <v/>
      </c>
      <c r="AS366" s="89">
        <f t="array" ref="AS366">IFERROR(IF(AE367&lt;&gt;AE366,_xlfn.STDEV.P(IF(AE$9:AE366=AE366,AW$9:AW366)),""),"")</f>
        <v/>
      </c>
      <c r="AT366" s="90">
        <f>IFERROR(IF(AE366&lt;&gt;AE367,MAX((((AQ366*24*60)/2)*(1+POWER((((AR366*24*60) / (AQ366*24*60) )),2))) + ((AQ366*24*60 )*-0.1 + (AO366*0.015)) +1,(((AQ366*24*60)/2)*(1+POWER((((AR366*24*60) / (AQ366*24*60 ))),2)))),""),"")</f>
        <v/>
      </c>
      <c r="AU366" s="90">
        <f>IF(AND(AS366&lt;&gt;"",AP366&lt;&gt;""),IF(AE366&lt;&gt;AE367,((AP366*24*60) / 2 ) * (1 + POWER(((AS366*24*60) / (AP366*24*60)),2)),""),"")</f>
        <v/>
      </c>
      <c r="AV366" s="90">
        <f>IF(AU366&lt;&gt;"",MAX(AT366,AU366),"")</f>
        <v/>
      </c>
      <c r="AW366" s="89">
        <f>IF(AM366&lt;&gt;"H. Sale Real",IF(AND(AM367&lt;&gt;"",LEFT(AG367,2)&lt;&gt;"Va"),IF(AND(AM366&lt;&gt;"",LEFT(AG366,2)&lt;&gt;"Va",AM366&lt;&gt;"H. Sale Real"),IF(AM367-AM366&lt;0.208333333333333,AM367-AM366,""),IF(AND(AM365&lt;&gt;"",LEFT(AG365,2)&lt;&gt;"Va",AM365&lt;&gt;"H. Sale Real"),IF(AM367-AM365&lt;0.208333333333333,AM367-AM365,""),IF(AND(AM364&lt;&gt;"",LEFT(AG364,2)&lt;&gt;"Va",AM364&lt;&gt;"H. Sale Real"),IF(AM367-AM364&lt;0.208333333333333,AM367-AM364,""),IF(AND(AM363&lt;&gt;"",LEFT(AG363,2)&lt;&gt;"Va",AM363&lt;&gt;"H. Sale Real"),IF(AM367-AM363&lt;0.208333333333333,AM367-AM363,""),IF(AND(AM362&lt;&gt;"",LEFT(AG362,2)&lt;&gt;"Va",AM362&lt;&gt;"H. Sale Real"),IF(AM367-AM362&lt;0.208333333333333,AM367-AM362,""),""))))),""),"")</f>
        <v/>
      </c>
      <c r="AX366" s="89">
        <f>IF(AK366&lt;&gt;"H. Sale Real",IF(AND(AK367&lt;&gt;"",LEFT(AG367,2)&lt;&gt;"Va"),IF(AND(AK366&lt;&gt;"",LEFT(AG366,2)&lt;&gt;"Va",AK366&lt;&gt;"H. Sale Real"),IF(AK367-AK366&lt;0.208333333333333,AK367-AK366,""),IF(AND(AK365&lt;&gt;"",LEFT(AG365,2)&lt;&gt;"Va",AK365&lt;&gt;"H. Sale Real"),IF(AK367-AK365&lt;0.208333333333333,AK367-AK365,""),IF(AND(AK364&lt;&gt;"",LEFT(AG364,2)&lt;&gt;"NC",AK364&lt;&gt;"H. Sale Real"),IF(AK367-AK364&lt;0.208333333333333,AK367-AK364,""),IF(AND(AK363&lt;&gt;"",LEFT(AG363,2)&lt;&gt;"Va",AK363&lt;&gt;"H. Sale Real"),IF(AK367-AK363&lt;0.208333333333333,AK367-AK363,""),IF(AND(AK362&lt;&gt;"",LEFT(AG362,2)&lt;&gt;"Va",AK362&lt;&gt;"H. Sale Real"),IF(AK367-AK362&lt;0.208333333333333,AK367-AK362,""),""))))),""),"")</f>
        <v/>
      </c>
      <c r="AY366" s="87" t="n"/>
      <c r="AZ366" s="89" t="n"/>
      <c r="BA366" s="87" t="n"/>
      <c r="BB366" s="89" t="n"/>
      <c r="BC366" s="91" t="n"/>
      <c r="BD366" s="122">
        <f>IF(AK366&lt;&gt;"",IF(AND(BD365&lt;&gt;"IE",AT366&lt;&gt;0,AV366&lt;&gt;""),IF(IFERROR((AT366/AV366),0) &lt;=1,IFERROR(AT366/AV366,""),1),""),"")</f>
        <v/>
      </c>
      <c r="BE366" s="93" t="n"/>
      <c r="BF366" s="105" t="n"/>
      <c r="FC366" t="inlineStr">
        <is>
          <t>Diccionario 1</t>
        </is>
      </c>
      <c r="FD366" s="15" t="n">
        <v>1365</v>
      </c>
      <c r="FE366" s="15" t="inlineStr">
        <is>
          <t>MDN35025020040</t>
        </is>
      </c>
      <c r="FF366" s="15" t="inlineStr">
        <is>
          <t>LDYECS314S0044086</t>
        </is>
      </c>
      <c r="FG366" s="15" t="inlineStr">
        <is>
          <t>Zhong Tong</t>
        </is>
      </c>
      <c r="FH366" s="15" t="inlineStr">
        <is>
          <t>Lck6122evg</t>
        </is>
      </c>
      <c r="FI366" s="15" t="inlineStr">
        <is>
          <t>ZHONGTONG</t>
        </is>
      </c>
      <c r="FJ366" s="15" t="inlineStr">
        <is>
          <t>LCK6122EVG</t>
        </is>
      </c>
      <c r="FK366" s="15" t="n">
        <v>2025</v>
      </c>
      <c r="FL366" s="15" t="inlineStr">
        <is>
          <t>B</t>
        </is>
      </c>
      <c r="FM366" s="15" t="inlineStr">
        <is>
          <t>PIE ANDINO</t>
        </is>
      </c>
      <c r="FN366" s="15" t="inlineStr">
        <is>
          <t>Pie Andino 31 (Pie Andino 383)</t>
        </is>
      </c>
      <c r="FO366" s="15" t="inlineStr">
        <is>
          <t>Puente Alto</t>
        </is>
      </c>
      <c r="FP366" t="inlineStr">
        <is>
          <t>B</t>
        </is>
      </c>
      <c r="FS366" s="14" t="inlineStr">
        <is>
          <t>3096 / SFWZ-74|</t>
        </is>
      </c>
      <c r="FT366" t="inlineStr">
        <is>
          <t>SFWZ-74|</t>
        </is>
      </c>
      <c r="FU366" t="inlineStr">
        <is>
          <t>SFWZ-74</t>
        </is>
      </c>
      <c r="FV366">
        <f>VLOOKUP(FU366,FD:FL,9,0)</f>
        <v/>
      </c>
      <c r="HA366" s="35" t="n">
        <v>136</v>
      </c>
      <c r="HB366" s="35" t="n">
        <v>360</v>
      </c>
    </row>
    <row r="367" ht="15.5" customHeight="1">
      <c r="A367" s="10">
        <f>HOUR(G367)+1</f>
        <v/>
      </c>
      <c r="B367" s="7" t="n"/>
      <c r="C367" s="7" t="n"/>
      <c r="D367" s="85">
        <f>IFERROR(
IF(AND(OR(Planilla!B367="C",Planilla!B367="c"), VLOOKUP(E367,FD:FP,13,0)="C"), "OK",IF(AND(OR(Planilla!B367="C",Planilla!B367="c"), OR(VLOOKUP(E367,FD:FP,13,0)="B", VLOOKUP(E367,FD:FP,13,0)="A")), "DEFICIT",IF(
AND(OR(Planilla!B367="B", Planilla!B367="BPAL"), VLOOKUP(E367,FD:FP,13,0)="B"), "OK",IF(AND(OR(Planilla!B367="B", Planilla!B367="BPAL"), VLOOKUP(E367,FD:FP,13,0)="A"), "DEFICIT",IF(AND(OR(Planilla!B367="B", Planilla!B367="BPAL"), VLOOKUP(E367,FD:FP,13,0)="C"), "SOBREOFERTA",IF(AND(Planilla!B367="A", VLOOKUP(E367,FD:FP,13,0)="A"), "OK",IF(
AND(Planilla!B367="A", OR(VLOOKUP(E367,FD:FP,13,0)="B", VLOOKUP(E367,FD:FP,13,0)="C")), "SOBREOFERTA",""
))))))),"")</f>
        <v/>
      </c>
      <c r="E367" s="8" t="n"/>
      <c r="F367" s="86" t="n"/>
      <c r="G367" s="87" t="n"/>
      <c r="H367" s="88">
        <f>IF(I367="","",IF(AND((I367-G367)&gt;=TIME(0,0,0),(I367-G367)&lt;TIME(0,3,0)),"OK",IF(AND((I367-G367)&gt;=TIME(0,3,0),(I367-G367)&lt;TIME(0,5,0)),"RETRASO DE 3-5 MIN",IF(AND((I367-G367)&gt;=TIME(0,5,0),(I367-G367)&lt;TIME(0,10,0)),"RETRASO DE 5-10 MIN",IF((I367-G367)&gt;=TIME(0,10,0),"RETRASO &gt;10 MIN", IF(AND((G367-I367)&gt;=TIME(0,0,0),(G367-I367)&lt;TIME(0,3,0)),"OK",IF((G367-I367)&gt;=TIME(0,3,0),"ADELANTADO")))))))</f>
        <v/>
      </c>
      <c r="I367" s="89" t="n"/>
      <c r="J367" s="89">
        <f>IF(A367&lt;&gt;"",HLOOKUP(VALUE(TEXT(G367,"h:mm:ss")),IF($C$6="Laboral",$FZ$4:$GX$227,IF($C$6="Sábado",$FZ$231:$GX$452,$FZ$456:$GX$656)),VLOOKUP($C$4,$HF$2:$HH$99,3,0)+IF(C$5="Ida",0,1),1),"")</f>
        <v/>
      </c>
      <c r="K367" s="89">
        <f>IF(A368&lt;&gt;A367,AVERAGEIF(A$9:A367,A367,J$9:J367),"")</f>
        <v/>
      </c>
      <c r="L367" s="89">
        <f>IFERROR(IF(A368&lt;&gt;A367,AVERAGEIF(A$9:A367,A367,S$9:S367),""),"")</f>
        <v/>
      </c>
      <c r="M367" s="89">
        <f>IFERROR(IF(A368&lt;&gt;A367,AVERAGEIF(A$9:A367,A367,T$9:T367),""),"")</f>
        <v/>
      </c>
      <c r="N367" s="89">
        <f t="array" ref="N367">IFERROR(IF(A368&lt;&gt;A367,_xlfn.STDEV.P(IF(A$9:A367=A367,T$9:T367)),""),"")</f>
        <v/>
      </c>
      <c r="O367" s="89">
        <f t="array" ref="O367">IFERROR(IF(A368&lt;&gt;A367,_xlfn.STDEV.P(IF(A$9:A367=A367,S$9:S367)),""),"")</f>
        <v/>
      </c>
      <c r="P367" s="90">
        <f>IFERROR(IF(A367&lt;&gt;A368,MAX((((M367*24*60)/2)*(1+POWER((((N367*24*60) / (M367*24*60) )),2))) + ((M367*24*60 )*-0.1 + (K367*0.015)) +1,(((M367*24*60)/2)*(1+POWER((((N367*24*60) / (M367*24*60 ))),2)))),""),"")</f>
        <v/>
      </c>
      <c r="Q367" s="90">
        <f>IF(AND(O367&lt;&gt;"",L367&lt;&gt;""),IF(A367&lt;&gt;A368,((L367*24*60) / 2 ) * (1 + POWER(((O367*24*60) / (L367*24*60)),2)),""),"")</f>
        <v/>
      </c>
      <c r="R367" s="90">
        <f>IF(Q367&lt;&gt;"",MAX(P367,Q367),"")</f>
        <v/>
      </c>
      <c r="S367" s="89">
        <f>IF(I367&lt;&gt;"H. Sale Real",IF(AND(I368&lt;&gt;"",LEFT(C368,2)&lt;&gt;"Va"),IF(AND(I367&lt;&gt;"",LEFT(C367,2)&lt;&gt;"Va",I367&lt;&gt;"H. Sale Real"),IF(I368-I367&lt;0.208333333333333,I368-I367,""),IF(AND(I366&lt;&gt;"",LEFT(C366,2)&lt;&gt;"Va",I366&lt;&gt;"H. Sale Real"),IF(I368-I366&lt;0.208333333333333,I368-I366,""),IF(AND(I365&lt;&gt;"",LEFT(C365,2)&lt;&gt;"Va",I365&lt;&gt;"H. Sale Real"),IF(I368-I365&lt;0.208333333333333,I368-I365,""),IF(AND(I364&lt;&gt;"",LEFT(C364,2)&lt;&gt;"Va",I364&lt;&gt;"H. Sale Real"),IF(I368-I364&lt;0.208333333333333,I368-I364,""),IF(AND(I363&lt;&gt;"",LEFT(C363,2)&lt;&gt;"Va",I363&lt;&gt;"H. Sale Real"),IF(I368-I363&lt;0.208333333333333,I368-I363,""),""))))),""),"")</f>
        <v/>
      </c>
      <c r="T367" s="89">
        <f>IF(G367&lt;&gt;"H. Sale Real",IF(AND(G368&lt;&gt;"",LEFT(C368,2)&lt;&gt;"Va"),IF(AND(G367&lt;&gt;"",LEFT(C367,2)&lt;&gt;"Va",G367&lt;&gt;"H. Sale Real"),IF(G368-G367&lt;0.208333333333333,G368-G367,""),IF(AND(G366&lt;&gt;"",LEFT(C366,2)&lt;&gt;"Va",G366&lt;&gt;"H. Sale Real"),IF(G368-G366&lt;0.208333333333333,G368-G366,""),IF(AND(G365&lt;&gt;"",LEFT(C365,2)&lt;&gt;"Va",G365&lt;&gt;"H. Sale Real"),IF(G368-G365&lt;0.208333333333333,G368-G365,""),IF(AND(G364&lt;&gt;"",LEFT(C364,2)&lt;&gt;"Va",G364&lt;&gt;"H. Sale Real"),IF(G368-G364&lt;0.208333333333333,G368-G364,""),IF(AND(G363&lt;&gt;"",LEFT(C363,2)&lt;&gt;"Va",G363&lt;&gt;"H. Sale Real"),IF(G368-G363&lt;0.208333333333333,G368-G363,""),""))))),""),"")</f>
        <v/>
      </c>
      <c r="U367" s="87" t="n"/>
      <c r="V367" s="89" t="n"/>
      <c r="W367" s="87" t="n"/>
      <c r="X367" s="89" t="n"/>
      <c r="Y367" s="91" t="n"/>
      <c r="Z367" s="122">
        <f>IF(G367&lt;&gt;"",IF(AND(Z366&lt;&gt;"IE",P367&lt;&gt;0,R367&lt;&gt;""),IF(IFERROR((P367/R367),0) &lt;=1,IFERROR(P367/R367,""),1),""),"")</f>
        <v/>
      </c>
      <c r="AA367" s="93" t="n"/>
      <c r="AB367" s="2" t="n"/>
      <c r="AE367" s="10">
        <f>HOUR(AK367)+1</f>
        <v/>
      </c>
      <c r="AF367" s="7" t="n"/>
      <c r="AG367" s="7" t="n"/>
      <c r="AH367" s="86" t="n"/>
      <c r="AI367" s="8" t="n"/>
      <c r="AJ367" s="86" t="n"/>
      <c r="AK367" s="87" t="n"/>
      <c r="AL367" s="88">
        <f>IF(AM367="","",IF(AND((AM367-AK367)&gt;=TIME(0,0,0),(AM367-AK367)&lt;TIME(0,3,0)),"OK",IF(AND((AM367-AK367)&gt;=TIME(0,3,0),(AM367-AK367)&lt;TIME(0,5,0)),"RETRASO DE 3-5 MIN",IF(AND((AM367-AK367)&gt;=TIME(0,5,0),(AM367-AK367)&lt;TIME(0,10,0)),"RETRASO DE 5-10 MIN",IF((AM367-AK367)&gt;=TIME(0,10,0),"RETRASO &gt;10 MIN", IF(AND((AK367-AM367)&gt;=TIME(0,0,0),(AK367-AM367)&lt;TIME(0,3,0)),"OK",IF((AK367-AM367)&gt;=TIME(0,3,0),"ADELANTADO")))))))</f>
        <v/>
      </c>
      <c r="AM367" s="91" t="n"/>
      <c r="AN367" s="89">
        <f>IF(AE367&lt;&gt;"",HLOOKUP(VALUE(TEXT(AK367,"h:mm:ss")),IF($C$6="Laboral",$FZ$4:$GX$227,IF($C$6="Sábado",$FZ$231:$GX$452,$FZ$456:$GX$656)),VLOOKUP($C$4,$HF$2:$HH$99,3,0)+IF(AG$5="Ida",0,1),1),"")</f>
        <v/>
      </c>
      <c r="AO367" s="89">
        <f>IF(AE368&lt;&gt;AE367,AVERAGEIF(AE$9:AE367,AE367,AN$9:AN367),"")</f>
        <v/>
      </c>
      <c r="AP367" s="89">
        <f>IFERROR(IF(AE368&lt;&gt;AE367,AVERAGEIF(AE$9:AE367,AE367,AW$9:AW367),""),"")</f>
        <v/>
      </c>
      <c r="AQ367" s="89">
        <f>IFERROR(IF(AE368&lt;&gt;AE367,AVERAGEIF(AE$9:AE367,AE367,AX$9:AX367),""),"")</f>
        <v/>
      </c>
      <c r="AR367" s="89">
        <f t="array" ref="AR367">IFERROR(IF(AE368&lt;&gt;AE367,_xlfn.STDEV.P(IF(AE$9:AE367=AE367,AX$9:AX367)),""),"")</f>
        <v/>
      </c>
      <c r="AS367" s="89">
        <f t="array" ref="AS367">IFERROR(IF(AE368&lt;&gt;AE367,_xlfn.STDEV.P(IF(AE$9:AE367=AE367,AW$9:AW367)),""),"")</f>
        <v/>
      </c>
      <c r="AT367" s="90">
        <f>IFERROR(IF(AE367&lt;&gt;AE368,MAX((((AQ367*24*60)/2)*(1+POWER((((AR367*24*60) / (AQ367*24*60) )),2))) + ((AQ367*24*60 )*-0.1 + (AO367*0.015)) +1,(((AQ367*24*60)/2)*(1+POWER((((AR367*24*60) / (AQ367*24*60 ))),2)))),""),"")</f>
        <v/>
      </c>
      <c r="AU367" s="90">
        <f>IF(AND(AS367&lt;&gt;"",AP367&lt;&gt;""),IF(AE367&lt;&gt;AE368,((AP367*24*60) / 2 ) * (1 + POWER(((AS367*24*60) / (AP367*24*60)),2)),""),"")</f>
        <v/>
      </c>
      <c r="AV367" s="90">
        <f>IF(AU367&lt;&gt;"",MAX(AT367,AU367),"")</f>
        <v/>
      </c>
      <c r="AW367" s="89">
        <f>IF(AM367&lt;&gt;"H. Sale Real",IF(AND(AM368&lt;&gt;"",LEFT(AG368,2)&lt;&gt;"Va"),IF(AND(AM367&lt;&gt;"",LEFT(AG367,2)&lt;&gt;"Va",AM367&lt;&gt;"H. Sale Real"),IF(AM368-AM367&lt;0.208333333333333,AM368-AM367,""),IF(AND(AM366&lt;&gt;"",LEFT(AG366,2)&lt;&gt;"Va",AM366&lt;&gt;"H. Sale Real"),IF(AM368-AM366&lt;0.208333333333333,AM368-AM366,""),IF(AND(AM365&lt;&gt;"",LEFT(AG365,2)&lt;&gt;"Va",AM365&lt;&gt;"H. Sale Real"),IF(AM368-AM365&lt;0.208333333333333,AM368-AM365,""),IF(AND(AM364&lt;&gt;"",LEFT(AG364,2)&lt;&gt;"Va",AM364&lt;&gt;"H. Sale Real"),IF(AM368-AM364&lt;0.208333333333333,AM368-AM364,""),IF(AND(AM363&lt;&gt;"",LEFT(AG363,2)&lt;&gt;"Va",AM363&lt;&gt;"H. Sale Real"),IF(AM368-AM363&lt;0.208333333333333,AM368-AM363,""),""))))),""),"")</f>
        <v/>
      </c>
      <c r="AX367" s="89">
        <f>IF(AK367&lt;&gt;"H. Sale Real",IF(AND(AK368&lt;&gt;"",LEFT(AG368,2)&lt;&gt;"Va"),IF(AND(AK367&lt;&gt;"",LEFT(AG367,2)&lt;&gt;"Va",AK367&lt;&gt;"H. Sale Real"),IF(AK368-AK367&lt;0.208333333333333,AK368-AK367,""),IF(AND(AK366&lt;&gt;"",LEFT(AG366,2)&lt;&gt;"Va",AK366&lt;&gt;"H. Sale Real"),IF(AK368-AK366&lt;0.208333333333333,AK368-AK366,""),IF(AND(AK365&lt;&gt;"",LEFT(AG365,2)&lt;&gt;"NC",AK365&lt;&gt;"H. Sale Real"),IF(AK368-AK365&lt;0.208333333333333,AK368-AK365,""),IF(AND(AK364&lt;&gt;"",LEFT(AG364,2)&lt;&gt;"Va",AK364&lt;&gt;"H. Sale Real"),IF(AK368-AK364&lt;0.208333333333333,AK368-AK364,""),IF(AND(AK363&lt;&gt;"",LEFT(AG363,2)&lt;&gt;"Va",AK363&lt;&gt;"H. Sale Real"),IF(AK368-AK363&lt;0.208333333333333,AK368-AK363,""),""))))),""),"")</f>
        <v/>
      </c>
      <c r="AY367" s="87" t="n"/>
      <c r="AZ367" s="89" t="n"/>
      <c r="BA367" s="87" t="n"/>
      <c r="BB367" s="89" t="n"/>
      <c r="BC367" s="91" t="n"/>
      <c r="BD367" s="122">
        <f>IF(AK367&lt;&gt;"",IF(AND(BD366&lt;&gt;"IE",AT367&lt;&gt;0,AV367&lt;&gt;""),IF(IFERROR((AT367/AV367),0) &lt;=1,IFERROR(AT367/AV367,""),1),""),"")</f>
        <v/>
      </c>
      <c r="BE367" s="93" t="n"/>
      <c r="BF367" s="105" t="n"/>
      <c r="FC367" t="inlineStr">
        <is>
          <t>Diccionario 1</t>
        </is>
      </c>
      <c r="FD367" s="15" t="n">
        <v>1366</v>
      </c>
      <c r="FE367" s="15" t="inlineStr">
        <is>
          <t>MDN35025020018</t>
        </is>
      </c>
      <c r="FF367" s="15" t="inlineStr">
        <is>
          <t>LDYECS315S0044100</t>
        </is>
      </c>
      <c r="FG367" s="15" t="inlineStr">
        <is>
          <t>Zhong Tong</t>
        </is>
      </c>
      <c r="FH367" s="15" t="inlineStr">
        <is>
          <t>Lck6122evg</t>
        </is>
      </c>
      <c r="FI367" s="15" t="inlineStr">
        <is>
          <t>ZHONGTONG</t>
        </is>
      </c>
      <c r="FJ367" s="15" t="inlineStr">
        <is>
          <t>LCK6122EVG</t>
        </is>
      </c>
      <c r="FK367" s="15" t="n">
        <v>2025</v>
      </c>
      <c r="FL367" s="15" t="inlineStr">
        <is>
          <t>B</t>
        </is>
      </c>
      <c r="FM367" s="15" t="inlineStr">
        <is>
          <t>SAN ALFONSO</t>
        </is>
      </c>
      <c r="FN367" s="15" t="inlineStr">
        <is>
          <t>San Alfonso 2141 (Ramón Subercaseaux 3060)</t>
        </is>
      </c>
      <c r="FO367" s="15" t="inlineStr">
        <is>
          <t>Estacion Central</t>
        </is>
      </c>
      <c r="FP367" t="inlineStr">
        <is>
          <t>B</t>
        </is>
      </c>
      <c r="FS367" s="14" t="inlineStr">
        <is>
          <t>3096 / SFWZ-74|</t>
        </is>
      </c>
      <c r="FT367" t="inlineStr">
        <is>
          <t>SFWZ-74|</t>
        </is>
      </c>
      <c r="FU367" t="inlineStr">
        <is>
          <t>SFWZ-74</t>
        </is>
      </c>
      <c r="FV367">
        <f>VLOOKUP(FU367,FD:FL,9,0)</f>
        <v/>
      </c>
      <c r="HA367" s="35" t="n">
        <v>137</v>
      </c>
      <c r="HB367" s="35" t="n">
        <v>361</v>
      </c>
    </row>
    <row r="368" ht="15.5" customHeight="1">
      <c r="A368" s="10">
        <f>HOUR(G368)+1</f>
        <v/>
      </c>
      <c r="B368" s="7" t="n"/>
      <c r="C368" s="7" t="n"/>
      <c r="D368" s="85">
        <f>IFERROR(
IF(AND(OR(Planilla!B368="C",Planilla!B368="c"), VLOOKUP(E368,FD:FP,13,0)="C"), "OK",IF(AND(OR(Planilla!B368="C",Planilla!B368="c"), OR(VLOOKUP(E368,FD:FP,13,0)="B", VLOOKUP(E368,FD:FP,13,0)="A")), "DEFICIT",IF(
AND(OR(Planilla!B368="B", Planilla!B368="BPAL"), VLOOKUP(E368,FD:FP,13,0)="B"), "OK",IF(AND(OR(Planilla!B368="B", Planilla!B368="BPAL"), VLOOKUP(E368,FD:FP,13,0)="A"), "DEFICIT",IF(AND(OR(Planilla!B368="B", Planilla!B368="BPAL"), VLOOKUP(E368,FD:FP,13,0)="C"), "SOBREOFERTA",IF(AND(Planilla!B368="A", VLOOKUP(E368,FD:FP,13,0)="A"), "OK",IF(
AND(Planilla!B368="A", OR(VLOOKUP(E368,FD:FP,13,0)="B", VLOOKUP(E368,FD:FP,13,0)="C")), "SOBREOFERTA",""
))))))),"")</f>
        <v/>
      </c>
      <c r="E368" s="8" t="n"/>
      <c r="F368" s="86" t="n"/>
      <c r="G368" s="87" t="n"/>
      <c r="H368" s="88">
        <f>IF(I368="","",IF(AND((I368-G368)&gt;=TIME(0,0,0),(I368-G368)&lt;TIME(0,3,0)),"OK",IF(AND((I368-G368)&gt;=TIME(0,3,0),(I368-G368)&lt;TIME(0,5,0)),"RETRASO DE 3-5 MIN",IF(AND((I368-G368)&gt;=TIME(0,5,0),(I368-G368)&lt;TIME(0,10,0)),"RETRASO DE 5-10 MIN",IF((I368-G368)&gt;=TIME(0,10,0),"RETRASO &gt;10 MIN", IF(AND((G368-I368)&gt;=TIME(0,0,0),(G368-I368)&lt;TIME(0,3,0)),"OK",IF((G368-I368)&gt;=TIME(0,3,0),"ADELANTADO")))))))</f>
        <v/>
      </c>
      <c r="I368" s="89" t="n"/>
      <c r="J368" s="89">
        <f>IF(A368&lt;&gt;"",HLOOKUP(VALUE(TEXT(G368,"h:mm:ss")),IF($C$6="Laboral",$FZ$4:$GX$227,IF($C$6="Sábado",$FZ$231:$GX$452,$FZ$456:$GX$656)),VLOOKUP($C$4,$HF$2:$HH$99,3,0)+IF(C$5="Ida",0,1),1),"")</f>
        <v/>
      </c>
      <c r="K368" s="89">
        <f>IF(A369&lt;&gt;A368,AVERAGEIF(A$9:A368,A368,J$9:J368),"")</f>
        <v/>
      </c>
      <c r="L368" s="89">
        <f>IFERROR(IF(A369&lt;&gt;A368,AVERAGEIF(A$9:A368,A368,S$9:S368),""),"")</f>
        <v/>
      </c>
      <c r="M368" s="89">
        <f>IFERROR(IF(A369&lt;&gt;A368,AVERAGEIF(A$9:A368,A368,T$9:T368),""),"")</f>
        <v/>
      </c>
      <c r="N368" s="89">
        <f t="array" ref="N368">IFERROR(IF(A369&lt;&gt;A368,_xlfn.STDEV.P(IF(A$9:A368=A368,T$9:T368)),""),"")</f>
        <v/>
      </c>
      <c r="O368" s="89">
        <f t="array" ref="O368">IFERROR(IF(A369&lt;&gt;A368,_xlfn.STDEV.P(IF(A$9:A368=A368,S$9:S368)),""),"")</f>
        <v/>
      </c>
      <c r="P368" s="90">
        <f>IFERROR(IF(A368&lt;&gt;A369,MAX((((M368*24*60)/2)*(1+POWER((((N368*24*60) / (M368*24*60) )),2))) + ((M368*24*60 )*-0.1 + (K368*0.015)) +1,(((M368*24*60)/2)*(1+POWER((((N368*24*60) / (M368*24*60 ))),2)))),""),"")</f>
        <v/>
      </c>
      <c r="Q368" s="90">
        <f>IF(AND(O368&lt;&gt;"",L368&lt;&gt;""),IF(A368&lt;&gt;A369,((L368*24*60) / 2 ) * (1 + POWER(((O368*24*60) / (L368*24*60)),2)),""),"")</f>
        <v/>
      </c>
      <c r="R368" s="90">
        <f>IF(Q368&lt;&gt;"",MAX(P368,Q368),"")</f>
        <v/>
      </c>
      <c r="S368" s="89">
        <f>IF(I368&lt;&gt;"H. Sale Real",IF(AND(I369&lt;&gt;"",LEFT(C369,2)&lt;&gt;"Va"),IF(AND(I368&lt;&gt;"",LEFT(C368,2)&lt;&gt;"Va",I368&lt;&gt;"H. Sale Real"),IF(I369-I368&lt;0.208333333333333,I369-I368,""),IF(AND(I367&lt;&gt;"",LEFT(C367,2)&lt;&gt;"Va",I367&lt;&gt;"H. Sale Real"),IF(I369-I367&lt;0.208333333333333,I369-I367,""),IF(AND(I366&lt;&gt;"",LEFT(C366,2)&lt;&gt;"Va",I366&lt;&gt;"H. Sale Real"),IF(I369-I366&lt;0.208333333333333,I369-I366,""),IF(AND(I365&lt;&gt;"",LEFT(C365,2)&lt;&gt;"Va",I365&lt;&gt;"H. Sale Real"),IF(I369-I365&lt;0.208333333333333,I369-I365,""),IF(AND(I364&lt;&gt;"",LEFT(C364,2)&lt;&gt;"Va",I364&lt;&gt;"H. Sale Real"),IF(I369-I364&lt;0.208333333333333,I369-I364,""),""))))),""),"")</f>
        <v/>
      </c>
      <c r="T368" s="89">
        <f>IF(G368&lt;&gt;"H. Sale Real",IF(AND(G369&lt;&gt;"",LEFT(C369,2)&lt;&gt;"Va"),IF(AND(G368&lt;&gt;"",LEFT(C368,2)&lt;&gt;"Va",G368&lt;&gt;"H. Sale Real"),IF(G369-G368&lt;0.208333333333333,G369-G368,""),IF(AND(G367&lt;&gt;"",LEFT(C367,2)&lt;&gt;"Va",G367&lt;&gt;"H. Sale Real"),IF(G369-G367&lt;0.208333333333333,G369-G367,""),IF(AND(G366&lt;&gt;"",LEFT(C366,2)&lt;&gt;"Va",G366&lt;&gt;"H. Sale Real"),IF(G369-G366&lt;0.208333333333333,G369-G366,""),IF(AND(G365&lt;&gt;"",LEFT(C365,2)&lt;&gt;"Va",G365&lt;&gt;"H. Sale Real"),IF(G369-G365&lt;0.208333333333333,G369-G365,""),IF(AND(G364&lt;&gt;"",LEFT(C364,2)&lt;&gt;"Va",G364&lt;&gt;"H. Sale Real"),IF(G369-G364&lt;0.208333333333333,G369-G364,""),""))))),""),"")</f>
        <v/>
      </c>
      <c r="U368" s="87" t="n"/>
      <c r="V368" s="89" t="n"/>
      <c r="W368" s="87" t="n"/>
      <c r="X368" s="89" t="n"/>
      <c r="Y368" s="91" t="n"/>
      <c r="Z368" s="122">
        <f>IF(G368&lt;&gt;"",IF(AND(Z367&lt;&gt;"IE",P368&lt;&gt;0,R368&lt;&gt;""),IF(IFERROR((P368/R368),0) &lt;=1,IFERROR(P368/R368,""),1),""),"")</f>
        <v/>
      </c>
      <c r="AA368" s="93" t="n"/>
      <c r="AB368" s="2" t="n"/>
      <c r="AE368" s="10">
        <f>HOUR(AK368)+1</f>
        <v/>
      </c>
      <c r="AF368" s="7" t="n"/>
      <c r="AG368" s="7" t="n"/>
      <c r="AH368" s="86" t="n"/>
      <c r="AI368" s="8" t="n"/>
      <c r="AJ368" s="86" t="n"/>
      <c r="AK368" s="87" t="n"/>
      <c r="AL368" s="88">
        <f>IF(AM368="","",IF(AND((AM368-AK368)&gt;=TIME(0,0,0),(AM368-AK368)&lt;TIME(0,3,0)),"OK",IF(AND((AM368-AK368)&gt;=TIME(0,3,0),(AM368-AK368)&lt;TIME(0,5,0)),"RETRASO DE 3-5 MIN",IF(AND((AM368-AK368)&gt;=TIME(0,5,0),(AM368-AK368)&lt;TIME(0,10,0)),"RETRASO DE 5-10 MIN",IF((AM368-AK368)&gt;=TIME(0,10,0),"RETRASO &gt;10 MIN", IF(AND((AK368-AM368)&gt;=TIME(0,0,0),(AK368-AM368)&lt;TIME(0,3,0)),"OK",IF((AK368-AM368)&gt;=TIME(0,3,0),"ADELANTADO")))))))</f>
        <v/>
      </c>
      <c r="AM368" s="91" t="n"/>
      <c r="AN368" s="89">
        <f>IF(AE368&lt;&gt;"",HLOOKUP(VALUE(TEXT(AK368,"h:mm:ss")),IF($C$6="Laboral",$FZ$4:$GX$227,IF($C$6="Sábado",$FZ$231:$GX$452,$FZ$456:$GX$656)),VLOOKUP($C$4,$HF$2:$HH$99,3,0)+IF(AG$5="Ida",0,1),1),"")</f>
        <v/>
      </c>
      <c r="AO368" s="89">
        <f>IF(AE369&lt;&gt;AE368,AVERAGEIF(AE$9:AE368,AE368,AN$9:AN368),"")</f>
        <v/>
      </c>
      <c r="AP368" s="89">
        <f>IFERROR(IF(AE369&lt;&gt;AE368,AVERAGEIF(AE$9:AE368,AE368,AW$9:AW368),""),"")</f>
        <v/>
      </c>
      <c r="AQ368" s="89">
        <f>IFERROR(IF(AE369&lt;&gt;AE368,AVERAGEIF(AE$9:AE368,AE368,AX$9:AX368),""),"")</f>
        <v/>
      </c>
      <c r="AR368" s="89">
        <f t="array" ref="AR368">IFERROR(IF(AE369&lt;&gt;AE368,_xlfn.STDEV.P(IF(AE$9:AE368=AE368,AX$9:AX368)),""),"")</f>
        <v/>
      </c>
      <c r="AS368" s="89">
        <f t="array" ref="AS368">IFERROR(IF(AE369&lt;&gt;AE368,_xlfn.STDEV.P(IF(AE$9:AE368=AE368,AW$9:AW368)),""),"")</f>
        <v/>
      </c>
      <c r="AT368" s="90">
        <f>IFERROR(IF(AE368&lt;&gt;AE369,MAX((((AQ368*24*60)/2)*(1+POWER((((AR368*24*60) / (AQ368*24*60) )),2))) + ((AQ368*24*60 )*-0.1 + (AO368*0.015)) +1,(((AQ368*24*60)/2)*(1+POWER((((AR368*24*60) / (AQ368*24*60 ))),2)))),""),"")</f>
        <v/>
      </c>
      <c r="AU368" s="90">
        <f>IF(AND(AS368&lt;&gt;"",AP368&lt;&gt;""),IF(AE368&lt;&gt;AE369,((AP368*24*60) / 2 ) * (1 + POWER(((AS368*24*60) / (AP368*24*60)),2)),""),"")</f>
        <v/>
      </c>
      <c r="AV368" s="90">
        <f>IF(AU368&lt;&gt;"",MAX(AT368,AU368),"")</f>
        <v/>
      </c>
      <c r="AW368" s="89">
        <f>IF(AM368&lt;&gt;"H. Sale Real",IF(AND(AM369&lt;&gt;"",LEFT(AG369,2)&lt;&gt;"Va"),IF(AND(AM368&lt;&gt;"",LEFT(AG368,2)&lt;&gt;"Va",AM368&lt;&gt;"H. Sale Real"),IF(AM369-AM368&lt;0.208333333333333,AM369-AM368,""),IF(AND(AM367&lt;&gt;"",LEFT(AG367,2)&lt;&gt;"Va",AM367&lt;&gt;"H. Sale Real"),IF(AM369-AM367&lt;0.208333333333333,AM369-AM367,""),IF(AND(AM366&lt;&gt;"",LEFT(AG366,2)&lt;&gt;"Va",AM366&lt;&gt;"H. Sale Real"),IF(AM369-AM366&lt;0.208333333333333,AM369-AM366,""),IF(AND(AM365&lt;&gt;"",LEFT(AG365,2)&lt;&gt;"Va",AM365&lt;&gt;"H. Sale Real"),IF(AM369-AM365&lt;0.208333333333333,AM369-AM365,""),IF(AND(AM364&lt;&gt;"",LEFT(AG364,2)&lt;&gt;"Va",AM364&lt;&gt;"H. Sale Real"),IF(AM369-AM364&lt;0.208333333333333,AM369-AM364,""),""))))),""),"")</f>
        <v/>
      </c>
      <c r="AX368" s="89">
        <f>IF(AK368&lt;&gt;"H. Sale Real",IF(AND(AK369&lt;&gt;"",LEFT(AG369,2)&lt;&gt;"Va"),IF(AND(AK368&lt;&gt;"",LEFT(AG368,2)&lt;&gt;"Va",AK368&lt;&gt;"H. Sale Real"),IF(AK369-AK368&lt;0.208333333333333,AK369-AK368,""),IF(AND(AK367&lt;&gt;"",LEFT(AG367,2)&lt;&gt;"Va",AK367&lt;&gt;"H. Sale Real"),IF(AK369-AK367&lt;0.208333333333333,AK369-AK367,""),IF(AND(AK366&lt;&gt;"",LEFT(AG366,2)&lt;&gt;"NC",AK366&lt;&gt;"H. Sale Real"),IF(AK369-AK366&lt;0.208333333333333,AK369-AK366,""),IF(AND(AK365&lt;&gt;"",LEFT(AG365,2)&lt;&gt;"Va",AK365&lt;&gt;"H. Sale Real"),IF(AK369-AK365&lt;0.208333333333333,AK369-AK365,""),IF(AND(AK364&lt;&gt;"",LEFT(AG364,2)&lt;&gt;"Va",AK364&lt;&gt;"H. Sale Real"),IF(AK369-AK364&lt;0.208333333333333,AK369-AK364,""),""))))),""),"")</f>
        <v/>
      </c>
      <c r="AY368" s="87" t="n"/>
      <c r="AZ368" s="89" t="n"/>
      <c r="BA368" s="87" t="n"/>
      <c r="BB368" s="89" t="n"/>
      <c r="BC368" s="91" t="n"/>
      <c r="BD368" s="122">
        <f>IF(AK368&lt;&gt;"",IF(AND(BD367&lt;&gt;"IE",AT368&lt;&gt;0,AV368&lt;&gt;""),IF(IFERROR((AT368/AV368),0) &lt;=1,IFERROR(AT368/AV368,""),1),""),"")</f>
        <v/>
      </c>
      <c r="BE368" s="93" t="n"/>
      <c r="BF368" s="105" t="n"/>
      <c r="FC368" t="inlineStr">
        <is>
          <t>Diccionario 1</t>
        </is>
      </c>
      <c r="FD368" s="15" t="n">
        <v>1367</v>
      </c>
      <c r="FE368" s="15" t="inlineStr">
        <is>
          <t>MDN35025010216</t>
        </is>
      </c>
      <c r="FF368" s="15" t="inlineStr">
        <is>
          <t>LDYECS318S0044107</t>
        </is>
      </c>
      <c r="FG368" s="15" t="inlineStr">
        <is>
          <t>Zhong Tong</t>
        </is>
      </c>
      <c r="FH368" s="15" t="inlineStr">
        <is>
          <t>Lck6122evg</t>
        </is>
      </c>
      <c r="FI368" s="15" t="inlineStr">
        <is>
          <t>ZHONGTONG</t>
        </is>
      </c>
      <c r="FJ368" s="15" t="inlineStr">
        <is>
          <t>LCK6122EVG</t>
        </is>
      </c>
      <c r="FK368" s="15" t="n">
        <v>2025</v>
      </c>
      <c r="FL368" s="15" t="inlineStr">
        <is>
          <t>B</t>
        </is>
      </c>
      <c r="FM368" s="15" t="inlineStr">
        <is>
          <t>SAN ALFONSO</t>
        </is>
      </c>
      <c r="FN368" s="15" t="inlineStr">
        <is>
          <t>San Alfonso 2141 (Ramón Subercaseaux 3060)</t>
        </is>
      </c>
      <c r="FO368" s="15" t="inlineStr">
        <is>
          <t>Estacion Central</t>
        </is>
      </c>
      <c r="FP368" t="inlineStr">
        <is>
          <t>B</t>
        </is>
      </c>
      <c r="FS368" s="14" t="inlineStr">
        <is>
          <t>3097 / SFWZ-77|</t>
        </is>
      </c>
      <c r="FT368" t="inlineStr">
        <is>
          <t>SFWZ-77|</t>
        </is>
      </c>
      <c r="FU368" t="inlineStr">
        <is>
          <t>SFWZ-77</t>
        </is>
      </c>
      <c r="FV368">
        <f>VLOOKUP(FU368,FD:FL,9,0)</f>
        <v/>
      </c>
      <c r="HA368" s="35" t="n">
        <v>138</v>
      </c>
      <c r="HB368" s="35" t="n">
        <v>362</v>
      </c>
    </row>
    <row r="369" ht="15.5" customHeight="1">
      <c r="A369" s="10">
        <f>HOUR(G369)+1</f>
        <v/>
      </c>
      <c r="B369" s="7" t="n"/>
      <c r="C369" s="7" t="n"/>
      <c r="D369" s="85">
        <f>IFERROR(
IF(AND(OR(Planilla!B369="C",Planilla!B369="c"), VLOOKUP(E369,FD:FP,13,0)="C"), "OK",IF(AND(OR(Planilla!B369="C",Planilla!B369="c"), OR(VLOOKUP(E369,FD:FP,13,0)="B", VLOOKUP(E369,FD:FP,13,0)="A")), "DEFICIT",IF(
AND(OR(Planilla!B369="B", Planilla!B369="BPAL"), VLOOKUP(E369,FD:FP,13,0)="B"), "OK",IF(AND(OR(Planilla!B369="B", Planilla!B369="BPAL"), VLOOKUP(E369,FD:FP,13,0)="A"), "DEFICIT",IF(AND(OR(Planilla!B369="B", Planilla!B369="BPAL"), VLOOKUP(E369,FD:FP,13,0)="C"), "SOBREOFERTA",IF(AND(Planilla!B369="A", VLOOKUP(E369,FD:FP,13,0)="A"), "OK",IF(
AND(Planilla!B369="A", OR(VLOOKUP(E369,FD:FP,13,0)="B", VLOOKUP(E369,FD:FP,13,0)="C")), "SOBREOFERTA",""
))))))),"")</f>
        <v/>
      </c>
      <c r="E369" s="8" t="n"/>
      <c r="F369" s="86" t="n"/>
      <c r="G369" s="87" t="n"/>
      <c r="H369" s="88">
        <f>IF(I369="","",IF(AND((I369-G369)&gt;=TIME(0,0,0),(I369-G369)&lt;TIME(0,3,0)),"OK",IF(AND((I369-G369)&gt;=TIME(0,3,0),(I369-G369)&lt;TIME(0,5,0)),"RETRASO DE 3-5 MIN",IF(AND((I369-G369)&gt;=TIME(0,5,0),(I369-G369)&lt;TIME(0,10,0)),"RETRASO DE 5-10 MIN",IF((I369-G369)&gt;=TIME(0,10,0),"RETRASO &gt;10 MIN", IF(AND((G369-I369)&gt;=TIME(0,0,0),(G369-I369)&lt;TIME(0,3,0)),"OK",IF((G369-I369)&gt;=TIME(0,3,0),"ADELANTADO")))))))</f>
        <v/>
      </c>
      <c r="I369" s="89" t="n"/>
      <c r="J369" s="89">
        <f>IF(A369&lt;&gt;"",HLOOKUP(VALUE(TEXT(G369,"h:mm:ss")),IF($C$6="Laboral",$FZ$4:$GX$227,IF($C$6="Sábado",$FZ$231:$GX$452,$FZ$456:$GX$656)),VLOOKUP($C$4,$HF$2:$HH$99,3,0)+IF(C$5="Ida",0,1),1),"")</f>
        <v/>
      </c>
      <c r="K369" s="89">
        <f>IF(A370&lt;&gt;A369,AVERAGEIF(A$9:A369,A369,J$9:J369),"")</f>
        <v/>
      </c>
      <c r="L369" s="89">
        <f>IFERROR(IF(A370&lt;&gt;A369,AVERAGEIF(A$9:A369,A369,S$9:S369),""),"")</f>
        <v/>
      </c>
      <c r="M369" s="89">
        <f>IFERROR(IF(A370&lt;&gt;A369,AVERAGEIF(A$9:A369,A369,T$9:T369),""),"")</f>
        <v/>
      </c>
      <c r="N369" s="89">
        <f t="array" ref="N369">IFERROR(IF(A370&lt;&gt;A369,_xlfn.STDEV.P(IF(A$9:A369=A369,T$9:T369)),""),"")</f>
        <v/>
      </c>
      <c r="O369" s="89">
        <f t="array" ref="O369">IFERROR(IF(A370&lt;&gt;A369,_xlfn.STDEV.P(IF(A$9:A369=A369,S$9:S369)),""),"")</f>
        <v/>
      </c>
      <c r="P369" s="90">
        <f>IFERROR(IF(A369&lt;&gt;A370,MAX((((M369*24*60)/2)*(1+POWER((((N369*24*60) / (M369*24*60) )),2))) + ((M369*24*60 )*-0.1 + (K369*0.015)) +1,(((M369*24*60)/2)*(1+POWER((((N369*24*60) / (M369*24*60 ))),2)))),""),"")</f>
        <v/>
      </c>
      <c r="Q369" s="90">
        <f>IF(AND(O369&lt;&gt;"",L369&lt;&gt;""),IF(A369&lt;&gt;A370,((L369*24*60) / 2 ) * (1 + POWER(((O369*24*60) / (L369*24*60)),2)),""),"")</f>
        <v/>
      </c>
      <c r="R369" s="90">
        <f>IF(Q369&lt;&gt;"",MAX(P369,Q369),"")</f>
        <v/>
      </c>
      <c r="S369" s="89">
        <f>IF(I369&lt;&gt;"H. Sale Real",IF(AND(I370&lt;&gt;"",LEFT(C370,2)&lt;&gt;"Va"),IF(AND(I369&lt;&gt;"",LEFT(C369,2)&lt;&gt;"Va",I369&lt;&gt;"H. Sale Real"),IF(I370-I369&lt;0.208333333333333,I370-I369,""),IF(AND(I368&lt;&gt;"",LEFT(C368,2)&lt;&gt;"Va",I368&lt;&gt;"H. Sale Real"),IF(I370-I368&lt;0.208333333333333,I370-I368,""),IF(AND(I367&lt;&gt;"",LEFT(C367,2)&lt;&gt;"Va",I367&lt;&gt;"H. Sale Real"),IF(I370-I367&lt;0.208333333333333,I370-I367,""),IF(AND(I366&lt;&gt;"",LEFT(C366,2)&lt;&gt;"Va",I366&lt;&gt;"H. Sale Real"),IF(I370-I366&lt;0.208333333333333,I370-I366,""),IF(AND(I365&lt;&gt;"",LEFT(C365,2)&lt;&gt;"Va",I365&lt;&gt;"H. Sale Real"),IF(I370-I365&lt;0.208333333333333,I370-I365,""),""))))),""),"")</f>
        <v/>
      </c>
      <c r="T369" s="89">
        <f>IF(G369&lt;&gt;"H. Sale Real",IF(AND(G370&lt;&gt;"",LEFT(C370,2)&lt;&gt;"Va"),IF(AND(G369&lt;&gt;"",LEFT(C369,2)&lt;&gt;"Va",G369&lt;&gt;"H. Sale Real"),IF(G370-G369&lt;0.208333333333333,G370-G369,""),IF(AND(G368&lt;&gt;"",LEFT(C368,2)&lt;&gt;"Va",G368&lt;&gt;"H. Sale Real"),IF(G370-G368&lt;0.208333333333333,G370-G368,""),IF(AND(G367&lt;&gt;"",LEFT(C367,2)&lt;&gt;"Va",G367&lt;&gt;"H. Sale Real"),IF(G370-G367&lt;0.208333333333333,G370-G367,""),IF(AND(G366&lt;&gt;"",LEFT(C366,2)&lt;&gt;"Va",G366&lt;&gt;"H. Sale Real"),IF(G370-G366&lt;0.208333333333333,G370-G366,""),IF(AND(G365&lt;&gt;"",LEFT(C365,2)&lt;&gt;"Va",G365&lt;&gt;"H. Sale Real"),IF(G370-G365&lt;0.208333333333333,G370-G365,""),""))))),""),"")</f>
        <v/>
      </c>
      <c r="U369" s="87" t="n"/>
      <c r="V369" s="89" t="n"/>
      <c r="W369" s="87" t="n"/>
      <c r="X369" s="89" t="n"/>
      <c r="Y369" s="91" t="n"/>
      <c r="Z369" s="122">
        <f>IF(G369&lt;&gt;"",IF(AND(Z368&lt;&gt;"IE",P369&lt;&gt;0,R369&lt;&gt;""),IF(IFERROR((P369/R369),0) &lt;=1,IFERROR(P369/R369,""),1),""),"")</f>
        <v/>
      </c>
      <c r="AA369" s="93" t="n"/>
      <c r="AB369" s="2" t="n"/>
      <c r="AE369" s="10">
        <f>HOUR(AK369)+1</f>
        <v/>
      </c>
      <c r="AF369" s="7" t="n"/>
      <c r="AG369" s="7" t="n"/>
      <c r="AH369" s="86" t="n"/>
      <c r="AI369" s="8" t="n"/>
      <c r="AJ369" s="86" t="n"/>
      <c r="AK369" s="87" t="n"/>
      <c r="AL369" s="88">
        <f>IF(AM369="","",IF(AND((AM369-AK369)&gt;=TIME(0,0,0),(AM369-AK369)&lt;TIME(0,3,0)),"OK",IF(AND((AM369-AK369)&gt;=TIME(0,3,0),(AM369-AK369)&lt;TIME(0,5,0)),"RETRASO DE 3-5 MIN",IF(AND((AM369-AK369)&gt;=TIME(0,5,0),(AM369-AK369)&lt;TIME(0,10,0)),"RETRASO DE 5-10 MIN",IF((AM369-AK369)&gt;=TIME(0,10,0),"RETRASO &gt;10 MIN", IF(AND((AK369-AM369)&gt;=TIME(0,0,0),(AK369-AM369)&lt;TIME(0,3,0)),"OK",IF((AK369-AM369)&gt;=TIME(0,3,0),"ADELANTADO")))))))</f>
        <v/>
      </c>
      <c r="AM369" s="91" t="n"/>
      <c r="AN369" s="89">
        <f>IF(AE369&lt;&gt;"",HLOOKUP(VALUE(TEXT(AK369,"h:mm:ss")),IF($C$6="Laboral",$FZ$4:$GX$227,IF($C$6="Sábado",$FZ$231:$GX$452,$FZ$456:$GX$656)),VLOOKUP($C$4,$HF$2:$HH$99,3,0)+IF(AG$5="Ida",0,1),1),"")</f>
        <v/>
      </c>
      <c r="AO369" s="89">
        <f>IF(AE370&lt;&gt;AE369,AVERAGEIF(AE$9:AE369,AE369,AN$9:AN369),"")</f>
        <v/>
      </c>
      <c r="AP369" s="89">
        <f>IFERROR(IF(AE370&lt;&gt;AE369,AVERAGEIF(AE$9:AE369,AE369,AW$9:AW369),""),"")</f>
        <v/>
      </c>
      <c r="AQ369" s="89">
        <f>IFERROR(IF(AE370&lt;&gt;AE369,AVERAGEIF(AE$9:AE369,AE369,AX$9:AX369),""),"")</f>
        <v/>
      </c>
      <c r="AR369" s="89">
        <f t="array" ref="AR369">IFERROR(IF(AE370&lt;&gt;AE369,_xlfn.STDEV.P(IF(AE$9:AE369=AE369,AX$9:AX369)),""),"")</f>
        <v/>
      </c>
      <c r="AS369" s="89">
        <f t="array" ref="AS369">IFERROR(IF(AE370&lt;&gt;AE369,_xlfn.STDEV.P(IF(AE$9:AE369=AE369,AW$9:AW369)),""),"")</f>
        <v/>
      </c>
      <c r="AT369" s="90">
        <f>IFERROR(IF(AE369&lt;&gt;AE370,MAX((((AQ369*24*60)/2)*(1+POWER((((AR369*24*60) / (AQ369*24*60) )),2))) + ((AQ369*24*60 )*-0.1 + (AO369*0.015)) +1,(((AQ369*24*60)/2)*(1+POWER((((AR369*24*60) / (AQ369*24*60 ))),2)))),""),"")</f>
        <v/>
      </c>
      <c r="AU369" s="90">
        <f>IF(AND(AS369&lt;&gt;"",AP369&lt;&gt;""),IF(AE369&lt;&gt;AE370,((AP369*24*60) / 2 ) * (1 + POWER(((AS369*24*60) / (AP369*24*60)),2)),""),"")</f>
        <v/>
      </c>
      <c r="AV369" s="90">
        <f>IF(AU369&lt;&gt;"",MAX(AT369,AU369),"")</f>
        <v/>
      </c>
      <c r="AW369" s="89">
        <f>IF(AM369&lt;&gt;"H. Sale Real",IF(AND(AM370&lt;&gt;"",LEFT(AG370,2)&lt;&gt;"Va"),IF(AND(AM369&lt;&gt;"",LEFT(AG369,2)&lt;&gt;"Va",AM369&lt;&gt;"H. Sale Real"),IF(AM370-AM369&lt;0.208333333333333,AM370-AM369,""),IF(AND(AM368&lt;&gt;"",LEFT(AG368,2)&lt;&gt;"Va",AM368&lt;&gt;"H. Sale Real"),IF(AM370-AM368&lt;0.208333333333333,AM370-AM368,""),IF(AND(AM367&lt;&gt;"",LEFT(AG367,2)&lt;&gt;"Va",AM367&lt;&gt;"H. Sale Real"),IF(AM370-AM367&lt;0.208333333333333,AM370-AM367,""),IF(AND(AM366&lt;&gt;"",LEFT(AG366,2)&lt;&gt;"Va",AM366&lt;&gt;"H. Sale Real"),IF(AM370-AM366&lt;0.208333333333333,AM370-AM366,""),IF(AND(AM365&lt;&gt;"",LEFT(AG365,2)&lt;&gt;"Va",AM365&lt;&gt;"H. Sale Real"),IF(AM370-AM365&lt;0.208333333333333,AM370-AM365,""),""))))),""),"")</f>
        <v/>
      </c>
      <c r="AX369" s="89">
        <f>IF(AK369&lt;&gt;"H. Sale Real",IF(AND(AK370&lt;&gt;"",LEFT(AG370,2)&lt;&gt;"Va"),IF(AND(AK369&lt;&gt;"",LEFT(AG369,2)&lt;&gt;"Va",AK369&lt;&gt;"H. Sale Real"),IF(AK370-AK369&lt;0.208333333333333,AK370-AK369,""),IF(AND(AK368&lt;&gt;"",LEFT(AG368,2)&lt;&gt;"Va",AK368&lt;&gt;"H. Sale Real"),IF(AK370-AK368&lt;0.208333333333333,AK370-AK368,""),IF(AND(AK367&lt;&gt;"",LEFT(AG367,2)&lt;&gt;"NC",AK367&lt;&gt;"H. Sale Real"),IF(AK370-AK367&lt;0.208333333333333,AK370-AK367,""),IF(AND(AK366&lt;&gt;"",LEFT(AG366,2)&lt;&gt;"Va",AK366&lt;&gt;"H. Sale Real"),IF(AK370-AK366&lt;0.208333333333333,AK370-AK366,""),IF(AND(AK365&lt;&gt;"",LEFT(AG365,2)&lt;&gt;"Va",AK365&lt;&gt;"H. Sale Real"),IF(AK370-AK365&lt;0.208333333333333,AK370-AK365,""),""))))),""),"")</f>
        <v/>
      </c>
      <c r="AY369" s="87" t="n"/>
      <c r="AZ369" s="89" t="n"/>
      <c r="BA369" s="87" t="n"/>
      <c r="BB369" s="89" t="n"/>
      <c r="BC369" s="91" t="n"/>
      <c r="BD369" s="122">
        <f>IF(AK369&lt;&gt;"",IF(AND(BD368&lt;&gt;"IE",AT369&lt;&gt;0,AV369&lt;&gt;""),IF(IFERROR((AT369/AV369),0) &lt;=1,IFERROR(AT369/AV369,""),1),""),"")</f>
        <v/>
      </c>
      <c r="BE369" s="93" t="n"/>
      <c r="BF369" s="105" t="n"/>
      <c r="FC369" t="inlineStr">
        <is>
          <t>Diccionario 1</t>
        </is>
      </c>
      <c r="FD369" s="15" t="n">
        <v>1368</v>
      </c>
      <c r="FE369" s="15" t="inlineStr">
        <is>
          <t>MDN35025010249</t>
        </is>
      </c>
      <c r="FF369" s="15" t="inlineStr">
        <is>
          <t>LDYECS31XS0044092</t>
        </is>
      </c>
      <c r="FG369" s="15" t="inlineStr">
        <is>
          <t>Zhong Tong</t>
        </is>
      </c>
      <c r="FH369" s="15" t="inlineStr">
        <is>
          <t>Lck6122evg</t>
        </is>
      </c>
      <c r="FI369" s="15" t="inlineStr">
        <is>
          <t>ZHONGTONG</t>
        </is>
      </c>
      <c r="FJ369" s="15" t="inlineStr">
        <is>
          <t>LCK6122EVG</t>
        </is>
      </c>
      <c r="FK369" s="15" t="n">
        <v>2025</v>
      </c>
      <c r="FL369" s="15" t="inlineStr">
        <is>
          <t>B</t>
        </is>
      </c>
      <c r="FM369" s="15" t="inlineStr">
        <is>
          <t>PIE ANDINO</t>
        </is>
      </c>
      <c r="FN369" s="15" t="inlineStr">
        <is>
          <t>Pie Andino 31 (Pie Andino 383)</t>
        </is>
      </c>
      <c r="FO369" s="15" t="inlineStr">
        <is>
          <t>Puente Alto</t>
        </is>
      </c>
      <c r="FP369" t="inlineStr">
        <is>
          <t>B</t>
        </is>
      </c>
      <c r="FS369" s="14" t="inlineStr">
        <is>
          <t>3097 / SFWZ-77|</t>
        </is>
      </c>
      <c r="FT369" t="inlineStr">
        <is>
          <t>SFWZ-77|</t>
        </is>
      </c>
      <c r="FU369" t="inlineStr">
        <is>
          <t>SFWZ-77</t>
        </is>
      </c>
      <c r="FV369">
        <f>VLOOKUP(FU369,FD:FL,9,0)</f>
        <v/>
      </c>
      <c r="HA369" s="35" t="n">
        <v>139</v>
      </c>
      <c r="HB369" s="35" t="n">
        <v>363</v>
      </c>
    </row>
    <row r="370" ht="15.5" customHeight="1">
      <c r="A370" s="10">
        <f>HOUR(G370)+1</f>
        <v/>
      </c>
      <c r="B370" s="7" t="n"/>
      <c r="C370" s="7" t="n"/>
      <c r="D370" s="85">
        <f>IFERROR(
IF(AND(OR(Planilla!B370="C",Planilla!B370="c"), VLOOKUP(E370,FD:FP,13,0)="C"), "OK",IF(AND(OR(Planilla!B370="C",Planilla!B370="c"), OR(VLOOKUP(E370,FD:FP,13,0)="B", VLOOKUP(E370,FD:FP,13,0)="A")), "DEFICIT",IF(
AND(OR(Planilla!B370="B", Planilla!B370="BPAL"), VLOOKUP(E370,FD:FP,13,0)="B"), "OK",IF(AND(OR(Planilla!B370="B", Planilla!B370="BPAL"), VLOOKUP(E370,FD:FP,13,0)="A"), "DEFICIT",IF(AND(OR(Planilla!B370="B", Planilla!B370="BPAL"), VLOOKUP(E370,FD:FP,13,0)="C"), "SOBREOFERTA",IF(AND(Planilla!B370="A", VLOOKUP(E370,FD:FP,13,0)="A"), "OK",IF(
AND(Planilla!B370="A", OR(VLOOKUP(E370,FD:FP,13,0)="B", VLOOKUP(E370,FD:FP,13,0)="C")), "SOBREOFERTA",""
))))))),"")</f>
        <v/>
      </c>
      <c r="E370" s="8" t="n"/>
      <c r="F370" s="86" t="n"/>
      <c r="G370" s="87" t="n"/>
      <c r="H370" s="88">
        <f>IF(I370="","",IF(AND((I370-G370)&gt;=TIME(0,0,0),(I370-G370)&lt;TIME(0,3,0)),"OK",IF(AND((I370-G370)&gt;=TIME(0,3,0),(I370-G370)&lt;TIME(0,5,0)),"RETRASO DE 3-5 MIN",IF(AND((I370-G370)&gt;=TIME(0,5,0),(I370-G370)&lt;TIME(0,10,0)),"RETRASO DE 5-10 MIN",IF((I370-G370)&gt;=TIME(0,10,0),"RETRASO &gt;10 MIN", IF(AND((G370-I370)&gt;=TIME(0,0,0),(G370-I370)&lt;TIME(0,3,0)),"OK",IF((G370-I370)&gt;=TIME(0,3,0),"ADELANTADO")))))))</f>
        <v/>
      </c>
      <c r="I370" s="89" t="n"/>
      <c r="J370" s="89">
        <f>IF(A370&lt;&gt;"",HLOOKUP(VALUE(TEXT(G370,"h:mm:ss")),IF($C$6="Laboral",$FZ$4:$GX$227,IF($C$6="Sábado",$FZ$231:$GX$452,$FZ$456:$GX$656)),VLOOKUP($C$4,$HF$2:$HH$99,3,0)+IF(C$5="Ida",0,1),1),"")</f>
        <v/>
      </c>
      <c r="K370" s="89">
        <f>IF(A371&lt;&gt;A370,AVERAGEIF(A$9:A370,A370,J$9:J370),"")</f>
        <v/>
      </c>
      <c r="L370" s="89">
        <f>IFERROR(IF(A371&lt;&gt;A370,AVERAGEIF(A$9:A370,A370,S$9:S370),""),"")</f>
        <v/>
      </c>
      <c r="M370" s="89">
        <f>IFERROR(IF(A371&lt;&gt;A370,AVERAGEIF(A$9:A370,A370,T$9:T370),""),"")</f>
        <v/>
      </c>
      <c r="N370" s="89">
        <f t="array" ref="N370">IFERROR(IF(A371&lt;&gt;A370,_xlfn.STDEV.P(IF(A$9:A370=A370,T$9:T370)),""),"")</f>
        <v/>
      </c>
      <c r="O370" s="89">
        <f t="array" ref="O370">IFERROR(IF(A371&lt;&gt;A370,_xlfn.STDEV.P(IF(A$9:A370=A370,S$9:S370)),""),"")</f>
        <v/>
      </c>
      <c r="P370" s="90">
        <f>IFERROR(IF(A370&lt;&gt;A371,MAX((((M370*24*60)/2)*(1+POWER((((N370*24*60) / (M370*24*60) )),2))) + ((M370*24*60 )*-0.1 + (K370*0.015)) +1,(((M370*24*60)/2)*(1+POWER((((N370*24*60) / (M370*24*60 ))),2)))),""),"")</f>
        <v/>
      </c>
      <c r="Q370" s="90">
        <f>IF(AND(O370&lt;&gt;"",L370&lt;&gt;""),IF(A370&lt;&gt;A371,((L370*24*60) / 2 ) * (1 + POWER(((O370*24*60) / (L370*24*60)),2)),""),"")</f>
        <v/>
      </c>
      <c r="R370" s="90">
        <f>IF(Q370&lt;&gt;"",MAX(P370,Q370),"")</f>
        <v/>
      </c>
      <c r="S370" s="89">
        <f>IF(I370&lt;&gt;"H. Sale Real",IF(AND(I371&lt;&gt;"",LEFT(C371,2)&lt;&gt;"Va"),IF(AND(I370&lt;&gt;"",LEFT(C370,2)&lt;&gt;"Va",I370&lt;&gt;"H. Sale Real"),IF(I371-I370&lt;0.208333333333333,I371-I370,""),IF(AND(I369&lt;&gt;"",LEFT(C369,2)&lt;&gt;"Va",I369&lt;&gt;"H. Sale Real"),IF(I371-I369&lt;0.208333333333333,I371-I369,""),IF(AND(I368&lt;&gt;"",LEFT(C368,2)&lt;&gt;"Va",I368&lt;&gt;"H. Sale Real"),IF(I371-I368&lt;0.208333333333333,I371-I368,""),IF(AND(I367&lt;&gt;"",LEFT(C367,2)&lt;&gt;"Va",I367&lt;&gt;"H. Sale Real"),IF(I371-I367&lt;0.208333333333333,I371-I367,""),IF(AND(I366&lt;&gt;"",LEFT(C366,2)&lt;&gt;"Va",I366&lt;&gt;"H. Sale Real"),IF(I371-I366&lt;0.208333333333333,I371-I366,""),""))))),""),"")</f>
        <v/>
      </c>
      <c r="T370" s="89">
        <f>IF(G370&lt;&gt;"H. Sale Real",IF(AND(G371&lt;&gt;"",LEFT(C371,2)&lt;&gt;"Va"),IF(AND(G370&lt;&gt;"",LEFT(C370,2)&lt;&gt;"Va",G370&lt;&gt;"H. Sale Real"),IF(G371-G370&lt;0.208333333333333,G371-G370,""),IF(AND(G369&lt;&gt;"",LEFT(C369,2)&lt;&gt;"Va",G369&lt;&gt;"H. Sale Real"),IF(G371-G369&lt;0.208333333333333,G371-G369,""),IF(AND(G368&lt;&gt;"",LEFT(C368,2)&lt;&gt;"Va",G368&lt;&gt;"H. Sale Real"),IF(G371-G368&lt;0.208333333333333,G371-G368,""),IF(AND(G367&lt;&gt;"",LEFT(C367,2)&lt;&gt;"Va",G367&lt;&gt;"H. Sale Real"),IF(G371-G367&lt;0.208333333333333,G371-G367,""),IF(AND(G366&lt;&gt;"",LEFT(C366,2)&lt;&gt;"Va",G366&lt;&gt;"H. Sale Real"),IF(G371-G366&lt;0.208333333333333,G371-G366,""),""))))),""),"")</f>
        <v/>
      </c>
      <c r="U370" s="87" t="n"/>
      <c r="V370" s="89" t="n"/>
      <c r="W370" s="87" t="n"/>
      <c r="X370" s="89" t="n"/>
      <c r="Y370" s="91" t="n"/>
      <c r="Z370" s="122">
        <f>IF(G370&lt;&gt;"",IF(AND(Z369&lt;&gt;"IE",P370&lt;&gt;0,R370&lt;&gt;""),IF(IFERROR((P370/R370),0) &lt;=1,IFERROR(P370/R370,""),1),""),"")</f>
        <v/>
      </c>
      <c r="AA370" s="93" t="n"/>
      <c r="AB370" s="2" t="n"/>
      <c r="AE370" s="10">
        <f>HOUR(AK370)+1</f>
        <v/>
      </c>
      <c r="AF370" s="7" t="n"/>
      <c r="AG370" s="7" t="n"/>
      <c r="AH370" s="86" t="n"/>
      <c r="AI370" s="8" t="n"/>
      <c r="AJ370" s="86" t="n"/>
      <c r="AK370" s="87" t="n"/>
      <c r="AL370" s="88">
        <f>IF(AM370="","",IF(AND((AM370-AK370)&gt;=TIME(0,0,0),(AM370-AK370)&lt;TIME(0,3,0)),"OK",IF(AND((AM370-AK370)&gt;=TIME(0,3,0),(AM370-AK370)&lt;TIME(0,5,0)),"RETRASO DE 3-5 MIN",IF(AND((AM370-AK370)&gt;=TIME(0,5,0),(AM370-AK370)&lt;TIME(0,10,0)),"RETRASO DE 5-10 MIN",IF((AM370-AK370)&gt;=TIME(0,10,0),"RETRASO &gt;10 MIN", IF(AND((AK370-AM370)&gt;=TIME(0,0,0),(AK370-AM370)&lt;TIME(0,3,0)),"OK",IF((AK370-AM370)&gt;=TIME(0,3,0),"ADELANTADO")))))))</f>
        <v/>
      </c>
      <c r="AM370" s="91" t="n"/>
      <c r="AN370" s="89">
        <f>IF(AE370&lt;&gt;"",HLOOKUP(VALUE(TEXT(AK370,"h:mm:ss")),IF($C$6="Laboral",$FZ$4:$GX$227,IF($C$6="Sábado",$FZ$231:$GX$452,$FZ$456:$GX$656)),VLOOKUP($C$4,$HF$2:$HH$99,3,0)+IF(AG$5="Ida",0,1),1),"")</f>
        <v/>
      </c>
      <c r="AO370" s="89">
        <f>IF(AE371&lt;&gt;AE370,AVERAGEIF(AE$9:AE370,AE370,AN$9:AN370),"")</f>
        <v/>
      </c>
      <c r="AP370" s="89">
        <f>IFERROR(IF(AE371&lt;&gt;AE370,AVERAGEIF(AE$9:AE370,AE370,AW$9:AW370),""),"")</f>
        <v/>
      </c>
      <c r="AQ370" s="89">
        <f>IFERROR(IF(AE371&lt;&gt;AE370,AVERAGEIF(AE$9:AE370,AE370,AX$9:AX370),""),"")</f>
        <v/>
      </c>
      <c r="AR370" s="89">
        <f t="array" ref="AR370">IFERROR(IF(AE371&lt;&gt;AE370,_xlfn.STDEV.P(IF(AE$9:AE370=AE370,AX$9:AX370)),""),"")</f>
        <v/>
      </c>
      <c r="AS370" s="89">
        <f t="array" ref="AS370">IFERROR(IF(AE371&lt;&gt;AE370,_xlfn.STDEV.P(IF(AE$9:AE370=AE370,AW$9:AW370)),""),"")</f>
        <v/>
      </c>
      <c r="AT370" s="90">
        <f>IFERROR(IF(AE370&lt;&gt;AE371,MAX((((AQ370*24*60)/2)*(1+POWER((((AR370*24*60) / (AQ370*24*60) )),2))) + ((AQ370*24*60 )*-0.1 + (AO370*0.015)) +1,(((AQ370*24*60)/2)*(1+POWER((((AR370*24*60) / (AQ370*24*60 ))),2)))),""),"")</f>
        <v/>
      </c>
      <c r="AU370" s="90">
        <f>IF(AND(AS370&lt;&gt;"",AP370&lt;&gt;""),IF(AE370&lt;&gt;AE371,((AP370*24*60) / 2 ) * (1 + POWER(((AS370*24*60) / (AP370*24*60)),2)),""),"")</f>
        <v/>
      </c>
      <c r="AV370" s="90">
        <f>IF(AU370&lt;&gt;"",MAX(AT370,AU370),"")</f>
        <v/>
      </c>
      <c r="AW370" s="89">
        <f>IF(AM370&lt;&gt;"H. Sale Real",IF(AND(AM371&lt;&gt;"",LEFT(AG371,2)&lt;&gt;"Va"),IF(AND(AM370&lt;&gt;"",LEFT(AG370,2)&lt;&gt;"Va",AM370&lt;&gt;"H. Sale Real"),IF(AM371-AM370&lt;0.208333333333333,AM371-AM370,""),IF(AND(AM369&lt;&gt;"",LEFT(AG369,2)&lt;&gt;"Va",AM369&lt;&gt;"H. Sale Real"),IF(AM371-AM369&lt;0.208333333333333,AM371-AM369,""),IF(AND(AM368&lt;&gt;"",LEFT(AG368,2)&lt;&gt;"Va",AM368&lt;&gt;"H. Sale Real"),IF(AM371-AM368&lt;0.208333333333333,AM371-AM368,""),IF(AND(AM367&lt;&gt;"",LEFT(AG367,2)&lt;&gt;"Va",AM367&lt;&gt;"H. Sale Real"),IF(AM371-AM367&lt;0.208333333333333,AM371-AM367,""),IF(AND(AM366&lt;&gt;"",LEFT(AG366,2)&lt;&gt;"Va",AM366&lt;&gt;"H. Sale Real"),IF(AM371-AM366&lt;0.208333333333333,AM371-AM366,""),""))))),""),"")</f>
        <v/>
      </c>
      <c r="AX370" s="89">
        <f>IF(AK370&lt;&gt;"H. Sale Real",IF(AND(AK371&lt;&gt;"",LEFT(AG371,2)&lt;&gt;"Va"),IF(AND(AK370&lt;&gt;"",LEFT(AG370,2)&lt;&gt;"Va",AK370&lt;&gt;"H. Sale Real"),IF(AK371-AK370&lt;0.208333333333333,AK371-AK370,""),IF(AND(AK369&lt;&gt;"",LEFT(AG369,2)&lt;&gt;"Va",AK369&lt;&gt;"H. Sale Real"),IF(AK371-AK369&lt;0.208333333333333,AK371-AK369,""),IF(AND(AK368&lt;&gt;"",LEFT(AG368,2)&lt;&gt;"NC",AK368&lt;&gt;"H. Sale Real"),IF(AK371-AK368&lt;0.208333333333333,AK371-AK368,""),IF(AND(AK367&lt;&gt;"",LEFT(AG367,2)&lt;&gt;"Va",AK367&lt;&gt;"H. Sale Real"),IF(AK371-AK367&lt;0.208333333333333,AK371-AK367,""),IF(AND(AK366&lt;&gt;"",LEFT(AG366,2)&lt;&gt;"Va",AK366&lt;&gt;"H. Sale Real"),IF(AK371-AK366&lt;0.208333333333333,AK371-AK366,""),""))))),""),"")</f>
        <v/>
      </c>
      <c r="AY370" s="87" t="n"/>
      <c r="AZ370" s="89" t="n"/>
      <c r="BA370" s="87" t="n"/>
      <c r="BB370" s="89" t="n"/>
      <c r="BC370" s="91" t="n"/>
      <c r="BD370" s="122">
        <f>IF(AK370&lt;&gt;"",IF(AND(BD369&lt;&gt;"IE",AT370&lt;&gt;0,AV370&lt;&gt;""),IF(IFERROR((AT370/AV370),0) &lt;=1,IFERROR(AT370/AV370,""),1),""),"")</f>
        <v/>
      </c>
      <c r="BE370" s="93" t="n"/>
      <c r="BF370" s="105" t="n"/>
      <c r="FC370" t="inlineStr">
        <is>
          <t>Diccionario 1</t>
        </is>
      </c>
      <c r="FD370" s="15" t="n">
        <v>1369</v>
      </c>
      <c r="FE370" s="15" t="inlineStr">
        <is>
          <t>MDN35025020118</t>
        </is>
      </c>
      <c r="FF370" s="15" t="inlineStr">
        <is>
          <t>LDYECS317S0044096</t>
        </is>
      </c>
      <c r="FG370" s="15" t="inlineStr">
        <is>
          <t>Zhong Tong</t>
        </is>
      </c>
      <c r="FH370" s="15" t="inlineStr">
        <is>
          <t>Lck6122evg</t>
        </is>
      </c>
      <c r="FI370" s="15" t="inlineStr">
        <is>
          <t>ZHONGTONG</t>
        </is>
      </c>
      <c r="FJ370" s="15" t="inlineStr">
        <is>
          <t>LCK6122EVG</t>
        </is>
      </c>
      <c r="FK370" s="15" t="n">
        <v>2025</v>
      </c>
      <c r="FL370" s="15" t="inlineStr">
        <is>
          <t>B</t>
        </is>
      </c>
      <c r="FM370" s="15" t="inlineStr">
        <is>
          <t>SAN ALFONSO</t>
        </is>
      </c>
      <c r="FN370" s="15" t="inlineStr">
        <is>
          <t>San Alfonso 2141 (Ramón Subercaseaux 3060)</t>
        </is>
      </c>
      <c r="FO370" s="15" t="inlineStr">
        <is>
          <t>Estacion Central</t>
        </is>
      </c>
      <c r="FP370" t="inlineStr">
        <is>
          <t>B</t>
        </is>
      </c>
      <c r="FS370" s="14" t="inlineStr">
        <is>
          <t>3097 / SFWZ-77|</t>
        </is>
      </c>
      <c r="FT370" t="inlineStr">
        <is>
          <t>SFWZ-77|</t>
        </is>
      </c>
      <c r="FU370" t="inlineStr">
        <is>
          <t>SFWZ-77</t>
        </is>
      </c>
      <c r="FV370">
        <f>VLOOKUP(FU370,FD:FL,9,0)</f>
        <v/>
      </c>
      <c r="HA370" s="35" t="n">
        <v>140</v>
      </c>
      <c r="HB370" s="35" t="n">
        <v>364</v>
      </c>
    </row>
    <row r="371" ht="15.5" customHeight="1">
      <c r="A371" s="10">
        <f>HOUR(G371)+1</f>
        <v/>
      </c>
      <c r="B371" s="7" t="n"/>
      <c r="C371" s="7" t="n"/>
      <c r="D371" s="85">
        <f>IFERROR(
IF(AND(OR(Planilla!B371="C",Planilla!B371="c"), VLOOKUP(E371,FD:FP,13,0)="C"), "OK",IF(AND(OR(Planilla!B371="C",Planilla!B371="c"), OR(VLOOKUP(E371,FD:FP,13,0)="B", VLOOKUP(E371,FD:FP,13,0)="A")), "DEFICIT",IF(
AND(OR(Planilla!B371="B", Planilla!B371="BPAL"), VLOOKUP(E371,FD:FP,13,0)="B"), "OK",IF(AND(OR(Planilla!B371="B", Planilla!B371="BPAL"), VLOOKUP(E371,FD:FP,13,0)="A"), "DEFICIT",IF(AND(OR(Planilla!B371="B", Planilla!B371="BPAL"), VLOOKUP(E371,FD:FP,13,0)="C"), "SOBREOFERTA",IF(AND(Planilla!B371="A", VLOOKUP(E371,FD:FP,13,0)="A"), "OK",IF(
AND(Planilla!B371="A", OR(VLOOKUP(E371,FD:FP,13,0)="B", VLOOKUP(E371,FD:FP,13,0)="C")), "SOBREOFERTA",""
))))))),"")</f>
        <v/>
      </c>
      <c r="E371" s="8" t="n"/>
      <c r="F371" s="86" t="n"/>
      <c r="G371" s="87" t="n"/>
      <c r="H371" s="88">
        <f>IF(I371="","",IF(AND((I371-G371)&gt;=TIME(0,0,0),(I371-G371)&lt;TIME(0,3,0)),"OK",IF(AND((I371-G371)&gt;=TIME(0,3,0),(I371-G371)&lt;TIME(0,5,0)),"RETRASO DE 3-5 MIN",IF(AND((I371-G371)&gt;=TIME(0,5,0),(I371-G371)&lt;TIME(0,10,0)),"RETRASO DE 5-10 MIN",IF((I371-G371)&gt;=TIME(0,10,0),"RETRASO &gt;10 MIN", IF(AND((G371-I371)&gt;=TIME(0,0,0),(G371-I371)&lt;TIME(0,3,0)),"OK",IF((G371-I371)&gt;=TIME(0,3,0),"ADELANTADO")))))))</f>
        <v/>
      </c>
      <c r="I371" s="89" t="n"/>
      <c r="J371" s="89">
        <f>IF(A371&lt;&gt;"",HLOOKUP(VALUE(TEXT(G371,"h:mm:ss")),IF($C$6="Laboral",$FZ$4:$GX$227,IF($C$6="Sábado",$FZ$231:$GX$452,$FZ$456:$GX$656)),VLOOKUP($C$4,$HF$2:$HH$99,3,0)+IF(C$5="Ida",0,1),1),"")</f>
        <v/>
      </c>
      <c r="K371" s="89">
        <f>IF(A372&lt;&gt;A371,AVERAGEIF(A$9:A371,A371,J$9:J371),"")</f>
        <v/>
      </c>
      <c r="L371" s="89">
        <f>IFERROR(IF(A372&lt;&gt;A371,AVERAGEIF(A$9:A371,A371,S$9:S371),""),"")</f>
        <v/>
      </c>
      <c r="M371" s="89">
        <f>IFERROR(IF(A372&lt;&gt;A371,AVERAGEIF(A$9:A371,A371,T$9:T371),""),"")</f>
        <v/>
      </c>
      <c r="N371" s="89">
        <f t="array" ref="N371">IFERROR(IF(A372&lt;&gt;A371,_xlfn.STDEV.P(IF(A$9:A371=A371,T$9:T371)),""),"")</f>
        <v/>
      </c>
      <c r="O371" s="89">
        <f t="array" ref="O371">IFERROR(IF(A372&lt;&gt;A371,_xlfn.STDEV.P(IF(A$9:A371=A371,S$9:S371)),""),"")</f>
        <v/>
      </c>
      <c r="P371" s="90">
        <f>IFERROR(IF(A371&lt;&gt;A372,MAX((((M371*24*60)/2)*(1+POWER((((N371*24*60) / (M371*24*60) )),2))) + ((M371*24*60 )*-0.1 + (K371*0.015)) +1,(((M371*24*60)/2)*(1+POWER((((N371*24*60) / (M371*24*60 ))),2)))),""),"")</f>
        <v/>
      </c>
      <c r="Q371" s="90">
        <f>IF(AND(O371&lt;&gt;"",L371&lt;&gt;""),IF(A371&lt;&gt;A372,((L371*24*60) / 2 ) * (1 + POWER(((O371*24*60) / (L371*24*60)),2)),""),"")</f>
        <v/>
      </c>
      <c r="R371" s="90">
        <f>IF(Q371&lt;&gt;"",MAX(P371,Q371),"")</f>
        <v/>
      </c>
      <c r="S371" s="89">
        <f>IF(I371&lt;&gt;"H. Sale Real",IF(AND(I372&lt;&gt;"",LEFT(C372,2)&lt;&gt;"Va"),IF(AND(I371&lt;&gt;"",LEFT(C371,2)&lt;&gt;"Va",I371&lt;&gt;"H. Sale Real"),IF(I372-I371&lt;0.208333333333333,I372-I371,""),IF(AND(I370&lt;&gt;"",LEFT(C370,2)&lt;&gt;"Va",I370&lt;&gt;"H. Sale Real"),IF(I372-I370&lt;0.208333333333333,I372-I370,""),IF(AND(I369&lt;&gt;"",LEFT(C369,2)&lt;&gt;"Va",I369&lt;&gt;"H. Sale Real"),IF(I372-I369&lt;0.208333333333333,I372-I369,""),IF(AND(I368&lt;&gt;"",LEFT(C368,2)&lt;&gt;"Va",I368&lt;&gt;"H. Sale Real"),IF(I372-I368&lt;0.208333333333333,I372-I368,""),IF(AND(I367&lt;&gt;"",LEFT(C367,2)&lt;&gt;"Va",I367&lt;&gt;"H. Sale Real"),IF(I372-I367&lt;0.208333333333333,I372-I367,""),""))))),""),"")</f>
        <v/>
      </c>
      <c r="T371" s="89">
        <f>IF(G371&lt;&gt;"H. Sale Real",IF(AND(G372&lt;&gt;"",LEFT(C372,2)&lt;&gt;"Va"),IF(AND(G371&lt;&gt;"",LEFT(C371,2)&lt;&gt;"Va",G371&lt;&gt;"H. Sale Real"),IF(G372-G371&lt;0.208333333333333,G372-G371,""),IF(AND(G370&lt;&gt;"",LEFT(C370,2)&lt;&gt;"Va",G370&lt;&gt;"H. Sale Real"),IF(G372-G370&lt;0.208333333333333,G372-G370,""),IF(AND(G369&lt;&gt;"",LEFT(C369,2)&lt;&gt;"Va",G369&lt;&gt;"H. Sale Real"),IF(G372-G369&lt;0.208333333333333,G372-G369,""),IF(AND(G368&lt;&gt;"",LEFT(C368,2)&lt;&gt;"Va",G368&lt;&gt;"H. Sale Real"),IF(G372-G368&lt;0.208333333333333,G372-G368,""),IF(AND(G367&lt;&gt;"",LEFT(C367,2)&lt;&gt;"Va",G367&lt;&gt;"H. Sale Real"),IF(G372-G367&lt;0.208333333333333,G372-G367,""),""))))),""),"")</f>
        <v/>
      </c>
      <c r="U371" s="87" t="n"/>
      <c r="V371" s="89" t="n"/>
      <c r="W371" s="87" t="n"/>
      <c r="X371" s="89" t="n"/>
      <c r="Y371" s="91" t="n"/>
      <c r="Z371" s="122">
        <f>IF(G371&lt;&gt;"",IF(AND(Z370&lt;&gt;"IE",P371&lt;&gt;0,R371&lt;&gt;""),IF(IFERROR((P371/R371),0) &lt;=1,IFERROR(P371/R371,""),1),""),"")</f>
        <v/>
      </c>
      <c r="AA371" s="93" t="n"/>
      <c r="AB371" s="2" t="n"/>
      <c r="AE371" s="10">
        <f>HOUR(AK371)+1</f>
        <v/>
      </c>
      <c r="AF371" s="7" t="n"/>
      <c r="AG371" s="7" t="n"/>
      <c r="AH371" s="86" t="n"/>
      <c r="AI371" s="8" t="n"/>
      <c r="AJ371" s="86" t="n"/>
      <c r="AK371" s="87" t="n"/>
      <c r="AL371" s="88">
        <f>IF(AM371="","",IF(AND((AM371-AK371)&gt;=TIME(0,0,0),(AM371-AK371)&lt;TIME(0,3,0)),"OK",IF(AND((AM371-AK371)&gt;=TIME(0,3,0),(AM371-AK371)&lt;TIME(0,5,0)),"RETRASO DE 3-5 MIN",IF(AND((AM371-AK371)&gt;=TIME(0,5,0),(AM371-AK371)&lt;TIME(0,10,0)),"RETRASO DE 5-10 MIN",IF((AM371-AK371)&gt;=TIME(0,10,0),"RETRASO &gt;10 MIN", IF(AND((AK371-AM371)&gt;=TIME(0,0,0),(AK371-AM371)&lt;TIME(0,3,0)),"OK",IF((AK371-AM371)&gt;=TIME(0,3,0),"ADELANTADO")))))))</f>
        <v/>
      </c>
      <c r="AM371" s="91" t="n"/>
      <c r="AN371" s="89">
        <f>IF(AE371&lt;&gt;"",HLOOKUP(VALUE(TEXT(AK371,"h:mm:ss")),IF($C$6="Laboral",$FZ$4:$GX$227,IF($C$6="Sábado",$FZ$231:$GX$452,$FZ$456:$GX$656)),VLOOKUP($C$4,$HF$2:$HH$99,3,0)+IF(AG$5="Ida",0,1),1),"")</f>
        <v/>
      </c>
      <c r="AO371" s="89">
        <f>IF(AE372&lt;&gt;AE371,AVERAGEIF(AE$9:AE371,AE371,AN$9:AN371),"")</f>
        <v/>
      </c>
      <c r="AP371" s="89">
        <f>IFERROR(IF(AE372&lt;&gt;AE371,AVERAGEIF(AE$9:AE371,AE371,AW$9:AW371),""),"")</f>
        <v/>
      </c>
      <c r="AQ371" s="89">
        <f>IFERROR(IF(AE372&lt;&gt;AE371,AVERAGEIF(AE$9:AE371,AE371,AX$9:AX371),""),"")</f>
        <v/>
      </c>
      <c r="AR371" s="89">
        <f t="array" ref="AR371">IFERROR(IF(AE372&lt;&gt;AE371,_xlfn.STDEV.P(IF(AE$9:AE371=AE371,AX$9:AX371)),""),"")</f>
        <v/>
      </c>
      <c r="AS371" s="89">
        <f t="array" ref="AS371">IFERROR(IF(AE372&lt;&gt;AE371,_xlfn.STDEV.P(IF(AE$9:AE371=AE371,AW$9:AW371)),""),"")</f>
        <v/>
      </c>
      <c r="AT371" s="90">
        <f>IFERROR(IF(AE371&lt;&gt;AE372,MAX((((AQ371*24*60)/2)*(1+POWER((((AR371*24*60) / (AQ371*24*60) )),2))) + ((AQ371*24*60 )*-0.1 + (AO371*0.015)) +1,(((AQ371*24*60)/2)*(1+POWER((((AR371*24*60) / (AQ371*24*60 ))),2)))),""),"")</f>
        <v/>
      </c>
      <c r="AU371" s="90">
        <f>IF(AND(AS371&lt;&gt;"",AP371&lt;&gt;""),IF(AE371&lt;&gt;AE372,((AP371*24*60) / 2 ) * (1 + POWER(((AS371*24*60) / (AP371*24*60)),2)),""),"")</f>
        <v/>
      </c>
      <c r="AV371" s="90">
        <f>IF(AU371&lt;&gt;"",MAX(AT371,AU371),"")</f>
        <v/>
      </c>
      <c r="AW371" s="89">
        <f>IF(AM371&lt;&gt;"H. Sale Real",IF(AND(AM372&lt;&gt;"",LEFT(AG372,2)&lt;&gt;"Va"),IF(AND(AM371&lt;&gt;"",LEFT(AG371,2)&lt;&gt;"Va",AM371&lt;&gt;"H. Sale Real"),IF(AM372-AM371&lt;0.208333333333333,AM372-AM371,""),IF(AND(AM370&lt;&gt;"",LEFT(AG370,2)&lt;&gt;"Va",AM370&lt;&gt;"H. Sale Real"),IF(AM372-AM370&lt;0.208333333333333,AM372-AM370,""),IF(AND(AM369&lt;&gt;"",LEFT(AG369,2)&lt;&gt;"Va",AM369&lt;&gt;"H. Sale Real"),IF(AM372-AM369&lt;0.208333333333333,AM372-AM369,""),IF(AND(AM368&lt;&gt;"",LEFT(AG368,2)&lt;&gt;"Va",AM368&lt;&gt;"H. Sale Real"),IF(AM372-AM368&lt;0.208333333333333,AM372-AM368,""),IF(AND(AM367&lt;&gt;"",LEFT(AG367,2)&lt;&gt;"Va",AM367&lt;&gt;"H. Sale Real"),IF(AM372-AM367&lt;0.208333333333333,AM372-AM367,""),""))))),""),"")</f>
        <v/>
      </c>
      <c r="AX371" s="89">
        <f>IF(AK371&lt;&gt;"H. Sale Real",IF(AND(AK372&lt;&gt;"",LEFT(AG372,2)&lt;&gt;"Va"),IF(AND(AK371&lt;&gt;"",LEFT(AG371,2)&lt;&gt;"Va",AK371&lt;&gt;"H. Sale Real"),IF(AK372-AK371&lt;0.208333333333333,AK372-AK371,""),IF(AND(AK370&lt;&gt;"",LEFT(AG370,2)&lt;&gt;"Va",AK370&lt;&gt;"H. Sale Real"),IF(AK372-AK370&lt;0.208333333333333,AK372-AK370,""),IF(AND(AK369&lt;&gt;"",LEFT(AG369,2)&lt;&gt;"NC",AK369&lt;&gt;"H. Sale Real"),IF(AK372-AK369&lt;0.208333333333333,AK372-AK369,""),IF(AND(AK368&lt;&gt;"",LEFT(AG368,2)&lt;&gt;"Va",AK368&lt;&gt;"H. Sale Real"),IF(AK372-AK368&lt;0.208333333333333,AK372-AK368,""),IF(AND(AK367&lt;&gt;"",LEFT(AG367,2)&lt;&gt;"Va",AK367&lt;&gt;"H. Sale Real"),IF(AK372-AK367&lt;0.208333333333333,AK372-AK367,""),""))))),""),"")</f>
        <v/>
      </c>
      <c r="AY371" s="87" t="n"/>
      <c r="AZ371" s="89" t="n"/>
      <c r="BA371" s="87" t="n"/>
      <c r="BB371" s="89" t="n"/>
      <c r="BC371" s="91" t="n"/>
      <c r="BD371" s="122">
        <f>IF(AK371&lt;&gt;"",IF(AND(BD370&lt;&gt;"IE",AT371&lt;&gt;0,AV371&lt;&gt;""),IF(IFERROR((AT371/AV371),0) &lt;=1,IFERROR(AT371/AV371,""),1),""),"")</f>
        <v/>
      </c>
      <c r="BE371" s="93" t="n"/>
      <c r="BF371" s="105" t="n"/>
      <c r="FC371" t="inlineStr">
        <is>
          <t>Diccionario 1</t>
        </is>
      </c>
      <c r="FD371" s="15" t="n">
        <v>1370</v>
      </c>
      <c r="FE371" s="15" t="inlineStr">
        <is>
          <t>MDN35025010242</t>
        </is>
      </c>
      <c r="FF371" s="15" t="inlineStr">
        <is>
          <t>LDYECS317S0044101</t>
        </is>
      </c>
      <c r="FG371" s="15" t="inlineStr">
        <is>
          <t>Zhong Tong</t>
        </is>
      </c>
      <c r="FH371" s="15" t="inlineStr">
        <is>
          <t>Lck6122evg</t>
        </is>
      </c>
      <c r="FI371" s="15" t="inlineStr">
        <is>
          <t>ZHONGTONG</t>
        </is>
      </c>
      <c r="FJ371" s="15" t="inlineStr">
        <is>
          <t>LCK6122EVG</t>
        </is>
      </c>
      <c r="FK371" s="15" t="n">
        <v>2025</v>
      </c>
      <c r="FL371" s="15" t="inlineStr">
        <is>
          <t>B</t>
        </is>
      </c>
      <c r="FM371" s="15" t="inlineStr">
        <is>
          <t>SAN ALFONSO</t>
        </is>
      </c>
      <c r="FN371" s="15" t="inlineStr">
        <is>
          <t>San Alfonso 2141 (Ramón Subercaseaux 3060)</t>
        </is>
      </c>
      <c r="FO371" s="15" t="inlineStr">
        <is>
          <t>Estacion Central</t>
        </is>
      </c>
      <c r="FP371" t="inlineStr">
        <is>
          <t>B</t>
        </is>
      </c>
      <c r="FS371" s="14" t="inlineStr">
        <is>
          <t>3097 / SFWZ-77|</t>
        </is>
      </c>
      <c r="FT371" t="inlineStr">
        <is>
          <t>SFWZ-77|</t>
        </is>
      </c>
      <c r="FU371" t="inlineStr">
        <is>
          <t>SFWZ-77</t>
        </is>
      </c>
      <c r="FV371">
        <f>VLOOKUP(FU371,FD:FL,9,0)</f>
        <v/>
      </c>
      <c r="HA371" s="35" t="n">
        <v>141</v>
      </c>
      <c r="HB371" s="35" t="n">
        <v>365</v>
      </c>
    </row>
    <row r="372" ht="15.5" customHeight="1">
      <c r="A372" s="10">
        <f>HOUR(G372)+1</f>
        <v/>
      </c>
      <c r="B372" s="7" t="n"/>
      <c r="C372" s="7" t="n"/>
      <c r="D372" s="85">
        <f>IFERROR(
IF(AND(OR(Planilla!B372="C",Planilla!B372="c"), VLOOKUP(E372,FD:FP,13,0)="C"), "OK",IF(AND(OR(Planilla!B372="C",Planilla!B372="c"), OR(VLOOKUP(E372,FD:FP,13,0)="B", VLOOKUP(E372,FD:FP,13,0)="A")), "DEFICIT",IF(
AND(OR(Planilla!B372="B", Planilla!B372="BPAL"), VLOOKUP(E372,FD:FP,13,0)="B"), "OK",IF(AND(OR(Planilla!B372="B", Planilla!B372="BPAL"), VLOOKUP(E372,FD:FP,13,0)="A"), "DEFICIT",IF(AND(OR(Planilla!B372="B", Planilla!B372="BPAL"), VLOOKUP(E372,FD:FP,13,0)="C"), "SOBREOFERTA",IF(AND(Planilla!B372="A", VLOOKUP(E372,FD:FP,13,0)="A"), "OK",IF(
AND(Planilla!B372="A", OR(VLOOKUP(E372,FD:FP,13,0)="B", VLOOKUP(E372,FD:FP,13,0)="C")), "SOBREOFERTA",""
))))))),"")</f>
        <v/>
      </c>
      <c r="E372" s="8" t="n"/>
      <c r="F372" s="86" t="n"/>
      <c r="G372" s="87" t="n"/>
      <c r="H372" s="88">
        <f>IF(I372="","",IF(AND((I372-G372)&gt;=TIME(0,0,0),(I372-G372)&lt;TIME(0,3,0)),"OK",IF(AND((I372-G372)&gt;=TIME(0,3,0),(I372-G372)&lt;TIME(0,5,0)),"RETRASO DE 3-5 MIN",IF(AND((I372-G372)&gt;=TIME(0,5,0),(I372-G372)&lt;TIME(0,10,0)),"RETRASO DE 5-10 MIN",IF((I372-G372)&gt;=TIME(0,10,0),"RETRASO &gt;10 MIN", IF(AND((G372-I372)&gt;=TIME(0,0,0),(G372-I372)&lt;TIME(0,3,0)),"OK",IF((G372-I372)&gt;=TIME(0,3,0),"ADELANTADO")))))))</f>
        <v/>
      </c>
      <c r="I372" s="89" t="n"/>
      <c r="J372" s="89">
        <f>IF(A372&lt;&gt;"",HLOOKUP(VALUE(TEXT(G372,"h:mm:ss")),IF($C$6="Laboral",$FZ$4:$GX$227,IF($C$6="Sábado",$FZ$231:$GX$452,$FZ$456:$GX$656)),VLOOKUP($C$4,$HF$2:$HH$99,3,0)+IF(C$5="Ida",0,1),1),"")</f>
        <v/>
      </c>
      <c r="K372" s="89">
        <f>IF(A373&lt;&gt;A372,AVERAGEIF(A$9:A372,A372,J$9:J372),"")</f>
        <v/>
      </c>
      <c r="L372" s="89">
        <f>IFERROR(IF(A373&lt;&gt;A372,AVERAGEIF(A$9:A372,A372,S$9:S372),""),"")</f>
        <v/>
      </c>
      <c r="M372" s="89">
        <f>IFERROR(IF(A373&lt;&gt;A372,AVERAGEIF(A$9:A372,A372,T$9:T372),""),"")</f>
        <v/>
      </c>
      <c r="N372" s="89">
        <f t="array" ref="N372">IFERROR(IF(A373&lt;&gt;A372,_xlfn.STDEV.P(IF(A$9:A372=A372,T$9:T372)),""),"")</f>
        <v/>
      </c>
      <c r="O372" s="89">
        <f t="array" ref="O372">IFERROR(IF(A373&lt;&gt;A372,_xlfn.STDEV.P(IF(A$9:A372=A372,S$9:S372)),""),"")</f>
        <v/>
      </c>
      <c r="P372" s="90">
        <f>IFERROR(IF(A372&lt;&gt;A373,MAX((((M372*24*60)/2)*(1+POWER((((N372*24*60) / (M372*24*60) )),2))) + ((M372*24*60 )*-0.1 + (K372*0.015)) +1,(((M372*24*60)/2)*(1+POWER((((N372*24*60) / (M372*24*60 ))),2)))),""),"")</f>
        <v/>
      </c>
      <c r="Q372" s="90">
        <f>IF(AND(O372&lt;&gt;"",L372&lt;&gt;""),IF(A372&lt;&gt;A373,((L372*24*60) / 2 ) * (1 + POWER(((O372*24*60) / (L372*24*60)),2)),""),"")</f>
        <v/>
      </c>
      <c r="R372" s="90">
        <f>IF(Q372&lt;&gt;"",MAX(P372,Q372),"")</f>
        <v/>
      </c>
      <c r="S372" s="89">
        <f>IF(I372&lt;&gt;"H. Sale Real",IF(AND(I373&lt;&gt;"",LEFT(C373,2)&lt;&gt;"Va"),IF(AND(I372&lt;&gt;"",LEFT(C372,2)&lt;&gt;"Va",I372&lt;&gt;"H. Sale Real"),IF(I373-I372&lt;0.208333333333333,I373-I372,""),IF(AND(I371&lt;&gt;"",LEFT(C371,2)&lt;&gt;"Va",I371&lt;&gt;"H. Sale Real"),IF(I373-I371&lt;0.208333333333333,I373-I371,""),IF(AND(I370&lt;&gt;"",LEFT(C370,2)&lt;&gt;"Va",I370&lt;&gt;"H. Sale Real"),IF(I373-I370&lt;0.208333333333333,I373-I370,""),IF(AND(I369&lt;&gt;"",LEFT(C369,2)&lt;&gt;"Va",I369&lt;&gt;"H. Sale Real"),IF(I373-I369&lt;0.208333333333333,I373-I369,""),IF(AND(I368&lt;&gt;"",LEFT(C368,2)&lt;&gt;"Va",I368&lt;&gt;"H. Sale Real"),IF(I373-I368&lt;0.208333333333333,I373-I368,""),""))))),""),"")</f>
        <v/>
      </c>
      <c r="T372" s="89">
        <f>IF(G372&lt;&gt;"H. Sale Real",IF(AND(G373&lt;&gt;"",LEFT(C373,2)&lt;&gt;"Va"),IF(AND(G372&lt;&gt;"",LEFT(C372,2)&lt;&gt;"Va",G372&lt;&gt;"H. Sale Real"),IF(G373-G372&lt;0.208333333333333,G373-G372,""),IF(AND(G371&lt;&gt;"",LEFT(C371,2)&lt;&gt;"Va",G371&lt;&gt;"H. Sale Real"),IF(G373-G371&lt;0.208333333333333,G373-G371,""),IF(AND(G370&lt;&gt;"",LEFT(C370,2)&lt;&gt;"Va",G370&lt;&gt;"H. Sale Real"),IF(G373-G370&lt;0.208333333333333,G373-G370,""),IF(AND(G369&lt;&gt;"",LEFT(C369,2)&lt;&gt;"Va",G369&lt;&gt;"H. Sale Real"),IF(G373-G369&lt;0.208333333333333,G373-G369,""),IF(AND(G368&lt;&gt;"",LEFT(C368,2)&lt;&gt;"Va",G368&lt;&gt;"H. Sale Real"),IF(G373-G368&lt;0.208333333333333,G373-G368,""),""))))),""),"")</f>
        <v/>
      </c>
      <c r="U372" s="87" t="n"/>
      <c r="V372" s="89" t="n"/>
      <c r="W372" s="87" t="n"/>
      <c r="X372" s="89" t="n"/>
      <c r="Y372" s="91" t="n"/>
      <c r="Z372" s="122">
        <f>IF(G372&lt;&gt;"",IF(AND(Z371&lt;&gt;"IE",P372&lt;&gt;0,R372&lt;&gt;""),IF(IFERROR((P372/R372),0) &lt;=1,IFERROR(P372/R372,""),1),""),"")</f>
        <v/>
      </c>
      <c r="AA372" s="93" t="n"/>
      <c r="AB372" s="2" t="n"/>
      <c r="AE372" s="10">
        <f>HOUR(AK372)+1</f>
        <v/>
      </c>
      <c r="AF372" s="7" t="n"/>
      <c r="AG372" s="7" t="n"/>
      <c r="AH372" s="86" t="n"/>
      <c r="AI372" s="8" t="n"/>
      <c r="AJ372" s="86" t="n"/>
      <c r="AK372" s="87" t="n"/>
      <c r="AL372" s="88">
        <f>IF(AM372="","",IF(AND((AM372-AK372)&gt;=TIME(0,0,0),(AM372-AK372)&lt;TIME(0,3,0)),"OK",IF(AND((AM372-AK372)&gt;=TIME(0,3,0),(AM372-AK372)&lt;TIME(0,5,0)),"RETRASO DE 3-5 MIN",IF(AND((AM372-AK372)&gt;=TIME(0,5,0),(AM372-AK372)&lt;TIME(0,10,0)),"RETRASO DE 5-10 MIN",IF((AM372-AK372)&gt;=TIME(0,10,0),"RETRASO &gt;10 MIN", IF(AND((AK372-AM372)&gt;=TIME(0,0,0),(AK372-AM372)&lt;TIME(0,3,0)),"OK",IF((AK372-AM372)&gt;=TIME(0,3,0),"ADELANTADO")))))))</f>
        <v/>
      </c>
      <c r="AM372" s="91" t="n"/>
      <c r="AN372" s="89">
        <f>IF(AE372&lt;&gt;"",HLOOKUP(VALUE(TEXT(AK372,"h:mm:ss")),IF($C$6="Laboral",$FZ$4:$GX$227,IF($C$6="Sábado",$FZ$231:$GX$452,$FZ$456:$GX$656)),VLOOKUP($C$4,$HF$2:$HH$99,3,0)+IF(AG$5="Ida",0,1),1),"")</f>
        <v/>
      </c>
      <c r="AO372" s="89">
        <f>IF(AE373&lt;&gt;AE372,AVERAGEIF(AE$9:AE372,AE372,AN$9:AN372),"")</f>
        <v/>
      </c>
      <c r="AP372" s="89">
        <f>IFERROR(IF(AE373&lt;&gt;AE372,AVERAGEIF(AE$9:AE372,AE372,AW$9:AW372),""),"")</f>
        <v/>
      </c>
      <c r="AQ372" s="89">
        <f>IFERROR(IF(AE373&lt;&gt;AE372,AVERAGEIF(AE$9:AE372,AE372,AX$9:AX372),""),"")</f>
        <v/>
      </c>
      <c r="AR372" s="89">
        <f t="array" ref="AR372">IFERROR(IF(AE373&lt;&gt;AE372,_xlfn.STDEV.P(IF(AE$9:AE372=AE372,AX$9:AX372)),""),"")</f>
        <v/>
      </c>
      <c r="AS372" s="89">
        <f t="array" ref="AS372">IFERROR(IF(AE373&lt;&gt;AE372,_xlfn.STDEV.P(IF(AE$9:AE372=AE372,AW$9:AW372)),""),"")</f>
        <v/>
      </c>
      <c r="AT372" s="90">
        <f>IFERROR(IF(AE372&lt;&gt;AE373,MAX((((AQ372*24*60)/2)*(1+POWER((((AR372*24*60) / (AQ372*24*60) )),2))) + ((AQ372*24*60 )*-0.1 + (AO372*0.015)) +1,(((AQ372*24*60)/2)*(1+POWER((((AR372*24*60) / (AQ372*24*60 ))),2)))),""),"")</f>
        <v/>
      </c>
      <c r="AU372" s="90">
        <f>IF(AND(AS372&lt;&gt;"",AP372&lt;&gt;""),IF(AE372&lt;&gt;AE373,((AP372*24*60) / 2 ) * (1 + POWER(((AS372*24*60) / (AP372*24*60)),2)),""),"")</f>
        <v/>
      </c>
      <c r="AV372" s="90">
        <f>IF(AU372&lt;&gt;"",MAX(AT372,AU372),"")</f>
        <v/>
      </c>
      <c r="AW372" s="89">
        <f>IF(AM372&lt;&gt;"H. Sale Real",IF(AND(AM373&lt;&gt;"",LEFT(AG373,2)&lt;&gt;"Va"),IF(AND(AM372&lt;&gt;"",LEFT(AG372,2)&lt;&gt;"Va",AM372&lt;&gt;"H. Sale Real"),IF(AM373-AM372&lt;0.208333333333333,AM373-AM372,""),IF(AND(AM371&lt;&gt;"",LEFT(AG371,2)&lt;&gt;"Va",AM371&lt;&gt;"H. Sale Real"),IF(AM373-AM371&lt;0.208333333333333,AM373-AM371,""),IF(AND(AM370&lt;&gt;"",LEFT(AG370,2)&lt;&gt;"Va",AM370&lt;&gt;"H. Sale Real"),IF(AM373-AM370&lt;0.208333333333333,AM373-AM370,""),IF(AND(AM369&lt;&gt;"",LEFT(AG369,2)&lt;&gt;"Va",AM369&lt;&gt;"H. Sale Real"),IF(AM373-AM369&lt;0.208333333333333,AM373-AM369,""),IF(AND(AM368&lt;&gt;"",LEFT(AG368,2)&lt;&gt;"Va",AM368&lt;&gt;"H. Sale Real"),IF(AM373-AM368&lt;0.208333333333333,AM373-AM368,""),""))))),""),"")</f>
        <v/>
      </c>
      <c r="AX372" s="89">
        <f>IF(AK372&lt;&gt;"H. Sale Real",IF(AND(AK373&lt;&gt;"",LEFT(AG373,2)&lt;&gt;"Va"),IF(AND(AK372&lt;&gt;"",LEFT(AG372,2)&lt;&gt;"Va",AK372&lt;&gt;"H. Sale Real"),IF(AK373-AK372&lt;0.208333333333333,AK373-AK372,""),IF(AND(AK371&lt;&gt;"",LEFT(AG371,2)&lt;&gt;"Va",AK371&lt;&gt;"H. Sale Real"),IF(AK373-AK371&lt;0.208333333333333,AK373-AK371,""),IF(AND(AK370&lt;&gt;"",LEFT(AG370,2)&lt;&gt;"NC",AK370&lt;&gt;"H. Sale Real"),IF(AK373-AK370&lt;0.208333333333333,AK373-AK370,""),IF(AND(AK369&lt;&gt;"",LEFT(AG369,2)&lt;&gt;"Va",AK369&lt;&gt;"H. Sale Real"),IF(AK373-AK369&lt;0.208333333333333,AK373-AK369,""),IF(AND(AK368&lt;&gt;"",LEFT(AG368,2)&lt;&gt;"Va",AK368&lt;&gt;"H. Sale Real"),IF(AK373-AK368&lt;0.208333333333333,AK373-AK368,""),""))))),""),"")</f>
        <v/>
      </c>
      <c r="AY372" s="87" t="n"/>
      <c r="AZ372" s="89" t="n"/>
      <c r="BA372" s="87" t="n"/>
      <c r="BB372" s="89" t="n"/>
      <c r="BC372" s="91" t="n"/>
      <c r="BD372" s="122">
        <f>IF(AK372&lt;&gt;"",IF(AND(BD371&lt;&gt;"IE",AT372&lt;&gt;0,AV372&lt;&gt;""),IF(IFERROR((AT372/AV372),0) &lt;=1,IFERROR(AT372/AV372,""),1),""),"")</f>
        <v/>
      </c>
      <c r="BE372" s="93" t="n"/>
      <c r="BF372" s="105" t="n"/>
      <c r="FC372" t="inlineStr">
        <is>
          <t>Diccionario 1</t>
        </is>
      </c>
      <c r="FD372" s="15" t="n">
        <v>1371</v>
      </c>
      <c r="FE372" s="15" t="inlineStr">
        <is>
          <t>MDN35025020008</t>
        </is>
      </c>
      <c r="FF372" s="15" t="inlineStr">
        <is>
          <t>LDYECS310S0044103</t>
        </is>
      </c>
      <c r="FG372" s="15" t="inlineStr">
        <is>
          <t>Zhong Tong</t>
        </is>
      </c>
      <c r="FH372" s="15" t="inlineStr">
        <is>
          <t>Lck6122evg</t>
        </is>
      </c>
      <c r="FI372" s="15" t="inlineStr">
        <is>
          <t>ZHONGTONG</t>
        </is>
      </c>
      <c r="FJ372" s="15" t="inlineStr">
        <is>
          <t>LCK6122EVG</t>
        </is>
      </c>
      <c r="FK372" s="15" t="n">
        <v>2025</v>
      </c>
      <c r="FL372" s="15" t="inlineStr">
        <is>
          <t>B</t>
        </is>
      </c>
      <c r="FM372" s="15" t="inlineStr">
        <is>
          <t>PIE ANDINO</t>
        </is>
      </c>
      <c r="FN372" s="15" t="inlineStr">
        <is>
          <t>Pie Andino 31 (Pie Andino 383)</t>
        </is>
      </c>
      <c r="FO372" s="15" t="inlineStr">
        <is>
          <t>Puente Alto</t>
        </is>
      </c>
      <c r="FP372" t="inlineStr">
        <is>
          <t>B</t>
        </is>
      </c>
      <c r="FS372" s="14" t="inlineStr">
        <is>
          <t>3097 / SFWZ-77|</t>
        </is>
      </c>
      <c r="FT372" t="inlineStr">
        <is>
          <t>SFWZ-77|</t>
        </is>
      </c>
      <c r="FU372" t="inlineStr">
        <is>
          <t>SFWZ-77</t>
        </is>
      </c>
      <c r="FV372">
        <f>VLOOKUP(FU372,FD:FL,9,0)</f>
        <v/>
      </c>
      <c r="HA372" s="35" t="n">
        <v>142</v>
      </c>
      <c r="HB372" s="35" t="n">
        <v>366</v>
      </c>
    </row>
    <row r="373" ht="15.5" customHeight="1">
      <c r="A373" s="10">
        <f>HOUR(G373)+1</f>
        <v/>
      </c>
      <c r="B373" s="7" t="n"/>
      <c r="C373" s="7" t="n"/>
      <c r="D373" s="85">
        <f>IFERROR(
IF(AND(OR(Planilla!B373="C",Planilla!B373="c"), VLOOKUP(E373,FD:FP,13,0)="C"), "OK",IF(AND(OR(Planilla!B373="C",Planilla!B373="c"), OR(VLOOKUP(E373,FD:FP,13,0)="B", VLOOKUP(E373,FD:FP,13,0)="A")), "DEFICIT",IF(
AND(OR(Planilla!B373="B", Planilla!B373="BPAL"), VLOOKUP(E373,FD:FP,13,0)="B"), "OK",IF(AND(OR(Planilla!B373="B", Planilla!B373="BPAL"), VLOOKUP(E373,FD:FP,13,0)="A"), "DEFICIT",IF(AND(OR(Planilla!B373="B", Planilla!B373="BPAL"), VLOOKUP(E373,FD:FP,13,0)="C"), "SOBREOFERTA",IF(AND(Planilla!B373="A", VLOOKUP(E373,FD:FP,13,0)="A"), "OK",IF(
AND(Planilla!B373="A", OR(VLOOKUP(E373,FD:FP,13,0)="B", VLOOKUP(E373,FD:FP,13,0)="C")), "SOBREOFERTA",""
))))))),"")</f>
        <v/>
      </c>
      <c r="E373" s="8" t="n"/>
      <c r="F373" s="86" t="n"/>
      <c r="G373" s="87" t="n"/>
      <c r="H373" s="88">
        <f>IF(I373="","",IF(AND((I373-G373)&gt;=TIME(0,0,0),(I373-G373)&lt;TIME(0,3,0)),"OK",IF(AND((I373-G373)&gt;=TIME(0,3,0),(I373-G373)&lt;TIME(0,5,0)),"RETRASO DE 3-5 MIN",IF(AND((I373-G373)&gt;=TIME(0,5,0),(I373-G373)&lt;TIME(0,10,0)),"RETRASO DE 5-10 MIN",IF((I373-G373)&gt;=TIME(0,10,0),"RETRASO &gt;10 MIN", IF(AND((G373-I373)&gt;=TIME(0,0,0),(G373-I373)&lt;TIME(0,3,0)),"OK",IF((G373-I373)&gt;=TIME(0,3,0),"ADELANTADO")))))))</f>
        <v/>
      </c>
      <c r="I373" s="89" t="n"/>
      <c r="J373" s="89">
        <f>IF(A373&lt;&gt;"",HLOOKUP(VALUE(TEXT(G373,"h:mm:ss")),IF($C$6="Laboral",$FZ$4:$GX$227,IF($C$6="Sábado",$FZ$231:$GX$452,$FZ$456:$GX$656)),VLOOKUP($C$4,$HF$2:$HH$99,3,0)+IF(C$5="Ida",0,1),1),"")</f>
        <v/>
      </c>
      <c r="K373" s="89">
        <f>IF(A374&lt;&gt;A373,AVERAGEIF(A$9:A373,A373,J$9:J373),"")</f>
        <v/>
      </c>
      <c r="L373" s="89">
        <f>IFERROR(IF(A374&lt;&gt;A373,AVERAGEIF(A$9:A373,A373,S$9:S373),""),"")</f>
        <v/>
      </c>
      <c r="M373" s="89">
        <f>IFERROR(IF(A374&lt;&gt;A373,AVERAGEIF(A$9:A373,A373,T$9:T373),""),"")</f>
        <v/>
      </c>
      <c r="N373" s="89">
        <f t="array" ref="N373">IFERROR(IF(A374&lt;&gt;A373,_xlfn.STDEV.P(IF(A$9:A373=A373,T$9:T373)),""),"")</f>
        <v/>
      </c>
      <c r="O373" s="89">
        <f t="array" ref="O373">IFERROR(IF(A374&lt;&gt;A373,_xlfn.STDEV.P(IF(A$9:A373=A373,S$9:S373)),""),"")</f>
        <v/>
      </c>
      <c r="P373" s="90">
        <f>IFERROR(IF(A373&lt;&gt;A374,MAX((((M373*24*60)/2)*(1+POWER((((N373*24*60) / (M373*24*60) )),2))) + ((M373*24*60 )*-0.1 + (K373*0.015)) +1,(((M373*24*60)/2)*(1+POWER((((N373*24*60) / (M373*24*60 ))),2)))),""),"")</f>
        <v/>
      </c>
      <c r="Q373" s="90">
        <f>IF(AND(O373&lt;&gt;"",L373&lt;&gt;""),IF(A373&lt;&gt;A374,((L373*24*60) / 2 ) * (1 + POWER(((O373*24*60) / (L373*24*60)),2)),""),"")</f>
        <v/>
      </c>
      <c r="R373" s="90">
        <f>IF(Q373&lt;&gt;"",MAX(P373,Q373),"")</f>
        <v/>
      </c>
      <c r="S373" s="89">
        <f>IF(I373&lt;&gt;"H. Sale Real",IF(AND(I374&lt;&gt;"",LEFT(C374,2)&lt;&gt;"Va"),IF(AND(I373&lt;&gt;"",LEFT(C373,2)&lt;&gt;"Va",I373&lt;&gt;"H. Sale Real"),IF(I374-I373&lt;0.208333333333333,I374-I373,""),IF(AND(I372&lt;&gt;"",LEFT(C372,2)&lt;&gt;"Va",I372&lt;&gt;"H. Sale Real"),IF(I374-I372&lt;0.208333333333333,I374-I372,""),IF(AND(I371&lt;&gt;"",LEFT(C371,2)&lt;&gt;"Va",I371&lt;&gt;"H. Sale Real"),IF(I374-I371&lt;0.208333333333333,I374-I371,""),IF(AND(I370&lt;&gt;"",LEFT(C370,2)&lt;&gt;"Va",I370&lt;&gt;"H. Sale Real"),IF(I374-I370&lt;0.208333333333333,I374-I370,""),IF(AND(I369&lt;&gt;"",LEFT(C369,2)&lt;&gt;"Va",I369&lt;&gt;"H. Sale Real"),IF(I374-I369&lt;0.208333333333333,I374-I369,""),""))))),""),"")</f>
        <v/>
      </c>
      <c r="T373" s="89">
        <f>IF(G373&lt;&gt;"H. Sale Real",IF(AND(G374&lt;&gt;"",LEFT(C374,2)&lt;&gt;"Va"),IF(AND(G373&lt;&gt;"",LEFT(C373,2)&lt;&gt;"Va",G373&lt;&gt;"H. Sale Real"),IF(G374-G373&lt;0.208333333333333,G374-G373,""),IF(AND(G372&lt;&gt;"",LEFT(C372,2)&lt;&gt;"Va",G372&lt;&gt;"H. Sale Real"),IF(G374-G372&lt;0.208333333333333,G374-G372,""),IF(AND(G371&lt;&gt;"",LEFT(C371,2)&lt;&gt;"Va",G371&lt;&gt;"H. Sale Real"),IF(G374-G371&lt;0.208333333333333,G374-G371,""),IF(AND(G370&lt;&gt;"",LEFT(C370,2)&lt;&gt;"Va",G370&lt;&gt;"H. Sale Real"),IF(G374-G370&lt;0.208333333333333,G374-G370,""),IF(AND(G369&lt;&gt;"",LEFT(C369,2)&lt;&gt;"Va",G369&lt;&gt;"H. Sale Real"),IF(G374-G369&lt;0.208333333333333,G374-G369,""),""))))),""),"")</f>
        <v/>
      </c>
      <c r="U373" s="87" t="n"/>
      <c r="V373" s="89" t="n"/>
      <c r="W373" s="87" t="n"/>
      <c r="X373" s="89" t="n"/>
      <c r="Y373" s="91" t="n"/>
      <c r="Z373" s="122">
        <f>IF(G373&lt;&gt;"",IF(AND(Z372&lt;&gt;"IE",P373&lt;&gt;0,R373&lt;&gt;""),IF(IFERROR((P373/R373),0) &lt;=1,IFERROR(P373/R373,""),1),""),"")</f>
        <v/>
      </c>
      <c r="AA373" s="93" t="n"/>
      <c r="AB373" s="2" t="n"/>
      <c r="AE373" s="10">
        <f>HOUR(AK373)+1</f>
        <v/>
      </c>
      <c r="AF373" s="7" t="n"/>
      <c r="AG373" s="7" t="n"/>
      <c r="AH373" s="86" t="n"/>
      <c r="AI373" s="8" t="n"/>
      <c r="AJ373" s="86" t="n"/>
      <c r="AK373" s="87" t="n"/>
      <c r="AL373" s="88">
        <f>IF(AM373="","",IF(AND((AM373-AK373)&gt;=TIME(0,0,0),(AM373-AK373)&lt;TIME(0,3,0)),"OK",IF(AND((AM373-AK373)&gt;=TIME(0,3,0),(AM373-AK373)&lt;TIME(0,5,0)),"RETRASO DE 3-5 MIN",IF(AND((AM373-AK373)&gt;=TIME(0,5,0),(AM373-AK373)&lt;TIME(0,10,0)),"RETRASO DE 5-10 MIN",IF((AM373-AK373)&gt;=TIME(0,10,0),"RETRASO &gt;10 MIN", IF(AND((AK373-AM373)&gt;=TIME(0,0,0),(AK373-AM373)&lt;TIME(0,3,0)),"OK",IF((AK373-AM373)&gt;=TIME(0,3,0),"ADELANTADO")))))))</f>
        <v/>
      </c>
      <c r="AM373" s="91" t="n"/>
      <c r="AN373" s="89">
        <f>IF(AE373&lt;&gt;"",HLOOKUP(VALUE(TEXT(AK373,"h:mm:ss")),IF($C$6="Laboral",$FZ$4:$GX$227,IF($C$6="Sábado",$FZ$231:$GX$452,$FZ$456:$GX$656)),VLOOKUP($C$4,$HF$2:$HH$99,3,0)+IF(AG$5="Ida",0,1),1),"")</f>
        <v/>
      </c>
      <c r="AO373" s="89">
        <f>IF(AE374&lt;&gt;AE373,AVERAGEIF(AE$9:AE373,AE373,AN$9:AN373),"")</f>
        <v/>
      </c>
      <c r="AP373" s="89">
        <f>IFERROR(IF(AE374&lt;&gt;AE373,AVERAGEIF(AE$9:AE373,AE373,AW$9:AW373),""),"")</f>
        <v/>
      </c>
      <c r="AQ373" s="89">
        <f>IFERROR(IF(AE374&lt;&gt;AE373,AVERAGEIF(AE$9:AE373,AE373,AX$9:AX373),""),"")</f>
        <v/>
      </c>
      <c r="AR373" s="89">
        <f t="array" ref="AR373">IFERROR(IF(AE374&lt;&gt;AE373,_xlfn.STDEV.P(IF(AE$9:AE373=AE373,AX$9:AX373)),""),"")</f>
        <v/>
      </c>
      <c r="AS373" s="89">
        <f t="array" ref="AS373">IFERROR(IF(AE374&lt;&gt;AE373,_xlfn.STDEV.P(IF(AE$9:AE373=AE373,AW$9:AW373)),""),"")</f>
        <v/>
      </c>
      <c r="AT373" s="90">
        <f>IFERROR(IF(AE373&lt;&gt;AE374,MAX((((AQ373*24*60)/2)*(1+POWER((((AR373*24*60) / (AQ373*24*60) )),2))) + ((AQ373*24*60 )*-0.1 + (AO373*0.015)) +1,(((AQ373*24*60)/2)*(1+POWER((((AR373*24*60) / (AQ373*24*60 ))),2)))),""),"")</f>
        <v/>
      </c>
      <c r="AU373" s="90">
        <f>IF(AND(AS373&lt;&gt;"",AP373&lt;&gt;""),IF(AE373&lt;&gt;AE374,((AP373*24*60) / 2 ) * (1 + POWER(((AS373*24*60) / (AP373*24*60)),2)),""),"")</f>
        <v/>
      </c>
      <c r="AV373" s="90">
        <f>IF(AU373&lt;&gt;"",MAX(AT373,AU373),"")</f>
        <v/>
      </c>
      <c r="AW373" s="89">
        <f>IF(AM373&lt;&gt;"H. Sale Real",IF(AND(AM374&lt;&gt;"",LEFT(AG374,2)&lt;&gt;"Va"),IF(AND(AM373&lt;&gt;"",LEFT(AG373,2)&lt;&gt;"Va",AM373&lt;&gt;"H. Sale Real"),IF(AM374-AM373&lt;0.208333333333333,AM374-AM373,""),IF(AND(AM372&lt;&gt;"",LEFT(AG372,2)&lt;&gt;"Va",AM372&lt;&gt;"H. Sale Real"),IF(AM374-AM372&lt;0.208333333333333,AM374-AM372,""),IF(AND(AM371&lt;&gt;"",LEFT(AG371,2)&lt;&gt;"Va",AM371&lt;&gt;"H. Sale Real"),IF(AM374-AM371&lt;0.208333333333333,AM374-AM371,""),IF(AND(AM370&lt;&gt;"",LEFT(AG370,2)&lt;&gt;"Va",AM370&lt;&gt;"H. Sale Real"),IF(AM374-AM370&lt;0.208333333333333,AM374-AM370,""),IF(AND(AM369&lt;&gt;"",LEFT(AG369,2)&lt;&gt;"Va",AM369&lt;&gt;"H. Sale Real"),IF(AM374-AM369&lt;0.208333333333333,AM374-AM369,""),""))))),""),"")</f>
        <v/>
      </c>
      <c r="AX373" s="89">
        <f>IF(AK373&lt;&gt;"H. Sale Real",IF(AND(AK374&lt;&gt;"",LEFT(AG374,2)&lt;&gt;"Va"),IF(AND(AK373&lt;&gt;"",LEFT(AG373,2)&lt;&gt;"Va",AK373&lt;&gt;"H. Sale Real"),IF(AK374-AK373&lt;0.208333333333333,AK374-AK373,""),IF(AND(AK372&lt;&gt;"",LEFT(AG372,2)&lt;&gt;"Va",AK372&lt;&gt;"H. Sale Real"),IF(AK374-AK372&lt;0.208333333333333,AK374-AK372,""),IF(AND(AK371&lt;&gt;"",LEFT(AG371,2)&lt;&gt;"NC",AK371&lt;&gt;"H. Sale Real"),IF(AK374-AK371&lt;0.208333333333333,AK374-AK371,""),IF(AND(AK370&lt;&gt;"",LEFT(AG370,2)&lt;&gt;"Va",AK370&lt;&gt;"H. Sale Real"),IF(AK374-AK370&lt;0.208333333333333,AK374-AK370,""),IF(AND(AK369&lt;&gt;"",LEFT(AG369,2)&lt;&gt;"Va",AK369&lt;&gt;"H. Sale Real"),IF(AK374-AK369&lt;0.208333333333333,AK374-AK369,""),""))))),""),"")</f>
        <v/>
      </c>
      <c r="AY373" s="87" t="n"/>
      <c r="AZ373" s="89" t="n"/>
      <c r="BA373" s="87" t="n"/>
      <c r="BB373" s="89" t="n"/>
      <c r="BC373" s="91" t="n"/>
      <c r="BD373" s="122">
        <f>IF(AK373&lt;&gt;"",IF(AND(BD372&lt;&gt;"IE",AT373&lt;&gt;0,AV373&lt;&gt;""),IF(IFERROR((AT373/AV373),0) &lt;=1,IFERROR(AT373/AV373,""),1),""),"")</f>
        <v/>
      </c>
      <c r="BE373" s="93" t="n"/>
      <c r="BF373" s="105" t="n"/>
      <c r="FC373" t="inlineStr">
        <is>
          <t>Diccionario 1</t>
        </is>
      </c>
      <c r="FD373" s="15" t="n">
        <v>1372</v>
      </c>
      <c r="FE373" s="15" t="inlineStr">
        <is>
          <t>MDN35025020020</t>
        </is>
      </c>
      <c r="FF373" s="15" t="inlineStr">
        <is>
          <t>LDYECS310S0044098</t>
        </is>
      </c>
      <c r="FG373" s="15" t="inlineStr">
        <is>
          <t>Zhong Tong</t>
        </is>
      </c>
      <c r="FH373" s="15" t="inlineStr">
        <is>
          <t>Lck6122evg</t>
        </is>
      </c>
      <c r="FI373" s="15" t="inlineStr">
        <is>
          <t>ZHONGTONG</t>
        </is>
      </c>
      <c r="FJ373" s="15" t="inlineStr">
        <is>
          <t>LCK6122EVG</t>
        </is>
      </c>
      <c r="FK373" s="15" t="n">
        <v>2025</v>
      </c>
      <c r="FL373" s="15" t="inlineStr">
        <is>
          <t>B</t>
        </is>
      </c>
      <c r="FM373" s="15" t="inlineStr">
        <is>
          <t>SAN ALFONSO</t>
        </is>
      </c>
      <c r="FN373" s="15" t="inlineStr">
        <is>
          <t>San Alfonso 2141 (Ramón Subercaseaux 3060)</t>
        </is>
      </c>
      <c r="FO373" s="15" t="inlineStr">
        <is>
          <t>Estacion Central</t>
        </is>
      </c>
      <c r="FP373" t="inlineStr">
        <is>
          <t>B</t>
        </is>
      </c>
      <c r="FS373" s="14" t="inlineStr">
        <is>
          <t>3097 / SFWZ-77|</t>
        </is>
      </c>
      <c r="FT373" t="inlineStr">
        <is>
          <t>SFWZ-77|</t>
        </is>
      </c>
      <c r="FU373" t="inlineStr">
        <is>
          <t>SFWZ-77</t>
        </is>
      </c>
      <c r="FV373">
        <f>VLOOKUP(FU373,FD:FL,9,0)</f>
        <v/>
      </c>
      <c r="HA373" s="35" t="n">
        <v>143</v>
      </c>
      <c r="HB373" s="35" t="n">
        <v>367</v>
      </c>
    </row>
    <row r="374" ht="15.5" customHeight="1">
      <c r="A374" s="10">
        <f>HOUR(G374)+1</f>
        <v/>
      </c>
      <c r="B374" s="7" t="n"/>
      <c r="C374" s="7" t="n"/>
      <c r="D374" s="85">
        <f>IFERROR(
IF(AND(OR(Planilla!B374="C",Planilla!B374="c"), VLOOKUP(E374,FD:FP,13,0)="C"), "OK",IF(AND(OR(Planilla!B374="C",Planilla!B374="c"), OR(VLOOKUP(E374,FD:FP,13,0)="B", VLOOKUP(E374,FD:FP,13,0)="A")), "DEFICIT",IF(
AND(OR(Planilla!B374="B", Planilla!B374="BPAL"), VLOOKUP(E374,FD:FP,13,0)="B"), "OK",IF(AND(OR(Planilla!B374="B", Planilla!B374="BPAL"), VLOOKUP(E374,FD:FP,13,0)="A"), "DEFICIT",IF(AND(OR(Planilla!B374="B", Planilla!B374="BPAL"), VLOOKUP(E374,FD:FP,13,0)="C"), "SOBREOFERTA",IF(AND(Planilla!B374="A", VLOOKUP(E374,FD:FP,13,0)="A"), "OK",IF(
AND(Planilla!B374="A", OR(VLOOKUP(E374,FD:FP,13,0)="B", VLOOKUP(E374,FD:FP,13,0)="C")), "SOBREOFERTA",""
))))))),"")</f>
        <v/>
      </c>
      <c r="E374" s="8" t="n"/>
      <c r="F374" s="86" t="n"/>
      <c r="G374" s="87" t="n"/>
      <c r="H374" s="88">
        <f>IF(I374="","",IF(AND((I374-G374)&gt;=TIME(0,0,0),(I374-G374)&lt;TIME(0,3,0)),"OK",IF(AND((I374-G374)&gt;=TIME(0,3,0),(I374-G374)&lt;TIME(0,5,0)),"RETRASO DE 3-5 MIN",IF(AND((I374-G374)&gt;=TIME(0,5,0),(I374-G374)&lt;TIME(0,10,0)),"RETRASO DE 5-10 MIN",IF((I374-G374)&gt;=TIME(0,10,0),"RETRASO &gt;10 MIN", IF(AND((G374-I374)&gt;=TIME(0,0,0),(G374-I374)&lt;TIME(0,3,0)),"OK",IF((G374-I374)&gt;=TIME(0,3,0),"ADELANTADO")))))))</f>
        <v/>
      </c>
      <c r="I374" s="89" t="n"/>
      <c r="J374" s="89">
        <f>IF(A374&lt;&gt;"",HLOOKUP(VALUE(TEXT(G374,"h:mm:ss")),IF($C$6="Laboral",$FZ$4:$GX$227,IF($C$6="Sábado",$FZ$231:$GX$452,$FZ$456:$GX$656)),VLOOKUP($C$4,$HF$2:$HH$99,3,0)+IF(C$5="Ida",0,1),1),"")</f>
        <v/>
      </c>
      <c r="K374" s="89">
        <f>IF(A375&lt;&gt;A374,AVERAGEIF(A$9:A374,A374,J$9:J374),"")</f>
        <v/>
      </c>
      <c r="L374" s="89">
        <f>IFERROR(IF(A375&lt;&gt;A374,AVERAGEIF(A$9:A374,A374,S$9:S374),""),"")</f>
        <v/>
      </c>
      <c r="M374" s="89">
        <f>IFERROR(IF(A375&lt;&gt;A374,AVERAGEIF(A$9:A374,A374,T$9:T374),""),"")</f>
        <v/>
      </c>
      <c r="N374" s="89">
        <f t="array" ref="N374">IFERROR(IF(A375&lt;&gt;A374,_xlfn.STDEV.P(IF(A$9:A374=A374,T$9:T374)),""),"")</f>
        <v/>
      </c>
      <c r="O374" s="89">
        <f t="array" ref="O374">IFERROR(IF(A375&lt;&gt;A374,_xlfn.STDEV.P(IF(A$9:A374=A374,S$9:S374)),""),"")</f>
        <v/>
      </c>
      <c r="P374" s="90">
        <f>IFERROR(IF(A374&lt;&gt;A375,MAX((((M374*24*60)/2)*(1+POWER((((N374*24*60) / (M374*24*60) )),2))) + ((M374*24*60 )*-0.1 + (K374*0.015)) +1,(((M374*24*60)/2)*(1+POWER((((N374*24*60) / (M374*24*60 ))),2)))),""),"")</f>
        <v/>
      </c>
      <c r="Q374" s="90">
        <f>IF(AND(O374&lt;&gt;"",L374&lt;&gt;""),IF(A374&lt;&gt;A375,((L374*24*60) / 2 ) * (1 + POWER(((O374*24*60) / (L374*24*60)),2)),""),"")</f>
        <v/>
      </c>
      <c r="R374" s="90">
        <f>IF(Q374&lt;&gt;"",MAX(P374,Q374),"")</f>
        <v/>
      </c>
      <c r="S374" s="89">
        <f>IF(I374&lt;&gt;"H. Sale Real",IF(AND(I375&lt;&gt;"",LEFT(C375,2)&lt;&gt;"Va"),IF(AND(I374&lt;&gt;"",LEFT(C374,2)&lt;&gt;"Va",I374&lt;&gt;"H. Sale Real"),IF(I375-I374&lt;0.208333333333333,I375-I374,""),IF(AND(I373&lt;&gt;"",LEFT(C373,2)&lt;&gt;"Va",I373&lt;&gt;"H. Sale Real"),IF(I375-I373&lt;0.208333333333333,I375-I373,""),IF(AND(I372&lt;&gt;"",LEFT(C372,2)&lt;&gt;"Va",I372&lt;&gt;"H. Sale Real"),IF(I375-I372&lt;0.208333333333333,I375-I372,""),IF(AND(I371&lt;&gt;"",LEFT(C371,2)&lt;&gt;"Va",I371&lt;&gt;"H. Sale Real"),IF(I375-I371&lt;0.208333333333333,I375-I371,""),IF(AND(I370&lt;&gt;"",LEFT(C370,2)&lt;&gt;"Va",I370&lt;&gt;"H. Sale Real"),IF(I375-I370&lt;0.208333333333333,I375-I370,""),""))))),""),"")</f>
        <v/>
      </c>
      <c r="T374" s="89">
        <f>IF(G374&lt;&gt;"H. Sale Real",IF(AND(G375&lt;&gt;"",LEFT(C375,2)&lt;&gt;"Va"),IF(AND(G374&lt;&gt;"",LEFT(C374,2)&lt;&gt;"Va",G374&lt;&gt;"H. Sale Real"),IF(G375-G374&lt;0.208333333333333,G375-G374,""),IF(AND(G373&lt;&gt;"",LEFT(C373,2)&lt;&gt;"Va",G373&lt;&gt;"H. Sale Real"),IF(G375-G373&lt;0.208333333333333,G375-G373,""),IF(AND(G372&lt;&gt;"",LEFT(C372,2)&lt;&gt;"Va",G372&lt;&gt;"H. Sale Real"),IF(G375-G372&lt;0.208333333333333,G375-G372,""),IF(AND(G371&lt;&gt;"",LEFT(C371,2)&lt;&gt;"Va",G371&lt;&gt;"H. Sale Real"),IF(G375-G371&lt;0.208333333333333,G375-G371,""),IF(AND(G370&lt;&gt;"",LEFT(C370,2)&lt;&gt;"Va",G370&lt;&gt;"H. Sale Real"),IF(G375-G370&lt;0.208333333333333,G375-G370,""),""))))),""),"")</f>
        <v/>
      </c>
      <c r="U374" s="87" t="n"/>
      <c r="V374" s="89" t="n"/>
      <c r="W374" s="87" t="n"/>
      <c r="X374" s="89" t="n"/>
      <c r="Y374" s="91" t="n"/>
      <c r="Z374" s="122">
        <f>IF(G374&lt;&gt;"",IF(AND(Z373&lt;&gt;"IE",P374&lt;&gt;0,R374&lt;&gt;""),IF(IFERROR((P374/R374),0) &lt;=1,IFERROR(P374/R374,""),1),""),"")</f>
        <v/>
      </c>
      <c r="AA374" s="93" t="n"/>
      <c r="AB374" s="2" t="n"/>
      <c r="AE374" s="10">
        <f>HOUR(AK374)+1</f>
        <v/>
      </c>
      <c r="AF374" s="7" t="n"/>
      <c r="AG374" s="7" t="n"/>
      <c r="AH374" s="86" t="n"/>
      <c r="AI374" s="8" t="n"/>
      <c r="AJ374" s="86" t="n"/>
      <c r="AK374" s="87" t="n"/>
      <c r="AL374" s="88">
        <f>IF(AM374="","",IF(AND((AM374-AK374)&gt;=TIME(0,0,0),(AM374-AK374)&lt;TIME(0,3,0)),"OK",IF(AND((AM374-AK374)&gt;=TIME(0,3,0),(AM374-AK374)&lt;TIME(0,5,0)),"RETRASO DE 3-5 MIN",IF(AND((AM374-AK374)&gt;=TIME(0,5,0),(AM374-AK374)&lt;TIME(0,10,0)),"RETRASO DE 5-10 MIN",IF((AM374-AK374)&gt;=TIME(0,10,0),"RETRASO &gt;10 MIN", IF(AND((AK374-AM374)&gt;=TIME(0,0,0),(AK374-AM374)&lt;TIME(0,3,0)),"OK",IF((AK374-AM374)&gt;=TIME(0,3,0),"ADELANTADO")))))))</f>
        <v/>
      </c>
      <c r="AM374" s="91" t="n"/>
      <c r="AN374" s="89">
        <f>IF(AE374&lt;&gt;"",HLOOKUP(VALUE(TEXT(AK374,"h:mm:ss")),IF($C$6="Laboral",$FZ$4:$GX$227,IF($C$6="Sábado",$FZ$231:$GX$452,$FZ$456:$GX$656)),VLOOKUP($C$4,$HF$2:$HH$99,3,0)+IF(AG$5="Ida",0,1),1),"")</f>
        <v/>
      </c>
      <c r="AO374" s="89">
        <f>IF(AE375&lt;&gt;AE374,AVERAGEIF(AE$9:AE374,AE374,AN$9:AN374),"")</f>
        <v/>
      </c>
      <c r="AP374" s="89">
        <f>IFERROR(IF(AE375&lt;&gt;AE374,AVERAGEIF(AE$9:AE374,AE374,AW$9:AW374),""),"")</f>
        <v/>
      </c>
      <c r="AQ374" s="89">
        <f>IFERROR(IF(AE375&lt;&gt;AE374,AVERAGEIF(AE$9:AE374,AE374,AX$9:AX374),""),"")</f>
        <v/>
      </c>
      <c r="AR374" s="89">
        <f t="array" ref="AR374">IFERROR(IF(AE375&lt;&gt;AE374,_xlfn.STDEV.P(IF(AE$9:AE374=AE374,AX$9:AX374)),""),"")</f>
        <v/>
      </c>
      <c r="AS374" s="89">
        <f t="array" ref="AS374">IFERROR(IF(AE375&lt;&gt;AE374,_xlfn.STDEV.P(IF(AE$9:AE374=AE374,AW$9:AW374)),""),"")</f>
        <v/>
      </c>
      <c r="AT374" s="90">
        <f>IFERROR(IF(AE374&lt;&gt;AE375,MAX((((AQ374*24*60)/2)*(1+POWER((((AR374*24*60) / (AQ374*24*60) )),2))) + ((AQ374*24*60 )*-0.1 + (AO374*0.015)) +1,(((AQ374*24*60)/2)*(1+POWER((((AR374*24*60) / (AQ374*24*60 ))),2)))),""),"")</f>
        <v/>
      </c>
      <c r="AU374" s="90">
        <f>IF(AND(AS374&lt;&gt;"",AP374&lt;&gt;""),IF(AE374&lt;&gt;AE375,((AP374*24*60) / 2 ) * (1 + POWER(((AS374*24*60) / (AP374*24*60)),2)),""),"")</f>
        <v/>
      </c>
      <c r="AV374" s="90">
        <f>IF(AU374&lt;&gt;"",MAX(AT374,AU374),"")</f>
        <v/>
      </c>
      <c r="AW374" s="89">
        <f>IF(AM374&lt;&gt;"H. Sale Real",IF(AND(AM375&lt;&gt;"",LEFT(AG375,2)&lt;&gt;"Va"),IF(AND(AM374&lt;&gt;"",LEFT(AG374,2)&lt;&gt;"Va",AM374&lt;&gt;"H. Sale Real"),IF(AM375-AM374&lt;0.208333333333333,AM375-AM374,""),IF(AND(AM373&lt;&gt;"",LEFT(AG373,2)&lt;&gt;"Va",AM373&lt;&gt;"H. Sale Real"),IF(AM375-AM373&lt;0.208333333333333,AM375-AM373,""),IF(AND(AM372&lt;&gt;"",LEFT(AG372,2)&lt;&gt;"Va",AM372&lt;&gt;"H. Sale Real"),IF(AM375-AM372&lt;0.208333333333333,AM375-AM372,""),IF(AND(AM371&lt;&gt;"",LEFT(AG371,2)&lt;&gt;"Va",AM371&lt;&gt;"H. Sale Real"),IF(AM375-AM371&lt;0.208333333333333,AM375-AM371,""),IF(AND(AM370&lt;&gt;"",LEFT(AG370,2)&lt;&gt;"Va",AM370&lt;&gt;"H. Sale Real"),IF(AM375-AM370&lt;0.208333333333333,AM375-AM370,""),""))))),""),"")</f>
        <v/>
      </c>
      <c r="AX374" s="89">
        <f>IF(AK374&lt;&gt;"H. Sale Real",IF(AND(AK375&lt;&gt;"",LEFT(AG375,2)&lt;&gt;"Va"),IF(AND(AK374&lt;&gt;"",LEFT(AG374,2)&lt;&gt;"Va",AK374&lt;&gt;"H. Sale Real"),IF(AK375-AK374&lt;0.208333333333333,AK375-AK374,""),IF(AND(AK373&lt;&gt;"",LEFT(AG373,2)&lt;&gt;"Va",AK373&lt;&gt;"H. Sale Real"),IF(AK375-AK373&lt;0.208333333333333,AK375-AK373,""),IF(AND(AK372&lt;&gt;"",LEFT(AG372,2)&lt;&gt;"NC",AK372&lt;&gt;"H. Sale Real"),IF(AK375-AK372&lt;0.208333333333333,AK375-AK372,""),IF(AND(AK371&lt;&gt;"",LEFT(AG371,2)&lt;&gt;"Va",AK371&lt;&gt;"H. Sale Real"),IF(AK375-AK371&lt;0.208333333333333,AK375-AK371,""),IF(AND(AK370&lt;&gt;"",LEFT(AG370,2)&lt;&gt;"Va",AK370&lt;&gt;"H. Sale Real"),IF(AK375-AK370&lt;0.208333333333333,AK375-AK370,""),""))))),""),"")</f>
        <v/>
      </c>
      <c r="AY374" s="87" t="n"/>
      <c r="AZ374" s="89" t="n"/>
      <c r="BA374" s="87" t="n"/>
      <c r="BB374" s="89" t="n"/>
      <c r="BC374" s="91" t="n"/>
      <c r="BD374" s="122">
        <f>IF(AK374&lt;&gt;"",IF(AND(BD373&lt;&gt;"IE",AT374&lt;&gt;0,AV374&lt;&gt;""),IF(IFERROR((AT374/AV374),0) &lt;=1,IFERROR(AT374/AV374,""),1),""),"")</f>
        <v/>
      </c>
      <c r="BE374" s="93" t="n"/>
      <c r="BF374" s="105" t="n"/>
      <c r="FC374" t="inlineStr">
        <is>
          <t>Diccionario 1</t>
        </is>
      </c>
      <c r="FD374" s="15" t="n">
        <v>1373</v>
      </c>
      <c r="FE374" s="15" t="inlineStr">
        <is>
          <t>MDN35025010252</t>
        </is>
      </c>
      <c r="FF374" s="15" t="inlineStr">
        <is>
          <t>LDYECS311S0044093</t>
        </is>
      </c>
      <c r="FG374" s="15" t="inlineStr">
        <is>
          <t>Zhong Tong</t>
        </is>
      </c>
      <c r="FH374" s="15" t="inlineStr">
        <is>
          <t>Lck6122evg</t>
        </is>
      </c>
      <c r="FI374" s="15" t="inlineStr">
        <is>
          <t>ZHONGTONG</t>
        </is>
      </c>
      <c r="FJ374" s="15" t="inlineStr">
        <is>
          <t>LCK6122EVG</t>
        </is>
      </c>
      <c r="FK374" s="15" t="n">
        <v>2025</v>
      </c>
      <c r="FL374" s="15" t="inlineStr">
        <is>
          <t>B</t>
        </is>
      </c>
      <c r="FM374" s="15" t="inlineStr">
        <is>
          <t>PIE ANDINO</t>
        </is>
      </c>
      <c r="FN374" s="15" t="inlineStr">
        <is>
          <t>Pie Andino 31 (Pie Andino 383)</t>
        </is>
      </c>
      <c r="FO374" s="15" t="inlineStr">
        <is>
          <t>Puente Alto</t>
        </is>
      </c>
      <c r="FP374" t="inlineStr">
        <is>
          <t>B</t>
        </is>
      </c>
      <c r="FS374" s="14" t="inlineStr">
        <is>
          <t>3097 / SFWZ-77|</t>
        </is>
      </c>
      <c r="FT374" t="inlineStr">
        <is>
          <t>SFWZ-77|</t>
        </is>
      </c>
      <c r="FU374" t="inlineStr">
        <is>
          <t>SFWZ-77</t>
        </is>
      </c>
      <c r="FV374">
        <f>VLOOKUP(FU374,FD:FL,9,0)</f>
        <v/>
      </c>
      <c r="HA374" s="35" t="n">
        <v>144</v>
      </c>
      <c r="HB374" s="35" t="n">
        <v>368</v>
      </c>
    </row>
    <row r="375" ht="15.5" customHeight="1">
      <c r="A375" s="10">
        <f>HOUR(G375)+1</f>
        <v/>
      </c>
      <c r="B375" s="7" t="n"/>
      <c r="C375" s="7" t="n"/>
      <c r="D375" s="85">
        <f>IFERROR(
IF(AND(OR(Planilla!B375="C",Planilla!B375="c"), VLOOKUP(E375,FD:FP,13,0)="C"), "OK",IF(AND(OR(Planilla!B375="C",Planilla!B375="c"), OR(VLOOKUP(E375,FD:FP,13,0)="B", VLOOKUP(E375,FD:FP,13,0)="A")), "DEFICIT",IF(
AND(OR(Planilla!B375="B", Planilla!B375="BPAL"), VLOOKUP(E375,FD:FP,13,0)="B"), "OK",IF(AND(OR(Planilla!B375="B", Planilla!B375="BPAL"), VLOOKUP(E375,FD:FP,13,0)="A"), "DEFICIT",IF(AND(OR(Planilla!B375="B", Planilla!B375="BPAL"), VLOOKUP(E375,FD:FP,13,0)="C"), "SOBREOFERTA",IF(AND(Planilla!B375="A", VLOOKUP(E375,FD:FP,13,0)="A"), "OK",IF(
AND(Planilla!B375="A", OR(VLOOKUP(E375,FD:FP,13,0)="B", VLOOKUP(E375,FD:FP,13,0)="C")), "SOBREOFERTA",""
))))))),"")</f>
        <v/>
      </c>
      <c r="E375" s="8" t="n"/>
      <c r="F375" s="86" t="n"/>
      <c r="G375" s="87" t="n"/>
      <c r="H375" s="88">
        <f>IF(I375="","",IF(AND((I375-G375)&gt;=TIME(0,0,0),(I375-G375)&lt;TIME(0,3,0)),"OK",IF(AND((I375-G375)&gt;=TIME(0,3,0),(I375-G375)&lt;TIME(0,5,0)),"RETRASO DE 3-5 MIN",IF(AND((I375-G375)&gt;=TIME(0,5,0),(I375-G375)&lt;TIME(0,10,0)),"RETRASO DE 5-10 MIN",IF((I375-G375)&gt;=TIME(0,10,0),"RETRASO &gt;10 MIN", IF(AND((G375-I375)&gt;=TIME(0,0,0),(G375-I375)&lt;TIME(0,3,0)),"OK",IF((G375-I375)&gt;=TIME(0,3,0),"ADELANTADO")))))))</f>
        <v/>
      </c>
      <c r="I375" s="89" t="n"/>
      <c r="J375" s="89">
        <f>IF(A375&lt;&gt;"",HLOOKUP(VALUE(TEXT(G375,"h:mm:ss")),IF($C$6="Laboral",$FZ$4:$GX$227,IF($C$6="Sábado",$FZ$231:$GX$452,$FZ$456:$GX$656)),VLOOKUP($C$4,$HF$2:$HH$99,3,0)+IF(C$5="Ida",0,1),1),"")</f>
        <v/>
      </c>
      <c r="K375" s="89">
        <f>IF(A376&lt;&gt;A375,AVERAGEIF(A$9:A375,A375,J$9:J375),"")</f>
        <v/>
      </c>
      <c r="L375" s="89">
        <f>IFERROR(IF(A376&lt;&gt;A375,AVERAGEIF(A$9:A375,A375,S$9:S375),""),"")</f>
        <v/>
      </c>
      <c r="M375" s="89">
        <f>IFERROR(IF(A376&lt;&gt;A375,AVERAGEIF(A$9:A375,A375,T$9:T375),""),"")</f>
        <v/>
      </c>
      <c r="N375" s="89">
        <f t="array" ref="N375">IFERROR(IF(A376&lt;&gt;A375,_xlfn.STDEV.P(IF(A$9:A375=A375,T$9:T375)),""),"")</f>
        <v/>
      </c>
      <c r="O375" s="89">
        <f t="array" ref="O375">IFERROR(IF(A376&lt;&gt;A375,_xlfn.STDEV.P(IF(A$9:A375=A375,S$9:S375)),""),"")</f>
        <v/>
      </c>
      <c r="P375" s="90">
        <f>IFERROR(IF(A375&lt;&gt;A376,MAX((((M375*24*60)/2)*(1+POWER((((N375*24*60) / (M375*24*60) )),2))) + ((M375*24*60 )*-0.1 + (K375*0.015)) +1,(((M375*24*60)/2)*(1+POWER((((N375*24*60) / (M375*24*60 ))),2)))),""),"")</f>
        <v/>
      </c>
      <c r="Q375" s="90">
        <f>IF(AND(O375&lt;&gt;"",L375&lt;&gt;""),IF(A375&lt;&gt;A376,((L375*24*60) / 2 ) * (1 + POWER(((O375*24*60) / (L375*24*60)),2)),""),"")</f>
        <v/>
      </c>
      <c r="R375" s="90">
        <f>IF(Q375&lt;&gt;"",MAX(P375,Q375),"")</f>
        <v/>
      </c>
      <c r="S375" s="89">
        <f>IF(I375&lt;&gt;"H. Sale Real",IF(AND(I376&lt;&gt;"",LEFT(C376,2)&lt;&gt;"Va"),IF(AND(I375&lt;&gt;"",LEFT(C375,2)&lt;&gt;"Va",I375&lt;&gt;"H. Sale Real"),IF(I376-I375&lt;0.208333333333333,I376-I375,""),IF(AND(I374&lt;&gt;"",LEFT(C374,2)&lt;&gt;"Va",I374&lt;&gt;"H. Sale Real"),IF(I376-I374&lt;0.208333333333333,I376-I374,""),IF(AND(I373&lt;&gt;"",LEFT(C373,2)&lt;&gt;"Va",I373&lt;&gt;"H. Sale Real"),IF(I376-I373&lt;0.208333333333333,I376-I373,""),IF(AND(I372&lt;&gt;"",LEFT(C372,2)&lt;&gt;"Va",I372&lt;&gt;"H. Sale Real"),IF(I376-I372&lt;0.208333333333333,I376-I372,""),IF(AND(I371&lt;&gt;"",LEFT(C371,2)&lt;&gt;"Va",I371&lt;&gt;"H. Sale Real"),IF(I376-I371&lt;0.208333333333333,I376-I371,""),""))))),""),"")</f>
        <v/>
      </c>
      <c r="T375" s="89">
        <f>IF(G375&lt;&gt;"H. Sale Real",IF(AND(G376&lt;&gt;"",LEFT(C376,2)&lt;&gt;"Va"),IF(AND(G375&lt;&gt;"",LEFT(C375,2)&lt;&gt;"Va",G375&lt;&gt;"H. Sale Real"),IF(G376-G375&lt;0.208333333333333,G376-G375,""),IF(AND(G374&lt;&gt;"",LEFT(C374,2)&lt;&gt;"Va",G374&lt;&gt;"H. Sale Real"),IF(G376-G374&lt;0.208333333333333,G376-G374,""),IF(AND(G373&lt;&gt;"",LEFT(C373,2)&lt;&gt;"Va",G373&lt;&gt;"H. Sale Real"),IF(G376-G373&lt;0.208333333333333,G376-G373,""),IF(AND(G372&lt;&gt;"",LEFT(C372,2)&lt;&gt;"Va",G372&lt;&gt;"H. Sale Real"),IF(G376-G372&lt;0.208333333333333,G376-G372,""),IF(AND(G371&lt;&gt;"",LEFT(C371,2)&lt;&gt;"Va",G371&lt;&gt;"H. Sale Real"),IF(G376-G371&lt;0.208333333333333,G376-G371,""),""))))),""),"")</f>
        <v/>
      </c>
      <c r="U375" s="87" t="n"/>
      <c r="V375" s="89" t="n"/>
      <c r="W375" s="87" t="n"/>
      <c r="X375" s="89" t="n"/>
      <c r="Y375" s="91" t="n"/>
      <c r="Z375" s="122">
        <f>IF(G375&lt;&gt;"",IF(AND(Z374&lt;&gt;"IE",P375&lt;&gt;0,R375&lt;&gt;""),IF(IFERROR((P375/R375),0) &lt;=1,IFERROR(P375/R375,""),1),""),"")</f>
        <v/>
      </c>
      <c r="AA375" s="93" t="n"/>
      <c r="AB375" s="2" t="n"/>
      <c r="AE375" s="10">
        <f>HOUR(AK375)+1</f>
        <v/>
      </c>
      <c r="AF375" s="7" t="n"/>
      <c r="AG375" s="7" t="n"/>
      <c r="AH375" s="86" t="n"/>
      <c r="AI375" s="8" t="n"/>
      <c r="AJ375" s="86" t="n"/>
      <c r="AK375" s="87" t="n"/>
      <c r="AL375" s="88">
        <f>IF(AM375="","",IF(AND((AM375-AK375)&gt;=TIME(0,0,0),(AM375-AK375)&lt;TIME(0,3,0)),"OK",IF(AND((AM375-AK375)&gt;=TIME(0,3,0),(AM375-AK375)&lt;TIME(0,5,0)),"RETRASO DE 3-5 MIN",IF(AND((AM375-AK375)&gt;=TIME(0,5,0),(AM375-AK375)&lt;TIME(0,10,0)),"RETRASO DE 5-10 MIN",IF((AM375-AK375)&gt;=TIME(0,10,0),"RETRASO &gt;10 MIN", IF(AND((AK375-AM375)&gt;=TIME(0,0,0),(AK375-AM375)&lt;TIME(0,3,0)),"OK",IF((AK375-AM375)&gt;=TIME(0,3,0),"ADELANTADO")))))))</f>
        <v/>
      </c>
      <c r="AM375" s="91" t="n"/>
      <c r="AN375" s="89">
        <f>IF(AE375&lt;&gt;"",HLOOKUP(VALUE(TEXT(AK375,"h:mm:ss")),IF($C$6="Laboral",$FZ$4:$GX$227,IF($C$6="Sábado",$FZ$231:$GX$452,$FZ$456:$GX$656)),VLOOKUP($C$4,$HF$2:$HH$99,3,0)+IF(AG$5="Ida",0,1),1),"")</f>
        <v/>
      </c>
      <c r="AO375" s="89">
        <f>IF(AE376&lt;&gt;AE375,AVERAGEIF(AE$9:AE375,AE375,AN$9:AN375),"")</f>
        <v/>
      </c>
      <c r="AP375" s="89">
        <f>IFERROR(IF(AE376&lt;&gt;AE375,AVERAGEIF(AE$9:AE375,AE375,AW$9:AW375),""),"")</f>
        <v/>
      </c>
      <c r="AQ375" s="89">
        <f>IFERROR(IF(AE376&lt;&gt;AE375,AVERAGEIF(AE$9:AE375,AE375,AX$9:AX375),""),"")</f>
        <v/>
      </c>
      <c r="AR375" s="89">
        <f t="array" ref="AR375">IFERROR(IF(AE376&lt;&gt;AE375,_xlfn.STDEV.P(IF(AE$9:AE375=AE375,AX$9:AX375)),""),"")</f>
        <v/>
      </c>
      <c r="AS375" s="89">
        <f t="array" ref="AS375">IFERROR(IF(AE376&lt;&gt;AE375,_xlfn.STDEV.P(IF(AE$9:AE375=AE375,AW$9:AW375)),""),"")</f>
        <v/>
      </c>
      <c r="AT375" s="90">
        <f>IFERROR(IF(AE375&lt;&gt;AE376,MAX((((AQ375*24*60)/2)*(1+POWER((((AR375*24*60) / (AQ375*24*60) )),2))) + ((AQ375*24*60 )*-0.1 + (AO375*0.015)) +1,(((AQ375*24*60)/2)*(1+POWER((((AR375*24*60) / (AQ375*24*60 ))),2)))),""),"")</f>
        <v/>
      </c>
      <c r="AU375" s="90">
        <f>IF(AND(AS375&lt;&gt;"",AP375&lt;&gt;""),IF(AE375&lt;&gt;AE376,((AP375*24*60) / 2 ) * (1 + POWER(((AS375*24*60) / (AP375*24*60)),2)),""),"")</f>
        <v/>
      </c>
      <c r="AV375" s="90">
        <f>IF(AU375&lt;&gt;"",MAX(AT375,AU375),"")</f>
        <v/>
      </c>
      <c r="AW375" s="89">
        <f>IF(AM375&lt;&gt;"H. Sale Real",IF(AND(AM376&lt;&gt;"",LEFT(AG376,2)&lt;&gt;"Va"),IF(AND(AM375&lt;&gt;"",LEFT(AG375,2)&lt;&gt;"Va",AM375&lt;&gt;"H. Sale Real"),IF(AM376-AM375&lt;0.208333333333333,AM376-AM375,""),IF(AND(AM374&lt;&gt;"",LEFT(AG374,2)&lt;&gt;"Va",AM374&lt;&gt;"H. Sale Real"),IF(AM376-AM374&lt;0.208333333333333,AM376-AM374,""),IF(AND(AM373&lt;&gt;"",LEFT(AG373,2)&lt;&gt;"Va",AM373&lt;&gt;"H. Sale Real"),IF(AM376-AM373&lt;0.208333333333333,AM376-AM373,""),IF(AND(AM372&lt;&gt;"",LEFT(AG372,2)&lt;&gt;"Va",AM372&lt;&gt;"H. Sale Real"),IF(AM376-AM372&lt;0.208333333333333,AM376-AM372,""),IF(AND(AM371&lt;&gt;"",LEFT(AG371,2)&lt;&gt;"Va",AM371&lt;&gt;"H. Sale Real"),IF(AM376-AM371&lt;0.208333333333333,AM376-AM371,""),""))))),""),"")</f>
        <v/>
      </c>
      <c r="AX375" s="89">
        <f>IF(AK375&lt;&gt;"H. Sale Real",IF(AND(AK376&lt;&gt;"",LEFT(AG376,2)&lt;&gt;"Va"),IF(AND(AK375&lt;&gt;"",LEFT(AG375,2)&lt;&gt;"Va",AK375&lt;&gt;"H. Sale Real"),IF(AK376-AK375&lt;0.208333333333333,AK376-AK375,""),IF(AND(AK374&lt;&gt;"",LEFT(AG374,2)&lt;&gt;"Va",AK374&lt;&gt;"H. Sale Real"),IF(AK376-AK374&lt;0.208333333333333,AK376-AK374,""),IF(AND(AK373&lt;&gt;"",LEFT(AG373,2)&lt;&gt;"NC",AK373&lt;&gt;"H. Sale Real"),IF(AK376-AK373&lt;0.208333333333333,AK376-AK373,""),IF(AND(AK372&lt;&gt;"",LEFT(AG372,2)&lt;&gt;"Va",AK372&lt;&gt;"H. Sale Real"),IF(AK376-AK372&lt;0.208333333333333,AK376-AK372,""),IF(AND(AK371&lt;&gt;"",LEFT(AG371,2)&lt;&gt;"Va",AK371&lt;&gt;"H. Sale Real"),IF(AK376-AK371&lt;0.208333333333333,AK376-AK371,""),""))))),""),"")</f>
        <v/>
      </c>
      <c r="AY375" s="87" t="n"/>
      <c r="AZ375" s="89" t="n"/>
      <c r="BA375" s="87" t="n"/>
      <c r="BB375" s="89" t="n"/>
      <c r="BC375" s="91" t="n"/>
      <c r="BD375" s="122">
        <f>IF(AK375&lt;&gt;"",IF(AND(BD374&lt;&gt;"IE",AT375&lt;&gt;0,AV375&lt;&gt;""),IF(IFERROR((AT375/AV375),0) &lt;=1,IFERROR(AT375/AV375,""),1),""),"")</f>
        <v/>
      </c>
      <c r="BE375" s="93" t="n"/>
      <c r="BF375" s="105" t="n"/>
      <c r="FC375" t="inlineStr">
        <is>
          <t>Diccionario 1</t>
        </is>
      </c>
      <c r="FD375" s="15" t="n">
        <v>1374</v>
      </c>
      <c r="FE375" s="15" t="inlineStr">
        <is>
          <t>MDN35025020014</t>
        </is>
      </c>
      <c r="FF375" s="15" t="inlineStr">
        <is>
          <t>LDYECS318S0044091</t>
        </is>
      </c>
      <c r="FG375" s="15" t="inlineStr">
        <is>
          <t>Zhong Tong</t>
        </is>
      </c>
      <c r="FH375" s="15" t="inlineStr">
        <is>
          <t>Lck6122evg</t>
        </is>
      </c>
      <c r="FI375" s="15" t="inlineStr">
        <is>
          <t>ZHONGTONG</t>
        </is>
      </c>
      <c r="FJ375" s="15" t="inlineStr">
        <is>
          <t>LCK6122EVG</t>
        </is>
      </c>
      <c r="FK375" s="15" t="n">
        <v>2025</v>
      </c>
      <c r="FL375" s="15" t="inlineStr">
        <is>
          <t>B</t>
        </is>
      </c>
      <c r="FM375" s="15" t="inlineStr">
        <is>
          <t>PIE ANDINO</t>
        </is>
      </c>
      <c r="FN375" s="15" t="inlineStr">
        <is>
          <t>Pie Andino 31 (Pie Andino 383)</t>
        </is>
      </c>
      <c r="FO375" s="15" t="inlineStr">
        <is>
          <t>Puente Alto</t>
        </is>
      </c>
      <c r="FP375" t="inlineStr">
        <is>
          <t>B</t>
        </is>
      </c>
      <c r="FS375" s="14" t="inlineStr">
        <is>
          <t>3097 / SFWZ-77|</t>
        </is>
      </c>
      <c r="FT375" t="inlineStr">
        <is>
          <t>SFWZ-77|</t>
        </is>
      </c>
      <c r="FU375" t="inlineStr">
        <is>
          <t>SFWZ-77</t>
        </is>
      </c>
      <c r="FV375">
        <f>VLOOKUP(FU375,FD:FL,9,0)</f>
        <v/>
      </c>
      <c r="HA375" s="35" t="n">
        <v>145</v>
      </c>
      <c r="HB375" s="35" t="n">
        <v>369</v>
      </c>
    </row>
    <row r="376" ht="15.5" customHeight="1">
      <c r="A376" s="10">
        <f>HOUR(G376)+1</f>
        <v/>
      </c>
      <c r="B376" s="7" t="n"/>
      <c r="C376" s="7" t="n"/>
      <c r="D376" s="85">
        <f>IFERROR(
IF(AND(OR(Planilla!B376="C",Planilla!B376="c"), VLOOKUP(E376,FD:FP,13,0)="C"), "OK",IF(AND(OR(Planilla!B376="C",Planilla!B376="c"), OR(VLOOKUP(E376,FD:FP,13,0)="B", VLOOKUP(E376,FD:FP,13,0)="A")), "DEFICIT",IF(
AND(OR(Planilla!B376="B", Planilla!B376="BPAL"), VLOOKUP(E376,FD:FP,13,0)="B"), "OK",IF(AND(OR(Planilla!B376="B", Planilla!B376="BPAL"), VLOOKUP(E376,FD:FP,13,0)="A"), "DEFICIT",IF(AND(OR(Planilla!B376="B", Planilla!B376="BPAL"), VLOOKUP(E376,FD:FP,13,0)="C"), "SOBREOFERTA",IF(AND(Planilla!B376="A", VLOOKUP(E376,FD:FP,13,0)="A"), "OK",IF(
AND(Planilla!B376="A", OR(VLOOKUP(E376,FD:FP,13,0)="B", VLOOKUP(E376,FD:FP,13,0)="C")), "SOBREOFERTA",""
))))))),"")</f>
        <v/>
      </c>
      <c r="E376" s="8" t="n"/>
      <c r="F376" s="86" t="n"/>
      <c r="G376" s="87" t="n"/>
      <c r="H376" s="88">
        <f>IF(I376="","",IF(AND((I376-G376)&gt;=TIME(0,0,0),(I376-G376)&lt;TIME(0,3,0)),"OK",IF(AND((I376-G376)&gt;=TIME(0,3,0),(I376-G376)&lt;TIME(0,5,0)),"RETRASO DE 3-5 MIN",IF(AND((I376-G376)&gt;=TIME(0,5,0),(I376-G376)&lt;TIME(0,10,0)),"RETRASO DE 5-10 MIN",IF((I376-G376)&gt;=TIME(0,10,0),"RETRASO &gt;10 MIN", IF(AND((G376-I376)&gt;=TIME(0,0,0),(G376-I376)&lt;TIME(0,3,0)),"OK",IF((G376-I376)&gt;=TIME(0,3,0),"ADELANTADO")))))))</f>
        <v/>
      </c>
      <c r="I376" s="89" t="n"/>
      <c r="J376" s="89">
        <f>IF(A376&lt;&gt;"",HLOOKUP(VALUE(TEXT(G376,"h:mm:ss")),IF($C$6="Laboral",$FZ$4:$GX$227,IF($C$6="Sábado",$FZ$231:$GX$452,$FZ$456:$GX$656)),VLOOKUP($C$4,$HF$2:$HH$99,3,0)+IF(C$5="Ida",0,1),1),"")</f>
        <v/>
      </c>
      <c r="K376" s="89">
        <f>IF(A377&lt;&gt;A376,AVERAGEIF(A$9:A376,A376,J$9:J376),"")</f>
        <v/>
      </c>
      <c r="L376" s="89">
        <f>IFERROR(IF(A377&lt;&gt;A376,AVERAGEIF(A$9:A376,A376,S$9:S376),""),"")</f>
        <v/>
      </c>
      <c r="M376" s="89">
        <f>IFERROR(IF(A377&lt;&gt;A376,AVERAGEIF(A$9:A376,A376,T$9:T376),""),"")</f>
        <v/>
      </c>
      <c r="N376" s="89">
        <f t="array" ref="N376">IFERROR(IF(A377&lt;&gt;A376,_xlfn.STDEV.P(IF(A$9:A376=A376,T$9:T376)),""),"")</f>
        <v/>
      </c>
      <c r="O376" s="89">
        <f t="array" ref="O376">IFERROR(IF(A377&lt;&gt;A376,_xlfn.STDEV.P(IF(A$9:A376=A376,S$9:S376)),""),"")</f>
        <v/>
      </c>
      <c r="P376" s="90">
        <f>IFERROR(IF(A376&lt;&gt;A377,MAX((((M376*24*60)/2)*(1+POWER((((N376*24*60) / (M376*24*60) )),2))) + ((M376*24*60 )*-0.1 + (K376*0.015)) +1,(((M376*24*60)/2)*(1+POWER((((N376*24*60) / (M376*24*60 ))),2)))),""),"")</f>
        <v/>
      </c>
      <c r="Q376" s="90">
        <f>IF(AND(O376&lt;&gt;"",L376&lt;&gt;""),IF(A376&lt;&gt;A377,((L376*24*60) / 2 ) * (1 + POWER(((O376*24*60) / (L376*24*60)),2)),""),"")</f>
        <v/>
      </c>
      <c r="R376" s="90">
        <f>IF(Q376&lt;&gt;"",MAX(P376,Q376),"")</f>
        <v/>
      </c>
      <c r="S376" s="89">
        <f>IF(I376&lt;&gt;"H. Sale Real",IF(AND(I377&lt;&gt;"",LEFT(C377,2)&lt;&gt;"Va"),IF(AND(I376&lt;&gt;"",LEFT(C376,2)&lt;&gt;"Va",I376&lt;&gt;"H. Sale Real"),IF(I377-I376&lt;0.208333333333333,I377-I376,""),IF(AND(I375&lt;&gt;"",LEFT(C375,2)&lt;&gt;"Va",I375&lt;&gt;"H. Sale Real"),IF(I377-I375&lt;0.208333333333333,I377-I375,""),IF(AND(I374&lt;&gt;"",LEFT(C374,2)&lt;&gt;"Va",I374&lt;&gt;"H. Sale Real"),IF(I377-I374&lt;0.208333333333333,I377-I374,""),IF(AND(I373&lt;&gt;"",LEFT(C373,2)&lt;&gt;"Va",I373&lt;&gt;"H. Sale Real"),IF(I377-I373&lt;0.208333333333333,I377-I373,""),IF(AND(I372&lt;&gt;"",LEFT(C372,2)&lt;&gt;"Va",I372&lt;&gt;"H. Sale Real"),IF(I377-I372&lt;0.208333333333333,I377-I372,""),""))))),""),"")</f>
        <v/>
      </c>
      <c r="T376" s="89">
        <f>IF(G376&lt;&gt;"H. Sale Real",IF(AND(G377&lt;&gt;"",LEFT(C377,2)&lt;&gt;"Va"),IF(AND(G376&lt;&gt;"",LEFT(C376,2)&lt;&gt;"Va",G376&lt;&gt;"H. Sale Real"),IF(G377-G376&lt;0.208333333333333,G377-G376,""),IF(AND(G375&lt;&gt;"",LEFT(C375,2)&lt;&gt;"Va",G375&lt;&gt;"H. Sale Real"),IF(G377-G375&lt;0.208333333333333,G377-G375,""),IF(AND(G374&lt;&gt;"",LEFT(C374,2)&lt;&gt;"Va",G374&lt;&gt;"H. Sale Real"),IF(G377-G374&lt;0.208333333333333,G377-G374,""),IF(AND(G373&lt;&gt;"",LEFT(C373,2)&lt;&gt;"Va",G373&lt;&gt;"H. Sale Real"),IF(G377-G373&lt;0.208333333333333,G377-G373,""),IF(AND(G372&lt;&gt;"",LEFT(C372,2)&lt;&gt;"Va",G372&lt;&gt;"H. Sale Real"),IF(G377-G372&lt;0.208333333333333,G377-G372,""),""))))),""),"")</f>
        <v/>
      </c>
      <c r="U376" s="87" t="n"/>
      <c r="V376" s="89" t="n"/>
      <c r="W376" s="87" t="n"/>
      <c r="X376" s="89" t="n"/>
      <c r="Y376" s="91" t="n"/>
      <c r="Z376" s="122">
        <f>IF(G376&lt;&gt;"",IF(AND(Z375&lt;&gt;"IE",P376&lt;&gt;0,R376&lt;&gt;""),IF(IFERROR((P376/R376),0) &lt;=1,IFERROR(P376/R376,""),1),""),"")</f>
        <v/>
      </c>
      <c r="AA376" s="93" t="n"/>
      <c r="AB376" s="2" t="n"/>
      <c r="AE376" s="10">
        <f>HOUR(AK376)+1</f>
        <v/>
      </c>
      <c r="AF376" s="7" t="n"/>
      <c r="AG376" s="7" t="n"/>
      <c r="AH376" s="86" t="n"/>
      <c r="AI376" s="8" t="n"/>
      <c r="AJ376" s="86" t="n"/>
      <c r="AK376" s="87" t="n"/>
      <c r="AL376" s="88">
        <f>IF(AM376="","",IF(AND((AM376-AK376)&gt;=TIME(0,0,0),(AM376-AK376)&lt;TIME(0,3,0)),"OK",IF(AND((AM376-AK376)&gt;=TIME(0,3,0),(AM376-AK376)&lt;TIME(0,5,0)),"RETRASO DE 3-5 MIN",IF(AND((AM376-AK376)&gt;=TIME(0,5,0),(AM376-AK376)&lt;TIME(0,10,0)),"RETRASO DE 5-10 MIN",IF((AM376-AK376)&gt;=TIME(0,10,0),"RETRASO &gt;10 MIN", IF(AND((AK376-AM376)&gt;=TIME(0,0,0),(AK376-AM376)&lt;TIME(0,3,0)),"OK",IF((AK376-AM376)&gt;=TIME(0,3,0),"ADELANTADO")))))))</f>
        <v/>
      </c>
      <c r="AM376" s="91" t="n"/>
      <c r="AN376" s="89">
        <f>IF(AE376&lt;&gt;"",HLOOKUP(VALUE(TEXT(AK376,"h:mm:ss")),IF($C$6="Laboral",$FZ$4:$GX$227,IF($C$6="Sábado",$FZ$231:$GX$452,$FZ$456:$GX$656)),VLOOKUP($C$4,$HF$2:$HH$99,3,0)+IF(AG$5="Ida",0,1),1),"")</f>
        <v/>
      </c>
      <c r="AO376" s="89">
        <f>IF(AE377&lt;&gt;AE376,AVERAGEIF(AE$9:AE376,AE376,AN$9:AN376),"")</f>
        <v/>
      </c>
      <c r="AP376" s="89">
        <f>IFERROR(IF(AE377&lt;&gt;AE376,AVERAGEIF(AE$9:AE376,AE376,AW$9:AW376),""),"")</f>
        <v/>
      </c>
      <c r="AQ376" s="89">
        <f>IFERROR(IF(AE377&lt;&gt;AE376,AVERAGEIF(AE$9:AE376,AE376,AX$9:AX376),""),"")</f>
        <v/>
      </c>
      <c r="AR376" s="89">
        <f t="array" ref="AR376">IFERROR(IF(AE377&lt;&gt;AE376,_xlfn.STDEV.P(IF(AE$9:AE376=AE376,AX$9:AX376)),""),"")</f>
        <v/>
      </c>
      <c r="AS376" s="89">
        <f t="array" ref="AS376">IFERROR(IF(AE377&lt;&gt;AE376,_xlfn.STDEV.P(IF(AE$9:AE376=AE376,AW$9:AW376)),""),"")</f>
        <v/>
      </c>
      <c r="AT376" s="90">
        <f>IFERROR(IF(AE376&lt;&gt;AE377,MAX((((AQ376*24*60)/2)*(1+POWER((((AR376*24*60) / (AQ376*24*60) )),2))) + ((AQ376*24*60 )*-0.1 + (AO376*0.015)) +1,(((AQ376*24*60)/2)*(1+POWER((((AR376*24*60) / (AQ376*24*60 ))),2)))),""),"")</f>
        <v/>
      </c>
      <c r="AU376" s="90">
        <f>IF(AND(AS376&lt;&gt;"",AP376&lt;&gt;""),IF(AE376&lt;&gt;AE377,((AP376*24*60) / 2 ) * (1 + POWER(((AS376*24*60) / (AP376*24*60)),2)),""),"")</f>
        <v/>
      </c>
      <c r="AV376" s="90">
        <f>IF(AU376&lt;&gt;"",MAX(AT376,AU376),"")</f>
        <v/>
      </c>
      <c r="AW376" s="89">
        <f>IF(AM376&lt;&gt;"H. Sale Real",IF(AND(AM377&lt;&gt;"",LEFT(AG377,2)&lt;&gt;"Va"),IF(AND(AM376&lt;&gt;"",LEFT(AG376,2)&lt;&gt;"Va",AM376&lt;&gt;"H. Sale Real"),IF(AM377-AM376&lt;0.208333333333333,AM377-AM376,""),IF(AND(AM375&lt;&gt;"",LEFT(AG375,2)&lt;&gt;"Va",AM375&lt;&gt;"H. Sale Real"),IF(AM377-AM375&lt;0.208333333333333,AM377-AM375,""),IF(AND(AM374&lt;&gt;"",LEFT(AG374,2)&lt;&gt;"Va",AM374&lt;&gt;"H. Sale Real"),IF(AM377-AM374&lt;0.208333333333333,AM377-AM374,""),IF(AND(AM373&lt;&gt;"",LEFT(AG373,2)&lt;&gt;"Va",AM373&lt;&gt;"H. Sale Real"),IF(AM377-AM373&lt;0.208333333333333,AM377-AM373,""),IF(AND(AM372&lt;&gt;"",LEFT(AG372,2)&lt;&gt;"Va",AM372&lt;&gt;"H. Sale Real"),IF(AM377-AM372&lt;0.208333333333333,AM377-AM372,""),""))))),""),"")</f>
        <v/>
      </c>
      <c r="AX376" s="89">
        <f>IF(AK376&lt;&gt;"H. Sale Real",IF(AND(AK377&lt;&gt;"",LEFT(AG377,2)&lt;&gt;"Va"),IF(AND(AK376&lt;&gt;"",LEFT(AG376,2)&lt;&gt;"Va",AK376&lt;&gt;"H. Sale Real"),IF(AK377-AK376&lt;0.208333333333333,AK377-AK376,""),IF(AND(AK375&lt;&gt;"",LEFT(AG375,2)&lt;&gt;"Va",AK375&lt;&gt;"H. Sale Real"),IF(AK377-AK375&lt;0.208333333333333,AK377-AK375,""),IF(AND(AK374&lt;&gt;"",LEFT(AG374,2)&lt;&gt;"NC",AK374&lt;&gt;"H. Sale Real"),IF(AK377-AK374&lt;0.208333333333333,AK377-AK374,""),IF(AND(AK373&lt;&gt;"",LEFT(AG373,2)&lt;&gt;"Va",AK373&lt;&gt;"H. Sale Real"),IF(AK377-AK373&lt;0.208333333333333,AK377-AK373,""),IF(AND(AK372&lt;&gt;"",LEFT(AG372,2)&lt;&gt;"Va",AK372&lt;&gt;"H. Sale Real"),IF(AK377-AK372&lt;0.208333333333333,AK377-AK372,""),""))))),""),"")</f>
        <v/>
      </c>
      <c r="AY376" s="87" t="n"/>
      <c r="AZ376" s="89" t="n"/>
      <c r="BA376" s="87" t="n"/>
      <c r="BB376" s="89" t="n"/>
      <c r="BC376" s="91" t="n"/>
      <c r="BD376" s="122">
        <f>IF(AK376&lt;&gt;"",IF(AND(BD375&lt;&gt;"IE",AT376&lt;&gt;0,AV376&lt;&gt;""),IF(IFERROR((AT376/AV376),0) &lt;=1,IFERROR(AT376/AV376,""),1),""),"")</f>
        <v/>
      </c>
      <c r="BE376" s="93" t="n"/>
      <c r="BF376" s="105" t="n"/>
      <c r="FC376" t="inlineStr">
        <is>
          <t>Diccionario 1</t>
        </is>
      </c>
      <c r="FD376" s="15" t="n">
        <v>1375</v>
      </c>
      <c r="FE376" s="15" t="inlineStr">
        <is>
          <t>MDN35025020004</t>
        </is>
      </c>
      <c r="FF376" s="15" t="inlineStr">
        <is>
          <t>LDYECS314S0044105</t>
        </is>
      </c>
      <c r="FG376" s="15" t="inlineStr">
        <is>
          <t>Zhong Tong</t>
        </is>
      </c>
      <c r="FH376" s="15" t="inlineStr">
        <is>
          <t>Lck6122evg</t>
        </is>
      </c>
      <c r="FI376" s="15" t="inlineStr">
        <is>
          <t>ZHONGTONG</t>
        </is>
      </c>
      <c r="FJ376" s="15" t="inlineStr">
        <is>
          <t>LCK6122EVG</t>
        </is>
      </c>
      <c r="FK376" s="15" t="n">
        <v>2025</v>
      </c>
      <c r="FL376" s="15" t="inlineStr">
        <is>
          <t>B</t>
        </is>
      </c>
      <c r="FM376" s="15" t="inlineStr">
        <is>
          <t>SAN ALFONSO</t>
        </is>
      </c>
      <c r="FN376" s="15" t="inlineStr">
        <is>
          <t>San Alfonso 2141 (Ramón Subercaseaux 3060)</t>
        </is>
      </c>
      <c r="FO376" s="15" t="inlineStr">
        <is>
          <t>Estacion Central</t>
        </is>
      </c>
      <c r="FP376" t="inlineStr">
        <is>
          <t>B</t>
        </is>
      </c>
      <c r="FS376" s="14" t="inlineStr">
        <is>
          <t>3097 / SFWZ-77|</t>
        </is>
      </c>
      <c r="FT376" t="inlineStr">
        <is>
          <t>SFWZ-77|</t>
        </is>
      </c>
      <c r="FU376" t="inlineStr">
        <is>
          <t>SFWZ-77</t>
        </is>
      </c>
      <c r="FV376">
        <f>VLOOKUP(FU376,FD:FL,9,0)</f>
        <v/>
      </c>
      <c r="HA376" s="35" t="n">
        <v>146</v>
      </c>
      <c r="HB376" s="35" t="n">
        <v>370</v>
      </c>
    </row>
    <row r="377" ht="15.5" customHeight="1">
      <c r="A377" s="10">
        <f>HOUR(G377)+1</f>
        <v/>
      </c>
      <c r="B377" s="7" t="n"/>
      <c r="C377" s="7" t="n"/>
      <c r="D377" s="85">
        <f>IFERROR(
IF(AND(OR(Planilla!B377="C",Planilla!B377="c"), VLOOKUP(E377,FD:FP,13,0)="C"), "OK",IF(AND(OR(Planilla!B377="C",Planilla!B377="c"), OR(VLOOKUP(E377,FD:FP,13,0)="B", VLOOKUP(E377,FD:FP,13,0)="A")), "DEFICIT",IF(
AND(OR(Planilla!B377="B", Planilla!B377="BPAL"), VLOOKUP(E377,FD:FP,13,0)="B"), "OK",IF(AND(OR(Planilla!B377="B", Planilla!B377="BPAL"), VLOOKUP(E377,FD:FP,13,0)="A"), "DEFICIT",IF(AND(OR(Planilla!B377="B", Planilla!B377="BPAL"), VLOOKUP(E377,FD:FP,13,0)="C"), "SOBREOFERTA",IF(AND(Planilla!B377="A", VLOOKUP(E377,FD:FP,13,0)="A"), "OK",IF(
AND(Planilla!B377="A", OR(VLOOKUP(E377,FD:FP,13,0)="B", VLOOKUP(E377,FD:FP,13,0)="C")), "SOBREOFERTA",""
))))))),"")</f>
        <v/>
      </c>
      <c r="E377" s="8" t="n"/>
      <c r="F377" s="86" t="n"/>
      <c r="G377" s="87" t="n"/>
      <c r="H377" s="88">
        <f>IF(I377="","",IF(AND((I377-G377)&gt;=TIME(0,0,0),(I377-G377)&lt;TIME(0,3,0)),"OK",IF(AND((I377-G377)&gt;=TIME(0,3,0),(I377-G377)&lt;TIME(0,5,0)),"RETRASO DE 3-5 MIN",IF(AND((I377-G377)&gt;=TIME(0,5,0),(I377-G377)&lt;TIME(0,10,0)),"RETRASO DE 5-10 MIN",IF((I377-G377)&gt;=TIME(0,10,0),"RETRASO &gt;10 MIN", IF(AND((G377-I377)&gt;=TIME(0,0,0),(G377-I377)&lt;TIME(0,3,0)),"OK",IF((G377-I377)&gt;=TIME(0,3,0),"ADELANTADO")))))))</f>
        <v/>
      </c>
      <c r="I377" s="89" t="n"/>
      <c r="J377" s="89">
        <f>IF(A377&lt;&gt;"",HLOOKUP(VALUE(TEXT(G377,"h:mm:ss")),IF($C$6="Laboral",$FZ$4:$GX$227,IF($C$6="Sábado",$FZ$231:$GX$452,$FZ$456:$GX$656)),VLOOKUP($C$4,$HF$2:$HH$99,3,0)+IF(C$5="Ida",0,1),1),"")</f>
        <v/>
      </c>
      <c r="K377" s="89">
        <f>IF(A378&lt;&gt;A377,AVERAGEIF(A$9:A377,A377,J$9:J377),"")</f>
        <v/>
      </c>
      <c r="L377" s="89">
        <f>IFERROR(IF(A378&lt;&gt;A377,AVERAGEIF(A$9:A377,A377,S$9:S377),""),"")</f>
        <v/>
      </c>
      <c r="M377" s="89">
        <f>IFERROR(IF(A378&lt;&gt;A377,AVERAGEIF(A$9:A377,A377,T$9:T377),""),"")</f>
        <v/>
      </c>
      <c r="N377" s="89">
        <f t="array" ref="N377">IFERROR(IF(A378&lt;&gt;A377,_xlfn.STDEV.P(IF(A$9:A377=A377,T$9:T377)),""),"")</f>
        <v/>
      </c>
      <c r="O377" s="89">
        <f t="array" ref="O377">IFERROR(IF(A378&lt;&gt;A377,_xlfn.STDEV.P(IF(A$9:A377=A377,S$9:S377)),""),"")</f>
        <v/>
      </c>
      <c r="P377" s="90">
        <f>IFERROR(IF(A377&lt;&gt;A378,MAX((((M377*24*60)/2)*(1+POWER((((N377*24*60) / (M377*24*60) )),2))) + ((M377*24*60 )*-0.1 + (K377*0.015)) +1,(((M377*24*60)/2)*(1+POWER((((N377*24*60) / (M377*24*60 ))),2)))),""),"")</f>
        <v/>
      </c>
      <c r="Q377" s="90">
        <f>IF(AND(O377&lt;&gt;"",L377&lt;&gt;""),IF(A377&lt;&gt;A378,((L377*24*60) / 2 ) * (1 + POWER(((O377*24*60) / (L377*24*60)),2)),""),"")</f>
        <v/>
      </c>
      <c r="R377" s="90">
        <f>IF(Q377&lt;&gt;"",MAX(P377,Q377),"")</f>
        <v/>
      </c>
      <c r="S377" s="89">
        <f>IF(I377&lt;&gt;"H. Sale Real",IF(AND(I378&lt;&gt;"",LEFT(C378,2)&lt;&gt;"Va"),IF(AND(I377&lt;&gt;"",LEFT(C377,2)&lt;&gt;"Va",I377&lt;&gt;"H. Sale Real"),IF(I378-I377&lt;0.208333333333333,I378-I377,""),IF(AND(I376&lt;&gt;"",LEFT(C376,2)&lt;&gt;"Va",I376&lt;&gt;"H. Sale Real"),IF(I378-I376&lt;0.208333333333333,I378-I376,""),IF(AND(I375&lt;&gt;"",LEFT(C375,2)&lt;&gt;"Va",I375&lt;&gt;"H. Sale Real"),IF(I378-I375&lt;0.208333333333333,I378-I375,""),IF(AND(I374&lt;&gt;"",LEFT(C374,2)&lt;&gt;"Va",I374&lt;&gt;"H. Sale Real"),IF(I378-I374&lt;0.208333333333333,I378-I374,""),IF(AND(I373&lt;&gt;"",LEFT(C373,2)&lt;&gt;"Va",I373&lt;&gt;"H. Sale Real"),IF(I378-I373&lt;0.208333333333333,I378-I373,""),""))))),""),"")</f>
        <v/>
      </c>
      <c r="T377" s="89">
        <f>IF(G377&lt;&gt;"H. Sale Real",IF(AND(G378&lt;&gt;"",LEFT(C378,2)&lt;&gt;"Va"),IF(AND(G377&lt;&gt;"",LEFT(C377,2)&lt;&gt;"Va",G377&lt;&gt;"H. Sale Real"),IF(G378-G377&lt;0.208333333333333,G378-G377,""),IF(AND(G376&lt;&gt;"",LEFT(C376,2)&lt;&gt;"Va",G376&lt;&gt;"H. Sale Real"),IF(G378-G376&lt;0.208333333333333,G378-G376,""),IF(AND(G375&lt;&gt;"",LEFT(C375,2)&lt;&gt;"Va",G375&lt;&gt;"H. Sale Real"),IF(G378-G375&lt;0.208333333333333,G378-G375,""),IF(AND(G374&lt;&gt;"",LEFT(C374,2)&lt;&gt;"Va",G374&lt;&gt;"H. Sale Real"),IF(G378-G374&lt;0.208333333333333,G378-G374,""),IF(AND(G373&lt;&gt;"",LEFT(C373,2)&lt;&gt;"Va",G373&lt;&gt;"H. Sale Real"),IF(G378-G373&lt;0.208333333333333,G378-G373,""),""))))),""),"")</f>
        <v/>
      </c>
      <c r="U377" s="87" t="n"/>
      <c r="V377" s="89" t="n"/>
      <c r="W377" s="87" t="n"/>
      <c r="X377" s="89" t="n"/>
      <c r="Y377" s="91" t="n"/>
      <c r="Z377" s="122">
        <f>IF(G377&lt;&gt;"",IF(AND(Z376&lt;&gt;"IE",P377&lt;&gt;0,R377&lt;&gt;""),IF(IFERROR((P377/R377),0) &lt;=1,IFERROR(P377/R377,""),1),""),"")</f>
        <v/>
      </c>
      <c r="AA377" s="93" t="n"/>
      <c r="AB377" s="2" t="n"/>
      <c r="AE377" s="10">
        <f>HOUR(AK377)+1</f>
        <v/>
      </c>
      <c r="AF377" s="7" t="n"/>
      <c r="AG377" s="7" t="n"/>
      <c r="AH377" s="86" t="n"/>
      <c r="AI377" s="8" t="n"/>
      <c r="AJ377" s="86" t="n"/>
      <c r="AK377" s="87" t="n"/>
      <c r="AL377" s="88">
        <f>IF(AM377="","",IF(AND((AM377-AK377)&gt;=TIME(0,0,0),(AM377-AK377)&lt;TIME(0,3,0)),"OK",IF(AND((AM377-AK377)&gt;=TIME(0,3,0),(AM377-AK377)&lt;TIME(0,5,0)),"RETRASO DE 3-5 MIN",IF(AND((AM377-AK377)&gt;=TIME(0,5,0),(AM377-AK377)&lt;TIME(0,10,0)),"RETRASO DE 5-10 MIN",IF((AM377-AK377)&gt;=TIME(0,10,0),"RETRASO &gt;10 MIN", IF(AND((AK377-AM377)&gt;=TIME(0,0,0),(AK377-AM377)&lt;TIME(0,3,0)),"OK",IF((AK377-AM377)&gt;=TIME(0,3,0),"ADELANTADO")))))))</f>
        <v/>
      </c>
      <c r="AM377" s="91" t="n"/>
      <c r="AN377" s="89">
        <f>IF(AE377&lt;&gt;"",HLOOKUP(VALUE(TEXT(AK377,"h:mm:ss")),IF($C$6="Laboral",$FZ$4:$GX$227,IF($C$6="Sábado",$FZ$231:$GX$452,$FZ$456:$GX$656)),VLOOKUP($C$4,$HF$2:$HH$99,3,0)+IF(AG$5="Ida",0,1),1),"")</f>
        <v/>
      </c>
      <c r="AO377" s="89">
        <f>IF(AE378&lt;&gt;AE377,AVERAGEIF(AE$9:AE377,AE377,AN$9:AN377),"")</f>
        <v/>
      </c>
      <c r="AP377" s="89">
        <f>IFERROR(IF(AE378&lt;&gt;AE377,AVERAGEIF(AE$9:AE377,AE377,AW$9:AW377),""),"")</f>
        <v/>
      </c>
      <c r="AQ377" s="89">
        <f>IFERROR(IF(AE378&lt;&gt;AE377,AVERAGEIF(AE$9:AE377,AE377,AX$9:AX377),""),"")</f>
        <v/>
      </c>
      <c r="AR377" s="89">
        <f t="array" ref="AR377">IFERROR(IF(AE378&lt;&gt;AE377,_xlfn.STDEV.P(IF(AE$9:AE377=AE377,AX$9:AX377)),""),"")</f>
        <v/>
      </c>
      <c r="AS377" s="89">
        <f t="array" ref="AS377">IFERROR(IF(AE378&lt;&gt;AE377,_xlfn.STDEV.P(IF(AE$9:AE377=AE377,AW$9:AW377)),""),"")</f>
        <v/>
      </c>
      <c r="AT377" s="90">
        <f>IFERROR(IF(AE377&lt;&gt;AE378,MAX((((AQ377*24*60)/2)*(1+POWER((((AR377*24*60) / (AQ377*24*60) )),2))) + ((AQ377*24*60 )*-0.1 + (AO377*0.015)) +1,(((AQ377*24*60)/2)*(1+POWER((((AR377*24*60) / (AQ377*24*60 ))),2)))),""),"")</f>
        <v/>
      </c>
      <c r="AU377" s="90">
        <f>IF(AND(AS377&lt;&gt;"",AP377&lt;&gt;""),IF(AE377&lt;&gt;AE378,((AP377*24*60) / 2 ) * (1 + POWER(((AS377*24*60) / (AP377*24*60)),2)),""),"")</f>
        <v/>
      </c>
      <c r="AV377" s="90">
        <f>IF(AU377&lt;&gt;"",MAX(AT377,AU377),"")</f>
        <v/>
      </c>
      <c r="AW377" s="89">
        <f>IF(AM377&lt;&gt;"H. Sale Real",IF(AND(AM378&lt;&gt;"",LEFT(AG378,2)&lt;&gt;"Va"),IF(AND(AM377&lt;&gt;"",LEFT(AG377,2)&lt;&gt;"Va",AM377&lt;&gt;"H. Sale Real"),IF(AM378-AM377&lt;0.208333333333333,AM378-AM377,""),IF(AND(AM376&lt;&gt;"",LEFT(AG376,2)&lt;&gt;"Va",AM376&lt;&gt;"H. Sale Real"),IF(AM378-AM376&lt;0.208333333333333,AM378-AM376,""),IF(AND(AM375&lt;&gt;"",LEFT(AG375,2)&lt;&gt;"Va",AM375&lt;&gt;"H. Sale Real"),IF(AM378-AM375&lt;0.208333333333333,AM378-AM375,""),IF(AND(AM374&lt;&gt;"",LEFT(AG374,2)&lt;&gt;"Va",AM374&lt;&gt;"H. Sale Real"),IF(AM378-AM374&lt;0.208333333333333,AM378-AM374,""),IF(AND(AM373&lt;&gt;"",LEFT(AG373,2)&lt;&gt;"Va",AM373&lt;&gt;"H. Sale Real"),IF(AM378-AM373&lt;0.208333333333333,AM378-AM373,""),""))))),""),"")</f>
        <v/>
      </c>
      <c r="AX377" s="89">
        <f>IF(AK377&lt;&gt;"H. Sale Real",IF(AND(AK378&lt;&gt;"",LEFT(AG378,2)&lt;&gt;"Va"),IF(AND(AK377&lt;&gt;"",LEFT(AG377,2)&lt;&gt;"Va",AK377&lt;&gt;"H. Sale Real"),IF(AK378-AK377&lt;0.208333333333333,AK378-AK377,""),IF(AND(AK376&lt;&gt;"",LEFT(AG376,2)&lt;&gt;"Va",AK376&lt;&gt;"H. Sale Real"),IF(AK378-AK376&lt;0.208333333333333,AK378-AK376,""),IF(AND(AK375&lt;&gt;"",LEFT(AG375,2)&lt;&gt;"NC",AK375&lt;&gt;"H. Sale Real"),IF(AK378-AK375&lt;0.208333333333333,AK378-AK375,""),IF(AND(AK374&lt;&gt;"",LEFT(AG374,2)&lt;&gt;"Va",AK374&lt;&gt;"H. Sale Real"),IF(AK378-AK374&lt;0.208333333333333,AK378-AK374,""),IF(AND(AK373&lt;&gt;"",LEFT(AG373,2)&lt;&gt;"Va",AK373&lt;&gt;"H. Sale Real"),IF(AK378-AK373&lt;0.208333333333333,AK378-AK373,""),""))))),""),"")</f>
        <v/>
      </c>
      <c r="AY377" s="87" t="n"/>
      <c r="AZ377" s="89" t="n"/>
      <c r="BA377" s="87" t="n"/>
      <c r="BB377" s="89" t="n"/>
      <c r="BC377" s="91" t="n"/>
      <c r="BD377" s="122">
        <f>IF(AK377&lt;&gt;"",IF(AND(BD376&lt;&gt;"IE",AT377&lt;&gt;0,AV377&lt;&gt;""),IF(IFERROR((AT377/AV377),0) &lt;=1,IFERROR(AT377/AV377,""),1),""),"")</f>
        <v/>
      </c>
      <c r="BE377" s="93" t="n"/>
      <c r="BF377" s="105" t="n"/>
      <c r="FC377" t="inlineStr">
        <is>
          <t>Diccionario 1</t>
        </is>
      </c>
      <c r="FD377" s="15" t="n">
        <v>1376</v>
      </c>
      <c r="FE377" s="15" t="inlineStr">
        <is>
          <t>MDN35025010245</t>
        </is>
      </c>
      <c r="FF377" s="15" t="inlineStr">
        <is>
          <t>LDYECS312S0044099</t>
        </is>
      </c>
      <c r="FG377" s="15" t="inlineStr">
        <is>
          <t>Zhong Tong</t>
        </is>
      </c>
      <c r="FH377" s="15" t="inlineStr">
        <is>
          <t>Lck6122evg</t>
        </is>
      </c>
      <c r="FI377" s="15" t="inlineStr">
        <is>
          <t>ZHONGTONG</t>
        </is>
      </c>
      <c r="FJ377" s="15" t="inlineStr">
        <is>
          <t>LCK6122EVG</t>
        </is>
      </c>
      <c r="FK377" s="15" t="n">
        <v>2025</v>
      </c>
      <c r="FL377" s="15" t="inlineStr">
        <is>
          <t>B</t>
        </is>
      </c>
      <c r="FM377" s="15" t="inlineStr">
        <is>
          <t>PIE ANDINO</t>
        </is>
      </c>
      <c r="FN377" s="15" t="inlineStr">
        <is>
          <t>Pie Andino 31 (Pie Andino 383)</t>
        </is>
      </c>
      <c r="FO377" s="15" t="inlineStr">
        <is>
          <t>Puente Alto</t>
        </is>
      </c>
      <c r="FP377" t="inlineStr">
        <is>
          <t>B</t>
        </is>
      </c>
      <c r="FS377" s="14" t="inlineStr">
        <is>
          <t>3099 / SFWZ-37|</t>
        </is>
      </c>
      <c r="FT377" t="inlineStr">
        <is>
          <t>SFWZ-37|</t>
        </is>
      </c>
      <c r="FU377" t="inlineStr">
        <is>
          <t>SFWZ-37</t>
        </is>
      </c>
      <c r="FV377">
        <f>VLOOKUP(FU377,FD:FL,9,0)</f>
        <v/>
      </c>
      <c r="HA377" s="35" t="n">
        <v>147</v>
      </c>
      <c r="HB377" s="35" t="n">
        <v>371</v>
      </c>
    </row>
    <row r="378" ht="15.5" customHeight="1">
      <c r="A378" s="10">
        <f>HOUR(G378)+1</f>
        <v/>
      </c>
      <c r="B378" s="7" t="n"/>
      <c r="C378" s="7" t="n"/>
      <c r="D378" s="85">
        <f>IFERROR(
IF(AND(OR(Planilla!B378="C",Planilla!B378="c"), VLOOKUP(E378,FD:FP,13,0)="C"), "OK",IF(AND(OR(Planilla!B378="C",Planilla!B378="c"), OR(VLOOKUP(E378,FD:FP,13,0)="B", VLOOKUP(E378,FD:FP,13,0)="A")), "DEFICIT",IF(
AND(OR(Planilla!B378="B", Planilla!B378="BPAL"), VLOOKUP(E378,FD:FP,13,0)="B"), "OK",IF(AND(OR(Planilla!B378="B", Planilla!B378="BPAL"), VLOOKUP(E378,FD:FP,13,0)="A"), "DEFICIT",IF(AND(OR(Planilla!B378="B", Planilla!B378="BPAL"), VLOOKUP(E378,FD:FP,13,0)="C"), "SOBREOFERTA",IF(AND(Planilla!B378="A", VLOOKUP(E378,FD:FP,13,0)="A"), "OK",IF(
AND(Planilla!B378="A", OR(VLOOKUP(E378,FD:FP,13,0)="B", VLOOKUP(E378,FD:FP,13,0)="C")), "SOBREOFERTA",""
))))))),"")</f>
        <v/>
      </c>
      <c r="E378" s="8" t="n"/>
      <c r="F378" s="86" t="n"/>
      <c r="G378" s="87" t="n"/>
      <c r="H378" s="88">
        <f>IF(I378="","",IF(AND((I378-G378)&gt;=TIME(0,0,0),(I378-G378)&lt;TIME(0,3,0)),"OK",IF(AND((I378-G378)&gt;=TIME(0,3,0),(I378-G378)&lt;TIME(0,5,0)),"RETRASO DE 3-5 MIN",IF(AND((I378-G378)&gt;=TIME(0,5,0),(I378-G378)&lt;TIME(0,10,0)),"RETRASO DE 5-10 MIN",IF((I378-G378)&gt;=TIME(0,10,0),"RETRASO &gt;10 MIN", IF(AND((G378-I378)&gt;=TIME(0,0,0),(G378-I378)&lt;TIME(0,3,0)),"OK",IF((G378-I378)&gt;=TIME(0,3,0),"ADELANTADO")))))))</f>
        <v/>
      </c>
      <c r="I378" s="89" t="n"/>
      <c r="J378" s="89">
        <f>IF(A378&lt;&gt;"",HLOOKUP(VALUE(TEXT(G378,"h:mm:ss")),IF($C$6="Laboral",$FZ$4:$GX$227,IF($C$6="Sábado",$FZ$231:$GX$452,$FZ$456:$GX$656)),VLOOKUP($C$4,$HF$2:$HH$99,3,0)+IF(C$5="Ida",0,1),1),"")</f>
        <v/>
      </c>
      <c r="K378" s="89">
        <f>IF(A379&lt;&gt;A378,AVERAGEIF(A$9:A378,A378,J$9:J378),"")</f>
        <v/>
      </c>
      <c r="L378" s="89">
        <f>IFERROR(IF(A379&lt;&gt;A378,AVERAGEIF(A$9:A378,A378,S$9:S378),""),"")</f>
        <v/>
      </c>
      <c r="M378" s="89">
        <f>IFERROR(IF(A379&lt;&gt;A378,AVERAGEIF(A$9:A378,A378,T$9:T378),""),"")</f>
        <v/>
      </c>
      <c r="N378" s="89">
        <f t="array" ref="N378">IFERROR(IF(A379&lt;&gt;A378,_xlfn.STDEV.P(IF(A$9:A378=A378,T$9:T378)),""),"")</f>
        <v/>
      </c>
      <c r="O378" s="89">
        <f t="array" ref="O378">IFERROR(IF(A379&lt;&gt;A378,_xlfn.STDEV.P(IF(A$9:A378=A378,S$9:S378)),""),"")</f>
        <v/>
      </c>
      <c r="P378" s="90">
        <f>IFERROR(IF(A378&lt;&gt;A379,MAX((((M378*24*60)/2)*(1+POWER((((N378*24*60) / (M378*24*60) )),2))) + ((M378*24*60 )*-0.1 + (K378*0.015)) +1,(((M378*24*60)/2)*(1+POWER((((N378*24*60) / (M378*24*60 ))),2)))),""),"")</f>
        <v/>
      </c>
      <c r="Q378" s="90">
        <f>IF(AND(O378&lt;&gt;"",L378&lt;&gt;""),IF(A378&lt;&gt;A379,((L378*24*60) / 2 ) * (1 + POWER(((O378*24*60) / (L378*24*60)),2)),""),"")</f>
        <v/>
      </c>
      <c r="R378" s="90">
        <f>IF(Q378&lt;&gt;"",MAX(P378,Q378),"")</f>
        <v/>
      </c>
      <c r="S378" s="89">
        <f>IF(I378&lt;&gt;"H. Sale Real",IF(AND(I379&lt;&gt;"",LEFT(C379,2)&lt;&gt;"Va"),IF(AND(I378&lt;&gt;"",LEFT(C378,2)&lt;&gt;"Va",I378&lt;&gt;"H. Sale Real"),IF(I379-I378&lt;0.208333333333333,I379-I378,""),IF(AND(I377&lt;&gt;"",LEFT(C377,2)&lt;&gt;"Va",I377&lt;&gt;"H. Sale Real"),IF(I379-I377&lt;0.208333333333333,I379-I377,""),IF(AND(I376&lt;&gt;"",LEFT(C376,2)&lt;&gt;"Va",I376&lt;&gt;"H. Sale Real"),IF(I379-I376&lt;0.208333333333333,I379-I376,""),IF(AND(I375&lt;&gt;"",LEFT(C375,2)&lt;&gt;"Va",I375&lt;&gt;"H. Sale Real"),IF(I379-I375&lt;0.208333333333333,I379-I375,""),IF(AND(I374&lt;&gt;"",LEFT(C374,2)&lt;&gt;"Va",I374&lt;&gt;"H. Sale Real"),IF(I379-I374&lt;0.208333333333333,I379-I374,""),""))))),""),"")</f>
        <v/>
      </c>
      <c r="T378" s="89">
        <f>IF(G378&lt;&gt;"H. Sale Real",IF(AND(G379&lt;&gt;"",LEFT(C379,2)&lt;&gt;"Va"),IF(AND(G378&lt;&gt;"",LEFT(C378,2)&lt;&gt;"Va",G378&lt;&gt;"H. Sale Real"),IF(G379-G378&lt;0.208333333333333,G379-G378,""),IF(AND(G377&lt;&gt;"",LEFT(C377,2)&lt;&gt;"Va",G377&lt;&gt;"H. Sale Real"),IF(G379-G377&lt;0.208333333333333,G379-G377,""),IF(AND(G376&lt;&gt;"",LEFT(C376,2)&lt;&gt;"Va",G376&lt;&gt;"H. Sale Real"),IF(G379-G376&lt;0.208333333333333,G379-G376,""),IF(AND(G375&lt;&gt;"",LEFT(C375,2)&lt;&gt;"Va",G375&lt;&gt;"H. Sale Real"),IF(G379-G375&lt;0.208333333333333,G379-G375,""),IF(AND(G374&lt;&gt;"",LEFT(C374,2)&lt;&gt;"Va",G374&lt;&gt;"H. Sale Real"),IF(G379-G374&lt;0.208333333333333,G379-G374,""),""))))),""),"")</f>
        <v/>
      </c>
      <c r="U378" s="87" t="n"/>
      <c r="V378" s="89" t="n"/>
      <c r="W378" s="87" t="n"/>
      <c r="X378" s="89" t="n"/>
      <c r="Y378" s="91" t="n"/>
      <c r="Z378" s="122">
        <f>IF(G378&lt;&gt;"",IF(AND(Z377&lt;&gt;"IE",P378&lt;&gt;0,R378&lt;&gt;""),IF(IFERROR((P378/R378),0) &lt;=1,IFERROR(P378/R378,""),1),""),"")</f>
        <v/>
      </c>
      <c r="AA378" s="93" t="n"/>
      <c r="AB378" s="2" t="n"/>
      <c r="AE378" s="10">
        <f>HOUR(AK378)+1</f>
        <v/>
      </c>
      <c r="AF378" s="7" t="n"/>
      <c r="AG378" s="7" t="n"/>
      <c r="AH378" s="86" t="n"/>
      <c r="AI378" s="8" t="n"/>
      <c r="AJ378" s="86" t="n"/>
      <c r="AK378" s="87" t="n"/>
      <c r="AL378" s="88">
        <f>IF(AM378="","",IF(AND((AM378-AK378)&gt;=TIME(0,0,0),(AM378-AK378)&lt;TIME(0,3,0)),"OK",IF(AND((AM378-AK378)&gt;=TIME(0,3,0),(AM378-AK378)&lt;TIME(0,5,0)),"RETRASO DE 3-5 MIN",IF(AND((AM378-AK378)&gt;=TIME(0,5,0),(AM378-AK378)&lt;TIME(0,10,0)),"RETRASO DE 5-10 MIN",IF((AM378-AK378)&gt;=TIME(0,10,0),"RETRASO &gt;10 MIN", IF(AND((AK378-AM378)&gt;=TIME(0,0,0),(AK378-AM378)&lt;TIME(0,3,0)),"OK",IF((AK378-AM378)&gt;=TIME(0,3,0),"ADELANTADO")))))))</f>
        <v/>
      </c>
      <c r="AM378" s="91" t="n"/>
      <c r="AN378" s="89">
        <f>IF(AE378&lt;&gt;"",HLOOKUP(VALUE(TEXT(AK378,"h:mm:ss")),IF($C$6="Laboral",$FZ$4:$GX$227,IF($C$6="Sábado",$FZ$231:$GX$452,$FZ$456:$GX$656)),VLOOKUP($C$4,$HF$2:$HH$99,3,0)+IF(AG$5="Ida",0,1),1),"")</f>
        <v/>
      </c>
      <c r="AO378" s="89">
        <f>IF(AE379&lt;&gt;AE378,AVERAGEIF(AE$9:AE378,AE378,AN$9:AN378),"")</f>
        <v/>
      </c>
      <c r="AP378" s="89">
        <f>IFERROR(IF(AE379&lt;&gt;AE378,AVERAGEIF(AE$9:AE378,AE378,AW$9:AW378),""),"")</f>
        <v/>
      </c>
      <c r="AQ378" s="89">
        <f>IFERROR(IF(AE379&lt;&gt;AE378,AVERAGEIF(AE$9:AE378,AE378,AX$9:AX378),""),"")</f>
        <v/>
      </c>
      <c r="AR378" s="89">
        <f t="array" ref="AR378">IFERROR(IF(AE379&lt;&gt;AE378,_xlfn.STDEV.P(IF(AE$9:AE378=AE378,AX$9:AX378)),""),"")</f>
        <v/>
      </c>
      <c r="AS378" s="89">
        <f t="array" ref="AS378">IFERROR(IF(AE379&lt;&gt;AE378,_xlfn.STDEV.P(IF(AE$9:AE378=AE378,AW$9:AW378)),""),"")</f>
        <v/>
      </c>
      <c r="AT378" s="90">
        <f>IFERROR(IF(AE378&lt;&gt;AE379,MAX((((AQ378*24*60)/2)*(1+POWER((((AR378*24*60) / (AQ378*24*60) )),2))) + ((AQ378*24*60 )*-0.1 + (AO378*0.015)) +1,(((AQ378*24*60)/2)*(1+POWER((((AR378*24*60) / (AQ378*24*60 ))),2)))),""),"")</f>
        <v/>
      </c>
      <c r="AU378" s="90">
        <f>IF(AND(AS378&lt;&gt;"",AP378&lt;&gt;""),IF(AE378&lt;&gt;AE379,((AP378*24*60) / 2 ) * (1 + POWER(((AS378*24*60) / (AP378*24*60)),2)),""),"")</f>
        <v/>
      </c>
      <c r="AV378" s="90">
        <f>IF(AU378&lt;&gt;"",MAX(AT378,AU378),"")</f>
        <v/>
      </c>
      <c r="AW378" s="89">
        <f>IF(AM378&lt;&gt;"H. Sale Real",IF(AND(AM379&lt;&gt;"",LEFT(AG379,2)&lt;&gt;"Va"),IF(AND(AM378&lt;&gt;"",LEFT(AG378,2)&lt;&gt;"Va",AM378&lt;&gt;"H. Sale Real"),IF(AM379-AM378&lt;0.208333333333333,AM379-AM378,""),IF(AND(AM377&lt;&gt;"",LEFT(AG377,2)&lt;&gt;"Va",AM377&lt;&gt;"H. Sale Real"),IF(AM379-AM377&lt;0.208333333333333,AM379-AM377,""),IF(AND(AM376&lt;&gt;"",LEFT(AG376,2)&lt;&gt;"Va",AM376&lt;&gt;"H. Sale Real"),IF(AM379-AM376&lt;0.208333333333333,AM379-AM376,""),IF(AND(AM375&lt;&gt;"",LEFT(AG375,2)&lt;&gt;"Va",AM375&lt;&gt;"H. Sale Real"),IF(AM379-AM375&lt;0.208333333333333,AM379-AM375,""),IF(AND(AM374&lt;&gt;"",LEFT(AG374,2)&lt;&gt;"Va",AM374&lt;&gt;"H. Sale Real"),IF(AM379-AM374&lt;0.208333333333333,AM379-AM374,""),""))))),""),"")</f>
        <v/>
      </c>
      <c r="AX378" s="89">
        <f>IF(AK378&lt;&gt;"H. Sale Real",IF(AND(AK379&lt;&gt;"",LEFT(AG379,2)&lt;&gt;"Va"),IF(AND(AK378&lt;&gt;"",LEFT(AG378,2)&lt;&gt;"Va",AK378&lt;&gt;"H. Sale Real"),IF(AK379-AK378&lt;0.208333333333333,AK379-AK378,""),IF(AND(AK377&lt;&gt;"",LEFT(AG377,2)&lt;&gt;"Va",AK377&lt;&gt;"H. Sale Real"),IF(AK379-AK377&lt;0.208333333333333,AK379-AK377,""),IF(AND(AK376&lt;&gt;"",LEFT(AG376,2)&lt;&gt;"NC",AK376&lt;&gt;"H. Sale Real"),IF(AK379-AK376&lt;0.208333333333333,AK379-AK376,""),IF(AND(AK375&lt;&gt;"",LEFT(AG375,2)&lt;&gt;"Va",AK375&lt;&gt;"H. Sale Real"),IF(AK379-AK375&lt;0.208333333333333,AK379-AK375,""),IF(AND(AK374&lt;&gt;"",LEFT(AG374,2)&lt;&gt;"Va",AK374&lt;&gt;"H. Sale Real"),IF(AK379-AK374&lt;0.208333333333333,AK379-AK374,""),""))))),""),"")</f>
        <v/>
      </c>
      <c r="AY378" s="87" t="n"/>
      <c r="AZ378" s="89" t="n"/>
      <c r="BA378" s="87" t="n"/>
      <c r="BB378" s="89" t="n"/>
      <c r="BC378" s="91" t="n"/>
      <c r="BD378" s="122">
        <f>IF(AK378&lt;&gt;"",IF(AND(BD377&lt;&gt;"IE",AT378&lt;&gt;0,AV378&lt;&gt;""),IF(IFERROR((AT378/AV378),0) &lt;=1,IFERROR(AT378/AV378,""),1),""),"")</f>
        <v/>
      </c>
      <c r="BE378" s="93" t="n"/>
      <c r="BF378" s="105" t="n"/>
      <c r="FC378" t="inlineStr">
        <is>
          <t>Diccionario 1</t>
        </is>
      </c>
      <c r="FD378" s="15" t="n">
        <v>1377</v>
      </c>
      <c r="FE378" s="15" t="inlineStr">
        <is>
          <t>MDN35025010043</t>
        </is>
      </c>
      <c r="FF378" s="15" t="inlineStr">
        <is>
          <t>LDYECS316S0043831</t>
        </is>
      </c>
      <c r="FG378" s="15" t="inlineStr">
        <is>
          <t>Zhong Tong</t>
        </is>
      </c>
      <c r="FH378" s="15" t="inlineStr">
        <is>
          <t>Lck6122evg</t>
        </is>
      </c>
      <c r="FI378" s="15" t="inlineStr">
        <is>
          <t>ZHONGTONG</t>
        </is>
      </c>
      <c r="FJ378" s="15" t="inlineStr">
        <is>
          <t>LCK6122EVG</t>
        </is>
      </c>
      <c r="FK378" s="15" t="n">
        <v>2025</v>
      </c>
      <c r="FL378" s="15" t="inlineStr">
        <is>
          <t>B</t>
        </is>
      </c>
      <c r="FM378" s="15" t="inlineStr">
        <is>
          <t>PIE ANDINO</t>
        </is>
      </c>
      <c r="FN378" s="15" t="inlineStr">
        <is>
          <t>Pie Andino 31 (Pie Andino 383)</t>
        </is>
      </c>
      <c r="FO378" s="15" t="inlineStr">
        <is>
          <t>Puente Alto</t>
        </is>
      </c>
      <c r="FP378" t="inlineStr">
        <is>
          <t>B</t>
        </is>
      </c>
      <c r="FS378" s="14" t="inlineStr">
        <is>
          <t>3099 / SFWZ-37|</t>
        </is>
      </c>
      <c r="FT378" t="inlineStr">
        <is>
          <t>SFWZ-37|</t>
        </is>
      </c>
      <c r="FU378" t="inlineStr">
        <is>
          <t>SFWZ-37</t>
        </is>
      </c>
      <c r="FV378">
        <f>VLOOKUP(FU378,FD:FL,9,0)</f>
        <v/>
      </c>
      <c r="HA378" s="35" t="n">
        <v>148</v>
      </c>
      <c r="HB378" s="35" t="n">
        <v>372</v>
      </c>
    </row>
    <row r="379" ht="15.5" customHeight="1">
      <c r="A379" s="10">
        <f>HOUR(G379)+1</f>
        <v/>
      </c>
      <c r="B379" s="7" t="n"/>
      <c r="C379" s="7" t="n"/>
      <c r="D379" s="85">
        <f>IFERROR(
IF(AND(OR(Planilla!B379="C",Planilla!B379="c"), VLOOKUP(E379,FD:FP,13,0)="C"), "OK",IF(AND(OR(Planilla!B379="C",Planilla!B379="c"), OR(VLOOKUP(E379,FD:FP,13,0)="B", VLOOKUP(E379,FD:FP,13,0)="A")), "DEFICIT",IF(
AND(OR(Planilla!B379="B", Planilla!B379="BPAL"), VLOOKUP(E379,FD:FP,13,0)="B"), "OK",IF(AND(OR(Planilla!B379="B", Planilla!B379="BPAL"), VLOOKUP(E379,FD:FP,13,0)="A"), "DEFICIT",IF(AND(OR(Planilla!B379="B", Planilla!B379="BPAL"), VLOOKUP(E379,FD:FP,13,0)="C"), "SOBREOFERTA",IF(AND(Planilla!B379="A", VLOOKUP(E379,FD:FP,13,0)="A"), "OK",IF(
AND(Planilla!B379="A", OR(VLOOKUP(E379,FD:FP,13,0)="B", VLOOKUP(E379,FD:FP,13,0)="C")), "SOBREOFERTA",""
))))))),"")</f>
        <v/>
      </c>
      <c r="E379" s="8" t="n"/>
      <c r="F379" s="86" t="n"/>
      <c r="G379" s="87" t="n"/>
      <c r="H379" s="88">
        <f>IF(I379="","",IF(AND((I379-G379)&gt;=TIME(0,0,0),(I379-G379)&lt;TIME(0,3,0)),"OK",IF(AND((I379-G379)&gt;=TIME(0,3,0),(I379-G379)&lt;TIME(0,5,0)),"RETRASO DE 3-5 MIN",IF(AND((I379-G379)&gt;=TIME(0,5,0),(I379-G379)&lt;TIME(0,10,0)),"RETRASO DE 5-10 MIN",IF((I379-G379)&gt;=TIME(0,10,0),"RETRASO &gt;10 MIN", IF(AND((G379-I379)&gt;=TIME(0,0,0),(G379-I379)&lt;TIME(0,3,0)),"OK",IF((G379-I379)&gt;=TIME(0,3,0),"ADELANTADO")))))))</f>
        <v/>
      </c>
      <c r="I379" s="89" t="n"/>
      <c r="J379" s="89">
        <f>IF(A379&lt;&gt;"",HLOOKUP(VALUE(TEXT(G379,"h:mm:ss")),IF($C$6="Laboral",$FZ$4:$GX$227,IF($C$6="Sábado",$FZ$231:$GX$452,$FZ$456:$GX$656)),VLOOKUP($C$4,$HF$2:$HH$99,3,0)+IF(C$5="Ida",0,1),1),"")</f>
        <v/>
      </c>
      <c r="K379" s="89">
        <f>IF(A380&lt;&gt;A379,AVERAGEIF(A$9:A379,A379,J$9:J379),"")</f>
        <v/>
      </c>
      <c r="L379" s="89">
        <f>IFERROR(IF(A380&lt;&gt;A379,AVERAGEIF(A$9:A379,A379,S$9:S379),""),"")</f>
        <v/>
      </c>
      <c r="M379" s="89">
        <f>IFERROR(IF(A380&lt;&gt;A379,AVERAGEIF(A$9:A379,A379,T$9:T379),""),"")</f>
        <v/>
      </c>
      <c r="N379" s="89">
        <f t="array" ref="N379">IFERROR(IF(A380&lt;&gt;A379,_xlfn.STDEV.P(IF(A$9:A379=A379,T$9:T379)),""),"")</f>
        <v/>
      </c>
      <c r="O379" s="89">
        <f t="array" ref="O379">IFERROR(IF(A380&lt;&gt;A379,_xlfn.STDEV.P(IF(A$9:A379=A379,S$9:S379)),""),"")</f>
        <v/>
      </c>
      <c r="P379" s="90">
        <f>IFERROR(IF(A379&lt;&gt;A380,MAX((((M379*24*60)/2)*(1+POWER((((N379*24*60) / (M379*24*60) )),2))) + ((M379*24*60 )*-0.1 + (K379*0.015)) +1,(((M379*24*60)/2)*(1+POWER((((N379*24*60) / (M379*24*60 ))),2)))),""),"")</f>
        <v/>
      </c>
      <c r="Q379" s="90">
        <f>IF(AND(O379&lt;&gt;"",L379&lt;&gt;""),IF(A379&lt;&gt;A380,((L379*24*60) / 2 ) * (1 + POWER(((O379*24*60) / (L379*24*60)),2)),""),"")</f>
        <v/>
      </c>
      <c r="R379" s="90">
        <f>IF(Q379&lt;&gt;"",MAX(P379,Q379),"")</f>
        <v/>
      </c>
      <c r="S379" s="89">
        <f>IF(I379&lt;&gt;"H. Sale Real",IF(AND(I380&lt;&gt;"",LEFT(C380,2)&lt;&gt;"Va"),IF(AND(I379&lt;&gt;"",LEFT(C379,2)&lt;&gt;"Va",I379&lt;&gt;"H. Sale Real"),IF(I380-I379&lt;0.208333333333333,I380-I379,""),IF(AND(I378&lt;&gt;"",LEFT(C378,2)&lt;&gt;"Va",I378&lt;&gt;"H. Sale Real"),IF(I380-I378&lt;0.208333333333333,I380-I378,""),IF(AND(I377&lt;&gt;"",LEFT(C377,2)&lt;&gt;"Va",I377&lt;&gt;"H. Sale Real"),IF(I380-I377&lt;0.208333333333333,I380-I377,""),IF(AND(I376&lt;&gt;"",LEFT(C376,2)&lt;&gt;"Va",I376&lt;&gt;"H. Sale Real"),IF(I380-I376&lt;0.208333333333333,I380-I376,""),IF(AND(I375&lt;&gt;"",LEFT(C375,2)&lt;&gt;"Va",I375&lt;&gt;"H. Sale Real"),IF(I380-I375&lt;0.208333333333333,I380-I375,""),""))))),""),"")</f>
        <v/>
      </c>
      <c r="T379" s="89">
        <f>IF(G379&lt;&gt;"H. Sale Real",IF(AND(G380&lt;&gt;"",LEFT(C380,2)&lt;&gt;"Va"),IF(AND(G379&lt;&gt;"",LEFT(C379,2)&lt;&gt;"Va",G379&lt;&gt;"H. Sale Real"),IF(G380-G379&lt;0.208333333333333,G380-G379,""),IF(AND(G378&lt;&gt;"",LEFT(C378,2)&lt;&gt;"Va",G378&lt;&gt;"H. Sale Real"),IF(G380-G378&lt;0.208333333333333,G380-G378,""),IF(AND(G377&lt;&gt;"",LEFT(C377,2)&lt;&gt;"Va",G377&lt;&gt;"H. Sale Real"),IF(G380-G377&lt;0.208333333333333,G380-G377,""),IF(AND(G376&lt;&gt;"",LEFT(C376,2)&lt;&gt;"Va",G376&lt;&gt;"H. Sale Real"),IF(G380-G376&lt;0.208333333333333,G380-G376,""),IF(AND(G375&lt;&gt;"",LEFT(C375,2)&lt;&gt;"Va",G375&lt;&gt;"H. Sale Real"),IF(G380-G375&lt;0.208333333333333,G380-G375,""),""))))),""),"")</f>
        <v/>
      </c>
      <c r="U379" s="87" t="n"/>
      <c r="V379" s="89" t="n"/>
      <c r="W379" s="87" t="n"/>
      <c r="X379" s="89" t="n"/>
      <c r="Y379" s="91" t="n"/>
      <c r="Z379" s="122">
        <f>IF(G379&lt;&gt;"",IF(AND(Z378&lt;&gt;"IE",P379&lt;&gt;0,R379&lt;&gt;""),IF(IFERROR((P379/R379),0) &lt;=1,IFERROR(P379/R379,""),1),""),"")</f>
        <v/>
      </c>
      <c r="AA379" s="93" t="n"/>
      <c r="AB379" s="2" t="n"/>
      <c r="AE379" s="10">
        <f>HOUR(AK379)+1</f>
        <v/>
      </c>
      <c r="AF379" s="7" t="n"/>
      <c r="AG379" s="7" t="n"/>
      <c r="AH379" s="86" t="n"/>
      <c r="AI379" s="8" t="n"/>
      <c r="AJ379" s="86" t="n"/>
      <c r="AK379" s="87" t="n"/>
      <c r="AL379" s="88">
        <f>IF(AM379="","",IF(AND((AM379-AK379)&gt;=TIME(0,0,0),(AM379-AK379)&lt;TIME(0,3,0)),"OK",IF(AND((AM379-AK379)&gt;=TIME(0,3,0),(AM379-AK379)&lt;TIME(0,5,0)),"RETRASO DE 3-5 MIN",IF(AND((AM379-AK379)&gt;=TIME(0,5,0),(AM379-AK379)&lt;TIME(0,10,0)),"RETRASO DE 5-10 MIN",IF((AM379-AK379)&gt;=TIME(0,10,0),"RETRASO &gt;10 MIN", IF(AND((AK379-AM379)&gt;=TIME(0,0,0),(AK379-AM379)&lt;TIME(0,3,0)),"OK",IF((AK379-AM379)&gt;=TIME(0,3,0),"ADELANTADO")))))))</f>
        <v/>
      </c>
      <c r="AM379" s="91" t="n"/>
      <c r="AN379" s="89">
        <f>IF(AE379&lt;&gt;"",HLOOKUP(VALUE(TEXT(AK379,"h:mm:ss")),IF($C$6="Laboral",$FZ$4:$GX$227,IF($C$6="Sábado",$FZ$231:$GX$452,$FZ$456:$GX$656)),VLOOKUP($C$4,$HF$2:$HH$99,3,0)+IF(AG$5="Ida",0,1),1),"")</f>
        <v/>
      </c>
      <c r="AO379" s="89">
        <f>IF(AE380&lt;&gt;AE379,AVERAGEIF(AE$9:AE379,AE379,AN$9:AN379),"")</f>
        <v/>
      </c>
      <c r="AP379" s="89">
        <f>IFERROR(IF(AE380&lt;&gt;AE379,AVERAGEIF(AE$9:AE379,AE379,AW$9:AW379),""),"")</f>
        <v/>
      </c>
      <c r="AQ379" s="89">
        <f>IFERROR(IF(AE380&lt;&gt;AE379,AVERAGEIF(AE$9:AE379,AE379,AX$9:AX379),""),"")</f>
        <v/>
      </c>
      <c r="AR379" s="89">
        <f t="array" ref="AR379">IFERROR(IF(AE380&lt;&gt;AE379,_xlfn.STDEV.P(IF(AE$9:AE379=AE379,AX$9:AX379)),""),"")</f>
        <v/>
      </c>
      <c r="AS379" s="89">
        <f t="array" ref="AS379">IFERROR(IF(AE380&lt;&gt;AE379,_xlfn.STDEV.P(IF(AE$9:AE379=AE379,AW$9:AW379)),""),"")</f>
        <v/>
      </c>
      <c r="AT379" s="90">
        <f>IFERROR(IF(AE379&lt;&gt;AE380,MAX((((AQ379*24*60)/2)*(1+POWER((((AR379*24*60) / (AQ379*24*60) )),2))) + ((AQ379*24*60 )*-0.1 + (AO379*0.015)) +1,(((AQ379*24*60)/2)*(1+POWER((((AR379*24*60) / (AQ379*24*60 ))),2)))),""),"")</f>
        <v/>
      </c>
      <c r="AU379" s="90">
        <f>IF(AND(AS379&lt;&gt;"",AP379&lt;&gt;""),IF(AE379&lt;&gt;AE380,((AP379*24*60) / 2 ) * (1 + POWER(((AS379*24*60) / (AP379*24*60)),2)),""),"")</f>
        <v/>
      </c>
      <c r="AV379" s="90">
        <f>IF(AU379&lt;&gt;"",MAX(AT379,AU379),"")</f>
        <v/>
      </c>
      <c r="AW379" s="89">
        <f>IF(AM379&lt;&gt;"H. Sale Real",IF(AND(AM380&lt;&gt;"",LEFT(AG380,2)&lt;&gt;"Va"),IF(AND(AM379&lt;&gt;"",LEFT(AG379,2)&lt;&gt;"Va",AM379&lt;&gt;"H. Sale Real"),IF(AM380-AM379&lt;0.208333333333333,AM380-AM379,""),IF(AND(AM378&lt;&gt;"",LEFT(AG378,2)&lt;&gt;"Va",AM378&lt;&gt;"H. Sale Real"),IF(AM380-AM378&lt;0.208333333333333,AM380-AM378,""),IF(AND(AM377&lt;&gt;"",LEFT(AG377,2)&lt;&gt;"Va",AM377&lt;&gt;"H. Sale Real"),IF(AM380-AM377&lt;0.208333333333333,AM380-AM377,""),IF(AND(AM376&lt;&gt;"",LEFT(AG376,2)&lt;&gt;"Va",AM376&lt;&gt;"H. Sale Real"),IF(AM380-AM376&lt;0.208333333333333,AM380-AM376,""),IF(AND(AM375&lt;&gt;"",LEFT(AG375,2)&lt;&gt;"Va",AM375&lt;&gt;"H. Sale Real"),IF(AM380-AM375&lt;0.208333333333333,AM380-AM375,""),""))))),""),"")</f>
        <v/>
      </c>
      <c r="AX379" s="89">
        <f>IF(AK379&lt;&gt;"H. Sale Real",IF(AND(AK380&lt;&gt;"",LEFT(AG380,2)&lt;&gt;"Va"),IF(AND(AK379&lt;&gt;"",LEFT(AG379,2)&lt;&gt;"Va",AK379&lt;&gt;"H. Sale Real"),IF(AK380-AK379&lt;0.208333333333333,AK380-AK379,""),IF(AND(AK378&lt;&gt;"",LEFT(AG378,2)&lt;&gt;"Va",AK378&lt;&gt;"H. Sale Real"),IF(AK380-AK378&lt;0.208333333333333,AK380-AK378,""),IF(AND(AK377&lt;&gt;"",LEFT(AG377,2)&lt;&gt;"NC",AK377&lt;&gt;"H. Sale Real"),IF(AK380-AK377&lt;0.208333333333333,AK380-AK377,""),IF(AND(AK376&lt;&gt;"",LEFT(AG376,2)&lt;&gt;"Va",AK376&lt;&gt;"H. Sale Real"),IF(AK380-AK376&lt;0.208333333333333,AK380-AK376,""),IF(AND(AK375&lt;&gt;"",LEFT(AG375,2)&lt;&gt;"Va",AK375&lt;&gt;"H. Sale Real"),IF(AK380-AK375&lt;0.208333333333333,AK380-AK375,""),""))))),""),"")</f>
        <v/>
      </c>
      <c r="AY379" s="87" t="n"/>
      <c r="AZ379" s="89" t="n"/>
      <c r="BA379" s="87" t="n"/>
      <c r="BB379" s="89" t="n"/>
      <c r="BC379" s="91" t="n"/>
      <c r="BD379" s="122">
        <f>IF(AK379&lt;&gt;"",IF(AND(BD378&lt;&gt;"IE",AT379&lt;&gt;0,AV379&lt;&gt;""),IF(IFERROR((AT379/AV379),0) &lt;=1,IFERROR(AT379/AV379,""),1),""),"")</f>
        <v/>
      </c>
      <c r="BE379" s="93" t="n"/>
      <c r="BF379" s="105" t="n"/>
      <c r="FC379" t="inlineStr">
        <is>
          <t>Diccionario 1</t>
        </is>
      </c>
      <c r="FD379" s="15" t="n">
        <v>1378</v>
      </c>
      <c r="FE379" s="15" t="inlineStr">
        <is>
          <t>MDN35025010020</t>
        </is>
      </c>
      <c r="FF379" s="15" t="inlineStr">
        <is>
          <t>LDYECS31XS0043833</t>
        </is>
      </c>
      <c r="FG379" s="15" t="inlineStr">
        <is>
          <t>Zhong Tong</t>
        </is>
      </c>
      <c r="FH379" s="15" t="inlineStr">
        <is>
          <t>Lck6122evg</t>
        </is>
      </c>
      <c r="FI379" s="15" t="inlineStr">
        <is>
          <t>ZHONGTONG</t>
        </is>
      </c>
      <c r="FJ379" s="15" t="inlineStr">
        <is>
          <t>LCK6122EVG</t>
        </is>
      </c>
      <c r="FK379" s="15" t="n">
        <v>2025</v>
      </c>
      <c r="FL379" s="15" t="inlineStr">
        <is>
          <t>B</t>
        </is>
      </c>
      <c r="FM379" s="15" t="inlineStr">
        <is>
          <t>CERRILLOS</t>
        </is>
      </c>
      <c r="FN379" s="15" t="inlineStr">
        <is>
          <t>Calle Uno 7371</t>
        </is>
      </c>
      <c r="FO379" s="15" t="inlineStr">
        <is>
          <t>Cerrillos</t>
        </is>
      </c>
      <c r="FP379" t="inlineStr">
        <is>
          <t>B</t>
        </is>
      </c>
      <c r="FS379" s="14" t="inlineStr">
        <is>
          <t>3099 / SFWZ-37|</t>
        </is>
      </c>
      <c r="FT379" t="inlineStr">
        <is>
          <t>SFWZ-37|</t>
        </is>
      </c>
      <c r="FU379" t="inlineStr">
        <is>
          <t>SFWZ-37</t>
        </is>
      </c>
      <c r="FV379">
        <f>VLOOKUP(FU379,FD:FL,9,0)</f>
        <v/>
      </c>
      <c r="HA379" s="35" t="n">
        <v>149</v>
      </c>
      <c r="HB379" s="35" t="n">
        <v>373</v>
      </c>
    </row>
    <row r="380" ht="15.5" customHeight="1">
      <c r="A380" s="10">
        <f>HOUR(G380)+1</f>
        <v/>
      </c>
      <c r="B380" s="7" t="n"/>
      <c r="C380" s="7" t="n"/>
      <c r="D380" s="85">
        <f>IFERROR(
IF(AND(OR(Planilla!B380="C",Planilla!B380="c"), VLOOKUP(E380,FD:FP,13,0)="C"), "OK",IF(AND(OR(Planilla!B380="C",Planilla!B380="c"), OR(VLOOKUP(E380,FD:FP,13,0)="B", VLOOKUP(E380,FD:FP,13,0)="A")), "DEFICIT",IF(
AND(OR(Planilla!B380="B", Planilla!B380="BPAL"), VLOOKUP(E380,FD:FP,13,0)="B"), "OK",IF(AND(OR(Planilla!B380="B", Planilla!B380="BPAL"), VLOOKUP(E380,FD:FP,13,0)="A"), "DEFICIT",IF(AND(OR(Planilla!B380="B", Planilla!B380="BPAL"), VLOOKUP(E380,FD:FP,13,0)="C"), "SOBREOFERTA",IF(AND(Planilla!B380="A", VLOOKUP(E380,FD:FP,13,0)="A"), "OK",IF(
AND(Planilla!B380="A", OR(VLOOKUP(E380,FD:FP,13,0)="B", VLOOKUP(E380,FD:FP,13,0)="C")), "SOBREOFERTA",""
))))))),"")</f>
        <v/>
      </c>
      <c r="E380" s="8" t="n"/>
      <c r="F380" s="86" t="n"/>
      <c r="G380" s="87" t="n"/>
      <c r="H380" s="88">
        <f>IF(I380="","",IF(AND((I380-G380)&gt;=TIME(0,0,0),(I380-G380)&lt;TIME(0,3,0)),"OK",IF(AND((I380-G380)&gt;=TIME(0,3,0),(I380-G380)&lt;TIME(0,5,0)),"RETRASO DE 3-5 MIN",IF(AND((I380-G380)&gt;=TIME(0,5,0),(I380-G380)&lt;TIME(0,10,0)),"RETRASO DE 5-10 MIN",IF((I380-G380)&gt;=TIME(0,10,0),"RETRASO &gt;10 MIN", IF(AND((G380-I380)&gt;=TIME(0,0,0),(G380-I380)&lt;TIME(0,3,0)),"OK",IF((G380-I380)&gt;=TIME(0,3,0),"ADELANTADO")))))))</f>
        <v/>
      </c>
      <c r="I380" s="89" t="n"/>
      <c r="J380" s="89">
        <f>IF(A380&lt;&gt;"",HLOOKUP(VALUE(TEXT(G380,"h:mm:ss")),IF($C$6="Laboral",$FZ$4:$GX$227,IF($C$6="Sábado",$FZ$231:$GX$452,$FZ$456:$GX$656)),VLOOKUP($C$4,$HF$2:$HH$99,3,0)+IF(C$5="Ida",0,1),1),"")</f>
        <v/>
      </c>
      <c r="K380" s="89">
        <f>IF(A381&lt;&gt;A380,AVERAGEIF(A$9:A380,A380,J$9:J380),"")</f>
        <v/>
      </c>
      <c r="L380" s="89">
        <f>IFERROR(IF(A381&lt;&gt;A380,AVERAGEIF(A$9:A380,A380,S$9:S380),""),"")</f>
        <v/>
      </c>
      <c r="M380" s="89">
        <f>IFERROR(IF(A381&lt;&gt;A380,AVERAGEIF(A$9:A380,A380,T$9:T380),""),"")</f>
        <v/>
      </c>
      <c r="N380" s="89">
        <f t="array" ref="N380">IFERROR(IF(A381&lt;&gt;A380,_xlfn.STDEV.P(IF(A$9:A380=A380,T$9:T380)),""),"")</f>
        <v/>
      </c>
      <c r="O380" s="89">
        <f t="array" ref="O380">IFERROR(IF(A381&lt;&gt;A380,_xlfn.STDEV.P(IF(A$9:A380=A380,S$9:S380)),""),"")</f>
        <v/>
      </c>
      <c r="P380" s="90">
        <f>IFERROR(IF(A380&lt;&gt;A381,MAX((((M380*24*60)/2)*(1+POWER((((N380*24*60) / (M380*24*60) )),2))) + ((M380*24*60 )*-0.1 + (K380*0.015)) +1,(((M380*24*60)/2)*(1+POWER((((N380*24*60) / (M380*24*60 ))),2)))),""),"")</f>
        <v/>
      </c>
      <c r="Q380" s="90">
        <f>IF(AND(O380&lt;&gt;"",L380&lt;&gt;""),IF(A380&lt;&gt;A381,((L380*24*60) / 2 ) * (1 + POWER(((O380*24*60) / (L380*24*60)),2)),""),"")</f>
        <v/>
      </c>
      <c r="R380" s="90">
        <f>IF(Q380&lt;&gt;"",MAX(P380,Q380),"")</f>
        <v/>
      </c>
      <c r="S380" s="89">
        <f>IF(I380&lt;&gt;"H. Sale Real",IF(AND(I381&lt;&gt;"",LEFT(C381,2)&lt;&gt;"Va"),IF(AND(I380&lt;&gt;"",LEFT(C380,2)&lt;&gt;"Va",I380&lt;&gt;"H. Sale Real"),IF(I381-I380&lt;0.208333333333333,I381-I380,""),IF(AND(I379&lt;&gt;"",LEFT(C379,2)&lt;&gt;"Va",I379&lt;&gt;"H. Sale Real"),IF(I381-I379&lt;0.208333333333333,I381-I379,""),IF(AND(I378&lt;&gt;"",LEFT(C378,2)&lt;&gt;"Va",I378&lt;&gt;"H. Sale Real"),IF(I381-I378&lt;0.208333333333333,I381-I378,""),IF(AND(I377&lt;&gt;"",LEFT(C377,2)&lt;&gt;"Va",I377&lt;&gt;"H. Sale Real"),IF(I381-I377&lt;0.208333333333333,I381-I377,""),IF(AND(I376&lt;&gt;"",LEFT(C376,2)&lt;&gt;"Va",I376&lt;&gt;"H. Sale Real"),IF(I381-I376&lt;0.208333333333333,I381-I376,""),""))))),""),"")</f>
        <v/>
      </c>
      <c r="T380" s="89">
        <f>IF(G380&lt;&gt;"H. Sale Real",IF(AND(G381&lt;&gt;"",LEFT(C381,2)&lt;&gt;"Va"),IF(AND(G380&lt;&gt;"",LEFT(C380,2)&lt;&gt;"Va",G380&lt;&gt;"H. Sale Real"),IF(G381-G380&lt;0.208333333333333,G381-G380,""),IF(AND(G379&lt;&gt;"",LEFT(C379,2)&lt;&gt;"Va",G379&lt;&gt;"H. Sale Real"),IF(G381-G379&lt;0.208333333333333,G381-G379,""),IF(AND(G378&lt;&gt;"",LEFT(C378,2)&lt;&gt;"Va",G378&lt;&gt;"H. Sale Real"),IF(G381-G378&lt;0.208333333333333,G381-G378,""),IF(AND(G377&lt;&gt;"",LEFT(C377,2)&lt;&gt;"Va",G377&lt;&gt;"H. Sale Real"),IF(G381-G377&lt;0.208333333333333,G381-G377,""),IF(AND(G376&lt;&gt;"",LEFT(C376,2)&lt;&gt;"Va",G376&lt;&gt;"H. Sale Real"),IF(G381-G376&lt;0.208333333333333,G381-G376,""),""))))),""),"")</f>
        <v/>
      </c>
      <c r="U380" s="87" t="n"/>
      <c r="V380" s="89" t="n"/>
      <c r="W380" s="87" t="n"/>
      <c r="X380" s="89" t="n"/>
      <c r="Y380" s="91" t="n"/>
      <c r="Z380" s="122">
        <f>IF(G380&lt;&gt;"",IF(AND(Z379&lt;&gt;"IE",P380&lt;&gt;0,R380&lt;&gt;""),IF(IFERROR((P380/R380),0) &lt;=1,IFERROR(P380/R380,""),1),""),"")</f>
        <v/>
      </c>
      <c r="AA380" s="93" t="n"/>
      <c r="AB380" s="2" t="n"/>
      <c r="AE380" s="10">
        <f>HOUR(AK380)+1</f>
        <v/>
      </c>
      <c r="AF380" s="7" t="n"/>
      <c r="AG380" s="7" t="n"/>
      <c r="AH380" s="86" t="n"/>
      <c r="AI380" s="8" t="n"/>
      <c r="AJ380" s="86" t="n"/>
      <c r="AK380" s="87" t="n"/>
      <c r="AL380" s="88">
        <f>IF(AM380="","",IF(AND((AM380-AK380)&gt;=TIME(0,0,0),(AM380-AK380)&lt;TIME(0,3,0)),"OK",IF(AND((AM380-AK380)&gt;=TIME(0,3,0),(AM380-AK380)&lt;TIME(0,5,0)),"RETRASO DE 3-5 MIN",IF(AND((AM380-AK380)&gt;=TIME(0,5,0),(AM380-AK380)&lt;TIME(0,10,0)),"RETRASO DE 5-10 MIN",IF((AM380-AK380)&gt;=TIME(0,10,0),"RETRASO &gt;10 MIN", IF(AND((AK380-AM380)&gt;=TIME(0,0,0),(AK380-AM380)&lt;TIME(0,3,0)),"OK",IF((AK380-AM380)&gt;=TIME(0,3,0),"ADELANTADO")))))))</f>
        <v/>
      </c>
      <c r="AM380" s="91" t="n"/>
      <c r="AN380" s="89">
        <f>IF(AE380&lt;&gt;"",HLOOKUP(VALUE(TEXT(AK380,"h:mm:ss")),IF($C$6="Laboral",$FZ$4:$GX$227,IF($C$6="Sábado",$FZ$231:$GX$452,$FZ$456:$GX$656)),VLOOKUP($C$4,$HF$2:$HH$99,3,0)+IF(AG$5="Ida",0,1),1),"")</f>
        <v/>
      </c>
      <c r="AO380" s="89">
        <f>IF(AE381&lt;&gt;AE380,AVERAGEIF(AE$9:AE380,AE380,AN$9:AN380),"")</f>
        <v/>
      </c>
      <c r="AP380" s="89">
        <f>IFERROR(IF(AE381&lt;&gt;AE380,AVERAGEIF(AE$9:AE380,AE380,AW$9:AW380),""),"")</f>
        <v/>
      </c>
      <c r="AQ380" s="89">
        <f>IFERROR(IF(AE381&lt;&gt;AE380,AVERAGEIF(AE$9:AE380,AE380,AX$9:AX380),""),"")</f>
        <v/>
      </c>
      <c r="AR380" s="89">
        <f t="array" ref="AR380">IFERROR(IF(AE381&lt;&gt;AE380,_xlfn.STDEV.P(IF(AE$9:AE380=AE380,AX$9:AX380)),""),"")</f>
        <v/>
      </c>
      <c r="AS380" s="89">
        <f t="array" ref="AS380">IFERROR(IF(AE381&lt;&gt;AE380,_xlfn.STDEV.P(IF(AE$9:AE380=AE380,AW$9:AW380)),""),"")</f>
        <v/>
      </c>
      <c r="AT380" s="90">
        <f>IFERROR(IF(AE380&lt;&gt;AE381,MAX((((AQ380*24*60)/2)*(1+POWER((((AR380*24*60) / (AQ380*24*60) )),2))) + ((AQ380*24*60 )*-0.1 + (AO380*0.015)) +1,(((AQ380*24*60)/2)*(1+POWER((((AR380*24*60) / (AQ380*24*60 ))),2)))),""),"")</f>
        <v/>
      </c>
      <c r="AU380" s="90">
        <f>IF(AND(AS380&lt;&gt;"",AP380&lt;&gt;""),IF(AE380&lt;&gt;AE381,((AP380*24*60) / 2 ) * (1 + POWER(((AS380*24*60) / (AP380*24*60)),2)),""),"")</f>
        <v/>
      </c>
      <c r="AV380" s="90">
        <f>IF(AU380&lt;&gt;"",MAX(AT380,AU380),"")</f>
        <v/>
      </c>
      <c r="AW380" s="89">
        <f>IF(AM380&lt;&gt;"H. Sale Real",IF(AND(AM381&lt;&gt;"",LEFT(AG381,2)&lt;&gt;"Va"),IF(AND(AM380&lt;&gt;"",LEFT(AG380,2)&lt;&gt;"Va",AM380&lt;&gt;"H. Sale Real"),IF(AM381-AM380&lt;0.208333333333333,AM381-AM380,""),IF(AND(AM379&lt;&gt;"",LEFT(AG379,2)&lt;&gt;"Va",AM379&lt;&gt;"H. Sale Real"),IF(AM381-AM379&lt;0.208333333333333,AM381-AM379,""),IF(AND(AM378&lt;&gt;"",LEFT(AG378,2)&lt;&gt;"Va",AM378&lt;&gt;"H. Sale Real"),IF(AM381-AM378&lt;0.208333333333333,AM381-AM378,""),IF(AND(AM377&lt;&gt;"",LEFT(AG377,2)&lt;&gt;"Va",AM377&lt;&gt;"H. Sale Real"),IF(AM381-AM377&lt;0.208333333333333,AM381-AM377,""),IF(AND(AM376&lt;&gt;"",LEFT(AG376,2)&lt;&gt;"Va",AM376&lt;&gt;"H. Sale Real"),IF(AM381-AM376&lt;0.208333333333333,AM381-AM376,""),""))))),""),"")</f>
        <v/>
      </c>
      <c r="AX380" s="89">
        <f>IF(AK380&lt;&gt;"H. Sale Real",IF(AND(AK381&lt;&gt;"",LEFT(AG381,2)&lt;&gt;"Va"),IF(AND(AK380&lt;&gt;"",LEFT(AG380,2)&lt;&gt;"Va",AK380&lt;&gt;"H. Sale Real"),IF(AK381-AK380&lt;0.208333333333333,AK381-AK380,""),IF(AND(AK379&lt;&gt;"",LEFT(AG379,2)&lt;&gt;"Va",AK379&lt;&gt;"H. Sale Real"),IF(AK381-AK379&lt;0.208333333333333,AK381-AK379,""),IF(AND(AK378&lt;&gt;"",LEFT(AG378,2)&lt;&gt;"NC",AK378&lt;&gt;"H. Sale Real"),IF(AK381-AK378&lt;0.208333333333333,AK381-AK378,""),IF(AND(AK377&lt;&gt;"",LEFT(AG377,2)&lt;&gt;"Va",AK377&lt;&gt;"H. Sale Real"),IF(AK381-AK377&lt;0.208333333333333,AK381-AK377,""),IF(AND(AK376&lt;&gt;"",LEFT(AG376,2)&lt;&gt;"Va",AK376&lt;&gt;"H. Sale Real"),IF(AK381-AK376&lt;0.208333333333333,AK381-AK376,""),""))))),""),"")</f>
        <v/>
      </c>
      <c r="AY380" s="87" t="n"/>
      <c r="AZ380" s="89" t="n"/>
      <c r="BA380" s="87" t="n"/>
      <c r="BB380" s="89" t="n"/>
      <c r="BC380" s="91" t="n"/>
      <c r="BD380" s="122">
        <f>IF(AK380&lt;&gt;"",IF(AND(BD379&lt;&gt;"IE",AT380&lt;&gt;0,AV380&lt;&gt;""),IF(IFERROR((AT380/AV380),0) &lt;=1,IFERROR(AT380/AV380,""),1),""),"")</f>
        <v/>
      </c>
      <c r="BE380" s="93" t="n"/>
      <c r="BF380" s="105" t="n"/>
      <c r="FC380" t="inlineStr">
        <is>
          <t>Diccionario 1</t>
        </is>
      </c>
      <c r="FD380" s="15" t="n">
        <v>1379</v>
      </c>
      <c r="FE380" s="15" t="inlineStr">
        <is>
          <t>MDN35025010239</t>
        </is>
      </c>
      <c r="FF380" s="15" t="inlineStr">
        <is>
          <t>LDYECS311S0043834</t>
        </is>
      </c>
      <c r="FG380" s="15" t="inlineStr">
        <is>
          <t>Zhong Tong</t>
        </is>
      </c>
      <c r="FH380" s="15" t="inlineStr">
        <is>
          <t>Lck6122evg</t>
        </is>
      </c>
      <c r="FI380" s="15" t="inlineStr">
        <is>
          <t>ZHONGTONG</t>
        </is>
      </c>
      <c r="FJ380" s="15" t="inlineStr">
        <is>
          <t>LCK6122EVG</t>
        </is>
      </c>
      <c r="FK380" s="15" t="n">
        <v>2025</v>
      </c>
      <c r="FL380" s="15" t="inlineStr">
        <is>
          <t>B</t>
        </is>
      </c>
      <c r="FM380" s="15" t="inlineStr">
        <is>
          <t>PIE ANDINO</t>
        </is>
      </c>
      <c r="FN380" s="15" t="inlineStr">
        <is>
          <t>Pie Andino 31 (Pie Andino 383)</t>
        </is>
      </c>
      <c r="FO380" s="15" t="inlineStr">
        <is>
          <t>Puente Alto</t>
        </is>
      </c>
      <c r="FP380" t="inlineStr">
        <is>
          <t>B</t>
        </is>
      </c>
      <c r="FS380" s="14" t="inlineStr">
        <is>
          <t>3099 / SFWZ-37|</t>
        </is>
      </c>
      <c r="FT380" t="inlineStr">
        <is>
          <t>SFWZ-37|</t>
        </is>
      </c>
      <c r="FU380" t="inlineStr">
        <is>
          <t>SFWZ-37</t>
        </is>
      </c>
      <c r="FV380">
        <f>VLOOKUP(FU380,FD:FL,9,0)</f>
        <v/>
      </c>
      <c r="HA380" s="35" t="n">
        <v>150</v>
      </c>
      <c r="HB380" s="35" t="n">
        <v>374</v>
      </c>
    </row>
    <row r="381" ht="15.5" customHeight="1">
      <c r="A381" s="10">
        <f>HOUR(G381)+1</f>
        <v/>
      </c>
      <c r="B381" s="7" t="n"/>
      <c r="C381" s="7" t="n"/>
      <c r="D381" s="85">
        <f>IFERROR(
IF(AND(OR(Planilla!B381="C",Planilla!B381="c"), VLOOKUP(E381,FD:FP,13,0)="C"), "OK",IF(AND(OR(Planilla!B381="C",Planilla!B381="c"), OR(VLOOKUP(E381,FD:FP,13,0)="B", VLOOKUP(E381,FD:FP,13,0)="A")), "DEFICIT",IF(
AND(OR(Planilla!B381="B", Planilla!B381="BPAL"), VLOOKUP(E381,FD:FP,13,0)="B"), "OK",IF(AND(OR(Planilla!B381="B", Planilla!B381="BPAL"), VLOOKUP(E381,FD:FP,13,0)="A"), "DEFICIT",IF(AND(OR(Planilla!B381="B", Planilla!B381="BPAL"), VLOOKUP(E381,FD:FP,13,0)="C"), "SOBREOFERTA",IF(AND(Planilla!B381="A", VLOOKUP(E381,FD:FP,13,0)="A"), "OK",IF(
AND(Planilla!B381="A", OR(VLOOKUP(E381,FD:FP,13,0)="B", VLOOKUP(E381,FD:FP,13,0)="C")), "SOBREOFERTA",""
))))))),"")</f>
        <v/>
      </c>
      <c r="E381" s="8" t="n"/>
      <c r="F381" s="86" t="n"/>
      <c r="G381" s="87" t="n"/>
      <c r="H381" s="88">
        <f>IF(I381="","",IF(AND((I381-G381)&gt;=TIME(0,0,0),(I381-G381)&lt;TIME(0,3,0)),"OK",IF(AND((I381-G381)&gt;=TIME(0,3,0),(I381-G381)&lt;TIME(0,5,0)),"RETRASO DE 3-5 MIN",IF(AND((I381-G381)&gt;=TIME(0,5,0),(I381-G381)&lt;TIME(0,10,0)),"RETRASO DE 5-10 MIN",IF((I381-G381)&gt;=TIME(0,10,0),"RETRASO &gt;10 MIN", IF(AND((G381-I381)&gt;=TIME(0,0,0),(G381-I381)&lt;TIME(0,3,0)),"OK",IF((G381-I381)&gt;=TIME(0,3,0),"ADELANTADO")))))))</f>
        <v/>
      </c>
      <c r="I381" s="89" t="n"/>
      <c r="J381" s="89">
        <f>IF(A381&lt;&gt;"",HLOOKUP(VALUE(TEXT(G381,"h:mm:ss")),IF($C$6="Laboral",$FZ$4:$GX$227,IF($C$6="Sábado",$FZ$231:$GX$452,$FZ$456:$GX$656)),VLOOKUP($C$4,$HF$2:$HH$99,3,0)+IF(C$5="Ida",0,1),1),"")</f>
        <v/>
      </c>
      <c r="K381" s="89">
        <f>IF(A382&lt;&gt;A381,AVERAGEIF(A$9:A381,A381,J$9:J381),"")</f>
        <v/>
      </c>
      <c r="L381" s="89">
        <f>IFERROR(IF(A382&lt;&gt;A381,AVERAGEIF(A$9:A381,A381,S$9:S381),""),"")</f>
        <v/>
      </c>
      <c r="M381" s="89">
        <f>IFERROR(IF(A382&lt;&gt;A381,AVERAGEIF(A$9:A381,A381,T$9:T381),""),"")</f>
        <v/>
      </c>
      <c r="N381" s="89">
        <f t="array" ref="N381">IFERROR(IF(A382&lt;&gt;A381,_xlfn.STDEV.P(IF(A$9:A381=A381,T$9:T381)),""),"")</f>
        <v/>
      </c>
      <c r="O381" s="89">
        <f t="array" ref="O381">IFERROR(IF(A382&lt;&gt;A381,_xlfn.STDEV.P(IF(A$9:A381=A381,S$9:S381)),""),"")</f>
        <v/>
      </c>
      <c r="P381" s="90">
        <f>IFERROR(IF(A381&lt;&gt;A382,MAX((((M381*24*60)/2)*(1+POWER((((N381*24*60) / (M381*24*60) )),2))) + ((M381*24*60 )*-0.1 + (K381*0.015)) +1,(((M381*24*60)/2)*(1+POWER((((N381*24*60) / (M381*24*60 ))),2)))),""),"")</f>
        <v/>
      </c>
      <c r="Q381" s="90">
        <f>IF(AND(O381&lt;&gt;"",L381&lt;&gt;""),IF(A381&lt;&gt;A382,((L381*24*60) / 2 ) * (1 + POWER(((O381*24*60) / (L381*24*60)),2)),""),"")</f>
        <v/>
      </c>
      <c r="R381" s="90">
        <f>IF(Q381&lt;&gt;"",MAX(P381,Q381),"")</f>
        <v/>
      </c>
      <c r="S381" s="89">
        <f>IF(I381&lt;&gt;"H. Sale Real",IF(AND(I382&lt;&gt;"",LEFT(C382,2)&lt;&gt;"Va"),IF(AND(I381&lt;&gt;"",LEFT(C381,2)&lt;&gt;"Va",I381&lt;&gt;"H. Sale Real"),IF(I382-I381&lt;0.208333333333333,I382-I381,""),IF(AND(I380&lt;&gt;"",LEFT(C380,2)&lt;&gt;"Va",I380&lt;&gt;"H. Sale Real"),IF(I382-I380&lt;0.208333333333333,I382-I380,""),IF(AND(I379&lt;&gt;"",LEFT(C379,2)&lt;&gt;"Va",I379&lt;&gt;"H. Sale Real"),IF(I382-I379&lt;0.208333333333333,I382-I379,""),IF(AND(I378&lt;&gt;"",LEFT(C378,2)&lt;&gt;"Va",I378&lt;&gt;"H. Sale Real"),IF(I382-I378&lt;0.208333333333333,I382-I378,""),IF(AND(I377&lt;&gt;"",LEFT(C377,2)&lt;&gt;"Va",I377&lt;&gt;"H. Sale Real"),IF(I382-I377&lt;0.208333333333333,I382-I377,""),""))))),""),"")</f>
        <v/>
      </c>
      <c r="T381" s="89">
        <f>IF(G381&lt;&gt;"H. Sale Real",IF(AND(G382&lt;&gt;"",LEFT(C382,2)&lt;&gt;"Va"),IF(AND(G381&lt;&gt;"",LEFT(C381,2)&lt;&gt;"Va",G381&lt;&gt;"H. Sale Real"),IF(G382-G381&lt;0.208333333333333,G382-G381,""),IF(AND(G380&lt;&gt;"",LEFT(C380,2)&lt;&gt;"Va",G380&lt;&gt;"H. Sale Real"),IF(G382-G380&lt;0.208333333333333,G382-G380,""),IF(AND(G379&lt;&gt;"",LEFT(C379,2)&lt;&gt;"Va",G379&lt;&gt;"H. Sale Real"),IF(G382-G379&lt;0.208333333333333,G382-G379,""),IF(AND(G378&lt;&gt;"",LEFT(C378,2)&lt;&gt;"Va",G378&lt;&gt;"H. Sale Real"),IF(G382-G378&lt;0.208333333333333,G382-G378,""),IF(AND(G377&lt;&gt;"",LEFT(C377,2)&lt;&gt;"Va",G377&lt;&gt;"H. Sale Real"),IF(G382-G377&lt;0.208333333333333,G382-G377,""),""))))),""),"")</f>
        <v/>
      </c>
      <c r="U381" s="87" t="n"/>
      <c r="V381" s="89" t="n"/>
      <c r="W381" s="87" t="n"/>
      <c r="X381" s="89" t="n"/>
      <c r="Y381" s="91" t="n"/>
      <c r="Z381" s="122">
        <f>IF(G381&lt;&gt;"",IF(AND(Z380&lt;&gt;"IE",P381&lt;&gt;0,R381&lt;&gt;""),IF(IFERROR((P381/R381),0) &lt;=1,IFERROR(P381/R381,""),1),""),"")</f>
        <v/>
      </c>
      <c r="AA381" s="93" t="n"/>
      <c r="AB381" s="2" t="n"/>
      <c r="AE381" s="10">
        <f>HOUR(AK381)+1</f>
        <v/>
      </c>
      <c r="AF381" s="7" t="n"/>
      <c r="AG381" s="7" t="n"/>
      <c r="AH381" s="86" t="n"/>
      <c r="AI381" s="8" t="n"/>
      <c r="AJ381" s="86" t="n"/>
      <c r="AK381" s="87" t="n"/>
      <c r="AL381" s="88">
        <f>IF(AM381="","",IF(AND((AM381-AK381)&gt;=TIME(0,0,0),(AM381-AK381)&lt;TIME(0,3,0)),"OK",IF(AND((AM381-AK381)&gt;=TIME(0,3,0),(AM381-AK381)&lt;TIME(0,5,0)),"RETRASO DE 3-5 MIN",IF(AND((AM381-AK381)&gt;=TIME(0,5,0),(AM381-AK381)&lt;TIME(0,10,0)),"RETRASO DE 5-10 MIN",IF((AM381-AK381)&gt;=TIME(0,10,0),"RETRASO &gt;10 MIN", IF(AND((AK381-AM381)&gt;=TIME(0,0,0),(AK381-AM381)&lt;TIME(0,3,0)),"OK",IF((AK381-AM381)&gt;=TIME(0,3,0),"ADELANTADO")))))))</f>
        <v/>
      </c>
      <c r="AM381" s="91" t="n"/>
      <c r="AN381" s="89">
        <f>IF(AE381&lt;&gt;"",HLOOKUP(VALUE(TEXT(AK381,"h:mm:ss")),IF($C$6="Laboral",$FZ$4:$GX$227,IF($C$6="Sábado",$FZ$231:$GX$452,$FZ$456:$GX$656)),VLOOKUP($C$4,$HF$2:$HH$99,3,0)+IF(AG$5="Ida",0,1),1),"")</f>
        <v/>
      </c>
      <c r="AO381" s="89">
        <f>IF(AE382&lt;&gt;AE381,AVERAGEIF(AE$9:AE381,AE381,AN$9:AN381),"")</f>
        <v/>
      </c>
      <c r="AP381" s="89">
        <f>IFERROR(IF(AE382&lt;&gt;AE381,AVERAGEIF(AE$9:AE381,AE381,AW$9:AW381),""),"")</f>
        <v/>
      </c>
      <c r="AQ381" s="89">
        <f>IFERROR(IF(AE382&lt;&gt;AE381,AVERAGEIF(AE$9:AE381,AE381,AX$9:AX381),""),"")</f>
        <v/>
      </c>
      <c r="AR381" s="89">
        <f t="array" ref="AR381">IFERROR(IF(AE382&lt;&gt;AE381,_xlfn.STDEV.P(IF(AE$9:AE381=AE381,AX$9:AX381)),""),"")</f>
        <v/>
      </c>
      <c r="AS381" s="89">
        <f t="array" ref="AS381">IFERROR(IF(AE382&lt;&gt;AE381,_xlfn.STDEV.P(IF(AE$9:AE381=AE381,AW$9:AW381)),""),"")</f>
        <v/>
      </c>
      <c r="AT381" s="90">
        <f>IFERROR(IF(AE381&lt;&gt;AE382,MAX((((AQ381*24*60)/2)*(1+POWER((((AR381*24*60) / (AQ381*24*60) )),2))) + ((AQ381*24*60 )*-0.1 + (AO381*0.015)) +1,(((AQ381*24*60)/2)*(1+POWER((((AR381*24*60) / (AQ381*24*60 ))),2)))),""),"")</f>
        <v/>
      </c>
      <c r="AU381" s="90">
        <f>IF(AND(AS381&lt;&gt;"",AP381&lt;&gt;""),IF(AE381&lt;&gt;AE382,((AP381*24*60) / 2 ) * (1 + POWER(((AS381*24*60) / (AP381*24*60)),2)),""),"")</f>
        <v/>
      </c>
      <c r="AV381" s="90">
        <f>IF(AU381&lt;&gt;"",MAX(AT381,AU381),"")</f>
        <v/>
      </c>
      <c r="AW381" s="89">
        <f>IF(AM381&lt;&gt;"H. Sale Real",IF(AND(AM382&lt;&gt;"",LEFT(AG382,2)&lt;&gt;"Va"),IF(AND(AM381&lt;&gt;"",LEFT(AG381,2)&lt;&gt;"Va",AM381&lt;&gt;"H. Sale Real"),IF(AM382-AM381&lt;0.208333333333333,AM382-AM381,""),IF(AND(AM380&lt;&gt;"",LEFT(AG380,2)&lt;&gt;"Va",AM380&lt;&gt;"H. Sale Real"),IF(AM382-AM380&lt;0.208333333333333,AM382-AM380,""),IF(AND(AM379&lt;&gt;"",LEFT(AG379,2)&lt;&gt;"Va",AM379&lt;&gt;"H. Sale Real"),IF(AM382-AM379&lt;0.208333333333333,AM382-AM379,""),IF(AND(AM378&lt;&gt;"",LEFT(AG378,2)&lt;&gt;"Va",AM378&lt;&gt;"H. Sale Real"),IF(AM382-AM378&lt;0.208333333333333,AM382-AM378,""),IF(AND(AM377&lt;&gt;"",LEFT(AG377,2)&lt;&gt;"Va",AM377&lt;&gt;"H. Sale Real"),IF(AM382-AM377&lt;0.208333333333333,AM382-AM377,""),""))))),""),"")</f>
        <v/>
      </c>
      <c r="AX381" s="89">
        <f>IF(AK381&lt;&gt;"H. Sale Real",IF(AND(AK382&lt;&gt;"",LEFT(AG382,2)&lt;&gt;"Va"),IF(AND(AK381&lt;&gt;"",LEFT(AG381,2)&lt;&gt;"Va",AK381&lt;&gt;"H. Sale Real"),IF(AK382-AK381&lt;0.208333333333333,AK382-AK381,""),IF(AND(AK380&lt;&gt;"",LEFT(AG380,2)&lt;&gt;"Va",AK380&lt;&gt;"H. Sale Real"),IF(AK382-AK380&lt;0.208333333333333,AK382-AK380,""),IF(AND(AK379&lt;&gt;"",LEFT(AG379,2)&lt;&gt;"NC",AK379&lt;&gt;"H. Sale Real"),IF(AK382-AK379&lt;0.208333333333333,AK382-AK379,""),IF(AND(AK378&lt;&gt;"",LEFT(AG378,2)&lt;&gt;"Va",AK378&lt;&gt;"H. Sale Real"),IF(AK382-AK378&lt;0.208333333333333,AK382-AK378,""),IF(AND(AK377&lt;&gt;"",LEFT(AG377,2)&lt;&gt;"Va",AK377&lt;&gt;"H. Sale Real"),IF(AK382-AK377&lt;0.208333333333333,AK382-AK377,""),""))))),""),"")</f>
        <v/>
      </c>
      <c r="AY381" s="87" t="n"/>
      <c r="AZ381" s="89" t="n"/>
      <c r="BA381" s="87" t="n"/>
      <c r="BB381" s="89" t="n"/>
      <c r="BC381" s="91" t="n"/>
      <c r="BD381" s="122">
        <f>IF(AK381&lt;&gt;"",IF(AND(BD380&lt;&gt;"IE",AT381&lt;&gt;0,AV381&lt;&gt;""),IF(IFERROR((AT381/AV381),0) &lt;=1,IFERROR(AT381/AV381,""),1),""),"")</f>
        <v/>
      </c>
      <c r="BE381" s="93" t="n"/>
      <c r="BF381" s="105" t="n"/>
      <c r="FC381" t="inlineStr">
        <is>
          <t>Diccionario 1</t>
        </is>
      </c>
      <c r="FD381" s="15" t="n">
        <v>1380</v>
      </c>
      <c r="FE381" s="15" t="inlineStr">
        <is>
          <t>MDN35025010027</t>
        </is>
      </c>
      <c r="FF381" s="15" t="inlineStr">
        <is>
          <t>LDYECS314S0043830</t>
        </is>
      </c>
      <c r="FG381" s="15" t="inlineStr">
        <is>
          <t>Zhong Tong</t>
        </is>
      </c>
      <c r="FH381" s="15" t="inlineStr">
        <is>
          <t>Lck6122evg</t>
        </is>
      </c>
      <c r="FI381" s="15" t="inlineStr">
        <is>
          <t>ZHONGTONG</t>
        </is>
      </c>
      <c r="FJ381" s="15" t="inlineStr">
        <is>
          <t>LCK6122EVG</t>
        </is>
      </c>
      <c r="FK381" s="15" t="n">
        <v>2025</v>
      </c>
      <c r="FL381" s="15" t="inlineStr">
        <is>
          <t>B</t>
        </is>
      </c>
      <c r="FM381" s="15" t="inlineStr">
        <is>
          <t>CERRILLOS</t>
        </is>
      </c>
      <c r="FN381" s="15" t="inlineStr">
        <is>
          <t>Calle Uno 7371</t>
        </is>
      </c>
      <c r="FO381" s="15" t="inlineStr">
        <is>
          <t>Cerrillos</t>
        </is>
      </c>
      <c r="FP381" t="inlineStr">
        <is>
          <t>B</t>
        </is>
      </c>
      <c r="FS381" s="14" t="inlineStr">
        <is>
          <t>3099 / SFWZ-37|</t>
        </is>
      </c>
      <c r="FT381" t="inlineStr">
        <is>
          <t>SFWZ-37|</t>
        </is>
      </c>
      <c r="FU381" t="inlineStr">
        <is>
          <t>SFWZ-37</t>
        </is>
      </c>
      <c r="FV381">
        <f>VLOOKUP(FU381,FD:FL,9,0)</f>
        <v/>
      </c>
      <c r="HA381" s="35" t="n">
        <v>151</v>
      </c>
      <c r="HB381" s="35" t="n">
        <v>375</v>
      </c>
    </row>
    <row r="382" ht="15.5" customHeight="1">
      <c r="A382" s="10">
        <f>HOUR(G382)+1</f>
        <v/>
      </c>
      <c r="B382" s="7" t="n"/>
      <c r="C382" s="7" t="n"/>
      <c r="D382" s="85">
        <f>IFERROR(
IF(AND(OR(Planilla!B382="C",Planilla!B382="c"), VLOOKUP(E382,FD:FP,13,0)="C"), "OK",IF(AND(OR(Planilla!B382="C",Planilla!B382="c"), OR(VLOOKUP(E382,FD:FP,13,0)="B", VLOOKUP(E382,FD:FP,13,0)="A")), "DEFICIT",IF(
AND(OR(Planilla!B382="B", Planilla!B382="BPAL"), VLOOKUP(E382,FD:FP,13,0)="B"), "OK",IF(AND(OR(Planilla!B382="B", Planilla!B382="BPAL"), VLOOKUP(E382,FD:FP,13,0)="A"), "DEFICIT",IF(AND(OR(Planilla!B382="B", Planilla!B382="BPAL"), VLOOKUP(E382,FD:FP,13,0)="C"), "SOBREOFERTA",IF(AND(Planilla!B382="A", VLOOKUP(E382,FD:FP,13,0)="A"), "OK",IF(
AND(Planilla!B382="A", OR(VLOOKUP(E382,FD:FP,13,0)="B", VLOOKUP(E382,FD:FP,13,0)="C")), "SOBREOFERTA",""
))))))),"")</f>
        <v/>
      </c>
      <c r="E382" s="8" t="n"/>
      <c r="F382" s="86" t="n"/>
      <c r="G382" s="87" t="n"/>
      <c r="H382" s="88">
        <f>IF(I382="","",IF(AND((I382-G382)&gt;=TIME(0,0,0),(I382-G382)&lt;TIME(0,3,0)),"OK",IF(AND((I382-G382)&gt;=TIME(0,3,0),(I382-G382)&lt;TIME(0,5,0)),"RETRASO DE 3-5 MIN",IF(AND((I382-G382)&gt;=TIME(0,5,0),(I382-G382)&lt;TIME(0,10,0)),"RETRASO DE 5-10 MIN",IF((I382-G382)&gt;=TIME(0,10,0),"RETRASO &gt;10 MIN", IF(AND((G382-I382)&gt;=TIME(0,0,0),(G382-I382)&lt;TIME(0,3,0)),"OK",IF((G382-I382)&gt;=TIME(0,3,0),"ADELANTADO")))))))</f>
        <v/>
      </c>
      <c r="I382" s="89" t="n"/>
      <c r="J382" s="89">
        <f>IF(A382&lt;&gt;"",HLOOKUP(VALUE(TEXT(G382,"h:mm:ss")),IF($C$6="Laboral",$FZ$4:$GX$227,IF($C$6="Sábado",$FZ$231:$GX$452,$FZ$456:$GX$656)),VLOOKUP($C$4,$HF$2:$HH$99,3,0)+IF(C$5="Ida",0,1),1),"")</f>
        <v/>
      </c>
      <c r="K382" s="89">
        <f>IF(A383&lt;&gt;A382,AVERAGEIF(A$9:A382,A382,J$9:J382),"")</f>
        <v/>
      </c>
      <c r="L382" s="89">
        <f>IFERROR(IF(A383&lt;&gt;A382,AVERAGEIF(A$9:A382,A382,S$9:S382),""),"")</f>
        <v/>
      </c>
      <c r="M382" s="89">
        <f>IFERROR(IF(A383&lt;&gt;A382,AVERAGEIF(A$9:A382,A382,T$9:T382),""),"")</f>
        <v/>
      </c>
      <c r="N382" s="89">
        <f t="array" ref="N382">IFERROR(IF(A383&lt;&gt;A382,_xlfn.STDEV.P(IF(A$9:A382=A382,T$9:T382)),""),"")</f>
        <v/>
      </c>
      <c r="O382" s="89">
        <f t="array" ref="O382">IFERROR(IF(A383&lt;&gt;A382,_xlfn.STDEV.P(IF(A$9:A382=A382,S$9:S382)),""),"")</f>
        <v/>
      </c>
      <c r="P382" s="90">
        <f>IFERROR(IF(A382&lt;&gt;A383,MAX((((M382*24*60)/2)*(1+POWER((((N382*24*60) / (M382*24*60) )),2))) + ((M382*24*60 )*-0.1 + (K382*0.015)) +1,(((M382*24*60)/2)*(1+POWER((((N382*24*60) / (M382*24*60 ))),2)))),""),"")</f>
        <v/>
      </c>
      <c r="Q382" s="90">
        <f>IF(AND(O382&lt;&gt;"",L382&lt;&gt;""),IF(A382&lt;&gt;A383,((L382*24*60) / 2 ) * (1 + POWER(((O382*24*60) / (L382*24*60)),2)),""),"")</f>
        <v/>
      </c>
      <c r="R382" s="90">
        <f>IF(Q382&lt;&gt;"",MAX(P382,Q382),"")</f>
        <v/>
      </c>
      <c r="S382" s="89">
        <f>IF(I382&lt;&gt;"H. Sale Real",IF(AND(I383&lt;&gt;"",LEFT(C383,2)&lt;&gt;"Va"),IF(AND(I382&lt;&gt;"",LEFT(C382,2)&lt;&gt;"Va",I382&lt;&gt;"H. Sale Real"),IF(I383-I382&lt;0.208333333333333,I383-I382,""),IF(AND(I381&lt;&gt;"",LEFT(C381,2)&lt;&gt;"Va",I381&lt;&gt;"H. Sale Real"),IF(I383-I381&lt;0.208333333333333,I383-I381,""),IF(AND(I380&lt;&gt;"",LEFT(C380,2)&lt;&gt;"Va",I380&lt;&gt;"H. Sale Real"),IF(I383-I380&lt;0.208333333333333,I383-I380,""),IF(AND(I379&lt;&gt;"",LEFT(C379,2)&lt;&gt;"Va",I379&lt;&gt;"H. Sale Real"),IF(I383-I379&lt;0.208333333333333,I383-I379,""),IF(AND(I378&lt;&gt;"",LEFT(C378,2)&lt;&gt;"Va",I378&lt;&gt;"H. Sale Real"),IF(I383-I378&lt;0.208333333333333,I383-I378,""),""))))),""),"")</f>
        <v/>
      </c>
      <c r="T382" s="89">
        <f>IF(G382&lt;&gt;"H. Sale Real",IF(AND(G383&lt;&gt;"",LEFT(C383,2)&lt;&gt;"Va"),IF(AND(G382&lt;&gt;"",LEFT(C382,2)&lt;&gt;"Va",G382&lt;&gt;"H. Sale Real"),IF(G383-G382&lt;0.208333333333333,G383-G382,""),IF(AND(G381&lt;&gt;"",LEFT(C381,2)&lt;&gt;"Va",G381&lt;&gt;"H. Sale Real"),IF(G383-G381&lt;0.208333333333333,G383-G381,""),IF(AND(G380&lt;&gt;"",LEFT(C380,2)&lt;&gt;"Va",G380&lt;&gt;"H. Sale Real"),IF(G383-G380&lt;0.208333333333333,G383-G380,""),IF(AND(G379&lt;&gt;"",LEFT(C379,2)&lt;&gt;"Va",G379&lt;&gt;"H. Sale Real"),IF(G383-G379&lt;0.208333333333333,G383-G379,""),IF(AND(G378&lt;&gt;"",LEFT(C378,2)&lt;&gt;"Va",G378&lt;&gt;"H. Sale Real"),IF(G383-G378&lt;0.208333333333333,G383-G378,""),""))))),""),"")</f>
        <v/>
      </c>
      <c r="U382" s="87" t="n"/>
      <c r="V382" s="89" t="n"/>
      <c r="W382" s="87" t="n"/>
      <c r="X382" s="89" t="n"/>
      <c r="Y382" s="91" t="n"/>
      <c r="Z382" s="122">
        <f>IF(G382&lt;&gt;"",IF(AND(Z381&lt;&gt;"IE",P382&lt;&gt;0,R382&lt;&gt;""),IF(IFERROR((P382/R382),0) &lt;=1,IFERROR(P382/R382,""),1),""),"")</f>
        <v/>
      </c>
      <c r="AA382" s="93" t="n"/>
      <c r="AB382" s="2" t="n"/>
      <c r="AE382" s="10">
        <f>HOUR(AK382)+1</f>
        <v/>
      </c>
      <c r="AF382" s="7" t="n"/>
      <c r="AG382" s="7" t="n"/>
      <c r="AH382" s="86" t="n"/>
      <c r="AI382" s="8" t="n"/>
      <c r="AJ382" s="86" t="n"/>
      <c r="AK382" s="87" t="n"/>
      <c r="AL382" s="88">
        <f>IF(AM382="","",IF(AND((AM382-AK382)&gt;=TIME(0,0,0),(AM382-AK382)&lt;TIME(0,3,0)),"OK",IF(AND((AM382-AK382)&gt;=TIME(0,3,0),(AM382-AK382)&lt;TIME(0,5,0)),"RETRASO DE 3-5 MIN",IF(AND((AM382-AK382)&gt;=TIME(0,5,0),(AM382-AK382)&lt;TIME(0,10,0)),"RETRASO DE 5-10 MIN",IF((AM382-AK382)&gt;=TIME(0,10,0),"RETRASO &gt;10 MIN", IF(AND((AK382-AM382)&gt;=TIME(0,0,0),(AK382-AM382)&lt;TIME(0,3,0)),"OK",IF((AK382-AM382)&gt;=TIME(0,3,0),"ADELANTADO")))))))</f>
        <v/>
      </c>
      <c r="AM382" s="91" t="n"/>
      <c r="AN382" s="89">
        <f>IF(AE382&lt;&gt;"",HLOOKUP(VALUE(TEXT(AK382,"h:mm:ss")),IF($C$6="Laboral",$FZ$4:$GX$227,IF($C$6="Sábado",$FZ$231:$GX$452,$FZ$456:$GX$656)),VLOOKUP($C$4,$HF$2:$HH$99,3,0)+IF(AG$5="Ida",0,1),1),"")</f>
        <v/>
      </c>
      <c r="AO382" s="89">
        <f>IF(AE383&lt;&gt;AE382,AVERAGEIF(AE$9:AE382,AE382,AN$9:AN382),"")</f>
        <v/>
      </c>
      <c r="AP382" s="89">
        <f>IFERROR(IF(AE383&lt;&gt;AE382,AVERAGEIF(AE$9:AE382,AE382,AW$9:AW382),""),"")</f>
        <v/>
      </c>
      <c r="AQ382" s="89">
        <f>IFERROR(IF(AE383&lt;&gt;AE382,AVERAGEIF(AE$9:AE382,AE382,AX$9:AX382),""),"")</f>
        <v/>
      </c>
      <c r="AR382" s="89">
        <f t="array" ref="AR382">IFERROR(IF(AE383&lt;&gt;AE382,_xlfn.STDEV.P(IF(AE$9:AE382=AE382,AX$9:AX382)),""),"")</f>
        <v/>
      </c>
      <c r="AS382" s="89">
        <f t="array" ref="AS382">IFERROR(IF(AE383&lt;&gt;AE382,_xlfn.STDEV.P(IF(AE$9:AE382=AE382,AW$9:AW382)),""),"")</f>
        <v/>
      </c>
      <c r="AT382" s="90">
        <f>IFERROR(IF(AE382&lt;&gt;AE383,MAX((((AQ382*24*60)/2)*(1+POWER((((AR382*24*60) / (AQ382*24*60) )),2))) + ((AQ382*24*60 )*-0.1 + (AO382*0.015)) +1,(((AQ382*24*60)/2)*(1+POWER((((AR382*24*60) / (AQ382*24*60 ))),2)))),""),"")</f>
        <v/>
      </c>
      <c r="AU382" s="90">
        <f>IF(AND(AS382&lt;&gt;"",AP382&lt;&gt;""),IF(AE382&lt;&gt;AE383,((AP382*24*60) / 2 ) * (1 + POWER(((AS382*24*60) / (AP382*24*60)),2)),""),"")</f>
        <v/>
      </c>
      <c r="AV382" s="90">
        <f>IF(AU382&lt;&gt;"",MAX(AT382,AU382),"")</f>
        <v/>
      </c>
      <c r="AW382" s="89">
        <f>IF(AM382&lt;&gt;"H. Sale Real",IF(AND(AM383&lt;&gt;"",LEFT(AG383,2)&lt;&gt;"Va"),IF(AND(AM382&lt;&gt;"",LEFT(AG382,2)&lt;&gt;"Va",AM382&lt;&gt;"H. Sale Real"),IF(AM383-AM382&lt;0.208333333333333,AM383-AM382,""),IF(AND(AM381&lt;&gt;"",LEFT(AG381,2)&lt;&gt;"Va",AM381&lt;&gt;"H. Sale Real"),IF(AM383-AM381&lt;0.208333333333333,AM383-AM381,""),IF(AND(AM380&lt;&gt;"",LEFT(AG380,2)&lt;&gt;"Va",AM380&lt;&gt;"H. Sale Real"),IF(AM383-AM380&lt;0.208333333333333,AM383-AM380,""),IF(AND(AM379&lt;&gt;"",LEFT(AG379,2)&lt;&gt;"Va",AM379&lt;&gt;"H. Sale Real"),IF(AM383-AM379&lt;0.208333333333333,AM383-AM379,""),IF(AND(AM378&lt;&gt;"",LEFT(AG378,2)&lt;&gt;"Va",AM378&lt;&gt;"H. Sale Real"),IF(AM383-AM378&lt;0.208333333333333,AM383-AM378,""),""))))),""),"")</f>
        <v/>
      </c>
      <c r="AX382" s="89">
        <f>IF(AK382&lt;&gt;"H. Sale Real",IF(AND(AK383&lt;&gt;"",LEFT(AG383,2)&lt;&gt;"Va"),IF(AND(AK382&lt;&gt;"",LEFT(AG382,2)&lt;&gt;"Va",AK382&lt;&gt;"H. Sale Real"),IF(AK383-AK382&lt;0.208333333333333,AK383-AK382,""),IF(AND(AK381&lt;&gt;"",LEFT(AG381,2)&lt;&gt;"Va",AK381&lt;&gt;"H. Sale Real"),IF(AK383-AK381&lt;0.208333333333333,AK383-AK381,""),IF(AND(AK380&lt;&gt;"",LEFT(AG380,2)&lt;&gt;"NC",AK380&lt;&gt;"H. Sale Real"),IF(AK383-AK380&lt;0.208333333333333,AK383-AK380,""),IF(AND(AK379&lt;&gt;"",LEFT(AG379,2)&lt;&gt;"Va",AK379&lt;&gt;"H. Sale Real"),IF(AK383-AK379&lt;0.208333333333333,AK383-AK379,""),IF(AND(AK378&lt;&gt;"",LEFT(AG378,2)&lt;&gt;"Va",AK378&lt;&gt;"H. Sale Real"),IF(AK383-AK378&lt;0.208333333333333,AK383-AK378,""),""))))),""),"")</f>
        <v/>
      </c>
      <c r="AY382" s="87" t="n"/>
      <c r="AZ382" s="89" t="n"/>
      <c r="BA382" s="87" t="n"/>
      <c r="BB382" s="89" t="n"/>
      <c r="BC382" s="91" t="n"/>
      <c r="BD382" s="122">
        <f>IF(AK382&lt;&gt;"",IF(AND(BD381&lt;&gt;"IE",AT382&lt;&gt;0,AV382&lt;&gt;""),IF(IFERROR((AT382/AV382),0) &lt;=1,IFERROR(AT382/AV382,""),1),""),"")</f>
        <v/>
      </c>
      <c r="BE382" s="93" t="n"/>
      <c r="BF382" s="105" t="n"/>
      <c r="FC382" t="inlineStr">
        <is>
          <t>Diccionario 1</t>
        </is>
      </c>
      <c r="FD382" s="15" t="n">
        <v>1381</v>
      </c>
      <c r="FE382" s="15" t="inlineStr">
        <is>
          <t>MDN35025010024</t>
        </is>
      </c>
      <c r="FF382" s="15" t="inlineStr">
        <is>
          <t>LDYECS319S0043824</t>
        </is>
      </c>
      <c r="FG382" s="15" t="inlineStr">
        <is>
          <t>Zhong Tong</t>
        </is>
      </c>
      <c r="FH382" s="15" t="inlineStr">
        <is>
          <t>Lck6122evg</t>
        </is>
      </c>
      <c r="FI382" s="15" t="inlineStr">
        <is>
          <t>ZHONGTONG</t>
        </is>
      </c>
      <c r="FJ382" s="15" t="inlineStr">
        <is>
          <t>LCK6122EVG</t>
        </is>
      </c>
      <c r="FK382" s="15" t="n">
        <v>2025</v>
      </c>
      <c r="FL382" s="15" t="inlineStr">
        <is>
          <t>B</t>
        </is>
      </c>
      <c r="FM382" s="15" t="inlineStr">
        <is>
          <t>PIE ANDINO</t>
        </is>
      </c>
      <c r="FN382" s="15" t="inlineStr">
        <is>
          <t>Pie Andino 31 (Pie Andino 383)</t>
        </is>
      </c>
      <c r="FO382" s="15" t="inlineStr">
        <is>
          <t>Puente Alto</t>
        </is>
      </c>
      <c r="FP382" t="inlineStr">
        <is>
          <t>B</t>
        </is>
      </c>
      <c r="FS382" s="14" t="inlineStr">
        <is>
          <t>3100 / SFWZ-83|</t>
        </is>
      </c>
      <c r="FT382" t="inlineStr">
        <is>
          <t>SFWZ-83|</t>
        </is>
      </c>
      <c r="FU382" t="inlineStr">
        <is>
          <t>SFWZ-83</t>
        </is>
      </c>
      <c r="FV382">
        <f>VLOOKUP(FU382,FD:FL,9,0)</f>
        <v/>
      </c>
      <c r="HA382" s="35" t="n">
        <v>152</v>
      </c>
      <c r="HB382" s="35" t="n">
        <v>376</v>
      </c>
    </row>
    <row r="383" ht="15.5" customHeight="1">
      <c r="A383" s="10">
        <f>HOUR(G383)+1</f>
        <v/>
      </c>
      <c r="B383" s="7" t="n"/>
      <c r="C383" s="7" t="n"/>
      <c r="D383" s="85">
        <f>IFERROR(
IF(AND(OR(Planilla!B383="C",Planilla!B383="c"), VLOOKUP(E383,FD:FP,13,0)="C"), "OK",IF(AND(OR(Planilla!B383="C",Planilla!B383="c"), OR(VLOOKUP(E383,FD:FP,13,0)="B", VLOOKUP(E383,FD:FP,13,0)="A")), "DEFICIT",IF(
AND(OR(Planilla!B383="B", Planilla!B383="BPAL"), VLOOKUP(E383,FD:FP,13,0)="B"), "OK",IF(AND(OR(Planilla!B383="B", Planilla!B383="BPAL"), VLOOKUP(E383,FD:FP,13,0)="A"), "DEFICIT",IF(AND(OR(Planilla!B383="B", Planilla!B383="BPAL"), VLOOKUP(E383,FD:FP,13,0)="C"), "SOBREOFERTA",IF(AND(Planilla!B383="A", VLOOKUP(E383,FD:FP,13,0)="A"), "OK",IF(
AND(Planilla!B383="A", OR(VLOOKUP(E383,FD:FP,13,0)="B", VLOOKUP(E383,FD:FP,13,0)="C")), "SOBREOFERTA",""
))))))),"")</f>
        <v/>
      </c>
      <c r="E383" s="8" t="n"/>
      <c r="F383" s="86" t="n"/>
      <c r="G383" s="87" t="n"/>
      <c r="H383" s="88">
        <f>IF(I383="","",IF(AND((I383-G383)&gt;=TIME(0,0,0),(I383-G383)&lt;TIME(0,3,0)),"OK",IF(AND((I383-G383)&gt;=TIME(0,3,0),(I383-G383)&lt;TIME(0,5,0)),"RETRASO DE 3-5 MIN",IF(AND((I383-G383)&gt;=TIME(0,5,0),(I383-G383)&lt;TIME(0,10,0)),"RETRASO DE 5-10 MIN",IF((I383-G383)&gt;=TIME(0,10,0),"RETRASO &gt;10 MIN", IF(AND((G383-I383)&gt;=TIME(0,0,0),(G383-I383)&lt;TIME(0,3,0)),"OK",IF((G383-I383)&gt;=TIME(0,3,0),"ADELANTADO")))))))</f>
        <v/>
      </c>
      <c r="I383" s="89" t="n"/>
      <c r="J383" s="89">
        <f>IF(A383&lt;&gt;"",HLOOKUP(VALUE(TEXT(G383,"h:mm:ss")),IF($C$6="Laboral",$FZ$4:$GX$227,IF($C$6="Sábado",$FZ$231:$GX$452,$FZ$456:$GX$656)),VLOOKUP($C$4,$HF$2:$HH$99,3,0)+IF(C$5="Ida",0,1),1),"")</f>
        <v/>
      </c>
      <c r="K383" s="89">
        <f>IF(A384&lt;&gt;A383,AVERAGEIF(A$9:A383,A383,J$9:J383),"")</f>
        <v/>
      </c>
      <c r="L383" s="89">
        <f>IFERROR(IF(A384&lt;&gt;A383,AVERAGEIF(A$9:A383,A383,S$9:S383),""),"")</f>
        <v/>
      </c>
      <c r="M383" s="89">
        <f>IFERROR(IF(A384&lt;&gt;A383,AVERAGEIF(A$9:A383,A383,T$9:T383),""),"")</f>
        <v/>
      </c>
      <c r="N383" s="89">
        <f t="array" ref="N383">IFERROR(IF(A384&lt;&gt;A383,_xlfn.STDEV.P(IF(A$9:A383=A383,T$9:T383)),""),"")</f>
        <v/>
      </c>
      <c r="O383" s="89">
        <f t="array" ref="O383">IFERROR(IF(A384&lt;&gt;A383,_xlfn.STDEV.P(IF(A$9:A383=A383,S$9:S383)),""),"")</f>
        <v/>
      </c>
      <c r="P383" s="90">
        <f>IFERROR(IF(A383&lt;&gt;A384,MAX((((M383*24*60)/2)*(1+POWER((((N383*24*60) / (M383*24*60) )),2))) + ((M383*24*60 )*-0.1 + (K383*0.015)) +1,(((M383*24*60)/2)*(1+POWER((((N383*24*60) / (M383*24*60 ))),2)))),""),"")</f>
        <v/>
      </c>
      <c r="Q383" s="90">
        <f>IF(AND(O383&lt;&gt;"",L383&lt;&gt;""),IF(A383&lt;&gt;A384,((L383*24*60) / 2 ) * (1 + POWER(((O383*24*60) / (L383*24*60)),2)),""),"")</f>
        <v/>
      </c>
      <c r="R383" s="90">
        <f>IF(Q383&lt;&gt;"",MAX(P383,Q383),"")</f>
        <v/>
      </c>
      <c r="S383" s="89">
        <f>IF(I383&lt;&gt;"H. Sale Real",IF(AND(I384&lt;&gt;"",LEFT(C384,2)&lt;&gt;"Va"),IF(AND(I383&lt;&gt;"",LEFT(C383,2)&lt;&gt;"Va",I383&lt;&gt;"H. Sale Real"),IF(I384-I383&lt;0.208333333333333,I384-I383,""),IF(AND(I382&lt;&gt;"",LEFT(C382,2)&lt;&gt;"Va",I382&lt;&gt;"H. Sale Real"),IF(I384-I382&lt;0.208333333333333,I384-I382,""),IF(AND(I381&lt;&gt;"",LEFT(C381,2)&lt;&gt;"Va",I381&lt;&gt;"H. Sale Real"),IF(I384-I381&lt;0.208333333333333,I384-I381,""),IF(AND(I380&lt;&gt;"",LEFT(C380,2)&lt;&gt;"Va",I380&lt;&gt;"H. Sale Real"),IF(I384-I380&lt;0.208333333333333,I384-I380,""),IF(AND(I379&lt;&gt;"",LEFT(C379,2)&lt;&gt;"Va",I379&lt;&gt;"H. Sale Real"),IF(I384-I379&lt;0.208333333333333,I384-I379,""),""))))),""),"")</f>
        <v/>
      </c>
      <c r="T383" s="89">
        <f>IF(G383&lt;&gt;"H. Sale Real",IF(AND(G384&lt;&gt;"",LEFT(C384,2)&lt;&gt;"Va"),IF(AND(G383&lt;&gt;"",LEFT(C383,2)&lt;&gt;"Va",G383&lt;&gt;"H. Sale Real"),IF(G384-G383&lt;0.208333333333333,G384-G383,""),IF(AND(G382&lt;&gt;"",LEFT(C382,2)&lt;&gt;"Va",G382&lt;&gt;"H. Sale Real"),IF(G384-G382&lt;0.208333333333333,G384-G382,""),IF(AND(G381&lt;&gt;"",LEFT(C381,2)&lt;&gt;"Va",G381&lt;&gt;"H. Sale Real"),IF(G384-G381&lt;0.208333333333333,G384-G381,""),IF(AND(G380&lt;&gt;"",LEFT(C380,2)&lt;&gt;"Va",G380&lt;&gt;"H. Sale Real"),IF(G384-G380&lt;0.208333333333333,G384-G380,""),IF(AND(G379&lt;&gt;"",LEFT(C379,2)&lt;&gt;"Va",G379&lt;&gt;"H. Sale Real"),IF(G384-G379&lt;0.208333333333333,G384-G379,""),""))))),""),"")</f>
        <v/>
      </c>
      <c r="U383" s="87" t="n"/>
      <c r="V383" s="89" t="n"/>
      <c r="W383" s="87" t="n"/>
      <c r="X383" s="89" t="n"/>
      <c r="Y383" s="91" t="n"/>
      <c r="Z383" s="122">
        <f>IF(G383&lt;&gt;"",IF(AND(Z382&lt;&gt;"IE",P383&lt;&gt;0,R383&lt;&gt;""),IF(IFERROR((P383/R383),0) &lt;=1,IFERROR(P383/R383,""),1),""),"")</f>
        <v/>
      </c>
      <c r="AA383" s="93" t="n"/>
      <c r="AB383" s="2" t="n"/>
      <c r="AE383" s="10">
        <f>HOUR(AK383)+1</f>
        <v/>
      </c>
      <c r="AF383" s="7" t="n"/>
      <c r="AG383" s="7" t="n"/>
      <c r="AH383" s="86" t="n"/>
      <c r="AI383" s="8" t="n"/>
      <c r="AJ383" s="86" t="n"/>
      <c r="AK383" s="87" t="n"/>
      <c r="AL383" s="88">
        <f>IF(AM383="","",IF(AND((AM383-AK383)&gt;=TIME(0,0,0),(AM383-AK383)&lt;TIME(0,3,0)),"OK",IF(AND((AM383-AK383)&gt;=TIME(0,3,0),(AM383-AK383)&lt;TIME(0,5,0)),"RETRASO DE 3-5 MIN",IF(AND((AM383-AK383)&gt;=TIME(0,5,0),(AM383-AK383)&lt;TIME(0,10,0)),"RETRASO DE 5-10 MIN",IF((AM383-AK383)&gt;=TIME(0,10,0),"RETRASO &gt;10 MIN", IF(AND((AK383-AM383)&gt;=TIME(0,0,0),(AK383-AM383)&lt;TIME(0,3,0)),"OK",IF((AK383-AM383)&gt;=TIME(0,3,0),"ADELANTADO")))))))</f>
        <v/>
      </c>
      <c r="AM383" s="91" t="n"/>
      <c r="AN383" s="89">
        <f>IF(AE383&lt;&gt;"",HLOOKUP(VALUE(TEXT(AK383,"h:mm:ss")),IF($C$6="Laboral",$FZ$4:$GX$227,IF($C$6="Sábado",$FZ$231:$GX$452,$FZ$456:$GX$656)),VLOOKUP($C$4,$HF$2:$HH$99,3,0)+IF(AG$5="Ida",0,1),1),"")</f>
        <v/>
      </c>
      <c r="AO383" s="89">
        <f>IF(AE384&lt;&gt;AE383,AVERAGEIF(AE$9:AE383,AE383,AN$9:AN383),"")</f>
        <v/>
      </c>
      <c r="AP383" s="89">
        <f>IFERROR(IF(AE384&lt;&gt;AE383,AVERAGEIF(AE$9:AE383,AE383,AW$9:AW383),""),"")</f>
        <v/>
      </c>
      <c r="AQ383" s="89">
        <f>IFERROR(IF(AE384&lt;&gt;AE383,AVERAGEIF(AE$9:AE383,AE383,AX$9:AX383),""),"")</f>
        <v/>
      </c>
      <c r="AR383" s="89">
        <f t="array" ref="AR383">IFERROR(IF(AE384&lt;&gt;AE383,_xlfn.STDEV.P(IF(AE$9:AE383=AE383,AX$9:AX383)),""),"")</f>
        <v/>
      </c>
      <c r="AS383" s="89">
        <f t="array" ref="AS383">IFERROR(IF(AE384&lt;&gt;AE383,_xlfn.STDEV.P(IF(AE$9:AE383=AE383,AW$9:AW383)),""),"")</f>
        <v/>
      </c>
      <c r="AT383" s="90">
        <f>IFERROR(IF(AE383&lt;&gt;AE384,MAX((((AQ383*24*60)/2)*(1+POWER((((AR383*24*60) / (AQ383*24*60) )),2))) + ((AQ383*24*60 )*-0.1 + (AO383*0.015)) +1,(((AQ383*24*60)/2)*(1+POWER((((AR383*24*60) / (AQ383*24*60 ))),2)))),""),"")</f>
        <v/>
      </c>
      <c r="AU383" s="90">
        <f>IF(AND(AS383&lt;&gt;"",AP383&lt;&gt;""),IF(AE383&lt;&gt;AE384,((AP383*24*60) / 2 ) * (1 + POWER(((AS383*24*60) / (AP383*24*60)),2)),""),"")</f>
        <v/>
      </c>
      <c r="AV383" s="90">
        <f>IF(AU383&lt;&gt;"",MAX(AT383,AU383),"")</f>
        <v/>
      </c>
      <c r="AW383" s="89">
        <f>IF(AM383&lt;&gt;"H. Sale Real",IF(AND(AM384&lt;&gt;"",LEFT(AG384,2)&lt;&gt;"Va"),IF(AND(AM383&lt;&gt;"",LEFT(AG383,2)&lt;&gt;"Va",AM383&lt;&gt;"H. Sale Real"),IF(AM384-AM383&lt;0.208333333333333,AM384-AM383,""),IF(AND(AM382&lt;&gt;"",LEFT(AG382,2)&lt;&gt;"Va",AM382&lt;&gt;"H. Sale Real"),IF(AM384-AM382&lt;0.208333333333333,AM384-AM382,""),IF(AND(AM381&lt;&gt;"",LEFT(AG381,2)&lt;&gt;"Va",AM381&lt;&gt;"H. Sale Real"),IF(AM384-AM381&lt;0.208333333333333,AM384-AM381,""),IF(AND(AM380&lt;&gt;"",LEFT(AG380,2)&lt;&gt;"Va",AM380&lt;&gt;"H. Sale Real"),IF(AM384-AM380&lt;0.208333333333333,AM384-AM380,""),IF(AND(AM379&lt;&gt;"",LEFT(AG379,2)&lt;&gt;"Va",AM379&lt;&gt;"H. Sale Real"),IF(AM384-AM379&lt;0.208333333333333,AM384-AM379,""),""))))),""),"")</f>
        <v/>
      </c>
      <c r="AX383" s="89">
        <f>IF(AK383&lt;&gt;"H. Sale Real",IF(AND(AK384&lt;&gt;"",LEFT(AG384,2)&lt;&gt;"Va"),IF(AND(AK383&lt;&gt;"",LEFT(AG383,2)&lt;&gt;"Va",AK383&lt;&gt;"H. Sale Real"),IF(AK384-AK383&lt;0.208333333333333,AK384-AK383,""),IF(AND(AK382&lt;&gt;"",LEFT(AG382,2)&lt;&gt;"Va",AK382&lt;&gt;"H. Sale Real"),IF(AK384-AK382&lt;0.208333333333333,AK384-AK382,""),IF(AND(AK381&lt;&gt;"",LEFT(AG381,2)&lt;&gt;"NC",AK381&lt;&gt;"H. Sale Real"),IF(AK384-AK381&lt;0.208333333333333,AK384-AK381,""),IF(AND(AK380&lt;&gt;"",LEFT(AG380,2)&lt;&gt;"Va",AK380&lt;&gt;"H. Sale Real"),IF(AK384-AK380&lt;0.208333333333333,AK384-AK380,""),IF(AND(AK379&lt;&gt;"",LEFT(AG379,2)&lt;&gt;"Va",AK379&lt;&gt;"H. Sale Real"),IF(AK384-AK379&lt;0.208333333333333,AK384-AK379,""),""))))),""),"")</f>
        <v/>
      </c>
      <c r="AY383" s="87" t="n"/>
      <c r="AZ383" s="89" t="n"/>
      <c r="BA383" s="87" t="n"/>
      <c r="BB383" s="89" t="n"/>
      <c r="BC383" s="91" t="n"/>
      <c r="BD383" s="122">
        <f>IF(AK383&lt;&gt;"",IF(AND(BD382&lt;&gt;"IE",AT383&lt;&gt;0,AV383&lt;&gt;""),IF(IFERROR((AT383/AV383),0) &lt;=1,IFERROR(AT383/AV383,""),1),""),"")</f>
        <v/>
      </c>
      <c r="BE383" s="93" t="n"/>
      <c r="BF383" s="105" t="n"/>
      <c r="FC383" t="inlineStr">
        <is>
          <t>Diccionario 1</t>
        </is>
      </c>
      <c r="FD383" s="15" t="n">
        <v>1382</v>
      </c>
      <c r="FE383" s="15" t="inlineStr">
        <is>
          <t>MDN35025010042</t>
        </is>
      </c>
      <c r="FF383" s="15" t="inlineStr">
        <is>
          <t>LDYECS317S0043823</t>
        </is>
      </c>
      <c r="FG383" s="15" t="inlineStr">
        <is>
          <t>Zhong Tong</t>
        </is>
      </c>
      <c r="FH383" s="15" t="inlineStr">
        <is>
          <t>Lck6122evg</t>
        </is>
      </c>
      <c r="FI383" s="15" t="inlineStr">
        <is>
          <t>ZHONGTONG</t>
        </is>
      </c>
      <c r="FJ383" s="15" t="inlineStr">
        <is>
          <t>LCK6122EVG</t>
        </is>
      </c>
      <c r="FK383" s="15" t="n">
        <v>2025</v>
      </c>
      <c r="FL383" s="15" t="inlineStr">
        <is>
          <t>B</t>
        </is>
      </c>
      <c r="FM383" s="15" t="inlineStr">
        <is>
          <t>PIE ANDINO</t>
        </is>
      </c>
      <c r="FN383" s="15" t="inlineStr">
        <is>
          <t>Pie Andino 31 (Pie Andino 383)</t>
        </is>
      </c>
      <c r="FO383" s="15" t="inlineStr">
        <is>
          <t>Puente Alto</t>
        </is>
      </c>
      <c r="FP383" t="inlineStr">
        <is>
          <t>B</t>
        </is>
      </c>
      <c r="FS383" s="14" t="inlineStr">
        <is>
          <t>3100 / SFWZ-83|</t>
        </is>
      </c>
      <c r="FT383" t="inlineStr">
        <is>
          <t>SFWZ-83|</t>
        </is>
      </c>
      <c r="FU383" t="inlineStr">
        <is>
          <t>SFWZ-83</t>
        </is>
      </c>
      <c r="FV383">
        <f>VLOOKUP(FU383,FD:FL,9,0)</f>
        <v/>
      </c>
      <c r="HA383" s="35" t="n">
        <v>153</v>
      </c>
      <c r="HB383" s="35" t="n">
        <v>377</v>
      </c>
    </row>
    <row r="384" ht="15.5" customHeight="1">
      <c r="A384" s="10">
        <f>HOUR(G384)+1</f>
        <v/>
      </c>
      <c r="B384" s="7" t="n"/>
      <c r="C384" s="7" t="n"/>
      <c r="D384" s="85">
        <f>IFERROR(
IF(AND(OR(Planilla!B384="C",Planilla!B384="c"), VLOOKUP(E384,FD:FP,13,0)="C"), "OK",IF(AND(OR(Planilla!B384="C",Planilla!B384="c"), OR(VLOOKUP(E384,FD:FP,13,0)="B", VLOOKUP(E384,FD:FP,13,0)="A")), "DEFICIT",IF(
AND(OR(Planilla!B384="B", Planilla!B384="BPAL"), VLOOKUP(E384,FD:FP,13,0)="B"), "OK",IF(AND(OR(Planilla!B384="B", Planilla!B384="BPAL"), VLOOKUP(E384,FD:FP,13,0)="A"), "DEFICIT",IF(AND(OR(Planilla!B384="B", Planilla!B384="BPAL"), VLOOKUP(E384,FD:FP,13,0)="C"), "SOBREOFERTA",IF(AND(Planilla!B384="A", VLOOKUP(E384,FD:FP,13,0)="A"), "OK",IF(
AND(Planilla!B384="A", OR(VLOOKUP(E384,FD:FP,13,0)="B", VLOOKUP(E384,FD:FP,13,0)="C")), "SOBREOFERTA",""
))))))),"")</f>
        <v/>
      </c>
      <c r="E384" s="8" t="n"/>
      <c r="F384" s="86" t="n"/>
      <c r="G384" s="87" t="n"/>
      <c r="H384" s="88">
        <f>IF(I384="","",IF(AND((I384-G384)&gt;=TIME(0,0,0),(I384-G384)&lt;TIME(0,3,0)),"OK",IF(AND((I384-G384)&gt;=TIME(0,3,0),(I384-G384)&lt;TIME(0,5,0)),"RETRASO DE 3-5 MIN",IF(AND((I384-G384)&gt;=TIME(0,5,0),(I384-G384)&lt;TIME(0,10,0)),"RETRASO DE 5-10 MIN",IF((I384-G384)&gt;=TIME(0,10,0),"RETRASO &gt;10 MIN", IF(AND((G384-I384)&gt;=TIME(0,0,0),(G384-I384)&lt;TIME(0,3,0)),"OK",IF((G384-I384)&gt;=TIME(0,3,0),"ADELANTADO")))))))</f>
        <v/>
      </c>
      <c r="I384" s="89" t="n"/>
      <c r="J384" s="89">
        <f>IF(A384&lt;&gt;"",HLOOKUP(VALUE(TEXT(G384,"h:mm:ss")),IF($C$6="Laboral",$FZ$4:$GX$227,IF($C$6="Sábado",$FZ$231:$GX$452,$FZ$456:$GX$656)),VLOOKUP($C$4,$HF$2:$HH$99,3,0)+IF(C$5="Ida",0,1),1),"")</f>
        <v/>
      </c>
      <c r="K384" s="89">
        <f>IF(A385&lt;&gt;A384,AVERAGEIF(A$9:A384,A384,J$9:J384),"")</f>
        <v/>
      </c>
      <c r="L384" s="89">
        <f>IFERROR(IF(A385&lt;&gt;A384,AVERAGEIF(A$9:A384,A384,S$9:S384),""),"")</f>
        <v/>
      </c>
      <c r="M384" s="89">
        <f>IFERROR(IF(A385&lt;&gt;A384,AVERAGEIF(A$9:A384,A384,T$9:T384),""),"")</f>
        <v/>
      </c>
      <c r="N384" s="89">
        <f t="array" ref="N384">IFERROR(IF(A385&lt;&gt;A384,_xlfn.STDEV.P(IF(A$9:A384=A384,T$9:T384)),""),"")</f>
        <v/>
      </c>
      <c r="O384" s="89">
        <f t="array" ref="O384">IFERROR(IF(A385&lt;&gt;A384,_xlfn.STDEV.P(IF(A$9:A384=A384,S$9:S384)),""),"")</f>
        <v/>
      </c>
      <c r="P384" s="90">
        <f>IFERROR(IF(A384&lt;&gt;A385,MAX((((M384*24*60)/2)*(1+POWER((((N384*24*60) / (M384*24*60) )),2))) + ((M384*24*60 )*-0.1 + (K384*0.015)) +1,(((M384*24*60)/2)*(1+POWER((((N384*24*60) / (M384*24*60 ))),2)))),""),"")</f>
        <v/>
      </c>
      <c r="Q384" s="90">
        <f>IF(AND(O384&lt;&gt;"",L384&lt;&gt;""),IF(A384&lt;&gt;A385,((L384*24*60) / 2 ) * (1 + POWER(((O384*24*60) / (L384*24*60)),2)),""),"")</f>
        <v/>
      </c>
      <c r="R384" s="90">
        <f>IF(Q384&lt;&gt;"",MAX(P384,Q384),"")</f>
        <v/>
      </c>
      <c r="S384" s="89">
        <f>IF(I384&lt;&gt;"H. Sale Real",IF(AND(I385&lt;&gt;"",LEFT(C385,2)&lt;&gt;"Va"),IF(AND(I384&lt;&gt;"",LEFT(C384,2)&lt;&gt;"Va",I384&lt;&gt;"H. Sale Real"),IF(I385-I384&lt;0.208333333333333,I385-I384,""),IF(AND(I383&lt;&gt;"",LEFT(C383,2)&lt;&gt;"Va",I383&lt;&gt;"H. Sale Real"),IF(I385-I383&lt;0.208333333333333,I385-I383,""),IF(AND(I382&lt;&gt;"",LEFT(C382,2)&lt;&gt;"Va",I382&lt;&gt;"H. Sale Real"),IF(I385-I382&lt;0.208333333333333,I385-I382,""),IF(AND(I381&lt;&gt;"",LEFT(C381,2)&lt;&gt;"Va",I381&lt;&gt;"H. Sale Real"),IF(I385-I381&lt;0.208333333333333,I385-I381,""),IF(AND(I380&lt;&gt;"",LEFT(C380,2)&lt;&gt;"Va",I380&lt;&gt;"H. Sale Real"),IF(I385-I380&lt;0.208333333333333,I385-I380,""),""))))),""),"")</f>
        <v/>
      </c>
      <c r="T384" s="89">
        <f>IF(G384&lt;&gt;"H. Sale Real",IF(AND(G385&lt;&gt;"",LEFT(C385,2)&lt;&gt;"Va"),IF(AND(G384&lt;&gt;"",LEFT(C384,2)&lt;&gt;"Va",G384&lt;&gt;"H. Sale Real"),IF(G385-G384&lt;0.208333333333333,G385-G384,""),IF(AND(G383&lt;&gt;"",LEFT(C383,2)&lt;&gt;"Va",G383&lt;&gt;"H. Sale Real"),IF(G385-G383&lt;0.208333333333333,G385-G383,""),IF(AND(G382&lt;&gt;"",LEFT(C382,2)&lt;&gt;"Va",G382&lt;&gt;"H. Sale Real"),IF(G385-G382&lt;0.208333333333333,G385-G382,""),IF(AND(G381&lt;&gt;"",LEFT(C381,2)&lt;&gt;"Va",G381&lt;&gt;"H. Sale Real"),IF(G385-G381&lt;0.208333333333333,G385-G381,""),IF(AND(G380&lt;&gt;"",LEFT(C380,2)&lt;&gt;"Va",G380&lt;&gt;"H. Sale Real"),IF(G385-G380&lt;0.208333333333333,G385-G380,""),""))))),""),"")</f>
        <v/>
      </c>
      <c r="U384" s="87" t="n"/>
      <c r="V384" s="89" t="n"/>
      <c r="W384" s="87" t="n"/>
      <c r="X384" s="89" t="n"/>
      <c r="Y384" s="91" t="n"/>
      <c r="Z384" s="122">
        <f>IF(G384&lt;&gt;"",IF(AND(Z383&lt;&gt;"IE",P384&lt;&gt;0,R384&lt;&gt;""),IF(IFERROR((P384/R384),0) &lt;=1,IFERROR(P384/R384,""),1),""),"")</f>
        <v/>
      </c>
      <c r="AA384" s="93" t="n"/>
      <c r="AB384" s="2" t="n"/>
      <c r="AE384" s="10">
        <f>HOUR(AK384)+1</f>
        <v/>
      </c>
      <c r="AF384" s="7" t="n"/>
      <c r="AG384" s="7" t="n"/>
      <c r="AH384" s="86" t="n"/>
      <c r="AI384" s="8" t="n"/>
      <c r="AJ384" s="86" t="n"/>
      <c r="AK384" s="87" t="n"/>
      <c r="AL384" s="88">
        <f>IF(AM384="","",IF(AND((AM384-AK384)&gt;=TIME(0,0,0),(AM384-AK384)&lt;TIME(0,3,0)),"OK",IF(AND((AM384-AK384)&gt;=TIME(0,3,0),(AM384-AK384)&lt;TIME(0,5,0)),"RETRASO DE 3-5 MIN",IF(AND((AM384-AK384)&gt;=TIME(0,5,0),(AM384-AK384)&lt;TIME(0,10,0)),"RETRASO DE 5-10 MIN",IF((AM384-AK384)&gt;=TIME(0,10,0),"RETRASO &gt;10 MIN", IF(AND((AK384-AM384)&gt;=TIME(0,0,0),(AK384-AM384)&lt;TIME(0,3,0)),"OK",IF((AK384-AM384)&gt;=TIME(0,3,0),"ADELANTADO")))))))</f>
        <v/>
      </c>
      <c r="AM384" s="91" t="n"/>
      <c r="AN384" s="89">
        <f>IF(AE384&lt;&gt;"",HLOOKUP(VALUE(TEXT(AK384,"h:mm:ss")),IF($C$6="Laboral",$FZ$4:$GX$227,IF($C$6="Sábado",$FZ$231:$GX$452,$FZ$456:$GX$656)),VLOOKUP($C$4,$HF$2:$HH$99,3,0)+IF(AG$5="Ida",0,1),1),"")</f>
        <v/>
      </c>
      <c r="AO384" s="89">
        <f>IF(AE385&lt;&gt;AE384,AVERAGEIF(AE$9:AE384,AE384,AN$9:AN384),"")</f>
        <v/>
      </c>
      <c r="AP384" s="89">
        <f>IFERROR(IF(AE385&lt;&gt;AE384,AVERAGEIF(AE$9:AE384,AE384,AW$9:AW384),""),"")</f>
        <v/>
      </c>
      <c r="AQ384" s="89">
        <f>IFERROR(IF(AE385&lt;&gt;AE384,AVERAGEIF(AE$9:AE384,AE384,AX$9:AX384),""),"")</f>
        <v/>
      </c>
      <c r="AR384" s="89">
        <f t="array" ref="AR384">IFERROR(IF(AE385&lt;&gt;AE384,_xlfn.STDEV.P(IF(AE$9:AE384=AE384,AX$9:AX384)),""),"")</f>
        <v/>
      </c>
      <c r="AS384" s="89">
        <f t="array" ref="AS384">IFERROR(IF(AE385&lt;&gt;AE384,_xlfn.STDEV.P(IF(AE$9:AE384=AE384,AW$9:AW384)),""),"")</f>
        <v/>
      </c>
      <c r="AT384" s="90">
        <f>IFERROR(IF(AE384&lt;&gt;AE385,MAX((((AQ384*24*60)/2)*(1+POWER((((AR384*24*60) / (AQ384*24*60) )),2))) + ((AQ384*24*60 )*-0.1 + (AO384*0.015)) +1,(((AQ384*24*60)/2)*(1+POWER((((AR384*24*60) / (AQ384*24*60 ))),2)))),""),"")</f>
        <v/>
      </c>
      <c r="AU384" s="90">
        <f>IF(AND(AS384&lt;&gt;"",AP384&lt;&gt;""),IF(AE384&lt;&gt;AE385,((AP384*24*60) / 2 ) * (1 + POWER(((AS384*24*60) / (AP384*24*60)),2)),""),"")</f>
        <v/>
      </c>
      <c r="AV384" s="90">
        <f>IF(AU384&lt;&gt;"",MAX(AT384,AU384),"")</f>
        <v/>
      </c>
      <c r="AW384" s="89">
        <f>IF(AM384&lt;&gt;"H. Sale Real",IF(AND(AM385&lt;&gt;"",LEFT(AG385,2)&lt;&gt;"Va"),IF(AND(AM384&lt;&gt;"",LEFT(AG384,2)&lt;&gt;"Va",AM384&lt;&gt;"H. Sale Real"),IF(AM385-AM384&lt;0.208333333333333,AM385-AM384,""),IF(AND(AM383&lt;&gt;"",LEFT(AG383,2)&lt;&gt;"Va",AM383&lt;&gt;"H. Sale Real"),IF(AM385-AM383&lt;0.208333333333333,AM385-AM383,""),IF(AND(AM382&lt;&gt;"",LEFT(AG382,2)&lt;&gt;"Va",AM382&lt;&gt;"H. Sale Real"),IF(AM385-AM382&lt;0.208333333333333,AM385-AM382,""),IF(AND(AM381&lt;&gt;"",LEFT(AG381,2)&lt;&gt;"Va",AM381&lt;&gt;"H. Sale Real"),IF(AM385-AM381&lt;0.208333333333333,AM385-AM381,""),IF(AND(AM380&lt;&gt;"",LEFT(AG380,2)&lt;&gt;"Va",AM380&lt;&gt;"H. Sale Real"),IF(AM385-AM380&lt;0.208333333333333,AM385-AM380,""),""))))),""),"")</f>
        <v/>
      </c>
      <c r="AX384" s="89">
        <f>IF(AK384&lt;&gt;"H. Sale Real",IF(AND(AK385&lt;&gt;"",LEFT(AG385,2)&lt;&gt;"Va"),IF(AND(AK384&lt;&gt;"",LEFT(AG384,2)&lt;&gt;"Va",AK384&lt;&gt;"H. Sale Real"),IF(AK385-AK384&lt;0.208333333333333,AK385-AK384,""),IF(AND(AK383&lt;&gt;"",LEFT(AG383,2)&lt;&gt;"Va",AK383&lt;&gt;"H. Sale Real"),IF(AK385-AK383&lt;0.208333333333333,AK385-AK383,""),IF(AND(AK382&lt;&gt;"",LEFT(AG382,2)&lt;&gt;"NC",AK382&lt;&gt;"H. Sale Real"),IF(AK385-AK382&lt;0.208333333333333,AK385-AK382,""),IF(AND(AK381&lt;&gt;"",LEFT(AG381,2)&lt;&gt;"Va",AK381&lt;&gt;"H. Sale Real"),IF(AK385-AK381&lt;0.208333333333333,AK385-AK381,""),IF(AND(AK380&lt;&gt;"",LEFT(AG380,2)&lt;&gt;"Va",AK380&lt;&gt;"H. Sale Real"),IF(AK385-AK380&lt;0.208333333333333,AK385-AK380,""),""))))),""),"")</f>
        <v/>
      </c>
      <c r="AY384" s="87" t="n"/>
      <c r="AZ384" s="89" t="n"/>
      <c r="BA384" s="87" t="n"/>
      <c r="BB384" s="89" t="n"/>
      <c r="BC384" s="91" t="n"/>
      <c r="BD384" s="122">
        <f>IF(AK384&lt;&gt;"",IF(AND(BD383&lt;&gt;"IE",AT384&lt;&gt;0,AV384&lt;&gt;""),IF(IFERROR((AT384/AV384),0) &lt;=1,IFERROR(AT384/AV384,""),1),""),"")</f>
        <v/>
      </c>
      <c r="BE384" s="93" t="n"/>
      <c r="BF384" s="105" t="n"/>
      <c r="FC384" t="inlineStr">
        <is>
          <t>Diccionario 1</t>
        </is>
      </c>
      <c r="FD384" s="15" t="n">
        <v>1383</v>
      </c>
      <c r="FE384" s="15" t="inlineStr">
        <is>
          <t>MDN35025010034</t>
        </is>
      </c>
      <c r="FF384" s="15" t="inlineStr">
        <is>
          <t>LDYECS310S0043839</t>
        </is>
      </c>
      <c r="FG384" s="15" t="inlineStr">
        <is>
          <t>Zhong Tong</t>
        </is>
      </c>
      <c r="FH384" s="15" t="inlineStr">
        <is>
          <t>Lck6122evg</t>
        </is>
      </c>
      <c r="FI384" s="15" t="inlineStr">
        <is>
          <t>ZHONGTONG</t>
        </is>
      </c>
      <c r="FJ384" s="15" t="inlineStr">
        <is>
          <t>LCK6122EVG</t>
        </is>
      </c>
      <c r="FK384" s="15" t="n">
        <v>2025</v>
      </c>
      <c r="FL384" s="15" t="inlineStr">
        <is>
          <t>B</t>
        </is>
      </c>
      <c r="FM384" s="15" t="inlineStr">
        <is>
          <t>PIE ANDINO</t>
        </is>
      </c>
      <c r="FN384" s="15" t="inlineStr">
        <is>
          <t>Pie Andino 31 (Pie Andino 383)</t>
        </is>
      </c>
      <c r="FO384" s="15" t="inlineStr">
        <is>
          <t>Puente Alto</t>
        </is>
      </c>
      <c r="FP384" t="inlineStr">
        <is>
          <t>B</t>
        </is>
      </c>
      <c r="FS384" s="14" t="inlineStr">
        <is>
          <t>3100 / SFWZ-83|</t>
        </is>
      </c>
      <c r="FT384" t="inlineStr">
        <is>
          <t>SFWZ-83|</t>
        </is>
      </c>
      <c r="FU384" t="inlineStr">
        <is>
          <t>SFWZ-83</t>
        </is>
      </c>
      <c r="FV384">
        <f>VLOOKUP(FU384,FD:FL,9,0)</f>
        <v/>
      </c>
      <c r="HA384" s="35" t="n">
        <v>154</v>
      </c>
      <c r="HB384" s="35" t="n">
        <v>378</v>
      </c>
    </row>
    <row r="385" ht="15.5" customHeight="1">
      <c r="A385" s="10">
        <f>HOUR(G385)+1</f>
        <v/>
      </c>
      <c r="B385" s="7" t="n"/>
      <c r="C385" s="7" t="n"/>
      <c r="D385" s="85">
        <f>IFERROR(
IF(AND(OR(Planilla!B385="C",Planilla!B385="c"), VLOOKUP(E385,FD:FP,13,0)="C"), "OK",IF(AND(OR(Planilla!B385="C",Planilla!B385="c"), OR(VLOOKUP(E385,FD:FP,13,0)="B", VLOOKUP(E385,FD:FP,13,0)="A")), "DEFICIT",IF(
AND(OR(Planilla!B385="B", Planilla!B385="BPAL"), VLOOKUP(E385,FD:FP,13,0)="B"), "OK",IF(AND(OR(Planilla!B385="B", Planilla!B385="BPAL"), VLOOKUP(E385,FD:FP,13,0)="A"), "DEFICIT",IF(AND(OR(Planilla!B385="B", Planilla!B385="BPAL"), VLOOKUP(E385,FD:FP,13,0)="C"), "SOBREOFERTA",IF(AND(Planilla!B385="A", VLOOKUP(E385,FD:FP,13,0)="A"), "OK",IF(
AND(Planilla!B385="A", OR(VLOOKUP(E385,FD:FP,13,0)="B", VLOOKUP(E385,FD:FP,13,0)="C")), "SOBREOFERTA",""
))))))),"")</f>
        <v/>
      </c>
      <c r="E385" s="8" t="n"/>
      <c r="F385" s="86" t="n"/>
      <c r="G385" s="87" t="n"/>
      <c r="H385" s="88">
        <f>IF(I385="","",IF(AND((I385-G385)&gt;=TIME(0,0,0),(I385-G385)&lt;TIME(0,3,0)),"OK",IF(AND((I385-G385)&gt;=TIME(0,3,0),(I385-G385)&lt;TIME(0,5,0)),"RETRASO DE 3-5 MIN",IF(AND((I385-G385)&gt;=TIME(0,5,0),(I385-G385)&lt;TIME(0,10,0)),"RETRASO DE 5-10 MIN",IF((I385-G385)&gt;=TIME(0,10,0),"RETRASO &gt;10 MIN", IF(AND((G385-I385)&gt;=TIME(0,0,0),(G385-I385)&lt;TIME(0,3,0)),"OK",IF((G385-I385)&gt;=TIME(0,3,0),"ADELANTADO")))))))</f>
        <v/>
      </c>
      <c r="I385" s="89" t="n"/>
      <c r="J385" s="89">
        <f>IF(A385&lt;&gt;"",HLOOKUP(VALUE(TEXT(G385,"h:mm:ss")),IF($C$6="Laboral",$FZ$4:$GX$227,IF($C$6="Sábado",$FZ$231:$GX$452,$FZ$456:$GX$656)),VLOOKUP($C$4,$HF$2:$HH$99,3,0)+IF(C$5="Ida",0,1),1),"")</f>
        <v/>
      </c>
      <c r="K385" s="89">
        <f>IF(A386&lt;&gt;A385,AVERAGEIF(A$9:A385,A385,J$9:J385),"")</f>
        <v/>
      </c>
      <c r="L385" s="89">
        <f>IFERROR(IF(A386&lt;&gt;A385,AVERAGEIF(A$9:A385,A385,S$9:S385),""),"")</f>
        <v/>
      </c>
      <c r="M385" s="89">
        <f>IFERROR(IF(A386&lt;&gt;A385,AVERAGEIF(A$9:A385,A385,T$9:T385),""),"")</f>
        <v/>
      </c>
      <c r="N385" s="89">
        <f t="array" ref="N385">IFERROR(IF(A386&lt;&gt;A385,_xlfn.STDEV.P(IF(A$9:A385=A385,T$9:T385)),""),"")</f>
        <v/>
      </c>
      <c r="O385" s="89">
        <f t="array" ref="O385">IFERROR(IF(A386&lt;&gt;A385,_xlfn.STDEV.P(IF(A$9:A385=A385,S$9:S385)),""),"")</f>
        <v/>
      </c>
      <c r="P385" s="90">
        <f>IFERROR(IF(A385&lt;&gt;A386,MAX((((M385*24*60)/2)*(1+POWER((((N385*24*60) / (M385*24*60) )),2))) + ((M385*24*60 )*-0.1 + (K385*0.015)) +1,(((M385*24*60)/2)*(1+POWER((((N385*24*60) / (M385*24*60 ))),2)))),""),"")</f>
        <v/>
      </c>
      <c r="Q385" s="90">
        <f>IF(AND(O385&lt;&gt;"",L385&lt;&gt;""),IF(A385&lt;&gt;A386,((L385*24*60) / 2 ) * (1 + POWER(((O385*24*60) / (L385*24*60)),2)),""),"")</f>
        <v/>
      </c>
      <c r="R385" s="90">
        <f>IF(Q385&lt;&gt;"",MAX(P385,Q385),"")</f>
        <v/>
      </c>
      <c r="S385" s="89">
        <f>IF(I385&lt;&gt;"H. Sale Real",IF(AND(I386&lt;&gt;"",LEFT(C386,2)&lt;&gt;"Va"),IF(AND(I385&lt;&gt;"",LEFT(C385,2)&lt;&gt;"Va",I385&lt;&gt;"H. Sale Real"),IF(I386-I385&lt;0.208333333333333,I386-I385,""),IF(AND(I384&lt;&gt;"",LEFT(C384,2)&lt;&gt;"Va",I384&lt;&gt;"H. Sale Real"),IF(I386-I384&lt;0.208333333333333,I386-I384,""),IF(AND(I383&lt;&gt;"",LEFT(C383,2)&lt;&gt;"Va",I383&lt;&gt;"H. Sale Real"),IF(I386-I383&lt;0.208333333333333,I386-I383,""),IF(AND(I382&lt;&gt;"",LEFT(C382,2)&lt;&gt;"Va",I382&lt;&gt;"H. Sale Real"),IF(I386-I382&lt;0.208333333333333,I386-I382,""),IF(AND(I381&lt;&gt;"",LEFT(C381,2)&lt;&gt;"Va",I381&lt;&gt;"H. Sale Real"),IF(I386-I381&lt;0.208333333333333,I386-I381,""),""))))),""),"")</f>
        <v/>
      </c>
      <c r="T385" s="89">
        <f>IF(G385&lt;&gt;"H. Sale Real",IF(AND(G386&lt;&gt;"",LEFT(C386,2)&lt;&gt;"Va"),IF(AND(G385&lt;&gt;"",LEFT(C385,2)&lt;&gt;"Va",G385&lt;&gt;"H. Sale Real"),IF(G386-G385&lt;0.208333333333333,G386-G385,""),IF(AND(G384&lt;&gt;"",LEFT(C384,2)&lt;&gt;"Va",G384&lt;&gt;"H. Sale Real"),IF(G386-G384&lt;0.208333333333333,G386-G384,""),IF(AND(G383&lt;&gt;"",LEFT(C383,2)&lt;&gt;"Va",G383&lt;&gt;"H. Sale Real"),IF(G386-G383&lt;0.208333333333333,G386-G383,""),IF(AND(G382&lt;&gt;"",LEFT(C382,2)&lt;&gt;"Va",G382&lt;&gt;"H. Sale Real"),IF(G386-G382&lt;0.208333333333333,G386-G382,""),IF(AND(G381&lt;&gt;"",LEFT(C381,2)&lt;&gt;"Va",G381&lt;&gt;"H. Sale Real"),IF(G386-G381&lt;0.208333333333333,G386-G381,""),""))))),""),"")</f>
        <v/>
      </c>
      <c r="U385" s="87" t="n"/>
      <c r="V385" s="89" t="n"/>
      <c r="W385" s="87" t="n"/>
      <c r="X385" s="89" t="n"/>
      <c r="Y385" s="91" t="n"/>
      <c r="Z385" s="122">
        <f>IF(G385&lt;&gt;"",IF(AND(Z384&lt;&gt;"IE",P385&lt;&gt;0,R385&lt;&gt;""),IF(IFERROR((P385/R385),0) &lt;=1,IFERROR(P385/R385,""),1),""),"")</f>
        <v/>
      </c>
      <c r="AA385" s="93" t="n"/>
      <c r="AB385" s="2" t="n"/>
      <c r="AE385" s="10">
        <f>HOUR(AK385)+1</f>
        <v/>
      </c>
      <c r="AF385" s="7" t="n"/>
      <c r="AG385" s="7" t="n"/>
      <c r="AH385" s="86" t="n"/>
      <c r="AI385" s="8" t="n"/>
      <c r="AJ385" s="86" t="n"/>
      <c r="AK385" s="87" t="n"/>
      <c r="AL385" s="88">
        <f>IF(AM385="","",IF(AND((AM385-AK385)&gt;=TIME(0,0,0),(AM385-AK385)&lt;TIME(0,3,0)),"OK",IF(AND((AM385-AK385)&gt;=TIME(0,3,0),(AM385-AK385)&lt;TIME(0,5,0)),"RETRASO DE 3-5 MIN",IF(AND((AM385-AK385)&gt;=TIME(0,5,0),(AM385-AK385)&lt;TIME(0,10,0)),"RETRASO DE 5-10 MIN",IF((AM385-AK385)&gt;=TIME(0,10,0),"RETRASO &gt;10 MIN", IF(AND((AK385-AM385)&gt;=TIME(0,0,0),(AK385-AM385)&lt;TIME(0,3,0)),"OK",IF((AK385-AM385)&gt;=TIME(0,3,0),"ADELANTADO")))))))</f>
        <v/>
      </c>
      <c r="AM385" s="91" t="n"/>
      <c r="AN385" s="89">
        <f>IF(AE385&lt;&gt;"",HLOOKUP(VALUE(TEXT(AK385,"h:mm:ss")),IF($C$6="Laboral",$FZ$4:$GX$227,IF($C$6="Sábado",$FZ$231:$GX$452,$FZ$456:$GX$656)),VLOOKUP($C$4,$HF$2:$HH$99,3,0)+IF(AG$5="Ida",0,1),1),"")</f>
        <v/>
      </c>
      <c r="AO385" s="89">
        <f>IF(AE386&lt;&gt;AE385,AVERAGEIF(AE$9:AE385,AE385,AN$9:AN385),"")</f>
        <v/>
      </c>
      <c r="AP385" s="89">
        <f>IFERROR(IF(AE386&lt;&gt;AE385,AVERAGEIF(AE$9:AE385,AE385,AW$9:AW385),""),"")</f>
        <v/>
      </c>
      <c r="AQ385" s="89">
        <f>IFERROR(IF(AE386&lt;&gt;AE385,AVERAGEIF(AE$9:AE385,AE385,AX$9:AX385),""),"")</f>
        <v/>
      </c>
      <c r="AR385" s="89">
        <f t="array" ref="AR385">IFERROR(IF(AE386&lt;&gt;AE385,_xlfn.STDEV.P(IF(AE$9:AE385=AE385,AX$9:AX385)),""),"")</f>
        <v/>
      </c>
      <c r="AS385" s="89">
        <f t="array" ref="AS385">IFERROR(IF(AE386&lt;&gt;AE385,_xlfn.STDEV.P(IF(AE$9:AE385=AE385,AW$9:AW385)),""),"")</f>
        <v/>
      </c>
      <c r="AT385" s="90">
        <f>IFERROR(IF(AE385&lt;&gt;AE386,MAX((((AQ385*24*60)/2)*(1+POWER((((AR385*24*60) / (AQ385*24*60) )),2))) + ((AQ385*24*60 )*-0.1 + (AO385*0.015)) +1,(((AQ385*24*60)/2)*(1+POWER((((AR385*24*60) / (AQ385*24*60 ))),2)))),""),"")</f>
        <v/>
      </c>
      <c r="AU385" s="90">
        <f>IF(AND(AS385&lt;&gt;"",AP385&lt;&gt;""),IF(AE385&lt;&gt;AE386,((AP385*24*60) / 2 ) * (1 + POWER(((AS385*24*60) / (AP385*24*60)),2)),""),"")</f>
        <v/>
      </c>
      <c r="AV385" s="90">
        <f>IF(AU385&lt;&gt;"",MAX(AT385,AU385),"")</f>
        <v/>
      </c>
      <c r="AW385" s="89">
        <f>IF(AM385&lt;&gt;"H. Sale Real",IF(AND(AM386&lt;&gt;"",LEFT(AG386,2)&lt;&gt;"Va"),IF(AND(AM385&lt;&gt;"",LEFT(AG385,2)&lt;&gt;"Va",AM385&lt;&gt;"H. Sale Real"),IF(AM386-AM385&lt;0.208333333333333,AM386-AM385,""),IF(AND(AM384&lt;&gt;"",LEFT(AG384,2)&lt;&gt;"Va",AM384&lt;&gt;"H. Sale Real"),IF(AM386-AM384&lt;0.208333333333333,AM386-AM384,""),IF(AND(AM383&lt;&gt;"",LEFT(AG383,2)&lt;&gt;"Va",AM383&lt;&gt;"H. Sale Real"),IF(AM386-AM383&lt;0.208333333333333,AM386-AM383,""),IF(AND(AM382&lt;&gt;"",LEFT(AG382,2)&lt;&gt;"Va",AM382&lt;&gt;"H. Sale Real"),IF(AM386-AM382&lt;0.208333333333333,AM386-AM382,""),IF(AND(AM381&lt;&gt;"",LEFT(AG381,2)&lt;&gt;"Va",AM381&lt;&gt;"H. Sale Real"),IF(AM386-AM381&lt;0.208333333333333,AM386-AM381,""),""))))),""),"")</f>
        <v/>
      </c>
      <c r="AX385" s="89">
        <f>IF(AK385&lt;&gt;"H. Sale Real",IF(AND(AK386&lt;&gt;"",LEFT(AG386,2)&lt;&gt;"Va"),IF(AND(AK385&lt;&gt;"",LEFT(AG385,2)&lt;&gt;"Va",AK385&lt;&gt;"H. Sale Real"),IF(AK386-AK385&lt;0.208333333333333,AK386-AK385,""),IF(AND(AK384&lt;&gt;"",LEFT(AG384,2)&lt;&gt;"Va",AK384&lt;&gt;"H. Sale Real"),IF(AK386-AK384&lt;0.208333333333333,AK386-AK384,""),IF(AND(AK383&lt;&gt;"",LEFT(AG383,2)&lt;&gt;"NC",AK383&lt;&gt;"H. Sale Real"),IF(AK386-AK383&lt;0.208333333333333,AK386-AK383,""),IF(AND(AK382&lt;&gt;"",LEFT(AG382,2)&lt;&gt;"Va",AK382&lt;&gt;"H. Sale Real"),IF(AK386-AK382&lt;0.208333333333333,AK386-AK382,""),IF(AND(AK381&lt;&gt;"",LEFT(AG381,2)&lt;&gt;"Va",AK381&lt;&gt;"H. Sale Real"),IF(AK386-AK381&lt;0.208333333333333,AK386-AK381,""),""))))),""),"")</f>
        <v/>
      </c>
      <c r="AY385" s="87" t="n"/>
      <c r="AZ385" s="89" t="n"/>
      <c r="BA385" s="87" t="n"/>
      <c r="BB385" s="89" t="n"/>
      <c r="BC385" s="91" t="n"/>
      <c r="BD385" s="122">
        <f>IF(AK385&lt;&gt;"",IF(AND(BD384&lt;&gt;"IE",AT385&lt;&gt;0,AV385&lt;&gt;""),IF(IFERROR((AT385/AV385),0) &lt;=1,IFERROR(AT385/AV385,""),1),""),"")</f>
        <v/>
      </c>
      <c r="BE385" s="93" t="n"/>
      <c r="BF385" s="105" t="n"/>
      <c r="FC385" t="inlineStr">
        <is>
          <t>Diccionario 1</t>
        </is>
      </c>
      <c r="FD385" s="15" t="n">
        <v>1384</v>
      </c>
      <c r="FE385" s="15" t="inlineStr">
        <is>
          <t>MDN35025020016</t>
        </is>
      </c>
      <c r="FF385" s="15" t="inlineStr">
        <is>
          <t>LDYECS311S0043820</t>
        </is>
      </c>
      <c r="FG385" s="15" t="inlineStr">
        <is>
          <t>Zhong Tong</t>
        </is>
      </c>
      <c r="FH385" s="15" t="inlineStr">
        <is>
          <t>Lck6122evg</t>
        </is>
      </c>
      <c r="FI385" s="15" t="inlineStr">
        <is>
          <t>ZHONGTONG</t>
        </is>
      </c>
      <c r="FJ385" s="15" t="inlineStr">
        <is>
          <t>LCK6122EVG</t>
        </is>
      </c>
      <c r="FK385" s="15" t="n">
        <v>2025</v>
      </c>
      <c r="FL385" s="15" t="inlineStr">
        <is>
          <t>B</t>
        </is>
      </c>
      <c r="FM385" s="15" t="inlineStr">
        <is>
          <t>PIE ANDINO</t>
        </is>
      </c>
      <c r="FN385" s="15" t="inlineStr">
        <is>
          <t>Pie Andino 31 (Pie Andino 383)</t>
        </is>
      </c>
      <c r="FO385" s="15" t="inlineStr">
        <is>
          <t>Puente Alto</t>
        </is>
      </c>
      <c r="FP385" t="inlineStr">
        <is>
          <t>B</t>
        </is>
      </c>
      <c r="FS385" s="14" t="inlineStr">
        <is>
          <t>3100 / SFWZ-83|</t>
        </is>
      </c>
      <c r="FT385" t="inlineStr">
        <is>
          <t>SFWZ-83|</t>
        </is>
      </c>
      <c r="FU385" t="inlineStr">
        <is>
          <t>SFWZ-83</t>
        </is>
      </c>
      <c r="FV385">
        <f>VLOOKUP(FU385,FD:FL,9,0)</f>
        <v/>
      </c>
      <c r="HA385" s="35" t="n">
        <v>155</v>
      </c>
      <c r="HB385" s="35" t="n">
        <v>379</v>
      </c>
    </row>
    <row r="386" ht="15.5" customHeight="1">
      <c r="A386" s="10">
        <f>HOUR(G386)+1</f>
        <v/>
      </c>
      <c r="B386" s="7" t="n"/>
      <c r="C386" s="7" t="n"/>
      <c r="D386" s="85">
        <f>IFERROR(
IF(AND(OR(Planilla!B386="C",Planilla!B386="c"), VLOOKUP(E386,FD:FP,13,0)="C"), "OK",IF(AND(OR(Planilla!B386="C",Planilla!B386="c"), OR(VLOOKUP(E386,FD:FP,13,0)="B", VLOOKUP(E386,FD:FP,13,0)="A")), "DEFICIT",IF(
AND(OR(Planilla!B386="B", Planilla!B386="BPAL"), VLOOKUP(E386,FD:FP,13,0)="B"), "OK",IF(AND(OR(Planilla!B386="B", Planilla!B386="BPAL"), VLOOKUP(E386,FD:FP,13,0)="A"), "DEFICIT",IF(AND(OR(Planilla!B386="B", Planilla!B386="BPAL"), VLOOKUP(E386,FD:FP,13,0)="C"), "SOBREOFERTA",IF(AND(Planilla!B386="A", VLOOKUP(E386,FD:FP,13,0)="A"), "OK",IF(
AND(Planilla!B386="A", OR(VLOOKUP(E386,FD:FP,13,0)="B", VLOOKUP(E386,FD:FP,13,0)="C")), "SOBREOFERTA",""
))))))),"")</f>
        <v/>
      </c>
      <c r="E386" s="8" t="n"/>
      <c r="F386" s="86" t="n"/>
      <c r="G386" s="87" t="n"/>
      <c r="H386" s="88">
        <f>IF(I386="","",IF(AND((I386-G386)&gt;=TIME(0,0,0),(I386-G386)&lt;TIME(0,3,0)),"OK",IF(AND((I386-G386)&gt;=TIME(0,3,0),(I386-G386)&lt;TIME(0,5,0)),"RETRASO DE 3-5 MIN",IF(AND((I386-G386)&gt;=TIME(0,5,0),(I386-G386)&lt;TIME(0,10,0)),"RETRASO DE 5-10 MIN",IF((I386-G386)&gt;=TIME(0,10,0),"RETRASO &gt;10 MIN", IF(AND((G386-I386)&gt;=TIME(0,0,0),(G386-I386)&lt;TIME(0,3,0)),"OK",IF((G386-I386)&gt;=TIME(0,3,0),"ADELANTADO")))))))</f>
        <v/>
      </c>
      <c r="I386" s="89" t="n"/>
      <c r="J386" s="89">
        <f>IF(A386&lt;&gt;"",HLOOKUP(VALUE(TEXT(G386,"h:mm:ss")),IF($C$6="Laboral",$FZ$4:$GX$227,IF($C$6="Sábado",$FZ$231:$GX$452,$FZ$456:$GX$656)),VLOOKUP($C$4,$HF$2:$HH$99,3,0)+IF(C$5="Ida",0,1),1),"")</f>
        <v/>
      </c>
      <c r="K386" s="89">
        <f>IF(A387&lt;&gt;A386,AVERAGEIF(A$9:A386,A386,J$9:J386),"")</f>
        <v/>
      </c>
      <c r="L386" s="89">
        <f>IFERROR(IF(A387&lt;&gt;A386,AVERAGEIF(A$9:A386,A386,S$9:S386),""),"")</f>
        <v/>
      </c>
      <c r="M386" s="89">
        <f>IFERROR(IF(A387&lt;&gt;A386,AVERAGEIF(A$9:A386,A386,T$9:T386),""),"")</f>
        <v/>
      </c>
      <c r="N386" s="89">
        <f t="array" ref="N386">IFERROR(IF(A387&lt;&gt;A386,_xlfn.STDEV.P(IF(A$9:A386=A386,T$9:T386)),""),"")</f>
        <v/>
      </c>
      <c r="O386" s="89">
        <f t="array" ref="O386">IFERROR(IF(A387&lt;&gt;A386,_xlfn.STDEV.P(IF(A$9:A386=A386,S$9:S386)),""),"")</f>
        <v/>
      </c>
      <c r="P386" s="90">
        <f>IFERROR(IF(A386&lt;&gt;A387,MAX((((M386*24*60)/2)*(1+POWER((((N386*24*60) / (M386*24*60) )),2))) + ((M386*24*60 )*-0.1 + (K386*0.015)) +1,(((M386*24*60)/2)*(1+POWER((((N386*24*60) / (M386*24*60 ))),2)))),""),"")</f>
        <v/>
      </c>
      <c r="Q386" s="90">
        <f>IF(AND(O386&lt;&gt;"",L386&lt;&gt;""),IF(A386&lt;&gt;A387,((L386*24*60) / 2 ) * (1 + POWER(((O386*24*60) / (L386*24*60)),2)),""),"")</f>
        <v/>
      </c>
      <c r="R386" s="90">
        <f>IF(Q386&lt;&gt;"",MAX(P386,Q386),"")</f>
        <v/>
      </c>
      <c r="S386" s="89">
        <f>IF(I386&lt;&gt;"H. Sale Real",IF(AND(I387&lt;&gt;"",LEFT(C387,2)&lt;&gt;"Va"),IF(AND(I386&lt;&gt;"",LEFT(C386,2)&lt;&gt;"Va",I386&lt;&gt;"H. Sale Real"),IF(I387-I386&lt;0.208333333333333,I387-I386,""),IF(AND(I385&lt;&gt;"",LEFT(C385,2)&lt;&gt;"Va",I385&lt;&gt;"H. Sale Real"),IF(I387-I385&lt;0.208333333333333,I387-I385,""),IF(AND(I384&lt;&gt;"",LEFT(C384,2)&lt;&gt;"Va",I384&lt;&gt;"H. Sale Real"),IF(I387-I384&lt;0.208333333333333,I387-I384,""),IF(AND(I383&lt;&gt;"",LEFT(C383,2)&lt;&gt;"Va",I383&lt;&gt;"H. Sale Real"),IF(I387-I383&lt;0.208333333333333,I387-I383,""),IF(AND(I382&lt;&gt;"",LEFT(C382,2)&lt;&gt;"Va",I382&lt;&gt;"H. Sale Real"),IF(I387-I382&lt;0.208333333333333,I387-I382,""),""))))),""),"")</f>
        <v/>
      </c>
      <c r="T386" s="89">
        <f>IF(G386&lt;&gt;"H. Sale Real",IF(AND(G387&lt;&gt;"",LEFT(C387,2)&lt;&gt;"Va"),IF(AND(G386&lt;&gt;"",LEFT(C386,2)&lt;&gt;"Va",G386&lt;&gt;"H. Sale Real"),IF(G387-G386&lt;0.208333333333333,G387-G386,""),IF(AND(G385&lt;&gt;"",LEFT(C385,2)&lt;&gt;"Va",G385&lt;&gt;"H. Sale Real"),IF(G387-G385&lt;0.208333333333333,G387-G385,""),IF(AND(G384&lt;&gt;"",LEFT(C384,2)&lt;&gt;"Va",G384&lt;&gt;"H. Sale Real"),IF(G387-G384&lt;0.208333333333333,G387-G384,""),IF(AND(G383&lt;&gt;"",LEFT(C383,2)&lt;&gt;"Va",G383&lt;&gt;"H. Sale Real"),IF(G387-G383&lt;0.208333333333333,G387-G383,""),IF(AND(G382&lt;&gt;"",LEFT(C382,2)&lt;&gt;"Va",G382&lt;&gt;"H. Sale Real"),IF(G387-G382&lt;0.208333333333333,G387-G382,""),""))))),""),"")</f>
        <v/>
      </c>
      <c r="U386" s="87" t="n"/>
      <c r="V386" s="89" t="n"/>
      <c r="W386" s="87" t="n"/>
      <c r="X386" s="89" t="n"/>
      <c r="Y386" s="91" t="n"/>
      <c r="Z386" s="122">
        <f>IF(G386&lt;&gt;"",IF(AND(Z385&lt;&gt;"IE",P386&lt;&gt;0,R386&lt;&gt;""),IF(IFERROR((P386/R386),0) &lt;=1,IFERROR(P386/R386,""),1),""),"")</f>
        <v/>
      </c>
      <c r="AA386" s="93" t="n"/>
      <c r="AB386" s="2" t="n"/>
      <c r="AE386" s="10">
        <f>HOUR(AK386)+1</f>
        <v/>
      </c>
      <c r="AF386" s="7" t="n"/>
      <c r="AG386" s="7" t="n"/>
      <c r="AH386" s="86" t="n"/>
      <c r="AI386" s="8" t="n"/>
      <c r="AJ386" s="86" t="n"/>
      <c r="AK386" s="87" t="n"/>
      <c r="AL386" s="88">
        <f>IF(AM386="","",IF(AND((AM386-AK386)&gt;=TIME(0,0,0),(AM386-AK386)&lt;TIME(0,3,0)),"OK",IF(AND((AM386-AK386)&gt;=TIME(0,3,0),(AM386-AK386)&lt;TIME(0,5,0)),"RETRASO DE 3-5 MIN",IF(AND((AM386-AK386)&gt;=TIME(0,5,0),(AM386-AK386)&lt;TIME(0,10,0)),"RETRASO DE 5-10 MIN",IF((AM386-AK386)&gt;=TIME(0,10,0),"RETRASO &gt;10 MIN", IF(AND((AK386-AM386)&gt;=TIME(0,0,0),(AK386-AM386)&lt;TIME(0,3,0)),"OK",IF((AK386-AM386)&gt;=TIME(0,3,0),"ADELANTADO")))))))</f>
        <v/>
      </c>
      <c r="AM386" s="91" t="n"/>
      <c r="AN386" s="89">
        <f>IF(AE386&lt;&gt;"",HLOOKUP(VALUE(TEXT(AK386,"h:mm:ss")),IF($C$6="Laboral",$FZ$4:$GX$227,IF($C$6="Sábado",$FZ$231:$GX$452,$FZ$456:$GX$656)),VLOOKUP($C$4,$HF$2:$HH$99,3,0)+IF(AG$5="Ida",0,1),1),"")</f>
        <v/>
      </c>
      <c r="AO386" s="89">
        <f>IF(AE387&lt;&gt;AE386,AVERAGEIF(AE$9:AE386,AE386,AN$9:AN386),"")</f>
        <v/>
      </c>
      <c r="AP386" s="89">
        <f>IFERROR(IF(AE387&lt;&gt;AE386,AVERAGEIF(AE$9:AE386,AE386,AW$9:AW386),""),"")</f>
        <v/>
      </c>
      <c r="AQ386" s="89">
        <f>IFERROR(IF(AE387&lt;&gt;AE386,AVERAGEIF(AE$9:AE386,AE386,AX$9:AX386),""),"")</f>
        <v/>
      </c>
      <c r="AR386" s="89">
        <f t="array" ref="AR386">IFERROR(IF(AE387&lt;&gt;AE386,_xlfn.STDEV.P(IF(AE$9:AE386=AE386,AX$9:AX386)),""),"")</f>
        <v/>
      </c>
      <c r="AS386" s="89">
        <f t="array" ref="AS386">IFERROR(IF(AE387&lt;&gt;AE386,_xlfn.STDEV.P(IF(AE$9:AE386=AE386,AW$9:AW386)),""),"")</f>
        <v/>
      </c>
      <c r="AT386" s="90">
        <f>IFERROR(IF(AE386&lt;&gt;AE387,MAX((((AQ386*24*60)/2)*(1+POWER((((AR386*24*60) / (AQ386*24*60) )),2))) + ((AQ386*24*60 )*-0.1 + (AO386*0.015)) +1,(((AQ386*24*60)/2)*(1+POWER((((AR386*24*60) / (AQ386*24*60 ))),2)))),""),"")</f>
        <v/>
      </c>
      <c r="AU386" s="90">
        <f>IF(AND(AS386&lt;&gt;"",AP386&lt;&gt;""),IF(AE386&lt;&gt;AE387,((AP386*24*60) / 2 ) * (1 + POWER(((AS386*24*60) / (AP386*24*60)),2)),""),"")</f>
        <v/>
      </c>
      <c r="AV386" s="90">
        <f>IF(AU386&lt;&gt;"",MAX(AT386,AU386),"")</f>
        <v/>
      </c>
      <c r="AW386" s="89">
        <f>IF(AM386&lt;&gt;"H. Sale Real",IF(AND(AM387&lt;&gt;"",LEFT(AG387,2)&lt;&gt;"Va"),IF(AND(AM386&lt;&gt;"",LEFT(AG386,2)&lt;&gt;"Va",AM386&lt;&gt;"H. Sale Real"),IF(AM387-AM386&lt;0.208333333333333,AM387-AM386,""),IF(AND(AM385&lt;&gt;"",LEFT(AG385,2)&lt;&gt;"Va",AM385&lt;&gt;"H. Sale Real"),IF(AM387-AM385&lt;0.208333333333333,AM387-AM385,""),IF(AND(AM384&lt;&gt;"",LEFT(AG384,2)&lt;&gt;"Va",AM384&lt;&gt;"H. Sale Real"),IF(AM387-AM384&lt;0.208333333333333,AM387-AM384,""),IF(AND(AM383&lt;&gt;"",LEFT(AG383,2)&lt;&gt;"Va",AM383&lt;&gt;"H. Sale Real"),IF(AM387-AM383&lt;0.208333333333333,AM387-AM383,""),IF(AND(AM382&lt;&gt;"",LEFT(AG382,2)&lt;&gt;"Va",AM382&lt;&gt;"H. Sale Real"),IF(AM387-AM382&lt;0.208333333333333,AM387-AM382,""),""))))),""),"")</f>
        <v/>
      </c>
      <c r="AX386" s="89">
        <f>IF(AK386&lt;&gt;"H. Sale Real",IF(AND(AK387&lt;&gt;"",LEFT(AG387,2)&lt;&gt;"Va"),IF(AND(AK386&lt;&gt;"",LEFT(AG386,2)&lt;&gt;"Va",AK386&lt;&gt;"H. Sale Real"),IF(AK387-AK386&lt;0.208333333333333,AK387-AK386,""),IF(AND(AK385&lt;&gt;"",LEFT(AG385,2)&lt;&gt;"Va",AK385&lt;&gt;"H. Sale Real"),IF(AK387-AK385&lt;0.208333333333333,AK387-AK385,""),IF(AND(AK384&lt;&gt;"",LEFT(AG384,2)&lt;&gt;"NC",AK384&lt;&gt;"H. Sale Real"),IF(AK387-AK384&lt;0.208333333333333,AK387-AK384,""),IF(AND(AK383&lt;&gt;"",LEFT(AG383,2)&lt;&gt;"Va",AK383&lt;&gt;"H. Sale Real"),IF(AK387-AK383&lt;0.208333333333333,AK387-AK383,""),IF(AND(AK382&lt;&gt;"",LEFT(AG382,2)&lt;&gt;"Va",AK382&lt;&gt;"H. Sale Real"),IF(AK387-AK382&lt;0.208333333333333,AK387-AK382,""),""))))),""),"")</f>
        <v/>
      </c>
      <c r="AY386" s="87" t="n"/>
      <c r="AZ386" s="89" t="n"/>
      <c r="BA386" s="87" t="n"/>
      <c r="BB386" s="89" t="n"/>
      <c r="BC386" s="91" t="n"/>
      <c r="BD386" s="122">
        <f>IF(AK386&lt;&gt;"",IF(AND(BD385&lt;&gt;"IE",AT386&lt;&gt;0,AV386&lt;&gt;""),IF(IFERROR((AT386/AV386),0) &lt;=1,IFERROR(AT386/AV386,""),1),""),"")</f>
        <v/>
      </c>
      <c r="BE386" s="93" t="n"/>
      <c r="BF386" s="105" t="n"/>
      <c r="FC386" t="inlineStr">
        <is>
          <t>Diccionario 1</t>
        </is>
      </c>
      <c r="FD386" s="15" t="n">
        <v>1385</v>
      </c>
      <c r="FE386" s="15" t="inlineStr">
        <is>
          <t>MDN35025010090</t>
        </is>
      </c>
      <c r="FF386" s="15" t="inlineStr">
        <is>
          <t>LDYECS315S0043822</t>
        </is>
      </c>
      <c r="FG386" s="15" t="inlineStr">
        <is>
          <t>Zhong Tong</t>
        </is>
      </c>
      <c r="FH386" s="15" t="inlineStr">
        <is>
          <t>Lck6122evg</t>
        </is>
      </c>
      <c r="FI386" s="15" t="inlineStr">
        <is>
          <t>ZHONGTONG</t>
        </is>
      </c>
      <c r="FJ386" s="15" t="inlineStr">
        <is>
          <t>LCK6122EVG</t>
        </is>
      </c>
      <c r="FK386" s="15" t="n">
        <v>2025</v>
      </c>
      <c r="FL386" s="15" t="inlineStr">
        <is>
          <t>B</t>
        </is>
      </c>
      <c r="FM386" s="15" t="inlineStr">
        <is>
          <t>CERRILLOS</t>
        </is>
      </c>
      <c r="FN386" s="15" t="inlineStr">
        <is>
          <t>Calle Uno 7371</t>
        </is>
      </c>
      <c r="FO386" s="15" t="inlineStr">
        <is>
          <t>Cerrillos</t>
        </is>
      </c>
      <c r="FP386" t="inlineStr">
        <is>
          <t>B</t>
        </is>
      </c>
      <c r="FS386" s="14" t="inlineStr">
        <is>
          <t>3100 / SFWZ-83|</t>
        </is>
      </c>
      <c r="FT386" t="inlineStr">
        <is>
          <t>SFWZ-83|</t>
        </is>
      </c>
      <c r="FU386" t="inlineStr">
        <is>
          <t>SFWZ-83</t>
        </is>
      </c>
      <c r="FV386">
        <f>VLOOKUP(FU386,FD:FL,9,0)</f>
        <v/>
      </c>
      <c r="HA386" s="35" t="n">
        <v>156</v>
      </c>
      <c r="HB386" s="35" t="n">
        <v>380</v>
      </c>
    </row>
    <row r="387" ht="15.5" customHeight="1">
      <c r="A387" s="10">
        <f>HOUR(G387)+1</f>
        <v/>
      </c>
      <c r="B387" s="7" t="n"/>
      <c r="C387" s="7" t="n"/>
      <c r="D387" s="85">
        <f>IFERROR(
IF(AND(OR(Planilla!B387="C",Planilla!B387="c"), VLOOKUP(E387,FD:FP,13,0)="C"), "OK",IF(AND(OR(Planilla!B387="C",Planilla!B387="c"), OR(VLOOKUP(E387,FD:FP,13,0)="B", VLOOKUP(E387,FD:FP,13,0)="A")), "DEFICIT",IF(
AND(OR(Planilla!B387="B", Planilla!B387="BPAL"), VLOOKUP(E387,FD:FP,13,0)="B"), "OK",IF(AND(OR(Planilla!B387="B", Planilla!B387="BPAL"), VLOOKUP(E387,FD:FP,13,0)="A"), "DEFICIT",IF(AND(OR(Planilla!B387="B", Planilla!B387="BPAL"), VLOOKUP(E387,FD:FP,13,0)="C"), "SOBREOFERTA",IF(AND(Planilla!B387="A", VLOOKUP(E387,FD:FP,13,0)="A"), "OK",IF(
AND(Planilla!B387="A", OR(VLOOKUP(E387,FD:FP,13,0)="B", VLOOKUP(E387,FD:FP,13,0)="C")), "SOBREOFERTA",""
))))))),"")</f>
        <v/>
      </c>
      <c r="E387" s="8" t="n"/>
      <c r="F387" s="86" t="n"/>
      <c r="G387" s="87" t="n"/>
      <c r="H387" s="88">
        <f>IF(I387="","",IF(AND((I387-G387)&gt;=TIME(0,0,0),(I387-G387)&lt;TIME(0,3,0)),"OK",IF(AND((I387-G387)&gt;=TIME(0,3,0),(I387-G387)&lt;TIME(0,5,0)),"RETRASO DE 3-5 MIN",IF(AND((I387-G387)&gt;=TIME(0,5,0),(I387-G387)&lt;TIME(0,10,0)),"RETRASO DE 5-10 MIN",IF((I387-G387)&gt;=TIME(0,10,0),"RETRASO &gt;10 MIN", IF(AND((G387-I387)&gt;=TIME(0,0,0),(G387-I387)&lt;TIME(0,3,0)),"OK",IF((G387-I387)&gt;=TIME(0,3,0),"ADELANTADO")))))))</f>
        <v/>
      </c>
      <c r="I387" s="89" t="n"/>
      <c r="J387" s="89">
        <f>IF(A387&lt;&gt;"",HLOOKUP(VALUE(TEXT(G387,"h:mm:ss")),IF($C$6="Laboral",$FZ$4:$GX$227,IF($C$6="Sábado",$FZ$231:$GX$452,$FZ$456:$GX$656)),VLOOKUP($C$4,$HF$2:$HH$99,3,0)+IF(C$5="Ida",0,1),1),"")</f>
        <v/>
      </c>
      <c r="K387" s="89">
        <f>IF(A388&lt;&gt;A387,AVERAGEIF(A$9:A387,A387,J$9:J387),"")</f>
        <v/>
      </c>
      <c r="L387" s="89">
        <f>IFERROR(IF(A388&lt;&gt;A387,AVERAGEIF(A$9:A387,A387,S$9:S387),""),"")</f>
        <v/>
      </c>
      <c r="M387" s="89">
        <f>IFERROR(IF(A388&lt;&gt;A387,AVERAGEIF(A$9:A387,A387,T$9:T387),""),"")</f>
        <v/>
      </c>
      <c r="N387" s="89">
        <f t="array" ref="N387">IFERROR(IF(A388&lt;&gt;A387,_xlfn.STDEV.P(IF(A$9:A387=A387,T$9:T387)),""),"")</f>
        <v/>
      </c>
      <c r="O387" s="89">
        <f t="array" ref="O387">IFERROR(IF(A388&lt;&gt;A387,_xlfn.STDEV.P(IF(A$9:A387=A387,S$9:S387)),""),"")</f>
        <v/>
      </c>
      <c r="P387" s="90">
        <f>IFERROR(IF(A387&lt;&gt;A388,MAX((((M387*24*60)/2)*(1+POWER((((N387*24*60) / (M387*24*60) )),2))) + ((M387*24*60 )*-0.1 + (K387*0.015)) +1,(((M387*24*60)/2)*(1+POWER((((N387*24*60) / (M387*24*60 ))),2)))),""),"")</f>
        <v/>
      </c>
      <c r="Q387" s="90">
        <f>IF(AND(O387&lt;&gt;"",L387&lt;&gt;""),IF(A387&lt;&gt;A388,((L387*24*60) / 2 ) * (1 + POWER(((O387*24*60) / (L387*24*60)),2)),""),"")</f>
        <v/>
      </c>
      <c r="R387" s="90">
        <f>IF(Q387&lt;&gt;"",MAX(P387,Q387),"")</f>
        <v/>
      </c>
      <c r="S387" s="89">
        <f>IF(I387&lt;&gt;"H. Sale Real",IF(AND(I388&lt;&gt;"",LEFT(C388,2)&lt;&gt;"Va"),IF(AND(I387&lt;&gt;"",LEFT(C387,2)&lt;&gt;"Va",I387&lt;&gt;"H. Sale Real"),IF(I388-I387&lt;0.208333333333333,I388-I387,""),IF(AND(I386&lt;&gt;"",LEFT(C386,2)&lt;&gt;"Va",I386&lt;&gt;"H. Sale Real"),IF(I388-I386&lt;0.208333333333333,I388-I386,""),IF(AND(I385&lt;&gt;"",LEFT(C385,2)&lt;&gt;"Va",I385&lt;&gt;"H. Sale Real"),IF(I388-I385&lt;0.208333333333333,I388-I385,""),IF(AND(I384&lt;&gt;"",LEFT(C384,2)&lt;&gt;"Va",I384&lt;&gt;"H. Sale Real"),IF(I388-I384&lt;0.208333333333333,I388-I384,""),IF(AND(I383&lt;&gt;"",LEFT(C383,2)&lt;&gt;"Va",I383&lt;&gt;"H. Sale Real"),IF(I388-I383&lt;0.208333333333333,I388-I383,""),""))))),""),"")</f>
        <v/>
      </c>
      <c r="T387" s="89">
        <f>IF(G387&lt;&gt;"H. Sale Real",IF(AND(G388&lt;&gt;"",LEFT(C388,2)&lt;&gt;"Va"),IF(AND(G387&lt;&gt;"",LEFT(C387,2)&lt;&gt;"Va",G387&lt;&gt;"H. Sale Real"),IF(G388-G387&lt;0.208333333333333,G388-G387,""),IF(AND(G386&lt;&gt;"",LEFT(C386,2)&lt;&gt;"Va",G386&lt;&gt;"H. Sale Real"),IF(G388-G386&lt;0.208333333333333,G388-G386,""),IF(AND(G385&lt;&gt;"",LEFT(C385,2)&lt;&gt;"Va",G385&lt;&gt;"H. Sale Real"),IF(G388-G385&lt;0.208333333333333,G388-G385,""),IF(AND(G384&lt;&gt;"",LEFT(C384,2)&lt;&gt;"Va",G384&lt;&gt;"H. Sale Real"),IF(G388-G384&lt;0.208333333333333,G388-G384,""),IF(AND(G383&lt;&gt;"",LEFT(C383,2)&lt;&gt;"Va",G383&lt;&gt;"H. Sale Real"),IF(G388-G383&lt;0.208333333333333,G388-G383,""),""))))),""),"")</f>
        <v/>
      </c>
      <c r="U387" s="87" t="n"/>
      <c r="V387" s="89" t="n"/>
      <c r="W387" s="87" t="n"/>
      <c r="X387" s="89" t="n"/>
      <c r="Y387" s="91" t="n"/>
      <c r="Z387" s="122">
        <f>IF(G387&lt;&gt;"",IF(AND(Z386&lt;&gt;"IE",P387&lt;&gt;0,R387&lt;&gt;""),IF(IFERROR((P387/R387),0) &lt;=1,IFERROR(P387/R387,""),1),""),"")</f>
        <v/>
      </c>
      <c r="AA387" s="93" t="n"/>
      <c r="AB387" s="2" t="n"/>
      <c r="AE387" s="10">
        <f>HOUR(AK387)+1</f>
        <v/>
      </c>
      <c r="AF387" s="7" t="n"/>
      <c r="AG387" s="7" t="n"/>
      <c r="AH387" s="86" t="n"/>
      <c r="AI387" s="8" t="n"/>
      <c r="AJ387" s="86" t="n"/>
      <c r="AK387" s="87" t="n"/>
      <c r="AL387" s="88">
        <f>IF(AM387="","",IF(AND((AM387-AK387)&gt;=TIME(0,0,0),(AM387-AK387)&lt;TIME(0,3,0)),"OK",IF(AND((AM387-AK387)&gt;=TIME(0,3,0),(AM387-AK387)&lt;TIME(0,5,0)),"RETRASO DE 3-5 MIN",IF(AND((AM387-AK387)&gt;=TIME(0,5,0),(AM387-AK387)&lt;TIME(0,10,0)),"RETRASO DE 5-10 MIN",IF((AM387-AK387)&gt;=TIME(0,10,0),"RETRASO &gt;10 MIN", IF(AND((AK387-AM387)&gt;=TIME(0,0,0),(AK387-AM387)&lt;TIME(0,3,0)),"OK",IF((AK387-AM387)&gt;=TIME(0,3,0),"ADELANTADO")))))))</f>
        <v/>
      </c>
      <c r="AM387" s="91" t="n"/>
      <c r="AN387" s="89">
        <f>IF(AE387&lt;&gt;"",HLOOKUP(VALUE(TEXT(AK387,"h:mm:ss")),IF($C$6="Laboral",$FZ$4:$GX$227,IF($C$6="Sábado",$FZ$231:$GX$452,$FZ$456:$GX$656)),VLOOKUP($C$4,$HF$2:$HH$99,3,0)+IF(AG$5="Ida",0,1),1),"")</f>
        <v/>
      </c>
      <c r="AO387" s="89">
        <f>IF(AE388&lt;&gt;AE387,AVERAGEIF(AE$9:AE387,AE387,AN$9:AN387),"")</f>
        <v/>
      </c>
      <c r="AP387" s="89">
        <f>IFERROR(IF(AE388&lt;&gt;AE387,AVERAGEIF(AE$9:AE387,AE387,AW$9:AW387),""),"")</f>
        <v/>
      </c>
      <c r="AQ387" s="89">
        <f>IFERROR(IF(AE388&lt;&gt;AE387,AVERAGEIF(AE$9:AE387,AE387,AX$9:AX387),""),"")</f>
        <v/>
      </c>
      <c r="AR387" s="89">
        <f t="array" ref="AR387">IFERROR(IF(AE388&lt;&gt;AE387,_xlfn.STDEV.P(IF(AE$9:AE387=AE387,AX$9:AX387)),""),"")</f>
        <v/>
      </c>
      <c r="AS387" s="89">
        <f t="array" ref="AS387">IFERROR(IF(AE388&lt;&gt;AE387,_xlfn.STDEV.P(IF(AE$9:AE387=AE387,AW$9:AW387)),""),"")</f>
        <v/>
      </c>
      <c r="AT387" s="90">
        <f>IFERROR(IF(AE387&lt;&gt;AE388,MAX((((AQ387*24*60)/2)*(1+POWER((((AR387*24*60) / (AQ387*24*60) )),2))) + ((AQ387*24*60 )*-0.1 + (AO387*0.015)) +1,(((AQ387*24*60)/2)*(1+POWER((((AR387*24*60) / (AQ387*24*60 ))),2)))),""),"")</f>
        <v/>
      </c>
      <c r="AU387" s="90">
        <f>IF(AND(AS387&lt;&gt;"",AP387&lt;&gt;""),IF(AE387&lt;&gt;AE388,((AP387*24*60) / 2 ) * (1 + POWER(((AS387*24*60) / (AP387*24*60)),2)),""),"")</f>
        <v/>
      </c>
      <c r="AV387" s="90">
        <f>IF(AU387&lt;&gt;"",MAX(AT387,AU387),"")</f>
        <v/>
      </c>
      <c r="AW387" s="89">
        <f>IF(AM387&lt;&gt;"H. Sale Real",IF(AND(AM388&lt;&gt;"",LEFT(AG388,2)&lt;&gt;"Va"),IF(AND(AM387&lt;&gt;"",LEFT(AG387,2)&lt;&gt;"Va",AM387&lt;&gt;"H. Sale Real"),IF(AM388-AM387&lt;0.208333333333333,AM388-AM387,""),IF(AND(AM386&lt;&gt;"",LEFT(AG386,2)&lt;&gt;"Va",AM386&lt;&gt;"H. Sale Real"),IF(AM388-AM386&lt;0.208333333333333,AM388-AM386,""),IF(AND(AM385&lt;&gt;"",LEFT(AG385,2)&lt;&gt;"Va",AM385&lt;&gt;"H. Sale Real"),IF(AM388-AM385&lt;0.208333333333333,AM388-AM385,""),IF(AND(AM384&lt;&gt;"",LEFT(AG384,2)&lt;&gt;"Va",AM384&lt;&gt;"H. Sale Real"),IF(AM388-AM384&lt;0.208333333333333,AM388-AM384,""),IF(AND(AM383&lt;&gt;"",LEFT(AG383,2)&lt;&gt;"Va",AM383&lt;&gt;"H. Sale Real"),IF(AM388-AM383&lt;0.208333333333333,AM388-AM383,""),""))))),""),"")</f>
        <v/>
      </c>
      <c r="AX387" s="89">
        <f>IF(AK387&lt;&gt;"H. Sale Real",IF(AND(AK388&lt;&gt;"",LEFT(AG388,2)&lt;&gt;"Va"),IF(AND(AK387&lt;&gt;"",LEFT(AG387,2)&lt;&gt;"Va",AK387&lt;&gt;"H. Sale Real"),IF(AK388-AK387&lt;0.208333333333333,AK388-AK387,""),IF(AND(AK386&lt;&gt;"",LEFT(AG386,2)&lt;&gt;"Va",AK386&lt;&gt;"H. Sale Real"),IF(AK388-AK386&lt;0.208333333333333,AK388-AK386,""),IF(AND(AK385&lt;&gt;"",LEFT(AG385,2)&lt;&gt;"NC",AK385&lt;&gt;"H. Sale Real"),IF(AK388-AK385&lt;0.208333333333333,AK388-AK385,""),IF(AND(AK384&lt;&gt;"",LEFT(AG384,2)&lt;&gt;"Va",AK384&lt;&gt;"H. Sale Real"),IF(AK388-AK384&lt;0.208333333333333,AK388-AK384,""),IF(AND(AK383&lt;&gt;"",LEFT(AG383,2)&lt;&gt;"Va",AK383&lt;&gt;"H. Sale Real"),IF(AK388-AK383&lt;0.208333333333333,AK388-AK383,""),""))))),""),"")</f>
        <v/>
      </c>
      <c r="AY387" s="87" t="n"/>
      <c r="AZ387" s="89" t="n"/>
      <c r="BA387" s="87" t="n"/>
      <c r="BB387" s="89" t="n"/>
      <c r="BC387" s="91" t="n"/>
      <c r="BD387" s="122">
        <f>IF(AK387&lt;&gt;"",IF(AND(BD386&lt;&gt;"IE",AT387&lt;&gt;0,AV387&lt;&gt;""),IF(IFERROR((AT387/AV387),0) &lt;=1,IFERROR(AT387/AV387,""),1),""),"")</f>
        <v/>
      </c>
      <c r="BE387" s="93" t="n"/>
      <c r="BF387" s="105" t="n"/>
      <c r="FC387" t="inlineStr">
        <is>
          <t>Diccionario 1</t>
        </is>
      </c>
      <c r="FD387" s="15" t="n">
        <v>1386</v>
      </c>
      <c r="FE387" s="15" t="inlineStr">
        <is>
          <t>MDN35025020041</t>
        </is>
      </c>
      <c r="FF387" s="15" t="inlineStr">
        <is>
          <t>LDYECS319S0044097</t>
        </is>
      </c>
      <c r="FG387" s="15" t="inlineStr">
        <is>
          <t>Zhong Tong</t>
        </is>
      </c>
      <c r="FH387" s="15" t="inlineStr">
        <is>
          <t>Lck6122evg</t>
        </is>
      </c>
      <c r="FI387" s="15" t="inlineStr">
        <is>
          <t>ZHONGTONG</t>
        </is>
      </c>
      <c r="FJ387" s="15" t="inlineStr">
        <is>
          <t>LCK6122EVG</t>
        </is>
      </c>
      <c r="FK387" s="15" t="n">
        <v>2025</v>
      </c>
      <c r="FL387" s="15" t="inlineStr">
        <is>
          <t>B</t>
        </is>
      </c>
      <c r="FM387" s="15" t="inlineStr">
        <is>
          <t>PIE ANDINO</t>
        </is>
      </c>
      <c r="FN387" s="15" t="inlineStr">
        <is>
          <t>Pie Andino 31 (Pie Andino 383)</t>
        </is>
      </c>
      <c r="FO387" s="15" t="inlineStr">
        <is>
          <t>Puente Alto</t>
        </is>
      </c>
      <c r="FP387" t="inlineStr">
        <is>
          <t>B</t>
        </is>
      </c>
      <c r="FS387" s="14" t="inlineStr">
        <is>
          <t>3102 / SFWZ-59|</t>
        </is>
      </c>
      <c r="FT387" t="inlineStr">
        <is>
          <t>SFWZ-59|</t>
        </is>
      </c>
      <c r="FU387" t="inlineStr">
        <is>
          <t>SFWZ-59</t>
        </is>
      </c>
      <c r="FV387">
        <f>VLOOKUP(FU387,FD:FL,9,0)</f>
        <v/>
      </c>
      <c r="HA387" s="35" t="n">
        <v>157</v>
      </c>
      <c r="HB387" s="35" t="n">
        <v>381</v>
      </c>
    </row>
    <row r="388" ht="15.5" customHeight="1">
      <c r="A388" s="10">
        <f>HOUR(G388)+1</f>
        <v/>
      </c>
      <c r="B388" s="7" t="n"/>
      <c r="C388" s="7" t="n"/>
      <c r="D388" s="85">
        <f>IFERROR(
IF(AND(OR(Planilla!B388="C",Planilla!B388="c"), VLOOKUP(E388,FD:FP,13,0)="C"), "OK",IF(AND(OR(Planilla!B388="C",Planilla!B388="c"), OR(VLOOKUP(E388,FD:FP,13,0)="B", VLOOKUP(E388,FD:FP,13,0)="A")), "DEFICIT",IF(
AND(OR(Planilla!B388="B", Planilla!B388="BPAL"), VLOOKUP(E388,FD:FP,13,0)="B"), "OK",IF(AND(OR(Planilla!B388="B", Planilla!B388="BPAL"), VLOOKUP(E388,FD:FP,13,0)="A"), "DEFICIT",IF(AND(OR(Planilla!B388="B", Planilla!B388="BPAL"), VLOOKUP(E388,FD:FP,13,0)="C"), "SOBREOFERTA",IF(AND(Planilla!B388="A", VLOOKUP(E388,FD:FP,13,0)="A"), "OK",IF(
AND(Planilla!B388="A", OR(VLOOKUP(E388,FD:FP,13,0)="B", VLOOKUP(E388,FD:FP,13,0)="C")), "SOBREOFERTA",""
))))))),"")</f>
        <v/>
      </c>
      <c r="E388" s="8" t="n"/>
      <c r="F388" s="86" t="n"/>
      <c r="G388" s="87" t="n"/>
      <c r="H388" s="88">
        <f>IF(I388="","",IF(AND((I388-G388)&gt;=TIME(0,0,0),(I388-G388)&lt;TIME(0,3,0)),"OK",IF(AND((I388-G388)&gt;=TIME(0,3,0),(I388-G388)&lt;TIME(0,5,0)),"RETRASO DE 3-5 MIN",IF(AND((I388-G388)&gt;=TIME(0,5,0),(I388-G388)&lt;TIME(0,10,0)),"RETRASO DE 5-10 MIN",IF((I388-G388)&gt;=TIME(0,10,0),"RETRASO &gt;10 MIN", IF(AND((G388-I388)&gt;=TIME(0,0,0),(G388-I388)&lt;TIME(0,3,0)),"OK",IF((G388-I388)&gt;=TIME(0,3,0),"ADELANTADO")))))))</f>
        <v/>
      </c>
      <c r="I388" s="89" t="n"/>
      <c r="J388" s="89">
        <f>IF(A388&lt;&gt;"",HLOOKUP(VALUE(TEXT(G388,"h:mm:ss")),IF($C$6="Laboral",$FZ$4:$GX$227,IF($C$6="Sábado",$FZ$231:$GX$452,$FZ$456:$GX$656)),VLOOKUP($C$4,$HF$2:$HH$99,3,0)+IF(C$5="Ida",0,1),1),"")</f>
        <v/>
      </c>
      <c r="K388" s="89">
        <f>IF(A389&lt;&gt;A388,AVERAGEIF(A$9:A388,A388,J$9:J388),"")</f>
        <v/>
      </c>
      <c r="L388" s="89">
        <f>IFERROR(IF(A389&lt;&gt;A388,AVERAGEIF(A$9:A388,A388,S$9:S388),""),"")</f>
        <v/>
      </c>
      <c r="M388" s="89">
        <f>IFERROR(IF(A389&lt;&gt;A388,AVERAGEIF(A$9:A388,A388,T$9:T388),""),"")</f>
        <v/>
      </c>
      <c r="N388" s="89">
        <f t="array" ref="N388">IFERROR(IF(A389&lt;&gt;A388,_xlfn.STDEV.P(IF(A$9:A388=A388,T$9:T388)),""),"")</f>
        <v/>
      </c>
      <c r="O388" s="89">
        <f t="array" ref="O388">IFERROR(IF(A389&lt;&gt;A388,_xlfn.STDEV.P(IF(A$9:A388=A388,S$9:S388)),""),"")</f>
        <v/>
      </c>
      <c r="P388" s="90">
        <f>IFERROR(IF(A388&lt;&gt;A389,MAX((((M388*24*60)/2)*(1+POWER((((N388*24*60) / (M388*24*60) )),2))) + ((M388*24*60 )*-0.1 + (K388*0.015)) +1,(((M388*24*60)/2)*(1+POWER((((N388*24*60) / (M388*24*60 ))),2)))),""),"")</f>
        <v/>
      </c>
      <c r="Q388" s="90">
        <f>IF(AND(O388&lt;&gt;"",L388&lt;&gt;""),IF(A388&lt;&gt;A389,((L388*24*60) / 2 ) * (1 + POWER(((O388*24*60) / (L388*24*60)),2)),""),"")</f>
        <v/>
      </c>
      <c r="R388" s="90">
        <f>IF(Q388&lt;&gt;"",MAX(P388,Q388),"")</f>
        <v/>
      </c>
      <c r="S388" s="89">
        <f>IF(I388&lt;&gt;"H. Sale Real",IF(AND(I389&lt;&gt;"",LEFT(C389,2)&lt;&gt;"Va"),IF(AND(I388&lt;&gt;"",LEFT(C388,2)&lt;&gt;"Va",I388&lt;&gt;"H. Sale Real"),IF(I389-I388&lt;0.208333333333333,I389-I388,""),IF(AND(I387&lt;&gt;"",LEFT(C387,2)&lt;&gt;"Va",I387&lt;&gt;"H. Sale Real"),IF(I389-I387&lt;0.208333333333333,I389-I387,""),IF(AND(I386&lt;&gt;"",LEFT(C386,2)&lt;&gt;"Va",I386&lt;&gt;"H. Sale Real"),IF(I389-I386&lt;0.208333333333333,I389-I386,""),IF(AND(I385&lt;&gt;"",LEFT(C385,2)&lt;&gt;"Va",I385&lt;&gt;"H. Sale Real"),IF(I389-I385&lt;0.208333333333333,I389-I385,""),IF(AND(I384&lt;&gt;"",LEFT(C384,2)&lt;&gt;"Va",I384&lt;&gt;"H. Sale Real"),IF(I389-I384&lt;0.208333333333333,I389-I384,""),""))))),""),"")</f>
        <v/>
      </c>
      <c r="T388" s="89">
        <f>IF(G388&lt;&gt;"H. Sale Real",IF(AND(G389&lt;&gt;"",LEFT(C389,2)&lt;&gt;"Va"),IF(AND(G388&lt;&gt;"",LEFT(C388,2)&lt;&gt;"Va",G388&lt;&gt;"H. Sale Real"),IF(G389-G388&lt;0.208333333333333,G389-G388,""),IF(AND(G387&lt;&gt;"",LEFT(C387,2)&lt;&gt;"Va",G387&lt;&gt;"H. Sale Real"),IF(G389-G387&lt;0.208333333333333,G389-G387,""),IF(AND(G386&lt;&gt;"",LEFT(C386,2)&lt;&gt;"Va",G386&lt;&gt;"H. Sale Real"),IF(G389-G386&lt;0.208333333333333,G389-G386,""),IF(AND(G385&lt;&gt;"",LEFT(C385,2)&lt;&gt;"Va",G385&lt;&gt;"H. Sale Real"),IF(G389-G385&lt;0.208333333333333,G389-G385,""),IF(AND(G384&lt;&gt;"",LEFT(C384,2)&lt;&gt;"Va",G384&lt;&gt;"H. Sale Real"),IF(G389-G384&lt;0.208333333333333,G389-G384,""),""))))),""),"")</f>
        <v/>
      </c>
      <c r="U388" s="87" t="n"/>
      <c r="V388" s="89" t="n"/>
      <c r="W388" s="87" t="n"/>
      <c r="X388" s="89" t="n"/>
      <c r="Y388" s="91" t="n"/>
      <c r="Z388" s="122">
        <f>IF(G388&lt;&gt;"",IF(AND(Z387&lt;&gt;"IE",P388&lt;&gt;0,R388&lt;&gt;""),IF(IFERROR((P388/R388),0) &lt;=1,IFERROR(P388/R388,""),1),""),"")</f>
        <v/>
      </c>
      <c r="AA388" s="93" t="n"/>
      <c r="AB388" s="2" t="n"/>
      <c r="AE388" s="10">
        <f>HOUR(AK388)+1</f>
        <v/>
      </c>
      <c r="AF388" s="7" t="n"/>
      <c r="AG388" s="7" t="n"/>
      <c r="AH388" s="86" t="n"/>
      <c r="AI388" s="8" t="n"/>
      <c r="AJ388" s="86" t="n"/>
      <c r="AK388" s="87" t="n"/>
      <c r="AL388" s="88">
        <f>IF(AM388="","",IF(AND((AM388-AK388)&gt;=TIME(0,0,0),(AM388-AK388)&lt;TIME(0,3,0)),"OK",IF(AND((AM388-AK388)&gt;=TIME(0,3,0),(AM388-AK388)&lt;TIME(0,5,0)),"RETRASO DE 3-5 MIN",IF(AND((AM388-AK388)&gt;=TIME(0,5,0),(AM388-AK388)&lt;TIME(0,10,0)),"RETRASO DE 5-10 MIN",IF((AM388-AK388)&gt;=TIME(0,10,0),"RETRASO &gt;10 MIN", IF(AND((AK388-AM388)&gt;=TIME(0,0,0),(AK388-AM388)&lt;TIME(0,3,0)),"OK",IF((AK388-AM388)&gt;=TIME(0,3,0),"ADELANTADO")))))))</f>
        <v/>
      </c>
      <c r="AM388" s="91" t="n"/>
      <c r="AN388" s="89">
        <f>IF(AE388&lt;&gt;"",HLOOKUP(VALUE(TEXT(AK388,"h:mm:ss")),IF($C$6="Laboral",$FZ$4:$GX$227,IF($C$6="Sábado",$FZ$231:$GX$452,$FZ$456:$GX$656)),VLOOKUP($C$4,$HF$2:$HH$99,3,0)+IF(AG$5="Ida",0,1),1),"")</f>
        <v/>
      </c>
      <c r="AO388" s="89">
        <f>IF(AE389&lt;&gt;AE388,AVERAGEIF(AE$9:AE388,AE388,AN$9:AN388),"")</f>
        <v/>
      </c>
      <c r="AP388" s="89">
        <f>IFERROR(IF(AE389&lt;&gt;AE388,AVERAGEIF(AE$9:AE388,AE388,AW$9:AW388),""),"")</f>
        <v/>
      </c>
      <c r="AQ388" s="89">
        <f>IFERROR(IF(AE389&lt;&gt;AE388,AVERAGEIF(AE$9:AE388,AE388,AX$9:AX388),""),"")</f>
        <v/>
      </c>
      <c r="AR388" s="89">
        <f t="array" ref="AR388">IFERROR(IF(AE389&lt;&gt;AE388,_xlfn.STDEV.P(IF(AE$9:AE388=AE388,AX$9:AX388)),""),"")</f>
        <v/>
      </c>
      <c r="AS388" s="89">
        <f t="array" ref="AS388">IFERROR(IF(AE389&lt;&gt;AE388,_xlfn.STDEV.P(IF(AE$9:AE388=AE388,AW$9:AW388)),""),"")</f>
        <v/>
      </c>
      <c r="AT388" s="90">
        <f>IFERROR(IF(AE388&lt;&gt;AE389,MAX((((AQ388*24*60)/2)*(1+POWER((((AR388*24*60) / (AQ388*24*60) )),2))) + ((AQ388*24*60 )*-0.1 + (AO388*0.015)) +1,(((AQ388*24*60)/2)*(1+POWER((((AR388*24*60) / (AQ388*24*60 ))),2)))),""),"")</f>
        <v/>
      </c>
      <c r="AU388" s="90">
        <f>IF(AND(AS388&lt;&gt;"",AP388&lt;&gt;""),IF(AE388&lt;&gt;AE389,((AP388*24*60) / 2 ) * (1 + POWER(((AS388*24*60) / (AP388*24*60)),2)),""),"")</f>
        <v/>
      </c>
      <c r="AV388" s="90">
        <f>IF(AU388&lt;&gt;"",MAX(AT388,AU388),"")</f>
        <v/>
      </c>
      <c r="AW388" s="89">
        <f>IF(AM388&lt;&gt;"H. Sale Real",IF(AND(AM389&lt;&gt;"",LEFT(AG389,2)&lt;&gt;"Va"),IF(AND(AM388&lt;&gt;"",LEFT(AG388,2)&lt;&gt;"Va",AM388&lt;&gt;"H. Sale Real"),IF(AM389-AM388&lt;0.208333333333333,AM389-AM388,""),IF(AND(AM387&lt;&gt;"",LEFT(AG387,2)&lt;&gt;"Va",AM387&lt;&gt;"H. Sale Real"),IF(AM389-AM387&lt;0.208333333333333,AM389-AM387,""),IF(AND(AM386&lt;&gt;"",LEFT(AG386,2)&lt;&gt;"Va",AM386&lt;&gt;"H. Sale Real"),IF(AM389-AM386&lt;0.208333333333333,AM389-AM386,""),IF(AND(AM385&lt;&gt;"",LEFT(AG385,2)&lt;&gt;"Va",AM385&lt;&gt;"H. Sale Real"),IF(AM389-AM385&lt;0.208333333333333,AM389-AM385,""),IF(AND(AM384&lt;&gt;"",LEFT(AG384,2)&lt;&gt;"Va",AM384&lt;&gt;"H. Sale Real"),IF(AM389-AM384&lt;0.208333333333333,AM389-AM384,""),""))))),""),"")</f>
        <v/>
      </c>
      <c r="AX388" s="89">
        <f>IF(AK388&lt;&gt;"H. Sale Real",IF(AND(AK389&lt;&gt;"",LEFT(AG389,2)&lt;&gt;"Va"),IF(AND(AK388&lt;&gt;"",LEFT(AG388,2)&lt;&gt;"Va",AK388&lt;&gt;"H. Sale Real"),IF(AK389-AK388&lt;0.208333333333333,AK389-AK388,""),IF(AND(AK387&lt;&gt;"",LEFT(AG387,2)&lt;&gt;"Va",AK387&lt;&gt;"H. Sale Real"),IF(AK389-AK387&lt;0.208333333333333,AK389-AK387,""),IF(AND(AK386&lt;&gt;"",LEFT(AG386,2)&lt;&gt;"NC",AK386&lt;&gt;"H. Sale Real"),IF(AK389-AK386&lt;0.208333333333333,AK389-AK386,""),IF(AND(AK385&lt;&gt;"",LEFT(AG385,2)&lt;&gt;"Va",AK385&lt;&gt;"H. Sale Real"),IF(AK389-AK385&lt;0.208333333333333,AK389-AK385,""),IF(AND(AK384&lt;&gt;"",LEFT(AG384,2)&lt;&gt;"Va",AK384&lt;&gt;"H. Sale Real"),IF(AK389-AK384&lt;0.208333333333333,AK389-AK384,""),""))))),""),"")</f>
        <v/>
      </c>
      <c r="AY388" s="87" t="n"/>
      <c r="AZ388" s="89" t="n"/>
      <c r="BA388" s="87" t="n"/>
      <c r="BB388" s="89" t="n"/>
      <c r="BC388" s="91" t="n"/>
      <c r="BD388" s="122">
        <f>IF(AK388&lt;&gt;"",IF(AND(BD387&lt;&gt;"IE",AT388&lt;&gt;0,AV388&lt;&gt;""),IF(IFERROR((AT388/AV388),0) &lt;=1,IFERROR(AT388/AV388,""),1),""),"")</f>
        <v/>
      </c>
      <c r="BE388" s="93" t="n"/>
      <c r="BF388" s="105" t="n"/>
      <c r="FC388" t="inlineStr">
        <is>
          <t>Diccionario 1</t>
        </is>
      </c>
      <c r="FD388" s="15" t="n">
        <v>1387</v>
      </c>
      <c r="FE388" s="15" t="inlineStr">
        <is>
          <t>MDN35025010093</t>
        </is>
      </c>
      <c r="FF388" s="15" t="inlineStr">
        <is>
          <t>LDYECS318S0043846</t>
        </is>
      </c>
      <c r="FG388" s="15" t="inlineStr">
        <is>
          <t>Zhong Tong</t>
        </is>
      </c>
      <c r="FH388" s="15" t="inlineStr">
        <is>
          <t>Lck6122evg</t>
        </is>
      </c>
      <c r="FI388" s="15" t="inlineStr">
        <is>
          <t>ZHONGTONG</t>
        </is>
      </c>
      <c r="FJ388" s="15" t="inlineStr">
        <is>
          <t>LCK6122EVG</t>
        </is>
      </c>
      <c r="FK388" s="15" t="n">
        <v>2025</v>
      </c>
      <c r="FL388" s="15" t="inlineStr">
        <is>
          <t>B</t>
        </is>
      </c>
      <c r="FM388" s="15" t="inlineStr">
        <is>
          <t>PIE ANDINO</t>
        </is>
      </c>
      <c r="FN388" s="15" t="inlineStr">
        <is>
          <t>Pie Andino 31 (Pie Andino 383)</t>
        </is>
      </c>
      <c r="FO388" s="15" t="inlineStr">
        <is>
          <t>Puente Alto</t>
        </is>
      </c>
      <c r="FP388" t="inlineStr">
        <is>
          <t>B</t>
        </is>
      </c>
      <c r="FS388" s="14" t="inlineStr">
        <is>
          <t>3102 / SFWZ-59|</t>
        </is>
      </c>
      <c r="FT388" t="inlineStr">
        <is>
          <t>SFWZ-59|</t>
        </is>
      </c>
      <c r="FU388" t="inlineStr">
        <is>
          <t>SFWZ-59</t>
        </is>
      </c>
      <c r="FV388">
        <f>VLOOKUP(FU388,FD:FL,9,0)</f>
        <v/>
      </c>
      <c r="HA388" s="35" t="n">
        <v>158</v>
      </c>
      <c r="HB388" s="35" t="n">
        <v>382</v>
      </c>
    </row>
    <row r="389" ht="15.5" customHeight="1">
      <c r="A389" s="10">
        <f>HOUR(G389)+1</f>
        <v/>
      </c>
      <c r="B389" s="7" t="n"/>
      <c r="C389" s="7" t="n"/>
      <c r="D389" s="85">
        <f>IFERROR(
IF(AND(OR(Planilla!B389="C",Planilla!B389="c"), VLOOKUP(E389,FD:FP,13,0)="C"), "OK",IF(AND(OR(Planilla!B389="C",Planilla!B389="c"), OR(VLOOKUP(E389,FD:FP,13,0)="B", VLOOKUP(E389,FD:FP,13,0)="A")), "DEFICIT",IF(
AND(OR(Planilla!B389="B", Planilla!B389="BPAL"), VLOOKUP(E389,FD:FP,13,0)="B"), "OK",IF(AND(OR(Planilla!B389="B", Planilla!B389="BPAL"), VLOOKUP(E389,FD:FP,13,0)="A"), "DEFICIT",IF(AND(OR(Planilla!B389="B", Planilla!B389="BPAL"), VLOOKUP(E389,FD:FP,13,0)="C"), "SOBREOFERTA",IF(AND(Planilla!B389="A", VLOOKUP(E389,FD:FP,13,0)="A"), "OK",IF(
AND(Planilla!B389="A", OR(VLOOKUP(E389,FD:FP,13,0)="B", VLOOKUP(E389,FD:FP,13,0)="C")), "SOBREOFERTA",""
))))))),"")</f>
        <v/>
      </c>
      <c r="E389" s="8" t="n"/>
      <c r="F389" s="86" t="n"/>
      <c r="G389" s="87" t="n"/>
      <c r="H389" s="88">
        <f>IF(I389="","",IF(AND((I389-G389)&gt;=TIME(0,0,0),(I389-G389)&lt;TIME(0,3,0)),"OK",IF(AND((I389-G389)&gt;=TIME(0,3,0),(I389-G389)&lt;TIME(0,5,0)),"RETRASO DE 3-5 MIN",IF(AND((I389-G389)&gt;=TIME(0,5,0),(I389-G389)&lt;TIME(0,10,0)),"RETRASO DE 5-10 MIN",IF((I389-G389)&gt;=TIME(0,10,0),"RETRASO &gt;10 MIN", IF(AND((G389-I389)&gt;=TIME(0,0,0),(G389-I389)&lt;TIME(0,3,0)),"OK",IF((G389-I389)&gt;=TIME(0,3,0),"ADELANTADO")))))))</f>
        <v/>
      </c>
      <c r="I389" s="89" t="n"/>
      <c r="J389" s="89">
        <f>IF(A389&lt;&gt;"",HLOOKUP(VALUE(TEXT(G389,"h:mm:ss")),IF($C$6="Laboral",$FZ$4:$GX$227,IF($C$6="Sábado",$FZ$231:$GX$452,$FZ$456:$GX$656)),VLOOKUP($C$4,$HF$2:$HH$99,3,0)+IF(C$5="Ida",0,1),1),"")</f>
        <v/>
      </c>
      <c r="K389" s="89">
        <f>IF(A390&lt;&gt;A389,AVERAGEIF(A$9:A389,A389,J$9:J389),"")</f>
        <v/>
      </c>
      <c r="L389" s="89">
        <f>IFERROR(IF(A390&lt;&gt;A389,AVERAGEIF(A$9:A389,A389,S$9:S389),""),"")</f>
        <v/>
      </c>
      <c r="M389" s="89">
        <f>IFERROR(IF(A390&lt;&gt;A389,AVERAGEIF(A$9:A389,A389,T$9:T389),""),"")</f>
        <v/>
      </c>
      <c r="N389" s="89">
        <f t="array" ref="N389">IFERROR(IF(A390&lt;&gt;A389,_xlfn.STDEV.P(IF(A$9:A389=A389,T$9:T389)),""),"")</f>
        <v/>
      </c>
      <c r="O389" s="89">
        <f t="array" ref="O389">IFERROR(IF(A390&lt;&gt;A389,_xlfn.STDEV.P(IF(A$9:A389=A389,S$9:S389)),""),"")</f>
        <v/>
      </c>
      <c r="P389" s="90">
        <f>IFERROR(IF(A389&lt;&gt;A390,MAX((((M389*24*60)/2)*(1+POWER((((N389*24*60) / (M389*24*60) )),2))) + ((M389*24*60 )*-0.1 + (K389*0.015)) +1,(((M389*24*60)/2)*(1+POWER((((N389*24*60) / (M389*24*60 ))),2)))),""),"")</f>
        <v/>
      </c>
      <c r="Q389" s="90">
        <f>IF(AND(O389&lt;&gt;"",L389&lt;&gt;""),IF(A389&lt;&gt;A390,((L389*24*60) / 2 ) * (1 + POWER(((O389*24*60) / (L389*24*60)),2)),""),"")</f>
        <v/>
      </c>
      <c r="R389" s="90">
        <f>IF(Q389&lt;&gt;"",MAX(P389,Q389),"")</f>
        <v/>
      </c>
      <c r="S389" s="89">
        <f>IF(I389&lt;&gt;"H. Sale Real",IF(AND(I390&lt;&gt;"",LEFT(C390,2)&lt;&gt;"Va"),IF(AND(I389&lt;&gt;"",LEFT(C389,2)&lt;&gt;"Va",I389&lt;&gt;"H. Sale Real"),IF(I390-I389&lt;0.208333333333333,I390-I389,""),IF(AND(I388&lt;&gt;"",LEFT(C388,2)&lt;&gt;"Va",I388&lt;&gt;"H. Sale Real"),IF(I390-I388&lt;0.208333333333333,I390-I388,""),IF(AND(I387&lt;&gt;"",LEFT(C387,2)&lt;&gt;"Va",I387&lt;&gt;"H. Sale Real"),IF(I390-I387&lt;0.208333333333333,I390-I387,""),IF(AND(I386&lt;&gt;"",LEFT(C386,2)&lt;&gt;"Va",I386&lt;&gt;"H. Sale Real"),IF(I390-I386&lt;0.208333333333333,I390-I386,""),IF(AND(I385&lt;&gt;"",LEFT(C385,2)&lt;&gt;"Va",I385&lt;&gt;"H. Sale Real"),IF(I390-I385&lt;0.208333333333333,I390-I385,""),""))))),""),"")</f>
        <v/>
      </c>
      <c r="T389" s="89">
        <f>IF(G389&lt;&gt;"H. Sale Real",IF(AND(G390&lt;&gt;"",LEFT(C390,2)&lt;&gt;"Va"),IF(AND(G389&lt;&gt;"",LEFT(C389,2)&lt;&gt;"Va",G389&lt;&gt;"H. Sale Real"),IF(G390-G389&lt;0.208333333333333,G390-G389,""),IF(AND(G388&lt;&gt;"",LEFT(C388,2)&lt;&gt;"Va",G388&lt;&gt;"H. Sale Real"),IF(G390-G388&lt;0.208333333333333,G390-G388,""),IF(AND(G387&lt;&gt;"",LEFT(C387,2)&lt;&gt;"Va",G387&lt;&gt;"H. Sale Real"),IF(G390-G387&lt;0.208333333333333,G390-G387,""),IF(AND(G386&lt;&gt;"",LEFT(C386,2)&lt;&gt;"Va",G386&lt;&gt;"H. Sale Real"),IF(G390-G386&lt;0.208333333333333,G390-G386,""),IF(AND(G385&lt;&gt;"",LEFT(C385,2)&lt;&gt;"Va",G385&lt;&gt;"H. Sale Real"),IF(G390-G385&lt;0.208333333333333,G390-G385,""),""))))),""),"")</f>
        <v/>
      </c>
      <c r="U389" s="87" t="n"/>
      <c r="V389" s="89" t="n"/>
      <c r="W389" s="87" t="n"/>
      <c r="X389" s="89" t="n"/>
      <c r="Y389" s="91" t="n"/>
      <c r="Z389" s="122">
        <f>IF(G389&lt;&gt;"",IF(AND(Z388&lt;&gt;"IE",P389&lt;&gt;0,R389&lt;&gt;""),IF(IFERROR((P389/R389),0) &lt;=1,IFERROR(P389/R389,""),1),""),"")</f>
        <v/>
      </c>
      <c r="AA389" s="93" t="n"/>
      <c r="AB389" s="2" t="n"/>
      <c r="AE389" s="10">
        <f>HOUR(AK389)+1</f>
        <v/>
      </c>
      <c r="AF389" s="7" t="n"/>
      <c r="AG389" s="7" t="n"/>
      <c r="AH389" s="86" t="n"/>
      <c r="AI389" s="8" t="n"/>
      <c r="AJ389" s="86" t="n"/>
      <c r="AK389" s="87" t="n"/>
      <c r="AL389" s="88">
        <f>IF(AM389="","",IF(AND((AM389-AK389)&gt;=TIME(0,0,0),(AM389-AK389)&lt;TIME(0,3,0)),"OK",IF(AND((AM389-AK389)&gt;=TIME(0,3,0),(AM389-AK389)&lt;TIME(0,5,0)),"RETRASO DE 3-5 MIN",IF(AND((AM389-AK389)&gt;=TIME(0,5,0),(AM389-AK389)&lt;TIME(0,10,0)),"RETRASO DE 5-10 MIN",IF((AM389-AK389)&gt;=TIME(0,10,0),"RETRASO &gt;10 MIN", IF(AND((AK389-AM389)&gt;=TIME(0,0,0),(AK389-AM389)&lt;TIME(0,3,0)),"OK",IF((AK389-AM389)&gt;=TIME(0,3,0),"ADELANTADO")))))))</f>
        <v/>
      </c>
      <c r="AM389" s="91" t="n"/>
      <c r="AN389" s="89">
        <f>IF(AE389&lt;&gt;"",HLOOKUP(VALUE(TEXT(AK389,"h:mm:ss")),IF($C$6="Laboral",$FZ$4:$GX$227,IF($C$6="Sábado",$FZ$231:$GX$452,$FZ$456:$GX$656)),VLOOKUP($C$4,$HF$2:$HH$99,3,0)+IF(AG$5="Ida",0,1),1),"")</f>
        <v/>
      </c>
      <c r="AO389" s="89">
        <f>IF(AE390&lt;&gt;AE389,AVERAGEIF(AE$9:AE389,AE389,AN$9:AN389),"")</f>
        <v/>
      </c>
      <c r="AP389" s="89">
        <f>IFERROR(IF(AE390&lt;&gt;AE389,AVERAGEIF(AE$9:AE389,AE389,AW$9:AW389),""),"")</f>
        <v/>
      </c>
      <c r="AQ389" s="89">
        <f>IFERROR(IF(AE390&lt;&gt;AE389,AVERAGEIF(AE$9:AE389,AE389,AX$9:AX389),""),"")</f>
        <v/>
      </c>
      <c r="AR389" s="89">
        <f t="array" ref="AR389">IFERROR(IF(AE390&lt;&gt;AE389,_xlfn.STDEV.P(IF(AE$9:AE389=AE389,AX$9:AX389)),""),"")</f>
        <v/>
      </c>
      <c r="AS389" s="89">
        <f t="array" ref="AS389">IFERROR(IF(AE390&lt;&gt;AE389,_xlfn.STDEV.P(IF(AE$9:AE389=AE389,AW$9:AW389)),""),"")</f>
        <v/>
      </c>
      <c r="AT389" s="90">
        <f>IFERROR(IF(AE389&lt;&gt;AE390,MAX((((AQ389*24*60)/2)*(1+POWER((((AR389*24*60) / (AQ389*24*60) )),2))) + ((AQ389*24*60 )*-0.1 + (AO389*0.015)) +1,(((AQ389*24*60)/2)*(1+POWER((((AR389*24*60) / (AQ389*24*60 ))),2)))),""),"")</f>
        <v/>
      </c>
      <c r="AU389" s="90">
        <f>IF(AND(AS389&lt;&gt;"",AP389&lt;&gt;""),IF(AE389&lt;&gt;AE390,((AP389*24*60) / 2 ) * (1 + POWER(((AS389*24*60) / (AP389*24*60)),2)),""),"")</f>
        <v/>
      </c>
      <c r="AV389" s="90">
        <f>IF(AU389&lt;&gt;"",MAX(AT389,AU389),"")</f>
        <v/>
      </c>
      <c r="AW389" s="89">
        <f>IF(AM389&lt;&gt;"H. Sale Real",IF(AND(AM390&lt;&gt;"",LEFT(AG390,2)&lt;&gt;"Va"),IF(AND(AM389&lt;&gt;"",LEFT(AG389,2)&lt;&gt;"Va",AM389&lt;&gt;"H. Sale Real"),IF(AM390-AM389&lt;0.208333333333333,AM390-AM389,""),IF(AND(AM388&lt;&gt;"",LEFT(AG388,2)&lt;&gt;"Va",AM388&lt;&gt;"H. Sale Real"),IF(AM390-AM388&lt;0.208333333333333,AM390-AM388,""),IF(AND(AM387&lt;&gt;"",LEFT(AG387,2)&lt;&gt;"Va",AM387&lt;&gt;"H. Sale Real"),IF(AM390-AM387&lt;0.208333333333333,AM390-AM387,""),IF(AND(AM386&lt;&gt;"",LEFT(AG386,2)&lt;&gt;"Va",AM386&lt;&gt;"H. Sale Real"),IF(AM390-AM386&lt;0.208333333333333,AM390-AM386,""),IF(AND(AM385&lt;&gt;"",LEFT(AG385,2)&lt;&gt;"Va",AM385&lt;&gt;"H. Sale Real"),IF(AM390-AM385&lt;0.208333333333333,AM390-AM385,""),""))))),""),"")</f>
        <v/>
      </c>
      <c r="AX389" s="89">
        <f>IF(AK389&lt;&gt;"H. Sale Real",IF(AND(AK390&lt;&gt;"",LEFT(AG390,2)&lt;&gt;"Va"),IF(AND(AK389&lt;&gt;"",LEFT(AG389,2)&lt;&gt;"Va",AK389&lt;&gt;"H. Sale Real"),IF(AK390-AK389&lt;0.208333333333333,AK390-AK389,""),IF(AND(AK388&lt;&gt;"",LEFT(AG388,2)&lt;&gt;"Va",AK388&lt;&gt;"H. Sale Real"),IF(AK390-AK388&lt;0.208333333333333,AK390-AK388,""),IF(AND(AK387&lt;&gt;"",LEFT(AG387,2)&lt;&gt;"NC",AK387&lt;&gt;"H. Sale Real"),IF(AK390-AK387&lt;0.208333333333333,AK390-AK387,""),IF(AND(AK386&lt;&gt;"",LEFT(AG386,2)&lt;&gt;"Va",AK386&lt;&gt;"H. Sale Real"),IF(AK390-AK386&lt;0.208333333333333,AK390-AK386,""),IF(AND(AK385&lt;&gt;"",LEFT(AG385,2)&lt;&gt;"Va",AK385&lt;&gt;"H. Sale Real"),IF(AK390-AK385&lt;0.208333333333333,AK390-AK385,""),""))))),""),"")</f>
        <v/>
      </c>
      <c r="AY389" s="87" t="n"/>
      <c r="AZ389" s="89" t="n"/>
      <c r="BA389" s="87" t="n"/>
      <c r="BB389" s="89" t="n"/>
      <c r="BC389" s="91" t="n"/>
      <c r="BD389" s="122">
        <f>IF(AK389&lt;&gt;"",IF(AND(BD388&lt;&gt;"IE",AT389&lt;&gt;0,AV389&lt;&gt;""),IF(IFERROR((AT389/AV389),0) &lt;=1,IFERROR(AT389/AV389,""),1),""),"")</f>
        <v/>
      </c>
      <c r="BE389" s="93" t="n"/>
      <c r="BF389" s="105" t="n"/>
      <c r="FC389" t="inlineStr">
        <is>
          <t>Diccionario 1</t>
        </is>
      </c>
      <c r="FD389" s="15" t="n">
        <v>1388</v>
      </c>
      <c r="FE389" s="15" t="inlineStr">
        <is>
          <t>MDN35025010087</t>
        </is>
      </c>
      <c r="FF389" s="15" t="inlineStr">
        <is>
          <t>LDYECS318S0043829</t>
        </is>
      </c>
      <c r="FG389" s="15" t="inlineStr">
        <is>
          <t>Zhong Tong</t>
        </is>
      </c>
      <c r="FH389" s="15" t="inlineStr">
        <is>
          <t>Lck6122evg</t>
        </is>
      </c>
      <c r="FI389" s="15" t="inlineStr">
        <is>
          <t>ZHONGTONG</t>
        </is>
      </c>
      <c r="FJ389" s="15" t="inlineStr">
        <is>
          <t>LCK6122EVG</t>
        </is>
      </c>
      <c r="FK389" s="15" t="n">
        <v>2025</v>
      </c>
      <c r="FL389" s="15" t="inlineStr">
        <is>
          <t>B</t>
        </is>
      </c>
      <c r="FM389" s="15" t="inlineStr">
        <is>
          <t>PIE ANDINO</t>
        </is>
      </c>
      <c r="FN389" s="15" t="inlineStr">
        <is>
          <t>Pie Andino 31 (Pie Andino 383)</t>
        </is>
      </c>
      <c r="FO389" s="15" t="inlineStr">
        <is>
          <t>Puente Alto</t>
        </is>
      </c>
      <c r="FP389" t="inlineStr">
        <is>
          <t>B</t>
        </is>
      </c>
      <c r="FS389" s="14" t="inlineStr">
        <is>
          <t>3102 / SFWZ-59|</t>
        </is>
      </c>
      <c r="FT389" t="inlineStr">
        <is>
          <t>SFWZ-59|</t>
        </is>
      </c>
      <c r="FU389" t="inlineStr">
        <is>
          <t>SFWZ-59</t>
        </is>
      </c>
      <c r="FV389">
        <f>VLOOKUP(FU389,FD:FL,9,0)</f>
        <v/>
      </c>
      <c r="HA389" s="35" t="n">
        <v>159</v>
      </c>
      <c r="HB389" s="35" t="n">
        <v>383</v>
      </c>
    </row>
    <row r="390" ht="15.5" customHeight="1">
      <c r="A390" s="10">
        <f>HOUR(G390)+1</f>
        <v/>
      </c>
      <c r="B390" s="7" t="n"/>
      <c r="C390" s="7" t="n"/>
      <c r="D390" s="85">
        <f>IFERROR(
IF(AND(OR(Planilla!B390="C",Planilla!B390="c"), VLOOKUP(E390,FD:FP,13,0)="C"), "OK",IF(AND(OR(Planilla!B390="C",Planilla!B390="c"), OR(VLOOKUP(E390,FD:FP,13,0)="B", VLOOKUP(E390,FD:FP,13,0)="A")), "DEFICIT",IF(
AND(OR(Planilla!B390="B", Planilla!B390="BPAL"), VLOOKUP(E390,FD:FP,13,0)="B"), "OK",IF(AND(OR(Planilla!B390="B", Planilla!B390="BPAL"), VLOOKUP(E390,FD:FP,13,0)="A"), "DEFICIT",IF(AND(OR(Planilla!B390="B", Planilla!B390="BPAL"), VLOOKUP(E390,FD:FP,13,0)="C"), "SOBREOFERTA",IF(AND(Planilla!B390="A", VLOOKUP(E390,FD:FP,13,0)="A"), "OK",IF(
AND(Planilla!B390="A", OR(VLOOKUP(E390,FD:FP,13,0)="B", VLOOKUP(E390,FD:FP,13,0)="C")), "SOBREOFERTA",""
))))))),"")</f>
        <v/>
      </c>
      <c r="E390" s="8" t="n"/>
      <c r="F390" s="86" t="n"/>
      <c r="G390" s="87" t="n"/>
      <c r="H390" s="88">
        <f>IF(I390="","",IF(AND((I390-G390)&gt;=TIME(0,0,0),(I390-G390)&lt;TIME(0,3,0)),"OK",IF(AND((I390-G390)&gt;=TIME(0,3,0),(I390-G390)&lt;TIME(0,5,0)),"RETRASO DE 3-5 MIN",IF(AND((I390-G390)&gt;=TIME(0,5,0),(I390-G390)&lt;TIME(0,10,0)),"RETRASO DE 5-10 MIN",IF((I390-G390)&gt;=TIME(0,10,0),"RETRASO &gt;10 MIN", IF(AND((G390-I390)&gt;=TIME(0,0,0),(G390-I390)&lt;TIME(0,3,0)),"OK",IF((G390-I390)&gt;=TIME(0,3,0),"ADELANTADO")))))))</f>
        <v/>
      </c>
      <c r="I390" s="89" t="n"/>
      <c r="J390" s="89">
        <f>IF(A390&lt;&gt;"",HLOOKUP(VALUE(TEXT(G390,"h:mm:ss")),IF($C$6="Laboral",$FZ$4:$GX$227,IF($C$6="Sábado",$FZ$231:$GX$452,$FZ$456:$GX$656)),VLOOKUP($C$4,$HF$2:$HH$99,3,0)+IF(C$5="Ida",0,1),1),"")</f>
        <v/>
      </c>
      <c r="K390" s="89">
        <f>IF(A391&lt;&gt;A390,AVERAGEIF(A$9:A390,A390,J$9:J390),"")</f>
        <v/>
      </c>
      <c r="L390" s="89">
        <f>IFERROR(IF(A391&lt;&gt;A390,AVERAGEIF(A$9:A390,A390,S$9:S390),""),"")</f>
        <v/>
      </c>
      <c r="M390" s="89">
        <f>IFERROR(IF(A391&lt;&gt;A390,AVERAGEIF(A$9:A390,A390,T$9:T390),""),"")</f>
        <v/>
      </c>
      <c r="N390" s="89">
        <f t="array" ref="N390">IFERROR(IF(A391&lt;&gt;A390,_xlfn.STDEV.P(IF(A$9:A390=A390,T$9:T390)),""),"")</f>
        <v/>
      </c>
      <c r="O390" s="89">
        <f t="array" ref="O390">IFERROR(IF(A391&lt;&gt;A390,_xlfn.STDEV.P(IF(A$9:A390=A390,S$9:S390)),""),"")</f>
        <v/>
      </c>
      <c r="P390" s="90">
        <f>IFERROR(IF(A390&lt;&gt;A391,MAX((((M390*24*60)/2)*(1+POWER((((N390*24*60) / (M390*24*60) )),2))) + ((M390*24*60 )*-0.1 + (K390*0.015)) +1,(((M390*24*60)/2)*(1+POWER((((N390*24*60) / (M390*24*60 ))),2)))),""),"")</f>
        <v/>
      </c>
      <c r="Q390" s="90">
        <f>IF(AND(O390&lt;&gt;"",L390&lt;&gt;""),IF(A390&lt;&gt;A391,((L390*24*60) / 2 ) * (1 + POWER(((O390*24*60) / (L390*24*60)),2)),""),"")</f>
        <v/>
      </c>
      <c r="R390" s="90">
        <f>IF(Q390&lt;&gt;"",MAX(P390,Q390),"")</f>
        <v/>
      </c>
      <c r="S390" s="89">
        <f>IF(I390&lt;&gt;"H. Sale Real",IF(AND(I391&lt;&gt;"",LEFT(C391,2)&lt;&gt;"Va"),IF(AND(I390&lt;&gt;"",LEFT(C390,2)&lt;&gt;"Va",I390&lt;&gt;"H. Sale Real"),IF(I391-I390&lt;0.208333333333333,I391-I390,""),IF(AND(I389&lt;&gt;"",LEFT(C389,2)&lt;&gt;"Va",I389&lt;&gt;"H. Sale Real"),IF(I391-I389&lt;0.208333333333333,I391-I389,""),IF(AND(I388&lt;&gt;"",LEFT(C388,2)&lt;&gt;"Va",I388&lt;&gt;"H. Sale Real"),IF(I391-I388&lt;0.208333333333333,I391-I388,""),IF(AND(I387&lt;&gt;"",LEFT(C387,2)&lt;&gt;"Va",I387&lt;&gt;"H. Sale Real"),IF(I391-I387&lt;0.208333333333333,I391-I387,""),IF(AND(I386&lt;&gt;"",LEFT(C386,2)&lt;&gt;"Va",I386&lt;&gt;"H. Sale Real"),IF(I391-I386&lt;0.208333333333333,I391-I386,""),""))))),""),"")</f>
        <v/>
      </c>
      <c r="T390" s="89">
        <f>IF(G390&lt;&gt;"H. Sale Real",IF(AND(G391&lt;&gt;"",LEFT(C391,2)&lt;&gt;"Va"),IF(AND(G390&lt;&gt;"",LEFT(C390,2)&lt;&gt;"Va",G390&lt;&gt;"H. Sale Real"),IF(G391-G390&lt;0.208333333333333,G391-G390,""),IF(AND(G389&lt;&gt;"",LEFT(C389,2)&lt;&gt;"Va",G389&lt;&gt;"H. Sale Real"),IF(G391-G389&lt;0.208333333333333,G391-G389,""),IF(AND(G388&lt;&gt;"",LEFT(C388,2)&lt;&gt;"Va",G388&lt;&gt;"H. Sale Real"),IF(G391-G388&lt;0.208333333333333,G391-G388,""),IF(AND(G387&lt;&gt;"",LEFT(C387,2)&lt;&gt;"Va",G387&lt;&gt;"H. Sale Real"),IF(G391-G387&lt;0.208333333333333,G391-G387,""),IF(AND(G386&lt;&gt;"",LEFT(C386,2)&lt;&gt;"Va",G386&lt;&gt;"H. Sale Real"),IF(G391-G386&lt;0.208333333333333,G391-G386,""),""))))),""),"")</f>
        <v/>
      </c>
      <c r="U390" s="87" t="n"/>
      <c r="V390" s="89" t="n"/>
      <c r="W390" s="87" t="n"/>
      <c r="X390" s="89" t="n"/>
      <c r="Y390" s="91" t="n"/>
      <c r="Z390" s="122">
        <f>IF(G390&lt;&gt;"",IF(AND(Z389&lt;&gt;"IE",P390&lt;&gt;0,R390&lt;&gt;""),IF(IFERROR((P390/R390),0) &lt;=1,IFERROR(P390/R390,""),1),""),"")</f>
        <v/>
      </c>
      <c r="AA390" s="93" t="n"/>
      <c r="AB390" s="2" t="n"/>
      <c r="AE390" s="10">
        <f>HOUR(AK390)+1</f>
        <v/>
      </c>
      <c r="AF390" s="7" t="n"/>
      <c r="AG390" s="7" t="n"/>
      <c r="AH390" s="86" t="n"/>
      <c r="AI390" s="8" t="n"/>
      <c r="AJ390" s="86" t="n"/>
      <c r="AK390" s="87" t="n"/>
      <c r="AL390" s="88">
        <f>IF(AM390="","",IF(AND((AM390-AK390)&gt;=TIME(0,0,0),(AM390-AK390)&lt;TIME(0,3,0)),"OK",IF(AND((AM390-AK390)&gt;=TIME(0,3,0),(AM390-AK390)&lt;TIME(0,5,0)),"RETRASO DE 3-5 MIN",IF(AND((AM390-AK390)&gt;=TIME(0,5,0),(AM390-AK390)&lt;TIME(0,10,0)),"RETRASO DE 5-10 MIN",IF((AM390-AK390)&gt;=TIME(0,10,0),"RETRASO &gt;10 MIN", IF(AND((AK390-AM390)&gt;=TIME(0,0,0),(AK390-AM390)&lt;TIME(0,3,0)),"OK",IF((AK390-AM390)&gt;=TIME(0,3,0),"ADELANTADO")))))))</f>
        <v/>
      </c>
      <c r="AM390" s="91" t="n"/>
      <c r="AN390" s="89">
        <f>IF(AE390&lt;&gt;"",HLOOKUP(VALUE(TEXT(AK390,"h:mm:ss")),IF($C$6="Laboral",$FZ$4:$GX$227,IF($C$6="Sábado",$FZ$231:$GX$452,$FZ$456:$GX$656)),VLOOKUP($C$4,$HF$2:$HH$99,3,0)+IF(AG$5="Ida",0,1),1),"")</f>
        <v/>
      </c>
      <c r="AO390" s="89">
        <f>IF(AE391&lt;&gt;AE390,AVERAGEIF(AE$9:AE390,AE390,AN$9:AN390),"")</f>
        <v/>
      </c>
      <c r="AP390" s="89">
        <f>IFERROR(IF(AE391&lt;&gt;AE390,AVERAGEIF(AE$9:AE390,AE390,AW$9:AW390),""),"")</f>
        <v/>
      </c>
      <c r="AQ390" s="89">
        <f>IFERROR(IF(AE391&lt;&gt;AE390,AVERAGEIF(AE$9:AE390,AE390,AX$9:AX390),""),"")</f>
        <v/>
      </c>
      <c r="AR390" s="89">
        <f t="array" ref="AR390">IFERROR(IF(AE391&lt;&gt;AE390,_xlfn.STDEV.P(IF(AE$9:AE390=AE390,AX$9:AX390)),""),"")</f>
        <v/>
      </c>
      <c r="AS390" s="89">
        <f t="array" ref="AS390">IFERROR(IF(AE391&lt;&gt;AE390,_xlfn.STDEV.P(IF(AE$9:AE390=AE390,AW$9:AW390)),""),"")</f>
        <v/>
      </c>
      <c r="AT390" s="90">
        <f>IFERROR(IF(AE390&lt;&gt;AE391,MAX((((AQ390*24*60)/2)*(1+POWER((((AR390*24*60) / (AQ390*24*60) )),2))) + ((AQ390*24*60 )*-0.1 + (AO390*0.015)) +1,(((AQ390*24*60)/2)*(1+POWER((((AR390*24*60) / (AQ390*24*60 ))),2)))),""),"")</f>
        <v/>
      </c>
      <c r="AU390" s="90">
        <f>IF(AND(AS390&lt;&gt;"",AP390&lt;&gt;""),IF(AE390&lt;&gt;AE391,((AP390*24*60) / 2 ) * (1 + POWER(((AS390*24*60) / (AP390*24*60)),2)),""),"")</f>
        <v/>
      </c>
      <c r="AV390" s="90">
        <f>IF(AU390&lt;&gt;"",MAX(AT390,AU390),"")</f>
        <v/>
      </c>
      <c r="AW390" s="89">
        <f>IF(AM390&lt;&gt;"H. Sale Real",IF(AND(AM391&lt;&gt;"",LEFT(AG391,2)&lt;&gt;"Va"),IF(AND(AM390&lt;&gt;"",LEFT(AG390,2)&lt;&gt;"Va",AM390&lt;&gt;"H. Sale Real"),IF(AM391-AM390&lt;0.208333333333333,AM391-AM390,""),IF(AND(AM389&lt;&gt;"",LEFT(AG389,2)&lt;&gt;"Va",AM389&lt;&gt;"H. Sale Real"),IF(AM391-AM389&lt;0.208333333333333,AM391-AM389,""),IF(AND(AM388&lt;&gt;"",LEFT(AG388,2)&lt;&gt;"Va",AM388&lt;&gt;"H. Sale Real"),IF(AM391-AM388&lt;0.208333333333333,AM391-AM388,""),IF(AND(AM387&lt;&gt;"",LEFT(AG387,2)&lt;&gt;"Va",AM387&lt;&gt;"H. Sale Real"),IF(AM391-AM387&lt;0.208333333333333,AM391-AM387,""),IF(AND(AM386&lt;&gt;"",LEFT(AG386,2)&lt;&gt;"Va",AM386&lt;&gt;"H. Sale Real"),IF(AM391-AM386&lt;0.208333333333333,AM391-AM386,""),""))))),""),"")</f>
        <v/>
      </c>
      <c r="AX390" s="89">
        <f>IF(AK390&lt;&gt;"H. Sale Real",IF(AND(AK391&lt;&gt;"",LEFT(AG391,2)&lt;&gt;"Va"),IF(AND(AK390&lt;&gt;"",LEFT(AG390,2)&lt;&gt;"Va",AK390&lt;&gt;"H. Sale Real"),IF(AK391-AK390&lt;0.208333333333333,AK391-AK390,""),IF(AND(AK389&lt;&gt;"",LEFT(AG389,2)&lt;&gt;"Va",AK389&lt;&gt;"H. Sale Real"),IF(AK391-AK389&lt;0.208333333333333,AK391-AK389,""),IF(AND(AK388&lt;&gt;"",LEFT(AG388,2)&lt;&gt;"NC",AK388&lt;&gt;"H. Sale Real"),IF(AK391-AK388&lt;0.208333333333333,AK391-AK388,""),IF(AND(AK387&lt;&gt;"",LEFT(AG387,2)&lt;&gt;"Va",AK387&lt;&gt;"H. Sale Real"),IF(AK391-AK387&lt;0.208333333333333,AK391-AK387,""),IF(AND(AK386&lt;&gt;"",LEFT(AG386,2)&lt;&gt;"Va",AK386&lt;&gt;"H. Sale Real"),IF(AK391-AK386&lt;0.208333333333333,AK391-AK386,""),""))))),""),"")</f>
        <v/>
      </c>
      <c r="AY390" s="87" t="n"/>
      <c r="AZ390" s="89" t="n"/>
      <c r="BA390" s="87" t="n"/>
      <c r="BB390" s="89" t="n"/>
      <c r="BC390" s="91" t="n"/>
      <c r="BD390" s="122">
        <f>IF(AK390&lt;&gt;"",IF(AND(BD389&lt;&gt;"IE",AT390&lt;&gt;0,AV390&lt;&gt;""),IF(IFERROR((AT390/AV390),0) &lt;=1,IFERROR(AT390/AV390,""),1),""),"")</f>
        <v/>
      </c>
      <c r="BE390" s="93" t="n"/>
      <c r="BF390" s="105" t="n"/>
      <c r="FC390" t="inlineStr">
        <is>
          <t>Diccionario 1</t>
        </is>
      </c>
      <c r="FD390" s="15" t="n">
        <v>1389</v>
      </c>
      <c r="FE390" s="15" t="inlineStr">
        <is>
          <t>MDN35025010031</t>
        </is>
      </c>
      <c r="FF390" s="15" t="inlineStr">
        <is>
          <t>LDYECS318S0043832</t>
        </is>
      </c>
      <c r="FG390" s="15" t="inlineStr">
        <is>
          <t>Zhong Tong</t>
        </is>
      </c>
      <c r="FH390" s="15" t="inlineStr">
        <is>
          <t>Lck6122evg</t>
        </is>
      </c>
      <c r="FI390" s="15" t="inlineStr">
        <is>
          <t>ZHONGTONG</t>
        </is>
      </c>
      <c r="FJ390" s="15" t="inlineStr">
        <is>
          <t>LCK6122EVG</t>
        </is>
      </c>
      <c r="FK390" s="15" t="n">
        <v>2025</v>
      </c>
      <c r="FL390" s="15" t="inlineStr">
        <is>
          <t>B</t>
        </is>
      </c>
      <c r="FM390" s="15" t="inlineStr">
        <is>
          <t>SAN ALFONSO</t>
        </is>
      </c>
      <c r="FN390" s="15" t="inlineStr">
        <is>
          <t>San Alfonso 2141 (Ramón Subercaseaux 3060)</t>
        </is>
      </c>
      <c r="FO390" s="15" t="inlineStr">
        <is>
          <t>Estacion Central</t>
        </is>
      </c>
      <c r="FP390" t="inlineStr">
        <is>
          <t>B</t>
        </is>
      </c>
      <c r="FS390" s="14" t="inlineStr">
        <is>
          <t>3103 / SFWZ-78|</t>
        </is>
      </c>
      <c r="FT390" t="inlineStr">
        <is>
          <t>SFWZ-78|</t>
        </is>
      </c>
      <c r="FU390" t="inlineStr">
        <is>
          <t>SFWZ-78</t>
        </is>
      </c>
      <c r="FV390">
        <f>VLOOKUP(FU390,FD:FL,9,0)</f>
        <v/>
      </c>
      <c r="HA390" s="35" t="n">
        <v>160</v>
      </c>
      <c r="HB390" s="35" t="n">
        <v>384</v>
      </c>
    </row>
    <row r="391" ht="15.5" customHeight="1">
      <c r="A391" s="10">
        <f>HOUR(G391)+1</f>
        <v/>
      </c>
      <c r="B391" s="7" t="n"/>
      <c r="C391" s="7" t="n"/>
      <c r="D391" s="85">
        <f>IFERROR(
IF(AND(OR(Planilla!B391="C",Planilla!B391="c"), VLOOKUP(E391,FD:FP,13,0)="C"), "OK",IF(AND(OR(Planilla!B391="C",Planilla!B391="c"), OR(VLOOKUP(E391,FD:FP,13,0)="B", VLOOKUP(E391,FD:FP,13,0)="A")), "DEFICIT",IF(
AND(OR(Planilla!B391="B", Planilla!B391="BPAL"), VLOOKUP(E391,FD:FP,13,0)="B"), "OK",IF(AND(OR(Planilla!B391="B", Planilla!B391="BPAL"), VLOOKUP(E391,FD:FP,13,0)="A"), "DEFICIT",IF(AND(OR(Planilla!B391="B", Planilla!B391="BPAL"), VLOOKUP(E391,FD:FP,13,0)="C"), "SOBREOFERTA",IF(AND(Planilla!B391="A", VLOOKUP(E391,FD:FP,13,0)="A"), "OK",IF(
AND(Planilla!B391="A", OR(VLOOKUP(E391,FD:FP,13,0)="B", VLOOKUP(E391,FD:FP,13,0)="C")), "SOBREOFERTA",""
))))))),"")</f>
        <v/>
      </c>
      <c r="E391" s="8" t="n"/>
      <c r="F391" s="86" t="n"/>
      <c r="G391" s="87" t="n"/>
      <c r="H391" s="88">
        <f>IF(I391="","",IF(AND((I391-G391)&gt;=TIME(0,0,0),(I391-G391)&lt;TIME(0,3,0)),"OK",IF(AND((I391-G391)&gt;=TIME(0,3,0),(I391-G391)&lt;TIME(0,5,0)),"RETRASO DE 3-5 MIN",IF(AND((I391-G391)&gt;=TIME(0,5,0),(I391-G391)&lt;TIME(0,10,0)),"RETRASO DE 5-10 MIN",IF((I391-G391)&gt;=TIME(0,10,0),"RETRASO &gt;10 MIN", IF(AND((G391-I391)&gt;=TIME(0,0,0),(G391-I391)&lt;TIME(0,3,0)),"OK",IF((G391-I391)&gt;=TIME(0,3,0),"ADELANTADO")))))))</f>
        <v/>
      </c>
      <c r="I391" s="89" t="n"/>
      <c r="J391" s="89">
        <f>IF(A391&lt;&gt;"",HLOOKUP(VALUE(TEXT(G391,"h:mm:ss")),IF($C$6="Laboral",$FZ$4:$GX$227,IF($C$6="Sábado",$FZ$231:$GX$452,$FZ$456:$GX$656)),VLOOKUP($C$4,$HF$2:$HH$99,3,0)+IF(C$5="Ida",0,1),1),"")</f>
        <v/>
      </c>
      <c r="K391" s="89">
        <f>IF(A392&lt;&gt;A391,AVERAGEIF(A$9:A391,A391,J$9:J391),"")</f>
        <v/>
      </c>
      <c r="L391" s="89">
        <f>IFERROR(IF(A392&lt;&gt;A391,AVERAGEIF(A$9:A391,A391,S$9:S391),""),"")</f>
        <v/>
      </c>
      <c r="M391" s="89">
        <f>IFERROR(IF(A392&lt;&gt;A391,AVERAGEIF(A$9:A391,A391,T$9:T391),""),"")</f>
        <v/>
      </c>
      <c r="N391" s="89">
        <f t="array" ref="N391">IFERROR(IF(A392&lt;&gt;A391,_xlfn.STDEV.P(IF(A$9:A391=A391,T$9:T391)),""),"")</f>
        <v/>
      </c>
      <c r="O391" s="89">
        <f t="array" ref="O391">IFERROR(IF(A392&lt;&gt;A391,_xlfn.STDEV.P(IF(A$9:A391=A391,S$9:S391)),""),"")</f>
        <v/>
      </c>
      <c r="P391" s="90">
        <f>IFERROR(IF(A391&lt;&gt;A392,MAX((((M391*24*60)/2)*(1+POWER((((N391*24*60) / (M391*24*60) )),2))) + ((M391*24*60 )*-0.1 + (K391*0.015)) +1,(((M391*24*60)/2)*(1+POWER((((N391*24*60) / (M391*24*60 ))),2)))),""),"")</f>
        <v/>
      </c>
      <c r="Q391" s="90">
        <f>IF(AND(O391&lt;&gt;"",L391&lt;&gt;""),IF(A391&lt;&gt;A392,((L391*24*60) / 2 ) * (1 + POWER(((O391*24*60) / (L391*24*60)),2)),""),"")</f>
        <v/>
      </c>
      <c r="R391" s="90">
        <f>IF(Q391&lt;&gt;"",MAX(P391,Q391),"")</f>
        <v/>
      </c>
      <c r="S391" s="89">
        <f>IF(I391&lt;&gt;"H. Sale Real",IF(AND(I392&lt;&gt;"",LEFT(C392,2)&lt;&gt;"Va"),IF(AND(I391&lt;&gt;"",LEFT(C391,2)&lt;&gt;"Va",I391&lt;&gt;"H. Sale Real"),IF(I392-I391&lt;0.208333333333333,I392-I391,""),IF(AND(I390&lt;&gt;"",LEFT(C390,2)&lt;&gt;"Va",I390&lt;&gt;"H. Sale Real"),IF(I392-I390&lt;0.208333333333333,I392-I390,""),IF(AND(I389&lt;&gt;"",LEFT(C389,2)&lt;&gt;"Va",I389&lt;&gt;"H. Sale Real"),IF(I392-I389&lt;0.208333333333333,I392-I389,""),IF(AND(I388&lt;&gt;"",LEFT(C388,2)&lt;&gt;"Va",I388&lt;&gt;"H. Sale Real"),IF(I392-I388&lt;0.208333333333333,I392-I388,""),IF(AND(I387&lt;&gt;"",LEFT(C387,2)&lt;&gt;"Va",I387&lt;&gt;"H. Sale Real"),IF(I392-I387&lt;0.208333333333333,I392-I387,""),""))))),""),"")</f>
        <v/>
      </c>
      <c r="T391" s="89">
        <f>IF(G391&lt;&gt;"H. Sale Real",IF(AND(G392&lt;&gt;"",LEFT(C392,2)&lt;&gt;"Va"),IF(AND(G391&lt;&gt;"",LEFT(C391,2)&lt;&gt;"Va",G391&lt;&gt;"H. Sale Real"),IF(G392-G391&lt;0.208333333333333,G392-G391,""),IF(AND(G390&lt;&gt;"",LEFT(C390,2)&lt;&gt;"Va",G390&lt;&gt;"H. Sale Real"),IF(G392-G390&lt;0.208333333333333,G392-G390,""),IF(AND(G389&lt;&gt;"",LEFT(C389,2)&lt;&gt;"Va",G389&lt;&gt;"H. Sale Real"),IF(G392-G389&lt;0.208333333333333,G392-G389,""),IF(AND(G388&lt;&gt;"",LEFT(C388,2)&lt;&gt;"Va",G388&lt;&gt;"H. Sale Real"),IF(G392-G388&lt;0.208333333333333,G392-G388,""),IF(AND(G387&lt;&gt;"",LEFT(C387,2)&lt;&gt;"Va",G387&lt;&gt;"H. Sale Real"),IF(G392-G387&lt;0.208333333333333,G392-G387,""),""))))),""),"")</f>
        <v/>
      </c>
      <c r="U391" s="87" t="n"/>
      <c r="V391" s="89" t="n"/>
      <c r="W391" s="87" t="n"/>
      <c r="X391" s="89" t="n"/>
      <c r="Y391" s="91" t="n"/>
      <c r="Z391" s="122">
        <f>IF(G391&lt;&gt;"",IF(AND(Z390&lt;&gt;"IE",P391&lt;&gt;0,R391&lt;&gt;""),IF(IFERROR((P391/R391),0) &lt;=1,IFERROR(P391/R391,""),1),""),"")</f>
        <v/>
      </c>
      <c r="AA391" s="93" t="n"/>
      <c r="AB391" s="2" t="n"/>
      <c r="AE391" s="10">
        <f>HOUR(AK391)+1</f>
        <v/>
      </c>
      <c r="AF391" s="7" t="n"/>
      <c r="AG391" s="7" t="n"/>
      <c r="AH391" s="86" t="n"/>
      <c r="AI391" s="8" t="n"/>
      <c r="AJ391" s="86" t="n"/>
      <c r="AK391" s="87" t="n"/>
      <c r="AL391" s="88">
        <f>IF(AM391="","",IF(AND((AM391-AK391)&gt;=TIME(0,0,0),(AM391-AK391)&lt;TIME(0,3,0)),"OK",IF(AND((AM391-AK391)&gt;=TIME(0,3,0),(AM391-AK391)&lt;TIME(0,5,0)),"RETRASO DE 3-5 MIN",IF(AND((AM391-AK391)&gt;=TIME(0,5,0),(AM391-AK391)&lt;TIME(0,10,0)),"RETRASO DE 5-10 MIN",IF((AM391-AK391)&gt;=TIME(0,10,0),"RETRASO &gt;10 MIN", IF(AND((AK391-AM391)&gt;=TIME(0,0,0),(AK391-AM391)&lt;TIME(0,3,0)),"OK",IF((AK391-AM391)&gt;=TIME(0,3,0),"ADELANTADO")))))))</f>
        <v/>
      </c>
      <c r="AM391" s="91" t="n"/>
      <c r="AN391" s="89">
        <f>IF(AE391&lt;&gt;"",HLOOKUP(VALUE(TEXT(AK391,"h:mm:ss")),IF($C$6="Laboral",$FZ$4:$GX$227,IF($C$6="Sábado",$FZ$231:$GX$452,$FZ$456:$GX$656)),VLOOKUP($C$4,$HF$2:$HH$99,3,0)+IF(AG$5="Ida",0,1),1),"")</f>
        <v/>
      </c>
      <c r="AO391" s="89">
        <f>IF(AE392&lt;&gt;AE391,AVERAGEIF(AE$9:AE391,AE391,AN$9:AN391),"")</f>
        <v/>
      </c>
      <c r="AP391" s="89">
        <f>IFERROR(IF(AE392&lt;&gt;AE391,AVERAGEIF(AE$9:AE391,AE391,AW$9:AW391),""),"")</f>
        <v/>
      </c>
      <c r="AQ391" s="89">
        <f>IFERROR(IF(AE392&lt;&gt;AE391,AVERAGEIF(AE$9:AE391,AE391,AX$9:AX391),""),"")</f>
        <v/>
      </c>
      <c r="AR391" s="89">
        <f t="array" ref="AR391">IFERROR(IF(AE392&lt;&gt;AE391,_xlfn.STDEV.P(IF(AE$9:AE391=AE391,AX$9:AX391)),""),"")</f>
        <v/>
      </c>
      <c r="AS391" s="89">
        <f t="array" ref="AS391">IFERROR(IF(AE392&lt;&gt;AE391,_xlfn.STDEV.P(IF(AE$9:AE391=AE391,AW$9:AW391)),""),"")</f>
        <v/>
      </c>
      <c r="AT391" s="90">
        <f>IFERROR(IF(AE391&lt;&gt;AE392,MAX((((AQ391*24*60)/2)*(1+POWER((((AR391*24*60) / (AQ391*24*60) )),2))) + ((AQ391*24*60 )*-0.1 + (AO391*0.015)) +1,(((AQ391*24*60)/2)*(1+POWER((((AR391*24*60) / (AQ391*24*60 ))),2)))),""),"")</f>
        <v/>
      </c>
      <c r="AU391" s="90">
        <f>IF(AND(AS391&lt;&gt;"",AP391&lt;&gt;""),IF(AE391&lt;&gt;AE392,((AP391*24*60) / 2 ) * (1 + POWER(((AS391*24*60) / (AP391*24*60)),2)),""),"")</f>
        <v/>
      </c>
      <c r="AV391" s="90">
        <f>IF(AU391&lt;&gt;"",MAX(AT391,AU391),"")</f>
        <v/>
      </c>
      <c r="AW391" s="89">
        <f>IF(AM391&lt;&gt;"H. Sale Real",IF(AND(AM392&lt;&gt;"",LEFT(AG392,2)&lt;&gt;"Va"),IF(AND(AM391&lt;&gt;"",LEFT(AG391,2)&lt;&gt;"Va",AM391&lt;&gt;"H. Sale Real"),IF(AM392-AM391&lt;0.208333333333333,AM392-AM391,""),IF(AND(AM390&lt;&gt;"",LEFT(AG390,2)&lt;&gt;"Va",AM390&lt;&gt;"H. Sale Real"),IF(AM392-AM390&lt;0.208333333333333,AM392-AM390,""),IF(AND(AM389&lt;&gt;"",LEFT(AG389,2)&lt;&gt;"Va",AM389&lt;&gt;"H. Sale Real"),IF(AM392-AM389&lt;0.208333333333333,AM392-AM389,""),IF(AND(AM388&lt;&gt;"",LEFT(AG388,2)&lt;&gt;"Va",AM388&lt;&gt;"H. Sale Real"),IF(AM392-AM388&lt;0.208333333333333,AM392-AM388,""),IF(AND(AM387&lt;&gt;"",LEFT(AG387,2)&lt;&gt;"Va",AM387&lt;&gt;"H. Sale Real"),IF(AM392-AM387&lt;0.208333333333333,AM392-AM387,""),""))))),""),"")</f>
        <v/>
      </c>
      <c r="AX391" s="89">
        <f>IF(AK391&lt;&gt;"H. Sale Real",IF(AND(AK392&lt;&gt;"",LEFT(AG392,2)&lt;&gt;"Va"),IF(AND(AK391&lt;&gt;"",LEFT(AG391,2)&lt;&gt;"Va",AK391&lt;&gt;"H. Sale Real"),IF(AK392-AK391&lt;0.208333333333333,AK392-AK391,""),IF(AND(AK390&lt;&gt;"",LEFT(AG390,2)&lt;&gt;"Va",AK390&lt;&gt;"H. Sale Real"),IF(AK392-AK390&lt;0.208333333333333,AK392-AK390,""),IF(AND(AK389&lt;&gt;"",LEFT(AG389,2)&lt;&gt;"NC",AK389&lt;&gt;"H. Sale Real"),IF(AK392-AK389&lt;0.208333333333333,AK392-AK389,""),IF(AND(AK388&lt;&gt;"",LEFT(AG388,2)&lt;&gt;"Va",AK388&lt;&gt;"H. Sale Real"),IF(AK392-AK388&lt;0.208333333333333,AK392-AK388,""),IF(AND(AK387&lt;&gt;"",LEFT(AG387,2)&lt;&gt;"Va",AK387&lt;&gt;"H. Sale Real"),IF(AK392-AK387&lt;0.208333333333333,AK392-AK387,""),""))))),""),"")</f>
        <v/>
      </c>
      <c r="AY391" s="87" t="n"/>
      <c r="AZ391" s="89" t="n"/>
      <c r="BA391" s="87" t="n"/>
      <c r="BB391" s="89" t="n"/>
      <c r="BC391" s="91" t="n"/>
      <c r="BD391" s="122">
        <f>IF(AK391&lt;&gt;"",IF(AND(BD390&lt;&gt;"IE",AT391&lt;&gt;0,AV391&lt;&gt;""),IF(IFERROR((AT391/AV391),0) &lt;=1,IFERROR(AT391/AV391,""),1),""),"")</f>
        <v/>
      </c>
      <c r="BE391" s="93" t="n"/>
      <c r="BF391" s="105" t="n"/>
      <c r="FC391" t="inlineStr">
        <is>
          <t>Diccionario 1</t>
        </is>
      </c>
      <c r="FD391" s="15" t="n">
        <v>1390</v>
      </c>
      <c r="FE391" s="15" t="inlineStr">
        <is>
          <t>MDN35025010251</t>
        </is>
      </c>
      <c r="FF391" s="15" t="inlineStr">
        <is>
          <t>LDYECS314S0043844</t>
        </is>
      </c>
      <c r="FG391" s="15" t="inlineStr">
        <is>
          <t>Zhong Tong</t>
        </is>
      </c>
      <c r="FH391" s="15" t="inlineStr">
        <is>
          <t>Lck6122evg</t>
        </is>
      </c>
      <c r="FI391" s="15" t="inlineStr">
        <is>
          <t>ZHONGTONG</t>
        </is>
      </c>
      <c r="FJ391" s="15" t="inlineStr">
        <is>
          <t>LCK6122EVG</t>
        </is>
      </c>
      <c r="FK391" s="15" t="n">
        <v>2025</v>
      </c>
      <c r="FL391" s="15" t="inlineStr">
        <is>
          <t>B</t>
        </is>
      </c>
      <c r="FM391" s="15" t="inlineStr">
        <is>
          <t>SAN ALFONSO</t>
        </is>
      </c>
      <c r="FN391" s="15" t="inlineStr">
        <is>
          <t>San Alfonso 2141 (Ramón Subercaseaux 3060)</t>
        </is>
      </c>
      <c r="FO391" s="15" t="inlineStr">
        <is>
          <t>Estacion Central</t>
        </is>
      </c>
      <c r="FP391" t="inlineStr">
        <is>
          <t>B</t>
        </is>
      </c>
      <c r="FS391" s="14" t="inlineStr">
        <is>
          <t>3103 / SFWZ-78|</t>
        </is>
      </c>
      <c r="FT391" t="inlineStr">
        <is>
          <t>SFWZ-78|</t>
        </is>
      </c>
      <c r="FU391" t="inlineStr">
        <is>
          <t>SFWZ-78</t>
        </is>
      </c>
      <c r="FV391">
        <f>VLOOKUP(FU391,FD:FL,9,0)</f>
        <v/>
      </c>
      <c r="HA391" s="35" t="n">
        <v>161</v>
      </c>
      <c r="HB391" s="35" t="n">
        <v>385</v>
      </c>
    </row>
    <row r="392" ht="15.5" customHeight="1">
      <c r="A392" s="10">
        <f>HOUR(G392)+1</f>
        <v/>
      </c>
      <c r="B392" s="7" t="n"/>
      <c r="C392" s="7" t="n"/>
      <c r="D392" s="85">
        <f>IFERROR(
IF(AND(OR(Planilla!B392="C",Planilla!B392="c"), VLOOKUP(E392,FD:FP,13,0)="C"), "OK",IF(AND(OR(Planilla!B392="C",Planilla!B392="c"), OR(VLOOKUP(E392,FD:FP,13,0)="B", VLOOKUP(E392,FD:FP,13,0)="A")), "DEFICIT",IF(
AND(OR(Planilla!B392="B", Planilla!B392="BPAL"), VLOOKUP(E392,FD:FP,13,0)="B"), "OK",IF(AND(OR(Planilla!B392="B", Planilla!B392="BPAL"), VLOOKUP(E392,FD:FP,13,0)="A"), "DEFICIT",IF(AND(OR(Planilla!B392="B", Planilla!B392="BPAL"), VLOOKUP(E392,FD:FP,13,0)="C"), "SOBREOFERTA",IF(AND(Planilla!B392="A", VLOOKUP(E392,FD:FP,13,0)="A"), "OK",IF(
AND(Planilla!B392="A", OR(VLOOKUP(E392,FD:FP,13,0)="B", VLOOKUP(E392,FD:FP,13,0)="C")), "SOBREOFERTA",""
))))))),"")</f>
        <v/>
      </c>
      <c r="E392" s="8" t="n"/>
      <c r="F392" s="86" t="n"/>
      <c r="G392" s="87" t="n"/>
      <c r="H392" s="88">
        <f>IF(I392="","",IF(AND((I392-G392)&gt;=TIME(0,0,0),(I392-G392)&lt;TIME(0,3,0)),"OK",IF(AND((I392-G392)&gt;=TIME(0,3,0),(I392-G392)&lt;TIME(0,5,0)),"RETRASO DE 3-5 MIN",IF(AND((I392-G392)&gt;=TIME(0,5,0),(I392-G392)&lt;TIME(0,10,0)),"RETRASO DE 5-10 MIN",IF((I392-G392)&gt;=TIME(0,10,0),"RETRASO &gt;10 MIN", IF(AND((G392-I392)&gt;=TIME(0,0,0),(G392-I392)&lt;TIME(0,3,0)),"OK",IF((G392-I392)&gt;=TIME(0,3,0),"ADELANTADO")))))))</f>
        <v/>
      </c>
      <c r="I392" s="89" t="n"/>
      <c r="J392" s="89">
        <f>IF(A392&lt;&gt;"",HLOOKUP(VALUE(TEXT(G392,"h:mm:ss")),IF($C$6="Laboral",$FZ$4:$GX$227,IF($C$6="Sábado",$FZ$231:$GX$452,$FZ$456:$GX$656)),VLOOKUP($C$4,$HF$2:$HH$99,3,0)+IF(C$5="Ida",0,1),1),"")</f>
        <v/>
      </c>
      <c r="K392" s="89">
        <f>IF(A393&lt;&gt;A392,AVERAGEIF(A$9:A392,A392,J$9:J392),"")</f>
        <v/>
      </c>
      <c r="L392" s="89">
        <f>IFERROR(IF(A393&lt;&gt;A392,AVERAGEIF(A$9:A392,A392,S$9:S392),""),"")</f>
        <v/>
      </c>
      <c r="M392" s="89">
        <f>IFERROR(IF(A393&lt;&gt;A392,AVERAGEIF(A$9:A392,A392,T$9:T392),""),"")</f>
        <v/>
      </c>
      <c r="N392" s="89">
        <f t="array" ref="N392">IFERROR(IF(A393&lt;&gt;A392,_xlfn.STDEV.P(IF(A$9:A392=A392,T$9:T392)),""),"")</f>
        <v/>
      </c>
      <c r="O392" s="89">
        <f t="array" ref="O392">IFERROR(IF(A393&lt;&gt;A392,_xlfn.STDEV.P(IF(A$9:A392=A392,S$9:S392)),""),"")</f>
        <v/>
      </c>
      <c r="P392" s="90">
        <f>IFERROR(IF(A392&lt;&gt;A393,MAX((((M392*24*60)/2)*(1+POWER((((N392*24*60) / (M392*24*60) )),2))) + ((M392*24*60 )*-0.1 + (K392*0.015)) +1,(((M392*24*60)/2)*(1+POWER((((N392*24*60) / (M392*24*60 ))),2)))),""),"")</f>
        <v/>
      </c>
      <c r="Q392" s="90">
        <f>IF(AND(O392&lt;&gt;"",L392&lt;&gt;""),IF(A392&lt;&gt;A393,((L392*24*60) / 2 ) * (1 + POWER(((O392*24*60) / (L392*24*60)),2)),""),"")</f>
        <v/>
      </c>
      <c r="R392" s="90">
        <f>IF(Q392&lt;&gt;"",MAX(P392,Q392),"")</f>
        <v/>
      </c>
      <c r="S392" s="89">
        <f>IF(I392&lt;&gt;"H. Sale Real",IF(AND(I393&lt;&gt;"",LEFT(C393,2)&lt;&gt;"Va"),IF(AND(I392&lt;&gt;"",LEFT(C392,2)&lt;&gt;"Va",I392&lt;&gt;"H. Sale Real"),IF(I393-I392&lt;0.208333333333333,I393-I392,""),IF(AND(I391&lt;&gt;"",LEFT(C391,2)&lt;&gt;"Va",I391&lt;&gt;"H. Sale Real"),IF(I393-I391&lt;0.208333333333333,I393-I391,""),IF(AND(I390&lt;&gt;"",LEFT(C390,2)&lt;&gt;"Va",I390&lt;&gt;"H. Sale Real"),IF(I393-I390&lt;0.208333333333333,I393-I390,""),IF(AND(I389&lt;&gt;"",LEFT(C389,2)&lt;&gt;"Va",I389&lt;&gt;"H. Sale Real"),IF(I393-I389&lt;0.208333333333333,I393-I389,""),IF(AND(I388&lt;&gt;"",LEFT(C388,2)&lt;&gt;"Va",I388&lt;&gt;"H. Sale Real"),IF(I393-I388&lt;0.208333333333333,I393-I388,""),""))))),""),"")</f>
        <v/>
      </c>
      <c r="T392" s="89">
        <f>IF(G392&lt;&gt;"H. Sale Real",IF(AND(G393&lt;&gt;"",LEFT(C393,2)&lt;&gt;"Va"),IF(AND(G392&lt;&gt;"",LEFT(C392,2)&lt;&gt;"Va",G392&lt;&gt;"H. Sale Real"),IF(G393-G392&lt;0.208333333333333,G393-G392,""),IF(AND(G391&lt;&gt;"",LEFT(C391,2)&lt;&gt;"Va",G391&lt;&gt;"H. Sale Real"),IF(G393-G391&lt;0.208333333333333,G393-G391,""),IF(AND(G390&lt;&gt;"",LEFT(C390,2)&lt;&gt;"Va",G390&lt;&gt;"H. Sale Real"),IF(G393-G390&lt;0.208333333333333,G393-G390,""),IF(AND(G389&lt;&gt;"",LEFT(C389,2)&lt;&gt;"Va",G389&lt;&gt;"H. Sale Real"),IF(G393-G389&lt;0.208333333333333,G393-G389,""),IF(AND(G388&lt;&gt;"",LEFT(C388,2)&lt;&gt;"Va",G388&lt;&gt;"H. Sale Real"),IF(G393-G388&lt;0.208333333333333,G393-G388,""),""))))),""),"")</f>
        <v/>
      </c>
      <c r="U392" s="87" t="n"/>
      <c r="V392" s="89" t="n"/>
      <c r="W392" s="87" t="n"/>
      <c r="X392" s="89" t="n"/>
      <c r="Y392" s="91" t="n"/>
      <c r="Z392" s="122">
        <f>IF(G392&lt;&gt;"",IF(AND(Z391&lt;&gt;"IE",P392&lt;&gt;0,R392&lt;&gt;""),IF(IFERROR((P392/R392),0) &lt;=1,IFERROR(P392/R392,""),1),""),"")</f>
        <v/>
      </c>
      <c r="AA392" s="93" t="n"/>
      <c r="AB392" s="2" t="n"/>
      <c r="AE392" s="10">
        <f>HOUR(AK392)+1</f>
        <v/>
      </c>
      <c r="AF392" s="7" t="n"/>
      <c r="AG392" s="7" t="n"/>
      <c r="AH392" s="86" t="n"/>
      <c r="AI392" s="8" t="n"/>
      <c r="AJ392" s="86" t="n"/>
      <c r="AK392" s="87" t="n"/>
      <c r="AL392" s="88">
        <f>IF(AM392="","",IF(AND((AM392-AK392)&gt;=TIME(0,0,0),(AM392-AK392)&lt;TIME(0,3,0)),"OK",IF(AND((AM392-AK392)&gt;=TIME(0,3,0),(AM392-AK392)&lt;TIME(0,5,0)),"RETRASO DE 3-5 MIN",IF(AND((AM392-AK392)&gt;=TIME(0,5,0),(AM392-AK392)&lt;TIME(0,10,0)),"RETRASO DE 5-10 MIN",IF((AM392-AK392)&gt;=TIME(0,10,0),"RETRASO &gt;10 MIN", IF(AND((AK392-AM392)&gt;=TIME(0,0,0),(AK392-AM392)&lt;TIME(0,3,0)),"OK",IF((AK392-AM392)&gt;=TIME(0,3,0),"ADELANTADO")))))))</f>
        <v/>
      </c>
      <c r="AM392" s="91" t="n"/>
      <c r="AN392" s="89">
        <f>IF(AE392&lt;&gt;"",HLOOKUP(VALUE(TEXT(AK392,"h:mm:ss")),IF($C$6="Laboral",$FZ$4:$GX$227,IF($C$6="Sábado",$FZ$231:$GX$452,$FZ$456:$GX$656)),VLOOKUP($C$4,$HF$2:$HH$99,3,0)+IF(AG$5="Ida",0,1),1),"")</f>
        <v/>
      </c>
      <c r="AO392" s="89">
        <f>IF(AE393&lt;&gt;AE392,AVERAGEIF(AE$9:AE392,AE392,AN$9:AN392),"")</f>
        <v/>
      </c>
      <c r="AP392" s="89">
        <f>IFERROR(IF(AE393&lt;&gt;AE392,AVERAGEIF(AE$9:AE392,AE392,AW$9:AW392),""),"")</f>
        <v/>
      </c>
      <c r="AQ392" s="89">
        <f>IFERROR(IF(AE393&lt;&gt;AE392,AVERAGEIF(AE$9:AE392,AE392,AX$9:AX392),""),"")</f>
        <v/>
      </c>
      <c r="AR392" s="89">
        <f t="array" ref="AR392">IFERROR(IF(AE393&lt;&gt;AE392,_xlfn.STDEV.P(IF(AE$9:AE392=AE392,AX$9:AX392)),""),"")</f>
        <v/>
      </c>
      <c r="AS392" s="89">
        <f t="array" ref="AS392">IFERROR(IF(AE393&lt;&gt;AE392,_xlfn.STDEV.P(IF(AE$9:AE392=AE392,AW$9:AW392)),""),"")</f>
        <v/>
      </c>
      <c r="AT392" s="90">
        <f>IFERROR(IF(AE392&lt;&gt;AE393,MAX((((AQ392*24*60)/2)*(1+POWER((((AR392*24*60) / (AQ392*24*60) )),2))) + ((AQ392*24*60 )*-0.1 + (AO392*0.015)) +1,(((AQ392*24*60)/2)*(1+POWER((((AR392*24*60) / (AQ392*24*60 ))),2)))),""),"")</f>
        <v/>
      </c>
      <c r="AU392" s="90">
        <f>IF(AND(AS392&lt;&gt;"",AP392&lt;&gt;""),IF(AE392&lt;&gt;AE393,((AP392*24*60) / 2 ) * (1 + POWER(((AS392*24*60) / (AP392*24*60)),2)),""),"")</f>
        <v/>
      </c>
      <c r="AV392" s="90">
        <f>IF(AU392&lt;&gt;"",MAX(AT392,AU392),"")</f>
        <v/>
      </c>
      <c r="AW392" s="89">
        <f>IF(AM392&lt;&gt;"H. Sale Real",IF(AND(AM393&lt;&gt;"",LEFT(AG393,2)&lt;&gt;"Va"),IF(AND(AM392&lt;&gt;"",LEFT(AG392,2)&lt;&gt;"Va",AM392&lt;&gt;"H. Sale Real"),IF(AM393-AM392&lt;0.208333333333333,AM393-AM392,""),IF(AND(AM391&lt;&gt;"",LEFT(AG391,2)&lt;&gt;"Va",AM391&lt;&gt;"H. Sale Real"),IF(AM393-AM391&lt;0.208333333333333,AM393-AM391,""),IF(AND(AM390&lt;&gt;"",LEFT(AG390,2)&lt;&gt;"Va",AM390&lt;&gt;"H. Sale Real"),IF(AM393-AM390&lt;0.208333333333333,AM393-AM390,""),IF(AND(AM389&lt;&gt;"",LEFT(AG389,2)&lt;&gt;"Va",AM389&lt;&gt;"H. Sale Real"),IF(AM393-AM389&lt;0.208333333333333,AM393-AM389,""),IF(AND(AM388&lt;&gt;"",LEFT(AG388,2)&lt;&gt;"Va",AM388&lt;&gt;"H. Sale Real"),IF(AM393-AM388&lt;0.208333333333333,AM393-AM388,""),""))))),""),"")</f>
        <v/>
      </c>
      <c r="AX392" s="89">
        <f>IF(AK392&lt;&gt;"H. Sale Real",IF(AND(AK393&lt;&gt;"",LEFT(AG393,2)&lt;&gt;"Va"),IF(AND(AK392&lt;&gt;"",LEFT(AG392,2)&lt;&gt;"Va",AK392&lt;&gt;"H. Sale Real"),IF(AK393-AK392&lt;0.208333333333333,AK393-AK392,""),IF(AND(AK391&lt;&gt;"",LEFT(AG391,2)&lt;&gt;"Va",AK391&lt;&gt;"H. Sale Real"),IF(AK393-AK391&lt;0.208333333333333,AK393-AK391,""),IF(AND(AK390&lt;&gt;"",LEFT(AG390,2)&lt;&gt;"NC",AK390&lt;&gt;"H. Sale Real"),IF(AK393-AK390&lt;0.208333333333333,AK393-AK390,""),IF(AND(AK389&lt;&gt;"",LEFT(AG389,2)&lt;&gt;"Va",AK389&lt;&gt;"H. Sale Real"),IF(AK393-AK389&lt;0.208333333333333,AK393-AK389,""),IF(AND(AK388&lt;&gt;"",LEFT(AG388,2)&lt;&gt;"Va",AK388&lt;&gt;"H. Sale Real"),IF(AK393-AK388&lt;0.208333333333333,AK393-AK388,""),""))))),""),"")</f>
        <v/>
      </c>
      <c r="AY392" s="87" t="n"/>
      <c r="AZ392" s="89" t="n"/>
      <c r="BA392" s="87" t="n"/>
      <c r="BB392" s="89" t="n"/>
      <c r="BC392" s="91" t="n"/>
      <c r="BD392" s="122">
        <f>IF(AK392&lt;&gt;"",IF(AND(BD391&lt;&gt;"IE",AT392&lt;&gt;0,AV392&lt;&gt;""),IF(IFERROR((AT392/AV392),0) &lt;=1,IFERROR(AT392/AV392,""),1),""),"")</f>
        <v/>
      </c>
      <c r="BE392" s="93" t="n"/>
      <c r="BF392" s="105" t="n"/>
      <c r="FC392" t="inlineStr">
        <is>
          <t>Diccionario 1</t>
        </is>
      </c>
      <c r="FD392" s="15" t="n">
        <v>1391</v>
      </c>
      <c r="FE392" s="15" t="inlineStr">
        <is>
          <t>MDN35025010092</t>
        </is>
      </c>
      <c r="FF392" s="15" t="inlineStr">
        <is>
          <t>LDYECS316S0043828</t>
        </is>
      </c>
      <c r="FG392" s="15" t="inlineStr">
        <is>
          <t>Zhong Tong</t>
        </is>
      </c>
      <c r="FH392" s="15" t="inlineStr">
        <is>
          <t>Lck6122evg</t>
        </is>
      </c>
      <c r="FI392" s="15" t="inlineStr">
        <is>
          <t>ZHONGTONG</t>
        </is>
      </c>
      <c r="FJ392" s="15" t="inlineStr">
        <is>
          <t>LCK6122EVG</t>
        </is>
      </c>
      <c r="FK392" s="15" t="n">
        <v>2025</v>
      </c>
      <c r="FL392" s="15" t="inlineStr">
        <is>
          <t>B</t>
        </is>
      </c>
      <c r="FM392" s="15" t="inlineStr">
        <is>
          <t>SAN ALFONSO</t>
        </is>
      </c>
      <c r="FN392" s="15" t="inlineStr">
        <is>
          <t>San Alfonso 2141 (Ramón Subercaseaux 3060)</t>
        </is>
      </c>
      <c r="FO392" s="15" t="inlineStr">
        <is>
          <t>Estacion Central</t>
        </is>
      </c>
      <c r="FP392" t="inlineStr">
        <is>
          <t>B</t>
        </is>
      </c>
      <c r="FS392" s="14" t="inlineStr">
        <is>
          <t>3103 / SFWZ-78|</t>
        </is>
      </c>
      <c r="FT392" t="inlineStr">
        <is>
          <t>SFWZ-78|</t>
        </is>
      </c>
      <c r="FU392" t="inlineStr">
        <is>
          <t>SFWZ-78</t>
        </is>
      </c>
      <c r="FV392">
        <f>VLOOKUP(FU392,FD:FL,9,0)</f>
        <v/>
      </c>
      <c r="HA392" s="35" t="n">
        <v>162</v>
      </c>
      <c r="HB392" s="35" t="n">
        <v>386</v>
      </c>
    </row>
    <row r="393" ht="15.5" customHeight="1">
      <c r="A393" s="10">
        <f>HOUR(G393)+1</f>
        <v/>
      </c>
      <c r="B393" s="7" t="n"/>
      <c r="C393" s="7" t="n"/>
      <c r="D393" s="85">
        <f>IFERROR(
IF(AND(OR(Planilla!B393="C",Planilla!B393="c"), VLOOKUP(E393,FD:FP,13,0)="C"), "OK",IF(AND(OR(Planilla!B393="C",Planilla!B393="c"), OR(VLOOKUP(E393,FD:FP,13,0)="B", VLOOKUP(E393,FD:FP,13,0)="A")), "DEFICIT",IF(
AND(OR(Planilla!B393="B", Planilla!B393="BPAL"), VLOOKUP(E393,FD:FP,13,0)="B"), "OK",IF(AND(OR(Planilla!B393="B", Planilla!B393="BPAL"), VLOOKUP(E393,FD:FP,13,0)="A"), "DEFICIT",IF(AND(OR(Planilla!B393="B", Planilla!B393="BPAL"), VLOOKUP(E393,FD:FP,13,0)="C"), "SOBREOFERTA",IF(AND(Planilla!B393="A", VLOOKUP(E393,FD:FP,13,0)="A"), "OK",IF(
AND(Planilla!B393="A", OR(VLOOKUP(E393,FD:FP,13,0)="B", VLOOKUP(E393,FD:FP,13,0)="C")), "SOBREOFERTA",""
))))))),"")</f>
        <v/>
      </c>
      <c r="E393" s="8" t="n"/>
      <c r="F393" s="86" t="n"/>
      <c r="G393" s="87" t="n"/>
      <c r="H393" s="88">
        <f>IF(I393="","",IF(AND((I393-G393)&gt;=TIME(0,0,0),(I393-G393)&lt;TIME(0,3,0)),"OK",IF(AND((I393-G393)&gt;=TIME(0,3,0),(I393-G393)&lt;TIME(0,5,0)),"RETRASO DE 3-5 MIN",IF(AND((I393-G393)&gt;=TIME(0,5,0),(I393-G393)&lt;TIME(0,10,0)),"RETRASO DE 5-10 MIN",IF((I393-G393)&gt;=TIME(0,10,0),"RETRASO &gt;10 MIN", IF(AND((G393-I393)&gt;=TIME(0,0,0),(G393-I393)&lt;TIME(0,3,0)),"OK",IF((G393-I393)&gt;=TIME(0,3,0),"ADELANTADO")))))))</f>
        <v/>
      </c>
      <c r="I393" s="89" t="n"/>
      <c r="J393" s="89">
        <f>IF(A393&lt;&gt;"",HLOOKUP(VALUE(TEXT(G393,"h:mm:ss")),IF($C$6="Laboral",$FZ$4:$GX$227,IF($C$6="Sábado",$FZ$231:$GX$452,$FZ$456:$GX$656)),VLOOKUP($C$4,$HF$2:$HH$99,3,0)+IF(C$5="Ida",0,1),1),"")</f>
        <v/>
      </c>
      <c r="K393" s="89">
        <f>IF(A394&lt;&gt;A393,AVERAGEIF(A$9:A393,A393,J$9:J393),"")</f>
        <v/>
      </c>
      <c r="L393" s="89">
        <f>IFERROR(IF(A394&lt;&gt;A393,AVERAGEIF(A$9:A393,A393,S$9:S393),""),"")</f>
        <v/>
      </c>
      <c r="M393" s="89">
        <f>IFERROR(IF(A394&lt;&gt;A393,AVERAGEIF(A$9:A393,A393,T$9:T393),""),"")</f>
        <v/>
      </c>
      <c r="N393" s="89">
        <f t="array" ref="N393">IFERROR(IF(A394&lt;&gt;A393,_xlfn.STDEV.P(IF(A$9:A393=A393,T$9:T393)),""),"")</f>
        <v/>
      </c>
      <c r="O393" s="89">
        <f t="array" ref="O393">IFERROR(IF(A394&lt;&gt;A393,_xlfn.STDEV.P(IF(A$9:A393=A393,S$9:S393)),""),"")</f>
        <v/>
      </c>
      <c r="P393" s="90">
        <f>IFERROR(IF(A393&lt;&gt;A394,MAX((((M393*24*60)/2)*(1+POWER((((N393*24*60) / (M393*24*60) )),2))) + ((M393*24*60 )*-0.1 + (K393*0.015)) +1,(((M393*24*60)/2)*(1+POWER((((N393*24*60) / (M393*24*60 ))),2)))),""),"")</f>
        <v/>
      </c>
      <c r="Q393" s="90">
        <f>IF(AND(O393&lt;&gt;"",L393&lt;&gt;""),IF(A393&lt;&gt;A394,((L393*24*60) / 2 ) * (1 + POWER(((O393*24*60) / (L393*24*60)),2)),""),"")</f>
        <v/>
      </c>
      <c r="R393" s="90">
        <f>IF(Q393&lt;&gt;"",MAX(P393,Q393),"")</f>
        <v/>
      </c>
      <c r="S393" s="89">
        <f>IF(I393&lt;&gt;"H. Sale Real",IF(AND(I394&lt;&gt;"",LEFT(C394,2)&lt;&gt;"Va"),IF(AND(I393&lt;&gt;"",LEFT(C393,2)&lt;&gt;"Va",I393&lt;&gt;"H. Sale Real"),IF(I394-I393&lt;0.208333333333333,I394-I393,""),IF(AND(I392&lt;&gt;"",LEFT(C392,2)&lt;&gt;"Va",I392&lt;&gt;"H. Sale Real"),IF(I394-I392&lt;0.208333333333333,I394-I392,""),IF(AND(I391&lt;&gt;"",LEFT(C391,2)&lt;&gt;"Va",I391&lt;&gt;"H. Sale Real"),IF(I394-I391&lt;0.208333333333333,I394-I391,""),IF(AND(I390&lt;&gt;"",LEFT(C390,2)&lt;&gt;"Va",I390&lt;&gt;"H. Sale Real"),IF(I394-I390&lt;0.208333333333333,I394-I390,""),IF(AND(I389&lt;&gt;"",LEFT(C389,2)&lt;&gt;"Va",I389&lt;&gt;"H. Sale Real"),IF(I394-I389&lt;0.208333333333333,I394-I389,""),""))))),""),"")</f>
        <v/>
      </c>
      <c r="T393" s="89">
        <f>IF(G393&lt;&gt;"H. Sale Real",IF(AND(G394&lt;&gt;"",LEFT(C394,2)&lt;&gt;"Va"),IF(AND(G393&lt;&gt;"",LEFT(C393,2)&lt;&gt;"Va",G393&lt;&gt;"H. Sale Real"),IF(G394-G393&lt;0.208333333333333,G394-G393,""),IF(AND(G392&lt;&gt;"",LEFT(C392,2)&lt;&gt;"Va",G392&lt;&gt;"H. Sale Real"),IF(G394-G392&lt;0.208333333333333,G394-G392,""),IF(AND(G391&lt;&gt;"",LEFT(C391,2)&lt;&gt;"Va",G391&lt;&gt;"H. Sale Real"),IF(G394-G391&lt;0.208333333333333,G394-G391,""),IF(AND(G390&lt;&gt;"",LEFT(C390,2)&lt;&gt;"Va",G390&lt;&gt;"H. Sale Real"),IF(G394-G390&lt;0.208333333333333,G394-G390,""),IF(AND(G389&lt;&gt;"",LEFT(C389,2)&lt;&gt;"Va",G389&lt;&gt;"H. Sale Real"),IF(G394-G389&lt;0.208333333333333,G394-G389,""),""))))),""),"")</f>
        <v/>
      </c>
      <c r="U393" s="87" t="n"/>
      <c r="V393" s="89" t="n"/>
      <c r="W393" s="87" t="n"/>
      <c r="X393" s="89" t="n"/>
      <c r="Y393" s="91" t="n"/>
      <c r="Z393" s="122">
        <f>IF(G393&lt;&gt;"",IF(AND(Z392&lt;&gt;"IE",P393&lt;&gt;0,R393&lt;&gt;""),IF(IFERROR((P393/R393),0) &lt;=1,IFERROR(P393/R393,""),1),""),"")</f>
        <v/>
      </c>
      <c r="AA393" s="93" t="n"/>
      <c r="AB393" s="2" t="n"/>
      <c r="AE393" s="10">
        <f>HOUR(AK393)+1</f>
        <v/>
      </c>
      <c r="AF393" s="7" t="n"/>
      <c r="AG393" s="7" t="n"/>
      <c r="AH393" s="86" t="n"/>
      <c r="AI393" s="8" t="n"/>
      <c r="AJ393" s="86" t="n"/>
      <c r="AK393" s="87" t="n"/>
      <c r="AL393" s="88">
        <f>IF(AM393="","",IF(AND((AM393-AK393)&gt;=TIME(0,0,0),(AM393-AK393)&lt;TIME(0,3,0)),"OK",IF(AND((AM393-AK393)&gt;=TIME(0,3,0),(AM393-AK393)&lt;TIME(0,5,0)),"RETRASO DE 3-5 MIN",IF(AND((AM393-AK393)&gt;=TIME(0,5,0),(AM393-AK393)&lt;TIME(0,10,0)),"RETRASO DE 5-10 MIN",IF((AM393-AK393)&gt;=TIME(0,10,0),"RETRASO &gt;10 MIN", IF(AND((AK393-AM393)&gt;=TIME(0,0,0),(AK393-AM393)&lt;TIME(0,3,0)),"OK",IF((AK393-AM393)&gt;=TIME(0,3,0),"ADELANTADO")))))))</f>
        <v/>
      </c>
      <c r="AM393" s="91" t="n"/>
      <c r="AN393" s="89">
        <f>IF(AE393&lt;&gt;"",HLOOKUP(VALUE(TEXT(AK393,"h:mm:ss")),IF($C$6="Laboral",$FZ$4:$GX$227,IF($C$6="Sábado",$FZ$231:$GX$452,$FZ$456:$GX$656)),VLOOKUP($C$4,$HF$2:$HH$99,3,0)+IF(AG$5="Ida",0,1),1),"")</f>
        <v/>
      </c>
      <c r="AO393" s="89">
        <f>IF(AE394&lt;&gt;AE393,AVERAGEIF(AE$9:AE393,AE393,AN$9:AN393),"")</f>
        <v/>
      </c>
      <c r="AP393" s="89">
        <f>IFERROR(IF(AE394&lt;&gt;AE393,AVERAGEIF(AE$9:AE393,AE393,AW$9:AW393),""),"")</f>
        <v/>
      </c>
      <c r="AQ393" s="89">
        <f>IFERROR(IF(AE394&lt;&gt;AE393,AVERAGEIF(AE$9:AE393,AE393,AX$9:AX393),""),"")</f>
        <v/>
      </c>
      <c r="AR393" s="89">
        <f t="array" ref="AR393">IFERROR(IF(AE394&lt;&gt;AE393,_xlfn.STDEV.P(IF(AE$9:AE393=AE393,AX$9:AX393)),""),"")</f>
        <v/>
      </c>
      <c r="AS393" s="89">
        <f t="array" ref="AS393">IFERROR(IF(AE394&lt;&gt;AE393,_xlfn.STDEV.P(IF(AE$9:AE393=AE393,AW$9:AW393)),""),"")</f>
        <v/>
      </c>
      <c r="AT393" s="90">
        <f>IFERROR(IF(AE393&lt;&gt;AE394,MAX((((AQ393*24*60)/2)*(1+POWER((((AR393*24*60) / (AQ393*24*60) )),2))) + ((AQ393*24*60 )*-0.1 + (AO393*0.015)) +1,(((AQ393*24*60)/2)*(1+POWER((((AR393*24*60) / (AQ393*24*60 ))),2)))),""),"")</f>
        <v/>
      </c>
      <c r="AU393" s="90">
        <f>IF(AND(AS393&lt;&gt;"",AP393&lt;&gt;""),IF(AE393&lt;&gt;AE394,((AP393*24*60) / 2 ) * (1 + POWER(((AS393*24*60) / (AP393*24*60)),2)),""),"")</f>
        <v/>
      </c>
      <c r="AV393" s="90">
        <f>IF(AU393&lt;&gt;"",MAX(AT393,AU393),"")</f>
        <v/>
      </c>
      <c r="AW393" s="89">
        <f>IF(AM393&lt;&gt;"H. Sale Real",IF(AND(AM394&lt;&gt;"",LEFT(AG394,2)&lt;&gt;"Va"),IF(AND(AM393&lt;&gt;"",LEFT(AG393,2)&lt;&gt;"Va",AM393&lt;&gt;"H. Sale Real"),IF(AM394-AM393&lt;0.208333333333333,AM394-AM393,""),IF(AND(AM392&lt;&gt;"",LEFT(AG392,2)&lt;&gt;"Va",AM392&lt;&gt;"H. Sale Real"),IF(AM394-AM392&lt;0.208333333333333,AM394-AM392,""),IF(AND(AM391&lt;&gt;"",LEFT(AG391,2)&lt;&gt;"Va",AM391&lt;&gt;"H. Sale Real"),IF(AM394-AM391&lt;0.208333333333333,AM394-AM391,""),IF(AND(AM390&lt;&gt;"",LEFT(AG390,2)&lt;&gt;"Va",AM390&lt;&gt;"H. Sale Real"),IF(AM394-AM390&lt;0.208333333333333,AM394-AM390,""),IF(AND(AM389&lt;&gt;"",LEFT(AG389,2)&lt;&gt;"Va",AM389&lt;&gt;"H. Sale Real"),IF(AM394-AM389&lt;0.208333333333333,AM394-AM389,""),""))))),""),"")</f>
        <v/>
      </c>
      <c r="AX393" s="89">
        <f>IF(AK393&lt;&gt;"H. Sale Real",IF(AND(AK394&lt;&gt;"",LEFT(AG394,2)&lt;&gt;"Va"),IF(AND(AK393&lt;&gt;"",LEFT(AG393,2)&lt;&gt;"Va",AK393&lt;&gt;"H. Sale Real"),IF(AK394-AK393&lt;0.208333333333333,AK394-AK393,""),IF(AND(AK392&lt;&gt;"",LEFT(AG392,2)&lt;&gt;"Va",AK392&lt;&gt;"H. Sale Real"),IF(AK394-AK392&lt;0.208333333333333,AK394-AK392,""),IF(AND(AK391&lt;&gt;"",LEFT(AG391,2)&lt;&gt;"NC",AK391&lt;&gt;"H. Sale Real"),IF(AK394-AK391&lt;0.208333333333333,AK394-AK391,""),IF(AND(AK390&lt;&gt;"",LEFT(AG390,2)&lt;&gt;"Va",AK390&lt;&gt;"H. Sale Real"),IF(AK394-AK390&lt;0.208333333333333,AK394-AK390,""),IF(AND(AK389&lt;&gt;"",LEFT(AG389,2)&lt;&gt;"Va",AK389&lt;&gt;"H. Sale Real"),IF(AK394-AK389&lt;0.208333333333333,AK394-AK389,""),""))))),""),"")</f>
        <v/>
      </c>
      <c r="AY393" s="87" t="n"/>
      <c r="AZ393" s="89" t="n"/>
      <c r="BA393" s="87" t="n"/>
      <c r="BB393" s="89" t="n"/>
      <c r="BC393" s="91" t="n"/>
      <c r="BD393" s="122">
        <f>IF(AK393&lt;&gt;"",IF(AND(BD392&lt;&gt;"IE",AT393&lt;&gt;0,AV393&lt;&gt;""),IF(IFERROR((AT393/AV393),0) &lt;=1,IFERROR(AT393/AV393,""),1),""),"")</f>
        <v/>
      </c>
      <c r="BE393" s="93" t="n"/>
      <c r="BF393" s="105" t="n"/>
      <c r="FC393" t="inlineStr">
        <is>
          <t>Diccionario 1</t>
        </is>
      </c>
      <c r="FD393" s="15" t="n">
        <v>1392</v>
      </c>
      <c r="FE393" s="15" t="inlineStr">
        <is>
          <t>MDN35025010241</t>
        </is>
      </c>
      <c r="FF393" s="15" t="inlineStr">
        <is>
          <t>LDYECS312S0043843</t>
        </is>
      </c>
      <c r="FG393" s="15" t="inlineStr">
        <is>
          <t>Zhong Tong</t>
        </is>
      </c>
      <c r="FH393" s="15" t="inlineStr">
        <is>
          <t>Lck6122evg</t>
        </is>
      </c>
      <c r="FI393" s="15" t="inlineStr">
        <is>
          <t>ZHONGTONG</t>
        </is>
      </c>
      <c r="FJ393" s="15" t="inlineStr">
        <is>
          <t>LCK6122EVG</t>
        </is>
      </c>
      <c r="FK393" s="15" t="n">
        <v>2025</v>
      </c>
      <c r="FL393" s="15" t="inlineStr">
        <is>
          <t>B</t>
        </is>
      </c>
      <c r="FM393" s="15" t="inlineStr">
        <is>
          <t>PIE ANDINO</t>
        </is>
      </c>
      <c r="FN393" s="15" t="inlineStr">
        <is>
          <t>Pie Andino 31 (Pie Andino 383)</t>
        </is>
      </c>
      <c r="FO393" s="15" t="inlineStr">
        <is>
          <t>Puente Alto</t>
        </is>
      </c>
      <c r="FP393" t="inlineStr">
        <is>
          <t>B</t>
        </is>
      </c>
      <c r="FS393" s="14" t="inlineStr">
        <is>
          <t>3103 / SFWZ-78|</t>
        </is>
      </c>
      <c r="FT393" t="inlineStr">
        <is>
          <t>SFWZ-78|</t>
        </is>
      </c>
      <c r="FU393" t="inlineStr">
        <is>
          <t>SFWZ-78</t>
        </is>
      </c>
      <c r="FV393">
        <f>VLOOKUP(FU393,FD:FL,9,0)</f>
        <v/>
      </c>
      <c r="HA393" s="35" t="n">
        <v>163</v>
      </c>
      <c r="HB393" s="35" t="n">
        <v>387</v>
      </c>
    </row>
    <row r="394" ht="15.5" customHeight="1">
      <c r="A394" s="10">
        <f>HOUR(G394)+1</f>
        <v/>
      </c>
      <c r="B394" s="7" t="n"/>
      <c r="C394" s="7" t="n"/>
      <c r="D394" s="85">
        <f>IFERROR(
IF(AND(OR(Planilla!B394="C",Planilla!B394="c"), VLOOKUP(E394,FD:FP,13,0)="C"), "OK",IF(AND(OR(Planilla!B394="C",Planilla!B394="c"), OR(VLOOKUP(E394,FD:FP,13,0)="B", VLOOKUP(E394,FD:FP,13,0)="A")), "DEFICIT",IF(
AND(OR(Planilla!B394="B", Planilla!B394="BPAL"), VLOOKUP(E394,FD:FP,13,0)="B"), "OK",IF(AND(OR(Planilla!B394="B", Planilla!B394="BPAL"), VLOOKUP(E394,FD:FP,13,0)="A"), "DEFICIT",IF(AND(OR(Planilla!B394="B", Planilla!B394="BPAL"), VLOOKUP(E394,FD:FP,13,0)="C"), "SOBREOFERTA",IF(AND(Planilla!B394="A", VLOOKUP(E394,FD:FP,13,0)="A"), "OK",IF(
AND(Planilla!B394="A", OR(VLOOKUP(E394,FD:FP,13,0)="B", VLOOKUP(E394,FD:FP,13,0)="C")), "SOBREOFERTA",""
))))))),"")</f>
        <v/>
      </c>
      <c r="E394" s="8" t="n"/>
      <c r="F394" s="86" t="n"/>
      <c r="G394" s="87" t="n"/>
      <c r="H394" s="88">
        <f>IF(I394="","",IF(AND((I394-G394)&gt;=TIME(0,0,0),(I394-G394)&lt;TIME(0,3,0)),"OK",IF(AND((I394-G394)&gt;=TIME(0,3,0),(I394-G394)&lt;TIME(0,5,0)),"RETRASO DE 3-5 MIN",IF(AND((I394-G394)&gt;=TIME(0,5,0),(I394-G394)&lt;TIME(0,10,0)),"RETRASO DE 5-10 MIN",IF((I394-G394)&gt;=TIME(0,10,0),"RETRASO &gt;10 MIN", IF(AND((G394-I394)&gt;=TIME(0,0,0),(G394-I394)&lt;TIME(0,3,0)),"OK",IF((G394-I394)&gt;=TIME(0,3,0),"ADELANTADO")))))))</f>
        <v/>
      </c>
      <c r="I394" s="89" t="n"/>
      <c r="J394" s="89">
        <f>IF(A394&lt;&gt;"",HLOOKUP(VALUE(TEXT(G394,"h:mm:ss")),IF($C$6="Laboral",$FZ$4:$GX$227,IF($C$6="Sábado",$FZ$231:$GX$452,$FZ$456:$GX$656)),VLOOKUP($C$4,$HF$2:$HH$99,3,0)+IF(C$5="Ida",0,1),1),"")</f>
        <v/>
      </c>
      <c r="K394" s="89">
        <f>IF(A395&lt;&gt;A394,AVERAGEIF(A$9:A394,A394,J$9:J394),"")</f>
        <v/>
      </c>
      <c r="L394" s="89">
        <f>IFERROR(IF(A395&lt;&gt;A394,AVERAGEIF(A$9:A394,A394,S$9:S394),""),"")</f>
        <v/>
      </c>
      <c r="M394" s="89">
        <f>IFERROR(IF(A395&lt;&gt;A394,AVERAGEIF(A$9:A394,A394,T$9:T394),""),"")</f>
        <v/>
      </c>
      <c r="N394" s="89">
        <f t="array" ref="N394">IFERROR(IF(A395&lt;&gt;A394,_xlfn.STDEV.P(IF(A$9:A394=A394,T$9:T394)),""),"")</f>
        <v/>
      </c>
      <c r="O394" s="89">
        <f t="array" ref="O394">IFERROR(IF(A395&lt;&gt;A394,_xlfn.STDEV.P(IF(A$9:A394=A394,S$9:S394)),""),"")</f>
        <v/>
      </c>
      <c r="P394" s="90">
        <f>IFERROR(IF(A394&lt;&gt;A395,MAX((((M394*24*60)/2)*(1+POWER((((N394*24*60) / (M394*24*60) )),2))) + ((M394*24*60 )*-0.1 + (K394*0.015)) +1,(((M394*24*60)/2)*(1+POWER((((N394*24*60) / (M394*24*60 ))),2)))),""),"")</f>
        <v/>
      </c>
      <c r="Q394" s="90">
        <f>IF(AND(O394&lt;&gt;"",L394&lt;&gt;""),IF(A394&lt;&gt;A395,((L394*24*60) / 2 ) * (1 + POWER(((O394*24*60) / (L394*24*60)),2)),""),"")</f>
        <v/>
      </c>
      <c r="R394" s="90">
        <f>IF(Q394&lt;&gt;"",MAX(P394,Q394),"")</f>
        <v/>
      </c>
      <c r="S394" s="89">
        <f>IF(I394&lt;&gt;"H. Sale Real",IF(AND(I395&lt;&gt;"",LEFT(C395,2)&lt;&gt;"Va"),IF(AND(I394&lt;&gt;"",LEFT(C394,2)&lt;&gt;"Va",I394&lt;&gt;"H. Sale Real"),IF(I395-I394&lt;0.208333333333333,I395-I394,""),IF(AND(I393&lt;&gt;"",LEFT(C393,2)&lt;&gt;"Va",I393&lt;&gt;"H. Sale Real"),IF(I395-I393&lt;0.208333333333333,I395-I393,""),IF(AND(I392&lt;&gt;"",LEFT(C392,2)&lt;&gt;"Va",I392&lt;&gt;"H. Sale Real"),IF(I395-I392&lt;0.208333333333333,I395-I392,""),IF(AND(I391&lt;&gt;"",LEFT(C391,2)&lt;&gt;"Va",I391&lt;&gt;"H. Sale Real"),IF(I395-I391&lt;0.208333333333333,I395-I391,""),IF(AND(I390&lt;&gt;"",LEFT(C390,2)&lt;&gt;"Va",I390&lt;&gt;"H. Sale Real"),IF(I395-I390&lt;0.208333333333333,I395-I390,""),""))))),""),"")</f>
        <v/>
      </c>
      <c r="T394" s="89">
        <f>IF(G394&lt;&gt;"H. Sale Real",IF(AND(G395&lt;&gt;"",LEFT(C395,2)&lt;&gt;"Va"),IF(AND(G394&lt;&gt;"",LEFT(C394,2)&lt;&gt;"Va",G394&lt;&gt;"H. Sale Real"),IF(G395-G394&lt;0.208333333333333,G395-G394,""),IF(AND(G393&lt;&gt;"",LEFT(C393,2)&lt;&gt;"Va",G393&lt;&gt;"H. Sale Real"),IF(G395-G393&lt;0.208333333333333,G395-G393,""),IF(AND(G392&lt;&gt;"",LEFT(C392,2)&lt;&gt;"Va",G392&lt;&gt;"H. Sale Real"),IF(G395-G392&lt;0.208333333333333,G395-G392,""),IF(AND(G391&lt;&gt;"",LEFT(C391,2)&lt;&gt;"Va",G391&lt;&gt;"H. Sale Real"),IF(G395-G391&lt;0.208333333333333,G395-G391,""),IF(AND(G390&lt;&gt;"",LEFT(C390,2)&lt;&gt;"Va",G390&lt;&gt;"H. Sale Real"),IF(G395-G390&lt;0.208333333333333,G395-G390,""),""))))),""),"")</f>
        <v/>
      </c>
      <c r="U394" s="87" t="n"/>
      <c r="V394" s="89" t="n"/>
      <c r="W394" s="87" t="n"/>
      <c r="X394" s="89" t="n"/>
      <c r="Y394" s="91" t="n"/>
      <c r="Z394" s="122">
        <f>IF(G394&lt;&gt;"",IF(AND(Z393&lt;&gt;"IE",P394&lt;&gt;0,R394&lt;&gt;""),IF(IFERROR((P394/R394),0) &lt;=1,IFERROR(P394/R394,""),1),""),"")</f>
        <v/>
      </c>
      <c r="AA394" s="93" t="n"/>
      <c r="AB394" s="2" t="n"/>
      <c r="AE394" s="10">
        <f>HOUR(AK394)+1</f>
        <v/>
      </c>
      <c r="AF394" s="7" t="n"/>
      <c r="AG394" s="7" t="n"/>
      <c r="AH394" s="86" t="n"/>
      <c r="AI394" s="8" t="n"/>
      <c r="AJ394" s="86" t="n"/>
      <c r="AK394" s="87" t="n"/>
      <c r="AL394" s="88">
        <f>IF(AM394="","",IF(AND((AM394-AK394)&gt;=TIME(0,0,0),(AM394-AK394)&lt;TIME(0,3,0)),"OK",IF(AND((AM394-AK394)&gt;=TIME(0,3,0),(AM394-AK394)&lt;TIME(0,5,0)),"RETRASO DE 3-5 MIN",IF(AND((AM394-AK394)&gt;=TIME(0,5,0),(AM394-AK394)&lt;TIME(0,10,0)),"RETRASO DE 5-10 MIN",IF((AM394-AK394)&gt;=TIME(0,10,0),"RETRASO &gt;10 MIN", IF(AND((AK394-AM394)&gt;=TIME(0,0,0),(AK394-AM394)&lt;TIME(0,3,0)),"OK",IF((AK394-AM394)&gt;=TIME(0,3,0),"ADELANTADO")))))))</f>
        <v/>
      </c>
      <c r="AM394" s="91" t="n"/>
      <c r="AN394" s="89">
        <f>IF(AE394&lt;&gt;"",HLOOKUP(VALUE(TEXT(AK394,"h:mm:ss")),IF($C$6="Laboral",$FZ$4:$GX$227,IF($C$6="Sábado",$FZ$231:$GX$452,$FZ$456:$GX$656)),VLOOKUP($C$4,$HF$2:$HH$99,3,0)+IF(AG$5="Ida",0,1),1),"")</f>
        <v/>
      </c>
      <c r="AO394" s="89">
        <f>IF(AE395&lt;&gt;AE394,AVERAGEIF(AE$9:AE394,AE394,AN$9:AN394),"")</f>
        <v/>
      </c>
      <c r="AP394" s="89">
        <f>IFERROR(IF(AE395&lt;&gt;AE394,AVERAGEIF(AE$9:AE394,AE394,AW$9:AW394),""),"")</f>
        <v/>
      </c>
      <c r="AQ394" s="89">
        <f>IFERROR(IF(AE395&lt;&gt;AE394,AVERAGEIF(AE$9:AE394,AE394,AX$9:AX394),""),"")</f>
        <v/>
      </c>
      <c r="AR394" s="89">
        <f t="array" ref="AR394">IFERROR(IF(AE395&lt;&gt;AE394,_xlfn.STDEV.P(IF(AE$9:AE394=AE394,AX$9:AX394)),""),"")</f>
        <v/>
      </c>
      <c r="AS394" s="89">
        <f t="array" ref="AS394">IFERROR(IF(AE395&lt;&gt;AE394,_xlfn.STDEV.P(IF(AE$9:AE394=AE394,AW$9:AW394)),""),"")</f>
        <v/>
      </c>
      <c r="AT394" s="90">
        <f>IFERROR(IF(AE394&lt;&gt;AE395,MAX((((AQ394*24*60)/2)*(1+POWER((((AR394*24*60) / (AQ394*24*60) )),2))) + ((AQ394*24*60 )*-0.1 + (AO394*0.015)) +1,(((AQ394*24*60)/2)*(1+POWER((((AR394*24*60) / (AQ394*24*60 ))),2)))),""),"")</f>
        <v/>
      </c>
      <c r="AU394" s="90">
        <f>IF(AND(AS394&lt;&gt;"",AP394&lt;&gt;""),IF(AE394&lt;&gt;AE395,((AP394*24*60) / 2 ) * (1 + POWER(((AS394*24*60) / (AP394*24*60)),2)),""),"")</f>
        <v/>
      </c>
      <c r="AV394" s="90">
        <f>IF(AU394&lt;&gt;"",MAX(AT394,AU394),"")</f>
        <v/>
      </c>
      <c r="AW394" s="89">
        <f>IF(AM394&lt;&gt;"H. Sale Real",IF(AND(AM395&lt;&gt;"",LEFT(AG395,2)&lt;&gt;"Va"),IF(AND(AM394&lt;&gt;"",LEFT(AG394,2)&lt;&gt;"Va",AM394&lt;&gt;"H. Sale Real"),IF(AM395-AM394&lt;0.208333333333333,AM395-AM394,""),IF(AND(AM393&lt;&gt;"",LEFT(AG393,2)&lt;&gt;"Va",AM393&lt;&gt;"H. Sale Real"),IF(AM395-AM393&lt;0.208333333333333,AM395-AM393,""),IF(AND(AM392&lt;&gt;"",LEFT(AG392,2)&lt;&gt;"Va",AM392&lt;&gt;"H. Sale Real"),IF(AM395-AM392&lt;0.208333333333333,AM395-AM392,""),IF(AND(AM391&lt;&gt;"",LEFT(AG391,2)&lt;&gt;"Va",AM391&lt;&gt;"H. Sale Real"),IF(AM395-AM391&lt;0.208333333333333,AM395-AM391,""),IF(AND(AM390&lt;&gt;"",LEFT(AG390,2)&lt;&gt;"Va",AM390&lt;&gt;"H. Sale Real"),IF(AM395-AM390&lt;0.208333333333333,AM395-AM390,""),""))))),""),"")</f>
        <v/>
      </c>
      <c r="AX394" s="89">
        <f>IF(AK394&lt;&gt;"H. Sale Real",IF(AND(AK395&lt;&gt;"",LEFT(AG395,2)&lt;&gt;"Va"),IF(AND(AK394&lt;&gt;"",LEFT(AG394,2)&lt;&gt;"Va",AK394&lt;&gt;"H. Sale Real"),IF(AK395-AK394&lt;0.208333333333333,AK395-AK394,""),IF(AND(AK393&lt;&gt;"",LEFT(AG393,2)&lt;&gt;"Va",AK393&lt;&gt;"H. Sale Real"),IF(AK395-AK393&lt;0.208333333333333,AK395-AK393,""),IF(AND(AK392&lt;&gt;"",LEFT(AG392,2)&lt;&gt;"NC",AK392&lt;&gt;"H. Sale Real"),IF(AK395-AK392&lt;0.208333333333333,AK395-AK392,""),IF(AND(AK391&lt;&gt;"",LEFT(AG391,2)&lt;&gt;"Va",AK391&lt;&gt;"H. Sale Real"),IF(AK395-AK391&lt;0.208333333333333,AK395-AK391,""),IF(AND(AK390&lt;&gt;"",LEFT(AG390,2)&lt;&gt;"Va",AK390&lt;&gt;"H. Sale Real"),IF(AK395-AK390&lt;0.208333333333333,AK395-AK390,""),""))))),""),"")</f>
        <v/>
      </c>
      <c r="AY394" s="87" t="n"/>
      <c r="AZ394" s="89" t="n"/>
      <c r="BA394" s="87" t="n"/>
      <c r="BB394" s="89" t="n"/>
      <c r="BC394" s="91" t="n"/>
      <c r="BD394" s="122">
        <f>IF(AK394&lt;&gt;"",IF(AND(BD393&lt;&gt;"IE",AT394&lt;&gt;0,AV394&lt;&gt;""),IF(IFERROR((AT394/AV394),0) &lt;=1,IFERROR(AT394/AV394,""),1),""),"")</f>
        <v/>
      </c>
      <c r="BE394" s="93" t="n"/>
      <c r="BF394" s="105" t="n"/>
      <c r="FC394" t="inlineStr">
        <is>
          <t>Diccionario 1</t>
        </is>
      </c>
      <c r="FD394" s="15" t="n">
        <v>1393</v>
      </c>
      <c r="FE394" s="15" t="inlineStr">
        <is>
          <t>MDN35025010100</t>
        </is>
      </c>
      <c r="FF394" s="15" t="inlineStr">
        <is>
          <t>LDYECS319S0043841</t>
        </is>
      </c>
      <c r="FG394" s="15" t="inlineStr">
        <is>
          <t>Zhong Tong</t>
        </is>
      </c>
      <c r="FH394" s="15" t="inlineStr">
        <is>
          <t>Lck6122evg</t>
        </is>
      </c>
      <c r="FI394" s="15" t="inlineStr">
        <is>
          <t>ZHONGTONG</t>
        </is>
      </c>
      <c r="FJ394" s="15" t="inlineStr">
        <is>
          <t>LCK6122EVG</t>
        </is>
      </c>
      <c r="FK394" s="15" t="n">
        <v>2025</v>
      </c>
      <c r="FL394" s="15" t="inlineStr">
        <is>
          <t>B</t>
        </is>
      </c>
      <c r="FM394" s="15" t="inlineStr">
        <is>
          <t>CERRILLOS</t>
        </is>
      </c>
      <c r="FN394" s="15" t="inlineStr">
        <is>
          <t>Calle Uno 7371</t>
        </is>
      </c>
      <c r="FO394" s="15" t="inlineStr">
        <is>
          <t>Cerrillos</t>
        </is>
      </c>
      <c r="FP394" t="inlineStr">
        <is>
          <t>B</t>
        </is>
      </c>
      <c r="FS394" s="14" t="inlineStr">
        <is>
          <t>3103 / SFWZ-78|</t>
        </is>
      </c>
      <c r="FT394" t="inlineStr">
        <is>
          <t>SFWZ-78|</t>
        </is>
      </c>
      <c r="FU394" t="inlineStr">
        <is>
          <t>SFWZ-78</t>
        </is>
      </c>
      <c r="FV394">
        <f>VLOOKUP(FU394,FD:FL,9,0)</f>
        <v/>
      </c>
      <c r="HA394" s="35" t="n">
        <v>164</v>
      </c>
      <c r="HB394" s="35" t="n">
        <v>388</v>
      </c>
    </row>
    <row r="395" ht="15.5" customHeight="1">
      <c r="A395" s="10">
        <f>HOUR(G395)+1</f>
        <v/>
      </c>
      <c r="B395" s="7" t="n"/>
      <c r="C395" s="7" t="n"/>
      <c r="D395" s="85">
        <f>IFERROR(
IF(AND(OR(Planilla!B395="C",Planilla!B395="c"), VLOOKUP(E395,FD:FP,13,0)="C"), "OK",IF(AND(OR(Planilla!B395="C",Planilla!B395="c"), OR(VLOOKUP(E395,FD:FP,13,0)="B", VLOOKUP(E395,FD:FP,13,0)="A")), "DEFICIT",IF(
AND(OR(Planilla!B395="B", Planilla!B395="BPAL"), VLOOKUP(E395,FD:FP,13,0)="B"), "OK",IF(AND(OR(Planilla!B395="B", Planilla!B395="BPAL"), VLOOKUP(E395,FD:FP,13,0)="A"), "DEFICIT",IF(AND(OR(Planilla!B395="B", Planilla!B395="BPAL"), VLOOKUP(E395,FD:FP,13,0)="C"), "SOBREOFERTA",IF(AND(Planilla!B395="A", VLOOKUP(E395,FD:FP,13,0)="A"), "OK",IF(
AND(Planilla!B395="A", OR(VLOOKUP(E395,FD:FP,13,0)="B", VLOOKUP(E395,FD:FP,13,0)="C")), "SOBREOFERTA",""
))))))),"")</f>
        <v/>
      </c>
      <c r="E395" s="8" t="n"/>
      <c r="F395" s="86" t="n"/>
      <c r="G395" s="87" t="n"/>
      <c r="H395" s="88">
        <f>IF(I395="","",IF(AND((I395-G395)&gt;=TIME(0,0,0),(I395-G395)&lt;TIME(0,3,0)),"OK",IF(AND((I395-G395)&gt;=TIME(0,3,0),(I395-G395)&lt;TIME(0,5,0)),"RETRASO DE 3-5 MIN",IF(AND((I395-G395)&gt;=TIME(0,5,0),(I395-G395)&lt;TIME(0,10,0)),"RETRASO DE 5-10 MIN",IF((I395-G395)&gt;=TIME(0,10,0),"RETRASO &gt;10 MIN", IF(AND((G395-I395)&gt;=TIME(0,0,0),(G395-I395)&lt;TIME(0,3,0)),"OK",IF((G395-I395)&gt;=TIME(0,3,0),"ADELANTADO")))))))</f>
        <v/>
      </c>
      <c r="I395" s="89" t="n"/>
      <c r="J395" s="89">
        <f>IF(A395&lt;&gt;"",HLOOKUP(VALUE(TEXT(G395,"h:mm:ss")),IF($C$6="Laboral",$FZ$4:$GX$227,IF($C$6="Sábado",$FZ$231:$GX$452,$FZ$456:$GX$656)),VLOOKUP($C$4,$HF$2:$HH$99,3,0)+IF(C$5="Ida",0,1),1),"")</f>
        <v/>
      </c>
      <c r="K395" s="89">
        <f>IF(A396&lt;&gt;A395,AVERAGEIF(A$9:A395,A395,J$9:J395),"")</f>
        <v/>
      </c>
      <c r="L395" s="89">
        <f>IFERROR(IF(A396&lt;&gt;A395,AVERAGEIF(A$9:A395,A395,S$9:S395),""),"")</f>
        <v/>
      </c>
      <c r="M395" s="89">
        <f>IFERROR(IF(A396&lt;&gt;A395,AVERAGEIF(A$9:A395,A395,T$9:T395),""),"")</f>
        <v/>
      </c>
      <c r="N395" s="89">
        <f t="array" ref="N395">IFERROR(IF(A396&lt;&gt;A395,_xlfn.STDEV.P(IF(A$9:A395=A395,T$9:T395)),""),"")</f>
        <v/>
      </c>
      <c r="O395" s="89">
        <f t="array" ref="O395">IFERROR(IF(A396&lt;&gt;A395,_xlfn.STDEV.P(IF(A$9:A395=A395,S$9:S395)),""),"")</f>
        <v/>
      </c>
      <c r="P395" s="90">
        <f>IFERROR(IF(A395&lt;&gt;A396,MAX((((M395*24*60)/2)*(1+POWER((((N395*24*60) / (M395*24*60) )),2))) + ((M395*24*60 )*-0.1 + (K395*0.015)) +1,(((M395*24*60)/2)*(1+POWER((((N395*24*60) / (M395*24*60 ))),2)))),""),"")</f>
        <v/>
      </c>
      <c r="Q395" s="90">
        <f>IF(AND(O395&lt;&gt;"",L395&lt;&gt;""),IF(A395&lt;&gt;A396,((L395*24*60) / 2 ) * (1 + POWER(((O395*24*60) / (L395*24*60)),2)),""),"")</f>
        <v/>
      </c>
      <c r="R395" s="90">
        <f>IF(Q395&lt;&gt;"",MAX(P395,Q395),"")</f>
        <v/>
      </c>
      <c r="S395" s="89">
        <f>IF(I395&lt;&gt;"H. Sale Real",IF(AND(I396&lt;&gt;"",LEFT(C396,2)&lt;&gt;"Va"),IF(AND(I395&lt;&gt;"",LEFT(C395,2)&lt;&gt;"Va",I395&lt;&gt;"H. Sale Real"),IF(I396-I395&lt;0.208333333333333,I396-I395,""),IF(AND(I394&lt;&gt;"",LEFT(C394,2)&lt;&gt;"Va",I394&lt;&gt;"H. Sale Real"),IF(I396-I394&lt;0.208333333333333,I396-I394,""),IF(AND(I393&lt;&gt;"",LEFT(C393,2)&lt;&gt;"Va",I393&lt;&gt;"H. Sale Real"),IF(I396-I393&lt;0.208333333333333,I396-I393,""),IF(AND(I392&lt;&gt;"",LEFT(C392,2)&lt;&gt;"Va",I392&lt;&gt;"H. Sale Real"),IF(I396-I392&lt;0.208333333333333,I396-I392,""),IF(AND(I391&lt;&gt;"",LEFT(C391,2)&lt;&gt;"Va",I391&lt;&gt;"H. Sale Real"),IF(I396-I391&lt;0.208333333333333,I396-I391,""),""))))),""),"")</f>
        <v/>
      </c>
      <c r="T395" s="89">
        <f>IF(G395&lt;&gt;"H. Sale Real",IF(AND(G396&lt;&gt;"",LEFT(C396,2)&lt;&gt;"Va"),IF(AND(G395&lt;&gt;"",LEFT(C395,2)&lt;&gt;"Va",G395&lt;&gt;"H. Sale Real"),IF(G396-G395&lt;0.208333333333333,G396-G395,""),IF(AND(G394&lt;&gt;"",LEFT(C394,2)&lt;&gt;"Va",G394&lt;&gt;"H. Sale Real"),IF(G396-G394&lt;0.208333333333333,G396-G394,""),IF(AND(G393&lt;&gt;"",LEFT(C393,2)&lt;&gt;"Va",G393&lt;&gt;"H. Sale Real"),IF(G396-G393&lt;0.208333333333333,G396-G393,""),IF(AND(G392&lt;&gt;"",LEFT(C392,2)&lt;&gt;"Va",G392&lt;&gt;"H. Sale Real"),IF(G396-G392&lt;0.208333333333333,G396-G392,""),IF(AND(G391&lt;&gt;"",LEFT(C391,2)&lt;&gt;"Va",G391&lt;&gt;"H. Sale Real"),IF(G396-G391&lt;0.208333333333333,G396-G391,""),""))))),""),"")</f>
        <v/>
      </c>
      <c r="U395" s="87" t="n"/>
      <c r="V395" s="89" t="n"/>
      <c r="W395" s="87" t="n"/>
      <c r="X395" s="89" t="n"/>
      <c r="Y395" s="91" t="n"/>
      <c r="Z395" s="122">
        <f>IF(G395&lt;&gt;"",IF(AND(Z394&lt;&gt;"IE",P395&lt;&gt;0,R395&lt;&gt;""),IF(IFERROR((P395/R395),0) &lt;=1,IFERROR(P395/R395,""),1),""),"")</f>
        <v/>
      </c>
      <c r="AA395" s="93" t="n"/>
      <c r="AB395" s="2" t="n"/>
      <c r="AE395" s="10">
        <f>HOUR(AK395)+1</f>
        <v/>
      </c>
      <c r="AF395" s="7" t="n"/>
      <c r="AG395" s="7" t="n"/>
      <c r="AH395" s="86" t="n"/>
      <c r="AI395" s="8" t="n"/>
      <c r="AJ395" s="86" t="n"/>
      <c r="AK395" s="87" t="n"/>
      <c r="AL395" s="88">
        <f>IF(AM395="","",IF(AND((AM395-AK395)&gt;=TIME(0,0,0),(AM395-AK395)&lt;TIME(0,3,0)),"OK",IF(AND((AM395-AK395)&gt;=TIME(0,3,0),(AM395-AK395)&lt;TIME(0,5,0)),"RETRASO DE 3-5 MIN",IF(AND((AM395-AK395)&gt;=TIME(0,5,0),(AM395-AK395)&lt;TIME(0,10,0)),"RETRASO DE 5-10 MIN",IF((AM395-AK395)&gt;=TIME(0,10,0),"RETRASO &gt;10 MIN", IF(AND((AK395-AM395)&gt;=TIME(0,0,0),(AK395-AM395)&lt;TIME(0,3,0)),"OK",IF((AK395-AM395)&gt;=TIME(0,3,0),"ADELANTADO")))))))</f>
        <v/>
      </c>
      <c r="AM395" s="91" t="n"/>
      <c r="AN395" s="89">
        <f>IF(AE395&lt;&gt;"",HLOOKUP(VALUE(TEXT(AK395,"h:mm:ss")),IF($C$6="Laboral",$FZ$4:$GX$227,IF($C$6="Sábado",$FZ$231:$GX$452,$FZ$456:$GX$656)),VLOOKUP($C$4,$HF$2:$HH$99,3,0)+IF(AG$5="Ida",0,1),1),"")</f>
        <v/>
      </c>
      <c r="AO395" s="89">
        <f>IF(AE396&lt;&gt;AE395,AVERAGEIF(AE$9:AE395,AE395,AN$9:AN395),"")</f>
        <v/>
      </c>
      <c r="AP395" s="89">
        <f>IFERROR(IF(AE396&lt;&gt;AE395,AVERAGEIF(AE$9:AE395,AE395,AW$9:AW395),""),"")</f>
        <v/>
      </c>
      <c r="AQ395" s="89">
        <f>IFERROR(IF(AE396&lt;&gt;AE395,AVERAGEIF(AE$9:AE395,AE395,AX$9:AX395),""),"")</f>
        <v/>
      </c>
      <c r="AR395" s="89">
        <f t="array" ref="AR395">IFERROR(IF(AE396&lt;&gt;AE395,_xlfn.STDEV.P(IF(AE$9:AE395=AE395,AX$9:AX395)),""),"")</f>
        <v/>
      </c>
      <c r="AS395" s="89">
        <f t="array" ref="AS395">IFERROR(IF(AE396&lt;&gt;AE395,_xlfn.STDEV.P(IF(AE$9:AE395=AE395,AW$9:AW395)),""),"")</f>
        <v/>
      </c>
      <c r="AT395" s="90">
        <f>IFERROR(IF(AE395&lt;&gt;AE396,MAX((((AQ395*24*60)/2)*(1+POWER((((AR395*24*60) / (AQ395*24*60) )),2))) + ((AQ395*24*60 )*-0.1 + (AO395*0.015)) +1,(((AQ395*24*60)/2)*(1+POWER((((AR395*24*60) / (AQ395*24*60 ))),2)))),""),"")</f>
        <v/>
      </c>
      <c r="AU395" s="90">
        <f>IF(AND(AS395&lt;&gt;"",AP395&lt;&gt;""),IF(AE395&lt;&gt;AE396,((AP395*24*60) / 2 ) * (1 + POWER(((AS395*24*60) / (AP395*24*60)),2)),""),"")</f>
        <v/>
      </c>
      <c r="AV395" s="90">
        <f>IF(AU395&lt;&gt;"",MAX(AT395,AU395),"")</f>
        <v/>
      </c>
      <c r="AW395" s="89">
        <f>IF(AM395&lt;&gt;"H. Sale Real",IF(AND(AM396&lt;&gt;"",LEFT(AG396,2)&lt;&gt;"Va"),IF(AND(AM395&lt;&gt;"",LEFT(AG395,2)&lt;&gt;"Va",AM395&lt;&gt;"H. Sale Real"),IF(AM396-AM395&lt;0.208333333333333,AM396-AM395,""),IF(AND(AM394&lt;&gt;"",LEFT(AG394,2)&lt;&gt;"Va",AM394&lt;&gt;"H. Sale Real"),IF(AM396-AM394&lt;0.208333333333333,AM396-AM394,""),IF(AND(AM393&lt;&gt;"",LEFT(AG393,2)&lt;&gt;"Va",AM393&lt;&gt;"H. Sale Real"),IF(AM396-AM393&lt;0.208333333333333,AM396-AM393,""),IF(AND(AM392&lt;&gt;"",LEFT(AG392,2)&lt;&gt;"Va",AM392&lt;&gt;"H. Sale Real"),IF(AM396-AM392&lt;0.208333333333333,AM396-AM392,""),IF(AND(AM391&lt;&gt;"",LEFT(AG391,2)&lt;&gt;"Va",AM391&lt;&gt;"H. Sale Real"),IF(AM396-AM391&lt;0.208333333333333,AM396-AM391,""),""))))),""),"")</f>
        <v/>
      </c>
      <c r="AX395" s="89">
        <f>IF(AK395&lt;&gt;"H. Sale Real",IF(AND(AK396&lt;&gt;"",LEFT(AG396,2)&lt;&gt;"Va"),IF(AND(AK395&lt;&gt;"",LEFT(AG395,2)&lt;&gt;"Va",AK395&lt;&gt;"H. Sale Real"),IF(AK396-AK395&lt;0.208333333333333,AK396-AK395,""),IF(AND(AK394&lt;&gt;"",LEFT(AG394,2)&lt;&gt;"Va",AK394&lt;&gt;"H. Sale Real"),IF(AK396-AK394&lt;0.208333333333333,AK396-AK394,""),IF(AND(AK393&lt;&gt;"",LEFT(AG393,2)&lt;&gt;"NC",AK393&lt;&gt;"H. Sale Real"),IF(AK396-AK393&lt;0.208333333333333,AK396-AK393,""),IF(AND(AK392&lt;&gt;"",LEFT(AG392,2)&lt;&gt;"Va",AK392&lt;&gt;"H. Sale Real"),IF(AK396-AK392&lt;0.208333333333333,AK396-AK392,""),IF(AND(AK391&lt;&gt;"",LEFT(AG391,2)&lt;&gt;"Va",AK391&lt;&gt;"H. Sale Real"),IF(AK396-AK391&lt;0.208333333333333,AK396-AK391,""),""))))),""),"")</f>
        <v/>
      </c>
      <c r="AY395" s="87" t="n"/>
      <c r="AZ395" s="89" t="n"/>
      <c r="BA395" s="87" t="n"/>
      <c r="BB395" s="89" t="n"/>
      <c r="BC395" s="91" t="n"/>
      <c r="BD395" s="122">
        <f>IF(AK395&lt;&gt;"",IF(AND(BD394&lt;&gt;"IE",AT395&lt;&gt;0,AV395&lt;&gt;""),IF(IFERROR((AT395/AV395),0) &lt;=1,IFERROR(AT395/AV395,""),1),""),"")</f>
        <v/>
      </c>
      <c r="BE395" s="93" t="n"/>
      <c r="BF395" s="105" t="n"/>
      <c r="FC395" t="inlineStr">
        <is>
          <t>Diccionario 1</t>
        </is>
      </c>
      <c r="FD395" s="15" t="n">
        <v>1394</v>
      </c>
      <c r="FE395" s="15" t="inlineStr">
        <is>
          <t>MDN35025010022</t>
        </is>
      </c>
      <c r="FF395" s="15" t="inlineStr">
        <is>
          <t>LDYECS312S0043826</t>
        </is>
      </c>
      <c r="FG395" s="15" t="inlineStr">
        <is>
          <t>Zhong Tong</t>
        </is>
      </c>
      <c r="FH395" s="15" t="inlineStr">
        <is>
          <t>Lck6122evg</t>
        </is>
      </c>
      <c r="FI395" s="15" t="inlineStr">
        <is>
          <t>ZHONGTONG</t>
        </is>
      </c>
      <c r="FJ395" s="15" t="inlineStr">
        <is>
          <t>LCK6122EVG</t>
        </is>
      </c>
      <c r="FK395" s="15" t="n">
        <v>2025</v>
      </c>
      <c r="FL395" s="15" t="inlineStr">
        <is>
          <t>B</t>
        </is>
      </c>
      <c r="FM395" s="15" t="inlineStr">
        <is>
          <t>SAN ALFONSO</t>
        </is>
      </c>
      <c r="FN395" s="15" t="inlineStr">
        <is>
          <t>San Alfonso 2141 (Ramón Subercaseaux 3060)</t>
        </is>
      </c>
      <c r="FO395" s="15" t="inlineStr">
        <is>
          <t>Estacion Central</t>
        </is>
      </c>
      <c r="FP395" t="inlineStr">
        <is>
          <t>B</t>
        </is>
      </c>
      <c r="FS395" s="14" t="inlineStr">
        <is>
          <t>3103 / SFWZ-78|</t>
        </is>
      </c>
      <c r="FT395" t="inlineStr">
        <is>
          <t>SFWZ-78|</t>
        </is>
      </c>
      <c r="FU395" t="inlineStr">
        <is>
          <t>SFWZ-78</t>
        </is>
      </c>
      <c r="FV395">
        <f>VLOOKUP(FU395,FD:FL,9,0)</f>
        <v/>
      </c>
      <c r="HA395" s="35" t="n">
        <v>165</v>
      </c>
      <c r="HB395" s="35" t="n">
        <v>389</v>
      </c>
    </row>
    <row r="396" ht="15.5" customHeight="1">
      <c r="A396" s="10">
        <f>HOUR(G396)+1</f>
        <v/>
      </c>
      <c r="B396" s="7" t="n"/>
      <c r="C396" s="7" t="n"/>
      <c r="D396" s="85">
        <f>IFERROR(
IF(AND(OR(Planilla!B396="C",Planilla!B396="c"), VLOOKUP(E396,FD:FP,13,0)="C"), "OK",IF(AND(OR(Planilla!B396="C",Planilla!B396="c"), OR(VLOOKUP(E396,FD:FP,13,0)="B", VLOOKUP(E396,FD:FP,13,0)="A")), "DEFICIT",IF(
AND(OR(Planilla!B396="B", Planilla!B396="BPAL"), VLOOKUP(E396,FD:FP,13,0)="B"), "OK",IF(AND(OR(Planilla!B396="B", Planilla!B396="BPAL"), VLOOKUP(E396,FD:FP,13,0)="A"), "DEFICIT",IF(AND(OR(Planilla!B396="B", Planilla!B396="BPAL"), VLOOKUP(E396,FD:FP,13,0)="C"), "SOBREOFERTA",IF(AND(Planilla!B396="A", VLOOKUP(E396,FD:FP,13,0)="A"), "OK",IF(
AND(Planilla!B396="A", OR(VLOOKUP(E396,FD:FP,13,0)="B", VLOOKUP(E396,FD:FP,13,0)="C")), "SOBREOFERTA",""
))))))),"")</f>
        <v/>
      </c>
      <c r="E396" s="8" t="n"/>
      <c r="F396" s="86" t="n"/>
      <c r="G396" s="87" t="n"/>
      <c r="H396" s="88">
        <f>IF(I396="","",IF(AND((I396-G396)&gt;=TIME(0,0,0),(I396-G396)&lt;TIME(0,3,0)),"OK",IF(AND((I396-G396)&gt;=TIME(0,3,0),(I396-G396)&lt;TIME(0,5,0)),"RETRASO DE 3-5 MIN",IF(AND((I396-G396)&gt;=TIME(0,5,0),(I396-G396)&lt;TIME(0,10,0)),"RETRASO DE 5-10 MIN",IF((I396-G396)&gt;=TIME(0,10,0),"RETRASO &gt;10 MIN", IF(AND((G396-I396)&gt;=TIME(0,0,0),(G396-I396)&lt;TIME(0,3,0)),"OK",IF((G396-I396)&gt;=TIME(0,3,0),"ADELANTADO")))))))</f>
        <v/>
      </c>
      <c r="I396" s="89" t="n"/>
      <c r="J396" s="89">
        <f>IF(A396&lt;&gt;"",HLOOKUP(VALUE(TEXT(G396,"h:mm:ss")),IF($C$6="Laboral",$FZ$4:$GX$227,IF($C$6="Sábado",$FZ$231:$GX$452,$FZ$456:$GX$656)),VLOOKUP($C$4,$HF$2:$HH$99,3,0)+IF(C$5="Ida",0,1),1),"")</f>
        <v/>
      </c>
      <c r="K396" s="89">
        <f>IF(A397&lt;&gt;A396,AVERAGEIF(A$9:A396,A396,J$9:J396),"")</f>
        <v/>
      </c>
      <c r="L396" s="89">
        <f>IFERROR(IF(A397&lt;&gt;A396,AVERAGEIF(A$9:A396,A396,S$9:S396),""),"")</f>
        <v/>
      </c>
      <c r="M396" s="89">
        <f>IFERROR(IF(A397&lt;&gt;A396,AVERAGEIF(A$9:A396,A396,T$9:T396),""),"")</f>
        <v/>
      </c>
      <c r="N396" s="89">
        <f t="array" ref="N396">IFERROR(IF(A397&lt;&gt;A396,_xlfn.STDEV.P(IF(A$9:A396=A396,T$9:T396)),""),"")</f>
        <v/>
      </c>
      <c r="O396" s="89">
        <f t="array" ref="O396">IFERROR(IF(A397&lt;&gt;A396,_xlfn.STDEV.P(IF(A$9:A396=A396,S$9:S396)),""),"")</f>
        <v/>
      </c>
      <c r="P396" s="90">
        <f>IFERROR(IF(A396&lt;&gt;A397,MAX((((M396*24*60)/2)*(1+POWER((((N396*24*60) / (M396*24*60) )),2))) + ((M396*24*60 )*-0.1 + (K396*0.015)) +1,(((M396*24*60)/2)*(1+POWER((((N396*24*60) / (M396*24*60 ))),2)))),""),"")</f>
        <v/>
      </c>
      <c r="Q396" s="90">
        <f>IF(AND(O396&lt;&gt;"",L396&lt;&gt;""),IF(A396&lt;&gt;A397,((L396*24*60) / 2 ) * (1 + POWER(((O396*24*60) / (L396*24*60)),2)),""),"")</f>
        <v/>
      </c>
      <c r="R396" s="90">
        <f>IF(Q396&lt;&gt;"",MAX(P396,Q396),"")</f>
        <v/>
      </c>
      <c r="S396" s="89">
        <f>IF(I396&lt;&gt;"H. Sale Real",IF(AND(I397&lt;&gt;"",LEFT(C397,2)&lt;&gt;"Va"),IF(AND(I396&lt;&gt;"",LEFT(C396,2)&lt;&gt;"Va",I396&lt;&gt;"H. Sale Real"),IF(I397-I396&lt;0.208333333333333,I397-I396,""),IF(AND(I395&lt;&gt;"",LEFT(C395,2)&lt;&gt;"Va",I395&lt;&gt;"H. Sale Real"),IF(I397-I395&lt;0.208333333333333,I397-I395,""),IF(AND(I394&lt;&gt;"",LEFT(C394,2)&lt;&gt;"Va",I394&lt;&gt;"H. Sale Real"),IF(I397-I394&lt;0.208333333333333,I397-I394,""),IF(AND(I393&lt;&gt;"",LEFT(C393,2)&lt;&gt;"Va",I393&lt;&gt;"H. Sale Real"),IF(I397-I393&lt;0.208333333333333,I397-I393,""),IF(AND(I392&lt;&gt;"",LEFT(C392,2)&lt;&gt;"Va",I392&lt;&gt;"H. Sale Real"),IF(I397-I392&lt;0.208333333333333,I397-I392,""),""))))),""),"")</f>
        <v/>
      </c>
      <c r="T396" s="89">
        <f>IF(G396&lt;&gt;"H. Sale Real",IF(AND(G397&lt;&gt;"",LEFT(C397,2)&lt;&gt;"Va"),IF(AND(G396&lt;&gt;"",LEFT(C396,2)&lt;&gt;"Va",G396&lt;&gt;"H. Sale Real"),IF(G397-G396&lt;0.208333333333333,G397-G396,""),IF(AND(G395&lt;&gt;"",LEFT(C395,2)&lt;&gt;"Va",G395&lt;&gt;"H. Sale Real"),IF(G397-G395&lt;0.208333333333333,G397-G395,""),IF(AND(G394&lt;&gt;"",LEFT(C394,2)&lt;&gt;"Va",G394&lt;&gt;"H. Sale Real"),IF(G397-G394&lt;0.208333333333333,G397-G394,""),IF(AND(G393&lt;&gt;"",LEFT(C393,2)&lt;&gt;"Va",G393&lt;&gt;"H. Sale Real"),IF(G397-G393&lt;0.208333333333333,G397-G393,""),IF(AND(G392&lt;&gt;"",LEFT(C392,2)&lt;&gt;"Va",G392&lt;&gt;"H. Sale Real"),IF(G397-G392&lt;0.208333333333333,G397-G392,""),""))))),""),"")</f>
        <v/>
      </c>
      <c r="U396" s="87" t="n"/>
      <c r="V396" s="89" t="n"/>
      <c r="W396" s="87" t="n"/>
      <c r="X396" s="89" t="n"/>
      <c r="Y396" s="91" t="n"/>
      <c r="Z396" s="122">
        <f>IF(G396&lt;&gt;"",IF(AND(Z395&lt;&gt;"IE",P396&lt;&gt;0,R396&lt;&gt;""),IF(IFERROR((P396/R396),0) &lt;=1,IFERROR(P396/R396,""),1),""),"")</f>
        <v/>
      </c>
      <c r="AA396" s="93" t="n"/>
      <c r="AB396" s="2" t="n"/>
      <c r="AE396" s="10">
        <f>HOUR(AK396)+1</f>
        <v/>
      </c>
      <c r="AF396" s="7" t="n"/>
      <c r="AG396" s="7" t="n"/>
      <c r="AH396" s="86" t="n"/>
      <c r="AI396" s="8" t="n"/>
      <c r="AJ396" s="86" t="n"/>
      <c r="AK396" s="87" t="n"/>
      <c r="AL396" s="88">
        <f>IF(AM396="","",IF(AND((AM396-AK396)&gt;=TIME(0,0,0),(AM396-AK396)&lt;TIME(0,3,0)),"OK",IF(AND((AM396-AK396)&gt;=TIME(0,3,0),(AM396-AK396)&lt;TIME(0,5,0)),"RETRASO DE 3-5 MIN",IF(AND((AM396-AK396)&gt;=TIME(0,5,0),(AM396-AK396)&lt;TIME(0,10,0)),"RETRASO DE 5-10 MIN",IF((AM396-AK396)&gt;=TIME(0,10,0),"RETRASO &gt;10 MIN", IF(AND((AK396-AM396)&gt;=TIME(0,0,0),(AK396-AM396)&lt;TIME(0,3,0)),"OK",IF((AK396-AM396)&gt;=TIME(0,3,0),"ADELANTADO")))))))</f>
        <v/>
      </c>
      <c r="AM396" s="91" t="n"/>
      <c r="AN396" s="89">
        <f>IF(AE396&lt;&gt;"",HLOOKUP(VALUE(TEXT(AK396,"h:mm:ss")),IF($C$6="Laboral",$FZ$4:$GX$227,IF($C$6="Sábado",$FZ$231:$GX$452,$FZ$456:$GX$656)),VLOOKUP($C$4,$HF$2:$HH$99,3,0)+IF(AG$5="Ida",0,1),1),"")</f>
        <v/>
      </c>
      <c r="AO396" s="89">
        <f>IF(AE397&lt;&gt;AE396,AVERAGEIF(AE$9:AE396,AE396,AN$9:AN396),"")</f>
        <v/>
      </c>
      <c r="AP396" s="89">
        <f>IFERROR(IF(AE397&lt;&gt;AE396,AVERAGEIF(AE$9:AE396,AE396,AW$9:AW396),""),"")</f>
        <v/>
      </c>
      <c r="AQ396" s="89">
        <f>IFERROR(IF(AE397&lt;&gt;AE396,AVERAGEIF(AE$9:AE396,AE396,AX$9:AX396),""),"")</f>
        <v/>
      </c>
      <c r="AR396" s="89">
        <f t="array" ref="AR396">IFERROR(IF(AE397&lt;&gt;AE396,_xlfn.STDEV.P(IF(AE$9:AE396=AE396,AX$9:AX396)),""),"")</f>
        <v/>
      </c>
      <c r="AS396" s="89">
        <f t="array" ref="AS396">IFERROR(IF(AE397&lt;&gt;AE396,_xlfn.STDEV.P(IF(AE$9:AE396=AE396,AW$9:AW396)),""),"")</f>
        <v/>
      </c>
      <c r="AT396" s="90">
        <f>IFERROR(IF(AE396&lt;&gt;AE397,MAX((((AQ396*24*60)/2)*(1+POWER((((AR396*24*60) / (AQ396*24*60) )),2))) + ((AQ396*24*60 )*-0.1 + (AO396*0.015)) +1,(((AQ396*24*60)/2)*(1+POWER((((AR396*24*60) / (AQ396*24*60 ))),2)))),""),"")</f>
        <v/>
      </c>
      <c r="AU396" s="90">
        <f>IF(AND(AS396&lt;&gt;"",AP396&lt;&gt;""),IF(AE396&lt;&gt;AE397,((AP396*24*60) / 2 ) * (1 + POWER(((AS396*24*60) / (AP396*24*60)),2)),""),"")</f>
        <v/>
      </c>
      <c r="AV396" s="90">
        <f>IF(AU396&lt;&gt;"",MAX(AT396,AU396),"")</f>
        <v/>
      </c>
      <c r="AW396" s="89">
        <f>IF(AM396&lt;&gt;"H. Sale Real",IF(AND(AM397&lt;&gt;"",LEFT(AG397,2)&lt;&gt;"Va"),IF(AND(AM396&lt;&gt;"",LEFT(AG396,2)&lt;&gt;"Va",AM396&lt;&gt;"H. Sale Real"),IF(AM397-AM396&lt;0.208333333333333,AM397-AM396,""),IF(AND(AM395&lt;&gt;"",LEFT(AG395,2)&lt;&gt;"Va",AM395&lt;&gt;"H. Sale Real"),IF(AM397-AM395&lt;0.208333333333333,AM397-AM395,""),IF(AND(AM394&lt;&gt;"",LEFT(AG394,2)&lt;&gt;"Va",AM394&lt;&gt;"H. Sale Real"),IF(AM397-AM394&lt;0.208333333333333,AM397-AM394,""),IF(AND(AM393&lt;&gt;"",LEFT(AG393,2)&lt;&gt;"Va",AM393&lt;&gt;"H. Sale Real"),IF(AM397-AM393&lt;0.208333333333333,AM397-AM393,""),IF(AND(AM392&lt;&gt;"",LEFT(AG392,2)&lt;&gt;"Va",AM392&lt;&gt;"H. Sale Real"),IF(AM397-AM392&lt;0.208333333333333,AM397-AM392,""),""))))),""),"")</f>
        <v/>
      </c>
      <c r="AX396" s="89">
        <f>IF(AK396&lt;&gt;"H. Sale Real",IF(AND(AK397&lt;&gt;"",LEFT(AG397,2)&lt;&gt;"Va"),IF(AND(AK396&lt;&gt;"",LEFT(AG396,2)&lt;&gt;"Va",AK396&lt;&gt;"H. Sale Real"),IF(AK397-AK396&lt;0.208333333333333,AK397-AK396,""),IF(AND(AK395&lt;&gt;"",LEFT(AG395,2)&lt;&gt;"Va",AK395&lt;&gt;"H. Sale Real"),IF(AK397-AK395&lt;0.208333333333333,AK397-AK395,""),IF(AND(AK394&lt;&gt;"",LEFT(AG394,2)&lt;&gt;"NC",AK394&lt;&gt;"H. Sale Real"),IF(AK397-AK394&lt;0.208333333333333,AK397-AK394,""),IF(AND(AK393&lt;&gt;"",LEFT(AG393,2)&lt;&gt;"Va",AK393&lt;&gt;"H. Sale Real"),IF(AK397-AK393&lt;0.208333333333333,AK397-AK393,""),IF(AND(AK392&lt;&gt;"",LEFT(AG392,2)&lt;&gt;"Va",AK392&lt;&gt;"H. Sale Real"),IF(AK397-AK392&lt;0.208333333333333,AK397-AK392,""),""))))),""),"")</f>
        <v/>
      </c>
      <c r="AY396" s="87" t="n"/>
      <c r="AZ396" s="89" t="n"/>
      <c r="BA396" s="87" t="n"/>
      <c r="BB396" s="89" t="n"/>
      <c r="BC396" s="91" t="n"/>
      <c r="BD396" s="122">
        <f>IF(AK396&lt;&gt;"",IF(AND(BD395&lt;&gt;"IE",AT396&lt;&gt;0,AV396&lt;&gt;""),IF(IFERROR((AT396/AV396),0) &lt;=1,IFERROR(AT396/AV396,""),1),""),"")</f>
        <v/>
      </c>
      <c r="BE396" s="93" t="n"/>
      <c r="BF396" s="105" t="n"/>
      <c r="FC396" t="inlineStr">
        <is>
          <t>Diccionario 1</t>
        </is>
      </c>
      <c r="FD396" s="15" t="n">
        <v>1395</v>
      </c>
      <c r="FE396" s="15" t="inlineStr">
        <is>
          <t>MDN35025010032</t>
        </is>
      </c>
      <c r="FF396" s="15" t="inlineStr">
        <is>
          <t>LDYECS315S0043836</t>
        </is>
      </c>
      <c r="FG396" s="15" t="inlineStr">
        <is>
          <t>Zhong Tong</t>
        </is>
      </c>
      <c r="FH396" s="15" t="inlineStr">
        <is>
          <t>Lck6122evg</t>
        </is>
      </c>
      <c r="FI396" s="15" t="inlineStr">
        <is>
          <t>ZHONGTONG</t>
        </is>
      </c>
      <c r="FJ396" s="15" t="inlineStr">
        <is>
          <t>LCK6122EVG</t>
        </is>
      </c>
      <c r="FK396" s="15" t="n">
        <v>2025</v>
      </c>
      <c r="FL396" s="15" t="inlineStr">
        <is>
          <t>B</t>
        </is>
      </c>
      <c r="FM396" s="15" t="inlineStr">
        <is>
          <t>PIE ANDINO</t>
        </is>
      </c>
      <c r="FN396" s="15" t="inlineStr">
        <is>
          <t>Pie Andino 31 (Pie Andino 383)</t>
        </is>
      </c>
      <c r="FO396" s="15" t="inlineStr">
        <is>
          <t>Puente Alto</t>
        </is>
      </c>
      <c r="FP396" t="inlineStr">
        <is>
          <t>B</t>
        </is>
      </c>
      <c r="FS396" s="14" t="inlineStr">
        <is>
          <t>3103 / SFWZ-78|</t>
        </is>
      </c>
      <c r="FT396" t="inlineStr">
        <is>
          <t>SFWZ-78|</t>
        </is>
      </c>
      <c r="FU396" t="inlineStr">
        <is>
          <t>SFWZ-78</t>
        </is>
      </c>
      <c r="FV396">
        <f>VLOOKUP(FU396,FD:FL,9,0)</f>
        <v/>
      </c>
      <c r="HA396" s="35" t="n">
        <v>166</v>
      </c>
      <c r="HB396" s="35" t="n">
        <v>390</v>
      </c>
    </row>
    <row r="397" ht="15.5" customHeight="1">
      <c r="A397" s="10">
        <f>HOUR(G397)+1</f>
        <v/>
      </c>
      <c r="B397" s="7" t="n"/>
      <c r="C397" s="7" t="n"/>
      <c r="D397" s="85">
        <f>IFERROR(
IF(AND(OR(Planilla!B397="C",Planilla!B397="c"), VLOOKUP(E397,FD:FP,13,0)="C"), "OK",IF(AND(OR(Planilla!B397="C",Planilla!B397="c"), OR(VLOOKUP(E397,FD:FP,13,0)="B", VLOOKUP(E397,FD:FP,13,0)="A")), "DEFICIT",IF(
AND(OR(Planilla!B397="B", Planilla!B397="BPAL"), VLOOKUP(E397,FD:FP,13,0)="B"), "OK",IF(AND(OR(Planilla!B397="B", Planilla!B397="BPAL"), VLOOKUP(E397,FD:FP,13,0)="A"), "DEFICIT",IF(AND(OR(Planilla!B397="B", Planilla!B397="BPAL"), VLOOKUP(E397,FD:FP,13,0)="C"), "SOBREOFERTA",IF(AND(Planilla!B397="A", VLOOKUP(E397,FD:FP,13,0)="A"), "OK",IF(
AND(Planilla!B397="A", OR(VLOOKUP(E397,FD:FP,13,0)="B", VLOOKUP(E397,FD:FP,13,0)="C")), "SOBREOFERTA",""
))))))),"")</f>
        <v/>
      </c>
      <c r="E397" s="8" t="n"/>
      <c r="F397" s="86" t="n"/>
      <c r="G397" s="87" t="n"/>
      <c r="H397" s="88">
        <f>IF(I397="","",IF(AND((I397-G397)&gt;=TIME(0,0,0),(I397-G397)&lt;TIME(0,3,0)),"OK",IF(AND((I397-G397)&gt;=TIME(0,3,0),(I397-G397)&lt;TIME(0,5,0)),"RETRASO DE 3-5 MIN",IF(AND((I397-G397)&gt;=TIME(0,5,0),(I397-G397)&lt;TIME(0,10,0)),"RETRASO DE 5-10 MIN",IF((I397-G397)&gt;=TIME(0,10,0),"RETRASO &gt;10 MIN", IF(AND((G397-I397)&gt;=TIME(0,0,0),(G397-I397)&lt;TIME(0,3,0)),"OK",IF((G397-I397)&gt;=TIME(0,3,0),"ADELANTADO")))))))</f>
        <v/>
      </c>
      <c r="I397" s="89" t="n"/>
      <c r="J397" s="89">
        <f>IF(A397&lt;&gt;"",HLOOKUP(VALUE(TEXT(G397,"h:mm:ss")),IF($C$6="Laboral",$FZ$4:$GX$227,IF($C$6="Sábado",$FZ$231:$GX$452,$FZ$456:$GX$656)),VLOOKUP($C$4,$HF$2:$HH$99,3,0)+IF(C$5="Ida",0,1),1),"")</f>
        <v/>
      </c>
      <c r="K397" s="89">
        <f>IF(A398&lt;&gt;A397,AVERAGEIF(A$9:A397,A397,J$9:J397),"")</f>
        <v/>
      </c>
      <c r="L397" s="89">
        <f>IFERROR(IF(A398&lt;&gt;A397,AVERAGEIF(A$9:A397,A397,S$9:S397),""),"")</f>
        <v/>
      </c>
      <c r="M397" s="89">
        <f>IFERROR(IF(A398&lt;&gt;A397,AVERAGEIF(A$9:A397,A397,T$9:T397),""),"")</f>
        <v/>
      </c>
      <c r="N397" s="89">
        <f t="array" ref="N397">IFERROR(IF(A398&lt;&gt;A397,_xlfn.STDEV.P(IF(A$9:A397=A397,T$9:T397)),""),"")</f>
        <v/>
      </c>
      <c r="O397" s="89">
        <f t="array" ref="O397">IFERROR(IF(A398&lt;&gt;A397,_xlfn.STDEV.P(IF(A$9:A397=A397,S$9:S397)),""),"")</f>
        <v/>
      </c>
      <c r="P397" s="90">
        <f>IFERROR(IF(A397&lt;&gt;A398,MAX((((M397*24*60)/2)*(1+POWER((((N397*24*60) / (M397*24*60) )),2))) + ((M397*24*60 )*-0.1 + (K397*0.015)) +1,(((M397*24*60)/2)*(1+POWER((((N397*24*60) / (M397*24*60 ))),2)))),""),"")</f>
        <v/>
      </c>
      <c r="Q397" s="90">
        <f>IF(AND(O397&lt;&gt;"",L397&lt;&gt;""),IF(A397&lt;&gt;A398,((L397*24*60) / 2 ) * (1 + POWER(((O397*24*60) / (L397*24*60)),2)),""),"")</f>
        <v/>
      </c>
      <c r="R397" s="90">
        <f>IF(Q397&lt;&gt;"",MAX(P397,Q397),"")</f>
        <v/>
      </c>
      <c r="S397" s="89">
        <f>IF(I397&lt;&gt;"H. Sale Real",IF(AND(I398&lt;&gt;"",LEFT(C398,2)&lt;&gt;"Va"),IF(AND(I397&lt;&gt;"",LEFT(C397,2)&lt;&gt;"Va",I397&lt;&gt;"H. Sale Real"),IF(I398-I397&lt;0.208333333333333,I398-I397,""),IF(AND(I396&lt;&gt;"",LEFT(C396,2)&lt;&gt;"Va",I396&lt;&gt;"H. Sale Real"),IF(I398-I396&lt;0.208333333333333,I398-I396,""),IF(AND(I395&lt;&gt;"",LEFT(C395,2)&lt;&gt;"Va",I395&lt;&gt;"H. Sale Real"),IF(I398-I395&lt;0.208333333333333,I398-I395,""),IF(AND(I394&lt;&gt;"",LEFT(C394,2)&lt;&gt;"Va",I394&lt;&gt;"H. Sale Real"),IF(I398-I394&lt;0.208333333333333,I398-I394,""),IF(AND(I393&lt;&gt;"",LEFT(C393,2)&lt;&gt;"Va",I393&lt;&gt;"H. Sale Real"),IF(I398-I393&lt;0.208333333333333,I398-I393,""),""))))),""),"")</f>
        <v/>
      </c>
      <c r="T397" s="89">
        <f>IF(G397&lt;&gt;"H. Sale Real",IF(AND(G398&lt;&gt;"",LEFT(C398,2)&lt;&gt;"Va"),IF(AND(G397&lt;&gt;"",LEFT(C397,2)&lt;&gt;"Va",G397&lt;&gt;"H. Sale Real"),IF(G398-G397&lt;0.208333333333333,G398-G397,""),IF(AND(G396&lt;&gt;"",LEFT(C396,2)&lt;&gt;"Va",G396&lt;&gt;"H. Sale Real"),IF(G398-G396&lt;0.208333333333333,G398-G396,""),IF(AND(G395&lt;&gt;"",LEFT(C395,2)&lt;&gt;"Va",G395&lt;&gt;"H. Sale Real"),IF(G398-G395&lt;0.208333333333333,G398-G395,""),IF(AND(G394&lt;&gt;"",LEFT(C394,2)&lt;&gt;"Va",G394&lt;&gt;"H. Sale Real"),IF(G398-G394&lt;0.208333333333333,G398-G394,""),IF(AND(G393&lt;&gt;"",LEFT(C393,2)&lt;&gt;"Va",G393&lt;&gt;"H. Sale Real"),IF(G398-G393&lt;0.208333333333333,G398-G393,""),""))))),""),"")</f>
        <v/>
      </c>
      <c r="U397" s="87" t="n"/>
      <c r="V397" s="89" t="n"/>
      <c r="W397" s="87" t="n"/>
      <c r="X397" s="89" t="n"/>
      <c r="Y397" s="91" t="n"/>
      <c r="Z397" s="122">
        <f>IF(G397&lt;&gt;"",IF(AND(Z396&lt;&gt;"IE",P397&lt;&gt;0,R397&lt;&gt;""),IF(IFERROR((P397/R397),0) &lt;=1,IFERROR(P397/R397,""),1),""),"")</f>
        <v/>
      </c>
      <c r="AA397" s="93" t="n"/>
      <c r="AB397" s="2" t="n"/>
      <c r="AE397" s="10">
        <f>HOUR(AK397)+1</f>
        <v/>
      </c>
      <c r="AF397" s="7" t="n"/>
      <c r="AG397" s="7" t="n"/>
      <c r="AH397" s="86" t="n"/>
      <c r="AI397" s="8" t="n"/>
      <c r="AJ397" s="86" t="n"/>
      <c r="AK397" s="87" t="n"/>
      <c r="AL397" s="88">
        <f>IF(AM397="","",IF(AND((AM397-AK397)&gt;=TIME(0,0,0),(AM397-AK397)&lt;TIME(0,3,0)),"OK",IF(AND((AM397-AK397)&gt;=TIME(0,3,0),(AM397-AK397)&lt;TIME(0,5,0)),"RETRASO DE 3-5 MIN",IF(AND((AM397-AK397)&gt;=TIME(0,5,0),(AM397-AK397)&lt;TIME(0,10,0)),"RETRASO DE 5-10 MIN",IF((AM397-AK397)&gt;=TIME(0,10,0),"RETRASO &gt;10 MIN", IF(AND((AK397-AM397)&gt;=TIME(0,0,0),(AK397-AM397)&lt;TIME(0,3,0)),"OK",IF((AK397-AM397)&gt;=TIME(0,3,0),"ADELANTADO")))))))</f>
        <v/>
      </c>
      <c r="AM397" s="91" t="n"/>
      <c r="AN397" s="89">
        <f>IF(AE397&lt;&gt;"",HLOOKUP(VALUE(TEXT(AK397,"h:mm:ss")),IF($C$6="Laboral",$FZ$4:$GX$227,IF($C$6="Sábado",$FZ$231:$GX$452,$FZ$456:$GX$656)),VLOOKUP($C$4,$HF$2:$HH$99,3,0)+IF(AG$5="Ida",0,1),1),"")</f>
        <v/>
      </c>
      <c r="AO397" s="89">
        <f>IF(AE398&lt;&gt;AE397,AVERAGEIF(AE$9:AE397,AE397,AN$9:AN397),"")</f>
        <v/>
      </c>
      <c r="AP397" s="89">
        <f>IFERROR(IF(AE398&lt;&gt;AE397,AVERAGEIF(AE$9:AE397,AE397,AW$9:AW397),""),"")</f>
        <v/>
      </c>
      <c r="AQ397" s="89">
        <f>IFERROR(IF(AE398&lt;&gt;AE397,AVERAGEIF(AE$9:AE397,AE397,AX$9:AX397),""),"")</f>
        <v/>
      </c>
      <c r="AR397" s="89">
        <f t="array" ref="AR397">IFERROR(IF(AE398&lt;&gt;AE397,_xlfn.STDEV.P(IF(AE$9:AE397=AE397,AX$9:AX397)),""),"")</f>
        <v/>
      </c>
      <c r="AS397" s="89">
        <f t="array" ref="AS397">IFERROR(IF(AE398&lt;&gt;AE397,_xlfn.STDEV.P(IF(AE$9:AE397=AE397,AW$9:AW397)),""),"")</f>
        <v/>
      </c>
      <c r="AT397" s="90">
        <f>IFERROR(IF(AE397&lt;&gt;AE398,MAX((((AQ397*24*60)/2)*(1+POWER((((AR397*24*60) / (AQ397*24*60) )),2))) + ((AQ397*24*60 )*-0.1 + (AO397*0.015)) +1,(((AQ397*24*60)/2)*(1+POWER((((AR397*24*60) / (AQ397*24*60 ))),2)))),""),"")</f>
        <v/>
      </c>
      <c r="AU397" s="90">
        <f>IF(AND(AS397&lt;&gt;"",AP397&lt;&gt;""),IF(AE397&lt;&gt;AE398,((AP397*24*60) / 2 ) * (1 + POWER(((AS397*24*60) / (AP397*24*60)),2)),""),"")</f>
        <v/>
      </c>
      <c r="AV397" s="90">
        <f>IF(AU397&lt;&gt;"",MAX(AT397,AU397),"")</f>
        <v/>
      </c>
      <c r="AW397" s="89">
        <f>IF(AM397&lt;&gt;"H. Sale Real",IF(AND(AM398&lt;&gt;"",LEFT(AG398,2)&lt;&gt;"Va"),IF(AND(AM397&lt;&gt;"",LEFT(AG397,2)&lt;&gt;"Va",AM397&lt;&gt;"H. Sale Real"),IF(AM398-AM397&lt;0.208333333333333,AM398-AM397,""),IF(AND(AM396&lt;&gt;"",LEFT(AG396,2)&lt;&gt;"Va",AM396&lt;&gt;"H. Sale Real"),IF(AM398-AM396&lt;0.208333333333333,AM398-AM396,""),IF(AND(AM395&lt;&gt;"",LEFT(AG395,2)&lt;&gt;"Va",AM395&lt;&gt;"H. Sale Real"),IF(AM398-AM395&lt;0.208333333333333,AM398-AM395,""),IF(AND(AM394&lt;&gt;"",LEFT(AG394,2)&lt;&gt;"Va",AM394&lt;&gt;"H. Sale Real"),IF(AM398-AM394&lt;0.208333333333333,AM398-AM394,""),IF(AND(AM393&lt;&gt;"",LEFT(AG393,2)&lt;&gt;"Va",AM393&lt;&gt;"H. Sale Real"),IF(AM398-AM393&lt;0.208333333333333,AM398-AM393,""),""))))),""),"")</f>
        <v/>
      </c>
      <c r="AX397" s="89">
        <f>IF(AK397&lt;&gt;"H. Sale Real",IF(AND(AK398&lt;&gt;"",LEFT(AG398,2)&lt;&gt;"Va"),IF(AND(AK397&lt;&gt;"",LEFT(AG397,2)&lt;&gt;"Va",AK397&lt;&gt;"H. Sale Real"),IF(AK398-AK397&lt;0.208333333333333,AK398-AK397,""),IF(AND(AK396&lt;&gt;"",LEFT(AG396,2)&lt;&gt;"Va",AK396&lt;&gt;"H. Sale Real"),IF(AK398-AK396&lt;0.208333333333333,AK398-AK396,""),IF(AND(AK395&lt;&gt;"",LEFT(AG395,2)&lt;&gt;"NC",AK395&lt;&gt;"H. Sale Real"),IF(AK398-AK395&lt;0.208333333333333,AK398-AK395,""),IF(AND(AK394&lt;&gt;"",LEFT(AG394,2)&lt;&gt;"Va",AK394&lt;&gt;"H. Sale Real"),IF(AK398-AK394&lt;0.208333333333333,AK398-AK394,""),IF(AND(AK393&lt;&gt;"",LEFT(AG393,2)&lt;&gt;"Va",AK393&lt;&gt;"H. Sale Real"),IF(AK398-AK393&lt;0.208333333333333,AK398-AK393,""),""))))),""),"")</f>
        <v/>
      </c>
      <c r="AY397" s="87" t="n"/>
      <c r="AZ397" s="89" t="n"/>
      <c r="BA397" s="87" t="n"/>
      <c r="BB397" s="89" t="n"/>
      <c r="BC397" s="91" t="n"/>
      <c r="BD397" s="122">
        <f>IF(AK397&lt;&gt;"",IF(AND(BD396&lt;&gt;"IE",AT397&lt;&gt;0,AV397&lt;&gt;""),IF(IFERROR((AT397/AV397),0) &lt;=1,IFERROR(AT397/AV397,""),1),""),"")</f>
        <v/>
      </c>
      <c r="BE397" s="93" t="n"/>
      <c r="BF397" s="105" t="n"/>
      <c r="FC397" t="inlineStr">
        <is>
          <t>Diccionario 1</t>
        </is>
      </c>
      <c r="FD397" s="15" t="n">
        <v>1396</v>
      </c>
      <c r="FE397" s="15" t="inlineStr">
        <is>
          <t>MDN35025010096</t>
        </is>
      </c>
      <c r="FF397" s="15" t="inlineStr">
        <is>
          <t>LDYECS310S0043825</t>
        </is>
      </c>
      <c r="FG397" s="15" t="inlineStr">
        <is>
          <t>Zhong Tong</t>
        </is>
      </c>
      <c r="FH397" s="15" t="inlineStr">
        <is>
          <t>Lck6122evg</t>
        </is>
      </c>
      <c r="FI397" s="15" t="inlineStr">
        <is>
          <t>ZHONGTONG</t>
        </is>
      </c>
      <c r="FJ397" s="15" t="inlineStr">
        <is>
          <t>LCK6122EVG</t>
        </is>
      </c>
      <c r="FK397" s="15" t="n">
        <v>2025</v>
      </c>
      <c r="FL397" s="15" t="inlineStr">
        <is>
          <t>B</t>
        </is>
      </c>
      <c r="FM397" s="15" t="inlineStr">
        <is>
          <t>SAN ALFONSO</t>
        </is>
      </c>
      <c r="FN397" s="15" t="inlineStr">
        <is>
          <t>San Alfonso 2141 (Ramón Subercaseaux 3060)</t>
        </is>
      </c>
      <c r="FO397" s="15" t="inlineStr">
        <is>
          <t>Estacion Central</t>
        </is>
      </c>
      <c r="FP397" t="inlineStr">
        <is>
          <t>B</t>
        </is>
      </c>
      <c r="FS397" s="14" t="inlineStr">
        <is>
          <t>3104 / SFWZ-52|</t>
        </is>
      </c>
      <c r="FT397" t="inlineStr">
        <is>
          <t>SFWZ-52|</t>
        </is>
      </c>
      <c r="FU397" t="inlineStr">
        <is>
          <t>SFWZ-52</t>
        </is>
      </c>
      <c r="FV397">
        <f>VLOOKUP(FU397,FD:FL,9,0)</f>
        <v/>
      </c>
      <c r="HA397" s="35" t="n">
        <v>167</v>
      </c>
      <c r="HB397" s="35" t="n">
        <v>391</v>
      </c>
    </row>
    <row r="398" ht="15.5" customHeight="1">
      <c r="A398" s="10">
        <f>HOUR(G398)+1</f>
        <v/>
      </c>
      <c r="B398" s="7" t="n"/>
      <c r="C398" s="7" t="n"/>
      <c r="D398" s="85">
        <f>IFERROR(
IF(AND(OR(Planilla!B398="C",Planilla!B398="c"), VLOOKUP(E398,FD:FP,13,0)="C"), "OK",IF(AND(OR(Planilla!B398="C",Planilla!B398="c"), OR(VLOOKUP(E398,FD:FP,13,0)="B", VLOOKUP(E398,FD:FP,13,0)="A")), "DEFICIT",IF(
AND(OR(Planilla!B398="B", Planilla!B398="BPAL"), VLOOKUP(E398,FD:FP,13,0)="B"), "OK",IF(AND(OR(Planilla!B398="B", Planilla!B398="BPAL"), VLOOKUP(E398,FD:FP,13,0)="A"), "DEFICIT",IF(AND(OR(Planilla!B398="B", Planilla!B398="BPAL"), VLOOKUP(E398,FD:FP,13,0)="C"), "SOBREOFERTA",IF(AND(Planilla!B398="A", VLOOKUP(E398,FD:FP,13,0)="A"), "OK",IF(
AND(Planilla!B398="A", OR(VLOOKUP(E398,FD:FP,13,0)="B", VLOOKUP(E398,FD:FP,13,0)="C")), "SOBREOFERTA",""
))))))),"")</f>
        <v/>
      </c>
      <c r="E398" s="8" t="n"/>
      <c r="F398" s="86" t="n"/>
      <c r="G398" s="87" t="n"/>
      <c r="H398" s="88">
        <f>IF(I398="","",IF(AND((I398-G398)&gt;=TIME(0,0,0),(I398-G398)&lt;TIME(0,3,0)),"OK",IF(AND((I398-G398)&gt;=TIME(0,3,0),(I398-G398)&lt;TIME(0,5,0)),"RETRASO DE 3-5 MIN",IF(AND((I398-G398)&gt;=TIME(0,5,0),(I398-G398)&lt;TIME(0,10,0)),"RETRASO DE 5-10 MIN",IF((I398-G398)&gt;=TIME(0,10,0),"RETRASO &gt;10 MIN",         IF(AND((G398-I398)&gt;=TIME(0,0,0),(G398-I398)&lt;TIME(0,3,0)),"OK",IF((G398-I398)&gt;=TIME(0,3,0),"ADELANTADO")))))))</f>
        <v/>
      </c>
      <c r="I398" s="89" t="n"/>
      <c r="J398" s="89">
        <f>IF(A398&lt;&gt;"",HLOOKUP(VALUE(TEXT(G398,"h:mm:ss")),IF($C$6="Laboral",$FZ$4:$GX$227,IF($C$6="Sábado",$FZ$231:$GX$452,$FZ$456:$GX$656)),VLOOKUP($C$4,$HF$2:$HH$99,3,0)+IF(C$5="Ida",0,1),1),"")</f>
        <v/>
      </c>
      <c r="K398" s="89">
        <f>IF(A399&lt;&gt;A398,AVERAGEIF(A$9:A398,A398,J$9:J398),"")</f>
        <v/>
      </c>
      <c r="L398" s="89">
        <f>IFERROR(IF(A399&lt;&gt;A398,AVERAGEIF(A$9:A398,A398,S$9:S398),""),"")</f>
        <v/>
      </c>
      <c r="M398" s="89">
        <f>IFERROR(IF(A399&lt;&gt;A398,AVERAGEIF(A$9:A398,A398,T$9:T398),""),"")</f>
        <v/>
      </c>
      <c r="N398" s="89">
        <f t="array" ref="N398">IFERROR(IF(A399&lt;&gt;A398,_xlfn.STDEV.P(IF(A$9:A398=A398,T$9:T398)),""),"")</f>
        <v/>
      </c>
      <c r="O398" s="89">
        <f t="array" ref="O398">IFERROR(IF(A399&lt;&gt;A398,_xlfn.STDEV.P(IF(A$9:A398=A398,S$9:S398)),""),"")</f>
        <v/>
      </c>
      <c r="P398" s="90">
        <f>IFERROR(IF(A398&lt;&gt;A399,MAX((((M398*24*60)/2)*(1+POWER((((N398*24*60) / (M398*24*60) )),2))) + ((M398*24*60 )*-0.1 + (K398*0.015)) +1,(((M398*24*60)/2)*(1+POWER((((N398*24*60) / (M398*24*60 ))),2)))),""),"")</f>
        <v/>
      </c>
      <c r="Q398" s="90">
        <f>IF(AND(O398&lt;&gt;"",L398&lt;&gt;""),IF(A398&lt;&gt;A399,((L398*24*60) / 2 ) * (1 + POWER(((O398*24*60) / (L398*24*60)),2)),""),"")</f>
        <v/>
      </c>
      <c r="R398" s="90">
        <f>IF(Q398&lt;&gt;"",MAX(P398,Q398),"")</f>
        <v/>
      </c>
      <c r="S398" s="89">
        <f>IF(I398&lt;&gt;"H. Sale Real",IF(AND(I399&lt;&gt;"",LEFT(C399,2)&lt;&gt;"Va"),IF(AND(I398&lt;&gt;"",LEFT(C398,2)&lt;&gt;"Va",I398&lt;&gt;"H. Sale Real"),IF(I399-I398&lt;0.208333333333333,I399-I398,""),IF(AND(I397&lt;&gt;"",LEFT(C397,2)&lt;&gt;"Va",I397&lt;&gt;"H. Sale Real"),IF(I399-I397&lt;0.208333333333333,I399-I397,""),IF(AND(I396&lt;&gt;"",LEFT(C396,2)&lt;&gt;"Va",I396&lt;&gt;"H. Sale Real"),IF(I399-I396&lt;0.208333333333333,I399-I396,""),IF(AND(I395&lt;&gt;"",LEFT(C395,2)&lt;&gt;"Va",I395&lt;&gt;"H. Sale Real"),IF(I399-I395&lt;0.208333333333333,I399-I395,""),IF(AND(I394&lt;&gt;"",LEFT(C394,2)&lt;&gt;"Va",I394&lt;&gt;"H. Sale Real"),IF(I399-I394&lt;0.208333333333333,I399-I394,""),""))))),""),"")</f>
        <v/>
      </c>
      <c r="T398" s="89">
        <f>IF(G398&lt;&gt;"H. Sale Real",IF(AND(G399&lt;&gt;"",LEFT(C399,2)&lt;&gt;"Va"),IF(AND(G398&lt;&gt;"",LEFT(C398,2)&lt;&gt;"Va",G398&lt;&gt;"H. Sale Real"),IF(G399-G398&lt;0.208333333333333,G399-G398,""),IF(AND(G397&lt;&gt;"",LEFT(C397,2)&lt;&gt;"Va",G397&lt;&gt;"H. Sale Real"),IF(G399-G397&lt;0.208333333333333,G399-G397,""),IF(AND(G396&lt;&gt;"",LEFT(C396,2)&lt;&gt;"Va",G396&lt;&gt;"H. Sale Real"),IF(G399-G396&lt;0.208333333333333,G399-G396,""),IF(AND(G395&lt;&gt;"",LEFT(C395,2)&lt;&gt;"Va",G395&lt;&gt;"H. Sale Real"),IF(G399-G395&lt;0.208333333333333,G399-G395,""),IF(AND(G394&lt;&gt;"",LEFT(C394,2)&lt;&gt;"Va",G394&lt;&gt;"H. Sale Real"),IF(G399-G394&lt;0.208333333333333,G399-G394,""),""))))),""),"")</f>
        <v/>
      </c>
      <c r="U398" s="87" t="n"/>
      <c r="V398" s="89" t="n"/>
      <c r="W398" s="87" t="n"/>
      <c r="X398" s="89" t="n"/>
      <c r="Y398" s="91" t="n"/>
      <c r="Z398" s="122">
        <f>IF(G398&lt;&gt;"",IF(AND(Z397&lt;&gt;"IE",P398&lt;&gt;0,R398&lt;&gt;""),IF(IFERROR((P398/R398),0) &lt;=1,IFERROR(P398/R398,""),1),""),"")</f>
        <v/>
      </c>
      <c r="AA398" s="93" t="n"/>
      <c r="AB398" s="2" t="n"/>
      <c r="AE398" s="10">
        <f>HOUR(AK398)+1</f>
        <v/>
      </c>
      <c r="AF398" s="7" t="n"/>
      <c r="AG398" s="7" t="n"/>
      <c r="AH398" s="86" t="n"/>
      <c r="AI398" s="8" t="n"/>
      <c r="AJ398" s="86" t="n"/>
      <c r="AK398" s="87" t="n"/>
      <c r="AL398" s="88">
        <f>IF(AM398="","",IF(AND((AM398-AK398)&gt;=TIME(0,0,0),(AM398-AK398)&lt;TIME(0,3,0)),"OK",IF(AND((AM398-AK398)&gt;=TIME(0,3,0),(AM398-AK398)&lt;TIME(0,5,0)),"RETRASO DE 3-5 MIN",IF(AND((AM398-AK398)&gt;=TIME(0,5,0),(AM398-AK398)&lt;TIME(0,10,0)),"RETRASO DE 5-10 MIN",IF((AM398-AK398)&gt;=TIME(0,10,0),"RETRASO &gt;10 MIN",         IF(AND((AK398-AM398)&gt;=TIME(0,0,0),(AK398-AM398)&lt;TIME(0,3,0)),"OK",IF((AK398-AM398)&gt;=TIME(0,3,0),"ADELANTADO")))))))</f>
        <v/>
      </c>
      <c r="AM398" s="91" t="n"/>
      <c r="AN398" s="89">
        <f>IF(AE398&lt;&gt;"",HLOOKUP(VALUE(TEXT(AK398,"h:mm:ss")),IF($C$6="Laboral",$FZ$4:$GX$227,IF($C$6="Sábado",$FZ$231:$GX$452,$FZ$456:$GX$656)),VLOOKUP($C$4,$HF$2:$HH$99,3,0)+IF(AG$5="Ida",0,1),1),"")</f>
        <v/>
      </c>
      <c r="AO398" s="89">
        <f>IF(AE399&lt;&gt;AE398,AVERAGEIF(AE$9:AE398,AE398,AN$9:AN398),"")</f>
        <v/>
      </c>
      <c r="AP398" s="89">
        <f>IFERROR(IF(AE399&lt;&gt;AE398,AVERAGEIF(AE$9:AE398,AE398,AW$9:AW398),""),"")</f>
        <v/>
      </c>
      <c r="AQ398" s="89">
        <f>IFERROR(IF(AE399&lt;&gt;AE398,AVERAGEIF(AE$9:AE398,AE398,AX$9:AX398),""),"")</f>
        <v/>
      </c>
      <c r="AR398" s="89">
        <f t="array" ref="AR398">IFERROR(IF(AE399&lt;&gt;AE398,_xlfn.STDEV.P(IF(AE$9:AE398=AE398,AX$9:AX398)),""),"")</f>
        <v/>
      </c>
      <c r="AS398" s="89">
        <f t="array" ref="AS398">IFERROR(IF(AE399&lt;&gt;AE398,_xlfn.STDEV.P(IF(AE$9:AE398=AE398,AW$9:AW398)),""),"")</f>
        <v/>
      </c>
      <c r="AT398" s="90">
        <f>IFERROR(IF(AE398&lt;&gt;AE399,MAX((((AQ398*24*60)/2)*(1+POWER((((AR398*24*60) / (AQ398*24*60) )),2))) + ((AQ398*24*60 )*-0.1 + (AO398*0.015)) +1,(((AQ398*24*60)/2)*(1+POWER((((AR398*24*60) / (AQ398*24*60 ))),2)))),""),"")</f>
        <v/>
      </c>
      <c r="AU398" s="90">
        <f>IF(AND(AS398&lt;&gt;"",AP398&lt;&gt;""),IF(AE398&lt;&gt;AE399,((AP398*24*60) / 2 ) * (1 + POWER(((AS398*24*60) / (AP398*24*60)),2)),""),"")</f>
        <v/>
      </c>
      <c r="AV398" s="90">
        <f>IF(AU398&lt;&gt;"",MAX(AT398,AU398),"")</f>
        <v/>
      </c>
      <c r="AW398" s="89">
        <f>IF(AM398&lt;&gt;"H. Sale Real",IF(AND(AM399&lt;&gt;"",LEFT(AG399,2)&lt;&gt;"Va"),IF(AND(AM398&lt;&gt;"",LEFT(AG398,2)&lt;&gt;"Va",AM398&lt;&gt;"H. Sale Real"),IF(AM399-AM398&lt;0.208333333333333,AM399-AM398,""),IF(AND(AM397&lt;&gt;"",LEFT(AG397,2)&lt;&gt;"Va",AM397&lt;&gt;"H. Sale Real"),IF(AM399-AM397&lt;0.208333333333333,AM399-AM397,""),IF(AND(AM396&lt;&gt;"",LEFT(AG396,2)&lt;&gt;"Va",AM396&lt;&gt;"H. Sale Real"),IF(AM399-AM396&lt;0.208333333333333,AM399-AM396,""),IF(AND(AM395&lt;&gt;"",LEFT(AG395,2)&lt;&gt;"Va",AM395&lt;&gt;"H. Sale Real"),IF(AM399-AM395&lt;0.208333333333333,AM399-AM395,""),IF(AND(AM394&lt;&gt;"",LEFT(AG394,2)&lt;&gt;"Va",AM394&lt;&gt;"H. Sale Real"),IF(AM399-AM394&lt;0.208333333333333,AM399-AM394,""),""))))),""),"")</f>
        <v/>
      </c>
      <c r="AX398" s="89">
        <f>IF(AK398&lt;&gt;"H. Sale Real",IF(AND(AK399&lt;&gt;"",LEFT(AG399,2)&lt;&gt;"Va"),IF(AND(AK398&lt;&gt;"",LEFT(AG398,2)&lt;&gt;"Va",AK398&lt;&gt;"H. Sale Real"),IF(AK399-AK398&lt;0.208333333333333,AK399-AK398,""),IF(AND(AK397&lt;&gt;"",LEFT(AG397,2)&lt;&gt;"Va",AK397&lt;&gt;"H. Sale Real"),IF(AK399-AK397&lt;0.208333333333333,AK399-AK397,""),IF(AND(AK396&lt;&gt;"",LEFT(AG396,2)&lt;&gt;"NC",AK396&lt;&gt;"H. Sale Real"),IF(AK399-AK396&lt;0.208333333333333,AK399-AK396,""),IF(AND(AK395&lt;&gt;"",LEFT(AG395,2)&lt;&gt;"Va",AK395&lt;&gt;"H. Sale Real"),IF(AK399-AK395&lt;0.208333333333333,AK399-AK395,""),IF(AND(AK394&lt;&gt;"",LEFT(AG394,2)&lt;&gt;"Va",AK394&lt;&gt;"H. Sale Real"),IF(AK399-AK394&lt;0.208333333333333,AK399-AK394,""),""))))),""),"")</f>
        <v/>
      </c>
      <c r="AY398" s="87" t="n"/>
      <c r="AZ398" s="89" t="n"/>
      <c r="BA398" s="87" t="n"/>
      <c r="BB398" s="89" t="n"/>
      <c r="BC398" s="91" t="n"/>
      <c r="BD398" s="122">
        <f>IF(AK398&lt;&gt;"",IF(AND(BD397&lt;&gt;"IE",AT398&lt;&gt;0,AV398&lt;&gt;""),IF(IFERROR((AT398/AV398),0) &lt;=1,IFERROR(AT398/AV398,""),1),""),"")</f>
        <v/>
      </c>
      <c r="BE398" s="93" t="n"/>
      <c r="BF398" s="105" t="n"/>
      <c r="FC398" t="inlineStr">
        <is>
          <t>Diccionario 1</t>
        </is>
      </c>
      <c r="FD398" s="15" t="n">
        <v>1397</v>
      </c>
      <c r="FE398" s="15" t="inlineStr">
        <is>
          <t>MDN35025010133</t>
        </is>
      </c>
      <c r="FF398" s="15" t="inlineStr">
        <is>
          <t>LDYECS310S0043842</t>
        </is>
      </c>
      <c r="FG398" s="15" t="inlineStr">
        <is>
          <t>Zhong Tong</t>
        </is>
      </c>
      <c r="FH398" s="15" t="inlineStr">
        <is>
          <t>Lck6122evg</t>
        </is>
      </c>
      <c r="FI398" s="15" t="inlineStr">
        <is>
          <t>ZHONGTONG</t>
        </is>
      </c>
      <c r="FJ398" s="15" t="inlineStr">
        <is>
          <t>LCK6122EVG</t>
        </is>
      </c>
      <c r="FK398" s="15" t="n">
        <v>2025</v>
      </c>
      <c r="FL398" s="15" t="inlineStr">
        <is>
          <t>B</t>
        </is>
      </c>
      <c r="FM398" s="15" t="inlineStr">
        <is>
          <t>SAN ALFONSO</t>
        </is>
      </c>
      <c r="FN398" s="15" t="inlineStr">
        <is>
          <t>San Alfonso 2141 (Ramón Subercaseaux 3060)</t>
        </is>
      </c>
      <c r="FO398" s="15" t="inlineStr">
        <is>
          <t>Estacion Central</t>
        </is>
      </c>
      <c r="FP398" t="inlineStr">
        <is>
          <t>B</t>
        </is>
      </c>
      <c r="FS398" s="14" t="inlineStr">
        <is>
          <t>3104 / SFWZ-52|</t>
        </is>
      </c>
      <c r="FT398" t="inlineStr">
        <is>
          <t>SFWZ-52|</t>
        </is>
      </c>
      <c r="FU398" t="inlineStr">
        <is>
          <t>SFWZ-52</t>
        </is>
      </c>
      <c r="FV398">
        <f>VLOOKUP(FU398,FD:FL,9,0)</f>
        <v/>
      </c>
      <c r="HA398" s="35" t="n">
        <v>168</v>
      </c>
      <c r="HB398" s="35" t="n">
        <v>392</v>
      </c>
    </row>
    <row r="399" ht="15.5" customHeight="1">
      <c r="A399" s="10">
        <f>HOUR(G399)+1</f>
        <v/>
      </c>
      <c r="B399" s="7" t="n"/>
      <c r="C399" s="7" t="n"/>
      <c r="D399" s="85">
        <f>IFERROR(
IF(AND(OR(Planilla!B399="C",Planilla!B399="c"), VLOOKUP(E399,FD:FP,13,0)="C"), "OK",IF(AND(OR(Planilla!B399="C",Planilla!B399="c"), OR(VLOOKUP(E399,FD:FP,13,0)="B", VLOOKUP(E399,FD:FP,13,0)="A")), "DEFICIT",IF(
AND(OR(Planilla!B399="B", Planilla!B399="BPAL"), VLOOKUP(E399,FD:FP,13,0)="B"), "OK",IF(AND(OR(Planilla!B399="B", Planilla!B399="BPAL"), VLOOKUP(E399,FD:FP,13,0)="A"), "DEFICIT",IF(AND(OR(Planilla!B399="B", Planilla!B399="BPAL"), VLOOKUP(E399,FD:FP,13,0)="C"), "SOBREOFERTA",IF(AND(Planilla!B399="A", VLOOKUP(E399,FD:FP,13,0)="A"), "OK",IF(
AND(Planilla!B399="A", OR(VLOOKUP(E399,FD:FP,13,0)="B", VLOOKUP(E399,FD:FP,13,0)="C")), "SOBREOFERTA",""
))))))),"")</f>
        <v/>
      </c>
      <c r="E399" s="8" t="n"/>
      <c r="F399" s="86" t="n"/>
      <c r="G399" s="87" t="n"/>
      <c r="H399" s="88">
        <f>IF(I399="","",IF(AND((I399-G399)&gt;=TIME(0,0,0),(I399-G399)&lt;TIME(0,3,0)),"OK",IF(AND((I399-G399)&gt;=TIME(0,3,0),(I399-G399)&lt;TIME(0,5,0)),"RETRASO DE 3-5 MIN",IF(AND((I399-G399)&gt;=TIME(0,5,0),(I399-G399)&lt;TIME(0,10,0)),"RETRASO DE 5-10 MIN",IF((I399-G399)&gt;=TIME(0,10,0),"RETRASO &gt;10 MIN", IF(AND((G399-I399)&gt;=TIME(0,0,0),(G399-I399)&lt;TIME(0,3,0)),"OK",IF((G399-I399)&gt;=TIME(0,3,0),"ADELANTADO")))))))</f>
        <v/>
      </c>
      <c r="I399" s="89" t="n"/>
      <c r="J399" s="89">
        <f>IF(A399&lt;&gt;"",HLOOKUP(VALUE(TEXT(G399,"h:mm:ss")),IF($C$6="Laboral",$FZ$4:$GX$227,IF($C$6="Sábado",$FZ$231:$GX$452,$FZ$456:$GX$656)),VLOOKUP($C$4,$HF$2:$HH$99,3,0)+IF(C$5="Ida",0,1),1),"")</f>
        <v/>
      </c>
      <c r="K399" s="89">
        <f>IF(A400&lt;&gt;A399,AVERAGEIF(A$9:A399,A399,J$9:J399),"")</f>
        <v/>
      </c>
      <c r="L399" s="89">
        <f>IFERROR(IF(A400&lt;&gt;A399,AVERAGEIF(A$9:A399,A399,S$9:S399),""),"")</f>
        <v/>
      </c>
      <c r="M399" s="89">
        <f>IFERROR(IF(A400&lt;&gt;A399,AVERAGEIF(A$9:A399,A399,T$9:T399),""),"")</f>
        <v/>
      </c>
      <c r="N399" s="89">
        <f t="array" ref="N399">IFERROR(IF(A400&lt;&gt;A399,_xlfn.STDEV.P(IF(A$9:A399=A399,T$9:T399)),""),"")</f>
        <v/>
      </c>
      <c r="O399" s="89">
        <f t="array" ref="O399">IFERROR(IF(A400&lt;&gt;A399,_xlfn.STDEV.P(IF(A$9:A399=A399,S$9:S399)),""),"")</f>
        <v/>
      </c>
      <c r="P399" s="90">
        <f>IFERROR(IF(A399&lt;&gt;A400,MAX((((M399*24*60)/2)*(1+POWER((((N399*24*60) / (M399*24*60) )),2))) + ((M399*24*60 )*-0.1 + (K399*0.015)) +1,(((M399*24*60)/2)*(1+POWER((((N399*24*60) / (M399*24*60 ))),2)))),""),"")</f>
        <v/>
      </c>
      <c r="Q399" s="90">
        <f>IF(AND(O399&lt;&gt;"",L399&lt;&gt;""),IF(A399&lt;&gt;A400,((L399*24*60) / 2 ) * (1 + POWER(((O399*24*60) / (L399*24*60)),2)),""),"")</f>
        <v/>
      </c>
      <c r="R399" s="90">
        <f>IF(Q399&lt;&gt;"",MAX(P399,Q399),"")</f>
        <v/>
      </c>
      <c r="S399" s="89">
        <f>IF(I399&lt;&gt;"H. Sale Real",IF(AND(I400&lt;&gt;"",LEFT(C400,2)&lt;&gt;"Va"),IF(AND(I399&lt;&gt;"",LEFT(C399,2)&lt;&gt;"Va",I399&lt;&gt;"H. Sale Real"),IF(I400-I399&lt;0.208333333333333,I400-I399,""),IF(AND(I398&lt;&gt;"",LEFT(C398,2)&lt;&gt;"Va",I398&lt;&gt;"H. Sale Real"),IF(I400-I398&lt;0.208333333333333,I400-I398,""),IF(AND(I397&lt;&gt;"",LEFT(C397,2)&lt;&gt;"Va",I397&lt;&gt;"H. Sale Real"),IF(I400-I397&lt;0.208333333333333,I400-I397,""),IF(AND(I396&lt;&gt;"",LEFT(C396,2)&lt;&gt;"Va",I396&lt;&gt;"H. Sale Real"),IF(I400-I396&lt;0.208333333333333,I400-I396,""),IF(AND(I395&lt;&gt;"",LEFT(C395,2)&lt;&gt;"Va",I395&lt;&gt;"H. Sale Real"),IF(I400-I395&lt;0.208333333333333,I400-I395,""),""))))),""),"")</f>
        <v/>
      </c>
      <c r="T399" s="89">
        <f>IF(G399&lt;&gt;"H. Sale Real",IF(AND(G400&lt;&gt;"",LEFT(C400,2)&lt;&gt;"Va"),IF(AND(G399&lt;&gt;"",LEFT(C399,2)&lt;&gt;"Va",G399&lt;&gt;"H. Sale Real"),IF(G400-G399&lt;0.208333333333333,G400-G399,""),IF(AND(G398&lt;&gt;"",LEFT(C398,2)&lt;&gt;"Va",G398&lt;&gt;"H. Sale Real"),IF(G400-G398&lt;0.208333333333333,G400-G398,""),IF(AND(G397&lt;&gt;"",LEFT(C397,2)&lt;&gt;"Va",G397&lt;&gt;"H. Sale Real"),IF(G400-G397&lt;0.208333333333333,G400-G397,""),IF(AND(G396&lt;&gt;"",LEFT(C396,2)&lt;&gt;"Va",G396&lt;&gt;"H. Sale Real"),IF(G400-G396&lt;0.208333333333333,G400-G396,""),IF(AND(G395&lt;&gt;"",LEFT(C395,2)&lt;&gt;"Va",G395&lt;&gt;"H. Sale Real"),IF(G400-G395&lt;0.208333333333333,G400-G395,""),""))))),""),"")</f>
        <v/>
      </c>
      <c r="U399" s="87" t="n"/>
      <c r="V399" s="89" t="n"/>
      <c r="W399" s="87" t="n"/>
      <c r="X399" s="89" t="n"/>
      <c r="Y399" s="91" t="n"/>
      <c r="Z399" s="122">
        <f>IF(G399&lt;&gt;"",IF(AND(Z398&lt;&gt;"IE",P399&lt;&gt;0,R399&lt;&gt;""),IF(IFERROR((P399/R399),0) &lt;=1,IFERROR(P399/R399,""),1),""),"")</f>
        <v/>
      </c>
      <c r="AA399" s="93" t="n"/>
      <c r="AB399" s="2" t="n"/>
      <c r="AE399" s="10">
        <f>HOUR(AK399)+1</f>
        <v/>
      </c>
      <c r="AF399" s="7" t="n"/>
      <c r="AG399" s="7" t="n"/>
      <c r="AH399" s="86" t="n"/>
      <c r="AI399" s="8" t="n"/>
      <c r="AJ399" s="86" t="n"/>
      <c r="AK399" s="87" t="n"/>
      <c r="AL399" s="88">
        <f>IF(AM399="","",IF(AND((AM399-AK399)&gt;=TIME(0,0,0),(AM399-AK399)&lt;TIME(0,3,0)),"OK",IF(AND((AM399-AK399)&gt;=TIME(0,3,0),(AM399-AK399)&lt;TIME(0,5,0)),"RETRASO DE 3-5 MIN",IF(AND((AM399-AK399)&gt;=TIME(0,5,0),(AM399-AK399)&lt;TIME(0,10,0)),"RETRASO DE 5-10 MIN",IF((AM399-AK399)&gt;=TIME(0,10,0),"RETRASO &gt;10 MIN", IF(AND((AK399-AM399)&gt;=TIME(0,0,0),(AK399-AM399)&lt;TIME(0,3,0)),"OK",IF((AK399-AM399)&gt;=TIME(0,3,0),"ADELANTADO")))))))</f>
        <v/>
      </c>
      <c r="AM399" s="91" t="n"/>
      <c r="AN399" s="89">
        <f>IF(AE399&lt;&gt;"",HLOOKUP(VALUE(TEXT(AK399,"h:mm:ss")),IF($C$6="Laboral",$FZ$4:$GX$227,IF($C$6="Sábado",$FZ$231:$GX$452,$FZ$456:$GX$656)),VLOOKUP($C$4,$HF$2:$HH$99,3,0)+IF(AG$5="Ida",0,1),1),"")</f>
        <v/>
      </c>
      <c r="AO399" s="89">
        <f>IF(AE400&lt;&gt;AE399,AVERAGEIF(AE$9:AE399,AE399,AN$9:AN399),"")</f>
        <v/>
      </c>
      <c r="AP399" s="89">
        <f>IFERROR(IF(AE400&lt;&gt;AE399,AVERAGEIF(AE$9:AE399,AE399,AW$9:AW399),""),"")</f>
        <v/>
      </c>
      <c r="AQ399" s="89">
        <f>IFERROR(IF(AE400&lt;&gt;AE399,AVERAGEIF(AE$9:AE399,AE399,AX$9:AX399),""),"")</f>
        <v/>
      </c>
      <c r="AR399" s="89">
        <f t="array" ref="AR399">IFERROR(IF(AE400&lt;&gt;AE399,_xlfn.STDEV.P(IF(AE$9:AE399=AE399,AX$9:AX399)),""),"")</f>
        <v/>
      </c>
      <c r="AS399" s="89">
        <f t="array" ref="AS399">IFERROR(IF(AE400&lt;&gt;AE399,_xlfn.STDEV.P(IF(AE$9:AE399=AE399,AW$9:AW399)),""),"")</f>
        <v/>
      </c>
      <c r="AT399" s="90">
        <f>IFERROR(IF(AE399&lt;&gt;AE400,MAX((((AQ399*24*60)/2)*(1+POWER((((AR399*24*60) / (AQ399*24*60) )),2))) + ((AQ399*24*60 )*-0.1 + (AO399*0.015)) +1,(((AQ399*24*60)/2)*(1+POWER((((AR399*24*60) / (AQ399*24*60 ))),2)))),""),"")</f>
        <v/>
      </c>
      <c r="AU399" s="90">
        <f>IF(AND(AS399&lt;&gt;"",AP399&lt;&gt;""),IF(AE399&lt;&gt;AE400,((AP399*24*60) / 2 ) * (1 + POWER(((AS399*24*60) / (AP399*24*60)),2)),""),"")</f>
        <v/>
      </c>
      <c r="AV399" s="90">
        <f>IF(AU399&lt;&gt;"",MAX(AT399,AU399),"")</f>
        <v/>
      </c>
      <c r="AW399" s="89">
        <f>IF(AM399&lt;&gt;"H. Sale Real",IF(AND(AM400&lt;&gt;"",LEFT(AG400,2)&lt;&gt;"Va"),IF(AND(AM399&lt;&gt;"",LEFT(AG399,2)&lt;&gt;"Va",AM399&lt;&gt;"H. Sale Real"),IF(AM400-AM399&lt;0.208333333333333,AM400-AM399,""),IF(AND(AM398&lt;&gt;"",LEFT(AG398,2)&lt;&gt;"Va",AM398&lt;&gt;"H. Sale Real"),IF(AM400-AM398&lt;0.208333333333333,AM400-AM398,""),IF(AND(AM397&lt;&gt;"",LEFT(AG397,2)&lt;&gt;"Va",AM397&lt;&gt;"H. Sale Real"),IF(AM400-AM397&lt;0.208333333333333,AM400-AM397,""),IF(AND(AM396&lt;&gt;"",LEFT(AG396,2)&lt;&gt;"Va",AM396&lt;&gt;"H. Sale Real"),IF(AM400-AM396&lt;0.208333333333333,AM400-AM396,""),IF(AND(AM395&lt;&gt;"",LEFT(AG395,2)&lt;&gt;"Va",AM395&lt;&gt;"H. Sale Real"),IF(AM400-AM395&lt;0.208333333333333,AM400-AM395,""),""))))),""),"")</f>
        <v/>
      </c>
      <c r="AX399" s="89">
        <f>IF(AK399&lt;&gt;"H. Sale Real",IF(AND(AK400&lt;&gt;"",LEFT(AG400,2)&lt;&gt;"Va"),IF(AND(AK399&lt;&gt;"",LEFT(AG399,2)&lt;&gt;"Va",AK399&lt;&gt;"H. Sale Real"),IF(AK400-AK399&lt;0.208333333333333,AK400-AK399,""),IF(AND(AK398&lt;&gt;"",LEFT(AG398,2)&lt;&gt;"Va",AK398&lt;&gt;"H. Sale Real"),IF(AK400-AK398&lt;0.208333333333333,AK400-AK398,""),IF(AND(AK397&lt;&gt;"",LEFT(AG397,2)&lt;&gt;"NC",AK397&lt;&gt;"H. Sale Real"),IF(AK400-AK397&lt;0.208333333333333,AK400-AK397,""),IF(AND(AK396&lt;&gt;"",LEFT(AG396,2)&lt;&gt;"Va",AK396&lt;&gt;"H. Sale Real"),IF(AK400-AK396&lt;0.208333333333333,AK400-AK396,""),IF(AND(AK395&lt;&gt;"",LEFT(AG395,2)&lt;&gt;"Va",AK395&lt;&gt;"H. Sale Real"),IF(AK400-AK395&lt;0.208333333333333,AK400-AK395,""),""))))),""),"")</f>
        <v/>
      </c>
      <c r="AY399" s="87" t="n"/>
      <c r="AZ399" s="89" t="n"/>
      <c r="BA399" s="87" t="n"/>
      <c r="BB399" s="89" t="n"/>
      <c r="BC399" s="91" t="n"/>
      <c r="BD399" s="122">
        <f>IF(AK399&lt;&gt;"",IF(AND(BD398&lt;&gt;"IE",AT399&lt;&gt;0,AV399&lt;&gt;""),IF(IFERROR((AT399/AV399),0) &lt;=1,IFERROR(AT399/AV399,""),1),""),"")</f>
        <v/>
      </c>
      <c r="BE399" s="93" t="n"/>
      <c r="BF399" s="105" t="n"/>
      <c r="FC399" t="inlineStr">
        <is>
          <t>Diccionario 1</t>
        </is>
      </c>
      <c r="FD399" s="15" t="n">
        <v>1398</v>
      </c>
      <c r="FE399" s="15" t="inlineStr">
        <is>
          <t>MDN35025020065</t>
        </is>
      </c>
      <c r="FF399" s="15" t="inlineStr">
        <is>
          <t>LDYECS317S0043854</t>
        </is>
      </c>
      <c r="FG399" s="15" t="inlineStr">
        <is>
          <t>Zhong Tong</t>
        </is>
      </c>
      <c r="FH399" s="15" t="inlineStr">
        <is>
          <t>Lck6122evg</t>
        </is>
      </c>
      <c r="FI399" s="15" t="inlineStr">
        <is>
          <t>ZHONGTONG</t>
        </is>
      </c>
      <c r="FJ399" s="15" t="inlineStr">
        <is>
          <t>LCK6122EVG</t>
        </is>
      </c>
      <c r="FK399" s="15" t="n">
        <v>2025</v>
      </c>
      <c r="FL399" s="15" t="inlineStr">
        <is>
          <t>B</t>
        </is>
      </c>
      <c r="FM399" s="15" t="inlineStr">
        <is>
          <t>PIE ANDINO</t>
        </is>
      </c>
      <c r="FN399" s="15" t="inlineStr">
        <is>
          <t>Pie Andino 31 (Pie Andino 383)</t>
        </is>
      </c>
      <c r="FO399" s="15" t="inlineStr">
        <is>
          <t>Puente Alto</t>
        </is>
      </c>
      <c r="FP399" t="inlineStr">
        <is>
          <t>B</t>
        </is>
      </c>
      <c r="FS399" s="14" t="inlineStr">
        <is>
          <t>3104 / SFWZ-52|</t>
        </is>
      </c>
      <c r="FT399" t="inlineStr">
        <is>
          <t>SFWZ-52|</t>
        </is>
      </c>
      <c r="FU399" t="inlineStr">
        <is>
          <t>SFWZ-52</t>
        </is>
      </c>
      <c r="FV399">
        <f>VLOOKUP(FU399,FD:FL,9,0)</f>
        <v/>
      </c>
      <c r="HA399" s="35" t="n">
        <v>169</v>
      </c>
      <c r="HB399" s="35" t="n">
        <v>393</v>
      </c>
    </row>
    <row r="400" ht="15.5" customHeight="1">
      <c r="A400" s="10">
        <f>HOUR(G400)+1</f>
        <v/>
      </c>
      <c r="B400" s="7" t="n"/>
      <c r="C400" s="7" t="n"/>
      <c r="D400" s="85">
        <f>IFERROR(
IF(AND(OR(Planilla!B400="C",Planilla!B400="c"), VLOOKUP(E400,FD:FP,13,0)="C"), "OK",IF(AND(OR(Planilla!B400="C",Planilla!B400="c"), OR(VLOOKUP(E400,FD:FP,13,0)="B", VLOOKUP(E400,FD:FP,13,0)="A")), "DEFICIT",IF(
AND(OR(Planilla!B400="B", Planilla!B400="BPAL"), VLOOKUP(E400,FD:FP,13,0)="B"), "OK",IF(AND(OR(Planilla!B400="B", Planilla!B400="BPAL"), VLOOKUP(E400,FD:FP,13,0)="A"), "DEFICIT",IF(AND(OR(Planilla!B400="B", Planilla!B400="BPAL"), VLOOKUP(E400,FD:FP,13,0)="C"), "SOBREOFERTA",IF(AND(Planilla!B400="A", VLOOKUP(E400,FD:FP,13,0)="A"), "OK",IF(
AND(Planilla!B400="A", OR(VLOOKUP(E400,FD:FP,13,0)="B", VLOOKUP(E400,FD:FP,13,0)="C")), "SOBREOFERTA",""
))))))),"")</f>
        <v/>
      </c>
      <c r="E400" s="8" t="n"/>
      <c r="F400" s="86" t="n"/>
      <c r="G400" s="87" t="n"/>
      <c r="H400" s="88">
        <f>IF(I400="","",IF(AND((I400-G400)&gt;=TIME(0,0,0),(I400-G400)&lt;TIME(0,3,0)),"OK",IF(AND((I400-G400)&gt;=TIME(0,3,0),(I400-G400)&lt;TIME(0,5,0)),"RETRASO DE 3-5 MIN",IF(AND((I400-G400)&gt;=TIME(0,5,0),(I400-G400)&lt;TIME(0,10,0)),"RETRASO DE 5-10 MIN",IF((I400-G400)&gt;=TIME(0,10,0),"RETRASO &gt;10 MIN", IF(AND((G400-I400)&gt;=TIME(0,0,0),(G400-I400)&lt;TIME(0,3,0)),"OK",IF((G400-I400)&gt;=TIME(0,3,0),"ADELANTADO")))))))</f>
        <v/>
      </c>
      <c r="I400" s="89" t="n"/>
      <c r="J400" s="89">
        <f>IF(A400&lt;&gt;"",HLOOKUP(VALUE(TEXT(G400,"h:mm:ss")),IF($C$6="Laboral",$FZ$4:$GX$227,IF($C$6="Sábado",$FZ$231:$GX$452,$FZ$456:$GX$656)),VLOOKUP($C$4,$HF$2:$HH$99,3,0)+IF(C$5="Ida",0,1),1),"")</f>
        <v/>
      </c>
      <c r="K400" s="89">
        <f>IF(A401&lt;&gt;A400,AVERAGEIF(A$9:A400,A400,J$9:J400),"")</f>
        <v/>
      </c>
      <c r="L400" s="89">
        <f>IFERROR(IF(A401&lt;&gt;A400,AVERAGEIF(A$9:A400,A400,S$9:S400),""),"")</f>
        <v/>
      </c>
      <c r="M400" s="89">
        <f>IFERROR(IF(A401&lt;&gt;A400,AVERAGEIF(A$9:A400,A400,T$9:T400),""),"")</f>
        <v/>
      </c>
      <c r="N400" s="89">
        <f t="array" ref="N400">IFERROR(IF(A401&lt;&gt;A400,_xlfn.STDEV.P(IF(A$9:A400=A400,T$9:T400)),""),"")</f>
        <v/>
      </c>
      <c r="O400" s="89">
        <f t="array" ref="O400">IFERROR(IF(A401&lt;&gt;A400,_xlfn.STDEV.P(IF(A$9:A400=A400,S$9:S400)),""),"")</f>
        <v/>
      </c>
      <c r="P400" s="90">
        <f>IFERROR(IF(A400&lt;&gt;A401,MAX((((M400*24*60)/2)*(1+POWER((((N400*24*60) / (M400*24*60) )),2))) + ((M400*24*60 )*-0.1 + (K400*0.015)) +1,(((M400*24*60)/2)*(1+POWER((((N400*24*60) / (M400*24*60 ))),2)))),""),"")</f>
        <v/>
      </c>
      <c r="Q400" s="90">
        <f>IF(AND(O400&lt;&gt;"",L400&lt;&gt;""),IF(A400&lt;&gt;A401,((L400*24*60) / 2 ) * (1 + POWER(((O400*24*60) / (L400*24*60)),2)),""),"")</f>
        <v/>
      </c>
      <c r="R400" s="90">
        <f>IF(Q400&lt;&gt;"",MAX(P400,Q400),"")</f>
        <v/>
      </c>
      <c r="S400" s="89">
        <f>IF(I400&lt;&gt;"H. Sale Real",IF(AND(I401&lt;&gt;"",LEFT(C401,2)&lt;&gt;"Va"),IF(AND(I400&lt;&gt;"",LEFT(C400,2)&lt;&gt;"Va",I400&lt;&gt;"H. Sale Real"),IF(I401-I400&lt;0.208333333333333,I401-I400,""),IF(AND(I399&lt;&gt;"",LEFT(C399,2)&lt;&gt;"Va",I399&lt;&gt;"H. Sale Real"),IF(I401-I399&lt;0.208333333333333,I401-I399,""),IF(AND(I398&lt;&gt;"",LEFT(C398,2)&lt;&gt;"Va",I398&lt;&gt;"H. Sale Real"),IF(I401-I398&lt;0.208333333333333,I401-I398,""),IF(AND(I397&lt;&gt;"",LEFT(C397,2)&lt;&gt;"Va",I397&lt;&gt;"H. Sale Real"),IF(I401-I397&lt;0.208333333333333,I401-I397,""),IF(AND(I396&lt;&gt;"",LEFT(C396,2)&lt;&gt;"Va",I396&lt;&gt;"H. Sale Real"),IF(I401-I396&lt;0.208333333333333,I401-I396,""),""))))),""),"")</f>
        <v/>
      </c>
      <c r="T400" s="89">
        <f>IF(G400&lt;&gt;"H. Sale Real",IF(AND(G401&lt;&gt;"",LEFT(C401,2)&lt;&gt;"Va"),IF(AND(G400&lt;&gt;"",LEFT(C400,2)&lt;&gt;"Va",G400&lt;&gt;"H. Sale Real"),IF(G401-G400&lt;0.208333333333333,G401-G400,""),IF(AND(G399&lt;&gt;"",LEFT(C399,2)&lt;&gt;"Va",G399&lt;&gt;"H. Sale Real"),IF(G401-G399&lt;0.208333333333333,G401-G399,""),IF(AND(G398&lt;&gt;"",LEFT(C398,2)&lt;&gt;"Va",G398&lt;&gt;"H. Sale Real"),IF(G401-G398&lt;0.208333333333333,G401-G398,""),IF(AND(G397&lt;&gt;"",LEFT(C397,2)&lt;&gt;"Va",G397&lt;&gt;"H. Sale Real"),IF(G401-G397&lt;0.208333333333333,G401-G397,""),IF(AND(G396&lt;&gt;"",LEFT(C396,2)&lt;&gt;"Va",G396&lt;&gt;"H. Sale Real"),IF(G401-G396&lt;0.208333333333333,G401-G396,""),""))))),""),"")</f>
        <v/>
      </c>
      <c r="U400" s="87" t="n"/>
      <c r="V400" s="89" t="n"/>
      <c r="W400" s="87" t="n"/>
      <c r="X400" s="89" t="n"/>
      <c r="Y400" s="91" t="n"/>
      <c r="Z400" s="122">
        <f>IF(G400&lt;&gt;"",IF(AND(Z399&lt;&gt;"IE",P400&lt;&gt;0,R400&lt;&gt;""),IF(IFERROR((P400/R400),0) &lt;=1,IFERROR(P400/R400,""),1),""),"")</f>
        <v/>
      </c>
      <c r="AA400" s="93" t="n"/>
      <c r="AB400" s="2" t="n"/>
      <c r="AE400" s="10">
        <f>HOUR(AK400)+1</f>
        <v/>
      </c>
      <c r="AF400" s="7" t="n"/>
      <c r="AG400" s="7" t="n"/>
      <c r="AH400" s="86" t="n"/>
      <c r="AI400" s="8" t="n"/>
      <c r="AJ400" s="86" t="n"/>
      <c r="AK400" s="87" t="n"/>
      <c r="AL400" s="88">
        <f>IF(AM400="","",IF(AND((AM400-AK400)&gt;=TIME(0,0,0),(AM400-AK400)&lt;TIME(0,3,0)),"OK",IF(AND((AM400-AK400)&gt;=TIME(0,3,0),(AM400-AK400)&lt;TIME(0,5,0)),"RETRASO DE 3-5 MIN",IF(AND((AM400-AK400)&gt;=TIME(0,5,0),(AM400-AK400)&lt;TIME(0,10,0)),"RETRASO DE 5-10 MIN",IF((AM400-AK400)&gt;=TIME(0,10,0),"RETRASO &gt;10 MIN", IF(AND((AK400-AM400)&gt;=TIME(0,0,0),(AK400-AM400)&lt;TIME(0,3,0)),"OK",IF((AK400-AM400)&gt;=TIME(0,3,0),"ADELANTADO")))))))</f>
        <v/>
      </c>
      <c r="AM400" s="91" t="n"/>
      <c r="AN400" s="89">
        <f>IF(AE400&lt;&gt;"",HLOOKUP(VALUE(TEXT(AK400,"h:mm:ss")),IF($C$6="Laboral",$FZ$4:$GX$227,IF($C$6="Sábado",$FZ$231:$GX$452,$FZ$456:$GX$656)),VLOOKUP($C$4,$HF$2:$HH$99,3,0)+IF(AG$5="Ida",0,1),1),"")</f>
        <v/>
      </c>
      <c r="AO400" s="89">
        <f>IF(AE401&lt;&gt;AE400,AVERAGEIF(AE$9:AE400,AE400,AN$9:AN400),"")</f>
        <v/>
      </c>
      <c r="AP400" s="89">
        <f>IFERROR(IF(AE401&lt;&gt;AE400,AVERAGEIF(AE$9:AE400,AE400,AW$9:AW400),""),"")</f>
        <v/>
      </c>
      <c r="AQ400" s="89">
        <f>IFERROR(IF(AE401&lt;&gt;AE400,AVERAGEIF(AE$9:AE400,AE400,AX$9:AX400),""),"")</f>
        <v/>
      </c>
      <c r="AR400" s="89">
        <f t="array" ref="AR400">IFERROR(IF(AE401&lt;&gt;AE400,_xlfn.STDEV.P(IF(AE$9:AE400=AE400,AX$9:AX400)),""),"")</f>
        <v/>
      </c>
      <c r="AS400" s="89">
        <f t="array" ref="AS400">IFERROR(IF(AE401&lt;&gt;AE400,_xlfn.STDEV.P(IF(AE$9:AE400=AE400,AW$9:AW400)),""),"")</f>
        <v/>
      </c>
      <c r="AT400" s="90">
        <f>IFERROR(IF(AE400&lt;&gt;AE401,MAX((((AQ400*24*60)/2)*(1+POWER((((AR400*24*60) / (AQ400*24*60) )),2))) + ((AQ400*24*60 )*-0.1 + (AO400*0.015)) +1,(((AQ400*24*60)/2)*(1+POWER((((AR400*24*60) / (AQ400*24*60 ))),2)))),""),"")</f>
        <v/>
      </c>
      <c r="AU400" s="90">
        <f>IF(AND(AS400&lt;&gt;"",AP400&lt;&gt;""),IF(AE400&lt;&gt;AE401,((AP400*24*60) / 2 ) * (1 + POWER(((AS400*24*60) / (AP400*24*60)),2)),""),"")</f>
        <v/>
      </c>
      <c r="AV400" s="90">
        <f>IF(AU400&lt;&gt;"",MAX(AT400,AU400),"")</f>
        <v/>
      </c>
      <c r="AW400" s="89">
        <f>IF(AM400&lt;&gt;"H. Sale Real",IF(AND(AM401&lt;&gt;"",LEFT(AG401,2)&lt;&gt;"Va"),IF(AND(AM400&lt;&gt;"",LEFT(AG400,2)&lt;&gt;"Va",AM400&lt;&gt;"H. Sale Real"),IF(AM401-AM400&lt;0.208333333333333,AM401-AM400,""),IF(AND(AM399&lt;&gt;"",LEFT(AG399,2)&lt;&gt;"Va",AM399&lt;&gt;"H. Sale Real"),IF(AM401-AM399&lt;0.208333333333333,AM401-AM399,""),IF(AND(AM398&lt;&gt;"",LEFT(AG398,2)&lt;&gt;"Va",AM398&lt;&gt;"H. Sale Real"),IF(AM401-AM398&lt;0.208333333333333,AM401-AM398,""),IF(AND(AM397&lt;&gt;"",LEFT(AG397,2)&lt;&gt;"Va",AM397&lt;&gt;"H. Sale Real"),IF(AM401-AM397&lt;0.208333333333333,AM401-AM397,""),IF(AND(AM396&lt;&gt;"",LEFT(AG396,2)&lt;&gt;"Va",AM396&lt;&gt;"H. Sale Real"),IF(AM401-AM396&lt;0.208333333333333,AM401-AM396,""),""))))),""),"")</f>
        <v/>
      </c>
      <c r="AX400" s="89">
        <f>IF(AK400&lt;&gt;"H. Sale Real",IF(AND(AK401&lt;&gt;"",LEFT(AG401,2)&lt;&gt;"Va"),IF(AND(AK400&lt;&gt;"",LEFT(AG400,2)&lt;&gt;"Va",AK400&lt;&gt;"H. Sale Real"),IF(AK401-AK400&lt;0.208333333333333,AK401-AK400,""),IF(AND(AK399&lt;&gt;"",LEFT(AG399,2)&lt;&gt;"Va",AK399&lt;&gt;"H. Sale Real"),IF(AK401-AK399&lt;0.208333333333333,AK401-AK399,""),IF(AND(AK398&lt;&gt;"",LEFT(AG398,2)&lt;&gt;"NC",AK398&lt;&gt;"H. Sale Real"),IF(AK401-AK398&lt;0.208333333333333,AK401-AK398,""),IF(AND(AK397&lt;&gt;"",LEFT(AG397,2)&lt;&gt;"Va",AK397&lt;&gt;"H. Sale Real"),IF(AK401-AK397&lt;0.208333333333333,AK401-AK397,""),IF(AND(AK396&lt;&gt;"",LEFT(AG396,2)&lt;&gt;"Va",AK396&lt;&gt;"H. Sale Real"),IF(AK401-AK396&lt;0.208333333333333,AK401-AK396,""),""))))),""),"")</f>
        <v/>
      </c>
      <c r="AY400" s="87" t="n"/>
      <c r="AZ400" s="89" t="n"/>
      <c r="BA400" s="87" t="n"/>
      <c r="BB400" s="89" t="n"/>
      <c r="BC400" s="91" t="n"/>
      <c r="BD400" s="122">
        <f>IF(AK400&lt;&gt;"",IF(AND(BD399&lt;&gt;"IE",AT400&lt;&gt;0,AV400&lt;&gt;""),IF(IFERROR((AT400/AV400),0) &lt;=1,IFERROR(AT400/AV400,""),1),""),"")</f>
        <v/>
      </c>
      <c r="BE400" s="93" t="n"/>
      <c r="BF400" s="105" t="n"/>
      <c r="FC400" t="inlineStr">
        <is>
          <t>Diccionario 1</t>
        </is>
      </c>
      <c r="FD400" s="15" t="n">
        <v>1399</v>
      </c>
      <c r="FE400" s="15" t="inlineStr">
        <is>
          <t>MDN35025020066</t>
        </is>
      </c>
      <c r="FF400" s="15" t="inlineStr">
        <is>
          <t>LDYECS313S0043849</t>
        </is>
      </c>
      <c r="FG400" s="15" t="inlineStr">
        <is>
          <t>Zhong Tong</t>
        </is>
      </c>
      <c r="FH400" s="15" t="inlineStr">
        <is>
          <t>Lck6122evg</t>
        </is>
      </c>
      <c r="FI400" s="15" t="inlineStr">
        <is>
          <t>ZHONGTONG</t>
        </is>
      </c>
      <c r="FJ400" s="15" t="inlineStr">
        <is>
          <t>LCK6122EVG</t>
        </is>
      </c>
      <c r="FK400" s="15" t="n">
        <v>2025</v>
      </c>
      <c r="FL400" s="15" t="inlineStr">
        <is>
          <t>B</t>
        </is>
      </c>
      <c r="FM400" s="15" t="inlineStr">
        <is>
          <t>PIE ANDINO</t>
        </is>
      </c>
      <c r="FN400" s="15" t="inlineStr">
        <is>
          <t>Pie Andino 31 (Pie Andino 383)</t>
        </is>
      </c>
      <c r="FO400" s="15" t="inlineStr">
        <is>
          <t>Puente Alto</t>
        </is>
      </c>
      <c r="FP400" t="inlineStr">
        <is>
          <t>B</t>
        </is>
      </c>
      <c r="FS400" s="14" t="inlineStr">
        <is>
          <t>3104 / SFWZ-52|</t>
        </is>
      </c>
      <c r="FT400" t="inlineStr">
        <is>
          <t>SFWZ-52|</t>
        </is>
      </c>
      <c r="FU400" t="inlineStr">
        <is>
          <t>SFWZ-52</t>
        </is>
      </c>
      <c r="FV400">
        <f>VLOOKUP(FU400,FD:FL,9,0)</f>
        <v/>
      </c>
      <c r="HA400" s="35" t="n">
        <v>170</v>
      </c>
      <c r="HB400" s="35" t="n">
        <v>394</v>
      </c>
    </row>
    <row r="401" ht="15.5" customHeight="1">
      <c r="A401" s="10">
        <f>HOUR(G401)+1</f>
        <v/>
      </c>
      <c r="B401" s="7" t="n"/>
      <c r="C401" s="7" t="n"/>
      <c r="D401" s="85">
        <f>IFERROR(
IF(AND(OR(Planilla!B401="C",Planilla!B401="c"), VLOOKUP(E401,FD:FP,13,0)="C"), "OK",IF(AND(OR(Planilla!B401="C",Planilla!B401="c"), OR(VLOOKUP(E401,FD:FP,13,0)="B", VLOOKUP(E401,FD:FP,13,0)="A")), "DEFICIT",IF(
AND(OR(Planilla!B401="B", Planilla!B401="BPAL"), VLOOKUP(E401,FD:FP,13,0)="B"), "OK",IF(AND(OR(Planilla!B401="B", Planilla!B401="BPAL"), VLOOKUP(E401,FD:FP,13,0)="A"), "DEFICIT",IF(AND(OR(Planilla!B401="B", Planilla!B401="BPAL"), VLOOKUP(E401,FD:FP,13,0)="C"), "SOBREOFERTA",IF(AND(Planilla!B401="A", VLOOKUP(E401,FD:FP,13,0)="A"), "OK",IF(
AND(Planilla!B401="A", OR(VLOOKUP(E401,FD:FP,13,0)="B", VLOOKUP(E401,FD:FP,13,0)="C")), "SOBREOFERTA",""
))))))),"")</f>
        <v/>
      </c>
      <c r="E401" s="8" t="n"/>
      <c r="F401" s="86" t="n"/>
      <c r="G401" s="87" t="n"/>
      <c r="H401" s="88">
        <f>IF(I401="","",IF(AND((I401-G401)&gt;=TIME(0,0,0),(I401-G401)&lt;TIME(0,3,0)),"OK",IF(AND((I401-G401)&gt;=TIME(0,3,0),(I401-G401)&lt;TIME(0,5,0)),"RETRASO DE 3-5 MIN",IF(AND((I401-G401)&gt;=TIME(0,5,0),(I401-G401)&lt;TIME(0,10,0)),"RETRASO DE 5-10 MIN",IF((I401-G401)&gt;=TIME(0,10,0),"RETRASO &gt;10 MIN", IF(AND((G401-I401)&gt;=TIME(0,0,0),(G401-I401)&lt;TIME(0,3,0)),"OK",IF((G401-I401)&gt;=TIME(0,3,0),"ADELANTADO")))))))</f>
        <v/>
      </c>
      <c r="I401" s="89" t="n"/>
      <c r="J401" s="89">
        <f>IF(A401&lt;&gt;"",HLOOKUP(VALUE(TEXT(G401,"h:mm:ss")),IF($C$6="Laboral",$FZ$4:$GX$227,IF($C$6="Sábado",$FZ$231:$GX$452,$FZ$456:$GX$656)),VLOOKUP($C$4,$HF$2:$HH$99,3,0)+IF(C$5="Ida",0,1),1),"")</f>
        <v/>
      </c>
      <c r="K401" s="89">
        <f>IF(A402&lt;&gt;A401,AVERAGEIF(A$9:A401,A401,J$9:J401),"")</f>
        <v/>
      </c>
      <c r="L401" s="89">
        <f>IFERROR(IF(A402&lt;&gt;A401,AVERAGEIF(A$9:A401,A401,S$9:S401),""),"")</f>
        <v/>
      </c>
      <c r="M401" s="89">
        <f>IFERROR(IF(A402&lt;&gt;A401,AVERAGEIF(A$9:A401,A401,T$9:T401),""),"")</f>
        <v/>
      </c>
      <c r="N401" s="89">
        <f t="array" ref="N401">IFERROR(IF(A402&lt;&gt;A401,_xlfn.STDEV.P(IF(A$9:A401=A401,T$9:T401)),""),"")</f>
        <v/>
      </c>
      <c r="O401" s="89">
        <f t="array" ref="O401">IFERROR(IF(A402&lt;&gt;A401,_xlfn.STDEV.P(IF(A$9:A401=A401,S$9:S401)),""),"")</f>
        <v/>
      </c>
      <c r="P401" s="90">
        <f>IFERROR(IF(A401&lt;&gt;A402,MAX((((M401*24*60)/2)*(1+POWER((((N401*24*60) / (M401*24*60) )),2))) + ((M401*24*60 )*-0.1 + (K401*0.015)) +1,(((M401*24*60)/2)*(1+POWER((((N401*24*60) / (M401*24*60 ))),2)))),""),"")</f>
        <v/>
      </c>
      <c r="Q401" s="90">
        <f>IF(AND(O401&lt;&gt;"",L401&lt;&gt;""),IF(A401&lt;&gt;A402,((L401*24*60) / 2 ) * (1 + POWER(((O401*24*60) / (L401*24*60)),2)),""),"")</f>
        <v/>
      </c>
      <c r="R401" s="90">
        <f>IF(Q401&lt;&gt;"",MAX(P401,Q401),"")</f>
        <v/>
      </c>
      <c r="S401" s="89">
        <f>IF(I401&lt;&gt;"H. Sale Real",IF(AND(I402&lt;&gt;"",LEFT(C402,2)&lt;&gt;"Va"),IF(AND(I401&lt;&gt;"",LEFT(C401,2)&lt;&gt;"Va",I401&lt;&gt;"H. Sale Real"),IF(I402-I401&lt;0.208333333333333,I402-I401,""),IF(AND(I400&lt;&gt;"",LEFT(C400,2)&lt;&gt;"Va",I400&lt;&gt;"H. Sale Real"),IF(I402-I400&lt;0.208333333333333,I402-I400,""),IF(AND(I399&lt;&gt;"",LEFT(C399,2)&lt;&gt;"Va",I399&lt;&gt;"H. Sale Real"),IF(I402-I399&lt;0.208333333333333,I402-I399,""),IF(AND(I398&lt;&gt;"",LEFT(C398,2)&lt;&gt;"Va",I398&lt;&gt;"H. Sale Real"),IF(I402-I398&lt;0.208333333333333,I402-I398,""),IF(AND(I397&lt;&gt;"",LEFT(C397,2)&lt;&gt;"Va",I397&lt;&gt;"H. Sale Real"),IF(I402-I397&lt;0.208333333333333,I402-I397,""),""))))),""),"")</f>
        <v/>
      </c>
      <c r="T401" s="89">
        <f>IF(G401&lt;&gt;"H. Sale Real",IF(AND(G402&lt;&gt;"",LEFT(C402,2)&lt;&gt;"Va"),IF(AND(G401&lt;&gt;"",LEFT(C401,2)&lt;&gt;"Va",G401&lt;&gt;"H. Sale Real"),IF(G402-G401&lt;0.208333333333333,G402-G401,""),IF(AND(G400&lt;&gt;"",LEFT(C400,2)&lt;&gt;"Va",G400&lt;&gt;"H. Sale Real"),IF(G402-G400&lt;0.208333333333333,G402-G400,""),IF(AND(G399&lt;&gt;"",LEFT(C399,2)&lt;&gt;"Va",G399&lt;&gt;"H. Sale Real"),IF(G402-G399&lt;0.208333333333333,G402-G399,""),IF(AND(G398&lt;&gt;"",LEFT(C398,2)&lt;&gt;"Va",G398&lt;&gt;"H. Sale Real"),IF(G402-G398&lt;0.208333333333333,G402-G398,""),IF(AND(G397&lt;&gt;"",LEFT(C397,2)&lt;&gt;"Va",G397&lt;&gt;"H. Sale Real"),IF(G402-G397&lt;0.208333333333333,G402-G397,""),""))))),""),"")</f>
        <v/>
      </c>
      <c r="U401" s="87" t="n"/>
      <c r="V401" s="89" t="n"/>
      <c r="W401" s="87" t="n"/>
      <c r="X401" s="89" t="n"/>
      <c r="Y401" s="91" t="n"/>
      <c r="Z401" s="122">
        <f>IF(G401&lt;&gt;"",IF(AND(Z400&lt;&gt;"IE",P401&lt;&gt;0,R401&lt;&gt;""),IF(IFERROR((P401/R401),0) &lt;=1,IFERROR(P401/R401,""),1),""),"")</f>
        <v/>
      </c>
      <c r="AA401" s="93" t="n"/>
      <c r="AB401" s="2" t="n"/>
      <c r="AE401" s="10">
        <f>HOUR(AK401)+1</f>
        <v/>
      </c>
      <c r="AF401" s="7" t="n"/>
      <c r="AG401" s="7" t="n"/>
      <c r="AH401" s="86" t="n"/>
      <c r="AI401" s="8" t="n"/>
      <c r="AJ401" s="86" t="n"/>
      <c r="AK401" s="87" t="n"/>
      <c r="AL401" s="88">
        <f>IF(AM401="","",IF(AND((AM401-AK401)&gt;=TIME(0,0,0),(AM401-AK401)&lt;TIME(0,3,0)),"OK",IF(AND((AM401-AK401)&gt;=TIME(0,3,0),(AM401-AK401)&lt;TIME(0,5,0)),"RETRASO DE 3-5 MIN",IF(AND((AM401-AK401)&gt;=TIME(0,5,0),(AM401-AK401)&lt;TIME(0,10,0)),"RETRASO DE 5-10 MIN",IF((AM401-AK401)&gt;=TIME(0,10,0),"RETRASO &gt;10 MIN", IF(AND((AK401-AM401)&gt;=TIME(0,0,0),(AK401-AM401)&lt;TIME(0,3,0)),"OK",IF((AK401-AM401)&gt;=TIME(0,3,0),"ADELANTADO")))))))</f>
        <v/>
      </c>
      <c r="AM401" s="91" t="n"/>
      <c r="AN401" s="89">
        <f>IF(AE401&lt;&gt;"",HLOOKUP(VALUE(TEXT(AK401,"h:mm:ss")),IF($C$6="Laboral",$FZ$4:$GX$227,IF($C$6="Sábado",$FZ$231:$GX$452,$FZ$456:$GX$656)),VLOOKUP($C$4,$HF$2:$HH$99,3,0)+IF(AG$5="Ida",0,1),1),"")</f>
        <v/>
      </c>
      <c r="AO401" s="89">
        <f>IF(AE402&lt;&gt;AE401,AVERAGEIF(AE$9:AE401,AE401,AN$9:AN401),"")</f>
        <v/>
      </c>
      <c r="AP401" s="89">
        <f>IFERROR(IF(AE402&lt;&gt;AE401,AVERAGEIF(AE$9:AE401,AE401,AW$9:AW401),""),"")</f>
        <v/>
      </c>
      <c r="AQ401" s="89">
        <f>IFERROR(IF(AE402&lt;&gt;AE401,AVERAGEIF(AE$9:AE401,AE401,AX$9:AX401),""),"")</f>
        <v/>
      </c>
      <c r="AR401" s="89">
        <f t="array" ref="AR401">IFERROR(IF(AE402&lt;&gt;AE401,_xlfn.STDEV.P(IF(AE$9:AE401=AE401,AX$9:AX401)),""),"")</f>
        <v/>
      </c>
      <c r="AS401" s="89">
        <f t="array" ref="AS401">IFERROR(IF(AE402&lt;&gt;AE401,_xlfn.STDEV.P(IF(AE$9:AE401=AE401,AW$9:AW401)),""),"")</f>
        <v/>
      </c>
      <c r="AT401" s="90">
        <f>IFERROR(IF(AE401&lt;&gt;AE402,MAX((((AQ401*24*60)/2)*(1+POWER((((AR401*24*60) / (AQ401*24*60) )),2))) + ((AQ401*24*60 )*-0.1 + (AO401*0.015)) +1,(((AQ401*24*60)/2)*(1+POWER((((AR401*24*60) / (AQ401*24*60 ))),2)))),""),"")</f>
        <v/>
      </c>
      <c r="AU401" s="90">
        <f>IF(AND(AS401&lt;&gt;"",AP401&lt;&gt;""),IF(AE401&lt;&gt;AE402,((AP401*24*60) / 2 ) * (1 + POWER(((AS401*24*60) / (AP401*24*60)),2)),""),"")</f>
        <v/>
      </c>
      <c r="AV401" s="90">
        <f>IF(AU401&lt;&gt;"",MAX(AT401,AU401),"")</f>
        <v/>
      </c>
      <c r="AW401" s="89">
        <f>IF(AM401&lt;&gt;"H. Sale Real",IF(AND(AM402&lt;&gt;"",LEFT(AG402,2)&lt;&gt;"Va"),IF(AND(AM401&lt;&gt;"",LEFT(AG401,2)&lt;&gt;"Va",AM401&lt;&gt;"H. Sale Real"),IF(AM402-AM401&lt;0.208333333333333,AM402-AM401,""),IF(AND(AM400&lt;&gt;"",LEFT(AG400,2)&lt;&gt;"Va",AM400&lt;&gt;"H. Sale Real"),IF(AM402-AM400&lt;0.208333333333333,AM402-AM400,""),IF(AND(AM399&lt;&gt;"",LEFT(AG399,2)&lt;&gt;"Va",AM399&lt;&gt;"H. Sale Real"),IF(AM402-AM399&lt;0.208333333333333,AM402-AM399,""),IF(AND(AM398&lt;&gt;"",LEFT(AG398,2)&lt;&gt;"Va",AM398&lt;&gt;"H. Sale Real"),IF(AM402-AM398&lt;0.208333333333333,AM402-AM398,""),IF(AND(AM397&lt;&gt;"",LEFT(AG397,2)&lt;&gt;"Va",AM397&lt;&gt;"H. Sale Real"),IF(AM402-AM397&lt;0.208333333333333,AM402-AM397,""),""))))),""),"")</f>
        <v/>
      </c>
      <c r="AX401" s="89">
        <f>IF(AK401&lt;&gt;"H. Sale Real",IF(AND(AK402&lt;&gt;"",LEFT(AG402,2)&lt;&gt;"Va"),IF(AND(AK401&lt;&gt;"",LEFT(AG401,2)&lt;&gt;"Va",AK401&lt;&gt;"H. Sale Real"),IF(AK402-AK401&lt;0.208333333333333,AK402-AK401,""),IF(AND(AK400&lt;&gt;"",LEFT(AG400,2)&lt;&gt;"Va",AK400&lt;&gt;"H. Sale Real"),IF(AK402-AK400&lt;0.208333333333333,AK402-AK400,""),IF(AND(AK399&lt;&gt;"",LEFT(AG399,2)&lt;&gt;"NC",AK399&lt;&gt;"H. Sale Real"),IF(AK402-AK399&lt;0.208333333333333,AK402-AK399,""),IF(AND(AK398&lt;&gt;"",LEFT(AG398,2)&lt;&gt;"Va",AK398&lt;&gt;"H. Sale Real"),IF(AK402-AK398&lt;0.208333333333333,AK402-AK398,""),IF(AND(AK397&lt;&gt;"",LEFT(AG397,2)&lt;&gt;"Va",AK397&lt;&gt;"H. Sale Real"),IF(AK402-AK397&lt;0.208333333333333,AK402-AK397,""),""))))),""),"")</f>
        <v/>
      </c>
      <c r="AY401" s="87" t="n"/>
      <c r="AZ401" s="89" t="n"/>
      <c r="BA401" s="87" t="n"/>
      <c r="BB401" s="89" t="n"/>
      <c r="BC401" s="91" t="n"/>
      <c r="BD401" s="122">
        <f>IF(AK401&lt;&gt;"",IF(AND(BD400&lt;&gt;"IE",AT401&lt;&gt;0,AV401&lt;&gt;""),IF(IFERROR((AT401/AV401),0) &lt;=1,IFERROR(AT401/AV401,""),1),""),"")</f>
        <v/>
      </c>
      <c r="BE401" s="93" t="n"/>
      <c r="BF401" s="105" t="n"/>
      <c r="FC401" t="inlineStr">
        <is>
          <t>Diccionario 1</t>
        </is>
      </c>
      <c r="FD401" s="15" t="n">
        <v>1400</v>
      </c>
      <c r="FE401" s="15" t="inlineStr">
        <is>
          <t>MDN35025010238</t>
        </is>
      </c>
      <c r="FF401" s="15" t="inlineStr">
        <is>
          <t>LDYECS311S0043848</t>
        </is>
      </c>
      <c r="FG401" s="15" t="inlineStr">
        <is>
          <t>Zhong Tong</t>
        </is>
      </c>
      <c r="FH401" s="15" t="inlineStr">
        <is>
          <t>Lck6122evg</t>
        </is>
      </c>
      <c r="FI401" s="15" t="inlineStr">
        <is>
          <t>ZHONGTONG</t>
        </is>
      </c>
      <c r="FJ401" s="15" t="inlineStr">
        <is>
          <t>LCK6122EVG</t>
        </is>
      </c>
      <c r="FK401" s="15" t="n">
        <v>2025</v>
      </c>
      <c r="FL401" s="15" t="inlineStr">
        <is>
          <t>B</t>
        </is>
      </c>
      <c r="FM401" s="15" t="inlineStr">
        <is>
          <t>PIE ANDINO</t>
        </is>
      </c>
      <c r="FN401" s="15" t="inlineStr">
        <is>
          <t>Pie Andino 31 (Pie Andino 383)</t>
        </is>
      </c>
      <c r="FO401" s="15" t="inlineStr">
        <is>
          <t>Puente Alto</t>
        </is>
      </c>
      <c r="FP401" t="inlineStr">
        <is>
          <t>B</t>
        </is>
      </c>
      <c r="FS401" s="14" t="inlineStr">
        <is>
          <t>3104 / SFWZ-52|</t>
        </is>
      </c>
      <c r="FT401" t="inlineStr">
        <is>
          <t>SFWZ-52|</t>
        </is>
      </c>
      <c r="FU401" t="inlineStr">
        <is>
          <t>SFWZ-52</t>
        </is>
      </c>
      <c r="FV401">
        <f>VLOOKUP(FU401,FD:FL,9,0)</f>
        <v/>
      </c>
      <c r="HA401" s="35" t="n">
        <v>171</v>
      </c>
      <c r="HB401" s="35" t="n">
        <v>395</v>
      </c>
    </row>
    <row r="402" ht="15.5" customHeight="1">
      <c r="A402" s="10">
        <f>HOUR(G402)+1</f>
        <v/>
      </c>
      <c r="B402" s="7" t="n"/>
      <c r="C402" s="7" t="n"/>
      <c r="D402" s="85">
        <f>IFERROR(
IF(AND(OR(Planilla!B402="C",Planilla!B402="c"), VLOOKUP(E402,FD:FP,13,0)="C"), "OK",IF(AND(OR(Planilla!B402="C",Planilla!B402="c"), OR(VLOOKUP(E402,FD:FP,13,0)="B", VLOOKUP(E402,FD:FP,13,0)="A")), "DEFICIT",IF(
AND(OR(Planilla!B402="B", Planilla!B402="BPAL"), VLOOKUP(E402,FD:FP,13,0)="B"), "OK",IF(AND(OR(Planilla!B402="B", Planilla!B402="BPAL"), VLOOKUP(E402,FD:FP,13,0)="A"), "DEFICIT",IF(AND(OR(Planilla!B402="B", Planilla!B402="BPAL"), VLOOKUP(E402,FD:FP,13,0)="C"), "SOBREOFERTA",IF(AND(Planilla!B402="A", VLOOKUP(E402,FD:FP,13,0)="A"), "OK",IF(
AND(Planilla!B402="A", OR(VLOOKUP(E402,FD:FP,13,0)="B", VLOOKUP(E402,FD:FP,13,0)="C")), "SOBREOFERTA",""
))))))),"")</f>
        <v/>
      </c>
      <c r="E402" s="8" t="n"/>
      <c r="F402" s="86" t="n"/>
      <c r="G402" s="87" t="n"/>
      <c r="H402" s="88">
        <f>IF(I402="","",IF(AND((I402-G402)&gt;=TIME(0,0,0),(I402-G402)&lt;TIME(0,3,0)),"OK",IF(AND((I402-G402)&gt;=TIME(0,3,0),(I402-G402)&lt;TIME(0,5,0)),"RETRASO DE 3-5 MIN",IF(AND((I402-G402)&gt;=TIME(0,5,0),(I402-G402)&lt;TIME(0,10,0)),"RETRASO DE 5-10 MIN",IF((I402-G402)&gt;=TIME(0,10,0),"RETRASO &gt;10 MIN", IF(AND((G402-I402)&gt;=TIME(0,0,0),(G402-I402)&lt;TIME(0,3,0)),"OK",IF((G402-I402)&gt;=TIME(0,3,0),"ADELANTADO")))))))</f>
        <v/>
      </c>
      <c r="I402" s="89" t="n"/>
      <c r="J402" s="89">
        <f>IF(A402&lt;&gt;"",HLOOKUP(VALUE(TEXT(G402,"h:mm:ss")),IF($C$6="Laboral",$FZ$4:$GX$227,IF($C$6="Sábado",$FZ$231:$GX$452,$FZ$456:$GX$656)),VLOOKUP($C$4,$HF$2:$HH$99,3,0)+IF(C$5="Ida",0,1),1),"")</f>
        <v/>
      </c>
      <c r="K402" s="89">
        <f>IF(A403&lt;&gt;A402,AVERAGEIF(A$9:A402,A402,J$9:J402),"")</f>
        <v/>
      </c>
      <c r="L402" s="89">
        <f>IFERROR(IF(A403&lt;&gt;A402,AVERAGEIF(A$9:A402,A402,S$9:S402),""),"")</f>
        <v/>
      </c>
      <c r="M402" s="89">
        <f>IFERROR(IF(A403&lt;&gt;A402,AVERAGEIF(A$9:A402,A402,T$9:T402),""),"")</f>
        <v/>
      </c>
      <c r="N402" s="89">
        <f t="array" ref="N402">IFERROR(IF(A403&lt;&gt;A402,_xlfn.STDEV.P(IF(A$9:A402=A402,T$9:T402)),""),"")</f>
        <v/>
      </c>
      <c r="O402" s="89">
        <f t="array" ref="O402">IFERROR(IF(A403&lt;&gt;A402,_xlfn.STDEV.P(IF(A$9:A402=A402,S$9:S402)),""),"")</f>
        <v/>
      </c>
      <c r="P402" s="90">
        <f>IFERROR(IF(A402&lt;&gt;A403,MAX((((M402*24*60)/2)*(1+POWER((((N402*24*60) / (M402*24*60) )),2))) + ((M402*24*60 )*-0.1 + (K402*0.015)) +1,(((M402*24*60)/2)*(1+POWER((((N402*24*60) / (M402*24*60 ))),2)))),""),"")</f>
        <v/>
      </c>
      <c r="Q402" s="90">
        <f>IF(AND(O402&lt;&gt;"",L402&lt;&gt;""),IF(A402&lt;&gt;A403,((L402*24*60) / 2 ) * (1 + POWER(((O402*24*60) / (L402*24*60)),2)),""),"")</f>
        <v/>
      </c>
      <c r="R402" s="90">
        <f>IF(Q402&lt;&gt;"",MAX(P402,Q402),"")</f>
        <v/>
      </c>
      <c r="S402" s="89">
        <f>IF(I402&lt;&gt;"H. Sale Real",IF(AND(I403&lt;&gt;"",LEFT(C403,2)&lt;&gt;"Va"),IF(AND(I402&lt;&gt;"",LEFT(C402,2)&lt;&gt;"Va",I402&lt;&gt;"H. Sale Real"),IF(I403-I402&lt;0.208333333333333,I403-I402,""),IF(AND(I401&lt;&gt;"",LEFT(C401,2)&lt;&gt;"Va",I401&lt;&gt;"H. Sale Real"),IF(I403-I401&lt;0.208333333333333,I403-I401,""),IF(AND(I400&lt;&gt;"",LEFT(C400,2)&lt;&gt;"Va",I400&lt;&gt;"H. Sale Real"),IF(I403-I400&lt;0.208333333333333,I403-I400,""),IF(AND(I399&lt;&gt;"",LEFT(C399,2)&lt;&gt;"Va",I399&lt;&gt;"H. Sale Real"),IF(I403-I399&lt;0.208333333333333,I403-I399,""),IF(AND(I398&lt;&gt;"",LEFT(C398,2)&lt;&gt;"Va",I398&lt;&gt;"H. Sale Real"),IF(I403-I398&lt;0.208333333333333,I403-I398,""),""))))),""),"")</f>
        <v/>
      </c>
      <c r="T402" s="89">
        <f>IF(G402&lt;&gt;"H. Sale Real",IF(AND(G403&lt;&gt;"",LEFT(C403,2)&lt;&gt;"Va"),IF(AND(G402&lt;&gt;"",LEFT(C402,2)&lt;&gt;"Va",G402&lt;&gt;"H. Sale Real"),IF(G403-G402&lt;0.208333333333333,G403-G402,""),IF(AND(G401&lt;&gt;"",LEFT(C401,2)&lt;&gt;"Va",G401&lt;&gt;"H. Sale Real"),IF(G403-G401&lt;0.208333333333333,G403-G401,""),IF(AND(G400&lt;&gt;"",LEFT(C400,2)&lt;&gt;"Va",G400&lt;&gt;"H. Sale Real"),IF(G403-G400&lt;0.208333333333333,G403-G400,""),IF(AND(G399&lt;&gt;"",LEFT(C399,2)&lt;&gt;"Va",G399&lt;&gt;"H. Sale Real"),IF(G403-G399&lt;0.208333333333333,G403-G399,""),IF(AND(G398&lt;&gt;"",LEFT(C398,2)&lt;&gt;"Va",G398&lt;&gt;"H. Sale Real"),IF(G403-G398&lt;0.208333333333333,G403-G398,""),""))))),""),"")</f>
        <v/>
      </c>
      <c r="U402" s="87" t="n"/>
      <c r="V402" s="89" t="n"/>
      <c r="W402" s="87" t="n"/>
      <c r="X402" s="89" t="n"/>
      <c r="Y402" s="91" t="n"/>
      <c r="Z402" s="122">
        <f>IF(G402&lt;&gt;"",IF(AND(Z401&lt;&gt;"IE",P402&lt;&gt;0,R402&lt;&gt;""),IF(IFERROR((P402/R402),0) &lt;=1,IFERROR(P402/R402,""),1),""),"")</f>
        <v/>
      </c>
      <c r="AA402" s="93" t="n"/>
      <c r="AB402" s="2" t="n"/>
      <c r="AE402" s="10">
        <f>HOUR(AK402)+1</f>
        <v/>
      </c>
      <c r="AF402" s="7" t="n"/>
      <c r="AG402" s="7" t="n"/>
      <c r="AH402" s="86" t="n"/>
      <c r="AI402" s="8" t="n"/>
      <c r="AJ402" s="86" t="n"/>
      <c r="AK402" s="87" t="n"/>
      <c r="AL402" s="88">
        <f>IF(AM402="","",IF(AND((AM402-AK402)&gt;=TIME(0,0,0),(AM402-AK402)&lt;TIME(0,3,0)),"OK",IF(AND((AM402-AK402)&gt;=TIME(0,3,0),(AM402-AK402)&lt;TIME(0,5,0)),"RETRASO DE 3-5 MIN",IF(AND((AM402-AK402)&gt;=TIME(0,5,0),(AM402-AK402)&lt;TIME(0,10,0)),"RETRASO DE 5-10 MIN",IF((AM402-AK402)&gt;=TIME(0,10,0),"RETRASO &gt;10 MIN", IF(AND((AK402-AM402)&gt;=TIME(0,0,0),(AK402-AM402)&lt;TIME(0,3,0)),"OK",IF((AK402-AM402)&gt;=TIME(0,3,0),"ADELANTADO")))))))</f>
        <v/>
      </c>
      <c r="AM402" s="91" t="n"/>
      <c r="AN402" s="89">
        <f>IF(AE402&lt;&gt;"",HLOOKUP(VALUE(TEXT(AK402,"h:mm:ss")),IF($C$6="Laboral",$FZ$4:$GX$227,IF($C$6="Sábado",$FZ$231:$GX$452,$FZ$456:$GX$656)),VLOOKUP($C$4,$HF$2:$HH$99,3,0)+IF(AG$5="Ida",0,1),1),"")</f>
        <v/>
      </c>
      <c r="AO402" s="89">
        <f>IF(AE403&lt;&gt;AE402,AVERAGEIF(AE$9:AE402,AE402,AN$9:AN402),"")</f>
        <v/>
      </c>
      <c r="AP402" s="89">
        <f>IFERROR(IF(AE403&lt;&gt;AE402,AVERAGEIF(AE$9:AE402,AE402,AW$9:AW402),""),"")</f>
        <v/>
      </c>
      <c r="AQ402" s="89">
        <f>IFERROR(IF(AE403&lt;&gt;AE402,AVERAGEIF(AE$9:AE402,AE402,AX$9:AX402),""),"")</f>
        <v/>
      </c>
      <c r="AR402" s="89">
        <f t="array" ref="AR402">IFERROR(IF(AE403&lt;&gt;AE402,_xlfn.STDEV.P(IF(AE$9:AE402=AE402,AX$9:AX402)),""),"")</f>
        <v/>
      </c>
      <c r="AS402" s="89">
        <f t="array" ref="AS402">IFERROR(IF(AE403&lt;&gt;AE402,_xlfn.STDEV.P(IF(AE$9:AE402=AE402,AW$9:AW402)),""),"")</f>
        <v/>
      </c>
      <c r="AT402" s="90">
        <f>IFERROR(IF(AE402&lt;&gt;AE403,MAX((((AQ402*24*60)/2)*(1+POWER((((AR402*24*60) / (AQ402*24*60) )),2))) + ((AQ402*24*60 )*-0.1 + (AO402*0.015)) +1,(((AQ402*24*60)/2)*(1+POWER((((AR402*24*60) / (AQ402*24*60 ))),2)))),""),"")</f>
        <v/>
      </c>
      <c r="AU402" s="90">
        <f>IF(AND(AS402&lt;&gt;"",AP402&lt;&gt;""),IF(AE402&lt;&gt;AE403,((AP402*24*60) / 2 ) * (1 + POWER(((AS402*24*60) / (AP402*24*60)),2)),""),"")</f>
        <v/>
      </c>
      <c r="AV402" s="90">
        <f>IF(AU402&lt;&gt;"",MAX(AT402,AU402),"")</f>
        <v/>
      </c>
      <c r="AW402" s="89">
        <f>IF(AM402&lt;&gt;"H. Sale Real",IF(AND(AM403&lt;&gt;"",LEFT(AG403,2)&lt;&gt;"Va"),IF(AND(AM402&lt;&gt;"",LEFT(AG402,2)&lt;&gt;"Va",AM402&lt;&gt;"H. Sale Real"),IF(AM403-AM402&lt;0.208333333333333,AM403-AM402,""),IF(AND(AM401&lt;&gt;"",LEFT(AG401,2)&lt;&gt;"Va",AM401&lt;&gt;"H. Sale Real"),IF(AM403-AM401&lt;0.208333333333333,AM403-AM401,""),IF(AND(AM400&lt;&gt;"",LEFT(AG400,2)&lt;&gt;"Va",AM400&lt;&gt;"H. Sale Real"),IF(AM403-AM400&lt;0.208333333333333,AM403-AM400,""),IF(AND(AM399&lt;&gt;"",LEFT(AG399,2)&lt;&gt;"Va",AM399&lt;&gt;"H. Sale Real"),IF(AM403-AM399&lt;0.208333333333333,AM403-AM399,""),IF(AND(AM398&lt;&gt;"",LEFT(AG398,2)&lt;&gt;"Va",AM398&lt;&gt;"H. Sale Real"),IF(AM403-AM398&lt;0.208333333333333,AM403-AM398,""),""))))),""),"")</f>
        <v/>
      </c>
      <c r="AX402" s="89">
        <f>IF(AK402&lt;&gt;"H. Sale Real",IF(AND(AK403&lt;&gt;"",LEFT(AG403,2)&lt;&gt;"Va"),IF(AND(AK402&lt;&gt;"",LEFT(AG402,2)&lt;&gt;"Va",AK402&lt;&gt;"H. Sale Real"),IF(AK403-AK402&lt;0.208333333333333,AK403-AK402,""),IF(AND(AK401&lt;&gt;"",LEFT(AG401,2)&lt;&gt;"Va",AK401&lt;&gt;"H. Sale Real"),IF(AK403-AK401&lt;0.208333333333333,AK403-AK401,""),IF(AND(AK400&lt;&gt;"",LEFT(AG400,2)&lt;&gt;"NC",AK400&lt;&gt;"H. Sale Real"),IF(AK403-AK400&lt;0.208333333333333,AK403-AK400,""),IF(AND(AK399&lt;&gt;"",LEFT(AG399,2)&lt;&gt;"Va",AK399&lt;&gt;"H. Sale Real"),IF(AK403-AK399&lt;0.208333333333333,AK403-AK399,""),IF(AND(AK398&lt;&gt;"",LEFT(AG398,2)&lt;&gt;"Va",AK398&lt;&gt;"H. Sale Real"),IF(AK403-AK398&lt;0.208333333333333,AK403-AK398,""),""))))),""),"")</f>
        <v/>
      </c>
      <c r="AY402" s="87" t="n"/>
      <c r="AZ402" s="89" t="n"/>
      <c r="BA402" s="87" t="n"/>
      <c r="BB402" s="89" t="n"/>
      <c r="BC402" s="91" t="n"/>
      <c r="BD402" s="122">
        <f>IF(AK402&lt;&gt;"",IF(AND(BD401&lt;&gt;"IE",AT402&lt;&gt;0,AV402&lt;&gt;""),IF(IFERROR((AT402/AV402),0) &lt;=1,IFERROR(AT402/AV402,""),1),""),"")</f>
        <v/>
      </c>
      <c r="BE402" s="93" t="n"/>
      <c r="BF402" s="105" t="n"/>
      <c r="FC402" t="inlineStr">
        <is>
          <t>Diccionario 1</t>
        </is>
      </c>
      <c r="FD402" s="15" t="n">
        <v>1401</v>
      </c>
      <c r="FE402" s="15" t="inlineStr">
        <is>
          <t>MDN35025010109</t>
        </is>
      </c>
      <c r="FF402" s="15" t="inlineStr">
        <is>
          <t>LDYECS31XS0043847</t>
        </is>
      </c>
      <c r="FG402" s="15" t="inlineStr">
        <is>
          <t>Zhong Tong</t>
        </is>
      </c>
      <c r="FH402" s="15" t="inlineStr">
        <is>
          <t>Lck6122evg</t>
        </is>
      </c>
      <c r="FI402" s="15" t="inlineStr">
        <is>
          <t>ZHONGTONG</t>
        </is>
      </c>
      <c r="FJ402" s="15" t="inlineStr">
        <is>
          <t>LCK6122EVG</t>
        </is>
      </c>
      <c r="FK402" s="15" t="n">
        <v>2025</v>
      </c>
      <c r="FL402" s="15" t="inlineStr">
        <is>
          <t>B</t>
        </is>
      </c>
      <c r="FM402" s="15" t="inlineStr">
        <is>
          <t>SAN ALFONSO</t>
        </is>
      </c>
      <c r="FN402" s="15" t="inlineStr">
        <is>
          <t>San Alfonso 2141 (Ramón Subercaseaux 3060)</t>
        </is>
      </c>
      <c r="FO402" s="15" t="inlineStr">
        <is>
          <t>Estacion Central</t>
        </is>
      </c>
      <c r="FP402" t="inlineStr">
        <is>
          <t>B</t>
        </is>
      </c>
      <c r="FS402" s="14" t="inlineStr">
        <is>
          <t>3104 / SFWZ-52|</t>
        </is>
      </c>
      <c r="FT402" t="inlineStr">
        <is>
          <t>SFWZ-52|</t>
        </is>
      </c>
      <c r="FU402" t="inlineStr">
        <is>
          <t>SFWZ-52</t>
        </is>
      </c>
      <c r="FV402">
        <f>VLOOKUP(FU402,FD:FL,9,0)</f>
        <v/>
      </c>
      <c r="HA402" s="35" t="n">
        <v>172</v>
      </c>
      <c r="HB402" s="35" t="n">
        <v>396</v>
      </c>
    </row>
    <row r="403" ht="15.5" customHeight="1">
      <c r="A403" s="10">
        <f>HOUR(G403)+1</f>
        <v/>
      </c>
      <c r="B403" s="7" t="n"/>
      <c r="C403" s="7" t="n"/>
      <c r="D403" s="85">
        <f>IFERROR(
IF(AND(OR(Planilla!B403="C",Planilla!B403="c"), VLOOKUP(E403,FD:FP,13,0)="C"), "OK",IF(AND(OR(Planilla!B403="C",Planilla!B403="c"), OR(VLOOKUP(E403,FD:FP,13,0)="B", VLOOKUP(E403,FD:FP,13,0)="A")), "DEFICIT",IF(
AND(OR(Planilla!B403="B", Planilla!B403="BPAL"), VLOOKUP(E403,FD:FP,13,0)="B"), "OK",IF(AND(OR(Planilla!B403="B", Planilla!B403="BPAL"), VLOOKUP(E403,FD:FP,13,0)="A"), "DEFICIT",IF(AND(OR(Planilla!B403="B", Planilla!B403="BPAL"), VLOOKUP(E403,FD:FP,13,0)="C"), "SOBREOFERTA",IF(AND(Planilla!B403="A", VLOOKUP(E403,FD:FP,13,0)="A"), "OK",IF(
AND(Planilla!B403="A", OR(VLOOKUP(E403,FD:FP,13,0)="B", VLOOKUP(E403,FD:FP,13,0)="C")), "SOBREOFERTA",""
))))))),"")</f>
        <v/>
      </c>
      <c r="E403" s="8" t="n"/>
      <c r="F403" s="86" t="n"/>
      <c r="G403" s="87" t="n"/>
      <c r="H403" s="88">
        <f>IF(I403="","",IF(AND((I403-G403)&gt;=TIME(0,0,0),(I403-G403)&lt;TIME(0,3,0)),"OK",IF(AND((I403-G403)&gt;=TIME(0,3,0),(I403-G403)&lt;TIME(0,5,0)),"RETRASO DE 3-5 MIN",IF(AND((I403-G403)&gt;=TIME(0,5,0),(I403-G403)&lt;TIME(0,10,0)),"RETRASO DE 5-10 MIN",IF((I403-G403)&gt;=TIME(0,10,0),"RETRASO &gt;10 MIN", IF(AND((G403-I403)&gt;=TIME(0,0,0),(G403-I403)&lt;TIME(0,3,0)),"OK",IF((G403-I403)&gt;=TIME(0,3,0),"ADELANTADO")))))))</f>
        <v/>
      </c>
      <c r="I403" s="89" t="n"/>
      <c r="J403" s="89">
        <f>IF(A403&lt;&gt;"",HLOOKUP(VALUE(TEXT(G403,"h:mm:ss")),IF($C$6="Laboral",$FZ$4:$GX$227,IF($C$6="Sábado",$FZ$231:$GX$452,$FZ$456:$GX$656)),VLOOKUP($C$4,$HF$2:$HH$99,3,0)+IF(C$5="Ida",0,1),1),"")</f>
        <v/>
      </c>
      <c r="K403" s="89">
        <f>IF(A404&lt;&gt;A403,AVERAGEIF(A$9:A403,A403,J$9:J403),"")</f>
        <v/>
      </c>
      <c r="L403" s="89">
        <f>IFERROR(IF(A404&lt;&gt;A403,AVERAGEIF(A$9:A403,A403,S$9:S403),""),"")</f>
        <v/>
      </c>
      <c r="M403" s="89">
        <f>IFERROR(IF(A404&lt;&gt;A403,AVERAGEIF(A$9:A403,A403,T$9:T403),""),"")</f>
        <v/>
      </c>
      <c r="N403" s="89">
        <f t="array" ref="N403">IFERROR(IF(A404&lt;&gt;A403,_xlfn.STDEV.P(IF(A$9:A403=A403,T$9:T403)),""),"")</f>
        <v/>
      </c>
      <c r="O403" s="89">
        <f t="array" ref="O403">IFERROR(IF(A404&lt;&gt;A403,_xlfn.STDEV.P(IF(A$9:A403=A403,S$9:S403)),""),"")</f>
        <v/>
      </c>
      <c r="P403" s="90">
        <f>IFERROR(IF(A403&lt;&gt;A404,MAX((((M403*24*60)/2)*(1+POWER((((N403*24*60) / (M403*24*60) )),2))) + ((M403*24*60 )*-0.1 + (K403*0.015)) +1,(((M403*24*60)/2)*(1+POWER((((N403*24*60) / (M403*24*60 ))),2)))),""),"")</f>
        <v/>
      </c>
      <c r="Q403" s="90">
        <f>IF(AND(O403&lt;&gt;"",L403&lt;&gt;""),IF(A403&lt;&gt;A404,((L403*24*60) / 2 ) * (1 + POWER(((O403*24*60) / (L403*24*60)),2)),""),"")</f>
        <v/>
      </c>
      <c r="R403" s="90">
        <f>IF(Q403&lt;&gt;"",MAX(P403,Q403),"")</f>
        <v/>
      </c>
      <c r="S403" s="89">
        <f>IF(I403&lt;&gt;"H. Sale Real",IF(AND(I404&lt;&gt;"",LEFT(C404,2)&lt;&gt;"Va"),IF(AND(I403&lt;&gt;"",LEFT(C403,2)&lt;&gt;"Va",I403&lt;&gt;"H. Sale Real"),IF(I404-I403&lt;0.208333333333333,I404-I403,""),IF(AND(I402&lt;&gt;"",LEFT(C402,2)&lt;&gt;"Va",I402&lt;&gt;"H. Sale Real"),IF(I404-I402&lt;0.208333333333333,I404-I402,""),IF(AND(I401&lt;&gt;"",LEFT(C401,2)&lt;&gt;"Va",I401&lt;&gt;"H. Sale Real"),IF(I404-I401&lt;0.208333333333333,I404-I401,""),IF(AND(I400&lt;&gt;"",LEFT(C400,2)&lt;&gt;"Va",I400&lt;&gt;"H. Sale Real"),IF(I404-I400&lt;0.208333333333333,I404-I400,""),IF(AND(I399&lt;&gt;"",LEFT(C399,2)&lt;&gt;"Va",I399&lt;&gt;"H. Sale Real"),IF(I404-I399&lt;0.208333333333333,I404-I399,""),""))))),""),"")</f>
        <v/>
      </c>
      <c r="T403" s="89">
        <f>IF(G403&lt;&gt;"H. Sale Real",IF(AND(G404&lt;&gt;"",LEFT(C404,2)&lt;&gt;"Va"),IF(AND(G403&lt;&gt;"",LEFT(C403,2)&lt;&gt;"Va",G403&lt;&gt;"H. Sale Real"),IF(G404-G403&lt;0.208333333333333,G404-G403,""),IF(AND(G402&lt;&gt;"",LEFT(C402,2)&lt;&gt;"Va",G402&lt;&gt;"H. Sale Real"),IF(G404-G402&lt;0.208333333333333,G404-G402,""),IF(AND(G401&lt;&gt;"",LEFT(C401,2)&lt;&gt;"Va",G401&lt;&gt;"H. Sale Real"),IF(G404-G401&lt;0.208333333333333,G404-G401,""),IF(AND(G400&lt;&gt;"",LEFT(C400,2)&lt;&gt;"Va",G400&lt;&gt;"H. Sale Real"),IF(G404-G400&lt;0.208333333333333,G404-G400,""),IF(AND(G399&lt;&gt;"",LEFT(C399,2)&lt;&gt;"Va",G399&lt;&gt;"H. Sale Real"),IF(G404-G399&lt;0.208333333333333,G404-G399,""),""))))),""),"")</f>
        <v/>
      </c>
      <c r="U403" s="87" t="n"/>
      <c r="V403" s="89" t="n"/>
      <c r="W403" s="87" t="n"/>
      <c r="X403" s="89" t="n"/>
      <c r="Y403" s="91" t="n"/>
      <c r="Z403" s="122">
        <f>IF(G403&lt;&gt;"",IF(AND(Z402&lt;&gt;"IE",P403&lt;&gt;0,R403&lt;&gt;""),IF(IFERROR((P403/R403),0) &lt;=1,IFERROR(P403/R403,""),1),""),"")</f>
        <v/>
      </c>
      <c r="AA403" s="93" t="n"/>
      <c r="AB403" s="2" t="n"/>
      <c r="AE403" s="10">
        <f>HOUR(AK403)+1</f>
        <v/>
      </c>
      <c r="AF403" s="7" t="n"/>
      <c r="AG403" s="7" t="n"/>
      <c r="AH403" s="86" t="n"/>
      <c r="AI403" s="8" t="n"/>
      <c r="AJ403" s="86" t="n"/>
      <c r="AK403" s="87" t="n"/>
      <c r="AL403" s="88">
        <f>IF(AM403="","",IF(AND((AM403-AK403)&gt;=TIME(0,0,0),(AM403-AK403)&lt;TIME(0,3,0)),"OK",IF(AND((AM403-AK403)&gt;=TIME(0,3,0),(AM403-AK403)&lt;TIME(0,5,0)),"RETRASO DE 3-5 MIN",IF(AND((AM403-AK403)&gt;=TIME(0,5,0),(AM403-AK403)&lt;TIME(0,10,0)),"RETRASO DE 5-10 MIN",IF((AM403-AK403)&gt;=TIME(0,10,0),"RETRASO &gt;10 MIN", IF(AND((AK403-AM403)&gt;=TIME(0,0,0),(AK403-AM403)&lt;TIME(0,3,0)),"OK",IF((AK403-AM403)&gt;=TIME(0,3,0),"ADELANTADO")))))))</f>
        <v/>
      </c>
      <c r="AM403" s="91" t="n"/>
      <c r="AN403" s="89">
        <f>IF(AE403&lt;&gt;"",HLOOKUP(VALUE(TEXT(AK403,"h:mm:ss")),IF($C$6="Laboral",$FZ$4:$GX$227,IF($C$6="Sábado",$FZ$231:$GX$452,$FZ$456:$GX$656)),VLOOKUP($C$4,$HF$2:$HH$99,3,0)+IF(AG$5="Ida",0,1),1),"")</f>
        <v/>
      </c>
      <c r="AO403" s="89">
        <f>IF(AE404&lt;&gt;AE403,AVERAGEIF(AE$9:AE403,AE403,AN$9:AN403),"")</f>
        <v/>
      </c>
      <c r="AP403" s="89">
        <f>IFERROR(IF(AE404&lt;&gt;AE403,AVERAGEIF(AE$9:AE403,AE403,AW$9:AW403),""),"")</f>
        <v/>
      </c>
      <c r="AQ403" s="89">
        <f>IFERROR(IF(AE404&lt;&gt;AE403,AVERAGEIF(AE$9:AE403,AE403,AX$9:AX403),""),"")</f>
        <v/>
      </c>
      <c r="AR403" s="89">
        <f t="array" ref="AR403">IFERROR(IF(AE404&lt;&gt;AE403,_xlfn.STDEV.P(IF(AE$9:AE403=AE403,AX$9:AX403)),""),"")</f>
        <v/>
      </c>
      <c r="AS403" s="89">
        <f t="array" ref="AS403">IFERROR(IF(AE404&lt;&gt;AE403,_xlfn.STDEV.P(IF(AE$9:AE403=AE403,AW$9:AW403)),""),"")</f>
        <v/>
      </c>
      <c r="AT403" s="90">
        <f>IFERROR(IF(AE403&lt;&gt;AE404,MAX((((AQ403*24*60)/2)*(1+POWER((((AR403*24*60) / (AQ403*24*60) )),2))) + ((AQ403*24*60 )*-0.1 + (AO403*0.015)) +1,(((AQ403*24*60)/2)*(1+POWER((((AR403*24*60) / (AQ403*24*60 ))),2)))),""),"")</f>
        <v/>
      </c>
      <c r="AU403" s="90">
        <f>IF(AND(AS403&lt;&gt;"",AP403&lt;&gt;""),IF(AE403&lt;&gt;AE404,((AP403*24*60) / 2 ) * (1 + POWER(((AS403*24*60) / (AP403*24*60)),2)),""),"")</f>
        <v/>
      </c>
      <c r="AV403" s="90">
        <f>IF(AU403&lt;&gt;"",MAX(AT403,AU403),"")</f>
        <v/>
      </c>
      <c r="AW403" s="89">
        <f>IF(AM403&lt;&gt;"H. Sale Real",IF(AND(AM404&lt;&gt;"",LEFT(AG404,2)&lt;&gt;"Va"),IF(AND(AM403&lt;&gt;"",LEFT(AG403,2)&lt;&gt;"Va",AM403&lt;&gt;"H. Sale Real"),IF(AM404-AM403&lt;0.208333333333333,AM404-AM403,""),IF(AND(AM402&lt;&gt;"",LEFT(AG402,2)&lt;&gt;"Va",AM402&lt;&gt;"H. Sale Real"),IF(AM404-AM402&lt;0.208333333333333,AM404-AM402,""),IF(AND(AM401&lt;&gt;"",LEFT(AG401,2)&lt;&gt;"Va",AM401&lt;&gt;"H. Sale Real"),IF(AM404-AM401&lt;0.208333333333333,AM404-AM401,""),IF(AND(AM400&lt;&gt;"",LEFT(AG400,2)&lt;&gt;"Va",AM400&lt;&gt;"H. Sale Real"),IF(AM404-AM400&lt;0.208333333333333,AM404-AM400,""),IF(AND(AM399&lt;&gt;"",LEFT(AG399,2)&lt;&gt;"Va",AM399&lt;&gt;"H. Sale Real"),IF(AM404-AM399&lt;0.208333333333333,AM404-AM399,""),""))))),""),"")</f>
        <v/>
      </c>
      <c r="AX403" s="89">
        <f>IF(AK403&lt;&gt;"H. Sale Real",IF(AND(AK404&lt;&gt;"",LEFT(AG404,2)&lt;&gt;"Va"),IF(AND(AK403&lt;&gt;"",LEFT(AG403,2)&lt;&gt;"Va",AK403&lt;&gt;"H. Sale Real"),IF(AK404-AK403&lt;0.208333333333333,AK404-AK403,""),IF(AND(AK402&lt;&gt;"",LEFT(AG402,2)&lt;&gt;"Va",AK402&lt;&gt;"H. Sale Real"),IF(AK404-AK402&lt;0.208333333333333,AK404-AK402,""),IF(AND(AK401&lt;&gt;"",LEFT(AG401,2)&lt;&gt;"NC",AK401&lt;&gt;"H. Sale Real"),IF(AK404-AK401&lt;0.208333333333333,AK404-AK401,""),IF(AND(AK400&lt;&gt;"",LEFT(AG400,2)&lt;&gt;"Va",AK400&lt;&gt;"H. Sale Real"),IF(AK404-AK400&lt;0.208333333333333,AK404-AK400,""),IF(AND(AK399&lt;&gt;"",LEFT(AG399,2)&lt;&gt;"Va",AK399&lt;&gt;"H. Sale Real"),IF(AK404-AK399&lt;0.208333333333333,AK404-AK399,""),""))))),""),"")</f>
        <v/>
      </c>
      <c r="AY403" s="87" t="n"/>
      <c r="AZ403" s="89" t="n"/>
      <c r="BA403" s="87" t="n"/>
      <c r="BB403" s="89" t="n"/>
      <c r="BC403" s="91" t="n"/>
      <c r="BD403" s="122">
        <f>IF(AK403&lt;&gt;"",IF(AND(BD402&lt;&gt;"IE",AT403&lt;&gt;0,AV403&lt;&gt;""),IF(IFERROR((AT403/AV403),0) &lt;=1,IFERROR(AT403/AV403,""),1),""),"")</f>
        <v/>
      </c>
      <c r="BE403" s="93" t="n"/>
      <c r="BF403" s="105" t="n"/>
      <c r="FC403" t="inlineStr">
        <is>
          <t>Diccionario 1</t>
        </is>
      </c>
      <c r="FD403" s="15" t="n">
        <v>1402</v>
      </c>
      <c r="FE403" s="15" t="inlineStr">
        <is>
          <t>MDN35025010035</t>
        </is>
      </c>
      <c r="FF403" s="15" t="inlineStr">
        <is>
          <t>LDYECS314S0043827</t>
        </is>
      </c>
      <c r="FG403" s="15" t="inlineStr">
        <is>
          <t>Zhong Tong</t>
        </is>
      </c>
      <c r="FH403" s="15" t="inlineStr">
        <is>
          <t>Lck6122evg</t>
        </is>
      </c>
      <c r="FI403" s="15" t="inlineStr">
        <is>
          <t>ZHONGTONG</t>
        </is>
      </c>
      <c r="FJ403" s="15" t="inlineStr">
        <is>
          <t>LCK6122EVG</t>
        </is>
      </c>
      <c r="FK403" s="15" t="n">
        <v>2025</v>
      </c>
      <c r="FL403" s="15" t="inlineStr">
        <is>
          <t>B</t>
        </is>
      </c>
      <c r="FM403" s="15" t="inlineStr">
        <is>
          <t>PIE ANDINO</t>
        </is>
      </c>
      <c r="FN403" s="15" t="inlineStr">
        <is>
          <t>Pie Andino 31 (Pie Andino 383)</t>
        </is>
      </c>
      <c r="FO403" s="15" t="inlineStr">
        <is>
          <t>Puente Alto</t>
        </is>
      </c>
      <c r="FP403" t="inlineStr">
        <is>
          <t>B</t>
        </is>
      </c>
      <c r="FS403" s="14" t="inlineStr">
        <is>
          <t>3104 / SFWZ-52|</t>
        </is>
      </c>
      <c r="FT403" t="inlineStr">
        <is>
          <t>SFWZ-52|</t>
        </is>
      </c>
      <c r="FU403" t="inlineStr">
        <is>
          <t>SFWZ-52</t>
        </is>
      </c>
      <c r="FV403">
        <f>VLOOKUP(FU403,FD:FL,9,0)</f>
        <v/>
      </c>
      <c r="HA403" s="35" t="n">
        <v>173</v>
      </c>
      <c r="HB403" s="35" t="n">
        <v>397</v>
      </c>
    </row>
    <row r="404" ht="15.5" customHeight="1">
      <c r="A404" s="10">
        <f>HOUR(G404)+1</f>
        <v/>
      </c>
      <c r="B404" s="7" t="n"/>
      <c r="C404" s="7" t="n"/>
      <c r="D404" s="85">
        <f>IFERROR(
IF(AND(OR(Planilla!B404="C",Planilla!B404="c"), VLOOKUP(E404,FD:FP,13,0)="C"), "OK",IF(AND(OR(Planilla!B404="C",Planilla!B404="c"), OR(VLOOKUP(E404,FD:FP,13,0)="B", VLOOKUP(E404,FD:FP,13,0)="A")), "DEFICIT",IF(
AND(OR(Planilla!B404="B", Planilla!B404="BPAL"), VLOOKUP(E404,FD:FP,13,0)="B"), "OK",IF(AND(OR(Planilla!B404="B", Planilla!B404="BPAL"), VLOOKUP(E404,FD:FP,13,0)="A"), "DEFICIT",IF(AND(OR(Planilla!B404="B", Planilla!B404="BPAL"), VLOOKUP(E404,FD:FP,13,0)="C"), "SOBREOFERTA",IF(AND(Planilla!B404="A", VLOOKUP(E404,FD:FP,13,0)="A"), "OK",IF(
AND(Planilla!B404="A", OR(VLOOKUP(E404,FD:FP,13,0)="B", VLOOKUP(E404,FD:FP,13,0)="C")), "SOBREOFERTA",""
))))))),"")</f>
        <v/>
      </c>
      <c r="E404" s="8" t="n"/>
      <c r="F404" s="86" t="n"/>
      <c r="G404" s="87" t="n"/>
      <c r="H404" s="88">
        <f>IF(I404="","",IF(AND((I404-G404)&gt;=TIME(0,0,0),(I404-G404)&lt;TIME(0,3,0)),"OK",IF(AND((I404-G404)&gt;=TIME(0,3,0),(I404-G404)&lt;TIME(0,5,0)),"RETRASO DE 3-5 MIN",IF(AND((I404-G404)&gt;=TIME(0,5,0),(I404-G404)&lt;TIME(0,10,0)),"RETRASO DE 5-10 MIN",IF((I404-G404)&gt;=TIME(0,10,0),"RETRASO &gt;10 MIN", IF(AND((G404-I404)&gt;=TIME(0,0,0),(G404-I404)&lt;TIME(0,3,0)),"OK",IF((G404-I404)&gt;=TIME(0,3,0),"ADELANTADO")))))))</f>
        <v/>
      </c>
      <c r="I404" s="89" t="n"/>
      <c r="J404" s="89">
        <f>IF(A404&lt;&gt;"",HLOOKUP(VALUE(TEXT(G404,"h:mm:ss")),IF($C$6="Laboral",$FZ$4:$GX$227,IF($C$6="Sábado",$FZ$231:$GX$452,$FZ$456:$GX$656)),VLOOKUP($C$4,$HF$2:$HH$99,3,0)+IF(C$5="Ida",0,1),1),"")</f>
        <v/>
      </c>
      <c r="K404" s="89">
        <f>IF(A405&lt;&gt;A404,AVERAGEIF(A$9:A404,A404,J$9:J404),"")</f>
        <v/>
      </c>
      <c r="L404" s="89">
        <f>IFERROR(IF(A405&lt;&gt;A404,AVERAGEIF(A$9:A404,A404,S$9:S404),""),"")</f>
        <v/>
      </c>
      <c r="M404" s="89">
        <f>IFERROR(IF(A405&lt;&gt;A404,AVERAGEIF(A$9:A404,A404,T$9:T404),""),"")</f>
        <v/>
      </c>
      <c r="N404" s="89">
        <f t="array" ref="N404">IFERROR(IF(A405&lt;&gt;A404,_xlfn.STDEV.P(IF(A$9:A404=A404,T$9:T404)),""),"")</f>
        <v/>
      </c>
      <c r="O404" s="89">
        <f t="array" ref="O404">IFERROR(IF(A405&lt;&gt;A404,_xlfn.STDEV.P(IF(A$9:A404=A404,S$9:S404)),""),"")</f>
        <v/>
      </c>
      <c r="P404" s="90">
        <f>IFERROR(IF(A404&lt;&gt;A405,MAX((((M404*24*60)/2)*(1+POWER((((N404*24*60) / (M404*24*60) )),2))) + ((M404*24*60 )*-0.1 + (K404*0.015)) +1,(((M404*24*60)/2)*(1+POWER((((N404*24*60) / (M404*24*60 ))),2)))),""),"")</f>
        <v/>
      </c>
      <c r="Q404" s="90">
        <f>IF(AND(O404&lt;&gt;"",L404&lt;&gt;""),IF(A404&lt;&gt;A405,((L404*24*60) / 2 ) * (1 + POWER(((O404*24*60) / (L404*24*60)),2)),""),"")</f>
        <v/>
      </c>
      <c r="R404" s="90">
        <f>IF(Q404&lt;&gt;"",MAX(P404,Q404),"")</f>
        <v/>
      </c>
      <c r="S404" s="89">
        <f>IF(I404&lt;&gt;"H. Sale Real",IF(AND(I405&lt;&gt;"",LEFT(C405,2)&lt;&gt;"Va"),IF(AND(I404&lt;&gt;"",LEFT(C404,2)&lt;&gt;"Va",I404&lt;&gt;"H. Sale Real"),IF(I405-I404&lt;0.208333333333333,I405-I404,""),IF(AND(I403&lt;&gt;"",LEFT(C403,2)&lt;&gt;"Va",I403&lt;&gt;"H. Sale Real"),IF(I405-I403&lt;0.208333333333333,I405-I403,""),IF(AND(I402&lt;&gt;"",LEFT(C402,2)&lt;&gt;"Va",I402&lt;&gt;"H. Sale Real"),IF(I405-I402&lt;0.208333333333333,I405-I402,""),IF(AND(I401&lt;&gt;"",LEFT(C401,2)&lt;&gt;"Va",I401&lt;&gt;"H. Sale Real"),IF(I405-I401&lt;0.208333333333333,I405-I401,""),IF(AND(I400&lt;&gt;"",LEFT(C400,2)&lt;&gt;"Va",I400&lt;&gt;"H. Sale Real"),IF(I405-I400&lt;0.208333333333333,I405-I400,""),""))))),""),"")</f>
        <v/>
      </c>
      <c r="T404" s="89">
        <f>IF(G404&lt;&gt;"H. Sale Real",IF(AND(G405&lt;&gt;"",LEFT(C405,2)&lt;&gt;"Va"),IF(AND(G404&lt;&gt;"",LEFT(C404,2)&lt;&gt;"Va",G404&lt;&gt;"H. Sale Real"),IF(G405-G404&lt;0.208333333333333,G405-G404,""),IF(AND(G403&lt;&gt;"",LEFT(C403,2)&lt;&gt;"Va",G403&lt;&gt;"H. Sale Real"),IF(G405-G403&lt;0.208333333333333,G405-G403,""),IF(AND(G402&lt;&gt;"",LEFT(C402,2)&lt;&gt;"Va",G402&lt;&gt;"H. Sale Real"),IF(G405-G402&lt;0.208333333333333,G405-G402,""),IF(AND(G401&lt;&gt;"",LEFT(C401,2)&lt;&gt;"Va",G401&lt;&gt;"H. Sale Real"),IF(G405-G401&lt;0.208333333333333,G405-G401,""),IF(AND(G400&lt;&gt;"",LEFT(C400,2)&lt;&gt;"Va",G400&lt;&gt;"H. Sale Real"),IF(G405-G400&lt;0.208333333333333,G405-G400,""),""))))),""),"")</f>
        <v/>
      </c>
      <c r="U404" s="87" t="n"/>
      <c r="V404" s="89" t="n"/>
      <c r="W404" s="87" t="n"/>
      <c r="X404" s="89" t="n"/>
      <c r="Y404" s="91" t="n"/>
      <c r="Z404" s="122">
        <f>IF(G404&lt;&gt;"",IF(AND(Z403&lt;&gt;"IE",P404&lt;&gt;0,R404&lt;&gt;""),IF(IFERROR((P404/R404),0) &lt;=1,IFERROR(P404/R404,""),1),""),"")</f>
        <v/>
      </c>
      <c r="AA404" s="93" t="n"/>
      <c r="AB404" s="2" t="n"/>
      <c r="AE404" s="10">
        <f>HOUR(AK404)+1</f>
        <v/>
      </c>
      <c r="AF404" s="7" t="n"/>
      <c r="AG404" s="7" t="n"/>
      <c r="AH404" s="86" t="n"/>
      <c r="AI404" s="8" t="n"/>
      <c r="AJ404" s="86" t="n"/>
      <c r="AK404" s="87" t="n"/>
      <c r="AL404" s="88">
        <f>IF(AM404="","",IF(AND((AM404-AK404)&gt;=TIME(0,0,0),(AM404-AK404)&lt;TIME(0,3,0)),"OK",IF(AND((AM404-AK404)&gt;=TIME(0,3,0),(AM404-AK404)&lt;TIME(0,5,0)),"RETRASO DE 3-5 MIN",IF(AND((AM404-AK404)&gt;=TIME(0,5,0),(AM404-AK404)&lt;TIME(0,10,0)),"RETRASO DE 5-10 MIN",IF((AM404-AK404)&gt;=TIME(0,10,0),"RETRASO &gt;10 MIN", IF(AND((AK404-AM404)&gt;=TIME(0,0,0),(AK404-AM404)&lt;TIME(0,3,0)),"OK",IF((AK404-AM404)&gt;=TIME(0,3,0),"ADELANTADO")))))))</f>
        <v/>
      </c>
      <c r="AM404" s="91" t="n"/>
      <c r="AN404" s="89">
        <f>IF(AE404&lt;&gt;"",HLOOKUP(VALUE(TEXT(AK404,"h:mm:ss")),IF($C$6="Laboral",$FZ$4:$GX$227,IF($C$6="Sábado",$FZ$231:$GX$452,$FZ$456:$GX$656)),VLOOKUP($C$4,$HF$2:$HH$99,3,0)+IF(AG$5="Ida",0,1),1),"")</f>
        <v/>
      </c>
      <c r="AO404" s="89">
        <f>IF(AE405&lt;&gt;AE404,AVERAGEIF(AE$9:AE404,AE404,AN$9:AN404),"")</f>
        <v/>
      </c>
      <c r="AP404" s="89">
        <f>IFERROR(IF(AE405&lt;&gt;AE404,AVERAGEIF(AE$9:AE404,AE404,AW$9:AW404),""),"")</f>
        <v/>
      </c>
      <c r="AQ404" s="89">
        <f>IFERROR(IF(AE405&lt;&gt;AE404,AVERAGEIF(AE$9:AE404,AE404,AX$9:AX404),""),"")</f>
        <v/>
      </c>
      <c r="AR404" s="89">
        <f t="array" ref="AR404">IFERROR(IF(AE405&lt;&gt;AE404,_xlfn.STDEV.P(IF(AE$9:AE404=AE404,AX$9:AX404)),""),"")</f>
        <v/>
      </c>
      <c r="AS404" s="89">
        <f t="array" ref="AS404">IFERROR(IF(AE405&lt;&gt;AE404,_xlfn.STDEV.P(IF(AE$9:AE404=AE404,AW$9:AW404)),""),"")</f>
        <v/>
      </c>
      <c r="AT404" s="90">
        <f>IFERROR(IF(AE404&lt;&gt;AE405,MAX((((AQ404*24*60)/2)*(1+POWER((((AR404*24*60) / (AQ404*24*60) )),2))) + ((AQ404*24*60 )*-0.1 + (AO404*0.015)) +1,(((AQ404*24*60)/2)*(1+POWER((((AR404*24*60) / (AQ404*24*60 ))),2)))),""),"")</f>
        <v/>
      </c>
      <c r="AU404" s="90">
        <f>IF(AND(AS404&lt;&gt;"",AP404&lt;&gt;""),IF(AE404&lt;&gt;AE405,((AP404*24*60) / 2 ) * (1 + POWER(((AS404*24*60) / (AP404*24*60)),2)),""),"")</f>
        <v/>
      </c>
      <c r="AV404" s="90">
        <f>IF(AU404&lt;&gt;"",MAX(AT404,AU404),"")</f>
        <v/>
      </c>
      <c r="AW404" s="89">
        <f>IF(AM404&lt;&gt;"H. Sale Real",IF(AND(AM405&lt;&gt;"",LEFT(AG405,2)&lt;&gt;"Va"),IF(AND(AM404&lt;&gt;"",LEFT(AG404,2)&lt;&gt;"Va",AM404&lt;&gt;"H. Sale Real"),IF(AM405-AM404&lt;0.208333333333333,AM405-AM404,""),IF(AND(AM403&lt;&gt;"",LEFT(AG403,2)&lt;&gt;"Va",AM403&lt;&gt;"H. Sale Real"),IF(AM405-AM403&lt;0.208333333333333,AM405-AM403,""),IF(AND(AM402&lt;&gt;"",LEFT(AG402,2)&lt;&gt;"Va",AM402&lt;&gt;"H. Sale Real"),IF(AM405-AM402&lt;0.208333333333333,AM405-AM402,""),IF(AND(AM401&lt;&gt;"",LEFT(AG401,2)&lt;&gt;"Va",AM401&lt;&gt;"H. Sale Real"),IF(AM405-AM401&lt;0.208333333333333,AM405-AM401,""),IF(AND(AM400&lt;&gt;"",LEFT(AG400,2)&lt;&gt;"Va",AM400&lt;&gt;"H. Sale Real"),IF(AM405-AM400&lt;0.208333333333333,AM405-AM400,""),""))))),""),"")</f>
        <v/>
      </c>
      <c r="AX404" s="89">
        <f>IF(AK404&lt;&gt;"H. Sale Real",IF(AND(AK405&lt;&gt;"",LEFT(AG405,2)&lt;&gt;"Va"),IF(AND(AK404&lt;&gt;"",LEFT(AG404,2)&lt;&gt;"Va",AK404&lt;&gt;"H. Sale Real"),IF(AK405-AK404&lt;0.208333333333333,AK405-AK404,""),IF(AND(AK403&lt;&gt;"",LEFT(AG403,2)&lt;&gt;"Va",AK403&lt;&gt;"H. Sale Real"),IF(AK405-AK403&lt;0.208333333333333,AK405-AK403,""),IF(AND(AK402&lt;&gt;"",LEFT(AG402,2)&lt;&gt;"NC",AK402&lt;&gt;"H. Sale Real"),IF(AK405-AK402&lt;0.208333333333333,AK405-AK402,""),IF(AND(AK401&lt;&gt;"",LEFT(AG401,2)&lt;&gt;"Va",AK401&lt;&gt;"H. Sale Real"),IF(AK405-AK401&lt;0.208333333333333,AK405-AK401,""),IF(AND(AK400&lt;&gt;"",LEFT(AG400,2)&lt;&gt;"Va",AK400&lt;&gt;"H. Sale Real"),IF(AK405-AK400&lt;0.208333333333333,AK405-AK400,""),""))))),""),"")</f>
        <v/>
      </c>
      <c r="AY404" s="87" t="n"/>
      <c r="AZ404" s="89" t="n"/>
      <c r="BA404" s="87" t="n"/>
      <c r="BB404" s="89" t="n"/>
      <c r="BC404" s="91" t="n"/>
      <c r="BD404" s="122">
        <f>IF(AK404&lt;&gt;"",IF(AND(BD403&lt;&gt;"IE",AT404&lt;&gt;0,AV404&lt;&gt;""),IF(IFERROR((AT404/AV404),0) &lt;=1,IFERROR(AT404/AV404,""),1),""),"")</f>
        <v/>
      </c>
      <c r="BE404" s="93" t="n"/>
      <c r="BF404" s="105" t="n"/>
      <c r="FC404" t="inlineStr">
        <is>
          <t>Diccionario 1</t>
        </is>
      </c>
      <c r="FD404" s="15" t="n">
        <v>1403</v>
      </c>
      <c r="FE404" s="15" t="inlineStr">
        <is>
          <t>MDN35025010026</t>
        </is>
      </c>
      <c r="FF404" s="15" t="inlineStr">
        <is>
          <t>LDYECS313S0043835</t>
        </is>
      </c>
      <c r="FG404" s="15" t="inlineStr">
        <is>
          <t>Zhong Tong</t>
        </is>
      </c>
      <c r="FH404" s="15" t="inlineStr">
        <is>
          <t>Lck6122evg</t>
        </is>
      </c>
      <c r="FI404" s="15" t="inlineStr">
        <is>
          <t>ZHONGTONG</t>
        </is>
      </c>
      <c r="FJ404" s="15" t="inlineStr">
        <is>
          <t>LCK6122EVG</t>
        </is>
      </c>
      <c r="FK404" s="15" t="n">
        <v>2025</v>
      </c>
      <c r="FL404" s="15" t="inlineStr">
        <is>
          <t>B</t>
        </is>
      </c>
      <c r="FM404" s="15" t="inlineStr">
        <is>
          <t>PIE ANDINO</t>
        </is>
      </c>
      <c r="FN404" s="15" t="inlineStr">
        <is>
          <t>Pie Andino 31 (Pie Andino 383)</t>
        </is>
      </c>
      <c r="FO404" s="15" t="inlineStr">
        <is>
          <t>Puente Alto</t>
        </is>
      </c>
      <c r="FP404" t="inlineStr">
        <is>
          <t>B</t>
        </is>
      </c>
      <c r="FS404" s="14" t="inlineStr">
        <is>
          <t>3104 / SFWZ-52|</t>
        </is>
      </c>
      <c r="FT404" t="inlineStr">
        <is>
          <t>SFWZ-52|</t>
        </is>
      </c>
      <c r="FU404" t="inlineStr">
        <is>
          <t>SFWZ-52</t>
        </is>
      </c>
      <c r="FV404">
        <f>VLOOKUP(FU404,FD:FL,9,0)</f>
        <v/>
      </c>
      <c r="HA404" s="35" t="n">
        <v>174</v>
      </c>
      <c r="HB404" s="35" t="n">
        <v>398</v>
      </c>
    </row>
    <row r="405" ht="15.5" customHeight="1">
      <c r="A405" s="10">
        <f>HOUR(G405)+1</f>
        <v/>
      </c>
      <c r="B405" s="7" t="n"/>
      <c r="C405" s="7" t="n"/>
      <c r="D405" s="85">
        <f>IFERROR(
IF(AND(OR(Planilla!B405="C",Planilla!B405="c"), VLOOKUP(E405,FD:FP,13,0)="C"), "OK",IF(AND(OR(Planilla!B405="C",Planilla!B405="c"), OR(VLOOKUP(E405,FD:FP,13,0)="B", VLOOKUP(E405,FD:FP,13,0)="A")), "DEFICIT",IF(
AND(OR(Planilla!B405="B", Planilla!B405="BPAL"), VLOOKUP(E405,FD:FP,13,0)="B"), "OK",IF(AND(OR(Planilla!B405="B", Planilla!B405="BPAL"), VLOOKUP(E405,FD:FP,13,0)="A"), "DEFICIT",IF(AND(OR(Planilla!B405="B", Planilla!B405="BPAL"), VLOOKUP(E405,FD:FP,13,0)="C"), "SOBREOFERTA",IF(AND(Planilla!B405="A", VLOOKUP(E405,FD:FP,13,0)="A"), "OK",IF(
AND(Planilla!B405="A", OR(VLOOKUP(E405,FD:FP,13,0)="B", VLOOKUP(E405,FD:FP,13,0)="C")), "SOBREOFERTA",""
))))))),"")</f>
        <v/>
      </c>
      <c r="E405" s="8" t="n"/>
      <c r="F405" s="86" t="n"/>
      <c r="G405" s="87" t="n"/>
      <c r="H405" s="88">
        <f>IF(I405="","",IF(AND((I405-G405)&gt;=TIME(0,0,0),(I405-G405)&lt;TIME(0,3,0)),"OK",IF(AND((I405-G405)&gt;=TIME(0,3,0),(I405-G405)&lt;TIME(0,5,0)),"RETRASO DE 3-5 MIN",IF(AND((I405-G405)&gt;=TIME(0,5,0),(I405-G405)&lt;TIME(0,10,0)),"RETRASO DE 5-10 MIN",IF((I405-G405)&gt;=TIME(0,10,0),"RETRASO &gt;10 MIN", IF(AND((G405-I405)&gt;=TIME(0,0,0),(G405-I405)&lt;TIME(0,3,0)),"OK",IF((G405-I405)&gt;=TIME(0,3,0),"ADELANTADO")))))))</f>
        <v/>
      </c>
      <c r="I405" s="89" t="n"/>
      <c r="J405" s="89">
        <f>IF(A405&lt;&gt;"",HLOOKUP(VALUE(TEXT(G405,"h:mm:ss")),IF($C$6="Laboral",$FZ$4:$GX$227,IF($C$6="Sábado",$FZ$231:$GX$452,$FZ$456:$GX$656)),VLOOKUP($C$4,$HF$2:$HH$99,3,0)+IF(C$5="Ida",0,1),1),"")</f>
        <v/>
      </c>
      <c r="K405" s="89">
        <f>IF(A406&lt;&gt;A405,AVERAGEIF(A$9:A405,A405,J$9:J405),"")</f>
        <v/>
      </c>
      <c r="L405" s="89">
        <f>IFERROR(IF(A406&lt;&gt;A405,AVERAGEIF(A$9:A405,A405,S$9:S405),""),"")</f>
        <v/>
      </c>
      <c r="M405" s="89">
        <f>IFERROR(IF(A406&lt;&gt;A405,AVERAGEIF(A$9:A405,A405,T$9:T405),""),"")</f>
        <v/>
      </c>
      <c r="N405" s="89">
        <f t="array" ref="N405">IFERROR(IF(A406&lt;&gt;A405,_xlfn.STDEV.P(IF(A$9:A405=A405,T$9:T405)),""),"")</f>
        <v/>
      </c>
      <c r="O405" s="89">
        <f t="array" ref="O405">IFERROR(IF(A406&lt;&gt;A405,_xlfn.STDEV.P(IF(A$9:A405=A405,S$9:S405)),""),"")</f>
        <v/>
      </c>
      <c r="P405" s="90">
        <f>IFERROR(IF(A405&lt;&gt;A406,MAX((((M405*24*60)/2)*(1+POWER((((N405*24*60) / (M405*24*60) )),2))) + ((M405*24*60 )*-0.1 + (K405*0.015)) +1,(((M405*24*60)/2)*(1+POWER((((N405*24*60) / (M405*24*60 ))),2)))),""),"")</f>
        <v/>
      </c>
      <c r="Q405" s="90">
        <f>IF(AND(O405&lt;&gt;"",L405&lt;&gt;""),IF(A405&lt;&gt;A406,((L405*24*60) / 2 ) * (1 + POWER(((O405*24*60) / (L405*24*60)),2)),""),"")</f>
        <v/>
      </c>
      <c r="R405" s="90">
        <f>IF(Q405&lt;&gt;"",MAX(P405,Q405),"")</f>
        <v/>
      </c>
      <c r="S405" s="89">
        <f>IF(I405&lt;&gt;"H. Sale Real",IF(AND(I406&lt;&gt;"",LEFT(C406,2)&lt;&gt;"Va"),IF(AND(I405&lt;&gt;"",LEFT(C405,2)&lt;&gt;"Va",I405&lt;&gt;"H. Sale Real"),IF(I406-I405&lt;0.208333333333333,I406-I405,""),IF(AND(I404&lt;&gt;"",LEFT(C404,2)&lt;&gt;"Va",I404&lt;&gt;"H. Sale Real"),IF(I406-I404&lt;0.208333333333333,I406-I404,""),IF(AND(I403&lt;&gt;"",LEFT(C403,2)&lt;&gt;"Va",I403&lt;&gt;"H. Sale Real"),IF(I406-I403&lt;0.208333333333333,I406-I403,""),IF(AND(I402&lt;&gt;"",LEFT(C402,2)&lt;&gt;"Va",I402&lt;&gt;"H. Sale Real"),IF(I406-I402&lt;0.208333333333333,I406-I402,""),IF(AND(I401&lt;&gt;"",LEFT(C401,2)&lt;&gt;"Va",I401&lt;&gt;"H. Sale Real"),IF(I406-I401&lt;0.208333333333333,I406-I401,""),""))))),""),"")</f>
        <v/>
      </c>
      <c r="T405" s="89">
        <f>IF(G405&lt;&gt;"H. Sale Real",IF(AND(G406&lt;&gt;"",LEFT(C406,2)&lt;&gt;"Va"),IF(AND(G405&lt;&gt;"",LEFT(C405,2)&lt;&gt;"Va",G405&lt;&gt;"H. Sale Real"),IF(G406-G405&lt;0.208333333333333,G406-G405,""),IF(AND(G404&lt;&gt;"",LEFT(C404,2)&lt;&gt;"Va",G404&lt;&gt;"H. Sale Real"),IF(G406-G404&lt;0.208333333333333,G406-G404,""),IF(AND(G403&lt;&gt;"",LEFT(C403,2)&lt;&gt;"Va",G403&lt;&gt;"H. Sale Real"),IF(G406-G403&lt;0.208333333333333,G406-G403,""),IF(AND(G402&lt;&gt;"",LEFT(C402,2)&lt;&gt;"Va",G402&lt;&gt;"H. Sale Real"),IF(G406-G402&lt;0.208333333333333,G406-G402,""),IF(AND(G401&lt;&gt;"",LEFT(C401,2)&lt;&gt;"Va",G401&lt;&gt;"H. Sale Real"),IF(G406-G401&lt;0.208333333333333,G406-G401,""),""))))),""),"")</f>
        <v/>
      </c>
      <c r="U405" s="87" t="n"/>
      <c r="V405" s="89" t="n"/>
      <c r="W405" s="87" t="n"/>
      <c r="X405" s="89" t="n"/>
      <c r="Y405" s="91" t="n"/>
      <c r="Z405" s="122">
        <f>IF(G405&lt;&gt;"",IF(AND(Z404&lt;&gt;"IE",P405&lt;&gt;0,R405&lt;&gt;""),IF(IFERROR((P405/R405),0) &lt;=1,IFERROR(P405/R405,""),1),""),"")</f>
        <v/>
      </c>
      <c r="AA405" s="93" t="n"/>
      <c r="AB405" s="2" t="n"/>
      <c r="AE405" s="10">
        <f>HOUR(AK405)+1</f>
        <v/>
      </c>
      <c r="AF405" s="7" t="n"/>
      <c r="AG405" s="7" t="n"/>
      <c r="AH405" s="86" t="n"/>
      <c r="AI405" s="8" t="n"/>
      <c r="AJ405" s="86" t="n"/>
      <c r="AK405" s="87" t="n"/>
      <c r="AL405" s="88">
        <f>IF(AM405="","",IF(AND((AM405-AK405)&gt;=TIME(0,0,0),(AM405-AK405)&lt;TIME(0,3,0)),"OK",IF(AND((AM405-AK405)&gt;=TIME(0,3,0),(AM405-AK405)&lt;TIME(0,5,0)),"RETRASO DE 3-5 MIN",IF(AND((AM405-AK405)&gt;=TIME(0,5,0),(AM405-AK405)&lt;TIME(0,10,0)),"RETRASO DE 5-10 MIN",IF((AM405-AK405)&gt;=TIME(0,10,0),"RETRASO &gt;10 MIN", IF(AND((AK405-AM405)&gt;=TIME(0,0,0),(AK405-AM405)&lt;TIME(0,3,0)),"OK",IF((AK405-AM405)&gt;=TIME(0,3,0),"ADELANTADO")))))))</f>
        <v/>
      </c>
      <c r="AM405" s="91" t="n"/>
      <c r="AN405" s="89">
        <f>IF(AE405&lt;&gt;"",HLOOKUP(VALUE(TEXT(AK405,"h:mm:ss")),IF($C$6="Laboral",$FZ$4:$GX$227,IF($C$6="Sábado",$FZ$231:$GX$452,$FZ$456:$GX$656)),VLOOKUP($C$4,$HF$2:$HH$99,3,0)+IF(AG$5="Ida",0,1),1),"")</f>
        <v/>
      </c>
      <c r="AO405" s="89">
        <f>IF(AE406&lt;&gt;AE405,AVERAGEIF(AE$9:AE405,AE405,AN$9:AN405),"")</f>
        <v/>
      </c>
      <c r="AP405" s="89">
        <f>IFERROR(IF(AE406&lt;&gt;AE405,AVERAGEIF(AE$9:AE405,AE405,AW$9:AW405),""),"")</f>
        <v/>
      </c>
      <c r="AQ405" s="89">
        <f>IFERROR(IF(AE406&lt;&gt;AE405,AVERAGEIF(AE$9:AE405,AE405,AX$9:AX405),""),"")</f>
        <v/>
      </c>
      <c r="AR405" s="89">
        <f t="array" ref="AR405">IFERROR(IF(AE406&lt;&gt;AE405,_xlfn.STDEV.P(IF(AE$9:AE405=AE405,AX$9:AX405)),""),"")</f>
        <v/>
      </c>
      <c r="AS405" s="89">
        <f t="array" ref="AS405">IFERROR(IF(AE406&lt;&gt;AE405,_xlfn.STDEV.P(IF(AE$9:AE405=AE405,AW$9:AW405)),""),"")</f>
        <v/>
      </c>
      <c r="AT405" s="90">
        <f>IFERROR(IF(AE405&lt;&gt;AE406,MAX((((AQ405*24*60)/2)*(1+POWER((((AR405*24*60) / (AQ405*24*60) )),2))) + ((AQ405*24*60 )*-0.1 + (AO405*0.015)) +1,(((AQ405*24*60)/2)*(1+POWER((((AR405*24*60) / (AQ405*24*60 ))),2)))),""),"")</f>
        <v/>
      </c>
      <c r="AU405" s="90">
        <f>IF(AND(AS405&lt;&gt;"",AP405&lt;&gt;""),IF(AE405&lt;&gt;AE406,((AP405*24*60) / 2 ) * (1 + POWER(((AS405*24*60) / (AP405*24*60)),2)),""),"")</f>
        <v/>
      </c>
      <c r="AV405" s="90">
        <f>IF(AU405&lt;&gt;"",MAX(AT405,AU405),"")</f>
        <v/>
      </c>
      <c r="AW405" s="89">
        <f>IF(AM405&lt;&gt;"H. Sale Real",IF(AND(AM406&lt;&gt;"",LEFT(AG406,2)&lt;&gt;"Va"),IF(AND(AM405&lt;&gt;"",LEFT(AG405,2)&lt;&gt;"Va",AM405&lt;&gt;"H. Sale Real"),IF(AM406-AM405&lt;0.208333333333333,AM406-AM405,""),IF(AND(AM404&lt;&gt;"",LEFT(AG404,2)&lt;&gt;"Va",AM404&lt;&gt;"H. Sale Real"),IF(AM406-AM404&lt;0.208333333333333,AM406-AM404,""),IF(AND(AM403&lt;&gt;"",LEFT(AG403,2)&lt;&gt;"Va",AM403&lt;&gt;"H. Sale Real"),IF(AM406-AM403&lt;0.208333333333333,AM406-AM403,""),IF(AND(AM402&lt;&gt;"",LEFT(AG402,2)&lt;&gt;"Va",AM402&lt;&gt;"H. Sale Real"),IF(AM406-AM402&lt;0.208333333333333,AM406-AM402,""),IF(AND(AM401&lt;&gt;"",LEFT(AG401,2)&lt;&gt;"Va",AM401&lt;&gt;"H. Sale Real"),IF(AM406-AM401&lt;0.208333333333333,AM406-AM401,""),""))))),""),"")</f>
        <v/>
      </c>
      <c r="AX405" s="89">
        <f>IF(AK405&lt;&gt;"H. Sale Real",IF(AND(AK406&lt;&gt;"",LEFT(AG406,2)&lt;&gt;"Va"),IF(AND(AK405&lt;&gt;"",LEFT(AG405,2)&lt;&gt;"Va",AK405&lt;&gt;"H. Sale Real"),IF(AK406-AK405&lt;0.208333333333333,AK406-AK405,""),IF(AND(AK404&lt;&gt;"",LEFT(AG404,2)&lt;&gt;"Va",AK404&lt;&gt;"H. Sale Real"),IF(AK406-AK404&lt;0.208333333333333,AK406-AK404,""),IF(AND(AK403&lt;&gt;"",LEFT(AG403,2)&lt;&gt;"NC",AK403&lt;&gt;"H. Sale Real"),IF(AK406-AK403&lt;0.208333333333333,AK406-AK403,""),IF(AND(AK402&lt;&gt;"",LEFT(AG402,2)&lt;&gt;"Va",AK402&lt;&gt;"H. Sale Real"),IF(AK406-AK402&lt;0.208333333333333,AK406-AK402,""),IF(AND(AK401&lt;&gt;"",LEFT(AG401,2)&lt;&gt;"Va",AK401&lt;&gt;"H. Sale Real"),IF(AK406-AK401&lt;0.208333333333333,AK406-AK401,""),""))))),""),"")</f>
        <v/>
      </c>
      <c r="AY405" s="87" t="n"/>
      <c r="AZ405" s="89" t="n"/>
      <c r="BA405" s="87" t="n"/>
      <c r="BB405" s="89" t="n"/>
      <c r="BC405" s="91" t="n"/>
      <c r="BD405" s="122">
        <f>IF(AK405&lt;&gt;"",IF(AND(BD404&lt;&gt;"IE",AT405&lt;&gt;0,AV405&lt;&gt;""),IF(IFERROR((AT405/AV405),0) &lt;=1,IFERROR(AT405/AV405,""),1),""),"")</f>
        <v/>
      </c>
      <c r="BE405" s="93" t="n"/>
      <c r="BF405" s="105" t="n"/>
      <c r="FC405" t="inlineStr">
        <is>
          <t>Diccionario 1</t>
        </is>
      </c>
      <c r="FD405" s="15" t="n">
        <v>1404</v>
      </c>
      <c r="FE405" s="15" t="inlineStr">
        <is>
          <t>MDN35025020082</t>
        </is>
      </c>
      <c r="FF405" s="15" t="inlineStr">
        <is>
          <t>LDYECS315S0043853</t>
        </is>
      </c>
      <c r="FG405" s="15" t="inlineStr">
        <is>
          <t>Zhong Tong</t>
        </is>
      </c>
      <c r="FH405" s="15" t="inlineStr">
        <is>
          <t>Lck6122evg</t>
        </is>
      </c>
      <c r="FI405" s="15" t="inlineStr">
        <is>
          <t>ZHONGTONG</t>
        </is>
      </c>
      <c r="FJ405" s="15" t="inlineStr">
        <is>
          <t>LCK6122EVG</t>
        </is>
      </c>
      <c r="FK405" s="15" t="n">
        <v>2025</v>
      </c>
      <c r="FL405" s="15" t="inlineStr">
        <is>
          <t>B</t>
        </is>
      </c>
      <c r="FM405" s="15" t="inlineStr">
        <is>
          <t>CERRILLOS</t>
        </is>
      </c>
      <c r="FN405" s="15" t="inlineStr">
        <is>
          <t>Calle Uno 7371</t>
        </is>
      </c>
      <c r="FO405" s="15" t="inlineStr">
        <is>
          <t>Cerrillos</t>
        </is>
      </c>
      <c r="FP405" t="inlineStr">
        <is>
          <t>B</t>
        </is>
      </c>
      <c r="FS405" s="14" t="inlineStr">
        <is>
          <t>3104 / SFWZ-52|</t>
        </is>
      </c>
      <c r="FT405" t="inlineStr">
        <is>
          <t>SFWZ-52|</t>
        </is>
      </c>
      <c r="FU405" t="inlineStr">
        <is>
          <t>SFWZ-52</t>
        </is>
      </c>
      <c r="FV405">
        <f>VLOOKUP(FU405,FD:FL,9,0)</f>
        <v/>
      </c>
      <c r="HA405" s="35" t="n">
        <v>175</v>
      </c>
      <c r="HB405" s="35" t="n">
        <v>399</v>
      </c>
    </row>
    <row r="406" ht="15.5" customHeight="1">
      <c r="A406" s="10">
        <f>HOUR(G406)+1</f>
        <v/>
      </c>
      <c r="B406" s="7" t="n"/>
      <c r="C406" s="7" t="n"/>
      <c r="D406" s="85">
        <f>IFERROR(
IF(AND(OR(Planilla!B406="C",Planilla!B406="c"), VLOOKUP(E406,FD:FP,13,0)="C"), "OK",IF(AND(OR(Planilla!B406="C",Planilla!B406="c"), OR(VLOOKUP(E406,FD:FP,13,0)="B", VLOOKUP(E406,FD:FP,13,0)="A")), "DEFICIT",IF(
AND(OR(Planilla!B406="B", Planilla!B406="BPAL"), VLOOKUP(E406,FD:FP,13,0)="B"), "OK",IF(AND(OR(Planilla!B406="B", Planilla!B406="BPAL"), VLOOKUP(E406,FD:FP,13,0)="A"), "DEFICIT",IF(AND(OR(Planilla!B406="B", Planilla!B406="BPAL"), VLOOKUP(E406,FD:FP,13,0)="C"), "SOBREOFERTA",IF(AND(Planilla!B406="A", VLOOKUP(E406,FD:FP,13,0)="A"), "OK",IF(
AND(Planilla!B406="A", OR(VLOOKUP(E406,FD:FP,13,0)="B", VLOOKUP(E406,FD:FP,13,0)="C")), "SOBREOFERTA",""
))))))),"")</f>
        <v/>
      </c>
      <c r="E406" s="8" t="n"/>
      <c r="F406" s="86" t="n"/>
      <c r="G406" s="87" t="n"/>
      <c r="H406" s="88">
        <f>IF(I406="","",IF(AND((I406-G406)&gt;=TIME(0,0,0),(I406-G406)&lt;TIME(0,3,0)),"OK",IF(AND((I406-G406)&gt;=TIME(0,3,0),(I406-G406)&lt;TIME(0,5,0)),"RETRASO DE 3-5 MIN",IF(AND((I406-G406)&gt;=TIME(0,5,0),(I406-G406)&lt;TIME(0,10,0)),"RETRASO DE 5-10 MIN",IF((I406-G406)&gt;=TIME(0,10,0),"RETRASO &gt;10 MIN", IF(AND((G406-I406)&gt;=TIME(0,0,0),(G406-I406)&lt;TIME(0,3,0)),"OK",IF((G406-I406)&gt;=TIME(0,3,0),"ADELANTADO")))))))</f>
        <v/>
      </c>
      <c r="I406" s="89" t="n"/>
      <c r="J406" s="89">
        <f>IF(A406&lt;&gt;"",HLOOKUP(VALUE(TEXT(G406,"h:mm:ss")),IF($C$6="Laboral",$FZ$4:$GX$227,IF($C$6="Sábado",$FZ$231:$GX$452,$FZ$456:$GX$656)),VLOOKUP($C$4,$HF$2:$HH$99,3,0)+IF(C$5="Ida",0,1),1),"")</f>
        <v/>
      </c>
      <c r="K406" s="89">
        <f>IF(A407&lt;&gt;A406,AVERAGEIF(A$9:A406,A406,J$9:J406),"")</f>
        <v/>
      </c>
      <c r="L406" s="89">
        <f>IFERROR(IF(A407&lt;&gt;A406,AVERAGEIF(A$9:A406,A406,S$9:S406),""),"")</f>
        <v/>
      </c>
      <c r="M406" s="89">
        <f>IFERROR(IF(A407&lt;&gt;A406,AVERAGEIF(A$9:A406,A406,T$9:T406),""),"")</f>
        <v/>
      </c>
      <c r="N406" s="89">
        <f t="array" ref="N406">IFERROR(IF(A407&lt;&gt;A406,_xlfn.STDEV.P(IF(A$9:A406=A406,T$9:T406)),""),"")</f>
        <v/>
      </c>
      <c r="O406" s="89">
        <f t="array" ref="O406">IFERROR(IF(A407&lt;&gt;A406,_xlfn.STDEV.P(IF(A$9:A406=A406,S$9:S406)),""),"")</f>
        <v/>
      </c>
      <c r="P406" s="90">
        <f>IFERROR(IF(A406&lt;&gt;A407,MAX((((M406*24*60)/2)*(1+POWER((((N406*24*60) / (M406*24*60) )),2))) + ((M406*24*60 )*-0.1 + (K406*0.015)) +1,(((M406*24*60)/2)*(1+POWER((((N406*24*60) / (M406*24*60 ))),2)))),""),"")</f>
        <v/>
      </c>
      <c r="Q406" s="90">
        <f>IF(AND(O406&lt;&gt;"",L406&lt;&gt;""),IF(A406&lt;&gt;A407,((L406*24*60) / 2 ) * (1 + POWER(((O406*24*60) / (L406*24*60)),2)),""),"")</f>
        <v/>
      </c>
      <c r="R406" s="90">
        <f>IF(Q406&lt;&gt;"",MAX(P406,Q406),"")</f>
        <v/>
      </c>
      <c r="S406" s="89">
        <f>IF(I406&lt;&gt;"H. Sale Real",IF(AND(I407&lt;&gt;"",LEFT(C407,2)&lt;&gt;"Va"),IF(AND(I406&lt;&gt;"",LEFT(C406,2)&lt;&gt;"Va",I406&lt;&gt;"H. Sale Real"),IF(I407-I406&lt;0.208333333333333,I407-I406,""),IF(AND(I405&lt;&gt;"",LEFT(C405,2)&lt;&gt;"Va",I405&lt;&gt;"H. Sale Real"),IF(I407-I405&lt;0.208333333333333,I407-I405,""),IF(AND(I404&lt;&gt;"",LEFT(C404,2)&lt;&gt;"Va",I404&lt;&gt;"H. Sale Real"),IF(I407-I404&lt;0.208333333333333,I407-I404,""),IF(AND(I403&lt;&gt;"",LEFT(C403,2)&lt;&gt;"Va",I403&lt;&gt;"H. Sale Real"),IF(I407-I403&lt;0.208333333333333,I407-I403,""),IF(AND(I402&lt;&gt;"",LEFT(C402,2)&lt;&gt;"Va",I402&lt;&gt;"H. Sale Real"),IF(I407-I402&lt;0.208333333333333,I407-I402,""),""))))),""),"")</f>
        <v/>
      </c>
      <c r="T406" s="89">
        <f>IF(G406&lt;&gt;"H. Sale Real",IF(AND(G407&lt;&gt;"",LEFT(C407,2)&lt;&gt;"Va"),IF(AND(G406&lt;&gt;"",LEFT(C406,2)&lt;&gt;"Va",G406&lt;&gt;"H. Sale Real"),IF(G407-G406&lt;0.208333333333333,G407-G406,""),IF(AND(G405&lt;&gt;"",LEFT(C405,2)&lt;&gt;"Va",G405&lt;&gt;"H. Sale Real"),IF(G407-G405&lt;0.208333333333333,G407-G405,""),IF(AND(G404&lt;&gt;"",LEFT(C404,2)&lt;&gt;"Va",G404&lt;&gt;"H. Sale Real"),IF(G407-G404&lt;0.208333333333333,G407-G404,""),IF(AND(G403&lt;&gt;"",LEFT(C403,2)&lt;&gt;"Va",G403&lt;&gt;"H. Sale Real"),IF(G407-G403&lt;0.208333333333333,G407-G403,""),IF(AND(G402&lt;&gt;"",LEFT(C402,2)&lt;&gt;"Va",G402&lt;&gt;"H. Sale Real"),IF(G407-G402&lt;0.208333333333333,G407-G402,""),""))))),""),"")</f>
        <v/>
      </c>
      <c r="U406" s="87" t="n"/>
      <c r="V406" s="89" t="n"/>
      <c r="W406" s="87" t="n"/>
      <c r="X406" s="89" t="n"/>
      <c r="Y406" s="91" t="n"/>
      <c r="Z406" s="122">
        <f>IF(G406&lt;&gt;"",IF(AND(Z405&lt;&gt;"IE",P406&lt;&gt;0,R406&lt;&gt;""),IF(IFERROR((P406/R406),0) &lt;=1,IFERROR(P406/R406,""),1),""),"")</f>
        <v/>
      </c>
      <c r="AA406" s="93" t="n"/>
      <c r="AB406" s="2" t="n"/>
      <c r="AE406" s="10">
        <f>HOUR(AK406)+1</f>
        <v/>
      </c>
      <c r="AF406" s="7" t="n"/>
      <c r="AG406" s="7" t="n"/>
      <c r="AH406" s="86" t="n"/>
      <c r="AI406" s="8" t="n"/>
      <c r="AJ406" s="86" t="n"/>
      <c r="AK406" s="87" t="n"/>
      <c r="AL406" s="88">
        <f>IF(AM406="","",IF(AND((AM406-AK406)&gt;=TIME(0,0,0),(AM406-AK406)&lt;TIME(0,3,0)),"OK",IF(AND((AM406-AK406)&gt;=TIME(0,3,0),(AM406-AK406)&lt;TIME(0,5,0)),"RETRASO DE 3-5 MIN",IF(AND((AM406-AK406)&gt;=TIME(0,5,0),(AM406-AK406)&lt;TIME(0,10,0)),"RETRASO DE 5-10 MIN",IF((AM406-AK406)&gt;=TIME(0,10,0),"RETRASO &gt;10 MIN", IF(AND((AK406-AM406)&gt;=TIME(0,0,0),(AK406-AM406)&lt;TIME(0,3,0)),"OK",IF((AK406-AM406)&gt;=TIME(0,3,0),"ADELANTADO")))))))</f>
        <v/>
      </c>
      <c r="AM406" s="91" t="n"/>
      <c r="AN406" s="89">
        <f>IF(AE406&lt;&gt;"",HLOOKUP(VALUE(TEXT(AK406,"h:mm:ss")),IF($C$6="Laboral",$FZ$4:$GX$227,IF($C$6="Sábado",$FZ$231:$GX$452,$FZ$456:$GX$656)),VLOOKUP($C$4,$HF$2:$HH$99,3,0)+IF(AG$5="Ida",0,1),1),"")</f>
        <v/>
      </c>
      <c r="AO406" s="89">
        <f>IF(AE407&lt;&gt;AE406,AVERAGEIF(AE$9:AE406,AE406,AN$9:AN406),"")</f>
        <v/>
      </c>
      <c r="AP406" s="89">
        <f>IFERROR(IF(AE407&lt;&gt;AE406,AVERAGEIF(AE$9:AE406,AE406,AW$9:AW406),""),"")</f>
        <v/>
      </c>
      <c r="AQ406" s="89">
        <f>IFERROR(IF(AE407&lt;&gt;AE406,AVERAGEIF(AE$9:AE406,AE406,AX$9:AX406),""),"")</f>
        <v/>
      </c>
      <c r="AR406" s="89">
        <f t="array" ref="AR406">IFERROR(IF(AE407&lt;&gt;AE406,_xlfn.STDEV.P(IF(AE$9:AE406=AE406,AX$9:AX406)),""),"")</f>
        <v/>
      </c>
      <c r="AS406" s="89">
        <f t="array" ref="AS406">IFERROR(IF(AE407&lt;&gt;AE406,_xlfn.STDEV.P(IF(AE$9:AE406=AE406,AW$9:AW406)),""),"")</f>
        <v/>
      </c>
      <c r="AT406" s="90">
        <f>IFERROR(IF(AE406&lt;&gt;AE407,MAX((((AQ406*24*60)/2)*(1+POWER((((AR406*24*60) / (AQ406*24*60) )),2))) + ((AQ406*24*60 )*-0.1 + (AO406*0.015)) +1,(((AQ406*24*60)/2)*(1+POWER((((AR406*24*60) / (AQ406*24*60 ))),2)))),""),"")</f>
        <v/>
      </c>
      <c r="AU406" s="90">
        <f>IF(AND(AS406&lt;&gt;"",AP406&lt;&gt;""),IF(AE406&lt;&gt;AE407,((AP406*24*60) / 2 ) * (1 + POWER(((AS406*24*60) / (AP406*24*60)),2)),""),"")</f>
        <v/>
      </c>
      <c r="AV406" s="90">
        <f>IF(AU406&lt;&gt;"",MAX(AT406,AU406),"")</f>
        <v/>
      </c>
      <c r="AW406" s="89">
        <f>IF(AM406&lt;&gt;"H. Sale Real",IF(AND(AM407&lt;&gt;"",LEFT(AG407,2)&lt;&gt;"Va"),IF(AND(AM406&lt;&gt;"",LEFT(AG406,2)&lt;&gt;"Va",AM406&lt;&gt;"H. Sale Real"),IF(AM407-AM406&lt;0.208333333333333,AM407-AM406,""),IF(AND(AM405&lt;&gt;"",LEFT(AG405,2)&lt;&gt;"Va",AM405&lt;&gt;"H. Sale Real"),IF(AM407-AM405&lt;0.208333333333333,AM407-AM405,""),IF(AND(AM404&lt;&gt;"",LEFT(AG404,2)&lt;&gt;"Va",AM404&lt;&gt;"H. Sale Real"),IF(AM407-AM404&lt;0.208333333333333,AM407-AM404,""),IF(AND(AM403&lt;&gt;"",LEFT(AG403,2)&lt;&gt;"Va",AM403&lt;&gt;"H. Sale Real"),IF(AM407-AM403&lt;0.208333333333333,AM407-AM403,""),IF(AND(AM402&lt;&gt;"",LEFT(AG402,2)&lt;&gt;"Va",AM402&lt;&gt;"H. Sale Real"),IF(AM407-AM402&lt;0.208333333333333,AM407-AM402,""),""))))),""),"")</f>
        <v/>
      </c>
      <c r="AX406" s="89">
        <f>IF(AK406&lt;&gt;"H. Sale Real",IF(AND(AK407&lt;&gt;"",LEFT(AG407,2)&lt;&gt;"Va"),IF(AND(AK406&lt;&gt;"",LEFT(AG406,2)&lt;&gt;"Va",AK406&lt;&gt;"H. Sale Real"),IF(AK407-AK406&lt;0.208333333333333,AK407-AK406,""),IF(AND(AK405&lt;&gt;"",LEFT(AG405,2)&lt;&gt;"Va",AK405&lt;&gt;"H. Sale Real"),IF(AK407-AK405&lt;0.208333333333333,AK407-AK405,""),IF(AND(AK404&lt;&gt;"",LEFT(AG404,2)&lt;&gt;"NC",AK404&lt;&gt;"H. Sale Real"),IF(AK407-AK404&lt;0.208333333333333,AK407-AK404,""),IF(AND(AK403&lt;&gt;"",LEFT(AG403,2)&lt;&gt;"Va",AK403&lt;&gt;"H. Sale Real"),IF(AK407-AK403&lt;0.208333333333333,AK407-AK403,""),IF(AND(AK402&lt;&gt;"",LEFT(AG402,2)&lt;&gt;"Va",AK402&lt;&gt;"H. Sale Real"),IF(AK407-AK402&lt;0.208333333333333,AK407-AK402,""),""))))),""),"")</f>
        <v/>
      </c>
      <c r="AY406" s="87" t="n"/>
      <c r="AZ406" s="89" t="n"/>
      <c r="BA406" s="87" t="n"/>
      <c r="BB406" s="89" t="n"/>
      <c r="BC406" s="91" t="n"/>
      <c r="BD406" s="122">
        <f>IF(AK406&lt;&gt;"",IF(AND(BD405&lt;&gt;"IE",AT406&lt;&gt;0,AV406&lt;&gt;""),IF(IFERROR((AT406/AV406),0) &lt;=1,IFERROR(AT406/AV406,""),1),""),"")</f>
        <v/>
      </c>
      <c r="BE406" s="93" t="n"/>
      <c r="BF406" s="105" t="n"/>
      <c r="FC406" t="inlineStr">
        <is>
          <t>Diccionario 1</t>
        </is>
      </c>
      <c r="FD406" s="15" t="n">
        <v>1405</v>
      </c>
      <c r="FE406" s="15" t="inlineStr">
        <is>
          <t>MDN35025010099</t>
        </is>
      </c>
      <c r="FF406" s="15" t="inlineStr">
        <is>
          <t>LDYECS317S0043837</t>
        </is>
      </c>
      <c r="FG406" s="15" t="inlineStr">
        <is>
          <t>Zhong Tong</t>
        </is>
      </c>
      <c r="FH406" s="15" t="inlineStr">
        <is>
          <t>Lck6122evg</t>
        </is>
      </c>
      <c r="FI406" s="15" t="inlineStr">
        <is>
          <t>ZHONGTONG</t>
        </is>
      </c>
      <c r="FJ406" s="15" t="inlineStr">
        <is>
          <t>LCK6122EVG</t>
        </is>
      </c>
      <c r="FK406" s="15" t="n">
        <v>2025</v>
      </c>
      <c r="FL406" s="15" t="inlineStr">
        <is>
          <t>B</t>
        </is>
      </c>
      <c r="FM406" s="15" t="inlineStr">
        <is>
          <t>SAN ALFONSO</t>
        </is>
      </c>
      <c r="FN406" s="15" t="inlineStr">
        <is>
          <t>San Alfonso 2141 (Ramón Subercaseaux 3060)</t>
        </is>
      </c>
      <c r="FO406" s="15" t="inlineStr">
        <is>
          <t>Estacion Central</t>
        </is>
      </c>
      <c r="FP406" t="inlineStr">
        <is>
          <t>B</t>
        </is>
      </c>
      <c r="FS406" s="14" t="inlineStr">
        <is>
          <t>3104 / SFWZ-52|</t>
        </is>
      </c>
      <c r="FT406" t="inlineStr">
        <is>
          <t>SFWZ-52|</t>
        </is>
      </c>
      <c r="FU406" t="inlineStr">
        <is>
          <t>SFWZ-52</t>
        </is>
      </c>
      <c r="FV406">
        <f>VLOOKUP(FU406,FD:FL,9,0)</f>
        <v/>
      </c>
      <c r="HA406" s="35" t="n">
        <v>176</v>
      </c>
      <c r="HB406" s="35" t="n">
        <v>400</v>
      </c>
    </row>
    <row r="407" ht="15.5" customHeight="1">
      <c r="A407" s="10">
        <f>HOUR(G407)+1</f>
        <v/>
      </c>
      <c r="B407" s="7" t="n"/>
      <c r="C407" s="7" t="n"/>
      <c r="D407" s="85">
        <f>IFERROR(
IF(AND(OR(Planilla!B407="C",Planilla!B407="c"), VLOOKUP(E407,FD:FP,13,0)="C"), "OK",IF(AND(OR(Planilla!B407="C",Planilla!B407="c"), OR(VLOOKUP(E407,FD:FP,13,0)="B", VLOOKUP(E407,FD:FP,13,0)="A")), "DEFICIT",IF(
AND(OR(Planilla!B407="B", Planilla!B407="BPAL"), VLOOKUP(E407,FD:FP,13,0)="B"), "OK",IF(AND(OR(Planilla!B407="B", Planilla!B407="BPAL"), VLOOKUP(E407,FD:FP,13,0)="A"), "DEFICIT",IF(AND(OR(Planilla!B407="B", Planilla!B407="BPAL"), VLOOKUP(E407,FD:FP,13,0)="C"), "SOBREOFERTA",IF(AND(Planilla!B407="A", VLOOKUP(E407,FD:FP,13,0)="A"), "OK",IF(
AND(Planilla!B407="A", OR(VLOOKUP(E407,FD:FP,13,0)="B", VLOOKUP(E407,FD:FP,13,0)="C")), "SOBREOFERTA",""
))))))),"")</f>
        <v/>
      </c>
      <c r="E407" s="8" t="n"/>
      <c r="F407" s="86" t="n"/>
      <c r="G407" s="87" t="n"/>
      <c r="H407" s="88">
        <f>IF(I407="","",IF(AND((I407-G407)&gt;=TIME(0,0,0),(I407-G407)&lt;TIME(0,3,0)),"OK",IF(AND((I407-G407)&gt;=TIME(0,3,0),(I407-G407)&lt;TIME(0,5,0)),"RETRASO DE 3-5 MIN",IF(AND((I407-G407)&gt;=TIME(0,5,0),(I407-G407)&lt;TIME(0,10,0)),"RETRASO DE 5-10 MIN",IF((I407-G407)&gt;=TIME(0,10,0),"RETRASO &gt;10 MIN", IF(AND((G407-I407)&gt;=TIME(0,0,0),(G407-I407)&lt;TIME(0,3,0)),"OK",IF((G407-I407)&gt;=TIME(0,3,0),"ADELANTADO")))))))</f>
        <v/>
      </c>
      <c r="I407" s="89" t="n"/>
      <c r="J407" s="89">
        <f>IF(A407&lt;&gt;"",HLOOKUP(VALUE(TEXT(G407,"h:mm:ss")),IF($C$6="Laboral",$FZ$4:$GX$227,IF($C$6="Sábado",$FZ$231:$GX$452,$FZ$456:$GX$656)),VLOOKUP($C$4,$HF$2:$HH$99,3,0)+IF(C$5="Ida",0,1),1),"")</f>
        <v/>
      </c>
      <c r="K407" s="89">
        <f>IF(A408&lt;&gt;A407,AVERAGEIF(A$9:A407,A407,J$9:J407),"")</f>
        <v/>
      </c>
      <c r="L407" s="89">
        <f>IFERROR(IF(A408&lt;&gt;A407,AVERAGEIF(A$9:A407,A407,S$9:S407),""),"")</f>
        <v/>
      </c>
      <c r="M407" s="89">
        <f>IFERROR(IF(A408&lt;&gt;A407,AVERAGEIF(A$9:A407,A407,T$9:T407),""),"")</f>
        <v/>
      </c>
      <c r="N407" s="89">
        <f t="array" ref="N407">IFERROR(IF(A408&lt;&gt;A407,_xlfn.STDEV.P(IF(A$9:A407=A407,T$9:T407)),""),"")</f>
        <v/>
      </c>
      <c r="O407" s="89">
        <f t="array" ref="O407">IFERROR(IF(A408&lt;&gt;A407,_xlfn.STDEV.P(IF(A$9:A407=A407,S$9:S407)),""),"")</f>
        <v/>
      </c>
      <c r="P407" s="90">
        <f>IFERROR(IF(A407&lt;&gt;A408,MAX((((M407*24*60)/2)*(1+POWER((((N407*24*60) / (M407*24*60) )),2))) + ((M407*24*60 )*-0.1 + (K407*0.015)) +1,(((M407*24*60)/2)*(1+POWER((((N407*24*60) / (M407*24*60 ))),2)))),""),"")</f>
        <v/>
      </c>
      <c r="Q407" s="90">
        <f>IF(AND(O407&lt;&gt;"",L407&lt;&gt;""),IF(A407&lt;&gt;A408,((L407*24*60) / 2 ) * (1 + POWER(((O407*24*60) / (L407*24*60)),2)),""),"")</f>
        <v/>
      </c>
      <c r="R407" s="90">
        <f>IF(Q407&lt;&gt;"",MAX(P407,Q407),"")</f>
        <v/>
      </c>
      <c r="S407" s="89">
        <f>IF(I407&lt;&gt;"H. Sale Real",IF(AND(I408&lt;&gt;"",LEFT(C408,2)&lt;&gt;"Va"),IF(AND(I407&lt;&gt;"",LEFT(C407,2)&lt;&gt;"Va",I407&lt;&gt;"H. Sale Real"),IF(I408-I407&lt;0.208333333333333,I408-I407,""),IF(AND(I406&lt;&gt;"",LEFT(C406,2)&lt;&gt;"Va",I406&lt;&gt;"H. Sale Real"),IF(I408-I406&lt;0.208333333333333,I408-I406,""),IF(AND(I405&lt;&gt;"",LEFT(C405,2)&lt;&gt;"Va",I405&lt;&gt;"H. Sale Real"),IF(I408-I405&lt;0.208333333333333,I408-I405,""),IF(AND(I404&lt;&gt;"",LEFT(C404,2)&lt;&gt;"Va",I404&lt;&gt;"H. Sale Real"),IF(I408-I404&lt;0.208333333333333,I408-I404,""),IF(AND(I403&lt;&gt;"",LEFT(C403,2)&lt;&gt;"Va",I403&lt;&gt;"H. Sale Real"),IF(I408-I403&lt;0.208333333333333,I408-I403,""),""))))),""),"")</f>
        <v/>
      </c>
      <c r="T407" s="89">
        <f>IF(G407&lt;&gt;"H. Sale Real",IF(AND(G408&lt;&gt;"",LEFT(C408,2)&lt;&gt;"Va"),IF(AND(G407&lt;&gt;"",LEFT(C407,2)&lt;&gt;"Va",G407&lt;&gt;"H. Sale Real"),IF(G408-G407&lt;0.208333333333333,G408-G407,""),IF(AND(G406&lt;&gt;"",LEFT(C406,2)&lt;&gt;"Va",G406&lt;&gt;"H. Sale Real"),IF(G408-G406&lt;0.208333333333333,G408-G406,""),IF(AND(G405&lt;&gt;"",LEFT(C405,2)&lt;&gt;"Va",G405&lt;&gt;"H. Sale Real"),IF(G408-G405&lt;0.208333333333333,G408-G405,""),IF(AND(G404&lt;&gt;"",LEFT(C404,2)&lt;&gt;"Va",G404&lt;&gt;"H. Sale Real"),IF(G408-G404&lt;0.208333333333333,G408-G404,""),IF(AND(G403&lt;&gt;"",LEFT(C403,2)&lt;&gt;"Va",G403&lt;&gt;"H. Sale Real"),IF(G408-G403&lt;0.208333333333333,G408-G403,""),""))))),""),"")</f>
        <v/>
      </c>
      <c r="U407" s="87" t="n"/>
      <c r="V407" s="89" t="n"/>
      <c r="W407" s="87" t="n"/>
      <c r="X407" s="89" t="n"/>
      <c r="Y407" s="91" t="n"/>
      <c r="Z407" s="122">
        <f>IF(G407&lt;&gt;"",IF(AND(Z406&lt;&gt;"IE",P407&lt;&gt;0,R407&lt;&gt;""),IF(IFERROR((P407/R407),0) &lt;=1,IFERROR(P407/R407,""),1),""),"")</f>
        <v/>
      </c>
      <c r="AA407" s="93" t="n"/>
      <c r="AB407" s="2" t="n"/>
      <c r="AE407" s="10">
        <f>HOUR(AK407)+1</f>
        <v/>
      </c>
      <c r="AF407" s="7" t="n"/>
      <c r="AG407" s="7" t="n"/>
      <c r="AH407" s="86" t="n"/>
      <c r="AI407" s="8" t="n"/>
      <c r="AJ407" s="86" t="n"/>
      <c r="AK407" s="87" t="n"/>
      <c r="AL407" s="88">
        <f>IF(AM407="","",IF(AND((AM407-AK407)&gt;=TIME(0,0,0),(AM407-AK407)&lt;TIME(0,3,0)),"OK",IF(AND((AM407-AK407)&gt;=TIME(0,3,0),(AM407-AK407)&lt;TIME(0,5,0)),"RETRASO DE 3-5 MIN",IF(AND((AM407-AK407)&gt;=TIME(0,5,0),(AM407-AK407)&lt;TIME(0,10,0)),"RETRASO DE 5-10 MIN",IF((AM407-AK407)&gt;=TIME(0,10,0),"RETRASO &gt;10 MIN", IF(AND((AK407-AM407)&gt;=TIME(0,0,0),(AK407-AM407)&lt;TIME(0,3,0)),"OK",IF((AK407-AM407)&gt;=TIME(0,3,0),"ADELANTADO")))))))</f>
        <v/>
      </c>
      <c r="AM407" s="91" t="n"/>
      <c r="AN407" s="89">
        <f>IF(AE407&lt;&gt;"",HLOOKUP(VALUE(TEXT(AK407,"h:mm:ss")),IF($C$6="Laboral",$FZ$4:$GX$227,IF($C$6="Sábado",$FZ$231:$GX$452,$FZ$456:$GX$656)),VLOOKUP($C$4,$HF$2:$HH$99,3,0)+IF(AG$5="Ida",0,1),1),"")</f>
        <v/>
      </c>
      <c r="AO407" s="89">
        <f>IF(AE408&lt;&gt;AE407,AVERAGEIF(AE$9:AE407,AE407,AN$9:AN407),"")</f>
        <v/>
      </c>
      <c r="AP407" s="89">
        <f>IFERROR(IF(AE408&lt;&gt;AE407,AVERAGEIF(AE$9:AE407,AE407,AW$9:AW407),""),"")</f>
        <v/>
      </c>
      <c r="AQ407" s="89">
        <f>IFERROR(IF(AE408&lt;&gt;AE407,AVERAGEIF(AE$9:AE407,AE407,AX$9:AX407),""),"")</f>
        <v/>
      </c>
      <c r="AR407" s="89">
        <f t="array" ref="AR407">IFERROR(IF(AE408&lt;&gt;AE407,_xlfn.STDEV.P(IF(AE$9:AE407=AE407,AX$9:AX407)),""),"")</f>
        <v/>
      </c>
      <c r="AS407" s="89">
        <f t="array" ref="AS407">IFERROR(IF(AE408&lt;&gt;AE407,_xlfn.STDEV.P(IF(AE$9:AE407=AE407,AW$9:AW407)),""),"")</f>
        <v/>
      </c>
      <c r="AT407" s="90">
        <f>IFERROR(IF(AE407&lt;&gt;AE408,MAX((((AQ407*24*60)/2)*(1+POWER((((AR407*24*60) / (AQ407*24*60) )),2))) + ((AQ407*24*60 )*-0.1 + (AO407*0.015)) +1,(((AQ407*24*60)/2)*(1+POWER((((AR407*24*60) / (AQ407*24*60 ))),2)))),""),"")</f>
        <v/>
      </c>
      <c r="AU407" s="90">
        <f>IF(AND(AS407&lt;&gt;"",AP407&lt;&gt;""),IF(AE407&lt;&gt;AE408,((AP407*24*60) / 2 ) * (1 + POWER(((AS407*24*60) / (AP407*24*60)),2)),""),"")</f>
        <v/>
      </c>
      <c r="AV407" s="90">
        <f>IF(AU407&lt;&gt;"",MAX(AT407,AU407),"")</f>
        <v/>
      </c>
      <c r="AW407" s="89">
        <f>IF(AM407&lt;&gt;"H. Sale Real",IF(AND(AM408&lt;&gt;"",LEFT(AG408,2)&lt;&gt;"Va"),IF(AND(AM407&lt;&gt;"",LEFT(AG407,2)&lt;&gt;"Va",AM407&lt;&gt;"H. Sale Real"),IF(AM408-AM407&lt;0.208333333333333,AM408-AM407,""),IF(AND(AM406&lt;&gt;"",LEFT(AG406,2)&lt;&gt;"Va",AM406&lt;&gt;"H. Sale Real"),IF(AM408-AM406&lt;0.208333333333333,AM408-AM406,""),IF(AND(AM405&lt;&gt;"",LEFT(AG405,2)&lt;&gt;"Va",AM405&lt;&gt;"H. Sale Real"),IF(AM408-AM405&lt;0.208333333333333,AM408-AM405,""),IF(AND(AM404&lt;&gt;"",LEFT(AG404,2)&lt;&gt;"Va",AM404&lt;&gt;"H. Sale Real"),IF(AM408-AM404&lt;0.208333333333333,AM408-AM404,""),IF(AND(AM403&lt;&gt;"",LEFT(AG403,2)&lt;&gt;"Va",AM403&lt;&gt;"H. Sale Real"),IF(AM408-AM403&lt;0.208333333333333,AM408-AM403,""),""))))),""),"")</f>
        <v/>
      </c>
      <c r="AX407" s="89">
        <f>IF(AK407&lt;&gt;"H. Sale Real",IF(AND(AK408&lt;&gt;"",LEFT(AG408,2)&lt;&gt;"Va"),IF(AND(AK407&lt;&gt;"",LEFT(AG407,2)&lt;&gt;"Va",AK407&lt;&gt;"H. Sale Real"),IF(AK408-AK407&lt;0.208333333333333,AK408-AK407,""),IF(AND(AK406&lt;&gt;"",LEFT(AG406,2)&lt;&gt;"Va",AK406&lt;&gt;"H. Sale Real"),IF(AK408-AK406&lt;0.208333333333333,AK408-AK406,""),IF(AND(AK405&lt;&gt;"",LEFT(AG405,2)&lt;&gt;"NC",AK405&lt;&gt;"H. Sale Real"),IF(AK408-AK405&lt;0.208333333333333,AK408-AK405,""),IF(AND(AK404&lt;&gt;"",LEFT(AG404,2)&lt;&gt;"Va",AK404&lt;&gt;"H. Sale Real"),IF(AK408-AK404&lt;0.208333333333333,AK408-AK404,""),IF(AND(AK403&lt;&gt;"",LEFT(AG403,2)&lt;&gt;"Va",AK403&lt;&gt;"H. Sale Real"),IF(AK408-AK403&lt;0.208333333333333,AK408-AK403,""),""))))),""),"")</f>
        <v/>
      </c>
      <c r="AY407" s="87" t="n"/>
      <c r="AZ407" s="89" t="n"/>
      <c r="BA407" s="87" t="n"/>
      <c r="BB407" s="89" t="n"/>
      <c r="BC407" s="91" t="n"/>
      <c r="BD407" s="122">
        <f>IF(AK407&lt;&gt;"",IF(AND(BD406&lt;&gt;"IE",AT407&lt;&gt;0,AV407&lt;&gt;""),IF(IFERROR((AT407/AV407),0) &lt;=1,IFERROR(AT407/AV407,""),1),""),"")</f>
        <v/>
      </c>
      <c r="BE407" s="93" t="n"/>
      <c r="BF407" s="105" t="n"/>
      <c r="FC407" t="inlineStr">
        <is>
          <t>Diccionario 1</t>
        </is>
      </c>
      <c r="FD407" s="15" t="n">
        <v>1406</v>
      </c>
      <c r="FE407" s="15" t="inlineStr">
        <is>
          <t>MDN35025020081</t>
        </is>
      </c>
      <c r="FF407" s="15" t="inlineStr">
        <is>
          <t>LDYECS313S0043852</t>
        </is>
      </c>
      <c r="FG407" s="15" t="inlineStr">
        <is>
          <t>Zhong Tong</t>
        </is>
      </c>
      <c r="FH407" s="15" t="inlineStr">
        <is>
          <t>Lck6122evg</t>
        </is>
      </c>
      <c r="FI407" s="15" t="inlineStr">
        <is>
          <t>ZHONGTONG</t>
        </is>
      </c>
      <c r="FJ407" s="15" t="inlineStr">
        <is>
          <t>LCK6122EVG</t>
        </is>
      </c>
      <c r="FK407" s="15" t="n">
        <v>2025</v>
      </c>
      <c r="FL407" s="15" t="inlineStr">
        <is>
          <t>B</t>
        </is>
      </c>
      <c r="FM407" s="15" t="inlineStr">
        <is>
          <t>SAN ALFONSO</t>
        </is>
      </c>
      <c r="FN407" s="15" t="inlineStr">
        <is>
          <t>San Alfonso 2141 (Ramón Subercaseaux 3060)</t>
        </is>
      </c>
      <c r="FO407" s="15" t="inlineStr">
        <is>
          <t>Estacion Central</t>
        </is>
      </c>
      <c r="FP407" t="inlineStr">
        <is>
          <t>B</t>
        </is>
      </c>
      <c r="FS407" s="14" t="inlineStr">
        <is>
          <t>3104 / SFWZ-52|</t>
        </is>
      </c>
      <c r="FT407" t="inlineStr">
        <is>
          <t>SFWZ-52|</t>
        </is>
      </c>
      <c r="FU407" t="inlineStr">
        <is>
          <t>SFWZ-52</t>
        </is>
      </c>
      <c r="FV407">
        <f>VLOOKUP(FU407,FD:FL,9,0)</f>
        <v/>
      </c>
      <c r="HA407" s="35" t="n">
        <v>177</v>
      </c>
      <c r="HB407" s="35" t="n">
        <v>401</v>
      </c>
    </row>
    <row r="408" ht="15.5" customHeight="1">
      <c r="A408" s="10">
        <f>HOUR(G408)+1</f>
        <v/>
      </c>
      <c r="B408" s="7" t="n"/>
      <c r="C408" s="7" t="n"/>
      <c r="D408" s="85">
        <f>IFERROR(
IF(AND(OR(Planilla!B408="C",Planilla!B408="c"), VLOOKUP(E408,FD:FP,13,0)="C"), "OK",IF(AND(OR(Planilla!B408="C",Planilla!B408="c"), OR(VLOOKUP(E408,FD:FP,13,0)="B", VLOOKUP(E408,FD:FP,13,0)="A")), "DEFICIT",IF(
AND(OR(Planilla!B408="B", Planilla!B408="BPAL"), VLOOKUP(E408,FD:FP,13,0)="B"), "OK",IF(AND(OR(Planilla!B408="B", Planilla!B408="BPAL"), VLOOKUP(E408,FD:FP,13,0)="A"), "DEFICIT",IF(AND(OR(Planilla!B408="B", Planilla!B408="BPAL"), VLOOKUP(E408,FD:FP,13,0)="C"), "SOBREOFERTA",IF(AND(Planilla!B408="A", VLOOKUP(E408,FD:FP,13,0)="A"), "OK",IF(
AND(Planilla!B408="A", OR(VLOOKUP(E408,FD:FP,13,0)="B", VLOOKUP(E408,FD:FP,13,0)="C")), "SOBREOFERTA",""
))))))),"")</f>
        <v/>
      </c>
      <c r="E408" s="8" t="n"/>
      <c r="F408" s="86" t="n"/>
      <c r="G408" s="87" t="n"/>
      <c r="H408" s="88">
        <f>IF(I408="","",IF(AND((I408-G408)&gt;=TIME(0,0,0),(I408-G408)&lt;TIME(0,3,0)),"OK",IF(AND((I408-G408)&gt;=TIME(0,3,0),(I408-G408)&lt;TIME(0,5,0)),"RETRASO DE 3-5 MIN",IF(AND((I408-G408)&gt;=TIME(0,5,0),(I408-G408)&lt;TIME(0,10,0)),"RETRASO DE 5-10 MIN",IF((I408-G408)&gt;=TIME(0,10,0),"RETRASO &gt;10 MIN", IF(AND((G408-I408)&gt;=TIME(0,0,0),(G408-I408)&lt;TIME(0,3,0)),"OK",IF((G408-I408)&gt;=TIME(0,3,0),"ADELANTADO")))))))</f>
        <v/>
      </c>
      <c r="I408" s="89" t="n"/>
      <c r="J408" s="89">
        <f>IF(A408&lt;&gt;"",HLOOKUP(VALUE(TEXT(G408,"h:mm:ss")),IF($C$6="Laboral",$FZ$4:$GX$227,IF($C$6="Sábado",$FZ$231:$GX$452,$FZ$456:$GX$656)),VLOOKUP($C$4,$HF$2:$HH$99,3,0)+IF(C$5="Ida",0,1),1),"")</f>
        <v/>
      </c>
      <c r="K408" s="89">
        <f>IF(A409&lt;&gt;A408,AVERAGEIF(A$9:A408,A408,J$9:J408),"")</f>
        <v/>
      </c>
      <c r="L408" s="89">
        <f>IFERROR(IF(A409&lt;&gt;A408,AVERAGEIF(A$9:A408,A408,S$9:S408),""),"")</f>
        <v/>
      </c>
      <c r="M408" s="89">
        <f>IFERROR(IF(A409&lt;&gt;A408,AVERAGEIF(A$9:A408,A408,T$9:T408),""),"")</f>
        <v/>
      </c>
      <c r="N408" s="89">
        <f t="array" ref="N408">IFERROR(IF(A409&lt;&gt;A408,_xlfn.STDEV.P(IF(A$9:A408=A408,T$9:T408)),""),"")</f>
        <v/>
      </c>
      <c r="O408" s="89">
        <f t="array" ref="O408">IFERROR(IF(A409&lt;&gt;A408,_xlfn.STDEV.P(IF(A$9:A408=A408,S$9:S408)),""),"")</f>
        <v/>
      </c>
      <c r="P408" s="90">
        <f>IFERROR(IF(A408&lt;&gt;A409,MAX((((M408*24*60)/2)*(1+POWER((((N408*24*60) / (M408*24*60) )),2))) + ((M408*24*60 )*-0.1 + (K408*0.015)) +1,(((M408*24*60)/2)*(1+POWER((((N408*24*60) / (M408*24*60 ))),2)))),""),"")</f>
        <v/>
      </c>
      <c r="Q408" s="90">
        <f>IF(AND(O408&lt;&gt;"",L408&lt;&gt;""),IF(A408&lt;&gt;A409,((L408*24*60) / 2 ) * (1 + POWER(((O408*24*60) / (L408*24*60)),2)),""),"")</f>
        <v/>
      </c>
      <c r="R408" s="90">
        <f>IF(Q408&lt;&gt;"",MAX(P408,Q408),"")</f>
        <v/>
      </c>
      <c r="S408" s="89">
        <f>IF(I408&lt;&gt;"H. Sale Real",IF(AND(I409&lt;&gt;"",LEFT(C409,2)&lt;&gt;"Va"),IF(AND(I408&lt;&gt;"",LEFT(C408,2)&lt;&gt;"Va",I408&lt;&gt;"H. Sale Real"),IF(I409-I408&lt;0.208333333333333,I409-I408,""),IF(AND(I407&lt;&gt;"",LEFT(C407,2)&lt;&gt;"Va",I407&lt;&gt;"H. Sale Real"),IF(I409-I407&lt;0.208333333333333,I409-I407,""),IF(AND(I406&lt;&gt;"",LEFT(C406,2)&lt;&gt;"Va",I406&lt;&gt;"H. Sale Real"),IF(I409-I406&lt;0.208333333333333,I409-I406,""),IF(AND(I405&lt;&gt;"",LEFT(C405,2)&lt;&gt;"Va",I405&lt;&gt;"H. Sale Real"),IF(I409-I405&lt;0.208333333333333,I409-I405,""),IF(AND(I404&lt;&gt;"",LEFT(C404,2)&lt;&gt;"Va",I404&lt;&gt;"H. Sale Real"),IF(I409-I404&lt;0.208333333333333,I409-I404,""),""))))),""),"")</f>
        <v/>
      </c>
      <c r="T408" s="89">
        <f>IF(G408&lt;&gt;"H. Sale Real",IF(AND(G409&lt;&gt;"",LEFT(C409,2)&lt;&gt;"Va"),IF(AND(G408&lt;&gt;"",LEFT(C408,2)&lt;&gt;"Va",G408&lt;&gt;"H. Sale Real"),IF(G409-G408&lt;0.208333333333333,G409-G408,""),IF(AND(G407&lt;&gt;"",LEFT(C407,2)&lt;&gt;"Va",G407&lt;&gt;"H. Sale Real"),IF(G409-G407&lt;0.208333333333333,G409-G407,""),IF(AND(G406&lt;&gt;"",LEFT(C406,2)&lt;&gt;"Va",G406&lt;&gt;"H. Sale Real"),IF(G409-G406&lt;0.208333333333333,G409-G406,""),IF(AND(G405&lt;&gt;"",LEFT(C405,2)&lt;&gt;"Va",G405&lt;&gt;"H. Sale Real"),IF(G409-G405&lt;0.208333333333333,G409-G405,""),IF(AND(G404&lt;&gt;"",LEFT(C404,2)&lt;&gt;"Va",G404&lt;&gt;"H. Sale Real"),IF(G409-G404&lt;0.208333333333333,G409-G404,""),""))))),""),"")</f>
        <v/>
      </c>
      <c r="U408" s="87" t="n"/>
      <c r="V408" s="89" t="n"/>
      <c r="W408" s="87" t="n"/>
      <c r="X408" s="89" t="n"/>
      <c r="Y408" s="91" t="n"/>
      <c r="Z408" s="122">
        <f>IF(G408&lt;&gt;"",IF(AND(Z407&lt;&gt;"IE",P408&lt;&gt;0,R408&lt;&gt;""),IF(IFERROR((P408/R408),0) &lt;=1,IFERROR(P408/R408,""),1),""),"")</f>
        <v/>
      </c>
      <c r="AA408" s="93" t="n"/>
      <c r="AB408" s="2" t="n"/>
      <c r="AE408" s="10">
        <f>HOUR(AK408)+1</f>
        <v/>
      </c>
      <c r="AF408" s="7" t="n"/>
      <c r="AG408" s="7" t="n"/>
      <c r="AH408" s="86" t="n"/>
      <c r="AI408" s="8" t="n"/>
      <c r="AJ408" s="86" t="n"/>
      <c r="AK408" s="87" t="n"/>
      <c r="AL408" s="88">
        <f>IF(AM408="","",IF(AND((AM408-AK408)&gt;=TIME(0,0,0),(AM408-AK408)&lt;TIME(0,3,0)),"OK",IF(AND((AM408-AK408)&gt;=TIME(0,3,0),(AM408-AK408)&lt;TIME(0,5,0)),"RETRASO DE 3-5 MIN",IF(AND((AM408-AK408)&gt;=TIME(0,5,0),(AM408-AK408)&lt;TIME(0,10,0)),"RETRASO DE 5-10 MIN",IF((AM408-AK408)&gt;=TIME(0,10,0),"RETRASO &gt;10 MIN", IF(AND((AK408-AM408)&gt;=TIME(0,0,0),(AK408-AM408)&lt;TIME(0,3,0)),"OK",IF((AK408-AM408)&gt;=TIME(0,3,0),"ADELANTADO")))))))</f>
        <v/>
      </c>
      <c r="AM408" s="91" t="n"/>
      <c r="AN408" s="89">
        <f>IF(AE408&lt;&gt;"",HLOOKUP(VALUE(TEXT(AK408,"h:mm:ss")),IF($C$6="Laboral",$FZ$4:$GX$227,IF($C$6="Sábado",$FZ$231:$GX$452,$FZ$456:$GX$656)),VLOOKUP($C$4,$HF$2:$HH$99,3,0)+IF(AG$5="Ida",0,1),1),"")</f>
        <v/>
      </c>
      <c r="AO408" s="89">
        <f>IF(AE409&lt;&gt;AE408,AVERAGEIF(AE$9:AE408,AE408,AN$9:AN408),"")</f>
        <v/>
      </c>
      <c r="AP408" s="89">
        <f>IFERROR(IF(AE409&lt;&gt;AE408,AVERAGEIF(AE$9:AE408,AE408,AW$9:AW408),""),"")</f>
        <v/>
      </c>
      <c r="AQ408" s="89">
        <f>IFERROR(IF(AE409&lt;&gt;AE408,AVERAGEIF(AE$9:AE408,AE408,AX$9:AX408),""),"")</f>
        <v/>
      </c>
      <c r="AR408" s="89">
        <f t="array" ref="AR408">IFERROR(IF(AE409&lt;&gt;AE408,_xlfn.STDEV.P(IF(AE$9:AE408=AE408,AX$9:AX408)),""),"")</f>
        <v/>
      </c>
      <c r="AS408" s="89">
        <f t="array" ref="AS408">IFERROR(IF(AE409&lt;&gt;AE408,_xlfn.STDEV.P(IF(AE$9:AE408=AE408,AW$9:AW408)),""),"")</f>
        <v/>
      </c>
      <c r="AT408" s="90">
        <f>IFERROR(IF(AE408&lt;&gt;AE409,MAX((((AQ408*24*60)/2)*(1+POWER((((AR408*24*60) / (AQ408*24*60) )),2))) + ((AQ408*24*60 )*-0.1 + (AO408*0.015)) +1,(((AQ408*24*60)/2)*(1+POWER((((AR408*24*60) / (AQ408*24*60 ))),2)))),""),"")</f>
        <v/>
      </c>
      <c r="AU408" s="90">
        <f>IF(AND(AS408&lt;&gt;"",AP408&lt;&gt;""),IF(AE408&lt;&gt;AE409,((AP408*24*60) / 2 ) * (1 + POWER(((AS408*24*60) / (AP408*24*60)),2)),""),"")</f>
        <v/>
      </c>
      <c r="AV408" s="90">
        <f>IF(AU408&lt;&gt;"",MAX(AT408,AU408),"")</f>
        <v/>
      </c>
      <c r="AW408" s="89">
        <f>IF(AM408&lt;&gt;"H. Sale Real",IF(AND(AM409&lt;&gt;"",LEFT(AG409,2)&lt;&gt;"Va"),IF(AND(AM408&lt;&gt;"",LEFT(AG408,2)&lt;&gt;"Va",AM408&lt;&gt;"H. Sale Real"),IF(AM409-AM408&lt;0.208333333333333,AM409-AM408,""),IF(AND(AM407&lt;&gt;"",LEFT(AG407,2)&lt;&gt;"Va",AM407&lt;&gt;"H. Sale Real"),IF(AM409-AM407&lt;0.208333333333333,AM409-AM407,""),IF(AND(AM406&lt;&gt;"",LEFT(AG406,2)&lt;&gt;"Va",AM406&lt;&gt;"H. Sale Real"),IF(AM409-AM406&lt;0.208333333333333,AM409-AM406,""),IF(AND(AM405&lt;&gt;"",LEFT(AG405,2)&lt;&gt;"Va",AM405&lt;&gt;"H. Sale Real"),IF(AM409-AM405&lt;0.208333333333333,AM409-AM405,""),IF(AND(AM404&lt;&gt;"",LEFT(AG404,2)&lt;&gt;"Va",AM404&lt;&gt;"H. Sale Real"),IF(AM409-AM404&lt;0.208333333333333,AM409-AM404,""),""))))),""),"")</f>
        <v/>
      </c>
      <c r="AX408" s="89">
        <f>IF(AK408&lt;&gt;"H. Sale Real",IF(AND(AK409&lt;&gt;"",LEFT(AG409,2)&lt;&gt;"Va"),IF(AND(AK408&lt;&gt;"",LEFT(AG408,2)&lt;&gt;"Va",AK408&lt;&gt;"H. Sale Real"),IF(AK409-AK408&lt;0.208333333333333,AK409-AK408,""),IF(AND(AK407&lt;&gt;"",LEFT(AG407,2)&lt;&gt;"Va",AK407&lt;&gt;"H. Sale Real"),IF(AK409-AK407&lt;0.208333333333333,AK409-AK407,""),IF(AND(AK406&lt;&gt;"",LEFT(AG406,2)&lt;&gt;"NC",AK406&lt;&gt;"H. Sale Real"),IF(AK409-AK406&lt;0.208333333333333,AK409-AK406,""),IF(AND(AK405&lt;&gt;"",LEFT(AG405,2)&lt;&gt;"Va",AK405&lt;&gt;"H. Sale Real"),IF(AK409-AK405&lt;0.208333333333333,AK409-AK405,""),IF(AND(AK404&lt;&gt;"",LEFT(AG404,2)&lt;&gt;"Va",AK404&lt;&gt;"H. Sale Real"),IF(AK409-AK404&lt;0.208333333333333,AK409-AK404,""),""))))),""),"")</f>
        <v/>
      </c>
      <c r="AY408" s="87" t="n"/>
      <c r="AZ408" s="89" t="n"/>
      <c r="BA408" s="87" t="n"/>
      <c r="BB408" s="89" t="n"/>
      <c r="BC408" s="91" t="n"/>
      <c r="BD408" s="122">
        <f>IF(AK408&lt;&gt;"",IF(AND(BD407&lt;&gt;"IE",AT408&lt;&gt;0,AV408&lt;&gt;""),IF(IFERROR((AT408/AV408),0) &lt;=1,IFERROR(AT408/AV408,""),1),""),"")</f>
        <v/>
      </c>
      <c r="BE408" s="93" t="n"/>
      <c r="BF408" s="105" t="n"/>
      <c r="FC408" t="inlineStr">
        <is>
          <t>Diccionario 1</t>
        </is>
      </c>
      <c r="FD408" s="15" t="n">
        <v>1407</v>
      </c>
      <c r="FE408" s="15" t="inlineStr">
        <is>
          <t>MDN35025010250</t>
        </is>
      </c>
      <c r="FF408" s="15" t="inlineStr">
        <is>
          <t>LDYECS316S0043845</t>
        </is>
      </c>
      <c r="FG408" s="15" t="inlineStr">
        <is>
          <t>Zhong Tong</t>
        </is>
      </c>
      <c r="FH408" s="15" t="inlineStr">
        <is>
          <t>Lck6122evg</t>
        </is>
      </c>
      <c r="FI408" s="15" t="inlineStr">
        <is>
          <t>ZHONGTONG</t>
        </is>
      </c>
      <c r="FJ408" s="15" t="inlineStr">
        <is>
          <t>LCK6122EVG</t>
        </is>
      </c>
      <c r="FK408" s="15" t="n">
        <v>2025</v>
      </c>
      <c r="FL408" s="15" t="inlineStr">
        <is>
          <t>B</t>
        </is>
      </c>
      <c r="FM408" s="15" t="inlineStr">
        <is>
          <t>PIE ANDINO</t>
        </is>
      </c>
      <c r="FN408" s="15" t="inlineStr">
        <is>
          <t>Pie Andino 31 (Pie Andino 383)</t>
        </is>
      </c>
      <c r="FO408" s="15" t="inlineStr">
        <is>
          <t>Puente Alto</t>
        </is>
      </c>
      <c r="FP408" t="inlineStr">
        <is>
          <t>B</t>
        </is>
      </c>
      <c r="FS408" s="14" t="inlineStr">
        <is>
          <t>3105 / SFWZ-54|</t>
        </is>
      </c>
      <c r="FT408" t="inlineStr">
        <is>
          <t>SFWZ-54|</t>
        </is>
      </c>
      <c r="FU408" t="inlineStr">
        <is>
          <t>SFWZ-54</t>
        </is>
      </c>
      <c r="FV408">
        <f>VLOOKUP(FU408,FD:FL,9,0)</f>
        <v/>
      </c>
      <c r="HA408" s="35" t="n">
        <v>178</v>
      </c>
      <c r="HB408" s="35" t="n">
        <v>402</v>
      </c>
    </row>
    <row r="409" ht="15.5" customHeight="1">
      <c r="A409" s="10">
        <f>HOUR(G409)+1</f>
        <v/>
      </c>
      <c r="B409" s="7" t="n"/>
      <c r="C409" s="7" t="n"/>
      <c r="D409" s="85">
        <f>IFERROR(
IF(AND(OR(Planilla!B409="C",Planilla!B409="c"), VLOOKUP(E409,FD:FP,13,0)="C"), "OK",IF(AND(OR(Planilla!B409="C",Planilla!B409="c"), OR(VLOOKUP(E409,FD:FP,13,0)="B", VLOOKUP(E409,FD:FP,13,0)="A")), "DEFICIT",IF(
AND(OR(Planilla!B409="B", Planilla!B409="BPAL"), VLOOKUP(E409,FD:FP,13,0)="B"), "OK",IF(AND(OR(Planilla!B409="B", Planilla!B409="BPAL"), VLOOKUP(E409,FD:FP,13,0)="A"), "DEFICIT",IF(AND(OR(Planilla!B409="B", Planilla!B409="BPAL"), VLOOKUP(E409,FD:FP,13,0)="C"), "SOBREOFERTA",IF(AND(Planilla!B409="A", VLOOKUP(E409,FD:FP,13,0)="A"), "OK",IF(
AND(Planilla!B409="A", OR(VLOOKUP(E409,FD:FP,13,0)="B", VLOOKUP(E409,FD:FP,13,0)="C")), "SOBREOFERTA",""
))))))),"")</f>
        <v/>
      </c>
      <c r="E409" s="8" t="n"/>
      <c r="F409" s="86" t="n"/>
      <c r="G409" s="87" t="n"/>
      <c r="H409" s="88">
        <f>IF(I409="","",IF(AND((I409-G409)&gt;=TIME(0,0,0),(I409-G409)&lt;TIME(0,3,0)),"OK",IF(AND((I409-G409)&gt;=TIME(0,3,0),(I409-G409)&lt;TIME(0,5,0)),"RETRASO DE 3-5 MIN",IF(AND((I409-G409)&gt;=TIME(0,5,0),(I409-G409)&lt;TIME(0,10,0)),"RETRASO DE 5-10 MIN",IF((I409-G409)&gt;=TIME(0,10,0),"RETRASO &gt;10 MIN", IF(AND((G409-I409)&gt;=TIME(0,0,0),(G409-I409)&lt;TIME(0,3,0)),"OK",IF((G409-I409)&gt;=TIME(0,3,0),"ADELANTADO")))))))</f>
        <v/>
      </c>
      <c r="I409" s="89" t="n"/>
      <c r="J409" s="89">
        <f>IF(A409&lt;&gt;"",HLOOKUP(VALUE(TEXT(G409,"h:mm:ss")),IF($C$6="Laboral",$FZ$4:$GX$227,IF($C$6="Sábado",$FZ$231:$GX$452,$FZ$456:$GX$656)),VLOOKUP($C$4,$HF$2:$HH$99,3,0)+IF(C$5="Ida",0,1),1),"")</f>
        <v/>
      </c>
      <c r="K409" s="89">
        <f>IF(A410&lt;&gt;A409,AVERAGEIF(A$9:A409,A409,J$9:J409),"")</f>
        <v/>
      </c>
      <c r="L409" s="89">
        <f>IFERROR(IF(A410&lt;&gt;A409,AVERAGEIF(A$9:A409,A409,S$9:S409),""),"")</f>
        <v/>
      </c>
      <c r="M409" s="89">
        <f>IFERROR(IF(A410&lt;&gt;A409,AVERAGEIF(A$9:A409,A409,T$9:T409),""),"")</f>
        <v/>
      </c>
      <c r="N409" s="89">
        <f t="array" ref="N409">IFERROR(IF(A410&lt;&gt;A409,_xlfn.STDEV.P(IF(A$9:A409=A409,T$9:T409)),""),"")</f>
        <v/>
      </c>
      <c r="O409" s="89">
        <f t="array" ref="O409">IFERROR(IF(A410&lt;&gt;A409,_xlfn.STDEV.P(IF(A$9:A409=A409,S$9:S409)),""),"")</f>
        <v/>
      </c>
      <c r="P409" s="90">
        <f>IFERROR(IF(A409&lt;&gt;A410,MAX((((M409*24*60)/2)*(1+POWER((((N409*24*60) / (M409*24*60) )),2))) + ((M409*24*60 )*-0.1 + (K409*0.015)) +1,(((M409*24*60)/2)*(1+POWER((((N409*24*60) / (M409*24*60 ))),2)))),""),"")</f>
        <v/>
      </c>
      <c r="Q409" s="90">
        <f>IF(AND(O409&lt;&gt;"",L409&lt;&gt;""),IF(A409&lt;&gt;A410,((L409*24*60) / 2 ) * (1 + POWER(((O409*24*60) / (L409*24*60)),2)),""),"")</f>
        <v/>
      </c>
      <c r="R409" s="90">
        <f>IF(Q409&lt;&gt;"",MAX(P409,Q409),"")</f>
        <v/>
      </c>
      <c r="S409" s="89">
        <f>IF(I409&lt;&gt;"H. Sale Real",IF(AND(I410&lt;&gt;"",LEFT(C410,2)&lt;&gt;"Va"),IF(AND(I409&lt;&gt;"",LEFT(C409,2)&lt;&gt;"Va",I409&lt;&gt;"H. Sale Real"),IF(I410-I409&lt;0.208333333333333,I410-I409,""),IF(AND(I408&lt;&gt;"",LEFT(C408,2)&lt;&gt;"Va",I408&lt;&gt;"H. Sale Real"),IF(I410-I408&lt;0.208333333333333,I410-I408,""),IF(AND(I407&lt;&gt;"",LEFT(C407,2)&lt;&gt;"Va",I407&lt;&gt;"H. Sale Real"),IF(I410-I407&lt;0.208333333333333,I410-I407,""),IF(AND(I406&lt;&gt;"",LEFT(C406,2)&lt;&gt;"Va",I406&lt;&gt;"H. Sale Real"),IF(I410-I406&lt;0.208333333333333,I410-I406,""),IF(AND(I405&lt;&gt;"",LEFT(C405,2)&lt;&gt;"Va",I405&lt;&gt;"H. Sale Real"),IF(I410-I405&lt;0.208333333333333,I410-I405,""),""))))),""),"")</f>
        <v/>
      </c>
      <c r="T409" s="89">
        <f>IF(G409&lt;&gt;"H. Sale Real",IF(AND(G410&lt;&gt;"",LEFT(C410,2)&lt;&gt;"Va"),IF(AND(G409&lt;&gt;"",LEFT(C409,2)&lt;&gt;"Va",G409&lt;&gt;"H. Sale Real"),IF(G410-G409&lt;0.208333333333333,G410-G409,""),IF(AND(G408&lt;&gt;"",LEFT(C408,2)&lt;&gt;"Va",G408&lt;&gt;"H. Sale Real"),IF(G410-G408&lt;0.208333333333333,G410-G408,""),IF(AND(G407&lt;&gt;"",LEFT(C407,2)&lt;&gt;"Va",G407&lt;&gt;"H. Sale Real"),IF(G410-G407&lt;0.208333333333333,G410-G407,""),IF(AND(G406&lt;&gt;"",LEFT(C406,2)&lt;&gt;"Va",G406&lt;&gt;"H. Sale Real"),IF(G410-G406&lt;0.208333333333333,G410-G406,""),IF(AND(G405&lt;&gt;"",LEFT(C405,2)&lt;&gt;"Va",G405&lt;&gt;"H. Sale Real"),IF(G410-G405&lt;0.208333333333333,G410-G405,""),""))))),""),"")</f>
        <v/>
      </c>
      <c r="U409" s="87" t="n"/>
      <c r="V409" s="89" t="n"/>
      <c r="W409" s="87" t="n"/>
      <c r="X409" s="89" t="n"/>
      <c r="Y409" s="91" t="n"/>
      <c r="Z409" s="122">
        <f>IF(G409&lt;&gt;"",IF(AND(Z408&lt;&gt;"IE",P409&lt;&gt;0,R409&lt;&gt;""),IF(IFERROR((P409/R409),0) &lt;=1,IFERROR(P409/R409,""),1),""),"")</f>
        <v/>
      </c>
      <c r="AA409" s="93" t="n"/>
      <c r="AB409" s="2" t="n"/>
      <c r="AE409" s="10">
        <f>HOUR(AK409)+1</f>
        <v/>
      </c>
      <c r="AF409" s="7" t="n"/>
      <c r="AG409" s="7" t="n"/>
      <c r="AH409" s="86" t="n"/>
      <c r="AI409" s="8" t="n"/>
      <c r="AJ409" s="86" t="n"/>
      <c r="AK409" s="87" t="n"/>
      <c r="AL409" s="88">
        <f>IF(AM409="","",IF(AND((AM409-AK409)&gt;=TIME(0,0,0),(AM409-AK409)&lt;TIME(0,3,0)),"OK",IF(AND((AM409-AK409)&gt;=TIME(0,3,0),(AM409-AK409)&lt;TIME(0,5,0)),"RETRASO DE 3-5 MIN",IF(AND((AM409-AK409)&gt;=TIME(0,5,0),(AM409-AK409)&lt;TIME(0,10,0)),"RETRASO DE 5-10 MIN",IF((AM409-AK409)&gt;=TIME(0,10,0),"RETRASO &gt;10 MIN", IF(AND((AK409-AM409)&gt;=TIME(0,0,0),(AK409-AM409)&lt;TIME(0,3,0)),"OK",IF((AK409-AM409)&gt;=TIME(0,3,0),"ADELANTADO")))))))</f>
        <v/>
      </c>
      <c r="AM409" s="91" t="n"/>
      <c r="AN409" s="89">
        <f>IF(AE409&lt;&gt;"",HLOOKUP(VALUE(TEXT(AK409,"h:mm:ss")),IF($C$6="Laboral",$FZ$4:$GX$227,IF($C$6="Sábado",$FZ$231:$GX$452,$FZ$456:$GX$656)),VLOOKUP($C$4,$HF$2:$HH$99,3,0)+IF(AG$5="Ida",0,1),1),"")</f>
        <v/>
      </c>
      <c r="AO409" s="89">
        <f>IF(AE410&lt;&gt;AE409,AVERAGEIF(AE$9:AE409,AE409,AN$9:AN409),"")</f>
        <v/>
      </c>
      <c r="AP409" s="89">
        <f>IFERROR(IF(AE410&lt;&gt;AE409,AVERAGEIF(AE$9:AE409,AE409,AW$9:AW409),""),"")</f>
        <v/>
      </c>
      <c r="AQ409" s="89">
        <f>IFERROR(IF(AE410&lt;&gt;AE409,AVERAGEIF(AE$9:AE409,AE409,AX$9:AX409),""),"")</f>
        <v/>
      </c>
      <c r="AR409" s="89">
        <f t="array" ref="AR409">IFERROR(IF(AE410&lt;&gt;AE409,_xlfn.STDEV.P(IF(AE$9:AE409=AE409,AX$9:AX409)),""),"")</f>
        <v/>
      </c>
      <c r="AS409" s="89">
        <f t="array" ref="AS409">IFERROR(IF(AE410&lt;&gt;AE409,_xlfn.STDEV.P(IF(AE$9:AE409=AE409,AW$9:AW409)),""),"")</f>
        <v/>
      </c>
      <c r="AT409" s="90">
        <f>IFERROR(IF(AE409&lt;&gt;AE410,MAX((((AQ409*24*60)/2)*(1+POWER((((AR409*24*60) / (AQ409*24*60) )),2))) + ((AQ409*24*60 )*-0.1 + (AO409*0.015)) +1,(((AQ409*24*60)/2)*(1+POWER((((AR409*24*60) / (AQ409*24*60 ))),2)))),""),"")</f>
        <v/>
      </c>
      <c r="AU409" s="90">
        <f>IF(AND(AS409&lt;&gt;"",AP409&lt;&gt;""),IF(AE409&lt;&gt;AE410,((AP409*24*60) / 2 ) * (1 + POWER(((AS409*24*60) / (AP409*24*60)),2)),""),"")</f>
        <v/>
      </c>
      <c r="AV409" s="90">
        <f>IF(AU409&lt;&gt;"",MAX(AT409,AU409),"")</f>
        <v/>
      </c>
      <c r="AW409" s="89">
        <f>IF(AM409&lt;&gt;"H. Sale Real",IF(AND(AM410&lt;&gt;"",LEFT(AG410,2)&lt;&gt;"Va"),IF(AND(AM409&lt;&gt;"",LEFT(AG409,2)&lt;&gt;"Va",AM409&lt;&gt;"H. Sale Real"),IF(AM410-AM409&lt;0.208333333333333,AM410-AM409,""),IF(AND(AM408&lt;&gt;"",LEFT(AG408,2)&lt;&gt;"Va",AM408&lt;&gt;"H. Sale Real"),IF(AM410-AM408&lt;0.208333333333333,AM410-AM408,""),IF(AND(AM407&lt;&gt;"",LEFT(AG407,2)&lt;&gt;"Va",AM407&lt;&gt;"H. Sale Real"),IF(AM410-AM407&lt;0.208333333333333,AM410-AM407,""),IF(AND(AM406&lt;&gt;"",LEFT(AG406,2)&lt;&gt;"Va",AM406&lt;&gt;"H. Sale Real"),IF(AM410-AM406&lt;0.208333333333333,AM410-AM406,""),IF(AND(AM405&lt;&gt;"",LEFT(AG405,2)&lt;&gt;"Va",AM405&lt;&gt;"H. Sale Real"),IF(AM410-AM405&lt;0.208333333333333,AM410-AM405,""),""))))),""),"")</f>
        <v/>
      </c>
      <c r="AX409" s="89">
        <f>IF(AK409&lt;&gt;"H. Sale Real",IF(AND(AK410&lt;&gt;"",LEFT(AG410,2)&lt;&gt;"Va"),IF(AND(AK409&lt;&gt;"",LEFT(AG409,2)&lt;&gt;"Va",AK409&lt;&gt;"H. Sale Real"),IF(AK410-AK409&lt;0.208333333333333,AK410-AK409,""),IF(AND(AK408&lt;&gt;"",LEFT(AG408,2)&lt;&gt;"Va",AK408&lt;&gt;"H. Sale Real"),IF(AK410-AK408&lt;0.208333333333333,AK410-AK408,""),IF(AND(AK407&lt;&gt;"",LEFT(AG407,2)&lt;&gt;"NC",AK407&lt;&gt;"H. Sale Real"),IF(AK410-AK407&lt;0.208333333333333,AK410-AK407,""),IF(AND(AK406&lt;&gt;"",LEFT(AG406,2)&lt;&gt;"Va",AK406&lt;&gt;"H. Sale Real"),IF(AK410-AK406&lt;0.208333333333333,AK410-AK406,""),IF(AND(AK405&lt;&gt;"",LEFT(AG405,2)&lt;&gt;"Va",AK405&lt;&gt;"H. Sale Real"),IF(AK410-AK405&lt;0.208333333333333,AK410-AK405,""),""))))),""),"")</f>
        <v/>
      </c>
      <c r="AY409" s="87" t="n"/>
      <c r="AZ409" s="89" t="n"/>
      <c r="BA409" s="87" t="n"/>
      <c r="BB409" s="89" t="n"/>
      <c r="BC409" s="91" t="n"/>
      <c r="BD409" s="122">
        <f>IF(AK409&lt;&gt;"",IF(AND(BD408&lt;&gt;"IE",AT409&lt;&gt;0,AV409&lt;&gt;""),IF(IFERROR((AT409/AV409),0) &lt;=1,IFERROR(AT409/AV409,""),1),""),"")</f>
        <v/>
      </c>
      <c r="BE409" s="93" t="n"/>
      <c r="BF409" s="105" t="n"/>
      <c r="FC409" t="inlineStr">
        <is>
          <t>Diccionario 1</t>
        </is>
      </c>
      <c r="FD409" s="15" t="n">
        <v>1408</v>
      </c>
      <c r="FE409" s="15" t="inlineStr">
        <is>
          <t>MDN35025010138</t>
        </is>
      </c>
      <c r="FF409" s="15" t="inlineStr">
        <is>
          <t>LDYECS31XS0043850</t>
        </is>
      </c>
      <c r="FG409" s="15" t="inlineStr">
        <is>
          <t>Zhong Tong</t>
        </is>
      </c>
      <c r="FH409" s="15" t="inlineStr">
        <is>
          <t>Lck6122evg</t>
        </is>
      </c>
      <c r="FI409" s="15" t="inlineStr">
        <is>
          <t>ZHONGTONG</t>
        </is>
      </c>
      <c r="FJ409" s="15" t="inlineStr">
        <is>
          <t>LCK6122EVG</t>
        </is>
      </c>
      <c r="FK409" s="15" t="n">
        <v>2025</v>
      </c>
      <c r="FL409" s="15" t="inlineStr">
        <is>
          <t>B</t>
        </is>
      </c>
      <c r="FM409" s="15" t="inlineStr">
        <is>
          <t>PIE ANDINO</t>
        </is>
      </c>
      <c r="FN409" s="15" t="inlineStr">
        <is>
          <t>Pie Andino 31 (Pie Andino 383)</t>
        </is>
      </c>
      <c r="FO409" s="15" t="inlineStr">
        <is>
          <t>Puente Alto</t>
        </is>
      </c>
      <c r="FP409" t="inlineStr">
        <is>
          <t>B</t>
        </is>
      </c>
      <c r="FS409" s="14" t="inlineStr">
        <is>
          <t>3105 / SFWZ-54|</t>
        </is>
      </c>
      <c r="FT409" t="inlineStr">
        <is>
          <t>SFWZ-54|</t>
        </is>
      </c>
      <c r="FU409" t="inlineStr">
        <is>
          <t>SFWZ-54</t>
        </is>
      </c>
      <c r="FV409">
        <f>VLOOKUP(FU409,FD:FL,9,0)</f>
        <v/>
      </c>
      <c r="HA409" s="35" t="n">
        <v>179</v>
      </c>
      <c r="HB409" s="35" t="n">
        <v>403</v>
      </c>
    </row>
    <row r="410" ht="15.5" customHeight="1">
      <c r="A410" s="10">
        <f>HOUR(G410)+1</f>
        <v/>
      </c>
      <c r="B410" s="7" t="n"/>
      <c r="C410" s="7" t="n"/>
      <c r="D410" s="85">
        <f>IFERROR(
IF(AND(OR(Planilla!B410="C",Planilla!B410="c"), VLOOKUP(E410,FD:FP,13,0)="C"), "OK",IF(AND(OR(Planilla!B410="C",Planilla!B410="c"), OR(VLOOKUP(E410,FD:FP,13,0)="B", VLOOKUP(E410,FD:FP,13,0)="A")), "DEFICIT",IF(
AND(OR(Planilla!B410="B", Planilla!B410="BPAL"), VLOOKUP(E410,FD:FP,13,0)="B"), "OK",IF(AND(OR(Planilla!B410="B", Planilla!B410="BPAL"), VLOOKUP(E410,FD:FP,13,0)="A"), "DEFICIT",IF(AND(OR(Planilla!B410="B", Planilla!B410="BPAL"), VLOOKUP(E410,FD:FP,13,0)="C"), "SOBREOFERTA",IF(AND(Planilla!B410="A", VLOOKUP(E410,FD:FP,13,0)="A"), "OK",IF(
AND(Planilla!B410="A", OR(VLOOKUP(E410,FD:FP,13,0)="B", VLOOKUP(E410,FD:FP,13,0)="C")), "SOBREOFERTA",""
))))))),"")</f>
        <v/>
      </c>
      <c r="E410" s="8" t="n"/>
      <c r="F410" s="86" t="n"/>
      <c r="G410" s="87" t="n"/>
      <c r="H410" s="88">
        <f>IF(I410="","",IF(AND((I410-G410)&gt;=TIME(0,0,0),(I410-G410)&lt;TIME(0,3,0)),"OK",IF(AND((I410-G410)&gt;=TIME(0,3,0),(I410-G410)&lt;TIME(0,5,0)),"RETRASO DE 3-5 MIN",IF(AND((I410-G410)&gt;=TIME(0,5,0),(I410-G410)&lt;TIME(0,10,0)),"RETRASO DE 5-10 MIN",IF((I410-G410)&gt;=TIME(0,10,0),"RETRASO &gt;10 MIN", IF(AND((G410-I410)&gt;=TIME(0,0,0),(G410-I410)&lt;TIME(0,3,0)),"OK",IF((G410-I410)&gt;=TIME(0,3,0),"ADELANTADO")))))))</f>
        <v/>
      </c>
      <c r="I410" s="89" t="n"/>
      <c r="J410" s="89">
        <f>IF(A410&lt;&gt;"",HLOOKUP(VALUE(TEXT(G410,"h:mm:ss")),IF($C$6="Laboral",$FZ$4:$GX$227,IF($C$6="Sábado",$FZ$231:$GX$452,$FZ$456:$GX$656)),VLOOKUP($C$4,$HF$2:$HH$99,3,0)+IF(C$5="Ida",0,1),1),"")</f>
        <v/>
      </c>
      <c r="K410" s="89">
        <f>IF(A411&lt;&gt;A410,AVERAGEIF(A$9:A410,A410,J$9:J410),"")</f>
        <v/>
      </c>
      <c r="L410" s="89">
        <f>IFERROR(IF(A411&lt;&gt;A410,AVERAGEIF(A$9:A410,A410,S$9:S410),""),"")</f>
        <v/>
      </c>
      <c r="M410" s="89">
        <f>IFERROR(IF(A411&lt;&gt;A410,AVERAGEIF(A$9:A410,A410,T$9:T410),""),"")</f>
        <v/>
      </c>
      <c r="N410" s="89">
        <f t="array" ref="N410">IFERROR(IF(A411&lt;&gt;A410,_xlfn.STDEV.P(IF(A$9:A410=A410,T$9:T410)),""),"")</f>
        <v/>
      </c>
      <c r="O410" s="89">
        <f t="array" ref="O410">IFERROR(IF(A411&lt;&gt;A410,_xlfn.STDEV.P(IF(A$9:A410=A410,S$9:S410)),""),"")</f>
        <v/>
      </c>
      <c r="P410" s="90">
        <f>IFERROR(IF(A410&lt;&gt;A411,MAX((((M410*24*60)/2)*(1+POWER((((N410*24*60) / (M410*24*60) )),2))) + ((M410*24*60 )*-0.1 + (K410*0.015)) +1,(((M410*24*60)/2)*(1+POWER((((N410*24*60) / (M410*24*60 ))),2)))),""),"")</f>
        <v/>
      </c>
      <c r="Q410" s="90">
        <f>IF(AND(O410&lt;&gt;"",L410&lt;&gt;""),IF(A410&lt;&gt;A411,((L410*24*60) / 2 ) * (1 + POWER(((O410*24*60) / (L410*24*60)),2)),""),"")</f>
        <v/>
      </c>
      <c r="R410" s="90">
        <f>IF(Q410&lt;&gt;"",MAX(P410,Q410),"")</f>
        <v/>
      </c>
      <c r="S410" s="89">
        <f>IF(I410&lt;&gt;"H. Sale Real",IF(AND(I411&lt;&gt;"",LEFT(C411,2)&lt;&gt;"Va"),IF(AND(I410&lt;&gt;"",LEFT(C410,2)&lt;&gt;"Va",I410&lt;&gt;"H. Sale Real"),IF(I411-I410&lt;0.208333333333333,I411-I410,""),IF(AND(I409&lt;&gt;"",LEFT(C409,2)&lt;&gt;"Va",I409&lt;&gt;"H. Sale Real"),IF(I411-I409&lt;0.208333333333333,I411-I409,""),IF(AND(I408&lt;&gt;"",LEFT(C408,2)&lt;&gt;"Va",I408&lt;&gt;"H. Sale Real"),IF(I411-I408&lt;0.208333333333333,I411-I408,""),IF(AND(I407&lt;&gt;"",LEFT(C407,2)&lt;&gt;"Va",I407&lt;&gt;"H. Sale Real"),IF(I411-I407&lt;0.208333333333333,I411-I407,""),IF(AND(I406&lt;&gt;"",LEFT(C406,2)&lt;&gt;"Va",I406&lt;&gt;"H. Sale Real"),IF(I411-I406&lt;0.208333333333333,I411-I406,""),""))))),""),"")</f>
        <v/>
      </c>
      <c r="T410" s="89">
        <f>IF(G410&lt;&gt;"H. Sale Real",IF(AND(G411&lt;&gt;"",LEFT(C411,2)&lt;&gt;"Va"),IF(AND(G410&lt;&gt;"",LEFT(C410,2)&lt;&gt;"Va",G410&lt;&gt;"H. Sale Real"),IF(G411-G410&lt;0.208333333333333,G411-G410,""),IF(AND(G409&lt;&gt;"",LEFT(C409,2)&lt;&gt;"Va",G409&lt;&gt;"H. Sale Real"),IF(G411-G409&lt;0.208333333333333,G411-G409,""),IF(AND(G408&lt;&gt;"",LEFT(C408,2)&lt;&gt;"Va",G408&lt;&gt;"H. Sale Real"),IF(G411-G408&lt;0.208333333333333,G411-G408,""),IF(AND(G407&lt;&gt;"",LEFT(C407,2)&lt;&gt;"Va",G407&lt;&gt;"H. Sale Real"),IF(G411-G407&lt;0.208333333333333,G411-G407,""),IF(AND(G406&lt;&gt;"",LEFT(C406,2)&lt;&gt;"Va",G406&lt;&gt;"H. Sale Real"),IF(G411-G406&lt;0.208333333333333,G411-G406,""),""))))),""),"")</f>
        <v/>
      </c>
      <c r="U410" s="87" t="n"/>
      <c r="V410" s="89" t="n"/>
      <c r="W410" s="87" t="n"/>
      <c r="X410" s="89" t="n"/>
      <c r="Y410" s="91" t="n"/>
      <c r="Z410" s="122">
        <f>IF(G410&lt;&gt;"",IF(AND(Z409&lt;&gt;"IE",P410&lt;&gt;0,R410&lt;&gt;""),IF(IFERROR((P410/R410),0) &lt;=1,IFERROR(P410/R410,""),1),""),"")</f>
        <v/>
      </c>
      <c r="AA410" s="93" t="n"/>
      <c r="AB410" s="2" t="n"/>
      <c r="AE410" s="10">
        <f>HOUR(AK410)+1</f>
        <v/>
      </c>
      <c r="AF410" s="7" t="n"/>
      <c r="AG410" s="7" t="n"/>
      <c r="AH410" s="86" t="n"/>
      <c r="AI410" s="8" t="n"/>
      <c r="AJ410" s="86" t="n"/>
      <c r="AK410" s="87" t="n"/>
      <c r="AL410" s="88">
        <f>IF(AM410="","",IF(AND((AM410-AK410)&gt;=TIME(0,0,0),(AM410-AK410)&lt;TIME(0,3,0)),"OK",IF(AND((AM410-AK410)&gt;=TIME(0,3,0),(AM410-AK410)&lt;TIME(0,5,0)),"RETRASO DE 3-5 MIN",IF(AND((AM410-AK410)&gt;=TIME(0,5,0),(AM410-AK410)&lt;TIME(0,10,0)),"RETRASO DE 5-10 MIN",IF((AM410-AK410)&gt;=TIME(0,10,0),"RETRASO &gt;10 MIN", IF(AND((AK410-AM410)&gt;=TIME(0,0,0),(AK410-AM410)&lt;TIME(0,3,0)),"OK",IF((AK410-AM410)&gt;=TIME(0,3,0),"ADELANTADO")))))))</f>
        <v/>
      </c>
      <c r="AM410" s="91" t="n"/>
      <c r="AN410" s="89">
        <f>IF(AE410&lt;&gt;"",HLOOKUP(VALUE(TEXT(AK410,"h:mm:ss")),IF($C$6="Laboral",$FZ$4:$GX$227,IF($C$6="Sábado",$FZ$231:$GX$452,$FZ$456:$GX$656)),VLOOKUP($C$4,$HF$2:$HH$99,3,0)+IF(AG$5="Ida",0,1),1),"")</f>
        <v/>
      </c>
      <c r="AO410" s="89">
        <f>IF(AE411&lt;&gt;AE410,AVERAGEIF(AE$9:AE410,AE410,AN$9:AN410),"")</f>
        <v/>
      </c>
      <c r="AP410" s="89">
        <f>IFERROR(IF(AE411&lt;&gt;AE410,AVERAGEIF(AE$9:AE410,AE410,AW$9:AW410),""),"")</f>
        <v/>
      </c>
      <c r="AQ410" s="89">
        <f>IFERROR(IF(AE411&lt;&gt;AE410,AVERAGEIF(AE$9:AE410,AE410,AX$9:AX410),""),"")</f>
        <v/>
      </c>
      <c r="AR410" s="89">
        <f t="array" ref="AR410">IFERROR(IF(AE411&lt;&gt;AE410,_xlfn.STDEV.P(IF(AE$9:AE410=AE410,AX$9:AX410)),""),"")</f>
        <v/>
      </c>
      <c r="AS410" s="89">
        <f t="array" ref="AS410">IFERROR(IF(AE411&lt;&gt;AE410,_xlfn.STDEV.P(IF(AE$9:AE410=AE410,AW$9:AW410)),""),"")</f>
        <v/>
      </c>
      <c r="AT410" s="90">
        <f>IFERROR(IF(AE410&lt;&gt;AE411,MAX((((AQ410*24*60)/2)*(1+POWER((((AR410*24*60) / (AQ410*24*60) )),2))) + ((AQ410*24*60 )*-0.1 + (AO410*0.015)) +1,(((AQ410*24*60)/2)*(1+POWER((((AR410*24*60) / (AQ410*24*60 ))),2)))),""),"")</f>
        <v/>
      </c>
      <c r="AU410" s="90">
        <f>IF(AND(AS410&lt;&gt;"",AP410&lt;&gt;""),IF(AE410&lt;&gt;AE411,((AP410*24*60) / 2 ) * (1 + POWER(((AS410*24*60) / (AP410*24*60)),2)),""),"")</f>
        <v/>
      </c>
      <c r="AV410" s="90">
        <f>IF(AU410&lt;&gt;"",MAX(AT410,AU410),"")</f>
        <v/>
      </c>
      <c r="AW410" s="89">
        <f>IF(AM410&lt;&gt;"H. Sale Real",IF(AND(AM411&lt;&gt;"",LEFT(AG411,2)&lt;&gt;"Va"),IF(AND(AM410&lt;&gt;"",LEFT(AG410,2)&lt;&gt;"Va",AM410&lt;&gt;"H. Sale Real"),IF(AM411-AM410&lt;0.208333333333333,AM411-AM410,""),IF(AND(AM409&lt;&gt;"",LEFT(AG409,2)&lt;&gt;"Va",AM409&lt;&gt;"H. Sale Real"),IF(AM411-AM409&lt;0.208333333333333,AM411-AM409,""),IF(AND(AM408&lt;&gt;"",LEFT(AG408,2)&lt;&gt;"Va",AM408&lt;&gt;"H. Sale Real"),IF(AM411-AM408&lt;0.208333333333333,AM411-AM408,""),IF(AND(AM407&lt;&gt;"",LEFT(AG407,2)&lt;&gt;"Va",AM407&lt;&gt;"H. Sale Real"),IF(AM411-AM407&lt;0.208333333333333,AM411-AM407,""),IF(AND(AM406&lt;&gt;"",LEFT(AG406,2)&lt;&gt;"Va",AM406&lt;&gt;"H. Sale Real"),IF(AM411-AM406&lt;0.208333333333333,AM411-AM406,""),""))))),""),"")</f>
        <v/>
      </c>
      <c r="AX410" s="89">
        <f>IF(AK410&lt;&gt;"H. Sale Real",IF(AND(AK411&lt;&gt;"",LEFT(AG411,2)&lt;&gt;"Va"),IF(AND(AK410&lt;&gt;"",LEFT(AG410,2)&lt;&gt;"Va",AK410&lt;&gt;"H. Sale Real"),IF(AK411-AK410&lt;0.208333333333333,AK411-AK410,""),IF(AND(AK409&lt;&gt;"",LEFT(AG409,2)&lt;&gt;"Va",AK409&lt;&gt;"H. Sale Real"),IF(AK411-AK409&lt;0.208333333333333,AK411-AK409,""),IF(AND(AK408&lt;&gt;"",LEFT(AG408,2)&lt;&gt;"NC",AK408&lt;&gt;"H. Sale Real"),IF(AK411-AK408&lt;0.208333333333333,AK411-AK408,""),IF(AND(AK407&lt;&gt;"",LEFT(AG407,2)&lt;&gt;"Va",AK407&lt;&gt;"H. Sale Real"),IF(AK411-AK407&lt;0.208333333333333,AK411-AK407,""),IF(AND(AK406&lt;&gt;"",LEFT(AG406,2)&lt;&gt;"Va",AK406&lt;&gt;"H. Sale Real"),IF(AK411-AK406&lt;0.208333333333333,AK411-AK406,""),""))))),""),"")</f>
        <v/>
      </c>
      <c r="AY410" s="87" t="n"/>
      <c r="AZ410" s="89" t="n"/>
      <c r="BA410" s="87" t="n"/>
      <c r="BB410" s="89" t="n"/>
      <c r="BC410" s="91" t="n"/>
      <c r="BD410" s="122">
        <f>IF(AK410&lt;&gt;"",IF(AND(BD409&lt;&gt;"IE",AT410&lt;&gt;0,AV410&lt;&gt;""),IF(IFERROR((AT410/AV410),0) &lt;=1,IFERROR(AT410/AV410,""),1),""),"")</f>
        <v/>
      </c>
      <c r="BE410" s="93" t="n"/>
      <c r="BF410" s="105" t="n"/>
      <c r="FC410" t="inlineStr">
        <is>
          <t>Diccionario 1</t>
        </is>
      </c>
      <c r="FD410" s="15" t="n">
        <v>1409</v>
      </c>
      <c r="FE410" s="15" t="inlineStr">
        <is>
          <t>MDN35025020236</t>
        </is>
      </c>
      <c r="FF410" s="15" t="inlineStr">
        <is>
          <t>LDYECS310S0043856</t>
        </is>
      </c>
      <c r="FG410" s="15" t="inlineStr">
        <is>
          <t>Zhong Tong</t>
        </is>
      </c>
      <c r="FH410" s="15" t="inlineStr">
        <is>
          <t>Lck6122evg</t>
        </is>
      </c>
      <c r="FI410" s="15" t="inlineStr">
        <is>
          <t>ZHONGTONG</t>
        </is>
      </c>
      <c r="FJ410" s="15" t="inlineStr">
        <is>
          <t>LCK6122EVG</t>
        </is>
      </c>
      <c r="FK410" s="15" t="n">
        <v>2025</v>
      </c>
      <c r="FL410" s="15" t="inlineStr">
        <is>
          <t>B</t>
        </is>
      </c>
      <c r="FM410" s="15" t="inlineStr">
        <is>
          <t>PIE ANDINO</t>
        </is>
      </c>
      <c r="FN410" s="15" t="inlineStr">
        <is>
          <t>Pie Andino 31 (Pie Andino 383)</t>
        </is>
      </c>
      <c r="FO410" s="15" t="inlineStr">
        <is>
          <t>Puente Alto</t>
        </is>
      </c>
      <c r="FP410" t="inlineStr">
        <is>
          <t>B</t>
        </is>
      </c>
      <c r="FS410" s="14" t="inlineStr">
        <is>
          <t>3105 / SFWZ-54|</t>
        </is>
      </c>
      <c r="FT410" t="inlineStr">
        <is>
          <t>SFWZ-54|</t>
        </is>
      </c>
      <c r="FU410" t="inlineStr">
        <is>
          <t>SFWZ-54</t>
        </is>
      </c>
      <c r="FV410">
        <f>VLOOKUP(FU410,FD:FL,9,0)</f>
        <v/>
      </c>
      <c r="HA410" s="35" t="n">
        <v>180</v>
      </c>
      <c r="HB410" s="35" t="n">
        <v>404</v>
      </c>
    </row>
    <row r="411" ht="15.5" customHeight="1">
      <c r="A411" s="10">
        <f>HOUR(G411)+1</f>
        <v/>
      </c>
      <c r="B411" s="7" t="n"/>
      <c r="C411" s="7" t="n"/>
      <c r="D411" s="85">
        <f>IFERROR(
IF(AND(OR(Planilla!B411="C",Planilla!B411="c"), VLOOKUP(E411,FD:FP,13,0)="C"), "OK",IF(AND(OR(Planilla!B411="C",Planilla!B411="c"), OR(VLOOKUP(E411,FD:FP,13,0)="B", VLOOKUP(E411,FD:FP,13,0)="A")), "DEFICIT",IF(
AND(OR(Planilla!B411="B", Planilla!B411="BPAL"), VLOOKUP(E411,FD:FP,13,0)="B"), "OK",IF(AND(OR(Planilla!B411="B", Planilla!B411="BPAL"), VLOOKUP(E411,FD:FP,13,0)="A"), "DEFICIT",IF(AND(OR(Planilla!B411="B", Planilla!B411="BPAL"), VLOOKUP(E411,FD:FP,13,0)="C"), "SOBREOFERTA",IF(AND(Planilla!B411="A", VLOOKUP(E411,FD:FP,13,0)="A"), "OK",IF(
AND(Planilla!B411="A", OR(VLOOKUP(E411,FD:FP,13,0)="B", VLOOKUP(E411,FD:FP,13,0)="C")), "SOBREOFERTA",""
))))))),"")</f>
        <v/>
      </c>
      <c r="E411" s="8" t="n"/>
      <c r="F411" s="86" t="n"/>
      <c r="G411" s="87" t="n"/>
      <c r="H411" s="88">
        <f>IF(I411="","",IF(AND((I411-G411)&gt;=TIME(0,0,0),(I411-G411)&lt;TIME(0,3,0)),"OK",IF(AND((I411-G411)&gt;=TIME(0,3,0),(I411-G411)&lt;TIME(0,5,0)),"RETRASO DE 3-5 MIN",IF(AND((I411-G411)&gt;=TIME(0,5,0),(I411-G411)&lt;TIME(0,10,0)),"RETRASO DE 5-10 MIN",IF((I411-G411)&gt;=TIME(0,10,0),"RETRASO &gt;10 MIN", IF(AND((G411-I411)&gt;=TIME(0,0,0),(G411-I411)&lt;TIME(0,3,0)),"OK",IF((G411-I411)&gt;=TIME(0,3,0),"ADELANTADO")))))))</f>
        <v/>
      </c>
      <c r="I411" s="89" t="n"/>
      <c r="J411" s="89">
        <f>IF(A411&lt;&gt;"",HLOOKUP(VALUE(TEXT(G411,"h:mm:ss")),IF($C$6="Laboral",$FZ$4:$GX$227,IF($C$6="Sábado",$FZ$231:$GX$452,$FZ$456:$GX$656)),VLOOKUP($C$4,$HF$2:$HH$99,3,0)+IF(C$5="Ida",0,1),1),"")</f>
        <v/>
      </c>
      <c r="K411" s="89">
        <f>IF(A412&lt;&gt;A411,AVERAGEIF(A$9:A411,A411,J$9:J411),"")</f>
        <v/>
      </c>
      <c r="L411" s="89">
        <f>IFERROR(IF(A412&lt;&gt;A411,AVERAGEIF(A$9:A411,A411,S$9:S411),""),"")</f>
        <v/>
      </c>
      <c r="M411" s="89">
        <f>IFERROR(IF(A412&lt;&gt;A411,AVERAGEIF(A$9:A411,A411,T$9:T411),""),"")</f>
        <v/>
      </c>
      <c r="N411" s="89">
        <f t="array" ref="N411">IFERROR(IF(A412&lt;&gt;A411,_xlfn.STDEV.P(IF(A$9:A411=A411,T$9:T411)),""),"")</f>
        <v/>
      </c>
      <c r="O411" s="89">
        <f t="array" ref="O411">IFERROR(IF(A412&lt;&gt;A411,_xlfn.STDEV.P(IF(A$9:A411=A411,S$9:S411)),""),"")</f>
        <v/>
      </c>
      <c r="P411" s="90">
        <f>IFERROR(IF(A411&lt;&gt;A412,MAX((((M411*24*60)/2)*(1+POWER((((N411*24*60) / (M411*24*60) )),2))) + ((M411*24*60 )*-0.1 + (K411*0.015)) +1,(((M411*24*60)/2)*(1+POWER((((N411*24*60) / (M411*24*60 ))),2)))),""),"")</f>
        <v/>
      </c>
      <c r="Q411" s="90">
        <f>IF(AND(O411&lt;&gt;"",L411&lt;&gt;""),IF(A411&lt;&gt;A412,((L411*24*60) / 2 ) * (1 + POWER(((O411*24*60) / (L411*24*60)),2)),""),"")</f>
        <v/>
      </c>
      <c r="R411" s="90">
        <f>IF(Q411&lt;&gt;"",MAX(P411,Q411),"")</f>
        <v/>
      </c>
      <c r="S411" s="89">
        <f>IF(I411&lt;&gt;"H. Sale Real",IF(AND(I412&lt;&gt;"",LEFT(C412,2)&lt;&gt;"Va"),IF(AND(I411&lt;&gt;"",LEFT(C411,2)&lt;&gt;"Va",I411&lt;&gt;"H. Sale Real"),IF(I412-I411&lt;0.208333333333333,I412-I411,""),IF(AND(I410&lt;&gt;"",LEFT(C410,2)&lt;&gt;"Va",I410&lt;&gt;"H. Sale Real"),IF(I412-I410&lt;0.208333333333333,I412-I410,""),IF(AND(I409&lt;&gt;"",LEFT(C409,2)&lt;&gt;"Va",I409&lt;&gt;"H. Sale Real"),IF(I412-I409&lt;0.208333333333333,I412-I409,""),IF(AND(I408&lt;&gt;"",LEFT(C408,2)&lt;&gt;"Va",I408&lt;&gt;"H. Sale Real"),IF(I412-I408&lt;0.208333333333333,I412-I408,""),IF(AND(I407&lt;&gt;"",LEFT(C407,2)&lt;&gt;"Va",I407&lt;&gt;"H. Sale Real"),IF(I412-I407&lt;0.208333333333333,I412-I407,""),""))))),""),"")</f>
        <v/>
      </c>
      <c r="T411" s="89">
        <f>IF(G411&lt;&gt;"H. Sale Real",IF(AND(G412&lt;&gt;"",LEFT(C412,2)&lt;&gt;"Va"),IF(AND(G411&lt;&gt;"",LEFT(C411,2)&lt;&gt;"Va",G411&lt;&gt;"H. Sale Real"),IF(G412-G411&lt;0.208333333333333,G412-G411,""),IF(AND(G410&lt;&gt;"",LEFT(C410,2)&lt;&gt;"Va",G410&lt;&gt;"H. Sale Real"),IF(G412-G410&lt;0.208333333333333,G412-G410,""),IF(AND(G409&lt;&gt;"",LEFT(C409,2)&lt;&gt;"Va",G409&lt;&gt;"H. Sale Real"),IF(G412-G409&lt;0.208333333333333,G412-G409,""),IF(AND(G408&lt;&gt;"",LEFT(C408,2)&lt;&gt;"Va",G408&lt;&gt;"H. Sale Real"),IF(G412-G408&lt;0.208333333333333,G412-G408,""),IF(AND(G407&lt;&gt;"",LEFT(C407,2)&lt;&gt;"Va",G407&lt;&gt;"H. Sale Real"),IF(G412-G407&lt;0.208333333333333,G412-G407,""),""))))),""),"")</f>
        <v/>
      </c>
      <c r="U411" s="87" t="n"/>
      <c r="V411" s="89" t="n"/>
      <c r="W411" s="87" t="n"/>
      <c r="X411" s="89" t="n"/>
      <c r="Y411" s="91" t="n"/>
      <c r="Z411" s="122">
        <f>IF(G411&lt;&gt;"",IF(AND(Z410&lt;&gt;"IE",P411&lt;&gt;0,R411&lt;&gt;""),IF(IFERROR((P411/R411),0) &lt;=1,IFERROR(P411/R411,""),1),""),"")</f>
        <v/>
      </c>
      <c r="AA411" s="93" t="n"/>
      <c r="AB411" s="2" t="n"/>
      <c r="AE411" s="10">
        <f>HOUR(AK411)+1</f>
        <v/>
      </c>
      <c r="AF411" s="7" t="n"/>
      <c r="AG411" s="7" t="n"/>
      <c r="AH411" s="86" t="n"/>
      <c r="AI411" s="8" t="n"/>
      <c r="AJ411" s="86" t="n"/>
      <c r="AK411" s="87" t="n"/>
      <c r="AL411" s="88">
        <f>IF(AM411="","",IF(AND((AM411-AK411)&gt;=TIME(0,0,0),(AM411-AK411)&lt;TIME(0,3,0)),"OK",IF(AND((AM411-AK411)&gt;=TIME(0,3,0),(AM411-AK411)&lt;TIME(0,5,0)),"RETRASO DE 3-5 MIN",IF(AND((AM411-AK411)&gt;=TIME(0,5,0),(AM411-AK411)&lt;TIME(0,10,0)),"RETRASO DE 5-10 MIN",IF((AM411-AK411)&gt;=TIME(0,10,0),"RETRASO &gt;10 MIN", IF(AND((AK411-AM411)&gt;=TIME(0,0,0),(AK411-AM411)&lt;TIME(0,3,0)),"OK",IF((AK411-AM411)&gt;=TIME(0,3,0),"ADELANTADO")))))))</f>
        <v/>
      </c>
      <c r="AM411" s="91" t="n"/>
      <c r="AN411" s="89">
        <f>IF(AE411&lt;&gt;"",HLOOKUP(VALUE(TEXT(AK411,"h:mm:ss")),IF($C$6="Laboral",$FZ$4:$GX$227,IF($C$6="Sábado",$FZ$231:$GX$452,$FZ$456:$GX$656)),VLOOKUP($C$4,$HF$2:$HH$99,3,0)+IF(AG$5="Ida",0,1),1),"")</f>
        <v/>
      </c>
      <c r="AO411" s="89">
        <f>IF(AE412&lt;&gt;AE411,AVERAGEIF(AE$9:AE411,AE411,AN$9:AN411),"")</f>
        <v/>
      </c>
      <c r="AP411" s="89">
        <f>IFERROR(IF(AE412&lt;&gt;AE411,AVERAGEIF(AE$9:AE411,AE411,AW$9:AW411),""),"")</f>
        <v/>
      </c>
      <c r="AQ411" s="89">
        <f>IFERROR(IF(AE412&lt;&gt;AE411,AVERAGEIF(AE$9:AE411,AE411,AX$9:AX411),""),"")</f>
        <v/>
      </c>
      <c r="AR411" s="89">
        <f t="array" ref="AR411">IFERROR(IF(AE412&lt;&gt;AE411,_xlfn.STDEV.P(IF(AE$9:AE411=AE411,AX$9:AX411)),""),"")</f>
        <v/>
      </c>
      <c r="AS411" s="89">
        <f t="array" ref="AS411">IFERROR(IF(AE412&lt;&gt;AE411,_xlfn.STDEV.P(IF(AE$9:AE411=AE411,AW$9:AW411)),""),"")</f>
        <v/>
      </c>
      <c r="AT411" s="90">
        <f>IFERROR(IF(AE411&lt;&gt;AE412,MAX((((AQ411*24*60)/2)*(1+POWER((((AR411*24*60) / (AQ411*24*60) )),2))) + ((AQ411*24*60 )*-0.1 + (AO411*0.015)) +1,(((AQ411*24*60)/2)*(1+POWER((((AR411*24*60) / (AQ411*24*60 ))),2)))),""),"")</f>
        <v/>
      </c>
      <c r="AU411" s="90">
        <f>IF(AND(AS411&lt;&gt;"",AP411&lt;&gt;""),IF(AE411&lt;&gt;AE412,((AP411*24*60) / 2 ) * (1 + POWER(((AS411*24*60) / (AP411*24*60)),2)),""),"")</f>
        <v/>
      </c>
      <c r="AV411" s="90">
        <f>IF(AU411&lt;&gt;"",MAX(AT411,AU411),"")</f>
        <v/>
      </c>
      <c r="AW411" s="89">
        <f>IF(AM411&lt;&gt;"H. Sale Real",IF(AND(AM412&lt;&gt;"",LEFT(AG412,2)&lt;&gt;"Va"),IF(AND(AM411&lt;&gt;"",LEFT(AG411,2)&lt;&gt;"Va",AM411&lt;&gt;"H. Sale Real"),IF(AM412-AM411&lt;0.208333333333333,AM412-AM411,""),IF(AND(AM410&lt;&gt;"",LEFT(AG410,2)&lt;&gt;"Va",AM410&lt;&gt;"H. Sale Real"),IF(AM412-AM410&lt;0.208333333333333,AM412-AM410,""),IF(AND(AM409&lt;&gt;"",LEFT(AG409,2)&lt;&gt;"Va",AM409&lt;&gt;"H. Sale Real"),IF(AM412-AM409&lt;0.208333333333333,AM412-AM409,""),IF(AND(AM408&lt;&gt;"",LEFT(AG408,2)&lt;&gt;"Va",AM408&lt;&gt;"H. Sale Real"),IF(AM412-AM408&lt;0.208333333333333,AM412-AM408,""),IF(AND(AM407&lt;&gt;"",LEFT(AG407,2)&lt;&gt;"Va",AM407&lt;&gt;"H. Sale Real"),IF(AM412-AM407&lt;0.208333333333333,AM412-AM407,""),""))))),""),"")</f>
        <v/>
      </c>
      <c r="AX411" s="89">
        <f>IF(AK411&lt;&gt;"H. Sale Real",IF(AND(AK412&lt;&gt;"",LEFT(AG412,2)&lt;&gt;"Va"),IF(AND(AK411&lt;&gt;"",LEFT(AG411,2)&lt;&gt;"Va",AK411&lt;&gt;"H. Sale Real"),IF(AK412-AK411&lt;0.208333333333333,AK412-AK411,""),IF(AND(AK410&lt;&gt;"",LEFT(AG410,2)&lt;&gt;"Va",AK410&lt;&gt;"H. Sale Real"),IF(AK412-AK410&lt;0.208333333333333,AK412-AK410,""),IF(AND(AK409&lt;&gt;"",LEFT(AG409,2)&lt;&gt;"NC",AK409&lt;&gt;"H. Sale Real"),IF(AK412-AK409&lt;0.208333333333333,AK412-AK409,""),IF(AND(AK408&lt;&gt;"",LEFT(AG408,2)&lt;&gt;"Va",AK408&lt;&gt;"H. Sale Real"),IF(AK412-AK408&lt;0.208333333333333,AK412-AK408,""),IF(AND(AK407&lt;&gt;"",LEFT(AG407,2)&lt;&gt;"Va",AK407&lt;&gt;"H. Sale Real"),IF(AK412-AK407&lt;0.208333333333333,AK412-AK407,""),""))))),""),"")</f>
        <v/>
      </c>
      <c r="AY411" s="87" t="n"/>
      <c r="AZ411" s="89" t="n"/>
      <c r="BA411" s="87" t="n"/>
      <c r="BB411" s="89" t="n"/>
      <c r="BC411" s="91" t="n"/>
      <c r="BD411" s="122">
        <f>IF(AK411&lt;&gt;"",IF(AND(BD410&lt;&gt;"IE",AT411&lt;&gt;0,AV411&lt;&gt;""),IF(IFERROR((AT411/AV411),0) &lt;=1,IFERROR(AT411/AV411,""),1),""),"")</f>
        <v/>
      </c>
      <c r="BE411" s="93" t="n"/>
      <c r="BF411" s="105" t="n"/>
      <c r="FC411" t="inlineStr">
        <is>
          <t>Diccionario 1</t>
        </is>
      </c>
      <c r="FD411" s="15" t="n">
        <v>1410</v>
      </c>
      <c r="FE411" s="15" t="inlineStr">
        <is>
          <t>MDN35025010240</t>
        </is>
      </c>
      <c r="FF411" s="15" t="inlineStr">
        <is>
          <t>LDYECS317S0043840</t>
        </is>
      </c>
      <c r="FG411" s="15" t="inlineStr">
        <is>
          <t>Zhong Tong</t>
        </is>
      </c>
      <c r="FH411" s="15" t="inlineStr">
        <is>
          <t>Lck6122evg</t>
        </is>
      </c>
      <c r="FI411" s="15" t="inlineStr">
        <is>
          <t>ZHONGTONG</t>
        </is>
      </c>
      <c r="FJ411" s="15" t="inlineStr">
        <is>
          <t>LCK6122EVG</t>
        </is>
      </c>
      <c r="FK411" s="15" t="n">
        <v>2025</v>
      </c>
      <c r="FL411" s="15" t="inlineStr">
        <is>
          <t>B</t>
        </is>
      </c>
      <c r="FM411" s="15" t="inlineStr">
        <is>
          <t>PIE ANDINO</t>
        </is>
      </c>
      <c r="FN411" s="15" t="inlineStr">
        <is>
          <t>Pie Andino 31 (Pie Andino 383)</t>
        </is>
      </c>
      <c r="FO411" s="15" t="inlineStr">
        <is>
          <t>Puente Alto</t>
        </is>
      </c>
      <c r="FP411" t="inlineStr">
        <is>
          <t>B</t>
        </is>
      </c>
      <c r="FS411" s="14" t="inlineStr">
        <is>
          <t>3105 / SFWZ-54|</t>
        </is>
      </c>
      <c r="FT411" t="inlineStr">
        <is>
          <t>SFWZ-54|</t>
        </is>
      </c>
      <c r="FU411" t="inlineStr">
        <is>
          <t>SFWZ-54</t>
        </is>
      </c>
      <c r="FV411">
        <f>VLOOKUP(FU411,FD:FL,9,0)</f>
        <v/>
      </c>
      <c r="HA411" s="35" t="n">
        <v>181</v>
      </c>
      <c r="HB411" s="35" t="n">
        <v>405</v>
      </c>
    </row>
    <row r="412" ht="15.5" customHeight="1">
      <c r="A412" s="10">
        <f>HOUR(G412)+1</f>
        <v/>
      </c>
      <c r="B412" s="7" t="n"/>
      <c r="C412" s="7" t="n"/>
      <c r="D412" s="85">
        <f>IFERROR(
IF(AND(OR(Planilla!B412="C",Planilla!B412="c"), VLOOKUP(E412,FD:FP,13,0)="C"), "OK",IF(AND(OR(Planilla!B412="C",Planilla!B412="c"), OR(VLOOKUP(E412,FD:FP,13,0)="B", VLOOKUP(E412,FD:FP,13,0)="A")), "DEFICIT",IF(
AND(OR(Planilla!B412="B", Planilla!B412="BPAL"), VLOOKUP(E412,FD:FP,13,0)="B"), "OK",IF(AND(OR(Planilla!B412="B", Planilla!B412="BPAL"), VLOOKUP(E412,FD:FP,13,0)="A"), "DEFICIT",IF(AND(OR(Planilla!B412="B", Planilla!B412="BPAL"), VLOOKUP(E412,FD:FP,13,0)="C"), "SOBREOFERTA",IF(AND(Planilla!B412="A", VLOOKUP(E412,FD:FP,13,0)="A"), "OK",IF(
AND(Planilla!B412="A", OR(VLOOKUP(E412,FD:FP,13,0)="B", VLOOKUP(E412,FD:FP,13,0)="C")), "SOBREOFERTA",""
))))))),"")</f>
        <v/>
      </c>
      <c r="E412" s="8" t="n"/>
      <c r="F412" s="86" t="n"/>
      <c r="G412" s="87" t="n"/>
      <c r="H412" s="88">
        <f>IF(I412="","",IF(AND((I412-G412)&gt;=TIME(0,0,0),(I412-G412)&lt;TIME(0,3,0)),"OK",IF(AND((I412-G412)&gt;=TIME(0,3,0),(I412-G412)&lt;TIME(0,5,0)),"RETRASO DE 3-5 MIN",IF(AND((I412-G412)&gt;=TIME(0,5,0),(I412-G412)&lt;TIME(0,10,0)),"RETRASO DE 5-10 MIN",IF((I412-G412)&gt;=TIME(0,10,0),"RETRASO &gt;10 MIN", IF(AND((G412-I412)&gt;=TIME(0,0,0),(G412-I412)&lt;TIME(0,3,0)),"OK",IF((G412-I412)&gt;=TIME(0,3,0),"ADELANTADO")))))))</f>
        <v/>
      </c>
      <c r="I412" s="89" t="n"/>
      <c r="J412" s="89">
        <f>IF(A412&lt;&gt;"",HLOOKUP(VALUE(TEXT(G412,"h:mm:ss")),IF($C$6="Laboral",$FZ$4:$GX$227,IF($C$6="Sábado",$FZ$231:$GX$452,$FZ$456:$GX$656)),VLOOKUP($C$4,$HF$2:$HH$99,3,0)+IF(C$5="Ida",0,1),1),"")</f>
        <v/>
      </c>
      <c r="K412" s="89">
        <f>IF(A413&lt;&gt;A412,AVERAGEIF(A$9:A412,A412,J$9:J412),"")</f>
        <v/>
      </c>
      <c r="L412" s="89">
        <f>IFERROR(IF(A413&lt;&gt;A412,AVERAGEIF(A$9:A412,A412,S$9:S412),""),"")</f>
        <v/>
      </c>
      <c r="M412" s="89">
        <f>IFERROR(IF(A413&lt;&gt;A412,AVERAGEIF(A$9:A412,A412,T$9:T412),""),"")</f>
        <v/>
      </c>
      <c r="N412" s="89">
        <f t="array" ref="N412">IFERROR(IF(A413&lt;&gt;A412,_xlfn.STDEV.P(IF(A$9:A412=A412,T$9:T412)),""),"")</f>
        <v/>
      </c>
      <c r="O412" s="89">
        <f t="array" ref="O412">IFERROR(IF(A413&lt;&gt;A412,_xlfn.STDEV.P(IF(A$9:A412=A412,S$9:S412)),""),"")</f>
        <v/>
      </c>
      <c r="P412" s="90">
        <f>IFERROR(IF(A412&lt;&gt;A413,MAX((((M412*24*60)/2)*(1+POWER((((N412*24*60) / (M412*24*60) )),2))) + ((M412*24*60 )*-0.1 + (K412*0.015)) +1,(((M412*24*60)/2)*(1+POWER((((N412*24*60) / (M412*24*60 ))),2)))),""),"")</f>
        <v/>
      </c>
      <c r="Q412" s="90">
        <f>IF(AND(O412&lt;&gt;"",L412&lt;&gt;""),IF(A412&lt;&gt;A413,((L412*24*60) / 2 ) * (1 + POWER(((O412*24*60) / (L412*24*60)),2)),""),"")</f>
        <v/>
      </c>
      <c r="R412" s="90">
        <f>IF(Q412&lt;&gt;"",MAX(P412,Q412),"")</f>
        <v/>
      </c>
      <c r="S412" s="89">
        <f>IF(I412&lt;&gt;"H. Sale Real",IF(AND(I413&lt;&gt;"",LEFT(C413,2)&lt;&gt;"Va"),IF(AND(I412&lt;&gt;"",LEFT(C412,2)&lt;&gt;"Va",I412&lt;&gt;"H. Sale Real"),IF(I413-I412&lt;0.208333333333333,I413-I412,""),IF(AND(I411&lt;&gt;"",LEFT(C411,2)&lt;&gt;"Va",I411&lt;&gt;"H. Sale Real"),IF(I413-I411&lt;0.208333333333333,I413-I411,""),IF(AND(I410&lt;&gt;"",LEFT(C410,2)&lt;&gt;"Va",I410&lt;&gt;"H. Sale Real"),IF(I413-I410&lt;0.208333333333333,I413-I410,""),IF(AND(I409&lt;&gt;"",LEFT(C409,2)&lt;&gt;"Va",I409&lt;&gt;"H. Sale Real"),IF(I413-I409&lt;0.208333333333333,I413-I409,""),IF(AND(I408&lt;&gt;"",LEFT(C408,2)&lt;&gt;"Va",I408&lt;&gt;"H. Sale Real"),IF(I413-I408&lt;0.208333333333333,I413-I408,""),""))))),""),"")</f>
        <v/>
      </c>
      <c r="T412" s="89">
        <f>IF(G412&lt;&gt;"H. Sale Real",IF(AND(G413&lt;&gt;"",LEFT(C413,2)&lt;&gt;"Va"),IF(AND(G412&lt;&gt;"",LEFT(C412,2)&lt;&gt;"Va",G412&lt;&gt;"H. Sale Real"),IF(G413-G412&lt;0.208333333333333,G413-G412,""),IF(AND(G411&lt;&gt;"",LEFT(C411,2)&lt;&gt;"Va",G411&lt;&gt;"H. Sale Real"),IF(G413-G411&lt;0.208333333333333,G413-G411,""),IF(AND(G410&lt;&gt;"",LEFT(C410,2)&lt;&gt;"Va",G410&lt;&gt;"H. Sale Real"),IF(G413-G410&lt;0.208333333333333,G413-G410,""),IF(AND(G409&lt;&gt;"",LEFT(C409,2)&lt;&gt;"Va",G409&lt;&gt;"H. Sale Real"),IF(G413-G409&lt;0.208333333333333,G413-G409,""),IF(AND(G408&lt;&gt;"",LEFT(C408,2)&lt;&gt;"Va",G408&lt;&gt;"H. Sale Real"),IF(G413-G408&lt;0.208333333333333,G413-G408,""),""))))),""),"")</f>
        <v/>
      </c>
      <c r="U412" s="87" t="n"/>
      <c r="V412" s="89" t="n"/>
      <c r="W412" s="87" t="n"/>
      <c r="X412" s="89" t="n"/>
      <c r="Y412" s="91" t="n"/>
      <c r="Z412" s="122">
        <f>IF(G412&lt;&gt;"",IF(AND(Z411&lt;&gt;"IE",P412&lt;&gt;0,R412&lt;&gt;""),IF(IFERROR((P412/R412),0) &lt;=1,IFERROR(P412/R412,""),1),""),"")</f>
        <v/>
      </c>
      <c r="AA412" s="93" t="n"/>
      <c r="AB412" s="2" t="n"/>
      <c r="AE412" s="10">
        <f>HOUR(AK412)+1</f>
        <v/>
      </c>
      <c r="AF412" s="7" t="n"/>
      <c r="AG412" s="7" t="n"/>
      <c r="AH412" s="86" t="n"/>
      <c r="AI412" s="8" t="n"/>
      <c r="AJ412" s="86" t="n"/>
      <c r="AK412" s="87" t="n"/>
      <c r="AL412" s="88">
        <f>IF(AM412="","",IF(AND((AM412-AK412)&gt;=TIME(0,0,0),(AM412-AK412)&lt;TIME(0,3,0)),"OK",IF(AND((AM412-AK412)&gt;=TIME(0,3,0),(AM412-AK412)&lt;TIME(0,5,0)),"RETRASO DE 3-5 MIN",IF(AND((AM412-AK412)&gt;=TIME(0,5,0),(AM412-AK412)&lt;TIME(0,10,0)),"RETRASO DE 5-10 MIN",IF((AM412-AK412)&gt;=TIME(0,10,0),"RETRASO &gt;10 MIN", IF(AND((AK412-AM412)&gt;=TIME(0,0,0),(AK412-AM412)&lt;TIME(0,3,0)),"OK",IF((AK412-AM412)&gt;=TIME(0,3,0),"ADELANTADO")))))))</f>
        <v/>
      </c>
      <c r="AM412" s="91" t="n"/>
      <c r="AN412" s="89">
        <f>IF(AE412&lt;&gt;"",HLOOKUP(VALUE(TEXT(AK412,"h:mm:ss")),IF($C$6="Laboral",$FZ$4:$GX$227,IF($C$6="Sábado",$FZ$231:$GX$452,$FZ$456:$GX$656)),VLOOKUP($C$4,$HF$2:$HH$99,3,0)+IF(AG$5="Ida",0,1),1),"")</f>
        <v/>
      </c>
      <c r="AO412" s="89">
        <f>IF(AE413&lt;&gt;AE412,AVERAGEIF(AE$9:AE412,AE412,AN$9:AN412),"")</f>
        <v/>
      </c>
      <c r="AP412" s="89">
        <f>IFERROR(IF(AE413&lt;&gt;AE412,AVERAGEIF(AE$9:AE412,AE412,AW$9:AW412),""),"")</f>
        <v/>
      </c>
      <c r="AQ412" s="89">
        <f>IFERROR(IF(AE413&lt;&gt;AE412,AVERAGEIF(AE$9:AE412,AE412,AX$9:AX412),""),"")</f>
        <v/>
      </c>
      <c r="AR412" s="89">
        <f t="array" ref="AR412">IFERROR(IF(AE413&lt;&gt;AE412,_xlfn.STDEV.P(IF(AE$9:AE412=AE412,AX$9:AX412)),""),"")</f>
        <v/>
      </c>
      <c r="AS412" s="89">
        <f t="array" ref="AS412">IFERROR(IF(AE413&lt;&gt;AE412,_xlfn.STDEV.P(IF(AE$9:AE412=AE412,AW$9:AW412)),""),"")</f>
        <v/>
      </c>
      <c r="AT412" s="90">
        <f>IFERROR(IF(AE412&lt;&gt;AE413,MAX((((AQ412*24*60)/2)*(1+POWER((((AR412*24*60) / (AQ412*24*60) )),2))) + ((AQ412*24*60 )*-0.1 + (AO412*0.015)) +1,(((AQ412*24*60)/2)*(1+POWER((((AR412*24*60) / (AQ412*24*60 ))),2)))),""),"")</f>
        <v/>
      </c>
      <c r="AU412" s="90">
        <f>IF(AND(AS412&lt;&gt;"",AP412&lt;&gt;""),IF(AE412&lt;&gt;AE413,((AP412*24*60) / 2 ) * (1 + POWER(((AS412*24*60) / (AP412*24*60)),2)),""),"")</f>
        <v/>
      </c>
      <c r="AV412" s="90">
        <f>IF(AU412&lt;&gt;"",MAX(AT412,AU412),"")</f>
        <v/>
      </c>
      <c r="AW412" s="89">
        <f>IF(AM412&lt;&gt;"H. Sale Real",IF(AND(AM413&lt;&gt;"",LEFT(AG413,2)&lt;&gt;"Va"),IF(AND(AM412&lt;&gt;"",LEFT(AG412,2)&lt;&gt;"Va",AM412&lt;&gt;"H. Sale Real"),IF(AM413-AM412&lt;0.208333333333333,AM413-AM412,""),IF(AND(AM411&lt;&gt;"",LEFT(AG411,2)&lt;&gt;"Va",AM411&lt;&gt;"H. Sale Real"),IF(AM413-AM411&lt;0.208333333333333,AM413-AM411,""),IF(AND(AM410&lt;&gt;"",LEFT(AG410,2)&lt;&gt;"Va",AM410&lt;&gt;"H. Sale Real"),IF(AM413-AM410&lt;0.208333333333333,AM413-AM410,""),IF(AND(AM409&lt;&gt;"",LEFT(AG409,2)&lt;&gt;"Va",AM409&lt;&gt;"H. Sale Real"),IF(AM413-AM409&lt;0.208333333333333,AM413-AM409,""),IF(AND(AM408&lt;&gt;"",LEFT(AG408,2)&lt;&gt;"Va",AM408&lt;&gt;"H. Sale Real"),IF(AM413-AM408&lt;0.208333333333333,AM413-AM408,""),""))))),""),"")</f>
        <v/>
      </c>
      <c r="AX412" s="89">
        <f>IF(AK412&lt;&gt;"H. Sale Real",IF(AND(AK413&lt;&gt;"",LEFT(AG413,2)&lt;&gt;"Va"),IF(AND(AK412&lt;&gt;"",LEFT(AG412,2)&lt;&gt;"Va",AK412&lt;&gt;"H. Sale Real"),IF(AK413-AK412&lt;0.208333333333333,AK413-AK412,""),IF(AND(AK411&lt;&gt;"",LEFT(AG411,2)&lt;&gt;"Va",AK411&lt;&gt;"H. Sale Real"),IF(AK413-AK411&lt;0.208333333333333,AK413-AK411,""),IF(AND(AK410&lt;&gt;"",LEFT(AG410,2)&lt;&gt;"NC",AK410&lt;&gt;"H. Sale Real"),IF(AK413-AK410&lt;0.208333333333333,AK413-AK410,""),IF(AND(AK409&lt;&gt;"",LEFT(AG409,2)&lt;&gt;"Va",AK409&lt;&gt;"H. Sale Real"),IF(AK413-AK409&lt;0.208333333333333,AK413-AK409,""),IF(AND(AK408&lt;&gt;"",LEFT(AG408,2)&lt;&gt;"Va",AK408&lt;&gt;"H. Sale Real"),IF(AK413-AK408&lt;0.208333333333333,AK413-AK408,""),""))))),""),"")</f>
        <v/>
      </c>
      <c r="AY412" s="87" t="n"/>
      <c r="AZ412" s="89" t="n"/>
      <c r="BA412" s="87" t="n"/>
      <c r="BB412" s="89" t="n"/>
      <c r="BC412" s="91" t="n"/>
      <c r="BD412" s="122">
        <f>IF(AK412&lt;&gt;"",IF(AND(BD411&lt;&gt;"IE",AT412&lt;&gt;0,AV412&lt;&gt;""),IF(IFERROR((AT412/AV412),0) &lt;=1,IFERROR(AT412/AV412,""),1),""),"")</f>
        <v/>
      </c>
      <c r="BE412" s="93" t="n"/>
      <c r="BF412" s="105" t="n"/>
      <c r="FC412" t="inlineStr">
        <is>
          <t>Diccionario 1</t>
        </is>
      </c>
      <c r="FD412" s="15" t="n">
        <v>1411</v>
      </c>
      <c r="FE412" s="15" t="inlineStr">
        <is>
          <t>MDN35025010141</t>
        </is>
      </c>
      <c r="FF412" s="15" t="inlineStr">
        <is>
          <t>LDYECS319S0043855</t>
        </is>
      </c>
      <c r="FG412" s="15" t="inlineStr">
        <is>
          <t>Zhong Tong</t>
        </is>
      </c>
      <c r="FH412" s="15" t="inlineStr">
        <is>
          <t>Lck6122evg</t>
        </is>
      </c>
      <c r="FI412" s="15" t="inlineStr">
        <is>
          <t>ZHONGTONG</t>
        </is>
      </c>
      <c r="FJ412" s="15" t="inlineStr">
        <is>
          <t>LCK6122EVG</t>
        </is>
      </c>
      <c r="FK412" s="15" t="n">
        <v>2025</v>
      </c>
      <c r="FL412" s="15" t="inlineStr">
        <is>
          <t>B</t>
        </is>
      </c>
      <c r="FM412" s="15" t="inlineStr">
        <is>
          <t>LOS LIBERTADORES</t>
        </is>
      </c>
      <c r="FN412" s="15" t="inlineStr">
        <is>
          <t>Los Liberadores 6450, Lote 4A</t>
        </is>
      </c>
      <c r="FO412" s="15" t="inlineStr">
        <is>
          <t>Huechuraba</t>
        </is>
      </c>
      <c r="FP412" t="inlineStr">
        <is>
          <t>B</t>
        </is>
      </c>
      <c r="FS412" s="14" t="inlineStr">
        <is>
          <t>3105 / SFWZ-54|</t>
        </is>
      </c>
      <c r="FT412" t="inlineStr">
        <is>
          <t>SFWZ-54|</t>
        </is>
      </c>
      <c r="FU412" t="inlineStr">
        <is>
          <t>SFWZ-54</t>
        </is>
      </c>
      <c r="FV412">
        <f>VLOOKUP(FU412,FD:FL,9,0)</f>
        <v/>
      </c>
      <c r="HA412" s="35" t="n">
        <v>182</v>
      </c>
      <c r="HB412" s="35" t="n">
        <v>406</v>
      </c>
    </row>
    <row r="413" ht="15.5" customHeight="1">
      <c r="A413" s="10">
        <f>HOUR(G413)+1</f>
        <v/>
      </c>
      <c r="B413" s="7" t="n"/>
      <c r="C413" s="7" t="n"/>
      <c r="D413" s="85">
        <f>IFERROR(
IF(AND(OR(Planilla!B413="C",Planilla!B413="c"), VLOOKUP(E413,FD:FP,13,0)="C"), "OK",IF(AND(OR(Planilla!B413="C",Planilla!B413="c"), OR(VLOOKUP(E413,FD:FP,13,0)="B", VLOOKUP(E413,FD:FP,13,0)="A")), "DEFICIT",IF(
AND(OR(Planilla!B413="B", Planilla!B413="BPAL"), VLOOKUP(E413,FD:FP,13,0)="B"), "OK",IF(AND(OR(Planilla!B413="B", Planilla!B413="BPAL"), VLOOKUP(E413,FD:FP,13,0)="A"), "DEFICIT",IF(AND(OR(Planilla!B413="B", Planilla!B413="BPAL"), VLOOKUP(E413,FD:FP,13,0)="C"), "SOBREOFERTA",IF(AND(Planilla!B413="A", VLOOKUP(E413,FD:FP,13,0)="A"), "OK",IF(
AND(Planilla!B413="A", OR(VLOOKUP(E413,FD:FP,13,0)="B", VLOOKUP(E413,FD:FP,13,0)="C")), "SOBREOFERTA",""
))))))),"")</f>
        <v/>
      </c>
      <c r="E413" s="8" t="n"/>
      <c r="F413" s="86" t="n"/>
      <c r="G413" s="87" t="n"/>
      <c r="H413" s="88">
        <f>IF(I413="","",IF(AND((I413-G413)&gt;=TIME(0,0,0),(I413-G413)&lt;TIME(0,3,0)),"OK",IF(AND((I413-G413)&gt;=TIME(0,3,0),(I413-G413)&lt;TIME(0,5,0)),"RETRASO DE 3-5 MIN",IF(AND((I413-G413)&gt;=TIME(0,5,0),(I413-G413)&lt;TIME(0,10,0)),"RETRASO DE 5-10 MIN",IF((I413-G413)&gt;=TIME(0,10,0),"RETRASO &gt;10 MIN", IF(AND((G413-I413)&gt;=TIME(0,0,0),(G413-I413)&lt;TIME(0,3,0)),"OK",IF((G413-I413)&gt;=TIME(0,3,0),"ADELANTADO")))))))</f>
        <v/>
      </c>
      <c r="I413" s="89" t="n"/>
      <c r="J413" s="89">
        <f>IF(A413&lt;&gt;"",HLOOKUP(VALUE(TEXT(G413,"h:mm:ss")),IF($C$6="Laboral",$FZ$4:$GX$227,IF($C$6="Sábado",$FZ$231:$GX$452,$FZ$456:$GX$656)),VLOOKUP($C$4,$HF$2:$HH$99,3,0)+IF(C$5="Ida",0,1),1),"")</f>
        <v/>
      </c>
      <c r="K413" s="89">
        <f>IF(A414&lt;&gt;A413,AVERAGEIF(A$9:A413,A413,J$9:J413),"")</f>
        <v/>
      </c>
      <c r="L413" s="89">
        <f>IFERROR(IF(A414&lt;&gt;A413,AVERAGEIF(A$9:A413,A413,S$9:S413),""),"")</f>
        <v/>
      </c>
      <c r="M413" s="89">
        <f>IFERROR(IF(A414&lt;&gt;A413,AVERAGEIF(A$9:A413,A413,T$9:T413),""),"")</f>
        <v/>
      </c>
      <c r="N413" s="89">
        <f t="array" ref="N413">IFERROR(IF(A414&lt;&gt;A413,_xlfn.STDEV.P(IF(A$9:A413=A413,T$9:T413)),""),"")</f>
        <v/>
      </c>
      <c r="O413" s="89">
        <f t="array" ref="O413">IFERROR(IF(A414&lt;&gt;A413,_xlfn.STDEV.P(IF(A$9:A413=A413,S$9:S413)),""),"")</f>
        <v/>
      </c>
      <c r="P413" s="90">
        <f>IFERROR(IF(A413&lt;&gt;A414,MAX((((M413*24*60)/2)*(1+POWER((((N413*24*60) / (M413*24*60) )),2))) + ((M413*24*60 )*-0.1 + (K413*0.015)) +1,(((M413*24*60)/2)*(1+POWER((((N413*24*60) / (M413*24*60 ))),2)))),""),"")</f>
        <v/>
      </c>
      <c r="Q413" s="90">
        <f>IF(AND(O413&lt;&gt;"",L413&lt;&gt;""),IF(A413&lt;&gt;A414,((L413*24*60) / 2 ) * (1 + POWER(((O413*24*60) / (L413*24*60)),2)),""),"")</f>
        <v/>
      </c>
      <c r="R413" s="90">
        <f>IF(Q413&lt;&gt;"",MAX(P413,Q413),"")</f>
        <v/>
      </c>
      <c r="S413" s="89">
        <f>IF(I413&lt;&gt;"H. Sale Real",IF(AND(I414&lt;&gt;"",LEFT(C414,2)&lt;&gt;"Va"),IF(AND(I413&lt;&gt;"",LEFT(C413,2)&lt;&gt;"Va",I413&lt;&gt;"H. Sale Real"),IF(I414-I413&lt;0.208333333333333,I414-I413,""),IF(AND(I412&lt;&gt;"",LEFT(C412,2)&lt;&gt;"Va",I412&lt;&gt;"H. Sale Real"),IF(I414-I412&lt;0.208333333333333,I414-I412,""),IF(AND(I411&lt;&gt;"",LEFT(C411,2)&lt;&gt;"Va",I411&lt;&gt;"H. Sale Real"),IF(I414-I411&lt;0.208333333333333,I414-I411,""),IF(AND(I410&lt;&gt;"",LEFT(C410,2)&lt;&gt;"Va",I410&lt;&gt;"H. Sale Real"),IF(I414-I410&lt;0.208333333333333,I414-I410,""),IF(AND(I409&lt;&gt;"",LEFT(C409,2)&lt;&gt;"Va",I409&lt;&gt;"H. Sale Real"),IF(I414-I409&lt;0.208333333333333,I414-I409,""),""))))),""),"")</f>
        <v/>
      </c>
      <c r="T413" s="89">
        <f>IF(G413&lt;&gt;"H. Sale Real",IF(AND(G414&lt;&gt;"",LEFT(C414,2)&lt;&gt;"Va"),IF(AND(G413&lt;&gt;"",LEFT(C413,2)&lt;&gt;"Va",G413&lt;&gt;"H. Sale Real"),IF(G414-G413&lt;0.208333333333333,G414-G413,""),IF(AND(G412&lt;&gt;"",LEFT(C412,2)&lt;&gt;"Va",G412&lt;&gt;"H. Sale Real"),IF(G414-G412&lt;0.208333333333333,G414-G412,""),IF(AND(G411&lt;&gt;"",LEFT(C411,2)&lt;&gt;"Va",G411&lt;&gt;"H. Sale Real"),IF(G414-G411&lt;0.208333333333333,G414-G411,""),IF(AND(G410&lt;&gt;"",LEFT(C410,2)&lt;&gt;"Va",G410&lt;&gt;"H. Sale Real"),IF(G414-G410&lt;0.208333333333333,G414-G410,""),IF(AND(G409&lt;&gt;"",LEFT(C409,2)&lt;&gt;"Va",G409&lt;&gt;"H. Sale Real"),IF(G414-G409&lt;0.208333333333333,G414-G409,""),""))))),""),"")</f>
        <v/>
      </c>
      <c r="U413" s="87" t="n"/>
      <c r="V413" s="89" t="n"/>
      <c r="W413" s="87" t="n"/>
      <c r="X413" s="89" t="n"/>
      <c r="Y413" s="91" t="n"/>
      <c r="Z413" s="122">
        <f>IF(G413&lt;&gt;"",IF(AND(Z412&lt;&gt;"IE",P413&lt;&gt;0,R413&lt;&gt;""),IF(IFERROR((P413/R413),0) &lt;=1,IFERROR(P413/R413,""),1),""),"")</f>
        <v/>
      </c>
      <c r="AA413" s="93" t="n"/>
      <c r="AB413" s="2" t="n"/>
      <c r="AE413" s="10">
        <f>HOUR(AK413)+1</f>
        <v/>
      </c>
      <c r="AF413" s="7" t="n"/>
      <c r="AG413" s="7" t="n"/>
      <c r="AH413" s="86" t="n"/>
      <c r="AI413" s="8" t="n"/>
      <c r="AJ413" s="86" t="n"/>
      <c r="AK413" s="87" t="n"/>
      <c r="AL413" s="88">
        <f>IF(AM413="","",IF(AND((AM413-AK413)&gt;=TIME(0,0,0),(AM413-AK413)&lt;TIME(0,3,0)),"OK",IF(AND((AM413-AK413)&gt;=TIME(0,3,0),(AM413-AK413)&lt;TIME(0,5,0)),"RETRASO DE 3-5 MIN",IF(AND((AM413-AK413)&gt;=TIME(0,5,0),(AM413-AK413)&lt;TIME(0,10,0)),"RETRASO DE 5-10 MIN",IF((AM413-AK413)&gt;=TIME(0,10,0),"RETRASO &gt;10 MIN", IF(AND((AK413-AM413)&gt;=TIME(0,0,0),(AK413-AM413)&lt;TIME(0,3,0)),"OK",IF((AK413-AM413)&gt;=TIME(0,3,0),"ADELANTADO")))))))</f>
        <v/>
      </c>
      <c r="AM413" s="91" t="n"/>
      <c r="AN413" s="89">
        <f>IF(AE413&lt;&gt;"",HLOOKUP(VALUE(TEXT(AK413,"h:mm:ss")),IF($C$6="Laboral",$FZ$4:$GX$227,IF($C$6="Sábado",$FZ$231:$GX$452,$FZ$456:$GX$656)),VLOOKUP($C$4,$HF$2:$HH$99,3,0)+IF(AG$5="Ida",0,1),1),"")</f>
        <v/>
      </c>
      <c r="AO413" s="89">
        <f>IF(AE414&lt;&gt;AE413,AVERAGEIF(AE$9:AE413,AE413,AN$9:AN413),"")</f>
        <v/>
      </c>
      <c r="AP413" s="89">
        <f>IFERROR(IF(AE414&lt;&gt;AE413,AVERAGEIF(AE$9:AE413,AE413,AW$9:AW413),""),"")</f>
        <v/>
      </c>
      <c r="AQ413" s="89">
        <f>IFERROR(IF(AE414&lt;&gt;AE413,AVERAGEIF(AE$9:AE413,AE413,AX$9:AX413),""),"")</f>
        <v/>
      </c>
      <c r="AR413" s="89">
        <f t="array" ref="AR413">IFERROR(IF(AE414&lt;&gt;AE413,_xlfn.STDEV.P(IF(AE$9:AE413=AE413,AX$9:AX413)),""),"")</f>
        <v/>
      </c>
      <c r="AS413" s="89">
        <f t="array" ref="AS413">IFERROR(IF(AE414&lt;&gt;AE413,_xlfn.STDEV.P(IF(AE$9:AE413=AE413,AW$9:AW413)),""),"")</f>
        <v/>
      </c>
      <c r="AT413" s="90">
        <f>IFERROR(IF(AE413&lt;&gt;AE414,MAX((((AQ413*24*60)/2)*(1+POWER((((AR413*24*60) / (AQ413*24*60) )),2))) + ((AQ413*24*60 )*-0.1 + (AO413*0.015)) +1,(((AQ413*24*60)/2)*(1+POWER((((AR413*24*60) / (AQ413*24*60 ))),2)))),""),"")</f>
        <v/>
      </c>
      <c r="AU413" s="90">
        <f>IF(AND(AS413&lt;&gt;"",AP413&lt;&gt;""),IF(AE413&lt;&gt;AE414,((AP413*24*60) / 2 ) * (1 + POWER(((AS413*24*60) / (AP413*24*60)),2)),""),"")</f>
        <v/>
      </c>
      <c r="AV413" s="90">
        <f>IF(AU413&lt;&gt;"",MAX(AT413,AU413),"")</f>
        <v/>
      </c>
      <c r="AW413" s="89">
        <f>IF(AM413&lt;&gt;"H. Sale Real",IF(AND(AM414&lt;&gt;"",LEFT(AG414,2)&lt;&gt;"Va"),IF(AND(AM413&lt;&gt;"",LEFT(AG413,2)&lt;&gt;"Va",AM413&lt;&gt;"H. Sale Real"),IF(AM414-AM413&lt;0.208333333333333,AM414-AM413,""),IF(AND(AM412&lt;&gt;"",LEFT(AG412,2)&lt;&gt;"Va",AM412&lt;&gt;"H. Sale Real"),IF(AM414-AM412&lt;0.208333333333333,AM414-AM412,""),IF(AND(AM411&lt;&gt;"",LEFT(AG411,2)&lt;&gt;"Va",AM411&lt;&gt;"H. Sale Real"),IF(AM414-AM411&lt;0.208333333333333,AM414-AM411,""),IF(AND(AM410&lt;&gt;"",LEFT(AG410,2)&lt;&gt;"Va",AM410&lt;&gt;"H. Sale Real"),IF(AM414-AM410&lt;0.208333333333333,AM414-AM410,""),IF(AND(AM409&lt;&gt;"",LEFT(AG409,2)&lt;&gt;"Va",AM409&lt;&gt;"H. Sale Real"),IF(AM414-AM409&lt;0.208333333333333,AM414-AM409,""),""))))),""),"")</f>
        <v/>
      </c>
      <c r="AX413" s="89">
        <f>IF(AK413&lt;&gt;"H. Sale Real",IF(AND(AK414&lt;&gt;"",LEFT(AG414,2)&lt;&gt;"Va"),IF(AND(AK413&lt;&gt;"",LEFT(AG413,2)&lt;&gt;"Va",AK413&lt;&gt;"H. Sale Real"),IF(AK414-AK413&lt;0.208333333333333,AK414-AK413,""),IF(AND(AK412&lt;&gt;"",LEFT(AG412,2)&lt;&gt;"Va",AK412&lt;&gt;"H. Sale Real"),IF(AK414-AK412&lt;0.208333333333333,AK414-AK412,""),IF(AND(AK411&lt;&gt;"",LEFT(AG411,2)&lt;&gt;"NC",AK411&lt;&gt;"H. Sale Real"),IF(AK414-AK411&lt;0.208333333333333,AK414-AK411,""),IF(AND(AK410&lt;&gt;"",LEFT(AG410,2)&lt;&gt;"Va",AK410&lt;&gt;"H. Sale Real"),IF(AK414-AK410&lt;0.208333333333333,AK414-AK410,""),IF(AND(AK409&lt;&gt;"",LEFT(AG409,2)&lt;&gt;"Va",AK409&lt;&gt;"H. Sale Real"),IF(AK414-AK409&lt;0.208333333333333,AK414-AK409,""),""))))),""),"")</f>
        <v/>
      </c>
      <c r="AY413" s="87" t="n"/>
      <c r="AZ413" s="89" t="n"/>
      <c r="BA413" s="87" t="n"/>
      <c r="BB413" s="89" t="n"/>
      <c r="BC413" s="91" t="n"/>
      <c r="BD413" s="122">
        <f>IF(AK413&lt;&gt;"",IF(AND(BD412&lt;&gt;"IE",AT413&lt;&gt;0,AV413&lt;&gt;""),IF(IFERROR((AT413/AV413),0) &lt;=1,IFERROR(AT413/AV413,""),1),""),"")</f>
        <v/>
      </c>
      <c r="BE413" s="93" t="n"/>
      <c r="BF413" s="105" t="n"/>
      <c r="FC413" t="inlineStr">
        <is>
          <t>Diccionario 1</t>
        </is>
      </c>
      <c r="FD413" s="15" t="n">
        <v>1412</v>
      </c>
      <c r="FE413" s="15" t="inlineStr">
        <is>
          <t>MDN35025010088</t>
        </is>
      </c>
      <c r="FF413" s="15" t="inlineStr">
        <is>
          <t>LDYECS319S0043838</t>
        </is>
      </c>
      <c r="FG413" s="15" t="inlineStr">
        <is>
          <t>Zhong Tong</t>
        </is>
      </c>
      <c r="FH413" s="15" t="inlineStr">
        <is>
          <t>Lck6122evg</t>
        </is>
      </c>
      <c r="FI413" s="15" t="inlineStr">
        <is>
          <t>ZHONGTONG</t>
        </is>
      </c>
      <c r="FJ413" s="15" t="inlineStr">
        <is>
          <t>LCK6122EVG</t>
        </is>
      </c>
      <c r="FK413" s="15" t="n">
        <v>2025</v>
      </c>
      <c r="FL413" s="15" t="inlineStr">
        <is>
          <t>B</t>
        </is>
      </c>
      <c r="FM413" s="15" t="inlineStr">
        <is>
          <t>LOS LIBERTADORES</t>
        </is>
      </c>
      <c r="FN413" s="15" t="inlineStr">
        <is>
          <t>Los Liberadores 6450, Lote 4A</t>
        </is>
      </c>
      <c r="FO413" s="15" t="inlineStr">
        <is>
          <t>Huechuraba</t>
        </is>
      </c>
      <c r="FP413" t="inlineStr">
        <is>
          <t>B</t>
        </is>
      </c>
      <c r="FS413" s="14" t="inlineStr">
        <is>
          <t>3105 / SFWZ-54|</t>
        </is>
      </c>
      <c r="FT413" t="inlineStr">
        <is>
          <t>SFWZ-54|</t>
        </is>
      </c>
      <c r="FU413" t="inlineStr">
        <is>
          <t>SFWZ-54</t>
        </is>
      </c>
      <c r="FV413">
        <f>VLOOKUP(FU413,FD:FL,9,0)</f>
        <v/>
      </c>
      <c r="HA413" s="35" t="n">
        <v>183</v>
      </c>
      <c r="HB413" s="35" t="n">
        <v>407</v>
      </c>
    </row>
    <row r="414" ht="15.5" customHeight="1">
      <c r="A414" s="10">
        <f>HOUR(G414)+1</f>
        <v/>
      </c>
      <c r="B414" s="7" t="n"/>
      <c r="C414" s="7" t="n"/>
      <c r="D414" s="85">
        <f>IFERROR(
IF(AND(OR(Planilla!B414="C",Planilla!B414="c"), VLOOKUP(E414,FD:FP,13,0)="C"), "OK",IF(AND(OR(Planilla!B414="C",Planilla!B414="c"), OR(VLOOKUP(E414,FD:FP,13,0)="B", VLOOKUP(E414,FD:FP,13,0)="A")), "DEFICIT",IF(
AND(OR(Planilla!B414="B", Planilla!B414="BPAL"), VLOOKUP(E414,FD:FP,13,0)="B"), "OK",IF(AND(OR(Planilla!B414="B", Planilla!B414="BPAL"), VLOOKUP(E414,FD:FP,13,0)="A"), "DEFICIT",IF(AND(OR(Planilla!B414="B", Planilla!B414="BPAL"), VLOOKUP(E414,FD:FP,13,0)="C"), "SOBREOFERTA",IF(AND(Planilla!B414="A", VLOOKUP(E414,FD:FP,13,0)="A"), "OK",IF(
AND(Planilla!B414="A", OR(VLOOKUP(E414,FD:FP,13,0)="B", VLOOKUP(E414,FD:FP,13,0)="C")), "SOBREOFERTA",""
))))))),"")</f>
        <v/>
      </c>
      <c r="E414" s="8" t="n"/>
      <c r="F414" s="86" t="n"/>
      <c r="G414" s="87" t="n"/>
      <c r="H414" s="88">
        <f>IF(I414="","",IF(AND((I414-G414)&gt;=TIME(0,0,0),(I414-G414)&lt;TIME(0,3,0)),"OK",IF(AND((I414-G414)&gt;=TIME(0,3,0),(I414-G414)&lt;TIME(0,5,0)),"RETRASO DE 3-5 MIN",IF(AND((I414-G414)&gt;=TIME(0,5,0),(I414-G414)&lt;TIME(0,10,0)),"RETRASO DE 5-10 MIN",IF((I414-G414)&gt;=TIME(0,10,0),"RETRASO &gt;10 MIN", IF(AND((G414-I414)&gt;=TIME(0,0,0),(G414-I414)&lt;TIME(0,3,0)),"OK",IF((G414-I414)&gt;=TIME(0,3,0),"ADELANTADO")))))))</f>
        <v/>
      </c>
      <c r="I414" s="89" t="n"/>
      <c r="J414" s="89">
        <f>IF(A414&lt;&gt;"",HLOOKUP(VALUE(TEXT(G414,"h:mm:ss")),IF($C$6="Laboral",$FZ$4:$GX$227,IF($C$6="Sábado",$FZ$231:$GX$452,$FZ$456:$GX$656)),VLOOKUP($C$4,$HF$2:$HH$99,3,0)+IF(C$5="Ida",0,1),1),"")</f>
        <v/>
      </c>
      <c r="K414" s="89">
        <f>IF(A415&lt;&gt;A414,AVERAGEIF(A$9:A414,A414,J$9:J414),"")</f>
        <v/>
      </c>
      <c r="L414" s="89">
        <f>IFERROR(IF(A415&lt;&gt;A414,AVERAGEIF(A$9:A414,A414,S$9:S414),""),"")</f>
        <v/>
      </c>
      <c r="M414" s="89">
        <f>IFERROR(IF(A415&lt;&gt;A414,AVERAGEIF(A$9:A414,A414,T$9:T414),""),"")</f>
        <v/>
      </c>
      <c r="N414" s="89">
        <f t="array" ref="N414">IFERROR(IF(A415&lt;&gt;A414,_xlfn.STDEV.P(IF(A$9:A414=A414,T$9:T414)),""),"")</f>
        <v/>
      </c>
      <c r="O414" s="89">
        <f t="array" ref="O414">IFERROR(IF(A415&lt;&gt;A414,_xlfn.STDEV.P(IF(A$9:A414=A414,S$9:S414)),""),"")</f>
        <v/>
      </c>
      <c r="P414" s="90">
        <f>IFERROR(IF(A414&lt;&gt;A415,MAX((((M414*24*60)/2)*(1+POWER((((N414*24*60) / (M414*24*60) )),2))) + ((M414*24*60 )*-0.1 + (K414*0.015)) +1,(((M414*24*60)/2)*(1+POWER((((N414*24*60) / (M414*24*60 ))),2)))),""),"")</f>
        <v/>
      </c>
      <c r="Q414" s="90">
        <f>IF(AND(O414&lt;&gt;"",L414&lt;&gt;""),IF(A414&lt;&gt;A415,((L414*24*60) / 2 ) * (1 + POWER(((O414*24*60) / (L414*24*60)),2)),""),"")</f>
        <v/>
      </c>
      <c r="R414" s="90">
        <f>IF(Q414&lt;&gt;"",MAX(P414,Q414),"")</f>
        <v/>
      </c>
      <c r="S414" s="89">
        <f>IF(I414&lt;&gt;"H. Sale Real",IF(AND(I415&lt;&gt;"",LEFT(C415,2)&lt;&gt;"Va"),IF(AND(I414&lt;&gt;"",LEFT(C414,2)&lt;&gt;"Va",I414&lt;&gt;"H. Sale Real"),IF(I415-I414&lt;0.208333333333333,I415-I414,""),IF(AND(I413&lt;&gt;"",LEFT(C413,2)&lt;&gt;"Va",I413&lt;&gt;"H. Sale Real"),IF(I415-I413&lt;0.208333333333333,I415-I413,""),IF(AND(I412&lt;&gt;"",LEFT(C412,2)&lt;&gt;"Va",I412&lt;&gt;"H. Sale Real"),IF(I415-I412&lt;0.208333333333333,I415-I412,""),IF(AND(I411&lt;&gt;"",LEFT(C411,2)&lt;&gt;"Va",I411&lt;&gt;"H. Sale Real"),IF(I415-I411&lt;0.208333333333333,I415-I411,""),IF(AND(I410&lt;&gt;"",LEFT(C410,2)&lt;&gt;"Va",I410&lt;&gt;"H. Sale Real"),IF(I415-I410&lt;0.208333333333333,I415-I410,""),""))))),""),"")</f>
        <v/>
      </c>
      <c r="T414" s="89">
        <f>IF(G414&lt;&gt;"H. Sale Real",IF(AND(G415&lt;&gt;"",LEFT(C415,2)&lt;&gt;"Va"),IF(AND(G414&lt;&gt;"",LEFT(C414,2)&lt;&gt;"Va",G414&lt;&gt;"H. Sale Real"),IF(G415-G414&lt;0.208333333333333,G415-G414,""),IF(AND(G413&lt;&gt;"",LEFT(C413,2)&lt;&gt;"Va",G413&lt;&gt;"H. Sale Real"),IF(G415-G413&lt;0.208333333333333,G415-G413,""),IF(AND(G412&lt;&gt;"",LEFT(C412,2)&lt;&gt;"Va",G412&lt;&gt;"H. Sale Real"),IF(G415-G412&lt;0.208333333333333,G415-G412,""),IF(AND(G411&lt;&gt;"",LEFT(C411,2)&lt;&gt;"Va",G411&lt;&gt;"H. Sale Real"),IF(G415-G411&lt;0.208333333333333,G415-G411,""),IF(AND(G410&lt;&gt;"",LEFT(C410,2)&lt;&gt;"Va",G410&lt;&gt;"H. Sale Real"),IF(G415-G410&lt;0.208333333333333,G415-G410,""),""))))),""),"")</f>
        <v/>
      </c>
      <c r="U414" s="87" t="n"/>
      <c r="V414" s="89" t="n"/>
      <c r="W414" s="87" t="n"/>
      <c r="X414" s="89" t="n"/>
      <c r="Y414" s="91" t="n"/>
      <c r="Z414" s="122">
        <f>IF(G414&lt;&gt;"",IF(AND(Z413&lt;&gt;"IE",P414&lt;&gt;0,R414&lt;&gt;""),IF(IFERROR((P414/R414),0) &lt;=1,IFERROR(P414/R414,""),1),""),"")</f>
        <v/>
      </c>
      <c r="AA414" s="93" t="n"/>
      <c r="AB414" s="2" t="n"/>
      <c r="AE414" s="10">
        <f>HOUR(AK414)+1</f>
        <v/>
      </c>
      <c r="AF414" s="7" t="n"/>
      <c r="AG414" s="7" t="n"/>
      <c r="AH414" s="86" t="n"/>
      <c r="AI414" s="8" t="n"/>
      <c r="AJ414" s="86" t="n"/>
      <c r="AK414" s="87" t="n"/>
      <c r="AL414" s="88">
        <f>IF(AM414="","",IF(AND((AM414-AK414)&gt;=TIME(0,0,0),(AM414-AK414)&lt;TIME(0,3,0)),"OK",IF(AND((AM414-AK414)&gt;=TIME(0,3,0),(AM414-AK414)&lt;TIME(0,5,0)),"RETRASO DE 3-5 MIN",IF(AND((AM414-AK414)&gt;=TIME(0,5,0),(AM414-AK414)&lt;TIME(0,10,0)),"RETRASO DE 5-10 MIN",IF((AM414-AK414)&gt;=TIME(0,10,0),"RETRASO &gt;10 MIN", IF(AND((AK414-AM414)&gt;=TIME(0,0,0),(AK414-AM414)&lt;TIME(0,3,0)),"OK",IF((AK414-AM414)&gt;=TIME(0,3,0),"ADELANTADO")))))))</f>
        <v/>
      </c>
      <c r="AM414" s="91" t="n"/>
      <c r="AN414" s="89">
        <f>IF(AE414&lt;&gt;"",HLOOKUP(VALUE(TEXT(AK414,"h:mm:ss")),IF($C$6="Laboral",$FZ$4:$GX$227,IF($C$6="Sábado",$FZ$231:$GX$452,$FZ$456:$GX$656)),VLOOKUP($C$4,$HF$2:$HH$99,3,0)+IF(AG$5="Ida",0,1),1),"")</f>
        <v/>
      </c>
      <c r="AO414" s="89">
        <f>IF(AE415&lt;&gt;AE414,AVERAGEIF(AE$9:AE414,AE414,AN$9:AN414),"")</f>
        <v/>
      </c>
      <c r="AP414" s="89">
        <f>IFERROR(IF(AE415&lt;&gt;AE414,AVERAGEIF(AE$9:AE414,AE414,AW$9:AW414),""),"")</f>
        <v/>
      </c>
      <c r="AQ414" s="89">
        <f>IFERROR(IF(AE415&lt;&gt;AE414,AVERAGEIF(AE$9:AE414,AE414,AX$9:AX414),""),"")</f>
        <v/>
      </c>
      <c r="AR414" s="89">
        <f t="array" ref="AR414">IFERROR(IF(AE415&lt;&gt;AE414,_xlfn.STDEV.P(IF(AE$9:AE414=AE414,AX$9:AX414)),""),"")</f>
        <v/>
      </c>
      <c r="AS414" s="89">
        <f t="array" ref="AS414">IFERROR(IF(AE415&lt;&gt;AE414,_xlfn.STDEV.P(IF(AE$9:AE414=AE414,AW$9:AW414)),""),"")</f>
        <v/>
      </c>
      <c r="AT414" s="90">
        <f>IFERROR(IF(AE414&lt;&gt;AE415,MAX((((AQ414*24*60)/2)*(1+POWER((((AR414*24*60) / (AQ414*24*60) )),2))) + ((AQ414*24*60 )*-0.1 + (AO414*0.015)) +1,(((AQ414*24*60)/2)*(1+POWER((((AR414*24*60) / (AQ414*24*60 ))),2)))),""),"")</f>
        <v/>
      </c>
      <c r="AU414" s="90">
        <f>IF(AND(AS414&lt;&gt;"",AP414&lt;&gt;""),IF(AE414&lt;&gt;AE415,((AP414*24*60) / 2 ) * (1 + POWER(((AS414*24*60) / (AP414*24*60)),2)),""),"")</f>
        <v/>
      </c>
      <c r="AV414" s="90">
        <f>IF(AU414&lt;&gt;"",MAX(AT414,AU414),"")</f>
        <v/>
      </c>
      <c r="AW414" s="89">
        <f>IF(AM414&lt;&gt;"H. Sale Real",IF(AND(AM415&lt;&gt;"",LEFT(AG415,2)&lt;&gt;"Va"),IF(AND(AM414&lt;&gt;"",LEFT(AG414,2)&lt;&gt;"Va",AM414&lt;&gt;"H. Sale Real"),IF(AM415-AM414&lt;0.208333333333333,AM415-AM414,""),IF(AND(AM413&lt;&gt;"",LEFT(AG413,2)&lt;&gt;"Va",AM413&lt;&gt;"H. Sale Real"),IF(AM415-AM413&lt;0.208333333333333,AM415-AM413,""),IF(AND(AM412&lt;&gt;"",LEFT(AG412,2)&lt;&gt;"Va",AM412&lt;&gt;"H. Sale Real"),IF(AM415-AM412&lt;0.208333333333333,AM415-AM412,""),IF(AND(AM411&lt;&gt;"",LEFT(AG411,2)&lt;&gt;"Va",AM411&lt;&gt;"H. Sale Real"),IF(AM415-AM411&lt;0.208333333333333,AM415-AM411,""),IF(AND(AM410&lt;&gt;"",LEFT(AG410,2)&lt;&gt;"Va",AM410&lt;&gt;"H. Sale Real"),IF(AM415-AM410&lt;0.208333333333333,AM415-AM410,""),""))))),""),"")</f>
        <v/>
      </c>
      <c r="AX414" s="89">
        <f>IF(AK414&lt;&gt;"H. Sale Real",IF(AND(AK415&lt;&gt;"",LEFT(AG415,2)&lt;&gt;"Va"),IF(AND(AK414&lt;&gt;"",LEFT(AG414,2)&lt;&gt;"Va",AK414&lt;&gt;"H. Sale Real"),IF(AK415-AK414&lt;0.208333333333333,AK415-AK414,""),IF(AND(AK413&lt;&gt;"",LEFT(AG413,2)&lt;&gt;"Va",AK413&lt;&gt;"H. Sale Real"),IF(AK415-AK413&lt;0.208333333333333,AK415-AK413,""),IF(AND(AK412&lt;&gt;"",LEFT(AG412,2)&lt;&gt;"NC",AK412&lt;&gt;"H. Sale Real"),IF(AK415-AK412&lt;0.208333333333333,AK415-AK412,""),IF(AND(AK411&lt;&gt;"",LEFT(AG411,2)&lt;&gt;"Va",AK411&lt;&gt;"H. Sale Real"),IF(AK415-AK411&lt;0.208333333333333,AK415-AK411,""),IF(AND(AK410&lt;&gt;"",LEFT(AG410,2)&lt;&gt;"Va",AK410&lt;&gt;"H. Sale Real"),IF(AK415-AK410&lt;0.208333333333333,AK415-AK410,""),""))))),""),"")</f>
        <v/>
      </c>
      <c r="AY414" s="87" t="n"/>
      <c r="AZ414" s="89" t="n"/>
      <c r="BA414" s="87" t="n"/>
      <c r="BB414" s="89" t="n"/>
      <c r="BC414" s="91" t="n"/>
      <c r="BD414" s="122">
        <f>IF(AK414&lt;&gt;"",IF(AND(BD413&lt;&gt;"IE",AT414&lt;&gt;0,AV414&lt;&gt;""),IF(IFERROR((AT414/AV414),0) &lt;=1,IFERROR(AT414/AV414,""),1),""),"")</f>
        <v/>
      </c>
      <c r="BE414" s="93" t="n"/>
      <c r="BF414" s="105" t="n"/>
      <c r="FC414" t="inlineStr">
        <is>
          <t>Diccionario 1</t>
        </is>
      </c>
      <c r="FD414" s="15" t="n">
        <v>1413</v>
      </c>
      <c r="FE414" s="15" t="inlineStr">
        <is>
          <t>MDN35025010137</t>
        </is>
      </c>
      <c r="FF414" s="15" t="inlineStr">
        <is>
          <t>LDYECS311S0043851</t>
        </is>
      </c>
      <c r="FG414" s="15" t="inlineStr">
        <is>
          <t>Zhong Tong</t>
        </is>
      </c>
      <c r="FH414" s="15" t="inlineStr">
        <is>
          <t>Lck6122evg</t>
        </is>
      </c>
      <c r="FI414" s="15" t="inlineStr">
        <is>
          <t>ZHONGTONG</t>
        </is>
      </c>
      <c r="FJ414" s="15" t="inlineStr">
        <is>
          <t>LCK6122EVG</t>
        </is>
      </c>
      <c r="FK414" s="15" t="n">
        <v>2025</v>
      </c>
      <c r="FL414" s="15" t="inlineStr">
        <is>
          <t>B</t>
        </is>
      </c>
      <c r="FM414" s="15" t="inlineStr">
        <is>
          <t>LOS LIBERTADORES</t>
        </is>
      </c>
      <c r="FN414" s="15" t="inlineStr">
        <is>
          <t>Los Liberadores 6450, Lote 4A</t>
        </is>
      </c>
      <c r="FO414" s="15" t="inlineStr">
        <is>
          <t>Huechuraba</t>
        </is>
      </c>
      <c r="FP414" t="inlineStr">
        <is>
          <t>B</t>
        </is>
      </c>
      <c r="FS414" s="14" t="inlineStr">
        <is>
          <t>3105 / SFWZ-54|</t>
        </is>
      </c>
      <c r="FT414" t="inlineStr">
        <is>
          <t>SFWZ-54|</t>
        </is>
      </c>
      <c r="FU414" t="inlineStr">
        <is>
          <t>SFWZ-54</t>
        </is>
      </c>
      <c r="FV414">
        <f>VLOOKUP(FU414,FD:FL,9,0)</f>
        <v/>
      </c>
      <c r="HA414" s="35" t="n">
        <v>184</v>
      </c>
      <c r="HB414" s="35" t="n">
        <v>408</v>
      </c>
    </row>
    <row r="415" ht="15.5" customHeight="1">
      <c r="A415" s="10">
        <f>HOUR(G415)+1</f>
        <v/>
      </c>
      <c r="B415" s="7" t="n"/>
      <c r="C415" s="7" t="n"/>
      <c r="D415" s="85">
        <f>IFERROR(
IF(AND(OR(Planilla!B415="C",Planilla!B415="c"), VLOOKUP(E415,FD:FP,13,0)="C"), "OK",IF(AND(OR(Planilla!B415="C",Planilla!B415="c"), OR(VLOOKUP(E415,FD:FP,13,0)="B", VLOOKUP(E415,FD:FP,13,0)="A")), "DEFICIT",IF(
AND(OR(Planilla!B415="B", Planilla!B415="BPAL"), VLOOKUP(E415,FD:FP,13,0)="B"), "OK",IF(AND(OR(Planilla!B415="B", Planilla!B415="BPAL"), VLOOKUP(E415,FD:FP,13,0)="A"), "DEFICIT",IF(AND(OR(Planilla!B415="B", Planilla!B415="BPAL"), VLOOKUP(E415,FD:FP,13,0)="C"), "SOBREOFERTA",IF(AND(Planilla!B415="A", VLOOKUP(E415,FD:FP,13,0)="A"), "OK",IF(
AND(Planilla!B415="A", OR(VLOOKUP(E415,FD:FP,13,0)="B", VLOOKUP(E415,FD:FP,13,0)="C")), "SOBREOFERTA",""
))))))),"")</f>
        <v/>
      </c>
      <c r="E415" s="8" t="n"/>
      <c r="F415" s="86" t="n"/>
      <c r="G415" s="87" t="n"/>
      <c r="H415" s="88">
        <f>IF(I415="","",IF(AND((I415-G415)&gt;=TIME(0,0,0),(I415-G415)&lt;TIME(0,3,0)),"OK",IF(AND((I415-G415)&gt;=TIME(0,3,0),(I415-G415)&lt;TIME(0,5,0)),"RETRASO DE 3-5 MIN",IF(AND((I415-G415)&gt;=TIME(0,5,0),(I415-G415)&lt;TIME(0,10,0)),"RETRASO DE 5-10 MIN",IF((I415-G415)&gt;=TIME(0,10,0),"RETRASO &gt;10 MIN", IF(AND((G415-I415)&gt;=TIME(0,0,0),(G415-I415)&lt;TIME(0,3,0)),"OK",IF((G415-I415)&gt;=TIME(0,3,0),"ADELANTADO")))))))</f>
        <v/>
      </c>
      <c r="I415" s="89" t="n"/>
      <c r="J415" s="89">
        <f>IF(A415&lt;&gt;"",HLOOKUP(VALUE(TEXT(G415,"h:mm:ss")),IF($C$6="Laboral",$FZ$4:$GX$227,IF($C$6="Sábado",$FZ$231:$GX$452,$FZ$456:$GX$656)),VLOOKUP($C$4,$HF$2:$HH$99,3,0)+IF(C$5="Ida",0,1),1),"")</f>
        <v/>
      </c>
      <c r="K415" s="89">
        <f>IF(A416&lt;&gt;A415,AVERAGEIF(A$9:A415,A415,J$9:J415),"")</f>
        <v/>
      </c>
      <c r="L415" s="89">
        <f>IFERROR(IF(A416&lt;&gt;A415,AVERAGEIF(A$9:A415,A415,S$9:S415),""),"")</f>
        <v/>
      </c>
      <c r="M415" s="89">
        <f>IFERROR(IF(A416&lt;&gt;A415,AVERAGEIF(A$9:A415,A415,T$9:T415),""),"")</f>
        <v/>
      </c>
      <c r="N415" s="89">
        <f t="array" ref="N415">IFERROR(IF(A416&lt;&gt;A415,_xlfn.STDEV.P(IF(A$9:A415=A415,T$9:T415)),""),"")</f>
        <v/>
      </c>
      <c r="O415" s="89">
        <f t="array" ref="O415">IFERROR(IF(A416&lt;&gt;A415,_xlfn.STDEV.P(IF(A$9:A415=A415,S$9:S415)),""),"")</f>
        <v/>
      </c>
      <c r="P415" s="90">
        <f>IFERROR(IF(A415&lt;&gt;A416,MAX((((M415*24*60)/2)*(1+POWER((((N415*24*60) / (M415*24*60) )),2))) + ((M415*24*60 )*-0.1 + (K415*0.015)) +1,(((M415*24*60)/2)*(1+POWER((((N415*24*60) / (M415*24*60 ))),2)))),""),"")</f>
        <v/>
      </c>
      <c r="Q415" s="90">
        <f>IF(AND(O415&lt;&gt;"",L415&lt;&gt;""),IF(A415&lt;&gt;A416,((L415*24*60) / 2 ) * (1 + POWER(((O415*24*60) / (L415*24*60)),2)),""),"")</f>
        <v/>
      </c>
      <c r="R415" s="90">
        <f>IF(Q415&lt;&gt;"",MAX(P415,Q415),"")</f>
        <v/>
      </c>
      <c r="S415" s="89">
        <f>IF(I415&lt;&gt;"H. Sale Real",IF(AND(I416&lt;&gt;"",LEFT(C416,2)&lt;&gt;"Va"),IF(AND(I415&lt;&gt;"",LEFT(C415,2)&lt;&gt;"Va",I415&lt;&gt;"H. Sale Real"),IF(I416-I415&lt;0.208333333333333,I416-I415,""),IF(AND(I414&lt;&gt;"",LEFT(C414,2)&lt;&gt;"Va",I414&lt;&gt;"H. Sale Real"),IF(I416-I414&lt;0.208333333333333,I416-I414,""),IF(AND(I413&lt;&gt;"",LEFT(C413,2)&lt;&gt;"Va",I413&lt;&gt;"H. Sale Real"),IF(I416-I413&lt;0.208333333333333,I416-I413,""),IF(AND(I412&lt;&gt;"",LEFT(C412,2)&lt;&gt;"Va",I412&lt;&gt;"H. Sale Real"),IF(I416-I412&lt;0.208333333333333,I416-I412,""),IF(AND(I411&lt;&gt;"",LEFT(C411,2)&lt;&gt;"Va",I411&lt;&gt;"H. Sale Real"),IF(I416-I411&lt;0.208333333333333,I416-I411,""),""))))),""),"")</f>
        <v/>
      </c>
      <c r="T415" s="89">
        <f>IF(G415&lt;&gt;"H. Sale Real",IF(AND(G416&lt;&gt;"",LEFT(C416,2)&lt;&gt;"Va"),IF(AND(G415&lt;&gt;"",LEFT(C415,2)&lt;&gt;"Va",G415&lt;&gt;"H. Sale Real"),IF(G416-G415&lt;0.208333333333333,G416-G415,""),IF(AND(G414&lt;&gt;"",LEFT(C414,2)&lt;&gt;"Va",G414&lt;&gt;"H. Sale Real"),IF(G416-G414&lt;0.208333333333333,G416-G414,""),IF(AND(G413&lt;&gt;"",LEFT(C413,2)&lt;&gt;"Va",G413&lt;&gt;"H. Sale Real"),IF(G416-G413&lt;0.208333333333333,G416-G413,""),IF(AND(G412&lt;&gt;"",LEFT(C412,2)&lt;&gt;"Va",G412&lt;&gt;"H. Sale Real"),IF(G416-G412&lt;0.208333333333333,G416-G412,""),IF(AND(G411&lt;&gt;"",LEFT(C411,2)&lt;&gt;"Va",G411&lt;&gt;"H. Sale Real"),IF(G416-G411&lt;0.208333333333333,G416-G411,""),""))))),""),"")</f>
        <v/>
      </c>
      <c r="U415" s="87" t="n"/>
      <c r="V415" s="89" t="n"/>
      <c r="W415" s="87" t="n"/>
      <c r="X415" s="89" t="n"/>
      <c r="Y415" s="91" t="n"/>
      <c r="Z415" s="122">
        <f>IF(G415&lt;&gt;"",IF(AND(Z414&lt;&gt;"IE",P415&lt;&gt;0,R415&lt;&gt;""),IF(IFERROR((P415/R415),0) &lt;=1,IFERROR(P415/R415,""),1),""),"")</f>
        <v/>
      </c>
      <c r="AA415" s="93" t="n"/>
      <c r="AB415" s="2" t="n"/>
      <c r="AE415" s="10">
        <f>HOUR(AK415)+1</f>
        <v/>
      </c>
      <c r="AF415" s="7" t="n"/>
      <c r="AG415" s="7" t="n"/>
      <c r="AH415" s="86" t="n"/>
      <c r="AI415" s="8" t="n"/>
      <c r="AJ415" s="86" t="n"/>
      <c r="AK415" s="87" t="n"/>
      <c r="AL415" s="88">
        <f>IF(AM415="","",IF(AND((AM415-AK415)&gt;=TIME(0,0,0),(AM415-AK415)&lt;TIME(0,3,0)),"OK",IF(AND((AM415-AK415)&gt;=TIME(0,3,0),(AM415-AK415)&lt;TIME(0,5,0)),"RETRASO DE 3-5 MIN",IF(AND((AM415-AK415)&gt;=TIME(0,5,0),(AM415-AK415)&lt;TIME(0,10,0)),"RETRASO DE 5-10 MIN",IF((AM415-AK415)&gt;=TIME(0,10,0),"RETRASO &gt;10 MIN", IF(AND((AK415-AM415)&gt;=TIME(0,0,0),(AK415-AM415)&lt;TIME(0,3,0)),"OK",IF((AK415-AM415)&gt;=TIME(0,3,0),"ADELANTADO")))))))</f>
        <v/>
      </c>
      <c r="AM415" s="91" t="n"/>
      <c r="AN415" s="89">
        <f>IF(AE415&lt;&gt;"",HLOOKUP(VALUE(TEXT(AK415,"h:mm:ss")),IF($C$6="Laboral",$FZ$4:$GX$227,IF($C$6="Sábado",$FZ$231:$GX$452,$FZ$456:$GX$656)),VLOOKUP($C$4,$HF$2:$HH$99,3,0)+IF(AG$5="Ida",0,1),1),"")</f>
        <v/>
      </c>
      <c r="AO415" s="89">
        <f>IF(AE416&lt;&gt;AE415,AVERAGEIF(AE$9:AE415,AE415,AN$9:AN415),"")</f>
        <v/>
      </c>
      <c r="AP415" s="89">
        <f>IFERROR(IF(AE416&lt;&gt;AE415,AVERAGEIF(AE$9:AE415,AE415,AW$9:AW415),""),"")</f>
        <v/>
      </c>
      <c r="AQ415" s="89">
        <f>IFERROR(IF(AE416&lt;&gt;AE415,AVERAGEIF(AE$9:AE415,AE415,AX$9:AX415),""),"")</f>
        <v/>
      </c>
      <c r="AR415" s="89">
        <f t="array" ref="AR415">IFERROR(IF(AE416&lt;&gt;AE415,_xlfn.STDEV.P(IF(AE$9:AE415=AE415,AX$9:AX415)),""),"")</f>
        <v/>
      </c>
      <c r="AS415" s="89">
        <f t="array" ref="AS415">IFERROR(IF(AE416&lt;&gt;AE415,_xlfn.STDEV.P(IF(AE$9:AE415=AE415,AW$9:AW415)),""),"")</f>
        <v/>
      </c>
      <c r="AT415" s="90">
        <f>IFERROR(IF(AE415&lt;&gt;AE416,MAX((((AQ415*24*60)/2)*(1+POWER((((AR415*24*60) / (AQ415*24*60) )),2))) + ((AQ415*24*60 )*-0.1 + (AO415*0.015)) +1,(((AQ415*24*60)/2)*(1+POWER((((AR415*24*60) / (AQ415*24*60 ))),2)))),""),"")</f>
        <v/>
      </c>
      <c r="AU415" s="90">
        <f>IF(AND(AS415&lt;&gt;"",AP415&lt;&gt;""),IF(AE415&lt;&gt;AE416,((AP415*24*60) / 2 ) * (1 + POWER(((AS415*24*60) / (AP415*24*60)),2)),""),"")</f>
        <v/>
      </c>
      <c r="AV415" s="90">
        <f>IF(AU415&lt;&gt;"",MAX(AT415,AU415),"")</f>
        <v/>
      </c>
      <c r="AW415" s="89">
        <f>IF(AM415&lt;&gt;"H. Sale Real",IF(AND(AM416&lt;&gt;"",LEFT(AG416,2)&lt;&gt;"Va"),IF(AND(AM415&lt;&gt;"",LEFT(AG415,2)&lt;&gt;"Va",AM415&lt;&gt;"H. Sale Real"),IF(AM416-AM415&lt;0.208333333333333,AM416-AM415,""),IF(AND(AM414&lt;&gt;"",LEFT(AG414,2)&lt;&gt;"Va",AM414&lt;&gt;"H. Sale Real"),IF(AM416-AM414&lt;0.208333333333333,AM416-AM414,""),IF(AND(AM413&lt;&gt;"",LEFT(AG413,2)&lt;&gt;"Va",AM413&lt;&gt;"H. Sale Real"),IF(AM416-AM413&lt;0.208333333333333,AM416-AM413,""),IF(AND(AM412&lt;&gt;"",LEFT(AG412,2)&lt;&gt;"Va",AM412&lt;&gt;"H. Sale Real"),IF(AM416-AM412&lt;0.208333333333333,AM416-AM412,""),IF(AND(AM411&lt;&gt;"",LEFT(AG411,2)&lt;&gt;"Va",AM411&lt;&gt;"H. Sale Real"),IF(AM416-AM411&lt;0.208333333333333,AM416-AM411,""),""))))),""),"")</f>
        <v/>
      </c>
      <c r="AX415" s="89">
        <f>IF(AK415&lt;&gt;"H. Sale Real",IF(AND(AK416&lt;&gt;"",LEFT(AG416,2)&lt;&gt;"Va"),IF(AND(AK415&lt;&gt;"",LEFT(AG415,2)&lt;&gt;"Va",AK415&lt;&gt;"H. Sale Real"),IF(AK416-AK415&lt;0.208333333333333,AK416-AK415,""),IF(AND(AK414&lt;&gt;"",LEFT(AG414,2)&lt;&gt;"Va",AK414&lt;&gt;"H. Sale Real"),IF(AK416-AK414&lt;0.208333333333333,AK416-AK414,""),IF(AND(AK413&lt;&gt;"",LEFT(AG413,2)&lt;&gt;"NC",AK413&lt;&gt;"H. Sale Real"),IF(AK416-AK413&lt;0.208333333333333,AK416-AK413,""),IF(AND(AK412&lt;&gt;"",LEFT(AG412,2)&lt;&gt;"Va",AK412&lt;&gt;"H. Sale Real"),IF(AK416-AK412&lt;0.208333333333333,AK416-AK412,""),IF(AND(AK411&lt;&gt;"",LEFT(AG411,2)&lt;&gt;"Va",AK411&lt;&gt;"H. Sale Real"),IF(AK416-AK411&lt;0.208333333333333,AK416-AK411,""),""))))),""),"")</f>
        <v/>
      </c>
      <c r="AY415" s="87" t="n"/>
      <c r="AZ415" s="89" t="n"/>
      <c r="BA415" s="87" t="n"/>
      <c r="BB415" s="89" t="n"/>
      <c r="BC415" s="91" t="n"/>
      <c r="BD415" s="122">
        <f>IF(AK415&lt;&gt;"",IF(AND(BD414&lt;&gt;"IE",AT415&lt;&gt;0,AV415&lt;&gt;""),IF(IFERROR((AT415/AV415),0) &lt;=1,IFERROR(AT415/AV415,""),1),""),"")</f>
        <v/>
      </c>
      <c r="BE415" s="93" t="n"/>
      <c r="BF415" s="105" t="n"/>
      <c r="FC415" t="inlineStr">
        <is>
          <t>Diccionario 1</t>
        </is>
      </c>
      <c r="FD415" s="15" t="n">
        <v>1414</v>
      </c>
      <c r="FE415" s="15" t="inlineStr">
        <is>
          <t>MDN35025010142</t>
        </is>
      </c>
      <c r="FF415" s="15" t="inlineStr">
        <is>
          <t>LDYECS312S0043857</t>
        </is>
      </c>
      <c r="FG415" s="15" t="inlineStr">
        <is>
          <t>Zhong Tong</t>
        </is>
      </c>
      <c r="FH415" s="15" t="inlineStr">
        <is>
          <t>Lck6122evg</t>
        </is>
      </c>
      <c r="FI415" s="15" t="inlineStr">
        <is>
          <t>ZHONGTONG</t>
        </is>
      </c>
      <c r="FJ415" s="15" t="inlineStr">
        <is>
          <t>LCK6122EVG</t>
        </is>
      </c>
      <c r="FK415" s="15" t="n">
        <v>2025</v>
      </c>
      <c r="FL415" s="15" t="inlineStr">
        <is>
          <t>B</t>
        </is>
      </c>
      <c r="FM415" s="15" t="inlineStr">
        <is>
          <t>CERRILLOS</t>
        </is>
      </c>
      <c r="FN415" s="15" t="inlineStr">
        <is>
          <t>Calle Uno 7371</t>
        </is>
      </c>
      <c r="FO415" s="15" t="inlineStr">
        <is>
          <t>Cerrillos</t>
        </is>
      </c>
      <c r="FP415" t="inlineStr">
        <is>
          <t>B</t>
        </is>
      </c>
      <c r="FS415" s="14" t="inlineStr">
        <is>
          <t>3105 / SFWZ-54|</t>
        </is>
      </c>
      <c r="FT415" t="inlineStr">
        <is>
          <t>SFWZ-54|</t>
        </is>
      </c>
      <c r="FU415" t="inlineStr">
        <is>
          <t>SFWZ-54</t>
        </is>
      </c>
      <c r="FV415">
        <f>VLOOKUP(FU415,FD:FL,9,0)</f>
        <v/>
      </c>
      <c r="HA415" s="35" t="n">
        <v>185</v>
      </c>
      <c r="HB415" s="35" t="n">
        <v>409</v>
      </c>
    </row>
    <row r="416" ht="15.5" customHeight="1">
      <c r="A416" s="10">
        <f>HOUR(G416)+1</f>
        <v/>
      </c>
      <c r="B416" s="7" t="n"/>
      <c r="C416" s="7" t="n"/>
      <c r="D416" s="85">
        <f>IFERROR(
IF(AND(OR(Planilla!B416="C",Planilla!B416="c"), VLOOKUP(E416,FD:FP,13,0)="C"), "OK",IF(AND(OR(Planilla!B416="C",Planilla!B416="c"), OR(VLOOKUP(E416,FD:FP,13,0)="B", VLOOKUP(E416,FD:FP,13,0)="A")), "DEFICIT",IF(
AND(OR(Planilla!B416="B", Planilla!B416="BPAL"), VLOOKUP(E416,FD:FP,13,0)="B"), "OK",IF(AND(OR(Planilla!B416="B", Planilla!B416="BPAL"), VLOOKUP(E416,FD:FP,13,0)="A"), "DEFICIT",IF(AND(OR(Planilla!B416="B", Planilla!B416="BPAL"), VLOOKUP(E416,FD:FP,13,0)="C"), "SOBREOFERTA",IF(AND(Planilla!B416="A", VLOOKUP(E416,FD:FP,13,0)="A"), "OK",IF(
AND(Planilla!B416="A", OR(VLOOKUP(E416,FD:FP,13,0)="B", VLOOKUP(E416,FD:FP,13,0)="C")), "SOBREOFERTA",""
))))))),"")</f>
        <v/>
      </c>
      <c r="E416" s="8" t="n"/>
      <c r="F416" s="86" t="n"/>
      <c r="G416" s="87" t="n"/>
      <c r="H416" s="88">
        <f>IF(I416="","",IF(AND((I416-G416)&gt;=TIME(0,0,0),(I416-G416)&lt;TIME(0,3,0)),"OK",IF(AND((I416-G416)&gt;=TIME(0,3,0),(I416-G416)&lt;TIME(0,5,0)),"RETRASO DE 3-5 MIN",IF(AND((I416-G416)&gt;=TIME(0,5,0),(I416-G416)&lt;TIME(0,10,0)),"RETRASO DE 5-10 MIN",IF((I416-G416)&gt;=TIME(0,10,0),"RETRASO &gt;10 MIN", IF(AND((G416-I416)&gt;=TIME(0,0,0),(G416-I416)&lt;TIME(0,3,0)),"OK",IF((G416-I416)&gt;=TIME(0,3,0),"ADELANTADO")))))))</f>
        <v/>
      </c>
      <c r="I416" s="89" t="n"/>
      <c r="J416" s="89">
        <f>IF(A416&lt;&gt;"",HLOOKUP(VALUE(TEXT(G416,"h:mm:ss")),IF($C$6="Laboral",$FZ$4:$GX$227,IF($C$6="Sábado",$FZ$231:$GX$452,$FZ$456:$GX$656)),VLOOKUP($C$4,$HF$2:$HH$99,3,0)+IF(C$5="Ida",0,1),1),"")</f>
        <v/>
      </c>
      <c r="K416" s="89">
        <f>IF(A417&lt;&gt;A416,AVERAGEIF(A$9:A416,A416,J$9:J416),"")</f>
        <v/>
      </c>
      <c r="L416" s="89">
        <f>IFERROR(IF(A417&lt;&gt;A416,AVERAGEIF(A$9:A416,A416,S$9:S416),""),"")</f>
        <v/>
      </c>
      <c r="M416" s="89">
        <f>IFERROR(IF(A417&lt;&gt;A416,AVERAGEIF(A$9:A416,A416,T$9:T416),""),"")</f>
        <v/>
      </c>
      <c r="N416" s="89">
        <f t="array" ref="N416">IFERROR(IF(A417&lt;&gt;A416,_xlfn.STDEV.P(IF(A$9:A416=A416,T$9:T416)),""),"")</f>
        <v/>
      </c>
      <c r="O416" s="89">
        <f t="array" ref="O416">IFERROR(IF(A417&lt;&gt;A416,_xlfn.STDEV.P(IF(A$9:A416=A416,S$9:S416)),""),"")</f>
        <v/>
      </c>
      <c r="P416" s="90">
        <f>IFERROR(IF(A416&lt;&gt;A417,MAX((((M416*24*60)/2)*(1+POWER((((N416*24*60) / (M416*24*60) )),2))) + ((M416*24*60 )*-0.1 + (K416*0.015)) +1,(((M416*24*60)/2)*(1+POWER((((N416*24*60) / (M416*24*60 ))),2)))),""),"")</f>
        <v/>
      </c>
      <c r="Q416" s="90">
        <f>IF(AND(O416&lt;&gt;"",L416&lt;&gt;""),IF(A416&lt;&gt;A417,((L416*24*60) / 2 ) * (1 + POWER(((O416*24*60) / (L416*24*60)),2)),""),"")</f>
        <v/>
      </c>
      <c r="R416" s="90">
        <f>IF(Q416&lt;&gt;"",MAX(P416,Q416),"")</f>
        <v/>
      </c>
      <c r="S416" s="89">
        <f>IF(I416&lt;&gt;"H. Sale Real",IF(AND(I417&lt;&gt;"",LEFT(C417,2)&lt;&gt;"Va"),IF(AND(I416&lt;&gt;"",LEFT(C416,2)&lt;&gt;"Va",I416&lt;&gt;"H. Sale Real"),IF(I417-I416&lt;0.208333333333333,I417-I416,""),IF(AND(I415&lt;&gt;"",LEFT(C415,2)&lt;&gt;"Va",I415&lt;&gt;"H. Sale Real"),IF(I417-I415&lt;0.208333333333333,I417-I415,""),IF(AND(I414&lt;&gt;"",LEFT(C414,2)&lt;&gt;"Va",I414&lt;&gt;"H. Sale Real"),IF(I417-I414&lt;0.208333333333333,I417-I414,""),IF(AND(I413&lt;&gt;"",LEFT(C413,2)&lt;&gt;"Va",I413&lt;&gt;"H. Sale Real"),IF(I417-I413&lt;0.208333333333333,I417-I413,""),IF(AND(I412&lt;&gt;"",LEFT(C412,2)&lt;&gt;"Va",I412&lt;&gt;"H. Sale Real"),IF(I417-I412&lt;0.208333333333333,I417-I412,""),""))))),""),"")</f>
        <v/>
      </c>
      <c r="T416" s="89">
        <f>IF(G416&lt;&gt;"H. Sale Real",IF(AND(G417&lt;&gt;"",LEFT(C417,2)&lt;&gt;"Va"),IF(AND(G416&lt;&gt;"",LEFT(C416,2)&lt;&gt;"Va",G416&lt;&gt;"H. Sale Real"),IF(G417-G416&lt;0.208333333333333,G417-G416,""),IF(AND(G415&lt;&gt;"",LEFT(C415,2)&lt;&gt;"Va",G415&lt;&gt;"H. Sale Real"),IF(G417-G415&lt;0.208333333333333,G417-G415,""),IF(AND(G414&lt;&gt;"",LEFT(C414,2)&lt;&gt;"Va",G414&lt;&gt;"H. Sale Real"),IF(G417-G414&lt;0.208333333333333,G417-G414,""),IF(AND(G413&lt;&gt;"",LEFT(C413,2)&lt;&gt;"Va",G413&lt;&gt;"H. Sale Real"),IF(G417-G413&lt;0.208333333333333,G417-G413,""),IF(AND(G412&lt;&gt;"",LEFT(C412,2)&lt;&gt;"Va",G412&lt;&gt;"H. Sale Real"),IF(G417-G412&lt;0.208333333333333,G417-G412,""),""))))),""),"")</f>
        <v/>
      </c>
      <c r="U416" s="87" t="n"/>
      <c r="V416" s="89" t="n"/>
      <c r="W416" s="87" t="n"/>
      <c r="X416" s="89" t="n"/>
      <c r="Y416" s="91" t="n"/>
      <c r="Z416" s="122">
        <f>IF(G416&lt;&gt;"",IF(AND(Z415&lt;&gt;"IE",P416&lt;&gt;0,R416&lt;&gt;""),IF(IFERROR((P416/R416),0) &lt;=1,IFERROR(P416/R416,""),1),""),"")</f>
        <v/>
      </c>
      <c r="AA416" s="93" t="n"/>
      <c r="AB416" s="2" t="n"/>
      <c r="AE416" s="10">
        <f>HOUR(AK416)+1</f>
        <v/>
      </c>
      <c r="AF416" s="7" t="n"/>
      <c r="AG416" s="7" t="n"/>
      <c r="AH416" s="86" t="n"/>
      <c r="AI416" s="8" t="n"/>
      <c r="AJ416" s="86" t="n"/>
      <c r="AK416" s="87" t="n"/>
      <c r="AL416" s="88">
        <f>IF(AM416="","",IF(AND((AM416-AK416)&gt;=TIME(0,0,0),(AM416-AK416)&lt;TIME(0,3,0)),"OK",IF(AND((AM416-AK416)&gt;=TIME(0,3,0),(AM416-AK416)&lt;TIME(0,5,0)),"RETRASO DE 3-5 MIN",IF(AND((AM416-AK416)&gt;=TIME(0,5,0),(AM416-AK416)&lt;TIME(0,10,0)),"RETRASO DE 5-10 MIN",IF((AM416-AK416)&gt;=TIME(0,10,0),"RETRASO &gt;10 MIN", IF(AND((AK416-AM416)&gt;=TIME(0,0,0),(AK416-AM416)&lt;TIME(0,3,0)),"OK",IF((AK416-AM416)&gt;=TIME(0,3,0),"ADELANTADO")))))))</f>
        <v/>
      </c>
      <c r="AM416" s="91" t="n"/>
      <c r="AN416" s="89">
        <f>IF(AE416&lt;&gt;"",HLOOKUP(VALUE(TEXT(AK416,"h:mm:ss")),IF($C$6="Laboral",$FZ$4:$GX$227,IF($C$6="Sábado",$FZ$231:$GX$452,$FZ$456:$GX$656)),VLOOKUP($C$4,$HF$2:$HH$99,3,0)+IF(AG$5="Ida",0,1),1),"")</f>
        <v/>
      </c>
      <c r="AO416" s="89">
        <f>IF(AE417&lt;&gt;AE416,AVERAGEIF(AE$9:AE416,AE416,AN$9:AN416),"")</f>
        <v/>
      </c>
      <c r="AP416" s="89">
        <f>IFERROR(IF(AE417&lt;&gt;AE416,AVERAGEIF(AE$9:AE416,AE416,AW$9:AW416),""),"")</f>
        <v/>
      </c>
      <c r="AQ416" s="89">
        <f>IFERROR(IF(AE417&lt;&gt;AE416,AVERAGEIF(AE$9:AE416,AE416,AX$9:AX416),""),"")</f>
        <v/>
      </c>
      <c r="AR416" s="89">
        <f t="array" ref="AR416">IFERROR(IF(AE417&lt;&gt;AE416,_xlfn.STDEV.P(IF(AE$9:AE416=AE416,AX$9:AX416)),""),"")</f>
        <v/>
      </c>
      <c r="AS416" s="89">
        <f t="array" ref="AS416">IFERROR(IF(AE417&lt;&gt;AE416,_xlfn.STDEV.P(IF(AE$9:AE416=AE416,AW$9:AW416)),""),"")</f>
        <v/>
      </c>
      <c r="AT416" s="90">
        <f>IFERROR(IF(AE416&lt;&gt;AE417,MAX((((AQ416*24*60)/2)*(1+POWER((((AR416*24*60) / (AQ416*24*60) )),2))) + ((AQ416*24*60 )*-0.1 + (AO416*0.015)) +1,(((AQ416*24*60)/2)*(1+POWER((((AR416*24*60) / (AQ416*24*60 ))),2)))),""),"")</f>
        <v/>
      </c>
      <c r="AU416" s="90">
        <f>IF(AND(AS416&lt;&gt;"",AP416&lt;&gt;""),IF(AE416&lt;&gt;AE417,((AP416*24*60) / 2 ) * (1 + POWER(((AS416*24*60) / (AP416*24*60)),2)),""),"")</f>
        <v/>
      </c>
      <c r="AV416" s="90">
        <f>IF(AU416&lt;&gt;"",MAX(AT416,AU416),"")</f>
        <v/>
      </c>
      <c r="AW416" s="89">
        <f>IF(AM416&lt;&gt;"H. Sale Real",IF(AND(AM417&lt;&gt;"",LEFT(AG417,2)&lt;&gt;"Va"),IF(AND(AM416&lt;&gt;"",LEFT(AG416,2)&lt;&gt;"Va",AM416&lt;&gt;"H. Sale Real"),IF(AM417-AM416&lt;0.208333333333333,AM417-AM416,""),IF(AND(AM415&lt;&gt;"",LEFT(AG415,2)&lt;&gt;"Va",AM415&lt;&gt;"H. Sale Real"),IF(AM417-AM415&lt;0.208333333333333,AM417-AM415,""),IF(AND(AM414&lt;&gt;"",LEFT(AG414,2)&lt;&gt;"Va",AM414&lt;&gt;"H. Sale Real"),IF(AM417-AM414&lt;0.208333333333333,AM417-AM414,""),IF(AND(AM413&lt;&gt;"",LEFT(AG413,2)&lt;&gt;"Va",AM413&lt;&gt;"H. Sale Real"),IF(AM417-AM413&lt;0.208333333333333,AM417-AM413,""),IF(AND(AM412&lt;&gt;"",LEFT(AG412,2)&lt;&gt;"Va",AM412&lt;&gt;"H. Sale Real"),IF(AM417-AM412&lt;0.208333333333333,AM417-AM412,""),""))))),""),"")</f>
        <v/>
      </c>
      <c r="AX416" s="89">
        <f>IF(AK416&lt;&gt;"H. Sale Real",IF(AND(AK417&lt;&gt;"",LEFT(AG417,2)&lt;&gt;"Va"),IF(AND(AK416&lt;&gt;"",LEFT(AG416,2)&lt;&gt;"Va",AK416&lt;&gt;"H. Sale Real"),IF(AK417-AK416&lt;0.208333333333333,AK417-AK416,""),IF(AND(AK415&lt;&gt;"",LEFT(AG415,2)&lt;&gt;"Va",AK415&lt;&gt;"H. Sale Real"),IF(AK417-AK415&lt;0.208333333333333,AK417-AK415,""),IF(AND(AK414&lt;&gt;"",LEFT(AG414,2)&lt;&gt;"NC",AK414&lt;&gt;"H. Sale Real"),IF(AK417-AK414&lt;0.208333333333333,AK417-AK414,""),IF(AND(AK413&lt;&gt;"",LEFT(AG413,2)&lt;&gt;"Va",AK413&lt;&gt;"H. Sale Real"),IF(AK417-AK413&lt;0.208333333333333,AK417-AK413,""),IF(AND(AK412&lt;&gt;"",LEFT(AG412,2)&lt;&gt;"Va",AK412&lt;&gt;"H. Sale Real"),IF(AK417-AK412&lt;0.208333333333333,AK417-AK412,""),""))))),""),"")</f>
        <v/>
      </c>
      <c r="AY416" s="87" t="n"/>
      <c r="AZ416" s="89" t="n"/>
      <c r="BA416" s="87" t="n"/>
      <c r="BB416" s="89" t="n"/>
      <c r="BC416" s="91" t="n"/>
      <c r="BD416" s="122">
        <f>IF(AK416&lt;&gt;"",IF(AND(BD415&lt;&gt;"IE",AT416&lt;&gt;0,AV416&lt;&gt;""),IF(IFERROR((AT416/AV416),0) &lt;=1,IFERROR(AT416/AV416,""),1),""),"")</f>
        <v/>
      </c>
      <c r="BE416" s="93" t="n"/>
      <c r="BF416" s="105" t="n"/>
      <c r="FC416" t="inlineStr">
        <is>
          <t>Diccionario 1</t>
        </is>
      </c>
      <c r="FD416" s="15" t="n">
        <v>1415</v>
      </c>
      <c r="FE416" s="15" t="inlineStr">
        <is>
          <t>MDN35025030025</t>
        </is>
      </c>
      <c r="FF416" s="15" t="inlineStr">
        <is>
          <t>LDYECS317S0044373</t>
        </is>
      </c>
      <c r="FG416" s="15" t="inlineStr">
        <is>
          <t>Zhong Tong</t>
        </is>
      </c>
      <c r="FH416" s="15" t="inlineStr">
        <is>
          <t>Lck6122evg</t>
        </is>
      </c>
      <c r="FI416" s="15" t="inlineStr">
        <is>
          <t>ZHONGTONG</t>
        </is>
      </c>
      <c r="FJ416" s="15" t="inlineStr">
        <is>
          <t>LCK6122EVG</t>
        </is>
      </c>
      <c r="FK416" s="15" t="n">
        <v>2025</v>
      </c>
      <c r="FL416" s="15" t="inlineStr">
        <is>
          <t>B</t>
        </is>
      </c>
      <c r="FM416" s="15" t="inlineStr">
        <is>
          <t>PIE ANDINO</t>
        </is>
      </c>
      <c r="FN416" s="15" t="inlineStr">
        <is>
          <t>Pie Andino 31 (Pie Andino 383)</t>
        </is>
      </c>
      <c r="FO416" s="15" t="inlineStr">
        <is>
          <t>Puente Alto</t>
        </is>
      </c>
      <c r="FP416" t="inlineStr">
        <is>
          <t>B</t>
        </is>
      </c>
      <c r="FS416" s="14" t="inlineStr">
        <is>
          <t>3105 / SFWZ-54|</t>
        </is>
      </c>
      <c r="FT416" t="inlineStr">
        <is>
          <t>SFWZ-54|</t>
        </is>
      </c>
      <c r="FU416" t="inlineStr">
        <is>
          <t>SFWZ-54</t>
        </is>
      </c>
      <c r="FV416">
        <f>VLOOKUP(FU416,FD:FL,9,0)</f>
        <v/>
      </c>
      <c r="HA416" s="35" t="n">
        <v>186</v>
      </c>
      <c r="HB416" s="35" t="n">
        <v>410</v>
      </c>
    </row>
    <row r="417" ht="15.5" customHeight="1">
      <c r="A417" s="10">
        <f>HOUR(G417)+1</f>
        <v/>
      </c>
      <c r="B417" s="7" t="n"/>
      <c r="C417" s="7" t="n"/>
      <c r="D417" s="85">
        <f>IFERROR(
IF(AND(OR(Planilla!B417="C",Planilla!B417="c"), VLOOKUP(E417,FD:FP,13,0)="C"), "OK",IF(AND(OR(Planilla!B417="C",Planilla!B417="c"), OR(VLOOKUP(E417,FD:FP,13,0)="B", VLOOKUP(E417,FD:FP,13,0)="A")), "DEFICIT",IF(
AND(OR(Planilla!B417="B", Planilla!B417="BPAL"), VLOOKUP(E417,FD:FP,13,0)="B"), "OK",IF(AND(OR(Planilla!B417="B", Planilla!B417="BPAL"), VLOOKUP(E417,FD:FP,13,0)="A"), "DEFICIT",IF(AND(OR(Planilla!B417="B", Planilla!B417="BPAL"), VLOOKUP(E417,FD:FP,13,0)="C"), "SOBREOFERTA",IF(AND(Planilla!B417="A", VLOOKUP(E417,FD:FP,13,0)="A"), "OK",IF(
AND(Planilla!B417="A", OR(VLOOKUP(E417,FD:FP,13,0)="B", VLOOKUP(E417,FD:FP,13,0)="C")), "SOBREOFERTA",""
))))))),"")</f>
        <v/>
      </c>
      <c r="E417" s="8" t="n"/>
      <c r="F417" s="86" t="n"/>
      <c r="G417" s="87" t="n"/>
      <c r="H417" s="88">
        <f>IF(I417="","",IF(AND((I417-G417)&gt;=TIME(0,0,0),(I417-G417)&lt;TIME(0,3,0)),"OK",IF(AND((I417-G417)&gt;=TIME(0,3,0),(I417-G417)&lt;TIME(0,5,0)),"RETRASO DE 3-5 MIN",IF(AND((I417-G417)&gt;=TIME(0,5,0),(I417-G417)&lt;TIME(0,10,0)),"RETRASO DE 5-10 MIN",IF((I417-G417)&gt;=TIME(0,10,0),"RETRASO &gt;10 MIN", IF(AND((G417-I417)&gt;=TIME(0,0,0),(G417-I417)&lt;TIME(0,3,0)),"OK",IF((G417-I417)&gt;=TIME(0,3,0),"ADELANTADO")))))))</f>
        <v/>
      </c>
      <c r="I417" s="89" t="n"/>
      <c r="J417" s="89">
        <f>IF(A417&lt;&gt;"",HLOOKUP(VALUE(TEXT(G417,"h:mm:ss")),IF($C$6="Laboral",$FZ$4:$GX$227,IF($C$6="Sábado",$FZ$231:$GX$452,$FZ$456:$GX$656)),VLOOKUP($C$4,$HF$2:$HH$99,3,0)+IF(C$5="Ida",0,1),1),"")</f>
        <v/>
      </c>
      <c r="K417" s="89">
        <f>IF(A418&lt;&gt;A417,AVERAGEIF(A$9:A417,A417,J$9:J417),"")</f>
        <v/>
      </c>
      <c r="L417" s="89">
        <f>IFERROR(IF(A418&lt;&gt;A417,AVERAGEIF(A$9:A417,A417,S$9:S417),""),"")</f>
        <v/>
      </c>
      <c r="M417" s="89">
        <f>IFERROR(IF(A418&lt;&gt;A417,AVERAGEIF(A$9:A417,A417,T$9:T417),""),"")</f>
        <v/>
      </c>
      <c r="N417" s="89">
        <f t="array" ref="N417">IFERROR(IF(A418&lt;&gt;A417,_xlfn.STDEV.P(IF(A$9:A417=A417,T$9:T417)),""),"")</f>
        <v/>
      </c>
      <c r="O417" s="89">
        <f t="array" ref="O417">IFERROR(IF(A418&lt;&gt;A417,_xlfn.STDEV.P(IF(A$9:A417=A417,S$9:S417)),""),"")</f>
        <v/>
      </c>
      <c r="P417" s="90">
        <f>IFERROR(IF(A417&lt;&gt;A418,MAX((((M417*24*60)/2)*(1+POWER((((N417*24*60) / (M417*24*60) )),2))) + ((M417*24*60 )*-0.1 + (K417*0.015)) +1,(((M417*24*60)/2)*(1+POWER((((N417*24*60) / (M417*24*60 ))),2)))),""),"")</f>
        <v/>
      </c>
      <c r="Q417" s="90">
        <f>IF(AND(O417&lt;&gt;"",L417&lt;&gt;""),IF(A417&lt;&gt;A418,((L417*24*60) / 2 ) * (1 + POWER(((O417*24*60) / (L417*24*60)),2)),""),"")</f>
        <v/>
      </c>
      <c r="R417" s="90">
        <f>IF(Q417&lt;&gt;"",MAX(P417,Q417),"")</f>
        <v/>
      </c>
      <c r="S417" s="89">
        <f>IF(I417&lt;&gt;"H. Sale Real",IF(AND(I418&lt;&gt;"",LEFT(C418,2)&lt;&gt;"Va"),IF(AND(I417&lt;&gt;"",LEFT(C417,2)&lt;&gt;"Va",I417&lt;&gt;"H. Sale Real"),IF(I418-I417&lt;0.208333333333333,I418-I417,""),IF(AND(I416&lt;&gt;"",LEFT(C416,2)&lt;&gt;"Va",I416&lt;&gt;"H. Sale Real"),IF(I418-I416&lt;0.208333333333333,I418-I416,""),IF(AND(I415&lt;&gt;"",LEFT(C415,2)&lt;&gt;"Va",I415&lt;&gt;"H. Sale Real"),IF(I418-I415&lt;0.208333333333333,I418-I415,""),IF(AND(I414&lt;&gt;"",LEFT(C414,2)&lt;&gt;"Va",I414&lt;&gt;"H. Sale Real"),IF(I418-I414&lt;0.208333333333333,I418-I414,""),IF(AND(I413&lt;&gt;"",LEFT(C413,2)&lt;&gt;"Va",I413&lt;&gt;"H. Sale Real"),IF(I418-I413&lt;0.208333333333333,I418-I413,""),""))))),""),"")</f>
        <v/>
      </c>
      <c r="T417" s="89">
        <f>IF(G417&lt;&gt;"H. Sale Real",IF(AND(G418&lt;&gt;"",LEFT(C418,2)&lt;&gt;"Va"),IF(AND(G417&lt;&gt;"",LEFT(C417,2)&lt;&gt;"Va",G417&lt;&gt;"H. Sale Real"),IF(G418-G417&lt;0.208333333333333,G418-G417,""),IF(AND(G416&lt;&gt;"",LEFT(C416,2)&lt;&gt;"Va",G416&lt;&gt;"H. Sale Real"),IF(G418-G416&lt;0.208333333333333,G418-G416,""),IF(AND(G415&lt;&gt;"",LEFT(C415,2)&lt;&gt;"Va",G415&lt;&gt;"H. Sale Real"),IF(G418-G415&lt;0.208333333333333,G418-G415,""),IF(AND(G414&lt;&gt;"",LEFT(C414,2)&lt;&gt;"Va",G414&lt;&gt;"H. Sale Real"),IF(G418-G414&lt;0.208333333333333,G418-G414,""),IF(AND(G413&lt;&gt;"",LEFT(C413,2)&lt;&gt;"Va",G413&lt;&gt;"H. Sale Real"),IF(G418-G413&lt;0.208333333333333,G418-G413,""),""))))),""),"")</f>
        <v/>
      </c>
      <c r="U417" s="87" t="n"/>
      <c r="V417" s="89" t="n"/>
      <c r="W417" s="87" t="n"/>
      <c r="X417" s="89" t="n"/>
      <c r="Y417" s="91" t="n"/>
      <c r="Z417" s="122">
        <f>IF(G417&lt;&gt;"",IF(AND(Z416&lt;&gt;"IE",P417&lt;&gt;0,R417&lt;&gt;""),IF(IFERROR((P417/R417),0) &lt;=1,IFERROR(P417/R417,""),1),""),"")</f>
        <v/>
      </c>
      <c r="AA417" s="93" t="n"/>
      <c r="AB417" s="2" t="n"/>
      <c r="AE417" s="10">
        <f>HOUR(AK417)+1</f>
        <v/>
      </c>
      <c r="AF417" s="7" t="n"/>
      <c r="AG417" s="7" t="n"/>
      <c r="AH417" s="86" t="n"/>
      <c r="AI417" s="8" t="n"/>
      <c r="AJ417" s="86" t="n"/>
      <c r="AK417" s="87" t="n"/>
      <c r="AL417" s="88">
        <f>IF(AM417="","",IF(AND((AM417-AK417)&gt;=TIME(0,0,0),(AM417-AK417)&lt;TIME(0,3,0)),"OK",IF(AND((AM417-AK417)&gt;=TIME(0,3,0),(AM417-AK417)&lt;TIME(0,5,0)),"RETRASO DE 3-5 MIN",IF(AND((AM417-AK417)&gt;=TIME(0,5,0),(AM417-AK417)&lt;TIME(0,10,0)),"RETRASO DE 5-10 MIN",IF((AM417-AK417)&gt;=TIME(0,10,0),"RETRASO &gt;10 MIN", IF(AND((AK417-AM417)&gt;=TIME(0,0,0),(AK417-AM417)&lt;TIME(0,3,0)),"OK",IF((AK417-AM417)&gt;=TIME(0,3,0),"ADELANTADO")))))))</f>
        <v/>
      </c>
      <c r="AM417" s="91" t="n"/>
      <c r="AN417" s="89">
        <f>IF(AE417&lt;&gt;"",HLOOKUP(VALUE(TEXT(AK417,"h:mm:ss")),IF($C$6="Laboral",$FZ$4:$GX$227,IF($C$6="Sábado",$FZ$231:$GX$452,$FZ$456:$GX$656)),VLOOKUP($C$4,$HF$2:$HH$99,3,0)+IF(AG$5="Ida",0,1),1),"")</f>
        <v/>
      </c>
      <c r="AO417" s="89">
        <f>IF(AE418&lt;&gt;AE417,AVERAGEIF(AE$9:AE417,AE417,AN$9:AN417),"")</f>
        <v/>
      </c>
      <c r="AP417" s="89">
        <f>IFERROR(IF(AE418&lt;&gt;AE417,AVERAGEIF(AE$9:AE417,AE417,AW$9:AW417),""),"")</f>
        <v/>
      </c>
      <c r="AQ417" s="89">
        <f>IFERROR(IF(AE418&lt;&gt;AE417,AVERAGEIF(AE$9:AE417,AE417,AX$9:AX417),""),"")</f>
        <v/>
      </c>
      <c r="AR417" s="89">
        <f t="array" ref="AR417">IFERROR(IF(AE418&lt;&gt;AE417,_xlfn.STDEV.P(IF(AE$9:AE417=AE417,AX$9:AX417)),""),"")</f>
        <v/>
      </c>
      <c r="AS417" s="89">
        <f t="array" ref="AS417">IFERROR(IF(AE418&lt;&gt;AE417,_xlfn.STDEV.P(IF(AE$9:AE417=AE417,AW$9:AW417)),""),"")</f>
        <v/>
      </c>
      <c r="AT417" s="90">
        <f>IFERROR(IF(AE417&lt;&gt;AE418,MAX((((AQ417*24*60)/2)*(1+POWER((((AR417*24*60) / (AQ417*24*60) )),2))) + ((AQ417*24*60 )*-0.1 + (AO417*0.015)) +1,(((AQ417*24*60)/2)*(1+POWER((((AR417*24*60) / (AQ417*24*60 ))),2)))),""),"")</f>
        <v/>
      </c>
      <c r="AU417" s="90">
        <f>IF(AND(AS417&lt;&gt;"",AP417&lt;&gt;""),IF(AE417&lt;&gt;AE418,((AP417*24*60) / 2 ) * (1 + POWER(((AS417*24*60) / (AP417*24*60)),2)),""),"")</f>
        <v/>
      </c>
      <c r="AV417" s="90">
        <f>IF(AU417&lt;&gt;"",MAX(AT417,AU417),"")</f>
        <v/>
      </c>
      <c r="AW417" s="89">
        <f>IF(AM417&lt;&gt;"H. Sale Real",IF(AND(AM418&lt;&gt;"",LEFT(AG418,2)&lt;&gt;"Va"),IF(AND(AM417&lt;&gt;"",LEFT(AG417,2)&lt;&gt;"Va",AM417&lt;&gt;"H. Sale Real"),IF(AM418-AM417&lt;0.208333333333333,AM418-AM417,""),IF(AND(AM416&lt;&gt;"",LEFT(AG416,2)&lt;&gt;"Va",AM416&lt;&gt;"H. Sale Real"),IF(AM418-AM416&lt;0.208333333333333,AM418-AM416,""),IF(AND(AM415&lt;&gt;"",LEFT(AG415,2)&lt;&gt;"Va",AM415&lt;&gt;"H. Sale Real"),IF(AM418-AM415&lt;0.208333333333333,AM418-AM415,""),IF(AND(AM414&lt;&gt;"",LEFT(AG414,2)&lt;&gt;"Va",AM414&lt;&gt;"H. Sale Real"),IF(AM418-AM414&lt;0.208333333333333,AM418-AM414,""),IF(AND(AM413&lt;&gt;"",LEFT(AG413,2)&lt;&gt;"Va",AM413&lt;&gt;"H. Sale Real"),IF(AM418-AM413&lt;0.208333333333333,AM418-AM413,""),""))))),""),"")</f>
        <v/>
      </c>
      <c r="AX417" s="89">
        <f>IF(AK417&lt;&gt;"H. Sale Real",IF(AND(AK418&lt;&gt;"",LEFT(AG418,2)&lt;&gt;"Va"),IF(AND(AK417&lt;&gt;"",LEFT(AG417,2)&lt;&gt;"Va",AK417&lt;&gt;"H. Sale Real"),IF(AK418-AK417&lt;0.208333333333333,AK418-AK417,""),IF(AND(AK416&lt;&gt;"",LEFT(AG416,2)&lt;&gt;"Va",AK416&lt;&gt;"H. Sale Real"),IF(AK418-AK416&lt;0.208333333333333,AK418-AK416,""),IF(AND(AK415&lt;&gt;"",LEFT(AG415,2)&lt;&gt;"NC",AK415&lt;&gt;"H. Sale Real"),IF(AK418-AK415&lt;0.208333333333333,AK418-AK415,""),IF(AND(AK414&lt;&gt;"",LEFT(AG414,2)&lt;&gt;"Va",AK414&lt;&gt;"H. Sale Real"),IF(AK418-AK414&lt;0.208333333333333,AK418-AK414,""),IF(AND(AK413&lt;&gt;"",LEFT(AG413,2)&lt;&gt;"Va",AK413&lt;&gt;"H. Sale Real"),IF(AK418-AK413&lt;0.208333333333333,AK418-AK413,""),""))))),""),"")</f>
        <v/>
      </c>
      <c r="AY417" s="87" t="n"/>
      <c r="AZ417" s="89" t="n"/>
      <c r="BA417" s="87" t="n"/>
      <c r="BB417" s="89" t="n"/>
      <c r="BC417" s="91" t="n"/>
      <c r="BD417" s="122">
        <f>IF(AK417&lt;&gt;"",IF(AND(BD416&lt;&gt;"IE",AT417&lt;&gt;0,AV417&lt;&gt;""),IF(IFERROR((AT417/AV417),0) &lt;=1,IFERROR(AT417/AV417,""),1),""),"")</f>
        <v/>
      </c>
      <c r="BE417" s="93" t="n"/>
      <c r="BF417" s="105" t="n"/>
      <c r="FC417" t="inlineStr">
        <is>
          <t>Diccionario 1</t>
        </is>
      </c>
      <c r="FD417" s="15" t="n">
        <v>1416</v>
      </c>
      <c r="FE417" s="15" t="inlineStr">
        <is>
          <t>MDN35025030153</t>
        </is>
      </c>
      <c r="FF417" s="15" t="inlineStr">
        <is>
          <t>LDYECS310S0044327</t>
        </is>
      </c>
      <c r="FG417" s="15" t="inlineStr">
        <is>
          <t>Zhong Tong</t>
        </is>
      </c>
      <c r="FH417" s="15" t="inlineStr">
        <is>
          <t>Lck6122evg</t>
        </is>
      </c>
      <c r="FI417" s="15" t="inlineStr">
        <is>
          <t>ZHONGTONG</t>
        </is>
      </c>
      <c r="FJ417" s="15" t="inlineStr">
        <is>
          <t>LCK6122EVG</t>
        </is>
      </c>
      <c r="FK417" s="15" t="n">
        <v>2025</v>
      </c>
      <c r="FL417" s="15" t="inlineStr">
        <is>
          <t>B</t>
        </is>
      </c>
      <c r="FM417" s="15" t="inlineStr">
        <is>
          <t>SAN ALFONSO</t>
        </is>
      </c>
      <c r="FN417" s="15" t="inlineStr">
        <is>
          <t>San Alfonso 2141 (Ramón Subercaseaux 3060)</t>
        </is>
      </c>
      <c r="FO417" s="15" t="inlineStr">
        <is>
          <t>Estacion Central</t>
        </is>
      </c>
      <c r="FP417" t="inlineStr">
        <is>
          <t>B</t>
        </is>
      </c>
      <c r="FS417" s="14" t="inlineStr">
        <is>
          <t>3105 / SFWZ-54|</t>
        </is>
      </c>
      <c r="FT417" t="inlineStr">
        <is>
          <t>SFWZ-54|</t>
        </is>
      </c>
      <c r="FU417" t="inlineStr">
        <is>
          <t>SFWZ-54</t>
        </is>
      </c>
      <c r="FV417">
        <f>VLOOKUP(FU417,FD:FL,9,0)</f>
        <v/>
      </c>
      <c r="HA417" s="35" t="n">
        <v>187</v>
      </c>
      <c r="HB417" s="35" t="n">
        <v>411</v>
      </c>
    </row>
    <row r="418" ht="15.5" customHeight="1">
      <c r="A418" s="10">
        <f>HOUR(G418)+1</f>
        <v/>
      </c>
      <c r="B418" s="7" t="n"/>
      <c r="C418" s="7" t="n"/>
      <c r="D418" s="85">
        <f>IFERROR(
IF(AND(OR(Planilla!B418="C",Planilla!B418="c"), VLOOKUP(E418,FD:FP,13,0)="C"), "OK",IF(AND(OR(Planilla!B418="C",Planilla!B418="c"), OR(VLOOKUP(E418,FD:FP,13,0)="B", VLOOKUP(E418,FD:FP,13,0)="A")), "DEFICIT",IF(
AND(OR(Planilla!B418="B", Planilla!B418="BPAL"), VLOOKUP(E418,FD:FP,13,0)="B"), "OK",IF(AND(OR(Planilla!B418="B", Planilla!B418="BPAL"), VLOOKUP(E418,FD:FP,13,0)="A"), "DEFICIT",IF(AND(OR(Planilla!B418="B", Planilla!B418="BPAL"), VLOOKUP(E418,FD:FP,13,0)="C"), "SOBREOFERTA",IF(AND(Planilla!B418="A", VLOOKUP(E418,FD:FP,13,0)="A"), "OK",IF(
AND(Planilla!B418="A", OR(VLOOKUP(E418,FD:FP,13,0)="B", VLOOKUP(E418,FD:FP,13,0)="C")), "SOBREOFERTA",""
))))))),"")</f>
        <v/>
      </c>
      <c r="E418" s="8" t="n"/>
      <c r="F418" s="86" t="n"/>
      <c r="G418" s="87" t="n"/>
      <c r="H418" s="88">
        <f>IF(I418="","",IF(AND((I418-G418)&gt;=TIME(0,0,0),(I418-G418)&lt;TIME(0,3,0)),"OK",IF(AND((I418-G418)&gt;=TIME(0,3,0),(I418-G418)&lt;TIME(0,5,0)),"RETRASO DE 3-5 MIN",IF(AND((I418-G418)&gt;=TIME(0,5,0),(I418-G418)&lt;TIME(0,10,0)),"RETRASO DE 5-10 MIN",IF((I418-G418)&gt;=TIME(0,10,0),"RETRASO &gt;10 MIN", IF(AND((G418-I418)&gt;=TIME(0,0,0),(G418-I418)&lt;TIME(0,3,0)),"OK",IF((G418-I418)&gt;=TIME(0,3,0),"ADELANTADO")))))))</f>
        <v/>
      </c>
      <c r="I418" s="89" t="n"/>
      <c r="J418" s="89">
        <f>IF(A418&lt;&gt;"",HLOOKUP(VALUE(TEXT(G418,"h:mm:ss")),IF($C$6="Laboral",$FZ$4:$GX$227,IF($C$6="Sábado",$FZ$231:$GX$452,$FZ$456:$GX$656)),VLOOKUP($C$4,$HF$2:$HH$99,3,0)+IF(C$5="Ida",0,1),1),"")</f>
        <v/>
      </c>
      <c r="K418" s="89">
        <f>IF(A419&lt;&gt;A418,AVERAGEIF(A$9:A418,A418,J$9:J418),"")</f>
        <v/>
      </c>
      <c r="L418" s="89">
        <f>IFERROR(IF(A419&lt;&gt;A418,AVERAGEIF(A$9:A418,A418,S$9:S418),""),"")</f>
        <v/>
      </c>
      <c r="M418" s="89">
        <f>IFERROR(IF(A419&lt;&gt;A418,AVERAGEIF(A$9:A418,A418,T$9:T418),""),"")</f>
        <v/>
      </c>
      <c r="N418" s="89">
        <f t="array" ref="N418">IFERROR(IF(A419&lt;&gt;A418,_xlfn.STDEV.P(IF(A$9:A418=A418,T$9:T418)),""),"")</f>
        <v/>
      </c>
      <c r="O418" s="89">
        <f t="array" ref="O418">IFERROR(IF(A419&lt;&gt;A418,_xlfn.STDEV.P(IF(A$9:A418=A418,S$9:S418)),""),"")</f>
        <v/>
      </c>
      <c r="P418" s="90">
        <f>IFERROR(IF(A418&lt;&gt;A419,MAX((((M418*24*60)/2)*(1+POWER((((N418*24*60) / (M418*24*60) )),2))) + ((M418*24*60 )*-0.1 + (K418*0.015)) +1,(((M418*24*60)/2)*(1+POWER((((N418*24*60) / (M418*24*60 ))),2)))),""),"")</f>
        <v/>
      </c>
      <c r="Q418" s="90">
        <f>IF(AND(O418&lt;&gt;"",L418&lt;&gt;""),IF(A418&lt;&gt;A419,((L418*24*60) / 2 ) * (1 + POWER(((O418*24*60) / (L418*24*60)),2)),""),"")</f>
        <v/>
      </c>
      <c r="R418" s="90">
        <f>IF(Q418&lt;&gt;"",MAX(P418,Q418),"")</f>
        <v/>
      </c>
      <c r="S418" s="89">
        <f>IF(I418&lt;&gt;"H. Sale Real",IF(AND(I419&lt;&gt;"",LEFT(C419,2)&lt;&gt;"Va"),IF(AND(I418&lt;&gt;"",LEFT(C418,2)&lt;&gt;"Va",I418&lt;&gt;"H. Sale Real"),IF(I419-I418&lt;0.208333333333333,I419-I418,""),IF(AND(I417&lt;&gt;"",LEFT(C417,2)&lt;&gt;"Va",I417&lt;&gt;"H. Sale Real"),IF(I419-I417&lt;0.208333333333333,I419-I417,""),IF(AND(I416&lt;&gt;"",LEFT(C416,2)&lt;&gt;"Va",I416&lt;&gt;"H. Sale Real"),IF(I419-I416&lt;0.208333333333333,I419-I416,""),IF(AND(I415&lt;&gt;"",LEFT(C415,2)&lt;&gt;"Va",I415&lt;&gt;"H. Sale Real"),IF(I419-I415&lt;0.208333333333333,I419-I415,""),IF(AND(I414&lt;&gt;"",LEFT(C414,2)&lt;&gt;"Va",I414&lt;&gt;"H. Sale Real"),IF(I419-I414&lt;0.208333333333333,I419-I414,""),""))))),""),"")</f>
        <v/>
      </c>
      <c r="T418" s="89">
        <f>IF(G418&lt;&gt;"H. Sale Real",IF(AND(G419&lt;&gt;"",LEFT(C419,2)&lt;&gt;"Va"),IF(AND(G418&lt;&gt;"",LEFT(C418,2)&lt;&gt;"Va",G418&lt;&gt;"H. Sale Real"),IF(G419-G418&lt;0.208333333333333,G419-G418,""),IF(AND(G417&lt;&gt;"",LEFT(C417,2)&lt;&gt;"Va",G417&lt;&gt;"H. Sale Real"),IF(G419-G417&lt;0.208333333333333,G419-G417,""),IF(AND(G416&lt;&gt;"",LEFT(C416,2)&lt;&gt;"Va",G416&lt;&gt;"H. Sale Real"),IF(G419-G416&lt;0.208333333333333,G419-G416,""),IF(AND(G415&lt;&gt;"",LEFT(C415,2)&lt;&gt;"Va",G415&lt;&gt;"H. Sale Real"),IF(G419-G415&lt;0.208333333333333,G419-G415,""),IF(AND(G414&lt;&gt;"",LEFT(C414,2)&lt;&gt;"Va",G414&lt;&gt;"H. Sale Real"),IF(G419-G414&lt;0.208333333333333,G419-G414,""),""))))),""),"")</f>
        <v/>
      </c>
      <c r="U418" s="87" t="n"/>
      <c r="V418" s="89" t="n"/>
      <c r="W418" s="87" t="n"/>
      <c r="X418" s="89" t="n"/>
      <c r="Y418" s="91" t="n"/>
      <c r="Z418" s="122">
        <f>IF(G418&lt;&gt;"",IF(AND(Z417&lt;&gt;"IE",P418&lt;&gt;0,R418&lt;&gt;""),IF(IFERROR((P418/R418),0) &lt;=1,IFERROR(P418/R418,""),1),""),"")</f>
        <v/>
      </c>
      <c r="AA418" s="93" t="n"/>
      <c r="AB418" s="2" t="n"/>
      <c r="AE418" s="10">
        <f>HOUR(AK418)+1</f>
        <v/>
      </c>
      <c r="AF418" s="7" t="n"/>
      <c r="AG418" s="7" t="n"/>
      <c r="AH418" s="86" t="n"/>
      <c r="AI418" s="8" t="n"/>
      <c r="AJ418" s="86" t="n"/>
      <c r="AK418" s="87" t="n"/>
      <c r="AL418" s="88">
        <f>IF(AM418="","",IF(AND((AM418-AK418)&gt;=TIME(0,0,0),(AM418-AK418)&lt;TIME(0,3,0)),"OK",IF(AND((AM418-AK418)&gt;=TIME(0,3,0),(AM418-AK418)&lt;TIME(0,5,0)),"RETRASO DE 3-5 MIN",IF(AND((AM418-AK418)&gt;=TIME(0,5,0),(AM418-AK418)&lt;TIME(0,10,0)),"RETRASO DE 5-10 MIN",IF((AM418-AK418)&gt;=TIME(0,10,0),"RETRASO &gt;10 MIN", IF(AND((AK418-AM418)&gt;=TIME(0,0,0),(AK418-AM418)&lt;TIME(0,3,0)),"OK",IF((AK418-AM418)&gt;=TIME(0,3,0),"ADELANTADO")))))))</f>
        <v/>
      </c>
      <c r="AM418" s="91" t="n"/>
      <c r="AN418" s="89">
        <f>IF(AE418&lt;&gt;"",HLOOKUP(VALUE(TEXT(AK418,"h:mm:ss")),IF($C$6="Laboral",$FZ$4:$GX$227,IF($C$6="Sábado",$FZ$231:$GX$452,$FZ$456:$GX$656)),VLOOKUP($C$4,$HF$2:$HH$99,3,0)+IF(AG$5="Ida",0,1),1),"")</f>
        <v/>
      </c>
      <c r="AO418" s="89">
        <f>IF(AE419&lt;&gt;AE418,AVERAGEIF(AE$9:AE418,AE418,AN$9:AN418),"")</f>
        <v/>
      </c>
      <c r="AP418" s="89">
        <f>IFERROR(IF(AE419&lt;&gt;AE418,AVERAGEIF(AE$9:AE418,AE418,AW$9:AW418),""),"")</f>
        <v/>
      </c>
      <c r="AQ418" s="89">
        <f>IFERROR(IF(AE419&lt;&gt;AE418,AVERAGEIF(AE$9:AE418,AE418,AX$9:AX418),""),"")</f>
        <v/>
      </c>
      <c r="AR418" s="89">
        <f t="array" ref="AR418">IFERROR(IF(AE419&lt;&gt;AE418,_xlfn.STDEV.P(IF(AE$9:AE418=AE418,AX$9:AX418)),""),"")</f>
        <v/>
      </c>
      <c r="AS418" s="89">
        <f t="array" ref="AS418">IFERROR(IF(AE419&lt;&gt;AE418,_xlfn.STDEV.P(IF(AE$9:AE418=AE418,AW$9:AW418)),""),"")</f>
        <v/>
      </c>
      <c r="AT418" s="90">
        <f>IFERROR(IF(AE418&lt;&gt;AE419,MAX((((AQ418*24*60)/2)*(1+POWER((((AR418*24*60) / (AQ418*24*60) )),2))) + ((AQ418*24*60 )*-0.1 + (AO418*0.015)) +1,(((AQ418*24*60)/2)*(1+POWER((((AR418*24*60) / (AQ418*24*60 ))),2)))),""),"")</f>
        <v/>
      </c>
      <c r="AU418" s="90">
        <f>IF(AND(AS418&lt;&gt;"",AP418&lt;&gt;""),IF(AE418&lt;&gt;AE419,((AP418*24*60) / 2 ) * (1 + POWER(((AS418*24*60) / (AP418*24*60)),2)),""),"")</f>
        <v/>
      </c>
      <c r="AV418" s="90">
        <f>IF(AU418&lt;&gt;"",MAX(AT418,AU418),"")</f>
        <v/>
      </c>
      <c r="AW418" s="89">
        <f>IF(AM418&lt;&gt;"H. Sale Real",IF(AND(AM419&lt;&gt;"",LEFT(AG419,2)&lt;&gt;"Va"),IF(AND(AM418&lt;&gt;"",LEFT(AG418,2)&lt;&gt;"Va",AM418&lt;&gt;"H. Sale Real"),IF(AM419-AM418&lt;0.208333333333333,AM419-AM418,""),IF(AND(AM417&lt;&gt;"",LEFT(AG417,2)&lt;&gt;"Va",AM417&lt;&gt;"H. Sale Real"),IF(AM419-AM417&lt;0.208333333333333,AM419-AM417,""),IF(AND(AM416&lt;&gt;"",LEFT(AG416,2)&lt;&gt;"Va",AM416&lt;&gt;"H. Sale Real"),IF(AM419-AM416&lt;0.208333333333333,AM419-AM416,""),IF(AND(AM415&lt;&gt;"",LEFT(AG415,2)&lt;&gt;"Va",AM415&lt;&gt;"H. Sale Real"),IF(AM419-AM415&lt;0.208333333333333,AM419-AM415,""),IF(AND(AM414&lt;&gt;"",LEFT(AG414,2)&lt;&gt;"Va",AM414&lt;&gt;"H. Sale Real"),IF(AM419-AM414&lt;0.208333333333333,AM419-AM414,""),""))))),""),"")</f>
        <v/>
      </c>
      <c r="AX418" s="89">
        <f>IF(AK418&lt;&gt;"H. Sale Real",IF(AND(AK419&lt;&gt;"",LEFT(AG419,2)&lt;&gt;"Va"),IF(AND(AK418&lt;&gt;"",LEFT(AG418,2)&lt;&gt;"Va",AK418&lt;&gt;"H. Sale Real"),IF(AK419-AK418&lt;0.208333333333333,AK419-AK418,""),IF(AND(AK417&lt;&gt;"",LEFT(AG417,2)&lt;&gt;"Va",AK417&lt;&gt;"H. Sale Real"),IF(AK419-AK417&lt;0.208333333333333,AK419-AK417,""),IF(AND(AK416&lt;&gt;"",LEFT(AG416,2)&lt;&gt;"NC",AK416&lt;&gt;"H. Sale Real"),IF(AK419-AK416&lt;0.208333333333333,AK419-AK416,""),IF(AND(AK415&lt;&gt;"",LEFT(AG415,2)&lt;&gt;"Va",AK415&lt;&gt;"H. Sale Real"),IF(AK419-AK415&lt;0.208333333333333,AK419-AK415,""),IF(AND(AK414&lt;&gt;"",LEFT(AG414,2)&lt;&gt;"Va",AK414&lt;&gt;"H. Sale Real"),IF(AK419-AK414&lt;0.208333333333333,AK419-AK414,""),""))))),""),"")</f>
        <v/>
      </c>
      <c r="AY418" s="87" t="n"/>
      <c r="AZ418" s="89" t="n"/>
      <c r="BA418" s="87" t="n"/>
      <c r="BB418" s="89" t="n"/>
      <c r="BC418" s="91" t="n"/>
      <c r="BD418" s="122">
        <f>IF(AK418&lt;&gt;"",IF(AND(BD417&lt;&gt;"IE",AT418&lt;&gt;0,AV418&lt;&gt;""),IF(IFERROR((AT418/AV418),0) &lt;=1,IFERROR(AT418/AV418,""),1),""),"")</f>
        <v/>
      </c>
      <c r="BE418" s="93" t="n"/>
      <c r="BF418" s="105" t="n"/>
      <c r="FC418" t="inlineStr">
        <is>
          <t>Diccionario 1</t>
        </is>
      </c>
      <c r="FD418" s="15" t="n">
        <v>1417</v>
      </c>
      <c r="FE418" s="15" t="inlineStr">
        <is>
          <t>MDN35025030021</t>
        </is>
      </c>
      <c r="FF418" s="15" t="inlineStr">
        <is>
          <t>LDYECS31XS0044304</t>
        </is>
      </c>
      <c r="FG418" s="15" t="inlineStr">
        <is>
          <t>Zhong Tong</t>
        </is>
      </c>
      <c r="FH418" s="15" t="inlineStr">
        <is>
          <t>Lck6122evg</t>
        </is>
      </c>
      <c r="FI418" s="15" t="inlineStr">
        <is>
          <t>ZHONGTONG</t>
        </is>
      </c>
      <c r="FJ418" s="15" t="inlineStr">
        <is>
          <t>LCK6122EVG</t>
        </is>
      </c>
      <c r="FK418" s="15" t="n">
        <v>2025</v>
      </c>
      <c r="FL418" s="15" t="inlineStr">
        <is>
          <t>B</t>
        </is>
      </c>
      <c r="FM418" s="15" t="inlineStr">
        <is>
          <t>CERRILLOS</t>
        </is>
      </c>
      <c r="FN418" s="15" t="inlineStr">
        <is>
          <t>Calle Uno 7371</t>
        </is>
      </c>
      <c r="FO418" s="15" t="inlineStr">
        <is>
          <t>Cerrillos</t>
        </is>
      </c>
      <c r="FP418" t="inlineStr">
        <is>
          <t>B</t>
        </is>
      </c>
      <c r="FS418" s="14" t="inlineStr">
        <is>
          <t>3106 / SFWZ-68|</t>
        </is>
      </c>
      <c r="FT418" t="inlineStr">
        <is>
          <t>SFWZ-68|</t>
        </is>
      </c>
      <c r="FU418" t="inlineStr">
        <is>
          <t>SFWZ-68</t>
        </is>
      </c>
      <c r="FV418">
        <f>VLOOKUP(FU418,FD:FL,9,0)</f>
        <v/>
      </c>
      <c r="HA418" s="35" t="n">
        <v>188</v>
      </c>
      <c r="HB418" s="35" t="n">
        <v>412</v>
      </c>
    </row>
    <row r="419" ht="15.5" customHeight="1">
      <c r="A419" s="10">
        <f>HOUR(G419)+1</f>
        <v/>
      </c>
      <c r="B419" s="7" t="n"/>
      <c r="C419" s="7" t="n"/>
      <c r="D419" s="85">
        <f>IFERROR(
IF(AND(OR(Planilla!B419="C",Planilla!B419="c"), VLOOKUP(E419,FD:FP,13,0)="C"), "OK",IF(AND(OR(Planilla!B419="C",Planilla!B419="c"), OR(VLOOKUP(E419,FD:FP,13,0)="B", VLOOKUP(E419,FD:FP,13,0)="A")), "DEFICIT",IF(
AND(OR(Planilla!B419="B", Planilla!B419="BPAL"), VLOOKUP(E419,FD:FP,13,0)="B"), "OK",IF(AND(OR(Planilla!B419="B", Planilla!B419="BPAL"), VLOOKUP(E419,FD:FP,13,0)="A"), "DEFICIT",IF(AND(OR(Planilla!B419="B", Planilla!B419="BPAL"), VLOOKUP(E419,FD:FP,13,0)="C"), "SOBREOFERTA",IF(AND(Planilla!B419="A", VLOOKUP(E419,FD:FP,13,0)="A"), "OK",IF(
AND(Planilla!B419="A", OR(VLOOKUP(E419,FD:FP,13,0)="B", VLOOKUP(E419,FD:FP,13,0)="C")), "SOBREOFERTA",""
))))))),"")</f>
        <v/>
      </c>
      <c r="E419" s="8" t="n"/>
      <c r="F419" s="86" t="n"/>
      <c r="G419" s="87" t="n"/>
      <c r="H419" s="88">
        <f>IF(I419="","",IF(AND((I419-G419)&gt;=TIME(0,0,0),(I419-G419)&lt;TIME(0,3,0)),"OK",IF(AND((I419-G419)&gt;=TIME(0,3,0),(I419-G419)&lt;TIME(0,5,0)),"RETRASO DE 3-5 MIN",IF(AND((I419-G419)&gt;=TIME(0,5,0),(I419-G419)&lt;TIME(0,10,0)),"RETRASO DE 5-10 MIN",IF((I419-G419)&gt;=TIME(0,10,0),"RETRASO &gt;10 MIN", IF(AND((G419-I419)&gt;=TIME(0,0,0),(G419-I419)&lt;TIME(0,3,0)),"OK",IF((G419-I419)&gt;=TIME(0,3,0),"ADELANTADO")))))))</f>
        <v/>
      </c>
      <c r="I419" s="89" t="n"/>
      <c r="J419" s="89">
        <f>IF(A419&lt;&gt;"",HLOOKUP(VALUE(TEXT(G419,"h:mm:ss")),IF($C$6="Laboral",$FZ$4:$GX$227,IF($C$6="Sábado",$FZ$231:$GX$452,$FZ$456:$GX$656)),VLOOKUP($C$4,$HF$2:$HH$99,3,0)+IF(C$5="Ida",0,1),1),"")</f>
        <v/>
      </c>
      <c r="K419" s="89">
        <f>IF(A420&lt;&gt;A419,AVERAGEIF(A$9:A419,A419,J$9:J419),"")</f>
        <v/>
      </c>
      <c r="L419" s="89">
        <f>IFERROR(IF(A420&lt;&gt;A419,AVERAGEIF(A$9:A419,A419,S$9:S419),""),"")</f>
        <v/>
      </c>
      <c r="M419" s="89">
        <f>IFERROR(IF(A420&lt;&gt;A419,AVERAGEIF(A$9:A419,A419,T$9:T419),""),"")</f>
        <v/>
      </c>
      <c r="N419" s="89">
        <f t="array" ref="N419">IFERROR(IF(A420&lt;&gt;A419,_xlfn.STDEV.P(IF(A$9:A419=A419,T$9:T419)),""),"")</f>
        <v/>
      </c>
      <c r="O419" s="89">
        <f t="array" ref="O419">IFERROR(IF(A420&lt;&gt;A419,_xlfn.STDEV.P(IF(A$9:A419=A419,S$9:S419)),""),"")</f>
        <v/>
      </c>
      <c r="P419" s="90">
        <f>IFERROR(IF(A419&lt;&gt;A420,MAX((((M419*24*60)/2)*(1+POWER((((N419*24*60) / (M419*24*60) )),2))) + ((M419*24*60 )*-0.1 + (K419*0.015)) +1,(((M419*24*60)/2)*(1+POWER((((N419*24*60) / (M419*24*60 ))),2)))),""),"")</f>
        <v/>
      </c>
      <c r="Q419" s="90">
        <f>IF(AND(O419&lt;&gt;"",L419&lt;&gt;""),IF(A419&lt;&gt;A420,((L419*24*60) / 2 ) * (1 + POWER(((O419*24*60) / (L419*24*60)),2)),""),"")</f>
        <v/>
      </c>
      <c r="R419" s="90">
        <f>IF(Q419&lt;&gt;"",MAX(P419,Q419),"")</f>
        <v/>
      </c>
      <c r="S419" s="89">
        <f>IF(I419&lt;&gt;"H. Sale Real",IF(AND(I420&lt;&gt;"",LEFT(C420,2)&lt;&gt;"Va"),IF(AND(I419&lt;&gt;"",LEFT(C419,2)&lt;&gt;"Va",I419&lt;&gt;"H. Sale Real"),IF(I420-I419&lt;0.208333333333333,I420-I419,""),IF(AND(I418&lt;&gt;"",LEFT(C418,2)&lt;&gt;"Va",I418&lt;&gt;"H. Sale Real"),IF(I420-I418&lt;0.208333333333333,I420-I418,""),IF(AND(I417&lt;&gt;"",LEFT(C417,2)&lt;&gt;"Va",I417&lt;&gt;"H. Sale Real"),IF(I420-I417&lt;0.208333333333333,I420-I417,""),IF(AND(I416&lt;&gt;"",LEFT(C416,2)&lt;&gt;"Va",I416&lt;&gt;"H. Sale Real"),IF(I420-I416&lt;0.208333333333333,I420-I416,""),IF(AND(I415&lt;&gt;"",LEFT(C415,2)&lt;&gt;"Va",I415&lt;&gt;"H. Sale Real"),IF(I420-I415&lt;0.208333333333333,I420-I415,""),""))))),""),"")</f>
        <v/>
      </c>
      <c r="T419" s="89">
        <f>IF(G419&lt;&gt;"H. Sale Real",IF(AND(G420&lt;&gt;"",LEFT(C420,2)&lt;&gt;"Va"),IF(AND(G419&lt;&gt;"",LEFT(C419,2)&lt;&gt;"Va",G419&lt;&gt;"H. Sale Real"),IF(G420-G419&lt;0.208333333333333,G420-G419,""),IF(AND(G418&lt;&gt;"",LEFT(C418,2)&lt;&gt;"Va",G418&lt;&gt;"H. Sale Real"),IF(G420-G418&lt;0.208333333333333,G420-G418,""),IF(AND(G417&lt;&gt;"",LEFT(C417,2)&lt;&gt;"Va",G417&lt;&gt;"H. Sale Real"),IF(G420-G417&lt;0.208333333333333,G420-G417,""),IF(AND(G416&lt;&gt;"",LEFT(C416,2)&lt;&gt;"Va",G416&lt;&gt;"H. Sale Real"),IF(G420-G416&lt;0.208333333333333,G420-G416,""),IF(AND(G415&lt;&gt;"",LEFT(C415,2)&lt;&gt;"Va",G415&lt;&gt;"H. Sale Real"),IF(G420-G415&lt;0.208333333333333,G420-G415,""),""))))),""),"")</f>
        <v/>
      </c>
      <c r="U419" s="87" t="n"/>
      <c r="V419" s="89" t="n"/>
      <c r="W419" s="87" t="n"/>
      <c r="X419" s="89" t="n"/>
      <c r="Y419" s="91" t="n"/>
      <c r="Z419" s="122">
        <f>IF(G419&lt;&gt;"",IF(AND(Z418&lt;&gt;"IE",P419&lt;&gt;0,R419&lt;&gt;""),IF(IFERROR((P419/R419),0) &lt;=1,IFERROR(P419/R419,""),1),""),"")</f>
        <v/>
      </c>
      <c r="AA419" s="93" t="n"/>
      <c r="AB419" s="2" t="n"/>
      <c r="AE419" s="10">
        <f>HOUR(AK419)+1</f>
        <v/>
      </c>
      <c r="AF419" s="7" t="n"/>
      <c r="AG419" s="7" t="n"/>
      <c r="AH419" s="86" t="n"/>
      <c r="AI419" s="8" t="n"/>
      <c r="AJ419" s="86" t="n"/>
      <c r="AK419" s="87" t="n"/>
      <c r="AL419" s="88">
        <f>IF(AM419="","",IF(AND((AM419-AK419)&gt;=TIME(0,0,0),(AM419-AK419)&lt;TIME(0,3,0)),"OK",IF(AND((AM419-AK419)&gt;=TIME(0,3,0),(AM419-AK419)&lt;TIME(0,5,0)),"RETRASO DE 3-5 MIN",IF(AND((AM419-AK419)&gt;=TIME(0,5,0),(AM419-AK419)&lt;TIME(0,10,0)),"RETRASO DE 5-10 MIN",IF((AM419-AK419)&gt;=TIME(0,10,0),"RETRASO &gt;10 MIN", IF(AND((AK419-AM419)&gt;=TIME(0,0,0),(AK419-AM419)&lt;TIME(0,3,0)),"OK",IF((AK419-AM419)&gt;=TIME(0,3,0),"ADELANTADO")))))))</f>
        <v/>
      </c>
      <c r="AM419" s="91" t="n"/>
      <c r="AN419" s="89">
        <f>IF(AE419&lt;&gt;"",HLOOKUP(VALUE(TEXT(AK419,"h:mm:ss")),IF($C$6="Laboral",$FZ$4:$GX$227,IF($C$6="Sábado",$FZ$231:$GX$452,$FZ$456:$GX$656)),VLOOKUP($C$4,$HF$2:$HH$99,3,0)+IF(AG$5="Ida",0,1),1),"")</f>
        <v/>
      </c>
      <c r="AO419" s="89">
        <f>IF(AE420&lt;&gt;AE419,AVERAGEIF(AE$9:AE419,AE419,AN$9:AN419),"")</f>
        <v/>
      </c>
      <c r="AP419" s="89">
        <f>IFERROR(IF(AE420&lt;&gt;AE419,AVERAGEIF(AE$9:AE419,AE419,AW$9:AW419),""),"")</f>
        <v/>
      </c>
      <c r="AQ419" s="89">
        <f>IFERROR(IF(AE420&lt;&gt;AE419,AVERAGEIF(AE$9:AE419,AE419,AX$9:AX419),""),"")</f>
        <v/>
      </c>
      <c r="AR419" s="89">
        <f t="array" ref="AR419">IFERROR(IF(AE420&lt;&gt;AE419,_xlfn.STDEV.P(IF(AE$9:AE419=AE419,AX$9:AX419)),""),"")</f>
        <v/>
      </c>
      <c r="AS419" s="89">
        <f t="array" ref="AS419">IFERROR(IF(AE420&lt;&gt;AE419,_xlfn.STDEV.P(IF(AE$9:AE419=AE419,AW$9:AW419)),""),"")</f>
        <v/>
      </c>
      <c r="AT419" s="90">
        <f>IFERROR(IF(AE419&lt;&gt;AE420,MAX((((AQ419*24*60)/2)*(1+POWER((((AR419*24*60) / (AQ419*24*60) )),2))) + ((AQ419*24*60 )*-0.1 + (AO419*0.015)) +1,(((AQ419*24*60)/2)*(1+POWER((((AR419*24*60) / (AQ419*24*60 ))),2)))),""),"")</f>
        <v/>
      </c>
      <c r="AU419" s="90">
        <f>IF(AND(AS419&lt;&gt;"",AP419&lt;&gt;""),IF(AE419&lt;&gt;AE420,((AP419*24*60) / 2 ) * (1 + POWER(((AS419*24*60) / (AP419*24*60)),2)),""),"")</f>
        <v/>
      </c>
      <c r="AV419" s="90">
        <f>IF(AU419&lt;&gt;"",MAX(AT419,AU419),"")</f>
        <v/>
      </c>
      <c r="AW419" s="89">
        <f>IF(AM419&lt;&gt;"H. Sale Real",IF(AND(AM420&lt;&gt;"",LEFT(AG420,2)&lt;&gt;"Va"),IF(AND(AM419&lt;&gt;"",LEFT(AG419,2)&lt;&gt;"Va",AM419&lt;&gt;"H. Sale Real"),IF(AM420-AM419&lt;0.208333333333333,AM420-AM419,""),IF(AND(AM418&lt;&gt;"",LEFT(AG418,2)&lt;&gt;"Va",AM418&lt;&gt;"H. Sale Real"),IF(AM420-AM418&lt;0.208333333333333,AM420-AM418,""),IF(AND(AM417&lt;&gt;"",LEFT(AG417,2)&lt;&gt;"Va",AM417&lt;&gt;"H. Sale Real"),IF(AM420-AM417&lt;0.208333333333333,AM420-AM417,""),IF(AND(AM416&lt;&gt;"",LEFT(AG416,2)&lt;&gt;"Va",AM416&lt;&gt;"H. Sale Real"),IF(AM420-AM416&lt;0.208333333333333,AM420-AM416,""),IF(AND(AM415&lt;&gt;"",LEFT(AG415,2)&lt;&gt;"Va",AM415&lt;&gt;"H. Sale Real"),IF(AM420-AM415&lt;0.208333333333333,AM420-AM415,""),""))))),""),"")</f>
        <v/>
      </c>
      <c r="AX419" s="89">
        <f>IF(AK419&lt;&gt;"H. Sale Real",IF(AND(AK420&lt;&gt;"",LEFT(AG420,2)&lt;&gt;"Va"),IF(AND(AK419&lt;&gt;"",LEFT(AG419,2)&lt;&gt;"Va",AK419&lt;&gt;"H. Sale Real"),IF(AK420-AK419&lt;0.208333333333333,AK420-AK419,""),IF(AND(AK418&lt;&gt;"",LEFT(AG418,2)&lt;&gt;"Va",AK418&lt;&gt;"H. Sale Real"),IF(AK420-AK418&lt;0.208333333333333,AK420-AK418,""),IF(AND(AK417&lt;&gt;"",LEFT(AG417,2)&lt;&gt;"NC",AK417&lt;&gt;"H. Sale Real"),IF(AK420-AK417&lt;0.208333333333333,AK420-AK417,""),IF(AND(AK416&lt;&gt;"",LEFT(AG416,2)&lt;&gt;"Va",AK416&lt;&gt;"H. Sale Real"),IF(AK420-AK416&lt;0.208333333333333,AK420-AK416,""),IF(AND(AK415&lt;&gt;"",LEFT(AG415,2)&lt;&gt;"Va",AK415&lt;&gt;"H. Sale Real"),IF(AK420-AK415&lt;0.208333333333333,AK420-AK415,""),""))))),""),"")</f>
        <v/>
      </c>
      <c r="AY419" s="87" t="n"/>
      <c r="AZ419" s="89" t="n"/>
      <c r="BA419" s="87" t="n"/>
      <c r="BB419" s="89" t="n"/>
      <c r="BC419" s="91" t="n"/>
      <c r="BD419" s="122">
        <f>IF(AK419&lt;&gt;"",IF(AND(BD418&lt;&gt;"IE",AT419&lt;&gt;0,AV419&lt;&gt;""),IF(IFERROR((AT419/AV419),0) &lt;=1,IFERROR(AT419/AV419,""),1),""),"")</f>
        <v/>
      </c>
      <c r="BE419" s="93" t="n"/>
      <c r="BF419" s="105" t="n"/>
      <c r="FC419" t="inlineStr">
        <is>
          <t>Diccionario 1</t>
        </is>
      </c>
      <c r="FD419" s="15" t="n">
        <v>1418</v>
      </c>
      <c r="FE419" s="15" t="inlineStr">
        <is>
          <t>MDN35025030136</t>
        </is>
      </c>
      <c r="FF419" s="15" t="inlineStr">
        <is>
          <t>LDYECS315S0044324</t>
        </is>
      </c>
      <c r="FG419" s="15" t="inlineStr">
        <is>
          <t>Zhong Tong</t>
        </is>
      </c>
      <c r="FH419" s="15" t="inlineStr">
        <is>
          <t>Lck6122evg</t>
        </is>
      </c>
      <c r="FI419" s="15" t="inlineStr">
        <is>
          <t>ZHONGTONG</t>
        </is>
      </c>
      <c r="FJ419" s="15" t="inlineStr">
        <is>
          <t>LCK6122EVG</t>
        </is>
      </c>
      <c r="FK419" s="15" t="n">
        <v>2025</v>
      </c>
      <c r="FL419" s="15" t="inlineStr">
        <is>
          <t>B</t>
        </is>
      </c>
      <c r="FM419" s="15" t="inlineStr">
        <is>
          <t>PIE ANDINO</t>
        </is>
      </c>
      <c r="FN419" s="15" t="inlineStr">
        <is>
          <t>Pie Andino 31 (Pie Andino 383)</t>
        </is>
      </c>
      <c r="FO419" s="15" t="inlineStr">
        <is>
          <t>Puente Alto</t>
        </is>
      </c>
      <c r="FP419" t="inlineStr">
        <is>
          <t>B</t>
        </is>
      </c>
      <c r="FS419" s="14" t="inlineStr">
        <is>
          <t>3106 / SFWZ-68|</t>
        </is>
      </c>
      <c r="FT419" t="inlineStr">
        <is>
          <t>SFWZ-68|</t>
        </is>
      </c>
      <c r="FU419" t="inlineStr">
        <is>
          <t>SFWZ-68</t>
        </is>
      </c>
      <c r="FV419">
        <f>VLOOKUP(FU419,FD:FL,9,0)</f>
        <v/>
      </c>
      <c r="HA419" s="35" t="n">
        <v>189</v>
      </c>
      <c r="HB419" s="35" t="n">
        <v>413</v>
      </c>
    </row>
    <row r="420" ht="15.5" customHeight="1">
      <c r="A420" s="10">
        <f>HOUR(G420)+1</f>
        <v/>
      </c>
      <c r="B420" s="7" t="n"/>
      <c r="C420" s="7" t="n"/>
      <c r="D420" s="85">
        <f>IFERROR(
IF(AND(OR(Planilla!B420="C",Planilla!B420="c"), VLOOKUP(E420,FD:FP,13,0)="C"), "OK",IF(AND(OR(Planilla!B420="C",Planilla!B420="c"), OR(VLOOKUP(E420,FD:FP,13,0)="B", VLOOKUP(E420,FD:FP,13,0)="A")), "DEFICIT",IF(
AND(OR(Planilla!B420="B", Planilla!B420="BPAL"), VLOOKUP(E420,FD:FP,13,0)="B"), "OK",IF(AND(OR(Planilla!B420="B", Planilla!B420="BPAL"), VLOOKUP(E420,FD:FP,13,0)="A"), "DEFICIT",IF(AND(OR(Planilla!B420="B", Planilla!B420="BPAL"), VLOOKUP(E420,FD:FP,13,0)="C"), "SOBREOFERTA",IF(AND(Planilla!B420="A", VLOOKUP(E420,FD:FP,13,0)="A"), "OK",IF(
AND(Planilla!B420="A", OR(VLOOKUP(E420,FD:FP,13,0)="B", VLOOKUP(E420,FD:FP,13,0)="C")), "SOBREOFERTA",""
))))))),"")</f>
        <v/>
      </c>
      <c r="E420" s="8" t="n"/>
      <c r="F420" s="86" t="n"/>
      <c r="G420" s="87" t="n"/>
      <c r="H420" s="88">
        <f>IF(I420="","",IF(AND((I420-G420)&gt;=TIME(0,0,0),(I420-G420)&lt;TIME(0,3,0)),"OK",IF(AND((I420-G420)&gt;=TIME(0,3,0),(I420-G420)&lt;TIME(0,5,0)),"RETRASO DE 3-5 MIN",IF(AND((I420-G420)&gt;=TIME(0,5,0),(I420-G420)&lt;TIME(0,10,0)),"RETRASO DE 5-10 MIN",IF((I420-G420)&gt;=TIME(0,10,0),"RETRASO &gt;10 MIN", IF(AND((G420-I420)&gt;=TIME(0,0,0),(G420-I420)&lt;TIME(0,3,0)),"OK",IF((G420-I420)&gt;=TIME(0,3,0),"ADELANTADO")))))))</f>
        <v/>
      </c>
      <c r="I420" s="89" t="n"/>
      <c r="J420" s="89">
        <f>IF(A420&lt;&gt;"",HLOOKUP(VALUE(TEXT(G420,"h:mm:ss")),IF($C$6="Laboral",$FZ$4:$GX$227,IF($C$6="Sábado",$FZ$231:$GX$452,$FZ$456:$GX$656)),VLOOKUP($C$4,$HF$2:$HH$99,3,0)+IF(C$5="Ida",0,1),1),"")</f>
        <v/>
      </c>
      <c r="K420" s="89">
        <f>IF(A421&lt;&gt;A420,AVERAGEIF(A$9:A420,A420,J$9:J420),"")</f>
        <v/>
      </c>
      <c r="L420" s="89">
        <f>IFERROR(IF(A421&lt;&gt;A420,AVERAGEIF(A$9:A420,A420,S$9:S420),""),"")</f>
        <v/>
      </c>
      <c r="M420" s="89">
        <f>IFERROR(IF(A421&lt;&gt;A420,AVERAGEIF(A$9:A420,A420,T$9:T420),""),"")</f>
        <v/>
      </c>
      <c r="N420" s="89">
        <f t="array" ref="N420">IFERROR(IF(A421&lt;&gt;A420,_xlfn.STDEV.P(IF(A$9:A420=A420,T$9:T420)),""),"")</f>
        <v/>
      </c>
      <c r="O420" s="89">
        <f t="array" ref="O420">IFERROR(IF(A421&lt;&gt;A420,_xlfn.STDEV.P(IF(A$9:A420=A420,S$9:S420)),""),"")</f>
        <v/>
      </c>
      <c r="P420" s="90">
        <f>IFERROR(IF(A420&lt;&gt;A421,MAX((((M420*24*60)/2)*(1+POWER((((N420*24*60) / (M420*24*60) )),2))) + ((M420*24*60 )*-0.1 + (K420*0.015)) +1,(((M420*24*60)/2)*(1+POWER((((N420*24*60) / (M420*24*60 ))),2)))),""),"")</f>
        <v/>
      </c>
      <c r="Q420" s="90">
        <f>IF(AND(O420&lt;&gt;"",L420&lt;&gt;""),IF(A420&lt;&gt;A421,((L420*24*60) / 2 ) * (1 + POWER(((O420*24*60) / (L420*24*60)),2)),""),"")</f>
        <v/>
      </c>
      <c r="R420" s="90">
        <f>IF(Q420&lt;&gt;"",MAX(P420,Q420),"")</f>
        <v/>
      </c>
      <c r="S420" s="89">
        <f>IF(I420&lt;&gt;"H. Sale Real",IF(AND(I421&lt;&gt;"",LEFT(C421,2)&lt;&gt;"Va"),IF(AND(I420&lt;&gt;"",LEFT(C420,2)&lt;&gt;"Va",I420&lt;&gt;"H. Sale Real"),IF(I421-I420&lt;0.208333333333333,I421-I420,""),IF(AND(I419&lt;&gt;"",LEFT(C419,2)&lt;&gt;"Va",I419&lt;&gt;"H. Sale Real"),IF(I421-I419&lt;0.208333333333333,I421-I419,""),IF(AND(I418&lt;&gt;"",LEFT(C418,2)&lt;&gt;"Va",I418&lt;&gt;"H. Sale Real"),IF(I421-I418&lt;0.208333333333333,I421-I418,""),IF(AND(I417&lt;&gt;"",LEFT(C417,2)&lt;&gt;"Va",I417&lt;&gt;"H. Sale Real"),IF(I421-I417&lt;0.208333333333333,I421-I417,""),IF(AND(I416&lt;&gt;"",LEFT(C416,2)&lt;&gt;"Va",I416&lt;&gt;"H. Sale Real"),IF(I421-I416&lt;0.208333333333333,I421-I416,""),""))))),""),"")</f>
        <v/>
      </c>
      <c r="T420" s="89">
        <f>IF(G420&lt;&gt;"H. Sale Real",IF(AND(G421&lt;&gt;"",LEFT(C421,2)&lt;&gt;"Va"),IF(AND(G420&lt;&gt;"",LEFT(C420,2)&lt;&gt;"Va",G420&lt;&gt;"H. Sale Real"),IF(G421-G420&lt;0.208333333333333,G421-G420,""),IF(AND(G419&lt;&gt;"",LEFT(C419,2)&lt;&gt;"Va",G419&lt;&gt;"H. Sale Real"),IF(G421-G419&lt;0.208333333333333,G421-G419,""),IF(AND(G418&lt;&gt;"",LEFT(C418,2)&lt;&gt;"Va",G418&lt;&gt;"H. Sale Real"),IF(G421-G418&lt;0.208333333333333,G421-G418,""),IF(AND(G417&lt;&gt;"",LEFT(C417,2)&lt;&gt;"Va",G417&lt;&gt;"H. Sale Real"),IF(G421-G417&lt;0.208333333333333,G421-G417,""),IF(AND(G416&lt;&gt;"",LEFT(C416,2)&lt;&gt;"Va",G416&lt;&gt;"H. Sale Real"),IF(G421-G416&lt;0.208333333333333,G421-G416,""),""))))),""),"")</f>
        <v/>
      </c>
      <c r="U420" s="87" t="n"/>
      <c r="V420" s="89" t="n"/>
      <c r="W420" s="87" t="n"/>
      <c r="X420" s="89" t="n"/>
      <c r="Y420" s="91" t="n"/>
      <c r="Z420" s="122">
        <f>IF(G420&lt;&gt;"",IF(AND(Z419&lt;&gt;"IE",P420&lt;&gt;0,R420&lt;&gt;""),IF(IFERROR((P420/R420),0) &lt;=1,IFERROR(P420/R420,""),1),""),"")</f>
        <v/>
      </c>
      <c r="AA420" s="93" t="n"/>
      <c r="AB420" s="2" t="n"/>
      <c r="AE420" s="10">
        <f>HOUR(AK420)+1</f>
        <v/>
      </c>
      <c r="AF420" s="7" t="n"/>
      <c r="AG420" s="7" t="n"/>
      <c r="AH420" s="86" t="n"/>
      <c r="AI420" s="8" t="n"/>
      <c r="AJ420" s="86" t="n"/>
      <c r="AK420" s="87" t="n"/>
      <c r="AL420" s="88">
        <f>IF(AM420="","",IF(AND((AM420-AK420)&gt;=TIME(0,0,0),(AM420-AK420)&lt;TIME(0,3,0)),"OK",IF(AND((AM420-AK420)&gt;=TIME(0,3,0),(AM420-AK420)&lt;TIME(0,5,0)),"RETRASO DE 3-5 MIN",IF(AND((AM420-AK420)&gt;=TIME(0,5,0),(AM420-AK420)&lt;TIME(0,10,0)),"RETRASO DE 5-10 MIN",IF((AM420-AK420)&gt;=TIME(0,10,0),"RETRASO &gt;10 MIN", IF(AND((AK420-AM420)&gt;=TIME(0,0,0),(AK420-AM420)&lt;TIME(0,3,0)),"OK",IF((AK420-AM420)&gt;=TIME(0,3,0),"ADELANTADO")))))))</f>
        <v/>
      </c>
      <c r="AM420" s="91" t="n"/>
      <c r="AN420" s="89">
        <f>IF(AE420&lt;&gt;"",HLOOKUP(VALUE(TEXT(AK420,"h:mm:ss")),IF($C$6="Laboral",$FZ$4:$GX$227,IF($C$6="Sábado",$FZ$231:$GX$452,$FZ$456:$GX$656)),VLOOKUP($C$4,$HF$2:$HH$99,3,0)+IF(AG$5="Ida",0,1),1),"")</f>
        <v/>
      </c>
      <c r="AO420" s="89">
        <f>IF(AE421&lt;&gt;AE420,AVERAGEIF(AE$9:AE420,AE420,AN$9:AN420),"")</f>
        <v/>
      </c>
      <c r="AP420" s="89">
        <f>IFERROR(IF(AE421&lt;&gt;AE420,AVERAGEIF(AE$9:AE420,AE420,AW$9:AW420),""),"")</f>
        <v/>
      </c>
      <c r="AQ420" s="89">
        <f>IFERROR(IF(AE421&lt;&gt;AE420,AVERAGEIF(AE$9:AE420,AE420,AX$9:AX420),""),"")</f>
        <v/>
      </c>
      <c r="AR420" s="89">
        <f t="array" ref="AR420">IFERROR(IF(AE421&lt;&gt;AE420,_xlfn.STDEV.P(IF(AE$9:AE420=AE420,AX$9:AX420)),""),"")</f>
        <v/>
      </c>
      <c r="AS420" s="89">
        <f t="array" ref="AS420">IFERROR(IF(AE421&lt;&gt;AE420,_xlfn.STDEV.P(IF(AE$9:AE420=AE420,AW$9:AW420)),""),"")</f>
        <v/>
      </c>
      <c r="AT420" s="90">
        <f>IFERROR(IF(AE420&lt;&gt;AE421,MAX((((AQ420*24*60)/2)*(1+POWER((((AR420*24*60) / (AQ420*24*60) )),2))) + ((AQ420*24*60 )*-0.1 + (AO420*0.015)) +1,(((AQ420*24*60)/2)*(1+POWER((((AR420*24*60) / (AQ420*24*60 ))),2)))),""),"")</f>
        <v/>
      </c>
      <c r="AU420" s="90">
        <f>IF(AND(AS420&lt;&gt;"",AP420&lt;&gt;""),IF(AE420&lt;&gt;AE421,((AP420*24*60) / 2 ) * (1 + POWER(((AS420*24*60) / (AP420*24*60)),2)),""),"")</f>
        <v/>
      </c>
      <c r="AV420" s="90">
        <f>IF(AU420&lt;&gt;"",MAX(AT420,AU420),"")</f>
        <v/>
      </c>
      <c r="AW420" s="89">
        <f>IF(AM420&lt;&gt;"H. Sale Real",IF(AND(AM421&lt;&gt;"",LEFT(AG421,2)&lt;&gt;"Va"),IF(AND(AM420&lt;&gt;"",LEFT(AG420,2)&lt;&gt;"Va",AM420&lt;&gt;"H. Sale Real"),IF(AM421-AM420&lt;0.208333333333333,AM421-AM420,""),IF(AND(AM419&lt;&gt;"",LEFT(AG419,2)&lt;&gt;"Va",AM419&lt;&gt;"H. Sale Real"),IF(AM421-AM419&lt;0.208333333333333,AM421-AM419,""),IF(AND(AM418&lt;&gt;"",LEFT(AG418,2)&lt;&gt;"Va",AM418&lt;&gt;"H. Sale Real"),IF(AM421-AM418&lt;0.208333333333333,AM421-AM418,""),IF(AND(AM417&lt;&gt;"",LEFT(AG417,2)&lt;&gt;"Va",AM417&lt;&gt;"H. Sale Real"),IF(AM421-AM417&lt;0.208333333333333,AM421-AM417,""),IF(AND(AM416&lt;&gt;"",LEFT(AG416,2)&lt;&gt;"Va",AM416&lt;&gt;"H. Sale Real"),IF(AM421-AM416&lt;0.208333333333333,AM421-AM416,""),""))))),""),"")</f>
        <v/>
      </c>
      <c r="AX420" s="89">
        <f>IF(AK420&lt;&gt;"H. Sale Real",IF(AND(AK421&lt;&gt;"",LEFT(AG421,2)&lt;&gt;"Va"),IF(AND(AK420&lt;&gt;"",LEFT(AG420,2)&lt;&gt;"Va",AK420&lt;&gt;"H. Sale Real"),IF(AK421-AK420&lt;0.208333333333333,AK421-AK420,""),IF(AND(AK419&lt;&gt;"",LEFT(AG419,2)&lt;&gt;"Va",AK419&lt;&gt;"H. Sale Real"),IF(AK421-AK419&lt;0.208333333333333,AK421-AK419,""),IF(AND(AK418&lt;&gt;"",LEFT(AG418,2)&lt;&gt;"NC",AK418&lt;&gt;"H. Sale Real"),IF(AK421-AK418&lt;0.208333333333333,AK421-AK418,""),IF(AND(AK417&lt;&gt;"",LEFT(AG417,2)&lt;&gt;"Va",AK417&lt;&gt;"H. Sale Real"),IF(AK421-AK417&lt;0.208333333333333,AK421-AK417,""),IF(AND(AK416&lt;&gt;"",LEFT(AG416,2)&lt;&gt;"Va",AK416&lt;&gt;"H. Sale Real"),IF(AK421-AK416&lt;0.208333333333333,AK421-AK416,""),""))))),""),"")</f>
        <v/>
      </c>
      <c r="AY420" s="87" t="n"/>
      <c r="AZ420" s="89" t="n"/>
      <c r="BA420" s="87" t="n"/>
      <c r="BB420" s="89" t="n"/>
      <c r="BC420" s="91" t="n"/>
      <c r="BD420" s="122">
        <f>IF(AK420&lt;&gt;"",IF(AND(BD419&lt;&gt;"IE",AT420&lt;&gt;0,AV420&lt;&gt;""),IF(IFERROR((AT420/AV420),0) &lt;=1,IFERROR(AT420/AV420,""),1),""),"")</f>
        <v/>
      </c>
      <c r="BE420" s="93" t="n"/>
      <c r="BF420" s="105" t="n"/>
      <c r="FC420" t="inlineStr">
        <is>
          <t>Diccionario 1</t>
        </is>
      </c>
      <c r="FD420" s="15" t="n">
        <v>1419</v>
      </c>
      <c r="FE420" s="15" t="inlineStr">
        <is>
          <t>MDN35025030073</t>
        </is>
      </c>
      <c r="FF420" s="15" t="inlineStr">
        <is>
          <t>LDYECS311S0044305</t>
        </is>
      </c>
      <c r="FG420" s="15" t="inlineStr">
        <is>
          <t>Zhong Tong</t>
        </is>
      </c>
      <c r="FH420" s="15" t="inlineStr">
        <is>
          <t>Lck6122evg</t>
        </is>
      </c>
      <c r="FI420" s="15" t="inlineStr">
        <is>
          <t>ZHONGTONG</t>
        </is>
      </c>
      <c r="FJ420" s="15" t="inlineStr">
        <is>
          <t>LCK6122EVG</t>
        </is>
      </c>
      <c r="FK420" s="15" t="n">
        <v>2025</v>
      </c>
      <c r="FL420" s="15" t="inlineStr">
        <is>
          <t>B</t>
        </is>
      </c>
      <c r="FM420" s="15" t="inlineStr">
        <is>
          <t>CERRILLOS</t>
        </is>
      </c>
      <c r="FN420" s="15" t="inlineStr">
        <is>
          <t>Calle Uno 7371</t>
        </is>
      </c>
      <c r="FO420" s="15" t="inlineStr">
        <is>
          <t>Cerrillos</t>
        </is>
      </c>
      <c r="FP420" t="inlineStr">
        <is>
          <t>B</t>
        </is>
      </c>
      <c r="FS420" s="14" t="inlineStr">
        <is>
          <t>3106 / SFWZ-68|</t>
        </is>
      </c>
      <c r="FT420" t="inlineStr">
        <is>
          <t>SFWZ-68|</t>
        </is>
      </c>
      <c r="FU420" t="inlineStr">
        <is>
          <t>SFWZ-68</t>
        </is>
      </c>
      <c r="FV420">
        <f>VLOOKUP(FU420,FD:FL,9,0)</f>
        <v/>
      </c>
      <c r="HA420" s="35" t="n">
        <v>190</v>
      </c>
      <c r="HB420" s="35" t="n">
        <v>414</v>
      </c>
    </row>
    <row r="421" ht="15.5" customHeight="1">
      <c r="A421" s="10">
        <f>HOUR(G421)+1</f>
        <v/>
      </c>
      <c r="B421" s="7" t="n"/>
      <c r="C421" s="7" t="n"/>
      <c r="D421" s="85">
        <f>IFERROR(
IF(AND(OR(Planilla!B421="C",Planilla!B421="c"), VLOOKUP(E421,FD:FP,13,0)="C"), "OK",IF(AND(OR(Planilla!B421="C",Planilla!B421="c"), OR(VLOOKUP(E421,FD:FP,13,0)="B", VLOOKUP(E421,FD:FP,13,0)="A")), "DEFICIT",IF(
AND(OR(Planilla!B421="B", Planilla!B421="BPAL"), VLOOKUP(E421,FD:FP,13,0)="B"), "OK",IF(AND(OR(Planilla!B421="B", Planilla!B421="BPAL"), VLOOKUP(E421,FD:FP,13,0)="A"), "DEFICIT",IF(AND(OR(Planilla!B421="B", Planilla!B421="BPAL"), VLOOKUP(E421,FD:FP,13,0)="C"), "SOBREOFERTA",IF(AND(Planilla!B421="A", VLOOKUP(E421,FD:FP,13,0)="A"), "OK",IF(
AND(Planilla!B421="A", OR(VLOOKUP(E421,FD:FP,13,0)="B", VLOOKUP(E421,FD:FP,13,0)="C")), "SOBREOFERTA",""
))))))),"")</f>
        <v/>
      </c>
      <c r="E421" s="8" t="n"/>
      <c r="F421" s="86" t="n"/>
      <c r="G421" s="87" t="n"/>
      <c r="H421" s="88">
        <f>IF(I421="","",IF(AND((I421-G421)&gt;=TIME(0,0,0),(I421-G421)&lt;TIME(0,3,0)),"OK",IF(AND((I421-G421)&gt;=TIME(0,3,0),(I421-G421)&lt;TIME(0,5,0)),"RETRASO DE 3-5 MIN",IF(AND((I421-G421)&gt;=TIME(0,5,0),(I421-G421)&lt;TIME(0,10,0)),"RETRASO DE 5-10 MIN",IF((I421-G421)&gt;=TIME(0,10,0),"RETRASO &gt;10 MIN", IF(AND((G421-I421)&gt;=TIME(0,0,0),(G421-I421)&lt;TIME(0,3,0)),"OK",IF((G421-I421)&gt;=TIME(0,3,0),"ADELANTADO")))))))</f>
        <v/>
      </c>
      <c r="I421" s="89" t="n"/>
      <c r="J421" s="89">
        <f>IF(A421&lt;&gt;"",HLOOKUP(VALUE(TEXT(G421,"h:mm:ss")),IF($C$6="Laboral",$FZ$4:$GX$227,IF($C$6="Sábado",$FZ$231:$GX$452,$FZ$456:$GX$656)),VLOOKUP($C$4,$HF$2:$HH$99,3,0)+IF(C$5="Ida",0,1),1),"")</f>
        <v/>
      </c>
      <c r="K421" s="89">
        <f>IF(A422&lt;&gt;A421,AVERAGEIF(A$9:A421,A421,J$9:J421),"")</f>
        <v/>
      </c>
      <c r="L421" s="89">
        <f>IFERROR(IF(A422&lt;&gt;A421,AVERAGEIF(A$9:A421,A421,S$9:S421),""),"")</f>
        <v/>
      </c>
      <c r="M421" s="89">
        <f>IFERROR(IF(A422&lt;&gt;A421,AVERAGEIF(A$9:A421,A421,T$9:T421),""),"")</f>
        <v/>
      </c>
      <c r="N421" s="89">
        <f t="array" ref="N421">IFERROR(IF(A422&lt;&gt;A421,_xlfn.STDEV.P(IF(A$9:A421=A421,T$9:T421)),""),"")</f>
        <v/>
      </c>
      <c r="O421" s="89">
        <f t="array" ref="O421">IFERROR(IF(A422&lt;&gt;A421,_xlfn.STDEV.P(IF(A$9:A421=A421,S$9:S421)),""),"")</f>
        <v/>
      </c>
      <c r="P421" s="90">
        <f>IFERROR(IF(A421&lt;&gt;A422,MAX((((M421*24*60)/2)*(1+POWER((((N421*24*60) / (M421*24*60) )),2))) + ((M421*24*60 )*-0.1 + (K421*0.015)) +1,(((M421*24*60)/2)*(1+POWER((((N421*24*60) / (M421*24*60 ))),2)))),""),"")</f>
        <v/>
      </c>
      <c r="Q421" s="90">
        <f>IF(AND(O421&lt;&gt;"",L421&lt;&gt;""),IF(A421&lt;&gt;A422,((L421*24*60) / 2 ) * (1 + POWER(((O421*24*60) / (L421*24*60)),2)),""),"")</f>
        <v/>
      </c>
      <c r="R421" s="90">
        <f>IF(Q421&lt;&gt;"",MAX(P421,Q421),"")</f>
        <v/>
      </c>
      <c r="S421" s="89">
        <f>IF(I421&lt;&gt;"H. Sale Real",IF(AND(I422&lt;&gt;"",LEFT(C422,2)&lt;&gt;"Va"),IF(AND(I421&lt;&gt;"",LEFT(C421,2)&lt;&gt;"Va",I421&lt;&gt;"H. Sale Real"),IF(I422-I421&lt;0.208333333333333,I422-I421,""),IF(AND(I420&lt;&gt;"",LEFT(C420,2)&lt;&gt;"Va",I420&lt;&gt;"H. Sale Real"),IF(I422-I420&lt;0.208333333333333,I422-I420,""),IF(AND(I419&lt;&gt;"",LEFT(C419,2)&lt;&gt;"Va",I419&lt;&gt;"H. Sale Real"),IF(I422-I419&lt;0.208333333333333,I422-I419,""),IF(AND(I418&lt;&gt;"",LEFT(C418,2)&lt;&gt;"Va",I418&lt;&gt;"H. Sale Real"),IF(I422-I418&lt;0.208333333333333,I422-I418,""),IF(AND(I417&lt;&gt;"",LEFT(C417,2)&lt;&gt;"Va",I417&lt;&gt;"H. Sale Real"),IF(I422-I417&lt;0.208333333333333,I422-I417,""),""))))),""),"")</f>
        <v/>
      </c>
      <c r="T421" s="89">
        <f>IF(G421&lt;&gt;"H. Sale Real",IF(AND(G422&lt;&gt;"",LEFT(C422,2)&lt;&gt;"Va"),IF(AND(G421&lt;&gt;"",LEFT(C421,2)&lt;&gt;"Va",G421&lt;&gt;"H. Sale Real"),IF(G422-G421&lt;0.208333333333333,G422-G421,""),IF(AND(G420&lt;&gt;"",LEFT(C420,2)&lt;&gt;"Va",G420&lt;&gt;"H. Sale Real"),IF(G422-G420&lt;0.208333333333333,G422-G420,""),IF(AND(G419&lt;&gt;"",LEFT(C419,2)&lt;&gt;"Va",G419&lt;&gt;"H. Sale Real"),IF(G422-G419&lt;0.208333333333333,G422-G419,""),IF(AND(G418&lt;&gt;"",LEFT(C418,2)&lt;&gt;"Va",G418&lt;&gt;"H. Sale Real"),IF(G422-G418&lt;0.208333333333333,G422-G418,""),IF(AND(G417&lt;&gt;"",LEFT(C417,2)&lt;&gt;"Va",G417&lt;&gt;"H. Sale Real"),IF(G422-G417&lt;0.208333333333333,G422-G417,""),""))))),""),"")</f>
        <v/>
      </c>
      <c r="U421" s="87" t="n"/>
      <c r="V421" s="89" t="n"/>
      <c r="W421" s="87" t="n"/>
      <c r="X421" s="89" t="n"/>
      <c r="Y421" s="91" t="n"/>
      <c r="Z421" s="122">
        <f>IF(G421&lt;&gt;"",IF(AND(Z420&lt;&gt;"IE",P421&lt;&gt;0,R421&lt;&gt;""),IF(IFERROR((P421/R421),0) &lt;=1,IFERROR(P421/R421,""),1),""),"")</f>
        <v/>
      </c>
      <c r="AA421" s="93" t="n"/>
      <c r="AB421" s="2" t="n"/>
      <c r="AE421" s="10">
        <f>HOUR(AK421)+1</f>
        <v/>
      </c>
      <c r="AF421" s="7" t="n"/>
      <c r="AG421" s="7" t="n"/>
      <c r="AH421" s="86" t="n"/>
      <c r="AI421" s="8" t="n"/>
      <c r="AJ421" s="86" t="n"/>
      <c r="AK421" s="87" t="n"/>
      <c r="AL421" s="88">
        <f>IF(AM421="","",IF(AND((AM421-AK421)&gt;=TIME(0,0,0),(AM421-AK421)&lt;TIME(0,3,0)),"OK",IF(AND((AM421-AK421)&gt;=TIME(0,3,0),(AM421-AK421)&lt;TIME(0,5,0)),"RETRASO DE 3-5 MIN",IF(AND((AM421-AK421)&gt;=TIME(0,5,0),(AM421-AK421)&lt;TIME(0,10,0)),"RETRASO DE 5-10 MIN",IF((AM421-AK421)&gt;=TIME(0,10,0),"RETRASO &gt;10 MIN", IF(AND((AK421-AM421)&gt;=TIME(0,0,0),(AK421-AM421)&lt;TIME(0,3,0)),"OK",IF((AK421-AM421)&gt;=TIME(0,3,0),"ADELANTADO")))))))</f>
        <v/>
      </c>
      <c r="AM421" s="91" t="n"/>
      <c r="AN421" s="89">
        <f>IF(AE421&lt;&gt;"",HLOOKUP(VALUE(TEXT(AK421,"h:mm:ss")),IF($C$6="Laboral",$FZ$4:$GX$227,IF($C$6="Sábado",$FZ$231:$GX$452,$FZ$456:$GX$656)),VLOOKUP($C$4,$HF$2:$HH$99,3,0)+IF(AG$5="Ida",0,1),1),"")</f>
        <v/>
      </c>
      <c r="AO421" s="89">
        <f>IF(AE422&lt;&gt;AE421,AVERAGEIF(AE$9:AE421,AE421,AN$9:AN421),"")</f>
        <v/>
      </c>
      <c r="AP421" s="89">
        <f>IFERROR(IF(AE422&lt;&gt;AE421,AVERAGEIF(AE$9:AE421,AE421,AW$9:AW421),""),"")</f>
        <v/>
      </c>
      <c r="AQ421" s="89">
        <f>IFERROR(IF(AE422&lt;&gt;AE421,AVERAGEIF(AE$9:AE421,AE421,AX$9:AX421),""),"")</f>
        <v/>
      </c>
      <c r="AR421" s="89">
        <f t="array" ref="AR421">IFERROR(IF(AE422&lt;&gt;AE421,_xlfn.STDEV.P(IF(AE$9:AE421=AE421,AX$9:AX421)),""),"")</f>
        <v/>
      </c>
      <c r="AS421" s="89">
        <f t="array" ref="AS421">IFERROR(IF(AE422&lt;&gt;AE421,_xlfn.STDEV.P(IF(AE$9:AE421=AE421,AW$9:AW421)),""),"")</f>
        <v/>
      </c>
      <c r="AT421" s="90">
        <f>IFERROR(IF(AE421&lt;&gt;AE422,MAX((((AQ421*24*60)/2)*(1+POWER((((AR421*24*60) / (AQ421*24*60) )),2))) + ((AQ421*24*60 )*-0.1 + (AO421*0.015)) +1,(((AQ421*24*60)/2)*(1+POWER((((AR421*24*60) / (AQ421*24*60 ))),2)))),""),"")</f>
        <v/>
      </c>
      <c r="AU421" s="90">
        <f>IF(AND(AS421&lt;&gt;"",AP421&lt;&gt;""),IF(AE421&lt;&gt;AE422,((AP421*24*60) / 2 ) * (1 + POWER(((AS421*24*60) / (AP421*24*60)),2)),""),"")</f>
        <v/>
      </c>
      <c r="AV421" s="90">
        <f>IF(AU421&lt;&gt;"",MAX(AT421,AU421),"")</f>
        <v/>
      </c>
      <c r="AW421" s="89">
        <f>IF(AM421&lt;&gt;"H. Sale Real",IF(AND(AM422&lt;&gt;"",LEFT(AG422,2)&lt;&gt;"Va"),IF(AND(AM421&lt;&gt;"",LEFT(AG421,2)&lt;&gt;"Va",AM421&lt;&gt;"H. Sale Real"),IF(AM422-AM421&lt;0.208333333333333,AM422-AM421,""),IF(AND(AM420&lt;&gt;"",LEFT(AG420,2)&lt;&gt;"Va",AM420&lt;&gt;"H. Sale Real"),IF(AM422-AM420&lt;0.208333333333333,AM422-AM420,""),IF(AND(AM419&lt;&gt;"",LEFT(AG419,2)&lt;&gt;"Va",AM419&lt;&gt;"H. Sale Real"),IF(AM422-AM419&lt;0.208333333333333,AM422-AM419,""),IF(AND(AM418&lt;&gt;"",LEFT(AG418,2)&lt;&gt;"Va",AM418&lt;&gt;"H. Sale Real"),IF(AM422-AM418&lt;0.208333333333333,AM422-AM418,""),IF(AND(AM417&lt;&gt;"",LEFT(AG417,2)&lt;&gt;"Va",AM417&lt;&gt;"H. Sale Real"),IF(AM422-AM417&lt;0.208333333333333,AM422-AM417,""),""))))),""),"")</f>
        <v/>
      </c>
      <c r="AX421" s="89">
        <f>IF(AK421&lt;&gt;"H. Sale Real",IF(AND(AK422&lt;&gt;"",LEFT(AG422,2)&lt;&gt;"Va"),IF(AND(AK421&lt;&gt;"",LEFT(AG421,2)&lt;&gt;"Va",AK421&lt;&gt;"H. Sale Real"),IF(AK422-AK421&lt;0.208333333333333,AK422-AK421,""),IF(AND(AK420&lt;&gt;"",LEFT(AG420,2)&lt;&gt;"Va",AK420&lt;&gt;"H. Sale Real"),IF(AK422-AK420&lt;0.208333333333333,AK422-AK420,""),IF(AND(AK419&lt;&gt;"",LEFT(AG419,2)&lt;&gt;"NC",AK419&lt;&gt;"H. Sale Real"),IF(AK422-AK419&lt;0.208333333333333,AK422-AK419,""),IF(AND(AK418&lt;&gt;"",LEFT(AG418,2)&lt;&gt;"Va",AK418&lt;&gt;"H. Sale Real"),IF(AK422-AK418&lt;0.208333333333333,AK422-AK418,""),IF(AND(AK417&lt;&gt;"",LEFT(AG417,2)&lt;&gt;"Va",AK417&lt;&gt;"H. Sale Real"),IF(AK422-AK417&lt;0.208333333333333,AK422-AK417,""),""))))),""),"")</f>
        <v/>
      </c>
      <c r="AY421" s="87" t="n"/>
      <c r="AZ421" s="89" t="n"/>
      <c r="BA421" s="87" t="n"/>
      <c r="BB421" s="89" t="n"/>
      <c r="BC421" s="91" t="n"/>
      <c r="BD421" s="122">
        <f>IF(AK421&lt;&gt;"",IF(AND(BD420&lt;&gt;"IE",AT421&lt;&gt;0,AV421&lt;&gt;""),IF(IFERROR((AT421/AV421),0) &lt;=1,IFERROR(AT421/AV421,""),1),""),"")</f>
        <v/>
      </c>
      <c r="BE421" s="93" t="n"/>
      <c r="BF421" s="105" t="n"/>
      <c r="FC421" t="inlineStr">
        <is>
          <t>Diccionario 1</t>
        </is>
      </c>
      <c r="FD421" s="15" t="n">
        <v>1420</v>
      </c>
      <c r="FE421" s="15" t="inlineStr">
        <is>
          <t>MDN35025030018</t>
        </is>
      </c>
      <c r="FF421" s="15" t="inlineStr">
        <is>
          <t>LDYECS31XS0044383</t>
        </is>
      </c>
      <c r="FG421" s="15" t="inlineStr">
        <is>
          <t>Zhong Tong</t>
        </is>
      </c>
      <c r="FH421" s="15" t="inlineStr">
        <is>
          <t>Lck6122evg</t>
        </is>
      </c>
      <c r="FI421" s="15" t="inlineStr">
        <is>
          <t>ZHONGTONG</t>
        </is>
      </c>
      <c r="FJ421" s="15" t="inlineStr">
        <is>
          <t>LCK6122EVG</t>
        </is>
      </c>
      <c r="FK421" s="15" t="n">
        <v>2025</v>
      </c>
      <c r="FL421" s="15" t="inlineStr">
        <is>
          <t>B</t>
        </is>
      </c>
      <c r="FM421" s="15" t="inlineStr">
        <is>
          <t>PIE ANDINO</t>
        </is>
      </c>
      <c r="FN421" s="15" t="inlineStr">
        <is>
          <t>Pie Andino 31 (Pie Andino 383)</t>
        </is>
      </c>
      <c r="FO421" s="15" t="inlineStr">
        <is>
          <t>Puente Alto</t>
        </is>
      </c>
      <c r="FP421" t="inlineStr">
        <is>
          <t>B</t>
        </is>
      </c>
      <c r="FS421" s="14" t="inlineStr">
        <is>
          <t>3106 / SFWZ-68|</t>
        </is>
      </c>
      <c r="FT421" t="inlineStr">
        <is>
          <t>SFWZ-68|</t>
        </is>
      </c>
      <c r="FU421" t="inlineStr">
        <is>
          <t>SFWZ-68</t>
        </is>
      </c>
      <c r="FV421">
        <f>VLOOKUP(FU421,FD:FL,9,0)</f>
        <v/>
      </c>
      <c r="HA421" s="35" t="n">
        <v>191</v>
      </c>
      <c r="HB421" s="35" t="n">
        <v>415</v>
      </c>
    </row>
    <row r="422" ht="15.5" customHeight="1">
      <c r="A422" s="10">
        <f>HOUR(G422)+1</f>
        <v/>
      </c>
      <c r="B422" s="7" t="n"/>
      <c r="C422" s="7" t="n"/>
      <c r="D422" s="85">
        <f>IFERROR(
IF(AND(OR(Planilla!B422="C",Planilla!B422="c"), VLOOKUP(E422,FD:FP,13,0)="C"), "OK",IF(AND(OR(Planilla!B422="C",Planilla!B422="c"), OR(VLOOKUP(E422,FD:FP,13,0)="B", VLOOKUP(E422,FD:FP,13,0)="A")), "DEFICIT",IF(
AND(OR(Planilla!B422="B", Planilla!B422="BPAL"), VLOOKUP(E422,FD:FP,13,0)="B"), "OK",IF(AND(OR(Planilla!B422="B", Planilla!B422="BPAL"), VLOOKUP(E422,FD:FP,13,0)="A"), "DEFICIT",IF(AND(OR(Planilla!B422="B", Planilla!B422="BPAL"), VLOOKUP(E422,FD:FP,13,0)="C"), "SOBREOFERTA",IF(AND(Planilla!B422="A", VLOOKUP(E422,FD:FP,13,0)="A"), "OK",IF(
AND(Planilla!B422="A", OR(VLOOKUP(E422,FD:FP,13,0)="B", VLOOKUP(E422,FD:FP,13,0)="C")), "SOBREOFERTA",""
))))))),"")</f>
        <v/>
      </c>
      <c r="E422" s="8" t="n"/>
      <c r="F422" s="86" t="n"/>
      <c r="G422" s="87" t="n"/>
      <c r="H422" s="88">
        <f>IF(I422="","",IF(AND((I422-G422)&gt;=TIME(0,0,0),(I422-G422)&lt;TIME(0,3,0)),"OK",IF(AND((I422-G422)&gt;=TIME(0,3,0),(I422-G422)&lt;TIME(0,5,0)),"RETRASO DE 3-5 MIN",IF(AND((I422-G422)&gt;=TIME(0,5,0),(I422-G422)&lt;TIME(0,10,0)),"RETRASO DE 5-10 MIN",IF((I422-G422)&gt;=TIME(0,10,0),"RETRASO &gt;10 MIN", IF(AND((G422-I422)&gt;=TIME(0,0,0),(G422-I422)&lt;TIME(0,3,0)),"OK",IF((G422-I422)&gt;=TIME(0,3,0),"ADELANTADO")))))))</f>
        <v/>
      </c>
      <c r="I422" s="89" t="n"/>
      <c r="J422" s="89">
        <f>IF(A422&lt;&gt;"",HLOOKUP(VALUE(TEXT(G422,"h:mm:ss")),IF($C$6="Laboral",$FZ$4:$GX$227,IF($C$6="Sábado",$FZ$231:$GX$452,$FZ$456:$GX$656)),VLOOKUP($C$4,$HF$2:$HH$99,3,0)+IF(C$5="Ida",0,1),1),"")</f>
        <v/>
      </c>
      <c r="K422" s="89">
        <f>IF(A423&lt;&gt;A422,AVERAGEIF(A$9:A422,A422,J$9:J422),"")</f>
        <v/>
      </c>
      <c r="L422" s="89">
        <f>IFERROR(IF(A423&lt;&gt;A422,AVERAGEIF(A$9:A422,A422,S$9:S422),""),"")</f>
        <v/>
      </c>
      <c r="M422" s="89">
        <f>IFERROR(IF(A423&lt;&gt;A422,AVERAGEIF(A$9:A422,A422,T$9:T422),""),"")</f>
        <v/>
      </c>
      <c r="N422" s="89">
        <f t="array" ref="N422">IFERROR(IF(A423&lt;&gt;A422,_xlfn.STDEV.P(IF(A$9:A422=A422,T$9:T422)),""),"")</f>
        <v/>
      </c>
      <c r="O422" s="89">
        <f t="array" ref="O422">IFERROR(IF(A423&lt;&gt;A422,_xlfn.STDEV.P(IF(A$9:A422=A422,S$9:S422)),""),"")</f>
        <v/>
      </c>
      <c r="P422" s="90">
        <f>IFERROR(IF(A422&lt;&gt;A423,MAX((((M422*24*60)/2)*(1+POWER((((N422*24*60) / (M422*24*60) )),2))) + ((M422*24*60 )*-0.1 + (K422*0.015)) +1,(((M422*24*60)/2)*(1+POWER((((N422*24*60) / (M422*24*60 ))),2)))),""),"")</f>
        <v/>
      </c>
      <c r="Q422" s="90">
        <f>IF(AND(O422&lt;&gt;"",L422&lt;&gt;""),IF(A422&lt;&gt;A423,((L422*24*60) / 2 ) * (1 + POWER(((O422*24*60) / (L422*24*60)),2)),""),"")</f>
        <v/>
      </c>
      <c r="R422" s="90">
        <f>IF(Q422&lt;&gt;"",MAX(P422,Q422),"")</f>
        <v/>
      </c>
      <c r="S422" s="89">
        <f>IF(I422&lt;&gt;"H. Sale Real",IF(AND(I423&lt;&gt;"",LEFT(C423,2)&lt;&gt;"Va"),IF(AND(I422&lt;&gt;"",LEFT(C422,2)&lt;&gt;"Va",I422&lt;&gt;"H. Sale Real"),IF(I423-I422&lt;0.208333333333333,I423-I422,""),IF(AND(I421&lt;&gt;"",LEFT(C421,2)&lt;&gt;"Va",I421&lt;&gt;"H. Sale Real"),IF(I423-I421&lt;0.208333333333333,I423-I421,""),IF(AND(I420&lt;&gt;"",LEFT(C420,2)&lt;&gt;"Va",I420&lt;&gt;"H. Sale Real"),IF(I423-I420&lt;0.208333333333333,I423-I420,""),IF(AND(I419&lt;&gt;"",LEFT(C419,2)&lt;&gt;"Va",I419&lt;&gt;"H. Sale Real"),IF(I423-I419&lt;0.208333333333333,I423-I419,""),IF(AND(I418&lt;&gt;"",LEFT(C418,2)&lt;&gt;"Va",I418&lt;&gt;"H. Sale Real"),IF(I423-I418&lt;0.208333333333333,I423-I418,""),""))))),""),"")</f>
        <v/>
      </c>
      <c r="T422" s="89">
        <f>IF(G422&lt;&gt;"H. Sale Real",IF(AND(G423&lt;&gt;"",LEFT(C423,2)&lt;&gt;"Va"),IF(AND(G422&lt;&gt;"",LEFT(C422,2)&lt;&gt;"Va",G422&lt;&gt;"H. Sale Real"),IF(G423-G422&lt;0.208333333333333,G423-G422,""),IF(AND(G421&lt;&gt;"",LEFT(C421,2)&lt;&gt;"Va",G421&lt;&gt;"H. Sale Real"),IF(G423-G421&lt;0.208333333333333,G423-G421,""),IF(AND(G420&lt;&gt;"",LEFT(C420,2)&lt;&gt;"Va",G420&lt;&gt;"H. Sale Real"),IF(G423-G420&lt;0.208333333333333,G423-G420,""),IF(AND(G419&lt;&gt;"",LEFT(C419,2)&lt;&gt;"Va",G419&lt;&gt;"H. Sale Real"),IF(G423-G419&lt;0.208333333333333,G423-G419,""),IF(AND(G418&lt;&gt;"",LEFT(C418,2)&lt;&gt;"Va",G418&lt;&gt;"H. Sale Real"),IF(G423-G418&lt;0.208333333333333,G423-G418,""),""))))),""),"")</f>
        <v/>
      </c>
      <c r="U422" s="87" t="n"/>
      <c r="V422" s="89" t="n"/>
      <c r="W422" s="87" t="n"/>
      <c r="X422" s="89" t="n"/>
      <c r="Y422" s="91" t="n"/>
      <c r="Z422" s="122">
        <f>IF(G422&lt;&gt;"",IF(AND(Z421&lt;&gt;"IE",P422&lt;&gt;0,R422&lt;&gt;""),IF(IFERROR((P422/R422),0) &lt;=1,IFERROR(P422/R422,""),1),""),"")</f>
        <v/>
      </c>
      <c r="AA422" s="93" t="n"/>
      <c r="AB422" s="2" t="n"/>
      <c r="AE422" s="10">
        <f>HOUR(AK422)+1</f>
        <v/>
      </c>
      <c r="AF422" s="7" t="n"/>
      <c r="AG422" s="7" t="n"/>
      <c r="AH422" s="86" t="n"/>
      <c r="AI422" s="8" t="n"/>
      <c r="AJ422" s="86" t="n"/>
      <c r="AK422" s="87" t="n"/>
      <c r="AL422" s="88">
        <f>IF(AM422="","",IF(AND((AM422-AK422)&gt;=TIME(0,0,0),(AM422-AK422)&lt;TIME(0,3,0)),"OK",IF(AND((AM422-AK422)&gt;=TIME(0,3,0),(AM422-AK422)&lt;TIME(0,5,0)),"RETRASO DE 3-5 MIN",IF(AND((AM422-AK422)&gt;=TIME(0,5,0),(AM422-AK422)&lt;TIME(0,10,0)),"RETRASO DE 5-10 MIN",IF((AM422-AK422)&gt;=TIME(0,10,0),"RETRASO &gt;10 MIN", IF(AND((AK422-AM422)&gt;=TIME(0,0,0),(AK422-AM422)&lt;TIME(0,3,0)),"OK",IF((AK422-AM422)&gt;=TIME(0,3,0),"ADELANTADO")))))))</f>
        <v/>
      </c>
      <c r="AM422" s="91" t="n"/>
      <c r="AN422" s="89">
        <f>IF(AE422&lt;&gt;"",HLOOKUP(VALUE(TEXT(AK422,"h:mm:ss")),IF($C$6="Laboral",$FZ$4:$GX$227,IF($C$6="Sábado",$FZ$231:$GX$452,$FZ$456:$GX$656)),VLOOKUP($C$4,$HF$2:$HH$99,3,0)+IF(AG$5="Ida",0,1),1),"")</f>
        <v/>
      </c>
      <c r="AO422" s="89">
        <f>IF(AE423&lt;&gt;AE422,AVERAGEIF(AE$9:AE422,AE422,AN$9:AN422),"")</f>
        <v/>
      </c>
      <c r="AP422" s="89">
        <f>IFERROR(IF(AE423&lt;&gt;AE422,AVERAGEIF(AE$9:AE422,AE422,AW$9:AW422),""),"")</f>
        <v/>
      </c>
      <c r="AQ422" s="89">
        <f>IFERROR(IF(AE423&lt;&gt;AE422,AVERAGEIF(AE$9:AE422,AE422,AX$9:AX422),""),"")</f>
        <v/>
      </c>
      <c r="AR422" s="89">
        <f t="array" ref="AR422">IFERROR(IF(AE423&lt;&gt;AE422,_xlfn.STDEV.P(IF(AE$9:AE422=AE422,AX$9:AX422)),""),"")</f>
        <v/>
      </c>
      <c r="AS422" s="89">
        <f t="array" ref="AS422">IFERROR(IF(AE423&lt;&gt;AE422,_xlfn.STDEV.P(IF(AE$9:AE422=AE422,AW$9:AW422)),""),"")</f>
        <v/>
      </c>
      <c r="AT422" s="90">
        <f>IFERROR(IF(AE422&lt;&gt;AE423,MAX((((AQ422*24*60)/2)*(1+POWER((((AR422*24*60) / (AQ422*24*60) )),2))) + ((AQ422*24*60 )*-0.1 + (AO422*0.015)) +1,(((AQ422*24*60)/2)*(1+POWER((((AR422*24*60) / (AQ422*24*60 ))),2)))),""),"")</f>
        <v/>
      </c>
      <c r="AU422" s="90">
        <f>IF(AND(AS422&lt;&gt;"",AP422&lt;&gt;""),IF(AE422&lt;&gt;AE423,((AP422*24*60) / 2 ) * (1 + POWER(((AS422*24*60) / (AP422*24*60)),2)),""),"")</f>
        <v/>
      </c>
      <c r="AV422" s="90">
        <f>IF(AU422&lt;&gt;"",MAX(AT422,AU422),"")</f>
        <v/>
      </c>
      <c r="AW422" s="89">
        <f>IF(AM422&lt;&gt;"H. Sale Real",IF(AND(AM423&lt;&gt;"",LEFT(AG423,2)&lt;&gt;"Va"),IF(AND(AM422&lt;&gt;"",LEFT(AG422,2)&lt;&gt;"Va",AM422&lt;&gt;"H. Sale Real"),IF(AM423-AM422&lt;0.208333333333333,AM423-AM422,""),IF(AND(AM421&lt;&gt;"",LEFT(AG421,2)&lt;&gt;"Va",AM421&lt;&gt;"H. Sale Real"),IF(AM423-AM421&lt;0.208333333333333,AM423-AM421,""),IF(AND(AM420&lt;&gt;"",LEFT(AG420,2)&lt;&gt;"Va",AM420&lt;&gt;"H. Sale Real"),IF(AM423-AM420&lt;0.208333333333333,AM423-AM420,""),IF(AND(AM419&lt;&gt;"",LEFT(AG419,2)&lt;&gt;"Va",AM419&lt;&gt;"H. Sale Real"),IF(AM423-AM419&lt;0.208333333333333,AM423-AM419,""),IF(AND(AM418&lt;&gt;"",LEFT(AG418,2)&lt;&gt;"Va",AM418&lt;&gt;"H. Sale Real"),IF(AM423-AM418&lt;0.208333333333333,AM423-AM418,""),""))))),""),"")</f>
        <v/>
      </c>
      <c r="AX422" s="89">
        <f>IF(AK422&lt;&gt;"H. Sale Real",IF(AND(AK423&lt;&gt;"",LEFT(AG423,2)&lt;&gt;"Va"),IF(AND(AK422&lt;&gt;"",LEFT(AG422,2)&lt;&gt;"Va",AK422&lt;&gt;"H. Sale Real"),IF(AK423-AK422&lt;0.208333333333333,AK423-AK422,""),IF(AND(AK421&lt;&gt;"",LEFT(AG421,2)&lt;&gt;"Va",AK421&lt;&gt;"H. Sale Real"),IF(AK423-AK421&lt;0.208333333333333,AK423-AK421,""),IF(AND(AK420&lt;&gt;"",LEFT(AG420,2)&lt;&gt;"NC",AK420&lt;&gt;"H. Sale Real"),IF(AK423-AK420&lt;0.208333333333333,AK423-AK420,""),IF(AND(AK419&lt;&gt;"",LEFT(AG419,2)&lt;&gt;"Va",AK419&lt;&gt;"H. Sale Real"),IF(AK423-AK419&lt;0.208333333333333,AK423-AK419,""),IF(AND(AK418&lt;&gt;"",LEFT(AG418,2)&lt;&gt;"Va",AK418&lt;&gt;"H. Sale Real"),IF(AK423-AK418&lt;0.208333333333333,AK423-AK418,""),""))))),""),"")</f>
        <v/>
      </c>
      <c r="AY422" s="87" t="n"/>
      <c r="AZ422" s="89" t="n"/>
      <c r="BA422" s="87" t="n"/>
      <c r="BB422" s="89" t="n"/>
      <c r="BC422" s="91" t="n"/>
      <c r="BD422" s="122">
        <f>IF(AK422&lt;&gt;"",IF(AND(BD421&lt;&gt;"IE",AT422&lt;&gt;0,AV422&lt;&gt;""),IF(IFERROR((AT422/AV422),0) &lt;=1,IFERROR(AT422/AV422,""),1),""),"")</f>
        <v/>
      </c>
      <c r="BE422" s="93" t="n"/>
      <c r="BF422" s="105" t="n"/>
      <c r="FC422" t="inlineStr">
        <is>
          <t>Diccionario 1</t>
        </is>
      </c>
      <c r="FD422" s="15" t="n">
        <v>1421</v>
      </c>
      <c r="FE422" s="15" t="inlineStr">
        <is>
          <t>MDN35025010127</t>
        </is>
      </c>
      <c r="FF422" s="15" t="inlineStr">
        <is>
          <t>LDYECS319S0044388</t>
        </is>
      </c>
      <c r="FG422" s="15" t="inlineStr">
        <is>
          <t>Zhong Tong</t>
        </is>
      </c>
      <c r="FH422" s="15" t="inlineStr">
        <is>
          <t>Lck6122evg</t>
        </is>
      </c>
      <c r="FI422" s="15" t="inlineStr">
        <is>
          <t>ZHONGTONG</t>
        </is>
      </c>
      <c r="FJ422" s="15" t="inlineStr">
        <is>
          <t>LCK6122EVG</t>
        </is>
      </c>
      <c r="FK422" s="15" t="n">
        <v>2025</v>
      </c>
      <c r="FL422" s="15" t="inlineStr">
        <is>
          <t>B</t>
        </is>
      </c>
      <c r="FM422" s="15" t="inlineStr">
        <is>
          <t>PIE ANDINO</t>
        </is>
      </c>
      <c r="FN422" s="15" t="inlineStr">
        <is>
          <t>Pie Andino 31 (Pie Andino 383)</t>
        </is>
      </c>
      <c r="FO422" s="15" t="inlineStr">
        <is>
          <t>Puente Alto</t>
        </is>
      </c>
      <c r="FP422" t="inlineStr">
        <is>
          <t>B</t>
        </is>
      </c>
      <c r="FS422" s="14" t="inlineStr">
        <is>
          <t>3106 / SFWZ-68|</t>
        </is>
      </c>
      <c r="FT422" t="inlineStr">
        <is>
          <t>SFWZ-68|</t>
        </is>
      </c>
      <c r="FU422" t="inlineStr">
        <is>
          <t>SFWZ-68</t>
        </is>
      </c>
      <c r="FV422">
        <f>VLOOKUP(FU422,FD:FL,9,0)</f>
        <v/>
      </c>
      <c r="HA422" s="35" t="n">
        <v>192</v>
      </c>
      <c r="HB422" s="35" t="n">
        <v>416</v>
      </c>
    </row>
    <row r="423" ht="15.5" customHeight="1">
      <c r="A423" s="10">
        <f>HOUR(G423)+1</f>
        <v/>
      </c>
      <c r="B423" s="7" t="n"/>
      <c r="C423" s="7" t="n"/>
      <c r="D423" s="85">
        <f>IFERROR(
IF(AND(OR(Planilla!B423="C",Planilla!B423="c"), VLOOKUP(E423,FD:FP,13,0)="C"), "OK",IF(AND(OR(Planilla!B423="C",Planilla!B423="c"), OR(VLOOKUP(E423,FD:FP,13,0)="B", VLOOKUP(E423,FD:FP,13,0)="A")), "DEFICIT",IF(
AND(OR(Planilla!B423="B", Planilla!B423="BPAL"), VLOOKUP(E423,FD:FP,13,0)="B"), "OK",IF(AND(OR(Planilla!B423="B", Planilla!B423="BPAL"), VLOOKUP(E423,FD:FP,13,0)="A"), "DEFICIT",IF(AND(OR(Planilla!B423="B", Planilla!B423="BPAL"), VLOOKUP(E423,FD:FP,13,0)="C"), "SOBREOFERTA",IF(AND(Planilla!B423="A", VLOOKUP(E423,FD:FP,13,0)="A"), "OK",IF(
AND(Planilla!B423="A", OR(VLOOKUP(E423,FD:FP,13,0)="B", VLOOKUP(E423,FD:FP,13,0)="C")), "SOBREOFERTA",""
))))))),"")</f>
        <v/>
      </c>
      <c r="E423" s="8" t="n"/>
      <c r="F423" s="86" t="n"/>
      <c r="G423" s="87" t="n"/>
      <c r="H423" s="88">
        <f>IF(I423="","",IF(AND((I423-G423)&gt;=TIME(0,0,0),(I423-G423)&lt;TIME(0,3,0)),"OK",IF(AND((I423-G423)&gt;=TIME(0,3,0),(I423-G423)&lt;TIME(0,5,0)),"RETRASO DE 3-5 MIN",IF(AND((I423-G423)&gt;=TIME(0,5,0),(I423-G423)&lt;TIME(0,10,0)),"RETRASO DE 5-10 MIN",IF((I423-G423)&gt;=TIME(0,10,0),"RETRASO &gt;10 MIN", IF(AND((G423-I423)&gt;=TIME(0,0,0),(G423-I423)&lt;TIME(0,3,0)),"OK",IF((G423-I423)&gt;=TIME(0,3,0),"ADELANTADO")))))))</f>
        <v/>
      </c>
      <c r="I423" s="89" t="n"/>
      <c r="J423" s="89">
        <f>IF(A423&lt;&gt;"",HLOOKUP(VALUE(TEXT(G423,"h:mm:ss")),IF($C$6="Laboral",$FZ$4:$GX$227,IF($C$6="Sábado",$FZ$231:$GX$452,$FZ$456:$GX$656)),VLOOKUP($C$4,$HF$2:$HH$99,3,0)+IF(C$5="Ida",0,1),1),"")</f>
        <v/>
      </c>
      <c r="K423" s="89">
        <f>IF(A424&lt;&gt;A423,AVERAGEIF(A$9:A423,A423,J$9:J423),"")</f>
        <v/>
      </c>
      <c r="L423" s="89">
        <f>IFERROR(IF(A424&lt;&gt;A423,AVERAGEIF(A$9:A423,A423,S$9:S423),""),"")</f>
        <v/>
      </c>
      <c r="M423" s="89">
        <f>IFERROR(IF(A424&lt;&gt;A423,AVERAGEIF(A$9:A423,A423,T$9:T423),""),"")</f>
        <v/>
      </c>
      <c r="N423" s="89">
        <f t="array" ref="N423">IFERROR(IF(A424&lt;&gt;A423,_xlfn.STDEV.P(IF(A$9:A423=A423,T$9:T423)),""),"")</f>
        <v/>
      </c>
      <c r="O423" s="89">
        <f t="array" ref="O423">IFERROR(IF(A424&lt;&gt;A423,_xlfn.STDEV.P(IF(A$9:A423=A423,S$9:S423)),""),"")</f>
        <v/>
      </c>
      <c r="P423" s="90">
        <f>IFERROR(IF(A423&lt;&gt;A424,MAX((((M423*24*60)/2)*(1+POWER((((N423*24*60) / (M423*24*60) )),2))) + ((M423*24*60 )*-0.1 + (K423*0.015)) +1,(((M423*24*60)/2)*(1+POWER((((N423*24*60) / (M423*24*60 ))),2)))),""),"")</f>
        <v/>
      </c>
      <c r="Q423" s="90">
        <f>IF(AND(O423&lt;&gt;"",L423&lt;&gt;""),IF(A423&lt;&gt;A424,((L423*24*60) / 2 ) * (1 + POWER(((O423*24*60) / (L423*24*60)),2)),""),"")</f>
        <v/>
      </c>
      <c r="R423" s="90">
        <f>IF(Q423&lt;&gt;"",MAX(P423,Q423),"")</f>
        <v/>
      </c>
      <c r="S423" s="89">
        <f>IF(I423&lt;&gt;"H. Sale Real",IF(AND(I424&lt;&gt;"",LEFT(C424,2)&lt;&gt;"Va"),IF(AND(I423&lt;&gt;"",LEFT(C423,2)&lt;&gt;"Va",I423&lt;&gt;"H. Sale Real"),IF(I424-I423&lt;0.208333333333333,I424-I423,""),IF(AND(I422&lt;&gt;"",LEFT(C422,2)&lt;&gt;"Va",I422&lt;&gt;"H. Sale Real"),IF(I424-I422&lt;0.208333333333333,I424-I422,""),IF(AND(I421&lt;&gt;"",LEFT(C421,2)&lt;&gt;"Va",I421&lt;&gt;"H. Sale Real"),IF(I424-I421&lt;0.208333333333333,I424-I421,""),IF(AND(I420&lt;&gt;"",LEFT(C420,2)&lt;&gt;"Va",I420&lt;&gt;"H. Sale Real"),IF(I424-I420&lt;0.208333333333333,I424-I420,""),IF(AND(I419&lt;&gt;"",LEFT(C419,2)&lt;&gt;"Va",I419&lt;&gt;"H. Sale Real"),IF(I424-I419&lt;0.208333333333333,I424-I419,""),""))))),""),"")</f>
        <v/>
      </c>
      <c r="T423" s="89">
        <f>IF(G423&lt;&gt;"H. Sale Real",IF(AND(G424&lt;&gt;"",LEFT(C424,2)&lt;&gt;"Va"),IF(AND(G423&lt;&gt;"",LEFT(C423,2)&lt;&gt;"Va",G423&lt;&gt;"H. Sale Real"),IF(G424-G423&lt;0.208333333333333,G424-G423,""),IF(AND(G422&lt;&gt;"",LEFT(C422,2)&lt;&gt;"Va",G422&lt;&gt;"H. Sale Real"),IF(G424-G422&lt;0.208333333333333,G424-G422,""),IF(AND(G421&lt;&gt;"",LEFT(C421,2)&lt;&gt;"Va",G421&lt;&gt;"H. Sale Real"),IF(G424-G421&lt;0.208333333333333,G424-G421,""),IF(AND(G420&lt;&gt;"",LEFT(C420,2)&lt;&gt;"Va",G420&lt;&gt;"H. Sale Real"),IF(G424-G420&lt;0.208333333333333,G424-G420,""),IF(AND(G419&lt;&gt;"",LEFT(C419,2)&lt;&gt;"Va",G419&lt;&gt;"H. Sale Real"),IF(G424-G419&lt;0.208333333333333,G424-G419,""),""))))),""),"")</f>
        <v/>
      </c>
      <c r="U423" s="87" t="n"/>
      <c r="V423" s="89" t="n"/>
      <c r="W423" s="87" t="n"/>
      <c r="X423" s="89" t="n"/>
      <c r="Y423" s="91" t="n"/>
      <c r="Z423" s="122">
        <f>IF(G423&lt;&gt;"",IF(AND(Z422&lt;&gt;"IE",P423&lt;&gt;0,R423&lt;&gt;""),IF(IFERROR((P423/R423),0) &lt;=1,IFERROR(P423/R423,""),1),""),"")</f>
        <v/>
      </c>
      <c r="AA423" s="93" t="n"/>
      <c r="AB423" s="2" t="n"/>
      <c r="AE423" s="10">
        <f>HOUR(AK423)+1</f>
        <v/>
      </c>
      <c r="AF423" s="7" t="n"/>
      <c r="AG423" s="7" t="n"/>
      <c r="AH423" s="86" t="n"/>
      <c r="AI423" s="8" t="n"/>
      <c r="AJ423" s="86" t="n"/>
      <c r="AK423" s="87" t="n"/>
      <c r="AL423" s="88">
        <f>IF(AM423="","",IF(AND((AM423-AK423)&gt;=TIME(0,0,0),(AM423-AK423)&lt;TIME(0,3,0)),"OK",IF(AND((AM423-AK423)&gt;=TIME(0,3,0),(AM423-AK423)&lt;TIME(0,5,0)),"RETRASO DE 3-5 MIN",IF(AND((AM423-AK423)&gt;=TIME(0,5,0),(AM423-AK423)&lt;TIME(0,10,0)),"RETRASO DE 5-10 MIN",IF((AM423-AK423)&gt;=TIME(0,10,0),"RETRASO &gt;10 MIN", IF(AND((AK423-AM423)&gt;=TIME(0,0,0),(AK423-AM423)&lt;TIME(0,3,0)),"OK",IF((AK423-AM423)&gt;=TIME(0,3,0),"ADELANTADO")))))))</f>
        <v/>
      </c>
      <c r="AM423" s="91" t="n"/>
      <c r="AN423" s="89">
        <f>IF(AE423&lt;&gt;"",HLOOKUP(VALUE(TEXT(AK423,"h:mm:ss")),IF($C$6="Laboral",$FZ$4:$GX$227,IF($C$6="Sábado",$FZ$231:$GX$452,$FZ$456:$GX$656)),VLOOKUP($C$4,$HF$2:$HH$99,3,0)+IF(AG$5="Ida",0,1),1),"")</f>
        <v/>
      </c>
      <c r="AO423" s="89">
        <f>IF(AE424&lt;&gt;AE423,AVERAGEIF(AE$9:AE423,AE423,AN$9:AN423),"")</f>
        <v/>
      </c>
      <c r="AP423" s="89">
        <f>IFERROR(IF(AE424&lt;&gt;AE423,AVERAGEIF(AE$9:AE423,AE423,AW$9:AW423),""),"")</f>
        <v/>
      </c>
      <c r="AQ423" s="89">
        <f>IFERROR(IF(AE424&lt;&gt;AE423,AVERAGEIF(AE$9:AE423,AE423,AX$9:AX423),""),"")</f>
        <v/>
      </c>
      <c r="AR423" s="89">
        <f t="array" ref="AR423">IFERROR(IF(AE424&lt;&gt;AE423,_xlfn.STDEV.P(IF(AE$9:AE423=AE423,AX$9:AX423)),""),"")</f>
        <v/>
      </c>
      <c r="AS423" s="89">
        <f t="array" ref="AS423">IFERROR(IF(AE424&lt;&gt;AE423,_xlfn.STDEV.P(IF(AE$9:AE423=AE423,AW$9:AW423)),""),"")</f>
        <v/>
      </c>
      <c r="AT423" s="90">
        <f>IFERROR(IF(AE423&lt;&gt;AE424,MAX((((AQ423*24*60)/2)*(1+POWER((((AR423*24*60) / (AQ423*24*60) )),2))) + ((AQ423*24*60 )*-0.1 + (AO423*0.015)) +1,(((AQ423*24*60)/2)*(1+POWER((((AR423*24*60) / (AQ423*24*60 ))),2)))),""),"")</f>
        <v/>
      </c>
      <c r="AU423" s="90">
        <f>IF(AND(AS423&lt;&gt;"",AP423&lt;&gt;""),IF(AE423&lt;&gt;AE424,((AP423*24*60) / 2 ) * (1 + POWER(((AS423*24*60) / (AP423*24*60)),2)),""),"")</f>
        <v/>
      </c>
      <c r="AV423" s="90">
        <f>IF(AU423&lt;&gt;"",MAX(AT423,AU423),"")</f>
        <v/>
      </c>
      <c r="AW423" s="89">
        <f>IF(AM423&lt;&gt;"H. Sale Real",IF(AND(AM424&lt;&gt;"",LEFT(AG424,2)&lt;&gt;"Va"),IF(AND(AM423&lt;&gt;"",LEFT(AG423,2)&lt;&gt;"Va",AM423&lt;&gt;"H. Sale Real"),IF(AM424-AM423&lt;0.208333333333333,AM424-AM423,""),IF(AND(AM422&lt;&gt;"",LEFT(AG422,2)&lt;&gt;"Va",AM422&lt;&gt;"H. Sale Real"),IF(AM424-AM422&lt;0.208333333333333,AM424-AM422,""),IF(AND(AM421&lt;&gt;"",LEFT(AG421,2)&lt;&gt;"Va",AM421&lt;&gt;"H. Sale Real"),IF(AM424-AM421&lt;0.208333333333333,AM424-AM421,""),IF(AND(AM420&lt;&gt;"",LEFT(AG420,2)&lt;&gt;"Va",AM420&lt;&gt;"H. Sale Real"),IF(AM424-AM420&lt;0.208333333333333,AM424-AM420,""),IF(AND(AM419&lt;&gt;"",LEFT(AG419,2)&lt;&gt;"Va",AM419&lt;&gt;"H. Sale Real"),IF(AM424-AM419&lt;0.208333333333333,AM424-AM419,""),""))))),""),"")</f>
        <v/>
      </c>
      <c r="AX423" s="89">
        <f>IF(AK423&lt;&gt;"H. Sale Real",IF(AND(AK424&lt;&gt;"",LEFT(AG424,2)&lt;&gt;"Va"),IF(AND(AK423&lt;&gt;"",LEFT(AG423,2)&lt;&gt;"Va",AK423&lt;&gt;"H. Sale Real"),IF(AK424-AK423&lt;0.208333333333333,AK424-AK423,""),IF(AND(AK422&lt;&gt;"",LEFT(AG422,2)&lt;&gt;"Va",AK422&lt;&gt;"H. Sale Real"),IF(AK424-AK422&lt;0.208333333333333,AK424-AK422,""),IF(AND(AK421&lt;&gt;"",LEFT(AG421,2)&lt;&gt;"NC",AK421&lt;&gt;"H. Sale Real"),IF(AK424-AK421&lt;0.208333333333333,AK424-AK421,""),IF(AND(AK420&lt;&gt;"",LEFT(AG420,2)&lt;&gt;"Va",AK420&lt;&gt;"H. Sale Real"),IF(AK424-AK420&lt;0.208333333333333,AK424-AK420,""),IF(AND(AK419&lt;&gt;"",LEFT(AG419,2)&lt;&gt;"Va",AK419&lt;&gt;"H. Sale Real"),IF(AK424-AK419&lt;0.208333333333333,AK424-AK419,""),""))))),""),"")</f>
        <v/>
      </c>
      <c r="AY423" s="87" t="n"/>
      <c r="AZ423" s="89" t="n"/>
      <c r="BA423" s="87" t="n"/>
      <c r="BB423" s="89" t="n"/>
      <c r="BC423" s="91" t="n"/>
      <c r="BD423" s="122">
        <f>IF(AK423&lt;&gt;"",IF(AND(BD422&lt;&gt;"IE",AT423&lt;&gt;0,AV423&lt;&gt;""),IF(IFERROR((AT423/AV423),0) &lt;=1,IFERROR(AT423/AV423,""),1),""),"")</f>
        <v/>
      </c>
      <c r="BE423" s="93" t="n"/>
      <c r="BF423" s="105" t="n"/>
      <c r="FC423" t="inlineStr">
        <is>
          <t>Diccionario 1</t>
        </is>
      </c>
      <c r="FD423" s="15" t="n">
        <v>1422</v>
      </c>
      <c r="FE423" s="15" t="inlineStr">
        <is>
          <t>MDN35025030199</t>
        </is>
      </c>
      <c r="FF423" s="15" t="inlineStr">
        <is>
          <t>LDYECS317S0044325</t>
        </is>
      </c>
      <c r="FG423" s="15" t="inlineStr">
        <is>
          <t>Zhong Tong</t>
        </is>
      </c>
      <c r="FH423" s="15" t="inlineStr">
        <is>
          <t>Lck6122evg</t>
        </is>
      </c>
      <c r="FI423" s="15" t="inlineStr">
        <is>
          <t>ZHONGTONG</t>
        </is>
      </c>
      <c r="FJ423" s="15" t="inlineStr">
        <is>
          <t>LCK6122EVG</t>
        </is>
      </c>
      <c r="FK423" s="15" t="n">
        <v>2025</v>
      </c>
      <c r="FL423" s="15" t="inlineStr">
        <is>
          <t>B</t>
        </is>
      </c>
      <c r="FM423" s="15" t="inlineStr">
        <is>
          <t>PIE ANDINO</t>
        </is>
      </c>
      <c r="FN423" s="15" t="inlineStr">
        <is>
          <t>Pie Andino 31 (Pie Andino 383)</t>
        </is>
      </c>
      <c r="FO423" s="15" t="inlineStr">
        <is>
          <t>Puente Alto</t>
        </is>
      </c>
      <c r="FP423" t="inlineStr">
        <is>
          <t>B</t>
        </is>
      </c>
      <c r="FS423" s="14" t="inlineStr">
        <is>
          <t>3106 / SFWZ-68|</t>
        </is>
      </c>
      <c r="FT423" t="inlineStr">
        <is>
          <t>SFWZ-68|</t>
        </is>
      </c>
      <c r="FU423" t="inlineStr">
        <is>
          <t>SFWZ-68</t>
        </is>
      </c>
      <c r="FV423">
        <f>VLOOKUP(FU423,FD:FL,9,0)</f>
        <v/>
      </c>
      <c r="HA423" s="35" t="n">
        <v>193</v>
      </c>
      <c r="HB423" s="35" t="n">
        <v>417</v>
      </c>
    </row>
    <row r="424" ht="15.5" customHeight="1">
      <c r="A424" s="10">
        <f>HOUR(G424)+1</f>
        <v/>
      </c>
      <c r="B424" s="7" t="n"/>
      <c r="C424" s="7" t="n"/>
      <c r="D424" s="85">
        <f>IFERROR(
IF(AND(OR(Planilla!B424="C",Planilla!B424="c"), VLOOKUP(E424,FD:FP,13,0)="C"), "OK",IF(AND(OR(Planilla!B424="C",Planilla!B424="c"), OR(VLOOKUP(E424,FD:FP,13,0)="B", VLOOKUP(E424,FD:FP,13,0)="A")), "DEFICIT",IF(
AND(OR(Planilla!B424="B", Planilla!B424="BPAL"), VLOOKUP(E424,FD:FP,13,0)="B"), "OK",IF(AND(OR(Planilla!B424="B", Planilla!B424="BPAL"), VLOOKUP(E424,FD:FP,13,0)="A"), "DEFICIT",IF(AND(OR(Planilla!B424="B", Planilla!B424="BPAL"), VLOOKUP(E424,FD:FP,13,0)="C"), "SOBREOFERTA",IF(AND(Planilla!B424="A", VLOOKUP(E424,FD:FP,13,0)="A"), "OK",IF(
AND(Planilla!B424="A", OR(VLOOKUP(E424,FD:FP,13,0)="B", VLOOKUP(E424,FD:FP,13,0)="C")), "SOBREOFERTA",""
))))))),"")</f>
        <v/>
      </c>
      <c r="E424" s="8" t="n"/>
      <c r="F424" s="86" t="n"/>
      <c r="G424" s="87" t="n"/>
      <c r="H424" s="88">
        <f>IF(I424="","",IF(AND((I424-G424)&gt;=TIME(0,0,0),(I424-G424)&lt;TIME(0,3,0)),"OK",IF(AND((I424-G424)&gt;=TIME(0,3,0),(I424-G424)&lt;TIME(0,5,0)),"RETRASO DE 3-5 MIN",IF(AND((I424-G424)&gt;=TIME(0,5,0),(I424-G424)&lt;TIME(0,10,0)),"RETRASO DE 5-10 MIN",IF((I424-G424)&gt;=TIME(0,10,0),"RETRASO &gt;10 MIN", IF(AND((G424-I424)&gt;=TIME(0,0,0),(G424-I424)&lt;TIME(0,3,0)),"OK",IF((G424-I424)&gt;=TIME(0,3,0),"ADELANTADO")))))))</f>
        <v/>
      </c>
      <c r="I424" s="89" t="n"/>
      <c r="J424" s="89">
        <f>IF(A424&lt;&gt;"",HLOOKUP(VALUE(TEXT(G424,"h:mm:ss")),IF($C$6="Laboral",$FZ$4:$GX$227,IF($C$6="Sábado",$FZ$231:$GX$452,$FZ$456:$GX$656)),VLOOKUP($C$4,$HF$2:$HH$99,3,0)+IF(C$5="Ida",0,1),1),"")</f>
        <v/>
      </c>
      <c r="K424" s="89">
        <f>IF(A425&lt;&gt;A424,AVERAGEIF(A$9:A424,A424,J$9:J424),"")</f>
        <v/>
      </c>
      <c r="L424" s="89">
        <f>IFERROR(IF(A425&lt;&gt;A424,AVERAGEIF(A$9:A424,A424,S$9:S424),""),"")</f>
        <v/>
      </c>
      <c r="M424" s="89">
        <f>IFERROR(IF(A425&lt;&gt;A424,AVERAGEIF(A$9:A424,A424,T$9:T424),""),"")</f>
        <v/>
      </c>
      <c r="N424" s="89">
        <f t="array" ref="N424">IFERROR(IF(A425&lt;&gt;A424,_xlfn.STDEV.P(IF(A$9:A424=A424,T$9:T424)),""),"")</f>
        <v/>
      </c>
      <c r="O424" s="89">
        <f t="array" ref="O424">IFERROR(IF(A425&lt;&gt;A424,_xlfn.STDEV.P(IF(A$9:A424=A424,S$9:S424)),""),"")</f>
        <v/>
      </c>
      <c r="P424" s="90">
        <f>IFERROR(IF(A424&lt;&gt;A425,MAX((((M424*24*60)/2)*(1+POWER((((N424*24*60) / (M424*24*60) )),2))) + ((M424*24*60 )*-0.1 + (K424*0.015)) +1,(((M424*24*60)/2)*(1+POWER((((N424*24*60) / (M424*24*60 ))),2)))),""),"")</f>
        <v/>
      </c>
      <c r="Q424" s="90">
        <f>IF(AND(O424&lt;&gt;"",L424&lt;&gt;""),IF(A424&lt;&gt;A425,((L424*24*60) / 2 ) * (1 + POWER(((O424*24*60) / (L424*24*60)),2)),""),"")</f>
        <v/>
      </c>
      <c r="R424" s="90">
        <f>IF(Q424&lt;&gt;"",MAX(P424,Q424),"")</f>
        <v/>
      </c>
      <c r="S424" s="89">
        <f>IF(I424&lt;&gt;"H. Sale Real",IF(AND(I425&lt;&gt;"",LEFT(C425,2)&lt;&gt;"Va"),IF(AND(I424&lt;&gt;"",LEFT(C424,2)&lt;&gt;"Va",I424&lt;&gt;"H. Sale Real"),IF(I425-I424&lt;0.208333333333333,I425-I424,""),IF(AND(I423&lt;&gt;"",LEFT(C423,2)&lt;&gt;"Va",I423&lt;&gt;"H. Sale Real"),IF(I425-I423&lt;0.208333333333333,I425-I423,""),IF(AND(I422&lt;&gt;"",LEFT(C422,2)&lt;&gt;"Va",I422&lt;&gt;"H. Sale Real"),IF(I425-I422&lt;0.208333333333333,I425-I422,""),IF(AND(I421&lt;&gt;"",LEFT(C421,2)&lt;&gt;"Va",I421&lt;&gt;"H. Sale Real"),IF(I425-I421&lt;0.208333333333333,I425-I421,""),IF(AND(I420&lt;&gt;"",LEFT(C420,2)&lt;&gt;"Va",I420&lt;&gt;"H. Sale Real"),IF(I425-I420&lt;0.208333333333333,I425-I420,""),""))))),""),"")</f>
        <v/>
      </c>
      <c r="T424" s="89">
        <f>IF(G424&lt;&gt;"H. Sale Real",IF(AND(G425&lt;&gt;"",LEFT(C425,2)&lt;&gt;"Va"),IF(AND(G424&lt;&gt;"",LEFT(C424,2)&lt;&gt;"Va",G424&lt;&gt;"H. Sale Real"),IF(G425-G424&lt;0.208333333333333,G425-G424,""),IF(AND(G423&lt;&gt;"",LEFT(C423,2)&lt;&gt;"Va",G423&lt;&gt;"H. Sale Real"),IF(G425-G423&lt;0.208333333333333,G425-G423,""),IF(AND(G422&lt;&gt;"",LEFT(C422,2)&lt;&gt;"Va",G422&lt;&gt;"H. Sale Real"),IF(G425-G422&lt;0.208333333333333,G425-G422,""),IF(AND(G421&lt;&gt;"",LEFT(C421,2)&lt;&gt;"Va",G421&lt;&gt;"H. Sale Real"),IF(G425-G421&lt;0.208333333333333,G425-G421,""),IF(AND(G420&lt;&gt;"",LEFT(C420,2)&lt;&gt;"Va",G420&lt;&gt;"H. Sale Real"),IF(G425-G420&lt;0.208333333333333,G425-G420,""),""))))),""),"")</f>
        <v/>
      </c>
      <c r="U424" s="87" t="n"/>
      <c r="V424" s="89" t="n"/>
      <c r="W424" s="87" t="n"/>
      <c r="X424" s="89" t="n"/>
      <c r="Y424" s="91" t="n"/>
      <c r="Z424" s="122">
        <f>IF(G424&lt;&gt;"",IF(AND(Z423&lt;&gt;"IE",P424&lt;&gt;0,R424&lt;&gt;""),IF(IFERROR((P424/R424),0) &lt;=1,IFERROR(P424/R424,""),1),""),"")</f>
        <v/>
      </c>
      <c r="AA424" s="93" t="n"/>
      <c r="AB424" s="2" t="n"/>
      <c r="AE424" s="10">
        <f>HOUR(AK424)+1</f>
        <v/>
      </c>
      <c r="AF424" s="7" t="n"/>
      <c r="AG424" s="7" t="n"/>
      <c r="AH424" s="86" t="n"/>
      <c r="AI424" s="8" t="n"/>
      <c r="AJ424" s="86" t="n"/>
      <c r="AK424" s="87" t="n"/>
      <c r="AL424" s="88">
        <f>IF(AM424="","",IF(AND((AM424-AK424)&gt;=TIME(0,0,0),(AM424-AK424)&lt;TIME(0,3,0)),"OK",IF(AND((AM424-AK424)&gt;=TIME(0,3,0),(AM424-AK424)&lt;TIME(0,5,0)),"RETRASO DE 3-5 MIN",IF(AND((AM424-AK424)&gt;=TIME(0,5,0),(AM424-AK424)&lt;TIME(0,10,0)),"RETRASO DE 5-10 MIN",IF((AM424-AK424)&gt;=TIME(0,10,0),"RETRASO &gt;10 MIN", IF(AND((AK424-AM424)&gt;=TIME(0,0,0),(AK424-AM424)&lt;TIME(0,3,0)),"OK",IF((AK424-AM424)&gt;=TIME(0,3,0),"ADELANTADO")))))))</f>
        <v/>
      </c>
      <c r="AM424" s="91" t="n"/>
      <c r="AN424" s="89">
        <f>IF(AE424&lt;&gt;"",HLOOKUP(VALUE(TEXT(AK424,"h:mm:ss")),IF($C$6="Laboral",$FZ$4:$GX$227,IF($C$6="Sábado",$FZ$231:$GX$452,$FZ$456:$GX$656)),VLOOKUP($C$4,$HF$2:$HH$99,3,0)+IF(AG$5="Ida",0,1),1),"")</f>
        <v/>
      </c>
      <c r="AO424" s="89">
        <f>IF(AE425&lt;&gt;AE424,AVERAGEIF(AE$9:AE424,AE424,AN$9:AN424),"")</f>
        <v/>
      </c>
      <c r="AP424" s="89">
        <f>IFERROR(IF(AE425&lt;&gt;AE424,AVERAGEIF(AE$9:AE424,AE424,AW$9:AW424),""),"")</f>
        <v/>
      </c>
      <c r="AQ424" s="89">
        <f>IFERROR(IF(AE425&lt;&gt;AE424,AVERAGEIF(AE$9:AE424,AE424,AX$9:AX424),""),"")</f>
        <v/>
      </c>
      <c r="AR424" s="89">
        <f t="array" ref="AR424">IFERROR(IF(AE425&lt;&gt;AE424,_xlfn.STDEV.P(IF(AE$9:AE424=AE424,AX$9:AX424)),""),"")</f>
        <v/>
      </c>
      <c r="AS424" s="89">
        <f t="array" ref="AS424">IFERROR(IF(AE425&lt;&gt;AE424,_xlfn.STDEV.P(IF(AE$9:AE424=AE424,AW$9:AW424)),""),"")</f>
        <v/>
      </c>
      <c r="AT424" s="90">
        <f>IFERROR(IF(AE424&lt;&gt;AE425,MAX((((AQ424*24*60)/2)*(1+POWER((((AR424*24*60) / (AQ424*24*60) )),2))) + ((AQ424*24*60 )*-0.1 + (AO424*0.015)) +1,(((AQ424*24*60)/2)*(1+POWER((((AR424*24*60) / (AQ424*24*60 ))),2)))),""),"")</f>
        <v/>
      </c>
      <c r="AU424" s="90">
        <f>IF(AND(AS424&lt;&gt;"",AP424&lt;&gt;""),IF(AE424&lt;&gt;AE425,((AP424*24*60) / 2 ) * (1 + POWER(((AS424*24*60) / (AP424*24*60)),2)),""),"")</f>
        <v/>
      </c>
      <c r="AV424" s="90">
        <f>IF(AU424&lt;&gt;"",MAX(AT424,AU424),"")</f>
        <v/>
      </c>
      <c r="AW424" s="89">
        <f>IF(AM424&lt;&gt;"H. Sale Real",IF(AND(AM425&lt;&gt;"",LEFT(AG425,2)&lt;&gt;"Va"),IF(AND(AM424&lt;&gt;"",LEFT(AG424,2)&lt;&gt;"Va",AM424&lt;&gt;"H. Sale Real"),IF(AM425-AM424&lt;0.208333333333333,AM425-AM424,""),IF(AND(AM423&lt;&gt;"",LEFT(AG423,2)&lt;&gt;"Va",AM423&lt;&gt;"H. Sale Real"),IF(AM425-AM423&lt;0.208333333333333,AM425-AM423,""),IF(AND(AM422&lt;&gt;"",LEFT(AG422,2)&lt;&gt;"Va",AM422&lt;&gt;"H. Sale Real"),IF(AM425-AM422&lt;0.208333333333333,AM425-AM422,""),IF(AND(AM421&lt;&gt;"",LEFT(AG421,2)&lt;&gt;"Va",AM421&lt;&gt;"H. Sale Real"),IF(AM425-AM421&lt;0.208333333333333,AM425-AM421,""),IF(AND(AM420&lt;&gt;"",LEFT(AG420,2)&lt;&gt;"Va",AM420&lt;&gt;"H. Sale Real"),IF(AM425-AM420&lt;0.208333333333333,AM425-AM420,""),""))))),""),"")</f>
        <v/>
      </c>
      <c r="AX424" s="89">
        <f>IF(AK424&lt;&gt;"H. Sale Real",IF(AND(AK425&lt;&gt;"",LEFT(AG425,2)&lt;&gt;"Va"),IF(AND(AK424&lt;&gt;"",LEFT(AG424,2)&lt;&gt;"Va",AK424&lt;&gt;"H. Sale Real"),IF(AK425-AK424&lt;0.208333333333333,AK425-AK424,""),IF(AND(AK423&lt;&gt;"",LEFT(AG423,2)&lt;&gt;"Va",AK423&lt;&gt;"H. Sale Real"),IF(AK425-AK423&lt;0.208333333333333,AK425-AK423,""),IF(AND(AK422&lt;&gt;"",LEFT(AG422,2)&lt;&gt;"NC",AK422&lt;&gt;"H. Sale Real"),IF(AK425-AK422&lt;0.208333333333333,AK425-AK422,""),IF(AND(AK421&lt;&gt;"",LEFT(AG421,2)&lt;&gt;"Va",AK421&lt;&gt;"H. Sale Real"),IF(AK425-AK421&lt;0.208333333333333,AK425-AK421,""),IF(AND(AK420&lt;&gt;"",LEFT(AG420,2)&lt;&gt;"Va",AK420&lt;&gt;"H. Sale Real"),IF(AK425-AK420&lt;0.208333333333333,AK425-AK420,""),""))))),""),"")</f>
        <v/>
      </c>
      <c r="AY424" s="87" t="n"/>
      <c r="AZ424" s="89" t="n"/>
      <c r="BA424" s="87" t="n"/>
      <c r="BB424" s="89" t="n"/>
      <c r="BC424" s="91" t="n"/>
      <c r="BD424" s="122">
        <f>IF(AK424&lt;&gt;"",IF(AND(BD423&lt;&gt;"IE",AT424&lt;&gt;0,AV424&lt;&gt;""),IF(IFERROR((AT424/AV424),0) &lt;=1,IFERROR(AT424/AV424,""),1),""),"")</f>
        <v/>
      </c>
      <c r="BE424" s="93" t="n"/>
      <c r="BF424" s="105" t="n"/>
      <c r="FC424" t="inlineStr">
        <is>
          <t>Diccionario 1</t>
        </is>
      </c>
      <c r="FD424" s="15" t="n">
        <v>1423</v>
      </c>
      <c r="FE424" s="15" t="inlineStr">
        <is>
          <t>MDN35025030042</t>
        </is>
      </c>
      <c r="FF424" s="15" t="inlineStr">
        <is>
          <t>LDYECS318S0044379</t>
        </is>
      </c>
      <c r="FG424" s="15" t="inlineStr">
        <is>
          <t>Zhong Tong</t>
        </is>
      </c>
      <c r="FH424" s="15" t="inlineStr">
        <is>
          <t>Lck6122evg</t>
        </is>
      </c>
      <c r="FI424" s="15" t="inlineStr">
        <is>
          <t>ZHONGTONG</t>
        </is>
      </c>
      <c r="FJ424" s="15" t="inlineStr">
        <is>
          <t>LCK6122EVG</t>
        </is>
      </c>
      <c r="FK424" s="15" t="n">
        <v>2025</v>
      </c>
      <c r="FL424" s="15" t="inlineStr">
        <is>
          <t>B</t>
        </is>
      </c>
      <c r="FM424" s="15" t="inlineStr">
        <is>
          <t>PIE ANDINO</t>
        </is>
      </c>
      <c r="FN424" s="15" t="inlineStr">
        <is>
          <t>Pie Andino 31 (Pie Andino 383)</t>
        </is>
      </c>
      <c r="FO424" s="15" t="inlineStr">
        <is>
          <t>Puente Alto</t>
        </is>
      </c>
      <c r="FP424" t="inlineStr">
        <is>
          <t>B</t>
        </is>
      </c>
      <c r="FS424" s="14" t="inlineStr">
        <is>
          <t>3106 / SFWZ-68|</t>
        </is>
      </c>
      <c r="FT424" t="inlineStr">
        <is>
          <t>SFWZ-68|</t>
        </is>
      </c>
      <c r="FU424" t="inlineStr">
        <is>
          <t>SFWZ-68</t>
        </is>
      </c>
      <c r="FV424">
        <f>VLOOKUP(FU424,FD:FL,9,0)</f>
        <v/>
      </c>
      <c r="HA424" s="35" t="n">
        <v>194</v>
      </c>
      <c r="HB424" s="35" t="n">
        <v>418</v>
      </c>
    </row>
    <row r="425" ht="15.5" customHeight="1">
      <c r="A425" s="10">
        <f>HOUR(G425)+1</f>
        <v/>
      </c>
      <c r="B425" s="7" t="n"/>
      <c r="C425" s="7" t="n"/>
      <c r="D425" s="85">
        <f>IFERROR(
IF(AND(OR(Planilla!B425="C",Planilla!B425="c"), VLOOKUP(E425,FD:FP,13,0)="C"), "OK",IF(AND(OR(Planilla!B425="C",Planilla!B425="c"), OR(VLOOKUP(E425,FD:FP,13,0)="B", VLOOKUP(E425,FD:FP,13,0)="A")), "DEFICIT",IF(
AND(OR(Planilla!B425="B", Planilla!B425="BPAL"), VLOOKUP(E425,FD:FP,13,0)="B"), "OK",IF(AND(OR(Planilla!B425="B", Planilla!B425="BPAL"), VLOOKUP(E425,FD:FP,13,0)="A"), "DEFICIT",IF(AND(OR(Planilla!B425="B", Planilla!B425="BPAL"), VLOOKUP(E425,FD:FP,13,0)="C"), "SOBREOFERTA",IF(AND(Planilla!B425="A", VLOOKUP(E425,FD:FP,13,0)="A"), "OK",IF(
AND(Planilla!B425="A", OR(VLOOKUP(E425,FD:FP,13,0)="B", VLOOKUP(E425,FD:FP,13,0)="C")), "SOBREOFERTA",""
))))))),"")</f>
        <v/>
      </c>
      <c r="E425" s="8" t="n"/>
      <c r="F425" s="86" t="n"/>
      <c r="G425" s="87" t="n"/>
      <c r="H425" s="88">
        <f>IF(I425="","",IF(AND((I425-G425)&gt;=TIME(0,0,0),(I425-G425)&lt;TIME(0,3,0)),"OK",IF(AND((I425-G425)&gt;=TIME(0,3,0),(I425-G425)&lt;TIME(0,5,0)),"RETRASO DE 3-5 MIN",IF(AND((I425-G425)&gt;=TIME(0,5,0),(I425-G425)&lt;TIME(0,10,0)),"RETRASO DE 5-10 MIN",IF((I425-G425)&gt;=TIME(0,10,0),"RETRASO &gt;10 MIN", IF(AND((G425-I425)&gt;=TIME(0,0,0),(G425-I425)&lt;TIME(0,3,0)),"OK",IF((G425-I425)&gt;=TIME(0,3,0),"ADELANTADO")))))))</f>
        <v/>
      </c>
      <c r="I425" s="89" t="n"/>
      <c r="J425" s="89">
        <f>IF(A425&lt;&gt;"",HLOOKUP(VALUE(TEXT(G425,"h:mm:ss")),IF($C$6="Laboral",$FZ$4:$GX$227,IF($C$6="Sábado",$FZ$231:$GX$452,$FZ$456:$GX$656)),VLOOKUP($C$4,$HF$2:$HH$99,3,0)+IF(C$5="Ida",0,1),1),"")</f>
        <v/>
      </c>
      <c r="K425" s="89">
        <f>IF(A426&lt;&gt;A425,AVERAGEIF(A$9:A425,A425,J$9:J425),"")</f>
        <v/>
      </c>
      <c r="L425" s="89">
        <f>IFERROR(IF(A426&lt;&gt;A425,AVERAGEIF(A$9:A425,A425,S$9:S425),""),"")</f>
        <v/>
      </c>
      <c r="M425" s="89">
        <f>IFERROR(IF(A426&lt;&gt;A425,AVERAGEIF(A$9:A425,A425,T$9:T425),""),"")</f>
        <v/>
      </c>
      <c r="N425" s="89">
        <f t="array" ref="N425">IFERROR(IF(A426&lt;&gt;A425,_xlfn.STDEV.P(IF(A$9:A425=A425,T$9:T425)),""),"")</f>
        <v/>
      </c>
      <c r="O425" s="89">
        <f t="array" ref="O425">IFERROR(IF(A426&lt;&gt;A425,_xlfn.STDEV.P(IF(A$9:A425=A425,S$9:S425)),""),"")</f>
        <v/>
      </c>
      <c r="P425" s="90">
        <f>IFERROR(IF(A425&lt;&gt;A426,MAX((((M425*24*60)/2)*(1+POWER((((N425*24*60) / (M425*24*60) )),2))) + ((M425*24*60 )*-0.1 + (K425*0.015)) +1,(((M425*24*60)/2)*(1+POWER((((N425*24*60) / (M425*24*60 ))),2)))),""),"")</f>
        <v/>
      </c>
      <c r="Q425" s="90">
        <f>IF(AND(O425&lt;&gt;"",L425&lt;&gt;""),IF(A425&lt;&gt;A426,((L425*24*60) / 2 ) * (1 + POWER(((O425*24*60) / (L425*24*60)),2)),""),"")</f>
        <v/>
      </c>
      <c r="R425" s="90">
        <f>IF(Q425&lt;&gt;"",MAX(P425,Q425),"")</f>
        <v/>
      </c>
      <c r="S425" s="89">
        <f>IF(I425&lt;&gt;"H. Sale Real",IF(AND(I426&lt;&gt;"",LEFT(C426,2)&lt;&gt;"Va"),IF(AND(I425&lt;&gt;"",LEFT(C425,2)&lt;&gt;"Va",I425&lt;&gt;"H. Sale Real"),IF(I426-I425&lt;0.208333333333333,I426-I425,""),IF(AND(I424&lt;&gt;"",LEFT(C424,2)&lt;&gt;"Va",I424&lt;&gt;"H. Sale Real"),IF(I426-I424&lt;0.208333333333333,I426-I424,""),IF(AND(I423&lt;&gt;"",LEFT(C423,2)&lt;&gt;"Va",I423&lt;&gt;"H. Sale Real"),IF(I426-I423&lt;0.208333333333333,I426-I423,""),IF(AND(I422&lt;&gt;"",LEFT(C422,2)&lt;&gt;"Va",I422&lt;&gt;"H. Sale Real"),IF(I426-I422&lt;0.208333333333333,I426-I422,""),IF(AND(I421&lt;&gt;"",LEFT(C421,2)&lt;&gt;"Va",I421&lt;&gt;"H. Sale Real"),IF(I426-I421&lt;0.208333333333333,I426-I421,""),""))))),""),"")</f>
        <v/>
      </c>
      <c r="T425" s="89">
        <f>IF(G425&lt;&gt;"H. Sale Real",IF(AND(G426&lt;&gt;"",LEFT(C426,2)&lt;&gt;"Va"),IF(AND(G425&lt;&gt;"",LEFT(C425,2)&lt;&gt;"Va",G425&lt;&gt;"H. Sale Real"),IF(G426-G425&lt;0.208333333333333,G426-G425,""),IF(AND(G424&lt;&gt;"",LEFT(C424,2)&lt;&gt;"Va",G424&lt;&gt;"H. Sale Real"),IF(G426-G424&lt;0.208333333333333,G426-G424,""),IF(AND(G423&lt;&gt;"",LEFT(C423,2)&lt;&gt;"Va",G423&lt;&gt;"H. Sale Real"),IF(G426-G423&lt;0.208333333333333,G426-G423,""),IF(AND(G422&lt;&gt;"",LEFT(C422,2)&lt;&gt;"Va",G422&lt;&gt;"H. Sale Real"),IF(G426-G422&lt;0.208333333333333,G426-G422,""),IF(AND(G421&lt;&gt;"",LEFT(C421,2)&lt;&gt;"Va",G421&lt;&gt;"H. Sale Real"),IF(G426-G421&lt;0.208333333333333,G426-G421,""),""))))),""),"")</f>
        <v/>
      </c>
      <c r="U425" s="87" t="n"/>
      <c r="V425" s="89" t="n"/>
      <c r="W425" s="87" t="n"/>
      <c r="X425" s="89" t="n"/>
      <c r="Y425" s="91" t="n"/>
      <c r="Z425" s="122">
        <f>IF(G425&lt;&gt;"",IF(AND(Z424&lt;&gt;"IE",P425&lt;&gt;0,R425&lt;&gt;""),IF(IFERROR((P425/R425),0) &lt;=1,IFERROR(P425/R425,""),1),""),"")</f>
        <v/>
      </c>
      <c r="AA425" s="93" t="n"/>
      <c r="AB425" s="2" t="n"/>
      <c r="AE425" s="10">
        <f>HOUR(AK425)+1</f>
        <v/>
      </c>
      <c r="AF425" s="7" t="n"/>
      <c r="AG425" s="7" t="n"/>
      <c r="AH425" s="86" t="n"/>
      <c r="AI425" s="8" t="n"/>
      <c r="AJ425" s="86" t="n"/>
      <c r="AK425" s="87" t="n"/>
      <c r="AL425" s="88">
        <f>IF(AM425="","",IF(AND((AM425-AK425)&gt;=TIME(0,0,0),(AM425-AK425)&lt;TIME(0,3,0)),"OK",IF(AND((AM425-AK425)&gt;=TIME(0,3,0),(AM425-AK425)&lt;TIME(0,5,0)),"RETRASO DE 3-5 MIN",IF(AND((AM425-AK425)&gt;=TIME(0,5,0),(AM425-AK425)&lt;TIME(0,10,0)),"RETRASO DE 5-10 MIN",IF((AM425-AK425)&gt;=TIME(0,10,0),"RETRASO &gt;10 MIN", IF(AND((AK425-AM425)&gt;=TIME(0,0,0),(AK425-AM425)&lt;TIME(0,3,0)),"OK",IF((AK425-AM425)&gt;=TIME(0,3,0),"ADELANTADO")))))))</f>
        <v/>
      </c>
      <c r="AM425" s="91" t="n"/>
      <c r="AN425" s="89">
        <f>IF(AE425&lt;&gt;"",HLOOKUP(VALUE(TEXT(AK425,"h:mm:ss")),IF($C$6="Laboral",$FZ$4:$GX$227,IF($C$6="Sábado",$FZ$231:$GX$452,$FZ$456:$GX$656)),VLOOKUP($C$4,$HF$2:$HH$99,3,0)+IF(AG$5="Ida",0,1),1),"")</f>
        <v/>
      </c>
      <c r="AO425" s="89">
        <f>IF(AE426&lt;&gt;AE425,AVERAGEIF(AE$9:AE425,AE425,AN$9:AN425),"")</f>
        <v/>
      </c>
      <c r="AP425" s="89">
        <f>IFERROR(IF(AE426&lt;&gt;AE425,AVERAGEIF(AE$9:AE425,AE425,AW$9:AW425),""),"")</f>
        <v/>
      </c>
      <c r="AQ425" s="89">
        <f>IFERROR(IF(AE426&lt;&gt;AE425,AVERAGEIF(AE$9:AE425,AE425,AX$9:AX425),""),"")</f>
        <v/>
      </c>
      <c r="AR425" s="89">
        <f t="array" ref="AR425">IFERROR(IF(AE426&lt;&gt;AE425,_xlfn.STDEV.P(IF(AE$9:AE425=AE425,AX$9:AX425)),""),"")</f>
        <v/>
      </c>
      <c r="AS425" s="89">
        <f t="array" ref="AS425">IFERROR(IF(AE426&lt;&gt;AE425,_xlfn.STDEV.P(IF(AE$9:AE425=AE425,AW$9:AW425)),""),"")</f>
        <v/>
      </c>
      <c r="AT425" s="90">
        <f>IFERROR(IF(AE425&lt;&gt;AE426,MAX((((AQ425*24*60)/2)*(1+POWER((((AR425*24*60) / (AQ425*24*60) )),2))) + ((AQ425*24*60 )*-0.1 + (AO425*0.015)) +1,(((AQ425*24*60)/2)*(1+POWER((((AR425*24*60) / (AQ425*24*60 ))),2)))),""),"")</f>
        <v/>
      </c>
      <c r="AU425" s="90">
        <f>IF(AND(AS425&lt;&gt;"",AP425&lt;&gt;""),IF(AE425&lt;&gt;AE426,((AP425*24*60) / 2 ) * (1 + POWER(((AS425*24*60) / (AP425*24*60)),2)),""),"")</f>
        <v/>
      </c>
      <c r="AV425" s="90">
        <f>IF(AU425&lt;&gt;"",MAX(AT425,AU425),"")</f>
        <v/>
      </c>
      <c r="AW425" s="89">
        <f>IF(AM425&lt;&gt;"H. Sale Real",IF(AND(AM426&lt;&gt;"",LEFT(AG426,2)&lt;&gt;"Va"),IF(AND(AM425&lt;&gt;"",LEFT(AG425,2)&lt;&gt;"Va",AM425&lt;&gt;"H. Sale Real"),IF(AM426-AM425&lt;0.208333333333333,AM426-AM425,""),IF(AND(AM424&lt;&gt;"",LEFT(AG424,2)&lt;&gt;"Va",AM424&lt;&gt;"H. Sale Real"),IF(AM426-AM424&lt;0.208333333333333,AM426-AM424,""),IF(AND(AM423&lt;&gt;"",LEFT(AG423,2)&lt;&gt;"Va",AM423&lt;&gt;"H. Sale Real"),IF(AM426-AM423&lt;0.208333333333333,AM426-AM423,""),IF(AND(AM422&lt;&gt;"",LEFT(AG422,2)&lt;&gt;"Va",AM422&lt;&gt;"H. Sale Real"),IF(AM426-AM422&lt;0.208333333333333,AM426-AM422,""),IF(AND(AM421&lt;&gt;"",LEFT(AG421,2)&lt;&gt;"Va",AM421&lt;&gt;"H. Sale Real"),IF(AM426-AM421&lt;0.208333333333333,AM426-AM421,""),""))))),""),"")</f>
        <v/>
      </c>
      <c r="AX425" s="89">
        <f>IF(AK425&lt;&gt;"H. Sale Real",IF(AND(AK426&lt;&gt;"",LEFT(AG426,2)&lt;&gt;"Va"),IF(AND(AK425&lt;&gt;"",LEFT(AG425,2)&lt;&gt;"Va",AK425&lt;&gt;"H. Sale Real"),IF(AK426-AK425&lt;0.208333333333333,AK426-AK425,""),IF(AND(AK424&lt;&gt;"",LEFT(AG424,2)&lt;&gt;"Va",AK424&lt;&gt;"H. Sale Real"),IF(AK426-AK424&lt;0.208333333333333,AK426-AK424,""),IF(AND(AK423&lt;&gt;"",LEFT(AG423,2)&lt;&gt;"NC",AK423&lt;&gt;"H. Sale Real"),IF(AK426-AK423&lt;0.208333333333333,AK426-AK423,""),IF(AND(AK422&lt;&gt;"",LEFT(AG422,2)&lt;&gt;"Va",AK422&lt;&gt;"H. Sale Real"),IF(AK426-AK422&lt;0.208333333333333,AK426-AK422,""),IF(AND(AK421&lt;&gt;"",LEFT(AG421,2)&lt;&gt;"Va",AK421&lt;&gt;"H. Sale Real"),IF(AK426-AK421&lt;0.208333333333333,AK426-AK421,""),""))))),""),"")</f>
        <v/>
      </c>
      <c r="AY425" s="87" t="n"/>
      <c r="AZ425" s="89" t="n"/>
      <c r="BA425" s="87" t="n"/>
      <c r="BB425" s="89" t="n"/>
      <c r="BC425" s="91" t="n"/>
      <c r="BD425" s="122">
        <f>IF(AK425&lt;&gt;"",IF(AND(BD424&lt;&gt;"IE",AT425&lt;&gt;0,AV425&lt;&gt;""),IF(IFERROR((AT425/AV425),0) &lt;=1,IFERROR(AT425/AV425,""),1),""),"")</f>
        <v/>
      </c>
      <c r="BE425" s="93" t="n"/>
      <c r="BF425" s="105" t="n"/>
      <c r="FC425" t="inlineStr">
        <is>
          <t>Diccionario 1</t>
        </is>
      </c>
      <c r="FD425" s="15" t="n">
        <v>1424</v>
      </c>
      <c r="FE425" s="15" t="inlineStr">
        <is>
          <t>MDN35025030041</t>
        </is>
      </c>
      <c r="FF425" s="15" t="inlineStr">
        <is>
          <t>LDYECS313S0044385</t>
        </is>
      </c>
      <c r="FG425" s="15" t="inlineStr">
        <is>
          <t>Zhong Tong</t>
        </is>
      </c>
      <c r="FH425" s="15" t="inlineStr">
        <is>
          <t>Lck6122evg</t>
        </is>
      </c>
      <c r="FI425" s="15" t="inlineStr">
        <is>
          <t>ZHONGTONG</t>
        </is>
      </c>
      <c r="FJ425" s="15" t="inlineStr">
        <is>
          <t>LCK6122EVG</t>
        </is>
      </c>
      <c r="FK425" s="15" t="n">
        <v>2025</v>
      </c>
      <c r="FL425" s="15" t="inlineStr">
        <is>
          <t>B</t>
        </is>
      </c>
      <c r="FM425" s="15" t="inlineStr">
        <is>
          <t>PIE ANDINO</t>
        </is>
      </c>
      <c r="FN425" s="15" t="inlineStr">
        <is>
          <t>Pie Andino 31 (Pie Andino 383)</t>
        </is>
      </c>
      <c r="FO425" s="15" t="inlineStr">
        <is>
          <t>Puente Alto</t>
        </is>
      </c>
      <c r="FP425" t="inlineStr">
        <is>
          <t>B</t>
        </is>
      </c>
      <c r="FS425" s="14" t="inlineStr">
        <is>
          <t>3107 / SFWZ-85|</t>
        </is>
      </c>
      <c r="FT425" t="inlineStr">
        <is>
          <t>SFWZ-85|</t>
        </is>
      </c>
      <c r="FU425" t="inlineStr">
        <is>
          <t>SFWZ-85</t>
        </is>
      </c>
      <c r="FV425">
        <f>VLOOKUP(FU425,FD:FL,9,0)</f>
        <v/>
      </c>
      <c r="HA425" s="35" t="n">
        <v>195</v>
      </c>
      <c r="HB425" s="35" t="n">
        <v>419</v>
      </c>
    </row>
    <row r="426" ht="15.5" customHeight="1">
      <c r="A426" s="10">
        <f>HOUR(G426)+1</f>
        <v/>
      </c>
      <c r="B426" s="7" t="n"/>
      <c r="C426" s="7" t="n"/>
      <c r="D426" s="85">
        <f>IFERROR(
IF(AND(OR(Planilla!B426="C",Planilla!B426="c"), VLOOKUP(E426,FD:FP,13,0)="C"), "OK",IF(AND(OR(Planilla!B426="C",Planilla!B426="c"), OR(VLOOKUP(E426,FD:FP,13,0)="B", VLOOKUP(E426,FD:FP,13,0)="A")), "DEFICIT",IF(
AND(OR(Planilla!B426="B", Planilla!B426="BPAL"), VLOOKUP(E426,FD:FP,13,0)="B"), "OK",IF(AND(OR(Planilla!B426="B", Planilla!B426="BPAL"), VLOOKUP(E426,FD:FP,13,0)="A"), "DEFICIT",IF(AND(OR(Planilla!B426="B", Planilla!B426="BPAL"), VLOOKUP(E426,FD:FP,13,0)="C"), "SOBREOFERTA",IF(AND(Planilla!B426="A", VLOOKUP(E426,FD:FP,13,0)="A"), "OK",IF(
AND(Planilla!B426="A", OR(VLOOKUP(E426,FD:FP,13,0)="B", VLOOKUP(E426,FD:FP,13,0)="C")), "SOBREOFERTA",""
))))))),"")</f>
        <v/>
      </c>
      <c r="E426" s="8" t="n"/>
      <c r="F426" s="86" t="n"/>
      <c r="G426" s="87" t="n"/>
      <c r="H426" s="88">
        <f>IF(I426="","",IF(AND((I426-G426)&gt;=TIME(0,0,0),(I426-G426)&lt;TIME(0,3,0)),"OK",IF(AND((I426-G426)&gt;=TIME(0,3,0),(I426-G426)&lt;TIME(0,5,0)),"RETRASO DE 3-5 MIN",IF(AND((I426-G426)&gt;=TIME(0,5,0),(I426-G426)&lt;TIME(0,10,0)),"RETRASO DE 5-10 MIN",IF((I426-G426)&gt;=TIME(0,10,0),"RETRASO &gt;10 MIN", IF(AND((G426-I426)&gt;=TIME(0,0,0),(G426-I426)&lt;TIME(0,3,0)),"OK",IF((G426-I426)&gt;=TIME(0,3,0),"ADELANTADO")))))))</f>
        <v/>
      </c>
      <c r="I426" s="89" t="n"/>
      <c r="J426" s="89">
        <f>IF(A426&lt;&gt;"",HLOOKUP(VALUE(TEXT(G426,"h:mm:ss")),IF($C$6="Laboral",$FZ$4:$GX$227,IF($C$6="Sábado",$FZ$231:$GX$452,$FZ$456:$GX$656)),VLOOKUP($C$4,$HF$2:$HH$99,3,0)+IF(C$5="Ida",0,1),1),"")</f>
        <v/>
      </c>
      <c r="K426" s="89">
        <f>IF(A427&lt;&gt;A426,AVERAGEIF(A$9:A426,A426,J$9:J426),"")</f>
        <v/>
      </c>
      <c r="L426" s="89">
        <f>IFERROR(IF(A427&lt;&gt;A426,AVERAGEIF(A$9:A426,A426,S$9:S426),""),"")</f>
        <v/>
      </c>
      <c r="M426" s="89">
        <f>IFERROR(IF(A427&lt;&gt;A426,AVERAGEIF(A$9:A426,A426,T$9:T426),""),"")</f>
        <v/>
      </c>
      <c r="N426" s="89">
        <f t="array" ref="N426">IFERROR(IF(A427&lt;&gt;A426,_xlfn.STDEV.P(IF(A$9:A426=A426,T$9:T426)),""),"")</f>
        <v/>
      </c>
      <c r="O426" s="89">
        <f t="array" ref="O426">IFERROR(IF(A427&lt;&gt;A426,_xlfn.STDEV.P(IF(A$9:A426=A426,S$9:S426)),""),"")</f>
        <v/>
      </c>
      <c r="P426" s="90">
        <f>IFERROR(IF(A426&lt;&gt;A427,MAX((((M426*24*60)/2)*(1+POWER((((N426*24*60) / (M426*24*60) )),2))) + ((M426*24*60 )*-0.1 + (K426*0.015)) +1,(((M426*24*60)/2)*(1+POWER((((N426*24*60) / (M426*24*60 ))),2)))),""),"")</f>
        <v/>
      </c>
      <c r="Q426" s="90">
        <f>IF(AND(O426&lt;&gt;"",L426&lt;&gt;""),IF(A426&lt;&gt;A427,((L426*24*60) / 2 ) * (1 + POWER(((O426*24*60) / (L426*24*60)),2)),""),"")</f>
        <v/>
      </c>
      <c r="R426" s="90">
        <f>IF(Q426&lt;&gt;"",MAX(P426,Q426),"")</f>
        <v/>
      </c>
      <c r="S426" s="89">
        <f>IF(I426&lt;&gt;"H. Sale Real",IF(AND(I427&lt;&gt;"",LEFT(C427,2)&lt;&gt;"Va"),IF(AND(I426&lt;&gt;"",LEFT(C426,2)&lt;&gt;"Va",I426&lt;&gt;"H. Sale Real"),IF(I427-I426&lt;0.208333333333333,I427-I426,""),IF(AND(I425&lt;&gt;"",LEFT(C425,2)&lt;&gt;"Va",I425&lt;&gt;"H. Sale Real"),IF(I427-I425&lt;0.208333333333333,I427-I425,""),IF(AND(I424&lt;&gt;"",LEFT(C424,2)&lt;&gt;"Va",I424&lt;&gt;"H. Sale Real"),IF(I427-I424&lt;0.208333333333333,I427-I424,""),IF(AND(I423&lt;&gt;"",LEFT(C423,2)&lt;&gt;"Va",I423&lt;&gt;"H. Sale Real"),IF(I427-I423&lt;0.208333333333333,I427-I423,""),IF(AND(I422&lt;&gt;"",LEFT(C422,2)&lt;&gt;"Va",I422&lt;&gt;"H. Sale Real"),IF(I427-I422&lt;0.208333333333333,I427-I422,""),""))))),""),"")</f>
        <v/>
      </c>
      <c r="T426" s="89">
        <f>IF(G426&lt;&gt;"H. Sale Real",IF(AND(G427&lt;&gt;"",LEFT(C427,2)&lt;&gt;"Va"),IF(AND(G426&lt;&gt;"",LEFT(C426,2)&lt;&gt;"Va",G426&lt;&gt;"H. Sale Real"),IF(G427-G426&lt;0.208333333333333,G427-G426,""),IF(AND(G425&lt;&gt;"",LEFT(C425,2)&lt;&gt;"Va",G425&lt;&gt;"H. Sale Real"),IF(G427-G425&lt;0.208333333333333,G427-G425,""),IF(AND(G424&lt;&gt;"",LEFT(C424,2)&lt;&gt;"Va",G424&lt;&gt;"H. Sale Real"),IF(G427-G424&lt;0.208333333333333,G427-G424,""),IF(AND(G423&lt;&gt;"",LEFT(C423,2)&lt;&gt;"Va",G423&lt;&gt;"H. Sale Real"),IF(G427-G423&lt;0.208333333333333,G427-G423,""),IF(AND(G422&lt;&gt;"",LEFT(C422,2)&lt;&gt;"Va",G422&lt;&gt;"H. Sale Real"),IF(G427-G422&lt;0.208333333333333,G427-G422,""),""))))),""),"")</f>
        <v/>
      </c>
      <c r="U426" s="87" t="n"/>
      <c r="V426" s="89" t="n"/>
      <c r="W426" s="87" t="n"/>
      <c r="X426" s="89" t="n"/>
      <c r="Y426" s="91" t="n"/>
      <c r="Z426" s="122">
        <f>IF(G426&lt;&gt;"",IF(AND(Z425&lt;&gt;"IE",P426&lt;&gt;0,R426&lt;&gt;""),IF(IFERROR((P426/R426),0) &lt;=1,IFERROR(P426/R426,""),1),""),"")</f>
        <v/>
      </c>
      <c r="AA426" s="93" t="n"/>
      <c r="AB426" s="2" t="n"/>
      <c r="AE426" s="10">
        <f>HOUR(AK426)+1</f>
        <v/>
      </c>
      <c r="AF426" s="7" t="n"/>
      <c r="AG426" s="7" t="n"/>
      <c r="AH426" s="86" t="n"/>
      <c r="AI426" s="8" t="n"/>
      <c r="AJ426" s="86" t="n"/>
      <c r="AK426" s="87" t="n"/>
      <c r="AL426" s="88">
        <f>IF(AM426="","",IF(AND((AM426-AK426)&gt;=TIME(0,0,0),(AM426-AK426)&lt;TIME(0,3,0)),"OK",IF(AND((AM426-AK426)&gt;=TIME(0,3,0),(AM426-AK426)&lt;TIME(0,5,0)),"RETRASO DE 3-5 MIN",IF(AND((AM426-AK426)&gt;=TIME(0,5,0),(AM426-AK426)&lt;TIME(0,10,0)),"RETRASO DE 5-10 MIN",IF((AM426-AK426)&gt;=TIME(0,10,0),"RETRASO &gt;10 MIN", IF(AND((AK426-AM426)&gt;=TIME(0,0,0),(AK426-AM426)&lt;TIME(0,3,0)),"OK",IF((AK426-AM426)&gt;=TIME(0,3,0),"ADELANTADO")))))))</f>
        <v/>
      </c>
      <c r="AM426" s="91" t="n"/>
      <c r="AN426" s="89">
        <f>IF(AE426&lt;&gt;"",HLOOKUP(VALUE(TEXT(AK426,"h:mm:ss")),IF($C$6="Laboral",$FZ$4:$GX$227,IF($C$6="Sábado",$FZ$231:$GX$452,$FZ$456:$GX$656)),VLOOKUP($C$4,$HF$2:$HH$99,3,0)+IF(AG$5="Ida",0,1),1),"")</f>
        <v/>
      </c>
      <c r="AO426" s="89">
        <f>IF(AE427&lt;&gt;AE426,AVERAGEIF(AE$9:AE426,AE426,AN$9:AN426),"")</f>
        <v/>
      </c>
      <c r="AP426" s="89">
        <f>IFERROR(IF(AE427&lt;&gt;AE426,AVERAGEIF(AE$9:AE426,AE426,AW$9:AW426),""),"")</f>
        <v/>
      </c>
      <c r="AQ426" s="89">
        <f>IFERROR(IF(AE427&lt;&gt;AE426,AVERAGEIF(AE$9:AE426,AE426,AX$9:AX426),""),"")</f>
        <v/>
      </c>
      <c r="AR426" s="89">
        <f t="array" ref="AR426">IFERROR(IF(AE427&lt;&gt;AE426,_xlfn.STDEV.P(IF(AE$9:AE426=AE426,AX$9:AX426)),""),"")</f>
        <v/>
      </c>
      <c r="AS426" s="89">
        <f t="array" ref="AS426">IFERROR(IF(AE427&lt;&gt;AE426,_xlfn.STDEV.P(IF(AE$9:AE426=AE426,AW$9:AW426)),""),"")</f>
        <v/>
      </c>
      <c r="AT426" s="90">
        <f>IFERROR(IF(AE426&lt;&gt;AE427,MAX((((AQ426*24*60)/2)*(1+POWER((((AR426*24*60) / (AQ426*24*60) )),2))) + ((AQ426*24*60 )*-0.1 + (AO426*0.015)) +1,(((AQ426*24*60)/2)*(1+POWER((((AR426*24*60) / (AQ426*24*60 ))),2)))),""),"")</f>
        <v/>
      </c>
      <c r="AU426" s="90">
        <f>IF(AND(AS426&lt;&gt;"",AP426&lt;&gt;""),IF(AE426&lt;&gt;AE427,((AP426*24*60) / 2 ) * (1 + POWER(((AS426*24*60) / (AP426*24*60)),2)),""),"")</f>
        <v/>
      </c>
      <c r="AV426" s="90">
        <f>IF(AU426&lt;&gt;"",MAX(AT426,AU426),"")</f>
        <v/>
      </c>
      <c r="AW426" s="89">
        <f>IF(AM426&lt;&gt;"H. Sale Real",IF(AND(AM427&lt;&gt;"",LEFT(AG427,2)&lt;&gt;"Va"),IF(AND(AM426&lt;&gt;"",LEFT(AG426,2)&lt;&gt;"Va",AM426&lt;&gt;"H. Sale Real"),IF(AM427-AM426&lt;0.208333333333333,AM427-AM426,""),IF(AND(AM425&lt;&gt;"",LEFT(AG425,2)&lt;&gt;"Va",AM425&lt;&gt;"H. Sale Real"),IF(AM427-AM425&lt;0.208333333333333,AM427-AM425,""),IF(AND(AM424&lt;&gt;"",LEFT(AG424,2)&lt;&gt;"Va",AM424&lt;&gt;"H. Sale Real"),IF(AM427-AM424&lt;0.208333333333333,AM427-AM424,""),IF(AND(AM423&lt;&gt;"",LEFT(AG423,2)&lt;&gt;"Va",AM423&lt;&gt;"H. Sale Real"),IF(AM427-AM423&lt;0.208333333333333,AM427-AM423,""),IF(AND(AM422&lt;&gt;"",LEFT(AG422,2)&lt;&gt;"Va",AM422&lt;&gt;"H. Sale Real"),IF(AM427-AM422&lt;0.208333333333333,AM427-AM422,""),""))))),""),"")</f>
        <v/>
      </c>
      <c r="AX426" s="89">
        <f>IF(AK426&lt;&gt;"H. Sale Real",IF(AND(AK427&lt;&gt;"",LEFT(AG427,2)&lt;&gt;"Va"),IF(AND(AK426&lt;&gt;"",LEFT(AG426,2)&lt;&gt;"Va",AK426&lt;&gt;"H. Sale Real"),IF(AK427-AK426&lt;0.208333333333333,AK427-AK426,""),IF(AND(AK425&lt;&gt;"",LEFT(AG425,2)&lt;&gt;"Va",AK425&lt;&gt;"H. Sale Real"),IF(AK427-AK425&lt;0.208333333333333,AK427-AK425,""),IF(AND(AK424&lt;&gt;"",LEFT(AG424,2)&lt;&gt;"NC",AK424&lt;&gt;"H. Sale Real"),IF(AK427-AK424&lt;0.208333333333333,AK427-AK424,""),IF(AND(AK423&lt;&gt;"",LEFT(AG423,2)&lt;&gt;"Va",AK423&lt;&gt;"H. Sale Real"),IF(AK427-AK423&lt;0.208333333333333,AK427-AK423,""),IF(AND(AK422&lt;&gt;"",LEFT(AG422,2)&lt;&gt;"Va",AK422&lt;&gt;"H. Sale Real"),IF(AK427-AK422&lt;0.208333333333333,AK427-AK422,""),""))))),""),"")</f>
        <v/>
      </c>
      <c r="AY426" s="87" t="n"/>
      <c r="AZ426" s="89" t="n"/>
      <c r="BA426" s="87" t="n"/>
      <c r="BB426" s="89" t="n"/>
      <c r="BC426" s="91" t="n"/>
      <c r="BD426" s="122">
        <f>IF(AK426&lt;&gt;"",IF(AND(BD425&lt;&gt;"IE",AT426&lt;&gt;0,AV426&lt;&gt;""),IF(IFERROR((AT426/AV426),0) &lt;=1,IFERROR(AT426/AV426,""),1),""),"")</f>
        <v/>
      </c>
      <c r="BE426" s="93" t="n"/>
      <c r="BF426" s="105" t="n"/>
      <c r="FC426" t="inlineStr">
        <is>
          <t>Diccionario 1</t>
        </is>
      </c>
      <c r="FD426" s="15" t="n">
        <v>1425</v>
      </c>
      <c r="FE426" s="15" t="inlineStr">
        <is>
          <t>MDN35025030011</t>
        </is>
      </c>
      <c r="FF426" s="15" t="inlineStr">
        <is>
          <t>LDYECS311S0044384</t>
        </is>
      </c>
      <c r="FG426" s="15" t="inlineStr">
        <is>
          <t>Zhong Tong</t>
        </is>
      </c>
      <c r="FH426" s="15" t="inlineStr">
        <is>
          <t>Lck6122evg</t>
        </is>
      </c>
      <c r="FI426" s="15" t="inlineStr">
        <is>
          <t>ZHONGTONG</t>
        </is>
      </c>
      <c r="FJ426" s="15" t="inlineStr">
        <is>
          <t>LCK6122EVG</t>
        </is>
      </c>
      <c r="FK426" s="15" t="n">
        <v>2025</v>
      </c>
      <c r="FL426" s="15" t="inlineStr">
        <is>
          <t>B</t>
        </is>
      </c>
      <c r="FM426" s="15" t="inlineStr">
        <is>
          <t>PIE ANDINO</t>
        </is>
      </c>
      <c r="FN426" s="15" t="inlineStr">
        <is>
          <t>Pie Andino 31 (Pie Andino 383)</t>
        </is>
      </c>
      <c r="FO426" s="15" t="inlineStr">
        <is>
          <t>Puente Alto</t>
        </is>
      </c>
      <c r="FP426" t="inlineStr">
        <is>
          <t>B</t>
        </is>
      </c>
      <c r="FS426" s="14" t="inlineStr">
        <is>
          <t>3107 / SFWZ-85|</t>
        </is>
      </c>
      <c r="FT426" t="inlineStr">
        <is>
          <t>SFWZ-85|</t>
        </is>
      </c>
      <c r="FU426" t="inlineStr">
        <is>
          <t>SFWZ-85</t>
        </is>
      </c>
      <c r="FV426">
        <f>VLOOKUP(FU426,FD:FL,9,0)</f>
        <v/>
      </c>
      <c r="HA426" s="35" t="n">
        <v>196</v>
      </c>
      <c r="HB426" s="35" t="n">
        <v>420</v>
      </c>
    </row>
    <row r="427" ht="15.5" customHeight="1">
      <c r="A427" s="10">
        <f>HOUR(G427)+1</f>
        <v/>
      </c>
      <c r="B427" s="7" t="n"/>
      <c r="C427" s="7" t="n"/>
      <c r="D427" s="85">
        <f>IFERROR(
IF(AND(OR(Planilla!B427="C",Planilla!B427="c"), VLOOKUP(E427,FD:FP,13,0)="C"), "OK",IF(AND(OR(Planilla!B427="C",Planilla!B427="c"), OR(VLOOKUP(E427,FD:FP,13,0)="B", VLOOKUP(E427,FD:FP,13,0)="A")), "DEFICIT",IF(
AND(OR(Planilla!B427="B", Planilla!B427="BPAL"), VLOOKUP(E427,FD:FP,13,0)="B"), "OK",IF(AND(OR(Planilla!B427="B", Planilla!B427="BPAL"), VLOOKUP(E427,FD:FP,13,0)="A"), "DEFICIT",IF(AND(OR(Planilla!B427="B", Planilla!B427="BPAL"), VLOOKUP(E427,FD:FP,13,0)="C"), "SOBREOFERTA",IF(AND(Planilla!B427="A", VLOOKUP(E427,FD:FP,13,0)="A"), "OK",IF(
AND(Planilla!B427="A", OR(VLOOKUP(E427,FD:FP,13,0)="B", VLOOKUP(E427,FD:FP,13,0)="C")), "SOBREOFERTA",""
))))))),"")</f>
        <v/>
      </c>
      <c r="E427" s="8" t="n"/>
      <c r="F427" s="86" t="n"/>
      <c r="G427" s="87" t="n"/>
      <c r="H427" s="88">
        <f>IF(I427="","",IF(AND((I427-G427)&gt;=TIME(0,0,0),(I427-G427)&lt;TIME(0,3,0)),"OK",IF(AND((I427-G427)&gt;=TIME(0,3,0),(I427-G427)&lt;TIME(0,5,0)),"RETRASO DE 3-5 MIN",IF(AND((I427-G427)&gt;=TIME(0,5,0),(I427-G427)&lt;TIME(0,10,0)),"RETRASO DE 5-10 MIN",IF((I427-G427)&gt;=TIME(0,10,0),"RETRASO &gt;10 MIN", IF(AND((G427-I427)&gt;=TIME(0,0,0),(G427-I427)&lt;TIME(0,3,0)),"OK",IF((G427-I427)&gt;=TIME(0,3,0),"ADELANTADO")))))))</f>
        <v/>
      </c>
      <c r="I427" s="89" t="n"/>
      <c r="J427" s="89">
        <f>IF(A427&lt;&gt;"",HLOOKUP(VALUE(TEXT(G427,"h:mm:ss")),IF($C$6="Laboral",$FZ$4:$GX$227,IF($C$6="Sábado",$FZ$231:$GX$452,$FZ$456:$GX$656)),VLOOKUP($C$4,$HF$2:$HH$99,3,0)+IF(C$5="Ida",0,1),1),"")</f>
        <v/>
      </c>
      <c r="K427" s="89">
        <f>IF(A428&lt;&gt;A427,AVERAGEIF(A$9:A427,A427,J$9:J427),"")</f>
        <v/>
      </c>
      <c r="L427" s="89">
        <f>IFERROR(IF(A428&lt;&gt;A427,AVERAGEIF(A$9:A427,A427,S$9:S427),""),"")</f>
        <v/>
      </c>
      <c r="M427" s="89">
        <f>IFERROR(IF(A428&lt;&gt;A427,AVERAGEIF(A$9:A427,A427,T$9:T427),""),"")</f>
        <v/>
      </c>
      <c r="N427" s="89">
        <f t="array" ref="N427">IFERROR(IF(A428&lt;&gt;A427,_xlfn.STDEV.P(IF(A$9:A427=A427,T$9:T427)),""),"")</f>
        <v/>
      </c>
      <c r="O427" s="89">
        <f t="array" ref="O427">IFERROR(IF(A428&lt;&gt;A427,_xlfn.STDEV.P(IF(A$9:A427=A427,S$9:S427)),""),"")</f>
        <v/>
      </c>
      <c r="P427" s="90">
        <f>IFERROR(IF(A427&lt;&gt;A428,MAX((((M427*24*60)/2)*(1+POWER((((N427*24*60) / (M427*24*60) )),2))) + ((M427*24*60 )*-0.1 + (K427*0.015)) +1,(((M427*24*60)/2)*(1+POWER((((N427*24*60) / (M427*24*60 ))),2)))),""),"")</f>
        <v/>
      </c>
      <c r="Q427" s="90">
        <f>IF(AND(O427&lt;&gt;"",L427&lt;&gt;""),IF(A427&lt;&gt;A428,((L427*24*60) / 2 ) * (1 + POWER(((O427*24*60) / (L427*24*60)),2)),""),"")</f>
        <v/>
      </c>
      <c r="R427" s="90">
        <f>IF(Q427&lt;&gt;"",MAX(P427,Q427),"")</f>
        <v/>
      </c>
      <c r="S427" s="89">
        <f>IF(I427&lt;&gt;"H. Sale Real",IF(AND(I428&lt;&gt;"",LEFT(C428,2)&lt;&gt;"Va"),IF(AND(I427&lt;&gt;"",LEFT(C427,2)&lt;&gt;"Va",I427&lt;&gt;"H. Sale Real"),IF(I428-I427&lt;0.208333333333333,I428-I427,""),IF(AND(I426&lt;&gt;"",LEFT(C426,2)&lt;&gt;"Va",I426&lt;&gt;"H. Sale Real"),IF(I428-I426&lt;0.208333333333333,I428-I426,""),IF(AND(I425&lt;&gt;"",LEFT(C425,2)&lt;&gt;"Va",I425&lt;&gt;"H. Sale Real"),IF(I428-I425&lt;0.208333333333333,I428-I425,""),IF(AND(I424&lt;&gt;"",LEFT(C424,2)&lt;&gt;"Va",I424&lt;&gt;"H. Sale Real"),IF(I428-I424&lt;0.208333333333333,I428-I424,""),IF(AND(I423&lt;&gt;"",LEFT(C423,2)&lt;&gt;"Va",I423&lt;&gt;"H. Sale Real"),IF(I428-I423&lt;0.208333333333333,I428-I423,""),""))))),""),"")</f>
        <v/>
      </c>
      <c r="T427" s="89">
        <f>IF(G427&lt;&gt;"H. Sale Real",IF(AND(G428&lt;&gt;"",LEFT(C428,2)&lt;&gt;"Va"),IF(AND(G427&lt;&gt;"",LEFT(C427,2)&lt;&gt;"Va",G427&lt;&gt;"H. Sale Real"),IF(G428-G427&lt;0.208333333333333,G428-G427,""),IF(AND(G426&lt;&gt;"",LEFT(C426,2)&lt;&gt;"Va",G426&lt;&gt;"H. Sale Real"),IF(G428-G426&lt;0.208333333333333,G428-G426,""),IF(AND(G425&lt;&gt;"",LEFT(C425,2)&lt;&gt;"Va",G425&lt;&gt;"H. Sale Real"),IF(G428-G425&lt;0.208333333333333,G428-G425,""),IF(AND(G424&lt;&gt;"",LEFT(C424,2)&lt;&gt;"Va",G424&lt;&gt;"H. Sale Real"),IF(G428-G424&lt;0.208333333333333,G428-G424,""),IF(AND(G423&lt;&gt;"",LEFT(C423,2)&lt;&gt;"Va",G423&lt;&gt;"H. Sale Real"),IF(G428-G423&lt;0.208333333333333,G428-G423,""),""))))),""),"")</f>
        <v/>
      </c>
      <c r="U427" s="87" t="n"/>
      <c r="V427" s="89" t="n"/>
      <c r="W427" s="87" t="n"/>
      <c r="X427" s="89" t="n"/>
      <c r="Y427" s="91" t="n"/>
      <c r="Z427" s="122">
        <f>IF(G427&lt;&gt;"",IF(AND(Z426&lt;&gt;"IE",P427&lt;&gt;0,R427&lt;&gt;""),IF(IFERROR((P427/R427),0) &lt;=1,IFERROR(P427/R427,""),1),""),"")</f>
        <v/>
      </c>
      <c r="AA427" s="93" t="n"/>
      <c r="AB427" s="2" t="n"/>
      <c r="AE427" s="10">
        <f>HOUR(AK427)+1</f>
        <v/>
      </c>
      <c r="AF427" s="7" t="n"/>
      <c r="AG427" s="7" t="n"/>
      <c r="AH427" s="86" t="n"/>
      <c r="AI427" s="8" t="n"/>
      <c r="AJ427" s="86" t="n"/>
      <c r="AK427" s="87" t="n"/>
      <c r="AL427" s="88">
        <f>IF(AM427="","",IF(AND((AM427-AK427)&gt;=TIME(0,0,0),(AM427-AK427)&lt;TIME(0,3,0)),"OK",IF(AND((AM427-AK427)&gt;=TIME(0,3,0),(AM427-AK427)&lt;TIME(0,5,0)),"RETRASO DE 3-5 MIN",IF(AND((AM427-AK427)&gt;=TIME(0,5,0),(AM427-AK427)&lt;TIME(0,10,0)),"RETRASO DE 5-10 MIN",IF((AM427-AK427)&gt;=TIME(0,10,0),"RETRASO &gt;10 MIN", IF(AND((AK427-AM427)&gt;=TIME(0,0,0),(AK427-AM427)&lt;TIME(0,3,0)),"OK",IF((AK427-AM427)&gt;=TIME(0,3,0),"ADELANTADO")))))))</f>
        <v/>
      </c>
      <c r="AM427" s="91" t="n"/>
      <c r="AN427" s="89">
        <f>IF(AE427&lt;&gt;"",HLOOKUP(VALUE(TEXT(AK427,"h:mm:ss")),IF($C$6="Laboral",$FZ$4:$GX$227,IF($C$6="Sábado",$FZ$231:$GX$452,$FZ$456:$GX$656)),VLOOKUP($C$4,$HF$2:$HH$99,3,0)+IF(AG$5="Ida",0,1),1),"")</f>
        <v/>
      </c>
      <c r="AO427" s="89">
        <f>IF(AE428&lt;&gt;AE427,AVERAGEIF(AE$9:AE427,AE427,AN$9:AN427),"")</f>
        <v/>
      </c>
      <c r="AP427" s="89">
        <f>IFERROR(IF(AE428&lt;&gt;AE427,AVERAGEIF(AE$9:AE427,AE427,AW$9:AW427),""),"")</f>
        <v/>
      </c>
      <c r="AQ427" s="89">
        <f>IFERROR(IF(AE428&lt;&gt;AE427,AVERAGEIF(AE$9:AE427,AE427,AX$9:AX427),""),"")</f>
        <v/>
      </c>
      <c r="AR427" s="89">
        <f t="array" ref="AR427">IFERROR(IF(AE428&lt;&gt;AE427,_xlfn.STDEV.P(IF(AE$9:AE427=AE427,AX$9:AX427)),""),"")</f>
        <v/>
      </c>
      <c r="AS427" s="89">
        <f t="array" ref="AS427">IFERROR(IF(AE428&lt;&gt;AE427,_xlfn.STDEV.P(IF(AE$9:AE427=AE427,AW$9:AW427)),""),"")</f>
        <v/>
      </c>
      <c r="AT427" s="90">
        <f>IFERROR(IF(AE427&lt;&gt;AE428,MAX((((AQ427*24*60)/2)*(1+POWER((((AR427*24*60) / (AQ427*24*60) )),2))) + ((AQ427*24*60 )*-0.1 + (AO427*0.015)) +1,(((AQ427*24*60)/2)*(1+POWER((((AR427*24*60) / (AQ427*24*60 ))),2)))),""),"")</f>
        <v/>
      </c>
      <c r="AU427" s="90">
        <f>IF(AND(AS427&lt;&gt;"",AP427&lt;&gt;""),IF(AE427&lt;&gt;AE428,((AP427*24*60) / 2 ) * (1 + POWER(((AS427*24*60) / (AP427*24*60)),2)),""),"")</f>
        <v/>
      </c>
      <c r="AV427" s="90">
        <f>IF(AU427&lt;&gt;"",MAX(AT427,AU427),"")</f>
        <v/>
      </c>
      <c r="AW427" s="89">
        <f>IF(AM427&lt;&gt;"H. Sale Real",IF(AND(AM428&lt;&gt;"",LEFT(AG428,2)&lt;&gt;"Va"),IF(AND(AM427&lt;&gt;"",LEFT(AG427,2)&lt;&gt;"Va",AM427&lt;&gt;"H. Sale Real"),IF(AM428-AM427&lt;0.208333333333333,AM428-AM427,""),IF(AND(AM426&lt;&gt;"",LEFT(AG426,2)&lt;&gt;"Va",AM426&lt;&gt;"H. Sale Real"),IF(AM428-AM426&lt;0.208333333333333,AM428-AM426,""),IF(AND(AM425&lt;&gt;"",LEFT(AG425,2)&lt;&gt;"Va",AM425&lt;&gt;"H. Sale Real"),IF(AM428-AM425&lt;0.208333333333333,AM428-AM425,""),IF(AND(AM424&lt;&gt;"",LEFT(AG424,2)&lt;&gt;"Va",AM424&lt;&gt;"H. Sale Real"),IF(AM428-AM424&lt;0.208333333333333,AM428-AM424,""),IF(AND(AM423&lt;&gt;"",LEFT(AG423,2)&lt;&gt;"Va",AM423&lt;&gt;"H. Sale Real"),IF(AM428-AM423&lt;0.208333333333333,AM428-AM423,""),""))))),""),"")</f>
        <v/>
      </c>
      <c r="AX427" s="89">
        <f>IF(AK427&lt;&gt;"H. Sale Real",IF(AND(AK428&lt;&gt;"",LEFT(AG428,2)&lt;&gt;"Va"),IF(AND(AK427&lt;&gt;"",LEFT(AG427,2)&lt;&gt;"Va",AK427&lt;&gt;"H. Sale Real"),IF(AK428-AK427&lt;0.208333333333333,AK428-AK427,""),IF(AND(AK426&lt;&gt;"",LEFT(AG426,2)&lt;&gt;"Va",AK426&lt;&gt;"H. Sale Real"),IF(AK428-AK426&lt;0.208333333333333,AK428-AK426,""),IF(AND(AK425&lt;&gt;"",LEFT(AG425,2)&lt;&gt;"NC",AK425&lt;&gt;"H. Sale Real"),IF(AK428-AK425&lt;0.208333333333333,AK428-AK425,""),IF(AND(AK424&lt;&gt;"",LEFT(AG424,2)&lt;&gt;"Va",AK424&lt;&gt;"H. Sale Real"),IF(AK428-AK424&lt;0.208333333333333,AK428-AK424,""),IF(AND(AK423&lt;&gt;"",LEFT(AG423,2)&lt;&gt;"Va",AK423&lt;&gt;"H. Sale Real"),IF(AK428-AK423&lt;0.208333333333333,AK428-AK423,""),""))))),""),"")</f>
        <v/>
      </c>
      <c r="AY427" s="87" t="n"/>
      <c r="AZ427" s="89" t="n"/>
      <c r="BA427" s="87" t="n"/>
      <c r="BB427" s="89" t="n"/>
      <c r="BC427" s="91" t="n"/>
      <c r="BD427" s="122">
        <f>IF(AK427&lt;&gt;"",IF(AND(BD426&lt;&gt;"IE",AT427&lt;&gt;0,AV427&lt;&gt;""),IF(IFERROR((AT427/AV427),0) &lt;=1,IFERROR(AT427/AV427,""),1),""),"")</f>
        <v/>
      </c>
      <c r="BE427" s="93" t="n"/>
      <c r="BF427" s="105" t="n"/>
      <c r="FC427" t="inlineStr">
        <is>
          <t>Diccionario 1</t>
        </is>
      </c>
      <c r="FD427" s="15" t="n">
        <v>1426</v>
      </c>
      <c r="FE427" s="15" t="inlineStr">
        <is>
          <t>MDN35025030056</t>
        </is>
      </c>
      <c r="FF427" s="15" t="inlineStr">
        <is>
          <t>LDYECS313S0044371</t>
        </is>
      </c>
      <c r="FG427" s="15" t="inlineStr">
        <is>
          <t>Zhong Tong</t>
        </is>
      </c>
      <c r="FH427" s="15" t="inlineStr">
        <is>
          <t>Lck6122evg</t>
        </is>
      </c>
      <c r="FI427" s="15" t="inlineStr">
        <is>
          <t>ZHONGTONG</t>
        </is>
      </c>
      <c r="FJ427" s="15" t="inlineStr">
        <is>
          <t>LCK6122EVG</t>
        </is>
      </c>
      <c r="FK427" s="15" t="n">
        <v>2025</v>
      </c>
      <c r="FL427" s="15" t="inlineStr">
        <is>
          <t>B</t>
        </is>
      </c>
      <c r="FM427" s="15" t="inlineStr">
        <is>
          <t>PIE ANDINO</t>
        </is>
      </c>
      <c r="FN427" s="15" t="inlineStr">
        <is>
          <t>Pie Andino 31 (Pie Andino 383)</t>
        </is>
      </c>
      <c r="FO427" s="15" t="inlineStr">
        <is>
          <t>Puente Alto</t>
        </is>
      </c>
      <c r="FP427" t="inlineStr">
        <is>
          <t>B</t>
        </is>
      </c>
      <c r="FS427" s="14" t="inlineStr">
        <is>
          <t>3107 / SFWZ-85|</t>
        </is>
      </c>
      <c r="FT427" t="inlineStr">
        <is>
          <t>SFWZ-85|</t>
        </is>
      </c>
      <c r="FU427" t="inlineStr">
        <is>
          <t>SFWZ-85</t>
        </is>
      </c>
      <c r="FV427">
        <f>VLOOKUP(FU427,FD:FL,9,0)</f>
        <v/>
      </c>
      <c r="HA427" s="35" t="n">
        <v>197</v>
      </c>
      <c r="HB427" s="35" t="n">
        <v>421</v>
      </c>
    </row>
    <row r="428" ht="15.5" customHeight="1">
      <c r="A428" s="10">
        <f>HOUR(G428)+1</f>
        <v/>
      </c>
      <c r="B428" s="7" t="n"/>
      <c r="C428" s="7" t="n"/>
      <c r="D428" s="85">
        <f>IFERROR(
IF(AND(OR(Planilla!B428="C",Planilla!B428="c"), VLOOKUP(E428,FD:FP,13,0)="C"), "OK",IF(AND(OR(Planilla!B428="C",Planilla!B428="c"), OR(VLOOKUP(E428,FD:FP,13,0)="B", VLOOKUP(E428,FD:FP,13,0)="A")), "DEFICIT",IF(
AND(OR(Planilla!B428="B", Planilla!B428="BPAL"), VLOOKUP(E428,FD:FP,13,0)="B"), "OK",IF(AND(OR(Planilla!B428="B", Planilla!B428="BPAL"), VLOOKUP(E428,FD:FP,13,0)="A"), "DEFICIT",IF(AND(OR(Planilla!B428="B", Planilla!B428="BPAL"), VLOOKUP(E428,FD:FP,13,0)="C"), "SOBREOFERTA",IF(AND(Planilla!B428="A", VLOOKUP(E428,FD:FP,13,0)="A"), "OK",IF(
AND(Planilla!B428="A", OR(VLOOKUP(E428,FD:FP,13,0)="B", VLOOKUP(E428,FD:FP,13,0)="C")), "SOBREOFERTA",""
))))))),"")</f>
        <v/>
      </c>
      <c r="E428" s="8" t="n"/>
      <c r="F428" s="86" t="n"/>
      <c r="G428" s="87" t="n"/>
      <c r="H428" s="88">
        <f>IF(I428="","",IF(AND((I428-G428)&gt;=TIME(0,0,0),(I428-G428)&lt;TIME(0,3,0)),"OK",IF(AND((I428-G428)&gt;=TIME(0,3,0),(I428-G428)&lt;TIME(0,5,0)),"RETRASO DE 3-5 MIN",IF(AND((I428-G428)&gt;=TIME(0,5,0),(I428-G428)&lt;TIME(0,10,0)),"RETRASO DE 5-10 MIN",IF((I428-G428)&gt;=TIME(0,10,0),"RETRASO &gt;10 MIN", IF(AND((G428-I428)&gt;=TIME(0,0,0),(G428-I428)&lt;TIME(0,3,0)),"OK",IF((G428-I428)&gt;=TIME(0,3,0),"ADELANTADO")))))))</f>
        <v/>
      </c>
      <c r="I428" s="89" t="n"/>
      <c r="J428" s="89">
        <f>IF(A428&lt;&gt;"",HLOOKUP(VALUE(TEXT(G428,"h:mm:ss")),IF($C$6="Laboral",$FZ$4:$GX$227,IF($C$6="Sábado",$FZ$231:$GX$452,$FZ$456:$GX$656)),VLOOKUP($C$4,$HF$2:$HH$99,3,0)+IF(C$5="Ida",0,1),1),"")</f>
        <v/>
      </c>
      <c r="K428" s="89">
        <f>IF(A429&lt;&gt;A428,AVERAGEIF(A$9:A428,A428,J$9:J428),"")</f>
        <v/>
      </c>
      <c r="L428" s="89">
        <f>IFERROR(IF(A429&lt;&gt;A428,AVERAGEIF(A$9:A428,A428,S$9:S428),""),"")</f>
        <v/>
      </c>
      <c r="M428" s="89">
        <f>IFERROR(IF(A429&lt;&gt;A428,AVERAGEIF(A$9:A428,A428,T$9:T428),""),"")</f>
        <v/>
      </c>
      <c r="N428" s="89">
        <f t="array" ref="N428">IFERROR(IF(A429&lt;&gt;A428,_xlfn.STDEV.P(IF(A$9:A428=A428,T$9:T428)),""),"")</f>
        <v/>
      </c>
      <c r="O428" s="89">
        <f t="array" ref="O428">IFERROR(IF(A429&lt;&gt;A428,_xlfn.STDEV.P(IF(A$9:A428=A428,S$9:S428)),""),"")</f>
        <v/>
      </c>
      <c r="P428" s="90">
        <f>IFERROR(IF(A428&lt;&gt;A429,MAX((((M428*24*60)/2)*(1+POWER((((N428*24*60) / (M428*24*60) )),2))) + ((M428*24*60 )*-0.1 + (K428*0.015)) +1,(((M428*24*60)/2)*(1+POWER((((N428*24*60) / (M428*24*60 ))),2)))),""),"")</f>
        <v/>
      </c>
      <c r="Q428" s="90">
        <f>IF(AND(O428&lt;&gt;"",L428&lt;&gt;""),IF(A428&lt;&gt;A429,((L428*24*60) / 2 ) * (1 + POWER(((O428*24*60) / (L428*24*60)),2)),""),"")</f>
        <v/>
      </c>
      <c r="R428" s="90">
        <f>IF(Q428&lt;&gt;"",MAX(P428,Q428),"")</f>
        <v/>
      </c>
      <c r="S428" s="89">
        <f>IF(I428&lt;&gt;"H. Sale Real",IF(AND(I429&lt;&gt;"",LEFT(C429,2)&lt;&gt;"Va"),IF(AND(I428&lt;&gt;"",LEFT(C428,2)&lt;&gt;"Va",I428&lt;&gt;"H. Sale Real"),IF(I429-I428&lt;0.208333333333333,I429-I428,""),IF(AND(I427&lt;&gt;"",LEFT(C427,2)&lt;&gt;"Va",I427&lt;&gt;"H. Sale Real"),IF(I429-I427&lt;0.208333333333333,I429-I427,""),IF(AND(I426&lt;&gt;"",LEFT(C426,2)&lt;&gt;"Va",I426&lt;&gt;"H. Sale Real"),IF(I429-I426&lt;0.208333333333333,I429-I426,""),IF(AND(I425&lt;&gt;"",LEFT(C425,2)&lt;&gt;"Va",I425&lt;&gt;"H. Sale Real"),IF(I429-I425&lt;0.208333333333333,I429-I425,""),IF(AND(I424&lt;&gt;"",LEFT(C424,2)&lt;&gt;"Va",I424&lt;&gt;"H. Sale Real"),IF(I429-I424&lt;0.208333333333333,I429-I424,""),""))))),""),"")</f>
        <v/>
      </c>
      <c r="T428" s="89">
        <f>IF(G428&lt;&gt;"H. Sale Real",IF(AND(G429&lt;&gt;"",LEFT(C429,2)&lt;&gt;"Va"),IF(AND(G428&lt;&gt;"",LEFT(C428,2)&lt;&gt;"Va",G428&lt;&gt;"H. Sale Real"),IF(G429-G428&lt;0.208333333333333,G429-G428,""),IF(AND(G427&lt;&gt;"",LEFT(C427,2)&lt;&gt;"Va",G427&lt;&gt;"H. Sale Real"),IF(G429-G427&lt;0.208333333333333,G429-G427,""),IF(AND(G426&lt;&gt;"",LEFT(C426,2)&lt;&gt;"Va",G426&lt;&gt;"H. Sale Real"),IF(G429-G426&lt;0.208333333333333,G429-G426,""),IF(AND(G425&lt;&gt;"",LEFT(C425,2)&lt;&gt;"Va",G425&lt;&gt;"H. Sale Real"),IF(G429-G425&lt;0.208333333333333,G429-G425,""),IF(AND(G424&lt;&gt;"",LEFT(C424,2)&lt;&gt;"Va",G424&lt;&gt;"H. Sale Real"),IF(G429-G424&lt;0.208333333333333,G429-G424,""),""))))),""),"")</f>
        <v/>
      </c>
      <c r="U428" s="87" t="n"/>
      <c r="V428" s="89" t="n"/>
      <c r="W428" s="87" t="n"/>
      <c r="X428" s="89" t="n"/>
      <c r="Y428" s="91" t="n"/>
      <c r="Z428" s="122">
        <f>IF(G428&lt;&gt;"",IF(AND(Z427&lt;&gt;"IE",P428&lt;&gt;0,R428&lt;&gt;""),IF(IFERROR((P428/R428),0) &lt;=1,IFERROR(P428/R428,""),1),""),"")</f>
        <v/>
      </c>
      <c r="AA428" s="93" t="n"/>
      <c r="AB428" s="2" t="n"/>
      <c r="AE428" s="10">
        <f>HOUR(AK428)+1</f>
        <v/>
      </c>
      <c r="AF428" s="7" t="n"/>
      <c r="AG428" s="7" t="n"/>
      <c r="AH428" s="86" t="n"/>
      <c r="AI428" s="8" t="n"/>
      <c r="AJ428" s="86" t="n"/>
      <c r="AK428" s="87" t="n"/>
      <c r="AL428" s="88">
        <f>IF(AM428="","",IF(AND((AM428-AK428)&gt;=TIME(0,0,0),(AM428-AK428)&lt;TIME(0,3,0)),"OK",IF(AND((AM428-AK428)&gt;=TIME(0,3,0),(AM428-AK428)&lt;TIME(0,5,0)),"RETRASO DE 3-5 MIN",IF(AND((AM428-AK428)&gt;=TIME(0,5,0),(AM428-AK428)&lt;TIME(0,10,0)),"RETRASO DE 5-10 MIN",IF((AM428-AK428)&gt;=TIME(0,10,0),"RETRASO &gt;10 MIN", IF(AND((AK428-AM428)&gt;=TIME(0,0,0),(AK428-AM428)&lt;TIME(0,3,0)),"OK",IF((AK428-AM428)&gt;=TIME(0,3,0),"ADELANTADO")))))))</f>
        <v/>
      </c>
      <c r="AM428" s="91" t="n"/>
      <c r="AN428" s="89">
        <f>IF(AE428&lt;&gt;"",HLOOKUP(VALUE(TEXT(AK428,"h:mm:ss")),IF($C$6="Laboral",$FZ$4:$GX$227,IF($C$6="Sábado",$FZ$231:$GX$452,$FZ$456:$GX$656)),VLOOKUP($C$4,$HF$2:$HH$99,3,0)+IF(AG$5="Ida",0,1),1),"")</f>
        <v/>
      </c>
      <c r="AO428" s="89">
        <f>IF(AE429&lt;&gt;AE428,AVERAGEIF(AE$9:AE428,AE428,AN$9:AN428),"")</f>
        <v/>
      </c>
      <c r="AP428" s="89">
        <f>IFERROR(IF(AE429&lt;&gt;AE428,AVERAGEIF(AE$9:AE428,AE428,AW$9:AW428),""),"")</f>
        <v/>
      </c>
      <c r="AQ428" s="89">
        <f>IFERROR(IF(AE429&lt;&gt;AE428,AVERAGEIF(AE$9:AE428,AE428,AX$9:AX428),""),"")</f>
        <v/>
      </c>
      <c r="AR428" s="89">
        <f t="array" ref="AR428">IFERROR(IF(AE429&lt;&gt;AE428,_xlfn.STDEV.P(IF(AE$9:AE428=AE428,AX$9:AX428)),""),"")</f>
        <v/>
      </c>
      <c r="AS428" s="89">
        <f t="array" ref="AS428">IFERROR(IF(AE429&lt;&gt;AE428,_xlfn.STDEV.P(IF(AE$9:AE428=AE428,AW$9:AW428)),""),"")</f>
        <v/>
      </c>
      <c r="AT428" s="90">
        <f>IFERROR(IF(AE428&lt;&gt;AE429,MAX((((AQ428*24*60)/2)*(1+POWER((((AR428*24*60) / (AQ428*24*60) )),2))) + ((AQ428*24*60 )*-0.1 + (AO428*0.015)) +1,(((AQ428*24*60)/2)*(1+POWER((((AR428*24*60) / (AQ428*24*60 ))),2)))),""),"")</f>
        <v/>
      </c>
      <c r="AU428" s="90">
        <f>IF(AND(AS428&lt;&gt;"",AP428&lt;&gt;""),IF(AE428&lt;&gt;AE429,((AP428*24*60) / 2 ) * (1 + POWER(((AS428*24*60) / (AP428*24*60)),2)),""),"")</f>
        <v/>
      </c>
      <c r="AV428" s="90">
        <f>IF(AU428&lt;&gt;"",MAX(AT428,AU428),"")</f>
        <v/>
      </c>
      <c r="AW428" s="89">
        <f>IF(AM428&lt;&gt;"H. Sale Real",IF(AND(AM429&lt;&gt;"",LEFT(AG429,2)&lt;&gt;"Va"),IF(AND(AM428&lt;&gt;"",LEFT(AG428,2)&lt;&gt;"Va",AM428&lt;&gt;"H. Sale Real"),IF(AM429-AM428&lt;0.208333333333333,AM429-AM428,""),IF(AND(AM427&lt;&gt;"",LEFT(AG427,2)&lt;&gt;"Va",AM427&lt;&gt;"H. Sale Real"),IF(AM429-AM427&lt;0.208333333333333,AM429-AM427,""),IF(AND(AM426&lt;&gt;"",LEFT(AG426,2)&lt;&gt;"Va",AM426&lt;&gt;"H. Sale Real"),IF(AM429-AM426&lt;0.208333333333333,AM429-AM426,""),IF(AND(AM425&lt;&gt;"",LEFT(AG425,2)&lt;&gt;"Va",AM425&lt;&gt;"H. Sale Real"),IF(AM429-AM425&lt;0.208333333333333,AM429-AM425,""),IF(AND(AM424&lt;&gt;"",LEFT(AG424,2)&lt;&gt;"Va",AM424&lt;&gt;"H. Sale Real"),IF(AM429-AM424&lt;0.208333333333333,AM429-AM424,""),""))))),""),"")</f>
        <v/>
      </c>
      <c r="AX428" s="89">
        <f>IF(AK428&lt;&gt;"H. Sale Real",IF(AND(AK429&lt;&gt;"",LEFT(AG429,2)&lt;&gt;"Va"),IF(AND(AK428&lt;&gt;"",LEFT(AG428,2)&lt;&gt;"Va",AK428&lt;&gt;"H. Sale Real"),IF(AK429-AK428&lt;0.208333333333333,AK429-AK428,""),IF(AND(AK427&lt;&gt;"",LEFT(AG427,2)&lt;&gt;"Va",AK427&lt;&gt;"H. Sale Real"),IF(AK429-AK427&lt;0.208333333333333,AK429-AK427,""),IF(AND(AK426&lt;&gt;"",LEFT(AG426,2)&lt;&gt;"NC",AK426&lt;&gt;"H. Sale Real"),IF(AK429-AK426&lt;0.208333333333333,AK429-AK426,""),IF(AND(AK425&lt;&gt;"",LEFT(AG425,2)&lt;&gt;"Va",AK425&lt;&gt;"H. Sale Real"),IF(AK429-AK425&lt;0.208333333333333,AK429-AK425,""),IF(AND(AK424&lt;&gt;"",LEFT(AG424,2)&lt;&gt;"Va",AK424&lt;&gt;"H. Sale Real"),IF(AK429-AK424&lt;0.208333333333333,AK429-AK424,""),""))))),""),"")</f>
        <v/>
      </c>
      <c r="AY428" s="87" t="n"/>
      <c r="AZ428" s="89" t="n"/>
      <c r="BA428" s="87" t="n"/>
      <c r="BB428" s="89" t="n"/>
      <c r="BC428" s="91" t="n"/>
      <c r="BD428" s="122">
        <f>IF(AK428&lt;&gt;"",IF(AND(BD427&lt;&gt;"IE",AT428&lt;&gt;0,AV428&lt;&gt;""),IF(IFERROR((AT428/AV428),0) &lt;=1,IFERROR(AT428/AV428,""),1),""),"")</f>
        <v/>
      </c>
      <c r="BE428" s="93" t="n"/>
      <c r="BF428" s="105" t="n"/>
      <c r="FC428" t="inlineStr">
        <is>
          <t>Diccionario 1</t>
        </is>
      </c>
      <c r="FD428" s="15" t="inlineStr"/>
      <c r="FE428" s="15" t="inlineStr">
        <is>
          <t>LDYECS834S0045636</t>
        </is>
      </c>
      <c r="FF428" s="15" t="inlineStr">
        <is>
          <t>MJJ20025010047</t>
        </is>
      </c>
      <c r="FG428" s="15" t="inlineStr">
        <is>
          <t>Zhong Tong</t>
        </is>
      </c>
      <c r="FH428" s="15" t="inlineStr">
        <is>
          <t>LCK6850evg</t>
        </is>
      </c>
      <c r="FI428" s="15" t="inlineStr">
        <is>
          <t>ZHONGTONG</t>
        </is>
      </c>
      <c r="FJ428" s="15" t="inlineStr">
        <is>
          <t>LCK6850evg</t>
        </is>
      </c>
      <c r="FK428" s="15" t="n">
        <v>2025</v>
      </c>
      <c r="FL428" s="15" t="inlineStr">
        <is>
          <t>A</t>
        </is>
      </c>
      <c r="FM428" s="15" t="inlineStr">
        <is>
          <t>CERRILLOS</t>
        </is>
      </c>
      <c r="FN428" s="15" t="inlineStr">
        <is>
          <t>Calle Uno 7371</t>
        </is>
      </c>
      <c r="FO428" s="15" t="inlineStr">
        <is>
          <t>Cerrillos</t>
        </is>
      </c>
      <c r="FP428" t="inlineStr">
        <is>
          <t>A</t>
        </is>
      </c>
      <c r="FS428" s="14" t="inlineStr">
        <is>
          <t>3107 / SFWZ-85|</t>
        </is>
      </c>
      <c r="FT428" t="inlineStr">
        <is>
          <t>SFWZ-85|</t>
        </is>
      </c>
      <c r="FU428" t="inlineStr">
        <is>
          <t>SFWZ-85</t>
        </is>
      </c>
      <c r="FV428">
        <f>VLOOKUP(FU428,FD:FL,9,0)</f>
        <v/>
      </c>
      <c r="HA428" s="35" t="n">
        <v>198</v>
      </c>
      <c r="HB428" s="35" t="n">
        <v>422</v>
      </c>
    </row>
    <row r="429" ht="15.5" customHeight="1">
      <c r="A429" s="10">
        <f>HOUR(G429)+1</f>
        <v/>
      </c>
      <c r="B429" s="7" t="n"/>
      <c r="C429" s="7" t="n"/>
      <c r="D429" s="85">
        <f>IFERROR(
IF(AND(OR(Planilla!B429="C",Planilla!B429="c"), VLOOKUP(E429,FD:FP,13,0)="C"), "OK",IF(AND(OR(Planilla!B429="C",Planilla!B429="c"), OR(VLOOKUP(E429,FD:FP,13,0)="B", VLOOKUP(E429,FD:FP,13,0)="A")), "DEFICIT",IF(
AND(OR(Planilla!B429="B", Planilla!B429="BPAL"), VLOOKUP(E429,FD:FP,13,0)="B"), "OK",IF(AND(OR(Planilla!B429="B", Planilla!B429="BPAL"), VLOOKUP(E429,FD:FP,13,0)="A"), "DEFICIT",IF(AND(OR(Planilla!B429="B", Planilla!B429="BPAL"), VLOOKUP(E429,FD:FP,13,0)="C"), "SOBREOFERTA",IF(AND(Planilla!B429="A", VLOOKUP(E429,FD:FP,13,0)="A"), "OK",IF(
AND(Planilla!B429="A", OR(VLOOKUP(E429,FD:FP,13,0)="B", VLOOKUP(E429,FD:FP,13,0)="C")), "SOBREOFERTA",""
))))))),"")</f>
        <v/>
      </c>
      <c r="E429" s="8" t="n"/>
      <c r="F429" s="86" t="n"/>
      <c r="G429" s="87" t="n"/>
      <c r="H429" s="88">
        <f>IF(I429="","",IF(AND((I429-G429)&gt;=TIME(0,0,0),(I429-G429)&lt;TIME(0,3,0)),"OK",IF(AND((I429-G429)&gt;=TIME(0,3,0),(I429-G429)&lt;TIME(0,5,0)),"RETRASO DE 3-5 MIN",IF(AND((I429-G429)&gt;=TIME(0,5,0),(I429-G429)&lt;TIME(0,10,0)),"RETRASO DE 5-10 MIN",IF((I429-G429)&gt;=TIME(0,10,0),"RETRASO &gt;10 MIN", IF(AND((G429-I429)&gt;=TIME(0,0,0),(G429-I429)&lt;TIME(0,3,0)),"OK",IF((G429-I429)&gt;=TIME(0,3,0),"ADELANTADO")))))))</f>
        <v/>
      </c>
      <c r="I429" s="89" t="n"/>
      <c r="J429" s="89">
        <f>IF(A429&lt;&gt;"",HLOOKUP(VALUE(TEXT(G429,"h:mm:ss")),IF($C$6="Laboral",$FZ$4:$GX$227,IF($C$6="Sábado",$FZ$231:$GX$452,$FZ$456:$GX$656)),VLOOKUP($C$4,$HF$2:$HH$99,3,0)+IF(C$5="Ida",0,1),1),"")</f>
        <v/>
      </c>
      <c r="K429" s="89">
        <f>IF(A430&lt;&gt;A429,AVERAGEIF(A$9:A429,A429,J$9:J429),"")</f>
        <v/>
      </c>
      <c r="L429" s="89">
        <f>IFERROR(IF(A430&lt;&gt;A429,AVERAGEIF(A$9:A429,A429,S$9:S429),""),"")</f>
        <v/>
      </c>
      <c r="M429" s="89">
        <f>IFERROR(IF(A430&lt;&gt;A429,AVERAGEIF(A$9:A429,A429,T$9:T429),""),"")</f>
        <v/>
      </c>
      <c r="N429" s="89">
        <f t="array" ref="N429">IFERROR(IF(A430&lt;&gt;A429,_xlfn.STDEV.P(IF(A$9:A429=A429,T$9:T429)),""),"")</f>
        <v/>
      </c>
      <c r="O429" s="89">
        <f t="array" ref="O429">IFERROR(IF(A430&lt;&gt;A429,_xlfn.STDEV.P(IF(A$9:A429=A429,S$9:S429)),""),"")</f>
        <v/>
      </c>
      <c r="P429" s="90">
        <f>IFERROR(IF(A429&lt;&gt;A430,MAX((((M429*24*60)/2)*(1+POWER((((N429*24*60) / (M429*24*60) )),2))) + ((M429*24*60 )*-0.1 + (K429*0.015)) +1,(((M429*24*60)/2)*(1+POWER((((N429*24*60) / (M429*24*60 ))),2)))),""),"")</f>
        <v/>
      </c>
      <c r="Q429" s="90">
        <f>IF(AND(O429&lt;&gt;"",L429&lt;&gt;""),IF(A429&lt;&gt;A430,((L429*24*60) / 2 ) * (1 + POWER(((O429*24*60) / (L429*24*60)),2)),""),"")</f>
        <v/>
      </c>
      <c r="R429" s="90">
        <f>IF(Q429&lt;&gt;"",MAX(P429,Q429),"")</f>
        <v/>
      </c>
      <c r="S429" s="89">
        <f>IF(I429&lt;&gt;"H. Sale Real",IF(AND(I430&lt;&gt;"",LEFT(C430,2)&lt;&gt;"Va"),IF(AND(I429&lt;&gt;"",LEFT(C429,2)&lt;&gt;"Va",I429&lt;&gt;"H. Sale Real"),IF(I430-I429&lt;0.208333333333333,I430-I429,""),IF(AND(I428&lt;&gt;"",LEFT(C428,2)&lt;&gt;"Va",I428&lt;&gt;"H. Sale Real"),IF(I430-I428&lt;0.208333333333333,I430-I428,""),IF(AND(I427&lt;&gt;"",LEFT(C427,2)&lt;&gt;"Va",I427&lt;&gt;"H. Sale Real"),IF(I430-I427&lt;0.208333333333333,I430-I427,""),IF(AND(I426&lt;&gt;"",LEFT(C426,2)&lt;&gt;"Va",I426&lt;&gt;"H. Sale Real"),IF(I430-I426&lt;0.208333333333333,I430-I426,""),IF(AND(I425&lt;&gt;"",LEFT(C425,2)&lt;&gt;"Va",I425&lt;&gt;"H. Sale Real"),IF(I430-I425&lt;0.208333333333333,I430-I425,""),""))))),""),"")</f>
        <v/>
      </c>
      <c r="T429" s="89">
        <f>IF(G429&lt;&gt;"H. Sale Real",IF(AND(G430&lt;&gt;"",LEFT(C430,2)&lt;&gt;"Va"),IF(AND(G429&lt;&gt;"",LEFT(C429,2)&lt;&gt;"Va",G429&lt;&gt;"H. Sale Real"),IF(G430-G429&lt;0.208333333333333,G430-G429,""),IF(AND(G428&lt;&gt;"",LEFT(C428,2)&lt;&gt;"Va",G428&lt;&gt;"H. Sale Real"),IF(G430-G428&lt;0.208333333333333,G430-G428,""),IF(AND(G427&lt;&gt;"",LEFT(C427,2)&lt;&gt;"Va",G427&lt;&gt;"H. Sale Real"),IF(G430-G427&lt;0.208333333333333,G430-G427,""),IF(AND(G426&lt;&gt;"",LEFT(C426,2)&lt;&gt;"Va",G426&lt;&gt;"H. Sale Real"),IF(G430-G426&lt;0.208333333333333,G430-G426,""),IF(AND(G425&lt;&gt;"",LEFT(C425,2)&lt;&gt;"Va",G425&lt;&gt;"H. Sale Real"),IF(G430-G425&lt;0.208333333333333,G430-G425,""),""))))),""),"")</f>
        <v/>
      </c>
      <c r="U429" s="87" t="n"/>
      <c r="V429" s="89" t="n"/>
      <c r="W429" s="87" t="n"/>
      <c r="X429" s="89" t="n"/>
      <c r="Y429" s="91" t="n"/>
      <c r="Z429" s="122">
        <f>IF(G429&lt;&gt;"",IF(AND(Z428&lt;&gt;"IE",P429&lt;&gt;0,R429&lt;&gt;""),IF(IFERROR((P429/R429),0) &lt;=1,IFERROR(P429/R429,""),1),""),"")</f>
        <v/>
      </c>
      <c r="AA429" s="93" t="n"/>
      <c r="AB429" s="2" t="n"/>
      <c r="AE429" s="10">
        <f>HOUR(AK429)+1</f>
        <v/>
      </c>
      <c r="AF429" s="7" t="n"/>
      <c r="AG429" s="7" t="n"/>
      <c r="AH429" s="86" t="n"/>
      <c r="AI429" s="8" t="n"/>
      <c r="AJ429" s="86" t="n"/>
      <c r="AK429" s="87" t="n"/>
      <c r="AL429" s="88">
        <f>IF(AM429="","",IF(AND((AM429-AK429)&gt;=TIME(0,0,0),(AM429-AK429)&lt;TIME(0,3,0)),"OK",IF(AND((AM429-AK429)&gt;=TIME(0,3,0),(AM429-AK429)&lt;TIME(0,5,0)),"RETRASO DE 3-5 MIN",IF(AND((AM429-AK429)&gt;=TIME(0,5,0),(AM429-AK429)&lt;TIME(0,10,0)),"RETRASO DE 5-10 MIN",IF((AM429-AK429)&gt;=TIME(0,10,0),"RETRASO &gt;10 MIN", IF(AND((AK429-AM429)&gt;=TIME(0,0,0),(AK429-AM429)&lt;TIME(0,3,0)),"OK",IF((AK429-AM429)&gt;=TIME(0,3,0),"ADELANTADO")))))))</f>
        <v/>
      </c>
      <c r="AM429" s="91" t="n"/>
      <c r="AN429" s="89">
        <f>IF(AE429&lt;&gt;"",HLOOKUP(VALUE(TEXT(AK429,"h:mm:ss")),IF($C$6="Laboral",$FZ$4:$GX$227,IF($C$6="Sábado",$FZ$231:$GX$452,$FZ$456:$GX$656)),VLOOKUP($C$4,$HF$2:$HH$99,3,0)+IF(AG$5="Ida",0,1),1),"")</f>
        <v/>
      </c>
      <c r="AO429" s="89">
        <f>IF(AE430&lt;&gt;AE429,AVERAGEIF(AE$9:AE429,AE429,AN$9:AN429),"")</f>
        <v/>
      </c>
      <c r="AP429" s="89">
        <f>IFERROR(IF(AE430&lt;&gt;AE429,AVERAGEIF(AE$9:AE429,AE429,AW$9:AW429),""),"")</f>
        <v/>
      </c>
      <c r="AQ429" s="89">
        <f>IFERROR(IF(AE430&lt;&gt;AE429,AVERAGEIF(AE$9:AE429,AE429,AX$9:AX429),""),"")</f>
        <v/>
      </c>
      <c r="AR429" s="89">
        <f t="array" ref="AR429">IFERROR(IF(AE430&lt;&gt;AE429,_xlfn.STDEV.P(IF(AE$9:AE429=AE429,AX$9:AX429)),""),"")</f>
        <v/>
      </c>
      <c r="AS429" s="89">
        <f t="array" ref="AS429">IFERROR(IF(AE430&lt;&gt;AE429,_xlfn.STDEV.P(IF(AE$9:AE429=AE429,AW$9:AW429)),""),"")</f>
        <v/>
      </c>
      <c r="AT429" s="90">
        <f>IFERROR(IF(AE429&lt;&gt;AE430,MAX((((AQ429*24*60)/2)*(1+POWER((((AR429*24*60) / (AQ429*24*60) )),2))) + ((AQ429*24*60 )*-0.1 + (AO429*0.015)) +1,(((AQ429*24*60)/2)*(1+POWER((((AR429*24*60) / (AQ429*24*60 ))),2)))),""),"")</f>
        <v/>
      </c>
      <c r="AU429" s="90">
        <f>IF(AND(AS429&lt;&gt;"",AP429&lt;&gt;""),IF(AE429&lt;&gt;AE430,((AP429*24*60) / 2 ) * (1 + POWER(((AS429*24*60) / (AP429*24*60)),2)),""),"")</f>
        <v/>
      </c>
      <c r="AV429" s="90">
        <f>IF(AU429&lt;&gt;"",MAX(AT429,AU429),"")</f>
        <v/>
      </c>
      <c r="AW429" s="89">
        <f>IF(AM429&lt;&gt;"H. Sale Real",IF(AND(AM430&lt;&gt;"",LEFT(AG430,2)&lt;&gt;"Va"),IF(AND(AM429&lt;&gt;"",LEFT(AG429,2)&lt;&gt;"Va",AM429&lt;&gt;"H. Sale Real"),IF(AM430-AM429&lt;0.208333333333333,AM430-AM429,""),IF(AND(AM428&lt;&gt;"",LEFT(AG428,2)&lt;&gt;"Va",AM428&lt;&gt;"H. Sale Real"),IF(AM430-AM428&lt;0.208333333333333,AM430-AM428,""),IF(AND(AM427&lt;&gt;"",LEFT(AG427,2)&lt;&gt;"Va",AM427&lt;&gt;"H. Sale Real"),IF(AM430-AM427&lt;0.208333333333333,AM430-AM427,""),IF(AND(AM426&lt;&gt;"",LEFT(AG426,2)&lt;&gt;"Va",AM426&lt;&gt;"H. Sale Real"),IF(AM430-AM426&lt;0.208333333333333,AM430-AM426,""),IF(AND(AM425&lt;&gt;"",LEFT(AG425,2)&lt;&gt;"Va",AM425&lt;&gt;"H. Sale Real"),IF(AM430-AM425&lt;0.208333333333333,AM430-AM425,""),""))))),""),"")</f>
        <v/>
      </c>
      <c r="AX429" s="89">
        <f>IF(AK429&lt;&gt;"H. Sale Real",IF(AND(AK430&lt;&gt;"",LEFT(AG430,2)&lt;&gt;"Va"),IF(AND(AK429&lt;&gt;"",LEFT(AG429,2)&lt;&gt;"Va",AK429&lt;&gt;"H. Sale Real"),IF(AK430-AK429&lt;0.208333333333333,AK430-AK429,""),IF(AND(AK428&lt;&gt;"",LEFT(AG428,2)&lt;&gt;"Va",AK428&lt;&gt;"H. Sale Real"),IF(AK430-AK428&lt;0.208333333333333,AK430-AK428,""),IF(AND(AK427&lt;&gt;"",LEFT(AG427,2)&lt;&gt;"NC",AK427&lt;&gt;"H. Sale Real"),IF(AK430-AK427&lt;0.208333333333333,AK430-AK427,""),IF(AND(AK426&lt;&gt;"",LEFT(AG426,2)&lt;&gt;"Va",AK426&lt;&gt;"H. Sale Real"),IF(AK430-AK426&lt;0.208333333333333,AK430-AK426,""),IF(AND(AK425&lt;&gt;"",LEFT(AG425,2)&lt;&gt;"Va",AK425&lt;&gt;"H. Sale Real"),IF(AK430-AK425&lt;0.208333333333333,AK430-AK425,""),""))))),""),"")</f>
        <v/>
      </c>
      <c r="AY429" s="87" t="n"/>
      <c r="AZ429" s="89" t="n"/>
      <c r="BA429" s="87" t="n"/>
      <c r="BB429" s="89" t="n"/>
      <c r="BC429" s="91" t="n"/>
      <c r="BD429" s="122">
        <f>IF(AK429&lt;&gt;"",IF(AND(BD428&lt;&gt;"IE",AT429&lt;&gt;0,AV429&lt;&gt;""),IF(IFERROR((AT429/AV429),0) &lt;=1,IFERROR(AT429/AV429,""),1),""),"")</f>
        <v/>
      </c>
      <c r="BE429" s="93" t="n"/>
      <c r="BF429" s="105" t="n"/>
      <c r="FC429" t="inlineStr">
        <is>
          <t>Diccionario 1</t>
        </is>
      </c>
      <c r="FD429" s="15" t="inlineStr"/>
      <c r="FE429" s="15" t="inlineStr">
        <is>
          <t>LDYECS832S0045635</t>
        </is>
      </c>
      <c r="FF429" s="15" t="inlineStr">
        <is>
          <t>MJJ20025010001</t>
        </is>
      </c>
      <c r="FG429" s="15" t="inlineStr">
        <is>
          <t>Zhong Tong</t>
        </is>
      </c>
      <c r="FH429" s="15" t="inlineStr">
        <is>
          <t>LCK6850evg</t>
        </is>
      </c>
      <c r="FI429" s="15" t="inlineStr">
        <is>
          <t>ZHONGTONG</t>
        </is>
      </c>
      <c r="FJ429" s="15" t="inlineStr">
        <is>
          <t>LCK6850evg</t>
        </is>
      </c>
      <c r="FK429" s="15" t="n">
        <v>2025</v>
      </c>
      <c r="FL429" s="15" t="inlineStr">
        <is>
          <t>A</t>
        </is>
      </c>
      <c r="FM429" s="15" t="inlineStr">
        <is>
          <t>CERRILLOS</t>
        </is>
      </c>
      <c r="FN429" s="15" t="inlineStr">
        <is>
          <t>Calle Uno 7371</t>
        </is>
      </c>
      <c r="FO429" s="15" t="inlineStr">
        <is>
          <t>Cerrillos</t>
        </is>
      </c>
      <c r="FP429" t="inlineStr">
        <is>
          <t>A</t>
        </is>
      </c>
      <c r="FS429" s="14" t="inlineStr">
        <is>
          <t>3107 / SFWZ-85|</t>
        </is>
      </c>
      <c r="FT429" t="inlineStr">
        <is>
          <t>SFWZ-85|</t>
        </is>
      </c>
      <c r="FU429" t="inlineStr">
        <is>
          <t>SFWZ-85</t>
        </is>
      </c>
      <c r="FV429">
        <f>VLOOKUP(FU429,FD:FL,9,0)</f>
        <v/>
      </c>
      <c r="HB429" s="35" t="n">
        <v>423</v>
      </c>
    </row>
    <row r="430" ht="15.5" customHeight="1">
      <c r="A430" s="10">
        <f>HOUR(G430)+1</f>
        <v/>
      </c>
      <c r="B430" s="7" t="n"/>
      <c r="C430" s="7" t="n"/>
      <c r="D430" s="85">
        <f>IFERROR(
IF(AND(OR(Planilla!B430="C",Planilla!B430="c"), VLOOKUP(E430,FD:FP,13,0)="C"), "OK",IF(AND(OR(Planilla!B430="C",Planilla!B430="c"), OR(VLOOKUP(E430,FD:FP,13,0)="B", VLOOKUP(E430,FD:FP,13,0)="A")), "DEFICIT",IF(
AND(OR(Planilla!B430="B", Planilla!B430="BPAL"), VLOOKUP(E430,FD:FP,13,0)="B"), "OK",IF(AND(OR(Planilla!B430="B", Planilla!B430="BPAL"), VLOOKUP(E430,FD:FP,13,0)="A"), "DEFICIT",IF(AND(OR(Planilla!B430="B", Planilla!B430="BPAL"), VLOOKUP(E430,FD:FP,13,0)="C"), "SOBREOFERTA",IF(AND(Planilla!B430="A", VLOOKUP(E430,FD:FP,13,0)="A"), "OK",IF(
AND(Planilla!B430="A", OR(VLOOKUP(E430,FD:FP,13,0)="B", VLOOKUP(E430,FD:FP,13,0)="C")), "SOBREOFERTA",""
))))))),"")</f>
        <v/>
      </c>
      <c r="E430" s="8" t="n"/>
      <c r="F430" s="86" t="n"/>
      <c r="G430" s="87" t="n"/>
      <c r="H430" s="88">
        <f>IF(I430="","",IF(AND((I430-G430)&gt;=TIME(0,0,0),(I430-G430)&lt;TIME(0,3,0)),"OK",IF(AND((I430-G430)&gt;=TIME(0,3,0),(I430-G430)&lt;TIME(0,5,0)),"RETRASO DE 3-5 MIN",IF(AND((I430-G430)&gt;=TIME(0,5,0),(I430-G430)&lt;TIME(0,10,0)),"RETRASO DE 5-10 MIN",IF((I430-G430)&gt;=TIME(0,10,0),"RETRASO &gt;10 MIN", IF(AND((G430-I430)&gt;=TIME(0,0,0),(G430-I430)&lt;TIME(0,3,0)),"OK",IF((G430-I430)&gt;=TIME(0,3,0),"ADELANTADO")))))))</f>
        <v/>
      </c>
      <c r="I430" s="89" t="n"/>
      <c r="J430" s="89">
        <f>IF(A430&lt;&gt;"",HLOOKUP(VALUE(TEXT(G430,"h:mm:ss")),IF($C$6="Laboral",$FZ$4:$GX$227,IF($C$6="Sábado",$FZ$231:$GX$452,$FZ$456:$GX$656)),VLOOKUP($C$4,$HF$2:$HH$99,3,0)+IF(C$5="Ida",0,1),1),"")</f>
        <v/>
      </c>
      <c r="K430" s="89">
        <f>IF(A431&lt;&gt;A430,AVERAGEIF(A$9:A430,A430,J$9:J430),"")</f>
        <v/>
      </c>
      <c r="L430" s="89">
        <f>IFERROR(IF(A431&lt;&gt;A430,AVERAGEIF(A$9:A430,A430,S$9:S430),""),"")</f>
        <v/>
      </c>
      <c r="M430" s="89">
        <f>IFERROR(IF(A431&lt;&gt;A430,AVERAGEIF(A$9:A430,A430,T$9:T430),""),"")</f>
        <v/>
      </c>
      <c r="N430" s="89">
        <f t="array" ref="N430">IFERROR(IF(A431&lt;&gt;A430,_xlfn.STDEV.P(IF(A$9:A430=A430,T$9:T430)),""),"")</f>
        <v/>
      </c>
      <c r="O430" s="89">
        <f t="array" ref="O430">IFERROR(IF(A431&lt;&gt;A430,_xlfn.STDEV.P(IF(A$9:A430=A430,S$9:S430)),""),"")</f>
        <v/>
      </c>
      <c r="P430" s="90">
        <f>IFERROR(IF(A430&lt;&gt;A431,MAX((((M430*24*60)/2)*(1+POWER((((N430*24*60) / (M430*24*60) )),2))) + ((M430*24*60 )*-0.1 + (K430*0.015)) +1,(((M430*24*60)/2)*(1+POWER((((N430*24*60) / (M430*24*60 ))),2)))),""),"")</f>
        <v/>
      </c>
      <c r="Q430" s="90">
        <f>IF(AND(O430&lt;&gt;"",L430&lt;&gt;""),IF(A430&lt;&gt;A431,((L430*24*60) / 2 ) * (1 + POWER(((O430*24*60) / (L430*24*60)),2)),""),"")</f>
        <v/>
      </c>
      <c r="R430" s="90">
        <f>IF(Q430&lt;&gt;"",MAX(P430,Q430),"")</f>
        <v/>
      </c>
      <c r="S430" s="89">
        <f>IF(I430&lt;&gt;"H. Sale Real",IF(AND(I431&lt;&gt;"",LEFT(C431,2)&lt;&gt;"Va"),IF(AND(I430&lt;&gt;"",LEFT(C430,2)&lt;&gt;"Va",I430&lt;&gt;"H. Sale Real"),IF(I431-I430&lt;0.208333333333333,I431-I430,""),IF(AND(I429&lt;&gt;"",LEFT(C429,2)&lt;&gt;"Va",I429&lt;&gt;"H. Sale Real"),IF(I431-I429&lt;0.208333333333333,I431-I429,""),IF(AND(I428&lt;&gt;"",LEFT(C428,2)&lt;&gt;"Va",I428&lt;&gt;"H. Sale Real"),IF(I431-I428&lt;0.208333333333333,I431-I428,""),IF(AND(I427&lt;&gt;"",LEFT(C427,2)&lt;&gt;"Va",I427&lt;&gt;"H. Sale Real"),IF(I431-I427&lt;0.208333333333333,I431-I427,""),IF(AND(I426&lt;&gt;"",LEFT(C426,2)&lt;&gt;"Va",I426&lt;&gt;"H. Sale Real"),IF(I431-I426&lt;0.208333333333333,I431-I426,""),""))))),""),"")</f>
        <v/>
      </c>
      <c r="T430" s="89">
        <f>IF(G430&lt;&gt;"H. Sale Real",IF(AND(G431&lt;&gt;"",LEFT(C431,2)&lt;&gt;"Va"),IF(AND(G430&lt;&gt;"",LEFT(C430,2)&lt;&gt;"Va",G430&lt;&gt;"H. Sale Real"),IF(G431-G430&lt;0.208333333333333,G431-G430,""),IF(AND(G429&lt;&gt;"",LEFT(C429,2)&lt;&gt;"Va",G429&lt;&gt;"H. Sale Real"),IF(G431-G429&lt;0.208333333333333,G431-G429,""),IF(AND(G428&lt;&gt;"",LEFT(C428,2)&lt;&gt;"Va",G428&lt;&gt;"H. Sale Real"),IF(G431-G428&lt;0.208333333333333,G431-G428,""),IF(AND(G427&lt;&gt;"",LEFT(C427,2)&lt;&gt;"Va",G427&lt;&gt;"H. Sale Real"),IF(G431-G427&lt;0.208333333333333,G431-G427,""),IF(AND(G426&lt;&gt;"",LEFT(C426,2)&lt;&gt;"Va",G426&lt;&gt;"H. Sale Real"),IF(G431-G426&lt;0.208333333333333,G431-G426,""),""))))),""),"")</f>
        <v/>
      </c>
      <c r="U430" s="87" t="n"/>
      <c r="V430" s="89" t="n"/>
      <c r="W430" s="87" t="n"/>
      <c r="X430" s="89" t="n"/>
      <c r="Y430" s="91" t="n"/>
      <c r="Z430" s="122">
        <f>IF(G430&lt;&gt;"",IF(AND(Z429&lt;&gt;"IE",P430&lt;&gt;0,R430&lt;&gt;""),IF(IFERROR((P430/R430),0) &lt;=1,IFERROR(P430/R430,""),1),""),"")</f>
        <v/>
      </c>
      <c r="AA430" s="93" t="n"/>
      <c r="AB430" s="2" t="n"/>
      <c r="AE430" s="10">
        <f>HOUR(AK430)+1</f>
        <v/>
      </c>
      <c r="AF430" s="7" t="n"/>
      <c r="AG430" s="7" t="n"/>
      <c r="AH430" s="86" t="n"/>
      <c r="AI430" s="8" t="n"/>
      <c r="AJ430" s="86" t="n"/>
      <c r="AK430" s="87" t="n"/>
      <c r="AL430" s="88">
        <f>IF(AM430="","",IF(AND((AM430-AK430)&gt;=TIME(0,0,0),(AM430-AK430)&lt;TIME(0,3,0)),"OK",IF(AND((AM430-AK430)&gt;=TIME(0,3,0),(AM430-AK430)&lt;TIME(0,5,0)),"RETRASO DE 3-5 MIN",IF(AND((AM430-AK430)&gt;=TIME(0,5,0),(AM430-AK430)&lt;TIME(0,10,0)),"RETRASO DE 5-10 MIN",IF((AM430-AK430)&gt;=TIME(0,10,0),"RETRASO &gt;10 MIN", IF(AND((AK430-AM430)&gt;=TIME(0,0,0),(AK430-AM430)&lt;TIME(0,3,0)),"OK",IF((AK430-AM430)&gt;=TIME(0,3,0),"ADELANTADO")))))))</f>
        <v/>
      </c>
      <c r="AM430" s="91" t="n"/>
      <c r="AN430" s="89">
        <f>IF(AE430&lt;&gt;"",HLOOKUP(VALUE(TEXT(AK430,"h:mm:ss")),IF($C$6="Laboral",$FZ$4:$GX$227,IF($C$6="Sábado",$FZ$231:$GX$452,$FZ$456:$GX$656)),VLOOKUP($C$4,$HF$2:$HH$99,3,0)+IF(AG$5="Ida",0,1),1),"")</f>
        <v/>
      </c>
      <c r="AO430" s="89">
        <f>IF(AE431&lt;&gt;AE430,AVERAGEIF(AE$9:AE430,AE430,AN$9:AN430),"")</f>
        <v/>
      </c>
      <c r="AP430" s="89">
        <f>IFERROR(IF(AE431&lt;&gt;AE430,AVERAGEIF(AE$9:AE430,AE430,AW$9:AW430),""),"")</f>
        <v/>
      </c>
      <c r="AQ430" s="89">
        <f>IFERROR(IF(AE431&lt;&gt;AE430,AVERAGEIF(AE$9:AE430,AE430,AX$9:AX430),""),"")</f>
        <v/>
      </c>
      <c r="AR430" s="89">
        <f t="array" ref="AR430">IFERROR(IF(AE431&lt;&gt;AE430,_xlfn.STDEV.P(IF(AE$9:AE430=AE430,AX$9:AX430)),""),"")</f>
        <v/>
      </c>
      <c r="AS430" s="89">
        <f t="array" ref="AS430">IFERROR(IF(AE431&lt;&gt;AE430,_xlfn.STDEV.P(IF(AE$9:AE430=AE430,AW$9:AW430)),""),"")</f>
        <v/>
      </c>
      <c r="AT430" s="90">
        <f>IFERROR(IF(AE430&lt;&gt;AE431,MAX((((AQ430*24*60)/2)*(1+POWER((((AR430*24*60) / (AQ430*24*60) )),2))) + ((AQ430*24*60 )*-0.1 + (AO430*0.015)) +1,(((AQ430*24*60)/2)*(1+POWER((((AR430*24*60) / (AQ430*24*60 ))),2)))),""),"")</f>
        <v/>
      </c>
      <c r="AU430" s="90">
        <f>IF(AND(AS430&lt;&gt;"",AP430&lt;&gt;""),IF(AE430&lt;&gt;AE431,((AP430*24*60) / 2 ) * (1 + POWER(((AS430*24*60) / (AP430*24*60)),2)),""),"")</f>
        <v/>
      </c>
      <c r="AV430" s="90">
        <f>IF(AU430&lt;&gt;"",MAX(AT430,AU430),"")</f>
        <v/>
      </c>
      <c r="AW430" s="89">
        <f>IF(AM430&lt;&gt;"H. Sale Real",IF(AND(AM431&lt;&gt;"",LEFT(AG431,2)&lt;&gt;"Va"),IF(AND(AM430&lt;&gt;"",LEFT(AG430,2)&lt;&gt;"Va",AM430&lt;&gt;"H. Sale Real"),IF(AM431-AM430&lt;0.208333333333333,AM431-AM430,""),IF(AND(AM429&lt;&gt;"",LEFT(AG429,2)&lt;&gt;"Va",AM429&lt;&gt;"H. Sale Real"),IF(AM431-AM429&lt;0.208333333333333,AM431-AM429,""),IF(AND(AM428&lt;&gt;"",LEFT(AG428,2)&lt;&gt;"Va",AM428&lt;&gt;"H. Sale Real"),IF(AM431-AM428&lt;0.208333333333333,AM431-AM428,""),IF(AND(AM427&lt;&gt;"",LEFT(AG427,2)&lt;&gt;"Va",AM427&lt;&gt;"H. Sale Real"),IF(AM431-AM427&lt;0.208333333333333,AM431-AM427,""),IF(AND(AM426&lt;&gt;"",LEFT(AG426,2)&lt;&gt;"Va",AM426&lt;&gt;"H. Sale Real"),IF(AM431-AM426&lt;0.208333333333333,AM431-AM426,""),""))))),""),"")</f>
        <v/>
      </c>
      <c r="AX430" s="89">
        <f>IF(AK430&lt;&gt;"H. Sale Real",IF(AND(AK431&lt;&gt;"",LEFT(AG431,2)&lt;&gt;"Va"),IF(AND(AK430&lt;&gt;"",LEFT(AG430,2)&lt;&gt;"Va",AK430&lt;&gt;"H. Sale Real"),IF(AK431-AK430&lt;0.208333333333333,AK431-AK430,""),IF(AND(AK429&lt;&gt;"",LEFT(AG429,2)&lt;&gt;"Va",AK429&lt;&gt;"H. Sale Real"),IF(AK431-AK429&lt;0.208333333333333,AK431-AK429,""),IF(AND(AK428&lt;&gt;"",LEFT(AG428,2)&lt;&gt;"NC",AK428&lt;&gt;"H. Sale Real"),IF(AK431-AK428&lt;0.208333333333333,AK431-AK428,""),IF(AND(AK427&lt;&gt;"",LEFT(AG427,2)&lt;&gt;"Va",AK427&lt;&gt;"H. Sale Real"),IF(AK431-AK427&lt;0.208333333333333,AK431-AK427,""),IF(AND(AK426&lt;&gt;"",LEFT(AG426,2)&lt;&gt;"Va",AK426&lt;&gt;"H. Sale Real"),IF(AK431-AK426&lt;0.208333333333333,AK431-AK426,""),""))))),""),"")</f>
        <v/>
      </c>
      <c r="AY430" s="87" t="n"/>
      <c r="AZ430" s="89" t="n"/>
      <c r="BA430" s="87" t="n"/>
      <c r="BB430" s="89" t="n"/>
      <c r="BC430" s="91" t="n"/>
      <c r="BD430" s="122">
        <f>IF(AK430&lt;&gt;"",IF(AND(BD429&lt;&gt;"IE",AT430&lt;&gt;0,AV430&lt;&gt;""),IF(IFERROR((AT430/AV430),0) &lt;=1,IFERROR(AT430/AV430,""),1),""),"")</f>
        <v/>
      </c>
      <c r="BE430" s="93" t="n"/>
      <c r="BF430" s="105" t="n"/>
      <c r="FC430" t="inlineStr">
        <is>
          <t>Diccionario 1</t>
        </is>
      </c>
      <c r="FD430" s="15" t="inlineStr"/>
      <c r="FE430" s="15" t="inlineStr">
        <is>
          <t>LDYECS836S0045637</t>
        </is>
      </c>
      <c r="FF430" s="15" t="inlineStr">
        <is>
          <t>MJJ20025010040</t>
        </is>
      </c>
      <c r="FG430" s="15" t="inlineStr">
        <is>
          <t>Zhong Tong</t>
        </is>
      </c>
      <c r="FH430" s="15" t="inlineStr">
        <is>
          <t>LCK6850evg</t>
        </is>
      </c>
      <c r="FI430" s="15" t="inlineStr">
        <is>
          <t>ZHONGTONG</t>
        </is>
      </c>
      <c r="FJ430" s="15" t="inlineStr">
        <is>
          <t>LCK6850evg</t>
        </is>
      </c>
      <c r="FK430" s="15" t="n">
        <v>2025</v>
      </c>
      <c r="FL430" s="15" t="inlineStr">
        <is>
          <t>A</t>
        </is>
      </c>
      <c r="FM430" s="15" t="inlineStr">
        <is>
          <t>CERRILLOS</t>
        </is>
      </c>
      <c r="FN430" s="15" t="inlineStr">
        <is>
          <t>Calle Uno 7371</t>
        </is>
      </c>
      <c r="FO430" s="15" t="inlineStr">
        <is>
          <t>Cerrillos</t>
        </is>
      </c>
      <c r="FP430" t="inlineStr">
        <is>
          <t>A</t>
        </is>
      </c>
      <c r="FS430" s="14" t="inlineStr">
        <is>
          <t>3107 / SFWZ-85|</t>
        </is>
      </c>
      <c r="FT430" t="inlineStr">
        <is>
          <t>SFWZ-85|</t>
        </is>
      </c>
      <c r="FU430" t="inlineStr">
        <is>
          <t>SFWZ-85</t>
        </is>
      </c>
      <c r="FV430">
        <f>VLOOKUP(FU430,FD:FL,9,0)</f>
        <v/>
      </c>
      <c r="HB430" s="35" t="n">
        <v>424</v>
      </c>
    </row>
    <row r="431" ht="15.5" customHeight="1">
      <c r="A431" s="10">
        <f>HOUR(G431)+1</f>
        <v/>
      </c>
      <c r="B431" s="7" t="n"/>
      <c r="C431" s="7" t="n"/>
      <c r="D431" s="85">
        <f>IFERROR(
IF(AND(OR(Planilla!B431="C",Planilla!B431="c"), VLOOKUP(E431,FD:FP,13,0)="C"), "OK",IF(AND(OR(Planilla!B431="C",Planilla!B431="c"), OR(VLOOKUP(E431,FD:FP,13,0)="B", VLOOKUP(E431,FD:FP,13,0)="A")), "DEFICIT",IF(
AND(OR(Planilla!B431="B", Planilla!B431="BPAL"), VLOOKUP(E431,FD:FP,13,0)="B"), "OK",IF(AND(OR(Planilla!B431="B", Planilla!B431="BPAL"), VLOOKUP(E431,FD:FP,13,0)="A"), "DEFICIT",IF(AND(OR(Planilla!B431="B", Planilla!B431="BPAL"), VLOOKUP(E431,FD:FP,13,0)="C"), "SOBREOFERTA",IF(AND(Planilla!B431="A", VLOOKUP(E431,FD:FP,13,0)="A"), "OK",IF(
AND(Planilla!B431="A", OR(VLOOKUP(E431,FD:FP,13,0)="B", VLOOKUP(E431,FD:FP,13,0)="C")), "SOBREOFERTA",""
))))))),"")</f>
        <v/>
      </c>
      <c r="E431" s="8" t="n"/>
      <c r="F431" s="86" t="n"/>
      <c r="G431" s="87" t="n"/>
      <c r="H431" s="88">
        <f>IF(I431="","",IF(AND((I431-G431)&gt;=TIME(0,0,0),(I431-G431)&lt;TIME(0,3,0)),"OK",IF(AND((I431-G431)&gt;=TIME(0,3,0),(I431-G431)&lt;TIME(0,5,0)),"RETRASO DE 3-5 MIN",IF(AND((I431-G431)&gt;=TIME(0,5,0),(I431-G431)&lt;TIME(0,10,0)),"RETRASO DE 5-10 MIN",IF((I431-G431)&gt;=TIME(0,10,0),"RETRASO &gt;10 MIN", IF(AND((G431-I431)&gt;=TIME(0,0,0),(G431-I431)&lt;TIME(0,3,0)),"OK",IF((G431-I431)&gt;=TIME(0,3,0),"ADELANTADO")))))))</f>
        <v/>
      </c>
      <c r="I431" s="89" t="n"/>
      <c r="J431" s="89">
        <f>IF(A431&lt;&gt;"",HLOOKUP(VALUE(TEXT(G431,"h:mm:ss")),IF($C$6="Laboral",$FZ$4:$GX$227,IF($C$6="Sábado",$FZ$231:$GX$452,$FZ$456:$GX$656)),VLOOKUP($C$4,$HF$2:$HH$99,3,0)+IF(C$5="Ida",0,1),1),"")</f>
        <v/>
      </c>
      <c r="K431" s="89">
        <f>IF(A432&lt;&gt;A431,AVERAGEIF(A$9:A431,A431,J$9:J431),"")</f>
        <v/>
      </c>
      <c r="L431" s="89">
        <f>IFERROR(IF(A432&lt;&gt;A431,AVERAGEIF(A$9:A431,A431,S$9:S431),""),"")</f>
        <v/>
      </c>
      <c r="M431" s="89">
        <f>IFERROR(IF(A432&lt;&gt;A431,AVERAGEIF(A$9:A431,A431,T$9:T431),""),"")</f>
        <v/>
      </c>
      <c r="N431" s="89">
        <f t="array" ref="N431">IFERROR(IF(A432&lt;&gt;A431,_xlfn.STDEV.P(IF(A$9:A431=A431,T$9:T431)),""),"")</f>
        <v/>
      </c>
      <c r="O431" s="89">
        <f t="array" ref="O431">IFERROR(IF(A432&lt;&gt;A431,_xlfn.STDEV.P(IF(A$9:A431=A431,S$9:S431)),""),"")</f>
        <v/>
      </c>
      <c r="P431" s="90">
        <f>IFERROR(IF(A431&lt;&gt;A432,MAX((((M431*24*60)/2)*(1+POWER((((N431*24*60) / (M431*24*60) )),2))) + ((M431*24*60 )*-0.1 + (K431*0.015)) +1,(((M431*24*60)/2)*(1+POWER((((N431*24*60) / (M431*24*60 ))),2)))),""),"")</f>
        <v/>
      </c>
      <c r="Q431" s="90">
        <f>IF(AND(O431&lt;&gt;"",L431&lt;&gt;""),IF(A431&lt;&gt;A432,((L431*24*60) / 2 ) * (1 + POWER(((O431*24*60) / (L431*24*60)),2)),""),"")</f>
        <v/>
      </c>
      <c r="R431" s="90">
        <f>IF(Q431&lt;&gt;"",MAX(P431,Q431),"")</f>
        <v/>
      </c>
      <c r="S431" s="89">
        <f>IF(I431&lt;&gt;"H. Sale Real",IF(AND(I432&lt;&gt;"",LEFT(C432,2)&lt;&gt;"Va"),IF(AND(I431&lt;&gt;"",LEFT(C431,2)&lt;&gt;"Va",I431&lt;&gt;"H. Sale Real"),IF(I432-I431&lt;0.208333333333333,I432-I431,""),IF(AND(I430&lt;&gt;"",LEFT(C430,2)&lt;&gt;"Va",I430&lt;&gt;"H. Sale Real"),IF(I432-I430&lt;0.208333333333333,I432-I430,""),IF(AND(I429&lt;&gt;"",LEFT(C429,2)&lt;&gt;"Va",I429&lt;&gt;"H. Sale Real"),IF(I432-I429&lt;0.208333333333333,I432-I429,""),IF(AND(I428&lt;&gt;"",LEFT(C428,2)&lt;&gt;"Va",I428&lt;&gt;"H. Sale Real"),IF(I432-I428&lt;0.208333333333333,I432-I428,""),IF(AND(I427&lt;&gt;"",LEFT(C427,2)&lt;&gt;"Va",I427&lt;&gt;"H. Sale Real"),IF(I432-I427&lt;0.208333333333333,I432-I427,""),""))))),""),"")</f>
        <v/>
      </c>
      <c r="T431" s="89">
        <f>IF(G431&lt;&gt;"H. Sale Real",IF(AND(G432&lt;&gt;"",LEFT(C432,2)&lt;&gt;"Va"),IF(AND(G431&lt;&gt;"",LEFT(C431,2)&lt;&gt;"Va",G431&lt;&gt;"H. Sale Real"),IF(G432-G431&lt;0.208333333333333,G432-G431,""),IF(AND(G430&lt;&gt;"",LEFT(C430,2)&lt;&gt;"Va",G430&lt;&gt;"H. Sale Real"),IF(G432-G430&lt;0.208333333333333,G432-G430,""),IF(AND(G429&lt;&gt;"",LEFT(C429,2)&lt;&gt;"Va",G429&lt;&gt;"H. Sale Real"),IF(G432-G429&lt;0.208333333333333,G432-G429,""),IF(AND(G428&lt;&gt;"",LEFT(C428,2)&lt;&gt;"Va",G428&lt;&gt;"H. Sale Real"),IF(G432-G428&lt;0.208333333333333,G432-G428,""),IF(AND(G427&lt;&gt;"",LEFT(C427,2)&lt;&gt;"Va",G427&lt;&gt;"H. Sale Real"),IF(G432-G427&lt;0.208333333333333,G432-G427,""),""))))),""),"")</f>
        <v/>
      </c>
      <c r="U431" s="87" t="n"/>
      <c r="V431" s="89" t="n"/>
      <c r="W431" s="87" t="n"/>
      <c r="X431" s="89" t="n"/>
      <c r="Y431" s="91" t="n"/>
      <c r="Z431" s="122">
        <f>IF(G431&lt;&gt;"",IF(AND(Z430&lt;&gt;"IE",P431&lt;&gt;0,R431&lt;&gt;""),IF(IFERROR((P431/R431),0) &lt;=1,IFERROR(P431/R431,""),1),""),"")</f>
        <v/>
      </c>
      <c r="AA431" s="93" t="n"/>
      <c r="AB431" s="2" t="n"/>
      <c r="AE431" s="10">
        <f>HOUR(AK431)+1</f>
        <v/>
      </c>
      <c r="AF431" s="7" t="n"/>
      <c r="AG431" s="7" t="n"/>
      <c r="AH431" s="86" t="n"/>
      <c r="AI431" s="8" t="n"/>
      <c r="AJ431" s="86" t="n"/>
      <c r="AK431" s="87" t="n"/>
      <c r="AL431" s="88">
        <f>IF(AM431="","",IF(AND((AM431-AK431)&gt;=TIME(0,0,0),(AM431-AK431)&lt;TIME(0,3,0)),"OK",IF(AND((AM431-AK431)&gt;=TIME(0,3,0),(AM431-AK431)&lt;TIME(0,5,0)),"RETRASO DE 3-5 MIN",IF(AND((AM431-AK431)&gt;=TIME(0,5,0),(AM431-AK431)&lt;TIME(0,10,0)),"RETRASO DE 5-10 MIN",IF((AM431-AK431)&gt;=TIME(0,10,0),"RETRASO &gt;10 MIN", IF(AND((AK431-AM431)&gt;=TIME(0,0,0),(AK431-AM431)&lt;TIME(0,3,0)),"OK",IF((AK431-AM431)&gt;=TIME(0,3,0),"ADELANTADO")))))))</f>
        <v/>
      </c>
      <c r="AM431" s="91" t="n"/>
      <c r="AN431" s="89">
        <f>IF(AE431&lt;&gt;"",HLOOKUP(VALUE(TEXT(AK431,"h:mm:ss")),IF($C$6="Laboral",$FZ$4:$GX$227,IF($C$6="Sábado",$FZ$231:$GX$452,$FZ$456:$GX$656)),VLOOKUP($C$4,$HF$2:$HH$99,3,0)+IF(AG$5="Ida",0,1),1),"")</f>
        <v/>
      </c>
      <c r="AO431" s="89">
        <f>IF(AE432&lt;&gt;AE431,AVERAGEIF(AE$9:AE431,AE431,AN$9:AN431),"")</f>
        <v/>
      </c>
      <c r="AP431" s="89">
        <f>IFERROR(IF(AE432&lt;&gt;AE431,AVERAGEIF(AE$9:AE431,AE431,AW$9:AW431),""),"")</f>
        <v/>
      </c>
      <c r="AQ431" s="89">
        <f>IFERROR(IF(AE432&lt;&gt;AE431,AVERAGEIF(AE$9:AE431,AE431,AX$9:AX431),""),"")</f>
        <v/>
      </c>
      <c r="AR431" s="89">
        <f t="array" ref="AR431">IFERROR(IF(AE432&lt;&gt;AE431,_xlfn.STDEV.P(IF(AE$9:AE431=AE431,AX$9:AX431)),""),"")</f>
        <v/>
      </c>
      <c r="AS431" s="89">
        <f t="array" ref="AS431">IFERROR(IF(AE432&lt;&gt;AE431,_xlfn.STDEV.P(IF(AE$9:AE431=AE431,AW$9:AW431)),""),"")</f>
        <v/>
      </c>
      <c r="AT431" s="90">
        <f>IFERROR(IF(AE431&lt;&gt;AE432,MAX((((AQ431*24*60)/2)*(1+POWER((((AR431*24*60) / (AQ431*24*60) )),2))) + ((AQ431*24*60 )*-0.1 + (AO431*0.015)) +1,(((AQ431*24*60)/2)*(1+POWER((((AR431*24*60) / (AQ431*24*60 ))),2)))),""),"")</f>
        <v/>
      </c>
      <c r="AU431" s="90">
        <f>IF(AND(AS431&lt;&gt;"",AP431&lt;&gt;""),IF(AE431&lt;&gt;AE432,((AP431*24*60) / 2 ) * (1 + POWER(((AS431*24*60) / (AP431*24*60)),2)),""),"")</f>
        <v/>
      </c>
      <c r="AV431" s="90">
        <f>IF(AU431&lt;&gt;"",MAX(AT431,AU431),"")</f>
        <v/>
      </c>
      <c r="AW431" s="89">
        <f>IF(AM431&lt;&gt;"H. Sale Real",IF(AND(AM432&lt;&gt;"",LEFT(AG432,2)&lt;&gt;"Va"),IF(AND(AM431&lt;&gt;"",LEFT(AG431,2)&lt;&gt;"Va",AM431&lt;&gt;"H. Sale Real"),IF(AM432-AM431&lt;0.208333333333333,AM432-AM431,""),IF(AND(AM430&lt;&gt;"",LEFT(AG430,2)&lt;&gt;"Va",AM430&lt;&gt;"H. Sale Real"),IF(AM432-AM430&lt;0.208333333333333,AM432-AM430,""),IF(AND(AM429&lt;&gt;"",LEFT(AG429,2)&lt;&gt;"Va",AM429&lt;&gt;"H. Sale Real"),IF(AM432-AM429&lt;0.208333333333333,AM432-AM429,""),IF(AND(AM428&lt;&gt;"",LEFT(AG428,2)&lt;&gt;"Va",AM428&lt;&gt;"H. Sale Real"),IF(AM432-AM428&lt;0.208333333333333,AM432-AM428,""),IF(AND(AM427&lt;&gt;"",LEFT(AG427,2)&lt;&gt;"Va",AM427&lt;&gt;"H. Sale Real"),IF(AM432-AM427&lt;0.208333333333333,AM432-AM427,""),""))))),""),"")</f>
        <v/>
      </c>
      <c r="AX431" s="89">
        <f>IF(AK431&lt;&gt;"H. Sale Real",IF(AND(AK432&lt;&gt;"",LEFT(AG432,2)&lt;&gt;"Va"),IF(AND(AK431&lt;&gt;"",LEFT(AG431,2)&lt;&gt;"Va",AK431&lt;&gt;"H. Sale Real"),IF(AK432-AK431&lt;0.208333333333333,AK432-AK431,""),IF(AND(AK430&lt;&gt;"",LEFT(AG430,2)&lt;&gt;"Va",AK430&lt;&gt;"H. Sale Real"),IF(AK432-AK430&lt;0.208333333333333,AK432-AK430,""),IF(AND(AK429&lt;&gt;"",LEFT(AG429,2)&lt;&gt;"NC",AK429&lt;&gt;"H. Sale Real"),IF(AK432-AK429&lt;0.208333333333333,AK432-AK429,""),IF(AND(AK428&lt;&gt;"",LEFT(AG428,2)&lt;&gt;"Va",AK428&lt;&gt;"H. Sale Real"),IF(AK432-AK428&lt;0.208333333333333,AK432-AK428,""),IF(AND(AK427&lt;&gt;"",LEFT(AG427,2)&lt;&gt;"Va",AK427&lt;&gt;"H. Sale Real"),IF(AK432-AK427&lt;0.208333333333333,AK432-AK427,""),""))))),""),"")</f>
        <v/>
      </c>
      <c r="AY431" s="87" t="n"/>
      <c r="AZ431" s="89" t="n"/>
      <c r="BA431" s="87" t="n"/>
      <c r="BB431" s="89" t="n"/>
      <c r="BC431" s="91" t="n"/>
      <c r="BD431" s="122">
        <f>IF(AK431&lt;&gt;"",IF(AND(BD430&lt;&gt;"IE",AT431&lt;&gt;0,AV431&lt;&gt;""),IF(IFERROR((AT431/AV431),0) &lt;=1,IFERROR(AT431/AV431,""),1),""),"")</f>
        <v/>
      </c>
      <c r="BE431" s="93" t="n"/>
      <c r="BF431" s="105" t="n"/>
      <c r="FC431" t="inlineStr">
        <is>
          <t>Diccionario 1</t>
        </is>
      </c>
      <c r="FD431" s="15" t="inlineStr"/>
      <c r="FE431" s="15" t="inlineStr">
        <is>
          <t>LDYECS83XS0045611</t>
        </is>
      </c>
      <c r="FF431" s="15" t="inlineStr">
        <is>
          <t>MJJ20025010028</t>
        </is>
      </c>
      <c r="FG431" s="15" t="inlineStr">
        <is>
          <t>Zhong Tong</t>
        </is>
      </c>
      <c r="FH431" s="15" t="inlineStr">
        <is>
          <t>LCK6850evg</t>
        </is>
      </c>
      <c r="FI431" s="15" t="inlineStr">
        <is>
          <t>ZHONGTONG</t>
        </is>
      </c>
      <c r="FJ431" s="15" t="inlineStr">
        <is>
          <t>LCK6850evg</t>
        </is>
      </c>
      <c r="FK431" s="15" t="n">
        <v>2025</v>
      </c>
      <c r="FL431" s="15" t="inlineStr">
        <is>
          <t>A</t>
        </is>
      </c>
      <c r="FM431" s="15" t="inlineStr">
        <is>
          <t>CERRILLOS</t>
        </is>
      </c>
      <c r="FN431" s="15" t="inlineStr">
        <is>
          <t>Calle Uno 7371</t>
        </is>
      </c>
      <c r="FO431" s="15" t="inlineStr">
        <is>
          <t>Cerrillos</t>
        </is>
      </c>
      <c r="FP431" t="inlineStr">
        <is>
          <t>A</t>
        </is>
      </c>
      <c r="FS431" s="14" t="inlineStr">
        <is>
          <t>3107 / SFWZ-85|</t>
        </is>
      </c>
      <c r="FT431" t="inlineStr">
        <is>
          <t>SFWZ-85|</t>
        </is>
      </c>
      <c r="FU431" t="inlineStr">
        <is>
          <t>SFWZ-85</t>
        </is>
      </c>
      <c r="FV431">
        <f>VLOOKUP(FU431,FD:FL,9,0)</f>
        <v/>
      </c>
      <c r="HB431" s="35" t="n">
        <v>425</v>
      </c>
    </row>
    <row r="432" ht="15.5" customHeight="1">
      <c r="A432" s="10">
        <f>HOUR(G432)+1</f>
        <v/>
      </c>
      <c r="B432" s="7" t="n"/>
      <c r="C432" s="7" t="n"/>
      <c r="D432" s="85">
        <f>IFERROR(
IF(AND(OR(Planilla!B432="C",Planilla!B432="c"), VLOOKUP(E432,FD:FP,13,0)="C"), "OK",IF(AND(OR(Planilla!B432="C",Planilla!B432="c"), OR(VLOOKUP(E432,FD:FP,13,0)="B", VLOOKUP(E432,FD:FP,13,0)="A")), "DEFICIT",IF(
AND(OR(Planilla!B432="B", Planilla!B432="BPAL"), VLOOKUP(E432,FD:FP,13,0)="B"), "OK",IF(AND(OR(Planilla!B432="B", Planilla!B432="BPAL"), VLOOKUP(E432,FD:FP,13,0)="A"), "DEFICIT",IF(AND(OR(Planilla!B432="B", Planilla!B432="BPAL"), VLOOKUP(E432,FD:FP,13,0)="C"), "SOBREOFERTA",IF(AND(Planilla!B432="A", VLOOKUP(E432,FD:FP,13,0)="A"), "OK",IF(
AND(Planilla!B432="A", OR(VLOOKUP(E432,FD:FP,13,0)="B", VLOOKUP(E432,FD:FP,13,0)="C")), "SOBREOFERTA",""
))))))),"")</f>
        <v/>
      </c>
      <c r="E432" s="8" t="n"/>
      <c r="F432" s="86" t="n"/>
      <c r="G432" s="87" t="n"/>
      <c r="H432" s="88">
        <f>IF(I432="","",IF(AND((I432-G432)&gt;=TIME(0,0,0),(I432-G432)&lt;TIME(0,3,0)),"OK",IF(AND((I432-G432)&gt;=TIME(0,3,0),(I432-G432)&lt;TIME(0,5,0)),"RETRASO DE 3-5 MIN",IF(AND((I432-G432)&gt;=TIME(0,5,0),(I432-G432)&lt;TIME(0,10,0)),"RETRASO DE 5-10 MIN",IF((I432-G432)&gt;=TIME(0,10,0),"RETRASO &gt;10 MIN", IF(AND((G432-I432)&gt;=TIME(0,0,0),(G432-I432)&lt;TIME(0,3,0)),"OK",IF((G432-I432)&gt;=TIME(0,3,0),"ADELANTADO")))))))</f>
        <v/>
      </c>
      <c r="I432" s="89" t="n"/>
      <c r="J432" s="89">
        <f>IF(A432&lt;&gt;"",HLOOKUP(VALUE(TEXT(G432,"h:mm:ss")),IF($C$6="Laboral",$FZ$4:$GX$227,IF($C$6="Sábado",$FZ$231:$GX$452,$FZ$456:$GX$656)),VLOOKUP($C$4,$HF$2:$HH$99,3,0)+IF(C$5="Ida",0,1),1),"")</f>
        <v/>
      </c>
      <c r="K432" s="89">
        <f>IF(A433&lt;&gt;A432,AVERAGEIF(A$9:A432,A432,J$9:J432),"")</f>
        <v/>
      </c>
      <c r="L432" s="89">
        <f>IFERROR(IF(A433&lt;&gt;A432,AVERAGEIF(A$9:A432,A432,S$9:S432),""),"")</f>
        <v/>
      </c>
      <c r="M432" s="89">
        <f>IFERROR(IF(A433&lt;&gt;A432,AVERAGEIF(A$9:A432,A432,T$9:T432),""),"")</f>
        <v/>
      </c>
      <c r="N432" s="89">
        <f t="array" ref="N432">IFERROR(IF(A433&lt;&gt;A432,_xlfn.STDEV.P(IF(A$9:A432=A432,T$9:T432)),""),"")</f>
        <v/>
      </c>
      <c r="O432" s="89">
        <f t="array" ref="O432">IFERROR(IF(A433&lt;&gt;A432,_xlfn.STDEV.P(IF(A$9:A432=A432,S$9:S432)),""),"")</f>
        <v/>
      </c>
      <c r="P432" s="90">
        <f>IFERROR(IF(A432&lt;&gt;A433,MAX((((M432*24*60)/2)*(1+POWER((((N432*24*60) / (M432*24*60) )),2))) + ((M432*24*60 )*-0.1 + (K432*0.015)) +1,(((M432*24*60)/2)*(1+POWER((((N432*24*60) / (M432*24*60 ))),2)))),""),"")</f>
        <v/>
      </c>
      <c r="Q432" s="90">
        <f>IF(AND(O432&lt;&gt;"",L432&lt;&gt;""),IF(A432&lt;&gt;A433,((L432*24*60) / 2 ) * (1 + POWER(((O432*24*60) / (L432*24*60)),2)),""),"")</f>
        <v/>
      </c>
      <c r="R432" s="90">
        <f>IF(Q432&lt;&gt;"",MAX(P432,Q432),"")</f>
        <v/>
      </c>
      <c r="S432" s="89">
        <f>IF(I432&lt;&gt;"H. Sale Real",IF(AND(I433&lt;&gt;"",LEFT(C433,2)&lt;&gt;"Va"),IF(AND(I432&lt;&gt;"",LEFT(C432,2)&lt;&gt;"Va",I432&lt;&gt;"H. Sale Real"),IF(I433-I432&lt;0.208333333333333,I433-I432,""),IF(AND(I431&lt;&gt;"",LEFT(C431,2)&lt;&gt;"Va",I431&lt;&gt;"H. Sale Real"),IF(I433-I431&lt;0.208333333333333,I433-I431,""),IF(AND(I430&lt;&gt;"",LEFT(C430,2)&lt;&gt;"Va",I430&lt;&gt;"H. Sale Real"),IF(I433-I430&lt;0.208333333333333,I433-I430,""),IF(AND(I429&lt;&gt;"",LEFT(C429,2)&lt;&gt;"Va",I429&lt;&gt;"H. Sale Real"),IF(I433-I429&lt;0.208333333333333,I433-I429,""),IF(AND(I428&lt;&gt;"",LEFT(C428,2)&lt;&gt;"Va",I428&lt;&gt;"H. Sale Real"),IF(I433-I428&lt;0.208333333333333,I433-I428,""),""))))),""),"")</f>
        <v/>
      </c>
      <c r="T432" s="89">
        <f>IF(G432&lt;&gt;"H. Sale Real",IF(AND(G433&lt;&gt;"",LEFT(C433,2)&lt;&gt;"Va"),IF(AND(G432&lt;&gt;"",LEFT(C432,2)&lt;&gt;"Va",G432&lt;&gt;"H. Sale Real"),IF(G433-G432&lt;0.208333333333333,G433-G432,""),IF(AND(G431&lt;&gt;"",LEFT(C431,2)&lt;&gt;"Va",G431&lt;&gt;"H. Sale Real"),IF(G433-G431&lt;0.208333333333333,G433-G431,""),IF(AND(G430&lt;&gt;"",LEFT(C430,2)&lt;&gt;"Va",G430&lt;&gt;"H. Sale Real"),IF(G433-G430&lt;0.208333333333333,G433-G430,""),IF(AND(G429&lt;&gt;"",LEFT(C429,2)&lt;&gt;"Va",G429&lt;&gt;"H. Sale Real"),IF(G433-G429&lt;0.208333333333333,G433-G429,""),IF(AND(G428&lt;&gt;"",LEFT(C428,2)&lt;&gt;"Va",G428&lt;&gt;"H. Sale Real"),IF(G433-G428&lt;0.208333333333333,G433-G428,""),""))))),""),"")</f>
        <v/>
      </c>
      <c r="U432" s="87" t="n"/>
      <c r="V432" s="89" t="n"/>
      <c r="W432" s="87" t="n"/>
      <c r="X432" s="89" t="n"/>
      <c r="Y432" s="91" t="n"/>
      <c r="Z432" s="122">
        <f>IF(G432&lt;&gt;"",IF(AND(Z431&lt;&gt;"IE",P432&lt;&gt;0,R432&lt;&gt;""),IF(IFERROR((P432/R432),0) &lt;=1,IFERROR(P432/R432,""),1),""),"")</f>
        <v/>
      </c>
      <c r="AA432" s="93" t="n"/>
      <c r="AB432" s="2" t="n"/>
      <c r="AE432" s="10">
        <f>HOUR(AK432)+1</f>
        <v/>
      </c>
      <c r="AF432" s="7" t="n"/>
      <c r="AG432" s="7" t="n"/>
      <c r="AH432" s="86" t="n"/>
      <c r="AI432" s="8" t="n"/>
      <c r="AJ432" s="86" t="n"/>
      <c r="AK432" s="87" t="n"/>
      <c r="AL432" s="88">
        <f>IF(AM432="","",IF(AND((AM432-AK432)&gt;=TIME(0,0,0),(AM432-AK432)&lt;TIME(0,3,0)),"OK",IF(AND((AM432-AK432)&gt;=TIME(0,3,0),(AM432-AK432)&lt;TIME(0,5,0)),"RETRASO DE 3-5 MIN",IF(AND((AM432-AK432)&gt;=TIME(0,5,0),(AM432-AK432)&lt;TIME(0,10,0)),"RETRASO DE 5-10 MIN",IF((AM432-AK432)&gt;=TIME(0,10,0),"RETRASO &gt;10 MIN", IF(AND((AK432-AM432)&gt;=TIME(0,0,0),(AK432-AM432)&lt;TIME(0,3,0)),"OK",IF((AK432-AM432)&gt;=TIME(0,3,0),"ADELANTADO")))))))</f>
        <v/>
      </c>
      <c r="AM432" s="91" t="n"/>
      <c r="AN432" s="89">
        <f>IF(AE432&lt;&gt;"",HLOOKUP(VALUE(TEXT(AK432,"h:mm:ss")),IF($C$6="Laboral",$FZ$4:$GX$227,IF($C$6="Sábado",$FZ$231:$GX$452,$FZ$456:$GX$656)),VLOOKUP($C$4,$HF$2:$HH$99,3,0)+IF(AG$5="Ida",0,1),1),"")</f>
        <v/>
      </c>
      <c r="AO432" s="89">
        <f>IF(AE433&lt;&gt;AE432,AVERAGEIF(AE$9:AE432,AE432,AN$9:AN432),"")</f>
        <v/>
      </c>
      <c r="AP432" s="89">
        <f>IFERROR(IF(AE433&lt;&gt;AE432,AVERAGEIF(AE$9:AE432,AE432,AW$9:AW432),""),"")</f>
        <v/>
      </c>
      <c r="AQ432" s="89">
        <f>IFERROR(IF(AE433&lt;&gt;AE432,AVERAGEIF(AE$9:AE432,AE432,AX$9:AX432),""),"")</f>
        <v/>
      </c>
      <c r="AR432" s="89">
        <f t="array" ref="AR432">IFERROR(IF(AE433&lt;&gt;AE432,_xlfn.STDEV.P(IF(AE$9:AE432=AE432,AX$9:AX432)),""),"")</f>
        <v/>
      </c>
      <c r="AS432" s="89">
        <f t="array" ref="AS432">IFERROR(IF(AE433&lt;&gt;AE432,_xlfn.STDEV.P(IF(AE$9:AE432=AE432,AW$9:AW432)),""),"")</f>
        <v/>
      </c>
      <c r="AT432" s="90">
        <f>IFERROR(IF(AE432&lt;&gt;AE433,MAX((((AQ432*24*60)/2)*(1+POWER((((AR432*24*60) / (AQ432*24*60) )),2))) + ((AQ432*24*60 )*-0.1 + (AO432*0.015)) +1,(((AQ432*24*60)/2)*(1+POWER((((AR432*24*60) / (AQ432*24*60 ))),2)))),""),"")</f>
        <v/>
      </c>
      <c r="AU432" s="90">
        <f>IF(AND(AS432&lt;&gt;"",AP432&lt;&gt;""),IF(AE432&lt;&gt;AE433,((AP432*24*60) / 2 ) * (1 + POWER(((AS432*24*60) / (AP432*24*60)),2)),""),"")</f>
        <v/>
      </c>
      <c r="AV432" s="90">
        <f>IF(AU432&lt;&gt;"",MAX(AT432,AU432),"")</f>
        <v/>
      </c>
      <c r="AW432" s="89">
        <f>IF(AM432&lt;&gt;"H. Sale Real",IF(AND(AM433&lt;&gt;"",LEFT(AG433,2)&lt;&gt;"Va"),IF(AND(AM432&lt;&gt;"",LEFT(AG432,2)&lt;&gt;"Va",AM432&lt;&gt;"H. Sale Real"),IF(AM433-AM432&lt;0.208333333333333,AM433-AM432,""),IF(AND(AM431&lt;&gt;"",LEFT(AG431,2)&lt;&gt;"Va",AM431&lt;&gt;"H. Sale Real"),IF(AM433-AM431&lt;0.208333333333333,AM433-AM431,""),IF(AND(AM430&lt;&gt;"",LEFT(AG430,2)&lt;&gt;"Va",AM430&lt;&gt;"H. Sale Real"),IF(AM433-AM430&lt;0.208333333333333,AM433-AM430,""),IF(AND(AM429&lt;&gt;"",LEFT(AG429,2)&lt;&gt;"Va",AM429&lt;&gt;"H. Sale Real"),IF(AM433-AM429&lt;0.208333333333333,AM433-AM429,""),IF(AND(AM428&lt;&gt;"",LEFT(AG428,2)&lt;&gt;"Va",AM428&lt;&gt;"H. Sale Real"),IF(AM433-AM428&lt;0.208333333333333,AM433-AM428,""),""))))),""),"")</f>
        <v/>
      </c>
      <c r="AX432" s="89">
        <f>IF(AK432&lt;&gt;"H. Sale Real",IF(AND(AK433&lt;&gt;"",LEFT(AG433,2)&lt;&gt;"Va"),IF(AND(AK432&lt;&gt;"",LEFT(AG432,2)&lt;&gt;"Va",AK432&lt;&gt;"H. Sale Real"),IF(AK433-AK432&lt;0.208333333333333,AK433-AK432,""),IF(AND(AK431&lt;&gt;"",LEFT(AG431,2)&lt;&gt;"Va",AK431&lt;&gt;"H. Sale Real"),IF(AK433-AK431&lt;0.208333333333333,AK433-AK431,""),IF(AND(AK430&lt;&gt;"",LEFT(AG430,2)&lt;&gt;"NC",AK430&lt;&gt;"H. Sale Real"),IF(AK433-AK430&lt;0.208333333333333,AK433-AK430,""),IF(AND(AK429&lt;&gt;"",LEFT(AG429,2)&lt;&gt;"Va",AK429&lt;&gt;"H. Sale Real"),IF(AK433-AK429&lt;0.208333333333333,AK433-AK429,""),IF(AND(AK428&lt;&gt;"",LEFT(AG428,2)&lt;&gt;"Va",AK428&lt;&gt;"H. Sale Real"),IF(AK433-AK428&lt;0.208333333333333,AK433-AK428,""),""))))),""),"")</f>
        <v/>
      </c>
      <c r="AY432" s="87" t="n"/>
      <c r="AZ432" s="89" t="n"/>
      <c r="BA432" s="87" t="n"/>
      <c r="BB432" s="89" t="n"/>
      <c r="BC432" s="91" t="n"/>
      <c r="BD432" s="122">
        <f>IF(AK432&lt;&gt;"",IF(AND(BD431&lt;&gt;"IE",AT432&lt;&gt;0,AV432&lt;&gt;""),IF(IFERROR((AT432/AV432),0) &lt;=1,IFERROR(AT432/AV432,""),1),""),"")</f>
        <v/>
      </c>
      <c r="BE432" s="93" t="n"/>
      <c r="BF432" s="105" t="n"/>
      <c r="FC432" t="inlineStr">
        <is>
          <t>Diccionario 1</t>
        </is>
      </c>
      <c r="FD432" s="15" t="inlineStr"/>
      <c r="FE432" s="15" t="inlineStr">
        <is>
          <t>LDYECS833S0045630</t>
        </is>
      </c>
      <c r="FF432" s="15" t="inlineStr">
        <is>
          <t>MJJ20025010012</t>
        </is>
      </c>
      <c r="FG432" s="15" t="inlineStr">
        <is>
          <t>Zhong Tong</t>
        </is>
      </c>
      <c r="FH432" s="15" t="inlineStr">
        <is>
          <t>LCK6850evg</t>
        </is>
      </c>
      <c r="FI432" s="15" t="inlineStr">
        <is>
          <t>ZHONGTONG</t>
        </is>
      </c>
      <c r="FJ432" s="15" t="inlineStr">
        <is>
          <t>LCK6850evg</t>
        </is>
      </c>
      <c r="FK432" s="15" t="n">
        <v>2025</v>
      </c>
      <c r="FL432" s="15" t="inlineStr">
        <is>
          <t>A</t>
        </is>
      </c>
      <c r="FM432" s="15" t="inlineStr">
        <is>
          <t>CERRILLOS</t>
        </is>
      </c>
      <c r="FN432" s="15" t="inlineStr">
        <is>
          <t>Calle Uno 7371</t>
        </is>
      </c>
      <c r="FO432" s="15" t="inlineStr">
        <is>
          <t>Cerrillos</t>
        </is>
      </c>
      <c r="FP432" t="inlineStr">
        <is>
          <t>A</t>
        </is>
      </c>
      <c r="FS432" s="14" t="inlineStr">
        <is>
          <t>3107 / SFWZ-85|</t>
        </is>
      </c>
      <c r="FT432" t="inlineStr">
        <is>
          <t>SFWZ-85|</t>
        </is>
      </c>
      <c r="FU432" t="inlineStr">
        <is>
          <t>SFWZ-85</t>
        </is>
      </c>
      <c r="FV432">
        <f>VLOOKUP(FU432,FD:FL,9,0)</f>
        <v/>
      </c>
      <c r="HB432" s="35" t="n">
        <v>426</v>
      </c>
    </row>
    <row r="433" ht="15.5" customHeight="1">
      <c r="A433" s="10">
        <f>HOUR(G433)+1</f>
        <v/>
      </c>
      <c r="B433" s="7" t="n"/>
      <c r="C433" s="7" t="n"/>
      <c r="D433" s="85">
        <f>IFERROR(
IF(AND(OR(Planilla!B433="C",Planilla!B433="c"), VLOOKUP(E433,FD:FP,13,0)="C"), "OK",IF(AND(OR(Planilla!B433="C",Planilla!B433="c"), OR(VLOOKUP(E433,FD:FP,13,0)="B", VLOOKUP(E433,FD:FP,13,0)="A")), "DEFICIT",IF(
AND(OR(Planilla!B433="B", Planilla!B433="BPAL"), VLOOKUP(E433,FD:FP,13,0)="B"), "OK",IF(AND(OR(Planilla!B433="B", Planilla!B433="BPAL"), VLOOKUP(E433,FD:FP,13,0)="A"), "DEFICIT",IF(AND(OR(Planilla!B433="B", Planilla!B433="BPAL"), VLOOKUP(E433,FD:FP,13,0)="C"), "SOBREOFERTA",IF(AND(Planilla!B433="A", VLOOKUP(E433,FD:FP,13,0)="A"), "OK",IF(
AND(Planilla!B433="A", OR(VLOOKUP(E433,FD:FP,13,0)="B", VLOOKUP(E433,FD:FP,13,0)="C")), "SOBREOFERTA",""
))))))),"")</f>
        <v/>
      </c>
      <c r="E433" s="8" t="n"/>
      <c r="F433" s="86" t="n"/>
      <c r="G433" s="87" t="n"/>
      <c r="H433" s="88">
        <f>IF(I433="","",IF(AND((I433-G433)&gt;=TIME(0,0,0),(I433-G433)&lt;TIME(0,3,0)),"OK",IF(AND((I433-G433)&gt;=TIME(0,3,0),(I433-G433)&lt;TIME(0,5,0)),"RETRASO DE 3-5 MIN",IF(AND((I433-G433)&gt;=TIME(0,5,0),(I433-G433)&lt;TIME(0,10,0)),"RETRASO DE 5-10 MIN",IF((I433-G433)&gt;=TIME(0,10,0),"RETRASO &gt;10 MIN", IF(AND((G433-I433)&gt;=TIME(0,0,0),(G433-I433)&lt;TIME(0,3,0)),"OK",IF((G433-I433)&gt;=TIME(0,3,0),"ADELANTADO")))))))</f>
        <v/>
      </c>
      <c r="I433" s="89" t="n"/>
      <c r="J433" s="89">
        <f>IF(A433&lt;&gt;"",HLOOKUP(VALUE(TEXT(G433,"h:mm:ss")),IF($C$6="Laboral",$FZ$4:$GX$227,IF($C$6="Sábado",$FZ$231:$GX$452,$FZ$456:$GX$656)),VLOOKUP($C$4,$HF$2:$HH$99,3,0)+IF(C$5="Ida",0,1),1),"")</f>
        <v/>
      </c>
      <c r="K433" s="89">
        <f>IF(A434&lt;&gt;A433,AVERAGEIF(A$9:A433,A433,J$9:J433),"")</f>
        <v/>
      </c>
      <c r="L433" s="89">
        <f>IFERROR(IF(A434&lt;&gt;A433,AVERAGEIF(A$9:A433,A433,S$9:S433),""),"")</f>
        <v/>
      </c>
      <c r="M433" s="89">
        <f>IFERROR(IF(A434&lt;&gt;A433,AVERAGEIF(A$9:A433,A433,T$9:T433),""),"")</f>
        <v/>
      </c>
      <c r="N433" s="89">
        <f t="array" ref="N433">IFERROR(IF(A434&lt;&gt;A433,_xlfn.STDEV.P(IF(A$9:A433=A433,T$9:T433)),""),"")</f>
        <v/>
      </c>
      <c r="O433" s="89">
        <f t="array" ref="O433">IFERROR(IF(A434&lt;&gt;A433,_xlfn.STDEV.P(IF(A$9:A433=A433,S$9:S433)),""),"")</f>
        <v/>
      </c>
      <c r="P433" s="90">
        <f>IFERROR(IF(A433&lt;&gt;A434,MAX((((M433*24*60)/2)*(1+POWER((((N433*24*60) / (M433*24*60) )),2))) + ((M433*24*60 )*-0.1 + (K433*0.015)) +1,(((M433*24*60)/2)*(1+POWER((((N433*24*60) / (M433*24*60 ))),2)))),""),"")</f>
        <v/>
      </c>
      <c r="Q433" s="90">
        <f>IF(AND(O433&lt;&gt;"",L433&lt;&gt;""),IF(A433&lt;&gt;A434,((L433*24*60) / 2 ) * (1 + POWER(((O433*24*60) / (L433*24*60)),2)),""),"")</f>
        <v/>
      </c>
      <c r="R433" s="90">
        <f>IF(Q433&lt;&gt;"",MAX(P433,Q433),"")</f>
        <v/>
      </c>
      <c r="S433" s="89">
        <f>IF(I433&lt;&gt;"H. Sale Real",IF(AND(I434&lt;&gt;"",LEFT(C434,2)&lt;&gt;"Va"),IF(AND(I433&lt;&gt;"",LEFT(C433,2)&lt;&gt;"Va",I433&lt;&gt;"H. Sale Real"),IF(I434-I433&lt;0.208333333333333,I434-I433,""),IF(AND(I432&lt;&gt;"",LEFT(C432,2)&lt;&gt;"Va",I432&lt;&gt;"H. Sale Real"),IF(I434-I432&lt;0.208333333333333,I434-I432,""),IF(AND(I431&lt;&gt;"",LEFT(C431,2)&lt;&gt;"Va",I431&lt;&gt;"H. Sale Real"),IF(I434-I431&lt;0.208333333333333,I434-I431,""),IF(AND(I430&lt;&gt;"",LEFT(C430,2)&lt;&gt;"Va",I430&lt;&gt;"H. Sale Real"),IF(I434-I430&lt;0.208333333333333,I434-I430,""),IF(AND(I429&lt;&gt;"",LEFT(C429,2)&lt;&gt;"Va",I429&lt;&gt;"H. Sale Real"),IF(I434-I429&lt;0.208333333333333,I434-I429,""),""))))),""),"")</f>
        <v/>
      </c>
      <c r="T433" s="89">
        <f>IF(G433&lt;&gt;"H. Sale Real",IF(AND(G434&lt;&gt;"",LEFT(C434,2)&lt;&gt;"Va"),IF(AND(G433&lt;&gt;"",LEFT(C433,2)&lt;&gt;"Va",G433&lt;&gt;"H. Sale Real"),IF(G434-G433&lt;0.208333333333333,G434-G433,""),IF(AND(G432&lt;&gt;"",LEFT(C432,2)&lt;&gt;"Va",G432&lt;&gt;"H. Sale Real"),IF(G434-G432&lt;0.208333333333333,G434-G432,""),IF(AND(G431&lt;&gt;"",LEFT(C431,2)&lt;&gt;"Va",G431&lt;&gt;"H. Sale Real"),IF(G434-G431&lt;0.208333333333333,G434-G431,""),IF(AND(G430&lt;&gt;"",LEFT(C430,2)&lt;&gt;"Va",G430&lt;&gt;"H. Sale Real"),IF(G434-G430&lt;0.208333333333333,G434-G430,""),IF(AND(G429&lt;&gt;"",LEFT(C429,2)&lt;&gt;"Va",G429&lt;&gt;"H. Sale Real"),IF(G434-G429&lt;0.208333333333333,G434-G429,""),""))))),""),"")</f>
        <v/>
      </c>
      <c r="U433" s="87" t="n"/>
      <c r="V433" s="89" t="n"/>
      <c r="W433" s="87" t="n"/>
      <c r="X433" s="89" t="n"/>
      <c r="Y433" s="91" t="n"/>
      <c r="Z433" s="122">
        <f>IF(G433&lt;&gt;"",IF(AND(Z432&lt;&gt;"IE",P433&lt;&gt;0,R433&lt;&gt;""),IF(IFERROR((P433/R433),0) &lt;=1,IFERROR(P433/R433,""),1),""),"")</f>
        <v/>
      </c>
      <c r="AA433" s="93" t="n"/>
      <c r="AB433" s="2" t="n"/>
      <c r="AE433" s="10">
        <f>HOUR(AK433)+1</f>
        <v/>
      </c>
      <c r="AF433" s="7" t="n"/>
      <c r="AG433" s="7" t="n"/>
      <c r="AH433" s="86" t="n"/>
      <c r="AI433" s="8" t="n"/>
      <c r="AJ433" s="86" t="n"/>
      <c r="AK433" s="87" t="n"/>
      <c r="AL433" s="88">
        <f>IF(AM433="","",IF(AND((AM433-AK433)&gt;=TIME(0,0,0),(AM433-AK433)&lt;TIME(0,3,0)),"OK",IF(AND((AM433-AK433)&gt;=TIME(0,3,0),(AM433-AK433)&lt;TIME(0,5,0)),"RETRASO DE 3-5 MIN",IF(AND((AM433-AK433)&gt;=TIME(0,5,0),(AM433-AK433)&lt;TIME(0,10,0)),"RETRASO DE 5-10 MIN",IF((AM433-AK433)&gt;=TIME(0,10,0),"RETRASO &gt;10 MIN", IF(AND((AK433-AM433)&gt;=TIME(0,0,0),(AK433-AM433)&lt;TIME(0,3,0)),"OK",IF((AK433-AM433)&gt;=TIME(0,3,0),"ADELANTADO")))))))</f>
        <v/>
      </c>
      <c r="AM433" s="91" t="n"/>
      <c r="AN433" s="89">
        <f>IF(AE433&lt;&gt;"",HLOOKUP(VALUE(TEXT(AK433,"h:mm:ss")),IF($C$6="Laboral",$FZ$4:$GX$227,IF($C$6="Sábado",$FZ$231:$GX$452,$FZ$456:$GX$656)),VLOOKUP($C$4,$HF$2:$HH$99,3,0)+IF(AG$5="Ida",0,1),1),"")</f>
        <v/>
      </c>
      <c r="AO433" s="89">
        <f>IF(AE434&lt;&gt;AE433,AVERAGEIF(AE$9:AE433,AE433,AN$9:AN433),"")</f>
        <v/>
      </c>
      <c r="AP433" s="89">
        <f>IFERROR(IF(AE434&lt;&gt;AE433,AVERAGEIF(AE$9:AE433,AE433,AW$9:AW433),""),"")</f>
        <v/>
      </c>
      <c r="AQ433" s="89">
        <f>IFERROR(IF(AE434&lt;&gt;AE433,AVERAGEIF(AE$9:AE433,AE433,AX$9:AX433),""),"")</f>
        <v/>
      </c>
      <c r="AR433" s="89">
        <f t="array" ref="AR433">IFERROR(IF(AE434&lt;&gt;AE433,_xlfn.STDEV.P(IF(AE$9:AE433=AE433,AX$9:AX433)),""),"")</f>
        <v/>
      </c>
      <c r="AS433" s="89">
        <f t="array" ref="AS433">IFERROR(IF(AE434&lt;&gt;AE433,_xlfn.STDEV.P(IF(AE$9:AE433=AE433,AW$9:AW433)),""),"")</f>
        <v/>
      </c>
      <c r="AT433" s="90">
        <f>IFERROR(IF(AE433&lt;&gt;AE434,MAX((((AQ433*24*60)/2)*(1+POWER((((AR433*24*60) / (AQ433*24*60) )),2))) + ((AQ433*24*60 )*-0.1 + (AO433*0.015)) +1,(((AQ433*24*60)/2)*(1+POWER((((AR433*24*60) / (AQ433*24*60 ))),2)))),""),"")</f>
        <v/>
      </c>
      <c r="AU433" s="90">
        <f>IF(AND(AS433&lt;&gt;"",AP433&lt;&gt;""),IF(AE433&lt;&gt;AE434,((AP433*24*60) / 2 ) * (1 + POWER(((AS433*24*60) / (AP433*24*60)),2)),""),"")</f>
        <v/>
      </c>
      <c r="AV433" s="90">
        <f>IF(AU433&lt;&gt;"",MAX(AT433,AU433),"")</f>
        <v/>
      </c>
      <c r="AW433" s="89">
        <f>IF(AM433&lt;&gt;"H. Sale Real",IF(AND(AM434&lt;&gt;"",LEFT(AG434,2)&lt;&gt;"Va"),IF(AND(AM433&lt;&gt;"",LEFT(AG433,2)&lt;&gt;"Va",AM433&lt;&gt;"H. Sale Real"),IF(AM434-AM433&lt;0.208333333333333,AM434-AM433,""),IF(AND(AM432&lt;&gt;"",LEFT(AG432,2)&lt;&gt;"Va",AM432&lt;&gt;"H. Sale Real"),IF(AM434-AM432&lt;0.208333333333333,AM434-AM432,""),IF(AND(AM431&lt;&gt;"",LEFT(AG431,2)&lt;&gt;"Va",AM431&lt;&gt;"H. Sale Real"),IF(AM434-AM431&lt;0.208333333333333,AM434-AM431,""),IF(AND(AM430&lt;&gt;"",LEFT(AG430,2)&lt;&gt;"Va",AM430&lt;&gt;"H. Sale Real"),IF(AM434-AM430&lt;0.208333333333333,AM434-AM430,""),IF(AND(AM429&lt;&gt;"",LEFT(AG429,2)&lt;&gt;"Va",AM429&lt;&gt;"H. Sale Real"),IF(AM434-AM429&lt;0.208333333333333,AM434-AM429,""),""))))),""),"")</f>
        <v/>
      </c>
      <c r="AX433" s="89">
        <f>IF(AK433&lt;&gt;"H. Sale Real",IF(AND(AK434&lt;&gt;"",LEFT(AG434,2)&lt;&gt;"Va"),IF(AND(AK433&lt;&gt;"",LEFT(AG433,2)&lt;&gt;"Va",AK433&lt;&gt;"H. Sale Real"),IF(AK434-AK433&lt;0.208333333333333,AK434-AK433,""),IF(AND(AK432&lt;&gt;"",LEFT(AG432,2)&lt;&gt;"Va",AK432&lt;&gt;"H. Sale Real"),IF(AK434-AK432&lt;0.208333333333333,AK434-AK432,""),IF(AND(AK431&lt;&gt;"",LEFT(AG431,2)&lt;&gt;"NC",AK431&lt;&gt;"H. Sale Real"),IF(AK434-AK431&lt;0.208333333333333,AK434-AK431,""),IF(AND(AK430&lt;&gt;"",LEFT(AG430,2)&lt;&gt;"Va",AK430&lt;&gt;"H. Sale Real"),IF(AK434-AK430&lt;0.208333333333333,AK434-AK430,""),IF(AND(AK429&lt;&gt;"",LEFT(AG429,2)&lt;&gt;"Va",AK429&lt;&gt;"H. Sale Real"),IF(AK434-AK429&lt;0.208333333333333,AK434-AK429,""),""))))),""),"")</f>
        <v/>
      </c>
      <c r="AY433" s="87" t="n"/>
      <c r="AZ433" s="89" t="n"/>
      <c r="BA433" s="87" t="n"/>
      <c r="BB433" s="89" t="n"/>
      <c r="BC433" s="91" t="n"/>
      <c r="BD433" s="122">
        <f>IF(AK433&lt;&gt;"",IF(AND(BD432&lt;&gt;"IE",AT433&lt;&gt;0,AV433&lt;&gt;""),IF(IFERROR((AT433/AV433),0) &lt;=1,IFERROR(AT433/AV433,""),1),""),"")</f>
        <v/>
      </c>
      <c r="BE433" s="93" t="n"/>
      <c r="BF433" s="105" t="n"/>
      <c r="FC433" t="inlineStr">
        <is>
          <t>Diccionario 1</t>
        </is>
      </c>
      <c r="FD433" s="15" t="inlineStr"/>
      <c r="FE433" s="15" t="inlineStr">
        <is>
          <t>LDYECS837S0045632</t>
        </is>
      </c>
      <c r="FF433" s="15" t="inlineStr">
        <is>
          <t>MJJ20025010003</t>
        </is>
      </c>
      <c r="FG433" s="15" t="inlineStr">
        <is>
          <t>Zhong Tong</t>
        </is>
      </c>
      <c r="FH433" s="15" t="inlineStr">
        <is>
          <t>LCK6850evg</t>
        </is>
      </c>
      <c r="FI433" s="15" t="inlineStr">
        <is>
          <t>ZHONGTONG</t>
        </is>
      </c>
      <c r="FJ433" s="15" t="inlineStr">
        <is>
          <t>LCK6850evg</t>
        </is>
      </c>
      <c r="FK433" s="15" t="n">
        <v>2025</v>
      </c>
      <c r="FL433" s="15" t="inlineStr">
        <is>
          <t>A</t>
        </is>
      </c>
      <c r="FM433" s="15" t="inlineStr">
        <is>
          <t>CERRILLOS</t>
        </is>
      </c>
      <c r="FN433" s="15" t="inlineStr">
        <is>
          <t>Calle Uno 7371</t>
        </is>
      </c>
      <c r="FO433" s="15" t="inlineStr">
        <is>
          <t>Cerrillos</t>
        </is>
      </c>
      <c r="FP433" t="inlineStr">
        <is>
          <t>A</t>
        </is>
      </c>
      <c r="FS433" s="14" t="inlineStr">
        <is>
          <t>7739 / GCBC-26|</t>
        </is>
      </c>
      <c r="FT433" t="inlineStr">
        <is>
          <t>GCBC-26|</t>
        </is>
      </c>
      <c r="FU433" t="inlineStr">
        <is>
          <t>GCBC-26</t>
        </is>
      </c>
      <c r="FV433">
        <f>VLOOKUP(FU433,FD:FL,9,0)</f>
        <v/>
      </c>
      <c r="HB433" s="35" t="n">
        <v>427</v>
      </c>
    </row>
    <row r="434" ht="15.5" customHeight="1">
      <c r="A434" s="10">
        <f>HOUR(G434)+1</f>
        <v/>
      </c>
      <c r="B434" s="7" t="n"/>
      <c r="C434" s="7" t="n"/>
      <c r="D434" s="85">
        <f>IFERROR(
IF(AND(OR(Planilla!B434="C",Planilla!B434="c"), VLOOKUP(E434,FD:FP,13,0)="C"), "OK",IF(AND(OR(Planilla!B434="C",Planilla!B434="c"), OR(VLOOKUP(E434,FD:FP,13,0)="B", VLOOKUP(E434,FD:FP,13,0)="A")), "DEFICIT",IF(
AND(OR(Planilla!B434="B", Planilla!B434="BPAL"), VLOOKUP(E434,FD:FP,13,0)="B"), "OK",IF(AND(OR(Planilla!B434="B", Planilla!B434="BPAL"), VLOOKUP(E434,FD:FP,13,0)="A"), "DEFICIT",IF(AND(OR(Planilla!B434="B", Planilla!B434="BPAL"), VLOOKUP(E434,FD:FP,13,0)="C"), "SOBREOFERTA",IF(AND(Planilla!B434="A", VLOOKUP(E434,FD:FP,13,0)="A"), "OK",IF(
AND(Planilla!B434="A", OR(VLOOKUP(E434,FD:FP,13,0)="B", VLOOKUP(E434,FD:FP,13,0)="C")), "SOBREOFERTA",""
))))))),"")</f>
        <v/>
      </c>
      <c r="E434" s="8" t="n"/>
      <c r="F434" s="86" t="n"/>
      <c r="G434" s="87" t="n"/>
      <c r="H434" s="88">
        <f>IF(I434="","",IF(AND((I434-G434)&gt;=TIME(0,0,0),(I434-G434)&lt;TIME(0,3,0)),"OK",IF(AND((I434-G434)&gt;=TIME(0,3,0),(I434-G434)&lt;TIME(0,5,0)),"RETRASO DE 3-5 MIN",IF(AND((I434-G434)&gt;=TIME(0,5,0),(I434-G434)&lt;TIME(0,10,0)),"RETRASO DE 5-10 MIN",IF((I434-G434)&gt;=TIME(0,10,0),"RETRASO &gt;10 MIN", IF(AND((G434-I434)&gt;=TIME(0,0,0),(G434-I434)&lt;TIME(0,3,0)),"OK",IF((G434-I434)&gt;=TIME(0,3,0),"ADELANTADO")))))))</f>
        <v/>
      </c>
      <c r="I434" s="89" t="n"/>
      <c r="J434" s="89">
        <f>IF(A434&lt;&gt;"",HLOOKUP(VALUE(TEXT(G434,"h:mm:ss")),IF($C$6="Laboral",$FZ$4:$GX$227,IF($C$6="Sábado",$FZ$231:$GX$452,$FZ$456:$GX$656)),VLOOKUP($C$4,$HF$2:$HH$99,3,0)+IF(C$5="Ida",0,1),1),"")</f>
        <v/>
      </c>
      <c r="K434" s="89">
        <f>IF(A435&lt;&gt;A434,AVERAGEIF(A$9:A434,A434,J$9:J434),"")</f>
        <v/>
      </c>
      <c r="L434" s="89">
        <f>IFERROR(IF(A435&lt;&gt;A434,AVERAGEIF(A$9:A434,A434,S$9:S434),""),"")</f>
        <v/>
      </c>
      <c r="M434" s="89">
        <f>IFERROR(IF(A435&lt;&gt;A434,AVERAGEIF(A$9:A434,A434,T$9:T434),""),"")</f>
        <v/>
      </c>
      <c r="N434" s="89">
        <f t="array" ref="N434">IFERROR(IF(A435&lt;&gt;A434,_xlfn.STDEV.P(IF(A$9:A434=A434,T$9:T434)),""),"")</f>
        <v/>
      </c>
      <c r="O434" s="89">
        <f t="array" ref="O434">IFERROR(IF(A435&lt;&gt;A434,_xlfn.STDEV.P(IF(A$9:A434=A434,S$9:S434)),""),"")</f>
        <v/>
      </c>
      <c r="P434" s="90">
        <f>IFERROR(IF(A434&lt;&gt;A435,MAX((((M434*24*60)/2)*(1+POWER((((N434*24*60) / (M434*24*60) )),2))) + ((M434*24*60 )*-0.1 + (K434*0.015)) +1,(((M434*24*60)/2)*(1+POWER((((N434*24*60) / (M434*24*60 ))),2)))),""),"")</f>
        <v/>
      </c>
      <c r="Q434" s="90">
        <f>IF(AND(O434&lt;&gt;"",L434&lt;&gt;""),IF(A434&lt;&gt;A435,((L434*24*60) / 2 ) * (1 + POWER(((O434*24*60) / (L434*24*60)),2)),""),"")</f>
        <v/>
      </c>
      <c r="R434" s="90">
        <f>IF(Q434&lt;&gt;"",MAX(P434,Q434),"")</f>
        <v/>
      </c>
      <c r="S434" s="89">
        <f>IF(I434&lt;&gt;"H. Sale Real",IF(AND(I435&lt;&gt;"",LEFT(C435,2)&lt;&gt;"Va"),IF(AND(I434&lt;&gt;"",LEFT(C434,2)&lt;&gt;"Va",I434&lt;&gt;"H. Sale Real"),IF(I435-I434&lt;0.208333333333333,I435-I434,""),IF(AND(I433&lt;&gt;"",LEFT(C433,2)&lt;&gt;"Va",I433&lt;&gt;"H. Sale Real"),IF(I435-I433&lt;0.208333333333333,I435-I433,""),IF(AND(I432&lt;&gt;"",LEFT(C432,2)&lt;&gt;"Va",I432&lt;&gt;"H. Sale Real"),IF(I435-I432&lt;0.208333333333333,I435-I432,""),IF(AND(I431&lt;&gt;"",LEFT(C431,2)&lt;&gt;"Va",I431&lt;&gt;"H. Sale Real"),IF(I435-I431&lt;0.208333333333333,I435-I431,""),IF(AND(I430&lt;&gt;"",LEFT(C430,2)&lt;&gt;"Va",I430&lt;&gt;"H. Sale Real"),IF(I435-I430&lt;0.208333333333333,I435-I430,""),""))))),""),"")</f>
        <v/>
      </c>
      <c r="T434" s="89">
        <f>IF(G434&lt;&gt;"H. Sale Real",IF(AND(G435&lt;&gt;"",LEFT(C435,2)&lt;&gt;"Va"),IF(AND(G434&lt;&gt;"",LEFT(C434,2)&lt;&gt;"Va",G434&lt;&gt;"H. Sale Real"),IF(G435-G434&lt;0.208333333333333,G435-G434,""),IF(AND(G433&lt;&gt;"",LEFT(C433,2)&lt;&gt;"Va",G433&lt;&gt;"H. Sale Real"),IF(G435-G433&lt;0.208333333333333,G435-G433,""),IF(AND(G432&lt;&gt;"",LEFT(C432,2)&lt;&gt;"Va",G432&lt;&gt;"H. Sale Real"),IF(G435-G432&lt;0.208333333333333,G435-G432,""),IF(AND(G431&lt;&gt;"",LEFT(C431,2)&lt;&gt;"Va",G431&lt;&gt;"H. Sale Real"),IF(G435-G431&lt;0.208333333333333,G435-G431,""),IF(AND(G430&lt;&gt;"",LEFT(C430,2)&lt;&gt;"Va",G430&lt;&gt;"H. Sale Real"),IF(G435-G430&lt;0.208333333333333,G435-G430,""),""))))),""),"")</f>
        <v/>
      </c>
      <c r="U434" s="87" t="n"/>
      <c r="V434" s="89" t="n"/>
      <c r="W434" s="87" t="n"/>
      <c r="X434" s="89" t="n"/>
      <c r="Y434" s="91" t="n"/>
      <c r="Z434" s="122">
        <f>IF(G434&lt;&gt;"",IF(AND(Z433&lt;&gt;"IE",P434&lt;&gt;0,R434&lt;&gt;""),IF(IFERROR((P434/R434),0) &lt;=1,IFERROR(P434/R434,""),1),""),"")</f>
        <v/>
      </c>
      <c r="AA434" s="93" t="n"/>
      <c r="AB434" s="2" t="n"/>
      <c r="AE434" s="10">
        <f>HOUR(AK434)+1</f>
        <v/>
      </c>
      <c r="AF434" s="7" t="n"/>
      <c r="AG434" s="7" t="n"/>
      <c r="AH434" s="86" t="n"/>
      <c r="AI434" s="8" t="n"/>
      <c r="AJ434" s="86" t="n"/>
      <c r="AK434" s="87" t="n"/>
      <c r="AL434" s="88">
        <f>IF(AM434="","",IF(AND((AM434-AK434)&gt;=TIME(0,0,0),(AM434-AK434)&lt;TIME(0,3,0)),"OK",IF(AND((AM434-AK434)&gt;=TIME(0,3,0),(AM434-AK434)&lt;TIME(0,5,0)),"RETRASO DE 3-5 MIN",IF(AND((AM434-AK434)&gt;=TIME(0,5,0),(AM434-AK434)&lt;TIME(0,10,0)),"RETRASO DE 5-10 MIN",IF((AM434-AK434)&gt;=TIME(0,10,0),"RETRASO &gt;10 MIN", IF(AND((AK434-AM434)&gt;=TIME(0,0,0),(AK434-AM434)&lt;TIME(0,3,0)),"OK",IF((AK434-AM434)&gt;=TIME(0,3,0),"ADELANTADO")))))))</f>
        <v/>
      </c>
      <c r="AM434" s="91" t="n"/>
      <c r="AN434" s="89">
        <f>IF(AE434&lt;&gt;"",HLOOKUP(VALUE(TEXT(AK434,"h:mm:ss")),IF($C$6="Laboral",$FZ$4:$GX$227,IF($C$6="Sábado",$FZ$231:$GX$452,$FZ$456:$GX$656)),VLOOKUP($C$4,$HF$2:$HH$99,3,0)+IF(AG$5="Ida",0,1),1),"")</f>
        <v/>
      </c>
      <c r="AO434" s="89">
        <f>IF(AE435&lt;&gt;AE434,AVERAGEIF(AE$9:AE434,AE434,AN$9:AN434),"")</f>
        <v/>
      </c>
      <c r="AP434" s="89">
        <f>IFERROR(IF(AE435&lt;&gt;AE434,AVERAGEIF(AE$9:AE434,AE434,AW$9:AW434),""),"")</f>
        <v/>
      </c>
      <c r="AQ434" s="89">
        <f>IFERROR(IF(AE435&lt;&gt;AE434,AVERAGEIF(AE$9:AE434,AE434,AX$9:AX434),""),"")</f>
        <v/>
      </c>
      <c r="AR434" s="89">
        <f t="array" ref="AR434">IFERROR(IF(AE435&lt;&gt;AE434,_xlfn.STDEV.P(IF(AE$9:AE434=AE434,AX$9:AX434)),""),"")</f>
        <v/>
      </c>
      <c r="AS434" s="89">
        <f t="array" ref="AS434">IFERROR(IF(AE435&lt;&gt;AE434,_xlfn.STDEV.P(IF(AE$9:AE434=AE434,AW$9:AW434)),""),"")</f>
        <v/>
      </c>
      <c r="AT434" s="90">
        <f>IFERROR(IF(AE434&lt;&gt;AE435,MAX((((AQ434*24*60)/2)*(1+POWER((((AR434*24*60) / (AQ434*24*60) )),2))) + ((AQ434*24*60 )*-0.1 + (AO434*0.015)) +1,(((AQ434*24*60)/2)*(1+POWER((((AR434*24*60) / (AQ434*24*60 ))),2)))),""),"")</f>
        <v/>
      </c>
      <c r="AU434" s="90">
        <f>IF(AND(AS434&lt;&gt;"",AP434&lt;&gt;""),IF(AE434&lt;&gt;AE435,((AP434*24*60) / 2 ) * (1 + POWER(((AS434*24*60) / (AP434*24*60)),2)),""),"")</f>
        <v/>
      </c>
      <c r="AV434" s="90">
        <f>IF(AU434&lt;&gt;"",MAX(AT434,AU434),"")</f>
        <v/>
      </c>
      <c r="AW434" s="89">
        <f>IF(AM434&lt;&gt;"H. Sale Real",IF(AND(AM435&lt;&gt;"",LEFT(AG435,2)&lt;&gt;"Va"),IF(AND(AM434&lt;&gt;"",LEFT(AG434,2)&lt;&gt;"Va",AM434&lt;&gt;"H. Sale Real"),IF(AM435-AM434&lt;0.208333333333333,AM435-AM434,""),IF(AND(AM433&lt;&gt;"",LEFT(AG433,2)&lt;&gt;"Va",AM433&lt;&gt;"H. Sale Real"),IF(AM435-AM433&lt;0.208333333333333,AM435-AM433,""),IF(AND(AM432&lt;&gt;"",LEFT(AG432,2)&lt;&gt;"Va",AM432&lt;&gt;"H. Sale Real"),IF(AM435-AM432&lt;0.208333333333333,AM435-AM432,""),IF(AND(AM431&lt;&gt;"",LEFT(AG431,2)&lt;&gt;"Va",AM431&lt;&gt;"H. Sale Real"),IF(AM435-AM431&lt;0.208333333333333,AM435-AM431,""),IF(AND(AM430&lt;&gt;"",LEFT(AG430,2)&lt;&gt;"Va",AM430&lt;&gt;"H. Sale Real"),IF(AM435-AM430&lt;0.208333333333333,AM435-AM430,""),""))))),""),"")</f>
        <v/>
      </c>
      <c r="AX434" s="89">
        <f>IF(AK434&lt;&gt;"H. Sale Real",IF(AND(AK435&lt;&gt;"",LEFT(AG435,2)&lt;&gt;"Va"),IF(AND(AK434&lt;&gt;"",LEFT(AG434,2)&lt;&gt;"Va",AK434&lt;&gt;"H. Sale Real"),IF(AK435-AK434&lt;0.208333333333333,AK435-AK434,""),IF(AND(AK433&lt;&gt;"",LEFT(AG433,2)&lt;&gt;"Va",AK433&lt;&gt;"H. Sale Real"),IF(AK435-AK433&lt;0.208333333333333,AK435-AK433,""),IF(AND(AK432&lt;&gt;"",LEFT(AG432,2)&lt;&gt;"NC",AK432&lt;&gt;"H. Sale Real"),IF(AK435-AK432&lt;0.208333333333333,AK435-AK432,""),IF(AND(AK431&lt;&gt;"",LEFT(AG431,2)&lt;&gt;"Va",AK431&lt;&gt;"H. Sale Real"),IF(AK435-AK431&lt;0.208333333333333,AK435-AK431,""),IF(AND(AK430&lt;&gt;"",LEFT(AG430,2)&lt;&gt;"Va",AK430&lt;&gt;"H. Sale Real"),IF(AK435-AK430&lt;0.208333333333333,AK435-AK430,""),""))))),""),"")</f>
        <v/>
      </c>
      <c r="AY434" s="87" t="n"/>
      <c r="AZ434" s="89" t="n"/>
      <c r="BA434" s="87" t="n"/>
      <c r="BB434" s="89" t="n"/>
      <c r="BC434" s="91" t="n"/>
      <c r="BD434" s="122">
        <f>IF(AK434&lt;&gt;"",IF(AND(BD433&lt;&gt;"IE",AT434&lt;&gt;0,AV434&lt;&gt;""),IF(IFERROR((AT434/AV434),0) &lt;=1,IFERROR(AT434/AV434,""),1),""),"")</f>
        <v/>
      </c>
      <c r="BE434" s="93" t="n"/>
      <c r="BF434" s="105" t="n"/>
      <c r="FC434" t="inlineStr">
        <is>
          <t>Diccionario 1</t>
        </is>
      </c>
      <c r="FD434" s="15" t="inlineStr"/>
      <c r="FE434" s="15" t="inlineStr">
        <is>
          <t>LDYECS833S0045627</t>
        </is>
      </c>
      <c r="FF434" s="15" t="inlineStr">
        <is>
          <t>MJJ20025010013</t>
        </is>
      </c>
      <c r="FG434" s="15" t="inlineStr">
        <is>
          <t>Zhong Tong</t>
        </is>
      </c>
      <c r="FH434" s="15" t="inlineStr">
        <is>
          <t>LCK6850evg</t>
        </is>
      </c>
      <c r="FI434" s="15" t="inlineStr">
        <is>
          <t>ZHONGTONG</t>
        </is>
      </c>
      <c r="FJ434" s="15" t="inlineStr">
        <is>
          <t>LCK6850evg</t>
        </is>
      </c>
      <c r="FK434" s="15" t="n">
        <v>2025</v>
      </c>
      <c r="FL434" s="15" t="inlineStr">
        <is>
          <t>A</t>
        </is>
      </c>
      <c r="FM434" s="15" t="inlineStr">
        <is>
          <t>CERRILLOS</t>
        </is>
      </c>
      <c r="FN434" s="15" t="inlineStr">
        <is>
          <t>Calle Uno 7371</t>
        </is>
      </c>
      <c r="FO434" s="15" t="inlineStr">
        <is>
          <t>Cerrillos</t>
        </is>
      </c>
      <c r="FP434" t="inlineStr">
        <is>
          <t>A</t>
        </is>
      </c>
      <c r="FS434" s="14" t="inlineStr">
        <is>
          <t>7747 / GCBC-34|</t>
        </is>
      </c>
      <c r="FT434" t="inlineStr">
        <is>
          <t>GCBC-34|</t>
        </is>
      </c>
      <c r="FU434" t="inlineStr">
        <is>
          <t>GCBC-34</t>
        </is>
      </c>
      <c r="FV434">
        <f>VLOOKUP(FU434,FD:FL,9,0)</f>
        <v/>
      </c>
      <c r="HB434" s="35" t="n">
        <v>428</v>
      </c>
    </row>
    <row r="435" ht="15.5" customHeight="1">
      <c r="A435" s="10">
        <f>HOUR(G435)+1</f>
        <v/>
      </c>
      <c r="B435" s="7" t="n"/>
      <c r="C435" s="7" t="n"/>
      <c r="D435" s="85">
        <f>IFERROR(
IF(AND(OR(Planilla!B435="C",Planilla!B435="c"), VLOOKUP(E435,FD:FP,13,0)="C"), "OK",IF(AND(OR(Planilla!B435="C",Planilla!B435="c"), OR(VLOOKUP(E435,FD:FP,13,0)="B", VLOOKUP(E435,FD:FP,13,0)="A")), "DEFICIT",IF(
AND(OR(Planilla!B435="B", Planilla!B435="BPAL"), VLOOKUP(E435,FD:FP,13,0)="B"), "OK",IF(AND(OR(Planilla!B435="B", Planilla!B435="BPAL"), VLOOKUP(E435,FD:FP,13,0)="A"), "DEFICIT",IF(AND(OR(Planilla!B435="B", Planilla!B435="BPAL"), VLOOKUP(E435,FD:FP,13,0)="C"), "SOBREOFERTA",IF(AND(Planilla!B435="A", VLOOKUP(E435,FD:FP,13,0)="A"), "OK",IF(
AND(Planilla!B435="A", OR(VLOOKUP(E435,FD:FP,13,0)="B", VLOOKUP(E435,FD:FP,13,0)="C")), "SOBREOFERTA",""
))))))),"")</f>
        <v/>
      </c>
      <c r="E435" s="8" t="n"/>
      <c r="F435" s="86" t="n"/>
      <c r="G435" s="87" t="n"/>
      <c r="H435" s="88">
        <f>IF(I435="","",IF(AND((I435-G435)&gt;=TIME(0,0,0),(I435-G435)&lt;TIME(0,3,0)),"OK",IF(AND((I435-G435)&gt;=TIME(0,3,0),(I435-G435)&lt;TIME(0,5,0)),"RETRASO DE 3-5 MIN",IF(AND((I435-G435)&gt;=TIME(0,5,0),(I435-G435)&lt;TIME(0,10,0)),"RETRASO DE 5-10 MIN",IF((I435-G435)&gt;=TIME(0,10,0),"RETRASO &gt;10 MIN", IF(AND((G435-I435)&gt;=TIME(0,0,0),(G435-I435)&lt;TIME(0,3,0)),"OK",IF((G435-I435)&gt;=TIME(0,3,0),"ADELANTADO")))))))</f>
        <v/>
      </c>
      <c r="I435" s="89" t="n"/>
      <c r="J435" s="89">
        <f>IF(A435&lt;&gt;"",HLOOKUP(VALUE(TEXT(G435,"h:mm:ss")),IF($C$6="Laboral",$FZ$4:$GX$227,IF($C$6="Sábado",$FZ$231:$GX$452,$FZ$456:$GX$656)),VLOOKUP($C$4,$HF$2:$HH$99,3,0)+IF(C$5="Ida",0,1),1),"")</f>
        <v/>
      </c>
      <c r="K435" s="89">
        <f>IF(A436&lt;&gt;A435,AVERAGEIF(A$9:A435,A435,J$9:J435),"")</f>
        <v/>
      </c>
      <c r="L435" s="89">
        <f>IFERROR(IF(A436&lt;&gt;A435,AVERAGEIF(A$9:A435,A435,S$9:S435),""),"")</f>
        <v/>
      </c>
      <c r="M435" s="89">
        <f>IFERROR(IF(A436&lt;&gt;A435,AVERAGEIF(A$9:A435,A435,T$9:T435),""),"")</f>
        <v/>
      </c>
      <c r="N435" s="89">
        <f t="array" ref="N435">IFERROR(IF(A436&lt;&gt;A435,_xlfn.STDEV.P(IF(A$9:A435=A435,T$9:T435)),""),"")</f>
        <v/>
      </c>
      <c r="O435" s="89">
        <f t="array" ref="O435">IFERROR(IF(A436&lt;&gt;A435,_xlfn.STDEV.P(IF(A$9:A435=A435,S$9:S435)),""),"")</f>
        <v/>
      </c>
      <c r="P435" s="90">
        <f>IFERROR(IF(A435&lt;&gt;A436,MAX((((M435*24*60)/2)*(1+POWER((((N435*24*60) / (M435*24*60) )),2))) + ((M435*24*60 )*-0.1 + (K435*0.015)) +1,(((M435*24*60)/2)*(1+POWER((((N435*24*60) / (M435*24*60 ))),2)))),""),"")</f>
        <v/>
      </c>
      <c r="Q435" s="90">
        <f>IF(AND(O435&lt;&gt;"",L435&lt;&gt;""),IF(A435&lt;&gt;A436,((L435*24*60) / 2 ) * (1 + POWER(((O435*24*60) / (L435*24*60)),2)),""),"")</f>
        <v/>
      </c>
      <c r="R435" s="90">
        <f>IF(Q435&lt;&gt;"",MAX(P435,Q435),"")</f>
        <v/>
      </c>
      <c r="S435" s="89">
        <f>IF(I435&lt;&gt;"H. Sale Real",IF(AND(I436&lt;&gt;"",LEFT(C436,2)&lt;&gt;"Va"),IF(AND(I435&lt;&gt;"",LEFT(C435,2)&lt;&gt;"Va",I435&lt;&gt;"H. Sale Real"),IF(I436-I435&lt;0.208333333333333,I436-I435,""),IF(AND(I434&lt;&gt;"",LEFT(C434,2)&lt;&gt;"Va",I434&lt;&gt;"H. Sale Real"),IF(I436-I434&lt;0.208333333333333,I436-I434,""),IF(AND(I433&lt;&gt;"",LEFT(C433,2)&lt;&gt;"Va",I433&lt;&gt;"H. Sale Real"),IF(I436-I433&lt;0.208333333333333,I436-I433,""),IF(AND(I432&lt;&gt;"",LEFT(C432,2)&lt;&gt;"Va",I432&lt;&gt;"H. Sale Real"),IF(I436-I432&lt;0.208333333333333,I436-I432,""),IF(AND(I431&lt;&gt;"",LEFT(C431,2)&lt;&gt;"Va",I431&lt;&gt;"H. Sale Real"),IF(I436-I431&lt;0.208333333333333,I436-I431,""),""))))),""),"")</f>
        <v/>
      </c>
      <c r="T435" s="89">
        <f>IF(G435&lt;&gt;"H. Sale Real",IF(AND(G436&lt;&gt;"",LEFT(C436,2)&lt;&gt;"Va"),IF(AND(G435&lt;&gt;"",LEFT(C435,2)&lt;&gt;"Va",G435&lt;&gt;"H. Sale Real"),IF(G436-G435&lt;0.208333333333333,G436-G435,""),IF(AND(G434&lt;&gt;"",LEFT(C434,2)&lt;&gt;"Va",G434&lt;&gt;"H. Sale Real"),IF(G436-G434&lt;0.208333333333333,G436-G434,""),IF(AND(G433&lt;&gt;"",LEFT(C433,2)&lt;&gt;"Va",G433&lt;&gt;"H. Sale Real"),IF(G436-G433&lt;0.208333333333333,G436-G433,""),IF(AND(G432&lt;&gt;"",LEFT(C432,2)&lt;&gt;"Va",G432&lt;&gt;"H. Sale Real"),IF(G436-G432&lt;0.208333333333333,G436-G432,""),IF(AND(G431&lt;&gt;"",LEFT(C431,2)&lt;&gt;"Va",G431&lt;&gt;"H. Sale Real"),IF(G436-G431&lt;0.208333333333333,G436-G431,""),""))))),""),"")</f>
        <v/>
      </c>
      <c r="U435" s="87" t="n"/>
      <c r="V435" s="89" t="n"/>
      <c r="W435" s="87" t="n"/>
      <c r="X435" s="89" t="n"/>
      <c r="Y435" s="91" t="n"/>
      <c r="Z435" s="122">
        <f>IF(G435&lt;&gt;"",IF(AND(Z434&lt;&gt;"IE",P435&lt;&gt;0,R435&lt;&gt;""),IF(IFERROR((P435/R435),0) &lt;=1,IFERROR(P435/R435,""),1),""),"")</f>
        <v/>
      </c>
      <c r="AA435" s="93" t="n"/>
      <c r="AB435" s="2" t="n"/>
      <c r="AE435" s="10">
        <f>HOUR(AK435)+1</f>
        <v/>
      </c>
      <c r="AF435" s="7" t="n"/>
      <c r="AG435" s="7" t="n"/>
      <c r="AH435" s="86" t="n"/>
      <c r="AI435" s="8" t="n"/>
      <c r="AJ435" s="86" t="n"/>
      <c r="AK435" s="87" t="n"/>
      <c r="AL435" s="88">
        <f>IF(AM435="","",IF(AND((AM435-AK435)&gt;=TIME(0,0,0),(AM435-AK435)&lt;TIME(0,3,0)),"OK",IF(AND((AM435-AK435)&gt;=TIME(0,3,0),(AM435-AK435)&lt;TIME(0,5,0)),"RETRASO DE 3-5 MIN",IF(AND((AM435-AK435)&gt;=TIME(0,5,0),(AM435-AK435)&lt;TIME(0,10,0)),"RETRASO DE 5-10 MIN",IF((AM435-AK435)&gt;=TIME(0,10,0),"RETRASO &gt;10 MIN", IF(AND((AK435-AM435)&gt;=TIME(0,0,0),(AK435-AM435)&lt;TIME(0,3,0)),"OK",IF((AK435-AM435)&gt;=TIME(0,3,0),"ADELANTADO")))))))</f>
        <v/>
      </c>
      <c r="AM435" s="91" t="n"/>
      <c r="AN435" s="89">
        <f>IF(AE435&lt;&gt;"",HLOOKUP(VALUE(TEXT(AK435,"h:mm:ss")),IF($C$6="Laboral",$FZ$4:$GX$227,IF($C$6="Sábado",$FZ$231:$GX$452,$FZ$456:$GX$656)),VLOOKUP($C$4,$HF$2:$HH$99,3,0)+IF(AG$5="Ida",0,1),1),"")</f>
        <v/>
      </c>
      <c r="AO435" s="89">
        <f>IF(AE436&lt;&gt;AE435,AVERAGEIF(AE$9:AE435,AE435,AN$9:AN435),"")</f>
        <v/>
      </c>
      <c r="AP435" s="89">
        <f>IFERROR(IF(AE436&lt;&gt;AE435,AVERAGEIF(AE$9:AE435,AE435,AW$9:AW435),""),"")</f>
        <v/>
      </c>
      <c r="AQ435" s="89">
        <f>IFERROR(IF(AE436&lt;&gt;AE435,AVERAGEIF(AE$9:AE435,AE435,AX$9:AX435),""),"")</f>
        <v/>
      </c>
      <c r="AR435" s="89">
        <f t="array" ref="AR435">IFERROR(IF(AE436&lt;&gt;AE435,_xlfn.STDEV.P(IF(AE$9:AE435=AE435,AX$9:AX435)),""),"")</f>
        <v/>
      </c>
      <c r="AS435" s="89">
        <f t="array" ref="AS435">IFERROR(IF(AE436&lt;&gt;AE435,_xlfn.STDEV.P(IF(AE$9:AE435=AE435,AW$9:AW435)),""),"")</f>
        <v/>
      </c>
      <c r="AT435" s="90">
        <f>IFERROR(IF(AE435&lt;&gt;AE436,MAX((((AQ435*24*60)/2)*(1+POWER((((AR435*24*60) / (AQ435*24*60) )),2))) + ((AQ435*24*60 )*-0.1 + (AO435*0.015)) +1,(((AQ435*24*60)/2)*(1+POWER((((AR435*24*60) / (AQ435*24*60 ))),2)))),""),"")</f>
        <v/>
      </c>
      <c r="AU435" s="90">
        <f>IF(AND(AS435&lt;&gt;"",AP435&lt;&gt;""),IF(AE435&lt;&gt;AE436,((AP435*24*60) / 2 ) * (1 + POWER(((AS435*24*60) / (AP435*24*60)),2)),""),"")</f>
        <v/>
      </c>
      <c r="AV435" s="90">
        <f>IF(AU435&lt;&gt;"",MAX(AT435,AU435),"")</f>
        <v/>
      </c>
      <c r="AW435" s="89">
        <f>IF(AM435&lt;&gt;"H. Sale Real",IF(AND(AM436&lt;&gt;"",LEFT(AG436,2)&lt;&gt;"Va"),IF(AND(AM435&lt;&gt;"",LEFT(AG435,2)&lt;&gt;"Va",AM435&lt;&gt;"H. Sale Real"),IF(AM436-AM435&lt;0.208333333333333,AM436-AM435,""),IF(AND(AM434&lt;&gt;"",LEFT(AG434,2)&lt;&gt;"Va",AM434&lt;&gt;"H. Sale Real"),IF(AM436-AM434&lt;0.208333333333333,AM436-AM434,""),IF(AND(AM433&lt;&gt;"",LEFT(AG433,2)&lt;&gt;"Va",AM433&lt;&gt;"H. Sale Real"),IF(AM436-AM433&lt;0.208333333333333,AM436-AM433,""),IF(AND(AM432&lt;&gt;"",LEFT(AG432,2)&lt;&gt;"Va",AM432&lt;&gt;"H. Sale Real"),IF(AM436-AM432&lt;0.208333333333333,AM436-AM432,""),IF(AND(AM431&lt;&gt;"",LEFT(AG431,2)&lt;&gt;"Va",AM431&lt;&gt;"H. Sale Real"),IF(AM436-AM431&lt;0.208333333333333,AM436-AM431,""),""))))),""),"")</f>
        <v/>
      </c>
      <c r="AX435" s="89">
        <f>IF(AK435&lt;&gt;"H. Sale Real",IF(AND(AK436&lt;&gt;"",LEFT(AG436,2)&lt;&gt;"Va"),IF(AND(AK435&lt;&gt;"",LEFT(AG435,2)&lt;&gt;"Va",AK435&lt;&gt;"H. Sale Real"),IF(AK436-AK435&lt;0.208333333333333,AK436-AK435,""),IF(AND(AK434&lt;&gt;"",LEFT(AG434,2)&lt;&gt;"Va",AK434&lt;&gt;"H. Sale Real"),IF(AK436-AK434&lt;0.208333333333333,AK436-AK434,""),IF(AND(AK433&lt;&gt;"",LEFT(AG433,2)&lt;&gt;"NC",AK433&lt;&gt;"H. Sale Real"),IF(AK436-AK433&lt;0.208333333333333,AK436-AK433,""),IF(AND(AK432&lt;&gt;"",LEFT(AG432,2)&lt;&gt;"Va",AK432&lt;&gt;"H. Sale Real"),IF(AK436-AK432&lt;0.208333333333333,AK436-AK432,""),IF(AND(AK431&lt;&gt;"",LEFT(AG431,2)&lt;&gt;"Va",AK431&lt;&gt;"H. Sale Real"),IF(AK436-AK431&lt;0.208333333333333,AK436-AK431,""),""))))),""),"")</f>
        <v/>
      </c>
      <c r="AY435" s="87" t="n"/>
      <c r="AZ435" s="89" t="n"/>
      <c r="BA435" s="87" t="n"/>
      <c r="BB435" s="89" t="n"/>
      <c r="BC435" s="91" t="n"/>
      <c r="BD435" s="122">
        <f>IF(AK435&lt;&gt;"",IF(AND(BD434&lt;&gt;"IE",AT435&lt;&gt;0,AV435&lt;&gt;""),IF(IFERROR((AT435/AV435),0) &lt;=1,IFERROR(AT435/AV435,""),1),""),"")</f>
        <v/>
      </c>
      <c r="BE435" s="93" t="n"/>
      <c r="BF435" s="105" t="n"/>
      <c r="FC435" t="inlineStr">
        <is>
          <t>Diccionario 1</t>
        </is>
      </c>
      <c r="FD435" s="15" t="inlineStr"/>
      <c r="FE435" s="15" t="inlineStr">
        <is>
          <t>LDYECS839S0045633</t>
        </is>
      </c>
      <c r="FF435" s="15" t="inlineStr">
        <is>
          <t>MJJ20025010010</t>
        </is>
      </c>
      <c r="FG435" s="15" t="inlineStr">
        <is>
          <t>Zhong Tong</t>
        </is>
      </c>
      <c r="FH435" s="15" t="inlineStr">
        <is>
          <t>LCK6850evg</t>
        </is>
      </c>
      <c r="FI435" s="15" t="inlineStr">
        <is>
          <t>ZHONGTONG</t>
        </is>
      </c>
      <c r="FJ435" s="15" t="inlineStr">
        <is>
          <t>LCK6850evg</t>
        </is>
      </c>
      <c r="FK435" s="15" t="n">
        <v>2025</v>
      </c>
      <c r="FL435" s="15" t="inlineStr">
        <is>
          <t>A</t>
        </is>
      </c>
      <c r="FM435" s="15" t="inlineStr">
        <is>
          <t>CERRILLOS</t>
        </is>
      </c>
      <c r="FN435" s="15" t="inlineStr">
        <is>
          <t>Calle Uno 7371</t>
        </is>
      </c>
      <c r="FO435" s="15" t="inlineStr">
        <is>
          <t>Cerrillos</t>
        </is>
      </c>
      <c r="FP435" t="inlineStr">
        <is>
          <t>A</t>
        </is>
      </c>
      <c r="FS435" s="14" t="inlineStr">
        <is>
          <t>7747 / GCBC-34|</t>
        </is>
      </c>
      <c r="FT435" t="inlineStr">
        <is>
          <t>GCBC-34|</t>
        </is>
      </c>
      <c r="FU435" t="inlineStr">
        <is>
          <t>GCBC-34</t>
        </is>
      </c>
      <c r="FV435">
        <f>VLOOKUP(FU435,FD:FL,9,0)</f>
        <v/>
      </c>
      <c r="HB435" s="35" t="n">
        <v>429</v>
      </c>
    </row>
    <row r="436" ht="15.5" customHeight="1">
      <c r="A436" s="10">
        <f>HOUR(G436)+1</f>
        <v/>
      </c>
      <c r="B436" s="7" t="n"/>
      <c r="C436" s="7" t="n"/>
      <c r="D436" s="85">
        <f>IFERROR(
IF(AND(OR(Planilla!B436="C",Planilla!B436="c"), VLOOKUP(E436,FD:FP,13,0)="C"), "OK",IF(AND(OR(Planilla!B436="C",Planilla!B436="c"), OR(VLOOKUP(E436,FD:FP,13,0)="B", VLOOKUP(E436,FD:FP,13,0)="A")), "DEFICIT",IF(
AND(OR(Planilla!B436="B", Planilla!B436="BPAL"), VLOOKUP(E436,FD:FP,13,0)="B"), "OK",IF(AND(OR(Planilla!B436="B", Planilla!B436="BPAL"), VLOOKUP(E436,FD:FP,13,0)="A"), "DEFICIT",IF(AND(OR(Planilla!B436="B", Planilla!B436="BPAL"), VLOOKUP(E436,FD:FP,13,0)="C"), "SOBREOFERTA",IF(AND(Planilla!B436="A", VLOOKUP(E436,FD:FP,13,0)="A"), "OK",IF(
AND(Planilla!B436="A", OR(VLOOKUP(E436,FD:FP,13,0)="B", VLOOKUP(E436,FD:FP,13,0)="C")), "SOBREOFERTA",""
))))))),"")</f>
        <v/>
      </c>
      <c r="E436" s="8" t="n"/>
      <c r="F436" s="86" t="n"/>
      <c r="G436" s="87" t="n"/>
      <c r="H436" s="88">
        <f>IF(I436="","",IF(AND((I436-G436)&gt;=TIME(0,0,0),(I436-G436)&lt;TIME(0,3,0)),"OK",IF(AND((I436-G436)&gt;=TIME(0,3,0),(I436-G436)&lt;TIME(0,5,0)),"RETRASO DE 3-5 MIN",IF(AND((I436-G436)&gt;=TIME(0,5,0),(I436-G436)&lt;TIME(0,10,0)),"RETRASO DE 5-10 MIN",IF((I436-G436)&gt;=TIME(0,10,0),"RETRASO &gt;10 MIN", IF(AND((G436-I436)&gt;=TIME(0,0,0),(G436-I436)&lt;TIME(0,3,0)),"OK",IF((G436-I436)&gt;=TIME(0,3,0),"ADELANTADO")))))))</f>
        <v/>
      </c>
      <c r="I436" s="89" t="n"/>
      <c r="J436" s="89">
        <f>IF(A436&lt;&gt;"",HLOOKUP(VALUE(TEXT(G436,"h:mm:ss")),IF($C$6="Laboral",$FZ$4:$GX$227,IF($C$6="Sábado",$FZ$231:$GX$452,$FZ$456:$GX$656)),VLOOKUP($C$4,$HF$2:$HH$99,3,0)+IF(C$5="Ida",0,1),1),"")</f>
        <v/>
      </c>
      <c r="K436" s="89">
        <f>IF(A437&lt;&gt;A436,AVERAGEIF(A$9:A436,A436,J$9:J436),"")</f>
        <v/>
      </c>
      <c r="L436" s="89">
        <f>IFERROR(IF(A437&lt;&gt;A436,AVERAGEIF(A$9:A436,A436,S$9:S436),""),"")</f>
        <v/>
      </c>
      <c r="M436" s="89">
        <f>IFERROR(IF(A437&lt;&gt;A436,AVERAGEIF(A$9:A436,A436,T$9:T436),""),"")</f>
        <v/>
      </c>
      <c r="N436" s="89">
        <f t="array" ref="N436">IFERROR(IF(A437&lt;&gt;A436,_xlfn.STDEV.P(IF(A$9:A436=A436,T$9:T436)),""),"")</f>
        <v/>
      </c>
      <c r="O436" s="89">
        <f t="array" ref="O436">IFERROR(IF(A437&lt;&gt;A436,_xlfn.STDEV.P(IF(A$9:A436=A436,S$9:S436)),""),"")</f>
        <v/>
      </c>
      <c r="P436" s="90">
        <f>IFERROR(IF(A436&lt;&gt;A437,MAX((((M436*24*60)/2)*(1+POWER((((N436*24*60) / (M436*24*60) )),2))) + ((M436*24*60 )*-0.1 + (K436*0.015)) +1,(((M436*24*60)/2)*(1+POWER((((N436*24*60) / (M436*24*60 ))),2)))),""),"")</f>
        <v/>
      </c>
      <c r="Q436" s="90">
        <f>IF(AND(O436&lt;&gt;"",L436&lt;&gt;""),IF(A436&lt;&gt;A437,((L436*24*60) / 2 ) * (1 + POWER(((O436*24*60) / (L436*24*60)),2)),""),"")</f>
        <v/>
      </c>
      <c r="R436" s="90">
        <f>IF(Q436&lt;&gt;"",MAX(P436,Q436),"")</f>
        <v/>
      </c>
      <c r="S436" s="89">
        <f>IF(I436&lt;&gt;"H. Sale Real",IF(AND(I437&lt;&gt;"",LEFT(C437,2)&lt;&gt;"Va"),IF(AND(I436&lt;&gt;"",LEFT(C436,2)&lt;&gt;"Va",I436&lt;&gt;"H. Sale Real"),IF(I437-I436&lt;0.208333333333333,I437-I436,""),IF(AND(I435&lt;&gt;"",LEFT(C435,2)&lt;&gt;"Va",I435&lt;&gt;"H. Sale Real"),IF(I437-I435&lt;0.208333333333333,I437-I435,""),IF(AND(I434&lt;&gt;"",LEFT(C434,2)&lt;&gt;"Va",I434&lt;&gt;"H. Sale Real"),IF(I437-I434&lt;0.208333333333333,I437-I434,""),IF(AND(I433&lt;&gt;"",LEFT(C433,2)&lt;&gt;"Va",I433&lt;&gt;"H. Sale Real"),IF(I437-I433&lt;0.208333333333333,I437-I433,""),IF(AND(I432&lt;&gt;"",LEFT(C432,2)&lt;&gt;"Va",I432&lt;&gt;"H. Sale Real"),IF(I437-I432&lt;0.208333333333333,I437-I432,""),""))))),""),"")</f>
        <v/>
      </c>
      <c r="T436" s="89">
        <f>IF(G436&lt;&gt;"H. Sale Real",IF(AND(G437&lt;&gt;"",LEFT(C437,2)&lt;&gt;"Va"),IF(AND(G436&lt;&gt;"",LEFT(C436,2)&lt;&gt;"Va",G436&lt;&gt;"H. Sale Real"),IF(G437-G436&lt;0.208333333333333,G437-G436,""),IF(AND(G435&lt;&gt;"",LEFT(C435,2)&lt;&gt;"Va",G435&lt;&gt;"H. Sale Real"),IF(G437-G435&lt;0.208333333333333,G437-G435,""),IF(AND(G434&lt;&gt;"",LEFT(C434,2)&lt;&gt;"Va",G434&lt;&gt;"H. Sale Real"),IF(G437-G434&lt;0.208333333333333,G437-G434,""),IF(AND(G433&lt;&gt;"",LEFT(C433,2)&lt;&gt;"Va",G433&lt;&gt;"H. Sale Real"),IF(G437-G433&lt;0.208333333333333,G437-G433,""),IF(AND(G432&lt;&gt;"",LEFT(C432,2)&lt;&gt;"Va",G432&lt;&gt;"H. Sale Real"),IF(G437-G432&lt;0.208333333333333,G437-G432,""),""))))),""),"")</f>
        <v/>
      </c>
      <c r="U436" s="87" t="n"/>
      <c r="V436" s="89" t="n"/>
      <c r="W436" s="87" t="n"/>
      <c r="X436" s="89" t="n"/>
      <c r="Y436" s="91" t="n"/>
      <c r="Z436" s="122">
        <f>IF(G436&lt;&gt;"",IF(AND(Z435&lt;&gt;"IE",P436&lt;&gt;0,R436&lt;&gt;""),IF(IFERROR((P436/R436),0) &lt;=1,IFERROR(P436/R436,""),1),""),"")</f>
        <v/>
      </c>
      <c r="AA436" s="93" t="n"/>
      <c r="AB436" s="2" t="n"/>
      <c r="AE436" s="10">
        <f>HOUR(AK436)+1</f>
        <v/>
      </c>
      <c r="AF436" s="7" t="n"/>
      <c r="AG436" s="7" t="n"/>
      <c r="AH436" s="86" t="n"/>
      <c r="AI436" s="8" t="n"/>
      <c r="AJ436" s="86" t="n"/>
      <c r="AK436" s="87" t="n"/>
      <c r="AL436" s="88">
        <f>IF(AM436="","",IF(AND((AM436-AK436)&gt;=TIME(0,0,0),(AM436-AK436)&lt;TIME(0,3,0)),"OK",IF(AND((AM436-AK436)&gt;=TIME(0,3,0),(AM436-AK436)&lt;TIME(0,5,0)),"RETRASO DE 3-5 MIN",IF(AND((AM436-AK436)&gt;=TIME(0,5,0),(AM436-AK436)&lt;TIME(0,10,0)),"RETRASO DE 5-10 MIN",IF((AM436-AK436)&gt;=TIME(0,10,0),"RETRASO &gt;10 MIN", IF(AND((AK436-AM436)&gt;=TIME(0,0,0),(AK436-AM436)&lt;TIME(0,3,0)),"OK",IF((AK436-AM436)&gt;=TIME(0,3,0),"ADELANTADO")))))))</f>
        <v/>
      </c>
      <c r="AM436" s="91" t="n"/>
      <c r="AN436" s="89">
        <f>IF(AE436&lt;&gt;"",HLOOKUP(VALUE(TEXT(AK436,"h:mm:ss")),IF($C$6="Laboral",$FZ$4:$GX$227,IF($C$6="Sábado",$FZ$231:$GX$452,$FZ$456:$GX$656)),VLOOKUP($C$4,$HF$2:$HH$99,3,0)+IF(AG$5="Ida",0,1),1),"")</f>
        <v/>
      </c>
      <c r="AO436" s="89">
        <f>IF(AE437&lt;&gt;AE436,AVERAGEIF(AE$9:AE436,AE436,AN$9:AN436),"")</f>
        <v/>
      </c>
      <c r="AP436" s="89">
        <f>IFERROR(IF(AE437&lt;&gt;AE436,AVERAGEIF(AE$9:AE436,AE436,AW$9:AW436),""),"")</f>
        <v/>
      </c>
      <c r="AQ436" s="89">
        <f>IFERROR(IF(AE437&lt;&gt;AE436,AVERAGEIF(AE$9:AE436,AE436,AX$9:AX436),""),"")</f>
        <v/>
      </c>
      <c r="AR436" s="89">
        <f t="array" ref="AR436">IFERROR(IF(AE437&lt;&gt;AE436,_xlfn.STDEV.P(IF(AE$9:AE436=AE436,AX$9:AX436)),""),"")</f>
        <v/>
      </c>
      <c r="AS436" s="89">
        <f t="array" ref="AS436">IFERROR(IF(AE437&lt;&gt;AE436,_xlfn.STDEV.P(IF(AE$9:AE436=AE436,AW$9:AW436)),""),"")</f>
        <v/>
      </c>
      <c r="AT436" s="90">
        <f>IFERROR(IF(AE436&lt;&gt;AE437,MAX((((AQ436*24*60)/2)*(1+POWER((((AR436*24*60) / (AQ436*24*60) )),2))) + ((AQ436*24*60 )*-0.1 + (AO436*0.015)) +1,(((AQ436*24*60)/2)*(1+POWER((((AR436*24*60) / (AQ436*24*60 ))),2)))),""),"")</f>
        <v/>
      </c>
      <c r="AU436" s="90">
        <f>IF(AND(AS436&lt;&gt;"",AP436&lt;&gt;""),IF(AE436&lt;&gt;AE437,((AP436*24*60) / 2 ) * (1 + POWER(((AS436*24*60) / (AP436*24*60)),2)),""),"")</f>
        <v/>
      </c>
      <c r="AV436" s="90">
        <f>IF(AU436&lt;&gt;"",MAX(AT436,AU436),"")</f>
        <v/>
      </c>
      <c r="AW436" s="89">
        <f>IF(AM436&lt;&gt;"H. Sale Real",IF(AND(AM437&lt;&gt;"",LEFT(AG437,2)&lt;&gt;"Va"),IF(AND(AM436&lt;&gt;"",LEFT(AG436,2)&lt;&gt;"Va",AM436&lt;&gt;"H. Sale Real"),IF(AM437-AM436&lt;0.208333333333333,AM437-AM436,""),IF(AND(AM435&lt;&gt;"",LEFT(AG435,2)&lt;&gt;"Va",AM435&lt;&gt;"H. Sale Real"),IF(AM437-AM435&lt;0.208333333333333,AM437-AM435,""),IF(AND(AM434&lt;&gt;"",LEFT(AG434,2)&lt;&gt;"Va",AM434&lt;&gt;"H. Sale Real"),IF(AM437-AM434&lt;0.208333333333333,AM437-AM434,""),IF(AND(AM433&lt;&gt;"",LEFT(AG433,2)&lt;&gt;"Va",AM433&lt;&gt;"H. Sale Real"),IF(AM437-AM433&lt;0.208333333333333,AM437-AM433,""),IF(AND(AM432&lt;&gt;"",LEFT(AG432,2)&lt;&gt;"Va",AM432&lt;&gt;"H. Sale Real"),IF(AM437-AM432&lt;0.208333333333333,AM437-AM432,""),""))))),""),"")</f>
        <v/>
      </c>
      <c r="AX436" s="89">
        <f>IF(AK436&lt;&gt;"H. Sale Real",IF(AND(AK437&lt;&gt;"",LEFT(AG437,2)&lt;&gt;"Va"),IF(AND(AK436&lt;&gt;"",LEFT(AG436,2)&lt;&gt;"Va",AK436&lt;&gt;"H. Sale Real"),IF(AK437-AK436&lt;0.208333333333333,AK437-AK436,""),IF(AND(AK435&lt;&gt;"",LEFT(AG435,2)&lt;&gt;"Va",AK435&lt;&gt;"H. Sale Real"),IF(AK437-AK435&lt;0.208333333333333,AK437-AK435,""),IF(AND(AK434&lt;&gt;"",LEFT(AG434,2)&lt;&gt;"NC",AK434&lt;&gt;"H. Sale Real"),IF(AK437-AK434&lt;0.208333333333333,AK437-AK434,""),IF(AND(AK433&lt;&gt;"",LEFT(AG433,2)&lt;&gt;"Va",AK433&lt;&gt;"H. Sale Real"),IF(AK437-AK433&lt;0.208333333333333,AK437-AK433,""),IF(AND(AK432&lt;&gt;"",LEFT(AG432,2)&lt;&gt;"Va",AK432&lt;&gt;"H. Sale Real"),IF(AK437-AK432&lt;0.208333333333333,AK437-AK432,""),""))))),""),"")</f>
        <v/>
      </c>
      <c r="AY436" s="87" t="n"/>
      <c r="AZ436" s="89" t="n"/>
      <c r="BA436" s="87" t="n"/>
      <c r="BB436" s="89" t="n"/>
      <c r="BC436" s="91" t="n"/>
      <c r="BD436" s="122">
        <f>IF(AK436&lt;&gt;"",IF(AND(BD435&lt;&gt;"IE",AT436&lt;&gt;0,AV436&lt;&gt;""),IF(IFERROR((AT436/AV436),0) &lt;=1,IFERROR(AT436/AV436,""),1),""),"")</f>
        <v/>
      </c>
      <c r="BE436" s="93" t="n"/>
      <c r="BF436" s="105" t="n"/>
      <c r="FC436" t="inlineStr">
        <is>
          <t>Diccionario 1</t>
        </is>
      </c>
      <c r="FD436" s="15" t="inlineStr"/>
      <c r="FE436" s="15" t="inlineStr">
        <is>
          <t>LDYECS830S0045648</t>
        </is>
      </c>
      <c r="FF436" s="15" t="inlineStr">
        <is>
          <t>MJJ20025010016</t>
        </is>
      </c>
      <c r="FG436" s="15" t="inlineStr">
        <is>
          <t>Zhong Tong</t>
        </is>
      </c>
      <c r="FH436" s="15" t="inlineStr">
        <is>
          <t>LCK6850evg</t>
        </is>
      </c>
      <c r="FI436" s="15" t="inlineStr">
        <is>
          <t>ZHONGTONG</t>
        </is>
      </c>
      <c r="FJ436" s="15" t="inlineStr">
        <is>
          <t>LCK6850evg</t>
        </is>
      </c>
      <c r="FK436" s="15" t="n">
        <v>2025</v>
      </c>
      <c r="FL436" s="15" t="inlineStr">
        <is>
          <t>A</t>
        </is>
      </c>
      <c r="FM436" s="15" t="inlineStr">
        <is>
          <t>CERRILLOS</t>
        </is>
      </c>
      <c r="FN436" s="15" t="inlineStr">
        <is>
          <t>Calle Uno 7371</t>
        </is>
      </c>
      <c r="FO436" s="15" t="inlineStr">
        <is>
          <t>Cerrillos</t>
        </is>
      </c>
      <c r="FP436" t="inlineStr">
        <is>
          <t>A</t>
        </is>
      </c>
      <c r="FS436" s="14" t="inlineStr">
        <is>
          <t>9925 / SXKV-97|</t>
        </is>
      </c>
      <c r="FT436" t="inlineStr">
        <is>
          <t>SXKV-97|</t>
        </is>
      </c>
      <c r="FU436" t="inlineStr">
        <is>
          <t>SXKV-97</t>
        </is>
      </c>
      <c r="FV436">
        <f>VLOOKUP(FU436,FD:FL,9,0)</f>
        <v/>
      </c>
      <c r="HB436" s="35" t="n">
        <v>430</v>
      </c>
    </row>
    <row r="437" ht="15.5" customHeight="1">
      <c r="A437" s="10">
        <f>HOUR(G437)+1</f>
        <v/>
      </c>
      <c r="B437" s="7" t="n"/>
      <c r="C437" s="7" t="n"/>
      <c r="D437" s="85">
        <f>IFERROR(
IF(AND(OR(Planilla!B437="C",Planilla!B437="c"), VLOOKUP(E437,FD:FP,13,0)="C"), "OK",IF(AND(OR(Planilla!B437="C",Planilla!B437="c"), OR(VLOOKUP(E437,FD:FP,13,0)="B", VLOOKUP(E437,FD:FP,13,0)="A")), "DEFICIT",IF(
AND(OR(Planilla!B437="B", Planilla!B437="BPAL"), VLOOKUP(E437,FD:FP,13,0)="B"), "OK",IF(AND(OR(Planilla!B437="B", Planilla!B437="BPAL"), VLOOKUP(E437,FD:FP,13,0)="A"), "DEFICIT",IF(AND(OR(Planilla!B437="B", Planilla!B437="BPAL"), VLOOKUP(E437,FD:FP,13,0)="C"), "SOBREOFERTA",IF(AND(Planilla!B437="A", VLOOKUP(E437,FD:FP,13,0)="A"), "OK",IF(
AND(Planilla!B437="A", OR(VLOOKUP(E437,FD:FP,13,0)="B", VLOOKUP(E437,FD:FP,13,0)="C")), "SOBREOFERTA",""
))))))),"")</f>
        <v/>
      </c>
      <c r="E437" s="8" t="n"/>
      <c r="F437" s="86" t="n"/>
      <c r="G437" s="87" t="n"/>
      <c r="H437" s="88">
        <f>IF(I437="","",IF(AND((I437-G437)&gt;=TIME(0,0,0),(I437-G437)&lt;TIME(0,3,0)),"OK",IF(AND((I437-G437)&gt;=TIME(0,3,0),(I437-G437)&lt;TIME(0,5,0)),"RETRASO DE 3-5 MIN",IF(AND((I437-G437)&gt;=TIME(0,5,0),(I437-G437)&lt;TIME(0,10,0)),"RETRASO DE 5-10 MIN",IF((I437-G437)&gt;=TIME(0,10,0),"RETRASO &gt;10 MIN", IF(AND((G437-I437)&gt;=TIME(0,0,0),(G437-I437)&lt;TIME(0,3,0)),"OK",IF((G437-I437)&gt;=TIME(0,3,0),"ADELANTADO")))))))</f>
        <v/>
      </c>
      <c r="I437" s="89" t="n"/>
      <c r="J437" s="89">
        <f>IF(A437&lt;&gt;"",HLOOKUP(VALUE(TEXT(G437,"h:mm:ss")),IF($C$6="Laboral",$FZ$4:$GX$227,IF($C$6="Sábado",$FZ$231:$GX$452,$FZ$456:$GX$656)),VLOOKUP($C$4,$HF$2:$HH$99,3,0)+IF(C$5="Ida",0,1),1),"")</f>
        <v/>
      </c>
      <c r="K437" s="89">
        <f>IF(A438&lt;&gt;A437,AVERAGEIF(A$9:A437,A437,J$9:J437),"")</f>
        <v/>
      </c>
      <c r="L437" s="89">
        <f>IFERROR(IF(A438&lt;&gt;A437,AVERAGEIF(A$9:A437,A437,S$9:S437),""),"")</f>
        <v/>
      </c>
      <c r="M437" s="89">
        <f>IFERROR(IF(A438&lt;&gt;A437,AVERAGEIF(A$9:A437,A437,T$9:T437),""),"")</f>
        <v/>
      </c>
      <c r="N437" s="89">
        <f t="array" ref="N437">IFERROR(IF(A438&lt;&gt;A437,_xlfn.STDEV.P(IF(A$9:A437=A437,T$9:T437)),""),"")</f>
        <v/>
      </c>
      <c r="O437" s="89">
        <f t="array" ref="O437">IFERROR(IF(A438&lt;&gt;A437,_xlfn.STDEV.P(IF(A$9:A437=A437,S$9:S437)),""),"")</f>
        <v/>
      </c>
      <c r="P437" s="90">
        <f>IFERROR(IF(A437&lt;&gt;A438,MAX((((M437*24*60)/2)*(1+POWER((((N437*24*60) / (M437*24*60) )),2))) + ((M437*24*60 )*-0.1 + (K437*0.015)) +1,(((M437*24*60)/2)*(1+POWER((((N437*24*60) / (M437*24*60 ))),2)))),""),"")</f>
        <v/>
      </c>
      <c r="Q437" s="90">
        <f>IF(AND(O437&lt;&gt;"",L437&lt;&gt;""),IF(A437&lt;&gt;A438,((L437*24*60) / 2 ) * (1 + POWER(((O437*24*60) / (L437*24*60)),2)),""),"")</f>
        <v/>
      </c>
      <c r="R437" s="90">
        <f>IF(Q437&lt;&gt;"",MAX(P437,Q437),"")</f>
        <v/>
      </c>
      <c r="S437" s="89">
        <f>IF(I437&lt;&gt;"H. Sale Real",IF(AND(I438&lt;&gt;"",LEFT(C438,2)&lt;&gt;"Va"),IF(AND(I437&lt;&gt;"",LEFT(C437,2)&lt;&gt;"Va",I437&lt;&gt;"H. Sale Real"),IF(I438-I437&lt;0.208333333333333,I438-I437,""),IF(AND(I436&lt;&gt;"",LEFT(C436,2)&lt;&gt;"Va",I436&lt;&gt;"H. Sale Real"),IF(I438-I436&lt;0.208333333333333,I438-I436,""),IF(AND(I435&lt;&gt;"",LEFT(C435,2)&lt;&gt;"Va",I435&lt;&gt;"H. Sale Real"),IF(I438-I435&lt;0.208333333333333,I438-I435,""),IF(AND(I434&lt;&gt;"",LEFT(C434,2)&lt;&gt;"Va",I434&lt;&gt;"H. Sale Real"),IF(I438-I434&lt;0.208333333333333,I438-I434,""),IF(AND(I433&lt;&gt;"",LEFT(C433,2)&lt;&gt;"Va",I433&lt;&gt;"H. Sale Real"),IF(I438-I433&lt;0.208333333333333,I438-I433,""),""))))),""),"")</f>
        <v/>
      </c>
      <c r="T437" s="89">
        <f>IF(G437&lt;&gt;"H. Sale Real",IF(AND(G438&lt;&gt;"",LEFT(C438,2)&lt;&gt;"Va"),IF(AND(G437&lt;&gt;"",LEFT(C437,2)&lt;&gt;"Va",G437&lt;&gt;"H. Sale Real"),IF(G438-G437&lt;0.208333333333333,G438-G437,""),IF(AND(G436&lt;&gt;"",LEFT(C436,2)&lt;&gt;"Va",G436&lt;&gt;"H. Sale Real"),IF(G438-G436&lt;0.208333333333333,G438-G436,""),IF(AND(G435&lt;&gt;"",LEFT(C435,2)&lt;&gt;"Va",G435&lt;&gt;"H. Sale Real"),IF(G438-G435&lt;0.208333333333333,G438-G435,""),IF(AND(G434&lt;&gt;"",LEFT(C434,2)&lt;&gt;"Va",G434&lt;&gt;"H. Sale Real"),IF(G438-G434&lt;0.208333333333333,G438-G434,""),IF(AND(G433&lt;&gt;"",LEFT(C433,2)&lt;&gt;"Va",G433&lt;&gt;"H. Sale Real"),IF(G438-G433&lt;0.208333333333333,G438-G433,""),""))))),""),"")</f>
        <v/>
      </c>
      <c r="U437" s="87" t="n"/>
      <c r="V437" s="89" t="n"/>
      <c r="W437" s="87" t="n"/>
      <c r="X437" s="89" t="n"/>
      <c r="Y437" s="91" t="n"/>
      <c r="Z437" s="122">
        <f>IF(G437&lt;&gt;"",IF(AND(Z436&lt;&gt;"IE",P437&lt;&gt;0,R437&lt;&gt;""),IF(IFERROR((P437/R437),0) &lt;=1,IFERROR(P437/R437,""),1),""),"")</f>
        <v/>
      </c>
      <c r="AA437" s="93" t="n"/>
      <c r="AB437" s="2" t="n"/>
      <c r="AE437" s="10">
        <f>HOUR(AK437)+1</f>
        <v/>
      </c>
      <c r="AF437" s="7" t="n"/>
      <c r="AG437" s="7" t="n"/>
      <c r="AH437" s="86" t="n"/>
      <c r="AI437" s="8" t="n"/>
      <c r="AJ437" s="86" t="n"/>
      <c r="AK437" s="87" t="n"/>
      <c r="AL437" s="88">
        <f>IF(AM437="","",IF(AND((AM437-AK437)&gt;=TIME(0,0,0),(AM437-AK437)&lt;TIME(0,3,0)),"OK",IF(AND((AM437-AK437)&gt;=TIME(0,3,0),(AM437-AK437)&lt;TIME(0,5,0)),"RETRASO DE 3-5 MIN",IF(AND((AM437-AK437)&gt;=TIME(0,5,0),(AM437-AK437)&lt;TIME(0,10,0)),"RETRASO DE 5-10 MIN",IF((AM437-AK437)&gt;=TIME(0,10,0),"RETRASO &gt;10 MIN", IF(AND((AK437-AM437)&gt;=TIME(0,0,0),(AK437-AM437)&lt;TIME(0,3,0)),"OK",IF((AK437-AM437)&gt;=TIME(0,3,0),"ADELANTADO")))))))</f>
        <v/>
      </c>
      <c r="AM437" s="91" t="n"/>
      <c r="AN437" s="89">
        <f>IF(AE437&lt;&gt;"",HLOOKUP(VALUE(TEXT(AK437,"h:mm:ss")),IF($C$6="Laboral",$FZ$4:$GX$227,IF($C$6="Sábado",$FZ$231:$GX$452,$FZ$456:$GX$656)),VLOOKUP($C$4,$HF$2:$HH$99,3,0)+IF(AG$5="Ida",0,1),1),"")</f>
        <v/>
      </c>
      <c r="AO437" s="89">
        <f>IF(AE438&lt;&gt;AE437,AVERAGEIF(AE$9:AE437,AE437,AN$9:AN437),"")</f>
        <v/>
      </c>
      <c r="AP437" s="89">
        <f>IFERROR(IF(AE438&lt;&gt;AE437,AVERAGEIF(AE$9:AE437,AE437,AW$9:AW437),""),"")</f>
        <v/>
      </c>
      <c r="AQ437" s="89">
        <f>IFERROR(IF(AE438&lt;&gt;AE437,AVERAGEIF(AE$9:AE437,AE437,AX$9:AX437),""),"")</f>
        <v/>
      </c>
      <c r="AR437" s="89">
        <f t="array" ref="AR437">IFERROR(IF(AE438&lt;&gt;AE437,_xlfn.STDEV.P(IF(AE$9:AE437=AE437,AX$9:AX437)),""),"")</f>
        <v/>
      </c>
      <c r="AS437" s="89">
        <f t="array" ref="AS437">IFERROR(IF(AE438&lt;&gt;AE437,_xlfn.STDEV.P(IF(AE$9:AE437=AE437,AW$9:AW437)),""),"")</f>
        <v/>
      </c>
      <c r="AT437" s="90">
        <f>IFERROR(IF(AE437&lt;&gt;AE438,MAX((((AQ437*24*60)/2)*(1+POWER((((AR437*24*60) / (AQ437*24*60) )),2))) + ((AQ437*24*60 )*-0.1 + (AO437*0.015)) +1,(((AQ437*24*60)/2)*(1+POWER((((AR437*24*60) / (AQ437*24*60 ))),2)))),""),"")</f>
        <v/>
      </c>
      <c r="AU437" s="90">
        <f>IF(AND(AS437&lt;&gt;"",AP437&lt;&gt;""),IF(AE437&lt;&gt;AE438,((AP437*24*60) / 2 ) * (1 + POWER(((AS437*24*60) / (AP437*24*60)),2)),""),"")</f>
        <v/>
      </c>
      <c r="AV437" s="90">
        <f>IF(AU437&lt;&gt;"",MAX(AT437,AU437),"")</f>
        <v/>
      </c>
      <c r="AW437" s="89">
        <f>IF(AM437&lt;&gt;"H. Sale Real",IF(AND(AM438&lt;&gt;"",LEFT(AG438,2)&lt;&gt;"Va"),IF(AND(AM437&lt;&gt;"",LEFT(AG437,2)&lt;&gt;"Va",AM437&lt;&gt;"H. Sale Real"),IF(AM438-AM437&lt;0.208333333333333,AM438-AM437,""),IF(AND(AM436&lt;&gt;"",LEFT(AG436,2)&lt;&gt;"Va",AM436&lt;&gt;"H. Sale Real"),IF(AM438-AM436&lt;0.208333333333333,AM438-AM436,""),IF(AND(AM435&lt;&gt;"",LEFT(AG435,2)&lt;&gt;"Va",AM435&lt;&gt;"H. Sale Real"),IF(AM438-AM435&lt;0.208333333333333,AM438-AM435,""),IF(AND(AM434&lt;&gt;"",LEFT(AG434,2)&lt;&gt;"Va",AM434&lt;&gt;"H. Sale Real"),IF(AM438-AM434&lt;0.208333333333333,AM438-AM434,""),IF(AND(AM433&lt;&gt;"",LEFT(AG433,2)&lt;&gt;"Va",AM433&lt;&gt;"H. Sale Real"),IF(AM438-AM433&lt;0.208333333333333,AM438-AM433,""),""))))),""),"")</f>
        <v/>
      </c>
      <c r="AX437" s="89">
        <f>IF(AK437&lt;&gt;"H. Sale Real",IF(AND(AK438&lt;&gt;"",LEFT(AG438,2)&lt;&gt;"Va"),IF(AND(AK437&lt;&gt;"",LEFT(AG437,2)&lt;&gt;"Va",AK437&lt;&gt;"H. Sale Real"),IF(AK438-AK437&lt;0.208333333333333,AK438-AK437,""),IF(AND(AK436&lt;&gt;"",LEFT(AG436,2)&lt;&gt;"Va",AK436&lt;&gt;"H. Sale Real"),IF(AK438-AK436&lt;0.208333333333333,AK438-AK436,""),IF(AND(AK435&lt;&gt;"",LEFT(AG435,2)&lt;&gt;"NC",AK435&lt;&gt;"H. Sale Real"),IF(AK438-AK435&lt;0.208333333333333,AK438-AK435,""),IF(AND(AK434&lt;&gt;"",LEFT(AG434,2)&lt;&gt;"Va",AK434&lt;&gt;"H. Sale Real"),IF(AK438-AK434&lt;0.208333333333333,AK438-AK434,""),IF(AND(AK433&lt;&gt;"",LEFT(AG433,2)&lt;&gt;"Va",AK433&lt;&gt;"H. Sale Real"),IF(AK438-AK433&lt;0.208333333333333,AK438-AK433,""),""))))),""),"")</f>
        <v/>
      </c>
      <c r="AY437" s="87" t="n"/>
      <c r="AZ437" s="89" t="n"/>
      <c r="BA437" s="87" t="n"/>
      <c r="BB437" s="89" t="n"/>
      <c r="BC437" s="91" t="n"/>
      <c r="BD437" s="122">
        <f>IF(AK437&lt;&gt;"",IF(AND(BD436&lt;&gt;"IE",AT437&lt;&gt;0,AV437&lt;&gt;""),IF(IFERROR((AT437/AV437),0) &lt;=1,IFERROR(AT437/AV437,""),1),""),"")</f>
        <v/>
      </c>
      <c r="BE437" s="93" t="n"/>
      <c r="BF437" s="105" t="n"/>
      <c r="FC437" t="inlineStr">
        <is>
          <t>Diccionario 1</t>
        </is>
      </c>
      <c r="FD437" s="15" t="inlineStr"/>
      <c r="FE437" s="15" t="inlineStr">
        <is>
          <t>LDYECS838S0045624</t>
        </is>
      </c>
      <c r="FF437" s="15" t="inlineStr">
        <is>
          <t>MJJ20025010023</t>
        </is>
      </c>
      <c r="FG437" s="15" t="inlineStr">
        <is>
          <t>Zhong Tong</t>
        </is>
      </c>
      <c r="FH437" s="15" t="inlineStr">
        <is>
          <t>LCK6850evg</t>
        </is>
      </c>
      <c r="FI437" s="15" t="inlineStr">
        <is>
          <t>ZHONGTONG</t>
        </is>
      </c>
      <c r="FJ437" s="15" t="inlineStr">
        <is>
          <t>LCK6850evg</t>
        </is>
      </c>
      <c r="FK437" s="15" t="n">
        <v>2025</v>
      </c>
      <c r="FL437" s="15" t="inlineStr">
        <is>
          <t>A</t>
        </is>
      </c>
      <c r="FM437" s="15" t="inlineStr">
        <is>
          <t>CERRILLOS</t>
        </is>
      </c>
      <c r="FN437" s="15" t="inlineStr">
        <is>
          <t>Calle Uno 7371</t>
        </is>
      </c>
      <c r="FO437" s="15" t="inlineStr">
        <is>
          <t>Cerrillos</t>
        </is>
      </c>
      <c r="FP437" t="inlineStr">
        <is>
          <t>A</t>
        </is>
      </c>
      <c r="FS437" s="14" t="inlineStr">
        <is>
          <t>9925 / SXKV-97|</t>
        </is>
      </c>
      <c r="FT437" t="inlineStr">
        <is>
          <t>SXKV-97|</t>
        </is>
      </c>
      <c r="FU437" t="inlineStr">
        <is>
          <t>SXKV-97</t>
        </is>
      </c>
      <c r="FV437">
        <f>VLOOKUP(FU437,FD:FL,9,0)</f>
        <v/>
      </c>
      <c r="HB437" s="35" t="n">
        <v>431</v>
      </c>
    </row>
    <row r="438" ht="15.5" customHeight="1">
      <c r="A438" s="10">
        <f>HOUR(G438)+1</f>
        <v/>
      </c>
      <c r="B438" s="7" t="n"/>
      <c r="C438" s="7" t="n"/>
      <c r="D438" s="85">
        <f>IFERROR(
IF(AND(OR(Planilla!B438="C",Planilla!B438="c"), VLOOKUP(E438,FD:FP,13,0)="C"), "OK",IF(AND(OR(Planilla!B438="C",Planilla!B438="c"), OR(VLOOKUP(E438,FD:FP,13,0)="B", VLOOKUP(E438,FD:FP,13,0)="A")), "DEFICIT",IF(
AND(OR(Planilla!B438="B", Planilla!B438="BPAL"), VLOOKUP(E438,FD:FP,13,0)="B"), "OK",IF(AND(OR(Planilla!B438="B", Planilla!B438="BPAL"), VLOOKUP(E438,FD:FP,13,0)="A"), "DEFICIT",IF(AND(OR(Planilla!B438="B", Planilla!B438="BPAL"), VLOOKUP(E438,FD:FP,13,0)="C"), "SOBREOFERTA",IF(AND(Planilla!B438="A", VLOOKUP(E438,FD:FP,13,0)="A"), "OK",IF(
AND(Planilla!B438="A", OR(VLOOKUP(E438,FD:FP,13,0)="B", VLOOKUP(E438,FD:FP,13,0)="C")), "SOBREOFERTA",""
))))))),"")</f>
        <v/>
      </c>
      <c r="E438" s="8" t="n"/>
      <c r="F438" s="86" t="n"/>
      <c r="G438" s="87" t="n"/>
      <c r="H438" s="88">
        <f>IF(I438="","",IF(AND((I438-G438)&gt;=TIME(0,0,0),(I438-G438)&lt;TIME(0,3,0)),"OK",IF(AND((I438-G438)&gt;=TIME(0,3,0),(I438-G438)&lt;TIME(0,5,0)),"RETRASO DE 3-5 MIN",IF(AND((I438-G438)&gt;=TIME(0,5,0),(I438-G438)&lt;TIME(0,10,0)),"RETRASO DE 5-10 MIN",IF((I438-G438)&gt;=TIME(0,10,0),"RETRASO &gt;10 MIN", IF(AND((G438-I438)&gt;=TIME(0,0,0),(G438-I438)&lt;TIME(0,3,0)),"OK",IF((G438-I438)&gt;=TIME(0,3,0),"ADELANTADO")))))))</f>
        <v/>
      </c>
      <c r="I438" s="89" t="n"/>
      <c r="J438" s="89">
        <f>IF(A438&lt;&gt;"",HLOOKUP(VALUE(TEXT(G438,"h:mm:ss")),IF($C$6="Laboral",$FZ$4:$GX$227,IF($C$6="Sábado",$FZ$231:$GX$452,$FZ$456:$GX$656)),VLOOKUP($C$4,$HF$2:$HH$99,3,0)+IF(C$5="Ida",0,1),1),"")</f>
        <v/>
      </c>
      <c r="K438" s="89">
        <f>IF(A439&lt;&gt;A438,AVERAGEIF(A$9:A438,A438,J$9:J438),"")</f>
        <v/>
      </c>
      <c r="L438" s="89">
        <f>IFERROR(IF(A439&lt;&gt;A438,AVERAGEIF(A$9:A438,A438,S$9:S438),""),"")</f>
        <v/>
      </c>
      <c r="M438" s="89">
        <f>IFERROR(IF(A439&lt;&gt;A438,AVERAGEIF(A$9:A438,A438,T$9:T438),""),"")</f>
        <v/>
      </c>
      <c r="N438" s="89">
        <f t="array" ref="N438">IFERROR(IF(A439&lt;&gt;A438,_xlfn.STDEV.P(IF(A$9:A438=A438,T$9:T438)),""),"")</f>
        <v/>
      </c>
      <c r="O438" s="89">
        <f t="array" ref="O438">IFERROR(IF(A439&lt;&gt;A438,_xlfn.STDEV.P(IF(A$9:A438=A438,S$9:S438)),""),"")</f>
        <v/>
      </c>
      <c r="P438" s="90">
        <f>IFERROR(IF(A438&lt;&gt;A439,MAX((((M438*24*60)/2)*(1+POWER((((N438*24*60) / (M438*24*60) )),2))) + ((M438*24*60 )*-0.1 + (K438*0.015)) +1,(((M438*24*60)/2)*(1+POWER((((N438*24*60) / (M438*24*60 ))),2)))),""),"")</f>
        <v/>
      </c>
      <c r="Q438" s="90">
        <f>IF(AND(O438&lt;&gt;"",L438&lt;&gt;""),IF(A438&lt;&gt;A439,((L438*24*60) / 2 ) * (1 + POWER(((O438*24*60) / (L438*24*60)),2)),""),"")</f>
        <v/>
      </c>
      <c r="R438" s="90">
        <f>IF(Q438&lt;&gt;"",MAX(P438,Q438),"")</f>
        <v/>
      </c>
      <c r="S438" s="89">
        <f>IF(I438&lt;&gt;"H. Sale Real",IF(AND(I439&lt;&gt;"",LEFT(C439,2)&lt;&gt;"Va"),IF(AND(I438&lt;&gt;"",LEFT(C438,2)&lt;&gt;"Va",I438&lt;&gt;"H. Sale Real"),IF(I439-I438&lt;0.208333333333333,I439-I438,""),IF(AND(I437&lt;&gt;"",LEFT(C437,2)&lt;&gt;"Va",I437&lt;&gt;"H. Sale Real"),IF(I439-I437&lt;0.208333333333333,I439-I437,""),IF(AND(I436&lt;&gt;"",LEFT(C436,2)&lt;&gt;"Va",I436&lt;&gt;"H. Sale Real"),IF(I439-I436&lt;0.208333333333333,I439-I436,""),IF(AND(I435&lt;&gt;"",LEFT(C435,2)&lt;&gt;"Va",I435&lt;&gt;"H. Sale Real"),IF(I439-I435&lt;0.208333333333333,I439-I435,""),IF(AND(I434&lt;&gt;"",LEFT(C434,2)&lt;&gt;"Va",I434&lt;&gt;"H. Sale Real"),IF(I439-I434&lt;0.208333333333333,I439-I434,""),""))))),""),"")</f>
        <v/>
      </c>
      <c r="T438" s="89">
        <f>IF(G438&lt;&gt;"H. Sale Real",IF(AND(G439&lt;&gt;"",LEFT(C439,2)&lt;&gt;"Va"),IF(AND(G438&lt;&gt;"",LEFT(C438,2)&lt;&gt;"Va",G438&lt;&gt;"H. Sale Real"),IF(G439-G438&lt;0.208333333333333,G439-G438,""),IF(AND(G437&lt;&gt;"",LEFT(C437,2)&lt;&gt;"Va",G437&lt;&gt;"H. Sale Real"),IF(G439-G437&lt;0.208333333333333,G439-G437,""),IF(AND(G436&lt;&gt;"",LEFT(C436,2)&lt;&gt;"Va",G436&lt;&gt;"H. Sale Real"),IF(G439-G436&lt;0.208333333333333,G439-G436,""),IF(AND(G435&lt;&gt;"",LEFT(C435,2)&lt;&gt;"Va",G435&lt;&gt;"H. Sale Real"),IF(G439-G435&lt;0.208333333333333,G439-G435,""),IF(AND(G434&lt;&gt;"",LEFT(C434,2)&lt;&gt;"Va",G434&lt;&gt;"H. Sale Real"),IF(G439-G434&lt;0.208333333333333,G439-G434,""),""))))),""),"")</f>
        <v/>
      </c>
      <c r="U438" s="87" t="n"/>
      <c r="V438" s="89" t="n"/>
      <c r="W438" s="87" t="n"/>
      <c r="X438" s="89" t="n"/>
      <c r="Y438" s="91" t="n"/>
      <c r="Z438" s="122">
        <f>IF(G438&lt;&gt;"",IF(AND(Z437&lt;&gt;"IE",P438&lt;&gt;0,R438&lt;&gt;""),IF(IFERROR((P438/R438),0) &lt;=1,IFERROR(P438/R438,""),1),""),"")</f>
        <v/>
      </c>
      <c r="AA438" s="93" t="n"/>
      <c r="AB438" s="2" t="n"/>
      <c r="AE438" s="10">
        <f>HOUR(AK438)+1</f>
        <v/>
      </c>
      <c r="AF438" s="7" t="n"/>
      <c r="AG438" s="7" t="n"/>
      <c r="AH438" s="86" t="n"/>
      <c r="AI438" s="8" t="n"/>
      <c r="AJ438" s="86" t="n"/>
      <c r="AK438" s="87" t="n"/>
      <c r="AL438" s="88">
        <f>IF(AM438="","",IF(AND((AM438-AK438)&gt;=TIME(0,0,0),(AM438-AK438)&lt;TIME(0,3,0)),"OK",IF(AND((AM438-AK438)&gt;=TIME(0,3,0),(AM438-AK438)&lt;TIME(0,5,0)),"RETRASO DE 3-5 MIN",IF(AND((AM438-AK438)&gt;=TIME(0,5,0),(AM438-AK438)&lt;TIME(0,10,0)),"RETRASO DE 5-10 MIN",IF((AM438-AK438)&gt;=TIME(0,10,0),"RETRASO &gt;10 MIN", IF(AND((AK438-AM438)&gt;=TIME(0,0,0),(AK438-AM438)&lt;TIME(0,3,0)),"OK",IF((AK438-AM438)&gt;=TIME(0,3,0),"ADELANTADO")))))))</f>
        <v/>
      </c>
      <c r="AM438" s="91" t="n"/>
      <c r="AN438" s="89">
        <f>IF(AE438&lt;&gt;"",HLOOKUP(VALUE(TEXT(AK438,"h:mm:ss")),IF($C$6="Laboral",$FZ$4:$GX$227,IF($C$6="Sábado",$FZ$231:$GX$452,$FZ$456:$GX$656)),VLOOKUP($C$4,$HF$2:$HH$99,3,0)+IF(AG$5="Ida",0,1),1),"")</f>
        <v/>
      </c>
      <c r="AO438" s="89">
        <f>IF(AE439&lt;&gt;AE438,AVERAGEIF(AE$9:AE438,AE438,AN$9:AN438),"")</f>
        <v/>
      </c>
      <c r="AP438" s="89">
        <f>IFERROR(IF(AE439&lt;&gt;AE438,AVERAGEIF(AE$9:AE438,AE438,AW$9:AW438),""),"")</f>
        <v/>
      </c>
      <c r="AQ438" s="89">
        <f>IFERROR(IF(AE439&lt;&gt;AE438,AVERAGEIF(AE$9:AE438,AE438,AX$9:AX438),""),"")</f>
        <v/>
      </c>
      <c r="AR438" s="89">
        <f t="array" ref="AR438">IFERROR(IF(AE439&lt;&gt;AE438,_xlfn.STDEV.P(IF(AE$9:AE438=AE438,AX$9:AX438)),""),"")</f>
        <v/>
      </c>
      <c r="AS438" s="89">
        <f t="array" ref="AS438">IFERROR(IF(AE439&lt;&gt;AE438,_xlfn.STDEV.P(IF(AE$9:AE438=AE438,AW$9:AW438)),""),"")</f>
        <v/>
      </c>
      <c r="AT438" s="90">
        <f>IFERROR(IF(AE438&lt;&gt;AE439,MAX((((AQ438*24*60)/2)*(1+POWER((((AR438*24*60) / (AQ438*24*60) )),2))) + ((AQ438*24*60 )*-0.1 + (AO438*0.015)) +1,(((AQ438*24*60)/2)*(1+POWER((((AR438*24*60) / (AQ438*24*60 ))),2)))),""),"")</f>
        <v/>
      </c>
      <c r="AU438" s="90">
        <f>IF(AND(AS438&lt;&gt;"",AP438&lt;&gt;""),IF(AE438&lt;&gt;AE439,((AP438*24*60) / 2 ) * (1 + POWER(((AS438*24*60) / (AP438*24*60)),2)),""),"")</f>
        <v/>
      </c>
      <c r="AV438" s="90">
        <f>IF(AU438&lt;&gt;"",MAX(AT438,AU438),"")</f>
        <v/>
      </c>
      <c r="AW438" s="89">
        <f>IF(AM438&lt;&gt;"H. Sale Real",IF(AND(AM439&lt;&gt;"",LEFT(AG439,2)&lt;&gt;"Va"),IF(AND(AM438&lt;&gt;"",LEFT(AG438,2)&lt;&gt;"Va",AM438&lt;&gt;"H. Sale Real"),IF(AM439-AM438&lt;0.208333333333333,AM439-AM438,""),IF(AND(AM437&lt;&gt;"",LEFT(AG437,2)&lt;&gt;"Va",AM437&lt;&gt;"H. Sale Real"),IF(AM439-AM437&lt;0.208333333333333,AM439-AM437,""),IF(AND(AM436&lt;&gt;"",LEFT(AG436,2)&lt;&gt;"Va",AM436&lt;&gt;"H. Sale Real"),IF(AM439-AM436&lt;0.208333333333333,AM439-AM436,""),IF(AND(AM435&lt;&gt;"",LEFT(AG435,2)&lt;&gt;"Va",AM435&lt;&gt;"H. Sale Real"),IF(AM439-AM435&lt;0.208333333333333,AM439-AM435,""),IF(AND(AM434&lt;&gt;"",LEFT(AG434,2)&lt;&gt;"Va",AM434&lt;&gt;"H. Sale Real"),IF(AM439-AM434&lt;0.208333333333333,AM439-AM434,""),""))))),""),"")</f>
        <v/>
      </c>
      <c r="AX438" s="89">
        <f>IF(AK438&lt;&gt;"H. Sale Real",IF(AND(AK439&lt;&gt;"",LEFT(AG439,2)&lt;&gt;"Va"),IF(AND(AK438&lt;&gt;"",LEFT(AG438,2)&lt;&gt;"Va",AK438&lt;&gt;"H. Sale Real"),IF(AK439-AK438&lt;0.208333333333333,AK439-AK438,""),IF(AND(AK437&lt;&gt;"",LEFT(AG437,2)&lt;&gt;"Va",AK437&lt;&gt;"H. Sale Real"),IF(AK439-AK437&lt;0.208333333333333,AK439-AK437,""),IF(AND(AK436&lt;&gt;"",LEFT(AG436,2)&lt;&gt;"NC",AK436&lt;&gt;"H. Sale Real"),IF(AK439-AK436&lt;0.208333333333333,AK439-AK436,""),IF(AND(AK435&lt;&gt;"",LEFT(AG435,2)&lt;&gt;"Va",AK435&lt;&gt;"H. Sale Real"),IF(AK439-AK435&lt;0.208333333333333,AK439-AK435,""),IF(AND(AK434&lt;&gt;"",LEFT(AG434,2)&lt;&gt;"Va",AK434&lt;&gt;"H. Sale Real"),IF(AK439-AK434&lt;0.208333333333333,AK439-AK434,""),""))))),""),"")</f>
        <v/>
      </c>
      <c r="AY438" s="87" t="n"/>
      <c r="AZ438" s="89" t="n"/>
      <c r="BA438" s="87" t="n"/>
      <c r="BB438" s="89" t="n"/>
      <c r="BC438" s="91" t="n"/>
      <c r="BD438" s="122">
        <f>IF(AK438&lt;&gt;"",IF(AND(BD437&lt;&gt;"IE",AT438&lt;&gt;0,AV438&lt;&gt;""),IF(IFERROR((AT438/AV438),0) &lt;=1,IFERROR(AT438/AV438,""),1),""),"")</f>
        <v/>
      </c>
      <c r="BE438" s="93" t="n"/>
      <c r="BF438" s="105" t="n"/>
      <c r="FC438" t="inlineStr">
        <is>
          <t>Diccionario 1</t>
        </is>
      </c>
      <c r="FD438" s="15" t="inlineStr"/>
      <c r="FE438" s="15" t="inlineStr">
        <is>
          <t>LDYECS835S0045631</t>
        </is>
      </c>
      <c r="FF438" s="15" t="inlineStr">
        <is>
          <t>MJJ20025010015</t>
        </is>
      </c>
      <c r="FG438" s="15" t="inlineStr">
        <is>
          <t>Zhong Tong</t>
        </is>
      </c>
      <c r="FH438" s="15" t="inlineStr">
        <is>
          <t>LCK6850evg</t>
        </is>
      </c>
      <c r="FI438" s="15" t="inlineStr">
        <is>
          <t>ZHONGTONG</t>
        </is>
      </c>
      <c r="FJ438" s="15" t="inlineStr">
        <is>
          <t>LCK6850evg</t>
        </is>
      </c>
      <c r="FK438" s="15" t="n">
        <v>2025</v>
      </c>
      <c r="FL438" s="15" t="inlineStr">
        <is>
          <t>A</t>
        </is>
      </c>
      <c r="FM438" s="15" t="inlineStr">
        <is>
          <t>CERRILLOS</t>
        </is>
      </c>
      <c r="FN438" s="15" t="inlineStr">
        <is>
          <t>Calle Uno 7371</t>
        </is>
      </c>
      <c r="FO438" s="15" t="inlineStr">
        <is>
          <t>Cerrillos</t>
        </is>
      </c>
      <c r="FP438" t="inlineStr">
        <is>
          <t>A</t>
        </is>
      </c>
      <c r="FS438" s="14" t="inlineStr">
        <is>
          <t>9925 / SXKV-97|</t>
        </is>
      </c>
      <c r="FT438" t="inlineStr">
        <is>
          <t>SXKV-97|</t>
        </is>
      </c>
      <c r="FU438" t="inlineStr">
        <is>
          <t>SXKV-97</t>
        </is>
      </c>
      <c r="FV438">
        <f>VLOOKUP(FU438,FD:FL,9,0)</f>
        <v/>
      </c>
      <c r="HB438" s="35" t="n">
        <v>432</v>
      </c>
    </row>
    <row r="439" ht="15.5" customHeight="1">
      <c r="A439" s="10">
        <f>HOUR(G439)+1</f>
        <v/>
      </c>
      <c r="B439" s="7" t="n"/>
      <c r="C439" s="7" t="n"/>
      <c r="D439" s="85">
        <f>IFERROR(
IF(AND(OR(Planilla!B439="C",Planilla!B439="c"), VLOOKUP(E439,FD:FP,13,0)="C"), "OK",IF(AND(OR(Planilla!B439="C",Planilla!B439="c"), OR(VLOOKUP(E439,FD:FP,13,0)="B", VLOOKUP(E439,FD:FP,13,0)="A")), "DEFICIT",IF(
AND(OR(Planilla!B439="B", Planilla!B439="BPAL"), VLOOKUP(E439,FD:FP,13,0)="B"), "OK",IF(AND(OR(Planilla!B439="B", Planilla!B439="BPAL"), VLOOKUP(E439,FD:FP,13,0)="A"), "DEFICIT",IF(AND(OR(Planilla!B439="B", Planilla!B439="BPAL"), VLOOKUP(E439,FD:FP,13,0)="C"), "SOBREOFERTA",IF(AND(Planilla!B439="A", VLOOKUP(E439,FD:FP,13,0)="A"), "OK",IF(
AND(Planilla!B439="A", OR(VLOOKUP(E439,FD:FP,13,0)="B", VLOOKUP(E439,FD:FP,13,0)="C")), "SOBREOFERTA",""
))))))),"")</f>
        <v/>
      </c>
      <c r="E439" s="8" t="n"/>
      <c r="F439" s="86" t="n"/>
      <c r="G439" s="87" t="n"/>
      <c r="H439" s="88">
        <f>IF(I439="","",IF(AND((I439-G439)&gt;=TIME(0,0,0),(I439-G439)&lt;TIME(0,3,0)),"OK",IF(AND((I439-G439)&gt;=TIME(0,3,0),(I439-G439)&lt;TIME(0,5,0)),"RETRASO DE 3-5 MIN",IF(AND((I439-G439)&gt;=TIME(0,5,0),(I439-G439)&lt;TIME(0,10,0)),"RETRASO DE 5-10 MIN",IF((I439-G439)&gt;=TIME(0,10,0),"RETRASO &gt;10 MIN", IF(AND((G439-I439)&gt;=TIME(0,0,0),(G439-I439)&lt;TIME(0,3,0)),"OK",IF((G439-I439)&gt;=TIME(0,3,0),"ADELANTADO")))))))</f>
        <v/>
      </c>
      <c r="I439" s="89" t="n"/>
      <c r="J439" s="89">
        <f>IF(A439&lt;&gt;"",HLOOKUP(VALUE(TEXT(G439,"h:mm:ss")),IF($C$6="Laboral",$FZ$4:$GX$227,IF($C$6="Sábado",$FZ$231:$GX$452,$FZ$456:$GX$656)),VLOOKUP($C$4,$HF$2:$HH$99,3,0)+IF(C$5="Ida",0,1),1),"")</f>
        <v/>
      </c>
      <c r="K439" s="89">
        <f>IF(A440&lt;&gt;A439,AVERAGEIF(A$9:A439,A439,J$9:J439),"")</f>
        <v/>
      </c>
      <c r="L439" s="89">
        <f>IFERROR(IF(A440&lt;&gt;A439,AVERAGEIF(A$9:A439,A439,S$9:S439),""),"")</f>
        <v/>
      </c>
      <c r="M439" s="89">
        <f>IFERROR(IF(A440&lt;&gt;A439,AVERAGEIF(A$9:A439,A439,T$9:T439),""),"")</f>
        <v/>
      </c>
      <c r="N439" s="89">
        <f t="array" ref="N439">IFERROR(IF(A440&lt;&gt;A439,_xlfn.STDEV.P(IF(A$9:A439=A439,T$9:T439)),""),"")</f>
        <v/>
      </c>
      <c r="O439" s="89">
        <f t="array" ref="O439">IFERROR(IF(A440&lt;&gt;A439,_xlfn.STDEV.P(IF(A$9:A439=A439,S$9:S439)),""),"")</f>
        <v/>
      </c>
      <c r="P439" s="90">
        <f>IFERROR(IF(A439&lt;&gt;A440,MAX((((M439*24*60)/2)*(1+POWER((((N439*24*60) / (M439*24*60) )),2))) + ((M439*24*60 )*-0.1 + (K439*0.015)) +1,(((M439*24*60)/2)*(1+POWER((((N439*24*60) / (M439*24*60 ))),2)))),""),"")</f>
        <v/>
      </c>
      <c r="Q439" s="90">
        <f>IF(AND(O439&lt;&gt;"",L439&lt;&gt;""),IF(A439&lt;&gt;A440,((L439*24*60) / 2 ) * (1 + POWER(((O439*24*60) / (L439*24*60)),2)),""),"")</f>
        <v/>
      </c>
      <c r="R439" s="90">
        <f>IF(Q439&lt;&gt;"",MAX(P439,Q439),"")</f>
        <v/>
      </c>
      <c r="S439" s="89">
        <f>IF(I439&lt;&gt;"H. Sale Real",IF(AND(I440&lt;&gt;"",LEFT(C440,2)&lt;&gt;"Va"),IF(AND(I439&lt;&gt;"",LEFT(C439,2)&lt;&gt;"Va",I439&lt;&gt;"H. Sale Real"),IF(I440-I439&lt;0.208333333333333,I440-I439,""),IF(AND(I438&lt;&gt;"",LEFT(C438,2)&lt;&gt;"Va",I438&lt;&gt;"H. Sale Real"),IF(I440-I438&lt;0.208333333333333,I440-I438,""),IF(AND(I437&lt;&gt;"",LEFT(C437,2)&lt;&gt;"Va",I437&lt;&gt;"H. Sale Real"),IF(I440-I437&lt;0.208333333333333,I440-I437,""),IF(AND(I436&lt;&gt;"",LEFT(C436,2)&lt;&gt;"Va",I436&lt;&gt;"H. Sale Real"),IF(I440-I436&lt;0.208333333333333,I440-I436,""),IF(AND(I435&lt;&gt;"",LEFT(C435,2)&lt;&gt;"Va",I435&lt;&gt;"H. Sale Real"),IF(I440-I435&lt;0.208333333333333,I440-I435,""),""))))),""),"")</f>
        <v/>
      </c>
      <c r="T439" s="89">
        <f>IF(G439&lt;&gt;"H. Sale Real",IF(AND(G440&lt;&gt;"",LEFT(C440,2)&lt;&gt;"Va"),IF(AND(G439&lt;&gt;"",LEFT(C439,2)&lt;&gt;"Va",G439&lt;&gt;"H. Sale Real"),IF(G440-G439&lt;0.208333333333333,G440-G439,""),IF(AND(G438&lt;&gt;"",LEFT(C438,2)&lt;&gt;"Va",G438&lt;&gt;"H. Sale Real"),IF(G440-G438&lt;0.208333333333333,G440-G438,""),IF(AND(G437&lt;&gt;"",LEFT(C437,2)&lt;&gt;"Va",G437&lt;&gt;"H. Sale Real"),IF(G440-G437&lt;0.208333333333333,G440-G437,""),IF(AND(G436&lt;&gt;"",LEFT(C436,2)&lt;&gt;"Va",G436&lt;&gt;"H. Sale Real"),IF(G440-G436&lt;0.208333333333333,G440-G436,""),IF(AND(G435&lt;&gt;"",LEFT(C435,2)&lt;&gt;"Va",G435&lt;&gt;"H. Sale Real"),IF(G440-G435&lt;0.208333333333333,G440-G435,""),""))))),""),"")</f>
        <v/>
      </c>
      <c r="U439" s="87" t="n"/>
      <c r="V439" s="89" t="n"/>
      <c r="W439" s="87" t="n"/>
      <c r="X439" s="89" t="n"/>
      <c r="Y439" s="91" t="n"/>
      <c r="Z439" s="122">
        <f>IF(G439&lt;&gt;"",IF(AND(Z438&lt;&gt;"IE",P439&lt;&gt;0,R439&lt;&gt;""),IF(IFERROR((P439/R439),0) &lt;=1,IFERROR(P439/R439,""),1),""),"")</f>
        <v/>
      </c>
      <c r="AA439" s="93" t="n"/>
      <c r="AB439" s="2" t="n"/>
      <c r="AE439" s="10">
        <f>HOUR(AK439)+1</f>
        <v/>
      </c>
      <c r="AF439" s="7" t="n"/>
      <c r="AG439" s="7" t="n"/>
      <c r="AH439" s="86" t="n"/>
      <c r="AI439" s="8" t="n"/>
      <c r="AJ439" s="86" t="n"/>
      <c r="AK439" s="87" t="n"/>
      <c r="AL439" s="88">
        <f>IF(AM439="","",IF(AND((AM439-AK439)&gt;=TIME(0,0,0),(AM439-AK439)&lt;TIME(0,3,0)),"OK",IF(AND((AM439-AK439)&gt;=TIME(0,3,0),(AM439-AK439)&lt;TIME(0,5,0)),"RETRASO DE 3-5 MIN",IF(AND((AM439-AK439)&gt;=TIME(0,5,0),(AM439-AK439)&lt;TIME(0,10,0)),"RETRASO DE 5-10 MIN",IF((AM439-AK439)&gt;=TIME(0,10,0),"RETRASO &gt;10 MIN", IF(AND((AK439-AM439)&gt;=TIME(0,0,0),(AK439-AM439)&lt;TIME(0,3,0)),"OK",IF((AK439-AM439)&gt;=TIME(0,3,0),"ADELANTADO")))))))</f>
        <v/>
      </c>
      <c r="AM439" s="91" t="n"/>
      <c r="AN439" s="89">
        <f>IF(AE439&lt;&gt;"",HLOOKUP(VALUE(TEXT(AK439,"h:mm:ss")),IF($C$6="Laboral",$FZ$4:$GX$227,IF($C$6="Sábado",$FZ$231:$GX$452,$FZ$456:$GX$656)),VLOOKUP($C$4,$HF$2:$HH$99,3,0)+IF(AG$5="Ida",0,1),1),"")</f>
        <v/>
      </c>
      <c r="AO439" s="89">
        <f>IF(AE440&lt;&gt;AE439,AVERAGEIF(AE$9:AE439,AE439,AN$9:AN439),"")</f>
        <v/>
      </c>
      <c r="AP439" s="89">
        <f>IFERROR(IF(AE440&lt;&gt;AE439,AVERAGEIF(AE$9:AE439,AE439,AW$9:AW439),""),"")</f>
        <v/>
      </c>
      <c r="AQ439" s="89">
        <f>IFERROR(IF(AE440&lt;&gt;AE439,AVERAGEIF(AE$9:AE439,AE439,AX$9:AX439),""),"")</f>
        <v/>
      </c>
      <c r="AR439" s="89">
        <f t="array" ref="AR439">IFERROR(IF(AE440&lt;&gt;AE439,_xlfn.STDEV.P(IF(AE$9:AE439=AE439,AX$9:AX439)),""),"")</f>
        <v/>
      </c>
      <c r="AS439" s="89">
        <f t="array" ref="AS439">IFERROR(IF(AE440&lt;&gt;AE439,_xlfn.STDEV.P(IF(AE$9:AE439=AE439,AW$9:AW439)),""),"")</f>
        <v/>
      </c>
      <c r="AT439" s="90">
        <f>IFERROR(IF(AE439&lt;&gt;AE440,MAX((((AQ439*24*60)/2)*(1+POWER((((AR439*24*60) / (AQ439*24*60) )),2))) + ((AQ439*24*60 )*-0.1 + (AO439*0.015)) +1,(((AQ439*24*60)/2)*(1+POWER((((AR439*24*60) / (AQ439*24*60 ))),2)))),""),"")</f>
        <v/>
      </c>
      <c r="AU439" s="90">
        <f>IF(AND(AS439&lt;&gt;"",AP439&lt;&gt;""),IF(AE439&lt;&gt;AE440,((AP439*24*60) / 2 ) * (1 + POWER(((AS439*24*60) / (AP439*24*60)),2)),""),"")</f>
        <v/>
      </c>
      <c r="AV439" s="90">
        <f>IF(AU439&lt;&gt;"",MAX(AT439,AU439),"")</f>
        <v/>
      </c>
      <c r="AW439" s="89">
        <f>IF(AM439&lt;&gt;"H. Sale Real",IF(AND(AM440&lt;&gt;"",LEFT(AG440,2)&lt;&gt;"Va"),IF(AND(AM439&lt;&gt;"",LEFT(AG439,2)&lt;&gt;"Va",AM439&lt;&gt;"H. Sale Real"),IF(AM440-AM439&lt;0.208333333333333,AM440-AM439,""),IF(AND(AM438&lt;&gt;"",LEFT(AG438,2)&lt;&gt;"Va",AM438&lt;&gt;"H. Sale Real"),IF(AM440-AM438&lt;0.208333333333333,AM440-AM438,""),IF(AND(AM437&lt;&gt;"",LEFT(AG437,2)&lt;&gt;"Va",AM437&lt;&gt;"H. Sale Real"),IF(AM440-AM437&lt;0.208333333333333,AM440-AM437,""),IF(AND(AM436&lt;&gt;"",LEFT(AG436,2)&lt;&gt;"Va",AM436&lt;&gt;"H. Sale Real"),IF(AM440-AM436&lt;0.208333333333333,AM440-AM436,""),IF(AND(AM435&lt;&gt;"",LEFT(AG435,2)&lt;&gt;"Va",AM435&lt;&gt;"H. Sale Real"),IF(AM440-AM435&lt;0.208333333333333,AM440-AM435,""),""))))),""),"")</f>
        <v/>
      </c>
      <c r="AX439" s="89">
        <f>IF(AK439&lt;&gt;"H. Sale Real",IF(AND(AK440&lt;&gt;"",LEFT(AG440,2)&lt;&gt;"Va"),IF(AND(AK439&lt;&gt;"",LEFT(AG439,2)&lt;&gt;"Va",AK439&lt;&gt;"H. Sale Real"),IF(AK440-AK439&lt;0.208333333333333,AK440-AK439,""),IF(AND(AK438&lt;&gt;"",LEFT(AG438,2)&lt;&gt;"Va",AK438&lt;&gt;"H. Sale Real"),IF(AK440-AK438&lt;0.208333333333333,AK440-AK438,""),IF(AND(AK437&lt;&gt;"",LEFT(AG437,2)&lt;&gt;"NC",AK437&lt;&gt;"H. Sale Real"),IF(AK440-AK437&lt;0.208333333333333,AK440-AK437,""),IF(AND(AK436&lt;&gt;"",LEFT(AG436,2)&lt;&gt;"Va",AK436&lt;&gt;"H. Sale Real"),IF(AK440-AK436&lt;0.208333333333333,AK440-AK436,""),IF(AND(AK435&lt;&gt;"",LEFT(AG435,2)&lt;&gt;"Va",AK435&lt;&gt;"H. Sale Real"),IF(AK440-AK435&lt;0.208333333333333,AK440-AK435,""),""))))),""),"")</f>
        <v/>
      </c>
      <c r="AY439" s="87" t="n"/>
      <c r="AZ439" s="89" t="n"/>
      <c r="BA439" s="87" t="n"/>
      <c r="BB439" s="89" t="n"/>
      <c r="BC439" s="91" t="n"/>
      <c r="BD439" s="122">
        <f>IF(AK439&lt;&gt;"",IF(AND(BD438&lt;&gt;"IE",AT439&lt;&gt;0,AV439&lt;&gt;""),IF(IFERROR((AT439/AV439),0) &lt;=1,IFERROR(AT439/AV439,""),1),""),"")</f>
        <v/>
      </c>
      <c r="BE439" s="93" t="n"/>
      <c r="BF439" s="105" t="n"/>
      <c r="FC439" t="inlineStr">
        <is>
          <t>Diccionario 1</t>
        </is>
      </c>
      <c r="FD439" s="15" t="inlineStr"/>
      <c r="FE439" s="15" t="inlineStr">
        <is>
          <t>LDYECS83XS0045639</t>
        </is>
      </c>
      <c r="FF439" s="15" t="inlineStr">
        <is>
          <t>MJJ20025010020</t>
        </is>
      </c>
      <c r="FG439" s="15" t="inlineStr">
        <is>
          <t>Zhong Tong</t>
        </is>
      </c>
      <c r="FH439" s="15" t="inlineStr">
        <is>
          <t>LCK6850evg</t>
        </is>
      </c>
      <c r="FI439" s="15" t="inlineStr">
        <is>
          <t>ZHONGTONG</t>
        </is>
      </c>
      <c r="FJ439" s="15" t="inlineStr">
        <is>
          <t>LCK6850evg</t>
        </is>
      </c>
      <c r="FK439" s="15" t="n">
        <v>2025</v>
      </c>
      <c r="FL439" s="15" t="inlineStr">
        <is>
          <t>A</t>
        </is>
      </c>
      <c r="FM439" s="15" t="inlineStr">
        <is>
          <t>CERRILLOS</t>
        </is>
      </c>
      <c r="FN439" s="15" t="inlineStr">
        <is>
          <t>Calle Uno 7371</t>
        </is>
      </c>
      <c r="FO439" s="15" t="inlineStr">
        <is>
          <t>Cerrillos</t>
        </is>
      </c>
      <c r="FP439" t="inlineStr">
        <is>
          <t>A</t>
        </is>
      </c>
      <c r="FS439" s="14" t="inlineStr">
        <is>
          <t>9925 / SXKV-97|</t>
        </is>
      </c>
      <c r="FT439" t="inlineStr">
        <is>
          <t>SXKV-97|</t>
        </is>
      </c>
      <c r="FU439" t="inlineStr">
        <is>
          <t>SXKV-97</t>
        </is>
      </c>
      <c r="FV439">
        <f>VLOOKUP(FU439,FD:FL,9,0)</f>
        <v/>
      </c>
      <c r="HB439" s="35" t="n">
        <v>433</v>
      </c>
    </row>
    <row r="440" ht="15.5" customHeight="1">
      <c r="A440" s="10">
        <f>HOUR(G440)+1</f>
        <v/>
      </c>
      <c r="B440" s="7" t="n"/>
      <c r="C440" s="7" t="n"/>
      <c r="D440" s="85">
        <f>IFERROR(
IF(AND(OR(Planilla!B440="C",Planilla!B440="c"), VLOOKUP(E440,FD:FP,13,0)="C"), "OK",IF(AND(OR(Planilla!B440="C",Planilla!B440="c"), OR(VLOOKUP(E440,FD:FP,13,0)="B", VLOOKUP(E440,FD:FP,13,0)="A")), "DEFICIT",IF(
AND(OR(Planilla!B440="B", Planilla!B440="BPAL"), VLOOKUP(E440,FD:FP,13,0)="B"), "OK",IF(AND(OR(Planilla!B440="B", Planilla!B440="BPAL"), VLOOKUP(E440,FD:FP,13,0)="A"), "DEFICIT",IF(AND(OR(Planilla!B440="B", Planilla!B440="BPAL"), VLOOKUP(E440,FD:FP,13,0)="C"), "SOBREOFERTA",IF(AND(Planilla!B440="A", VLOOKUP(E440,FD:FP,13,0)="A"), "OK",IF(
AND(Planilla!B440="A", OR(VLOOKUP(E440,FD:FP,13,0)="B", VLOOKUP(E440,FD:FP,13,0)="C")), "SOBREOFERTA",""
))))))),"")</f>
        <v/>
      </c>
      <c r="E440" s="8" t="n"/>
      <c r="F440" s="86" t="n"/>
      <c r="G440" s="87" t="n"/>
      <c r="H440" s="88">
        <f>IF(I440="","",IF(AND((I440-G440)&gt;=TIME(0,0,0),(I440-G440)&lt;TIME(0,3,0)),"OK",IF(AND((I440-G440)&gt;=TIME(0,3,0),(I440-G440)&lt;TIME(0,5,0)),"RETRASO DE 3-5 MIN",IF(AND((I440-G440)&gt;=TIME(0,5,0),(I440-G440)&lt;TIME(0,10,0)),"RETRASO DE 5-10 MIN",IF((I440-G440)&gt;=TIME(0,10,0),"RETRASO &gt;10 MIN", IF(AND((G440-I440)&gt;=TIME(0,0,0),(G440-I440)&lt;TIME(0,3,0)),"OK",IF((G440-I440)&gt;=TIME(0,3,0),"ADELANTADO")))))))</f>
        <v/>
      </c>
      <c r="I440" s="89" t="n"/>
      <c r="J440" s="89">
        <f>IF(A440&lt;&gt;"",HLOOKUP(VALUE(TEXT(G440,"h:mm:ss")),IF($C$6="Laboral",$FZ$4:$GX$227,IF($C$6="Sábado",$FZ$231:$GX$452,$FZ$456:$GX$656)),VLOOKUP($C$4,$HF$2:$HH$99,3,0)+IF(C$5="Ida",0,1),1),"")</f>
        <v/>
      </c>
      <c r="K440" s="89">
        <f>IF(A441&lt;&gt;A440,AVERAGEIF(A$9:A440,A440,J$9:J440),"")</f>
        <v/>
      </c>
      <c r="L440" s="89">
        <f>IFERROR(IF(A441&lt;&gt;A440,AVERAGEIF(A$9:A440,A440,S$9:S440),""),"")</f>
        <v/>
      </c>
      <c r="M440" s="89">
        <f>IFERROR(IF(A441&lt;&gt;A440,AVERAGEIF(A$9:A440,A440,T$9:T440),""),"")</f>
        <v/>
      </c>
      <c r="N440" s="89">
        <f t="array" ref="N440">IFERROR(IF(A441&lt;&gt;A440,_xlfn.STDEV.P(IF(A$9:A440=A440,T$9:T440)),""),"")</f>
        <v/>
      </c>
      <c r="O440" s="89">
        <f t="array" ref="O440">IFERROR(IF(A441&lt;&gt;A440,_xlfn.STDEV.P(IF(A$9:A440=A440,S$9:S440)),""),"")</f>
        <v/>
      </c>
      <c r="P440" s="90">
        <f>IFERROR(IF(A440&lt;&gt;A441,MAX((((M440*24*60)/2)*(1+POWER((((N440*24*60) / (M440*24*60) )),2))) + ((M440*24*60 )*-0.1 + (K440*0.015)) +1,(((M440*24*60)/2)*(1+POWER((((N440*24*60) / (M440*24*60 ))),2)))),""),"")</f>
        <v/>
      </c>
      <c r="Q440" s="90">
        <f>IF(AND(O440&lt;&gt;"",L440&lt;&gt;""),IF(A440&lt;&gt;A441,((L440*24*60) / 2 ) * (1 + POWER(((O440*24*60) / (L440*24*60)),2)),""),"")</f>
        <v/>
      </c>
      <c r="R440" s="90">
        <f>IF(Q440&lt;&gt;"",MAX(P440,Q440),"")</f>
        <v/>
      </c>
      <c r="S440" s="89">
        <f>IF(I440&lt;&gt;"H. Sale Real",IF(AND(I441&lt;&gt;"",LEFT(C441,2)&lt;&gt;"Va"),IF(AND(I440&lt;&gt;"",LEFT(C440,2)&lt;&gt;"Va",I440&lt;&gt;"H. Sale Real"),IF(I441-I440&lt;0.208333333333333,I441-I440,""),IF(AND(I439&lt;&gt;"",LEFT(C439,2)&lt;&gt;"Va",I439&lt;&gt;"H. Sale Real"),IF(I441-I439&lt;0.208333333333333,I441-I439,""),IF(AND(I438&lt;&gt;"",LEFT(C438,2)&lt;&gt;"Va",I438&lt;&gt;"H. Sale Real"),IF(I441-I438&lt;0.208333333333333,I441-I438,""),IF(AND(I437&lt;&gt;"",LEFT(C437,2)&lt;&gt;"Va",I437&lt;&gt;"H. Sale Real"),IF(I441-I437&lt;0.208333333333333,I441-I437,""),IF(AND(I436&lt;&gt;"",LEFT(C436,2)&lt;&gt;"Va",I436&lt;&gt;"H. Sale Real"),IF(I441-I436&lt;0.208333333333333,I441-I436,""),""))))),""),"")</f>
        <v/>
      </c>
      <c r="T440" s="89">
        <f>IF(G440&lt;&gt;"H. Sale Real",IF(AND(G441&lt;&gt;"",LEFT(C441,2)&lt;&gt;"Va"),IF(AND(G440&lt;&gt;"",LEFT(C440,2)&lt;&gt;"Va",G440&lt;&gt;"H. Sale Real"),IF(G441-G440&lt;0.208333333333333,G441-G440,""),IF(AND(G439&lt;&gt;"",LEFT(C439,2)&lt;&gt;"Va",G439&lt;&gt;"H. Sale Real"),IF(G441-G439&lt;0.208333333333333,G441-G439,""),IF(AND(G438&lt;&gt;"",LEFT(C438,2)&lt;&gt;"Va",G438&lt;&gt;"H. Sale Real"),IF(G441-G438&lt;0.208333333333333,G441-G438,""),IF(AND(G437&lt;&gt;"",LEFT(C437,2)&lt;&gt;"Va",G437&lt;&gt;"H. Sale Real"),IF(G441-G437&lt;0.208333333333333,G441-G437,""),IF(AND(G436&lt;&gt;"",LEFT(C436,2)&lt;&gt;"Va",G436&lt;&gt;"H. Sale Real"),IF(G441-G436&lt;0.208333333333333,G441-G436,""),""))))),""),"")</f>
        <v/>
      </c>
      <c r="U440" s="87" t="n"/>
      <c r="V440" s="89" t="n"/>
      <c r="W440" s="87" t="n"/>
      <c r="X440" s="89" t="n"/>
      <c r="Y440" s="91" t="n"/>
      <c r="Z440" s="122">
        <f>IF(G440&lt;&gt;"",IF(AND(Z439&lt;&gt;"IE",P440&lt;&gt;0,R440&lt;&gt;""),IF(IFERROR((P440/R440),0) &lt;=1,IFERROR(P440/R440,""),1),""),"")</f>
        <v/>
      </c>
      <c r="AA440" s="93" t="n"/>
      <c r="AB440" s="2" t="n"/>
      <c r="AE440" s="10">
        <f>HOUR(AK440)+1</f>
        <v/>
      </c>
      <c r="AF440" s="7" t="n"/>
      <c r="AG440" s="7" t="n"/>
      <c r="AH440" s="86" t="n"/>
      <c r="AI440" s="8" t="n"/>
      <c r="AJ440" s="86" t="n"/>
      <c r="AK440" s="87" t="n"/>
      <c r="AL440" s="88">
        <f>IF(AM440="","",IF(AND((AM440-AK440)&gt;=TIME(0,0,0),(AM440-AK440)&lt;TIME(0,3,0)),"OK",IF(AND((AM440-AK440)&gt;=TIME(0,3,0),(AM440-AK440)&lt;TIME(0,5,0)),"RETRASO DE 3-5 MIN",IF(AND((AM440-AK440)&gt;=TIME(0,5,0),(AM440-AK440)&lt;TIME(0,10,0)),"RETRASO DE 5-10 MIN",IF((AM440-AK440)&gt;=TIME(0,10,0),"RETRASO &gt;10 MIN", IF(AND((AK440-AM440)&gt;=TIME(0,0,0),(AK440-AM440)&lt;TIME(0,3,0)),"OK",IF((AK440-AM440)&gt;=TIME(0,3,0),"ADELANTADO")))))))</f>
        <v/>
      </c>
      <c r="AM440" s="91" t="n"/>
      <c r="AN440" s="89">
        <f>IF(AE440&lt;&gt;"",HLOOKUP(VALUE(TEXT(AK440,"h:mm:ss")),IF($C$6="Laboral",$FZ$4:$GX$227,IF($C$6="Sábado",$FZ$231:$GX$452,$FZ$456:$GX$656)),VLOOKUP($C$4,$HF$2:$HH$99,3,0)+IF(AG$5="Ida",0,1),1),"")</f>
        <v/>
      </c>
      <c r="AO440" s="89">
        <f>IF(AE441&lt;&gt;AE440,AVERAGEIF(AE$9:AE440,AE440,AN$9:AN440),"")</f>
        <v/>
      </c>
      <c r="AP440" s="89">
        <f>IFERROR(IF(AE441&lt;&gt;AE440,AVERAGEIF(AE$9:AE440,AE440,AW$9:AW440),""),"")</f>
        <v/>
      </c>
      <c r="AQ440" s="89">
        <f>IFERROR(IF(AE441&lt;&gt;AE440,AVERAGEIF(AE$9:AE440,AE440,AX$9:AX440),""),"")</f>
        <v/>
      </c>
      <c r="AR440" s="89">
        <f t="array" ref="AR440">IFERROR(IF(AE441&lt;&gt;AE440,_xlfn.STDEV.P(IF(AE$9:AE440=AE440,AX$9:AX440)),""),"")</f>
        <v/>
      </c>
      <c r="AS440" s="89">
        <f t="array" ref="AS440">IFERROR(IF(AE441&lt;&gt;AE440,_xlfn.STDEV.P(IF(AE$9:AE440=AE440,AW$9:AW440)),""),"")</f>
        <v/>
      </c>
      <c r="AT440" s="90">
        <f>IFERROR(IF(AE440&lt;&gt;AE441,MAX((((AQ440*24*60)/2)*(1+POWER((((AR440*24*60) / (AQ440*24*60) )),2))) + ((AQ440*24*60 )*-0.1 + (AO440*0.015)) +1,(((AQ440*24*60)/2)*(1+POWER((((AR440*24*60) / (AQ440*24*60 ))),2)))),""),"")</f>
        <v/>
      </c>
      <c r="AU440" s="90">
        <f>IF(AND(AS440&lt;&gt;"",AP440&lt;&gt;""),IF(AE440&lt;&gt;AE441,((AP440*24*60) / 2 ) * (1 + POWER(((AS440*24*60) / (AP440*24*60)),2)),""),"")</f>
        <v/>
      </c>
      <c r="AV440" s="90">
        <f>IF(AU440&lt;&gt;"",MAX(AT440,AU440),"")</f>
        <v/>
      </c>
      <c r="AW440" s="89">
        <f>IF(AM440&lt;&gt;"H. Sale Real",IF(AND(AM441&lt;&gt;"",LEFT(AG441,2)&lt;&gt;"Va"),IF(AND(AM440&lt;&gt;"",LEFT(AG440,2)&lt;&gt;"Va",AM440&lt;&gt;"H. Sale Real"),IF(AM441-AM440&lt;0.208333333333333,AM441-AM440,""),IF(AND(AM439&lt;&gt;"",LEFT(AG439,2)&lt;&gt;"Va",AM439&lt;&gt;"H. Sale Real"),IF(AM441-AM439&lt;0.208333333333333,AM441-AM439,""),IF(AND(AM438&lt;&gt;"",LEFT(AG438,2)&lt;&gt;"Va",AM438&lt;&gt;"H. Sale Real"),IF(AM441-AM438&lt;0.208333333333333,AM441-AM438,""),IF(AND(AM437&lt;&gt;"",LEFT(AG437,2)&lt;&gt;"Va",AM437&lt;&gt;"H. Sale Real"),IF(AM441-AM437&lt;0.208333333333333,AM441-AM437,""),IF(AND(AM436&lt;&gt;"",LEFT(AG436,2)&lt;&gt;"Va",AM436&lt;&gt;"H. Sale Real"),IF(AM441-AM436&lt;0.208333333333333,AM441-AM436,""),""))))),""),"")</f>
        <v/>
      </c>
      <c r="AX440" s="89">
        <f>IF(AK440&lt;&gt;"H. Sale Real",IF(AND(AK441&lt;&gt;"",LEFT(AG441,2)&lt;&gt;"Va"),IF(AND(AK440&lt;&gt;"",LEFT(AG440,2)&lt;&gt;"Va",AK440&lt;&gt;"H. Sale Real"),IF(AK441-AK440&lt;0.208333333333333,AK441-AK440,""),IF(AND(AK439&lt;&gt;"",LEFT(AG439,2)&lt;&gt;"Va",AK439&lt;&gt;"H. Sale Real"),IF(AK441-AK439&lt;0.208333333333333,AK441-AK439,""),IF(AND(AK438&lt;&gt;"",LEFT(AG438,2)&lt;&gt;"NC",AK438&lt;&gt;"H. Sale Real"),IF(AK441-AK438&lt;0.208333333333333,AK441-AK438,""),IF(AND(AK437&lt;&gt;"",LEFT(AG437,2)&lt;&gt;"Va",AK437&lt;&gt;"H. Sale Real"),IF(AK441-AK437&lt;0.208333333333333,AK441-AK437,""),IF(AND(AK436&lt;&gt;"",LEFT(AG436,2)&lt;&gt;"Va",AK436&lt;&gt;"H. Sale Real"),IF(AK441-AK436&lt;0.208333333333333,AK441-AK436,""),""))))),""),"")</f>
        <v/>
      </c>
      <c r="AY440" s="87" t="n"/>
      <c r="AZ440" s="89" t="n"/>
      <c r="BA440" s="87" t="n"/>
      <c r="BB440" s="89" t="n"/>
      <c r="BC440" s="91" t="n"/>
      <c r="BD440" s="122">
        <f>IF(AK440&lt;&gt;"",IF(AND(BD439&lt;&gt;"IE",AT440&lt;&gt;0,AV440&lt;&gt;""),IF(IFERROR((AT440/AV440),0) &lt;=1,IFERROR(AT440/AV440,""),1),""),"")</f>
        <v/>
      </c>
      <c r="BE440" s="93" t="n"/>
      <c r="BF440" s="105" t="n"/>
      <c r="FC440" t="inlineStr">
        <is>
          <t>Diccionario 1</t>
        </is>
      </c>
      <c r="FD440" s="15" t="inlineStr"/>
      <c r="FE440" s="15" t="inlineStr">
        <is>
          <t>LDYECS831S0045626</t>
        </is>
      </c>
      <c r="FF440" s="15" t="inlineStr">
        <is>
          <t>MJJ20025010058</t>
        </is>
      </c>
      <c r="FG440" s="15" t="inlineStr">
        <is>
          <t>Zhong Tong</t>
        </is>
      </c>
      <c r="FH440" s="15" t="inlineStr">
        <is>
          <t>LCK6850evg</t>
        </is>
      </c>
      <c r="FI440" s="15" t="inlineStr">
        <is>
          <t>ZHONGTONG</t>
        </is>
      </c>
      <c r="FJ440" s="15" t="inlineStr">
        <is>
          <t>LCK6850evg</t>
        </is>
      </c>
      <c r="FK440" s="15" t="n">
        <v>2025</v>
      </c>
      <c r="FL440" s="15" t="inlineStr">
        <is>
          <t>A</t>
        </is>
      </c>
      <c r="FM440" s="15" t="inlineStr">
        <is>
          <t>CERRILLOS</t>
        </is>
      </c>
      <c r="FN440" s="15" t="inlineStr">
        <is>
          <t>Calle Uno 7371</t>
        </is>
      </c>
      <c r="FO440" s="15" t="inlineStr">
        <is>
          <t>Cerrillos</t>
        </is>
      </c>
      <c r="FP440" t="inlineStr">
        <is>
          <t>A</t>
        </is>
      </c>
      <c r="FS440" s="14" t="inlineStr">
        <is>
          <t>9925 / SXKV-97|</t>
        </is>
      </c>
      <c r="FT440" t="inlineStr">
        <is>
          <t>SXKV-97|</t>
        </is>
      </c>
      <c r="FU440" t="inlineStr">
        <is>
          <t>SXKV-97</t>
        </is>
      </c>
      <c r="FV440">
        <f>VLOOKUP(FU440,FD:FL,9,0)</f>
        <v/>
      </c>
      <c r="HB440" s="35" t="n">
        <v>434</v>
      </c>
    </row>
    <row r="441" ht="15.5" customHeight="1">
      <c r="A441" s="10">
        <f>HOUR(G441)+1</f>
        <v/>
      </c>
      <c r="B441" s="7" t="n"/>
      <c r="C441" s="7" t="n"/>
      <c r="D441" s="85">
        <f>IFERROR(
IF(AND(OR(Planilla!B441="C",Planilla!B441="c"), VLOOKUP(E441,FD:FP,13,0)="C"), "OK",IF(AND(OR(Planilla!B441="C",Planilla!B441="c"), OR(VLOOKUP(E441,FD:FP,13,0)="B", VLOOKUP(E441,FD:FP,13,0)="A")), "DEFICIT",IF(
AND(OR(Planilla!B441="B", Planilla!B441="BPAL"), VLOOKUP(E441,FD:FP,13,0)="B"), "OK",IF(AND(OR(Planilla!B441="B", Planilla!B441="BPAL"), VLOOKUP(E441,FD:FP,13,0)="A"), "DEFICIT",IF(AND(OR(Planilla!B441="B", Planilla!B441="BPAL"), VLOOKUP(E441,FD:FP,13,0)="C"), "SOBREOFERTA",IF(AND(Planilla!B441="A", VLOOKUP(E441,FD:FP,13,0)="A"), "OK",IF(
AND(Planilla!B441="A", OR(VLOOKUP(E441,FD:FP,13,0)="B", VLOOKUP(E441,FD:FP,13,0)="C")), "SOBREOFERTA",""
))))))),"")</f>
        <v/>
      </c>
      <c r="E441" s="8" t="n"/>
      <c r="F441" s="86" t="n"/>
      <c r="G441" s="87" t="n"/>
      <c r="H441" s="88">
        <f>IF(I441="","",IF(AND((I441-G441)&gt;=TIME(0,0,0),(I441-G441)&lt;TIME(0,3,0)),"OK",IF(AND((I441-G441)&gt;=TIME(0,3,0),(I441-G441)&lt;TIME(0,5,0)),"RETRASO DE 3-5 MIN",IF(AND((I441-G441)&gt;=TIME(0,5,0),(I441-G441)&lt;TIME(0,10,0)),"RETRASO DE 5-10 MIN",IF((I441-G441)&gt;=TIME(0,10,0),"RETRASO &gt;10 MIN", IF(AND((G441-I441)&gt;=TIME(0,0,0),(G441-I441)&lt;TIME(0,3,0)),"OK",IF((G441-I441)&gt;=TIME(0,3,0),"ADELANTADO")))))))</f>
        <v/>
      </c>
      <c r="I441" s="89" t="n"/>
      <c r="J441" s="89">
        <f>IF(A441&lt;&gt;"",HLOOKUP(VALUE(TEXT(G441,"h:mm:ss")),IF($C$6="Laboral",$FZ$4:$GX$227,IF($C$6="Sábado",$FZ$231:$GX$452,$FZ$456:$GX$656)),VLOOKUP($C$4,$HF$2:$HH$99,3,0)+IF(C$5="Ida",0,1),1),"")</f>
        <v/>
      </c>
      <c r="K441" s="89">
        <f>IF(A442&lt;&gt;A441,AVERAGEIF(A$9:A441,A441,J$9:J441),"")</f>
        <v/>
      </c>
      <c r="L441" s="89">
        <f>IFERROR(IF(A442&lt;&gt;A441,AVERAGEIF(A$9:A441,A441,S$9:S441),""),"")</f>
        <v/>
      </c>
      <c r="M441" s="89">
        <f>IFERROR(IF(A442&lt;&gt;A441,AVERAGEIF(A$9:A441,A441,T$9:T441),""),"")</f>
        <v/>
      </c>
      <c r="N441" s="89">
        <f t="array" ref="N441">IFERROR(IF(A442&lt;&gt;A441,_xlfn.STDEV.P(IF(A$9:A441=A441,T$9:T441)),""),"")</f>
        <v/>
      </c>
      <c r="O441" s="89">
        <f t="array" ref="O441">IFERROR(IF(A442&lt;&gt;A441,_xlfn.STDEV.P(IF(A$9:A441=A441,S$9:S441)),""),"")</f>
        <v/>
      </c>
      <c r="P441" s="90">
        <f>IFERROR(IF(A441&lt;&gt;A442,MAX((((M441*24*60)/2)*(1+POWER((((N441*24*60) / (M441*24*60) )),2))) + ((M441*24*60 )*-0.1 + (K441*0.015)) +1,(((M441*24*60)/2)*(1+POWER((((N441*24*60) / (M441*24*60 ))),2)))),""),"")</f>
        <v/>
      </c>
      <c r="Q441" s="90">
        <f>IF(AND(O441&lt;&gt;"",L441&lt;&gt;""),IF(A441&lt;&gt;A442,((L441*24*60) / 2 ) * (1 + POWER(((O441*24*60) / (L441*24*60)),2)),""),"")</f>
        <v/>
      </c>
      <c r="R441" s="90">
        <f>IF(Q441&lt;&gt;"",MAX(P441,Q441),"")</f>
        <v/>
      </c>
      <c r="S441" s="89">
        <f>IF(I441&lt;&gt;"H. Sale Real",IF(AND(I442&lt;&gt;"",LEFT(C442,2)&lt;&gt;"Va"),IF(AND(I441&lt;&gt;"",LEFT(C441,2)&lt;&gt;"Va",I441&lt;&gt;"H. Sale Real"),IF(I442-I441&lt;0.208333333333333,I442-I441,""),IF(AND(I440&lt;&gt;"",LEFT(C440,2)&lt;&gt;"Va",I440&lt;&gt;"H. Sale Real"),IF(I442-I440&lt;0.208333333333333,I442-I440,""),IF(AND(I439&lt;&gt;"",LEFT(C439,2)&lt;&gt;"Va",I439&lt;&gt;"H. Sale Real"),IF(I442-I439&lt;0.208333333333333,I442-I439,""),IF(AND(I438&lt;&gt;"",LEFT(C438,2)&lt;&gt;"Va",I438&lt;&gt;"H. Sale Real"),IF(I442-I438&lt;0.208333333333333,I442-I438,""),IF(AND(I437&lt;&gt;"",LEFT(C437,2)&lt;&gt;"Va",I437&lt;&gt;"H. Sale Real"),IF(I442-I437&lt;0.208333333333333,I442-I437,""),""))))),""),"")</f>
        <v/>
      </c>
      <c r="T441" s="89">
        <f>IF(G441&lt;&gt;"H. Sale Real",IF(AND(G442&lt;&gt;"",LEFT(C442,2)&lt;&gt;"Va"),IF(AND(G441&lt;&gt;"",LEFT(C441,2)&lt;&gt;"Va",G441&lt;&gt;"H. Sale Real"),IF(G442-G441&lt;0.208333333333333,G442-G441,""),IF(AND(G440&lt;&gt;"",LEFT(C440,2)&lt;&gt;"Va",G440&lt;&gt;"H. Sale Real"),IF(G442-G440&lt;0.208333333333333,G442-G440,""),IF(AND(G439&lt;&gt;"",LEFT(C439,2)&lt;&gt;"Va",G439&lt;&gt;"H. Sale Real"),IF(G442-G439&lt;0.208333333333333,G442-G439,""),IF(AND(G438&lt;&gt;"",LEFT(C438,2)&lt;&gt;"Va",G438&lt;&gt;"H. Sale Real"),IF(G442-G438&lt;0.208333333333333,G442-G438,""),IF(AND(G437&lt;&gt;"",LEFT(C437,2)&lt;&gt;"Va",G437&lt;&gt;"H. Sale Real"),IF(G442-G437&lt;0.208333333333333,G442-G437,""),""))))),""),"")</f>
        <v/>
      </c>
      <c r="U441" s="87" t="n"/>
      <c r="V441" s="89" t="n"/>
      <c r="W441" s="87" t="n"/>
      <c r="X441" s="89" t="n"/>
      <c r="Y441" s="91" t="n"/>
      <c r="Z441" s="122">
        <f>IF(G441&lt;&gt;"",IF(AND(Z440&lt;&gt;"IE",P441&lt;&gt;0,R441&lt;&gt;""),IF(IFERROR((P441/R441),0) &lt;=1,IFERROR(P441/R441,""),1),""),"")</f>
        <v/>
      </c>
      <c r="AA441" s="93" t="n"/>
      <c r="AB441" s="2" t="n"/>
      <c r="AE441" s="10">
        <f>HOUR(AK441)+1</f>
        <v/>
      </c>
      <c r="AF441" s="7" t="n"/>
      <c r="AG441" s="7" t="n"/>
      <c r="AH441" s="86" t="n"/>
      <c r="AI441" s="8" t="n"/>
      <c r="AJ441" s="86" t="n"/>
      <c r="AK441" s="87" t="n"/>
      <c r="AL441" s="88">
        <f>IF(AM441="","",IF(AND((AM441-AK441)&gt;=TIME(0,0,0),(AM441-AK441)&lt;TIME(0,3,0)),"OK",IF(AND((AM441-AK441)&gt;=TIME(0,3,0),(AM441-AK441)&lt;TIME(0,5,0)),"RETRASO DE 3-5 MIN",IF(AND((AM441-AK441)&gt;=TIME(0,5,0),(AM441-AK441)&lt;TIME(0,10,0)),"RETRASO DE 5-10 MIN",IF((AM441-AK441)&gt;=TIME(0,10,0),"RETRASO &gt;10 MIN", IF(AND((AK441-AM441)&gt;=TIME(0,0,0),(AK441-AM441)&lt;TIME(0,3,0)),"OK",IF((AK441-AM441)&gt;=TIME(0,3,0),"ADELANTADO")))))))</f>
        <v/>
      </c>
      <c r="AM441" s="91" t="n"/>
      <c r="AN441" s="89">
        <f>IF(AE441&lt;&gt;"",HLOOKUP(VALUE(TEXT(AK441,"h:mm:ss")),IF($C$6="Laboral",$FZ$4:$GX$227,IF($C$6="Sábado",$FZ$231:$GX$452,$FZ$456:$GX$656)),VLOOKUP($C$4,$HF$2:$HH$99,3,0)+IF(AG$5="Ida",0,1),1),"")</f>
        <v/>
      </c>
      <c r="AO441" s="89">
        <f>IF(AE442&lt;&gt;AE441,AVERAGEIF(AE$9:AE441,AE441,AN$9:AN441),"")</f>
        <v/>
      </c>
      <c r="AP441" s="89">
        <f>IFERROR(IF(AE442&lt;&gt;AE441,AVERAGEIF(AE$9:AE441,AE441,AW$9:AW441),""),"")</f>
        <v/>
      </c>
      <c r="AQ441" s="89">
        <f>IFERROR(IF(AE442&lt;&gt;AE441,AVERAGEIF(AE$9:AE441,AE441,AX$9:AX441),""),"")</f>
        <v/>
      </c>
      <c r="AR441" s="89">
        <f t="array" ref="AR441">IFERROR(IF(AE442&lt;&gt;AE441,_xlfn.STDEV.P(IF(AE$9:AE441=AE441,AX$9:AX441)),""),"")</f>
        <v/>
      </c>
      <c r="AS441" s="89">
        <f t="array" ref="AS441">IFERROR(IF(AE442&lt;&gt;AE441,_xlfn.STDEV.P(IF(AE$9:AE441=AE441,AW$9:AW441)),""),"")</f>
        <v/>
      </c>
      <c r="AT441" s="90">
        <f>IFERROR(IF(AE441&lt;&gt;AE442,MAX((((AQ441*24*60)/2)*(1+POWER((((AR441*24*60) / (AQ441*24*60) )),2))) + ((AQ441*24*60 )*-0.1 + (AO441*0.015)) +1,(((AQ441*24*60)/2)*(1+POWER((((AR441*24*60) / (AQ441*24*60 ))),2)))),""),"")</f>
        <v/>
      </c>
      <c r="AU441" s="90">
        <f>IF(AND(AS441&lt;&gt;"",AP441&lt;&gt;""),IF(AE441&lt;&gt;AE442,((AP441*24*60) / 2 ) * (1 + POWER(((AS441*24*60) / (AP441*24*60)),2)),""),"")</f>
        <v/>
      </c>
      <c r="AV441" s="90">
        <f>IF(AU441&lt;&gt;"",MAX(AT441,AU441),"")</f>
        <v/>
      </c>
      <c r="AW441" s="89">
        <f>IF(AM441&lt;&gt;"H. Sale Real",IF(AND(AM442&lt;&gt;"",LEFT(AG442,2)&lt;&gt;"Va"),IF(AND(AM441&lt;&gt;"",LEFT(AG441,2)&lt;&gt;"Va",AM441&lt;&gt;"H. Sale Real"),IF(AM442-AM441&lt;0.208333333333333,AM442-AM441,""),IF(AND(AM440&lt;&gt;"",LEFT(AG440,2)&lt;&gt;"Va",AM440&lt;&gt;"H. Sale Real"),IF(AM442-AM440&lt;0.208333333333333,AM442-AM440,""),IF(AND(AM439&lt;&gt;"",LEFT(AG439,2)&lt;&gt;"Va",AM439&lt;&gt;"H. Sale Real"),IF(AM442-AM439&lt;0.208333333333333,AM442-AM439,""),IF(AND(AM438&lt;&gt;"",LEFT(AG438,2)&lt;&gt;"Va",AM438&lt;&gt;"H. Sale Real"),IF(AM442-AM438&lt;0.208333333333333,AM442-AM438,""),IF(AND(AM437&lt;&gt;"",LEFT(AG437,2)&lt;&gt;"Va",AM437&lt;&gt;"H. Sale Real"),IF(AM442-AM437&lt;0.208333333333333,AM442-AM437,""),""))))),""),"")</f>
        <v/>
      </c>
      <c r="AX441" s="89">
        <f>IF(AK441&lt;&gt;"H. Sale Real",IF(AND(AK442&lt;&gt;"",LEFT(AG442,2)&lt;&gt;"Va"),IF(AND(AK441&lt;&gt;"",LEFT(AG441,2)&lt;&gt;"Va",AK441&lt;&gt;"H. Sale Real"),IF(AK442-AK441&lt;0.208333333333333,AK442-AK441,""),IF(AND(AK440&lt;&gt;"",LEFT(AG440,2)&lt;&gt;"Va",AK440&lt;&gt;"H. Sale Real"),IF(AK442-AK440&lt;0.208333333333333,AK442-AK440,""),IF(AND(AK439&lt;&gt;"",LEFT(AG439,2)&lt;&gt;"NC",AK439&lt;&gt;"H. Sale Real"),IF(AK442-AK439&lt;0.208333333333333,AK442-AK439,""),IF(AND(AK438&lt;&gt;"",LEFT(AG438,2)&lt;&gt;"Va",AK438&lt;&gt;"H. Sale Real"),IF(AK442-AK438&lt;0.208333333333333,AK442-AK438,""),IF(AND(AK437&lt;&gt;"",LEFT(AG437,2)&lt;&gt;"Va",AK437&lt;&gt;"H. Sale Real"),IF(AK442-AK437&lt;0.208333333333333,AK442-AK437,""),""))))),""),"")</f>
        <v/>
      </c>
      <c r="AY441" s="87" t="n"/>
      <c r="AZ441" s="89" t="n"/>
      <c r="BA441" s="87" t="n"/>
      <c r="BB441" s="89" t="n"/>
      <c r="BC441" s="91" t="n"/>
      <c r="BD441" s="122">
        <f>IF(AK441&lt;&gt;"",IF(AND(BD440&lt;&gt;"IE",AT441&lt;&gt;0,AV441&lt;&gt;""),IF(IFERROR((AT441/AV441),0) &lt;=1,IFERROR(AT441/AV441,""),1),""),"")</f>
        <v/>
      </c>
      <c r="BE441" s="93" t="n"/>
      <c r="BF441" s="105" t="n"/>
      <c r="FC441" t="inlineStr">
        <is>
          <t>Diccionario 1</t>
        </is>
      </c>
      <c r="FD441" s="15" t="inlineStr"/>
      <c r="FE441" s="15" t="inlineStr">
        <is>
          <t>LDYECS833S0045644</t>
        </is>
      </c>
      <c r="FF441" s="15" t="inlineStr">
        <is>
          <t>MJJ20025010033</t>
        </is>
      </c>
      <c r="FG441" s="15" t="inlineStr">
        <is>
          <t>Zhong Tong</t>
        </is>
      </c>
      <c r="FH441" s="15" t="inlineStr">
        <is>
          <t>LCK6850evg</t>
        </is>
      </c>
      <c r="FI441" s="15" t="inlineStr">
        <is>
          <t>ZHONGTONG</t>
        </is>
      </c>
      <c r="FJ441" s="15" t="inlineStr">
        <is>
          <t>LCK6850evg</t>
        </is>
      </c>
      <c r="FK441" s="15" t="n">
        <v>2025</v>
      </c>
      <c r="FL441" s="15" t="inlineStr">
        <is>
          <t>A</t>
        </is>
      </c>
      <c r="FM441" s="15" t="inlineStr">
        <is>
          <t>CERRILLOS</t>
        </is>
      </c>
      <c r="FN441" s="15" t="inlineStr">
        <is>
          <t>Calle Uno 7371</t>
        </is>
      </c>
      <c r="FO441" s="15" t="inlineStr">
        <is>
          <t>Cerrillos</t>
        </is>
      </c>
      <c r="FP441" t="inlineStr">
        <is>
          <t>A</t>
        </is>
      </c>
      <c r="FS441" s="14" t="inlineStr">
        <is>
          <t>9925 / SXKV-97|</t>
        </is>
      </c>
      <c r="FT441" t="inlineStr">
        <is>
          <t>SXKV-97|</t>
        </is>
      </c>
      <c r="FU441" t="inlineStr">
        <is>
          <t>SXKV-97</t>
        </is>
      </c>
      <c r="FV441">
        <f>VLOOKUP(FU441,FD:FL,9,0)</f>
        <v/>
      </c>
      <c r="HB441" s="35" t="n">
        <v>435</v>
      </c>
    </row>
    <row r="442" ht="15.5" customHeight="1">
      <c r="A442" s="10">
        <f>HOUR(G442)+1</f>
        <v/>
      </c>
      <c r="B442" s="7" t="n"/>
      <c r="C442" s="7" t="n"/>
      <c r="D442" s="85">
        <f>IFERROR(
IF(AND(OR(Planilla!B442="C",Planilla!B442="c"), VLOOKUP(E442,FD:FP,13,0)="C"), "OK",IF(AND(OR(Planilla!B442="C",Planilla!B442="c"), OR(VLOOKUP(E442,FD:FP,13,0)="B", VLOOKUP(E442,FD:FP,13,0)="A")), "DEFICIT",IF(
AND(OR(Planilla!B442="B", Planilla!B442="BPAL"), VLOOKUP(E442,FD:FP,13,0)="B"), "OK",IF(AND(OR(Planilla!B442="B", Planilla!B442="BPAL"), VLOOKUP(E442,FD:FP,13,0)="A"), "DEFICIT",IF(AND(OR(Planilla!B442="B", Planilla!B442="BPAL"), VLOOKUP(E442,FD:FP,13,0)="C"), "SOBREOFERTA",IF(AND(Planilla!B442="A", VLOOKUP(E442,FD:FP,13,0)="A"), "OK",IF(
AND(Planilla!B442="A", OR(VLOOKUP(E442,FD:FP,13,0)="B", VLOOKUP(E442,FD:FP,13,0)="C")), "SOBREOFERTA",""
))))))),"")</f>
        <v/>
      </c>
      <c r="E442" s="8" t="n"/>
      <c r="F442" s="86" t="n"/>
      <c r="G442" s="87" t="n"/>
      <c r="H442" s="88">
        <f>IF(I442="","",IF(AND((I442-G442)&gt;=TIME(0,0,0),(I442-G442)&lt;TIME(0,3,0)),"OK",IF(AND((I442-G442)&gt;=TIME(0,3,0),(I442-G442)&lt;TIME(0,5,0)),"RETRASO DE 3-5 MIN",IF(AND((I442-G442)&gt;=TIME(0,5,0),(I442-G442)&lt;TIME(0,10,0)),"RETRASO DE 5-10 MIN",IF((I442-G442)&gt;=TIME(0,10,0),"RETRASO &gt;10 MIN", IF(AND((G442-I442)&gt;=TIME(0,0,0),(G442-I442)&lt;TIME(0,3,0)),"OK",IF((G442-I442)&gt;=TIME(0,3,0),"ADELANTADO")))))))</f>
        <v/>
      </c>
      <c r="I442" s="89" t="n"/>
      <c r="J442" s="89">
        <f>IF(A442&lt;&gt;"",HLOOKUP(VALUE(TEXT(G442,"h:mm:ss")),IF($C$6="Laboral",$FZ$4:$GX$227,IF($C$6="Sábado",$FZ$231:$GX$452,$FZ$456:$GX$656)),VLOOKUP($C$4,$HF$2:$HH$99,3,0)+IF(C$5="Ida",0,1),1),"")</f>
        <v/>
      </c>
      <c r="K442" s="89">
        <f>IF(A443&lt;&gt;A442,AVERAGEIF(A$9:A442,A442,J$9:J442),"")</f>
        <v/>
      </c>
      <c r="L442" s="89">
        <f>IFERROR(IF(A443&lt;&gt;A442,AVERAGEIF(A$9:A442,A442,S$9:S442),""),"")</f>
        <v/>
      </c>
      <c r="M442" s="89">
        <f>IFERROR(IF(A443&lt;&gt;A442,AVERAGEIF(A$9:A442,A442,T$9:T442),""),"")</f>
        <v/>
      </c>
      <c r="N442" s="89">
        <f t="array" ref="N442">IFERROR(IF(A443&lt;&gt;A442,_xlfn.STDEV.P(IF(A$9:A442=A442,T$9:T442)),""),"")</f>
        <v/>
      </c>
      <c r="O442" s="89">
        <f t="array" ref="O442">IFERROR(IF(A443&lt;&gt;A442,_xlfn.STDEV.P(IF(A$9:A442=A442,S$9:S442)),""),"")</f>
        <v/>
      </c>
      <c r="P442" s="90">
        <f>IFERROR(IF(A442&lt;&gt;A443,MAX((((M442*24*60)/2)*(1+POWER((((N442*24*60) / (M442*24*60) )),2))) + ((M442*24*60 )*-0.1 + (K442*0.015)) +1,(((M442*24*60)/2)*(1+POWER((((N442*24*60) / (M442*24*60 ))),2)))),""),"")</f>
        <v/>
      </c>
      <c r="Q442" s="90">
        <f>IF(AND(O442&lt;&gt;"",L442&lt;&gt;""),IF(A442&lt;&gt;A443,((L442*24*60) / 2 ) * (1 + POWER(((O442*24*60) / (L442*24*60)),2)),""),"")</f>
        <v/>
      </c>
      <c r="R442" s="90">
        <f>IF(Q442&lt;&gt;"",MAX(P442,Q442),"")</f>
        <v/>
      </c>
      <c r="S442" s="89">
        <f>IF(I442&lt;&gt;"H. Sale Real",IF(AND(I443&lt;&gt;"",LEFT(C443,2)&lt;&gt;"Va"),IF(AND(I442&lt;&gt;"",LEFT(C442,2)&lt;&gt;"Va",I442&lt;&gt;"H. Sale Real"),IF(I443-I442&lt;0.208333333333333,I443-I442,""),IF(AND(I441&lt;&gt;"",LEFT(C441,2)&lt;&gt;"Va",I441&lt;&gt;"H. Sale Real"),IF(I443-I441&lt;0.208333333333333,I443-I441,""),IF(AND(I440&lt;&gt;"",LEFT(C440,2)&lt;&gt;"Va",I440&lt;&gt;"H. Sale Real"),IF(I443-I440&lt;0.208333333333333,I443-I440,""),IF(AND(I439&lt;&gt;"",LEFT(C439,2)&lt;&gt;"Va",I439&lt;&gt;"H. Sale Real"),IF(I443-I439&lt;0.208333333333333,I443-I439,""),IF(AND(I438&lt;&gt;"",LEFT(C438,2)&lt;&gt;"Va",I438&lt;&gt;"H. Sale Real"),IF(I443-I438&lt;0.208333333333333,I443-I438,""),""))))),""),"")</f>
        <v/>
      </c>
      <c r="T442" s="89">
        <f>IF(G442&lt;&gt;"H. Sale Real",IF(AND(G443&lt;&gt;"",LEFT(C443,2)&lt;&gt;"Va"),IF(AND(G442&lt;&gt;"",LEFT(C442,2)&lt;&gt;"Va",G442&lt;&gt;"H. Sale Real"),IF(G443-G442&lt;0.208333333333333,G443-G442,""),IF(AND(G441&lt;&gt;"",LEFT(C441,2)&lt;&gt;"Va",G441&lt;&gt;"H. Sale Real"),IF(G443-G441&lt;0.208333333333333,G443-G441,""),IF(AND(G440&lt;&gt;"",LEFT(C440,2)&lt;&gt;"Va",G440&lt;&gt;"H. Sale Real"),IF(G443-G440&lt;0.208333333333333,G443-G440,""),IF(AND(G439&lt;&gt;"",LEFT(C439,2)&lt;&gt;"Va",G439&lt;&gt;"H. Sale Real"),IF(G443-G439&lt;0.208333333333333,G443-G439,""),IF(AND(G438&lt;&gt;"",LEFT(C438,2)&lt;&gt;"Va",G438&lt;&gt;"H. Sale Real"),IF(G443-G438&lt;0.208333333333333,G443-G438,""),""))))),""),"")</f>
        <v/>
      </c>
      <c r="U442" s="87" t="n"/>
      <c r="V442" s="89" t="n"/>
      <c r="W442" s="87" t="n"/>
      <c r="X442" s="89" t="n"/>
      <c r="Y442" s="91" t="n"/>
      <c r="Z442" s="122">
        <f>IF(G442&lt;&gt;"",IF(AND(Z441&lt;&gt;"IE",P442&lt;&gt;0,R442&lt;&gt;""),IF(IFERROR((P442/R442),0) &lt;=1,IFERROR(P442/R442,""),1),""),"")</f>
        <v/>
      </c>
      <c r="AA442" s="93" t="n"/>
      <c r="AB442" s="2" t="n"/>
      <c r="AE442" s="10">
        <f>HOUR(AK442)+1</f>
        <v/>
      </c>
      <c r="AF442" s="7" t="n"/>
      <c r="AG442" s="7" t="n"/>
      <c r="AH442" s="86" t="n"/>
      <c r="AI442" s="8" t="n"/>
      <c r="AJ442" s="86" t="n"/>
      <c r="AK442" s="87" t="n"/>
      <c r="AL442" s="88">
        <f>IF(AM442="","",IF(AND((AM442-AK442)&gt;=TIME(0,0,0),(AM442-AK442)&lt;TIME(0,3,0)),"OK",IF(AND((AM442-AK442)&gt;=TIME(0,3,0),(AM442-AK442)&lt;TIME(0,5,0)),"RETRASO DE 3-5 MIN",IF(AND((AM442-AK442)&gt;=TIME(0,5,0),(AM442-AK442)&lt;TIME(0,10,0)),"RETRASO DE 5-10 MIN",IF((AM442-AK442)&gt;=TIME(0,10,0),"RETRASO &gt;10 MIN", IF(AND((AK442-AM442)&gt;=TIME(0,0,0),(AK442-AM442)&lt;TIME(0,3,0)),"OK",IF((AK442-AM442)&gt;=TIME(0,3,0),"ADELANTADO")))))))</f>
        <v/>
      </c>
      <c r="AM442" s="91" t="n"/>
      <c r="AN442" s="89">
        <f>IF(AE442&lt;&gt;"",HLOOKUP(VALUE(TEXT(AK442,"h:mm:ss")),IF($C$6="Laboral",$FZ$4:$GX$227,IF($C$6="Sábado",$FZ$231:$GX$452,$FZ$456:$GX$656)),VLOOKUP($C$4,$HF$2:$HH$99,3,0)+IF(AG$5="Ida",0,1),1),"")</f>
        <v/>
      </c>
      <c r="AO442" s="89">
        <f>IF(AE443&lt;&gt;AE442,AVERAGEIF(AE$9:AE442,AE442,AN$9:AN442),"")</f>
        <v/>
      </c>
      <c r="AP442" s="89">
        <f>IFERROR(IF(AE443&lt;&gt;AE442,AVERAGEIF(AE$9:AE442,AE442,AW$9:AW442),""),"")</f>
        <v/>
      </c>
      <c r="AQ442" s="89">
        <f>IFERROR(IF(AE443&lt;&gt;AE442,AVERAGEIF(AE$9:AE442,AE442,AX$9:AX442),""),"")</f>
        <v/>
      </c>
      <c r="AR442" s="89">
        <f t="array" ref="AR442">IFERROR(IF(AE443&lt;&gt;AE442,_xlfn.STDEV.P(IF(AE$9:AE442=AE442,AX$9:AX442)),""),"")</f>
        <v/>
      </c>
      <c r="AS442" s="89">
        <f t="array" ref="AS442">IFERROR(IF(AE443&lt;&gt;AE442,_xlfn.STDEV.P(IF(AE$9:AE442=AE442,AW$9:AW442)),""),"")</f>
        <v/>
      </c>
      <c r="AT442" s="90">
        <f>IFERROR(IF(AE442&lt;&gt;AE443,MAX((((AQ442*24*60)/2)*(1+POWER((((AR442*24*60) / (AQ442*24*60) )),2))) + ((AQ442*24*60 )*-0.1 + (AO442*0.015)) +1,(((AQ442*24*60)/2)*(1+POWER((((AR442*24*60) / (AQ442*24*60 ))),2)))),""),"")</f>
        <v/>
      </c>
      <c r="AU442" s="90">
        <f>IF(AND(AS442&lt;&gt;"",AP442&lt;&gt;""),IF(AE442&lt;&gt;AE443,((AP442*24*60) / 2 ) * (1 + POWER(((AS442*24*60) / (AP442*24*60)),2)),""),"")</f>
        <v/>
      </c>
      <c r="AV442" s="90">
        <f>IF(AU442&lt;&gt;"",MAX(AT442,AU442),"")</f>
        <v/>
      </c>
      <c r="AW442" s="89">
        <f>IF(AM442&lt;&gt;"H. Sale Real",IF(AND(AM443&lt;&gt;"",LEFT(AG443,2)&lt;&gt;"Va"),IF(AND(AM442&lt;&gt;"",LEFT(AG442,2)&lt;&gt;"Va",AM442&lt;&gt;"H. Sale Real"),IF(AM443-AM442&lt;0.208333333333333,AM443-AM442,""),IF(AND(AM441&lt;&gt;"",LEFT(AG441,2)&lt;&gt;"Va",AM441&lt;&gt;"H. Sale Real"),IF(AM443-AM441&lt;0.208333333333333,AM443-AM441,""),IF(AND(AM440&lt;&gt;"",LEFT(AG440,2)&lt;&gt;"Va",AM440&lt;&gt;"H. Sale Real"),IF(AM443-AM440&lt;0.208333333333333,AM443-AM440,""),IF(AND(AM439&lt;&gt;"",LEFT(AG439,2)&lt;&gt;"Va",AM439&lt;&gt;"H. Sale Real"),IF(AM443-AM439&lt;0.208333333333333,AM443-AM439,""),IF(AND(AM438&lt;&gt;"",LEFT(AG438,2)&lt;&gt;"Va",AM438&lt;&gt;"H. Sale Real"),IF(AM443-AM438&lt;0.208333333333333,AM443-AM438,""),""))))),""),"")</f>
        <v/>
      </c>
      <c r="AX442" s="89">
        <f>IF(AK442&lt;&gt;"H. Sale Real",IF(AND(AK443&lt;&gt;"",LEFT(AG443,2)&lt;&gt;"Va"),IF(AND(AK442&lt;&gt;"",LEFT(AG442,2)&lt;&gt;"Va",AK442&lt;&gt;"H. Sale Real"),IF(AK443-AK442&lt;0.208333333333333,AK443-AK442,""),IF(AND(AK441&lt;&gt;"",LEFT(AG441,2)&lt;&gt;"Va",AK441&lt;&gt;"H. Sale Real"),IF(AK443-AK441&lt;0.208333333333333,AK443-AK441,""),IF(AND(AK440&lt;&gt;"",LEFT(AG440,2)&lt;&gt;"NC",AK440&lt;&gt;"H. Sale Real"),IF(AK443-AK440&lt;0.208333333333333,AK443-AK440,""),IF(AND(AK439&lt;&gt;"",LEFT(AG439,2)&lt;&gt;"Va",AK439&lt;&gt;"H. Sale Real"),IF(AK443-AK439&lt;0.208333333333333,AK443-AK439,""),IF(AND(AK438&lt;&gt;"",LEFT(AG438,2)&lt;&gt;"Va",AK438&lt;&gt;"H. Sale Real"),IF(AK443-AK438&lt;0.208333333333333,AK443-AK438,""),""))))),""),"")</f>
        <v/>
      </c>
      <c r="AY442" s="87" t="n"/>
      <c r="AZ442" s="89" t="n"/>
      <c r="BA442" s="87" t="n"/>
      <c r="BB442" s="89" t="n"/>
      <c r="BC442" s="91" t="n"/>
      <c r="BD442" s="122">
        <f>IF(AK442&lt;&gt;"",IF(AND(BD441&lt;&gt;"IE",AT442&lt;&gt;0,AV442&lt;&gt;""),IF(IFERROR((AT442/AV442),0) &lt;=1,IFERROR(AT442/AV442,""),1),""),"")</f>
        <v/>
      </c>
      <c r="BE442" s="93" t="n"/>
      <c r="BF442" s="105" t="n"/>
      <c r="FC442" t="inlineStr">
        <is>
          <t>Diccionario 1</t>
        </is>
      </c>
      <c r="FD442" s="15" t="inlineStr"/>
      <c r="FE442" s="15" t="inlineStr">
        <is>
          <t>LDYECS837S0045646</t>
        </is>
      </c>
      <c r="FF442" s="15" t="inlineStr">
        <is>
          <t>MJJ20025010007</t>
        </is>
      </c>
      <c r="FG442" s="15" t="inlineStr">
        <is>
          <t>Zhong Tong</t>
        </is>
      </c>
      <c r="FH442" s="15" t="inlineStr">
        <is>
          <t>LCK6850evg</t>
        </is>
      </c>
      <c r="FI442" s="15" t="inlineStr">
        <is>
          <t>ZHONGTONG</t>
        </is>
      </c>
      <c r="FJ442" s="15" t="inlineStr">
        <is>
          <t>LCK6850evg</t>
        </is>
      </c>
      <c r="FK442" s="15" t="n">
        <v>2025</v>
      </c>
      <c r="FL442" s="15" t="inlineStr">
        <is>
          <t>A</t>
        </is>
      </c>
      <c r="FM442" s="15" t="inlineStr">
        <is>
          <t>CERRILLOS</t>
        </is>
      </c>
      <c r="FN442" s="15" t="inlineStr">
        <is>
          <t>Calle Uno 7371</t>
        </is>
      </c>
      <c r="FO442" s="15" t="inlineStr">
        <is>
          <t>Cerrillos</t>
        </is>
      </c>
      <c r="FP442" t="inlineStr">
        <is>
          <t>A</t>
        </is>
      </c>
      <c r="FS442" s="14" t="inlineStr">
        <is>
          <t>9925 / SXKV-97|</t>
        </is>
      </c>
      <c r="FT442" t="inlineStr">
        <is>
          <t>SXKV-97|</t>
        </is>
      </c>
      <c r="FU442" t="inlineStr">
        <is>
          <t>SXKV-97</t>
        </is>
      </c>
      <c r="FV442">
        <f>VLOOKUP(FU442,FD:FL,9,0)</f>
        <v/>
      </c>
      <c r="HB442" s="35" t="n">
        <v>436</v>
      </c>
    </row>
    <row r="443" ht="15.5" customHeight="1">
      <c r="A443" s="10">
        <f>HOUR(G443)+1</f>
        <v/>
      </c>
      <c r="B443" s="7" t="n"/>
      <c r="C443" s="7" t="n"/>
      <c r="D443" s="85">
        <f>IFERROR(
IF(AND(OR(Planilla!B443="C",Planilla!B443="c"), VLOOKUP(E443,FD:FP,13,0)="C"), "OK",IF(AND(OR(Planilla!B443="C",Planilla!B443="c"), OR(VLOOKUP(E443,FD:FP,13,0)="B", VLOOKUP(E443,FD:FP,13,0)="A")), "DEFICIT",IF(
AND(OR(Planilla!B443="B", Planilla!B443="BPAL"), VLOOKUP(E443,FD:FP,13,0)="B"), "OK",IF(AND(OR(Planilla!B443="B", Planilla!B443="BPAL"), VLOOKUP(E443,FD:FP,13,0)="A"), "DEFICIT",IF(AND(OR(Planilla!B443="B", Planilla!B443="BPAL"), VLOOKUP(E443,FD:FP,13,0)="C"), "SOBREOFERTA",IF(AND(Planilla!B443="A", VLOOKUP(E443,FD:FP,13,0)="A"), "OK",IF(
AND(Planilla!B443="A", OR(VLOOKUP(E443,FD:FP,13,0)="B", VLOOKUP(E443,FD:FP,13,0)="C")), "SOBREOFERTA",""
))))))),"")</f>
        <v/>
      </c>
      <c r="E443" s="8" t="n"/>
      <c r="F443" s="86" t="n"/>
      <c r="G443" s="87" t="n"/>
      <c r="H443" s="88">
        <f>IF(I443="","",IF(AND((I443-G443)&gt;=TIME(0,0,0),(I443-G443)&lt;TIME(0,3,0)),"OK",IF(AND((I443-G443)&gt;=TIME(0,3,0),(I443-G443)&lt;TIME(0,5,0)),"RETRASO DE 3-5 MIN",IF(AND((I443-G443)&gt;=TIME(0,5,0),(I443-G443)&lt;TIME(0,10,0)),"RETRASO DE 5-10 MIN",IF((I443-G443)&gt;=TIME(0,10,0),"RETRASO &gt;10 MIN", IF(AND((G443-I443)&gt;=TIME(0,0,0),(G443-I443)&lt;TIME(0,3,0)),"OK",IF((G443-I443)&gt;=TIME(0,3,0),"ADELANTADO")))))))</f>
        <v/>
      </c>
      <c r="I443" s="89" t="n"/>
      <c r="J443" s="89">
        <f>IF(A443&lt;&gt;"",HLOOKUP(VALUE(TEXT(G443,"h:mm:ss")),IF($C$6="Laboral",$FZ$4:$GX$227,IF($C$6="Sábado",$FZ$231:$GX$452,$FZ$456:$GX$656)),VLOOKUP($C$4,$HF$2:$HH$99,3,0)+IF(C$5="Ida",0,1),1),"")</f>
        <v/>
      </c>
      <c r="K443" s="89">
        <f>IF(A444&lt;&gt;A443,AVERAGEIF(A$9:A443,A443,J$9:J443),"")</f>
        <v/>
      </c>
      <c r="L443" s="89">
        <f>IFERROR(IF(A444&lt;&gt;A443,AVERAGEIF(A$9:A443,A443,S$9:S443),""),"")</f>
        <v/>
      </c>
      <c r="M443" s="89">
        <f>IFERROR(IF(A444&lt;&gt;A443,AVERAGEIF(A$9:A443,A443,T$9:T443),""),"")</f>
        <v/>
      </c>
      <c r="N443" s="89">
        <f t="array" ref="N443">IFERROR(IF(A444&lt;&gt;A443,_xlfn.STDEV.P(IF(A$9:A443=A443,T$9:T443)),""),"")</f>
        <v/>
      </c>
      <c r="O443" s="89">
        <f t="array" ref="O443">IFERROR(IF(A444&lt;&gt;A443,_xlfn.STDEV.P(IF(A$9:A443=A443,S$9:S443)),""),"")</f>
        <v/>
      </c>
      <c r="P443" s="90">
        <f>IFERROR(IF(A443&lt;&gt;A444,MAX((((M443*24*60)/2)*(1+POWER((((N443*24*60) / (M443*24*60) )),2))) + ((M443*24*60 )*-0.1 + (K443*0.015)) +1,(((M443*24*60)/2)*(1+POWER((((N443*24*60) / (M443*24*60 ))),2)))),""),"")</f>
        <v/>
      </c>
      <c r="Q443" s="90">
        <f>IF(AND(O443&lt;&gt;"",L443&lt;&gt;""),IF(A443&lt;&gt;A444,((L443*24*60) / 2 ) * (1 + POWER(((O443*24*60) / (L443*24*60)),2)),""),"")</f>
        <v/>
      </c>
      <c r="R443" s="90">
        <f>IF(Q443&lt;&gt;"",MAX(P443,Q443),"")</f>
        <v/>
      </c>
      <c r="S443" s="89">
        <f>IF(I443&lt;&gt;"H. Sale Real",IF(AND(I444&lt;&gt;"",LEFT(C444,2)&lt;&gt;"Va"),IF(AND(I443&lt;&gt;"",LEFT(C443,2)&lt;&gt;"Va",I443&lt;&gt;"H. Sale Real"),IF(I444-I443&lt;0.208333333333333,I444-I443,""),IF(AND(I442&lt;&gt;"",LEFT(C442,2)&lt;&gt;"Va",I442&lt;&gt;"H. Sale Real"),IF(I444-I442&lt;0.208333333333333,I444-I442,""),IF(AND(I441&lt;&gt;"",LEFT(C441,2)&lt;&gt;"Va",I441&lt;&gt;"H. Sale Real"),IF(I444-I441&lt;0.208333333333333,I444-I441,""),IF(AND(I440&lt;&gt;"",LEFT(C440,2)&lt;&gt;"Va",I440&lt;&gt;"H. Sale Real"),IF(I444-I440&lt;0.208333333333333,I444-I440,""),IF(AND(I439&lt;&gt;"",LEFT(C439,2)&lt;&gt;"Va",I439&lt;&gt;"H. Sale Real"),IF(I444-I439&lt;0.208333333333333,I444-I439,""),""))))),""),"")</f>
        <v/>
      </c>
      <c r="T443" s="89">
        <f>IF(G443&lt;&gt;"H. Sale Real",IF(AND(G444&lt;&gt;"",LEFT(C444,2)&lt;&gt;"Va"),IF(AND(G443&lt;&gt;"",LEFT(C443,2)&lt;&gt;"Va",G443&lt;&gt;"H. Sale Real"),IF(G444-G443&lt;0.208333333333333,G444-G443,""),IF(AND(G442&lt;&gt;"",LEFT(C442,2)&lt;&gt;"Va",G442&lt;&gt;"H. Sale Real"),IF(G444-G442&lt;0.208333333333333,G444-G442,""),IF(AND(G441&lt;&gt;"",LEFT(C441,2)&lt;&gt;"Va",G441&lt;&gt;"H. Sale Real"),IF(G444-G441&lt;0.208333333333333,G444-G441,""),IF(AND(G440&lt;&gt;"",LEFT(C440,2)&lt;&gt;"Va",G440&lt;&gt;"H. Sale Real"),IF(G444-G440&lt;0.208333333333333,G444-G440,""),IF(AND(G439&lt;&gt;"",LEFT(C439,2)&lt;&gt;"Va",G439&lt;&gt;"H. Sale Real"),IF(G444-G439&lt;0.208333333333333,G444-G439,""),""))))),""),"")</f>
        <v/>
      </c>
      <c r="U443" s="87" t="n"/>
      <c r="V443" s="89" t="n"/>
      <c r="W443" s="87" t="n"/>
      <c r="X443" s="89" t="n"/>
      <c r="Y443" s="91" t="n"/>
      <c r="Z443" s="122">
        <f>IF(G443&lt;&gt;"",IF(AND(Z442&lt;&gt;"IE",P443&lt;&gt;0,R443&lt;&gt;""),IF(IFERROR((P443/R443),0) &lt;=1,IFERROR(P443/R443,""),1),""),"")</f>
        <v/>
      </c>
      <c r="AA443" s="93" t="n"/>
      <c r="AB443" s="2" t="n"/>
      <c r="AE443" s="10">
        <f>HOUR(AK443)+1</f>
        <v/>
      </c>
      <c r="AF443" s="7" t="n"/>
      <c r="AG443" s="7" t="n"/>
      <c r="AH443" s="86" t="n"/>
      <c r="AI443" s="8" t="n"/>
      <c r="AJ443" s="86" t="n"/>
      <c r="AK443" s="87" t="n"/>
      <c r="AL443" s="88">
        <f>IF(AM443="","",IF(AND((AM443-AK443)&gt;=TIME(0,0,0),(AM443-AK443)&lt;TIME(0,3,0)),"OK",IF(AND((AM443-AK443)&gt;=TIME(0,3,0),(AM443-AK443)&lt;TIME(0,5,0)),"RETRASO DE 3-5 MIN",IF(AND((AM443-AK443)&gt;=TIME(0,5,0),(AM443-AK443)&lt;TIME(0,10,0)),"RETRASO DE 5-10 MIN",IF((AM443-AK443)&gt;=TIME(0,10,0),"RETRASO &gt;10 MIN", IF(AND((AK443-AM443)&gt;=TIME(0,0,0),(AK443-AM443)&lt;TIME(0,3,0)),"OK",IF((AK443-AM443)&gt;=TIME(0,3,0),"ADELANTADO")))))))</f>
        <v/>
      </c>
      <c r="AM443" s="91" t="n"/>
      <c r="AN443" s="89">
        <f>IF(AE443&lt;&gt;"",HLOOKUP(VALUE(TEXT(AK443,"h:mm:ss")),IF($C$6="Laboral",$FZ$4:$GX$227,IF($C$6="Sábado",$FZ$231:$GX$452,$FZ$456:$GX$656)),VLOOKUP($C$4,$HF$2:$HH$99,3,0)+IF(AG$5="Ida",0,1),1),"")</f>
        <v/>
      </c>
      <c r="AO443" s="89">
        <f>IF(AE444&lt;&gt;AE443,AVERAGEIF(AE$9:AE443,AE443,AN$9:AN443),"")</f>
        <v/>
      </c>
      <c r="AP443" s="89">
        <f>IFERROR(IF(AE444&lt;&gt;AE443,AVERAGEIF(AE$9:AE443,AE443,AW$9:AW443),""),"")</f>
        <v/>
      </c>
      <c r="AQ443" s="89">
        <f>IFERROR(IF(AE444&lt;&gt;AE443,AVERAGEIF(AE$9:AE443,AE443,AX$9:AX443),""),"")</f>
        <v/>
      </c>
      <c r="AR443" s="89">
        <f t="array" ref="AR443">IFERROR(IF(AE444&lt;&gt;AE443,_xlfn.STDEV.P(IF(AE$9:AE443=AE443,AX$9:AX443)),""),"")</f>
        <v/>
      </c>
      <c r="AS443" s="89">
        <f t="array" ref="AS443">IFERROR(IF(AE444&lt;&gt;AE443,_xlfn.STDEV.P(IF(AE$9:AE443=AE443,AW$9:AW443)),""),"")</f>
        <v/>
      </c>
      <c r="AT443" s="90">
        <f>IFERROR(IF(AE443&lt;&gt;AE444,MAX((((AQ443*24*60)/2)*(1+POWER((((AR443*24*60) / (AQ443*24*60) )),2))) + ((AQ443*24*60 )*-0.1 + (AO443*0.015)) +1,(((AQ443*24*60)/2)*(1+POWER((((AR443*24*60) / (AQ443*24*60 ))),2)))),""),"")</f>
        <v/>
      </c>
      <c r="AU443" s="90">
        <f>IF(AND(AS443&lt;&gt;"",AP443&lt;&gt;""),IF(AE443&lt;&gt;AE444,((AP443*24*60) / 2 ) * (1 + POWER(((AS443*24*60) / (AP443*24*60)),2)),""),"")</f>
        <v/>
      </c>
      <c r="AV443" s="90">
        <f>IF(AU443&lt;&gt;"",MAX(AT443,AU443),"")</f>
        <v/>
      </c>
      <c r="AW443" s="89">
        <f>IF(AM443&lt;&gt;"H. Sale Real",IF(AND(AM444&lt;&gt;"",LEFT(AG444,2)&lt;&gt;"Va"),IF(AND(AM443&lt;&gt;"",LEFT(AG443,2)&lt;&gt;"Va",AM443&lt;&gt;"H. Sale Real"),IF(AM444-AM443&lt;0.208333333333333,AM444-AM443,""),IF(AND(AM442&lt;&gt;"",LEFT(AG442,2)&lt;&gt;"Va",AM442&lt;&gt;"H. Sale Real"),IF(AM444-AM442&lt;0.208333333333333,AM444-AM442,""),IF(AND(AM441&lt;&gt;"",LEFT(AG441,2)&lt;&gt;"Va",AM441&lt;&gt;"H. Sale Real"),IF(AM444-AM441&lt;0.208333333333333,AM444-AM441,""),IF(AND(AM440&lt;&gt;"",LEFT(AG440,2)&lt;&gt;"Va",AM440&lt;&gt;"H. Sale Real"),IF(AM444-AM440&lt;0.208333333333333,AM444-AM440,""),IF(AND(AM439&lt;&gt;"",LEFT(AG439,2)&lt;&gt;"Va",AM439&lt;&gt;"H. Sale Real"),IF(AM444-AM439&lt;0.208333333333333,AM444-AM439,""),""))))),""),"")</f>
        <v/>
      </c>
      <c r="AX443" s="89">
        <f>IF(AK443&lt;&gt;"H. Sale Real",IF(AND(AK444&lt;&gt;"",LEFT(AG444,2)&lt;&gt;"Va"),IF(AND(AK443&lt;&gt;"",LEFT(AG443,2)&lt;&gt;"Va",AK443&lt;&gt;"H. Sale Real"),IF(AK444-AK443&lt;0.208333333333333,AK444-AK443,""),IF(AND(AK442&lt;&gt;"",LEFT(AG442,2)&lt;&gt;"Va",AK442&lt;&gt;"H. Sale Real"),IF(AK444-AK442&lt;0.208333333333333,AK444-AK442,""),IF(AND(AK441&lt;&gt;"",LEFT(AG441,2)&lt;&gt;"NC",AK441&lt;&gt;"H. Sale Real"),IF(AK444-AK441&lt;0.208333333333333,AK444-AK441,""),IF(AND(AK440&lt;&gt;"",LEFT(AG440,2)&lt;&gt;"Va",AK440&lt;&gt;"H. Sale Real"),IF(AK444-AK440&lt;0.208333333333333,AK444-AK440,""),IF(AND(AK439&lt;&gt;"",LEFT(AG439,2)&lt;&gt;"Va",AK439&lt;&gt;"H. Sale Real"),IF(AK444-AK439&lt;0.208333333333333,AK444-AK439,""),""))))),""),"")</f>
        <v/>
      </c>
      <c r="AY443" s="87" t="n"/>
      <c r="AZ443" s="89" t="n"/>
      <c r="BA443" s="87" t="n"/>
      <c r="BB443" s="89" t="n"/>
      <c r="BC443" s="91" t="n"/>
      <c r="BD443" s="122">
        <f>IF(AK443&lt;&gt;"",IF(AND(BD442&lt;&gt;"IE",AT443&lt;&gt;0,AV443&lt;&gt;""),IF(IFERROR((AT443/AV443),0) &lt;=1,IFERROR(AT443/AV443,""),1),""),"")</f>
        <v/>
      </c>
      <c r="BE443" s="93" t="n"/>
      <c r="BF443" s="105" t="n"/>
      <c r="FC443" t="inlineStr">
        <is>
          <t>Diccionario 1</t>
        </is>
      </c>
      <c r="FD443" s="15" t="inlineStr"/>
      <c r="FE443" s="15" t="inlineStr">
        <is>
          <t>LDYECS836S0045640</t>
        </is>
      </c>
      <c r="FF443" s="15" t="inlineStr">
        <is>
          <t>MJJ20025010019</t>
        </is>
      </c>
      <c r="FG443" s="15" t="inlineStr">
        <is>
          <t>Zhong Tong</t>
        </is>
      </c>
      <c r="FH443" s="15" t="inlineStr">
        <is>
          <t>LCK6850evg</t>
        </is>
      </c>
      <c r="FI443" s="15" t="inlineStr">
        <is>
          <t>ZHONGTONG</t>
        </is>
      </c>
      <c r="FJ443" s="15" t="inlineStr">
        <is>
          <t>LCK6850evg</t>
        </is>
      </c>
      <c r="FK443" s="15" t="n">
        <v>2025</v>
      </c>
      <c r="FL443" s="15" t="inlineStr">
        <is>
          <t>A</t>
        </is>
      </c>
      <c r="FM443" s="15" t="inlineStr">
        <is>
          <t>CERRILLOS</t>
        </is>
      </c>
      <c r="FN443" s="15" t="inlineStr">
        <is>
          <t>Calle Uno 7371</t>
        </is>
      </c>
      <c r="FO443" s="15" t="inlineStr">
        <is>
          <t>Cerrillos</t>
        </is>
      </c>
      <c r="FP443" t="inlineStr">
        <is>
          <t>A</t>
        </is>
      </c>
      <c r="FS443" s="14" t="inlineStr">
        <is>
          <t>9925 / SXKV-97|</t>
        </is>
      </c>
      <c r="FT443" t="inlineStr">
        <is>
          <t>SXKV-97|</t>
        </is>
      </c>
      <c r="FU443" t="inlineStr">
        <is>
          <t>SXKV-97</t>
        </is>
      </c>
      <c r="FV443">
        <f>VLOOKUP(FU443,FD:FL,9,0)</f>
        <v/>
      </c>
      <c r="HB443" s="35" t="n">
        <v>437</v>
      </c>
    </row>
    <row r="444" ht="15.5" customHeight="1">
      <c r="A444" s="10">
        <f>HOUR(G444)+1</f>
        <v/>
      </c>
      <c r="B444" s="7" t="n"/>
      <c r="C444" s="7" t="n"/>
      <c r="D444" s="85">
        <f>IFERROR(
IF(AND(OR(Planilla!B444="C",Planilla!B444="c"), VLOOKUP(E444,FD:FP,13,0)="C"), "OK",IF(AND(OR(Planilla!B444="C",Planilla!B444="c"), OR(VLOOKUP(E444,FD:FP,13,0)="B", VLOOKUP(E444,FD:FP,13,0)="A")), "DEFICIT",IF(
AND(OR(Planilla!B444="B", Planilla!B444="BPAL"), VLOOKUP(E444,FD:FP,13,0)="B"), "OK",IF(AND(OR(Planilla!B444="B", Planilla!B444="BPAL"), VLOOKUP(E444,FD:FP,13,0)="A"), "DEFICIT",IF(AND(OR(Planilla!B444="B", Planilla!B444="BPAL"), VLOOKUP(E444,FD:FP,13,0)="C"), "SOBREOFERTA",IF(AND(Planilla!B444="A", VLOOKUP(E444,FD:FP,13,0)="A"), "OK",IF(
AND(Planilla!B444="A", OR(VLOOKUP(E444,FD:FP,13,0)="B", VLOOKUP(E444,FD:FP,13,0)="C")), "SOBREOFERTA",""
))))))),"")</f>
        <v/>
      </c>
      <c r="E444" s="8" t="n"/>
      <c r="F444" s="86" t="n"/>
      <c r="G444" s="87" t="n"/>
      <c r="H444" s="88">
        <f>IF(I444="","",IF(AND((I444-G444)&gt;=TIME(0,0,0),(I444-G444)&lt;TIME(0,3,0)),"OK",IF(AND((I444-G444)&gt;=TIME(0,3,0),(I444-G444)&lt;TIME(0,5,0)),"RETRASO DE 3-5 MIN",IF(AND((I444-G444)&gt;=TIME(0,5,0),(I444-G444)&lt;TIME(0,10,0)),"RETRASO DE 5-10 MIN",IF((I444-G444)&gt;=TIME(0,10,0),"RETRASO &gt;10 MIN", IF(AND((G444-I444)&gt;=TIME(0,0,0),(G444-I444)&lt;TIME(0,3,0)),"OK",IF((G444-I444)&gt;=TIME(0,3,0),"ADELANTADO")))))))</f>
        <v/>
      </c>
      <c r="I444" s="89" t="n"/>
      <c r="J444" s="89">
        <f>IF(A444&lt;&gt;"",HLOOKUP(VALUE(TEXT(G444,"h:mm:ss")),IF($C$6="Laboral",$FZ$4:$GX$227,IF($C$6="Sábado",$FZ$231:$GX$452,$FZ$456:$GX$656)),VLOOKUP($C$4,$HF$2:$HH$99,3,0)+IF(C$5="Ida",0,1),1),"")</f>
        <v/>
      </c>
      <c r="K444" s="89">
        <f>IF(A445&lt;&gt;A444,AVERAGEIF(A$9:A444,A444,J$9:J444),"")</f>
        <v/>
      </c>
      <c r="L444" s="89">
        <f>IFERROR(IF(A445&lt;&gt;A444,AVERAGEIF(A$9:A444,A444,S$9:S444),""),"")</f>
        <v/>
      </c>
      <c r="M444" s="89">
        <f>IFERROR(IF(A445&lt;&gt;A444,AVERAGEIF(A$9:A444,A444,T$9:T444),""),"")</f>
        <v/>
      </c>
      <c r="N444" s="89">
        <f t="array" ref="N444">IFERROR(IF(A445&lt;&gt;A444,_xlfn.STDEV.P(IF(A$9:A444=A444,T$9:T444)),""),"")</f>
        <v/>
      </c>
      <c r="O444" s="89">
        <f t="array" ref="O444">IFERROR(IF(A445&lt;&gt;A444,_xlfn.STDEV.P(IF(A$9:A444=A444,S$9:S444)),""),"")</f>
        <v/>
      </c>
      <c r="P444" s="90">
        <f>IFERROR(IF(A444&lt;&gt;A445,MAX((((M444*24*60)/2)*(1+POWER((((N444*24*60) / (M444*24*60) )),2))) + ((M444*24*60 )*-0.1 + (K444*0.015)) +1,(((M444*24*60)/2)*(1+POWER((((N444*24*60) / (M444*24*60 ))),2)))),""),"")</f>
        <v/>
      </c>
      <c r="Q444" s="90">
        <f>IF(AND(O444&lt;&gt;"",L444&lt;&gt;""),IF(A444&lt;&gt;A445,((L444*24*60) / 2 ) * (1 + POWER(((O444*24*60) / (L444*24*60)),2)),""),"")</f>
        <v/>
      </c>
      <c r="R444" s="90">
        <f>IF(Q444&lt;&gt;"",MAX(P444,Q444),"")</f>
        <v/>
      </c>
      <c r="S444" s="89">
        <f>IF(I444&lt;&gt;"H. Sale Real",IF(AND(I445&lt;&gt;"",LEFT(C445,2)&lt;&gt;"Va"),IF(AND(I444&lt;&gt;"",LEFT(C444,2)&lt;&gt;"Va",I444&lt;&gt;"H. Sale Real"),IF(I445-I444&lt;0.208333333333333,I445-I444,""),IF(AND(I443&lt;&gt;"",LEFT(C443,2)&lt;&gt;"Va",I443&lt;&gt;"H. Sale Real"),IF(I445-I443&lt;0.208333333333333,I445-I443,""),IF(AND(I442&lt;&gt;"",LEFT(C442,2)&lt;&gt;"Va",I442&lt;&gt;"H. Sale Real"),IF(I445-I442&lt;0.208333333333333,I445-I442,""),IF(AND(I441&lt;&gt;"",LEFT(C441,2)&lt;&gt;"Va",I441&lt;&gt;"H. Sale Real"),IF(I445-I441&lt;0.208333333333333,I445-I441,""),IF(AND(I440&lt;&gt;"",LEFT(C440,2)&lt;&gt;"Va",I440&lt;&gt;"H. Sale Real"),IF(I445-I440&lt;0.208333333333333,I445-I440,""),""))))),""),"")</f>
        <v/>
      </c>
      <c r="T444" s="89">
        <f>IF(G444&lt;&gt;"H. Sale Real",IF(AND(G445&lt;&gt;"",LEFT(C445,2)&lt;&gt;"Va"),IF(AND(G444&lt;&gt;"",LEFT(C444,2)&lt;&gt;"Va",G444&lt;&gt;"H. Sale Real"),IF(G445-G444&lt;0.208333333333333,G445-G444,""),IF(AND(G443&lt;&gt;"",LEFT(C443,2)&lt;&gt;"Va",G443&lt;&gt;"H. Sale Real"),IF(G445-G443&lt;0.208333333333333,G445-G443,""),IF(AND(G442&lt;&gt;"",LEFT(C442,2)&lt;&gt;"Va",G442&lt;&gt;"H. Sale Real"),IF(G445-G442&lt;0.208333333333333,G445-G442,""),IF(AND(G441&lt;&gt;"",LEFT(C441,2)&lt;&gt;"Va",G441&lt;&gt;"H. Sale Real"),IF(G445-G441&lt;0.208333333333333,G445-G441,""),IF(AND(G440&lt;&gt;"",LEFT(C440,2)&lt;&gt;"Va",G440&lt;&gt;"H. Sale Real"),IF(G445-G440&lt;0.208333333333333,G445-G440,""),""))))),""),"")</f>
        <v/>
      </c>
      <c r="U444" s="87" t="n"/>
      <c r="V444" s="89" t="n"/>
      <c r="W444" s="87" t="n"/>
      <c r="X444" s="89" t="n"/>
      <c r="Y444" s="91" t="n"/>
      <c r="Z444" s="122">
        <f>IF(G444&lt;&gt;"",IF(AND(Z443&lt;&gt;"IE",P444&lt;&gt;0,R444&lt;&gt;""),IF(IFERROR((P444/R444),0) &lt;=1,IFERROR(P444/R444,""),1),""),"")</f>
        <v/>
      </c>
      <c r="AA444" s="93" t="n"/>
      <c r="AB444" s="2" t="n"/>
      <c r="AE444" s="10">
        <f>HOUR(AK444)+1</f>
        <v/>
      </c>
      <c r="AF444" s="7" t="n"/>
      <c r="AG444" s="7" t="n"/>
      <c r="AH444" s="86" t="n"/>
      <c r="AI444" s="8" t="n"/>
      <c r="AJ444" s="86" t="n"/>
      <c r="AK444" s="87" t="n"/>
      <c r="AL444" s="88">
        <f>IF(AM444="","",IF(AND((AM444-AK444)&gt;=TIME(0,0,0),(AM444-AK444)&lt;TIME(0,3,0)),"OK",IF(AND((AM444-AK444)&gt;=TIME(0,3,0),(AM444-AK444)&lt;TIME(0,5,0)),"RETRASO DE 3-5 MIN",IF(AND((AM444-AK444)&gt;=TIME(0,5,0),(AM444-AK444)&lt;TIME(0,10,0)),"RETRASO DE 5-10 MIN",IF((AM444-AK444)&gt;=TIME(0,10,0),"RETRASO &gt;10 MIN", IF(AND((AK444-AM444)&gt;=TIME(0,0,0),(AK444-AM444)&lt;TIME(0,3,0)),"OK",IF((AK444-AM444)&gt;=TIME(0,3,0),"ADELANTADO")))))))</f>
        <v/>
      </c>
      <c r="AM444" s="91" t="n"/>
      <c r="AN444" s="89">
        <f>IF(AE444&lt;&gt;"",HLOOKUP(VALUE(TEXT(AK444,"h:mm:ss")),IF($C$6="Laboral",$FZ$4:$GX$227,IF($C$6="Sábado",$FZ$231:$GX$452,$FZ$456:$GX$656)),VLOOKUP($C$4,$HF$2:$HH$99,3,0)+IF(AG$5="Ida",0,1),1),"")</f>
        <v/>
      </c>
      <c r="AO444" s="89">
        <f>IF(AE445&lt;&gt;AE444,AVERAGEIF(AE$9:AE444,AE444,AN$9:AN444),"")</f>
        <v/>
      </c>
      <c r="AP444" s="89">
        <f>IFERROR(IF(AE445&lt;&gt;AE444,AVERAGEIF(AE$9:AE444,AE444,AW$9:AW444),""),"")</f>
        <v/>
      </c>
      <c r="AQ444" s="89">
        <f>IFERROR(IF(AE445&lt;&gt;AE444,AVERAGEIF(AE$9:AE444,AE444,AX$9:AX444),""),"")</f>
        <v/>
      </c>
      <c r="AR444" s="89">
        <f t="array" ref="AR444">IFERROR(IF(AE445&lt;&gt;AE444,_xlfn.STDEV.P(IF(AE$9:AE444=AE444,AX$9:AX444)),""),"")</f>
        <v/>
      </c>
      <c r="AS444" s="89">
        <f t="array" ref="AS444">IFERROR(IF(AE445&lt;&gt;AE444,_xlfn.STDEV.P(IF(AE$9:AE444=AE444,AW$9:AW444)),""),"")</f>
        <v/>
      </c>
      <c r="AT444" s="90">
        <f>IFERROR(IF(AE444&lt;&gt;AE445,MAX((((AQ444*24*60)/2)*(1+POWER((((AR444*24*60) / (AQ444*24*60) )),2))) + ((AQ444*24*60 )*-0.1 + (AO444*0.015)) +1,(((AQ444*24*60)/2)*(1+POWER((((AR444*24*60) / (AQ444*24*60 ))),2)))),""),"")</f>
        <v/>
      </c>
      <c r="AU444" s="90">
        <f>IF(AND(AS444&lt;&gt;"",AP444&lt;&gt;""),IF(AE444&lt;&gt;AE445,((AP444*24*60) / 2 ) * (1 + POWER(((AS444*24*60) / (AP444*24*60)),2)),""),"")</f>
        <v/>
      </c>
      <c r="AV444" s="90">
        <f>IF(AU444&lt;&gt;"",MAX(AT444,AU444),"")</f>
        <v/>
      </c>
      <c r="AW444" s="89">
        <f>IF(AM444&lt;&gt;"H. Sale Real",IF(AND(AM445&lt;&gt;"",LEFT(AG445,2)&lt;&gt;"Va"),IF(AND(AM444&lt;&gt;"",LEFT(AG444,2)&lt;&gt;"Va",AM444&lt;&gt;"H. Sale Real"),IF(AM445-AM444&lt;0.208333333333333,AM445-AM444,""),IF(AND(AM443&lt;&gt;"",LEFT(AG443,2)&lt;&gt;"Va",AM443&lt;&gt;"H. Sale Real"),IF(AM445-AM443&lt;0.208333333333333,AM445-AM443,""),IF(AND(AM442&lt;&gt;"",LEFT(AG442,2)&lt;&gt;"Va",AM442&lt;&gt;"H. Sale Real"),IF(AM445-AM442&lt;0.208333333333333,AM445-AM442,""),IF(AND(AM441&lt;&gt;"",LEFT(AG441,2)&lt;&gt;"Va",AM441&lt;&gt;"H. Sale Real"),IF(AM445-AM441&lt;0.208333333333333,AM445-AM441,""),IF(AND(AM440&lt;&gt;"",LEFT(AG440,2)&lt;&gt;"Va",AM440&lt;&gt;"H. Sale Real"),IF(AM445-AM440&lt;0.208333333333333,AM445-AM440,""),""))))),""),"")</f>
        <v/>
      </c>
      <c r="AX444" s="89">
        <f>IF(AK444&lt;&gt;"H. Sale Real",IF(AND(AK445&lt;&gt;"",LEFT(AG445,2)&lt;&gt;"Va"),IF(AND(AK444&lt;&gt;"",LEFT(AG444,2)&lt;&gt;"Va",AK444&lt;&gt;"H. Sale Real"),IF(AK445-AK444&lt;0.208333333333333,AK445-AK444,""),IF(AND(AK443&lt;&gt;"",LEFT(AG443,2)&lt;&gt;"Va",AK443&lt;&gt;"H. Sale Real"),IF(AK445-AK443&lt;0.208333333333333,AK445-AK443,""),IF(AND(AK442&lt;&gt;"",LEFT(AG442,2)&lt;&gt;"NC",AK442&lt;&gt;"H. Sale Real"),IF(AK445-AK442&lt;0.208333333333333,AK445-AK442,""),IF(AND(AK441&lt;&gt;"",LEFT(AG441,2)&lt;&gt;"Va",AK441&lt;&gt;"H. Sale Real"),IF(AK445-AK441&lt;0.208333333333333,AK445-AK441,""),IF(AND(AK440&lt;&gt;"",LEFT(AG440,2)&lt;&gt;"Va",AK440&lt;&gt;"H. Sale Real"),IF(AK445-AK440&lt;0.208333333333333,AK445-AK440,""),""))))),""),"")</f>
        <v/>
      </c>
      <c r="AY444" s="87" t="n"/>
      <c r="AZ444" s="89" t="n"/>
      <c r="BA444" s="87" t="n"/>
      <c r="BB444" s="89" t="n"/>
      <c r="BC444" s="91" t="n"/>
      <c r="BD444" s="122">
        <f>IF(AK444&lt;&gt;"",IF(AND(BD443&lt;&gt;"IE",AT444&lt;&gt;0,AV444&lt;&gt;""),IF(IFERROR((AT444/AV444),0) &lt;=1,IFERROR(AT444/AV444,""),1),""),"")</f>
        <v/>
      </c>
      <c r="BE444" s="93" t="n"/>
      <c r="BF444" s="105" t="n"/>
      <c r="FC444" t="inlineStr">
        <is>
          <t>Diccionario 1</t>
        </is>
      </c>
      <c r="FD444" s="15" t="inlineStr"/>
      <c r="FE444" s="15" t="inlineStr">
        <is>
          <t>LDYECS83XS0045625</t>
        </is>
      </c>
      <c r="FF444" s="15" t="inlineStr">
        <is>
          <t>MJJ20025010014</t>
        </is>
      </c>
      <c r="FG444" s="15" t="inlineStr">
        <is>
          <t>Zhong Tong</t>
        </is>
      </c>
      <c r="FH444" s="15" t="inlineStr">
        <is>
          <t>LCK6850evg</t>
        </is>
      </c>
      <c r="FI444" s="15" t="inlineStr">
        <is>
          <t>ZHONGTONG</t>
        </is>
      </c>
      <c r="FJ444" s="15" t="inlineStr">
        <is>
          <t>LCK6850evg</t>
        </is>
      </c>
      <c r="FK444" s="15" t="n">
        <v>2025</v>
      </c>
      <c r="FL444" s="15" t="inlineStr">
        <is>
          <t>A</t>
        </is>
      </c>
      <c r="FM444" s="15" t="inlineStr">
        <is>
          <t>CERRILLOS</t>
        </is>
      </c>
      <c r="FN444" s="15" t="inlineStr">
        <is>
          <t>Calle Uno 7371</t>
        </is>
      </c>
      <c r="FO444" s="15" t="inlineStr">
        <is>
          <t>Cerrillos</t>
        </is>
      </c>
      <c r="FP444" t="inlineStr">
        <is>
          <t>A</t>
        </is>
      </c>
      <c r="FS444" s="14" t="inlineStr">
        <is>
          <t>9925 / SXKV-97|</t>
        </is>
      </c>
      <c r="FT444" t="inlineStr">
        <is>
          <t>SXKV-97|</t>
        </is>
      </c>
      <c r="FU444" t="inlineStr">
        <is>
          <t>SXKV-97</t>
        </is>
      </c>
      <c r="FV444">
        <f>VLOOKUP(FU444,FD:FL,9,0)</f>
        <v/>
      </c>
      <c r="HB444" s="35" t="n">
        <v>438</v>
      </c>
    </row>
    <row r="445" ht="15.5" customHeight="1">
      <c r="A445" s="10">
        <f>HOUR(G445)+1</f>
        <v/>
      </c>
      <c r="B445" s="7" t="n"/>
      <c r="C445" s="7" t="n"/>
      <c r="D445" s="85">
        <f>IFERROR(
IF(AND(OR(Planilla!B445="C",Planilla!B445="c"), VLOOKUP(E445,FD:FP,13,0)="C"), "OK",IF(AND(OR(Planilla!B445="C",Planilla!B445="c"), OR(VLOOKUP(E445,FD:FP,13,0)="B", VLOOKUP(E445,FD:FP,13,0)="A")), "DEFICIT",IF(
AND(OR(Planilla!B445="B", Planilla!B445="BPAL"), VLOOKUP(E445,FD:FP,13,0)="B"), "OK",IF(AND(OR(Planilla!B445="B", Planilla!B445="BPAL"), VLOOKUP(E445,FD:FP,13,0)="A"), "DEFICIT",IF(AND(OR(Planilla!B445="B", Planilla!B445="BPAL"), VLOOKUP(E445,FD:FP,13,0)="C"), "SOBREOFERTA",IF(AND(Planilla!B445="A", VLOOKUP(E445,FD:FP,13,0)="A"), "OK",IF(
AND(Planilla!B445="A", OR(VLOOKUP(E445,FD:FP,13,0)="B", VLOOKUP(E445,FD:FP,13,0)="C")), "SOBREOFERTA",""
))))))),"")</f>
        <v/>
      </c>
      <c r="E445" s="8" t="n"/>
      <c r="F445" s="86" t="n"/>
      <c r="G445" s="87" t="n"/>
      <c r="H445" s="88">
        <f>IF(I445="","",IF(AND((I445-G445)&gt;=TIME(0,0,0),(I445-G445)&lt;TIME(0,3,0)),"OK",IF(AND((I445-G445)&gt;=TIME(0,3,0),(I445-G445)&lt;TIME(0,5,0)),"RETRASO DE 3-5 MIN",IF(AND((I445-G445)&gt;=TIME(0,5,0),(I445-G445)&lt;TIME(0,10,0)),"RETRASO DE 5-10 MIN",IF((I445-G445)&gt;=TIME(0,10,0),"RETRASO &gt;10 MIN", IF(AND((G445-I445)&gt;=TIME(0,0,0),(G445-I445)&lt;TIME(0,3,0)),"OK",IF((G445-I445)&gt;=TIME(0,3,0),"ADELANTADO")))))))</f>
        <v/>
      </c>
      <c r="I445" s="89" t="n"/>
      <c r="J445" s="89">
        <f>IF(A445&lt;&gt;"",HLOOKUP(VALUE(TEXT(G445,"h:mm:ss")),IF($C$6="Laboral",$FZ$4:$GX$227,IF($C$6="Sábado",$FZ$231:$GX$452,$FZ$456:$GX$656)),VLOOKUP($C$4,$HF$2:$HH$99,3,0)+IF(C$5="Ida",0,1),1),"")</f>
        <v/>
      </c>
      <c r="K445" s="89">
        <f>IF(A446&lt;&gt;A445,AVERAGEIF(A$9:A445,A445,J$9:J445),"")</f>
        <v/>
      </c>
      <c r="L445" s="89">
        <f>IFERROR(IF(A446&lt;&gt;A445,AVERAGEIF(A$9:A445,A445,S$9:S445),""),"")</f>
        <v/>
      </c>
      <c r="M445" s="89">
        <f>IFERROR(IF(A446&lt;&gt;A445,AVERAGEIF(A$9:A445,A445,T$9:T445),""),"")</f>
        <v/>
      </c>
      <c r="N445" s="89">
        <f t="array" ref="N445">IFERROR(IF(A446&lt;&gt;A445,_xlfn.STDEV.P(IF(A$9:A445=A445,T$9:T445)),""),"")</f>
        <v/>
      </c>
      <c r="O445" s="89">
        <f t="array" ref="O445">IFERROR(IF(A446&lt;&gt;A445,_xlfn.STDEV.P(IF(A$9:A445=A445,S$9:S445)),""),"")</f>
        <v/>
      </c>
      <c r="P445" s="90">
        <f>IFERROR(IF(A445&lt;&gt;A446,MAX((((M445*24*60)/2)*(1+POWER((((N445*24*60) / (M445*24*60) )),2))) + ((M445*24*60 )*-0.1 + (K445*0.015)) +1,(((M445*24*60)/2)*(1+POWER((((N445*24*60) / (M445*24*60 ))),2)))),""),"")</f>
        <v/>
      </c>
      <c r="Q445" s="90">
        <f>IF(AND(O445&lt;&gt;"",L445&lt;&gt;""),IF(A445&lt;&gt;A446,((L445*24*60) / 2 ) * (1 + POWER(((O445*24*60) / (L445*24*60)),2)),""),"")</f>
        <v/>
      </c>
      <c r="R445" s="90">
        <f>IF(Q445&lt;&gt;"",MAX(P445,Q445),"")</f>
        <v/>
      </c>
      <c r="S445" s="89">
        <f>IF(I445&lt;&gt;"H. Sale Real",IF(AND(I446&lt;&gt;"",LEFT(C446,2)&lt;&gt;"Va"),IF(AND(I445&lt;&gt;"",LEFT(C445,2)&lt;&gt;"Va",I445&lt;&gt;"H. Sale Real"),IF(I446-I445&lt;0.208333333333333,I446-I445,""),IF(AND(I444&lt;&gt;"",LEFT(C444,2)&lt;&gt;"Va",I444&lt;&gt;"H. Sale Real"),IF(I446-I444&lt;0.208333333333333,I446-I444,""),IF(AND(I443&lt;&gt;"",LEFT(C443,2)&lt;&gt;"Va",I443&lt;&gt;"H. Sale Real"),IF(I446-I443&lt;0.208333333333333,I446-I443,""),IF(AND(I442&lt;&gt;"",LEFT(C442,2)&lt;&gt;"Va",I442&lt;&gt;"H. Sale Real"),IF(I446-I442&lt;0.208333333333333,I446-I442,""),IF(AND(I441&lt;&gt;"",LEFT(C441,2)&lt;&gt;"Va",I441&lt;&gt;"H. Sale Real"),IF(I446-I441&lt;0.208333333333333,I446-I441,""),""))))),""),"")</f>
        <v/>
      </c>
      <c r="T445" s="89">
        <f>IF(G445&lt;&gt;"H. Sale Real",IF(AND(G446&lt;&gt;"",LEFT(C446,2)&lt;&gt;"Va"),IF(AND(G445&lt;&gt;"",LEFT(C445,2)&lt;&gt;"Va",G445&lt;&gt;"H. Sale Real"),IF(G446-G445&lt;0.208333333333333,G446-G445,""),IF(AND(G444&lt;&gt;"",LEFT(C444,2)&lt;&gt;"Va",G444&lt;&gt;"H. Sale Real"),IF(G446-G444&lt;0.208333333333333,G446-G444,""),IF(AND(G443&lt;&gt;"",LEFT(C443,2)&lt;&gt;"Va",G443&lt;&gt;"H. Sale Real"),IF(G446-G443&lt;0.208333333333333,G446-G443,""),IF(AND(G442&lt;&gt;"",LEFT(C442,2)&lt;&gt;"Va",G442&lt;&gt;"H. Sale Real"),IF(G446-G442&lt;0.208333333333333,G446-G442,""),IF(AND(G441&lt;&gt;"",LEFT(C441,2)&lt;&gt;"Va",G441&lt;&gt;"H. Sale Real"),IF(G446-G441&lt;0.208333333333333,G446-G441,""),""))))),""),"")</f>
        <v/>
      </c>
      <c r="U445" s="87" t="n"/>
      <c r="V445" s="89" t="n"/>
      <c r="W445" s="87" t="n"/>
      <c r="X445" s="89" t="n"/>
      <c r="Y445" s="91" t="n"/>
      <c r="Z445" s="122">
        <f>IF(G445&lt;&gt;"",IF(AND(Z444&lt;&gt;"IE",P445&lt;&gt;0,R445&lt;&gt;""),IF(IFERROR((P445/R445),0) &lt;=1,IFERROR(P445/R445,""),1),""),"")</f>
        <v/>
      </c>
      <c r="AA445" s="93" t="n"/>
      <c r="AB445" s="2" t="n"/>
      <c r="AE445" s="10">
        <f>HOUR(AK445)+1</f>
        <v/>
      </c>
      <c r="AF445" s="7" t="n"/>
      <c r="AG445" s="7" t="n"/>
      <c r="AH445" s="86" t="n"/>
      <c r="AI445" s="8" t="n"/>
      <c r="AJ445" s="86" t="n"/>
      <c r="AK445" s="87" t="n"/>
      <c r="AL445" s="88">
        <f>IF(AM445="","",IF(AND((AM445-AK445)&gt;=TIME(0,0,0),(AM445-AK445)&lt;TIME(0,3,0)),"OK",IF(AND((AM445-AK445)&gt;=TIME(0,3,0),(AM445-AK445)&lt;TIME(0,5,0)),"RETRASO DE 3-5 MIN",IF(AND((AM445-AK445)&gt;=TIME(0,5,0),(AM445-AK445)&lt;TIME(0,10,0)),"RETRASO DE 5-10 MIN",IF((AM445-AK445)&gt;=TIME(0,10,0),"RETRASO &gt;10 MIN", IF(AND((AK445-AM445)&gt;=TIME(0,0,0),(AK445-AM445)&lt;TIME(0,3,0)),"OK",IF((AK445-AM445)&gt;=TIME(0,3,0),"ADELANTADO")))))))</f>
        <v/>
      </c>
      <c r="AM445" s="91" t="n"/>
      <c r="AN445" s="89">
        <f>IF(AE445&lt;&gt;"",HLOOKUP(VALUE(TEXT(AK445,"h:mm:ss")),IF($C$6="Laboral",$FZ$4:$GX$227,IF($C$6="Sábado",$FZ$231:$GX$452,$FZ$456:$GX$656)),VLOOKUP($C$4,$HF$2:$HH$99,3,0)+IF(AG$5="Ida",0,1),1),"")</f>
        <v/>
      </c>
      <c r="AO445" s="89">
        <f>IF(AE446&lt;&gt;AE445,AVERAGEIF(AE$9:AE445,AE445,AN$9:AN445),"")</f>
        <v/>
      </c>
      <c r="AP445" s="89">
        <f>IFERROR(IF(AE446&lt;&gt;AE445,AVERAGEIF(AE$9:AE445,AE445,AW$9:AW445),""),"")</f>
        <v/>
      </c>
      <c r="AQ445" s="89">
        <f>IFERROR(IF(AE446&lt;&gt;AE445,AVERAGEIF(AE$9:AE445,AE445,AX$9:AX445),""),"")</f>
        <v/>
      </c>
      <c r="AR445" s="89">
        <f t="array" ref="AR445">IFERROR(IF(AE446&lt;&gt;AE445,_xlfn.STDEV.P(IF(AE$9:AE445=AE445,AX$9:AX445)),""),"")</f>
        <v/>
      </c>
      <c r="AS445" s="89">
        <f t="array" ref="AS445">IFERROR(IF(AE446&lt;&gt;AE445,_xlfn.STDEV.P(IF(AE$9:AE445=AE445,AW$9:AW445)),""),"")</f>
        <v/>
      </c>
      <c r="AT445" s="90">
        <f>IFERROR(IF(AE445&lt;&gt;AE446,MAX((((AQ445*24*60)/2)*(1+POWER((((AR445*24*60) / (AQ445*24*60) )),2))) + ((AQ445*24*60 )*-0.1 + (AO445*0.015)) +1,(((AQ445*24*60)/2)*(1+POWER((((AR445*24*60) / (AQ445*24*60 ))),2)))),""),"")</f>
        <v/>
      </c>
      <c r="AU445" s="90">
        <f>IF(AND(AS445&lt;&gt;"",AP445&lt;&gt;""),IF(AE445&lt;&gt;AE446,((AP445*24*60) / 2 ) * (1 + POWER(((AS445*24*60) / (AP445*24*60)),2)),""),"")</f>
        <v/>
      </c>
      <c r="AV445" s="90">
        <f>IF(AU445&lt;&gt;"",MAX(AT445,AU445),"")</f>
        <v/>
      </c>
      <c r="AW445" s="89">
        <f>IF(AM445&lt;&gt;"H. Sale Real",IF(AND(AM446&lt;&gt;"",LEFT(AG446,2)&lt;&gt;"Va"),IF(AND(AM445&lt;&gt;"",LEFT(AG445,2)&lt;&gt;"Va",AM445&lt;&gt;"H. Sale Real"),IF(AM446-AM445&lt;0.208333333333333,AM446-AM445,""),IF(AND(AM444&lt;&gt;"",LEFT(AG444,2)&lt;&gt;"Va",AM444&lt;&gt;"H. Sale Real"),IF(AM446-AM444&lt;0.208333333333333,AM446-AM444,""),IF(AND(AM443&lt;&gt;"",LEFT(AG443,2)&lt;&gt;"Va",AM443&lt;&gt;"H. Sale Real"),IF(AM446-AM443&lt;0.208333333333333,AM446-AM443,""),IF(AND(AM442&lt;&gt;"",LEFT(AG442,2)&lt;&gt;"Va",AM442&lt;&gt;"H. Sale Real"),IF(AM446-AM442&lt;0.208333333333333,AM446-AM442,""),IF(AND(AM441&lt;&gt;"",LEFT(AG441,2)&lt;&gt;"Va",AM441&lt;&gt;"H. Sale Real"),IF(AM446-AM441&lt;0.208333333333333,AM446-AM441,""),""))))),""),"")</f>
        <v/>
      </c>
      <c r="AX445" s="89">
        <f>IF(AK445&lt;&gt;"H. Sale Real",IF(AND(AK446&lt;&gt;"",LEFT(AG446,2)&lt;&gt;"Va"),IF(AND(AK445&lt;&gt;"",LEFT(AG445,2)&lt;&gt;"Va",AK445&lt;&gt;"H. Sale Real"),IF(AK446-AK445&lt;0.208333333333333,AK446-AK445,""),IF(AND(AK444&lt;&gt;"",LEFT(AG444,2)&lt;&gt;"Va",AK444&lt;&gt;"H. Sale Real"),IF(AK446-AK444&lt;0.208333333333333,AK446-AK444,""),IF(AND(AK443&lt;&gt;"",LEFT(AG443,2)&lt;&gt;"NC",AK443&lt;&gt;"H. Sale Real"),IF(AK446-AK443&lt;0.208333333333333,AK446-AK443,""),IF(AND(AK442&lt;&gt;"",LEFT(AG442,2)&lt;&gt;"Va",AK442&lt;&gt;"H. Sale Real"),IF(AK446-AK442&lt;0.208333333333333,AK446-AK442,""),IF(AND(AK441&lt;&gt;"",LEFT(AG441,2)&lt;&gt;"Va",AK441&lt;&gt;"H. Sale Real"),IF(AK446-AK441&lt;0.208333333333333,AK446-AK441,""),""))))),""),"")</f>
        <v/>
      </c>
      <c r="AY445" s="87" t="n"/>
      <c r="AZ445" s="89" t="n"/>
      <c r="BA445" s="87" t="n"/>
      <c r="BB445" s="89" t="n"/>
      <c r="BC445" s="91" t="n"/>
      <c r="BD445" s="122">
        <f>IF(AK445&lt;&gt;"",IF(AND(BD444&lt;&gt;"IE",AT445&lt;&gt;0,AV445&lt;&gt;""),IF(IFERROR((AT445/AV445),0) &lt;=1,IFERROR(AT445/AV445,""),1),""),"")</f>
        <v/>
      </c>
      <c r="BE445" s="93" t="n"/>
      <c r="BF445" s="105" t="n"/>
      <c r="FC445" t="inlineStr">
        <is>
          <t>Diccionario 1</t>
        </is>
      </c>
      <c r="FD445" s="15" t="inlineStr"/>
      <c r="FE445" s="15" t="inlineStr">
        <is>
          <t>LDYECS832S0045599</t>
        </is>
      </c>
      <c r="FF445" s="15" t="inlineStr">
        <is>
          <t>MJJ20025010048</t>
        </is>
      </c>
      <c r="FG445" s="15" t="inlineStr">
        <is>
          <t>Zhong Tong</t>
        </is>
      </c>
      <c r="FH445" s="15" t="inlineStr">
        <is>
          <t>LCK6850evg</t>
        </is>
      </c>
      <c r="FI445" s="15" t="inlineStr">
        <is>
          <t>ZHONGTONG</t>
        </is>
      </c>
      <c r="FJ445" s="15" t="inlineStr">
        <is>
          <t>LCK6850evg</t>
        </is>
      </c>
      <c r="FK445" s="15" t="n">
        <v>2025</v>
      </c>
      <c r="FL445" s="15" t="inlineStr">
        <is>
          <t>A</t>
        </is>
      </c>
      <c r="FM445" s="15" t="inlineStr">
        <is>
          <t>CERRILLOS</t>
        </is>
      </c>
      <c r="FN445" s="15" t="inlineStr">
        <is>
          <t>Calle Uno 7371</t>
        </is>
      </c>
      <c r="FO445" s="15" t="inlineStr">
        <is>
          <t>Cerrillos</t>
        </is>
      </c>
      <c r="FP445" t="inlineStr">
        <is>
          <t>A</t>
        </is>
      </c>
      <c r="FS445" s="14" t="inlineStr">
        <is>
          <t>9929 / SXKV-98|</t>
        </is>
      </c>
      <c r="FT445" t="inlineStr">
        <is>
          <t>SXKV-98|</t>
        </is>
      </c>
      <c r="FU445" t="inlineStr">
        <is>
          <t>SXKV-98</t>
        </is>
      </c>
      <c r="FV445">
        <f>VLOOKUP(FU445,FD:FL,9,0)</f>
        <v/>
      </c>
      <c r="HB445" s="35" t="n">
        <v>439</v>
      </c>
    </row>
    <row r="446" ht="15.5" customHeight="1">
      <c r="A446" s="10">
        <f>HOUR(G446)+1</f>
        <v/>
      </c>
      <c r="B446" s="7" t="n"/>
      <c r="C446" s="7" t="n"/>
      <c r="D446" s="85">
        <f>IFERROR(
IF(AND(OR(Planilla!B446="C",Planilla!B446="c"), VLOOKUP(E446,FD:FP,13,0)="C"), "OK",IF(AND(OR(Planilla!B446="C",Planilla!B446="c"), OR(VLOOKUP(E446,FD:FP,13,0)="B", VLOOKUP(E446,FD:FP,13,0)="A")), "DEFICIT",IF(
AND(OR(Planilla!B446="B", Planilla!B446="BPAL"), VLOOKUP(E446,FD:FP,13,0)="B"), "OK",IF(AND(OR(Planilla!B446="B", Planilla!B446="BPAL"), VLOOKUP(E446,FD:FP,13,0)="A"), "DEFICIT",IF(AND(OR(Planilla!B446="B", Planilla!B446="BPAL"), VLOOKUP(E446,FD:FP,13,0)="C"), "SOBREOFERTA",IF(AND(Planilla!B446="A", VLOOKUP(E446,FD:FP,13,0)="A"), "OK",IF(
AND(Planilla!B446="A", OR(VLOOKUP(E446,FD:FP,13,0)="B", VLOOKUP(E446,FD:FP,13,0)="C")), "SOBREOFERTA",""
))))))),"")</f>
        <v/>
      </c>
      <c r="E446" s="8" t="n"/>
      <c r="F446" s="86" t="n"/>
      <c r="G446" s="87" t="n"/>
      <c r="H446" s="88">
        <f>IF(I446="","",IF(AND((I446-G446)&gt;=TIME(0,0,0),(I446-G446)&lt;TIME(0,3,0)),"OK",IF(AND((I446-G446)&gt;=TIME(0,3,0),(I446-G446)&lt;TIME(0,5,0)),"RETRASO DE 3-5 MIN",IF(AND((I446-G446)&gt;=TIME(0,5,0),(I446-G446)&lt;TIME(0,10,0)),"RETRASO DE 5-10 MIN",IF((I446-G446)&gt;=TIME(0,10,0),"RETRASO &gt;10 MIN", IF(AND((G446-I446)&gt;=TIME(0,0,0),(G446-I446)&lt;TIME(0,3,0)),"OK",IF((G446-I446)&gt;=TIME(0,3,0),"ADELANTADO")))))))</f>
        <v/>
      </c>
      <c r="I446" s="89" t="n"/>
      <c r="J446" s="89">
        <f>IF(A446&lt;&gt;"",HLOOKUP(VALUE(TEXT(G446,"h:mm:ss")),IF($C$6="Laboral",$FZ$4:$GX$227,IF($C$6="Sábado",$FZ$231:$GX$452,$FZ$456:$GX$656)),VLOOKUP($C$4,$HF$2:$HH$99,3,0)+IF(C$5="Ida",0,1),1),"")</f>
        <v/>
      </c>
      <c r="K446" s="89">
        <f>IF(A447&lt;&gt;A446,AVERAGEIF(A$9:A446,A446,J$9:J446),"")</f>
        <v/>
      </c>
      <c r="L446" s="89">
        <f>IFERROR(IF(A447&lt;&gt;A446,AVERAGEIF(A$9:A446,A446,S$9:S446),""),"")</f>
        <v/>
      </c>
      <c r="M446" s="89">
        <f>IFERROR(IF(A447&lt;&gt;A446,AVERAGEIF(A$9:A446,A446,T$9:T446),""),"")</f>
        <v/>
      </c>
      <c r="N446" s="89">
        <f t="array" ref="N446">IFERROR(IF(A447&lt;&gt;A446,_xlfn.STDEV.P(IF(A$9:A446=A446,T$9:T446)),""),"")</f>
        <v/>
      </c>
      <c r="O446" s="89">
        <f t="array" ref="O446">IFERROR(IF(A447&lt;&gt;A446,_xlfn.STDEV.P(IF(A$9:A446=A446,S$9:S446)),""),"")</f>
        <v/>
      </c>
      <c r="P446" s="90">
        <f>IFERROR(IF(A446&lt;&gt;A447,MAX((((M446*24*60)/2)*(1+POWER((((N446*24*60) / (M446*24*60) )),2))) + ((M446*24*60 )*-0.1 + (K446*0.015)) +1,(((M446*24*60)/2)*(1+POWER((((N446*24*60) / (M446*24*60 ))),2)))),""),"")</f>
        <v/>
      </c>
      <c r="Q446" s="90">
        <f>IF(AND(O446&lt;&gt;"",L446&lt;&gt;""),IF(A446&lt;&gt;A447,((L446*24*60) / 2 ) * (1 + POWER(((O446*24*60) / (L446*24*60)),2)),""),"")</f>
        <v/>
      </c>
      <c r="R446" s="90">
        <f>IF(Q446&lt;&gt;"",MAX(P446,Q446),"")</f>
        <v/>
      </c>
      <c r="S446" s="89">
        <f>IF(I446&lt;&gt;"H. Sale Real",IF(AND(I447&lt;&gt;"",LEFT(C447,2)&lt;&gt;"Va"),IF(AND(I446&lt;&gt;"",LEFT(C446,2)&lt;&gt;"Va",I446&lt;&gt;"H. Sale Real"),IF(I447-I446&lt;0.208333333333333,I447-I446,""),IF(AND(I445&lt;&gt;"",LEFT(C445,2)&lt;&gt;"Va",I445&lt;&gt;"H. Sale Real"),IF(I447-I445&lt;0.208333333333333,I447-I445,""),IF(AND(I444&lt;&gt;"",LEFT(C444,2)&lt;&gt;"Va",I444&lt;&gt;"H. Sale Real"),IF(I447-I444&lt;0.208333333333333,I447-I444,""),IF(AND(I443&lt;&gt;"",LEFT(C443,2)&lt;&gt;"Va",I443&lt;&gt;"H. Sale Real"),IF(I447-I443&lt;0.208333333333333,I447-I443,""),IF(AND(I442&lt;&gt;"",LEFT(C442,2)&lt;&gt;"Va",I442&lt;&gt;"H. Sale Real"),IF(I447-I442&lt;0.208333333333333,I447-I442,""),""))))),""),"")</f>
        <v/>
      </c>
      <c r="T446" s="89">
        <f>IF(G446&lt;&gt;"H. Sale Real",IF(AND(G447&lt;&gt;"",LEFT(C447,2)&lt;&gt;"Va"),IF(AND(G446&lt;&gt;"",LEFT(C446,2)&lt;&gt;"Va",G446&lt;&gt;"H. Sale Real"),IF(G447-G446&lt;0.208333333333333,G447-G446,""),IF(AND(G445&lt;&gt;"",LEFT(C445,2)&lt;&gt;"Va",G445&lt;&gt;"H. Sale Real"),IF(G447-G445&lt;0.208333333333333,G447-G445,""),IF(AND(G444&lt;&gt;"",LEFT(C444,2)&lt;&gt;"Va",G444&lt;&gt;"H. Sale Real"),IF(G447-G444&lt;0.208333333333333,G447-G444,""),IF(AND(G443&lt;&gt;"",LEFT(C443,2)&lt;&gt;"Va",G443&lt;&gt;"H. Sale Real"),IF(G447-G443&lt;0.208333333333333,G447-G443,""),IF(AND(G442&lt;&gt;"",LEFT(C442,2)&lt;&gt;"Va",G442&lt;&gt;"H. Sale Real"),IF(G447-G442&lt;0.208333333333333,G447-G442,""),""))))),""),"")</f>
        <v/>
      </c>
      <c r="U446" s="87" t="n"/>
      <c r="V446" s="89" t="n"/>
      <c r="W446" s="87" t="n"/>
      <c r="X446" s="89" t="n"/>
      <c r="Y446" s="91" t="n"/>
      <c r="Z446" s="122">
        <f>IF(G446&lt;&gt;"",IF(AND(Z445&lt;&gt;"IE",P446&lt;&gt;0,R446&lt;&gt;""),IF(IFERROR((P446/R446),0) &lt;=1,IFERROR(P446/R446,""),1),""),"")</f>
        <v/>
      </c>
      <c r="AA446" s="93" t="n"/>
      <c r="AB446" s="2" t="n"/>
      <c r="AE446" s="10">
        <f>HOUR(AK446)+1</f>
        <v/>
      </c>
      <c r="AF446" s="7" t="n"/>
      <c r="AG446" s="7" t="n"/>
      <c r="AH446" s="86" t="n"/>
      <c r="AI446" s="8" t="n"/>
      <c r="AJ446" s="86" t="n"/>
      <c r="AK446" s="87" t="n"/>
      <c r="AL446" s="88">
        <f>IF(AM446="","",IF(AND((AM446-AK446)&gt;=TIME(0,0,0),(AM446-AK446)&lt;TIME(0,3,0)),"OK",IF(AND((AM446-AK446)&gt;=TIME(0,3,0),(AM446-AK446)&lt;TIME(0,5,0)),"RETRASO DE 3-5 MIN",IF(AND((AM446-AK446)&gt;=TIME(0,5,0),(AM446-AK446)&lt;TIME(0,10,0)),"RETRASO DE 5-10 MIN",IF((AM446-AK446)&gt;=TIME(0,10,0),"RETRASO &gt;10 MIN", IF(AND((AK446-AM446)&gt;=TIME(0,0,0),(AK446-AM446)&lt;TIME(0,3,0)),"OK",IF((AK446-AM446)&gt;=TIME(0,3,0),"ADELANTADO")))))))</f>
        <v/>
      </c>
      <c r="AM446" s="91" t="n"/>
      <c r="AN446" s="89">
        <f>IF(AE446&lt;&gt;"",HLOOKUP(VALUE(TEXT(AK446,"h:mm:ss")),IF($C$6="Laboral",$FZ$4:$GX$227,IF($C$6="Sábado",$FZ$231:$GX$452,$FZ$456:$GX$656)),VLOOKUP($C$4,$HF$2:$HH$99,3,0)+IF(AG$5="Ida",0,1),1),"")</f>
        <v/>
      </c>
      <c r="AO446" s="89">
        <f>IF(AE447&lt;&gt;AE446,AVERAGEIF(AE$9:AE446,AE446,AN$9:AN446),"")</f>
        <v/>
      </c>
      <c r="AP446" s="89">
        <f>IFERROR(IF(AE447&lt;&gt;AE446,AVERAGEIF(AE$9:AE446,AE446,AW$9:AW446),""),"")</f>
        <v/>
      </c>
      <c r="AQ446" s="89">
        <f>IFERROR(IF(AE447&lt;&gt;AE446,AVERAGEIF(AE$9:AE446,AE446,AX$9:AX446),""),"")</f>
        <v/>
      </c>
      <c r="AR446" s="89">
        <f t="array" ref="AR446">IFERROR(IF(AE447&lt;&gt;AE446,_xlfn.STDEV.P(IF(AE$9:AE446=AE446,AX$9:AX446)),""),"")</f>
        <v/>
      </c>
      <c r="AS446" s="89">
        <f t="array" ref="AS446">IFERROR(IF(AE447&lt;&gt;AE446,_xlfn.STDEV.P(IF(AE$9:AE446=AE446,AW$9:AW446)),""),"")</f>
        <v/>
      </c>
      <c r="AT446" s="90">
        <f>IFERROR(IF(AE446&lt;&gt;AE447,MAX((((AQ446*24*60)/2)*(1+POWER((((AR446*24*60) / (AQ446*24*60) )),2))) + ((AQ446*24*60 )*-0.1 + (AO446*0.015)) +1,(((AQ446*24*60)/2)*(1+POWER((((AR446*24*60) / (AQ446*24*60 ))),2)))),""),"")</f>
        <v/>
      </c>
      <c r="AU446" s="90">
        <f>IF(AND(AS446&lt;&gt;"",AP446&lt;&gt;""),IF(AE446&lt;&gt;AE447,((AP446*24*60) / 2 ) * (1 + POWER(((AS446*24*60) / (AP446*24*60)),2)),""),"")</f>
        <v/>
      </c>
      <c r="AV446" s="90">
        <f>IF(AU446&lt;&gt;"",MAX(AT446,AU446),"")</f>
        <v/>
      </c>
      <c r="AW446" s="89">
        <f>IF(AM446&lt;&gt;"H. Sale Real",IF(AND(AM447&lt;&gt;"",LEFT(AG447,2)&lt;&gt;"Va"),IF(AND(AM446&lt;&gt;"",LEFT(AG446,2)&lt;&gt;"Va",AM446&lt;&gt;"H. Sale Real"),IF(AM447-AM446&lt;0.208333333333333,AM447-AM446,""),IF(AND(AM445&lt;&gt;"",LEFT(AG445,2)&lt;&gt;"Va",AM445&lt;&gt;"H. Sale Real"),IF(AM447-AM445&lt;0.208333333333333,AM447-AM445,""),IF(AND(AM444&lt;&gt;"",LEFT(AG444,2)&lt;&gt;"Va",AM444&lt;&gt;"H. Sale Real"),IF(AM447-AM444&lt;0.208333333333333,AM447-AM444,""),IF(AND(AM443&lt;&gt;"",LEFT(AG443,2)&lt;&gt;"Va",AM443&lt;&gt;"H. Sale Real"),IF(AM447-AM443&lt;0.208333333333333,AM447-AM443,""),IF(AND(AM442&lt;&gt;"",LEFT(AG442,2)&lt;&gt;"Va",AM442&lt;&gt;"H. Sale Real"),IF(AM447-AM442&lt;0.208333333333333,AM447-AM442,""),""))))),""),"")</f>
        <v/>
      </c>
      <c r="AX446" s="89">
        <f>IF(AK446&lt;&gt;"H. Sale Real",IF(AND(AK447&lt;&gt;"",LEFT(AG447,2)&lt;&gt;"Va"),IF(AND(AK446&lt;&gt;"",LEFT(AG446,2)&lt;&gt;"Va",AK446&lt;&gt;"H. Sale Real"),IF(AK447-AK446&lt;0.208333333333333,AK447-AK446,""),IF(AND(AK445&lt;&gt;"",LEFT(AG445,2)&lt;&gt;"Va",AK445&lt;&gt;"H. Sale Real"),IF(AK447-AK445&lt;0.208333333333333,AK447-AK445,""),IF(AND(AK444&lt;&gt;"",LEFT(AG444,2)&lt;&gt;"NC",AK444&lt;&gt;"H. Sale Real"),IF(AK447-AK444&lt;0.208333333333333,AK447-AK444,""),IF(AND(AK443&lt;&gt;"",LEFT(AG443,2)&lt;&gt;"Va",AK443&lt;&gt;"H. Sale Real"),IF(AK447-AK443&lt;0.208333333333333,AK447-AK443,""),IF(AND(AK442&lt;&gt;"",LEFT(AG442,2)&lt;&gt;"Va",AK442&lt;&gt;"H. Sale Real"),IF(AK447-AK442&lt;0.208333333333333,AK447-AK442,""),""))))),""),"")</f>
        <v/>
      </c>
      <c r="AY446" s="87" t="n"/>
      <c r="AZ446" s="89" t="n"/>
      <c r="BA446" s="87" t="n"/>
      <c r="BB446" s="89" t="n"/>
      <c r="BC446" s="91" t="n"/>
      <c r="BD446" s="122">
        <f>IF(AK446&lt;&gt;"",IF(AND(BD445&lt;&gt;"IE",AT446&lt;&gt;0,AV446&lt;&gt;""),IF(IFERROR((AT446/AV446),0) &lt;=1,IFERROR(AT446/AV446,""),1),""),"")</f>
        <v/>
      </c>
      <c r="BE446" s="93" t="n"/>
      <c r="BF446" s="105" t="n"/>
      <c r="FC446" t="inlineStr">
        <is>
          <t>Diccionario 1</t>
        </is>
      </c>
      <c r="FD446" s="15" t="inlineStr"/>
      <c r="FE446" s="15" t="inlineStr">
        <is>
          <t>LDYECS836S0045602</t>
        </is>
      </c>
      <c r="FF446" s="15" t="inlineStr">
        <is>
          <t>MJJ20025010046</t>
        </is>
      </c>
      <c r="FG446" s="15" t="inlineStr">
        <is>
          <t>Zhong Tong</t>
        </is>
      </c>
      <c r="FH446" s="15" t="inlineStr">
        <is>
          <t>LCK6850evg</t>
        </is>
      </c>
      <c r="FI446" s="15" t="inlineStr">
        <is>
          <t>ZHONGTONG</t>
        </is>
      </c>
      <c r="FJ446" s="15" t="inlineStr">
        <is>
          <t>LCK6850evg</t>
        </is>
      </c>
      <c r="FK446" s="15" t="n">
        <v>2025</v>
      </c>
      <c r="FL446" s="15" t="inlineStr">
        <is>
          <t>A</t>
        </is>
      </c>
      <c r="FM446" s="15" t="inlineStr">
        <is>
          <t>CERRILLOS</t>
        </is>
      </c>
      <c r="FN446" s="15" t="inlineStr">
        <is>
          <t>Calle Uno 7371</t>
        </is>
      </c>
      <c r="FO446" s="15" t="inlineStr">
        <is>
          <t>Cerrillos</t>
        </is>
      </c>
      <c r="FP446" t="inlineStr">
        <is>
          <t>A</t>
        </is>
      </c>
      <c r="FS446" s="14" t="inlineStr">
        <is>
          <t>9929 / SXKV-98|</t>
        </is>
      </c>
      <c r="FT446" t="inlineStr">
        <is>
          <t>SXKV-98|</t>
        </is>
      </c>
      <c r="FU446" t="inlineStr">
        <is>
          <t>SXKV-98</t>
        </is>
      </c>
      <c r="FV446">
        <f>VLOOKUP(FU446,FD:FL,9,0)</f>
        <v/>
      </c>
      <c r="HB446" s="35" t="n">
        <v>440</v>
      </c>
    </row>
    <row r="447" ht="15.5" customHeight="1">
      <c r="A447" s="10">
        <f>HOUR(G447)+1</f>
        <v/>
      </c>
      <c r="B447" s="7" t="n"/>
      <c r="C447" s="7" t="n"/>
      <c r="D447" s="85">
        <f>IFERROR(
IF(AND(OR(Planilla!B447="C",Planilla!B447="c"), VLOOKUP(E447,FD:FP,13,0)="C"), "OK",IF(AND(OR(Planilla!B447="C",Planilla!B447="c"), OR(VLOOKUP(E447,FD:FP,13,0)="B", VLOOKUP(E447,FD:FP,13,0)="A")), "DEFICIT",IF(
AND(OR(Planilla!B447="B", Planilla!B447="BPAL"), VLOOKUP(E447,FD:FP,13,0)="B"), "OK",IF(AND(OR(Planilla!B447="B", Planilla!B447="BPAL"), VLOOKUP(E447,FD:FP,13,0)="A"), "DEFICIT",IF(AND(OR(Planilla!B447="B", Planilla!B447="BPAL"), VLOOKUP(E447,FD:FP,13,0)="C"), "SOBREOFERTA",IF(AND(Planilla!B447="A", VLOOKUP(E447,FD:FP,13,0)="A"), "OK",IF(
AND(Planilla!B447="A", OR(VLOOKUP(E447,FD:FP,13,0)="B", VLOOKUP(E447,FD:FP,13,0)="C")), "SOBREOFERTA",""
))))))),"")</f>
        <v/>
      </c>
      <c r="E447" s="8" t="n"/>
      <c r="F447" s="86" t="n"/>
      <c r="G447" s="87" t="n"/>
      <c r="H447" s="88">
        <f>IF(I447="","",IF(AND((I447-G447)&gt;=TIME(0,0,0),(I447-G447)&lt;TIME(0,3,0)),"OK",IF(AND((I447-G447)&gt;=TIME(0,3,0),(I447-G447)&lt;TIME(0,5,0)),"RETRASO DE 3-5 MIN",IF(AND((I447-G447)&gt;=TIME(0,5,0),(I447-G447)&lt;TIME(0,10,0)),"RETRASO DE 5-10 MIN",IF((I447-G447)&gt;=TIME(0,10,0),"RETRASO &gt;10 MIN", IF(AND((G447-I447)&gt;=TIME(0,0,0),(G447-I447)&lt;TIME(0,3,0)),"OK",IF((G447-I447)&gt;=TIME(0,3,0),"ADELANTADO")))))))</f>
        <v/>
      </c>
      <c r="I447" s="89" t="n"/>
      <c r="J447" s="89">
        <f>IF(A447&lt;&gt;"",HLOOKUP(VALUE(TEXT(G447,"h:mm:ss")),IF($C$6="Laboral",$FZ$4:$GX$227,IF($C$6="Sábado",$FZ$231:$GX$452,$FZ$456:$GX$656)),VLOOKUP($C$4,$HF$2:$HH$99,3,0)+IF(C$5="Ida",0,1),1),"")</f>
        <v/>
      </c>
      <c r="K447" s="89">
        <f>IF(A448&lt;&gt;A447,AVERAGEIF(A$9:A447,A447,J$9:J447),"")</f>
        <v/>
      </c>
      <c r="L447" s="89">
        <f>IFERROR(IF(A448&lt;&gt;A447,AVERAGEIF(A$9:A447,A447,S$9:S447),""),"")</f>
        <v/>
      </c>
      <c r="M447" s="89">
        <f>IFERROR(IF(A448&lt;&gt;A447,AVERAGEIF(A$9:A447,A447,T$9:T447),""),"")</f>
        <v/>
      </c>
      <c r="N447" s="89">
        <f t="array" ref="N447">IFERROR(IF(A448&lt;&gt;A447,_xlfn.STDEV.P(IF(A$9:A447=A447,T$9:T447)),""),"")</f>
        <v/>
      </c>
      <c r="O447" s="89">
        <f t="array" ref="O447">IFERROR(IF(A448&lt;&gt;A447,_xlfn.STDEV.P(IF(A$9:A447=A447,S$9:S447)),""),"")</f>
        <v/>
      </c>
      <c r="P447" s="90">
        <f>IFERROR(IF(A447&lt;&gt;A448,MAX((((M447*24*60)/2)*(1+POWER((((N447*24*60) / (M447*24*60) )),2))) + ((M447*24*60 )*-0.1 + (K447*0.015)) +1,(((M447*24*60)/2)*(1+POWER((((N447*24*60) / (M447*24*60 ))),2)))),""),"")</f>
        <v/>
      </c>
      <c r="Q447" s="90">
        <f>IF(AND(O447&lt;&gt;"",L447&lt;&gt;""),IF(A447&lt;&gt;A448,((L447*24*60) / 2 ) * (1 + POWER(((O447*24*60) / (L447*24*60)),2)),""),"")</f>
        <v/>
      </c>
      <c r="R447" s="90">
        <f>IF(Q447&lt;&gt;"",MAX(P447,Q447),"")</f>
        <v/>
      </c>
      <c r="S447" s="89">
        <f>IF(I447&lt;&gt;"H. Sale Real",IF(AND(I448&lt;&gt;"",LEFT(C448,2)&lt;&gt;"Va"),IF(AND(I447&lt;&gt;"",LEFT(C447,2)&lt;&gt;"Va",I447&lt;&gt;"H. Sale Real"),IF(I448-I447&lt;0.208333333333333,I448-I447,""),IF(AND(I446&lt;&gt;"",LEFT(C446,2)&lt;&gt;"Va",I446&lt;&gt;"H. Sale Real"),IF(I448-I446&lt;0.208333333333333,I448-I446,""),IF(AND(I445&lt;&gt;"",LEFT(C445,2)&lt;&gt;"Va",I445&lt;&gt;"H. Sale Real"),IF(I448-I445&lt;0.208333333333333,I448-I445,""),IF(AND(I444&lt;&gt;"",LEFT(C444,2)&lt;&gt;"Va",I444&lt;&gt;"H. Sale Real"),IF(I448-I444&lt;0.208333333333333,I448-I444,""),IF(AND(I443&lt;&gt;"",LEFT(C443,2)&lt;&gt;"Va",I443&lt;&gt;"H. Sale Real"),IF(I448-I443&lt;0.208333333333333,I448-I443,""),""))))),""),"")</f>
        <v/>
      </c>
      <c r="T447" s="89">
        <f>IF(G447&lt;&gt;"H. Sale Real",IF(AND(G448&lt;&gt;"",LEFT(C448,2)&lt;&gt;"Va"),IF(AND(G447&lt;&gt;"",LEFT(C447,2)&lt;&gt;"Va",G447&lt;&gt;"H. Sale Real"),IF(G448-G447&lt;0.208333333333333,G448-G447,""),IF(AND(G446&lt;&gt;"",LEFT(C446,2)&lt;&gt;"Va",G446&lt;&gt;"H. Sale Real"),IF(G448-G446&lt;0.208333333333333,G448-G446,""),IF(AND(G445&lt;&gt;"",LEFT(C445,2)&lt;&gt;"Va",G445&lt;&gt;"H. Sale Real"),IF(G448-G445&lt;0.208333333333333,G448-G445,""),IF(AND(G444&lt;&gt;"",LEFT(C444,2)&lt;&gt;"Va",G444&lt;&gt;"H. Sale Real"),IF(G448-G444&lt;0.208333333333333,G448-G444,""),IF(AND(G443&lt;&gt;"",LEFT(C443,2)&lt;&gt;"Va",G443&lt;&gt;"H. Sale Real"),IF(G448-G443&lt;0.208333333333333,G448-G443,""),""))))),""),"")</f>
        <v/>
      </c>
      <c r="U447" s="87" t="n"/>
      <c r="V447" s="89" t="n"/>
      <c r="W447" s="87" t="n"/>
      <c r="X447" s="89" t="n"/>
      <c r="Y447" s="91" t="n"/>
      <c r="Z447" s="122">
        <f>IF(G447&lt;&gt;"",IF(AND(Z446&lt;&gt;"IE",P447&lt;&gt;0,R447&lt;&gt;""),IF(IFERROR((P447/R447),0) &lt;=1,IFERROR(P447/R447,""),1),""),"")</f>
        <v/>
      </c>
      <c r="AA447" s="93" t="n"/>
      <c r="AB447" s="2" t="n"/>
      <c r="AE447" s="10">
        <f>HOUR(AK447)+1</f>
        <v/>
      </c>
      <c r="AF447" s="7" t="n"/>
      <c r="AG447" s="7" t="n"/>
      <c r="AH447" s="86" t="n"/>
      <c r="AI447" s="8" t="n"/>
      <c r="AJ447" s="86" t="n"/>
      <c r="AK447" s="87" t="n"/>
      <c r="AL447" s="88">
        <f>IF(AM447="","",IF(AND((AM447-AK447)&gt;=TIME(0,0,0),(AM447-AK447)&lt;TIME(0,3,0)),"OK",IF(AND((AM447-AK447)&gt;=TIME(0,3,0),(AM447-AK447)&lt;TIME(0,5,0)),"RETRASO DE 3-5 MIN",IF(AND((AM447-AK447)&gt;=TIME(0,5,0),(AM447-AK447)&lt;TIME(0,10,0)),"RETRASO DE 5-10 MIN",IF((AM447-AK447)&gt;=TIME(0,10,0),"RETRASO &gt;10 MIN", IF(AND((AK447-AM447)&gt;=TIME(0,0,0),(AK447-AM447)&lt;TIME(0,3,0)),"OK",IF((AK447-AM447)&gt;=TIME(0,3,0),"ADELANTADO")))))))</f>
        <v/>
      </c>
      <c r="AM447" s="91" t="n"/>
      <c r="AN447" s="89">
        <f>IF(AE447&lt;&gt;"",HLOOKUP(VALUE(TEXT(AK447,"h:mm:ss")),IF($C$6="Laboral",$FZ$4:$GX$227,IF($C$6="Sábado",$FZ$231:$GX$452,$FZ$456:$GX$656)),VLOOKUP($C$4,$HF$2:$HH$99,3,0)+IF(AG$5="Ida",0,1),1),"")</f>
        <v/>
      </c>
      <c r="AO447" s="89">
        <f>IF(AE448&lt;&gt;AE447,AVERAGEIF(AE$9:AE447,AE447,AN$9:AN447),"")</f>
        <v/>
      </c>
      <c r="AP447" s="89">
        <f>IFERROR(IF(AE448&lt;&gt;AE447,AVERAGEIF(AE$9:AE447,AE447,AW$9:AW447),""),"")</f>
        <v/>
      </c>
      <c r="AQ447" s="89">
        <f>IFERROR(IF(AE448&lt;&gt;AE447,AVERAGEIF(AE$9:AE447,AE447,AX$9:AX447),""),"")</f>
        <v/>
      </c>
      <c r="AR447" s="89">
        <f t="array" ref="AR447">IFERROR(IF(AE448&lt;&gt;AE447,_xlfn.STDEV.P(IF(AE$9:AE447=AE447,AX$9:AX447)),""),"")</f>
        <v/>
      </c>
      <c r="AS447" s="89">
        <f t="array" ref="AS447">IFERROR(IF(AE448&lt;&gt;AE447,_xlfn.STDEV.P(IF(AE$9:AE447=AE447,AW$9:AW447)),""),"")</f>
        <v/>
      </c>
      <c r="AT447" s="90">
        <f>IFERROR(IF(AE447&lt;&gt;AE448,MAX((((AQ447*24*60)/2)*(1+POWER((((AR447*24*60) / (AQ447*24*60) )),2))) + ((AQ447*24*60 )*-0.1 + (AO447*0.015)) +1,(((AQ447*24*60)/2)*(1+POWER((((AR447*24*60) / (AQ447*24*60 ))),2)))),""),"")</f>
        <v/>
      </c>
      <c r="AU447" s="90">
        <f>IF(AND(AS447&lt;&gt;"",AP447&lt;&gt;""),IF(AE447&lt;&gt;AE448,((AP447*24*60) / 2 ) * (1 + POWER(((AS447*24*60) / (AP447*24*60)),2)),""),"")</f>
        <v/>
      </c>
      <c r="AV447" s="90">
        <f>IF(AU447&lt;&gt;"",MAX(AT447,AU447),"")</f>
        <v/>
      </c>
      <c r="AW447" s="89">
        <f>IF(AM447&lt;&gt;"H. Sale Real",IF(AND(AM448&lt;&gt;"",LEFT(AG448,2)&lt;&gt;"Va"),IF(AND(AM447&lt;&gt;"",LEFT(AG447,2)&lt;&gt;"Va",AM447&lt;&gt;"H. Sale Real"),IF(AM448-AM447&lt;0.208333333333333,AM448-AM447,""),IF(AND(AM446&lt;&gt;"",LEFT(AG446,2)&lt;&gt;"Va",AM446&lt;&gt;"H. Sale Real"),IF(AM448-AM446&lt;0.208333333333333,AM448-AM446,""),IF(AND(AM445&lt;&gt;"",LEFT(AG445,2)&lt;&gt;"Va",AM445&lt;&gt;"H. Sale Real"),IF(AM448-AM445&lt;0.208333333333333,AM448-AM445,""),IF(AND(AM444&lt;&gt;"",LEFT(AG444,2)&lt;&gt;"Va",AM444&lt;&gt;"H. Sale Real"),IF(AM448-AM444&lt;0.208333333333333,AM448-AM444,""),IF(AND(AM443&lt;&gt;"",LEFT(AG443,2)&lt;&gt;"Va",AM443&lt;&gt;"H. Sale Real"),IF(AM448-AM443&lt;0.208333333333333,AM448-AM443,""),""))))),""),"")</f>
        <v/>
      </c>
      <c r="AX447" s="89">
        <f>IF(AK447&lt;&gt;"H. Sale Real",IF(AND(AK448&lt;&gt;"",LEFT(AG448,2)&lt;&gt;"Va"),IF(AND(AK447&lt;&gt;"",LEFT(AG447,2)&lt;&gt;"Va",AK447&lt;&gt;"H. Sale Real"),IF(AK448-AK447&lt;0.208333333333333,AK448-AK447,""),IF(AND(AK446&lt;&gt;"",LEFT(AG446,2)&lt;&gt;"Va",AK446&lt;&gt;"H. Sale Real"),IF(AK448-AK446&lt;0.208333333333333,AK448-AK446,""),IF(AND(AK445&lt;&gt;"",LEFT(AG445,2)&lt;&gt;"NC",AK445&lt;&gt;"H. Sale Real"),IF(AK448-AK445&lt;0.208333333333333,AK448-AK445,""),IF(AND(AK444&lt;&gt;"",LEFT(AG444,2)&lt;&gt;"Va",AK444&lt;&gt;"H. Sale Real"),IF(AK448-AK444&lt;0.208333333333333,AK448-AK444,""),IF(AND(AK443&lt;&gt;"",LEFT(AG443,2)&lt;&gt;"Va",AK443&lt;&gt;"H. Sale Real"),IF(AK448-AK443&lt;0.208333333333333,AK448-AK443,""),""))))),""),"")</f>
        <v/>
      </c>
      <c r="AY447" s="87" t="n"/>
      <c r="AZ447" s="89" t="n"/>
      <c r="BA447" s="87" t="n"/>
      <c r="BB447" s="89" t="n"/>
      <c r="BC447" s="91" t="n"/>
      <c r="BD447" s="122">
        <f>IF(AK447&lt;&gt;"",IF(AND(BD446&lt;&gt;"IE",AT447&lt;&gt;0,AV447&lt;&gt;""),IF(IFERROR((AT447/AV447),0) &lt;=1,IFERROR(AT447/AV447,""),1),""),"")</f>
        <v/>
      </c>
      <c r="BE447" s="93" t="n"/>
      <c r="BF447" s="105" t="n"/>
      <c r="FC447" t="inlineStr">
        <is>
          <t>Diccionario 1</t>
        </is>
      </c>
      <c r="FD447" s="15" t="inlineStr"/>
      <c r="FE447" s="15" t="inlineStr">
        <is>
          <t>LDYECS837S0045629</t>
        </is>
      </c>
      <c r="FF447" s="15" t="inlineStr">
        <is>
          <t>MJJ20025010011</t>
        </is>
      </c>
      <c r="FG447" s="15" t="inlineStr">
        <is>
          <t>Zhong Tong</t>
        </is>
      </c>
      <c r="FH447" s="15" t="inlineStr">
        <is>
          <t>LCK6850evg</t>
        </is>
      </c>
      <c r="FI447" s="15" t="inlineStr">
        <is>
          <t>ZHONGTONG</t>
        </is>
      </c>
      <c r="FJ447" s="15" t="inlineStr">
        <is>
          <t>LCK6850evg</t>
        </is>
      </c>
      <c r="FK447" s="15" t="n">
        <v>2025</v>
      </c>
      <c r="FL447" s="15" t="inlineStr">
        <is>
          <t>A</t>
        </is>
      </c>
      <c r="FM447" s="15" t="inlineStr">
        <is>
          <t>CERRILLOS</t>
        </is>
      </c>
      <c r="FN447" s="15" t="inlineStr">
        <is>
          <t>Calle Uno 7371</t>
        </is>
      </c>
      <c r="FO447" s="15" t="inlineStr">
        <is>
          <t>Cerrillos</t>
        </is>
      </c>
      <c r="FP447" t="inlineStr">
        <is>
          <t>A</t>
        </is>
      </c>
      <c r="FS447" s="14" t="inlineStr">
        <is>
          <t>9929 / SXKV-98|</t>
        </is>
      </c>
      <c r="FT447" t="inlineStr">
        <is>
          <t>SXKV-98|</t>
        </is>
      </c>
      <c r="FU447" t="inlineStr">
        <is>
          <t>SXKV-98</t>
        </is>
      </c>
      <c r="FV447">
        <f>VLOOKUP(FU447,FD:FL,9,0)</f>
        <v/>
      </c>
      <c r="HB447" s="35" t="n">
        <v>441</v>
      </c>
    </row>
    <row r="448" ht="15.5" customHeight="1">
      <c r="A448" s="10">
        <f>HOUR(G448)+1</f>
        <v/>
      </c>
      <c r="B448" s="7" t="n"/>
      <c r="C448" s="7" t="n"/>
      <c r="D448" s="85">
        <f>IFERROR(
IF(AND(OR(Planilla!B448="C",Planilla!B448="c"), VLOOKUP(E448,FD:FP,13,0)="C"), "OK",IF(AND(OR(Planilla!B448="C",Planilla!B448="c"), OR(VLOOKUP(E448,FD:FP,13,0)="B", VLOOKUP(E448,FD:FP,13,0)="A")), "DEFICIT",IF(
AND(OR(Planilla!B448="B", Planilla!B448="BPAL"), VLOOKUP(E448,FD:FP,13,0)="B"), "OK",IF(AND(OR(Planilla!B448="B", Planilla!B448="BPAL"), VLOOKUP(E448,FD:FP,13,0)="A"), "DEFICIT",IF(AND(OR(Planilla!B448="B", Planilla!B448="BPAL"), VLOOKUP(E448,FD:FP,13,0)="C"), "SOBREOFERTA",IF(AND(Planilla!B448="A", VLOOKUP(E448,FD:FP,13,0)="A"), "OK",IF(
AND(Planilla!B448="A", OR(VLOOKUP(E448,FD:FP,13,0)="B", VLOOKUP(E448,FD:FP,13,0)="C")), "SOBREOFERTA",""
))))))),"")</f>
        <v/>
      </c>
      <c r="E448" s="8" t="n"/>
      <c r="F448" s="86" t="n"/>
      <c r="G448" s="87" t="n"/>
      <c r="H448" s="88">
        <f>IF(I448="","",IF(AND((I448-G448)&gt;=TIME(0,0,0),(I448-G448)&lt;TIME(0,3,0)),"OK",IF(AND((I448-G448)&gt;=TIME(0,3,0),(I448-G448)&lt;TIME(0,5,0)),"RETRASO DE 3-5 MIN",IF(AND((I448-G448)&gt;=TIME(0,5,0),(I448-G448)&lt;TIME(0,10,0)),"RETRASO DE 5-10 MIN",IF((I448-G448)&gt;=TIME(0,10,0),"RETRASO &gt;10 MIN", IF(AND((G448-I448)&gt;=TIME(0,0,0),(G448-I448)&lt;TIME(0,3,0)),"OK",IF((G448-I448)&gt;=TIME(0,3,0),"ADELANTADO")))))))</f>
        <v/>
      </c>
      <c r="I448" s="89" t="n"/>
      <c r="J448" s="89">
        <f>IF(A448&lt;&gt;"",HLOOKUP(VALUE(TEXT(G448,"h:mm:ss")),IF($C$6="Laboral",$FZ$4:$GX$227,IF($C$6="Sábado",$FZ$231:$GX$452,$FZ$456:$GX$656)),VLOOKUP($C$4,$HF$2:$HH$99,3,0)+IF(C$5="Ida",0,1),1),"")</f>
        <v/>
      </c>
      <c r="K448" s="89">
        <f>IF(A449&lt;&gt;A448,AVERAGEIF(A$9:A448,A448,J$9:J448),"")</f>
        <v/>
      </c>
      <c r="L448" s="89">
        <f>IFERROR(IF(A449&lt;&gt;A448,AVERAGEIF(A$9:A448,A448,S$9:S448),""),"")</f>
        <v/>
      </c>
      <c r="M448" s="89">
        <f>IFERROR(IF(A449&lt;&gt;A448,AVERAGEIF(A$9:A448,A448,T$9:T448),""),"")</f>
        <v/>
      </c>
      <c r="N448" s="89">
        <f t="array" ref="N448">IFERROR(IF(A449&lt;&gt;A448,_xlfn.STDEV.P(IF(A$9:A448=A448,T$9:T448)),""),"")</f>
        <v/>
      </c>
      <c r="O448" s="89">
        <f t="array" ref="O448">IFERROR(IF(A449&lt;&gt;A448,_xlfn.STDEV.P(IF(A$9:A448=A448,S$9:S448)),""),"")</f>
        <v/>
      </c>
      <c r="P448" s="90">
        <f>IFERROR(IF(A448&lt;&gt;A449,MAX((((M448*24*60)/2)*(1+POWER((((N448*24*60) / (M448*24*60) )),2))) + ((M448*24*60 )*-0.1 + (K448*0.015)) +1,(((M448*24*60)/2)*(1+POWER((((N448*24*60) / (M448*24*60 ))),2)))),""),"")</f>
        <v/>
      </c>
      <c r="Q448" s="90">
        <f>IF(AND(O448&lt;&gt;"",L448&lt;&gt;""),IF(A448&lt;&gt;A449,((L448*24*60) / 2 ) * (1 + POWER(((O448*24*60) / (L448*24*60)),2)),""),"")</f>
        <v/>
      </c>
      <c r="R448" s="90">
        <f>IF(Q448&lt;&gt;"",MAX(P448,Q448),"")</f>
        <v/>
      </c>
      <c r="S448" s="89">
        <f>IF(I448&lt;&gt;"H. Sale Real",IF(AND(I449&lt;&gt;"",LEFT(C449,2)&lt;&gt;"Va"),IF(AND(I448&lt;&gt;"",LEFT(C448,2)&lt;&gt;"Va",I448&lt;&gt;"H. Sale Real"),IF(I449-I448&lt;0.208333333333333,I449-I448,""),IF(AND(I447&lt;&gt;"",LEFT(C447,2)&lt;&gt;"Va",I447&lt;&gt;"H. Sale Real"),IF(I449-I447&lt;0.208333333333333,I449-I447,""),IF(AND(I446&lt;&gt;"",LEFT(C446,2)&lt;&gt;"Va",I446&lt;&gt;"H. Sale Real"),IF(I449-I446&lt;0.208333333333333,I449-I446,""),IF(AND(I445&lt;&gt;"",LEFT(C445,2)&lt;&gt;"Va",I445&lt;&gt;"H. Sale Real"),IF(I449-I445&lt;0.208333333333333,I449-I445,""),IF(AND(I444&lt;&gt;"",LEFT(C444,2)&lt;&gt;"Va",I444&lt;&gt;"H. Sale Real"),IF(I449-I444&lt;0.208333333333333,I449-I444,""),""))))),""),"")</f>
        <v/>
      </c>
      <c r="T448" s="89">
        <f>IF(G448&lt;&gt;"H. Sale Real",IF(AND(G449&lt;&gt;"",LEFT(C449,2)&lt;&gt;"Va"),IF(AND(G448&lt;&gt;"",LEFT(C448,2)&lt;&gt;"Va",G448&lt;&gt;"H. Sale Real"),IF(G449-G448&lt;0.208333333333333,G449-G448,""),IF(AND(G447&lt;&gt;"",LEFT(C447,2)&lt;&gt;"Va",G447&lt;&gt;"H. Sale Real"),IF(G449-G447&lt;0.208333333333333,G449-G447,""),IF(AND(G446&lt;&gt;"",LEFT(C446,2)&lt;&gt;"Va",G446&lt;&gt;"H. Sale Real"),IF(G449-G446&lt;0.208333333333333,G449-G446,""),IF(AND(G445&lt;&gt;"",LEFT(C445,2)&lt;&gt;"Va",G445&lt;&gt;"H. Sale Real"),IF(G449-G445&lt;0.208333333333333,G449-G445,""),IF(AND(G444&lt;&gt;"",LEFT(C444,2)&lt;&gt;"Va",G444&lt;&gt;"H. Sale Real"),IF(G449-G444&lt;0.208333333333333,G449-G444,""),""))))),""),"")</f>
        <v/>
      </c>
      <c r="U448" s="87" t="n"/>
      <c r="V448" s="89" t="n"/>
      <c r="W448" s="87" t="n"/>
      <c r="X448" s="89" t="n"/>
      <c r="Y448" s="91" t="n"/>
      <c r="Z448" s="122">
        <f>IF(G448&lt;&gt;"",IF(AND(Z447&lt;&gt;"IE",P448&lt;&gt;0,R448&lt;&gt;""),IF(IFERROR((P448/R448),0) &lt;=1,IFERROR(P448/R448,""),1),""),"")</f>
        <v/>
      </c>
      <c r="AA448" s="93" t="n"/>
      <c r="AB448" s="2" t="n"/>
      <c r="AE448" s="10">
        <f>HOUR(AK448)+1</f>
        <v/>
      </c>
      <c r="AF448" s="7" t="n"/>
      <c r="AG448" s="7" t="n"/>
      <c r="AH448" s="86" t="n"/>
      <c r="AI448" s="8" t="n"/>
      <c r="AJ448" s="86" t="n"/>
      <c r="AK448" s="87" t="n"/>
      <c r="AL448" s="88">
        <f>IF(AM448="","",IF(AND((AM448-AK448)&gt;=TIME(0,0,0),(AM448-AK448)&lt;TIME(0,3,0)),"OK",IF(AND((AM448-AK448)&gt;=TIME(0,3,0),(AM448-AK448)&lt;TIME(0,5,0)),"RETRASO DE 3-5 MIN",IF(AND((AM448-AK448)&gt;=TIME(0,5,0),(AM448-AK448)&lt;TIME(0,10,0)),"RETRASO DE 5-10 MIN",IF((AM448-AK448)&gt;=TIME(0,10,0),"RETRASO &gt;10 MIN", IF(AND((AK448-AM448)&gt;=TIME(0,0,0),(AK448-AM448)&lt;TIME(0,3,0)),"OK",IF((AK448-AM448)&gt;=TIME(0,3,0),"ADELANTADO")))))))</f>
        <v/>
      </c>
      <c r="AM448" s="91" t="n"/>
      <c r="AN448" s="89">
        <f>IF(AE448&lt;&gt;"",HLOOKUP(VALUE(TEXT(AK448,"h:mm:ss")),IF($C$6="Laboral",$FZ$4:$GX$227,IF($C$6="Sábado",$FZ$231:$GX$452,$FZ$456:$GX$656)),VLOOKUP($C$4,$HF$2:$HH$99,3,0)+IF(AG$5="Ida",0,1),1),"")</f>
        <v/>
      </c>
      <c r="AO448" s="89">
        <f>IF(AE449&lt;&gt;AE448,AVERAGEIF(AE$9:AE448,AE448,AN$9:AN448),"")</f>
        <v/>
      </c>
      <c r="AP448" s="89">
        <f>IFERROR(IF(AE449&lt;&gt;AE448,AVERAGEIF(AE$9:AE448,AE448,AW$9:AW448),""),"")</f>
        <v/>
      </c>
      <c r="AQ448" s="89">
        <f>IFERROR(IF(AE449&lt;&gt;AE448,AVERAGEIF(AE$9:AE448,AE448,AX$9:AX448),""),"")</f>
        <v/>
      </c>
      <c r="AR448" s="89">
        <f t="array" ref="AR448">IFERROR(IF(AE449&lt;&gt;AE448,_xlfn.STDEV.P(IF(AE$9:AE448=AE448,AX$9:AX448)),""),"")</f>
        <v/>
      </c>
      <c r="AS448" s="89">
        <f t="array" ref="AS448">IFERROR(IF(AE449&lt;&gt;AE448,_xlfn.STDEV.P(IF(AE$9:AE448=AE448,AW$9:AW448)),""),"")</f>
        <v/>
      </c>
      <c r="AT448" s="90">
        <f>IFERROR(IF(AE448&lt;&gt;AE449,MAX((((AQ448*24*60)/2)*(1+POWER((((AR448*24*60) / (AQ448*24*60) )),2))) + ((AQ448*24*60 )*-0.1 + (AO448*0.015)) +1,(((AQ448*24*60)/2)*(1+POWER((((AR448*24*60) / (AQ448*24*60 ))),2)))),""),"")</f>
        <v/>
      </c>
      <c r="AU448" s="90">
        <f>IF(AND(AS448&lt;&gt;"",AP448&lt;&gt;""),IF(AE448&lt;&gt;AE449,((AP448*24*60) / 2 ) * (1 + POWER(((AS448*24*60) / (AP448*24*60)),2)),""),"")</f>
        <v/>
      </c>
      <c r="AV448" s="90">
        <f>IF(AU448&lt;&gt;"",MAX(AT448,AU448),"")</f>
        <v/>
      </c>
      <c r="AW448" s="89">
        <f>IF(AM448&lt;&gt;"H. Sale Real",IF(AND(AM449&lt;&gt;"",LEFT(AG449,2)&lt;&gt;"Va"),IF(AND(AM448&lt;&gt;"",LEFT(AG448,2)&lt;&gt;"Va",AM448&lt;&gt;"H. Sale Real"),IF(AM449-AM448&lt;0.208333333333333,AM449-AM448,""),IF(AND(AM447&lt;&gt;"",LEFT(AG447,2)&lt;&gt;"Va",AM447&lt;&gt;"H. Sale Real"),IF(AM449-AM447&lt;0.208333333333333,AM449-AM447,""),IF(AND(AM446&lt;&gt;"",LEFT(AG446,2)&lt;&gt;"Va",AM446&lt;&gt;"H. Sale Real"),IF(AM449-AM446&lt;0.208333333333333,AM449-AM446,""),IF(AND(AM445&lt;&gt;"",LEFT(AG445,2)&lt;&gt;"Va",AM445&lt;&gt;"H. Sale Real"),IF(AM449-AM445&lt;0.208333333333333,AM449-AM445,""),IF(AND(AM444&lt;&gt;"",LEFT(AG444,2)&lt;&gt;"Va",AM444&lt;&gt;"H. Sale Real"),IF(AM449-AM444&lt;0.208333333333333,AM449-AM444,""),""))))),""),"")</f>
        <v/>
      </c>
      <c r="AX448" s="89">
        <f>IF(AK448&lt;&gt;"H. Sale Real",IF(AND(AK449&lt;&gt;"",LEFT(AG449,2)&lt;&gt;"Va"),IF(AND(AK448&lt;&gt;"",LEFT(AG448,2)&lt;&gt;"Va",AK448&lt;&gt;"H. Sale Real"),IF(AK449-AK448&lt;0.208333333333333,AK449-AK448,""),IF(AND(AK447&lt;&gt;"",LEFT(AG447,2)&lt;&gt;"Va",AK447&lt;&gt;"H. Sale Real"),IF(AK449-AK447&lt;0.208333333333333,AK449-AK447,""),IF(AND(AK446&lt;&gt;"",LEFT(AG446,2)&lt;&gt;"NC",AK446&lt;&gt;"H. Sale Real"),IF(AK449-AK446&lt;0.208333333333333,AK449-AK446,""),IF(AND(AK445&lt;&gt;"",LEFT(AG445,2)&lt;&gt;"Va",AK445&lt;&gt;"H. Sale Real"),IF(AK449-AK445&lt;0.208333333333333,AK449-AK445,""),IF(AND(AK444&lt;&gt;"",LEFT(AG444,2)&lt;&gt;"Va",AK444&lt;&gt;"H. Sale Real"),IF(AK449-AK444&lt;0.208333333333333,AK449-AK444,""),""))))),""),"")</f>
        <v/>
      </c>
      <c r="AY448" s="87" t="n"/>
      <c r="AZ448" s="89" t="n"/>
      <c r="BA448" s="87" t="n"/>
      <c r="BB448" s="89" t="n"/>
      <c r="BC448" s="91" t="n"/>
      <c r="BD448" s="122">
        <f>IF(AK448&lt;&gt;"",IF(AND(BD447&lt;&gt;"IE",AT448&lt;&gt;0,AV448&lt;&gt;""),IF(IFERROR((AT448/AV448),0) &lt;=1,IFERROR(AT448/AV448,""),1),""),"")</f>
        <v/>
      </c>
      <c r="BE448" s="93" t="n"/>
      <c r="BF448" s="105" t="n"/>
      <c r="FC448" t="inlineStr">
        <is>
          <t>Diccionario 1</t>
        </is>
      </c>
      <c r="FD448" s="15" t="inlineStr"/>
      <c r="FE448" s="15" t="inlineStr">
        <is>
          <t>LDYECS839S0045616</t>
        </is>
      </c>
      <c r="FF448" s="15" t="inlineStr">
        <is>
          <t>MJJ20025010037</t>
        </is>
      </c>
      <c r="FG448" s="15" t="inlineStr">
        <is>
          <t>Zhong Tong</t>
        </is>
      </c>
      <c r="FH448" s="15" t="inlineStr">
        <is>
          <t>LCK6850evg</t>
        </is>
      </c>
      <c r="FI448" s="15" t="inlineStr">
        <is>
          <t>ZHONGTONG</t>
        </is>
      </c>
      <c r="FJ448" s="15" t="inlineStr">
        <is>
          <t>LCK6850evg</t>
        </is>
      </c>
      <c r="FK448" s="15" t="n">
        <v>2025</v>
      </c>
      <c r="FL448" s="15" t="inlineStr">
        <is>
          <t>A</t>
        </is>
      </c>
      <c r="FM448" s="15" t="inlineStr">
        <is>
          <t>CERRILLOS</t>
        </is>
      </c>
      <c r="FN448" s="15" t="inlineStr">
        <is>
          <t>Calle Uno 7371</t>
        </is>
      </c>
      <c r="FO448" s="15" t="inlineStr">
        <is>
          <t>Cerrillos</t>
        </is>
      </c>
      <c r="FP448" t="inlineStr">
        <is>
          <t>A</t>
        </is>
      </c>
      <c r="FS448" s="14" t="inlineStr">
        <is>
          <t>9930 / SXKV-99|</t>
        </is>
      </c>
      <c r="FT448" t="inlineStr">
        <is>
          <t>SXKV-99|</t>
        </is>
      </c>
      <c r="FU448" t="inlineStr">
        <is>
          <t>SXKV-99</t>
        </is>
      </c>
      <c r="FV448">
        <f>VLOOKUP(FU448,FD:FL,9,0)</f>
        <v/>
      </c>
      <c r="HB448" s="35" t="n">
        <v>442</v>
      </c>
    </row>
    <row r="449" ht="15.5" customHeight="1">
      <c r="A449" s="10">
        <f>HOUR(G449)+1</f>
        <v/>
      </c>
      <c r="B449" s="7" t="n"/>
      <c r="C449" s="7" t="n"/>
      <c r="D449" s="85">
        <f>IFERROR(
IF(AND(OR(Planilla!B449="C",Planilla!B449="c"), VLOOKUP(E449,FD:FP,13,0)="C"), "OK",IF(AND(OR(Planilla!B449="C",Planilla!B449="c"), OR(VLOOKUP(E449,FD:FP,13,0)="B", VLOOKUP(E449,FD:FP,13,0)="A")), "DEFICIT",IF(
AND(OR(Planilla!B449="B", Planilla!B449="BPAL"), VLOOKUP(E449,FD:FP,13,0)="B"), "OK",IF(AND(OR(Planilla!B449="B", Planilla!B449="BPAL"), VLOOKUP(E449,FD:FP,13,0)="A"), "DEFICIT",IF(AND(OR(Planilla!B449="B", Planilla!B449="BPAL"), VLOOKUP(E449,FD:FP,13,0)="C"), "SOBREOFERTA",IF(AND(Planilla!B449="A", VLOOKUP(E449,FD:FP,13,0)="A"), "OK",IF(
AND(Planilla!B449="A", OR(VLOOKUP(E449,FD:FP,13,0)="B", VLOOKUP(E449,FD:FP,13,0)="C")), "SOBREOFERTA",""
))))))),"")</f>
        <v/>
      </c>
      <c r="E449" s="8" t="n"/>
      <c r="F449" s="86" t="n"/>
      <c r="G449" s="87" t="n"/>
      <c r="H449" s="88">
        <f>IF(I449="","",IF(AND((I449-G449)&gt;=TIME(0,0,0),(I449-G449)&lt;TIME(0,3,0)),"OK",IF(AND((I449-G449)&gt;=TIME(0,3,0),(I449-G449)&lt;TIME(0,5,0)),"RETRASO DE 3-5 MIN",IF(AND((I449-G449)&gt;=TIME(0,5,0),(I449-G449)&lt;TIME(0,10,0)),"RETRASO DE 5-10 MIN",IF((I449-G449)&gt;=TIME(0,10,0),"RETRASO &gt;10 MIN", IF(AND((G449-I449)&gt;=TIME(0,0,0),(G449-I449)&lt;TIME(0,3,0)),"OK",IF((G449-I449)&gt;=TIME(0,3,0),"ADELANTADO")))))))</f>
        <v/>
      </c>
      <c r="I449" s="89" t="n"/>
      <c r="J449" s="89">
        <f>IF(A449&lt;&gt;"",HLOOKUP(VALUE(TEXT(G449,"h:mm:ss")),IF($C$6="Laboral",$FZ$4:$GX$227,IF($C$6="Sábado",$FZ$231:$GX$452,$FZ$456:$GX$656)),VLOOKUP($C$4,$HF$2:$HH$99,3,0)+IF(C$5="Ida",0,1),1),"")</f>
        <v/>
      </c>
      <c r="K449" s="89">
        <f>IF(A450&lt;&gt;A449,AVERAGEIF(A$9:A449,A449,J$9:J449),"")</f>
        <v/>
      </c>
      <c r="L449" s="89">
        <f>IFERROR(IF(A450&lt;&gt;A449,AVERAGEIF(A$9:A449,A449,S$9:S449),""),"")</f>
        <v/>
      </c>
      <c r="M449" s="89">
        <f>IFERROR(IF(A450&lt;&gt;A449,AVERAGEIF(A$9:A449,A449,T$9:T449),""),"")</f>
        <v/>
      </c>
      <c r="N449" s="89">
        <f t="array" ref="N449">IFERROR(IF(A450&lt;&gt;A449,_xlfn.STDEV.P(IF(A$9:A449=A449,T$9:T449)),""),"")</f>
        <v/>
      </c>
      <c r="O449" s="89">
        <f t="array" ref="O449">IFERROR(IF(A450&lt;&gt;A449,_xlfn.STDEV.P(IF(A$9:A449=A449,S$9:S449)),""),"")</f>
        <v/>
      </c>
      <c r="P449" s="90">
        <f>IFERROR(IF(A449&lt;&gt;A450,MAX((((M449*24*60)/2)*(1+POWER((((N449*24*60) / (M449*24*60) )),2))) + ((M449*24*60 )*-0.1 + (K449*0.015)) +1,(((M449*24*60)/2)*(1+POWER((((N449*24*60) / (M449*24*60 ))),2)))),""),"")</f>
        <v/>
      </c>
      <c r="Q449" s="90">
        <f>IF(AND(O449&lt;&gt;"",L449&lt;&gt;""),IF(A449&lt;&gt;A450,((L449*24*60) / 2 ) * (1 + POWER(((O449*24*60) / (L449*24*60)),2)),""),"")</f>
        <v/>
      </c>
      <c r="R449" s="90">
        <f>IF(Q449&lt;&gt;"",MAX(P449,Q449),"")</f>
        <v/>
      </c>
      <c r="S449" s="89">
        <f>IF(I449&lt;&gt;"H. Sale Real",IF(AND(I450&lt;&gt;"",LEFT(C450,2)&lt;&gt;"Va"),IF(AND(I449&lt;&gt;"",LEFT(C449,2)&lt;&gt;"Va",I449&lt;&gt;"H. Sale Real"),IF(I450-I449&lt;0.208333333333333,I450-I449,""),IF(AND(I448&lt;&gt;"",LEFT(C448,2)&lt;&gt;"Va",I448&lt;&gt;"H. Sale Real"),IF(I450-I448&lt;0.208333333333333,I450-I448,""),IF(AND(I447&lt;&gt;"",LEFT(C447,2)&lt;&gt;"Va",I447&lt;&gt;"H. Sale Real"),IF(I450-I447&lt;0.208333333333333,I450-I447,""),IF(AND(I446&lt;&gt;"",LEFT(C446,2)&lt;&gt;"Va",I446&lt;&gt;"H. Sale Real"),IF(I450-I446&lt;0.208333333333333,I450-I446,""),IF(AND(I445&lt;&gt;"",LEFT(C445,2)&lt;&gt;"Va",I445&lt;&gt;"H. Sale Real"),IF(I450-I445&lt;0.208333333333333,I450-I445,""),""))))),""),"")</f>
        <v/>
      </c>
      <c r="T449" s="89">
        <f>IF(G449&lt;&gt;"H. Sale Real",IF(AND(G450&lt;&gt;"",LEFT(C450,2)&lt;&gt;"Va"),IF(AND(G449&lt;&gt;"",LEFT(C449,2)&lt;&gt;"Va",G449&lt;&gt;"H. Sale Real"),IF(G450-G449&lt;0.208333333333333,G450-G449,""),IF(AND(G448&lt;&gt;"",LEFT(C448,2)&lt;&gt;"Va",G448&lt;&gt;"H. Sale Real"),IF(G450-G448&lt;0.208333333333333,G450-G448,""),IF(AND(G447&lt;&gt;"",LEFT(C447,2)&lt;&gt;"Va",G447&lt;&gt;"H. Sale Real"),IF(G450-G447&lt;0.208333333333333,G450-G447,""),IF(AND(G446&lt;&gt;"",LEFT(C446,2)&lt;&gt;"Va",G446&lt;&gt;"H. Sale Real"),IF(G450-G446&lt;0.208333333333333,G450-G446,""),IF(AND(G445&lt;&gt;"",LEFT(C445,2)&lt;&gt;"Va",G445&lt;&gt;"H. Sale Real"),IF(G450-G445&lt;0.208333333333333,G450-G445,""),""))))),""),"")</f>
        <v/>
      </c>
      <c r="U449" s="87" t="n"/>
      <c r="V449" s="89" t="n"/>
      <c r="W449" s="87" t="n"/>
      <c r="X449" s="89" t="n"/>
      <c r="Y449" s="91" t="n"/>
      <c r="Z449" s="122">
        <f>IF(G449&lt;&gt;"",IF(AND(Z448&lt;&gt;"IE",P449&lt;&gt;0,R449&lt;&gt;""),IF(IFERROR((P449/R449),0) &lt;=1,IFERROR(P449/R449,""),1),""),"")</f>
        <v/>
      </c>
      <c r="AA449" s="93" t="n"/>
      <c r="AB449" s="2" t="n"/>
      <c r="AE449" s="10">
        <f>HOUR(AK449)+1</f>
        <v/>
      </c>
      <c r="AF449" s="7" t="n"/>
      <c r="AG449" s="7" t="n"/>
      <c r="AH449" s="86" t="n"/>
      <c r="AI449" s="8" t="n"/>
      <c r="AJ449" s="86" t="n"/>
      <c r="AK449" s="87" t="n"/>
      <c r="AL449" s="88">
        <f>IF(AM449="","",IF(AND((AM449-AK449)&gt;=TIME(0,0,0),(AM449-AK449)&lt;TIME(0,3,0)),"OK",IF(AND((AM449-AK449)&gt;=TIME(0,3,0),(AM449-AK449)&lt;TIME(0,5,0)),"RETRASO DE 3-5 MIN",IF(AND((AM449-AK449)&gt;=TIME(0,5,0),(AM449-AK449)&lt;TIME(0,10,0)),"RETRASO DE 5-10 MIN",IF((AM449-AK449)&gt;=TIME(0,10,0),"RETRASO &gt;10 MIN", IF(AND((AK449-AM449)&gt;=TIME(0,0,0),(AK449-AM449)&lt;TIME(0,3,0)),"OK",IF((AK449-AM449)&gt;=TIME(0,3,0),"ADELANTADO")))))))</f>
        <v/>
      </c>
      <c r="AM449" s="91" t="n"/>
      <c r="AN449" s="89">
        <f>IF(AE449&lt;&gt;"",HLOOKUP(VALUE(TEXT(AK449,"h:mm:ss")),IF($C$6="Laboral",$FZ$4:$GX$227,IF($C$6="Sábado",$FZ$231:$GX$452,$FZ$456:$GX$656)),VLOOKUP($C$4,$HF$2:$HH$99,3,0)+IF(AG$5="Ida",0,1),1),"")</f>
        <v/>
      </c>
      <c r="AO449" s="89">
        <f>IF(AE450&lt;&gt;AE449,AVERAGEIF(AE$9:AE449,AE449,AN$9:AN449),"")</f>
        <v/>
      </c>
      <c r="AP449" s="89">
        <f>IFERROR(IF(AE450&lt;&gt;AE449,AVERAGEIF(AE$9:AE449,AE449,AW$9:AW449),""),"")</f>
        <v/>
      </c>
      <c r="AQ449" s="89">
        <f>IFERROR(IF(AE450&lt;&gt;AE449,AVERAGEIF(AE$9:AE449,AE449,AX$9:AX449),""),"")</f>
        <v/>
      </c>
      <c r="AR449" s="89">
        <f t="array" ref="AR449">IFERROR(IF(AE450&lt;&gt;AE449,_xlfn.STDEV.P(IF(AE$9:AE449=AE449,AX$9:AX449)),""),"")</f>
        <v/>
      </c>
      <c r="AS449" s="89">
        <f t="array" ref="AS449">IFERROR(IF(AE450&lt;&gt;AE449,_xlfn.STDEV.P(IF(AE$9:AE449=AE449,AW$9:AW449)),""),"")</f>
        <v/>
      </c>
      <c r="AT449" s="90">
        <f>IFERROR(IF(AE449&lt;&gt;AE450,MAX((((AQ449*24*60)/2)*(1+POWER((((AR449*24*60) / (AQ449*24*60) )),2))) + ((AQ449*24*60 )*-0.1 + (AO449*0.015)) +1,(((AQ449*24*60)/2)*(1+POWER((((AR449*24*60) / (AQ449*24*60 ))),2)))),""),"")</f>
        <v/>
      </c>
      <c r="AU449" s="90">
        <f>IF(AND(AS449&lt;&gt;"",AP449&lt;&gt;""),IF(AE449&lt;&gt;AE450,((AP449*24*60) / 2 ) * (1 + POWER(((AS449*24*60) / (AP449*24*60)),2)),""),"")</f>
        <v/>
      </c>
      <c r="AV449" s="90">
        <f>IF(AU449&lt;&gt;"",MAX(AT449,AU449),"")</f>
        <v/>
      </c>
      <c r="AW449" s="89">
        <f>IF(AM449&lt;&gt;"H. Sale Real",IF(AND(AM450&lt;&gt;"",LEFT(AG450,2)&lt;&gt;"Va"),IF(AND(AM449&lt;&gt;"",LEFT(AG449,2)&lt;&gt;"Va",AM449&lt;&gt;"H. Sale Real"),IF(AM450-AM449&lt;0.208333333333333,AM450-AM449,""),IF(AND(AM448&lt;&gt;"",LEFT(AG448,2)&lt;&gt;"Va",AM448&lt;&gt;"H. Sale Real"),IF(AM450-AM448&lt;0.208333333333333,AM450-AM448,""),IF(AND(AM447&lt;&gt;"",LEFT(AG447,2)&lt;&gt;"Va",AM447&lt;&gt;"H. Sale Real"),IF(AM450-AM447&lt;0.208333333333333,AM450-AM447,""),IF(AND(AM446&lt;&gt;"",LEFT(AG446,2)&lt;&gt;"Va",AM446&lt;&gt;"H. Sale Real"),IF(AM450-AM446&lt;0.208333333333333,AM450-AM446,""),IF(AND(AM445&lt;&gt;"",LEFT(AG445,2)&lt;&gt;"Va",AM445&lt;&gt;"H. Sale Real"),IF(AM450-AM445&lt;0.208333333333333,AM450-AM445,""),""))))),""),"")</f>
        <v/>
      </c>
      <c r="AX449" s="89">
        <f>IF(AK449&lt;&gt;"H. Sale Real",IF(AND(AK450&lt;&gt;"",LEFT(AG450,2)&lt;&gt;"Va"),IF(AND(AK449&lt;&gt;"",LEFT(AG449,2)&lt;&gt;"Va",AK449&lt;&gt;"H. Sale Real"),IF(AK450-AK449&lt;0.208333333333333,AK450-AK449,""),IF(AND(AK448&lt;&gt;"",LEFT(AG448,2)&lt;&gt;"Va",AK448&lt;&gt;"H. Sale Real"),IF(AK450-AK448&lt;0.208333333333333,AK450-AK448,""),IF(AND(AK447&lt;&gt;"",LEFT(AG447,2)&lt;&gt;"NC",AK447&lt;&gt;"H. Sale Real"),IF(AK450-AK447&lt;0.208333333333333,AK450-AK447,""),IF(AND(AK446&lt;&gt;"",LEFT(AG446,2)&lt;&gt;"Va",AK446&lt;&gt;"H. Sale Real"),IF(AK450-AK446&lt;0.208333333333333,AK450-AK446,""),IF(AND(AK445&lt;&gt;"",LEFT(AG445,2)&lt;&gt;"Va",AK445&lt;&gt;"H. Sale Real"),IF(AK450-AK445&lt;0.208333333333333,AK450-AK445,""),""))))),""),"")</f>
        <v/>
      </c>
      <c r="AY449" s="87" t="n"/>
      <c r="AZ449" s="89" t="n"/>
      <c r="BA449" s="87" t="n"/>
      <c r="BB449" s="89" t="n"/>
      <c r="BC449" s="91" t="n"/>
      <c r="BD449" s="122">
        <f>IF(AK449&lt;&gt;"",IF(AND(BD448&lt;&gt;"IE",AT449&lt;&gt;0,AV449&lt;&gt;""),IF(IFERROR((AT449/AV449),0) &lt;=1,IFERROR(AT449/AV449,""),1),""),"")</f>
        <v/>
      </c>
      <c r="BE449" s="93" t="n"/>
      <c r="BF449" s="105" t="n"/>
      <c r="FC449" t="inlineStr">
        <is>
          <t>Diccionario 1</t>
        </is>
      </c>
      <c r="FD449" s="15" t="inlineStr"/>
      <c r="FE449" s="15" t="inlineStr">
        <is>
          <t>LDYECS838S0045610</t>
        </is>
      </c>
      <c r="FF449" s="15" t="inlineStr">
        <is>
          <t>MJJ20025030024</t>
        </is>
      </c>
      <c r="FG449" s="15" t="inlineStr">
        <is>
          <t>Zhong Tong</t>
        </is>
      </c>
      <c r="FH449" s="15" t="inlineStr">
        <is>
          <t>LCK6850evg</t>
        </is>
      </c>
      <c r="FI449" s="15" t="inlineStr">
        <is>
          <t>ZHONGTONG</t>
        </is>
      </c>
      <c r="FJ449" s="15" t="inlineStr">
        <is>
          <t>LCK6850evg</t>
        </is>
      </c>
      <c r="FK449" s="15" t="n">
        <v>2025</v>
      </c>
      <c r="FL449" s="15" t="inlineStr">
        <is>
          <t>A</t>
        </is>
      </c>
      <c r="FM449" s="15" t="inlineStr">
        <is>
          <t>CERRILLOS</t>
        </is>
      </c>
      <c r="FN449" s="15" t="inlineStr">
        <is>
          <t>Calle Uno 7371</t>
        </is>
      </c>
      <c r="FO449" s="15" t="inlineStr">
        <is>
          <t>Cerrillos</t>
        </is>
      </c>
      <c r="FP449" t="inlineStr">
        <is>
          <t>A</t>
        </is>
      </c>
      <c r="FS449" s="14" t="inlineStr">
        <is>
          <t>9930 / SXKV-99|</t>
        </is>
      </c>
      <c r="FT449" t="inlineStr">
        <is>
          <t>SXKV-99|</t>
        </is>
      </c>
      <c r="FU449" t="inlineStr">
        <is>
          <t>SXKV-99</t>
        </is>
      </c>
      <c r="FV449">
        <f>VLOOKUP(FU449,FD:FL,9,0)</f>
        <v/>
      </c>
      <c r="HB449" s="35" t="n">
        <v>443</v>
      </c>
    </row>
    <row r="450" ht="15.5" customHeight="1">
      <c r="A450" s="10">
        <f>HOUR(G450)+1</f>
        <v/>
      </c>
      <c r="B450" s="7" t="n"/>
      <c r="C450" s="7" t="n"/>
      <c r="D450" s="85">
        <f>IFERROR(
IF(AND(OR(Planilla!B450="C",Planilla!B450="c"), VLOOKUP(E450,FD:FP,13,0)="C"), "OK",IF(AND(OR(Planilla!B450="C",Planilla!B450="c"), OR(VLOOKUP(E450,FD:FP,13,0)="B", VLOOKUP(E450,FD:FP,13,0)="A")), "DEFICIT",IF(
AND(OR(Planilla!B450="B", Planilla!B450="BPAL"), VLOOKUP(E450,FD:FP,13,0)="B"), "OK",IF(AND(OR(Planilla!B450="B", Planilla!B450="BPAL"), VLOOKUP(E450,FD:FP,13,0)="A"), "DEFICIT",IF(AND(OR(Planilla!B450="B", Planilla!B450="BPAL"), VLOOKUP(E450,FD:FP,13,0)="C"), "SOBREOFERTA",IF(AND(Planilla!B450="A", VLOOKUP(E450,FD:FP,13,0)="A"), "OK",IF(
AND(Planilla!B450="A", OR(VLOOKUP(E450,FD:FP,13,0)="B", VLOOKUP(E450,FD:FP,13,0)="C")), "SOBREOFERTA",""
))))))),"")</f>
        <v/>
      </c>
      <c r="E450" s="8" t="n"/>
      <c r="F450" s="86" t="n"/>
      <c r="G450" s="87" t="n"/>
      <c r="H450" s="88">
        <f>IF(I450="","",IF(AND((I450-G450)&gt;=TIME(0,0,0),(I450-G450)&lt;TIME(0,3,0)),"OK",IF(AND((I450-G450)&gt;=TIME(0,3,0),(I450-G450)&lt;TIME(0,5,0)),"RETRASO DE 3-5 MIN",IF(AND((I450-G450)&gt;=TIME(0,5,0),(I450-G450)&lt;TIME(0,10,0)),"RETRASO DE 5-10 MIN",IF((I450-G450)&gt;=TIME(0,10,0),"RETRASO &gt;10 MIN", IF(AND((G450-I450)&gt;=TIME(0,0,0),(G450-I450)&lt;TIME(0,3,0)),"OK",IF((G450-I450)&gt;=TIME(0,3,0),"ADELANTADO")))))))</f>
        <v/>
      </c>
      <c r="I450" s="89" t="n"/>
      <c r="J450" s="89">
        <f>IF(A450&lt;&gt;"",HLOOKUP(VALUE(TEXT(G450,"h:mm:ss")),IF($C$6="Laboral",$FZ$4:$GX$227,IF($C$6="Sábado",$FZ$231:$GX$452,$FZ$456:$GX$656)),VLOOKUP($C$4,$HF$2:$HH$99,3,0)+IF(C$5="Ida",0,1),1),"")</f>
        <v/>
      </c>
      <c r="K450" s="89">
        <f>IF(A451&lt;&gt;A450,AVERAGEIF(A$9:A450,A450,J$9:J450),"")</f>
        <v/>
      </c>
      <c r="L450" s="89">
        <f>IFERROR(IF(A451&lt;&gt;A450,AVERAGEIF(A$9:A450,A450,S$9:S450),""),"")</f>
        <v/>
      </c>
      <c r="M450" s="89">
        <f>IFERROR(IF(A451&lt;&gt;A450,AVERAGEIF(A$9:A450,A450,T$9:T450),""),"")</f>
        <v/>
      </c>
      <c r="N450" s="89">
        <f t="array" ref="N450">IFERROR(IF(A451&lt;&gt;A450,_xlfn.STDEV.P(IF(A$9:A450=A450,T$9:T450)),""),"")</f>
        <v/>
      </c>
      <c r="O450" s="89">
        <f t="array" ref="O450">IFERROR(IF(A451&lt;&gt;A450,_xlfn.STDEV.P(IF(A$9:A450=A450,S$9:S450)),""),"")</f>
        <v/>
      </c>
      <c r="P450" s="90">
        <f>IFERROR(IF(A450&lt;&gt;A451,MAX((((M450*24*60)/2)*(1+POWER((((N450*24*60) / (M450*24*60) )),2))) + ((M450*24*60 )*-0.1 + (K450*0.015)) +1,(((M450*24*60)/2)*(1+POWER((((N450*24*60) / (M450*24*60 ))),2)))),""),"")</f>
        <v/>
      </c>
      <c r="Q450" s="90">
        <f>IF(AND(O450&lt;&gt;"",L450&lt;&gt;""),IF(A450&lt;&gt;A451,((L450*24*60) / 2 ) * (1 + POWER(((O450*24*60) / (L450*24*60)),2)),""),"")</f>
        <v/>
      </c>
      <c r="R450" s="90">
        <f>IF(Q450&lt;&gt;"",MAX(P450,Q450),"")</f>
        <v/>
      </c>
      <c r="S450" s="89">
        <f>IF(I450&lt;&gt;"H. Sale Real",IF(AND(I451&lt;&gt;"",LEFT(C451,2)&lt;&gt;"Va"),IF(AND(I450&lt;&gt;"",LEFT(C450,2)&lt;&gt;"Va",I450&lt;&gt;"H. Sale Real"),IF(I451-I450&lt;0.208333333333333,I451-I450,""),IF(AND(I449&lt;&gt;"",LEFT(C449,2)&lt;&gt;"Va",I449&lt;&gt;"H. Sale Real"),IF(I451-I449&lt;0.208333333333333,I451-I449,""),IF(AND(I448&lt;&gt;"",LEFT(C448,2)&lt;&gt;"Va",I448&lt;&gt;"H. Sale Real"),IF(I451-I448&lt;0.208333333333333,I451-I448,""),IF(AND(I447&lt;&gt;"",LEFT(C447,2)&lt;&gt;"Va",I447&lt;&gt;"H. Sale Real"),IF(I451-I447&lt;0.208333333333333,I451-I447,""),IF(AND(I446&lt;&gt;"",LEFT(C446,2)&lt;&gt;"Va",I446&lt;&gt;"H. Sale Real"),IF(I451-I446&lt;0.208333333333333,I451-I446,""),""))))),""),"")</f>
        <v/>
      </c>
      <c r="T450" s="89">
        <f>IF(G450&lt;&gt;"H. Sale Real",IF(AND(G451&lt;&gt;"",LEFT(C451,2)&lt;&gt;"Va"),IF(AND(G450&lt;&gt;"",LEFT(C450,2)&lt;&gt;"Va",G450&lt;&gt;"H. Sale Real"),IF(G451-G450&lt;0.208333333333333,G451-G450,""),IF(AND(G449&lt;&gt;"",LEFT(C449,2)&lt;&gt;"Va",G449&lt;&gt;"H. Sale Real"),IF(G451-G449&lt;0.208333333333333,G451-G449,""),IF(AND(G448&lt;&gt;"",LEFT(C448,2)&lt;&gt;"Va",G448&lt;&gt;"H. Sale Real"),IF(G451-G448&lt;0.208333333333333,G451-G448,""),IF(AND(G447&lt;&gt;"",LEFT(C447,2)&lt;&gt;"Va",G447&lt;&gt;"H. Sale Real"),IF(G451-G447&lt;0.208333333333333,G451-G447,""),IF(AND(G446&lt;&gt;"",LEFT(C446,2)&lt;&gt;"Va",G446&lt;&gt;"H. Sale Real"),IF(G451-G446&lt;0.208333333333333,G451-G446,""),""))))),""),"")</f>
        <v/>
      </c>
      <c r="U450" s="87" t="n"/>
      <c r="V450" s="89" t="n"/>
      <c r="W450" s="87" t="n"/>
      <c r="X450" s="89" t="n"/>
      <c r="Y450" s="91" t="n"/>
      <c r="Z450" s="122">
        <f>IF(G450&lt;&gt;"",IF(AND(Z449&lt;&gt;"IE",P450&lt;&gt;0,R450&lt;&gt;""),IF(IFERROR((P450/R450),0) &lt;=1,IFERROR(P450/R450,""),1),""),"")</f>
        <v/>
      </c>
      <c r="AA450" s="93" t="n"/>
      <c r="AB450" s="2" t="n"/>
      <c r="AE450" s="10">
        <f>HOUR(AK450)+1</f>
        <v/>
      </c>
      <c r="AF450" s="7" t="n"/>
      <c r="AG450" s="7" t="n"/>
      <c r="AH450" s="86" t="n"/>
      <c r="AI450" s="8" t="n"/>
      <c r="AJ450" s="86" t="n"/>
      <c r="AK450" s="87" t="n"/>
      <c r="AL450" s="88">
        <f>IF(AM450="","",IF(AND((AM450-AK450)&gt;=TIME(0,0,0),(AM450-AK450)&lt;TIME(0,3,0)),"OK",IF(AND((AM450-AK450)&gt;=TIME(0,3,0),(AM450-AK450)&lt;TIME(0,5,0)),"RETRASO DE 3-5 MIN",IF(AND((AM450-AK450)&gt;=TIME(0,5,0),(AM450-AK450)&lt;TIME(0,10,0)),"RETRASO DE 5-10 MIN",IF((AM450-AK450)&gt;=TIME(0,10,0),"RETRASO &gt;10 MIN", IF(AND((AK450-AM450)&gt;=TIME(0,0,0),(AK450-AM450)&lt;TIME(0,3,0)),"OK",IF((AK450-AM450)&gt;=TIME(0,3,0),"ADELANTADO")))))))</f>
        <v/>
      </c>
      <c r="AM450" s="91" t="n"/>
      <c r="AN450" s="89">
        <f>IF(AE450&lt;&gt;"",HLOOKUP(VALUE(TEXT(AK450,"h:mm:ss")),IF($C$6="Laboral",$FZ$4:$GX$227,IF($C$6="Sábado",$FZ$231:$GX$452,$FZ$456:$GX$656)),VLOOKUP($C$4,$HF$2:$HH$99,3,0)+IF(AG$5="Ida",0,1),1),"")</f>
        <v/>
      </c>
      <c r="AO450" s="89">
        <f>IF(AE451&lt;&gt;AE450,AVERAGEIF(AE$9:AE450,AE450,AN$9:AN450),"")</f>
        <v/>
      </c>
      <c r="AP450" s="89">
        <f>IFERROR(IF(AE451&lt;&gt;AE450,AVERAGEIF(AE$9:AE450,AE450,AW$9:AW450),""),"")</f>
        <v/>
      </c>
      <c r="AQ450" s="89">
        <f>IFERROR(IF(AE451&lt;&gt;AE450,AVERAGEIF(AE$9:AE450,AE450,AX$9:AX450),""),"")</f>
        <v/>
      </c>
      <c r="AR450" s="89">
        <f t="array" ref="AR450">IFERROR(IF(AE451&lt;&gt;AE450,_xlfn.STDEV.P(IF(AE$9:AE450=AE450,AX$9:AX450)),""),"")</f>
        <v/>
      </c>
      <c r="AS450" s="89">
        <f t="array" ref="AS450">IFERROR(IF(AE451&lt;&gt;AE450,_xlfn.STDEV.P(IF(AE$9:AE450=AE450,AW$9:AW450)),""),"")</f>
        <v/>
      </c>
      <c r="AT450" s="90">
        <f>IFERROR(IF(AE450&lt;&gt;AE451,MAX((((AQ450*24*60)/2)*(1+POWER((((AR450*24*60) / (AQ450*24*60) )),2))) + ((AQ450*24*60 )*-0.1 + (AO450*0.015)) +1,(((AQ450*24*60)/2)*(1+POWER((((AR450*24*60) / (AQ450*24*60 ))),2)))),""),"")</f>
        <v/>
      </c>
      <c r="AU450" s="90">
        <f>IF(AND(AS450&lt;&gt;"",AP450&lt;&gt;""),IF(AE450&lt;&gt;AE451,((AP450*24*60) / 2 ) * (1 + POWER(((AS450*24*60) / (AP450*24*60)),2)),""),"")</f>
        <v/>
      </c>
      <c r="AV450" s="90">
        <f>IF(AU450&lt;&gt;"",MAX(AT450,AU450),"")</f>
        <v/>
      </c>
      <c r="AW450" s="89">
        <f>IF(AM450&lt;&gt;"H. Sale Real",IF(AND(AM451&lt;&gt;"",LEFT(AG451,2)&lt;&gt;"Va"),IF(AND(AM450&lt;&gt;"",LEFT(AG450,2)&lt;&gt;"Va",AM450&lt;&gt;"H. Sale Real"),IF(AM451-AM450&lt;0.208333333333333,AM451-AM450,""),IF(AND(AM449&lt;&gt;"",LEFT(AG449,2)&lt;&gt;"Va",AM449&lt;&gt;"H. Sale Real"),IF(AM451-AM449&lt;0.208333333333333,AM451-AM449,""),IF(AND(AM448&lt;&gt;"",LEFT(AG448,2)&lt;&gt;"Va",AM448&lt;&gt;"H. Sale Real"),IF(AM451-AM448&lt;0.208333333333333,AM451-AM448,""),IF(AND(AM447&lt;&gt;"",LEFT(AG447,2)&lt;&gt;"Va",AM447&lt;&gt;"H. Sale Real"),IF(AM451-AM447&lt;0.208333333333333,AM451-AM447,""),IF(AND(AM446&lt;&gt;"",LEFT(AG446,2)&lt;&gt;"Va",AM446&lt;&gt;"H. Sale Real"),IF(AM451-AM446&lt;0.208333333333333,AM451-AM446,""),""))))),""),"")</f>
        <v/>
      </c>
      <c r="AX450" s="89">
        <f>IF(AK450&lt;&gt;"H. Sale Real",IF(AND(AK451&lt;&gt;"",LEFT(AG451,2)&lt;&gt;"Va"),IF(AND(AK450&lt;&gt;"",LEFT(AG450,2)&lt;&gt;"Va",AK450&lt;&gt;"H. Sale Real"),IF(AK451-AK450&lt;0.208333333333333,AK451-AK450,""),IF(AND(AK449&lt;&gt;"",LEFT(AG449,2)&lt;&gt;"Va",AK449&lt;&gt;"H. Sale Real"),IF(AK451-AK449&lt;0.208333333333333,AK451-AK449,""),IF(AND(AK448&lt;&gt;"",LEFT(AG448,2)&lt;&gt;"NC",AK448&lt;&gt;"H. Sale Real"),IF(AK451-AK448&lt;0.208333333333333,AK451-AK448,""),IF(AND(AK447&lt;&gt;"",LEFT(AG447,2)&lt;&gt;"Va",AK447&lt;&gt;"H. Sale Real"),IF(AK451-AK447&lt;0.208333333333333,AK451-AK447,""),IF(AND(AK446&lt;&gt;"",LEFT(AG446,2)&lt;&gt;"Va",AK446&lt;&gt;"H. Sale Real"),IF(AK451-AK446&lt;0.208333333333333,AK451-AK446,""),""))))),""),"")</f>
        <v/>
      </c>
      <c r="AY450" s="87" t="n"/>
      <c r="AZ450" s="89" t="n"/>
      <c r="BA450" s="87" t="n"/>
      <c r="BB450" s="89" t="n"/>
      <c r="BC450" s="91" t="n"/>
      <c r="BD450" s="122">
        <f>IF(AK450&lt;&gt;"",IF(AND(BD449&lt;&gt;"IE",AT450&lt;&gt;0,AV450&lt;&gt;""),IF(IFERROR((AT450/AV450),0) &lt;=1,IFERROR(AT450/AV450,""),1),""),"")</f>
        <v/>
      </c>
      <c r="BE450" s="93" t="n"/>
      <c r="BF450" s="105" t="n"/>
      <c r="FC450" t="inlineStr">
        <is>
          <t>Diccionario 1</t>
        </is>
      </c>
      <c r="FD450" s="15" t="inlineStr"/>
      <c r="FE450" s="15" t="inlineStr">
        <is>
          <t>LDYECS830S0045620</t>
        </is>
      </c>
      <c r="FF450" s="15" t="inlineStr">
        <is>
          <t>MJJ20025010025</t>
        </is>
      </c>
      <c r="FG450" s="15" t="inlineStr">
        <is>
          <t>Zhong Tong</t>
        </is>
      </c>
      <c r="FH450" s="15" t="inlineStr">
        <is>
          <t>LCK6850evg</t>
        </is>
      </c>
      <c r="FI450" s="15" t="inlineStr">
        <is>
          <t>ZHONGTONG</t>
        </is>
      </c>
      <c r="FJ450" s="15" t="inlineStr">
        <is>
          <t>LCK6850evg</t>
        </is>
      </c>
      <c r="FK450" s="15" t="n">
        <v>2025</v>
      </c>
      <c r="FL450" s="15" t="inlineStr">
        <is>
          <t>A</t>
        </is>
      </c>
      <c r="FM450" s="15" t="inlineStr">
        <is>
          <t>CERRILLOS</t>
        </is>
      </c>
      <c r="FN450" s="15" t="inlineStr">
        <is>
          <t>Calle Uno 7371</t>
        </is>
      </c>
      <c r="FO450" s="15" t="inlineStr">
        <is>
          <t>Cerrillos</t>
        </is>
      </c>
      <c r="FP450" t="inlineStr">
        <is>
          <t>A</t>
        </is>
      </c>
      <c r="FS450" s="14" t="inlineStr">
        <is>
          <t>9930 / SXKV-99|</t>
        </is>
      </c>
      <c r="FT450" t="inlineStr">
        <is>
          <t>SXKV-99|</t>
        </is>
      </c>
      <c r="FU450" t="inlineStr">
        <is>
          <t>SXKV-99</t>
        </is>
      </c>
      <c r="FV450">
        <f>VLOOKUP(FU450,FD:FL,9,0)</f>
        <v/>
      </c>
      <c r="HB450" s="35" t="n">
        <v>444</v>
      </c>
    </row>
    <row r="451" ht="15.5" customHeight="1">
      <c r="A451" s="10">
        <f>HOUR(G451)+1</f>
        <v/>
      </c>
      <c r="B451" s="7" t="n"/>
      <c r="C451" s="7" t="n"/>
      <c r="D451" s="85">
        <f>IFERROR(
IF(AND(OR(Planilla!B451="C",Planilla!B451="c"), VLOOKUP(E451,FD:FP,13,0)="C"), "OK",IF(AND(OR(Planilla!B451="C",Planilla!B451="c"), OR(VLOOKUP(E451,FD:FP,13,0)="B", VLOOKUP(E451,FD:FP,13,0)="A")), "DEFICIT",IF(
AND(OR(Planilla!B451="B", Planilla!B451="BPAL"), VLOOKUP(E451,FD:FP,13,0)="B"), "OK",IF(AND(OR(Planilla!B451="B", Planilla!B451="BPAL"), VLOOKUP(E451,FD:FP,13,0)="A"), "DEFICIT",IF(AND(OR(Planilla!B451="B", Planilla!B451="BPAL"), VLOOKUP(E451,FD:FP,13,0)="C"), "SOBREOFERTA",IF(AND(Planilla!B451="A", VLOOKUP(E451,FD:FP,13,0)="A"), "OK",IF(
AND(Planilla!B451="A", OR(VLOOKUP(E451,FD:FP,13,0)="B", VLOOKUP(E451,FD:FP,13,0)="C")), "SOBREOFERTA",""
))))))),"")</f>
        <v/>
      </c>
      <c r="E451" s="8" t="n"/>
      <c r="F451" s="86" t="n"/>
      <c r="G451" s="87" t="n"/>
      <c r="H451" s="88">
        <f>IF(I451="","",IF(AND((I451-G451)&gt;=TIME(0,0,0),(I451-G451)&lt;TIME(0,3,0)),"OK",IF(AND((I451-G451)&gt;=TIME(0,3,0),(I451-G451)&lt;TIME(0,5,0)),"RETRASO DE 3-5 MIN",IF(AND((I451-G451)&gt;=TIME(0,5,0),(I451-G451)&lt;TIME(0,10,0)),"RETRASO DE 5-10 MIN",IF((I451-G451)&gt;=TIME(0,10,0),"RETRASO &gt;10 MIN", IF(AND((G451-I451)&gt;=TIME(0,0,0),(G451-I451)&lt;TIME(0,3,0)),"OK",IF((G451-I451)&gt;=TIME(0,3,0),"ADELANTADO")))))))</f>
        <v/>
      </c>
      <c r="I451" s="89" t="n"/>
      <c r="J451" s="89">
        <f>IF(A451&lt;&gt;"",HLOOKUP(VALUE(TEXT(G451,"h:mm:ss")),IF($C$6="Laboral",$FZ$4:$GX$227,IF($C$6="Sábado",$FZ$231:$GX$452,$FZ$456:$GX$656)),VLOOKUP($C$4,$HF$2:$HH$99,3,0)+IF(C$5="Ida",0,1),1),"")</f>
        <v/>
      </c>
      <c r="K451" s="89">
        <f>IF(A452&lt;&gt;A451,AVERAGEIF(A$9:A451,A451,J$9:J451),"")</f>
        <v/>
      </c>
      <c r="L451" s="89">
        <f>IFERROR(IF(A452&lt;&gt;A451,AVERAGEIF(A$9:A451,A451,S$9:S451),""),"")</f>
        <v/>
      </c>
      <c r="M451" s="89">
        <f>IFERROR(IF(A452&lt;&gt;A451,AVERAGEIF(A$9:A451,A451,T$9:T451),""),"")</f>
        <v/>
      </c>
      <c r="N451" s="89">
        <f t="array" ref="N451">IFERROR(IF(A452&lt;&gt;A451,_xlfn.STDEV.P(IF(A$9:A451=A451,T$9:T451)),""),"")</f>
        <v/>
      </c>
      <c r="O451" s="89">
        <f t="array" ref="O451">IFERROR(IF(A452&lt;&gt;A451,_xlfn.STDEV.P(IF(A$9:A451=A451,S$9:S451)),""),"")</f>
        <v/>
      </c>
      <c r="P451" s="90">
        <f>IFERROR(IF(A451&lt;&gt;A452,MAX((((M451*24*60)/2)*(1+POWER((((N451*24*60) / (M451*24*60) )),2))) + ((M451*24*60 )*-0.1 + (K451*0.015)) +1,(((M451*24*60)/2)*(1+POWER((((N451*24*60) / (M451*24*60 ))),2)))),""),"")</f>
        <v/>
      </c>
      <c r="Q451" s="90">
        <f>IF(AND(O451&lt;&gt;"",L451&lt;&gt;""),IF(A451&lt;&gt;A452,((L451*24*60) / 2 ) * (1 + POWER(((O451*24*60) / (L451*24*60)),2)),""),"")</f>
        <v/>
      </c>
      <c r="R451" s="90">
        <f>IF(Q451&lt;&gt;"",MAX(P451,Q451),"")</f>
        <v/>
      </c>
      <c r="S451" s="89">
        <f>IF(I451&lt;&gt;"H. Sale Real",IF(AND(I452&lt;&gt;"",LEFT(C452,2)&lt;&gt;"Va"),IF(AND(I451&lt;&gt;"",LEFT(C451,2)&lt;&gt;"Va",I451&lt;&gt;"H. Sale Real"),IF(I452-I451&lt;0.208333333333333,I452-I451,""),IF(AND(I450&lt;&gt;"",LEFT(C450,2)&lt;&gt;"Va",I450&lt;&gt;"H. Sale Real"),IF(I452-I450&lt;0.208333333333333,I452-I450,""),IF(AND(I449&lt;&gt;"",LEFT(C449,2)&lt;&gt;"Va",I449&lt;&gt;"H. Sale Real"),IF(I452-I449&lt;0.208333333333333,I452-I449,""),IF(AND(I448&lt;&gt;"",LEFT(C448,2)&lt;&gt;"Va",I448&lt;&gt;"H. Sale Real"),IF(I452-I448&lt;0.208333333333333,I452-I448,""),IF(AND(I447&lt;&gt;"",LEFT(C447,2)&lt;&gt;"Va",I447&lt;&gt;"H. Sale Real"),IF(I452-I447&lt;0.208333333333333,I452-I447,""),""))))),""),"")</f>
        <v/>
      </c>
      <c r="T451" s="89">
        <f>IF(G451&lt;&gt;"H. Sale Real",IF(AND(G452&lt;&gt;"",LEFT(C452,2)&lt;&gt;"Va"),IF(AND(G451&lt;&gt;"",LEFT(C451,2)&lt;&gt;"Va",G451&lt;&gt;"H. Sale Real"),IF(G452-G451&lt;0.208333333333333,G452-G451,""),IF(AND(G450&lt;&gt;"",LEFT(C450,2)&lt;&gt;"Va",G450&lt;&gt;"H. Sale Real"),IF(G452-G450&lt;0.208333333333333,G452-G450,""),IF(AND(G449&lt;&gt;"",LEFT(C449,2)&lt;&gt;"Va",G449&lt;&gt;"H. Sale Real"),IF(G452-G449&lt;0.208333333333333,G452-G449,""),IF(AND(G448&lt;&gt;"",LEFT(C448,2)&lt;&gt;"Va",G448&lt;&gt;"H. Sale Real"),IF(G452-G448&lt;0.208333333333333,G452-G448,""),IF(AND(G447&lt;&gt;"",LEFT(C447,2)&lt;&gt;"Va",G447&lt;&gt;"H. Sale Real"),IF(G452-G447&lt;0.208333333333333,G452-G447,""),""))))),""),"")</f>
        <v/>
      </c>
      <c r="U451" s="87" t="n"/>
      <c r="V451" s="89" t="n"/>
      <c r="W451" s="87" t="n"/>
      <c r="X451" s="89" t="n"/>
      <c r="Y451" s="91" t="n"/>
      <c r="Z451" s="122">
        <f>IF(G451&lt;&gt;"",IF(AND(Z450&lt;&gt;"IE",P451&lt;&gt;0,R451&lt;&gt;""),IF(IFERROR((P451/R451),0) &lt;=1,IFERROR(P451/R451,""),1),""),"")</f>
        <v/>
      </c>
      <c r="AA451" s="93" t="n"/>
      <c r="AB451" s="2" t="n"/>
      <c r="AE451" s="10">
        <f>HOUR(AK451)+1</f>
        <v/>
      </c>
      <c r="AF451" s="7" t="n"/>
      <c r="AG451" s="7" t="n"/>
      <c r="AH451" s="86" t="n"/>
      <c r="AI451" s="8" t="n"/>
      <c r="AJ451" s="86" t="n"/>
      <c r="AK451" s="87" t="n"/>
      <c r="AL451" s="88">
        <f>IF(AM451="","",IF(AND((AM451-AK451)&gt;=TIME(0,0,0),(AM451-AK451)&lt;TIME(0,3,0)),"OK",IF(AND((AM451-AK451)&gt;=TIME(0,3,0),(AM451-AK451)&lt;TIME(0,5,0)),"RETRASO DE 3-5 MIN",IF(AND((AM451-AK451)&gt;=TIME(0,5,0),(AM451-AK451)&lt;TIME(0,10,0)),"RETRASO DE 5-10 MIN",IF((AM451-AK451)&gt;=TIME(0,10,0),"RETRASO &gt;10 MIN", IF(AND((AK451-AM451)&gt;=TIME(0,0,0),(AK451-AM451)&lt;TIME(0,3,0)),"OK",IF((AK451-AM451)&gt;=TIME(0,3,0),"ADELANTADO")))))))</f>
        <v/>
      </c>
      <c r="AM451" s="91" t="n"/>
      <c r="AN451" s="89">
        <f>IF(AE451&lt;&gt;"",HLOOKUP(VALUE(TEXT(AK451,"h:mm:ss")),IF($C$6="Laboral",$FZ$4:$GX$227,IF($C$6="Sábado",$FZ$231:$GX$452,$FZ$456:$GX$656)),VLOOKUP($C$4,$HF$2:$HH$99,3,0)+IF(AG$5="Ida",0,1),1),"")</f>
        <v/>
      </c>
      <c r="AO451" s="89">
        <f>IF(AE452&lt;&gt;AE451,AVERAGEIF(AE$9:AE451,AE451,AN$9:AN451),"")</f>
        <v/>
      </c>
      <c r="AP451" s="89">
        <f>IFERROR(IF(AE452&lt;&gt;AE451,AVERAGEIF(AE$9:AE451,AE451,AW$9:AW451),""),"")</f>
        <v/>
      </c>
      <c r="AQ451" s="89">
        <f>IFERROR(IF(AE452&lt;&gt;AE451,AVERAGEIF(AE$9:AE451,AE451,AX$9:AX451),""),"")</f>
        <v/>
      </c>
      <c r="AR451" s="89">
        <f t="array" ref="AR451">IFERROR(IF(AE452&lt;&gt;AE451,_xlfn.STDEV.P(IF(AE$9:AE451=AE451,AX$9:AX451)),""),"")</f>
        <v/>
      </c>
      <c r="AS451" s="89">
        <f t="array" ref="AS451">IFERROR(IF(AE452&lt;&gt;AE451,_xlfn.STDEV.P(IF(AE$9:AE451=AE451,AW$9:AW451)),""),"")</f>
        <v/>
      </c>
      <c r="AT451" s="90">
        <f>IFERROR(IF(AE451&lt;&gt;AE452,MAX((((AQ451*24*60)/2)*(1+POWER((((AR451*24*60) / (AQ451*24*60) )),2))) + ((AQ451*24*60 )*-0.1 + (AO451*0.015)) +1,(((AQ451*24*60)/2)*(1+POWER((((AR451*24*60) / (AQ451*24*60 ))),2)))),""),"")</f>
        <v/>
      </c>
      <c r="AU451" s="90">
        <f>IF(AND(AS451&lt;&gt;"",AP451&lt;&gt;""),IF(AE451&lt;&gt;AE452,((AP451*24*60) / 2 ) * (1 + POWER(((AS451*24*60) / (AP451*24*60)),2)),""),"")</f>
        <v/>
      </c>
      <c r="AV451" s="90">
        <f>IF(AU451&lt;&gt;"",MAX(AT451,AU451),"")</f>
        <v/>
      </c>
      <c r="AW451" s="89">
        <f>IF(AM451&lt;&gt;"H. Sale Real",IF(AND(AM452&lt;&gt;"",LEFT(AG452,2)&lt;&gt;"Va"),IF(AND(AM451&lt;&gt;"",LEFT(AG451,2)&lt;&gt;"Va",AM451&lt;&gt;"H. Sale Real"),IF(AM452-AM451&lt;0.208333333333333,AM452-AM451,""),IF(AND(AM450&lt;&gt;"",LEFT(AG450,2)&lt;&gt;"Va",AM450&lt;&gt;"H. Sale Real"),IF(AM452-AM450&lt;0.208333333333333,AM452-AM450,""),IF(AND(AM449&lt;&gt;"",LEFT(AG449,2)&lt;&gt;"Va",AM449&lt;&gt;"H. Sale Real"),IF(AM452-AM449&lt;0.208333333333333,AM452-AM449,""),IF(AND(AM448&lt;&gt;"",LEFT(AG448,2)&lt;&gt;"Va",AM448&lt;&gt;"H. Sale Real"),IF(AM452-AM448&lt;0.208333333333333,AM452-AM448,""),IF(AND(AM447&lt;&gt;"",LEFT(AG447,2)&lt;&gt;"Va",AM447&lt;&gt;"H. Sale Real"),IF(AM452-AM447&lt;0.208333333333333,AM452-AM447,""),""))))),""),"")</f>
        <v/>
      </c>
      <c r="AX451" s="89">
        <f>IF(AK451&lt;&gt;"H. Sale Real",IF(AND(AK452&lt;&gt;"",LEFT(AG452,2)&lt;&gt;"Va"),IF(AND(AK451&lt;&gt;"",LEFT(AG451,2)&lt;&gt;"Va",AK451&lt;&gt;"H. Sale Real"),IF(AK452-AK451&lt;0.208333333333333,AK452-AK451,""),IF(AND(AK450&lt;&gt;"",LEFT(AG450,2)&lt;&gt;"Va",AK450&lt;&gt;"H. Sale Real"),IF(AK452-AK450&lt;0.208333333333333,AK452-AK450,""),IF(AND(AK449&lt;&gt;"",LEFT(AG449,2)&lt;&gt;"NC",AK449&lt;&gt;"H. Sale Real"),IF(AK452-AK449&lt;0.208333333333333,AK452-AK449,""),IF(AND(AK448&lt;&gt;"",LEFT(AG448,2)&lt;&gt;"Va",AK448&lt;&gt;"H. Sale Real"),IF(AK452-AK448&lt;0.208333333333333,AK452-AK448,""),IF(AND(AK447&lt;&gt;"",LEFT(AG447,2)&lt;&gt;"Va",AK447&lt;&gt;"H. Sale Real"),IF(AK452-AK447&lt;0.208333333333333,AK452-AK447,""),""))))),""),"")</f>
        <v/>
      </c>
      <c r="AY451" s="87" t="n"/>
      <c r="AZ451" s="89" t="n"/>
      <c r="BA451" s="87" t="n"/>
      <c r="BB451" s="89" t="n"/>
      <c r="BC451" s="91" t="n"/>
      <c r="BD451" s="122">
        <f>IF(AK451&lt;&gt;"",IF(AND(BD450&lt;&gt;"IE",AT451&lt;&gt;0,AV451&lt;&gt;""),IF(IFERROR((AT451/AV451),0) &lt;=1,IFERROR(AT451/AV451,""),1),""),"")</f>
        <v/>
      </c>
      <c r="BE451" s="93" t="n"/>
      <c r="BF451" s="105" t="n"/>
      <c r="FC451" t="inlineStr">
        <is>
          <t>Diccionario 1</t>
        </is>
      </c>
      <c r="FD451" s="15" t="inlineStr"/>
      <c r="FE451" s="15" t="inlineStr">
        <is>
          <t>LDYECS832S0045618</t>
        </is>
      </c>
      <c r="FF451" s="15" t="inlineStr">
        <is>
          <t>MJJ20025010030</t>
        </is>
      </c>
      <c r="FG451" s="15" t="inlineStr">
        <is>
          <t>Zhong Tong</t>
        </is>
      </c>
      <c r="FH451" s="15" t="inlineStr">
        <is>
          <t>LCK6850evg</t>
        </is>
      </c>
      <c r="FI451" s="15" t="inlineStr">
        <is>
          <t>ZHONGTONG</t>
        </is>
      </c>
      <c r="FJ451" s="15" t="inlineStr">
        <is>
          <t>LCK6850evg</t>
        </is>
      </c>
      <c r="FK451" s="15" t="n">
        <v>2025</v>
      </c>
      <c r="FL451" s="15" t="inlineStr">
        <is>
          <t>A</t>
        </is>
      </c>
      <c r="FM451" s="15" t="inlineStr">
        <is>
          <t>CERRILLOS</t>
        </is>
      </c>
      <c r="FN451" s="15" t="inlineStr">
        <is>
          <t>Calle Uno 7371</t>
        </is>
      </c>
      <c r="FO451" s="15" t="inlineStr">
        <is>
          <t>Cerrillos</t>
        </is>
      </c>
      <c r="FP451" t="inlineStr">
        <is>
          <t>A</t>
        </is>
      </c>
      <c r="FS451" s="14" t="inlineStr">
        <is>
          <t>9930 / SXKV-99|</t>
        </is>
      </c>
      <c r="FT451" t="inlineStr">
        <is>
          <t>SXKV-99|</t>
        </is>
      </c>
      <c r="FU451" t="inlineStr">
        <is>
          <t>SXKV-99</t>
        </is>
      </c>
      <c r="FV451">
        <f>VLOOKUP(FU451,FD:FL,9,0)</f>
        <v/>
      </c>
      <c r="HB451" s="35" t="n">
        <v>445</v>
      </c>
    </row>
    <row r="452" ht="15.5" customHeight="1">
      <c r="A452" s="10">
        <f>HOUR(G452)+1</f>
        <v/>
      </c>
      <c r="B452" s="7" t="n"/>
      <c r="C452" s="7" t="n"/>
      <c r="D452" s="85">
        <f>IFERROR(
IF(AND(OR(Planilla!B452="C",Planilla!B452="c"), VLOOKUP(E452,FD:FP,13,0)="C"), "OK",IF(AND(OR(Planilla!B452="C",Planilla!B452="c"), OR(VLOOKUP(E452,FD:FP,13,0)="B", VLOOKUP(E452,FD:FP,13,0)="A")), "DEFICIT",IF(
AND(OR(Planilla!B452="B", Planilla!B452="BPAL"), VLOOKUP(E452,FD:FP,13,0)="B"), "OK",IF(AND(OR(Planilla!B452="B", Planilla!B452="BPAL"), VLOOKUP(E452,FD:FP,13,0)="A"), "DEFICIT",IF(AND(OR(Planilla!B452="B", Planilla!B452="BPAL"), VLOOKUP(E452,FD:FP,13,0)="C"), "SOBREOFERTA",IF(AND(Planilla!B452="A", VLOOKUP(E452,FD:FP,13,0)="A"), "OK",IF(
AND(Planilla!B452="A", OR(VLOOKUP(E452,FD:FP,13,0)="B", VLOOKUP(E452,FD:FP,13,0)="C")), "SOBREOFERTA",""
))))))),"")</f>
        <v/>
      </c>
      <c r="E452" s="8" t="n"/>
      <c r="F452" s="86" t="n"/>
      <c r="G452" s="87" t="n"/>
      <c r="H452" s="88">
        <f>IF(I452="","",IF(AND((I452-G452)&gt;=TIME(0,0,0),(I452-G452)&lt;TIME(0,3,0)),"OK",IF(AND((I452-G452)&gt;=TIME(0,3,0),(I452-G452)&lt;TIME(0,5,0)),"RETRASO DE 3-5 MIN",IF(AND((I452-G452)&gt;=TIME(0,5,0),(I452-G452)&lt;TIME(0,10,0)),"RETRASO DE 5-10 MIN",IF((I452-G452)&gt;=TIME(0,10,0),"RETRASO &gt;10 MIN", IF(AND((G452-I452)&gt;=TIME(0,0,0),(G452-I452)&lt;TIME(0,3,0)),"OK",IF((G452-I452)&gt;=TIME(0,3,0),"ADELANTADO")))))))</f>
        <v/>
      </c>
      <c r="I452" s="89" t="n"/>
      <c r="J452" s="89">
        <f>IF(A452&lt;&gt;"",HLOOKUP(VALUE(TEXT(G452,"h:mm:ss")),IF($C$6="Laboral",$FZ$4:$GX$227,IF($C$6="Sábado",$FZ$231:$GX$452,$FZ$456:$GX$656)),VLOOKUP($C$4,$HF$2:$HH$99,3,0)+IF(C$5="Ida",0,1),1),"")</f>
        <v/>
      </c>
      <c r="K452" s="89">
        <f>IF(A453&lt;&gt;A452,AVERAGEIF(A$9:A452,A452,J$9:J452),"")</f>
        <v/>
      </c>
      <c r="L452" s="89">
        <f>IFERROR(IF(A453&lt;&gt;A452,AVERAGEIF(A$9:A452,A452,S$9:S452),""),"")</f>
        <v/>
      </c>
      <c r="M452" s="89">
        <f>IFERROR(IF(A453&lt;&gt;A452,AVERAGEIF(A$9:A452,A452,T$9:T452),""),"")</f>
        <v/>
      </c>
      <c r="N452" s="89">
        <f t="array" ref="N452">IFERROR(IF(A453&lt;&gt;A452,_xlfn.STDEV.P(IF(A$9:A452=A452,T$9:T452)),""),"")</f>
        <v/>
      </c>
      <c r="O452" s="89">
        <f t="array" ref="O452">IFERROR(IF(A453&lt;&gt;A452,_xlfn.STDEV.P(IF(A$9:A452=A452,S$9:S452)),""),"")</f>
        <v/>
      </c>
      <c r="P452" s="90">
        <f>IFERROR(IF(A452&lt;&gt;A453,MAX((((M452*24*60)/2)*(1+POWER((((N452*24*60) / (M452*24*60) )),2))) + ((M452*24*60 )*-0.1 + (K452*0.015)) +1,(((M452*24*60)/2)*(1+POWER((((N452*24*60) / (M452*24*60 ))),2)))),""),"")</f>
        <v/>
      </c>
      <c r="Q452" s="90">
        <f>IF(AND(O452&lt;&gt;"",L452&lt;&gt;""),IF(A452&lt;&gt;A453,((L452*24*60) / 2 ) * (1 + POWER(((O452*24*60) / (L452*24*60)),2)),""),"")</f>
        <v/>
      </c>
      <c r="R452" s="90">
        <f>IF(Q452&lt;&gt;"",MAX(P452,Q452),"")</f>
        <v/>
      </c>
      <c r="S452" s="89">
        <f>IF(I452&lt;&gt;"H. Sale Real",IF(AND(I453&lt;&gt;"",LEFT(C453,2)&lt;&gt;"Va"),IF(AND(I452&lt;&gt;"",LEFT(C452,2)&lt;&gt;"Va",I452&lt;&gt;"H. Sale Real"),IF(I453-I452&lt;0.208333333333333,I453-I452,""),IF(AND(I451&lt;&gt;"",LEFT(C451,2)&lt;&gt;"Va",I451&lt;&gt;"H. Sale Real"),IF(I453-I451&lt;0.208333333333333,I453-I451,""),IF(AND(I450&lt;&gt;"",LEFT(C450,2)&lt;&gt;"Va",I450&lt;&gt;"H. Sale Real"),IF(I453-I450&lt;0.208333333333333,I453-I450,""),IF(AND(I449&lt;&gt;"",LEFT(C449,2)&lt;&gt;"Va",I449&lt;&gt;"H. Sale Real"),IF(I453-I449&lt;0.208333333333333,I453-I449,""),IF(AND(I448&lt;&gt;"",LEFT(C448,2)&lt;&gt;"Va",I448&lt;&gt;"H. Sale Real"),IF(I453-I448&lt;0.208333333333333,I453-I448,""),""))))),""),"")</f>
        <v/>
      </c>
      <c r="T452" s="89">
        <f>IF(G452&lt;&gt;"H. Sale Real",IF(AND(G453&lt;&gt;"",LEFT(C453,2)&lt;&gt;"Va"),IF(AND(G452&lt;&gt;"",LEFT(C452,2)&lt;&gt;"Va",G452&lt;&gt;"H. Sale Real"),IF(G453-G452&lt;0.208333333333333,G453-G452,""),IF(AND(G451&lt;&gt;"",LEFT(C451,2)&lt;&gt;"Va",G451&lt;&gt;"H. Sale Real"),IF(G453-G451&lt;0.208333333333333,G453-G451,""),IF(AND(G450&lt;&gt;"",LEFT(C450,2)&lt;&gt;"Va",G450&lt;&gt;"H. Sale Real"),IF(G453-G450&lt;0.208333333333333,G453-G450,""),IF(AND(G449&lt;&gt;"",LEFT(C449,2)&lt;&gt;"Va",G449&lt;&gt;"H. Sale Real"),IF(G453-G449&lt;0.208333333333333,G453-G449,""),IF(AND(G448&lt;&gt;"",LEFT(C448,2)&lt;&gt;"Va",G448&lt;&gt;"H. Sale Real"),IF(G453-G448&lt;0.208333333333333,G453-G448,""),""))))),""),"")</f>
        <v/>
      </c>
      <c r="U452" s="87" t="n"/>
      <c r="V452" s="89" t="n"/>
      <c r="W452" s="87" t="n"/>
      <c r="X452" s="89" t="n"/>
      <c r="Y452" s="91" t="n"/>
      <c r="Z452" s="122">
        <f>IF(G452&lt;&gt;"",IF(AND(Z451&lt;&gt;"IE",P452&lt;&gt;0,R452&lt;&gt;""),IF(IFERROR((P452/R452),0) &lt;=1,IFERROR(P452/R452,""),1),""),"")</f>
        <v/>
      </c>
      <c r="AA452" s="93" t="n"/>
      <c r="AB452" s="2" t="n"/>
      <c r="AE452" s="10">
        <f>HOUR(AK452)+1</f>
        <v/>
      </c>
      <c r="AF452" s="7" t="n"/>
      <c r="AG452" s="7" t="n"/>
      <c r="AH452" s="86" t="n"/>
      <c r="AI452" s="8" t="n"/>
      <c r="AJ452" s="86" t="n"/>
      <c r="AK452" s="87" t="n"/>
      <c r="AL452" s="88">
        <f>IF(AM452="","",IF(AND((AM452-AK452)&gt;=TIME(0,0,0),(AM452-AK452)&lt;TIME(0,3,0)),"OK",IF(AND((AM452-AK452)&gt;=TIME(0,3,0),(AM452-AK452)&lt;TIME(0,5,0)),"RETRASO DE 3-5 MIN",IF(AND((AM452-AK452)&gt;=TIME(0,5,0),(AM452-AK452)&lt;TIME(0,10,0)),"RETRASO DE 5-10 MIN",IF((AM452-AK452)&gt;=TIME(0,10,0),"RETRASO &gt;10 MIN", IF(AND((AK452-AM452)&gt;=TIME(0,0,0),(AK452-AM452)&lt;TIME(0,3,0)),"OK",IF((AK452-AM452)&gt;=TIME(0,3,0),"ADELANTADO")))))))</f>
        <v/>
      </c>
      <c r="AM452" s="91" t="n"/>
      <c r="AN452" s="89">
        <f>IF(AE452&lt;&gt;"",HLOOKUP(VALUE(TEXT(AK452,"h:mm:ss")),IF($C$6="Laboral",$FZ$4:$GX$227,IF($C$6="Sábado",$FZ$231:$GX$452,$FZ$456:$GX$656)),VLOOKUP($C$4,$HF$2:$HH$99,3,0)+IF(AG$5="Ida",0,1),1),"")</f>
        <v/>
      </c>
      <c r="AO452" s="89">
        <f>IF(AE453&lt;&gt;AE452,AVERAGEIF(AE$9:AE452,AE452,AN$9:AN452),"")</f>
        <v/>
      </c>
      <c r="AP452" s="89">
        <f>IFERROR(IF(AE453&lt;&gt;AE452,AVERAGEIF(AE$9:AE452,AE452,AW$9:AW452),""),"")</f>
        <v/>
      </c>
      <c r="AQ452" s="89">
        <f>IFERROR(IF(AE453&lt;&gt;AE452,AVERAGEIF(AE$9:AE452,AE452,AX$9:AX452),""),"")</f>
        <v/>
      </c>
      <c r="AR452" s="89">
        <f t="array" ref="AR452">IFERROR(IF(AE453&lt;&gt;AE452,_xlfn.STDEV.P(IF(AE$9:AE452=AE452,AX$9:AX452)),""),"")</f>
        <v/>
      </c>
      <c r="AS452" s="89">
        <f t="array" ref="AS452">IFERROR(IF(AE453&lt;&gt;AE452,_xlfn.STDEV.P(IF(AE$9:AE452=AE452,AW$9:AW452)),""),"")</f>
        <v/>
      </c>
      <c r="AT452" s="90">
        <f>IFERROR(IF(AE452&lt;&gt;AE453,MAX((((AQ452*24*60)/2)*(1+POWER((((AR452*24*60) / (AQ452*24*60) )),2))) + ((AQ452*24*60 )*-0.1 + (AO452*0.015)) +1,(((AQ452*24*60)/2)*(1+POWER((((AR452*24*60) / (AQ452*24*60 ))),2)))),""),"")</f>
        <v/>
      </c>
      <c r="AU452" s="90">
        <f>IF(AND(AS452&lt;&gt;"",AP452&lt;&gt;""),IF(AE452&lt;&gt;AE453,((AP452*24*60) / 2 ) * (1 + POWER(((AS452*24*60) / (AP452*24*60)),2)),""),"")</f>
        <v/>
      </c>
      <c r="AV452" s="90">
        <f>IF(AU452&lt;&gt;"",MAX(AT452,AU452),"")</f>
        <v/>
      </c>
      <c r="AW452" s="89">
        <f>IF(AM452&lt;&gt;"H. Sale Real",IF(AND(AM453&lt;&gt;"",LEFT(AG453,2)&lt;&gt;"Va"),IF(AND(AM452&lt;&gt;"",LEFT(AG452,2)&lt;&gt;"Va",AM452&lt;&gt;"H. Sale Real"),IF(AM453-AM452&lt;0.208333333333333,AM453-AM452,""),IF(AND(AM451&lt;&gt;"",LEFT(AG451,2)&lt;&gt;"Va",AM451&lt;&gt;"H. Sale Real"),IF(AM453-AM451&lt;0.208333333333333,AM453-AM451,""),IF(AND(AM450&lt;&gt;"",LEFT(AG450,2)&lt;&gt;"Va",AM450&lt;&gt;"H. Sale Real"),IF(AM453-AM450&lt;0.208333333333333,AM453-AM450,""),IF(AND(AM449&lt;&gt;"",LEFT(AG449,2)&lt;&gt;"Va",AM449&lt;&gt;"H. Sale Real"),IF(AM453-AM449&lt;0.208333333333333,AM453-AM449,""),IF(AND(AM448&lt;&gt;"",LEFT(AG448,2)&lt;&gt;"Va",AM448&lt;&gt;"H. Sale Real"),IF(AM453-AM448&lt;0.208333333333333,AM453-AM448,""),""))))),""),"")</f>
        <v/>
      </c>
      <c r="AX452" s="89">
        <f>IF(AK452&lt;&gt;"H. Sale Real",IF(AND(AK453&lt;&gt;"",LEFT(AG453,2)&lt;&gt;"Va"),IF(AND(AK452&lt;&gt;"",LEFT(AG452,2)&lt;&gt;"Va",AK452&lt;&gt;"H. Sale Real"),IF(AK453-AK452&lt;0.208333333333333,AK453-AK452,""),IF(AND(AK451&lt;&gt;"",LEFT(AG451,2)&lt;&gt;"Va",AK451&lt;&gt;"H. Sale Real"),IF(AK453-AK451&lt;0.208333333333333,AK453-AK451,""),IF(AND(AK450&lt;&gt;"",LEFT(AG450,2)&lt;&gt;"NC",AK450&lt;&gt;"H. Sale Real"),IF(AK453-AK450&lt;0.208333333333333,AK453-AK450,""),IF(AND(AK449&lt;&gt;"",LEFT(AG449,2)&lt;&gt;"Va",AK449&lt;&gt;"H. Sale Real"),IF(AK453-AK449&lt;0.208333333333333,AK453-AK449,""),IF(AND(AK448&lt;&gt;"",LEFT(AG448,2)&lt;&gt;"Va",AK448&lt;&gt;"H. Sale Real"),IF(AK453-AK448&lt;0.208333333333333,AK453-AK448,""),""))))),""),"")</f>
        <v/>
      </c>
      <c r="AY452" s="87" t="n"/>
      <c r="AZ452" s="89" t="n"/>
      <c r="BA452" s="87" t="n"/>
      <c r="BB452" s="89" t="n"/>
      <c r="BC452" s="91" t="n"/>
      <c r="BD452" s="122">
        <f>IF(AK452&lt;&gt;"",IF(AND(BD451&lt;&gt;"IE",AT452&lt;&gt;0,AV452&lt;&gt;""),IF(IFERROR((AT452/AV452),0) &lt;=1,IFERROR(AT452/AV452,""),1),""),"")</f>
        <v/>
      </c>
      <c r="BE452" s="93" t="n"/>
      <c r="BF452" s="105" t="n"/>
      <c r="FC452" t="inlineStr">
        <is>
          <t>Diccionario 1</t>
        </is>
      </c>
      <c r="FD452" s="15" t="inlineStr"/>
      <c r="FE452" s="15" t="inlineStr">
        <is>
          <t>LDYECS831S0045609</t>
        </is>
      </c>
      <c r="FF452" s="15" t="inlineStr">
        <is>
          <t>MJJ20025010029</t>
        </is>
      </c>
      <c r="FG452" s="15" t="inlineStr">
        <is>
          <t>Zhong Tong</t>
        </is>
      </c>
      <c r="FH452" s="15" t="inlineStr">
        <is>
          <t>LCK6850evg</t>
        </is>
      </c>
      <c r="FI452" s="15" t="inlineStr">
        <is>
          <t>ZHONGTONG</t>
        </is>
      </c>
      <c r="FJ452" s="15" t="inlineStr">
        <is>
          <t>LCK6850evg</t>
        </is>
      </c>
      <c r="FK452" s="15" t="n">
        <v>2025</v>
      </c>
      <c r="FL452" s="15" t="inlineStr">
        <is>
          <t>A</t>
        </is>
      </c>
      <c r="FM452" s="15" t="inlineStr">
        <is>
          <t>CERRILLOS</t>
        </is>
      </c>
      <c r="FN452" s="15" t="inlineStr">
        <is>
          <t>Calle Uno 7371</t>
        </is>
      </c>
      <c r="FO452" s="15" t="inlineStr">
        <is>
          <t>Cerrillos</t>
        </is>
      </c>
      <c r="FP452" t="inlineStr">
        <is>
          <t>A</t>
        </is>
      </c>
      <c r="FS452" s="14" t="inlineStr">
        <is>
          <t>9951 / TBZB-24|</t>
        </is>
      </c>
      <c r="FT452" t="inlineStr">
        <is>
          <t>TBZB-24|</t>
        </is>
      </c>
      <c r="FU452" t="inlineStr">
        <is>
          <t>TBZB-24</t>
        </is>
      </c>
      <c r="FV452">
        <f>VLOOKUP(FU452,FD:FL,9,0)</f>
        <v/>
      </c>
      <c r="HB452" s="35" t="n">
        <v>446</v>
      </c>
    </row>
    <row r="453" ht="15.5" customHeight="1">
      <c r="A453" s="10">
        <f>HOUR(G453)+1</f>
        <v/>
      </c>
      <c r="B453" s="7" t="n"/>
      <c r="C453" s="7" t="n"/>
      <c r="D453" s="85">
        <f>IFERROR(
IF(AND(OR(Planilla!B453="C",Planilla!B453="c"), VLOOKUP(E453,FD:FP,13,0)="C"), "OK",IF(AND(OR(Planilla!B453="C",Planilla!B453="c"), OR(VLOOKUP(E453,FD:FP,13,0)="B", VLOOKUP(E453,FD:FP,13,0)="A")), "DEFICIT",IF(
AND(OR(Planilla!B453="B", Planilla!B453="BPAL"), VLOOKUP(E453,FD:FP,13,0)="B"), "OK",IF(AND(OR(Planilla!B453="B", Planilla!B453="BPAL"), VLOOKUP(E453,FD:FP,13,0)="A"), "DEFICIT",IF(AND(OR(Planilla!B453="B", Planilla!B453="BPAL"), VLOOKUP(E453,FD:FP,13,0)="C"), "SOBREOFERTA",IF(AND(Planilla!B453="A", VLOOKUP(E453,FD:FP,13,0)="A"), "OK",IF(
AND(Planilla!B453="A", OR(VLOOKUP(E453,FD:FP,13,0)="B", VLOOKUP(E453,FD:FP,13,0)="C")), "SOBREOFERTA",""
))))))),"")</f>
        <v/>
      </c>
      <c r="E453" s="8" t="n"/>
      <c r="F453" s="86" t="n"/>
      <c r="G453" s="87" t="n"/>
      <c r="H453" s="88">
        <f>IF(I453="","",IF(AND((I453-G453)&gt;=TIME(0,0,0),(I453-G453)&lt;TIME(0,3,0)),"OK",IF(AND((I453-G453)&gt;=TIME(0,3,0),(I453-G453)&lt;TIME(0,5,0)),"RETRASO DE 3-5 MIN",IF(AND((I453-G453)&gt;=TIME(0,5,0),(I453-G453)&lt;TIME(0,10,0)),"RETRASO DE 5-10 MIN",IF((I453-G453)&gt;=TIME(0,10,0),"RETRASO &gt;10 MIN", IF(AND((G453-I453)&gt;=TIME(0,0,0),(G453-I453)&lt;TIME(0,3,0)),"OK",IF((G453-I453)&gt;=TIME(0,3,0),"ADELANTADO")))))))</f>
        <v/>
      </c>
      <c r="I453" s="89" t="n"/>
      <c r="J453" s="89">
        <f>IF(A453&lt;&gt;"",HLOOKUP(VALUE(TEXT(G453,"h:mm:ss")),IF($C$6="Laboral",$FZ$4:$GX$227,IF($C$6="Sábado",$FZ$231:$GX$452,$FZ$456:$GX$656)),VLOOKUP($C$4,$HF$2:$HH$99,3,0)+IF(C$5="Ida",0,1),1),"")</f>
        <v/>
      </c>
      <c r="K453" s="89">
        <f>IF(A454&lt;&gt;A453,AVERAGEIF(A$9:A453,A453,J$9:J453),"")</f>
        <v/>
      </c>
      <c r="L453" s="89">
        <f>IFERROR(IF(A454&lt;&gt;A453,AVERAGEIF(A$9:A453,A453,S$9:S453),""),"")</f>
        <v/>
      </c>
      <c r="M453" s="89">
        <f>IFERROR(IF(A454&lt;&gt;A453,AVERAGEIF(A$9:A453,A453,T$9:T453),""),"")</f>
        <v/>
      </c>
      <c r="N453" s="89">
        <f t="array" ref="N453">IFERROR(IF(A454&lt;&gt;A453,_xlfn.STDEV.P(IF(A$9:A453=A453,T$9:T453)),""),"")</f>
        <v/>
      </c>
      <c r="O453" s="89">
        <f t="array" ref="O453">IFERROR(IF(A454&lt;&gt;A453,_xlfn.STDEV.P(IF(A$9:A453=A453,S$9:S453)),""),"")</f>
        <v/>
      </c>
      <c r="P453" s="90">
        <f>IFERROR(IF(A453&lt;&gt;A454,MAX((((M453*24*60)/2)*(1+POWER((((N453*24*60) / (M453*24*60) )),2))) + ((M453*24*60 )*-0.1 + (K453*0.015)) +1,(((M453*24*60)/2)*(1+POWER((((N453*24*60) / (M453*24*60 ))),2)))),""),"")</f>
        <v/>
      </c>
      <c r="Q453" s="90">
        <f>IF(AND(O453&lt;&gt;"",L453&lt;&gt;""),IF(A453&lt;&gt;A454,((L453*24*60) / 2 ) * (1 + POWER(((O453*24*60) / (L453*24*60)),2)),""),"")</f>
        <v/>
      </c>
      <c r="R453" s="90">
        <f>IF(Q453&lt;&gt;"",MAX(P453,Q453),"")</f>
        <v/>
      </c>
      <c r="S453" s="89">
        <f>IF(I453&lt;&gt;"H. Sale Real",IF(AND(I454&lt;&gt;"",LEFT(C454,2)&lt;&gt;"Va"),IF(AND(I453&lt;&gt;"",LEFT(C453,2)&lt;&gt;"Va",I453&lt;&gt;"H. Sale Real"),IF(I454-I453&lt;0.208333333333333,I454-I453,""),IF(AND(I452&lt;&gt;"",LEFT(C452,2)&lt;&gt;"Va",I452&lt;&gt;"H. Sale Real"),IF(I454-I452&lt;0.208333333333333,I454-I452,""),IF(AND(I451&lt;&gt;"",LEFT(C451,2)&lt;&gt;"Va",I451&lt;&gt;"H. Sale Real"),IF(I454-I451&lt;0.208333333333333,I454-I451,""),IF(AND(I450&lt;&gt;"",LEFT(C450,2)&lt;&gt;"Va",I450&lt;&gt;"H. Sale Real"),IF(I454-I450&lt;0.208333333333333,I454-I450,""),IF(AND(I449&lt;&gt;"",LEFT(C449,2)&lt;&gt;"Va",I449&lt;&gt;"H. Sale Real"),IF(I454-I449&lt;0.208333333333333,I454-I449,""),""))))),""),"")</f>
        <v/>
      </c>
      <c r="T453" s="89">
        <f>IF(G453&lt;&gt;"H. Sale Real",IF(AND(G454&lt;&gt;"",LEFT(C454,2)&lt;&gt;"Va"),IF(AND(G453&lt;&gt;"",LEFT(C453,2)&lt;&gt;"Va",G453&lt;&gt;"H. Sale Real"),IF(G454-G453&lt;0.208333333333333,G454-G453,""),IF(AND(G452&lt;&gt;"",LEFT(C452,2)&lt;&gt;"Va",G452&lt;&gt;"H. Sale Real"),IF(G454-G452&lt;0.208333333333333,G454-G452,""),IF(AND(G451&lt;&gt;"",LEFT(C451,2)&lt;&gt;"Va",G451&lt;&gt;"H. Sale Real"),IF(G454-G451&lt;0.208333333333333,G454-G451,""),IF(AND(G450&lt;&gt;"",LEFT(C450,2)&lt;&gt;"Va",G450&lt;&gt;"H. Sale Real"),IF(G454-G450&lt;0.208333333333333,G454-G450,""),IF(AND(G449&lt;&gt;"",LEFT(C449,2)&lt;&gt;"Va",G449&lt;&gt;"H. Sale Real"),IF(G454-G449&lt;0.208333333333333,G454-G449,""),""))))),""),"")</f>
        <v/>
      </c>
      <c r="U453" s="87" t="n"/>
      <c r="V453" s="89" t="n"/>
      <c r="W453" s="87" t="n"/>
      <c r="X453" s="89" t="n"/>
      <c r="Y453" s="91" t="n"/>
      <c r="Z453" s="122">
        <f>IF(G453&lt;&gt;"",IF(AND(Z452&lt;&gt;"IE",P453&lt;&gt;0,R453&lt;&gt;""),IF(IFERROR((P453/R453),0) &lt;=1,IFERROR(P453/R453,""),1),""),"")</f>
        <v/>
      </c>
      <c r="AA453" s="93" t="n"/>
      <c r="AB453" s="2" t="n"/>
      <c r="AE453" s="10">
        <f>HOUR(AK453)+1</f>
        <v/>
      </c>
      <c r="AF453" s="7" t="n"/>
      <c r="AG453" s="7" t="n"/>
      <c r="AH453" s="86" t="n"/>
      <c r="AI453" s="8" t="n"/>
      <c r="AJ453" s="86" t="n"/>
      <c r="AK453" s="87" t="n"/>
      <c r="AL453" s="88">
        <f>IF(AM453="","",IF(AND((AM453-AK453)&gt;=TIME(0,0,0),(AM453-AK453)&lt;TIME(0,3,0)),"OK",IF(AND((AM453-AK453)&gt;=TIME(0,3,0),(AM453-AK453)&lt;TIME(0,5,0)),"RETRASO DE 3-5 MIN",IF(AND((AM453-AK453)&gt;=TIME(0,5,0),(AM453-AK453)&lt;TIME(0,10,0)),"RETRASO DE 5-10 MIN",IF((AM453-AK453)&gt;=TIME(0,10,0),"RETRASO &gt;10 MIN", IF(AND((AK453-AM453)&gt;=TIME(0,0,0),(AK453-AM453)&lt;TIME(0,3,0)),"OK",IF((AK453-AM453)&gt;=TIME(0,3,0),"ADELANTADO")))))))</f>
        <v/>
      </c>
      <c r="AM453" s="91" t="n"/>
      <c r="AN453" s="89">
        <f>IF(AE453&lt;&gt;"",HLOOKUP(VALUE(TEXT(AK453,"h:mm:ss")),IF($C$6="Laboral",$FZ$4:$GX$227,IF($C$6="Sábado",$FZ$231:$GX$452,$FZ$456:$GX$656)),VLOOKUP($C$4,$HF$2:$HH$99,3,0)+IF(AG$5="Ida",0,1),1),"")</f>
        <v/>
      </c>
      <c r="AO453" s="89">
        <f>IF(AE454&lt;&gt;AE453,AVERAGEIF(AE$9:AE453,AE453,AN$9:AN453),"")</f>
        <v/>
      </c>
      <c r="AP453" s="89">
        <f>IFERROR(IF(AE454&lt;&gt;AE453,AVERAGEIF(AE$9:AE453,AE453,AW$9:AW453),""),"")</f>
        <v/>
      </c>
      <c r="AQ453" s="89">
        <f>IFERROR(IF(AE454&lt;&gt;AE453,AVERAGEIF(AE$9:AE453,AE453,AX$9:AX453),""),"")</f>
        <v/>
      </c>
      <c r="AR453" s="89">
        <f t="array" ref="AR453">IFERROR(IF(AE454&lt;&gt;AE453,_xlfn.STDEV.P(IF(AE$9:AE453=AE453,AX$9:AX453)),""),"")</f>
        <v/>
      </c>
      <c r="AS453" s="89">
        <f t="array" ref="AS453">IFERROR(IF(AE454&lt;&gt;AE453,_xlfn.STDEV.P(IF(AE$9:AE453=AE453,AW$9:AW453)),""),"")</f>
        <v/>
      </c>
      <c r="AT453" s="90">
        <f>IFERROR(IF(AE453&lt;&gt;AE454,MAX((((AQ453*24*60)/2)*(1+POWER((((AR453*24*60) / (AQ453*24*60) )),2))) + ((AQ453*24*60 )*-0.1 + (AO453*0.015)) +1,(((AQ453*24*60)/2)*(1+POWER((((AR453*24*60) / (AQ453*24*60 ))),2)))),""),"")</f>
        <v/>
      </c>
      <c r="AU453" s="90">
        <f>IF(AND(AS453&lt;&gt;"",AP453&lt;&gt;""),IF(AE453&lt;&gt;AE454,((AP453*24*60) / 2 ) * (1 + POWER(((AS453*24*60) / (AP453*24*60)),2)),""),"")</f>
        <v/>
      </c>
      <c r="AV453" s="90">
        <f>IF(AU453&lt;&gt;"",MAX(AT453,AU453),"")</f>
        <v/>
      </c>
      <c r="AW453" s="89">
        <f>IF(AM453&lt;&gt;"H. Sale Real",IF(AND(AM454&lt;&gt;"",LEFT(AG454,2)&lt;&gt;"Va"),IF(AND(AM453&lt;&gt;"",LEFT(AG453,2)&lt;&gt;"Va",AM453&lt;&gt;"H. Sale Real"),IF(AM454-AM453&lt;0.208333333333333,AM454-AM453,""),IF(AND(AM452&lt;&gt;"",LEFT(AG452,2)&lt;&gt;"Va",AM452&lt;&gt;"H. Sale Real"),IF(AM454-AM452&lt;0.208333333333333,AM454-AM452,""),IF(AND(AM451&lt;&gt;"",LEFT(AG451,2)&lt;&gt;"Va",AM451&lt;&gt;"H. Sale Real"),IF(AM454-AM451&lt;0.208333333333333,AM454-AM451,""),IF(AND(AM450&lt;&gt;"",LEFT(AG450,2)&lt;&gt;"Va",AM450&lt;&gt;"H. Sale Real"),IF(AM454-AM450&lt;0.208333333333333,AM454-AM450,""),IF(AND(AM449&lt;&gt;"",LEFT(AG449,2)&lt;&gt;"Va",AM449&lt;&gt;"H. Sale Real"),IF(AM454-AM449&lt;0.208333333333333,AM454-AM449,""),""))))),""),"")</f>
        <v/>
      </c>
      <c r="AX453" s="89">
        <f>IF(AK453&lt;&gt;"H. Sale Real",IF(AND(AK454&lt;&gt;"",LEFT(AG454,2)&lt;&gt;"Va"),IF(AND(AK453&lt;&gt;"",LEFT(AG453,2)&lt;&gt;"Va",AK453&lt;&gt;"H. Sale Real"),IF(AK454-AK453&lt;0.208333333333333,AK454-AK453,""),IF(AND(AK452&lt;&gt;"",LEFT(AG452,2)&lt;&gt;"Va",AK452&lt;&gt;"H. Sale Real"),IF(AK454-AK452&lt;0.208333333333333,AK454-AK452,""),IF(AND(AK451&lt;&gt;"",LEFT(AG451,2)&lt;&gt;"NC",AK451&lt;&gt;"H. Sale Real"),IF(AK454-AK451&lt;0.208333333333333,AK454-AK451,""),IF(AND(AK450&lt;&gt;"",LEFT(AG450,2)&lt;&gt;"Va",AK450&lt;&gt;"H. Sale Real"),IF(AK454-AK450&lt;0.208333333333333,AK454-AK450,""),IF(AND(AK449&lt;&gt;"",LEFT(AG449,2)&lt;&gt;"Va",AK449&lt;&gt;"H. Sale Real"),IF(AK454-AK449&lt;0.208333333333333,AK454-AK449,""),""))))),""),"")</f>
        <v/>
      </c>
      <c r="AY453" s="87" t="n"/>
      <c r="AZ453" s="89" t="n"/>
      <c r="BA453" s="87" t="n"/>
      <c r="BB453" s="89" t="n"/>
      <c r="BC453" s="91" t="n"/>
      <c r="BD453" s="122">
        <f>IF(AK453&lt;&gt;"",IF(AND(BD452&lt;&gt;"IE",AT453&lt;&gt;0,AV453&lt;&gt;""),IF(IFERROR((AT453/AV453),0) &lt;=1,IFERROR(AT453/AV453,""),1),""),"")</f>
        <v/>
      </c>
      <c r="BE453" s="93" t="n"/>
      <c r="BF453" s="105" t="n"/>
      <c r="FC453" t="inlineStr">
        <is>
          <t>Diccionario 1</t>
        </is>
      </c>
      <c r="FD453" s="15" t="inlineStr"/>
      <c r="FE453" s="15" t="inlineStr">
        <is>
          <t>LDYECS830S0045634</t>
        </is>
      </c>
      <c r="FF453" s="15" t="inlineStr">
        <is>
          <t>MJJ20025010004</t>
        </is>
      </c>
      <c r="FG453" s="15" t="inlineStr">
        <is>
          <t>Zhong Tong</t>
        </is>
      </c>
      <c r="FH453" s="15" t="inlineStr">
        <is>
          <t>LCK6850evg</t>
        </is>
      </c>
      <c r="FI453" s="15" t="inlineStr">
        <is>
          <t>ZHONGTONG</t>
        </is>
      </c>
      <c r="FJ453" s="15" t="inlineStr">
        <is>
          <t>LCK6850evg</t>
        </is>
      </c>
      <c r="FK453" s="15" t="n">
        <v>2025</v>
      </c>
      <c r="FL453" s="15" t="inlineStr">
        <is>
          <t>A</t>
        </is>
      </c>
      <c r="FM453" s="15" t="inlineStr">
        <is>
          <t>CERRILLOS</t>
        </is>
      </c>
      <c r="FN453" s="15" t="inlineStr">
        <is>
          <t>Calle Uno 7371</t>
        </is>
      </c>
      <c r="FO453" s="15" t="inlineStr">
        <is>
          <t>Cerrillos</t>
        </is>
      </c>
      <c r="FP453" t="inlineStr">
        <is>
          <t>A</t>
        </is>
      </c>
      <c r="FS453" s="14" t="inlineStr">
        <is>
          <t>9951 / TBZB-24|</t>
        </is>
      </c>
      <c r="FT453" t="inlineStr">
        <is>
          <t>TBZB-24|</t>
        </is>
      </c>
      <c r="FU453" t="inlineStr">
        <is>
          <t>TBZB-24</t>
        </is>
      </c>
      <c r="FV453">
        <f>VLOOKUP(FU453,FD:FL,9,0)</f>
        <v/>
      </c>
      <c r="HB453" s="35" t="n">
        <v>447</v>
      </c>
    </row>
    <row r="454" ht="15.5" customHeight="1">
      <c r="A454" s="10">
        <f>HOUR(G454)+1</f>
        <v/>
      </c>
      <c r="B454" s="7" t="n"/>
      <c r="C454" s="7" t="n"/>
      <c r="D454" s="85">
        <f>IFERROR(
IF(AND(OR(Planilla!B454="C",Planilla!B454="c"), VLOOKUP(E454,FD:FP,13,0)="C"), "OK",IF(AND(OR(Planilla!B454="C",Planilla!B454="c"), OR(VLOOKUP(E454,FD:FP,13,0)="B", VLOOKUP(E454,FD:FP,13,0)="A")), "DEFICIT",IF(
AND(OR(Planilla!B454="B", Planilla!B454="BPAL"), VLOOKUP(E454,FD:FP,13,0)="B"), "OK",IF(AND(OR(Planilla!B454="B", Planilla!B454="BPAL"), VLOOKUP(E454,FD:FP,13,0)="A"), "DEFICIT",IF(AND(OR(Planilla!B454="B", Planilla!B454="BPAL"), VLOOKUP(E454,FD:FP,13,0)="C"), "SOBREOFERTA",IF(AND(Planilla!B454="A", VLOOKUP(E454,FD:FP,13,0)="A"), "OK",IF(
AND(Planilla!B454="A", OR(VLOOKUP(E454,FD:FP,13,0)="B", VLOOKUP(E454,FD:FP,13,0)="C")), "SOBREOFERTA",""
))))))),"")</f>
        <v/>
      </c>
      <c r="E454" s="8" t="n"/>
      <c r="F454" s="86" t="n"/>
      <c r="G454" s="87" t="n"/>
      <c r="H454" s="88">
        <f>IF(I454="","",IF(AND((I454-G454)&gt;=TIME(0,0,0),(I454-G454)&lt;TIME(0,3,0)),"OK",IF(AND((I454-G454)&gt;=TIME(0,3,0),(I454-G454)&lt;TIME(0,5,0)),"RETRASO DE 3-5 MIN",IF(AND((I454-G454)&gt;=TIME(0,5,0),(I454-G454)&lt;TIME(0,10,0)),"RETRASO DE 5-10 MIN",IF((I454-G454)&gt;=TIME(0,10,0),"RETRASO &gt;10 MIN", IF(AND((G454-I454)&gt;=TIME(0,0,0),(G454-I454)&lt;TIME(0,3,0)),"OK",IF((G454-I454)&gt;=TIME(0,3,0),"ADELANTADO")))))))</f>
        <v/>
      </c>
      <c r="I454" s="89" t="n"/>
      <c r="J454" s="89">
        <f>IF(A454&lt;&gt;"",HLOOKUP(VALUE(TEXT(G454,"h:mm:ss")),IF($C$6="Laboral",$FZ$4:$GX$227,IF($C$6="Sábado",$FZ$231:$GX$452,$FZ$456:$GX$656)),VLOOKUP($C$4,$HF$2:$HH$99,3,0)+IF(C$5="Ida",0,1),1),"")</f>
        <v/>
      </c>
      <c r="K454" s="89">
        <f>IF(A455&lt;&gt;A454,AVERAGEIF(A$9:A454,A454,J$9:J454),"")</f>
        <v/>
      </c>
      <c r="L454" s="89">
        <f>IFERROR(IF(A455&lt;&gt;A454,AVERAGEIF(A$9:A454,A454,S$9:S454),""),"")</f>
        <v/>
      </c>
      <c r="M454" s="89">
        <f>IFERROR(IF(A455&lt;&gt;A454,AVERAGEIF(A$9:A454,A454,T$9:T454),""),"")</f>
        <v/>
      </c>
      <c r="N454" s="89">
        <f t="array" ref="N454">IFERROR(IF(A455&lt;&gt;A454,_xlfn.STDEV.P(IF(A$9:A454=A454,T$9:T454)),""),"")</f>
        <v/>
      </c>
      <c r="O454" s="89">
        <f t="array" ref="O454">IFERROR(IF(A455&lt;&gt;A454,_xlfn.STDEV.P(IF(A$9:A454=A454,S$9:S454)),""),"")</f>
        <v/>
      </c>
      <c r="P454" s="90">
        <f>IFERROR(IF(A454&lt;&gt;A455,MAX((((M454*24*60)/2)*(1+POWER((((N454*24*60) / (M454*24*60) )),2))) + ((M454*24*60 )*-0.1 + (K454*0.015)) +1,(((M454*24*60)/2)*(1+POWER((((N454*24*60) / (M454*24*60 ))),2)))),""),"")</f>
        <v/>
      </c>
      <c r="Q454" s="90">
        <f>IF(AND(O454&lt;&gt;"",L454&lt;&gt;""),IF(A454&lt;&gt;A455,((L454*24*60) / 2 ) * (1 + POWER(((O454*24*60) / (L454*24*60)),2)),""),"")</f>
        <v/>
      </c>
      <c r="R454" s="90">
        <f>IF(Q454&lt;&gt;"",MAX(P454,Q454),"")</f>
        <v/>
      </c>
      <c r="S454" s="89">
        <f>IF(I454&lt;&gt;"H. Sale Real",IF(AND(I455&lt;&gt;"",LEFT(C455,2)&lt;&gt;"Va"),IF(AND(I454&lt;&gt;"",LEFT(C454,2)&lt;&gt;"Va",I454&lt;&gt;"H. Sale Real"),IF(I455-I454&lt;0.208333333333333,I455-I454,""),IF(AND(I453&lt;&gt;"",LEFT(C453,2)&lt;&gt;"Va",I453&lt;&gt;"H. Sale Real"),IF(I455-I453&lt;0.208333333333333,I455-I453,""),IF(AND(I452&lt;&gt;"",LEFT(C452,2)&lt;&gt;"Va",I452&lt;&gt;"H. Sale Real"),IF(I455-I452&lt;0.208333333333333,I455-I452,""),IF(AND(I451&lt;&gt;"",LEFT(C451,2)&lt;&gt;"Va",I451&lt;&gt;"H. Sale Real"),IF(I455-I451&lt;0.208333333333333,I455-I451,""),IF(AND(I450&lt;&gt;"",LEFT(C450,2)&lt;&gt;"Va",I450&lt;&gt;"H. Sale Real"),IF(I455-I450&lt;0.208333333333333,I455-I450,""),""))))),""),"")</f>
        <v/>
      </c>
      <c r="T454" s="89">
        <f>IF(G454&lt;&gt;"H. Sale Real",IF(AND(G455&lt;&gt;"",LEFT(C455,2)&lt;&gt;"Va"),IF(AND(G454&lt;&gt;"",LEFT(C454,2)&lt;&gt;"Va",G454&lt;&gt;"H. Sale Real"),IF(G455-G454&lt;0.208333333333333,G455-G454,""),IF(AND(G453&lt;&gt;"",LEFT(C453,2)&lt;&gt;"Va",G453&lt;&gt;"H. Sale Real"),IF(G455-G453&lt;0.208333333333333,G455-G453,""),IF(AND(G452&lt;&gt;"",LEFT(C452,2)&lt;&gt;"Va",G452&lt;&gt;"H. Sale Real"),IF(G455-G452&lt;0.208333333333333,G455-G452,""),IF(AND(G451&lt;&gt;"",LEFT(C451,2)&lt;&gt;"Va",G451&lt;&gt;"H. Sale Real"),IF(G455-G451&lt;0.208333333333333,G455-G451,""),IF(AND(G450&lt;&gt;"",LEFT(C450,2)&lt;&gt;"Va",G450&lt;&gt;"H. Sale Real"),IF(G455-G450&lt;0.208333333333333,G455-G450,""),""))))),""),"")</f>
        <v/>
      </c>
      <c r="U454" s="87" t="n"/>
      <c r="V454" s="89" t="n"/>
      <c r="W454" s="87" t="n"/>
      <c r="X454" s="89" t="n"/>
      <c r="Y454" s="91" t="n"/>
      <c r="Z454" s="122">
        <f>IF(G454&lt;&gt;"",IF(AND(Z453&lt;&gt;"IE",P454&lt;&gt;0,R454&lt;&gt;""),IF(IFERROR((P454/R454),0) &lt;=1,IFERROR(P454/R454,""),1),""),"")</f>
        <v/>
      </c>
      <c r="AA454" s="93" t="n"/>
      <c r="AB454" s="2" t="n"/>
      <c r="AE454" s="10">
        <f>HOUR(AK454)+1</f>
        <v/>
      </c>
      <c r="AF454" s="7" t="n"/>
      <c r="AG454" s="7" t="n"/>
      <c r="AH454" s="86" t="n"/>
      <c r="AI454" s="8" t="n"/>
      <c r="AJ454" s="86" t="n"/>
      <c r="AK454" s="87" t="n"/>
      <c r="AL454" s="88">
        <f>IF(AM454="","",IF(AND((AM454-AK454)&gt;=TIME(0,0,0),(AM454-AK454)&lt;TIME(0,3,0)),"OK",IF(AND((AM454-AK454)&gt;=TIME(0,3,0),(AM454-AK454)&lt;TIME(0,5,0)),"RETRASO DE 3-5 MIN",IF(AND((AM454-AK454)&gt;=TIME(0,5,0),(AM454-AK454)&lt;TIME(0,10,0)),"RETRASO DE 5-10 MIN",IF((AM454-AK454)&gt;=TIME(0,10,0),"RETRASO &gt;10 MIN", IF(AND((AK454-AM454)&gt;=TIME(0,0,0),(AK454-AM454)&lt;TIME(0,3,0)),"OK",IF((AK454-AM454)&gt;=TIME(0,3,0),"ADELANTADO")))))))</f>
        <v/>
      </c>
      <c r="AM454" s="91" t="n"/>
      <c r="AN454" s="89">
        <f>IF(AE454&lt;&gt;"",HLOOKUP(VALUE(TEXT(AK454,"h:mm:ss")),IF($C$6="Laboral",$FZ$4:$GX$227,IF($C$6="Sábado",$FZ$231:$GX$452,$FZ$456:$GX$656)),VLOOKUP($C$4,$HF$2:$HH$99,3,0)+IF(AG$5="Ida",0,1),1),"")</f>
        <v/>
      </c>
      <c r="AO454" s="89">
        <f>IF(AE455&lt;&gt;AE454,AVERAGEIF(AE$9:AE454,AE454,AN$9:AN454),"")</f>
        <v/>
      </c>
      <c r="AP454" s="89">
        <f>IFERROR(IF(AE455&lt;&gt;AE454,AVERAGEIF(AE$9:AE454,AE454,AW$9:AW454),""),"")</f>
        <v/>
      </c>
      <c r="AQ454" s="89">
        <f>IFERROR(IF(AE455&lt;&gt;AE454,AVERAGEIF(AE$9:AE454,AE454,AX$9:AX454),""),"")</f>
        <v/>
      </c>
      <c r="AR454" s="89">
        <f t="array" ref="AR454">IFERROR(IF(AE455&lt;&gt;AE454,_xlfn.STDEV.P(IF(AE$9:AE454=AE454,AX$9:AX454)),""),"")</f>
        <v/>
      </c>
      <c r="AS454" s="89">
        <f t="array" ref="AS454">IFERROR(IF(AE455&lt;&gt;AE454,_xlfn.STDEV.P(IF(AE$9:AE454=AE454,AW$9:AW454)),""),"")</f>
        <v/>
      </c>
      <c r="AT454" s="90">
        <f>IFERROR(IF(AE454&lt;&gt;AE455,MAX((((AQ454*24*60)/2)*(1+POWER((((AR454*24*60) / (AQ454*24*60) )),2))) + ((AQ454*24*60 )*-0.1 + (AO454*0.015)) +1,(((AQ454*24*60)/2)*(1+POWER((((AR454*24*60) / (AQ454*24*60 ))),2)))),""),"")</f>
        <v/>
      </c>
      <c r="AU454" s="90">
        <f>IF(AND(AS454&lt;&gt;"",AP454&lt;&gt;""),IF(AE454&lt;&gt;AE455,((AP454*24*60) / 2 ) * (1 + POWER(((AS454*24*60) / (AP454*24*60)),2)),""),"")</f>
        <v/>
      </c>
      <c r="AV454" s="90">
        <f>IF(AU454&lt;&gt;"",MAX(AT454,AU454),"")</f>
        <v/>
      </c>
      <c r="AW454" s="89">
        <f>IF(AM454&lt;&gt;"H. Sale Real",IF(AND(AM455&lt;&gt;"",LEFT(AG455,2)&lt;&gt;"Va"),IF(AND(AM454&lt;&gt;"",LEFT(AG454,2)&lt;&gt;"Va",AM454&lt;&gt;"H. Sale Real"),IF(AM455-AM454&lt;0.208333333333333,AM455-AM454,""),IF(AND(AM453&lt;&gt;"",LEFT(AG453,2)&lt;&gt;"Va",AM453&lt;&gt;"H. Sale Real"),IF(AM455-AM453&lt;0.208333333333333,AM455-AM453,""),IF(AND(AM452&lt;&gt;"",LEFT(AG452,2)&lt;&gt;"Va",AM452&lt;&gt;"H. Sale Real"),IF(AM455-AM452&lt;0.208333333333333,AM455-AM452,""),IF(AND(AM451&lt;&gt;"",LEFT(AG451,2)&lt;&gt;"Va",AM451&lt;&gt;"H. Sale Real"),IF(AM455-AM451&lt;0.208333333333333,AM455-AM451,""),IF(AND(AM450&lt;&gt;"",LEFT(AG450,2)&lt;&gt;"Va",AM450&lt;&gt;"H. Sale Real"),IF(AM455-AM450&lt;0.208333333333333,AM455-AM450,""),""))))),""),"")</f>
        <v/>
      </c>
      <c r="AX454" s="89">
        <f>IF(AK454&lt;&gt;"H. Sale Real",IF(AND(AK455&lt;&gt;"",LEFT(AG455,2)&lt;&gt;"Va"),IF(AND(AK454&lt;&gt;"",LEFT(AG454,2)&lt;&gt;"Va",AK454&lt;&gt;"H. Sale Real"),IF(AK455-AK454&lt;0.208333333333333,AK455-AK454,""),IF(AND(AK453&lt;&gt;"",LEFT(AG453,2)&lt;&gt;"Va",AK453&lt;&gt;"H. Sale Real"),IF(AK455-AK453&lt;0.208333333333333,AK455-AK453,""),IF(AND(AK452&lt;&gt;"",LEFT(AG452,2)&lt;&gt;"NC",AK452&lt;&gt;"H. Sale Real"),IF(AK455-AK452&lt;0.208333333333333,AK455-AK452,""),IF(AND(AK451&lt;&gt;"",LEFT(AG451,2)&lt;&gt;"Va",AK451&lt;&gt;"H. Sale Real"),IF(AK455-AK451&lt;0.208333333333333,AK455-AK451,""),IF(AND(AK450&lt;&gt;"",LEFT(AG450,2)&lt;&gt;"Va",AK450&lt;&gt;"H. Sale Real"),IF(AK455-AK450&lt;0.208333333333333,AK455-AK450,""),""))))),""),"")</f>
        <v/>
      </c>
      <c r="AY454" s="87" t="n"/>
      <c r="AZ454" s="89" t="n"/>
      <c r="BA454" s="87" t="n"/>
      <c r="BB454" s="89" t="n"/>
      <c r="BC454" s="91" t="n"/>
      <c r="BD454" s="122">
        <f>IF(AK454&lt;&gt;"",IF(AND(BD453&lt;&gt;"IE",AT454&lt;&gt;0,AV454&lt;&gt;""),IF(IFERROR((AT454/AV454),0) &lt;=1,IFERROR(AT454/AV454,""),1),""),"")</f>
        <v/>
      </c>
      <c r="BE454" s="93" t="n"/>
      <c r="BF454" s="105" t="n"/>
      <c r="FC454" t="inlineStr">
        <is>
          <t>Diccionario 1</t>
        </is>
      </c>
      <c r="FD454" s="15" t="inlineStr"/>
      <c r="FE454" s="15" t="inlineStr">
        <is>
          <t>LDYECS834S0045622</t>
        </is>
      </c>
      <c r="FF454" s="15" t="inlineStr">
        <is>
          <t>MJJ20025030025</t>
        </is>
      </c>
      <c r="FG454" s="15" t="inlineStr">
        <is>
          <t>Zhong Tong</t>
        </is>
      </c>
      <c r="FH454" s="15" t="inlineStr">
        <is>
          <t>LCK6850evg</t>
        </is>
      </c>
      <c r="FI454" s="15" t="inlineStr">
        <is>
          <t>ZHONGTONG</t>
        </is>
      </c>
      <c r="FJ454" s="15" t="inlineStr">
        <is>
          <t>LCK6850evg</t>
        </is>
      </c>
      <c r="FK454" s="15" t="n">
        <v>2025</v>
      </c>
      <c r="FL454" s="15" t="inlineStr">
        <is>
          <t>A</t>
        </is>
      </c>
      <c r="FM454" s="15" t="inlineStr">
        <is>
          <t>CERRILLOS</t>
        </is>
      </c>
      <c r="FN454" s="15" t="inlineStr">
        <is>
          <t>Calle Uno 7371</t>
        </is>
      </c>
      <c r="FO454" s="15" t="inlineStr">
        <is>
          <t>Cerrillos</t>
        </is>
      </c>
      <c r="FP454" t="inlineStr">
        <is>
          <t>A</t>
        </is>
      </c>
      <c r="FS454" s="14" t="inlineStr">
        <is>
          <t>9951 / TBZB-24|</t>
        </is>
      </c>
      <c r="FT454" t="inlineStr">
        <is>
          <t>TBZB-24|</t>
        </is>
      </c>
      <c r="FU454" t="inlineStr">
        <is>
          <t>TBZB-24</t>
        </is>
      </c>
      <c r="FV454">
        <f>VLOOKUP(FU454,FD:FL,9,0)</f>
        <v/>
      </c>
      <c r="HB454" s="35" t="n">
        <v>448</v>
      </c>
    </row>
    <row r="455" ht="15.5" customHeight="1">
      <c r="A455" s="10">
        <f>HOUR(G455)+1</f>
        <v/>
      </c>
      <c r="B455" s="7" t="n"/>
      <c r="C455" s="7" t="n"/>
      <c r="D455" s="85">
        <f>IFERROR(
IF(AND(OR(Planilla!B455="C",Planilla!B455="c"), VLOOKUP(E455,FD:FP,13,0)="C"), "OK",IF(AND(OR(Planilla!B455="C",Planilla!B455="c"), OR(VLOOKUP(E455,FD:FP,13,0)="B", VLOOKUP(E455,FD:FP,13,0)="A")), "DEFICIT",IF(
AND(OR(Planilla!B455="B", Planilla!B455="BPAL"), VLOOKUP(E455,FD:FP,13,0)="B"), "OK",IF(AND(OR(Planilla!B455="B", Planilla!B455="BPAL"), VLOOKUP(E455,FD:FP,13,0)="A"), "DEFICIT",IF(AND(OR(Planilla!B455="B", Planilla!B455="BPAL"), VLOOKUP(E455,FD:FP,13,0)="C"), "SOBREOFERTA",IF(AND(Planilla!B455="A", VLOOKUP(E455,FD:FP,13,0)="A"), "OK",IF(
AND(Planilla!B455="A", OR(VLOOKUP(E455,FD:FP,13,0)="B", VLOOKUP(E455,FD:FP,13,0)="C")), "SOBREOFERTA",""
))))))),"")</f>
        <v/>
      </c>
      <c r="E455" s="8" t="n"/>
      <c r="F455" s="86" t="n"/>
      <c r="G455" s="87" t="n"/>
      <c r="H455" s="88">
        <f>IF(I455="","",IF(AND((I455-G455)&gt;=TIME(0,0,0),(I455-G455)&lt;TIME(0,3,0)),"OK",IF(AND((I455-G455)&gt;=TIME(0,3,0),(I455-G455)&lt;TIME(0,5,0)),"RETRASO DE 3-5 MIN",IF(AND((I455-G455)&gt;=TIME(0,5,0),(I455-G455)&lt;TIME(0,10,0)),"RETRASO DE 5-10 MIN",IF((I455-G455)&gt;=TIME(0,10,0),"RETRASO &gt;10 MIN", IF(AND((G455-I455)&gt;=TIME(0,0,0),(G455-I455)&lt;TIME(0,3,0)),"OK",IF((G455-I455)&gt;=TIME(0,3,0),"ADELANTADO")))))))</f>
        <v/>
      </c>
      <c r="I455" s="89" t="n"/>
      <c r="J455" s="89">
        <f>IF(A455&lt;&gt;"",HLOOKUP(VALUE(TEXT(G455,"h:mm:ss")),IF($C$6="Laboral",$FZ$4:$GX$227,IF($C$6="Sábado",$FZ$231:$GX$452,$FZ$456:$GX$656)),VLOOKUP($C$4,$HF$2:$HH$99,3,0)+IF(C$5="Ida",0,1),1),"")</f>
        <v/>
      </c>
      <c r="K455" s="89">
        <f>IF(A456&lt;&gt;A455,AVERAGEIF(A$9:A455,A455,J$9:J455),"")</f>
        <v/>
      </c>
      <c r="L455" s="89">
        <f>IFERROR(IF(A456&lt;&gt;A455,AVERAGEIF(A$9:A455,A455,S$9:S455),""),"")</f>
        <v/>
      </c>
      <c r="M455" s="89">
        <f>IFERROR(IF(A456&lt;&gt;A455,AVERAGEIF(A$9:A455,A455,T$9:T455),""),"")</f>
        <v/>
      </c>
      <c r="N455" s="89">
        <f t="array" ref="N455">IFERROR(IF(A456&lt;&gt;A455,_xlfn.STDEV.P(IF(A$9:A455=A455,T$9:T455)),""),"")</f>
        <v/>
      </c>
      <c r="O455" s="89">
        <f t="array" ref="O455">IFERROR(IF(A456&lt;&gt;A455,_xlfn.STDEV.P(IF(A$9:A455=A455,S$9:S455)),""),"")</f>
        <v/>
      </c>
      <c r="P455" s="90">
        <f>IFERROR(IF(A455&lt;&gt;A456,MAX((((M455*24*60)/2)*(1+POWER((((N455*24*60) / (M455*24*60) )),2))) + ((M455*24*60 )*-0.1 + (K455*0.015)) +1,(((M455*24*60)/2)*(1+POWER((((N455*24*60) / (M455*24*60 ))),2)))),""),"")</f>
        <v/>
      </c>
      <c r="Q455" s="90">
        <f>IF(AND(O455&lt;&gt;"",L455&lt;&gt;""),IF(A455&lt;&gt;A456,((L455*24*60) / 2 ) * (1 + POWER(((O455*24*60) / (L455*24*60)),2)),""),"")</f>
        <v/>
      </c>
      <c r="R455" s="90">
        <f>IF(Q455&lt;&gt;"",MAX(P455,Q455),"")</f>
        <v/>
      </c>
      <c r="S455" s="89">
        <f>IF(I455&lt;&gt;"H. Sale Real",IF(AND(I456&lt;&gt;"",LEFT(C456,2)&lt;&gt;"Va"),IF(AND(I455&lt;&gt;"",LEFT(C455,2)&lt;&gt;"Va",I455&lt;&gt;"H. Sale Real"),IF(I456-I455&lt;0.208333333333333,I456-I455,""),IF(AND(I454&lt;&gt;"",LEFT(C454,2)&lt;&gt;"Va",I454&lt;&gt;"H. Sale Real"),IF(I456-I454&lt;0.208333333333333,I456-I454,""),IF(AND(I453&lt;&gt;"",LEFT(C453,2)&lt;&gt;"Va",I453&lt;&gt;"H. Sale Real"),IF(I456-I453&lt;0.208333333333333,I456-I453,""),IF(AND(I452&lt;&gt;"",LEFT(C452,2)&lt;&gt;"Va",I452&lt;&gt;"H. Sale Real"),IF(I456-I452&lt;0.208333333333333,I456-I452,""),IF(AND(I451&lt;&gt;"",LEFT(C451,2)&lt;&gt;"Va",I451&lt;&gt;"H. Sale Real"),IF(I456-I451&lt;0.208333333333333,I456-I451,""),""))))),""),"")</f>
        <v/>
      </c>
      <c r="T455" s="89">
        <f>IF(G455&lt;&gt;"H. Sale Real",IF(AND(G456&lt;&gt;"",LEFT(C456,2)&lt;&gt;"Va"),IF(AND(G455&lt;&gt;"",LEFT(C455,2)&lt;&gt;"Va",G455&lt;&gt;"H. Sale Real"),IF(G456-G455&lt;0.208333333333333,G456-G455,""),IF(AND(G454&lt;&gt;"",LEFT(C454,2)&lt;&gt;"Va",G454&lt;&gt;"H. Sale Real"),IF(G456-G454&lt;0.208333333333333,G456-G454,""),IF(AND(G453&lt;&gt;"",LEFT(C453,2)&lt;&gt;"Va",G453&lt;&gt;"H. Sale Real"),IF(G456-G453&lt;0.208333333333333,G456-G453,""),IF(AND(G452&lt;&gt;"",LEFT(C452,2)&lt;&gt;"Va",G452&lt;&gt;"H. Sale Real"),IF(G456-G452&lt;0.208333333333333,G456-G452,""),IF(AND(G451&lt;&gt;"",LEFT(C451,2)&lt;&gt;"Va",G451&lt;&gt;"H. Sale Real"),IF(G456-G451&lt;0.208333333333333,G456-G451,""),""))))),""),"")</f>
        <v/>
      </c>
      <c r="U455" s="87" t="n"/>
      <c r="V455" s="89" t="n"/>
      <c r="W455" s="87" t="n"/>
      <c r="X455" s="89" t="n"/>
      <c r="Y455" s="91" t="n"/>
      <c r="Z455" s="122">
        <f>IF(G455&lt;&gt;"",IF(AND(Z454&lt;&gt;"IE",P455&lt;&gt;0,R455&lt;&gt;""),IF(IFERROR((P455/R455),0) &lt;=1,IFERROR(P455/R455,""),1),""),"")</f>
        <v/>
      </c>
      <c r="AA455" s="93" t="n"/>
      <c r="AB455" s="2" t="n"/>
      <c r="AE455" s="10">
        <f>HOUR(AK455)+1</f>
        <v/>
      </c>
      <c r="AF455" s="7" t="n"/>
      <c r="AG455" s="7" t="n"/>
      <c r="AH455" s="86" t="n"/>
      <c r="AI455" s="8" t="n"/>
      <c r="AJ455" s="86" t="n"/>
      <c r="AK455" s="87" t="n"/>
      <c r="AL455" s="88">
        <f>IF(AM455="","",IF(AND((AM455-AK455)&gt;=TIME(0,0,0),(AM455-AK455)&lt;TIME(0,3,0)),"OK",IF(AND((AM455-AK455)&gt;=TIME(0,3,0),(AM455-AK455)&lt;TIME(0,5,0)),"RETRASO DE 3-5 MIN",IF(AND((AM455-AK455)&gt;=TIME(0,5,0),(AM455-AK455)&lt;TIME(0,10,0)),"RETRASO DE 5-10 MIN",IF((AM455-AK455)&gt;=TIME(0,10,0),"RETRASO &gt;10 MIN", IF(AND((AK455-AM455)&gt;=TIME(0,0,0),(AK455-AM455)&lt;TIME(0,3,0)),"OK",IF((AK455-AM455)&gt;=TIME(0,3,0),"ADELANTADO")))))))</f>
        <v/>
      </c>
      <c r="AM455" s="91" t="n"/>
      <c r="AN455" s="89">
        <f>IF(AE455&lt;&gt;"",HLOOKUP(VALUE(TEXT(AK455,"h:mm:ss")),IF($C$6="Laboral",$FZ$4:$GX$227,IF($C$6="Sábado",$FZ$231:$GX$452,$FZ$456:$GX$656)),VLOOKUP($C$4,$HF$2:$HH$99,3,0)+IF(AG$5="Ida",0,1),1),"")</f>
        <v/>
      </c>
      <c r="AO455" s="89">
        <f>IF(AE456&lt;&gt;AE455,AVERAGEIF(AE$9:AE455,AE455,AN$9:AN455),"")</f>
        <v/>
      </c>
      <c r="AP455" s="89">
        <f>IFERROR(IF(AE456&lt;&gt;AE455,AVERAGEIF(AE$9:AE455,AE455,AW$9:AW455),""),"")</f>
        <v/>
      </c>
      <c r="AQ455" s="89">
        <f>IFERROR(IF(AE456&lt;&gt;AE455,AVERAGEIF(AE$9:AE455,AE455,AX$9:AX455),""),"")</f>
        <v/>
      </c>
      <c r="AR455" s="89">
        <f t="array" ref="AR455">IFERROR(IF(AE456&lt;&gt;AE455,_xlfn.STDEV.P(IF(AE$9:AE455=AE455,AX$9:AX455)),""),"")</f>
        <v/>
      </c>
      <c r="AS455" s="89">
        <f t="array" ref="AS455">IFERROR(IF(AE456&lt;&gt;AE455,_xlfn.STDEV.P(IF(AE$9:AE455=AE455,AW$9:AW455)),""),"")</f>
        <v/>
      </c>
      <c r="AT455" s="90">
        <f>IFERROR(IF(AE455&lt;&gt;AE456,MAX((((AQ455*24*60)/2)*(1+POWER((((AR455*24*60) / (AQ455*24*60) )),2))) + ((AQ455*24*60 )*-0.1 + (AO455*0.015)) +1,(((AQ455*24*60)/2)*(1+POWER((((AR455*24*60) / (AQ455*24*60 ))),2)))),""),"")</f>
        <v/>
      </c>
      <c r="AU455" s="90">
        <f>IF(AND(AS455&lt;&gt;"",AP455&lt;&gt;""),IF(AE455&lt;&gt;AE456,((AP455*24*60) / 2 ) * (1 + POWER(((AS455*24*60) / (AP455*24*60)),2)),""),"")</f>
        <v/>
      </c>
      <c r="AV455" s="90">
        <f>IF(AU455&lt;&gt;"",MAX(AT455,AU455),"")</f>
        <v/>
      </c>
      <c r="AW455" s="89">
        <f>IF(AM455&lt;&gt;"H. Sale Real",IF(AND(AM456&lt;&gt;"",LEFT(AG456,2)&lt;&gt;"Va"),IF(AND(AM455&lt;&gt;"",LEFT(AG455,2)&lt;&gt;"Va",AM455&lt;&gt;"H. Sale Real"),IF(AM456-AM455&lt;0.208333333333333,AM456-AM455,""),IF(AND(AM454&lt;&gt;"",LEFT(AG454,2)&lt;&gt;"Va",AM454&lt;&gt;"H. Sale Real"),IF(AM456-AM454&lt;0.208333333333333,AM456-AM454,""),IF(AND(AM453&lt;&gt;"",LEFT(AG453,2)&lt;&gt;"Va",AM453&lt;&gt;"H. Sale Real"),IF(AM456-AM453&lt;0.208333333333333,AM456-AM453,""),IF(AND(AM452&lt;&gt;"",LEFT(AG452,2)&lt;&gt;"Va",AM452&lt;&gt;"H. Sale Real"),IF(AM456-AM452&lt;0.208333333333333,AM456-AM452,""),IF(AND(AM451&lt;&gt;"",LEFT(AG451,2)&lt;&gt;"Va",AM451&lt;&gt;"H. Sale Real"),IF(AM456-AM451&lt;0.208333333333333,AM456-AM451,""),""))))),""),"")</f>
        <v/>
      </c>
      <c r="AX455" s="89">
        <f>IF(AK455&lt;&gt;"H. Sale Real",IF(AND(AK456&lt;&gt;"",LEFT(AG456,2)&lt;&gt;"Va"),IF(AND(AK455&lt;&gt;"",LEFT(AG455,2)&lt;&gt;"Va",AK455&lt;&gt;"H. Sale Real"),IF(AK456-AK455&lt;0.208333333333333,AK456-AK455,""),IF(AND(AK454&lt;&gt;"",LEFT(AG454,2)&lt;&gt;"Va",AK454&lt;&gt;"H. Sale Real"),IF(AK456-AK454&lt;0.208333333333333,AK456-AK454,""),IF(AND(AK453&lt;&gt;"",LEFT(AG453,2)&lt;&gt;"NC",AK453&lt;&gt;"H. Sale Real"),IF(AK456-AK453&lt;0.208333333333333,AK456-AK453,""),IF(AND(AK452&lt;&gt;"",LEFT(AG452,2)&lt;&gt;"Va",AK452&lt;&gt;"H. Sale Real"),IF(AK456-AK452&lt;0.208333333333333,AK456-AK452,""),IF(AND(AK451&lt;&gt;"",LEFT(AG451,2)&lt;&gt;"Va",AK451&lt;&gt;"H. Sale Real"),IF(AK456-AK451&lt;0.208333333333333,AK456-AK451,""),""))))),""),"")</f>
        <v/>
      </c>
      <c r="AY455" s="87" t="n"/>
      <c r="AZ455" s="89" t="n"/>
      <c r="BA455" s="87" t="n"/>
      <c r="BB455" s="89" t="n"/>
      <c r="BC455" s="91" t="n"/>
      <c r="BD455" s="122">
        <f>IF(AK455&lt;&gt;"",IF(AND(BD454&lt;&gt;"IE",AT455&lt;&gt;0,AV455&lt;&gt;""),IF(IFERROR((AT455/AV455),0) &lt;=1,IFERROR(AT455/AV455,""),1),""),"")</f>
        <v/>
      </c>
      <c r="BE455" s="93" t="n"/>
      <c r="BF455" s="105" t="n"/>
      <c r="FC455" t="inlineStr">
        <is>
          <t>Diccionario 1</t>
        </is>
      </c>
      <c r="FD455" s="15" t="inlineStr"/>
      <c r="FE455" s="15" t="inlineStr">
        <is>
          <t>LDYECS831S0045612</t>
        </is>
      </c>
      <c r="FF455" s="15" t="inlineStr">
        <is>
          <t>MJJ20025010043</t>
        </is>
      </c>
      <c r="FG455" s="15" t="inlineStr">
        <is>
          <t>Zhong Tong</t>
        </is>
      </c>
      <c r="FH455" s="15" t="inlineStr">
        <is>
          <t>LCK6850evg</t>
        </is>
      </c>
      <c r="FI455" s="15" t="inlineStr">
        <is>
          <t>ZHONGTONG</t>
        </is>
      </c>
      <c r="FJ455" s="15" t="inlineStr">
        <is>
          <t>LCK6850evg</t>
        </is>
      </c>
      <c r="FK455" s="15" t="n">
        <v>2025</v>
      </c>
      <c r="FL455" s="15" t="inlineStr">
        <is>
          <t>A</t>
        </is>
      </c>
      <c r="FM455" s="15" t="inlineStr">
        <is>
          <t>CERRILLOS</t>
        </is>
      </c>
      <c r="FN455" s="15" t="inlineStr">
        <is>
          <t>Calle Uno 7371</t>
        </is>
      </c>
      <c r="FO455" s="15" t="inlineStr">
        <is>
          <t>Cerrillos</t>
        </is>
      </c>
      <c r="FP455" t="inlineStr">
        <is>
          <t>A</t>
        </is>
      </c>
      <c r="FS455" s="14" t="inlineStr">
        <is>
          <t>9951 / TBZB-24|</t>
        </is>
      </c>
      <c r="FT455" t="inlineStr">
        <is>
          <t>TBZB-24|</t>
        </is>
      </c>
      <c r="FU455" t="inlineStr">
        <is>
          <t>TBZB-24</t>
        </is>
      </c>
      <c r="FV455">
        <f>VLOOKUP(FU455,FD:FL,9,0)</f>
        <v/>
      </c>
      <c r="FZ455" s="50" t="inlineStr">
        <is>
          <t>DOMINGO</t>
        </is>
      </c>
      <c r="GA455" s="36" t="inlineStr">
        <is>
          <t>P1</t>
        </is>
      </c>
      <c r="GB455" s="36" t="inlineStr">
        <is>
          <t>P2</t>
        </is>
      </c>
      <c r="GC455" s="36" t="inlineStr">
        <is>
          <t>P3</t>
        </is>
      </c>
      <c r="GD455" s="36" t="inlineStr">
        <is>
          <t>P4</t>
        </is>
      </c>
      <c r="GE455" s="36" t="inlineStr">
        <is>
          <t>P5</t>
        </is>
      </c>
      <c r="GF455" s="36" t="inlineStr">
        <is>
          <t>P6</t>
        </is>
      </c>
      <c r="GG455" s="36" t="inlineStr">
        <is>
          <t>P7</t>
        </is>
      </c>
      <c r="GH455" s="36" t="inlineStr">
        <is>
          <t>P8</t>
        </is>
      </c>
      <c r="GI455" s="36" t="inlineStr">
        <is>
          <t>P9</t>
        </is>
      </c>
      <c r="GJ455" s="36" t="inlineStr">
        <is>
          <t>P10</t>
        </is>
      </c>
      <c r="GK455" s="36" t="inlineStr">
        <is>
          <t>P11</t>
        </is>
      </c>
      <c r="GL455" s="36" t="inlineStr">
        <is>
          <t>P12</t>
        </is>
      </c>
      <c r="GM455" s="36" t="inlineStr">
        <is>
          <t>P13</t>
        </is>
      </c>
      <c r="GN455" s="36" t="inlineStr">
        <is>
          <t>P14</t>
        </is>
      </c>
      <c r="GO455" s="36" t="inlineStr">
        <is>
          <t>P15</t>
        </is>
      </c>
      <c r="GP455" s="36" t="inlineStr">
        <is>
          <t>P16</t>
        </is>
      </c>
      <c r="GQ455" s="36" t="inlineStr">
        <is>
          <t>P17</t>
        </is>
      </c>
      <c r="GR455" s="36" t="inlineStr">
        <is>
          <t>P18</t>
        </is>
      </c>
      <c r="GS455" s="36" t="inlineStr">
        <is>
          <t>P19</t>
        </is>
      </c>
      <c r="GT455" s="36" t="inlineStr">
        <is>
          <t>P20</t>
        </is>
      </c>
      <c r="GU455" s="36" t="inlineStr">
        <is>
          <t>P21</t>
        </is>
      </c>
      <c r="GV455" s="36" t="inlineStr">
        <is>
          <t>P22</t>
        </is>
      </c>
      <c r="GW455" s="36" t="inlineStr">
        <is>
          <t>P23</t>
        </is>
      </c>
      <c r="GX455" s="36" t="inlineStr">
        <is>
          <t>P24</t>
        </is>
      </c>
      <c r="GY455" s="37" t="n"/>
      <c r="GZ455" s="37" t="n"/>
      <c r="HA455" s="38" t="n"/>
      <c r="HB455" s="35" t="n">
        <v>449</v>
      </c>
      <c r="HC455" s="37" t="n"/>
      <c r="HD455" s="37" t="n"/>
    </row>
    <row r="456" ht="15.5" customHeight="1">
      <c r="A456" s="10">
        <f>HOUR(G456)+1</f>
        <v/>
      </c>
      <c r="B456" s="7" t="n"/>
      <c r="C456" s="7" t="n"/>
      <c r="D456" s="85">
        <f>IFERROR(
IF(AND(OR(Planilla!B456="C",Planilla!B456="c"), VLOOKUP(E456,FD:FP,13,0)="C"), "OK",IF(AND(OR(Planilla!B456="C",Planilla!B456="c"), OR(VLOOKUP(E456,FD:FP,13,0)="B", VLOOKUP(E456,FD:FP,13,0)="A")), "DEFICIT",IF(
AND(OR(Planilla!B456="B", Planilla!B456="BPAL"), VLOOKUP(E456,FD:FP,13,0)="B"), "OK",IF(AND(OR(Planilla!B456="B", Planilla!B456="BPAL"), VLOOKUP(E456,FD:FP,13,0)="A"), "DEFICIT",IF(AND(OR(Planilla!B456="B", Planilla!B456="BPAL"), VLOOKUP(E456,FD:FP,13,0)="C"), "SOBREOFERTA",IF(AND(Planilla!B456="A", VLOOKUP(E456,FD:FP,13,0)="A"), "OK",IF(
AND(Planilla!B456="A", OR(VLOOKUP(E456,FD:FP,13,0)="B", VLOOKUP(E456,FD:FP,13,0)="C")), "SOBREOFERTA",""
))))))),"")</f>
        <v/>
      </c>
      <c r="E456" s="8" t="n"/>
      <c r="F456" s="86" t="n"/>
      <c r="G456" s="87" t="n"/>
      <c r="H456" s="88">
        <f>IF(I456="","",IF(AND((I456-G456)&gt;=TIME(0,0,0),(I456-G456)&lt;TIME(0,3,0)),"OK",IF(AND((I456-G456)&gt;=TIME(0,3,0),(I456-G456)&lt;TIME(0,5,0)),"RETRASO DE 3-5 MIN",IF(AND((I456-G456)&gt;=TIME(0,5,0),(I456-G456)&lt;TIME(0,10,0)),"RETRASO DE 5-10 MIN",IF((I456-G456)&gt;=TIME(0,10,0),"RETRASO &gt;10 MIN", IF(AND((G456-I456)&gt;=TIME(0,0,0),(G456-I456)&lt;TIME(0,3,0)),"OK",IF((G456-I456)&gt;=TIME(0,3,0),"ADELANTADO")))))))</f>
        <v/>
      </c>
      <c r="I456" s="89" t="n"/>
      <c r="J456" s="89">
        <f>IF(A456&lt;&gt;"",HLOOKUP(VALUE(TEXT(G456,"h:mm:ss")),IF($C$6="Laboral",$FZ$4:$GX$227,IF($C$6="Sábado",$FZ$231:$GX$452,$FZ$456:$GX$656)),VLOOKUP($C$4,$HF$2:$HH$99,3,0)+IF(C$5="Ida",0,1),1),"")</f>
        <v/>
      </c>
      <c r="K456" s="89">
        <f>IF(A457&lt;&gt;A456,AVERAGEIF(A$9:A456,A456,J$9:J456),"")</f>
        <v/>
      </c>
      <c r="L456" s="89">
        <f>IFERROR(IF(A457&lt;&gt;A456,AVERAGEIF(A$9:A456,A456,S$9:S456),""),"")</f>
        <v/>
      </c>
      <c r="M456" s="89">
        <f>IFERROR(IF(A457&lt;&gt;A456,AVERAGEIF(A$9:A456,A456,T$9:T456),""),"")</f>
        <v/>
      </c>
      <c r="N456" s="89">
        <f t="array" ref="N456">IFERROR(IF(A457&lt;&gt;A456,_xlfn.STDEV.P(IF(A$9:A456=A456,T$9:T456)),""),"")</f>
        <v/>
      </c>
      <c r="O456" s="89">
        <f t="array" ref="O456">IFERROR(IF(A457&lt;&gt;A456,_xlfn.STDEV.P(IF(A$9:A456=A456,S$9:S456)),""),"")</f>
        <v/>
      </c>
      <c r="P456" s="90">
        <f>IFERROR(IF(A456&lt;&gt;A457,MAX((((M456*24*60)/2)*(1+POWER((((N456*24*60) / (M456*24*60) )),2))) + ((M456*24*60 )*-0.1 + (K456*0.015)) +1,(((M456*24*60)/2)*(1+POWER((((N456*24*60) / (M456*24*60 ))),2)))),""),"")</f>
        <v/>
      </c>
      <c r="Q456" s="90">
        <f>IF(AND(O456&lt;&gt;"",L456&lt;&gt;""),IF(A456&lt;&gt;A457,((L456*24*60) / 2 ) * (1 + POWER(((O456*24*60) / (L456*24*60)),2)),""),"")</f>
        <v/>
      </c>
      <c r="R456" s="90">
        <f>IF(Q456&lt;&gt;"",MAX(P456,Q456),"")</f>
        <v/>
      </c>
      <c r="S456" s="89">
        <f>IF(I456&lt;&gt;"H. Sale Real",IF(AND(I457&lt;&gt;"",LEFT(C457,2)&lt;&gt;"Va"),IF(AND(I456&lt;&gt;"",LEFT(C456,2)&lt;&gt;"Va",I456&lt;&gt;"H. Sale Real"),IF(I457-I456&lt;0.208333333333333,I457-I456,""),IF(AND(I455&lt;&gt;"",LEFT(C455,2)&lt;&gt;"Va",I455&lt;&gt;"H. Sale Real"),IF(I457-I455&lt;0.208333333333333,I457-I455,""),IF(AND(I454&lt;&gt;"",LEFT(C454,2)&lt;&gt;"Va",I454&lt;&gt;"H. Sale Real"),IF(I457-I454&lt;0.208333333333333,I457-I454,""),IF(AND(I453&lt;&gt;"",LEFT(C453,2)&lt;&gt;"Va",I453&lt;&gt;"H. Sale Real"),IF(I457-I453&lt;0.208333333333333,I457-I453,""),IF(AND(I452&lt;&gt;"",LEFT(C452,2)&lt;&gt;"Va",I452&lt;&gt;"H. Sale Real"),IF(I457-I452&lt;0.208333333333333,I457-I452,""),""))))),""),"")</f>
        <v/>
      </c>
      <c r="T456" s="89">
        <f>IF(G456&lt;&gt;"H. Sale Real",IF(AND(G457&lt;&gt;"",LEFT(C457,2)&lt;&gt;"Va"),IF(AND(G456&lt;&gt;"",LEFT(C456,2)&lt;&gt;"Va",G456&lt;&gt;"H. Sale Real"),IF(G457-G456&lt;0.208333333333333,G457-G456,""),IF(AND(G455&lt;&gt;"",LEFT(C455,2)&lt;&gt;"Va",G455&lt;&gt;"H. Sale Real"),IF(G457-G455&lt;0.208333333333333,G457-G455,""),IF(AND(G454&lt;&gt;"",LEFT(C454,2)&lt;&gt;"Va",G454&lt;&gt;"H. Sale Real"),IF(G457-G454&lt;0.208333333333333,G457-G454,""),IF(AND(G453&lt;&gt;"",LEFT(C453,2)&lt;&gt;"Va",G453&lt;&gt;"H. Sale Real"),IF(G457-G453&lt;0.208333333333333,G457-G453,""),IF(AND(G452&lt;&gt;"",LEFT(C452,2)&lt;&gt;"Va",G452&lt;&gt;"H. Sale Real"),IF(G457-G452&lt;0.208333333333333,G457-G452,""),""))))),""),"")</f>
        <v/>
      </c>
      <c r="U456" s="87" t="n"/>
      <c r="V456" s="89" t="n"/>
      <c r="W456" s="87" t="n"/>
      <c r="X456" s="89" t="n"/>
      <c r="Y456" s="91" t="n"/>
      <c r="Z456" s="122">
        <f>IF(G456&lt;&gt;"",IF(AND(Z455&lt;&gt;"IE",P456&lt;&gt;0,R456&lt;&gt;""),IF(IFERROR((P456/R456),0) &lt;=1,IFERROR(P456/R456,""),1),""),"")</f>
        <v/>
      </c>
      <c r="AA456" s="93" t="n"/>
      <c r="AB456" s="2" t="n"/>
      <c r="AE456" s="10">
        <f>HOUR(AK456)+1</f>
        <v/>
      </c>
      <c r="AF456" s="7" t="n"/>
      <c r="AG456" s="7" t="n"/>
      <c r="AH456" s="86" t="n"/>
      <c r="AI456" s="8" t="n"/>
      <c r="AJ456" s="86" t="n"/>
      <c r="AK456" s="87" t="n"/>
      <c r="AL456" s="88">
        <f>IF(AM456="","",IF(AND((AM456-AK456)&gt;=TIME(0,0,0),(AM456-AK456)&lt;TIME(0,3,0)),"OK",IF(AND((AM456-AK456)&gt;=TIME(0,3,0),(AM456-AK456)&lt;TIME(0,5,0)),"RETRASO DE 3-5 MIN",IF(AND((AM456-AK456)&gt;=TIME(0,5,0),(AM456-AK456)&lt;TIME(0,10,0)),"RETRASO DE 5-10 MIN",IF((AM456-AK456)&gt;=TIME(0,10,0),"RETRASO &gt;10 MIN", IF(AND((AK456-AM456)&gt;=TIME(0,0,0),(AK456-AM456)&lt;TIME(0,3,0)),"OK",IF((AK456-AM456)&gt;=TIME(0,3,0),"ADELANTADO")))))))</f>
        <v/>
      </c>
      <c r="AM456" s="91" t="n"/>
      <c r="AN456" s="89">
        <f>IF(AE456&lt;&gt;"",HLOOKUP(VALUE(TEXT(AK456,"h:mm:ss")),IF($C$6="Laboral",$FZ$4:$GX$227,IF($C$6="Sábado",$FZ$231:$GX$452,$FZ$456:$GX$656)),VLOOKUP($C$4,$HF$2:$HH$99,3,0)+IF(AG$5="Ida",0,1),1),"")</f>
        <v/>
      </c>
      <c r="AO456" s="89">
        <f>IF(AE457&lt;&gt;AE456,AVERAGEIF(AE$9:AE456,AE456,AN$9:AN456),"")</f>
        <v/>
      </c>
      <c r="AP456" s="89">
        <f>IFERROR(IF(AE457&lt;&gt;AE456,AVERAGEIF(AE$9:AE456,AE456,AW$9:AW456),""),"")</f>
        <v/>
      </c>
      <c r="AQ456" s="89">
        <f>IFERROR(IF(AE457&lt;&gt;AE456,AVERAGEIF(AE$9:AE456,AE456,AX$9:AX456),""),"")</f>
        <v/>
      </c>
      <c r="AR456" s="89">
        <f t="array" ref="AR456">IFERROR(IF(AE457&lt;&gt;AE456,_xlfn.STDEV.P(IF(AE$9:AE456=AE456,AX$9:AX456)),""),"")</f>
        <v/>
      </c>
      <c r="AS456" s="89">
        <f t="array" ref="AS456">IFERROR(IF(AE457&lt;&gt;AE456,_xlfn.STDEV.P(IF(AE$9:AE456=AE456,AW$9:AW456)),""),"")</f>
        <v/>
      </c>
      <c r="AT456" s="90">
        <f>IFERROR(IF(AE456&lt;&gt;AE457,MAX((((AQ456*24*60)/2)*(1+POWER((((AR456*24*60) / (AQ456*24*60) )),2))) + ((AQ456*24*60 )*-0.1 + (AO456*0.015)) +1,(((AQ456*24*60)/2)*(1+POWER((((AR456*24*60) / (AQ456*24*60 ))),2)))),""),"")</f>
        <v/>
      </c>
      <c r="AU456" s="90">
        <f>IF(AND(AS456&lt;&gt;"",AP456&lt;&gt;""),IF(AE456&lt;&gt;AE457,((AP456*24*60) / 2 ) * (1 + POWER(((AS456*24*60) / (AP456*24*60)),2)),""),"")</f>
        <v/>
      </c>
      <c r="AV456" s="90">
        <f>IF(AU456&lt;&gt;"",MAX(AT456,AU456),"")</f>
        <v/>
      </c>
      <c r="AW456" s="89">
        <f>IF(AM456&lt;&gt;"H. Sale Real",IF(AND(AM457&lt;&gt;"",LEFT(AG457,2)&lt;&gt;"Va"),IF(AND(AM456&lt;&gt;"",LEFT(AG456,2)&lt;&gt;"Va",AM456&lt;&gt;"H. Sale Real"),IF(AM457-AM456&lt;0.208333333333333,AM457-AM456,""),IF(AND(AM455&lt;&gt;"",LEFT(AG455,2)&lt;&gt;"Va",AM455&lt;&gt;"H. Sale Real"),IF(AM457-AM455&lt;0.208333333333333,AM457-AM455,""),IF(AND(AM454&lt;&gt;"",LEFT(AG454,2)&lt;&gt;"Va",AM454&lt;&gt;"H. Sale Real"),IF(AM457-AM454&lt;0.208333333333333,AM457-AM454,""),IF(AND(AM453&lt;&gt;"",LEFT(AG453,2)&lt;&gt;"Va",AM453&lt;&gt;"H. Sale Real"),IF(AM457-AM453&lt;0.208333333333333,AM457-AM453,""),IF(AND(AM452&lt;&gt;"",LEFT(AG452,2)&lt;&gt;"Va",AM452&lt;&gt;"H. Sale Real"),IF(AM457-AM452&lt;0.208333333333333,AM457-AM452,""),""))))),""),"")</f>
        <v/>
      </c>
      <c r="AX456" s="89">
        <f>IF(AK456&lt;&gt;"H. Sale Real",IF(AND(AK457&lt;&gt;"",LEFT(AG457,2)&lt;&gt;"Va"),IF(AND(AK456&lt;&gt;"",LEFT(AG456,2)&lt;&gt;"Va",AK456&lt;&gt;"H. Sale Real"),IF(AK457-AK456&lt;0.208333333333333,AK457-AK456,""),IF(AND(AK455&lt;&gt;"",LEFT(AG455,2)&lt;&gt;"Va",AK455&lt;&gt;"H. Sale Real"),IF(AK457-AK455&lt;0.208333333333333,AK457-AK455,""),IF(AND(AK454&lt;&gt;"",LEFT(AG454,2)&lt;&gt;"NC",AK454&lt;&gt;"H. Sale Real"),IF(AK457-AK454&lt;0.208333333333333,AK457-AK454,""),IF(AND(AK453&lt;&gt;"",LEFT(AG453,2)&lt;&gt;"Va",AK453&lt;&gt;"H. Sale Real"),IF(AK457-AK453&lt;0.208333333333333,AK457-AK453,""),IF(AND(AK452&lt;&gt;"",LEFT(AG452,2)&lt;&gt;"Va",AK452&lt;&gt;"H. Sale Real"),IF(AK457-AK452&lt;0.208333333333333,AK457-AK452,""),""))))),""),"")</f>
        <v/>
      </c>
      <c r="AY456" s="87" t="n"/>
      <c r="AZ456" s="89" t="n"/>
      <c r="BA456" s="87" t="n"/>
      <c r="BB456" s="89" t="n"/>
      <c r="BC456" s="91" t="n"/>
      <c r="BD456" s="122">
        <f>IF(AK456&lt;&gt;"",IF(AND(BD455&lt;&gt;"IE",AT456&lt;&gt;0,AV456&lt;&gt;""),IF(IFERROR((AT456/AV456),0) &lt;=1,IFERROR(AT456/AV456,""),1),""),"")</f>
        <v/>
      </c>
      <c r="BE456" s="93" t="n"/>
      <c r="BF456" s="105" t="n"/>
      <c r="FC456" t="inlineStr">
        <is>
          <t>Diccionario 1</t>
        </is>
      </c>
      <c r="FD456" s="15" t="inlineStr"/>
      <c r="FE456" s="15" t="inlineStr">
        <is>
          <t>LDYECS834S0045619</t>
        </is>
      </c>
      <c r="FF456" s="15" t="inlineStr">
        <is>
          <t>MJJ2002503018</t>
        </is>
      </c>
      <c r="FG456" s="15" t="inlineStr">
        <is>
          <t>Zhong Tong</t>
        </is>
      </c>
      <c r="FH456" s="15" t="inlineStr">
        <is>
          <t>LCK6850evg</t>
        </is>
      </c>
      <c r="FI456" s="15" t="inlineStr">
        <is>
          <t>ZHONGTONG</t>
        </is>
      </c>
      <c r="FJ456" s="15" t="inlineStr">
        <is>
          <t>LCK6850evg</t>
        </is>
      </c>
      <c r="FK456" s="15" t="n">
        <v>2025</v>
      </c>
      <c r="FL456" s="15" t="inlineStr">
        <is>
          <t>A</t>
        </is>
      </c>
      <c r="FM456" s="15" t="inlineStr">
        <is>
          <t>CERRILLOS</t>
        </is>
      </c>
      <c r="FN456" s="15" t="inlineStr">
        <is>
          <t>Calle Uno 7371</t>
        </is>
      </c>
      <c r="FO456" s="15" t="inlineStr">
        <is>
          <t>Cerrillos</t>
        </is>
      </c>
      <c r="FP456" t="inlineStr">
        <is>
          <t>A</t>
        </is>
      </c>
      <c r="FS456" s="14" t="inlineStr">
        <is>
          <t>9951 / TBZB-24|</t>
        </is>
      </c>
      <c r="FT456" t="inlineStr">
        <is>
          <t>TBZB-24|</t>
        </is>
      </c>
      <c r="FU456" t="inlineStr">
        <is>
          <t>TBZB-24</t>
        </is>
      </c>
      <c r="FV456">
        <f>VLOOKUP(FU456,FD:FL,9,0)</f>
        <v/>
      </c>
      <c r="FZ456" s="50" t="inlineStr">
        <is>
          <t>MH</t>
        </is>
      </c>
      <c r="GA456" s="39" t="n">
        <v>0</v>
      </c>
      <c r="GB456" s="39" t="n">
        <v>0.04166666666666666</v>
      </c>
      <c r="GC456" s="39" t="n">
        <v>0.08333333333333333</v>
      </c>
      <c r="GD456" s="39" t="n">
        <v>0.125</v>
      </c>
      <c r="GE456" s="39" t="n">
        <v>0.1666666666666667</v>
      </c>
      <c r="GF456" s="39" t="n">
        <v>0.2083333333333333</v>
      </c>
      <c r="GG456" s="39" t="n">
        <v>0.25</v>
      </c>
      <c r="GH456" s="39" t="n">
        <v>0.2916666666666667</v>
      </c>
      <c r="GI456" s="39" t="n">
        <v>0.3333333333333333</v>
      </c>
      <c r="GJ456" s="39" t="n">
        <v>0.375</v>
      </c>
      <c r="GK456" s="39" t="n">
        <v>0.4166666666666667</v>
      </c>
      <c r="GL456" s="39" t="n">
        <v>0.4583333333333333</v>
      </c>
      <c r="GM456" s="39" t="n">
        <v>0.5</v>
      </c>
      <c r="GN456" s="39" t="n">
        <v>0.5416666666666666</v>
      </c>
      <c r="GO456" s="39" t="n">
        <v>0.5833333333333334</v>
      </c>
      <c r="GP456" s="39" t="n">
        <v>0.625</v>
      </c>
      <c r="GQ456" s="39" t="n">
        <v>0.6666666666666666</v>
      </c>
      <c r="GR456" s="39" t="n">
        <v>0.7083333333333334</v>
      </c>
      <c r="GS456" s="39" t="n">
        <v>0.75</v>
      </c>
      <c r="GT456" s="39" t="n">
        <v>0.7916666666666666</v>
      </c>
      <c r="GU456" s="39" t="n">
        <v>0.8333333333333334</v>
      </c>
      <c r="GV456" s="39" t="n">
        <v>0.875</v>
      </c>
      <c r="GW456" s="39" t="n">
        <v>0.9166666666666666</v>
      </c>
      <c r="GX456" s="39" t="n">
        <v>0.9583333333333334</v>
      </c>
      <c r="GY456" s="37" t="n"/>
      <c r="GZ456" s="37" t="n"/>
      <c r="HA456" s="35" t="n">
        <v>1</v>
      </c>
      <c r="HB456" s="35" t="n">
        <v>450</v>
      </c>
      <c r="HC456" s="37" t="n"/>
      <c r="HD456" s="37" t="n"/>
    </row>
    <row r="457" ht="15.5" customHeight="1">
      <c r="A457" s="10">
        <f>HOUR(G457)+1</f>
        <v/>
      </c>
      <c r="B457" s="7" t="n"/>
      <c r="C457" s="7" t="n"/>
      <c r="D457" s="85">
        <f>IFERROR(
IF(AND(OR(Planilla!B457="C",Planilla!B457="c"), VLOOKUP(E457,FD:FP,13,0)="C"), "OK",IF(AND(OR(Planilla!B457="C",Planilla!B457="c"), OR(VLOOKUP(E457,FD:FP,13,0)="B", VLOOKUP(E457,FD:FP,13,0)="A")), "DEFICIT",IF(
AND(OR(Planilla!B457="B", Planilla!B457="BPAL"), VLOOKUP(E457,FD:FP,13,0)="B"), "OK",IF(AND(OR(Planilla!B457="B", Planilla!B457="BPAL"), VLOOKUP(E457,FD:FP,13,0)="A"), "DEFICIT",IF(AND(OR(Planilla!B457="B", Planilla!B457="BPAL"), VLOOKUP(E457,FD:FP,13,0)="C"), "SOBREOFERTA",IF(AND(Planilla!B457="A", VLOOKUP(E457,FD:FP,13,0)="A"), "OK",IF(
AND(Planilla!B457="A", OR(VLOOKUP(E457,FD:FP,13,0)="B", VLOOKUP(E457,FD:FP,13,0)="C")), "SOBREOFERTA",""
))))))),"")</f>
        <v/>
      </c>
      <c r="E457" s="8" t="n"/>
      <c r="F457" s="86" t="n"/>
      <c r="G457" s="87" t="n"/>
      <c r="H457" s="88">
        <f>IF(I457="","",IF(AND((I457-G457)&gt;=TIME(0,0,0),(I457-G457)&lt;TIME(0,3,0)),"OK",IF(AND((I457-G457)&gt;=TIME(0,3,0),(I457-G457)&lt;TIME(0,5,0)),"RETRASO DE 3-5 MIN",IF(AND((I457-G457)&gt;=TIME(0,5,0),(I457-G457)&lt;TIME(0,10,0)),"RETRASO DE 5-10 MIN",IF((I457-G457)&gt;=TIME(0,10,0),"RETRASO &gt;10 MIN", IF(AND((G457-I457)&gt;=TIME(0,0,0),(G457-I457)&lt;TIME(0,3,0)),"OK",IF((G457-I457)&gt;=TIME(0,3,0),"ADELANTADO")))))))</f>
        <v/>
      </c>
      <c r="I457" s="89" t="n"/>
      <c r="J457" s="89">
        <f>IF(A457&lt;&gt;"",HLOOKUP(VALUE(TEXT(G457,"h:mm:ss")),IF($C$6="Laboral",$FZ$4:$GX$227,IF($C$6="Sábado",$FZ$231:$GX$452,$FZ$456:$GX$656)),VLOOKUP($C$4,$HF$2:$HH$99,3,0)+IF(C$5="Ida",0,1),1),"")</f>
        <v/>
      </c>
      <c r="K457" s="89">
        <f>IF(A458&lt;&gt;A457,AVERAGEIF(A$9:A457,A457,J$9:J457),"")</f>
        <v/>
      </c>
      <c r="L457" s="89">
        <f>IFERROR(IF(A458&lt;&gt;A457,AVERAGEIF(A$9:A457,A457,S$9:S457),""),"")</f>
        <v/>
      </c>
      <c r="M457" s="89">
        <f>IFERROR(IF(A458&lt;&gt;A457,AVERAGEIF(A$9:A457,A457,T$9:T457),""),"")</f>
        <v/>
      </c>
      <c r="N457" s="89">
        <f t="array" ref="N457">IFERROR(IF(A458&lt;&gt;A457,_xlfn.STDEV.P(IF(A$9:A457=A457,T$9:T457)),""),"")</f>
        <v/>
      </c>
      <c r="O457" s="89">
        <f t="array" ref="O457">IFERROR(IF(A458&lt;&gt;A457,_xlfn.STDEV.P(IF(A$9:A457=A457,S$9:S457)),""),"")</f>
        <v/>
      </c>
      <c r="P457" s="90">
        <f>IFERROR(IF(A457&lt;&gt;A458,MAX((((M457*24*60)/2)*(1+POWER((((N457*24*60) / (M457*24*60) )),2))) + ((M457*24*60 )*-0.1 + (K457*0.015)) +1,(((M457*24*60)/2)*(1+POWER((((N457*24*60) / (M457*24*60 ))),2)))),""),"")</f>
        <v/>
      </c>
      <c r="Q457" s="90">
        <f>IF(AND(O457&lt;&gt;"",L457&lt;&gt;""),IF(A457&lt;&gt;A458,((L457*24*60) / 2 ) * (1 + POWER(((O457*24*60) / (L457*24*60)),2)),""),"")</f>
        <v/>
      </c>
      <c r="R457" s="90">
        <f>IF(Q457&lt;&gt;"",MAX(P457,Q457),"")</f>
        <v/>
      </c>
      <c r="S457" s="89">
        <f>IF(I457&lt;&gt;"H. Sale Real",IF(AND(I458&lt;&gt;"",LEFT(C458,2)&lt;&gt;"Va"),IF(AND(I457&lt;&gt;"",LEFT(C457,2)&lt;&gt;"Va",I457&lt;&gt;"H. Sale Real"),IF(I458-I457&lt;0.208333333333333,I458-I457,""),IF(AND(I456&lt;&gt;"",LEFT(C456,2)&lt;&gt;"Va",I456&lt;&gt;"H. Sale Real"),IF(I458-I456&lt;0.208333333333333,I458-I456,""),IF(AND(I455&lt;&gt;"",LEFT(C455,2)&lt;&gt;"Va",I455&lt;&gt;"H. Sale Real"),IF(I458-I455&lt;0.208333333333333,I458-I455,""),IF(AND(I454&lt;&gt;"",LEFT(C454,2)&lt;&gt;"Va",I454&lt;&gt;"H. Sale Real"),IF(I458-I454&lt;0.208333333333333,I458-I454,""),IF(AND(I453&lt;&gt;"",LEFT(C453,2)&lt;&gt;"Va",I453&lt;&gt;"H. Sale Real"),IF(I458-I453&lt;0.208333333333333,I458-I453,""),""))))),""),"")</f>
        <v/>
      </c>
      <c r="T457" s="89">
        <f>IF(G457&lt;&gt;"H. Sale Real",IF(AND(G458&lt;&gt;"",LEFT(C458,2)&lt;&gt;"Va"),IF(AND(G457&lt;&gt;"",LEFT(C457,2)&lt;&gt;"Va",G457&lt;&gt;"H. Sale Real"),IF(G458-G457&lt;0.208333333333333,G458-G457,""),IF(AND(G456&lt;&gt;"",LEFT(C456,2)&lt;&gt;"Va",G456&lt;&gt;"H. Sale Real"),IF(G458-G456&lt;0.208333333333333,G458-G456,""),IF(AND(G455&lt;&gt;"",LEFT(C455,2)&lt;&gt;"Va",G455&lt;&gt;"H. Sale Real"),IF(G458-G455&lt;0.208333333333333,G458-G455,""),IF(AND(G454&lt;&gt;"",LEFT(C454,2)&lt;&gt;"Va",G454&lt;&gt;"H. Sale Real"),IF(G458-G454&lt;0.208333333333333,G458-G454,""),IF(AND(G453&lt;&gt;"",LEFT(C453,2)&lt;&gt;"Va",G453&lt;&gt;"H. Sale Real"),IF(G458-G453&lt;0.208333333333333,G458-G453,""),""))))),""),"")</f>
        <v/>
      </c>
      <c r="U457" s="87" t="n"/>
      <c r="V457" s="89" t="n"/>
      <c r="W457" s="87" t="n"/>
      <c r="X457" s="89" t="n"/>
      <c r="Y457" s="91" t="n"/>
      <c r="Z457" s="122">
        <f>IF(G457&lt;&gt;"",IF(AND(Z456&lt;&gt;"IE",P457&lt;&gt;0,R457&lt;&gt;""),IF(IFERROR((P457/R457),0) &lt;=1,IFERROR(P457/R457,""),1),""),"")</f>
        <v/>
      </c>
      <c r="AA457" s="93" t="n"/>
      <c r="AB457" s="2" t="n"/>
      <c r="AE457" s="10">
        <f>HOUR(AK457)+1</f>
        <v/>
      </c>
      <c r="AF457" s="7" t="n"/>
      <c r="AG457" s="7" t="n"/>
      <c r="AH457" s="86" t="n"/>
      <c r="AI457" s="8" t="n"/>
      <c r="AJ457" s="86" t="n"/>
      <c r="AK457" s="87" t="n"/>
      <c r="AL457" s="88">
        <f>IF(AM457="","",IF(AND((AM457-AK457)&gt;=TIME(0,0,0),(AM457-AK457)&lt;TIME(0,3,0)),"OK",IF(AND((AM457-AK457)&gt;=TIME(0,3,0),(AM457-AK457)&lt;TIME(0,5,0)),"RETRASO DE 3-5 MIN",IF(AND((AM457-AK457)&gt;=TIME(0,5,0),(AM457-AK457)&lt;TIME(0,10,0)),"RETRASO DE 5-10 MIN",IF((AM457-AK457)&gt;=TIME(0,10,0),"RETRASO &gt;10 MIN", IF(AND((AK457-AM457)&gt;=TIME(0,0,0),(AK457-AM457)&lt;TIME(0,3,0)),"OK",IF((AK457-AM457)&gt;=TIME(0,3,0),"ADELANTADO")))))))</f>
        <v/>
      </c>
      <c r="AM457" s="91" t="n"/>
      <c r="AN457" s="89">
        <f>IF(AE457&lt;&gt;"",HLOOKUP(VALUE(TEXT(AK457,"h:mm:ss")),IF($C$6="Laboral",$FZ$4:$GX$227,IF($C$6="Sábado",$FZ$231:$GX$452,$FZ$456:$GX$656)),VLOOKUP($C$4,$HF$2:$HH$99,3,0)+IF(AG$5="Ida",0,1),1),"")</f>
        <v/>
      </c>
      <c r="AO457" s="89">
        <f>IF(AE458&lt;&gt;AE457,AVERAGEIF(AE$9:AE457,AE457,AN$9:AN457),"")</f>
        <v/>
      </c>
      <c r="AP457" s="89">
        <f>IFERROR(IF(AE458&lt;&gt;AE457,AVERAGEIF(AE$9:AE457,AE457,AW$9:AW457),""),"")</f>
        <v/>
      </c>
      <c r="AQ457" s="89">
        <f>IFERROR(IF(AE458&lt;&gt;AE457,AVERAGEIF(AE$9:AE457,AE457,AX$9:AX457),""),"")</f>
        <v/>
      </c>
      <c r="AR457" s="89">
        <f t="array" ref="AR457">IFERROR(IF(AE458&lt;&gt;AE457,_xlfn.STDEV.P(IF(AE$9:AE457=AE457,AX$9:AX457)),""),"")</f>
        <v/>
      </c>
      <c r="AS457" s="89">
        <f t="array" ref="AS457">IFERROR(IF(AE458&lt;&gt;AE457,_xlfn.STDEV.P(IF(AE$9:AE457=AE457,AW$9:AW457)),""),"")</f>
        <v/>
      </c>
      <c r="AT457" s="90">
        <f>IFERROR(IF(AE457&lt;&gt;AE458,MAX((((AQ457*24*60)/2)*(1+POWER((((AR457*24*60) / (AQ457*24*60) )),2))) + ((AQ457*24*60 )*-0.1 + (AO457*0.015)) +1,(((AQ457*24*60)/2)*(1+POWER((((AR457*24*60) / (AQ457*24*60 ))),2)))),""),"")</f>
        <v/>
      </c>
      <c r="AU457" s="90">
        <f>IF(AND(AS457&lt;&gt;"",AP457&lt;&gt;""),IF(AE457&lt;&gt;AE458,((AP457*24*60) / 2 ) * (1 + POWER(((AS457*24*60) / (AP457*24*60)),2)),""),"")</f>
        <v/>
      </c>
      <c r="AV457" s="90">
        <f>IF(AU457&lt;&gt;"",MAX(AT457,AU457),"")</f>
        <v/>
      </c>
      <c r="AW457" s="89">
        <f>IF(AM457&lt;&gt;"H. Sale Real",IF(AND(AM458&lt;&gt;"",LEFT(AG458,2)&lt;&gt;"Va"),IF(AND(AM457&lt;&gt;"",LEFT(AG457,2)&lt;&gt;"Va",AM457&lt;&gt;"H. Sale Real"),IF(AM458-AM457&lt;0.208333333333333,AM458-AM457,""),IF(AND(AM456&lt;&gt;"",LEFT(AG456,2)&lt;&gt;"Va",AM456&lt;&gt;"H. Sale Real"),IF(AM458-AM456&lt;0.208333333333333,AM458-AM456,""),IF(AND(AM455&lt;&gt;"",LEFT(AG455,2)&lt;&gt;"Va",AM455&lt;&gt;"H. Sale Real"),IF(AM458-AM455&lt;0.208333333333333,AM458-AM455,""),IF(AND(AM454&lt;&gt;"",LEFT(AG454,2)&lt;&gt;"Va",AM454&lt;&gt;"H. Sale Real"),IF(AM458-AM454&lt;0.208333333333333,AM458-AM454,""),IF(AND(AM453&lt;&gt;"",LEFT(AG453,2)&lt;&gt;"Va",AM453&lt;&gt;"H. Sale Real"),IF(AM458-AM453&lt;0.208333333333333,AM458-AM453,""),""))))),""),"")</f>
        <v/>
      </c>
      <c r="AX457" s="89">
        <f>IF(AK457&lt;&gt;"H. Sale Real",IF(AND(AK458&lt;&gt;"",LEFT(AG458,2)&lt;&gt;"Va"),IF(AND(AK457&lt;&gt;"",LEFT(AG457,2)&lt;&gt;"Va",AK457&lt;&gt;"H. Sale Real"),IF(AK458-AK457&lt;0.208333333333333,AK458-AK457,""),IF(AND(AK456&lt;&gt;"",LEFT(AG456,2)&lt;&gt;"Va",AK456&lt;&gt;"H. Sale Real"),IF(AK458-AK456&lt;0.208333333333333,AK458-AK456,""),IF(AND(AK455&lt;&gt;"",LEFT(AG455,2)&lt;&gt;"NC",AK455&lt;&gt;"H. Sale Real"),IF(AK458-AK455&lt;0.208333333333333,AK458-AK455,""),IF(AND(AK454&lt;&gt;"",LEFT(AG454,2)&lt;&gt;"Va",AK454&lt;&gt;"H. Sale Real"),IF(AK458-AK454&lt;0.208333333333333,AK458-AK454,""),IF(AND(AK453&lt;&gt;"",LEFT(AG453,2)&lt;&gt;"Va",AK453&lt;&gt;"H. Sale Real"),IF(AK458-AK453&lt;0.208333333333333,AK458-AK453,""),""))))),""),"")</f>
        <v/>
      </c>
      <c r="AY457" s="87" t="n"/>
      <c r="AZ457" s="89" t="n"/>
      <c r="BA457" s="87" t="n"/>
      <c r="BB457" s="89" t="n"/>
      <c r="BC457" s="91" t="n"/>
      <c r="BD457" s="122">
        <f>IF(AK457&lt;&gt;"",IF(AND(BD456&lt;&gt;"IE",AT457&lt;&gt;0,AV457&lt;&gt;""),IF(IFERROR((AT457/AV457),0) &lt;=1,IFERROR(AT457/AV457,""),1),""),"")</f>
        <v/>
      </c>
      <c r="BE457" s="93" t="n"/>
      <c r="BF457" s="105" t="n"/>
      <c r="FC457" t="inlineStr">
        <is>
          <t>Diccionario 1</t>
        </is>
      </c>
      <c r="FD457" s="15" t="inlineStr"/>
      <c r="FE457" s="15" t="inlineStr">
        <is>
          <t>LDYECS83XS0045608</t>
        </is>
      </c>
      <c r="FF457" s="15" t="inlineStr">
        <is>
          <t>MJJ20025030023</t>
        </is>
      </c>
      <c r="FG457" s="15" t="inlineStr">
        <is>
          <t>Zhong Tong</t>
        </is>
      </c>
      <c r="FH457" s="15" t="inlineStr">
        <is>
          <t>LCK6850evg</t>
        </is>
      </c>
      <c r="FI457" s="15" t="inlineStr">
        <is>
          <t>ZHONGTONG</t>
        </is>
      </c>
      <c r="FJ457" s="15" t="inlineStr">
        <is>
          <t>LCK6850evg</t>
        </is>
      </c>
      <c r="FK457" s="15" t="n">
        <v>2025</v>
      </c>
      <c r="FL457" s="15" t="inlineStr">
        <is>
          <t>A</t>
        </is>
      </c>
      <c r="FM457" s="15" t="inlineStr">
        <is>
          <t>CERRILLOS</t>
        </is>
      </c>
      <c r="FN457" s="15" t="inlineStr">
        <is>
          <t>Calle Uno 7371</t>
        </is>
      </c>
      <c r="FO457" s="15" t="inlineStr">
        <is>
          <t>Cerrillos</t>
        </is>
      </c>
      <c r="FP457" t="inlineStr">
        <is>
          <t>A</t>
        </is>
      </c>
      <c r="FS457" s="14" t="inlineStr">
        <is>
          <t>9951 / TBZB-24|</t>
        </is>
      </c>
      <c r="FT457" t="inlineStr">
        <is>
          <t>TBZB-24|</t>
        </is>
      </c>
      <c r="FU457" t="inlineStr">
        <is>
          <t>TBZB-24</t>
        </is>
      </c>
      <c r="FV457">
        <f>VLOOKUP(FU457,FD:FL,9,0)</f>
        <v/>
      </c>
      <c r="FZ457" s="50" t="inlineStr">
        <is>
          <t>LP</t>
        </is>
      </c>
      <c r="GA457" s="41" t="n">
        <v>1</v>
      </c>
      <c r="GB457" s="41" t="n">
        <v>1</v>
      </c>
      <c r="GC457" s="41" t="n">
        <v>1</v>
      </c>
      <c r="GD457" s="41" t="n">
        <v>1</v>
      </c>
      <c r="GE457" s="41" t="n">
        <v>1</v>
      </c>
      <c r="GF457" s="41" t="n">
        <v>1</v>
      </c>
      <c r="GG457" s="41" t="n">
        <v>1</v>
      </c>
      <c r="GH457" s="41" t="n">
        <v>1</v>
      </c>
      <c r="GI457" s="41" t="n">
        <v>1</v>
      </c>
      <c r="GJ457" s="41" t="n">
        <v>1</v>
      </c>
      <c r="GK457" s="41" t="n">
        <v>1</v>
      </c>
      <c r="GL457" s="41" t="n">
        <v>1</v>
      </c>
      <c r="GM457" s="41" t="n">
        <v>1</v>
      </c>
      <c r="GN457" s="41" t="n">
        <v>1</v>
      </c>
      <c r="GO457" s="41" t="n">
        <v>1</v>
      </c>
      <c r="GP457" s="41" t="n">
        <v>1</v>
      </c>
      <c r="GQ457" s="41" t="n">
        <v>1</v>
      </c>
      <c r="GR457" s="41" t="n">
        <v>1</v>
      </c>
      <c r="GS457" s="41" t="n">
        <v>1</v>
      </c>
      <c r="GT457" s="41" t="n">
        <v>1</v>
      </c>
      <c r="GU457" s="41" t="n">
        <v>1</v>
      </c>
      <c r="GV457" s="41" t="n">
        <v>1</v>
      </c>
      <c r="GW457" s="41" t="n">
        <v>1</v>
      </c>
      <c r="GX457" s="41" t="n">
        <v>1</v>
      </c>
      <c r="GY457" s="37" t="n"/>
      <c r="GZ457" s="37" t="n"/>
      <c r="HA457" s="35" t="n">
        <v>2</v>
      </c>
      <c r="HB457" s="35" t="n">
        <v>451</v>
      </c>
      <c r="HC457" s="37" t="n"/>
      <c r="HD457" s="37" t="n"/>
    </row>
    <row r="458" ht="15.5" customHeight="1">
      <c r="A458" s="10">
        <f>HOUR(G458)+1</f>
        <v/>
      </c>
      <c r="B458" s="7" t="n"/>
      <c r="C458" s="7" t="n"/>
      <c r="D458" s="85">
        <f>IFERROR(
IF(AND(OR(Planilla!B458="C",Planilla!B458="c"), VLOOKUP(E458,FD:FP,13,0)="C"), "OK",IF(AND(OR(Planilla!B458="C",Planilla!B458="c"), OR(VLOOKUP(E458,FD:FP,13,0)="B", VLOOKUP(E458,FD:FP,13,0)="A")), "DEFICIT",IF(
AND(OR(Planilla!B458="B", Planilla!B458="BPAL"), VLOOKUP(E458,FD:FP,13,0)="B"), "OK",IF(AND(OR(Planilla!B458="B", Planilla!B458="BPAL"), VLOOKUP(E458,FD:FP,13,0)="A"), "DEFICIT",IF(AND(OR(Planilla!B458="B", Planilla!B458="BPAL"), VLOOKUP(E458,FD:FP,13,0)="C"), "SOBREOFERTA",IF(AND(Planilla!B458="A", VLOOKUP(E458,FD:FP,13,0)="A"), "OK",IF(
AND(Planilla!B458="A", OR(VLOOKUP(E458,FD:FP,13,0)="B", VLOOKUP(E458,FD:FP,13,0)="C")), "SOBREOFERTA",""
))))))),"")</f>
        <v/>
      </c>
      <c r="E458" s="8" t="n"/>
      <c r="F458" s="86" t="n"/>
      <c r="G458" s="87" t="n"/>
      <c r="H458" s="88">
        <f>IF(I458="","",IF(AND((I458-G458)&gt;=TIME(0,0,0),(I458-G458)&lt;TIME(0,3,0)),"OK",IF(AND((I458-G458)&gt;=TIME(0,3,0),(I458-G458)&lt;TIME(0,5,0)),"RETRASO DE 3-5 MIN",IF(AND((I458-G458)&gt;=TIME(0,5,0),(I458-G458)&lt;TIME(0,10,0)),"RETRASO DE 5-10 MIN",IF((I458-G458)&gt;=TIME(0,10,0),"RETRASO &gt;10 MIN", IF(AND((G458-I458)&gt;=TIME(0,0,0),(G458-I458)&lt;TIME(0,3,0)),"OK",IF((G458-I458)&gt;=TIME(0,3,0),"ADELANTADO")))))))</f>
        <v/>
      </c>
      <c r="I458" s="89" t="n"/>
      <c r="J458" s="89">
        <f>IF(A458&lt;&gt;"",HLOOKUP(VALUE(TEXT(G458,"h:mm:ss")),IF($C$6="Laboral",$FZ$4:$GX$227,IF($C$6="Sábado",$FZ$231:$GX$452,$FZ$456:$GX$656)),VLOOKUP($C$4,$HF$2:$HH$99,3,0)+IF(C$5="Ida",0,1),1),"")</f>
        <v/>
      </c>
      <c r="K458" s="89">
        <f>IF(A459&lt;&gt;A458,AVERAGEIF(A$9:A458,A458,J$9:J458),"")</f>
        <v/>
      </c>
      <c r="L458" s="89">
        <f>IFERROR(IF(A459&lt;&gt;A458,AVERAGEIF(A$9:A458,A458,S$9:S458),""),"")</f>
        <v/>
      </c>
      <c r="M458" s="89">
        <f>IFERROR(IF(A459&lt;&gt;A458,AVERAGEIF(A$9:A458,A458,T$9:T458),""),"")</f>
        <v/>
      </c>
      <c r="N458" s="89">
        <f t="array" ref="N458">IFERROR(IF(A459&lt;&gt;A458,_xlfn.STDEV.P(IF(A$9:A458=A458,T$9:T458)),""),"")</f>
        <v/>
      </c>
      <c r="O458" s="89">
        <f t="array" ref="O458">IFERROR(IF(A459&lt;&gt;A458,_xlfn.STDEV.P(IF(A$9:A458=A458,S$9:S458)),""),"")</f>
        <v/>
      </c>
      <c r="P458" s="90">
        <f>IFERROR(IF(A458&lt;&gt;A459,MAX((((M458*24*60)/2)*(1+POWER((((N458*24*60) / (M458*24*60) )),2))) + ((M458*24*60 )*-0.1 + (K458*0.015)) +1,(((M458*24*60)/2)*(1+POWER((((N458*24*60) / (M458*24*60 ))),2)))),""),"")</f>
        <v/>
      </c>
      <c r="Q458" s="90">
        <f>IF(AND(O458&lt;&gt;"",L458&lt;&gt;""),IF(A458&lt;&gt;A459,((L458*24*60) / 2 ) * (1 + POWER(((O458*24*60) / (L458*24*60)),2)),""),"")</f>
        <v/>
      </c>
      <c r="R458" s="90">
        <f>IF(Q458&lt;&gt;"",MAX(P458,Q458),"")</f>
        <v/>
      </c>
      <c r="S458" s="89">
        <f>IF(I458&lt;&gt;"H. Sale Real",IF(AND(I459&lt;&gt;"",LEFT(C459,2)&lt;&gt;"Va"),IF(AND(I458&lt;&gt;"",LEFT(C458,2)&lt;&gt;"Va",I458&lt;&gt;"H. Sale Real"),IF(I459-I458&lt;0.208333333333333,I459-I458,""),IF(AND(I457&lt;&gt;"",LEFT(C457,2)&lt;&gt;"Va",I457&lt;&gt;"H. Sale Real"),IF(I459-I457&lt;0.208333333333333,I459-I457,""),IF(AND(I456&lt;&gt;"",LEFT(C456,2)&lt;&gt;"Va",I456&lt;&gt;"H. Sale Real"),IF(I459-I456&lt;0.208333333333333,I459-I456,""),IF(AND(I455&lt;&gt;"",LEFT(C455,2)&lt;&gt;"Va",I455&lt;&gt;"H. Sale Real"),IF(I459-I455&lt;0.208333333333333,I459-I455,""),IF(AND(I454&lt;&gt;"",LEFT(C454,2)&lt;&gt;"Va",I454&lt;&gt;"H. Sale Real"),IF(I459-I454&lt;0.208333333333333,I459-I454,""),""))))),""),"")</f>
        <v/>
      </c>
      <c r="T458" s="89">
        <f>IF(G458&lt;&gt;"H. Sale Real",IF(AND(G459&lt;&gt;"",LEFT(C459,2)&lt;&gt;"Va"),IF(AND(G458&lt;&gt;"",LEFT(C458,2)&lt;&gt;"Va",G458&lt;&gt;"H. Sale Real"),IF(G459-G458&lt;0.208333333333333,G459-G458,""),IF(AND(G457&lt;&gt;"",LEFT(C457,2)&lt;&gt;"Va",G457&lt;&gt;"H. Sale Real"),IF(G459-G457&lt;0.208333333333333,G459-G457,""),IF(AND(G456&lt;&gt;"",LEFT(C456,2)&lt;&gt;"Va",G456&lt;&gt;"H. Sale Real"),IF(G459-G456&lt;0.208333333333333,G459-G456,""),IF(AND(G455&lt;&gt;"",LEFT(C455,2)&lt;&gt;"Va",G455&lt;&gt;"H. Sale Real"),IF(G459-G455&lt;0.208333333333333,G459-G455,""),IF(AND(G454&lt;&gt;"",LEFT(C454,2)&lt;&gt;"Va",G454&lt;&gt;"H. Sale Real"),IF(G459-G454&lt;0.208333333333333,G459-G454,""),""))))),""),"")</f>
        <v/>
      </c>
      <c r="U458" s="87" t="n"/>
      <c r="V458" s="89" t="n"/>
      <c r="W458" s="87" t="n"/>
      <c r="X458" s="89" t="n"/>
      <c r="Y458" s="91" t="n"/>
      <c r="Z458" s="122">
        <f>IF(G458&lt;&gt;"",IF(AND(Z457&lt;&gt;"IE",P458&lt;&gt;0,R458&lt;&gt;""),IF(IFERROR((P458/R458),0) &lt;=1,IFERROR(P458/R458,""),1),""),"")</f>
        <v/>
      </c>
      <c r="AA458" s="93" t="n"/>
      <c r="AB458" s="2" t="n"/>
      <c r="AE458" s="10">
        <f>HOUR(AK458)+1</f>
        <v/>
      </c>
      <c r="AF458" s="7" t="n"/>
      <c r="AG458" s="7" t="n"/>
      <c r="AH458" s="86" t="n"/>
      <c r="AI458" s="8" t="n"/>
      <c r="AJ458" s="86" t="n"/>
      <c r="AK458" s="87" t="n"/>
      <c r="AL458" s="88">
        <f>IF(AM458="","",IF(AND((AM458-AK458)&gt;=TIME(0,0,0),(AM458-AK458)&lt;TIME(0,3,0)),"OK",IF(AND((AM458-AK458)&gt;=TIME(0,3,0),(AM458-AK458)&lt;TIME(0,5,0)),"RETRASO DE 3-5 MIN",IF(AND((AM458-AK458)&gt;=TIME(0,5,0),(AM458-AK458)&lt;TIME(0,10,0)),"RETRASO DE 5-10 MIN",IF((AM458-AK458)&gt;=TIME(0,10,0),"RETRASO &gt;10 MIN", IF(AND((AK458-AM458)&gt;=TIME(0,0,0),(AK458-AM458)&lt;TIME(0,3,0)),"OK",IF((AK458-AM458)&gt;=TIME(0,3,0),"ADELANTADO")))))))</f>
        <v/>
      </c>
      <c r="AM458" s="91" t="n"/>
      <c r="AN458" s="89">
        <f>IF(AE458&lt;&gt;"",HLOOKUP(VALUE(TEXT(AK458,"h:mm:ss")),IF($C$6="Laboral",$FZ$4:$GX$227,IF($C$6="Sábado",$FZ$231:$GX$452,$FZ$456:$GX$656)),VLOOKUP($C$4,$HF$2:$HH$99,3,0)+IF(AG$5="Ida",0,1),1),"")</f>
        <v/>
      </c>
      <c r="AO458" s="89">
        <f>IF(AE459&lt;&gt;AE458,AVERAGEIF(AE$9:AE458,AE458,AN$9:AN458),"")</f>
        <v/>
      </c>
      <c r="AP458" s="89">
        <f>IFERROR(IF(AE459&lt;&gt;AE458,AVERAGEIF(AE$9:AE458,AE458,AW$9:AW458),""),"")</f>
        <v/>
      </c>
      <c r="AQ458" s="89">
        <f>IFERROR(IF(AE459&lt;&gt;AE458,AVERAGEIF(AE$9:AE458,AE458,AX$9:AX458),""),"")</f>
        <v/>
      </c>
      <c r="AR458" s="89">
        <f t="array" ref="AR458">IFERROR(IF(AE459&lt;&gt;AE458,_xlfn.STDEV.P(IF(AE$9:AE458=AE458,AX$9:AX458)),""),"")</f>
        <v/>
      </c>
      <c r="AS458" s="89">
        <f t="array" ref="AS458">IFERROR(IF(AE459&lt;&gt;AE458,_xlfn.STDEV.P(IF(AE$9:AE458=AE458,AW$9:AW458)),""),"")</f>
        <v/>
      </c>
      <c r="AT458" s="90">
        <f>IFERROR(IF(AE458&lt;&gt;AE459,MAX((((AQ458*24*60)/2)*(1+POWER((((AR458*24*60) / (AQ458*24*60) )),2))) + ((AQ458*24*60 )*-0.1 + (AO458*0.015)) +1,(((AQ458*24*60)/2)*(1+POWER((((AR458*24*60) / (AQ458*24*60 ))),2)))),""),"")</f>
        <v/>
      </c>
      <c r="AU458" s="90">
        <f>IF(AND(AS458&lt;&gt;"",AP458&lt;&gt;""),IF(AE458&lt;&gt;AE459,((AP458*24*60) / 2 ) * (1 + POWER(((AS458*24*60) / (AP458*24*60)),2)),""),"")</f>
        <v/>
      </c>
      <c r="AV458" s="90">
        <f>IF(AU458&lt;&gt;"",MAX(AT458,AU458),"")</f>
        <v/>
      </c>
      <c r="AW458" s="89">
        <f>IF(AM458&lt;&gt;"H. Sale Real",IF(AND(AM459&lt;&gt;"",LEFT(AG459,2)&lt;&gt;"Va"),IF(AND(AM458&lt;&gt;"",LEFT(AG458,2)&lt;&gt;"Va",AM458&lt;&gt;"H. Sale Real"),IF(AM459-AM458&lt;0.208333333333333,AM459-AM458,""),IF(AND(AM457&lt;&gt;"",LEFT(AG457,2)&lt;&gt;"Va",AM457&lt;&gt;"H. Sale Real"),IF(AM459-AM457&lt;0.208333333333333,AM459-AM457,""),IF(AND(AM456&lt;&gt;"",LEFT(AG456,2)&lt;&gt;"Va",AM456&lt;&gt;"H. Sale Real"),IF(AM459-AM456&lt;0.208333333333333,AM459-AM456,""),IF(AND(AM455&lt;&gt;"",LEFT(AG455,2)&lt;&gt;"Va",AM455&lt;&gt;"H. Sale Real"),IF(AM459-AM455&lt;0.208333333333333,AM459-AM455,""),IF(AND(AM454&lt;&gt;"",LEFT(AG454,2)&lt;&gt;"Va",AM454&lt;&gt;"H. Sale Real"),IF(AM459-AM454&lt;0.208333333333333,AM459-AM454,""),""))))),""),"")</f>
        <v/>
      </c>
      <c r="AX458" s="89">
        <f>IF(AK458&lt;&gt;"H. Sale Real",IF(AND(AK459&lt;&gt;"",LEFT(AG459,2)&lt;&gt;"Va"),IF(AND(AK458&lt;&gt;"",LEFT(AG458,2)&lt;&gt;"Va",AK458&lt;&gt;"H. Sale Real"),IF(AK459-AK458&lt;0.208333333333333,AK459-AK458,""),IF(AND(AK457&lt;&gt;"",LEFT(AG457,2)&lt;&gt;"Va",AK457&lt;&gt;"H. Sale Real"),IF(AK459-AK457&lt;0.208333333333333,AK459-AK457,""),IF(AND(AK456&lt;&gt;"",LEFT(AG456,2)&lt;&gt;"NC",AK456&lt;&gt;"H. Sale Real"),IF(AK459-AK456&lt;0.208333333333333,AK459-AK456,""),IF(AND(AK455&lt;&gt;"",LEFT(AG455,2)&lt;&gt;"Va",AK455&lt;&gt;"H. Sale Real"),IF(AK459-AK455&lt;0.208333333333333,AK459-AK455,""),IF(AND(AK454&lt;&gt;"",LEFT(AG454,2)&lt;&gt;"Va",AK454&lt;&gt;"H. Sale Real"),IF(AK459-AK454&lt;0.208333333333333,AK459-AK454,""),""))))),""),"")</f>
        <v/>
      </c>
      <c r="AY458" s="87" t="n"/>
      <c r="AZ458" s="89" t="n"/>
      <c r="BA458" s="87" t="n"/>
      <c r="BB458" s="89" t="n"/>
      <c r="BC458" s="91" t="n"/>
      <c r="BD458" s="122">
        <f>IF(AK458&lt;&gt;"",IF(AND(BD457&lt;&gt;"IE",AT458&lt;&gt;0,AV458&lt;&gt;""),IF(IFERROR((AT458/AV458),0) &lt;=1,IFERROR(AT458/AV458,""),1),""),"")</f>
        <v/>
      </c>
      <c r="BE458" s="93" t="n"/>
      <c r="BF458" s="105" t="n"/>
      <c r="FC458" t="inlineStr">
        <is>
          <t>Diccionario 1</t>
        </is>
      </c>
      <c r="FD458" s="15" t="inlineStr"/>
      <c r="FE458" s="15" t="inlineStr">
        <is>
          <t>LDYECS832S0045649</t>
        </is>
      </c>
      <c r="FF458" s="15" t="inlineStr">
        <is>
          <t>MJJ20025010008</t>
        </is>
      </c>
      <c r="FG458" s="15" t="inlineStr">
        <is>
          <t>Zhong Tong</t>
        </is>
      </c>
      <c r="FH458" s="15" t="inlineStr">
        <is>
          <t>LCK6850evg</t>
        </is>
      </c>
      <c r="FI458" s="15" t="inlineStr">
        <is>
          <t>ZHONGTONG</t>
        </is>
      </c>
      <c r="FJ458" s="15" t="inlineStr">
        <is>
          <t>LCK6850evg</t>
        </is>
      </c>
      <c r="FK458" s="15" t="n">
        <v>2025</v>
      </c>
      <c r="FL458" s="15" t="inlineStr">
        <is>
          <t>A</t>
        </is>
      </c>
      <c r="FM458" s="15" t="inlineStr">
        <is>
          <t>CERRILLOS</t>
        </is>
      </c>
      <c r="FN458" s="15" t="inlineStr">
        <is>
          <t>Calle Uno 7371</t>
        </is>
      </c>
      <c r="FO458" s="15" t="inlineStr">
        <is>
          <t>Cerrillos</t>
        </is>
      </c>
      <c r="FP458" t="inlineStr">
        <is>
          <t>A</t>
        </is>
      </c>
      <c r="FS458" s="14" t="inlineStr">
        <is>
          <t>9951 / TBZB-24|</t>
        </is>
      </c>
      <c r="FT458" t="inlineStr">
        <is>
          <t>TBZB-24|</t>
        </is>
      </c>
      <c r="FU458" t="inlineStr">
        <is>
          <t>TBZB-24</t>
        </is>
      </c>
      <c r="FV458">
        <f>VLOOKUP(FU458,FD:FL,9,0)</f>
        <v/>
      </c>
      <c r="FZ458" s="51" t="inlineStr">
        <is>
          <t>B01</t>
        </is>
      </c>
      <c r="GA458" s="43" t="n">
        <v>0</v>
      </c>
      <c r="GB458" s="43" t="n">
        <v>0</v>
      </c>
      <c r="GC458" s="43" t="n">
        <v>0</v>
      </c>
      <c r="GD458" s="43" t="n">
        <v>0</v>
      </c>
      <c r="GE458" s="43" t="n">
        <v>0</v>
      </c>
      <c r="GF458" s="43" t="n">
        <v>11.305</v>
      </c>
      <c r="GG458" s="43" t="n">
        <v>22.62</v>
      </c>
      <c r="GH458" s="43" t="n">
        <v>21.5</v>
      </c>
      <c r="GI458" s="43" t="n">
        <v>20.165</v>
      </c>
      <c r="GJ458" s="43" t="n">
        <v>19.315</v>
      </c>
      <c r="GK458" s="43" t="n">
        <v>18.78</v>
      </c>
      <c r="GL458" s="43" t="n">
        <v>17.76</v>
      </c>
      <c r="GM458" s="43" t="n">
        <v>17.42</v>
      </c>
      <c r="GN458" s="43" t="n">
        <v>17.48</v>
      </c>
      <c r="GO458" s="43" t="n">
        <v>17.955</v>
      </c>
      <c r="GP458" s="43" t="n">
        <v>17.87</v>
      </c>
      <c r="GQ458" s="43" t="n">
        <v>17.275</v>
      </c>
      <c r="GR458" s="43" t="n">
        <v>16.13</v>
      </c>
      <c r="GS458" s="43" t="n">
        <v>16.08</v>
      </c>
      <c r="GT458" s="43" t="n">
        <v>16.35</v>
      </c>
      <c r="GU458" s="43" t="n">
        <v>17.57</v>
      </c>
      <c r="GV458" s="43" t="n">
        <v>19.4</v>
      </c>
      <c r="GW458" s="43" t="n">
        <v>22.15</v>
      </c>
      <c r="GX458" s="43" t="n">
        <v>25.005</v>
      </c>
      <c r="HA458" s="35" t="n">
        <v>3</v>
      </c>
      <c r="HB458" s="35" t="n">
        <v>452</v>
      </c>
    </row>
    <row r="459" ht="15.5" customHeight="1">
      <c r="A459" s="10">
        <f>HOUR(G459)+1</f>
        <v/>
      </c>
      <c r="B459" s="7" t="n"/>
      <c r="C459" s="7" t="n"/>
      <c r="D459" s="85">
        <f>IFERROR(
IF(AND(OR(Planilla!B459="C",Planilla!B459="c"), VLOOKUP(E459,FD:FP,13,0)="C"), "OK",IF(AND(OR(Planilla!B459="C",Planilla!B459="c"), OR(VLOOKUP(E459,FD:FP,13,0)="B", VLOOKUP(E459,FD:FP,13,0)="A")), "DEFICIT",IF(
AND(OR(Planilla!B459="B", Planilla!B459="BPAL"), VLOOKUP(E459,FD:FP,13,0)="B"), "OK",IF(AND(OR(Planilla!B459="B", Planilla!B459="BPAL"), VLOOKUP(E459,FD:FP,13,0)="A"), "DEFICIT",IF(AND(OR(Planilla!B459="B", Planilla!B459="BPAL"), VLOOKUP(E459,FD:FP,13,0)="C"), "SOBREOFERTA",IF(AND(Planilla!B459="A", VLOOKUP(E459,FD:FP,13,0)="A"), "OK",IF(
AND(Planilla!B459="A", OR(VLOOKUP(E459,FD:FP,13,0)="B", VLOOKUP(E459,FD:FP,13,0)="C")), "SOBREOFERTA",""
))))))),"")</f>
        <v/>
      </c>
      <c r="E459" s="8" t="n"/>
      <c r="F459" s="86" t="n"/>
      <c r="G459" s="87" t="n"/>
      <c r="H459" s="88">
        <f>IF(I459="","",IF(AND((I459-G459)&gt;=TIME(0,0,0),(I459-G459)&lt;TIME(0,3,0)),"OK",IF(AND((I459-G459)&gt;=TIME(0,3,0),(I459-G459)&lt;TIME(0,5,0)),"RETRASO DE 3-5 MIN",IF(AND((I459-G459)&gt;=TIME(0,5,0),(I459-G459)&lt;TIME(0,10,0)),"RETRASO DE 5-10 MIN",IF((I459-G459)&gt;=TIME(0,10,0),"RETRASO &gt;10 MIN", IF(AND((G459-I459)&gt;=TIME(0,0,0),(G459-I459)&lt;TIME(0,3,0)),"OK",IF((G459-I459)&gt;=TIME(0,3,0),"ADELANTADO")))))))</f>
        <v/>
      </c>
      <c r="I459" s="89" t="n"/>
      <c r="J459" s="89">
        <f>IF(A459&lt;&gt;"",HLOOKUP(VALUE(TEXT(G459,"h:mm:ss")),IF($C$6="Laboral",$FZ$4:$GX$227,IF($C$6="Sábado",$FZ$231:$GX$452,$FZ$456:$GX$656)),VLOOKUP($C$4,$HF$2:$HH$99,3,0)+IF(C$5="Ida",0,1),1),"")</f>
        <v/>
      </c>
      <c r="K459" s="89">
        <f>IF(A460&lt;&gt;A459,AVERAGEIF(A$9:A459,A459,J$9:J459),"")</f>
        <v/>
      </c>
      <c r="L459" s="89">
        <f>IFERROR(IF(A460&lt;&gt;A459,AVERAGEIF(A$9:A459,A459,S$9:S459),""),"")</f>
        <v/>
      </c>
      <c r="M459" s="89">
        <f>IFERROR(IF(A460&lt;&gt;A459,AVERAGEIF(A$9:A459,A459,T$9:T459),""),"")</f>
        <v/>
      </c>
      <c r="N459" s="89">
        <f t="array" ref="N459">IFERROR(IF(A460&lt;&gt;A459,_xlfn.STDEV.P(IF(A$9:A459=A459,T$9:T459)),""),"")</f>
        <v/>
      </c>
      <c r="O459" s="89">
        <f t="array" ref="O459">IFERROR(IF(A460&lt;&gt;A459,_xlfn.STDEV.P(IF(A$9:A459=A459,S$9:S459)),""),"")</f>
        <v/>
      </c>
      <c r="P459" s="90">
        <f>IFERROR(IF(A459&lt;&gt;A460,MAX((((M459*24*60)/2)*(1+POWER((((N459*24*60) / (M459*24*60) )),2))) + ((M459*24*60 )*-0.1 + (K459*0.015)) +1,(((M459*24*60)/2)*(1+POWER((((N459*24*60) / (M459*24*60 ))),2)))),""),"")</f>
        <v/>
      </c>
      <c r="Q459" s="90">
        <f>IF(AND(O459&lt;&gt;"",L459&lt;&gt;""),IF(A459&lt;&gt;A460,((L459*24*60) / 2 ) * (1 + POWER(((O459*24*60) / (L459*24*60)),2)),""),"")</f>
        <v/>
      </c>
      <c r="R459" s="90">
        <f>IF(Q459&lt;&gt;"",MAX(P459,Q459),"")</f>
        <v/>
      </c>
      <c r="S459" s="89">
        <f>IF(I459&lt;&gt;"H. Sale Real",IF(AND(I460&lt;&gt;"",LEFT(C460,2)&lt;&gt;"Va"),IF(AND(I459&lt;&gt;"",LEFT(C459,2)&lt;&gt;"Va",I459&lt;&gt;"H. Sale Real"),IF(I460-I459&lt;0.208333333333333,I460-I459,""),IF(AND(I458&lt;&gt;"",LEFT(C458,2)&lt;&gt;"Va",I458&lt;&gt;"H. Sale Real"),IF(I460-I458&lt;0.208333333333333,I460-I458,""),IF(AND(I457&lt;&gt;"",LEFT(C457,2)&lt;&gt;"Va",I457&lt;&gt;"H. Sale Real"),IF(I460-I457&lt;0.208333333333333,I460-I457,""),IF(AND(I456&lt;&gt;"",LEFT(C456,2)&lt;&gt;"Va",I456&lt;&gt;"H. Sale Real"),IF(I460-I456&lt;0.208333333333333,I460-I456,""),IF(AND(I455&lt;&gt;"",LEFT(C455,2)&lt;&gt;"Va",I455&lt;&gt;"H. Sale Real"),IF(I460-I455&lt;0.208333333333333,I460-I455,""),""))))),""),"")</f>
        <v/>
      </c>
      <c r="T459" s="89">
        <f>IF(G459&lt;&gt;"H. Sale Real",IF(AND(G460&lt;&gt;"",LEFT(C460,2)&lt;&gt;"Va"),IF(AND(G459&lt;&gt;"",LEFT(C459,2)&lt;&gt;"Va",G459&lt;&gt;"H. Sale Real"),IF(G460-G459&lt;0.208333333333333,G460-G459,""),IF(AND(G458&lt;&gt;"",LEFT(C458,2)&lt;&gt;"Va",G458&lt;&gt;"H. Sale Real"),IF(G460-G458&lt;0.208333333333333,G460-G458,""),IF(AND(G457&lt;&gt;"",LEFT(C457,2)&lt;&gt;"Va",G457&lt;&gt;"H. Sale Real"),IF(G460-G457&lt;0.208333333333333,G460-G457,""),IF(AND(G456&lt;&gt;"",LEFT(C456,2)&lt;&gt;"Va",G456&lt;&gt;"H. Sale Real"),IF(G460-G456&lt;0.208333333333333,G460-G456,""),IF(AND(G455&lt;&gt;"",LEFT(C455,2)&lt;&gt;"Va",G455&lt;&gt;"H. Sale Real"),IF(G460-G455&lt;0.208333333333333,G460-G455,""),""))))),""),"")</f>
        <v/>
      </c>
      <c r="U459" s="87" t="n"/>
      <c r="V459" s="89" t="n"/>
      <c r="W459" s="87" t="n"/>
      <c r="X459" s="89" t="n"/>
      <c r="Y459" s="91" t="n"/>
      <c r="Z459" s="122">
        <f>IF(G459&lt;&gt;"",IF(AND(Z458&lt;&gt;"IE",P459&lt;&gt;0,R459&lt;&gt;""),IF(IFERROR((P459/R459),0) &lt;=1,IFERROR(P459/R459,""),1),""),"")</f>
        <v/>
      </c>
      <c r="AA459" s="93" t="n"/>
      <c r="AB459" s="2" t="n"/>
      <c r="AE459" s="10">
        <f>HOUR(AK459)+1</f>
        <v/>
      </c>
      <c r="AF459" s="7" t="n"/>
      <c r="AG459" s="7" t="n"/>
      <c r="AH459" s="86" t="n"/>
      <c r="AI459" s="8" t="n"/>
      <c r="AJ459" s="86" t="n"/>
      <c r="AK459" s="87" t="n"/>
      <c r="AL459" s="88">
        <f>IF(AM459="","",IF(AND((AM459-AK459)&gt;=TIME(0,0,0),(AM459-AK459)&lt;TIME(0,3,0)),"OK",IF(AND((AM459-AK459)&gt;=TIME(0,3,0),(AM459-AK459)&lt;TIME(0,5,0)),"RETRASO DE 3-5 MIN",IF(AND((AM459-AK459)&gt;=TIME(0,5,0),(AM459-AK459)&lt;TIME(0,10,0)),"RETRASO DE 5-10 MIN",IF((AM459-AK459)&gt;=TIME(0,10,0),"RETRASO &gt;10 MIN", IF(AND((AK459-AM459)&gt;=TIME(0,0,0),(AK459-AM459)&lt;TIME(0,3,0)),"OK",IF((AK459-AM459)&gt;=TIME(0,3,0),"ADELANTADO")))))))</f>
        <v/>
      </c>
      <c r="AM459" s="91" t="n"/>
      <c r="AN459" s="89">
        <f>IF(AE459&lt;&gt;"",HLOOKUP(VALUE(TEXT(AK459,"h:mm:ss")),IF($C$6="Laboral",$FZ$4:$GX$227,IF($C$6="Sábado",$FZ$231:$GX$452,$FZ$456:$GX$656)),VLOOKUP($C$4,$HF$2:$HH$99,3,0)+IF(AG$5="Ida",0,1),1),"")</f>
        <v/>
      </c>
      <c r="AO459" s="89">
        <f>IF(AE460&lt;&gt;AE459,AVERAGEIF(AE$9:AE459,AE459,AN$9:AN459),"")</f>
        <v/>
      </c>
      <c r="AP459" s="89">
        <f>IFERROR(IF(AE460&lt;&gt;AE459,AVERAGEIF(AE$9:AE459,AE459,AW$9:AW459),""),"")</f>
        <v/>
      </c>
      <c r="AQ459" s="89">
        <f>IFERROR(IF(AE460&lt;&gt;AE459,AVERAGEIF(AE$9:AE459,AE459,AX$9:AX459),""),"")</f>
        <v/>
      </c>
      <c r="AR459" s="89">
        <f t="array" ref="AR459">IFERROR(IF(AE460&lt;&gt;AE459,_xlfn.STDEV.P(IF(AE$9:AE459=AE459,AX$9:AX459)),""),"")</f>
        <v/>
      </c>
      <c r="AS459" s="89">
        <f t="array" ref="AS459">IFERROR(IF(AE460&lt;&gt;AE459,_xlfn.STDEV.P(IF(AE$9:AE459=AE459,AW$9:AW459)),""),"")</f>
        <v/>
      </c>
      <c r="AT459" s="90">
        <f>IFERROR(IF(AE459&lt;&gt;AE460,MAX((((AQ459*24*60)/2)*(1+POWER((((AR459*24*60) / (AQ459*24*60) )),2))) + ((AQ459*24*60 )*-0.1 + (AO459*0.015)) +1,(((AQ459*24*60)/2)*(1+POWER((((AR459*24*60) / (AQ459*24*60 ))),2)))),""),"")</f>
        <v/>
      </c>
      <c r="AU459" s="90">
        <f>IF(AND(AS459&lt;&gt;"",AP459&lt;&gt;""),IF(AE459&lt;&gt;AE460,((AP459*24*60) / 2 ) * (1 + POWER(((AS459*24*60) / (AP459*24*60)),2)),""),"")</f>
        <v/>
      </c>
      <c r="AV459" s="90">
        <f>IF(AU459&lt;&gt;"",MAX(AT459,AU459),"")</f>
        <v/>
      </c>
      <c r="AW459" s="89">
        <f>IF(AM459&lt;&gt;"H. Sale Real",IF(AND(AM460&lt;&gt;"",LEFT(AG460,2)&lt;&gt;"Va"),IF(AND(AM459&lt;&gt;"",LEFT(AG459,2)&lt;&gt;"Va",AM459&lt;&gt;"H. Sale Real"),IF(AM460-AM459&lt;0.208333333333333,AM460-AM459,""),IF(AND(AM458&lt;&gt;"",LEFT(AG458,2)&lt;&gt;"Va",AM458&lt;&gt;"H. Sale Real"),IF(AM460-AM458&lt;0.208333333333333,AM460-AM458,""),IF(AND(AM457&lt;&gt;"",LEFT(AG457,2)&lt;&gt;"Va",AM457&lt;&gt;"H. Sale Real"),IF(AM460-AM457&lt;0.208333333333333,AM460-AM457,""),IF(AND(AM456&lt;&gt;"",LEFT(AG456,2)&lt;&gt;"Va",AM456&lt;&gt;"H. Sale Real"),IF(AM460-AM456&lt;0.208333333333333,AM460-AM456,""),IF(AND(AM455&lt;&gt;"",LEFT(AG455,2)&lt;&gt;"Va",AM455&lt;&gt;"H. Sale Real"),IF(AM460-AM455&lt;0.208333333333333,AM460-AM455,""),""))))),""),"")</f>
        <v/>
      </c>
      <c r="AX459" s="89">
        <f>IF(AK459&lt;&gt;"H. Sale Real",IF(AND(AK460&lt;&gt;"",LEFT(AG460,2)&lt;&gt;"Va"),IF(AND(AK459&lt;&gt;"",LEFT(AG459,2)&lt;&gt;"Va",AK459&lt;&gt;"H. Sale Real"),IF(AK460-AK459&lt;0.208333333333333,AK460-AK459,""),IF(AND(AK458&lt;&gt;"",LEFT(AG458,2)&lt;&gt;"Va",AK458&lt;&gt;"H. Sale Real"),IF(AK460-AK458&lt;0.208333333333333,AK460-AK458,""),IF(AND(AK457&lt;&gt;"",LEFT(AG457,2)&lt;&gt;"NC",AK457&lt;&gt;"H. Sale Real"),IF(AK460-AK457&lt;0.208333333333333,AK460-AK457,""),IF(AND(AK456&lt;&gt;"",LEFT(AG456,2)&lt;&gt;"Va",AK456&lt;&gt;"H. Sale Real"),IF(AK460-AK456&lt;0.208333333333333,AK460-AK456,""),IF(AND(AK455&lt;&gt;"",LEFT(AG455,2)&lt;&gt;"Va",AK455&lt;&gt;"H. Sale Real"),IF(AK460-AK455&lt;0.208333333333333,AK460-AK455,""),""))))),""),"")</f>
        <v/>
      </c>
      <c r="AY459" s="87" t="n"/>
      <c r="AZ459" s="89" t="n"/>
      <c r="BA459" s="87" t="n"/>
      <c r="BB459" s="89" t="n"/>
      <c r="BC459" s="91" t="n"/>
      <c r="BD459" s="122">
        <f>IF(AK459&lt;&gt;"",IF(AND(BD458&lt;&gt;"IE",AT459&lt;&gt;0,AV459&lt;&gt;""),IF(IFERROR((AT459/AV459),0) &lt;=1,IFERROR(AT459/AV459,""),1),""),"")</f>
        <v/>
      </c>
      <c r="BE459" s="93" t="n"/>
      <c r="BF459" s="105" t="n"/>
      <c r="FC459" t="inlineStr">
        <is>
          <t>Diccionario 1</t>
        </is>
      </c>
      <c r="FD459" s="15" t="inlineStr"/>
      <c r="FE459" s="15" t="inlineStr">
        <is>
          <t>LDYECS836S0045623</t>
        </is>
      </c>
      <c r="FF459" s="15" t="inlineStr">
        <is>
          <t>MJJ20025010021</t>
        </is>
      </c>
      <c r="FG459" s="15" t="inlineStr">
        <is>
          <t>Zhong Tong</t>
        </is>
      </c>
      <c r="FH459" s="15" t="inlineStr">
        <is>
          <t>LCK6850evg</t>
        </is>
      </c>
      <c r="FI459" s="15" t="inlineStr">
        <is>
          <t>ZHONGTONG</t>
        </is>
      </c>
      <c r="FJ459" s="15" t="inlineStr">
        <is>
          <t>LCK6850evg</t>
        </is>
      </c>
      <c r="FK459" s="15" t="n">
        <v>2025</v>
      </c>
      <c r="FL459" s="15" t="inlineStr">
        <is>
          <t>A</t>
        </is>
      </c>
      <c r="FM459" s="15" t="inlineStr">
        <is>
          <t>CERRILLOS</t>
        </is>
      </c>
      <c r="FN459" s="15" t="inlineStr">
        <is>
          <t>Calle Uno 7371</t>
        </is>
      </c>
      <c r="FO459" s="15" t="inlineStr">
        <is>
          <t>Cerrillos</t>
        </is>
      </c>
      <c r="FP459" t="inlineStr">
        <is>
          <t>A</t>
        </is>
      </c>
      <c r="FS459" s="14" t="inlineStr">
        <is>
          <t>9951 / TBZB-24|</t>
        </is>
      </c>
      <c r="FT459" t="inlineStr">
        <is>
          <t>TBZB-24|</t>
        </is>
      </c>
      <c r="FU459" t="inlineStr">
        <is>
          <t>TBZB-24</t>
        </is>
      </c>
      <c r="FV459">
        <f>VLOOKUP(FU459,FD:FL,9,0)</f>
        <v/>
      </c>
      <c r="FZ459" s="51" t="inlineStr">
        <is>
          <t>B03</t>
        </is>
      </c>
      <c r="GA459" s="43" t="n">
        <v>0</v>
      </c>
      <c r="GB459" s="43" t="n">
        <v>0</v>
      </c>
      <c r="GC459" s="43" t="n">
        <v>0</v>
      </c>
      <c r="GD459" s="43" t="n">
        <v>0</v>
      </c>
      <c r="GE459" s="43" t="n">
        <v>0</v>
      </c>
      <c r="GF459" s="43" t="n">
        <v>11.245</v>
      </c>
      <c r="GG459" s="43" t="n">
        <v>21.42</v>
      </c>
      <c r="GH459" s="43" t="n">
        <v>20.265</v>
      </c>
      <c r="GI459" s="43" t="n">
        <v>19.25</v>
      </c>
      <c r="GJ459" s="43" t="n">
        <v>18.34</v>
      </c>
      <c r="GK459" s="43" t="n">
        <v>17.31</v>
      </c>
      <c r="GL459" s="43" t="n">
        <v>16.655</v>
      </c>
      <c r="GM459" s="43" t="n">
        <v>16.34</v>
      </c>
      <c r="GN459" s="43" t="n">
        <v>16.83</v>
      </c>
      <c r="GO459" s="43" t="n">
        <v>16.835</v>
      </c>
      <c r="GP459" s="43" t="n">
        <v>16.69</v>
      </c>
      <c r="GQ459" s="43" t="n">
        <v>16.665</v>
      </c>
      <c r="GR459" s="43" t="n">
        <v>16.76</v>
      </c>
      <c r="GS459" s="43" t="n">
        <v>17.25</v>
      </c>
      <c r="GT459" s="43" t="n">
        <v>18.005</v>
      </c>
      <c r="GU459" s="43" t="n">
        <v>19.03</v>
      </c>
      <c r="GV459" s="43" t="n">
        <v>20.47</v>
      </c>
      <c r="GW459" s="43" t="n">
        <v>22.805</v>
      </c>
      <c r="GX459" s="43" t="n">
        <v>23.66</v>
      </c>
      <c r="HA459" s="35" t="n">
        <v>4</v>
      </c>
      <c r="HB459" s="35" t="n">
        <v>453</v>
      </c>
    </row>
    <row r="460" ht="15.5" customHeight="1">
      <c r="A460" s="10">
        <f>HOUR(G460)+1</f>
        <v/>
      </c>
      <c r="B460" s="7" t="n"/>
      <c r="C460" s="7" t="n"/>
      <c r="D460" s="85">
        <f>IFERROR(
IF(AND(OR(Planilla!B460="C",Planilla!B460="c"), VLOOKUP(E460,FD:FP,13,0)="C"), "OK",IF(AND(OR(Planilla!B460="C",Planilla!B460="c"), OR(VLOOKUP(E460,FD:FP,13,0)="B", VLOOKUP(E460,FD:FP,13,0)="A")), "DEFICIT",IF(
AND(OR(Planilla!B460="B", Planilla!B460="BPAL"), VLOOKUP(E460,FD:FP,13,0)="B"), "OK",IF(AND(OR(Planilla!B460="B", Planilla!B460="BPAL"), VLOOKUP(E460,FD:FP,13,0)="A"), "DEFICIT",IF(AND(OR(Planilla!B460="B", Planilla!B460="BPAL"), VLOOKUP(E460,FD:FP,13,0)="C"), "SOBREOFERTA",IF(AND(Planilla!B460="A", VLOOKUP(E460,FD:FP,13,0)="A"), "OK",IF(
AND(Planilla!B460="A", OR(VLOOKUP(E460,FD:FP,13,0)="B", VLOOKUP(E460,FD:FP,13,0)="C")), "SOBREOFERTA",""
))))))),"")</f>
        <v/>
      </c>
      <c r="E460" s="8" t="n"/>
      <c r="F460" s="86" t="n"/>
      <c r="G460" s="87" t="n"/>
      <c r="H460" s="88">
        <f>IF(I460="","",IF(AND((I460-G460)&gt;=TIME(0,0,0),(I460-G460)&lt;TIME(0,3,0)),"OK",IF(AND((I460-G460)&gt;=TIME(0,3,0),(I460-G460)&lt;TIME(0,5,0)),"RETRASO DE 3-5 MIN",IF(AND((I460-G460)&gt;=TIME(0,5,0),(I460-G460)&lt;TIME(0,10,0)),"RETRASO DE 5-10 MIN",IF((I460-G460)&gt;=TIME(0,10,0),"RETRASO &gt;10 MIN", IF(AND((G460-I460)&gt;=TIME(0,0,0),(G460-I460)&lt;TIME(0,3,0)),"OK",IF((G460-I460)&gt;=TIME(0,3,0),"ADELANTADO")))))))</f>
        <v/>
      </c>
      <c r="I460" s="89" t="n"/>
      <c r="J460" s="89">
        <f>IF(A460&lt;&gt;"",HLOOKUP(VALUE(TEXT(G460,"h:mm:ss")),IF($C$6="Laboral",$FZ$4:$GX$227,IF($C$6="Sábado",$FZ$231:$GX$452,$FZ$456:$GX$656)),VLOOKUP($C$4,$HF$2:$HH$99,3,0)+IF(C$5="Ida",0,1),1),"")</f>
        <v/>
      </c>
      <c r="K460" s="89">
        <f>IF(A461&lt;&gt;A460,AVERAGEIF(A$9:A460,A460,J$9:J460),"")</f>
        <v/>
      </c>
      <c r="L460" s="89">
        <f>IFERROR(IF(A461&lt;&gt;A460,AVERAGEIF(A$9:A460,A460,S$9:S460),""),"")</f>
        <v/>
      </c>
      <c r="M460" s="89">
        <f>IFERROR(IF(A461&lt;&gt;A460,AVERAGEIF(A$9:A460,A460,T$9:T460),""),"")</f>
        <v/>
      </c>
      <c r="N460" s="89">
        <f t="array" ref="N460">IFERROR(IF(A461&lt;&gt;A460,_xlfn.STDEV.P(IF(A$9:A460=A460,T$9:T460)),""),"")</f>
        <v/>
      </c>
      <c r="O460" s="89">
        <f t="array" ref="O460">IFERROR(IF(A461&lt;&gt;A460,_xlfn.STDEV.P(IF(A$9:A460=A460,S$9:S460)),""),"")</f>
        <v/>
      </c>
      <c r="P460" s="90">
        <f>IFERROR(IF(A460&lt;&gt;A461,MAX((((M460*24*60)/2)*(1+POWER((((N460*24*60) / (M460*24*60) )),2))) + ((M460*24*60 )*-0.1 + (K460*0.015)) +1,(((M460*24*60)/2)*(1+POWER((((N460*24*60) / (M460*24*60 ))),2)))),""),"")</f>
        <v/>
      </c>
      <c r="Q460" s="90">
        <f>IF(AND(O460&lt;&gt;"",L460&lt;&gt;""),IF(A460&lt;&gt;A461,((L460*24*60) / 2 ) * (1 + POWER(((O460*24*60) / (L460*24*60)),2)),""),"")</f>
        <v/>
      </c>
      <c r="R460" s="90">
        <f>IF(Q460&lt;&gt;"",MAX(P460,Q460),"")</f>
        <v/>
      </c>
      <c r="S460" s="89">
        <f>IF(I460&lt;&gt;"H. Sale Real",IF(AND(I461&lt;&gt;"",LEFT(C461,2)&lt;&gt;"Va"),IF(AND(I460&lt;&gt;"",LEFT(C460,2)&lt;&gt;"Va",I460&lt;&gt;"H. Sale Real"),IF(I461-I460&lt;0.208333333333333,I461-I460,""),IF(AND(I459&lt;&gt;"",LEFT(C459,2)&lt;&gt;"Va",I459&lt;&gt;"H. Sale Real"),IF(I461-I459&lt;0.208333333333333,I461-I459,""),IF(AND(I458&lt;&gt;"",LEFT(C458,2)&lt;&gt;"Va",I458&lt;&gt;"H. Sale Real"),IF(I461-I458&lt;0.208333333333333,I461-I458,""),IF(AND(I457&lt;&gt;"",LEFT(C457,2)&lt;&gt;"Va",I457&lt;&gt;"H. Sale Real"),IF(I461-I457&lt;0.208333333333333,I461-I457,""),IF(AND(I456&lt;&gt;"",LEFT(C456,2)&lt;&gt;"Va",I456&lt;&gt;"H. Sale Real"),IF(I461-I456&lt;0.208333333333333,I461-I456,""),""))))),""),"")</f>
        <v/>
      </c>
      <c r="T460" s="89">
        <f>IF(G460&lt;&gt;"H. Sale Real",IF(AND(G461&lt;&gt;"",LEFT(C461,2)&lt;&gt;"Va"),IF(AND(G460&lt;&gt;"",LEFT(C460,2)&lt;&gt;"Va",G460&lt;&gt;"H. Sale Real"),IF(G461-G460&lt;0.208333333333333,G461-G460,""),IF(AND(G459&lt;&gt;"",LEFT(C459,2)&lt;&gt;"Va",G459&lt;&gt;"H. Sale Real"),IF(G461-G459&lt;0.208333333333333,G461-G459,""),IF(AND(G458&lt;&gt;"",LEFT(C458,2)&lt;&gt;"Va",G458&lt;&gt;"H. Sale Real"),IF(G461-G458&lt;0.208333333333333,G461-G458,""),IF(AND(G457&lt;&gt;"",LEFT(C457,2)&lt;&gt;"Va",G457&lt;&gt;"H. Sale Real"),IF(G461-G457&lt;0.208333333333333,G461-G457,""),IF(AND(G456&lt;&gt;"",LEFT(C456,2)&lt;&gt;"Va",G456&lt;&gt;"H. Sale Real"),IF(G461-G456&lt;0.208333333333333,G461-G456,""),""))))),""),"")</f>
        <v/>
      </c>
      <c r="U460" s="87" t="n"/>
      <c r="V460" s="89" t="n"/>
      <c r="W460" s="87" t="n"/>
      <c r="X460" s="89" t="n"/>
      <c r="Y460" s="91" t="n"/>
      <c r="Z460" s="122">
        <f>IF(G460&lt;&gt;"",IF(AND(Z459&lt;&gt;"IE",P460&lt;&gt;0,R460&lt;&gt;""),IF(IFERROR((P460/R460),0) &lt;=1,IFERROR(P460/R460,""),1),""),"")</f>
        <v/>
      </c>
      <c r="AA460" s="93" t="n"/>
      <c r="AB460" s="2" t="n"/>
      <c r="AE460" s="10">
        <f>HOUR(AK460)+1</f>
        <v/>
      </c>
      <c r="AF460" s="7" t="n"/>
      <c r="AG460" s="7" t="n"/>
      <c r="AH460" s="86" t="n"/>
      <c r="AI460" s="8" t="n"/>
      <c r="AJ460" s="86" t="n"/>
      <c r="AK460" s="87" t="n"/>
      <c r="AL460" s="88">
        <f>IF(AM460="","",IF(AND((AM460-AK460)&gt;=TIME(0,0,0),(AM460-AK460)&lt;TIME(0,3,0)),"OK",IF(AND((AM460-AK460)&gt;=TIME(0,3,0),(AM460-AK460)&lt;TIME(0,5,0)),"RETRASO DE 3-5 MIN",IF(AND((AM460-AK460)&gt;=TIME(0,5,0),(AM460-AK460)&lt;TIME(0,10,0)),"RETRASO DE 5-10 MIN",IF((AM460-AK460)&gt;=TIME(0,10,0),"RETRASO &gt;10 MIN", IF(AND((AK460-AM460)&gt;=TIME(0,0,0),(AK460-AM460)&lt;TIME(0,3,0)),"OK",IF((AK460-AM460)&gt;=TIME(0,3,0),"ADELANTADO")))))))</f>
        <v/>
      </c>
      <c r="AM460" s="91" t="n"/>
      <c r="AN460" s="89">
        <f>IF(AE460&lt;&gt;"",HLOOKUP(VALUE(TEXT(AK460,"h:mm:ss")),IF($C$6="Laboral",$FZ$4:$GX$227,IF($C$6="Sábado",$FZ$231:$GX$452,$FZ$456:$GX$656)),VLOOKUP($C$4,$HF$2:$HH$99,3,0)+IF(AG$5="Ida",0,1),1),"")</f>
        <v/>
      </c>
      <c r="AO460" s="89">
        <f>IF(AE461&lt;&gt;AE460,AVERAGEIF(AE$9:AE460,AE460,AN$9:AN460),"")</f>
        <v/>
      </c>
      <c r="AP460" s="89">
        <f>IFERROR(IF(AE461&lt;&gt;AE460,AVERAGEIF(AE$9:AE460,AE460,AW$9:AW460),""),"")</f>
        <v/>
      </c>
      <c r="AQ460" s="89">
        <f>IFERROR(IF(AE461&lt;&gt;AE460,AVERAGEIF(AE$9:AE460,AE460,AX$9:AX460),""),"")</f>
        <v/>
      </c>
      <c r="AR460" s="89">
        <f t="array" ref="AR460">IFERROR(IF(AE461&lt;&gt;AE460,_xlfn.STDEV.P(IF(AE$9:AE460=AE460,AX$9:AX460)),""),"")</f>
        <v/>
      </c>
      <c r="AS460" s="89">
        <f t="array" ref="AS460">IFERROR(IF(AE461&lt;&gt;AE460,_xlfn.STDEV.P(IF(AE$9:AE460=AE460,AW$9:AW460)),""),"")</f>
        <v/>
      </c>
      <c r="AT460" s="90">
        <f>IFERROR(IF(AE460&lt;&gt;AE461,MAX((((AQ460*24*60)/2)*(1+POWER((((AR460*24*60) / (AQ460*24*60) )),2))) + ((AQ460*24*60 )*-0.1 + (AO460*0.015)) +1,(((AQ460*24*60)/2)*(1+POWER((((AR460*24*60) / (AQ460*24*60 ))),2)))),""),"")</f>
        <v/>
      </c>
      <c r="AU460" s="90">
        <f>IF(AND(AS460&lt;&gt;"",AP460&lt;&gt;""),IF(AE460&lt;&gt;AE461,((AP460*24*60) / 2 ) * (1 + POWER(((AS460*24*60) / (AP460*24*60)),2)),""),"")</f>
        <v/>
      </c>
      <c r="AV460" s="90">
        <f>IF(AU460&lt;&gt;"",MAX(AT460,AU460),"")</f>
        <v/>
      </c>
      <c r="AW460" s="89">
        <f>IF(AM460&lt;&gt;"H. Sale Real",IF(AND(AM461&lt;&gt;"",LEFT(AG461,2)&lt;&gt;"Va"),IF(AND(AM460&lt;&gt;"",LEFT(AG460,2)&lt;&gt;"Va",AM460&lt;&gt;"H. Sale Real"),IF(AM461-AM460&lt;0.208333333333333,AM461-AM460,""),IF(AND(AM459&lt;&gt;"",LEFT(AG459,2)&lt;&gt;"Va",AM459&lt;&gt;"H. Sale Real"),IF(AM461-AM459&lt;0.208333333333333,AM461-AM459,""),IF(AND(AM458&lt;&gt;"",LEFT(AG458,2)&lt;&gt;"Va",AM458&lt;&gt;"H. Sale Real"),IF(AM461-AM458&lt;0.208333333333333,AM461-AM458,""),IF(AND(AM457&lt;&gt;"",LEFT(AG457,2)&lt;&gt;"Va",AM457&lt;&gt;"H. Sale Real"),IF(AM461-AM457&lt;0.208333333333333,AM461-AM457,""),IF(AND(AM456&lt;&gt;"",LEFT(AG456,2)&lt;&gt;"Va",AM456&lt;&gt;"H. Sale Real"),IF(AM461-AM456&lt;0.208333333333333,AM461-AM456,""),""))))),""),"")</f>
        <v/>
      </c>
      <c r="AX460" s="89">
        <f>IF(AK460&lt;&gt;"H. Sale Real",IF(AND(AK461&lt;&gt;"",LEFT(AG461,2)&lt;&gt;"Va"),IF(AND(AK460&lt;&gt;"",LEFT(AG460,2)&lt;&gt;"Va",AK460&lt;&gt;"H. Sale Real"),IF(AK461-AK460&lt;0.208333333333333,AK461-AK460,""),IF(AND(AK459&lt;&gt;"",LEFT(AG459,2)&lt;&gt;"Va",AK459&lt;&gt;"H. Sale Real"),IF(AK461-AK459&lt;0.208333333333333,AK461-AK459,""),IF(AND(AK458&lt;&gt;"",LEFT(AG458,2)&lt;&gt;"NC",AK458&lt;&gt;"H. Sale Real"),IF(AK461-AK458&lt;0.208333333333333,AK461-AK458,""),IF(AND(AK457&lt;&gt;"",LEFT(AG457,2)&lt;&gt;"Va",AK457&lt;&gt;"H. Sale Real"),IF(AK461-AK457&lt;0.208333333333333,AK461-AK457,""),IF(AND(AK456&lt;&gt;"",LEFT(AG456,2)&lt;&gt;"Va",AK456&lt;&gt;"H. Sale Real"),IF(AK461-AK456&lt;0.208333333333333,AK461-AK456,""),""))))),""),"")</f>
        <v/>
      </c>
      <c r="AY460" s="87" t="n"/>
      <c r="AZ460" s="89" t="n"/>
      <c r="BA460" s="87" t="n"/>
      <c r="BB460" s="89" t="n"/>
      <c r="BC460" s="91" t="n"/>
      <c r="BD460" s="122">
        <f>IF(AK460&lt;&gt;"",IF(AND(BD459&lt;&gt;"IE",AT460&lt;&gt;0,AV460&lt;&gt;""),IF(IFERROR((AT460/AV460),0) &lt;=1,IFERROR(AT460/AV460,""),1),""),"")</f>
        <v/>
      </c>
      <c r="BE460" s="93" t="n"/>
      <c r="BF460" s="105" t="n"/>
      <c r="FC460" t="inlineStr">
        <is>
          <t>Diccionario 1</t>
        </is>
      </c>
      <c r="FD460" s="15" t="inlineStr"/>
      <c r="FE460" s="17" t="inlineStr">
        <is>
          <t>LDYECS312S0044409</t>
        </is>
      </c>
      <c r="FF460" s="18" t="inlineStr">
        <is>
          <t>MDN35025030111</t>
        </is>
      </c>
      <c r="FG460" s="18" t="inlineStr">
        <is>
          <t>Zhong Thong</t>
        </is>
      </c>
      <c r="FH460" s="18" t="inlineStr">
        <is>
          <t>Lck6122evg</t>
        </is>
      </c>
      <c r="FI460" s="18" t="inlineStr">
        <is>
          <t>Zhong Thong</t>
        </is>
      </c>
      <c r="FJ460" s="18" t="inlineStr">
        <is>
          <t>Lck6122evg</t>
        </is>
      </c>
      <c r="FK460" s="18" t="n">
        <v>2026</v>
      </c>
      <c r="FL460" s="18" t="inlineStr">
        <is>
          <t>B</t>
        </is>
      </c>
      <c r="FM460" s="18" t="inlineStr">
        <is>
          <t>Recoleta</t>
        </is>
      </c>
      <c r="FP460" t="inlineStr">
        <is>
          <t>B</t>
        </is>
      </c>
      <c r="FS460" s="14" t="inlineStr">
        <is>
          <t>LZPS-20|</t>
        </is>
      </c>
      <c r="FT460" t="inlineStr">
        <is>
          <t>LZPS-20|</t>
        </is>
      </c>
      <c r="FU460" t="inlineStr">
        <is>
          <t>LZPS-20</t>
        </is>
      </c>
      <c r="FV460">
        <f>VLOOKUP(FU460,FD:FL,9,0)</f>
        <v/>
      </c>
      <c r="FZ460" s="51" t="n">
        <v>105</v>
      </c>
      <c r="GA460" s="43" t="n">
        <v>0</v>
      </c>
      <c r="GB460" s="43" t="n">
        <v>0</v>
      </c>
      <c r="GC460" s="43" t="n">
        <v>0</v>
      </c>
      <c r="GD460" s="43" t="n">
        <v>0</v>
      </c>
      <c r="GE460" s="43" t="n">
        <v>0</v>
      </c>
      <c r="GF460" s="43" t="n">
        <v>11.18</v>
      </c>
      <c r="GG460" s="43" t="n">
        <v>21.325</v>
      </c>
      <c r="GH460" s="43" t="n">
        <v>20.985</v>
      </c>
      <c r="GI460" s="43" t="n">
        <v>20.83</v>
      </c>
      <c r="GJ460" s="43" t="n">
        <v>19.695</v>
      </c>
      <c r="GK460" s="43" t="n">
        <v>18.435</v>
      </c>
      <c r="GL460" s="43" t="n">
        <v>17.965</v>
      </c>
      <c r="GM460" s="43" t="n">
        <v>17.5</v>
      </c>
      <c r="GN460" s="43" t="n">
        <v>17.32</v>
      </c>
      <c r="GO460" s="43" t="n">
        <v>17.68</v>
      </c>
      <c r="GP460" s="43" t="n">
        <v>17.75</v>
      </c>
      <c r="GQ460" s="43" t="n">
        <v>17.49</v>
      </c>
      <c r="GR460" s="43" t="n">
        <v>17.32</v>
      </c>
      <c r="GS460" s="43" t="n">
        <v>17.295</v>
      </c>
      <c r="GT460" s="43" t="n">
        <v>18.385</v>
      </c>
      <c r="GU460" s="43" t="n">
        <v>19.245</v>
      </c>
      <c r="GV460" s="43" t="n">
        <v>20.37</v>
      </c>
      <c r="GW460" s="43" t="n">
        <v>22.475</v>
      </c>
      <c r="GX460" s="43" t="n">
        <v>24.945</v>
      </c>
      <c r="HA460" s="35" t="n">
        <v>5</v>
      </c>
      <c r="HB460" s="35" t="n">
        <v>454</v>
      </c>
    </row>
    <row r="461" ht="15.5" customHeight="1">
      <c r="A461" s="10">
        <f>HOUR(G461)+1</f>
        <v/>
      </c>
      <c r="B461" s="7" t="n"/>
      <c r="C461" s="7" t="n"/>
      <c r="D461" s="85">
        <f>IFERROR(
IF(AND(OR(Planilla!B461="C",Planilla!B461="c"), VLOOKUP(E461,FD:FP,13,0)="C"), "OK",IF(AND(OR(Planilla!B461="C",Planilla!B461="c"), OR(VLOOKUP(E461,FD:FP,13,0)="B", VLOOKUP(E461,FD:FP,13,0)="A")), "DEFICIT",IF(
AND(OR(Planilla!B461="B", Planilla!B461="BPAL"), VLOOKUP(E461,FD:FP,13,0)="B"), "OK",IF(AND(OR(Planilla!B461="B", Planilla!B461="BPAL"), VLOOKUP(E461,FD:FP,13,0)="A"), "DEFICIT",IF(AND(OR(Planilla!B461="B", Planilla!B461="BPAL"), VLOOKUP(E461,FD:FP,13,0)="C"), "SOBREOFERTA",IF(AND(Planilla!B461="A", VLOOKUP(E461,FD:FP,13,0)="A"), "OK",IF(
AND(Planilla!B461="A", OR(VLOOKUP(E461,FD:FP,13,0)="B", VLOOKUP(E461,FD:FP,13,0)="C")), "SOBREOFERTA",""
))))))),"")</f>
        <v/>
      </c>
      <c r="E461" s="8" t="n"/>
      <c r="F461" s="86" t="n"/>
      <c r="G461" s="87" t="n"/>
      <c r="H461" s="88">
        <f>IF(I461="","",IF(AND((I461-G461)&gt;=TIME(0,0,0),(I461-G461)&lt;TIME(0,3,0)),"OK",IF(AND((I461-G461)&gt;=TIME(0,3,0),(I461-G461)&lt;TIME(0,5,0)),"RETRASO DE 3-5 MIN",IF(AND((I461-G461)&gt;=TIME(0,5,0),(I461-G461)&lt;TIME(0,10,0)),"RETRASO DE 5-10 MIN",IF((I461-G461)&gt;=TIME(0,10,0),"RETRASO &gt;10 MIN", IF(AND((G461-I461)&gt;=TIME(0,0,0),(G461-I461)&lt;TIME(0,3,0)),"OK",IF((G461-I461)&gt;=TIME(0,3,0),"ADELANTADO")))))))</f>
        <v/>
      </c>
      <c r="I461" s="89" t="n"/>
      <c r="J461" s="89">
        <f>IF(A461&lt;&gt;"",HLOOKUP(VALUE(TEXT(G461,"h:mm:ss")),IF($C$6="Laboral",$FZ$4:$GX$227,IF($C$6="Sábado",$FZ$231:$GX$452,$FZ$456:$GX$656)),VLOOKUP($C$4,$HF$2:$HH$99,3,0)+IF(C$5="Ida",0,1),1),"")</f>
        <v/>
      </c>
      <c r="K461" s="89">
        <f>IF(A462&lt;&gt;A461,AVERAGEIF(A$9:A461,A461,J$9:J461),"")</f>
        <v/>
      </c>
      <c r="L461" s="89">
        <f>IFERROR(IF(A462&lt;&gt;A461,AVERAGEIF(A$9:A461,A461,S$9:S461),""),"")</f>
        <v/>
      </c>
      <c r="M461" s="89">
        <f>IFERROR(IF(A462&lt;&gt;A461,AVERAGEIF(A$9:A461,A461,T$9:T461),""),"")</f>
        <v/>
      </c>
      <c r="N461" s="89">
        <f t="array" ref="N461">IFERROR(IF(A462&lt;&gt;A461,_xlfn.STDEV.P(IF(A$9:A461=A461,T$9:T461)),""),"")</f>
        <v/>
      </c>
      <c r="O461" s="89">
        <f t="array" ref="O461">IFERROR(IF(A462&lt;&gt;A461,_xlfn.STDEV.P(IF(A$9:A461=A461,S$9:S461)),""),"")</f>
        <v/>
      </c>
      <c r="P461" s="90">
        <f>IFERROR(IF(A461&lt;&gt;A462,MAX((((M461*24*60)/2)*(1+POWER((((N461*24*60) / (M461*24*60) )),2))) + ((M461*24*60 )*-0.1 + (K461*0.015)) +1,(((M461*24*60)/2)*(1+POWER((((N461*24*60) / (M461*24*60 ))),2)))),""),"")</f>
        <v/>
      </c>
      <c r="Q461" s="90">
        <f>IF(AND(O461&lt;&gt;"",L461&lt;&gt;""),IF(A461&lt;&gt;A462,((L461*24*60) / 2 ) * (1 + POWER(((O461*24*60) / (L461*24*60)),2)),""),"")</f>
        <v/>
      </c>
      <c r="R461" s="90">
        <f>IF(Q461&lt;&gt;"",MAX(P461,Q461),"")</f>
        <v/>
      </c>
      <c r="S461" s="89">
        <f>IF(I461&lt;&gt;"H. Sale Real",IF(AND(I462&lt;&gt;"",LEFT(C462,2)&lt;&gt;"Va"),IF(AND(I461&lt;&gt;"",LEFT(C461,2)&lt;&gt;"Va",I461&lt;&gt;"H. Sale Real"),IF(I462-I461&lt;0.208333333333333,I462-I461,""),IF(AND(I460&lt;&gt;"",LEFT(C460,2)&lt;&gt;"Va",I460&lt;&gt;"H. Sale Real"),IF(I462-I460&lt;0.208333333333333,I462-I460,""),IF(AND(I459&lt;&gt;"",LEFT(C459,2)&lt;&gt;"Va",I459&lt;&gt;"H. Sale Real"),IF(I462-I459&lt;0.208333333333333,I462-I459,""),IF(AND(I458&lt;&gt;"",LEFT(C458,2)&lt;&gt;"Va",I458&lt;&gt;"H. Sale Real"),IF(I462-I458&lt;0.208333333333333,I462-I458,""),IF(AND(I457&lt;&gt;"",LEFT(C457,2)&lt;&gt;"Va",I457&lt;&gt;"H. Sale Real"),IF(I462-I457&lt;0.208333333333333,I462-I457,""),""))))),""),"")</f>
        <v/>
      </c>
      <c r="T461" s="89">
        <f>IF(G461&lt;&gt;"H. Sale Real",IF(AND(G462&lt;&gt;"",LEFT(C462,2)&lt;&gt;"Va"),IF(AND(G461&lt;&gt;"",LEFT(C461,2)&lt;&gt;"Va",G461&lt;&gt;"H. Sale Real"),IF(G462-G461&lt;0.208333333333333,G462-G461,""),IF(AND(G460&lt;&gt;"",LEFT(C460,2)&lt;&gt;"Va",G460&lt;&gt;"H. Sale Real"),IF(G462-G460&lt;0.208333333333333,G462-G460,""),IF(AND(G459&lt;&gt;"",LEFT(C459,2)&lt;&gt;"Va",G459&lt;&gt;"H. Sale Real"),IF(G462-G459&lt;0.208333333333333,G462-G459,""),IF(AND(G458&lt;&gt;"",LEFT(C458,2)&lt;&gt;"Va",G458&lt;&gt;"H. Sale Real"),IF(G462-G458&lt;0.208333333333333,G462-G458,""),IF(AND(G457&lt;&gt;"",LEFT(C457,2)&lt;&gt;"Va",G457&lt;&gt;"H. Sale Real"),IF(G462-G457&lt;0.208333333333333,G462-G457,""),""))))),""),"")</f>
        <v/>
      </c>
      <c r="U461" s="87" t="n"/>
      <c r="V461" s="89" t="n"/>
      <c r="W461" s="87" t="n"/>
      <c r="X461" s="89" t="n"/>
      <c r="Y461" s="91" t="n"/>
      <c r="Z461" s="122">
        <f>IF(G461&lt;&gt;"",IF(AND(Z460&lt;&gt;"IE",P461&lt;&gt;0,R461&lt;&gt;""),IF(IFERROR((P461/R461),0) &lt;=1,IFERROR(P461/R461,""),1),""),"")</f>
        <v/>
      </c>
      <c r="AA461" s="93" t="n"/>
      <c r="AB461" s="2" t="n"/>
      <c r="AE461" s="10">
        <f>HOUR(AK461)+1</f>
        <v/>
      </c>
      <c r="AF461" s="7" t="n"/>
      <c r="AG461" s="7" t="n"/>
      <c r="AH461" s="86" t="n"/>
      <c r="AI461" s="8" t="n"/>
      <c r="AJ461" s="86" t="n"/>
      <c r="AK461" s="87" t="n"/>
      <c r="AL461" s="88">
        <f>IF(AM461="","",IF(AND((AM461-AK461)&gt;=TIME(0,0,0),(AM461-AK461)&lt;TIME(0,3,0)),"OK",IF(AND((AM461-AK461)&gt;=TIME(0,3,0),(AM461-AK461)&lt;TIME(0,5,0)),"RETRASO DE 3-5 MIN",IF(AND((AM461-AK461)&gt;=TIME(0,5,0),(AM461-AK461)&lt;TIME(0,10,0)),"RETRASO DE 5-10 MIN",IF((AM461-AK461)&gt;=TIME(0,10,0),"RETRASO &gt;10 MIN", IF(AND((AK461-AM461)&gt;=TIME(0,0,0),(AK461-AM461)&lt;TIME(0,3,0)),"OK",IF((AK461-AM461)&gt;=TIME(0,3,0),"ADELANTADO")))))))</f>
        <v/>
      </c>
      <c r="AM461" s="91" t="n"/>
      <c r="AN461" s="89">
        <f>IF(AE461&lt;&gt;"",HLOOKUP(VALUE(TEXT(AK461,"h:mm:ss")),IF($C$6="Laboral",$FZ$4:$GX$227,IF($C$6="Sábado",$FZ$231:$GX$452,$FZ$456:$GX$656)),VLOOKUP($C$4,$HF$2:$HH$99,3,0)+IF(AG$5="Ida",0,1),1),"")</f>
        <v/>
      </c>
      <c r="AO461" s="89">
        <f>IF(AE462&lt;&gt;AE461,AVERAGEIF(AE$9:AE461,AE461,AN$9:AN461),"")</f>
        <v/>
      </c>
      <c r="AP461" s="89">
        <f>IFERROR(IF(AE462&lt;&gt;AE461,AVERAGEIF(AE$9:AE461,AE461,AW$9:AW461),""),"")</f>
        <v/>
      </c>
      <c r="AQ461" s="89">
        <f>IFERROR(IF(AE462&lt;&gt;AE461,AVERAGEIF(AE$9:AE461,AE461,AX$9:AX461),""),"")</f>
        <v/>
      </c>
      <c r="AR461" s="89">
        <f t="array" ref="AR461">IFERROR(IF(AE462&lt;&gt;AE461,_xlfn.STDEV.P(IF(AE$9:AE461=AE461,AX$9:AX461)),""),"")</f>
        <v/>
      </c>
      <c r="AS461" s="89">
        <f t="array" ref="AS461">IFERROR(IF(AE462&lt;&gt;AE461,_xlfn.STDEV.P(IF(AE$9:AE461=AE461,AW$9:AW461)),""),"")</f>
        <v/>
      </c>
      <c r="AT461" s="90">
        <f>IFERROR(IF(AE461&lt;&gt;AE462,MAX((((AQ461*24*60)/2)*(1+POWER((((AR461*24*60) / (AQ461*24*60) )),2))) + ((AQ461*24*60 )*-0.1 + (AO461*0.015)) +1,(((AQ461*24*60)/2)*(1+POWER((((AR461*24*60) / (AQ461*24*60 ))),2)))),""),"")</f>
        <v/>
      </c>
      <c r="AU461" s="90">
        <f>IF(AND(AS461&lt;&gt;"",AP461&lt;&gt;""),IF(AE461&lt;&gt;AE462,((AP461*24*60) / 2 ) * (1 + POWER(((AS461*24*60) / (AP461*24*60)),2)),""),"")</f>
        <v/>
      </c>
      <c r="AV461" s="90">
        <f>IF(AU461&lt;&gt;"",MAX(AT461,AU461),"")</f>
        <v/>
      </c>
      <c r="AW461" s="89">
        <f>IF(AM461&lt;&gt;"H. Sale Real",IF(AND(AM462&lt;&gt;"",LEFT(AG462,2)&lt;&gt;"Va"),IF(AND(AM461&lt;&gt;"",LEFT(AG461,2)&lt;&gt;"Va",AM461&lt;&gt;"H. Sale Real"),IF(AM462-AM461&lt;0.208333333333333,AM462-AM461,""),IF(AND(AM460&lt;&gt;"",LEFT(AG460,2)&lt;&gt;"Va",AM460&lt;&gt;"H. Sale Real"),IF(AM462-AM460&lt;0.208333333333333,AM462-AM460,""),IF(AND(AM459&lt;&gt;"",LEFT(AG459,2)&lt;&gt;"Va",AM459&lt;&gt;"H. Sale Real"),IF(AM462-AM459&lt;0.208333333333333,AM462-AM459,""),IF(AND(AM458&lt;&gt;"",LEFT(AG458,2)&lt;&gt;"Va",AM458&lt;&gt;"H. Sale Real"),IF(AM462-AM458&lt;0.208333333333333,AM462-AM458,""),IF(AND(AM457&lt;&gt;"",LEFT(AG457,2)&lt;&gt;"Va",AM457&lt;&gt;"H. Sale Real"),IF(AM462-AM457&lt;0.208333333333333,AM462-AM457,""),""))))),""),"")</f>
        <v/>
      </c>
      <c r="AX461" s="89">
        <f>IF(AK461&lt;&gt;"H. Sale Real",IF(AND(AK462&lt;&gt;"",LEFT(AG462,2)&lt;&gt;"Va"),IF(AND(AK461&lt;&gt;"",LEFT(AG461,2)&lt;&gt;"Va",AK461&lt;&gt;"H. Sale Real"),IF(AK462-AK461&lt;0.208333333333333,AK462-AK461,""),IF(AND(AK460&lt;&gt;"",LEFT(AG460,2)&lt;&gt;"Va",AK460&lt;&gt;"H. Sale Real"),IF(AK462-AK460&lt;0.208333333333333,AK462-AK460,""),IF(AND(AK459&lt;&gt;"",LEFT(AG459,2)&lt;&gt;"NC",AK459&lt;&gt;"H. Sale Real"),IF(AK462-AK459&lt;0.208333333333333,AK462-AK459,""),IF(AND(AK458&lt;&gt;"",LEFT(AG458,2)&lt;&gt;"Va",AK458&lt;&gt;"H. Sale Real"),IF(AK462-AK458&lt;0.208333333333333,AK462-AK458,""),IF(AND(AK457&lt;&gt;"",LEFT(AG457,2)&lt;&gt;"Va",AK457&lt;&gt;"H. Sale Real"),IF(AK462-AK457&lt;0.208333333333333,AK462-AK457,""),""))))),""),"")</f>
        <v/>
      </c>
      <c r="AY461" s="87" t="n"/>
      <c r="AZ461" s="89" t="n"/>
      <c r="BA461" s="87" t="n"/>
      <c r="BB461" s="89" t="n"/>
      <c r="BC461" s="91" t="n"/>
      <c r="BD461" s="122">
        <f>IF(AK461&lt;&gt;"",IF(AND(BD460&lt;&gt;"IE",AT461&lt;&gt;0,AV461&lt;&gt;""),IF(IFERROR((AT461/AV461),0) &lt;=1,IFERROR(AT461/AV461,""),1),""),"")</f>
        <v/>
      </c>
      <c r="BE461" s="93" t="n"/>
      <c r="BF461" s="105" t="n"/>
      <c r="FC461" t="inlineStr">
        <is>
          <t>Diccionario 1</t>
        </is>
      </c>
      <c r="FD461" s="15" t="inlineStr"/>
      <c r="FE461" s="17" t="inlineStr">
        <is>
          <t>LDYECS313S0044323</t>
        </is>
      </c>
      <c r="FF461" s="18" t="inlineStr">
        <is>
          <t>MDN35025030135</t>
        </is>
      </c>
      <c r="FG461" s="18" t="inlineStr">
        <is>
          <t>Zhong Thong</t>
        </is>
      </c>
      <c r="FH461" s="18" t="inlineStr">
        <is>
          <t>Lck6122evg</t>
        </is>
      </c>
      <c r="FI461" s="18" t="inlineStr">
        <is>
          <t>Zhong Thong</t>
        </is>
      </c>
      <c r="FJ461" s="18" t="inlineStr">
        <is>
          <t>Lck6122evg</t>
        </is>
      </c>
      <c r="FK461" s="18" t="n">
        <v>2026</v>
      </c>
      <c r="FL461" s="18" t="inlineStr">
        <is>
          <t>B</t>
        </is>
      </c>
      <c r="FM461" s="18" t="inlineStr">
        <is>
          <t>Recoleta</t>
        </is>
      </c>
      <c r="FP461" t="inlineStr">
        <is>
          <t>B</t>
        </is>
      </c>
      <c r="FS461" s="14" t="inlineStr">
        <is>
          <t>LZPG-25|</t>
        </is>
      </c>
      <c r="FT461" t="inlineStr">
        <is>
          <t>LZPG-25|</t>
        </is>
      </c>
      <c r="FU461" t="inlineStr">
        <is>
          <t>LZPG-25</t>
        </is>
      </c>
      <c r="FV461">
        <f>VLOOKUP(FU461,FD:FL,9,0)</f>
        <v/>
      </c>
      <c r="FZ461" s="51" t="n">
        <v>105</v>
      </c>
      <c r="GA461" s="43" t="n">
        <v>0</v>
      </c>
      <c r="GB461" s="43" t="n">
        <v>0</v>
      </c>
      <c r="GC461" s="43" t="n">
        <v>0</v>
      </c>
      <c r="GD461" s="43" t="n">
        <v>0</v>
      </c>
      <c r="GE461" s="43" t="n">
        <v>0</v>
      </c>
      <c r="GF461" s="43" t="n">
        <v>12.275</v>
      </c>
      <c r="GG461" s="43" t="n">
        <v>23.84</v>
      </c>
      <c r="GH461" s="43" t="n">
        <v>22.03</v>
      </c>
      <c r="GI461" s="43" t="n">
        <v>20.45</v>
      </c>
      <c r="GJ461" s="43" t="n">
        <v>19.815</v>
      </c>
      <c r="GK461" s="43" t="n">
        <v>18.755</v>
      </c>
      <c r="GL461" s="43" t="n">
        <v>17.88</v>
      </c>
      <c r="GM461" s="43" t="n">
        <v>17.36</v>
      </c>
      <c r="GN461" s="43" t="n">
        <v>17.455</v>
      </c>
      <c r="GO461" s="43" t="n">
        <v>17.745</v>
      </c>
      <c r="GP461" s="43" t="n">
        <v>17.865</v>
      </c>
      <c r="GQ461" s="43" t="n">
        <v>17.66</v>
      </c>
      <c r="GR461" s="43" t="n">
        <v>17.415</v>
      </c>
      <c r="GS461" s="43" t="n">
        <v>17.345</v>
      </c>
      <c r="GT461" s="43" t="n">
        <v>17.765</v>
      </c>
      <c r="GU461" s="43" t="n">
        <v>18.77</v>
      </c>
      <c r="GV461" s="43" t="n">
        <v>19.67</v>
      </c>
      <c r="GW461" s="43" t="n">
        <v>21.43</v>
      </c>
      <c r="GX461" s="43" t="n">
        <v>23.765</v>
      </c>
      <c r="HA461" s="35" t="n">
        <v>6</v>
      </c>
      <c r="HB461" s="35" t="n">
        <v>455</v>
      </c>
    </row>
    <row r="462" ht="15.5" customHeight="1">
      <c r="A462" s="10">
        <f>HOUR(G462)+1</f>
        <v/>
      </c>
      <c r="B462" s="7" t="n"/>
      <c r="C462" s="7" t="n"/>
      <c r="D462" s="85">
        <f>IFERROR(
IF(AND(OR(Planilla!B462="C",Planilla!B462="c"), VLOOKUP(E462,FD:FP,13,0)="C"), "OK",IF(AND(OR(Planilla!B462="C",Planilla!B462="c"), OR(VLOOKUP(E462,FD:FP,13,0)="B", VLOOKUP(E462,FD:FP,13,0)="A")), "DEFICIT",IF(
AND(OR(Planilla!B462="B", Planilla!B462="BPAL"), VLOOKUP(E462,FD:FP,13,0)="B"), "OK",IF(AND(OR(Planilla!B462="B", Planilla!B462="BPAL"), VLOOKUP(E462,FD:FP,13,0)="A"), "DEFICIT",IF(AND(OR(Planilla!B462="B", Planilla!B462="BPAL"), VLOOKUP(E462,FD:FP,13,0)="C"), "SOBREOFERTA",IF(AND(Planilla!B462="A", VLOOKUP(E462,FD:FP,13,0)="A"), "OK",IF(
AND(Planilla!B462="A", OR(VLOOKUP(E462,FD:FP,13,0)="B", VLOOKUP(E462,FD:FP,13,0)="C")), "SOBREOFERTA",""
))))))),"")</f>
        <v/>
      </c>
      <c r="E462" s="8" t="n"/>
      <c r="F462" s="86" t="n"/>
      <c r="G462" s="87" t="n"/>
      <c r="H462" s="88">
        <f>IF(I462="","",IF(AND((I462-G462)&gt;=TIME(0,0,0),(I462-G462)&lt;TIME(0,3,0)),"OK",IF(AND((I462-G462)&gt;=TIME(0,3,0),(I462-G462)&lt;TIME(0,5,0)),"RETRASO DE 3-5 MIN",IF(AND((I462-G462)&gt;=TIME(0,5,0),(I462-G462)&lt;TIME(0,10,0)),"RETRASO DE 5-10 MIN",IF((I462-G462)&gt;=TIME(0,10,0),"RETRASO &gt;10 MIN",         IF(AND((G462-I462)&gt;=TIME(0,0,0),(G462-I462)&lt;TIME(0,3,0)),"OK",IF((G462-I462)&gt;=TIME(0,3,0),"ADELANTADO")))))))</f>
        <v/>
      </c>
      <c r="I462" s="89" t="n"/>
      <c r="J462" s="89">
        <f>IF(A462&lt;&gt;"",HLOOKUP(VALUE(TEXT(G462,"h:mm:ss")),IF($C$6="Laboral",$FZ$4:$GX$227,IF($C$6="Sábado",$FZ$231:$GX$452,$FZ$456:$GX$656)),VLOOKUP($C$4,$HF$2:$HH$99,3,0)+IF(C$5="Ida",0,1),1),"")</f>
        <v/>
      </c>
      <c r="K462" s="89">
        <f>IF(A463&lt;&gt;A462,AVERAGEIF(A$9:A462,A462,J$9:J462),"")</f>
        <v/>
      </c>
      <c r="L462" s="89">
        <f>IFERROR(IF(A463&lt;&gt;A462,AVERAGEIF(A$9:A462,A462,S$9:S462),""),"")</f>
        <v/>
      </c>
      <c r="M462" s="89">
        <f>IFERROR(IF(A463&lt;&gt;A462,AVERAGEIF(A$9:A462,A462,T$9:T462),""),"")</f>
        <v/>
      </c>
      <c r="N462" s="89">
        <f t="array" ref="N462">IFERROR(IF(A463&lt;&gt;A462,_xlfn.STDEV.P(IF(A$9:A462=A462,T$9:T462)),""),"")</f>
        <v/>
      </c>
      <c r="O462" s="89">
        <f t="array" ref="O462">IFERROR(IF(A463&lt;&gt;A462,_xlfn.STDEV.P(IF(A$9:A462=A462,S$9:S462)),""),"")</f>
        <v/>
      </c>
      <c r="P462" s="90">
        <f>IFERROR(IF(A462&lt;&gt;A463,MAX((((M462*24*60)/2)*(1+POWER((((N462*24*60) / (M462*24*60) )),2))) + ((M462*24*60 )*-0.1 + (K462*0.015)) +1,(((M462*24*60)/2)*(1+POWER((((N462*24*60) / (M462*24*60 ))),2)))),""),"")</f>
        <v/>
      </c>
      <c r="Q462" s="90">
        <f>IF(AND(O462&lt;&gt;"",L462&lt;&gt;""),IF(A462&lt;&gt;A463,((L462*24*60) / 2 ) * (1 + POWER(((O462*24*60) / (L462*24*60)),2)),""),"")</f>
        <v/>
      </c>
      <c r="R462" s="90">
        <f>IF(Q462&lt;&gt;"",MAX(P462,Q462),"")</f>
        <v/>
      </c>
      <c r="S462" s="89">
        <f>IF(I462&lt;&gt;"H. Sale Real",IF(AND(I463&lt;&gt;"",LEFT(C463,2)&lt;&gt;"Va"),IF(AND(I462&lt;&gt;"",LEFT(C462,2)&lt;&gt;"Va",I462&lt;&gt;"H. Sale Real"),IF(I463-I462&lt;0.208333333333333,I463-I462,""),IF(AND(I461&lt;&gt;"",LEFT(C461,2)&lt;&gt;"Va",I461&lt;&gt;"H. Sale Real"),IF(I463-I461&lt;0.208333333333333,I463-I461,""),IF(AND(I460&lt;&gt;"",LEFT(C460,2)&lt;&gt;"Va",I460&lt;&gt;"H. Sale Real"),IF(I463-I460&lt;0.208333333333333,I463-I460,""),IF(AND(I459&lt;&gt;"",LEFT(C459,2)&lt;&gt;"Va",I459&lt;&gt;"H. Sale Real"),IF(I463-I459&lt;0.208333333333333,I463-I459,""),IF(AND(I458&lt;&gt;"",LEFT(C458,2)&lt;&gt;"Va",I458&lt;&gt;"H. Sale Real"),IF(I463-I458&lt;0.208333333333333,I463-I458,""),""))))),""),"")</f>
        <v/>
      </c>
      <c r="T462" s="89">
        <f>IF(G462&lt;&gt;"H. Sale Real",IF(AND(G463&lt;&gt;"",LEFT(C463,2)&lt;&gt;"Va"),IF(AND(G462&lt;&gt;"",LEFT(C462,2)&lt;&gt;"Va",G462&lt;&gt;"H. Sale Real"),IF(G463-G462&lt;0.208333333333333,G463-G462,""),IF(AND(G461&lt;&gt;"",LEFT(C461,2)&lt;&gt;"Va",G461&lt;&gt;"H. Sale Real"),IF(G463-G461&lt;0.208333333333333,G463-G461,""),IF(AND(G460&lt;&gt;"",LEFT(C460,2)&lt;&gt;"Va",G460&lt;&gt;"H. Sale Real"),IF(G463-G460&lt;0.208333333333333,G463-G460,""),IF(AND(G459&lt;&gt;"",LEFT(C459,2)&lt;&gt;"Va",G459&lt;&gt;"H. Sale Real"),IF(G463-G459&lt;0.208333333333333,G463-G459,""),IF(AND(G458&lt;&gt;"",LEFT(C458,2)&lt;&gt;"Va",G458&lt;&gt;"H. Sale Real"),IF(G463-G458&lt;0.208333333333333,G463-G458,""),""))))),""),"")</f>
        <v/>
      </c>
      <c r="U462" s="87" t="n"/>
      <c r="V462" s="89" t="n"/>
      <c r="W462" s="87" t="n"/>
      <c r="X462" s="89" t="n"/>
      <c r="Y462" s="91" t="n"/>
      <c r="Z462" s="122">
        <f>IF(G462&lt;&gt;"",IF(AND(Z461&lt;&gt;"IE",P462&lt;&gt;0,R462&lt;&gt;""),IF(IFERROR((P462/R462),0) &lt;=1,IFERROR(P462/R462,""),1),""),"")</f>
        <v/>
      </c>
      <c r="AA462" s="93" t="n"/>
      <c r="AB462" s="2" t="n"/>
      <c r="AE462" s="10">
        <f>HOUR(AK462)+1</f>
        <v/>
      </c>
      <c r="AF462" s="7" t="n"/>
      <c r="AG462" s="7" t="n"/>
      <c r="AH462" s="86" t="n"/>
      <c r="AI462" s="8" t="n"/>
      <c r="AJ462" s="86" t="n"/>
      <c r="AK462" s="87" t="n"/>
      <c r="AL462" s="88">
        <f>IF(AM462="","",IF(AND((AM462-AK462)&gt;=TIME(0,0,0),(AM462-AK462)&lt;TIME(0,3,0)),"OK",IF(AND((AM462-AK462)&gt;=TIME(0,3,0),(AM462-AK462)&lt;TIME(0,5,0)),"RETRASO DE 3-5 MIN",IF(AND((AM462-AK462)&gt;=TIME(0,5,0),(AM462-AK462)&lt;TIME(0,10,0)),"RETRASO DE 5-10 MIN",IF((AM462-AK462)&gt;=TIME(0,10,0),"RETRASO &gt;10 MIN",         IF(AND((AK462-AM462)&gt;=TIME(0,0,0),(AK462-AM462)&lt;TIME(0,3,0)),"OK",IF((AK462-AM462)&gt;=TIME(0,3,0),"ADELANTADO")))))))</f>
        <v/>
      </c>
      <c r="AM462" s="91" t="n"/>
      <c r="AN462" s="89">
        <f>IF(AE462&lt;&gt;"",HLOOKUP(VALUE(TEXT(AK462,"h:mm:ss")),IF($C$6="Laboral",$FZ$4:$GX$227,IF($C$6="Sábado",$FZ$231:$GX$452,$FZ$456:$GX$656)),VLOOKUP($C$4,$HF$2:$HH$99,3,0)+IF(AG$5="Ida",0,1),1),"")</f>
        <v/>
      </c>
      <c r="AO462" s="89">
        <f>IF(AE463&lt;&gt;AE462,AVERAGEIF(AE$9:AE462,AE462,AN$9:AN462),"")</f>
        <v/>
      </c>
      <c r="AP462" s="89">
        <f>IFERROR(IF(AE463&lt;&gt;AE462,AVERAGEIF(AE$9:AE462,AE462,AW$9:AW462),""),"")</f>
        <v/>
      </c>
      <c r="AQ462" s="89">
        <f>IFERROR(IF(AE463&lt;&gt;AE462,AVERAGEIF(AE$9:AE462,AE462,AX$9:AX462),""),"")</f>
        <v/>
      </c>
      <c r="AR462" s="89">
        <f t="array" ref="AR462">IFERROR(IF(AE463&lt;&gt;AE462,_xlfn.STDEV.P(IF(AE$9:AE462=AE462,AX$9:AX462)),""),"")</f>
        <v/>
      </c>
      <c r="AS462" s="89">
        <f t="array" ref="AS462">IFERROR(IF(AE463&lt;&gt;AE462,_xlfn.STDEV.P(IF(AE$9:AE462=AE462,AW$9:AW462)),""),"")</f>
        <v/>
      </c>
      <c r="AT462" s="90">
        <f>IFERROR(IF(AE462&lt;&gt;AE463,MAX((((AQ462*24*60)/2)*(1+POWER((((AR462*24*60) / (AQ462*24*60) )),2))) + ((AQ462*24*60 )*-0.1 + (AO462*0.015)) +1,(((AQ462*24*60)/2)*(1+POWER((((AR462*24*60) / (AQ462*24*60 ))),2)))),""),"")</f>
        <v/>
      </c>
      <c r="AU462" s="90">
        <f>IF(AND(AS462&lt;&gt;"",AP462&lt;&gt;""),IF(AE462&lt;&gt;AE463,((AP462*24*60) / 2 ) * (1 + POWER(((AS462*24*60) / (AP462*24*60)),2)),""),"")</f>
        <v/>
      </c>
      <c r="AV462" s="90">
        <f>IF(AU462&lt;&gt;"",MAX(AT462,AU462),"")</f>
        <v/>
      </c>
      <c r="AW462" s="89">
        <f>IF(AM462&lt;&gt;"H. Sale Real",IF(AND(AM463&lt;&gt;"",LEFT(AG463,2)&lt;&gt;"Va"),IF(AND(AM462&lt;&gt;"",LEFT(AG462,2)&lt;&gt;"Va",AM462&lt;&gt;"H. Sale Real"),IF(AM463-AM462&lt;0.208333333333333,AM463-AM462,""),IF(AND(AM461&lt;&gt;"",LEFT(AG461,2)&lt;&gt;"Va",AM461&lt;&gt;"H. Sale Real"),IF(AM463-AM461&lt;0.208333333333333,AM463-AM461,""),IF(AND(AM460&lt;&gt;"",LEFT(AG460,2)&lt;&gt;"Va",AM460&lt;&gt;"H. Sale Real"),IF(AM463-AM460&lt;0.208333333333333,AM463-AM460,""),IF(AND(AM459&lt;&gt;"",LEFT(AG459,2)&lt;&gt;"Va",AM459&lt;&gt;"H. Sale Real"),IF(AM463-AM459&lt;0.208333333333333,AM463-AM459,""),IF(AND(AM458&lt;&gt;"",LEFT(AG458,2)&lt;&gt;"Va",AM458&lt;&gt;"H. Sale Real"),IF(AM463-AM458&lt;0.208333333333333,AM463-AM458,""),""))))),""),"")</f>
        <v/>
      </c>
      <c r="AX462" s="89">
        <f>IF(AK462&lt;&gt;"H. Sale Real",IF(AND(AK463&lt;&gt;"",LEFT(AG463,2)&lt;&gt;"Va"),IF(AND(AK462&lt;&gt;"",LEFT(AG462,2)&lt;&gt;"Va",AK462&lt;&gt;"H. Sale Real"),IF(AK463-AK462&lt;0.208333333333333,AK463-AK462,""),IF(AND(AK461&lt;&gt;"",LEFT(AG461,2)&lt;&gt;"Va",AK461&lt;&gt;"H. Sale Real"),IF(AK463-AK461&lt;0.208333333333333,AK463-AK461,""),IF(AND(AK460&lt;&gt;"",LEFT(AG460,2)&lt;&gt;"NC",AK460&lt;&gt;"H. Sale Real"),IF(AK463-AK460&lt;0.208333333333333,AK463-AK460,""),IF(AND(AK459&lt;&gt;"",LEFT(AG459,2)&lt;&gt;"Va",AK459&lt;&gt;"H. Sale Real"),IF(AK463-AK459&lt;0.208333333333333,AK463-AK459,""),IF(AND(AK458&lt;&gt;"",LEFT(AG458,2)&lt;&gt;"Va",AK458&lt;&gt;"H. Sale Real"),IF(AK463-AK458&lt;0.208333333333333,AK463-AK458,""),""))))),""),"")</f>
        <v/>
      </c>
      <c r="AY462" s="87" t="n"/>
      <c r="AZ462" s="89" t="n"/>
      <c r="BA462" s="87" t="n"/>
      <c r="BB462" s="89" t="n"/>
      <c r="BC462" s="91" t="n"/>
      <c r="BD462" s="122">
        <f>IF(AK462&lt;&gt;"",IF(AND(BD461&lt;&gt;"IE",AT462&lt;&gt;0,AV462&lt;&gt;""),IF(IFERROR((AT462/AV462),0) &lt;=1,IFERROR(AT462/AV462,""),1),""),"")</f>
        <v/>
      </c>
      <c r="BE462" s="93" t="n"/>
      <c r="BF462" s="105" t="n"/>
      <c r="FC462" t="inlineStr">
        <is>
          <t>Diccionario 1</t>
        </is>
      </c>
      <c r="FD462" s="15" t="inlineStr"/>
      <c r="FE462" s="17" t="inlineStr">
        <is>
          <t>LDYECS310S0044392</t>
        </is>
      </c>
      <c r="FF462" s="18" t="inlineStr">
        <is>
          <t>MDN35025030180</t>
        </is>
      </c>
      <c r="FG462" s="18" t="inlineStr">
        <is>
          <t>Zhong Thong</t>
        </is>
      </c>
      <c r="FH462" s="18" t="inlineStr">
        <is>
          <t>Lck6122evg</t>
        </is>
      </c>
      <c r="FI462" s="18" t="inlineStr">
        <is>
          <t>Zhong Thong</t>
        </is>
      </c>
      <c r="FJ462" s="18" t="inlineStr">
        <is>
          <t>Lck6122evg</t>
        </is>
      </c>
      <c r="FK462" s="18" t="n">
        <v>2026</v>
      </c>
      <c r="FL462" s="18" t="inlineStr">
        <is>
          <t>B</t>
        </is>
      </c>
      <c r="FM462" s="18" t="inlineStr">
        <is>
          <t>Recoleta</t>
        </is>
      </c>
      <c r="FP462" t="inlineStr">
        <is>
          <t>B</t>
        </is>
      </c>
      <c r="FS462" s="14" t="inlineStr">
        <is>
          <t>VJZB-57|</t>
        </is>
      </c>
      <c r="FT462" t="inlineStr">
        <is>
          <t>VJZB-57|</t>
        </is>
      </c>
      <c r="FU462" t="inlineStr">
        <is>
          <t>VJZB-57</t>
        </is>
      </c>
      <c r="FV462">
        <f>VLOOKUP(FU462,FD:FL,9,0)</f>
        <v/>
      </c>
      <c r="FZ462" s="51" t="inlineStr">
        <is>
          <t>B07</t>
        </is>
      </c>
      <c r="GA462" s="43" t="n">
        <v>0</v>
      </c>
      <c r="GB462" s="43" t="n">
        <v>0</v>
      </c>
      <c r="GC462" s="43" t="n">
        <v>0</v>
      </c>
      <c r="GD462" s="43" t="n">
        <v>0</v>
      </c>
      <c r="GE462" s="43" t="n">
        <v>0</v>
      </c>
      <c r="GF462" s="43" t="n">
        <v>16.495</v>
      </c>
      <c r="GG462" s="43" t="n">
        <v>31.75</v>
      </c>
      <c r="GH462" s="43" t="n">
        <v>29.91</v>
      </c>
      <c r="GI462" s="43" t="n">
        <v>30.26</v>
      </c>
      <c r="GJ462" s="43" t="n">
        <v>30.52</v>
      </c>
      <c r="GK462" s="43" t="n">
        <v>30.085</v>
      </c>
      <c r="GL462" s="43" t="n">
        <v>29.85</v>
      </c>
      <c r="GM462" s="43" t="n">
        <v>29.19</v>
      </c>
      <c r="GN462" s="43" t="n">
        <v>29.285</v>
      </c>
      <c r="GO462" s="43" t="n">
        <v>29.32</v>
      </c>
      <c r="GP462" s="43" t="n">
        <v>28.35</v>
      </c>
      <c r="GQ462" s="43" t="n">
        <v>27.8</v>
      </c>
      <c r="GR462" s="43" t="n">
        <v>27.38</v>
      </c>
      <c r="GS462" s="43" t="n">
        <v>26.795</v>
      </c>
      <c r="GT462" s="43" t="n">
        <v>27.285</v>
      </c>
      <c r="GU462" s="43" t="n">
        <v>29.54</v>
      </c>
      <c r="GV462" s="43" t="n">
        <v>30.705</v>
      </c>
      <c r="GW462" s="43" t="n">
        <v>30.335</v>
      </c>
      <c r="GX462" s="43" t="n">
        <v>29.64</v>
      </c>
      <c r="HA462" s="35" t="n">
        <v>7</v>
      </c>
      <c r="HB462" s="35" t="n">
        <v>456</v>
      </c>
    </row>
    <row r="463" ht="15.5" customHeight="1">
      <c r="A463" s="10">
        <f>HOUR(G463)+1</f>
        <v/>
      </c>
      <c r="B463" s="7" t="n"/>
      <c r="C463" s="7" t="n"/>
      <c r="D463" s="85">
        <f>IFERROR(
IF(AND(OR(Planilla!B463="C",Planilla!B463="c"), VLOOKUP(E463,FD:FP,13,0)="C"), "OK",IF(AND(OR(Planilla!B463="C",Planilla!B463="c"), OR(VLOOKUP(E463,FD:FP,13,0)="B", VLOOKUP(E463,FD:FP,13,0)="A")), "DEFICIT",IF(
AND(OR(Planilla!B463="B", Planilla!B463="BPAL"), VLOOKUP(E463,FD:FP,13,0)="B"), "OK",IF(AND(OR(Planilla!B463="B", Planilla!B463="BPAL"), VLOOKUP(E463,FD:FP,13,0)="A"), "DEFICIT",IF(AND(OR(Planilla!B463="B", Planilla!B463="BPAL"), VLOOKUP(E463,FD:FP,13,0)="C"), "SOBREOFERTA",IF(AND(Planilla!B463="A", VLOOKUP(E463,FD:FP,13,0)="A"), "OK",IF(
AND(Planilla!B463="A", OR(VLOOKUP(E463,FD:FP,13,0)="B", VLOOKUP(E463,FD:FP,13,0)="C")), "SOBREOFERTA",""
))))))),"")</f>
        <v/>
      </c>
      <c r="E463" s="8" t="n"/>
      <c r="F463" s="86" t="n"/>
      <c r="G463" s="87" t="n"/>
      <c r="H463" s="88">
        <f>IF(I463="","",IF(AND((I463-G463)&gt;=TIME(0,0,0),(I463-G463)&lt;TIME(0,3,0)),"OK",IF(AND((I463-G463)&gt;=TIME(0,3,0),(I463-G463)&lt;TIME(0,5,0)),"RETRASO DE 3-5 MIN",IF(AND((I463-G463)&gt;=TIME(0,5,0),(I463-G463)&lt;TIME(0,10,0)),"RETRASO DE 5-10 MIN",IF((I463-G463)&gt;=TIME(0,10,0),"RETRASO &gt;10 MIN", IF(AND((G463-I463)&gt;=TIME(0,0,0),(G463-I463)&lt;TIME(0,3,0)),"OK",IF((G463-I463)&gt;=TIME(0,3,0),"ADELANTADO")))))))</f>
        <v/>
      </c>
      <c r="I463" s="89" t="n"/>
      <c r="J463" s="89">
        <f>IF(A463&lt;&gt;"",HLOOKUP(VALUE(TEXT(G463,"h:mm:ss")),IF($C$6="Laboral",$FZ$4:$GX$227,IF($C$6="Sábado",$FZ$231:$GX$452,$FZ$456:$GX$656)),VLOOKUP($C$4,$HF$2:$HH$99,3,0)+IF(C$5="Ida",0,1),1),"")</f>
        <v/>
      </c>
      <c r="K463" s="89">
        <f>IF(A464&lt;&gt;A463,AVERAGEIF(A$9:A463,A463,J$9:J463),"")</f>
        <v/>
      </c>
      <c r="L463" s="89">
        <f>IFERROR(IF(A464&lt;&gt;A463,AVERAGEIF(A$9:A463,A463,S$9:S463),""),"")</f>
        <v/>
      </c>
      <c r="M463" s="89">
        <f>IFERROR(IF(A464&lt;&gt;A463,AVERAGEIF(A$9:A463,A463,T$9:T463),""),"")</f>
        <v/>
      </c>
      <c r="N463" s="89">
        <f t="array" ref="N463">IFERROR(IF(A464&lt;&gt;A463,_xlfn.STDEV.P(IF(A$9:A463=A463,T$9:T463)),""),"")</f>
        <v/>
      </c>
      <c r="O463" s="89">
        <f t="array" ref="O463">IFERROR(IF(A464&lt;&gt;A463,_xlfn.STDEV.P(IF(A$9:A463=A463,S$9:S463)),""),"")</f>
        <v/>
      </c>
      <c r="P463" s="90">
        <f>IFERROR(IF(A463&lt;&gt;A464,MAX((((M463*24*60)/2)*(1+POWER((((N463*24*60) / (M463*24*60) )),2))) + ((M463*24*60 )*-0.1 + (K463*0.015)) +1,(((M463*24*60)/2)*(1+POWER((((N463*24*60) / (M463*24*60 ))),2)))),""),"")</f>
        <v/>
      </c>
      <c r="Q463" s="90">
        <f>IF(AND(O463&lt;&gt;"",L463&lt;&gt;""),IF(A463&lt;&gt;A464,((L463*24*60) / 2 ) * (1 + POWER(((O463*24*60) / (L463*24*60)),2)),""),"")</f>
        <v/>
      </c>
      <c r="R463" s="90">
        <f>IF(Q463&lt;&gt;"",MAX(P463,Q463),"")</f>
        <v/>
      </c>
      <c r="S463" s="89">
        <f>IF(I463&lt;&gt;"H. Sale Real",IF(AND(I464&lt;&gt;"",LEFT(C464,2)&lt;&gt;"Va"),IF(AND(I463&lt;&gt;"",LEFT(C463,2)&lt;&gt;"Va",I463&lt;&gt;"H. Sale Real"),IF(I464-I463&lt;0.208333333333333,I464-I463,""),IF(AND(I462&lt;&gt;"",LEFT(C462,2)&lt;&gt;"Va",I462&lt;&gt;"H. Sale Real"),IF(I464-I462&lt;0.208333333333333,I464-I462,""),IF(AND(I461&lt;&gt;"",LEFT(C461,2)&lt;&gt;"Va",I461&lt;&gt;"H. Sale Real"),IF(I464-I461&lt;0.208333333333333,I464-I461,""),IF(AND(I460&lt;&gt;"",LEFT(C460,2)&lt;&gt;"Va",I460&lt;&gt;"H. Sale Real"),IF(I464-I460&lt;0.208333333333333,I464-I460,""),IF(AND(I459&lt;&gt;"",LEFT(C459,2)&lt;&gt;"Va",I459&lt;&gt;"H. Sale Real"),IF(I464-I459&lt;0.208333333333333,I464-I459,""),""))))),""),"")</f>
        <v/>
      </c>
      <c r="T463" s="89">
        <f>IF(G463&lt;&gt;"H. Sale Real",IF(AND(G464&lt;&gt;"",LEFT(C464,2)&lt;&gt;"Va"),IF(AND(G463&lt;&gt;"",LEFT(C463,2)&lt;&gt;"Va",G463&lt;&gt;"H. Sale Real"),IF(G464-G463&lt;0.208333333333333,G464-G463,""),IF(AND(G462&lt;&gt;"",LEFT(C462,2)&lt;&gt;"Va",G462&lt;&gt;"H. Sale Real"),IF(G464-G462&lt;0.208333333333333,G464-G462,""),IF(AND(G461&lt;&gt;"",LEFT(C461,2)&lt;&gt;"Va",G461&lt;&gt;"H. Sale Real"),IF(G464-G461&lt;0.208333333333333,G464-G461,""),IF(AND(G460&lt;&gt;"",LEFT(C460,2)&lt;&gt;"Va",G460&lt;&gt;"H. Sale Real"),IF(G464-G460&lt;0.208333333333333,G464-G460,""),IF(AND(G459&lt;&gt;"",LEFT(C459,2)&lt;&gt;"Va",G459&lt;&gt;"H. Sale Real"),IF(G464-G459&lt;0.208333333333333,G464-G459,""),""))))),""),"")</f>
        <v/>
      </c>
      <c r="U463" s="87" t="n"/>
      <c r="V463" s="89" t="n"/>
      <c r="W463" s="87" t="n"/>
      <c r="X463" s="89" t="n"/>
      <c r="Y463" s="91" t="n"/>
      <c r="Z463" s="122">
        <f>IF(G463&lt;&gt;"",IF(AND(Z462&lt;&gt;"IE",P463&lt;&gt;0,R463&lt;&gt;""),IF(IFERROR((P463/R463),0) &lt;=1,IFERROR(P463/R463,""),1),""),"")</f>
        <v/>
      </c>
      <c r="AA463" s="93" t="n"/>
      <c r="AB463" s="2" t="n"/>
      <c r="AE463" s="10">
        <f>HOUR(AK463)+1</f>
        <v/>
      </c>
      <c r="AF463" s="7" t="n"/>
      <c r="AG463" s="7" t="n"/>
      <c r="AH463" s="86" t="n"/>
      <c r="AI463" s="8" t="n"/>
      <c r="AJ463" s="86" t="n"/>
      <c r="AK463" s="87" t="n"/>
      <c r="AL463" s="88">
        <f>IF(AM463="","",IF(AND((AM463-AK463)&gt;=TIME(0,0,0),(AM463-AK463)&lt;TIME(0,3,0)),"OK",IF(AND((AM463-AK463)&gt;=TIME(0,3,0),(AM463-AK463)&lt;TIME(0,5,0)),"RETRASO DE 3-5 MIN",IF(AND((AM463-AK463)&gt;=TIME(0,5,0),(AM463-AK463)&lt;TIME(0,10,0)),"RETRASO DE 5-10 MIN",IF((AM463-AK463)&gt;=TIME(0,10,0),"RETRASO &gt;10 MIN", IF(AND((AK463-AM463)&gt;=TIME(0,0,0),(AK463-AM463)&lt;TIME(0,3,0)),"OK",IF((AK463-AM463)&gt;=TIME(0,3,0),"ADELANTADO")))))))</f>
        <v/>
      </c>
      <c r="AM463" s="91" t="n"/>
      <c r="AN463" s="89">
        <f>IF(AE463&lt;&gt;"",HLOOKUP(VALUE(TEXT(AK463,"h:mm:ss")),IF($C$6="Laboral",$FZ$4:$GX$227,IF($C$6="Sábado",$FZ$231:$GX$452,$FZ$456:$GX$656)),VLOOKUP($C$4,$HF$2:$HH$99,3,0)+IF(AG$5="Ida",0,1),1),"")</f>
        <v/>
      </c>
      <c r="AO463" s="89">
        <f>IF(AE464&lt;&gt;AE463,AVERAGEIF(AE$9:AE463,AE463,AN$9:AN463),"")</f>
        <v/>
      </c>
      <c r="AP463" s="89">
        <f>IFERROR(IF(AE464&lt;&gt;AE463,AVERAGEIF(AE$9:AE463,AE463,AW$9:AW463),""),"")</f>
        <v/>
      </c>
      <c r="AQ463" s="89">
        <f>IFERROR(IF(AE464&lt;&gt;AE463,AVERAGEIF(AE$9:AE463,AE463,AX$9:AX463),""),"")</f>
        <v/>
      </c>
      <c r="AR463" s="89">
        <f t="array" ref="AR463">IFERROR(IF(AE464&lt;&gt;AE463,_xlfn.STDEV.P(IF(AE$9:AE463=AE463,AX$9:AX463)),""),"")</f>
        <v/>
      </c>
      <c r="AS463" s="89">
        <f t="array" ref="AS463">IFERROR(IF(AE464&lt;&gt;AE463,_xlfn.STDEV.P(IF(AE$9:AE463=AE463,AW$9:AW463)),""),"")</f>
        <v/>
      </c>
      <c r="AT463" s="90">
        <f>IFERROR(IF(AE463&lt;&gt;AE464,MAX((((AQ463*24*60)/2)*(1+POWER((((AR463*24*60) / (AQ463*24*60) )),2))) + ((AQ463*24*60 )*-0.1 + (AO463*0.015)) +1,(((AQ463*24*60)/2)*(1+POWER((((AR463*24*60) / (AQ463*24*60 ))),2)))),""),"")</f>
        <v/>
      </c>
      <c r="AU463" s="90">
        <f>IF(AND(AS463&lt;&gt;"",AP463&lt;&gt;""),IF(AE463&lt;&gt;AE464,((AP463*24*60) / 2 ) * (1 + POWER(((AS463*24*60) / (AP463*24*60)),2)),""),"")</f>
        <v/>
      </c>
      <c r="AV463" s="90">
        <f>IF(AU463&lt;&gt;"",MAX(AT463,AU463),"")</f>
        <v/>
      </c>
      <c r="AW463" s="89">
        <f>IF(AM463&lt;&gt;"H. Sale Real",IF(AND(AM464&lt;&gt;"",LEFT(AG464,2)&lt;&gt;"Va"),IF(AND(AM463&lt;&gt;"",LEFT(AG463,2)&lt;&gt;"Va",AM463&lt;&gt;"H. Sale Real"),IF(AM464-AM463&lt;0.208333333333333,AM464-AM463,""),IF(AND(AM462&lt;&gt;"",LEFT(AG462,2)&lt;&gt;"Va",AM462&lt;&gt;"H. Sale Real"),IF(AM464-AM462&lt;0.208333333333333,AM464-AM462,""),IF(AND(AM461&lt;&gt;"",LEFT(AG461,2)&lt;&gt;"Va",AM461&lt;&gt;"H. Sale Real"),IF(AM464-AM461&lt;0.208333333333333,AM464-AM461,""),IF(AND(AM460&lt;&gt;"",LEFT(AG460,2)&lt;&gt;"Va",AM460&lt;&gt;"H. Sale Real"),IF(AM464-AM460&lt;0.208333333333333,AM464-AM460,""),IF(AND(AM459&lt;&gt;"",LEFT(AG459,2)&lt;&gt;"Va",AM459&lt;&gt;"H. Sale Real"),IF(AM464-AM459&lt;0.208333333333333,AM464-AM459,""),""))))),""),"")</f>
        <v/>
      </c>
      <c r="AX463" s="89">
        <f>IF(AK463&lt;&gt;"H. Sale Real",IF(AND(AK464&lt;&gt;"",LEFT(AG464,2)&lt;&gt;"Va"),IF(AND(AK463&lt;&gt;"",LEFT(AG463,2)&lt;&gt;"Va",AK463&lt;&gt;"H. Sale Real"),IF(AK464-AK463&lt;0.208333333333333,AK464-AK463,""),IF(AND(AK462&lt;&gt;"",LEFT(AG462,2)&lt;&gt;"Va",AK462&lt;&gt;"H. Sale Real"),IF(AK464-AK462&lt;0.208333333333333,AK464-AK462,""),IF(AND(AK461&lt;&gt;"",LEFT(AG461,2)&lt;&gt;"NC",AK461&lt;&gt;"H. Sale Real"),IF(AK464-AK461&lt;0.208333333333333,AK464-AK461,""),IF(AND(AK460&lt;&gt;"",LEFT(AG460,2)&lt;&gt;"Va",AK460&lt;&gt;"H. Sale Real"),IF(AK464-AK460&lt;0.208333333333333,AK464-AK460,""),IF(AND(AK459&lt;&gt;"",LEFT(AG459,2)&lt;&gt;"Va",AK459&lt;&gt;"H. Sale Real"),IF(AK464-AK459&lt;0.208333333333333,AK464-AK459,""),""))))),""),"")</f>
        <v/>
      </c>
      <c r="AY463" s="87" t="n"/>
      <c r="AZ463" s="89" t="n"/>
      <c r="BA463" s="87" t="n"/>
      <c r="BB463" s="89" t="n"/>
      <c r="BC463" s="91" t="n"/>
      <c r="BD463" s="122">
        <f>IF(AK463&lt;&gt;"",IF(AND(BD462&lt;&gt;"IE",AT463&lt;&gt;0,AV463&lt;&gt;""),IF(IFERROR((AT463/AV463),0) &lt;=1,IFERROR(AT463/AV463,""),1),""),"")</f>
        <v/>
      </c>
      <c r="BE463" s="93" t="n"/>
      <c r="BF463" s="105" t="n"/>
      <c r="FC463" t="inlineStr">
        <is>
          <t>Diccionario 1</t>
        </is>
      </c>
      <c r="FD463" s="15" t="inlineStr"/>
      <c r="FE463" s="17" t="inlineStr">
        <is>
          <t>LDYECS311S0044398</t>
        </is>
      </c>
      <c r="FF463" s="18" t="inlineStr">
        <is>
          <t>MDN35025030205</t>
        </is>
      </c>
      <c r="FG463" s="18" t="inlineStr">
        <is>
          <t>Zhong Thong</t>
        </is>
      </c>
      <c r="FH463" s="18" t="inlineStr">
        <is>
          <t>Lck6122evg</t>
        </is>
      </c>
      <c r="FI463" s="18" t="inlineStr">
        <is>
          <t>Zhong Thong</t>
        </is>
      </c>
      <c r="FJ463" s="18" t="inlineStr">
        <is>
          <t>Lck6122evg</t>
        </is>
      </c>
      <c r="FK463" s="18" t="n">
        <v>2026</v>
      </c>
      <c r="FL463" s="18" t="inlineStr">
        <is>
          <t>B</t>
        </is>
      </c>
      <c r="FM463" s="18" t="inlineStr">
        <is>
          <t>Recoleta</t>
        </is>
      </c>
      <c r="FP463" t="inlineStr">
        <is>
          <t>B</t>
        </is>
      </c>
      <c r="FS463" s="14" t="inlineStr">
        <is>
          <t>VJKV-14|</t>
        </is>
      </c>
      <c r="FT463" t="inlineStr">
        <is>
          <t>VJKV-14|</t>
        </is>
      </c>
      <c r="FU463" t="inlineStr">
        <is>
          <t>VJKV-14</t>
        </is>
      </c>
      <c r="FV463">
        <f>VLOOKUP(FU463,FD:FL,9,0)</f>
        <v/>
      </c>
      <c r="FZ463" s="51" t="inlineStr">
        <is>
          <t>B08</t>
        </is>
      </c>
      <c r="GA463" s="43" t="n">
        <v>0</v>
      </c>
      <c r="GB463" s="43" t="n">
        <v>0</v>
      </c>
      <c r="GC463" s="43" t="n">
        <v>0</v>
      </c>
      <c r="GD463" s="43" t="n">
        <v>0</v>
      </c>
      <c r="GE463" s="43" t="n">
        <v>15.695</v>
      </c>
      <c r="GF463" s="43" t="n">
        <v>29.125</v>
      </c>
      <c r="GG463" s="43" t="n">
        <v>25.505</v>
      </c>
      <c r="GH463" s="43" t="n">
        <v>23.56</v>
      </c>
      <c r="GI463" s="43" t="n">
        <v>23.025</v>
      </c>
      <c r="GJ463" s="43" t="n">
        <v>21.71</v>
      </c>
      <c r="GK463" s="43" t="n">
        <v>20.72</v>
      </c>
      <c r="GL463" s="43" t="n">
        <v>19.8</v>
      </c>
      <c r="GM463" s="43" t="n">
        <v>18.86</v>
      </c>
      <c r="GN463" s="43" t="n">
        <v>18.25</v>
      </c>
      <c r="GO463" s="43" t="n">
        <v>19.165</v>
      </c>
      <c r="GP463" s="43" t="n">
        <v>19.85</v>
      </c>
      <c r="GQ463" s="43" t="n">
        <v>19.755</v>
      </c>
      <c r="GR463" s="43" t="n">
        <v>19.36</v>
      </c>
      <c r="GS463" s="43" t="n">
        <v>19.175</v>
      </c>
      <c r="GT463" s="43" t="n">
        <v>19.69</v>
      </c>
      <c r="GU463" s="43" t="n">
        <v>20.995</v>
      </c>
      <c r="GV463" s="43" t="n">
        <v>22.635</v>
      </c>
      <c r="GW463" s="43" t="n">
        <v>24.94</v>
      </c>
      <c r="GX463" s="43" t="n">
        <v>26.455</v>
      </c>
      <c r="HA463" s="35" t="n">
        <v>8</v>
      </c>
      <c r="HB463" s="35" t="n">
        <v>457</v>
      </c>
    </row>
    <row r="464" ht="15.5" customHeight="1">
      <c r="A464" s="10">
        <f>HOUR(G464)+1</f>
        <v/>
      </c>
      <c r="B464" s="7" t="n"/>
      <c r="C464" s="7" t="n"/>
      <c r="D464" s="85">
        <f>IFERROR(
IF(AND(OR(Planilla!B464="C",Planilla!B464="c"), VLOOKUP(E464,FD:FP,13,0)="C"), "OK",IF(AND(OR(Planilla!B464="C",Planilla!B464="c"), OR(VLOOKUP(E464,FD:FP,13,0)="B", VLOOKUP(E464,FD:FP,13,0)="A")), "DEFICIT",IF(
AND(OR(Planilla!B464="B", Planilla!B464="BPAL"), VLOOKUP(E464,FD:FP,13,0)="B"), "OK",IF(AND(OR(Planilla!B464="B", Planilla!B464="BPAL"), VLOOKUP(E464,FD:FP,13,0)="A"), "DEFICIT",IF(AND(OR(Planilla!B464="B", Planilla!B464="BPAL"), VLOOKUP(E464,FD:FP,13,0)="C"), "SOBREOFERTA",IF(AND(Planilla!B464="A", VLOOKUP(E464,FD:FP,13,0)="A"), "OK",IF(
AND(Planilla!B464="A", OR(VLOOKUP(E464,FD:FP,13,0)="B", VLOOKUP(E464,FD:FP,13,0)="C")), "SOBREOFERTA",""
))))))),"")</f>
        <v/>
      </c>
      <c r="E464" s="8" t="n"/>
      <c r="F464" s="86" t="n"/>
      <c r="G464" s="87" t="n"/>
      <c r="H464" s="88">
        <f>IF(I464="","",IF(AND((I464-G464)&gt;=TIME(0,0,0),(I464-G464)&lt;TIME(0,3,0)),"OK",IF(AND((I464-G464)&gt;=TIME(0,3,0),(I464-G464)&lt;TIME(0,5,0)),"RETRASO DE 3-5 MIN",IF(AND((I464-G464)&gt;=TIME(0,5,0),(I464-G464)&lt;TIME(0,10,0)),"RETRASO DE 5-10 MIN",IF((I464-G464)&gt;=TIME(0,10,0),"RETRASO &gt;10 MIN", IF(AND((G464-I464)&gt;=TIME(0,0,0),(G464-I464)&lt;TIME(0,3,0)),"OK",IF((G464-I464)&gt;=TIME(0,3,0),"ADELANTADO")))))))</f>
        <v/>
      </c>
      <c r="I464" s="89" t="n"/>
      <c r="J464" s="89">
        <f>IF(A464&lt;&gt;"",HLOOKUP(VALUE(TEXT(G464,"h:mm:ss")),IF($C$6="Laboral",$FZ$4:$GX$227,IF($C$6="Sábado",$FZ$231:$GX$452,$FZ$456:$GX$656)),VLOOKUP($C$4,$HF$2:$HH$99,3,0)+IF(C$5="Ida",0,1),1),"")</f>
        <v/>
      </c>
      <c r="K464" s="89">
        <f>IF(A465&lt;&gt;A464,AVERAGEIF(A$9:A464,A464,J$9:J464),"")</f>
        <v/>
      </c>
      <c r="L464" s="89">
        <f>IFERROR(IF(A465&lt;&gt;A464,AVERAGEIF(A$9:A464,A464,S$9:S464),""),"")</f>
        <v/>
      </c>
      <c r="M464" s="89">
        <f>IFERROR(IF(A465&lt;&gt;A464,AVERAGEIF(A$9:A464,A464,T$9:T464),""),"")</f>
        <v/>
      </c>
      <c r="N464" s="89">
        <f t="array" ref="N464">IFERROR(IF(A465&lt;&gt;A464,_xlfn.STDEV.P(IF(A$9:A464=A464,T$9:T464)),""),"")</f>
        <v/>
      </c>
      <c r="O464" s="89">
        <f t="array" ref="O464">IFERROR(IF(A465&lt;&gt;A464,_xlfn.STDEV.P(IF(A$9:A464=A464,S$9:S464)),""),"")</f>
        <v/>
      </c>
      <c r="P464" s="90">
        <f>IFERROR(IF(A464&lt;&gt;A465,MAX((((M464*24*60)/2)*(1+POWER((((N464*24*60) / (M464*24*60) )),2))) + ((M464*24*60 )*-0.1 + (K464*0.015)) +1,(((M464*24*60)/2)*(1+POWER((((N464*24*60) / (M464*24*60 ))),2)))),""),"")</f>
        <v/>
      </c>
      <c r="Q464" s="90">
        <f>IF(AND(O464&lt;&gt;"",L464&lt;&gt;""),IF(A464&lt;&gt;A465,((L464*24*60) / 2 ) * (1 + POWER(((O464*24*60) / (L464*24*60)),2)),""),"")</f>
        <v/>
      </c>
      <c r="R464" s="90">
        <f>IF(Q464&lt;&gt;"",MAX(P464,Q464),"")</f>
        <v/>
      </c>
      <c r="S464" s="89">
        <f>IF(I464&lt;&gt;"H. Sale Real",IF(AND(I465&lt;&gt;"",LEFT(C465,2)&lt;&gt;"Va"),IF(AND(I464&lt;&gt;"",LEFT(C464,2)&lt;&gt;"Va",I464&lt;&gt;"H. Sale Real"),IF(I465-I464&lt;0.208333333333333,I465-I464,""),IF(AND(I463&lt;&gt;"",LEFT(C463,2)&lt;&gt;"Va",I463&lt;&gt;"H. Sale Real"),IF(I465-I463&lt;0.208333333333333,I465-I463,""),IF(AND(I462&lt;&gt;"",LEFT(C462,2)&lt;&gt;"Va",I462&lt;&gt;"H. Sale Real"),IF(I465-I462&lt;0.208333333333333,I465-I462,""),IF(AND(I461&lt;&gt;"",LEFT(C461,2)&lt;&gt;"Va",I461&lt;&gt;"H. Sale Real"),IF(I465-I461&lt;0.208333333333333,I465-I461,""),IF(AND(I460&lt;&gt;"",LEFT(C460,2)&lt;&gt;"Va",I460&lt;&gt;"H. Sale Real"),IF(I465-I460&lt;0.208333333333333,I465-I460,""),""))))),""),"")</f>
        <v/>
      </c>
      <c r="T464" s="89">
        <f>IF(G464&lt;&gt;"H. Sale Real",IF(AND(G465&lt;&gt;"",LEFT(C465,2)&lt;&gt;"Va"),IF(AND(G464&lt;&gt;"",LEFT(C464,2)&lt;&gt;"Va",G464&lt;&gt;"H. Sale Real"),IF(G465-G464&lt;0.208333333333333,G465-G464,""),IF(AND(G463&lt;&gt;"",LEFT(C463,2)&lt;&gt;"Va",G463&lt;&gt;"H. Sale Real"),IF(G465-G463&lt;0.208333333333333,G465-G463,""),IF(AND(G462&lt;&gt;"",LEFT(C462,2)&lt;&gt;"Va",G462&lt;&gt;"H. Sale Real"),IF(G465-G462&lt;0.208333333333333,G465-G462,""),IF(AND(G461&lt;&gt;"",LEFT(C461,2)&lt;&gt;"Va",G461&lt;&gt;"H. Sale Real"),IF(G465-G461&lt;0.208333333333333,G465-G461,""),IF(AND(G460&lt;&gt;"",LEFT(C460,2)&lt;&gt;"Va",G460&lt;&gt;"H. Sale Real"),IF(G465-G460&lt;0.208333333333333,G465-G460,""),""))))),""),"")</f>
        <v/>
      </c>
      <c r="U464" s="87" t="n"/>
      <c r="V464" s="89" t="n"/>
      <c r="W464" s="87" t="n"/>
      <c r="X464" s="89" t="n"/>
      <c r="Y464" s="91" t="n"/>
      <c r="Z464" s="122">
        <f>IF(G464&lt;&gt;"",IF(AND(Z463&lt;&gt;"IE",P464&lt;&gt;0,R464&lt;&gt;""),IF(IFERROR((P464/R464),0) &lt;=1,IFERROR(P464/R464,""),1),""),"")</f>
        <v/>
      </c>
      <c r="AA464" s="93" t="n"/>
      <c r="AB464" s="2" t="n"/>
      <c r="AE464" s="10">
        <f>HOUR(AK464)+1</f>
        <v/>
      </c>
      <c r="AF464" s="7" t="n"/>
      <c r="AG464" s="7" t="n"/>
      <c r="AH464" s="86" t="n"/>
      <c r="AI464" s="8" t="n"/>
      <c r="AJ464" s="86" t="n"/>
      <c r="AK464" s="87" t="n"/>
      <c r="AL464" s="88">
        <f>IF(AM464="","",IF(AND((AM464-AK464)&gt;=TIME(0,0,0),(AM464-AK464)&lt;TIME(0,3,0)),"OK",IF(AND((AM464-AK464)&gt;=TIME(0,3,0),(AM464-AK464)&lt;TIME(0,5,0)),"RETRASO DE 3-5 MIN",IF(AND((AM464-AK464)&gt;=TIME(0,5,0),(AM464-AK464)&lt;TIME(0,10,0)),"RETRASO DE 5-10 MIN",IF((AM464-AK464)&gt;=TIME(0,10,0),"RETRASO &gt;10 MIN", IF(AND((AK464-AM464)&gt;=TIME(0,0,0),(AK464-AM464)&lt;TIME(0,3,0)),"OK",IF((AK464-AM464)&gt;=TIME(0,3,0),"ADELANTADO")))))))</f>
        <v/>
      </c>
      <c r="AM464" s="91" t="n"/>
      <c r="AN464" s="89">
        <f>IF(AE464&lt;&gt;"",HLOOKUP(VALUE(TEXT(AK464,"h:mm:ss")),IF($C$6="Laboral",$FZ$4:$GX$227,IF($C$6="Sábado",$FZ$231:$GX$452,$FZ$456:$GX$656)),VLOOKUP($C$4,$HF$2:$HH$99,3,0)+IF(AG$5="Ida",0,1),1),"")</f>
        <v/>
      </c>
      <c r="AO464" s="89">
        <f>IF(AE465&lt;&gt;AE464,AVERAGEIF(AE$9:AE464,AE464,AN$9:AN464),"")</f>
        <v/>
      </c>
      <c r="AP464" s="89">
        <f>IFERROR(IF(AE465&lt;&gt;AE464,AVERAGEIF(AE$9:AE464,AE464,AW$9:AW464),""),"")</f>
        <v/>
      </c>
      <c r="AQ464" s="89">
        <f>IFERROR(IF(AE465&lt;&gt;AE464,AVERAGEIF(AE$9:AE464,AE464,AX$9:AX464),""),"")</f>
        <v/>
      </c>
      <c r="AR464" s="89">
        <f t="array" ref="AR464">IFERROR(IF(AE465&lt;&gt;AE464,_xlfn.STDEV.P(IF(AE$9:AE464=AE464,AX$9:AX464)),""),"")</f>
        <v/>
      </c>
      <c r="AS464" s="89">
        <f t="array" ref="AS464">IFERROR(IF(AE465&lt;&gt;AE464,_xlfn.STDEV.P(IF(AE$9:AE464=AE464,AW$9:AW464)),""),"")</f>
        <v/>
      </c>
      <c r="AT464" s="90">
        <f>IFERROR(IF(AE464&lt;&gt;AE465,MAX((((AQ464*24*60)/2)*(1+POWER((((AR464*24*60) / (AQ464*24*60) )),2))) + ((AQ464*24*60 )*-0.1 + (AO464*0.015)) +1,(((AQ464*24*60)/2)*(1+POWER((((AR464*24*60) / (AQ464*24*60 ))),2)))),""),"")</f>
        <v/>
      </c>
      <c r="AU464" s="90">
        <f>IF(AND(AS464&lt;&gt;"",AP464&lt;&gt;""),IF(AE464&lt;&gt;AE465,((AP464*24*60) / 2 ) * (1 + POWER(((AS464*24*60) / (AP464*24*60)),2)),""),"")</f>
        <v/>
      </c>
      <c r="AV464" s="90">
        <f>IF(AU464&lt;&gt;"",MAX(AT464,AU464),"")</f>
        <v/>
      </c>
      <c r="AW464" s="89">
        <f>IF(AM464&lt;&gt;"H. Sale Real",IF(AND(AM465&lt;&gt;"",LEFT(AG465,2)&lt;&gt;"Va"),IF(AND(AM464&lt;&gt;"",LEFT(AG464,2)&lt;&gt;"Va",AM464&lt;&gt;"H. Sale Real"),IF(AM465-AM464&lt;0.208333333333333,AM465-AM464,""),IF(AND(AM463&lt;&gt;"",LEFT(AG463,2)&lt;&gt;"Va",AM463&lt;&gt;"H. Sale Real"),IF(AM465-AM463&lt;0.208333333333333,AM465-AM463,""),IF(AND(AM462&lt;&gt;"",LEFT(AG462,2)&lt;&gt;"Va",AM462&lt;&gt;"H. Sale Real"),IF(AM465-AM462&lt;0.208333333333333,AM465-AM462,""),IF(AND(AM461&lt;&gt;"",LEFT(AG461,2)&lt;&gt;"Va",AM461&lt;&gt;"H. Sale Real"),IF(AM465-AM461&lt;0.208333333333333,AM465-AM461,""),IF(AND(AM460&lt;&gt;"",LEFT(AG460,2)&lt;&gt;"Va",AM460&lt;&gt;"H. Sale Real"),IF(AM465-AM460&lt;0.208333333333333,AM465-AM460,""),""))))),""),"")</f>
        <v/>
      </c>
      <c r="AX464" s="89">
        <f>IF(AK464&lt;&gt;"H. Sale Real",IF(AND(AK465&lt;&gt;"",LEFT(AG465,2)&lt;&gt;"Va"),IF(AND(AK464&lt;&gt;"",LEFT(AG464,2)&lt;&gt;"Va",AK464&lt;&gt;"H. Sale Real"),IF(AK465-AK464&lt;0.208333333333333,AK465-AK464,""),IF(AND(AK463&lt;&gt;"",LEFT(AG463,2)&lt;&gt;"Va",AK463&lt;&gt;"H. Sale Real"),IF(AK465-AK463&lt;0.208333333333333,AK465-AK463,""),IF(AND(AK462&lt;&gt;"",LEFT(AG462,2)&lt;&gt;"NC",AK462&lt;&gt;"H. Sale Real"),IF(AK465-AK462&lt;0.208333333333333,AK465-AK462,""),IF(AND(AK461&lt;&gt;"",LEFT(AG461,2)&lt;&gt;"Va",AK461&lt;&gt;"H. Sale Real"),IF(AK465-AK461&lt;0.208333333333333,AK465-AK461,""),IF(AND(AK460&lt;&gt;"",LEFT(AG460,2)&lt;&gt;"Va",AK460&lt;&gt;"H. Sale Real"),IF(AK465-AK460&lt;0.208333333333333,AK465-AK460,""),""))))),""),"")</f>
        <v/>
      </c>
      <c r="AY464" s="87" t="n"/>
      <c r="AZ464" s="89" t="n"/>
      <c r="BA464" s="87" t="n"/>
      <c r="BB464" s="89" t="n"/>
      <c r="BC464" s="91" t="n"/>
      <c r="BD464" s="122">
        <f>IF(AK464&lt;&gt;"",IF(AND(BD463&lt;&gt;"IE",AT464&lt;&gt;0,AV464&lt;&gt;""),IF(IFERROR((AT464/AV464),0) &lt;=1,IFERROR(AT464/AV464,""),1),""),"")</f>
        <v/>
      </c>
      <c r="BE464" s="93" t="n"/>
      <c r="BF464" s="105" t="n"/>
      <c r="FC464" t="inlineStr">
        <is>
          <t>Diccionario 1</t>
        </is>
      </c>
      <c r="FD464" s="15" t="inlineStr"/>
      <c r="FE464" s="17" t="inlineStr">
        <is>
          <t>LDYECS317S0044339</t>
        </is>
      </c>
      <c r="FF464" s="18" t="inlineStr">
        <is>
          <t>MDN35025030142</t>
        </is>
      </c>
      <c r="FG464" s="18" t="inlineStr">
        <is>
          <t>Zhong Thong</t>
        </is>
      </c>
      <c r="FH464" s="18" t="inlineStr">
        <is>
          <t>Lck6122evg</t>
        </is>
      </c>
      <c r="FI464" s="18" t="inlineStr">
        <is>
          <t>Zhong Thong</t>
        </is>
      </c>
      <c r="FJ464" s="18" t="inlineStr">
        <is>
          <t>Lck6122evg</t>
        </is>
      </c>
      <c r="FK464" s="18" t="n">
        <v>2026</v>
      </c>
      <c r="FL464" s="18" t="inlineStr">
        <is>
          <t>B</t>
        </is>
      </c>
      <c r="FM464" s="18" t="inlineStr">
        <is>
          <t>Lo Blanco</t>
        </is>
      </c>
      <c r="FP464" t="inlineStr">
        <is>
          <t>B</t>
        </is>
      </c>
      <c r="FS464" s="14" t="inlineStr">
        <is>
          <t>LZPT-69|</t>
        </is>
      </c>
      <c r="FT464" t="inlineStr">
        <is>
          <t>LZPT-69|</t>
        </is>
      </c>
      <c r="FU464" t="inlineStr">
        <is>
          <t>LZPT-69</t>
        </is>
      </c>
      <c r="FV464">
        <f>VLOOKUP(FU464,FD:FL,9,0)</f>
        <v/>
      </c>
      <c r="FZ464" s="51" t="inlineStr">
        <is>
          <t>B08</t>
        </is>
      </c>
      <c r="GA464" s="43" t="n">
        <v>0</v>
      </c>
      <c r="GB464" s="43" t="n">
        <v>0</v>
      </c>
      <c r="GC464" s="43" t="n">
        <v>0</v>
      </c>
      <c r="GD464" s="43" t="n">
        <v>0</v>
      </c>
      <c r="GE464" s="43" t="n">
        <v>15.2</v>
      </c>
      <c r="GF464" s="43" t="n">
        <v>29.765</v>
      </c>
      <c r="GG464" s="43" t="n">
        <v>27.705</v>
      </c>
      <c r="GH464" s="43" t="n">
        <v>25.28</v>
      </c>
      <c r="GI464" s="43" t="n">
        <v>23.59</v>
      </c>
      <c r="GJ464" s="43" t="n">
        <v>22.575</v>
      </c>
      <c r="GK464" s="43" t="n">
        <v>21.505</v>
      </c>
      <c r="GL464" s="43" t="n">
        <v>19.89</v>
      </c>
      <c r="GM464" s="43" t="n">
        <v>18.95</v>
      </c>
      <c r="GN464" s="43" t="n">
        <v>18.99</v>
      </c>
      <c r="GO464" s="43" t="n">
        <v>19.355</v>
      </c>
      <c r="GP464" s="43" t="n">
        <v>19.795</v>
      </c>
      <c r="GQ464" s="43" t="n">
        <v>19.88</v>
      </c>
      <c r="GR464" s="43" t="n">
        <v>19.07</v>
      </c>
      <c r="GS464" s="43" t="n">
        <v>18.895</v>
      </c>
      <c r="GT464" s="43" t="n">
        <v>19.45</v>
      </c>
      <c r="GU464" s="43" t="n">
        <v>20.115</v>
      </c>
      <c r="GV464" s="43" t="n">
        <v>22.515</v>
      </c>
      <c r="GW464" s="43" t="n">
        <v>25.185</v>
      </c>
      <c r="GX464" s="43" t="n">
        <v>28.195</v>
      </c>
      <c r="HA464" s="35" t="n">
        <v>9</v>
      </c>
      <c r="HB464" s="35" t="n">
        <v>458</v>
      </c>
    </row>
    <row r="465" ht="15.5" customHeight="1">
      <c r="A465" s="10">
        <f>HOUR(G465)+1</f>
        <v/>
      </c>
      <c r="B465" s="7" t="n"/>
      <c r="C465" s="7" t="n"/>
      <c r="D465" s="85">
        <f>IFERROR(
IF(AND(OR(Planilla!B465="C",Planilla!B465="c"), VLOOKUP(E465,FD:FP,13,0)="C"), "OK",IF(AND(OR(Planilla!B465="C",Planilla!B465="c"), OR(VLOOKUP(E465,FD:FP,13,0)="B", VLOOKUP(E465,FD:FP,13,0)="A")), "DEFICIT",IF(
AND(OR(Planilla!B465="B", Planilla!B465="BPAL"), VLOOKUP(E465,FD:FP,13,0)="B"), "OK",IF(AND(OR(Planilla!B465="B", Planilla!B465="BPAL"), VLOOKUP(E465,FD:FP,13,0)="A"), "DEFICIT",IF(AND(OR(Planilla!B465="B", Planilla!B465="BPAL"), VLOOKUP(E465,FD:FP,13,0)="C"), "SOBREOFERTA",IF(AND(Planilla!B465="A", VLOOKUP(E465,FD:FP,13,0)="A"), "OK",IF(
AND(Planilla!B465="A", OR(VLOOKUP(E465,FD:FP,13,0)="B", VLOOKUP(E465,FD:FP,13,0)="C")), "SOBREOFERTA",""
))))))),"")</f>
        <v/>
      </c>
      <c r="E465" s="8" t="n"/>
      <c r="F465" s="86" t="n"/>
      <c r="G465" s="87" t="n"/>
      <c r="H465" s="88">
        <f>IF(I465="","",IF(AND((I465-G465)&gt;=TIME(0,0,0),(I465-G465)&lt;TIME(0,3,0)),"OK",IF(AND((I465-G465)&gt;=TIME(0,3,0),(I465-G465)&lt;TIME(0,5,0)),"RETRASO DE 3-5 MIN",IF(AND((I465-G465)&gt;=TIME(0,5,0),(I465-G465)&lt;TIME(0,10,0)),"RETRASO DE 5-10 MIN",IF((I465-G465)&gt;=TIME(0,10,0),"RETRASO &gt;10 MIN", IF(AND((G465-I465)&gt;=TIME(0,0,0),(G465-I465)&lt;TIME(0,3,0)),"OK",IF((G465-I465)&gt;=TIME(0,3,0),"ADELANTADO")))))))</f>
        <v/>
      </c>
      <c r="I465" s="89" t="n"/>
      <c r="J465" s="89">
        <f>IF(A465&lt;&gt;"",HLOOKUP(VALUE(TEXT(G465,"h:mm:ss")),IF($C$6="Laboral",$FZ$4:$GX$227,IF($C$6="Sábado",$FZ$231:$GX$452,$FZ$456:$GX$656)),VLOOKUP($C$4,$HF$2:$HH$99,3,0)+IF(C$5="Ida",0,1),1),"")</f>
        <v/>
      </c>
      <c r="K465" s="89">
        <f>IF(A466&lt;&gt;A465,AVERAGEIF(A$9:A465,A465,J$9:J465),"")</f>
        <v/>
      </c>
      <c r="L465" s="89">
        <f>IFERROR(IF(A466&lt;&gt;A465,AVERAGEIF(A$9:A465,A465,S$9:S465),""),"")</f>
        <v/>
      </c>
      <c r="M465" s="89">
        <f>IFERROR(IF(A466&lt;&gt;A465,AVERAGEIF(A$9:A465,A465,T$9:T465),""),"")</f>
        <v/>
      </c>
      <c r="N465" s="89">
        <f t="array" ref="N465">IFERROR(IF(A466&lt;&gt;A465,_xlfn.STDEV.P(IF(A$9:A465=A465,T$9:T465)),""),"")</f>
        <v/>
      </c>
      <c r="O465" s="89">
        <f t="array" ref="O465">IFERROR(IF(A466&lt;&gt;A465,_xlfn.STDEV.P(IF(A$9:A465=A465,S$9:S465)),""),"")</f>
        <v/>
      </c>
      <c r="P465" s="90">
        <f>IFERROR(IF(A465&lt;&gt;A466,MAX((((M465*24*60)/2)*(1+POWER((((N465*24*60) / (M465*24*60) )),2))) + ((M465*24*60 )*-0.1 + (K465*0.015)) +1,(((M465*24*60)/2)*(1+POWER((((N465*24*60) / (M465*24*60 ))),2)))),""),"")</f>
        <v/>
      </c>
      <c r="Q465" s="90">
        <f>IF(AND(O465&lt;&gt;"",L465&lt;&gt;""),IF(A465&lt;&gt;A466,((L465*24*60) / 2 ) * (1 + POWER(((O465*24*60) / (L465*24*60)),2)),""),"")</f>
        <v/>
      </c>
      <c r="R465" s="90">
        <f>IF(Q465&lt;&gt;"",MAX(P465,Q465),"")</f>
        <v/>
      </c>
      <c r="S465" s="89">
        <f>IF(I465&lt;&gt;"H. Sale Real",IF(AND(I466&lt;&gt;"",LEFT(C466,2)&lt;&gt;"Va"),IF(AND(I465&lt;&gt;"",LEFT(C465,2)&lt;&gt;"Va",I465&lt;&gt;"H. Sale Real"),IF(I466-I465&lt;0.208333333333333,I466-I465,""),IF(AND(I464&lt;&gt;"",LEFT(C464,2)&lt;&gt;"Va",I464&lt;&gt;"H. Sale Real"),IF(I466-I464&lt;0.208333333333333,I466-I464,""),IF(AND(I463&lt;&gt;"",LEFT(C463,2)&lt;&gt;"Va",I463&lt;&gt;"H. Sale Real"),IF(I466-I463&lt;0.208333333333333,I466-I463,""),IF(AND(I462&lt;&gt;"",LEFT(C462,2)&lt;&gt;"Va",I462&lt;&gt;"H. Sale Real"),IF(I466-I462&lt;0.208333333333333,I466-I462,""),IF(AND(I461&lt;&gt;"",LEFT(C461,2)&lt;&gt;"Va",I461&lt;&gt;"H. Sale Real"),IF(I466-I461&lt;0.208333333333333,I466-I461,""),""))))),""),"")</f>
        <v/>
      </c>
      <c r="T465" s="89">
        <f>IF(G465&lt;&gt;"H. Sale Real",IF(AND(G466&lt;&gt;"",LEFT(C466,2)&lt;&gt;"Va"),IF(AND(G465&lt;&gt;"",LEFT(C465,2)&lt;&gt;"Va",G465&lt;&gt;"H. Sale Real"),IF(G466-G465&lt;0.208333333333333,G466-G465,""),IF(AND(G464&lt;&gt;"",LEFT(C464,2)&lt;&gt;"Va",G464&lt;&gt;"H. Sale Real"),IF(G466-G464&lt;0.208333333333333,G466-G464,""),IF(AND(G463&lt;&gt;"",LEFT(C463,2)&lt;&gt;"Va",G463&lt;&gt;"H. Sale Real"),IF(G466-G463&lt;0.208333333333333,G466-G463,""),IF(AND(G462&lt;&gt;"",LEFT(C462,2)&lt;&gt;"Va",G462&lt;&gt;"H. Sale Real"),IF(G466-G462&lt;0.208333333333333,G466-G462,""),IF(AND(G461&lt;&gt;"",LEFT(C461,2)&lt;&gt;"Va",G461&lt;&gt;"H. Sale Real"),IF(G466-G461&lt;0.208333333333333,G466-G461,""),""))))),""),"")</f>
        <v/>
      </c>
      <c r="U465" s="87" t="n"/>
      <c r="V465" s="89" t="n"/>
      <c r="W465" s="87" t="n"/>
      <c r="X465" s="89" t="n"/>
      <c r="Y465" s="91" t="n"/>
      <c r="Z465" s="122">
        <f>IF(G465&lt;&gt;"",IF(AND(Z464&lt;&gt;"IE",P465&lt;&gt;0,R465&lt;&gt;""),IF(IFERROR((P465/R465),0) &lt;=1,IFERROR(P465/R465,""),1),""),"")</f>
        <v/>
      </c>
      <c r="AA465" s="93" t="n"/>
      <c r="AB465" s="2" t="n"/>
      <c r="AE465" s="10">
        <f>HOUR(AK465)+1</f>
        <v/>
      </c>
      <c r="AF465" s="7" t="n"/>
      <c r="AG465" s="7" t="n"/>
      <c r="AH465" s="86" t="n"/>
      <c r="AI465" s="8" t="n"/>
      <c r="AJ465" s="86" t="n"/>
      <c r="AK465" s="87" t="n"/>
      <c r="AL465" s="88">
        <f>IF(AM465="","",IF(AND((AM465-AK465)&gt;=TIME(0,0,0),(AM465-AK465)&lt;TIME(0,3,0)),"OK",IF(AND((AM465-AK465)&gt;=TIME(0,3,0),(AM465-AK465)&lt;TIME(0,5,0)),"RETRASO DE 3-5 MIN",IF(AND((AM465-AK465)&gt;=TIME(0,5,0),(AM465-AK465)&lt;TIME(0,10,0)),"RETRASO DE 5-10 MIN",IF((AM465-AK465)&gt;=TIME(0,10,0),"RETRASO &gt;10 MIN", IF(AND((AK465-AM465)&gt;=TIME(0,0,0),(AK465-AM465)&lt;TIME(0,3,0)),"OK",IF((AK465-AM465)&gt;=TIME(0,3,0),"ADELANTADO")))))))</f>
        <v/>
      </c>
      <c r="AM465" s="91" t="n"/>
      <c r="AN465" s="89">
        <f>IF(AE465&lt;&gt;"",HLOOKUP(VALUE(TEXT(AK465,"h:mm:ss")),IF($C$6="Laboral",$FZ$4:$GX$227,IF($C$6="Sábado",$FZ$231:$GX$452,$FZ$456:$GX$656)),VLOOKUP($C$4,$HF$2:$HH$99,3,0)+IF(AG$5="Ida",0,1),1),"")</f>
        <v/>
      </c>
      <c r="AO465" s="89">
        <f>IF(AE466&lt;&gt;AE465,AVERAGEIF(AE$9:AE465,AE465,AN$9:AN465),"")</f>
        <v/>
      </c>
      <c r="AP465" s="89">
        <f>IFERROR(IF(AE466&lt;&gt;AE465,AVERAGEIF(AE$9:AE465,AE465,AW$9:AW465),""),"")</f>
        <v/>
      </c>
      <c r="AQ465" s="89">
        <f>IFERROR(IF(AE466&lt;&gt;AE465,AVERAGEIF(AE$9:AE465,AE465,AX$9:AX465),""),"")</f>
        <v/>
      </c>
      <c r="AR465" s="89">
        <f t="array" ref="AR465">IFERROR(IF(AE466&lt;&gt;AE465,_xlfn.STDEV.P(IF(AE$9:AE465=AE465,AX$9:AX465)),""),"")</f>
        <v/>
      </c>
      <c r="AS465" s="89">
        <f t="array" ref="AS465">IFERROR(IF(AE466&lt;&gt;AE465,_xlfn.STDEV.P(IF(AE$9:AE465=AE465,AW$9:AW465)),""),"")</f>
        <v/>
      </c>
      <c r="AT465" s="90">
        <f>IFERROR(IF(AE465&lt;&gt;AE466,MAX((((AQ465*24*60)/2)*(1+POWER((((AR465*24*60) / (AQ465*24*60) )),2))) + ((AQ465*24*60 )*-0.1 + (AO465*0.015)) +1,(((AQ465*24*60)/2)*(1+POWER((((AR465*24*60) / (AQ465*24*60 ))),2)))),""),"")</f>
        <v/>
      </c>
      <c r="AU465" s="90">
        <f>IF(AND(AS465&lt;&gt;"",AP465&lt;&gt;""),IF(AE465&lt;&gt;AE466,((AP465*24*60) / 2 ) * (1 + POWER(((AS465*24*60) / (AP465*24*60)),2)),""),"")</f>
        <v/>
      </c>
      <c r="AV465" s="90">
        <f>IF(AU465&lt;&gt;"",MAX(AT465,AU465),"")</f>
        <v/>
      </c>
      <c r="AW465" s="89">
        <f>IF(AM465&lt;&gt;"H. Sale Real",IF(AND(AM466&lt;&gt;"",LEFT(AG466,2)&lt;&gt;"Va"),IF(AND(AM465&lt;&gt;"",LEFT(AG465,2)&lt;&gt;"Va",AM465&lt;&gt;"H. Sale Real"),IF(AM466-AM465&lt;0.208333333333333,AM466-AM465,""),IF(AND(AM464&lt;&gt;"",LEFT(AG464,2)&lt;&gt;"Va",AM464&lt;&gt;"H. Sale Real"),IF(AM466-AM464&lt;0.208333333333333,AM466-AM464,""),IF(AND(AM463&lt;&gt;"",LEFT(AG463,2)&lt;&gt;"Va",AM463&lt;&gt;"H. Sale Real"),IF(AM466-AM463&lt;0.208333333333333,AM466-AM463,""),IF(AND(AM462&lt;&gt;"",LEFT(AG462,2)&lt;&gt;"Va",AM462&lt;&gt;"H. Sale Real"),IF(AM466-AM462&lt;0.208333333333333,AM466-AM462,""),IF(AND(AM461&lt;&gt;"",LEFT(AG461,2)&lt;&gt;"Va",AM461&lt;&gt;"H. Sale Real"),IF(AM466-AM461&lt;0.208333333333333,AM466-AM461,""),""))))),""),"")</f>
        <v/>
      </c>
      <c r="AX465" s="89">
        <f>IF(AK465&lt;&gt;"H. Sale Real",IF(AND(AK466&lt;&gt;"",LEFT(AG466,2)&lt;&gt;"Va"),IF(AND(AK465&lt;&gt;"",LEFT(AG465,2)&lt;&gt;"Va",AK465&lt;&gt;"H. Sale Real"),IF(AK466-AK465&lt;0.208333333333333,AK466-AK465,""),IF(AND(AK464&lt;&gt;"",LEFT(AG464,2)&lt;&gt;"Va",AK464&lt;&gt;"H. Sale Real"),IF(AK466-AK464&lt;0.208333333333333,AK466-AK464,""),IF(AND(AK463&lt;&gt;"",LEFT(AG463,2)&lt;&gt;"NC",AK463&lt;&gt;"H. Sale Real"),IF(AK466-AK463&lt;0.208333333333333,AK466-AK463,""),IF(AND(AK462&lt;&gt;"",LEFT(AG462,2)&lt;&gt;"Va",AK462&lt;&gt;"H. Sale Real"),IF(AK466-AK462&lt;0.208333333333333,AK466-AK462,""),IF(AND(AK461&lt;&gt;"",LEFT(AG461,2)&lt;&gt;"Va",AK461&lt;&gt;"H. Sale Real"),IF(AK466-AK461&lt;0.208333333333333,AK466-AK461,""),""))))),""),"")</f>
        <v/>
      </c>
      <c r="AY465" s="87" t="n"/>
      <c r="AZ465" s="89" t="n"/>
      <c r="BA465" s="87" t="n"/>
      <c r="BB465" s="89" t="n"/>
      <c r="BC465" s="91" t="n"/>
      <c r="BD465" s="122">
        <f>IF(AK465&lt;&gt;"",IF(AND(BD464&lt;&gt;"IE",AT465&lt;&gt;0,AV465&lt;&gt;""),IF(IFERROR((AT465/AV465),0) &lt;=1,IFERROR(AT465/AV465,""),1),""),"")</f>
        <v/>
      </c>
      <c r="BE465" s="93" t="n"/>
      <c r="BF465" s="105" t="n"/>
      <c r="FC465" t="inlineStr">
        <is>
          <t>Diccionario 1</t>
        </is>
      </c>
      <c r="FD465" s="15" t="inlineStr"/>
      <c r="FE465" s="17" t="inlineStr">
        <is>
          <t>LDYECS312S0044331</t>
        </is>
      </c>
      <c r="FF465" s="18" t="inlineStr">
        <is>
          <t>MDN35025030246</t>
        </is>
      </c>
      <c r="FG465" s="18" t="inlineStr">
        <is>
          <t>Zhong Thong</t>
        </is>
      </c>
      <c r="FH465" s="18" t="inlineStr">
        <is>
          <t>Lck6122evg</t>
        </is>
      </c>
      <c r="FI465" s="18" t="inlineStr">
        <is>
          <t>Zhong Thong</t>
        </is>
      </c>
      <c r="FJ465" s="18" t="inlineStr">
        <is>
          <t>Lck6122evg</t>
        </is>
      </c>
      <c r="FK465" s="18" t="n">
        <v>2026</v>
      </c>
      <c r="FL465" s="18" t="inlineStr">
        <is>
          <t>B</t>
        </is>
      </c>
      <c r="FM465" s="18" t="inlineStr">
        <is>
          <t>Recoleta</t>
        </is>
      </c>
      <c r="FP465" t="inlineStr">
        <is>
          <t>B</t>
        </is>
      </c>
      <c r="FS465" s="14" t="inlineStr">
        <is>
          <t>LZPR-79|</t>
        </is>
      </c>
      <c r="FT465" t="inlineStr">
        <is>
          <t>LZPR-79|</t>
        </is>
      </c>
      <c r="FU465" t="inlineStr">
        <is>
          <t>LZPR-79</t>
        </is>
      </c>
      <c r="FV465">
        <f>VLOOKUP(FU465,FD:FL,9,0)</f>
        <v/>
      </c>
      <c r="FZ465" s="51" t="inlineStr">
        <is>
          <t>B09</t>
        </is>
      </c>
      <c r="GA465" s="43" t="n">
        <v>0</v>
      </c>
      <c r="GB465" s="43" t="n">
        <v>0</v>
      </c>
      <c r="GC465" s="43" t="n">
        <v>0</v>
      </c>
      <c r="GD465" s="43" t="n">
        <v>0</v>
      </c>
      <c r="GE465" s="43" t="n">
        <v>0</v>
      </c>
      <c r="GF465" s="43" t="n">
        <v>14.18</v>
      </c>
      <c r="GG465" s="43" t="n">
        <v>27.46</v>
      </c>
      <c r="GH465" s="43" t="n">
        <v>26.61</v>
      </c>
      <c r="GI465" s="43" t="n">
        <v>26.425</v>
      </c>
      <c r="GJ465" s="43" t="n">
        <v>26.035</v>
      </c>
      <c r="GK465" s="43" t="n">
        <v>24.935</v>
      </c>
      <c r="GL465" s="43" t="n">
        <v>24.19</v>
      </c>
      <c r="GM465" s="43" t="n">
        <v>23.96</v>
      </c>
      <c r="GN465" s="43" t="n">
        <v>23.465</v>
      </c>
      <c r="GO465" s="43" t="n">
        <v>23.955</v>
      </c>
      <c r="GP465" s="43" t="n">
        <v>23.965</v>
      </c>
      <c r="GQ465" s="43" t="n">
        <v>23.985</v>
      </c>
      <c r="GR465" s="43" t="n">
        <v>23.395</v>
      </c>
      <c r="GS465" s="43" t="n">
        <v>23.38</v>
      </c>
      <c r="GT465" s="43" t="n">
        <v>23.895</v>
      </c>
      <c r="GU465" s="43" t="n">
        <v>25.145</v>
      </c>
      <c r="GV465" s="43" t="n">
        <v>26.76</v>
      </c>
      <c r="GW465" s="43" t="n">
        <v>28.75</v>
      </c>
      <c r="GX465" s="43" t="n">
        <v>30.34</v>
      </c>
      <c r="HA465" s="35" t="n">
        <v>10</v>
      </c>
      <c r="HB465" s="35" t="n">
        <v>459</v>
      </c>
    </row>
    <row r="466" ht="15.5" customHeight="1">
      <c r="A466" s="10">
        <f>HOUR(G466)+1</f>
        <v/>
      </c>
      <c r="B466" s="7" t="n"/>
      <c r="C466" s="7" t="n"/>
      <c r="D466" s="85">
        <f>IFERROR(
IF(AND(OR(Planilla!B466="C",Planilla!B466="c"), VLOOKUP(E466,FD:FP,13,0)="C"), "OK",IF(AND(OR(Planilla!B466="C",Planilla!B466="c"), OR(VLOOKUP(E466,FD:FP,13,0)="B", VLOOKUP(E466,FD:FP,13,0)="A")), "DEFICIT",IF(
AND(OR(Planilla!B466="B", Planilla!B466="BPAL"), VLOOKUP(E466,FD:FP,13,0)="B"), "OK",IF(AND(OR(Planilla!B466="B", Planilla!B466="BPAL"), VLOOKUP(E466,FD:FP,13,0)="A"), "DEFICIT",IF(AND(OR(Planilla!B466="B", Planilla!B466="BPAL"), VLOOKUP(E466,FD:FP,13,0)="C"), "SOBREOFERTA",IF(AND(Planilla!B466="A", VLOOKUP(E466,FD:FP,13,0)="A"), "OK",IF(
AND(Planilla!B466="A", OR(VLOOKUP(E466,FD:FP,13,0)="B", VLOOKUP(E466,FD:FP,13,0)="C")), "SOBREOFERTA",""
))))))),"")</f>
        <v/>
      </c>
      <c r="E466" s="8" t="n"/>
      <c r="F466" s="86" t="n"/>
      <c r="G466" s="87" t="n"/>
      <c r="H466" s="88">
        <f>IF(I466="","",IF(AND((I466-G466)&gt;=TIME(0,0,0),(I466-G466)&lt;TIME(0,3,0)),"OK",IF(AND((I466-G466)&gt;=TIME(0,3,0),(I466-G466)&lt;TIME(0,5,0)),"RETRASO DE 3-5 MIN",IF(AND((I466-G466)&gt;=TIME(0,5,0),(I466-G466)&lt;TIME(0,10,0)),"RETRASO DE 5-10 MIN",IF((I466-G466)&gt;=TIME(0,10,0),"RETRASO &gt;10 MIN", IF(AND((G466-I466)&gt;=TIME(0,0,0),(G466-I466)&lt;TIME(0,3,0)),"OK",IF((G466-I466)&gt;=TIME(0,3,0),"ADELANTADO")))))))</f>
        <v/>
      </c>
      <c r="I466" s="89" t="n"/>
      <c r="J466" s="89">
        <f>IF(A466&lt;&gt;"",HLOOKUP(VALUE(TEXT(G466,"h:mm:ss")),IF($C$6="Laboral",$FZ$4:$GX$227,IF($C$6="Sábado",$FZ$231:$GX$452,$FZ$456:$GX$656)),VLOOKUP($C$4,$HF$2:$HH$99,3,0)+IF(C$5="Ida",0,1),1),"")</f>
        <v/>
      </c>
      <c r="K466" s="89">
        <f>IF(A467&lt;&gt;A466,AVERAGEIF(A$9:A466,A466,J$9:J466),"")</f>
        <v/>
      </c>
      <c r="L466" s="89">
        <f>IFERROR(IF(A467&lt;&gt;A466,AVERAGEIF(A$9:A466,A466,S$9:S466),""),"")</f>
        <v/>
      </c>
      <c r="M466" s="89">
        <f>IFERROR(IF(A467&lt;&gt;A466,AVERAGEIF(A$9:A466,A466,T$9:T466),""),"")</f>
        <v/>
      </c>
      <c r="N466" s="89">
        <f t="array" ref="N466">IFERROR(IF(A467&lt;&gt;A466,_xlfn.STDEV.P(IF(A$9:A466=A466,T$9:T466)),""),"")</f>
        <v/>
      </c>
      <c r="O466" s="89">
        <f t="array" ref="O466">IFERROR(IF(A467&lt;&gt;A466,_xlfn.STDEV.P(IF(A$9:A466=A466,S$9:S466)),""),"")</f>
        <v/>
      </c>
      <c r="P466" s="90">
        <f>IFERROR(IF(A466&lt;&gt;A467,MAX((((M466*24*60)/2)*(1+POWER((((N466*24*60) / (M466*24*60) )),2))) + ((M466*24*60 )*-0.1 + (K466*0.015)) +1,(((M466*24*60)/2)*(1+POWER((((N466*24*60) / (M466*24*60 ))),2)))),""),"")</f>
        <v/>
      </c>
      <c r="Q466" s="90">
        <f>IF(AND(O466&lt;&gt;"",L466&lt;&gt;""),IF(A466&lt;&gt;A467,((L466*24*60) / 2 ) * (1 + POWER(((O466*24*60) / (L466*24*60)),2)),""),"")</f>
        <v/>
      </c>
      <c r="R466" s="90">
        <f>IF(Q466&lt;&gt;"",MAX(P466,Q466),"")</f>
        <v/>
      </c>
      <c r="S466" s="89">
        <f>IF(I466&lt;&gt;"H. Sale Real",IF(AND(I467&lt;&gt;"",LEFT(C467,2)&lt;&gt;"Va"),IF(AND(I466&lt;&gt;"",LEFT(C466,2)&lt;&gt;"Va",I466&lt;&gt;"H. Sale Real"),IF(I467-I466&lt;0.208333333333333,I467-I466,""),IF(AND(I465&lt;&gt;"",LEFT(C465,2)&lt;&gt;"Va",I465&lt;&gt;"H. Sale Real"),IF(I467-I465&lt;0.208333333333333,I467-I465,""),IF(AND(I464&lt;&gt;"",LEFT(C464,2)&lt;&gt;"Va",I464&lt;&gt;"H. Sale Real"),IF(I467-I464&lt;0.208333333333333,I467-I464,""),IF(AND(I463&lt;&gt;"",LEFT(C463,2)&lt;&gt;"Va",I463&lt;&gt;"H. Sale Real"),IF(I467-I463&lt;0.208333333333333,I467-I463,""),IF(AND(I462&lt;&gt;"",LEFT(C462,2)&lt;&gt;"Va",I462&lt;&gt;"H. Sale Real"),IF(I467-I462&lt;0.208333333333333,I467-I462,""),""))))),""),"")</f>
        <v/>
      </c>
      <c r="T466" s="89">
        <f>IF(G466&lt;&gt;"H. Sale Real",IF(AND(G467&lt;&gt;"",LEFT(C467,2)&lt;&gt;"Va"),IF(AND(G466&lt;&gt;"",LEFT(C466,2)&lt;&gt;"Va",G466&lt;&gt;"H. Sale Real"),IF(G467-G466&lt;0.208333333333333,G467-G466,""),IF(AND(G465&lt;&gt;"",LEFT(C465,2)&lt;&gt;"Va",G465&lt;&gt;"H. Sale Real"),IF(G467-G465&lt;0.208333333333333,G467-G465,""),IF(AND(G464&lt;&gt;"",LEFT(C464,2)&lt;&gt;"Va",G464&lt;&gt;"H. Sale Real"),IF(G467-G464&lt;0.208333333333333,G467-G464,""),IF(AND(G463&lt;&gt;"",LEFT(C463,2)&lt;&gt;"Va",G463&lt;&gt;"H. Sale Real"),IF(G467-G463&lt;0.208333333333333,G467-G463,""),IF(AND(G462&lt;&gt;"",LEFT(C462,2)&lt;&gt;"Va",G462&lt;&gt;"H. Sale Real"),IF(G467-G462&lt;0.208333333333333,G467-G462,""),""))))),""),"")</f>
        <v/>
      </c>
      <c r="U466" s="87" t="n"/>
      <c r="V466" s="89" t="n"/>
      <c r="W466" s="87" t="n"/>
      <c r="X466" s="89" t="n"/>
      <c r="Y466" s="91" t="n"/>
      <c r="Z466" s="122">
        <f>IF(G466&lt;&gt;"",IF(AND(Z465&lt;&gt;"IE",P466&lt;&gt;0,R466&lt;&gt;""),IF(IFERROR((P466/R466),0) &lt;=1,IFERROR(P466/R466,""),1),""),"")</f>
        <v/>
      </c>
      <c r="AA466" s="93" t="n"/>
      <c r="AB466" s="2" t="n"/>
      <c r="AE466" s="10">
        <f>HOUR(AK466)+1</f>
        <v/>
      </c>
      <c r="AF466" s="7" t="n"/>
      <c r="AG466" s="7" t="n"/>
      <c r="AH466" s="86" t="n"/>
      <c r="AI466" s="8" t="n"/>
      <c r="AJ466" s="86" t="n"/>
      <c r="AK466" s="87" t="n"/>
      <c r="AL466" s="88">
        <f>IF(AM466="","",IF(AND((AM466-AK466)&gt;=TIME(0,0,0),(AM466-AK466)&lt;TIME(0,3,0)),"OK",IF(AND((AM466-AK466)&gt;=TIME(0,3,0),(AM466-AK466)&lt;TIME(0,5,0)),"RETRASO DE 3-5 MIN",IF(AND((AM466-AK466)&gt;=TIME(0,5,0),(AM466-AK466)&lt;TIME(0,10,0)),"RETRASO DE 5-10 MIN",IF((AM466-AK466)&gt;=TIME(0,10,0),"RETRASO &gt;10 MIN", IF(AND((AK466-AM466)&gt;=TIME(0,0,0),(AK466-AM466)&lt;TIME(0,3,0)),"OK",IF((AK466-AM466)&gt;=TIME(0,3,0),"ADELANTADO")))))))</f>
        <v/>
      </c>
      <c r="AM466" s="91" t="n"/>
      <c r="AN466" s="89">
        <f>IF(AE466&lt;&gt;"",HLOOKUP(VALUE(TEXT(AK466,"h:mm:ss")),IF($C$6="Laboral",$FZ$4:$GX$227,IF($C$6="Sábado",$FZ$231:$GX$452,$FZ$456:$GX$656)),VLOOKUP($C$4,$HF$2:$HH$99,3,0)+IF(AG$5="Ida",0,1),1),"")</f>
        <v/>
      </c>
      <c r="AO466" s="89">
        <f>IF(AE467&lt;&gt;AE466,AVERAGEIF(AE$9:AE466,AE466,AN$9:AN466),"")</f>
        <v/>
      </c>
      <c r="AP466" s="89">
        <f>IFERROR(IF(AE467&lt;&gt;AE466,AVERAGEIF(AE$9:AE466,AE466,AW$9:AW466),""),"")</f>
        <v/>
      </c>
      <c r="AQ466" s="89">
        <f>IFERROR(IF(AE467&lt;&gt;AE466,AVERAGEIF(AE$9:AE466,AE466,AX$9:AX466),""),"")</f>
        <v/>
      </c>
      <c r="AR466" s="89">
        <f t="array" ref="AR466">IFERROR(IF(AE467&lt;&gt;AE466,_xlfn.STDEV.P(IF(AE$9:AE466=AE466,AX$9:AX466)),""),"")</f>
        <v/>
      </c>
      <c r="AS466" s="89">
        <f t="array" ref="AS466">IFERROR(IF(AE467&lt;&gt;AE466,_xlfn.STDEV.P(IF(AE$9:AE466=AE466,AW$9:AW466)),""),"")</f>
        <v/>
      </c>
      <c r="AT466" s="90">
        <f>IFERROR(IF(AE466&lt;&gt;AE467,MAX((((AQ466*24*60)/2)*(1+POWER((((AR466*24*60) / (AQ466*24*60) )),2))) + ((AQ466*24*60 )*-0.1 + (AO466*0.015)) +1,(((AQ466*24*60)/2)*(1+POWER((((AR466*24*60) / (AQ466*24*60 ))),2)))),""),"")</f>
        <v/>
      </c>
      <c r="AU466" s="90">
        <f>IF(AND(AS466&lt;&gt;"",AP466&lt;&gt;""),IF(AE466&lt;&gt;AE467,((AP466*24*60) / 2 ) * (1 + POWER(((AS466*24*60) / (AP466*24*60)),2)),""),"")</f>
        <v/>
      </c>
      <c r="AV466" s="90">
        <f>IF(AU466&lt;&gt;"",MAX(AT466,AU466),"")</f>
        <v/>
      </c>
      <c r="AW466" s="89">
        <f>IF(AM466&lt;&gt;"H. Sale Real",IF(AND(AM467&lt;&gt;"",LEFT(AG467,2)&lt;&gt;"Va"),IF(AND(AM466&lt;&gt;"",LEFT(AG466,2)&lt;&gt;"Va",AM466&lt;&gt;"H. Sale Real"),IF(AM467-AM466&lt;0.208333333333333,AM467-AM466,""),IF(AND(AM465&lt;&gt;"",LEFT(AG465,2)&lt;&gt;"Va",AM465&lt;&gt;"H. Sale Real"),IF(AM467-AM465&lt;0.208333333333333,AM467-AM465,""),IF(AND(AM464&lt;&gt;"",LEFT(AG464,2)&lt;&gt;"Va",AM464&lt;&gt;"H. Sale Real"),IF(AM467-AM464&lt;0.208333333333333,AM467-AM464,""),IF(AND(AM463&lt;&gt;"",LEFT(AG463,2)&lt;&gt;"Va",AM463&lt;&gt;"H. Sale Real"),IF(AM467-AM463&lt;0.208333333333333,AM467-AM463,""),IF(AND(AM462&lt;&gt;"",LEFT(AG462,2)&lt;&gt;"Va",AM462&lt;&gt;"H. Sale Real"),IF(AM467-AM462&lt;0.208333333333333,AM467-AM462,""),""))))),""),"")</f>
        <v/>
      </c>
      <c r="AX466" s="89">
        <f>IF(AK466&lt;&gt;"H. Sale Real",IF(AND(AK467&lt;&gt;"",LEFT(AG467,2)&lt;&gt;"Va"),IF(AND(AK466&lt;&gt;"",LEFT(AG466,2)&lt;&gt;"Va",AK466&lt;&gt;"H. Sale Real"),IF(AK467-AK466&lt;0.208333333333333,AK467-AK466,""),IF(AND(AK465&lt;&gt;"",LEFT(AG465,2)&lt;&gt;"Va",AK465&lt;&gt;"H. Sale Real"),IF(AK467-AK465&lt;0.208333333333333,AK467-AK465,""),IF(AND(AK464&lt;&gt;"",LEFT(AG464,2)&lt;&gt;"NC",AK464&lt;&gt;"H. Sale Real"),IF(AK467-AK464&lt;0.208333333333333,AK467-AK464,""),IF(AND(AK463&lt;&gt;"",LEFT(AG463,2)&lt;&gt;"Va",AK463&lt;&gt;"H. Sale Real"),IF(AK467-AK463&lt;0.208333333333333,AK467-AK463,""),IF(AND(AK462&lt;&gt;"",LEFT(AG462,2)&lt;&gt;"Va",AK462&lt;&gt;"H. Sale Real"),IF(AK467-AK462&lt;0.208333333333333,AK467-AK462,""),""))))),""),"")</f>
        <v/>
      </c>
      <c r="AY466" s="87" t="n"/>
      <c r="AZ466" s="89" t="n"/>
      <c r="BA466" s="87" t="n"/>
      <c r="BB466" s="89" t="n"/>
      <c r="BC466" s="91" t="n"/>
      <c r="BD466" s="122">
        <f>IF(AK466&lt;&gt;"",IF(AND(BD465&lt;&gt;"IE",AT466&lt;&gt;0,AV466&lt;&gt;""),IF(IFERROR((AT466/AV466),0) &lt;=1,IFERROR(AT466/AV466,""),1),""),"")</f>
        <v/>
      </c>
      <c r="BE466" s="93" t="n"/>
      <c r="BF466" s="105" t="n"/>
      <c r="FC466" t="inlineStr">
        <is>
          <t>Diccionario 1</t>
        </is>
      </c>
      <c r="FD466" s="15" t="inlineStr"/>
      <c r="FE466" s="17" t="inlineStr">
        <is>
          <t>LDYECS319S0044407</t>
        </is>
      </c>
      <c r="FF466" s="18" t="inlineStr">
        <is>
          <t>MDN35025030112</t>
        </is>
      </c>
      <c r="FG466" s="18" t="inlineStr">
        <is>
          <t>Zhong Thong</t>
        </is>
      </c>
      <c r="FH466" s="18" t="inlineStr">
        <is>
          <t>Lck6122evg</t>
        </is>
      </c>
      <c r="FI466" s="18" t="inlineStr">
        <is>
          <t>Zhong Thong</t>
        </is>
      </c>
      <c r="FJ466" s="18" t="inlineStr">
        <is>
          <t>Lck6122evg</t>
        </is>
      </c>
      <c r="FK466" s="18" t="n">
        <v>2026</v>
      </c>
      <c r="FL466" s="18" t="inlineStr">
        <is>
          <t>B</t>
        </is>
      </c>
      <c r="FM466" s="18" t="inlineStr">
        <is>
          <t>Recoleta</t>
        </is>
      </c>
      <c r="FP466" t="inlineStr">
        <is>
          <t>B</t>
        </is>
      </c>
      <c r="FS466" s="14" t="inlineStr">
        <is>
          <t>3028 / SFWB-75|</t>
        </is>
      </c>
      <c r="FT466" t="inlineStr">
        <is>
          <t>SFWB-75|</t>
        </is>
      </c>
      <c r="FU466" t="inlineStr">
        <is>
          <t>SFWB-75</t>
        </is>
      </c>
      <c r="FV466">
        <f>VLOOKUP(FU466,FD:FL,9,0)</f>
        <v/>
      </c>
      <c r="FZ466" s="51" t="inlineStr">
        <is>
          <t>B10</t>
        </is>
      </c>
      <c r="GA466" s="43" t="n">
        <v>0</v>
      </c>
      <c r="GB466" s="43" t="n">
        <v>0</v>
      </c>
      <c r="GC466" s="43" t="n">
        <v>0</v>
      </c>
      <c r="GD466" s="43" t="n">
        <v>0</v>
      </c>
      <c r="GE466" s="43" t="n">
        <v>0</v>
      </c>
      <c r="GF466" s="43" t="n">
        <v>11.93</v>
      </c>
      <c r="GG466" s="43" t="n">
        <v>22.59</v>
      </c>
      <c r="GH466" s="43" t="n">
        <v>20.715</v>
      </c>
      <c r="GI466" s="43" t="n">
        <v>19.5</v>
      </c>
      <c r="GJ466" s="43" t="n">
        <v>18.77</v>
      </c>
      <c r="GK466" s="43" t="n">
        <v>17.615</v>
      </c>
      <c r="GL466" s="43" t="n">
        <v>16.555</v>
      </c>
      <c r="GM466" s="43" t="n">
        <v>16.055</v>
      </c>
      <c r="GN466" s="43" t="n">
        <v>15.985</v>
      </c>
      <c r="GO466" s="43" t="n">
        <v>16.14</v>
      </c>
      <c r="GP466" s="43" t="n">
        <v>16.175</v>
      </c>
      <c r="GQ466" s="43" t="n">
        <v>16</v>
      </c>
      <c r="GR466" s="43" t="n">
        <v>15.665</v>
      </c>
      <c r="GS466" s="43" t="n">
        <v>15.745</v>
      </c>
      <c r="GT466" s="43" t="n">
        <v>16.675</v>
      </c>
      <c r="GU466" s="43" t="n">
        <v>17.83</v>
      </c>
      <c r="GV466" s="43" t="n">
        <v>19.25</v>
      </c>
      <c r="GW466" s="43" t="n">
        <v>21.365</v>
      </c>
      <c r="GX466" s="43" t="n">
        <v>22.885</v>
      </c>
      <c r="HA466" s="35" t="n">
        <v>11</v>
      </c>
      <c r="HB466" s="35" t="n">
        <v>460</v>
      </c>
    </row>
    <row r="467" ht="15.5" customHeight="1">
      <c r="A467" s="10">
        <f>HOUR(G467)+1</f>
        <v/>
      </c>
      <c r="B467" s="7" t="n"/>
      <c r="C467" s="7" t="n"/>
      <c r="D467" s="85">
        <f>IFERROR(
IF(AND(OR(Planilla!B467="C",Planilla!B467="c"), VLOOKUP(E467,FD:FP,13,0)="C"), "OK",IF(AND(OR(Planilla!B467="C",Planilla!B467="c"), OR(VLOOKUP(E467,FD:FP,13,0)="B", VLOOKUP(E467,FD:FP,13,0)="A")), "DEFICIT",IF(
AND(OR(Planilla!B467="B", Planilla!B467="BPAL"), VLOOKUP(E467,FD:FP,13,0)="B"), "OK",IF(AND(OR(Planilla!B467="B", Planilla!B467="BPAL"), VLOOKUP(E467,FD:FP,13,0)="A"), "DEFICIT",IF(AND(OR(Planilla!B467="B", Planilla!B467="BPAL"), VLOOKUP(E467,FD:FP,13,0)="C"), "SOBREOFERTA",IF(AND(Planilla!B467="A", VLOOKUP(E467,FD:FP,13,0)="A"), "OK",IF(
AND(Planilla!B467="A", OR(VLOOKUP(E467,FD:FP,13,0)="B", VLOOKUP(E467,FD:FP,13,0)="C")), "SOBREOFERTA",""
))))))),"")</f>
        <v/>
      </c>
      <c r="E467" s="8" t="n"/>
      <c r="F467" s="86" t="n"/>
      <c r="G467" s="87" t="n"/>
      <c r="H467" s="88">
        <f>IF(I467="","",IF(AND((I467-G467)&gt;=TIME(0,0,0),(I467-G467)&lt;TIME(0,3,0)),"OK",IF(AND((I467-G467)&gt;=TIME(0,3,0),(I467-G467)&lt;TIME(0,5,0)),"RETRASO DE 3-5 MIN",IF(AND((I467-G467)&gt;=TIME(0,5,0),(I467-G467)&lt;TIME(0,10,0)),"RETRASO DE 5-10 MIN",IF((I467-G467)&gt;=TIME(0,10,0),"RETRASO &gt;10 MIN", IF(AND((G467-I467)&gt;=TIME(0,0,0),(G467-I467)&lt;TIME(0,3,0)),"OK",IF((G467-I467)&gt;=TIME(0,3,0),"ADELANTADO")))))))</f>
        <v/>
      </c>
      <c r="I467" s="89" t="n"/>
      <c r="J467" s="89">
        <f>IF(A467&lt;&gt;"",HLOOKUP(VALUE(TEXT(G467,"h:mm:ss")),IF($C$6="Laboral",$FZ$4:$GX$227,IF($C$6="Sábado",$FZ$231:$GX$452,$FZ$456:$GX$656)),VLOOKUP($C$4,$HF$2:$HH$99,3,0)+IF(C$5="Ida",0,1),1),"")</f>
        <v/>
      </c>
      <c r="K467" s="89">
        <f>IF(A468&lt;&gt;A467,AVERAGEIF(A$9:A467,A467,J$9:J467),"")</f>
        <v/>
      </c>
      <c r="L467" s="89">
        <f>IFERROR(IF(A468&lt;&gt;A467,AVERAGEIF(A$9:A467,A467,S$9:S467),""),"")</f>
        <v/>
      </c>
      <c r="M467" s="89">
        <f>IFERROR(IF(A468&lt;&gt;A467,AVERAGEIF(A$9:A467,A467,T$9:T467),""),"")</f>
        <v/>
      </c>
      <c r="N467" s="89">
        <f t="array" ref="N467">IFERROR(IF(A468&lt;&gt;A467,_xlfn.STDEV.P(IF(A$9:A467=A467,T$9:T467)),""),"")</f>
        <v/>
      </c>
      <c r="O467" s="89">
        <f t="array" ref="O467">IFERROR(IF(A468&lt;&gt;A467,_xlfn.STDEV.P(IF(A$9:A467=A467,S$9:S467)),""),"")</f>
        <v/>
      </c>
      <c r="P467" s="90">
        <f>IFERROR(IF(A467&lt;&gt;A468,MAX((((M467*24*60)/2)*(1+POWER((((N467*24*60) / (M467*24*60) )),2))) + ((M467*24*60 )*-0.1 + (K467*0.015)) +1,(((M467*24*60)/2)*(1+POWER((((N467*24*60) / (M467*24*60 ))),2)))),""),"")</f>
        <v/>
      </c>
      <c r="Q467" s="90">
        <f>IF(AND(O467&lt;&gt;"",L467&lt;&gt;""),IF(A467&lt;&gt;A468,((L467*24*60) / 2 ) * (1 + POWER(((O467*24*60) / (L467*24*60)),2)),""),"")</f>
        <v/>
      </c>
      <c r="R467" s="90">
        <f>IF(Q467&lt;&gt;"",MAX(P467,Q467),"")</f>
        <v/>
      </c>
      <c r="S467" s="89">
        <f>IF(I467&lt;&gt;"H. Sale Real",IF(AND(I468&lt;&gt;"",LEFT(C468,2)&lt;&gt;"Va"),IF(AND(I467&lt;&gt;"",LEFT(C467,2)&lt;&gt;"Va",I467&lt;&gt;"H. Sale Real"),IF(I468-I467&lt;0.208333333333333,I468-I467,""),IF(AND(I466&lt;&gt;"",LEFT(C466,2)&lt;&gt;"Va",I466&lt;&gt;"H. Sale Real"),IF(I468-I466&lt;0.208333333333333,I468-I466,""),IF(AND(I465&lt;&gt;"",LEFT(C465,2)&lt;&gt;"Va",I465&lt;&gt;"H. Sale Real"),IF(I468-I465&lt;0.208333333333333,I468-I465,""),IF(AND(I464&lt;&gt;"",LEFT(C464,2)&lt;&gt;"Va",I464&lt;&gt;"H. Sale Real"),IF(I468-I464&lt;0.208333333333333,I468-I464,""),IF(AND(I463&lt;&gt;"",LEFT(C463,2)&lt;&gt;"Va",I463&lt;&gt;"H. Sale Real"),IF(I468-I463&lt;0.208333333333333,I468-I463,""),""))))),""),"")</f>
        <v/>
      </c>
      <c r="T467" s="89">
        <f>IF(G467&lt;&gt;"H. Sale Real",IF(AND(G468&lt;&gt;"",LEFT(C468,2)&lt;&gt;"Va"),IF(AND(G467&lt;&gt;"",LEFT(C467,2)&lt;&gt;"Va",G467&lt;&gt;"H. Sale Real"),IF(G468-G467&lt;0.208333333333333,G468-G467,""),IF(AND(G466&lt;&gt;"",LEFT(C466,2)&lt;&gt;"Va",G466&lt;&gt;"H. Sale Real"),IF(G468-G466&lt;0.208333333333333,G468-G466,""),IF(AND(G465&lt;&gt;"",LEFT(C465,2)&lt;&gt;"Va",G465&lt;&gt;"H. Sale Real"),IF(G468-G465&lt;0.208333333333333,G468-G465,""),IF(AND(G464&lt;&gt;"",LEFT(C464,2)&lt;&gt;"Va",G464&lt;&gt;"H. Sale Real"),IF(G468-G464&lt;0.208333333333333,G468-G464,""),IF(AND(G463&lt;&gt;"",LEFT(C463,2)&lt;&gt;"Va",G463&lt;&gt;"H. Sale Real"),IF(G468-G463&lt;0.208333333333333,G468-G463,""),""))))),""),"")</f>
        <v/>
      </c>
      <c r="U467" s="87" t="n"/>
      <c r="V467" s="89" t="n"/>
      <c r="W467" s="87" t="n"/>
      <c r="X467" s="89" t="n"/>
      <c r="Y467" s="91" t="n"/>
      <c r="Z467" s="122">
        <f>IF(G467&lt;&gt;"",IF(AND(Z466&lt;&gt;"IE",P467&lt;&gt;0,R467&lt;&gt;""),IF(IFERROR((P467/R467),0) &lt;=1,IFERROR(P467/R467,""),1),""),"")</f>
        <v/>
      </c>
      <c r="AA467" s="93" t="n"/>
      <c r="AB467" s="2" t="n"/>
      <c r="AE467" s="10">
        <f>HOUR(AK467)+1</f>
        <v/>
      </c>
      <c r="AF467" s="7" t="n"/>
      <c r="AG467" s="7" t="n"/>
      <c r="AH467" s="86" t="n"/>
      <c r="AI467" s="8" t="n"/>
      <c r="AJ467" s="86" t="n"/>
      <c r="AK467" s="87" t="n"/>
      <c r="AL467" s="88">
        <f>IF(AM467="","",IF(AND((AM467-AK467)&gt;=TIME(0,0,0),(AM467-AK467)&lt;TIME(0,3,0)),"OK",IF(AND((AM467-AK467)&gt;=TIME(0,3,0),(AM467-AK467)&lt;TIME(0,5,0)),"RETRASO DE 3-5 MIN",IF(AND((AM467-AK467)&gt;=TIME(0,5,0),(AM467-AK467)&lt;TIME(0,10,0)),"RETRASO DE 5-10 MIN",IF((AM467-AK467)&gt;=TIME(0,10,0),"RETRASO &gt;10 MIN", IF(AND((AK467-AM467)&gt;=TIME(0,0,0),(AK467-AM467)&lt;TIME(0,3,0)),"OK",IF((AK467-AM467)&gt;=TIME(0,3,0),"ADELANTADO")))))))</f>
        <v/>
      </c>
      <c r="AM467" s="91" t="n"/>
      <c r="AN467" s="89">
        <f>IF(AE467&lt;&gt;"",HLOOKUP(VALUE(TEXT(AK467,"h:mm:ss")),IF($C$6="Laboral",$FZ$4:$GX$227,IF($C$6="Sábado",$FZ$231:$GX$452,$FZ$456:$GX$656)),VLOOKUP($C$4,$HF$2:$HH$99,3,0)+IF(AG$5="Ida",0,1),1),"")</f>
        <v/>
      </c>
      <c r="AO467" s="89">
        <f>IF(AE468&lt;&gt;AE467,AVERAGEIF(AE$9:AE467,AE467,AN$9:AN467),"")</f>
        <v/>
      </c>
      <c r="AP467" s="89">
        <f>IFERROR(IF(AE468&lt;&gt;AE467,AVERAGEIF(AE$9:AE467,AE467,AW$9:AW467),""),"")</f>
        <v/>
      </c>
      <c r="AQ467" s="89">
        <f>IFERROR(IF(AE468&lt;&gt;AE467,AVERAGEIF(AE$9:AE467,AE467,AX$9:AX467),""),"")</f>
        <v/>
      </c>
      <c r="AR467" s="89">
        <f t="array" ref="AR467">IFERROR(IF(AE468&lt;&gt;AE467,_xlfn.STDEV.P(IF(AE$9:AE467=AE467,AX$9:AX467)),""),"")</f>
        <v/>
      </c>
      <c r="AS467" s="89">
        <f t="array" ref="AS467">IFERROR(IF(AE468&lt;&gt;AE467,_xlfn.STDEV.P(IF(AE$9:AE467=AE467,AW$9:AW467)),""),"")</f>
        <v/>
      </c>
      <c r="AT467" s="90">
        <f>IFERROR(IF(AE467&lt;&gt;AE468,MAX((((AQ467*24*60)/2)*(1+POWER((((AR467*24*60) / (AQ467*24*60) )),2))) + ((AQ467*24*60 )*-0.1 + (AO467*0.015)) +1,(((AQ467*24*60)/2)*(1+POWER((((AR467*24*60) / (AQ467*24*60 ))),2)))),""),"")</f>
        <v/>
      </c>
      <c r="AU467" s="90">
        <f>IF(AND(AS467&lt;&gt;"",AP467&lt;&gt;""),IF(AE467&lt;&gt;AE468,((AP467*24*60) / 2 ) * (1 + POWER(((AS467*24*60) / (AP467*24*60)),2)),""),"")</f>
        <v/>
      </c>
      <c r="AV467" s="90">
        <f>IF(AU467&lt;&gt;"",MAX(AT467,AU467),"")</f>
        <v/>
      </c>
      <c r="AW467" s="89">
        <f>IF(AM467&lt;&gt;"H. Sale Real",IF(AND(AM468&lt;&gt;"",LEFT(AG468,2)&lt;&gt;"Va"),IF(AND(AM467&lt;&gt;"",LEFT(AG467,2)&lt;&gt;"Va",AM467&lt;&gt;"H. Sale Real"),IF(AM468-AM467&lt;0.208333333333333,AM468-AM467,""),IF(AND(AM466&lt;&gt;"",LEFT(AG466,2)&lt;&gt;"Va",AM466&lt;&gt;"H. Sale Real"),IF(AM468-AM466&lt;0.208333333333333,AM468-AM466,""),IF(AND(AM465&lt;&gt;"",LEFT(AG465,2)&lt;&gt;"Va",AM465&lt;&gt;"H. Sale Real"),IF(AM468-AM465&lt;0.208333333333333,AM468-AM465,""),IF(AND(AM464&lt;&gt;"",LEFT(AG464,2)&lt;&gt;"Va",AM464&lt;&gt;"H. Sale Real"),IF(AM468-AM464&lt;0.208333333333333,AM468-AM464,""),IF(AND(AM463&lt;&gt;"",LEFT(AG463,2)&lt;&gt;"Va",AM463&lt;&gt;"H. Sale Real"),IF(AM468-AM463&lt;0.208333333333333,AM468-AM463,""),""))))),""),"")</f>
        <v/>
      </c>
      <c r="AX467" s="89">
        <f>IF(AK467&lt;&gt;"H. Sale Real",IF(AND(AK468&lt;&gt;"",LEFT(AG468,2)&lt;&gt;"Va"),IF(AND(AK467&lt;&gt;"",LEFT(AG467,2)&lt;&gt;"Va",AK467&lt;&gt;"H. Sale Real"),IF(AK468-AK467&lt;0.208333333333333,AK468-AK467,""),IF(AND(AK466&lt;&gt;"",LEFT(AG466,2)&lt;&gt;"Va",AK466&lt;&gt;"H. Sale Real"),IF(AK468-AK466&lt;0.208333333333333,AK468-AK466,""),IF(AND(AK465&lt;&gt;"",LEFT(AG465,2)&lt;&gt;"NC",AK465&lt;&gt;"H. Sale Real"),IF(AK468-AK465&lt;0.208333333333333,AK468-AK465,""),IF(AND(AK464&lt;&gt;"",LEFT(AG464,2)&lt;&gt;"Va",AK464&lt;&gt;"H. Sale Real"),IF(AK468-AK464&lt;0.208333333333333,AK468-AK464,""),IF(AND(AK463&lt;&gt;"",LEFT(AG463,2)&lt;&gt;"Va",AK463&lt;&gt;"H. Sale Real"),IF(AK468-AK463&lt;0.208333333333333,AK468-AK463,""),""))))),""),"")</f>
        <v/>
      </c>
      <c r="AY467" s="87" t="n"/>
      <c r="AZ467" s="89" t="n"/>
      <c r="BA467" s="87" t="n"/>
      <c r="BB467" s="89" t="n"/>
      <c r="BC467" s="91" t="n"/>
      <c r="BD467" s="122">
        <f>IF(AK467&lt;&gt;"",IF(AND(BD466&lt;&gt;"IE",AT467&lt;&gt;0,AV467&lt;&gt;""),IF(IFERROR((AT467/AV467),0) &lt;=1,IFERROR(AT467/AV467,""),1),""),"")</f>
        <v/>
      </c>
      <c r="BE467" s="93" t="n"/>
      <c r="BF467" s="105" t="n"/>
      <c r="FC467" t="inlineStr">
        <is>
          <t>Diccionario 1</t>
        </is>
      </c>
      <c r="FD467" s="15" t="inlineStr"/>
      <c r="FE467" s="17" t="inlineStr">
        <is>
          <t>LDYECS313S0044340</t>
        </is>
      </c>
      <c r="FF467" s="18" t="inlineStr">
        <is>
          <t>MDN35025010149</t>
        </is>
      </c>
      <c r="FG467" s="18" t="inlineStr">
        <is>
          <t>Zhong Thong</t>
        </is>
      </c>
      <c r="FH467" s="18" t="inlineStr">
        <is>
          <t>Lck6122evg</t>
        </is>
      </c>
      <c r="FI467" s="18" t="inlineStr">
        <is>
          <t>Zhong Thong</t>
        </is>
      </c>
      <c r="FJ467" s="18" t="inlineStr">
        <is>
          <t>Lck6122evg</t>
        </is>
      </c>
      <c r="FK467" s="18" t="n">
        <v>2026</v>
      </c>
      <c r="FL467" s="18" t="inlineStr">
        <is>
          <t>B</t>
        </is>
      </c>
      <c r="FM467" s="18" t="inlineStr">
        <is>
          <t>Recoleta</t>
        </is>
      </c>
      <c r="FP467" t="inlineStr">
        <is>
          <t>B</t>
        </is>
      </c>
      <c r="FS467" s="14" t="inlineStr">
        <is>
          <t>LZPS-14|</t>
        </is>
      </c>
      <c r="FT467" t="inlineStr">
        <is>
          <t>LZPS-14|</t>
        </is>
      </c>
      <c r="FU467" t="inlineStr">
        <is>
          <t>LZPS-14</t>
        </is>
      </c>
      <c r="FV467">
        <f>VLOOKUP(FU467,FD:FL,9,0)</f>
        <v/>
      </c>
      <c r="FZ467" s="51" t="n">
        <v>120</v>
      </c>
      <c r="GA467" s="43" t="n">
        <v>0</v>
      </c>
      <c r="GB467" s="43" t="n">
        <v>0</v>
      </c>
      <c r="GC467" s="43" t="n">
        <v>0</v>
      </c>
      <c r="GD467" s="43" t="n">
        <v>0</v>
      </c>
      <c r="GE467" s="43" t="n">
        <v>14.4</v>
      </c>
      <c r="GF467" s="43" t="n">
        <v>26.96</v>
      </c>
      <c r="GG467" s="43" t="n">
        <v>24.74</v>
      </c>
      <c r="GH467" s="43" t="n">
        <v>23.485</v>
      </c>
      <c r="GI467" s="43" t="n">
        <v>22.33</v>
      </c>
      <c r="GJ467" s="43" t="n">
        <v>20.965</v>
      </c>
      <c r="GK467" s="43" t="n">
        <v>20.395</v>
      </c>
      <c r="GL467" s="43" t="n">
        <v>20.09</v>
      </c>
      <c r="GM467" s="43" t="n">
        <v>18.865</v>
      </c>
      <c r="GN467" s="43" t="n">
        <v>18.785</v>
      </c>
      <c r="GO467" s="43" t="n">
        <v>18.985</v>
      </c>
      <c r="GP467" s="43" t="n">
        <v>19.075</v>
      </c>
      <c r="GQ467" s="43" t="n">
        <v>19.275</v>
      </c>
      <c r="GR467" s="43" t="n">
        <v>18.955</v>
      </c>
      <c r="GS467" s="43" t="n">
        <v>18.915</v>
      </c>
      <c r="GT467" s="43" t="n">
        <v>19.285</v>
      </c>
      <c r="GU467" s="43" t="n">
        <v>20.865</v>
      </c>
      <c r="GV467" s="43" t="n">
        <v>23.245</v>
      </c>
      <c r="GW467" s="43" t="n">
        <v>25.66</v>
      </c>
      <c r="GX467" s="43" t="n">
        <v>27.735</v>
      </c>
      <c r="HA467" s="35" t="n">
        <v>12</v>
      </c>
      <c r="HB467" s="35" t="n">
        <v>461</v>
      </c>
    </row>
    <row r="468" ht="15.5" customHeight="1">
      <c r="A468" s="10">
        <f>HOUR(G468)+1</f>
        <v/>
      </c>
      <c r="B468" s="7" t="n"/>
      <c r="C468" s="7" t="n"/>
      <c r="D468" s="85">
        <f>IFERROR(
IF(AND(OR(Planilla!B468="C",Planilla!B468="c"), VLOOKUP(E468,FD:FP,13,0)="C"), "OK",IF(AND(OR(Planilla!B468="C",Planilla!B468="c"), OR(VLOOKUP(E468,FD:FP,13,0)="B", VLOOKUP(E468,FD:FP,13,0)="A")), "DEFICIT",IF(
AND(OR(Planilla!B468="B", Planilla!B468="BPAL"), VLOOKUP(E468,FD:FP,13,0)="B"), "OK",IF(AND(OR(Planilla!B468="B", Planilla!B468="BPAL"), VLOOKUP(E468,FD:FP,13,0)="A"), "DEFICIT",IF(AND(OR(Planilla!B468="B", Planilla!B468="BPAL"), VLOOKUP(E468,FD:FP,13,0)="C"), "SOBREOFERTA",IF(AND(Planilla!B468="A", VLOOKUP(E468,FD:FP,13,0)="A"), "OK",IF(
AND(Planilla!B468="A", OR(VLOOKUP(E468,FD:FP,13,0)="B", VLOOKUP(E468,FD:FP,13,0)="C")), "SOBREOFERTA",""
))))))),"")</f>
        <v/>
      </c>
      <c r="E468" s="8" t="n"/>
      <c r="F468" s="86" t="n"/>
      <c r="G468" s="87" t="n"/>
      <c r="H468" s="88">
        <f>IF(I468="","",IF(AND((I468-G468)&gt;=TIME(0,0,0),(I468-G468)&lt;TIME(0,3,0)),"OK",IF(AND((I468-G468)&gt;=TIME(0,3,0),(I468-G468)&lt;TIME(0,5,0)),"RETRASO DE 3-5 MIN",IF(AND((I468-G468)&gt;=TIME(0,5,0),(I468-G468)&lt;TIME(0,10,0)),"RETRASO DE 5-10 MIN",IF((I468-G468)&gt;=TIME(0,10,0),"RETRASO &gt;10 MIN", IF(AND((G468-I468)&gt;=TIME(0,0,0),(G468-I468)&lt;TIME(0,3,0)),"OK",IF((G468-I468)&gt;=TIME(0,3,0),"ADELANTADO")))))))</f>
        <v/>
      </c>
      <c r="I468" s="89" t="n"/>
      <c r="J468" s="89">
        <f>IF(A468&lt;&gt;"",HLOOKUP(VALUE(TEXT(G468,"h:mm:ss")),IF($C$6="Laboral",$FZ$4:$GX$227,IF($C$6="Sábado",$FZ$231:$GX$452,$FZ$456:$GX$656)),VLOOKUP($C$4,$HF$2:$HH$99,3,0)+IF(C$5="Ida",0,1),1),"")</f>
        <v/>
      </c>
      <c r="K468" s="89">
        <f>IF(A469&lt;&gt;A468,AVERAGEIF(A$9:A468,A468,J$9:J468),"")</f>
        <v/>
      </c>
      <c r="L468" s="89">
        <f>IFERROR(IF(A469&lt;&gt;A468,AVERAGEIF(A$9:A468,A468,S$9:S468),""),"")</f>
        <v/>
      </c>
      <c r="M468" s="89">
        <f>IFERROR(IF(A469&lt;&gt;A468,AVERAGEIF(A$9:A468,A468,T$9:T468),""),"")</f>
        <v/>
      </c>
      <c r="N468" s="89">
        <f t="array" ref="N468">IFERROR(IF(A469&lt;&gt;A468,_xlfn.STDEV.P(IF(A$9:A468=A468,T$9:T468)),""),"")</f>
        <v/>
      </c>
      <c r="O468" s="89">
        <f t="array" ref="O468">IFERROR(IF(A469&lt;&gt;A468,_xlfn.STDEV.P(IF(A$9:A468=A468,S$9:S468)),""),"")</f>
        <v/>
      </c>
      <c r="P468" s="90">
        <f>IFERROR(IF(A468&lt;&gt;A469,MAX((((M468*24*60)/2)*(1+POWER((((N468*24*60) / (M468*24*60) )),2))) + ((M468*24*60 )*-0.1 + (K468*0.015)) +1,(((M468*24*60)/2)*(1+POWER((((N468*24*60) / (M468*24*60 ))),2)))),""),"")</f>
        <v/>
      </c>
      <c r="Q468" s="90">
        <f>IF(AND(O468&lt;&gt;"",L468&lt;&gt;""),IF(A468&lt;&gt;A469,((L468*24*60) / 2 ) * (1 + POWER(((O468*24*60) / (L468*24*60)),2)),""),"")</f>
        <v/>
      </c>
      <c r="R468" s="90">
        <f>IF(Q468&lt;&gt;"",MAX(P468,Q468),"")</f>
        <v/>
      </c>
      <c r="S468" s="89">
        <f>IF(I468&lt;&gt;"H. Sale Real",IF(AND(I469&lt;&gt;"",LEFT(C469,2)&lt;&gt;"Va"),IF(AND(I468&lt;&gt;"",LEFT(C468,2)&lt;&gt;"Va",I468&lt;&gt;"H. Sale Real"),IF(I469-I468&lt;0.208333333333333,I469-I468,""),IF(AND(I467&lt;&gt;"",LEFT(C467,2)&lt;&gt;"Va",I467&lt;&gt;"H. Sale Real"),IF(I469-I467&lt;0.208333333333333,I469-I467,""),IF(AND(I466&lt;&gt;"",LEFT(C466,2)&lt;&gt;"Va",I466&lt;&gt;"H. Sale Real"),IF(I469-I466&lt;0.208333333333333,I469-I466,""),IF(AND(I465&lt;&gt;"",LEFT(C465,2)&lt;&gt;"Va",I465&lt;&gt;"H. Sale Real"),IF(I469-I465&lt;0.208333333333333,I469-I465,""),IF(AND(I464&lt;&gt;"",LEFT(C464,2)&lt;&gt;"Va",I464&lt;&gt;"H. Sale Real"),IF(I469-I464&lt;0.208333333333333,I469-I464,""),""))))),""),"")</f>
        <v/>
      </c>
      <c r="T468" s="89">
        <f>IF(G468&lt;&gt;"H. Sale Real",IF(AND(G469&lt;&gt;"",LEFT(C469,2)&lt;&gt;"Va"),IF(AND(G468&lt;&gt;"",LEFT(C468,2)&lt;&gt;"Va",G468&lt;&gt;"H. Sale Real"),IF(G469-G468&lt;0.208333333333333,G469-G468,""),IF(AND(G467&lt;&gt;"",LEFT(C467,2)&lt;&gt;"Va",G467&lt;&gt;"H. Sale Real"),IF(G469-G467&lt;0.208333333333333,G469-G467,""),IF(AND(G466&lt;&gt;"",LEFT(C466,2)&lt;&gt;"Va",G466&lt;&gt;"H. Sale Real"),IF(G469-G466&lt;0.208333333333333,G469-G466,""),IF(AND(G465&lt;&gt;"",LEFT(C465,2)&lt;&gt;"Va",G465&lt;&gt;"H. Sale Real"),IF(G469-G465&lt;0.208333333333333,G469-G465,""),IF(AND(G464&lt;&gt;"",LEFT(C464,2)&lt;&gt;"Va",G464&lt;&gt;"H. Sale Real"),IF(G469-G464&lt;0.208333333333333,G469-G464,""),""))))),""),"")</f>
        <v/>
      </c>
      <c r="U468" s="87" t="n"/>
      <c r="V468" s="89" t="n"/>
      <c r="W468" s="87" t="n"/>
      <c r="X468" s="89" t="n"/>
      <c r="Y468" s="91" t="n"/>
      <c r="Z468" s="122">
        <f>IF(G468&lt;&gt;"",IF(AND(Z467&lt;&gt;"IE",P468&lt;&gt;0,R468&lt;&gt;""),IF(IFERROR((P468/R468),0) &lt;=1,IFERROR(P468/R468,""),1),""),"")</f>
        <v/>
      </c>
      <c r="AA468" s="93" t="n"/>
      <c r="AB468" s="2" t="n"/>
      <c r="AE468" s="10">
        <f>HOUR(AK468)+1</f>
        <v/>
      </c>
      <c r="AF468" s="7" t="n"/>
      <c r="AG468" s="7" t="n"/>
      <c r="AH468" s="86" t="n"/>
      <c r="AI468" s="8" t="n"/>
      <c r="AJ468" s="86" t="n"/>
      <c r="AK468" s="87" t="n"/>
      <c r="AL468" s="88">
        <f>IF(AM468="","",IF(AND((AM468-AK468)&gt;=TIME(0,0,0),(AM468-AK468)&lt;TIME(0,3,0)),"OK",IF(AND((AM468-AK468)&gt;=TIME(0,3,0),(AM468-AK468)&lt;TIME(0,5,0)),"RETRASO DE 3-5 MIN",IF(AND((AM468-AK468)&gt;=TIME(0,5,0),(AM468-AK468)&lt;TIME(0,10,0)),"RETRASO DE 5-10 MIN",IF((AM468-AK468)&gt;=TIME(0,10,0),"RETRASO &gt;10 MIN", IF(AND((AK468-AM468)&gt;=TIME(0,0,0),(AK468-AM468)&lt;TIME(0,3,0)),"OK",IF((AK468-AM468)&gt;=TIME(0,3,0),"ADELANTADO")))))))</f>
        <v/>
      </c>
      <c r="AM468" s="91" t="n"/>
      <c r="AN468" s="89">
        <f>IF(AE468&lt;&gt;"",HLOOKUP(VALUE(TEXT(AK468,"h:mm:ss")),IF($C$6="Laboral",$FZ$4:$GX$227,IF($C$6="Sábado",$FZ$231:$GX$452,$FZ$456:$GX$656)),VLOOKUP($C$4,$HF$2:$HH$99,3,0)+IF(AG$5="Ida",0,1),1),"")</f>
        <v/>
      </c>
      <c r="AO468" s="89">
        <f>IF(AE469&lt;&gt;AE468,AVERAGEIF(AE$9:AE468,AE468,AN$9:AN468),"")</f>
        <v/>
      </c>
      <c r="AP468" s="89">
        <f>IFERROR(IF(AE469&lt;&gt;AE468,AVERAGEIF(AE$9:AE468,AE468,AW$9:AW468),""),"")</f>
        <v/>
      </c>
      <c r="AQ468" s="89">
        <f>IFERROR(IF(AE469&lt;&gt;AE468,AVERAGEIF(AE$9:AE468,AE468,AX$9:AX468),""),"")</f>
        <v/>
      </c>
      <c r="AR468" s="89">
        <f t="array" ref="AR468">IFERROR(IF(AE469&lt;&gt;AE468,_xlfn.STDEV.P(IF(AE$9:AE468=AE468,AX$9:AX468)),""),"")</f>
        <v/>
      </c>
      <c r="AS468" s="89">
        <f t="array" ref="AS468">IFERROR(IF(AE469&lt;&gt;AE468,_xlfn.STDEV.P(IF(AE$9:AE468=AE468,AW$9:AW468)),""),"")</f>
        <v/>
      </c>
      <c r="AT468" s="90">
        <f>IFERROR(IF(AE468&lt;&gt;AE469,MAX((((AQ468*24*60)/2)*(1+POWER((((AR468*24*60) / (AQ468*24*60) )),2))) + ((AQ468*24*60 )*-0.1 + (AO468*0.015)) +1,(((AQ468*24*60)/2)*(1+POWER((((AR468*24*60) / (AQ468*24*60 ))),2)))),""),"")</f>
        <v/>
      </c>
      <c r="AU468" s="90">
        <f>IF(AND(AS468&lt;&gt;"",AP468&lt;&gt;""),IF(AE468&lt;&gt;AE469,((AP468*24*60) / 2 ) * (1 + POWER(((AS468*24*60) / (AP468*24*60)),2)),""),"")</f>
        <v/>
      </c>
      <c r="AV468" s="90">
        <f>IF(AU468&lt;&gt;"",MAX(AT468,AU468),"")</f>
        <v/>
      </c>
      <c r="AW468" s="89">
        <f>IF(AM468&lt;&gt;"H. Sale Real",IF(AND(AM469&lt;&gt;"",LEFT(AG469,2)&lt;&gt;"Va"),IF(AND(AM468&lt;&gt;"",LEFT(AG468,2)&lt;&gt;"Va",AM468&lt;&gt;"H. Sale Real"),IF(AM469-AM468&lt;0.208333333333333,AM469-AM468,""),IF(AND(AM467&lt;&gt;"",LEFT(AG467,2)&lt;&gt;"Va",AM467&lt;&gt;"H. Sale Real"),IF(AM469-AM467&lt;0.208333333333333,AM469-AM467,""),IF(AND(AM466&lt;&gt;"",LEFT(AG466,2)&lt;&gt;"Va",AM466&lt;&gt;"H. Sale Real"),IF(AM469-AM466&lt;0.208333333333333,AM469-AM466,""),IF(AND(AM465&lt;&gt;"",LEFT(AG465,2)&lt;&gt;"Va",AM465&lt;&gt;"H. Sale Real"),IF(AM469-AM465&lt;0.208333333333333,AM469-AM465,""),IF(AND(AM464&lt;&gt;"",LEFT(AG464,2)&lt;&gt;"Va",AM464&lt;&gt;"H. Sale Real"),IF(AM469-AM464&lt;0.208333333333333,AM469-AM464,""),""))))),""),"")</f>
        <v/>
      </c>
      <c r="AX468" s="89">
        <f>IF(AK468&lt;&gt;"H. Sale Real",IF(AND(AK469&lt;&gt;"",LEFT(AG469,2)&lt;&gt;"Va"),IF(AND(AK468&lt;&gt;"",LEFT(AG468,2)&lt;&gt;"Va",AK468&lt;&gt;"H. Sale Real"),IF(AK469-AK468&lt;0.208333333333333,AK469-AK468,""),IF(AND(AK467&lt;&gt;"",LEFT(AG467,2)&lt;&gt;"Va",AK467&lt;&gt;"H. Sale Real"),IF(AK469-AK467&lt;0.208333333333333,AK469-AK467,""),IF(AND(AK466&lt;&gt;"",LEFT(AG466,2)&lt;&gt;"NC",AK466&lt;&gt;"H. Sale Real"),IF(AK469-AK466&lt;0.208333333333333,AK469-AK466,""),IF(AND(AK465&lt;&gt;"",LEFT(AG465,2)&lt;&gt;"Va",AK465&lt;&gt;"H. Sale Real"),IF(AK469-AK465&lt;0.208333333333333,AK469-AK465,""),IF(AND(AK464&lt;&gt;"",LEFT(AG464,2)&lt;&gt;"Va",AK464&lt;&gt;"H. Sale Real"),IF(AK469-AK464&lt;0.208333333333333,AK469-AK464,""),""))))),""),"")</f>
        <v/>
      </c>
      <c r="AY468" s="87" t="n"/>
      <c r="AZ468" s="89" t="n"/>
      <c r="BA468" s="87" t="n"/>
      <c r="BB468" s="89" t="n"/>
      <c r="BC468" s="91" t="n"/>
      <c r="BD468" s="122">
        <f>IF(AK468&lt;&gt;"",IF(AND(BD467&lt;&gt;"IE",AT468&lt;&gt;0,AV468&lt;&gt;""),IF(IFERROR((AT468/AV468),0) &lt;=1,IFERROR(AT468/AV468,""),1),""),"")</f>
        <v/>
      </c>
      <c r="BE468" s="93" t="n"/>
      <c r="BF468" s="105" t="n"/>
      <c r="FC468" t="inlineStr">
        <is>
          <t>Diccionario 1</t>
        </is>
      </c>
      <c r="FD468" s="15" t="inlineStr"/>
      <c r="FE468" s="17" t="inlineStr">
        <is>
          <t>LDYECS314S0044332</t>
        </is>
      </c>
      <c r="FF468" s="18" t="inlineStr">
        <is>
          <t>MDN35025030178</t>
        </is>
      </c>
      <c r="FG468" s="18" t="inlineStr">
        <is>
          <t>Zhong Thong</t>
        </is>
      </c>
      <c r="FH468" s="18" t="inlineStr">
        <is>
          <t>Lck6122evg</t>
        </is>
      </c>
      <c r="FI468" s="18" t="inlineStr">
        <is>
          <t>Zhong Thong</t>
        </is>
      </c>
      <c r="FJ468" s="18" t="inlineStr">
        <is>
          <t>Lck6122evg</t>
        </is>
      </c>
      <c r="FK468" s="18" t="n">
        <v>2026</v>
      </c>
      <c r="FL468" s="18" t="inlineStr">
        <is>
          <t>B</t>
        </is>
      </c>
      <c r="FM468" s="18" t="inlineStr">
        <is>
          <t>Recoleta</t>
        </is>
      </c>
      <c r="FP468" t="inlineStr">
        <is>
          <t>B</t>
        </is>
      </c>
      <c r="FS468" s="14" t="inlineStr">
        <is>
          <t>VJKV-88|</t>
        </is>
      </c>
      <c r="FT468" t="inlineStr">
        <is>
          <t>VJKV-88|</t>
        </is>
      </c>
      <c r="FU468" t="inlineStr">
        <is>
          <t>VJKV-88</t>
        </is>
      </c>
      <c r="FV468">
        <f>VLOOKUP(FU468,FD:FL,9,0)</f>
        <v/>
      </c>
      <c r="FZ468" s="51" t="n">
        <v>120</v>
      </c>
      <c r="GA468" s="43" t="n">
        <v>28.95</v>
      </c>
      <c r="GB468" s="43" t="n">
        <v>0</v>
      </c>
      <c r="GC468" s="43" t="n">
        <v>0</v>
      </c>
      <c r="GD468" s="43" t="n">
        <v>0</v>
      </c>
      <c r="GE468" s="43" t="n">
        <v>0</v>
      </c>
      <c r="GF468" s="43" t="n">
        <v>12.92</v>
      </c>
      <c r="GG468" s="43" t="n">
        <v>24.925</v>
      </c>
      <c r="GH468" s="43" t="n">
        <v>23.515</v>
      </c>
      <c r="GI468" s="43" t="n">
        <v>22.52</v>
      </c>
      <c r="GJ468" s="43" t="n">
        <v>21.685</v>
      </c>
      <c r="GK468" s="43" t="n">
        <v>20.46</v>
      </c>
      <c r="GL468" s="43" t="n">
        <v>19.325</v>
      </c>
      <c r="GM468" s="43" t="n">
        <v>19.31</v>
      </c>
      <c r="GN468" s="43" t="n">
        <v>19.48</v>
      </c>
      <c r="GO468" s="43" t="n">
        <v>19.945</v>
      </c>
      <c r="GP468" s="43" t="n">
        <v>19.68</v>
      </c>
      <c r="GQ468" s="43" t="n">
        <v>19.005</v>
      </c>
      <c r="GR468" s="43" t="n">
        <v>18.815</v>
      </c>
      <c r="GS468" s="43" t="n">
        <v>18.655</v>
      </c>
      <c r="GT468" s="43" t="n">
        <v>18.835</v>
      </c>
      <c r="GU468" s="43" t="n">
        <v>19.91</v>
      </c>
      <c r="GV468" s="43" t="n">
        <v>21.39</v>
      </c>
      <c r="GW468" s="43" t="n">
        <v>24.235</v>
      </c>
      <c r="GX468" s="43" t="n">
        <v>26.99</v>
      </c>
      <c r="HA468" s="35" t="n">
        <v>13</v>
      </c>
      <c r="HB468" s="35" t="n">
        <v>462</v>
      </c>
    </row>
    <row r="469" ht="15.5" customHeight="1">
      <c r="A469" s="10">
        <f>HOUR(G469)+1</f>
        <v/>
      </c>
      <c r="B469" s="7" t="n"/>
      <c r="C469" s="7" t="n"/>
      <c r="D469" s="85">
        <f>IFERROR(
IF(AND(OR(Planilla!B469="C",Planilla!B469="c"), VLOOKUP(E469,FD:FP,13,0)="C"), "OK",IF(AND(OR(Planilla!B469="C",Planilla!B469="c"), OR(VLOOKUP(E469,FD:FP,13,0)="B", VLOOKUP(E469,FD:FP,13,0)="A")), "DEFICIT",IF(
AND(OR(Planilla!B469="B", Planilla!B469="BPAL"), VLOOKUP(E469,FD:FP,13,0)="B"), "OK",IF(AND(OR(Planilla!B469="B", Planilla!B469="BPAL"), VLOOKUP(E469,FD:FP,13,0)="A"), "DEFICIT",IF(AND(OR(Planilla!B469="B", Planilla!B469="BPAL"), VLOOKUP(E469,FD:FP,13,0)="C"), "SOBREOFERTA",IF(AND(Planilla!B469="A", VLOOKUP(E469,FD:FP,13,0)="A"), "OK",IF(
AND(Planilla!B469="A", OR(VLOOKUP(E469,FD:FP,13,0)="B", VLOOKUP(E469,FD:FP,13,0)="C")), "SOBREOFERTA",""
))))))),"")</f>
        <v/>
      </c>
      <c r="E469" s="8" t="n"/>
      <c r="F469" s="86" t="n"/>
      <c r="G469" s="87" t="n"/>
      <c r="H469" s="88">
        <f>IF(I469="","",IF(AND((I469-G469)&gt;=TIME(0,0,0),(I469-G469)&lt;TIME(0,3,0)),"OK",IF(AND((I469-G469)&gt;=TIME(0,3,0),(I469-G469)&lt;TIME(0,5,0)),"RETRASO DE 3-5 MIN",IF(AND((I469-G469)&gt;=TIME(0,5,0),(I469-G469)&lt;TIME(0,10,0)),"RETRASO DE 5-10 MIN",IF((I469-G469)&gt;=TIME(0,10,0),"RETRASO &gt;10 MIN", IF(AND((G469-I469)&gt;=TIME(0,0,0),(G469-I469)&lt;TIME(0,3,0)),"OK",IF((G469-I469)&gt;=TIME(0,3,0),"ADELANTADO")))))))</f>
        <v/>
      </c>
      <c r="I469" s="89" t="n"/>
      <c r="J469" s="89">
        <f>IF(A469&lt;&gt;"",HLOOKUP(VALUE(TEXT(G469,"h:mm:ss")),IF($C$6="Laboral",$FZ$4:$GX$227,IF($C$6="Sábado",$FZ$231:$GX$452,$FZ$456:$GX$656)),VLOOKUP($C$4,$HF$2:$HH$99,3,0)+IF(C$5="Ida",0,1),1),"")</f>
        <v/>
      </c>
      <c r="K469" s="89">
        <f>IF(A470&lt;&gt;A469,AVERAGEIF(A$9:A469,A469,J$9:J469),"")</f>
        <v/>
      </c>
      <c r="L469" s="89">
        <f>IFERROR(IF(A470&lt;&gt;A469,AVERAGEIF(A$9:A469,A469,S$9:S469),""),"")</f>
        <v/>
      </c>
      <c r="M469" s="89">
        <f>IFERROR(IF(A470&lt;&gt;A469,AVERAGEIF(A$9:A469,A469,T$9:T469),""),"")</f>
        <v/>
      </c>
      <c r="N469" s="89">
        <f t="array" ref="N469">IFERROR(IF(A470&lt;&gt;A469,_xlfn.STDEV.P(IF(A$9:A469=A469,T$9:T469)),""),"")</f>
        <v/>
      </c>
      <c r="O469" s="89">
        <f t="array" ref="O469">IFERROR(IF(A470&lt;&gt;A469,_xlfn.STDEV.P(IF(A$9:A469=A469,S$9:S469)),""),"")</f>
        <v/>
      </c>
      <c r="P469" s="90">
        <f>IFERROR(IF(A469&lt;&gt;A470,MAX((((M469*24*60)/2)*(1+POWER((((N469*24*60) / (M469*24*60) )),2))) + ((M469*24*60 )*-0.1 + (K469*0.015)) +1,(((M469*24*60)/2)*(1+POWER((((N469*24*60) / (M469*24*60 ))),2)))),""),"")</f>
        <v/>
      </c>
      <c r="Q469" s="90">
        <f>IF(AND(O469&lt;&gt;"",L469&lt;&gt;""),IF(A469&lt;&gt;A470,((L469*24*60) / 2 ) * (1 + POWER(((O469*24*60) / (L469*24*60)),2)),""),"")</f>
        <v/>
      </c>
      <c r="R469" s="90">
        <f>IF(Q469&lt;&gt;"",MAX(P469,Q469),"")</f>
        <v/>
      </c>
      <c r="S469" s="89">
        <f>IF(I469&lt;&gt;"H. Sale Real",IF(AND(I470&lt;&gt;"",LEFT(C470,2)&lt;&gt;"Va"),IF(AND(I469&lt;&gt;"",LEFT(C469,2)&lt;&gt;"Va",I469&lt;&gt;"H. Sale Real"),IF(I470-I469&lt;0.208333333333333,I470-I469,""),IF(AND(I468&lt;&gt;"",LEFT(C468,2)&lt;&gt;"Va",I468&lt;&gt;"H. Sale Real"),IF(I470-I468&lt;0.208333333333333,I470-I468,""),IF(AND(I467&lt;&gt;"",LEFT(C467,2)&lt;&gt;"Va",I467&lt;&gt;"H. Sale Real"),IF(I470-I467&lt;0.208333333333333,I470-I467,""),IF(AND(I466&lt;&gt;"",LEFT(C466,2)&lt;&gt;"Va",I466&lt;&gt;"H. Sale Real"),IF(I470-I466&lt;0.208333333333333,I470-I466,""),IF(AND(I465&lt;&gt;"",LEFT(C465,2)&lt;&gt;"Va",I465&lt;&gt;"H. Sale Real"),IF(I470-I465&lt;0.208333333333333,I470-I465,""),""))))),""),"")</f>
        <v/>
      </c>
      <c r="T469" s="89">
        <f>IF(G469&lt;&gt;"H. Sale Real",IF(AND(G470&lt;&gt;"",LEFT(C470,2)&lt;&gt;"Va"),IF(AND(G469&lt;&gt;"",LEFT(C469,2)&lt;&gt;"Va",G469&lt;&gt;"H. Sale Real"),IF(G470-G469&lt;0.208333333333333,G470-G469,""),IF(AND(G468&lt;&gt;"",LEFT(C468,2)&lt;&gt;"Va",G468&lt;&gt;"H. Sale Real"),IF(G470-G468&lt;0.208333333333333,G470-G468,""),IF(AND(G467&lt;&gt;"",LEFT(C467,2)&lt;&gt;"Va",G467&lt;&gt;"H. Sale Real"),IF(G470-G467&lt;0.208333333333333,G470-G467,""),IF(AND(G466&lt;&gt;"",LEFT(C466,2)&lt;&gt;"Va",G466&lt;&gt;"H. Sale Real"),IF(G470-G466&lt;0.208333333333333,G470-G466,""),IF(AND(G465&lt;&gt;"",LEFT(C465,2)&lt;&gt;"Va",G465&lt;&gt;"H. Sale Real"),IF(G470-G465&lt;0.208333333333333,G470-G465,""),""))))),""),"")</f>
        <v/>
      </c>
      <c r="U469" s="87" t="n"/>
      <c r="V469" s="89" t="n"/>
      <c r="W469" s="87" t="n"/>
      <c r="X469" s="89" t="n"/>
      <c r="Y469" s="91" t="n"/>
      <c r="Z469" s="122">
        <f>IF(G469&lt;&gt;"",IF(AND(Z468&lt;&gt;"IE",P469&lt;&gt;0,R469&lt;&gt;""),IF(IFERROR((P469/R469),0) &lt;=1,IFERROR(P469/R469,""),1),""),"")</f>
        <v/>
      </c>
      <c r="AA469" s="93" t="n"/>
      <c r="AB469" s="2" t="n"/>
      <c r="AE469" s="10">
        <f>HOUR(AK469)+1</f>
        <v/>
      </c>
      <c r="AF469" s="7" t="n"/>
      <c r="AG469" s="7" t="n"/>
      <c r="AH469" s="86" t="n"/>
      <c r="AI469" s="8" t="n"/>
      <c r="AJ469" s="86" t="n"/>
      <c r="AK469" s="87" t="n"/>
      <c r="AL469" s="88">
        <f>IF(AM469="","",IF(AND((AM469-AK469)&gt;=TIME(0,0,0),(AM469-AK469)&lt;TIME(0,3,0)),"OK",IF(AND((AM469-AK469)&gt;=TIME(0,3,0),(AM469-AK469)&lt;TIME(0,5,0)),"RETRASO DE 3-5 MIN",IF(AND((AM469-AK469)&gt;=TIME(0,5,0),(AM469-AK469)&lt;TIME(0,10,0)),"RETRASO DE 5-10 MIN",IF((AM469-AK469)&gt;=TIME(0,10,0),"RETRASO &gt;10 MIN", IF(AND((AK469-AM469)&gt;=TIME(0,0,0),(AK469-AM469)&lt;TIME(0,3,0)),"OK",IF((AK469-AM469)&gt;=TIME(0,3,0),"ADELANTADO")))))))</f>
        <v/>
      </c>
      <c r="AM469" s="91" t="n"/>
      <c r="AN469" s="89">
        <f>IF(AE469&lt;&gt;"",HLOOKUP(VALUE(TEXT(AK469,"h:mm:ss")),IF($C$6="Laboral",$FZ$4:$GX$227,IF($C$6="Sábado",$FZ$231:$GX$452,$FZ$456:$GX$656)),VLOOKUP($C$4,$HF$2:$HH$99,3,0)+IF(AG$5="Ida",0,1),1),"")</f>
        <v/>
      </c>
      <c r="AO469" s="89">
        <f>IF(AE470&lt;&gt;AE469,AVERAGEIF(AE$9:AE469,AE469,AN$9:AN469),"")</f>
        <v/>
      </c>
      <c r="AP469" s="89">
        <f>IFERROR(IF(AE470&lt;&gt;AE469,AVERAGEIF(AE$9:AE469,AE469,AW$9:AW469),""),"")</f>
        <v/>
      </c>
      <c r="AQ469" s="89">
        <f>IFERROR(IF(AE470&lt;&gt;AE469,AVERAGEIF(AE$9:AE469,AE469,AX$9:AX469),""),"")</f>
        <v/>
      </c>
      <c r="AR469" s="89">
        <f t="array" ref="AR469">IFERROR(IF(AE470&lt;&gt;AE469,_xlfn.STDEV.P(IF(AE$9:AE469=AE469,AX$9:AX469)),""),"")</f>
        <v/>
      </c>
      <c r="AS469" s="89">
        <f t="array" ref="AS469">IFERROR(IF(AE470&lt;&gt;AE469,_xlfn.STDEV.P(IF(AE$9:AE469=AE469,AW$9:AW469)),""),"")</f>
        <v/>
      </c>
      <c r="AT469" s="90">
        <f>IFERROR(IF(AE469&lt;&gt;AE470,MAX((((AQ469*24*60)/2)*(1+POWER((((AR469*24*60) / (AQ469*24*60) )),2))) + ((AQ469*24*60 )*-0.1 + (AO469*0.015)) +1,(((AQ469*24*60)/2)*(1+POWER((((AR469*24*60) / (AQ469*24*60 ))),2)))),""),"")</f>
        <v/>
      </c>
      <c r="AU469" s="90">
        <f>IF(AND(AS469&lt;&gt;"",AP469&lt;&gt;""),IF(AE469&lt;&gt;AE470,((AP469*24*60) / 2 ) * (1 + POWER(((AS469*24*60) / (AP469*24*60)),2)),""),"")</f>
        <v/>
      </c>
      <c r="AV469" s="90">
        <f>IF(AU469&lt;&gt;"",MAX(AT469,AU469),"")</f>
        <v/>
      </c>
      <c r="AW469" s="89">
        <f>IF(AM469&lt;&gt;"H. Sale Real",IF(AND(AM470&lt;&gt;"",LEFT(AG470,2)&lt;&gt;"Va"),IF(AND(AM469&lt;&gt;"",LEFT(AG469,2)&lt;&gt;"Va",AM469&lt;&gt;"H. Sale Real"),IF(AM470-AM469&lt;0.208333333333333,AM470-AM469,""),IF(AND(AM468&lt;&gt;"",LEFT(AG468,2)&lt;&gt;"Va",AM468&lt;&gt;"H. Sale Real"),IF(AM470-AM468&lt;0.208333333333333,AM470-AM468,""),IF(AND(AM467&lt;&gt;"",LEFT(AG467,2)&lt;&gt;"Va",AM467&lt;&gt;"H. Sale Real"),IF(AM470-AM467&lt;0.208333333333333,AM470-AM467,""),IF(AND(AM466&lt;&gt;"",LEFT(AG466,2)&lt;&gt;"Va",AM466&lt;&gt;"H. Sale Real"),IF(AM470-AM466&lt;0.208333333333333,AM470-AM466,""),IF(AND(AM465&lt;&gt;"",LEFT(AG465,2)&lt;&gt;"Va",AM465&lt;&gt;"H. Sale Real"),IF(AM470-AM465&lt;0.208333333333333,AM470-AM465,""),""))))),""),"")</f>
        <v/>
      </c>
      <c r="AX469" s="89">
        <f>IF(AK469&lt;&gt;"H. Sale Real",IF(AND(AK470&lt;&gt;"",LEFT(AG470,2)&lt;&gt;"Va"),IF(AND(AK469&lt;&gt;"",LEFT(AG469,2)&lt;&gt;"Va",AK469&lt;&gt;"H. Sale Real"),IF(AK470-AK469&lt;0.208333333333333,AK470-AK469,""),IF(AND(AK468&lt;&gt;"",LEFT(AG468,2)&lt;&gt;"Va",AK468&lt;&gt;"H. Sale Real"),IF(AK470-AK468&lt;0.208333333333333,AK470-AK468,""),IF(AND(AK467&lt;&gt;"",LEFT(AG467,2)&lt;&gt;"NC",AK467&lt;&gt;"H. Sale Real"),IF(AK470-AK467&lt;0.208333333333333,AK470-AK467,""),IF(AND(AK466&lt;&gt;"",LEFT(AG466,2)&lt;&gt;"Va",AK466&lt;&gt;"H. Sale Real"),IF(AK470-AK466&lt;0.208333333333333,AK470-AK466,""),IF(AND(AK465&lt;&gt;"",LEFT(AG465,2)&lt;&gt;"Va",AK465&lt;&gt;"H. Sale Real"),IF(AK470-AK465&lt;0.208333333333333,AK470-AK465,""),""))))),""),"")</f>
        <v/>
      </c>
      <c r="AY469" s="87" t="n"/>
      <c r="AZ469" s="89" t="n"/>
      <c r="BA469" s="87" t="n"/>
      <c r="BB469" s="89" t="n"/>
      <c r="BC469" s="91" t="n"/>
      <c r="BD469" s="122">
        <f>IF(AK469&lt;&gt;"",IF(AND(BD468&lt;&gt;"IE",AT469&lt;&gt;0,AV469&lt;&gt;""),IF(IFERROR((AT469/AV469),0) &lt;=1,IFERROR(AT469/AV469,""),1),""),"")</f>
        <v/>
      </c>
      <c r="BE469" s="93" t="n"/>
      <c r="BF469" s="105" t="n"/>
      <c r="FC469" t="inlineStr">
        <is>
          <t>Diccionario 1</t>
        </is>
      </c>
      <c r="FD469" s="15" t="inlineStr"/>
      <c r="FE469" s="17" t="inlineStr">
        <is>
          <t>LDYECS313S0044399</t>
        </is>
      </c>
      <c r="FF469" s="18" t="inlineStr">
        <is>
          <t>MDN35025030198</t>
        </is>
      </c>
      <c r="FG469" s="18" t="inlineStr">
        <is>
          <t>Zhong Thong</t>
        </is>
      </c>
      <c r="FH469" s="18" t="inlineStr">
        <is>
          <t>Lck6122evg</t>
        </is>
      </c>
      <c r="FI469" s="18" t="inlineStr">
        <is>
          <t>Zhong Thong</t>
        </is>
      </c>
      <c r="FJ469" s="18" t="inlineStr">
        <is>
          <t>Lck6122evg</t>
        </is>
      </c>
      <c r="FK469" s="18" t="n">
        <v>2026</v>
      </c>
      <c r="FL469" s="18" t="inlineStr">
        <is>
          <t>B</t>
        </is>
      </c>
      <c r="FM469" s="18" t="inlineStr">
        <is>
          <t>Recoleta</t>
        </is>
      </c>
      <c r="FP469" t="inlineStr">
        <is>
          <t>B</t>
        </is>
      </c>
      <c r="FS469" s="14" t="inlineStr">
        <is>
          <t>LZPT-66|</t>
        </is>
      </c>
      <c r="FT469" t="inlineStr">
        <is>
          <t>LZPT-66|</t>
        </is>
      </c>
      <c r="FU469" t="inlineStr">
        <is>
          <t>LZPT-66</t>
        </is>
      </c>
      <c r="FV469">
        <f>VLOOKUP(FU469,FD:FL,9,0)</f>
        <v/>
      </c>
      <c r="FZ469" s="51" t="inlineStr">
        <is>
          <t>B13</t>
        </is>
      </c>
      <c r="GA469" s="43" t="n">
        <v>0</v>
      </c>
      <c r="GB469" s="43" t="n">
        <v>0</v>
      </c>
      <c r="GC469" s="43" t="n">
        <v>0</v>
      </c>
      <c r="GD469" s="43" t="n">
        <v>0</v>
      </c>
      <c r="GE469" s="43" t="n">
        <v>0</v>
      </c>
      <c r="GF469" s="43" t="n">
        <v>14.605</v>
      </c>
      <c r="GG469" s="43" t="n">
        <v>27.835</v>
      </c>
      <c r="GH469" s="43" t="n">
        <v>26.24</v>
      </c>
      <c r="GI469" s="43" t="n">
        <v>25.11</v>
      </c>
      <c r="GJ469" s="43" t="n">
        <v>24.27</v>
      </c>
      <c r="GK469" s="43" t="n">
        <v>23.205</v>
      </c>
      <c r="GL469" s="43" t="n">
        <v>22.46</v>
      </c>
      <c r="GM469" s="43" t="n">
        <v>21.245</v>
      </c>
      <c r="GN469" s="43" t="n">
        <v>21</v>
      </c>
      <c r="GO469" s="43" t="n">
        <v>21.345</v>
      </c>
      <c r="GP469" s="43" t="n">
        <v>21.515</v>
      </c>
      <c r="GQ469" s="43" t="n">
        <v>21.09</v>
      </c>
      <c r="GR469" s="43" t="n">
        <v>20.35</v>
      </c>
      <c r="GS469" s="43" t="n">
        <v>20.2</v>
      </c>
      <c r="GT469" s="43" t="n">
        <v>21.535</v>
      </c>
      <c r="GU469" s="43" t="n">
        <v>22.89</v>
      </c>
      <c r="GV469" s="43" t="n">
        <v>24.565</v>
      </c>
      <c r="GW469" s="43" t="n">
        <v>26.275</v>
      </c>
      <c r="GX469" s="43" t="n">
        <v>27.95</v>
      </c>
      <c r="HA469" s="35" t="n">
        <v>14</v>
      </c>
      <c r="HB469" s="35" t="n">
        <v>463</v>
      </c>
    </row>
    <row r="470" ht="15.5" customHeight="1">
      <c r="A470" s="10">
        <f>HOUR(G470)+1</f>
        <v/>
      </c>
      <c r="B470" s="7" t="n"/>
      <c r="C470" s="7" t="n"/>
      <c r="D470" s="85">
        <f>IFERROR(
IF(AND(OR(Planilla!B470="C",Planilla!B470="c"), VLOOKUP(E470,FD:FP,13,0)="C"), "OK",IF(AND(OR(Planilla!B470="C",Planilla!B470="c"), OR(VLOOKUP(E470,FD:FP,13,0)="B", VLOOKUP(E470,FD:FP,13,0)="A")), "DEFICIT",IF(
AND(OR(Planilla!B470="B", Planilla!B470="BPAL"), VLOOKUP(E470,FD:FP,13,0)="B"), "OK",IF(AND(OR(Planilla!B470="B", Planilla!B470="BPAL"), VLOOKUP(E470,FD:FP,13,0)="A"), "DEFICIT",IF(AND(OR(Planilla!B470="B", Planilla!B470="BPAL"), VLOOKUP(E470,FD:FP,13,0)="C"), "SOBREOFERTA",IF(AND(Planilla!B470="A", VLOOKUP(E470,FD:FP,13,0)="A"), "OK",IF(
AND(Planilla!B470="A", OR(VLOOKUP(E470,FD:FP,13,0)="B", VLOOKUP(E470,FD:FP,13,0)="C")), "SOBREOFERTA",""
))))))),"")</f>
        <v/>
      </c>
      <c r="E470" s="8" t="n"/>
      <c r="F470" s="86" t="n"/>
      <c r="G470" s="87" t="n"/>
      <c r="H470" s="88">
        <f>IF(I470="","",IF(AND((I470-G470)&gt;=TIME(0,0,0),(I470-G470)&lt;TIME(0,3,0)),"OK",IF(AND((I470-G470)&gt;=TIME(0,3,0),(I470-G470)&lt;TIME(0,5,0)),"RETRASO DE 3-5 MIN",IF(AND((I470-G470)&gt;=TIME(0,5,0),(I470-G470)&lt;TIME(0,10,0)),"RETRASO DE 5-10 MIN",IF((I470-G470)&gt;=TIME(0,10,0),"RETRASO &gt;10 MIN", IF(AND((G470-I470)&gt;=TIME(0,0,0),(G470-I470)&lt;TIME(0,3,0)),"OK",IF((G470-I470)&gt;=TIME(0,3,0),"ADELANTADO")))))))</f>
        <v/>
      </c>
      <c r="I470" s="89" t="n"/>
      <c r="J470" s="89">
        <f>IF(A470&lt;&gt;"",HLOOKUP(VALUE(TEXT(G470,"h:mm:ss")),IF($C$6="Laboral",$FZ$4:$GX$227,IF($C$6="Sábado",$FZ$231:$GX$452,$FZ$456:$GX$656)),VLOOKUP($C$4,$HF$2:$HH$99,3,0)+IF(C$5="Ida",0,1),1),"")</f>
        <v/>
      </c>
      <c r="K470" s="89">
        <f>IF(A471&lt;&gt;A470,AVERAGEIF(A$9:A470,A470,J$9:J470),"")</f>
        <v/>
      </c>
      <c r="L470" s="89">
        <f>IFERROR(IF(A471&lt;&gt;A470,AVERAGEIF(A$9:A470,A470,S$9:S470),""),"")</f>
        <v/>
      </c>
      <c r="M470" s="89">
        <f>IFERROR(IF(A471&lt;&gt;A470,AVERAGEIF(A$9:A470,A470,T$9:T470),""),"")</f>
        <v/>
      </c>
      <c r="N470" s="89">
        <f t="array" ref="N470">IFERROR(IF(A471&lt;&gt;A470,_xlfn.STDEV.P(IF(A$9:A470=A470,T$9:T470)),""),"")</f>
        <v/>
      </c>
      <c r="O470" s="89">
        <f t="array" ref="O470">IFERROR(IF(A471&lt;&gt;A470,_xlfn.STDEV.P(IF(A$9:A470=A470,S$9:S470)),""),"")</f>
        <v/>
      </c>
      <c r="P470" s="90">
        <f>IFERROR(IF(A470&lt;&gt;A471,MAX((((M470*24*60)/2)*(1+POWER((((N470*24*60) / (M470*24*60) )),2))) + ((M470*24*60 )*-0.1 + (K470*0.015)) +1,(((M470*24*60)/2)*(1+POWER((((N470*24*60) / (M470*24*60 ))),2)))),""),"")</f>
        <v/>
      </c>
      <c r="Q470" s="90">
        <f>IF(AND(O470&lt;&gt;"",L470&lt;&gt;""),IF(A470&lt;&gt;A471,((L470*24*60) / 2 ) * (1 + POWER(((O470*24*60) / (L470*24*60)),2)),""),"")</f>
        <v/>
      </c>
      <c r="R470" s="90">
        <f>IF(Q470&lt;&gt;"",MAX(P470,Q470),"")</f>
        <v/>
      </c>
      <c r="S470" s="89">
        <f>IF(I470&lt;&gt;"H. Sale Real",IF(AND(I471&lt;&gt;"",LEFT(C471,2)&lt;&gt;"Va"),IF(AND(I470&lt;&gt;"",LEFT(C470,2)&lt;&gt;"Va",I470&lt;&gt;"H. Sale Real"),IF(I471-I470&lt;0.208333333333333,I471-I470,""),IF(AND(I469&lt;&gt;"",LEFT(C469,2)&lt;&gt;"Va",I469&lt;&gt;"H. Sale Real"),IF(I471-I469&lt;0.208333333333333,I471-I469,""),IF(AND(I468&lt;&gt;"",LEFT(C468,2)&lt;&gt;"Va",I468&lt;&gt;"H. Sale Real"),IF(I471-I468&lt;0.208333333333333,I471-I468,""),IF(AND(I467&lt;&gt;"",LEFT(C467,2)&lt;&gt;"Va",I467&lt;&gt;"H. Sale Real"),IF(I471-I467&lt;0.208333333333333,I471-I467,""),IF(AND(I466&lt;&gt;"",LEFT(C466,2)&lt;&gt;"Va",I466&lt;&gt;"H. Sale Real"),IF(I471-I466&lt;0.208333333333333,I471-I466,""),""))))),""),"")</f>
        <v/>
      </c>
      <c r="T470" s="89">
        <f>IF(G470&lt;&gt;"H. Sale Real",IF(AND(G471&lt;&gt;"",LEFT(C471,2)&lt;&gt;"Va"),IF(AND(G470&lt;&gt;"",LEFT(C470,2)&lt;&gt;"Va",G470&lt;&gt;"H. Sale Real"),IF(G471-G470&lt;0.208333333333333,G471-G470,""),IF(AND(G469&lt;&gt;"",LEFT(C469,2)&lt;&gt;"Va",G469&lt;&gt;"H. Sale Real"),IF(G471-G469&lt;0.208333333333333,G471-G469,""),IF(AND(G468&lt;&gt;"",LEFT(C468,2)&lt;&gt;"Va",G468&lt;&gt;"H. Sale Real"),IF(G471-G468&lt;0.208333333333333,G471-G468,""),IF(AND(G467&lt;&gt;"",LEFT(C467,2)&lt;&gt;"Va",G467&lt;&gt;"H. Sale Real"),IF(G471-G467&lt;0.208333333333333,G471-G467,""),IF(AND(G466&lt;&gt;"",LEFT(C466,2)&lt;&gt;"Va",G466&lt;&gt;"H. Sale Real"),IF(G471-G466&lt;0.208333333333333,G471-G466,""),""))))),""),"")</f>
        <v/>
      </c>
      <c r="U470" s="87" t="n"/>
      <c r="V470" s="89" t="n"/>
      <c r="W470" s="87" t="n"/>
      <c r="X470" s="89" t="n"/>
      <c r="Y470" s="91" t="n"/>
      <c r="Z470" s="122">
        <f>IF(G470&lt;&gt;"",IF(AND(Z469&lt;&gt;"IE",P470&lt;&gt;0,R470&lt;&gt;""),IF(IFERROR((P470/R470),0) &lt;=1,IFERROR(P470/R470,""),1),""),"")</f>
        <v/>
      </c>
      <c r="AA470" s="93" t="n"/>
      <c r="AB470" s="2" t="n"/>
      <c r="AE470" s="10">
        <f>HOUR(AK470)+1</f>
        <v/>
      </c>
      <c r="AF470" s="7" t="n"/>
      <c r="AG470" s="7" t="n"/>
      <c r="AH470" s="86" t="n"/>
      <c r="AI470" s="8" t="n"/>
      <c r="AJ470" s="86" t="n"/>
      <c r="AK470" s="87" t="n"/>
      <c r="AL470" s="88">
        <f>IF(AM470="","",IF(AND((AM470-AK470)&gt;=TIME(0,0,0),(AM470-AK470)&lt;TIME(0,3,0)),"OK",IF(AND((AM470-AK470)&gt;=TIME(0,3,0),(AM470-AK470)&lt;TIME(0,5,0)),"RETRASO DE 3-5 MIN",IF(AND((AM470-AK470)&gt;=TIME(0,5,0),(AM470-AK470)&lt;TIME(0,10,0)),"RETRASO DE 5-10 MIN",IF((AM470-AK470)&gt;=TIME(0,10,0),"RETRASO &gt;10 MIN", IF(AND((AK470-AM470)&gt;=TIME(0,0,0),(AK470-AM470)&lt;TIME(0,3,0)),"OK",IF((AK470-AM470)&gt;=TIME(0,3,0),"ADELANTADO")))))))</f>
        <v/>
      </c>
      <c r="AM470" s="91" t="n"/>
      <c r="AN470" s="89">
        <f>IF(AE470&lt;&gt;"",HLOOKUP(VALUE(TEXT(AK470,"h:mm:ss")),IF($C$6="Laboral",$FZ$4:$GX$227,IF($C$6="Sábado",$FZ$231:$GX$452,$FZ$456:$GX$656)),VLOOKUP($C$4,$HF$2:$HH$99,3,0)+IF(AG$5="Ida",0,1),1),"")</f>
        <v/>
      </c>
      <c r="AO470" s="89">
        <f>IF(AE471&lt;&gt;AE470,AVERAGEIF(AE$9:AE470,AE470,AN$9:AN470),"")</f>
        <v/>
      </c>
      <c r="AP470" s="89">
        <f>IFERROR(IF(AE471&lt;&gt;AE470,AVERAGEIF(AE$9:AE470,AE470,AW$9:AW470),""),"")</f>
        <v/>
      </c>
      <c r="AQ470" s="89">
        <f>IFERROR(IF(AE471&lt;&gt;AE470,AVERAGEIF(AE$9:AE470,AE470,AX$9:AX470),""),"")</f>
        <v/>
      </c>
      <c r="AR470" s="89">
        <f t="array" ref="AR470">IFERROR(IF(AE471&lt;&gt;AE470,_xlfn.STDEV.P(IF(AE$9:AE470=AE470,AX$9:AX470)),""),"")</f>
        <v/>
      </c>
      <c r="AS470" s="89">
        <f t="array" ref="AS470">IFERROR(IF(AE471&lt;&gt;AE470,_xlfn.STDEV.P(IF(AE$9:AE470=AE470,AW$9:AW470)),""),"")</f>
        <v/>
      </c>
      <c r="AT470" s="90">
        <f>IFERROR(IF(AE470&lt;&gt;AE471,MAX((((AQ470*24*60)/2)*(1+POWER((((AR470*24*60) / (AQ470*24*60) )),2))) + ((AQ470*24*60 )*-0.1 + (AO470*0.015)) +1,(((AQ470*24*60)/2)*(1+POWER((((AR470*24*60) / (AQ470*24*60 ))),2)))),""),"")</f>
        <v/>
      </c>
      <c r="AU470" s="90">
        <f>IF(AND(AS470&lt;&gt;"",AP470&lt;&gt;""),IF(AE470&lt;&gt;AE471,((AP470*24*60) / 2 ) * (1 + POWER(((AS470*24*60) / (AP470*24*60)),2)),""),"")</f>
        <v/>
      </c>
      <c r="AV470" s="90">
        <f>IF(AU470&lt;&gt;"",MAX(AT470,AU470),"")</f>
        <v/>
      </c>
      <c r="AW470" s="89">
        <f>IF(AM470&lt;&gt;"H. Sale Real",IF(AND(AM471&lt;&gt;"",LEFT(AG471,2)&lt;&gt;"Va"),IF(AND(AM470&lt;&gt;"",LEFT(AG470,2)&lt;&gt;"Va",AM470&lt;&gt;"H. Sale Real"),IF(AM471-AM470&lt;0.208333333333333,AM471-AM470,""),IF(AND(AM469&lt;&gt;"",LEFT(AG469,2)&lt;&gt;"Va",AM469&lt;&gt;"H. Sale Real"),IF(AM471-AM469&lt;0.208333333333333,AM471-AM469,""),IF(AND(AM468&lt;&gt;"",LEFT(AG468,2)&lt;&gt;"Va",AM468&lt;&gt;"H. Sale Real"),IF(AM471-AM468&lt;0.208333333333333,AM471-AM468,""),IF(AND(AM467&lt;&gt;"",LEFT(AG467,2)&lt;&gt;"Va",AM467&lt;&gt;"H. Sale Real"),IF(AM471-AM467&lt;0.208333333333333,AM471-AM467,""),IF(AND(AM466&lt;&gt;"",LEFT(AG466,2)&lt;&gt;"Va",AM466&lt;&gt;"H. Sale Real"),IF(AM471-AM466&lt;0.208333333333333,AM471-AM466,""),""))))),""),"")</f>
        <v/>
      </c>
      <c r="AX470" s="89">
        <f>IF(AK470&lt;&gt;"H. Sale Real",IF(AND(AK471&lt;&gt;"",LEFT(AG471,2)&lt;&gt;"Va"),IF(AND(AK470&lt;&gt;"",LEFT(AG470,2)&lt;&gt;"Va",AK470&lt;&gt;"H. Sale Real"),IF(AK471-AK470&lt;0.208333333333333,AK471-AK470,""),IF(AND(AK469&lt;&gt;"",LEFT(AG469,2)&lt;&gt;"Va",AK469&lt;&gt;"H. Sale Real"),IF(AK471-AK469&lt;0.208333333333333,AK471-AK469,""),IF(AND(AK468&lt;&gt;"",LEFT(AG468,2)&lt;&gt;"NC",AK468&lt;&gt;"H. Sale Real"),IF(AK471-AK468&lt;0.208333333333333,AK471-AK468,""),IF(AND(AK467&lt;&gt;"",LEFT(AG467,2)&lt;&gt;"Va",AK467&lt;&gt;"H. Sale Real"),IF(AK471-AK467&lt;0.208333333333333,AK471-AK467,""),IF(AND(AK466&lt;&gt;"",LEFT(AG466,2)&lt;&gt;"Va",AK466&lt;&gt;"H. Sale Real"),IF(AK471-AK466&lt;0.208333333333333,AK471-AK466,""),""))))),""),"")</f>
        <v/>
      </c>
      <c r="AY470" s="87" t="n"/>
      <c r="AZ470" s="89" t="n"/>
      <c r="BA470" s="87" t="n"/>
      <c r="BB470" s="89" t="n"/>
      <c r="BC470" s="91" t="n"/>
      <c r="BD470" s="122">
        <f>IF(AK470&lt;&gt;"",IF(AND(BD469&lt;&gt;"IE",AT470&lt;&gt;0,AV470&lt;&gt;""),IF(IFERROR((AT470/AV470),0) &lt;=1,IFERROR(AT470/AV470,""),1),""),"")</f>
        <v/>
      </c>
      <c r="BE470" s="93" t="n"/>
      <c r="BF470" s="105" t="n"/>
      <c r="FC470" t="inlineStr">
        <is>
          <t>Diccionario 1</t>
        </is>
      </c>
      <c r="FD470" s="15" t="inlineStr"/>
      <c r="FE470" s="17" t="inlineStr">
        <is>
          <t>LDYECS313S0044337</t>
        </is>
      </c>
      <c r="FF470" s="18" t="inlineStr">
        <is>
          <t>MDN350250138</t>
        </is>
      </c>
      <c r="FG470" s="18" t="inlineStr">
        <is>
          <t>Zhong Thong</t>
        </is>
      </c>
      <c r="FH470" s="18" t="inlineStr">
        <is>
          <t>Lck6122evg</t>
        </is>
      </c>
      <c r="FI470" s="18" t="inlineStr">
        <is>
          <t>Zhong Thong</t>
        </is>
      </c>
      <c r="FJ470" s="18" t="inlineStr">
        <is>
          <t>Lck6122evg</t>
        </is>
      </c>
      <c r="FK470" s="18" t="n">
        <v>2026</v>
      </c>
      <c r="FL470" s="18" t="inlineStr">
        <is>
          <t>B</t>
        </is>
      </c>
      <c r="FM470" s="18" t="inlineStr">
        <is>
          <t>Recoleta</t>
        </is>
      </c>
      <c r="FP470" t="inlineStr">
        <is>
          <t>B</t>
        </is>
      </c>
      <c r="FS470" s="14" t="inlineStr">
        <is>
          <t>LZPR-83|</t>
        </is>
      </c>
      <c r="FT470" t="inlineStr">
        <is>
          <t>LZPR-83|</t>
        </is>
      </c>
      <c r="FU470" t="inlineStr">
        <is>
          <t>LZPR-83</t>
        </is>
      </c>
      <c r="FV470">
        <f>VLOOKUP(FU470,FD:FL,9,0)</f>
        <v/>
      </c>
      <c r="FZ470" s="51" t="inlineStr">
        <is>
          <t>B16</t>
        </is>
      </c>
      <c r="GA470" s="43" t="n">
        <v>0</v>
      </c>
      <c r="GB470" s="43" t="n">
        <v>0</v>
      </c>
      <c r="GC470" s="43" t="n">
        <v>0</v>
      </c>
      <c r="GD470" s="43" t="n">
        <v>0</v>
      </c>
      <c r="GE470" s="43" t="n">
        <v>0</v>
      </c>
      <c r="GF470" s="43" t="n">
        <v>30.485</v>
      </c>
      <c r="GG470" s="43" t="n">
        <v>27.31</v>
      </c>
      <c r="GH470" s="43" t="n">
        <v>24.35</v>
      </c>
      <c r="GI470" s="43" t="n">
        <v>23.075</v>
      </c>
      <c r="GJ470" s="43" t="n">
        <v>21.935</v>
      </c>
      <c r="GK470" s="43" t="n">
        <v>20.895</v>
      </c>
      <c r="GL470" s="43" t="n">
        <v>19.975</v>
      </c>
      <c r="GM470" s="43" t="n">
        <v>20.01</v>
      </c>
      <c r="GN470" s="43" t="n">
        <v>19.485</v>
      </c>
      <c r="GO470" s="43" t="n">
        <v>19.61</v>
      </c>
      <c r="GP470" s="43" t="n">
        <v>19.845</v>
      </c>
      <c r="GQ470" s="43" t="n">
        <v>19.83</v>
      </c>
      <c r="GR470" s="43" t="n">
        <v>19.3</v>
      </c>
      <c r="GS470" s="43" t="n">
        <v>19.735</v>
      </c>
      <c r="GT470" s="43" t="n">
        <v>19.43</v>
      </c>
      <c r="GU470" s="43" t="n">
        <v>20.57</v>
      </c>
      <c r="GV470" s="43" t="n">
        <v>22.265</v>
      </c>
      <c r="GW470" s="43" t="n">
        <v>24.845</v>
      </c>
      <c r="GX470" s="43" t="n">
        <v>27.715</v>
      </c>
      <c r="HA470" s="35" t="n">
        <v>15</v>
      </c>
      <c r="HB470" s="35" t="n">
        <v>464</v>
      </c>
    </row>
    <row r="471" ht="15.5" customHeight="1">
      <c r="A471" s="10">
        <f>HOUR(G471)+1</f>
        <v/>
      </c>
      <c r="B471" s="7" t="n"/>
      <c r="C471" s="7" t="n"/>
      <c r="D471" s="85">
        <f>IFERROR(
IF(AND(OR(Planilla!B471="C",Planilla!B471="c"), VLOOKUP(E471,FD:FP,13,0)="C"), "OK",IF(AND(OR(Planilla!B471="C",Planilla!B471="c"), OR(VLOOKUP(E471,FD:FP,13,0)="B", VLOOKUP(E471,FD:FP,13,0)="A")), "DEFICIT",IF(
AND(OR(Planilla!B471="B", Planilla!B471="BPAL"), VLOOKUP(E471,FD:FP,13,0)="B"), "OK",IF(AND(OR(Planilla!B471="B", Planilla!B471="BPAL"), VLOOKUP(E471,FD:FP,13,0)="A"), "DEFICIT",IF(AND(OR(Planilla!B471="B", Planilla!B471="BPAL"), VLOOKUP(E471,FD:FP,13,0)="C"), "SOBREOFERTA",IF(AND(Planilla!B471="A", VLOOKUP(E471,FD:FP,13,0)="A"), "OK",IF(
AND(Planilla!B471="A", OR(VLOOKUP(E471,FD:FP,13,0)="B", VLOOKUP(E471,FD:FP,13,0)="C")), "SOBREOFERTA",""
))))))),"")</f>
        <v/>
      </c>
      <c r="E471" s="8" t="n"/>
      <c r="F471" s="86" t="n"/>
      <c r="G471" s="87" t="n"/>
      <c r="H471" s="88">
        <f>IF(I471="","",IF(AND((I471-G471)&gt;=TIME(0,0,0),(I471-G471)&lt;TIME(0,3,0)),"OK",IF(AND((I471-G471)&gt;=TIME(0,3,0),(I471-G471)&lt;TIME(0,5,0)),"RETRASO DE 3-5 MIN",IF(AND((I471-G471)&gt;=TIME(0,5,0),(I471-G471)&lt;TIME(0,10,0)),"RETRASO DE 5-10 MIN",IF((I471-G471)&gt;=TIME(0,10,0),"RETRASO &gt;10 MIN", IF(AND((G471-I471)&gt;=TIME(0,0,0),(G471-I471)&lt;TIME(0,3,0)),"OK",IF((G471-I471)&gt;=TIME(0,3,0),"ADELANTADO")))))))</f>
        <v/>
      </c>
      <c r="I471" s="89" t="n"/>
      <c r="J471" s="89">
        <f>IF(A471&lt;&gt;"",HLOOKUP(VALUE(TEXT(G471,"h:mm:ss")),IF($C$6="Laboral",$FZ$4:$GX$227,IF($C$6="Sábado",$FZ$231:$GX$452,$FZ$456:$GX$656)),VLOOKUP($C$4,$HF$2:$HH$99,3,0)+IF(C$5="Ida",0,1),1),"")</f>
        <v/>
      </c>
      <c r="K471" s="89">
        <f>IF(A472&lt;&gt;A471,AVERAGEIF(A$9:A471,A471,J$9:J471),"")</f>
        <v/>
      </c>
      <c r="L471" s="89">
        <f>IFERROR(IF(A472&lt;&gt;A471,AVERAGEIF(A$9:A471,A471,S$9:S471),""),"")</f>
        <v/>
      </c>
      <c r="M471" s="89">
        <f>IFERROR(IF(A472&lt;&gt;A471,AVERAGEIF(A$9:A471,A471,T$9:T471),""),"")</f>
        <v/>
      </c>
      <c r="N471" s="89">
        <f t="array" ref="N471">IFERROR(IF(A472&lt;&gt;A471,_xlfn.STDEV.P(IF(A$9:A471=A471,T$9:T471)),""),"")</f>
        <v/>
      </c>
      <c r="O471" s="89">
        <f t="array" ref="O471">IFERROR(IF(A472&lt;&gt;A471,_xlfn.STDEV.P(IF(A$9:A471=A471,S$9:S471)),""),"")</f>
        <v/>
      </c>
      <c r="P471" s="90">
        <f>IFERROR(IF(A471&lt;&gt;A472,MAX((((M471*24*60)/2)*(1+POWER((((N471*24*60) / (M471*24*60) )),2))) + ((M471*24*60 )*-0.1 + (K471*0.015)) +1,(((M471*24*60)/2)*(1+POWER((((N471*24*60) / (M471*24*60 ))),2)))),""),"")</f>
        <v/>
      </c>
      <c r="Q471" s="90">
        <f>IF(AND(O471&lt;&gt;"",L471&lt;&gt;""),IF(A471&lt;&gt;A472,((L471*24*60) / 2 ) * (1 + POWER(((O471*24*60) / (L471*24*60)),2)),""),"")</f>
        <v/>
      </c>
      <c r="R471" s="90">
        <f>IF(Q471&lt;&gt;"",MAX(P471,Q471),"")</f>
        <v/>
      </c>
      <c r="S471" s="89">
        <f>IF(I471&lt;&gt;"H. Sale Real",IF(AND(I472&lt;&gt;"",LEFT(C472,2)&lt;&gt;"Va"),IF(AND(I471&lt;&gt;"",LEFT(C471,2)&lt;&gt;"Va",I471&lt;&gt;"H. Sale Real"),IF(I472-I471&lt;0.208333333333333,I472-I471,""),IF(AND(I470&lt;&gt;"",LEFT(C470,2)&lt;&gt;"Va",I470&lt;&gt;"H. Sale Real"),IF(I472-I470&lt;0.208333333333333,I472-I470,""),IF(AND(I469&lt;&gt;"",LEFT(C469,2)&lt;&gt;"Va",I469&lt;&gt;"H. Sale Real"),IF(I472-I469&lt;0.208333333333333,I472-I469,""),IF(AND(I468&lt;&gt;"",LEFT(C468,2)&lt;&gt;"Va",I468&lt;&gt;"H. Sale Real"),IF(I472-I468&lt;0.208333333333333,I472-I468,""),IF(AND(I467&lt;&gt;"",LEFT(C467,2)&lt;&gt;"Va",I467&lt;&gt;"H. Sale Real"),IF(I472-I467&lt;0.208333333333333,I472-I467,""),""))))),""),"")</f>
        <v/>
      </c>
      <c r="T471" s="89">
        <f>IF(G471&lt;&gt;"H. Sale Real",IF(AND(G472&lt;&gt;"",LEFT(C472,2)&lt;&gt;"Va"),IF(AND(G471&lt;&gt;"",LEFT(C471,2)&lt;&gt;"Va",G471&lt;&gt;"H. Sale Real"),IF(G472-G471&lt;0.208333333333333,G472-G471,""),IF(AND(G470&lt;&gt;"",LEFT(C470,2)&lt;&gt;"Va",G470&lt;&gt;"H. Sale Real"),IF(G472-G470&lt;0.208333333333333,G472-G470,""),IF(AND(G469&lt;&gt;"",LEFT(C469,2)&lt;&gt;"Va",G469&lt;&gt;"H. Sale Real"),IF(G472-G469&lt;0.208333333333333,G472-G469,""),IF(AND(G468&lt;&gt;"",LEFT(C468,2)&lt;&gt;"Va",G468&lt;&gt;"H. Sale Real"),IF(G472-G468&lt;0.208333333333333,G472-G468,""),IF(AND(G467&lt;&gt;"",LEFT(C467,2)&lt;&gt;"Va",G467&lt;&gt;"H. Sale Real"),IF(G472-G467&lt;0.208333333333333,G472-G467,""),""))))),""),"")</f>
        <v/>
      </c>
      <c r="U471" s="87" t="n"/>
      <c r="V471" s="89" t="n"/>
      <c r="W471" s="87" t="n"/>
      <c r="X471" s="89" t="n"/>
      <c r="Y471" s="91" t="n"/>
      <c r="Z471" s="122">
        <f>IF(G471&lt;&gt;"",IF(AND(Z470&lt;&gt;"IE",P471&lt;&gt;0,R471&lt;&gt;""),IF(IFERROR((P471/R471),0) &lt;=1,IFERROR(P471/R471,""),1),""),"")</f>
        <v/>
      </c>
      <c r="AA471" s="93" t="n"/>
      <c r="AB471" s="2" t="n"/>
      <c r="AE471" s="10">
        <f>HOUR(AK471)+1</f>
        <v/>
      </c>
      <c r="AF471" s="7" t="n"/>
      <c r="AG471" s="7" t="n"/>
      <c r="AH471" s="86" t="n"/>
      <c r="AI471" s="8" t="n"/>
      <c r="AJ471" s="86" t="n"/>
      <c r="AK471" s="87" t="n"/>
      <c r="AL471" s="88">
        <f>IF(AM471="","",IF(AND((AM471-AK471)&gt;=TIME(0,0,0),(AM471-AK471)&lt;TIME(0,3,0)),"OK",IF(AND((AM471-AK471)&gt;=TIME(0,3,0),(AM471-AK471)&lt;TIME(0,5,0)),"RETRASO DE 3-5 MIN",IF(AND((AM471-AK471)&gt;=TIME(0,5,0),(AM471-AK471)&lt;TIME(0,10,0)),"RETRASO DE 5-10 MIN",IF((AM471-AK471)&gt;=TIME(0,10,0),"RETRASO &gt;10 MIN", IF(AND((AK471-AM471)&gt;=TIME(0,0,0),(AK471-AM471)&lt;TIME(0,3,0)),"OK",IF((AK471-AM471)&gt;=TIME(0,3,0),"ADELANTADO")))))))</f>
        <v/>
      </c>
      <c r="AM471" s="91" t="n"/>
      <c r="AN471" s="89">
        <f>IF(AE471&lt;&gt;"",HLOOKUP(VALUE(TEXT(AK471,"h:mm:ss")),IF($C$6="Laboral",$FZ$4:$GX$227,IF($C$6="Sábado",$FZ$231:$GX$452,$FZ$456:$GX$656)),VLOOKUP($C$4,$HF$2:$HH$99,3,0)+IF(AG$5="Ida",0,1),1),"")</f>
        <v/>
      </c>
      <c r="AO471" s="89">
        <f>IF(AE472&lt;&gt;AE471,AVERAGEIF(AE$9:AE471,AE471,AN$9:AN471),"")</f>
        <v/>
      </c>
      <c r="AP471" s="89">
        <f>IFERROR(IF(AE472&lt;&gt;AE471,AVERAGEIF(AE$9:AE471,AE471,AW$9:AW471),""),"")</f>
        <v/>
      </c>
      <c r="AQ471" s="89">
        <f>IFERROR(IF(AE472&lt;&gt;AE471,AVERAGEIF(AE$9:AE471,AE471,AX$9:AX471),""),"")</f>
        <v/>
      </c>
      <c r="AR471" s="89">
        <f t="array" ref="AR471">IFERROR(IF(AE472&lt;&gt;AE471,_xlfn.STDEV.P(IF(AE$9:AE471=AE471,AX$9:AX471)),""),"")</f>
        <v/>
      </c>
      <c r="AS471" s="89">
        <f t="array" ref="AS471">IFERROR(IF(AE472&lt;&gt;AE471,_xlfn.STDEV.P(IF(AE$9:AE471=AE471,AW$9:AW471)),""),"")</f>
        <v/>
      </c>
      <c r="AT471" s="90">
        <f>IFERROR(IF(AE471&lt;&gt;AE472,MAX((((AQ471*24*60)/2)*(1+POWER((((AR471*24*60) / (AQ471*24*60) )),2))) + ((AQ471*24*60 )*-0.1 + (AO471*0.015)) +1,(((AQ471*24*60)/2)*(1+POWER((((AR471*24*60) / (AQ471*24*60 ))),2)))),""),"")</f>
        <v/>
      </c>
      <c r="AU471" s="90">
        <f>IF(AND(AS471&lt;&gt;"",AP471&lt;&gt;""),IF(AE471&lt;&gt;AE472,((AP471*24*60) / 2 ) * (1 + POWER(((AS471*24*60) / (AP471*24*60)),2)),""),"")</f>
        <v/>
      </c>
      <c r="AV471" s="90">
        <f>IF(AU471&lt;&gt;"",MAX(AT471,AU471),"")</f>
        <v/>
      </c>
      <c r="AW471" s="89">
        <f>IF(AM471&lt;&gt;"H. Sale Real",IF(AND(AM472&lt;&gt;"",LEFT(AG472,2)&lt;&gt;"Va"),IF(AND(AM471&lt;&gt;"",LEFT(AG471,2)&lt;&gt;"Va",AM471&lt;&gt;"H. Sale Real"),IF(AM472-AM471&lt;0.208333333333333,AM472-AM471,""),IF(AND(AM470&lt;&gt;"",LEFT(AG470,2)&lt;&gt;"Va",AM470&lt;&gt;"H. Sale Real"),IF(AM472-AM470&lt;0.208333333333333,AM472-AM470,""),IF(AND(AM469&lt;&gt;"",LEFT(AG469,2)&lt;&gt;"Va",AM469&lt;&gt;"H. Sale Real"),IF(AM472-AM469&lt;0.208333333333333,AM472-AM469,""),IF(AND(AM468&lt;&gt;"",LEFT(AG468,2)&lt;&gt;"Va",AM468&lt;&gt;"H. Sale Real"),IF(AM472-AM468&lt;0.208333333333333,AM472-AM468,""),IF(AND(AM467&lt;&gt;"",LEFT(AG467,2)&lt;&gt;"Va",AM467&lt;&gt;"H. Sale Real"),IF(AM472-AM467&lt;0.208333333333333,AM472-AM467,""),""))))),""),"")</f>
        <v/>
      </c>
      <c r="AX471" s="89">
        <f>IF(AK471&lt;&gt;"H. Sale Real",IF(AND(AK472&lt;&gt;"",LEFT(AG472,2)&lt;&gt;"Va"),IF(AND(AK471&lt;&gt;"",LEFT(AG471,2)&lt;&gt;"Va",AK471&lt;&gt;"H. Sale Real"),IF(AK472-AK471&lt;0.208333333333333,AK472-AK471,""),IF(AND(AK470&lt;&gt;"",LEFT(AG470,2)&lt;&gt;"Va",AK470&lt;&gt;"H. Sale Real"),IF(AK472-AK470&lt;0.208333333333333,AK472-AK470,""),IF(AND(AK469&lt;&gt;"",LEFT(AG469,2)&lt;&gt;"NC",AK469&lt;&gt;"H. Sale Real"),IF(AK472-AK469&lt;0.208333333333333,AK472-AK469,""),IF(AND(AK468&lt;&gt;"",LEFT(AG468,2)&lt;&gt;"Va",AK468&lt;&gt;"H. Sale Real"),IF(AK472-AK468&lt;0.208333333333333,AK472-AK468,""),IF(AND(AK467&lt;&gt;"",LEFT(AG467,2)&lt;&gt;"Va",AK467&lt;&gt;"H. Sale Real"),IF(AK472-AK467&lt;0.208333333333333,AK472-AK467,""),""))))),""),"")</f>
        <v/>
      </c>
      <c r="AY471" s="87" t="n"/>
      <c r="AZ471" s="89" t="n"/>
      <c r="BA471" s="87" t="n"/>
      <c r="BB471" s="89" t="n"/>
      <c r="BC471" s="91" t="n"/>
      <c r="BD471" s="122">
        <f>IF(AK471&lt;&gt;"",IF(AND(BD470&lt;&gt;"IE",AT471&lt;&gt;0,AV471&lt;&gt;""),IF(IFERROR((AT471/AV471),0) &lt;=1,IFERROR(AT471/AV471,""),1),""),"")</f>
        <v/>
      </c>
      <c r="BE471" s="93" t="n"/>
      <c r="BF471" s="105" t="n"/>
      <c r="FC471" t="inlineStr">
        <is>
          <t>Diccionario 1</t>
        </is>
      </c>
      <c r="FD471" s="15" t="inlineStr"/>
      <c r="FE471" s="17" t="inlineStr">
        <is>
          <t>LDYECS313S0044404</t>
        </is>
      </c>
      <c r="FF471" s="18" t="inlineStr">
        <is>
          <t>MDN35025030001</t>
        </is>
      </c>
      <c r="FG471" s="18" t="inlineStr">
        <is>
          <t>Zhong Thong</t>
        </is>
      </c>
      <c r="FH471" s="18" t="inlineStr">
        <is>
          <t>Lck6122evg</t>
        </is>
      </c>
      <c r="FI471" s="18" t="inlineStr">
        <is>
          <t>Zhong Thong</t>
        </is>
      </c>
      <c r="FJ471" s="18" t="inlineStr">
        <is>
          <t>Lck6122evg</t>
        </is>
      </c>
      <c r="FK471" s="18" t="n">
        <v>2026</v>
      </c>
      <c r="FL471" s="18" t="inlineStr">
        <is>
          <t>B</t>
        </is>
      </c>
      <c r="FM471" s="18" t="inlineStr">
        <is>
          <t>Recoleta</t>
        </is>
      </c>
      <c r="FP471" t="inlineStr">
        <is>
          <t>B</t>
        </is>
      </c>
      <c r="FS471" s="14" t="inlineStr">
        <is>
          <t>LXWT-87|</t>
        </is>
      </c>
      <c r="FT471" t="inlineStr">
        <is>
          <t>LXWT-87|</t>
        </is>
      </c>
      <c r="FU471" t="inlineStr">
        <is>
          <t>LXWT-87</t>
        </is>
      </c>
      <c r="FV471">
        <f>VLOOKUP(FU471,FD:FL,9,0)</f>
        <v/>
      </c>
      <c r="FZ471" s="51" t="inlineStr">
        <is>
          <t>B16</t>
        </is>
      </c>
      <c r="GA471" s="43" t="n">
        <v>0</v>
      </c>
      <c r="GB471" s="43" t="n">
        <v>0</v>
      </c>
      <c r="GC471" s="43" t="n">
        <v>0</v>
      </c>
      <c r="GD471" s="43" t="n">
        <v>0</v>
      </c>
      <c r="GE471" s="43" t="n">
        <v>0</v>
      </c>
      <c r="GF471" s="43" t="n">
        <v>16.15</v>
      </c>
      <c r="GG471" s="43" t="n">
        <v>28.92</v>
      </c>
      <c r="GH471" s="43" t="n">
        <v>25.865</v>
      </c>
      <c r="GI471" s="43" t="n">
        <v>23.835</v>
      </c>
      <c r="GJ471" s="43" t="n">
        <v>22.375</v>
      </c>
      <c r="GK471" s="43" t="n">
        <v>21.01</v>
      </c>
      <c r="GL471" s="43" t="n">
        <v>19.74</v>
      </c>
      <c r="GM471" s="43" t="n">
        <v>19.46</v>
      </c>
      <c r="GN471" s="43" t="n">
        <v>19.475</v>
      </c>
      <c r="GO471" s="43" t="n">
        <v>19.59</v>
      </c>
      <c r="GP471" s="43" t="n">
        <v>20.605</v>
      </c>
      <c r="GQ471" s="43" t="n">
        <v>19.885</v>
      </c>
      <c r="GR471" s="43" t="n">
        <v>18.73</v>
      </c>
      <c r="GS471" s="43" t="n">
        <v>17.6</v>
      </c>
      <c r="GT471" s="43" t="n">
        <v>18.315</v>
      </c>
      <c r="GU471" s="43" t="n">
        <v>19.43</v>
      </c>
      <c r="GV471" s="43" t="n">
        <v>21.015</v>
      </c>
      <c r="GW471" s="43" t="n">
        <v>23.68</v>
      </c>
      <c r="GX471" s="43" t="n">
        <v>25.81</v>
      </c>
      <c r="HA471" s="35" t="n">
        <v>16</v>
      </c>
      <c r="HB471" s="35" t="n">
        <v>465</v>
      </c>
    </row>
    <row r="472" ht="15.5" customHeight="1">
      <c r="A472" s="10">
        <f>HOUR(G472)+1</f>
        <v/>
      </c>
      <c r="B472" s="7" t="n"/>
      <c r="C472" s="7" t="n"/>
      <c r="D472" s="85">
        <f>IFERROR(
IF(AND(OR(Planilla!B472="C",Planilla!B472="c"), VLOOKUP(E472,FD:FP,13,0)="C"), "OK",IF(AND(OR(Planilla!B472="C",Planilla!B472="c"), OR(VLOOKUP(E472,FD:FP,13,0)="B", VLOOKUP(E472,FD:FP,13,0)="A")), "DEFICIT",IF(
AND(OR(Planilla!B472="B", Planilla!B472="BPAL"), VLOOKUP(E472,FD:FP,13,0)="B"), "OK",IF(AND(OR(Planilla!B472="B", Planilla!B472="BPAL"), VLOOKUP(E472,FD:FP,13,0)="A"), "DEFICIT",IF(AND(OR(Planilla!B472="B", Planilla!B472="BPAL"), VLOOKUP(E472,FD:FP,13,0)="C"), "SOBREOFERTA",IF(AND(Planilla!B472="A", VLOOKUP(E472,FD:FP,13,0)="A"), "OK",IF(
AND(Planilla!B472="A", OR(VLOOKUP(E472,FD:FP,13,0)="B", VLOOKUP(E472,FD:FP,13,0)="C")), "SOBREOFERTA",""
))))))),"")</f>
        <v/>
      </c>
      <c r="E472" s="8" t="n"/>
      <c r="F472" s="86" t="n"/>
      <c r="G472" s="87" t="n"/>
      <c r="H472" s="88">
        <f>IF(I472="","",IF(AND((I472-G472)&gt;=TIME(0,0,0),(I472-G472)&lt;TIME(0,3,0)),"OK",IF(AND((I472-G472)&gt;=TIME(0,3,0),(I472-G472)&lt;TIME(0,5,0)),"RETRASO DE 3-5 MIN",IF(AND((I472-G472)&gt;=TIME(0,5,0),(I472-G472)&lt;TIME(0,10,0)),"RETRASO DE 5-10 MIN",IF((I472-G472)&gt;=TIME(0,10,0),"RETRASO &gt;10 MIN", IF(AND((G472-I472)&gt;=TIME(0,0,0),(G472-I472)&lt;TIME(0,3,0)),"OK",IF((G472-I472)&gt;=TIME(0,3,0),"ADELANTADO")))))))</f>
        <v/>
      </c>
      <c r="I472" s="89" t="n"/>
      <c r="J472" s="89">
        <f>IF(A472&lt;&gt;"",HLOOKUP(VALUE(TEXT(G472,"h:mm:ss")),IF($C$6="Laboral",$FZ$4:$GX$227,IF($C$6="Sábado",$FZ$231:$GX$452,$FZ$456:$GX$656)),VLOOKUP($C$4,$HF$2:$HH$99,3,0)+IF(C$5="Ida",0,1),1),"")</f>
        <v/>
      </c>
      <c r="K472" s="89">
        <f>IF(A473&lt;&gt;A472,AVERAGEIF(A$9:A472,A472,J$9:J472),"")</f>
        <v/>
      </c>
      <c r="L472" s="89">
        <f>IFERROR(IF(A473&lt;&gt;A472,AVERAGEIF(A$9:A472,A472,S$9:S472),""),"")</f>
        <v/>
      </c>
      <c r="M472" s="89">
        <f>IFERROR(IF(A473&lt;&gt;A472,AVERAGEIF(A$9:A472,A472,T$9:T472),""),"")</f>
        <v/>
      </c>
      <c r="N472" s="89">
        <f t="array" ref="N472">IFERROR(IF(A473&lt;&gt;A472,_xlfn.STDEV.P(IF(A$9:A472=A472,T$9:T472)),""),"")</f>
        <v/>
      </c>
      <c r="O472" s="89">
        <f t="array" ref="O472">IFERROR(IF(A473&lt;&gt;A472,_xlfn.STDEV.P(IF(A$9:A472=A472,S$9:S472)),""),"")</f>
        <v/>
      </c>
      <c r="P472" s="90">
        <f>IFERROR(IF(A472&lt;&gt;A473,MAX((((M472*24*60)/2)*(1+POWER((((N472*24*60) / (M472*24*60) )),2))) + ((M472*24*60 )*-0.1 + (K472*0.015)) +1,(((M472*24*60)/2)*(1+POWER((((N472*24*60) / (M472*24*60 ))),2)))),""),"")</f>
        <v/>
      </c>
      <c r="Q472" s="90">
        <f>IF(AND(O472&lt;&gt;"",L472&lt;&gt;""),IF(A472&lt;&gt;A473,((L472*24*60) / 2 ) * (1 + POWER(((O472*24*60) / (L472*24*60)),2)),""),"")</f>
        <v/>
      </c>
      <c r="R472" s="90">
        <f>IF(Q472&lt;&gt;"",MAX(P472,Q472),"")</f>
        <v/>
      </c>
      <c r="S472" s="89">
        <f>IF(I472&lt;&gt;"H. Sale Real",IF(AND(I473&lt;&gt;"",LEFT(C473,2)&lt;&gt;"Va"),IF(AND(I472&lt;&gt;"",LEFT(C472,2)&lt;&gt;"Va",I472&lt;&gt;"H. Sale Real"),IF(I473-I472&lt;0.208333333333333,I473-I472,""),IF(AND(I471&lt;&gt;"",LEFT(C471,2)&lt;&gt;"Va",I471&lt;&gt;"H. Sale Real"),IF(I473-I471&lt;0.208333333333333,I473-I471,""),IF(AND(I470&lt;&gt;"",LEFT(C470,2)&lt;&gt;"Va",I470&lt;&gt;"H. Sale Real"),IF(I473-I470&lt;0.208333333333333,I473-I470,""),IF(AND(I469&lt;&gt;"",LEFT(C469,2)&lt;&gt;"Va",I469&lt;&gt;"H. Sale Real"),IF(I473-I469&lt;0.208333333333333,I473-I469,""),IF(AND(I468&lt;&gt;"",LEFT(C468,2)&lt;&gt;"Va",I468&lt;&gt;"H. Sale Real"),IF(I473-I468&lt;0.208333333333333,I473-I468,""),""))))),""),"")</f>
        <v/>
      </c>
      <c r="T472" s="89">
        <f>IF(G472&lt;&gt;"H. Sale Real",IF(AND(G473&lt;&gt;"",LEFT(C473,2)&lt;&gt;"Va"),IF(AND(G472&lt;&gt;"",LEFT(C472,2)&lt;&gt;"Va",G472&lt;&gt;"H. Sale Real"),IF(G473-G472&lt;0.208333333333333,G473-G472,""),IF(AND(G471&lt;&gt;"",LEFT(C471,2)&lt;&gt;"Va",G471&lt;&gt;"H. Sale Real"),IF(G473-G471&lt;0.208333333333333,G473-G471,""),IF(AND(G470&lt;&gt;"",LEFT(C470,2)&lt;&gt;"Va",G470&lt;&gt;"H. Sale Real"),IF(G473-G470&lt;0.208333333333333,G473-G470,""),IF(AND(G469&lt;&gt;"",LEFT(C469,2)&lt;&gt;"Va",G469&lt;&gt;"H. Sale Real"),IF(G473-G469&lt;0.208333333333333,G473-G469,""),IF(AND(G468&lt;&gt;"",LEFT(C468,2)&lt;&gt;"Va",G468&lt;&gt;"H. Sale Real"),IF(G473-G468&lt;0.208333333333333,G473-G468,""),""))))),""),"")</f>
        <v/>
      </c>
      <c r="U472" s="87" t="n"/>
      <c r="V472" s="89" t="n"/>
      <c r="W472" s="87" t="n"/>
      <c r="X472" s="89" t="n"/>
      <c r="Y472" s="91" t="n"/>
      <c r="Z472" s="122">
        <f>IF(G472&lt;&gt;"",IF(AND(Z471&lt;&gt;"IE",P472&lt;&gt;0,R472&lt;&gt;""),IF(IFERROR((P472/R472),0) &lt;=1,IFERROR(P472/R472,""),1),""),"")</f>
        <v/>
      </c>
      <c r="AA472" s="93" t="n"/>
      <c r="AB472" s="2" t="n"/>
      <c r="AE472" s="10">
        <f>HOUR(AK472)+1</f>
        <v/>
      </c>
      <c r="AF472" s="7" t="n"/>
      <c r="AG472" s="7" t="n"/>
      <c r="AH472" s="86" t="n"/>
      <c r="AI472" s="8" t="n"/>
      <c r="AJ472" s="86" t="n"/>
      <c r="AK472" s="87" t="n"/>
      <c r="AL472" s="88">
        <f>IF(AM472="","",IF(AND((AM472-AK472)&gt;=TIME(0,0,0),(AM472-AK472)&lt;TIME(0,3,0)),"OK",IF(AND((AM472-AK472)&gt;=TIME(0,3,0),(AM472-AK472)&lt;TIME(0,5,0)),"RETRASO DE 3-5 MIN",IF(AND((AM472-AK472)&gt;=TIME(0,5,0),(AM472-AK472)&lt;TIME(0,10,0)),"RETRASO DE 5-10 MIN",IF((AM472-AK472)&gt;=TIME(0,10,0),"RETRASO &gt;10 MIN", IF(AND((AK472-AM472)&gt;=TIME(0,0,0),(AK472-AM472)&lt;TIME(0,3,0)),"OK",IF((AK472-AM472)&gt;=TIME(0,3,0),"ADELANTADO")))))))</f>
        <v/>
      </c>
      <c r="AM472" s="91" t="n"/>
      <c r="AN472" s="89">
        <f>IF(AE472&lt;&gt;"",HLOOKUP(VALUE(TEXT(AK472,"h:mm:ss")),IF($C$6="Laboral",$FZ$4:$GX$227,IF($C$6="Sábado",$FZ$231:$GX$452,$FZ$456:$GX$656)),VLOOKUP($C$4,$HF$2:$HH$99,3,0)+IF(AG$5="Ida",0,1),1),"")</f>
        <v/>
      </c>
      <c r="AO472" s="89">
        <f>IF(AE473&lt;&gt;AE472,AVERAGEIF(AE$9:AE472,AE472,AN$9:AN472),"")</f>
        <v/>
      </c>
      <c r="AP472" s="89">
        <f>IFERROR(IF(AE473&lt;&gt;AE472,AVERAGEIF(AE$9:AE472,AE472,AW$9:AW472),""),"")</f>
        <v/>
      </c>
      <c r="AQ472" s="89">
        <f>IFERROR(IF(AE473&lt;&gt;AE472,AVERAGEIF(AE$9:AE472,AE472,AX$9:AX472),""),"")</f>
        <v/>
      </c>
      <c r="AR472" s="89">
        <f t="array" ref="AR472">IFERROR(IF(AE473&lt;&gt;AE472,_xlfn.STDEV.P(IF(AE$9:AE472=AE472,AX$9:AX472)),""),"")</f>
        <v/>
      </c>
      <c r="AS472" s="89">
        <f t="array" ref="AS472">IFERROR(IF(AE473&lt;&gt;AE472,_xlfn.STDEV.P(IF(AE$9:AE472=AE472,AW$9:AW472)),""),"")</f>
        <v/>
      </c>
      <c r="AT472" s="90">
        <f>IFERROR(IF(AE472&lt;&gt;AE473,MAX((((AQ472*24*60)/2)*(1+POWER((((AR472*24*60) / (AQ472*24*60) )),2))) + ((AQ472*24*60 )*-0.1 + (AO472*0.015)) +1,(((AQ472*24*60)/2)*(1+POWER((((AR472*24*60) / (AQ472*24*60 ))),2)))),""),"")</f>
        <v/>
      </c>
      <c r="AU472" s="90">
        <f>IF(AND(AS472&lt;&gt;"",AP472&lt;&gt;""),IF(AE472&lt;&gt;AE473,((AP472*24*60) / 2 ) * (1 + POWER(((AS472*24*60) / (AP472*24*60)),2)),""),"")</f>
        <v/>
      </c>
      <c r="AV472" s="90">
        <f>IF(AU472&lt;&gt;"",MAX(AT472,AU472),"")</f>
        <v/>
      </c>
      <c r="AW472" s="89">
        <f>IF(AM472&lt;&gt;"H. Sale Real",IF(AND(AM473&lt;&gt;"",LEFT(AG473,2)&lt;&gt;"Va"),IF(AND(AM472&lt;&gt;"",LEFT(AG472,2)&lt;&gt;"Va",AM472&lt;&gt;"H. Sale Real"),IF(AM473-AM472&lt;0.208333333333333,AM473-AM472,""),IF(AND(AM471&lt;&gt;"",LEFT(AG471,2)&lt;&gt;"Va",AM471&lt;&gt;"H. Sale Real"),IF(AM473-AM471&lt;0.208333333333333,AM473-AM471,""),IF(AND(AM470&lt;&gt;"",LEFT(AG470,2)&lt;&gt;"Va",AM470&lt;&gt;"H. Sale Real"),IF(AM473-AM470&lt;0.208333333333333,AM473-AM470,""),IF(AND(AM469&lt;&gt;"",LEFT(AG469,2)&lt;&gt;"Va",AM469&lt;&gt;"H. Sale Real"),IF(AM473-AM469&lt;0.208333333333333,AM473-AM469,""),IF(AND(AM468&lt;&gt;"",LEFT(AG468,2)&lt;&gt;"Va",AM468&lt;&gt;"H. Sale Real"),IF(AM473-AM468&lt;0.208333333333333,AM473-AM468,""),""))))),""),"")</f>
        <v/>
      </c>
      <c r="AX472" s="89">
        <f>IF(AK472&lt;&gt;"H. Sale Real",IF(AND(AK473&lt;&gt;"",LEFT(AG473,2)&lt;&gt;"Va"),IF(AND(AK472&lt;&gt;"",LEFT(AG472,2)&lt;&gt;"Va",AK472&lt;&gt;"H. Sale Real"),IF(AK473-AK472&lt;0.208333333333333,AK473-AK472,""),IF(AND(AK471&lt;&gt;"",LEFT(AG471,2)&lt;&gt;"Va",AK471&lt;&gt;"H. Sale Real"),IF(AK473-AK471&lt;0.208333333333333,AK473-AK471,""),IF(AND(AK470&lt;&gt;"",LEFT(AG470,2)&lt;&gt;"NC",AK470&lt;&gt;"H. Sale Real"),IF(AK473-AK470&lt;0.208333333333333,AK473-AK470,""),IF(AND(AK469&lt;&gt;"",LEFT(AG469,2)&lt;&gt;"Va",AK469&lt;&gt;"H. Sale Real"),IF(AK473-AK469&lt;0.208333333333333,AK473-AK469,""),IF(AND(AK468&lt;&gt;"",LEFT(AG468,2)&lt;&gt;"Va",AK468&lt;&gt;"H. Sale Real"),IF(AK473-AK468&lt;0.208333333333333,AK473-AK468,""),""))))),""),"")</f>
        <v/>
      </c>
      <c r="AY472" s="87" t="n"/>
      <c r="AZ472" s="89" t="n"/>
      <c r="BA472" s="87" t="n"/>
      <c r="BB472" s="89" t="n"/>
      <c r="BC472" s="91" t="n"/>
      <c r="BD472" s="122">
        <f>IF(AK472&lt;&gt;"",IF(AND(BD471&lt;&gt;"IE",AT472&lt;&gt;0,AV472&lt;&gt;""),IF(IFERROR((AT472/AV472),0) &lt;=1,IFERROR(AT472/AV472,""),1),""),"")</f>
        <v/>
      </c>
      <c r="BE472" s="93" t="n"/>
      <c r="BF472" s="105" t="n"/>
      <c r="FC472" t="inlineStr">
        <is>
          <t>Diccionario 1</t>
        </is>
      </c>
      <c r="FD472" s="15" t="inlineStr"/>
      <c r="FE472" s="17" t="inlineStr">
        <is>
          <t>LDYECS310S0044408</t>
        </is>
      </c>
      <c r="FF472" s="18" t="inlineStr">
        <is>
          <t>MDN35025020174</t>
        </is>
      </c>
      <c r="FG472" s="18" t="inlineStr">
        <is>
          <t>Zhong Thong</t>
        </is>
      </c>
      <c r="FH472" s="18" t="inlineStr">
        <is>
          <t>Lck6122evg</t>
        </is>
      </c>
      <c r="FI472" s="18" t="inlineStr">
        <is>
          <t>Zhong Thong</t>
        </is>
      </c>
      <c r="FJ472" s="18" t="inlineStr">
        <is>
          <t>Lck6122evg</t>
        </is>
      </c>
      <c r="FK472" s="18" t="n">
        <v>2026</v>
      </c>
      <c r="FL472" s="18" t="inlineStr">
        <is>
          <t>B</t>
        </is>
      </c>
      <c r="FM472" s="18" t="inlineStr">
        <is>
          <t>Ducaud</t>
        </is>
      </c>
      <c r="FP472" t="inlineStr">
        <is>
          <t>B</t>
        </is>
      </c>
      <c r="FS472" s="14" t="inlineStr">
        <is>
          <t>LZPT-48|</t>
        </is>
      </c>
      <c r="FT472" t="inlineStr">
        <is>
          <t>LZPT-48|</t>
        </is>
      </c>
      <c r="FU472" t="inlineStr">
        <is>
          <t>LZPT-48</t>
        </is>
      </c>
      <c r="FV472">
        <f>VLOOKUP(FU472,FD:FL,9,0)</f>
        <v/>
      </c>
      <c r="FZ472" s="51" t="inlineStr">
        <is>
          <t>B17</t>
        </is>
      </c>
      <c r="GA472" s="43" t="n">
        <v>0</v>
      </c>
      <c r="GB472" s="43" t="n">
        <v>0</v>
      </c>
      <c r="GC472" s="43" t="n">
        <v>0</v>
      </c>
      <c r="GD472" s="43" t="n">
        <v>0</v>
      </c>
      <c r="GE472" s="43" t="n">
        <v>0</v>
      </c>
      <c r="GF472" s="43" t="n">
        <v>24.045</v>
      </c>
      <c r="GG472" s="43" t="n">
        <v>22.36</v>
      </c>
      <c r="GH472" s="43" t="n">
        <v>20.945</v>
      </c>
      <c r="GI472" s="43" t="n">
        <v>20.095</v>
      </c>
      <c r="GJ472" s="43" t="n">
        <v>19.51</v>
      </c>
      <c r="GK472" s="43" t="n">
        <v>18.725</v>
      </c>
      <c r="GL472" s="43" t="n">
        <v>17.58</v>
      </c>
      <c r="GM472" s="43" t="n">
        <v>17.04</v>
      </c>
      <c r="GN472" s="43" t="n">
        <v>17.335</v>
      </c>
      <c r="GO472" s="43" t="n">
        <v>18.11</v>
      </c>
      <c r="GP472" s="43" t="n">
        <v>18.705</v>
      </c>
      <c r="GQ472" s="43" t="n">
        <v>18.885</v>
      </c>
      <c r="GR472" s="43" t="n">
        <v>18.585</v>
      </c>
      <c r="GS472" s="43" t="n">
        <v>18.39</v>
      </c>
      <c r="GT472" s="43" t="n">
        <v>19.095</v>
      </c>
      <c r="GU472" s="43" t="n">
        <v>20.335</v>
      </c>
      <c r="GV472" s="43" t="n">
        <v>21.71</v>
      </c>
      <c r="GW472" s="43" t="n">
        <v>23.595</v>
      </c>
      <c r="GX472" s="43" t="n">
        <v>24.66</v>
      </c>
      <c r="HA472" s="35" t="n">
        <v>17</v>
      </c>
      <c r="HB472" s="35" t="n">
        <v>466</v>
      </c>
    </row>
    <row r="473" ht="15.5" customHeight="1">
      <c r="A473" s="10">
        <f>HOUR(G473)+1</f>
        <v/>
      </c>
      <c r="B473" s="7" t="n"/>
      <c r="C473" s="7" t="n"/>
      <c r="D473" s="85">
        <f>IFERROR(
IF(AND(OR(Planilla!B473="C",Planilla!B473="c"), VLOOKUP(E473,FD:FP,13,0)="C"), "OK",IF(AND(OR(Planilla!B473="C",Planilla!B473="c"), OR(VLOOKUP(E473,FD:FP,13,0)="B", VLOOKUP(E473,FD:FP,13,0)="A")), "DEFICIT",IF(
AND(OR(Planilla!B473="B", Planilla!B473="BPAL"), VLOOKUP(E473,FD:FP,13,0)="B"), "OK",IF(AND(OR(Planilla!B473="B", Planilla!B473="BPAL"), VLOOKUP(E473,FD:FP,13,0)="A"), "DEFICIT",IF(AND(OR(Planilla!B473="B", Planilla!B473="BPAL"), VLOOKUP(E473,FD:FP,13,0)="C"), "SOBREOFERTA",IF(AND(Planilla!B473="A", VLOOKUP(E473,FD:FP,13,0)="A"), "OK",IF(
AND(Planilla!B473="A", OR(VLOOKUP(E473,FD:FP,13,0)="B", VLOOKUP(E473,FD:FP,13,0)="C")), "SOBREOFERTA",""
))))))),"")</f>
        <v/>
      </c>
      <c r="E473" s="8" t="n"/>
      <c r="F473" s="86" t="n"/>
      <c r="G473" s="87" t="n"/>
      <c r="H473" s="88">
        <f>IF(I473="","",IF(AND((I473-G473)&gt;=TIME(0,0,0),(I473-G473)&lt;TIME(0,3,0)),"OK",IF(AND((I473-G473)&gt;=TIME(0,3,0),(I473-G473)&lt;TIME(0,5,0)),"RETRASO DE 3-5 MIN",IF(AND((I473-G473)&gt;=TIME(0,5,0),(I473-G473)&lt;TIME(0,10,0)),"RETRASO DE 5-10 MIN",IF((I473-G473)&gt;=TIME(0,10,0),"RETRASO &gt;10 MIN", IF(AND((G473-I473)&gt;=TIME(0,0,0),(G473-I473)&lt;TIME(0,3,0)),"OK",IF((G473-I473)&gt;=TIME(0,3,0),"ADELANTADO")))))))</f>
        <v/>
      </c>
      <c r="I473" s="89" t="n"/>
      <c r="J473" s="89">
        <f>IF(A473&lt;&gt;"",HLOOKUP(VALUE(TEXT(G473,"h:mm:ss")),IF($C$6="Laboral",$FZ$4:$GX$227,IF($C$6="Sábado",$FZ$231:$GX$452,$FZ$456:$GX$656)),VLOOKUP($C$4,$HF$2:$HH$99,3,0)+IF(C$5="Ida",0,1),1),"")</f>
        <v/>
      </c>
      <c r="K473" s="89">
        <f>IF(A474&lt;&gt;A473,AVERAGEIF(A$9:A473,A473,J$9:J473),"")</f>
        <v/>
      </c>
      <c r="L473" s="89">
        <f>IFERROR(IF(A474&lt;&gt;A473,AVERAGEIF(A$9:A473,A473,S$9:S473),""),"")</f>
        <v/>
      </c>
      <c r="M473" s="89">
        <f>IFERROR(IF(A474&lt;&gt;A473,AVERAGEIF(A$9:A473,A473,T$9:T473),""),"")</f>
        <v/>
      </c>
      <c r="N473" s="89">
        <f t="array" ref="N473">IFERROR(IF(A474&lt;&gt;A473,_xlfn.STDEV.P(IF(A$9:A473=A473,T$9:T473)),""),"")</f>
        <v/>
      </c>
      <c r="O473" s="89">
        <f t="array" ref="O473">IFERROR(IF(A474&lt;&gt;A473,_xlfn.STDEV.P(IF(A$9:A473=A473,S$9:S473)),""),"")</f>
        <v/>
      </c>
      <c r="P473" s="90">
        <f>IFERROR(IF(A473&lt;&gt;A474,MAX((((M473*24*60)/2)*(1+POWER((((N473*24*60) / (M473*24*60) )),2))) + ((M473*24*60 )*-0.1 + (K473*0.015)) +1,(((M473*24*60)/2)*(1+POWER((((N473*24*60) / (M473*24*60 ))),2)))),""),"")</f>
        <v/>
      </c>
      <c r="Q473" s="90">
        <f>IF(AND(O473&lt;&gt;"",L473&lt;&gt;""),IF(A473&lt;&gt;A474,((L473*24*60) / 2 ) * (1 + POWER(((O473*24*60) / (L473*24*60)),2)),""),"")</f>
        <v/>
      </c>
      <c r="R473" s="90">
        <f>IF(Q473&lt;&gt;"",MAX(P473,Q473),"")</f>
        <v/>
      </c>
      <c r="S473" s="89">
        <f>IF(I473&lt;&gt;"H. Sale Real",IF(AND(I474&lt;&gt;"",LEFT(C474,2)&lt;&gt;"Va"),IF(AND(I473&lt;&gt;"",LEFT(C473,2)&lt;&gt;"Va",I473&lt;&gt;"H. Sale Real"),IF(I474-I473&lt;0.208333333333333,I474-I473,""),IF(AND(I472&lt;&gt;"",LEFT(C472,2)&lt;&gt;"Va",I472&lt;&gt;"H. Sale Real"),IF(I474-I472&lt;0.208333333333333,I474-I472,""),IF(AND(I471&lt;&gt;"",LEFT(C471,2)&lt;&gt;"Va",I471&lt;&gt;"H. Sale Real"),IF(I474-I471&lt;0.208333333333333,I474-I471,""),IF(AND(I470&lt;&gt;"",LEFT(C470,2)&lt;&gt;"Va",I470&lt;&gt;"H. Sale Real"),IF(I474-I470&lt;0.208333333333333,I474-I470,""),IF(AND(I469&lt;&gt;"",LEFT(C469,2)&lt;&gt;"Va",I469&lt;&gt;"H. Sale Real"),IF(I474-I469&lt;0.208333333333333,I474-I469,""),""))))),""),"")</f>
        <v/>
      </c>
      <c r="T473" s="89">
        <f>IF(G473&lt;&gt;"H. Sale Real",IF(AND(G474&lt;&gt;"",LEFT(C474,2)&lt;&gt;"Va"),IF(AND(G473&lt;&gt;"",LEFT(C473,2)&lt;&gt;"Va",G473&lt;&gt;"H. Sale Real"),IF(G474-G473&lt;0.208333333333333,G474-G473,""),IF(AND(G472&lt;&gt;"",LEFT(C472,2)&lt;&gt;"Va",G472&lt;&gt;"H. Sale Real"),IF(G474-G472&lt;0.208333333333333,G474-G472,""),IF(AND(G471&lt;&gt;"",LEFT(C471,2)&lt;&gt;"Va",G471&lt;&gt;"H. Sale Real"),IF(G474-G471&lt;0.208333333333333,G474-G471,""),IF(AND(G470&lt;&gt;"",LEFT(C470,2)&lt;&gt;"Va",G470&lt;&gt;"H. Sale Real"),IF(G474-G470&lt;0.208333333333333,G474-G470,""),IF(AND(G469&lt;&gt;"",LEFT(C469,2)&lt;&gt;"Va",G469&lt;&gt;"H. Sale Real"),IF(G474-G469&lt;0.208333333333333,G474-G469,""),""))))),""),"")</f>
        <v/>
      </c>
      <c r="U473" s="87" t="n"/>
      <c r="V473" s="89" t="n"/>
      <c r="W473" s="87" t="n"/>
      <c r="X473" s="89" t="n"/>
      <c r="Y473" s="91" t="n"/>
      <c r="Z473" s="122">
        <f>IF(G473&lt;&gt;"",IF(AND(Z472&lt;&gt;"IE",P473&lt;&gt;0,R473&lt;&gt;""),IF(IFERROR((P473/R473),0) &lt;=1,IFERROR(P473/R473,""),1),""),"")</f>
        <v/>
      </c>
      <c r="AA473" s="93" t="n"/>
      <c r="AB473" s="2" t="n"/>
      <c r="AE473" s="10">
        <f>HOUR(AK473)+1</f>
        <v/>
      </c>
      <c r="AF473" s="7" t="n"/>
      <c r="AG473" s="7" t="n"/>
      <c r="AH473" s="86" t="n"/>
      <c r="AI473" s="8" t="n"/>
      <c r="AJ473" s="86" t="n"/>
      <c r="AK473" s="87" t="n"/>
      <c r="AL473" s="88">
        <f>IF(AM473="","",IF(AND((AM473-AK473)&gt;=TIME(0,0,0),(AM473-AK473)&lt;TIME(0,3,0)),"OK",IF(AND((AM473-AK473)&gt;=TIME(0,3,0),(AM473-AK473)&lt;TIME(0,5,0)),"RETRASO DE 3-5 MIN",IF(AND((AM473-AK473)&gt;=TIME(0,5,0),(AM473-AK473)&lt;TIME(0,10,0)),"RETRASO DE 5-10 MIN",IF((AM473-AK473)&gt;=TIME(0,10,0),"RETRASO &gt;10 MIN", IF(AND((AK473-AM473)&gt;=TIME(0,0,0),(AK473-AM473)&lt;TIME(0,3,0)),"OK",IF((AK473-AM473)&gt;=TIME(0,3,0),"ADELANTADO")))))))</f>
        <v/>
      </c>
      <c r="AM473" s="91" t="n"/>
      <c r="AN473" s="89">
        <f>IF(AE473&lt;&gt;"",HLOOKUP(VALUE(TEXT(AK473,"h:mm:ss")),IF($C$6="Laboral",$FZ$4:$GX$227,IF($C$6="Sábado",$FZ$231:$GX$452,$FZ$456:$GX$656)),VLOOKUP($C$4,$HF$2:$HH$99,3,0)+IF(AG$5="Ida",0,1),1),"")</f>
        <v/>
      </c>
      <c r="AO473" s="89">
        <f>IF(AE474&lt;&gt;AE473,AVERAGEIF(AE$9:AE473,AE473,AN$9:AN473),"")</f>
        <v/>
      </c>
      <c r="AP473" s="89">
        <f>IFERROR(IF(AE474&lt;&gt;AE473,AVERAGEIF(AE$9:AE473,AE473,AW$9:AW473),""),"")</f>
        <v/>
      </c>
      <c r="AQ473" s="89">
        <f>IFERROR(IF(AE474&lt;&gt;AE473,AVERAGEIF(AE$9:AE473,AE473,AX$9:AX473),""),"")</f>
        <v/>
      </c>
      <c r="AR473" s="89">
        <f t="array" ref="AR473">IFERROR(IF(AE474&lt;&gt;AE473,_xlfn.STDEV.P(IF(AE$9:AE473=AE473,AX$9:AX473)),""),"")</f>
        <v/>
      </c>
      <c r="AS473" s="89">
        <f t="array" ref="AS473">IFERROR(IF(AE474&lt;&gt;AE473,_xlfn.STDEV.P(IF(AE$9:AE473=AE473,AW$9:AW473)),""),"")</f>
        <v/>
      </c>
      <c r="AT473" s="90">
        <f>IFERROR(IF(AE473&lt;&gt;AE474,MAX((((AQ473*24*60)/2)*(1+POWER((((AR473*24*60) / (AQ473*24*60) )),2))) + ((AQ473*24*60 )*-0.1 + (AO473*0.015)) +1,(((AQ473*24*60)/2)*(1+POWER((((AR473*24*60) / (AQ473*24*60 ))),2)))),""),"")</f>
        <v/>
      </c>
      <c r="AU473" s="90">
        <f>IF(AND(AS473&lt;&gt;"",AP473&lt;&gt;""),IF(AE473&lt;&gt;AE474,((AP473*24*60) / 2 ) * (1 + POWER(((AS473*24*60) / (AP473*24*60)),2)),""),"")</f>
        <v/>
      </c>
      <c r="AV473" s="90">
        <f>IF(AU473&lt;&gt;"",MAX(AT473,AU473),"")</f>
        <v/>
      </c>
      <c r="AW473" s="89">
        <f>IF(AM473&lt;&gt;"H. Sale Real",IF(AND(AM474&lt;&gt;"",LEFT(AG474,2)&lt;&gt;"Va"),IF(AND(AM473&lt;&gt;"",LEFT(AG473,2)&lt;&gt;"Va",AM473&lt;&gt;"H. Sale Real"),IF(AM474-AM473&lt;0.208333333333333,AM474-AM473,""),IF(AND(AM472&lt;&gt;"",LEFT(AG472,2)&lt;&gt;"Va",AM472&lt;&gt;"H. Sale Real"),IF(AM474-AM472&lt;0.208333333333333,AM474-AM472,""),IF(AND(AM471&lt;&gt;"",LEFT(AG471,2)&lt;&gt;"Va",AM471&lt;&gt;"H. Sale Real"),IF(AM474-AM471&lt;0.208333333333333,AM474-AM471,""),IF(AND(AM470&lt;&gt;"",LEFT(AG470,2)&lt;&gt;"Va",AM470&lt;&gt;"H. Sale Real"),IF(AM474-AM470&lt;0.208333333333333,AM474-AM470,""),IF(AND(AM469&lt;&gt;"",LEFT(AG469,2)&lt;&gt;"Va",AM469&lt;&gt;"H. Sale Real"),IF(AM474-AM469&lt;0.208333333333333,AM474-AM469,""),""))))),""),"")</f>
        <v/>
      </c>
      <c r="AX473" s="89">
        <f>IF(AK473&lt;&gt;"H. Sale Real",IF(AND(AK474&lt;&gt;"",LEFT(AG474,2)&lt;&gt;"Va"),IF(AND(AK473&lt;&gt;"",LEFT(AG473,2)&lt;&gt;"Va",AK473&lt;&gt;"H. Sale Real"),IF(AK474-AK473&lt;0.208333333333333,AK474-AK473,""),IF(AND(AK472&lt;&gt;"",LEFT(AG472,2)&lt;&gt;"Va",AK472&lt;&gt;"H. Sale Real"),IF(AK474-AK472&lt;0.208333333333333,AK474-AK472,""),IF(AND(AK471&lt;&gt;"",LEFT(AG471,2)&lt;&gt;"NC",AK471&lt;&gt;"H. Sale Real"),IF(AK474-AK471&lt;0.208333333333333,AK474-AK471,""),IF(AND(AK470&lt;&gt;"",LEFT(AG470,2)&lt;&gt;"Va",AK470&lt;&gt;"H. Sale Real"),IF(AK474-AK470&lt;0.208333333333333,AK474-AK470,""),IF(AND(AK469&lt;&gt;"",LEFT(AG469,2)&lt;&gt;"Va",AK469&lt;&gt;"H. Sale Real"),IF(AK474-AK469&lt;0.208333333333333,AK474-AK469,""),""))))),""),"")</f>
        <v/>
      </c>
      <c r="AY473" s="87" t="n"/>
      <c r="AZ473" s="89" t="n"/>
      <c r="BA473" s="87" t="n"/>
      <c r="BB473" s="89" t="n"/>
      <c r="BC473" s="91" t="n"/>
      <c r="BD473" s="122">
        <f>IF(AK473&lt;&gt;"",IF(AND(BD472&lt;&gt;"IE",AT473&lt;&gt;0,AV473&lt;&gt;""),IF(IFERROR((AT473/AV473),0) &lt;=1,IFERROR(AT473/AV473,""),1),""),"")</f>
        <v/>
      </c>
      <c r="BE473" s="93" t="n"/>
      <c r="BF473" s="105" t="n"/>
      <c r="FC473" t="inlineStr">
        <is>
          <t>Diccionario 1</t>
        </is>
      </c>
      <c r="FD473" s="15" t="inlineStr"/>
      <c r="FE473" s="17" t="inlineStr">
        <is>
          <t>LDYECS315S0044405</t>
        </is>
      </c>
      <c r="FF473" s="18" t="inlineStr">
        <is>
          <t>MDN35025020253</t>
        </is>
      </c>
      <c r="FG473" s="18" t="inlineStr">
        <is>
          <t>Zhong Thong</t>
        </is>
      </c>
      <c r="FH473" s="18" t="inlineStr">
        <is>
          <t>Lck6122evg</t>
        </is>
      </c>
      <c r="FI473" s="18" t="inlineStr">
        <is>
          <t>Zhong Thong</t>
        </is>
      </c>
      <c r="FJ473" s="18" t="inlineStr">
        <is>
          <t>Lck6122evg</t>
        </is>
      </c>
      <c r="FK473" s="18" t="n">
        <v>2026</v>
      </c>
      <c r="FL473" s="18" t="inlineStr">
        <is>
          <t>B</t>
        </is>
      </c>
      <c r="FM473" s="18" t="inlineStr">
        <is>
          <t>Ducaud</t>
        </is>
      </c>
      <c r="FP473" t="inlineStr">
        <is>
          <t>B</t>
        </is>
      </c>
      <c r="FS473" s="14" t="inlineStr">
        <is>
          <t>LZPR-79|</t>
        </is>
      </c>
      <c r="FT473" t="inlineStr">
        <is>
          <t>LZPR-79|</t>
        </is>
      </c>
      <c r="FU473" t="inlineStr">
        <is>
          <t>LZPR-79</t>
        </is>
      </c>
      <c r="FV473">
        <f>VLOOKUP(FU473,FD:FL,9,0)</f>
        <v/>
      </c>
      <c r="FZ473" s="51" t="inlineStr">
        <is>
          <t>B18</t>
        </is>
      </c>
      <c r="GA473" s="43" t="n">
        <v>17.77</v>
      </c>
      <c r="GB473" s="43" t="n">
        <v>0</v>
      </c>
      <c r="GC473" s="43" t="n">
        <v>0</v>
      </c>
      <c r="GD473" s="43" t="n">
        <v>0</v>
      </c>
      <c r="GE473" s="43" t="n">
        <v>0</v>
      </c>
      <c r="GF473" s="43" t="n">
        <v>15.465</v>
      </c>
      <c r="GG473" s="43" t="n">
        <v>29.905</v>
      </c>
      <c r="GH473" s="43" t="n">
        <v>28.115</v>
      </c>
      <c r="GI473" s="43" t="n">
        <v>26.85</v>
      </c>
      <c r="GJ473" s="43" t="n">
        <v>26.04</v>
      </c>
      <c r="GK473" s="43" t="n">
        <v>25.285</v>
      </c>
      <c r="GL473" s="43" t="n">
        <v>24.815</v>
      </c>
      <c r="GM473" s="43" t="n">
        <v>24.63</v>
      </c>
      <c r="GN473" s="43" t="n">
        <v>24.23</v>
      </c>
      <c r="GO473" s="43" t="n">
        <v>24.97</v>
      </c>
      <c r="GP473" s="43" t="n">
        <v>25.075</v>
      </c>
      <c r="GQ473" s="43" t="n">
        <v>24.97</v>
      </c>
      <c r="GR473" s="43" t="n">
        <v>25.09</v>
      </c>
      <c r="GS473" s="43" t="n">
        <v>25.33</v>
      </c>
      <c r="GT473" s="43" t="n">
        <v>25.74</v>
      </c>
      <c r="GU473" s="43" t="n">
        <v>28.265</v>
      </c>
      <c r="GV473" s="43" t="n">
        <v>30.34</v>
      </c>
      <c r="GW473" s="43" t="n">
        <v>32.37</v>
      </c>
      <c r="GX473" s="43" t="n">
        <v>33.285</v>
      </c>
      <c r="HA473" s="35" t="n">
        <v>18</v>
      </c>
      <c r="HB473" s="35" t="n">
        <v>467</v>
      </c>
    </row>
    <row r="474" ht="15.5" customHeight="1">
      <c r="A474" s="10">
        <f>HOUR(G474)+1</f>
        <v/>
      </c>
      <c r="B474" s="7" t="n"/>
      <c r="C474" s="7" t="n"/>
      <c r="D474" s="85">
        <f>IFERROR(
IF(AND(OR(Planilla!B474="C",Planilla!B474="c"), VLOOKUP(E474,FD:FP,13,0)="C"), "OK",IF(AND(OR(Planilla!B474="C",Planilla!B474="c"), OR(VLOOKUP(E474,FD:FP,13,0)="B", VLOOKUP(E474,FD:FP,13,0)="A")), "DEFICIT",IF(
AND(OR(Planilla!B474="B", Planilla!B474="BPAL"), VLOOKUP(E474,FD:FP,13,0)="B"), "OK",IF(AND(OR(Planilla!B474="B", Planilla!B474="BPAL"), VLOOKUP(E474,FD:FP,13,0)="A"), "DEFICIT",IF(AND(OR(Planilla!B474="B", Planilla!B474="BPAL"), VLOOKUP(E474,FD:FP,13,0)="C"), "SOBREOFERTA",IF(AND(Planilla!B474="A", VLOOKUP(E474,FD:FP,13,0)="A"), "OK",IF(
AND(Planilla!B474="A", OR(VLOOKUP(E474,FD:FP,13,0)="B", VLOOKUP(E474,FD:FP,13,0)="C")), "SOBREOFERTA",""
))))))),"")</f>
        <v/>
      </c>
      <c r="E474" s="8" t="n"/>
      <c r="F474" s="86" t="n"/>
      <c r="G474" s="87" t="n"/>
      <c r="H474" s="88">
        <f>IF(I474="","",IF(AND((I474-G474)&gt;=TIME(0,0,0),(I474-G474)&lt;TIME(0,3,0)),"OK",IF(AND((I474-G474)&gt;=TIME(0,3,0),(I474-G474)&lt;TIME(0,5,0)),"RETRASO DE 3-5 MIN",IF(AND((I474-G474)&gt;=TIME(0,5,0),(I474-G474)&lt;TIME(0,10,0)),"RETRASO DE 5-10 MIN",IF((I474-G474)&gt;=TIME(0,10,0),"RETRASO &gt;10 MIN", IF(AND((G474-I474)&gt;=TIME(0,0,0),(G474-I474)&lt;TIME(0,3,0)),"OK",IF((G474-I474)&gt;=TIME(0,3,0),"ADELANTADO")))))))</f>
        <v/>
      </c>
      <c r="I474" s="89" t="n"/>
      <c r="J474" s="89">
        <f>IF(A474&lt;&gt;"",HLOOKUP(VALUE(TEXT(G474,"h:mm:ss")),IF($C$6="Laboral",$FZ$4:$GX$227,IF($C$6="Sábado",$FZ$231:$GX$452,$FZ$456:$GX$656)),VLOOKUP($C$4,$HF$2:$HH$99,3,0)+IF(C$5="Ida",0,1),1),"")</f>
        <v/>
      </c>
      <c r="K474" s="89">
        <f>IF(A475&lt;&gt;A474,AVERAGEIF(A$9:A474,A474,J$9:J474),"")</f>
        <v/>
      </c>
      <c r="L474" s="89">
        <f>IFERROR(IF(A475&lt;&gt;A474,AVERAGEIF(A$9:A474,A474,S$9:S474),""),"")</f>
        <v/>
      </c>
      <c r="M474" s="89">
        <f>IFERROR(IF(A475&lt;&gt;A474,AVERAGEIF(A$9:A474,A474,T$9:T474),""),"")</f>
        <v/>
      </c>
      <c r="N474" s="89">
        <f t="array" ref="N474">IFERROR(IF(A475&lt;&gt;A474,_xlfn.STDEV.P(IF(A$9:A474=A474,T$9:T474)),""),"")</f>
        <v/>
      </c>
      <c r="O474" s="89">
        <f t="array" ref="O474">IFERROR(IF(A475&lt;&gt;A474,_xlfn.STDEV.P(IF(A$9:A474=A474,S$9:S474)),""),"")</f>
        <v/>
      </c>
      <c r="P474" s="90">
        <f>IFERROR(IF(A474&lt;&gt;A475,MAX((((M474*24*60)/2)*(1+POWER((((N474*24*60) / (M474*24*60) )),2))) + ((M474*24*60 )*-0.1 + (K474*0.015)) +1,(((M474*24*60)/2)*(1+POWER((((N474*24*60) / (M474*24*60 ))),2)))),""),"")</f>
        <v/>
      </c>
      <c r="Q474" s="90">
        <f>IF(AND(O474&lt;&gt;"",L474&lt;&gt;""),IF(A474&lt;&gt;A475,((L474*24*60) / 2 ) * (1 + POWER(((O474*24*60) / (L474*24*60)),2)),""),"")</f>
        <v/>
      </c>
      <c r="R474" s="90">
        <f>IF(Q474&lt;&gt;"",MAX(P474,Q474),"")</f>
        <v/>
      </c>
      <c r="S474" s="89">
        <f>IF(I474&lt;&gt;"H. Sale Real",IF(AND(I475&lt;&gt;"",LEFT(C475,2)&lt;&gt;"Va"),IF(AND(I474&lt;&gt;"",LEFT(C474,2)&lt;&gt;"Va",I474&lt;&gt;"H. Sale Real"),IF(I475-I474&lt;0.208333333333333,I475-I474,""),IF(AND(I473&lt;&gt;"",LEFT(C473,2)&lt;&gt;"Va",I473&lt;&gt;"H. Sale Real"),IF(I475-I473&lt;0.208333333333333,I475-I473,""),IF(AND(I472&lt;&gt;"",LEFT(C472,2)&lt;&gt;"Va",I472&lt;&gt;"H. Sale Real"),IF(I475-I472&lt;0.208333333333333,I475-I472,""),IF(AND(I471&lt;&gt;"",LEFT(C471,2)&lt;&gt;"Va",I471&lt;&gt;"H. Sale Real"),IF(I475-I471&lt;0.208333333333333,I475-I471,""),IF(AND(I470&lt;&gt;"",LEFT(C470,2)&lt;&gt;"Va",I470&lt;&gt;"H. Sale Real"),IF(I475-I470&lt;0.208333333333333,I475-I470,""),""))))),""),"")</f>
        <v/>
      </c>
      <c r="T474" s="89">
        <f>IF(G474&lt;&gt;"H. Sale Real",IF(AND(G475&lt;&gt;"",LEFT(C475,2)&lt;&gt;"Va"),IF(AND(G474&lt;&gt;"",LEFT(C474,2)&lt;&gt;"Va",G474&lt;&gt;"H. Sale Real"),IF(G475-G474&lt;0.208333333333333,G475-G474,""),IF(AND(G473&lt;&gt;"",LEFT(C473,2)&lt;&gt;"Va",G473&lt;&gt;"H. Sale Real"),IF(G475-G473&lt;0.208333333333333,G475-G473,""),IF(AND(G472&lt;&gt;"",LEFT(C472,2)&lt;&gt;"Va",G472&lt;&gt;"H. Sale Real"),IF(G475-G472&lt;0.208333333333333,G475-G472,""),IF(AND(G471&lt;&gt;"",LEFT(C471,2)&lt;&gt;"Va",G471&lt;&gt;"H. Sale Real"),IF(G475-G471&lt;0.208333333333333,G475-G471,""),IF(AND(G470&lt;&gt;"",LEFT(C470,2)&lt;&gt;"Va",G470&lt;&gt;"H. Sale Real"),IF(G475-G470&lt;0.208333333333333,G475-G470,""),""))))),""),"")</f>
        <v/>
      </c>
      <c r="U474" s="87" t="n"/>
      <c r="V474" s="89" t="n"/>
      <c r="W474" s="87" t="n"/>
      <c r="X474" s="89" t="n"/>
      <c r="Y474" s="91" t="n"/>
      <c r="Z474" s="122">
        <f>IF(G474&lt;&gt;"",IF(AND(Z473&lt;&gt;"IE",P474&lt;&gt;0,R474&lt;&gt;""),IF(IFERROR((P474/R474),0) &lt;=1,IFERROR(P474/R474,""),1),""),"")</f>
        <v/>
      </c>
      <c r="AA474" s="93" t="n"/>
      <c r="AB474" s="2" t="n"/>
      <c r="AE474" s="10">
        <f>HOUR(AK474)+1</f>
        <v/>
      </c>
      <c r="AF474" s="7" t="n"/>
      <c r="AG474" s="7" t="n"/>
      <c r="AH474" s="86" t="n"/>
      <c r="AI474" s="8" t="n"/>
      <c r="AJ474" s="86" t="n"/>
      <c r="AK474" s="87" t="n"/>
      <c r="AL474" s="88">
        <f>IF(AM474="","",IF(AND((AM474-AK474)&gt;=TIME(0,0,0),(AM474-AK474)&lt;TIME(0,3,0)),"OK",IF(AND((AM474-AK474)&gt;=TIME(0,3,0),(AM474-AK474)&lt;TIME(0,5,0)),"RETRASO DE 3-5 MIN",IF(AND((AM474-AK474)&gt;=TIME(0,5,0),(AM474-AK474)&lt;TIME(0,10,0)),"RETRASO DE 5-10 MIN",IF((AM474-AK474)&gt;=TIME(0,10,0),"RETRASO &gt;10 MIN", IF(AND((AK474-AM474)&gt;=TIME(0,0,0),(AK474-AM474)&lt;TIME(0,3,0)),"OK",IF((AK474-AM474)&gt;=TIME(0,3,0),"ADELANTADO")))))))</f>
        <v/>
      </c>
      <c r="AM474" s="91" t="n"/>
      <c r="AN474" s="89">
        <f>IF(AE474&lt;&gt;"",HLOOKUP(VALUE(TEXT(AK474,"h:mm:ss")),IF($C$6="Laboral",$FZ$4:$GX$227,IF($C$6="Sábado",$FZ$231:$GX$452,$FZ$456:$GX$656)),VLOOKUP($C$4,$HF$2:$HH$99,3,0)+IF(AG$5="Ida",0,1),1),"")</f>
        <v/>
      </c>
      <c r="AO474" s="89">
        <f>IF(AE475&lt;&gt;AE474,AVERAGEIF(AE$9:AE474,AE474,AN$9:AN474),"")</f>
        <v/>
      </c>
      <c r="AP474" s="89">
        <f>IFERROR(IF(AE475&lt;&gt;AE474,AVERAGEIF(AE$9:AE474,AE474,AW$9:AW474),""),"")</f>
        <v/>
      </c>
      <c r="AQ474" s="89">
        <f>IFERROR(IF(AE475&lt;&gt;AE474,AVERAGEIF(AE$9:AE474,AE474,AX$9:AX474),""),"")</f>
        <v/>
      </c>
      <c r="AR474" s="89">
        <f t="array" ref="AR474">IFERROR(IF(AE475&lt;&gt;AE474,_xlfn.STDEV.P(IF(AE$9:AE474=AE474,AX$9:AX474)),""),"")</f>
        <v/>
      </c>
      <c r="AS474" s="89">
        <f t="array" ref="AS474">IFERROR(IF(AE475&lt;&gt;AE474,_xlfn.STDEV.P(IF(AE$9:AE474=AE474,AW$9:AW474)),""),"")</f>
        <v/>
      </c>
      <c r="AT474" s="90">
        <f>IFERROR(IF(AE474&lt;&gt;AE475,MAX((((AQ474*24*60)/2)*(1+POWER((((AR474*24*60) / (AQ474*24*60) )),2))) + ((AQ474*24*60 )*-0.1 + (AO474*0.015)) +1,(((AQ474*24*60)/2)*(1+POWER((((AR474*24*60) / (AQ474*24*60 ))),2)))),""),"")</f>
        <v/>
      </c>
      <c r="AU474" s="90">
        <f>IF(AND(AS474&lt;&gt;"",AP474&lt;&gt;""),IF(AE474&lt;&gt;AE475,((AP474*24*60) / 2 ) * (1 + POWER(((AS474*24*60) / (AP474*24*60)),2)),""),"")</f>
        <v/>
      </c>
      <c r="AV474" s="90">
        <f>IF(AU474&lt;&gt;"",MAX(AT474,AU474),"")</f>
        <v/>
      </c>
      <c r="AW474" s="89">
        <f>IF(AM474&lt;&gt;"H. Sale Real",IF(AND(AM475&lt;&gt;"",LEFT(AG475,2)&lt;&gt;"Va"),IF(AND(AM474&lt;&gt;"",LEFT(AG474,2)&lt;&gt;"Va",AM474&lt;&gt;"H. Sale Real"),IF(AM475-AM474&lt;0.208333333333333,AM475-AM474,""),IF(AND(AM473&lt;&gt;"",LEFT(AG473,2)&lt;&gt;"Va",AM473&lt;&gt;"H. Sale Real"),IF(AM475-AM473&lt;0.208333333333333,AM475-AM473,""),IF(AND(AM472&lt;&gt;"",LEFT(AG472,2)&lt;&gt;"Va",AM472&lt;&gt;"H. Sale Real"),IF(AM475-AM472&lt;0.208333333333333,AM475-AM472,""),IF(AND(AM471&lt;&gt;"",LEFT(AG471,2)&lt;&gt;"Va",AM471&lt;&gt;"H. Sale Real"),IF(AM475-AM471&lt;0.208333333333333,AM475-AM471,""),IF(AND(AM470&lt;&gt;"",LEFT(AG470,2)&lt;&gt;"Va",AM470&lt;&gt;"H. Sale Real"),IF(AM475-AM470&lt;0.208333333333333,AM475-AM470,""),""))))),""),"")</f>
        <v/>
      </c>
      <c r="AX474" s="89">
        <f>IF(AK474&lt;&gt;"H. Sale Real",IF(AND(AK475&lt;&gt;"",LEFT(AG475,2)&lt;&gt;"Va"),IF(AND(AK474&lt;&gt;"",LEFT(AG474,2)&lt;&gt;"Va",AK474&lt;&gt;"H. Sale Real"),IF(AK475-AK474&lt;0.208333333333333,AK475-AK474,""),IF(AND(AK473&lt;&gt;"",LEFT(AG473,2)&lt;&gt;"Va",AK473&lt;&gt;"H. Sale Real"),IF(AK475-AK473&lt;0.208333333333333,AK475-AK473,""),IF(AND(AK472&lt;&gt;"",LEFT(AG472,2)&lt;&gt;"NC",AK472&lt;&gt;"H. Sale Real"),IF(AK475-AK472&lt;0.208333333333333,AK475-AK472,""),IF(AND(AK471&lt;&gt;"",LEFT(AG471,2)&lt;&gt;"Va",AK471&lt;&gt;"H. Sale Real"),IF(AK475-AK471&lt;0.208333333333333,AK475-AK471,""),IF(AND(AK470&lt;&gt;"",LEFT(AG470,2)&lt;&gt;"Va",AK470&lt;&gt;"H. Sale Real"),IF(AK475-AK470&lt;0.208333333333333,AK475-AK470,""),""))))),""),"")</f>
        <v/>
      </c>
      <c r="AY474" s="87" t="n"/>
      <c r="AZ474" s="89" t="n"/>
      <c r="BA474" s="87" t="n"/>
      <c r="BB474" s="89" t="n"/>
      <c r="BC474" s="91" t="n"/>
      <c r="BD474" s="122">
        <f>IF(AK474&lt;&gt;"",IF(AND(BD473&lt;&gt;"IE",AT474&lt;&gt;0,AV474&lt;&gt;""),IF(IFERROR((AT474/AV474),0) &lt;=1,IFERROR(AT474/AV474,""),1),""),"")</f>
        <v/>
      </c>
      <c r="BE474" s="93" t="n"/>
      <c r="BF474" s="105" t="n"/>
      <c r="FC474" t="inlineStr">
        <is>
          <t>Diccionario 1</t>
        </is>
      </c>
      <c r="FD474" s="15" t="inlineStr"/>
      <c r="FE474" s="17" t="inlineStr">
        <is>
          <t>LDYECS316S0044414</t>
        </is>
      </c>
      <c r="FF474" s="18" t="inlineStr">
        <is>
          <t>MDN35025020075</t>
        </is>
      </c>
      <c r="FG474" s="18" t="inlineStr">
        <is>
          <t>Zhong Thong</t>
        </is>
      </c>
      <c r="FH474" s="18" t="inlineStr">
        <is>
          <t>Lck6122evg</t>
        </is>
      </c>
      <c r="FI474" s="18" t="inlineStr">
        <is>
          <t>Zhong Thong</t>
        </is>
      </c>
      <c r="FJ474" s="18" t="inlineStr">
        <is>
          <t>Lck6122evg</t>
        </is>
      </c>
      <c r="FK474" s="18" t="n">
        <v>2026</v>
      </c>
      <c r="FL474" s="18" t="inlineStr">
        <is>
          <t>B</t>
        </is>
      </c>
      <c r="FM474" s="18" t="inlineStr">
        <is>
          <t>Ducaud</t>
        </is>
      </c>
      <c r="FP474" t="inlineStr">
        <is>
          <t>B</t>
        </is>
      </c>
      <c r="FS474" s="14" t="inlineStr">
        <is>
          <t>LZPT-56|</t>
        </is>
      </c>
      <c r="FT474" t="inlineStr">
        <is>
          <t>LZPT-56|</t>
        </is>
      </c>
      <c r="FU474" t="inlineStr">
        <is>
          <t>LZPT-56</t>
        </is>
      </c>
      <c r="FV474">
        <f>VLOOKUP(FU474,FD:FL,9,0)</f>
        <v/>
      </c>
      <c r="FZ474" s="51" t="inlineStr">
        <is>
          <t>B18</t>
        </is>
      </c>
      <c r="GA474" s="43" t="n">
        <v>0</v>
      </c>
      <c r="GB474" s="43" t="n">
        <v>0</v>
      </c>
      <c r="GC474" s="43" t="n">
        <v>0</v>
      </c>
      <c r="GD474" s="43" t="n">
        <v>0</v>
      </c>
      <c r="GE474" s="43" t="n">
        <v>0</v>
      </c>
      <c r="GF474" s="43" t="n">
        <v>14.685</v>
      </c>
      <c r="GG474" s="43" t="n">
        <v>28.08</v>
      </c>
      <c r="GH474" s="43" t="n">
        <v>26.8</v>
      </c>
      <c r="GI474" s="43" t="n">
        <v>25.17</v>
      </c>
      <c r="GJ474" s="43" t="n">
        <v>23.44</v>
      </c>
      <c r="GK474" s="43" t="n">
        <v>22.04</v>
      </c>
      <c r="GL474" s="43" t="n">
        <v>21.46</v>
      </c>
      <c r="GM474" s="43" t="n">
        <v>20.145</v>
      </c>
      <c r="GN474" s="43" t="n">
        <v>19.66</v>
      </c>
      <c r="GO474" s="43" t="n">
        <v>20.01</v>
      </c>
      <c r="GP474" s="43" t="n">
        <v>20.305</v>
      </c>
      <c r="GQ474" s="43" t="n">
        <v>20.215</v>
      </c>
      <c r="GR474" s="43" t="n">
        <v>19.975</v>
      </c>
      <c r="GS474" s="43" t="n">
        <v>19.335</v>
      </c>
      <c r="GT474" s="43" t="n">
        <v>19.865</v>
      </c>
      <c r="GU474" s="43" t="n">
        <v>21.275</v>
      </c>
      <c r="GV474" s="43" t="n">
        <v>23.26</v>
      </c>
      <c r="GW474" s="43" t="n">
        <v>24.995</v>
      </c>
      <c r="GX474" s="43" t="n">
        <v>26.2</v>
      </c>
      <c r="HA474" s="35" t="n">
        <v>19</v>
      </c>
      <c r="HB474" s="35" t="n">
        <v>468</v>
      </c>
    </row>
    <row r="475" ht="15.5" customHeight="1">
      <c r="A475" s="10">
        <f>HOUR(G475)+1</f>
        <v/>
      </c>
      <c r="B475" s="7" t="n"/>
      <c r="C475" s="7" t="n"/>
      <c r="D475" s="85">
        <f>IFERROR(
IF(AND(OR(Planilla!B475="C",Planilla!B475="c"), VLOOKUP(E475,FD:FP,13,0)="C"), "OK",IF(AND(OR(Planilla!B475="C",Planilla!B475="c"), OR(VLOOKUP(E475,FD:FP,13,0)="B", VLOOKUP(E475,FD:FP,13,0)="A")), "DEFICIT",IF(
AND(OR(Planilla!B475="B", Planilla!B475="BPAL"), VLOOKUP(E475,FD:FP,13,0)="B"), "OK",IF(AND(OR(Planilla!B475="B", Planilla!B475="BPAL"), VLOOKUP(E475,FD:FP,13,0)="A"), "DEFICIT",IF(AND(OR(Planilla!B475="B", Planilla!B475="BPAL"), VLOOKUP(E475,FD:FP,13,0)="C"), "SOBREOFERTA",IF(AND(Planilla!B475="A", VLOOKUP(E475,FD:FP,13,0)="A"), "OK",IF(
AND(Planilla!B475="A", OR(VLOOKUP(E475,FD:FP,13,0)="B", VLOOKUP(E475,FD:FP,13,0)="C")), "SOBREOFERTA",""
))))))),"")</f>
        <v/>
      </c>
      <c r="E475" s="8" t="n"/>
      <c r="F475" s="86" t="n"/>
      <c r="G475" s="87" t="n"/>
      <c r="H475" s="88">
        <f>IF(I475="","",IF(AND((I475-G475)&gt;=TIME(0,0,0),(I475-G475)&lt;TIME(0,3,0)),"OK",IF(AND((I475-G475)&gt;=TIME(0,3,0),(I475-G475)&lt;TIME(0,5,0)),"RETRASO DE 3-5 MIN",IF(AND((I475-G475)&gt;=TIME(0,5,0),(I475-G475)&lt;TIME(0,10,0)),"RETRASO DE 5-10 MIN",IF((I475-G475)&gt;=TIME(0,10,0),"RETRASO &gt;10 MIN", IF(AND((G475-I475)&gt;=TIME(0,0,0),(G475-I475)&lt;TIME(0,3,0)),"OK",IF((G475-I475)&gt;=TIME(0,3,0),"ADELANTADO")))))))</f>
        <v/>
      </c>
      <c r="I475" s="89" t="n"/>
      <c r="J475" s="89">
        <f>IF(A475&lt;&gt;"",HLOOKUP(VALUE(TEXT(G475,"h:mm:ss")),IF($C$6="Laboral",$FZ$4:$GX$227,IF($C$6="Sábado",$FZ$231:$GX$452,$FZ$456:$GX$656)),VLOOKUP($C$4,$HF$2:$HH$99,3,0)+IF(C$5="Ida",0,1),1),"")</f>
        <v/>
      </c>
      <c r="K475" s="89">
        <f>IF(A476&lt;&gt;A475,AVERAGEIF(A$9:A475,A475,J$9:J475),"")</f>
        <v/>
      </c>
      <c r="L475" s="89">
        <f>IFERROR(IF(A476&lt;&gt;A475,AVERAGEIF(A$9:A475,A475,S$9:S475),""),"")</f>
        <v/>
      </c>
      <c r="M475" s="89">
        <f>IFERROR(IF(A476&lt;&gt;A475,AVERAGEIF(A$9:A475,A475,T$9:T475),""),"")</f>
        <v/>
      </c>
      <c r="N475" s="89">
        <f t="array" ref="N475">IFERROR(IF(A476&lt;&gt;A475,_xlfn.STDEV.P(IF(A$9:A475=A475,T$9:T475)),""),"")</f>
        <v/>
      </c>
      <c r="O475" s="89">
        <f t="array" ref="O475">IFERROR(IF(A476&lt;&gt;A475,_xlfn.STDEV.P(IF(A$9:A475=A475,S$9:S475)),""),"")</f>
        <v/>
      </c>
      <c r="P475" s="90">
        <f>IFERROR(IF(A475&lt;&gt;A476,MAX((((M475*24*60)/2)*(1+POWER((((N475*24*60) / (M475*24*60) )),2))) + ((M475*24*60 )*-0.1 + (K475*0.015)) +1,(((M475*24*60)/2)*(1+POWER((((N475*24*60) / (M475*24*60 ))),2)))),""),"")</f>
        <v/>
      </c>
      <c r="Q475" s="90">
        <f>IF(AND(O475&lt;&gt;"",L475&lt;&gt;""),IF(A475&lt;&gt;A476,((L475*24*60) / 2 ) * (1 + POWER(((O475*24*60) / (L475*24*60)),2)),""),"")</f>
        <v/>
      </c>
      <c r="R475" s="90">
        <f>IF(Q475&lt;&gt;"",MAX(P475,Q475),"")</f>
        <v/>
      </c>
      <c r="S475" s="89">
        <f>IF(I475&lt;&gt;"H. Sale Real",IF(AND(I476&lt;&gt;"",LEFT(C476,2)&lt;&gt;"Va"),IF(AND(I475&lt;&gt;"",LEFT(C475,2)&lt;&gt;"Va",I475&lt;&gt;"H. Sale Real"),IF(I476-I475&lt;0.208333333333333,I476-I475,""),IF(AND(I474&lt;&gt;"",LEFT(C474,2)&lt;&gt;"Va",I474&lt;&gt;"H. Sale Real"),IF(I476-I474&lt;0.208333333333333,I476-I474,""),IF(AND(I473&lt;&gt;"",LEFT(C473,2)&lt;&gt;"Va",I473&lt;&gt;"H. Sale Real"),IF(I476-I473&lt;0.208333333333333,I476-I473,""),IF(AND(I472&lt;&gt;"",LEFT(C472,2)&lt;&gt;"Va",I472&lt;&gt;"H. Sale Real"),IF(I476-I472&lt;0.208333333333333,I476-I472,""),IF(AND(I471&lt;&gt;"",LEFT(C471,2)&lt;&gt;"Va",I471&lt;&gt;"H. Sale Real"),IF(I476-I471&lt;0.208333333333333,I476-I471,""),""))))),""),"")</f>
        <v/>
      </c>
      <c r="T475" s="89">
        <f>IF(G475&lt;&gt;"H. Sale Real",IF(AND(G476&lt;&gt;"",LEFT(C476,2)&lt;&gt;"Va"),IF(AND(G475&lt;&gt;"",LEFT(C475,2)&lt;&gt;"Va",G475&lt;&gt;"H. Sale Real"),IF(G476-G475&lt;0.208333333333333,G476-G475,""),IF(AND(G474&lt;&gt;"",LEFT(C474,2)&lt;&gt;"Va",G474&lt;&gt;"H. Sale Real"),IF(G476-G474&lt;0.208333333333333,G476-G474,""),IF(AND(G473&lt;&gt;"",LEFT(C473,2)&lt;&gt;"Va",G473&lt;&gt;"H. Sale Real"),IF(G476-G473&lt;0.208333333333333,G476-G473,""),IF(AND(G472&lt;&gt;"",LEFT(C472,2)&lt;&gt;"Va",G472&lt;&gt;"H. Sale Real"),IF(G476-G472&lt;0.208333333333333,G476-G472,""),IF(AND(G471&lt;&gt;"",LEFT(C471,2)&lt;&gt;"Va",G471&lt;&gt;"H. Sale Real"),IF(G476-G471&lt;0.208333333333333,G476-G471,""),""))))),""),"")</f>
        <v/>
      </c>
      <c r="U475" s="87" t="n"/>
      <c r="V475" s="89" t="n"/>
      <c r="W475" s="87" t="n"/>
      <c r="X475" s="89" t="n"/>
      <c r="Y475" s="91" t="n"/>
      <c r="Z475" s="122">
        <f>IF(G475&lt;&gt;"",IF(AND(Z474&lt;&gt;"IE",P475&lt;&gt;0,R475&lt;&gt;""),IF(IFERROR((P475/R475),0) &lt;=1,IFERROR(P475/R475,""),1),""),"")</f>
        <v/>
      </c>
      <c r="AA475" s="93" t="n"/>
      <c r="AB475" s="2" t="n"/>
      <c r="AE475" s="10">
        <f>HOUR(AK475)+1</f>
        <v/>
      </c>
      <c r="AF475" s="7" t="n"/>
      <c r="AG475" s="7" t="n"/>
      <c r="AH475" s="86" t="n"/>
      <c r="AI475" s="8" t="n"/>
      <c r="AJ475" s="86" t="n"/>
      <c r="AK475" s="87" t="n"/>
      <c r="AL475" s="88">
        <f>IF(AM475="","",IF(AND((AM475-AK475)&gt;=TIME(0,0,0),(AM475-AK475)&lt;TIME(0,3,0)),"OK",IF(AND((AM475-AK475)&gt;=TIME(0,3,0),(AM475-AK475)&lt;TIME(0,5,0)),"RETRASO DE 3-5 MIN",IF(AND((AM475-AK475)&gt;=TIME(0,5,0),(AM475-AK475)&lt;TIME(0,10,0)),"RETRASO DE 5-10 MIN",IF((AM475-AK475)&gt;=TIME(0,10,0),"RETRASO &gt;10 MIN", IF(AND((AK475-AM475)&gt;=TIME(0,0,0),(AK475-AM475)&lt;TIME(0,3,0)),"OK",IF((AK475-AM475)&gt;=TIME(0,3,0),"ADELANTADO")))))))</f>
        <v/>
      </c>
      <c r="AM475" s="91" t="n"/>
      <c r="AN475" s="89">
        <f>IF(AE475&lt;&gt;"",HLOOKUP(VALUE(TEXT(AK475,"h:mm:ss")),IF($C$6="Laboral",$FZ$4:$GX$227,IF($C$6="Sábado",$FZ$231:$GX$452,$FZ$456:$GX$656)),VLOOKUP($C$4,$HF$2:$HH$99,3,0)+IF(AG$5="Ida",0,1),1),"")</f>
        <v/>
      </c>
      <c r="AO475" s="89">
        <f>IF(AE476&lt;&gt;AE475,AVERAGEIF(AE$9:AE475,AE475,AN$9:AN475),"")</f>
        <v/>
      </c>
      <c r="AP475" s="89">
        <f>IFERROR(IF(AE476&lt;&gt;AE475,AVERAGEIF(AE$9:AE475,AE475,AW$9:AW475),""),"")</f>
        <v/>
      </c>
      <c r="AQ475" s="89">
        <f>IFERROR(IF(AE476&lt;&gt;AE475,AVERAGEIF(AE$9:AE475,AE475,AX$9:AX475),""),"")</f>
        <v/>
      </c>
      <c r="AR475" s="89">
        <f t="array" ref="AR475">IFERROR(IF(AE476&lt;&gt;AE475,_xlfn.STDEV.P(IF(AE$9:AE475=AE475,AX$9:AX475)),""),"")</f>
        <v/>
      </c>
      <c r="AS475" s="89">
        <f t="array" ref="AS475">IFERROR(IF(AE476&lt;&gt;AE475,_xlfn.STDEV.P(IF(AE$9:AE475=AE475,AW$9:AW475)),""),"")</f>
        <v/>
      </c>
      <c r="AT475" s="90">
        <f>IFERROR(IF(AE475&lt;&gt;AE476,MAX((((AQ475*24*60)/2)*(1+POWER((((AR475*24*60) / (AQ475*24*60) )),2))) + ((AQ475*24*60 )*-0.1 + (AO475*0.015)) +1,(((AQ475*24*60)/2)*(1+POWER((((AR475*24*60) / (AQ475*24*60 ))),2)))),""),"")</f>
        <v/>
      </c>
      <c r="AU475" s="90">
        <f>IF(AND(AS475&lt;&gt;"",AP475&lt;&gt;""),IF(AE475&lt;&gt;AE476,((AP475*24*60) / 2 ) * (1 + POWER(((AS475*24*60) / (AP475*24*60)),2)),""),"")</f>
        <v/>
      </c>
      <c r="AV475" s="90">
        <f>IF(AU475&lt;&gt;"",MAX(AT475,AU475),"")</f>
        <v/>
      </c>
      <c r="AW475" s="89">
        <f>IF(AM475&lt;&gt;"H. Sale Real",IF(AND(AM476&lt;&gt;"",LEFT(AG476,2)&lt;&gt;"Va"),IF(AND(AM475&lt;&gt;"",LEFT(AG475,2)&lt;&gt;"Va",AM475&lt;&gt;"H. Sale Real"),IF(AM476-AM475&lt;0.208333333333333,AM476-AM475,""),IF(AND(AM474&lt;&gt;"",LEFT(AG474,2)&lt;&gt;"Va",AM474&lt;&gt;"H. Sale Real"),IF(AM476-AM474&lt;0.208333333333333,AM476-AM474,""),IF(AND(AM473&lt;&gt;"",LEFT(AG473,2)&lt;&gt;"Va",AM473&lt;&gt;"H. Sale Real"),IF(AM476-AM473&lt;0.208333333333333,AM476-AM473,""),IF(AND(AM472&lt;&gt;"",LEFT(AG472,2)&lt;&gt;"Va",AM472&lt;&gt;"H. Sale Real"),IF(AM476-AM472&lt;0.208333333333333,AM476-AM472,""),IF(AND(AM471&lt;&gt;"",LEFT(AG471,2)&lt;&gt;"Va",AM471&lt;&gt;"H. Sale Real"),IF(AM476-AM471&lt;0.208333333333333,AM476-AM471,""),""))))),""),"")</f>
        <v/>
      </c>
      <c r="AX475" s="89">
        <f>IF(AK475&lt;&gt;"H. Sale Real",IF(AND(AK476&lt;&gt;"",LEFT(AG476,2)&lt;&gt;"Va"),IF(AND(AK475&lt;&gt;"",LEFT(AG475,2)&lt;&gt;"Va",AK475&lt;&gt;"H. Sale Real"),IF(AK476-AK475&lt;0.208333333333333,AK476-AK475,""),IF(AND(AK474&lt;&gt;"",LEFT(AG474,2)&lt;&gt;"Va",AK474&lt;&gt;"H. Sale Real"),IF(AK476-AK474&lt;0.208333333333333,AK476-AK474,""),IF(AND(AK473&lt;&gt;"",LEFT(AG473,2)&lt;&gt;"NC",AK473&lt;&gt;"H. Sale Real"),IF(AK476-AK473&lt;0.208333333333333,AK476-AK473,""),IF(AND(AK472&lt;&gt;"",LEFT(AG472,2)&lt;&gt;"Va",AK472&lt;&gt;"H. Sale Real"),IF(AK476-AK472&lt;0.208333333333333,AK476-AK472,""),IF(AND(AK471&lt;&gt;"",LEFT(AG471,2)&lt;&gt;"Va",AK471&lt;&gt;"H. Sale Real"),IF(AK476-AK471&lt;0.208333333333333,AK476-AK471,""),""))))),""),"")</f>
        <v/>
      </c>
      <c r="AY475" s="87" t="n"/>
      <c r="AZ475" s="89" t="n"/>
      <c r="BA475" s="87" t="n"/>
      <c r="BB475" s="89" t="n"/>
      <c r="BC475" s="91" t="n"/>
      <c r="BD475" s="122">
        <f>IF(AK475&lt;&gt;"",IF(AND(BD474&lt;&gt;"IE",AT475&lt;&gt;0,AV475&lt;&gt;""),IF(IFERROR((AT475/AV475),0) &lt;=1,IFERROR(AT475/AV475,""),1),""),"")</f>
        <v/>
      </c>
      <c r="BE475" s="93" t="n"/>
      <c r="BF475" s="105" t="n"/>
      <c r="FC475" t="inlineStr">
        <is>
          <t>Diccionario 1</t>
        </is>
      </c>
      <c r="FD475" s="15" t="inlineStr"/>
      <c r="FE475" s="17" t="inlineStr">
        <is>
          <t>LDYECS313S0044239</t>
        </is>
      </c>
      <c r="FF475" s="18" t="inlineStr">
        <is>
          <t>MDN35025020137</t>
        </is>
      </c>
      <c r="FG475" s="18" t="inlineStr">
        <is>
          <t>Zhong Thong</t>
        </is>
      </c>
      <c r="FH475" s="18" t="inlineStr">
        <is>
          <t>Lck6122evg</t>
        </is>
      </c>
      <c r="FI475" s="18" t="inlineStr">
        <is>
          <t>Zhong Thong</t>
        </is>
      </c>
      <c r="FJ475" s="18" t="inlineStr">
        <is>
          <t>Lck6122evg</t>
        </is>
      </c>
      <c r="FK475" s="18" t="n">
        <v>2026</v>
      </c>
      <c r="FL475" s="18" t="inlineStr">
        <is>
          <t>B</t>
        </is>
      </c>
      <c r="FM475" s="18" t="inlineStr">
        <is>
          <t>Ducaud</t>
        </is>
      </c>
      <c r="FP475" t="inlineStr">
        <is>
          <t>B</t>
        </is>
      </c>
      <c r="FS475" s="14" t="inlineStr">
        <is>
          <t>LZPG-20|</t>
        </is>
      </c>
      <c r="FT475" t="inlineStr">
        <is>
          <t>LZPG-20|</t>
        </is>
      </c>
      <c r="FU475" t="inlineStr">
        <is>
          <t>LZPG-20</t>
        </is>
      </c>
      <c r="FV475">
        <f>VLOOKUP(FU475,FD:FL,9,0)</f>
        <v/>
      </c>
      <c r="FZ475" s="51" t="inlineStr">
        <is>
          <t>B18e</t>
        </is>
      </c>
      <c r="GA475" s="43" t="n">
        <v>16.235</v>
      </c>
      <c r="GB475" s="43" t="n">
        <v>0</v>
      </c>
      <c r="GC475" s="43" t="n">
        <v>0</v>
      </c>
      <c r="GD475" s="43" t="n">
        <v>0</v>
      </c>
      <c r="GE475" s="43" t="n">
        <v>0</v>
      </c>
      <c r="GF475" s="43" t="n">
        <v>9.895</v>
      </c>
      <c r="GG475" s="43" t="n">
        <v>25.01</v>
      </c>
      <c r="GH475" s="43" t="n">
        <v>28.82</v>
      </c>
      <c r="GI475" s="43" t="n">
        <v>27.6</v>
      </c>
      <c r="GJ475" s="43" t="n">
        <v>26.025</v>
      </c>
      <c r="GK475" s="43" t="n">
        <v>25.525</v>
      </c>
      <c r="GL475" s="43" t="n">
        <v>25.365</v>
      </c>
      <c r="GM475" s="43" t="n">
        <v>24.535</v>
      </c>
      <c r="GN475" s="43" t="n">
        <v>24.195</v>
      </c>
      <c r="GO475" s="43" t="n">
        <v>24.95</v>
      </c>
      <c r="GP475" s="43" t="n">
        <v>24.955</v>
      </c>
      <c r="GQ475" s="43" t="n">
        <v>25.83</v>
      </c>
      <c r="GR475" s="43" t="n">
        <v>25.58</v>
      </c>
      <c r="GS475" s="43" t="n">
        <v>25.305</v>
      </c>
      <c r="GT475" s="43" t="n">
        <v>26.15</v>
      </c>
      <c r="GU475" s="43" t="n">
        <v>28.06</v>
      </c>
      <c r="GV475" s="43" t="n">
        <v>29.55</v>
      </c>
      <c r="GW475" s="43" t="n">
        <v>30.75</v>
      </c>
      <c r="GX475" s="43" t="n">
        <v>30.98</v>
      </c>
      <c r="HA475" s="35" t="n">
        <v>20</v>
      </c>
      <c r="HB475" s="35" t="n">
        <v>469</v>
      </c>
    </row>
    <row r="476" ht="15.5" customHeight="1">
      <c r="A476" s="10">
        <f>HOUR(G476)+1</f>
        <v/>
      </c>
      <c r="B476" s="7" t="n"/>
      <c r="C476" s="7" t="n"/>
      <c r="D476" s="85">
        <f>IFERROR(
IF(AND(OR(Planilla!B476="C",Planilla!B476="c"), VLOOKUP(E476,FD:FP,13,0)="C"), "OK",IF(AND(OR(Planilla!B476="C",Planilla!B476="c"), OR(VLOOKUP(E476,FD:FP,13,0)="B", VLOOKUP(E476,FD:FP,13,0)="A")), "DEFICIT",IF(
AND(OR(Planilla!B476="B", Planilla!B476="BPAL"), VLOOKUP(E476,FD:FP,13,0)="B"), "OK",IF(AND(OR(Planilla!B476="B", Planilla!B476="BPAL"), VLOOKUP(E476,FD:FP,13,0)="A"), "DEFICIT",IF(AND(OR(Planilla!B476="B", Planilla!B476="BPAL"), VLOOKUP(E476,FD:FP,13,0)="C"), "SOBREOFERTA",IF(AND(Planilla!B476="A", VLOOKUP(E476,FD:FP,13,0)="A"), "OK",IF(
AND(Planilla!B476="A", OR(VLOOKUP(E476,FD:FP,13,0)="B", VLOOKUP(E476,FD:FP,13,0)="C")), "SOBREOFERTA",""
))))))),"")</f>
        <v/>
      </c>
      <c r="E476" s="8" t="n"/>
      <c r="F476" s="86" t="n"/>
      <c r="G476" s="87" t="n"/>
      <c r="H476" s="88">
        <f>IF(I476="","",IF(AND((I476-G476)&gt;=TIME(0,0,0),(I476-G476)&lt;TIME(0,3,0)),"OK",IF(AND((I476-G476)&gt;=TIME(0,3,0),(I476-G476)&lt;TIME(0,5,0)),"RETRASO DE 3-5 MIN",IF(AND((I476-G476)&gt;=TIME(0,5,0),(I476-G476)&lt;TIME(0,10,0)),"RETRASO DE 5-10 MIN",IF((I476-G476)&gt;=TIME(0,10,0),"RETRASO &gt;10 MIN", IF(AND((G476-I476)&gt;=TIME(0,0,0),(G476-I476)&lt;TIME(0,3,0)),"OK",IF((G476-I476)&gt;=TIME(0,3,0),"ADELANTADO")))))))</f>
        <v/>
      </c>
      <c r="I476" s="89" t="n"/>
      <c r="J476" s="89">
        <f>IF(A476&lt;&gt;"",HLOOKUP(VALUE(TEXT(G476,"h:mm:ss")),IF($C$6="Laboral",$FZ$4:$GX$227,IF($C$6="Sábado",$FZ$231:$GX$452,$FZ$456:$GX$656)),VLOOKUP($C$4,$HF$2:$HH$99,3,0)+IF(C$5="Ida",0,1),1),"")</f>
        <v/>
      </c>
      <c r="K476" s="89">
        <f>IF(A477&lt;&gt;A476,AVERAGEIF(A$9:A476,A476,J$9:J476),"")</f>
        <v/>
      </c>
      <c r="L476" s="89">
        <f>IFERROR(IF(A477&lt;&gt;A476,AVERAGEIF(A$9:A476,A476,S$9:S476),""),"")</f>
        <v/>
      </c>
      <c r="M476" s="89">
        <f>IFERROR(IF(A477&lt;&gt;A476,AVERAGEIF(A$9:A476,A476,T$9:T476),""),"")</f>
        <v/>
      </c>
      <c r="N476" s="89">
        <f t="array" ref="N476">IFERROR(IF(A477&lt;&gt;A476,_xlfn.STDEV.P(IF(A$9:A476=A476,T$9:T476)),""),"")</f>
        <v/>
      </c>
      <c r="O476" s="89">
        <f t="array" ref="O476">IFERROR(IF(A477&lt;&gt;A476,_xlfn.STDEV.P(IF(A$9:A476=A476,S$9:S476)),""),"")</f>
        <v/>
      </c>
      <c r="P476" s="90">
        <f>IFERROR(IF(A476&lt;&gt;A477,MAX((((M476*24*60)/2)*(1+POWER((((N476*24*60) / (M476*24*60) )),2))) + ((M476*24*60 )*-0.1 + (K476*0.015)) +1,(((M476*24*60)/2)*(1+POWER((((N476*24*60) / (M476*24*60 ))),2)))),""),"")</f>
        <v/>
      </c>
      <c r="Q476" s="90">
        <f>IF(AND(O476&lt;&gt;"",L476&lt;&gt;""),IF(A476&lt;&gt;A477,((L476*24*60) / 2 ) * (1 + POWER(((O476*24*60) / (L476*24*60)),2)),""),"")</f>
        <v/>
      </c>
      <c r="R476" s="90">
        <f>IF(Q476&lt;&gt;"",MAX(P476,Q476),"")</f>
        <v/>
      </c>
      <c r="S476" s="89">
        <f>IF(I476&lt;&gt;"H. Sale Real",IF(AND(I477&lt;&gt;"",LEFT(C477,2)&lt;&gt;"Va"),IF(AND(I476&lt;&gt;"",LEFT(C476,2)&lt;&gt;"Va",I476&lt;&gt;"H. Sale Real"),IF(I477-I476&lt;0.208333333333333,I477-I476,""),IF(AND(I475&lt;&gt;"",LEFT(C475,2)&lt;&gt;"Va",I475&lt;&gt;"H. Sale Real"),IF(I477-I475&lt;0.208333333333333,I477-I475,""),IF(AND(I474&lt;&gt;"",LEFT(C474,2)&lt;&gt;"Va",I474&lt;&gt;"H. Sale Real"),IF(I477-I474&lt;0.208333333333333,I477-I474,""),IF(AND(I473&lt;&gt;"",LEFT(C473,2)&lt;&gt;"Va",I473&lt;&gt;"H. Sale Real"),IF(I477-I473&lt;0.208333333333333,I477-I473,""),IF(AND(I472&lt;&gt;"",LEFT(C472,2)&lt;&gt;"Va",I472&lt;&gt;"H. Sale Real"),IF(I477-I472&lt;0.208333333333333,I477-I472,""),""))))),""),"")</f>
        <v/>
      </c>
      <c r="T476" s="89">
        <f>IF(G476&lt;&gt;"H. Sale Real",IF(AND(G477&lt;&gt;"",LEFT(C477,2)&lt;&gt;"Va"),IF(AND(G476&lt;&gt;"",LEFT(C476,2)&lt;&gt;"Va",G476&lt;&gt;"H. Sale Real"),IF(G477-G476&lt;0.208333333333333,G477-G476,""),IF(AND(G475&lt;&gt;"",LEFT(C475,2)&lt;&gt;"Va",G475&lt;&gt;"H. Sale Real"),IF(G477-G475&lt;0.208333333333333,G477-G475,""),IF(AND(G474&lt;&gt;"",LEFT(C474,2)&lt;&gt;"Va",G474&lt;&gt;"H. Sale Real"),IF(G477-G474&lt;0.208333333333333,G477-G474,""),IF(AND(G473&lt;&gt;"",LEFT(C473,2)&lt;&gt;"Va",G473&lt;&gt;"H. Sale Real"),IF(G477-G473&lt;0.208333333333333,G477-G473,""),IF(AND(G472&lt;&gt;"",LEFT(C472,2)&lt;&gt;"Va",G472&lt;&gt;"H. Sale Real"),IF(G477-G472&lt;0.208333333333333,G477-G472,""),""))))),""),"")</f>
        <v/>
      </c>
      <c r="U476" s="87" t="n"/>
      <c r="V476" s="89" t="n"/>
      <c r="W476" s="87" t="n"/>
      <c r="X476" s="89" t="n"/>
      <c r="Y476" s="91" t="n"/>
      <c r="Z476" s="122">
        <f>IF(G476&lt;&gt;"",IF(AND(Z475&lt;&gt;"IE",P476&lt;&gt;0,R476&lt;&gt;""),IF(IFERROR((P476/R476),0) &lt;=1,IFERROR(P476/R476,""),1),""),"")</f>
        <v/>
      </c>
      <c r="AA476" s="93" t="n"/>
      <c r="AB476" s="2" t="n"/>
      <c r="AE476" s="10">
        <f>HOUR(AK476)+1</f>
        <v/>
      </c>
      <c r="AF476" s="7" t="n"/>
      <c r="AG476" s="7" t="n"/>
      <c r="AH476" s="86" t="n"/>
      <c r="AI476" s="8" t="n"/>
      <c r="AJ476" s="86" t="n"/>
      <c r="AK476" s="87" t="n"/>
      <c r="AL476" s="88">
        <f>IF(AM476="","",IF(AND((AM476-AK476)&gt;=TIME(0,0,0),(AM476-AK476)&lt;TIME(0,3,0)),"OK",IF(AND((AM476-AK476)&gt;=TIME(0,3,0),(AM476-AK476)&lt;TIME(0,5,0)),"RETRASO DE 3-5 MIN",IF(AND((AM476-AK476)&gt;=TIME(0,5,0),(AM476-AK476)&lt;TIME(0,10,0)),"RETRASO DE 5-10 MIN",IF((AM476-AK476)&gt;=TIME(0,10,0),"RETRASO &gt;10 MIN", IF(AND((AK476-AM476)&gt;=TIME(0,0,0),(AK476-AM476)&lt;TIME(0,3,0)),"OK",IF((AK476-AM476)&gt;=TIME(0,3,0),"ADELANTADO")))))))</f>
        <v/>
      </c>
      <c r="AM476" s="91" t="n"/>
      <c r="AN476" s="89">
        <f>IF(AE476&lt;&gt;"",HLOOKUP(VALUE(TEXT(AK476,"h:mm:ss")),IF($C$6="Laboral",$FZ$4:$GX$227,IF($C$6="Sábado",$FZ$231:$GX$452,$FZ$456:$GX$656)),VLOOKUP($C$4,$HF$2:$HH$99,3,0)+IF(AG$5="Ida",0,1),1),"")</f>
        <v/>
      </c>
      <c r="AO476" s="89">
        <f>IF(AE477&lt;&gt;AE476,AVERAGEIF(AE$9:AE476,AE476,AN$9:AN476),"")</f>
        <v/>
      </c>
      <c r="AP476" s="89">
        <f>IFERROR(IF(AE477&lt;&gt;AE476,AVERAGEIF(AE$9:AE476,AE476,AW$9:AW476),""),"")</f>
        <v/>
      </c>
      <c r="AQ476" s="89">
        <f>IFERROR(IF(AE477&lt;&gt;AE476,AVERAGEIF(AE$9:AE476,AE476,AX$9:AX476),""),"")</f>
        <v/>
      </c>
      <c r="AR476" s="89">
        <f t="array" ref="AR476">IFERROR(IF(AE477&lt;&gt;AE476,_xlfn.STDEV.P(IF(AE$9:AE476=AE476,AX$9:AX476)),""),"")</f>
        <v/>
      </c>
      <c r="AS476" s="89">
        <f t="array" ref="AS476">IFERROR(IF(AE477&lt;&gt;AE476,_xlfn.STDEV.P(IF(AE$9:AE476=AE476,AW$9:AW476)),""),"")</f>
        <v/>
      </c>
      <c r="AT476" s="90">
        <f>IFERROR(IF(AE476&lt;&gt;AE477,MAX((((AQ476*24*60)/2)*(1+POWER((((AR476*24*60) / (AQ476*24*60) )),2))) + ((AQ476*24*60 )*-0.1 + (AO476*0.015)) +1,(((AQ476*24*60)/2)*(1+POWER((((AR476*24*60) / (AQ476*24*60 ))),2)))),""),"")</f>
        <v/>
      </c>
      <c r="AU476" s="90">
        <f>IF(AND(AS476&lt;&gt;"",AP476&lt;&gt;""),IF(AE476&lt;&gt;AE477,((AP476*24*60) / 2 ) * (1 + POWER(((AS476*24*60) / (AP476*24*60)),2)),""),"")</f>
        <v/>
      </c>
      <c r="AV476" s="90">
        <f>IF(AU476&lt;&gt;"",MAX(AT476,AU476),"")</f>
        <v/>
      </c>
      <c r="AW476" s="89">
        <f>IF(AM476&lt;&gt;"H. Sale Real",IF(AND(AM477&lt;&gt;"",LEFT(AG477,2)&lt;&gt;"Va"),IF(AND(AM476&lt;&gt;"",LEFT(AG476,2)&lt;&gt;"Va",AM476&lt;&gt;"H. Sale Real"),IF(AM477-AM476&lt;0.208333333333333,AM477-AM476,""),IF(AND(AM475&lt;&gt;"",LEFT(AG475,2)&lt;&gt;"Va",AM475&lt;&gt;"H. Sale Real"),IF(AM477-AM475&lt;0.208333333333333,AM477-AM475,""),IF(AND(AM474&lt;&gt;"",LEFT(AG474,2)&lt;&gt;"Va",AM474&lt;&gt;"H. Sale Real"),IF(AM477-AM474&lt;0.208333333333333,AM477-AM474,""),IF(AND(AM473&lt;&gt;"",LEFT(AG473,2)&lt;&gt;"Va",AM473&lt;&gt;"H. Sale Real"),IF(AM477-AM473&lt;0.208333333333333,AM477-AM473,""),IF(AND(AM472&lt;&gt;"",LEFT(AG472,2)&lt;&gt;"Va",AM472&lt;&gt;"H. Sale Real"),IF(AM477-AM472&lt;0.208333333333333,AM477-AM472,""),""))))),""),"")</f>
        <v/>
      </c>
      <c r="AX476" s="89">
        <f>IF(AK476&lt;&gt;"H. Sale Real",IF(AND(AK477&lt;&gt;"",LEFT(AG477,2)&lt;&gt;"Va"),IF(AND(AK476&lt;&gt;"",LEFT(AG476,2)&lt;&gt;"Va",AK476&lt;&gt;"H. Sale Real"),IF(AK477-AK476&lt;0.208333333333333,AK477-AK476,""),IF(AND(AK475&lt;&gt;"",LEFT(AG475,2)&lt;&gt;"Va",AK475&lt;&gt;"H. Sale Real"),IF(AK477-AK475&lt;0.208333333333333,AK477-AK475,""),IF(AND(AK474&lt;&gt;"",LEFT(AG474,2)&lt;&gt;"NC",AK474&lt;&gt;"H. Sale Real"),IF(AK477-AK474&lt;0.208333333333333,AK477-AK474,""),IF(AND(AK473&lt;&gt;"",LEFT(AG473,2)&lt;&gt;"Va",AK473&lt;&gt;"H. Sale Real"),IF(AK477-AK473&lt;0.208333333333333,AK477-AK473,""),IF(AND(AK472&lt;&gt;"",LEFT(AG472,2)&lt;&gt;"Va",AK472&lt;&gt;"H. Sale Real"),IF(AK477-AK472&lt;0.208333333333333,AK477-AK472,""),""))))),""),"")</f>
        <v/>
      </c>
      <c r="AY476" s="87" t="n"/>
      <c r="AZ476" s="89" t="n"/>
      <c r="BA476" s="87" t="n"/>
      <c r="BB476" s="89" t="n"/>
      <c r="BC476" s="91" t="n"/>
      <c r="BD476" s="122">
        <f>IF(AK476&lt;&gt;"",IF(AND(BD475&lt;&gt;"IE",AT476&lt;&gt;0,AV476&lt;&gt;""),IF(IFERROR((AT476/AV476),0) &lt;=1,IFERROR(AT476/AV476,""),1),""),"")</f>
        <v/>
      </c>
      <c r="BE476" s="93" t="n"/>
      <c r="BF476" s="105" t="n"/>
      <c r="FC476" t="inlineStr">
        <is>
          <t>Diccionario 1</t>
        </is>
      </c>
      <c r="FD476" s="15" t="inlineStr"/>
      <c r="FE476" s="17" t="inlineStr">
        <is>
          <t>LDYECS316S0044381</t>
        </is>
      </c>
      <c r="FF476" s="18" t="inlineStr">
        <is>
          <t>MDN35025030006</t>
        </is>
      </c>
      <c r="FG476" s="18" t="inlineStr">
        <is>
          <t>Zhong Thong</t>
        </is>
      </c>
      <c r="FH476" s="18" t="inlineStr">
        <is>
          <t>Lck6122evg</t>
        </is>
      </c>
      <c r="FI476" s="18" t="inlineStr">
        <is>
          <t>Zhong Thong</t>
        </is>
      </c>
      <c r="FJ476" s="18" t="inlineStr">
        <is>
          <t>Lck6122evg</t>
        </is>
      </c>
      <c r="FK476" s="18" t="n">
        <v>2026</v>
      </c>
      <c r="FL476" s="18" t="inlineStr">
        <is>
          <t>B</t>
        </is>
      </c>
      <c r="FM476" s="18" t="inlineStr">
        <is>
          <t>Ducaud</t>
        </is>
      </c>
      <c r="FP476" t="inlineStr">
        <is>
          <t>B</t>
        </is>
      </c>
      <c r="FS476" s="14" t="inlineStr">
        <is>
          <t>LXWT-92|</t>
        </is>
      </c>
      <c r="FT476" t="inlineStr">
        <is>
          <t>LXWT-92|</t>
        </is>
      </c>
      <c r="FU476" t="inlineStr">
        <is>
          <t>LXWT-92</t>
        </is>
      </c>
      <c r="FV476">
        <f>VLOOKUP(FU476,FD:FL,9,0)</f>
        <v/>
      </c>
      <c r="FZ476" s="51" t="inlineStr">
        <is>
          <t>B18e</t>
        </is>
      </c>
      <c r="GA476" s="43" t="n">
        <v>0</v>
      </c>
      <c r="GB476" s="43" t="n">
        <v>0</v>
      </c>
      <c r="GC476" s="43" t="n">
        <v>0</v>
      </c>
      <c r="GD476" s="43" t="n">
        <v>0</v>
      </c>
      <c r="GE476" s="43" t="n">
        <v>0</v>
      </c>
      <c r="GF476" s="43" t="n">
        <v>36.275</v>
      </c>
      <c r="GG476" s="43" t="n">
        <v>35.835</v>
      </c>
      <c r="GH476" s="43" t="n">
        <v>32.875</v>
      </c>
      <c r="GI476" s="43" t="n">
        <v>28.2</v>
      </c>
      <c r="GJ476" s="43" t="n">
        <v>26.495</v>
      </c>
      <c r="GK476" s="43" t="n">
        <v>26.43</v>
      </c>
      <c r="GL476" s="43" t="n">
        <v>24.575</v>
      </c>
      <c r="GM476" s="43" t="n">
        <v>23.69</v>
      </c>
      <c r="GN476" s="43" t="n">
        <v>23.255</v>
      </c>
      <c r="GO476" s="43" t="n">
        <v>23.08</v>
      </c>
      <c r="GP476" s="43" t="n">
        <v>23.515</v>
      </c>
      <c r="GQ476" s="43" t="n">
        <v>23.68</v>
      </c>
      <c r="GR476" s="43" t="n">
        <v>23.085</v>
      </c>
      <c r="GS476" s="43" t="n">
        <v>22.185</v>
      </c>
      <c r="GT476" s="43" t="n">
        <v>22.08</v>
      </c>
      <c r="GU476" s="43" t="n">
        <v>22.605</v>
      </c>
      <c r="GV476" s="43" t="n">
        <v>23.89</v>
      </c>
      <c r="GW476" s="43" t="n">
        <v>27.12</v>
      </c>
      <c r="GX476" s="43" t="n">
        <v>34.2</v>
      </c>
      <c r="HA476" s="35" t="n">
        <v>21</v>
      </c>
      <c r="HB476" s="35" t="n">
        <v>470</v>
      </c>
    </row>
    <row r="477" ht="15.5" customHeight="1">
      <c r="A477" s="10">
        <f>HOUR(G477)+1</f>
        <v/>
      </c>
      <c r="B477" s="7" t="n"/>
      <c r="C477" s="7" t="n"/>
      <c r="D477" s="85">
        <f>IFERROR(
IF(AND(OR(Planilla!B477="C",Planilla!B477="c"), VLOOKUP(E477,FD:FP,13,0)="C"), "OK",IF(AND(OR(Planilla!B477="C",Planilla!B477="c"), OR(VLOOKUP(E477,FD:FP,13,0)="B", VLOOKUP(E477,FD:FP,13,0)="A")), "DEFICIT",IF(
AND(OR(Planilla!B477="B", Planilla!B477="BPAL"), VLOOKUP(E477,FD:FP,13,0)="B"), "OK",IF(AND(OR(Planilla!B477="B", Planilla!B477="BPAL"), VLOOKUP(E477,FD:FP,13,0)="A"), "DEFICIT",IF(AND(OR(Planilla!B477="B", Planilla!B477="BPAL"), VLOOKUP(E477,FD:FP,13,0)="C"), "SOBREOFERTA",IF(AND(Planilla!B477="A", VLOOKUP(E477,FD:FP,13,0)="A"), "OK",IF(
AND(Planilla!B477="A", OR(VLOOKUP(E477,FD:FP,13,0)="B", VLOOKUP(E477,FD:FP,13,0)="C")), "SOBREOFERTA",""
))))))),"")</f>
        <v/>
      </c>
      <c r="E477" s="8" t="n"/>
      <c r="F477" s="86" t="n"/>
      <c r="G477" s="87" t="n"/>
      <c r="H477" s="88">
        <f>IF(I477="","",IF(AND((I477-G477)&gt;=TIME(0,0,0),(I477-G477)&lt;TIME(0,3,0)),"OK",IF(AND((I477-G477)&gt;=TIME(0,3,0),(I477-G477)&lt;TIME(0,5,0)),"RETRASO DE 3-5 MIN",IF(AND((I477-G477)&gt;=TIME(0,5,0),(I477-G477)&lt;TIME(0,10,0)),"RETRASO DE 5-10 MIN",IF((I477-G477)&gt;=TIME(0,10,0),"RETRASO &gt;10 MIN", IF(AND((G477-I477)&gt;=TIME(0,0,0),(G477-I477)&lt;TIME(0,3,0)),"OK",IF((G477-I477)&gt;=TIME(0,3,0),"ADELANTADO")))))))</f>
        <v/>
      </c>
      <c r="I477" s="89" t="n"/>
      <c r="J477" s="89">
        <f>IF(A477&lt;&gt;"",HLOOKUP(VALUE(TEXT(G477,"h:mm:ss")),IF($C$6="Laboral",$FZ$4:$GX$227,IF($C$6="Sábado",$FZ$231:$GX$452,$FZ$456:$GX$656)),VLOOKUP($C$4,$HF$2:$HH$99,3,0)+IF(C$5="Ida",0,1),1),"")</f>
        <v/>
      </c>
      <c r="K477" s="89">
        <f>IF(A478&lt;&gt;A477,AVERAGEIF(A$9:A477,A477,J$9:J477),"")</f>
        <v/>
      </c>
      <c r="L477" s="89">
        <f>IFERROR(IF(A478&lt;&gt;A477,AVERAGEIF(A$9:A477,A477,S$9:S477),""),"")</f>
        <v/>
      </c>
      <c r="M477" s="89">
        <f>IFERROR(IF(A478&lt;&gt;A477,AVERAGEIF(A$9:A477,A477,T$9:T477),""),"")</f>
        <v/>
      </c>
      <c r="N477" s="89">
        <f t="array" ref="N477">IFERROR(IF(A478&lt;&gt;A477,_xlfn.STDEV.P(IF(A$9:A477=A477,T$9:T477)),""),"")</f>
        <v/>
      </c>
      <c r="O477" s="89">
        <f t="array" ref="O477">IFERROR(IF(A478&lt;&gt;A477,_xlfn.STDEV.P(IF(A$9:A477=A477,S$9:S477)),""),"")</f>
        <v/>
      </c>
      <c r="P477" s="90">
        <f>IFERROR(IF(A477&lt;&gt;A478,MAX((((M477*24*60)/2)*(1+POWER((((N477*24*60) / (M477*24*60) )),2))) + ((M477*24*60 )*-0.1 + (K477*0.015)) +1,(((M477*24*60)/2)*(1+POWER((((N477*24*60) / (M477*24*60 ))),2)))),""),"")</f>
        <v/>
      </c>
      <c r="Q477" s="90">
        <f>IF(AND(O477&lt;&gt;"",L477&lt;&gt;""),IF(A477&lt;&gt;A478,((L477*24*60) / 2 ) * (1 + POWER(((O477*24*60) / (L477*24*60)),2)),""),"")</f>
        <v/>
      </c>
      <c r="R477" s="90">
        <f>IF(Q477&lt;&gt;"",MAX(P477,Q477),"")</f>
        <v/>
      </c>
      <c r="S477" s="89">
        <f>IF(I477&lt;&gt;"H. Sale Real",IF(AND(I478&lt;&gt;"",LEFT(C478,2)&lt;&gt;"Va"),IF(AND(I477&lt;&gt;"",LEFT(C477,2)&lt;&gt;"Va",I477&lt;&gt;"H. Sale Real"),IF(I478-I477&lt;0.208333333333333,I478-I477,""),IF(AND(I476&lt;&gt;"",LEFT(C476,2)&lt;&gt;"Va",I476&lt;&gt;"H. Sale Real"),IF(I478-I476&lt;0.208333333333333,I478-I476,""),IF(AND(I475&lt;&gt;"",LEFT(C475,2)&lt;&gt;"Va",I475&lt;&gt;"H. Sale Real"),IF(I478-I475&lt;0.208333333333333,I478-I475,""),IF(AND(I474&lt;&gt;"",LEFT(C474,2)&lt;&gt;"Va",I474&lt;&gt;"H. Sale Real"),IF(I478-I474&lt;0.208333333333333,I478-I474,""),IF(AND(I473&lt;&gt;"",LEFT(C473,2)&lt;&gt;"Va",I473&lt;&gt;"H. Sale Real"),IF(I478-I473&lt;0.208333333333333,I478-I473,""),""))))),""),"")</f>
        <v/>
      </c>
      <c r="T477" s="89">
        <f>IF(G477&lt;&gt;"H. Sale Real",IF(AND(G478&lt;&gt;"",LEFT(C478,2)&lt;&gt;"Va"),IF(AND(G477&lt;&gt;"",LEFT(C477,2)&lt;&gt;"Va",G477&lt;&gt;"H. Sale Real"),IF(G478-G477&lt;0.208333333333333,G478-G477,""),IF(AND(G476&lt;&gt;"",LEFT(C476,2)&lt;&gt;"Va",G476&lt;&gt;"H. Sale Real"),IF(G478-G476&lt;0.208333333333333,G478-G476,""),IF(AND(G475&lt;&gt;"",LEFT(C475,2)&lt;&gt;"Va",G475&lt;&gt;"H. Sale Real"),IF(G478-G475&lt;0.208333333333333,G478-G475,""),IF(AND(G474&lt;&gt;"",LEFT(C474,2)&lt;&gt;"Va",G474&lt;&gt;"H. Sale Real"),IF(G478-G474&lt;0.208333333333333,G478-G474,""),IF(AND(G473&lt;&gt;"",LEFT(C473,2)&lt;&gt;"Va",G473&lt;&gt;"H. Sale Real"),IF(G478-G473&lt;0.208333333333333,G478-G473,""),""))))),""),"")</f>
        <v/>
      </c>
      <c r="U477" s="87" t="n"/>
      <c r="V477" s="89" t="n"/>
      <c r="W477" s="87" t="n"/>
      <c r="X477" s="89" t="n"/>
      <c r="Y477" s="91" t="n"/>
      <c r="Z477" s="122">
        <f>IF(G477&lt;&gt;"",IF(AND(Z476&lt;&gt;"IE",P477&lt;&gt;0,R477&lt;&gt;""),IF(IFERROR((P477/R477),0) &lt;=1,IFERROR(P477/R477,""),1),""),"")</f>
        <v/>
      </c>
      <c r="AA477" s="93" t="n"/>
      <c r="AB477" s="2" t="n"/>
      <c r="AE477" s="10">
        <f>HOUR(AK477)+1</f>
        <v/>
      </c>
      <c r="AF477" s="7" t="n"/>
      <c r="AG477" s="7" t="n"/>
      <c r="AH477" s="86" t="n"/>
      <c r="AI477" s="8" t="n"/>
      <c r="AJ477" s="86" t="n"/>
      <c r="AK477" s="87" t="n"/>
      <c r="AL477" s="88">
        <f>IF(AM477="","",IF(AND((AM477-AK477)&gt;=TIME(0,0,0),(AM477-AK477)&lt;TIME(0,3,0)),"OK",IF(AND((AM477-AK477)&gt;=TIME(0,3,0),(AM477-AK477)&lt;TIME(0,5,0)),"RETRASO DE 3-5 MIN",IF(AND((AM477-AK477)&gt;=TIME(0,5,0),(AM477-AK477)&lt;TIME(0,10,0)),"RETRASO DE 5-10 MIN",IF((AM477-AK477)&gt;=TIME(0,10,0),"RETRASO &gt;10 MIN", IF(AND((AK477-AM477)&gt;=TIME(0,0,0),(AK477-AM477)&lt;TIME(0,3,0)),"OK",IF((AK477-AM477)&gt;=TIME(0,3,0),"ADELANTADO")))))))</f>
        <v/>
      </c>
      <c r="AM477" s="91" t="n"/>
      <c r="AN477" s="89">
        <f>IF(AE477&lt;&gt;"",HLOOKUP(VALUE(TEXT(AK477,"h:mm:ss")),IF($C$6="Laboral",$FZ$4:$GX$227,IF($C$6="Sábado",$FZ$231:$GX$452,$FZ$456:$GX$656)),VLOOKUP($C$4,$HF$2:$HH$99,3,0)+IF(AG$5="Ida",0,1),1),"")</f>
        <v/>
      </c>
      <c r="AO477" s="89">
        <f>IF(AE478&lt;&gt;AE477,AVERAGEIF(AE$9:AE477,AE477,AN$9:AN477),"")</f>
        <v/>
      </c>
      <c r="AP477" s="89">
        <f>IFERROR(IF(AE478&lt;&gt;AE477,AVERAGEIF(AE$9:AE477,AE477,AW$9:AW477),""),"")</f>
        <v/>
      </c>
      <c r="AQ477" s="89">
        <f>IFERROR(IF(AE478&lt;&gt;AE477,AVERAGEIF(AE$9:AE477,AE477,AX$9:AX477),""),"")</f>
        <v/>
      </c>
      <c r="AR477" s="89">
        <f t="array" ref="AR477">IFERROR(IF(AE478&lt;&gt;AE477,_xlfn.STDEV.P(IF(AE$9:AE477=AE477,AX$9:AX477)),""),"")</f>
        <v/>
      </c>
      <c r="AS477" s="89">
        <f t="array" ref="AS477">IFERROR(IF(AE478&lt;&gt;AE477,_xlfn.STDEV.P(IF(AE$9:AE477=AE477,AW$9:AW477)),""),"")</f>
        <v/>
      </c>
      <c r="AT477" s="90">
        <f>IFERROR(IF(AE477&lt;&gt;AE478,MAX((((AQ477*24*60)/2)*(1+POWER((((AR477*24*60) / (AQ477*24*60) )),2))) + ((AQ477*24*60 )*-0.1 + (AO477*0.015)) +1,(((AQ477*24*60)/2)*(1+POWER((((AR477*24*60) / (AQ477*24*60 ))),2)))),""),"")</f>
        <v/>
      </c>
      <c r="AU477" s="90">
        <f>IF(AND(AS477&lt;&gt;"",AP477&lt;&gt;""),IF(AE477&lt;&gt;AE478,((AP477*24*60) / 2 ) * (1 + POWER(((AS477*24*60) / (AP477*24*60)),2)),""),"")</f>
        <v/>
      </c>
      <c r="AV477" s="90">
        <f>IF(AU477&lt;&gt;"",MAX(AT477,AU477),"")</f>
        <v/>
      </c>
      <c r="AW477" s="89">
        <f>IF(AM477&lt;&gt;"H. Sale Real",IF(AND(AM478&lt;&gt;"",LEFT(AG478,2)&lt;&gt;"Va"),IF(AND(AM477&lt;&gt;"",LEFT(AG477,2)&lt;&gt;"Va",AM477&lt;&gt;"H. Sale Real"),IF(AM478-AM477&lt;0.208333333333333,AM478-AM477,""),IF(AND(AM476&lt;&gt;"",LEFT(AG476,2)&lt;&gt;"Va",AM476&lt;&gt;"H. Sale Real"),IF(AM478-AM476&lt;0.208333333333333,AM478-AM476,""),IF(AND(AM475&lt;&gt;"",LEFT(AG475,2)&lt;&gt;"Va",AM475&lt;&gt;"H. Sale Real"),IF(AM478-AM475&lt;0.208333333333333,AM478-AM475,""),IF(AND(AM474&lt;&gt;"",LEFT(AG474,2)&lt;&gt;"Va",AM474&lt;&gt;"H. Sale Real"),IF(AM478-AM474&lt;0.208333333333333,AM478-AM474,""),IF(AND(AM473&lt;&gt;"",LEFT(AG473,2)&lt;&gt;"Va",AM473&lt;&gt;"H. Sale Real"),IF(AM478-AM473&lt;0.208333333333333,AM478-AM473,""),""))))),""),"")</f>
        <v/>
      </c>
      <c r="AX477" s="89">
        <f>IF(AK477&lt;&gt;"H. Sale Real",IF(AND(AK478&lt;&gt;"",LEFT(AG478,2)&lt;&gt;"Va"),IF(AND(AK477&lt;&gt;"",LEFT(AG477,2)&lt;&gt;"Va",AK477&lt;&gt;"H. Sale Real"),IF(AK478-AK477&lt;0.208333333333333,AK478-AK477,""),IF(AND(AK476&lt;&gt;"",LEFT(AG476,2)&lt;&gt;"Va",AK476&lt;&gt;"H. Sale Real"),IF(AK478-AK476&lt;0.208333333333333,AK478-AK476,""),IF(AND(AK475&lt;&gt;"",LEFT(AG475,2)&lt;&gt;"NC",AK475&lt;&gt;"H. Sale Real"),IF(AK478-AK475&lt;0.208333333333333,AK478-AK475,""),IF(AND(AK474&lt;&gt;"",LEFT(AG474,2)&lt;&gt;"Va",AK474&lt;&gt;"H. Sale Real"),IF(AK478-AK474&lt;0.208333333333333,AK478-AK474,""),IF(AND(AK473&lt;&gt;"",LEFT(AG473,2)&lt;&gt;"Va",AK473&lt;&gt;"H. Sale Real"),IF(AK478-AK473&lt;0.208333333333333,AK478-AK473,""),""))))),""),"")</f>
        <v/>
      </c>
      <c r="AY477" s="87" t="n"/>
      <c r="AZ477" s="89" t="n"/>
      <c r="BA477" s="87" t="n"/>
      <c r="BB477" s="89" t="n"/>
      <c r="BC477" s="91" t="n"/>
      <c r="BD477" s="122">
        <f>IF(AK477&lt;&gt;"",IF(AND(BD476&lt;&gt;"IE",AT477&lt;&gt;0,AV477&lt;&gt;""),IF(IFERROR((AT477/AV477),0) &lt;=1,IFERROR(AT477/AV477,""),1),""),"")</f>
        <v/>
      </c>
      <c r="BE477" s="93" t="n"/>
      <c r="BF477" s="105" t="n"/>
      <c r="FC477" t="inlineStr">
        <is>
          <t>Diccionario 1</t>
        </is>
      </c>
      <c r="FD477" s="15" t="inlineStr"/>
      <c r="FE477" s="17" t="inlineStr">
        <is>
          <t>LDYECS311S0044319</t>
        </is>
      </c>
      <c r="FF477" s="18" t="inlineStr">
        <is>
          <t>MDN35025010158</t>
        </is>
      </c>
      <c r="FG477" s="18" t="inlineStr">
        <is>
          <t>Zhong Thong</t>
        </is>
      </c>
      <c r="FH477" s="18" t="inlineStr">
        <is>
          <t>Lck6122evg</t>
        </is>
      </c>
      <c r="FI477" s="18" t="inlineStr">
        <is>
          <t>Zhong Thong</t>
        </is>
      </c>
      <c r="FJ477" s="18" t="inlineStr">
        <is>
          <t>Lck6122evg</t>
        </is>
      </c>
      <c r="FK477" s="18" t="n">
        <v>2026</v>
      </c>
      <c r="FL477" s="18" t="inlineStr">
        <is>
          <t>B</t>
        </is>
      </c>
      <c r="FM477" s="18" t="inlineStr">
        <is>
          <t>Ducaud</t>
        </is>
      </c>
      <c r="FP477" t="inlineStr">
        <is>
          <t>B</t>
        </is>
      </c>
      <c r="FS477" s="14" t="inlineStr">
        <is>
          <t>LZPT-74|</t>
        </is>
      </c>
      <c r="FT477" t="inlineStr">
        <is>
          <t>LZPT-74|</t>
        </is>
      </c>
      <c r="FU477" t="inlineStr">
        <is>
          <t>LZPT-74</t>
        </is>
      </c>
      <c r="FV477">
        <f>VLOOKUP(FU477,FD:FL,9,0)</f>
        <v/>
      </c>
      <c r="FZ477" s="51" t="inlineStr">
        <is>
          <t>B20</t>
        </is>
      </c>
      <c r="GA477" s="43" t="n">
        <v>0</v>
      </c>
      <c r="GB477" s="43" t="n">
        <v>0</v>
      </c>
      <c r="GC477" s="43" t="n">
        <v>0</v>
      </c>
      <c r="GD477" s="43" t="n">
        <v>0</v>
      </c>
      <c r="GE477" s="43" t="n">
        <v>0</v>
      </c>
      <c r="GF477" s="43" t="n">
        <v>12.555</v>
      </c>
      <c r="GG477" s="43" t="n">
        <v>24.23</v>
      </c>
      <c r="GH477" s="43" t="n">
        <v>23.265</v>
      </c>
      <c r="GI477" s="43" t="n">
        <v>22.24</v>
      </c>
      <c r="GJ477" s="43" t="n">
        <v>21.15</v>
      </c>
      <c r="GK477" s="43" t="n">
        <v>20.175</v>
      </c>
      <c r="GL477" s="43" t="n">
        <v>19.5</v>
      </c>
      <c r="GM477" s="43" t="n">
        <v>19.29</v>
      </c>
      <c r="GN477" s="43" t="n">
        <v>19.41</v>
      </c>
      <c r="GO477" s="43" t="n">
        <v>19.37</v>
      </c>
      <c r="GP477" s="43" t="n">
        <v>19.985</v>
      </c>
      <c r="GQ477" s="43" t="n">
        <v>19.75</v>
      </c>
      <c r="GR477" s="43" t="n">
        <v>19.645</v>
      </c>
      <c r="GS477" s="43" t="n">
        <v>20.275</v>
      </c>
      <c r="GT477" s="43" t="n">
        <v>21.205</v>
      </c>
      <c r="GU477" s="43" t="n">
        <v>21.66</v>
      </c>
      <c r="GV477" s="43" t="n">
        <v>23.075</v>
      </c>
      <c r="GW477" s="43" t="n">
        <v>24.825</v>
      </c>
      <c r="GX477" s="43" t="n">
        <v>0</v>
      </c>
      <c r="HA477" s="35" t="n">
        <v>22</v>
      </c>
      <c r="HB477" s="35" t="n">
        <v>471</v>
      </c>
    </row>
    <row r="478" ht="15.5" customHeight="1">
      <c r="A478" s="10">
        <f>HOUR(G478)+1</f>
        <v/>
      </c>
      <c r="B478" s="7" t="n"/>
      <c r="C478" s="7" t="n"/>
      <c r="D478" s="85">
        <f>IFERROR(
IF(AND(OR(Planilla!B478="C",Planilla!B478="c"), VLOOKUP(E478,FD:FP,13,0)="C"), "OK",IF(AND(OR(Planilla!B478="C",Planilla!B478="c"), OR(VLOOKUP(E478,FD:FP,13,0)="B", VLOOKUP(E478,FD:FP,13,0)="A")), "DEFICIT",IF(
AND(OR(Planilla!B478="B", Planilla!B478="BPAL"), VLOOKUP(E478,FD:FP,13,0)="B"), "OK",IF(AND(OR(Planilla!B478="B", Planilla!B478="BPAL"), VLOOKUP(E478,FD:FP,13,0)="A"), "DEFICIT",IF(AND(OR(Planilla!B478="B", Planilla!B478="BPAL"), VLOOKUP(E478,FD:FP,13,0)="C"), "SOBREOFERTA",IF(AND(Planilla!B478="A", VLOOKUP(E478,FD:FP,13,0)="A"), "OK",IF(
AND(Planilla!B478="A", OR(VLOOKUP(E478,FD:FP,13,0)="B", VLOOKUP(E478,FD:FP,13,0)="C")), "SOBREOFERTA",""
))))))),"")</f>
        <v/>
      </c>
      <c r="E478" s="8" t="n"/>
      <c r="F478" s="86" t="n"/>
      <c r="G478" s="87" t="n"/>
      <c r="H478" s="88">
        <f>IF(I478="","",IF(AND((I478-G478)&gt;=TIME(0,0,0),(I478-G478)&lt;TIME(0,3,0)),"OK",IF(AND((I478-G478)&gt;=TIME(0,3,0),(I478-G478)&lt;TIME(0,5,0)),"RETRASO DE 3-5 MIN",IF(AND((I478-G478)&gt;=TIME(0,5,0),(I478-G478)&lt;TIME(0,10,0)),"RETRASO DE 5-10 MIN",IF((I478-G478)&gt;=TIME(0,10,0),"RETRASO &gt;10 MIN", IF(AND((G478-I478)&gt;=TIME(0,0,0),(G478-I478)&lt;TIME(0,3,0)),"OK",IF((G478-I478)&gt;=TIME(0,3,0),"ADELANTADO")))))))</f>
        <v/>
      </c>
      <c r="I478" s="89" t="n"/>
      <c r="J478" s="89">
        <f>IF(A478&lt;&gt;"",HLOOKUP(VALUE(TEXT(G478,"h:mm:ss")),IF($C$6="Laboral",$FZ$4:$GX$227,IF($C$6="Sábado",$FZ$231:$GX$452,$FZ$456:$GX$656)),VLOOKUP($C$4,$HF$2:$HH$99,3,0)+IF(C$5="Ida",0,1),1),"")</f>
        <v/>
      </c>
      <c r="K478" s="89">
        <f>IF(A479&lt;&gt;A478,AVERAGEIF(A$9:A478,A478,J$9:J478),"")</f>
        <v/>
      </c>
      <c r="L478" s="89">
        <f>IFERROR(IF(A479&lt;&gt;A478,AVERAGEIF(A$9:A478,A478,S$9:S478),""),"")</f>
        <v/>
      </c>
      <c r="M478" s="89">
        <f>IFERROR(IF(A479&lt;&gt;A478,AVERAGEIF(A$9:A478,A478,T$9:T478),""),"")</f>
        <v/>
      </c>
      <c r="N478" s="89">
        <f t="array" ref="N478">IFERROR(IF(A479&lt;&gt;A478,_xlfn.STDEV.P(IF(A$9:A478=A478,T$9:T478)),""),"")</f>
        <v/>
      </c>
      <c r="O478" s="89">
        <f t="array" ref="O478">IFERROR(IF(A479&lt;&gt;A478,_xlfn.STDEV.P(IF(A$9:A478=A478,S$9:S478)),""),"")</f>
        <v/>
      </c>
      <c r="P478" s="90">
        <f>IFERROR(IF(A478&lt;&gt;A479,MAX((((M478*24*60)/2)*(1+POWER((((N478*24*60) / (M478*24*60) )),2))) + ((M478*24*60 )*-0.1 + (K478*0.015)) +1,(((M478*24*60)/2)*(1+POWER((((N478*24*60) / (M478*24*60 ))),2)))),""),"")</f>
        <v/>
      </c>
      <c r="Q478" s="90">
        <f>IF(AND(O478&lt;&gt;"",L478&lt;&gt;""),IF(A478&lt;&gt;A479,((L478*24*60) / 2 ) * (1 + POWER(((O478*24*60) / (L478*24*60)),2)),""),"")</f>
        <v/>
      </c>
      <c r="R478" s="90">
        <f>IF(Q478&lt;&gt;"",MAX(P478,Q478),"")</f>
        <v/>
      </c>
      <c r="S478" s="89">
        <f>IF(I478&lt;&gt;"H. Sale Real",IF(AND(I479&lt;&gt;"",LEFT(C479,2)&lt;&gt;"Va"),IF(AND(I478&lt;&gt;"",LEFT(C478,2)&lt;&gt;"Va",I478&lt;&gt;"H. Sale Real"),IF(I479-I478&lt;0.208333333333333,I479-I478,""),IF(AND(I477&lt;&gt;"",LEFT(C477,2)&lt;&gt;"Va",I477&lt;&gt;"H. Sale Real"),IF(I479-I477&lt;0.208333333333333,I479-I477,""),IF(AND(I476&lt;&gt;"",LEFT(C476,2)&lt;&gt;"Va",I476&lt;&gt;"H. Sale Real"),IF(I479-I476&lt;0.208333333333333,I479-I476,""),IF(AND(I475&lt;&gt;"",LEFT(C475,2)&lt;&gt;"Va",I475&lt;&gt;"H. Sale Real"),IF(I479-I475&lt;0.208333333333333,I479-I475,""),IF(AND(I474&lt;&gt;"",LEFT(C474,2)&lt;&gt;"Va",I474&lt;&gt;"H. Sale Real"),IF(I479-I474&lt;0.208333333333333,I479-I474,""),""))))),""),"")</f>
        <v/>
      </c>
      <c r="T478" s="89">
        <f>IF(G478&lt;&gt;"H. Sale Real",IF(AND(G479&lt;&gt;"",LEFT(C479,2)&lt;&gt;"Va"),IF(AND(G478&lt;&gt;"",LEFT(C478,2)&lt;&gt;"Va",G478&lt;&gt;"H. Sale Real"),IF(G479-G478&lt;0.208333333333333,G479-G478,""),IF(AND(G477&lt;&gt;"",LEFT(C477,2)&lt;&gt;"Va",G477&lt;&gt;"H. Sale Real"),IF(G479-G477&lt;0.208333333333333,G479-G477,""),IF(AND(G476&lt;&gt;"",LEFT(C476,2)&lt;&gt;"Va",G476&lt;&gt;"H. Sale Real"),IF(G479-G476&lt;0.208333333333333,G479-G476,""),IF(AND(G475&lt;&gt;"",LEFT(C475,2)&lt;&gt;"Va",G475&lt;&gt;"H. Sale Real"),IF(G479-G475&lt;0.208333333333333,G479-G475,""),IF(AND(G474&lt;&gt;"",LEFT(C474,2)&lt;&gt;"Va",G474&lt;&gt;"H. Sale Real"),IF(G479-G474&lt;0.208333333333333,G479-G474,""),""))))),""),"")</f>
        <v/>
      </c>
      <c r="U478" s="87" t="n"/>
      <c r="V478" s="89" t="n"/>
      <c r="W478" s="87" t="n"/>
      <c r="X478" s="89" t="n"/>
      <c r="Y478" s="91" t="n"/>
      <c r="Z478" s="122">
        <f>IF(G478&lt;&gt;"",IF(AND(Z477&lt;&gt;"IE",P478&lt;&gt;0,R478&lt;&gt;""),IF(IFERROR((P478/R478),0) &lt;=1,IFERROR(P478/R478,""),1),""),"")</f>
        <v/>
      </c>
      <c r="AA478" s="93" t="n"/>
      <c r="AB478" s="2" t="n"/>
      <c r="AE478" s="10">
        <f>HOUR(AK478)+1</f>
        <v/>
      </c>
      <c r="AF478" s="7" t="n"/>
      <c r="AG478" s="7" t="n"/>
      <c r="AH478" s="86" t="n"/>
      <c r="AI478" s="8" t="n"/>
      <c r="AJ478" s="86" t="n"/>
      <c r="AK478" s="87" t="n"/>
      <c r="AL478" s="88">
        <f>IF(AM478="","",IF(AND((AM478-AK478)&gt;=TIME(0,0,0),(AM478-AK478)&lt;TIME(0,3,0)),"OK",IF(AND((AM478-AK478)&gt;=TIME(0,3,0),(AM478-AK478)&lt;TIME(0,5,0)),"RETRASO DE 3-5 MIN",IF(AND((AM478-AK478)&gt;=TIME(0,5,0),(AM478-AK478)&lt;TIME(0,10,0)),"RETRASO DE 5-10 MIN",IF((AM478-AK478)&gt;=TIME(0,10,0),"RETRASO &gt;10 MIN", IF(AND((AK478-AM478)&gt;=TIME(0,0,0),(AK478-AM478)&lt;TIME(0,3,0)),"OK",IF((AK478-AM478)&gt;=TIME(0,3,0),"ADELANTADO")))))))</f>
        <v/>
      </c>
      <c r="AM478" s="91" t="n"/>
      <c r="AN478" s="89">
        <f>IF(AE478&lt;&gt;"",HLOOKUP(VALUE(TEXT(AK478,"h:mm:ss")),IF($C$6="Laboral",$FZ$4:$GX$227,IF($C$6="Sábado",$FZ$231:$GX$452,$FZ$456:$GX$656)),VLOOKUP($C$4,$HF$2:$HH$99,3,0)+IF(AG$5="Ida",0,1),1),"")</f>
        <v/>
      </c>
      <c r="AO478" s="89">
        <f>IF(AE479&lt;&gt;AE478,AVERAGEIF(AE$9:AE478,AE478,AN$9:AN478),"")</f>
        <v/>
      </c>
      <c r="AP478" s="89">
        <f>IFERROR(IF(AE479&lt;&gt;AE478,AVERAGEIF(AE$9:AE478,AE478,AW$9:AW478),""),"")</f>
        <v/>
      </c>
      <c r="AQ478" s="89">
        <f>IFERROR(IF(AE479&lt;&gt;AE478,AVERAGEIF(AE$9:AE478,AE478,AX$9:AX478),""),"")</f>
        <v/>
      </c>
      <c r="AR478" s="89">
        <f t="array" ref="AR478">IFERROR(IF(AE479&lt;&gt;AE478,_xlfn.STDEV.P(IF(AE$9:AE478=AE478,AX$9:AX478)),""),"")</f>
        <v/>
      </c>
      <c r="AS478" s="89">
        <f t="array" ref="AS478">IFERROR(IF(AE479&lt;&gt;AE478,_xlfn.STDEV.P(IF(AE$9:AE478=AE478,AW$9:AW478)),""),"")</f>
        <v/>
      </c>
      <c r="AT478" s="90">
        <f>IFERROR(IF(AE478&lt;&gt;AE479,MAX((((AQ478*24*60)/2)*(1+POWER((((AR478*24*60) / (AQ478*24*60) )),2))) + ((AQ478*24*60 )*-0.1 + (AO478*0.015)) +1,(((AQ478*24*60)/2)*(1+POWER((((AR478*24*60) / (AQ478*24*60 ))),2)))),""),"")</f>
        <v/>
      </c>
      <c r="AU478" s="90">
        <f>IF(AND(AS478&lt;&gt;"",AP478&lt;&gt;""),IF(AE478&lt;&gt;AE479,((AP478*24*60) / 2 ) * (1 + POWER(((AS478*24*60) / (AP478*24*60)),2)),""),"")</f>
        <v/>
      </c>
      <c r="AV478" s="90">
        <f>IF(AU478&lt;&gt;"",MAX(AT478,AU478),"")</f>
        <v/>
      </c>
      <c r="AW478" s="89">
        <f>IF(AM478&lt;&gt;"H. Sale Real",IF(AND(AM479&lt;&gt;"",LEFT(AG479,2)&lt;&gt;"Va"),IF(AND(AM478&lt;&gt;"",LEFT(AG478,2)&lt;&gt;"Va",AM478&lt;&gt;"H. Sale Real"),IF(AM479-AM478&lt;0.208333333333333,AM479-AM478,""),IF(AND(AM477&lt;&gt;"",LEFT(AG477,2)&lt;&gt;"Va",AM477&lt;&gt;"H. Sale Real"),IF(AM479-AM477&lt;0.208333333333333,AM479-AM477,""),IF(AND(AM476&lt;&gt;"",LEFT(AG476,2)&lt;&gt;"Va",AM476&lt;&gt;"H. Sale Real"),IF(AM479-AM476&lt;0.208333333333333,AM479-AM476,""),IF(AND(AM475&lt;&gt;"",LEFT(AG475,2)&lt;&gt;"Va",AM475&lt;&gt;"H. Sale Real"),IF(AM479-AM475&lt;0.208333333333333,AM479-AM475,""),IF(AND(AM474&lt;&gt;"",LEFT(AG474,2)&lt;&gt;"Va",AM474&lt;&gt;"H. Sale Real"),IF(AM479-AM474&lt;0.208333333333333,AM479-AM474,""),""))))),""),"")</f>
        <v/>
      </c>
      <c r="AX478" s="89">
        <f>IF(AK478&lt;&gt;"H. Sale Real",IF(AND(AK479&lt;&gt;"",LEFT(AG479,2)&lt;&gt;"Va"),IF(AND(AK478&lt;&gt;"",LEFT(AG478,2)&lt;&gt;"Va",AK478&lt;&gt;"H. Sale Real"),IF(AK479-AK478&lt;0.208333333333333,AK479-AK478,""),IF(AND(AK477&lt;&gt;"",LEFT(AG477,2)&lt;&gt;"Va",AK477&lt;&gt;"H. Sale Real"),IF(AK479-AK477&lt;0.208333333333333,AK479-AK477,""),IF(AND(AK476&lt;&gt;"",LEFT(AG476,2)&lt;&gt;"NC",AK476&lt;&gt;"H. Sale Real"),IF(AK479-AK476&lt;0.208333333333333,AK479-AK476,""),IF(AND(AK475&lt;&gt;"",LEFT(AG475,2)&lt;&gt;"Va",AK475&lt;&gt;"H. Sale Real"),IF(AK479-AK475&lt;0.208333333333333,AK479-AK475,""),IF(AND(AK474&lt;&gt;"",LEFT(AG474,2)&lt;&gt;"Va",AK474&lt;&gt;"H. Sale Real"),IF(AK479-AK474&lt;0.208333333333333,AK479-AK474,""),""))))),""),"")</f>
        <v/>
      </c>
      <c r="AY478" s="87" t="n"/>
      <c r="AZ478" s="89" t="n"/>
      <c r="BA478" s="87" t="n"/>
      <c r="BB478" s="89" t="n"/>
      <c r="BC478" s="91" t="n"/>
      <c r="BD478" s="122">
        <f>IF(AK478&lt;&gt;"",IF(AND(BD477&lt;&gt;"IE",AT478&lt;&gt;0,AV478&lt;&gt;""),IF(IFERROR((AT478/AV478),0) &lt;=1,IFERROR(AT478/AV478,""),1),""),"")</f>
        <v/>
      </c>
      <c r="BE478" s="93" t="n"/>
      <c r="BF478" s="105" t="n"/>
      <c r="FC478" t="inlineStr">
        <is>
          <t>Diccionario 1</t>
        </is>
      </c>
      <c r="FD478" s="15" t="inlineStr"/>
      <c r="FE478" s="17" t="inlineStr">
        <is>
          <t>LDYECS318S0044334</t>
        </is>
      </c>
      <c r="FF478" s="18" t="inlineStr">
        <is>
          <t>MDN35025030245</t>
        </is>
      </c>
      <c r="FG478" s="18" t="inlineStr">
        <is>
          <t>Zhong Thong</t>
        </is>
      </c>
      <c r="FH478" s="18" t="inlineStr">
        <is>
          <t>Lck6122evg</t>
        </is>
      </c>
      <c r="FI478" s="18" t="inlineStr">
        <is>
          <t>Zhong Thong</t>
        </is>
      </c>
      <c r="FJ478" s="18" t="inlineStr">
        <is>
          <t>Lck6122evg</t>
        </is>
      </c>
      <c r="FK478" s="18" t="n">
        <v>2026</v>
      </c>
      <c r="FL478" s="18" t="inlineStr">
        <is>
          <t>B</t>
        </is>
      </c>
      <c r="FM478" s="18" t="inlineStr">
        <is>
          <t>Ducaud</t>
        </is>
      </c>
      <c r="FP478" t="inlineStr">
        <is>
          <t>B</t>
        </is>
      </c>
      <c r="FS478" s="14" t="inlineStr">
        <is>
          <t>LZRB-82|</t>
        </is>
      </c>
      <c r="FT478" t="inlineStr">
        <is>
          <t>LZRB-82|</t>
        </is>
      </c>
      <c r="FU478" t="inlineStr">
        <is>
          <t>LZRB-82</t>
        </is>
      </c>
      <c r="FV478">
        <f>VLOOKUP(FU478,FD:FL,9,0)</f>
        <v/>
      </c>
      <c r="FZ478" s="51" t="n">
        <v>722</v>
      </c>
      <c r="GA478" s="43" t="n">
        <v>0</v>
      </c>
      <c r="GB478" s="43" t="n">
        <v>0</v>
      </c>
      <c r="GC478" s="43" t="n">
        <v>0</v>
      </c>
      <c r="GD478" s="43" t="n">
        <v>0</v>
      </c>
      <c r="GE478" s="43" t="n">
        <v>16.51</v>
      </c>
      <c r="GF478" s="43" t="n">
        <v>31.21</v>
      </c>
      <c r="GG478" s="43" t="n">
        <v>28.26</v>
      </c>
      <c r="GH478" s="43" t="n">
        <v>26.665</v>
      </c>
      <c r="GI478" s="43" t="n">
        <v>25.79</v>
      </c>
      <c r="GJ478" s="43" t="n">
        <v>24.85</v>
      </c>
      <c r="GK478" s="43" t="n">
        <v>24.205</v>
      </c>
      <c r="GL478" s="43" t="n">
        <v>23.18</v>
      </c>
      <c r="GM478" s="43" t="n">
        <v>22.55</v>
      </c>
      <c r="GN478" s="43" t="n">
        <v>22.19</v>
      </c>
      <c r="GO478" s="43" t="n">
        <v>23.075</v>
      </c>
      <c r="GP478" s="43" t="n">
        <v>22.945</v>
      </c>
      <c r="GQ478" s="43" t="n">
        <v>22.51</v>
      </c>
      <c r="GR478" s="43" t="n">
        <v>22.25</v>
      </c>
      <c r="GS478" s="43" t="n">
        <v>21.675</v>
      </c>
      <c r="GT478" s="43" t="n">
        <v>22.185</v>
      </c>
      <c r="GU478" s="43" t="n">
        <v>23.365</v>
      </c>
      <c r="GV478" s="43" t="n">
        <v>25.79</v>
      </c>
      <c r="GW478" s="43" t="n">
        <v>27.81</v>
      </c>
      <c r="GX478" s="43" t="n">
        <v>29.52</v>
      </c>
      <c r="HA478" s="35" t="n">
        <v>23</v>
      </c>
      <c r="HB478" s="35" t="n">
        <v>472</v>
      </c>
    </row>
    <row r="479" ht="15.5" customHeight="1">
      <c r="A479" s="10">
        <f>HOUR(G479)+1</f>
        <v/>
      </c>
      <c r="B479" s="7" t="n"/>
      <c r="C479" s="7" t="n"/>
      <c r="D479" s="85">
        <f>IFERROR(
IF(AND(OR(Planilla!B479="C",Planilla!B479="c"), VLOOKUP(E479,FD:FP,13,0)="C"), "OK",IF(AND(OR(Planilla!B479="C",Planilla!B479="c"), OR(VLOOKUP(E479,FD:FP,13,0)="B", VLOOKUP(E479,FD:FP,13,0)="A")), "DEFICIT",IF(
AND(OR(Planilla!B479="B", Planilla!B479="BPAL"), VLOOKUP(E479,FD:FP,13,0)="B"), "OK",IF(AND(OR(Planilla!B479="B", Planilla!B479="BPAL"), VLOOKUP(E479,FD:FP,13,0)="A"), "DEFICIT",IF(AND(OR(Planilla!B479="B", Planilla!B479="BPAL"), VLOOKUP(E479,FD:FP,13,0)="C"), "SOBREOFERTA",IF(AND(Planilla!B479="A", VLOOKUP(E479,FD:FP,13,0)="A"), "OK",IF(
AND(Planilla!B479="A", OR(VLOOKUP(E479,FD:FP,13,0)="B", VLOOKUP(E479,FD:FP,13,0)="C")), "SOBREOFERTA",""
))))))),"")</f>
        <v/>
      </c>
      <c r="E479" s="8" t="n"/>
      <c r="F479" s="86" t="n"/>
      <c r="G479" s="87" t="n"/>
      <c r="H479" s="88">
        <f>IF(I479="","",IF(AND((I479-G479)&gt;=TIME(0,0,0),(I479-G479)&lt;TIME(0,3,0)),"OK",IF(AND((I479-G479)&gt;=TIME(0,3,0),(I479-G479)&lt;TIME(0,5,0)),"RETRASO DE 3-5 MIN",IF(AND((I479-G479)&gt;=TIME(0,5,0),(I479-G479)&lt;TIME(0,10,0)),"RETRASO DE 5-10 MIN",IF((I479-G479)&gt;=TIME(0,10,0),"RETRASO &gt;10 MIN", IF(AND((G479-I479)&gt;=TIME(0,0,0),(G479-I479)&lt;TIME(0,3,0)),"OK",IF((G479-I479)&gt;=TIME(0,3,0),"ADELANTADO")))))))</f>
        <v/>
      </c>
      <c r="I479" s="89" t="n"/>
      <c r="J479" s="89">
        <f>IF(A479&lt;&gt;"",HLOOKUP(VALUE(TEXT(G479,"h:mm:ss")),IF($C$6="Laboral",$FZ$4:$GX$227,IF($C$6="Sábado",$FZ$231:$GX$452,$FZ$456:$GX$656)),VLOOKUP($C$4,$HF$2:$HH$99,3,0)+IF(C$5="Ida",0,1),1),"")</f>
        <v/>
      </c>
      <c r="K479" s="89">
        <f>IF(A480&lt;&gt;A479,AVERAGEIF(A$9:A479,A479,J$9:J479),"")</f>
        <v/>
      </c>
      <c r="L479" s="89">
        <f>IFERROR(IF(A480&lt;&gt;A479,AVERAGEIF(A$9:A479,A479,S$9:S479),""),"")</f>
        <v/>
      </c>
      <c r="M479" s="89">
        <f>IFERROR(IF(A480&lt;&gt;A479,AVERAGEIF(A$9:A479,A479,T$9:T479),""),"")</f>
        <v/>
      </c>
      <c r="N479" s="89">
        <f t="array" ref="N479">IFERROR(IF(A480&lt;&gt;A479,_xlfn.STDEV.P(IF(A$9:A479=A479,T$9:T479)),""),"")</f>
        <v/>
      </c>
      <c r="O479" s="89">
        <f t="array" ref="O479">IFERROR(IF(A480&lt;&gt;A479,_xlfn.STDEV.P(IF(A$9:A479=A479,S$9:S479)),""),"")</f>
        <v/>
      </c>
      <c r="P479" s="90">
        <f>IFERROR(IF(A479&lt;&gt;A480,MAX((((M479*24*60)/2)*(1+POWER((((N479*24*60) / (M479*24*60) )),2))) + ((M479*24*60 )*-0.1 + (K479*0.015)) +1,(((M479*24*60)/2)*(1+POWER((((N479*24*60) / (M479*24*60 ))),2)))),""),"")</f>
        <v/>
      </c>
      <c r="Q479" s="90">
        <f>IF(AND(O479&lt;&gt;"",L479&lt;&gt;""),IF(A479&lt;&gt;A480,((L479*24*60) / 2 ) * (1 + POWER(((O479*24*60) / (L479*24*60)),2)),""),"")</f>
        <v/>
      </c>
      <c r="R479" s="90">
        <f>IF(Q479&lt;&gt;"",MAX(P479,Q479),"")</f>
        <v/>
      </c>
      <c r="S479" s="89">
        <f>IF(I479&lt;&gt;"H. Sale Real",IF(AND(I480&lt;&gt;"",LEFT(C480,2)&lt;&gt;"Va"),IF(AND(I479&lt;&gt;"",LEFT(C479,2)&lt;&gt;"Va",I479&lt;&gt;"H. Sale Real"),IF(I480-I479&lt;0.208333333333333,I480-I479,""),IF(AND(I478&lt;&gt;"",LEFT(C478,2)&lt;&gt;"Va",I478&lt;&gt;"H. Sale Real"),IF(I480-I478&lt;0.208333333333333,I480-I478,""),IF(AND(I477&lt;&gt;"",LEFT(C477,2)&lt;&gt;"Va",I477&lt;&gt;"H. Sale Real"),IF(I480-I477&lt;0.208333333333333,I480-I477,""),IF(AND(I476&lt;&gt;"",LEFT(C476,2)&lt;&gt;"Va",I476&lt;&gt;"H. Sale Real"),IF(I480-I476&lt;0.208333333333333,I480-I476,""),IF(AND(I475&lt;&gt;"",LEFT(C475,2)&lt;&gt;"Va",I475&lt;&gt;"H. Sale Real"),IF(I480-I475&lt;0.208333333333333,I480-I475,""),""))))),""),"")</f>
        <v/>
      </c>
      <c r="T479" s="89">
        <f>IF(G479&lt;&gt;"H. Sale Real",IF(AND(G480&lt;&gt;"",LEFT(C480,2)&lt;&gt;"Va"),IF(AND(G479&lt;&gt;"",LEFT(C479,2)&lt;&gt;"Va",G479&lt;&gt;"H. Sale Real"),IF(G480-G479&lt;0.208333333333333,G480-G479,""),IF(AND(G478&lt;&gt;"",LEFT(C478,2)&lt;&gt;"Va",G478&lt;&gt;"H. Sale Real"),IF(G480-G478&lt;0.208333333333333,G480-G478,""),IF(AND(G477&lt;&gt;"",LEFT(C477,2)&lt;&gt;"Va",G477&lt;&gt;"H. Sale Real"),IF(G480-G477&lt;0.208333333333333,G480-G477,""),IF(AND(G476&lt;&gt;"",LEFT(C476,2)&lt;&gt;"Va",G476&lt;&gt;"H. Sale Real"),IF(G480-G476&lt;0.208333333333333,G480-G476,""),IF(AND(G475&lt;&gt;"",LEFT(C475,2)&lt;&gt;"Va",G475&lt;&gt;"H. Sale Real"),IF(G480-G475&lt;0.208333333333333,G480-G475,""),""))))),""),"")</f>
        <v/>
      </c>
      <c r="U479" s="87" t="n"/>
      <c r="V479" s="89" t="n"/>
      <c r="W479" s="87" t="n"/>
      <c r="X479" s="89" t="n"/>
      <c r="Y479" s="91" t="n"/>
      <c r="Z479" s="122">
        <f>IF(G479&lt;&gt;"",IF(AND(Z478&lt;&gt;"IE",P479&lt;&gt;0,R479&lt;&gt;""),IF(IFERROR((P479/R479),0) &lt;=1,IFERROR(P479/R479,""),1),""),"")</f>
        <v/>
      </c>
      <c r="AA479" s="93" t="n"/>
      <c r="AB479" s="2" t="n"/>
      <c r="AE479" s="10">
        <f>HOUR(AK479)+1</f>
        <v/>
      </c>
      <c r="AF479" s="7" t="n"/>
      <c r="AG479" s="7" t="n"/>
      <c r="AH479" s="86" t="n"/>
      <c r="AI479" s="8" t="n"/>
      <c r="AJ479" s="86" t="n"/>
      <c r="AK479" s="87" t="n"/>
      <c r="AL479" s="88">
        <f>IF(AM479="","",IF(AND((AM479-AK479)&gt;=TIME(0,0,0),(AM479-AK479)&lt;TIME(0,3,0)),"OK",IF(AND((AM479-AK479)&gt;=TIME(0,3,0),(AM479-AK479)&lt;TIME(0,5,0)),"RETRASO DE 3-5 MIN",IF(AND((AM479-AK479)&gt;=TIME(0,5,0),(AM479-AK479)&lt;TIME(0,10,0)),"RETRASO DE 5-10 MIN",IF((AM479-AK479)&gt;=TIME(0,10,0),"RETRASO &gt;10 MIN", IF(AND((AK479-AM479)&gt;=TIME(0,0,0),(AK479-AM479)&lt;TIME(0,3,0)),"OK",IF((AK479-AM479)&gt;=TIME(0,3,0),"ADELANTADO")))))))</f>
        <v/>
      </c>
      <c r="AM479" s="91" t="n"/>
      <c r="AN479" s="89">
        <f>IF(AE479&lt;&gt;"",HLOOKUP(VALUE(TEXT(AK479,"h:mm:ss")),IF($C$6="Laboral",$FZ$4:$GX$227,IF($C$6="Sábado",$FZ$231:$GX$452,$FZ$456:$GX$656)),VLOOKUP($C$4,$HF$2:$HH$99,3,0)+IF(AG$5="Ida",0,1),1),"")</f>
        <v/>
      </c>
      <c r="AO479" s="89">
        <f>IF(AE480&lt;&gt;AE479,AVERAGEIF(AE$9:AE479,AE479,AN$9:AN479),"")</f>
        <v/>
      </c>
      <c r="AP479" s="89">
        <f>IFERROR(IF(AE480&lt;&gt;AE479,AVERAGEIF(AE$9:AE479,AE479,AW$9:AW479),""),"")</f>
        <v/>
      </c>
      <c r="AQ479" s="89">
        <f>IFERROR(IF(AE480&lt;&gt;AE479,AVERAGEIF(AE$9:AE479,AE479,AX$9:AX479),""),"")</f>
        <v/>
      </c>
      <c r="AR479" s="89">
        <f t="array" ref="AR479">IFERROR(IF(AE480&lt;&gt;AE479,_xlfn.STDEV.P(IF(AE$9:AE479=AE479,AX$9:AX479)),""),"")</f>
        <v/>
      </c>
      <c r="AS479" s="89">
        <f t="array" ref="AS479">IFERROR(IF(AE480&lt;&gt;AE479,_xlfn.STDEV.P(IF(AE$9:AE479=AE479,AW$9:AW479)),""),"")</f>
        <v/>
      </c>
      <c r="AT479" s="90">
        <f>IFERROR(IF(AE479&lt;&gt;AE480,MAX((((AQ479*24*60)/2)*(1+POWER((((AR479*24*60) / (AQ479*24*60) )),2))) + ((AQ479*24*60 )*-0.1 + (AO479*0.015)) +1,(((AQ479*24*60)/2)*(1+POWER((((AR479*24*60) / (AQ479*24*60 ))),2)))),""),"")</f>
        <v/>
      </c>
      <c r="AU479" s="90">
        <f>IF(AND(AS479&lt;&gt;"",AP479&lt;&gt;""),IF(AE479&lt;&gt;AE480,((AP479*24*60) / 2 ) * (1 + POWER(((AS479*24*60) / (AP479*24*60)),2)),""),"")</f>
        <v/>
      </c>
      <c r="AV479" s="90">
        <f>IF(AU479&lt;&gt;"",MAX(AT479,AU479),"")</f>
        <v/>
      </c>
      <c r="AW479" s="89">
        <f>IF(AM479&lt;&gt;"H. Sale Real",IF(AND(AM480&lt;&gt;"",LEFT(AG480,2)&lt;&gt;"Va"),IF(AND(AM479&lt;&gt;"",LEFT(AG479,2)&lt;&gt;"Va",AM479&lt;&gt;"H. Sale Real"),IF(AM480-AM479&lt;0.208333333333333,AM480-AM479,""),IF(AND(AM478&lt;&gt;"",LEFT(AG478,2)&lt;&gt;"Va",AM478&lt;&gt;"H. Sale Real"),IF(AM480-AM478&lt;0.208333333333333,AM480-AM478,""),IF(AND(AM477&lt;&gt;"",LEFT(AG477,2)&lt;&gt;"Va",AM477&lt;&gt;"H. Sale Real"),IF(AM480-AM477&lt;0.208333333333333,AM480-AM477,""),IF(AND(AM476&lt;&gt;"",LEFT(AG476,2)&lt;&gt;"Va",AM476&lt;&gt;"H. Sale Real"),IF(AM480-AM476&lt;0.208333333333333,AM480-AM476,""),IF(AND(AM475&lt;&gt;"",LEFT(AG475,2)&lt;&gt;"Va",AM475&lt;&gt;"H. Sale Real"),IF(AM480-AM475&lt;0.208333333333333,AM480-AM475,""),""))))),""),"")</f>
        <v/>
      </c>
      <c r="AX479" s="89">
        <f>IF(AK479&lt;&gt;"H. Sale Real",IF(AND(AK480&lt;&gt;"",LEFT(AG480,2)&lt;&gt;"Va"),IF(AND(AK479&lt;&gt;"",LEFT(AG479,2)&lt;&gt;"Va",AK479&lt;&gt;"H. Sale Real"),IF(AK480-AK479&lt;0.208333333333333,AK480-AK479,""),IF(AND(AK478&lt;&gt;"",LEFT(AG478,2)&lt;&gt;"Va",AK478&lt;&gt;"H. Sale Real"),IF(AK480-AK478&lt;0.208333333333333,AK480-AK478,""),IF(AND(AK477&lt;&gt;"",LEFT(AG477,2)&lt;&gt;"NC",AK477&lt;&gt;"H. Sale Real"),IF(AK480-AK477&lt;0.208333333333333,AK480-AK477,""),IF(AND(AK476&lt;&gt;"",LEFT(AG476,2)&lt;&gt;"Va",AK476&lt;&gt;"H. Sale Real"),IF(AK480-AK476&lt;0.208333333333333,AK480-AK476,""),IF(AND(AK475&lt;&gt;"",LEFT(AG475,2)&lt;&gt;"Va",AK475&lt;&gt;"H. Sale Real"),IF(AK480-AK475&lt;0.208333333333333,AK480-AK475,""),""))))),""),"")</f>
        <v/>
      </c>
      <c r="AY479" s="87" t="n"/>
      <c r="AZ479" s="89" t="n"/>
      <c r="BA479" s="87" t="n"/>
      <c r="BB479" s="89" t="n"/>
      <c r="BC479" s="91" t="n"/>
      <c r="BD479" s="122">
        <f>IF(AK479&lt;&gt;"",IF(AND(BD478&lt;&gt;"IE",AT479&lt;&gt;0,AV479&lt;&gt;""),IF(IFERROR((AT479/AV479),0) &lt;=1,IFERROR(AT479/AV479,""),1),""),"")</f>
        <v/>
      </c>
      <c r="BE479" s="93" t="n"/>
      <c r="BF479" s="105" t="n"/>
      <c r="FC479" t="inlineStr">
        <is>
          <t>Diccionario 1</t>
        </is>
      </c>
      <c r="FD479" s="15" t="inlineStr"/>
      <c r="FE479" s="17" t="inlineStr">
        <is>
          <t>LDYECS312S0044328</t>
        </is>
      </c>
      <c r="FF479" s="18" t="inlineStr">
        <is>
          <t>MDN35025030204</t>
        </is>
      </c>
      <c r="FG479" s="18" t="inlineStr">
        <is>
          <t>Zhong Thong</t>
        </is>
      </c>
      <c r="FH479" s="18" t="inlineStr">
        <is>
          <t>Lck6122evg</t>
        </is>
      </c>
      <c r="FI479" s="18" t="inlineStr">
        <is>
          <t>Zhong Thong</t>
        </is>
      </c>
      <c r="FJ479" s="18" t="inlineStr">
        <is>
          <t>Lck6122evg</t>
        </is>
      </c>
      <c r="FK479" s="18" t="n">
        <v>2026</v>
      </c>
      <c r="FL479" s="18" t="inlineStr">
        <is>
          <t>B</t>
        </is>
      </c>
      <c r="FM479" s="18" t="inlineStr">
        <is>
          <t>Recoleta</t>
        </is>
      </c>
      <c r="FP479" t="inlineStr">
        <is>
          <t>B</t>
        </is>
      </c>
      <c r="FS479" s="14" t="inlineStr">
        <is>
          <t>LZPW-15</t>
        </is>
      </c>
      <c r="FT479" t="inlineStr">
        <is>
          <t>LZPW-15</t>
        </is>
      </c>
      <c r="FU479" t="inlineStr">
        <is>
          <t>LZPW-15</t>
        </is>
      </c>
      <c r="FV479">
        <f>VLOOKUP(FU479,FD:FL,9,0)</f>
        <v/>
      </c>
      <c r="FZ479" s="51" t="n">
        <v>722</v>
      </c>
      <c r="GA479" s="43" t="n">
        <v>30.695</v>
      </c>
      <c r="GB479" s="43" t="n">
        <v>15.67</v>
      </c>
      <c r="GC479" s="43" t="n">
        <v>0</v>
      </c>
      <c r="GD479" s="43" t="n">
        <v>0</v>
      </c>
      <c r="GE479" s="43" t="n">
        <v>0</v>
      </c>
      <c r="GF479" s="43" t="n">
        <v>16.985</v>
      </c>
      <c r="GG479" s="43" t="n">
        <v>32.29</v>
      </c>
      <c r="GH479" s="43" t="n">
        <v>29.97</v>
      </c>
      <c r="GI479" s="43" t="n">
        <v>28.735</v>
      </c>
      <c r="GJ479" s="43" t="n">
        <v>27.785</v>
      </c>
      <c r="GK479" s="43" t="n">
        <v>26.505</v>
      </c>
      <c r="GL479" s="43" t="n">
        <v>25.545</v>
      </c>
      <c r="GM479" s="43" t="n">
        <v>24.535</v>
      </c>
      <c r="GN479" s="43" t="n">
        <v>23.85</v>
      </c>
      <c r="GO479" s="43" t="n">
        <v>24.78</v>
      </c>
      <c r="GP479" s="43" t="n">
        <v>25.275</v>
      </c>
      <c r="GQ479" s="43" t="n">
        <v>24.915</v>
      </c>
      <c r="GR479" s="43" t="n">
        <v>23.8</v>
      </c>
      <c r="GS479" s="43" t="n">
        <v>23.605</v>
      </c>
      <c r="GT479" s="43" t="n">
        <v>23.995</v>
      </c>
      <c r="GU479" s="43" t="n">
        <v>25.09</v>
      </c>
      <c r="GV479" s="43" t="n">
        <v>26.875</v>
      </c>
      <c r="GW479" s="43" t="n">
        <v>29.805</v>
      </c>
      <c r="GX479" s="43" t="n">
        <v>31.14</v>
      </c>
      <c r="HA479" s="35" t="n">
        <v>24</v>
      </c>
      <c r="HB479" s="35" t="n">
        <v>473</v>
      </c>
    </row>
    <row r="480" ht="15.5" customHeight="1">
      <c r="A480" s="10">
        <f>HOUR(G480)+1</f>
        <v/>
      </c>
      <c r="B480" s="7" t="n"/>
      <c r="C480" s="7" t="n"/>
      <c r="D480" s="85">
        <f>IFERROR(
IF(AND(OR(Planilla!B480="C",Planilla!B480="c"), VLOOKUP(E480,FD:FP,13,0)="C"), "OK",IF(AND(OR(Planilla!B480="C",Planilla!B480="c"), OR(VLOOKUP(E480,FD:FP,13,0)="B", VLOOKUP(E480,FD:FP,13,0)="A")), "DEFICIT",IF(
AND(OR(Planilla!B480="B", Planilla!B480="BPAL"), VLOOKUP(E480,FD:FP,13,0)="B"), "OK",IF(AND(OR(Planilla!B480="B", Planilla!B480="BPAL"), VLOOKUP(E480,FD:FP,13,0)="A"), "DEFICIT",IF(AND(OR(Planilla!B480="B", Planilla!B480="BPAL"), VLOOKUP(E480,FD:FP,13,0)="C"), "SOBREOFERTA",IF(AND(Planilla!B480="A", VLOOKUP(E480,FD:FP,13,0)="A"), "OK",IF(
AND(Planilla!B480="A", OR(VLOOKUP(E480,FD:FP,13,0)="B", VLOOKUP(E480,FD:FP,13,0)="C")), "SOBREOFERTA",""
))))))),"")</f>
        <v/>
      </c>
      <c r="E480" s="8" t="n"/>
      <c r="F480" s="86" t="n"/>
      <c r="G480" s="87" t="n"/>
      <c r="H480" s="88">
        <f>IF(I480="","",IF(AND((I480-G480)&gt;=TIME(0,0,0),(I480-G480)&lt;TIME(0,3,0)),"OK",IF(AND((I480-G480)&gt;=TIME(0,3,0),(I480-G480)&lt;TIME(0,5,0)),"RETRASO DE 3-5 MIN",IF(AND((I480-G480)&gt;=TIME(0,5,0),(I480-G480)&lt;TIME(0,10,0)),"RETRASO DE 5-10 MIN",IF((I480-G480)&gt;=TIME(0,10,0),"RETRASO &gt;10 MIN", IF(AND((G480-I480)&gt;=TIME(0,0,0),(G480-I480)&lt;TIME(0,3,0)),"OK",IF((G480-I480)&gt;=TIME(0,3,0),"ADELANTADO")))))))</f>
        <v/>
      </c>
      <c r="I480" s="89" t="n"/>
      <c r="J480" s="89">
        <f>IF(A480&lt;&gt;"",HLOOKUP(VALUE(TEXT(G480,"h:mm:ss")),IF($C$6="Laboral",$FZ$4:$GX$227,IF($C$6="Sábado",$FZ$231:$GX$452,$FZ$456:$GX$656)),VLOOKUP($C$4,$HF$2:$HH$99,3,0)+IF(C$5="Ida",0,1),1),"")</f>
        <v/>
      </c>
      <c r="K480" s="89">
        <f>IF(A481&lt;&gt;A480,AVERAGEIF(A$9:A480,A480,J$9:J480),"")</f>
        <v/>
      </c>
      <c r="L480" s="89">
        <f>IFERROR(IF(A481&lt;&gt;A480,AVERAGEIF(A$9:A480,A480,S$9:S480),""),"")</f>
        <v/>
      </c>
      <c r="M480" s="89">
        <f>IFERROR(IF(A481&lt;&gt;A480,AVERAGEIF(A$9:A480,A480,T$9:T480),""),"")</f>
        <v/>
      </c>
      <c r="N480" s="89">
        <f t="array" ref="N480">IFERROR(IF(A481&lt;&gt;A480,_xlfn.STDEV.P(IF(A$9:A480=A480,T$9:T480)),""),"")</f>
        <v/>
      </c>
      <c r="O480" s="89">
        <f t="array" ref="O480">IFERROR(IF(A481&lt;&gt;A480,_xlfn.STDEV.P(IF(A$9:A480=A480,S$9:S480)),""),"")</f>
        <v/>
      </c>
      <c r="P480" s="90">
        <f>IFERROR(IF(A480&lt;&gt;A481,MAX((((M480*24*60)/2)*(1+POWER((((N480*24*60) / (M480*24*60) )),2))) + ((M480*24*60 )*-0.1 + (K480*0.015)) +1,(((M480*24*60)/2)*(1+POWER((((N480*24*60) / (M480*24*60 ))),2)))),""),"")</f>
        <v/>
      </c>
      <c r="Q480" s="90">
        <f>IF(AND(O480&lt;&gt;"",L480&lt;&gt;""),IF(A480&lt;&gt;A481,((L480*24*60) / 2 ) * (1 + POWER(((O480*24*60) / (L480*24*60)),2)),""),"")</f>
        <v/>
      </c>
      <c r="R480" s="90">
        <f>IF(Q480&lt;&gt;"",MAX(P480,Q480),"")</f>
        <v/>
      </c>
      <c r="S480" s="89">
        <f>IF(I480&lt;&gt;"H. Sale Real",IF(AND(I481&lt;&gt;"",LEFT(C481,2)&lt;&gt;"Va"),IF(AND(I480&lt;&gt;"",LEFT(C480,2)&lt;&gt;"Va",I480&lt;&gt;"H. Sale Real"),IF(I481-I480&lt;0.208333333333333,I481-I480,""),IF(AND(I479&lt;&gt;"",LEFT(C479,2)&lt;&gt;"Va",I479&lt;&gt;"H. Sale Real"),IF(I481-I479&lt;0.208333333333333,I481-I479,""),IF(AND(I478&lt;&gt;"",LEFT(C478,2)&lt;&gt;"Va",I478&lt;&gt;"H. Sale Real"),IF(I481-I478&lt;0.208333333333333,I481-I478,""),IF(AND(I477&lt;&gt;"",LEFT(C477,2)&lt;&gt;"Va",I477&lt;&gt;"H. Sale Real"),IF(I481-I477&lt;0.208333333333333,I481-I477,""),IF(AND(I476&lt;&gt;"",LEFT(C476,2)&lt;&gt;"Va",I476&lt;&gt;"H. Sale Real"),IF(I481-I476&lt;0.208333333333333,I481-I476,""),""))))),""),"")</f>
        <v/>
      </c>
      <c r="T480" s="89">
        <f>IF(G480&lt;&gt;"H. Sale Real",IF(AND(G481&lt;&gt;"",LEFT(C481,2)&lt;&gt;"Va"),IF(AND(G480&lt;&gt;"",LEFT(C480,2)&lt;&gt;"Va",G480&lt;&gt;"H. Sale Real"),IF(G481-G480&lt;0.208333333333333,G481-G480,""),IF(AND(G479&lt;&gt;"",LEFT(C479,2)&lt;&gt;"Va",G479&lt;&gt;"H. Sale Real"),IF(G481-G479&lt;0.208333333333333,G481-G479,""),IF(AND(G478&lt;&gt;"",LEFT(C478,2)&lt;&gt;"Va",G478&lt;&gt;"H. Sale Real"),IF(G481-G478&lt;0.208333333333333,G481-G478,""),IF(AND(G477&lt;&gt;"",LEFT(C477,2)&lt;&gt;"Va",G477&lt;&gt;"H. Sale Real"),IF(G481-G477&lt;0.208333333333333,G481-G477,""),IF(AND(G476&lt;&gt;"",LEFT(C476,2)&lt;&gt;"Va",G476&lt;&gt;"H. Sale Real"),IF(G481-G476&lt;0.208333333333333,G481-G476,""),""))))),""),"")</f>
        <v/>
      </c>
      <c r="U480" s="87" t="n"/>
      <c r="V480" s="89" t="n"/>
      <c r="W480" s="87" t="n"/>
      <c r="X480" s="89" t="n"/>
      <c r="Y480" s="91" t="n"/>
      <c r="Z480" s="122">
        <f>IF(G480&lt;&gt;"",IF(AND(Z479&lt;&gt;"IE",P480&lt;&gt;0,R480&lt;&gt;""),IF(IFERROR((P480/R480),0) &lt;=1,IFERROR(P480/R480,""),1),""),"")</f>
        <v/>
      </c>
      <c r="AA480" s="93" t="n"/>
      <c r="AB480" s="2" t="n"/>
      <c r="AE480" s="10">
        <f>HOUR(AK480)+1</f>
        <v/>
      </c>
      <c r="AF480" s="7" t="n"/>
      <c r="AG480" s="7" t="n"/>
      <c r="AH480" s="86" t="n"/>
      <c r="AI480" s="8" t="n"/>
      <c r="AJ480" s="86" t="n"/>
      <c r="AK480" s="87" t="n"/>
      <c r="AL480" s="88">
        <f>IF(AM480="","",IF(AND((AM480-AK480)&gt;=TIME(0,0,0),(AM480-AK480)&lt;TIME(0,3,0)),"OK",IF(AND((AM480-AK480)&gt;=TIME(0,3,0),(AM480-AK480)&lt;TIME(0,5,0)),"RETRASO DE 3-5 MIN",IF(AND((AM480-AK480)&gt;=TIME(0,5,0),(AM480-AK480)&lt;TIME(0,10,0)),"RETRASO DE 5-10 MIN",IF((AM480-AK480)&gt;=TIME(0,10,0),"RETRASO &gt;10 MIN", IF(AND((AK480-AM480)&gt;=TIME(0,0,0),(AK480-AM480)&lt;TIME(0,3,0)),"OK",IF((AK480-AM480)&gt;=TIME(0,3,0),"ADELANTADO")))))))</f>
        <v/>
      </c>
      <c r="AM480" s="91" t="n"/>
      <c r="AN480" s="89">
        <f>IF(AE480&lt;&gt;"",HLOOKUP(VALUE(TEXT(AK480,"h:mm:ss")),IF($C$6="Laboral",$FZ$4:$GX$227,IF($C$6="Sábado",$FZ$231:$GX$452,$FZ$456:$GX$656)),VLOOKUP($C$4,$HF$2:$HH$99,3,0)+IF(AG$5="Ida",0,1),1),"")</f>
        <v/>
      </c>
      <c r="AO480" s="89">
        <f>IF(AE481&lt;&gt;AE480,AVERAGEIF(AE$9:AE480,AE480,AN$9:AN480),"")</f>
        <v/>
      </c>
      <c r="AP480" s="89">
        <f>IFERROR(IF(AE481&lt;&gt;AE480,AVERAGEIF(AE$9:AE480,AE480,AW$9:AW480),""),"")</f>
        <v/>
      </c>
      <c r="AQ480" s="89">
        <f>IFERROR(IF(AE481&lt;&gt;AE480,AVERAGEIF(AE$9:AE480,AE480,AX$9:AX480),""),"")</f>
        <v/>
      </c>
      <c r="AR480" s="89">
        <f t="array" ref="AR480">IFERROR(IF(AE481&lt;&gt;AE480,_xlfn.STDEV.P(IF(AE$9:AE480=AE480,AX$9:AX480)),""),"")</f>
        <v/>
      </c>
      <c r="AS480" s="89">
        <f t="array" ref="AS480">IFERROR(IF(AE481&lt;&gt;AE480,_xlfn.STDEV.P(IF(AE$9:AE480=AE480,AW$9:AW480)),""),"")</f>
        <v/>
      </c>
      <c r="AT480" s="90">
        <f>IFERROR(IF(AE480&lt;&gt;AE481,MAX((((AQ480*24*60)/2)*(1+POWER((((AR480*24*60) / (AQ480*24*60) )),2))) + ((AQ480*24*60 )*-0.1 + (AO480*0.015)) +1,(((AQ480*24*60)/2)*(1+POWER((((AR480*24*60) / (AQ480*24*60 ))),2)))),""),"")</f>
        <v/>
      </c>
      <c r="AU480" s="90">
        <f>IF(AND(AS480&lt;&gt;"",AP480&lt;&gt;""),IF(AE480&lt;&gt;AE481,((AP480*24*60) / 2 ) * (1 + POWER(((AS480*24*60) / (AP480*24*60)),2)),""),"")</f>
        <v/>
      </c>
      <c r="AV480" s="90">
        <f>IF(AU480&lt;&gt;"",MAX(AT480,AU480),"")</f>
        <v/>
      </c>
      <c r="AW480" s="89">
        <f>IF(AM480&lt;&gt;"H. Sale Real",IF(AND(AM481&lt;&gt;"",LEFT(AG481,2)&lt;&gt;"Va"),IF(AND(AM480&lt;&gt;"",LEFT(AG480,2)&lt;&gt;"Va",AM480&lt;&gt;"H. Sale Real"),IF(AM481-AM480&lt;0.208333333333333,AM481-AM480,""),IF(AND(AM479&lt;&gt;"",LEFT(AG479,2)&lt;&gt;"Va",AM479&lt;&gt;"H. Sale Real"),IF(AM481-AM479&lt;0.208333333333333,AM481-AM479,""),IF(AND(AM478&lt;&gt;"",LEFT(AG478,2)&lt;&gt;"Va",AM478&lt;&gt;"H. Sale Real"),IF(AM481-AM478&lt;0.208333333333333,AM481-AM478,""),IF(AND(AM477&lt;&gt;"",LEFT(AG477,2)&lt;&gt;"Va",AM477&lt;&gt;"H. Sale Real"),IF(AM481-AM477&lt;0.208333333333333,AM481-AM477,""),IF(AND(AM476&lt;&gt;"",LEFT(AG476,2)&lt;&gt;"Va",AM476&lt;&gt;"H. Sale Real"),IF(AM481-AM476&lt;0.208333333333333,AM481-AM476,""),""))))),""),"")</f>
        <v/>
      </c>
      <c r="AX480" s="89">
        <f>IF(AK480&lt;&gt;"H. Sale Real",IF(AND(AK481&lt;&gt;"",LEFT(AG481,2)&lt;&gt;"Va"),IF(AND(AK480&lt;&gt;"",LEFT(AG480,2)&lt;&gt;"Va",AK480&lt;&gt;"H. Sale Real"),IF(AK481-AK480&lt;0.208333333333333,AK481-AK480,""),IF(AND(AK479&lt;&gt;"",LEFT(AG479,2)&lt;&gt;"Va",AK479&lt;&gt;"H. Sale Real"),IF(AK481-AK479&lt;0.208333333333333,AK481-AK479,""),IF(AND(AK478&lt;&gt;"",LEFT(AG478,2)&lt;&gt;"NC",AK478&lt;&gt;"H. Sale Real"),IF(AK481-AK478&lt;0.208333333333333,AK481-AK478,""),IF(AND(AK477&lt;&gt;"",LEFT(AG477,2)&lt;&gt;"Va",AK477&lt;&gt;"H. Sale Real"),IF(AK481-AK477&lt;0.208333333333333,AK481-AK477,""),IF(AND(AK476&lt;&gt;"",LEFT(AG476,2)&lt;&gt;"Va",AK476&lt;&gt;"H. Sale Real"),IF(AK481-AK476&lt;0.208333333333333,AK481-AK476,""),""))))),""),"")</f>
        <v/>
      </c>
      <c r="AY480" s="87" t="n"/>
      <c r="AZ480" s="89" t="n"/>
      <c r="BA480" s="87" t="n"/>
      <c r="BB480" s="89" t="n"/>
      <c r="BC480" s="91" t="n"/>
      <c r="BD480" s="122">
        <f>IF(AK480&lt;&gt;"",IF(AND(BD479&lt;&gt;"IE",AT480&lt;&gt;0,AV480&lt;&gt;""),IF(IFERROR((AT480/AV480),0) &lt;=1,IFERROR(AT480/AV480,""),1),""),"")</f>
        <v/>
      </c>
      <c r="BE480" s="93" t="n"/>
      <c r="BF480" s="105" t="n"/>
      <c r="FC480" t="inlineStr">
        <is>
          <t>Diccionario 1</t>
        </is>
      </c>
      <c r="FD480" s="15" t="inlineStr"/>
      <c r="FE480" s="17" t="inlineStr">
        <is>
          <t>LDYECS310S0044389</t>
        </is>
      </c>
      <c r="FF480" s="18" t="inlineStr">
        <is>
          <t>MDN35025010119</t>
        </is>
      </c>
      <c r="FG480" s="18" t="inlineStr">
        <is>
          <t>Zhong Thong</t>
        </is>
      </c>
      <c r="FH480" s="18" t="inlineStr">
        <is>
          <t>Lck6122evg</t>
        </is>
      </c>
      <c r="FI480" s="18" t="inlineStr">
        <is>
          <t>Zhong Thong</t>
        </is>
      </c>
      <c r="FJ480" s="18" t="inlineStr">
        <is>
          <t>Lck6122evg</t>
        </is>
      </c>
      <c r="FK480" s="18" t="n">
        <v>2026</v>
      </c>
      <c r="FL480" s="18" t="inlineStr">
        <is>
          <t>B</t>
        </is>
      </c>
      <c r="FM480" s="18" t="inlineStr">
        <is>
          <t>Lo Blanco</t>
        </is>
      </c>
      <c r="FP480" t="inlineStr">
        <is>
          <t>B</t>
        </is>
      </c>
      <c r="FS480" s="14" t="inlineStr">
        <is>
          <t>LZPS-20</t>
        </is>
      </c>
      <c r="FT480" t="inlineStr">
        <is>
          <t>LZPS-20</t>
        </is>
      </c>
      <c r="FU480" t="inlineStr">
        <is>
          <t>LZPS-20</t>
        </is>
      </c>
      <c r="FV480">
        <f>VLOOKUP(FU480,FD:FL,9,0)</f>
        <v/>
      </c>
      <c r="FZ480" s="51" t="inlineStr">
        <is>
          <t>B24</t>
        </is>
      </c>
      <c r="GA480" s="43" t="n">
        <v>0</v>
      </c>
      <c r="GB480" s="43" t="n">
        <v>0</v>
      </c>
      <c r="GC480" s="43" t="n">
        <v>0</v>
      </c>
      <c r="GD480" s="43" t="n">
        <v>0</v>
      </c>
      <c r="GE480" s="43" t="n">
        <v>0</v>
      </c>
      <c r="GF480" s="43" t="n">
        <v>10.545</v>
      </c>
      <c r="GG480" s="43" t="n">
        <v>21.685</v>
      </c>
      <c r="GH480" s="43" t="n">
        <v>21.06</v>
      </c>
      <c r="GI480" s="43" t="n">
        <v>20.035</v>
      </c>
      <c r="GJ480" s="43" t="n">
        <v>19.185</v>
      </c>
      <c r="GK480" s="43" t="n">
        <v>17.75</v>
      </c>
      <c r="GL480" s="43" t="n">
        <v>16.94</v>
      </c>
      <c r="GM480" s="43" t="n">
        <v>16.595</v>
      </c>
      <c r="GN480" s="43" t="n">
        <v>16.69</v>
      </c>
      <c r="GO480" s="43" t="n">
        <v>17.095</v>
      </c>
      <c r="GP480" s="43" t="n">
        <v>17.33</v>
      </c>
      <c r="GQ480" s="43" t="n">
        <v>17.49</v>
      </c>
      <c r="GR480" s="43" t="n">
        <v>17.055</v>
      </c>
      <c r="GS480" s="43" t="n">
        <v>17.135</v>
      </c>
      <c r="GT480" s="43" t="n">
        <v>17.995</v>
      </c>
      <c r="GU480" s="43" t="n">
        <v>19.46</v>
      </c>
      <c r="GV480" s="43" t="n">
        <v>20.63</v>
      </c>
      <c r="GW480" s="43" t="n">
        <v>22.405</v>
      </c>
      <c r="GX480" s="43" t="n">
        <v>0</v>
      </c>
      <c r="HA480" s="35" t="n">
        <v>25</v>
      </c>
      <c r="HB480" s="35" t="n">
        <v>474</v>
      </c>
    </row>
    <row r="481" ht="15.5" customHeight="1">
      <c r="A481" s="10">
        <f>HOUR(G481)+1</f>
        <v/>
      </c>
      <c r="B481" s="7" t="n"/>
      <c r="C481" s="7" t="n"/>
      <c r="D481" s="85">
        <f>IFERROR(
IF(AND(OR(Planilla!B481="C",Planilla!B481="c"), VLOOKUP(E481,FD:FP,13,0)="C"), "OK",IF(AND(OR(Planilla!B481="C",Planilla!B481="c"), OR(VLOOKUP(E481,FD:FP,13,0)="B", VLOOKUP(E481,FD:FP,13,0)="A")), "DEFICIT",IF(
AND(OR(Planilla!B481="B", Planilla!B481="BPAL"), VLOOKUP(E481,FD:FP,13,0)="B"), "OK",IF(AND(OR(Planilla!B481="B", Planilla!B481="BPAL"), VLOOKUP(E481,FD:FP,13,0)="A"), "DEFICIT",IF(AND(OR(Planilla!B481="B", Planilla!B481="BPAL"), VLOOKUP(E481,FD:FP,13,0)="C"), "SOBREOFERTA",IF(AND(Planilla!B481="A", VLOOKUP(E481,FD:FP,13,0)="A"), "OK",IF(
AND(Planilla!B481="A", OR(VLOOKUP(E481,FD:FP,13,0)="B", VLOOKUP(E481,FD:FP,13,0)="C")), "SOBREOFERTA",""
))))))),"")</f>
        <v/>
      </c>
      <c r="E481" s="8" t="n"/>
      <c r="F481" s="86" t="n"/>
      <c r="G481" s="87" t="n"/>
      <c r="H481" s="88">
        <f>IF(I481="","",IF(AND((I481-G481)&gt;=TIME(0,0,0),(I481-G481)&lt;TIME(0,3,0)),"OK",IF(AND((I481-G481)&gt;=TIME(0,3,0),(I481-G481)&lt;TIME(0,5,0)),"RETRASO DE 3-5 MIN",IF(AND((I481-G481)&gt;=TIME(0,5,0),(I481-G481)&lt;TIME(0,10,0)),"RETRASO DE 5-10 MIN",IF((I481-G481)&gt;=TIME(0,10,0),"RETRASO &gt;10 MIN", IF(AND((G481-I481)&gt;=TIME(0,0,0),(G481-I481)&lt;TIME(0,3,0)),"OK",IF((G481-I481)&gt;=TIME(0,3,0),"ADELANTADO")))))))</f>
        <v/>
      </c>
      <c r="I481" s="89" t="n"/>
      <c r="J481" s="89">
        <f>IF(A481&lt;&gt;"",HLOOKUP(VALUE(TEXT(G481,"h:mm:ss")),IF($C$6="Laboral",$FZ$4:$GX$227,IF($C$6="Sábado",$FZ$231:$GX$452,$FZ$456:$GX$656)),VLOOKUP($C$4,$HF$2:$HH$99,3,0)+IF(C$5="Ida",0,1),1),"")</f>
        <v/>
      </c>
      <c r="K481" s="89">
        <f>IF(A482&lt;&gt;A481,AVERAGEIF(A$9:A481,A481,J$9:J481),"")</f>
        <v/>
      </c>
      <c r="L481" s="89">
        <f>IFERROR(IF(A482&lt;&gt;A481,AVERAGEIF(A$9:A481,A481,S$9:S481),""),"")</f>
        <v/>
      </c>
      <c r="M481" s="89">
        <f>IFERROR(IF(A482&lt;&gt;A481,AVERAGEIF(A$9:A481,A481,T$9:T481),""),"")</f>
        <v/>
      </c>
      <c r="N481" s="89">
        <f t="array" ref="N481">IFERROR(IF(A482&lt;&gt;A481,_xlfn.STDEV.P(IF(A$9:A481=A481,T$9:T481)),""),"")</f>
        <v/>
      </c>
      <c r="O481" s="89">
        <f t="array" ref="O481">IFERROR(IF(A482&lt;&gt;A481,_xlfn.STDEV.P(IF(A$9:A481=A481,S$9:S481)),""),"")</f>
        <v/>
      </c>
      <c r="P481" s="90">
        <f>IFERROR(IF(A481&lt;&gt;A482,MAX((((M481*24*60)/2)*(1+POWER((((N481*24*60) / (M481*24*60) )),2))) + ((M481*24*60 )*-0.1 + (K481*0.015)) +1,(((M481*24*60)/2)*(1+POWER((((N481*24*60) / (M481*24*60 ))),2)))),""),"")</f>
        <v/>
      </c>
      <c r="Q481" s="90">
        <f>IF(AND(O481&lt;&gt;"",L481&lt;&gt;""),IF(A481&lt;&gt;A482,((L481*24*60) / 2 ) * (1 + POWER(((O481*24*60) / (L481*24*60)),2)),""),"")</f>
        <v/>
      </c>
      <c r="R481" s="90">
        <f>IF(Q481&lt;&gt;"",MAX(P481,Q481),"")</f>
        <v/>
      </c>
      <c r="S481" s="89">
        <f>IF(I481&lt;&gt;"H. Sale Real",IF(AND(I482&lt;&gt;"",LEFT(C482,2)&lt;&gt;"Va"),IF(AND(I481&lt;&gt;"",LEFT(C481,2)&lt;&gt;"Va",I481&lt;&gt;"H. Sale Real"),IF(I482-I481&lt;0.208333333333333,I482-I481,""),IF(AND(I480&lt;&gt;"",LEFT(C480,2)&lt;&gt;"Va",I480&lt;&gt;"H. Sale Real"),IF(I482-I480&lt;0.208333333333333,I482-I480,""),IF(AND(I479&lt;&gt;"",LEFT(C479,2)&lt;&gt;"Va",I479&lt;&gt;"H. Sale Real"),IF(I482-I479&lt;0.208333333333333,I482-I479,""),IF(AND(I478&lt;&gt;"",LEFT(C478,2)&lt;&gt;"Va",I478&lt;&gt;"H. Sale Real"),IF(I482-I478&lt;0.208333333333333,I482-I478,""),IF(AND(I477&lt;&gt;"",LEFT(C477,2)&lt;&gt;"Va",I477&lt;&gt;"H. Sale Real"),IF(I482-I477&lt;0.208333333333333,I482-I477,""),""))))),""),"")</f>
        <v/>
      </c>
      <c r="T481" s="89">
        <f>IF(G481&lt;&gt;"H. Sale Real",IF(AND(G482&lt;&gt;"",LEFT(C482,2)&lt;&gt;"Va"),IF(AND(G481&lt;&gt;"",LEFT(C481,2)&lt;&gt;"Va",G481&lt;&gt;"H. Sale Real"),IF(G482-G481&lt;0.208333333333333,G482-G481,""),IF(AND(G480&lt;&gt;"",LEFT(C480,2)&lt;&gt;"Va",G480&lt;&gt;"H. Sale Real"),IF(G482-G480&lt;0.208333333333333,G482-G480,""),IF(AND(G479&lt;&gt;"",LEFT(C479,2)&lt;&gt;"Va",G479&lt;&gt;"H. Sale Real"),IF(G482-G479&lt;0.208333333333333,G482-G479,""),IF(AND(G478&lt;&gt;"",LEFT(C478,2)&lt;&gt;"Va",G478&lt;&gt;"H. Sale Real"),IF(G482-G478&lt;0.208333333333333,G482-G478,""),IF(AND(G477&lt;&gt;"",LEFT(C477,2)&lt;&gt;"Va",G477&lt;&gt;"H. Sale Real"),IF(G482-G477&lt;0.208333333333333,G482-G477,""),""))))),""),"")</f>
        <v/>
      </c>
      <c r="U481" s="87" t="n"/>
      <c r="V481" s="89" t="n"/>
      <c r="W481" s="87" t="n"/>
      <c r="X481" s="89" t="n"/>
      <c r="Y481" s="91" t="n"/>
      <c r="Z481" s="122">
        <f>IF(G481&lt;&gt;"",IF(AND(Z480&lt;&gt;"IE",P481&lt;&gt;0,R481&lt;&gt;""),IF(IFERROR((P481/R481),0) &lt;=1,IFERROR(P481/R481,""),1),""),"")</f>
        <v/>
      </c>
      <c r="AA481" s="93" t="n"/>
      <c r="AB481" s="2" t="n"/>
      <c r="AE481" s="10">
        <f>HOUR(AK481)+1</f>
        <v/>
      </c>
      <c r="AF481" s="7" t="n"/>
      <c r="AG481" s="7" t="n"/>
      <c r="AH481" s="86" t="n"/>
      <c r="AI481" s="8" t="n"/>
      <c r="AJ481" s="86" t="n"/>
      <c r="AK481" s="87" t="n"/>
      <c r="AL481" s="88">
        <f>IF(AM481="","",IF(AND((AM481-AK481)&gt;=TIME(0,0,0),(AM481-AK481)&lt;TIME(0,3,0)),"OK",IF(AND((AM481-AK481)&gt;=TIME(0,3,0),(AM481-AK481)&lt;TIME(0,5,0)),"RETRASO DE 3-5 MIN",IF(AND((AM481-AK481)&gt;=TIME(0,5,0),(AM481-AK481)&lt;TIME(0,10,0)),"RETRASO DE 5-10 MIN",IF((AM481-AK481)&gt;=TIME(0,10,0),"RETRASO &gt;10 MIN", IF(AND((AK481-AM481)&gt;=TIME(0,0,0),(AK481-AM481)&lt;TIME(0,3,0)),"OK",IF((AK481-AM481)&gt;=TIME(0,3,0),"ADELANTADO")))))))</f>
        <v/>
      </c>
      <c r="AM481" s="91" t="n"/>
      <c r="AN481" s="89">
        <f>IF(AE481&lt;&gt;"",HLOOKUP(VALUE(TEXT(AK481,"h:mm:ss")),IF($C$6="Laboral",$FZ$4:$GX$227,IF($C$6="Sábado",$FZ$231:$GX$452,$FZ$456:$GX$656)),VLOOKUP($C$4,$HF$2:$HH$99,3,0)+IF(AG$5="Ida",0,1),1),"")</f>
        <v/>
      </c>
      <c r="AO481" s="89">
        <f>IF(AE482&lt;&gt;AE481,AVERAGEIF(AE$9:AE481,AE481,AN$9:AN481),"")</f>
        <v/>
      </c>
      <c r="AP481" s="89">
        <f>IFERROR(IF(AE482&lt;&gt;AE481,AVERAGEIF(AE$9:AE481,AE481,AW$9:AW481),""),"")</f>
        <v/>
      </c>
      <c r="AQ481" s="89">
        <f>IFERROR(IF(AE482&lt;&gt;AE481,AVERAGEIF(AE$9:AE481,AE481,AX$9:AX481),""),"")</f>
        <v/>
      </c>
      <c r="AR481" s="89">
        <f t="array" ref="AR481">IFERROR(IF(AE482&lt;&gt;AE481,_xlfn.STDEV.P(IF(AE$9:AE481=AE481,AX$9:AX481)),""),"")</f>
        <v/>
      </c>
      <c r="AS481" s="89">
        <f t="array" ref="AS481">IFERROR(IF(AE482&lt;&gt;AE481,_xlfn.STDEV.P(IF(AE$9:AE481=AE481,AW$9:AW481)),""),"")</f>
        <v/>
      </c>
      <c r="AT481" s="90">
        <f>IFERROR(IF(AE481&lt;&gt;AE482,MAX((((AQ481*24*60)/2)*(1+POWER((((AR481*24*60) / (AQ481*24*60) )),2))) + ((AQ481*24*60 )*-0.1 + (AO481*0.015)) +1,(((AQ481*24*60)/2)*(1+POWER((((AR481*24*60) / (AQ481*24*60 ))),2)))),""),"")</f>
        <v/>
      </c>
      <c r="AU481" s="90">
        <f>IF(AND(AS481&lt;&gt;"",AP481&lt;&gt;""),IF(AE481&lt;&gt;AE482,((AP481*24*60) / 2 ) * (1 + POWER(((AS481*24*60) / (AP481*24*60)),2)),""),"")</f>
        <v/>
      </c>
      <c r="AV481" s="90">
        <f>IF(AU481&lt;&gt;"",MAX(AT481,AU481),"")</f>
        <v/>
      </c>
      <c r="AW481" s="89">
        <f>IF(AM481&lt;&gt;"H. Sale Real",IF(AND(AM482&lt;&gt;"",LEFT(AG482,2)&lt;&gt;"Va"),IF(AND(AM481&lt;&gt;"",LEFT(AG481,2)&lt;&gt;"Va",AM481&lt;&gt;"H. Sale Real"),IF(AM482-AM481&lt;0.208333333333333,AM482-AM481,""),IF(AND(AM480&lt;&gt;"",LEFT(AG480,2)&lt;&gt;"Va",AM480&lt;&gt;"H. Sale Real"),IF(AM482-AM480&lt;0.208333333333333,AM482-AM480,""),IF(AND(AM479&lt;&gt;"",LEFT(AG479,2)&lt;&gt;"Va",AM479&lt;&gt;"H. Sale Real"),IF(AM482-AM479&lt;0.208333333333333,AM482-AM479,""),IF(AND(AM478&lt;&gt;"",LEFT(AG478,2)&lt;&gt;"Va",AM478&lt;&gt;"H. Sale Real"),IF(AM482-AM478&lt;0.208333333333333,AM482-AM478,""),IF(AND(AM477&lt;&gt;"",LEFT(AG477,2)&lt;&gt;"Va",AM477&lt;&gt;"H. Sale Real"),IF(AM482-AM477&lt;0.208333333333333,AM482-AM477,""),""))))),""),"")</f>
        <v/>
      </c>
      <c r="AX481" s="89">
        <f>IF(AK481&lt;&gt;"H. Sale Real",IF(AND(AK482&lt;&gt;"",LEFT(AG482,2)&lt;&gt;"Va"),IF(AND(AK481&lt;&gt;"",LEFT(AG481,2)&lt;&gt;"Va",AK481&lt;&gt;"H. Sale Real"),IF(AK482-AK481&lt;0.208333333333333,AK482-AK481,""),IF(AND(AK480&lt;&gt;"",LEFT(AG480,2)&lt;&gt;"Va",AK480&lt;&gt;"H. Sale Real"),IF(AK482-AK480&lt;0.208333333333333,AK482-AK480,""),IF(AND(AK479&lt;&gt;"",LEFT(AG479,2)&lt;&gt;"NC",AK479&lt;&gt;"H. Sale Real"),IF(AK482-AK479&lt;0.208333333333333,AK482-AK479,""),IF(AND(AK478&lt;&gt;"",LEFT(AG478,2)&lt;&gt;"Va",AK478&lt;&gt;"H. Sale Real"),IF(AK482-AK478&lt;0.208333333333333,AK482-AK478,""),IF(AND(AK477&lt;&gt;"",LEFT(AG477,2)&lt;&gt;"Va",AK477&lt;&gt;"H. Sale Real"),IF(AK482-AK477&lt;0.208333333333333,AK482-AK477,""),""))))),""),"")</f>
        <v/>
      </c>
      <c r="AY481" s="87" t="n"/>
      <c r="AZ481" s="89" t="n"/>
      <c r="BA481" s="87" t="n"/>
      <c r="BB481" s="89" t="n"/>
      <c r="BC481" s="91" t="n"/>
      <c r="BD481" s="122">
        <f>IF(AK481&lt;&gt;"",IF(AND(BD480&lt;&gt;"IE",AT481&lt;&gt;0,AV481&lt;&gt;""),IF(IFERROR((AT481/AV481),0) &lt;=1,IFERROR(AT481/AV481,""),1),""),"")</f>
        <v/>
      </c>
      <c r="BE481" s="93" t="n"/>
      <c r="BF481" s="105" t="n"/>
      <c r="FC481" t="inlineStr">
        <is>
          <t>Diccionario 1</t>
        </is>
      </c>
      <c r="FD481" s="15" t="inlineStr"/>
      <c r="FE481" s="17" t="inlineStr">
        <is>
          <t>LDYECS31XS0044321</t>
        </is>
      </c>
      <c r="FF481" s="18" t="inlineStr">
        <is>
          <t>MDN35025010152</t>
        </is>
      </c>
      <c r="FG481" s="18" t="inlineStr">
        <is>
          <t>Zhong Thong</t>
        </is>
      </c>
      <c r="FH481" s="18" t="inlineStr">
        <is>
          <t>Lck6122evg</t>
        </is>
      </c>
      <c r="FI481" s="18" t="inlineStr">
        <is>
          <t>Zhong Thong</t>
        </is>
      </c>
      <c r="FJ481" s="18" t="inlineStr">
        <is>
          <t>Lck6122evg</t>
        </is>
      </c>
      <c r="FK481" s="18" t="n">
        <v>2026</v>
      </c>
      <c r="FL481" s="18" t="inlineStr">
        <is>
          <t>B</t>
        </is>
      </c>
      <c r="FM481" s="18" t="inlineStr">
        <is>
          <t>Lo Blanco</t>
        </is>
      </c>
      <c r="FP481" t="inlineStr">
        <is>
          <t>B</t>
        </is>
      </c>
      <c r="FS481" s="14" t="inlineStr">
        <is>
          <t>LZPT-43</t>
        </is>
      </c>
      <c r="FT481" t="inlineStr">
        <is>
          <t>LZPT-43</t>
        </is>
      </c>
      <c r="FU481" t="inlineStr">
        <is>
          <t>LZPT-43</t>
        </is>
      </c>
      <c r="FV481">
        <f>VLOOKUP(FU481,FD:FL,9,0)</f>
        <v/>
      </c>
      <c r="FZ481" s="51" t="inlineStr">
        <is>
          <t>B25</t>
        </is>
      </c>
      <c r="GA481" s="43" t="n">
        <v>0</v>
      </c>
      <c r="GB481" s="43" t="n">
        <v>0</v>
      </c>
      <c r="GC481" s="43" t="n">
        <v>0</v>
      </c>
      <c r="GD481" s="43" t="n">
        <v>0</v>
      </c>
      <c r="GE481" s="43" t="n">
        <v>0</v>
      </c>
      <c r="GF481" s="43" t="n">
        <v>27.55</v>
      </c>
      <c r="GG481" s="43" t="n">
        <v>25.62</v>
      </c>
      <c r="GH481" s="43" t="n">
        <v>24.27</v>
      </c>
      <c r="GI481" s="43" t="n">
        <v>22.855</v>
      </c>
      <c r="GJ481" s="43" t="n">
        <v>21.335</v>
      </c>
      <c r="GK481" s="43" t="n">
        <v>20.4</v>
      </c>
      <c r="GL481" s="43" t="n">
        <v>19.13</v>
      </c>
      <c r="GM481" s="43" t="n">
        <v>17.91</v>
      </c>
      <c r="GN481" s="43" t="n">
        <v>17.515</v>
      </c>
      <c r="GO481" s="43" t="n">
        <v>18.34</v>
      </c>
      <c r="GP481" s="43" t="n">
        <v>18.585</v>
      </c>
      <c r="GQ481" s="43" t="n">
        <v>18.575</v>
      </c>
      <c r="GR481" s="43" t="n">
        <v>18.285</v>
      </c>
      <c r="GS481" s="43" t="n">
        <v>17.86</v>
      </c>
      <c r="GT481" s="43" t="n">
        <v>18.37</v>
      </c>
      <c r="GU481" s="43" t="n">
        <v>19.645</v>
      </c>
      <c r="GV481" s="43" t="n">
        <v>20.935</v>
      </c>
      <c r="GW481" s="43" t="n">
        <v>22.095</v>
      </c>
      <c r="GX481" s="43" t="n">
        <v>23.055</v>
      </c>
      <c r="HA481" s="35" t="n">
        <v>26</v>
      </c>
      <c r="HB481" s="35" t="n">
        <v>475</v>
      </c>
    </row>
    <row r="482" ht="15.5" customHeight="1">
      <c r="A482" s="10">
        <f>HOUR(G482)+1</f>
        <v/>
      </c>
      <c r="B482" s="7" t="n"/>
      <c r="C482" s="7" t="n"/>
      <c r="D482" s="85">
        <f>IFERROR(
IF(AND(OR(Planilla!B482="C",Planilla!B482="c"), VLOOKUP(E482,FD:FP,13,0)="C"), "OK",IF(AND(OR(Planilla!B482="C",Planilla!B482="c"), OR(VLOOKUP(E482,FD:FP,13,0)="B", VLOOKUP(E482,FD:FP,13,0)="A")), "DEFICIT",IF(
AND(OR(Planilla!B482="B", Planilla!B482="BPAL"), VLOOKUP(E482,FD:FP,13,0)="B"), "OK",IF(AND(OR(Planilla!B482="B", Planilla!B482="BPAL"), VLOOKUP(E482,FD:FP,13,0)="A"), "DEFICIT",IF(AND(OR(Planilla!B482="B", Planilla!B482="BPAL"), VLOOKUP(E482,FD:FP,13,0)="C"), "SOBREOFERTA",IF(AND(Planilla!B482="A", VLOOKUP(E482,FD:FP,13,0)="A"), "OK",IF(
AND(Planilla!B482="A", OR(VLOOKUP(E482,FD:FP,13,0)="B", VLOOKUP(E482,FD:FP,13,0)="C")), "SOBREOFERTA",""
))))))),"")</f>
        <v/>
      </c>
      <c r="E482" s="8" t="n"/>
      <c r="F482" s="86" t="n"/>
      <c r="G482" s="87" t="n"/>
      <c r="H482" s="88">
        <f>IF(I482="","",IF(AND((I482-G482)&gt;=TIME(0,0,0),(I482-G482)&lt;TIME(0,3,0)),"OK",IF(AND((I482-G482)&gt;=TIME(0,3,0),(I482-G482)&lt;TIME(0,5,0)),"RETRASO DE 3-5 MIN",IF(AND((I482-G482)&gt;=TIME(0,5,0),(I482-G482)&lt;TIME(0,10,0)),"RETRASO DE 5-10 MIN",IF((I482-G482)&gt;=TIME(0,10,0),"RETRASO &gt;10 MIN", IF(AND((G482-I482)&gt;=TIME(0,0,0),(G482-I482)&lt;TIME(0,3,0)),"OK",IF((G482-I482)&gt;=TIME(0,3,0),"ADELANTADO")))))))</f>
        <v/>
      </c>
      <c r="I482" s="89" t="n"/>
      <c r="J482" s="89">
        <f>IF(A482&lt;&gt;"",HLOOKUP(VALUE(TEXT(G482,"h:mm:ss")),IF($C$6="Laboral",$FZ$4:$GX$227,IF($C$6="Sábado",$FZ$231:$GX$452,$FZ$456:$GX$656)),VLOOKUP($C$4,$HF$2:$HH$99,3,0)+IF(C$5="Ida",0,1),1),"")</f>
        <v/>
      </c>
      <c r="K482" s="89">
        <f>IF(A483&lt;&gt;A482,AVERAGEIF(A$9:A482,A482,J$9:J482),"")</f>
        <v/>
      </c>
      <c r="L482" s="89">
        <f>IFERROR(IF(A483&lt;&gt;A482,AVERAGEIF(A$9:A482,A482,S$9:S482),""),"")</f>
        <v/>
      </c>
      <c r="M482" s="89">
        <f>IFERROR(IF(A483&lt;&gt;A482,AVERAGEIF(A$9:A482,A482,T$9:T482),""),"")</f>
        <v/>
      </c>
      <c r="N482" s="89">
        <f t="array" ref="N482">IFERROR(IF(A483&lt;&gt;A482,_xlfn.STDEV.P(IF(A$9:A482=A482,T$9:T482)),""),"")</f>
        <v/>
      </c>
      <c r="O482" s="89">
        <f t="array" ref="O482">IFERROR(IF(A483&lt;&gt;A482,_xlfn.STDEV.P(IF(A$9:A482=A482,S$9:S482)),""),"")</f>
        <v/>
      </c>
      <c r="P482" s="90">
        <f>IFERROR(IF(A482&lt;&gt;A483,MAX((((M482*24*60)/2)*(1+POWER((((N482*24*60) / (M482*24*60) )),2))) + ((M482*24*60 )*-0.1 + (K482*0.015)) +1,(((M482*24*60)/2)*(1+POWER((((N482*24*60) / (M482*24*60 ))),2)))),""),"")</f>
        <v/>
      </c>
      <c r="Q482" s="90">
        <f>IF(AND(O482&lt;&gt;"",L482&lt;&gt;""),IF(A482&lt;&gt;A483,((L482*24*60) / 2 ) * (1 + POWER(((O482*24*60) / (L482*24*60)),2)),""),"")</f>
        <v/>
      </c>
      <c r="R482" s="90">
        <f>IF(Q482&lt;&gt;"",MAX(P482,Q482),"")</f>
        <v/>
      </c>
      <c r="S482" s="89">
        <f>IF(I482&lt;&gt;"H. Sale Real",IF(AND(I483&lt;&gt;"",LEFT(C483,2)&lt;&gt;"Va"),IF(AND(I482&lt;&gt;"",LEFT(C482,2)&lt;&gt;"Va",I482&lt;&gt;"H. Sale Real"),IF(I483-I482&lt;0.208333333333333,I483-I482,""),IF(AND(I481&lt;&gt;"",LEFT(C481,2)&lt;&gt;"Va",I481&lt;&gt;"H. Sale Real"),IF(I483-I481&lt;0.208333333333333,I483-I481,""),IF(AND(I480&lt;&gt;"",LEFT(C480,2)&lt;&gt;"Va",I480&lt;&gt;"H. Sale Real"),IF(I483-I480&lt;0.208333333333333,I483-I480,""),IF(AND(I479&lt;&gt;"",LEFT(C479,2)&lt;&gt;"Va",I479&lt;&gt;"H. Sale Real"),IF(I483-I479&lt;0.208333333333333,I483-I479,""),IF(AND(I478&lt;&gt;"",LEFT(C478,2)&lt;&gt;"Va",I478&lt;&gt;"H. Sale Real"),IF(I483-I478&lt;0.208333333333333,I483-I478,""),""))))),""),"")</f>
        <v/>
      </c>
      <c r="T482" s="89">
        <f>IF(G482&lt;&gt;"H. Sale Real",IF(AND(G483&lt;&gt;"",LEFT(C483,2)&lt;&gt;"Va"),IF(AND(G482&lt;&gt;"",LEFT(C482,2)&lt;&gt;"Va",G482&lt;&gt;"H. Sale Real"),IF(G483-G482&lt;0.208333333333333,G483-G482,""),IF(AND(G481&lt;&gt;"",LEFT(C481,2)&lt;&gt;"Va",G481&lt;&gt;"H. Sale Real"),IF(G483-G481&lt;0.208333333333333,G483-G481,""),IF(AND(G480&lt;&gt;"",LEFT(C480,2)&lt;&gt;"Va",G480&lt;&gt;"H. Sale Real"),IF(G483-G480&lt;0.208333333333333,G483-G480,""),IF(AND(G479&lt;&gt;"",LEFT(C479,2)&lt;&gt;"Va",G479&lt;&gt;"H. Sale Real"),IF(G483-G479&lt;0.208333333333333,G483-G479,""),IF(AND(G478&lt;&gt;"",LEFT(C478,2)&lt;&gt;"Va",G478&lt;&gt;"H. Sale Real"),IF(G483-G478&lt;0.208333333333333,G483-G478,""),""))))),""),"")</f>
        <v/>
      </c>
      <c r="U482" s="87" t="n"/>
      <c r="V482" s="89" t="n"/>
      <c r="W482" s="87" t="n"/>
      <c r="X482" s="89" t="n"/>
      <c r="Y482" s="91" t="n"/>
      <c r="Z482" s="122">
        <f>IF(G482&lt;&gt;"",IF(AND(Z481&lt;&gt;"IE",P482&lt;&gt;0,R482&lt;&gt;""),IF(IFERROR((P482/R482),0) &lt;=1,IFERROR(P482/R482,""),1),""),"")</f>
        <v/>
      </c>
      <c r="AA482" s="93" t="n"/>
      <c r="AB482" s="2" t="n"/>
      <c r="AE482" s="10">
        <f>HOUR(AK482)+1</f>
        <v/>
      </c>
      <c r="AF482" s="7" t="n"/>
      <c r="AG482" s="7" t="n"/>
      <c r="AH482" s="86" t="n"/>
      <c r="AI482" s="8" t="n"/>
      <c r="AJ482" s="86" t="n"/>
      <c r="AK482" s="87" t="n"/>
      <c r="AL482" s="88">
        <f>IF(AM482="","",IF(AND((AM482-AK482)&gt;=TIME(0,0,0),(AM482-AK482)&lt;TIME(0,3,0)),"OK",IF(AND((AM482-AK482)&gt;=TIME(0,3,0),(AM482-AK482)&lt;TIME(0,5,0)),"RETRASO DE 3-5 MIN",IF(AND((AM482-AK482)&gt;=TIME(0,5,0),(AM482-AK482)&lt;TIME(0,10,0)),"RETRASO DE 5-10 MIN",IF((AM482-AK482)&gt;=TIME(0,10,0),"RETRASO &gt;10 MIN", IF(AND((AK482-AM482)&gt;=TIME(0,0,0),(AK482-AM482)&lt;TIME(0,3,0)),"OK",IF((AK482-AM482)&gt;=TIME(0,3,0),"ADELANTADO")))))))</f>
        <v/>
      </c>
      <c r="AM482" s="91" t="n"/>
      <c r="AN482" s="89">
        <f>IF(AE482&lt;&gt;"",HLOOKUP(VALUE(TEXT(AK482,"h:mm:ss")),IF($C$6="Laboral",$FZ$4:$GX$227,IF($C$6="Sábado",$FZ$231:$GX$452,$FZ$456:$GX$656)),VLOOKUP($C$4,$HF$2:$HH$99,3,0)+IF(AG$5="Ida",0,1),1),"")</f>
        <v/>
      </c>
      <c r="AO482" s="89">
        <f>IF(AE483&lt;&gt;AE482,AVERAGEIF(AE$9:AE482,AE482,AN$9:AN482),"")</f>
        <v/>
      </c>
      <c r="AP482" s="89">
        <f>IFERROR(IF(AE483&lt;&gt;AE482,AVERAGEIF(AE$9:AE482,AE482,AW$9:AW482),""),"")</f>
        <v/>
      </c>
      <c r="AQ482" s="89">
        <f>IFERROR(IF(AE483&lt;&gt;AE482,AVERAGEIF(AE$9:AE482,AE482,AX$9:AX482),""),"")</f>
        <v/>
      </c>
      <c r="AR482" s="89">
        <f t="array" ref="AR482">IFERROR(IF(AE483&lt;&gt;AE482,_xlfn.STDEV.P(IF(AE$9:AE482=AE482,AX$9:AX482)),""),"")</f>
        <v/>
      </c>
      <c r="AS482" s="89">
        <f t="array" ref="AS482">IFERROR(IF(AE483&lt;&gt;AE482,_xlfn.STDEV.P(IF(AE$9:AE482=AE482,AW$9:AW482)),""),"")</f>
        <v/>
      </c>
      <c r="AT482" s="90">
        <f>IFERROR(IF(AE482&lt;&gt;AE483,MAX((((AQ482*24*60)/2)*(1+POWER((((AR482*24*60) / (AQ482*24*60) )),2))) + ((AQ482*24*60 )*-0.1 + (AO482*0.015)) +1,(((AQ482*24*60)/2)*(1+POWER((((AR482*24*60) / (AQ482*24*60 ))),2)))),""),"")</f>
        <v/>
      </c>
      <c r="AU482" s="90">
        <f>IF(AND(AS482&lt;&gt;"",AP482&lt;&gt;""),IF(AE482&lt;&gt;AE483,((AP482*24*60) / 2 ) * (1 + POWER(((AS482*24*60) / (AP482*24*60)),2)),""),"")</f>
        <v/>
      </c>
      <c r="AV482" s="90">
        <f>IF(AU482&lt;&gt;"",MAX(AT482,AU482),"")</f>
        <v/>
      </c>
      <c r="AW482" s="89">
        <f>IF(AM482&lt;&gt;"H. Sale Real",IF(AND(AM483&lt;&gt;"",LEFT(AG483,2)&lt;&gt;"Va"),IF(AND(AM482&lt;&gt;"",LEFT(AG482,2)&lt;&gt;"Va",AM482&lt;&gt;"H. Sale Real"),IF(AM483-AM482&lt;0.208333333333333,AM483-AM482,""),IF(AND(AM481&lt;&gt;"",LEFT(AG481,2)&lt;&gt;"Va",AM481&lt;&gt;"H. Sale Real"),IF(AM483-AM481&lt;0.208333333333333,AM483-AM481,""),IF(AND(AM480&lt;&gt;"",LEFT(AG480,2)&lt;&gt;"Va",AM480&lt;&gt;"H. Sale Real"),IF(AM483-AM480&lt;0.208333333333333,AM483-AM480,""),IF(AND(AM479&lt;&gt;"",LEFT(AG479,2)&lt;&gt;"Va",AM479&lt;&gt;"H. Sale Real"),IF(AM483-AM479&lt;0.208333333333333,AM483-AM479,""),IF(AND(AM478&lt;&gt;"",LEFT(AG478,2)&lt;&gt;"Va",AM478&lt;&gt;"H. Sale Real"),IF(AM483-AM478&lt;0.208333333333333,AM483-AM478,""),""))))),""),"")</f>
        <v/>
      </c>
      <c r="AX482" s="89">
        <f>IF(AK482&lt;&gt;"H. Sale Real",IF(AND(AK483&lt;&gt;"",LEFT(AG483,2)&lt;&gt;"Va"),IF(AND(AK482&lt;&gt;"",LEFT(AG482,2)&lt;&gt;"Va",AK482&lt;&gt;"H. Sale Real"),IF(AK483-AK482&lt;0.208333333333333,AK483-AK482,""),IF(AND(AK481&lt;&gt;"",LEFT(AG481,2)&lt;&gt;"Va",AK481&lt;&gt;"H. Sale Real"),IF(AK483-AK481&lt;0.208333333333333,AK483-AK481,""),IF(AND(AK480&lt;&gt;"",LEFT(AG480,2)&lt;&gt;"NC",AK480&lt;&gt;"H. Sale Real"),IF(AK483-AK480&lt;0.208333333333333,AK483-AK480,""),IF(AND(AK479&lt;&gt;"",LEFT(AG479,2)&lt;&gt;"Va",AK479&lt;&gt;"H. Sale Real"),IF(AK483-AK479&lt;0.208333333333333,AK483-AK479,""),IF(AND(AK478&lt;&gt;"",LEFT(AG478,2)&lt;&gt;"Va",AK478&lt;&gt;"H. Sale Real"),IF(AK483-AK478&lt;0.208333333333333,AK483-AK478,""),""))))),""),"")</f>
        <v/>
      </c>
      <c r="AY482" s="87" t="n"/>
      <c r="AZ482" s="89" t="n"/>
      <c r="BA482" s="87" t="n"/>
      <c r="BB482" s="89" t="n"/>
      <c r="BC482" s="91" t="n"/>
      <c r="BD482" s="122">
        <f>IF(AK482&lt;&gt;"",IF(AND(BD481&lt;&gt;"IE",AT482&lt;&gt;0,AV482&lt;&gt;""),IF(IFERROR((AT482/AV482),0) &lt;=1,IFERROR(AT482/AV482,""),1),""),"")</f>
        <v/>
      </c>
      <c r="BE482" s="93" t="n"/>
      <c r="BF482" s="105" t="n"/>
      <c r="FC482" t="inlineStr">
        <is>
          <t>Diccionario 1</t>
        </is>
      </c>
      <c r="FD482" s="15" t="inlineStr"/>
      <c r="FE482" s="17" t="inlineStr">
        <is>
          <t>LDYECS318S0044396</t>
        </is>
      </c>
      <c r="FF482" s="18" t="inlineStr">
        <is>
          <t>MDN35025010167</t>
        </is>
      </c>
      <c r="FG482" s="18" t="inlineStr">
        <is>
          <t>Zhong Thong</t>
        </is>
      </c>
      <c r="FH482" s="18" t="inlineStr">
        <is>
          <t>Lck6122evg</t>
        </is>
      </c>
      <c r="FI482" s="18" t="inlineStr">
        <is>
          <t>Zhong Thong</t>
        </is>
      </c>
      <c r="FJ482" s="18" t="inlineStr">
        <is>
          <t>Lck6122evg</t>
        </is>
      </c>
      <c r="FK482" s="18" t="n">
        <v>2026</v>
      </c>
      <c r="FL482" s="18" t="inlineStr">
        <is>
          <t>B</t>
        </is>
      </c>
      <c r="FM482" s="18" t="inlineStr">
        <is>
          <t>Lo Blanco</t>
        </is>
      </c>
      <c r="FP482" t="inlineStr">
        <is>
          <t>B</t>
        </is>
      </c>
      <c r="FS482" s="14" t="inlineStr">
        <is>
          <t>SFWZ-18</t>
        </is>
      </c>
      <c r="FT482" t="inlineStr">
        <is>
          <t>SFWZ-18</t>
        </is>
      </c>
      <c r="FU482" t="inlineStr">
        <is>
          <t>SFWZ-18</t>
        </is>
      </c>
      <c r="FV482">
        <f>VLOOKUP(FU482,FD:FL,9,0)</f>
        <v/>
      </c>
      <c r="FZ482" s="51" t="inlineStr">
        <is>
          <t>B26</t>
        </is>
      </c>
      <c r="GA482" s="43" t="n">
        <v>0</v>
      </c>
      <c r="GB482" s="43" t="n">
        <v>0</v>
      </c>
      <c r="GC482" s="43" t="n">
        <v>0</v>
      </c>
      <c r="GD482" s="43" t="n">
        <v>0</v>
      </c>
      <c r="GE482" s="43" t="n">
        <v>13.945</v>
      </c>
      <c r="GF482" s="43" t="n">
        <v>25.485</v>
      </c>
      <c r="GG482" s="43" t="n">
        <v>23.605</v>
      </c>
      <c r="GH482" s="43" t="n">
        <v>22.045</v>
      </c>
      <c r="GI482" s="43" t="n">
        <v>20.515</v>
      </c>
      <c r="GJ482" s="43" t="n">
        <v>19.005</v>
      </c>
      <c r="GK482" s="43" t="n">
        <v>18.345</v>
      </c>
      <c r="GL482" s="43" t="n">
        <v>17.545</v>
      </c>
      <c r="GM482" s="43" t="n">
        <v>16.595</v>
      </c>
      <c r="GN482" s="43" t="n">
        <v>16.45</v>
      </c>
      <c r="GO482" s="43" t="n">
        <v>16.74</v>
      </c>
      <c r="GP482" s="43" t="n">
        <v>17.07</v>
      </c>
      <c r="GQ482" s="43" t="n">
        <v>17.135</v>
      </c>
      <c r="GR482" s="43" t="n">
        <v>17.16</v>
      </c>
      <c r="GS482" s="43" t="n">
        <v>17.45</v>
      </c>
      <c r="GT482" s="43" t="n">
        <v>18.01</v>
      </c>
      <c r="GU482" s="43" t="n">
        <v>19.34</v>
      </c>
      <c r="GV482" s="43" t="n">
        <v>20.96</v>
      </c>
      <c r="GW482" s="43" t="n">
        <v>22.63</v>
      </c>
      <c r="GX482" s="43" t="n">
        <v>24.47</v>
      </c>
      <c r="HA482" s="35" t="n">
        <v>27</v>
      </c>
      <c r="HB482" s="35" t="n">
        <v>476</v>
      </c>
    </row>
    <row r="483" ht="15.5" customHeight="1">
      <c r="A483" s="10">
        <f>HOUR(G483)+1</f>
        <v/>
      </c>
      <c r="B483" s="7" t="n"/>
      <c r="C483" s="7" t="n"/>
      <c r="D483" s="85">
        <f>IFERROR(
IF(AND(OR(Planilla!B483="C",Planilla!B483="c"), VLOOKUP(E483,FD:FP,13,0)="C"), "OK",IF(AND(OR(Planilla!B483="C",Planilla!B483="c"), OR(VLOOKUP(E483,FD:FP,13,0)="B", VLOOKUP(E483,FD:FP,13,0)="A")), "DEFICIT",IF(
AND(OR(Planilla!B483="B", Planilla!B483="BPAL"), VLOOKUP(E483,FD:FP,13,0)="B"), "OK",IF(AND(OR(Planilla!B483="B", Planilla!B483="BPAL"), VLOOKUP(E483,FD:FP,13,0)="A"), "DEFICIT",IF(AND(OR(Planilla!B483="B", Planilla!B483="BPAL"), VLOOKUP(E483,FD:FP,13,0)="C"), "SOBREOFERTA",IF(AND(Planilla!B483="A", VLOOKUP(E483,FD:FP,13,0)="A"), "OK",IF(
AND(Planilla!B483="A", OR(VLOOKUP(E483,FD:FP,13,0)="B", VLOOKUP(E483,FD:FP,13,0)="C")), "SOBREOFERTA",""
))))))),"")</f>
        <v/>
      </c>
      <c r="E483" s="8" t="n"/>
      <c r="F483" s="86" t="n"/>
      <c r="G483" s="87" t="n"/>
      <c r="H483" s="88">
        <f>IF(I483="","",IF(AND((I483-G483)&gt;=TIME(0,0,0),(I483-G483)&lt;TIME(0,3,0)),"OK",IF(AND((I483-G483)&gt;=TIME(0,3,0),(I483-G483)&lt;TIME(0,5,0)),"RETRASO DE 3-5 MIN",IF(AND((I483-G483)&gt;=TIME(0,5,0),(I483-G483)&lt;TIME(0,10,0)),"RETRASO DE 5-10 MIN",IF((I483-G483)&gt;=TIME(0,10,0),"RETRASO &gt;10 MIN", IF(AND((G483-I483)&gt;=TIME(0,0,0),(G483-I483)&lt;TIME(0,3,0)),"OK",IF((G483-I483)&gt;=TIME(0,3,0),"ADELANTADO")))))))</f>
        <v/>
      </c>
      <c r="I483" s="89" t="n"/>
      <c r="J483" s="89">
        <f>IF(A483&lt;&gt;"",HLOOKUP(VALUE(TEXT(G483,"h:mm:ss")),IF($C$6="Laboral",$FZ$4:$GX$227,IF($C$6="Sábado",$FZ$231:$GX$452,$FZ$456:$GX$656)),VLOOKUP($C$4,$HF$2:$HH$99,3,0)+IF(C$5="Ida",0,1),1),"")</f>
        <v/>
      </c>
      <c r="K483" s="89">
        <f>IF(A484&lt;&gt;A483,AVERAGEIF(A$9:A483,A483,J$9:J483),"")</f>
        <v/>
      </c>
      <c r="L483" s="89">
        <f>IFERROR(IF(A484&lt;&gt;A483,AVERAGEIF(A$9:A483,A483,S$9:S483),""),"")</f>
        <v/>
      </c>
      <c r="M483" s="89">
        <f>IFERROR(IF(A484&lt;&gt;A483,AVERAGEIF(A$9:A483,A483,T$9:T483),""),"")</f>
        <v/>
      </c>
      <c r="N483" s="89">
        <f t="array" ref="N483">IFERROR(IF(A484&lt;&gt;A483,_xlfn.STDEV.P(IF(A$9:A483=A483,T$9:T483)),""),"")</f>
        <v/>
      </c>
      <c r="O483" s="89">
        <f t="array" ref="O483">IFERROR(IF(A484&lt;&gt;A483,_xlfn.STDEV.P(IF(A$9:A483=A483,S$9:S483)),""),"")</f>
        <v/>
      </c>
      <c r="P483" s="90">
        <f>IFERROR(IF(A483&lt;&gt;A484,MAX((((M483*24*60)/2)*(1+POWER((((N483*24*60) / (M483*24*60) )),2))) + ((M483*24*60 )*-0.1 + (K483*0.015)) +1,(((M483*24*60)/2)*(1+POWER((((N483*24*60) / (M483*24*60 ))),2)))),""),"")</f>
        <v/>
      </c>
      <c r="Q483" s="90">
        <f>IF(AND(O483&lt;&gt;"",L483&lt;&gt;""),IF(A483&lt;&gt;A484,((L483*24*60) / 2 ) * (1 + POWER(((O483*24*60) / (L483*24*60)),2)),""),"")</f>
        <v/>
      </c>
      <c r="R483" s="90">
        <f>IF(Q483&lt;&gt;"",MAX(P483,Q483),"")</f>
        <v/>
      </c>
      <c r="S483" s="89">
        <f>IF(I483&lt;&gt;"H. Sale Real",IF(AND(I484&lt;&gt;"",LEFT(C484,2)&lt;&gt;"Va"),IF(AND(I483&lt;&gt;"",LEFT(C483,2)&lt;&gt;"Va",I483&lt;&gt;"H. Sale Real"),IF(I484-I483&lt;0.208333333333333,I484-I483,""),IF(AND(I482&lt;&gt;"",LEFT(C482,2)&lt;&gt;"Va",I482&lt;&gt;"H. Sale Real"),IF(I484-I482&lt;0.208333333333333,I484-I482,""),IF(AND(I481&lt;&gt;"",LEFT(C481,2)&lt;&gt;"Va",I481&lt;&gt;"H. Sale Real"),IF(I484-I481&lt;0.208333333333333,I484-I481,""),IF(AND(I480&lt;&gt;"",LEFT(C480,2)&lt;&gt;"Va",I480&lt;&gt;"H. Sale Real"),IF(I484-I480&lt;0.208333333333333,I484-I480,""),IF(AND(I479&lt;&gt;"",LEFT(C479,2)&lt;&gt;"Va",I479&lt;&gt;"H. Sale Real"),IF(I484-I479&lt;0.208333333333333,I484-I479,""),""))))),""),"")</f>
        <v/>
      </c>
      <c r="T483" s="89">
        <f>IF(G483&lt;&gt;"H. Sale Real",IF(AND(G484&lt;&gt;"",LEFT(C484,2)&lt;&gt;"Va"),IF(AND(G483&lt;&gt;"",LEFT(C483,2)&lt;&gt;"Va",G483&lt;&gt;"H. Sale Real"),IF(G484-G483&lt;0.208333333333333,G484-G483,""),IF(AND(G482&lt;&gt;"",LEFT(C482,2)&lt;&gt;"Va",G482&lt;&gt;"H. Sale Real"),IF(G484-G482&lt;0.208333333333333,G484-G482,""),IF(AND(G481&lt;&gt;"",LEFT(C481,2)&lt;&gt;"Va",G481&lt;&gt;"H. Sale Real"),IF(G484-G481&lt;0.208333333333333,G484-G481,""),IF(AND(G480&lt;&gt;"",LEFT(C480,2)&lt;&gt;"Va",G480&lt;&gt;"H. Sale Real"),IF(G484-G480&lt;0.208333333333333,G484-G480,""),IF(AND(G479&lt;&gt;"",LEFT(C479,2)&lt;&gt;"Va",G479&lt;&gt;"H. Sale Real"),IF(G484-G479&lt;0.208333333333333,G484-G479,""),""))))),""),"")</f>
        <v/>
      </c>
      <c r="U483" s="87" t="n"/>
      <c r="V483" s="89" t="n"/>
      <c r="W483" s="87" t="n"/>
      <c r="X483" s="89" t="n"/>
      <c r="Y483" s="91" t="n"/>
      <c r="Z483" s="122">
        <f>IF(G483&lt;&gt;"",IF(AND(Z482&lt;&gt;"IE",P483&lt;&gt;0,R483&lt;&gt;""),IF(IFERROR((P483/R483),0) &lt;=1,IFERROR(P483/R483,""),1),""),"")</f>
        <v/>
      </c>
      <c r="AA483" s="93" t="n"/>
      <c r="AB483" s="2" t="n"/>
      <c r="AE483" s="10">
        <f>HOUR(AK483)+1</f>
        <v/>
      </c>
      <c r="AF483" s="7" t="n"/>
      <c r="AG483" s="7" t="n"/>
      <c r="AH483" s="86" t="n"/>
      <c r="AI483" s="8" t="n"/>
      <c r="AJ483" s="86" t="n"/>
      <c r="AK483" s="87" t="n"/>
      <c r="AL483" s="88">
        <f>IF(AM483="","",IF(AND((AM483-AK483)&gt;=TIME(0,0,0),(AM483-AK483)&lt;TIME(0,3,0)),"OK",IF(AND((AM483-AK483)&gt;=TIME(0,3,0),(AM483-AK483)&lt;TIME(0,5,0)),"RETRASO DE 3-5 MIN",IF(AND((AM483-AK483)&gt;=TIME(0,5,0),(AM483-AK483)&lt;TIME(0,10,0)),"RETRASO DE 5-10 MIN",IF((AM483-AK483)&gt;=TIME(0,10,0),"RETRASO &gt;10 MIN", IF(AND((AK483-AM483)&gt;=TIME(0,0,0),(AK483-AM483)&lt;TIME(0,3,0)),"OK",IF((AK483-AM483)&gt;=TIME(0,3,0),"ADELANTADO")))))))</f>
        <v/>
      </c>
      <c r="AM483" s="91" t="n"/>
      <c r="AN483" s="89">
        <f>IF(AE483&lt;&gt;"",HLOOKUP(VALUE(TEXT(AK483,"h:mm:ss")),IF($C$6="Laboral",$FZ$4:$GX$227,IF($C$6="Sábado",$FZ$231:$GX$452,$FZ$456:$GX$656)),VLOOKUP($C$4,$HF$2:$HH$99,3,0)+IF(AG$5="Ida",0,1),1),"")</f>
        <v/>
      </c>
      <c r="AO483" s="89">
        <f>IF(AE484&lt;&gt;AE483,AVERAGEIF(AE$9:AE483,AE483,AN$9:AN483),"")</f>
        <v/>
      </c>
      <c r="AP483" s="89">
        <f>IFERROR(IF(AE484&lt;&gt;AE483,AVERAGEIF(AE$9:AE483,AE483,AW$9:AW483),""),"")</f>
        <v/>
      </c>
      <c r="AQ483" s="89">
        <f>IFERROR(IF(AE484&lt;&gt;AE483,AVERAGEIF(AE$9:AE483,AE483,AX$9:AX483),""),"")</f>
        <v/>
      </c>
      <c r="AR483" s="89">
        <f t="array" ref="AR483">IFERROR(IF(AE484&lt;&gt;AE483,_xlfn.STDEV.P(IF(AE$9:AE483=AE483,AX$9:AX483)),""),"")</f>
        <v/>
      </c>
      <c r="AS483" s="89">
        <f t="array" ref="AS483">IFERROR(IF(AE484&lt;&gt;AE483,_xlfn.STDEV.P(IF(AE$9:AE483=AE483,AW$9:AW483)),""),"")</f>
        <v/>
      </c>
      <c r="AT483" s="90">
        <f>IFERROR(IF(AE483&lt;&gt;AE484,MAX((((AQ483*24*60)/2)*(1+POWER((((AR483*24*60) / (AQ483*24*60) )),2))) + ((AQ483*24*60 )*-0.1 + (AO483*0.015)) +1,(((AQ483*24*60)/2)*(1+POWER((((AR483*24*60) / (AQ483*24*60 ))),2)))),""),"")</f>
        <v/>
      </c>
      <c r="AU483" s="90">
        <f>IF(AND(AS483&lt;&gt;"",AP483&lt;&gt;""),IF(AE483&lt;&gt;AE484,((AP483*24*60) / 2 ) * (1 + POWER(((AS483*24*60) / (AP483*24*60)),2)),""),"")</f>
        <v/>
      </c>
      <c r="AV483" s="90">
        <f>IF(AU483&lt;&gt;"",MAX(AT483,AU483),"")</f>
        <v/>
      </c>
      <c r="AW483" s="89">
        <f>IF(AM483&lt;&gt;"H. Sale Real",IF(AND(AM484&lt;&gt;"",LEFT(AG484,2)&lt;&gt;"Va"),IF(AND(AM483&lt;&gt;"",LEFT(AG483,2)&lt;&gt;"Va",AM483&lt;&gt;"H. Sale Real"),IF(AM484-AM483&lt;0.208333333333333,AM484-AM483,""),IF(AND(AM482&lt;&gt;"",LEFT(AG482,2)&lt;&gt;"Va",AM482&lt;&gt;"H. Sale Real"),IF(AM484-AM482&lt;0.208333333333333,AM484-AM482,""),IF(AND(AM481&lt;&gt;"",LEFT(AG481,2)&lt;&gt;"Va",AM481&lt;&gt;"H. Sale Real"),IF(AM484-AM481&lt;0.208333333333333,AM484-AM481,""),IF(AND(AM480&lt;&gt;"",LEFT(AG480,2)&lt;&gt;"Va",AM480&lt;&gt;"H. Sale Real"),IF(AM484-AM480&lt;0.208333333333333,AM484-AM480,""),IF(AND(AM479&lt;&gt;"",LEFT(AG479,2)&lt;&gt;"Va",AM479&lt;&gt;"H. Sale Real"),IF(AM484-AM479&lt;0.208333333333333,AM484-AM479,""),""))))),""),"")</f>
        <v/>
      </c>
      <c r="AX483" s="89">
        <f>IF(AK483&lt;&gt;"H. Sale Real",IF(AND(AK484&lt;&gt;"",LEFT(AG484,2)&lt;&gt;"Va"),IF(AND(AK483&lt;&gt;"",LEFT(AG483,2)&lt;&gt;"Va",AK483&lt;&gt;"H. Sale Real"),IF(AK484-AK483&lt;0.208333333333333,AK484-AK483,""),IF(AND(AK482&lt;&gt;"",LEFT(AG482,2)&lt;&gt;"Va",AK482&lt;&gt;"H. Sale Real"),IF(AK484-AK482&lt;0.208333333333333,AK484-AK482,""),IF(AND(AK481&lt;&gt;"",LEFT(AG481,2)&lt;&gt;"NC",AK481&lt;&gt;"H. Sale Real"),IF(AK484-AK481&lt;0.208333333333333,AK484-AK481,""),IF(AND(AK480&lt;&gt;"",LEFT(AG480,2)&lt;&gt;"Va",AK480&lt;&gt;"H. Sale Real"),IF(AK484-AK480&lt;0.208333333333333,AK484-AK480,""),IF(AND(AK479&lt;&gt;"",LEFT(AG479,2)&lt;&gt;"Va",AK479&lt;&gt;"H. Sale Real"),IF(AK484-AK479&lt;0.208333333333333,AK484-AK479,""),""))))),""),"")</f>
        <v/>
      </c>
      <c r="AY483" s="87" t="n"/>
      <c r="AZ483" s="89" t="n"/>
      <c r="BA483" s="87" t="n"/>
      <c r="BB483" s="89" t="n"/>
      <c r="BC483" s="91" t="n"/>
      <c r="BD483" s="122">
        <f>IF(AK483&lt;&gt;"",IF(AND(BD482&lt;&gt;"IE",AT483&lt;&gt;0,AV483&lt;&gt;""),IF(IFERROR((AT483/AV483),0) &lt;=1,IFERROR(AT483/AV483,""),1),""),"")</f>
        <v/>
      </c>
      <c r="BE483" s="93" t="n"/>
      <c r="BF483" s="105" t="n"/>
      <c r="FC483" t="inlineStr">
        <is>
          <t>Diccionario 1</t>
        </is>
      </c>
      <c r="FD483" s="15" t="inlineStr"/>
      <c r="FE483" s="17" t="inlineStr">
        <is>
          <t>LDYECS315S0044341</t>
        </is>
      </c>
      <c r="FF483" s="18" t="inlineStr">
        <is>
          <t>MDN35025030185</t>
        </is>
      </c>
      <c r="FG483" s="18" t="inlineStr">
        <is>
          <t>Zhong Thong</t>
        </is>
      </c>
      <c r="FH483" s="18" t="inlineStr">
        <is>
          <t>Lck6122evg</t>
        </is>
      </c>
      <c r="FI483" s="18" t="inlineStr">
        <is>
          <t>Zhong Thong</t>
        </is>
      </c>
      <c r="FJ483" s="18" t="inlineStr">
        <is>
          <t>Lck6122evg</t>
        </is>
      </c>
      <c r="FK483" s="18" t="n">
        <v>2026</v>
      </c>
      <c r="FL483" s="18" t="inlineStr">
        <is>
          <t>B</t>
        </is>
      </c>
      <c r="FM483" s="18" t="inlineStr">
        <is>
          <t>Lo Blanco</t>
        </is>
      </c>
      <c r="FP483" t="inlineStr">
        <is>
          <t>B</t>
        </is>
      </c>
      <c r="FS483" s="14" t="inlineStr">
        <is>
          <t>LZPW-22</t>
        </is>
      </c>
      <c r="FT483" t="inlineStr">
        <is>
          <t>LZPW-22</t>
        </is>
      </c>
      <c r="FU483" t="inlineStr">
        <is>
          <t>LZPW-22</t>
        </is>
      </c>
      <c r="FV483">
        <f>VLOOKUP(FU483,FD:FL,9,0)</f>
        <v/>
      </c>
      <c r="FZ483" s="51" t="inlineStr">
        <is>
          <t>B37</t>
        </is>
      </c>
      <c r="GA483" s="43" t="n">
        <v>0</v>
      </c>
      <c r="GB483" s="43" t="n">
        <v>0</v>
      </c>
      <c r="GC483" s="43" t="n">
        <v>0</v>
      </c>
      <c r="GD483" s="43" t="n">
        <v>0</v>
      </c>
      <c r="GE483" s="43" t="n">
        <v>0</v>
      </c>
      <c r="GF483" s="43" t="n">
        <v>16.495</v>
      </c>
      <c r="GG483" s="43" t="n">
        <v>31.75</v>
      </c>
      <c r="GH483" s="43" t="n">
        <v>29.91</v>
      </c>
      <c r="GI483" s="43" t="n">
        <v>30.26</v>
      </c>
      <c r="GJ483" s="43" t="n">
        <v>30.52</v>
      </c>
      <c r="GK483" s="43" t="n">
        <v>30.085</v>
      </c>
      <c r="GL483" s="43" t="n">
        <v>29.85</v>
      </c>
      <c r="GM483" s="43" t="n">
        <v>29.19</v>
      </c>
      <c r="GN483" s="43" t="n">
        <v>29.285</v>
      </c>
      <c r="GO483" s="43" t="n">
        <v>29.32</v>
      </c>
      <c r="GP483" s="43" t="n">
        <v>28.35</v>
      </c>
      <c r="GQ483" s="43" t="n">
        <v>27.8</v>
      </c>
      <c r="GR483" s="43" t="n">
        <v>27.38</v>
      </c>
      <c r="GS483" s="43" t="n">
        <v>26.795</v>
      </c>
      <c r="GT483" s="43" t="n">
        <v>27.285</v>
      </c>
      <c r="GU483" s="43" t="n">
        <v>29.54</v>
      </c>
      <c r="GV483" s="43" t="n">
        <v>30.705</v>
      </c>
      <c r="GW483" s="43" t="n">
        <v>30.335</v>
      </c>
      <c r="GX483" s="43" t="n">
        <v>29.64</v>
      </c>
      <c r="HA483" s="35" t="n">
        <v>28</v>
      </c>
      <c r="HB483" s="35" t="n">
        <v>477</v>
      </c>
    </row>
    <row r="484" ht="15.5" customHeight="1">
      <c r="A484" s="10">
        <f>HOUR(G484)+1</f>
        <v/>
      </c>
      <c r="B484" s="7" t="n"/>
      <c r="C484" s="7" t="n"/>
      <c r="D484" s="85">
        <f>IFERROR(
IF(AND(OR(Planilla!B484="C",Planilla!B484="c"), VLOOKUP(E484,FD:FP,13,0)="C"), "OK",IF(AND(OR(Planilla!B484="C",Planilla!B484="c"), OR(VLOOKUP(E484,FD:FP,13,0)="B", VLOOKUP(E484,FD:FP,13,0)="A")), "DEFICIT",IF(
AND(OR(Planilla!B484="B", Planilla!B484="BPAL"), VLOOKUP(E484,FD:FP,13,0)="B"), "OK",IF(AND(OR(Planilla!B484="B", Planilla!B484="BPAL"), VLOOKUP(E484,FD:FP,13,0)="A"), "DEFICIT",IF(AND(OR(Planilla!B484="B", Planilla!B484="BPAL"), VLOOKUP(E484,FD:FP,13,0)="C"), "SOBREOFERTA",IF(AND(Planilla!B484="A", VLOOKUP(E484,FD:FP,13,0)="A"), "OK",IF(
AND(Planilla!B484="A", OR(VLOOKUP(E484,FD:FP,13,0)="B", VLOOKUP(E484,FD:FP,13,0)="C")), "SOBREOFERTA",""
))))))),"")</f>
        <v/>
      </c>
      <c r="E484" s="8" t="n"/>
      <c r="F484" s="86" t="n"/>
      <c r="G484" s="87" t="n"/>
      <c r="H484" s="88">
        <f>IF(I484="","",IF(AND((I484-G484)&gt;=TIME(0,0,0),(I484-G484)&lt;TIME(0,3,0)),"OK",IF(AND((I484-G484)&gt;=TIME(0,3,0),(I484-G484)&lt;TIME(0,5,0)),"RETRASO DE 3-5 MIN",IF(AND((I484-G484)&gt;=TIME(0,5,0),(I484-G484)&lt;TIME(0,10,0)),"RETRASO DE 5-10 MIN",IF((I484-G484)&gt;=TIME(0,10,0),"RETRASO &gt;10 MIN", IF(AND((G484-I484)&gt;=TIME(0,0,0),(G484-I484)&lt;TIME(0,3,0)),"OK",IF((G484-I484)&gt;=TIME(0,3,0),"ADELANTADO")))))))</f>
        <v/>
      </c>
      <c r="I484" s="89" t="n"/>
      <c r="J484" s="89">
        <f>IF(A484&lt;&gt;"",HLOOKUP(VALUE(TEXT(G484,"h:mm:ss")),IF($C$6="Laboral",$FZ$4:$GX$227,IF($C$6="Sábado",$FZ$231:$GX$452,$FZ$456:$GX$656)),VLOOKUP($C$4,$HF$2:$HH$99,3,0)+IF(C$5="Ida",0,1),1),"")</f>
        <v/>
      </c>
      <c r="K484" s="89">
        <f>IF(A485&lt;&gt;A484,AVERAGEIF(A$9:A484,A484,J$9:J484),"")</f>
        <v/>
      </c>
      <c r="L484" s="89">
        <f>IFERROR(IF(A485&lt;&gt;A484,AVERAGEIF(A$9:A484,A484,S$9:S484),""),"")</f>
        <v/>
      </c>
      <c r="M484" s="89">
        <f>IFERROR(IF(A485&lt;&gt;A484,AVERAGEIF(A$9:A484,A484,T$9:T484),""),"")</f>
        <v/>
      </c>
      <c r="N484" s="89">
        <f t="array" ref="N484">IFERROR(IF(A485&lt;&gt;A484,_xlfn.STDEV.P(IF(A$9:A484=A484,T$9:T484)),""),"")</f>
        <v/>
      </c>
      <c r="O484" s="89">
        <f t="array" ref="O484">IFERROR(IF(A485&lt;&gt;A484,_xlfn.STDEV.P(IF(A$9:A484=A484,S$9:S484)),""),"")</f>
        <v/>
      </c>
      <c r="P484" s="90">
        <f>IFERROR(IF(A484&lt;&gt;A485,MAX((((M484*24*60)/2)*(1+POWER((((N484*24*60) / (M484*24*60) )),2))) + ((M484*24*60 )*-0.1 + (K484*0.015)) +1,(((M484*24*60)/2)*(1+POWER((((N484*24*60) / (M484*24*60 ))),2)))),""),"")</f>
        <v/>
      </c>
      <c r="Q484" s="90">
        <f>IF(AND(O484&lt;&gt;"",L484&lt;&gt;""),IF(A484&lt;&gt;A485,((L484*24*60) / 2 ) * (1 + POWER(((O484*24*60) / (L484*24*60)),2)),""),"")</f>
        <v/>
      </c>
      <c r="R484" s="90">
        <f>IF(Q484&lt;&gt;"",MAX(P484,Q484),"")</f>
        <v/>
      </c>
      <c r="S484" s="89">
        <f>IF(I484&lt;&gt;"H. Sale Real",IF(AND(I485&lt;&gt;"",LEFT(C485,2)&lt;&gt;"Va"),IF(AND(I484&lt;&gt;"",LEFT(C484,2)&lt;&gt;"Va",I484&lt;&gt;"H. Sale Real"),IF(I485-I484&lt;0.208333333333333,I485-I484,""),IF(AND(I483&lt;&gt;"",LEFT(C483,2)&lt;&gt;"Va",I483&lt;&gt;"H. Sale Real"),IF(I485-I483&lt;0.208333333333333,I485-I483,""),IF(AND(I482&lt;&gt;"",LEFT(C482,2)&lt;&gt;"Va",I482&lt;&gt;"H. Sale Real"),IF(I485-I482&lt;0.208333333333333,I485-I482,""),IF(AND(I481&lt;&gt;"",LEFT(C481,2)&lt;&gt;"Va",I481&lt;&gt;"H. Sale Real"),IF(I485-I481&lt;0.208333333333333,I485-I481,""),IF(AND(I480&lt;&gt;"",LEFT(C480,2)&lt;&gt;"Va",I480&lt;&gt;"H. Sale Real"),IF(I485-I480&lt;0.208333333333333,I485-I480,""),""))))),""),"")</f>
        <v/>
      </c>
      <c r="T484" s="89">
        <f>IF(G484&lt;&gt;"H. Sale Real",IF(AND(G485&lt;&gt;"",LEFT(C485,2)&lt;&gt;"Va"),IF(AND(G484&lt;&gt;"",LEFT(C484,2)&lt;&gt;"Va",G484&lt;&gt;"H. Sale Real"),IF(G485-G484&lt;0.208333333333333,G485-G484,""),IF(AND(G483&lt;&gt;"",LEFT(C483,2)&lt;&gt;"Va",G483&lt;&gt;"H. Sale Real"),IF(G485-G483&lt;0.208333333333333,G485-G483,""),IF(AND(G482&lt;&gt;"",LEFT(C482,2)&lt;&gt;"Va",G482&lt;&gt;"H. Sale Real"),IF(G485-G482&lt;0.208333333333333,G485-G482,""),IF(AND(G481&lt;&gt;"",LEFT(C481,2)&lt;&gt;"Va",G481&lt;&gt;"H. Sale Real"),IF(G485-G481&lt;0.208333333333333,G485-G481,""),IF(AND(G480&lt;&gt;"",LEFT(C480,2)&lt;&gt;"Va",G480&lt;&gt;"H. Sale Real"),IF(G485-G480&lt;0.208333333333333,G485-G480,""),""))))),""),"")</f>
        <v/>
      </c>
      <c r="U484" s="87" t="n"/>
      <c r="V484" s="89" t="n"/>
      <c r="W484" s="87" t="n"/>
      <c r="X484" s="89" t="n"/>
      <c r="Y484" s="91" t="n"/>
      <c r="Z484" s="122">
        <f>IF(G484&lt;&gt;"",IF(AND(Z483&lt;&gt;"IE",P484&lt;&gt;0,R484&lt;&gt;""),IF(IFERROR((P484/R484),0) &lt;=1,IFERROR(P484/R484,""),1),""),"")</f>
        <v/>
      </c>
      <c r="AA484" s="93" t="n"/>
      <c r="AB484" s="2" t="n"/>
      <c r="AE484" s="10">
        <f>HOUR(AK484)+1</f>
        <v/>
      </c>
      <c r="AF484" s="7" t="n"/>
      <c r="AG484" s="7" t="n"/>
      <c r="AH484" s="86" t="n"/>
      <c r="AI484" s="8" t="n"/>
      <c r="AJ484" s="86" t="n"/>
      <c r="AK484" s="87" t="n"/>
      <c r="AL484" s="88">
        <f>IF(AM484="","",IF(AND((AM484-AK484)&gt;=TIME(0,0,0),(AM484-AK484)&lt;TIME(0,3,0)),"OK",IF(AND((AM484-AK484)&gt;=TIME(0,3,0),(AM484-AK484)&lt;TIME(0,5,0)),"RETRASO DE 3-5 MIN",IF(AND((AM484-AK484)&gt;=TIME(0,5,0),(AM484-AK484)&lt;TIME(0,10,0)),"RETRASO DE 5-10 MIN",IF((AM484-AK484)&gt;=TIME(0,10,0),"RETRASO &gt;10 MIN", IF(AND((AK484-AM484)&gt;=TIME(0,0,0),(AK484-AM484)&lt;TIME(0,3,0)),"OK",IF((AK484-AM484)&gt;=TIME(0,3,0),"ADELANTADO")))))))</f>
        <v/>
      </c>
      <c r="AM484" s="91" t="n"/>
      <c r="AN484" s="89">
        <f>IF(AE484&lt;&gt;"",HLOOKUP(VALUE(TEXT(AK484,"h:mm:ss")),IF($C$6="Laboral",$FZ$4:$GX$227,IF($C$6="Sábado",$FZ$231:$GX$452,$FZ$456:$GX$656)),VLOOKUP($C$4,$HF$2:$HH$99,3,0)+IF(AG$5="Ida",0,1),1),"")</f>
        <v/>
      </c>
      <c r="AO484" s="89">
        <f>IF(AE485&lt;&gt;AE484,AVERAGEIF(AE$9:AE484,AE484,AN$9:AN484),"")</f>
        <v/>
      </c>
      <c r="AP484" s="89">
        <f>IFERROR(IF(AE485&lt;&gt;AE484,AVERAGEIF(AE$9:AE484,AE484,AW$9:AW484),""),"")</f>
        <v/>
      </c>
      <c r="AQ484" s="89">
        <f>IFERROR(IF(AE485&lt;&gt;AE484,AVERAGEIF(AE$9:AE484,AE484,AX$9:AX484),""),"")</f>
        <v/>
      </c>
      <c r="AR484" s="89">
        <f t="array" ref="AR484">IFERROR(IF(AE485&lt;&gt;AE484,_xlfn.STDEV.P(IF(AE$9:AE484=AE484,AX$9:AX484)),""),"")</f>
        <v/>
      </c>
      <c r="AS484" s="89">
        <f t="array" ref="AS484">IFERROR(IF(AE485&lt;&gt;AE484,_xlfn.STDEV.P(IF(AE$9:AE484=AE484,AW$9:AW484)),""),"")</f>
        <v/>
      </c>
      <c r="AT484" s="90">
        <f>IFERROR(IF(AE484&lt;&gt;AE485,MAX((((AQ484*24*60)/2)*(1+POWER((((AR484*24*60) / (AQ484*24*60) )),2))) + ((AQ484*24*60 )*-0.1 + (AO484*0.015)) +1,(((AQ484*24*60)/2)*(1+POWER((((AR484*24*60) / (AQ484*24*60 ))),2)))),""),"")</f>
        <v/>
      </c>
      <c r="AU484" s="90">
        <f>IF(AND(AS484&lt;&gt;"",AP484&lt;&gt;""),IF(AE484&lt;&gt;AE485,((AP484*24*60) / 2 ) * (1 + POWER(((AS484*24*60) / (AP484*24*60)),2)),""),"")</f>
        <v/>
      </c>
      <c r="AV484" s="90">
        <f>IF(AU484&lt;&gt;"",MAX(AT484,AU484),"")</f>
        <v/>
      </c>
      <c r="AW484" s="89">
        <f>IF(AM484&lt;&gt;"H. Sale Real",IF(AND(AM485&lt;&gt;"",LEFT(AG485,2)&lt;&gt;"Va"),IF(AND(AM484&lt;&gt;"",LEFT(AG484,2)&lt;&gt;"Va",AM484&lt;&gt;"H. Sale Real"),IF(AM485-AM484&lt;0.208333333333333,AM485-AM484,""),IF(AND(AM483&lt;&gt;"",LEFT(AG483,2)&lt;&gt;"Va",AM483&lt;&gt;"H. Sale Real"),IF(AM485-AM483&lt;0.208333333333333,AM485-AM483,""),IF(AND(AM482&lt;&gt;"",LEFT(AG482,2)&lt;&gt;"Va",AM482&lt;&gt;"H. Sale Real"),IF(AM485-AM482&lt;0.208333333333333,AM485-AM482,""),IF(AND(AM481&lt;&gt;"",LEFT(AG481,2)&lt;&gt;"Va",AM481&lt;&gt;"H. Sale Real"),IF(AM485-AM481&lt;0.208333333333333,AM485-AM481,""),IF(AND(AM480&lt;&gt;"",LEFT(AG480,2)&lt;&gt;"Va",AM480&lt;&gt;"H. Sale Real"),IF(AM485-AM480&lt;0.208333333333333,AM485-AM480,""),""))))),""),"")</f>
        <v/>
      </c>
      <c r="AX484" s="89">
        <f>IF(AK484&lt;&gt;"H. Sale Real",IF(AND(AK485&lt;&gt;"",LEFT(AG485,2)&lt;&gt;"Va"),IF(AND(AK484&lt;&gt;"",LEFT(AG484,2)&lt;&gt;"Va",AK484&lt;&gt;"H. Sale Real"),IF(AK485-AK484&lt;0.208333333333333,AK485-AK484,""),IF(AND(AK483&lt;&gt;"",LEFT(AG483,2)&lt;&gt;"Va",AK483&lt;&gt;"H. Sale Real"),IF(AK485-AK483&lt;0.208333333333333,AK485-AK483,""),IF(AND(AK482&lt;&gt;"",LEFT(AG482,2)&lt;&gt;"NC",AK482&lt;&gt;"H. Sale Real"),IF(AK485-AK482&lt;0.208333333333333,AK485-AK482,""),IF(AND(AK481&lt;&gt;"",LEFT(AG481,2)&lt;&gt;"Va",AK481&lt;&gt;"H. Sale Real"),IF(AK485-AK481&lt;0.208333333333333,AK485-AK481,""),IF(AND(AK480&lt;&gt;"",LEFT(AG480,2)&lt;&gt;"Va",AK480&lt;&gt;"H. Sale Real"),IF(AK485-AK480&lt;0.208333333333333,AK485-AK480,""),""))))),""),"")</f>
        <v/>
      </c>
      <c r="AY484" s="87" t="n"/>
      <c r="AZ484" s="89" t="n"/>
      <c r="BA484" s="87" t="n"/>
      <c r="BB484" s="89" t="n"/>
      <c r="BC484" s="91" t="n"/>
      <c r="BD484" s="122">
        <f>IF(AK484&lt;&gt;"",IF(AND(BD483&lt;&gt;"IE",AT484&lt;&gt;0,AV484&lt;&gt;""),IF(IFERROR((AT484/AV484),0) &lt;=1,IFERROR(AT484/AV484,""),1),""),"")</f>
        <v/>
      </c>
      <c r="BE484" s="93" t="n"/>
      <c r="BF484" s="105" t="n"/>
      <c r="FC484" t="inlineStr">
        <is>
          <t>Diccionario 1</t>
        </is>
      </c>
      <c r="FD484" s="15" t="inlineStr"/>
      <c r="FE484" s="17" t="inlineStr">
        <is>
          <t>LDYECS316S0044333</t>
        </is>
      </c>
      <c r="FF484" s="18" t="inlineStr">
        <is>
          <t>MDN35025030188</t>
        </is>
      </c>
      <c r="FG484" s="18" t="inlineStr">
        <is>
          <t>Zhong Thong</t>
        </is>
      </c>
      <c r="FH484" s="18" t="inlineStr">
        <is>
          <t>Lck6122evg</t>
        </is>
      </c>
      <c r="FI484" s="18" t="inlineStr">
        <is>
          <t>Zhong Thong</t>
        </is>
      </c>
      <c r="FJ484" s="18" t="inlineStr">
        <is>
          <t>Lck6122evg</t>
        </is>
      </c>
      <c r="FK484" s="18" t="n">
        <v>2026</v>
      </c>
      <c r="FL484" s="18" t="inlineStr">
        <is>
          <t>B</t>
        </is>
      </c>
      <c r="FM484" s="18" t="inlineStr">
        <is>
          <t>Lo Blanco</t>
        </is>
      </c>
      <c r="FP484" t="inlineStr">
        <is>
          <t>B</t>
        </is>
      </c>
      <c r="FS484" s="14" t="inlineStr">
        <is>
          <t>LZPG-20</t>
        </is>
      </c>
      <c r="FT484" t="inlineStr">
        <is>
          <t>LZPG-20</t>
        </is>
      </c>
      <c r="FU484" t="inlineStr">
        <is>
          <t>LZPG-20</t>
        </is>
      </c>
      <c r="FV484">
        <f>VLOOKUP(FU484,FD:FL,9,0)</f>
        <v/>
      </c>
      <c r="FZ484" s="51" t="inlineStr">
        <is>
          <t>B28</t>
        </is>
      </c>
      <c r="GA484" s="43" t="n">
        <v>0</v>
      </c>
      <c r="GB484" s="43" t="n">
        <v>0</v>
      </c>
      <c r="GC484" s="43" t="n">
        <v>0</v>
      </c>
      <c r="GD484" s="43" t="n">
        <v>0</v>
      </c>
      <c r="GE484" s="43" t="n">
        <v>0</v>
      </c>
      <c r="GF484" s="43" t="n">
        <v>11.565</v>
      </c>
      <c r="GG484" s="43" t="n">
        <v>22.5</v>
      </c>
      <c r="GH484" s="43" t="n">
        <v>21.375</v>
      </c>
      <c r="GI484" s="43" t="n">
        <v>20.325</v>
      </c>
      <c r="GJ484" s="43" t="n">
        <v>19.265</v>
      </c>
      <c r="GK484" s="43" t="n">
        <v>18.645</v>
      </c>
      <c r="GL484" s="43" t="n">
        <v>18.115</v>
      </c>
      <c r="GM484" s="43" t="n">
        <v>17.755</v>
      </c>
      <c r="GN484" s="43" t="n">
        <v>17.935</v>
      </c>
      <c r="GO484" s="43" t="n">
        <v>18.325</v>
      </c>
      <c r="GP484" s="43" t="n">
        <v>18.04</v>
      </c>
      <c r="GQ484" s="43" t="n">
        <v>17.555</v>
      </c>
      <c r="GR484" s="43" t="n">
        <v>17.265</v>
      </c>
      <c r="GS484" s="43" t="n">
        <v>17.555</v>
      </c>
      <c r="GT484" s="43" t="n">
        <v>18.755</v>
      </c>
      <c r="GU484" s="43" t="n">
        <v>19.915</v>
      </c>
      <c r="GV484" s="43" t="n">
        <v>21.545</v>
      </c>
      <c r="GW484" s="43" t="n">
        <v>23.51</v>
      </c>
      <c r="GX484" s="43" t="n">
        <v>25.66</v>
      </c>
      <c r="HA484" s="35" t="n">
        <v>29</v>
      </c>
      <c r="HB484" s="35" t="n">
        <v>478</v>
      </c>
    </row>
    <row r="485" ht="15.5" customHeight="1">
      <c r="A485" s="10">
        <f>HOUR(G485)+1</f>
        <v/>
      </c>
      <c r="B485" s="7" t="n"/>
      <c r="C485" s="7" t="n"/>
      <c r="D485" s="85">
        <f>IFERROR(
IF(AND(OR(Planilla!B485="C",Planilla!B485="c"), VLOOKUP(E485,FD:FP,13,0)="C"), "OK",IF(AND(OR(Planilla!B485="C",Planilla!B485="c"), OR(VLOOKUP(E485,FD:FP,13,0)="B", VLOOKUP(E485,FD:FP,13,0)="A")), "DEFICIT",IF(
AND(OR(Planilla!B485="B", Planilla!B485="BPAL"), VLOOKUP(E485,FD:FP,13,0)="B"), "OK",IF(AND(OR(Planilla!B485="B", Planilla!B485="BPAL"), VLOOKUP(E485,FD:FP,13,0)="A"), "DEFICIT",IF(AND(OR(Planilla!B485="B", Planilla!B485="BPAL"), VLOOKUP(E485,FD:FP,13,0)="C"), "SOBREOFERTA",IF(AND(Planilla!B485="A", VLOOKUP(E485,FD:FP,13,0)="A"), "OK",IF(
AND(Planilla!B485="A", OR(VLOOKUP(E485,FD:FP,13,0)="B", VLOOKUP(E485,FD:FP,13,0)="C")), "SOBREOFERTA",""
))))))),"")</f>
        <v/>
      </c>
      <c r="E485" s="8" t="n"/>
      <c r="F485" s="86" t="n"/>
      <c r="G485" s="87" t="n"/>
      <c r="H485" s="88">
        <f>IF(I485="","",IF(AND((I485-G485)&gt;=TIME(0,0,0),(I485-G485)&lt;TIME(0,3,0)),"OK",IF(AND((I485-G485)&gt;=TIME(0,3,0),(I485-G485)&lt;TIME(0,5,0)),"RETRASO DE 3-5 MIN",IF(AND((I485-G485)&gt;=TIME(0,5,0),(I485-G485)&lt;TIME(0,10,0)),"RETRASO DE 5-10 MIN",IF((I485-G485)&gt;=TIME(0,10,0),"RETRASO &gt;10 MIN", IF(AND((G485-I485)&gt;=TIME(0,0,0),(G485-I485)&lt;TIME(0,3,0)),"OK",IF((G485-I485)&gt;=TIME(0,3,0),"ADELANTADO")))))))</f>
        <v/>
      </c>
      <c r="I485" s="89" t="n"/>
      <c r="J485" s="89">
        <f>IF(A485&lt;&gt;"",HLOOKUP(VALUE(TEXT(G485,"h:mm:ss")),IF($C$6="Laboral",$FZ$4:$GX$227,IF($C$6="Sábado",$FZ$231:$GX$452,$FZ$456:$GX$656)),VLOOKUP($C$4,$HF$2:$HH$99,3,0)+IF(C$5="Ida",0,1),1),"")</f>
        <v/>
      </c>
      <c r="K485" s="89">
        <f>IF(A486&lt;&gt;A485,AVERAGEIF(A$9:A485,A485,J$9:J485),"")</f>
        <v/>
      </c>
      <c r="L485" s="89">
        <f>IFERROR(IF(A486&lt;&gt;A485,AVERAGEIF(A$9:A485,A485,S$9:S485),""),"")</f>
        <v/>
      </c>
      <c r="M485" s="89">
        <f>IFERROR(IF(A486&lt;&gt;A485,AVERAGEIF(A$9:A485,A485,T$9:T485),""),"")</f>
        <v/>
      </c>
      <c r="N485" s="89">
        <f t="array" ref="N485">IFERROR(IF(A486&lt;&gt;A485,_xlfn.STDEV.P(IF(A$9:A485=A485,T$9:T485)),""),"")</f>
        <v/>
      </c>
      <c r="O485" s="89">
        <f t="array" ref="O485">IFERROR(IF(A486&lt;&gt;A485,_xlfn.STDEV.P(IF(A$9:A485=A485,S$9:S485)),""),"")</f>
        <v/>
      </c>
      <c r="P485" s="90">
        <f>IFERROR(IF(A485&lt;&gt;A486,MAX((((M485*24*60)/2)*(1+POWER((((N485*24*60) / (M485*24*60) )),2))) + ((M485*24*60 )*-0.1 + (K485*0.015)) +1,(((M485*24*60)/2)*(1+POWER((((N485*24*60) / (M485*24*60 ))),2)))),""),"")</f>
        <v/>
      </c>
      <c r="Q485" s="90">
        <f>IF(AND(O485&lt;&gt;"",L485&lt;&gt;""),IF(A485&lt;&gt;A486,((L485*24*60) / 2 ) * (1 + POWER(((O485*24*60) / (L485*24*60)),2)),""),"")</f>
        <v/>
      </c>
      <c r="R485" s="90">
        <f>IF(Q485&lt;&gt;"",MAX(P485,Q485),"")</f>
        <v/>
      </c>
      <c r="S485" s="89">
        <f>IF(I485&lt;&gt;"H. Sale Real",IF(AND(I486&lt;&gt;"",LEFT(C486,2)&lt;&gt;"Va"),IF(AND(I485&lt;&gt;"",LEFT(C485,2)&lt;&gt;"Va",I485&lt;&gt;"H. Sale Real"),IF(I486-I485&lt;0.208333333333333,I486-I485,""),IF(AND(I484&lt;&gt;"",LEFT(C484,2)&lt;&gt;"Va",I484&lt;&gt;"H. Sale Real"),IF(I486-I484&lt;0.208333333333333,I486-I484,""),IF(AND(I483&lt;&gt;"",LEFT(C483,2)&lt;&gt;"Va",I483&lt;&gt;"H. Sale Real"),IF(I486-I483&lt;0.208333333333333,I486-I483,""),IF(AND(I482&lt;&gt;"",LEFT(C482,2)&lt;&gt;"Va",I482&lt;&gt;"H. Sale Real"),IF(I486-I482&lt;0.208333333333333,I486-I482,""),IF(AND(I481&lt;&gt;"",LEFT(C481,2)&lt;&gt;"Va",I481&lt;&gt;"H. Sale Real"),IF(I486-I481&lt;0.208333333333333,I486-I481,""),""))))),""),"")</f>
        <v/>
      </c>
      <c r="T485" s="89">
        <f>IF(G485&lt;&gt;"H. Sale Real",IF(AND(G486&lt;&gt;"",LEFT(C486,2)&lt;&gt;"Va"),IF(AND(G485&lt;&gt;"",LEFT(C485,2)&lt;&gt;"Va",G485&lt;&gt;"H. Sale Real"),IF(G486-G485&lt;0.208333333333333,G486-G485,""),IF(AND(G484&lt;&gt;"",LEFT(C484,2)&lt;&gt;"Va",G484&lt;&gt;"H. Sale Real"),IF(G486-G484&lt;0.208333333333333,G486-G484,""),IF(AND(G483&lt;&gt;"",LEFT(C483,2)&lt;&gt;"Va",G483&lt;&gt;"H. Sale Real"),IF(G486-G483&lt;0.208333333333333,G486-G483,""),IF(AND(G482&lt;&gt;"",LEFT(C482,2)&lt;&gt;"Va",G482&lt;&gt;"H. Sale Real"),IF(G486-G482&lt;0.208333333333333,G486-G482,""),IF(AND(G481&lt;&gt;"",LEFT(C481,2)&lt;&gt;"Va",G481&lt;&gt;"H. Sale Real"),IF(G486-G481&lt;0.208333333333333,G486-G481,""),""))))),""),"")</f>
        <v/>
      </c>
      <c r="U485" s="87" t="n"/>
      <c r="V485" s="89" t="n"/>
      <c r="W485" s="87" t="n"/>
      <c r="X485" s="89" t="n"/>
      <c r="Y485" s="91" t="n"/>
      <c r="Z485" s="122">
        <f>IF(G485&lt;&gt;"",IF(AND(Z484&lt;&gt;"IE",P485&lt;&gt;0,R485&lt;&gt;""),IF(IFERROR((P485/R485),0) &lt;=1,IFERROR(P485/R485,""),1),""),"")</f>
        <v/>
      </c>
      <c r="AA485" s="93" t="n"/>
      <c r="AB485" s="2" t="n"/>
      <c r="AE485" s="10">
        <f>HOUR(AK485)+1</f>
        <v/>
      </c>
      <c r="AF485" s="7" t="n"/>
      <c r="AG485" s="7" t="n"/>
      <c r="AH485" s="86" t="n"/>
      <c r="AI485" s="8" t="n"/>
      <c r="AJ485" s="86" t="n"/>
      <c r="AK485" s="87" t="n"/>
      <c r="AL485" s="88">
        <f>IF(AM485="","",IF(AND((AM485-AK485)&gt;=TIME(0,0,0),(AM485-AK485)&lt;TIME(0,3,0)),"OK",IF(AND((AM485-AK485)&gt;=TIME(0,3,0),(AM485-AK485)&lt;TIME(0,5,0)),"RETRASO DE 3-5 MIN",IF(AND((AM485-AK485)&gt;=TIME(0,5,0),(AM485-AK485)&lt;TIME(0,10,0)),"RETRASO DE 5-10 MIN",IF((AM485-AK485)&gt;=TIME(0,10,0),"RETRASO &gt;10 MIN", IF(AND((AK485-AM485)&gt;=TIME(0,0,0),(AK485-AM485)&lt;TIME(0,3,0)),"OK",IF((AK485-AM485)&gt;=TIME(0,3,0),"ADELANTADO")))))))</f>
        <v/>
      </c>
      <c r="AM485" s="91" t="n"/>
      <c r="AN485" s="89">
        <f>IF(AE485&lt;&gt;"",HLOOKUP(VALUE(TEXT(AK485,"h:mm:ss")),IF($C$6="Laboral",$FZ$4:$GX$227,IF($C$6="Sábado",$FZ$231:$GX$452,$FZ$456:$GX$656)),VLOOKUP($C$4,$HF$2:$HH$99,3,0)+IF(AG$5="Ida",0,1),1),"")</f>
        <v/>
      </c>
      <c r="AO485" s="89">
        <f>IF(AE486&lt;&gt;AE485,AVERAGEIF(AE$9:AE485,AE485,AN$9:AN485),"")</f>
        <v/>
      </c>
      <c r="AP485" s="89">
        <f>IFERROR(IF(AE486&lt;&gt;AE485,AVERAGEIF(AE$9:AE485,AE485,AW$9:AW485),""),"")</f>
        <v/>
      </c>
      <c r="AQ485" s="89">
        <f>IFERROR(IF(AE486&lt;&gt;AE485,AVERAGEIF(AE$9:AE485,AE485,AX$9:AX485),""),"")</f>
        <v/>
      </c>
      <c r="AR485" s="89">
        <f t="array" ref="AR485">IFERROR(IF(AE486&lt;&gt;AE485,_xlfn.STDEV.P(IF(AE$9:AE485=AE485,AX$9:AX485)),""),"")</f>
        <v/>
      </c>
      <c r="AS485" s="89">
        <f t="array" ref="AS485">IFERROR(IF(AE486&lt;&gt;AE485,_xlfn.STDEV.P(IF(AE$9:AE485=AE485,AW$9:AW485)),""),"")</f>
        <v/>
      </c>
      <c r="AT485" s="90">
        <f>IFERROR(IF(AE485&lt;&gt;AE486,MAX((((AQ485*24*60)/2)*(1+POWER((((AR485*24*60) / (AQ485*24*60) )),2))) + ((AQ485*24*60 )*-0.1 + (AO485*0.015)) +1,(((AQ485*24*60)/2)*(1+POWER((((AR485*24*60) / (AQ485*24*60 ))),2)))),""),"")</f>
        <v/>
      </c>
      <c r="AU485" s="90">
        <f>IF(AND(AS485&lt;&gt;"",AP485&lt;&gt;""),IF(AE485&lt;&gt;AE486,((AP485*24*60) / 2 ) * (1 + POWER(((AS485*24*60) / (AP485*24*60)),2)),""),"")</f>
        <v/>
      </c>
      <c r="AV485" s="90">
        <f>IF(AU485&lt;&gt;"",MAX(AT485,AU485),"")</f>
        <v/>
      </c>
      <c r="AW485" s="89">
        <f>IF(AM485&lt;&gt;"H. Sale Real",IF(AND(AM486&lt;&gt;"",LEFT(AG486,2)&lt;&gt;"Va"),IF(AND(AM485&lt;&gt;"",LEFT(AG485,2)&lt;&gt;"Va",AM485&lt;&gt;"H. Sale Real"),IF(AM486-AM485&lt;0.208333333333333,AM486-AM485,""),IF(AND(AM484&lt;&gt;"",LEFT(AG484,2)&lt;&gt;"Va",AM484&lt;&gt;"H. Sale Real"),IF(AM486-AM484&lt;0.208333333333333,AM486-AM484,""),IF(AND(AM483&lt;&gt;"",LEFT(AG483,2)&lt;&gt;"Va",AM483&lt;&gt;"H. Sale Real"),IF(AM486-AM483&lt;0.208333333333333,AM486-AM483,""),IF(AND(AM482&lt;&gt;"",LEFT(AG482,2)&lt;&gt;"Va",AM482&lt;&gt;"H. Sale Real"),IF(AM486-AM482&lt;0.208333333333333,AM486-AM482,""),IF(AND(AM481&lt;&gt;"",LEFT(AG481,2)&lt;&gt;"Va",AM481&lt;&gt;"H. Sale Real"),IF(AM486-AM481&lt;0.208333333333333,AM486-AM481,""),""))))),""),"")</f>
        <v/>
      </c>
      <c r="AX485" s="89">
        <f>IF(AK485&lt;&gt;"H. Sale Real",IF(AND(AK486&lt;&gt;"",LEFT(AG486,2)&lt;&gt;"Va"),IF(AND(AK485&lt;&gt;"",LEFT(AG485,2)&lt;&gt;"Va",AK485&lt;&gt;"H. Sale Real"),IF(AK486-AK485&lt;0.208333333333333,AK486-AK485,""),IF(AND(AK484&lt;&gt;"",LEFT(AG484,2)&lt;&gt;"Va",AK484&lt;&gt;"H. Sale Real"),IF(AK486-AK484&lt;0.208333333333333,AK486-AK484,""),IF(AND(AK483&lt;&gt;"",LEFT(AG483,2)&lt;&gt;"NC",AK483&lt;&gt;"H. Sale Real"),IF(AK486-AK483&lt;0.208333333333333,AK486-AK483,""),IF(AND(AK482&lt;&gt;"",LEFT(AG482,2)&lt;&gt;"Va",AK482&lt;&gt;"H. Sale Real"),IF(AK486-AK482&lt;0.208333333333333,AK486-AK482,""),IF(AND(AK481&lt;&gt;"",LEFT(AG481,2)&lt;&gt;"Va",AK481&lt;&gt;"H. Sale Real"),IF(AK486-AK481&lt;0.208333333333333,AK486-AK481,""),""))))),""),"")</f>
        <v/>
      </c>
      <c r="AY485" s="87" t="n"/>
      <c r="AZ485" s="89" t="n"/>
      <c r="BA485" s="87" t="n"/>
      <c r="BB485" s="89" t="n"/>
      <c r="BC485" s="91" t="n"/>
      <c r="BD485" s="122">
        <f>IF(AK485&lt;&gt;"",IF(AND(BD484&lt;&gt;"IE",AT485&lt;&gt;0,AV485&lt;&gt;""),IF(IFERROR((AT485/AV485),0) &lt;=1,IFERROR(AT485/AV485,""),1),""),"")</f>
        <v/>
      </c>
      <c r="BE485" s="93" t="n"/>
      <c r="BF485" s="105" t="n"/>
      <c r="FC485" t="inlineStr">
        <is>
          <t>Diccionario 1</t>
        </is>
      </c>
      <c r="FD485" s="15" t="inlineStr"/>
      <c r="FE485" s="17" t="inlineStr">
        <is>
          <t>LDYECS311S0044417</t>
        </is>
      </c>
      <c r="FF485" s="18" t="inlineStr">
        <is>
          <t>MDN35025030119</t>
        </is>
      </c>
      <c r="FG485" s="18" t="inlineStr">
        <is>
          <t>Zhong Thong</t>
        </is>
      </c>
      <c r="FH485" s="18" t="inlineStr">
        <is>
          <t>Lck6122evg</t>
        </is>
      </c>
      <c r="FI485" s="18" t="inlineStr">
        <is>
          <t>Zhong Thong</t>
        </is>
      </c>
      <c r="FJ485" s="18" t="inlineStr">
        <is>
          <t>Lck6122evg</t>
        </is>
      </c>
      <c r="FK485" s="18" t="n">
        <v>2026</v>
      </c>
      <c r="FL485" s="18" t="inlineStr">
        <is>
          <t>B</t>
        </is>
      </c>
      <c r="FM485" s="18" t="inlineStr">
        <is>
          <t>Lo Blanco</t>
        </is>
      </c>
      <c r="FP485" t="inlineStr">
        <is>
          <t>B</t>
        </is>
      </c>
      <c r="FS485" s="14" t="inlineStr">
        <is>
          <t>GCBF-53</t>
        </is>
      </c>
      <c r="FT485" t="inlineStr">
        <is>
          <t>GCBF-53</t>
        </is>
      </c>
      <c r="FU485" t="inlineStr">
        <is>
          <t>GCBF-53</t>
        </is>
      </c>
      <c r="FV485">
        <f>VLOOKUP(FU485,FD:FL,9,0)</f>
        <v/>
      </c>
      <c r="FZ485" s="51" t="inlineStr">
        <is>
          <t>B29</t>
        </is>
      </c>
      <c r="GA485" s="43" t="n">
        <v>0</v>
      </c>
      <c r="GB485" s="43" t="n">
        <v>0</v>
      </c>
      <c r="GC485" s="43" t="n">
        <v>0</v>
      </c>
      <c r="GD485" s="43" t="n">
        <v>0</v>
      </c>
      <c r="GE485" s="43" t="n">
        <v>0</v>
      </c>
      <c r="GF485" s="43" t="n">
        <v>25.99</v>
      </c>
      <c r="GG485" s="43" t="n">
        <v>25.06</v>
      </c>
      <c r="GH485" s="43" t="n">
        <v>24.27</v>
      </c>
      <c r="GI485" s="43" t="n">
        <v>23.19</v>
      </c>
      <c r="GJ485" s="43" t="n">
        <v>22.575</v>
      </c>
      <c r="GK485" s="43" t="n">
        <v>22.115</v>
      </c>
      <c r="GL485" s="43" t="n">
        <v>21.69</v>
      </c>
      <c r="GM485" s="43" t="n">
        <v>21.195</v>
      </c>
      <c r="GN485" s="43" t="n">
        <v>21.17</v>
      </c>
      <c r="GO485" s="43" t="n">
        <v>21.64</v>
      </c>
      <c r="GP485" s="43" t="n">
        <v>21.63</v>
      </c>
      <c r="GQ485" s="43" t="n">
        <v>20.975</v>
      </c>
      <c r="GR485" s="43" t="n">
        <v>20.195</v>
      </c>
      <c r="GS485" s="43" t="n">
        <v>20.725</v>
      </c>
      <c r="GT485" s="43" t="n">
        <v>21.85</v>
      </c>
      <c r="GU485" s="43" t="n">
        <v>22.8</v>
      </c>
      <c r="GV485" s="43" t="n">
        <v>24.365</v>
      </c>
      <c r="GW485" s="43" t="n">
        <v>25.96</v>
      </c>
      <c r="GX485" s="43" t="n">
        <v>28.02</v>
      </c>
      <c r="HA485" s="35" t="n">
        <v>30</v>
      </c>
      <c r="HB485" s="35" t="n">
        <v>479</v>
      </c>
    </row>
    <row r="486" ht="15.5" customHeight="1">
      <c r="A486" s="10">
        <f>HOUR(G486)+1</f>
        <v/>
      </c>
      <c r="B486" s="7" t="n"/>
      <c r="C486" s="7" t="n"/>
      <c r="D486" s="85">
        <f>IFERROR(
IF(AND(OR(Planilla!B486="C",Planilla!B486="c"), VLOOKUP(E486,FD:FP,13,0)="C"), "OK",IF(AND(OR(Planilla!B486="C",Planilla!B486="c"), OR(VLOOKUP(E486,FD:FP,13,0)="B", VLOOKUP(E486,FD:FP,13,0)="A")), "DEFICIT",IF(
AND(OR(Planilla!B486="B", Planilla!B486="BPAL"), VLOOKUP(E486,FD:FP,13,0)="B"), "OK",IF(AND(OR(Planilla!B486="B", Planilla!B486="BPAL"), VLOOKUP(E486,FD:FP,13,0)="A"), "DEFICIT",IF(AND(OR(Planilla!B486="B", Planilla!B486="BPAL"), VLOOKUP(E486,FD:FP,13,0)="C"), "SOBREOFERTA",IF(AND(Planilla!B486="A", VLOOKUP(E486,FD:FP,13,0)="A"), "OK",IF(
AND(Planilla!B486="A", OR(VLOOKUP(E486,FD:FP,13,0)="B", VLOOKUP(E486,FD:FP,13,0)="C")), "SOBREOFERTA",""
))))))),"")</f>
        <v/>
      </c>
      <c r="E486" s="8" t="n"/>
      <c r="F486" s="86" t="n"/>
      <c r="G486" s="87" t="n"/>
      <c r="H486" s="88">
        <f>IF(I486="","",IF(AND((I486-G486)&gt;=TIME(0,0,0),(I486-G486)&lt;TIME(0,3,0)),"OK",IF(AND((I486-G486)&gt;=TIME(0,3,0),(I486-G486)&lt;TIME(0,5,0)),"RETRASO DE 3-5 MIN",IF(AND((I486-G486)&gt;=TIME(0,5,0),(I486-G486)&lt;TIME(0,10,0)),"RETRASO DE 5-10 MIN",IF((I486-G486)&gt;=TIME(0,10,0),"RETRASO &gt;10 MIN", IF(AND((G486-I486)&gt;=TIME(0,0,0),(G486-I486)&lt;TIME(0,3,0)),"OK",IF((G486-I486)&gt;=TIME(0,3,0),"ADELANTADO")))))))</f>
        <v/>
      </c>
      <c r="I486" s="89" t="n"/>
      <c r="J486" s="89">
        <f>IF(A486&lt;&gt;"",HLOOKUP(VALUE(TEXT(G486,"h:mm:ss")),IF($C$6="Laboral",$FZ$4:$GX$227,IF($C$6="Sábado",$FZ$231:$GX$452,$FZ$456:$GX$656)),VLOOKUP($C$4,$HF$2:$HH$99,3,0)+IF(C$5="Ida",0,1),1),"")</f>
        <v/>
      </c>
      <c r="K486" s="89">
        <f>IF(A487&lt;&gt;A486,AVERAGEIF(A$9:A486,A486,J$9:J486),"")</f>
        <v/>
      </c>
      <c r="L486" s="89">
        <f>IFERROR(IF(A487&lt;&gt;A486,AVERAGEIF(A$9:A486,A486,S$9:S486),""),"")</f>
        <v/>
      </c>
      <c r="M486" s="89">
        <f>IFERROR(IF(A487&lt;&gt;A486,AVERAGEIF(A$9:A486,A486,T$9:T486),""),"")</f>
        <v/>
      </c>
      <c r="N486" s="89">
        <f t="array" ref="N486">IFERROR(IF(A487&lt;&gt;A486,_xlfn.STDEV.P(IF(A$9:A486=A486,T$9:T486)),""),"")</f>
        <v/>
      </c>
      <c r="O486" s="89">
        <f t="array" ref="O486">IFERROR(IF(A487&lt;&gt;A486,_xlfn.STDEV.P(IF(A$9:A486=A486,S$9:S486)),""),"")</f>
        <v/>
      </c>
      <c r="P486" s="90">
        <f>IFERROR(IF(A486&lt;&gt;A487,MAX((((M486*24*60)/2)*(1+POWER((((N486*24*60) / (M486*24*60) )),2))) + ((M486*24*60 )*-0.1 + (K486*0.015)) +1,(((M486*24*60)/2)*(1+POWER((((N486*24*60) / (M486*24*60 ))),2)))),""),"")</f>
        <v/>
      </c>
      <c r="Q486" s="90">
        <f>IF(AND(O486&lt;&gt;"",L486&lt;&gt;""),IF(A486&lt;&gt;A487,((L486*24*60) / 2 ) * (1 + POWER(((O486*24*60) / (L486*24*60)),2)),""),"")</f>
        <v/>
      </c>
      <c r="R486" s="90">
        <f>IF(Q486&lt;&gt;"",MAX(P486,Q486),"")</f>
        <v/>
      </c>
      <c r="S486" s="89">
        <f>IF(I486&lt;&gt;"H. Sale Real",IF(AND(I487&lt;&gt;"",LEFT(C487,2)&lt;&gt;"Va"),IF(AND(I486&lt;&gt;"",LEFT(C486,2)&lt;&gt;"Va",I486&lt;&gt;"H. Sale Real"),IF(I487-I486&lt;0.208333333333333,I487-I486,""),IF(AND(I485&lt;&gt;"",LEFT(C485,2)&lt;&gt;"Va",I485&lt;&gt;"H. Sale Real"),IF(I487-I485&lt;0.208333333333333,I487-I485,""),IF(AND(I484&lt;&gt;"",LEFT(C484,2)&lt;&gt;"Va",I484&lt;&gt;"H. Sale Real"),IF(I487-I484&lt;0.208333333333333,I487-I484,""),IF(AND(I483&lt;&gt;"",LEFT(C483,2)&lt;&gt;"Va",I483&lt;&gt;"H. Sale Real"),IF(I487-I483&lt;0.208333333333333,I487-I483,""),IF(AND(I482&lt;&gt;"",LEFT(C482,2)&lt;&gt;"Va",I482&lt;&gt;"H. Sale Real"),IF(I487-I482&lt;0.208333333333333,I487-I482,""),""))))),""),"")</f>
        <v/>
      </c>
      <c r="T486" s="89">
        <f>IF(G486&lt;&gt;"H. Sale Real",IF(AND(G487&lt;&gt;"",LEFT(C487,2)&lt;&gt;"Va"),IF(AND(G486&lt;&gt;"",LEFT(C486,2)&lt;&gt;"Va",G486&lt;&gt;"H. Sale Real"),IF(G487-G486&lt;0.208333333333333,G487-G486,""),IF(AND(G485&lt;&gt;"",LEFT(C485,2)&lt;&gt;"Va",G485&lt;&gt;"H. Sale Real"),IF(G487-G485&lt;0.208333333333333,G487-G485,""),IF(AND(G484&lt;&gt;"",LEFT(C484,2)&lt;&gt;"Va",G484&lt;&gt;"H. Sale Real"),IF(G487-G484&lt;0.208333333333333,G487-G484,""),IF(AND(G483&lt;&gt;"",LEFT(C483,2)&lt;&gt;"Va",G483&lt;&gt;"H. Sale Real"),IF(G487-G483&lt;0.208333333333333,G487-G483,""),IF(AND(G482&lt;&gt;"",LEFT(C482,2)&lt;&gt;"Va",G482&lt;&gt;"H. Sale Real"),IF(G487-G482&lt;0.208333333333333,G487-G482,""),""))))),""),"")</f>
        <v/>
      </c>
      <c r="U486" s="87" t="n"/>
      <c r="V486" s="89" t="n"/>
      <c r="W486" s="87" t="n"/>
      <c r="X486" s="89" t="n"/>
      <c r="Y486" s="91" t="n"/>
      <c r="Z486" s="122">
        <f>IF(G486&lt;&gt;"",IF(AND(Z485&lt;&gt;"IE",P486&lt;&gt;0,R486&lt;&gt;""),IF(IFERROR((P486/R486),0) &lt;=1,IFERROR(P486/R486,""),1),""),"")</f>
        <v/>
      </c>
      <c r="AA486" s="93" t="n"/>
      <c r="AB486" s="2" t="n"/>
      <c r="AE486" s="10">
        <f>HOUR(AK486)+1</f>
        <v/>
      </c>
      <c r="AF486" s="7" t="n"/>
      <c r="AG486" s="7" t="n"/>
      <c r="AH486" s="86" t="n"/>
      <c r="AI486" s="8" t="n"/>
      <c r="AJ486" s="86" t="n"/>
      <c r="AK486" s="87" t="n"/>
      <c r="AL486" s="88">
        <f>IF(AM486="","",IF(AND((AM486-AK486)&gt;=TIME(0,0,0),(AM486-AK486)&lt;TIME(0,3,0)),"OK",IF(AND((AM486-AK486)&gt;=TIME(0,3,0),(AM486-AK486)&lt;TIME(0,5,0)),"RETRASO DE 3-5 MIN",IF(AND((AM486-AK486)&gt;=TIME(0,5,0),(AM486-AK486)&lt;TIME(0,10,0)),"RETRASO DE 5-10 MIN",IF((AM486-AK486)&gt;=TIME(0,10,0),"RETRASO &gt;10 MIN", IF(AND((AK486-AM486)&gt;=TIME(0,0,0),(AK486-AM486)&lt;TIME(0,3,0)),"OK",IF((AK486-AM486)&gt;=TIME(0,3,0),"ADELANTADO")))))))</f>
        <v/>
      </c>
      <c r="AM486" s="91" t="n"/>
      <c r="AN486" s="89">
        <f>IF(AE486&lt;&gt;"",HLOOKUP(VALUE(TEXT(AK486,"h:mm:ss")),IF($C$6="Laboral",$FZ$4:$GX$227,IF($C$6="Sábado",$FZ$231:$GX$452,$FZ$456:$GX$656)),VLOOKUP($C$4,$HF$2:$HH$99,3,0)+IF(AG$5="Ida",0,1),1),"")</f>
        <v/>
      </c>
      <c r="AO486" s="89">
        <f>IF(AE487&lt;&gt;AE486,AVERAGEIF(AE$9:AE486,AE486,AN$9:AN486),"")</f>
        <v/>
      </c>
      <c r="AP486" s="89">
        <f>IFERROR(IF(AE487&lt;&gt;AE486,AVERAGEIF(AE$9:AE486,AE486,AW$9:AW486),""),"")</f>
        <v/>
      </c>
      <c r="AQ486" s="89">
        <f>IFERROR(IF(AE487&lt;&gt;AE486,AVERAGEIF(AE$9:AE486,AE486,AX$9:AX486),""),"")</f>
        <v/>
      </c>
      <c r="AR486" s="89">
        <f t="array" ref="AR486">IFERROR(IF(AE487&lt;&gt;AE486,_xlfn.STDEV.P(IF(AE$9:AE486=AE486,AX$9:AX486)),""),"")</f>
        <v/>
      </c>
      <c r="AS486" s="89">
        <f t="array" ref="AS486">IFERROR(IF(AE487&lt;&gt;AE486,_xlfn.STDEV.P(IF(AE$9:AE486=AE486,AW$9:AW486)),""),"")</f>
        <v/>
      </c>
      <c r="AT486" s="90">
        <f>IFERROR(IF(AE486&lt;&gt;AE487,MAX((((AQ486*24*60)/2)*(1+POWER((((AR486*24*60) / (AQ486*24*60) )),2))) + ((AQ486*24*60 )*-0.1 + (AO486*0.015)) +1,(((AQ486*24*60)/2)*(1+POWER((((AR486*24*60) / (AQ486*24*60 ))),2)))),""),"")</f>
        <v/>
      </c>
      <c r="AU486" s="90">
        <f>IF(AND(AS486&lt;&gt;"",AP486&lt;&gt;""),IF(AE486&lt;&gt;AE487,((AP486*24*60) / 2 ) * (1 + POWER(((AS486*24*60) / (AP486*24*60)),2)),""),"")</f>
        <v/>
      </c>
      <c r="AV486" s="90">
        <f>IF(AU486&lt;&gt;"",MAX(AT486,AU486),"")</f>
        <v/>
      </c>
      <c r="AW486" s="89">
        <f>IF(AM486&lt;&gt;"H. Sale Real",IF(AND(AM487&lt;&gt;"",LEFT(AG487,2)&lt;&gt;"Va"),IF(AND(AM486&lt;&gt;"",LEFT(AG486,2)&lt;&gt;"Va",AM486&lt;&gt;"H. Sale Real"),IF(AM487-AM486&lt;0.208333333333333,AM487-AM486,""),IF(AND(AM485&lt;&gt;"",LEFT(AG485,2)&lt;&gt;"Va",AM485&lt;&gt;"H. Sale Real"),IF(AM487-AM485&lt;0.208333333333333,AM487-AM485,""),IF(AND(AM484&lt;&gt;"",LEFT(AG484,2)&lt;&gt;"Va",AM484&lt;&gt;"H. Sale Real"),IF(AM487-AM484&lt;0.208333333333333,AM487-AM484,""),IF(AND(AM483&lt;&gt;"",LEFT(AG483,2)&lt;&gt;"Va",AM483&lt;&gt;"H. Sale Real"),IF(AM487-AM483&lt;0.208333333333333,AM487-AM483,""),IF(AND(AM482&lt;&gt;"",LEFT(AG482,2)&lt;&gt;"Va",AM482&lt;&gt;"H. Sale Real"),IF(AM487-AM482&lt;0.208333333333333,AM487-AM482,""),""))))),""),"")</f>
        <v/>
      </c>
      <c r="AX486" s="89">
        <f>IF(AK486&lt;&gt;"H. Sale Real",IF(AND(AK487&lt;&gt;"",LEFT(AG487,2)&lt;&gt;"Va"),IF(AND(AK486&lt;&gt;"",LEFT(AG486,2)&lt;&gt;"Va",AK486&lt;&gt;"H. Sale Real"),IF(AK487-AK486&lt;0.208333333333333,AK487-AK486,""),IF(AND(AK485&lt;&gt;"",LEFT(AG485,2)&lt;&gt;"Va",AK485&lt;&gt;"H. Sale Real"),IF(AK487-AK485&lt;0.208333333333333,AK487-AK485,""),IF(AND(AK484&lt;&gt;"",LEFT(AG484,2)&lt;&gt;"NC",AK484&lt;&gt;"H. Sale Real"),IF(AK487-AK484&lt;0.208333333333333,AK487-AK484,""),IF(AND(AK483&lt;&gt;"",LEFT(AG483,2)&lt;&gt;"Va",AK483&lt;&gt;"H. Sale Real"),IF(AK487-AK483&lt;0.208333333333333,AK487-AK483,""),IF(AND(AK482&lt;&gt;"",LEFT(AG482,2)&lt;&gt;"Va",AK482&lt;&gt;"H. Sale Real"),IF(AK487-AK482&lt;0.208333333333333,AK487-AK482,""),""))))),""),"")</f>
        <v/>
      </c>
      <c r="AY486" s="87" t="n"/>
      <c r="AZ486" s="89" t="n"/>
      <c r="BA486" s="87" t="n"/>
      <c r="BB486" s="89" t="n"/>
      <c r="BC486" s="91" t="n"/>
      <c r="BD486" s="122">
        <f>IF(AK486&lt;&gt;"",IF(AND(BD485&lt;&gt;"IE",AT486&lt;&gt;0,AV486&lt;&gt;""),IF(IFERROR((AT486/AV486),0) &lt;=1,IFERROR(AT486/AV486,""),1),""),"")</f>
        <v/>
      </c>
      <c r="BE486" s="93" t="n"/>
      <c r="BF486" s="105" t="n"/>
      <c r="FC486" t="inlineStr">
        <is>
          <t>Diccionario 1</t>
        </is>
      </c>
      <c r="FD486" s="15" t="inlineStr"/>
      <c r="FE486" s="17" t="inlineStr">
        <is>
          <t>LDYECS31XS0044416</t>
        </is>
      </c>
      <c r="FF486" s="18" t="inlineStr">
        <is>
          <t>MDN35025020083</t>
        </is>
      </c>
      <c r="FG486" s="18" t="inlineStr">
        <is>
          <t>Zhong Thong</t>
        </is>
      </c>
      <c r="FH486" s="18" t="inlineStr">
        <is>
          <t>Lck6122evg</t>
        </is>
      </c>
      <c r="FI486" s="18" t="inlineStr">
        <is>
          <t>Zhong Thong</t>
        </is>
      </c>
      <c r="FJ486" s="18" t="inlineStr">
        <is>
          <t>Lck6122evg</t>
        </is>
      </c>
      <c r="FK486" s="18" t="n">
        <v>2026</v>
      </c>
      <c r="FL486" s="18" t="inlineStr">
        <is>
          <t>B</t>
        </is>
      </c>
      <c r="FM486" s="18" t="inlineStr">
        <is>
          <t>Lo Blanco</t>
        </is>
      </c>
      <c r="FP486" t="inlineStr">
        <is>
          <t>B</t>
        </is>
      </c>
      <c r="FS486" s="14" t="inlineStr">
        <is>
          <t>LZPT-70</t>
        </is>
      </c>
      <c r="FT486" t="inlineStr">
        <is>
          <t>LZPT-70</t>
        </is>
      </c>
      <c r="FU486" t="inlineStr">
        <is>
          <t>LZPT-70</t>
        </is>
      </c>
      <c r="FV486">
        <f>VLOOKUP(FU486,FD:FL,9,0)</f>
        <v/>
      </c>
      <c r="FZ486" s="51" t="inlineStr">
        <is>
          <t>B30n</t>
        </is>
      </c>
      <c r="GA486" s="43" t="n">
        <v>22.69</v>
      </c>
      <c r="GB486" s="43" t="n">
        <v>22.99</v>
      </c>
      <c r="GC486" s="43" t="n">
        <v>23.845</v>
      </c>
      <c r="GD486" s="43" t="n">
        <v>24.345</v>
      </c>
      <c r="GE486" s="43" t="n">
        <v>23.94</v>
      </c>
      <c r="GF486" s="43" t="n">
        <v>23.33</v>
      </c>
      <c r="GG486" s="43" t="n">
        <v>22.36</v>
      </c>
      <c r="GH486" s="43" t="n">
        <v>21.385</v>
      </c>
      <c r="GI486" s="43" t="n">
        <v>0</v>
      </c>
      <c r="GJ486" s="43" t="n">
        <v>0</v>
      </c>
      <c r="GK486" s="43" t="n">
        <v>0</v>
      </c>
      <c r="GL486" s="43" t="n">
        <v>0</v>
      </c>
      <c r="GM486" s="43" t="n">
        <v>0</v>
      </c>
      <c r="GN486" s="43" t="n">
        <v>0</v>
      </c>
      <c r="GO486" s="43" t="n">
        <v>0</v>
      </c>
      <c r="GP486" s="43" t="n">
        <v>0</v>
      </c>
      <c r="GQ486" s="43" t="n">
        <v>0</v>
      </c>
      <c r="GR486" s="43" t="n">
        <v>0</v>
      </c>
      <c r="GS486" s="43" t="n">
        <v>0</v>
      </c>
      <c r="GT486" s="43" t="n">
        <v>0</v>
      </c>
      <c r="GU486" s="43" t="n">
        <v>0</v>
      </c>
      <c r="GV486" s="43" t="n">
        <v>0</v>
      </c>
      <c r="GW486" s="43" t="n">
        <v>11.27</v>
      </c>
      <c r="GX486" s="43" t="n">
        <v>22.755</v>
      </c>
      <c r="HA486" s="35" t="n">
        <v>31</v>
      </c>
      <c r="HB486" s="35" t="n">
        <v>480</v>
      </c>
    </row>
    <row r="487" ht="15.5" customHeight="1">
      <c r="A487" s="10">
        <f>HOUR(G487)+1</f>
        <v/>
      </c>
      <c r="B487" s="7" t="n"/>
      <c r="C487" s="7" t="n"/>
      <c r="D487" s="85">
        <f>IFERROR(
IF(AND(OR(Planilla!B487="C",Planilla!B487="c"), VLOOKUP(E487,FD:FP,13,0)="C"), "OK",IF(AND(OR(Planilla!B487="C",Planilla!B487="c"), OR(VLOOKUP(E487,FD:FP,13,0)="B", VLOOKUP(E487,FD:FP,13,0)="A")), "DEFICIT",IF(
AND(OR(Planilla!B487="B", Planilla!B487="BPAL"), VLOOKUP(E487,FD:FP,13,0)="B"), "OK",IF(AND(OR(Planilla!B487="B", Planilla!B487="BPAL"), VLOOKUP(E487,FD:FP,13,0)="A"), "DEFICIT",IF(AND(OR(Planilla!B487="B", Planilla!B487="BPAL"), VLOOKUP(E487,FD:FP,13,0)="C"), "SOBREOFERTA",IF(AND(Planilla!B487="A", VLOOKUP(E487,FD:FP,13,0)="A"), "OK",IF(
AND(Planilla!B487="A", OR(VLOOKUP(E487,FD:FP,13,0)="B", VLOOKUP(E487,FD:FP,13,0)="C")), "SOBREOFERTA",""
))))))),"")</f>
        <v/>
      </c>
      <c r="E487" s="8" t="n"/>
      <c r="F487" s="86" t="n"/>
      <c r="G487" s="87" t="n"/>
      <c r="H487" s="88">
        <f>IF(I487="","",IF(AND((I487-G487)&gt;=TIME(0,0,0),(I487-G487)&lt;TIME(0,3,0)),"OK",IF(AND((I487-G487)&gt;=TIME(0,3,0),(I487-G487)&lt;TIME(0,5,0)),"RETRASO DE 3-5 MIN",IF(AND((I487-G487)&gt;=TIME(0,5,0),(I487-G487)&lt;TIME(0,10,0)),"RETRASO DE 5-10 MIN",IF((I487-G487)&gt;=TIME(0,10,0),"RETRASO &gt;10 MIN", IF(AND((G487-I487)&gt;=TIME(0,0,0),(G487-I487)&lt;TIME(0,3,0)),"OK",IF((G487-I487)&gt;=TIME(0,3,0),"ADELANTADO")))))))</f>
        <v/>
      </c>
      <c r="I487" s="89" t="n"/>
      <c r="J487" s="89">
        <f>IF(A487&lt;&gt;"",HLOOKUP(VALUE(TEXT(G487,"h:mm:ss")),IF($C$6="Laboral",$FZ$4:$GX$227,IF($C$6="Sábado",$FZ$231:$GX$452,$FZ$456:$GX$656)),VLOOKUP($C$4,$HF$2:$HH$99,3,0)+IF(C$5="Ida",0,1),1),"")</f>
        <v/>
      </c>
      <c r="K487" s="89">
        <f>IF(A488&lt;&gt;A487,AVERAGEIF(A$9:A487,A487,J$9:J487),"")</f>
        <v/>
      </c>
      <c r="L487" s="89">
        <f>IFERROR(IF(A488&lt;&gt;A487,AVERAGEIF(A$9:A487,A487,S$9:S487),""),"")</f>
        <v/>
      </c>
      <c r="M487" s="89">
        <f>IFERROR(IF(A488&lt;&gt;A487,AVERAGEIF(A$9:A487,A487,T$9:T487),""),"")</f>
        <v/>
      </c>
      <c r="N487" s="89">
        <f t="array" ref="N487">IFERROR(IF(A488&lt;&gt;A487,_xlfn.STDEV.P(IF(A$9:A487=A487,T$9:T487)),""),"")</f>
        <v/>
      </c>
      <c r="O487" s="89">
        <f t="array" ref="O487">IFERROR(IF(A488&lt;&gt;A487,_xlfn.STDEV.P(IF(A$9:A487=A487,S$9:S487)),""),"")</f>
        <v/>
      </c>
      <c r="P487" s="90">
        <f>IFERROR(IF(A487&lt;&gt;A488,MAX((((M487*24*60)/2)*(1+POWER((((N487*24*60) / (M487*24*60) )),2))) + ((M487*24*60 )*-0.1 + (K487*0.015)) +1,(((M487*24*60)/2)*(1+POWER((((N487*24*60) / (M487*24*60 ))),2)))),""),"")</f>
        <v/>
      </c>
      <c r="Q487" s="90">
        <f>IF(AND(O487&lt;&gt;"",L487&lt;&gt;""),IF(A487&lt;&gt;A488,((L487*24*60) / 2 ) * (1 + POWER(((O487*24*60) / (L487*24*60)),2)),""),"")</f>
        <v/>
      </c>
      <c r="R487" s="90">
        <f>IF(Q487&lt;&gt;"",MAX(P487,Q487),"")</f>
        <v/>
      </c>
      <c r="S487" s="89">
        <f>IF(I487&lt;&gt;"H. Sale Real",IF(AND(I488&lt;&gt;"",LEFT(C488,2)&lt;&gt;"Va"),IF(AND(I487&lt;&gt;"",LEFT(C487,2)&lt;&gt;"Va",I487&lt;&gt;"H. Sale Real"),IF(I488-I487&lt;0.208333333333333,I488-I487,""),IF(AND(I486&lt;&gt;"",LEFT(C486,2)&lt;&gt;"Va",I486&lt;&gt;"H. Sale Real"),IF(I488-I486&lt;0.208333333333333,I488-I486,""),IF(AND(I485&lt;&gt;"",LEFT(C485,2)&lt;&gt;"Va",I485&lt;&gt;"H. Sale Real"),IF(I488-I485&lt;0.208333333333333,I488-I485,""),IF(AND(I484&lt;&gt;"",LEFT(C484,2)&lt;&gt;"Va",I484&lt;&gt;"H. Sale Real"),IF(I488-I484&lt;0.208333333333333,I488-I484,""),IF(AND(I483&lt;&gt;"",LEFT(C483,2)&lt;&gt;"Va",I483&lt;&gt;"H. Sale Real"),IF(I488-I483&lt;0.208333333333333,I488-I483,""),""))))),""),"")</f>
        <v/>
      </c>
      <c r="T487" s="89">
        <f>IF(G487&lt;&gt;"H. Sale Real",IF(AND(G488&lt;&gt;"",LEFT(C488,2)&lt;&gt;"Va"),IF(AND(G487&lt;&gt;"",LEFT(C487,2)&lt;&gt;"Va",G487&lt;&gt;"H. Sale Real"),IF(G488-G487&lt;0.208333333333333,G488-G487,""),IF(AND(G486&lt;&gt;"",LEFT(C486,2)&lt;&gt;"Va",G486&lt;&gt;"H. Sale Real"),IF(G488-G486&lt;0.208333333333333,G488-G486,""),IF(AND(G485&lt;&gt;"",LEFT(C485,2)&lt;&gt;"Va",G485&lt;&gt;"H. Sale Real"),IF(G488-G485&lt;0.208333333333333,G488-G485,""),IF(AND(G484&lt;&gt;"",LEFT(C484,2)&lt;&gt;"Va",G484&lt;&gt;"H. Sale Real"),IF(G488-G484&lt;0.208333333333333,G488-G484,""),IF(AND(G483&lt;&gt;"",LEFT(C483,2)&lt;&gt;"Va",G483&lt;&gt;"H. Sale Real"),IF(G488-G483&lt;0.208333333333333,G488-G483,""),""))))),""),"")</f>
        <v/>
      </c>
      <c r="U487" s="87" t="n"/>
      <c r="V487" s="89" t="n"/>
      <c r="W487" s="87" t="n"/>
      <c r="X487" s="89" t="n"/>
      <c r="Y487" s="91" t="n"/>
      <c r="Z487" s="122">
        <f>IF(G487&lt;&gt;"",IF(AND(Z486&lt;&gt;"IE",P487&lt;&gt;0,R487&lt;&gt;""),IF(IFERROR((P487/R487),0) &lt;=1,IFERROR(P487/R487,""),1),""),"")</f>
        <v/>
      </c>
      <c r="AA487" s="93" t="n"/>
      <c r="AB487" s="2" t="n"/>
      <c r="AE487" s="10">
        <f>HOUR(AK487)+1</f>
        <v/>
      </c>
      <c r="AF487" s="7" t="n"/>
      <c r="AG487" s="7" t="n"/>
      <c r="AH487" s="86" t="n"/>
      <c r="AI487" s="8" t="n"/>
      <c r="AJ487" s="86" t="n"/>
      <c r="AK487" s="87" t="n"/>
      <c r="AL487" s="88">
        <f>IF(AM487="","",IF(AND((AM487-AK487)&gt;=TIME(0,0,0),(AM487-AK487)&lt;TIME(0,3,0)),"OK",IF(AND((AM487-AK487)&gt;=TIME(0,3,0),(AM487-AK487)&lt;TIME(0,5,0)),"RETRASO DE 3-5 MIN",IF(AND((AM487-AK487)&gt;=TIME(0,5,0),(AM487-AK487)&lt;TIME(0,10,0)),"RETRASO DE 5-10 MIN",IF((AM487-AK487)&gt;=TIME(0,10,0),"RETRASO &gt;10 MIN", IF(AND((AK487-AM487)&gt;=TIME(0,0,0),(AK487-AM487)&lt;TIME(0,3,0)),"OK",IF((AK487-AM487)&gt;=TIME(0,3,0),"ADELANTADO")))))))</f>
        <v/>
      </c>
      <c r="AM487" s="91" t="n"/>
      <c r="AN487" s="89">
        <f>IF(AE487&lt;&gt;"",HLOOKUP(VALUE(TEXT(AK487,"h:mm:ss")),IF($C$6="Laboral",$FZ$4:$GX$227,IF($C$6="Sábado",$FZ$231:$GX$452,$FZ$456:$GX$656)),VLOOKUP($C$4,$HF$2:$HH$99,3,0)+IF(AG$5="Ida",0,1),1),"")</f>
        <v/>
      </c>
      <c r="AO487" s="89">
        <f>IF(AE488&lt;&gt;AE487,AVERAGEIF(AE$9:AE487,AE487,AN$9:AN487),"")</f>
        <v/>
      </c>
      <c r="AP487" s="89">
        <f>IFERROR(IF(AE488&lt;&gt;AE487,AVERAGEIF(AE$9:AE487,AE487,AW$9:AW487),""),"")</f>
        <v/>
      </c>
      <c r="AQ487" s="89">
        <f>IFERROR(IF(AE488&lt;&gt;AE487,AVERAGEIF(AE$9:AE487,AE487,AX$9:AX487),""),"")</f>
        <v/>
      </c>
      <c r="AR487" s="89">
        <f t="array" ref="AR487">IFERROR(IF(AE488&lt;&gt;AE487,_xlfn.STDEV.P(IF(AE$9:AE487=AE487,AX$9:AX487)),""),"")</f>
        <v/>
      </c>
      <c r="AS487" s="89">
        <f t="array" ref="AS487">IFERROR(IF(AE488&lt;&gt;AE487,_xlfn.STDEV.P(IF(AE$9:AE487=AE487,AW$9:AW487)),""),"")</f>
        <v/>
      </c>
      <c r="AT487" s="90">
        <f>IFERROR(IF(AE487&lt;&gt;AE488,MAX((((AQ487*24*60)/2)*(1+POWER((((AR487*24*60) / (AQ487*24*60) )),2))) + ((AQ487*24*60 )*-0.1 + (AO487*0.015)) +1,(((AQ487*24*60)/2)*(1+POWER((((AR487*24*60) / (AQ487*24*60 ))),2)))),""),"")</f>
        <v/>
      </c>
      <c r="AU487" s="90">
        <f>IF(AND(AS487&lt;&gt;"",AP487&lt;&gt;""),IF(AE487&lt;&gt;AE488,((AP487*24*60) / 2 ) * (1 + POWER(((AS487*24*60) / (AP487*24*60)),2)),""),"")</f>
        <v/>
      </c>
      <c r="AV487" s="90">
        <f>IF(AU487&lt;&gt;"",MAX(AT487,AU487),"")</f>
        <v/>
      </c>
      <c r="AW487" s="89">
        <f>IF(AM487&lt;&gt;"H. Sale Real",IF(AND(AM488&lt;&gt;"",LEFT(AG488,2)&lt;&gt;"Va"),IF(AND(AM487&lt;&gt;"",LEFT(AG487,2)&lt;&gt;"Va",AM487&lt;&gt;"H. Sale Real"),IF(AM488-AM487&lt;0.208333333333333,AM488-AM487,""),IF(AND(AM486&lt;&gt;"",LEFT(AG486,2)&lt;&gt;"Va",AM486&lt;&gt;"H. Sale Real"),IF(AM488-AM486&lt;0.208333333333333,AM488-AM486,""),IF(AND(AM485&lt;&gt;"",LEFT(AG485,2)&lt;&gt;"Va",AM485&lt;&gt;"H. Sale Real"),IF(AM488-AM485&lt;0.208333333333333,AM488-AM485,""),IF(AND(AM484&lt;&gt;"",LEFT(AG484,2)&lt;&gt;"Va",AM484&lt;&gt;"H. Sale Real"),IF(AM488-AM484&lt;0.208333333333333,AM488-AM484,""),IF(AND(AM483&lt;&gt;"",LEFT(AG483,2)&lt;&gt;"Va",AM483&lt;&gt;"H. Sale Real"),IF(AM488-AM483&lt;0.208333333333333,AM488-AM483,""),""))))),""),"")</f>
        <v/>
      </c>
      <c r="AX487" s="89">
        <f>IF(AK487&lt;&gt;"H. Sale Real",IF(AND(AK488&lt;&gt;"",LEFT(AG488,2)&lt;&gt;"Va"),IF(AND(AK487&lt;&gt;"",LEFT(AG487,2)&lt;&gt;"Va",AK487&lt;&gt;"H. Sale Real"),IF(AK488-AK487&lt;0.208333333333333,AK488-AK487,""),IF(AND(AK486&lt;&gt;"",LEFT(AG486,2)&lt;&gt;"Va",AK486&lt;&gt;"H. Sale Real"),IF(AK488-AK486&lt;0.208333333333333,AK488-AK486,""),IF(AND(AK485&lt;&gt;"",LEFT(AG485,2)&lt;&gt;"NC",AK485&lt;&gt;"H. Sale Real"),IF(AK488-AK485&lt;0.208333333333333,AK488-AK485,""),IF(AND(AK484&lt;&gt;"",LEFT(AG484,2)&lt;&gt;"Va",AK484&lt;&gt;"H. Sale Real"),IF(AK488-AK484&lt;0.208333333333333,AK488-AK484,""),IF(AND(AK483&lt;&gt;"",LEFT(AG483,2)&lt;&gt;"Va",AK483&lt;&gt;"H. Sale Real"),IF(AK488-AK483&lt;0.208333333333333,AK488-AK483,""),""))))),""),"")</f>
        <v/>
      </c>
      <c r="AY487" s="87" t="n"/>
      <c r="AZ487" s="89" t="n"/>
      <c r="BA487" s="87" t="n"/>
      <c r="BB487" s="89" t="n"/>
      <c r="BC487" s="91" t="n"/>
      <c r="BD487" s="122">
        <f>IF(AK487&lt;&gt;"",IF(AND(BD486&lt;&gt;"IE",AT487&lt;&gt;0,AV487&lt;&gt;""),IF(IFERROR((AT487/AV487),0) &lt;=1,IFERROR(AT487/AV487,""),1),""),"")</f>
        <v/>
      </c>
      <c r="BE487" s="93" t="n"/>
      <c r="BF487" s="105" t="n"/>
      <c r="FC487" t="inlineStr">
        <is>
          <t>Diccionario 1</t>
        </is>
      </c>
      <c r="FD487" s="15" t="inlineStr"/>
      <c r="FE487" s="17" t="inlineStr">
        <is>
          <t>LDYECS318S0044401</t>
        </is>
      </c>
      <c r="FF487" s="18" t="inlineStr">
        <is>
          <t>MDN35025030148</t>
        </is>
      </c>
      <c r="FG487" s="18" t="inlineStr">
        <is>
          <t>Zhong Thong</t>
        </is>
      </c>
      <c r="FH487" s="18" t="inlineStr">
        <is>
          <t>Lck6122evg</t>
        </is>
      </c>
      <c r="FI487" s="18" t="inlineStr">
        <is>
          <t>Zhong Thong</t>
        </is>
      </c>
      <c r="FJ487" s="18" t="inlineStr">
        <is>
          <t>Lck6122evg</t>
        </is>
      </c>
      <c r="FK487" s="18" t="n">
        <v>2026</v>
      </c>
      <c r="FL487" s="18" t="inlineStr">
        <is>
          <t>B</t>
        </is>
      </c>
      <c r="FM487" s="18" t="inlineStr">
        <is>
          <t>Lo Blanco</t>
        </is>
      </c>
      <c r="FP487" t="inlineStr">
        <is>
          <t>B</t>
        </is>
      </c>
      <c r="FS487" s="14" t="inlineStr">
        <is>
          <t>LZPT-43|</t>
        </is>
      </c>
      <c r="FT487" t="inlineStr">
        <is>
          <t>LZPT-43|</t>
        </is>
      </c>
      <c r="FU487" t="inlineStr">
        <is>
          <t>LZPT-43</t>
        </is>
      </c>
      <c r="FV487">
        <f>VLOOKUP(FU487,FD:FL,9,0)</f>
        <v/>
      </c>
      <c r="FZ487" s="51" t="inlineStr">
        <is>
          <t>B32</t>
        </is>
      </c>
      <c r="GA487" s="43" t="n">
        <v>0</v>
      </c>
      <c r="GB487" s="43" t="n">
        <v>0</v>
      </c>
      <c r="GC487" s="43" t="n">
        <v>0</v>
      </c>
      <c r="GD487" s="43" t="n">
        <v>0</v>
      </c>
      <c r="GE487" s="43" t="n">
        <v>0</v>
      </c>
      <c r="GF487" s="43" t="n">
        <v>0</v>
      </c>
      <c r="GG487" s="43" t="n">
        <v>12.32</v>
      </c>
      <c r="GH487" s="43" t="n">
        <v>23.735</v>
      </c>
      <c r="GI487" s="43" t="n">
        <v>22.285</v>
      </c>
      <c r="GJ487" s="43" t="n">
        <v>20.76</v>
      </c>
      <c r="GK487" s="43" t="n">
        <v>19.345</v>
      </c>
      <c r="GL487" s="43" t="n">
        <v>18.35</v>
      </c>
      <c r="GM487" s="43" t="n">
        <v>17.58</v>
      </c>
      <c r="GN487" s="43" t="n">
        <v>17.31</v>
      </c>
      <c r="GO487" s="43" t="n">
        <v>17.995</v>
      </c>
      <c r="GP487" s="43" t="n">
        <v>18.5</v>
      </c>
      <c r="GQ487" s="43" t="n">
        <v>18.72</v>
      </c>
      <c r="GR487" s="43" t="n">
        <v>18.9</v>
      </c>
      <c r="GS487" s="43" t="n">
        <v>18.88</v>
      </c>
      <c r="GT487" s="43" t="n">
        <v>19.64</v>
      </c>
      <c r="GU487" s="43" t="n">
        <v>20.37</v>
      </c>
      <c r="GV487" s="43" t="n">
        <v>22.05</v>
      </c>
      <c r="GW487" s="43" t="n">
        <v>23.955</v>
      </c>
      <c r="GX487" s="43" t="n">
        <v>12.455</v>
      </c>
      <c r="HA487" s="35" t="n">
        <v>32</v>
      </c>
      <c r="HB487" s="35" t="n">
        <v>481</v>
      </c>
    </row>
    <row r="488" ht="15.5" customHeight="1">
      <c r="A488" s="10">
        <f>HOUR(G488)+1</f>
        <v/>
      </c>
      <c r="B488" s="7" t="n"/>
      <c r="C488" s="7" t="n"/>
      <c r="D488" s="85">
        <f>IFERROR(
IF(AND(OR(Planilla!B488="C",Planilla!B488="c"), VLOOKUP(E488,FD:FP,13,0)="C"), "OK",IF(AND(OR(Planilla!B488="C",Planilla!B488="c"), OR(VLOOKUP(E488,FD:FP,13,0)="B", VLOOKUP(E488,FD:FP,13,0)="A")), "DEFICIT",IF(
AND(OR(Planilla!B488="B", Planilla!B488="BPAL"), VLOOKUP(E488,FD:FP,13,0)="B"), "OK",IF(AND(OR(Planilla!B488="B", Planilla!B488="BPAL"), VLOOKUP(E488,FD:FP,13,0)="A"), "DEFICIT",IF(AND(OR(Planilla!B488="B", Planilla!B488="BPAL"), VLOOKUP(E488,FD:FP,13,0)="C"), "SOBREOFERTA",IF(AND(Planilla!B488="A", VLOOKUP(E488,FD:FP,13,0)="A"), "OK",IF(
AND(Planilla!B488="A", OR(VLOOKUP(E488,FD:FP,13,0)="B", VLOOKUP(E488,FD:FP,13,0)="C")), "SOBREOFERTA",""
))))))),"")</f>
        <v/>
      </c>
      <c r="E488" s="8" t="n"/>
      <c r="F488" s="86" t="n"/>
      <c r="G488" s="87" t="n"/>
      <c r="H488" s="88">
        <f>IF(I488="","",IF(AND((I488-G488)&gt;=TIME(0,0,0),(I488-G488)&lt;TIME(0,3,0)),"OK",IF(AND((I488-G488)&gt;=TIME(0,3,0),(I488-G488)&lt;TIME(0,5,0)),"RETRASO DE 3-5 MIN",IF(AND((I488-G488)&gt;=TIME(0,5,0),(I488-G488)&lt;TIME(0,10,0)),"RETRASO DE 5-10 MIN",IF((I488-G488)&gt;=TIME(0,10,0),"RETRASO &gt;10 MIN", IF(AND((G488-I488)&gt;=TIME(0,0,0),(G488-I488)&lt;TIME(0,3,0)),"OK",IF((G488-I488)&gt;=TIME(0,3,0),"ADELANTADO")))))))</f>
        <v/>
      </c>
      <c r="I488" s="89" t="n"/>
      <c r="J488" s="89">
        <f>IF(A488&lt;&gt;"",HLOOKUP(VALUE(TEXT(G488,"h:mm:ss")),IF($C$6="Laboral",$FZ$4:$GX$227,IF($C$6="Sábado",$FZ$231:$GX$452,$FZ$456:$GX$656)),VLOOKUP($C$4,$HF$2:$HH$99,3,0)+IF(C$5="Ida",0,1),1),"")</f>
        <v/>
      </c>
      <c r="K488" s="89">
        <f>IF(A489&lt;&gt;A488,AVERAGEIF(A$9:A488,A488,J$9:J488),"")</f>
        <v/>
      </c>
      <c r="L488" s="89">
        <f>IFERROR(IF(A489&lt;&gt;A488,AVERAGEIF(A$9:A488,A488,S$9:S488),""),"")</f>
        <v/>
      </c>
      <c r="M488" s="89">
        <f>IFERROR(IF(A489&lt;&gt;A488,AVERAGEIF(A$9:A488,A488,T$9:T488),""),"")</f>
        <v/>
      </c>
      <c r="N488" s="89">
        <f t="array" ref="N488">IFERROR(IF(A489&lt;&gt;A488,_xlfn.STDEV.P(IF(A$9:A488=A488,T$9:T488)),""),"")</f>
        <v/>
      </c>
      <c r="O488" s="89">
        <f t="array" ref="O488">IFERROR(IF(A489&lt;&gt;A488,_xlfn.STDEV.P(IF(A$9:A488=A488,S$9:S488)),""),"")</f>
        <v/>
      </c>
      <c r="P488" s="90">
        <f>IFERROR(IF(A488&lt;&gt;A489,MAX((((M488*24*60)/2)*(1+POWER((((N488*24*60) / (M488*24*60) )),2))) + ((M488*24*60 )*-0.1 + (K488*0.015)) +1,(((M488*24*60)/2)*(1+POWER((((N488*24*60) / (M488*24*60 ))),2)))),""),"")</f>
        <v/>
      </c>
      <c r="Q488" s="90">
        <f>IF(AND(O488&lt;&gt;"",L488&lt;&gt;""),IF(A488&lt;&gt;A489,((L488*24*60) / 2 ) * (1 + POWER(((O488*24*60) / (L488*24*60)),2)),""),"")</f>
        <v/>
      </c>
      <c r="R488" s="90">
        <f>IF(Q488&lt;&gt;"",MAX(P488,Q488),"")</f>
        <v/>
      </c>
      <c r="S488" s="89">
        <f>IF(I488&lt;&gt;"H. Sale Real",IF(AND(I489&lt;&gt;"",LEFT(C489,2)&lt;&gt;"Va"),IF(AND(I488&lt;&gt;"",LEFT(C488,2)&lt;&gt;"Va",I488&lt;&gt;"H. Sale Real"),IF(I489-I488&lt;0.208333333333333,I489-I488,""),IF(AND(I487&lt;&gt;"",LEFT(C487,2)&lt;&gt;"Va",I487&lt;&gt;"H. Sale Real"),IF(I489-I487&lt;0.208333333333333,I489-I487,""),IF(AND(I486&lt;&gt;"",LEFT(C486,2)&lt;&gt;"Va",I486&lt;&gt;"H. Sale Real"),IF(I489-I486&lt;0.208333333333333,I489-I486,""),IF(AND(I485&lt;&gt;"",LEFT(C485,2)&lt;&gt;"Va",I485&lt;&gt;"H. Sale Real"),IF(I489-I485&lt;0.208333333333333,I489-I485,""),IF(AND(I484&lt;&gt;"",LEFT(C484,2)&lt;&gt;"Va",I484&lt;&gt;"H. Sale Real"),IF(I489-I484&lt;0.208333333333333,I489-I484,""),""))))),""),"")</f>
        <v/>
      </c>
      <c r="T488" s="89">
        <f>IF(G488&lt;&gt;"H. Sale Real",IF(AND(G489&lt;&gt;"",LEFT(C489,2)&lt;&gt;"Va"),IF(AND(G488&lt;&gt;"",LEFT(C488,2)&lt;&gt;"Va",G488&lt;&gt;"H. Sale Real"),IF(G489-G488&lt;0.208333333333333,G489-G488,""),IF(AND(G487&lt;&gt;"",LEFT(C487,2)&lt;&gt;"Va",G487&lt;&gt;"H. Sale Real"),IF(G489-G487&lt;0.208333333333333,G489-G487,""),IF(AND(G486&lt;&gt;"",LEFT(C486,2)&lt;&gt;"Va",G486&lt;&gt;"H. Sale Real"),IF(G489-G486&lt;0.208333333333333,G489-G486,""),IF(AND(G485&lt;&gt;"",LEFT(C485,2)&lt;&gt;"Va",G485&lt;&gt;"H. Sale Real"),IF(G489-G485&lt;0.208333333333333,G489-G485,""),IF(AND(G484&lt;&gt;"",LEFT(C484,2)&lt;&gt;"Va",G484&lt;&gt;"H. Sale Real"),IF(G489-G484&lt;0.208333333333333,G489-G484,""),""))))),""),"")</f>
        <v/>
      </c>
      <c r="U488" s="87" t="n"/>
      <c r="V488" s="89" t="n"/>
      <c r="W488" s="87" t="n"/>
      <c r="X488" s="89" t="n"/>
      <c r="Y488" s="91" t="n"/>
      <c r="Z488" s="122">
        <f>IF(G488&lt;&gt;"",IF(AND(Z487&lt;&gt;"IE",P488&lt;&gt;0,R488&lt;&gt;""),IF(IFERROR((P488/R488),0) &lt;=1,IFERROR(P488/R488,""),1),""),"")</f>
        <v/>
      </c>
      <c r="AA488" s="93" t="n"/>
      <c r="AB488" s="2" t="n"/>
      <c r="AE488" s="10">
        <f>HOUR(AK488)+1</f>
        <v/>
      </c>
      <c r="AF488" s="7" t="n"/>
      <c r="AG488" s="7" t="n"/>
      <c r="AH488" s="86" t="n"/>
      <c r="AI488" s="8" t="n"/>
      <c r="AJ488" s="86" t="n"/>
      <c r="AK488" s="87" t="n"/>
      <c r="AL488" s="88">
        <f>IF(AM488="","",IF(AND((AM488-AK488)&gt;=TIME(0,0,0),(AM488-AK488)&lt;TIME(0,3,0)),"OK",IF(AND((AM488-AK488)&gt;=TIME(0,3,0),(AM488-AK488)&lt;TIME(0,5,0)),"RETRASO DE 3-5 MIN",IF(AND((AM488-AK488)&gt;=TIME(0,5,0),(AM488-AK488)&lt;TIME(0,10,0)),"RETRASO DE 5-10 MIN",IF((AM488-AK488)&gt;=TIME(0,10,0),"RETRASO &gt;10 MIN", IF(AND((AK488-AM488)&gt;=TIME(0,0,0),(AK488-AM488)&lt;TIME(0,3,0)),"OK",IF((AK488-AM488)&gt;=TIME(0,3,0),"ADELANTADO")))))))</f>
        <v/>
      </c>
      <c r="AM488" s="91" t="n"/>
      <c r="AN488" s="89">
        <f>IF(AE488&lt;&gt;"",HLOOKUP(VALUE(TEXT(AK488,"h:mm:ss")),IF($C$6="Laboral",$FZ$4:$GX$227,IF($C$6="Sábado",$FZ$231:$GX$452,$FZ$456:$GX$656)),VLOOKUP($C$4,$HF$2:$HH$99,3,0)+IF(AG$5="Ida",0,1),1),"")</f>
        <v/>
      </c>
      <c r="AO488" s="89">
        <f>IF(AE489&lt;&gt;AE488,AVERAGEIF(AE$9:AE488,AE488,AN$9:AN488),"")</f>
        <v/>
      </c>
      <c r="AP488" s="89">
        <f>IFERROR(IF(AE489&lt;&gt;AE488,AVERAGEIF(AE$9:AE488,AE488,AW$9:AW488),""),"")</f>
        <v/>
      </c>
      <c r="AQ488" s="89">
        <f>IFERROR(IF(AE489&lt;&gt;AE488,AVERAGEIF(AE$9:AE488,AE488,AX$9:AX488),""),"")</f>
        <v/>
      </c>
      <c r="AR488" s="89">
        <f t="array" ref="AR488">IFERROR(IF(AE489&lt;&gt;AE488,_xlfn.STDEV.P(IF(AE$9:AE488=AE488,AX$9:AX488)),""),"")</f>
        <v/>
      </c>
      <c r="AS488" s="89">
        <f t="array" ref="AS488">IFERROR(IF(AE489&lt;&gt;AE488,_xlfn.STDEV.P(IF(AE$9:AE488=AE488,AW$9:AW488)),""),"")</f>
        <v/>
      </c>
      <c r="AT488" s="90">
        <f>IFERROR(IF(AE488&lt;&gt;AE489,MAX((((AQ488*24*60)/2)*(1+POWER((((AR488*24*60) / (AQ488*24*60) )),2))) + ((AQ488*24*60 )*-0.1 + (AO488*0.015)) +1,(((AQ488*24*60)/2)*(1+POWER((((AR488*24*60) / (AQ488*24*60 ))),2)))),""),"")</f>
        <v/>
      </c>
      <c r="AU488" s="90">
        <f>IF(AND(AS488&lt;&gt;"",AP488&lt;&gt;""),IF(AE488&lt;&gt;AE489,((AP488*24*60) / 2 ) * (1 + POWER(((AS488*24*60) / (AP488*24*60)),2)),""),"")</f>
        <v/>
      </c>
      <c r="AV488" s="90">
        <f>IF(AU488&lt;&gt;"",MAX(AT488,AU488),"")</f>
        <v/>
      </c>
      <c r="AW488" s="89">
        <f>IF(AM488&lt;&gt;"H. Sale Real",IF(AND(AM489&lt;&gt;"",LEFT(AG489,2)&lt;&gt;"Va"),IF(AND(AM488&lt;&gt;"",LEFT(AG488,2)&lt;&gt;"Va",AM488&lt;&gt;"H. Sale Real"),IF(AM489-AM488&lt;0.208333333333333,AM489-AM488,""),IF(AND(AM487&lt;&gt;"",LEFT(AG487,2)&lt;&gt;"Va",AM487&lt;&gt;"H. Sale Real"),IF(AM489-AM487&lt;0.208333333333333,AM489-AM487,""),IF(AND(AM486&lt;&gt;"",LEFT(AG486,2)&lt;&gt;"Va",AM486&lt;&gt;"H. Sale Real"),IF(AM489-AM486&lt;0.208333333333333,AM489-AM486,""),IF(AND(AM485&lt;&gt;"",LEFT(AG485,2)&lt;&gt;"Va",AM485&lt;&gt;"H. Sale Real"),IF(AM489-AM485&lt;0.208333333333333,AM489-AM485,""),IF(AND(AM484&lt;&gt;"",LEFT(AG484,2)&lt;&gt;"Va",AM484&lt;&gt;"H. Sale Real"),IF(AM489-AM484&lt;0.208333333333333,AM489-AM484,""),""))))),""),"")</f>
        <v/>
      </c>
      <c r="AX488" s="89">
        <f>IF(AK488&lt;&gt;"H. Sale Real",IF(AND(AK489&lt;&gt;"",LEFT(AG489,2)&lt;&gt;"Va"),IF(AND(AK488&lt;&gt;"",LEFT(AG488,2)&lt;&gt;"Va",AK488&lt;&gt;"H. Sale Real"),IF(AK489-AK488&lt;0.208333333333333,AK489-AK488,""),IF(AND(AK487&lt;&gt;"",LEFT(AG487,2)&lt;&gt;"Va",AK487&lt;&gt;"H. Sale Real"),IF(AK489-AK487&lt;0.208333333333333,AK489-AK487,""),IF(AND(AK486&lt;&gt;"",LEFT(AG486,2)&lt;&gt;"NC",AK486&lt;&gt;"H. Sale Real"),IF(AK489-AK486&lt;0.208333333333333,AK489-AK486,""),IF(AND(AK485&lt;&gt;"",LEFT(AG485,2)&lt;&gt;"Va",AK485&lt;&gt;"H. Sale Real"),IF(AK489-AK485&lt;0.208333333333333,AK489-AK485,""),IF(AND(AK484&lt;&gt;"",LEFT(AG484,2)&lt;&gt;"Va",AK484&lt;&gt;"H. Sale Real"),IF(AK489-AK484&lt;0.208333333333333,AK489-AK484,""),""))))),""),"")</f>
        <v/>
      </c>
      <c r="AY488" s="87" t="n"/>
      <c r="AZ488" s="89" t="n"/>
      <c r="BA488" s="87" t="n"/>
      <c r="BB488" s="89" t="n"/>
      <c r="BC488" s="91" t="n"/>
      <c r="BD488" s="122">
        <f>IF(AK488&lt;&gt;"",IF(AND(BD487&lt;&gt;"IE",AT488&lt;&gt;0,AV488&lt;&gt;""),IF(IFERROR((AT488/AV488),0) &lt;=1,IFERROR(AT488/AV488,""),1),""),"")</f>
        <v/>
      </c>
      <c r="BE488" s="93" t="n"/>
      <c r="BF488" s="105" t="n"/>
      <c r="FC488" t="inlineStr">
        <is>
          <t>Diccionario 1</t>
        </is>
      </c>
      <c r="FD488" s="15" t="inlineStr"/>
      <c r="FE488" s="17" t="inlineStr">
        <is>
          <t>LDYECS31XS0044402</t>
        </is>
      </c>
      <c r="FF488" s="18" t="inlineStr">
        <is>
          <t>MDN35025030252</t>
        </is>
      </c>
      <c r="FG488" s="18" t="inlineStr">
        <is>
          <t>Zhong Thong</t>
        </is>
      </c>
      <c r="FH488" s="18" t="inlineStr">
        <is>
          <t>Lck6122evg</t>
        </is>
      </c>
      <c r="FI488" s="18" t="inlineStr">
        <is>
          <t>Zhong Thong</t>
        </is>
      </c>
      <c r="FJ488" s="18" t="inlineStr">
        <is>
          <t>Lck6122evg</t>
        </is>
      </c>
      <c r="FK488" s="18" t="n">
        <v>2026</v>
      </c>
      <c r="FL488" s="18" t="inlineStr">
        <is>
          <t>B</t>
        </is>
      </c>
      <c r="FM488" s="18" t="inlineStr">
        <is>
          <t>Lo Blanco</t>
        </is>
      </c>
      <c r="FP488" t="inlineStr">
        <is>
          <t>B</t>
        </is>
      </c>
      <c r="FS488" s="14" t="inlineStr">
        <is>
          <t>LZPT-64|</t>
        </is>
      </c>
      <c r="FT488" t="inlineStr">
        <is>
          <t>LZPT-64|</t>
        </is>
      </c>
      <c r="FU488" t="inlineStr">
        <is>
          <t>LZPT-64</t>
        </is>
      </c>
      <c r="FV488">
        <f>VLOOKUP(FU488,FD:FL,9,0)</f>
        <v/>
      </c>
      <c r="FZ488" s="51" t="inlineStr">
        <is>
          <t>B36</t>
        </is>
      </c>
      <c r="GA488" s="43" t="n">
        <v>0</v>
      </c>
      <c r="GB488" s="43" t="n">
        <v>0</v>
      </c>
      <c r="GC488" s="43" t="n">
        <v>0</v>
      </c>
      <c r="GD488" s="43" t="n">
        <v>0</v>
      </c>
      <c r="GE488" s="43" t="n">
        <v>0</v>
      </c>
      <c r="GF488" s="43" t="n">
        <v>12.69</v>
      </c>
      <c r="GG488" s="43" t="n">
        <v>23.835</v>
      </c>
      <c r="GH488" s="43" t="n">
        <v>22.96</v>
      </c>
      <c r="GI488" s="43" t="n">
        <v>22.81</v>
      </c>
      <c r="GJ488" s="43" t="n">
        <v>22.065</v>
      </c>
      <c r="GK488" s="43" t="n">
        <v>21.245</v>
      </c>
      <c r="GL488" s="43" t="n">
        <v>20.195</v>
      </c>
      <c r="GM488" s="43" t="n">
        <v>19.555</v>
      </c>
      <c r="GN488" s="43" t="n">
        <v>19.355</v>
      </c>
      <c r="GO488" s="43" t="n">
        <v>19.57</v>
      </c>
      <c r="GP488" s="43" t="n">
        <v>20.225</v>
      </c>
      <c r="GQ488" s="43" t="n">
        <v>20.025</v>
      </c>
      <c r="GR488" s="43" t="n">
        <v>19.58</v>
      </c>
      <c r="GS488" s="43" t="n">
        <v>19.1</v>
      </c>
      <c r="GT488" s="43" t="n">
        <v>20.055</v>
      </c>
      <c r="GU488" s="43" t="n">
        <v>21.41</v>
      </c>
      <c r="GV488" s="43" t="n">
        <v>22.525</v>
      </c>
      <c r="GW488" s="43" t="n">
        <v>22.94</v>
      </c>
      <c r="GX488" s="43" t="n">
        <v>11.795</v>
      </c>
      <c r="HA488" s="35" t="n">
        <v>33</v>
      </c>
      <c r="HB488" s="35" t="n">
        <v>482</v>
      </c>
    </row>
    <row r="489" ht="15.5" customHeight="1">
      <c r="A489" s="10">
        <f>HOUR(G489)+1</f>
        <v/>
      </c>
      <c r="B489" s="7" t="n"/>
      <c r="C489" s="7" t="n"/>
      <c r="D489" s="85">
        <f>IFERROR(
IF(AND(OR(Planilla!B489="C",Planilla!B489="c"), VLOOKUP(E489,FD:FP,13,0)="C"), "OK",IF(AND(OR(Planilla!B489="C",Planilla!B489="c"), OR(VLOOKUP(E489,FD:FP,13,0)="B", VLOOKUP(E489,FD:FP,13,0)="A")), "DEFICIT",IF(
AND(OR(Planilla!B489="B", Planilla!B489="BPAL"), VLOOKUP(E489,FD:FP,13,0)="B"), "OK",IF(AND(OR(Planilla!B489="B", Planilla!B489="BPAL"), VLOOKUP(E489,FD:FP,13,0)="A"), "DEFICIT",IF(AND(OR(Planilla!B489="B", Planilla!B489="BPAL"), VLOOKUP(E489,FD:FP,13,0)="C"), "SOBREOFERTA",IF(AND(Planilla!B489="A", VLOOKUP(E489,FD:FP,13,0)="A"), "OK",IF(
AND(Planilla!B489="A", OR(VLOOKUP(E489,FD:FP,13,0)="B", VLOOKUP(E489,FD:FP,13,0)="C")), "SOBREOFERTA",""
))))))),"")</f>
        <v/>
      </c>
      <c r="E489" s="8" t="n"/>
      <c r="F489" s="86" t="n"/>
      <c r="G489" s="87" t="n"/>
      <c r="H489" s="88">
        <f>IF(I489="","",IF(AND((I489-G489)&gt;=TIME(0,0,0),(I489-G489)&lt;TIME(0,3,0)),"OK",IF(AND((I489-G489)&gt;=TIME(0,3,0),(I489-G489)&lt;TIME(0,5,0)),"RETRASO DE 3-5 MIN",IF(AND((I489-G489)&gt;=TIME(0,5,0),(I489-G489)&lt;TIME(0,10,0)),"RETRASO DE 5-10 MIN",IF((I489-G489)&gt;=TIME(0,10,0),"RETRASO &gt;10 MIN", IF(AND((G489-I489)&gt;=TIME(0,0,0),(G489-I489)&lt;TIME(0,3,0)),"OK",IF((G489-I489)&gt;=TIME(0,3,0),"ADELANTADO")))))))</f>
        <v/>
      </c>
      <c r="I489" s="89" t="n"/>
      <c r="J489" s="89">
        <f>IF(A489&lt;&gt;"",HLOOKUP(VALUE(TEXT(G489,"h:mm:ss")),IF($C$6="Laboral",$FZ$4:$GX$227,IF($C$6="Sábado",$FZ$231:$GX$452,$FZ$456:$GX$656)),VLOOKUP($C$4,$HF$2:$HH$99,3,0)+IF(C$5="Ida",0,1),1),"")</f>
        <v/>
      </c>
      <c r="K489" s="89">
        <f>IF(A490&lt;&gt;A489,AVERAGEIF(A$9:A489,A489,J$9:J489),"")</f>
        <v/>
      </c>
      <c r="L489" s="89">
        <f>IFERROR(IF(A490&lt;&gt;A489,AVERAGEIF(A$9:A489,A489,S$9:S489),""),"")</f>
        <v/>
      </c>
      <c r="M489" s="89">
        <f>IFERROR(IF(A490&lt;&gt;A489,AVERAGEIF(A$9:A489,A489,T$9:T489),""),"")</f>
        <v/>
      </c>
      <c r="N489" s="89">
        <f t="array" ref="N489">IFERROR(IF(A490&lt;&gt;A489,_xlfn.STDEV.P(IF(A$9:A489=A489,T$9:T489)),""),"")</f>
        <v/>
      </c>
      <c r="O489" s="89">
        <f t="array" ref="O489">IFERROR(IF(A490&lt;&gt;A489,_xlfn.STDEV.P(IF(A$9:A489=A489,S$9:S489)),""),"")</f>
        <v/>
      </c>
      <c r="P489" s="90">
        <f>IFERROR(IF(A489&lt;&gt;A490,MAX((((M489*24*60)/2)*(1+POWER((((N489*24*60) / (M489*24*60) )),2))) + ((M489*24*60 )*-0.1 + (K489*0.015)) +1,(((M489*24*60)/2)*(1+POWER((((N489*24*60) / (M489*24*60 ))),2)))),""),"")</f>
        <v/>
      </c>
      <c r="Q489" s="90">
        <f>IF(AND(O489&lt;&gt;"",L489&lt;&gt;""),IF(A489&lt;&gt;A490,((L489*24*60) / 2 ) * (1 + POWER(((O489*24*60) / (L489*24*60)),2)),""),"")</f>
        <v/>
      </c>
      <c r="R489" s="90">
        <f>IF(Q489&lt;&gt;"",MAX(P489,Q489),"")</f>
        <v/>
      </c>
      <c r="S489" s="89">
        <f>IF(I489&lt;&gt;"H. Sale Real",IF(AND(I490&lt;&gt;"",LEFT(C490,2)&lt;&gt;"Va"),IF(AND(I489&lt;&gt;"",LEFT(C489,2)&lt;&gt;"Va",I489&lt;&gt;"H. Sale Real"),IF(I490-I489&lt;0.208333333333333,I490-I489,""),IF(AND(I488&lt;&gt;"",LEFT(C488,2)&lt;&gt;"Va",I488&lt;&gt;"H. Sale Real"),IF(I490-I488&lt;0.208333333333333,I490-I488,""),IF(AND(I487&lt;&gt;"",LEFT(C487,2)&lt;&gt;"Va",I487&lt;&gt;"H. Sale Real"),IF(I490-I487&lt;0.208333333333333,I490-I487,""),IF(AND(I486&lt;&gt;"",LEFT(C486,2)&lt;&gt;"Va",I486&lt;&gt;"H. Sale Real"),IF(I490-I486&lt;0.208333333333333,I490-I486,""),IF(AND(I485&lt;&gt;"",LEFT(C485,2)&lt;&gt;"Va",I485&lt;&gt;"H. Sale Real"),IF(I490-I485&lt;0.208333333333333,I490-I485,""),""))))),""),"")</f>
        <v/>
      </c>
      <c r="T489" s="89">
        <f>IF(G489&lt;&gt;"H. Sale Real",IF(AND(G490&lt;&gt;"",LEFT(C490,2)&lt;&gt;"Va"),IF(AND(G489&lt;&gt;"",LEFT(C489,2)&lt;&gt;"Va",G489&lt;&gt;"H. Sale Real"),IF(G490-G489&lt;0.208333333333333,G490-G489,""),IF(AND(G488&lt;&gt;"",LEFT(C488,2)&lt;&gt;"Va",G488&lt;&gt;"H. Sale Real"),IF(G490-G488&lt;0.208333333333333,G490-G488,""),IF(AND(G487&lt;&gt;"",LEFT(C487,2)&lt;&gt;"Va",G487&lt;&gt;"H. Sale Real"),IF(G490-G487&lt;0.208333333333333,G490-G487,""),IF(AND(G486&lt;&gt;"",LEFT(C486,2)&lt;&gt;"Va",G486&lt;&gt;"H. Sale Real"),IF(G490-G486&lt;0.208333333333333,G490-G486,""),IF(AND(G485&lt;&gt;"",LEFT(C485,2)&lt;&gt;"Va",G485&lt;&gt;"H. Sale Real"),IF(G490-G485&lt;0.208333333333333,G490-G485,""),""))))),""),"")</f>
        <v/>
      </c>
      <c r="U489" s="87" t="n"/>
      <c r="V489" s="89" t="n"/>
      <c r="W489" s="87" t="n"/>
      <c r="X489" s="89" t="n"/>
      <c r="Y489" s="91" t="n"/>
      <c r="Z489" s="122">
        <f>IF(G489&lt;&gt;"",IF(AND(Z488&lt;&gt;"IE",P489&lt;&gt;0,R489&lt;&gt;""),IF(IFERROR((P489/R489),0) &lt;=1,IFERROR(P489/R489,""),1),""),"")</f>
        <v/>
      </c>
      <c r="AA489" s="93" t="n"/>
      <c r="AB489" s="2" t="n"/>
      <c r="AE489" s="10">
        <f>HOUR(AK489)+1</f>
        <v/>
      </c>
      <c r="AF489" s="7" t="n"/>
      <c r="AG489" s="7" t="n"/>
      <c r="AH489" s="86" t="n"/>
      <c r="AI489" s="8" t="n"/>
      <c r="AJ489" s="86" t="n"/>
      <c r="AK489" s="87" t="n"/>
      <c r="AL489" s="88">
        <f>IF(AM489="","",IF(AND((AM489-AK489)&gt;=TIME(0,0,0),(AM489-AK489)&lt;TIME(0,3,0)),"OK",IF(AND((AM489-AK489)&gt;=TIME(0,3,0),(AM489-AK489)&lt;TIME(0,5,0)),"RETRASO DE 3-5 MIN",IF(AND((AM489-AK489)&gt;=TIME(0,5,0),(AM489-AK489)&lt;TIME(0,10,0)),"RETRASO DE 5-10 MIN",IF((AM489-AK489)&gt;=TIME(0,10,0),"RETRASO &gt;10 MIN", IF(AND((AK489-AM489)&gt;=TIME(0,0,0),(AK489-AM489)&lt;TIME(0,3,0)),"OK",IF((AK489-AM489)&gt;=TIME(0,3,0),"ADELANTADO")))))))</f>
        <v/>
      </c>
      <c r="AM489" s="91" t="n"/>
      <c r="AN489" s="89">
        <f>IF(AE489&lt;&gt;"",HLOOKUP(VALUE(TEXT(AK489,"h:mm:ss")),IF($C$6="Laboral",$FZ$4:$GX$227,IF($C$6="Sábado",$FZ$231:$GX$452,$FZ$456:$GX$656)),VLOOKUP($C$4,$HF$2:$HH$99,3,0)+IF(AG$5="Ida",0,1),1),"")</f>
        <v/>
      </c>
      <c r="AO489" s="89">
        <f>IF(AE490&lt;&gt;AE489,AVERAGEIF(AE$9:AE489,AE489,AN$9:AN489),"")</f>
        <v/>
      </c>
      <c r="AP489" s="89">
        <f>IFERROR(IF(AE490&lt;&gt;AE489,AVERAGEIF(AE$9:AE489,AE489,AW$9:AW489),""),"")</f>
        <v/>
      </c>
      <c r="AQ489" s="89">
        <f>IFERROR(IF(AE490&lt;&gt;AE489,AVERAGEIF(AE$9:AE489,AE489,AX$9:AX489),""),"")</f>
        <v/>
      </c>
      <c r="AR489" s="89">
        <f t="array" ref="AR489">IFERROR(IF(AE490&lt;&gt;AE489,_xlfn.STDEV.P(IF(AE$9:AE489=AE489,AX$9:AX489)),""),"")</f>
        <v/>
      </c>
      <c r="AS489" s="89">
        <f t="array" ref="AS489">IFERROR(IF(AE490&lt;&gt;AE489,_xlfn.STDEV.P(IF(AE$9:AE489=AE489,AW$9:AW489)),""),"")</f>
        <v/>
      </c>
      <c r="AT489" s="90">
        <f>IFERROR(IF(AE489&lt;&gt;AE490,MAX((((AQ489*24*60)/2)*(1+POWER((((AR489*24*60) / (AQ489*24*60) )),2))) + ((AQ489*24*60 )*-0.1 + (AO489*0.015)) +1,(((AQ489*24*60)/2)*(1+POWER((((AR489*24*60) / (AQ489*24*60 ))),2)))),""),"")</f>
        <v/>
      </c>
      <c r="AU489" s="90">
        <f>IF(AND(AS489&lt;&gt;"",AP489&lt;&gt;""),IF(AE489&lt;&gt;AE490,((AP489*24*60) / 2 ) * (1 + POWER(((AS489*24*60) / (AP489*24*60)),2)),""),"")</f>
        <v/>
      </c>
      <c r="AV489" s="90">
        <f>IF(AU489&lt;&gt;"",MAX(AT489,AU489),"")</f>
        <v/>
      </c>
      <c r="AW489" s="89">
        <f>IF(AM489&lt;&gt;"H. Sale Real",IF(AND(AM490&lt;&gt;"",LEFT(AG490,2)&lt;&gt;"Va"),IF(AND(AM489&lt;&gt;"",LEFT(AG489,2)&lt;&gt;"Va",AM489&lt;&gt;"H. Sale Real"),IF(AM490-AM489&lt;0.208333333333333,AM490-AM489,""),IF(AND(AM488&lt;&gt;"",LEFT(AG488,2)&lt;&gt;"Va",AM488&lt;&gt;"H. Sale Real"),IF(AM490-AM488&lt;0.208333333333333,AM490-AM488,""),IF(AND(AM487&lt;&gt;"",LEFT(AG487,2)&lt;&gt;"Va",AM487&lt;&gt;"H. Sale Real"),IF(AM490-AM487&lt;0.208333333333333,AM490-AM487,""),IF(AND(AM486&lt;&gt;"",LEFT(AG486,2)&lt;&gt;"Va",AM486&lt;&gt;"H. Sale Real"),IF(AM490-AM486&lt;0.208333333333333,AM490-AM486,""),IF(AND(AM485&lt;&gt;"",LEFT(AG485,2)&lt;&gt;"Va",AM485&lt;&gt;"H. Sale Real"),IF(AM490-AM485&lt;0.208333333333333,AM490-AM485,""),""))))),""),"")</f>
        <v/>
      </c>
      <c r="AX489" s="89">
        <f>IF(AK489&lt;&gt;"H. Sale Real",IF(AND(AK490&lt;&gt;"",LEFT(AG490,2)&lt;&gt;"Va"),IF(AND(AK489&lt;&gt;"",LEFT(AG489,2)&lt;&gt;"Va",AK489&lt;&gt;"H. Sale Real"),IF(AK490-AK489&lt;0.208333333333333,AK490-AK489,""),IF(AND(AK488&lt;&gt;"",LEFT(AG488,2)&lt;&gt;"Va",AK488&lt;&gt;"H. Sale Real"),IF(AK490-AK488&lt;0.208333333333333,AK490-AK488,""),IF(AND(AK487&lt;&gt;"",LEFT(AG487,2)&lt;&gt;"NC",AK487&lt;&gt;"H. Sale Real"),IF(AK490-AK487&lt;0.208333333333333,AK490-AK487,""),IF(AND(AK486&lt;&gt;"",LEFT(AG486,2)&lt;&gt;"Va",AK486&lt;&gt;"H. Sale Real"),IF(AK490-AK486&lt;0.208333333333333,AK490-AK486,""),IF(AND(AK485&lt;&gt;"",LEFT(AG485,2)&lt;&gt;"Va",AK485&lt;&gt;"H. Sale Real"),IF(AK490-AK485&lt;0.208333333333333,AK490-AK485,""),""))))),""),"")</f>
        <v/>
      </c>
      <c r="AY489" s="87" t="n"/>
      <c r="AZ489" s="89" t="n"/>
      <c r="BA489" s="87" t="n"/>
      <c r="BB489" s="89" t="n"/>
      <c r="BC489" s="91" t="n"/>
      <c r="BD489" s="122">
        <f>IF(AK489&lt;&gt;"",IF(AND(BD488&lt;&gt;"IE",AT489&lt;&gt;0,AV489&lt;&gt;""),IF(IFERROR((AT489/AV489),0) &lt;=1,IFERROR(AT489/AV489,""),1),""),"")</f>
        <v/>
      </c>
      <c r="BE489" s="93" t="n"/>
      <c r="BF489" s="105" t="n"/>
      <c r="FC489" t="inlineStr">
        <is>
          <t>Diccionario 1</t>
        </is>
      </c>
      <c r="FD489" s="15" t="inlineStr"/>
      <c r="FE489" s="17" t="inlineStr">
        <is>
          <t>LDYECS318S0044415</t>
        </is>
      </c>
      <c r="FF489" s="18" t="inlineStr">
        <is>
          <t>MDN35025030034</t>
        </is>
      </c>
      <c r="FG489" s="18" t="inlineStr">
        <is>
          <t>Zhong Thong</t>
        </is>
      </c>
      <c r="FH489" s="18" t="inlineStr">
        <is>
          <t>Lck6122evg</t>
        </is>
      </c>
      <c r="FI489" s="18" t="inlineStr">
        <is>
          <t>Zhong Thong</t>
        </is>
      </c>
      <c r="FJ489" s="18" t="inlineStr">
        <is>
          <t>Lck6122evg</t>
        </is>
      </c>
      <c r="FK489" s="18" t="n">
        <v>2026</v>
      </c>
      <c r="FL489" s="18" t="inlineStr">
        <is>
          <t>B</t>
        </is>
      </c>
      <c r="FM489" s="18" t="inlineStr">
        <is>
          <t>Lo Blanco</t>
        </is>
      </c>
      <c r="FP489" t="inlineStr">
        <is>
          <t>B</t>
        </is>
      </c>
      <c r="FS489" s="14" t="inlineStr">
        <is>
          <t>LZPT-66|</t>
        </is>
      </c>
      <c r="FT489" t="inlineStr">
        <is>
          <t>LZPT-66|</t>
        </is>
      </c>
      <c r="FU489" t="inlineStr">
        <is>
          <t>LZPT-66</t>
        </is>
      </c>
      <c r="FV489">
        <f>VLOOKUP(FU489,FD:FL,9,0)</f>
        <v/>
      </c>
      <c r="FZ489" s="51" t="n">
        <v>410</v>
      </c>
      <c r="GA489" s="43" t="n">
        <v>0</v>
      </c>
      <c r="GB489" s="43" t="n">
        <v>0</v>
      </c>
      <c r="GC489" s="43" t="n">
        <v>0</v>
      </c>
      <c r="GD489" s="43" t="n">
        <v>0</v>
      </c>
      <c r="GE489" s="43" t="n">
        <v>0</v>
      </c>
      <c r="GF489" s="43" t="n">
        <v>30.985</v>
      </c>
      <c r="GG489" s="43" t="n">
        <v>29.24</v>
      </c>
      <c r="GH489" s="43" t="n">
        <v>28.675</v>
      </c>
      <c r="GI489" s="43" t="n">
        <v>27.93</v>
      </c>
      <c r="GJ489" s="43" t="n">
        <v>27.165</v>
      </c>
      <c r="GK489" s="43" t="n">
        <v>26.39</v>
      </c>
      <c r="GL489" s="43" t="n">
        <v>25.815</v>
      </c>
      <c r="GM489" s="43" t="n">
        <v>25.72</v>
      </c>
      <c r="GN489" s="43" t="n">
        <v>25.81</v>
      </c>
      <c r="GO489" s="43" t="n">
        <v>25.56</v>
      </c>
      <c r="GP489" s="43" t="n">
        <v>25.92</v>
      </c>
      <c r="GQ489" s="43" t="n">
        <v>26.21</v>
      </c>
      <c r="GR489" s="43" t="n">
        <v>27.055</v>
      </c>
      <c r="GS489" s="43" t="n">
        <v>26.965</v>
      </c>
      <c r="GT489" s="43" t="n">
        <v>27.475</v>
      </c>
      <c r="GU489" s="43" t="n">
        <v>29.1</v>
      </c>
      <c r="GV489" s="43" t="n">
        <v>30.45</v>
      </c>
      <c r="GW489" s="43" t="n">
        <v>31.745</v>
      </c>
      <c r="GX489" s="43" t="n">
        <v>33.05</v>
      </c>
      <c r="HA489" s="35" t="n">
        <v>34</v>
      </c>
      <c r="HB489" s="35" t="n">
        <v>483</v>
      </c>
    </row>
    <row r="490" ht="15.5" customHeight="1">
      <c r="A490" s="10">
        <f>HOUR(G490)+1</f>
        <v/>
      </c>
      <c r="B490" s="7" t="n"/>
      <c r="C490" s="7" t="n"/>
      <c r="D490" s="85">
        <f>IFERROR(
IF(AND(OR(Planilla!B490="C",Planilla!B490="c"), VLOOKUP(E490,FD:FP,13,0)="C"), "OK",IF(AND(OR(Planilla!B490="C",Planilla!B490="c"), OR(VLOOKUP(E490,FD:FP,13,0)="B", VLOOKUP(E490,FD:FP,13,0)="A")), "DEFICIT",IF(
AND(OR(Planilla!B490="B", Planilla!B490="BPAL"), VLOOKUP(E490,FD:FP,13,0)="B"), "OK",IF(AND(OR(Planilla!B490="B", Planilla!B490="BPAL"), VLOOKUP(E490,FD:FP,13,0)="A"), "DEFICIT",IF(AND(OR(Planilla!B490="B", Planilla!B490="BPAL"), VLOOKUP(E490,FD:FP,13,0)="C"), "SOBREOFERTA",IF(AND(Planilla!B490="A", VLOOKUP(E490,FD:FP,13,0)="A"), "OK",IF(
AND(Planilla!B490="A", OR(VLOOKUP(E490,FD:FP,13,0)="B", VLOOKUP(E490,FD:FP,13,0)="C")), "SOBREOFERTA",""
))))))),"")</f>
        <v/>
      </c>
      <c r="E490" s="8" t="n"/>
      <c r="F490" s="86" t="n"/>
      <c r="G490" s="87" t="n"/>
      <c r="H490" s="88">
        <f>IF(I490="","",IF(AND((I490-G490)&gt;=TIME(0,0,0),(I490-G490)&lt;TIME(0,3,0)),"OK",IF(AND((I490-G490)&gt;=TIME(0,3,0),(I490-G490)&lt;TIME(0,5,0)),"RETRASO DE 3-5 MIN",IF(AND((I490-G490)&gt;=TIME(0,5,0),(I490-G490)&lt;TIME(0,10,0)),"RETRASO DE 5-10 MIN",IF((I490-G490)&gt;=TIME(0,10,0),"RETRASO &gt;10 MIN", IF(AND((G490-I490)&gt;=TIME(0,0,0),(G490-I490)&lt;TIME(0,3,0)),"OK",IF((G490-I490)&gt;=TIME(0,3,0),"ADELANTADO")))))))</f>
        <v/>
      </c>
      <c r="I490" s="89" t="n"/>
      <c r="J490" s="89">
        <f>IF(A490&lt;&gt;"",HLOOKUP(VALUE(TEXT(G490,"h:mm:ss")),IF($C$6="Laboral",$FZ$4:$GX$227,IF($C$6="Sábado",$FZ$231:$GX$452,$FZ$456:$GX$656)),VLOOKUP($C$4,$HF$2:$HH$99,3,0)+IF(C$5="Ida",0,1),1),"")</f>
        <v/>
      </c>
      <c r="K490" s="89">
        <f>IF(A491&lt;&gt;A490,AVERAGEIF(A$9:A490,A490,J$9:J490),"")</f>
        <v/>
      </c>
      <c r="L490" s="89">
        <f>IFERROR(IF(A491&lt;&gt;A490,AVERAGEIF(A$9:A490,A490,S$9:S490),""),"")</f>
        <v/>
      </c>
      <c r="M490" s="89">
        <f>IFERROR(IF(A491&lt;&gt;A490,AVERAGEIF(A$9:A490,A490,T$9:T490),""),"")</f>
        <v/>
      </c>
      <c r="N490" s="89">
        <f t="array" ref="N490">IFERROR(IF(A491&lt;&gt;A490,_xlfn.STDEV.P(IF(A$9:A490=A490,T$9:T490)),""),"")</f>
        <v/>
      </c>
      <c r="O490" s="89">
        <f t="array" ref="O490">IFERROR(IF(A491&lt;&gt;A490,_xlfn.STDEV.P(IF(A$9:A490=A490,S$9:S490)),""),"")</f>
        <v/>
      </c>
      <c r="P490" s="90">
        <f>IFERROR(IF(A490&lt;&gt;A491,MAX((((M490*24*60)/2)*(1+POWER((((N490*24*60) / (M490*24*60) )),2))) + ((M490*24*60 )*-0.1 + (K490*0.015)) +1,(((M490*24*60)/2)*(1+POWER((((N490*24*60) / (M490*24*60 ))),2)))),""),"")</f>
        <v/>
      </c>
      <c r="Q490" s="90">
        <f>IF(AND(O490&lt;&gt;"",L490&lt;&gt;""),IF(A490&lt;&gt;A491,((L490*24*60) / 2 ) * (1 + POWER(((O490*24*60) / (L490*24*60)),2)),""),"")</f>
        <v/>
      </c>
      <c r="R490" s="90">
        <f>IF(Q490&lt;&gt;"",MAX(P490,Q490),"")</f>
        <v/>
      </c>
      <c r="S490" s="89">
        <f>IF(I490&lt;&gt;"H. Sale Real",IF(AND(I491&lt;&gt;"",LEFT(C491,2)&lt;&gt;"Va"),IF(AND(I490&lt;&gt;"",LEFT(C490,2)&lt;&gt;"Va",I490&lt;&gt;"H. Sale Real"),IF(I491-I490&lt;0.208333333333333,I491-I490,""),IF(AND(I489&lt;&gt;"",LEFT(C489,2)&lt;&gt;"Va",I489&lt;&gt;"H. Sale Real"),IF(I491-I489&lt;0.208333333333333,I491-I489,""),IF(AND(I488&lt;&gt;"",LEFT(C488,2)&lt;&gt;"Va",I488&lt;&gt;"H. Sale Real"),IF(I491-I488&lt;0.208333333333333,I491-I488,""),IF(AND(I487&lt;&gt;"",LEFT(C487,2)&lt;&gt;"Va",I487&lt;&gt;"H. Sale Real"),IF(I491-I487&lt;0.208333333333333,I491-I487,""),IF(AND(I486&lt;&gt;"",LEFT(C486,2)&lt;&gt;"Va",I486&lt;&gt;"H. Sale Real"),IF(I491-I486&lt;0.208333333333333,I491-I486,""),""))))),""),"")</f>
        <v/>
      </c>
      <c r="T490" s="89">
        <f>IF(G490&lt;&gt;"H. Sale Real",IF(AND(G491&lt;&gt;"",LEFT(C491,2)&lt;&gt;"Va"),IF(AND(G490&lt;&gt;"",LEFT(C490,2)&lt;&gt;"Va",G490&lt;&gt;"H. Sale Real"),IF(G491-G490&lt;0.208333333333333,G491-G490,""),IF(AND(G489&lt;&gt;"",LEFT(C489,2)&lt;&gt;"Va",G489&lt;&gt;"H. Sale Real"),IF(G491-G489&lt;0.208333333333333,G491-G489,""),IF(AND(G488&lt;&gt;"",LEFT(C488,2)&lt;&gt;"Va",G488&lt;&gt;"H. Sale Real"),IF(G491-G488&lt;0.208333333333333,G491-G488,""),IF(AND(G487&lt;&gt;"",LEFT(C487,2)&lt;&gt;"Va",G487&lt;&gt;"H. Sale Real"),IF(G491-G487&lt;0.208333333333333,G491-G487,""),IF(AND(G486&lt;&gt;"",LEFT(C486,2)&lt;&gt;"Va",G486&lt;&gt;"H. Sale Real"),IF(G491-G486&lt;0.208333333333333,G491-G486,""),""))))),""),"")</f>
        <v/>
      </c>
      <c r="U490" s="87" t="n"/>
      <c r="V490" s="89" t="n"/>
      <c r="W490" s="87" t="n"/>
      <c r="X490" s="89" t="n"/>
      <c r="Y490" s="91" t="n"/>
      <c r="Z490" s="122">
        <f>IF(G490&lt;&gt;"",IF(AND(Z489&lt;&gt;"IE",P490&lt;&gt;0,R490&lt;&gt;""),IF(IFERROR((P490/R490),0) &lt;=1,IFERROR(P490/R490,""),1),""),"")</f>
        <v/>
      </c>
      <c r="AA490" s="93" t="n"/>
      <c r="AB490" s="2" t="n"/>
      <c r="AE490" s="10">
        <f>HOUR(AK490)+1</f>
        <v/>
      </c>
      <c r="AF490" s="7" t="n"/>
      <c r="AG490" s="7" t="n"/>
      <c r="AH490" s="86" t="n"/>
      <c r="AI490" s="8" t="n"/>
      <c r="AJ490" s="86" t="n"/>
      <c r="AK490" s="87" t="n"/>
      <c r="AL490" s="88">
        <f>IF(AM490="","",IF(AND((AM490-AK490)&gt;=TIME(0,0,0),(AM490-AK490)&lt;TIME(0,3,0)),"OK",IF(AND((AM490-AK490)&gt;=TIME(0,3,0),(AM490-AK490)&lt;TIME(0,5,0)),"RETRASO DE 3-5 MIN",IF(AND((AM490-AK490)&gt;=TIME(0,5,0),(AM490-AK490)&lt;TIME(0,10,0)),"RETRASO DE 5-10 MIN",IF((AM490-AK490)&gt;=TIME(0,10,0),"RETRASO &gt;10 MIN", IF(AND((AK490-AM490)&gt;=TIME(0,0,0),(AK490-AM490)&lt;TIME(0,3,0)),"OK",IF((AK490-AM490)&gt;=TIME(0,3,0),"ADELANTADO")))))))</f>
        <v/>
      </c>
      <c r="AM490" s="91" t="n"/>
      <c r="AN490" s="89">
        <f>IF(AE490&lt;&gt;"",HLOOKUP(VALUE(TEXT(AK490,"h:mm:ss")),IF($C$6="Laboral",$FZ$4:$GX$227,IF($C$6="Sábado",$FZ$231:$GX$452,$FZ$456:$GX$656)),VLOOKUP($C$4,$HF$2:$HH$99,3,0)+IF(AG$5="Ida",0,1),1),"")</f>
        <v/>
      </c>
      <c r="AO490" s="89">
        <f>IF(AE491&lt;&gt;AE490,AVERAGEIF(AE$9:AE490,AE490,AN$9:AN490),"")</f>
        <v/>
      </c>
      <c r="AP490" s="89">
        <f>IFERROR(IF(AE491&lt;&gt;AE490,AVERAGEIF(AE$9:AE490,AE490,AW$9:AW490),""),"")</f>
        <v/>
      </c>
      <c r="AQ490" s="89">
        <f>IFERROR(IF(AE491&lt;&gt;AE490,AVERAGEIF(AE$9:AE490,AE490,AX$9:AX490),""),"")</f>
        <v/>
      </c>
      <c r="AR490" s="89">
        <f t="array" ref="AR490">IFERROR(IF(AE491&lt;&gt;AE490,_xlfn.STDEV.P(IF(AE$9:AE490=AE490,AX$9:AX490)),""),"")</f>
        <v/>
      </c>
      <c r="AS490" s="89">
        <f t="array" ref="AS490">IFERROR(IF(AE491&lt;&gt;AE490,_xlfn.STDEV.P(IF(AE$9:AE490=AE490,AW$9:AW490)),""),"")</f>
        <v/>
      </c>
      <c r="AT490" s="90">
        <f>IFERROR(IF(AE490&lt;&gt;AE491,MAX((((AQ490*24*60)/2)*(1+POWER((((AR490*24*60) / (AQ490*24*60) )),2))) + ((AQ490*24*60 )*-0.1 + (AO490*0.015)) +1,(((AQ490*24*60)/2)*(1+POWER((((AR490*24*60) / (AQ490*24*60 ))),2)))),""),"")</f>
        <v/>
      </c>
      <c r="AU490" s="90">
        <f>IF(AND(AS490&lt;&gt;"",AP490&lt;&gt;""),IF(AE490&lt;&gt;AE491,((AP490*24*60) / 2 ) * (1 + POWER(((AS490*24*60) / (AP490*24*60)),2)),""),"")</f>
        <v/>
      </c>
      <c r="AV490" s="90">
        <f>IF(AU490&lt;&gt;"",MAX(AT490,AU490),"")</f>
        <v/>
      </c>
      <c r="AW490" s="89">
        <f>IF(AM490&lt;&gt;"H. Sale Real",IF(AND(AM491&lt;&gt;"",LEFT(AG491,2)&lt;&gt;"Va"),IF(AND(AM490&lt;&gt;"",LEFT(AG490,2)&lt;&gt;"Va",AM490&lt;&gt;"H. Sale Real"),IF(AM491-AM490&lt;0.208333333333333,AM491-AM490,""),IF(AND(AM489&lt;&gt;"",LEFT(AG489,2)&lt;&gt;"Va",AM489&lt;&gt;"H. Sale Real"),IF(AM491-AM489&lt;0.208333333333333,AM491-AM489,""),IF(AND(AM488&lt;&gt;"",LEFT(AG488,2)&lt;&gt;"Va",AM488&lt;&gt;"H. Sale Real"),IF(AM491-AM488&lt;0.208333333333333,AM491-AM488,""),IF(AND(AM487&lt;&gt;"",LEFT(AG487,2)&lt;&gt;"Va",AM487&lt;&gt;"H. Sale Real"),IF(AM491-AM487&lt;0.208333333333333,AM491-AM487,""),IF(AND(AM486&lt;&gt;"",LEFT(AG486,2)&lt;&gt;"Va",AM486&lt;&gt;"H. Sale Real"),IF(AM491-AM486&lt;0.208333333333333,AM491-AM486,""),""))))),""),"")</f>
        <v/>
      </c>
      <c r="AX490" s="89">
        <f>IF(AK490&lt;&gt;"H. Sale Real",IF(AND(AK491&lt;&gt;"",LEFT(AG491,2)&lt;&gt;"Va"),IF(AND(AK490&lt;&gt;"",LEFT(AG490,2)&lt;&gt;"Va",AK490&lt;&gt;"H. Sale Real"),IF(AK491-AK490&lt;0.208333333333333,AK491-AK490,""),IF(AND(AK489&lt;&gt;"",LEFT(AG489,2)&lt;&gt;"Va",AK489&lt;&gt;"H. Sale Real"),IF(AK491-AK489&lt;0.208333333333333,AK491-AK489,""),IF(AND(AK488&lt;&gt;"",LEFT(AG488,2)&lt;&gt;"NC",AK488&lt;&gt;"H. Sale Real"),IF(AK491-AK488&lt;0.208333333333333,AK491-AK488,""),IF(AND(AK487&lt;&gt;"",LEFT(AG487,2)&lt;&gt;"Va",AK487&lt;&gt;"H. Sale Real"),IF(AK491-AK487&lt;0.208333333333333,AK491-AK487,""),IF(AND(AK486&lt;&gt;"",LEFT(AG486,2)&lt;&gt;"Va",AK486&lt;&gt;"H. Sale Real"),IF(AK491-AK486&lt;0.208333333333333,AK491-AK486,""),""))))),""),"")</f>
        <v/>
      </c>
      <c r="AY490" s="87" t="n"/>
      <c r="AZ490" s="89" t="n"/>
      <c r="BA490" s="87" t="n"/>
      <c r="BB490" s="89" t="n"/>
      <c r="BC490" s="91" t="n"/>
      <c r="BD490" s="122">
        <f>IF(AK490&lt;&gt;"",IF(AND(BD489&lt;&gt;"IE",AT490&lt;&gt;0,AV490&lt;&gt;""),IF(IFERROR((AT490/AV490),0) &lt;=1,IFERROR(AT490/AV490,""),1),""),"")</f>
        <v/>
      </c>
      <c r="BE490" s="93" t="n"/>
      <c r="BF490" s="105" t="n"/>
      <c r="FC490" t="inlineStr">
        <is>
          <t>Diccionario 1</t>
        </is>
      </c>
      <c r="FD490" s="15" t="inlineStr"/>
      <c r="FE490" s="17" t="inlineStr">
        <is>
          <t>LDYECS314S0044413</t>
        </is>
      </c>
      <c r="FF490" s="18" t="inlineStr">
        <is>
          <t>MDN35025030256</t>
        </is>
      </c>
      <c r="FG490" s="18" t="inlineStr">
        <is>
          <t>Zhong Thong</t>
        </is>
      </c>
      <c r="FH490" s="18" t="inlineStr">
        <is>
          <t>Lck6122evg</t>
        </is>
      </c>
      <c r="FI490" s="18" t="inlineStr">
        <is>
          <t>Zhong Thong</t>
        </is>
      </c>
      <c r="FJ490" s="18" t="inlineStr">
        <is>
          <t>Lck6122evg</t>
        </is>
      </c>
      <c r="FK490" s="18" t="n">
        <v>2026</v>
      </c>
      <c r="FL490" s="18" t="inlineStr">
        <is>
          <t>B</t>
        </is>
      </c>
      <c r="FM490" s="18" t="inlineStr">
        <is>
          <t>Lo Blanco</t>
        </is>
      </c>
      <c r="FP490" t="inlineStr">
        <is>
          <t>B</t>
        </is>
      </c>
      <c r="FS490" s="14" t="inlineStr">
        <is>
          <t>LZPT-61|</t>
        </is>
      </c>
      <c r="FT490" t="inlineStr">
        <is>
          <t>LZPT-61|</t>
        </is>
      </c>
      <c r="FU490" t="inlineStr">
        <is>
          <t>LZPT-61</t>
        </is>
      </c>
      <c r="FV490">
        <f>VLOOKUP(FU490,FD:FL,9,0)</f>
        <v/>
      </c>
      <c r="FZ490" s="51" t="n">
        <v>410</v>
      </c>
      <c r="GA490" s="43" t="n">
        <v>28.34</v>
      </c>
      <c r="GB490" s="43" t="n">
        <v>0</v>
      </c>
      <c r="GC490" s="43" t="n">
        <v>0</v>
      </c>
      <c r="GD490" s="43" t="n">
        <v>0</v>
      </c>
      <c r="GE490" s="43" t="n">
        <v>0</v>
      </c>
      <c r="GF490" s="43" t="n">
        <v>0</v>
      </c>
      <c r="GG490" s="43" t="n">
        <v>26.775</v>
      </c>
      <c r="GH490" s="43" t="n">
        <v>25.265</v>
      </c>
      <c r="GI490" s="43" t="n">
        <v>24.22</v>
      </c>
      <c r="GJ490" s="43" t="n">
        <v>23.575</v>
      </c>
      <c r="GK490" s="43" t="n">
        <v>22.825</v>
      </c>
      <c r="GL490" s="43" t="n">
        <v>21.69</v>
      </c>
      <c r="GM490" s="43" t="n">
        <v>20.65</v>
      </c>
      <c r="GN490" s="43" t="n">
        <v>20.85</v>
      </c>
      <c r="GO490" s="43" t="n">
        <v>22.4</v>
      </c>
      <c r="GP490" s="43" t="n">
        <v>22.63</v>
      </c>
      <c r="GQ490" s="43" t="n">
        <v>22.305</v>
      </c>
      <c r="GR490" s="43" t="n">
        <v>21.995</v>
      </c>
      <c r="GS490" s="43" t="n">
        <v>22.105</v>
      </c>
      <c r="GT490" s="43" t="n">
        <v>21.895</v>
      </c>
      <c r="GU490" s="43" t="n">
        <v>21.905</v>
      </c>
      <c r="GV490" s="43" t="n">
        <v>23.785</v>
      </c>
      <c r="GW490" s="43" t="n">
        <v>25.99</v>
      </c>
      <c r="GX490" s="43" t="n">
        <v>29.26</v>
      </c>
      <c r="HA490" s="35" t="n">
        <v>35</v>
      </c>
      <c r="HB490" s="35" t="n">
        <v>484</v>
      </c>
    </row>
    <row r="491" ht="15.5" customHeight="1">
      <c r="A491" s="10">
        <f>HOUR(G491)+1</f>
        <v/>
      </c>
      <c r="B491" s="7" t="n"/>
      <c r="C491" s="7" t="n"/>
      <c r="D491" s="85">
        <f>IFERROR(
IF(AND(OR(Planilla!B491="C",Planilla!B491="c"), VLOOKUP(E491,FD:FP,13,0)="C"), "OK",IF(AND(OR(Planilla!B491="C",Planilla!B491="c"), OR(VLOOKUP(E491,FD:FP,13,0)="B", VLOOKUP(E491,FD:FP,13,0)="A")), "DEFICIT",IF(
AND(OR(Planilla!B491="B", Planilla!B491="BPAL"), VLOOKUP(E491,FD:FP,13,0)="B"), "OK",IF(AND(OR(Planilla!B491="B", Planilla!B491="BPAL"), VLOOKUP(E491,FD:FP,13,0)="A"), "DEFICIT",IF(AND(OR(Planilla!B491="B", Planilla!B491="BPAL"), VLOOKUP(E491,FD:FP,13,0)="C"), "SOBREOFERTA",IF(AND(Planilla!B491="A", VLOOKUP(E491,FD:FP,13,0)="A"), "OK",IF(
AND(Planilla!B491="A", OR(VLOOKUP(E491,FD:FP,13,0)="B", VLOOKUP(E491,FD:FP,13,0)="C")), "SOBREOFERTA",""
))))))),"")</f>
        <v/>
      </c>
      <c r="E491" s="8" t="n"/>
      <c r="F491" s="86" t="n"/>
      <c r="G491" s="87" t="n"/>
      <c r="H491" s="88">
        <f>IF(I491="","",IF(AND((I491-G491)&gt;=TIME(0,0,0),(I491-G491)&lt;TIME(0,3,0)),"OK",IF(AND((I491-G491)&gt;=TIME(0,3,0),(I491-G491)&lt;TIME(0,5,0)),"RETRASO DE 3-5 MIN",IF(AND((I491-G491)&gt;=TIME(0,5,0),(I491-G491)&lt;TIME(0,10,0)),"RETRASO DE 5-10 MIN",IF((I491-G491)&gt;=TIME(0,10,0),"RETRASO &gt;10 MIN", IF(AND((G491-I491)&gt;=TIME(0,0,0),(G491-I491)&lt;TIME(0,3,0)),"OK",IF((G491-I491)&gt;=TIME(0,3,0),"ADELANTADO")))))))</f>
        <v/>
      </c>
      <c r="I491" s="89" t="n"/>
      <c r="J491" s="89">
        <f>IF(A491&lt;&gt;"",HLOOKUP(VALUE(TEXT(G491,"h:mm:ss")),IF($C$6="Laboral",$FZ$4:$GX$227,IF($C$6="Sábado",$FZ$231:$GX$452,$FZ$456:$GX$656)),VLOOKUP($C$4,$HF$2:$HH$99,3,0)+IF(C$5="Ida",0,1),1),"")</f>
        <v/>
      </c>
      <c r="K491" s="89">
        <f>IF(A492&lt;&gt;A491,AVERAGEIF(A$9:A491,A491,J$9:J491),"")</f>
        <v/>
      </c>
      <c r="L491" s="89">
        <f>IFERROR(IF(A492&lt;&gt;A491,AVERAGEIF(A$9:A491,A491,S$9:S491),""),"")</f>
        <v/>
      </c>
      <c r="M491" s="89">
        <f>IFERROR(IF(A492&lt;&gt;A491,AVERAGEIF(A$9:A491,A491,T$9:T491),""),"")</f>
        <v/>
      </c>
      <c r="N491" s="89">
        <f t="array" ref="N491">IFERROR(IF(A492&lt;&gt;A491,_xlfn.STDEV.P(IF(A$9:A491=A491,T$9:T491)),""),"")</f>
        <v/>
      </c>
      <c r="O491" s="89">
        <f t="array" ref="O491">IFERROR(IF(A492&lt;&gt;A491,_xlfn.STDEV.P(IF(A$9:A491=A491,S$9:S491)),""),"")</f>
        <v/>
      </c>
      <c r="P491" s="90">
        <f>IFERROR(IF(A491&lt;&gt;A492,MAX((((M491*24*60)/2)*(1+POWER((((N491*24*60) / (M491*24*60) )),2))) + ((M491*24*60 )*-0.1 + (K491*0.015)) +1,(((M491*24*60)/2)*(1+POWER((((N491*24*60) / (M491*24*60 ))),2)))),""),"")</f>
        <v/>
      </c>
      <c r="Q491" s="90">
        <f>IF(AND(O491&lt;&gt;"",L491&lt;&gt;""),IF(A491&lt;&gt;A492,((L491*24*60) / 2 ) * (1 + POWER(((O491*24*60) / (L491*24*60)),2)),""),"")</f>
        <v/>
      </c>
      <c r="R491" s="90">
        <f>IF(Q491&lt;&gt;"",MAX(P491,Q491),"")</f>
        <v/>
      </c>
      <c r="S491" s="89">
        <f>IF(I491&lt;&gt;"H. Sale Real",IF(AND(I492&lt;&gt;"",LEFT(C492,2)&lt;&gt;"Va"),IF(AND(I491&lt;&gt;"",LEFT(C491,2)&lt;&gt;"Va",I491&lt;&gt;"H. Sale Real"),IF(I492-I491&lt;0.208333333333333,I492-I491,""),IF(AND(I490&lt;&gt;"",LEFT(C490,2)&lt;&gt;"Va",I490&lt;&gt;"H. Sale Real"),IF(I492-I490&lt;0.208333333333333,I492-I490,""),IF(AND(I489&lt;&gt;"",LEFT(C489,2)&lt;&gt;"Va",I489&lt;&gt;"H. Sale Real"),IF(I492-I489&lt;0.208333333333333,I492-I489,""),IF(AND(I488&lt;&gt;"",LEFT(C488,2)&lt;&gt;"Va",I488&lt;&gt;"H. Sale Real"),IF(I492-I488&lt;0.208333333333333,I492-I488,""),IF(AND(I487&lt;&gt;"",LEFT(C487,2)&lt;&gt;"Va",I487&lt;&gt;"H. Sale Real"),IF(I492-I487&lt;0.208333333333333,I492-I487,""),""))))),""),"")</f>
        <v/>
      </c>
      <c r="T491" s="89">
        <f>IF(G491&lt;&gt;"H. Sale Real",IF(AND(G492&lt;&gt;"",LEFT(C492,2)&lt;&gt;"Va"),IF(AND(G491&lt;&gt;"",LEFT(C491,2)&lt;&gt;"Va",G491&lt;&gt;"H. Sale Real"),IF(G492-G491&lt;0.208333333333333,G492-G491,""),IF(AND(G490&lt;&gt;"",LEFT(C490,2)&lt;&gt;"Va",G490&lt;&gt;"H. Sale Real"),IF(G492-G490&lt;0.208333333333333,G492-G490,""),IF(AND(G489&lt;&gt;"",LEFT(C489,2)&lt;&gt;"Va",G489&lt;&gt;"H. Sale Real"),IF(G492-G489&lt;0.208333333333333,G492-G489,""),IF(AND(G488&lt;&gt;"",LEFT(C488,2)&lt;&gt;"Va",G488&lt;&gt;"H. Sale Real"),IF(G492-G488&lt;0.208333333333333,G492-G488,""),IF(AND(G487&lt;&gt;"",LEFT(C487,2)&lt;&gt;"Va",G487&lt;&gt;"H. Sale Real"),IF(G492-G487&lt;0.208333333333333,G492-G487,""),""))))),""),"")</f>
        <v/>
      </c>
      <c r="U491" s="87" t="n"/>
      <c r="V491" s="89" t="n"/>
      <c r="W491" s="87" t="n"/>
      <c r="X491" s="89" t="n"/>
      <c r="Y491" s="91" t="n"/>
      <c r="Z491" s="122">
        <f>IF(G491&lt;&gt;"",IF(AND(Z490&lt;&gt;"IE",P491&lt;&gt;0,R491&lt;&gt;""),IF(IFERROR((P491/R491),0) &lt;=1,IFERROR(P491/R491,""),1),""),"")</f>
        <v/>
      </c>
      <c r="AA491" s="93" t="n"/>
      <c r="AB491" s="2" t="n"/>
      <c r="AE491" s="10">
        <f>HOUR(AK491)+1</f>
        <v/>
      </c>
      <c r="AF491" s="7" t="n"/>
      <c r="AG491" s="7" t="n"/>
      <c r="AH491" s="86" t="n"/>
      <c r="AI491" s="8" t="n"/>
      <c r="AJ491" s="86" t="n"/>
      <c r="AK491" s="87" t="n"/>
      <c r="AL491" s="88">
        <f>IF(AM491="","",IF(AND((AM491-AK491)&gt;=TIME(0,0,0),(AM491-AK491)&lt;TIME(0,3,0)),"OK",IF(AND((AM491-AK491)&gt;=TIME(0,3,0),(AM491-AK491)&lt;TIME(0,5,0)),"RETRASO DE 3-5 MIN",IF(AND((AM491-AK491)&gt;=TIME(0,5,0),(AM491-AK491)&lt;TIME(0,10,0)),"RETRASO DE 5-10 MIN",IF((AM491-AK491)&gt;=TIME(0,10,0),"RETRASO &gt;10 MIN", IF(AND((AK491-AM491)&gt;=TIME(0,0,0),(AK491-AM491)&lt;TIME(0,3,0)),"OK",IF((AK491-AM491)&gt;=TIME(0,3,0),"ADELANTADO")))))))</f>
        <v/>
      </c>
      <c r="AM491" s="91" t="n"/>
      <c r="AN491" s="89">
        <f>IF(AE491&lt;&gt;"",HLOOKUP(VALUE(TEXT(AK491,"h:mm:ss")),IF($C$6="Laboral",$FZ$4:$GX$227,IF($C$6="Sábado",$FZ$231:$GX$452,$FZ$456:$GX$656)),VLOOKUP($C$4,$HF$2:$HH$99,3,0)+IF(AG$5="Ida",0,1),1),"")</f>
        <v/>
      </c>
      <c r="AO491" s="89">
        <f>IF(AE492&lt;&gt;AE491,AVERAGEIF(AE$9:AE491,AE491,AN$9:AN491),"")</f>
        <v/>
      </c>
      <c r="AP491" s="89">
        <f>IFERROR(IF(AE492&lt;&gt;AE491,AVERAGEIF(AE$9:AE491,AE491,AW$9:AW491),""),"")</f>
        <v/>
      </c>
      <c r="AQ491" s="89">
        <f>IFERROR(IF(AE492&lt;&gt;AE491,AVERAGEIF(AE$9:AE491,AE491,AX$9:AX491),""),"")</f>
        <v/>
      </c>
      <c r="AR491" s="89">
        <f t="array" ref="AR491">IFERROR(IF(AE492&lt;&gt;AE491,_xlfn.STDEV.P(IF(AE$9:AE491=AE491,AX$9:AX491)),""),"")</f>
        <v/>
      </c>
      <c r="AS491" s="89">
        <f t="array" ref="AS491">IFERROR(IF(AE492&lt;&gt;AE491,_xlfn.STDEV.P(IF(AE$9:AE491=AE491,AW$9:AW491)),""),"")</f>
        <v/>
      </c>
      <c r="AT491" s="90">
        <f>IFERROR(IF(AE491&lt;&gt;AE492,MAX((((AQ491*24*60)/2)*(1+POWER((((AR491*24*60) / (AQ491*24*60) )),2))) + ((AQ491*24*60 )*-0.1 + (AO491*0.015)) +1,(((AQ491*24*60)/2)*(1+POWER((((AR491*24*60) / (AQ491*24*60 ))),2)))),""),"")</f>
        <v/>
      </c>
      <c r="AU491" s="90">
        <f>IF(AND(AS491&lt;&gt;"",AP491&lt;&gt;""),IF(AE491&lt;&gt;AE492,((AP491*24*60) / 2 ) * (1 + POWER(((AS491*24*60) / (AP491*24*60)),2)),""),"")</f>
        <v/>
      </c>
      <c r="AV491" s="90">
        <f>IF(AU491&lt;&gt;"",MAX(AT491,AU491),"")</f>
        <v/>
      </c>
      <c r="AW491" s="89">
        <f>IF(AM491&lt;&gt;"H. Sale Real",IF(AND(AM492&lt;&gt;"",LEFT(AG492,2)&lt;&gt;"Va"),IF(AND(AM491&lt;&gt;"",LEFT(AG491,2)&lt;&gt;"Va",AM491&lt;&gt;"H. Sale Real"),IF(AM492-AM491&lt;0.208333333333333,AM492-AM491,""),IF(AND(AM490&lt;&gt;"",LEFT(AG490,2)&lt;&gt;"Va",AM490&lt;&gt;"H. Sale Real"),IF(AM492-AM490&lt;0.208333333333333,AM492-AM490,""),IF(AND(AM489&lt;&gt;"",LEFT(AG489,2)&lt;&gt;"Va",AM489&lt;&gt;"H. Sale Real"),IF(AM492-AM489&lt;0.208333333333333,AM492-AM489,""),IF(AND(AM488&lt;&gt;"",LEFT(AG488,2)&lt;&gt;"Va",AM488&lt;&gt;"H. Sale Real"),IF(AM492-AM488&lt;0.208333333333333,AM492-AM488,""),IF(AND(AM487&lt;&gt;"",LEFT(AG487,2)&lt;&gt;"Va",AM487&lt;&gt;"H. Sale Real"),IF(AM492-AM487&lt;0.208333333333333,AM492-AM487,""),""))))),""),"")</f>
        <v/>
      </c>
      <c r="AX491" s="89">
        <f>IF(AK491&lt;&gt;"H. Sale Real",IF(AND(AK492&lt;&gt;"",LEFT(AG492,2)&lt;&gt;"Va"),IF(AND(AK491&lt;&gt;"",LEFT(AG491,2)&lt;&gt;"Va",AK491&lt;&gt;"H. Sale Real"),IF(AK492-AK491&lt;0.208333333333333,AK492-AK491,""),IF(AND(AK490&lt;&gt;"",LEFT(AG490,2)&lt;&gt;"Va",AK490&lt;&gt;"H. Sale Real"),IF(AK492-AK490&lt;0.208333333333333,AK492-AK490,""),IF(AND(AK489&lt;&gt;"",LEFT(AG489,2)&lt;&gt;"NC",AK489&lt;&gt;"H. Sale Real"),IF(AK492-AK489&lt;0.208333333333333,AK492-AK489,""),IF(AND(AK488&lt;&gt;"",LEFT(AG488,2)&lt;&gt;"Va",AK488&lt;&gt;"H. Sale Real"),IF(AK492-AK488&lt;0.208333333333333,AK492-AK488,""),IF(AND(AK487&lt;&gt;"",LEFT(AG487,2)&lt;&gt;"Va",AK487&lt;&gt;"H. Sale Real"),IF(AK492-AK487&lt;0.208333333333333,AK492-AK487,""),""))))),""),"")</f>
        <v/>
      </c>
      <c r="AY491" s="87" t="n"/>
      <c r="AZ491" s="89" t="n"/>
      <c r="BA491" s="87" t="n"/>
      <c r="BB491" s="89" t="n"/>
      <c r="BC491" s="91" t="n"/>
      <c r="BD491" s="122">
        <f>IF(AK491&lt;&gt;"",IF(AND(BD490&lt;&gt;"IE",AT491&lt;&gt;0,AV491&lt;&gt;""),IF(IFERROR((AT491/AV491),0) &lt;=1,IFERROR(AT491/AV491,""),1),""),"")</f>
        <v/>
      </c>
      <c r="BE491" s="93" t="n"/>
      <c r="BF491" s="105" t="n"/>
      <c r="FC491" t="inlineStr">
        <is>
          <t>Diccionario 1</t>
        </is>
      </c>
      <c r="FD491" s="15" t="inlineStr"/>
      <c r="FE491" s="17" t="inlineStr">
        <is>
          <t>LDYECS312S0044412</t>
        </is>
      </c>
      <c r="FF491" s="18" t="inlineStr">
        <is>
          <t>MDN35025020183</t>
        </is>
      </c>
      <c r="FG491" s="18" t="inlineStr">
        <is>
          <t>Zhong Thong</t>
        </is>
      </c>
      <c r="FH491" s="18" t="inlineStr">
        <is>
          <t>Lck6122evg</t>
        </is>
      </c>
      <c r="FI491" s="18" t="inlineStr">
        <is>
          <t>Zhong Thong</t>
        </is>
      </c>
      <c r="FJ491" s="18" t="inlineStr">
        <is>
          <t>Lck6122evg</t>
        </is>
      </c>
      <c r="FK491" s="18" t="n">
        <v>2026</v>
      </c>
      <c r="FL491" s="18" t="inlineStr">
        <is>
          <t>B</t>
        </is>
      </c>
      <c r="FM491" s="18" t="inlineStr">
        <is>
          <t>Lo Blanco</t>
        </is>
      </c>
      <c r="FP491" t="inlineStr">
        <is>
          <t>B</t>
        </is>
      </c>
      <c r="FS491" s="14" t="inlineStr">
        <is>
          <t>LZPS-20|</t>
        </is>
      </c>
      <c r="FT491" t="inlineStr">
        <is>
          <t>LZPS-20|</t>
        </is>
      </c>
      <c r="FU491" t="inlineStr">
        <is>
          <t>LZPS-20</t>
        </is>
      </c>
      <c r="FV491">
        <f>VLOOKUP(FU491,FD:FL,9,0)</f>
        <v/>
      </c>
      <c r="FZ491" s="51" t="inlineStr">
        <is>
          <t>B02</t>
        </is>
      </c>
      <c r="GA491" s="43" t="n">
        <v>0</v>
      </c>
      <c r="GB491" s="43" t="n">
        <v>0</v>
      </c>
      <c r="GC491" s="43" t="n">
        <v>0</v>
      </c>
      <c r="GD491" s="43" t="n">
        <v>0</v>
      </c>
      <c r="GE491" s="43" t="n">
        <v>0</v>
      </c>
      <c r="GF491" s="43" t="n">
        <v>11.085</v>
      </c>
      <c r="GG491" s="43" t="n">
        <v>20.78</v>
      </c>
      <c r="GH491" s="43" t="n">
        <v>19.555</v>
      </c>
      <c r="GI491" s="43" t="n">
        <v>18.815</v>
      </c>
      <c r="GJ491" s="43" t="n">
        <v>17.91</v>
      </c>
      <c r="GK491" s="43" t="n">
        <v>17.42</v>
      </c>
      <c r="GL491" s="43" t="n">
        <v>16.53</v>
      </c>
      <c r="GM491" s="43" t="n">
        <v>16.035</v>
      </c>
      <c r="GN491" s="43" t="n">
        <v>16.495</v>
      </c>
      <c r="GO491" s="43" t="n">
        <v>16.445</v>
      </c>
      <c r="GP491" s="43" t="n">
        <v>16.695</v>
      </c>
      <c r="GQ491" s="43" t="n">
        <v>16.96</v>
      </c>
      <c r="GR491" s="43" t="n">
        <v>16.695</v>
      </c>
      <c r="GS491" s="43" t="n">
        <v>17.29</v>
      </c>
      <c r="GT491" s="43" t="n">
        <v>18.055</v>
      </c>
      <c r="GU491" s="43" t="n">
        <v>19.52</v>
      </c>
      <c r="GV491" s="43" t="n">
        <v>20.67</v>
      </c>
      <c r="GW491" s="43" t="n">
        <v>21.315</v>
      </c>
      <c r="GX491" s="43" t="n">
        <v>0</v>
      </c>
      <c r="HA491" s="35" t="n">
        <v>36</v>
      </c>
      <c r="HB491" s="35" t="n">
        <v>485</v>
      </c>
    </row>
    <row r="492" ht="15.5" customHeight="1">
      <c r="A492" s="10">
        <f>HOUR(G492)+1</f>
        <v/>
      </c>
      <c r="B492" s="7" t="n"/>
      <c r="C492" s="7" t="n"/>
      <c r="D492" s="85">
        <f>IFERROR(
IF(AND(OR(Planilla!B492="C",Planilla!B492="c"), VLOOKUP(E492,FD:FP,13,0)="C"), "OK",IF(AND(OR(Planilla!B492="C",Planilla!B492="c"), OR(VLOOKUP(E492,FD:FP,13,0)="B", VLOOKUP(E492,FD:FP,13,0)="A")), "DEFICIT",IF(
AND(OR(Planilla!B492="B", Planilla!B492="BPAL"), VLOOKUP(E492,FD:FP,13,0)="B"), "OK",IF(AND(OR(Planilla!B492="B", Planilla!B492="BPAL"), VLOOKUP(E492,FD:FP,13,0)="A"), "DEFICIT",IF(AND(OR(Planilla!B492="B", Planilla!B492="BPAL"), VLOOKUP(E492,FD:FP,13,0)="C"), "SOBREOFERTA",IF(AND(Planilla!B492="A", VLOOKUP(E492,FD:FP,13,0)="A"), "OK",IF(
AND(Planilla!B492="A", OR(VLOOKUP(E492,FD:FP,13,0)="B", VLOOKUP(E492,FD:FP,13,0)="C")), "SOBREOFERTA",""
))))))),"")</f>
        <v/>
      </c>
      <c r="E492" s="8" t="n"/>
      <c r="F492" s="86" t="n"/>
      <c r="G492" s="87" t="n"/>
      <c r="H492" s="88">
        <f>IF(I492="","",IF(AND((I492-G492)&gt;=TIME(0,0,0),(I492-G492)&lt;TIME(0,3,0)),"OK",IF(AND((I492-G492)&gt;=TIME(0,3,0),(I492-G492)&lt;TIME(0,5,0)),"RETRASO DE 3-5 MIN",IF(AND((I492-G492)&gt;=TIME(0,5,0),(I492-G492)&lt;TIME(0,10,0)),"RETRASO DE 5-10 MIN",IF((I492-G492)&gt;=TIME(0,10,0),"RETRASO &gt;10 MIN", IF(AND((G492-I492)&gt;=TIME(0,0,0),(G492-I492)&lt;TIME(0,3,0)),"OK",IF((G492-I492)&gt;=TIME(0,3,0),"ADELANTADO")))))))</f>
        <v/>
      </c>
      <c r="I492" s="89" t="n"/>
      <c r="J492" s="89">
        <f>IF(A492&lt;&gt;"",HLOOKUP(VALUE(TEXT(G492,"h:mm:ss")),IF($C$6="Laboral",$FZ$4:$GX$227,IF($C$6="Sábado",$FZ$231:$GX$452,$FZ$456:$GX$656)),VLOOKUP($C$4,$HF$2:$HH$99,3,0)+IF(C$5="Ida",0,1),1),"")</f>
        <v/>
      </c>
      <c r="K492" s="89">
        <f>IF(A493&lt;&gt;A492,AVERAGEIF(A$9:A492,A492,J$9:J492),"")</f>
        <v/>
      </c>
      <c r="L492" s="89">
        <f>IFERROR(IF(A493&lt;&gt;A492,AVERAGEIF(A$9:A492,A492,S$9:S492),""),"")</f>
        <v/>
      </c>
      <c r="M492" s="89">
        <f>IFERROR(IF(A493&lt;&gt;A492,AVERAGEIF(A$9:A492,A492,T$9:T492),""),"")</f>
        <v/>
      </c>
      <c r="N492" s="89">
        <f t="array" ref="N492">IFERROR(IF(A493&lt;&gt;A492,_xlfn.STDEV.P(IF(A$9:A492=A492,T$9:T492)),""),"")</f>
        <v/>
      </c>
      <c r="O492" s="89">
        <f t="array" ref="O492">IFERROR(IF(A493&lt;&gt;A492,_xlfn.STDEV.P(IF(A$9:A492=A492,S$9:S492)),""),"")</f>
        <v/>
      </c>
      <c r="P492" s="90">
        <f>IFERROR(IF(A492&lt;&gt;A493,MAX((((M492*24*60)/2)*(1+POWER((((N492*24*60) / (M492*24*60) )),2))) + ((M492*24*60 )*-0.1 + (K492*0.015)) +1,(((M492*24*60)/2)*(1+POWER((((N492*24*60) / (M492*24*60 ))),2)))),""),"")</f>
        <v/>
      </c>
      <c r="Q492" s="90">
        <f>IF(AND(O492&lt;&gt;"",L492&lt;&gt;""),IF(A492&lt;&gt;A493,((L492*24*60) / 2 ) * (1 + POWER(((O492*24*60) / (L492*24*60)),2)),""),"")</f>
        <v/>
      </c>
      <c r="R492" s="90">
        <f>IF(Q492&lt;&gt;"",MAX(P492,Q492),"")</f>
        <v/>
      </c>
      <c r="S492" s="89">
        <f>IF(I492&lt;&gt;"H. Sale Real",IF(AND(I493&lt;&gt;"",LEFT(C493,2)&lt;&gt;"Va"),IF(AND(I492&lt;&gt;"",LEFT(C492,2)&lt;&gt;"Va",I492&lt;&gt;"H. Sale Real"),IF(I493-I492&lt;0.208333333333333,I493-I492,""),IF(AND(I491&lt;&gt;"",LEFT(C491,2)&lt;&gt;"Va",I491&lt;&gt;"H. Sale Real"),IF(I493-I491&lt;0.208333333333333,I493-I491,""),IF(AND(I490&lt;&gt;"",LEFT(C490,2)&lt;&gt;"Va",I490&lt;&gt;"H. Sale Real"),IF(I493-I490&lt;0.208333333333333,I493-I490,""),IF(AND(I489&lt;&gt;"",LEFT(C489,2)&lt;&gt;"Va",I489&lt;&gt;"H. Sale Real"),IF(I493-I489&lt;0.208333333333333,I493-I489,""),IF(AND(I488&lt;&gt;"",LEFT(C488,2)&lt;&gt;"Va",I488&lt;&gt;"H. Sale Real"),IF(I493-I488&lt;0.208333333333333,I493-I488,""),""))))),""),"")</f>
        <v/>
      </c>
      <c r="T492" s="89">
        <f>IF(G492&lt;&gt;"H. Sale Real",IF(AND(G493&lt;&gt;"",LEFT(C493,2)&lt;&gt;"Va"),IF(AND(G492&lt;&gt;"",LEFT(C492,2)&lt;&gt;"Va",G492&lt;&gt;"H. Sale Real"),IF(G493-G492&lt;0.208333333333333,G493-G492,""),IF(AND(G491&lt;&gt;"",LEFT(C491,2)&lt;&gt;"Va",G491&lt;&gt;"H. Sale Real"),IF(G493-G491&lt;0.208333333333333,G493-G491,""),IF(AND(G490&lt;&gt;"",LEFT(C490,2)&lt;&gt;"Va",G490&lt;&gt;"H. Sale Real"),IF(G493-G490&lt;0.208333333333333,G493-G490,""),IF(AND(G489&lt;&gt;"",LEFT(C489,2)&lt;&gt;"Va",G489&lt;&gt;"H. Sale Real"),IF(G493-G489&lt;0.208333333333333,G493-G489,""),IF(AND(G488&lt;&gt;"",LEFT(C488,2)&lt;&gt;"Va",G488&lt;&gt;"H. Sale Real"),IF(G493-G488&lt;0.208333333333333,G493-G488,""),""))))),""),"")</f>
        <v/>
      </c>
      <c r="U492" s="87" t="n"/>
      <c r="V492" s="89" t="n"/>
      <c r="W492" s="87" t="n"/>
      <c r="X492" s="89" t="n"/>
      <c r="Y492" s="91" t="n"/>
      <c r="Z492" s="122">
        <f>IF(G492&lt;&gt;"",IF(AND(Z491&lt;&gt;"IE",P492&lt;&gt;0,R492&lt;&gt;""),IF(IFERROR((P492/R492),0) &lt;=1,IFERROR(P492/R492,""),1),""),"")</f>
        <v/>
      </c>
      <c r="AA492" s="93" t="n"/>
      <c r="AB492" s="2" t="n"/>
      <c r="AE492" s="10">
        <f>HOUR(AK492)+1</f>
        <v/>
      </c>
      <c r="AF492" s="7" t="n"/>
      <c r="AG492" s="7" t="n"/>
      <c r="AH492" s="86" t="n"/>
      <c r="AI492" s="8" t="n"/>
      <c r="AJ492" s="86" t="n"/>
      <c r="AK492" s="87" t="n"/>
      <c r="AL492" s="88">
        <f>IF(AM492="","",IF(AND((AM492-AK492)&gt;=TIME(0,0,0),(AM492-AK492)&lt;TIME(0,3,0)),"OK",IF(AND((AM492-AK492)&gt;=TIME(0,3,0),(AM492-AK492)&lt;TIME(0,5,0)),"RETRASO DE 3-5 MIN",IF(AND((AM492-AK492)&gt;=TIME(0,5,0),(AM492-AK492)&lt;TIME(0,10,0)),"RETRASO DE 5-10 MIN",IF((AM492-AK492)&gt;=TIME(0,10,0),"RETRASO &gt;10 MIN", IF(AND((AK492-AM492)&gt;=TIME(0,0,0),(AK492-AM492)&lt;TIME(0,3,0)),"OK",IF((AK492-AM492)&gt;=TIME(0,3,0),"ADELANTADO")))))))</f>
        <v/>
      </c>
      <c r="AM492" s="91" t="n"/>
      <c r="AN492" s="89">
        <f>IF(AE492&lt;&gt;"",HLOOKUP(VALUE(TEXT(AK492,"h:mm:ss")),IF($C$6="Laboral",$FZ$4:$GX$227,IF($C$6="Sábado",$FZ$231:$GX$452,$FZ$456:$GX$656)),VLOOKUP($C$4,$HF$2:$HH$99,3,0)+IF(AG$5="Ida",0,1),1),"")</f>
        <v/>
      </c>
      <c r="AO492" s="89">
        <f>IF(AE493&lt;&gt;AE492,AVERAGEIF(AE$9:AE492,AE492,AN$9:AN492),"")</f>
        <v/>
      </c>
      <c r="AP492" s="89">
        <f>IFERROR(IF(AE493&lt;&gt;AE492,AVERAGEIF(AE$9:AE492,AE492,AW$9:AW492),""),"")</f>
        <v/>
      </c>
      <c r="AQ492" s="89">
        <f>IFERROR(IF(AE493&lt;&gt;AE492,AVERAGEIF(AE$9:AE492,AE492,AX$9:AX492),""),"")</f>
        <v/>
      </c>
      <c r="AR492" s="89">
        <f t="array" ref="AR492">IFERROR(IF(AE493&lt;&gt;AE492,_xlfn.STDEV.P(IF(AE$9:AE492=AE492,AX$9:AX492)),""),"")</f>
        <v/>
      </c>
      <c r="AS492" s="89">
        <f t="array" ref="AS492">IFERROR(IF(AE493&lt;&gt;AE492,_xlfn.STDEV.P(IF(AE$9:AE492=AE492,AW$9:AW492)),""),"")</f>
        <v/>
      </c>
      <c r="AT492" s="90">
        <f>IFERROR(IF(AE492&lt;&gt;AE493,MAX((((AQ492*24*60)/2)*(1+POWER((((AR492*24*60) / (AQ492*24*60) )),2))) + ((AQ492*24*60 )*-0.1 + (AO492*0.015)) +1,(((AQ492*24*60)/2)*(1+POWER((((AR492*24*60) / (AQ492*24*60 ))),2)))),""),"")</f>
        <v/>
      </c>
      <c r="AU492" s="90">
        <f>IF(AND(AS492&lt;&gt;"",AP492&lt;&gt;""),IF(AE492&lt;&gt;AE493,((AP492*24*60) / 2 ) * (1 + POWER(((AS492*24*60) / (AP492*24*60)),2)),""),"")</f>
        <v/>
      </c>
      <c r="AV492" s="90">
        <f>IF(AU492&lt;&gt;"",MAX(AT492,AU492),"")</f>
        <v/>
      </c>
      <c r="AW492" s="89">
        <f>IF(AM492&lt;&gt;"H. Sale Real",IF(AND(AM493&lt;&gt;"",LEFT(AG493,2)&lt;&gt;"Va"),IF(AND(AM492&lt;&gt;"",LEFT(AG492,2)&lt;&gt;"Va",AM492&lt;&gt;"H. Sale Real"),IF(AM493-AM492&lt;0.208333333333333,AM493-AM492,""),IF(AND(AM491&lt;&gt;"",LEFT(AG491,2)&lt;&gt;"Va",AM491&lt;&gt;"H. Sale Real"),IF(AM493-AM491&lt;0.208333333333333,AM493-AM491,""),IF(AND(AM490&lt;&gt;"",LEFT(AG490,2)&lt;&gt;"Va",AM490&lt;&gt;"H. Sale Real"),IF(AM493-AM490&lt;0.208333333333333,AM493-AM490,""),IF(AND(AM489&lt;&gt;"",LEFT(AG489,2)&lt;&gt;"Va",AM489&lt;&gt;"H. Sale Real"),IF(AM493-AM489&lt;0.208333333333333,AM493-AM489,""),IF(AND(AM488&lt;&gt;"",LEFT(AG488,2)&lt;&gt;"Va",AM488&lt;&gt;"H. Sale Real"),IF(AM493-AM488&lt;0.208333333333333,AM493-AM488,""),""))))),""),"")</f>
        <v/>
      </c>
      <c r="AX492" s="89">
        <f>IF(AK492&lt;&gt;"H. Sale Real",IF(AND(AK493&lt;&gt;"",LEFT(AG493,2)&lt;&gt;"Va"),IF(AND(AK492&lt;&gt;"",LEFT(AG492,2)&lt;&gt;"Va",AK492&lt;&gt;"H. Sale Real"),IF(AK493-AK492&lt;0.208333333333333,AK493-AK492,""),IF(AND(AK491&lt;&gt;"",LEFT(AG491,2)&lt;&gt;"Va",AK491&lt;&gt;"H. Sale Real"),IF(AK493-AK491&lt;0.208333333333333,AK493-AK491,""),IF(AND(AK490&lt;&gt;"",LEFT(AG490,2)&lt;&gt;"NC",AK490&lt;&gt;"H. Sale Real"),IF(AK493-AK490&lt;0.208333333333333,AK493-AK490,""),IF(AND(AK489&lt;&gt;"",LEFT(AG489,2)&lt;&gt;"Va",AK489&lt;&gt;"H. Sale Real"),IF(AK493-AK489&lt;0.208333333333333,AK493-AK489,""),IF(AND(AK488&lt;&gt;"",LEFT(AG488,2)&lt;&gt;"Va",AK488&lt;&gt;"H. Sale Real"),IF(AK493-AK488&lt;0.208333333333333,AK493-AK488,""),""))))),""),"")</f>
        <v/>
      </c>
      <c r="AY492" s="87" t="n"/>
      <c r="AZ492" s="89" t="n"/>
      <c r="BA492" s="87" t="n"/>
      <c r="BB492" s="89" t="n"/>
      <c r="BC492" s="91" t="n"/>
      <c r="BD492" s="122">
        <f>IF(AK492&lt;&gt;"",IF(AND(BD491&lt;&gt;"IE",AT492&lt;&gt;0,AV492&lt;&gt;""),IF(IFERROR((AT492/AV492),0) &lt;=1,IFERROR(AT492/AV492,""),1),""),"")</f>
        <v/>
      </c>
      <c r="BE492" s="93" t="n"/>
      <c r="BF492" s="105" t="n"/>
      <c r="FC492" t="inlineStr">
        <is>
          <t>Diccionario 1</t>
        </is>
      </c>
      <c r="FD492" s="15" t="inlineStr"/>
      <c r="FE492" s="17" t="inlineStr">
        <is>
          <t>LDYECS315S0044162</t>
        </is>
      </c>
      <c r="FF492" s="18" t="inlineStr">
        <is>
          <t>MDN35025020184</t>
        </is>
      </c>
      <c r="FG492" s="18" t="inlineStr">
        <is>
          <t>Zhong Thong</t>
        </is>
      </c>
      <c r="FH492" s="18" t="inlineStr">
        <is>
          <t>Lck6122evg</t>
        </is>
      </c>
      <c r="FI492" s="18" t="inlineStr">
        <is>
          <t>Zhong Thong</t>
        </is>
      </c>
      <c r="FJ492" s="18" t="inlineStr">
        <is>
          <t>Lck6122evg</t>
        </is>
      </c>
      <c r="FK492" s="18" t="n">
        <v>2026</v>
      </c>
      <c r="FL492" s="18" t="inlineStr">
        <is>
          <t>B</t>
        </is>
      </c>
      <c r="FM492" s="18" t="inlineStr">
        <is>
          <t>Lo Blanco</t>
        </is>
      </c>
      <c r="FP492" t="inlineStr">
        <is>
          <t>B</t>
        </is>
      </c>
      <c r="FS492" s="14" t="inlineStr">
        <is>
          <t>LZPG-25|</t>
        </is>
      </c>
      <c r="FT492" t="inlineStr">
        <is>
          <t>LZPG-25|</t>
        </is>
      </c>
      <c r="FU492" t="inlineStr">
        <is>
          <t>LZPG-25</t>
        </is>
      </c>
      <c r="FV492">
        <f>VLOOKUP(FU492,FD:FL,9,0)</f>
        <v/>
      </c>
      <c r="FZ492" s="51" t="inlineStr">
        <is>
          <t>B02n</t>
        </is>
      </c>
      <c r="GA492" s="43" t="n">
        <v>23.385</v>
      </c>
      <c r="GB492" s="43" t="n">
        <v>24.39</v>
      </c>
      <c r="GC492" s="43" t="n">
        <v>24.705</v>
      </c>
      <c r="GD492" s="43" t="n">
        <v>24.2</v>
      </c>
      <c r="GE492" s="43" t="n">
        <v>24.605</v>
      </c>
      <c r="GF492" s="43" t="n">
        <v>12.87</v>
      </c>
      <c r="GG492" s="43" t="n">
        <v>0</v>
      </c>
      <c r="GH492" s="43" t="n">
        <v>0</v>
      </c>
      <c r="GI492" s="43" t="n">
        <v>0</v>
      </c>
      <c r="GJ492" s="43" t="n">
        <v>0</v>
      </c>
      <c r="GK492" s="43" t="n">
        <v>0</v>
      </c>
      <c r="GL492" s="43" t="n">
        <v>0</v>
      </c>
      <c r="GM492" s="43" t="n">
        <v>0</v>
      </c>
      <c r="GN492" s="43" t="n">
        <v>0</v>
      </c>
      <c r="GO492" s="43" t="n">
        <v>0</v>
      </c>
      <c r="GP492" s="43" t="n">
        <v>0</v>
      </c>
      <c r="GQ492" s="43" t="n">
        <v>0</v>
      </c>
      <c r="GR492" s="43" t="n">
        <v>0</v>
      </c>
      <c r="GS492" s="43" t="n">
        <v>0</v>
      </c>
      <c r="GT492" s="43" t="n">
        <v>0</v>
      </c>
      <c r="GU492" s="43" t="n">
        <v>0</v>
      </c>
      <c r="GV492" s="43" t="n">
        <v>0</v>
      </c>
      <c r="GW492" s="43" t="n">
        <v>0</v>
      </c>
      <c r="GX492" s="43" t="n">
        <v>24.36</v>
      </c>
      <c r="HA492" s="35" t="n">
        <v>37</v>
      </c>
      <c r="HB492" s="35" t="n">
        <v>486</v>
      </c>
    </row>
    <row r="493" ht="15.5" customHeight="1">
      <c r="A493" s="10">
        <f>HOUR(G493)+1</f>
        <v/>
      </c>
      <c r="B493" s="7" t="n"/>
      <c r="C493" s="7" t="n"/>
      <c r="D493" s="85">
        <f>IFERROR(
IF(AND(OR(Planilla!B493="C",Planilla!B493="c"), VLOOKUP(E493,FD:FP,13,0)="C"), "OK",IF(AND(OR(Planilla!B493="C",Planilla!B493="c"), OR(VLOOKUP(E493,FD:FP,13,0)="B", VLOOKUP(E493,FD:FP,13,0)="A")), "DEFICIT",IF(
AND(OR(Planilla!B493="B", Planilla!B493="BPAL"), VLOOKUP(E493,FD:FP,13,0)="B"), "OK",IF(AND(OR(Planilla!B493="B", Planilla!B493="BPAL"), VLOOKUP(E493,FD:FP,13,0)="A"), "DEFICIT",IF(AND(OR(Planilla!B493="B", Planilla!B493="BPAL"), VLOOKUP(E493,FD:FP,13,0)="C"), "SOBREOFERTA",IF(AND(Planilla!B493="A", VLOOKUP(E493,FD:FP,13,0)="A"), "OK",IF(
AND(Planilla!B493="A", OR(VLOOKUP(E493,FD:FP,13,0)="B", VLOOKUP(E493,FD:FP,13,0)="C")), "SOBREOFERTA",""
))))))),"")</f>
        <v/>
      </c>
      <c r="E493" s="8" t="n"/>
      <c r="F493" s="86" t="n"/>
      <c r="G493" s="87" t="n"/>
      <c r="H493" s="88">
        <f>IF(I493="","",IF(AND((I493-G493)&gt;=TIME(0,0,0),(I493-G493)&lt;TIME(0,3,0)),"OK",IF(AND((I493-G493)&gt;=TIME(0,3,0),(I493-G493)&lt;TIME(0,5,0)),"RETRASO DE 3-5 MIN",IF(AND((I493-G493)&gt;=TIME(0,5,0),(I493-G493)&lt;TIME(0,10,0)),"RETRASO DE 5-10 MIN",IF((I493-G493)&gt;=TIME(0,10,0),"RETRASO &gt;10 MIN", IF(AND((G493-I493)&gt;=TIME(0,0,0),(G493-I493)&lt;TIME(0,3,0)),"OK",IF((G493-I493)&gt;=TIME(0,3,0),"ADELANTADO")))))))</f>
        <v/>
      </c>
      <c r="I493" s="89" t="n"/>
      <c r="J493" s="89">
        <f>IF(A493&lt;&gt;"",HLOOKUP(VALUE(TEXT(G493,"h:mm:ss")),IF($C$6="Laboral",$FZ$4:$GX$227,IF($C$6="Sábado",$FZ$231:$GX$452,$FZ$456:$GX$656)),VLOOKUP($C$4,$HF$2:$HH$99,3,0)+IF(C$5="Ida",0,1),1),"")</f>
        <v/>
      </c>
      <c r="K493" s="89">
        <f>IF(A494&lt;&gt;A493,AVERAGEIF(A$9:A493,A493,J$9:J493),"")</f>
        <v/>
      </c>
      <c r="L493" s="89">
        <f>IFERROR(IF(A494&lt;&gt;A493,AVERAGEIF(A$9:A493,A493,S$9:S493),""),"")</f>
        <v/>
      </c>
      <c r="M493" s="89">
        <f>IFERROR(IF(A494&lt;&gt;A493,AVERAGEIF(A$9:A493,A493,T$9:T493),""),"")</f>
        <v/>
      </c>
      <c r="N493" s="89">
        <f t="array" ref="N493">IFERROR(IF(A494&lt;&gt;A493,_xlfn.STDEV.P(IF(A$9:A493=A493,T$9:T493)),""),"")</f>
        <v/>
      </c>
      <c r="O493" s="89">
        <f t="array" ref="O493">IFERROR(IF(A494&lt;&gt;A493,_xlfn.STDEV.P(IF(A$9:A493=A493,S$9:S493)),""),"")</f>
        <v/>
      </c>
      <c r="P493" s="90">
        <f>IFERROR(IF(A493&lt;&gt;A494,MAX((((M493*24*60)/2)*(1+POWER((((N493*24*60) / (M493*24*60) )),2))) + ((M493*24*60 )*-0.1 + (K493*0.015)) +1,(((M493*24*60)/2)*(1+POWER((((N493*24*60) / (M493*24*60 ))),2)))),""),"")</f>
        <v/>
      </c>
      <c r="Q493" s="90">
        <f>IF(AND(O493&lt;&gt;"",L493&lt;&gt;""),IF(A493&lt;&gt;A494,((L493*24*60) / 2 ) * (1 + POWER(((O493*24*60) / (L493*24*60)),2)),""),"")</f>
        <v/>
      </c>
      <c r="R493" s="90">
        <f>IF(Q493&lt;&gt;"",MAX(P493,Q493),"")</f>
        <v/>
      </c>
      <c r="S493" s="89">
        <f>IF(I493&lt;&gt;"H. Sale Real",IF(AND(I494&lt;&gt;"",LEFT(C494,2)&lt;&gt;"Va"),IF(AND(I493&lt;&gt;"",LEFT(C493,2)&lt;&gt;"Va",I493&lt;&gt;"H. Sale Real"),IF(I494-I493&lt;0.208333333333333,I494-I493,""),IF(AND(I492&lt;&gt;"",LEFT(C492,2)&lt;&gt;"Va",I492&lt;&gt;"H. Sale Real"),IF(I494-I492&lt;0.208333333333333,I494-I492,""),IF(AND(I491&lt;&gt;"",LEFT(C491,2)&lt;&gt;"Va",I491&lt;&gt;"H. Sale Real"),IF(I494-I491&lt;0.208333333333333,I494-I491,""),IF(AND(I490&lt;&gt;"",LEFT(C490,2)&lt;&gt;"Va",I490&lt;&gt;"H. Sale Real"),IF(I494-I490&lt;0.208333333333333,I494-I490,""),IF(AND(I489&lt;&gt;"",LEFT(C489,2)&lt;&gt;"Va",I489&lt;&gt;"H. Sale Real"),IF(I494-I489&lt;0.208333333333333,I494-I489,""),""))))),""),"")</f>
        <v/>
      </c>
      <c r="T493" s="89">
        <f>IF(G493&lt;&gt;"H. Sale Real",IF(AND(G494&lt;&gt;"",LEFT(C494,2)&lt;&gt;"Va"),IF(AND(G493&lt;&gt;"",LEFT(C493,2)&lt;&gt;"Va",G493&lt;&gt;"H. Sale Real"),IF(G494-G493&lt;0.208333333333333,G494-G493,""),IF(AND(G492&lt;&gt;"",LEFT(C492,2)&lt;&gt;"Va",G492&lt;&gt;"H. Sale Real"),IF(G494-G492&lt;0.208333333333333,G494-G492,""),IF(AND(G491&lt;&gt;"",LEFT(C491,2)&lt;&gt;"Va",G491&lt;&gt;"H. Sale Real"),IF(G494-G491&lt;0.208333333333333,G494-G491,""),IF(AND(G490&lt;&gt;"",LEFT(C490,2)&lt;&gt;"Va",G490&lt;&gt;"H. Sale Real"),IF(G494-G490&lt;0.208333333333333,G494-G490,""),IF(AND(G489&lt;&gt;"",LEFT(C489,2)&lt;&gt;"Va",G489&lt;&gt;"H. Sale Real"),IF(G494-G489&lt;0.208333333333333,G494-G489,""),""))))),""),"")</f>
        <v/>
      </c>
      <c r="U493" s="87" t="n"/>
      <c r="V493" s="89" t="n"/>
      <c r="W493" s="87" t="n"/>
      <c r="X493" s="89" t="n"/>
      <c r="Y493" s="91" t="n"/>
      <c r="Z493" s="122">
        <f>IF(G493&lt;&gt;"",IF(AND(Z492&lt;&gt;"IE",P493&lt;&gt;0,R493&lt;&gt;""),IF(IFERROR((P493/R493),0) &lt;=1,IFERROR(P493/R493,""),1),""),"")</f>
        <v/>
      </c>
      <c r="AA493" s="93" t="n"/>
      <c r="AB493" s="2" t="n"/>
      <c r="AE493" s="10">
        <f>HOUR(AK493)+1</f>
        <v/>
      </c>
      <c r="AF493" s="7" t="n"/>
      <c r="AG493" s="7" t="n"/>
      <c r="AH493" s="86" t="n"/>
      <c r="AI493" s="8" t="n"/>
      <c r="AJ493" s="86" t="n"/>
      <c r="AK493" s="87" t="n"/>
      <c r="AL493" s="88">
        <f>IF(AM493="","",IF(AND((AM493-AK493)&gt;=TIME(0,0,0),(AM493-AK493)&lt;TIME(0,3,0)),"OK",IF(AND((AM493-AK493)&gt;=TIME(0,3,0),(AM493-AK493)&lt;TIME(0,5,0)),"RETRASO DE 3-5 MIN",IF(AND((AM493-AK493)&gt;=TIME(0,5,0),(AM493-AK493)&lt;TIME(0,10,0)),"RETRASO DE 5-10 MIN",IF((AM493-AK493)&gt;=TIME(0,10,0),"RETRASO &gt;10 MIN", IF(AND((AK493-AM493)&gt;=TIME(0,0,0),(AK493-AM493)&lt;TIME(0,3,0)),"OK",IF((AK493-AM493)&gt;=TIME(0,3,0),"ADELANTADO")))))))</f>
        <v/>
      </c>
      <c r="AM493" s="91" t="n"/>
      <c r="AN493" s="89">
        <f>IF(AE493&lt;&gt;"",HLOOKUP(VALUE(TEXT(AK493,"h:mm:ss")),IF($C$6="Laboral",$FZ$4:$GX$227,IF($C$6="Sábado",$FZ$231:$GX$452,$FZ$456:$GX$656)),VLOOKUP($C$4,$HF$2:$HH$99,3,0)+IF(AG$5="Ida",0,1),1),"")</f>
        <v/>
      </c>
      <c r="AO493" s="89">
        <f>IF(AE494&lt;&gt;AE493,AVERAGEIF(AE$9:AE493,AE493,AN$9:AN493),"")</f>
        <v/>
      </c>
      <c r="AP493" s="89">
        <f>IFERROR(IF(AE494&lt;&gt;AE493,AVERAGEIF(AE$9:AE493,AE493,AW$9:AW493),""),"")</f>
        <v/>
      </c>
      <c r="AQ493" s="89">
        <f>IFERROR(IF(AE494&lt;&gt;AE493,AVERAGEIF(AE$9:AE493,AE493,AX$9:AX493),""),"")</f>
        <v/>
      </c>
      <c r="AR493" s="89">
        <f t="array" ref="AR493">IFERROR(IF(AE494&lt;&gt;AE493,_xlfn.STDEV.P(IF(AE$9:AE493=AE493,AX$9:AX493)),""),"")</f>
        <v/>
      </c>
      <c r="AS493" s="89">
        <f t="array" ref="AS493">IFERROR(IF(AE494&lt;&gt;AE493,_xlfn.STDEV.P(IF(AE$9:AE493=AE493,AW$9:AW493)),""),"")</f>
        <v/>
      </c>
      <c r="AT493" s="90">
        <f>IFERROR(IF(AE493&lt;&gt;AE494,MAX((((AQ493*24*60)/2)*(1+POWER((((AR493*24*60) / (AQ493*24*60) )),2))) + ((AQ493*24*60 )*-0.1 + (AO493*0.015)) +1,(((AQ493*24*60)/2)*(1+POWER((((AR493*24*60) / (AQ493*24*60 ))),2)))),""),"")</f>
        <v/>
      </c>
      <c r="AU493" s="90">
        <f>IF(AND(AS493&lt;&gt;"",AP493&lt;&gt;""),IF(AE493&lt;&gt;AE494,((AP493*24*60) / 2 ) * (1 + POWER(((AS493*24*60) / (AP493*24*60)),2)),""),"")</f>
        <v/>
      </c>
      <c r="AV493" s="90">
        <f>IF(AU493&lt;&gt;"",MAX(AT493,AU493),"")</f>
        <v/>
      </c>
      <c r="AW493" s="89">
        <f>IF(AM493&lt;&gt;"H. Sale Real",IF(AND(AM494&lt;&gt;"",LEFT(AG494,2)&lt;&gt;"Va"),IF(AND(AM493&lt;&gt;"",LEFT(AG493,2)&lt;&gt;"Va",AM493&lt;&gt;"H. Sale Real"),IF(AM494-AM493&lt;0.208333333333333,AM494-AM493,""),IF(AND(AM492&lt;&gt;"",LEFT(AG492,2)&lt;&gt;"Va",AM492&lt;&gt;"H. Sale Real"),IF(AM494-AM492&lt;0.208333333333333,AM494-AM492,""),IF(AND(AM491&lt;&gt;"",LEFT(AG491,2)&lt;&gt;"Va",AM491&lt;&gt;"H. Sale Real"),IF(AM494-AM491&lt;0.208333333333333,AM494-AM491,""),IF(AND(AM490&lt;&gt;"",LEFT(AG490,2)&lt;&gt;"Va",AM490&lt;&gt;"H. Sale Real"),IF(AM494-AM490&lt;0.208333333333333,AM494-AM490,""),IF(AND(AM489&lt;&gt;"",LEFT(AG489,2)&lt;&gt;"Va",AM489&lt;&gt;"H. Sale Real"),IF(AM494-AM489&lt;0.208333333333333,AM494-AM489,""),""))))),""),"")</f>
        <v/>
      </c>
      <c r="AX493" s="89">
        <f>IF(AK493&lt;&gt;"H. Sale Real",IF(AND(AK494&lt;&gt;"",LEFT(AG494,2)&lt;&gt;"Va"),IF(AND(AK493&lt;&gt;"",LEFT(AG493,2)&lt;&gt;"Va",AK493&lt;&gt;"H. Sale Real"),IF(AK494-AK493&lt;0.208333333333333,AK494-AK493,""),IF(AND(AK492&lt;&gt;"",LEFT(AG492,2)&lt;&gt;"Va",AK492&lt;&gt;"H. Sale Real"),IF(AK494-AK492&lt;0.208333333333333,AK494-AK492,""),IF(AND(AK491&lt;&gt;"",LEFT(AG491,2)&lt;&gt;"NC",AK491&lt;&gt;"H. Sale Real"),IF(AK494-AK491&lt;0.208333333333333,AK494-AK491,""),IF(AND(AK490&lt;&gt;"",LEFT(AG490,2)&lt;&gt;"Va",AK490&lt;&gt;"H. Sale Real"),IF(AK494-AK490&lt;0.208333333333333,AK494-AK490,""),IF(AND(AK489&lt;&gt;"",LEFT(AG489,2)&lt;&gt;"Va",AK489&lt;&gt;"H. Sale Real"),IF(AK494-AK489&lt;0.208333333333333,AK494-AK489,""),""))))),""),"")</f>
        <v/>
      </c>
      <c r="AY493" s="87" t="n"/>
      <c r="AZ493" s="89" t="n"/>
      <c r="BA493" s="87" t="n"/>
      <c r="BB493" s="89" t="n"/>
      <c r="BC493" s="91" t="n"/>
      <c r="BD493" s="122">
        <f>IF(AK493&lt;&gt;"",IF(AND(BD492&lt;&gt;"IE",AT493&lt;&gt;0,AV493&lt;&gt;""),IF(IFERROR((AT493/AV493),0) &lt;=1,IFERROR(AT493/AV493,""),1),""),"")</f>
        <v/>
      </c>
      <c r="BE493" s="93" t="n"/>
      <c r="BF493" s="105" t="n"/>
      <c r="FC493" t="inlineStr">
        <is>
          <t>Diccionario 1</t>
        </is>
      </c>
      <c r="FD493" s="15" t="inlineStr"/>
      <c r="FE493" s="17" t="inlineStr">
        <is>
          <t>LDYECS311S0044174</t>
        </is>
      </c>
      <c r="FF493" s="18" t="inlineStr">
        <is>
          <t>MDN35025020232</t>
        </is>
      </c>
      <c r="FG493" s="18" t="inlineStr">
        <is>
          <t>Zhong Thong</t>
        </is>
      </c>
      <c r="FH493" s="18" t="inlineStr">
        <is>
          <t>Lck6122evg</t>
        </is>
      </c>
      <c r="FI493" s="18" t="inlineStr">
        <is>
          <t>Zhong Thong</t>
        </is>
      </c>
      <c r="FJ493" s="18" t="inlineStr">
        <is>
          <t>Lck6122evg</t>
        </is>
      </c>
      <c r="FK493" s="18" t="n">
        <v>2026</v>
      </c>
      <c r="FL493" s="18" t="inlineStr">
        <is>
          <t>B</t>
        </is>
      </c>
      <c r="FM493" s="18" t="inlineStr">
        <is>
          <t>Ducaud</t>
        </is>
      </c>
      <c r="FP493" t="inlineStr">
        <is>
          <t>B</t>
        </is>
      </c>
      <c r="FS493" s="14" t="inlineStr">
        <is>
          <t>LZPT-54|</t>
        </is>
      </c>
      <c r="FT493" t="inlineStr">
        <is>
          <t>LZPT-54|</t>
        </is>
      </c>
      <c r="FU493" t="inlineStr">
        <is>
          <t>LZPT-54</t>
        </is>
      </c>
      <c r="FV493">
        <f>VLOOKUP(FU493,FD:FL,9,0)</f>
        <v/>
      </c>
      <c r="FZ493" s="51" t="inlineStr">
        <is>
          <t>B04</t>
        </is>
      </c>
      <c r="GA493" s="43" t="n">
        <v>0</v>
      </c>
      <c r="GB493" s="43" t="n">
        <v>0</v>
      </c>
      <c r="GC493" s="43" t="n">
        <v>0</v>
      </c>
      <c r="GD493" s="43" t="n">
        <v>0</v>
      </c>
      <c r="GE493" s="43" t="n">
        <v>0</v>
      </c>
      <c r="GF493" s="43" t="n">
        <v>25.03</v>
      </c>
      <c r="GG493" s="43" t="n">
        <v>23.01</v>
      </c>
      <c r="GH493" s="43" t="n">
        <v>21.05</v>
      </c>
      <c r="GI493" s="43" t="n">
        <v>20.96</v>
      </c>
      <c r="GJ493" s="43" t="n">
        <v>19.21</v>
      </c>
      <c r="GK493" s="43" t="n">
        <v>17.845</v>
      </c>
      <c r="GL493" s="43" t="n">
        <v>17.61</v>
      </c>
      <c r="GM493" s="43" t="n">
        <v>16.96</v>
      </c>
      <c r="GN493" s="43" t="n">
        <v>16.9</v>
      </c>
      <c r="GO493" s="43" t="n">
        <v>17.5</v>
      </c>
      <c r="GP493" s="43" t="n">
        <v>17.855</v>
      </c>
      <c r="GQ493" s="43" t="n">
        <v>18.05</v>
      </c>
      <c r="GR493" s="43" t="n">
        <v>18.145</v>
      </c>
      <c r="GS493" s="43" t="n">
        <v>18.36</v>
      </c>
      <c r="GT493" s="43" t="n">
        <v>19.05</v>
      </c>
      <c r="GU493" s="43" t="n">
        <v>19.885</v>
      </c>
      <c r="GV493" s="43" t="n">
        <v>20.81</v>
      </c>
      <c r="GW493" s="43" t="n">
        <v>21.1</v>
      </c>
      <c r="GX493" s="43" t="n">
        <v>11.435</v>
      </c>
      <c r="HA493" s="35" t="n">
        <v>38</v>
      </c>
      <c r="HB493" s="35" t="n">
        <v>487</v>
      </c>
    </row>
    <row r="494" ht="15.5" customHeight="1">
      <c r="A494" s="10">
        <f>HOUR(G494)+1</f>
        <v/>
      </c>
      <c r="B494" s="7" t="n"/>
      <c r="C494" s="7" t="n"/>
      <c r="D494" s="85">
        <f>IFERROR(
IF(AND(OR(Planilla!B494="C",Planilla!B494="c"), VLOOKUP(E494,FD:FP,13,0)="C"), "OK",IF(AND(OR(Planilla!B494="C",Planilla!B494="c"), OR(VLOOKUP(E494,FD:FP,13,0)="B", VLOOKUP(E494,FD:FP,13,0)="A")), "DEFICIT",IF(
AND(OR(Planilla!B494="B", Planilla!B494="BPAL"), VLOOKUP(E494,FD:FP,13,0)="B"), "OK",IF(AND(OR(Planilla!B494="B", Planilla!B494="BPAL"), VLOOKUP(E494,FD:FP,13,0)="A"), "DEFICIT",IF(AND(OR(Planilla!B494="B", Planilla!B494="BPAL"), VLOOKUP(E494,FD:FP,13,0)="C"), "SOBREOFERTA",IF(AND(Planilla!B494="A", VLOOKUP(E494,FD:FP,13,0)="A"), "OK",IF(
AND(Planilla!B494="A", OR(VLOOKUP(E494,FD:FP,13,0)="B", VLOOKUP(E494,FD:FP,13,0)="C")), "SOBREOFERTA",""
))))))),"")</f>
        <v/>
      </c>
      <c r="E494" s="8" t="n"/>
      <c r="F494" s="86" t="n"/>
      <c r="G494" s="87" t="n"/>
      <c r="H494" s="88">
        <f>IF(I494="","",IF(AND((I494-G494)&gt;=TIME(0,0,0),(I494-G494)&lt;TIME(0,3,0)),"OK",IF(AND((I494-G494)&gt;=TIME(0,3,0),(I494-G494)&lt;TIME(0,5,0)),"RETRASO DE 3-5 MIN",IF(AND((I494-G494)&gt;=TIME(0,5,0),(I494-G494)&lt;TIME(0,10,0)),"RETRASO DE 5-10 MIN",IF((I494-G494)&gt;=TIME(0,10,0),"RETRASO &gt;10 MIN", IF(AND((G494-I494)&gt;=TIME(0,0,0),(G494-I494)&lt;TIME(0,3,0)),"OK",IF((G494-I494)&gt;=TIME(0,3,0),"ADELANTADO")))))))</f>
        <v/>
      </c>
      <c r="I494" s="89" t="n"/>
      <c r="J494" s="89">
        <f>IF(A494&lt;&gt;"",HLOOKUP(VALUE(TEXT(G494,"h:mm:ss")),IF($C$6="Laboral",$FZ$4:$GX$227,IF($C$6="Sábado",$FZ$231:$GX$452,$FZ$456:$GX$656)),VLOOKUP($C$4,$HF$2:$HH$99,3,0)+IF(C$5="Ida",0,1),1),"")</f>
        <v/>
      </c>
      <c r="K494" s="89">
        <f>IF(A495&lt;&gt;A494,AVERAGEIF(A$9:A494,A494,J$9:J494),"")</f>
        <v/>
      </c>
      <c r="L494" s="89">
        <f>IFERROR(IF(A495&lt;&gt;A494,AVERAGEIF(A$9:A494,A494,S$9:S494),""),"")</f>
        <v/>
      </c>
      <c r="M494" s="89">
        <f>IFERROR(IF(A495&lt;&gt;A494,AVERAGEIF(A$9:A494,A494,T$9:T494),""),"")</f>
        <v/>
      </c>
      <c r="N494" s="89">
        <f t="array" ref="N494">IFERROR(IF(A495&lt;&gt;A494,_xlfn.STDEV.P(IF(A$9:A494=A494,T$9:T494)),""),"")</f>
        <v/>
      </c>
      <c r="O494" s="89">
        <f t="array" ref="O494">IFERROR(IF(A495&lt;&gt;A494,_xlfn.STDEV.P(IF(A$9:A494=A494,S$9:S494)),""),"")</f>
        <v/>
      </c>
      <c r="P494" s="90">
        <f>IFERROR(IF(A494&lt;&gt;A495,MAX((((M494*24*60)/2)*(1+POWER((((N494*24*60) / (M494*24*60) )),2))) + ((M494*24*60 )*-0.1 + (K494*0.015)) +1,(((M494*24*60)/2)*(1+POWER((((N494*24*60) / (M494*24*60 ))),2)))),""),"")</f>
        <v/>
      </c>
      <c r="Q494" s="90">
        <f>IF(AND(O494&lt;&gt;"",L494&lt;&gt;""),IF(A494&lt;&gt;A495,((L494*24*60) / 2 ) * (1 + POWER(((O494*24*60) / (L494*24*60)),2)),""),"")</f>
        <v/>
      </c>
      <c r="R494" s="90">
        <f>IF(Q494&lt;&gt;"",MAX(P494,Q494),"")</f>
        <v/>
      </c>
      <c r="S494" s="89">
        <f>IF(I494&lt;&gt;"H. Sale Real",IF(AND(I495&lt;&gt;"",LEFT(C495,2)&lt;&gt;"Va"),IF(AND(I494&lt;&gt;"",LEFT(C494,2)&lt;&gt;"Va",I494&lt;&gt;"H. Sale Real"),IF(I495-I494&lt;0.208333333333333,I495-I494,""),IF(AND(I493&lt;&gt;"",LEFT(C493,2)&lt;&gt;"Va",I493&lt;&gt;"H. Sale Real"),IF(I495-I493&lt;0.208333333333333,I495-I493,""),IF(AND(I492&lt;&gt;"",LEFT(C492,2)&lt;&gt;"Va",I492&lt;&gt;"H. Sale Real"),IF(I495-I492&lt;0.208333333333333,I495-I492,""),IF(AND(I491&lt;&gt;"",LEFT(C491,2)&lt;&gt;"Va",I491&lt;&gt;"H. Sale Real"),IF(I495-I491&lt;0.208333333333333,I495-I491,""),IF(AND(I490&lt;&gt;"",LEFT(C490,2)&lt;&gt;"Va",I490&lt;&gt;"H. Sale Real"),IF(I495-I490&lt;0.208333333333333,I495-I490,""),""))))),""),"")</f>
        <v/>
      </c>
      <c r="T494" s="89">
        <f>IF(G494&lt;&gt;"H. Sale Real",IF(AND(G495&lt;&gt;"",LEFT(C495,2)&lt;&gt;"Va"),IF(AND(G494&lt;&gt;"",LEFT(C494,2)&lt;&gt;"Va",G494&lt;&gt;"H. Sale Real"),IF(G495-G494&lt;0.208333333333333,G495-G494,""),IF(AND(G493&lt;&gt;"",LEFT(C493,2)&lt;&gt;"Va",G493&lt;&gt;"H. Sale Real"),IF(G495-G493&lt;0.208333333333333,G495-G493,""),IF(AND(G492&lt;&gt;"",LEFT(C492,2)&lt;&gt;"Va",G492&lt;&gt;"H. Sale Real"),IF(G495-G492&lt;0.208333333333333,G495-G492,""),IF(AND(G491&lt;&gt;"",LEFT(C491,2)&lt;&gt;"Va",G491&lt;&gt;"H. Sale Real"),IF(G495-G491&lt;0.208333333333333,G495-G491,""),IF(AND(G490&lt;&gt;"",LEFT(C490,2)&lt;&gt;"Va",G490&lt;&gt;"H. Sale Real"),IF(G495-G490&lt;0.208333333333333,G495-G490,""),""))))),""),"")</f>
        <v/>
      </c>
      <c r="U494" s="87" t="n"/>
      <c r="V494" s="89" t="n"/>
      <c r="W494" s="87" t="n"/>
      <c r="X494" s="89" t="n"/>
      <c r="Y494" s="91" t="n"/>
      <c r="Z494" s="122">
        <f>IF(G494&lt;&gt;"",IF(AND(Z493&lt;&gt;"IE",P494&lt;&gt;0,R494&lt;&gt;""),IF(IFERROR((P494/R494),0) &lt;=1,IFERROR(P494/R494,""),1),""),"")</f>
        <v/>
      </c>
      <c r="AA494" s="93" t="n"/>
      <c r="AB494" s="2" t="n"/>
      <c r="AE494" s="10">
        <f>HOUR(AK494)+1</f>
        <v/>
      </c>
      <c r="AF494" s="7" t="n"/>
      <c r="AG494" s="7" t="n"/>
      <c r="AH494" s="86" t="n"/>
      <c r="AI494" s="8" t="n"/>
      <c r="AJ494" s="86" t="n"/>
      <c r="AK494" s="87" t="n"/>
      <c r="AL494" s="88">
        <f>IF(AM494="","",IF(AND((AM494-AK494)&gt;=TIME(0,0,0),(AM494-AK494)&lt;TIME(0,3,0)),"OK",IF(AND((AM494-AK494)&gt;=TIME(0,3,0),(AM494-AK494)&lt;TIME(0,5,0)),"RETRASO DE 3-5 MIN",IF(AND((AM494-AK494)&gt;=TIME(0,5,0),(AM494-AK494)&lt;TIME(0,10,0)),"RETRASO DE 5-10 MIN",IF((AM494-AK494)&gt;=TIME(0,10,0),"RETRASO &gt;10 MIN", IF(AND((AK494-AM494)&gt;=TIME(0,0,0),(AK494-AM494)&lt;TIME(0,3,0)),"OK",IF((AK494-AM494)&gt;=TIME(0,3,0),"ADELANTADO")))))))</f>
        <v/>
      </c>
      <c r="AM494" s="91" t="n"/>
      <c r="AN494" s="89">
        <f>IF(AE494&lt;&gt;"",HLOOKUP(VALUE(TEXT(AK494,"h:mm:ss")),IF($C$6="Laboral",$FZ$4:$GX$227,IF($C$6="Sábado",$FZ$231:$GX$452,$FZ$456:$GX$656)),VLOOKUP($C$4,$HF$2:$HH$99,3,0)+IF(AG$5="Ida",0,1),1),"")</f>
        <v/>
      </c>
      <c r="AO494" s="89">
        <f>IF(AE495&lt;&gt;AE494,AVERAGEIF(AE$9:AE494,AE494,AN$9:AN494),"")</f>
        <v/>
      </c>
      <c r="AP494" s="89">
        <f>IFERROR(IF(AE495&lt;&gt;AE494,AVERAGEIF(AE$9:AE494,AE494,AW$9:AW494),""),"")</f>
        <v/>
      </c>
      <c r="AQ494" s="89">
        <f>IFERROR(IF(AE495&lt;&gt;AE494,AVERAGEIF(AE$9:AE494,AE494,AX$9:AX494),""),"")</f>
        <v/>
      </c>
      <c r="AR494" s="89">
        <f t="array" ref="AR494">IFERROR(IF(AE495&lt;&gt;AE494,_xlfn.STDEV.P(IF(AE$9:AE494=AE494,AX$9:AX494)),""),"")</f>
        <v/>
      </c>
      <c r="AS494" s="89">
        <f t="array" ref="AS494">IFERROR(IF(AE495&lt;&gt;AE494,_xlfn.STDEV.P(IF(AE$9:AE494=AE494,AW$9:AW494)),""),"")</f>
        <v/>
      </c>
      <c r="AT494" s="90">
        <f>IFERROR(IF(AE494&lt;&gt;AE495,MAX((((AQ494*24*60)/2)*(1+POWER((((AR494*24*60) / (AQ494*24*60) )),2))) + ((AQ494*24*60 )*-0.1 + (AO494*0.015)) +1,(((AQ494*24*60)/2)*(1+POWER((((AR494*24*60) / (AQ494*24*60 ))),2)))),""),"")</f>
        <v/>
      </c>
      <c r="AU494" s="90">
        <f>IF(AND(AS494&lt;&gt;"",AP494&lt;&gt;""),IF(AE494&lt;&gt;AE495,((AP494*24*60) / 2 ) * (1 + POWER(((AS494*24*60) / (AP494*24*60)),2)),""),"")</f>
        <v/>
      </c>
      <c r="AV494" s="90">
        <f>IF(AU494&lt;&gt;"",MAX(AT494,AU494),"")</f>
        <v/>
      </c>
      <c r="AW494" s="89">
        <f>IF(AM494&lt;&gt;"H. Sale Real",IF(AND(AM495&lt;&gt;"",LEFT(AG495,2)&lt;&gt;"Va"),IF(AND(AM494&lt;&gt;"",LEFT(AG494,2)&lt;&gt;"Va",AM494&lt;&gt;"H. Sale Real"),IF(AM495-AM494&lt;0.208333333333333,AM495-AM494,""),IF(AND(AM493&lt;&gt;"",LEFT(AG493,2)&lt;&gt;"Va",AM493&lt;&gt;"H. Sale Real"),IF(AM495-AM493&lt;0.208333333333333,AM495-AM493,""),IF(AND(AM492&lt;&gt;"",LEFT(AG492,2)&lt;&gt;"Va",AM492&lt;&gt;"H. Sale Real"),IF(AM495-AM492&lt;0.208333333333333,AM495-AM492,""),IF(AND(AM491&lt;&gt;"",LEFT(AG491,2)&lt;&gt;"Va",AM491&lt;&gt;"H. Sale Real"),IF(AM495-AM491&lt;0.208333333333333,AM495-AM491,""),IF(AND(AM490&lt;&gt;"",LEFT(AG490,2)&lt;&gt;"Va",AM490&lt;&gt;"H. Sale Real"),IF(AM495-AM490&lt;0.208333333333333,AM495-AM490,""),""))))),""),"")</f>
        <v/>
      </c>
      <c r="AX494" s="89">
        <f>IF(AK494&lt;&gt;"H. Sale Real",IF(AND(AK495&lt;&gt;"",LEFT(AG495,2)&lt;&gt;"Va"),IF(AND(AK494&lt;&gt;"",LEFT(AG494,2)&lt;&gt;"Va",AK494&lt;&gt;"H. Sale Real"),IF(AK495-AK494&lt;0.208333333333333,AK495-AK494,""),IF(AND(AK493&lt;&gt;"",LEFT(AG493,2)&lt;&gt;"Va",AK493&lt;&gt;"H. Sale Real"),IF(AK495-AK493&lt;0.208333333333333,AK495-AK493,""),IF(AND(AK492&lt;&gt;"",LEFT(AG492,2)&lt;&gt;"NC",AK492&lt;&gt;"H. Sale Real"),IF(AK495-AK492&lt;0.208333333333333,AK495-AK492,""),IF(AND(AK491&lt;&gt;"",LEFT(AG491,2)&lt;&gt;"Va",AK491&lt;&gt;"H. Sale Real"),IF(AK495-AK491&lt;0.208333333333333,AK495-AK491,""),IF(AND(AK490&lt;&gt;"",LEFT(AG490,2)&lt;&gt;"Va",AK490&lt;&gt;"H. Sale Real"),IF(AK495-AK490&lt;0.208333333333333,AK495-AK490,""),""))))),""),"")</f>
        <v/>
      </c>
      <c r="AY494" s="87" t="n"/>
      <c r="AZ494" s="89" t="n"/>
      <c r="BA494" s="87" t="n"/>
      <c r="BB494" s="89" t="n"/>
      <c r="BC494" s="91" t="n"/>
      <c r="BD494" s="122">
        <f>IF(AK494&lt;&gt;"",IF(AND(BD493&lt;&gt;"IE",AT494&lt;&gt;0,AV494&lt;&gt;""),IF(IFERROR((AT494/AV494),0) &lt;=1,IFERROR(AT494/AV494,""),1),""),"")</f>
        <v/>
      </c>
      <c r="BE494" s="93" t="n"/>
      <c r="BF494" s="105" t="n"/>
      <c r="FC494" t="inlineStr">
        <is>
          <t>Diccionario 1</t>
        </is>
      </c>
      <c r="FD494" s="15" t="inlineStr"/>
      <c r="FE494" s="17" t="inlineStr">
        <is>
          <t>LDYECS310S0044179</t>
        </is>
      </c>
      <c r="FF494" s="18" t="inlineStr">
        <is>
          <t>MDN35025020240</t>
        </is>
      </c>
      <c r="FG494" s="18" t="inlineStr">
        <is>
          <t>Zhong Thong</t>
        </is>
      </c>
      <c r="FH494" s="18" t="inlineStr">
        <is>
          <t>Lck6122evg</t>
        </is>
      </c>
      <c r="FI494" s="18" t="inlineStr">
        <is>
          <t>Zhong Thong</t>
        </is>
      </c>
      <c r="FJ494" s="18" t="inlineStr">
        <is>
          <t>Lck6122evg</t>
        </is>
      </c>
      <c r="FK494" s="18" t="n">
        <v>2026</v>
      </c>
      <c r="FL494" s="18" t="inlineStr">
        <is>
          <t>B</t>
        </is>
      </c>
      <c r="FM494" s="18" t="inlineStr">
        <is>
          <t>Ducaud</t>
        </is>
      </c>
      <c r="FP494" t="inlineStr">
        <is>
          <t>B</t>
        </is>
      </c>
      <c r="FS494" s="14" t="inlineStr">
        <is>
          <t>VJZB-57</t>
        </is>
      </c>
      <c r="FT494" t="inlineStr">
        <is>
          <t>VJZB-57</t>
        </is>
      </c>
      <c r="FU494" t="inlineStr">
        <is>
          <t>VJZB-57</t>
        </is>
      </c>
      <c r="FV494">
        <f>VLOOKUP(FU494,FD:FL,9,0)</f>
        <v/>
      </c>
      <c r="FZ494" s="51" t="inlineStr">
        <is>
          <t>C18</t>
        </is>
      </c>
      <c r="GA494" s="43" t="n">
        <v>0</v>
      </c>
      <c r="GB494" s="43" t="n">
        <v>0</v>
      </c>
      <c r="GC494" s="43" t="n">
        <v>0</v>
      </c>
      <c r="GD494" s="43" t="n">
        <v>0</v>
      </c>
      <c r="GE494" s="43" t="n">
        <v>0</v>
      </c>
      <c r="GF494" s="43" t="n">
        <v>13.87</v>
      </c>
      <c r="GG494" s="43" t="n">
        <v>27.86</v>
      </c>
      <c r="GH494" s="43" t="n">
        <v>27.04</v>
      </c>
      <c r="GI494" s="43" t="n">
        <v>26.095</v>
      </c>
      <c r="GJ494" s="43" t="n">
        <v>25.855</v>
      </c>
      <c r="GK494" s="43" t="n">
        <v>25.86</v>
      </c>
      <c r="GL494" s="43" t="n">
        <v>24.315</v>
      </c>
      <c r="GM494" s="43" t="n">
        <v>23.715</v>
      </c>
      <c r="GN494" s="43" t="n">
        <v>23.14</v>
      </c>
      <c r="GO494" s="43" t="n">
        <v>22.94</v>
      </c>
      <c r="GP494" s="43" t="n">
        <v>23.41</v>
      </c>
      <c r="GQ494" s="43" t="n">
        <v>23.65</v>
      </c>
      <c r="GR494" s="43" t="n">
        <v>23.135</v>
      </c>
      <c r="GS494" s="43" t="n">
        <v>23.385</v>
      </c>
      <c r="GT494" s="43" t="n">
        <v>24.03</v>
      </c>
      <c r="GU494" s="43" t="n">
        <v>24.395</v>
      </c>
      <c r="GV494" s="43" t="n">
        <v>25.81</v>
      </c>
      <c r="GW494" s="43" t="n">
        <v>28.495</v>
      </c>
      <c r="GX494" s="43" t="n">
        <v>31.025</v>
      </c>
      <c r="HA494" s="35" t="n">
        <v>39</v>
      </c>
      <c r="HB494" s="35" t="n">
        <v>488</v>
      </c>
    </row>
    <row r="495" ht="15.5" customHeight="1">
      <c r="A495" s="10">
        <f>HOUR(G495)+1</f>
        <v/>
      </c>
      <c r="B495" s="7" t="n"/>
      <c r="C495" s="7" t="n"/>
      <c r="D495" s="85">
        <f>IFERROR(
IF(AND(OR(Planilla!B495="C",Planilla!B495="c"), VLOOKUP(E495,FD:FP,13,0)="C"), "OK",IF(AND(OR(Planilla!B495="C",Planilla!B495="c"), OR(VLOOKUP(E495,FD:FP,13,0)="B", VLOOKUP(E495,FD:FP,13,0)="A")), "DEFICIT",IF(
AND(OR(Planilla!B495="B", Planilla!B495="BPAL"), VLOOKUP(E495,FD:FP,13,0)="B"), "OK",IF(AND(OR(Planilla!B495="B", Planilla!B495="BPAL"), VLOOKUP(E495,FD:FP,13,0)="A"), "DEFICIT",IF(AND(OR(Planilla!B495="B", Planilla!B495="BPAL"), VLOOKUP(E495,FD:FP,13,0)="C"), "SOBREOFERTA",IF(AND(Planilla!B495="A", VLOOKUP(E495,FD:FP,13,0)="A"), "OK",IF(
AND(Planilla!B495="A", OR(VLOOKUP(E495,FD:FP,13,0)="B", VLOOKUP(E495,FD:FP,13,0)="C")), "SOBREOFERTA",""
))))))),"")</f>
        <v/>
      </c>
      <c r="E495" s="8" t="n"/>
      <c r="F495" s="86" t="n"/>
      <c r="G495" s="87" t="n"/>
      <c r="H495" s="88">
        <f>IF(I495="","",IF(AND((I495-G495)&gt;=TIME(0,0,0),(I495-G495)&lt;TIME(0,3,0)),"OK",IF(AND((I495-G495)&gt;=TIME(0,3,0),(I495-G495)&lt;TIME(0,5,0)),"RETRASO DE 3-5 MIN",IF(AND((I495-G495)&gt;=TIME(0,5,0),(I495-G495)&lt;TIME(0,10,0)),"RETRASO DE 5-10 MIN",IF((I495-G495)&gt;=TIME(0,10,0),"RETRASO &gt;10 MIN", IF(AND((G495-I495)&gt;=TIME(0,0,0),(G495-I495)&lt;TIME(0,3,0)),"OK",IF((G495-I495)&gt;=TIME(0,3,0),"ADELANTADO")))))))</f>
        <v/>
      </c>
      <c r="I495" s="89" t="n"/>
      <c r="J495" s="89">
        <f>IF(A495&lt;&gt;"",HLOOKUP(VALUE(TEXT(G495,"h:mm:ss")),IF($C$6="Laboral",$FZ$4:$GX$227,IF($C$6="Sábado",$FZ$231:$GX$452,$FZ$456:$GX$656)),VLOOKUP($C$4,$HF$2:$HH$99,3,0)+IF(C$5="Ida",0,1),1),"")</f>
        <v/>
      </c>
      <c r="K495" s="89">
        <f>IF(A496&lt;&gt;A495,AVERAGEIF(A$9:A495,A495,J$9:J495),"")</f>
        <v/>
      </c>
      <c r="L495" s="89">
        <f>IFERROR(IF(A496&lt;&gt;A495,AVERAGEIF(A$9:A495,A495,S$9:S495),""),"")</f>
        <v/>
      </c>
      <c r="M495" s="89">
        <f>IFERROR(IF(A496&lt;&gt;A495,AVERAGEIF(A$9:A495,A495,T$9:T495),""),"")</f>
        <v/>
      </c>
      <c r="N495" s="89">
        <f t="array" ref="N495">IFERROR(IF(A496&lt;&gt;A495,_xlfn.STDEV.P(IF(A$9:A495=A495,T$9:T495)),""),"")</f>
        <v/>
      </c>
      <c r="O495" s="89">
        <f t="array" ref="O495">IFERROR(IF(A496&lt;&gt;A495,_xlfn.STDEV.P(IF(A$9:A495=A495,S$9:S495)),""),"")</f>
        <v/>
      </c>
      <c r="P495" s="90">
        <f>IFERROR(IF(A495&lt;&gt;A496,MAX((((M495*24*60)/2)*(1+POWER((((N495*24*60) / (M495*24*60) )),2))) + ((M495*24*60 )*-0.1 + (K495*0.015)) +1,(((M495*24*60)/2)*(1+POWER((((N495*24*60) / (M495*24*60 ))),2)))),""),"")</f>
        <v/>
      </c>
      <c r="Q495" s="90">
        <f>IF(AND(O495&lt;&gt;"",L495&lt;&gt;""),IF(A495&lt;&gt;A496,((L495*24*60) / 2 ) * (1 + POWER(((O495*24*60) / (L495*24*60)),2)),""),"")</f>
        <v/>
      </c>
      <c r="R495" s="90">
        <f>IF(Q495&lt;&gt;"",MAX(P495,Q495),"")</f>
        <v/>
      </c>
      <c r="S495" s="89">
        <f>IF(I495&lt;&gt;"H. Sale Real",IF(AND(I496&lt;&gt;"",LEFT(C496,2)&lt;&gt;"Va"),IF(AND(I495&lt;&gt;"",LEFT(C495,2)&lt;&gt;"Va",I495&lt;&gt;"H. Sale Real"),IF(I496-I495&lt;0.208333333333333,I496-I495,""),IF(AND(I494&lt;&gt;"",LEFT(C494,2)&lt;&gt;"Va",I494&lt;&gt;"H. Sale Real"),IF(I496-I494&lt;0.208333333333333,I496-I494,""),IF(AND(I493&lt;&gt;"",LEFT(C493,2)&lt;&gt;"Va",I493&lt;&gt;"H. Sale Real"),IF(I496-I493&lt;0.208333333333333,I496-I493,""),IF(AND(I492&lt;&gt;"",LEFT(C492,2)&lt;&gt;"Va",I492&lt;&gt;"H. Sale Real"),IF(I496-I492&lt;0.208333333333333,I496-I492,""),IF(AND(I491&lt;&gt;"",LEFT(C491,2)&lt;&gt;"Va",I491&lt;&gt;"H. Sale Real"),IF(I496-I491&lt;0.208333333333333,I496-I491,""),""))))),""),"")</f>
        <v/>
      </c>
      <c r="T495" s="89">
        <f>IF(G495&lt;&gt;"H. Sale Real",IF(AND(G496&lt;&gt;"",LEFT(C496,2)&lt;&gt;"Va"),IF(AND(G495&lt;&gt;"",LEFT(C495,2)&lt;&gt;"Va",G495&lt;&gt;"H. Sale Real"),IF(G496-G495&lt;0.208333333333333,G496-G495,""),IF(AND(G494&lt;&gt;"",LEFT(C494,2)&lt;&gt;"Va",G494&lt;&gt;"H. Sale Real"),IF(G496-G494&lt;0.208333333333333,G496-G494,""),IF(AND(G493&lt;&gt;"",LEFT(C493,2)&lt;&gt;"Va",G493&lt;&gt;"H. Sale Real"),IF(G496-G493&lt;0.208333333333333,G496-G493,""),IF(AND(G492&lt;&gt;"",LEFT(C492,2)&lt;&gt;"Va",G492&lt;&gt;"H. Sale Real"),IF(G496-G492&lt;0.208333333333333,G496-G492,""),IF(AND(G491&lt;&gt;"",LEFT(C491,2)&lt;&gt;"Va",G491&lt;&gt;"H. Sale Real"),IF(G496-G491&lt;0.208333333333333,G496-G491,""),""))))),""),"")</f>
        <v/>
      </c>
      <c r="U495" s="87" t="n"/>
      <c r="V495" s="89" t="n"/>
      <c r="W495" s="87" t="n"/>
      <c r="X495" s="89" t="n"/>
      <c r="Y495" s="91" t="n"/>
      <c r="Z495" s="122">
        <f>IF(G495&lt;&gt;"",IF(AND(Z494&lt;&gt;"IE",P495&lt;&gt;0,R495&lt;&gt;""),IF(IFERROR((P495/R495),0) &lt;=1,IFERROR(P495/R495,""),1),""),"")</f>
        <v/>
      </c>
      <c r="AA495" s="93" t="n"/>
      <c r="AB495" s="2" t="n"/>
      <c r="AE495" s="10">
        <f>HOUR(AK495)+1</f>
        <v/>
      </c>
      <c r="AF495" s="7" t="n"/>
      <c r="AG495" s="7" t="n"/>
      <c r="AH495" s="86" t="n"/>
      <c r="AI495" s="8" t="n"/>
      <c r="AJ495" s="86" t="n"/>
      <c r="AK495" s="87" t="n"/>
      <c r="AL495" s="88">
        <f>IF(AM495="","",IF(AND((AM495-AK495)&gt;=TIME(0,0,0),(AM495-AK495)&lt;TIME(0,3,0)),"OK",IF(AND((AM495-AK495)&gt;=TIME(0,3,0),(AM495-AK495)&lt;TIME(0,5,0)),"RETRASO DE 3-5 MIN",IF(AND((AM495-AK495)&gt;=TIME(0,5,0),(AM495-AK495)&lt;TIME(0,10,0)),"RETRASO DE 5-10 MIN",IF((AM495-AK495)&gt;=TIME(0,10,0),"RETRASO &gt;10 MIN", IF(AND((AK495-AM495)&gt;=TIME(0,0,0),(AK495-AM495)&lt;TIME(0,3,0)),"OK",IF((AK495-AM495)&gt;=TIME(0,3,0),"ADELANTADO")))))))</f>
        <v/>
      </c>
      <c r="AM495" s="91" t="n"/>
      <c r="AN495" s="89">
        <f>IF(AE495&lt;&gt;"",HLOOKUP(VALUE(TEXT(AK495,"h:mm:ss")),IF($C$6="Laboral",$FZ$4:$GX$227,IF($C$6="Sábado",$FZ$231:$GX$452,$FZ$456:$GX$656)),VLOOKUP($C$4,$HF$2:$HH$99,3,0)+IF(AG$5="Ida",0,1),1),"")</f>
        <v/>
      </c>
      <c r="AO495" s="89">
        <f>IF(AE496&lt;&gt;AE495,AVERAGEIF(AE$9:AE495,AE495,AN$9:AN495),"")</f>
        <v/>
      </c>
      <c r="AP495" s="89">
        <f>IFERROR(IF(AE496&lt;&gt;AE495,AVERAGEIF(AE$9:AE495,AE495,AW$9:AW495),""),"")</f>
        <v/>
      </c>
      <c r="AQ495" s="89">
        <f>IFERROR(IF(AE496&lt;&gt;AE495,AVERAGEIF(AE$9:AE495,AE495,AX$9:AX495),""),"")</f>
        <v/>
      </c>
      <c r="AR495" s="89">
        <f t="array" ref="AR495">IFERROR(IF(AE496&lt;&gt;AE495,_xlfn.STDEV.P(IF(AE$9:AE495=AE495,AX$9:AX495)),""),"")</f>
        <v/>
      </c>
      <c r="AS495" s="89">
        <f t="array" ref="AS495">IFERROR(IF(AE496&lt;&gt;AE495,_xlfn.STDEV.P(IF(AE$9:AE495=AE495,AW$9:AW495)),""),"")</f>
        <v/>
      </c>
      <c r="AT495" s="90">
        <f>IFERROR(IF(AE495&lt;&gt;AE496,MAX((((AQ495*24*60)/2)*(1+POWER((((AR495*24*60) / (AQ495*24*60) )),2))) + ((AQ495*24*60 )*-0.1 + (AO495*0.015)) +1,(((AQ495*24*60)/2)*(1+POWER((((AR495*24*60) / (AQ495*24*60 ))),2)))),""),"")</f>
        <v/>
      </c>
      <c r="AU495" s="90">
        <f>IF(AND(AS495&lt;&gt;"",AP495&lt;&gt;""),IF(AE495&lt;&gt;AE496,((AP495*24*60) / 2 ) * (1 + POWER(((AS495*24*60) / (AP495*24*60)),2)),""),"")</f>
        <v/>
      </c>
      <c r="AV495" s="90">
        <f>IF(AU495&lt;&gt;"",MAX(AT495,AU495),"")</f>
        <v/>
      </c>
      <c r="AW495" s="89">
        <f>IF(AM495&lt;&gt;"H. Sale Real",IF(AND(AM496&lt;&gt;"",LEFT(AG496,2)&lt;&gt;"Va"),IF(AND(AM495&lt;&gt;"",LEFT(AG495,2)&lt;&gt;"Va",AM495&lt;&gt;"H. Sale Real"),IF(AM496-AM495&lt;0.208333333333333,AM496-AM495,""),IF(AND(AM494&lt;&gt;"",LEFT(AG494,2)&lt;&gt;"Va",AM494&lt;&gt;"H. Sale Real"),IF(AM496-AM494&lt;0.208333333333333,AM496-AM494,""),IF(AND(AM493&lt;&gt;"",LEFT(AG493,2)&lt;&gt;"Va",AM493&lt;&gt;"H. Sale Real"),IF(AM496-AM493&lt;0.208333333333333,AM496-AM493,""),IF(AND(AM492&lt;&gt;"",LEFT(AG492,2)&lt;&gt;"Va",AM492&lt;&gt;"H. Sale Real"),IF(AM496-AM492&lt;0.208333333333333,AM496-AM492,""),IF(AND(AM491&lt;&gt;"",LEFT(AG491,2)&lt;&gt;"Va",AM491&lt;&gt;"H. Sale Real"),IF(AM496-AM491&lt;0.208333333333333,AM496-AM491,""),""))))),""),"")</f>
        <v/>
      </c>
      <c r="AX495" s="89">
        <f>IF(AK495&lt;&gt;"H. Sale Real",IF(AND(AK496&lt;&gt;"",LEFT(AG496,2)&lt;&gt;"Va"),IF(AND(AK495&lt;&gt;"",LEFT(AG495,2)&lt;&gt;"Va",AK495&lt;&gt;"H. Sale Real"),IF(AK496-AK495&lt;0.208333333333333,AK496-AK495,""),IF(AND(AK494&lt;&gt;"",LEFT(AG494,2)&lt;&gt;"Va",AK494&lt;&gt;"H. Sale Real"),IF(AK496-AK494&lt;0.208333333333333,AK496-AK494,""),IF(AND(AK493&lt;&gt;"",LEFT(AG493,2)&lt;&gt;"NC",AK493&lt;&gt;"H. Sale Real"),IF(AK496-AK493&lt;0.208333333333333,AK496-AK493,""),IF(AND(AK492&lt;&gt;"",LEFT(AG492,2)&lt;&gt;"Va",AK492&lt;&gt;"H. Sale Real"),IF(AK496-AK492&lt;0.208333333333333,AK496-AK492,""),IF(AND(AK491&lt;&gt;"",LEFT(AG491,2)&lt;&gt;"Va",AK491&lt;&gt;"H. Sale Real"),IF(AK496-AK491&lt;0.208333333333333,AK496-AK491,""),""))))),""),"")</f>
        <v/>
      </c>
      <c r="AY495" s="87" t="n"/>
      <c r="AZ495" s="89" t="n"/>
      <c r="BA495" s="87" t="n"/>
      <c r="BB495" s="89" t="n"/>
      <c r="BC495" s="91" t="n"/>
      <c r="BD495" s="122">
        <f>IF(AK495&lt;&gt;"",IF(AND(BD494&lt;&gt;"IE",AT495&lt;&gt;0,AV495&lt;&gt;""),IF(IFERROR((AT495/AV495),0) &lt;=1,IFERROR(AT495/AV495,""),1),""),"")</f>
        <v/>
      </c>
      <c r="BE495" s="93" t="n"/>
      <c r="BF495" s="105" t="n"/>
      <c r="FC495" t="inlineStr">
        <is>
          <t>Diccionario 1</t>
        </is>
      </c>
      <c r="FD495" s="15" t="inlineStr"/>
      <c r="FE495" s="17" t="inlineStr">
        <is>
          <t>LDYECS316S0044171</t>
        </is>
      </c>
      <c r="FF495" s="18" t="inlineStr">
        <is>
          <t>MDN35025020235</t>
        </is>
      </c>
      <c r="FG495" s="18" t="inlineStr">
        <is>
          <t>Zhong Thong</t>
        </is>
      </c>
      <c r="FH495" s="18" t="inlineStr">
        <is>
          <t>Lck6122evg</t>
        </is>
      </c>
      <c r="FI495" s="18" t="inlineStr">
        <is>
          <t>Zhong Thong</t>
        </is>
      </c>
      <c r="FJ495" s="18" t="inlineStr">
        <is>
          <t>Lck6122evg</t>
        </is>
      </c>
      <c r="FK495" s="18" t="n">
        <v>2026</v>
      </c>
      <c r="FL495" s="18" t="inlineStr">
        <is>
          <t>B</t>
        </is>
      </c>
      <c r="FM495" s="18" t="inlineStr">
        <is>
          <t>Ducaud</t>
        </is>
      </c>
      <c r="FP495" t="inlineStr">
        <is>
          <t>B</t>
        </is>
      </c>
      <c r="FS495" s="14" t="inlineStr">
        <is>
          <t>VJKV-14</t>
        </is>
      </c>
      <c r="FT495" t="inlineStr">
        <is>
          <t>VJKV-14</t>
        </is>
      </c>
      <c r="FU495" t="inlineStr">
        <is>
          <t>VJKV-14</t>
        </is>
      </c>
      <c r="FV495">
        <f>VLOOKUP(FU495,FD:FL,9,0)</f>
        <v/>
      </c>
      <c r="FZ495" s="51" t="inlineStr">
        <is>
          <t>C18</t>
        </is>
      </c>
      <c r="GA495" s="43" t="n">
        <v>0</v>
      </c>
      <c r="GB495" s="43" t="n">
        <v>0</v>
      </c>
      <c r="GC495" s="43" t="n">
        <v>0</v>
      </c>
      <c r="GD495" s="43" t="n">
        <v>0</v>
      </c>
      <c r="GE495" s="43" t="n">
        <v>0</v>
      </c>
      <c r="GF495" s="43" t="n">
        <v>14.485</v>
      </c>
      <c r="GG495" s="43" t="n">
        <v>28.035</v>
      </c>
      <c r="GH495" s="43" t="n">
        <v>26.685</v>
      </c>
      <c r="GI495" s="43" t="n">
        <v>26.82</v>
      </c>
      <c r="GJ495" s="43" t="n">
        <v>26.79</v>
      </c>
      <c r="GK495" s="43" t="n">
        <v>25.62</v>
      </c>
      <c r="GL495" s="43" t="n">
        <v>24.49</v>
      </c>
      <c r="GM495" s="43" t="n">
        <v>23.395</v>
      </c>
      <c r="GN495" s="43" t="n">
        <v>23.07</v>
      </c>
      <c r="GO495" s="43" t="n">
        <v>23.405</v>
      </c>
      <c r="GP495" s="43" t="n">
        <v>23.96</v>
      </c>
      <c r="GQ495" s="43" t="n">
        <v>24.33</v>
      </c>
      <c r="GR495" s="43" t="n">
        <v>24</v>
      </c>
      <c r="GS495" s="43" t="n">
        <v>23.08</v>
      </c>
      <c r="GT495" s="43" t="n">
        <v>23.72</v>
      </c>
      <c r="GU495" s="43" t="n">
        <v>25.34</v>
      </c>
      <c r="GV495" s="43" t="n">
        <v>27.155</v>
      </c>
      <c r="GW495" s="43" t="n">
        <v>28.35</v>
      </c>
      <c r="GX495" s="43" t="n">
        <v>14.295</v>
      </c>
      <c r="HA495" s="35" t="n">
        <v>40</v>
      </c>
      <c r="HB495" s="35" t="n">
        <v>489</v>
      </c>
    </row>
    <row r="496" ht="15.5" customHeight="1">
      <c r="A496" s="10">
        <f>HOUR(G496)+1</f>
        <v/>
      </c>
      <c r="B496" s="7" t="n"/>
      <c r="C496" s="7" t="n"/>
      <c r="D496" s="85">
        <f>IFERROR(
IF(AND(OR(Planilla!B496="C",Planilla!B496="c"), VLOOKUP(E496,FD:FP,13,0)="C"), "OK",IF(AND(OR(Planilla!B496="C",Planilla!B496="c"), OR(VLOOKUP(E496,FD:FP,13,0)="B", VLOOKUP(E496,FD:FP,13,0)="A")), "DEFICIT",IF(
AND(OR(Planilla!B496="B", Planilla!B496="BPAL"), VLOOKUP(E496,FD:FP,13,0)="B"), "OK",IF(AND(OR(Planilla!B496="B", Planilla!B496="BPAL"), VLOOKUP(E496,FD:FP,13,0)="A"), "DEFICIT",IF(AND(OR(Planilla!B496="B", Planilla!B496="BPAL"), VLOOKUP(E496,FD:FP,13,0)="C"), "SOBREOFERTA",IF(AND(Planilla!B496="A", VLOOKUP(E496,FD:FP,13,0)="A"), "OK",IF(
AND(Planilla!B496="A", OR(VLOOKUP(E496,FD:FP,13,0)="B", VLOOKUP(E496,FD:FP,13,0)="C")), "SOBREOFERTA",""
))))))),"")</f>
        <v/>
      </c>
      <c r="E496" s="8" t="n"/>
      <c r="F496" s="86" t="n"/>
      <c r="G496" s="87" t="n"/>
      <c r="H496" s="88">
        <f>IF(I496="","",IF(AND((I496-G496)&gt;=TIME(0,0,0),(I496-G496)&lt;TIME(0,3,0)),"OK",IF(AND((I496-G496)&gt;=TIME(0,3,0),(I496-G496)&lt;TIME(0,5,0)),"RETRASO DE 3-5 MIN",IF(AND((I496-G496)&gt;=TIME(0,5,0),(I496-G496)&lt;TIME(0,10,0)),"RETRASO DE 5-10 MIN",IF((I496-G496)&gt;=TIME(0,10,0),"RETRASO &gt;10 MIN", IF(AND((G496-I496)&gt;=TIME(0,0,0),(G496-I496)&lt;TIME(0,3,0)),"OK",IF((G496-I496)&gt;=TIME(0,3,0),"ADELANTADO")))))))</f>
        <v/>
      </c>
      <c r="I496" s="89" t="n"/>
      <c r="J496" s="89">
        <f>IF(A496&lt;&gt;"",HLOOKUP(VALUE(TEXT(G496,"h:mm:ss")),IF($C$6="Laboral",$FZ$4:$GX$227,IF($C$6="Sábado",$FZ$231:$GX$452,$FZ$456:$GX$656)),VLOOKUP($C$4,$HF$2:$HH$99,3,0)+IF(C$5="Ida",0,1),1),"")</f>
        <v/>
      </c>
      <c r="K496" s="89">
        <f>IF(A497&lt;&gt;A496,AVERAGEIF(A$9:A496,A496,J$9:J496),"")</f>
        <v/>
      </c>
      <c r="L496" s="89">
        <f>IFERROR(IF(A497&lt;&gt;A496,AVERAGEIF(A$9:A496,A496,S$9:S496),""),"")</f>
        <v/>
      </c>
      <c r="M496" s="89">
        <f>IFERROR(IF(A497&lt;&gt;A496,AVERAGEIF(A$9:A496,A496,T$9:T496),""),"")</f>
        <v/>
      </c>
      <c r="N496" s="89">
        <f t="array" ref="N496">IFERROR(IF(A497&lt;&gt;A496,_xlfn.STDEV.P(IF(A$9:A496=A496,T$9:T496)),""),"")</f>
        <v/>
      </c>
      <c r="O496" s="89">
        <f t="array" ref="O496">IFERROR(IF(A497&lt;&gt;A496,_xlfn.STDEV.P(IF(A$9:A496=A496,S$9:S496)),""),"")</f>
        <v/>
      </c>
      <c r="P496" s="90">
        <f>IFERROR(IF(A496&lt;&gt;A497,MAX((((M496*24*60)/2)*(1+POWER((((N496*24*60) / (M496*24*60) )),2))) + ((M496*24*60 )*-0.1 + (K496*0.015)) +1,(((M496*24*60)/2)*(1+POWER((((N496*24*60) / (M496*24*60 ))),2)))),""),"")</f>
        <v/>
      </c>
      <c r="Q496" s="90">
        <f>IF(AND(O496&lt;&gt;"",L496&lt;&gt;""),IF(A496&lt;&gt;A497,((L496*24*60) / 2 ) * (1 + POWER(((O496*24*60) / (L496*24*60)),2)),""),"")</f>
        <v/>
      </c>
      <c r="R496" s="90">
        <f>IF(Q496&lt;&gt;"",MAX(P496,Q496),"")</f>
        <v/>
      </c>
      <c r="S496" s="89">
        <f>IF(I496&lt;&gt;"H. Sale Real",IF(AND(I497&lt;&gt;"",LEFT(C497,2)&lt;&gt;"Va"),IF(AND(I496&lt;&gt;"",LEFT(C496,2)&lt;&gt;"Va",I496&lt;&gt;"H. Sale Real"),IF(I497-I496&lt;0.208333333333333,I497-I496,""),IF(AND(I495&lt;&gt;"",LEFT(C495,2)&lt;&gt;"Va",I495&lt;&gt;"H. Sale Real"),IF(I497-I495&lt;0.208333333333333,I497-I495,""),IF(AND(I494&lt;&gt;"",LEFT(C494,2)&lt;&gt;"Va",I494&lt;&gt;"H. Sale Real"),IF(I497-I494&lt;0.208333333333333,I497-I494,""),IF(AND(I493&lt;&gt;"",LEFT(C493,2)&lt;&gt;"Va",I493&lt;&gt;"H. Sale Real"),IF(I497-I493&lt;0.208333333333333,I497-I493,""),IF(AND(I492&lt;&gt;"",LEFT(C492,2)&lt;&gt;"Va",I492&lt;&gt;"H. Sale Real"),IF(I497-I492&lt;0.208333333333333,I497-I492,""),""))))),""),"")</f>
        <v/>
      </c>
      <c r="T496" s="89">
        <f>IF(G496&lt;&gt;"H. Sale Real",IF(AND(G497&lt;&gt;"",LEFT(C497,2)&lt;&gt;"Va"),IF(AND(G496&lt;&gt;"",LEFT(C496,2)&lt;&gt;"Va",G496&lt;&gt;"H. Sale Real"),IF(G497-G496&lt;0.208333333333333,G497-G496,""),IF(AND(G495&lt;&gt;"",LEFT(C495,2)&lt;&gt;"Va",G495&lt;&gt;"H. Sale Real"),IF(G497-G495&lt;0.208333333333333,G497-G495,""),IF(AND(G494&lt;&gt;"",LEFT(C494,2)&lt;&gt;"Va",G494&lt;&gt;"H. Sale Real"),IF(G497-G494&lt;0.208333333333333,G497-G494,""),IF(AND(G493&lt;&gt;"",LEFT(C493,2)&lt;&gt;"Va",G493&lt;&gt;"H. Sale Real"),IF(G497-G493&lt;0.208333333333333,G497-G493,""),IF(AND(G492&lt;&gt;"",LEFT(C492,2)&lt;&gt;"Va",G492&lt;&gt;"H. Sale Real"),IF(G497-G492&lt;0.208333333333333,G497-G492,""),""))))),""),"")</f>
        <v/>
      </c>
      <c r="U496" s="87" t="n"/>
      <c r="V496" s="89" t="n"/>
      <c r="W496" s="87" t="n"/>
      <c r="X496" s="89" t="n"/>
      <c r="Y496" s="91" t="n"/>
      <c r="Z496" s="122">
        <f>IF(G496&lt;&gt;"",IF(AND(Z495&lt;&gt;"IE",P496&lt;&gt;0,R496&lt;&gt;""),IF(IFERROR((P496/R496),0) &lt;=1,IFERROR(P496/R496,""),1),""),"")</f>
        <v/>
      </c>
      <c r="AA496" s="93" t="n"/>
      <c r="AB496" s="2" t="n"/>
      <c r="AE496" s="10">
        <f>HOUR(AK496)+1</f>
        <v/>
      </c>
      <c r="AF496" s="7" t="n"/>
      <c r="AG496" s="7" t="n"/>
      <c r="AH496" s="86" t="n"/>
      <c r="AI496" s="8" t="n"/>
      <c r="AJ496" s="86" t="n"/>
      <c r="AK496" s="87" t="n"/>
      <c r="AL496" s="88">
        <f>IF(AM496="","",IF(AND((AM496-AK496)&gt;=TIME(0,0,0),(AM496-AK496)&lt;TIME(0,3,0)),"OK",IF(AND((AM496-AK496)&gt;=TIME(0,3,0),(AM496-AK496)&lt;TIME(0,5,0)),"RETRASO DE 3-5 MIN",IF(AND((AM496-AK496)&gt;=TIME(0,5,0),(AM496-AK496)&lt;TIME(0,10,0)),"RETRASO DE 5-10 MIN",IF((AM496-AK496)&gt;=TIME(0,10,0),"RETRASO &gt;10 MIN", IF(AND((AK496-AM496)&gt;=TIME(0,0,0),(AK496-AM496)&lt;TIME(0,3,0)),"OK",IF((AK496-AM496)&gt;=TIME(0,3,0),"ADELANTADO")))))))</f>
        <v/>
      </c>
      <c r="AM496" s="91" t="n"/>
      <c r="AN496" s="89">
        <f>IF(AE496&lt;&gt;"",HLOOKUP(VALUE(TEXT(AK496,"h:mm:ss")),IF($C$6="Laboral",$FZ$4:$GX$227,IF($C$6="Sábado",$FZ$231:$GX$452,$FZ$456:$GX$656)),VLOOKUP($C$4,$HF$2:$HH$99,3,0)+IF(AG$5="Ida",0,1),1),"")</f>
        <v/>
      </c>
      <c r="AO496" s="89">
        <f>IF(AE497&lt;&gt;AE496,AVERAGEIF(AE$9:AE496,AE496,AN$9:AN496),"")</f>
        <v/>
      </c>
      <c r="AP496" s="89">
        <f>IFERROR(IF(AE497&lt;&gt;AE496,AVERAGEIF(AE$9:AE496,AE496,AW$9:AW496),""),"")</f>
        <v/>
      </c>
      <c r="AQ496" s="89">
        <f>IFERROR(IF(AE497&lt;&gt;AE496,AVERAGEIF(AE$9:AE496,AE496,AX$9:AX496),""),"")</f>
        <v/>
      </c>
      <c r="AR496" s="89">
        <f t="array" ref="AR496">IFERROR(IF(AE497&lt;&gt;AE496,_xlfn.STDEV.P(IF(AE$9:AE496=AE496,AX$9:AX496)),""),"")</f>
        <v/>
      </c>
      <c r="AS496" s="89">
        <f t="array" ref="AS496">IFERROR(IF(AE497&lt;&gt;AE496,_xlfn.STDEV.P(IF(AE$9:AE496=AE496,AW$9:AW496)),""),"")</f>
        <v/>
      </c>
      <c r="AT496" s="90">
        <f>IFERROR(IF(AE496&lt;&gt;AE497,MAX((((AQ496*24*60)/2)*(1+POWER((((AR496*24*60) / (AQ496*24*60) )),2))) + ((AQ496*24*60 )*-0.1 + (AO496*0.015)) +1,(((AQ496*24*60)/2)*(1+POWER((((AR496*24*60) / (AQ496*24*60 ))),2)))),""),"")</f>
        <v/>
      </c>
      <c r="AU496" s="90">
        <f>IF(AND(AS496&lt;&gt;"",AP496&lt;&gt;""),IF(AE496&lt;&gt;AE497,((AP496*24*60) / 2 ) * (1 + POWER(((AS496*24*60) / (AP496*24*60)),2)),""),"")</f>
        <v/>
      </c>
      <c r="AV496" s="90">
        <f>IF(AU496&lt;&gt;"",MAX(AT496,AU496),"")</f>
        <v/>
      </c>
      <c r="AW496" s="89">
        <f>IF(AM496&lt;&gt;"H. Sale Real",IF(AND(AM497&lt;&gt;"",LEFT(AG497,2)&lt;&gt;"Va"),IF(AND(AM496&lt;&gt;"",LEFT(AG496,2)&lt;&gt;"Va",AM496&lt;&gt;"H. Sale Real"),IF(AM497-AM496&lt;0.208333333333333,AM497-AM496,""),IF(AND(AM495&lt;&gt;"",LEFT(AG495,2)&lt;&gt;"Va",AM495&lt;&gt;"H. Sale Real"),IF(AM497-AM495&lt;0.208333333333333,AM497-AM495,""),IF(AND(AM494&lt;&gt;"",LEFT(AG494,2)&lt;&gt;"Va",AM494&lt;&gt;"H. Sale Real"),IF(AM497-AM494&lt;0.208333333333333,AM497-AM494,""),IF(AND(AM493&lt;&gt;"",LEFT(AG493,2)&lt;&gt;"Va",AM493&lt;&gt;"H. Sale Real"),IF(AM497-AM493&lt;0.208333333333333,AM497-AM493,""),IF(AND(AM492&lt;&gt;"",LEFT(AG492,2)&lt;&gt;"Va",AM492&lt;&gt;"H. Sale Real"),IF(AM497-AM492&lt;0.208333333333333,AM497-AM492,""),""))))),""),"")</f>
        <v/>
      </c>
      <c r="AX496" s="89">
        <f>IF(AK496&lt;&gt;"H. Sale Real",IF(AND(AK497&lt;&gt;"",LEFT(AG497,2)&lt;&gt;"Va"),IF(AND(AK496&lt;&gt;"",LEFT(AG496,2)&lt;&gt;"Va",AK496&lt;&gt;"H. Sale Real"),IF(AK497-AK496&lt;0.208333333333333,AK497-AK496,""),IF(AND(AK495&lt;&gt;"",LEFT(AG495,2)&lt;&gt;"Va",AK495&lt;&gt;"H. Sale Real"),IF(AK497-AK495&lt;0.208333333333333,AK497-AK495,""),IF(AND(AK494&lt;&gt;"",LEFT(AG494,2)&lt;&gt;"NC",AK494&lt;&gt;"H. Sale Real"),IF(AK497-AK494&lt;0.208333333333333,AK497-AK494,""),IF(AND(AK493&lt;&gt;"",LEFT(AG493,2)&lt;&gt;"Va",AK493&lt;&gt;"H. Sale Real"),IF(AK497-AK493&lt;0.208333333333333,AK497-AK493,""),IF(AND(AK492&lt;&gt;"",LEFT(AG492,2)&lt;&gt;"Va",AK492&lt;&gt;"H. Sale Real"),IF(AK497-AK492&lt;0.208333333333333,AK497-AK492,""),""))))),""),"")</f>
        <v/>
      </c>
      <c r="AY496" s="87" t="n"/>
      <c r="AZ496" s="89" t="n"/>
      <c r="BA496" s="87" t="n"/>
      <c r="BB496" s="89" t="n"/>
      <c r="BC496" s="91" t="n"/>
      <c r="BD496" s="122">
        <f>IF(AK496&lt;&gt;"",IF(AND(BD495&lt;&gt;"IE",AT496&lt;&gt;0,AV496&lt;&gt;""),IF(IFERROR((AT496/AV496),0) &lt;=1,IFERROR(AT496/AV496,""),1),""),"")</f>
        <v/>
      </c>
      <c r="BE496" s="93" t="n"/>
      <c r="BF496" s="105" t="n"/>
      <c r="FC496" t="inlineStr">
        <is>
          <t>Diccionario 1</t>
        </is>
      </c>
      <c r="FD496" s="15" t="inlineStr"/>
      <c r="FE496" s="17" t="inlineStr">
        <is>
          <t>LDYECS315S0044226</t>
        </is>
      </c>
      <c r="FF496" s="18" t="inlineStr">
        <is>
          <t>MDN35025020140</t>
        </is>
      </c>
      <c r="FG496" s="18" t="inlineStr">
        <is>
          <t>Zhong Thong</t>
        </is>
      </c>
      <c r="FH496" s="18" t="inlineStr">
        <is>
          <t>Lck6122evg</t>
        </is>
      </c>
      <c r="FI496" s="18" t="inlineStr">
        <is>
          <t>Zhong Thong</t>
        </is>
      </c>
      <c r="FJ496" s="18" t="inlineStr">
        <is>
          <t>Lck6122evg</t>
        </is>
      </c>
      <c r="FK496" s="18" t="n">
        <v>2026</v>
      </c>
      <c r="FL496" s="18" t="inlineStr">
        <is>
          <t>B</t>
        </is>
      </c>
      <c r="FM496" s="18" t="inlineStr">
        <is>
          <t>Lo Blanco</t>
        </is>
      </c>
      <c r="FP496" t="inlineStr">
        <is>
          <t>B</t>
        </is>
      </c>
      <c r="FS496" s="14" t="inlineStr">
        <is>
          <t>LZPT-69|</t>
        </is>
      </c>
      <c r="FT496" t="inlineStr">
        <is>
          <t>LZPT-69|</t>
        </is>
      </c>
      <c r="FU496" t="inlineStr">
        <is>
          <t>LZPT-69</t>
        </is>
      </c>
      <c r="FV496">
        <f>VLOOKUP(FU496,FD:FL,9,0)</f>
        <v/>
      </c>
      <c r="FZ496" s="51" t="inlineStr">
        <is>
          <t>B19</t>
        </is>
      </c>
      <c r="GA496" s="43" t="n">
        <v>0</v>
      </c>
      <c r="GB496" s="43" t="n">
        <v>0</v>
      </c>
      <c r="GC496" s="43" t="n">
        <v>0</v>
      </c>
      <c r="GD496" s="43" t="n">
        <v>0</v>
      </c>
      <c r="GE496" s="43" t="n">
        <v>0</v>
      </c>
      <c r="GF496" s="43" t="n">
        <v>29.19</v>
      </c>
      <c r="GG496" s="43" t="n">
        <v>28.04</v>
      </c>
      <c r="GH496" s="43" t="n">
        <v>26.84</v>
      </c>
      <c r="GI496" s="43" t="n">
        <v>25.17</v>
      </c>
      <c r="GJ496" s="43" t="n">
        <v>23.86</v>
      </c>
      <c r="GK496" s="43" t="n">
        <v>22.94</v>
      </c>
      <c r="GL496" s="43" t="n">
        <v>22.045</v>
      </c>
      <c r="GM496" s="43" t="n">
        <v>21.39</v>
      </c>
      <c r="GN496" s="43" t="n">
        <v>21.295</v>
      </c>
      <c r="GO496" s="43" t="n">
        <v>21.68</v>
      </c>
      <c r="GP496" s="43" t="n">
        <v>21.24</v>
      </c>
      <c r="GQ496" s="43" t="n">
        <v>21.13</v>
      </c>
      <c r="GR496" s="43" t="n">
        <v>20.6</v>
      </c>
      <c r="GS496" s="43" t="n">
        <v>20.385</v>
      </c>
      <c r="GT496" s="43" t="n">
        <v>20.93</v>
      </c>
      <c r="GU496" s="43" t="n">
        <v>21.72</v>
      </c>
      <c r="GV496" s="43" t="n">
        <v>23.265</v>
      </c>
      <c r="GW496" s="43" t="n">
        <v>24.985</v>
      </c>
      <c r="GX496" s="43" t="n">
        <v>24.32</v>
      </c>
      <c r="HA496" s="35" t="n">
        <v>41</v>
      </c>
      <c r="HB496" s="35" t="n">
        <v>490</v>
      </c>
    </row>
    <row r="497" ht="15.5" customHeight="1">
      <c r="A497" s="10">
        <f>HOUR(G497)+1</f>
        <v/>
      </c>
      <c r="B497" s="7" t="n"/>
      <c r="C497" s="7" t="n"/>
      <c r="D497" s="85">
        <f>IFERROR(
IF(AND(OR(Planilla!B497="C",Planilla!B497="c"), VLOOKUP(E497,FD:FP,13,0)="C"), "OK",IF(AND(OR(Planilla!B497="C",Planilla!B497="c"), OR(VLOOKUP(E497,FD:FP,13,0)="B", VLOOKUP(E497,FD:FP,13,0)="A")), "DEFICIT",IF(
AND(OR(Planilla!B497="B", Planilla!B497="BPAL"), VLOOKUP(E497,FD:FP,13,0)="B"), "OK",IF(AND(OR(Planilla!B497="B", Planilla!B497="BPAL"), VLOOKUP(E497,FD:FP,13,0)="A"), "DEFICIT",IF(AND(OR(Planilla!B497="B", Planilla!B497="BPAL"), VLOOKUP(E497,FD:FP,13,0)="C"), "SOBREOFERTA",IF(AND(Planilla!B497="A", VLOOKUP(E497,FD:FP,13,0)="A"), "OK",IF(
AND(Planilla!B497="A", OR(VLOOKUP(E497,FD:FP,13,0)="B", VLOOKUP(E497,FD:FP,13,0)="C")), "SOBREOFERTA",""
))))))),"")</f>
        <v/>
      </c>
      <c r="E497" s="8" t="n"/>
      <c r="F497" s="86" t="n"/>
      <c r="G497" s="87" t="n"/>
      <c r="H497" s="88">
        <f>IF(I497="","",IF(AND((I497-G497)&gt;=TIME(0,0,0),(I497-G497)&lt;TIME(0,3,0)),"OK",IF(AND((I497-G497)&gt;=TIME(0,3,0),(I497-G497)&lt;TIME(0,5,0)),"RETRASO DE 3-5 MIN",IF(AND((I497-G497)&gt;=TIME(0,5,0),(I497-G497)&lt;TIME(0,10,0)),"RETRASO DE 5-10 MIN",IF((I497-G497)&gt;=TIME(0,10,0),"RETRASO &gt;10 MIN", IF(AND((G497-I497)&gt;=TIME(0,0,0),(G497-I497)&lt;TIME(0,3,0)),"OK",IF((G497-I497)&gt;=TIME(0,3,0),"ADELANTADO")))))))</f>
        <v/>
      </c>
      <c r="I497" s="89" t="n"/>
      <c r="J497" s="89">
        <f>IF(A497&lt;&gt;"",HLOOKUP(VALUE(TEXT(G497,"h:mm:ss")),IF($C$6="Laboral",$FZ$4:$GX$227,IF($C$6="Sábado",$FZ$231:$GX$452,$FZ$456:$GX$656)),VLOOKUP($C$4,$HF$2:$HH$99,3,0)+IF(C$5="Ida",0,1),1),"")</f>
        <v/>
      </c>
      <c r="K497" s="89">
        <f>IF(A498&lt;&gt;A497,AVERAGEIF(A$9:A497,A497,J$9:J497),"")</f>
        <v/>
      </c>
      <c r="L497" s="89">
        <f>IFERROR(IF(A498&lt;&gt;A497,AVERAGEIF(A$9:A497,A497,S$9:S497),""),"")</f>
        <v/>
      </c>
      <c r="M497" s="89">
        <f>IFERROR(IF(A498&lt;&gt;A497,AVERAGEIF(A$9:A497,A497,T$9:T497),""),"")</f>
        <v/>
      </c>
      <c r="N497" s="89">
        <f t="array" ref="N497">IFERROR(IF(A498&lt;&gt;A497,_xlfn.STDEV.P(IF(A$9:A497=A497,T$9:T497)),""),"")</f>
        <v/>
      </c>
      <c r="O497" s="89">
        <f t="array" ref="O497">IFERROR(IF(A498&lt;&gt;A497,_xlfn.STDEV.P(IF(A$9:A497=A497,S$9:S497)),""),"")</f>
        <v/>
      </c>
      <c r="P497" s="90">
        <f>IFERROR(IF(A497&lt;&gt;A498,MAX((((M497*24*60)/2)*(1+POWER((((N497*24*60) / (M497*24*60) )),2))) + ((M497*24*60 )*-0.1 + (K497*0.015)) +1,(((M497*24*60)/2)*(1+POWER((((N497*24*60) / (M497*24*60 ))),2)))),""),"")</f>
        <v/>
      </c>
      <c r="Q497" s="90">
        <f>IF(AND(O497&lt;&gt;"",L497&lt;&gt;""),IF(A497&lt;&gt;A498,((L497*24*60) / 2 ) * (1 + POWER(((O497*24*60) / (L497*24*60)),2)),""),"")</f>
        <v/>
      </c>
      <c r="R497" s="90">
        <f>IF(Q497&lt;&gt;"",MAX(P497,Q497),"")</f>
        <v/>
      </c>
      <c r="S497" s="89">
        <f>IF(I497&lt;&gt;"H. Sale Real",IF(AND(I498&lt;&gt;"",LEFT(C498,2)&lt;&gt;"Va"),IF(AND(I497&lt;&gt;"",LEFT(C497,2)&lt;&gt;"Va",I497&lt;&gt;"H. Sale Real"),IF(I498-I497&lt;0.208333333333333,I498-I497,""),IF(AND(I496&lt;&gt;"",LEFT(C496,2)&lt;&gt;"Va",I496&lt;&gt;"H. Sale Real"),IF(I498-I496&lt;0.208333333333333,I498-I496,""),IF(AND(I495&lt;&gt;"",LEFT(C495,2)&lt;&gt;"Va",I495&lt;&gt;"H. Sale Real"),IF(I498-I495&lt;0.208333333333333,I498-I495,""),IF(AND(I494&lt;&gt;"",LEFT(C494,2)&lt;&gt;"Va",I494&lt;&gt;"H. Sale Real"),IF(I498-I494&lt;0.208333333333333,I498-I494,""),IF(AND(I493&lt;&gt;"",LEFT(C493,2)&lt;&gt;"Va",I493&lt;&gt;"H. Sale Real"),IF(I498-I493&lt;0.208333333333333,I498-I493,""),""))))),""),"")</f>
        <v/>
      </c>
      <c r="T497" s="89">
        <f>IF(G497&lt;&gt;"H. Sale Real",IF(AND(G498&lt;&gt;"",LEFT(C498,2)&lt;&gt;"Va"),IF(AND(G497&lt;&gt;"",LEFT(C497,2)&lt;&gt;"Va",G497&lt;&gt;"H. Sale Real"),IF(G498-G497&lt;0.208333333333333,G498-G497,""),IF(AND(G496&lt;&gt;"",LEFT(C496,2)&lt;&gt;"Va",G496&lt;&gt;"H. Sale Real"),IF(G498-G496&lt;0.208333333333333,G498-G496,""),IF(AND(G495&lt;&gt;"",LEFT(C495,2)&lt;&gt;"Va",G495&lt;&gt;"H. Sale Real"),IF(G498-G495&lt;0.208333333333333,G498-G495,""),IF(AND(G494&lt;&gt;"",LEFT(C494,2)&lt;&gt;"Va",G494&lt;&gt;"H. Sale Real"),IF(G498-G494&lt;0.208333333333333,G498-G494,""),IF(AND(G493&lt;&gt;"",LEFT(C493,2)&lt;&gt;"Va",G493&lt;&gt;"H. Sale Real"),IF(G498-G493&lt;0.208333333333333,G498-G493,""),""))))),""),"")</f>
        <v/>
      </c>
      <c r="U497" s="87" t="n"/>
      <c r="V497" s="89" t="n"/>
      <c r="W497" s="87" t="n"/>
      <c r="X497" s="89" t="n"/>
      <c r="Y497" s="91" t="n"/>
      <c r="Z497" s="122">
        <f>IF(G497&lt;&gt;"",IF(AND(Z496&lt;&gt;"IE",P497&lt;&gt;0,R497&lt;&gt;""),IF(IFERROR((P497/R497),0) &lt;=1,IFERROR(P497/R497,""),1),""),"")</f>
        <v/>
      </c>
      <c r="AA497" s="93" t="n"/>
      <c r="AB497" s="2" t="n"/>
      <c r="AE497" s="10">
        <f>HOUR(AK497)+1</f>
        <v/>
      </c>
      <c r="AF497" s="7" t="n"/>
      <c r="AG497" s="7" t="n"/>
      <c r="AH497" s="86" t="n"/>
      <c r="AI497" s="8" t="n"/>
      <c r="AJ497" s="86" t="n"/>
      <c r="AK497" s="87" t="n"/>
      <c r="AL497" s="88">
        <f>IF(AM497="","",IF(AND((AM497-AK497)&gt;=TIME(0,0,0),(AM497-AK497)&lt;TIME(0,3,0)),"OK",IF(AND((AM497-AK497)&gt;=TIME(0,3,0),(AM497-AK497)&lt;TIME(0,5,0)),"RETRASO DE 3-5 MIN",IF(AND((AM497-AK497)&gt;=TIME(0,5,0),(AM497-AK497)&lt;TIME(0,10,0)),"RETRASO DE 5-10 MIN",IF((AM497-AK497)&gt;=TIME(0,10,0),"RETRASO &gt;10 MIN", IF(AND((AK497-AM497)&gt;=TIME(0,0,0),(AK497-AM497)&lt;TIME(0,3,0)),"OK",IF((AK497-AM497)&gt;=TIME(0,3,0),"ADELANTADO")))))))</f>
        <v/>
      </c>
      <c r="AM497" s="91" t="n"/>
      <c r="AN497" s="89">
        <f>IF(AE497&lt;&gt;"",HLOOKUP(VALUE(TEXT(AK497,"h:mm:ss")),IF($C$6="Laboral",$FZ$4:$GX$227,IF($C$6="Sábado",$FZ$231:$GX$452,$FZ$456:$GX$656)),VLOOKUP($C$4,$HF$2:$HH$99,3,0)+IF(AG$5="Ida",0,1),1),"")</f>
        <v/>
      </c>
      <c r="AO497" s="89">
        <f>IF(AE498&lt;&gt;AE497,AVERAGEIF(AE$9:AE497,AE497,AN$9:AN497),"")</f>
        <v/>
      </c>
      <c r="AP497" s="89">
        <f>IFERROR(IF(AE498&lt;&gt;AE497,AVERAGEIF(AE$9:AE497,AE497,AW$9:AW497),""),"")</f>
        <v/>
      </c>
      <c r="AQ497" s="89">
        <f>IFERROR(IF(AE498&lt;&gt;AE497,AVERAGEIF(AE$9:AE497,AE497,AX$9:AX497),""),"")</f>
        <v/>
      </c>
      <c r="AR497" s="89">
        <f t="array" ref="AR497">IFERROR(IF(AE498&lt;&gt;AE497,_xlfn.STDEV.P(IF(AE$9:AE497=AE497,AX$9:AX497)),""),"")</f>
        <v/>
      </c>
      <c r="AS497" s="89">
        <f t="array" ref="AS497">IFERROR(IF(AE498&lt;&gt;AE497,_xlfn.STDEV.P(IF(AE$9:AE497=AE497,AW$9:AW497)),""),"")</f>
        <v/>
      </c>
      <c r="AT497" s="90">
        <f>IFERROR(IF(AE497&lt;&gt;AE498,MAX((((AQ497*24*60)/2)*(1+POWER((((AR497*24*60) / (AQ497*24*60) )),2))) + ((AQ497*24*60 )*-0.1 + (AO497*0.015)) +1,(((AQ497*24*60)/2)*(1+POWER((((AR497*24*60) / (AQ497*24*60 ))),2)))),""),"")</f>
        <v/>
      </c>
      <c r="AU497" s="90">
        <f>IF(AND(AS497&lt;&gt;"",AP497&lt;&gt;""),IF(AE497&lt;&gt;AE498,((AP497*24*60) / 2 ) * (1 + POWER(((AS497*24*60) / (AP497*24*60)),2)),""),"")</f>
        <v/>
      </c>
      <c r="AV497" s="90">
        <f>IF(AU497&lt;&gt;"",MAX(AT497,AU497),"")</f>
        <v/>
      </c>
      <c r="AW497" s="89">
        <f>IF(AM497&lt;&gt;"H. Sale Real",IF(AND(AM498&lt;&gt;"",LEFT(AG498,2)&lt;&gt;"Va"),IF(AND(AM497&lt;&gt;"",LEFT(AG497,2)&lt;&gt;"Va",AM497&lt;&gt;"H. Sale Real"),IF(AM498-AM497&lt;0.208333333333333,AM498-AM497,""),IF(AND(AM496&lt;&gt;"",LEFT(AG496,2)&lt;&gt;"Va",AM496&lt;&gt;"H. Sale Real"),IF(AM498-AM496&lt;0.208333333333333,AM498-AM496,""),IF(AND(AM495&lt;&gt;"",LEFT(AG495,2)&lt;&gt;"Va",AM495&lt;&gt;"H. Sale Real"),IF(AM498-AM495&lt;0.208333333333333,AM498-AM495,""),IF(AND(AM494&lt;&gt;"",LEFT(AG494,2)&lt;&gt;"Va",AM494&lt;&gt;"H. Sale Real"),IF(AM498-AM494&lt;0.208333333333333,AM498-AM494,""),IF(AND(AM493&lt;&gt;"",LEFT(AG493,2)&lt;&gt;"Va",AM493&lt;&gt;"H. Sale Real"),IF(AM498-AM493&lt;0.208333333333333,AM498-AM493,""),""))))),""),"")</f>
        <v/>
      </c>
      <c r="AX497" s="89">
        <f>IF(AK497&lt;&gt;"H. Sale Real",IF(AND(AK498&lt;&gt;"",LEFT(AG498,2)&lt;&gt;"Va"),IF(AND(AK497&lt;&gt;"",LEFT(AG497,2)&lt;&gt;"Va",AK497&lt;&gt;"H. Sale Real"),IF(AK498-AK497&lt;0.208333333333333,AK498-AK497,""),IF(AND(AK496&lt;&gt;"",LEFT(AG496,2)&lt;&gt;"Va",AK496&lt;&gt;"H. Sale Real"),IF(AK498-AK496&lt;0.208333333333333,AK498-AK496,""),IF(AND(AK495&lt;&gt;"",LEFT(AG495,2)&lt;&gt;"NC",AK495&lt;&gt;"H. Sale Real"),IF(AK498-AK495&lt;0.208333333333333,AK498-AK495,""),IF(AND(AK494&lt;&gt;"",LEFT(AG494,2)&lt;&gt;"Va",AK494&lt;&gt;"H. Sale Real"),IF(AK498-AK494&lt;0.208333333333333,AK498-AK494,""),IF(AND(AK493&lt;&gt;"",LEFT(AG493,2)&lt;&gt;"Va",AK493&lt;&gt;"H. Sale Real"),IF(AK498-AK493&lt;0.208333333333333,AK498-AK493,""),""))))),""),"")</f>
        <v/>
      </c>
      <c r="AY497" s="87" t="n"/>
      <c r="AZ497" s="89" t="n"/>
      <c r="BA497" s="87" t="n"/>
      <c r="BB497" s="89" t="n"/>
      <c r="BC497" s="91" t="n"/>
      <c r="BD497" s="122">
        <f>IF(AK497&lt;&gt;"",IF(AND(BD496&lt;&gt;"IE",AT497&lt;&gt;0,AV497&lt;&gt;""),IF(IFERROR((AT497/AV497),0) &lt;=1,IFERROR(AT497/AV497,""),1),""),"")</f>
        <v/>
      </c>
      <c r="BE497" s="93" t="n"/>
      <c r="BF497" s="105" t="n"/>
      <c r="FC497" t="inlineStr">
        <is>
          <t>Diccionario 1</t>
        </is>
      </c>
      <c r="FD497" s="15" t="inlineStr"/>
      <c r="FE497" s="17" t="inlineStr">
        <is>
          <t>LDYECS311S0044241</t>
        </is>
      </c>
      <c r="FF497" s="18" t="inlineStr">
        <is>
          <t>MDN35025020192</t>
        </is>
      </c>
      <c r="FG497" s="18" t="inlineStr">
        <is>
          <t>Zhong Thong</t>
        </is>
      </c>
      <c r="FH497" s="18" t="inlineStr">
        <is>
          <t>Lck6122evg</t>
        </is>
      </c>
      <c r="FI497" s="18" t="inlineStr">
        <is>
          <t>Zhong Thong</t>
        </is>
      </c>
      <c r="FJ497" s="18" t="inlineStr">
        <is>
          <t>Lck6122evg</t>
        </is>
      </c>
      <c r="FK497" s="18" t="n">
        <v>2026</v>
      </c>
      <c r="FL497" s="18" t="inlineStr">
        <is>
          <t>B</t>
        </is>
      </c>
      <c r="FM497" s="18" t="inlineStr">
        <is>
          <t>Lo Blanco</t>
        </is>
      </c>
      <c r="FP497" t="inlineStr">
        <is>
          <t>B</t>
        </is>
      </c>
      <c r="FS497" s="14" t="inlineStr">
        <is>
          <t>LZPR-79|</t>
        </is>
      </c>
      <c r="FT497" t="inlineStr">
        <is>
          <t>LZPR-79|</t>
        </is>
      </c>
      <c r="FU497" t="inlineStr">
        <is>
          <t>LZPR-79</t>
        </is>
      </c>
      <c r="FV497">
        <f>VLOOKUP(FU497,FD:FL,9,0)</f>
        <v/>
      </c>
      <c r="FZ497" s="51" t="inlineStr">
        <is>
          <t>F02</t>
        </is>
      </c>
      <c r="GA497" s="43" t="n">
        <v>0</v>
      </c>
      <c r="GB497" s="43" t="n">
        <v>0</v>
      </c>
      <c r="GC497" s="43" t="n">
        <v>0</v>
      </c>
      <c r="GD497" s="43" t="n">
        <v>0</v>
      </c>
      <c r="GE497" s="43" t="n">
        <v>0</v>
      </c>
      <c r="GF497" s="43" t="n">
        <v>10.955</v>
      </c>
      <c r="GG497" s="43" t="n">
        <v>21.695</v>
      </c>
      <c r="GH497" s="43" t="n">
        <v>20.865</v>
      </c>
      <c r="GI497" s="43" t="n">
        <v>20.125</v>
      </c>
      <c r="GJ497" s="43" t="n">
        <v>19.155</v>
      </c>
      <c r="GK497" s="43" t="n">
        <v>18.24</v>
      </c>
      <c r="GL497" s="43" t="n">
        <v>17.605</v>
      </c>
      <c r="GM497" s="43" t="n">
        <v>16.655</v>
      </c>
      <c r="GN497" s="43" t="n">
        <v>16.15</v>
      </c>
      <c r="GO497" s="43" t="n">
        <v>16.86</v>
      </c>
      <c r="GP497" s="43" t="n">
        <v>17.585</v>
      </c>
      <c r="GQ497" s="43" t="n">
        <v>16.635</v>
      </c>
      <c r="GR497" s="43" t="n">
        <v>15.905</v>
      </c>
      <c r="GS497" s="43" t="n">
        <v>16.72</v>
      </c>
      <c r="GT497" s="43" t="n">
        <v>17.56</v>
      </c>
      <c r="GU497" s="43" t="n">
        <v>18.385</v>
      </c>
      <c r="GV497" s="43" t="n">
        <v>18.42</v>
      </c>
      <c r="GW497" s="43" t="n">
        <v>20.155</v>
      </c>
      <c r="GX497" s="43" t="n">
        <v>22.78</v>
      </c>
      <c r="HA497" s="35" t="n">
        <v>42</v>
      </c>
      <c r="HB497" s="35" t="n">
        <v>491</v>
      </c>
    </row>
    <row r="498" ht="15.5" customHeight="1">
      <c r="A498" s="10">
        <f>HOUR(G498)+1</f>
        <v/>
      </c>
      <c r="B498" s="7" t="n"/>
      <c r="C498" s="7" t="n"/>
      <c r="D498" s="85">
        <f>IFERROR(
IF(AND(OR(Planilla!B498="C",Planilla!B498="c"), VLOOKUP(E498,FD:FP,13,0)="C"), "OK",IF(AND(OR(Planilla!B498="C",Planilla!B498="c"), OR(VLOOKUP(E498,FD:FP,13,0)="B", VLOOKUP(E498,FD:FP,13,0)="A")), "DEFICIT",IF(
AND(OR(Planilla!B498="B", Planilla!B498="BPAL"), VLOOKUP(E498,FD:FP,13,0)="B"), "OK",IF(AND(OR(Planilla!B498="B", Planilla!B498="BPAL"), VLOOKUP(E498,FD:FP,13,0)="A"), "DEFICIT",IF(AND(OR(Planilla!B498="B", Planilla!B498="BPAL"), VLOOKUP(E498,FD:FP,13,0)="C"), "SOBREOFERTA",IF(AND(Planilla!B498="A", VLOOKUP(E498,FD:FP,13,0)="A"), "OK",IF(
AND(Planilla!B498="A", OR(VLOOKUP(E498,FD:FP,13,0)="B", VLOOKUP(E498,FD:FP,13,0)="C")), "SOBREOFERTA",""
))))))),"")</f>
        <v/>
      </c>
      <c r="E498" s="8" t="n"/>
      <c r="F498" s="86" t="n"/>
      <c r="G498" s="87" t="n"/>
      <c r="H498" s="88">
        <f>IF(I498="","",IF(AND((I498-G498)&gt;=TIME(0,0,0),(I498-G498)&lt;TIME(0,3,0)),"OK",IF(AND((I498-G498)&gt;=TIME(0,3,0),(I498-G498)&lt;TIME(0,5,0)),"RETRASO DE 3-5 MIN",IF(AND((I498-G498)&gt;=TIME(0,5,0),(I498-G498)&lt;TIME(0,10,0)),"RETRASO DE 5-10 MIN",IF((I498-G498)&gt;=TIME(0,10,0),"RETRASO &gt;10 MIN", IF(AND((G498-I498)&gt;=TIME(0,0,0),(G498-I498)&lt;TIME(0,3,0)),"OK",IF((G498-I498)&gt;=TIME(0,3,0),"ADELANTADO")))))))</f>
        <v/>
      </c>
      <c r="I498" s="89" t="n"/>
      <c r="J498" s="89">
        <f>IF(A498&lt;&gt;"",HLOOKUP(VALUE(TEXT(G498,"h:mm:ss")),IF($C$6="Laboral",$FZ$4:$GX$227,IF($C$6="Sábado",$FZ$231:$GX$452,$FZ$456:$GX$656)),VLOOKUP($C$4,$HF$2:$HH$99,3,0)+IF(C$5="Ida",0,1),1),"")</f>
        <v/>
      </c>
      <c r="K498" s="89">
        <f>IF(A499&lt;&gt;A498,AVERAGEIF(A$9:A498,A498,J$9:J498),"")</f>
        <v/>
      </c>
      <c r="L498" s="89">
        <f>IFERROR(IF(A499&lt;&gt;A498,AVERAGEIF(A$9:A498,A498,S$9:S498),""),"")</f>
        <v/>
      </c>
      <c r="M498" s="89">
        <f>IFERROR(IF(A499&lt;&gt;A498,AVERAGEIF(A$9:A498,A498,T$9:T498),""),"")</f>
        <v/>
      </c>
      <c r="N498" s="89">
        <f t="array" ref="N498">IFERROR(IF(A499&lt;&gt;A498,_xlfn.STDEV.P(IF(A$9:A498=A498,T$9:T498)),""),"")</f>
        <v/>
      </c>
      <c r="O498" s="89">
        <f t="array" ref="O498">IFERROR(IF(A499&lt;&gt;A498,_xlfn.STDEV.P(IF(A$9:A498=A498,S$9:S498)),""),"")</f>
        <v/>
      </c>
      <c r="P498" s="90">
        <f>IFERROR(IF(A498&lt;&gt;A499,MAX((((M498*24*60)/2)*(1+POWER((((N498*24*60) / (M498*24*60) )),2))) + ((M498*24*60 )*-0.1 + (K498*0.015)) +1,(((M498*24*60)/2)*(1+POWER((((N498*24*60) / (M498*24*60 ))),2)))),""),"")</f>
        <v/>
      </c>
      <c r="Q498" s="90">
        <f>IF(AND(O498&lt;&gt;"",L498&lt;&gt;""),IF(A498&lt;&gt;A499,((L498*24*60) / 2 ) * (1 + POWER(((O498*24*60) / (L498*24*60)),2)),""),"")</f>
        <v/>
      </c>
      <c r="R498" s="90">
        <f>IF(Q498&lt;&gt;"",MAX(P498,Q498),"")</f>
        <v/>
      </c>
      <c r="S498" s="89">
        <f>IF(I498&lt;&gt;"H. Sale Real",IF(AND(I499&lt;&gt;"",LEFT(C499,2)&lt;&gt;"Va"),IF(AND(I498&lt;&gt;"",LEFT(C498,2)&lt;&gt;"Va",I498&lt;&gt;"H. Sale Real"),IF(I499-I498&lt;0.208333333333333,I499-I498,""),IF(AND(I497&lt;&gt;"",LEFT(C497,2)&lt;&gt;"Va",I497&lt;&gt;"H. Sale Real"),IF(I499-I497&lt;0.208333333333333,I499-I497,""),IF(AND(I496&lt;&gt;"",LEFT(C496,2)&lt;&gt;"Va",I496&lt;&gt;"H. Sale Real"),IF(I499-I496&lt;0.208333333333333,I499-I496,""),IF(AND(I495&lt;&gt;"",LEFT(C495,2)&lt;&gt;"Va",I495&lt;&gt;"H. Sale Real"),IF(I499-I495&lt;0.208333333333333,I499-I495,""),IF(AND(I494&lt;&gt;"",LEFT(C494,2)&lt;&gt;"Va",I494&lt;&gt;"H. Sale Real"),IF(I499-I494&lt;0.208333333333333,I499-I494,""),""))))),""),"")</f>
        <v/>
      </c>
      <c r="T498" s="89">
        <f>IF(G498&lt;&gt;"H. Sale Real",IF(AND(G499&lt;&gt;"",LEFT(C499,2)&lt;&gt;"Va"),IF(AND(G498&lt;&gt;"",LEFT(C498,2)&lt;&gt;"Va",G498&lt;&gt;"H. Sale Real"),IF(G499-G498&lt;0.208333333333333,G499-G498,""),IF(AND(G497&lt;&gt;"",LEFT(C497,2)&lt;&gt;"Va",G497&lt;&gt;"H. Sale Real"),IF(G499-G497&lt;0.208333333333333,G499-G497,""),IF(AND(G496&lt;&gt;"",LEFT(C496,2)&lt;&gt;"Va",G496&lt;&gt;"H. Sale Real"),IF(G499-G496&lt;0.208333333333333,G499-G496,""),IF(AND(G495&lt;&gt;"",LEFT(C495,2)&lt;&gt;"Va",G495&lt;&gt;"H. Sale Real"),IF(G499-G495&lt;0.208333333333333,G499-G495,""),IF(AND(G494&lt;&gt;"",LEFT(C494,2)&lt;&gt;"Va",G494&lt;&gt;"H. Sale Real"),IF(G499-G494&lt;0.208333333333333,G499-G494,""),""))))),""),"")</f>
        <v/>
      </c>
      <c r="U498" s="87" t="n"/>
      <c r="V498" s="89" t="n"/>
      <c r="W498" s="87" t="n"/>
      <c r="X498" s="89" t="n"/>
      <c r="Y498" s="91" t="n"/>
      <c r="Z498" s="122">
        <f>IF(G498&lt;&gt;"",IF(AND(Z497&lt;&gt;"IE",P498&lt;&gt;0,R498&lt;&gt;""),IF(IFERROR((P498/R498),0) &lt;=1,IFERROR(P498/R498,""),1),""),"")</f>
        <v/>
      </c>
      <c r="AA498" s="93" t="n"/>
      <c r="AB498" s="2" t="n"/>
      <c r="AE498" s="10">
        <f>HOUR(AK498)+1</f>
        <v/>
      </c>
      <c r="AF498" s="7" t="n"/>
      <c r="AG498" s="7" t="n"/>
      <c r="AH498" s="86" t="n"/>
      <c r="AI498" s="8" t="n"/>
      <c r="AJ498" s="86" t="n"/>
      <c r="AK498" s="87" t="n"/>
      <c r="AL498" s="88">
        <f>IF(AM498="","",IF(AND((AM498-AK498)&gt;=TIME(0,0,0),(AM498-AK498)&lt;TIME(0,3,0)),"OK",IF(AND((AM498-AK498)&gt;=TIME(0,3,0),(AM498-AK498)&lt;TIME(0,5,0)),"RETRASO DE 3-5 MIN",IF(AND((AM498-AK498)&gt;=TIME(0,5,0),(AM498-AK498)&lt;TIME(0,10,0)),"RETRASO DE 5-10 MIN",IF((AM498-AK498)&gt;=TIME(0,10,0),"RETRASO &gt;10 MIN", IF(AND((AK498-AM498)&gt;=TIME(0,0,0),(AK498-AM498)&lt;TIME(0,3,0)),"OK",IF((AK498-AM498)&gt;=TIME(0,3,0),"ADELANTADO")))))))</f>
        <v/>
      </c>
      <c r="AM498" s="91" t="n"/>
      <c r="AN498" s="89">
        <f>IF(AE498&lt;&gt;"",HLOOKUP(VALUE(TEXT(AK498,"h:mm:ss")),IF($C$6="Laboral",$FZ$4:$GX$227,IF($C$6="Sábado",$FZ$231:$GX$452,$FZ$456:$GX$656)),VLOOKUP($C$4,$HF$2:$HH$99,3,0)+IF(AG$5="Ida",0,1),1),"")</f>
        <v/>
      </c>
      <c r="AO498" s="89">
        <f>IF(AE499&lt;&gt;AE498,AVERAGEIF(AE$9:AE498,AE498,AN$9:AN498),"")</f>
        <v/>
      </c>
      <c r="AP498" s="89">
        <f>IFERROR(IF(AE499&lt;&gt;AE498,AVERAGEIF(AE$9:AE498,AE498,AW$9:AW498),""),"")</f>
        <v/>
      </c>
      <c r="AQ498" s="89">
        <f>IFERROR(IF(AE499&lt;&gt;AE498,AVERAGEIF(AE$9:AE498,AE498,AX$9:AX498),""),"")</f>
        <v/>
      </c>
      <c r="AR498" s="89">
        <f t="array" ref="AR498">IFERROR(IF(AE499&lt;&gt;AE498,_xlfn.STDEV.P(IF(AE$9:AE498=AE498,AX$9:AX498)),""),"")</f>
        <v/>
      </c>
      <c r="AS498" s="89">
        <f t="array" ref="AS498">IFERROR(IF(AE499&lt;&gt;AE498,_xlfn.STDEV.P(IF(AE$9:AE498=AE498,AW$9:AW498)),""),"")</f>
        <v/>
      </c>
      <c r="AT498" s="90">
        <f>IFERROR(IF(AE498&lt;&gt;AE499,MAX((((AQ498*24*60)/2)*(1+POWER((((AR498*24*60) / (AQ498*24*60) )),2))) + ((AQ498*24*60 )*-0.1 + (AO498*0.015)) +1,(((AQ498*24*60)/2)*(1+POWER((((AR498*24*60) / (AQ498*24*60 ))),2)))),""),"")</f>
        <v/>
      </c>
      <c r="AU498" s="90">
        <f>IF(AND(AS498&lt;&gt;"",AP498&lt;&gt;""),IF(AE498&lt;&gt;AE499,((AP498*24*60) / 2 ) * (1 + POWER(((AS498*24*60) / (AP498*24*60)),2)),""),"")</f>
        <v/>
      </c>
      <c r="AV498" s="90">
        <f>IF(AU498&lt;&gt;"",MAX(AT498,AU498),"")</f>
        <v/>
      </c>
      <c r="AW498" s="89">
        <f>IF(AM498&lt;&gt;"H. Sale Real",IF(AND(AM499&lt;&gt;"",LEFT(AG499,2)&lt;&gt;"Va"),IF(AND(AM498&lt;&gt;"",LEFT(AG498,2)&lt;&gt;"Va",AM498&lt;&gt;"H. Sale Real"),IF(AM499-AM498&lt;0.208333333333333,AM499-AM498,""),IF(AND(AM497&lt;&gt;"",LEFT(AG497,2)&lt;&gt;"Va",AM497&lt;&gt;"H. Sale Real"),IF(AM499-AM497&lt;0.208333333333333,AM499-AM497,""),IF(AND(AM496&lt;&gt;"",LEFT(AG496,2)&lt;&gt;"Va",AM496&lt;&gt;"H. Sale Real"),IF(AM499-AM496&lt;0.208333333333333,AM499-AM496,""),IF(AND(AM495&lt;&gt;"",LEFT(AG495,2)&lt;&gt;"Va",AM495&lt;&gt;"H. Sale Real"),IF(AM499-AM495&lt;0.208333333333333,AM499-AM495,""),IF(AND(AM494&lt;&gt;"",LEFT(AG494,2)&lt;&gt;"Va",AM494&lt;&gt;"H. Sale Real"),IF(AM499-AM494&lt;0.208333333333333,AM499-AM494,""),""))))),""),"")</f>
        <v/>
      </c>
      <c r="AX498" s="89">
        <f>IF(AK498&lt;&gt;"H. Sale Real",IF(AND(AK499&lt;&gt;"",LEFT(AG499,2)&lt;&gt;"Va"),IF(AND(AK498&lt;&gt;"",LEFT(AG498,2)&lt;&gt;"Va",AK498&lt;&gt;"H. Sale Real"),IF(AK499-AK498&lt;0.208333333333333,AK499-AK498,""),IF(AND(AK497&lt;&gt;"",LEFT(AG497,2)&lt;&gt;"Va",AK497&lt;&gt;"H. Sale Real"),IF(AK499-AK497&lt;0.208333333333333,AK499-AK497,""),IF(AND(AK496&lt;&gt;"",LEFT(AG496,2)&lt;&gt;"NC",AK496&lt;&gt;"H. Sale Real"),IF(AK499-AK496&lt;0.208333333333333,AK499-AK496,""),IF(AND(AK495&lt;&gt;"",LEFT(AG495,2)&lt;&gt;"Va",AK495&lt;&gt;"H. Sale Real"),IF(AK499-AK495&lt;0.208333333333333,AK499-AK495,""),IF(AND(AK494&lt;&gt;"",LEFT(AG494,2)&lt;&gt;"Va",AK494&lt;&gt;"H. Sale Real"),IF(AK499-AK494&lt;0.208333333333333,AK499-AK494,""),""))))),""),"")</f>
        <v/>
      </c>
      <c r="AY498" s="87" t="n"/>
      <c r="AZ498" s="89" t="n"/>
      <c r="BA498" s="87" t="n"/>
      <c r="BB498" s="89" t="n"/>
      <c r="BC498" s="91" t="n"/>
      <c r="BD498" s="122">
        <f>IF(AK498&lt;&gt;"",IF(AND(BD497&lt;&gt;"IE",AT498&lt;&gt;0,AV498&lt;&gt;""),IF(IFERROR((AT498/AV498),0) &lt;=1,IFERROR(AT498/AV498,""),1),""),"")</f>
        <v/>
      </c>
      <c r="BE498" s="93" t="n"/>
      <c r="BF498" s="105" t="n"/>
      <c r="FC498" t="inlineStr">
        <is>
          <t>Diccionario 1</t>
        </is>
      </c>
      <c r="FD498" s="15" t="inlineStr"/>
      <c r="FE498" s="17" t="inlineStr">
        <is>
          <t>LDYECS310S0044148</t>
        </is>
      </c>
      <c r="FF498" s="18" t="inlineStr">
        <is>
          <t>MDN35025030010</t>
        </is>
      </c>
      <c r="FG498" s="18" t="inlineStr">
        <is>
          <t>Zhong Thong</t>
        </is>
      </c>
      <c r="FH498" s="18" t="inlineStr">
        <is>
          <t>Lck6122evg</t>
        </is>
      </c>
      <c r="FI498" s="18" t="inlineStr">
        <is>
          <t>Zhong Thong</t>
        </is>
      </c>
      <c r="FJ498" s="18" t="inlineStr">
        <is>
          <t>Lck6122evg</t>
        </is>
      </c>
      <c r="FK498" s="18" t="n">
        <v>2026</v>
      </c>
      <c r="FL498" s="18" t="inlineStr">
        <is>
          <t>B</t>
        </is>
      </c>
      <c r="FM498" s="18" t="inlineStr">
        <is>
          <t>Lo Blanco</t>
        </is>
      </c>
      <c r="FP498" t="inlineStr">
        <is>
          <t>B</t>
        </is>
      </c>
      <c r="FS498" s="14" t="inlineStr">
        <is>
          <t>VJKV-88|</t>
        </is>
      </c>
      <c r="FT498" t="inlineStr">
        <is>
          <t>VJKV-88|</t>
        </is>
      </c>
      <c r="FU498" t="inlineStr">
        <is>
          <t>VJKV-88</t>
        </is>
      </c>
      <c r="FV498">
        <f>VLOOKUP(FU498,FD:FL,9,0)</f>
        <v/>
      </c>
      <c r="FZ498" s="51" t="inlineStr">
        <is>
          <t>F03c</t>
        </is>
      </c>
      <c r="GA498" s="43" t="n">
        <v>0</v>
      </c>
      <c r="GB498" s="43" t="n">
        <v>0</v>
      </c>
      <c r="GC498" s="43" t="n">
        <v>0</v>
      </c>
      <c r="GD498" s="43" t="n">
        <v>0</v>
      </c>
      <c r="GE498" s="43" t="n">
        <v>0</v>
      </c>
      <c r="GF498" s="43" t="n">
        <v>11.25</v>
      </c>
      <c r="GG498" s="43" t="n">
        <v>22.29</v>
      </c>
      <c r="GH498" s="43" t="n">
        <v>21.545</v>
      </c>
      <c r="GI498" s="43" t="n">
        <v>20.375</v>
      </c>
      <c r="GJ498" s="43" t="n">
        <v>18.735</v>
      </c>
      <c r="GK498" s="43" t="n">
        <v>17.88</v>
      </c>
      <c r="GL498" s="43" t="n">
        <v>16.605</v>
      </c>
      <c r="GM498" s="43" t="n">
        <v>14.865</v>
      </c>
      <c r="GN498" s="43" t="n">
        <v>14.67</v>
      </c>
      <c r="GO498" s="43" t="n">
        <v>15.86</v>
      </c>
      <c r="GP498" s="43" t="n">
        <v>16.76</v>
      </c>
      <c r="GQ498" s="43" t="n">
        <v>17.33</v>
      </c>
      <c r="GR498" s="43" t="n">
        <v>16.745</v>
      </c>
      <c r="GS498" s="43" t="n">
        <v>17.035</v>
      </c>
      <c r="GT498" s="43" t="n">
        <v>17.65</v>
      </c>
      <c r="GU498" s="43" t="n">
        <v>18.49</v>
      </c>
      <c r="GV498" s="43" t="n">
        <v>19.82</v>
      </c>
      <c r="GW498" s="43" t="n">
        <v>20.995</v>
      </c>
      <c r="GX498" s="43" t="n">
        <v>0</v>
      </c>
      <c r="HA498" s="35" t="n">
        <v>43</v>
      </c>
      <c r="HB498" s="35" t="n">
        <v>492</v>
      </c>
    </row>
    <row r="499" ht="15.5" customHeight="1">
      <c r="A499" s="10">
        <f>HOUR(G499)+1</f>
        <v/>
      </c>
      <c r="B499" s="7" t="n"/>
      <c r="C499" s="7" t="n"/>
      <c r="D499" s="85">
        <f>IFERROR(
IF(AND(OR(Planilla!B499="C",Planilla!B499="c"), VLOOKUP(E499,FD:FP,13,0)="C"), "OK",IF(AND(OR(Planilla!B499="C",Planilla!B499="c"), OR(VLOOKUP(E499,FD:FP,13,0)="B", VLOOKUP(E499,FD:FP,13,0)="A")), "DEFICIT",IF(
AND(OR(Planilla!B499="B", Planilla!B499="BPAL"), VLOOKUP(E499,FD:FP,13,0)="B"), "OK",IF(AND(OR(Planilla!B499="B", Planilla!B499="BPAL"), VLOOKUP(E499,FD:FP,13,0)="A"), "DEFICIT",IF(AND(OR(Planilla!B499="B", Planilla!B499="BPAL"), VLOOKUP(E499,FD:FP,13,0)="C"), "SOBREOFERTA",IF(AND(Planilla!B499="A", VLOOKUP(E499,FD:FP,13,0)="A"), "OK",IF(
AND(Planilla!B499="A", OR(VLOOKUP(E499,FD:FP,13,0)="B", VLOOKUP(E499,FD:FP,13,0)="C")), "SOBREOFERTA",""
))))))),"")</f>
        <v/>
      </c>
      <c r="E499" s="8" t="n"/>
      <c r="F499" s="86" t="n"/>
      <c r="G499" s="87" t="n"/>
      <c r="H499" s="88">
        <f>IF(I499="","",IF(AND((I499-G499)&gt;=TIME(0,0,0),(I499-G499)&lt;TIME(0,3,0)),"OK",IF(AND((I499-G499)&gt;=TIME(0,3,0),(I499-G499)&lt;TIME(0,5,0)),"RETRASO DE 3-5 MIN",IF(AND((I499-G499)&gt;=TIME(0,5,0),(I499-G499)&lt;TIME(0,10,0)),"RETRASO DE 5-10 MIN",IF((I499-G499)&gt;=TIME(0,10,0),"RETRASO &gt;10 MIN", IF(AND((G499-I499)&gt;=TIME(0,0,0),(G499-I499)&lt;TIME(0,3,0)),"OK",IF((G499-I499)&gt;=TIME(0,3,0),"ADELANTADO")))))))</f>
        <v/>
      </c>
      <c r="I499" s="89" t="n"/>
      <c r="J499" s="89">
        <f>IF(A499&lt;&gt;"",HLOOKUP(VALUE(TEXT(G499,"h:mm:ss")),IF($C$6="Laboral",$FZ$4:$GX$227,IF($C$6="Sábado",$FZ$231:$GX$452,$FZ$456:$GX$656)),VLOOKUP($C$4,$HF$2:$HH$99,3,0)+IF(C$5="Ida",0,1),1),"")</f>
        <v/>
      </c>
      <c r="K499" s="89">
        <f>IF(A500&lt;&gt;A499,AVERAGEIF(A$9:A499,A499,J$9:J499),"")</f>
        <v/>
      </c>
      <c r="L499" s="89">
        <f>IFERROR(IF(A500&lt;&gt;A499,AVERAGEIF(A$9:A499,A499,S$9:S499),""),"")</f>
        <v/>
      </c>
      <c r="M499" s="89">
        <f>IFERROR(IF(A500&lt;&gt;A499,AVERAGEIF(A$9:A499,A499,T$9:T499),""),"")</f>
        <v/>
      </c>
      <c r="N499" s="89">
        <f t="array" ref="N499">IFERROR(IF(A500&lt;&gt;A499,_xlfn.STDEV.P(IF(A$9:A499=A499,T$9:T499)),""),"")</f>
        <v/>
      </c>
      <c r="O499" s="89">
        <f t="array" ref="O499">IFERROR(IF(A500&lt;&gt;A499,_xlfn.STDEV.P(IF(A$9:A499=A499,S$9:S499)),""),"")</f>
        <v/>
      </c>
      <c r="P499" s="90">
        <f>IFERROR(IF(A499&lt;&gt;A500,MAX((((M499*24*60)/2)*(1+POWER((((N499*24*60) / (M499*24*60) )),2))) + ((M499*24*60 )*-0.1 + (K499*0.015)) +1,(((M499*24*60)/2)*(1+POWER((((N499*24*60) / (M499*24*60 ))),2)))),""),"")</f>
        <v/>
      </c>
      <c r="Q499" s="90">
        <f>IF(AND(O499&lt;&gt;"",L499&lt;&gt;""),IF(A499&lt;&gt;A500,((L499*24*60) / 2 ) * (1 + POWER(((O499*24*60) / (L499*24*60)),2)),""),"")</f>
        <v/>
      </c>
      <c r="R499" s="90">
        <f>IF(Q499&lt;&gt;"",MAX(P499,Q499),"")</f>
        <v/>
      </c>
      <c r="S499" s="89">
        <f>IF(I499&lt;&gt;"H. Sale Real",IF(AND(I500&lt;&gt;"",LEFT(C500,2)&lt;&gt;"Va"),IF(AND(I499&lt;&gt;"",LEFT(C499,2)&lt;&gt;"Va",I499&lt;&gt;"H. Sale Real"),IF(I500-I499&lt;0.208333333333333,I500-I499,""),IF(AND(I498&lt;&gt;"",LEFT(C498,2)&lt;&gt;"Va",I498&lt;&gt;"H. Sale Real"),IF(I500-I498&lt;0.208333333333333,I500-I498,""),IF(AND(I497&lt;&gt;"",LEFT(C497,2)&lt;&gt;"Va",I497&lt;&gt;"H. Sale Real"),IF(I500-I497&lt;0.208333333333333,I500-I497,""),IF(AND(I496&lt;&gt;"",LEFT(C496,2)&lt;&gt;"Va",I496&lt;&gt;"H. Sale Real"),IF(I500-I496&lt;0.208333333333333,I500-I496,""),IF(AND(I495&lt;&gt;"",LEFT(C495,2)&lt;&gt;"Va",I495&lt;&gt;"H. Sale Real"),IF(I500-I495&lt;0.208333333333333,I500-I495,""),""))))),""),"")</f>
        <v/>
      </c>
      <c r="T499" s="89">
        <f>IF(G499&lt;&gt;"H. Sale Real",IF(AND(G500&lt;&gt;"",LEFT(C500,2)&lt;&gt;"Va"),IF(AND(G499&lt;&gt;"",LEFT(C499,2)&lt;&gt;"Va",G499&lt;&gt;"H. Sale Real"),IF(G500-G499&lt;0.208333333333333,G500-G499,""),IF(AND(G498&lt;&gt;"",LEFT(C498,2)&lt;&gt;"Va",G498&lt;&gt;"H. Sale Real"),IF(G500-G498&lt;0.208333333333333,G500-G498,""),IF(AND(G497&lt;&gt;"",LEFT(C497,2)&lt;&gt;"Va",G497&lt;&gt;"H. Sale Real"),IF(G500-G497&lt;0.208333333333333,G500-G497,""),IF(AND(G496&lt;&gt;"",LEFT(C496,2)&lt;&gt;"Va",G496&lt;&gt;"H. Sale Real"),IF(G500-G496&lt;0.208333333333333,G500-G496,""),IF(AND(G495&lt;&gt;"",LEFT(C495,2)&lt;&gt;"Va",G495&lt;&gt;"H. Sale Real"),IF(G500-G495&lt;0.208333333333333,G500-G495,""),""))))),""),"")</f>
        <v/>
      </c>
      <c r="U499" s="87" t="n"/>
      <c r="V499" s="89" t="n"/>
      <c r="W499" s="87" t="n"/>
      <c r="X499" s="89" t="n"/>
      <c r="Y499" s="91" t="n"/>
      <c r="Z499" s="122">
        <f>IF(G499&lt;&gt;"",IF(AND(Z498&lt;&gt;"IE",P499&lt;&gt;0,R499&lt;&gt;""),IF(IFERROR((P499/R499),0) &lt;=1,IFERROR(P499/R499,""),1),""),"")</f>
        <v/>
      </c>
      <c r="AA499" s="93" t="n"/>
      <c r="AB499" s="2" t="n"/>
      <c r="AE499" s="10">
        <f>HOUR(AK499)+1</f>
        <v/>
      </c>
      <c r="AF499" s="7" t="n"/>
      <c r="AG499" s="7" t="n"/>
      <c r="AH499" s="86" t="n"/>
      <c r="AI499" s="8" t="n"/>
      <c r="AJ499" s="86" t="n"/>
      <c r="AK499" s="87" t="n"/>
      <c r="AL499" s="88">
        <f>IF(AM499="","",IF(AND((AM499-AK499)&gt;=TIME(0,0,0),(AM499-AK499)&lt;TIME(0,3,0)),"OK",IF(AND((AM499-AK499)&gt;=TIME(0,3,0),(AM499-AK499)&lt;TIME(0,5,0)),"RETRASO DE 3-5 MIN",IF(AND((AM499-AK499)&gt;=TIME(0,5,0),(AM499-AK499)&lt;TIME(0,10,0)),"RETRASO DE 5-10 MIN",IF((AM499-AK499)&gt;=TIME(0,10,0),"RETRASO &gt;10 MIN", IF(AND((AK499-AM499)&gt;=TIME(0,0,0),(AK499-AM499)&lt;TIME(0,3,0)),"OK",IF((AK499-AM499)&gt;=TIME(0,3,0),"ADELANTADO")))))))</f>
        <v/>
      </c>
      <c r="AM499" s="91" t="n"/>
      <c r="AN499" s="89">
        <f>IF(AE499&lt;&gt;"",HLOOKUP(VALUE(TEXT(AK499,"h:mm:ss")),IF($C$6="Laboral",$FZ$4:$GX$227,IF($C$6="Sábado",$FZ$231:$GX$452,$FZ$456:$GX$656)),VLOOKUP($C$4,$HF$2:$HH$99,3,0)+IF(AG$5="Ida",0,1),1),"")</f>
        <v/>
      </c>
      <c r="AO499" s="89">
        <f>IF(AE500&lt;&gt;AE499,AVERAGEIF(AE$9:AE499,AE499,AN$9:AN499),"")</f>
        <v/>
      </c>
      <c r="AP499" s="89">
        <f>IFERROR(IF(AE500&lt;&gt;AE499,AVERAGEIF(AE$9:AE499,AE499,AW$9:AW499),""),"")</f>
        <v/>
      </c>
      <c r="AQ499" s="89">
        <f>IFERROR(IF(AE500&lt;&gt;AE499,AVERAGEIF(AE$9:AE499,AE499,AX$9:AX499),""),"")</f>
        <v/>
      </c>
      <c r="AR499" s="89">
        <f t="array" ref="AR499">IFERROR(IF(AE500&lt;&gt;AE499,_xlfn.STDEV.P(IF(AE$9:AE499=AE499,AX$9:AX499)),""),"")</f>
        <v/>
      </c>
      <c r="AS499" s="89">
        <f t="array" ref="AS499">IFERROR(IF(AE500&lt;&gt;AE499,_xlfn.STDEV.P(IF(AE$9:AE499=AE499,AW$9:AW499)),""),"")</f>
        <v/>
      </c>
      <c r="AT499" s="90">
        <f>IFERROR(IF(AE499&lt;&gt;AE500,MAX((((AQ499*24*60)/2)*(1+POWER((((AR499*24*60) / (AQ499*24*60) )),2))) + ((AQ499*24*60 )*-0.1 + (AO499*0.015)) +1,(((AQ499*24*60)/2)*(1+POWER((((AR499*24*60) / (AQ499*24*60 ))),2)))),""),"")</f>
        <v/>
      </c>
      <c r="AU499" s="90">
        <f>IF(AND(AS499&lt;&gt;"",AP499&lt;&gt;""),IF(AE499&lt;&gt;AE500,((AP499*24*60) / 2 ) * (1 + POWER(((AS499*24*60) / (AP499*24*60)),2)),""),"")</f>
        <v/>
      </c>
      <c r="AV499" s="90">
        <f>IF(AU499&lt;&gt;"",MAX(AT499,AU499),"")</f>
        <v/>
      </c>
      <c r="AW499" s="89">
        <f>IF(AM499&lt;&gt;"H. Sale Real",IF(AND(AM500&lt;&gt;"",LEFT(AG500,2)&lt;&gt;"Va"),IF(AND(AM499&lt;&gt;"",LEFT(AG499,2)&lt;&gt;"Va",AM499&lt;&gt;"H. Sale Real"),IF(AM500-AM499&lt;0.208333333333333,AM500-AM499,""),IF(AND(AM498&lt;&gt;"",LEFT(AG498,2)&lt;&gt;"Va",AM498&lt;&gt;"H. Sale Real"),IF(AM500-AM498&lt;0.208333333333333,AM500-AM498,""),IF(AND(AM497&lt;&gt;"",LEFT(AG497,2)&lt;&gt;"Va",AM497&lt;&gt;"H. Sale Real"),IF(AM500-AM497&lt;0.208333333333333,AM500-AM497,""),IF(AND(AM496&lt;&gt;"",LEFT(AG496,2)&lt;&gt;"Va",AM496&lt;&gt;"H. Sale Real"),IF(AM500-AM496&lt;0.208333333333333,AM500-AM496,""),IF(AND(AM495&lt;&gt;"",LEFT(AG495,2)&lt;&gt;"Va",AM495&lt;&gt;"H. Sale Real"),IF(AM500-AM495&lt;0.208333333333333,AM500-AM495,""),""))))),""),"")</f>
        <v/>
      </c>
      <c r="AX499" s="89">
        <f>IF(AK499&lt;&gt;"H. Sale Real",IF(AND(AK500&lt;&gt;"",LEFT(AG500,2)&lt;&gt;"Va"),IF(AND(AK499&lt;&gt;"",LEFT(AG499,2)&lt;&gt;"Va",AK499&lt;&gt;"H. Sale Real"),IF(AK500-AK499&lt;0.208333333333333,AK500-AK499,""),IF(AND(AK498&lt;&gt;"",LEFT(AG498,2)&lt;&gt;"Va",AK498&lt;&gt;"H. Sale Real"),IF(AK500-AK498&lt;0.208333333333333,AK500-AK498,""),IF(AND(AK497&lt;&gt;"",LEFT(AG497,2)&lt;&gt;"NC",AK497&lt;&gt;"H. Sale Real"),IF(AK500-AK497&lt;0.208333333333333,AK500-AK497,""),IF(AND(AK496&lt;&gt;"",LEFT(AG496,2)&lt;&gt;"Va",AK496&lt;&gt;"H. Sale Real"),IF(AK500-AK496&lt;0.208333333333333,AK500-AK496,""),IF(AND(AK495&lt;&gt;"",LEFT(AG495,2)&lt;&gt;"Va",AK495&lt;&gt;"H. Sale Real"),IF(AK500-AK495&lt;0.208333333333333,AK500-AK495,""),""))))),""),"")</f>
        <v/>
      </c>
      <c r="AY499" s="87" t="n"/>
      <c r="AZ499" s="89" t="n"/>
      <c r="BA499" s="87" t="n"/>
      <c r="BB499" s="89" t="n"/>
      <c r="BC499" s="91" t="n"/>
      <c r="BD499" s="122">
        <f>IF(AK499&lt;&gt;"",IF(AND(BD498&lt;&gt;"IE",AT499&lt;&gt;0,AV499&lt;&gt;""),IF(IFERROR((AT499/AV499),0) &lt;=1,IFERROR(AT499/AV499,""),1),""),"")</f>
        <v/>
      </c>
      <c r="BE499" s="93" t="n"/>
      <c r="BF499" s="105" t="n"/>
      <c r="FC499" t="inlineStr">
        <is>
          <t>Diccionario 1</t>
        </is>
      </c>
      <c r="FD499" s="15" t="inlineStr"/>
      <c r="FE499" s="17" t="inlineStr">
        <is>
          <t>LDYECS315S0044159</t>
        </is>
      </c>
      <c r="FF499" s="18" t="inlineStr">
        <is>
          <t>MDN35025020161</t>
        </is>
      </c>
      <c r="FG499" s="18" t="inlineStr">
        <is>
          <t>Zhong Thong</t>
        </is>
      </c>
      <c r="FH499" s="18" t="inlineStr">
        <is>
          <t>Lck6122evg</t>
        </is>
      </c>
      <c r="FI499" s="18" t="inlineStr">
        <is>
          <t>Zhong Thong</t>
        </is>
      </c>
      <c r="FJ499" s="18" t="inlineStr">
        <is>
          <t>Lck6122evg</t>
        </is>
      </c>
      <c r="FK499" s="18" t="n">
        <v>2026</v>
      </c>
      <c r="FL499" s="18" t="inlineStr">
        <is>
          <t>B</t>
        </is>
      </c>
      <c r="FM499" s="18" t="inlineStr">
        <is>
          <t>Lo Blanco</t>
        </is>
      </c>
      <c r="FP499" t="inlineStr">
        <is>
          <t>B</t>
        </is>
      </c>
      <c r="FS499" s="14" t="inlineStr">
        <is>
          <t>3028 / SFWB-75|</t>
        </is>
      </c>
      <c r="FT499" t="inlineStr">
        <is>
          <t>SFWB-75|</t>
        </is>
      </c>
      <c r="FU499" t="inlineStr">
        <is>
          <t>SFWB-75</t>
        </is>
      </c>
      <c r="FV499">
        <f>VLOOKUP(FU499,FD:FL,9,0)</f>
        <v/>
      </c>
      <c r="FZ499" s="51" t="inlineStr">
        <is>
          <t>F05</t>
        </is>
      </c>
      <c r="GA499" s="43" t="n">
        <v>26.58</v>
      </c>
      <c r="GB499" s="43" t="n">
        <v>0</v>
      </c>
      <c r="GC499" s="43" t="n">
        <v>0</v>
      </c>
      <c r="GD499" s="43" t="n">
        <v>0</v>
      </c>
      <c r="GE499" s="43" t="n">
        <v>0</v>
      </c>
      <c r="GF499" s="43" t="n">
        <v>12.11</v>
      </c>
      <c r="GG499" s="43" t="n">
        <v>23.615</v>
      </c>
      <c r="GH499" s="43" t="n">
        <v>21.29</v>
      </c>
      <c r="GI499" s="43" t="n">
        <v>19.615</v>
      </c>
      <c r="GJ499" s="43" t="n">
        <v>19.17</v>
      </c>
      <c r="GK499" s="43" t="n">
        <v>18.035</v>
      </c>
      <c r="GL499" s="43" t="n">
        <v>16.775</v>
      </c>
      <c r="GM499" s="43" t="n">
        <v>16.085</v>
      </c>
      <c r="GN499" s="43" t="n">
        <v>16.12</v>
      </c>
      <c r="GO499" s="43" t="n">
        <v>16.8</v>
      </c>
      <c r="GP499" s="43" t="n">
        <v>16.935</v>
      </c>
      <c r="GQ499" s="43" t="n">
        <v>17.39</v>
      </c>
      <c r="GR499" s="43" t="n">
        <v>17.505</v>
      </c>
      <c r="GS499" s="43" t="n">
        <v>17.525</v>
      </c>
      <c r="GT499" s="43" t="n">
        <v>18.025</v>
      </c>
      <c r="GU499" s="43" t="n">
        <v>18.56</v>
      </c>
      <c r="GV499" s="43" t="n">
        <v>19.085</v>
      </c>
      <c r="GW499" s="43" t="n">
        <v>20.905</v>
      </c>
      <c r="GX499" s="43" t="n">
        <v>24.815</v>
      </c>
      <c r="HA499" s="35" t="n">
        <v>44</v>
      </c>
      <c r="HB499" s="35" t="n">
        <v>493</v>
      </c>
    </row>
    <row r="500" ht="15.5" customHeight="1">
      <c r="A500" s="10">
        <f>HOUR(G500)+1</f>
        <v/>
      </c>
      <c r="B500" s="7" t="n"/>
      <c r="C500" s="7" t="n"/>
      <c r="D500" s="85">
        <f>IFERROR(
IF(AND(OR(Planilla!B500="C",Planilla!B500="c"), VLOOKUP(E500,FD:FP,13,0)="C"), "OK",IF(AND(OR(Planilla!B500="C",Planilla!B500="c"), OR(VLOOKUP(E500,FD:FP,13,0)="B", VLOOKUP(E500,FD:FP,13,0)="A")), "DEFICIT",IF(
AND(OR(Planilla!B500="B", Planilla!B500="BPAL"), VLOOKUP(E500,FD:FP,13,0)="B"), "OK",IF(AND(OR(Planilla!B500="B", Planilla!B500="BPAL"), VLOOKUP(E500,FD:FP,13,0)="A"), "DEFICIT",IF(AND(OR(Planilla!B500="B", Planilla!B500="BPAL"), VLOOKUP(E500,FD:FP,13,0)="C"), "SOBREOFERTA",IF(AND(Planilla!B500="A", VLOOKUP(E500,FD:FP,13,0)="A"), "OK",IF(
AND(Planilla!B500="A", OR(VLOOKUP(E500,FD:FP,13,0)="B", VLOOKUP(E500,FD:FP,13,0)="C")), "SOBREOFERTA",""
))))))),"")</f>
        <v/>
      </c>
      <c r="E500" s="8" t="n"/>
      <c r="F500" s="86" t="n"/>
      <c r="G500" s="87" t="n"/>
      <c r="H500" s="88">
        <f>IF(I500="","",IF(AND((I500-G500)&gt;=TIME(0,0,0),(I500-G500)&lt;TIME(0,3,0)),"OK",IF(AND((I500-G500)&gt;=TIME(0,3,0),(I500-G500)&lt;TIME(0,5,0)),"RETRASO DE 3-5 MIN",IF(AND((I500-G500)&gt;=TIME(0,5,0),(I500-G500)&lt;TIME(0,10,0)),"RETRASO DE 5-10 MIN",IF((I500-G500)&gt;=TIME(0,10,0),"RETRASO &gt;10 MIN", IF(AND((G500-I500)&gt;=TIME(0,0,0),(G500-I500)&lt;TIME(0,3,0)),"OK",IF((G500-I500)&gt;=TIME(0,3,0),"ADELANTADO")))))))</f>
        <v/>
      </c>
      <c r="I500" s="89" t="n"/>
      <c r="J500" s="89">
        <f>IF(A500&lt;&gt;"",HLOOKUP(VALUE(TEXT(G500,"h:mm:ss")),IF($C$6="Laboral",$FZ$4:$GX$227,IF($C$6="Sábado",$FZ$231:$GX$452,$FZ$456:$GX$656)),VLOOKUP($C$4,$HF$2:$HH$99,3,0)+IF(C$5="Ida",0,1),1),"")</f>
        <v/>
      </c>
      <c r="K500" s="89">
        <f>IF(A501&lt;&gt;A500,AVERAGEIF(A$9:A500,A500,J$9:J500),"")</f>
        <v/>
      </c>
      <c r="L500" s="89">
        <f>IFERROR(IF(A501&lt;&gt;A500,AVERAGEIF(A$9:A500,A500,S$9:S500),""),"")</f>
        <v/>
      </c>
      <c r="M500" s="89">
        <f>IFERROR(IF(A501&lt;&gt;A500,AVERAGEIF(A$9:A500,A500,T$9:T500),""),"")</f>
        <v/>
      </c>
      <c r="N500" s="89">
        <f t="array" ref="N500">IFERROR(IF(A501&lt;&gt;A500,_xlfn.STDEV.P(IF(A$9:A500=A500,T$9:T500)),""),"")</f>
        <v/>
      </c>
      <c r="O500" s="89">
        <f t="array" ref="O500">IFERROR(IF(A501&lt;&gt;A500,_xlfn.STDEV.P(IF(A$9:A500=A500,S$9:S500)),""),"")</f>
        <v/>
      </c>
      <c r="P500" s="90">
        <f>IFERROR(IF(A500&lt;&gt;A501,MAX((((M500*24*60)/2)*(1+POWER((((N500*24*60) / (M500*24*60) )),2))) + ((M500*24*60 )*-0.1 + (K500*0.015)) +1,(((M500*24*60)/2)*(1+POWER((((N500*24*60) / (M500*24*60 ))),2)))),""),"")</f>
        <v/>
      </c>
      <c r="Q500" s="90">
        <f>IF(AND(O500&lt;&gt;"",L500&lt;&gt;""),IF(A500&lt;&gt;A501,((L500*24*60) / 2 ) * (1 + POWER(((O500*24*60) / (L500*24*60)),2)),""),"")</f>
        <v/>
      </c>
      <c r="R500" s="90">
        <f>IF(Q500&lt;&gt;"",MAX(P500,Q500),"")</f>
        <v/>
      </c>
      <c r="S500" s="89">
        <f>IF(I500&lt;&gt;"H. Sale Real",IF(AND(I501&lt;&gt;"",LEFT(C501,2)&lt;&gt;"Va"),IF(AND(I500&lt;&gt;"",LEFT(C500,2)&lt;&gt;"Va",I500&lt;&gt;"H. Sale Real"),IF(I501-I500&lt;0.208333333333333,I501-I500,""),IF(AND(I499&lt;&gt;"",LEFT(C499,2)&lt;&gt;"Va",I499&lt;&gt;"H. Sale Real"),IF(I501-I499&lt;0.208333333333333,I501-I499,""),IF(AND(I498&lt;&gt;"",LEFT(C498,2)&lt;&gt;"Va",I498&lt;&gt;"H. Sale Real"),IF(I501-I498&lt;0.208333333333333,I501-I498,""),IF(AND(I497&lt;&gt;"",LEFT(C497,2)&lt;&gt;"Va",I497&lt;&gt;"H. Sale Real"),IF(I501-I497&lt;0.208333333333333,I501-I497,""),IF(AND(I496&lt;&gt;"",LEFT(C496,2)&lt;&gt;"Va",I496&lt;&gt;"H. Sale Real"),IF(I501-I496&lt;0.208333333333333,I501-I496,""),""))))),""),"")</f>
        <v/>
      </c>
      <c r="T500" s="89">
        <f>IF(G500&lt;&gt;"H. Sale Real",IF(AND(G501&lt;&gt;"",LEFT(C501,2)&lt;&gt;"Va"),IF(AND(G500&lt;&gt;"",LEFT(C500,2)&lt;&gt;"Va",G500&lt;&gt;"H. Sale Real"),IF(G501-G500&lt;0.208333333333333,G501-G500,""),IF(AND(G499&lt;&gt;"",LEFT(C499,2)&lt;&gt;"Va",G499&lt;&gt;"H. Sale Real"),IF(G501-G499&lt;0.208333333333333,G501-G499,""),IF(AND(G498&lt;&gt;"",LEFT(C498,2)&lt;&gt;"Va",G498&lt;&gt;"H. Sale Real"),IF(G501-G498&lt;0.208333333333333,G501-G498,""),IF(AND(G497&lt;&gt;"",LEFT(C497,2)&lt;&gt;"Va",G497&lt;&gt;"H. Sale Real"),IF(G501-G497&lt;0.208333333333333,G501-G497,""),IF(AND(G496&lt;&gt;"",LEFT(C496,2)&lt;&gt;"Va",G496&lt;&gt;"H. Sale Real"),IF(G501-G496&lt;0.208333333333333,G501-G496,""),""))))),""),"")</f>
        <v/>
      </c>
      <c r="U500" s="87" t="n"/>
      <c r="V500" s="89" t="n"/>
      <c r="W500" s="87" t="n"/>
      <c r="X500" s="89" t="n"/>
      <c r="Y500" s="91" t="n"/>
      <c r="Z500" s="122">
        <f>IF(G500&lt;&gt;"",IF(AND(Z499&lt;&gt;"IE",P500&lt;&gt;0,R500&lt;&gt;""),IF(IFERROR((P500/R500),0) &lt;=1,IFERROR(P500/R500,""),1),""),"")</f>
        <v/>
      </c>
      <c r="AA500" s="93" t="n"/>
      <c r="AB500" s="2" t="n"/>
      <c r="AE500" s="10">
        <f>HOUR(AK500)+1</f>
        <v/>
      </c>
      <c r="AF500" s="7" t="n"/>
      <c r="AG500" s="7" t="n"/>
      <c r="AH500" s="86" t="n"/>
      <c r="AI500" s="8" t="n"/>
      <c r="AJ500" s="86" t="n"/>
      <c r="AK500" s="87" t="n"/>
      <c r="AL500" s="88">
        <f>IF(AM500="","",IF(AND((AM500-AK500)&gt;=TIME(0,0,0),(AM500-AK500)&lt;TIME(0,3,0)),"OK",IF(AND((AM500-AK500)&gt;=TIME(0,3,0),(AM500-AK500)&lt;TIME(0,5,0)),"RETRASO DE 3-5 MIN",IF(AND((AM500-AK500)&gt;=TIME(0,5,0),(AM500-AK500)&lt;TIME(0,10,0)),"RETRASO DE 5-10 MIN",IF((AM500-AK500)&gt;=TIME(0,10,0),"RETRASO &gt;10 MIN", IF(AND((AK500-AM500)&gt;=TIME(0,0,0),(AK500-AM500)&lt;TIME(0,3,0)),"OK",IF((AK500-AM500)&gt;=TIME(0,3,0),"ADELANTADO")))))))</f>
        <v/>
      </c>
      <c r="AM500" s="91" t="n"/>
      <c r="AN500" s="89">
        <f>IF(AE500&lt;&gt;"",HLOOKUP(VALUE(TEXT(AK500,"h:mm:ss")),IF($C$6="Laboral",$FZ$4:$GX$227,IF($C$6="Sábado",$FZ$231:$GX$452,$FZ$456:$GX$656)),VLOOKUP($C$4,$HF$2:$HH$99,3,0)+IF(AG$5="Ida",0,1),1),"")</f>
        <v/>
      </c>
      <c r="AO500" s="89">
        <f>IF(AE501&lt;&gt;AE500,AVERAGEIF(AE$9:AE500,AE500,AN$9:AN500),"")</f>
        <v/>
      </c>
      <c r="AP500" s="89">
        <f>IFERROR(IF(AE501&lt;&gt;AE500,AVERAGEIF(AE$9:AE500,AE500,AW$9:AW500),""),"")</f>
        <v/>
      </c>
      <c r="AQ500" s="89">
        <f>IFERROR(IF(AE501&lt;&gt;AE500,AVERAGEIF(AE$9:AE500,AE500,AX$9:AX500),""),"")</f>
        <v/>
      </c>
      <c r="AR500" s="89">
        <f t="array" ref="AR500">IFERROR(IF(AE501&lt;&gt;AE500,_xlfn.STDEV.P(IF(AE$9:AE500=AE500,AX$9:AX500)),""),"")</f>
        <v/>
      </c>
      <c r="AS500" s="89">
        <f t="array" ref="AS500">IFERROR(IF(AE501&lt;&gt;AE500,_xlfn.STDEV.P(IF(AE$9:AE500=AE500,AW$9:AW500)),""),"")</f>
        <v/>
      </c>
      <c r="AT500" s="90">
        <f>IFERROR(IF(AE500&lt;&gt;AE501,MAX((((AQ500*24*60)/2)*(1+POWER((((AR500*24*60) / (AQ500*24*60) )),2))) + ((AQ500*24*60 )*-0.1 + (AO500*0.015)) +1,(((AQ500*24*60)/2)*(1+POWER((((AR500*24*60) / (AQ500*24*60 ))),2)))),""),"")</f>
        <v/>
      </c>
      <c r="AU500" s="90">
        <f>IF(AND(AS500&lt;&gt;"",AP500&lt;&gt;""),IF(AE500&lt;&gt;AE501,((AP500*24*60) / 2 ) * (1 + POWER(((AS500*24*60) / (AP500*24*60)),2)),""),"")</f>
        <v/>
      </c>
      <c r="AV500" s="90">
        <f>IF(AU500&lt;&gt;"",MAX(AT500,AU500),"")</f>
        <v/>
      </c>
      <c r="AW500" s="89">
        <f>IF(AM500&lt;&gt;"H. Sale Real",IF(AND(AM501&lt;&gt;"",LEFT(AG501,2)&lt;&gt;"Va"),IF(AND(AM500&lt;&gt;"",LEFT(AG500,2)&lt;&gt;"Va",AM500&lt;&gt;"H. Sale Real"),IF(AM501-AM500&lt;0.208333333333333,AM501-AM500,""),IF(AND(AM499&lt;&gt;"",LEFT(AG499,2)&lt;&gt;"Va",AM499&lt;&gt;"H. Sale Real"),IF(AM501-AM499&lt;0.208333333333333,AM501-AM499,""),IF(AND(AM498&lt;&gt;"",LEFT(AG498,2)&lt;&gt;"Va",AM498&lt;&gt;"H. Sale Real"),IF(AM501-AM498&lt;0.208333333333333,AM501-AM498,""),IF(AND(AM497&lt;&gt;"",LEFT(AG497,2)&lt;&gt;"Va",AM497&lt;&gt;"H. Sale Real"),IF(AM501-AM497&lt;0.208333333333333,AM501-AM497,""),IF(AND(AM496&lt;&gt;"",LEFT(AG496,2)&lt;&gt;"Va",AM496&lt;&gt;"H. Sale Real"),IF(AM501-AM496&lt;0.208333333333333,AM501-AM496,""),""))))),""),"")</f>
        <v/>
      </c>
      <c r="AX500" s="89">
        <f>IF(AK500&lt;&gt;"H. Sale Real",IF(AND(AK501&lt;&gt;"",LEFT(AG501,2)&lt;&gt;"Va"),IF(AND(AK500&lt;&gt;"",LEFT(AG500,2)&lt;&gt;"Va",AK500&lt;&gt;"H. Sale Real"),IF(AK501-AK500&lt;0.208333333333333,AK501-AK500,""),IF(AND(AK499&lt;&gt;"",LEFT(AG499,2)&lt;&gt;"Va",AK499&lt;&gt;"H. Sale Real"),IF(AK501-AK499&lt;0.208333333333333,AK501-AK499,""),IF(AND(AK498&lt;&gt;"",LEFT(AG498,2)&lt;&gt;"NC",AK498&lt;&gt;"H. Sale Real"),IF(AK501-AK498&lt;0.208333333333333,AK501-AK498,""),IF(AND(AK497&lt;&gt;"",LEFT(AG497,2)&lt;&gt;"Va",AK497&lt;&gt;"H. Sale Real"),IF(AK501-AK497&lt;0.208333333333333,AK501-AK497,""),IF(AND(AK496&lt;&gt;"",LEFT(AG496,2)&lt;&gt;"Va",AK496&lt;&gt;"H. Sale Real"),IF(AK501-AK496&lt;0.208333333333333,AK501-AK496,""),""))))),""),"")</f>
        <v/>
      </c>
      <c r="AY500" s="87" t="n"/>
      <c r="AZ500" s="89" t="n"/>
      <c r="BA500" s="87" t="n"/>
      <c r="BB500" s="89" t="n"/>
      <c r="BC500" s="91" t="n"/>
      <c r="BD500" s="122">
        <f>IF(AK500&lt;&gt;"",IF(AND(BD499&lt;&gt;"IE",AT500&lt;&gt;0,AV500&lt;&gt;""),IF(IFERROR((AT500/AV500),0) &lt;=1,IFERROR(AT500/AV500,""),1),""),"")</f>
        <v/>
      </c>
      <c r="BE500" s="93" t="n"/>
      <c r="BF500" s="105" t="n"/>
      <c r="FC500" t="inlineStr">
        <is>
          <t>Diccionario 1</t>
        </is>
      </c>
      <c r="FD500" s="15" t="inlineStr"/>
      <c r="FE500" s="17" t="inlineStr">
        <is>
          <t>LDYECS310S0044232</t>
        </is>
      </c>
      <c r="FF500" s="18" t="inlineStr">
        <is>
          <t>MDN35025030039</t>
        </is>
      </c>
      <c r="FG500" s="18" t="inlineStr">
        <is>
          <t>Zhong Thong</t>
        </is>
      </c>
      <c r="FH500" s="18" t="inlineStr">
        <is>
          <t>Lck6122evg</t>
        </is>
      </c>
      <c r="FI500" s="18" t="inlineStr">
        <is>
          <t>Zhong Thong</t>
        </is>
      </c>
      <c r="FJ500" s="18" t="inlineStr">
        <is>
          <t>Lck6122evg</t>
        </is>
      </c>
      <c r="FK500" s="18" t="n">
        <v>2026</v>
      </c>
      <c r="FL500" s="18" t="inlineStr">
        <is>
          <t>B</t>
        </is>
      </c>
      <c r="FM500" s="18" t="inlineStr">
        <is>
          <t>Lo Blanco</t>
        </is>
      </c>
      <c r="FP500" t="inlineStr">
        <is>
          <t>B</t>
        </is>
      </c>
      <c r="FS500" s="14" t="inlineStr">
        <is>
          <t>LZPS-14|</t>
        </is>
      </c>
      <c r="FT500" t="inlineStr">
        <is>
          <t>LZPS-14|</t>
        </is>
      </c>
      <c r="FU500" t="inlineStr">
        <is>
          <t>LZPS-14</t>
        </is>
      </c>
      <c r="FV500">
        <f>VLOOKUP(FU500,FD:FL,9,0)</f>
        <v/>
      </c>
      <c r="FZ500" s="51" t="inlineStr">
        <is>
          <t>F05</t>
        </is>
      </c>
      <c r="GA500" s="43" t="n">
        <v>0</v>
      </c>
      <c r="GB500" s="43" t="n">
        <v>0</v>
      </c>
      <c r="GC500" s="43" t="n">
        <v>0</v>
      </c>
      <c r="GD500" s="43" t="n">
        <v>0</v>
      </c>
      <c r="GE500" s="43" t="n">
        <v>26.49</v>
      </c>
      <c r="GF500" s="43" t="n">
        <v>25.26</v>
      </c>
      <c r="GG500" s="43" t="n">
        <v>22.545</v>
      </c>
      <c r="GH500" s="43" t="n">
        <v>21.16</v>
      </c>
      <c r="GI500" s="43" t="n">
        <v>20.845</v>
      </c>
      <c r="GJ500" s="43" t="n">
        <v>19.835</v>
      </c>
      <c r="GK500" s="43" t="n">
        <v>18.685</v>
      </c>
      <c r="GL500" s="43" t="n">
        <v>17.72</v>
      </c>
      <c r="GM500" s="43" t="n">
        <v>17.295</v>
      </c>
      <c r="GN500" s="43" t="n">
        <v>17.16</v>
      </c>
      <c r="GO500" s="43" t="n">
        <v>17.1</v>
      </c>
      <c r="GP500" s="43" t="n">
        <v>17.845</v>
      </c>
      <c r="GQ500" s="43" t="n">
        <v>18.225</v>
      </c>
      <c r="GR500" s="43" t="n">
        <v>18.265</v>
      </c>
      <c r="GS500" s="43" t="n">
        <v>18.635</v>
      </c>
      <c r="GT500" s="43" t="n">
        <v>18.735</v>
      </c>
      <c r="GU500" s="43" t="n">
        <v>18.83</v>
      </c>
      <c r="GV500" s="43" t="n">
        <v>20.63</v>
      </c>
      <c r="GW500" s="43" t="n">
        <v>23.395</v>
      </c>
      <c r="GX500" s="43" t="n">
        <v>25.925</v>
      </c>
      <c r="HA500" s="35" t="n">
        <v>45</v>
      </c>
      <c r="HB500" s="35" t="n">
        <v>494</v>
      </c>
    </row>
    <row r="501" ht="15.5" customHeight="1">
      <c r="A501" s="10">
        <f>HOUR(G501)+1</f>
        <v/>
      </c>
      <c r="B501" s="7" t="n"/>
      <c r="C501" s="7" t="n"/>
      <c r="D501" s="85">
        <f>IFERROR(
IF(AND(OR(Planilla!B501="C",Planilla!B501="c"), VLOOKUP(E501,FD:FP,13,0)="C"), "OK",IF(AND(OR(Planilla!B501="C",Planilla!B501="c"), OR(VLOOKUP(E501,FD:FP,13,0)="B", VLOOKUP(E501,FD:FP,13,0)="A")), "DEFICIT",IF(
AND(OR(Planilla!B501="B", Planilla!B501="BPAL"), VLOOKUP(E501,FD:FP,13,0)="B"), "OK",IF(AND(OR(Planilla!B501="B", Planilla!B501="BPAL"), VLOOKUP(E501,FD:FP,13,0)="A"), "DEFICIT",IF(AND(OR(Planilla!B501="B", Planilla!B501="BPAL"), VLOOKUP(E501,FD:FP,13,0)="C"), "SOBREOFERTA",IF(AND(Planilla!B501="A", VLOOKUP(E501,FD:FP,13,0)="A"), "OK",IF(
AND(Planilla!B501="A", OR(VLOOKUP(E501,FD:FP,13,0)="B", VLOOKUP(E501,FD:FP,13,0)="C")), "SOBREOFERTA",""
))))))),"")</f>
        <v/>
      </c>
      <c r="E501" s="8" t="n"/>
      <c r="F501" s="86" t="n"/>
      <c r="G501" s="87" t="n"/>
      <c r="H501" s="88">
        <f>IF(I501="","",IF(AND((I501-G501)&gt;=TIME(0,0,0),(I501-G501)&lt;TIME(0,3,0)),"OK",IF(AND((I501-G501)&gt;=TIME(0,3,0),(I501-G501)&lt;TIME(0,5,0)),"RETRASO DE 3-5 MIN",IF(AND((I501-G501)&gt;=TIME(0,5,0),(I501-G501)&lt;TIME(0,10,0)),"RETRASO DE 5-10 MIN",IF((I501-G501)&gt;=TIME(0,10,0),"RETRASO &gt;10 MIN", IF(AND((G501-I501)&gt;=TIME(0,0,0),(G501-I501)&lt;TIME(0,3,0)),"OK",IF((G501-I501)&gt;=TIME(0,3,0),"ADELANTADO")))))))</f>
        <v/>
      </c>
      <c r="I501" s="89" t="n"/>
      <c r="J501" s="89">
        <f>IF(A501&lt;&gt;"",HLOOKUP(VALUE(TEXT(G501,"h:mm:ss")),IF($C$6="Laboral",$FZ$4:$GX$227,IF($C$6="Sábado",$FZ$231:$GX$452,$FZ$456:$GX$656)),VLOOKUP($C$4,$HF$2:$HH$99,3,0)+IF(C$5="Ida",0,1),1),"")</f>
        <v/>
      </c>
      <c r="K501" s="89">
        <f>IF(A502&lt;&gt;A501,AVERAGEIF(A$9:A501,A501,J$9:J501),"")</f>
        <v/>
      </c>
      <c r="L501" s="89">
        <f>IFERROR(IF(A502&lt;&gt;A501,AVERAGEIF(A$9:A501,A501,S$9:S501),""),"")</f>
        <v/>
      </c>
      <c r="M501" s="89">
        <f>IFERROR(IF(A502&lt;&gt;A501,AVERAGEIF(A$9:A501,A501,T$9:T501),""),"")</f>
        <v/>
      </c>
      <c r="N501" s="89">
        <f t="array" ref="N501">IFERROR(IF(A502&lt;&gt;A501,_xlfn.STDEV.P(IF(A$9:A501=A501,T$9:T501)),""),"")</f>
        <v/>
      </c>
      <c r="O501" s="89">
        <f t="array" ref="O501">IFERROR(IF(A502&lt;&gt;A501,_xlfn.STDEV.P(IF(A$9:A501=A501,S$9:S501)),""),"")</f>
        <v/>
      </c>
      <c r="P501" s="90">
        <f>IFERROR(IF(A501&lt;&gt;A502,MAX((((M501*24*60)/2)*(1+POWER((((N501*24*60) / (M501*24*60) )),2))) + ((M501*24*60 )*-0.1 + (K501*0.015)) +1,(((M501*24*60)/2)*(1+POWER((((N501*24*60) / (M501*24*60 ))),2)))),""),"")</f>
        <v/>
      </c>
      <c r="Q501" s="90">
        <f>IF(AND(O501&lt;&gt;"",L501&lt;&gt;""),IF(A501&lt;&gt;A502,((L501*24*60) / 2 ) * (1 + POWER(((O501*24*60) / (L501*24*60)),2)),""),"")</f>
        <v/>
      </c>
      <c r="R501" s="90">
        <f>IF(Q501&lt;&gt;"",MAX(P501,Q501),"")</f>
        <v/>
      </c>
      <c r="S501" s="89">
        <f>IF(I501&lt;&gt;"H. Sale Real",IF(AND(I502&lt;&gt;"",LEFT(C502,2)&lt;&gt;"Va"),IF(AND(I501&lt;&gt;"",LEFT(C501,2)&lt;&gt;"Va",I501&lt;&gt;"H. Sale Real"),IF(I502-I501&lt;0.208333333333333,I502-I501,""),IF(AND(I500&lt;&gt;"",LEFT(C500,2)&lt;&gt;"Va",I500&lt;&gt;"H. Sale Real"),IF(I502-I500&lt;0.208333333333333,I502-I500,""),IF(AND(I499&lt;&gt;"",LEFT(C499,2)&lt;&gt;"Va",I499&lt;&gt;"H. Sale Real"),IF(I502-I499&lt;0.208333333333333,I502-I499,""),IF(AND(I498&lt;&gt;"",LEFT(C498,2)&lt;&gt;"Va",I498&lt;&gt;"H. Sale Real"),IF(I502-I498&lt;0.208333333333333,I502-I498,""),IF(AND(I497&lt;&gt;"",LEFT(C497,2)&lt;&gt;"Va",I497&lt;&gt;"H. Sale Real"),IF(I502-I497&lt;0.208333333333333,I502-I497,""),""))))),""),"")</f>
        <v/>
      </c>
      <c r="T501" s="89">
        <f>IF(G501&lt;&gt;"H. Sale Real",IF(AND(G502&lt;&gt;"",LEFT(C502,2)&lt;&gt;"Va"),IF(AND(G501&lt;&gt;"",LEFT(C501,2)&lt;&gt;"Va",G501&lt;&gt;"H. Sale Real"),IF(G502-G501&lt;0.208333333333333,G502-G501,""),IF(AND(G500&lt;&gt;"",LEFT(C500,2)&lt;&gt;"Va",G500&lt;&gt;"H. Sale Real"),IF(G502-G500&lt;0.208333333333333,G502-G500,""),IF(AND(G499&lt;&gt;"",LEFT(C499,2)&lt;&gt;"Va",G499&lt;&gt;"H. Sale Real"),IF(G502-G499&lt;0.208333333333333,G502-G499,""),IF(AND(G498&lt;&gt;"",LEFT(C498,2)&lt;&gt;"Va",G498&lt;&gt;"H. Sale Real"),IF(G502-G498&lt;0.208333333333333,G502-G498,""),IF(AND(G497&lt;&gt;"",LEFT(C497,2)&lt;&gt;"Va",G497&lt;&gt;"H. Sale Real"),IF(G502-G497&lt;0.208333333333333,G502-G497,""),""))))),""),"")</f>
        <v/>
      </c>
      <c r="U501" s="87" t="n"/>
      <c r="V501" s="89" t="n"/>
      <c r="W501" s="87" t="n"/>
      <c r="X501" s="89" t="n"/>
      <c r="Y501" s="91" t="n"/>
      <c r="Z501" s="122">
        <f>IF(G501&lt;&gt;"",IF(AND(Z500&lt;&gt;"IE",P501&lt;&gt;0,R501&lt;&gt;""),IF(IFERROR((P501/R501),0) &lt;=1,IFERROR(P501/R501,""),1),""),"")</f>
        <v/>
      </c>
      <c r="AA501" s="93" t="n"/>
      <c r="AB501" s="2" t="n"/>
      <c r="AE501" s="10">
        <f>HOUR(AK501)+1</f>
        <v/>
      </c>
      <c r="AF501" s="7" t="n"/>
      <c r="AG501" s="7" t="n"/>
      <c r="AH501" s="86" t="n"/>
      <c r="AI501" s="8" t="n"/>
      <c r="AJ501" s="86" t="n"/>
      <c r="AK501" s="87" t="n"/>
      <c r="AL501" s="88">
        <f>IF(AM501="","",IF(AND((AM501-AK501)&gt;=TIME(0,0,0),(AM501-AK501)&lt;TIME(0,3,0)),"OK",IF(AND((AM501-AK501)&gt;=TIME(0,3,0),(AM501-AK501)&lt;TIME(0,5,0)),"RETRASO DE 3-5 MIN",IF(AND((AM501-AK501)&gt;=TIME(0,5,0),(AM501-AK501)&lt;TIME(0,10,0)),"RETRASO DE 5-10 MIN",IF((AM501-AK501)&gt;=TIME(0,10,0),"RETRASO &gt;10 MIN", IF(AND((AK501-AM501)&gt;=TIME(0,0,0),(AK501-AM501)&lt;TIME(0,3,0)),"OK",IF((AK501-AM501)&gt;=TIME(0,3,0),"ADELANTADO")))))))</f>
        <v/>
      </c>
      <c r="AM501" s="91" t="n"/>
      <c r="AN501" s="89">
        <f>IF(AE501&lt;&gt;"",HLOOKUP(VALUE(TEXT(AK501,"h:mm:ss")),IF($C$6="Laboral",$FZ$4:$GX$227,IF($C$6="Sábado",$FZ$231:$GX$452,$FZ$456:$GX$656)),VLOOKUP($C$4,$HF$2:$HH$99,3,0)+IF(AG$5="Ida",0,1),1),"")</f>
        <v/>
      </c>
      <c r="AO501" s="89">
        <f>IF(AE502&lt;&gt;AE501,AVERAGEIF(AE$9:AE501,AE501,AN$9:AN501),"")</f>
        <v/>
      </c>
      <c r="AP501" s="89">
        <f>IFERROR(IF(AE502&lt;&gt;AE501,AVERAGEIF(AE$9:AE501,AE501,AW$9:AW501),""),"")</f>
        <v/>
      </c>
      <c r="AQ501" s="89">
        <f>IFERROR(IF(AE502&lt;&gt;AE501,AVERAGEIF(AE$9:AE501,AE501,AX$9:AX501),""),"")</f>
        <v/>
      </c>
      <c r="AR501" s="89">
        <f t="array" ref="AR501">IFERROR(IF(AE502&lt;&gt;AE501,_xlfn.STDEV.P(IF(AE$9:AE501=AE501,AX$9:AX501)),""),"")</f>
        <v/>
      </c>
      <c r="AS501" s="89">
        <f t="array" ref="AS501">IFERROR(IF(AE502&lt;&gt;AE501,_xlfn.STDEV.P(IF(AE$9:AE501=AE501,AW$9:AW501)),""),"")</f>
        <v/>
      </c>
      <c r="AT501" s="90">
        <f>IFERROR(IF(AE501&lt;&gt;AE502,MAX((((AQ501*24*60)/2)*(1+POWER((((AR501*24*60) / (AQ501*24*60) )),2))) + ((AQ501*24*60 )*-0.1 + (AO501*0.015)) +1,(((AQ501*24*60)/2)*(1+POWER((((AR501*24*60) / (AQ501*24*60 ))),2)))),""),"")</f>
        <v/>
      </c>
      <c r="AU501" s="90">
        <f>IF(AND(AS501&lt;&gt;"",AP501&lt;&gt;""),IF(AE501&lt;&gt;AE502,((AP501*24*60) / 2 ) * (1 + POWER(((AS501*24*60) / (AP501*24*60)),2)),""),"")</f>
        <v/>
      </c>
      <c r="AV501" s="90">
        <f>IF(AU501&lt;&gt;"",MAX(AT501,AU501),"")</f>
        <v/>
      </c>
      <c r="AW501" s="89">
        <f>IF(AM501&lt;&gt;"H. Sale Real",IF(AND(AM502&lt;&gt;"",LEFT(AG502,2)&lt;&gt;"Va"),IF(AND(AM501&lt;&gt;"",LEFT(AG501,2)&lt;&gt;"Va",AM501&lt;&gt;"H. Sale Real"),IF(AM502-AM501&lt;0.208333333333333,AM502-AM501,""),IF(AND(AM500&lt;&gt;"",LEFT(AG500,2)&lt;&gt;"Va",AM500&lt;&gt;"H. Sale Real"),IF(AM502-AM500&lt;0.208333333333333,AM502-AM500,""),IF(AND(AM499&lt;&gt;"",LEFT(AG499,2)&lt;&gt;"Va",AM499&lt;&gt;"H. Sale Real"),IF(AM502-AM499&lt;0.208333333333333,AM502-AM499,""),IF(AND(AM498&lt;&gt;"",LEFT(AG498,2)&lt;&gt;"Va",AM498&lt;&gt;"H. Sale Real"),IF(AM502-AM498&lt;0.208333333333333,AM502-AM498,""),IF(AND(AM497&lt;&gt;"",LEFT(AG497,2)&lt;&gt;"Va",AM497&lt;&gt;"H. Sale Real"),IF(AM502-AM497&lt;0.208333333333333,AM502-AM497,""),""))))),""),"")</f>
        <v/>
      </c>
      <c r="AX501" s="89">
        <f>IF(AK501&lt;&gt;"H. Sale Real",IF(AND(AK502&lt;&gt;"",LEFT(AG502,2)&lt;&gt;"Va"),IF(AND(AK501&lt;&gt;"",LEFT(AG501,2)&lt;&gt;"Va",AK501&lt;&gt;"H. Sale Real"),IF(AK502-AK501&lt;0.208333333333333,AK502-AK501,""),IF(AND(AK500&lt;&gt;"",LEFT(AG500,2)&lt;&gt;"Va",AK500&lt;&gt;"H. Sale Real"),IF(AK502-AK500&lt;0.208333333333333,AK502-AK500,""),IF(AND(AK499&lt;&gt;"",LEFT(AG499,2)&lt;&gt;"NC",AK499&lt;&gt;"H. Sale Real"),IF(AK502-AK499&lt;0.208333333333333,AK502-AK499,""),IF(AND(AK498&lt;&gt;"",LEFT(AG498,2)&lt;&gt;"Va",AK498&lt;&gt;"H. Sale Real"),IF(AK502-AK498&lt;0.208333333333333,AK502-AK498,""),IF(AND(AK497&lt;&gt;"",LEFT(AG497,2)&lt;&gt;"Va",AK497&lt;&gt;"H. Sale Real"),IF(AK502-AK497&lt;0.208333333333333,AK502-AK497,""),""))))),""),"")</f>
        <v/>
      </c>
      <c r="AY501" s="87" t="n"/>
      <c r="AZ501" s="89" t="n"/>
      <c r="BA501" s="87" t="n"/>
      <c r="BB501" s="89" t="n"/>
      <c r="BC501" s="91" t="n"/>
      <c r="BD501" s="122">
        <f>IF(AK501&lt;&gt;"",IF(AND(BD500&lt;&gt;"IE",AT501&lt;&gt;0,AV501&lt;&gt;""),IF(IFERROR((AT501/AV501),0) &lt;=1,IFERROR(AT501/AV501,""),1),""),"")</f>
        <v/>
      </c>
      <c r="BE501" s="93" t="n"/>
      <c r="BF501" s="105" t="n"/>
      <c r="FC501" t="inlineStr">
        <is>
          <t>Diccionario 1</t>
        </is>
      </c>
      <c r="FD501" s="15" t="inlineStr"/>
      <c r="FE501" s="17" t="inlineStr">
        <is>
          <t>LDYECS311S0044157</t>
        </is>
      </c>
      <c r="FF501" s="18" t="inlineStr">
        <is>
          <t>MDN35025020182</t>
        </is>
      </c>
      <c r="FG501" s="18" t="inlineStr">
        <is>
          <t>Zhong Thong</t>
        </is>
      </c>
      <c r="FH501" s="18" t="inlineStr">
        <is>
          <t>Lck6122evg</t>
        </is>
      </c>
      <c r="FI501" s="18" t="inlineStr">
        <is>
          <t>Zhong Thong</t>
        </is>
      </c>
      <c r="FJ501" s="18" t="inlineStr">
        <is>
          <t>Lck6122evg</t>
        </is>
      </c>
      <c r="FK501" s="18" t="n">
        <v>2026</v>
      </c>
      <c r="FL501" s="18" t="inlineStr">
        <is>
          <t>B</t>
        </is>
      </c>
      <c r="FM501" s="18" t="inlineStr">
        <is>
          <t>Lo Blanco</t>
        </is>
      </c>
      <c r="FP501" t="inlineStr">
        <is>
          <t>B</t>
        </is>
      </c>
      <c r="FS501" s="14" t="inlineStr">
        <is>
          <t>LZPT-66|</t>
        </is>
      </c>
      <c r="FT501" t="inlineStr">
        <is>
          <t>LZPT-66|</t>
        </is>
      </c>
      <c r="FU501" t="inlineStr">
        <is>
          <t>LZPT-66</t>
        </is>
      </c>
      <c r="FV501">
        <f>VLOOKUP(FU501,FD:FL,9,0)</f>
        <v/>
      </c>
      <c r="FZ501" s="51" t="inlineStr">
        <is>
          <t>F06</t>
        </is>
      </c>
      <c r="GA501" s="43" t="n">
        <v>27.505</v>
      </c>
      <c r="GB501" s="43" t="n">
        <v>0</v>
      </c>
      <c r="GC501" s="43" t="n">
        <v>0</v>
      </c>
      <c r="GD501" s="43" t="n">
        <v>0</v>
      </c>
      <c r="GE501" s="43" t="n">
        <v>0</v>
      </c>
      <c r="GF501" s="43" t="n">
        <v>12.395</v>
      </c>
      <c r="GG501" s="43" t="n">
        <v>24.91</v>
      </c>
      <c r="GH501" s="43" t="n">
        <v>23.7</v>
      </c>
      <c r="GI501" s="43" t="n">
        <v>22.35</v>
      </c>
      <c r="GJ501" s="43" t="n">
        <v>21.06</v>
      </c>
      <c r="GK501" s="43" t="n">
        <v>19.945</v>
      </c>
      <c r="GL501" s="43" t="n">
        <v>18.84</v>
      </c>
      <c r="GM501" s="43" t="n">
        <v>18.215</v>
      </c>
      <c r="GN501" s="43" t="n">
        <v>18.16</v>
      </c>
      <c r="GO501" s="43" t="n">
        <v>18.425</v>
      </c>
      <c r="GP501" s="43" t="n">
        <v>18.485</v>
      </c>
      <c r="GQ501" s="43" t="n">
        <v>18.21</v>
      </c>
      <c r="GR501" s="43" t="n">
        <v>17.74</v>
      </c>
      <c r="GS501" s="43" t="n">
        <v>17.055</v>
      </c>
      <c r="GT501" s="43" t="n">
        <v>17.535</v>
      </c>
      <c r="GU501" s="43" t="n">
        <v>18.55</v>
      </c>
      <c r="GV501" s="43" t="n">
        <v>19.285</v>
      </c>
      <c r="GW501" s="43" t="n">
        <v>21.155</v>
      </c>
      <c r="GX501" s="43" t="n">
        <v>24.185</v>
      </c>
      <c r="HA501" s="35" t="n">
        <v>46</v>
      </c>
      <c r="HB501" s="35" t="n">
        <v>495</v>
      </c>
    </row>
    <row r="502" ht="15.5" customHeight="1">
      <c r="A502" s="10">
        <f>HOUR(G502)+1</f>
        <v/>
      </c>
      <c r="B502" s="7" t="n"/>
      <c r="C502" s="7" t="n"/>
      <c r="D502" s="85">
        <f>IFERROR(
IF(AND(OR(Planilla!B502="C",Planilla!B502="c"), VLOOKUP(E502,FD:FP,13,0)="C"), "OK",IF(AND(OR(Planilla!B502="C",Planilla!B502="c"), OR(VLOOKUP(E502,FD:FP,13,0)="B", VLOOKUP(E502,FD:FP,13,0)="A")), "DEFICIT",IF(
AND(OR(Planilla!B502="B", Planilla!B502="BPAL"), VLOOKUP(E502,FD:FP,13,0)="B"), "OK",IF(AND(OR(Planilla!B502="B", Planilla!B502="BPAL"), VLOOKUP(E502,FD:FP,13,0)="A"), "DEFICIT",IF(AND(OR(Planilla!B502="B", Planilla!B502="BPAL"), VLOOKUP(E502,FD:FP,13,0)="C"), "SOBREOFERTA",IF(AND(Planilla!B502="A", VLOOKUP(E502,FD:FP,13,0)="A"), "OK",IF(
AND(Planilla!B502="A", OR(VLOOKUP(E502,FD:FP,13,0)="B", VLOOKUP(E502,FD:FP,13,0)="C")), "SOBREOFERTA",""
))))))),"")</f>
        <v/>
      </c>
      <c r="E502" s="8" t="n"/>
      <c r="F502" s="86" t="n"/>
      <c r="G502" s="87" t="n"/>
      <c r="H502" s="88">
        <f>IF(I502="","",IF(AND((I502-G502)&gt;=TIME(0,0,0),(I502-G502)&lt;TIME(0,3,0)),"OK",IF(AND((I502-G502)&gt;=TIME(0,3,0),(I502-G502)&lt;TIME(0,5,0)),"RETRASO DE 3-5 MIN",IF(AND((I502-G502)&gt;=TIME(0,5,0),(I502-G502)&lt;TIME(0,10,0)),"RETRASO DE 5-10 MIN",IF((I502-G502)&gt;=TIME(0,10,0),"RETRASO &gt;10 MIN", IF(AND((G502-I502)&gt;=TIME(0,0,0),(G502-I502)&lt;TIME(0,3,0)),"OK",IF((G502-I502)&gt;=TIME(0,3,0),"ADELANTADO")))))))</f>
        <v/>
      </c>
      <c r="I502" s="89" t="n"/>
      <c r="J502" s="89">
        <f>IF(A502&lt;&gt;"",HLOOKUP(VALUE(TEXT(G502,"h:mm:ss")),IF($C$6="Laboral",$FZ$4:$GX$227,IF($C$6="Sábado",$FZ$231:$GX$452,$FZ$456:$GX$656)),VLOOKUP($C$4,$HF$2:$HH$99,3,0)+IF(C$5="Ida",0,1),1),"")</f>
        <v/>
      </c>
      <c r="K502" s="89">
        <f>IF(A503&lt;&gt;A502,AVERAGEIF(A$9:A502,A502,J$9:J502),"")</f>
        <v/>
      </c>
      <c r="L502" s="89">
        <f>IFERROR(IF(A503&lt;&gt;A502,AVERAGEIF(A$9:A502,A502,S$9:S502),""),"")</f>
        <v/>
      </c>
      <c r="M502" s="89">
        <f>IFERROR(IF(A503&lt;&gt;A502,AVERAGEIF(A$9:A502,A502,T$9:T502),""),"")</f>
        <v/>
      </c>
      <c r="N502" s="89">
        <f t="array" ref="N502">IFERROR(IF(A503&lt;&gt;A502,_xlfn.STDEV.P(IF(A$9:A502=A502,T$9:T502)),""),"")</f>
        <v/>
      </c>
      <c r="O502" s="89">
        <f t="array" ref="O502">IFERROR(IF(A503&lt;&gt;A502,_xlfn.STDEV.P(IF(A$9:A502=A502,S$9:S502)),""),"")</f>
        <v/>
      </c>
      <c r="P502" s="90">
        <f>IFERROR(IF(A502&lt;&gt;A503,MAX((((M502*24*60)/2)*(1+POWER((((N502*24*60) / (M502*24*60) )),2))) + ((M502*24*60 )*-0.1 + (K502*0.015)) +1,(((M502*24*60)/2)*(1+POWER((((N502*24*60) / (M502*24*60 ))),2)))),""),"")</f>
        <v/>
      </c>
      <c r="Q502" s="90">
        <f>IF(AND(O502&lt;&gt;"",L502&lt;&gt;""),IF(A502&lt;&gt;A503,((L502*24*60) / 2 ) * (1 + POWER(((O502*24*60) / (L502*24*60)),2)),""),"")</f>
        <v/>
      </c>
      <c r="R502" s="90">
        <f>IF(Q502&lt;&gt;"",MAX(P502,Q502),"")</f>
        <v/>
      </c>
      <c r="S502" s="89">
        <f>IF(I502&lt;&gt;"H. Sale Real",IF(AND(I503&lt;&gt;"",LEFT(C503,2)&lt;&gt;"Va"),IF(AND(I502&lt;&gt;"",LEFT(C502,2)&lt;&gt;"Va",I502&lt;&gt;"H. Sale Real"),IF(I503-I502&lt;0.208333333333333,I503-I502,""),IF(AND(I501&lt;&gt;"",LEFT(C501,2)&lt;&gt;"Va",I501&lt;&gt;"H. Sale Real"),IF(I503-I501&lt;0.208333333333333,I503-I501,""),IF(AND(I500&lt;&gt;"",LEFT(C500,2)&lt;&gt;"Va",I500&lt;&gt;"H. Sale Real"),IF(I503-I500&lt;0.208333333333333,I503-I500,""),IF(AND(I499&lt;&gt;"",LEFT(C499,2)&lt;&gt;"Va",I499&lt;&gt;"H. Sale Real"),IF(I503-I499&lt;0.208333333333333,I503-I499,""),IF(AND(I498&lt;&gt;"",LEFT(C498,2)&lt;&gt;"Va",I498&lt;&gt;"H. Sale Real"),IF(I503-I498&lt;0.208333333333333,I503-I498,""),""))))),""),"")</f>
        <v/>
      </c>
      <c r="T502" s="89">
        <f>IF(G502&lt;&gt;"H. Sale Real",IF(AND(G503&lt;&gt;"",LEFT(C503,2)&lt;&gt;"Va"),IF(AND(G502&lt;&gt;"",LEFT(C502,2)&lt;&gt;"Va",G502&lt;&gt;"H. Sale Real"),IF(G503-G502&lt;0.208333333333333,G503-G502,""),IF(AND(G501&lt;&gt;"",LEFT(C501,2)&lt;&gt;"Va",G501&lt;&gt;"H. Sale Real"),IF(G503-G501&lt;0.208333333333333,G503-G501,""),IF(AND(G500&lt;&gt;"",LEFT(C500,2)&lt;&gt;"Va",G500&lt;&gt;"H. Sale Real"),IF(G503-G500&lt;0.208333333333333,G503-G500,""),IF(AND(G499&lt;&gt;"",LEFT(C499,2)&lt;&gt;"Va",G499&lt;&gt;"H. Sale Real"),IF(G503-G499&lt;0.208333333333333,G503-G499,""),IF(AND(G498&lt;&gt;"",LEFT(C498,2)&lt;&gt;"Va",G498&lt;&gt;"H. Sale Real"),IF(G503-G498&lt;0.208333333333333,G503-G498,""),""))))),""),"")</f>
        <v/>
      </c>
      <c r="U502" s="87" t="n"/>
      <c r="V502" s="89" t="n"/>
      <c r="W502" s="87" t="n"/>
      <c r="X502" s="89" t="n"/>
      <c r="Y502" s="91" t="n"/>
      <c r="Z502" s="122">
        <f>IF(G502&lt;&gt;"",IF(AND(Z501&lt;&gt;"IE",P502&lt;&gt;0,R502&lt;&gt;""),IF(IFERROR((P502/R502),0) &lt;=1,IFERROR(P502/R502,""),1),""),"")</f>
        <v/>
      </c>
      <c r="AA502" s="93" t="n"/>
      <c r="AB502" s="2" t="n"/>
      <c r="AE502" s="10">
        <f>HOUR(AK502)+1</f>
        <v/>
      </c>
      <c r="AF502" s="7" t="n"/>
      <c r="AG502" s="7" t="n"/>
      <c r="AH502" s="86" t="n"/>
      <c r="AI502" s="8" t="n"/>
      <c r="AJ502" s="86" t="n"/>
      <c r="AK502" s="87" t="n"/>
      <c r="AL502" s="88">
        <f>IF(AM502="","",IF(AND((AM502-AK502)&gt;=TIME(0,0,0),(AM502-AK502)&lt;TIME(0,3,0)),"OK",IF(AND((AM502-AK502)&gt;=TIME(0,3,0),(AM502-AK502)&lt;TIME(0,5,0)),"RETRASO DE 3-5 MIN",IF(AND((AM502-AK502)&gt;=TIME(0,5,0),(AM502-AK502)&lt;TIME(0,10,0)),"RETRASO DE 5-10 MIN",IF((AM502-AK502)&gt;=TIME(0,10,0),"RETRASO &gt;10 MIN", IF(AND((AK502-AM502)&gt;=TIME(0,0,0),(AK502-AM502)&lt;TIME(0,3,0)),"OK",IF((AK502-AM502)&gt;=TIME(0,3,0),"ADELANTADO")))))))</f>
        <v/>
      </c>
      <c r="AM502" s="91" t="n"/>
      <c r="AN502" s="89">
        <f>IF(AE502&lt;&gt;"",HLOOKUP(VALUE(TEXT(AK502,"h:mm:ss")),IF($C$6="Laboral",$FZ$4:$GX$227,IF($C$6="Sábado",$FZ$231:$GX$452,$FZ$456:$GX$656)),VLOOKUP($C$4,$HF$2:$HH$99,3,0)+IF(AG$5="Ida",0,1),1),"")</f>
        <v/>
      </c>
      <c r="AO502" s="89">
        <f>IF(AE503&lt;&gt;AE502,AVERAGEIF(AE$9:AE502,AE502,AN$9:AN502),"")</f>
        <v/>
      </c>
      <c r="AP502" s="89">
        <f>IFERROR(IF(AE503&lt;&gt;AE502,AVERAGEIF(AE$9:AE502,AE502,AW$9:AW502),""),"")</f>
        <v/>
      </c>
      <c r="AQ502" s="89">
        <f>IFERROR(IF(AE503&lt;&gt;AE502,AVERAGEIF(AE$9:AE502,AE502,AX$9:AX502),""),"")</f>
        <v/>
      </c>
      <c r="AR502" s="89">
        <f t="array" ref="AR502">IFERROR(IF(AE503&lt;&gt;AE502,_xlfn.STDEV.P(IF(AE$9:AE502=AE502,AX$9:AX502)),""),"")</f>
        <v/>
      </c>
      <c r="AS502" s="89">
        <f t="array" ref="AS502">IFERROR(IF(AE503&lt;&gt;AE502,_xlfn.STDEV.P(IF(AE$9:AE502=AE502,AW$9:AW502)),""),"")</f>
        <v/>
      </c>
      <c r="AT502" s="90">
        <f>IFERROR(IF(AE502&lt;&gt;AE503,MAX((((AQ502*24*60)/2)*(1+POWER((((AR502*24*60) / (AQ502*24*60) )),2))) + ((AQ502*24*60 )*-0.1 + (AO502*0.015)) +1,(((AQ502*24*60)/2)*(1+POWER((((AR502*24*60) / (AQ502*24*60 ))),2)))),""),"")</f>
        <v/>
      </c>
      <c r="AU502" s="90">
        <f>IF(AND(AS502&lt;&gt;"",AP502&lt;&gt;""),IF(AE502&lt;&gt;AE503,((AP502*24*60) / 2 ) * (1 + POWER(((AS502*24*60) / (AP502*24*60)),2)),""),"")</f>
        <v/>
      </c>
      <c r="AV502" s="90">
        <f>IF(AU502&lt;&gt;"",MAX(AT502,AU502),"")</f>
        <v/>
      </c>
      <c r="AW502" s="89">
        <f>IF(AM502&lt;&gt;"H. Sale Real",IF(AND(AM503&lt;&gt;"",LEFT(AG503,2)&lt;&gt;"Va"),IF(AND(AM502&lt;&gt;"",LEFT(AG502,2)&lt;&gt;"Va",AM502&lt;&gt;"H. Sale Real"),IF(AM503-AM502&lt;0.208333333333333,AM503-AM502,""),IF(AND(AM501&lt;&gt;"",LEFT(AG501,2)&lt;&gt;"Va",AM501&lt;&gt;"H. Sale Real"),IF(AM503-AM501&lt;0.208333333333333,AM503-AM501,""),IF(AND(AM500&lt;&gt;"",LEFT(AG500,2)&lt;&gt;"Va",AM500&lt;&gt;"H. Sale Real"),IF(AM503-AM500&lt;0.208333333333333,AM503-AM500,""),IF(AND(AM499&lt;&gt;"",LEFT(AG499,2)&lt;&gt;"Va",AM499&lt;&gt;"H. Sale Real"),IF(AM503-AM499&lt;0.208333333333333,AM503-AM499,""),IF(AND(AM498&lt;&gt;"",LEFT(AG498,2)&lt;&gt;"Va",AM498&lt;&gt;"H. Sale Real"),IF(AM503-AM498&lt;0.208333333333333,AM503-AM498,""),""))))),""),"")</f>
        <v/>
      </c>
      <c r="AX502" s="89">
        <f>IF(AK502&lt;&gt;"H. Sale Real",IF(AND(AK503&lt;&gt;"",LEFT(AG503,2)&lt;&gt;"Va"),IF(AND(AK502&lt;&gt;"",LEFT(AG502,2)&lt;&gt;"Va",AK502&lt;&gt;"H. Sale Real"),IF(AK503-AK502&lt;0.208333333333333,AK503-AK502,""),IF(AND(AK501&lt;&gt;"",LEFT(AG501,2)&lt;&gt;"Va",AK501&lt;&gt;"H. Sale Real"),IF(AK503-AK501&lt;0.208333333333333,AK503-AK501,""),IF(AND(AK500&lt;&gt;"",LEFT(AG500,2)&lt;&gt;"NC",AK500&lt;&gt;"H. Sale Real"),IF(AK503-AK500&lt;0.208333333333333,AK503-AK500,""),IF(AND(AK499&lt;&gt;"",LEFT(AG499,2)&lt;&gt;"Va",AK499&lt;&gt;"H. Sale Real"),IF(AK503-AK499&lt;0.208333333333333,AK503-AK499,""),IF(AND(AK498&lt;&gt;"",LEFT(AG498,2)&lt;&gt;"Va",AK498&lt;&gt;"H. Sale Real"),IF(AK503-AK498&lt;0.208333333333333,AK503-AK498,""),""))))),""),"")</f>
        <v/>
      </c>
      <c r="AY502" s="87" t="n"/>
      <c r="AZ502" s="89" t="n"/>
      <c r="BA502" s="87" t="n"/>
      <c r="BB502" s="89" t="n"/>
      <c r="BC502" s="91" t="n"/>
      <c r="BD502" s="122">
        <f>IF(AK502&lt;&gt;"",IF(AND(BD501&lt;&gt;"IE",AT502&lt;&gt;0,AV502&lt;&gt;""),IF(IFERROR((AT502/AV502),0) &lt;=1,IFERROR(AT502/AV502,""),1),""),"")</f>
        <v/>
      </c>
      <c r="BE502" s="93" t="n"/>
      <c r="BF502" s="105" t="n"/>
      <c r="FC502" t="inlineStr">
        <is>
          <t>Diccionario 1</t>
        </is>
      </c>
      <c r="FD502" s="15" t="inlineStr"/>
      <c r="FE502" s="17" t="inlineStr">
        <is>
          <t>LDYECS319S0044150</t>
        </is>
      </c>
      <c r="FF502" s="18" t="inlineStr">
        <is>
          <t>MDN35025030054</t>
        </is>
      </c>
      <c r="FG502" s="18" t="inlineStr">
        <is>
          <t>Zhong Thong</t>
        </is>
      </c>
      <c r="FH502" s="18" t="inlineStr">
        <is>
          <t>Lck6122evg</t>
        </is>
      </c>
      <c r="FI502" s="18" t="inlineStr">
        <is>
          <t>Zhong Thong</t>
        </is>
      </c>
      <c r="FJ502" s="18" t="inlineStr">
        <is>
          <t>Lck6122evg</t>
        </is>
      </c>
      <c r="FK502" s="18" t="n">
        <v>2026</v>
      </c>
      <c r="FL502" s="18" t="inlineStr">
        <is>
          <t>B</t>
        </is>
      </c>
      <c r="FM502" s="18" t="inlineStr">
        <is>
          <t>Lo Blanco</t>
        </is>
      </c>
      <c r="FP502" t="inlineStr">
        <is>
          <t>B</t>
        </is>
      </c>
      <c r="FS502" s="14" t="inlineStr">
        <is>
          <t>LZPR-83|</t>
        </is>
      </c>
      <c r="FT502" t="inlineStr">
        <is>
          <t>LZPR-83|</t>
        </is>
      </c>
      <c r="FU502" t="inlineStr">
        <is>
          <t>LZPR-83</t>
        </is>
      </c>
      <c r="FV502">
        <f>VLOOKUP(FU502,FD:FL,9,0)</f>
        <v/>
      </c>
      <c r="FZ502" s="51" t="inlineStr">
        <is>
          <t>F06</t>
        </is>
      </c>
      <c r="GA502" s="43" t="n">
        <v>0</v>
      </c>
      <c r="GB502" s="43" t="n">
        <v>0</v>
      </c>
      <c r="GC502" s="43" t="n">
        <v>0</v>
      </c>
      <c r="GD502" s="43" t="n">
        <v>0</v>
      </c>
      <c r="GE502" s="43" t="n">
        <v>14.24</v>
      </c>
      <c r="GF502" s="43" t="n">
        <v>26.88</v>
      </c>
      <c r="GG502" s="43" t="n">
        <v>24.365</v>
      </c>
      <c r="GH502" s="43" t="n">
        <v>22.51</v>
      </c>
      <c r="GI502" s="43" t="n">
        <v>21.645</v>
      </c>
      <c r="GJ502" s="43" t="n">
        <v>20.65</v>
      </c>
      <c r="GK502" s="43" t="n">
        <v>19.72</v>
      </c>
      <c r="GL502" s="43" t="n">
        <v>18.905</v>
      </c>
      <c r="GM502" s="43" t="n">
        <v>17.64</v>
      </c>
      <c r="GN502" s="43" t="n">
        <v>17.375</v>
      </c>
      <c r="GO502" s="43" t="n">
        <v>17.75</v>
      </c>
      <c r="GP502" s="43" t="n">
        <v>18.005</v>
      </c>
      <c r="GQ502" s="43" t="n">
        <v>17.39</v>
      </c>
      <c r="GR502" s="43" t="n">
        <v>17.23</v>
      </c>
      <c r="GS502" s="43" t="n">
        <v>17.73</v>
      </c>
      <c r="GT502" s="43" t="n">
        <v>18.165</v>
      </c>
      <c r="GU502" s="43" t="n">
        <v>18.525</v>
      </c>
      <c r="GV502" s="43" t="n">
        <v>20.535</v>
      </c>
      <c r="GW502" s="43" t="n">
        <v>23.21</v>
      </c>
      <c r="GX502" s="43" t="n">
        <v>24.845</v>
      </c>
      <c r="HA502" s="35" t="n">
        <v>47</v>
      </c>
      <c r="HB502" s="35" t="n">
        <v>496</v>
      </c>
    </row>
    <row r="503" ht="15.5" customHeight="1">
      <c r="A503" s="10">
        <f>HOUR(G503)+1</f>
        <v/>
      </c>
      <c r="B503" s="7" t="n"/>
      <c r="C503" s="7" t="n"/>
      <c r="D503" s="85">
        <f>IFERROR(
IF(AND(OR(Planilla!B503="C",Planilla!B503="c"), VLOOKUP(E503,FD:FP,13,0)="C"), "OK",IF(AND(OR(Planilla!B503="C",Planilla!B503="c"), OR(VLOOKUP(E503,FD:FP,13,0)="B", VLOOKUP(E503,FD:FP,13,0)="A")), "DEFICIT",IF(
AND(OR(Planilla!B503="B", Planilla!B503="BPAL"), VLOOKUP(E503,FD:FP,13,0)="B"), "OK",IF(AND(OR(Planilla!B503="B", Planilla!B503="BPAL"), VLOOKUP(E503,FD:FP,13,0)="A"), "DEFICIT",IF(AND(OR(Planilla!B503="B", Planilla!B503="BPAL"), VLOOKUP(E503,FD:FP,13,0)="C"), "SOBREOFERTA",IF(AND(Planilla!B503="A", VLOOKUP(E503,FD:FP,13,0)="A"), "OK",IF(
AND(Planilla!B503="A", OR(VLOOKUP(E503,FD:FP,13,0)="B", VLOOKUP(E503,FD:FP,13,0)="C")), "SOBREOFERTA",""
))))))),"")</f>
        <v/>
      </c>
      <c r="E503" s="8" t="n"/>
      <c r="F503" s="86" t="n"/>
      <c r="G503" s="87" t="n"/>
      <c r="H503" s="88">
        <f>IF(I503="","",IF(AND((I503-G503)&gt;=TIME(0,0,0),(I503-G503)&lt;TIME(0,3,0)),"OK",IF(AND((I503-G503)&gt;=TIME(0,3,0),(I503-G503)&lt;TIME(0,5,0)),"RETRASO DE 3-5 MIN",IF(AND((I503-G503)&gt;=TIME(0,5,0),(I503-G503)&lt;TIME(0,10,0)),"RETRASO DE 5-10 MIN",IF((I503-G503)&gt;=TIME(0,10,0),"RETRASO &gt;10 MIN", IF(AND((G503-I503)&gt;=TIME(0,0,0),(G503-I503)&lt;TIME(0,3,0)),"OK",IF((G503-I503)&gt;=TIME(0,3,0),"ADELANTADO")))))))</f>
        <v/>
      </c>
      <c r="I503" s="89" t="n"/>
      <c r="J503" s="89">
        <f>IF(A503&lt;&gt;"",HLOOKUP(VALUE(TEXT(G503,"h:mm:ss")),IF($C$6="Laboral",$FZ$4:$GX$227,IF($C$6="Sábado",$FZ$231:$GX$452,$FZ$456:$GX$656)),VLOOKUP($C$4,$HF$2:$HH$99,3,0)+IF(C$5="Ida",0,1),1),"")</f>
        <v/>
      </c>
      <c r="K503" s="89">
        <f>IF(A504&lt;&gt;A503,AVERAGEIF(A$9:A503,A503,J$9:J503),"")</f>
        <v/>
      </c>
      <c r="L503" s="89">
        <f>IFERROR(IF(A504&lt;&gt;A503,AVERAGEIF(A$9:A503,A503,S$9:S503),""),"")</f>
        <v/>
      </c>
      <c r="M503" s="89">
        <f>IFERROR(IF(A504&lt;&gt;A503,AVERAGEIF(A$9:A503,A503,T$9:T503),""),"")</f>
        <v/>
      </c>
      <c r="N503" s="89">
        <f t="array" ref="N503">IFERROR(IF(A504&lt;&gt;A503,_xlfn.STDEV.P(IF(A$9:A503=A503,T$9:T503)),""),"")</f>
        <v/>
      </c>
      <c r="O503" s="89">
        <f t="array" ref="O503">IFERROR(IF(A504&lt;&gt;A503,_xlfn.STDEV.P(IF(A$9:A503=A503,S$9:S503)),""),"")</f>
        <v/>
      </c>
      <c r="P503" s="90">
        <f>IFERROR(IF(A503&lt;&gt;A504,MAX((((M503*24*60)/2)*(1+POWER((((N503*24*60) / (M503*24*60) )),2))) + ((M503*24*60 )*-0.1 + (K503*0.015)) +1,(((M503*24*60)/2)*(1+POWER((((N503*24*60) / (M503*24*60 ))),2)))),""),"")</f>
        <v/>
      </c>
      <c r="Q503" s="90">
        <f>IF(AND(O503&lt;&gt;"",L503&lt;&gt;""),IF(A503&lt;&gt;A504,((L503*24*60) / 2 ) * (1 + POWER(((O503*24*60) / (L503*24*60)),2)),""),"")</f>
        <v/>
      </c>
      <c r="R503" s="90">
        <f>IF(Q503&lt;&gt;"",MAX(P503,Q503),"")</f>
        <v/>
      </c>
      <c r="S503" s="89">
        <f>IF(I503&lt;&gt;"H. Sale Real",IF(AND(I504&lt;&gt;"",LEFT(C504,2)&lt;&gt;"Va"),IF(AND(I503&lt;&gt;"",LEFT(C503,2)&lt;&gt;"Va",I503&lt;&gt;"H. Sale Real"),IF(I504-I503&lt;0.208333333333333,I504-I503,""),IF(AND(I502&lt;&gt;"",LEFT(C502,2)&lt;&gt;"Va",I502&lt;&gt;"H. Sale Real"),IF(I504-I502&lt;0.208333333333333,I504-I502,""),IF(AND(I501&lt;&gt;"",LEFT(C501,2)&lt;&gt;"Va",I501&lt;&gt;"H. Sale Real"),IF(I504-I501&lt;0.208333333333333,I504-I501,""),IF(AND(I500&lt;&gt;"",LEFT(C500,2)&lt;&gt;"Va",I500&lt;&gt;"H. Sale Real"),IF(I504-I500&lt;0.208333333333333,I504-I500,""),IF(AND(I499&lt;&gt;"",LEFT(C499,2)&lt;&gt;"Va",I499&lt;&gt;"H. Sale Real"),IF(I504-I499&lt;0.208333333333333,I504-I499,""),""))))),""),"")</f>
        <v/>
      </c>
      <c r="T503" s="89">
        <f>IF(G503&lt;&gt;"H. Sale Real",IF(AND(G504&lt;&gt;"",LEFT(C504,2)&lt;&gt;"Va"),IF(AND(G503&lt;&gt;"",LEFT(C503,2)&lt;&gt;"Va",G503&lt;&gt;"H. Sale Real"),IF(G504-G503&lt;0.208333333333333,G504-G503,""),IF(AND(G502&lt;&gt;"",LEFT(C502,2)&lt;&gt;"Va",G502&lt;&gt;"H. Sale Real"),IF(G504-G502&lt;0.208333333333333,G504-G502,""),IF(AND(G501&lt;&gt;"",LEFT(C501,2)&lt;&gt;"Va",G501&lt;&gt;"H. Sale Real"),IF(G504-G501&lt;0.208333333333333,G504-G501,""),IF(AND(G500&lt;&gt;"",LEFT(C500,2)&lt;&gt;"Va",G500&lt;&gt;"H. Sale Real"),IF(G504-G500&lt;0.208333333333333,G504-G500,""),IF(AND(G499&lt;&gt;"",LEFT(C499,2)&lt;&gt;"Va",G499&lt;&gt;"H. Sale Real"),IF(G504-G499&lt;0.208333333333333,G504-G499,""),""))))),""),"")</f>
        <v/>
      </c>
      <c r="U503" s="87" t="n"/>
      <c r="V503" s="89" t="n"/>
      <c r="W503" s="87" t="n"/>
      <c r="X503" s="89" t="n"/>
      <c r="Y503" s="91" t="n"/>
      <c r="Z503" s="122">
        <f>IF(G503&lt;&gt;"",IF(AND(Z502&lt;&gt;"IE",P503&lt;&gt;0,R503&lt;&gt;""),IF(IFERROR((P503/R503),0) &lt;=1,IFERROR(P503/R503,""),1),""),"")</f>
        <v/>
      </c>
      <c r="AA503" s="93" t="n"/>
      <c r="AB503" s="2" t="n"/>
      <c r="AE503" s="10">
        <f>HOUR(AK503)+1</f>
        <v/>
      </c>
      <c r="AF503" s="7" t="n"/>
      <c r="AG503" s="7" t="n"/>
      <c r="AH503" s="86" t="n"/>
      <c r="AI503" s="8" t="n"/>
      <c r="AJ503" s="86" t="n"/>
      <c r="AK503" s="87" t="n"/>
      <c r="AL503" s="88">
        <f>IF(AM503="","",IF(AND((AM503-AK503)&gt;=TIME(0,0,0),(AM503-AK503)&lt;TIME(0,3,0)),"OK",IF(AND((AM503-AK503)&gt;=TIME(0,3,0),(AM503-AK503)&lt;TIME(0,5,0)),"RETRASO DE 3-5 MIN",IF(AND((AM503-AK503)&gt;=TIME(0,5,0),(AM503-AK503)&lt;TIME(0,10,0)),"RETRASO DE 5-10 MIN",IF((AM503-AK503)&gt;=TIME(0,10,0),"RETRASO &gt;10 MIN", IF(AND((AK503-AM503)&gt;=TIME(0,0,0),(AK503-AM503)&lt;TIME(0,3,0)),"OK",IF((AK503-AM503)&gt;=TIME(0,3,0),"ADELANTADO")))))))</f>
        <v/>
      </c>
      <c r="AM503" s="91" t="n"/>
      <c r="AN503" s="89">
        <f>IF(AE503&lt;&gt;"",HLOOKUP(VALUE(TEXT(AK503,"h:mm:ss")),IF($C$6="Laboral",$FZ$4:$GX$227,IF($C$6="Sábado",$FZ$231:$GX$452,$FZ$456:$GX$656)),VLOOKUP($C$4,$HF$2:$HH$99,3,0)+IF(AG$5="Ida",0,1),1),"")</f>
        <v/>
      </c>
      <c r="AO503" s="89">
        <f>IF(AE504&lt;&gt;AE503,AVERAGEIF(AE$9:AE503,AE503,AN$9:AN503),"")</f>
        <v/>
      </c>
      <c r="AP503" s="89">
        <f>IFERROR(IF(AE504&lt;&gt;AE503,AVERAGEIF(AE$9:AE503,AE503,AW$9:AW503),""),"")</f>
        <v/>
      </c>
      <c r="AQ503" s="89">
        <f>IFERROR(IF(AE504&lt;&gt;AE503,AVERAGEIF(AE$9:AE503,AE503,AX$9:AX503),""),"")</f>
        <v/>
      </c>
      <c r="AR503" s="89">
        <f t="array" ref="AR503">IFERROR(IF(AE504&lt;&gt;AE503,_xlfn.STDEV.P(IF(AE$9:AE503=AE503,AX$9:AX503)),""),"")</f>
        <v/>
      </c>
      <c r="AS503" s="89">
        <f t="array" ref="AS503">IFERROR(IF(AE504&lt;&gt;AE503,_xlfn.STDEV.P(IF(AE$9:AE503=AE503,AW$9:AW503)),""),"")</f>
        <v/>
      </c>
      <c r="AT503" s="90">
        <f>IFERROR(IF(AE503&lt;&gt;AE504,MAX((((AQ503*24*60)/2)*(1+POWER((((AR503*24*60) / (AQ503*24*60) )),2))) + ((AQ503*24*60 )*-0.1 + (AO503*0.015)) +1,(((AQ503*24*60)/2)*(1+POWER((((AR503*24*60) / (AQ503*24*60 ))),2)))),""),"")</f>
        <v/>
      </c>
      <c r="AU503" s="90">
        <f>IF(AND(AS503&lt;&gt;"",AP503&lt;&gt;""),IF(AE503&lt;&gt;AE504,((AP503*24*60) / 2 ) * (1 + POWER(((AS503*24*60) / (AP503*24*60)),2)),""),"")</f>
        <v/>
      </c>
      <c r="AV503" s="90">
        <f>IF(AU503&lt;&gt;"",MAX(AT503,AU503),"")</f>
        <v/>
      </c>
      <c r="AW503" s="89">
        <f>IF(AM503&lt;&gt;"H. Sale Real",IF(AND(AM504&lt;&gt;"",LEFT(AG504,2)&lt;&gt;"Va"),IF(AND(AM503&lt;&gt;"",LEFT(AG503,2)&lt;&gt;"Va",AM503&lt;&gt;"H. Sale Real"),IF(AM504-AM503&lt;0.208333333333333,AM504-AM503,""),IF(AND(AM502&lt;&gt;"",LEFT(AG502,2)&lt;&gt;"Va",AM502&lt;&gt;"H. Sale Real"),IF(AM504-AM502&lt;0.208333333333333,AM504-AM502,""),IF(AND(AM501&lt;&gt;"",LEFT(AG501,2)&lt;&gt;"Va",AM501&lt;&gt;"H. Sale Real"),IF(AM504-AM501&lt;0.208333333333333,AM504-AM501,""),IF(AND(AM500&lt;&gt;"",LEFT(AG500,2)&lt;&gt;"Va",AM500&lt;&gt;"H. Sale Real"),IF(AM504-AM500&lt;0.208333333333333,AM504-AM500,""),IF(AND(AM499&lt;&gt;"",LEFT(AG499,2)&lt;&gt;"Va",AM499&lt;&gt;"H. Sale Real"),IF(AM504-AM499&lt;0.208333333333333,AM504-AM499,""),""))))),""),"")</f>
        <v/>
      </c>
      <c r="AX503" s="89">
        <f>IF(AK503&lt;&gt;"H. Sale Real",IF(AND(AK504&lt;&gt;"",LEFT(AG504,2)&lt;&gt;"Va"),IF(AND(AK503&lt;&gt;"",LEFT(AG503,2)&lt;&gt;"Va",AK503&lt;&gt;"H. Sale Real"),IF(AK504-AK503&lt;0.208333333333333,AK504-AK503,""),IF(AND(AK502&lt;&gt;"",LEFT(AG502,2)&lt;&gt;"Va",AK502&lt;&gt;"H. Sale Real"),IF(AK504-AK502&lt;0.208333333333333,AK504-AK502,""),IF(AND(AK501&lt;&gt;"",LEFT(AG501,2)&lt;&gt;"NC",AK501&lt;&gt;"H. Sale Real"),IF(AK504-AK501&lt;0.208333333333333,AK504-AK501,""),IF(AND(AK500&lt;&gt;"",LEFT(AG500,2)&lt;&gt;"Va",AK500&lt;&gt;"H. Sale Real"),IF(AK504-AK500&lt;0.208333333333333,AK504-AK500,""),IF(AND(AK499&lt;&gt;"",LEFT(AG499,2)&lt;&gt;"Va",AK499&lt;&gt;"H. Sale Real"),IF(AK504-AK499&lt;0.208333333333333,AK504-AK499,""),""))))),""),"")</f>
        <v/>
      </c>
      <c r="AY503" s="87" t="n"/>
      <c r="AZ503" s="89" t="n"/>
      <c r="BA503" s="87" t="n"/>
      <c r="BB503" s="89" t="n"/>
      <c r="BC503" s="91" t="n"/>
      <c r="BD503" s="122">
        <f>IF(AK503&lt;&gt;"",IF(AND(BD502&lt;&gt;"IE",AT503&lt;&gt;0,AV503&lt;&gt;""),IF(IFERROR((AT503/AV503),0) &lt;=1,IFERROR(AT503/AV503,""),1),""),"")</f>
        <v/>
      </c>
      <c r="BE503" s="93" t="n"/>
      <c r="BF503" s="105" t="n"/>
      <c r="FC503" t="inlineStr">
        <is>
          <t>Diccionario 1</t>
        </is>
      </c>
      <c r="FD503" s="15" t="inlineStr"/>
      <c r="FE503" s="17" t="inlineStr">
        <is>
          <t>LDYECS319S0044164</t>
        </is>
      </c>
      <c r="FF503" s="18" t="inlineStr">
        <is>
          <t>MDN35025020178</t>
        </is>
      </c>
      <c r="FG503" s="18" t="inlineStr">
        <is>
          <t>Zhong Thong</t>
        </is>
      </c>
      <c r="FH503" s="18" t="inlineStr">
        <is>
          <t>Lck6122evg</t>
        </is>
      </c>
      <c r="FI503" s="18" t="inlineStr">
        <is>
          <t>Zhong Thong</t>
        </is>
      </c>
      <c r="FJ503" s="18" t="inlineStr">
        <is>
          <t>Lck6122evg</t>
        </is>
      </c>
      <c r="FK503" s="18" t="n">
        <v>2026</v>
      </c>
      <c r="FL503" s="18" t="inlineStr">
        <is>
          <t>B</t>
        </is>
      </c>
      <c r="FM503" s="18" t="inlineStr">
        <is>
          <t>Lo Blanco</t>
        </is>
      </c>
      <c r="FP503" t="inlineStr">
        <is>
          <t>B</t>
        </is>
      </c>
      <c r="FS503" s="14" t="inlineStr">
        <is>
          <t>LXWT-83|</t>
        </is>
      </c>
      <c r="FT503" t="inlineStr">
        <is>
          <t>LXWT-83|</t>
        </is>
      </c>
      <c r="FU503" t="inlineStr">
        <is>
          <t>LXWT-83</t>
        </is>
      </c>
      <c r="FV503">
        <f>VLOOKUP(FU503,FD:FL,9,0)</f>
        <v/>
      </c>
      <c r="FZ503" s="51" t="inlineStr">
        <is>
          <t>F09</t>
        </is>
      </c>
      <c r="GA503" s="43" t="n">
        <v>0</v>
      </c>
      <c r="GB503" s="43" t="n">
        <v>0</v>
      </c>
      <c r="GC503" s="43" t="n">
        <v>0</v>
      </c>
      <c r="GD503" s="43" t="n">
        <v>0</v>
      </c>
      <c r="GE503" s="43" t="n">
        <v>0</v>
      </c>
      <c r="GF503" s="43" t="n">
        <v>14.62</v>
      </c>
      <c r="GG503" s="43" t="n">
        <v>26.01</v>
      </c>
      <c r="GH503" s="43" t="n">
        <v>22.35</v>
      </c>
      <c r="GI503" s="43" t="n">
        <v>21.665</v>
      </c>
      <c r="GJ503" s="43" t="n">
        <v>20.735</v>
      </c>
      <c r="GK503" s="43" t="n">
        <v>19.71</v>
      </c>
      <c r="GL503" s="43" t="n">
        <v>19.125</v>
      </c>
      <c r="GM503" s="43" t="n">
        <v>17.92</v>
      </c>
      <c r="GN503" s="43" t="n">
        <v>17.365</v>
      </c>
      <c r="GO503" s="43" t="n">
        <v>17.95</v>
      </c>
      <c r="GP503" s="43" t="n">
        <v>18.06</v>
      </c>
      <c r="GQ503" s="43" t="n">
        <v>18.57</v>
      </c>
      <c r="GR503" s="43" t="n">
        <v>17.775</v>
      </c>
      <c r="GS503" s="43" t="n">
        <v>16.48</v>
      </c>
      <c r="GT503" s="43" t="n">
        <v>17.595</v>
      </c>
      <c r="GU503" s="43" t="n">
        <v>19.7</v>
      </c>
      <c r="GV503" s="43" t="n">
        <v>20.8</v>
      </c>
      <c r="GW503" s="43" t="n">
        <v>22.285</v>
      </c>
      <c r="GX503" s="43" t="n">
        <v>25.245</v>
      </c>
      <c r="HA503" s="35" t="n">
        <v>48</v>
      </c>
      <c r="HB503" s="35" t="n">
        <v>497</v>
      </c>
    </row>
    <row r="504" ht="15.5" customHeight="1">
      <c r="A504" s="10">
        <f>HOUR(G504)+1</f>
        <v/>
      </c>
      <c r="B504" s="7" t="n"/>
      <c r="C504" s="7" t="n"/>
      <c r="D504" s="85">
        <f>IFERROR(
IF(AND(OR(Planilla!B504="C",Planilla!B504="c"), VLOOKUP(E504,FD:FP,13,0)="C"), "OK",IF(AND(OR(Planilla!B504="C",Planilla!B504="c"), OR(VLOOKUP(E504,FD:FP,13,0)="B", VLOOKUP(E504,FD:FP,13,0)="A")), "DEFICIT",IF(
AND(OR(Planilla!B504="B", Planilla!B504="BPAL"), VLOOKUP(E504,FD:FP,13,0)="B"), "OK",IF(AND(OR(Planilla!B504="B", Planilla!B504="BPAL"), VLOOKUP(E504,FD:FP,13,0)="A"), "DEFICIT",IF(AND(OR(Planilla!B504="B", Planilla!B504="BPAL"), VLOOKUP(E504,FD:FP,13,0)="C"), "SOBREOFERTA",IF(AND(Planilla!B504="A", VLOOKUP(E504,FD:FP,13,0)="A"), "OK",IF(
AND(Planilla!B504="A", OR(VLOOKUP(E504,FD:FP,13,0)="B", VLOOKUP(E504,FD:FP,13,0)="C")), "SOBREOFERTA",""
))))))),"")</f>
        <v/>
      </c>
      <c r="E504" s="8" t="n"/>
      <c r="F504" s="86" t="n"/>
      <c r="G504" s="87" t="n"/>
      <c r="H504" s="88">
        <f>IF(I504="","",IF(AND((I504-G504)&gt;=TIME(0,0,0),(I504-G504)&lt;TIME(0,3,0)),"OK",IF(AND((I504-G504)&gt;=TIME(0,3,0),(I504-G504)&lt;TIME(0,5,0)),"RETRASO DE 3-5 MIN",IF(AND((I504-G504)&gt;=TIME(0,5,0),(I504-G504)&lt;TIME(0,10,0)),"RETRASO DE 5-10 MIN",IF((I504-G504)&gt;=TIME(0,10,0),"RETRASO &gt;10 MIN", IF(AND((G504-I504)&gt;=TIME(0,0,0),(G504-I504)&lt;TIME(0,3,0)),"OK",IF((G504-I504)&gt;=TIME(0,3,0),"ADELANTADO")))))))</f>
        <v/>
      </c>
      <c r="I504" s="89" t="n"/>
      <c r="J504" s="89">
        <f>IF(A504&lt;&gt;"",HLOOKUP(VALUE(TEXT(G504,"h:mm:ss")),IF($C$6="Laboral",$FZ$4:$GX$227,IF($C$6="Sábado",$FZ$231:$GX$452,$FZ$456:$GX$656)),VLOOKUP($C$4,$HF$2:$HH$99,3,0)+IF(C$5="Ida",0,1),1),"")</f>
        <v/>
      </c>
      <c r="K504" s="89">
        <f>IF(A505&lt;&gt;A504,AVERAGEIF(A$9:A504,A504,J$9:J504),"")</f>
        <v/>
      </c>
      <c r="L504" s="89">
        <f>IFERROR(IF(A505&lt;&gt;A504,AVERAGEIF(A$9:A504,A504,S$9:S504),""),"")</f>
        <v/>
      </c>
      <c r="M504" s="89">
        <f>IFERROR(IF(A505&lt;&gt;A504,AVERAGEIF(A$9:A504,A504,T$9:T504),""),"")</f>
        <v/>
      </c>
      <c r="N504" s="89">
        <f t="array" ref="N504">IFERROR(IF(A505&lt;&gt;A504,_xlfn.STDEV.P(IF(A$9:A504=A504,T$9:T504)),""),"")</f>
        <v/>
      </c>
      <c r="O504" s="89">
        <f t="array" ref="O504">IFERROR(IF(A505&lt;&gt;A504,_xlfn.STDEV.P(IF(A$9:A504=A504,S$9:S504)),""),"")</f>
        <v/>
      </c>
      <c r="P504" s="90">
        <f>IFERROR(IF(A504&lt;&gt;A505,MAX((((M504*24*60)/2)*(1+POWER((((N504*24*60) / (M504*24*60) )),2))) + ((M504*24*60 )*-0.1 + (K504*0.015)) +1,(((M504*24*60)/2)*(1+POWER((((N504*24*60) / (M504*24*60 ))),2)))),""),"")</f>
        <v/>
      </c>
      <c r="Q504" s="90">
        <f>IF(AND(O504&lt;&gt;"",L504&lt;&gt;""),IF(A504&lt;&gt;A505,((L504*24*60) / 2 ) * (1 + POWER(((O504*24*60) / (L504*24*60)),2)),""),"")</f>
        <v/>
      </c>
      <c r="R504" s="90">
        <f>IF(Q504&lt;&gt;"",MAX(P504,Q504),"")</f>
        <v/>
      </c>
      <c r="S504" s="89">
        <f>IF(I504&lt;&gt;"H. Sale Real",IF(AND(I505&lt;&gt;"",LEFT(C505,2)&lt;&gt;"Va"),IF(AND(I504&lt;&gt;"",LEFT(C504,2)&lt;&gt;"Va",I504&lt;&gt;"H. Sale Real"),IF(I505-I504&lt;0.208333333333333,I505-I504,""),IF(AND(I503&lt;&gt;"",LEFT(C503,2)&lt;&gt;"Va",I503&lt;&gt;"H. Sale Real"),IF(I505-I503&lt;0.208333333333333,I505-I503,""),IF(AND(I502&lt;&gt;"",LEFT(C502,2)&lt;&gt;"Va",I502&lt;&gt;"H. Sale Real"),IF(I505-I502&lt;0.208333333333333,I505-I502,""),IF(AND(I501&lt;&gt;"",LEFT(C501,2)&lt;&gt;"Va",I501&lt;&gt;"H. Sale Real"),IF(I505-I501&lt;0.208333333333333,I505-I501,""),IF(AND(I500&lt;&gt;"",LEFT(C500,2)&lt;&gt;"Va",I500&lt;&gt;"H. Sale Real"),IF(I505-I500&lt;0.208333333333333,I505-I500,""),""))))),""),"")</f>
        <v/>
      </c>
      <c r="T504" s="89">
        <f>IF(G504&lt;&gt;"H. Sale Real",IF(AND(G505&lt;&gt;"",LEFT(C505,2)&lt;&gt;"Va"),IF(AND(G504&lt;&gt;"",LEFT(C504,2)&lt;&gt;"Va",G504&lt;&gt;"H. Sale Real"),IF(G505-G504&lt;0.208333333333333,G505-G504,""),IF(AND(G503&lt;&gt;"",LEFT(C503,2)&lt;&gt;"Va",G503&lt;&gt;"H. Sale Real"),IF(G505-G503&lt;0.208333333333333,G505-G503,""),IF(AND(G502&lt;&gt;"",LEFT(C502,2)&lt;&gt;"Va",G502&lt;&gt;"H. Sale Real"),IF(G505-G502&lt;0.208333333333333,G505-G502,""),IF(AND(G501&lt;&gt;"",LEFT(C501,2)&lt;&gt;"Va",G501&lt;&gt;"H. Sale Real"),IF(G505-G501&lt;0.208333333333333,G505-G501,""),IF(AND(G500&lt;&gt;"",LEFT(C500,2)&lt;&gt;"Va",G500&lt;&gt;"H. Sale Real"),IF(G505-G500&lt;0.208333333333333,G505-G500,""),""))))),""),"")</f>
        <v/>
      </c>
      <c r="U504" s="87" t="n"/>
      <c r="V504" s="89" t="n"/>
      <c r="W504" s="87" t="n"/>
      <c r="X504" s="89" t="n"/>
      <c r="Y504" s="91" t="n"/>
      <c r="Z504" s="122">
        <f>IF(G504&lt;&gt;"",IF(AND(Z503&lt;&gt;"IE",P504&lt;&gt;0,R504&lt;&gt;""),IF(IFERROR((P504/R504),0) &lt;=1,IFERROR(P504/R504,""),1),""),"")</f>
        <v/>
      </c>
      <c r="AA504" s="93" t="n"/>
      <c r="AB504" s="2" t="n"/>
      <c r="AE504" s="10">
        <f>HOUR(AK504)+1</f>
        <v/>
      </c>
      <c r="AF504" s="7" t="n"/>
      <c r="AG504" s="7" t="n"/>
      <c r="AH504" s="86" t="n"/>
      <c r="AI504" s="8" t="n"/>
      <c r="AJ504" s="86" t="n"/>
      <c r="AK504" s="87" t="n"/>
      <c r="AL504" s="88">
        <f>IF(AM504="","",IF(AND((AM504-AK504)&gt;=TIME(0,0,0),(AM504-AK504)&lt;TIME(0,3,0)),"OK",IF(AND((AM504-AK504)&gt;=TIME(0,3,0),(AM504-AK504)&lt;TIME(0,5,0)),"RETRASO DE 3-5 MIN",IF(AND((AM504-AK504)&gt;=TIME(0,5,0),(AM504-AK504)&lt;TIME(0,10,0)),"RETRASO DE 5-10 MIN",IF((AM504-AK504)&gt;=TIME(0,10,0),"RETRASO &gt;10 MIN", IF(AND((AK504-AM504)&gt;=TIME(0,0,0),(AK504-AM504)&lt;TIME(0,3,0)),"OK",IF((AK504-AM504)&gt;=TIME(0,3,0),"ADELANTADO")))))))</f>
        <v/>
      </c>
      <c r="AM504" s="91" t="n"/>
      <c r="AN504" s="89">
        <f>IF(AE504&lt;&gt;"",HLOOKUP(VALUE(TEXT(AK504,"h:mm:ss")),IF($C$6="Laboral",$FZ$4:$GX$227,IF($C$6="Sábado",$FZ$231:$GX$452,$FZ$456:$GX$656)),VLOOKUP($C$4,$HF$2:$HH$99,3,0)+IF(AG$5="Ida",0,1),1),"")</f>
        <v/>
      </c>
      <c r="AO504" s="89">
        <f>IF(AE505&lt;&gt;AE504,AVERAGEIF(AE$9:AE504,AE504,AN$9:AN504),"")</f>
        <v/>
      </c>
      <c r="AP504" s="89">
        <f>IFERROR(IF(AE505&lt;&gt;AE504,AVERAGEIF(AE$9:AE504,AE504,AW$9:AW504),""),"")</f>
        <v/>
      </c>
      <c r="AQ504" s="89">
        <f>IFERROR(IF(AE505&lt;&gt;AE504,AVERAGEIF(AE$9:AE504,AE504,AX$9:AX504),""),"")</f>
        <v/>
      </c>
      <c r="AR504" s="89">
        <f t="array" ref="AR504">IFERROR(IF(AE505&lt;&gt;AE504,_xlfn.STDEV.P(IF(AE$9:AE504=AE504,AX$9:AX504)),""),"")</f>
        <v/>
      </c>
      <c r="AS504" s="89">
        <f t="array" ref="AS504">IFERROR(IF(AE505&lt;&gt;AE504,_xlfn.STDEV.P(IF(AE$9:AE504=AE504,AW$9:AW504)),""),"")</f>
        <v/>
      </c>
      <c r="AT504" s="90">
        <f>IFERROR(IF(AE504&lt;&gt;AE505,MAX((((AQ504*24*60)/2)*(1+POWER((((AR504*24*60) / (AQ504*24*60) )),2))) + ((AQ504*24*60 )*-0.1 + (AO504*0.015)) +1,(((AQ504*24*60)/2)*(1+POWER((((AR504*24*60) / (AQ504*24*60 ))),2)))),""),"")</f>
        <v/>
      </c>
      <c r="AU504" s="90">
        <f>IF(AND(AS504&lt;&gt;"",AP504&lt;&gt;""),IF(AE504&lt;&gt;AE505,((AP504*24*60) / 2 ) * (1 + POWER(((AS504*24*60) / (AP504*24*60)),2)),""),"")</f>
        <v/>
      </c>
      <c r="AV504" s="90">
        <f>IF(AU504&lt;&gt;"",MAX(AT504,AU504),"")</f>
        <v/>
      </c>
      <c r="AW504" s="89">
        <f>IF(AM504&lt;&gt;"H. Sale Real",IF(AND(AM505&lt;&gt;"",LEFT(AG505,2)&lt;&gt;"Va"),IF(AND(AM504&lt;&gt;"",LEFT(AG504,2)&lt;&gt;"Va",AM504&lt;&gt;"H. Sale Real"),IF(AM505-AM504&lt;0.208333333333333,AM505-AM504,""),IF(AND(AM503&lt;&gt;"",LEFT(AG503,2)&lt;&gt;"Va",AM503&lt;&gt;"H. Sale Real"),IF(AM505-AM503&lt;0.208333333333333,AM505-AM503,""),IF(AND(AM502&lt;&gt;"",LEFT(AG502,2)&lt;&gt;"Va",AM502&lt;&gt;"H. Sale Real"),IF(AM505-AM502&lt;0.208333333333333,AM505-AM502,""),IF(AND(AM501&lt;&gt;"",LEFT(AG501,2)&lt;&gt;"Va",AM501&lt;&gt;"H. Sale Real"),IF(AM505-AM501&lt;0.208333333333333,AM505-AM501,""),IF(AND(AM500&lt;&gt;"",LEFT(AG500,2)&lt;&gt;"Va",AM500&lt;&gt;"H. Sale Real"),IF(AM505-AM500&lt;0.208333333333333,AM505-AM500,""),""))))),""),"")</f>
        <v/>
      </c>
      <c r="AX504" s="89">
        <f>IF(AK504&lt;&gt;"H. Sale Real",IF(AND(AK505&lt;&gt;"",LEFT(AG505,2)&lt;&gt;"Va"),IF(AND(AK504&lt;&gt;"",LEFT(AG504,2)&lt;&gt;"Va",AK504&lt;&gt;"H. Sale Real"),IF(AK505-AK504&lt;0.208333333333333,AK505-AK504,""),IF(AND(AK503&lt;&gt;"",LEFT(AG503,2)&lt;&gt;"Va",AK503&lt;&gt;"H. Sale Real"),IF(AK505-AK503&lt;0.208333333333333,AK505-AK503,""),IF(AND(AK502&lt;&gt;"",LEFT(AG502,2)&lt;&gt;"NC",AK502&lt;&gt;"H. Sale Real"),IF(AK505-AK502&lt;0.208333333333333,AK505-AK502,""),IF(AND(AK501&lt;&gt;"",LEFT(AG501,2)&lt;&gt;"Va",AK501&lt;&gt;"H. Sale Real"),IF(AK505-AK501&lt;0.208333333333333,AK505-AK501,""),IF(AND(AK500&lt;&gt;"",LEFT(AG500,2)&lt;&gt;"Va",AK500&lt;&gt;"H. Sale Real"),IF(AK505-AK500&lt;0.208333333333333,AK505-AK500,""),""))))),""),"")</f>
        <v/>
      </c>
      <c r="AY504" s="87" t="n"/>
      <c r="AZ504" s="89" t="n"/>
      <c r="BA504" s="87" t="n"/>
      <c r="BB504" s="89" t="n"/>
      <c r="BC504" s="91" t="n"/>
      <c r="BD504" s="122">
        <f>IF(AK504&lt;&gt;"",IF(AND(BD503&lt;&gt;"IE",AT504&lt;&gt;0,AV504&lt;&gt;""),IF(IFERROR((AT504/AV504),0) &lt;=1,IFERROR(AT504/AV504,""),1),""),"")</f>
        <v/>
      </c>
      <c r="BE504" s="93" t="n"/>
      <c r="BF504" s="105" t="n"/>
      <c r="FC504" t="inlineStr">
        <is>
          <t>Diccionario 1</t>
        </is>
      </c>
      <c r="FD504" s="15" t="inlineStr"/>
      <c r="FE504" s="17" t="inlineStr">
        <is>
          <t>LDTECS314S0044234</t>
        </is>
      </c>
      <c r="FF504" s="18" t="inlineStr">
        <is>
          <t>MDN35025020193</t>
        </is>
      </c>
      <c r="FG504" s="18" t="inlineStr">
        <is>
          <t>Zhong Thong</t>
        </is>
      </c>
      <c r="FH504" s="18" t="inlineStr">
        <is>
          <t>Lck6122evg</t>
        </is>
      </c>
      <c r="FI504" s="18" t="inlineStr">
        <is>
          <t>Zhong Thong</t>
        </is>
      </c>
      <c r="FJ504" s="18" t="inlineStr">
        <is>
          <t>Lck6122evg</t>
        </is>
      </c>
      <c r="FK504" s="18" t="n">
        <v>2026</v>
      </c>
      <c r="FL504" s="18" t="inlineStr">
        <is>
          <t>B</t>
        </is>
      </c>
      <c r="FM504" s="18" t="inlineStr">
        <is>
          <t>Lo Blanco</t>
        </is>
      </c>
      <c r="FP504" t="inlineStr">
        <is>
          <t>B</t>
        </is>
      </c>
      <c r="FS504" s="14" t="inlineStr">
        <is>
          <t>VJYJ-15|</t>
        </is>
      </c>
      <c r="FT504" t="inlineStr">
        <is>
          <t>VJYJ-15|</t>
        </is>
      </c>
      <c r="FU504" t="inlineStr">
        <is>
          <t>VJYJ-15</t>
        </is>
      </c>
      <c r="FV504">
        <f>VLOOKUP(FU504,FD:FL,9,0)</f>
        <v/>
      </c>
      <c r="FZ504" s="51" t="inlineStr">
        <is>
          <t>F09</t>
        </is>
      </c>
      <c r="GA504" s="43" t="n">
        <v>12.435</v>
      </c>
      <c r="GB504" s="43" t="n">
        <v>0</v>
      </c>
      <c r="GC504" s="43" t="n">
        <v>0</v>
      </c>
      <c r="GD504" s="43" t="n">
        <v>0</v>
      </c>
      <c r="GE504" s="43" t="n">
        <v>0</v>
      </c>
      <c r="GF504" s="43" t="n">
        <v>11.305</v>
      </c>
      <c r="GG504" s="43" t="n">
        <v>22.815</v>
      </c>
      <c r="GH504" s="43" t="n">
        <v>22.755</v>
      </c>
      <c r="GI504" s="43" t="n">
        <v>22.3</v>
      </c>
      <c r="GJ504" s="43" t="n">
        <v>22.195</v>
      </c>
      <c r="GK504" s="43" t="n">
        <v>20.48</v>
      </c>
      <c r="GL504" s="43" t="n">
        <v>19.175</v>
      </c>
      <c r="GM504" s="43" t="n">
        <v>18.96</v>
      </c>
      <c r="GN504" s="43" t="n">
        <v>19.095</v>
      </c>
      <c r="GO504" s="43" t="n">
        <v>18.74</v>
      </c>
      <c r="GP504" s="43" t="n">
        <v>18.575</v>
      </c>
      <c r="GQ504" s="43" t="n">
        <v>18.865</v>
      </c>
      <c r="GR504" s="43" t="n">
        <v>19.345</v>
      </c>
      <c r="GS504" s="43" t="n">
        <v>19.53</v>
      </c>
      <c r="GT504" s="43" t="n">
        <v>19.3</v>
      </c>
      <c r="GU504" s="43" t="n">
        <v>19.87</v>
      </c>
      <c r="GV504" s="43" t="n">
        <v>20.95</v>
      </c>
      <c r="GW504" s="43" t="n">
        <v>22.685</v>
      </c>
      <c r="GX504" s="43" t="n">
        <v>24.345</v>
      </c>
      <c r="HA504" s="35" t="n">
        <v>49</v>
      </c>
      <c r="HB504" s="35" t="n">
        <v>498</v>
      </c>
    </row>
    <row r="505" ht="15.5" customHeight="1">
      <c r="A505" s="10">
        <f>HOUR(G505)+1</f>
        <v/>
      </c>
      <c r="B505" s="7" t="n"/>
      <c r="C505" s="7" t="n"/>
      <c r="D505" s="85">
        <f>IFERROR(
IF(AND(OR(Planilla!B505="C",Planilla!B505="c"), VLOOKUP(E505,FD:FP,13,0)="C"), "OK",IF(AND(OR(Planilla!B505="C",Planilla!B505="c"), OR(VLOOKUP(E505,FD:FP,13,0)="B", VLOOKUP(E505,FD:FP,13,0)="A")), "DEFICIT",IF(
AND(OR(Planilla!B505="B", Planilla!B505="BPAL"), VLOOKUP(E505,FD:FP,13,0)="B"), "OK",IF(AND(OR(Planilla!B505="B", Planilla!B505="BPAL"), VLOOKUP(E505,FD:FP,13,0)="A"), "DEFICIT",IF(AND(OR(Planilla!B505="B", Planilla!B505="BPAL"), VLOOKUP(E505,FD:FP,13,0)="C"), "SOBREOFERTA",IF(AND(Planilla!B505="A", VLOOKUP(E505,FD:FP,13,0)="A"), "OK",IF(
AND(Planilla!B505="A", OR(VLOOKUP(E505,FD:FP,13,0)="B", VLOOKUP(E505,FD:FP,13,0)="C")), "SOBREOFERTA",""
))))))),"")</f>
        <v/>
      </c>
      <c r="E505" s="8" t="n"/>
      <c r="F505" s="86" t="n"/>
      <c r="G505" s="87" t="n"/>
      <c r="H505" s="88">
        <f>IF(I505="","",IF(AND((I505-G505)&gt;=TIME(0,0,0),(I505-G505)&lt;TIME(0,3,0)),"OK",IF(AND((I505-G505)&gt;=TIME(0,3,0),(I505-G505)&lt;TIME(0,5,0)),"RETRASO DE 3-5 MIN",IF(AND((I505-G505)&gt;=TIME(0,5,0),(I505-G505)&lt;TIME(0,10,0)),"RETRASO DE 5-10 MIN",IF((I505-G505)&gt;=TIME(0,10,0),"RETRASO &gt;10 MIN", IF(AND((G505-I505)&gt;=TIME(0,0,0),(G505-I505)&lt;TIME(0,3,0)),"OK",IF((G505-I505)&gt;=TIME(0,3,0),"ADELANTADO")))))))</f>
        <v/>
      </c>
      <c r="I505" s="89" t="n"/>
      <c r="J505" s="89">
        <f>IF(A505&lt;&gt;"",HLOOKUP(VALUE(TEXT(G505,"h:mm:ss")),IF($C$6="Laboral",$FZ$4:$GX$227,IF($C$6="Sábado",$FZ$231:$GX$452,$FZ$456:$GX$656)),VLOOKUP($C$4,$HF$2:$HH$99,3,0)+IF(C$5="Ida",0,1),1),"")</f>
        <v/>
      </c>
      <c r="K505" s="89">
        <f>IF(A506&lt;&gt;A505,AVERAGEIF(A$9:A505,A505,J$9:J505),"")</f>
        <v/>
      </c>
      <c r="L505" s="89">
        <f>IFERROR(IF(A506&lt;&gt;A505,AVERAGEIF(A$9:A505,A505,S$9:S505),""),"")</f>
        <v/>
      </c>
      <c r="M505" s="89">
        <f>IFERROR(IF(A506&lt;&gt;A505,AVERAGEIF(A$9:A505,A505,T$9:T505),""),"")</f>
        <v/>
      </c>
      <c r="N505" s="89">
        <f t="array" ref="N505">IFERROR(IF(A506&lt;&gt;A505,_xlfn.STDEV.P(IF(A$9:A505=A505,T$9:T505)),""),"")</f>
        <v/>
      </c>
      <c r="O505" s="89">
        <f t="array" ref="O505">IFERROR(IF(A506&lt;&gt;A505,_xlfn.STDEV.P(IF(A$9:A505=A505,S$9:S505)),""),"")</f>
        <v/>
      </c>
      <c r="P505" s="90">
        <f>IFERROR(IF(A505&lt;&gt;A506,MAX((((M505*24*60)/2)*(1+POWER((((N505*24*60) / (M505*24*60) )),2))) + ((M505*24*60 )*-0.1 + (K505*0.015)) +1,(((M505*24*60)/2)*(1+POWER((((N505*24*60) / (M505*24*60 ))),2)))),""),"")</f>
        <v/>
      </c>
      <c r="Q505" s="90">
        <f>IF(AND(O505&lt;&gt;"",L505&lt;&gt;""),IF(A505&lt;&gt;A506,((L505*24*60) / 2 ) * (1 + POWER(((O505*24*60) / (L505*24*60)),2)),""),"")</f>
        <v/>
      </c>
      <c r="R505" s="90">
        <f>IF(Q505&lt;&gt;"",MAX(P505,Q505),"")</f>
        <v/>
      </c>
      <c r="S505" s="89">
        <f>IF(I505&lt;&gt;"H. Sale Real",IF(AND(I506&lt;&gt;"",LEFT(C506,2)&lt;&gt;"Va"),IF(AND(I505&lt;&gt;"",LEFT(C505,2)&lt;&gt;"Va",I505&lt;&gt;"H. Sale Real"),IF(I506-I505&lt;0.208333333333333,I506-I505,""),IF(AND(I504&lt;&gt;"",LEFT(C504,2)&lt;&gt;"Va",I504&lt;&gt;"H. Sale Real"),IF(I506-I504&lt;0.208333333333333,I506-I504,""),IF(AND(I503&lt;&gt;"",LEFT(C503,2)&lt;&gt;"Va",I503&lt;&gt;"H. Sale Real"),IF(I506-I503&lt;0.208333333333333,I506-I503,""),IF(AND(I502&lt;&gt;"",LEFT(C502,2)&lt;&gt;"Va",I502&lt;&gt;"H. Sale Real"),IF(I506-I502&lt;0.208333333333333,I506-I502,""),IF(AND(I501&lt;&gt;"",LEFT(C501,2)&lt;&gt;"Va",I501&lt;&gt;"H. Sale Real"),IF(I506-I501&lt;0.208333333333333,I506-I501,""),""))))),""),"")</f>
        <v/>
      </c>
      <c r="T505" s="89">
        <f>IF(G505&lt;&gt;"H. Sale Real",IF(AND(G506&lt;&gt;"",LEFT(C506,2)&lt;&gt;"Va"),IF(AND(G505&lt;&gt;"",LEFT(C505,2)&lt;&gt;"Va",G505&lt;&gt;"H. Sale Real"),IF(G506-G505&lt;0.208333333333333,G506-G505,""),IF(AND(G504&lt;&gt;"",LEFT(C504,2)&lt;&gt;"Va",G504&lt;&gt;"H. Sale Real"),IF(G506-G504&lt;0.208333333333333,G506-G504,""),IF(AND(G503&lt;&gt;"",LEFT(C503,2)&lt;&gt;"Va",G503&lt;&gt;"H. Sale Real"),IF(G506-G503&lt;0.208333333333333,G506-G503,""),IF(AND(G502&lt;&gt;"",LEFT(C502,2)&lt;&gt;"Va",G502&lt;&gt;"H. Sale Real"),IF(G506-G502&lt;0.208333333333333,G506-G502,""),IF(AND(G501&lt;&gt;"",LEFT(C501,2)&lt;&gt;"Va",G501&lt;&gt;"H. Sale Real"),IF(G506-G501&lt;0.208333333333333,G506-G501,""),""))))),""),"")</f>
        <v/>
      </c>
      <c r="U505" s="87" t="n"/>
      <c r="V505" s="89" t="n"/>
      <c r="W505" s="87" t="n"/>
      <c r="X505" s="89" t="n"/>
      <c r="Y505" s="91" t="n"/>
      <c r="Z505" s="122">
        <f>IF(G505&lt;&gt;"",IF(AND(Z504&lt;&gt;"IE",P505&lt;&gt;0,R505&lt;&gt;""),IF(IFERROR((P505/R505),0) &lt;=1,IFERROR(P505/R505,""),1),""),"")</f>
        <v/>
      </c>
      <c r="AA505" s="93" t="n"/>
      <c r="AB505" s="2" t="n"/>
      <c r="AE505" s="10">
        <f>HOUR(AK505)+1</f>
        <v/>
      </c>
      <c r="AF505" s="7" t="n"/>
      <c r="AG505" s="7" t="n"/>
      <c r="AH505" s="86" t="n"/>
      <c r="AI505" s="8" t="n"/>
      <c r="AJ505" s="86" t="n"/>
      <c r="AK505" s="87" t="n"/>
      <c r="AL505" s="88">
        <f>IF(AM505="","",IF(AND((AM505-AK505)&gt;=TIME(0,0,0),(AM505-AK505)&lt;TIME(0,3,0)),"OK",IF(AND((AM505-AK505)&gt;=TIME(0,3,0),(AM505-AK505)&lt;TIME(0,5,0)),"RETRASO DE 3-5 MIN",IF(AND((AM505-AK505)&gt;=TIME(0,5,0),(AM505-AK505)&lt;TIME(0,10,0)),"RETRASO DE 5-10 MIN",IF((AM505-AK505)&gt;=TIME(0,10,0),"RETRASO &gt;10 MIN", IF(AND((AK505-AM505)&gt;=TIME(0,0,0),(AK505-AM505)&lt;TIME(0,3,0)),"OK",IF((AK505-AM505)&gt;=TIME(0,3,0),"ADELANTADO")))))))</f>
        <v/>
      </c>
      <c r="AM505" s="91" t="n"/>
      <c r="AN505" s="89">
        <f>IF(AE505&lt;&gt;"",HLOOKUP(VALUE(TEXT(AK505,"h:mm:ss")),IF($C$6="Laboral",$FZ$4:$GX$227,IF($C$6="Sábado",$FZ$231:$GX$452,$FZ$456:$GX$656)),VLOOKUP($C$4,$HF$2:$HH$99,3,0)+IF(AG$5="Ida",0,1),1),"")</f>
        <v/>
      </c>
      <c r="AO505" s="89">
        <f>IF(AE506&lt;&gt;AE505,AVERAGEIF(AE$9:AE505,AE505,AN$9:AN505),"")</f>
        <v/>
      </c>
      <c r="AP505" s="89">
        <f>IFERROR(IF(AE506&lt;&gt;AE505,AVERAGEIF(AE$9:AE505,AE505,AW$9:AW505),""),"")</f>
        <v/>
      </c>
      <c r="AQ505" s="89">
        <f>IFERROR(IF(AE506&lt;&gt;AE505,AVERAGEIF(AE$9:AE505,AE505,AX$9:AX505),""),"")</f>
        <v/>
      </c>
      <c r="AR505" s="89">
        <f t="array" ref="AR505">IFERROR(IF(AE506&lt;&gt;AE505,_xlfn.STDEV.P(IF(AE$9:AE505=AE505,AX$9:AX505)),""),"")</f>
        <v/>
      </c>
      <c r="AS505" s="89">
        <f t="array" ref="AS505">IFERROR(IF(AE506&lt;&gt;AE505,_xlfn.STDEV.P(IF(AE$9:AE505=AE505,AW$9:AW505)),""),"")</f>
        <v/>
      </c>
      <c r="AT505" s="90">
        <f>IFERROR(IF(AE505&lt;&gt;AE506,MAX((((AQ505*24*60)/2)*(1+POWER((((AR505*24*60) / (AQ505*24*60) )),2))) + ((AQ505*24*60 )*-0.1 + (AO505*0.015)) +1,(((AQ505*24*60)/2)*(1+POWER((((AR505*24*60) / (AQ505*24*60 ))),2)))),""),"")</f>
        <v/>
      </c>
      <c r="AU505" s="90">
        <f>IF(AND(AS505&lt;&gt;"",AP505&lt;&gt;""),IF(AE505&lt;&gt;AE506,((AP505*24*60) / 2 ) * (1 + POWER(((AS505*24*60) / (AP505*24*60)),2)),""),"")</f>
        <v/>
      </c>
      <c r="AV505" s="90">
        <f>IF(AU505&lt;&gt;"",MAX(AT505,AU505),"")</f>
        <v/>
      </c>
      <c r="AW505" s="89">
        <f>IF(AM505&lt;&gt;"H. Sale Real",IF(AND(AM506&lt;&gt;"",LEFT(AG506,2)&lt;&gt;"Va"),IF(AND(AM505&lt;&gt;"",LEFT(AG505,2)&lt;&gt;"Va",AM505&lt;&gt;"H. Sale Real"),IF(AM506-AM505&lt;0.208333333333333,AM506-AM505,""),IF(AND(AM504&lt;&gt;"",LEFT(AG504,2)&lt;&gt;"Va",AM504&lt;&gt;"H. Sale Real"),IF(AM506-AM504&lt;0.208333333333333,AM506-AM504,""),IF(AND(AM503&lt;&gt;"",LEFT(AG503,2)&lt;&gt;"Va",AM503&lt;&gt;"H. Sale Real"),IF(AM506-AM503&lt;0.208333333333333,AM506-AM503,""),IF(AND(AM502&lt;&gt;"",LEFT(AG502,2)&lt;&gt;"Va",AM502&lt;&gt;"H. Sale Real"),IF(AM506-AM502&lt;0.208333333333333,AM506-AM502,""),IF(AND(AM501&lt;&gt;"",LEFT(AG501,2)&lt;&gt;"Va",AM501&lt;&gt;"H. Sale Real"),IF(AM506-AM501&lt;0.208333333333333,AM506-AM501,""),""))))),""),"")</f>
        <v/>
      </c>
      <c r="AX505" s="89">
        <f>IF(AK505&lt;&gt;"H. Sale Real",IF(AND(AK506&lt;&gt;"",LEFT(AG506,2)&lt;&gt;"Va"),IF(AND(AK505&lt;&gt;"",LEFT(AG505,2)&lt;&gt;"Va",AK505&lt;&gt;"H. Sale Real"),IF(AK506-AK505&lt;0.208333333333333,AK506-AK505,""),IF(AND(AK504&lt;&gt;"",LEFT(AG504,2)&lt;&gt;"Va",AK504&lt;&gt;"H. Sale Real"),IF(AK506-AK504&lt;0.208333333333333,AK506-AK504,""),IF(AND(AK503&lt;&gt;"",LEFT(AG503,2)&lt;&gt;"NC",AK503&lt;&gt;"H. Sale Real"),IF(AK506-AK503&lt;0.208333333333333,AK506-AK503,""),IF(AND(AK502&lt;&gt;"",LEFT(AG502,2)&lt;&gt;"Va",AK502&lt;&gt;"H. Sale Real"),IF(AK506-AK502&lt;0.208333333333333,AK506-AK502,""),IF(AND(AK501&lt;&gt;"",LEFT(AG501,2)&lt;&gt;"Va",AK501&lt;&gt;"H. Sale Real"),IF(AK506-AK501&lt;0.208333333333333,AK506-AK501,""),""))))),""),"")</f>
        <v/>
      </c>
      <c r="AY505" s="87" t="n"/>
      <c r="AZ505" s="89" t="n"/>
      <c r="BA505" s="87" t="n"/>
      <c r="BB505" s="89" t="n"/>
      <c r="BC505" s="91" t="n"/>
      <c r="BD505" s="122">
        <f>IF(AK505&lt;&gt;"",IF(AND(BD504&lt;&gt;"IE",AT505&lt;&gt;0,AV505&lt;&gt;""),IF(IFERROR((AT505/AV505),0) &lt;=1,IFERROR(AT505/AV505,""),1),""),"")</f>
        <v/>
      </c>
      <c r="BE505" s="93" t="n"/>
      <c r="BF505" s="105" t="n"/>
      <c r="FC505" t="inlineStr">
        <is>
          <t>Diccionario 1</t>
        </is>
      </c>
      <c r="FD505" s="15" t="inlineStr"/>
      <c r="FE505" s="17" t="inlineStr">
        <is>
          <t>LDYECS31XS0044254</t>
        </is>
      </c>
      <c r="FF505" s="18" t="inlineStr">
        <is>
          <t>MDN35025020258</t>
        </is>
      </c>
      <c r="FG505" s="18" t="inlineStr">
        <is>
          <t>Zhong Thong</t>
        </is>
      </c>
      <c r="FH505" s="18" t="inlineStr">
        <is>
          <t>Lck6122evg</t>
        </is>
      </c>
      <c r="FI505" s="18" t="inlineStr">
        <is>
          <t>Zhong Thong</t>
        </is>
      </c>
      <c r="FJ505" s="18" t="inlineStr">
        <is>
          <t>Lck6122evg</t>
        </is>
      </c>
      <c r="FK505" s="18" t="n">
        <v>2026</v>
      </c>
      <c r="FL505" s="18" t="inlineStr">
        <is>
          <t>B</t>
        </is>
      </c>
      <c r="FM505" s="18" t="inlineStr">
        <is>
          <t>Lo Blanco</t>
        </is>
      </c>
      <c r="FP505" t="inlineStr">
        <is>
          <t>B</t>
        </is>
      </c>
      <c r="FS505" s="14" t="inlineStr">
        <is>
          <t>LXWT-87|</t>
        </is>
      </c>
      <c r="FT505" t="inlineStr">
        <is>
          <t>LXWT-87|</t>
        </is>
      </c>
      <c r="FU505" t="inlineStr">
        <is>
          <t>LXWT-87</t>
        </is>
      </c>
      <c r="FV505">
        <f>VLOOKUP(FU505,FD:FL,9,0)</f>
        <v/>
      </c>
      <c r="FZ505" s="51" t="inlineStr">
        <is>
          <t>B33</t>
        </is>
      </c>
      <c r="GA505" s="43" t="n">
        <v>0</v>
      </c>
      <c r="GB505" s="43" t="n">
        <v>0</v>
      </c>
      <c r="GC505" s="43" t="n">
        <v>0</v>
      </c>
      <c r="GD505" s="43" t="n">
        <v>0</v>
      </c>
      <c r="GE505" s="43" t="n">
        <v>0</v>
      </c>
      <c r="GF505" s="43" t="n">
        <v>17.635</v>
      </c>
      <c r="GG505" s="43" t="n">
        <v>33.465</v>
      </c>
      <c r="GH505" s="43" t="n">
        <v>32.055</v>
      </c>
      <c r="GI505" s="43" t="n">
        <v>31.97</v>
      </c>
      <c r="GJ505" s="43" t="n">
        <v>31.495</v>
      </c>
      <c r="GK505" s="43" t="n">
        <v>31.74</v>
      </c>
      <c r="GL505" s="43" t="n">
        <v>30.905</v>
      </c>
      <c r="GM505" s="43" t="n">
        <v>30.135</v>
      </c>
      <c r="GN505" s="43" t="n">
        <v>30.185</v>
      </c>
      <c r="GO505" s="43" t="n">
        <v>30.63</v>
      </c>
      <c r="GP505" s="43" t="n">
        <v>30.74</v>
      </c>
      <c r="GQ505" s="43" t="n">
        <v>30.345</v>
      </c>
      <c r="GR505" s="43" t="n">
        <v>29.38</v>
      </c>
      <c r="GS505" s="43" t="n">
        <v>28.245</v>
      </c>
      <c r="GT505" s="43" t="n">
        <v>28.59</v>
      </c>
      <c r="GU505" s="43" t="n">
        <v>30.855</v>
      </c>
      <c r="GV505" s="43" t="n">
        <v>32.97</v>
      </c>
      <c r="GW505" s="43" t="n">
        <v>33.735</v>
      </c>
      <c r="GX505" s="43" t="n">
        <v>35.91</v>
      </c>
      <c r="HA505" s="35" t="n">
        <v>50</v>
      </c>
      <c r="HB505" s="35" t="n">
        <v>499</v>
      </c>
    </row>
    <row r="506" ht="15.5" customHeight="1">
      <c r="A506" s="10">
        <f>HOUR(G506)+1</f>
        <v/>
      </c>
      <c r="B506" s="7" t="n"/>
      <c r="C506" s="7" t="n"/>
      <c r="D506" s="85">
        <f>IFERROR(
IF(AND(OR(Planilla!B506="C",Planilla!B506="c"), VLOOKUP(E506,FD:FP,13,0)="C"), "OK",IF(AND(OR(Planilla!B506="C",Planilla!B506="c"), OR(VLOOKUP(E506,FD:FP,13,0)="B", VLOOKUP(E506,FD:FP,13,0)="A")), "DEFICIT",IF(
AND(OR(Planilla!B506="B", Planilla!B506="BPAL"), VLOOKUP(E506,FD:FP,13,0)="B"), "OK",IF(AND(OR(Planilla!B506="B", Planilla!B506="BPAL"), VLOOKUP(E506,FD:FP,13,0)="A"), "DEFICIT",IF(AND(OR(Planilla!B506="B", Planilla!B506="BPAL"), VLOOKUP(E506,FD:FP,13,0)="C"), "SOBREOFERTA",IF(AND(Planilla!B506="A", VLOOKUP(E506,FD:FP,13,0)="A"), "OK",IF(
AND(Planilla!B506="A", OR(VLOOKUP(E506,FD:FP,13,0)="B", VLOOKUP(E506,FD:FP,13,0)="C")), "SOBREOFERTA",""
))))))),"")</f>
        <v/>
      </c>
      <c r="E506" s="8" t="n"/>
      <c r="F506" s="86" t="n"/>
      <c r="G506" s="87" t="n"/>
      <c r="H506" s="88">
        <f>IF(I506="","",IF(AND((I506-G506)&gt;=TIME(0,0,0),(I506-G506)&lt;TIME(0,3,0)),"OK",IF(AND((I506-G506)&gt;=TIME(0,3,0),(I506-G506)&lt;TIME(0,5,0)),"RETRASO DE 3-5 MIN",IF(AND((I506-G506)&gt;=TIME(0,5,0),(I506-G506)&lt;TIME(0,10,0)),"RETRASO DE 5-10 MIN",IF((I506-G506)&gt;=TIME(0,10,0),"RETRASO &gt;10 MIN", IF(AND((G506-I506)&gt;=TIME(0,0,0),(G506-I506)&lt;TIME(0,3,0)),"OK",IF((G506-I506)&gt;=TIME(0,3,0),"ADELANTADO")))))))</f>
        <v/>
      </c>
      <c r="I506" s="89" t="n"/>
      <c r="J506" s="89">
        <f>IF(A506&lt;&gt;"",HLOOKUP(VALUE(TEXT(G506,"h:mm:ss")),IF($C$6="Laboral",$FZ$4:$GX$227,IF($C$6="Sábado",$FZ$231:$GX$452,$FZ$456:$GX$656)),VLOOKUP($C$4,$HF$2:$HH$99,3,0)+IF(C$5="Ida",0,1),1),"")</f>
        <v/>
      </c>
      <c r="K506" s="89">
        <f>IF(A507&lt;&gt;A506,AVERAGEIF(A$9:A506,A506,J$9:J506),"")</f>
        <v/>
      </c>
      <c r="L506" s="89">
        <f>IFERROR(IF(A507&lt;&gt;A506,AVERAGEIF(A$9:A506,A506,S$9:S506),""),"")</f>
        <v/>
      </c>
      <c r="M506" s="89">
        <f>IFERROR(IF(A507&lt;&gt;A506,AVERAGEIF(A$9:A506,A506,T$9:T506),""),"")</f>
        <v/>
      </c>
      <c r="N506" s="89">
        <f t="array" ref="N506">IFERROR(IF(A507&lt;&gt;A506,_xlfn.STDEV.P(IF(A$9:A506=A506,T$9:T506)),""),"")</f>
        <v/>
      </c>
      <c r="O506" s="89">
        <f t="array" ref="O506">IFERROR(IF(A507&lt;&gt;A506,_xlfn.STDEV.P(IF(A$9:A506=A506,S$9:S506)),""),"")</f>
        <v/>
      </c>
      <c r="P506" s="90">
        <f>IFERROR(IF(A506&lt;&gt;A507,MAX((((M506*24*60)/2)*(1+POWER((((N506*24*60) / (M506*24*60) )),2))) + ((M506*24*60 )*-0.1 + (K506*0.015)) +1,(((M506*24*60)/2)*(1+POWER((((N506*24*60) / (M506*24*60 ))),2)))),""),"")</f>
        <v/>
      </c>
      <c r="Q506" s="90">
        <f>IF(AND(O506&lt;&gt;"",L506&lt;&gt;""),IF(A506&lt;&gt;A507,((L506*24*60) / 2 ) * (1 + POWER(((O506*24*60) / (L506*24*60)),2)),""),"")</f>
        <v/>
      </c>
      <c r="R506" s="90">
        <f>IF(Q506&lt;&gt;"",MAX(P506,Q506),"")</f>
        <v/>
      </c>
      <c r="S506" s="89">
        <f>IF(I506&lt;&gt;"H. Sale Real",IF(AND(I507&lt;&gt;"",LEFT(C507,2)&lt;&gt;"Va"),IF(AND(I506&lt;&gt;"",LEFT(C506,2)&lt;&gt;"Va",I506&lt;&gt;"H. Sale Real"),IF(I507-I506&lt;0.208333333333333,I507-I506,""),IF(AND(I505&lt;&gt;"",LEFT(C505,2)&lt;&gt;"Va",I505&lt;&gt;"H. Sale Real"),IF(I507-I505&lt;0.208333333333333,I507-I505,""),IF(AND(I504&lt;&gt;"",LEFT(C504,2)&lt;&gt;"Va",I504&lt;&gt;"H. Sale Real"),IF(I507-I504&lt;0.208333333333333,I507-I504,""),IF(AND(I503&lt;&gt;"",LEFT(C503,2)&lt;&gt;"Va",I503&lt;&gt;"H. Sale Real"),IF(I507-I503&lt;0.208333333333333,I507-I503,""),IF(AND(I502&lt;&gt;"",LEFT(C502,2)&lt;&gt;"Va",I502&lt;&gt;"H. Sale Real"),IF(I507-I502&lt;0.208333333333333,I507-I502,""),""))))),""),"")</f>
        <v/>
      </c>
      <c r="T506" s="89">
        <f>IF(G506&lt;&gt;"H. Sale Real",IF(AND(G507&lt;&gt;"",LEFT(C507,2)&lt;&gt;"Va"),IF(AND(G506&lt;&gt;"",LEFT(C506,2)&lt;&gt;"Va",G506&lt;&gt;"H. Sale Real"),IF(G507-G506&lt;0.208333333333333,G507-G506,""),IF(AND(G505&lt;&gt;"",LEFT(C505,2)&lt;&gt;"Va",G505&lt;&gt;"H. Sale Real"),IF(G507-G505&lt;0.208333333333333,G507-G505,""),IF(AND(G504&lt;&gt;"",LEFT(C504,2)&lt;&gt;"Va",G504&lt;&gt;"H. Sale Real"),IF(G507-G504&lt;0.208333333333333,G507-G504,""),IF(AND(G503&lt;&gt;"",LEFT(C503,2)&lt;&gt;"Va",G503&lt;&gt;"H. Sale Real"),IF(G507-G503&lt;0.208333333333333,G507-G503,""),IF(AND(G502&lt;&gt;"",LEFT(C502,2)&lt;&gt;"Va",G502&lt;&gt;"H. Sale Real"),IF(G507-G502&lt;0.208333333333333,G507-G502,""),""))))),""),"")</f>
        <v/>
      </c>
      <c r="U506" s="87" t="n"/>
      <c r="V506" s="89" t="n"/>
      <c r="W506" s="87" t="n"/>
      <c r="X506" s="89" t="n"/>
      <c r="Y506" s="91" t="n"/>
      <c r="Z506" s="122">
        <f>IF(G506&lt;&gt;"",IF(AND(Z505&lt;&gt;"IE",P506&lt;&gt;0,R506&lt;&gt;""),IF(IFERROR((P506/R506),0) &lt;=1,IFERROR(P506/R506,""),1),""),"")</f>
        <v/>
      </c>
      <c r="AA506" s="93" t="n"/>
      <c r="AB506" s="2" t="n"/>
      <c r="AE506" s="10">
        <f>HOUR(AK506)+1</f>
        <v/>
      </c>
      <c r="AF506" s="7" t="n"/>
      <c r="AG506" s="7" t="n"/>
      <c r="AH506" s="86" t="n"/>
      <c r="AI506" s="8" t="n"/>
      <c r="AJ506" s="86" t="n"/>
      <c r="AK506" s="87" t="n"/>
      <c r="AL506" s="88">
        <f>IF(AM506="","",IF(AND((AM506-AK506)&gt;=TIME(0,0,0),(AM506-AK506)&lt;TIME(0,3,0)),"OK",IF(AND((AM506-AK506)&gt;=TIME(0,3,0),(AM506-AK506)&lt;TIME(0,5,0)),"RETRASO DE 3-5 MIN",IF(AND((AM506-AK506)&gt;=TIME(0,5,0),(AM506-AK506)&lt;TIME(0,10,0)),"RETRASO DE 5-10 MIN",IF((AM506-AK506)&gt;=TIME(0,10,0),"RETRASO &gt;10 MIN", IF(AND((AK506-AM506)&gt;=TIME(0,0,0),(AK506-AM506)&lt;TIME(0,3,0)),"OK",IF((AK506-AM506)&gt;=TIME(0,3,0),"ADELANTADO")))))))</f>
        <v/>
      </c>
      <c r="AM506" s="91" t="n"/>
      <c r="AN506" s="89">
        <f>IF(AE506&lt;&gt;"",HLOOKUP(VALUE(TEXT(AK506,"h:mm:ss")),IF($C$6="Laboral",$FZ$4:$GX$227,IF($C$6="Sábado",$FZ$231:$GX$452,$FZ$456:$GX$656)),VLOOKUP($C$4,$HF$2:$HH$99,3,0)+IF(AG$5="Ida",0,1),1),"")</f>
        <v/>
      </c>
      <c r="AO506" s="89">
        <f>IF(AE507&lt;&gt;AE506,AVERAGEIF(AE$9:AE506,AE506,AN$9:AN506),"")</f>
        <v/>
      </c>
      <c r="AP506" s="89">
        <f>IFERROR(IF(AE507&lt;&gt;AE506,AVERAGEIF(AE$9:AE506,AE506,AW$9:AW506),""),"")</f>
        <v/>
      </c>
      <c r="AQ506" s="89">
        <f>IFERROR(IF(AE507&lt;&gt;AE506,AVERAGEIF(AE$9:AE506,AE506,AX$9:AX506),""),"")</f>
        <v/>
      </c>
      <c r="AR506" s="89">
        <f t="array" ref="AR506">IFERROR(IF(AE507&lt;&gt;AE506,_xlfn.STDEV.P(IF(AE$9:AE506=AE506,AX$9:AX506)),""),"")</f>
        <v/>
      </c>
      <c r="AS506" s="89">
        <f t="array" ref="AS506">IFERROR(IF(AE507&lt;&gt;AE506,_xlfn.STDEV.P(IF(AE$9:AE506=AE506,AW$9:AW506)),""),"")</f>
        <v/>
      </c>
      <c r="AT506" s="90">
        <f>IFERROR(IF(AE506&lt;&gt;AE507,MAX((((AQ506*24*60)/2)*(1+POWER((((AR506*24*60) / (AQ506*24*60) )),2))) + ((AQ506*24*60 )*-0.1 + (AO506*0.015)) +1,(((AQ506*24*60)/2)*(1+POWER((((AR506*24*60) / (AQ506*24*60 ))),2)))),""),"")</f>
        <v/>
      </c>
      <c r="AU506" s="90">
        <f>IF(AND(AS506&lt;&gt;"",AP506&lt;&gt;""),IF(AE506&lt;&gt;AE507,((AP506*24*60) / 2 ) * (1 + POWER(((AS506*24*60) / (AP506*24*60)),2)),""),"")</f>
        <v/>
      </c>
      <c r="AV506" s="90">
        <f>IF(AU506&lt;&gt;"",MAX(AT506,AU506),"")</f>
        <v/>
      </c>
      <c r="AW506" s="89">
        <f>IF(AM506&lt;&gt;"H. Sale Real",IF(AND(AM507&lt;&gt;"",LEFT(AG507,2)&lt;&gt;"Va"),IF(AND(AM506&lt;&gt;"",LEFT(AG506,2)&lt;&gt;"Va",AM506&lt;&gt;"H. Sale Real"),IF(AM507-AM506&lt;0.208333333333333,AM507-AM506,""),IF(AND(AM505&lt;&gt;"",LEFT(AG505,2)&lt;&gt;"Va",AM505&lt;&gt;"H. Sale Real"),IF(AM507-AM505&lt;0.208333333333333,AM507-AM505,""),IF(AND(AM504&lt;&gt;"",LEFT(AG504,2)&lt;&gt;"Va",AM504&lt;&gt;"H. Sale Real"),IF(AM507-AM504&lt;0.208333333333333,AM507-AM504,""),IF(AND(AM503&lt;&gt;"",LEFT(AG503,2)&lt;&gt;"Va",AM503&lt;&gt;"H. Sale Real"),IF(AM507-AM503&lt;0.208333333333333,AM507-AM503,""),IF(AND(AM502&lt;&gt;"",LEFT(AG502,2)&lt;&gt;"Va",AM502&lt;&gt;"H. Sale Real"),IF(AM507-AM502&lt;0.208333333333333,AM507-AM502,""),""))))),""),"")</f>
        <v/>
      </c>
      <c r="AX506" s="89">
        <f>IF(AK506&lt;&gt;"H. Sale Real",IF(AND(AK507&lt;&gt;"",LEFT(AG507,2)&lt;&gt;"Va"),IF(AND(AK506&lt;&gt;"",LEFT(AG506,2)&lt;&gt;"Va",AK506&lt;&gt;"H. Sale Real"),IF(AK507-AK506&lt;0.208333333333333,AK507-AK506,""),IF(AND(AK505&lt;&gt;"",LEFT(AG505,2)&lt;&gt;"Va",AK505&lt;&gt;"H. Sale Real"),IF(AK507-AK505&lt;0.208333333333333,AK507-AK505,""),IF(AND(AK504&lt;&gt;"",LEFT(AG504,2)&lt;&gt;"NC",AK504&lt;&gt;"H. Sale Real"),IF(AK507-AK504&lt;0.208333333333333,AK507-AK504,""),IF(AND(AK503&lt;&gt;"",LEFT(AG503,2)&lt;&gt;"Va",AK503&lt;&gt;"H. Sale Real"),IF(AK507-AK503&lt;0.208333333333333,AK507-AK503,""),IF(AND(AK502&lt;&gt;"",LEFT(AG502,2)&lt;&gt;"Va",AK502&lt;&gt;"H. Sale Real"),IF(AK507-AK502&lt;0.208333333333333,AK507-AK502,""),""))))),""),"")</f>
        <v/>
      </c>
      <c r="AY506" s="87" t="n"/>
      <c r="AZ506" s="89" t="n"/>
      <c r="BA506" s="87" t="n"/>
      <c r="BB506" s="89" t="n"/>
      <c r="BC506" s="91" t="n"/>
      <c r="BD506" s="122">
        <f>IF(AK506&lt;&gt;"",IF(AND(BD505&lt;&gt;"IE",AT506&lt;&gt;0,AV506&lt;&gt;""),IF(IFERROR((AT506/AV506),0) &lt;=1,IFERROR(AT506/AV506,""),1),""),"")</f>
        <v/>
      </c>
      <c r="BE506" s="93" t="n"/>
      <c r="BF506" s="105" t="n"/>
      <c r="FC506" t="inlineStr">
        <is>
          <t>Diccionario 1</t>
        </is>
      </c>
      <c r="FD506" s="15" t="inlineStr"/>
      <c r="FE506" s="17" t="inlineStr">
        <is>
          <t>LDYECS313S0044256</t>
        </is>
      </c>
      <c r="FF506" s="18" t="inlineStr">
        <is>
          <t>MDN35025020180</t>
        </is>
      </c>
      <c r="FG506" s="18" t="inlineStr">
        <is>
          <t>Zhong Thong</t>
        </is>
      </c>
      <c r="FH506" s="18" t="inlineStr">
        <is>
          <t>Lck6122evg</t>
        </is>
      </c>
      <c r="FI506" s="18" t="inlineStr">
        <is>
          <t>Zhong Thong</t>
        </is>
      </c>
      <c r="FJ506" s="18" t="inlineStr">
        <is>
          <t>Lck6122evg</t>
        </is>
      </c>
      <c r="FK506" s="18" t="n">
        <v>2026</v>
      </c>
      <c r="FL506" s="18" t="inlineStr">
        <is>
          <t>B</t>
        </is>
      </c>
      <c r="FM506" s="18" t="inlineStr">
        <is>
          <t>Ducaud</t>
        </is>
      </c>
      <c r="FP506" t="inlineStr">
        <is>
          <t>B</t>
        </is>
      </c>
      <c r="FS506" s="14" t="inlineStr">
        <is>
          <t>LZPT-48</t>
        </is>
      </c>
      <c r="FT506" t="inlineStr">
        <is>
          <t>LZPT-48</t>
        </is>
      </c>
      <c r="FU506" t="inlineStr">
        <is>
          <t>LZPT-48</t>
        </is>
      </c>
      <c r="FV506">
        <f>VLOOKUP(FU506,FD:FL,9,0)</f>
        <v/>
      </c>
      <c r="FZ506" s="51" t="inlineStr">
        <is>
          <t>F15</t>
        </is>
      </c>
      <c r="GA506" s="43" t="n">
        <v>0</v>
      </c>
      <c r="GB506" s="43" t="n">
        <v>0</v>
      </c>
      <c r="GC506" s="43" t="n">
        <v>0</v>
      </c>
      <c r="GD506" s="43" t="n">
        <v>0</v>
      </c>
      <c r="GE506" s="43" t="n">
        <v>13.495</v>
      </c>
      <c r="GF506" s="43" t="n">
        <v>25.875</v>
      </c>
      <c r="GG506" s="43" t="n">
        <v>23.955</v>
      </c>
      <c r="GH506" s="43" t="n">
        <v>22.935</v>
      </c>
      <c r="GI506" s="43" t="n">
        <v>22.06</v>
      </c>
      <c r="GJ506" s="43" t="n">
        <v>20.92</v>
      </c>
      <c r="GK506" s="43" t="n">
        <v>19.76</v>
      </c>
      <c r="GL506" s="43" t="n">
        <v>19.07</v>
      </c>
      <c r="GM506" s="43" t="n">
        <v>18.04</v>
      </c>
      <c r="GN506" s="43" t="n">
        <v>18.125</v>
      </c>
      <c r="GO506" s="43" t="n">
        <v>18.76</v>
      </c>
      <c r="GP506" s="43" t="n">
        <v>19.415</v>
      </c>
      <c r="GQ506" s="43" t="n">
        <v>19.33</v>
      </c>
      <c r="GR506" s="43" t="n">
        <v>18.34</v>
      </c>
      <c r="GS506" s="43" t="n">
        <v>18.18</v>
      </c>
      <c r="GT506" s="43" t="n">
        <v>19.1</v>
      </c>
      <c r="GU506" s="43" t="n">
        <v>20.815</v>
      </c>
      <c r="GV506" s="43" t="n">
        <v>22.805</v>
      </c>
      <c r="GW506" s="43" t="n">
        <v>24.5</v>
      </c>
      <c r="GX506" s="43" t="n">
        <v>27.175</v>
      </c>
      <c r="HA506" s="35" t="n">
        <v>51</v>
      </c>
      <c r="HB506" s="35" t="n">
        <v>500</v>
      </c>
    </row>
    <row r="507" ht="15.5" customHeight="1">
      <c r="A507" s="10">
        <f>HOUR(G507)+1</f>
        <v/>
      </c>
      <c r="B507" s="7" t="n"/>
      <c r="C507" s="7" t="n"/>
      <c r="D507" s="85">
        <f>IFERROR(
IF(AND(OR(Planilla!B507="C",Planilla!B507="c"), VLOOKUP(E507,FD:FP,13,0)="C"), "OK",IF(AND(OR(Planilla!B507="C",Planilla!B507="c"), OR(VLOOKUP(E507,FD:FP,13,0)="B", VLOOKUP(E507,FD:FP,13,0)="A")), "DEFICIT",IF(
AND(OR(Planilla!B507="B", Planilla!B507="BPAL"), VLOOKUP(E507,FD:FP,13,0)="B"), "OK",IF(AND(OR(Planilla!B507="B", Planilla!B507="BPAL"), VLOOKUP(E507,FD:FP,13,0)="A"), "DEFICIT",IF(AND(OR(Planilla!B507="B", Planilla!B507="BPAL"), VLOOKUP(E507,FD:FP,13,0)="C"), "SOBREOFERTA",IF(AND(Planilla!B507="A", VLOOKUP(E507,FD:FP,13,0)="A"), "OK",IF(
AND(Planilla!B507="A", OR(VLOOKUP(E507,FD:FP,13,0)="B", VLOOKUP(E507,FD:FP,13,0)="C")), "SOBREOFERTA",""
))))))),"")</f>
        <v/>
      </c>
      <c r="E507" s="8" t="n"/>
      <c r="F507" s="86" t="n"/>
      <c r="G507" s="87" t="n"/>
      <c r="H507" s="88">
        <f>IF(I507="","",IF(AND((I507-G507)&gt;=TIME(0,0,0),(I507-G507)&lt;TIME(0,3,0)),"OK",IF(AND((I507-G507)&gt;=TIME(0,3,0),(I507-G507)&lt;TIME(0,5,0)),"RETRASO DE 3-5 MIN",IF(AND((I507-G507)&gt;=TIME(0,5,0),(I507-G507)&lt;TIME(0,10,0)),"RETRASO DE 5-10 MIN",IF((I507-G507)&gt;=TIME(0,10,0),"RETRASO &gt;10 MIN", IF(AND((G507-I507)&gt;=TIME(0,0,0),(G507-I507)&lt;TIME(0,3,0)),"OK",IF((G507-I507)&gt;=TIME(0,3,0),"ADELANTADO")))))))</f>
        <v/>
      </c>
      <c r="I507" s="89" t="n"/>
      <c r="J507" s="89">
        <f>IF(A507&lt;&gt;"",HLOOKUP(VALUE(TEXT(G507,"h:mm:ss")),IF($C$6="Laboral",$FZ$4:$GX$227,IF($C$6="Sábado",$FZ$231:$GX$452,$FZ$456:$GX$656)),VLOOKUP($C$4,$HF$2:$HH$99,3,0)+IF(C$5="Ida",0,1),1),"")</f>
        <v/>
      </c>
      <c r="K507" s="89">
        <f>IF(A508&lt;&gt;A507,AVERAGEIF(A$9:A507,A507,J$9:J507),"")</f>
        <v/>
      </c>
      <c r="L507" s="89">
        <f>IFERROR(IF(A508&lt;&gt;A507,AVERAGEIF(A$9:A507,A507,S$9:S507),""),"")</f>
        <v/>
      </c>
      <c r="M507" s="89">
        <f>IFERROR(IF(A508&lt;&gt;A507,AVERAGEIF(A$9:A507,A507,T$9:T507),""),"")</f>
        <v/>
      </c>
      <c r="N507" s="89">
        <f t="array" ref="N507">IFERROR(IF(A508&lt;&gt;A507,_xlfn.STDEV.P(IF(A$9:A507=A507,T$9:T507)),""),"")</f>
        <v/>
      </c>
      <c r="O507" s="89">
        <f t="array" ref="O507">IFERROR(IF(A508&lt;&gt;A507,_xlfn.STDEV.P(IF(A$9:A507=A507,S$9:S507)),""),"")</f>
        <v/>
      </c>
      <c r="P507" s="90">
        <f>IFERROR(IF(A507&lt;&gt;A508,MAX((((M507*24*60)/2)*(1+POWER((((N507*24*60) / (M507*24*60) )),2))) + ((M507*24*60 )*-0.1 + (K507*0.015)) +1,(((M507*24*60)/2)*(1+POWER((((N507*24*60) / (M507*24*60 ))),2)))),""),"")</f>
        <v/>
      </c>
      <c r="Q507" s="90">
        <f>IF(AND(O507&lt;&gt;"",L507&lt;&gt;""),IF(A507&lt;&gt;A508,((L507*24*60) / 2 ) * (1 + POWER(((O507*24*60) / (L507*24*60)),2)),""),"")</f>
        <v/>
      </c>
      <c r="R507" s="90">
        <f>IF(Q507&lt;&gt;"",MAX(P507,Q507),"")</f>
        <v/>
      </c>
      <c r="S507" s="89">
        <f>IF(I507&lt;&gt;"H. Sale Real",IF(AND(I508&lt;&gt;"",LEFT(C508,2)&lt;&gt;"Va"),IF(AND(I507&lt;&gt;"",LEFT(C507,2)&lt;&gt;"Va",I507&lt;&gt;"H. Sale Real"),IF(I508-I507&lt;0.208333333333333,I508-I507,""),IF(AND(I506&lt;&gt;"",LEFT(C506,2)&lt;&gt;"Va",I506&lt;&gt;"H. Sale Real"),IF(I508-I506&lt;0.208333333333333,I508-I506,""),IF(AND(I505&lt;&gt;"",LEFT(C505,2)&lt;&gt;"Va",I505&lt;&gt;"H. Sale Real"),IF(I508-I505&lt;0.208333333333333,I508-I505,""),IF(AND(I504&lt;&gt;"",LEFT(C504,2)&lt;&gt;"Va",I504&lt;&gt;"H. Sale Real"),IF(I508-I504&lt;0.208333333333333,I508-I504,""),IF(AND(I503&lt;&gt;"",LEFT(C503,2)&lt;&gt;"Va",I503&lt;&gt;"H. Sale Real"),IF(I508-I503&lt;0.208333333333333,I508-I503,""),""))))),""),"")</f>
        <v/>
      </c>
      <c r="T507" s="89">
        <f>IF(G507&lt;&gt;"H. Sale Real",IF(AND(G508&lt;&gt;"",LEFT(C508,2)&lt;&gt;"Va"),IF(AND(G507&lt;&gt;"",LEFT(C507,2)&lt;&gt;"Va",G507&lt;&gt;"H. Sale Real"),IF(G508-G507&lt;0.208333333333333,G508-G507,""),IF(AND(G506&lt;&gt;"",LEFT(C506,2)&lt;&gt;"Va",G506&lt;&gt;"H. Sale Real"),IF(G508-G506&lt;0.208333333333333,G508-G506,""),IF(AND(G505&lt;&gt;"",LEFT(C505,2)&lt;&gt;"Va",G505&lt;&gt;"H. Sale Real"),IF(G508-G505&lt;0.208333333333333,G508-G505,""),IF(AND(G504&lt;&gt;"",LEFT(C504,2)&lt;&gt;"Va",G504&lt;&gt;"H. Sale Real"),IF(G508-G504&lt;0.208333333333333,G508-G504,""),IF(AND(G503&lt;&gt;"",LEFT(C503,2)&lt;&gt;"Va",G503&lt;&gt;"H. Sale Real"),IF(G508-G503&lt;0.208333333333333,G508-G503,""),""))))),""),"")</f>
        <v/>
      </c>
      <c r="U507" s="87" t="n"/>
      <c r="V507" s="89" t="n"/>
      <c r="W507" s="87" t="n"/>
      <c r="X507" s="89" t="n"/>
      <c r="Y507" s="91" t="n"/>
      <c r="Z507" s="122">
        <f>IF(G507&lt;&gt;"",IF(AND(Z506&lt;&gt;"IE",P507&lt;&gt;0,R507&lt;&gt;""),IF(IFERROR((P507/R507),0) &lt;=1,IFERROR(P507/R507,""),1),""),"")</f>
        <v/>
      </c>
      <c r="AA507" s="93" t="n"/>
      <c r="AB507" s="2" t="n"/>
      <c r="AE507" s="10">
        <f>HOUR(AK507)+1</f>
        <v/>
      </c>
      <c r="AF507" s="7" t="n"/>
      <c r="AG507" s="7" t="n"/>
      <c r="AH507" s="86" t="n"/>
      <c r="AI507" s="8" t="n"/>
      <c r="AJ507" s="86" t="n"/>
      <c r="AK507" s="87" t="n"/>
      <c r="AL507" s="88">
        <f>IF(AM507="","",IF(AND((AM507-AK507)&gt;=TIME(0,0,0),(AM507-AK507)&lt;TIME(0,3,0)),"OK",IF(AND((AM507-AK507)&gt;=TIME(0,3,0),(AM507-AK507)&lt;TIME(0,5,0)),"RETRASO DE 3-5 MIN",IF(AND((AM507-AK507)&gt;=TIME(0,5,0),(AM507-AK507)&lt;TIME(0,10,0)),"RETRASO DE 5-10 MIN",IF((AM507-AK507)&gt;=TIME(0,10,0),"RETRASO &gt;10 MIN", IF(AND((AK507-AM507)&gt;=TIME(0,0,0),(AK507-AM507)&lt;TIME(0,3,0)),"OK",IF((AK507-AM507)&gt;=TIME(0,3,0),"ADELANTADO")))))))</f>
        <v/>
      </c>
      <c r="AM507" s="91" t="n"/>
      <c r="AN507" s="89">
        <f>IF(AE507&lt;&gt;"",HLOOKUP(VALUE(TEXT(AK507,"h:mm:ss")),IF($C$6="Laboral",$FZ$4:$GX$227,IF($C$6="Sábado",$FZ$231:$GX$452,$FZ$456:$GX$656)),VLOOKUP($C$4,$HF$2:$HH$99,3,0)+IF(AG$5="Ida",0,1),1),"")</f>
        <v/>
      </c>
      <c r="AO507" s="89">
        <f>IF(AE508&lt;&gt;AE507,AVERAGEIF(AE$9:AE507,AE507,AN$9:AN507),"")</f>
        <v/>
      </c>
      <c r="AP507" s="89">
        <f>IFERROR(IF(AE508&lt;&gt;AE507,AVERAGEIF(AE$9:AE507,AE507,AW$9:AW507),""),"")</f>
        <v/>
      </c>
      <c r="AQ507" s="89">
        <f>IFERROR(IF(AE508&lt;&gt;AE507,AVERAGEIF(AE$9:AE507,AE507,AX$9:AX507),""),"")</f>
        <v/>
      </c>
      <c r="AR507" s="89">
        <f t="array" ref="AR507">IFERROR(IF(AE508&lt;&gt;AE507,_xlfn.STDEV.P(IF(AE$9:AE507=AE507,AX$9:AX507)),""),"")</f>
        <v/>
      </c>
      <c r="AS507" s="89">
        <f t="array" ref="AS507">IFERROR(IF(AE508&lt;&gt;AE507,_xlfn.STDEV.P(IF(AE$9:AE507=AE507,AW$9:AW507)),""),"")</f>
        <v/>
      </c>
      <c r="AT507" s="90">
        <f>IFERROR(IF(AE507&lt;&gt;AE508,MAX((((AQ507*24*60)/2)*(1+POWER((((AR507*24*60) / (AQ507*24*60) )),2))) + ((AQ507*24*60 )*-0.1 + (AO507*0.015)) +1,(((AQ507*24*60)/2)*(1+POWER((((AR507*24*60) / (AQ507*24*60 ))),2)))),""),"")</f>
        <v/>
      </c>
      <c r="AU507" s="90">
        <f>IF(AND(AS507&lt;&gt;"",AP507&lt;&gt;""),IF(AE507&lt;&gt;AE508,((AP507*24*60) / 2 ) * (1 + POWER(((AS507*24*60) / (AP507*24*60)),2)),""),"")</f>
        <v/>
      </c>
      <c r="AV507" s="90">
        <f>IF(AU507&lt;&gt;"",MAX(AT507,AU507),"")</f>
        <v/>
      </c>
      <c r="AW507" s="89">
        <f>IF(AM507&lt;&gt;"H. Sale Real",IF(AND(AM508&lt;&gt;"",LEFT(AG508,2)&lt;&gt;"Va"),IF(AND(AM507&lt;&gt;"",LEFT(AG507,2)&lt;&gt;"Va",AM507&lt;&gt;"H. Sale Real"),IF(AM508-AM507&lt;0.208333333333333,AM508-AM507,""),IF(AND(AM506&lt;&gt;"",LEFT(AG506,2)&lt;&gt;"Va",AM506&lt;&gt;"H. Sale Real"),IF(AM508-AM506&lt;0.208333333333333,AM508-AM506,""),IF(AND(AM505&lt;&gt;"",LEFT(AG505,2)&lt;&gt;"Va",AM505&lt;&gt;"H. Sale Real"),IF(AM508-AM505&lt;0.208333333333333,AM508-AM505,""),IF(AND(AM504&lt;&gt;"",LEFT(AG504,2)&lt;&gt;"Va",AM504&lt;&gt;"H. Sale Real"),IF(AM508-AM504&lt;0.208333333333333,AM508-AM504,""),IF(AND(AM503&lt;&gt;"",LEFT(AG503,2)&lt;&gt;"Va",AM503&lt;&gt;"H. Sale Real"),IF(AM508-AM503&lt;0.208333333333333,AM508-AM503,""),""))))),""),"")</f>
        <v/>
      </c>
      <c r="AX507" s="89">
        <f>IF(AK507&lt;&gt;"H. Sale Real",IF(AND(AK508&lt;&gt;"",LEFT(AG508,2)&lt;&gt;"Va"),IF(AND(AK507&lt;&gt;"",LEFT(AG507,2)&lt;&gt;"Va",AK507&lt;&gt;"H. Sale Real"),IF(AK508-AK507&lt;0.208333333333333,AK508-AK507,""),IF(AND(AK506&lt;&gt;"",LEFT(AG506,2)&lt;&gt;"Va",AK506&lt;&gt;"H. Sale Real"),IF(AK508-AK506&lt;0.208333333333333,AK508-AK506,""),IF(AND(AK505&lt;&gt;"",LEFT(AG505,2)&lt;&gt;"NC",AK505&lt;&gt;"H. Sale Real"),IF(AK508-AK505&lt;0.208333333333333,AK508-AK505,""),IF(AND(AK504&lt;&gt;"",LEFT(AG504,2)&lt;&gt;"Va",AK504&lt;&gt;"H. Sale Real"),IF(AK508-AK504&lt;0.208333333333333,AK508-AK504,""),IF(AND(AK503&lt;&gt;"",LEFT(AG503,2)&lt;&gt;"Va",AK503&lt;&gt;"H. Sale Real"),IF(AK508-AK503&lt;0.208333333333333,AK508-AK503,""),""))))),""),"")</f>
        <v/>
      </c>
      <c r="AY507" s="87" t="n"/>
      <c r="AZ507" s="89" t="n"/>
      <c r="BA507" s="87" t="n"/>
      <c r="BB507" s="89" t="n"/>
      <c r="BC507" s="91" t="n"/>
      <c r="BD507" s="122">
        <f>IF(AK507&lt;&gt;"",IF(AND(BD506&lt;&gt;"IE",AT507&lt;&gt;0,AV507&lt;&gt;""),IF(IFERROR((AT507/AV507),0) &lt;=1,IFERROR(AT507/AV507,""),1),""),"")</f>
        <v/>
      </c>
      <c r="BE507" s="93" t="n"/>
      <c r="BF507" s="105" t="n"/>
      <c r="FC507" t="inlineStr">
        <is>
          <t>Diccionario 1</t>
        </is>
      </c>
      <c r="FD507" s="15" t="inlineStr"/>
      <c r="FE507" s="17" t="inlineStr">
        <is>
          <t>LDYECS316S0044252</t>
        </is>
      </c>
      <c r="FF507" s="18" t="inlineStr">
        <is>
          <t>MDN35025020172</t>
        </is>
      </c>
      <c r="FG507" s="18" t="inlineStr">
        <is>
          <t>Zhong Thong</t>
        </is>
      </c>
      <c r="FH507" s="18" t="inlineStr">
        <is>
          <t>Lck6122evg</t>
        </is>
      </c>
      <c r="FI507" s="18" t="inlineStr">
        <is>
          <t>Zhong Thong</t>
        </is>
      </c>
      <c r="FJ507" s="18" t="inlineStr">
        <is>
          <t>Lck6122evg</t>
        </is>
      </c>
      <c r="FK507" s="18" t="n">
        <v>2026</v>
      </c>
      <c r="FL507" s="18" t="inlineStr">
        <is>
          <t>B</t>
        </is>
      </c>
      <c r="FM507" s="18" t="inlineStr">
        <is>
          <t>Ducaud</t>
        </is>
      </c>
      <c r="FP507" t="inlineStr">
        <is>
          <t>B</t>
        </is>
      </c>
      <c r="FS507" s="14" t="inlineStr">
        <is>
          <t>LZPR-86</t>
        </is>
      </c>
      <c r="FT507" t="inlineStr">
        <is>
          <t>LZPR-86</t>
        </is>
      </c>
      <c r="FU507" t="inlineStr">
        <is>
          <t>LZPR-86</t>
        </is>
      </c>
      <c r="FV507">
        <f>VLOOKUP(FU507,FD:FL,9,0)</f>
        <v/>
      </c>
      <c r="FZ507" s="51" t="inlineStr">
        <is>
          <t>F15</t>
        </is>
      </c>
      <c r="GA507" s="43" t="n">
        <v>13.48</v>
      </c>
      <c r="GB507" s="43" t="n">
        <v>0</v>
      </c>
      <c r="GC507" s="43" t="n">
        <v>0</v>
      </c>
      <c r="GD507" s="43" t="n">
        <v>0</v>
      </c>
      <c r="GE507" s="43" t="n">
        <v>0</v>
      </c>
      <c r="GF507" s="43" t="n">
        <v>11.685</v>
      </c>
      <c r="GG507" s="43" t="n">
        <v>23.78</v>
      </c>
      <c r="GH507" s="43" t="n">
        <v>23.53</v>
      </c>
      <c r="GI507" s="43" t="n">
        <v>21.895</v>
      </c>
      <c r="GJ507" s="43" t="n">
        <v>20.435</v>
      </c>
      <c r="GK507" s="43" t="n">
        <v>19.835</v>
      </c>
      <c r="GL507" s="43" t="n">
        <v>18.75</v>
      </c>
      <c r="GM507" s="43" t="n">
        <v>18.015</v>
      </c>
      <c r="GN507" s="43" t="n">
        <v>17.405</v>
      </c>
      <c r="GO507" s="43" t="n">
        <v>18.325</v>
      </c>
      <c r="GP507" s="43" t="n">
        <v>18.775</v>
      </c>
      <c r="GQ507" s="43" t="n">
        <v>18.5</v>
      </c>
      <c r="GR507" s="43" t="n">
        <v>17.8</v>
      </c>
      <c r="GS507" s="43" t="n">
        <v>17.89</v>
      </c>
      <c r="GT507" s="43" t="n">
        <v>18.325</v>
      </c>
      <c r="GU507" s="43" t="n">
        <v>19.165</v>
      </c>
      <c r="GV507" s="43" t="n">
        <v>20.065</v>
      </c>
      <c r="GW507" s="43" t="n">
        <v>21.675</v>
      </c>
      <c r="GX507" s="43" t="n">
        <v>24.17</v>
      </c>
      <c r="HA507" s="35" t="n">
        <v>52</v>
      </c>
      <c r="HB507" s="35" t="n">
        <v>501</v>
      </c>
    </row>
    <row r="508" ht="15.5" customHeight="1">
      <c r="A508" s="10">
        <f>HOUR(G508)+1</f>
        <v/>
      </c>
      <c r="B508" s="7" t="n"/>
      <c r="C508" s="7" t="n"/>
      <c r="D508" s="85">
        <f>IFERROR(
IF(AND(OR(Planilla!B508="C",Planilla!B508="c"), VLOOKUP(E508,FD:FP,13,0)="C"), "OK",IF(AND(OR(Planilla!B508="C",Planilla!B508="c"), OR(VLOOKUP(E508,FD:FP,13,0)="B", VLOOKUP(E508,FD:FP,13,0)="A")), "DEFICIT",IF(
AND(OR(Planilla!B508="B", Planilla!B508="BPAL"), VLOOKUP(E508,FD:FP,13,0)="B"), "OK",IF(AND(OR(Planilla!B508="B", Planilla!B508="BPAL"), VLOOKUP(E508,FD:FP,13,0)="A"), "DEFICIT",IF(AND(OR(Planilla!B508="B", Planilla!B508="BPAL"), VLOOKUP(E508,FD:FP,13,0)="C"), "SOBREOFERTA",IF(AND(Planilla!B508="A", VLOOKUP(E508,FD:FP,13,0)="A"), "OK",IF(
AND(Planilla!B508="A", OR(VLOOKUP(E508,FD:FP,13,0)="B", VLOOKUP(E508,FD:FP,13,0)="C")), "SOBREOFERTA",""
))))))),"")</f>
        <v/>
      </c>
      <c r="E508" s="8" t="n"/>
      <c r="F508" s="86" t="n"/>
      <c r="G508" s="87" t="n"/>
      <c r="H508" s="88">
        <f>IF(I508="","",IF(AND((I508-G508)&gt;=TIME(0,0,0),(I508-G508)&lt;TIME(0,3,0)),"OK",IF(AND((I508-G508)&gt;=TIME(0,3,0),(I508-G508)&lt;TIME(0,5,0)),"RETRASO DE 3-5 MIN",IF(AND((I508-G508)&gt;=TIME(0,5,0),(I508-G508)&lt;TIME(0,10,0)),"RETRASO DE 5-10 MIN",IF((I508-G508)&gt;=TIME(0,10,0),"RETRASO &gt;10 MIN", IF(AND((G508-I508)&gt;=TIME(0,0,0),(G508-I508)&lt;TIME(0,3,0)),"OK",IF((G508-I508)&gt;=TIME(0,3,0),"ADELANTADO")))))))</f>
        <v/>
      </c>
      <c r="I508" s="89" t="n"/>
      <c r="J508" s="89">
        <f>IF(A508&lt;&gt;"",HLOOKUP(VALUE(TEXT(G508,"h:mm:ss")),IF($C$6="Laboral",$FZ$4:$GX$227,IF($C$6="Sábado",$FZ$231:$GX$452,$FZ$456:$GX$656)),VLOOKUP($C$4,$HF$2:$HH$99,3,0)+IF(C$5="Ida",0,1),1),"")</f>
        <v/>
      </c>
      <c r="K508" s="89">
        <f>IF(A509&lt;&gt;A508,AVERAGEIF(A$9:A508,A508,J$9:J508),"")</f>
        <v/>
      </c>
      <c r="L508" s="89">
        <f>IFERROR(IF(A509&lt;&gt;A508,AVERAGEIF(A$9:A508,A508,S$9:S508),""),"")</f>
        <v/>
      </c>
      <c r="M508" s="89">
        <f>IFERROR(IF(A509&lt;&gt;A508,AVERAGEIF(A$9:A508,A508,T$9:T508),""),"")</f>
        <v/>
      </c>
      <c r="N508" s="89">
        <f t="array" ref="N508">IFERROR(IF(A509&lt;&gt;A508,_xlfn.STDEV.P(IF(A$9:A508=A508,T$9:T508)),""),"")</f>
        <v/>
      </c>
      <c r="O508" s="89">
        <f t="array" ref="O508">IFERROR(IF(A509&lt;&gt;A508,_xlfn.STDEV.P(IF(A$9:A508=A508,S$9:S508)),""),"")</f>
        <v/>
      </c>
      <c r="P508" s="90">
        <f>IFERROR(IF(A508&lt;&gt;A509,MAX((((M508*24*60)/2)*(1+POWER((((N508*24*60) / (M508*24*60) )),2))) + ((M508*24*60 )*-0.1 + (K508*0.015)) +1,(((M508*24*60)/2)*(1+POWER((((N508*24*60) / (M508*24*60 ))),2)))),""),"")</f>
        <v/>
      </c>
      <c r="Q508" s="90">
        <f>IF(AND(O508&lt;&gt;"",L508&lt;&gt;""),IF(A508&lt;&gt;A509,((L508*24*60) / 2 ) * (1 + POWER(((O508*24*60) / (L508*24*60)),2)),""),"")</f>
        <v/>
      </c>
      <c r="R508" s="90">
        <f>IF(Q508&lt;&gt;"",MAX(P508,Q508),"")</f>
        <v/>
      </c>
      <c r="S508" s="89">
        <f>IF(I508&lt;&gt;"H. Sale Real",IF(AND(I509&lt;&gt;"",LEFT(C509,2)&lt;&gt;"Va"),IF(AND(I508&lt;&gt;"",LEFT(C508,2)&lt;&gt;"Va",I508&lt;&gt;"H. Sale Real"),IF(I509-I508&lt;0.208333333333333,I509-I508,""),IF(AND(I507&lt;&gt;"",LEFT(C507,2)&lt;&gt;"Va",I507&lt;&gt;"H. Sale Real"),IF(I509-I507&lt;0.208333333333333,I509-I507,""),IF(AND(I506&lt;&gt;"",LEFT(C506,2)&lt;&gt;"Va",I506&lt;&gt;"H. Sale Real"),IF(I509-I506&lt;0.208333333333333,I509-I506,""),IF(AND(I505&lt;&gt;"",LEFT(C505,2)&lt;&gt;"Va",I505&lt;&gt;"H. Sale Real"),IF(I509-I505&lt;0.208333333333333,I509-I505,""),IF(AND(I504&lt;&gt;"",LEFT(C504,2)&lt;&gt;"Va",I504&lt;&gt;"H. Sale Real"),IF(I509-I504&lt;0.208333333333333,I509-I504,""),""))))),""),"")</f>
        <v/>
      </c>
      <c r="T508" s="89">
        <f>IF(G508&lt;&gt;"H. Sale Real",IF(AND(G509&lt;&gt;"",LEFT(C509,2)&lt;&gt;"Va"),IF(AND(G508&lt;&gt;"",LEFT(C508,2)&lt;&gt;"Va",G508&lt;&gt;"H. Sale Real"),IF(G509-G508&lt;0.208333333333333,G509-G508,""),IF(AND(G507&lt;&gt;"",LEFT(C507,2)&lt;&gt;"Va",G507&lt;&gt;"H. Sale Real"),IF(G509-G507&lt;0.208333333333333,G509-G507,""),IF(AND(G506&lt;&gt;"",LEFT(C506,2)&lt;&gt;"Va",G506&lt;&gt;"H. Sale Real"),IF(G509-G506&lt;0.208333333333333,G509-G506,""),IF(AND(G505&lt;&gt;"",LEFT(C505,2)&lt;&gt;"Va",G505&lt;&gt;"H. Sale Real"),IF(G509-G505&lt;0.208333333333333,G509-G505,""),IF(AND(G504&lt;&gt;"",LEFT(C504,2)&lt;&gt;"Va",G504&lt;&gt;"H. Sale Real"),IF(G509-G504&lt;0.208333333333333,G509-G504,""),""))))),""),"")</f>
        <v/>
      </c>
      <c r="U508" s="87" t="n"/>
      <c r="V508" s="89" t="n"/>
      <c r="W508" s="87" t="n"/>
      <c r="X508" s="89" t="n"/>
      <c r="Y508" s="91" t="n"/>
      <c r="Z508" s="122">
        <f>IF(G508&lt;&gt;"",IF(AND(Z507&lt;&gt;"IE",P508&lt;&gt;0,R508&lt;&gt;""),IF(IFERROR((P508/R508),0) &lt;=1,IFERROR(P508/R508,""),1),""),"")</f>
        <v/>
      </c>
      <c r="AA508" s="93" t="n"/>
      <c r="AB508" s="2" t="n"/>
      <c r="AE508" s="10">
        <f>HOUR(AK508)+1</f>
        <v/>
      </c>
      <c r="AF508" s="7" t="n"/>
      <c r="AG508" s="7" t="n"/>
      <c r="AH508" s="86" t="n"/>
      <c r="AI508" s="8" t="n"/>
      <c r="AJ508" s="86" t="n"/>
      <c r="AK508" s="87" t="n"/>
      <c r="AL508" s="88">
        <f>IF(AM508="","",IF(AND((AM508-AK508)&gt;=TIME(0,0,0),(AM508-AK508)&lt;TIME(0,3,0)),"OK",IF(AND((AM508-AK508)&gt;=TIME(0,3,0),(AM508-AK508)&lt;TIME(0,5,0)),"RETRASO DE 3-5 MIN",IF(AND((AM508-AK508)&gt;=TIME(0,5,0),(AM508-AK508)&lt;TIME(0,10,0)),"RETRASO DE 5-10 MIN",IF((AM508-AK508)&gt;=TIME(0,10,0),"RETRASO &gt;10 MIN", IF(AND((AK508-AM508)&gt;=TIME(0,0,0),(AK508-AM508)&lt;TIME(0,3,0)),"OK",IF((AK508-AM508)&gt;=TIME(0,3,0),"ADELANTADO")))))))</f>
        <v/>
      </c>
      <c r="AM508" s="91" t="n"/>
      <c r="AN508" s="89">
        <f>IF(AE508&lt;&gt;"",HLOOKUP(VALUE(TEXT(AK508,"h:mm:ss")),IF($C$6="Laboral",$FZ$4:$GX$227,IF($C$6="Sábado",$FZ$231:$GX$452,$FZ$456:$GX$656)),VLOOKUP($C$4,$HF$2:$HH$99,3,0)+IF(AG$5="Ida",0,1),1),"")</f>
        <v/>
      </c>
      <c r="AO508" s="89">
        <f>IF(AE509&lt;&gt;AE508,AVERAGEIF(AE$9:AE508,AE508,AN$9:AN508),"")</f>
        <v/>
      </c>
      <c r="AP508" s="89">
        <f>IFERROR(IF(AE509&lt;&gt;AE508,AVERAGEIF(AE$9:AE508,AE508,AW$9:AW508),""),"")</f>
        <v/>
      </c>
      <c r="AQ508" s="89">
        <f>IFERROR(IF(AE509&lt;&gt;AE508,AVERAGEIF(AE$9:AE508,AE508,AX$9:AX508),""),"")</f>
        <v/>
      </c>
      <c r="AR508" s="89">
        <f t="array" ref="AR508">IFERROR(IF(AE509&lt;&gt;AE508,_xlfn.STDEV.P(IF(AE$9:AE508=AE508,AX$9:AX508)),""),"")</f>
        <v/>
      </c>
      <c r="AS508" s="89">
        <f t="array" ref="AS508">IFERROR(IF(AE509&lt;&gt;AE508,_xlfn.STDEV.P(IF(AE$9:AE508=AE508,AW$9:AW508)),""),"")</f>
        <v/>
      </c>
      <c r="AT508" s="90">
        <f>IFERROR(IF(AE508&lt;&gt;AE509,MAX((((AQ508*24*60)/2)*(1+POWER((((AR508*24*60) / (AQ508*24*60) )),2))) + ((AQ508*24*60 )*-0.1 + (AO508*0.015)) +1,(((AQ508*24*60)/2)*(1+POWER((((AR508*24*60) / (AQ508*24*60 ))),2)))),""),"")</f>
        <v/>
      </c>
      <c r="AU508" s="90">
        <f>IF(AND(AS508&lt;&gt;"",AP508&lt;&gt;""),IF(AE508&lt;&gt;AE509,((AP508*24*60) / 2 ) * (1 + POWER(((AS508*24*60) / (AP508*24*60)),2)),""),"")</f>
        <v/>
      </c>
      <c r="AV508" s="90">
        <f>IF(AU508&lt;&gt;"",MAX(AT508,AU508),"")</f>
        <v/>
      </c>
      <c r="AW508" s="89">
        <f>IF(AM508&lt;&gt;"H. Sale Real",IF(AND(AM509&lt;&gt;"",LEFT(AG509,2)&lt;&gt;"Va"),IF(AND(AM508&lt;&gt;"",LEFT(AG508,2)&lt;&gt;"Va",AM508&lt;&gt;"H. Sale Real"),IF(AM509-AM508&lt;0.208333333333333,AM509-AM508,""),IF(AND(AM507&lt;&gt;"",LEFT(AG507,2)&lt;&gt;"Va",AM507&lt;&gt;"H. Sale Real"),IF(AM509-AM507&lt;0.208333333333333,AM509-AM507,""),IF(AND(AM506&lt;&gt;"",LEFT(AG506,2)&lt;&gt;"Va",AM506&lt;&gt;"H. Sale Real"),IF(AM509-AM506&lt;0.208333333333333,AM509-AM506,""),IF(AND(AM505&lt;&gt;"",LEFT(AG505,2)&lt;&gt;"Va",AM505&lt;&gt;"H. Sale Real"),IF(AM509-AM505&lt;0.208333333333333,AM509-AM505,""),IF(AND(AM504&lt;&gt;"",LEFT(AG504,2)&lt;&gt;"Va",AM504&lt;&gt;"H. Sale Real"),IF(AM509-AM504&lt;0.208333333333333,AM509-AM504,""),""))))),""),"")</f>
        <v/>
      </c>
      <c r="AX508" s="89">
        <f>IF(AK508&lt;&gt;"H. Sale Real",IF(AND(AK509&lt;&gt;"",LEFT(AG509,2)&lt;&gt;"Va"),IF(AND(AK508&lt;&gt;"",LEFT(AG508,2)&lt;&gt;"Va",AK508&lt;&gt;"H. Sale Real"),IF(AK509-AK508&lt;0.208333333333333,AK509-AK508,""),IF(AND(AK507&lt;&gt;"",LEFT(AG507,2)&lt;&gt;"Va",AK507&lt;&gt;"H. Sale Real"),IF(AK509-AK507&lt;0.208333333333333,AK509-AK507,""),IF(AND(AK506&lt;&gt;"",LEFT(AG506,2)&lt;&gt;"NC",AK506&lt;&gt;"H. Sale Real"),IF(AK509-AK506&lt;0.208333333333333,AK509-AK506,""),IF(AND(AK505&lt;&gt;"",LEFT(AG505,2)&lt;&gt;"Va",AK505&lt;&gt;"H. Sale Real"),IF(AK509-AK505&lt;0.208333333333333,AK509-AK505,""),IF(AND(AK504&lt;&gt;"",LEFT(AG504,2)&lt;&gt;"Va",AK504&lt;&gt;"H. Sale Real"),IF(AK509-AK504&lt;0.208333333333333,AK509-AK504,""),""))))),""),"")</f>
        <v/>
      </c>
      <c r="AY508" s="87" t="n"/>
      <c r="AZ508" s="89" t="n"/>
      <c r="BA508" s="87" t="n"/>
      <c r="BB508" s="89" t="n"/>
      <c r="BC508" s="91" t="n"/>
      <c r="BD508" s="122">
        <f>IF(AK508&lt;&gt;"",IF(AND(BD507&lt;&gt;"IE",AT508&lt;&gt;0,AV508&lt;&gt;""),IF(IFERROR((AT508/AV508),0) &lt;=1,IFERROR(AT508/AV508,""),1),""),"")</f>
        <v/>
      </c>
      <c r="BE508" s="93" t="n"/>
      <c r="BF508" s="105" t="n"/>
      <c r="FC508" t="inlineStr">
        <is>
          <t>Diccionario 1</t>
        </is>
      </c>
      <c r="FD508" s="15" t="inlineStr"/>
      <c r="FE508" s="17" t="inlineStr">
        <is>
          <t>LDYECS318S0044253</t>
        </is>
      </c>
      <c r="FF508" s="18" t="inlineStr">
        <is>
          <t>MDN35025010248</t>
        </is>
      </c>
      <c r="FG508" s="18" t="inlineStr">
        <is>
          <t>Zhong Thong</t>
        </is>
      </c>
      <c r="FH508" s="18" t="inlineStr">
        <is>
          <t>Lck6122evg</t>
        </is>
      </c>
      <c r="FI508" s="18" t="inlineStr">
        <is>
          <t>Zhong Thong</t>
        </is>
      </c>
      <c r="FJ508" s="18" t="inlineStr">
        <is>
          <t>Lck6122evg</t>
        </is>
      </c>
      <c r="FK508" s="18" t="n">
        <v>2026</v>
      </c>
      <c r="FL508" s="18" t="inlineStr">
        <is>
          <t>B</t>
        </is>
      </c>
      <c r="FM508" s="18" t="inlineStr">
        <is>
          <t>Ducaud</t>
        </is>
      </c>
      <c r="FP508" t="inlineStr">
        <is>
          <t>B</t>
        </is>
      </c>
      <c r="FS508" s="14" t="inlineStr">
        <is>
          <t>LZPG-17</t>
        </is>
      </c>
      <c r="FT508" t="inlineStr">
        <is>
          <t>LZPG-17</t>
        </is>
      </c>
      <c r="FU508" t="inlineStr">
        <is>
          <t>LZPG-17</t>
        </is>
      </c>
      <c r="FV508">
        <f>VLOOKUP(FU508,FD:FL,9,0)</f>
        <v/>
      </c>
      <c r="FZ508" s="51" t="inlineStr">
        <is>
          <t>F18</t>
        </is>
      </c>
      <c r="GA508" s="43" t="n">
        <v>0</v>
      </c>
      <c r="GB508" s="43" t="n">
        <v>0</v>
      </c>
      <c r="GC508" s="43" t="n">
        <v>0</v>
      </c>
      <c r="GD508" s="43" t="n">
        <v>0</v>
      </c>
      <c r="GE508" s="43" t="n">
        <v>0</v>
      </c>
      <c r="GF508" s="43" t="n">
        <v>26.595</v>
      </c>
      <c r="GG508" s="43" t="n">
        <v>25.05</v>
      </c>
      <c r="GH508" s="43" t="n">
        <v>22.38</v>
      </c>
      <c r="GI508" s="43" t="n">
        <v>21.17</v>
      </c>
      <c r="GJ508" s="43" t="n">
        <v>20.535</v>
      </c>
      <c r="GK508" s="43" t="n">
        <v>19.395</v>
      </c>
      <c r="GL508" s="43" t="n">
        <v>18.54</v>
      </c>
      <c r="GM508" s="43" t="n">
        <v>16.965</v>
      </c>
      <c r="GN508" s="43" t="n">
        <v>17.325</v>
      </c>
      <c r="GO508" s="43" t="n">
        <v>18.58</v>
      </c>
      <c r="GP508" s="43" t="n">
        <v>19.07</v>
      </c>
      <c r="GQ508" s="43" t="n">
        <v>18.775</v>
      </c>
      <c r="GR508" s="43" t="n">
        <v>18.525</v>
      </c>
      <c r="GS508" s="43" t="n">
        <v>17.895</v>
      </c>
      <c r="GT508" s="43" t="n">
        <v>18.33</v>
      </c>
      <c r="GU508" s="43" t="n">
        <v>19.54</v>
      </c>
      <c r="GV508" s="43" t="n">
        <v>21.62</v>
      </c>
      <c r="GW508" s="43" t="n">
        <v>24.205</v>
      </c>
      <c r="GX508" s="43" t="n">
        <v>27.24</v>
      </c>
      <c r="HA508" s="35" t="n">
        <v>53</v>
      </c>
      <c r="HB508" s="35" t="n">
        <v>502</v>
      </c>
    </row>
    <row r="509" ht="15.5" customHeight="1">
      <c r="A509" s="10">
        <f>HOUR(G509)+1</f>
        <v/>
      </c>
      <c r="B509" s="7" t="n"/>
      <c r="C509" s="7" t="n"/>
      <c r="D509" s="85">
        <f>IFERROR(
IF(AND(OR(Planilla!B509="C",Planilla!B509="c"), VLOOKUP(E509,FD:FP,13,0)="C"), "OK",IF(AND(OR(Planilla!B509="C",Planilla!B509="c"), OR(VLOOKUP(E509,FD:FP,13,0)="B", VLOOKUP(E509,FD:FP,13,0)="A")), "DEFICIT",IF(
AND(OR(Planilla!B509="B", Planilla!B509="BPAL"), VLOOKUP(E509,FD:FP,13,0)="B"), "OK",IF(AND(OR(Planilla!B509="B", Planilla!B509="BPAL"), VLOOKUP(E509,FD:FP,13,0)="A"), "DEFICIT",IF(AND(OR(Planilla!B509="B", Planilla!B509="BPAL"), VLOOKUP(E509,FD:FP,13,0)="C"), "SOBREOFERTA",IF(AND(Planilla!B509="A", VLOOKUP(E509,FD:FP,13,0)="A"), "OK",IF(
AND(Planilla!B509="A", OR(VLOOKUP(E509,FD:FP,13,0)="B", VLOOKUP(E509,FD:FP,13,0)="C")), "SOBREOFERTA",""
))))))),"")</f>
        <v/>
      </c>
      <c r="E509" s="8" t="n"/>
      <c r="F509" s="86" t="n"/>
      <c r="G509" s="87" t="n"/>
      <c r="H509" s="88">
        <f>IF(I509="","",IF(AND((I509-G509)&gt;=TIME(0,0,0),(I509-G509)&lt;TIME(0,3,0)),"OK",IF(AND((I509-G509)&gt;=TIME(0,3,0),(I509-G509)&lt;TIME(0,5,0)),"RETRASO DE 3-5 MIN",IF(AND((I509-G509)&gt;=TIME(0,5,0),(I509-G509)&lt;TIME(0,10,0)),"RETRASO DE 5-10 MIN",IF((I509-G509)&gt;=TIME(0,10,0),"RETRASO &gt;10 MIN", IF(AND((G509-I509)&gt;=TIME(0,0,0),(G509-I509)&lt;TIME(0,3,0)),"OK",IF((G509-I509)&gt;=TIME(0,3,0),"ADELANTADO")))))))</f>
        <v/>
      </c>
      <c r="I509" s="89" t="n"/>
      <c r="J509" s="89">
        <f>IF(A509&lt;&gt;"",HLOOKUP(VALUE(TEXT(G509,"h:mm:ss")),IF($C$6="Laboral",$FZ$4:$GX$227,IF($C$6="Sábado",$FZ$231:$GX$452,$FZ$456:$GX$656)),VLOOKUP($C$4,$HF$2:$HH$99,3,0)+IF(C$5="Ida",0,1),1),"")</f>
        <v/>
      </c>
      <c r="K509" s="89">
        <f>IF(A510&lt;&gt;A509,AVERAGEIF(A$9:A509,A509,J$9:J509),"")</f>
        <v/>
      </c>
      <c r="L509" s="89">
        <f>IFERROR(IF(A510&lt;&gt;A509,AVERAGEIF(A$9:A509,A509,S$9:S509),""),"")</f>
        <v/>
      </c>
      <c r="M509" s="89">
        <f>IFERROR(IF(A510&lt;&gt;A509,AVERAGEIF(A$9:A509,A509,T$9:T509),""),"")</f>
        <v/>
      </c>
      <c r="N509" s="89">
        <f t="array" ref="N509">IFERROR(IF(A510&lt;&gt;A509,_xlfn.STDEV.P(IF(A$9:A509=A509,T$9:T509)),""),"")</f>
        <v/>
      </c>
      <c r="O509" s="89">
        <f t="array" ref="O509">IFERROR(IF(A510&lt;&gt;A509,_xlfn.STDEV.P(IF(A$9:A509=A509,S$9:S509)),""),"")</f>
        <v/>
      </c>
      <c r="P509" s="90">
        <f>IFERROR(IF(A509&lt;&gt;A510,MAX((((M509*24*60)/2)*(1+POWER((((N509*24*60) / (M509*24*60) )),2))) + ((M509*24*60 )*-0.1 + (K509*0.015)) +1,(((M509*24*60)/2)*(1+POWER((((N509*24*60) / (M509*24*60 ))),2)))),""),"")</f>
        <v/>
      </c>
      <c r="Q509" s="90">
        <f>IF(AND(O509&lt;&gt;"",L509&lt;&gt;""),IF(A509&lt;&gt;A510,((L509*24*60) / 2 ) * (1 + POWER(((O509*24*60) / (L509*24*60)),2)),""),"")</f>
        <v/>
      </c>
      <c r="R509" s="90">
        <f>IF(Q509&lt;&gt;"",MAX(P509,Q509),"")</f>
        <v/>
      </c>
      <c r="S509" s="89">
        <f>IF(I509&lt;&gt;"H. Sale Real",IF(AND(I510&lt;&gt;"",LEFT(C510,2)&lt;&gt;"Va"),IF(AND(I509&lt;&gt;"",LEFT(C509,2)&lt;&gt;"Va",I509&lt;&gt;"H. Sale Real"),IF(I510-I509&lt;0.208333333333333,I510-I509,""),IF(AND(I508&lt;&gt;"",LEFT(C508,2)&lt;&gt;"Va",I508&lt;&gt;"H. Sale Real"),IF(I510-I508&lt;0.208333333333333,I510-I508,""),IF(AND(I507&lt;&gt;"",LEFT(C507,2)&lt;&gt;"Va",I507&lt;&gt;"H. Sale Real"),IF(I510-I507&lt;0.208333333333333,I510-I507,""),IF(AND(I506&lt;&gt;"",LEFT(C506,2)&lt;&gt;"Va",I506&lt;&gt;"H. Sale Real"),IF(I510-I506&lt;0.208333333333333,I510-I506,""),IF(AND(I505&lt;&gt;"",LEFT(C505,2)&lt;&gt;"Va",I505&lt;&gt;"H. Sale Real"),IF(I510-I505&lt;0.208333333333333,I510-I505,""),""))))),""),"")</f>
        <v/>
      </c>
      <c r="T509" s="89">
        <f>IF(G509&lt;&gt;"H. Sale Real",IF(AND(G510&lt;&gt;"",LEFT(C510,2)&lt;&gt;"Va"),IF(AND(G509&lt;&gt;"",LEFT(C509,2)&lt;&gt;"Va",G509&lt;&gt;"H. Sale Real"),IF(G510-G509&lt;0.208333333333333,G510-G509,""),IF(AND(G508&lt;&gt;"",LEFT(C508,2)&lt;&gt;"Va",G508&lt;&gt;"H. Sale Real"),IF(G510-G508&lt;0.208333333333333,G510-G508,""),IF(AND(G507&lt;&gt;"",LEFT(C507,2)&lt;&gt;"Va",G507&lt;&gt;"H. Sale Real"),IF(G510-G507&lt;0.208333333333333,G510-G507,""),IF(AND(G506&lt;&gt;"",LEFT(C506,2)&lt;&gt;"Va",G506&lt;&gt;"H. Sale Real"),IF(G510-G506&lt;0.208333333333333,G510-G506,""),IF(AND(G505&lt;&gt;"",LEFT(C505,2)&lt;&gt;"Va",G505&lt;&gt;"H. Sale Real"),IF(G510-G505&lt;0.208333333333333,G510-G505,""),""))))),""),"")</f>
        <v/>
      </c>
      <c r="U509" s="87" t="n"/>
      <c r="V509" s="89" t="n"/>
      <c r="W509" s="87" t="n"/>
      <c r="X509" s="89" t="n"/>
      <c r="Y509" s="91" t="n"/>
      <c r="Z509" s="122">
        <f>IF(G509&lt;&gt;"",IF(AND(Z508&lt;&gt;"IE",P509&lt;&gt;0,R509&lt;&gt;""),IF(IFERROR((P509/R509),0) &lt;=1,IFERROR(P509/R509,""),1),""),"")</f>
        <v/>
      </c>
      <c r="AA509" s="93" t="n"/>
      <c r="AB509" s="2" t="n"/>
      <c r="AE509" s="10">
        <f>HOUR(AK509)+1</f>
        <v/>
      </c>
      <c r="AF509" s="7" t="n"/>
      <c r="AG509" s="7" t="n"/>
      <c r="AH509" s="86" t="n"/>
      <c r="AI509" s="8" t="n"/>
      <c r="AJ509" s="86" t="n"/>
      <c r="AK509" s="87" t="n"/>
      <c r="AL509" s="88">
        <f>IF(AM509="","",IF(AND((AM509-AK509)&gt;=TIME(0,0,0),(AM509-AK509)&lt;TIME(0,3,0)),"OK",IF(AND((AM509-AK509)&gt;=TIME(0,3,0),(AM509-AK509)&lt;TIME(0,5,0)),"RETRASO DE 3-5 MIN",IF(AND((AM509-AK509)&gt;=TIME(0,5,0),(AM509-AK509)&lt;TIME(0,10,0)),"RETRASO DE 5-10 MIN",IF((AM509-AK509)&gt;=TIME(0,10,0),"RETRASO &gt;10 MIN", IF(AND((AK509-AM509)&gt;=TIME(0,0,0),(AK509-AM509)&lt;TIME(0,3,0)),"OK",IF((AK509-AM509)&gt;=TIME(0,3,0),"ADELANTADO")))))))</f>
        <v/>
      </c>
      <c r="AM509" s="91" t="n"/>
      <c r="AN509" s="89">
        <f>IF(AE509&lt;&gt;"",HLOOKUP(VALUE(TEXT(AK509,"h:mm:ss")),IF($C$6="Laboral",$FZ$4:$GX$227,IF($C$6="Sábado",$FZ$231:$GX$452,$FZ$456:$GX$656)),VLOOKUP($C$4,$HF$2:$HH$99,3,0)+IF(AG$5="Ida",0,1),1),"")</f>
        <v/>
      </c>
      <c r="AO509" s="89">
        <f>IF(AE510&lt;&gt;AE509,AVERAGEIF(AE$9:AE509,AE509,AN$9:AN509),"")</f>
        <v/>
      </c>
      <c r="AP509" s="89">
        <f>IFERROR(IF(AE510&lt;&gt;AE509,AVERAGEIF(AE$9:AE509,AE509,AW$9:AW509),""),"")</f>
        <v/>
      </c>
      <c r="AQ509" s="89">
        <f>IFERROR(IF(AE510&lt;&gt;AE509,AVERAGEIF(AE$9:AE509,AE509,AX$9:AX509),""),"")</f>
        <v/>
      </c>
      <c r="AR509" s="89">
        <f t="array" ref="AR509">IFERROR(IF(AE510&lt;&gt;AE509,_xlfn.STDEV.P(IF(AE$9:AE509=AE509,AX$9:AX509)),""),"")</f>
        <v/>
      </c>
      <c r="AS509" s="89">
        <f t="array" ref="AS509">IFERROR(IF(AE510&lt;&gt;AE509,_xlfn.STDEV.P(IF(AE$9:AE509=AE509,AW$9:AW509)),""),"")</f>
        <v/>
      </c>
      <c r="AT509" s="90">
        <f>IFERROR(IF(AE509&lt;&gt;AE510,MAX((((AQ509*24*60)/2)*(1+POWER((((AR509*24*60) / (AQ509*24*60) )),2))) + ((AQ509*24*60 )*-0.1 + (AO509*0.015)) +1,(((AQ509*24*60)/2)*(1+POWER((((AR509*24*60) / (AQ509*24*60 ))),2)))),""),"")</f>
        <v/>
      </c>
      <c r="AU509" s="90">
        <f>IF(AND(AS509&lt;&gt;"",AP509&lt;&gt;""),IF(AE509&lt;&gt;AE510,((AP509*24*60) / 2 ) * (1 + POWER(((AS509*24*60) / (AP509*24*60)),2)),""),"")</f>
        <v/>
      </c>
      <c r="AV509" s="90">
        <f>IF(AU509&lt;&gt;"",MAX(AT509,AU509),"")</f>
        <v/>
      </c>
      <c r="AW509" s="89">
        <f>IF(AM509&lt;&gt;"H. Sale Real",IF(AND(AM510&lt;&gt;"",LEFT(AG510,2)&lt;&gt;"Va"),IF(AND(AM509&lt;&gt;"",LEFT(AG509,2)&lt;&gt;"Va",AM509&lt;&gt;"H. Sale Real"),IF(AM510-AM509&lt;0.208333333333333,AM510-AM509,""),IF(AND(AM508&lt;&gt;"",LEFT(AG508,2)&lt;&gt;"Va",AM508&lt;&gt;"H. Sale Real"),IF(AM510-AM508&lt;0.208333333333333,AM510-AM508,""),IF(AND(AM507&lt;&gt;"",LEFT(AG507,2)&lt;&gt;"Va",AM507&lt;&gt;"H. Sale Real"),IF(AM510-AM507&lt;0.208333333333333,AM510-AM507,""),IF(AND(AM506&lt;&gt;"",LEFT(AG506,2)&lt;&gt;"Va",AM506&lt;&gt;"H. Sale Real"),IF(AM510-AM506&lt;0.208333333333333,AM510-AM506,""),IF(AND(AM505&lt;&gt;"",LEFT(AG505,2)&lt;&gt;"Va",AM505&lt;&gt;"H. Sale Real"),IF(AM510-AM505&lt;0.208333333333333,AM510-AM505,""),""))))),""),"")</f>
        <v/>
      </c>
      <c r="AX509" s="89">
        <f>IF(AK509&lt;&gt;"H. Sale Real",IF(AND(AK510&lt;&gt;"",LEFT(AG510,2)&lt;&gt;"Va"),IF(AND(AK509&lt;&gt;"",LEFT(AG509,2)&lt;&gt;"Va",AK509&lt;&gt;"H. Sale Real"),IF(AK510-AK509&lt;0.208333333333333,AK510-AK509,""),IF(AND(AK508&lt;&gt;"",LEFT(AG508,2)&lt;&gt;"Va",AK508&lt;&gt;"H. Sale Real"),IF(AK510-AK508&lt;0.208333333333333,AK510-AK508,""),IF(AND(AK507&lt;&gt;"",LEFT(AG507,2)&lt;&gt;"NC",AK507&lt;&gt;"H. Sale Real"),IF(AK510-AK507&lt;0.208333333333333,AK510-AK507,""),IF(AND(AK506&lt;&gt;"",LEFT(AG506,2)&lt;&gt;"Va",AK506&lt;&gt;"H. Sale Real"),IF(AK510-AK506&lt;0.208333333333333,AK510-AK506,""),IF(AND(AK505&lt;&gt;"",LEFT(AG505,2)&lt;&gt;"Va",AK505&lt;&gt;"H. Sale Real"),IF(AK510-AK505&lt;0.208333333333333,AK510-AK505,""),""))))),""),"")</f>
        <v/>
      </c>
      <c r="AY509" s="87" t="n"/>
      <c r="AZ509" s="89" t="n"/>
      <c r="BA509" s="87" t="n"/>
      <c r="BB509" s="89" t="n"/>
      <c r="BC509" s="91" t="n"/>
      <c r="BD509" s="122">
        <f>IF(AK509&lt;&gt;"",IF(AND(BD508&lt;&gt;"IE",AT509&lt;&gt;0,AV509&lt;&gt;""),IF(IFERROR((AT509/AV509),0) &lt;=1,IFERROR(AT509/AV509,""),1),""),"")</f>
        <v/>
      </c>
      <c r="BE509" s="93" t="n"/>
      <c r="BF509" s="105" t="n"/>
      <c r="FC509" t="inlineStr">
        <is>
          <t>Diccionario 1</t>
        </is>
      </c>
      <c r="FD509" s="15" t="inlineStr"/>
      <c r="FE509" s="17" t="inlineStr">
        <is>
          <t>LDYECS318S0044186</t>
        </is>
      </c>
      <c r="FF509" s="18" t="inlineStr">
        <is>
          <t>MDN35025020159</t>
        </is>
      </c>
      <c r="FG509" s="18" t="inlineStr">
        <is>
          <t>Zhong Thong</t>
        </is>
      </c>
      <c r="FH509" s="18" t="inlineStr">
        <is>
          <t>Lck6122evg</t>
        </is>
      </c>
      <c r="FI509" s="18" t="inlineStr">
        <is>
          <t>Zhong Thong</t>
        </is>
      </c>
      <c r="FJ509" s="18" t="inlineStr">
        <is>
          <t>Lck6122evg</t>
        </is>
      </c>
      <c r="FK509" s="18" t="n">
        <v>2026</v>
      </c>
      <c r="FL509" s="18" t="inlineStr">
        <is>
          <t>B</t>
        </is>
      </c>
      <c r="FM509" s="18" t="inlineStr">
        <is>
          <t>Ducaud</t>
        </is>
      </c>
      <c r="FP509" t="inlineStr">
        <is>
          <t>B</t>
        </is>
      </c>
      <c r="FS509" s="14" t="inlineStr">
        <is>
          <t>VJXC-75|</t>
        </is>
      </c>
      <c r="FT509" t="inlineStr">
        <is>
          <t>VJXC-75|</t>
        </is>
      </c>
      <c r="FU509" t="inlineStr">
        <is>
          <t>VJXC-75</t>
        </is>
      </c>
      <c r="FV509">
        <f>VLOOKUP(FU509,FD:FL,9,0)</f>
        <v/>
      </c>
      <c r="FZ509" s="51" t="inlineStr">
        <is>
          <t>F18</t>
        </is>
      </c>
      <c r="GA509" s="43" t="n">
        <v>12.15</v>
      </c>
      <c r="GB509" s="43" t="n">
        <v>0</v>
      </c>
      <c r="GC509" s="43" t="n">
        <v>0</v>
      </c>
      <c r="GD509" s="43" t="n">
        <v>0</v>
      </c>
      <c r="GE509" s="43" t="n">
        <v>0</v>
      </c>
      <c r="GF509" s="43" t="n">
        <v>12.91</v>
      </c>
      <c r="GG509" s="43" t="n">
        <v>25.345</v>
      </c>
      <c r="GH509" s="43" t="n">
        <v>23.965</v>
      </c>
      <c r="GI509" s="43" t="n">
        <v>22.63</v>
      </c>
      <c r="GJ509" s="43" t="n">
        <v>22.15</v>
      </c>
      <c r="GK509" s="43" t="n">
        <v>20.85</v>
      </c>
      <c r="GL509" s="43" t="n">
        <v>19.58</v>
      </c>
      <c r="GM509" s="43" t="n">
        <v>18.65</v>
      </c>
      <c r="GN509" s="43" t="n">
        <v>17.85</v>
      </c>
      <c r="GO509" s="43" t="n">
        <v>18.59</v>
      </c>
      <c r="GP509" s="43" t="n">
        <v>18.455</v>
      </c>
      <c r="GQ509" s="43" t="n">
        <v>18.615</v>
      </c>
      <c r="GR509" s="43" t="n">
        <v>18.28</v>
      </c>
      <c r="GS509" s="43" t="n">
        <v>17.075</v>
      </c>
      <c r="GT509" s="43" t="n">
        <v>17.235</v>
      </c>
      <c r="GU509" s="43" t="n">
        <v>18.31</v>
      </c>
      <c r="GV509" s="43" t="n">
        <v>19.76</v>
      </c>
      <c r="GW509" s="43" t="n">
        <v>22.305</v>
      </c>
      <c r="GX509" s="43" t="n">
        <v>24.13</v>
      </c>
      <c r="HA509" s="35" t="n">
        <v>54</v>
      </c>
      <c r="HB509" s="35" t="n">
        <v>503</v>
      </c>
    </row>
    <row r="510" ht="15.5" customHeight="1">
      <c r="A510" s="10">
        <f>HOUR(G510)+1</f>
        <v/>
      </c>
      <c r="B510" s="7" t="n"/>
      <c r="C510" s="7" t="n"/>
      <c r="D510" s="85">
        <f>IFERROR(
IF(AND(OR(Planilla!B510="C",Planilla!B510="c"), VLOOKUP(E510,FD:FP,13,0)="C"), "OK",IF(AND(OR(Planilla!B510="C",Planilla!B510="c"), OR(VLOOKUP(E510,FD:FP,13,0)="B", VLOOKUP(E510,FD:FP,13,0)="A")), "DEFICIT",IF(
AND(OR(Planilla!B510="B", Planilla!B510="BPAL"), VLOOKUP(E510,FD:FP,13,0)="B"), "OK",IF(AND(OR(Planilla!B510="B", Planilla!B510="BPAL"), VLOOKUP(E510,FD:FP,13,0)="A"), "DEFICIT",IF(AND(OR(Planilla!B510="B", Planilla!B510="BPAL"), VLOOKUP(E510,FD:FP,13,0)="C"), "SOBREOFERTA",IF(AND(Planilla!B510="A", VLOOKUP(E510,FD:FP,13,0)="A"), "OK",IF(
AND(Planilla!B510="A", OR(VLOOKUP(E510,FD:FP,13,0)="B", VLOOKUP(E510,FD:FP,13,0)="C")), "SOBREOFERTA",""
))))))),"")</f>
        <v/>
      </c>
      <c r="E510" s="8" t="n"/>
      <c r="F510" s="86" t="n"/>
      <c r="G510" s="87" t="n"/>
      <c r="H510" s="88">
        <f>IF(I510="","",IF(AND((I510-G510)&gt;=TIME(0,0,0),(I510-G510)&lt;TIME(0,3,0)),"OK",IF(AND((I510-G510)&gt;=TIME(0,3,0),(I510-G510)&lt;TIME(0,5,0)),"RETRASO DE 3-5 MIN",IF(AND((I510-G510)&gt;=TIME(0,5,0),(I510-G510)&lt;TIME(0,10,0)),"RETRASO DE 5-10 MIN",IF((I510-G510)&gt;=TIME(0,10,0),"RETRASO &gt;10 MIN", IF(AND((G510-I510)&gt;=TIME(0,0,0),(G510-I510)&lt;TIME(0,3,0)),"OK",IF((G510-I510)&gt;=TIME(0,3,0),"ADELANTADO")))))))</f>
        <v/>
      </c>
      <c r="I510" s="89" t="n"/>
      <c r="J510" s="89">
        <f>IF(A510&lt;&gt;"",HLOOKUP(VALUE(TEXT(G510,"h:mm:ss")),IF($C$6="Laboral",$FZ$4:$GX$227,IF($C$6="Sábado",$FZ$231:$GX$452,$FZ$456:$GX$656)),VLOOKUP($C$4,$HF$2:$HH$99,3,0)+IF(C$5="Ida",0,1),1),"")</f>
        <v/>
      </c>
      <c r="K510" s="89">
        <f>IF(A511&lt;&gt;A510,AVERAGEIF(A$9:A510,A510,J$9:J510),"")</f>
        <v/>
      </c>
      <c r="L510" s="89">
        <f>IFERROR(IF(A511&lt;&gt;A510,AVERAGEIF(A$9:A510,A510,S$9:S510),""),"")</f>
        <v/>
      </c>
      <c r="M510" s="89">
        <f>IFERROR(IF(A511&lt;&gt;A510,AVERAGEIF(A$9:A510,A510,T$9:T510),""),"")</f>
        <v/>
      </c>
      <c r="N510" s="89">
        <f t="array" ref="N510">IFERROR(IF(A511&lt;&gt;A510,_xlfn.STDEV.P(IF(A$9:A510=A510,T$9:T510)),""),"")</f>
        <v/>
      </c>
      <c r="O510" s="89">
        <f t="array" ref="O510">IFERROR(IF(A511&lt;&gt;A510,_xlfn.STDEV.P(IF(A$9:A510=A510,S$9:S510)),""),"")</f>
        <v/>
      </c>
      <c r="P510" s="90">
        <f>IFERROR(IF(A510&lt;&gt;A511,MAX((((M510*24*60)/2)*(1+POWER((((N510*24*60) / (M510*24*60) )),2))) + ((M510*24*60 )*-0.1 + (K510*0.015)) +1,(((M510*24*60)/2)*(1+POWER((((N510*24*60) / (M510*24*60 ))),2)))),""),"")</f>
        <v/>
      </c>
      <c r="Q510" s="90">
        <f>IF(AND(O510&lt;&gt;"",L510&lt;&gt;""),IF(A510&lt;&gt;A511,((L510*24*60) / 2 ) * (1 + POWER(((O510*24*60) / (L510*24*60)),2)),""),"")</f>
        <v/>
      </c>
      <c r="R510" s="90">
        <f>IF(Q510&lt;&gt;"",MAX(P510,Q510),"")</f>
        <v/>
      </c>
      <c r="S510" s="89">
        <f>IF(I510&lt;&gt;"H. Sale Real",IF(AND(I511&lt;&gt;"",LEFT(C511,2)&lt;&gt;"Va"),IF(AND(I510&lt;&gt;"",LEFT(C510,2)&lt;&gt;"Va",I510&lt;&gt;"H. Sale Real"),IF(I511-I510&lt;0.208333333333333,I511-I510,""),IF(AND(I509&lt;&gt;"",LEFT(C509,2)&lt;&gt;"Va",I509&lt;&gt;"H. Sale Real"),IF(I511-I509&lt;0.208333333333333,I511-I509,""),IF(AND(I508&lt;&gt;"",LEFT(C508,2)&lt;&gt;"Va",I508&lt;&gt;"H. Sale Real"),IF(I511-I508&lt;0.208333333333333,I511-I508,""),IF(AND(I507&lt;&gt;"",LEFT(C507,2)&lt;&gt;"Va",I507&lt;&gt;"H. Sale Real"),IF(I511-I507&lt;0.208333333333333,I511-I507,""),IF(AND(I506&lt;&gt;"",LEFT(C506,2)&lt;&gt;"Va",I506&lt;&gt;"H. Sale Real"),IF(I511-I506&lt;0.208333333333333,I511-I506,""),""))))),""),"")</f>
        <v/>
      </c>
      <c r="T510" s="89">
        <f>IF(G510&lt;&gt;"H. Sale Real",IF(AND(G511&lt;&gt;"",LEFT(C511,2)&lt;&gt;"Va"),IF(AND(G510&lt;&gt;"",LEFT(C510,2)&lt;&gt;"Va",G510&lt;&gt;"H. Sale Real"),IF(G511-G510&lt;0.208333333333333,G511-G510,""),IF(AND(G509&lt;&gt;"",LEFT(C509,2)&lt;&gt;"Va",G509&lt;&gt;"H. Sale Real"),IF(G511-G509&lt;0.208333333333333,G511-G509,""),IF(AND(G508&lt;&gt;"",LEFT(C508,2)&lt;&gt;"Va",G508&lt;&gt;"H. Sale Real"),IF(G511-G508&lt;0.208333333333333,G511-G508,""),IF(AND(G507&lt;&gt;"",LEFT(C507,2)&lt;&gt;"Va",G507&lt;&gt;"H. Sale Real"),IF(G511-G507&lt;0.208333333333333,G511-G507,""),IF(AND(G506&lt;&gt;"",LEFT(C506,2)&lt;&gt;"Va",G506&lt;&gt;"H. Sale Real"),IF(G511-G506&lt;0.208333333333333,G511-G506,""),""))))),""),"")</f>
        <v/>
      </c>
      <c r="U510" s="87" t="n"/>
      <c r="V510" s="89" t="n"/>
      <c r="W510" s="87" t="n"/>
      <c r="X510" s="89" t="n"/>
      <c r="Y510" s="91" t="n"/>
      <c r="Z510" s="122">
        <f>IF(G510&lt;&gt;"",IF(AND(Z509&lt;&gt;"IE",P510&lt;&gt;0,R510&lt;&gt;""),IF(IFERROR((P510/R510),0) &lt;=1,IFERROR(P510/R510,""),1),""),"")</f>
        <v/>
      </c>
      <c r="AA510" s="93" t="n"/>
      <c r="AB510" s="2" t="n"/>
      <c r="AE510" s="10">
        <f>HOUR(AK510)+1</f>
        <v/>
      </c>
      <c r="AF510" s="7" t="n"/>
      <c r="AG510" s="7" t="n"/>
      <c r="AH510" s="86" t="n"/>
      <c r="AI510" s="8" t="n"/>
      <c r="AJ510" s="86" t="n"/>
      <c r="AK510" s="87" t="n"/>
      <c r="AL510" s="88">
        <f>IF(AM510="","",IF(AND((AM510-AK510)&gt;=TIME(0,0,0),(AM510-AK510)&lt;TIME(0,3,0)),"OK",IF(AND((AM510-AK510)&gt;=TIME(0,3,0),(AM510-AK510)&lt;TIME(0,5,0)),"RETRASO DE 3-5 MIN",IF(AND((AM510-AK510)&gt;=TIME(0,5,0),(AM510-AK510)&lt;TIME(0,10,0)),"RETRASO DE 5-10 MIN",IF((AM510-AK510)&gt;=TIME(0,10,0),"RETRASO &gt;10 MIN", IF(AND((AK510-AM510)&gt;=TIME(0,0,0),(AK510-AM510)&lt;TIME(0,3,0)),"OK",IF((AK510-AM510)&gt;=TIME(0,3,0),"ADELANTADO")))))))</f>
        <v/>
      </c>
      <c r="AM510" s="91" t="n"/>
      <c r="AN510" s="89">
        <f>IF(AE510&lt;&gt;"",HLOOKUP(VALUE(TEXT(AK510,"h:mm:ss")),IF($C$6="Laboral",$FZ$4:$GX$227,IF($C$6="Sábado",$FZ$231:$GX$452,$FZ$456:$GX$656)),VLOOKUP($C$4,$HF$2:$HH$99,3,0)+IF(AG$5="Ida",0,1),1),"")</f>
        <v/>
      </c>
      <c r="AO510" s="89">
        <f>IF(AE511&lt;&gt;AE510,AVERAGEIF(AE$9:AE510,AE510,AN$9:AN510),"")</f>
        <v/>
      </c>
      <c r="AP510" s="89">
        <f>IFERROR(IF(AE511&lt;&gt;AE510,AVERAGEIF(AE$9:AE510,AE510,AW$9:AW510),""),"")</f>
        <v/>
      </c>
      <c r="AQ510" s="89">
        <f>IFERROR(IF(AE511&lt;&gt;AE510,AVERAGEIF(AE$9:AE510,AE510,AX$9:AX510),""),"")</f>
        <v/>
      </c>
      <c r="AR510" s="89">
        <f t="array" ref="AR510">IFERROR(IF(AE511&lt;&gt;AE510,_xlfn.STDEV.P(IF(AE$9:AE510=AE510,AX$9:AX510)),""),"")</f>
        <v/>
      </c>
      <c r="AS510" s="89">
        <f t="array" ref="AS510">IFERROR(IF(AE511&lt;&gt;AE510,_xlfn.STDEV.P(IF(AE$9:AE510=AE510,AW$9:AW510)),""),"")</f>
        <v/>
      </c>
      <c r="AT510" s="90">
        <f>IFERROR(IF(AE510&lt;&gt;AE511,MAX((((AQ510*24*60)/2)*(1+POWER((((AR510*24*60) / (AQ510*24*60) )),2))) + ((AQ510*24*60 )*-0.1 + (AO510*0.015)) +1,(((AQ510*24*60)/2)*(1+POWER((((AR510*24*60) / (AQ510*24*60 ))),2)))),""),"")</f>
        <v/>
      </c>
      <c r="AU510" s="90">
        <f>IF(AND(AS510&lt;&gt;"",AP510&lt;&gt;""),IF(AE510&lt;&gt;AE511,((AP510*24*60) / 2 ) * (1 + POWER(((AS510*24*60) / (AP510*24*60)),2)),""),"")</f>
        <v/>
      </c>
      <c r="AV510" s="90">
        <f>IF(AU510&lt;&gt;"",MAX(AT510,AU510),"")</f>
        <v/>
      </c>
      <c r="AW510" s="89">
        <f>IF(AM510&lt;&gt;"H. Sale Real",IF(AND(AM511&lt;&gt;"",LEFT(AG511,2)&lt;&gt;"Va"),IF(AND(AM510&lt;&gt;"",LEFT(AG510,2)&lt;&gt;"Va",AM510&lt;&gt;"H. Sale Real"),IF(AM511-AM510&lt;0.208333333333333,AM511-AM510,""),IF(AND(AM509&lt;&gt;"",LEFT(AG509,2)&lt;&gt;"Va",AM509&lt;&gt;"H. Sale Real"),IF(AM511-AM509&lt;0.208333333333333,AM511-AM509,""),IF(AND(AM508&lt;&gt;"",LEFT(AG508,2)&lt;&gt;"Va",AM508&lt;&gt;"H. Sale Real"),IF(AM511-AM508&lt;0.208333333333333,AM511-AM508,""),IF(AND(AM507&lt;&gt;"",LEFT(AG507,2)&lt;&gt;"Va",AM507&lt;&gt;"H. Sale Real"),IF(AM511-AM507&lt;0.208333333333333,AM511-AM507,""),IF(AND(AM506&lt;&gt;"",LEFT(AG506,2)&lt;&gt;"Va",AM506&lt;&gt;"H. Sale Real"),IF(AM511-AM506&lt;0.208333333333333,AM511-AM506,""),""))))),""),"")</f>
        <v/>
      </c>
      <c r="AX510" s="89">
        <f>IF(AK510&lt;&gt;"H. Sale Real",IF(AND(AK511&lt;&gt;"",LEFT(AG511,2)&lt;&gt;"Va"),IF(AND(AK510&lt;&gt;"",LEFT(AG510,2)&lt;&gt;"Va",AK510&lt;&gt;"H. Sale Real"),IF(AK511-AK510&lt;0.208333333333333,AK511-AK510,""),IF(AND(AK509&lt;&gt;"",LEFT(AG509,2)&lt;&gt;"Va",AK509&lt;&gt;"H. Sale Real"),IF(AK511-AK509&lt;0.208333333333333,AK511-AK509,""),IF(AND(AK508&lt;&gt;"",LEFT(AG508,2)&lt;&gt;"NC",AK508&lt;&gt;"H. Sale Real"),IF(AK511-AK508&lt;0.208333333333333,AK511-AK508,""),IF(AND(AK507&lt;&gt;"",LEFT(AG507,2)&lt;&gt;"Va",AK507&lt;&gt;"H. Sale Real"),IF(AK511-AK507&lt;0.208333333333333,AK511-AK507,""),IF(AND(AK506&lt;&gt;"",LEFT(AG506,2)&lt;&gt;"Va",AK506&lt;&gt;"H. Sale Real"),IF(AK511-AK506&lt;0.208333333333333,AK511-AK506,""),""))))),""),"")</f>
        <v/>
      </c>
      <c r="AY510" s="87" t="n"/>
      <c r="AZ510" s="89" t="n"/>
      <c r="BA510" s="87" t="n"/>
      <c r="BB510" s="89" t="n"/>
      <c r="BC510" s="91" t="n"/>
      <c r="BD510" s="122">
        <f>IF(AK510&lt;&gt;"",IF(AND(BD509&lt;&gt;"IE",AT510&lt;&gt;0,AV510&lt;&gt;""),IF(IFERROR((AT510/AV510),0) &lt;=1,IFERROR(AT510/AV510,""),1),""),"")</f>
        <v/>
      </c>
      <c r="BE510" s="93" t="n"/>
      <c r="BF510" s="105" t="n"/>
      <c r="FC510" t="inlineStr">
        <is>
          <t>Diccionario 1</t>
        </is>
      </c>
      <c r="FD510" s="15" t="inlineStr"/>
      <c r="FE510" s="17" t="inlineStr">
        <is>
          <t>LDYECS310S0044196</t>
        </is>
      </c>
      <c r="FF510" s="18" t="inlineStr">
        <is>
          <t>MDN35025020243</t>
        </is>
      </c>
      <c r="FG510" s="18" t="inlineStr">
        <is>
          <t>Zhong Thong</t>
        </is>
      </c>
      <c r="FH510" s="18" t="inlineStr">
        <is>
          <t>Lck6122evg</t>
        </is>
      </c>
      <c r="FI510" s="18" t="inlineStr">
        <is>
          <t>Zhong Thong</t>
        </is>
      </c>
      <c r="FJ510" s="18" t="inlineStr">
        <is>
          <t>Lck6122evg</t>
        </is>
      </c>
      <c r="FK510" s="18" t="n">
        <v>2026</v>
      </c>
      <c r="FL510" s="18" t="inlineStr">
        <is>
          <t>B</t>
        </is>
      </c>
      <c r="FM510" s="18" t="inlineStr">
        <is>
          <t>Ducaud</t>
        </is>
      </c>
      <c r="FP510" t="inlineStr">
        <is>
          <t>B</t>
        </is>
      </c>
      <c r="FS510" s="14" t="inlineStr">
        <is>
          <t>LZPR-80|</t>
        </is>
      </c>
      <c r="FT510" t="inlineStr">
        <is>
          <t>LZPR-80|</t>
        </is>
      </c>
      <c r="FU510" t="inlineStr">
        <is>
          <t>LZPR-80</t>
        </is>
      </c>
      <c r="FV510">
        <f>VLOOKUP(FU510,FD:FL,9,0)</f>
        <v/>
      </c>
      <c r="FZ510" s="51" t="inlineStr">
        <is>
          <t>F20</t>
        </is>
      </c>
      <c r="GA510" s="43" t="n">
        <v>27.305</v>
      </c>
      <c r="GB510" s="43" t="n">
        <v>28.665</v>
      </c>
      <c r="GC510" s="43" t="n">
        <v>29.985</v>
      </c>
      <c r="GD510" s="43" t="n">
        <v>31.645</v>
      </c>
      <c r="GE510" s="43" t="n">
        <v>31.365</v>
      </c>
      <c r="GF510" s="43" t="n">
        <v>29.6</v>
      </c>
      <c r="GG510" s="43" t="n">
        <v>27.83</v>
      </c>
      <c r="GH510" s="43" t="n">
        <v>25.06</v>
      </c>
      <c r="GI510" s="43" t="n">
        <v>23.735</v>
      </c>
      <c r="GJ510" s="43" t="n">
        <v>22.625</v>
      </c>
      <c r="GK510" s="43" t="n">
        <v>21.205</v>
      </c>
      <c r="GL510" s="43" t="n">
        <v>20.075</v>
      </c>
      <c r="GM510" s="43" t="n">
        <v>19.385</v>
      </c>
      <c r="GN510" s="43" t="n">
        <v>19.215</v>
      </c>
      <c r="GO510" s="43" t="n">
        <v>19.68</v>
      </c>
      <c r="GP510" s="43" t="n">
        <v>19.825</v>
      </c>
      <c r="GQ510" s="43" t="n">
        <v>19.325</v>
      </c>
      <c r="GR510" s="43" t="n">
        <v>18.9</v>
      </c>
      <c r="GS510" s="43" t="n">
        <v>18.69</v>
      </c>
      <c r="GT510" s="43" t="n">
        <v>19.12</v>
      </c>
      <c r="GU510" s="43" t="n">
        <v>20.015</v>
      </c>
      <c r="GV510" s="43" t="n">
        <v>21.72</v>
      </c>
      <c r="GW510" s="43" t="n">
        <v>24.52</v>
      </c>
      <c r="GX510" s="43" t="n">
        <v>27.7</v>
      </c>
      <c r="HA510" s="35" t="n">
        <v>55</v>
      </c>
      <c r="HB510" s="35" t="n">
        <v>504</v>
      </c>
    </row>
    <row r="511" ht="15.5" customHeight="1">
      <c r="A511" s="10">
        <f>HOUR(G511)+1</f>
        <v/>
      </c>
      <c r="B511" s="7" t="n"/>
      <c r="C511" s="7" t="n"/>
      <c r="D511" s="85">
        <f>IFERROR(
IF(AND(OR(Planilla!B511="C",Planilla!B511="c"), VLOOKUP(E511,FD:FP,13,0)="C"), "OK",IF(AND(OR(Planilla!B511="C",Planilla!B511="c"), OR(VLOOKUP(E511,FD:FP,13,0)="B", VLOOKUP(E511,FD:FP,13,0)="A")), "DEFICIT",IF(
AND(OR(Planilla!B511="B", Planilla!B511="BPAL"), VLOOKUP(E511,FD:FP,13,0)="B"), "OK",IF(AND(OR(Planilla!B511="B", Planilla!B511="BPAL"), VLOOKUP(E511,FD:FP,13,0)="A"), "DEFICIT",IF(AND(OR(Planilla!B511="B", Planilla!B511="BPAL"), VLOOKUP(E511,FD:FP,13,0)="C"), "SOBREOFERTA",IF(AND(Planilla!B511="A", VLOOKUP(E511,FD:FP,13,0)="A"), "OK",IF(
AND(Planilla!B511="A", OR(VLOOKUP(E511,FD:FP,13,0)="B", VLOOKUP(E511,FD:FP,13,0)="C")), "SOBREOFERTA",""
))))))),"")</f>
        <v/>
      </c>
      <c r="E511" s="8" t="n"/>
      <c r="F511" s="86" t="n"/>
      <c r="G511" s="87" t="n"/>
      <c r="H511" s="88">
        <f>IF(I511="","",IF(AND((I511-G511)&gt;=TIME(0,0,0),(I511-G511)&lt;TIME(0,3,0)),"OK",IF(AND((I511-G511)&gt;=TIME(0,3,0),(I511-G511)&lt;TIME(0,5,0)),"RETRASO DE 3-5 MIN",IF(AND((I511-G511)&gt;=TIME(0,5,0),(I511-G511)&lt;TIME(0,10,0)),"RETRASO DE 5-10 MIN",IF((I511-G511)&gt;=TIME(0,10,0),"RETRASO &gt;10 MIN", IF(AND((G511-I511)&gt;=TIME(0,0,0),(G511-I511)&lt;TIME(0,3,0)),"OK",IF((G511-I511)&gt;=TIME(0,3,0),"ADELANTADO")))))))</f>
        <v/>
      </c>
      <c r="I511" s="89" t="n"/>
      <c r="J511" s="89">
        <f>IF(A511&lt;&gt;"",HLOOKUP(VALUE(TEXT(G511,"h:mm:ss")),IF($C$6="Laboral",$FZ$4:$GX$227,IF($C$6="Sábado",$FZ$231:$GX$452,$FZ$456:$GX$656)),VLOOKUP($C$4,$HF$2:$HH$99,3,0)+IF(C$5="Ida",0,1),1),"")</f>
        <v/>
      </c>
      <c r="K511" s="89">
        <f>IF(A512&lt;&gt;A511,AVERAGEIF(A$9:A511,A511,J$9:J511),"")</f>
        <v/>
      </c>
      <c r="L511" s="89">
        <f>IFERROR(IF(A512&lt;&gt;A511,AVERAGEIF(A$9:A511,A511,S$9:S511),""),"")</f>
        <v/>
      </c>
      <c r="M511" s="89">
        <f>IFERROR(IF(A512&lt;&gt;A511,AVERAGEIF(A$9:A511,A511,T$9:T511),""),"")</f>
        <v/>
      </c>
      <c r="N511" s="89">
        <f t="array" ref="N511">IFERROR(IF(A512&lt;&gt;A511,_xlfn.STDEV.P(IF(A$9:A511=A511,T$9:T511)),""),"")</f>
        <v/>
      </c>
      <c r="O511" s="89">
        <f t="array" ref="O511">IFERROR(IF(A512&lt;&gt;A511,_xlfn.STDEV.P(IF(A$9:A511=A511,S$9:S511)),""),"")</f>
        <v/>
      </c>
      <c r="P511" s="90">
        <f>IFERROR(IF(A511&lt;&gt;A512,MAX((((M511*24*60)/2)*(1+POWER((((N511*24*60) / (M511*24*60) )),2))) + ((M511*24*60 )*-0.1 + (K511*0.015)) +1,(((M511*24*60)/2)*(1+POWER((((N511*24*60) / (M511*24*60 ))),2)))),""),"")</f>
        <v/>
      </c>
      <c r="Q511" s="90">
        <f>IF(AND(O511&lt;&gt;"",L511&lt;&gt;""),IF(A511&lt;&gt;A512,((L511*24*60) / 2 ) * (1 + POWER(((O511*24*60) / (L511*24*60)),2)),""),"")</f>
        <v/>
      </c>
      <c r="R511" s="90">
        <f>IF(Q511&lt;&gt;"",MAX(P511,Q511),"")</f>
        <v/>
      </c>
      <c r="S511" s="89">
        <f>IF(I511&lt;&gt;"H. Sale Real",IF(AND(I512&lt;&gt;"",LEFT(C512,2)&lt;&gt;"Va"),IF(AND(I511&lt;&gt;"",LEFT(C511,2)&lt;&gt;"Va",I511&lt;&gt;"H. Sale Real"),IF(I512-I511&lt;0.208333333333333,I512-I511,""),IF(AND(I510&lt;&gt;"",LEFT(C510,2)&lt;&gt;"Va",I510&lt;&gt;"H. Sale Real"),IF(I512-I510&lt;0.208333333333333,I512-I510,""),IF(AND(I509&lt;&gt;"",LEFT(C509,2)&lt;&gt;"Va",I509&lt;&gt;"H. Sale Real"),IF(I512-I509&lt;0.208333333333333,I512-I509,""),IF(AND(I508&lt;&gt;"",LEFT(C508,2)&lt;&gt;"Va",I508&lt;&gt;"H. Sale Real"),IF(I512-I508&lt;0.208333333333333,I512-I508,""),IF(AND(I507&lt;&gt;"",LEFT(C507,2)&lt;&gt;"Va",I507&lt;&gt;"H. Sale Real"),IF(I512-I507&lt;0.208333333333333,I512-I507,""),""))))),""),"")</f>
        <v/>
      </c>
      <c r="T511" s="89">
        <f>IF(G511&lt;&gt;"H. Sale Real",IF(AND(G512&lt;&gt;"",LEFT(C512,2)&lt;&gt;"Va"),IF(AND(G511&lt;&gt;"",LEFT(C511,2)&lt;&gt;"Va",G511&lt;&gt;"H. Sale Real"),IF(G512-G511&lt;0.208333333333333,G512-G511,""),IF(AND(G510&lt;&gt;"",LEFT(C510,2)&lt;&gt;"Va",G510&lt;&gt;"H. Sale Real"),IF(G512-G510&lt;0.208333333333333,G512-G510,""),IF(AND(G509&lt;&gt;"",LEFT(C509,2)&lt;&gt;"Va",G509&lt;&gt;"H. Sale Real"),IF(G512-G509&lt;0.208333333333333,G512-G509,""),IF(AND(G508&lt;&gt;"",LEFT(C508,2)&lt;&gt;"Va",G508&lt;&gt;"H. Sale Real"),IF(G512-G508&lt;0.208333333333333,G512-G508,""),IF(AND(G507&lt;&gt;"",LEFT(C507,2)&lt;&gt;"Va",G507&lt;&gt;"H. Sale Real"),IF(G512-G507&lt;0.208333333333333,G512-G507,""),""))))),""),"")</f>
        <v/>
      </c>
      <c r="U511" s="87" t="n"/>
      <c r="V511" s="89" t="n"/>
      <c r="W511" s="87" t="n"/>
      <c r="X511" s="89" t="n"/>
      <c r="Y511" s="91" t="n"/>
      <c r="Z511" s="122">
        <f>IF(G511&lt;&gt;"",IF(AND(Z510&lt;&gt;"IE",P511&lt;&gt;0,R511&lt;&gt;""),IF(IFERROR((P511/R511),0) &lt;=1,IFERROR(P511/R511,""),1),""),"")</f>
        <v/>
      </c>
      <c r="AA511" s="93" t="n"/>
      <c r="AB511" s="2" t="n"/>
      <c r="AE511" s="10">
        <f>HOUR(AK511)+1</f>
        <v/>
      </c>
      <c r="AF511" s="7" t="n"/>
      <c r="AG511" s="7" t="n"/>
      <c r="AH511" s="86" t="n"/>
      <c r="AI511" s="8" t="n"/>
      <c r="AJ511" s="86" t="n"/>
      <c r="AK511" s="87" t="n"/>
      <c r="AL511" s="88">
        <f>IF(AM511="","",IF(AND((AM511-AK511)&gt;=TIME(0,0,0),(AM511-AK511)&lt;TIME(0,3,0)),"OK",IF(AND((AM511-AK511)&gt;=TIME(0,3,0),(AM511-AK511)&lt;TIME(0,5,0)),"RETRASO DE 3-5 MIN",IF(AND((AM511-AK511)&gt;=TIME(0,5,0),(AM511-AK511)&lt;TIME(0,10,0)),"RETRASO DE 5-10 MIN",IF((AM511-AK511)&gt;=TIME(0,10,0),"RETRASO &gt;10 MIN", IF(AND((AK511-AM511)&gt;=TIME(0,0,0),(AK511-AM511)&lt;TIME(0,3,0)),"OK",IF((AK511-AM511)&gt;=TIME(0,3,0),"ADELANTADO")))))))</f>
        <v/>
      </c>
      <c r="AM511" s="91" t="n"/>
      <c r="AN511" s="89">
        <f>IF(AE511&lt;&gt;"",HLOOKUP(VALUE(TEXT(AK511,"h:mm:ss")),IF($C$6="Laboral",$FZ$4:$GX$227,IF($C$6="Sábado",$FZ$231:$GX$452,$FZ$456:$GX$656)),VLOOKUP($C$4,$HF$2:$HH$99,3,0)+IF(AG$5="Ida",0,1),1),"")</f>
        <v/>
      </c>
      <c r="AO511" s="89">
        <f>IF(AE512&lt;&gt;AE511,AVERAGEIF(AE$9:AE511,AE511,AN$9:AN511),"")</f>
        <v/>
      </c>
      <c r="AP511" s="89">
        <f>IFERROR(IF(AE512&lt;&gt;AE511,AVERAGEIF(AE$9:AE511,AE511,AW$9:AW511),""),"")</f>
        <v/>
      </c>
      <c r="AQ511" s="89">
        <f>IFERROR(IF(AE512&lt;&gt;AE511,AVERAGEIF(AE$9:AE511,AE511,AX$9:AX511),""),"")</f>
        <v/>
      </c>
      <c r="AR511" s="89">
        <f t="array" ref="AR511">IFERROR(IF(AE512&lt;&gt;AE511,_xlfn.STDEV.P(IF(AE$9:AE511=AE511,AX$9:AX511)),""),"")</f>
        <v/>
      </c>
      <c r="AS511" s="89">
        <f t="array" ref="AS511">IFERROR(IF(AE512&lt;&gt;AE511,_xlfn.STDEV.P(IF(AE$9:AE511=AE511,AW$9:AW511)),""),"")</f>
        <v/>
      </c>
      <c r="AT511" s="90">
        <f>IFERROR(IF(AE511&lt;&gt;AE512,MAX((((AQ511*24*60)/2)*(1+POWER((((AR511*24*60) / (AQ511*24*60) )),2))) + ((AQ511*24*60 )*-0.1 + (AO511*0.015)) +1,(((AQ511*24*60)/2)*(1+POWER((((AR511*24*60) / (AQ511*24*60 ))),2)))),""),"")</f>
        <v/>
      </c>
      <c r="AU511" s="90">
        <f>IF(AND(AS511&lt;&gt;"",AP511&lt;&gt;""),IF(AE511&lt;&gt;AE512,((AP511*24*60) / 2 ) * (1 + POWER(((AS511*24*60) / (AP511*24*60)),2)),""),"")</f>
        <v/>
      </c>
      <c r="AV511" s="90">
        <f>IF(AU511&lt;&gt;"",MAX(AT511,AU511),"")</f>
        <v/>
      </c>
      <c r="AW511" s="89">
        <f>IF(AM511&lt;&gt;"H. Sale Real",IF(AND(AM512&lt;&gt;"",LEFT(AG512,2)&lt;&gt;"Va"),IF(AND(AM511&lt;&gt;"",LEFT(AG511,2)&lt;&gt;"Va",AM511&lt;&gt;"H. Sale Real"),IF(AM512-AM511&lt;0.208333333333333,AM512-AM511,""),IF(AND(AM510&lt;&gt;"",LEFT(AG510,2)&lt;&gt;"Va",AM510&lt;&gt;"H. Sale Real"),IF(AM512-AM510&lt;0.208333333333333,AM512-AM510,""),IF(AND(AM509&lt;&gt;"",LEFT(AG509,2)&lt;&gt;"Va",AM509&lt;&gt;"H. Sale Real"),IF(AM512-AM509&lt;0.208333333333333,AM512-AM509,""),IF(AND(AM508&lt;&gt;"",LEFT(AG508,2)&lt;&gt;"Va",AM508&lt;&gt;"H. Sale Real"),IF(AM512-AM508&lt;0.208333333333333,AM512-AM508,""),IF(AND(AM507&lt;&gt;"",LEFT(AG507,2)&lt;&gt;"Va",AM507&lt;&gt;"H. Sale Real"),IF(AM512-AM507&lt;0.208333333333333,AM512-AM507,""),""))))),""),"")</f>
        <v/>
      </c>
      <c r="AX511" s="89">
        <f>IF(AK511&lt;&gt;"H. Sale Real",IF(AND(AK512&lt;&gt;"",LEFT(AG512,2)&lt;&gt;"Va"),IF(AND(AK511&lt;&gt;"",LEFT(AG511,2)&lt;&gt;"Va",AK511&lt;&gt;"H. Sale Real"),IF(AK512-AK511&lt;0.208333333333333,AK512-AK511,""),IF(AND(AK510&lt;&gt;"",LEFT(AG510,2)&lt;&gt;"Va",AK510&lt;&gt;"H. Sale Real"),IF(AK512-AK510&lt;0.208333333333333,AK512-AK510,""),IF(AND(AK509&lt;&gt;"",LEFT(AG509,2)&lt;&gt;"NC",AK509&lt;&gt;"H. Sale Real"),IF(AK512-AK509&lt;0.208333333333333,AK512-AK509,""),IF(AND(AK508&lt;&gt;"",LEFT(AG508,2)&lt;&gt;"Va",AK508&lt;&gt;"H. Sale Real"),IF(AK512-AK508&lt;0.208333333333333,AK512-AK508,""),IF(AND(AK507&lt;&gt;"",LEFT(AG507,2)&lt;&gt;"Va",AK507&lt;&gt;"H. Sale Real"),IF(AK512-AK507&lt;0.208333333333333,AK512-AK507,""),""))))),""),"")</f>
        <v/>
      </c>
      <c r="AY511" s="87" t="n"/>
      <c r="AZ511" s="89" t="n"/>
      <c r="BA511" s="87" t="n"/>
      <c r="BB511" s="89" t="n"/>
      <c r="BC511" s="91" t="n"/>
      <c r="BD511" s="122">
        <f>IF(AK511&lt;&gt;"",IF(AND(BD510&lt;&gt;"IE",AT511&lt;&gt;0,AV511&lt;&gt;""),IF(IFERROR((AT511/AV511),0) &lt;=1,IFERROR(AT511/AV511,""),1),""),"")</f>
        <v/>
      </c>
      <c r="BE511" s="93" t="n"/>
      <c r="BF511" s="105" t="n"/>
      <c r="FC511" t="inlineStr">
        <is>
          <t>Diccionario 1</t>
        </is>
      </c>
      <c r="FD511" s="15" t="inlineStr"/>
      <c r="FE511" s="17" t="inlineStr">
        <is>
          <t>LDYECS317S0044308</t>
        </is>
      </c>
      <c r="FF511" s="18" t="inlineStr">
        <is>
          <t>MDN35025010207</t>
        </is>
      </c>
      <c r="FG511" s="18" t="inlineStr">
        <is>
          <t>Zhong Thong</t>
        </is>
      </c>
      <c r="FH511" s="18" t="inlineStr">
        <is>
          <t>Lck6122evg</t>
        </is>
      </c>
      <c r="FI511" s="18" t="inlineStr">
        <is>
          <t>Zhong Thong</t>
        </is>
      </c>
      <c r="FJ511" s="18" t="inlineStr">
        <is>
          <t>Lck6122evg</t>
        </is>
      </c>
      <c r="FK511" s="18" t="n">
        <v>2026</v>
      </c>
      <c r="FL511" s="18" t="inlineStr">
        <is>
          <t>B</t>
        </is>
      </c>
      <c r="FM511" s="18" t="inlineStr">
        <is>
          <t>Ducaud</t>
        </is>
      </c>
      <c r="FP511" t="inlineStr">
        <is>
          <t>B</t>
        </is>
      </c>
      <c r="FS511" s="14" t="inlineStr">
        <is>
          <t>LZPG-22|</t>
        </is>
      </c>
      <c r="FT511" t="inlineStr">
        <is>
          <t>LZPG-22|</t>
        </is>
      </c>
      <c r="FU511" t="inlineStr">
        <is>
          <t>LZPG-22</t>
        </is>
      </c>
      <c r="FV511">
        <f>VLOOKUP(FU511,FD:FL,9,0)</f>
        <v/>
      </c>
      <c r="FZ511" s="51" t="inlineStr">
        <is>
          <t>F20</t>
        </is>
      </c>
      <c r="GA511" s="43" t="n">
        <v>27.265</v>
      </c>
      <c r="GB511" s="43" t="n">
        <v>28.035</v>
      </c>
      <c r="GC511" s="43" t="n">
        <v>30.045</v>
      </c>
      <c r="GD511" s="43" t="n">
        <v>30.63</v>
      </c>
      <c r="GE511" s="43" t="n">
        <v>30.665</v>
      </c>
      <c r="GF511" s="43" t="n">
        <v>29.195</v>
      </c>
      <c r="GG511" s="43" t="n">
        <v>26.135</v>
      </c>
      <c r="GH511" s="43" t="n">
        <v>23.96</v>
      </c>
      <c r="GI511" s="43" t="n">
        <v>22.985</v>
      </c>
      <c r="GJ511" s="43" t="n">
        <v>22.08</v>
      </c>
      <c r="GK511" s="43" t="n">
        <v>20.885</v>
      </c>
      <c r="GL511" s="43" t="n">
        <v>19.94</v>
      </c>
      <c r="GM511" s="43" t="n">
        <v>19.53</v>
      </c>
      <c r="GN511" s="43" t="n">
        <v>19.12</v>
      </c>
      <c r="GO511" s="43" t="n">
        <v>19.17</v>
      </c>
      <c r="GP511" s="43" t="n">
        <v>19.675</v>
      </c>
      <c r="GQ511" s="43" t="n">
        <v>20.3</v>
      </c>
      <c r="GR511" s="43" t="n">
        <v>19.965</v>
      </c>
      <c r="GS511" s="43" t="n">
        <v>19.675</v>
      </c>
      <c r="GT511" s="43" t="n">
        <v>20.355</v>
      </c>
      <c r="GU511" s="43" t="n">
        <v>20.765</v>
      </c>
      <c r="GV511" s="43" t="n">
        <v>22.56</v>
      </c>
      <c r="GW511" s="43" t="n">
        <v>25.195</v>
      </c>
      <c r="GX511" s="43" t="n">
        <v>28.025</v>
      </c>
      <c r="HA511" s="35" t="n">
        <v>56</v>
      </c>
      <c r="HB511" s="35" t="n">
        <v>505</v>
      </c>
    </row>
    <row r="512" ht="15.5" customHeight="1">
      <c r="A512" s="10">
        <f>HOUR(G512)+1</f>
        <v/>
      </c>
      <c r="B512" s="7" t="n"/>
      <c r="C512" s="7" t="n"/>
      <c r="D512" s="85">
        <f>IFERROR(
IF(AND(OR(Planilla!B512="C",Planilla!B512="c"), VLOOKUP(E512,FD:FP,13,0)="C"), "OK",IF(AND(OR(Planilla!B512="C",Planilla!B512="c"), OR(VLOOKUP(E512,FD:FP,13,0)="B", VLOOKUP(E512,FD:FP,13,0)="A")), "DEFICIT",IF(
AND(OR(Planilla!B512="B", Planilla!B512="BPAL"), VLOOKUP(E512,FD:FP,13,0)="B"), "OK",IF(AND(OR(Planilla!B512="B", Planilla!B512="BPAL"), VLOOKUP(E512,FD:FP,13,0)="A"), "DEFICIT",IF(AND(OR(Planilla!B512="B", Planilla!B512="BPAL"), VLOOKUP(E512,FD:FP,13,0)="C"), "SOBREOFERTA",IF(AND(Planilla!B512="A", VLOOKUP(E512,FD:FP,13,0)="A"), "OK",IF(
AND(Planilla!B512="A", OR(VLOOKUP(E512,FD:FP,13,0)="B", VLOOKUP(E512,FD:FP,13,0)="C")), "SOBREOFERTA",""
))))))),"")</f>
        <v/>
      </c>
      <c r="E512" s="8" t="n"/>
      <c r="F512" s="86" t="n"/>
      <c r="G512" s="87" t="n"/>
      <c r="H512" s="88">
        <f>IF(I512="","",IF(AND((I512-G512)&gt;=TIME(0,0,0),(I512-G512)&lt;TIME(0,3,0)),"OK",IF(AND((I512-G512)&gt;=TIME(0,3,0),(I512-G512)&lt;TIME(0,5,0)),"RETRASO DE 3-5 MIN",IF(AND((I512-G512)&gt;=TIME(0,5,0),(I512-G512)&lt;TIME(0,10,0)),"RETRASO DE 5-10 MIN",IF((I512-G512)&gt;=TIME(0,10,0),"RETRASO &gt;10 MIN", IF(AND((G512-I512)&gt;=TIME(0,0,0),(G512-I512)&lt;TIME(0,3,0)),"OK",IF((G512-I512)&gt;=TIME(0,3,0),"ADELANTADO")))))))</f>
        <v/>
      </c>
      <c r="I512" s="89" t="n"/>
      <c r="J512" s="89">
        <f>IF(A512&lt;&gt;"",HLOOKUP(VALUE(TEXT(G512,"h:mm:ss")),IF($C$6="Laboral",$FZ$4:$GX$227,IF($C$6="Sábado",$FZ$231:$GX$452,$FZ$456:$GX$656)),VLOOKUP($C$4,$HF$2:$HH$99,3,0)+IF(C$5="Ida",0,1),1),"")</f>
        <v/>
      </c>
      <c r="K512" s="89">
        <f>IF(A513&lt;&gt;A512,AVERAGEIF(A$9:A512,A512,J$9:J512),"")</f>
        <v/>
      </c>
      <c r="L512" s="89">
        <f>IFERROR(IF(A513&lt;&gt;A512,AVERAGEIF(A$9:A512,A512,S$9:S512),""),"")</f>
        <v/>
      </c>
      <c r="M512" s="89">
        <f>IFERROR(IF(A513&lt;&gt;A512,AVERAGEIF(A$9:A512,A512,T$9:T512),""),"")</f>
        <v/>
      </c>
      <c r="N512" s="89">
        <f t="array" ref="N512">IFERROR(IF(A513&lt;&gt;A512,_xlfn.STDEV.P(IF(A$9:A512=A512,T$9:T512)),""),"")</f>
        <v/>
      </c>
      <c r="O512" s="89">
        <f t="array" ref="O512">IFERROR(IF(A513&lt;&gt;A512,_xlfn.STDEV.P(IF(A$9:A512=A512,S$9:S512)),""),"")</f>
        <v/>
      </c>
      <c r="P512" s="90">
        <f>IFERROR(IF(A512&lt;&gt;A513,MAX((((M512*24*60)/2)*(1+POWER((((N512*24*60) / (M512*24*60) )),2))) + ((M512*24*60 )*-0.1 + (K512*0.015)) +1,(((M512*24*60)/2)*(1+POWER((((N512*24*60) / (M512*24*60 ))),2)))),""),"")</f>
        <v/>
      </c>
      <c r="Q512" s="90">
        <f>IF(AND(O512&lt;&gt;"",L512&lt;&gt;""),IF(A512&lt;&gt;A513,((L512*24*60) / 2 ) * (1 + POWER(((O512*24*60) / (L512*24*60)),2)),""),"")</f>
        <v/>
      </c>
      <c r="R512" s="90">
        <f>IF(Q512&lt;&gt;"",MAX(P512,Q512),"")</f>
        <v/>
      </c>
      <c r="S512" s="89">
        <f>IF(I512&lt;&gt;"H. Sale Real",IF(AND(I513&lt;&gt;"",LEFT(C513,2)&lt;&gt;"Va"),IF(AND(I512&lt;&gt;"",LEFT(C512,2)&lt;&gt;"Va",I512&lt;&gt;"H. Sale Real"),IF(I513-I512&lt;0.208333333333333,I513-I512,""),IF(AND(I511&lt;&gt;"",LEFT(C511,2)&lt;&gt;"Va",I511&lt;&gt;"H. Sale Real"),IF(I513-I511&lt;0.208333333333333,I513-I511,""),IF(AND(I510&lt;&gt;"",LEFT(C510,2)&lt;&gt;"Va",I510&lt;&gt;"H. Sale Real"),IF(I513-I510&lt;0.208333333333333,I513-I510,""),IF(AND(I509&lt;&gt;"",LEFT(C509,2)&lt;&gt;"Va",I509&lt;&gt;"H. Sale Real"),IF(I513-I509&lt;0.208333333333333,I513-I509,""),IF(AND(I508&lt;&gt;"",LEFT(C508,2)&lt;&gt;"Va",I508&lt;&gt;"H. Sale Real"),IF(I513-I508&lt;0.208333333333333,I513-I508,""),""))))),""),"")</f>
        <v/>
      </c>
      <c r="T512" s="89">
        <f>IF(G512&lt;&gt;"H. Sale Real",IF(AND(G513&lt;&gt;"",LEFT(C513,2)&lt;&gt;"Va"),IF(AND(G512&lt;&gt;"",LEFT(C512,2)&lt;&gt;"Va",G512&lt;&gt;"H. Sale Real"),IF(G513-G512&lt;0.208333333333333,G513-G512,""),IF(AND(G511&lt;&gt;"",LEFT(C511,2)&lt;&gt;"Va",G511&lt;&gt;"H. Sale Real"),IF(G513-G511&lt;0.208333333333333,G513-G511,""),IF(AND(G510&lt;&gt;"",LEFT(C510,2)&lt;&gt;"Va",G510&lt;&gt;"H. Sale Real"),IF(G513-G510&lt;0.208333333333333,G513-G510,""),IF(AND(G509&lt;&gt;"",LEFT(C509,2)&lt;&gt;"Va",G509&lt;&gt;"H. Sale Real"),IF(G513-G509&lt;0.208333333333333,G513-G509,""),IF(AND(G508&lt;&gt;"",LEFT(C508,2)&lt;&gt;"Va",G508&lt;&gt;"H. Sale Real"),IF(G513-G508&lt;0.208333333333333,G513-G508,""),""))))),""),"")</f>
        <v/>
      </c>
      <c r="U512" s="87" t="n"/>
      <c r="V512" s="89" t="n"/>
      <c r="W512" s="87" t="n"/>
      <c r="X512" s="89" t="n"/>
      <c r="Y512" s="91" t="n"/>
      <c r="Z512" s="122">
        <f>IF(G512&lt;&gt;"",IF(AND(Z511&lt;&gt;"IE",P512&lt;&gt;0,R512&lt;&gt;""),IF(IFERROR((P512/R512),0) &lt;=1,IFERROR(P512/R512,""),1),""),"")</f>
        <v/>
      </c>
      <c r="AA512" s="93" t="n"/>
      <c r="AB512" s="2" t="n"/>
      <c r="AE512" s="10">
        <f>HOUR(AK512)+1</f>
        <v/>
      </c>
      <c r="AF512" s="7" t="n"/>
      <c r="AG512" s="7" t="n"/>
      <c r="AH512" s="86" t="n"/>
      <c r="AI512" s="8" t="n"/>
      <c r="AJ512" s="86" t="n"/>
      <c r="AK512" s="87" t="n"/>
      <c r="AL512" s="88">
        <f>IF(AM512="","",IF(AND((AM512-AK512)&gt;=TIME(0,0,0),(AM512-AK512)&lt;TIME(0,3,0)),"OK",IF(AND((AM512-AK512)&gt;=TIME(0,3,0),(AM512-AK512)&lt;TIME(0,5,0)),"RETRASO DE 3-5 MIN",IF(AND((AM512-AK512)&gt;=TIME(0,5,0),(AM512-AK512)&lt;TIME(0,10,0)),"RETRASO DE 5-10 MIN",IF((AM512-AK512)&gt;=TIME(0,10,0),"RETRASO &gt;10 MIN", IF(AND((AK512-AM512)&gt;=TIME(0,0,0),(AK512-AM512)&lt;TIME(0,3,0)),"OK",IF((AK512-AM512)&gt;=TIME(0,3,0),"ADELANTADO")))))))</f>
        <v/>
      </c>
      <c r="AM512" s="91" t="n"/>
      <c r="AN512" s="89">
        <f>IF(AE512&lt;&gt;"",HLOOKUP(VALUE(TEXT(AK512,"h:mm:ss")),IF($C$6="Laboral",$FZ$4:$GX$227,IF($C$6="Sábado",$FZ$231:$GX$452,$FZ$456:$GX$656)),VLOOKUP($C$4,$HF$2:$HH$99,3,0)+IF(AG$5="Ida",0,1),1),"")</f>
        <v/>
      </c>
      <c r="AO512" s="89">
        <f>IF(AE513&lt;&gt;AE512,AVERAGEIF(AE$9:AE512,AE512,AN$9:AN512),"")</f>
        <v/>
      </c>
      <c r="AP512" s="89">
        <f>IFERROR(IF(AE513&lt;&gt;AE512,AVERAGEIF(AE$9:AE512,AE512,AW$9:AW512),""),"")</f>
        <v/>
      </c>
      <c r="AQ512" s="89">
        <f>IFERROR(IF(AE513&lt;&gt;AE512,AVERAGEIF(AE$9:AE512,AE512,AX$9:AX512),""),"")</f>
        <v/>
      </c>
      <c r="AR512" s="89">
        <f t="array" ref="AR512">IFERROR(IF(AE513&lt;&gt;AE512,_xlfn.STDEV.P(IF(AE$9:AE512=AE512,AX$9:AX512)),""),"")</f>
        <v/>
      </c>
      <c r="AS512" s="89">
        <f t="array" ref="AS512">IFERROR(IF(AE513&lt;&gt;AE512,_xlfn.STDEV.P(IF(AE$9:AE512=AE512,AW$9:AW512)),""),"")</f>
        <v/>
      </c>
      <c r="AT512" s="90">
        <f>IFERROR(IF(AE512&lt;&gt;AE513,MAX((((AQ512*24*60)/2)*(1+POWER((((AR512*24*60) / (AQ512*24*60) )),2))) + ((AQ512*24*60 )*-0.1 + (AO512*0.015)) +1,(((AQ512*24*60)/2)*(1+POWER((((AR512*24*60) / (AQ512*24*60 ))),2)))),""),"")</f>
        <v/>
      </c>
      <c r="AU512" s="90">
        <f>IF(AND(AS512&lt;&gt;"",AP512&lt;&gt;""),IF(AE512&lt;&gt;AE513,((AP512*24*60) / 2 ) * (1 + POWER(((AS512*24*60) / (AP512*24*60)),2)),""),"")</f>
        <v/>
      </c>
      <c r="AV512" s="90">
        <f>IF(AU512&lt;&gt;"",MAX(AT512,AU512),"")</f>
        <v/>
      </c>
      <c r="AW512" s="89">
        <f>IF(AM512&lt;&gt;"H. Sale Real",IF(AND(AM513&lt;&gt;"",LEFT(AG513,2)&lt;&gt;"Va"),IF(AND(AM512&lt;&gt;"",LEFT(AG512,2)&lt;&gt;"Va",AM512&lt;&gt;"H. Sale Real"),IF(AM513-AM512&lt;0.208333333333333,AM513-AM512,""),IF(AND(AM511&lt;&gt;"",LEFT(AG511,2)&lt;&gt;"Va",AM511&lt;&gt;"H. Sale Real"),IF(AM513-AM511&lt;0.208333333333333,AM513-AM511,""),IF(AND(AM510&lt;&gt;"",LEFT(AG510,2)&lt;&gt;"Va",AM510&lt;&gt;"H. Sale Real"),IF(AM513-AM510&lt;0.208333333333333,AM513-AM510,""),IF(AND(AM509&lt;&gt;"",LEFT(AG509,2)&lt;&gt;"Va",AM509&lt;&gt;"H. Sale Real"),IF(AM513-AM509&lt;0.208333333333333,AM513-AM509,""),IF(AND(AM508&lt;&gt;"",LEFT(AG508,2)&lt;&gt;"Va",AM508&lt;&gt;"H. Sale Real"),IF(AM513-AM508&lt;0.208333333333333,AM513-AM508,""),""))))),""),"")</f>
        <v/>
      </c>
      <c r="AX512" s="89">
        <f>IF(AK512&lt;&gt;"H. Sale Real",IF(AND(AK513&lt;&gt;"",LEFT(AG513,2)&lt;&gt;"Va"),IF(AND(AK512&lt;&gt;"",LEFT(AG512,2)&lt;&gt;"Va",AK512&lt;&gt;"H. Sale Real"),IF(AK513-AK512&lt;0.208333333333333,AK513-AK512,""),IF(AND(AK511&lt;&gt;"",LEFT(AG511,2)&lt;&gt;"Va",AK511&lt;&gt;"H. Sale Real"),IF(AK513-AK511&lt;0.208333333333333,AK513-AK511,""),IF(AND(AK510&lt;&gt;"",LEFT(AG510,2)&lt;&gt;"NC",AK510&lt;&gt;"H. Sale Real"),IF(AK513-AK510&lt;0.208333333333333,AK513-AK510,""),IF(AND(AK509&lt;&gt;"",LEFT(AG509,2)&lt;&gt;"Va",AK509&lt;&gt;"H. Sale Real"),IF(AK513-AK509&lt;0.208333333333333,AK513-AK509,""),IF(AND(AK508&lt;&gt;"",LEFT(AG508,2)&lt;&gt;"Va",AK508&lt;&gt;"H. Sale Real"),IF(AK513-AK508&lt;0.208333333333333,AK513-AK508,""),""))))),""),"")</f>
        <v/>
      </c>
      <c r="AY512" s="87" t="n"/>
      <c r="AZ512" s="89" t="n"/>
      <c r="BA512" s="87" t="n"/>
      <c r="BB512" s="89" t="n"/>
      <c r="BC512" s="91" t="n"/>
      <c r="BD512" s="122">
        <f>IF(AK512&lt;&gt;"",IF(AND(BD511&lt;&gt;"IE",AT512&lt;&gt;0,AV512&lt;&gt;""),IF(IFERROR((AT512/AV512),0) &lt;=1,IFERROR(AT512/AV512,""),1),""),"")</f>
        <v/>
      </c>
      <c r="BE512" s="93" t="n"/>
      <c r="BF512" s="105" t="n"/>
      <c r="FC512" t="inlineStr">
        <is>
          <t>Diccionario 1</t>
        </is>
      </c>
      <c r="FD512" s="15" t="inlineStr"/>
      <c r="FE512" s="17" t="inlineStr">
        <is>
          <t>LDYECS31XS0044366</t>
        </is>
      </c>
      <c r="FF512" s="18" t="inlineStr">
        <is>
          <t>MDN35025010076</t>
        </is>
      </c>
      <c r="FG512" s="18" t="inlineStr">
        <is>
          <t>Zhong Thong</t>
        </is>
      </c>
      <c r="FH512" s="18" t="inlineStr">
        <is>
          <t>Lck6122evg</t>
        </is>
      </c>
      <c r="FI512" s="18" t="inlineStr">
        <is>
          <t>Zhong Thong</t>
        </is>
      </c>
      <c r="FJ512" s="18" t="inlineStr">
        <is>
          <t>Lck6122evg</t>
        </is>
      </c>
      <c r="FK512" s="18" t="n">
        <v>2026</v>
      </c>
      <c r="FL512" s="18" t="inlineStr">
        <is>
          <t>B</t>
        </is>
      </c>
      <c r="FM512" s="18" t="inlineStr">
        <is>
          <t>Ducaud</t>
        </is>
      </c>
      <c r="FP512" t="inlineStr">
        <is>
          <t>B</t>
        </is>
      </c>
      <c r="FS512" s="14" t="inlineStr">
        <is>
          <t>LZPT-73|</t>
        </is>
      </c>
      <c r="FT512" t="inlineStr">
        <is>
          <t>LZPT-73|</t>
        </is>
      </c>
      <c r="FU512" t="inlineStr">
        <is>
          <t>LZPT-73</t>
        </is>
      </c>
      <c r="FV512">
        <f>VLOOKUP(FU512,FD:FL,9,0)</f>
        <v/>
      </c>
      <c r="FZ512" s="51" t="inlineStr">
        <is>
          <t>F25</t>
        </is>
      </c>
      <c r="GA512" s="43" t="n">
        <v>11.45</v>
      </c>
      <c r="GB512" s="43" t="n">
        <v>0</v>
      </c>
      <c r="GC512" s="43" t="n">
        <v>0</v>
      </c>
      <c r="GD512" s="43" t="n">
        <v>0</v>
      </c>
      <c r="GE512" s="43" t="n">
        <v>0</v>
      </c>
      <c r="GF512" s="43" t="n">
        <v>12.33</v>
      </c>
      <c r="GG512" s="43" t="n">
        <v>24.035</v>
      </c>
      <c r="GH512" s="43" t="n">
        <v>22.76</v>
      </c>
      <c r="GI512" s="43" t="n">
        <v>21.735</v>
      </c>
      <c r="GJ512" s="43" t="n">
        <v>20.76</v>
      </c>
      <c r="GK512" s="43" t="n">
        <v>19.52</v>
      </c>
      <c r="GL512" s="43" t="n">
        <v>18.345</v>
      </c>
      <c r="GM512" s="43" t="n">
        <v>17.13</v>
      </c>
      <c r="GN512" s="43" t="n">
        <v>17.14</v>
      </c>
      <c r="GO512" s="43" t="n">
        <v>18.16</v>
      </c>
      <c r="GP512" s="43" t="n">
        <v>18.68</v>
      </c>
      <c r="GQ512" s="43" t="n">
        <v>18.43</v>
      </c>
      <c r="GR512" s="43" t="n">
        <v>17.72</v>
      </c>
      <c r="GS512" s="43" t="n">
        <v>17.77</v>
      </c>
      <c r="GT512" s="43" t="n">
        <v>18.66</v>
      </c>
      <c r="GU512" s="43" t="n">
        <v>19.585</v>
      </c>
      <c r="GV512" s="43" t="n">
        <v>21.73</v>
      </c>
      <c r="GW512" s="43" t="n">
        <v>24.72</v>
      </c>
      <c r="GX512" s="43" t="n">
        <v>25.705</v>
      </c>
      <c r="HA512" s="35" t="n">
        <v>57</v>
      </c>
      <c r="HB512" s="35" t="n">
        <v>506</v>
      </c>
    </row>
    <row r="513" ht="15.5" customHeight="1">
      <c r="A513" s="10">
        <f>HOUR(G513)+1</f>
        <v/>
      </c>
      <c r="B513" s="7" t="n"/>
      <c r="C513" s="7" t="n"/>
      <c r="D513" s="85">
        <f>IFERROR(
IF(AND(OR(Planilla!B513="C",Planilla!B513="c"), VLOOKUP(E513,FD:FP,13,0)="C"), "OK",IF(AND(OR(Planilla!B513="C",Planilla!B513="c"), OR(VLOOKUP(E513,FD:FP,13,0)="B", VLOOKUP(E513,FD:FP,13,0)="A")), "DEFICIT",IF(
AND(OR(Planilla!B513="B", Planilla!B513="BPAL"), VLOOKUP(E513,FD:FP,13,0)="B"), "OK",IF(AND(OR(Planilla!B513="B", Planilla!B513="BPAL"), VLOOKUP(E513,FD:FP,13,0)="A"), "DEFICIT",IF(AND(OR(Planilla!B513="B", Planilla!B513="BPAL"), VLOOKUP(E513,FD:FP,13,0)="C"), "SOBREOFERTA",IF(AND(Planilla!B513="A", VLOOKUP(E513,FD:FP,13,0)="A"), "OK",IF(
AND(Planilla!B513="A", OR(VLOOKUP(E513,FD:FP,13,0)="B", VLOOKUP(E513,FD:FP,13,0)="C")), "SOBREOFERTA",""
))))))),"")</f>
        <v/>
      </c>
      <c r="E513" s="8" t="n"/>
      <c r="F513" s="86" t="n"/>
      <c r="G513" s="87" t="n"/>
      <c r="H513" s="88">
        <f>IF(I513="","",IF(AND((I513-G513)&gt;=TIME(0,0,0),(I513-G513)&lt;TIME(0,3,0)),"OK",IF(AND((I513-G513)&gt;=TIME(0,3,0),(I513-G513)&lt;TIME(0,5,0)),"RETRASO DE 3-5 MIN",IF(AND((I513-G513)&gt;=TIME(0,5,0),(I513-G513)&lt;TIME(0,10,0)),"RETRASO DE 5-10 MIN",IF((I513-G513)&gt;=TIME(0,10,0),"RETRASO &gt;10 MIN", IF(AND((G513-I513)&gt;=TIME(0,0,0),(G513-I513)&lt;TIME(0,3,0)),"OK",IF((G513-I513)&gt;=TIME(0,3,0),"ADELANTADO")))))))</f>
        <v/>
      </c>
      <c r="I513" s="89" t="n"/>
      <c r="J513" s="89">
        <f>IF(A513&lt;&gt;"",HLOOKUP(VALUE(TEXT(G513,"h:mm:ss")),IF($C$6="Laboral",$FZ$4:$GX$227,IF($C$6="Sábado",$FZ$231:$GX$452,$FZ$456:$GX$656)),VLOOKUP($C$4,$HF$2:$HH$99,3,0)+IF(C$5="Ida",0,1),1),"")</f>
        <v/>
      </c>
      <c r="K513" s="89">
        <f>IF(A514&lt;&gt;A513,AVERAGEIF(A$9:A513,A513,J$9:J513),"")</f>
        <v/>
      </c>
      <c r="L513" s="89">
        <f>IFERROR(IF(A514&lt;&gt;A513,AVERAGEIF(A$9:A513,A513,S$9:S513),""),"")</f>
        <v/>
      </c>
      <c r="M513" s="89">
        <f>IFERROR(IF(A514&lt;&gt;A513,AVERAGEIF(A$9:A513,A513,T$9:T513),""),"")</f>
        <v/>
      </c>
      <c r="N513" s="89">
        <f t="array" ref="N513">IFERROR(IF(A514&lt;&gt;A513,_xlfn.STDEV.P(IF(A$9:A513=A513,T$9:T513)),""),"")</f>
        <v/>
      </c>
      <c r="O513" s="89">
        <f t="array" ref="O513">IFERROR(IF(A514&lt;&gt;A513,_xlfn.STDEV.P(IF(A$9:A513=A513,S$9:S513)),""),"")</f>
        <v/>
      </c>
      <c r="P513" s="90">
        <f>IFERROR(IF(A513&lt;&gt;A514,MAX((((M513*24*60)/2)*(1+POWER((((N513*24*60) / (M513*24*60) )),2))) + ((M513*24*60 )*-0.1 + (K513*0.015)) +1,(((M513*24*60)/2)*(1+POWER((((N513*24*60) / (M513*24*60 ))),2)))),""),"")</f>
        <v/>
      </c>
      <c r="Q513" s="90">
        <f>IF(AND(O513&lt;&gt;"",L513&lt;&gt;""),IF(A513&lt;&gt;A514,((L513*24*60) / 2 ) * (1 + POWER(((O513*24*60) / (L513*24*60)),2)),""),"")</f>
        <v/>
      </c>
      <c r="R513" s="90">
        <f>IF(Q513&lt;&gt;"",MAX(P513,Q513),"")</f>
        <v/>
      </c>
      <c r="S513" s="89">
        <f>IF(I513&lt;&gt;"H. Sale Real",IF(AND(I514&lt;&gt;"",LEFT(C514,2)&lt;&gt;"Va"),IF(AND(I513&lt;&gt;"",LEFT(C513,2)&lt;&gt;"Va",I513&lt;&gt;"H. Sale Real"),IF(I514-I513&lt;0.208333333333333,I514-I513,""),IF(AND(I512&lt;&gt;"",LEFT(C512,2)&lt;&gt;"Va",I512&lt;&gt;"H. Sale Real"),IF(I514-I512&lt;0.208333333333333,I514-I512,""),IF(AND(I511&lt;&gt;"",LEFT(C511,2)&lt;&gt;"Va",I511&lt;&gt;"H. Sale Real"),IF(I514-I511&lt;0.208333333333333,I514-I511,""),IF(AND(I510&lt;&gt;"",LEFT(C510,2)&lt;&gt;"Va",I510&lt;&gt;"H. Sale Real"),IF(I514-I510&lt;0.208333333333333,I514-I510,""),IF(AND(I509&lt;&gt;"",LEFT(C509,2)&lt;&gt;"Va",I509&lt;&gt;"H. Sale Real"),IF(I514-I509&lt;0.208333333333333,I514-I509,""),""))))),""),"")</f>
        <v/>
      </c>
      <c r="T513" s="89">
        <f>IF(G513&lt;&gt;"H. Sale Real",IF(AND(G514&lt;&gt;"",LEFT(C514,2)&lt;&gt;"Va"),IF(AND(G513&lt;&gt;"",LEFT(C513,2)&lt;&gt;"Va",G513&lt;&gt;"H. Sale Real"),IF(G514-G513&lt;0.208333333333333,G514-G513,""),IF(AND(G512&lt;&gt;"",LEFT(C512,2)&lt;&gt;"Va",G512&lt;&gt;"H. Sale Real"),IF(G514-G512&lt;0.208333333333333,G514-G512,""),IF(AND(G511&lt;&gt;"",LEFT(C511,2)&lt;&gt;"Va",G511&lt;&gt;"H. Sale Real"),IF(G514-G511&lt;0.208333333333333,G514-G511,""),IF(AND(G510&lt;&gt;"",LEFT(C510,2)&lt;&gt;"Va",G510&lt;&gt;"H. Sale Real"),IF(G514-G510&lt;0.208333333333333,G514-G510,""),IF(AND(G509&lt;&gt;"",LEFT(C509,2)&lt;&gt;"Va",G509&lt;&gt;"H. Sale Real"),IF(G514-G509&lt;0.208333333333333,G514-G509,""),""))))),""),"")</f>
        <v/>
      </c>
      <c r="U513" s="87" t="n"/>
      <c r="V513" s="89" t="n"/>
      <c r="W513" s="87" t="n"/>
      <c r="X513" s="89" t="n"/>
      <c r="Y513" s="91" t="n"/>
      <c r="Z513" s="122">
        <f>IF(G513&lt;&gt;"",IF(AND(Z512&lt;&gt;"IE",P513&lt;&gt;0,R513&lt;&gt;""),IF(IFERROR((P513/R513),0) &lt;=1,IFERROR(P513/R513,""),1),""),"")</f>
        <v/>
      </c>
      <c r="AA513" s="93" t="n"/>
      <c r="AB513" s="2" t="n"/>
      <c r="AE513" s="10">
        <f>HOUR(AK513)+1</f>
        <v/>
      </c>
      <c r="AF513" s="7" t="n"/>
      <c r="AG513" s="7" t="n"/>
      <c r="AH513" s="86" t="n"/>
      <c r="AI513" s="8" t="n"/>
      <c r="AJ513" s="86" t="n"/>
      <c r="AK513" s="87" t="n"/>
      <c r="AL513" s="88">
        <f>IF(AM513="","",IF(AND((AM513-AK513)&gt;=TIME(0,0,0),(AM513-AK513)&lt;TIME(0,3,0)),"OK",IF(AND((AM513-AK513)&gt;=TIME(0,3,0),(AM513-AK513)&lt;TIME(0,5,0)),"RETRASO DE 3-5 MIN",IF(AND((AM513-AK513)&gt;=TIME(0,5,0),(AM513-AK513)&lt;TIME(0,10,0)),"RETRASO DE 5-10 MIN",IF((AM513-AK513)&gt;=TIME(0,10,0),"RETRASO &gt;10 MIN", IF(AND((AK513-AM513)&gt;=TIME(0,0,0),(AK513-AM513)&lt;TIME(0,3,0)),"OK",IF((AK513-AM513)&gt;=TIME(0,3,0),"ADELANTADO")))))))</f>
        <v/>
      </c>
      <c r="AM513" s="91" t="n"/>
      <c r="AN513" s="89">
        <f>IF(AE513&lt;&gt;"",HLOOKUP(VALUE(TEXT(AK513,"h:mm:ss")),IF($C$6="Laboral",$FZ$4:$GX$227,IF($C$6="Sábado",$FZ$231:$GX$452,$FZ$456:$GX$656)),VLOOKUP($C$4,$HF$2:$HH$99,3,0)+IF(AG$5="Ida",0,1),1),"")</f>
        <v/>
      </c>
      <c r="AO513" s="89">
        <f>IF(AE514&lt;&gt;AE513,AVERAGEIF(AE$9:AE513,AE513,AN$9:AN513),"")</f>
        <v/>
      </c>
      <c r="AP513" s="89">
        <f>IFERROR(IF(AE514&lt;&gt;AE513,AVERAGEIF(AE$9:AE513,AE513,AW$9:AW513),""),"")</f>
        <v/>
      </c>
      <c r="AQ513" s="89">
        <f>IFERROR(IF(AE514&lt;&gt;AE513,AVERAGEIF(AE$9:AE513,AE513,AX$9:AX513),""),"")</f>
        <v/>
      </c>
      <c r="AR513" s="89">
        <f t="array" ref="AR513">IFERROR(IF(AE514&lt;&gt;AE513,_xlfn.STDEV.P(IF(AE$9:AE513=AE513,AX$9:AX513)),""),"")</f>
        <v/>
      </c>
      <c r="AS513" s="89">
        <f t="array" ref="AS513">IFERROR(IF(AE514&lt;&gt;AE513,_xlfn.STDEV.P(IF(AE$9:AE513=AE513,AW$9:AW513)),""),"")</f>
        <v/>
      </c>
      <c r="AT513" s="90">
        <f>IFERROR(IF(AE513&lt;&gt;AE514,MAX((((AQ513*24*60)/2)*(1+POWER((((AR513*24*60) / (AQ513*24*60) )),2))) + ((AQ513*24*60 )*-0.1 + (AO513*0.015)) +1,(((AQ513*24*60)/2)*(1+POWER((((AR513*24*60) / (AQ513*24*60 ))),2)))),""),"")</f>
        <v/>
      </c>
      <c r="AU513" s="90">
        <f>IF(AND(AS513&lt;&gt;"",AP513&lt;&gt;""),IF(AE513&lt;&gt;AE514,((AP513*24*60) / 2 ) * (1 + POWER(((AS513*24*60) / (AP513*24*60)),2)),""),"")</f>
        <v/>
      </c>
      <c r="AV513" s="90">
        <f>IF(AU513&lt;&gt;"",MAX(AT513,AU513),"")</f>
        <v/>
      </c>
      <c r="AW513" s="89">
        <f>IF(AM513&lt;&gt;"H. Sale Real",IF(AND(AM514&lt;&gt;"",LEFT(AG514,2)&lt;&gt;"Va"),IF(AND(AM513&lt;&gt;"",LEFT(AG513,2)&lt;&gt;"Va",AM513&lt;&gt;"H. Sale Real"),IF(AM514-AM513&lt;0.208333333333333,AM514-AM513,""),IF(AND(AM512&lt;&gt;"",LEFT(AG512,2)&lt;&gt;"Va",AM512&lt;&gt;"H. Sale Real"),IF(AM514-AM512&lt;0.208333333333333,AM514-AM512,""),IF(AND(AM511&lt;&gt;"",LEFT(AG511,2)&lt;&gt;"Va",AM511&lt;&gt;"H. Sale Real"),IF(AM514-AM511&lt;0.208333333333333,AM514-AM511,""),IF(AND(AM510&lt;&gt;"",LEFT(AG510,2)&lt;&gt;"Va",AM510&lt;&gt;"H. Sale Real"),IF(AM514-AM510&lt;0.208333333333333,AM514-AM510,""),IF(AND(AM509&lt;&gt;"",LEFT(AG509,2)&lt;&gt;"Va",AM509&lt;&gt;"H. Sale Real"),IF(AM514-AM509&lt;0.208333333333333,AM514-AM509,""),""))))),""),"")</f>
        <v/>
      </c>
      <c r="AX513" s="89">
        <f>IF(AK513&lt;&gt;"H. Sale Real",IF(AND(AK514&lt;&gt;"",LEFT(AG514,2)&lt;&gt;"Va"),IF(AND(AK513&lt;&gt;"",LEFT(AG513,2)&lt;&gt;"Va",AK513&lt;&gt;"H. Sale Real"),IF(AK514-AK513&lt;0.208333333333333,AK514-AK513,""),IF(AND(AK512&lt;&gt;"",LEFT(AG512,2)&lt;&gt;"Va",AK512&lt;&gt;"H. Sale Real"),IF(AK514-AK512&lt;0.208333333333333,AK514-AK512,""),IF(AND(AK511&lt;&gt;"",LEFT(AG511,2)&lt;&gt;"NC",AK511&lt;&gt;"H. Sale Real"),IF(AK514-AK511&lt;0.208333333333333,AK514-AK511,""),IF(AND(AK510&lt;&gt;"",LEFT(AG510,2)&lt;&gt;"Va",AK510&lt;&gt;"H. Sale Real"),IF(AK514-AK510&lt;0.208333333333333,AK514-AK510,""),IF(AND(AK509&lt;&gt;"",LEFT(AG509,2)&lt;&gt;"Va",AK509&lt;&gt;"H. Sale Real"),IF(AK514-AK509&lt;0.208333333333333,AK514-AK509,""),""))))),""),"")</f>
        <v/>
      </c>
      <c r="AY513" s="87" t="n"/>
      <c r="AZ513" s="89" t="n"/>
      <c r="BA513" s="87" t="n"/>
      <c r="BB513" s="89" t="n"/>
      <c r="BC513" s="91" t="n"/>
      <c r="BD513" s="122">
        <f>IF(AK513&lt;&gt;"",IF(AND(BD512&lt;&gt;"IE",AT513&lt;&gt;0,AV513&lt;&gt;""),IF(IFERROR((AT513/AV513),0) &lt;=1,IFERROR(AT513/AV513,""),1),""),"")</f>
        <v/>
      </c>
      <c r="BE513" s="93" t="n"/>
      <c r="BF513" s="105" t="n"/>
      <c r="FC513" t="inlineStr">
        <is>
          <t>Diccionario 1</t>
        </is>
      </c>
      <c r="FD513" s="15" t="inlineStr"/>
      <c r="FE513" s="17" t="inlineStr">
        <is>
          <t>LDYECS310S0044411</t>
        </is>
      </c>
      <c r="FF513" s="18" t="inlineStr">
        <is>
          <t>MDN35025010155</t>
        </is>
      </c>
      <c r="FG513" s="18" t="inlineStr">
        <is>
          <t>Zhong Thong</t>
        </is>
      </c>
      <c r="FH513" s="18" t="inlineStr">
        <is>
          <t>Lck6122evg</t>
        </is>
      </c>
      <c r="FI513" s="18" t="inlineStr">
        <is>
          <t>Zhong Thong</t>
        </is>
      </c>
      <c r="FJ513" s="18" t="inlineStr">
        <is>
          <t>Lck6122evg</t>
        </is>
      </c>
      <c r="FK513" s="18" t="n">
        <v>2026</v>
      </c>
      <c r="FL513" s="18" t="inlineStr">
        <is>
          <t>B</t>
        </is>
      </c>
      <c r="FM513" s="18" t="inlineStr">
        <is>
          <t>Ducaud</t>
        </is>
      </c>
      <c r="FP513" t="inlineStr">
        <is>
          <t>B</t>
        </is>
      </c>
      <c r="FS513" s="14" t="inlineStr">
        <is>
          <t>LZPW-14|</t>
        </is>
      </c>
      <c r="FT513" t="inlineStr">
        <is>
          <t>LZPW-14|</t>
        </is>
      </c>
      <c r="FU513" t="inlineStr">
        <is>
          <t>LZPW-14</t>
        </is>
      </c>
      <c r="FV513">
        <f>VLOOKUP(FU513,FD:FL,9,0)</f>
        <v/>
      </c>
      <c r="FZ513" s="51" t="inlineStr">
        <is>
          <t>F25</t>
        </is>
      </c>
      <c r="GA513" s="43" t="n">
        <v>13.955</v>
      </c>
      <c r="GB513" s="43" t="n">
        <v>0</v>
      </c>
      <c r="GC513" s="43" t="n">
        <v>0</v>
      </c>
      <c r="GD513" s="43" t="n">
        <v>0</v>
      </c>
      <c r="GE513" s="43" t="n">
        <v>0</v>
      </c>
      <c r="GF513" s="43" t="n">
        <v>0</v>
      </c>
      <c r="GG513" s="43" t="n">
        <v>11.165</v>
      </c>
      <c r="GH513" s="43" t="n">
        <v>22.86</v>
      </c>
      <c r="GI513" s="43" t="n">
        <v>23.24</v>
      </c>
      <c r="GJ513" s="43" t="n">
        <v>22.345</v>
      </c>
      <c r="GK513" s="43" t="n">
        <v>20.665</v>
      </c>
      <c r="GL513" s="43" t="n">
        <v>19.555</v>
      </c>
      <c r="GM513" s="43" t="n">
        <v>18.72</v>
      </c>
      <c r="GN513" s="43" t="n">
        <v>18.105</v>
      </c>
      <c r="GO513" s="43" t="n">
        <v>18.285</v>
      </c>
      <c r="GP513" s="43" t="n">
        <v>18.47</v>
      </c>
      <c r="GQ513" s="43" t="n">
        <v>18.65</v>
      </c>
      <c r="GR513" s="43" t="n">
        <v>18.125</v>
      </c>
      <c r="GS513" s="43" t="n">
        <v>17.96</v>
      </c>
      <c r="GT513" s="43" t="n">
        <v>18.425</v>
      </c>
      <c r="GU513" s="43" t="n">
        <v>19.535</v>
      </c>
      <c r="GV513" s="43" t="n">
        <v>21.3</v>
      </c>
      <c r="GW513" s="43" t="n">
        <v>23.835</v>
      </c>
      <c r="GX513" s="43" t="n">
        <v>25.28</v>
      </c>
      <c r="HA513" s="35" t="n">
        <v>58</v>
      </c>
      <c r="HB513" s="35" t="n">
        <v>507</v>
      </c>
    </row>
    <row r="514" ht="15.5" customHeight="1">
      <c r="A514" s="10">
        <f>HOUR(G514)+1</f>
        <v/>
      </c>
      <c r="B514" s="7" t="n"/>
      <c r="C514" s="7" t="n"/>
      <c r="D514" s="85">
        <f>IFERROR(
IF(AND(OR(Planilla!B514="C",Planilla!B514="c"), VLOOKUP(E514,FD:FP,13,0)="C"), "OK",IF(AND(OR(Planilla!B514="C",Planilla!B514="c"), OR(VLOOKUP(E514,FD:FP,13,0)="B", VLOOKUP(E514,FD:FP,13,0)="A")), "DEFICIT",IF(
AND(OR(Planilla!B514="B", Planilla!B514="BPAL"), VLOOKUP(E514,FD:FP,13,0)="B"), "OK",IF(AND(OR(Planilla!B514="B", Planilla!B514="BPAL"), VLOOKUP(E514,FD:FP,13,0)="A"), "DEFICIT",IF(AND(OR(Planilla!B514="B", Planilla!B514="BPAL"), VLOOKUP(E514,FD:FP,13,0)="C"), "SOBREOFERTA",IF(AND(Planilla!B514="A", VLOOKUP(E514,FD:FP,13,0)="A"), "OK",IF(
AND(Planilla!B514="A", OR(VLOOKUP(E514,FD:FP,13,0)="B", VLOOKUP(E514,FD:FP,13,0)="C")), "SOBREOFERTA",""
))))))),"")</f>
        <v/>
      </c>
      <c r="E514" s="8" t="n"/>
      <c r="F514" s="86" t="n"/>
      <c r="G514" s="87" t="n"/>
      <c r="H514" s="88">
        <f>IF(I514="","",IF(AND((I514-G514)&gt;=TIME(0,0,0),(I514-G514)&lt;TIME(0,3,0)),"OK",IF(AND((I514-G514)&gt;=TIME(0,3,0),(I514-G514)&lt;TIME(0,5,0)),"RETRASO DE 3-5 MIN",IF(AND((I514-G514)&gt;=TIME(0,5,0),(I514-G514)&lt;TIME(0,10,0)),"RETRASO DE 5-10 MIN",IF((I514-G514)&gt;=TIME(0,10,0),"RETRASO &gt;10 MIN", IF(AND((G514-I514)&gt;=TIME(0,0,0),(G514-I514)&lt;TIME(0,3,0)),"OK",IF((G514-I514)&gt;=TIME(0,3,0),"ADELANTADO")))))))</f>
        <v/>
      </c>
      <c r="I514" s="89" t="n"/>
      <c r="J514" s="89">
        <f>IF(A514&lt;&gt;"",HLOOKUP(VALUE(TEXT(G514,"h:mm:ss")),IF($C$6="Laboral",$FZ$4:$GX$227,IF($C$6="Sábado",$FZ$231:$GX$452,$FZ$456:$GX$656)),VLOOKUP($C$4,$HF$2:$HH$99,3,0)+IF(C$5="Ida",0,1),1),"")</f>
        <v/>
      </c>
      <c r="K514" s="89">
        <f>IF(A515&lt;&gt;A514,AVERAGEIF(A$9:A514,A514,J$9:J514),"")</f>
        <v/>
      </c>
      <c r="L514" s="89">
        <f>IFERROR(IF(A515&lt;&gt;A514,AVERAGEIF(A$9:A514,A514,S$9:S514),""),"")</f>
        <v/>
      </c>
      <c r="M514" s="89">
        <f>IFERROR(IF(A515&lt;&gt;A514,AVERAGEIF(A$9:A514,A514,T$9:T514),""),"")</f>
        <v/>
      </c>
      <c r="N514" s="89">
        <f t="array" ref="N514">IFERROR(IF(A515&lt;&gt;A514,_xlfn.STDEV.P(IF(A$9:A514=A514,T$9:T514)),""),"")</f>
        <v/>
      </c>
      <c r="O514" s="89">
        <f t="array" ref="O514">IFERROR(IF(A515&lt;&gt;A514,_xlfn.STDEV.P(IF(A$9:A514=A514,S$9:S514)),""),"")</f>
        <v/>
      </c>
      <c r="P514" s="90">
        <f>IFERROR(IF(A514&lt;&gt;A515,MAX((((M514*24*60)/2)*(1+POWER((((N514*24*60) / (M514*24*60) )),2))) + ((M514*24*60 )*-0.1 + (K514*0.015)) +1,(((M514*24*60)/2)*(1+POWER((((N514*24*60) / (M514*24*60 ))),2)))),""),"")</f>
        <v/>
      </c>
      <c r="Q514" s="90">
        <f>IF(AND(O514&lt;&gt;"",L514&lt;&gt;""),IF(A514&lt;&gt;A515,((L514*24*60) / 2 ) * (1 + POWER(((O514*24*60) / (L514*24*60)),2)),""),"")</f>
        <v/>
      </c>
      <c r="R514" s="90">
        <f>IF(Q514&lt;&gt;"",MAX(P514,Q514),"")</f>
        <v/>
      </c>
      <c r="S514" s="89">
        <f>IF(I514&lt;&gt;"H. Sale Real",IF(AND(I515&lt;&gt;"",LEFT(C515,2)&lt;&gt;"Va"),IF(AND(I514&lt;&gt;"",LEFT(C514,2)&lt;&gt;"Va",I514&lt;&gt;"H. Sale Real"),IF(I515-I514&lt;0.208333333333333,I515-I514,""),IF(AND(I513&lt;&gt;"",LEFT(C513,2)&lt;&gt;"Va",I513&lt;&gt;"H. Sale Real"),IF(I515-I513&lt;0.208333333333333,I515-I513,""),IF(AND(I512&lt;&gt;"",LEFT(C512,2)&lt;&gt;"Va",I512&lt;&gt;"H. Sale Real"),IF(I515-I512&lt;0.208333333333333,I515-I512,""),IF(AND(I511&lt;&gt;"",LEFT(C511,2)&lt;&gt;"Va",I511&lt;&gt;"H. Sale Real"),IF(I515-I511&lt;0.208333333333333,I515-I511,""),IF(AND(I510&lt;&gt;"",LEFT(C510,2)&lt;&gt;"Va",I510&lt;&gt;"H. Sale Real"),IF(I515-I510&lt;0.208333333333333,I515-I510,""),""))))),""),"")</f>
        <v/>
      </c>
      <c r="T514" s="89">
        <f>IF(G514&lt;&gt;"H. Sale Real",IF(AND(G515&lt;&gt;"",LEFT(C515,2)&lt;&gt;"Va"),IF(AND(G514&lt;&gt;"",LEFT(C514,2)&lt;&gt;"Va",G514&lt;&gt;"H. Sale Real"),IF(G515-G514&lt;0.208333333333333,G515-G514,""),IF(AND(G513&lt;&gt;"",LEFT(C513,2)&lt;&gt;"Va",G513&lt;&gt;"H. Sale Real"),IF(G515-G513&lt;0.208333333333333,G515-G513,""),IF(AND(G512&lt;&gt;"",LEFT(C512,2)&lt;&gt;"Va",G512&lt;&gt;"H. Sale Real"),IF(G515-G512&lt;0.208333333333333,G515-G512,""),IF(AND(G511&lt;&gt;"",LEFT(C511,2)&lt;&gt;"Va",G511&lt;&gt;"H. Sale Real"),IF(G515-G511&lt;0.208333333333333,G515-G511,""),IF(AND(G510&lt;&gt;"",LEFT(C510,2)&lt;&gt;"Va",G510&lt;&gt;"H. Sale Real"),IF(G515-G510&lt;0.208333333333333,G515-G510,""),""))))),""),"")</f>
        <v/>
      </c>
      <c r="U514" s="87" t="n"/>
      <c r="V514" s="89" t="n"/>
      <c r="W514" s="87" t="n"/>
      <c r="X514" s="89" t="n"/>
      <c r="Y514" s="91" t="n"/>
      <c r="Z514" s="122">
        <f>IF(G514&lt;&gt;"",IF(AND(Z513&lt;&gt;"IE",P514&lt;&gt;0,R514&lt;&gt;""),IF(IFERROR((P514/R514),0) &lt;=1,IFERROR(P514/R514,""),1),""),"")</f>
        <v/>
      </c>
      <c r="AA514" s="93" t="n"/>
      <c r="AB514" s="2" t="n"/>
      <c r="AE514" s="10">
        <f>HOUR(AK514)+1</f>
        <v/>
      </c>
      <c r="AF514" s="7" t="n"/>
      <c r="AG514" s="7" t="n"/>
      <c r="AH514" s="86" t="n"/>
      <c r="AI514" s="8" t="n"/>
      <c r="AJ514" s="86" t="n"/>
      <c r="AK514" s="87" t="n"/>
      <c r="AL514" s="88">
        <f>IF(AM514="","",IF(AND((AM514-AK514)&gt;=TIME(0,0,0),(AM514-AK514)&lt;TIME(0,3,0)),"OK",IF(AND((AM514-AK514)&gt;=TIME(0,3,0),(AM514-AK514)&lt;TIME(0,5,0)),"RETRASO DE 3-5 MIN",IF(AND((AM514-AK514)&gt;=TIME(0,5,0),(AM514-AK514)&lt;TIME(0,10,0)),"RETRASO DE 5-10 MIN",IF((AM514-AK514)&gt;=TIME(0,10,0),"RETRASO &gt;10 MIN", IF(AND((AK514-AM514)&gt;=TIME(0,0,0),(AK514-AM514)&lt;TIME(0,3,0)),"OK",IF((AK514-AM514)&gt;=TIME(0,3,0),"ADELANTADO")))))))</f>
        <v/>
      </c>
      <c r="AM514" s="91" t="n"/>
      <c r="AN514" s="89">
        <f>IF(AE514&lt;&gt;"",HLOOKUP(VALUE(TEXT(AK514,"h:mm:ss")),IF($C$6="Laboral",$FZ$4:$GX$227,IF($C$6="Sábado",$FZ$231:$GX$452,$FZ$456:$GX$656)),VLOOKUP($C$4,$HF$2:$HH$99,3,0)+IF(AG$5="Ida",0,1),1),"")</f>
        <v/>
      </c>
      <c r="AO514" s="89">
        <f>IF(AE515&lt;&gt;AE514,AVERAGEIF(AE$9:AE514,AE514,AN$9:AN514),"")</f>
        <v/>
      </c>
      <c r="AP514" s="89">
        <f>IFERROR(IF(AE515&lt;&gt;AE514,AVERAGEIF(AE$9:AE514,AE514,AW$9:AW514),""),"")</f>
        <v/>
      </c>
      <c r="AQ514" s="89">
        <f>IFERROR(IF(AE515&lt;&gt;AE514,AVERAGEIF(AE$9:AE514,AE514,AX$9:AX514),""),"")</f>
        <v/>
      </c>
      <c r="AR514" s="89">
        <f t="array" ref="AR514">IFERROR(IF(AE515&lt;&gt;AE514,_xlfn.STDEV.P(IF(AE$9:AE514=AE514,AX$9:AX514)),""),"")</f>
        <v/>
      </c>
      <c r="AS514" s="89">
        <f t="array" ref="AS514">IFERROR(IF(AE515&lt;&gt;AE514,_xlfn.STDEV.P(IF(AE$9:AE514=AE514,AW$9:AW514)),""),"")</f>
        <v/>
      </c>
      <c r="AT514" s="90">
        <f>IFERROR(IF(AE514&lt;&gt;AE515,MAX((((AQ514*24*60)/2)*(1+POWER((((AR514*24*60) / (AQ514*24*60) )),2))) + ((AQ514*24*60 )*-0.1 + (AO514*0.015)) +1,(((AQ514*24*60)/2)*(1+POWER((((AR514*24*60) / (AQ514*24*60 ))),2)))),""),"")</f>
        <v/>
      </c>
      <c r="AU514" s="90">
        <f>IF(AND(AS514&lt;&gt;"",AP514&lt;&gt;""),IF(AE514&lt;&gt;AE515,((AP514*24*60) / 2 ) * (1 + POWER(((AS514*24*60) / (AP514*24*60)),2)),""),"")</f>
        <v/>
      </c>
      <c r="AV514" s="90">
        <f>IF(AU514&lt;&gt;"",MAX(AT514,AU514),"")</f>
        <v/>
      </c>
      <c r="AW514" s="89">
        <f>IF(AM514&lt;&gt;"H. Sale Real",IF(AND(AM515&lt;&gt;"",LEFT(AG515,2)&lt;&gt;"Va"),IF(AND(AM514&lt;&gt;"",LEFT(AG514,2)&lt;&gt;"Va",AM514&lt;&gt;"H. Sale Real"),IF(AM515-AM514&lt;0.208333333333333,AM515-AM514,""),IF(AND(AM513&lt;&gt;"",LEFT(AG513,2)&lt;&gt;"Va",AM513&lt;&gt;"H. Sale Real"),IF(AM515-AM513&lt;0.208333333333333,AM515-AM513,""),IF(AND(AM512&lt;&gt;"",LEFT(AG512,2)&lt;&gt;"Va",AM512&lt;&gt;"H. Sale Real"),IF(AM515-AM512&lt;0.208333333333333,AM515-AM512,""),IF(AND(AM511&lt;&gt;"",LEFT(AG511,2)&lt;&gt;"Va",AM511&lt;&gt;"H. Sale Real"),IF(AM515-AM511&lt;0.208333333333333,AM515-AM511,""),IF(AND(AM510&lt;&gt;"",LEFT(AG510,2)&lt;&gt;"Va",AM510&lt;&gt;"H. Sale Real"),IF(AM515-AM510&lt;0.208333333333333,AM515-AM510,""),""))))),""),"")</f>
        <v/>
      </c>
      <c r="AX514" s="89">
        <f>IF(AK514&lt;&gt;"H. Sale Real",IF(AND(AK515&lt;&gt;"",LEFT(AG515,2)&lt;&gt;"Va"),IF(AND(AK514&lt;&gt;"",LEFT(AG514,2)&lt;&gt;"Va",AK514&lt;&gt;"H. Sale Real"),IF(AK515-AK514&lt;0.208333333333333,AK515-AK514,""),IF(AND(AK513&lt;&gt;"",LEFT(AG513,2)&lt;&gt;"Va",AK513&lt;&gt;"H. Sale Real"),IF(AK515-AK513&lt;0.208333333333333,AK515-AK513,""),IF(AND(AK512&lt;&gt;"",LEFT(AG512,2)&lt;&gt;"NC",AK512&lt;&gt;"H. Sale Real"),IF(AK515-AK512&lt;0.208333333333333,AK515-AK512,""),IF(AND(AK511&lt;&gt;"",LEFT(AG511,2)&lt;&gt;"Va",AK511&lt;&gt;"H. Sale Real"),IF(AK515-AK511&lt;0.208333333333333,AK515-AK511,""),IF(AND(AK510&lt;&gt;"",LEFT(AG510,2)&lt;&gt;"Va",AK510&lt;&gt;"H. Sale Real"),IF(AK515-AK510&lt;0.208333333333333,AK515-AK510,""),""))))),""),"")</f>
        <v/>
      </c>
      <c r="AY514" s="87" t="n"/>
      <c r="AZ514" s="89" t="n"/>
      <c r="BA514" s="87" t="n"/>
      <c r="BB514" s="89" t="n"/>
      <c r="BC514" s="91" t="n"/>
      <c r="BD514" s="122">
        <f>IF(AK514&lt;&gt;"",IF(AND(BD513&lt;&gt;"IE",AT514&lt;&gt;0,AV514&lt;&gt;""),IF(IFERROR((AT514/AV514),0) &lt;=1,IFERROR(AT514/AV514,""),1),""),"")</f>
        <v/>
      </c>
      <c r="BE514" s="93" t="n"/>
      <c r="BF514" s="105" t="n"/>
      <c r="FC514" t="inlineStr">
        <is>
          <t>Diccionario 1</t>
        </is>
      </c>
      <c r="FD514" s="15" t="inlineStr"/>
      <c r="FE514" s="17" t="inlineStr">
        <is>
          <t>LDYECS318S0044382</t>
        </is>
      </c>
      <c r="FF514" s="18" t="inlineStr">
        <is>
          <t>MDN35025030032</t>
        </is>
      </c>
      <c r="FG514" s="18" t="inlineStr">
        <is>
          <t>Zhong Thong</t>
        </is>
      </c>
      <c r="FH514" s="18" t="inlineStr">
        <is>
          <t>Lck6122evg</t>
        </is>
      </c>
      <c r="FI514" s="18" t="inlineStr">
        <is>
          <t>Zhong Thong</t>
        </is>
      </c>
      <c r="FJ514" s="18" t="inlineStr">
        <is>
          <t>Lck6122evg</t>
        </is>
      </c>
      <c r="FK514" s="18" t="n">
        <v>2026</v>
      </c>
      <c r="FL514" s="18" t="inlineStr">
        <is>
          <t>B</t>
        </is>
      </c>
      <c r="FM514" s="18" t="inlineStr">
        <is>
          <t>Ducaud</t>
        </is>
      </c>
      <c r="FP514" t="inlineStr">
        <is>
          <t>B</t>
        </is>
      </c>
      <c r="FS514" s="14" t="inlineStr">
        <is>
          <t>LZPS-19|</t>
        </is>
      </c>
      <c r="FT514" t="inlineStr">
        <is>
          <t>LZPS-19|</t>
        </is>
      </c>
      <c r="FU514" t="inlineStr">
        <is>
          <t>LZPS-19</t>
        </is>
      </c>
      <c r="FV514">
        <f>VLOOKUP(FU514,FD:FL,9,0)</f>
        <v/>
      </c>
      <c r="FZ514" s="51" t="inlineStr">
        <is>
          <t>F30n</t>
        </is>
      </c>
      <c r="GA514" s="43" t="n">
        <v>26.595</v>
      </c>
      <c r="GB514" s="43" t="n">
        <v>26.97</v>
      </c>
      <c r="GC514" s="43" t="n">
        <v>28.195</v>
      </c>
      <c r="GD514" s="43" t="n">
        <v>28.975</v>
      </c>
      <c r="GE514" s="43" t="n">
        <v>28.68</v>
      </c>
      <c r="GF514" s="43" t="n">
        <v>27.175</v>
      </c>
      <c r="GG514" s="43" t="n">
        <v>25.91</v>
      </c>
      <c r="GH514" s="43" t="n">
        <v>25.935</v>
      </c>
      <c r="GI514" s="43" t="n">
        <v>0</v>
      </c>
      <c r="GJ514" s="43" t="n">
        <v>0</v>
      </c>
      <c r="GK514" s="43" t="n">
        <v>0</v>
      </c>
      <c r="GL514" s="43" t="n">
        <v>0</v>
      </c>
      <c r="GM514" s="43" t="n">
        <v>0</v>
      </c>
      <c r="GN514" s="43" t="n">
        <v>0</v>
      </c>
      <c r="GO514" s="43" t="n">
        <v>0</v>
      </c>
      <c r="GP514" s="43" t="n">
        <v>0</v>
      </c>
      <c r="GQ514" s="43" t="n">
        <v>0</v>
      </c>
      <c r="GR514" s="43" t="n">
        <v>0</v>
      </c>
      <c r="GS514" s="43" t="n">
        <v>0</v>
      </c>
      <c r="GT514" s="43" t="n">
        <v>0</v>
      </c>
      <c r="GU514" s="43" t="n">
        <v>0</v>
      </c>
      <c r="GV514" s="43" t="n">
        <v>0</v>
      </c>
      <c r="GW514" s="43" t="n">
        <v>13.415</v>
      </c>
      <c r="GX514" s="43" t="n">
        <v>27.44</v>
      </c>
      <c r="HA514" s="35" t="n">
        <v>59</v>
      </c>
      <c r="HB514" s="35" t="n">
        <v>508</v>
      </c>
    </row>
    <row r="515" ht="15.5" customHeight="1">
      <c r="A515" s="10">
        <f>HOUR(G515)+1</f>
        <v/>
      </c>
      <c r="B515" s="7" t="n"/>
      <c r="C515" s="7" t="n"/>
      <c r="D515" s="85">
        <f>IFERROR(
IF(AND(OR(Planilla!B515="C",Planilla!B515="c"), VLOOKUP(E515,FD:FP,13,0)="C"), "OK",IF(AND(OR(Planilla!B515="C",Planilla!B515="c"), OR(VLOOKUP(E515,FD:FP,13,0)="B", VLOOKUP(E515,FD:FP,13,0)="A")), "DEFICIT",IF(
AND(OR(Planilla!B515="B", Planilla!B515="BPAL"), VLOOKUP(E515,FD:FP,13,0)="B"), "OK",IF(AND(OR(Planilla!B515="B", Planilla!B515="BPAL"), VLOOKUP(E515,FD:FP,13,0)="A"), "DEFICIT",IF(AND(OR(Planilla!B515="B", Planilla!B515="BPAL"), VLOOKUP(E515,FD:FP,13,0)="C"), "SOBREOFERTA",IF(AND(Planilla!B515="A", VLOOKUP(E515,FD:FP,13,0)="A"), "OK",IF(
AND(Planilla!B515="A", OR(VLOOKUP(E515,FD:FP,13,0)="B", VLOOKUP(E515,FD:FP,13,0)="C")), "SOBREOFERTA",""
))))))),"")</f>
        <v/>
      </c>
      <c r="E515" s="8" t="n"/>
      <c r="F515" s="86" t="n"/>
      <c r="G515" s="87" t="n"/>
      <c r="H515" s="88">
        <f>IF(I515="","",IF(AND((I515-G515)&gt;=TIME(0,0,0),(I515-G515)&lt;TIME(0,3,0)),"OK",IF(AND((I515-G515)&gt;=TIME(0,3,0),(I515-G515)&lt;TIME(0,5,0)),"RETRASO DE 3-5 MIN",IF(AND((I515-G515)&gt;=TIME(0,5,0),(I515-G515)&lt;TIME(0,10,0)),"RETRASO DE 5-10 MIN",IF((I515-G515)&gt;=TIME(0,10,0),"RETRASO &gt;10 MIN", IF(AND((G515-I515)&gt;=TIME(0,0,0),(G515-I515)&lt;TIME(0,3,0)),"OK",IF((G515-I515)&gt;=TIME(0,3,0),"ADELANTADO")))))))</f>
        <v/>
      </c>
      <c r="I515" s="89" t="n"/>
      <c r="J515" s="89">
        <f>IF(A515&lt;&gt;"",HLOOKUP(VALUE(TEXT(G515,"h:mm:ss")),IF($C$6="Laboral",$FZ$4:$GX$227,IF($C$6="Sábado",$FZ$231:$GX$452,$FZ$456:$GX$656)),VLOOKUP($C$4,$HF$2:$HH$99,3,0)+IF(C$5="Ida",0,1),1),"")</f>
        <v/>
      </c>
      <c r="K515" s="89">
        <f>IF(A516&lt;&gt;A515,AVERAGEIF(A$9:A515,A515,J$9:J515),"")</f>
        <v/>
      </c>
      <c r="L515" s="89">
        <f>IFERROR(IF(A516&lt;&gt;A515,AVERAGEIF(A$9:A515,A515,S$9:S515),""),"")</f>
        <v/>
      </c>
      <c r="M515" s="89">
        <f>IFERROR(IF(A516&lt;&gt;A515,AVERAGEIF(A$9:A515,A515,T$9:T515),""),"")</f>
        <v/>
      </c>
      <c r="N515" s="89">
        <f t="array" ref="N515">IFERROR(IF(A516&lt;&gt;A515,_xlfn.STDEV.P(IF(A$9:A515=A515,T$9:T515)),""),"")</f>
        <v/>
      </c>
      <c r="O515" s="89">
        <f t="array" ref="O515">IFERROR(IF(A516&lt;&gt;A515,_xlfn.STDEV.P(IF(A$9:A515=A515,S$9:S515)),""),"")</f>
        <v/>
      </c>
      <c r="P515" s="90">
        <f>IFERROR(IF(A515&lt;&gt;A516,MAX((((M515*24*60)/2)*(1+POWER((((N515*24*60) / (M515*24*60) )),2))) + ((M515*24*60 )*-0.1 + (K515*0.015)) +1,(((M515*24*60)/2)*(1+POWER((((N515*24*60) / (M515*24*60 ))),2)))),""),"")</f>
        <v/>
      </c>
      <c r="Q515" s="90">
        <f>IF(AND(O515&lt;&gt;"",L515&lt;&gt;""),IF(A515&lt;&gt;A516,((L515*24*60) / 2 ) * (1 + POWER(((O515*24*60) / (L515*24*60)),2)),""),"")</f>
        <v/>
      </c>
      <c r="R515" s="90">
        <f>IF(Q515&lt;&gt;"",MAX(P515,Q515),"")</f>
        <v/>
      </c>
      <c r="S515" s="89">
        <f>IF(I515&lt;&gt;"H. Sale Real",IF(AND(I516&lt;&gt;"",LEFT(C516,2)&lt;&gt;"Va"),IF(AND(I515&lt;&gt;"",LEFT(C515,2)&lt;&gt;"Va",I515&lt;&gt;"H. Sale Real"),IF(I516-I515&lt;0.208333333333333,I516-I515,""),IF(AND(I514&lt;&gt;"",LEFT(C514,2)&lt;&gt;"Va",I514&lt;&gt;"H. Sale Real"),IF(I516-I514&lt;0.208333333333333,I516-I514,""),IF(AND(I513&lt;&gt;"",LEFT(C513,2)&lt;&gt;"Va",I513&lt;&gt;"H. Sale Real"),IF(I516-I513&lt;0.208333333333333,I516-I513,""),IF(AND(I512&lt;&gt;"",LEFT(C512,2)&lt;&gt;"Va",I512&lt;&gt;"H. Sale Real"),IF(I516-I512&lt;0.208333333333333,I516-I512,""),IF(AND(I511&lt;&gt;"",LEFT(C511,2)&lt;&gt;"Va",I511&lt;&gt;"H. Sale Real"),IF(I516-I511&lt;0.208333333333333,I516-I511,""),""))))),""),"")</f>
        <v/>
      </c>
      <c r="T515" s="89">
        <f>IF(G515&lt;&gt;"H. Sale Real",IF(AND(G516&lt;&gt;"",LEFT(C516,2)&lt;&gt;"Va"),IF(AND(G515&lt;&gt;"",LEFT(C515,2)&lt;&gt;"Va",G515&lt;&gt;"H. Sale Real"),IF(G516-G515&lt;0.208333333333333,G516-G515,""),IF(AND(G514&lt;&gt;"",LEFT(C514,2)&lt;&gt;"Va",G514&lt;&gt;"H. Sale Real"),IF(G516-G514&lt;0.208333333333333,G516-G514,""),IF(AND(G513&lt;&gt;"",LEFT(C513,2)&lt;&gt;"Va",G513&lt;&gt;"H. Sale Real"),IF(G516-G513&lt;0.208333333333333,G516-G513,""),IF(AND(G512&lt;&gt;"",LEFT(C512,2)&lt;&gt;"Va",G512&lt;&gt;"H. Sale Real"),IF(G516-G512&lt;0.208333333333333,G516-G512,""),IF(AND(G511&lt;&gt;"",LEFT(C511,2)&lt;&gt;"Va",G511&lt;&gt;"H. Sale Real"),IF(G516-G511&lt;0.208333333333333,G516-G511,""),""))))),""),"")</f>
        <v/>
      </c>
      <c r="U515" s="87" t="n"/>
      <c r="V515" s="89" t="n"/>
      <c r="W515" s="87" t="n"/>
      <c r="X515" s="89" t="n"/>
      <c r="Y515" s="91" t="n"/>
      <c r="Z515" s="122">
        <f>IF(G515&lt;&gt;"",IF(AND(Z514&lt;&gt;"IE",P515&lt;&gt;0,R515&lt;&gt;""),IF(IFERROR((P515/R515),0) &lt;=1,IFERROR(P515/R515,""),1),""),"")</f>
        <v/>
      </c>
      <c r="AA515" s="93" t="n"/>
      <c r="AB515" s="2" t="n"/>
      <c r="AE515" s="10">
        <f>HOUR(AK515)+1</f>
        <v/>
      </c>
      <c r="AF515" s="7" t="n"/>
      <c r="AG515" s="7" t="n"/>
      <c r="AH515" s="86" t="n"/>
      <c r="AI515" s="8" t="n"/>
      <c r="AJ515" s="86" t="n"/>
      <c r="AK515" s="87" t="n"/>
      <c r="AL515" s="88">
        <f>IF(AM515="","",IF(AND((AM515-AK515)&gt;=TIME(0,0,0),(AM515-AK515)&lt;TIME(0,3,0)),"OK",IF(AND((AM515-AK515)&gt;=TIME(0,3,0),(AM515-AK515)&lt;TIME(0,5,0)),"RETRASO DE 3-5 MIN",IF(AND((AM515-AK515)&gt;=TIME(0,5,0),(AM515-AK515)&lt;TIME(0,10,0)),"RETRASO DE 5-10 MIN",IF((AM515-AK515)&gt;=TIME(0,10,0),"RETRASO &gt;10 MIN", IF(AND((AK515-AM515)&gt;=TIME(0,0,0),(AK515-AM515)&lt;TIME(0,3,0)),"OK",IF((AK515-AM515)&gt;=TIME(0,3,0),"ADELANTADO")))))))</f>
        <v/>
      </c>
      <c r="AM515" s="91" t="n"/>
      <c r="AN515" s="89">
        <f>IF(AE515&lt;&gt;"",HLOOKUP(VALUE(TEXT(AK515,"h:mm:ss")),IF($C$6="Laboral",$FZ$4:$GX$227,IF($C$6="Sábado",$FZ$231:$GX$452,$FZ$456:$GX$656)),VLOOKUP($C$4,$HF$2:$HH$99,3,0)+IF(AG$5="Ida",0,1),1),"")</f>
        <v/>
      </c>
      <c r="AO515" s="89">
        <f>IF(AE516&lt;&gt;AE515,AVERAGEIF(AE$9:AE515,AE515,AN$9:AN515),"")</f>
        <v/>
      </c>
      <c r="AP515" s="89">
        <f>IFERROR(IF(AE516&lt;&gt;AE515,AVERAGEIF(AE$9:AE515,AE515,AW$9:AW515),""),"")</f>
        <v/>
      </c>
      <c r="AQ515" s="89">
        <f>IFERROR(IF(AE516&lt;&gt;AE515,AVERAGEIF(AE$9:AE515,AE515,AX$9:AX515),""),"")</f>
        <v/>
      </c>
      <c r="AR515" s="89">
        <f t="array" ref="AR515">IFERROR(IF(AE516&lt;&gt;AE515,_xlfn.STDEV.P(IF(AE$9:AE515=AE515,AX$9:AX515)),""),"")</f>
        <v/>
      </c>
      <c r="AS515" s="89">
        <f t="array" ref="AS515">IFERROR(IF(AE516&lt;&gt;AE515,_xlfn.STDEV.P(IF(AE$9:AE515=AE515,AW$9:AW515)),""),"")</f>
        <v/>
      </c>
      <c r="AT515" s="90">
        <f>IFERROR(IF(AE515&lt;&gt;AE516,MAX((((AQ515*24*60)/2)*(1+POWER((((AR515*24*60) / (AQ515*24*60) )),2))) + ((AQ515*24*60 )*-0.1 + (AO515*0.015)) +1,(((AQ515*24*60)/2)*(1+POWER((((AR515*24*60) / (AQ515*24*60 ))),2)))),""),"")</f>
        <v/>
      </c>
      <c r="AU515" s="90">
        <f>IF(AND(AS515&lt;&gt;"",AP515&lt;&gt;""),IF(AE515&lt;&gt;AE516,((AP515*24*60) / 2 ) * (1 + POWER(((AS515*24*60) / (AP515*24*60)),2)),""),"")</f>
        <v/>
      </c>
      <c r="AV515" s="90">
        <f>IF(AU515&lt;&gt;"",MAX(AT515,AU515),"")</f>
        <v/>
      </c>
      <c r="AW515" s="89">
        <f>IF(AM515&lt;&gt;"H. Sale Real",IF(AND(AM516&lt;&gt;"",LEFT(AG516,2)&lt;&gt;"Va"),IF(AND(AM515&lt;&gt;"",LEFT(AG515,2)&lt;&gt;"Va",AM515&lt;&gt;"H. Sale Real"),IF(AM516-AM515&lt;0.208333333333333,AM516-AM515,""),IF(AND(AM514&lt;&gt;"",LEFT(AG514,2)&lt;&gt;"Va",AM514&lt;&gt;"H. Sale Real"),IF(AM516-AM514&lt;0.208333333333333,AM516-AM514,""),IF(AND(AM513&lt;&gt;"",LEFT(AG513,2)&lt;&gt;"Va",AM513&lt;&gt;"H. Sale Real"),IF(AM516-AM513&lt;0.208333333333333,AM516-AM513,""),IF(AND(AM512&lt;&gt;"",LEFT(AG512,2)&lt;&gt;"Va",AM512&lt;&gt;"H. Sale Real"),IF(AM516-AM512&lt;0.208333333333333,AM516-AM512,""),IF(AND(AM511&lt;&gt;"",LEFT(AG511,2)&lt;&gt;"Va",AM511&lt;&gt;"H. Sale Real"),IF(AM516-AM511&lt;0.208333333333333,AM516-AM511,""),""))))),""),"")</f>
        <v/>
      </c>
      <c r="AX515" s="89">
        <f>IF(AK515&lt;&gt;"H. Sale Real",IF(AND(AK516&lt;&gt;"",LEFT(AG516,2)&lt;&gt;"Va"),IF(AND(AK515&lt;&gt;"",LEFT(AG515,2)&lt;&gt;"Va",AK515&lt;&gt;"H. Sale Real"),IF(AK516-AK515&lt;0.208333333333333,AK516-AK515,""),IF(AND(AK514&lt;&gt;"",LEFT(AG514,2)&lt;&gt;"Va",AK514&lt;&gt;"H. Sale Real"),IF(AK516-AK514&lt;0.208333333333333,AK516-AK514,""),IF(AND(AK513&lt;&gt;"",LEFT(AG513,2)&lt;&gt;"NC",AK513&lt;&gt;"H. Sale Real"),IF(AK516-AK513&lt;0.208333333333333,AK516-AK513,""),IF(AND(AK512&lt;&gt;"",LEFT(AG512,2)&lt;&gt;"Va",AK512&lt;&gt;"H. Sale Real"),IF(AK516-AK512&lt;0.208333333333333,AK516-AK512,""),IF(AND(AK511&lt;&gt;"",LEFT(AG511,2)&lt;&gt;"Va",AK511&lt;&gt;"H. Sale Real"),IF(AK516-AK511&lt;0.208333333333333,AK516-AK511,""),""))))),""),"")</f>
        <v/>
      </c>
      <c r="AY515" s="87" t="n"/>
      <c r="AZ515" s="89" t="n"/>
      <c r="BA515" s="87" t="n"/>
      <c r="BB515" s="89" t="n"/>
      <c r="BC515" s="91" t="n"/>
      <c r="BD515" s="122">
        <f>IF(AK515&lt;&gt;"",IF(AND(BD514&lt;&gt;"IE",AT515&lt;&gt;0,AV515&lt;&gt;""),IF(IFERROR((AT515/AV515),0) &lt;=1,IFERROR(AT515/AV515,""),1),""),"")</f>
        <v/>
      </c>
      <c r="BE515" s="93" t="n"/>
      <c r="BF515" s="105" t="n"/>
      <c r="FC515" t="inlineStr">
        <is>
          <t>Diccionario 1</t>
        </is>
      </c>
      <c r="FD515" s="15" t="inlineStr"/>
      <c r="FE515" s="17" t="inlineStr">
        <is>
          <t>LDYECS316S0044316</t>
        </is>
      </c>
      <c r="FF515" s="18" t="inlineStr">
        <is>
          <t>MDN35025030023</t>
        </is>
      </c>
      <c r="FG515" s="18" t="inlineStr">
        <is>
          <t>Zhong Thong</t>
        </is>
      </c>
      <c r="FH515" s="18" t="inlineStr">
        <is>
          <t>Lck6122evg</t>
        </is>
      </c>
      <c r="FI515" s="18" t="inlineStr">
        <is>
          <t>Zhong Thong</t>
        </is>
      </c>
      <c r="FJ515" s="18" t="inlineStr">
        <is>
          <t>Lck6122evg</t>
        </is>
      </c>
      <c r="FK515" s="18" t="n">
        <v>2026</v>
      </c>
      <c r="FL515" s="18" t="inlineStr">
        <is>
          <t>B</t>
        </is>
      </c>
      <c r="FM515" s="18" t="inlineStr">
        <is>
          <t>Ducaud</t>
        </is>
      </c>
      <c r="FP515" t="inlineStr">
        <is>
          <t>B</t>
        </is>
      </c>
      <c r="FS515" s="14" t="inlineStr">
        <is>
          <t>GCBF-52|</t>
        </is>
      </c>
      <c r="FT515" t="inlineStr">
        <is>
          <t>GCBF-52|</t>
        </is>
      </c>
      <c r="FU515" t="inlineStr">
        <is>
          <t>GCBF-52</t>
        </is>
      </c>
      <c r="FV515">
        <f>VLOOKUP(FU515,FD:FL,9,0)</f>
        <v/>
      </c>
      <c r="FZ515" s="51" t="inlineStr">
        <is>
          <t>F30n</t>
        </is>
      </c>
      <c r="GA515" s="43" t="n">
        <v>25.715</v>
      </c>
      <c r="GB515" s="43" t="n">
        <v>26.565</v>
      </c>
      <c r="GC515" s="43" t="n">
        <v>27.465</v>
      </c>
      <c r="GD515" s="43" t="n">
        <v>28.56</v>
      </c>
      <c r="GE515" s="43" t="n">
        <v>28.8</v>
      </c>
      <c r="GF515" s="43" t="n">
        <v>28.96</v>
      </c>
      <c r="GG515" s="43" t="n">
        <v>27.715</v>
      </c>
      <c r="GH515" s="43" t="n">
        <v>26.1</v>
      </c>
      <c r="GI515" s="43" t="n">
        <v>12.605</v>
      </c>
      <c r="GJ515" s="43" t="n">
        <v>0</v>
      </c>
      <c r="GK515" s="43" t="n">
        <v>0</v>
      </c>
      <c r="GL515" s="43" t="n">
        <v>0</v>
      </c>
      <c r="GM515" s="43" t="n">
        <v>0</v>
      </c>
      <c r="GN515" s="43" t="n">
        <v>0</v>
      </c>
      <c r="GO515" s="43" t="n">
        <v>0</v>
      </c>
      <c r="GP515" s="43" t="n">
        <v>0</v>
      </c>
      <c r="GQ515" s="43" t="n">
        <v>0</v>
      </c>
      <c r="GR515" s="43" t="n">
        <v>0</v>
      </c>
      <c r="GS515" s="43" t="n">
        <v>0</v>
      </c>
      <c r="GT515" s="43" t="n">
        <v>0</v>
      </c>
      <c r="GU515" s="43" t="n">
        <v>0</v>
      </c>
      <c r="GV515" s="43" t="n">
        <v>0</v>
      </c>
      <c r="GW515" s="43" t="n">
        <v>0</v>
      </c>
      <c r="GX515" s="43" t="n">
        <v>0</v>
      </c>
      <c r="HA515" s="35" t="n">
        <v>60</v>
      </c>
      <c r="HB515" s="35" t="n">
        <v>509</v>
      </c>
    </row>
    <row r="516" ht="15.5" customHeight="1">
      <c r="A516" s="10">
        <f>HOUR(G516)+1</f>
        <v/>
      </c>
      <c r="B516" s="7" t="n"/>
      <c r="C516" s="7" t="n"/>
      <c r="D516" s="85">
        <f>IFERROR(
IF(AND(OR(Planilla!B516="C",Planilla!B516="c"), VLOOKUP(E516,FD:FP,13,0)="C"), "OK",IF(AND(OR(Planilla!B516="C",Planilla!B516="c"), OR(VLOOKUP(E516,FD:FP,13,0)="B", VLOOKUP(E516,FD:FP,13,0)="A")), "DEFICIT",IF(
AND(OR(Planilla!B516="B", Planilla!B516="BPAL"), VLOOKUP(E516,FD:FP,13,0)="B"), "OK",IF(AND(OR(Planilla!B516="B", Planilla!B516="BPAL"), VLOOKUP(E516,FD:FP,13,0)="A"), "DEFICIT",IF(AND(OR(Planilla!B516="B", Planilla!B516="BPAL"), VLOOKUP(E516,FD:FP,13,0)="C"), "SOBREOFERTA",IF(AND(Planilla!B516="A", VLOOKUP(E516,FD:FP,13,0)="A"), "OK",IF(
AND(Planilla!B516="A", OR(VLOOKUP(E516,FD:FP,13,0)="B", VLOOKUP(E516,FD:FP,13,0)="C")), "SOBREOFERTA",""
))))))),"")</f>
        <v/>
      </c>
      <c r="E516" s="8" t="n"/>
      <c r="F516" s="86" t="n"/>
      <c r="G516" s="87" t="n"/>
      <c r="H516" s="88">
        <f>IF(I516="","",IF(AND((I516-G516)&gt;=TIME(0,0,0),(I516-G516)&lt;TIME(0,3,0)),"OK",IF(AND((I516-G516)&gt;=TIME(0,3,0),(I516-G516)&lt;TIME(0,5,0)),"RETRASO DE 3-5 MIN",IF(AND((I516-G516)&gt;=TIME(0,5,0),(I516-G516)&lt;TIME(0,10,0)),"RETRASO DE 5-10 MIN",IF((I516-G516)&gt;=TIME(0,10,0),"RETRASO &gt;10 MIN", IF(AND((G516-I516)&gt;=TIME(0,0,0),(G516-I516)&lt;TIME(0,3,0)),"OK",IF((G516-I516)&gt;=TIME(0,3,0),"ADELANTADO")))))))</f>
        <v/>
      </c>
      <c r="I516" s="89" t="n"/>
      <c r="J516" s="89">
        <f>IF(A516&lt;&gt;"",HLOOKUP(VALUE(TEXT(G516,"h:mm:ss")),IF($C$6="Laboral",$FZ$4:$GX$227,IF($C$6="Sábado",$FZ$231:$GX$452,$FZ$456:$GX$656)),VLOOKUP($C$4,$HF$2:$HH$99,3,0)+IF(C$5="Ida",0,1),1),"")</f>
        <v/>
      </c>
      <c r="K516" s="89">
        <f>IF(A517&lt;&gt;A516,AVERAGEIF(A$9:A516,A516,J$9:J516),"")</f>
        <v/>
      </c>
      <c r="L516" s="89">
        <f>IFERROR(IF(A517&lt;&gt;A516,AVERAGEIF(A$9:A516,A516,S$9:S516),""),"")</f>
        <v/>
      </c>
      <c r="M516" s="89">
        <f>IFERROR(IF(A517&lt;&gt;A516,AVERAGEIF(A$9:A516,A516,T$9:T516),""),"")</f>
        <v/>
      </c>
      <c r="N516" s="89">
        <f t="array" ref="N516">IFERROR(IF(A517&lt;&gt;A516,_xlfn.STDEV.P(IF(A$9:A516=A516,T$9:T516)),""),"")</f>
        <v/>
      </c>
      <c r="O516" s="89">
        <f t="array" ref="O516">IFERROR(IF(A517&lt;&gt;A516,_xlfn.STDEV.P(IF(A$9:A516=A516,S$9:S516)),""),"")</f>
        <v/>
      </c>
      <c r="P516" s="90">
        <f>IFERROR(IF(A516&lt;&gt;A517,MAX((((M516*24*60)/2)*(1+POWER((((N516*24*60) / (M516*24*60) )),2))) + ((M516*24*60 )*-0.1 + (K516*0.015)) +1,(((M516*24*60)/2)*(1+POWER((((N516*24*60) / (M516*24*60 ))),2)))),""),"")</f>
        <v/>
      </c>
      <c r="Q516" s="90">
        <f>IF(AND(O516&lt;&gt;"",L516&lt;&gt;""),IF(A516&lt;&gt;A517,((L516*24*60) / 2 ) * (1 + POWER(((O516*24*60) / (L516*24*60)),2)),""),"")</f>
        <v/>
      </c>
      <c r="R516" s="90">
        <f>IF(Q516&lt;&gt;"",MAX(P516,Q516),"")</f>
        <v/>
      </c>
      <c r="S516" s="89">
        <f>IF(I516&lt;&gt;"H. Sale Real",IF(AND(I517&lt;&gt;"",LEFT(C517,2)&lt;&gt;"Va"),IF(AND(I516&lt;&gt;"",LEFT(C516,2)&lt;&gt;"Va",I516&lt;&gt;"H. Sale Real"),IF(I517-I516&lt;0.208333333333333,I517-I516,""),IF(AND(I515&lt;&gt;"",LEFT(C515,2)&lt;&gt;"Va",I515&lt;&gt;"H. Sale Real"),IF(I517-I515&lt;0.208333333333333,I517-I515,""),IF(AND(I514&lt;&gt;"",LEFT(C514,2)&lt;&gt;"Va",I514&lt;&gt;"H. Sale Real"),IF(I517-I514&lt;0.208333333333333,I517-I514,""),IF(AND(I513&lt;&gt;"",LEFT(C513,2)&lt;&gt;"Va",I513&lt;&gt;"H. Sale Real"),IF(I517-I513&lt;0.208333333333333,I517-I513,""),IF(AND(I512&lt;&gt;"",LEFT(C512,2)&lt;&gt;"Va",I512&lt;&gt;"H. Sale Real"),IF(I517-I512&lt;0.208333333333333,I517-I512,""),""))))),""),"")</f>
        <v/>
      </c>
      <c r="T516" s="89">
        <f>IF(G516&lt;&gt;"H. Sale Real",IF(AND(G517&lt;&gt;"",LEFT(C517,2)&lt;&gt;"Va"),IF(AND(G516&lt;&gt;"",LEFT(C516,2)&lt;&gt;"Va",G516&lt;&gt;"H. Sale Real"),IF(G517-G516&lt;0.208333333333333,G517-G516,""),IF(AND(G515&lt;&gt;"",LEFT(C515,2)&lt;&gt;"Va",G515&lt;&gt;"H. Sale Real"),IF(G517-G515&lt;0.208333333333333,G517-G515,""),IF(AND(G514&lt;&gt;"",LEFT(C514,2)&lt;&gt;"Va",G514&lt;&gt;"H. Sale Real"),IF(G517-G514&lt;0.208333333333333,G517-G514,""),IF(AND(G513&lt;&gt;"",LEFT(C513,2)&lt;&gt;"Va",G513&lt;&gt;"H. Sale Real"),IF(G517-G513&lt;0.208333333333333,G517-G513,""),IF(AND(G512&lt;&gt;"",LEFT(C512,2)&lt;&gt;"Va",G512&lt;&gt;"H. Sale Real"),IF(G517-G512&lt;0.208333333333333,G517-G512,""),""))))),""),"")</f>
        <v/>
      </c>
      <c r="U516" s="87" t="n"/>
      <c r="V516" s="89" t="n"/>
      <c r="W516" s="87" t="n"/>
      <c r="X516" s="89" t="n"/>
      <c r="Y516" s="91" t="n"/>
      <c r="Z516" s="122">
        <f>IF(G516&lt;&gt;"",IF(AND(Z515&lt;&gt;"IE",P516&lt;&gt;0,R516&lt;&gt;""),IF(IFERROR((P516/R516),0) &lt;=1,IFERROR(P516/R516,""),1),""),"")</f>
        <v/>
      </c>
      <c r="AA516" s="93" t="n"/>
      <c r="AB516" s="2" t="n"/>
      <c r="AE516" s="10">
        <f>HOUR(AK516)+1</f>
        <v/>
      </c>
      <c r="AF516" s="7" t="n"/>
      <c r="AG516" s="7" t="n"/>
      <c r="AH516" s="86" t="n"/>
      <c r="AI516" s="8" t="n"/>
      <c r="AJ516" s="86" t="n"/>
      <c r="AK516" s="87" t="n"/>
      <c r="AL516" s="88">
        <f>IF(AM516="","",IF(AND((AM516-AK516)&gt;=TIME(0,0,0),(AM516-AK516)&lt;TIME(0,3,0)),"OK",IF(AND((AM516-AK516)&gt;=TIME(0,3,0),(AM516-AK516)&lt;TIME(0,5,0)),"RETRASO DE 3-5 MIN",IF(AND((AM516-AK516)&gt;=TIME(0,5,0),(AM516-AK516)&lt;TIME(0,10,0)),"RETRASO DE 5-10 MIN",IF((AM516-AK516)&gt;=TIME(0,10,0),"RETRASO &gt;10 MIN", IF(AND((AK516-AM516)&gt;=TIME(0,0,0),(AK516-AM516)&lt;TIME(0,3,0)),"OK",IF((AK516-AM516)&gt;=TIME(0,3,0),"ADELANTADO")))))))</f>
        <v/>
      </c>
      <c r="AM516" s="91" t="n"/>
      <c r="AN516" s="89">
        <f>IF(AE516&lt;&gt;"",HLOOKUP(VALUE(TEXT(AK516,"h:mm:ss")),IF($C$6="Laboral",$FZ$4:$GX$227,IF($C$6="Sábado",$FZ$231:$GX$452,$FZ$456:$GX$656)),VLOOKUP($C$4,$HF$2:$HH$99,3,0)+IF(AG$5="Ida",0,1),1),"")</f>
        <v/>
      </c>
      <c r="AO516" s="89">
        <f>IF(AE517&lt;&gt;AE516,AVERAGEIF(AE$9:AE516,AE516,AN$9:AN516),"")</f>
        <v/>
      </c>
      <c r="AP516" s="89">
        <f>IFERROR(IF(AE517&lt;&gt;AE516,AVERAGEIF(AE$9:AE516,AE516,AW$9:AW516),""),"")</f>
        <v/>
      </c>
      <c r="AQ516" s="89">
        <f>IFERROR(IF(AE517&lt;&gt;AE516,AVERAGEIF(AE$9:AE516,AE516,AX$9:AX516),""),"")</f>
        <v/>
      </c>
      <c r="AR516" s="89">
        <f t="array" ref="AR516">IFERROR(IF(AE517&lt;&gt;AE516,_xlfn.STDEV.P(IF(AE$9:AE516=AE516,AX$9:AX516)),""),"")</f>
        <v/>
      </c>
      <c r="AS516" s="89">
        <f t="array" ref="AS516">IFERROR(IF(AE517&lt;&gt;AE516,_xlfn.STDEV.P(IF(AE$9:AE516=AE516,AW$9:AW516)),""),"")</f>
        <v/>
      </c>
      <c r="AT516" s="90">
        <f>IFERROR(IF(AE516&lt;&gt;AE517,MAX((((AQ516*24*60)/2)*(1+POWER((((AR516*24*60) / (AQ516*24*60) )),2))) + ((AQ516*24*60 )*-0.1 + (AO516*0.015)) +1,(((AQ516*24*60)/2)*(1+POWER((((AR516*24*60) / (AQ516*24*60 ))),2)))),""),"")</f>
        <v/>
      </c>
      <c r="AU516" s="90">
        <f>IF(AND(AS516&lt;&gt;"",AP516&lt;&gt;""),IF(AE516&lt;&gt;AE517,((AP516*24*60) / 2 ) * (1 + POWER(((AS516*24*60) / (AP516*24*60)),2)),""),"")</f>
        <v/>
      </c>
      <c r="AV516" s="90">
        <f>IF(AU516&lt;&gt;"",MAX(AT516,AU516),"")</f>
        <v/>
      </c>
      <c r="AW516" s="89">
        <f>IF(AM516&lt;&gt;"H. Sale Real",IF(AND(AM517&lt;&gt;"",LEFT(AG517,2)&lt;&gt;"Va"),IF(AND(AM516&lt;&gt;"",LEFT(AG516,2)&lt;&gt;"Va",AM516&lt;&gt;"H. Sale Real"),IF(AM517-AM516&lt;0.208333333333333,AM517-AM516,""),IF(AND(AM515&lt;&gt;"",LEFT(AG515,2)&lt;&gt;"Va",AM515&lt;&gt;"H. Sale Real"),IF(AM517-AM515&lt;0.208333333333333,AM517-AM515,""),IF(AND(AM514&lt;&gt;"",LEFT(AG514,2)&lt;&gt;"Va",AM514&lt;&gt;"H. Sale Real"),IF(AM517-AM514&lt;0.208333333333333,AM517-AM514,""),IF(AND(AM513&lt;&gt;"",LEFT(AG513,2)&lt;&gt;"Va",AM513&lt;&gt;"H. Sale Real"),IF(AM517-AM513&lt;0.208333333333333,AM517-AM513,""),IF(AND(AM512&lt;&gt;"",LEFT(AG512,2)&lt;&gt;"Va",AM512&lt;&gt;"H. Sale Real"),IF(AM517-AM512&lt;0.208333333333333,AM517-AM512,""),""))))),""),"")</f>
        <v/>
      </c>
      <c r="AX516" s="89">
        <f>IF(AK516&lt;&gt;"H. Sale Real",IF(AND(AK517&lt;&gt;"",LEFT(AG517,2)&lt;&gt;"Va"),IF(AND(AK516&lt;&gt;"",LEFT(AG516,2)&lt;&gt;"Va",AK516&lt;&gt;"H. Sale Real"),IF(AK517-AK516&lt;0.208333333333333,AK517-AK516,""),IF(AND(AK515&lt;&gt;"",LEFT(AG515,2)&lt;&gt;"Va",AK515&lt;&gt;"H. Sale Real"),IF(AK517-AK515&lt;0.208333333333333,AK517-AK515,""),IF(AND(AK514&lt;&gt;"",LEFT(AG514,2)&lt;&gt;"NC",AK514&lt;&gt;"H. Sale Real"),IF(AK517-AK514&lt;0.208333333333333,AK517-AK514,""),IF(AND(AK513&lt;&gt;"",LEFT(AG513,2)&lt;&gt;"Va",AK513&lt;&gt;"H. Sale Real"),IF(AK517-AK513&lt;0.208333333333333,AK517-AK513,""),IF(AND(AK512&lt;&gt;"",LEFT(AG512,2)&lt;&gt;"Va",AK512&lt;&gt;"H. Sale Real"),IF(AK517-AK512&lt;0.208333333333333,AK517-AK512,""),""))))),""),"")</f>
        <v/>
      </c>
      <c r="AY516" s="87" t="n"/>
      <c r="AZ516" s="89" t="n"/>
      <c r="BA516" s="87" t="n"/>
      <c r="BB516" s="89" t="n"/>
      <c r="BC516" s="91" t="n"/>
      <c r="BD516" s="122">
        <f>IF(AK516&lt;&gt;"",IF(AND(BD515&lt;&gt;"IE",AT516&lt;&gt;0,AV516&lt;&gt;""),IF(IFERROR((AT516/AV516),0) &lt;=1,IFERROR(AT516/AV516,""),1),""),"")</f>
        <v/>
      </c>
      <c r="BE516" s="93" t="n"/>
      <c r="BF516" s="105" t="n"/>
      <c r="FC516" t="inlineStr">
        <is>
          <t>Diccionario 1</t>
        </is>
      </c>
      <c r="FD516" s="15" t="inlineStr"/>
      <c r="FE516" s="17" t="inlineStr">
        <is>
          <t>LDYECS316S0044168</t>
        </is>
      </c>
      <c r="FF516" s="18" t="inlineStr">
        <is>
          <t>MDN35025020215</t>
        </is>
      </c>
      <c r="FG516" s="18" t="inlineStr">
        <is>
          <t>Zhong Thong</t>
        </is>
      </c>
      <c r="FH516" s="18" t="inlineStr">
        <is>
          <t>Lck6122evg</t>
        </is>
      </c>
      <c r="FI516" s="18" t="inlineStr">
        <is>
          <t>Zhong Thong</t>
        </is>
      </c>
      <c r="FJ516" s="18" t="inlineStr">
        <is>
          <t>Lck6122evg</t>
        </is>
      </c>
      <c r="FK516" s="18" t="n">
        <v>2026</v>
      </c>
      <c r="FL516" s="18" t="inlineStr">
        <is>
          <t>B</t>
        </is>
      </c>
      <c r="FM516" s="18" t="inlineStr">
        <is>
          <t>Lo Blanco</t>
        </is>
      </c>
      <c r="FP516" t="inlineStr">
        <is>
          <t>B</t>
        </is>
      </c>
      <c r="FS516" s="14" t="inlineStr">
        <is>
          <t>LZPW-18|</t>
        </is>
      </c>
      <c r="FT516" t="inlineStr">
        <is>
          <t>LZPW-18|</t>
        </is>
      </c>
      <c r="FU516" t="inlineStr">
        <is>
          <t>LZPW-18</t>
        </is>
      </c>
      <c r="FV516">
        <f>VLOOKUP(FU516,FD:FL,9,0)</f>
        <v/>
      </c>
      <c r="FZ516" s="51" t="inlineStr">
        <is>
          <t>F33</t>
        </is>
      </c>
      <c r="GA516" s="43" t="n">
        <v>0</v>
      </c>
      <c r="GB516" s="43" t="n">
        <v>0</v>
      </c>
      <c r="GC516" s="43" t="n">
        <v>0</v>
      </c>
      <c r="GD516" s="43" t="n">
        <v>0</v>
      </c>
      <c r="GE516" s="43" t="n">
        <v>0</v>
      </c>
      <c r="GF516" s="43" t="n">
        <v>28.92</v>
      </c>
      <c r="GG516" s="43" t="n">
        <v>28.155</v>
      </c>
      <c r="GH516" s="43" t="n">
        <v>26.805</v>
      </c>
      <c r="GI516" s="43" t="n">
        <v>24.84</v>
      </c>
      <c r="GJ516" s="43" t="n">
        <v>24.02</v>
      </c>
      <c r="GK516" s="43" t="n">
        <v>22.215</v>
      </c>
      <c r="GL516" s="43" t="n">
        <v>20.7</v>
      </c>
      <c r="GM516" s="43" t="n">
        <v>19.265</v>
      </c>
      <c r="GN516" s="43" t="n">
        <v>19.08</v>
      </c>
      <c r="GO516" s="43" t="n">
        <v>20.99</v>
      </c>
      <c r="GP516" s="43" t="n">
        <v>22.08</v>
      </c>
      <c r="GQ516" s="43" t="n">
        <v>21.605</v>
      </c>
      <c r="GR516" s="43" t="n">
        <v>18.78</v>
      </c>
      <c r="GS516" s="43" t="n">
        <v>16.72</v>
      </c>
      <c r="GT516" s="43" t="n">
        <v>17.545</v>
      </c>
      <c r="GU516" s="43" t="n">
        <v>19.1</v>
      </c>
      <c r="GV516" s="43" t="n">
        <v>20.75</v>
      </c>
      <c r="GW516" s="43" t="n">
        <v>22.53</v>
      </c>
      <c r="GX516" s="43" t="n">
        <v>25.325</v>
      </c>
      <c r="HA516" s="35" t="n">
        <v>61</v>
      </c>
      <c r="HB516" s="35" t="n">
        <v>510</v>
      </c>
    </row>
    <row r="517" ht="15.5" customHeight="1">
      <c r="A517" s="10">
        <f>HOUR(G517)+1</f>
        <v/>
      </c>
      <c r="B517" s="7" t="n"/>
      <c r="C517" s="7" t="n"/>
      <c r="D517" s="85">
        <f>IFERROR(
IF(AND(OR(Planilla!B517="C",Planilla!B517="c"), VLOOKUP(E517,FD:FP,13,0)="C"), "OK",IF(AND(OR(Planilla!B517="C",Planilla!B517="c"), OR(VLOOKUP(E517,FD:FP,13,0)="B", VLOOKUP(E517,FD:FP,13,0)="A")), "DEFICIT",IF(
AND(OR(Planilla!B517="B", Planilla!B517="BPAL"), VLOOKUP(E517,FD:FP,13,0)="B"), "OK",IF(AND(OR(Planilla!B517="B", Planilla!B517="BPAL"), VLOOKUP(E517,FD:FP,13,0)="A"), "DEFICIT",IF(AND(OR(Planilla!B517="B", Planilla!B517="BPAL"), VLOOKUP(E517,FD:FP,13,0)="C"), "SOBREOFERTA",IF(AND(Planilla!B517="A", VLOOKUP(E517,FD:FP,13,0)="A"), "OK",IF(
AND(Planilla!B517="A", OR(VLOOKUP(E517,FD:FP,13,0)="B", VLOOKUP(E517,FD:FP,13,0)="C")), "SOBREOFERTA",""
))))))),"")</f>
        <v/>
      </c>
      <c r="E517" s="8" t="n"/>
      <c r="F517" s="86" t="n"/>
      <c r="G517" s="87" t="n"/>
      <c r="H517" s="88">
        <f>IF(I517="","",IF(AND((I517-G517)&gt;=TIME(0,0,0),(I517-G517)&lt;TIME(0,3,0)),"OK",IF(AND((I517-G517)&gt;=TIME(0,3,0),(I517-G517)&lt;TIME(0,5,0)),"RETRASO DE 3-5 MIN",IF(AND((I517-G517)&gt;=TIME(0,5,0),(I517-G517)&lt;TIME(0,10,0)),"RETRASO DE 5-10 MIN",IF((I517-G517)&gt;=TIME(0,10,0),"RETRASO &gt;10 MIN", IF(AND((G517-I517)&gt;=TIME(0,0,0),(G517-I517)&lt;TIME(0,3,0)),"OK",IF((G517-I517)&gt;=TIME(0,3,0),"ADELANTADO")))))))</f>
        <v/>
      </c>
      <c r="I517" s="89" t="n"/>
      <c r="J517" s="89">
        <f>IF(A517&lt;&gt;"",HLOOKUP(VALUE(TEXT(G517,"h:mm:ss")),IF($C$6="Laboral",$FZ$4:$GX$227,IF($C$6="Sábado",$FZ$231:$GX$452,$FZ$456:$GX$656)),VLOOKUP($C$4,$HF$2:$HH$99,3,0)+IF(C$5="Ida",0,1),1),"")</f>
        <v/>
      </c>
      <c r="K517" s="89">
        <f>IF(A518&lt;&gt;A517,AVERAGEIF(A$9:A517,A517,J$9:J517),"")</f>
        <v/>
      </c>
      <c r="L517" s="89">
        <f>IFERROR(IF(A518&lt;&gt;A517,AVERAGEIF(A$9:A517,A517,S$9:S517),""),"")</f>
        <v/>
      </c>
      <c r="M517" s="89">
        <f>IFERROR(IF(A518&lt;&gt;A517,AVERAGEIF(A$9:A517,A517,T$9:T517),""),"")</f>
        <v/>
      </c>
      <c r="N517" s="89">
        <f t="array" ref="N517">IFERROR(IF(A518&lt;&gt;A517,_xlfn.STDEV.P(IF(A$9:A517=A517,T$9:T517)),""),"")</f>
        <v/>
      </c>
      <c r="O517" s="89">
        <f t="array" ref="O517">IFERROR(IF(A518&lt;&gt;A517,_xlfn.STDEV.P(IF(A$9:A517=A517,S$9:S517)),""),"")</f>
        <v/>
      </c>
      <c r="P517" s="90">
        <f>IFERROR(IF(A517&lt;&gt;A518,MAX((((M517*24*60)/2)*(1+POWER((((N517*24*60) / (M517*24*60) )),2))) + ((M517*24*60 )*-0.1 + (K517*0.015)) +1,(((M517*24*60)/2)*(1+POWER((((N517*24*60) / (M517*24*60 ))),2)))),""),"")</f>
        <v/>
      </c>
      <c r="Q517" s="90">
        <f>IF(AND(O517&lt;&gt;"",L517&lt;&gt;""),IF(A517&lt;&gt;A518,((L517*24*60) / 2 ) * (1 + POWER(((O517*24*60) / (L517*24*60)),2)),""),"")</f>
        <v/>
      </c>
      <c r="R517" s="90">
        <f>IF(Q517&lt;&gt;"",MAX(P517,Q517),"")</f>
        <v/>
      </c>
      <c r="S517" s="89">
        <f>IF(I517&lt;&gt;"H. Sale Real",IF(AND(I518&lt;&gt;"",LEFT(C518,2)&lt;&gt;"Va"),IF(AND(I517&lt;&gt;"",LEFT(C517,2)&lt;&gt;"Va",I517&lt;&gt;"H. Sale Real"),IF(I518-I517&lt;0.208333333333333,I518-I517,""),IF(AND(I516&lt;&gt;"",LEFT(C516,2)&lt;&gt;"Va",I516&lt;&gt;"H. Sale Real"),IF(I518-I516&lt;0.208333333333333,I518-I516,""),IF(AND(I515&lt;&gt;"",LEFT(C515,2)&lt;&gt;"Va",I515&lt;&gt;"H. Sale Real"),IF(I518-I515&lt;0.208333333333333,I518-I515,""),IF(AND(I514&lt;&gt;"",LEFT(C514,2)&lt;&gt;"Va",I514&lt;&gt;"H. Sale Real"),IF(I518-I514&lt;0.208333333333333,I518-I514,""),IF(AND(I513&lt;&gt;"",LEFT(C513,2)&lt;&gt;"Va",I513&lt;&gt;"H. Sale Real"),IF(I518-I513&lt;0.208333333333333,I518-I513,""),""))))),""),"")</f>
        <v/>
      </c>
      <c r="T517" s="89">
        <f>IF(G517&lt;&gt;"H. Sale Real",IF(AND(G518&lt;&gt;"",LEFT(C518,2)&lt;&gt;"Va"),IF(AND(G517&lt;&gt;"",LEFT(C517,2)&lt;&gt;"Va",G517&lt;&gt;"H. Sale Real"),IF(G518-G517&lt;0.208333333333333,G518-G517,""),IF(AND(G516&lt;&gt;"",LEFT(C516,2)&lt;&gt;"Va",G516&lt;&gt;"H. Sale Real"),IF(G518-G516&lt;0.208333333333333,G518-G516,""),IF(AND(G515&lt;&gt;"",LEFT(C515,2)&lt;&gt;"Va",G515&lt;&gt;"H. Sale Real"),IF(G518-G515&lt;0.208333333333333,G518-G515,""),IF(AND(G514&lt;&gt;"",LEFT(C514,2)&lt;&gt;"Va",G514&lt;&gt;"H. Sale Real"),IF(G518-G514&lt;0.208333333333333,G518-G514,""),IF(AND(G513&lt;&gt;"",LEFT(C513,2)&lt;&gt;"Va",G513&lt;&gt;"H. Sale Real"),IF(G518-G513&lt;0.208333333333333,G518-G513,""),""))))),""),"")</f>
        <v/>
      </c>
      <c r="U517" s="87" t="n"/>
      <c r="V517" s="89" t="n"/>
      <c r="W517" s="87" t="n"/>
      <c r="X517" s="89" t="n"/>
      <c r="Y517" s="91" t="n"/>
      <c r="Z517" s="122">
        <f>IF(G517&lt;&gt;"",IF(AND(Z516&lt;&gt;"IE",P517&lt;&gt;0,R517&lt;&gt;""),IF(IFERROR((P517/R517),0) &lt;=1,IFERROR(P517/R517,""),1),""),"")</f>
        <v/>
      </c>
      <c r="AA517" s="93" t="n"/>
      <c r="AB517" s="2" t="n"/>
      <c r="AE517" s="10">
        <f>HOUR(AK517)+1</f>
        <v/>
      </c>
      <c r="AF517" s="7" t="n"/>
      <c r="AG517" s="7" t="n"/>
      <c r="AH517" s="86" t="n"/>
      <c r="AI517" s="8" t="n"/>
      <c r="AJ517" s="86" t="n"/>
      <c r="AK517" s="87" t="n"/>
      <c r="AL517" s="88">
        <f>IF(AM517="","",IF(AND((AM517-AK517)&gt;=TIME(0,0,0),(AM517-AK517)&lt;TIME(0,3,0)),"OK",IF(AND((AM517-AK517)&gt;=TIME(0,3,0),(AM517-AK517)&lt;TIME(0,5,0)),"RETRASO DE 3-5 MIN",IF(AND((AM517-AK517)&gt;=TIME(0,5,0),(AM517-AK517)&lt;TIME(0,10,0)),"RETRASO DE 5-10 MIN",IF((AM517-AK517)&gt;=TIME(0,10,0),"RETRASO &gt;10 MIN", IF(AND((AK517-AM517)&gt;=TIME(0,0,0),(AK517-AM517)&lt;TIME(0,3,0)),"OK",IF((AK517-AM517)&gt;=TIME(0,3,0),"ADELANTADO")))))))</f>
        <v/>
      </c>
      <c r="AM517" s="91" t="n"/>
      <c r="AN517" s="89">
        <f>IF(AE517&lt;&gt;"",HLOOKUP(VALUE(TEXT(AK517,"h:mm:ss")),IF($C$6="Laboral",$FZ$4:$GX$227,IF($C$6="Sábado",$FZ$231:$GX$452,$FZ$456:$GX$656)),VLOOKUP($C$4,$HF$2:$HH$99,3,0)+IF(AG$5="Ida",0,1),1),"")</f>
        <v/>
      </c>
      <c r="AO517" s="89">
        <f>IF(AE518&lt;&gt;AE517,AVERAGEIF(AE$9:AE517,AE517,AN$9:AN517),"")</f>
        <v/>
      </c>
      <c r="AP517" s="89">
        <f>IFERROR(IF(AE518&lt;&gt;AE517,AVERAGEIF(AE$9:AE517,AE517,AW$9:AW517),""),"")</f>
        <v/>
      </c>
      <c r="AQ517" s="89">
        <f>IFERROR(IF(AE518&lt;&gt;AE517,AVERAGEIF(AE$9:AE517,AE517,AX$9:AX517),""),"")</f>
        <v/>
      </c>
      <c r="AR517" s="89">
        <f t="array" ref="AR517">IFERROR(IF(AE518&lt;&gt;AE517,_xlfn.STDEV.P(IF(AE$9:AE517=AE517,AX$9:AX517)),""),"")</f>
        <v/>
      </c>
      <c r="AS517" s="89">
        <f t="array" ref="AS517">IFERROR(IF(AE518&lt;&gt;AE517,_xlfn.STDEV.P(IF(AE$9:AE517=AE517,AW$9:AW517)),""),"")</f>
        <v/>
      </c>
      <c r="AT517" s="90">
        <f>IFERROR(IF(AE517&lt;&gt;AE518,MAX((((AQ517*24*60)/2)*(1+POWER((((AR517*24*60) / (AQ517*24*60) )),2))) + ((AQ517*24*60 )*-0.1 + (AO517*0.015)) +1,(((AQ517*24*60)/2)*(1+POWER((((AR517*24*60) / (AQ517*24*60 ))),2)))),""),"")</f>
        <v/>
      </c>
      <c r="AU517" s="90">
        <f>IF(AND(AS517&lt;&gt;"",AP517&lt;&gt;""),IF(AE517&lt;&gt;AE518,((AP517*24*60) / 2 ) * (1 + POWER(((AS517*24*60) / (AP517*24*60)),2)),""),"")</f>
        <v/>
      </c>
      <c r="AV517" s="90">
        <f>IF(AU517&lt;&gt;"",MAX(AT517,AU517),"")</f>
        <v/>
      </c>
      <c r="AW517" s="89">
        <f>IF(AM517&lt;&gt;"H. Sale Real",IF(AND(AM518&lt;&gt;"",LEFT(AG518,2)&lt;&gt;"Va"),IF(AND(AM517&lt;&gt;"",LEFT(AG517,2)&lt;&gt;"Va",AM517&lt;&gt;"H. Sale Real"),IF(AM518-AM517&lt;0.208333333333333,AM518-AM517,""),IF(AND(AM516&lt;&gt;"",LEFT(AG516,2)&lt;&gt;"Va",AM516&lt;&gt;"H. Sale Real"),IF(AM518-AM516&lt;0.208333333333333,AM518-AM516,""),IF(AND(AM515&lt;&gt;"",LEFT(AG515,2)&lt;&gt;"Va",AM515&lt;&gt;"H. Sale Real"),IF(AM518-AM515&lt;0.208333333333333,AM518-AM515,""),IF(AND(AM514&lt;&gt;"",LEFT(AG514,2)&lt;&gt;"Va",AM514&lt;&gt;"H. Sale Real"),IF(AM518-AM514&lt;0.208333333333333,AM518-AM514,""),IF(AND(AM513&lt;&gt;"",LEFT(AG513,2)&lt;&gt;"Va",AM513&lt;&gt;"H. Sale Real"),IF(AM518-AM513&lt;0.208333333333333,AM518-AM513,""),""))))),""),"")</f>
        <v/>
      </c>
      <c r="AX517" s="89">
        <f>IF(AK517&lt;&gt;"H. Sale Real",IF(AND(AK518&lt;&gt;"",LEFT(AG518,2)&lt;&gt;"Va"),IF(AND(AK517&lt;&gt;"",LEFT(AG517,2)&lt;&gt;"Va",AK517&lt;&gt;"H. Sale Real"),IF(AK518-AK517&lt;0.208333333333333,AK518-AK517,""),IF(AND(AK516&lt;&gt;"",LEFT(AG516,2)&lt;&gt;"Va",AK516&lt;&gt;"H. Sale Real"),IF(AK518-AK516&lt;0.208333333333333,AK518-AK516,""),IF(AND(AK515&lt;&gt;"",LEFT(AG515,2)&lt;&gt;"NC",AK515&lt;&gt;"H. Sale Real"),IF(AK518-AK515&lt;0.208333333333333,AK518-AK515,""),IF(AND(AK514&lt;&gt;"",LEFT(AG514,2)&lt;&gt;"Va",AK514&lt;&gt;"H. Sale Real"),IF(AK518-AK514&lt;0.208333333333333,AK518-AK514,""),IF(AND(AK513&lt;&gt;"",LEFT(AG513,2)&lt;&gt;"Va",AK513&lt;&gt;"H. Sale Real"),IF(AK518-AK513&lt;0.208333333333333,AK518-AK513,""),""))))),""),"")</f>
        <v/>
      </c>
      <c r="AY517" s="87" t="n"/>
      <c r="AZ517" s="89" t="n"/>
      <c r="BA517" s="87" t="n"/>
      <c r="BB517" s="89" t="n"/>
      <c r="BC517" s="91" t="n"/>
      <c r="BD517" s="122">
        <f>IF(AK517&lt;&gt;"",IF(AND(BD516&lt;&gt;"IE",AT517&lt;&gt;0,AV517&lt;&gt;""),IF(IFERROR((AT517/AV517),0) &lt;=1,IFERROR(AT517/AV517,""),1),""),"")</f>
        <v/>
      </c>
      <c r="BE517" s="93" t="n"/>
      <c r="BF517" s="105" t="n"/>
      <c r="FC517" t="inlineStr">
        <is>
          <t>Diccionario 1</t>
        </is>
      </c>
      <c r="FD517" s="15" t="inlineStr"/>
      <c r="FE517" s="17" t="inlineStr">
        <is>
          <t>LDYECS311S0044160</t>
        </is>
      </c>
      <c r="FF517" s="18" t="inlineStr">
        <is>
          <t>MDN35025020177</t>
        </is>
      </c>
      <c r="FG517" s="18" t="inlineStr">
        <is>
          <t>Zhong Thong</t>
        </is>
      </c>
      <c r="FH517" s="18" t="inlineStr">
        <is>
          <t>Lck6122evg</t>
        </is>
      </c>
      <c r="FI517" s="18" t="inlineStr">
        <is>
          <t>Zhong Thong</t>
        </is>
      </c>
      <c r="FJ517" s="18" t="inlineStr">
        <is>
          <t>Lck6122evg</t>
        </is>
      </c>
      <c r="FK517" s="18" t="n">
        <v>2026</v>
      </c>
      <c r="FL517" s="18" t="inlineStr">
        <is>
          <t>B</t>
        </is>
      </c>
      <c r="FM517" s="18" t="inlineStr">
        <is>
          <t>Lo Blanco</t>
        </is>
      </c>
      <c r="FP517" t="inlineStr">
        <is>
          <t>B</t>
        </is>
      </c>
      <c r="FS517" s="14" t="inlineStr">
        <is>
          <t>LZPT-52|</t>
        </is>
      </c>
      <c r="FT517" t="inlineStr">
        <is>
          <t>LZPT-52|</t>
        </is>
      </c>
      <c r="FU517" t="inlineStr">
        <is>
          <t>LZPT-52</t>
        </is>
      </c>
      <c r="FV517">
        <f>VLOOKUP(FU517,FD:FL,9,0)</f>
        <v/>
      </c>
      <c r="FZ517" s="51" t="inlineStr">
        <is>
          <t>F33</t>
        </is>
      </c>
      <c r="GA517" s="43" t="n">
        <v>12.47</v>
      </c>
      <c r="GB517" s="43" t="n">
        <v>0</v>
      </c>
      <c r="GC517" s="43" t="n">
        <v>0</v>
      </c>
      <c r="GD517" s="43" t="n">
        <v>0</v>
      </c>
      <c r="GE517" s="43" t="n">
        <v>0</v>
      </c>
      <c r="GF517" s="43" t="n">
        <v>14.655</v>
      </c>
      <c r="GG517" s="43" t="n">
        <v>28.825</v>
      </c>
      <c r="GH517" s="43" t="n">
        <v>28.025</v>
      </c>
      <c r="GI517" s="43" t="n">
        <v>26.31</v>
      </c>
      <c r="GJ517" s="43" t="n">
        <v>23.65</v>
      </c>
      <c r="GK517" s="43" t="n">
        <v>23.17</v>
      </c>
      <c r="GL517" s="43" t="n">
        <v>21.51</v>
      </c>
      <c r="GM517" s="43" t="n">
        <v>19.005</v>
      </c>
      <c r="GN517" s="43" t="n">
        <v>17.63</v>
      </c>
      <c r="GO517" s="43" t="n">
        <v>18.59</v>
      </c>
      <c r="GP517" s="43" t="n">
        <v>19.565</v>
      </c>
      <c r="GQ517" s="43" t="n">
        <v>19.655</v>
      </c>
      <c r="GR517" s="43" t="n">
        <v>19.36</v>
      </c>
      <c r="GS517" s="43" t="n">
        <v>16.69</v>
      </c>
      <c r="GT517" s="43" t="n">
        <v>16.4</v>
      </c>
      <c r="GU517" s="43" t="n">
        <v>17.24</v>
      </c>
      <c r="GV517" s="43" t="n">
        <v>18.41</v>
      </c>
      <c r="GW517" s="43" t="n">
        <v>20.155</v>
      </c>
      <c r="GX517" s="43" t="n">
        <v>21.75</v>
      </c>
      <c r="HA517" s="35" t="n">
        <v>62</v>
      </c>
      <c r="HB517" s="35" t="n">
        <v>511</v>
      </c>
    </row>
    <row r="518" ht="15.5" customHeight="1">
      <c r="A518" s="10">
        <f>HOUR(G518)+1</f>
        <v/>
      </c>
      <c r="B518" s="7" t="n"/>
      <c r="C518" s="7" t="n"/>
      <c r="D518" s="85">
        <f>IFERROR(
IF(AND(OR(Planilla!B518="C",Planilla!B518="c"), VLOOKUP(E518,FD:FP,13,0)="C"), "OK",IF(AND(OR(Planilla!B518="C",Planilla!B518="c"), OR(VLOOKUP(E518,FD:FP,13,0)="B", VLOOKUP(E518,FD:FP,13,0)="A")), "DEFICIT",IF(
AND(OR(Planilla!B518="B", Planilla!B518="BPAL"), VLOOKUP(E518,FD:FP,13,0)="B"), "OK",IF(AND(OR(Planilla!B518="B", Planilla!B518="BPAL"), VLOOKUP(E518,FD:FP,13,0)="A"), "DEFICIT",IF(AND(OR(Planilla!B518="B", Planilla!B518="BPAL"), VLOOKUP(E518,FD:FP,13,0)="C"), "SOBREOFERTA",IF(AND(Planilla!B518="A", VLOOKUP(E518,FD:FP,13,0)="A"), "OK",IF(
AND(Planilla!B518="A", OR(VLOOKUP(E518,FD:FP,13,0)="B", VLOOKUP(E518,FD:FP,13,0)="C")), "SOBREOFERTA",""
))))))),"")</f>
        <v/>
      </c>
      <c r="E518" s="8" t="n"/>
      <c r="F518" s="86" t="n"/>
      <c r="G518" s="87" t="n"/>
      <c r="H518" s="88">
        <f>IF(I518="","",IF(AND((I518-G518)&gt;=TIME(0,0,0),(I518-G518)&lt;TIME(0,3,0)),"OK",IF(AND((I518-G518)&gt;=TIME(0,3,0),(I518-G518)&lt;TIME(0,5,0)),"RETRASO DE 3-5 MIN",IF(AND((I518-G518)&gt;=TIME(0,5,0),(I518-G518)&lt;TIME(0,10,0)),"RETRASO DE 5-10 MIN",IF((I518-G518)&gt;=TIME(0,10,0),"RETRASO &gt;10 MIN", IF(AND((G518-I518)&gt;=TIME(0,0,0),(G518-I518)&lt;TIME(0,3,0)),"OK",IF((G518-I518)&gt;=TIME(0,3,0),"ADELANTADO")))))))</f>
        <v/>
      </c>
      <c r="I518" s="89" t="n"/>
      <c r="J518" s="89">
        <f>IF(A518&lt;&gt;"",HLOOKUP(VALUE(TEXT(G518,"h:mm:ss")),IF($C$6="Laboral",$FZ$4:$GX$227,IF($C$6="Sábado",$FZ$231:$GX$452,$FZ$456:$GX$656)),VLOOKUP($C$4,$HF$2:$HH$99,3,0)+IF(C$5="Ida",0,1),1),"")</f>
        <v/>
      </c>
      <c r="K518" s="89">
        <f>IF(A519&lt;&gt;A518,AVERAGEIF(A$9:A518,A518,J$9:J518),"")</f>
        <v/>
      </c>
      <c r="L518" s="89">
        <f>IFERROR(IF(A519&lt;&gt;A518,AVERAGEIF(A$9:A518,A518,S$9:S518),""),"")</f>
        <v/>
      </c>
      <c r="M518" s="89">
        <f>IFERROR(IF(A519&lt;&gt;A518,AVERAGEIF(A$9:A518,A518,T$9:T518),""),"")</f>
        <v/>
      </c>
      <c r="N518" s="89">
        <f t="array" ref="N518">IFERROR(IF(A519&lt;&gt;A518,_xlfn.STDEV.P(IF(A$9:A518=A518,T$9:T518)),""),"")</f>
        <v/>
      </c>
      <c r="O518" s="89">
        <f t="array" ref="O518">IFERROR(IF(A519&lt;&gt;A518,_xlfn.STDEV.P(IF(A$9:A518=A518,S$9:S518)),""),"")</f>
        <v/>
      </c>
      <c r="P518" s="90">
        <f>IFERROR(IF(A518&lt;&gt;A519,MAX((((M518*24*60)/2)*(1+POWER((((N518*24*60) / (M518*24*60) )),2))) + ((M518*24*60 )*-0.1 + (K518*0.015)) +1,(((M518*24*60)/2)*(1+POWER((((N518*24*60) / (M518*24*60 ))),2)))),""),"")</f>
        <v/>
      </c>
      <c r="Q518" s="90">
        <f>IF(AND(O518&lt;&gt;"",L518&lt;&gt;""),IF(A518&lt;&gt;A519,((L518*24*60) / 2 ) * (1 + POWER(((O518*24*60) / (L518*24*60)),2)),""),"")</f>
        <v/>
      </c>
      <c r="R518" s="90">
        <f>IF(Q518&lt;&gt;"",MAX(P518,Q518),"")</f>
        <v/>
      </c>
      <c r="S518" s="89">
        <f>IF(I518&lt;&gt;"H. Sale Real",IF(AND(I519&lt;&gt;"",LEFT(C519,2)&lt;&gt;"Va"),IF(AND(I518&lt;&gt;"",LEFT(C518,2)&lt;&gt;"Va",I518&lt;&gt;"H. Sale Real"),IF(I519-I518&lt;0.208333333333333,I519-I518,""),IF(AND(I517&lt;&gt;"",LEFT(C517,2)&lt;&gt;"Va",I517&lt;&gt;"H. Sale Real"),IF(I519-I517&lt;0.208333333333333,I519-I517,""),IF(AND(I516&lt;&gt;"",LEFT(C516,2)&lt;&gt;"Va",I516&lt;&gt;"H. Sale Real"),IF(I519-I516&lt;0.208333333333333,I519-I516,""),IF(AND(I515&lt;&gt;"",LEFT(C515,2)&lt;&gt;"Va",I515&lt;&gt;"H. Sale Real"),IF(I519-I515&lt;0.208333333333333,I519-I515,""),IF(AND(I514&lt;&gt;"",LEFT(C514,2)&lt;&gt;"Va",I514&lt;&gt;"H. Sale Real"),IF(I519-I514&lt;0.208333333333333,I519-I514,""),""))))),""),"")</f>
        <v/>
      </c>
      <c r="T518" s="89">
        <f>IF(G518&lt;&gt;"H. Sale Real",IF(AND(G519&lt;&gt;"",LEFT(C519,2)&lt;&gt;"Va"),IF(AND(G518&lt;&gt;"",LEFT(C518,2)&lt;&gt;"Va",G518&lt;&gt;"H. Sale Real"),IF(G519-G518&lt;0.208333333333333,G519-G518,""),IF(AND(G517&lt;&gt;"",LEFT(C517,2)&lt;&gt;"Va",G517&lt;&gt;"H. Sale Real"),IF(G519-G517&lt;0.208333333333333,G519-G517,""),IF(AND(G516&lt;&gt;"",LEFT(C516,2)&lt;&gt;"Va",G516&lt;&gt;"H. Sale Real"),IF(G519-G516&lt;0.208333333333333,G519-G516,""),IF(AND(G515&lt;&gt;"",LEFT(C515,2)&lt;&gt;"Va",G515&lt;&gt;"H. Sale Real"),IF(G519-G515&lt;0.208333333333333,G519-G515,""),IF(AND(G514&lt;&gt;"",LEFT(C514,2)&lt;&gt;"Va",G514&lt;&gt;"H. Sale Real"),IF(G519-G514&lt;0.208333333333333,G519-G514,""),""))))),""),"")</f>
        <v/>
      </c>
      <c r="U518" s="87" t="n"/>
      <c r="V518" s="89" t="n"/>
      <c r="W518" s="87" t="n"/>
      <c r="X518" s="89" t="n"/>
      <c r="Y518" s="91" t="n"/>
      <c r="Z518" s="122">
        <f>IF(G518&lt;&gt;"",IF(AND(Z517&lt;&gt;"IE",P518&lt;&gt;0,R518&lt;&gt;""),IF(IFERROR((P518/R518),0) &lt;=1,IFERROR(P518/R518,""),1),""),"")</f>
        <v/>
      </c>
      <c r="AA518" s="93" t="n"/>
      <c r="AB518" s="2" t="n"/>
      <c r="AE518" s="10">
        <f>HOUR(AK518)+1</f>
        <v/>
      </c>
      <c r="AF518" s="7" t="n"/>
      <c r="AG518" s="7" t="n"/>
      <c r="AH518" s="86" t="n"/>
      <c r="AI518" s="8" t="n"/>
      <c r="AJ518" s="86" t="n"/>
      <c r="AK518" s="87" t="n"/>
      <c r="AL518" s="88">
        <f>IF(AM518="","",IF(AND((AM518-AK518)&gt;=TIME(0,0,0),(AM518-AK518)&lt;TIME(0,3,0)),"OK",IF(AND((AM518-AK518)&gt;=TIME(0,3,0),(AM518-AK518)&lt;TIME(0,5,0)),"RETRASO DE 3-5 MIN",IF(AND((AM518-AK518)&gt;=TIME(0,5,0),(AM518-AK518)&lt;TIME(0,10,0)),"RETRASO DE 5-10 MIN",IF((AM518-AK518)&gt;=TIME(0,10,0),"RETRASO &gt;10 MIN", IF(AND((AK518-AM518)&gt;=TIME(0,0,0),(AK518-AM518)&lt;TIME(0,3,0)),"OK",IF((AK518-AM518)&gt;=TIME(0,3,0),"ADELANTADO")))))))</f>
        <v/>
      </c>
      <c r="AM518" s="91" t="n"/>
      <c r="AN518" s="89">
        <f>IF(AE518&lt;&gt;"",HLOOKUP(VALUE(TEXT(AK518,"h:mm:ss")),IF($C$6="Laboral",$FZ$4:$GX$227,IF($C$6="Sábado",$FZ$231:$GX$452,$FZ$456:$GX$656)),VLOOKUP($C$4,$HF$2:$HH$99,3,0)+IF(AG$5="Ida",0,1),1),"")</f>
        <v/>
      </c>
      <c r="AO518" s="89">
        <f>IF(AE519&lt;&gt;AE518,AVERAGEIF(AE$9:AE518,AE518,AN$9:AN518),"")</f>
        <v/>
      </c>
      <c r="AP518" s="89">
        <f>IFERROR(IF(AE519&lt;&gt;AE518,AVERAGEIF(AE$9:AE518,AE518,AW$9:AW518),""),"")</f>
        <v/>
      </c>
      <c r="AQ518" s="89">
        <f>IFERROR(IF(AE519&lt;&gt;AE518,AVERAGEIF(AE$9:AE518,AE518,AX$9:AX518),""),"")</f>
        <v/>
      </c>
      <c r="AR518" s="89">
        <f t="array" ref="AR518">IFERROR(IF(AE519&lt;&gt;AE518,_xlfn.STDEV.P(IF(AE$9:AE518=AE518,AX$9:AX518)),""),"")</f>
        <v/>
      </c>
      <c r="AS518" s="89">
        <f t="array" ref="AS518">IFERROR(IF(AE519&lt;&gt;AE518,_xlfn.STDEV.P(IF(AE$9:AE518=AE518,AW$9:AW518)),""),"")</f>
        <v/>
      </c>
      <c r="AT518" s="90">
        <f>IFERROR(IF(AE518&lt;&gt;AE519,MAX((((AQ518*24*60)/2)*(1+POWER((((AR518*24*60) / (AQ518*24*60) )),2))) + ((AQ518*24*60 )*-0.1 + (AO518*0.015)) +1,(((AQ518*24*60)/2)*(1+POWER((((AR518*24*60) / (AQ518*24*60 ))),2)))),""),"")</f>
        <v/>
      </c>
      <c r="AU518" s="90">
        <f>IF(AND(AS518&lt;&gt;"",AP518&lt;&gt;""),IF(AE518&lt;&gt;AE519,((AP518*24*60) / 2 ) * (1 + POWER(((AS518*24*60) / (AP518*24*60)),2)),""),"")</f>
        <v/>
      </c>
      <c r="AV518" s="90">
        <f>IF(AU518&lt;&gt;"",MAX(AT518,AU518),"")</f>
        <v/>
      </c>
      <c r="AW518" s="89">
        <f>IF(AM518&lt;&gt;"H. Sale Real",IF(AND(AM519&lt;&gt;"",LEFT(AG519,2)&lt;&gt;"Va"),IF(AND(AM518&lt;&gt;"",LEFT(AG518,2)&lt;&gt;"Va",AM518&lt;&gt;"H. Sale Real"),IF(AM519-AM518&lt;0.208333333333333,AM519-AM518,""),IF(AND(AM517&lt;&gt;"",LEFT(AG517,2)&lt;&gt;"Va",AM517&lt;&gt;"H. Sale Real"),IF(AM519-AM517&lt;0.208333333333333,AM519-AM517,""),IF(AND(AM516&lt;&gt;"",LEFT(AG516,2)&lt;&gt;"Va",AM516&lt;&gt;"H. Sale Real"),IF(AM519-AM516&lt;0.208333333333333,AM519-AM516,""),IF(AND(AM515&lt;&gt;"",LEFT(AG515,2)&lt;&gt;"Va",AM515&lt;&gt;"H. Sale Real"),IF(AM519-AM515&lt;0.208333333333333,AM519-AM515,""),IF(AND(AM514&lt;&gt;"",LEFT(AG514,2)&lt;&gt;"Va",AM514&lt;&gt;"H. Sale Real"),IF(AM519-AM514&lt;0.208333333333333,AM519-AM514,""),""))))),""),"")</f>
        <v/>
      </c>
      <c r="AX518" s="89">
        <f>IF(AK518&lt;&gt;"H. Sale Real",IF(AND(AK519&lt;&gt;"",LEFT(AG519,2)&lt;&gt;"Va"),IF(AND(AK518&lt;&gt;"",LEFT(AG518,2)&lt;&gt;"Va",AK518&lt;&gt;"H. Sale Real"),IF(AK519-AK518&lt;0.208333333333333,AK519-AK518,""),IF(AND(AK517&lt;&gt;"",LEFT(AG517,2)&lt;&gt;"Va",AK517&lt;&gt;"H. Sale Real"),IF(AK519-AK517&lt;0.208333333333333,AK519-AK517,""),IF(AND(AK516&lt;&gt;"",LEFT(AG516,2)&lt;&gt;"NC",AK516&lt;&gt;"H. Sale Real"),IF(AK519-AK516&lt;0.208333333333333,AK519-AK516,""),IF(AND(AK515&lt;&gt;"",LEFT(AG515,2)&lt;&gt;"Va",AK515&lt;&gt;"H. Sale Real"),IF(AK519-AK515&lt;0.208333333333333,AK519-AK515,""),IF(AND(AK514&lt;&gt;"",LEFT(AG514,2)&lt;&gt;"Va",AK514&lt;&gt;"H. Sale Real"),IF(AK519-AK514&lt;0.208333333333333,AK519-AK514,""),""))))),""),"")</f>
        <v/>
      </c>
      <c r="AY518" s="87" t="n"/>
      <c r="AZ518" s="89" t="n"/>
      <c r="BA518" s="87" t="n"/>
      <c r="BB518" s="89" t="n"/>
      <c r="BC518" s="91" t="n"/>
      <c r="BD518" s="122">
        <f>IF(AK518&lt;&gt;"",IF(AND(BD517&lt;&gt;"IE",AT518&lt;&gt;0,AV518&lt;&gt;""),IF(IFERROR((AT518/AV518),0) &lt;=1,IFERROR(AT518/AV518,""),1),""),"")</f>
        <v/>
      </c>
      <c r="BE518" s="93" t="n"/>
      <c r="BF518" s="105" t="n"/>
      <c r="FC518" t="inlineStr">
        <is>
          <t>Diccionario 1</t>
        </is>
      </c>
      <c r="FD518" s="15" t="inlineStr"/>
      <c r="FE518" s="17" t="inlineStr">
        <is>
          <t>LDYECS310S0044277</t>
        </is>
      </c>
      <c r="FF518" s="18" t="inlineStr">
        <is>
          <t>MDN35025020175</t>
        </is>
      </c>
      <c r="FG518" s="18" t="inlineStr">
        <is>
          <t>Zhong Thong</t>
        </is>
      </c>
      <c r="FH518" s="18" t="inlineStr">
        <is>
          <t>Lck6122evg</t>
        </is>
      </c>
      <c r="FI518" s="18" t="inlineStr">
        <is>
          <t>Zhong Thong</t>
        </is>
      </c>
      <c r="FJ518" s="18" t="inlineStr">
        <is>
          <t>Lck6122evg</t>
        </is>
      </c>
      <c r="FK518" s="18" t="n">
        <v>2026</v>
      </c>
      <c r="FL518" s="18" t="inlineStr">
        <is>
          <t>B</t>
        </is>
      </c>
      <c r="FM518" s="18" t="inlineStr">
        <is>
          <t>Ducaud</t>
        </is>
      </c>
      <c r="FP518" t="inlineStr">
        <is>
          <t>B</t>
        </is>
      </c>
      <c r="FS518" s="14" t="inlineStr">
        <is>
          <t>LXWT-87|</t>
        </is>
      </c>
      <c r="FT518" t="inlineStr">
        <is>
          <t>LXWT-87|</t>
        </is>
      </c>
      <c r="FU518" t="inlineStr">
        <is>
          <t>LXWT-87</t>
        </is>
      </c>
      <c r="FV518">
        <f>VLOOKUP(FU518,FD:FL,9,0)</f>
        <v/>
      </c>
      <c r="FZ518" s="51" t="n">
        <v>102</v>
      </c>
      <c r="GA518" s="43" t="n">
        <v>28.46</v>
      </c>
      <c r="GB518" s="43" t="n">
        <v>0</v>
      </c>
      <c r="GC518" s="43" t="n">
        <v>0</v>
      </c>
      <c r="GD518" s="43" t="n">
        <v>0</v>
      </c>
      <c r="GE518" s="43" t="n">
        <v>0</v>
      </c>
      <c r="GF518" s="43" t="n">
        <v>13.72</v>
      </c>
      <c r="GG518" s="43" t="n">
        <v>26.09</v>
      </c>
      <c r="GH518" s="43" t="n">
        <v>24.655</v>
      </c>
      <c r="GI518" s="43" t="n">
        <v>23.175</v>
      </c>
      <c r="GJ518" s="43" t="n">
        <v>21.39</v>
      </c>
      <c r="GK518" s="43" t="n">
        <v>21.415</v>
      </c>
      <c r="GL518" s="43" t="n">
        <v>20.595</v>
      </c>
      <c r="GM518" s="43" t="n">
        <v>19.475</v>
      </c>
      <c r="GN518" s="43" t="n">
        <v>19.585</v>
      </c>
      <c r="GO518" s="43" t="n">
        <v>20.08</v>
      </c>
      <c r="GP518" s="43" t="n">
        <v>19.615</v>
      </c>
      <c r="GQ518" s="43" t="n">
        <v>19.655</v>
      </c>
      <c r="GR518" s="43" t="n">
        <v>19.565</v>
      </c>
      <c r="GS518" s="43" t="n">
        <v>19.71</v>
      </c>
      <c r="GT518" s="43" t="n">
        <v>20.475</v>
      </c>
      <c r="GU518" s="43" t="n">
        <v>21.825</v>
      </c>
      <c r="GV518" s="43" t="n">
        <v>24.015</v>
      </c>
      <c r="GW518" s="43" t="n">
        <v>26.38</v>
      </c>
      <c r="GX518" s="43" t="n">
        <v>28.295</v>
      </c>
      <c r="HA518" s="35" t="n">
        <v>63</v>
      </c>
      <c r="HB518" s="35" t="n">
        <v>512</v>
      </c>
    </row>
    <row r="519" ht="15.5" customHeight="1">
      <c r="A519" s="10">
        <f>HOUR(G519)+1</f>
        <v/>
      </c>
      <c r="B519" s="7" t="n"/>
      <c r="C519" s="7" t="n"/>
      <c r="D519" s="85">
        <f>IFERROR(
IF(AND(OR(Planilla!B519="C",Planilla!B519="c"), VLOOKUP(E519,FD:FP,13,0)="C"), "OK",IF(AND(OR(Planilla!B519="C",Planilla!B519="c"), OR(VLOOKUP(E519,FD:FP,13,0)="B", VLOOKUP(E519,FD:FP,13,0)="A")), "DEFICIT",IF(
AND(OR(Planilla!B519="B", Planilla!B519="BPAL"), VLOOKUP(E519,FD:FP,13,0)="B"), "OK",IF(AND(OR(Planilla!B519="B", Planilla!B519="BPAL"), VLOOKUP(E519,FD:FP,13,0)="A"), "DEFICIT",IF(AND(OR(Planilla!B519="B", Planilla!B519="BPAL"), VLOOKUP(E519,FD:FP,13,0)="C"), "SOBREOFERTA",IF(AND(Planilla!B519="A", VLOOKUP(E519,FD:FP,13,0)="A"), "OK",IF(
AND(Planilla!B519="A", OR(VLOOKUP(E519,FD:FP,13,0)="B", VLOOKUP(E519,FD:FP,13,0)="C")), "SOBREOFERTA",""
))))))),"")</f>
        <v/>
      </c>
      <c r="E519" s="8" t="n"/>
      <c r="F519" s="86" t="n"/>
      <c r="G519" s="87" t="n"/>
      <c r="H519" s="88">
        <f>IF(I519="","",IF(AND((I519-G519)&gt;=TIME(0,0,0),(I519-G519)&lt;TIME(0,3,0)),"OK",IF(AND((I519-G519)&gt;=TIME(0,3,0),(I519-G519)&lt;TIME(0,5,0)),"RETRASO DE 3-5 MIN",IF(AND((I519-G519)&gt;=TIME(0,5,0),(I519-G519)&lt;TIME(0,10,0)),"RETRASO DE 5-10 MIN",IF((I519-G519)&gt;=TIME(0,10,0),"RETRASO &gt;10 MIN", IF(AND((G519-I519)&gt;=TIME(0,0,0),(G519-I519)&lt;TIME(0,3,0)),"OK",IF((G519-I519)&gt;=TIME(0,3,0),"ADELANTADO")))))))</f>
        <v/>
      </c>
      <c r="I519" s="89" t="n"/>
      <c r="J519" s="89">
        <f>IF(A519&lt;&gt;"",HLOOKUP(VALUE(TEXT(G519,"h:mm:ss")),IF($C$6="Laboral",$FZ$4:$GX$227,IF($C$6="Sábado",$FZ$231:$GX$452,$FZ$456:$GX$656)),VLOOKUP($C$4,$HF$2:$HH$99,3,0)+IF(C$5="Ida",0,1),1),"")</f>
        <v/>
      </c>
      <c r="K519" s="89">
        <f>IF(A520&lt;&gt;A519,AVERAGEIF(A$9:A519,A519,J$9:J519),"")</f>
        <v/>
      </c>
      <c r="L519" s="89">
        <f>IFERROR(IF(A520&lt;&gt;A519,AVERAGEIF(A$9:A519,A519,S$9:S519),""),"")</f>
        <v/>
      </c>
      <c r="M519" s="89">
        <f>IFERROR(IF(A520&lt;&gt;A519,AVERAGEIF(A$9:A519,A519,T$9:T519),""),"")</f>
        <v/>
      </c>
      <c r="N519" s="89">
        <f t="array" ref="N519">IFERROR(IF(A520&lt;&gt;A519,_xlfn.STDEV.P(IF(A$9:A519=A519,T$9:T519)),""),"")</f>
        <v/>
      </c>
      <c r="O519" s="89">
        <f t="array" ref="O519">IFERROR(IF(A520&lt;&gt;A519,_xlfn.STDEV.P(IF(A$9:A519=A519,S$9:S519)),""),"")</f>
        <v/>
      </c>
      <c r="P519" s="90">
        <f>IFERROR(IF(A519&lt;&gt;A520,MAX((((M519*24*60)/2)*(1+POWER((((N519*24*60) / (M519*24*60) )),2))) + ((M519*24*60 )*-0.1 + (K519*0.015)) +1,(((M519*24*60)/2)*(1+POWER((((N519*24*60) / (M519*24*60 ))),2)))),""),"")</f>
        <v/>
      </c>
      <c r="Q519" s="90">
        <f>IF(AND(O519&lt;&gt;"",L519&lt;&gt;""),IF(A519&lt;&gt;A520,((L519*24*60) / 2 ) * (1 + POWER(((O519*24*60) / (L519*24*60)),2)),""),"")</f>
        <v/>
      </c>
      <c r="R519" s="90">
        <f>IF(Q519&lt;&gt;"",MAX(P519,Q519),"")</f>
        <v/>
      </c>
      <c r="S519" s="89">
        <f>IF(I519&lt;&gt;"H. Sale Real",IF(AND(I520&lt;&gt;"",LEFT(C520,2)&lt;&gt;"Va"),IF(AND(I519&lt;&gt;"",LEFT(C519,2)&lt;&gt;"Va",I519&lt;&gt;"H. Sale Real"),IF(I520-I519&lt;0.208333333333333,I520-I519,""),IF(AND(I518&lt;&gt;"",LEFT(C518,2)&lt;&gt;"Va",I518&lt;&gt;"H. Sale Real"),IF(I520-I518&lt;0.208333333333333,I520-I518,""),IF(AND(I517&lt;&gt;"",LEFT(C517,2)&lt;&gt;"Va",I517&lt;&gt;"H. Sale Real"),IF(I520-I517&lt;0.208333333333333,I520-I517,""),IF(AND(I516&lt;&gt;"",LEFT(C516,2)&lt;&gt;"Va",I516&lt;&gt;"H. Sale Real"),IF(I520-I516&lt;0.208333333333333,I520-I516,""),IF(AND(I515&lt;&gt;"",LEFT(C515,2)&lt;&gt;"Va",I515&lt;&gt;"H. Sale Real"),IF(I520-I515&lt;0.208333333333333,I520-I515,""),""))))),""),"")</f>
        <v/>
      </c>
      <c r="T519" s="89">
        <f>IF(G519&lt;&gt;"H. Sale Real",IF(AND(G520&lt;&gt;"",LEFT(C520,2)&lt;&gt;"Va"),IF(AND(G519&lt;&gt;"",LEFT(C519,2)&lt;&gt;"Va",G519&lt;&gt;"H. Sale Real"),IF(G520-G519&lt;0.208333333333333,G520-G519,""),IF(AND(G518&lt;&gt;"",LEFT(C518,2)&lt;&gt;"Va",G518&lt;&gt;"H. Sale Real"),IF(G520-G518&lt;0.208333333333333,G520-G518,""),IF(AND(G517&lt;&gt;"",LEFT(C517,2)&lt;&gt;"Va",G517&lt;&gt;"H. Sale Real"),IF(G520-G517&lt;0.208333333333333,G520-G517,""),IF(AND(G516&lt;&gt;"",LEFT(C516,2)&lt;&gt;"Va",G516&lt;&gt;"H. Sale Real"),IF(G520-G516&lt;0.208333333333333,G520-G516,""),IF(AND(G515&lt;&gt;"",LEFT(C515,2)&lt;&gt;"Va",G515&lt;&gt;"H. Sale Real"),IF(G520-G515&lt;0.208333333333333,G520-G515,""),""))))),""),"")</f>
        <v/>
      </c>
      <c r="U519" s="87" t="n"/>
      <c r="V519" s="89" t="n"/>
      <c r="W519" s="87" t="n"/>
      <c r="X519" s="89" t="n"/>
      <c r="Y519" s="91" t="n"/>
      <c r="Z519" s="122">
        <f>IF(G519&lt;&gt;"",IF(AND(Z518&lt;&gt;"IE",P519&lt;&gt;0,R519&lt;&gt;""),IF(IFERROR((P519/R519),0) &lt;=1,IFERROR(P519/R519,""),1),""),"")</f>
        <v/>
      </c>
      <c r="AA519" s="93" t="n"/>
      <c r="AB519" s="2" t="n"/>
      <c r="AE519" s="10">
        <f>HOUR(AK519)+1</f>
        <v/>
      </c>
      <c r="AF519" s="7" t="n"/>
      <c r="AG519" s="7" t="n"/>
      <c r="AH519" s="86" t="n"/>
      <c r="AI519" s="8" t="n"/>
      <c r="AJ519" s="86" t="n"/>
      <c r="AK519" s="87" t="n"/>
      <c r="AL519" s="88">
        <f>IF(AM519="","",IF(AND((AM519-AK519)&gt;=TIME(0,0,0),(AM519-AK519)&lt;TIME(0,3,0)),"OK",IF(AND((AM519-AK519)&gt;=TIME(0,3,0),(AM519-AK519)&lt;TIME(0,5,0)),"RETRASO DE 3-5 MIN",IF(AND((AM519-AK519)&gt;=TIME(0,5,0),(AM519-AK519)&lt;TIME(0,10,0)),"RETRASO DE 5-10 MIN",IF((AM519-AK519)&gt;=TIME(0,10,0),"RETRASO &gt;10 MIN", IF(AND((AK519-AM519)&gt;=TIME(0,0,0),(AK519-AM519)&lt;TIME(0,3,0)),"OK",IF((AK519-AM519)&gt;=TIME(0,3,0),"ADELANTADO")))))))</f>
        <v/>
      </c>
      <c r="AM519" s="91" t="n"/>
      <c r="AN519" s="89">
        <f>IF(AE519&lt;&gt;"",HLOOKUP(VALUE(TEXT(AK519,"h:mm:ss")),IF($C$6="Laboral",$FZ$4:$GX$227,IF($C$6="Sábado",$FZ$231:$GX$452,$FZ$456:$GX$656)),VLOOKUP($C$4,$HF$2:$HH$99,3,0)+IF(AG$5="Ida",0,1),1),"")</f>
        <v/>
      </c>
      <c r="AO519" s="89">
        <f>IF(AE520&lt;&gt;AE519,AVERAGEIF(AE$9:AE519,AE519,AN$9:AN519),"")</f>
        <v/>
      </c>
      <c r="AP519" s="89">
        <f>IFERROR(IF(AE520&lt;&gt;AE519,AVERAGEIF(AE$9:AE519,AE519,AW$9:AW519),""),"")</f>
        <v/>
      </c>
      <c r="AQ519" s="89">
        <f>IFERROR(IF(AE520&lt;&gt;AE519,AVERAGEIF(AE$9:AE519,AE519,AX$9:AX519),""),"")</f>
        <v/>
      </c>
      <c r="AR519" s="89">
        <f t="array" ref="AR519">IFERROR(IF(AE520&lt;&gt;AE519,_xlfn.STDEV.P(IF(AE$9:AE519=AE519,AX$9:AX519)),""),"")</f>
        <v/>
      </c>
      <c r="AS519" s="89">
        <f t="array" ref="AS519">IFERROR(IF(AE520&lt;&gt;AE519,_xlfn.STDEV.P(IF(AE$9:AE519=AE519,AW$9:AW519)),""),"")</f>
        <v/>
      </c>
      <c r="AT519" s="90">
        <f>IFERROR(IF(AE519&lt;&gt;AE520,MAX((((AQ519*24*60)/2)*(1+POWER((((AR519*24*60) / (AQ519*24*60) )),2))) + ((AQ519*24*60 )*-0.1 + (AO519*0.015)) +1,(((AQ519*24*60)/2)*(1+POWER((((AR519*24*60) / (AQ519*24*60 ))),2)))),""),"")</f>
        <v/>
      </c>
      <c r="AU519" s="90">
        <f>IF(AND(AS519&lt;&gt;"",AP519&lt;&gt;""),IF(AE519&lt;&gt;AE520,((AP519*24*60) / 2 ) * (1 + POWER(((AS519*24*60) / (AP519*24*60)),2)),""),"")</f>
        <v/>
      </c>
      <c r="AV519" s="90">
        <f>IF(AU519&lt;&gt;"",MAX(AT519,AU519),"")</f>
        <v/>
      </c>
      <c r="AW519" s="89">
        <f>IF(AM519&lt;&gt;"H. Sale Real",IF(AND(AM520&lt;&gt;"",LEFT(AG520,2)&lt;&gt;"Va"),IF(AND(AM519&lt;&gt;"",LEFT(AG519,2)&lt;&gt;"Va",AM519&lt;&gt;"H. Sale Real"),IF(AM520-AM519&lt;0.208333333333333,AM520-AM519,""),IF(AND(AM518&lt;&gt;"",LEFT(AG518,2)&lt;&gt;"Va",AM518&lt;&gt;"H. Sale Real"),IF(AM520-AM518&lt;0.208333333333333,AM520-AM518,""),IF(AND(AM517&lt;&gt;"",LEFT(AG517,2)&lt;&gt;"Va",AM517&lt;&gt;"H. Sale Real"),IF(AM520-AM517&lt;0.208333333333333,AM520-AM517,""),IF(AND(AM516&lt;&gt;"",LEFT(AG516,2)&lt;&gt;"Va",AM516&lt;&gt;"H. Sale Real"),IF(AM520-AM516&lt;0.208333333333333,AM520-AM516,""),IF(AND(AM515&lt;&gt;"",LEFT(AG515,2)&lt;&gt;"Va",AM515&lt;&gt;"H. Sale Real"),IF(AM520-AM515&lt;0.208333333333333,AM520-AM515,""),""))))),""),"")</f>
        <v/>
      </c>
      <c r="AX519" s="89">
        <f>IF(AK519&lt;&gt;"H. Sale Real",IF(AND(AK520&lt;&gt;"",LEFT(AG520,2)&lt;&gt;"Va"),IF(AND(AK519&lt;&gt;"",LEFT(AG519,2)&lt;&gt;"Va",AK519&lt;&gt;"H. Sale Real"),IF(AK520-AK519&lt;0.208333333333333,AK520-AK519,""),IF(AND(AK518&lt;&gt;"",LEFT(AG518,2)&lt;&gt;"Va",AK518&lt;&gt;"H. Sale Real"),IF(AK520-AK518&lt;0.208333333333333,AK520-AK518,""),IF(AND(AK517&lt;&gt;"",LEFT(AG517,2)&lt;&gt;"NC",AK517&lt;&gt;"H. Sale Real"),IF(AK520-AK517&lt;0.208333333333333,AK520-AK517,""),IF(AND(AK516&lt;&gt;"",LEFT(AG516,2)&lt;&gt;"Va",AK516&lt;&gt;"H. Sale Real"),IF(AK520-AK516&lt;0.208333333333333,AK520-AK516,""),IF(AND(AK515&lt;&gt;"",LEFT(AG515,2)&lt;&gt;"Va",AK515&lt;&gt;"H. Sale Real"),IF(AK520-AK515&lt;0.208333333333333,AK520-AK515,""),""))))),""),"")</f>
        <v/>
      </c>
      <c r="AY519" s="87" t="n"/>
      <c r="AZ519" s="89" t="n"/>
      <c r="BA519" s="87" t="n"/>
      <c r="BB519" s="89" t="n"/>
      <c r="BC519" s="91" t="n"/>
      <c r="BD519" s="122">
        <f>IF(AK519&lt;&gt;"",IF(AND(BD518&lt;&gt;"IE",AT519&lt;&gt;0,AV519&lt;&gt;""),IF(IFERROR((AT519/AV519),0) &lt;=1,IFERROR(AT519/AV519,""),1),""),"")</f>
        <v/>
      </c>
      <c r="BE519" s="93" t="n"/>
      <c r="BF519" s="105" t="n"/>
      <c r="FC519" t="inlineStr">
        <is>
          <t>Diccionario 1</t>
        </is>
      </c>
      <c r="FD519" s="15" t="inlineStr"/>
      <c r="FE519" s="17" t="inlineStr">
        <is>
          <t>LDYECS312S0044166</t>
        </is>
      </c>
      <c r="FF519" s="18" t="inlineStr">
        <is>
          <t>MDN35025020222</t>
        </is>
      </c>
      <c r="FG519" s="18" t="inlineStr">
        <is>
          <t>Zhong Thong</t>
        </is>
      </c>
      <c r="FH519" s="18" t="inlineStr">
        <is>
          <t>Lck6122evg</t>
        </is>
      </c>
      <c r="FI519" s="18" t="inlineStr">
        <is>
          <t>Zhong Thong</t>
        </is>
      </c>
      <c r="FJ519" s="18" t="inlineStr">
        <is>
          <t>Lck6122evg</t>
        </is>
      </c>
      <c r="FK519" s="18" t="n">
        <v>2026</v>
      </c>
      <c r="FL519" s="18" t="inlineStr">
        <is>
          <t>B</t>
        </is>
      </c>
      <c r="FM519" s="18" t="inlineStr">
        <is>
          <t>Lo Blanco</t>
        </is>
      </c>
      <c r="FP519" t="inlineStr">
        <is>
          <t>B</t>
        </is>
      </c>
      <c r="FS519" s="14" t="inlineStr">
        <is>
          <t>LZPR-96|</t>
        </is>
      </c>
      <c r="FT519" t="inlineStr">
        <is>
          <t>LZPR-96|</t>
        </is>
      </c>
      <c r="FU519" t="inlineStr">
        <is>
          <t>LZPR-96</t>
        </is>
      </c>
      <c r="FV519">
        <f>VLOOKUP(FU519,FD:FL,9,0)</f>
        <v/>
      </c>
      <c r="FZ519" s="51" t="n">
        <v>102</v>
      </c>
      <c r="GA519" s="43" t="n">
        <v>31.22</v>
      </c>
      <c r="GB519" s="43" t="n">
        <v>0</v>
      </c>
      <c r="GC519" s="43" t="n">
        <v>0</v>
      </c>
      <c r="GD519" s="43" t="n">
        <v>0</v>
      </c>
      <c r="GE519" s="43" t="n">
        <v>0</v>
      </c>
      <c r="GF519" s="43" t="n">
        <v>13.82</v>
      </c>
      <c r="GG519" s="43" t="n">
        <v>26.665</v>
      </c>
      <c r="GH519" s="43" t="n">
        <v>24.735</v>
      </c>
      <c r="GI519" s="43" t="n">
        <v>23.775</v>
      </c>
      <c r="GJ519" s="43" t="n">
        <v>23.09</v>
      </c>
      <c r="GK519" s="43" t="n">
        <v>21.905</v>
      </c>
      <c r="GL519" s="43" t="n">
        <v>20.585</v>
      </c>
      <c r="GM519" s="43" t="n">
        <v>19.575</v>
      </c>
      <c r="GN519" s="43" t="n">
        <v>19.64</v>
      </c>
      <c r="GO519" s="43" t="n">
        <v>19.875</v>
      </c>
      <c r="GP519" s="43" t="n">
        <v>20.38</v>
      </c>
      <c r="GQ519" s="43" t="n">
        <v>19.895</v>
      </c>
      <c r="GR519" s="43" t="n">
        <v>19.705</v>
      </c>
      <c r="GS519" s="43" t="n">
        <v>20.325</v>
      </c>
      <c r="GT519" s="43" t="n">
        <v>21.475</v>
      </c>
      <c r="GU519" s="43" t="n">
        <v>22.63</v>
      </c>
      <c r="GV519" s="43" t="n">
        <v>25.235</v>
      </c>
      <c r="GW519" s="43" t="n">
        <v>27.95</v>
      </c>
      <c r="GX519" s="43" t="n">
        <v>30.005</v>
      </c>
      <c r="HA519" s="35" t="n">
        <v>64</v>
      </c>
      <c r="HB519" s="35" t="n">
        <v>513</v>
      </c>
    </row>
    <row r="520" ht="15.5" customHeight="1">
      <c r="A520" s="10">
        <f>HOUR(G520)+1</f>
        <v/>
      </c>
      <c r="B520" s="7" t="n"/>
      <c r="C520" s="7" t="n"/>
      <c r="D520" s="85">
        <f>IFERROR(
IF(AND(OR(Planilla!B520="C",Planilla!B520="c"), VLOOKUP(E520,FD:FP,13,0)="C"), "OK",IF(AND(OR(Planilla!B520="C",Planilla!B520="c"), OR(VLOOKUP(E520,FD:FP,13,0)="B", VLOOKUP(E520,FD:FP,13,0)="A")), "DEFICIT",IF(
AND(OR(Planilla!B520="B", Planilla!B520="BPAL"), VLOOKUP(E520,FD:FP,13,0)="B"), "OK",IF(AND(OR(Planilla!B520="B", Planilla!B520="BPAL"), VLOOKUP(E520,FD:FP,13,0)="A"), "DEFICIT",IF(AND(OR(Planilla!B520="B", Planilla!B520="BPAL"), VLOOKUP(E520,FD:FP,13,0)="C"), "SOBREOFERTA",IF(AND(Planilla!B520="A", VLOOKUP(E520,FD:FP,13,0)="A"), "OK",IF(
AND(Planilla!B520="A", OR(VLOOKUP(E520,FD:FP,13,0)="B", VLOOKUP(E520,FD:FP,13,0)="C")), "SOBREOFERTA",""
))))))),"")</f>
        <v/>
      </c>
      <c r="E520" s="8" t="n"/>
      <c r="F520" s="86" t="n"/>
      <c r="G520" s="87" t="n"/>
      <c r="H520" s="88">
        <f>IF(I520="","",IF(AND((I520-G520)&gt;=TIME(0,0,0),(I520-G520)&lt;TIME(0,3,0)),"OK",IF(AND((I520-G520)&gt;=TIME(0,3,0),(I520-G520)&lt;TIME(0,5,0)),"RETRASO DE 3-5 MIN",IF(AND((I520-G520)&gt;=TIME(0,5,0),(I520-G520)&lt;TIME(0,10,0)),"RETRASO DE 5-10 MIN",IF((I520-G520)&gt;=TIME(0,10,0),"RETRASO &gt;10 MIN", IF(AND((G520-I520)&gt;=TIME(0,0,0),(G520-I520)&lt;TIME(0,3,0)),"OK",IF((G520-I520)&gt;=TIME(0,3,0),"ADELANTADO")))))))</f>
        <v/>
      </c>
      <c r="I520" s="89" t="n"/>
      <c r="J520" s="89">
        <f>IF(A520&lt;&gt;"",HLOOKUP(VALUE(TEXT(G520,"h:mm:ss")),IF($C$6="Laboral",$FZ$4:$GX$227,IF($C$6="Sábado",$FZ$231:$GX$452,$FZ$456:$GX$656)),VLOOKUP($C$4,$HF$2:$HH$99,3,0)+IF(C$5="Ida",0,1),1),"")</f>
        <v/>
      </c>
      <c r="K520" s="89">
        <f>IF(A521&lt;&gt;A520,AVERAGEIF(A$9:A520,A520,J$9:J520),"")</f>
        <v/>
      </c>
      <c r="L520" s="89">
        <f>IFERROR(IF(A521&lt;&gt;A520,AVERAGEIF(A$9:A520,A520,S$9:S520),""),"")</f>
        <v/>
      </c>
      <c r="M520" s="89">
        <f>IFERROR(IF(A521&lt;&gt;A520,AVERAGEIF(A$9:A520,A520,T$9:T520),""),"")</f>
        <v/>
      </c>
      <c r="N520" s="89">
        <f t="array" ref="N520">IFERROR(IF(A521&lt;&gt;A520,_xlfn.STDEV.P(IF(A$9:A520=A520,T$9:T520)),""),"")</f>
        <v/>
      </c>
      <c r="O520" s="89">
        <f t="array" ref="O520">IFERROR(IF(A521&lt;&gt;A520,_xlfn.STDEV.P(IF(A$9:A520=A520,S$9:S520)),""),"")</f>
        <v/>
      </c>
      <c r="P520" s="90">
        <f>IFERROR(IF(A520&lt;&gt;A521,MAX((((M520*24*60)/2)*(1+POWER((((N520*24*60) / (M520*24*60) )),2))) + ((M520*24*60 )*-0.1 + (K520*0.015)) +1,(((M520*24*60)/2)*(1+POWER((((N520*24*60) / (M520*24*60 ))),2)))),""),"")</f>
        <v/>
      </c>
      <c r="Q520" s="90">
        <f>IF(AND(O520&lt;&gt;"",L520&lt;&gt;""),IF(A520&lt;&gt;A521,((L520*24*60) / 2 ) * (1 + POWER(((O520*24*60) / (L520*24*60)),2)),""),"")</f>
        <v/>
      </c>
      <c r="R520" s="90">
        <f>IF(Q520&lt;&gt;"",MAX(P520,Q520),"")</f>
        <v/>
      </c>
      <c r="S520" s="89">
        <f>IF(I520&lt;&gt;"H. Sale Real",IF(AND(I521&lt;&gt;"",LEFT(C521,2)&lt;&gt;"Va"),IF(AND(I520&lt;&gt;"",LEFT(C520,2)&lt;&gt;"Va",I520&lt;&gt;"H. Sale Real"),IF(I521-I520&lt;0.208333333333333,I521-I520,""),IF(AND(I519&lt;&gt;"",LEFT(C519,2)&lt;&gt;"Va",I519&lt;&gt;"H. Sale Real"),IF(I521-I519&lt;0.208333333333333,I521-I519,""),IF(AND(I518&lt;&gt;"",LEFT(C518,2)&lt;&gt;"Va",I518&lt;&gt;"H. Sale Real"),IF(I521-I518&lt;0.208333333333333,I521-I518,""),IF(AND(I517&lt;&gt;"",LEFT(C517,2)&lt;&gt;"Va",I517&lt;&gt;"H. Sale Real"),IF(I521-I517&lt;0.208333333333333,I521-I517,""),IF(AND(I516&lt;&gt;"",LEFT(C516,2)&lt;&gt;"Va",I516&lt;&gt;"H. Sale Real"),IF(I521-I516&lt;0.208333333333333,I521-I516,""),""))))),""),"")</f>
        <v/>
      </c>
      <c r="T520" s="89">
        <f>IF(G520&lt;&gt;"H. Sale Real",IF(AND(G521&lt;&gt;"",LEFT(C521,2)&lt;&gt;"Va"),IF(AND(G520&lt;&gt;"",LEFT(C520,2)&lt;&gt;"Va",G520&lt;&gt;"H. Sale Real"),IF(G521-G520&lt;0.208333333333333,G521-G520,""),IF(AND(G519&lt;&gt;"",LEFT(C519,2)&lt;&gt;"Va",G519&lt;&gt;"H. Sale Real"),IF(G521-G519&lt;0.208333333333333,G521-G519,""),IF(AND(G518&lt;&gt;"",LEFT(C518,2)&lt;&gt;"Va",G518&lt;&gt;"H. Sale Real"),IF(G521-G518&lt;0.208333333333333,G521-G518,""),IF(AND(G517&lt;&gt;"",LEFT(C517,2)&lt;&gt;"Va",G517&lt;&gt;"H. Sale Real"),IF(G521-G517&lt;0.208333333333333,G521-G517,""),IF(AND(G516&lt;&gt;"",LEFT(C516,2)&lt;&gt;"Va",G516&lt;&gt;"H. Sale Real"),IF(G521-G516&lt;0.208333333333333,G521-G516,""),""))))),""),"")</f>
        <v/>
      </c>
      <c r="U520" s="87" t="n"/>
      <c r="V520" s="89" t="n"/>
      <c r="W520" s="87" t="n"/>
      <c r="X520" s="89" t="n"/>
      <c r="Y520" s="91" t="n"/>
      <c r="Z520" s="122">
        <f>IF(G520&lt;&gt;"",IF(AND(Z519&lt;&gt;"IE",P520&lt;&gt;0,R520&lt;&gt;""),IF(IFERROR((P520/R520),0) &lt;=1,IFERROR(P520/R520,""),1),""),"")</f>
        <v/>
      </c>
      <c r="AA520" s="93" t="n"/>
      <c r="AB520" s="2" t="n"/>
      <c r="AE520" s="10">
        <f>HOUR(AK520)+1</f>
        <v/>
      </c>
      <c r="AF520" s="7" t="n"/>
      <c r="AG520" s="7" t="n"/>
      <c r="AH520" s="86" t="n"/>
      <c r="AI520" s="8" t="n"/>
      <c r="AJ520" s="86" t="n"/>
      <c r="AK520" s="87" t="n"/>
      <c r="AL520" s="88">
        <f>IF(AM520="","",IF(AND((AM520-AK520)&gt;=TIME(0,0,0),(AM520-AK520)&lt;TIME(0,3,0)),"OK",IF(AND((AM520-AK520)&gt;=TIME(0,3,0),(AM520-AK520)&lt;TIME(0,5,0)),"RETRASO DE 3-5 MIN",IF(AND((AM520-AK520)&gt;=TIME(0,5,0),(AM520-AK520)&lt;TIME(0,10,0)),"RETRASO DE 5-10 MIN",IF((AM520-AK520)&gt;=TIME(0,10,0),"RETRASO &gt;10 MIN", IF(AND((AK520-AM520)&gt;=TIME(0,0,0),(AK520-AM520)&lt;TIME(0,3,0)),"OK",IF((AK520-AM520)&gt;=TIME(0,3,0),"ADELANTADO")))))))</f>
        <v/>
      </c>
      <c r="AM520" s="91" t="n"/>
      <c r="AN520" s="89">
        <f>IF(AE520&lt;&gt;"",HLOOKUP(VALUE(TEXT(AK520,"h:mm:ss")),IF($C$6="Laboral",$FZ$4:$GX$227,IF($C$6="Sábado",$FZ$231:$GX$452,$FZ$456:$GX$656)),VLOOKUP($C$4,$HF$2:$HH$99,3,0)+IF(AG$5="Ida",0,1),1),"")</f>
        <v/>
      </c>
      <c r="AO520" s="89">
        <f>IF(AE521&lt;&gt;AE520,AVERAGEIF(AE$9:AE520,AE520,AN$9:AN520),"")</f>
        <v/>
      </c>
      <c r="AP520" s="89">
        <f>IFERROR(IF(AE521&lt;&gt;AE520,AVERAGEIF(AE$9:AE520,AE520,AW$9:AW520),""),"")</f>
        <v/>
      </c>
      <c r="AQ520" s="89">
        <f>IFERROR(IF(AE521&lt;&gt;AE520,AVERAGEIF(AE$9:AE520,AE520,AX$9:AX520),""),"")</f>
        <v/>
      </c>
      <c r="AR520" s="89">
        <f t="array" ref="AR520">IFERROR(IF(AE521&lt;&gt;AE520,_xlfn.STDEV.P(IF(AE$9:AE520=AE520,AX$9:AX520)),""),"")</f>
        <v/>
      </c>
      <c r="AS520" s="89">
        <f t="array" ref="AS520">IFERROR(IF(AE521&lt;&gt;AE520,_xlfn.STDEV.P(IF(AE$9:AE520=AE520,AW$9:AW520)),""),"")</f>
        <v/>
      </c>
      <c r="AT520" s="90">
        <f>IFERROR(IF(AE520&lt;&gt;AE521,MAX((((AQ520*24*60)/2)*(1+POWER((((AR520*24*60) / (AQ520*24*60) )),2))) + ((AQ520*24*60 )*-0.1 + (AO520*0.015)) +1,(((AQ520*24*60)/2)*(1+POWER((((AR520*24*60) / (AQ520*24*60 ))),2)))),""),"")</f>
        <v/>
      </c>
      <c r="AU520" s="90">
        <f>IF(AND(AS520&lt;&gt;"",AP520&lt;&gt;""),IF(AE520&lt;&gt;AE521,((AP520*24*60) / 2 ) * (1 + POWER(((AS520*24*60) / (AP520*24*60)),2)),""),"")</f>
        <v/>
      </c>
      <c r="AV520" s="90">
        <f>IF(AU520&lt;&gt;"",MAX(AT520,AU520),"")</f>
        <v/>
      </c>
      <c r="AW520" s="89">
        <f>IF(AM520&lt;&gt;"H. Sale Real",IF(AND(AM521&lt;&gt;"",LEFT(AG521,2)&lt;&gt;"Va"),IF(AND(AM520&lt;&gt;"",LEFT(AG520,2)&lt;&gt;"Va",AM520&lt;&gt;"H. Sale Real"),IF(AM521-AM520&lt;0.208333333333333,AM521-AM520,""),IF(AND(AM519&lt;&gt;"",LEFT(AG519,2)&lt;&gt;"Va",AM519&lt;&gt;"H. Sale Real"),IF(AM521-AM519&lt;0.208333333333333,AM521-AM519,""),IF(AND(AM518&lt;&gt;"",LEFT(AG518,2)&lt;&gt;"Va",AM518&lt;&gt;"H. Sale Real"),IF(AM521-AM518&lt;0.208333333333333,AM521-AM518,""),IF(AND(AM517&lt;&gt;"",LEFT(AG517,2)&lt;&gt;"Va",AM517&lt;&gt;"H. Sale Real"),IF(AM521-AM517&lt;0.208333333333333,AM521-AM517,""),IF(AND(AM516&lt;&gt;"",LEFT(AG516,2)&lt;&gt;"Va",AM516&lt;&gt;"H. Sale Real"),IF(AM521-AM516&lt;0.208333333333333,AM521-AM516,""),""))))),""),"")</f>
        <v/>
      </c>
      <c r="AX520" s="89">
        <f>IF(AK520&lt;&gt;"H. Sale Real",IF(AND(AK521&lt;&gt;"",LEFT(AG521,2)&lt;&gt;"Va"),IF(AND(AK520&lt;&gt;"",LEFT(AG520,2)&lt;&gt;"Va",AK520&lt;&gt;"H. Sale Real"),IF(AK521-AK520&lt;0.208333333333333,AK521-AK520,""),IF(AND(AK519&lt;&gt;"",LEFT(AG519,2)&lt;&gt;"Va",AK519&lt;&gt;"H. Sale Real"),IF(AK521-AK519&lt;0.208333333333333,AK521-AK519,""),IF(AND(AK518&lt;&gt;"",LEFT(AG518,2)&lt;&gt;"NC",AK518&lt;&gt;"H. Sale Real"),IF(AK521-AK518&lt;0.208333333333333,AK521-AK518,""),IF(AND(AK517&lt;&gt;"",LEFT(AG517,2)&lt;&gt;"Va",AK517&lt;&gt;"H. Sale Real"),IF(AK521-AK517&lt;0.208333333333333,AK521-AK517,""),IF(AND(AK516&lt;&gt;"",LEFT(AG516,2)&lt;&gt;"Va",AK516&lt;&gt;"H. Sale Real"),IF(AK521-AK516&lt;0.208333333333333,AK521-AK516,""),""))))),""),"")</f>
        <v/>
      </c>
      <c r="AY520" s="87" t="n"/>
      <c r="AZ520" s="89" t="n"/>
      <c r="BA520" s="87" t="n"/>
      <c r="BB520" s="89" t="n"/>
      <c r="BC520" s="91" t="n"/>
      <c r="BD520" s="122">
        <f>IF(AK520&lt;&gt;"",IF(AND(BD519&lt;&gt;"IE",AT520&lt;&gt;0,AV520&lt;&gt;""),IF(IFERROR((AT520/AV520),0) &lt;=1,IFERROR(AT520/AV520,""),1),""),"")</f>
        <v/>
      </c>
      <c r="BE520" s="93" t="n"/>
      <c r="BF520" s="105" t="n"/>
      <c r="FC520" t="inlineStr">
        <is>
          <t>Diccionario 1</t>
        </is>
      </c>
      <c r="FD520" s="15" t="inlineStr"/>
      <c r="FE520" s="17" t="inlineStr">
        <is>
          <t>LDYECS314S0044217</t>
        </is>
      </c>
      <c r="FF520" s="18" t="inlineStr">
        <is>
          <t>MDN35025010179</t>
        </is>
      </c>
      <c r="FG520" s="18" t="inlineStr">
        <is>
          <t>Zhong Thong</t>
        </is>
      </c>
      <c r="FH520" s="18" t="inlineStr">
        <is>
          <t>Lck6122evg</t>
        </is>
      </c>
      <c r="FI520" s="18" t="inlineStr">
        <is>
          <t>Zhong Thong</t>
        </is>
      </c>
      <c r="FJ520" s="18" t="inlineStr">
        <is>
          <t>Lck6122evg</t>
        </is>
      </c>
      <c r="FK520" s="18" t="n">
        <v>2026</v>
      </c>
      <c r="FL520" s="18" t="inlineStr">
        <is>
          <t>B</t>
        </is>
      </c>
      <c r="FM520" s="18" t="inlineStr">
        <is>
          <t>Ducaud</t>
        </is>
      </c>
      <c r="FP520" t="inlineStr">
        <is>
          <t>B</t>
        </is>
      </c>
      <c r="FS520" s="14" t="inlineStr">
        <is>
          <t>LZPT-44|</t>
        </is>
      </c>
      <c r="FT520" t="inlineStr">
        <is>
          <t>LZPT-44|</t>
        </is>
      </c>
      <c r="FU520" t="inlineStr">
        <is>
          <t>LZPT-44</t>
        </is>
      </c>
      <c r="FV520">
        <f>VLOOKUP(FU520,FD:FL,9,0)</f>
        <v/>
      </c>
      <c r="FZ520" s="51" t="n">
        <v>124</v>
      </c>
      <c r="GA520" s="43" t="n">
        <v>14.11</v>
      </c>
      <c r="GB520" s="43" t="n">
        <v>0</v>
      </c>
      <c r="GC520" s="43" t="n">
        <v>0</v>
      </c>
      <c r="GD520" s="43" t="n">
        <v>0</v>
      </c>
      <c r="GE520" s="43" t="n">
        <v>0</v>
      </c>
      <c r="GF520" s="43" t="n">
        <v>12.605</v>
      </c>
      <c r="GG520" s="43" t="n">
        <v>24.54</v>
      </c>
      <c r="GH520" s="43" t="n">
        <v>23.155</v>
      </c>
      <c r="GI520" s="43" t="n">
        <v>22.045</v>
      </c>
      <c r="GJ520" s="43" t="n">
        <v>20.265</v>
      </c>
      <c r="GK520" s="43" t="n">
        <v>19.305</v>
      </c>
      <c r="GL520" s="43" t="n">
        <v>18.375</v>
      </c>
      <c r="GM520" s="43" t="n">
        <v>17.97</v>
      </c>
      <c r="GN520" s="43" t="n">
        <v>17.915</v>
      </c>
      <c r="GO520" s="43" t="n">
        <v>17.95</v>
      </c>
      <c r="GP520" s="43" t="n">
        <v>17.735</v>
      </c>
      <c r="GQ520" s="43" t="n">
        <v>17.33</v>
      </c>
      <c r="GR520" s="43" t="n">
        <v>17.005</v>
      </c>
      <c r="GS520" s="43" t="n">
        <v>17.145</v>
      </c>
      <c r="GT520" s="43" t="n">
        <v>17.815</v>
      </c>
      <c r="GU520" s="43" t="n">
        <v>18.875</v>
      </c>
      <c r="GV520" s="43" t="n">
        <v>21.21</v>
      </c>
      <c r="GW520" s="43" t="n">
        <v>23.42</v>
      </c>
      <c r="GX520" s="43" t="n">
        <v>25.46</v>
      </c>
      <c r="HA520" s="35" t="n">
        <v>65</v>
      </c>
      <c r="HB520" s="35" t="n">
        <v>514</v>
      </c>
    </row>
    <row r="521" ht="15.5" customHeight="1">
      <c r="A521" s="10">
        <f>HOUR(G521)+1</f>
        <v/>
      </c>
      <c r="B521" s="7" t="n"/>
      <c r="C521" s="7" t="n"/>
      <c r="D521" s="85">
        <f>IFERROR(
IF(AND(OR(Planilla!B521="C",Planilla!B521="c"), VLOOKUP(E521,FD:FP,13,0)="C"), "OK",IF(AND(OR(Planilla!B521="C",Planilla!B521="c"), OR(VLOOKUP(E521,FD:FP,13,0)="B", VLOOKUP(E521,FD:FP,13,0)="A")), "DEFICIT",IF(
AND(OR(Planilla!B521="B", Planilla!B521="BPAL"), VLOOKUP(E521,FD:FP,13,0)="B"), "OK",IF(AND(OR(Planilla!B521="B", Planilla!B521="BPAL"), VLOOKUP(E521,FD:FP,13,0)="A"), "DEFICIT",IF(AND(OR(Planilla!B521="B", Planilla!B521="BPAL"), VLOOKUP(E521,FD:FP,13,0)="C"), "SOBREOFERTA",IF(AND(Planilla!B521="A", VLOOKUP(E521,FD:FP,13,0)="A"), "OK",IF(
AND(Planilla!B521="A", OR(VLOOKUP(E521,FD:FP,13,0)="B", VLOOKUP(E521,FD:FP,13,0)="C")), "SOBREOFERTA",""
))))))),"")</f>
        <v/>
      </c>
      <c r="E521" s="8" t="n"/>
      <c r="F521" s="86" t="n"/>
      <c r="G521" s="87" t="n"/>
      <c r="H521" s="88">
        <f>IF(I521="","",IF(AND((I521-G521)&gt;=TIME(0,0,0),(I521-G521)&lt;TIME(0,3,0)),"OK",IF(AND((I521-G521)&gt;=TIME(0,3,0),(I521-G521)&lt;TIME(0,5,0)),"RETRASO DE 3-5 MIN",IF(AND((I521-G521)&gt;=TIME(0,5,0),(I521-G521)&lt;TIME(0,10,0)),"RETRASO DE 5-10 MIN",IF((I521-G521)&gt;=TIME(0,10,0),"RETRASO &gt;10 MIN", IF(AND((G521-I521)&gt;=TIME(0,0,0),(G521-I521)&lt;TIME(0,3,0)),"OK",IF((G521-I521)&gt;=TIME(0,3,0),"ADELANTADO")))))))</f>
        <v/>
      </c>
      <c r="I521" s="89" t="n"/>
      <c r="J521" s="89">
        <f>IF(A521&lt;&gt;"",HLOOKUP(VALUE(TEXT(G521,"h:mm:ss")),IF($C$6="Laboral",$FZ$4:$GX$227,IF($C$6="Sábado",$FZ$231:$GX$452,$FZ$456:$GX$656)),VLOOKUP($C$4,$HF$2:$HH$99,3,0)+IF(C$5="Ida",0,1),1),"")</f>
        <v/>
      </c>
      <c r="K521" s="89">
        <f>IF(A522&lt;&gt;A521,AVERAGEIF(A$9:A521,A521,J$9:J521),"")</f>
        <v/>
      </c>
      <c r="L521" s="89">
        <f>IFERROR(IF(A522&lt;&gt;A521,AVERAGEIF(A$9:A521,A521,S$9:S521),""),"")</f>
        <v/>
      </c>
      <c r="M521" s="89">
        <f>IFERROR(IF(A522&lt;&gt;A521,AVERAGEIF(A$9:A521,A521,T$9:T521),""),"")</f>
        <v/>
      </c>
      <c r="N521" s="89">
        <f t="array" ref="N521">IFERROR(IF(A522&lt;&gt;A521,_xlfn.STDEV.P(IF(A$9:A521=A521,T$9:T521)),""),"")</f>
        <v/>
      </c>
      <c r="O521" s="89">
        <f t="array" ref="O521">IFERROR(IF(A522&lt;&gt;A521,_xlfn.STDEV.P(IF(A$9:A521=A521,S$9:S521)),""),"")</f>
        <v/>
      </c>
      <c r="P521" s="90">
        <f>IFERROR(IF(A521&lt;&gt;A522,MAX((((M521*24*60)/2)*(1+POWER((((N521*24*60) / (M521*24*60) )),2))) + ((M521*24*60 )*-0.1 + (K521*0.015)) +1,(((M521*24*60)/2)*(1+POWER((((N521*24*60) / (M521*24*60 ))),2)))),""),"")</f>
        <v/>
      </c>
      <c r="Q521" s="90">
        <f>IF(AND(O521&lt;&gt;"",L521&lt;&gt;""),IF(A521&lt;&gt;A522,((L521*24*60) / 2 ) * (1 + POWER(((O521*24*60) / (L521*24*60)),2)),""),"")</f>
        <v/>
      </c>
      <c r="R521" s="90">
        <f>IF(Q521&lt;&gt;"",MAX(P521,Q521),"")</f>
        <v/>
      </c>
      <c r="S521" s="89">
        <f>IF(I521&lt;&gt;"H. Sale Real",IF(AND(I522&lt;&gt;"",LEFT(C522,2)&lt;&gt;"Va"),IF(AND(I521&lt;&gt;"",LEFT(C521,2)&lt;&gt;"Va",I521&lt;&gt;"H. Sale Real"),IF(I522-I521&lt;0.208333333333333,I522-I521,""),IF(AND(I520&lt;&gt;"",LEFT(C520,2)&lt;&gt;"Va",I520&lt;&gt;"H. Sale Real"),IF(I522-I520&lt;0.208333333333333,I522-I520,""),IF(AND(I519&lt;&gt;"",LEFT(C519,2)&lt;&gt;"Va",I519&lt;&gt;"H. Sale Real"),IF(I522-I519&lt;0.208333333333333,I522-I519,""),IF(AND(I518&lt;&gt;"",LEFT(C518,2)&lt;&gt;"Va",I518&lt;&gt;"H. Sale Real"),IF(I522-I518&lt;0.208333333333333,I522-I518,""),IF(AND(I517&lt;&gt;"",LEFT(C517,2)&lt;&gt;"Va",I517&lt;&gt;"H. Sale Real"),IF(I522-I517&lt;0.208333333333333,I522-I517,""),""))))),""),"")</f>
        <v/>
      </c>
      <c r="T521" s="89">
        <f>IF(G521&lt;&gt;"H. Sale Real",IF(AND(G522&lt;&gt;"",LEFT(C522,2)&lt;&gt;"Va"),IF(AND(G521&lt;&gt;"",LEFT(C521,2)&lt;&gt;"Va",G521&lt;&gt;"H. Sale Real"),IF(G522-G521&lt;0.208333333333333,G522-G521,""),IF(AND(G520&lt;&gt;"",LEFT(C520,2)&lt;&gt;"Va",G520&lt;&gt;"H. Sale Real"),IF(G522-G520&lt;0.208333333333333,G522-G520,""),IF(AND(G519&lt;&gt;"",LEFT(C519,2)&lt;&gt;"Va",G519&lt;&gt;"H. Sale Real"),IF(G522-G519&lt;0.208333333333333,G522-G519,""),IF(AND(G518&lt;&gt;"",LEFT(C518,2)&lt;&gt;"Va",G518&lt;&gt;"H. Sale Real"),IF(G522-G518&lt;0.208333333333333,G522-G518,""),IF(AND(G517&lt;&gt;"",LEFT(C517,2)&lt;&gt;"Va",G517&lt;&gt;"H. Sale Real"),IF(G522-G517&lt;0.208333333333333,G522-G517,""),""))))),""),"")</f>
        <v/>
      </c>
      <c r="U521" s="87" t="n"/>
      <c r="V521" s="89" t="n"/>
      <c r="W521" s="87" t="n"/>
      <c r="X521" s="89" t="n"/>
      <c r="Y521" s="91" t="n"/>
      <c r="Z521" s="122">
        <f>IF(G521&lt;&gt;"",IF(AND(Z520&lt;&gt;"IE",P521&lt;&gt;0,R521&lt;&gt;""),IF(IFERROR((P521/R521),0) &lt;=1,IFERROR(P521/R521,""),1),""),"")</f>
        <v/>
      </c>
      <c r="AA521" s="93" t="n"/>
      <c r="AB521" s="2" t="n"/>
      <c r="AE521" s="10">
        <f>HOUR(AK521)+1</f>
        <v/>
      </c>
      <c r="AF521" s="7" t="n"/>
      <c r="AG521" s="7" t="n"/>
      <c r="AH521" s="86" t="n"/>
      <c r="AI521" s="8" t="n"/>
      <c r="AJ521" s="86" t="n"/>
      <c r="AK521" s="87" t="n"/>
      <c r="AL521" s="88">
        <f>IF(AM521="","",IF(AND((AM521-AK521)&gt;=TIME(0,0,0),(AM521-AK521)&lt;TIME(0,3,0)),"OK",IF(AND((AM521-AK521)&gt;=TIME(0,3,0),(AM521-AK521)&lt;TIME(0,5,0)),"RETRASO DE 3-5 MIN",IF(AND((AM521-AK521)&gt;=TIME(0,5,0),(AM521-AK521)&lt;TIME(0,10,0)),"RETRASO DE 5-10 MIN",IF((AM521-AK521)&gt;=TIME(0,10,0),"RETRASO &gt;10 MIN", IF(AND((AK521-AM521)&gt;=TIME(0,0,0),(AK521-AM521)&lt;TIME(0,3,0)),"OK",IF((AK521-AM521)&gt;=TIME(0,3,0),"ADELANTADO")))))))</f>
        <v/>
      </c>
      <c r="AM521" s="91" t="n"/>
      <c r="AN521" s="89">
        <f>IF(AE521&lt;&gt;"",HLOOKUP(VALUE(TEXT(AK521,"h:mm:ss")),IF($C$6="Laboral",$FZ$4:$GX$227,IF($C$6="Sábado",$FZ$231:$GX$452,$FZ$456:$GX$656)),VLOOKUP($C$4,$HF$2:$HH$99,3,0)+IF(AG$5="Ida",0,1),1),"")</f>
        <v/>
      </c>
      <c r="AO521" s="89">
        <f>IF(AE522&lt;&gt;AE521,AVERAGEIF(AE$9:AE521,AE521,AN$9:AN521),"")</f>
        <v/>
      </c>
      <c r="AP521" s="89">
        <f>IFERROR(IF(AE522&lt;&gt;AE521,AVERAGEIF(AE$9:AE521,AE521,AW$9:AW521),""),"")</f>
        <v/>
      </c>
      <c r="AQ521" s="89">
        <f>IFERROR(IF(AE522&lt;&gt;AE521,AVERAGEIF(AE$9:AE521,AE521,AX$9:AX521),""),"")</f>
        <v/>
      </c>
      <c r="AR521" s="89">
        <f t="array" ref="AR521">IFERROR(IF(AE522&lt;&gt;AE521,_xlfn.STDEV.P(IF(AE$9:AE521=AE521,AX$9:AX521)),""),"")</f>
        <v/>
      </c>
      <c r="AS521" s="89">
        <f t="array" ref="AS521">IFERROR(IF(AE522&lt;&gt;AE521,_xlfn.STDEV.P(IF(AE$9:AE521=AE521,AW$9:AW521)),""),"")</f>
        <v/>
      </c>
      <c r="AT521" s="90">
        <f>IFERROR(IF(AE521&lt;&gt;AE522,MAX((((AQ521*24*60)/2)*(1+POWER((((AR521*24*60) / (AQ521*24*60) )),2))) + ((AQ521*24*60 )*-0.1 + (AO521*0.015)) +1,(((AQ521*24*60)/2)*(1+POWER((((AR521*24*60) / (AQ521*24*60 ))),2)))),""),"")</f>
        <v/>
      </c>
      <c r="AU521" s="90">
        <f>IF(AND(AS521&lt;&gt;"",AP521&lt;&gt;""),IF(AE521&lt;&gt;AE522,((AP521*24*60) / 2 ) * (1 + POWER(((AS521*24*60) / (AP521*24*60)),2)),""),"")</f>
        <v/>
      </c>
      <c r="AV521" s="90">
        <f>IF(AU521&lt;&gt;"",MAX(AT521,AU521),"")</f>
        <v/>
      </c>
      <c r="AW521" s="89">
        <f>IF(AM521&lt;&gt;"H. Sale Real",IF(AND(AM522&lt;&gt;"",LEFT(AG522,2)&lt;&gt;"Va"),IF(AND(AM521&lt;&gt;"",LEFT(AG521,2)&lt;&gt;"Va",AM521&lt;&gt;"H. Sale Real"),IF(AM522-AM521&lt;0.208333333333333,AM522-AM521,""),IF(AND(AM520&lt;&gt;"",LEFT(AG520,2)&lt;&gt;"Va",AM520&lt;&gt;"H. Sale Real"),IF(AM522-AM520&lt;0.208333333333333,AM522-AM520,""),IF(AND(AM519&lt;&gt;"",LEFT(AG519,2)&lt;&gt;"Va",AM519&lt;&gt;"H. Sale Real"),IF(AM522-AM519&lt;0.208333333333333,AM522-AM519,""),IF(AND(AM518&lt;&gt;"",LEFT(AG518,2)&lt;&gt;"Va",AM518&lt;&gt;"H. Sale Real"),IF(AM522-AM518&lt;0.208333333333333,AM522-AM518,""),IF(AND(AM517&lt;&gt;"",LEFT(AG517,2)&lt;&gt;"Va",AM517&lt;&gt;"H. Sale Real"),IF(AM522-AM517&lt;0.208333333333333,AM522-AM517,""),""))))),""),"")</f>
        <v/>
      </c>
      <c r="AX521" s="89">
        <f>IF(AK521&lt;&gt;"H. Sale Real",IF(AND(AK522&lt;&gt;"",LEFT(AG522,2)&lt;&gt;"Va"),IF(AND(AK521&lt;&gt;"",LEFT(AG521,2)&lt;&gt;"Va",AK521&lt;&gt;"H. Sale Real"),IF(AK522-AK521&lt;0.208333333333333,AK522-AK521,""),IF(AND(AK520&lt;&gt;"",LEFT(AG520,2)&lt;&gt;"Va",AK520&lt;&gt;"H. Sale Real"),IF(AK522-AK520&lt;0.208333333333333,AK522-AK520,""),IF(AND(AK519&lt;&gt;"",LEFT(AG519,2)&lt;&gt;"NC",AK519&lt;&gt;"H. Sale Real"),IF(AK522-AK519&lt;0.208333333333333,AK522-AK519,""),IF(AND(AK518&lt;&gt;"",LEFT(AG518,2)&lt;&gt;"Va",AK518&lt;&gt;"H. Sale Real"),IF(AK522-AK518&lt;0.208333333333333,AK522-AK518,""),IF(AND(AK517&lt;&gt;"",LEFT(AG517,2)&lt;&gt;"Va",AK517&lt;&gt;"H. Sale Real"),IF(AK522-AK517&lt;0.208333333333333,AK522-AK517,""),""))))),""),"")</f>
        <v/>
      </c>
      <c r="AY521" s="87" t="n"/>
      <c r="AZ521" s="89" t="n"/>
      <c r="BA521" s="87" t="n"/>
      <c r="BB521" s="89" t="n"/>
      <c r="BC521" s="91" t="n"/>
      <c r="BD521" s="122">
        <f>IF(AK521&lt;&gt;"",IF(AND(BD520&lt;&gt;"IE",AT521&lt;&gt;0,AV521&lt;&gt;""),IF(IFERROR((AT521/AV521),0) &lt;=1,IFERROR(AT521/AV521,""),1),""),"")</f>
        <v/>
      </c>
      <c r="BE521" s="93" t="n"/>
      <c r="BF521" s="105" t="n"/>
      <c r="FC521" t="inlineStr">
        <is>
          <t>Diccionario 1</t>
        </is>
      </c>
      <c r="FD521" s="15" t="inlineStr"/>
      <c r="FE521" s="17" t="inlineStr">
        <is>
          <t>LDYECS313S0044273</t>
        </is>
      </c>
      <c r="FF521" s="18" t="inlineStr">
        <is>
          <t>MDN5025020155</t>
        </is>
      </c>
      <c r="FG521" s="18" t="inlineStr">
        <is>
          <t>Zhong Thong</t>
        </is>
      </c>
      <c r="FH521" s="18" t="inlineStr">
        <is>
          <t>Lck6122evg</t>
        </is>
      </c>
      <c r="FI521" s="18" t="inlineStr">
        <is>
          <t>Zhong Thong</t>
        </is>
      </c>
      <c r="FJ521" s="18" t="inlineStr">
        <is>
          <t>Lck6122evg</t>
        </is>
      </c>
      <c r="FK521" s="18" t="n">
        <v>2026</v>
      </c>
      <c r="FL521" s="18" t="inlineStr">
        <is>
          <t>B</t>
        </is>
      </c>
      <c r="FM521" s="18" t="inlineStr">
        <is>
          <t>Ducaud</t>
        </is>
      </c>
      <c r="FP521" t="inlineStr">
        <is>
          <t>B</t>
        </is>
      </c>
      <c r="FS521" s="14" t="inlineStr">
        <is>
          <t>LXWT-93|</t>
        </is>
      </c>
      <c r="FT521" t="inlineStr">
        <is>
          <t>LXWT-93|</t>
        </is>
      </c>
      <c r="FU521" t="inlineStr">
        <is>
          <t>LXWT-93</t>
        </is>
      </c>
      <c r="FV521">
        <f>VLOOKUP(FU521,FD:FL,9,0)</f>
        <v/>
      </c>
      <c r="FZ521" s="51" t="n">
        <v>124</v>
      </c>
      <c r="GA521" s="43" t="n">
        <v>0</v>
      </c>
      <c r="GB521" s="43" t="n">
        <v>0</v>
      </c>
      <c r="GC521" s="43" t="n">
        <v>0</v>
      </c>
      <c r="GD521" s="43" t="n">
        <v>0</v>
      </c>
      <c r="GE521" s="43" t="n">
        <v>13.245</v>
      </c>
      <c r="GF521" s="43" t="n">
        <v>26.185</v>
      </c>
      <c r="GG521" s="43" t="n">
        <v>24.415</v>
      </c>
      <c r="GH521" s="43" t="n">
        <v>23.16</v>
      </c>
      <c r="GI521" s="43" t="n">
        <v>21.94</v>
      </c>
      <c r="GJ521" s="43" t="n">
        <v>20.87</v>
      </c>
      <c r="GK521" s="43" t="n">
        <v>19.565</v>
      </c>
      <c r="GL521" s="43" t="n">
        <v>18.785</v>
      </c>
      <c r="GM521" s="43" t="n">
        <v>18.315</v>
      </c>
      <c r="GN521" s="43" t="n">
        <v>18.015</v>
      </c>
      <c r="GO521" s="43" t="n">
        <v>18.33</v>
      </c>
      <c r="GP521" s="43" t="n">
        <v>18.37</v>
      </c>
      <c r="GQ521" s="43" t="n">
        <v>17.995</v>
      </c>
      <c r="GR521" s="43" t="n">
        <v>17.94</v>
      </c>
      <c r="GS521" s="43" t="n">
        <v>18.115</v>
      </c>
      <c r="GT521" s="43" t="n">
        <v>19.785</v>
      </c>
      <c r="GU521" s="43" t="n">
        <v>21.24</v>
      </c>
      <c r="GV521" s="43" t="n">
        <v>22.865</v>
      </c>
      <c r="GW521" s="43" t="n">
        <v>25.06</v>
      </c>
      <c r="GX521" s="43" t="n">
        <v>28.005</v>
      </c>
      <c r="HA521" s="35" t="n">
        <v>66</v>
      </c>
      <c r="HB521" s="35" t="n">
        <v>515</v>
      </c>
    </row>
    <row r="522" ht="15.5" customHeight="1">
      <c r="A522" s="10">
        <f>HOUR(G522)+1</f>
        <v/>
      </c>
      <c r="B522" s="7" t="n"/>
      <c r="C522" s="7" t="n"/>
      <c r="D522" s="85">
        <f>IFERROR(
IF(AND(OR(Planilla!B522="C",Planilla!B522="c"), VLOOKUP(E522,FD:FP,13,0)="C"), "OK",IF(AND(OR(Planilla!B522="C",Planilla!B522="c"), OR(VLOOKUP(E522,FD:FP,13,0)="B", VLOOKUP(E522,FD:FP,13,0)="A")), "DEFICIT",IF(
AND(OR(Planilla!B522="B", Planilla!B522="BPAL"), VLOOKUP(E522,FD:FP,13,0)="B"), "OK",IF(AND(OR(Planilla!B522="B", Planilla!B522="BPAL"), VLOOKUP(E522,FD:FP,13,0)="A"), "DEFICIT",IF(AND(OR(Planilla!B522="B", Planilla!B522="BPAL"), VLOOKUP(E522,FD:FP,13,0)="C"), "SOBREOFERTA",IF(AND(Planilla!B522="A", VLOOKUP(E522,FD:FP,13,0)="A"), "OK",IF(
AND(Planilla!B522="A", OR(VLOOKUP(E522,FD:FP,13,0)="B", VLOOKUP(E522,FD:FP,13,0)="C")), "SOBREOFERTA",""
))))))),"")</f>
        <v/>
      </c>
      <c r="E522" s="8" t="n"/>
      <c r="F522" s="86" t="n"/>
      <c r="G522" s="87" t="n"/>
      <c r="H522" s="88">
        <f>IF(I522="","",IF(AND((I522-G522)&gt;=TIME(0,0,0),(I522-G522)&lt;TIME(0,3,0)),"OK",IF(AND((I522-G522)&gt;=TIME(0,3,0),(I522-G522)&lt;TIME(0,5,0)),"RETRASO DE 3-5 MIN",IF(AND((I522-G522)&gt;=TIME(0,5,0),(I522-G522)&lt;TIME(0,10,0)),"RETRASO DE 5-10 MIN",IF((I522-G522)&gt;=TIME(0,10,0),"RETRASO &gt;10 MIN", IF(AND((G522-I522)&gt;=TIME(0,0,0),(G522-I522)&lt;TIME(0,3,0)),"OK",IF((G522-I522)&gt;=TIME(0,3,0),"ADELANTADO")))))))</f>
        <v/>
      </c>
      <c r="I522" s="89" t="n"/>
      <c r="J522" s="89">
        <f>IF(A522&lt;&gt;"",HLOOKUP(VALUE(TEXT(G522,"h:mm:ss")),IF($C$6="Laboral",$FZ$4:$GX$227,IF($C$6="Sábado",$FZ$231:$GX$452,$FZ$456:$GX$656)),VLOOKUP($C$4,$HF$2:$HH$99,3,0)+IF(C$5="Ida",0,1),1),"")</f>
        <v/>
      </c>
      <c r="K522" s="89">
        <f>IF(A523&lt;&gt;A522,AVERAGEIF(A$9:A522,A522,J$9:J522),"")</f>
        <v/>
      </c>
      <c r="L522" s="89">
        <f>IFERROR(IF(A523&lt;&gt;A522,AVERAGEIF(A$9:A522,A522,S$9:S522),""),"")</f>
        <v/>
      </c>
      <c r="M522" s="89">
        <f>IFERROR(IF(A523&lt;&gt;A522,AVERAGEIF(A$9:A522,A522,T$9:T522),""),"")</f>
        <v/>
      </c>
      <c r="N522" s="89">
        <f t="array" ref="N522">IFERROR(IF(A523&lt;&gt;A522,_xlfn.STDEV.P(IF(A$9:A522=A522,T$9:T522)),""),"")</f>
        <v/>
      </c>
      <c r="O522" s="89">
        <f t="array" ref="O522">IFERROR(IF(A523&lt;&gt;A522,_xlfn.STDEV.P(IF(A$9:A522=A522,S$9:S522)),""),"")</f>
        <v/>
      </c>
      <c r="P522" s="90">
        <f>IFERROR(IF(A522&lt;&gt;A523,MAX((((M522*24*60)/2)*(1+POWER((((N522*24*60) / (M522*24*60) )),2))) + ((M522*24*60 )*-0.1 + (K522*0.015)) +1,(((M522*24*60)/2)*(1+POWER((((N522*24*60) / (M522*24*60 ))),2)))),""),"")</f>
        <v/>
      </c>
      <c r="Q522" s="90">
        <f>IF(AND(O522&lt;&gt;"",L522&lt;&gt;""),IF(A522&lt;&gt;A523,((L522*24*60) / 2 ) * (1 + POWER(((O522*24*60) / (L522*24*60)),2)),""),"")</f>
        <v/>
      </c>
      <c r="R522" s="90">
        <f>IF(Q522&lt;&gt;"",MAX(P522,Q522),"")</f>
        <v/>
      </c>
      <c r="S522" s="89">
        <f>IF(I522&lt;&gt;"H. Sale Real",IF(AND(I523&lt;&gt;"",LEFT(C523,2)&lt;&gt;"Va"),IF(AND(I522&lt;&gt;"",LEFT(C522,2)&lt;&gt;"Va",I522&lt;&gt;"H. Sale Real"),IF(I523-I522&lt;0.208333333333333,I523-I522,""),IF(AND(I521&lt;&gt;"",LEFT(C521,2)&lt;&gt;"Va",I521&lt;&gt;"H. Sale Real"),IF(I523-I521&lt;0.208333333333333,I523-I521,""),IF(AND(I520&lt;&gt;"",LEFT(C520,2)&lt;&gt;"Va",I520&lt;&gt;"H. Sale Real"),IF(I523-I520&lt;0.208333333333333,I523-I520,""),IF(AND(I519&lt;&gt;"",LEFT(C519,2)&lt;&gt;"Va",I519&lt;&gt;"H. Sale Real"),IF(I523-I519&lt;0.208333333333333,I523-I519,""),IF(AND(I518&lt;&gt;"",LEFT(C518,2)&lt;&gt;"Va",I518&lt;&gt;"H. Sale Real"),IF(I523-I518&lt;0.208333333333333,I523-I518,""),""))))),""),"")</f>
        <v/>
      </c>
      <c r="T522" s="89">
        <f>IF(G522&lt;&gt;"H. Sale Real",IF(AND(G523&lt;&gt;"",LEFT(C523,2)&lt;&gt;"Va"),IF(AND(G522&lt;&gt;"",LEFT(C522,2)&lt;&gt;"Va",G522&lt;&gt;"H. Sale Real"),IF(G523-G522&lt;0.208333333333333,G523-G522,""),IF(AND(G521&lt;&gt;"",LEFT(C521,2)&lt;&gt;"Va",G521&lt;&gt;"H. Sale Real"),IF(G523-G521&lt;0.208333333333333,G523-G521,""),IF(AND(G520&lt;&gt;"",LEFT(C520,2)&lt;&gt;"Va",G520&lt;&gt;"H. Sale Real"),IF(G523-G520&lt;0.208333333333333,G523-G520,""),IF(AND(G519&lt;&gt;"",LEFT(C519,2)&lt;&gt;"Va",G519&lt;&gt;"H. Sale Real"),IF(G523-G519&lt;0.208333333333333,G523-G519,""),IF(AND(G518&lt;&gt;"",LEFT(C518,2)&lt;&gt;"Va",G518&lt;&gt;"H. Sale Real"),IF(G523-G518&lt;0.208333333333333,G523-G518,""),""))))),""),"")</f>
        <v/>
      </c>
      <c r="U522" s="87" t="n"/>
      <c r="V522" s="89" t="n"/>
      <c r="W522" s="87" t="n"/>
      <c r="X522" s="89" t="n"/>
      <c r="Y522" s="91" t="n"/>
      <c r="Z522" s="122">
        <f>IF(G522&lt;&gt;"",IF(AND(Z521&lt;&gt;"IE",P522&lt;&gt;0,R522&lt;&gt;""),IF(IFERROR((P522/R522),0) &lt;=1,IFERROR(P522/R522,""),1),""),"")</f>
        <v/>
      </c>
      <c r="AA522" s="93" t="n"/>
      <c r="AB522" s="2" t="n"/>
      <c r="AE522" s="10">
        <f>HOUR(AK522)+1</f>
        <v/>
      </c>
      <c r="AF522" s="7" t="n"/>
      <c r="AG522" s="7" t="n"/>
      <c r="AH522" s="86" t="n"/>
      <c r="AI522" s="8" t="n"/>
      <c r="AJ522" s="86" t="n"/>
      <c r="AK522" s="87" t="n"/>
      <c r="AL522" s="88">
        <f>IF(AM522="","",IF(AND((AM522-AK522)&gt;=TIME(0,0,0),(AM522-AK522)&lt;TIME(0,3,0)),"OK",IF(AND((AM522-AK522)&gt;=TIME(0,3,0),(AM522-AK522)&lt;TIME(0,5,0)),"RETRASO DE 3-5 MIN",IF(AND((AM522-AK522)&gt;=TIME(0,5,0),(AM522-AK522)&lt;TIME(0,10,0)),"RETRASO DE 5-10 MIN",IF((AM522-AK522)&gt;=TIME(0,10,0),"RETRASO &gt;10 MIN", IF(AND((AK522-AM522)&gt;=TIME(0,0,0),(AK522-AM522)&lt;TIME(0,3,0)),"OK",IF((AK522-AM522)&gt;=TIME(0,3,0),"ADELANTADO")))))))</f>
        <v/>
      </c>
      <c r="AM522" s="91" t="n"/>
      <c r="AN522" s="89">
        <f>IF(AE522&lt;&gt;"",HLOOKUP(VALUE(TEXT(AK522,"h:mm:ss")),IF($C$6="Laboral",$FZ$4:$GX$227,IF($C$6="Sábado",$FZ$231:$GX$452,$FZ$456:$GX$656)),VLOOKUP($C$4,$HF$2:$HH$99,3,0)+IF(AG$5="Ida",0,1),1),"")</f>
        <v/>
      </c>
      <c r="AO522" s="89">
        <f>IF(AE523&lt;&gt;AE522,AVERAGEIF(AE$9:AE522,AE522,AN$9:AN522),"")</f>
        <v/>
      </c>
      <c r="AP522" s="89">
        <f>IFERROR(IF(AE523&lt;&gt;AE522,AVERAGEIF(AE$9:AE522,AE522,AW$9:AW522),""),"")</f>
        <v/>
      </c>
      <c r="AQ522" s="89">
        <f>IFERROR(IF(AE523&lt;&gt;AE522,AVERAGEIF(AE$9:AE522,AE522,AX$9:AX522),""),"")</f>
        <v/>
      </c>
      <c r="AR522" s="89">
        <f t="array" ref="AR522">IFERROR(IF(AE523&lt;&gt;AE522,_xlfn.STDEV.P(IF(AE$9:AE522=AE522,AX$9:AX522)),""),"")</f>
        <v/>
      </c>
      <c r="AS522" s="89">
        <f t="array" ref="AS522">IFERROR(IF(AE523&lt;&gt;AE522,_xlfn.STDEV.P(IF(AE$9:AE522=AE522,AW$9:AW522)),""),"")</f>
        <v/>
      </c>
      <c r="AT522" s="90">
        <f>IFERROR(IF(AE522&lt;&gt;AE523,MAX((((AQ522*24*60)/2)*(1+POWER((((AR522*24*60) / (AQ522*24*60) )),2))) + ((AQ522*24*60 )*-0.1 + (AO522*0.015)) +1,(((AQ522*24*60)/2)*(1+POWER((((AR522*24*60) / (AQ522*24*60 ))),2)))),""),"")</f>
        <v/>
      </c>
      <c r="AU522" s="90">
        <f>IF(AND(AS522&lt;&gt;"",AP522&lt;&gt;""),IF(AE522&lt;&gt;AE523,((AP522*24*60) / 2 ) * (1 + POWER(((AS522*24*60) / (AP522*24*60)),2)),""),"")</f>
        <v/>
      </c>
      <c r="AV522" s="90">
        <f>IF(AU522&lt;&gt;"",MAX(AT522,AU522),"")</f>
        <v/>
      </c>
      <c r="AW522" s="89">
        <f>IF(AM522&lt;&gt;"H. Sale Real",IF(AND(AM523&lt;&gt;"",LEFT(AG523,2)&lt;&gt;"Va"),IF(AND(AM522&lt;&gt;"",LEFT(AG522,2)&lt;&gt;"Va",AM522&lt;&gt;"H. Sale Real"),IF(AM523-AM522&lt;0.208333333333333,AM523-AM522,""),IF(AND(AM521&lt;&gt;"",LEFT(AG521,2)&lt;&gt;"Va",AM521&lt;&gt;"H. Sale Real"),IF(AM523-AM521&lt;0.208333333333333,AM523-AM521,""),IF(AND(AM520&lt;&gt;"",LEFT(AG520,2)&lt;&gt;"Va",AM520&lt;&gt;"H. Sale Real"),IF(AM523-AM520&lt;0.208333333333333,AM523-AM520,""),IF(AND(AM519&lt;&gt;"",LEFT(AG519,2)&lt;&gt;"Va",AM519&lt;&gt;"H. Sale Real"),IF(AM523-AM519&lt;0.208333333333333,AM523-AM519,""),IF(AND(AM518&lt;&gt;"",LEFT(AG518,2)&lt;&gt;"Va",AM518&lt;&gt;"H. Sale Real"),IF(AM523-AM518&lt;0.208333333333333,AM523-AM518,""),""))))),""),"")</f>
        <v/>
      </c>
      <c r="AX522" s="89">
        <f>IF(AK522&lt;&gt;"H. Sale Real",IF(AND(AK523&lt;&gt;"",LEFT(AG523,2)&lt;&gt;"Va"),IF(AND(AK522&lt;&gt;"",LEFT(AG522,2)&lt;&gt;"Va",AK522&lt;&gt;"H. Sale Real"),IF(AK523-AK522&lt;0.208333333333333,AK523-AK522,""),IF(AND(AK521&lt;&gt;"",LEFT(AG521,2)&lt;&gt;"Va",AK521&lt;&gt;"H. Sale Real"),IF(AK523-AK521&lt;0.208333333333333,AK523-AK521,""),IF(AND(AK520&lt;&gt;"",LEFT(AG520,2)&lt;&gt;"NC",AK520&lt;&gt;"H. Sale Real"),IF(AK523-AK520&lt;0.208333333333333,AK523-AK520,""),IF(AND(AK519&lt;&gt;"",LEFT(AG519,2)&lt;&gt;"Va",AK519&lt;&gt;"H. Sale Real"),IF(AK523-AK519&lt;0.208333333333333,AK523-AK519,""),IF(AND(AK518&lt;&gt;"",LEFT(AG518,2)&lt;&gt;"Va",AK518&lt;&gt;"H. Sale Real"),IF(AK523-AK518&lt;0.208333333333333,AK523-AK518,""),""))))),""),"")</f>
        <v/>
      </c>
      <c r="AY522" s="87" t="n"/>
      <c r="AZ522" s="89" t="n"/>
      <c r="BA522" s="87" t="n"/>
      <c r="BB522" s="89" t="n"/>
      <c r="BC522" s="91" t="n"/>
      <c r="BD522" s="122">
        <f>IF(AK522&lt;&gt;"",IF(AND(BD521&lt;&gt;"IE",AT522&lt;&gt;0,AV522&lt;&gt;""),IF(IFERROR((AT522/AV522),0) &lt;=1,IFERROR(AT522/AV522,""),1),""),"")</f>
        <v/>
      </c>
      <c r="BE522" s="93" t="n"/>
      <c r="BF522" s="105" t="n"/>
      <c r="FC522" t="inlineStr">
        <is>
          <t>Diccionario 1</t>
        </is>
      </c>
      <c r="FD522" s="15" t="inlineStr"/>
      <c r="FE522" s="17" t="inlineStr">
        <is>
          <t>LDYECS317S0044213</t>
        </is>
      </c>
      <c r="FF522" s="18" t="inlineStr">
        <is>
          <t>MDN35025030110</t>
        </is>
      </c>
      <c r="FG522" s="18" t="inlineStr">
        <is>
          <t>Zhong Thong</t>
        </is>
      </c>
      <c r="FH522" s="18" t="inlineStr">
        <is>
          <t>Lck6122evg</t>
        </is>
      </c>
      <c r="FI522" s="18" t="inlineStr">
        <is>
          <t>Zhong Thong</t>
        </is>
      </c>
      <c r="FJ522" s="18" t="inlineStr">
        <is>
          <t>Lck6122evg</t>
        </is>
      </c>
      <c r="FK522" s="18" t="n">
        <v>2026</v>
      </c>
      <c r="FL522" s="18" t="inlineStr">
        <is>
          <t>B</t>
        </is>
      </c>
      <c r="FM522" s="18" t="inlineStr">
        <is>
          <t>Ducaud</t>
        </is>
      </c>
      <c r="FP522" t="inlineStr">
        <is>
          <t>B</t>
        </is>
      </c>
      <c r="FS522" s="14" t="inlineStr">
        <is>
          <t>LZPG-22|</t>
        </is>
      </c>
      <c r="FT522" t="inlineStr">
        <is>
          <t>LZPG-22|</t>
        </is>
      </c>
      <c r="FU522" t="inlineStr">
        <is>
          <t>LZPG-22</t>
        </is>
      </c>
      <c r="FV522">
        <f>VLOOKUP(FU522,FD:FL,9,0)</f>
        <v/>
      </c>
      <c r="FZ522" s="51" t="n">
        <v>712</v>
      </c>
      <c r="GA522" s="43" t="n">
        <v>30.11</v>
      </c>
      <c r="GB522" s="43" t="n">
        <v>31.495</v>
      </c>
      <c r="GC522" s="43" t="n">
        <v>32.64</v>
      </c>
      <c r="GD522" s="43" t="n">
        <v>33.34</v>
      </c>
      <c r="GE522" s="43" t="n">
        <v>31.585</v>
      </c>
      <c r="GF522" s="43" t="n">
        <v>27.615</v>
      </c>
      <c r="GG522" s="43" t="n">
        <v>25.065</v>
      </c>
      <c r="GH522" s="43" t="n">
        <v>24.695</v>
      </c>
      <c r="GI522" s="43" t="n">
        <v>24.885</v>
      </c>
      <c r="GJ522" s="43" t="n">
        <v>24.275</v>
      </c>
      <c r="GK522" s="43" t="n">
        <v>23.315</v>
      </c>
      <c r="GL522" s="43" t="n">
        <v>22.05</v>
      </c>
      <c r="GM522" s="43" t="n">
        <v>21.84</v>
      </c>
      <c r="GN522" s="43" t="n">
        <v>22.42</v>
      </c>
      <c r="GO522" s="43" t="n">
        <v>22.94</v>
      </c>
      <c r="GP522" s="43" t="n">
        <v>22.27</v>
      </c>
      <c r="GQ522" s="43" t="n">
        <v>22.015</v>
      </c>
      <c r="GR522" s="43" t="n">
        <v>21.415</v>
      </c>
      <c r="GS522" s="43" t="n">
        <v>22.545</v>
      </c>
      <c r="GT522" s="43" t="n">
        <v>24.29</v>
      </c>
      <c r="GU522" s="43" t="n">
        <v>25.73</v>
      </c>
      <c r="GV522" s="43" t="n">
        <v>27.505</v>
      </c>
      <c r="GW522" s="43" t="n">
        <v>30.11</v>
      </c>
      <c r="GX522" s="43" t="n">
        <v>31.615</v>
      </c>
      <c r="HA522" s="35" t="n">
        <v>67</v>
      </c>
      <c r="HB522" s="35" t="n">
        <v>516</v>
      </c>
    </row>
    <row r="523" ht="15.5" customHeight="1">
      <c r="A523" s="10">
        <f>HOUR(G523)+1</f>
        <v/>
      </c>
      <c r="B523" s="7" t="n"/>
      <c r="C523" s="7" t="n"/>
      <c r="D523" s="85">
        <f>IFERROR(
IF(AND(OR(Planilla!B523="C",Planilla!B523="c"), VLOOKUP(E523,FD:FP,13,0)="C"), "OK",IF(AND(OR(Planilla!B523="C",Planilla!B523="c"), OR(VLOOKUP(E523,FD:FP,13,0)="B", VLOOKUP(E523,FD:FP,13,0)="A")), "DEFICIT",IF(
AND(OR(Planilla!B523="B", Planilla!B523="BPAL"), VLOOKUP(E523,FD:FP,13,0)="B"), "OK",IF(AND(OR(Planilla!B523="B", Planilla!B523="BPAL"), VLOOKUP(E523,FD:FP,13,0)="A"), "DEFICIT",IF(AND(OR(Planilla!B523="B", Planilla!B523="BPAL"), VLOOKUP(E523,FD:FP,13,0)="C"), "SOBREOFERTA",IF(AND(Planilla!B523="A", VLOOKUP(E523,FD:FP,13,0)="A"), "OK",IF(
AND(Planilla!B523="A", OR(VLOOKUP(E523,FD:FP,13,0)="B", VLOOKUP(E523,FD:FP,13,0)="C")), "SOBREOFERTA",""
))))))),"")</f>
        <v/>
      </c>
      <c r="E523" s="8" t="n"/>
      <c r="F523" s="86" t="n"/>
      <c r="G523" s="87" t="n"/>
      <c r="H523" s="88">
        <f>IF(I523="","",IF(AND((I523-G523)&gt;=TIME(0,0,0),(I523-G523)&lt;TIME(0,3,0)),"OK",IF(AND((I523-G523)&gt;=TIME(0,3,0),(I523-G523)&lt;TIME(0,5,0)),"RETRASO DE 3-5 MIN",IF(AND((I523-G523)&gt;=TIME(0,5,0),(I523-G523)&lt;TIME(0,10,0)),"RETRASO DE 5-10 MIN",IF((I523-G523)&gt;=TIME(0,10,0),"RETRASO &gt;10 MIN", IF(AND((G523-I523)&gt;=TIME(0,0,0),(G523-I523)&lt;TIME(0,3,0)),"OK",IF((G523-I523)&gt;=TIME(0,3,0),"ADELANTADO")))))))</f>
        <v/>
      </c>
      <c r="I523" s="89" t="n"/>
      <c r="J523" s="89">
        <f>IF(A523&lt;&gt;"",HLOOKUP(VALUE(TEXT(G523,"h:mm:ss")),IF($C$6="Laboral",$FZ$4:$GX$227,IF($C$6="Sábado",$FZ$231:$GX$452,$FZ$456:$GX$656)),VLOOKUP($C$4,$HF$2:$HH$99,3,0)+IF(C$5="Ida",0,1),1),"")</f>
        <v/>
      </c>
      <c r="K523" s="89">
        <f>IF(A524&lt;&gt;A523,AVERAGEIF(A$9:A523,A523,J$9:J523),"")</f>
        <v/>
      </c>
      <c r="L523" s="89">
        <f>IFERROR(IF(A524&lt;&gt;A523,AVERAGEIF(A$9:A523,A523,S$9:S523),""),"")</f>
        <v/>
      </c>
      <c r="M523" s="89">
        <f>IFERROR(IF(A524&lt;&gt;A523,AVERAGEIF(A$9:A523,A523,T$9:T523),""),"")</f>
        <v/>
      </c>
      <c r="N523" s="89">
        <f t="array" ref="N523">IFERROR(IF(A524&lt;&gt;A523,_xlfn.STDEV.P(IF(A$9:A523=A523,T$9:T523)),""),"")</f>
        <v/>
      </c>
      <c r="O523" s="89">
        <f t="array" ref="O523">IFERROR(IF(A524&lt;&gt;A523,_xlfn.STDEV.P(IF(A$9:A523=A523,S$9:S523)),""),"")</f>
        <v/>
      </c>
      <c r="P523" s="90">
        <f>IFERROR(IF(A523&lt;&gt;A524,MAX((((M523*24*60)/2)*(1+POWER((((N523*24*60) / (M523*24*60) )),2))) + ((M523*24*60 )*-0.1 + (K523*0.015)) +1,(((M523*24*60)/2)*(1+POWER((((N523*24*60) / (M523*24*60 ))),2)))),""),"")</f>
        <v/>
      </c>
      <c r="Q523" s="90">
        <f>IF(AND(O523&lt;&gt;"",L523&lt;&gt;""),IF(A523&lt;&gt;A524,((L523*24*60) / 2 ) * (1 + POWER(((O523*24*60) / (L523*24*60)),2)),""),"")</f>
        <v/>
      </c>
      <c r="R523" s="90">
        <f>IF(Q523&lt;&gt;"",MAX(P523,Q523),"")</f>
        <v/>
      </c>
      <c r="S523" s="89">
        <f>IF(I523&lt;&gt;"H. Sale Real",IF(AND(I524&lt;&gt;"",LEFT(C524,2)&lt;&gt;"Va"),IF(AND(I523&lt;&gt;"",LEFT(C523,2)&lt;&gt;"Va",I523&lt;&gt;"H. Sale Real"),IF(I524-I523&lt;0.208333333333333,I524-I523,""),IF(AND(I522&lt;&gt;"",LEFT(C522,2)&lt;&gt;"Va",I522&lt;&gt;"H. Sale Real"),IF(I524-I522&lt;0.208333333333333,I524-I522,""),IF(AND(I521&lt;&gt;"",LEFT(C521,2)&lt;&gt;"Va",I521&lt;&gt;"H. Sale Real"),IF(I524-I521&lt;0.208333333333333,I524-I521,""),IF(AND(I520&lt;&gt;"",LEFT(C520,2)&lt;&gt;"Va",I520&lt;&gt;"H. Sale Real"),IF(I524-I520&lt;0.208333333333333,I524-I520,""),IF(AND(I519&lt;&gt;"",LEFT(C519,2)&lt;&gt;"Va",I519&lt;&gt;"H. Sale Real"),IF(I524-I519&lt;0.208333333333333,I524-I519,""),""))))),""),"")</f>
        <v/>
      </c>
      <c r="T523" s="89">
        <f>IF(G523&lt;&gt;"H. Sale Real",IF(AND(G524&lt;&gt;"",LEFT(C524,2)&lt;&gt;"Va"),IF(AND(G523&lt;&gt;"",LEFT(C523,2)&lt;&gt;"Va",G523&lt;&gt;"H. Sale Real"),IF(G524-G523&lt;0.208333333333333,G524-G523,""),IF(AND(G522&lt;&gt;"",LEFT(C522,2)&lt;&gt;"Va",G522&lt;&gt;"H. Sale Real"),IF(G524-G522&lt;0.208333333333333,G524-G522,""),IF(AND(G521&lt;&gt;"",LEFT(C521,2)&lt;&gt;"Va",G521&lt;&gt;"H. Sale Real"),IF(G524-G521&lt;0.208333333333333,G524-G521,""),IF(AND(G520&lt;&gt;"",LEFT(C520,2)&lt;&gt;"Va",G520&lt;&gt;"H. Sale Real"),IF(G524-G520&lt;0.208333333333333,G524-G520,""),IF(AND(G519&lt;&gt;"",LEFT(C519,2)&lt;&gt;"Va",G519&lt;&gt;"H. Sale Real"),IF(G524-G519&lt;0.208333333333333,G524-G519,""),""))))),""),"")</f>
        <v/>
      </c>
      <c r="U523" s="87" t="n"/>
      <c r="V523" s="89" t="n"/>
      <c r="W523" s="87" t="n"/>
      <c r="X523" s="89" t="n"/>
      <c r="Y523" s="91" t="n"/>
      <c r="Z523" s="122">
        <f>IF(G523&lt;&gt;"",IF(AND(Z522&lt;&gt;"IE",P523&lt;&gt;0,R523&lt;&gt;""),IF(IFERROR((P523/R523),0) &lt;=1,IFERROR(P523/R523,""),1),""),"")</f>
        <v/>
      </c>
      <c r="AA523" s="93" t="n"/>
      <c r="AB523" s="2" t="n"/>
      <c r="AE523" s="10">
        <f>HOUR(AK523)+1</f>
        <v/>
      </c>
      <c r="AF523" s="7" t="n"/>
      <c r="AG523" s="7" t="n"/>
      <c r="AH523" s="86" t="n"/>
      <c r="AI523" s="8" t="n"/>
      <c r="AJ523" s="86" t="n"/>
      <c r="AK523" s="87" t="n"/>
      <c r="AL523" s="88">
        <f>IF(AM523="","",IF(AND((AM523-AK523)&gt;=TIME(0,0,0),(AM523-AK523)&lt;TIME(0,3,0)),"OK",IF(AND((AM523-AK523)&gt;=TIME(0,3,0),(AM523-AK523)&lt;TIME(0,5,0)),"RETRASO DE 3-5 MIN",IF(AND((AM523-AK523)&gt;=TIME(0,5,0),(AM523-AK523)&lt;TIME(0,10,0)),"RETRASO DE 5-10 MIN",IF((AM523-AK523)&gt;=TIME(0,10,0),"RETRASO &gt;10 MIN", IF(AND((AK523-AM523)&gt;=TIME(0,0,0),(AK523-AM523)&lt;TIME(0,3,0)),"OK",IF((AK523-AM523)&gt;=TIME(0,3,0),"ADELANTADO")))))))</f>
        <v/>
      </c>
      <c r="AM523" s="91" t="n"/>
      <c r="AN523" s="89">
        <f>IF(AE523&lt;&gt;"",HLOOKUP(VALUE(TEXT(AK523,"h:mm:ss")),IF($C$6="Laboral",$FZ$4:$GX$227,IF($C$6="Sábado",$FZ$231:$GX$452,$FZ$456:$GX$656)),VLOOKUP($C$4,$HF$2:$HH$99,3,0)+IF(AG$5="Ida",0,1),1),"")</f>
        <v/>
      </c>
      <c r="AO523" s="89">
        <f>IF(AE524&lt;&gt;AE523,AVERAGEIF(AE$9:AE523,AE523,AN$9:AN523),"")</f>
        <v/>
      </c>
      <c r="AP523" s="89">
        <f>IFERROR(IF(AE524&lt;&gt;AE523,AVERAGEIF(AE$9:AE523,AE523,AW$9:AW523),""),"")</f>
        <v/>
      </c>
      <c r="AQ523" s="89">
        <f>IFERROR(IF(AE524&lt;&gt;AE523,AVERAGEIF(AE$9:AE523,AE523,AX$9:AX523),""),"")</f>
        <v/>
      </c>
      <c r="AR523" s="89">
        <f t="array" ref="AR523">IFERROR(IF(AE524&lt;&gt;AE523,_xlfn.STDEV.P(IF(AE$9:AE523=AE523,AX$9:AX523)),""),"")</f>
        <v/>
      </c>
      <c r="AS523" s="89">
        <f t="array" ref="AS523">IFERROR(IF(AE524&lt;&gt;AE523,_xlfn.STDEV.P(IF(AE$9:AE523=AE523,AW$9:AW523)),""),"")</f>
        <v/>
      </c>
      <c r="AT523" s="90">
        <f>IFERROR(IF(AE523&lt;&gt;AE524,MAX((((AQ523*24*60)/2)*(1+POWER((((AR523*24*60) / (AQ523*24*60) )),2))) + ((AQ523*24*60 )*-0.1 + (AO523*0.015)) +1,(((AQ523*24*60)/2)*(1+POWER((((AR523*24*60) / (AQ523*24*60 ))),2)))),""),"")</f>
        <v/>
      </c>
      <c r="AU523" s="90">
        <f>IF(AND(AS523&lt;&gt;"",AP523&lt;&gt;""),IF(AE523&lt;&gt;AE524,((AP523*24*60) / 2 ) * (1 + POWER(((AS523*24*60) / (AP523*24*60)),2)),""),"")</f>
        <v/>
      </c>
      <c r="AV523" s="90">
        <f>IF(AU523&lt;&gt;"",MAX(AT523,AU523),"")</f>
        <v/>
      </c>
      <c r="AW523" s="89">
        <f>IF(AM523&lt;&gt;"H. Sale Real",IF(AND(AM524&lt;&gt;"",LEFT(AG524,2)&lt;&gt;"Va"),IF(AND(AM523&lt;&gt;"",LEFT(AG523,2)&lt;&gt;"Va",AM523&lt;&gt;"H. Sale Real"),IF(AM524-AM523&lt;0.208333333333333,AM524-AM523,""),IF(AND(AM522&lt;&gt;"",LEFT(AG522,2)&lt;&gt;"Va",AM522&lt;&gt;"H. Sale Real"),IF(AM524-AM522&lt;0.208333333333333,AM524-AM522,""),IF(AND(AM521&lt;&gt;"",LEFT(AG521,2)&lt;&gt;"Va",AM521&lt;&gt;"H. Sale Real"),IF(AM524-AM521&lt;0.208333333333333,AM524-AM521,""),IF(AND(AM520&lt;&gt;"",LEFT(AG520,2)&lt;&gt;"Va",AM520&lt;&gt;"H. Sale Real"),IF(AM524-AM520&lt;0.208333333333333,AM524-AM520,""),IF(AND(AM519&lt;&gt;"",LEFT(AG519,2)&lt;&gt;"Va",AM519&lt;&gt;"H. Sale Real"),IF(AM524-AM519&lt;0.208333333333333,AM524-AM519,""),""))))),""),"")</f>
        <v/>
      </c>
      <c r="AX523" s="89">
        <f>IF(AK523&lt;&gt;"H. Sale Real",IF(AND(AK524&lt;&gt;"",LEFT(AG524,2)&lt;&gt;"Va"),IF(AND(AK523&lt;&gt;"",LEFT(AG523,2)&lt;&gt;"Va",AK523&lt;&gt;"H. Sale Real"),IF(AK524-AK523&lt;0.208333333333333,AK524-AK523,""),IF(AND(AK522&lt;&gt;"",LEFT(AG522,2)&lt;&gt;"Va",AK522&lt;&gt;"H. Sale Real"),IF(AK524-AK522&lt;0.208333333333333,AK524-AK522,""),IF(AND(AK521&lt;&gt;"",LEFT(AG521,2)&lt;&gt;"NC",AK521&lt;&gt;"H. Sale Real"),IF(AK524-AK521&lt;0.208333333333333,AK524-AK521,""),IF(AND(AK520&lt;&gt;"",LEFT(AG520,2)&lt;&gt;"Va",AK520&lt;&gt;"H. Sale Real"),IF(AK524-AK520&lt;0.208333333333333,AK524-AK520,""),IF(AND(AK519&lt;&gt;"",LEFT(AG519,2)&lt;&gt;"Va",AK519&lt;&gt;"H. Sale Real"),IF(AK524-AK519&lt;0.208333333333333,AK524-AK519,""),""))))),""),"")</f>
        <v/>
      </c>
      <c r="AY523" s="87" t="n"/>
      <c r="AZ523" s="89" t="n"/>
      <c r="BA523" s="87" t="n"/>
      <c r="BB523" s="89" t="n"/>
      <c r="BC523" s="91" t="n"/>
      <c r="BD523" s="122">
        <f>IF(AK523&lt;&gt;"",IF(AND(BD522&lt;&gt;"IE",AT523&lt;&gt;0,AV523&lt;&gt;""),IF(IFERROR((AT523/AV523),0) &lt;=1,IFERROR(AT523/AV523,""),1),""),"")</f>
        <v/>
      </c>
      <c r="BE523" s="93" t="n"/>
      <c r="BF523" s="105" t="n"/>
      <c r="FC523" t="inlineStr">
        <is>
          <t>Diccionario 1</t>
        </is>
      </c>
      <c r="FD523" s="15" t="inlineStr"/>
      <c r="FE523" s="17" t="inlineStr">
        <is>
          <t>LDYECS311S0044210</t>
        </is>
      </c>
      <c r="FF523" s="18" t="inlineStr">
        <is>
          <t>MDN35025030109</t>
        </is>
      </c>
      <c r="FG523" s="18" t="inlineStr">
        <is>
          <t>Zhong Thong</t>
        </is>
      </c>
      <c r="FH523" s="18" t="inlineStr">
        <is>
          <t>Lck6122evg</t>
        </is>
      </c>
      <c r="FI523" s="18" t="inlineStr">
        <is>
          <t>Zhong Thong</t>
        </is>
      </c>
      <c r="FJ523" s="18" t="inlineStr">
        <is>
          <t>Lck6122evg</t>
        </is>
      </c>
      <c r="FK523" s="18" t="n">
        <v>2026</v>
      </c>
      <c r="FL523" s="18" t="inlineStr">
        <is>
          <t>B</t>
        </is>
      </c>
      <c r="FM523" s="18" t="inlineStr">
        <is>
          <t>Ducaud</t>
        </is>
      </c>
      <c r="FP523" t="inlineStr">
        <is>
          <t>B</t>
        </is>
      </c>
      <c r="FS523" s="14" t="inlineStr">
        <is>
          <t>LZPR-80|</t>
        </is>
      </c>
      <c r="FT523" t="inlineStr">
        <is>
          <t>LZPR-80|</t>
        </is>
      </c>
      <c r="FU523" t="inlineStr">
        <is>
          <t>LZPR-80</t>
        </is>
      </c>
      <c r="FV523">
        <f>VLOOKUP(FU523,FD:FL,9,0)</f>
        <v/>
      </c>
      <c r="FZ523" s="51" t="n">
        <v>712</v>
      </c>
      <c r="GA523" s="43" t="n">
        <v>28.45</v>
      </c>
      <c r="GB523" s="43" t="n">
        <v>29.72</v>
      </c>
      <c r="GC523" s="43" t="n">
        <v>30.605</v>
      </c>
      <c r="GD523" s="43" t="n">
        <v>31.525</v>
      </c>
      <c r="GE523" s="43" t="n">
        <v>32.12</v>
      </c>
      <c r="GF523" s="43" t="n">
        <v>30.815</v>
      </c>
      <c r="GG523" s="43" t="n">
        <v>28.1</v>
      </c>
      <c r="GH523" s="43" t="n">
        <v>26.69</v>
      </c>
      <c r="GI523" s="43" t="n">
        <v>25.1</v>
      </c>
      <c r="GJ523" s="43" t="n">
        <v>23.89</v>
      </c>
      <c r="GK523" s="43" t="n">
        <v>22.845</v>
      </c>
      <c r="GL523" s="43" t="n">
        <v>22.41</v>
      </c>
      <c r="GM523" s="43" t="n">
        <v>22.545</v>
      </c>
      <c r="GN523" s="43" t="n">
        <v>22.36</v>
      </c>
      <c r="GO523" s="43" t="n">
        <v>22.68</v>
      </c>
      <c r="GP523" s="43" t="n">
        <v>22.52</v>
      </c>
      <c r="GQ523" s="43" t="n">
        <v>21.835</v>
      </c>
      <c r="GR523" s="43" t="n">
        <v>21.755</v>
      </c>
      <c r="GS523" s="43" t="n">
        <v>22.27</v>
      </c>
      <c r="GT523" s="43" t="n">
        <v>22.62</v>
      </c>
      <c r="GU523" s="43" t="n">
        <v>23.87</v>
      </c>
      <c r="GV523" s="43" t="n">
        <v>26.215</v>
      </c>
      <c r="GW523" s="43" t="n">
        <v>28.08</v>
      </c>
      <c r="GX523" s="43" t="n">
        <v>29.01</v>
      </c>
      <c r="HA523" s="35" t="n">
        <v>68</v>
      </c>
      <c r="HB523" s="35" t="n">
        <v>517</v>
      </c>
    </row>
    <row r="524" ht="15.5" customHeight="1">
      <c r="A524" s="10">
        <f>HOUR(G524)+1</f>
        <v/>
      </c>
      <c r="B524" s="7" t="n"/>
      <c r="C524" s="7" t="n"/>
      <c r="D524" s="85">
        <f>IFERROR(
IF(AND(OR(Planilla!B524="C",Planilla!B524="c"), VLOOKUP(E524,FD:FP,13,0)="C"), "OK",IF(AND(OR(Planilla!B524="C",Planilla!B524="c"), OR(VLOOKUP(E524,FD:FP,13,0)="B", VLOOKUP(E524,FD:FP,13,0)="A")), "DEFICIT",IF(
AND(OR(Planilla!B524="B", Planilla!B524="BPAL"), VLOOKUP(E524,FD:FP,13,0)="B"), "OK",IF(AND(OR(Planilla!B524="B", Planilla!B524="BPAL"), VLOOKUP(E524,FD:FP,13,0)="A"), "DEFICIT",IF(AND(OR(Planilla!B524="B", Planilla!B524="BPAL"), VLOOKUP(E524,FD:FP,13,0)="C"), "SOBREOFERTA",IF(AND(Planilla!B524="A", VLOOKUP(E524,FD:FP,13,0)="A"), "OK",IF(
AND(Planilla!B524="A", OR(VLOOKUP(E524,FD:FP,13,0)="B", VLOOKUP(E524,FD:FP,13,0)="C")), "SOBREOFERTA",""
))))))),"")</f>
        <v/>
      </c>
      <c r="E524" s="8" t="n"/>
      <c r="F524" s="86" t="n"/>
      <c r="G524" s="87" t="n"/>
      <c r="H524" s="88">
        <f>IF(I524="","",IF(AND((I524-G524)&gt;=TIME(0,0,0),(I524-G524)&lt;TIME(0,3,0)),"OK",IF(AND((I524-G524)&gt;=TIME(0,3,0),(I524-G524)&lt;TIME(0,5,0)),"RETRASO DE 3-5 MIN",IF(AND((I524-G524)&gt;=TIME(0,5,0),(I524-G524)&lt;TIME(0,10,0)),"RETRASO DE 5-10 MIN",IF((I524-G524)&gt;=TIME(0,10,0),"RETRASO &gt;10 MIN", IF(AND((G524-I524)&gt;=TIME(0,0,0),(G524-I524)&lt;TIME(0,3,0)),"OK",IF((G524-I524)&gt;=TIME(0,3,0),"ADELANTADO")))))))</f>
        <v/>
      </c>
      <c r="I524" s="89" t="n"/>
      <c r="J524" s="89">
        <f>IF(A524&lt;&gt;"",HLOOKUP(VALUE(TEXT(G524,"h:mm:ss")),IF($C$6="Laboral",$FZ$4:$GX$227,IF($C$6="Sábado",$FZ$231:$GX$452,$FZ$456:$GX$656)),VLOOKUP($C$4,$HF$2:$HH$99,3,0)+IF(C$5="Ida",0,1),1),"")</f>
        <v/>
      </c>
      <c r="K524" s="89">
        <f>IF(A525&lt;&gt;A524,AVERAGEIF(A$9:A524,A524,J$9:J524),"")</f>
        <v/>
      </c>
      <c r="L524" s="89">
        <f>IFERROR(IF(A525&lt;&gt;A524,AVERAGEIF(A$9:A524,A524,S$9:S524),""),"")</f>
        <v/>
      </c>
      <c r="M524" s="89">
        <f>IFERROR(IF(A525&lt;&gt;A524,AVERAGEIF(A$9:A524,A524,T$9:T524),""),"")</f>
        <v/>
      </c>
      <c r="N524" s="89">
        <f t="array" ref="N524">IFERROR(IF(A525&lt;&gt;A524,_xlfn.STDEV.P(IF(A$9:A524=A524,T$9:T524)),""),"")</f>
        <v/>
      </c>
      <c r="O524" s="89">
        <f t="array" ref="O524">IFERROR(IF(A525&lt;&gt;A524,_xlfn.STDEV.P(IF(A$9:A524=A524,S$9:S524)),""),"")</f>
        <v/>
      </c>
      <c r="P524" s="90">
        <f>IFERROR(IF(A524&lt;&gt;A525,MAX((((M524*24*60)/2)*(1+POWER((((N524*24*60) / (M524*24*60) )),2))) + ((M524*24*60 )*-0.1 + (K524*0.015)) +1,(((M524*24*60)/2)*(1+POWER((((N524*24*60) / (M524*24*60 ))),2)))),""),"")</f>
        <v/>
      </c>
      <c r="Q524" s="90">
        <f>IF(AND(O524&lt;&gt;"",L524&lt;&gt;""),IF(A524&lt;&gt;A525,((L524*24*60) / 2 ) * (1 + POWER(((O524*24*60) / (L524*24*60)),2)),""),"")</f>
        <v/>
      </c>
      <c r="R524" s="90">
        <f>IF(Q524&lt;&gt;"",MAX(P524,Q524),"")</f>
        <v/>
      </c>
      <c r="S524" s="89">
        <f>IF(I524&lt;&gt;"H. Sale Real",IF(AND(I525&lt;&gt;"",LEFT(C525,2)&lt;&gt;"Va"),IF(AND(I524&lt;&gt;"",LEFT(C524,2)&lt;&gt;"Va",I524&lt;&gt;"H. Sale Real"),IF(I525-I524&lt;0.208333333333333,I525-I524,""),IF(AND(I523&lt;&gt;"",LEFT(C523,2)&lt;&gt;"Va",I523&lt;&gt;"H. Sale Real"),IF(I525-I523&lt;0.208333333333333,I525-I523,""),IF(AND(I522&lt;&gt;"",LEFT(C522,2)&lt;&gt;"Va",I522&lt;&gt;"H. Sale Real"),IF(I525-I522&lt;0.208333333333333,I525-I522,""),IF(AND(I521&lt;&gt;"",LEFT(C521,2)&lt;&gt;"Va",I521&lt;&gt;"H. Sale Real"),IF(I525-I521&lt;0.208333333333333,I525-I521,""),IF(AND(I520&lt;&gt;"",LEFT(C520,2)&lt;&gt;"Va",I520&lt;&gt;"H. Sale Real"),IF(I525-I520&lt;0.208333333333333,I525-I520,""),""))))),""),"")</f>
        <v/>
      </c>
      <c r="T524" s="89">
        <f>IF(G524&lt;&gt;"H. Sale Real",IF(AND(G525&lt;&gt;"",LEFT(C525,2)&lt;&gt;"Va"),IF(AND(G524&lt;&gt;"",LEFT(C524,2)&lt;&gt;"Va",G524&lt;&gt;"H. Sale Real"),IF(G525-G524&lt;0.208333333333333,G525-G524,""),IF(AND(G523&lt;&gt;"",LEFT(C523,2)&lt;&gt;"Va",G523&lt;&gt;"H. Sale Real"),IF(G525-G523&lt;0.208333333333333,G525-G523,""),IF(AND(G522&lt;&gt;"",LEFT(C522,2)&lt;&gt;"Va",G522&lt;&gt;"H. Sale Real"),IF(G525-G522&lt;0.208333333333333,G525-G522,""),IF(AND(G521&lt;&gt;"",LEFT(C521,2)&lt;&gt;"Va",G521&lt;&gt;"H. Sale Real"),IF(G525-G521&lt;0.208333333333333,G525-G521,""),IF(AND(G520&lt;&gt;"",LEFT(C520,2)&lt;&gt;"Va",G520&lt;&gt;"H. Sale Real"),IF(G525-G520&lt;0.208333333333333,G525-G520,""),""))))),""),"")</f>
        <v/>
      </c>
      <c r="U524" s="87" t="n"/>
      <c r="V524" s="89" t="n"/>
      <c r="W524" s="87" t="n"/>
      <c r="X524" s="89" t="n"/>
      <c r="Y524" s="91" t="n"/>
      <c r="Z524" s="122">
        <f>IF(G524&lt;&gt;"",IF(AND(Z523&lt;&gt;"IE",P524&lt;&gt;0,R524&lt;&gt;""),IF(IFERROR((P524/R524),0) &lt;=1,IFERROR(P524/R524,""),1),""),"")</f>
        <v/>
      </c>
      <c r="AA524" s="93" t="n"/>
      <c r="AB524" s="2" t="n"/>
      <c r="AE524" s="10">
        <f>HOUR(AK524)+1</f>
        <v/>
      </c>
      <c r="AF524" s="7" t="n"/>
      <c r="AG524" s="7" t="n"/>
      <c r="AH524" s="86" t="n"/>
      <c r="AI524" s="8" t="n"/>
      <c r="AJ524" s="86" t="n"/>
      <c r="AK524" s="87" t="n"/>
      <c r="AL524" s="88">
        <f>IF(AM524="","",IF(AND((AM524-AK524)&gt;=TIME(0,0,0),(AM524-AK524)&lt;TIME(0,3,0)),"OK",IF(AND((AM524-AK524)&gt;=TIME(0,3,0),(AM524-AK524)&lt;TIME(0,5,0)),"RETRASO DE 3-5 MIN",IF(AND((AM524-AK524)&gt;=TIME(0,5,0),(AM524-AK524)&lt;TIME(0,10,0)),"RETRASO DE 5-10 MIN",IF((AM524-AK524)&gt;=TIME(0,10,0),"RETRASO &gt;10 MIN", IF(AND((AK524-AM524)&gt;=TIME(0,0,0),(AK524-AM524)&lt;TIME(0,3,0)),"OK",IF((AK524-AM524)&gt;=TIME(0,3,0),"ADELANTADO")))))))</f>
        <v/>
      </c>
      <c r="AM524" s="91" t="n"/>
      <c r="AN524" s="89">
        <f>IF(AE524&lt;&gt;"",HLOOKUP(VALUE(TEXT(AK524,"h:mm:ss")),IF($C$6="Laboral",$FZ$4:$GX$227,IF($C$6="Sábado",$FZ$231:$GX$452,$FZ$456:$GX$656)),VLOOKUP($C$4,$HF$2:$HH$99,3,0)+IF(AG$5="Ida",0,1),1),"")</f>
        <v/>
      </c>
      <c r="AO524" s="89">
        <f>IF(AE525&lt;&gt;AE524,AVERAGEIF(AE$9:AE524,AE524,AN$9:AN524),"")</f>
        <v/>
      </c>
      <c r="AP524" s="89">
        <f>IFERROR(IF(AE525&lt;&gt;AE524,AVERAGEIF(AE$9:AE524,AE524,AW$9:AW524),""),"")</f>
        <v/>
      </c>
      <c r="AQ524" s="89">
        <f>IFERROR(IF(AE525&lt;&gt;AE524,AVERAGEIF(AE$9:AE524,AE524,AX$9:AX524),""),"")</f>
        <v/>
      </c>
      <c r="AR524" s="89">
        <f t="array" ref="AR524">IFERROR(IF(AE525&lt;&gt;AE524,_xlfn.STDEV.P(IF(AE$9:AE524=AE524,AX$9:AX524)),""),"")</f>
        <v/>
      </c>
      <c r="AS524" s="89">
        <f t="array" ref="AS524">IFERROR(IF(AE525&lt;&gt;AE524,_xlfn.STDEV.P(IF(AE$9:AE524=AE524,AW$9:AW524)),""),"")</f>
        <v/>
      </c>
      <c r="AT524" s="90">
        <f>IFERROR(IF(AE524&lt;&gt;AE525,MAX((((AQ524*24*60)/2)*(1+POWER((((AR524*24*60) / (AQ524*24*60) )),2))) + ((AQ524*24*60 )*-0.1 + (AO524*0.015)) +1,(((AQ524*24*60)/2)*(1+POWER((((AR524*24*60) / (AQ524*24*60 ))),2)))),""),"")</f>
        <v/>
      </c>
      <c r="AU524" s="90">
        <f>IF(AND(AS524&lt;&gt;"",AP524&lt;&gt;""),IF(AE524&lt;&gt;AE525,((AP524*24*60) / 2 ) * (1 + POWER(((AS524*24*60) / (AP524*24*60)),2)),""),"")</f>
        <v/>
      </c>
      <c r="AV524" s="90">
        <f>IF(AU524&lt;&gt;"",MAX(AT524,AU524),"")</f>
        <v/>
      </c>
      <c r="AW524" s="89">
        <f>IF(AM524&lt;&gt;"H. Sale Real",IF(AND(AM525&lt;&gt;"",LEFT(AG525,2)&lt;&gt;"Va"),IF(AND(AM524&lt;&gt;"",LEFT(AG524,2)&lt;&gt;"Va",AM524&lt;&gt;"H. Sale Real"),IF(AM525-AM524&lt;0.208333333333333,AM525-AM524,""),IF(AND(AM523&lt;&gt;"",LEFT(AG523,2)&lt;&gt;"Va",AM523&lt;&gt;"H. Sale Real"),IF(AM525-AM523&lt;0.208333333333333,AM525-AM523,""),IF(AND(AM522&lt;&gt;"",LEFT(AG522,2)&lt;&gt;"Va",AM522&lt;&gt;"H. Sale Real"),IF(AM525-AM522&lt;0.208333333333333,AM525-AM522,""),IF(AND(AM521&lt;&gt;"",LEFT(AG521,2)&lt;&gt;"Va",AM521&lt;&gt;"H. Sale Real"),IF(AM525-AM521&lt;0.208333333333333,AM525-AM521,""),IF(AND(AM520&lt;&gt;"",LEFT(AG520,2)&lt;&gt;"Va",AM520&lt;&gt;"H. Sale Real"),IF(AM525-AM520&lt;0.208333333333333,AM525-AM520,""),""))))),""),"")</f>
        <v/>
      </c>
      <c r="AX524" s="89">
        <f>IF(AK524&lt;&gt;"H. Sale Real",IF(AND(AK525&lt;&gt;"",LEFT(AG525,2)&lt;&gt;"Va"),IF(AND(AK524&lt;&gt;"",LEFT(AG524,2)&lt;&gt;"Va",AK524&lt;&gt;"H. Sale Real"),IF(AK525-AK524&lt;0.208333333333333,AK525-AK524,""),IF(AND(AK523&lt;&gt;"",LEFT(AG523,2)&lt;&gt;"Va",AK523&lt;&gt;"H. Sale Real"),IF(AK525-AK523&lt;0.208333333333333,AK525-AK523,""),IF(AND(AK522&lt;&gt;"",LEFT(AG522,2)&lt;&gt;"NC",AK522&lt;&gt;"H. Sale Real"),IF(AK525-AK522&lt;0.208333333333333,AK525-AK522,""),IF(AND(AK521&lt;&gt;"",LEFT(AG521,2)&lt;&gt;"Va",AK521&lt;&gt;"H. Sale Real"),IF(AK525-AK521&lt;0.208333333333333,AK525-AK521,""),IF(AND(AK520&lt;&gt;"",LEFT(AG520,2)&lt;&gt;"Va",AK520&lt;&gt;"H. Sale Real"),IF(AK525-AK520&lt;0.208333333333333,AK525-AK520,""),""))))),""),"")</f>
        <v/>
      </c>
      <c r="AY524" s="87" t="n"/>
      <c r="AZ524" s="89" t="n"/>
      <c r="BA524" s="87" t="n"/>
      <c r="BB524" s="89" t="n"/>
      <c r="BC524" s="91" t="n"/>
      <c r="BD524" s="122">
        <f>IF(AK524&lt;&gt;"",IF(AND(BD523&lt;&gt;"IE",AT524&lt;&gt;0,AV524&lt;&gt;""),IF(IFERROR((AT524/AV524),0) &lt;=1,IFERROR(AT524/AV524,""),1),""),"")</f>
        <v/>
      </c>
      <c r="BE524" s="93" t="n"/>
      <c r="BF524" s="105" t="n"/>
      <c r="FC524" t="inlineStr">
        <is>
          <t>Diccionario 1</t>
        </is>
      </c>
      <c r="FD524" s="15" t="inlineStr"/>
      <c r="FE524" s="17" t="inlineStr">
        <is>
          <t>LDYECS31XS0044285</t>
        </is>
      </c>
      <c r="FF524" s="18" t="inlineStr">
        <is>
          <t>MDN35025020245</t>
        </is>
      </c>
      <c r="FG524" s="18" t="inlineStr">
        <is>
          <t>Zhong Thong</t>
        </is>
      </c>
      <c r="FH524" s="18" t="inlineStr">
        <is>
          <t>Lck6122evg</t>
        </is>
      </c>
      <c r="FI524" s="18" t="inlineStr">
        <is>
          <t>Zhong Thong</t>
        </is>
      </c>
      <c r="FJ524" s="18" t="inlineStr">
        <is>
          <t>Lck6122evg</t>
        </is>
      </c>
      <c r="FK524" s="18" t="n">
        <v>2026</v>
      </c>
      <c r="FL524" s="18" t="inlineStr">
        <is>
          <t>B</t>
        </is>
      </c>
      <c r="FM524" s="18" t="inlineStr">
        <is>
          <t>Ducaud</t>
        </is>
      </c>
      <c r="FP524" t="inlineStr">
        <is>
          <t>B</t>
        </is>
      </c>
      <c r="FS524" s="14" t="inlineStr">
        <is>
          <t>LZPW-14|</t>
        </is>
      </c>
      <c r="FT524" t="inlineStr">
        <is>
          <t>LZPW-14|</t>
        </is>
      </c>
      <c r="FU524" t="inlineStr">
        <is>
          <t>LZPW-14</t>
        </is>
      </c>
      <c r="FV524">
        <f>VLOOKUP(FU524,FD:FL,9,0)</f>
        <v/>
      </c>
      <c r="HA524" s="35" t="n">
        <v>69</v>
      </c>
      <c r="HB524" s="35" t="n">
        <v>518</v>
      </c>
    </row>
    <row r="525" ht="15.5" customHeight="1">
      <c r="A525" s="10">
        <f>HOUR(G525)+1</f>
        <v/>
      </c>
      <c r="B525" s="7" t="n"/>
      <c r="C525" s="7" t="n"/>
      <c r="D525" s="85">
        <f>IFERROR(
IF(AND(OR(Planilla!B525="C",Planilla!B525="c"), VLOOKUP(E525,FD:FP,13,0)="C"), "OK",IF(AND(OR(Planilla!B525="C",Planilla!B525="c"), OR(VLOOKUP(E525,FD:FP,13,0)="B", VLOOKUP(E525,FD:FP,13,0)="A")), "DEFICIT",IF(
AND(OR(Planilla!B525="B", Planilla!B525="BPAL"), VLOOKUP(E525,FD:FP,13,0)="B"), "OK",IF(AND(OR(Planilla!B525="B", Planilla!B525="BPAL"), VLOOKUP(E525,FD:FP,13,0)="A"), "DEFICIT",IF(AND(OR(Planilla!B525="B", Planilla!B525="BPAL"), VLOOKUP(E525,FD:FP,13,0)="C"), "SOBREOFERTA",IF(AND(Planilla!B525="A", VLOOKUP(E525,FD:FP,13,0)="A"), "OK",IF(
AND(Planilla!B525="A", OR(VLOOKUP(E525,FD:FP,13,0)="B", VLOOKUP(E525,FD:FP,13,0)="C")), "SOBREOFERTA",""
))))))),"")</f>
        <v/>
      </c>
      <c r="E525" s="8" t="n"/>
      <c r="F525" s="86" t="n"/>
      <c r="G525" s="87" t="n"/>
      <c r="H525" s="88">
        <f>IF(I525="","",IF(AND((I525-G525)&gt;=TIME(0,0,0),(I525-G525)&lt;TIME(0,3,0)),"OK",IF(AND((I525-G525)&gt;=TIME(0,3,0),(I525-G525)&lt;TIME(0,5,0)),"RETRASO DE 3-5 MIN",IF(AND((I525-G525)&gt;=TIME(0,5,0),(I525-G525)&lt;TIME(0,10,0)),"RETRASO DE 5-10 MIN",IF((I525-G525)&gt;=TIME(0,10,0),"RETRASO &gt;10 MIN", IF(AND((G525-I525)&gt;=TIME(0,0,0),(G525-I525)&lt;TIME(0,3,0)),"OK",IF((G525-I525)&gt;=TIME(0,3,0),"ADELANTADO")))))))</f>
        <v/>
      </c>
      <c r="I525" s="89" t="n"/>
      <c r="J525" s="89">
        <f>IF(A525&lt;&gt;"",HLOOKUP(VALUE(TEXT(G525,"h:mm:ss")),IF($C$6="Laboral",$FZ$4:$GX$227,IF($C$6="Sábado",$FZ$231:$GX$452,$FZ$456:$GX$656)),VLOOKUP($C$4,$HF$2:$HH$99,3,0)+IF(C$5="Ida",0,1),1),"")</f>
        <v/>
      </c>
      <c r="K525" s="89">
        <f>IF(A526&lt;&gt;A525,AVERAGEIF(A$9:A525,A525,J$9:J525),"")</f>
        <v/>
      </c>
      <c r="L525" s="89">
        <f>IFERROR(IF(A526&lt;&gt;A525,AVERAGEIF(A$9:A525,A525,S$9:S525),""),"")</f>
        <v/>
      </c>
      <c r="M525" s="89">
        <f>IFERROR(IF(A526&lt;&gt;A525,AVERAGEIF(A$9:A525,A525,T$9:T525),""),"")</f>
        <v/>
      </c>
      <c r="N525" s="89">
        <f t="array" ref="N525">IFERROR(IF(A526&lt;&gt;A525,_xlfn.STDEV.P(IF(A$9:A525=A525,T$9:T525)),""),"")</f>
        <v/>
      </c>
      <c r="O525" s="89">
        <f t="array" ref="O525">IFERROR(IF(A526&lt;&gt;A525,_xlfn.STDEV.P(IF(A$9:A525=A525,S$9:S525)),""),"")</f>
        <v/>
      </c>
      <c r="P525" s="90">
        <f>IFERROR(IF(A525&lt;&gt;A526,MAX((((M525*24*60)/2)*(1+POWER((((N525*24*60) / (M525*24*60) )),2))) + ((M525*24*60 )*-0.1 + (K525*0.015)) +1,(((M525*24*60)/2)*(1+POWER((((N525*24*60) / (M525*24*60 ))),2)))),""),"")</f>
        <v/>
      </c>
      <c r="Q525" s="90">
        <f>IF(AND(O525&lt;&gt;"",L525&lt;&gt;""),IF(A525&lt;&gt;A526,((L525*24*60) / 2 ) * (1 + POWER(((O525*24*60) / (L525*24*60)),2)),""),"")</f>
        <v/>
      </c>
      <c r="R525" s="90">
        <f>IF(Q525&lt;&gt;"",MAX(P525,Q525),"")</f>
        <v/>
      </c>
      <c r="S525" s="89">
        <f>IF(I525&lt;&gt;"H. Sale Real",IF(AND(I526&lt;&gt;"",LEFT(C526,2)&lt;&gt;"Va"),IF(AND(I525&lt;&gt;"",LEFT(C525,2)&lt;&gt;"Va",I525&lt;&gt;"H. Sale Real"),IF(I526-I525&lt;0.208333333333333,I526-I525,""),IF(AND(I524&lt;&gt;"",LEFT(C524,2)&lt;&gt;"Va",I524&lt;&gt;"H. Sale Real"),IF(I526-I524&lt;0.208333333333333,I526-I524,""),IF(AND(I523&lt;&gt;"",LEFT(C523,2)&lt;&gt;"Va",I523&lt;&gt;"H. Sale Real"),IF(I526-I523&lt;0.208333333333333,I526-I523,""),IF(AND(I522&lt;&gt;"",LEFT(C522,2)&lt;&gt;"Va",I522&lt;&gt;"H. Sale Real"),IF(I526-I522&lt;0.208333333333333,I526-I522,""),IF(AND(I521&lt;&gt;"",LEFT(C521,2)&lt;&gt;"Va",I521&lt;&gt;"H. Sale Real"),IF(I526-I521&lt;0.208333333333333,I526-I521,""),""))))),""),"")</f>
        <v/>
      </c>
      <c r="T525" s="89">
        <f>IF(G525&lt;&gt;"H. Sale Real",IF(AND(G526&lt;&gt;"",LEFT(C526,2)&lt;&gt;"Va"),IF(AND(G525&lt;&gt;"",LEFT(C525,2)&lt;&gt;"Va",G525&lt;&gt;"H. Sale Real"),IF(G526-G525&lt;0.208333333333333,G526-G525,""),IF(AND(G524&lt;&gt;"",LEFT(C524,2)&lt;&gt;"Va",G524&lt;&gt;"H. Sale Real"),IF(G526-G524&lt;0.208333333333333,G526-G524,""),IF(AND(G523&lt;&gt;"",LEFT(C523,2)&lt;&gt;"Va",G523&lt;&gt;"H. Sale Real"),IF(G526-G523&lt;0.208333333333333,G526-G523,""),IF(AND(G522&lt;&gt;"",LEFT(C522,2)&lt;&gt;"Va",G522&lt;&gt;"H. Sale Real"),IF(G526-G522&lt;0.208333333333333,G526-G522,""),IF(AND(G521&lt;&gt;"",LEFT(C521,2)&lt;&gt;"Va",G521&lt;&gt;"H. Sale Real"),IF(G526-G521&lt;0.208333333333333,G526-G521,""),""))))),""),"")</f>
        <v/>
      </c>
      <c r="U525" s="87" t="n"/>
      <c r="V525" s="89" t="n"/>
      <c r="W525" s="87" t="n"/>
      <c r="X525" s="89" t="n"/>
      <c r="Y525" s="91" t="n"/>
      <c r="Z525" s="122">
        <f>IF(G525&lt;&gt;"",IF(AND(Z524&lt;&gt;"IE",P525&lt;&gt;0,R525&lt;&gt;""),IF(IFERROR((P525/R525),0) &lt;=1,IFERROR(P525/R525,""),1),""),"")</f>
        <v/>
      </c>
      <c r="AA525" s="93" t="n"/>
      <c r="AB525" s="2" t="n"/>
      <c r="AE525" s="10">
        <f>HOUR(AK525)+1</f>
        <v/>
      </c>
      <c r="AF525" s="7" t="n"/>
      <c r="AG525" s="7" t="n"/>
      <c r="AH525" s="86" t="n"/>
      <c r="AI525" s="8" t="n"/>
      <c r="AJ525" s="86" t="n"/>
      <c r="AK525" s="87" t="n"/>
      <c r="AL525" s="88">
        <f>IF(AM525="","",IF(AND((AM525-AK525)&gt;=TIME(0,0,0),(AM525-AK525)&lt;TIME(0,3,0)),"OK",IF(AND((AM525-AK525)&gt;=TIME(0,3,0),(AM525-AK525)&lt;TIME(0,5,0)),"RETRASO DE 3-5 MIN",IF(AND((AM525-AK525)&gt;=TIME(0,5,0),(AM525-AK525)&lt;TIME(0,10,0)),"RETRASO DE 5-10 MIN",IF((AM525-AK525)&gt;=TIME(0,10,0),"RETRASO &gt;10 MIN", IF(AND((AK525-AM525)&gt;=TIME(0,0,0),(AK525-AM525)&lt;TIME(0,3,0)),"OK",IF((AK525-AM525)&gt;=TIME(0,3,0),"ADELANTADO")))))))</f>
        <v/>
      </c>
      <c r="AM525" s="91" t="n"/>
      <c r="AN525" s="89">
        <f>IF(AE525&lt;&gt;"",HLOOKUP(VALUE(TEXT(AK525,"h:mm:ss")),IF($C$6="Laboral",$FZ$4:$GX$227,IF($C$6="Sábado",$FZ$231:$GX$452,$FZ$456:$GX$656)),VLOOKUP($C$4,$HF$2:$HH$99,3,0)+IF(AG$5="Ida",0,1),1),"")</f>
        <v/>
      </c>
      <c r="AO525" s="89">
        <f>IF(AE526&lt;&gt;AE525,AVERAGEIF(AE$9:AE525,AE525,AN$9:AN525),"")</f>
        <v/>
      </c>
      <c r="AP525" s="89">
        <f>IFERROR(IF(AE526&lt;&gt;AE525,AVERAGEIF(AE$9:AE525,AE525,AW$9:AW525),""),"")</f>
        <v/>
      </c>
      <c r="AQ525" s="89">
        <f>IFERROR(IF(AE526&lt;&gt;AE525,AVERAGEIF(AE$9:AE525,AE525,AX$9:AX525),""),"")</f>
        <v/>
      </c>
      <c r="AR525" s="89">
        <f t="array" ref="AR525">IFERROR(IF(AE526&lt;&gt;AE525,_xlfn.STDEV.P(IF(AE$9:AE525=AE525,AX$9:AX525)),""),"")</f>
        <v/>
      </c>
      <c r="AS525" s="89">
        <f t="array" ref="AS525">IFERROR(IF(AE526&lt;&gt;AE525,_xlfn.STDEV.P(IF(AE$9:AE525=AE525,AW$9:AW525)),""),"")</f>
        <v/>
      </c>
      <c r="AT525" s="90">
        <f>IFERROR(IF(AE525&lt;&gt;AE526,MAX((((AQ525*24*60)/2)*(1+POWER((((AR525*24*60) / (AQ525*24*60) )),2))) + ((AQ525*24*60 )*-0.1 + (AO525*0.015)) +1,(((AQ525*24*60)/2)*(1+POWER((((AR525*24*60) / (AQ525*24*60 ))),2)))),""),"")</f>
        <v/>
      </c>
      <c r="AU525" s="90">
        <f>IF(AND(AS525&lt;&gt;"",AP525&lt;&gt;""),IF(AE525&lt;&gt;AE526,((AP525*24*60) / 2 ) * (1 + POWER(((AS525*24*60) / (AP525*24*60)),2)),""),"")</f>
        <v/>
      </c>
      <c r="AV525" s="90">
        <f>IF(AU525&lt;&gt;"",MAX(AT525,AU525),"")</f>
        <v/>
      </c>
      <c r="AW525" s="89">
        <f>IF(AM525&lt;&gt;"H. Sale Real",IF(AND(AM526&lt;&gt;"",LEFT(AG526,2)&lt;&gt;"Va"),IF(AND(AM525&lt;&gt;"",LEFT(AG525,2)&lt;&gt;"Va",AM525&lt;&gt;"H. Sale Real"),IF(AM526-AM525&lt;0.208333333333333,AM526-AM525,""),IF(AND(AM524&lt;&gt;"",LEFT(AG524,2)&lt;&gt;"Va",AM524&lt;&gt;"H. Sale Real"),IF(AM526-AM524&lt;0.208333333333333,AM526-AM524,""),IF(AND(AM523&lt;&gt;"",LEFT(AG523,2)&lt;&gt;"Va",AM523&lt;&gt;"H. Sale Real"),IF(AM526-AM523&lt;0.208333333333333,AM526-AM523,""),IF(AND(AM522&lt;&gt;"",LEFT(AG522,2)&lt;&gt;"Va",AM522&lt;&gt;"H. Sale Real"),IF(AM526-AM522&lt;0.208333333333333,AM526-AM522,""),IF(AND(AM521&lt;&gt;"",LEFT(AG521,2)&lt;&gt;"Va",AM521&lt;&gt;"H. Sale Real"),IF(AM526-AM521&lt;0.208333333333333,AM526-AM521,""),""))))),""),"")</f>
        <v/>
      </c>
      <c r="AX525" s="89">
        <f>IF(AK525&lt;&gt;"H. Sale Real",IF(AND(AK526&lt;&gt;"",LEFT(AG526,2)&lt;&gt;"Va"),IF(AND(AK525&lt;&gt;"",LEFT(AG525,2)&lt;&gt;"Va",AK525&lt;&gt;"H. Sale Real"),IF(AK526-AK525&lt;0.208333333333333,AK526-AK525,""),IF(AND(AK524&lt;&gt;"",LEFT(AG524,2)&lt;&gt;"Va",AK524&lt;&gt;"H. Sale Real"),IF(AK526-AK524&lt;0.208333333333333,AK526-AK524,""),IF(AND(AK523&lt;&gt;"",LEFT(AG523,2)&lt;&gt;"NC",AK523&lt;&gt;"H. Sale Real"),IF(AK526-AK523&lt;0.208333333333333,AK526-AK523,""),IF(AND(AK522&lt;&gt;"",LEFT(AG522,2)&lt;&gt;"Va",AK522&lt;&gt;"H. Sale Real"),IF(AK526-AK522&lt;0.208333333333333,AK526-AK522,""),IF(AND(AK521&lt;&gt;"",LEFT(AG521,2)&lt;&gt;"Va",AK521&lt;&gt;"H. Sale Real"),IF(AK526-AK521&lt;0.208333333333333,AK526-AK521,""),""))))),""),"")</f>
        <v/>
      </c>
      <c r="AY525" s="87" t="n"/>
      <c r="AZ525" s="89" t="n"/>
      <c r="BA525" s="87" t="n"/>
      <c r="BB525" s="89" t="n"/>
      <c r="BC525" s="91" t="n"/>
      <c r="BD525" s="122">
        <f>IF(AK525&lt;&gt;"",IF(AND(BD524&lt;&gt;"IE",AT525&lt;&gt;0,AV525&lt;&gt;""),IF(IFERROR((AT525/AV525),0) &lt;=1,IFERROR(AT525/AV525,""),1),""),"")</f>
        <v/>
      </c>
      <c r="BE525" s="93" t="n"/>
      <c r="BF525" s="105" t="n"/>
      <c r="FC525" t="inlineStr">
        <is>
          <t>Diccionario 1</t>
        </is>
      </c>
      <c r="FD525" s="15" t="inlineStr"/>
      <c r="FE525" s="17" t="inlineStr">
        <is>
          <t>LDYECS316S0044218</t>
        </is>
      </c>
      <c r="FF525" s="18" t="inlineStr">
        <is>
          <t>MDN35025010180</t>
        </is>
      </c>
      <c r="FG525" s="18" t="inlineStr">
        <is>
          <t>Zhong Thong</t>
        </is>
      </c>
      <c r="FH525" s="18" t="inlineStr">
        <is>
          <t>Lck6122evg</t>
        </is>
      </c>
      <c r="FI525" s="18" t="inlineStr">
        <is>
          <t>Zhong Thong</t>
        </is>
      </c>
      <c r="FJ525" s="18" t="inlineStr">
        <is>
          <t>Lck6122evg</t>
        </is>
      </c>
      <c r="FK525" s="18" t="n">
        <v>2026</v>
      </c>
      <c r="FL525" s="18" t="inlineStr">
        <is>
          <t>B</t>
        </is>
      </c>
      <c r="FM525" s="18" t="inlineStr">
        <is>
          <t>Ducaud</t>
        </is>
      </c>
      <c r="FP525" t="inlineStr">
        <is>
          <t>B</t>
        </is>
      </c>
      <c r="FS525" s="14" t="inlineStr">
        <is>
          <t>LZPT-73|</t>
        </is>
      </c>
      <c r="FT525" t="inlineStr">
        <is>
          <t>LZPT-73|</t>
        </is>
      </c>
      <c r="FU525" t="inlineStr">
        <is>
          <t>LZPT-73</t>
        </is>
      </c>
      <c r="FV525">
        <f>VLOOKUP(FU525,FD:FL,9,0)</f>
        <v/>
      </c>
      <c r="HA525" s="35" t="n">
        <v>70</v>
      </c>
      <c r="HB525" s="35" t="n">
        <v>519</v>
      </c>
    </row>
    <row r="526" ht="15.5" customHeight="1">
      <c r="A526" s="10">
        <f>HOUR(G526)+1</f>
        <v/>
      </c>
      <c r="B526" s="7" t="n"/>
      <c r="C526" s="7" t="n"/>
      <c r="D526" s="85">
        <f>IFERROR(
IF(AND(OR(Planilla!B526="C",Planilla!B526="c"), VLOOKUP(E526,FD:FP,13,0)="C"), "OK",IF(AND(OR(Planilla!B526="C",Planilla!B526="c"), OR(VLOOKUP(E526,FD:FP,13,0)="B", VLOOKUP(E526,FD:FP,13,0)="A")), "DEFICIT",IF(
AND(OR(Planilla!B526="B", Planilla!B526="BPAL"), VLOOKUP(E526,FD:FP,13,0)="B"), "OK",IF(AND(OR(Planilla!B526="B", Planilla!B526="BPAL"), VLOOKUP(E526,FD:FP,13,0)="A"), "DEFICIT",IF(AND(OR(Planilla!B526="B", Planilla!B526="BPAL"), VLOOKUP(E526,FD:FP,13,0)="C"), "SOBREOFERTA",IF(AND(Planilla!B526="A", VLOOKUP(E526,FD:FP,13,0)="A"), "OK",IF(
AND(Planilla!B526="A", OR(VLOOKUP(E526,FD:FP,13,0)="B", VLOOKUP(E526,FD:FP,13,0)="C")), "SOBREOFERTA",""
))))))),"")</f>
        <v/>
      </c>
      <c r="E526" s="8" t="n"/>
      <c r="F526" s="86" t="n"/>
      <c r="G526" s="87" t="n"/>
      <c r="H526" s="88">
        <f>IF(I526="","",IF(AND((I526-G526)&gt;=TIME(0,0,0),(I526-G526)&lt;TIME(0,3,0)),"OK",IF(AND((I526-G526)&gt;=TIME(0,3,0),(I526-G526)&lt;TIME(0,5,0)),"RETRASO DE 3-5 MIN",IF(AND((I526-G526)&gt;=TIME(0,5,0),(I526-G526)&lt;TIME(0,10,0)),"RETRASO DE 5-10 MIN",IF((I526-G526)&gt;=TIME(0,10,0),"RETRASO &gt;10 MIN",         IF(AND((G526-I526)&gt;=TIME(0,0,0),(G526-I526)&lt;TIME(0,3,0)),"OK",IF((G526-I526)&gt;=TIME(0,3,0),"ADELANTADO")))))))</f>
        <v/>
      </c>
      <c r="I526" s="89" t="n"/>
      <c r="J526" s="89">
        <f>IF(A526&lt;&gt;"",HLOOKUP(VALUE(TEXT(G526,"h:mm:ss")),IF($C$6="Laboral",$FZ$4:$GX$227,IF($C$6="Sábado",$FZ$231:$GX$452,$FZ$456:$GX$656)),VLOOKUP($C$4,$HF$2:$HH$99,3,0)+IF(C$5="Ida",0,1),1),"")</f>
        <v/>
      </c>
      <c r="K526" s="89">
        <f>IF(A527&lt;&gt;A526,AVERAGEIF(A$9:A526,A526,J$9:J526),"")</f>
        <v/>
      </c>
      <c r="L526" s="89">
        <f>IFERROR(IF(A527&lt;&gt;A526,AVERAGEIF(A$9:A526,A526,S$9:S526),""),"")</f>
        <v/>
      </c>
      <c r="M526" s="89">
        <f>IFERROR(IF(A527&lt;&gt;A526,AVERAGEIF(A$9:A526,A526,T$9:T526),""),"")</f>
        <v/>
      </c>
      <c r="N526" s="89">
        <f t="array" ref="N526">IFERROR(IF(A527&lt;&gt;A526,_xlfn.STDEV.P(IF(A$9:A526=A526,T$9:T526)),""),"")</f>
        <v/>
      </c>
      <c r="O526" s="89">
        <f t="array" ref="O526">IFERROR(IF(A527&lt;&gt;A526,_xlfn.STDEV.P(IF(A$9:A526=A526,S$9:S526)),""),"")</f>
        <v/>
      </c>
      <c r="P526" s="90">
        <f>IFERROR(IF(A526&lt;&gt;A527,MAX((((M526*24*60)/2)*(1+POWER((((N526*24*60) / (M526*24*60) )),2))) + ((M526*24*60 )*-0.1 + (K526*0.015)) +1,(((M526*24*60)/2)*(1+POWER((((N526*24*60) / (M526*24*60 ))),2)))),""),"")</f>
        <v/>
      </c>
      <c r="Q526" s="90">
        <f>IF(AND(O526&lt;&gt;"",L526&lt;&gt;""),IF(A526&lt;&gt;A527,((L526*24*60) / 2 ) * (1 + POWER(((O526*24*60) / (L526*24*60)),2)),""),"")</f>
        <v/>
      </c>
      <c r="R526" s="90">
        <f>IF(Q526&lt;&gt;"",MAX(P526,Q526),"")</f>
        <v/>
      </c>
      <c r="S526" s="89">
        <f>IF(I526&lt;&gt;"H. Sale Real",IF(AND(I527&lt;&gt;"",LEFT(C527,2)&lt;&gt;"Va"),IF(AND(I526&lt;&gt;"",LEFT(C526,2)&lt;&gt;"Va",I526&lt;&gt;"H. Sale Real"),IF(I527-I526&lt;0.208333333333333,I527-I526,""),IF(AND(I525&lt;&gt;"",LEFT(C525,2)&lt;&gt;"Va",I525&lt;&gt;"H. Sale Real"),IF(I527-I525&lt;0.208333333333333,I527-I525,""),IF(AND(I524&lt;&gt;"",LEFT(C524,2)&lt;&gt;"Va",I524&lt;&gt;"H. Sale Real"),IF(I527-I524&lt;0.208333333333333,I527-I524,""),IF(AND(I523&lt;&gt;"",LEFT(C523,2)&lt;&gt;"Va",I523&lt;&gt;"H. Sale Real"),IF(I527-I523&lt;0.208333333333333,I527-I523,""),IF(AND(I522&lt;&gt;"",LEFT(C522,2)&lt;&gt;"Va",I522&lt;&gt;"H. Sale Real"),IF(I527-I522&lt;0.208333333333333,I527-I522,""),""))))),""),"")</f>
        <v/>
      </c>
      <c r="T526" s="89">
        <f>IF(G526&lt;&gt;"H. Sale Real",IF(AND(G527&lt;&gt;"",LEFT(C527,2)&lt;&gt;"Va"),IF(AND(G526&lt;&gt;"",LEFT(C526,2)&lt;&gt;"Va",G526&lt;&gt;"H. Sale Real"),IF(G527-G526&lt;0.208333333333333,G527-G526,""),IF(AND(G525&lt;&gt;"",LEFT(C525,2)&lt;&gt;"Va",G525&lt;&gt;"H. Sale Real"),IF(G527-G525&lt;0.208333333333333,G527-G525,""),IF(AND(G524&lt;&gt;"",LEFT(C524,2)&lt;&gt;"Va",G524&lt;&gt;"H. Sale Real"),IF(G527-G524&lt;0.208333333333333,G527-G524,""),IF(AND(G523&lt;&gt;"",LEFT(C523,2)&lt;&gt;"Va",G523&lt;&gt;"H. Sale Real"),IF(G527-G523&lt;0.208333333333333,G527-G523,""),IF(AND(G522&lt;&gt;"",LEFT(C522,2)&lt;&gt;"Va",G522&lt;&gt;"H. Sale Real"),IF(G527-G522&lt;0.208333333333333,G527-G522,""),""))))),""),"")</f>
        <v/>
      </c>
      <c r="U526" s="87" t="n"/>
      <c r="V526" s="89" t="n"/>
      <c r="W526" s="87" t="n"/>
      <c r="X526" s="89" t="n"/>
      <c r="Y526" s="91" t="n"/>
      <c r="Z526" s="122">
        <f>IF(G526&lt;&gt;"",IF(AND(Z525&lt;&gt;"IE",P526&lt;&gt;0,R526&lt;&gt;""),IF(IFERROR((P526/R526),0) &lt;=1,IFERROR(P526/R526,""),1),""),"")</f>
        <v/>
      </c>
      <c r="AA526" s="93" t="n"/>
      <c r="AB526" s="2" t="n"/>
      <c r="AE526" s="10">
        <f>HOUR(AK526)+1</f>
        <v/>
      </c>
      <c r="AF526" s="7" t="n"/>
      <c r="AG526" s="7" t="n"/>
      <c r="AH526" s="86" t="n"/>
      <c r="AI526" s="8" t="n"/>
      <c r="AJ526" s="86" t="n"/>
      <c r="AK526" s="87" t="n"/>
      <c r="AL526" s="88">
        <f>IF(AM526="","",IF(AND((AM526-AK526)&gt;=TIME(0,0,0),(AM526-AK526)&lt;TIME(0,3,0)),"OK",IF(AND((AM526-AK526)&gt;=TIME(0,3,0),(AM526-AK526)&lt;TIME(0,5,0)),"RETRASO DE 3-5 MIN",IF(AND((AM526-AK526)&gt;=TIME(0,5,0),(AM526-AK526)&lt;TIME(0,10,0)),"RETRASO DE 5-10 MIN",IF((AM526-AK526)&gt;=TIME(0,10,0),"RETRASO &gt;10 MIN",         IF(AND((AK526-AM526)&gt;=TIME(0,0,0),(AK526-AM526)&lt;TIME(0,3,0)),"OK",IF((AK526-AM526)&gt;=TIME(0,3,0),"ADELANTADO")))))))</f>
        <v/>
      </c>
      <c r="AM526" s="91" t="n"/>
      <c r="AN526" s="89">
        <f>IF(AE526&lt;&gt;"",HLOOKUP(VALUE(TEXT(AK526,"h:mm:ss")),IF($C$6="Laboral",$FZ$4:$GX$227,IF($C$6="Sábado",$FZ$231:$GX$452,$FZ$456:$GX$656)),VLOOKUP($C$4,$HF$2:$HH$99,3,0)+IF(AG$5="Ida",0,1),1),"")</f>
        <v/>
      </c>
      <c r="AO526" s="89">
        <f>IF(AE527&lt;&gt;AE526,AVERAGEIF(AE$9:AE526,AE526,AN$9:AN526),"")</f>
        <v/>
      </c>
      <c r="AP526" s="89">
        <f>IFERROR(IF(AE527&lt;&gt;AE526,AVERAGEIF(AE$9:AE526,AE526,AW$9:AW526),""),"")</f>
        <v/>
      </c>
      <c r="AQ526" s="89">
        <f>IFERROR(IF(AE527&lt;&gt;AE526,AVERAGEIF(AE$9:AE526,AE526,AX$9:AX526),""),"")</f>
        <v/>
      </c>
      <c r="AR526" s="89">
        <f t="array" ref="AR526">IFERROR(IF(AE527&lt;&gt;AE526,_xlfn.STDEV.P(IF(AE$9:AE526=AE526,AX$9:AX526)),""),"")</f>
        <v/>
      </c>
      <c r="AS526" s="89">
        <f t="array" ref="AS526">IFERROR(IF(AE527&lt;&gt;AE526,_xlfn.STDEV.P(IF(AE$9:AE526=AE526,AW$9:AW526)),""),"")</f>
        <v/>
      </c>
      <c r="AT526" s="90">
        <f>IFERROR(IF(AE526&lt;&gt;AE527,MAX((((AQ526*24*60)/2)*(1+POWER((((AR526*24*60) / (AQ526*24*60) )),2))) + ((AQ526*24*60 )*-0.1 + (AO526*0.015)) +1,(((AQ526*24*60)/2)*(1+POWER((((AR526*24*60) / (AQ526*24*60 ))),2)))),""),"")</f>
        <v/>
      </c>
      <c r="AU526" s="90">
        <f>IF(AND(AS526&lt;&gt;"",AP526&lt;&gt;""),IF(AE526&lt;&gt;AE527,((AP526*24*60) / 2 ) * (1 + POWER(((AS526*24*60) / (AP526*24*60)),2)),""),"")</f>
        <v/>
      </c>
      <c r="AV526" s="90">
        <f>IF(AU526&lt;&gt;"",MAX(AT526,AU526),"")</f>
        <v/>
      </c>
      <c r="AW526" s="89">
        <f>IF(AM526&lt;&gt;"H. Sale Real",IF(AND(AM527&lt;&gt;"",LEFT(AG527,2)&lt;&gt;"Va"),IF(AND(AM526&lt;&gt;"",LEFT(AG526,2)&lt;&gt;"Va",AM526&lt;&gt;"H. Sale Real"),IF(AM527-AM526&lt;0.208333333333333,AM527-AM526,""),IF(AND(AM525&lt;&gt;"",LEFT(AG525,2)&lt;&gt;"Va",AM525&lt;&gt;"H. Sale Real"),IF(AM527-AM525&lt;0.208333333333333,AM527-AM525,""),IF(AND(AM524&lt;&gt;"",LEFT(AG524,2)&lt;&gt;"Va",AM524&lt;&gt;"H. Sale Real"),IF(AM527-AM524&lt;0.208333333333333,AM527-AM524,""),IF(AND(AM523&lt;&gt;"",LEFT(AG523,2)&lt;&gt;"Va",AM523&lt;&gt;"H. Sale Real"),IF(AM527-AM523&lt;0.208333333333333,AM527-AM523,""),IF(AND(AM522&lt;&gt;"",LEFT(AG522,2)&lt;&gt;"Va",AM522&lt;&gt;"H. Sale Real"),IF(AM527-AM522&lt;0.208333333333333,AM527-AM522,""),""))))),""),"")</f>
        <v/>
      </c>
      <c r="AX526" s="89">
        <f>IF(AK526&lt;&gt;"H. Sale Real",IF(AND(AK527&lt;&gt;"",LEFT(AG527,2)&lt;&gt;"Va"),IF(AND(AK526&lt;&gt;"",LEFT(AG526,2)&lt;&gt;"Va",AK526&lt;&gt;"H. Sale Real"),IF(AK527-AK526&lt;0.208333333333333,AK527-AK526,""),IF(AND(AK525&lt;&gt;"",LEFT(AG525,2)&lt;&gt;"Va",AK525&lt;&gt;"H. Sale Real"),IF(AK527-AK525&lt;0.208333333333333,AK527-AK525,""),IF(AND(AK524&lt;&gt;"",LEFT(AG524,2)&lt;&gt;"NC",AK524&lt;&gt;"H. Sale Real"),IF(AK527-AK524&lt;0.208333333333333,AK527-AK524,""),IF(AND(AK523&lt;&gt;"",LEFT(AG523,2)&lt;&gt;"Va",AK523&lt;&gt;"H. Sale Real"),IF(AK527-AK523&lt;0.208333333333333,AK527-AK523,""),IF(AND(AK522&lt;&gt;"",LEFT(AG522,2)&lt;&gt;"Va",AK522&lt;&gt;"H. Sale Real"),IF(AK527-AK522&lt;0.208333333333333,AK527-AK522,""),""))))),""),"")</f>
        <v/>
      </c>
      <c r="AY526" s="87" t="n"/>
      <c r="AZ526" s="89" t="n"/>
      <c r="BA526" s="87" t="n"/>
      <c r="BB526" s="89" t="n"/>
      <c r="BC526" s="91" t="n"/>
      <c r="BD526" s="122">
        <f>IF(AK526&lt;&gt;"",IF(AND(BD525&lt;&gt;"IE",AT526&lt;&gt;0,AV526&lt;&gt;""),IF(IFERROR((AT526/AV526),0) &lt;=1,IFERROR(AT526/AV526,""),1),""),"")</f>
        <v/>
      </c>
      <c r="BE526" s="93" t="n"/>
      <c r="BF526" s="105" t="n"/>
      <c r="FC526" t="inlineStr">
        <is>
          <t>Diccionario 1</t>
        </is>
      </c>
      <c r="FD526" s="15" t="inlineStr"/>
      <c r="FE526" s="17" t="inlineStr">
        <is>
          <t>LDYECS315S0044291</t>
        </is>
      </c>
      <c r="FF526" s="18" t="inlineStr">
        <is>
          <t>MDN35025010116</t>
        </is>
      </c>
      <c r="FG526" s="18" t="inlineStr">
        <is>
          <t>Zhong Thong</t>
        </is>
      </c>
      <c r="FH526" s="18" t="inlineStr">
        <is>
          <t>Lck6122evg</t>
        </is>
      </c>
      <c r="FI526" s="18" t="inlineStr">
        <is>
          <t>Zhong Thong</t>
        </is>
      </c>
      <c r="FJ526" s="18" t="inlineStr">
        <is>
          <t>Lck6122evg</t>
        </is>
      </c>
      <c r="FK526" s="18" t="n">
        <v>2026</v>
      </c>
      <c r="FL526" s="18" t="inlineStr">
        <is>
          <t>B</t>
        </is>
      </c>
      <c r="FM526" s="18" t="inlineStr">
        <is>
          <t>Ducaud</t>
        </is>
      </c>
      <c r="FP526" t="inlineStr">
        <is>
          <t>B</t>
        </is>
      </c>
      <c r="FS526" s="14" t="inlineStr">
        <is>
          <t>LZPT-42|</t>
        </is>
      </c>
      <c r="FT526" t="inlineStr">
        <is>
          <t>LZPT-42|</t>
        </is>
      </c>
      <c r="FU526" t="inlineStr">
        <is>
          <t>LZPT-42</t>
        </is>
      </c>
      <c r="FV526">
        <f>VLOOKUP(FU526,FD:FL,9,0)</f>
        <v/>
      </c>
      <c r="HA526" s="35" t="n">
        <v>71</v>
      </c>
      <c r="HB526" s="35" t="n">
        <v>520</v>
      </c>
    </row>
    <row r="527" ht="15.5" customHeight="1">
      <c r="A527" s="10">
        <f>HOUR(G527)+1</f>
        <v/>
      </c>
      <c r="B527" s="7" t="n"/>
      <c r="C527" s="7" t="n"/>
      <c r="D527" s="85">
        <f>IFERROR(
IF(AND(OR(Planilla!B527="C",Planilla!B527="c"), VLOOKUP(E527,FD:FP,13,0)="C"), "OK",IF(AND(OR(Planilla!B527="C",Planilla!B527="c"), OR(VLOOKUP(E527,FD:FP,13,0)="B", VLOOKUP(E527,FD:FP,13,0)="A")), "DEFICIT",IF(
AND(OR(Planilla!B527="B", Planilla!B527="BPAL"), VLOOKUP(E527,FD:FP,13,0)="B"), "OK",IF(AND(OR(Planilla!B527="B", Planilla!B527="BPAL"), VLOOKUP(E527,FD:FP,13,0)="A"), "DEFICIT",IF(AND(OR(Planilla!B527="B", Planilla!B527="BPAL"), VLOOKUP(E527,FD:FP,13,0)="C"), "SOBREOFERTA",IF(AND(Planilla!B527="A", VLOOKUP(E527,FD:FP,13,0)="A"), "OK",IF(
AND(Planilla!B527="A", OR(VLOOKUP(E527,FD:FP,13,0)="B", VLOOKUP(E527,FD:FP,13,0)="C")), "SOBREOFERTA",""
))))))),"")</f>
        <v/>
      </c>
      <c r="E527" s="8" t="n"/>
      <c r="F527" s="86" t="n"/>
      <c r="G527" s="87" t="n"/>
      <c r="H527" s="88">
        <f>IF(I527="","",IF(AND((I527-G527)&gt;=TIME(0,0,0),(I527-G527)&lt;TIME(0,3,0)),"OK",IF(AND((I527-G527)&gt;=TIME(0,3,0),(I527-G527)&lt;TIME(0,5,0)),"RETRASO DE 3-5 MIN",IF(AND((I527-G527)&gt;=TIME(0,5,0),(I527-G527)&lt;TIME(0,10,0)),"RETRASO DE 5-10 MIN",IF((I527-G527)&gt;=TIME(0,10,0),"RETRASO &gt;10 MIN", IF(AND((G527-I527)&gt;=TIME(0,0,0),(G527-I527)&lt;TIME(0,3,0)),"OK",IF((G527-I527)&gt;=TIME(0,3,0),"ADELANTADO")))))))</f>
        <v/>
      </c>
      <c r="I527" s="89" t="n"/>
      <c r="J527" s="89">
        <f>IF(A527&lt;&gt;"",HLOOKUP(VALUE(TEXT(G527,"h:mm:ss")),IF($C$6="Laboral",$FZ$4:$GX$227,IF($C$6="Sábado",$FZ$231:$GX$452,$FZ$456:$GX$656)),VLOOKUP($C$4,$HF$2:$HH$99,3,0)+IF(C$5="Ida",0,1),1),"")</f>
        <v/>
      </c>
      <c r="K527" s="89">
        <f>IF(A528&lt;&gt;A527,AVERAGEIF(A$9:A527,A527,J$9:J527),"")</f>
        <v/>
      </c>
      <c r="L527" s="89">
        <f>IFERROR(IF(A528&lt;&gt;A527,AVERAGEIF(A$9:A527,A527,S$9:S527),""),"")</f>
        <v/>
      </c>
      <c r="M527" s="89">
        <f>IFERROR(IF(A528&lt;&gt;A527,AVERAGEIF(A$9:A527,A527,T$9:T527),""),"")</f>
        <v/>
      </c>
      <c r="N527" s="89">
        <f t="array" ref="N527">IFERROR(IF(A528&lt;&gt;A527,_xlfn.STDEV.P(IF(A$9:A527=A527,T$9:T527)),""),"")</f>
        <v/>
      </c>
      <c r="O527" s="89">
        <f t="array" ref="O527">IFERROR(IF(A528&lt;&gt;A527,_xlfn.STDEV.P(IF(A$9:A527=A527,S$9:S527)),""),"")</f>
        <v/>
      </c>
      <c r="P527" s="90">
        <f>IFERROR(IF(A527&lt;&gt;A528,MAX((((M527*24*60)/2)*(1+POWER((((N527*24*60) / (M527*24*60) )),2))) + ((M527*24*60 )*-0.1 + (K527*0.015)) +1,(((M527*24*60)/2)*(1+POWER((((N527*24*60) / (M527*24*60 ))),2)))),""),"")</f>
        <v/>
      </c>
      <c r="Q527" s="90">
        <f>IF(AND(O527&lt;&gt;"",L527&lt;&gt;""),IF(A527&lt;&gt;A528,((L527*24*60) / 2 ) * (1 + POWER(((O527*24*60) / (L527*24*60)),2)),""),"")</f>
        <v/>
      </c>
      <c r="R527" s="90">
        <f>IF(Q527&lt;&gt;"",MAX(P527,Q527),"")</f>
        <v/>
      </c>
      <c r="S527" s="89">
        <f>IF(I527&lt;&gt;"H. Sale Real",IF(AND(I528&lt;&gt;"",LEFT(C528,2)&lt;&gt;"Va"),IF(AND(I527&lt;&gt;"",LEFT(C527,2)&lt;&gt;"Va",I527&lt;&gt;"H. Sale Real"),IF(I528-I527&lt;0.208333333333333,I528-I527,""),IF(AND(I526&lt;&gt;"",LEFT(C526,2)&lt;&gt;"Va",I526&lt;&gt;"H. Sale Real"),IF(I528-I526&lt;0.208333333333333,I528-I526,""),IF(AND(I525&lt;&gt;"",LEFT(C525,2)&lt;&gt;"Va",I525&lt;&gt;"H. Sale Real"),IF(I528-I525&lt;0.208333333333333,I528-I525,""),IF(AND(I524&lt;&gt;"",LEFT(C524,2)&lt;&gt;"Va",I524&lt;&gt;"H. Sale Real"),IF(I528-I524&lt;0.208333333333333,I528-I524,""),IF(AND(I523&lt;&gt;"",LEFT(C523,2)&lt;&gt;"Va",I523&lt;&gt;"H. Sale Real"),IF(I528-I523&lt;0.208333333333333,I528-I523,""),""))))),""),"")</f>
        <v/>
      </c>
      <c r="T527" s="89">
        <f>IF(G527&lt;&gt;"H. Sale Real",IF(AND(G528&lt;&gt;"",LEFT(C528,2)&lt;&gt;"Va"),IF(AND(G527&lt;&gt;"",LEFT(C527,2)&lt;&gt;"Va",G527&lt;&gt;"H. Sale Real"),IF(G528-G527&lt;0.208333333333333,G528-G527,""),IF(AND(G526&lt;&gt;"",LEFT(C526,2)&lt;&gt;"Va",G526&lt;&gt;"H. Sale Real"),IF(G528-G526&lt;0.208333333333333,G528-G526,""),IF(AND(G525&lt;&gt;"",LEFT(C525,2)&lt;&gt;"Va",G525&lt;&gt;"H. Sale Real"),IF(G528-G525&lt;0.208333333333333,G528-G525,""),IF(AND(G524&lt;&gt;"",LEFT(C524,2)&lt;&gt;"Va",G524&lt;&gt;"H. Sale Real"),IF(G528-G524&lt;0.208333333333333,G528-G524,""),IF(AND(G523&lt;&gt;"",LEFT(C523,2)&lt;&gt;"Va",G523&lt;&gt;"H. Sale Real"),IF(G528-G523&lt;0.208333333333333,G528-G523,""),""))))),""),"")</f>
        <v/>
      </c>
      <c r="U527" s="87" t="n"/>
      <c r="V527" s="89" t="n"/>
      <c r="W527" s="87" t="n"/>
      <c r="X527" s="89" t="n"/>
      <c r="Y527" s="91" t="n"/>
      <c r="Z527" s="122">
        <f>IF(G527&lt;&gt;"",IF(AND(Z526&lt;&gt;"IE",P527&lt;&gt;0,R527&lt;&gt;""),IF(IFERROR((P527/R527),0) &lt;=1,IFERROR(P527/R527,""),1),""),"")</f>
        <v/>
      </c>
      <c r="AA527" s="93" t="n"/>
      <c r="AB527" s="2" t="n"/>
      <c r="AE527" s="10">
        <f>HOUR(AK527)+1</f>
        <v/>
      </c>
      <c r="AF527" s="7" t="n"/>
      <c r="AG527" s="7" t="n"/>
      <c r="AH527" s="86" t="n"/>
      <c r="AI527" s="8" t="n"/>
      <c r="AJ527" s="86" t="n"/>
      <c r="AK527" s="87" t="n"/>
      <c r="AL527" s="88">
        <f>IF(AM527="","",IF(AND((AM527-AK527)&gt;=TIME(0,0,0),(AM527-AK527)&lt;TIME(0,3,0)),"OK",IF(AND((AM527-AK527)&gt;=TIME(0,3,0),(AM527-AK527)&lt;TIME(0,5,0)),"RETRASO DE 3-5 MIN",IF(AND((AM527-AK527)&gt;=TIME(0,5,0),(AM527-AK527)&lt;TIME(0,10,0)),"RETRASO DE 5-10 MIN",IF((AM527-AK527)&gt;=TIME(0,10,0),"RETRASO &gt;10 MIN", IF(AND((AK527-AM527)&gt;=TIME(0,0,0),(AK527-AM527)&lt;TIME(0,3,0)),"OK",IF((AK527-AM527)&gt;=TIME(0,3,0),"ADELANTADO")))))))</f>
        <v/>
      </c>
      <c r="AM527" s="91" t="n"/>
      <c r="AN527" s="89">
        <f>IF(AE527&lt;&gt;"",HLOOKUP(VALUE(TEXT(AK527,"h:mm:ss")),IF($C$6="Laboral",$FZ$4:$GX$227,IF($C$6="Sábado",$FZ$231:$GX$452,$FZ$456:$GX$656)),VLOOKUP($C$4,$HF$2:$HH$99,3,0)+IF(AG$5="Ida",0,1),1),"")</f>
        <v/>
      </c>
      <c r="AO527" s="89">
        <f>IF(AE528&lt;&gt;AE527,AVERAGEIF(AE$9:AE527,AE527,AN$9:AN527),"")</f>
        <v/>
      </c>
      <c r="AP527" s="89">
        <f>IFERROR(IF(AE528&lt;&gt;AE527,AVERAGEIF(AE$9:AE527,AE527,AW$9:AW527),""),"")</f>
        <v/>
      </c>
      <c r="AQ527" s="89">
        <f>IFERROR(IF(AE528&lt;&gt;AE527,AVERAGEIF(AE$9:AE527,AE527,AX$9:AX527),""),"")</f>
        <v/>
      </c>
      <c r="AR527" s="89">
        <f t="array" ref="AR527">IFERROR(IF(AE528&lt;&gt;AE527,_xlfn.STDEV.P(IF(AE$9:AE527=AE527,AX$9:AX527)),""),"")</f>
        <v/>
      </c>
      <c r="AS527" s="89">
        <f t="array" ref="AS527">IFERROR(IF(AE528&lt;&gt;AE527,_xlfn.STDEV.P(IF(AE$9:AE527=AE527,AW$9:AW527)),""),"")</f>
        <v/>
      </c>
      <c r="AT527" s="90">
        <f>IFERROR(IF(AE527&lt;&gt;AE528,MAX((((AQ527*24*60)/2)*(1+POWER((((AR527*24*60) / (AQ527*24*60) )),2))) + ((AQ527*24*60 )*-0.1 + (AO527*0.015)) +1,(((AQ527*24*60)/2)*(1+POWER((((AR527*24*60) / (AQ527*24*60 ))),2)))),""),"")</f>
        <v/>
      </c>
      <c r="AU527" s="90">
        <f>IF(AND(AS527&lt;&gt;"",AP527&lt;&gt;""),IF(AE527&lt;&gt;AE528,((AP527*24*60) / 2 ) * (1 + POWER(((AS527*24*60) / (AP527*24*60)),2)),""),"")</f>
        <v/>
      </c>
      <c r="AV527" s="90">
        <f>IF(AU527&lt;&gt;"",MAX(AT527,AU527),"")</f>
        <v/>
      </c>
      <c r="AW527" s="89">
        <f>IF(AM527&lt;&gt;"H. Sale Real",IF(AND(AM528&lt;&gt;"",LEFT(AG528,2)&lt;&gt;"Va"),IF(AND(AM527&lt;&gt;"",LEFT(AG527,2)&lt;&gt;"Va",AM527&lt;&gt;"H. Sale Real"),IF(AM528-AM527&lt;0.208333333333333,AM528-AM527,""),IF(AND(AM526&lt;&gt;"",LEFT(AG526,2)&lt;&gt;"Va",AM526&lt;&gt;"H. Sale Real"),IF(AM528-AM526&lt;0.208333333333333,AM528-AM526,""),IF(AND(AM525&lt;&gt;"",LEFT(AG525,2)&lt;&gt;"Va",AM525&lt;&gt;"H. Sale Real"),IF(AM528-AM525&lt;0.208333333333333,AM528-AM525,""),IF(AND(AM524&lt;&gt;"",LEFT(AG524,2)&lt;&gt;"Va",AM524&lt;&gt;"H. Sale Real"),IF(AM528-AM524&lt;0.208333333333333,AM528-AM524,""),IF(AND(AM523&lt;&gt;"",LEFT(AG523,2)&lt;&gt;"Va",AM523&lt;&gt;"H. Sale Real"),IF(AM528-AM523&lt;0.208333333333333,AM528-AM523,""),""))))),""),"")</f>
        <v/>
      </c>
      <c r="AX527" s="89">
        <f>IF(AK527&lt;&gt;"H. Sale Real",IF(AND(AK528&lt;&gt;"",LEFT(AG528,2)&lt;&gt;"Va"),IF(AND(AK527&lt;&gt;"",LEFT(AG527,2)&lt;&gt;"Va",AK527&lt;&gt;"H. Sale Real"),IF(AK528-AK527&lt;0.208333333333333,AK528-AK527,""),IF(AND(AK526&lt;&gt;"",LEFT(AG526,2)&lt;&gt;"Va",AK526&lt;&gt;"H. Sale Real"),IF(AK528-AK526&lt;0.208333333333333,AK528-AK526,""),IF(AND(AK525&lt;&gt;"",LEFT(AG525,2)&lt;&gt;"NC",AK525&lt;&gt;"H. Sale Real"),IF(AK528-AK525&lt;0.208333333333333,AK528-AK525,""),IF(AND(AK524&lt;&gt;"",LEFT(AG524,2)&lt;&gt;"Va",AK524&lt;&gt;"H. Sale Real"),IF(AK528-AK524&lt;0.208333333333333,AK528-AK524,""),IF(AND(AK523&lt;&gt;"",LEFT(AG523,2)&lt;&gt;"Va",AK523&lt;&gt;"H. Sale Real"),IF(AK528-AK523&lt;0.208333333333333,AK528-AK523,""),""))))),""),"")</f>
        <v/>
      </c>
      <c r="AY527" s="87" t="n"/>
      <c r="AZ527" s="89" t="n"/>
      <c r="BA527" s="87" t="n"/>
      <c r="BB527" s="89" t="n"/>
      <c r="BC527" s="91" t="n"/>
      <c r="BD527" s="122">
        <f>IF(AK527&lt;&gt;"",IF(AND(BD526&lt;&gt;"IE",AT527&lt;&gt;0,AV527&lt;&gt;""),IF(IFERROR((AT527/AV527),0) &lt;=1,IFERROR(AT527/AV527,""),1),""),"")</f>
        <v/>
      </c>
      <c r="BE527" s="93" t="n"/>
      <c r="BF527" s="105" t="n"/>
      <c r="FC527" t="inlineStr">
        <is>
          <t>Diccionario 1</t>
        </is>
      </c>
      <c r="FD527" s="15" t="inlineStr"/>
      <c r="FE527" s="17" t="inlineStr">
        <is>
          <t>LDYECS31XS0044335</t>
        </is>
      </c>
      <c r="FF527" s="18" t="inlineStr">
        <is>
          <t>MDN35025030151</t>
        </is>
      </c>
      <c r="FG527" s="18" t="inlineStr">
        <is>
          <t>Zhong Thong</t>
        </is>
      </c>
      <c r="FH527" s="18" t="inlineStr">
        <is>
          <t>Lck6122evg</t>
        </is>
      </c>
      <c r="FI527" s="18" t="inlineStr">
        <is>
          <t>Zhong Thong</t>
        </is>
      </c>
      <c r="FJ527" s="18" t="inlineStr">
        <is>
          <t>Lck6122evg</t>
        </is>
      </c>
      <c r="FK527" s="18" t="n">
        <v>2026</v>
      </c>
      <c r="FL527" s="18" t="inlineStr">
        <is>
          <t>B</t>
        </is>
      </c>
      <c r="FM527" s="18" t="inlineStr">
        <is>
          <t>Ducaud</t>
        </is>
      </c>
      <c r="FP527" t="inlineStr">
        <is>
          <t>B</t>
        </is>
      </c>
      <c r="FS527" s="14" t="inlineStr">
        <is>
          <t>LZPT-75|</t>
        </is>
      </c>
      <c r="FT527" t="inlineStr">
        <is>
          <t>LZPT-75|</t>
        </is>
      </c>
      <c r="FU527" t="inlineStr">
        <is>
          <t>LZPT-75</t>
        </is>
      </c>
      <c r="FV527">
        <f>VLOOKUP(FU527,FD:FL,9,0)</f>
        <v/>
      </c>
      <c r="HA527" s="35" t="n">
        <v>72</v>
      </c>
      <c r="HB527" s="35" t="n">
        <v>521</v>
      </c>
    </row>
    <row r="528" ht="15.5" customHeight="1">
      <c r="A528" s="10">
        <f>HOUR(G528)+1</f>
        <v/>
      </c>
      <c r="B528" s="7" t="n"/>
      <c r="C528" s="7" t="n"/>
      <c r="D528" s="85">
        <f>IFERROR(
IF(AND(OR(Planilla!B528="C",Planilla!B528="c"), VLOOKUP(E528,FD:FP,13,0)="C"), "OK",IF(AND(OR(Planilla!B528="C",Planilla!B528="c"), OR(VLOOKUP(E528,FD:FP,13,0)="B", VLOOKUP(E528,FD:FP,13,0)="A")), "DEFICIT",IF(
AND(OR(Planilla!B528="B", Planilla!B528="BPAL"), VLOOKUP(E528,FD:FP,13,0)="B"), "OK",IF(AND(OR(Planilla!B528="B", Planilla!B528="BPAL"), VLOOKUP(E528,FD:FP,13,0)="A"), "DEFICIT",IF(AND(OR(Planilla!B528="B", Planilla!B528="BPAL"), VLOOKUP(E528,FD:FP,13,0)="C"), "SOBREOFERTA",IF(AND(Planilla!B528="A", VLOOKUP(E528,FD:FP,13,0)="A"), "OK",IF(
AND(Planilla!B528="A", OR(VLOOKUP(E528,FD:FP,13,0)="B", VLOOKUP(E528,FD:FP,13,0)="C")), "SOBREOFERTA",""
))))))),"")</f>
        <v/>
      </c>
      <c r="E528" s="8" t="n"/>
      <c r="F528" s="86" t="n"/>
      <c r="G528" s="87" t="n"/>
      <c r="H528" s="88">
        <f>IF(I528="","",IF(AND((I528-G528)&gt;=TIME(0,0,0),(I528-G528)&lt;TIME(0,3,0)),"OK",IF(AND((I528-G528)&gt;=TIME(0,3,0),(I528-G528)&lt;TIME(0,5,0)),"RETRASO DE 3-5 MIN",IF(AND((I528-G528)&gt;=TIME(0,5,0),(I528-G528)&lt;TIME(0,10,0)),"RETRASO DE 5-10 MIN",IF((I528-G528)&gt;=TIME(0,10,0),"RETRASO &gt;10 MIN", IF(AND((G528-I528)&gt;=TIME(0,0,0),(G528-I528)&lt;TIME(0,3,0)),"OK",IF((G528-I528)&gt;=TIME(0,3,0),"ADELANTADO")))))))</f>
        <v/>
      </c>
      <c r="I528" s="89" t="n"/>
      <c r="J528" s="89">
        <f>IF(A528&lt;&gt;"",HLOOKUP(VALUE(TEXT(G528,"h:mm:ss")),IF($C$6="Laboral",$FZ$4:$GX$227,IF($C$6="Sábado",$FZ$231:$GX$452,$FZ$456:$GX$656)),VLOOKUP($C$4,$HF$2:$HH$99,3,0)+IF(C$5="Ida",0,1),1),"")</f>
        <v/>
      </c>
      <c r="K528" s="89">
        <f>IF(A529&lt;&gt;A528,AVERAGEIF(A$9:A528,A528,J$9:J528),"")</f>
        <v/>
      </c>
      <c r="L528" s="89">
        <f>IFERROR(IF(A529&lt;&gt;A528,AVERAGEIF(A$9:A528,A528,S$9:S528),""),"")</f>
        <v/>
      </c>
      <c r="M528" s="89">
        <f>IFERROR(IF(A529&lt;&gt;A528,AVERAGEIF(A$9:A528,A528,T$9:T528),""),"")</f>
        <v/>
      </c>
      <c r="N528" s="89">
        <f t="array" ref="N528">IFERROR(IF(A529&lt;&gt;A528,_xlfn.STDEV.P(IF(A$9:A528=A528,T$9:T528)),""),"")</f>
        <v/>
      </c>
      <c r="O528" s="89">
        <f t="array" ref="O528">IFERROR(IF(A529&lt;&gt;A528,_xlfn.STDEV.P(IF(A$9:A528=A528,S$9:S528)),""),"")</f>
        <v/>
      </c>
      <c r="P528" s="90">
        <f>IFERROR(IF(A528&lt;&gt;A529,MAX((((M528*24*60)/2)*(1+POWER((((N528*24*60) / (M528*24*60) )),2))) + ((M528*24*60 )*-0.1 + (K528*0.015)) +1,(((M528*24*60)/2)*(1+POWER((((N528*24*60) / (M528*24*60 ))),2)))),""),"")</f>
        <v/>
      </c>
      <c r="Q528" s="90">
        <f>IF(AND(O528&lt;&gt;"",L528&lt;&gt;""),IF(A528&lt;&gt;A529,((L528*24*60) / 2 ) * (1 + POWER(((O528*24*60) / (L528*24*60)),2)),""),"")</f>
        <v/>
      </c>
      <c r="R528" s="90">
        <f>IF(Q528&lt;&gt;"",MAX(P528,Q528),"")</f>
        <v/>
      </c>
      <c r="S528" s="89">
        <f>IF(I528&lt;&gt;"H. Sale Real",IF(AND(I529&lt;&gt;"",LEFT(C529,2)&lt;&gt;"Va"),IF(AND(I528&lt;&gt;"",LEFT(C528,2)&lt;&gt;"Va",I528&lt;&gt;"H. Sale Real"),IF(I529-I528&lt;0.208333333333333,I529-I528,""),IF(AND(I527&lt;&gt;"",LEFT(C527,2)&lt;&gt;"Va",I527&lt;&gt;"H. Sale Real"),IF(I529-I527&lt;0.208333333333333,I529-I527,""),IF(AND(I526&lt;&gt;"",LEFT(C526,2)&lt;&gt;"Va",I526&lt;&gt;"H. Sale Real"),IF(I529-I526&lt;0.208333333333333,I529-I526,""),IF(AND(I525&lt;&gt;"",LEFT(C525,2)&lt;&gt;"Va",I525&lt;&gt;"H. Sale Real"),IF(I529-I525&lt;0.208333333333333,I529-I525,""),IF(AND(I524&lt;&gt;"",LEFT(C524,2)&lt;&gt;"Va",I524&lt;&gt;"H. Sale Real"),IF(I529-I524&lt;0.208333333333333,I529-I524,""),""))))),""),"")</f>
        <v/>
      </c>
      <c r="T528" s="89">
        <f>IF(G528&lt;&gt;"H. Sale Real",IF(AND(G529&lt;&gt;"",LEFT(C529,2)&lt;&gt;"Va"),IF(AND(G528&lt;&gt;"",LEFT(C528,2)&lt;&gt;"Va",G528&lt;&gt;"H. Sale Real"),IF(G529-G528&lt;0.208333333333333,G529-G528,""),IF(AND(G527&lt;&gt;"",LEFT(C527,2)&lt;&gt;"Va",G527&lt;&gt;"H. Sale Real"),IF(G529-G527&lt;0.208333333333333,G529-G527,""),IF(AND(G526&lt;&gt;"",LEFT(C526,2)&lt;&gt;"Va",G526&lt;&gt;"H. Sale Real"),IF(G529-G526&lt;0.208333333333333,G529-G526,""),IF(AND(G525&lt;&gt;"",LEFT(C525,2)&lt;&gt;"Va",G525&lt;&gt;"H. Sale Real"),IF(G529-G525&lt;0.208333333333333,G529-G525,""),IF(AND(G524&lt;&gt;"",LEFT(C524,2)&lt;&gt;"Va",G524&lt;&gt;"H. Sale Real"),IF(G529-G524&lt;0.208333333333333,G529-G524,""),""))))),""),"")</f>
        <v/>
      </c>
      <c r="U528" s="87" t="n"/>
      <c r="V528" s="89" t="n"/>
      <c r="W528" s="87" t="n"/>
      <c r="X528" s="89" t="n"/>
      <c r="Y528" s="91" t="n"/>
      <c r="Z528" s="122">
        <f>IF(G528&lt;&gt;"",IF(AND(Z527&lt;&gt;"IE",P528&lt;&gt;0,R528&lt;&gt;""),IF(IFERROR((P528/R528),0) &lt;=1,IFERROR(P528/R528,""),1),""),"")</f>
        <v/>
      </c>
      <c r="AA528" s="93" t="n"/>
      <c r="AB528" s="2" t="n"/>
      <c r="AE528" s="10">
        <f>HOUR(AK528)+1</f>
        <v/>
      </c>
      <c r="AF528" s="7" t="n"/>
      <c r="AG528" s="7" t="n"/>
      <c r="AH528" s="86" t="n"/>
      <c r="AI528" s="8" t="n"/>
      <c r="AJ528" s="86" t="n"/>
      <c r="AK528" s="87" t="n"/>
      <c r="AL528" s="88">
        <f>IF(AM528="","",IF(AND((AM528-AK528)&gt;=TIME(0,0,0),(AM528-AK528)&lt;TIME(0,3,0)),"OK",IF(AND((AM528-AK528)&gt;=TIME(0,3,0),(AM528-AK528)&lt;TIME(0,5,0)),"RETRASO DE 3-5 MIN",IF(AND((AM528-AK528)&gt;=TIME(0,5,0),(AM528-AK528)&lt;TIME(0,10,0)),"RETRASO DE 5-10 MIN",IF((AM528-AK528)&gt;=TIME(0,10,0),"RETRASO &gt;10 MIN", IF(AND((AK528-AM528)&gt;=TIME(0,0,0),(AK528-AM528)&lt;TIME(0,3,0)),"OK",IF((AK528-AM528)&gt;=TIME(0,3,0),"ADELANTADO")))))))</f>
        <v/>
      </c>
      <c r="AM528" s="91" t="n"/>
      <c r="AN528" s="89">
        <f>IF(AE528&lt;&gt;"",HLOOKUP(VALUE(TEXT(AK528,"h:mm:ss")),IF($C$6="Laboral",$FZ$4:$GX$227,IF($C$6="Sábado",$FZ$231:$GX$452,$FZ$456:$GX$656)),VLOOKUP($C$4,$HF$2:$HH$99,3,0)+IF(AG$5="Ida",0,1),1),"")</f>
        <v/>
      </c>
      <c r="AO528" s="89">
        <f>IF(AE529&lt;&gt;AE528,AVERAGEIF(AE$9:AE528,AE528,AN$9:AN528),"")</f>
        <v/>
      </c>
      <c r="AP528" s="89">
        <f>IFERROR(IF(AE529&lt;&gt;AE528,AVERAGEIF(AE$9:AE528,AE528,AW$9:AW528),""),"")</f>
        <v/>
      </c>
      <c r="AQ528" s="89">
        <f>IFERROR(IF(AE529&lt;&gt;AE528,AVERAGEIF(AE$9:AE528,AE528,AX$9:AX528),""),"")</f>
        <v/>
      </c>
      <c r="AR528" s="89">
        <f t="array" ref="AR528">IFERROR(IF(AE529&lt;&gt;AE528,_xlfn.STDEV.P(IF(AE$9:AE528=AE528,AX$9:AX528)),""),"")</f>
        <v/>
      </c>
      <c r="AS528" s="89">
        <f t="array" ref="AS528">IFERROR(IF(AE529&lt;&gt;AE528,_xlfn.STDEV.P(IF(AE$9:AE528=AE528,AW$9:AW528)),""),"")</f>
        <v/>
      </c>
      <c r="AT528" s="90">
        <f>IFERROR(IF(AE528&lt;&gt;AE529,MAX((((AQ528*24*60)/2)*(1+POWER((((AR528*24*60) / (AQ528*24*60) )),2))) + ((AQ528*24*60 )*-0.1 + (AO528*0.015)) +1,(((AQ528*24*60)/2)*(1+POWER((((AR528*24*60) / (AQ528*24*60 ))),2)))),""),"")</f>
        <v/>
      </c>
      <c r="AU528" s="90">
        <f>IF(AND(AS528&lt;&gt;"",AP528&lt;&gt;""),IF(AE528&lt;&gt;AE529,((AP528*24*60) / 2 ) * (1 + POWER(((AS528*24*60) / (AP528*24*60)),2)),""),"")</f>
        <v/>
      </c>
      <c r="AV528" s="90">
        <f>IF(AU528&lt;&gt;"",MAX(AT528,AU528),"")</f>
        <v/>
      </c>
      <c r="AW528" s="89">
        <f>IF(AM528&lt;&gt;"H. Sale Real",IF(AND(AM529&lt;&gt;"",LEFT(AG529,2)&lt;&gt;"Va"),IF(AND(AM528&lt;&gt;"",LEFT(AG528,2)&lt;&gt;"Va",AM528&lt;&gt;"H. Sale Real"),IF(AM529-AM528&lt;0.208333333333333,AM529-AM528,""),IF(AND(AM527&lt;&gt;"",LEFT(AG527,2)&lt;&gt;"Va",AM527&lt;&gt;"H. Sale Real"),IF(AM529-AM527&lt;0.208333333333333,AM529-AM527,""),IF(AND(AM526&lt;&gt;"",LEFT(AG526,2)&lt;&gt;"Va",AM526&lt;&gt;"H. Sale Real"),IF(AM529-AM526&lt;0.208333333333333,AM529-AM526,""),IF(AND(AM525&lt;&gt;"",LEFT(AG525,2)&lt;&gt;"Va",AM525&lt;&gt;"H. Sale Real"),IF(AM529-AM525&lt;0.208333333333333,AM529-AM525,""),IF(AND(AM524&lt;&gt;"",LEFT(AG524,2)&lt;&gt;"Va",AM524&lt;&gt;"H. Sale Real"),IF(AM529-AM524&lt;0.208333333333333,AM529-AM524,""),""))))),""),"")</f>
        <v/>
      </c>
      <c r="AX528" s="89">
        <f>IF(AK528&lt;&gt;"H. Sale Real",IF(AND(AK529&lt;&gt;"",LEFT(AG529,2)&lt;&gt;"Va"),IF(AND(AK528&lt;&gt;"",LEFT(AG528,2)&lt;&gt;"Va",AK528&lt;&gt;"H. Sale Real"),IF(AK529-AK528&lt;0.208333333333333,AK529-AK528,""),IF(AND(AK527&lt;&gt;"",LEFT(AG527,2)&lt;&gt;"Va",AK527&lt;&gt;"H. Sale Real"),IF(AK529-AK527&lt;0.208333333333333,AK529-AK527,""),IF(AND(AK526&lt;&gt;"",LEFT(AG526,2)&lt;&gt;"NC",AK526&lt;&gt;"H. Sale Real"),IF(AK529-AK526&lt;0.208333333333333,AK529-AK526,""),IF(AND(AK525&lt;&gt;"",LEFT(AG525,2)&lt;&gt;"Va",AK525&lt;&gt;"H. Sale Real"),IF(AK529-AK525&lt;0.208333333333333,AK529-AK525,""),IF(AND(AK524&lt;&gt;"",LEFT(AG524,2)&lt;&gt;"Va",AK524&lt;&gt;"H. Sale Real"),IF(AK529-AK524&lt;0.208333333333333,AK529-AK524,""),""))))),""),"")</f>
        <v/>
      </c>
      <c r="AY528" s="87" t="n"/>
      <c r="AZ528" s="89" t="n"/>
      <c r="BA528" s="87" t="n"/>
      <c r="BB528" s="89" t="n"/>
      <c r="BC528" s="91" t="n"/>
      <c r="BD528" s="122">
        <f>IF(AK528&lt;&gt;"",IF(AND(BD527&lt;&gt;"IE",AT528&lt;&gt;0,AV528&lt;&gt;""),IF(IFERROR((AT528/AV528),0) &lt;=1,IFERROR(AT528/AV528,""),1),""),"")</f>
        <v/>
      </c>
      <c r="BE528" s="93" t="n"/>
      <c r="BF528" s="105" t="n"/>
      <c r="FC528" t="inlineStr">
        <is>
          <t>Diccionario 1</t>
        </is>
      </c>
      <c r="FD528" s="15" t="inlineStr"/>
      <c r="FE528" s="17" t="inlineStr">
        <is>
          <t>LDYECS317S0044342</t>
        </is>
      </c>
      <c r="FF528" s="18" t="inlineStr">
        <is>
          <t>MDN35025010144</t>
        </is>
      </c>
      <c r="FG528" s="18" t="inlineStr">
        <is>
          <t>Zhong Thong</t>
        </is>
      </c>
      <c r="FH528" s="18" t="inlineStr">
        <is>
          <t>Lck6122evg</t>
        </is>
      </c>
      <c r="FI528" s="18" t="inlineStr">
        <is>
          <t>Zhong Thong</t>
        </is>
      </c>
      <c r="FJ528" s="18" t="inlineStr">
        <is>
          <t>Lck6122evg</t>
        </is>
      </c>
      <c r="FK528" s="18" t="n">
        <v>2026</v>
      </c>
      <c r="FL528" s="18" t="inlineStr">
        <is>
          <t>B</t>
        </is>
      </c>
      <c r="FM528" s="18" t="inlineStr">
        <is>
          <t>Ducaud</t>
        </is>
      </c>
      <c r="FP528" t="inlineStr">
        <is>
          <t>B</t>
        </is>
      </c>
      <c r="FS528" s="14" t="inlineStr">
        <is>
          <t>GCBF-52|</t>
        </is>
      </c>
      <c r="FT528" t="inlineStr">
        <is>
          <t>GCBF-52|</t>
        </is>
      </c>
      <c r="FU528" t="inlineStr">
        <is>
          <t>GCBF-52</t>
        </is>
      </c>
      <c r="FV528">
        <f>VLOOKUP(FU528,FD:FL,9,0)</f>
        <v/>
      </c>
      <c r="HA528" s="35" t="n">
        <v>73</v>
      </c>
      <c r="HB528" s="35" t="n">
        <v>522</v>
      </c>
    </row>
    <row r="529" ht="15.5" customHeight="1">
      <c r="A529" s="10">
        <f>HOUR(G529)+1</f>
        <v/>
      </c>
      <c r="B529" s="7" t="n"/>
      <c r="C529" s="7" t="n"/>
      <c r="D529" s="85">
        <f>IFERROR(
IF(AND(OR(Planilla!B529="C",Planilla!B529="c"), VLOOKUP(E529,FD:FP,13,0)="C"), "OK",IF(AND(OR(Planilla!B529="C",Planilla!B529="c"), OR(VLOOKUP(E529,FD:FP,13,0)="B", VLOOKUP(E529,FD:FP,13,0)="A")), "DEFICIT",IF(
AND(OR(Planilla!B529="B", Planilla!B529="BPAL"), VLOOKUP(E529,FD:FP,13,0)="B"), "OK",IF(AND(OR(Planilla!B529="B", Planilla!B529="BPAL"), VLOOKUP(E529,FD:FP,13,0)="A"), "DEFICIT",IF(AND(OR(Planilla!B529="B", Planilla!B529="BPAL"), VLOOKUP(E529,FD:FP,13,0)="C"), "SOBREOFERTA",IF(AND(Planilla!B529="A", VLOOKUP(E529,FD:FP,13,0)="A"), "OK",IF(
AND(Planilla!B529="A", OR(VLOOKUP(E529,FD:FP,13,0)="B", VLOOKUP(E529,FD:FP,13,0)="C")), "SOBREOFERTA",""
))))))),"")</f>
        <v/>
      </c>
      <c r="E529" s="8" t="n"/>
      <c r="F529" s="86" t="n"/>
      <c r="G529" s="87" t="n"/>
      <c r="H529" s="88">
        <f>IF(I529="","",IF(AND((I529-G529)&gt;=TIME(0,0,0),(I529-G529)&lt;TIME(0,3,0)),"OK",IF(AND((I529-G529)&gt;=TIME(0,3,0),(I529-G529)&lt;TIME(0,5,0)),"RETRASO DE 3-5 MIN",IF(AND((I529-G529)&gt;=TIME(0,5,0),(I529-G529)&lt;TIME(0,10,0)),"RETRASO DE 5-10 MIN",IF((I529-G529)&gt;=TIME(0,10,0),"RETRASO &gt;10 MIN", IF(AND((G529-I529)&gt;=TIME(0,0,0),(G529-I529)&lt;TIME(0,3,0)),"OK",IF((G529-I529)&gt;=TIME(0,3,0),"ADELANTADO")))))))</f>
        <v/>
      </c>
      <c r="I529" s="89" t="n"/>
      <c r="J529" s="89">
        <f>IF(A529&lt;&gt;"",HLOOKUP(VALUE(TEXT(G529,"h:mm:ss")),IF($C$6="Laboral",$FZ$4:$GX$227,IF($C$6="Sábado",$FZ$231:$GX$452,$FZ$456:$GX$656)),VLOOKUP($C$4,$HF$2:$HH$99,3,0)+IF(C$5="Ida",0,1),1),"")</f>
        <v/>
      </c>
      <c r="K529" s="89">
        <f>IF(A530&lt;&gt;A529,AVERAGEIF(A$9:A529,A529,J$9:J529),"")</f>
        <v/>
      </c>
      <c r="L529" s="89">
        <f>IFERROR(IF(A530&lt;&gt;A529,AVERAGEIF(A$9:A529,A529,S$9:S529),""),"")</f>
        <v/>
      </c>
      <c r="M529" s="89">
        <f>IFERROR(IF(A530&lt;&gt;A529,AVERAGEIF(A$9:A529,A529,T$9:T529),""),"")</f>
        <v/>
      </c>
      <c r="N529" s="89">
        <f t="array" ref="N529">IFERROR(IF(A530&lt;&gt;A529,_xlfn.STDEV.P(IF(A$9:A529=A529,T$9:T529)),""),"")</f>
        <v/>
      </c>
      <c r="O529" s="89">
        <f t="array" ref="O529">IFERROR(IF(A530&lt;&gt;A529,_xlfn.STDEV.P(IF(A$9:A529=A529,S$9:S529)),""),"")</f>
        <v/>
      </c>
      <c r="P529" s="90">
        <f>IFERROR(IF(A529&lt;&gt;A530,MAX((((M529*24*60)/2)*(1+POWER((((N529*24*60) / (M529*24*60) )),2))) + ((M529*24*60 )*-0.1 + (K529*0.015)) +1,(((M529*24*60)/2)*(1+POWER((((N529*24*60) / (M529*24*60 ))),2)))),""),"")</f>
        <v/>
      </c>
      <c r="Q529" s="90">
        <f>IF(AND(O529&lt;&gt;"",L529&lt;&gt;""),IF(A529&lt;&gt;A530,((L529*24*60) / 2 ) * (1 + POWER(((O529*24*60) / (L529*24*60)),2)),""),"")</f>
        <v/>
      </c>
      <c r="R529" s="90">
        <f>IF(Q529&lt;&gt;"",MAX(P529,Q529),"")</f>
        <v/>
      </c>
      <c r="S529" s="89">
        <f>IF(I529&lt;&gt;"H. Sale Real",IF(AND(I530&lt;&gt;"",LEFT(C530,2)&lt;&gt;"Va"),IF(AND(I529&lt;&gt;"",LEFT(C529,2)&lt;&gt;"Va",I529&lt;&gt;"H. Sale Real"),IF(I530-I529&lt;0.208333333333333,I530-I529,""),IF(AND(I528&lt;&gt;"",LEFT(C528,2)&lt;&gt;"Va",I528&lt;&gt;"H. Sale Real"),IF(I530-I528&lt;0.208333333333333,I530-I528,""),IF(AND(I527&lt;&gt;"",LEFT(C527,2)&lt;&gt;"Va",I527&lt;&gt;"H. Sale Real"),IF(I530-I527&lt;0.208333333333333,I530-I527,""),IF(AND(I526&lt;&gt;"",LEFT(C526,2)&lt;&gt;"Va",I526&lt;&gt;"H. Sale Real"),IF(I530-I526&lt;0.208333333333333,I530-I526,""),IF(AND(I525&lt;&gt;"",LEFT(C525,2)&lt;&gt;"Va",I525&lt;&gt;"H. Sale Real"),IF(I530-I525&lt;0.208333333333333,I530-I525,""),""))))),""),"")</f>
        <v/>
      </c>
      <c r="T529" s="89">
        <f>IF(G529&lt;&gt;"H. Sale Real",IF(AND(G530&lt;&gt;"",LEFT(C530,2)&lt;&gt;"Va"),IF(AND(G529&lt;&gt;"",LEFT(C529,2)&lt;&gt;"Va",G529&lt;&gt;"H. Sale Real"),IF(G530-G529&lt;0.208333333333333,G530-G529,""),IF(AND(G528&lt;&gt;"",LEFT(C528,2)&lt;&gt;"Va",G528&lt;&gt;"H. Sale Real"),IF(G530-G528&lt;0.208333333333333,G530-G528,""),IF(AND(G527&lt;&gt;"",LEFT(C527,2)&lt;&gt;"Va",G527&lt;&gt;"H. Sale Real"),IF(G530-G527&lt;0.208333333333333,G530-G527,""),IF(AND(G526&lt;&gt;"",LEFT(C526,2)&lt;&gt;"Va",G526&lt;&gt;"H. Sale Real"),IF(G530-G526&lt;0.208333333333333,G530-G526,""),IF(AND(G525&lt;&gt;"",LEFT(C525,2)&lt;&gt;"Va",G525&lt;&gt;"H. Sale Real"),IF(G530-G525&lt;0.208333333333333,G530-G525,""),""))))),""),"")</f>
        <v/>
      </c>
      <c r="U529" s="87" t="n"/>
      <c r="V529" s="89" t="n"/>
      <c r="W529" s="87" t="n"/>
      <c r="X529" s="89" t="n"/>
      <c r="Y529" s="91" t="n"/>
      <c r="Z529" s="122">
        <f>IF(G529&lt;&gt;"",IF(AND(Z528&lt;&gt;"IE",P529&lt;&gt;0,R529&lt;&gt;""),IF(IFERROR((P529/R529),0) &lt;=1,IFERROR(P529/R529,""),1),""),"")</f>
        <v/>
      </c>
      <c r="AA529" s="93" t="n"/>
      <c r="AB529" s="2" t="n"/>
      <c r="AE529" s="10">
        <f>HOUR(AK529)+1</f>
        <v/>
      </c>
      <c r="AF529" s="7" t="n"/>
      <c r="AG529" s="7" t="n"/>
      <c r="AH529" s="86" t="n"/>
      <c r="AI529" s="8" t="n"/>
      <c r="AJ529" s="86" t="n"/>
      <c r="AK529" s="87" t="n"/>
      <c r="AL529" s="88">
        <f>IF(AM529="","",IF(AND((AM529-AK529)&gt;=TIME(0,0,0),(AM529-AK529)&lt;TIME(0,3,0)),"OK",IF(AND((AM529-AK529)&gt;=TIME(0,3,0),(AM529-AK529)&lt;TIME(0,5,0)),"RETRASO DE 3-5 MIN",IF(AND((AM529-AK529)&gt;=TIME(0,5,0),(AM529-AK529)&lt;TIME(0,10,0)),"RETRASO DE 5-10 MIN",IF((AM529-AK529)&gt;=TIME(0,10,0),"RETRASO &gt;10 MIN", IF(AND((AK529-AM529)&gt;=TIME(0,0,0),(AK529-AM529)&lt;TIME(0,3,0)),"OK",IF((AK529-AM529)&gt;=TIME(0,3,0),"ADELANTADO")))))))</f>
        <v/>
      </c>
      <c r="AM529" s="91" t="n"/>
      <c r="AN529" s="89">
        <f>IF(AE529&lt;&gt;"",HLOOKUP(VALUE(TEXT(AK529,"h:mm:ss")),IF($C$6="Laboral",$FZ$4:$GX$227,IF($C$6="Sábado",$FZ$231:$GX$452,$FZ$456:$GX$656)),VLOOKUP($C$4,$HF$2:$HH$99,3,0)+IF(AG$5="Ida",0,1),1),"")</f>
        <v/>
      </c>
      <c r="AO529" s="89">
        <f>IF(AE530&lt;&gt;AE529,AVERAGEIF(AE$9:AE529,AE529,AN$9:AN529),"")</f>
        <v/>
      </c>
      <c r="AP529" s="89">
        <f>IFERROR(IF(AE530&lt;&gt;AE529,AVERAGEIF(AE$9:AE529,AE529,AW$9:AW529),""),"")</f>
        <v/>
      </c>
      <c r="AQ529" s="89">
        <f>IFERROR(IF(AE530&lt;&gt;AE529,AVERAGEIF(AE$9:AE529,AE529,AX$9:AX529),""),"")</f>
        <v/>
      </c>
      <c r="AR529" s="89">
        <f t="array" ref="AR529">IFERROR(IF(AE530&lt;&gt;AE529,_xlfn.STDEV.P(IF(AE$9:AE529=AE529,AX$9:AX529)),""),"")</f>
        <v/>
      </c>
      <c r="AS529" s="89">
        <f t="array" ref="AS529">IFERROR(IF(AE530&lt;&gt;AE529,_xlfn.STDEV.P(IF(AE$9:AE529=AE529,AW$9:AW529)),""),"")</f>
        <v/>
      </c>
      <c r="AT529" s="90">
        <f>IFERROR(IF(AE529&lt;&gt;AE530,MAX((((AQ529*24*60)/2)*(1+POWER((((AR529*24*60) / (AQ529*24*60) )),2))) + ((AQ529*24*60 )*-0.1 + (AO529*0.015)) +1,(((AQ529*24*60)/2)*(1+POWER((((AR529*24*60) / (AQ529*24*60 ))),2)))),""),"")</f>
        <v/>
      </c>
      <c r="AU529" s="90">
        <f>IF(AND(AS529&lt;&gt;"",AP529&lt;&gt;""),IF(AE529&lt;&gt;AE530,((AP529*24*60) / 2 ) * (1 + POWER(((AS529*24*60) / (AP529*24*60)),2)),""),"")</f>
        <v/>
      </c>
      <c r="AV529" s="90">
        <f>IF(AU529&lt;&gt;"",MAX(AT529,AU529),"")</f>
        <v/>
      </c>
      <c r="AW529" s="89">
        <f>IF(AM529&lt;&gt;"H. Sale Real",IF(AND(AM530&lt;&gt;"",LEFT(AG530,2)&lt;&gt;"Va"),IF(AND(AM529&lt;&gt;"",LEFT(AG529,2)&lt;&gt;"Va",AM529&lt;&gt;"H. Sale Real"),IF(AM530-AM529&lt;0.208333333333333,AM530-AM529,""),IF(AND(AM528&lt;&gt;"",LEFT(AG528,2)&lt;&gt;"Va",AM528&lt;&gt;"H. Sale Real"),IF(AM530-AM528&lt;0.208333333333333,AM530-AM528,""),IF(AND(AM527&lt;&gt;"",LEFT(AG527,2)&lt;&gt;"Va",AM527&lt;&gt;"H. Sale Real"),IF(AM530-AM527&lt;0.208333333333333,AM530-AM527,""),IF(AND(AM526&lt;&gt;"",LEFT(AG526,2)&lt;&gt;"Va",AM526&lt;&gt;"H. Sale Real"),IF(AM530-AM526&lt;0.208333333333333,AM530-AM526,""),IF(AND(AM525&lt;&gt;"",LEFT(AG525,2)&lt;&gt;"Va",AM525&lt;&gt;"H. Sale Real"),IF(AM530-AM525&lt;0.208333333333333,AM530-AM525,""),""))))),""),"")</f>
        <v/>
      </c>
      <c r="AX529" s="89">
        <f>IF(AK529&lt;&gt;"H. Sale Real",IF(AND(AK530&lt;&gt;"",LEFT(AG530,2)&lt;&gt;"Va"),IF(AND(AK529&lt;&gt;"",LEFT(AG529,2)&lt;&gt;"Va",AK529&lt;&gt;"H. Sale Real"),IF(AK530-AK529&lt;0.208333333333333,AK530-AK529,""),IF(AND(AK528&lt;&gt;"",LEFT(AG528,2)&lt;&gt;"Va",AK528&lt;&gt;"H. Sale Real"),IF(AK530-AK528&lt;0.208333333333333,AK530-AK528,""),IF(AND(AK527&lt;&gt;"",LEFT(AG527,2)&lt;&gt;"NC",AK527&lt;&gt;"H. Sale Real"),IF(AK530-AK527&lt;0.208333333333333,AK530-AK527,""),IF(AND(AK526&lt;&gt;"",LEFT(AG526,2)&lt;&gt;"Va",AK526&lt;&gt;"H. Sale Real"),IF(AK530-AK526&lt;0.208333333333333,AK530-AK526,""),IF(AND(AK525&lt;&gt;"",LEFT(AG525,2)&lt;&gt;"Va",AK525&lt;&gt;"H. Sale Real"),IF(AK530-AK525&lt;0.208333333333333,AK530-AK525,""),""))))),""),"")</f>
        <v/>
      </c>
      <c r="AY529" s="87" t="n"/>
      <c r="AZ529" s="89" t="n"/>
      <c r="BA529" s="87" t="n"/>
      <c r="BB529" s="89" t="n"/>
      <c r="BC529" s="91" t="n"/>
      <c r="BD529" s="122">
        <f>IF(AK529&lt;&gt;"",IF(AND(BD528&lt;&gt;"IE",AT529&lt;&gt;0,AV529&lt;&gt;""),IF(IFERROR((AT529/AV529),0) &lt;=1,IFERROR(AT529/AV529,""),1),""),"")</f>
        <v/>
      </c>
      <c r="BE529" s="93" t="n"/>
      <c r="BF529" s="105" t="n"/>
      <c r="FC529" t="inlineStr">
        <is>
          <t>Diccionario 1</t>
        </is>
      </c>
      <c r="FD529" s="15" t="inlineStr"/>
      <c r="FE529" s="17" t="inlineStr">
        <is>
          <t>LDYECS313S0044368</t>
        </is>
      </c>
      <c r="FF529" s="18" t="inlineStr">
        <is>
          <t>MDN35025010047</t>
        </is>
      </c>
      <c r="FG529" s="18" t="inlineStr">
        <is>
          <t>Zhong Thong</t>
        </is>
      </c>
      <c r="FH529" s="18" t="inlineStr">
        <is>
          <t>Lck6122evg</t>
        </is>
      </c>
      <c r="FI529" s="18" t="inlineStr">
        <is>
          <t>Zhong Thong</t>
        </is>
      </c>
      <c r="FJ529" s="18" t="inlineStr">
        <is>
          <t>Lck6122evg</t>
        </is>
      </c>
      <c r="FK529" s="18" t="n">
        <v>2026</v>
      </c>
      <c r="FL529" s="18" t="inlineStr">
        <is>
          <t>B</t>
        </is>
      </c>
      <c r="FM529" s="18" t="inlineStr">
        <is>
          <t>Ducaud</t>
        </is>
      </c>
      <c r="FP529" t="inlineStr">
        <is>
          <t>B</t>
        </is>
      </c>
      <c r="FS529" s="14" t="inlineStr">
        <is>
          <t>LZPS-19|</t>
        </is>
      </c>
      <c r="FT529" t="inlineStr">
        <is>
          <t>LZPS-19|</t>
        </is>
      </c>
      <c r="FU529" t="inlineStr">
        <is>
          <t>LZPS-19</t>
        </is>
      </c>
      <c r="FV529">
        <f>VLOOKUP(FU529,FD:FL,9,0)</f>
        <v/>
      </c>
      <c r="HA529" s="35" t="n">
        <v>74</v>
      </c>
      <c r="HB529" s="35" t="n">
        <v>523</v>
      </c>
    </row>
    <row r="530" ht="15.5" customHeight="1">
      <c r="A530" s="10">
        <f>HOUR(G530)+1</f>
        <v/>
      </c>
      <c r="B530" s="7" t="n"/>
      <c r="C530" s="7" t="n"/>
      <c r="D530" s="85">
        <f>IFERROR(
IF(AND(OR(Planilla!B530="C",Planilla!B530="c"), VLOOKUP(E530,FD:FP,13,0)="C"), "OK",IF(AND(OR(Planilla!B530="C",Planilla!B530="c"), OR(VLOOKUP(E530,FD:FP,13,0)="B", VLOOKUP(E530,FD:FP,13,0)="A")), "DEFICIT",IF(
AND(OR(Planilla!B530="B", Planilla!B530="BPAL"), VLOOKUP(E530,FD:FP,13,0)="B"), "OK",IF(AND(OR(Planilla!B530="B", Planilla!B530="BPAL"), VLOOKUP(E530,FD:FP,13,0)="A"), "DEFICIT",IF(AND(OR(Planilla!B530="B", Planilla!B530="BPAL"), VLOOKUP(E530,FD:FP,13,0)="C"), "SOBREOFERTA",IF(AND(Planilla!B530="A", VLOOKUP(E530,FD:FP,13,0)="A"), "OK",IF(
AND(Planilla!B530="A", OR(VLOOKUP(E530,FD:FP,13,0)="B", VLOOKUP(E530,FD:FP,13,0)="C")), "SOBREOFERTA",""
))))))),"")</f>
        <v/>
      </c>
      <c r="E530" s="8" t="n"/>
      <c r="F530" s="86" t="n"/>
      <c r="G530" s="87" t="n"/>
      <c r="H530" s="88">
        <f>IF(I530="","",IF(AND((I530-G530)&gt;=TIME(0,0,0),(I530-G530)&lt;TIME(0,3,0)),"OK",IF(AND((I530-G530)&gt;=TIME(0,3,0),(I530-G530)&lt;TIME(0,5,0)),"RETRASO DE 3-5 MIN",IF(AND((I530-G530)&gt;=TIME(0,5,0),(I530-G530)&lt;TIME(0,10,0)),"RETRASO DE 5-10 MIN",IF((I530-G530)&gt;=TIME(0,10,0),"RETRASO &gt;10 MIN", IF(AND((G530-I530)&gt;=TIME(0,0,0),(G530-I530)&lt;TIME(0,3,0)),"OK",IF((G530-I530)&gt;=TIME(0,3,0),"ADELANTADO")))))))</f>
        <v/>
      </c>
      <c r="I530" s="89" t="n"/>
      <c r="J530" s="89">
        <f>IF(A530&lt;&gt;"",HLOOKUP(VALUE(TEXT(G530,"h:mm:ss")),IF($C$6="Laboral",$FZ$4:$GX$227,IF($C$6="Sábado",$FZ$231:$GX$452,$FZ$456:$GX$656)),VLOOKUP($C$4,$HF$2:$HH$99,3,0)+IF(C$5="Ida",0,1),1),"")</f>
        <v/>
      </c>
      <c r="K530" s="89">
        <f>IF(A531&lt;&gt;A530,AVERAGEIF(A$9:A530,A530,J$9:J530),"")</f>
        <v/>
      </c>
      <c r="L530" s="89">
        <f>IFERROR(IF(A531&lt;&gt;A530,AVERAGEIF(A$9:A530,A530,S$9:S530),""),"")</f>
        <v/>
      </c>
      <c r="M530" s="89">
        <f>IFERROR(IF(A531&lt;&gt;A530,AVERAGEIF(A$9:A530,A530,T$9:T530),""),"")</f>
        <v/>
      </c>
      <c r="N530" s="89">
        <f t="array" ref="N530">IFERROR(IF(A531&lt;&gt;A530,_xlfn.STDEV.P(IF(A$9:A530=A530,T$9:T530)),""),"")</f>
        <v/>
      </c>
      <c r="O530" s="89">
        <f t="array" ref="O530">IFERROR(IF(A531&lt;&gt;A530,_xlfn.STDEV.P(IF(A$9:A530=A530,S$9:S530)),""),"")</f>
        <v/>
      </c>
      <c r="P530" s="90">
        <f>IFERROR(IF(A530&lt;&gt;A531,MAX((((M530*24*60)/2)*(1+POWER((((N530*24*60) / (M530*24*60) )),2))) + ((M530*24*60 )*-0.1 + (K530*0.015)) +1,(((M530*24*60)/2)*(1+POWER((((N530*24*60) / (M530*24*60 ))),2)))),""),"")</f>
        <v/>
      </c>
      <c r="Q530" s="90">
        <f>IF(AND(O530&lt;&gt;"",L530&lt;&gt;""),IF(A530&lt;&gt;A531,((L530*24*60) / 2 ) * (1 + POWER(((O530*24*60) / (L530*24*60)),2)),""),"")</f>
        <v/>
      </c>
      <c r="R530" s="90">
        <f>IF(Q530&lt;&gt;"",MAX(P530,Q530),"")</f>
        <v/>
      </c>
      <c r="S530" s="89">
        <f>IF(I530&lt;&gt;"H. Sale Real",IF(AND(I531&lt;&gt;"",LEFT(C531,2)&lt;&gt;"Va"),IF(AND(I530&lt;&gt;"",LEFT(C530,2)&lt;&gt;"Va",I530&lt;&gt;"H. Sale Real"),IF(I531-I530&lt;0.208333333333333,I531-I530,""),IF(AND(I529&lt;&gt;"",LEFT(C529,2)&lt;&gt;"Va",I529&lt;&gt;"H. Sale Real"),IF(I531-I529&lt;0.208333333333333,I531-I529,""),IF(AND(I528&lt;&gt;"",LEFT(C528,2)&lt;&gt;"Va",I528&lt;&gt;"H. Sale Real"),IF(I531-I528&lt;0.208333333333333,I531-I528,""),IF(AND(I527&lt;&gt;"",LEFT(C527,2)&lt;&gt;"Va",I527&lt;&gt;"H. Sale Real"),IF(I531-I527&lt;0.208333333333333,I531-I527,""),IF(AND(I526&lt;&gt;"",LEFT(C526,2)&lt;&gt;"Va",I526&lt;&gt;"H. Sale Real"),IF(I531-I526&lt;0.208333333333333,I531-I526,""),""))))),""),"")</f>
        <v/>
      </c>
      <c r="T530" s="89">
        <f>IF(G530&lt;&gt;"H. Sale Real",IF(AND(G531&lt;&gt;"",LEFT(C531,2)&lt;&gt;"Va"),IF(AND(G530&lt;&gt;"",LEFT(C530,2)&lt;&gt;"Va",G530&lt;&gt;"H. Sale Real"),IF(G531-G530&lt;0.208333333333333,G531-G530,""),IF(AND(G529&lt;&gt;"",LEFT(C529,2)&lt;&gt;"Va",G529&lt;&gt;"H. Sale Real"),IF(G531-G529&lt;0.208333333333333,G531-G529,""),IF(AND(G528&lt;&gt;"",LEFT(C528,2)&lt;&gt;"Va",G528&lt;&gt;"H. Sale Real"),IF(G531-G528&lt;0.208333333333333,G531-G528,""),IF(AND(G527&lt;&gt;"",LEFT(C527,2)&lt;&gt;"Va",G527&lt;&gt;"H. Sale Real"),IF(G531-G527&lt;0.208333333333333,G531-G527,""),IF(AND(G526&lt;&gt;"",LEFT(C526,2)&lt;&gt;"Va",G526&lt;&gt;"H. Sale Real"),IF(G531-G526&lt;0.208333333333333,G531-G526,""),""))))),""),"")</f>
        <v/>
      </c>
      <c r="U530" s="87" t="n"/>
      <c r="V530" s="89" t="n"/>
      <c r="W530" s="87" t="n"/>
      <c r="X530" s="89" t="n"/>
      <c r="Y530" s="91" t="n"/>
      <c r="Z530" s="122">
        <f>IF(G530&lt;&gt;"",IF(AND(Z529&lt;&gt;"IE",P530&lt;&gt;0,R530&lt;&gt;""),IF(IFERROR((P530/R530),0) &lt;=1,IFERROR(P530/R530,""),1),""),"")</f>
        <v/>
      </c>
      <c r="AA530" s="93" t="n"/>
      <c r="AB530" s="2" t="n"/>
      <c r="AE530" s="10">
        <f>HOUR(AK530)+1</f>
        <v/>
      </c>
      <c r="AF530" s="7" t="n"/>
      <c r="AG530" s="7" t="n"/>
      <c r="AH530" s="86" t="n"/>
      <c r="AI530" s="8" t="n"/>
      <c r="AJ530" s="86" t="n"/>
      <c r="AK530" s="87" t="n"/>
      <c r="AL530" s="88">
        <f>IF(AM530="","",IF(AND((AM530-AK530)&gt;=TIME(0,0,0),(AM530-AK530)&lt;TIME(0,3,0)),"OK",IF(AND((AM530-AK530)&gt;=TIME(0,3,0),(AM530-AK530)&lt;TIME(0,5,0)),"RETRASO DE 3-5 MIN",IF(AND((AM530-AK530)&gt;=TIME(0,5,0),(AM530-AK530)&lt;TIME(0,10,0)),"RETRASO DE 5-10 MIN",IF((AM530-AK530)&gt;=TIME(0,10,0),"RETRASO &gt;10 MIN", IF(AND((AK530-AM530)&gt;=TIME(0,0,0),(AK530-AM530)&lt;TIME(0,3,0)),"OK",IF((AK530-AM530)&gt;=TIME(0,3,0),"ADELANTADO")))))))</f>
        <v/>
      </c>
      <c r="AM530" s="91" t="n"/>
      <c r="AN530" s="89">
        <f>IF(AE530&lt;&gt;"",HLOOKUP(VALUE(TEXT(AK530,"h:mm:ss")),IF($C$6="Laboral",$FZ$4:$GX$227,IF($C$6="Sábado",$FZ$231:$GX$452,$FZ$456:$GX$656)),VLOOKUP($C$4,$HF$2:$HH$99,3,0)+IF(AG$5="Ida",0,1),1),"")</f>
        <v/>
      </c>
      <c r="AO530" s="89">
        <f>IF(AE531&lt;&gt;AE530,AVERAGEIF(AE$9:AE530,AE530,AN$9:AN530),"")</f>
        <v/>
      </c>
      <c r="AP530" s="89">
        <f>IFERROR(IF(AE531&lt;&gt;AE530,AVERAGEIF(AE$9:AE530,AE530,AW$9:AW530),""),"")</f>
        <v/>
      </c>
      <c r="AQ530" s="89">
        <f>IFERROR(IF(AE531&lt;&gt;AE530,AVERAGEIF(AE$9:AE530,AE530,AX$9:AX530),""),"")</f>
        <v/>
      </c>
      <c r="AR530" s="89">
        <f t="array" ref="AR530">IFERROR(IF(AE531&lt;&gt;AE530,_xlfn.STDEV.P(IF(AE$9:AE530=AE530,AX$9:AX530)),""),"")</f>
        <v/>
      </c>
      <c r="AS530" s="89">
        <f t="array" ref="AS530">IFERROR(IF(AE531&lt;&gt;AE530,_xlfn.STDEV.P(IF(AE$9:AE530=AE530,AW$9:AW530)),""),"")</f>
        <v/>
      </c>
      <c r="AT530" s="90">
        <f>IFERROR(IF(AE530&lt;&gt;AE531,MAX((((AQ530*24*60)/2)*(1+POWER((((AR530*24*60) / (AQ530*24*60) )),2))) + ((AQ530*24*60 )*-0.1 + (AO530*0.015)) +1,(((AQ530*24*60)/2)*(1+POWER((((AR530*24*60) / (AQ530*24*60 ))),2)))),""),"")</f>
        <v/>
      </c>
      <c r="AU530" s="90">
        <f>IF(AND(AS530&lt;&gt;"",AP530&lt;&gt;""),IF(AE530&lt;&gt;AE531,((AP530*24*60) / 2 ) * (1 + POWER(((AS530*24*60) / (AP530*24*60)),2)),""),"")</f>
        <v/>
      </c>
      <c r="AV530" s="90">
        <f>IF(AU530&lt;&gt;"",MAX(AT530,AU530),"")</f>
        <v/>
      </c>
      <c r="AW530" s="89">
        <f>IF(AM530&lt;&gt;"H. Sale Real",IF(AND(AM531&lt;&gt;"",LEFT(AG531,2)&lt;&gt;"Va"),IF(AND(AM530&lt;&gt;"",LEFT(AG530,2)&lt;&gt;"Va",AM530&lt;&gt;"H. Sale Real"),IF(AM531-AM530&lt;0.208333333333333,AM531-AM530,""),IF(AND(AM529&lt;&gt;"",LEFT(AG529,2)&lt;&gt;"Va",AM529&lt;&gt;"H. Sale Real"),IF(AM531-AM529&lt;0.208333333333333,AM531-AM529,""),IF(AND(AM528&lt;&gt;"",LEFT(AG528,2)&lt;&gt;"Va",AM528&lt;&gt;"H. Sale Real"),IF(AM531-AM528&lt;0.208333333333333,AM531-AM528,""),IF(AND(AM527&lt;&gt;"",LEFT(AG527,2)&lt;&gt;"Va",AM527&lt;&gt;"H. Sale Real"),IF(AM531-AM527&lt;0.208333333333333,AM531-AM527,""),IF(AND(AM526&lt;&gt;"",LEFT(AG526,2)&lt;&gt;"Va",AM526&lt;&gt;"H. Sale Real"),IF(AM531-AM526&lt;0.208333333333333,AM531-AM526,""),""))))),""),"")</f>
        <v/>
      </c>
      <c r="AX530" s="89">
        <f>IF(AK530&lt;&gt;"H. Sale Real",IF(AND(AK531&lt;&gt;"",LEFT(AG531,2)&lt;&gt;"Va"),IF(AND(AK530&lt;&gt;"",LEFT(AG530,2)&lt;&gt;"Va",AK530&lt;&gt;"H. Sale Real"),IF(AK531-AK530&lt;0.208333333333333,AK531-AK530,""),IF(AND(AK529&lt;&gt;"",LEFT(AG529,2)&lt;&gt;"Va",AK529&lt;&gt;"H. Sale Real"),IF(AK531-AK529&lt;0.208333333333333,AK531-AK529,""),IF(AND(AK528&lt;&gt;"",LEFT(AG528,2)&lt;&gt;"NC",AK528&lt;&gt;"H. Sale Real"),IF(AK531-AK528&lt;0.208333333333333,AK531-AK528,""),IF(AND(AK527&lt;&gt;"",LEFT(AG527,2)&lt;&gt;"Va",AK527&lt;&gt;"H. Sale Real"),IF(AK531-AK527&lt;0.208333333333333,AK531-AK527,""),IF(AND(AK526&lt;&gt;"",LEFT(AG526,2)&lt;&gt;"Va",AK526&lt;&gt;"H. Sale Real"),IF(AK531-AK526&lt;0.208333333333333,AK531-AK526,""),""))))),""),"")</f>
        <v/>
      </c>
      <c r="AY530" s="87" t="n"/>
      <c r="AZ530" s="89" t="n"/>
      <c r="BA530" s="87" t="n"/>
      <c r="BB530" s="89" t="n"/>
      <c r="BC530" s="91" t="n"/>
      <c r="BD530" s="122">
        <f>IF(AK530&lt;&gt;"",IF(AND(BD529&lt;&gt;"IE",AT530&lt;&gt;0,AV530&lt;&gt;""),IF(IFERROR((AT530/AV530),0) &lt;=1,IFERROR(AT530/AV530,""),1),""),"")</f>
        <v/>
      </c>
      <c r="BE530" s="93" t="n"/>
      <c r="BF530" s="105" t="n"/>
      <c r="FC530" t="inlineStr">
        <is>
          <t>Diccionario 1</t>
        </is>
      </c>
      <c r="FD530" s="15" t="inlineStr"/>
      <c r="FE530" s="17" t="inlineStr">
        <is>
          <t>LDYECS316S0044364</t>
        </is>
      </c>
      <c r="FF530" s="18" t="inlineStr">
        <is>
          <t>MDN35025030062</t>
        </is>
      </c>
      <c r="FG530" s="18" t="inlineStr">
        <is>
          <t>Zhong Thong</t>
        </is>
      </c>
      <c r="FH530" s="18" t="inlineStr">
        <is>
          <t>Lck6122evg</t>
        </is>
      </c>
      <c r="FI530" s="18" t="inlineStr">
        <is>
          <t>Zhong Thong</t>
        </is>
      </c>
      <c r="FJ530" s="18" t="inlineStr">
        <is>
          <t>Lck6122evg</t>
        </is>
      </c>
      <c r="FK530" s="18" t="n">
        <v>2026</v>
      </c>
      <c r="FL530" s="18" t="inlineStr">
        <is>
          <t>B</t>
        </is>
      </c>
      <c r="FM530" s="18" t="inlineStr">
        <is>
          <t>Ducaud</t>
        </is>
      </c>
      <c r="FP530" t="inlineStr">
        <is>
          <t>B</t>
        </is>
      </c>
      <c r="FS530" s="14" t="inlineStr">
        <is>
          <t>LZPT-52|</t>
        </is>
      </c>
      <c r="FT530" t="inlineStr">
        <is>
          <t>LZPT-52|</t>
        </is>
      </c>
      <c r="FU530" t="inlineStr">
        <is>
          <t>LZPT-52</t>
        </is>
      </c>
      <c r="FV530">
        <f>VLOOKUP(FU530,FD:FL,9,0)</f>
        <v/>
      </c>
      <c r="HA530" s="35" t="n">
        <v>75</v>
      </c>
      <c r="HB530" s="35" t="n">
        <v>524</v>
      </c>
    </row>
    <row r="531" ht="15.5" customHeight="1">
      <c r="A531" s="10">
        <f>HOUR(G531)+1</f>
        <v/>
      </c>
      <c r="B531" s="7" t="n"/>
      <c r="C531" s="7" t="n"/>
      <c r="D531" s="85">
        <f>IFERROR(
IF(AND(OR(Planilla!B531="C",Planilla!B531="c"), VLOOKUP(E531,FD:FP,13,0)="C"), "OK",IF(AND(OR(Planilla!B531="C",Planilla!B531="c"), OR(VLOOKUP(E531,FD:FP,13,0)="B", VLOOKUP(E531,FD:FP,13,0)="A")), "DEFICIT",IF(
AND(OR(Planilla!B531="B", Planilla!B531="BPAL"), VLOOKUP(E531,FD:FP,13,0)="B"), "OK",IF(AND(OR(Planilla!B531="B", Planilla!B531="BPAL"), VLOOKUP(E531,FD:FP,13,0)="A"), "DEFICIT",IF(AND(OR(Planilla!B531="B", Planilla!B531="BPAL"), VLOOKUP(E531,FD:FP,13,0)="C"), "SOBREOFERTA",IF(AND(Planilla!B531="A", VLOOKUP(E531,FD:FP,13,0)="A"), "OK",IF(
AND(Planilla!B531="A", OR(VLOOKUP(E531,FD:FP,13,0)="B", VLOOKUP(E531,FD:FP,13,0)="C")), "SOBREOFERTA",""
))))))),"")</f>
        <v/>
      </c>
      <c r="E531" s="8" t="n"/>
      <c r="F531" s="86" t="n"/>
      <c r="G531" s="87" t="n"/>
      <c r="H531" s="88">
        <f>IF(I531="","",IF(AND((I531-G531)&gt;=TIME(0,0,0),(I531-G531)&lt;TIME(0,3,0)),"OK",IF(AND((I531-G531)&gt;=TIME(0,3,0),(I531-G531)&lt;TIME(0,5,0)),"RETRASO DE 3-5 MIN",IF(AND((I531-G531)&gt;=TIME(0,5,0),(I531-G531)&lt;TIME(0,10,0)),"RETRASO DE 5-10 MIN",IF((I531-G531)&gt;=TIME(0,10,0),"RETRASO &gt;10 MIN", IF(AND((G531-I531)&gt;=TIME(0,0,0),(G531-I531)&lt;TIME(0,3,0)),"OK",IF((G531-I531)&gt;=TIME(0,3,0),"ADELANTADO")))))))</f>
        <v/>
      </c>
      <c r="I531" s="89" t="n"/>
      <c r="J531" s="89">
        <f>IF(A531&lt;&gt;"",HLOOKUP(VALUE(TEXT(G531,"h:mm:ss")),IF($C$6="Laboral",$FZ$4:$GX$227,IF($C$6="Sábado",$FZ$231:$GX$452,$FZ$456:$GX$656)),VLOOKUP($C$4,$HF$2:$HH$99,3,0)+IF(C$5="Ida",0,1),1),"")</f>
        <v/>
      </c>
      <c r="K531" s="89">
        <f>IF(A532&lt;&gt;A531,AVERAGEIF(A$9:A531,A531,J$9:J531),"")</f>
        <v/>
      </c>
      <c r="L531" s="89">
        <f>IFERROR(IF(A532&lt;&gt;A531,AVERAGEIF(A$9:A531,A531,S$9:S531),""),"")</f>
        <v/>
      </c>
      <c r="M531" s="89">
        <f>IFERROR(IF(A532&lt;&gt;A531,AVERAGEIF(A$9:A531,A531,T$9:T531),""),"")</f>
        <v/>
      </c>
      <c r="N531" s="89">
        <f t="array" ref="N531">IFERROR(IF(A532&lt;&gt;A531,_xlfn.STDEV.P(IF(A$9:A531=A531,T$9:T531)),""),"")</f>
        <v/>
      </c>
      <c r="O531" s="89">
        <f t="array" ref="O531">IFERROR(IF(A532&lt;&gt;A531,_xlfn.STDEV.P(IF(A$9:A531=A531,S$9:S531)),""),"")</f>
        <v/>
      </c>
      <c r="P531" s="90">
        <f>IFERROR(IF(A531&lt;&gt;A532,MAX((((M531*24*60)/2)*(1+POWER((((N531*24*60) / (M531*24*60) )),2))) + ((M531*24*60 )*-0.1 + (K531*0.015)) +1,(((M531*24*60)/2)*(1+POWER((((N531*24*60) / (M531*24*60 ))),2)))),""),"")</f>
        <v/>
      </c>
      <c r="Q531" s="90">
        <f>IF(AND(O531&lt;&gt;"",L531&lt;&gt;""),IF(A531&lt;&gt;A532,((L531*24*60) / 2 ) * (1 + POWER(((O531*24*60) / (L531*24*60)),2)),""),"")</f>
        <v/>
      </c>
      <c r="R531" s="90">
        <f>IF(Q531&lt;&gt;"",MAX(P531,Q531),"")</f>
        <v/>
      </c>
      <c r="S531" s="89">
        <f>IF(I531&lt;&gt;"H. Sale Real",IF(AND(I532&lt;&gt;"",LEFT(C532,2)&lt;&gt;"Va"),IF(AND(I531&lt;&gt;"",LEFT(C531,2)&lt;&gt;"Va",I531&lt;&gt;"H. Sale Real"),IF(I532-I531&lt;0.208333333333333,I532-I531,""),IF(AND(I530&lt;&gt;"",LEFT(C530,2)&lt;&gt;"Va",I530&lt;&gt;"H. Sale Real"),IF(I532-I530&lt;0.208333333333333,I532-I530,""),IF(AND(I529&lt;&gt;"",LEFT(C529,2)&lt;&gt;"Va",I529&lt;&gt;"H. Sale Real"),IF(I532-I529&lt;0.208333333333333,I532-I529,""),IF(AND(I528&lt;&gt;"",LEFT(C528,2)&lt;&gt;"Va",I528&lt;&gt;"H. Sale Real"),IF(I532-I528&lt;0.208333333333333,I532-I528,""),IF(AND(I527&lt;&gt;"",LEFT(C527,2)&lt;&gt;"Va",I527&lt;&gt;"H. Sale Real"),IF(I532-I527&lt;0.208333333333333,I532-I527,""),""))))),""),"")</f>
        <v/>
      </c>
      <c r="T531" s="89">
        <f>IF(G531&lt;&gt;"H. Sale Real",IF(AND(G532&lt;&gt;"",LEFT(C532,2)&lt;&gt;"Va"),IF(AND(G531&lt;&gt;"",LEFT(C531,2)&lt;&gt;"Va",G531&lt;&gt;"H. Sale Real"),IF(G532-G531&lt;0.208333333333333,G532-G531,""),IF(AND(G530&lt;&gt;"",LEFT(C530,2)&lt;&gt;"Va",G530&lt;&gt;"H. Sale Real"),IF(G532-G530&lt;0.208333333333333,G532-G530,""),IF(AND(G529&lt;&gt;"",LEFT(C529,2)&lt;&gt;"Va",G529&lt;&gt;"H. Sale Real"),IF(G532-G529&lt;0.208333333333333,G532-G529,""),IF(AND(G528&lt;&gt;"",LEFT(C528,2)&lt;&gt;"Va",G528&lt;&gt;"H. Sale Real"),IF(G532-G528&lt;0.208333333333333,G532-G528,""),IF(AND(G527&lt;&gt;"",LEFT(C527,2)&lt;&gt;"Va",G527&lt;&gt;"H. Sale Real"),IF(G532-G527&lt;0.208333333333333,G532-G527,""),""))))),""),"")</f>
        <v/>
      </c>
      <c r="U531" s="87" t="n"/>
      <c r="V531" s="89" t="n"/>
      <c r="W531" s="87" t="n"/>
      <c r="X531" s="89" t="n"/>
      <c r="Y531" s="91" t="n"/>
      <c r="Z531" s="122">
        <f>IF(G531&lt;&gt;"",IF(AND(Z530&lt;&gt;"IE",P531&lt;&gt;0,R531&lt;&gt;""),IF(IFERROR((P531/R531),0) &lt;=1,IFERROR(P531/R531,""),1),""),"")</f>
        <v/>
      </c>
      <c r="AA531" s="93" t="n"/>
      <c r="AB531" s="2" t="n"/>
      <c r="AE531" s="10">
        <f>HOUR(AK531)+1</f>
        <v/>
      </c>
      <c r="AF531" s="7" t="n"/>
      <c r="AG531" s="7" t="n"/>
      <c r="AH531" s="86" t="n"/>
      <c r="AI531" s="8" t="n"/>
      <c r="AJ531" s="86" t="n"/>
      <c r="AK531" s="87" t="n"/>
      <c r="AL531" s="88">
        <f>IF(AM531="","",IF(AND((AM531-AK531)&gt;=TIME(0,0,0),(AM531-AK531)&lt;TIME(0,3,0)),"OK",IF(AND((AM531-AK531)&gt;=TIME(0,3,0),(AM531-AK531)&lt;TIME(0,5,0)),"RETRASO DE 3-5 MIN",IF(AND((AM531-AK531)&gt;=TIME(0,5,0),(AM531-AK531)&lt;TIME(0,10,0)),"RETRASO DE 5-10 MIN",IF((AM531-AK531)&gt;=TIME(0,10,0),"RETRASO &gt;10 MIN", IF(AND((AK531-AM531)&gt;=TIME(0,0,0),(AK531-AM531)&lt;TIME(0,3,0)),"OK",IF((AK531-AM531)&gt;=TIME(0,3,0),"ADELANTADO")))))))</f>
        <v/>
      </c>
      <c r="AM531" s="91" t="n"/>
      <c r="AN531" s="89">
        <f>IF(AE531&lt;&gt;"",HLOOKUP(VALUE(TEXT(AK531,"h:mm:ss")),IF($C$6="Laboral",$FZ$4:$GX$227,IF($C$6="Sábado",$FZ$231:$GX$452,$FZ$456:$GX$656)),VLOOKUP($C$4,$HF$2:$HH$99,3,0)+IF(AG$5="Ida",0,1),1),"")</f>
        <v/>
      </c>
      <c r="AO531" s="89">
        <f>IF(AE532&lt;&gt;AE531,AVERAGEIF(AE$9:AE531,AE531,AN$9:AN531),"")</f>
        <v/>
      </c>
      <c r="AP531" s="89">
        <f>IFERROR(IF(AE532&lt;&gt;AE531,AVERAGEIF(AE$9:AE531,AE531,AW$9:AW531),""),"")</f>
        <v/>
      </c>
      <c r="AQ531" s="89">
        <f>IFERROR(IF(AE532&lt;&gt;AE531,AVERAGEIF(AE$9:AE531,AE531,AX$9:AX531),""),"")</f>
        <v/>
      </c>
      <c r="AR531" s="89">
        <f t="array" ref="AR531">IFERROR(IF(AE532&lt;&gt;AE531,_xlfn.STDEV.P(IF(AE$9:AE531=AE531,AX$9:AX531)),""),"")</f>
        <v/>
      </c>
      <c r="AS531" s="89">
        <f t="array" ref="AS531">IFERROR(IF(AE532&lt;&gt;AE531,_xlfn.STDEV.P(IF(AE$9:AE531=AE531,AW$9:AW531)),""),"")</f>
        <v/>
      </c>
      <c r="AT531" s="90">
        <f>IFERROR(IF(AE531&lt;&gt;AE532,MAX((((AQ531*24*60)/2)*(1+POWER((((AR531*24*60) / (AQ531*24*60) )),2))) + ((AQ531*24*60 )*-0.1 + (AO531*0.015)) +1,(((AQ531*24*60)/2)*(1+POWER((((AR531*24*60) / (AQ531*24*60 ))),2)))),""),"")</f>
        <v/>
      </c>
      <c r="AU531" s="90">
        <f>IF(AND(AS531&lt;&gt;"",AP531&lt;&gt;""),IF(AE531&lt;&gt;AE532,((AP531*24*60) / 2 ) * (1 + POWER(((AS531*24*60) / (AP531*24*60)),2)),""),"")</f>
        <v/>
      </c>
      <c r="AV531" s="90">
        <f>IF(AU531&lt;&gt;"",MAX(AT531,AU531),"")</f>
        <v/>
      </c>
      <c r="AW531" s="89">
        <f>IF(AM531&lt;&gt;"H. Sale Real",IF(AND(AM532&lt;&gt;"",LEFT(AG532,2)&lt;&gt;"Va"),IF(AND(AM531&lt;&gt;"",LEFT(AG531,2)&lt;&gt;"Va",AM531&lt;&gt;"H. Sale Real"),IF(AM532-AM531&lt;0.208333333333333,AM532-AM531,""),IF(AND(AM530&lt;&gt;"",LEFT(AG530,2)&lt;&gt;"Va",AM530&lt;&gt;"H. Sale Real"),IF(AM532-AM530&lt;0.208333333333333,AM532-AM530,""),IF(AND(AM529&lt;&gt;"",LEFT(AG529,2)&lt;&gt;"Va",AM529&lt;&gt;"H. Sale Real"),IF(AM532-AM529&lt;0.208333333333333,AM532-AM529,""),IF(AND(AM528&lt;&gt;"",LEFT(AG528,2)&lt;&gt;"Va",AM528&lt;&gt;"H. Sale Real"),IF(AM532-AM528&lt;0.208333333333333,AM532-AM528,""),IF(AND(AM527&lt;&gt;"",LEFT(AG527,2)&lt;&gt;"Va",AM527&lt;&gt;"H. Sale Real"),IF(AM532-AM527&lt;0.208333333333333,AM532-AM527,""),""))))),""),"")</f>
        <v/>
      </c>
      <c r="AX531" s="89">
        <f>IF(AK531&lt;&gt;"H. Sale Real",IF(AND(AK532&lt;&gt;"",LEFT(AG532,2)&lt;&gt;"Va"),IF(AND(AK531&lt;&gt;"",LEFT(AG531,2)&lt;&gt;"Va",AK531&lt;&gt;"H. Sale Real"),IF(AK532-AK531&lt;0.208333333333333,AK532-AK531,""),IF(AND(AK530&lt;&gt;"",LEFT(AG530,2)&lt;&gt;"Va",AK530&lt;&gt;"H. Sale Real"),IF(AK532-AK530&lt;0.208333333333333,AK532-AK530,""),IF(AND(AK529&lt;&gt;"",LEFT(AG529,2)&lt;&gt;"NC",AK529&lt;&gt;"H. Sale Real"),IF(AK532-AK529&lt;0.208333333333333,AK532-AK529,""),IF(AND(AK528&lt;&gt;"",LEFT(AG528,2)&lt;&gt;"Va",AK528&lt;&gt;"H. Sale Real"),IF(AK532-AK528&lt;0.208333333333333,AK532-AK528,""),IF(AND(AK527&lt;&gt;"",LEFT(AG527,2)&lt;&gt;"Va",AK527&lt;&gt;"H. Sale Real"),IF(AK532-AK527&lt;0.208333333333333,AK532-AK527,""),""))))),""),"")</f>
        <v/>
      </c>
      <c r="AY531" s="87" t="n"/>
      <c r="AZ531" s="89" t="n"/>
      <c r="BA531" s="87" t="n"/>
      <c r="BB531" s="89" t="n"/>
      <c r="BC531" s="91" t="n"/>
      <c r="BD531" s="122">
        <f>IF(AK531&lt;&gt;"",IF(AND(BD530&lt;&gt;"IE",AT531&lt;&gt;0,AV531&lt;&gt;""),IF(IFERROR((AT531/AV531),0) &lt;=1,IFERROR(AT531/AV531,""),1),""),"")</f>
        <v/>
      </c>
      <c r="BE531" s="93" t="n"/>
      <c r="BF531" s="105" t="n"/>
      <c r="FC531" t="inlineStr">
        <is>
          <t>Diccionario 1</t>
        </is>
      </c>
      <c r="FD531" s="15" t="inlineStr"/>
      <c r="FE531" s="17" t="inlineStr">
        <is>
          <t>LDYECS312S0044295</t>
        </is>
      </c>
      <c r="FF531" s="18" t="inlineStr">
        <is>
          <t>MDN35025020211</t>
        </is>
      </c>
      <c r="FG531" s="18" t="inlineStr">
        <is>
          <t>Zhong Thong</t>
        </is>
      </c>
      <c r="FH531" s="18" t="inlineStr">
        <is>
          <t>Lck6122evg</t>
        </is>
      </c>
      <c r="FI531" s="18" t="inlineStr">
        <is>
          <t>Zhong Thong</t>
        </is>
      </c>
      <c r="FJ531" s="18" t="inlineStr">
        <is>
          <t>Lck6122evg</t>
        </is>
      </c>
      <c r="FK531" s="18" t="n">
        <v>2026</v>
      </c>
      <c r="FL531" s="18" t="inlineStr">
        <is>
          <t>B</t>
        </is>
      </c>
      <c r="FM531" s="18" t="inlineStr">
        <is>
          <t>Ducaud</t>
        </is>
      </c>
      <c r="FP531" t="inlineStr">
        <is>
          <t>B</t>
        </is>
      </c>
      <c r="FS531" s="14" t="inlineStr">
        <is>
          <t>LZPS-18|</t>
        </is>
      </c>
      <c r="FT531" t="inlineStr">
        <is>
          <t>LZPS-18|</t>
        </is>
      </c>
      <c r="FU531" t="inlineStr">
        <is>
          <t>LZPS-18</t>
        </is>
      </c>
      <c r="FV531">
        <f>VLOOKUP(FU531,FD:FL,9,0)</f>
        <v/>
      </c>
      <c r="HA531" s="35" t="n">
        <v>76</v>
      </c>
      <c r="HB531" s="35" t="n">
        <v>525</v>
      </c>
    </row>
    <row r="532" ht="15.5" customHeight="1">
      <c r="A532" s="10">
        <f>HOUR(G532)+1</f>
        <v/>
      </c>
      <c r="B532" s="7" t="n"/>
      <c r="C532" s="7" t="n"/>
      <c r="D532" s="85">
        <f>IFERROR(
IF(AND(OR(Planilla!B532="C",Planilla!B532="c"), VLOOKUP(E532,FD:FP,13,0)="C"), "OK",IF(AND(OR(Planilla!B532="C",Planilla!B532="c"), OR(VLOOKUP(E532,FD:FP,13,0)="B", VLOOKUP(E532,FD:FP,13,0)="A")), "DEFICIT",IF(
AND(OR(Planilla!B532="B", Planilla!B532="BPAL"), VLOOKUP(E532,FD:FP,13,0)="B"), "OK",IF(AND(OR(Planilla!B532="B", Planilla!B532="BPAL"), VLOOKUP(E532,FD:FP,13,0)="A"), "DEFICIT",IF(AND(OR(Planilla!B532="B", Planilla!B532="BPAL"), VLOOKUP(E532,FD:FP,13,0)="C"), "SOBREOFERTA",IF(AND(Planilla!B532="A", VLOOKUP(E532,FD:FP,13,0)="A"), "OK",IF(
AND(Planilla!B532="A", OR(VLOOKUP(E532,FD:FP,13,0)="B", VLOOKUP(E532,FD:FP,13,0)="C")), "SOBREOFERTA",""
))))))),"")</f>
        <v/>
      </c>
      <c r="E532" s="8" t="n"/>
      <c r="F532" s="86" t="n"/>
      <c r="G532" s="87" t="n"/>
      <c r="H532" s="88">
        <f>IF(I532="","",IF(AND((I532-G532)&gt;=TIME(0,0,0),(I532-G532)&lt;TIME(0,3,0)),"OK",IF(AND((I532-G532)&gt;=TIME(0,3,0),(I532-G532)&lt;TIME(0,5,0)),"RETRASO DE 3-5 MIN",IF(AND((I532-G532)&gt;=TIME(0,5,0),(I532-G532)&lt;TIME(0,10,0)),"RETRASO DE 5-10 MIN",IF((I532-G532)&gt;=TIME(0,10,0),"RETRASO &gt;10 MIN", IF(AND((G532-I532)&gt;=TIME(0,0,0),(G532-I532)&lt;TIME(0,3,0)),"OK",IF((G532-I532)&gt;=TIME(0,3,0),"ADELANTADO")))))))</f>
        <v/>
      </c>
      <c r="I532" s="89" t="n"/>
      <c r="J532" s="89">
        <f>IF(A532&lt;&gt;"",HLOOKUP(VALUE(TEXT(G532,"h:mm:ss")),IF($C$6="Laboral",$FZ$4:$GX$227,IF($C$6="Sábado",$FZ$231:$GX$452,$FZ$456:$GX$656)),VLOOKUP($C$4,$HF$2:$HH$99,3,0)+IF(C$5="Ida",0,1),1),"")</f>
        <v/>
      </c>
      <c r="K532" s="89">
        <f>IF(A533&lt;&gt;A532,AVERAGEIF(A$9:A532,A532,J$9:J532),"")</f>
        <v/>
      </c>
      <c r="L532" s="89">
        <f>IFERROR(IF(A533&lt;&gt;A532,AVERAGEIF(A$9:A532,A532,S$9:S532),""),"")</f>
        <v/>
      </c>
      <c r="M532" s="89">
        <f>IFERROR(IF(A533&lt;&gt;A532,AVERAGEIF(A$9:A532,A532,T$9:T532),""),"")</f>
        <v/>
      </c>
      <c r="N532" s="89">
        <f t="array" ref="N532">IFERROR(IF(A533&lt;&gt;A532,_xlfn.STDEV.P(IF(A$9:A532=A532,T$9:T532)),""),"")</f>
        <v/>
      </c>
      <c r="O532" s="89">
        <f t="array" ref="O532">IFERROR(IF(A533&lt;&gt;A532,_xlfn.STDEV.P(IF(A$9:A532=A532,S$9:S532)),""),"")</f>
        <v/>
      </c>
      <c r="P532" s="90">
        <f>IFERROR(IF(A532&lt;&gt;A533,MAX((((M532*24*60)/2)*(1+POWER((((N532*24*60) / (M532*24*60) )),2))) + ((M532*24*60 )*-0.1 + (K532*0.015)) +1,(((M532*24*60)/2)*(1+POWER((((N532*24*60) / (M532*24*60 ))),2)))),""),"")</f>
        <v/>
      </c>
      <c r="Q532" s="90">
        <f>IF(AND(O532&lt;&gt;"",L532&lt;&gt;""),IF(A532&lt;&gt;A533,((L532*24*60) / 2 ) * (1 + POWER(((O532*24*60) / (L532*24*60)),2)),""),"")</f>
        <v/>
      </c>
      <c r="R532" s="90">
        <f>IF(Q532&lt;&gt;"",MAX(P532,Q532),"")</f>
        <v/>
      </c>
      <c r="S532" s="89">
        <f>IF(I532&lt;&gt;"H. Sale Real",IF(AND(I533&lt;&gt;"",LEFT(C533,2)&lt;&gt;"Va"),IF(AND(I532&lt;&gt;"",LEFT(C532,2)&lt;&gt;"Va",I532&lt;&gt;"H. Sale Real"),IF(I533-I532&lt;0.208333333333333,I533-I532,""),IF(AND(I531&lt;&gt;"",LEFT(C531,2)&lt;&gt;"Va",I531&lt;&gt;"H. Sale Real"),IF(I533-I531&lt;0.208333333333333,I533-I531,""),IF(AND(I530&lt;&gt;"",LEFT(C530,2)&lt;&gt;"Va",I530&lt;&gt;"H. Sale Real"),IF(I533-I530&lt;0.208333333333333,I533-I530,""),IF(AND(I529&lt;&gt;"",LEFT(C529,2)&lt;&gt;"Va",I529&lt;&gt;"H. Sale Real"),IF(I533-I529&lt;0.208333333333333,I533-I529,""),IF(AND(I528&lt;&gt;"",LEFT(C528,2)&lt;&gt;"Va",I528&lt;&gt;"H. Sale Real"),IF(I533-I528&lt;0.208333333333333,I533-I528,""),""))))),""),"")</f>
        <v/>
      </c>
      <c r="T532" s="89">
        <f>IF(G532&lt;&gt;"H. Sale Real",IF(AND(G533&lt;&gt;"",LEFT(C533,2)&lt;&gt;"Va"),IF(AND(G532&lt;&gt;"",LEFT(C532,2)&lt;&gt;"Va",G532&lt;&gt;"H. Sale Real"),IF(G533-G532&lt;0.208333333333333,G533-G532,""),IF(AND(G531&lt;&gt;"",LEFT(C531,2)&lt;&gt;"Va",G531&lt;&gt;"H. Sale Real"),IF(G533-G531&lt;0.208333333333333,G533-G531,""),IF(AND(G530&lt;&gt;"",LEFT(C530,2)&lt;&gt;"Va",G530&lt;&gt;"H. Sale Real"),IF(G533-G530&lt;0.208333333333333,G533-G530,""),IF(AND(G529&lt;&gt;"",LEFT(C529,2)&lt;&gt;"Va",G529&lt;&gt;"H. Sale Real"),IF(G533-G529&lt;0.208333333333333,G533-G529,""),IF(AND(G528&lt;&gt;"",LEFT(C528,2)&lt;&gt;"Va",G528&lt;&gt;"H. Sale Real"),IF(G533-G528&lt;0.208333333333333,G533-G528,""),""))))),""),"")</f>
        <v/>
      </c>
      <c r="U532" s="87" t="n"/>
      <c r="V532" s="89" t="n"/>
      <c r="W532" s="87" t="n"/>
      <c r="X532" s="89" t="n"/>
      <c r="Y532" s="91" t="n"/>
      <c r="Z532" s="122">
        <f>IF(G532&lt;&gt;"",IF(AND(Z531&lt;&gt;"IE",P532&lt;&gt;0,R532&lt;&gt;""),IF(IFERROR((P532/R532),0) &lt;=1,IFERROR(P532/R532,""),1),""),"")</f>
        <v/>
      </c>
      <c r="AA532" s="93" t="n"/>
      <c r="AB532" s="2" t="n"/>
      <c r="AE532" s="10">
        <f>HOUR(AK532)+1</f>
        <v/>
      </c>
      <c r="AF532" s="7" t="n"/>
      <c r="AG532" s="7" t="n"/>
      <c r="AH532" s="86" t="n"/>
      <c r="AI532" s="8" t="n"/>
      <c r="AJ532" s="86" t="n"/>
      <c r="AK532" s="87" t="n"/>
      <c r="AL532" s="88">
        <f>IF(AM532="","",IF(AND((AM532-AK532)&gt;=TIME(0,0,0),(AM532-AK532)&lt;TIME(0,3,0)),"OK",IF(AND((AM532-AK532)&gt;=TIME(0,3,0),(AM532-AK532)&lt;TIME(0,5,0)),"RETRASO DE 3-5 MIN",IF(AND((AM532-AK532)&gt;=TIME(0,5,0),(AM532-AK532)&lt;TIME(0,10,0)),"RETRASO DE 5-10 MIN",IF((AM532-AK532)&gt;=TIME(0,10,0),"RETRASO &gt;10 MIN", IF(AND((AK532-AM532)&gt;=TIME(0,0,0),(AK532-AM532)&lt;TIME(0,3,0)),"OK",IF((AK532-AM532)&gt;=TIME(0,3,0),"ADELANTADO")))))))</f>
        <v/>
      </c>
      <c r="AM532" s="91" t="n"/>
      <c r="AN532" s="89">
        <f>IF(AE532&lt;&gt;"",HLOOKUP(VALUE(TEXT(AK532,"h:mm:ss")),IF($C$6="Laboral",$FZ$4:$GX$227,IF($C$6="Sábado",$FZ$231:$GX$452,$FZ$456:$GX$656)),VLOOKUP($C$4,$HF$2:$HH$99,3,0)+IF(AG$5="Ida",0,1),1),"")</f>
        <v/>
      </c>
      <c r="AO532" s="89">
        <f>IF(AE533&lt;&gt;AE532,AVERAGEIF(AE$9:AE532,AE532,AN$9:AN532),"")</f>
        <v/>
      </c>
      <c r="AP532" s="89">
        <f>IFERROR(IF(AE533&lt;&gt;AE532,AVERAGEIF(AE$9:AE532,AE532,AW$9:AW532),""),"")</f>
        <v/>
      </c>
      <c r="AQ532" s="89">
        <f>IFERROR(IF(AE533&lt;&gt;AE532,AVERAGEIF(AE$9:AE532,AE532,AX$9:AX532),""),"")</f>
        <v/>
      </c>
      <c r="AR532" s="89">
        <f t="array" ref="AR532">IFERROR(IF(AE533&lt;&gt;AE532,_xlfn.STDEV.P(IF(AE$9:AE532=AE532,AX$9:AX532)),""),"")</f>
        <v/>
      </c>
      <c r="AS532" s="89">
        <f t="array" ref="AS532">IFERROR(IF(AE533&lt;&gt;AE532,_xlfn.STDEV.P(IF(AE$9:AE532=AE532,AW$9:AW532)),""),"")</f>
        <v/>
      </c>
      <c r="AT532" s="90">
        <f>IFERROR(IF(AE532&lt;&gt;AE533,MAX((((AQ532*24*60)/2)*(1+POWER((((AR532*24*60) / (AQ532*24*60) )),2))) + ((AQ532*24*60 )*-0.1 + (AO532*0.015)) +1,(((AQ532*24*60)/2)*(1+POWER((((AR532*24*60) / (AQ532*24*60 ))),2)))),""),"")</f>
        <v/>
      </c>
      <c r="AU532" s="90">
        <f>IF(AND(AS532&lt;&gt;"",AP532&lt;&gt;""),IF(AE532&lt;&gt;AE533,((AP532*24*60) / 2 ) * (1 + POWER(((AS532*24*60) / (AP532*24*60)),2)),""),"")</f>
        <v/>
      </c>
      <c r="AV532" s="90">
        <f>IF(AU532&lt;&gt;"",MAX(AT532,AU532),"")</f>
        <v/>
      </c>
      <c r="AW532" s="89">
        <f>IF(AM532&lt;&gt;"H. Sale Real",IF(AND(AM533&lt;&gt;"",LEFT(AG533,2)&lt;&gt;"Va"),IF(AND(AM532&lt;&gt;"",LEFT(AG532,2)&lt;&gt;"Va",AM532&lt;&gt;"H. Sale Real"),IF(AM533-AM532&lt;0.208333333333333,AM533-AM532,""),IF(AND(AM531&lt;&gt;"",LEFT(AG531,2)&lt;&gt;"Va",AM531&lt;&gt;"H. Sale Real"),IF(AM533-AM531&lt;0.208333333333333,AM533-AM531,""),IF(AND(AM530&lt;&gt;"",LEFT(AG530,2)&lt;&gt;"Va",AM530&lt;&gt;"H. Sale Real"),IF(AM533-AM530&lt;0.208333333333333,AM533-AM530,""),IF(AND(AM529&lt;&gt;"",LEFT(AG529,2)&lt;&gt;"Va",AM529&lt;&gt;"H. Sale Real"),IF(AM533-AM529&lt;0.208333333333333,AM533-AM529,""),IF(AND(AM528&lt;&gt;"",LEFT(AG528,2)&lt;&gt;"Va",AM528&lt;&gt;"H. Sale Real"),IF(AM533-AM528&lt;0.208333333333333,AM533-AM528,""),""))))),""),"")</f>
        <v/>
      </c>
      <c r="AX532" s="89">
        <f>IF(AK532&lt;&gt;"H. Sale Real",IF(AND(AK533&lt;&gt;"",LEFT(AG533,2)&lt;&gt;"Va"),IF(AND(AK532&lt;&gt;"",LEFT(AG532,2)&lt;&gt;"Va",AK532&lt;&gt;"H. Sale Real"),IF(AK533-AK532&lt;0.208333333333333,AK533-AK532,""),IF(AND(AK531&lt;&gt;"",LEFT(AG531,2)&lt;&gt;"Va",AK531&lt;&gt;"H. Sale Real"),IF(AK533-AK531&lt;0.208333333333333,AK533-AK531,""),IF(AND(AK530&lt;&gt;"",LEFT(AG530,2)&lt;&gt;"NC",AK530&lt;&gt;"H. Sale Real"),IF(AK533-AK530&lt;0.208333333333333,AK533-AK530,""),IF(AND(AK529&lt;&gt;"",LEFT(AG529,2)&lt;&gt;"Va",AK529&lt;&gt;"H. Sale Real"),IF(AK533-AK529&lt;0.208333333333333,AK533-AK529,""),IF(AND(AK528&lt;&gt;"",LEFT(AG528,2)&lt;&gt;"Va",AK528&lt;&gt;"H. Sale Real"),IF(AK533-AK528&lt;0.208333333333333,AK533-AK528,""),""))))),""),"")</f>
        <v/>
      </c>
      <c r="AY532" s="87" t="n"/>
      <c r="AZ532" s="89" t="n"/>
      <c r="BA532" s="87" t="n"/>
      <c r="BB532" s="89" t="n"/>
      <c r="BC532" s="91" t="n"/>
      <c r="BD532" s="122">
        <f>IF(AK532&lt;&gt;"",IF(AND(BD531&lt;&gt;"IE",AT532&lt;&gt;0,AV532&lt;&gt;""),IF(IFERROR((AT532/AV532),0) &lt;=1,IFERROR(AT532/AV532,""),1),""),"")</f>
        <v/>
      </c>
      <c r="BE532" s="93" t="n"/>
      <c r="BF532" s="105" t="n"/>
      <c r="FC532" t="inlineStr">
        <is>
          <t>Diccionario 1</t>
        </is>
      </c>
      <c r="FD532" s="15" t="inlineStr"/>
      <c r="FE532" s="17" t="inlineStr">
        <is>
          <t>LDYECS312S0044362</t>
        </is>
      </c>
      <c r="FF532" s="18" t="inlineStr">
        <is>
          <t>MDN35025010110</t>
        </is>
      </c>
      <c r="FG532" s="18" t="inlineStr">
        <is>
          <t>Zhong Thong</t>
        </is>
      </c>
      <c r="FH532" s="18" t="inlineStr">
        <is>
          <t>Lck6122evg</t>
        </is>
      </c>
      <c r="FI532" s="18" t="inlineStr">
        <is>
          <t>Zhong Thong</t>
        </is>
      </c>
      <c r="FJ532" s="18" t="inlineStr">
        <is>
          <t>Lck6122evg</t>
        </is>
      </c>
      <c r="FK532" s="18" t="n">
        <v>2026</v>
      </c>
      <c r="FL532" s="18" t="inlineStr">
        <is>
          <t>B</t>
        </is>
      </c>
      <c r="FM532" s="18" t="inlineStr">
        <is>
          <t>Ducaud</t>
        </is>
      </c>
      <c r="FP532" t="inlineStr">
        <is>
          <t>B</t>
        </is>
      </c>
      <c r="FS532" s="14" t="inlineStr">
        <is>
          <t>LXWT-87|</t>
        </is>
      </c>
      <c r="FT532" t="inlineStr">
        <is>
          <t>LXWT-87|</t>
        </is>
      </c>
      <c r="FU532" t="inlineStr">
        <is>
          <t>LXWT-87</t>
        </is>
      </c>
      <c r="FV532">
        <f>VLOOKUP(FU532,FD:FL,9,0)</f>
        <v/>
      </c>
      <c r="HA532" s="35" t="n">
        <v>77</v>
      </c>
      <c r="HB532" s="35" t="n">
        <v>526</v>
      </c>
    </row>
    <row r="533" ht="15.5" customHeight="1">
      <c r="A533" s="10">
        <f>HOUR(G533)+1</f>
        <v/>
      </c>
      <c r="B533" s="7" t="n"/>
      <c r="C533" s="7" t="n"/>
      <c r="D533" s="85">
        <f>IFERROR(
IF(AND(OR(Planilla!B533="C",Planilla!B533="c"), VLOOKUP(E533,FD:FP,13,0)="C"), "OK",IF(AND(OR(Planilla!B533="C",Planilla!B533="c"), OR(VLOOKUP(E533,FD:FP,13,0)="B", VLOOKUP(E533,FD:FP,13,0)="A")), "DEFICIT",IF(
AND(OR(Planilla!B533="B", Planilla!B533="BPAL"), VLOOKUP(E533,FD:FP,13,0)="B"), "OK",IF(AND(OR(Planilla!B533="B", Planilla!B533="BPAL"), VLOOKUP(E533,FD:FP,13,0)="A"), "DEFICIT",IF(AND(OR(Planilla!B533="B", Planilla!B533="BPAL"), VLOOKUP(E533,FD:FP,13,0)="C"), "SOBREOFERTA",IF(AND(Planilla!B533="A", VLOOKUP(E533,FD:FP,13,0)="A"), "OK",IF(
AND(Planilla!B533="A", OR(VLOOKUP(E533,FD:FP,13,0)="B", VLOOKUP(E533,FD:FP,13,0)="C")), "SOBREOFERTA",""
))))))),"")</f>
        <v/>
      </c>
      <c r="E533" s="8" t="n"/>
      <c r="F533" s="86" t="n"/>
      <c r="G533" s="87" t="n"/>
      <c r="H533" s="88">
        <f>IF(I533="","",IF(AND((I533-G533)&gt;=TIME(0,0,0),(I533-G533)&lt;TIME(0,3,0)),"OK",IF(AND((I533-G533)&gt;=TIME(0,3,0),(I533-G533)&lt;TIME(0,5,0)),"RETRASO DE 3-5 MIN",IF(AND((I533-G533)&gt;=TIME(0,5,0),(I533-G533)&lt;TIME(0,10,0)),"RETRASO DE 5-10 MIN",IF((I533-G533)&gt;=TIME(0,10,0),"RETRASO &gt;10 MIN", IF(AND((G533-I533)&gt;=TIME(0,0,0),(G533-I533)&lt;TIME(0,3,0)),"OK",IF((G533-I533)&gt;=TIME(0,3,0),"ADELANTADO")))))))</f>
        <v/>
      </c>
      <c r="I533" s="89" t="n"/>
      <c r="J533" s="89">
        <f>IF(A533&lt;&gt;"",HLOOKUP(VALUE(TEXT(G533,"h:mm:ss")),IF($C$6="Laboral",$FZ$4:$GX$227,IF($C$6="Sábado",$FZ$231:$GX$452,$FZ$456:$GX$656)),VLOOKUP($C$4,$HF$2:$HH$99,3,0)+IF(C$5="Ida",0,1),1),"")</f>
        <v/>
      </c>
      <c r="K533" s="89">
        <f>IF(A534&lt;&gt;A533,AVERAGEIF(A$9:A533,A533,J$9:J533),"")</f>
        <v/>
      </c>
      <c r="L533" s="89">
        <f>IFERROR(IF(A534&lt;&gt;A533,AVERAGEIF(A$9:A533,A533,S$9:S533),""),"")</f>
        <v/>
      </c>
      <c r="M533" s="89">
        <f>IFERROR(IF(A534&lt;&gt;A533,AVERAGEIF(A$9:A533,A533,T$9:T533),""),"")</f>
        <v/>
      </c>
      <c r="N533" s="89">
        <f t="array" ref="N533">IFERROR(IF(A534&lt;&gt;A533,_xlfn.STDEV.P(IF(A$9:A533=A533,T$9:T533)),""),"")</f>
        <v/>
      </c>
      <c r="O533" s="89">
        <f t="array" ref="O533">IFERROR(IF(A534&lt;&gt;A533,_xlfn.STDEV.P(IF(A$9:A533=A533,S$9:S533)),""),"")</f>
        <v/>
      </c>
      <c r="P533" s="90">
        <f>IFERROR(IF(A533&lt;&gt;A534,MAX((((M533*24*60)/2)*(1+POWER((((N533*24*60) / (M533*24*60) )),2))) + ((M533*24*60 )*-0.1 + (K533*0.015)) +1,(((M533*24*60)/2)*(1+POWER((((N533*24*60) / (M533*24*60 ))),2)))),""),"")</f>
        <v/>
      </c>
      <c r="Q533" s="90">
        <f>IF(AND(O533&lt;&gt;"",L533&lt;&gt;""),IF(A533&lt;&gt;A534,((L533*24*60) / 2 ) * (1 + POWER(((O533*24*60) / (L533*24*60)),2)),""),"")</f>
        <v/>
      </c>
      <c r="R533" s="90">
        <f>IF(Q533&lt;&gt;"",MAX(P533,Q533),"")</f>
        <v/>
      </c>
      <c r="S533" s="89">
        <f>IF(I533&lt;&gt;"H. Sale Real",IF(AND(I534&lt;&gt;"",LEFT(C534,2)&lt;&gt;"Va"),IF(AND(I533&lt;&gt;"",LEFT(C533,2)&lt;&gt;"Va",I533&lt;&gt;"H. Sale Real"),IF(I534-I533&lt;0.208333333333333,I534-I533,""),IF(AND(I532&lt;&gt;"",LEFT(C532,2)&lt;&gt;"Va",I532&lt;&gt;"H. Sale Real"),IF(I534-I532&lt;0.208333333333333,I534-I532,""),IF(AND(I531&lt;&gt;"",LEFT(C531,2)&lt;&gt;"Va",I531&lt;&gt;"H. Sale Real"),IF(I534-I531&lt;0.208333333333333,I534-I531,""),IF(AND(I530&lt;&gt;"",LEFT(C530,2)&lt;&gt;"Va",I530&lt;&gt;"H. Sale Real"),IF(I534-I530&lt;0.208333333333333,I534-I530,""),IF(AND(I529&lt;&gt;"",LEFT(C529,2)&lt;&gt;"Va",I529&lt;&gt;"H. Sale Real"),IF(I534-I529&lt;0.208333333333333,I534-I529,""),""))))),""),"")</f>
        <v/>
      </c>
      <c r="T533" s="89">
        <f>IF(G533&lt;&gt;"H. Sale Real",IF(AND(G534&lt;&gt;"",LEFT(C534,2)&lt;&gt;"Va"),IF(AND(G533&lt;&gt;"",LEFT(C533,2)&lt;&gt;"Va",G533&lt;&gt;"H. Sale Real"),IF(G534-G533&lt;0.208333333333333,G534-G533,""),IF(AND(G532&lt;&gt;"",LEFT(C532,2)&lt;&gt;"Va",G532&lt;&gt;"H. Sale Real"),IF(G534-G532&lt;0.208333333333333,G534-G532,""),IF(AND(G531&lt;&gt;"",LEFT(C531,2)&lt;&gt;"Va",G531&lt;&gt;"H. Sale Real"),IF(G534-G531&lt;0.208333333333333,G534-G531,""),IF(AND(G530&lt;&gt;"",LEFT(C530,2)&lt;&gt;"Va",G530&lt;&gt;"H. Sale Real"),IF(G534-G530&lt;0.208333333333333,G534-G530,""),IF(AND(G529&lt;&gt;"",LEFT(C529,2)&lt;&gt;"Va",G529&lt;&gt;"H. Sale Real"),IF(G534-G529&lt;0.208333333333333,G534-G529,""),""))))),""),"")</f>
        <v/>
      </c>
      <c r="U533" s="87" t="n"/>
      <c r="V533" s="89" t="n"/>
      <c r="W533" s="87" t="n"/>
      <c r="X533" s="89" t="n"/>
      <c r="Y533" s="91" t="n"/>
      <c r="Z533" s="122">
        <f>IF(G533&lt;&gt;"",IF(AND(Z532&lt;&gt;"IE",P533&lt;&gt;0,R533&lt;&gt;""),IF(IFERROR((P533/R533),0) &lt;=1,IFERROR(P533/R533,""),1),""),"")</f>
        <v/>
      </c>
      <c r="AA533" s="93" t="n"/>
      <c r="AB533" s="2" t="n"/>
      <c r="AE533" s="10">
        <f>HOUR(AK533)+1</f>
        <v/>
      </c>
      <c r="AF533" s="7" t="n"/>
      <c r="AG533" s="7" t="n"/>
      <c r="AH533" s="86" t="n"/>
      <c r="AI533" s="8" t="n"/>
      <c r="AJ533" s="86" t="n"/>
      <c r="AK533" s="87" t="n"/>
      <c r="AL533" s="88">
        <f>IF(AM533="","",IF(AND((AM533-AK533)&gt;=TIME(0,0,0),(AM533-AK533)&lt;TIME(0,3,0)),"OK",IF(AND((AM533-AK533)&gt;=TIME(0,3,0),(AM533-AK533)&lt;TIME(0,5,0)),"RETRASO DE 3-5 MIN",IF(AND((AM533-AK533)&gt;=TIME(0,5,0),(AM533-AK533)&lt;TIME(0,10,0)),"RETRASO DE 5-10 MIN",IF((AM533-AK533)&gt;=TIME(0,10,0),"RETRASO &gt;10 MIN", IF(AND((AK533-AM533)&gt;=TIME(0,0,0),(AK533-AM533)&lt;TIME(0,3,0)),"OK",IF((AK533-AM533)&gt;=TIME(0,3,0),"ADELANTADO")))))))</f>
        <v/>
      </c>
      <c r="AM533" s="91" t="n"/>
      <c r="AN533" s="89">
        <f>IF(AE533&lt;&gt;"",HLOOKUP(VALUE(TEXT(AK533,"h:mm:ss")),IF($C$6="Laboral",$FZ$4:$GX$227,IF($C$6="Sábado",$FZ$231:$GX$452,$FZ$456:$GX$656)),VLOOKUP($C$4,$HF$2:$HH$99,3,0)+IF(AG$5="Ida",0,1),1),"")</f>
        <v/>
      </c>
      <c r="AO533" s="89">
        <f>IF(AE534&lt;&gt;AE533,AVERAGEIF(AE$9:AE533,AE533,AN$9:AN533),"")</f>
        <v/>
      </c>
      <c r="AP533" s="89">
        <f>IFERROR(IF(AE534&lt;&gt;AE533,AVERAGEIF(AE$9:AE533,AE533,AW$9:AW533),""),"")</f>
        <v/>
      </c>
      <c r="AQ533" s="89">
        <f>IFERROR(IF(AE534&lt;&gt;AE533,AVERAGEIF(AE$9:AE533,AE533,AX$9:AX533),""),"")</f>
        <v/>
      </c>
      <c r="AR533" s="89">
        <f t="array" ref="AR533">IFERROR(IF(AE534&lt;&gt;AE533,_xlfn.STDEV.P(IF(AE$9:AE533=AE533,AX$9:AX533)),""),"")</f>
        <v/>
      </c>
      <c r="AS533" s="89">
        <f t="array" ref="AS533">IFERROR(IF(AE534&lt;&gt;AE533,_xlfn.STDEV.P(IF(AE$9:AE533=AE533,AW$9:AW533)),""),"")</f>
        <v/>
      </c>
      <c r="AT533" s="90">
        <f>IFERROR(IF(AE533&lt;&gt;AE534,MAX((((AQ533*24*60)/2)*(1+POWER((((AR533*24*60) / (AQ533*24*60) )),2))) + ((AQ533*24*60 )*-0.1 + (AO533*0.015)) +1,(((AQ533*24*60)/2)*(1+POWER((((AR533*24*60) / (AQ533*24*60 ))),2)))),""),"")</f>
        <v/>
      </c>
      <c r="AU533" s="90">
        <f>IF(AND(AS533&lt;&gt;"",AP533&lt;&gt;""),IF(AE533&lt;&gt;AE534,((AP533*24*60) / 2 ) * (1 + POWER(((AS533*24*60) / (AP533*24*60)),2)),""),"")</f>
        <v/>
      </c>
      <c r="AV533" s="90">
        <f>IF(AU533&lt;&gt;"",MAX(AT533,AU533),"")</f>
        <v/>
      </c>
      <c r="AW533" s="89">
        <f>IF(AM533&lt;&gt;"H. Sale Real",IF(AND(AM534&lt;&gt;"",LEFT(AG534,2)&lt;&gt;"Va"),IF(AND(AM533&lt;&gt;"",LEFT(AG533,2)&lt;&gt;"Va",AM533&lt;&gt;"H. Sale Real"),IF(AM534-AM533&lt;0.208333333333333,AM534-AM533,""),IF(AND(AM532&lt;&gt;"",LEFT(AG532,2)&lt;&gt;"Va",AM532&lt;&gt;"H. Sale Real"),IF(AM534-AM532&lt;0.208333333333333,AM534-AM532,""),IF(AND(AM531&lt;&gt;"",LEFT(AG531,2)&lt;&gt;"Va",AM531&lt;&gt;"H. Sale Real"),IF(AM534-AM531&lt;0.208333333333333,AM534-AM531,""),IF(AND(AM530&lt;&gt;"",LEFT(AG530,2)&lt;&gt;"Va",AM530&lt;&gt;"H. Sale Real"),IF(AM534-AM530&lt;0.208333333333333,AM534-AM530,""),IF(AND(AM529&lt;&gt;"",LEFT(AG529,2)&lt;&gt;"Va",AM529&lt;&gt;"H. Sale Real"),IF(AM534-AM529&lt;0.208333333333333,AM534-AM529,""),""))))),""),"")</f>
        <v/>
      </c>
      <c r="AX533" s="89">
        <f>IF(AK533&lt;&gt;"H. Sale Real",IF(AND(AK534&lt;&gt;"",LEFT(AG534,2)&lt;&gt;"Va"),IF(AND(AK533&lt;&gt;"",LEFT(AG533,2)&lt;&gt;"Va",AK533&lt;&gt;"H. Sale Real"),IF(AK534-AK533&lt;0.208333333333333,AK534-AK533,""),IF(AND(AK532&lt;&gt;"",LEFT(AG532,2)&lt;&gt;"Va",AK532&lt;&gt;"H. Sale Real"),IF(AK534-AK532&lt;0.208333333333333,AK534-AK532,""),IF(AND(AK531&lt;&gt;"",LEFT(AG531,2)&lt;&gt;"NC",AK531&lt;&gt;"H. Sale Real"),IF(AK534-AK531&lt;0.208333333333333,AK534-AK531,""),IF(AND(AK530&lt;&gt;"",LEFT(AG530,2)&lt;&gt;"Va",AK530&lt;&gt;"H. Sale Real"),IF(AK534-AK530&lt;0.208333333333333,AK534-AK530,""),IF(AND(AK529&lt;&gt;"",LEFT(AG529,2)&lt;&gt;"Va",AK529&lt;&gt;"H. Sale Real"),IF(AK534-AK529&lt;0.208333333333333,AK534-AK529,""),""))))),""),"")</f>
        <v/>
      </c>
      <c r="AY533" s="87" t="n"/>
      <c r="AZ533" s="89" t="n"/>
      <c r="BA533" s="87" t="n"/>
      <c r="BB533" s="89" t="n"/>
      <c r="BC533" s="91" t="n"/>
      <c r="BD533" s="122">
        <f>IF(AK533&lt;&gt;"",IF(AND(BD532&lt;&gt;"IE",AT533&lt;&gt;0,AV533&lt;&gt;""),IF(IFERROR((AT533/AV533),0) &lt;=1,IFERROR(AT533/AV533,""),1),""),"")</f>
        <v/>
      </c>
      <c r="BE533" s="93" t="n"/>
      <c r="BF533" s="105" t="n"/>
      <c r="FC533" t="inlineStr">
        <is>
          <t>Diccionario 1</t>
        </is>
      </c>
      <c r="FD533" s="15" t="inlineStr"/>
      <c r="FE533" s="17" t="inlineStr">
        <is>
          <t>LDYECS314S0044380</t>
        </is>
      </c>
      <c r="FF533" s="18" t="inlineStr">
        <is>
          <t>MDN35025030033</t>
        </is>
      </c>
      <c r="FG533" s="18" t="inlineStr">
        <is>
          <t>Zhong Thong</t>
        </is>
      </c>
      <c r="FH533" s="18" t="inlineStr">
        <is>
          <t>Lck6122evg</t>
        </is>
      </c>
      <c r="FI533" s="18" t="inlineStr">
        <is>
          <t>Zhong Thong</t>
        </is>
      </c>
      <c r="FJ533" s="18" t="inlineStr">
        <is>
          <t>Lck6122evg</t>
        </is>
      </c>
      <c r="FK533" s="18" t="n">
        <v>2026</v>
      </c>
      <c r="FL533" s="18" t="inlineStr">
        <is>
          <t>B</t>
        </is>
      </c>
      <c r="FM533" s="18" t="inlineStr">
        <is>
          <t>Ducaud</t>
        </is>
      </c>
      <c r="FP533" t="inlineStr">
        <is>
          <t>B</t>
        </is>
      </c>
      <c r="FS533" s="14" t="inlineStr">
        <is>
          <t>LZPR-96|</t>
        </is>
      </c>
      <c r="FT533" t="inlineStr">
        <is>
          <t>LZPR-96|</t>
        </is>
      </c>
      <c r="FU533" t="inlineStr">
        <is>
          <t>LZPR-96</t>
        </is>
      </c>
      <c r="FV533">
        <f>VLOOKUP(FU533,FD:FL,9,0)</f>
        <v/>
      </c>
      <c r="HA533" s="35" t="n">
        <v>78</v>
      </c>
      <c r="HB533" s="35" t="n">
        <v>527</v>
      </c>
    </row>
    <row r="534" ht="15.5" customHeight="1">
      <c r="A534" s="10">
        <f>HOUR(G534)+1</f>
        <v/>
      </c>
      <c r="B534" s="7" t="n"/>
      <c r="C534" s="7" t="n"/>
      <c r="D534" s="85">
        <f>IFERROR(
IF(AND(OR(Planilla!B534="C",Planilla!B534="c"), VLOOKUP(E534,FD:FP,13,0)="C"), "OK",IF(AND(OR(Planilla!B534="C",Planilla!B534="c"), OR(VLOOKUP(E534,FD:FP,13,0)="B", VLOOKUP(E534,FD:FP,13,0)="A")), "DEFICIT",IF(
AND(OR(Planilla!B534="B", Planilla!B534="BPAL"), VLOOKUP(E534,FD:FP,13,0)="B"), "OK",IF(AND(OR(Planilla!B534="B", Planilla!B534="BPAL"), VLOOKUP(E534,FD:FP,13,0)="A"), "DEFICIT",IF(AND(OR(Planilla!B534="B", Planilla!B534="BPAL"), VLOOKUP(E534,FD:FP,13,0)="C"), "SOBREOFERTA",IF(AND(Planilla!B534="A", VLOOKUP(E534,FD:FP,13,0)="A"), "OK",IF(
AND(Planilla!B534="A", OR(VLOOKUP(E534,FD:FP,13,0)="B", VLOOKUP(E534,FD:FP,13,0)="C")), "SOBREOFERTA",""
))))))),"")</f>
        <v/>
      </c>
      <c r="E534" s="8" t="n"/>
      <c r="F534" s="86" t="n"/>
      <c r="G534" s="87" t="n"/>
      <c r="H534" s="88">
        <f>IF(I534="","",IF(AND((I534-G534)&gt;=TIME(0,0,0),(I534-G534)&lt;TIME(0,3,0)),"OK",IF(AND((I534-G534)&gt;=TIME(0,3,0),(I534-G534)&lt;TIME(0,5,0)),"RETRASO DE 3-5 MIN",IF(AND((I534-G534)&gt;=TIME(0,5,0),(I534-G534)&lt;TIME(0,10,0)),"RETRASO DE 5-10 MIN",IF((I534-G534)&gt;=TIME(0,10,0),"RETRASO &gt;10 MIN", IF(AND((G534-I534)&gt;=TIME(0,0,0),(G534-I534)&lt;TIME(0,3,0)),"OK",IF((G534-I534)&gt;=TIME(0,3,0),"ADELANTADO")))))))</f>
        <v/>
      </c>
      <c r="I534" s="89" t="n"/>
      <c r="J534" s="89">
        <f>IF(A534&lt;&gt;"",HLOOKUP(VALUE(TEXT(G534,"h:mm:ss")),IF($C$6="Laboral",$FZ$4:$GX$227,IF($C$6="Sábado",$FZ$231:$GX$452,$FZ$456:$GX$656)),VLOOKUP($C$4,$HF$2:$HH$99,3,0)+IF(C$5="Ida",0,1),1),"")</f>
        <v/>
      </c>
      <c r="K534" s="89">
        <f>IF(A535&lt;&gt;A534,AVERAGEIF(A$9:A534,A534,J$9:J534),"")</f>
        <v/>
      </c>
      <c r="L534" s="89">
        <f>IFERROR(IF(A535&lt;&gt;A534,AVERAGEIF(A$9:A534,A534,S$9:S534),""),"")</f>
        <v/>
      </c>
      <c r="M534" s="89">
        <f>IFERROR(IF(A535&lt;&gt;A534,AVERAGEIF(A$9:A534,A534,T$9:T534),""),"")</f>
        <v/>
      </c>
      <c r="N534" s="89">
        <f t="array" ref="N534">IFERROR(IF(A535&lt;&gt;A534,_xlfn.STDEV.P(IF(A$9:A534=A534,T$9:T534)),""),"")</f>
        <v/>
      </c>
      <c r="O534" s="89">
        <f t="array" ref="O534">IFERROR(IF(A535&lt;&gt;A534,_xlfn.STDEV.P(IF(A$9:A534=A534,S$9:S534)),""),"")</f>
        <v/>
      </c>
      <c r="P534" s="90">
        <f>IFERROR(IF(A534&lt;&gt;A535,MAX((((M534*24*60)/2)*(1+POWER((((N534*24*60) / (M534*24*60) )),2))) + ((M534*24*60 )*-0.1 + (K534*0.015)) +1,(((M534*24*60)/2)*(1+POWER((((N534*24*60) / (M534*24*60 ))),2)))),""),"")</f>
        <v/>
      </c>
      <c r="Q534" s="90">
        <f>IF(AND(O534&lt;&gt;"",L534&lt;&gt;""),IF(A534&lt;&gt;A535,((L534*24*60) / 2 ) * (1 + POWER(((O534*24*60) / (L534*24*60)),2)),""),"")</f>
        <v/>
      </c>
      <c r="R534" s="90">
        <f>IF(Q534&lt;&gt;"",MAX(P534,Q534),"")</f>
        <v/>
      </c>
      <c r="S534" s="89">
        <f>IF(I534&lt;&gt;"H. Sale Real",IF(AND(I535&lt;&gt;"",LEFT(C535,2)&lt;&gt;"Va"),IF(AND(I534&lt;&gt;"",LEFT(C534,2)&lt;&gt;"Va",I534&lt;&gt;"H. Sale Real"),IF(I535-I534&lt;0.208333333333333,I535-I534,""),IF(AND(I533&lt;&gt;"",LEFT(C533,2)&lt;&gt;"Va",I533&lt;&gt;"H. Sale Real"),IF(I535-I533&lt;0.208333333333333,I535-I533,""),IF(AND(I532&lt;&gt;"",LEFT(C532,2)&lt;&gt;"Va",I532&lt;&gt;"H. Sale Real"),IF(I535-I532&lt;0.208333333333333,I535-I532,""),IF(AND(I531&lt;&gt;"",LEFT(C531,2)&lt;&gt;"Va",I531&lt;&gt;"H. Sale Real"),IF(I535-I531&lt;0.208333333333333,I535-I531,""),IF(AND(I530&lt;&gt;"",LEFT(C530,2)&lt;&gt;"Va",I530&lt;&gt;"H. Sale Real"),IF(I535-I530&lt;0.208333333333333,I535-I530,""),""))))),""),"")</f>
        <v/>
      </c>
      <c r="T534" s="89">
        <f>IF(G534&lt;&gt;"H. Sale Real",IF(AND(G535&lt;&gt;"",LEFT(C535,2)&lt;&gt;"Va"),IF(AND(G534&lt;&gt;"",LEFT(C534,2)&lt;&gt;"Va",G534&lt;&gt;"H. Sale Real"),IF(G535-G534&lt;0.208333333333333,G535-G534,""),IF(AND(G533&lt;&gt;"",LEFT(C533,2)&lt;&gt;"Va",G533&lt;&gt;"H. Sale Real"),IF(G535-G533&lt;0.208333333333333,G535-G533,""),IF(AND(G532&lt;&gt;"",LEFT(C532,2)&lt;&gt;"Va",G532&lt;&gt;"H. Sale Real"),IF(G535-G532&lt;0.208333333333333,G535-G532,""),IF(AND(G531&lt;&gt;"",LEFT(C531,2)&lt;&gt;"Va",G531&lt;&gt;"H. Sale Real"),IF(G535-G531&lt;0.208333333333333,G535-G531,""),IF(AND(G530&lt;&gt;"",LEFT(C530,2)&lt;&gt;"Va",G530&lt;&gt;"H. Sale Real"),IF(G535-G530&lt;0.208333333333333,G535-G530,""),""))))),""),"")</f>
        <v/>
      </c>
      <c r="U534" s="87" t="n"/>
      <c r="V534" s="89" t="n"/>
      <c r="W534" s="87" t="n"/>
      <c r="X534" s="89" t="n"/>
      <c r="Y534" s="91" t="n"/>
      <c r="Z534" s="122">
        <f>IF(G534&lt;&gt;"",IF(AND(Z533&lt;&gt;"IE",P534&lt;&gt;0,R534&lt;&gt;""),IF(IFERROR((P534/R534),0) &lt;=1,IFERROR(P534/R534,""),1),""),"")</f>
        <v/>
      </c>
      <c r="AA534" s="93" t="n"/>
      <c r="AB534" s="2" t="n"/>
      <c r="AE534" s="10">
        <f>HOUR(AK534)+1</f>
        <v/>
      </c>
      <c r="AF534" s="7" t="n"/>
      <c r="AG534" s="7" t="n"/>
      <c r="AH534" s="86" t="n"/>
      <c r="AI534" s="8" t="n"/>
      <c r="AJ534" s="86" t="n"/>
      <c r="AK534" s="87" t="n"/>
      <c r="AL534" s="88">
        <f>IF(AM534="","",IF(AND((AM534-AK534)&gt;=TIME(0,0,0),(AM534-AK534)&lt;TIME(0,3,0)),"OK",IF(AND((AM534-AK534)&gt;=TIME(0,3,0),(AM534-AK534)&lt;TIME(0,5,0)),"RETRASO DE 3-5 MIN",IF(AND((AM534-AK534)&gt;=TIME(0,5,0),(AM534-AK534)&lt;TIME(0,10,0)),"RETRASO DE 5-10 MIN",IF((AM534-AK534)&gt;=TIME(0,10,0),"RETRASO &gt;10 MIN", IF(AND((AK534-AM534)&gt;=TIME(0,0,0),(AK534-AM534)&lt;TIME(0,3,0)),"OK",IF((AK534-AM534)&gt;=TIME(0,3,0),"ADELANTADO")))))))</f>
        <v/>
      </c>
      <c r="AM534" s="91" t="n"/>
      <c r="AN534" s="89">
        <f>IF(AE534&lt;&gt;"",HLOOKUP(VALUE(TEXT(AK534,"h:mm:ss")),IF($C$6="Laboral",$FZ$4:$GX$227,IF($C$6="Sábado",$FZ$231:$GX$452,$FZ$456:$GX$656)),VLOOKUP($C$4,$HF$2:$HH$99,3,0)+IF(AG$5="Ida",0,1),1),"")</f>
        <v/>
      </c>
      <c r="AO534" s="89">
        <f>IF(AE535&lt;&gt;AE534,AVERAGEIF(AE$9:AE534,AE534,AN$9:AN534),"")</f>
        <v/>
      </c>
      <c r="AP534" s="89">
        <f>IFERROR(IF(AE535&lt;&gt;AE534,AVERAGEIF(AE$9:AE534,AE534,AW$9:AW534),""),"")</f>
        <v/>
      </c>
      <c r="AQ534" s="89">
        <f>IFERROR(IF(AE535&lt;&gt;AE534,AVERAGEIF(AE$9:AE534,AE534,AX$9:AX534),""),"")</f>
        <v/>
      </c>
      <c r="AR534" s="89">
        <f t="array" ref="AR534">IFERROR(IF(AE535&lt;&gt;AE534,_xlfn.STDEV.P(IF(AE$9:AE534=AE534,AX$9:AX534)),""),"")</f>
        <v/>
      </c>
      <c r="AS534" s="89">
        <f t="array" ref="AS534">IFERROR(IF(AE535&lt;&gt;AE534,_xlfn.STDEV.P(IF(AE$9:AE534=AE534,AW$9:AW534)),""),"")</f>
        <v/>
      </c>
      <c r="AT534" s="90">
        <f>IFERROR(IF(AE534&lt;&gt;AE535,MAX((((AQ534*24*60)/2)*(1+POWER((((AR534*24*60) / (AQ534*24*60) )),2))) + ((AQ534*24*60 )*-0.1 + (AO534*0.015)) +1,(((AQ534*24*60)/2)*(1+POWER((((AR534*24*60) / (AQ534*24*60 ))),2)))),""),"")</f>
        <v/>
      </c>
      <c r="AU534" s="90">
        <f>IF(AND(AS534&lt;&gt;"",AP534&lt;&gt;""),IF(AE534&lt;&gt;AE535,((AP534*24*60) / 2 ) * (1 + POWER(((AS534*24*60) / (AP534*24*60)),2)),""),"")</f>
        <v/>
      </c>
      <c r="AV534" s="90">
        <f>IF(AU534&lt;&gt;"",MAX(AT534,AU534),"")</f>
        <v/>
      </c>
      <c r="AW534" s="89">
        <f>IF(AM534&lt;&gt;"H. Sale Real",IF(AND(AM535&lt;&gt;"",LEFT(AG535,2)&lt;&gt;"Va"),IF(AND(AM534&lt;&gt;"",LEFT(AG534,2)&lt;&gt;"Va",AM534&lt;&gt;"H. Sale Real"),IF(AM535-AM534&lt;0.208333333333333,AM535-AM534,""),IF(AND(AM533&lt;&gt;"",LEFT(AG533,2)&lt;&gt;"Va",AM533&lt;&gt;"H. Sale Real"),IF(AM535-AM533&lt;0.208333333333333,AM535-AM533,""),IF(AND(AM532&lt;&gt;"",LEFT(AG532,2)&lt;&gt;"Va",AM532&lt;&gt;"H. Sale Real"),IF(AM535-AM532&lt;0.208333333333333,AM535-AM532,""),IF(AND(AM531&lt;&gt;"",LEFT(AG531,2)&lt;&gt;"Va",AM531&lt;&gt;"H. Sale Real"),IF(AM535-AM531&lt;0.208333333333333,AM535-AM531,""),IF(AND(AM530&lt;&gt;"",LEFT(AG530,2)&lt;&gt;"Va",AM530&lt;&gt;"H. Sale Real"),IF(AM535-AM530&lt;0.208333333333333,AM535-AM530,""),""))))),""),"")</f>
        <v/>
      </c>
      <c r="AX534" s="89">
        <f>IF(AK534&lt;&gt;"H. Sale Real",IF(AND(AK535&lt;&gt;"",LEFT(AG535,2)&lt;&gt;"Va"),IF(AND(AK534&lt;&gt;"",LEFT(AG534,2)&lt;&gt;"Va",AK534&lt;&gt;"H. Sale Real"),IF(AK535-AK534&lt;0.208333333333333,AK535-AK534,""),IF(AND(AK533&lt;&gt;"",LEFT(AG533,2)&lt;&gt;"Va",AK533&lt;&gt;"H. Sale Real"),IF(AK535-AK533&lt;0.208333333333333,AK535-AK533,""),IF(AND(AK532&lt;&gt;"",LEFT(AG532,2)&lt;&gt;"NC",AK532&lt;&gt;"H. Sale Real"),IF(AK535-AK532&lt;0.208333333333333,AK535-AK532,""),IF(AND(AK531&lt;&gt;"",LEFT(AG531,2)&lt;&gt;"Va",AK531&lt;&gt;"H. Sale Real"),IF(AK535-AK531&lt;0.208333333333333,AK535-AK531,""),IF(AND(AK530&lt;&gt;"",LEFT(AG530,2)&lt;&gt;"Va",AK530&lt;&gt;"H. Sale Real"),IF(AK535-AK530&lt;0.208333333333333,AK535-AK530,""),""))))),""),"")</f>
        <v/>
      </c>
      <c r="AY534" s="87" t="n"/>
      <c r="AZ534" s="89" t="n"/>
      <c r="BA534" s="87" t="n"/>
      <c r="BB534" s="89" t="n"/>
      <c r="BC534" s="91" t="n"/>
      <c r="BD534" s="122">
        <f>IF(AK534&lt;&gt;"",IF(AND(BD533&lt;&gt;"IE",AT534&lt;&gt;0,AV534&lt;&gt;""),IF(IFERROR((AT534/AV534),0) &lt;=1,IFERROR(AT534/AV534,""),1),""),"")</f>
        <v/>
      </c>
      <c r="BE534" s="93" t="n"/>
      <c r="BF534" s="105" t="n"/>
      <c r="FC534" t="inlineStr">
        <is>
          <t>Diccionario 1</t>
        </is>
      </c>
      <c r="FD534" s="15" t="inlineStr"/>
      <c r="FE534" s="17" t="inlineStr">
        <is>
          <t>LDYECS312S0044300</t>
        </is>
      </c>
      <c r="FF534" s="18" t="inlineStr">
        <is>
          <t>MDN350025010178</t>
        </is>
      </c>
      <c r="FG534" s="18" t="inlineStr">
        <is>
          <t>Zhong Thong</t>
        </is>
      </c>
      <c r="FH534" s="18" t="inlineStr">
        <is>
          <t>Lck6122evg</t>
        </is>
      </c>
      <c r="FI534" s="18" t="inlineStr">
        <is>
          <t>Zhong Thong</t>
        </is>
      </c>
      <c r="FJ534" s="18" t="inlineStr">
        <is>
          <t>Lck6122evg</t>
        </is>
      </c>
      <c r="FK534" s="18" t="n">
        <v>2026</v>
      </c>
      <c r="FL534" s="18" t="inlineStr">
        <is>
          <t>B</t>
        </is>
      </c>
      <c r="FM534" s="18" t="inlineStr">
        <is>
          <t>Ducaud</t>
        </is>
      </c>
      <c r="FP534" t="inlineStr">
        <is>
          <t>B</t>
        </is>
      </c>
      <c r="FS534" s="14" t="inlineStr">
        <is>
          <t>LZPS-24|</t>
        </is>
      </c>
      <c r="FT534" t="inlineStr">
        <is>
          <t>LZPS-24|</t>
        </is>
      </c>
      <c r="FU534" t="inlineStr">
        <is>
          <t>LZPS-24</t>
        </is>
      </c>
      <c r="FV534">
        <f>VLOOKUP(FU534,FD:FL,9,0)</f>
        <v/>
      </c>
      <c r="HA534" s="35" t="n">
        <v>79</v>
      </c>
      <c r="HB534" s="35" t="n">
        <v>528</v>
      </c>
    </row>
    <row r="535" ht="15.5" customHeight="1">
      <c r="A535" s="10">
        <f>HOUR(G535)+1</f>
        <v/>
      </c>
      <c r="B535" s="7" t="n"/>
      <c r="C535" s="7" t="n"/>
      <c r="D535" s="85">
        <f>IFERROR(
IF(AND(OR(Planilla!B535="C",Planilla!B535="c"), VLOOKUP(E535,FD:FP,13,0)="C"), "OK",IF(AND(OR(Planilla!B535="C",Planilla!B535="c"), OR(VLOOKUP(E535,FD:FP,13,0)="B", VLOOKUP(E535,FD:FP,13,0)="A")), "DEFICIT",IF(
AND(OR(Planilla!B535="B", Planilla!B535="BPAL"), VLOOKUP(E535,FD:FP,13,0)="B"), "OK",IF(AND(OR(Planilla!B535="B", Planilla!B535="BPAL"), VLOOKUP(E535,FD:FP,13,0)="A"), "DEFICIT",IF(AND(OR(Planilla!B535="B", Planilla!B535="BPAL"), VLOOKUP(E535,FD:FP,13,0)="C"), "SOBREOFERTA",IF(AND(Planilla!B535="A", VLOOKUP(E535,FD:FP,13,0)="A"), "OK",IF(
AND(Planilla!B535="A", OR(VLOOKUP(E535,FD:FP,13,0)="B", VLOOKUP(E535,FD:FP,13,0)="C")), "SOBREOFERTA",""
))))))),"")</f>
        <v/>
      </c>
      <c r="E535" s="8" t="n"/>
      <c r="F535" s="86" t="n"/>
      <c r="G535" s="87" t="n"/>
      <c r="H535" s="88">
        <f>IF(I535="","",IF(AND((I535-G535)&gt;=TIME(0,0,0),(I535-G535)&lt;TIME(0,3,0)),"OK",IF(AND((I535-G535)&gt;=TIME(0,3,0),(I535-G535)&lt;TIME(0,5,0)),"RETRASO DE 3-5 MIN",IF(AND((I535-G535)&gt;=TIME(0,5,0),(I535-G535)&lt;TIME(0,10,0)),"RETRASO DE 5-10 MIN",IF((I535-G535)&gt;=TIME(0,10,0),"RETRASO &gt;10 MIN", IF(AND((G535-I535)&gt;=TIME(0,0,0),(G535-I535)&lt;TIME(0,3,0)),"OK",IF((G535-I535)&gt;=TIME(0,3,0),"ADELANTADO")))))))</f>
        <v/>
      </c>
      <c r="I535" s="89" t="n"/>
      <c r="J535" s="89">
        <f>IF(A535&lt;&gt;"",HLOOKUP(VALUE(TEXT(G535,"h:mm:ss")),IF($C$6="Laboral",$FZ$4:$GX$227,IF($C$6="Sábado",$FZ$231:$GX$452,$FZ$456:$GX$656)),VLOOKUP($C$4,$HF$2:$HH$99,3,0)+IF(C$5="Ida",0,1),1),"")</f>
        <v/>
      </c>
      <c r="K535" s="89">
        <f>IF(A536&lt;&gt;A535,AVERAGEIF(A$9:A535,A535,J$9:J535),"")</f>
        <v/>
      </c>
      <c r="L535" s="89">
        <f>IFERROR(IF(A536&lt;&gt;A535,AVERAGEIF(A$9:A535,A535,S$9:S535),""),"")</f>
        <v/>
      </c>
      <c r="M535" s="89">
        <f>IFERROR(IF(A536&lt;&gt;A535,AVERAGEIF(A$9:A535,A535,T$9:T535),""),"")</f>
        <v/>
      </c>
      <c r="N535" s="89">
        <f t="array" ref="N535">IFERROR(IF(A536&lt;&gt;A535,_xlfn.STDEV.P(IF(A$9:A535=A535,T$9:T535)),""),"")</f>
        <v/>
      </c>
      <c r="O535" s="89">
        <f t="array" ref="O535">IFERROR(IF(A536&lt;&gt;A535,_xlfn.STDEV.P(IF(A$9:A535=A535,S$9:S535)),""),"")</f>
        <v/>
      </c>
      <c r="P535" s="90">
        <f>IFERROR(IF(A535&lt;&gt;A536,MAX((((M535*24*60)/2)*(1+POWER((((N535*24*60) / (M535*24*60) )),2))) + ((M535*24*60 )*-0.1 + (K535*0.015)) +1,(((M535*24*60)/2)*(1+POWER((((N535*24*60) / (M535*24*60 ))),2)))),""),"")</f>
        <v/>
      </c>
      <c r="Q535" s="90">
        <f>IF(AND(O535&lt;&gt;"",L535&lt;&gt;""),IF(A535&lt;&gt;A536,((L535*24*60) / 2 ) * (1 + POWER(((O535*24*60) / (L535*24*60)),2)),""),"")</f>
        <v/>
      </c>
      <c r="R535" s="90">
        <f>IF(Q535&lt;&gt;"",MAX(P535,Q535),"")</f>
        <v/>
      </c>
      <c r="S535" s="89">
        <f>IF(I535&lt;&gt;"H. Sale Real",IF(AND(I536&lt;&gt;"",LEFT(C536,2)&lt;&gt;"Va"),IF(AND(I535&lt;&gt;"",LEFT(C535,2)&lt;&gt;"Va",I535&lt;&gt;"H. Sale Real"),IF(I536-I535&lt;0.208333333333333,I536-I535,""),IF(AND(I534&lt;&gt;"",LEFT(C534,2)&lt;&gt;"Va",I534&lt;&gt;"H. Sale Real"),IF(I536-I534&lt;0.208333333333333,I536-I534,""),IF(AND(I533&lt;&gt;"",LEFT(C533,2)&lt;&gt;"Va",I533&lt;&gt;"H. Sale Real"),IF(I536-I533&lt;0.208333333333333,I536-I533,""),IF(AND(I532&lt;&gt;"",LEFT(C532,2)&lt;&gt;"Va",I532&lt;&gt;"H. Sale Real"),IF(I536-I532&lt;0.208333333333333,I536-I532,""),IF(AND(I531&lt;&gt;"",LEFT(C531,2)&lt;&gt;"Va",I531&lt;&gt;"H. Sale Real"),IF(I536-I531&lt;0.208333333333333,I536-I531,""),""))))),""),"")</f>
        <v/>
      </c>
      <c r="T535" s="89">
        <f>IF(G535&lt;&gt;"H. Sale Real",IF(AND(G536&lt;&gt;"",LEFT(C536,2)&lt;&gt;"Va"),IF(AND(G535&lt;&gt;"",LEFT(C535,2)&lt;&gt;"Va",G535&lt;&gt;"H. Sale Real"),IF(G536-G535&lt;0.208333333333333,G536-G535,""),IF(AND(G534&lt;&gt;"",LEFT(C534,2)&lt;&gt;"Va",G534&lt;&gt;"H. Sale Real"),IF(G536-G534&lt;0.208333333333333,G536-G534,""),IF(AND(G533&lt;&gt;"",LEFT(C533,2)&lt;&gt;"Va",G533&lt;&gt;"H. Sale Real"),IF(G536-G533&lt;0.208333333333333,G536-G533,""),IF(AND(G532&lt;&gt;"",LEFT(C532,2)&lt;&gt;"Va",G532&lt;&gt;"H. Sale Real"),IF(G536-G532&lt;0.208333333333333,G536-G532,""),IF(AND(G531&lt;&gt;"",LEFT(C531,2)&lt;&gt;"Va",G531&lt;&gt;"H. Sale Real"),IF(G536-G531&lt;0.208333333333333,G536-G531,""),""))))),""),"")</f>
        <v/>
      </c>
      <c r="U535" s="87" t="n"/>
      <c r="V535" s="89" t="n"/>
      <c r="W535" s="87" t="n"/>
      <c r="X535" s="89" t="n"/>
      <c r="Y535" s="91" t="n"/>
      <c r="Z535" s="122">
        <f>IF(G535&lt;&gt;"",IF(AND(Z534&lt;&gt;"IE",P535&lt;&gt;0,R535&lt;&gt;""),IF(IFERROR((P535/R535),0) &lt;=1,IFERROR(P535/R535,""),1),""),"")</f>
        <v/>
      </c>
      <c r="AA535" s="93" t="n"/>
      <c r="AB535" s="2" t="n"/>
      <c r="AE535" s="10">
        <f>HOUR(AK535)+1</f>
        <v/>
      </c>
      <c r="AF535" s="7" t="n"/>
      <c r="AG535" s="7" t="n"/>
      <c r="AH535" s="86" t="n"/>
      <c r="AI535" s="8" t="n"/>
      <c r="AJ535" s="86" t="n"/>
      <c r="AK535" s="87" t="n"/>
      <c r="AL535" s="88">
        <f>IF(AM535="","",IF(AND((AM535-AK535)&gt;=TIME(0,0,0),(AM535-AK535)&lt;TIME(0,3,0)),"OK",IF(AND((AM535-AK535)&gt;=TIME(0,3,0),(AM535-AK535)&lt;TIME(0,5,0)),"RETRASO DE 3-5 MIN",IF(AND((AM535-AK535)&gt;=TIME(0,5,0),(AM535-AK535)&lt;TIME(0,10,0)),"RETRASO DE 5-10 MIN",IF((AM535-AK535)&gt;=TIME(0,10,0),"RETRASO &gt;10 MIN", IF(AND((AK535-AM535)&gt;=TIME(0,0,0),(AK535-AM535)&lt;TIME(0,3,0)),"OK",IF((AK535-AM535)&gt;=TIME(0,3,0),"ADELANTADO")))))))</f>
        <v/>
      </c>
      <c r="AM535" s="91" t="n"/>
      <c r="AN535" s="89">
        <f>IF(AE535&lt;&gt;"",HLOOKUP(VALUE(TEXT(AK535,"h:mm:ss")),IF($C$6="Laboral",$FZ$4:$GX$227,IF($C$6="Sábado",$FZ$231:$GX$452,$FZ$456:$GX$656)),VLOOKUP($C$4,$HF$2:$HH$99,3,0)+IF(AG$5="Ida",0,1),1),"")</f>
        <v/>
      </c>
      <c r="AO535" s="89">
        <f>IF(AE536&lt;&gt;AE535,AVERAGEIF(AE$9:AE535,AE535,AN$9:AN535),"")</f>
        <v/>
      </c>
      <c r="AP535" s="89">
        <f>IFERROR(IF(AE536&lt;&gt;AE535,AVERAGEIF(AE$9:AE535,AE535,AW$9:AW535),""),"")</f>
        <v/>
      </c>
      <c r="AQ535" s="89">
        <f>IFERROR(IF(AE536&lt;&gt;AE535,AVERAGEIF(AE$9:AE535,AE535,AX$9:AX535),""),"")</f>
        <v/>
      </c>
      <c r="AR535" s="89">
        <f t="array" ref="AR535">IFERROR(IF(AE536&lt;&gt;AE535,_xlfn.STDEV.P(IF(AE$9:AE535=AE535,AX$9:AX535)),""),"")</f>
        <v/>
      </c>
      <c r="AS535" s="89">
        <f t="array" ref="AS535">IFERROR(IF(AE536&lt;&gt;AE535,_xlfn.STDEV.P(IF(AE$9:AE535=AE535,AW$9:AW535)),""),"")</f>
        <v/>
      </c>
      <c r="AT535" s="90">
        <f>IFERROR(IF(AE535&lt;&gt;AE536,MAX((((AQ535*24*60)/2)*(1+POWER((((AR535*24*60) / (AQ535*24*60) )),2))) + ((AQ535*24*60 )*-0.1 + (AO535*0.015)) +1,(((AQ535*24*60)/2)*(1+POWER((((AR535*24*60) / (AQ535*24*60 ))),2)))),""),"")</f>
        <v/>
      </c>
      <c r="AU535" s="90">
        <f>IF(AND(AS535&lt;&gt;"",AP535&lt;&gt;""),IF(AE535&lt;&gt;AE536,((AP535*24*60) / 2 ) * (1 + POWER(((AS535*24*60) / (AP535*24*60)),2)),""),"")</f>
        <v/>
      </c>
      <c r="AV535" s="90">
        <f>IF(AU535&lt;&gt;"",MAX(AT535,AU535),"")</f>
        <v/>
      </c>
      <c r="AW535" s="89">
        <f>IF(AM535&lt;&gt;"H. Sale Real",IF(AND(AM536&lt;&gt;"",LEFT(AG536,2)&lt;&gt;"Va"),IF(AND(AM535&lt;&gt;"",LEFT(AG535,2)&lt;&gt;"Va",AM535&lt;&gt;"H. Sale Real"),IF(AM536-AM535&lt;0.208333333333333,AM536-AM535,""),IF(AND(AM534&lt;&gt;"",LEFT(AG534,2)&lt;&gt;"Va",AM534&lt;&gt;"H. Sale Real"),IF(AM536-AM534&lt;0.208333333333333,AM536-AM534,""),IF(AND(AM533&lt;&gt;"",LEFT(AG533,2)&lt;&gt;"Va",AM533&lt;&gt;"H. Sale Real"),IF(AM536-AM533&lt;0.208333333333333,AM536-AM533,""),IF(AND(AM532&lt;&gt;"",LEFT(AG532,2)&lt;&gt;"Va",AM532&lt;&gt;"H. Sale Real"),IF(AM536-AM532&lt;0.208333333333333,AM536-AM532,""),IF(AND(AM531&lt;&gt;"",LEFT(AG531,2)&lt;&gt;"Va",AM531&lt;&gt;"H. Sale Real"),IF(AM536-AM531&lt;0.208333333333333,AM536-AM531,""),""))))),""),"")</f>
        <v/>
      </c>
      <c r="AX535" s="89">
        <f>IF(AK535&lt;&gt;"H. Sale Real",IF(AND(AK536&lt;&gt;"",LEFT(AG536,2)&lt;&gt;"Va"),IF(AND(AK535&lt;&gt;"",LEFT(AG535,2)&lt;&gt;"Va",AK535&lt;&gt;"H. Sale Real"),IF(AK536-AK535&lt;0.208333333333333,AK536-AK535,""),IF(AND(AK534&lt;&gt;"",LEFT(AG534,2)&lt;&gt;"Va",AK534&lt;&gt;"H. Sale Real"),IF(AK536-AK534&lt;0.208333333333333,AK536-AK534,""),IF(AND(AK533&lt;&gt;"",LEFT(AG533,2)&lt;&gt;"NC",AK533&lt;&gt;"H. Sale Real"),IF(AK536-AK533&lt;0.208333333333333,AK536-AK533,""),IF(AND(AK532&lt;&gt;"",LEFT(AG532,2)&lt;&gt;"Va",AK532&lt;&gt;"H. Sale Real"),IF(AK536-AK532&lt;0.208333333333333,AK536-AK532,""),IF(AND(AK531&lt;&gt;"",LEFT(AG531,2)&lt;&gt;"Va",AK531&lt;&gt;"H. Sale Real"),IF(AK536-AK531&lt;0.208333333333333,AK536-AK531,""),""))))),""),"")</f>
        <v/>
      </c>
      <c r="AY535" s="87" t="n"/>
      <c r="AZ535" s="89" t="n"/>
      <c r="BA535" s="87" t="n"/>
      <c r="BB535" s="89" t="n"/>
      <c r="BC535" s="91" t="n"/>
      <c r="BD535" s="122">
        <f>IF(AK535&lt;&gt;"",IF(AND(BD534&lt;&gt;"IE",AT535&lt;&gt;0,AV535&lt;&gt;""),IF(IFERROR((AT535/AV535),0) &lt;=1,IFERROR(AT535/AV535,""),1),""),"")</f>
        <v/>
      </c>
      <c r="BE535" s="93" t="n"/>
      <c r="BF535" s="105" t="n"/>
      <c r="FC535" t="inlineStr">
        <is>
          <t>Diccionario 1</t>
        </is>
      </c>
      <c r="FD535" s="15" t="inlineStr"/>
      <c r="FE535" s="17" t="inlineStr">
        <is>
          <t>LDYECS313S0044290</t>
        </is>
      </c>
      <c r="FF535" s="18" t="inlineStr">
        <is>
          <t>MDN35025020214</t>
        </is>
      </c>
      <c r="FG535" s="18" t="inlineStr">
        <is>
          <t>Zhong Thong</t>
        </is>
      </c>
      <c r="FH535" s="18" t="inlineStr">
        <is>
          <t>Lck6122evg</t>
        </is>
      </c>
      <c r="FI535" s="18" t="inlineStr">
        <is>
          <t>Zhong Thong</t>
        </is>
      </c>
      <c r="FJ535" s="18" t="inlineStr">
        <is>
          <t>Lck6122evg</t>
        </is>
      </c>
      <c r="FK535" s="18" t="n">
        <v>2026</v>
      </c>
      <c r="FL535" s="18" t="inlineStr">
        <is>
          <t>B</t>
        </is>
      </c>
      <c r="FM535" s="18" t="inlineStr">
        <is>
          <t>Ducaud</t>
        </is>
      </c>
      <c r="FP535" t="inlineStr">
        <is>
          <t>B</t>
        </is>
      </c>
      <c r="FS535" s="14" t="inlineStr">
        <is>
          <t>LXWT-93|</t>
        </is>
      </c>
      <c r="FT535" t="inlineStr">
        <is>
          <t>LXWT-93|</t>
        </is>
      </c>
      <c r="FU535" t="inlineStr">
        <is>
          <t>LXWT-93</t>
        </is>
      </c>
      <c r="FV535">
        <f>VLOOKUP(FU535,FD:FL,9,0)</f>
        <v/>
      </c>
      <c r="HA535" s="35" t="n">
        <v>80</v>
      </c>
      <c r="HB535" s="35" t="n">
        <v>529</v>
      </c>
    </row>
    <row r="536" ht="15.5" customHeight="1">
      <c r="A536" s="10">
        <f>HOUR(G536)+1</f>
        <v/>
      </c>
      <c r="B536" s="7" t="n"/>
      <c r="C536" s="7" t="n"/>
      <c r="D536" s="85">
        <f>IFERROR(
IF(AND(OR(Planilla!B536="C",Planilla!B536="c"), VLOOKUP(E536,FD:FP,13,0)="C"), "OK",IF(AND(OR(Planilla!B536="C",Planilla!B536="c"), OR(VLOOKUP(E536,FD:FP,13,0)="B", VLOOKUP(E536,FD:FP,13,0)="A")), "DEFICIT",IF(
AND(OR(Planilla!B536="B", Planilla!B536="BPAL"), VLOOKUP(E536,FD:FP,13,0)="B"), "OK",IF(AND(OR(Planilla!B536="B", Planilla!B536="BPAL"), VLOOKUP(E536,FD:FP,13,0)="A"), "DEFICIT",IF(AND(OR(Planilla!B536="B", Planilla!B536="BPAL"), VLOOKUP(E536,FD:FP,13,0)="C"), "SOBREOFERTA",IF(AND(Planilla!B536="A", VLOOKUP(E536,FD:FP,13,0)="A"), "OK",IF(
AND(Planilla!B536="A", OR(VLOOKUP(E536,FD:FP,13,0)="B", VLOOKUP(E536,FD:FP,13,0)="C")), "SOBREOFERTA",""
))))))),"")</f>
        <v/>
      </c>
      <c r="E536" s="8" t="n"/>
      <c r="F536" s="86" t="n"/>
      <c r="G536" s="87" t="n"/>
      <c r="H536" s="88">
        <f>IF(I536="","",IF(AND((I536-G536)&gt;=TIME(0,0,0),(I536-G536)&lt;TIME(0,3,0)),"OK",IF(AND((I536-G536)&gt;=TIME(0,3,0),(I536-G536)&lt;TIME(0,5,0)),"RETRASO DE 3-5 MIN",IF(AND((I536-G536)&gt;=TIME(0,5,0),(I536-G536)&lt;TIME(0,10,0)),"RETRASO DE 5-10 MIN",IF((I536-G536)&gt;=TIME(0,10,0),"RETRASO &gt;10 MIN", IF(AND((G536-I536)&gt;=TIME(0,0,0),(G536-I536)&lt;TIME(0,3,0)),"OK",IF((G536-I536)&gt;=TIME(0,3,0),"ADELANTADO")))))))</f>
        <v/>
      </c>
      <c r="I536" s="89" t="n"/>
      <c r="J536" s="89">
        <f>IF(A536&lt;&gt;"",HLOOKUP(VALUE(TEXT(G536,"h:mm:ss")),IF($C$6="Laboral",$FZ$4:$GX$227,IF($C$6="Sábado",$FZ$231:$GX$452,$FZ$456:$GX$656)),VLOOKUP($C$4,$HF$2:$HH$99,3,0)+IF(C$5="Ida",0,1),1),"")</f>
        <v/>
      </c>
      <c r="K536" s="89">
        <f>IF(A537&lt;&gt;A536,AVERAGEIF(A$9:A536,A536,J$9:J536),"")</f>
        <v/>
      </c>
      <c r="L536" s="89">
        <f>IFERROR(IF(A537&lt;&gt;A536,AVERAGEIF(A$9:A536,A536,S$9:S536),""),"")</f>
        <v/>
      </c>
      <c r="M536" s="89">
        <f>IFERROR(IF(A537&lt;&gt;A536,AVERAGEIF(A$9:A536,A536,T$9:T536),""),"")</f>
        <v/>
      </c>
      <c r="N536" s="89">
        <f t="array" ref="N536">IFERROR(IF(A537&lt;&gt;A536,_xlfn.STDEV.P(IF(A$9:A536=A536,T$9:T536)),""),"")</f>
        <v/>
      </c>
      <c r="O536" s="89">
        <f t="array" ref="O536">IFERROR(IF(A537&lt;&gt;A536,_xlfn.STDEV.P(IF(A$9:A536=A536,S$9:S536)),""),"")</f>
        <v/>
      </c>
      <c r="P536" s="90">
        <f>IFERROR(IF(A536&lt;&gt;A537,MAX((((M536*24*60)/2)*(1+POWER((((N536*24*60) / (M536*24*60) )),2))) + ((M536*24*60 )*-0.1 + (K536*0.015)) +1,(((M536*24*60)/2)*(1+POWER((((N536*24*60) / (M536*24*60 ))),2)))),""),"")</f>
        <v/>
      </c>
      <c r="Q536" s="90">
        <f>IF(AND(O536&lt;&gt;"",L536&lt;&gt;""),IF(A536&lt;&gt;A537,((L536*24*60) / 2 ) * (1 + POWER(((O536*24*60) / (L536*24*60)),2)),""),"")</f>
        <v/>
      </c>
      <c r="R536" s="90">
        <f>IF(Q536&lt;&gt;"",MAX(P536,Q536),"")</f>
        <v/>
      </c>
      <c r="S536" s="89">
        <f>IF(I536&lt;&gt;"H. Sale Real",IF(AND(I537&lt;&gt;"",LEFT(C537,2)&lt;&gt;"Va"),IF(AND(I536&lt;&gt;"",LEFT(C536,2)&lt;&gt;"Va",I536&lt;&gt;"H. Sale Real"),IF(I537-I536&lt;0.208333333333333,I537-I536,""),IF(AND(I535&lt;&gt;"",LEFT(C535,2)&lt;&gt;"Va",I535&lt;&gt;"H. Sale Real"),IF(I537-I535&lt;0.208333333333333,I537-I535,""),IF(AND(I534&lt;&gt;"",LEFT(C534,2)&lt;&gt;"Va",I534&lt;&gt;"H. Sale Real"),IF(I537-I534&lt;0.208333333333333,I537-I534,""),IF(AND(I533&lt;&gt;"",LEFT(C533,2)&lt;&gt;"Va",I533&lt;&gt;"H. Sale Real"),IF(I537-I533&lt;0.208333333333333,I537-I533,""),IF(AND(I532&lt;&gt;"",LEFT(C532,2)&lt;&gt;"Va",I532&lt;&gt;"H. Sale Real"),IF(I537-I532&lt;0.208333333333333,I537-I532,""),""))))),""),"")</f>
        <v/>
      </c>
      <c r="T536" s="89">
        <f>IF(G536&lt;&gt;"H. Sale Real",IF(AND(G537&lt;&gt;"",LEFT(C537,2)&lt;&gt;"Va"),IF(AND(G536&lt;&gt;"",LEFT(C536,2)&lt;&gt;"Va",G536&lt;&gt;"H. Sale Real"),IF(G537-G536&lt;0.208333333333333,G537-G536,""),IF(AND(G535&lt;&gt;"",LEFT(C535,2)&lt;&gt;"Va",G535&lt;&gt;"H. Sale Real"),IF(G537-G535&lt;0.208333333333333,G537-G535,""),IF(AND(G534&lt;&gt;"",LEFT(C534,2)&lt;&gt;"Va",G534&lt;&gt;"H. Sale Real"),IF(G537-G534&lt;0.208333333333333,G537-G534,""),IF(AND(G533&lt;&gt;"",LEFT(C533,2)&lt;&gt;"Va",G533&lt;&gt;"H. Sale Real"),IF(G537-G533&lt;0.208333333333333,G537-G533,""),IF(AND(G532&lt;&gt;"",LEFT(C532,2)&lt;&gt;"Va",G532&lt;&gt;"H. Sale Real"),IF(G537-G532&lt;0.208333333333333,G537-G532,""),""))))),""),"")</f>
        <v/>
      </c>
      <c r="U536" s="87" t="n"/>
      <c r="V536" s="89" t="n"/>
      <c r="W536" s="87" t="n"/>
      <c r="X536" s="89" t="n"/>
      <c r="Y536" s="91" t="n"/>
      <c r="Z536" s="122">
        <f>IF(G536&lt;&gt;"",IF(AND(Z535&lt;&gt;"IE",P536&lt;&gt;0,R536&lt;&gt;""),IF(IFERROR((P536/R536),0) &lt;=1,IFERROR(P536/R536,""),1),""),"")</f>
        <v/>
      </c>
      <c r="AA536" s="93" t="n"/>
      <c r="AB536" s="2" t="n"/>
      <c r="AE536" s="10">
        <f>HOUR(AK536)+1</f>
        <v/>
      </c>
      <c r="AF536" s="7" t="n"/>
      <c r="AG536" s="7" t="n"/>
      <c r="AH536" s="86" t="n"/>
      <c r="AI536" s="8" t="n"/>
      <c r="AJ536" s="86" t="n"/>
      <c r="AK536" s="87" t="n"/>
      <c r="AL536" s="88">
        <f>IF(AM536="","",IF(AND((AM536-AK536)&gt;=TIME(0,0,0),(AM536-AK536)&lt;TIME(0,3,0)),"OK",IF(AND((AM536-AK536)&gt;=TIME(0,3,0),(AM536-AK536)&lt;TIME(0,5,0)),"RETRASO DE 3-5 MIN",IF(AND((AM536-AK536)&gt;=TIME(0,5,0),(AM536-AK536)&lt;TIME(0,10,0)),"RETRASO DE 5-10 MIN",IF((AM536-AK536)&gt;=TIME(0,10,0),"RETRASO &gt;10 MIN", IF(AND((AK536-AM536)&gt;=TIME(0,0,0),(AK536-AM536)&lt;TIME(0,3,0)),"OK",IF((AK536-AM536)&gt;=TIME(0,3,0),"ADELANTADO")))))))</f>
        <v/>
      </c>
      <c r="AM536" s="91" t="n"/>
      <c r="AN536" s="89">
        <f>IF(AE536&lt;&gt;"",HLOOKUP(VALUE(TEXT(AK536,"h:mm:ss")),IF($C$6="Laboral",$FZ$4:$GX$227,IF($C$6="Sábado",$FZ$231:$GX$452,$FZ$456:$GX$656)),VLOOKUP($C$4,$HF$2:$HH$99,3,0)+IF(AG$5="Ida",0,1),1),"")</f>
        <v/>
      </c>
      <c r="AO536" s="89">
        <f>IF(AE537&lt;&gt;AE536,AVERAGEIF(AE$9:AE536,AE536,AN$9:AN536),"")</f>
        <v/>
      </c>
      <c r="AP536" s="89">
        <f>IFERROR(IF(AE537&lt;&gt;AE536,AVERAGEIF(AE$9:AE536,AE536,AW$9:AW536),""),"")</f>
        <v/>
      </c>
      <c r="AQ536" s="89">
        <f>IFERROR(IF(AE537&lt;&gt;AE536,AVERAGEIF(AE$9:AE536,AE536,AX$9:AX536),""),"")</f>
        <v/>
      </c>
      <c r="AR536" s="89">
        <f t="array" ref="AR536">IFERROR(IF(AE537&lt;&gt;AE536,_xlfn.STDEV.P(IF(AE$9:AE536=AE536,AX$9:AX536)),""),"")</f>
        <v/>
      </c>
      <c r="AS536" s="89">
        <f t="array" ref="AS536">IFERROR(IF(AE537&lt;&gt;AE536,_xlfn.STDEV.P(IF(AE$9:AE536=AE536,AW$9:AW536)),""),"")</f>
        <v/>
      </c>
      <c r="AT536" s="90">
        <f>IFERROR(IF(AE536&lt;&gt;AE537,MAX((((AQ536*24*60)/2)*(1+POWER((((AR536*24*60) / (AQ536*24*60) )),2))) + ((AQ536*24*60 )*-0.1 + (AO536*0.015)) +1,(((AQ536*24*60)/2)*(1+POWER((((AR536*24*60) / (AQ536*24*60 ))),2)))),""),"")</f>
        <v/>
      </c>
      <c r="AU536" s="90">
        <f>IF(AND(AS536&lt;&gt;"",AP536&lt;&gt;""),IF(AE536&lt;&gt;AE537,((AP536*24*60) / 2 ) * (1 + POWER(((AS536*24*60) / (AP536*24*60)),2)),""),"")</f>
        <v/>
      </c>
      <c r="AV536" s="90">
        <f>IF(AU536&lt;&gt;"",MAX(AT536,AU536),"")</f>
        <v/>
      </c>
      <c r="AW536" s="89">
        <f>IF(AM536&lt;&gt;"H. Sale Real",IF(AND(AM537&lt;&gt;"",LEFT(AG537,2)&lt;&gt;"Va"),IF(AND(AM536&lt;&gt;"",LEFT(AG536,2)&lt;&gt;"Va",AM536&lt;&gt;"H. Sale Real"),IF(AM537-AM536&lt;0.208333333333333,AM537-AM536,""),IF(AND(AM535&lt;&gt;"",LEFT(AG535,2)&lt;&gt;"Va",AM535&lt;&gt;"H. Sale Real"),IF(AM537-AM535&lt;0.208333333333333,AM537-AM535,""),IF(AND(AM534&lt;&gt;"",LEFT(AG534,2)&lt;&gt;"Va",AM534&lt;&gt;"H. Sale Real"),IF(AM537-AM534&lt;0.208333333333333,AM537-AM534,""),IF(AND(AM533&lt;&gt;"",LEFT(AG533,2)&lt;&gt;"Va",AM533&lt;&gt;"H. Sale Real"),IF(AM537-AM533&lt;0.208333333333333,AM537-AM533,""),IF(AND(AM532&lt;&gt;"",LEFT(AG532,2)&lt;&gt;"Va",AM532&lt;&gt;"H. Sale Real"),IF(AM537-AM532&lt;0.208333333333333,AM537-AM532,""),""))))),""),"")</f>
        <v/>
      </c>
      <c r="AX536" s="89">
        <f>IF(AK536&lt;&gt;"H. Sale Real",IF(AND(AK537&lt;&gt;"",LEFT(AG537,2)&lt;&gt;"Va"),IF(AND(AK536&lt;&gt;"",LEFT(AG536,2)&lt;&gt;"Va",AK536&lt;&gt;"H. Sale Real"),IF(AK537-AK536&lt;0.208333333333333,AK537-AK536,""),IF(AND(AK535&lt;&gt;"",LEFT(AG535,2)&lt;&gt;"Va",AK535&lt;&gt;"H. Sale Real"),IF(AK537-AK535&lt;0.208333333333333,AK537-AK535,""),IF(AND(AK534&lt;&gt;"",LEFT(AG534,2)&lt;&gt;"NC",AK534&lt;&gt;"H. Sale Real"),IF(AK537-AK534&lt;0.208333333333333,AK537-AK534,""),IF(AND(AK533&lt;&gt;"",LEFT(AG533,2)&lt;&gt;"Va",AK533&lt;&gt;"H. Sale Real"),IF(AK537-AK533&lt;0.208333333333333,AK537-AK533,""),IF(AND(AK532&lt;&gt;"",LEFT(AG532,2)&lt;&gt;"Va",AK532&lt;&gt;"H. Sale Real"),IF(AK537-AK532&lt;0.208333333333333,AK537-AK532,""),""))))),""),"")</f>
        <v/>
      </c>
      <c r="AY536" s="87" t="n"/>
      <c r="AZ536" s="89" t="n"/>
      <c r="BA536" s="87" t="n"/>
      <c r="BB536" s="89" t="n"/>
      <c r="BC536" s="91" t="n"/>
      <c r="BD536" s="122">
        <f>IF(AK536&lt;&gt;"",IF(AND(BD535&lt;&gt;"IE",AT536&lt;&gt;0,AV536&lt;&gt;""),IF(IFERROR((AT536/AV536),0) &lt;=1,IFERROR(AT536/AV536,""),1),""),"")</f>
        <v/>
      </c>
      <c r="BE536" s="93" t="n"/>
      <c r="BF536" s="105" t="n"/>
      <c r="FC536" t="inlineStr">
        <is>
          <t>Diccionario 1</t>
        </is>
      </c>
      <c r="FD536" s="15" t="inlineStr"/>
      <c r="FE536" s="17" t="inlineStr">
        <is>
          <t>LDYECS317S0044356</t>
        </is>
      </c>
      <c r="FF536" s="18" t="inlineStr">
        <is>
          <t>MDN35025010073</t>
        </is>
      </c>
      <c r="FG536" s="18" t="inlineStr">
        <is>
          <t>Zhong Thong</t>
        </is>
      </c>
      <c r="FH536" s="18" t="inlineStr">
        <is>
          <t>Lck6122evg</t>
        </is>
      </c>
      <c r="FI536" s="18" t="inlineStr">
        <is>
          <t>Zhong Thong</t>
        </is>
      </c>
      <c r="FJ536" s="18" t="inlineStr">
        <is>
          <t>Lck6122evg</t>
        </is>
      </c>
      <c r="FK536" s="18" t="n">
        <v>2026</v>
      </c>
      <c r="FL536" s="18" t="inlineStr">
        <is>
          <t>B</t>
        </is>
      </c>
      <c r="FM536" s="18" t="inlineStr">
        <is>
          <t>Ducaud</t>
        </is>
      </c>
      <c r="FP536" t="inlineStr">
        <is>
          <t>B</t>
        </is>
      </c>
      <c r="FS536" s="14" t="inlineStr">
        <is>
          <t>LZPT-44|</t>
        </is>
      </c>
      <c r="FT536" t="inlineStr">
        <is>
          <t>LZPT-44|</t>
        </is>
      </c>
      <c r="FU536" t="inlineStr">
        <is>
          <t>LZPT-44</t>
        </is>
      </c>
      <c r="FV536">
        <f>VLOOKUP(FU536,FD:FL,9,0)</f>
        <v/>
      </c>
      <c r="HA536" s="35" t="n">
        <v>81</v>
      </c>
      <c r="HB536" s="35" t="n">
        <v>530</v>
      </c>
    </row>
    <row r="537" ht="15.5" customHeight="1">
      <c r="A537" s="10">
        <f>HOUR(G537)+1</f>
        <v/>
      </c>
      <c r="B537" s="7" t="n"/>
      <c r="C537" s="7" t="n"/>
      <c r="D537" s="85">
        <f>IFERROR(
IF(AND(OR(Planilla!B537="C",Planilla!B537="c"), VLOOKUP(E537,FD:FP,13,0)="C"), "OK",IF(AND(OR(Planilla!B537="C",Planilla!B537="c"), OR(VLOOKUP(E537,FD:FP,13,0)="B", VLOOKUP(E537,FD:FP,13,0)="A")), "DEFICIT",IF(
AND(OR(Planilla!B537="B", Planilla!B537="BPAL"), VLOOKUP(E537,FD:FP,13,0)="B"), "OK",IF(AND(OR(Planilla!B537="B", Planilla!B537="BPAL"), VLOOKUP(E537,FD:FP,13,0)="A"), "DEFICIT",IF(AND(OR(Planilla!B537="B", Planilla!B537="BPAL"), VLOOKUP(E537,FD:FP,13,0)="C"), "SOBREOFERTA",IF(AND(Planilla!B537="A", VLOOKUP(E537,FD:FP,13,0)="A"), "OK",IF(
AND(Planilla!B537="A", OR(VLOOKUP(E537,FD:FP,13,0)="B", VLOOKUP(E537,FD:FP,13,0)="C")), "SOBREOFERTA",""
))))))),"")</f>
        <v/>
      </c>
      <c r="E537" s="8" t="n"/>
      <c r="F537" s="86" t="n"/>
      <c r="G537" s="87" t="n"/>
      <c r="H537" s="88">
        <f>IF(I537="","",IF(AND((I537-G537)&gt;=TIME(0,0,0),(I537-G537)&lt;TIME(0,3,0)),"OK",IF(AND((I537-G537)&gt;=TIME(0,3,0),(I537-G537)&lt;TIME(0,5,0)),"RETRASO DE 3-5 MIN",IF(AND((I537-G537)&gt;=TIME(0,5,0),(I537-G537)&lt;TIME(0,10,0)),"RETRASO DE 5-10 MIN",IF((I537-G537)&gt;=TIME(0,10,0),"RETRASO &gt;10 MIN", IF(AND((G537-I537)&gt;=TIME(0,0,0),(G537-I537)&lt;TIME(0,3,0)),"OK",IF((G537-I537)&gt;=TIME(0,3,0),"ADELANTADO")))))))</f>
        <v/>
      </c>
      <c r="I537" s="89" t="n"/>
      <c r="J537" s="89">
        <f>IF(A537&lt;&gt;"",HLOOKUP(VALUE(TEXT(G537,"h:mm:ss")),IF($C$6="Laboral",$FZ$4:$GX$227,IF($C$6="Sábado",$FZ$231:$GX$452,$FZ$456:$GX$656)),VLOOKUP($C$4,$HF$2:$HH$99,3,0)+IF(C$5="Ida",0,1),1),"")</f>
        <v/>
      </c>
      <c r="K537" s="89">
        <f>IF(A538&lt;&gt;A537,AVERAGEIF(A$9:A537,A537,J$9:J537),"")</f>
        <v/>
      </c>
      <c r="L537" s="89">
        <f>IFERROR(IF(A538&lt;&gt;A537,AVERAGEIF(A$9:A537,A537,S$9:S537),""),"")</f>
        <v/>
      </c>
      <c r="M537" s="89">
        <f>IFERROR(IF(A538&lt;&gt;A537,AVERAGEIF(A$9:A537,A537,T$9:T537),""),"")</f>
        <v/>
      </c>
      <c r="N537" s="89">
        <f t="array" ref="N537">IFERROR(IF(A538&lt;&gt;A537,_xlfn.STDEV.P(IF(A$9:A537=A537,T$9:T537)),""),"")</f>
        <v/>
      </c>
      <c r="O537" s="89">
        <f t="array" ref="O537">IFERROR(IF(A538&lt;&gt;A537,_xlfn.STDEV.P(IF(A$9:A537=A537,S$9:S537)),""),"")</f>
        <v/>
      </c>
      <c r="P537" s="90">
        <f>IFERROR(IF(A537&lt;&gt;A538,MAX((((M537*24*60)/2)*(1+POWER((((N537*24*60) / (M537*24*60) )),2))) + ((M537*24*60 )*-0.1 + (K537*0.015)) +1,(((M537*24*60)/2)*(1+POWER((((N537*24*60) / (M537*24*60 ))),2)))),""),"")</f>
        <v/>
      </c>
      <c r="Q537" s="90">
        <f>IF(AND(O537&lt;&gt;"",L537&lt;&gt;""),IF(A537&lt;&gt;A538,((L537*24*60) / 2 ) * (1 + POWER(((O537*24*60) / (L537*24*60)),2)),""),"")</f>
        <v/>
      </c>
      <c r="R537" s="90">
        <f>IF(Q537&lt;&gt;"",MAX(P537,Q537),"")</f>
        <v/>
      </c>
      <c r="S537" s="89">
        <f>IF(I537&lt;&gt;"H. Sale Real",IF(AND(I538&lt;&gt;"",LEFT(C538,2)&lt;&gt;"Va"),IF(AND(I537&lt;&gt;"",LEFT(C537,2)&lt;&gt;"Va",I537&lt;&gt;"H. Sale Real"),IF(I538-I537&lt;0.208333333333333,I538-I537,""),IF(AND(I536&lt;&gt;"",LEFT(C536,2)&lt;&gt;"Va",I536&lt;&gt;"H. Sale Real"),IF(I538-I536&lt;0.208333333333333,I538-I536,""),IF(AND(I535&lt;&gt;"",LEFT(C535,2)&lt;&gt;"Va",I535&lt;&gt;"H. Sale Real"),IF(I538-I535&lt;0.208333333333333,I538-I535,""),IF(AND(I534&lt;&gt;"",LEFT(C534,2)&lt;&gt;"Va",I534&lt;&gt;"H. Sale Real"),IF(I538-I534&lt;0.208333333333333,I538-I534,""),IF(AND(I533&lt;&gt;"",LEFT(C533,2)&lt;&gt;"Va",I533&lt;&gt;"H. Sale Real"),IF(I538-I533&lt;0.208333333333333,I538-I533,""),""))))),""),"")</f>
        <v/>
      </c>
      <c r="T537" s="89">
        <f>IF(G537&lt;&gt;"H. Sale Real",IF(AND(G538&lt;&gt;"",LEFT(C538,2)&lt;&gt;"Va"),IF(AND(G537&lt;&gt;"",LEFT(C537,2)&lt;&gt;"Va",G537&lt;&gt;"H. Sale Real"),IF(G538-G537&lt;0.208333333333333,G538-G537,""),IF(AND(G536&lt;&gt;"",LEFT(C536,2)&lt;&gt;"Va",G536&lt;&gt;"H. Sale Real"),IF(G538-G536&lt;0.208333333333333,G538-G536,""),IF(AND(G535&lt;&gt;"",LEFT(C535,2)&lt;&gt;"Va",G535&lt;&gt;"H. Sale Real"),IF(G538-G535&lt;0.208333333333333,G538-G535,""),IF(AND(G534&lt;&gt;"",LEFT(C534,2)&lt;&gt;"Va",G534&lt;&gt;"H. Sale Real"),IF(G538-G534&lt;0.208333333333333,G538-G534,""),IF(AND(G533&lt;&gt;"",LEFT(C533,2)&lt;&gt;"Va",G533&lt;&gt;"H. Sale Real"),IF(G538-G533&lt;0.208333333333333,G538-G533,""),""))))),""),"")</f>
        <v/>
      </c>
      <c r="U537" s="87" t="n"/>
      <c r="V537" s="89" t="n"/>
      <c r="W537" s="87" t="n"/>
      <c r="X537" s="89" t="n"/>
      <c r="Y537" s="91" t="n"/>
      <c r="Z537" s="122">
        <f>IF(G537&lt;&gt;"",IF(AND(Z536&lt;&gt;"IE",P537&lt;&gt;0,R537&lt;&gt;""),IF(IFERROR((P537/R537),0) &lt;=1,IFERROR(P537/R537,""),1),""),"")</f>
        <v/>
      </c>
      <c r="AA537" s="93" t="n"/>
      <c r="AB537" s="2" t="n"/>
      <c r="AE537" s="10">
        <f>HOUR(AK537)+1</f>
        <v/>
      </c>
      <c r="AF537" s="7" t="n"/>
      <c r="AG537" s="7" t="n"/>
      <c r="AH537" s="86" t="n"/>
      <c r="AI537" s="8" t="n"/>
      <c r="AJ537" s="86" t="n"/>
      <c r="AK537" s="87" t="n"/>
      <c r="AL537" s="88">
        <f>IF(AM537="","",IF(AND((AM537-AK537)&gt;=TIME(0,0,0),(AM537-AK537)&lt;TIME(0,3,0)),"OK",IF(AND((AM537-AK537)&gt;=TIME(0,3,0),(AM537-AK537)&lt;TIME(0,5,0)),"RETRASO DE 3-5 MIN",IF(AND((AM537-AK537)&gt;=TIME(0,5,0),(AM537-AK537)&lt;TIME(0,10,0)),"RETRASO DE 5-10 MIN",IF((AM537-AK537)&gt;=TIME(0,10,0),"RETRASO &gt;10 MIN", IF(AND((AK537-AM537)&gt;=TIME(0,0,0),(AK537-AM537)&lt;TIME(0,3,0)),"OK",IF((AK537-AM537)&gt;=TIME(0,3,0),"ADELANTADO")))))))</f>
        <v/>
      </c>
      <c r="AM537" s="91" t="n"/>
      <c r="AN537" s="89">
        <f>IF(AE537&lt;&gt;"",HLOOKUP(VALUE(TEXT(AK537,"h:mm:ss")),IF($C$6="Laboral",$FZ$4:$GX$227,IF($C$6="Sábado",$FZ$231:$GX$452,$FZ$456:$GX$656)),VLOOKUP($C$4,$HF$2:$HH$99,3,0)+IF(AG$5="Ida",0,1),1),"")</f>
        <v/>
      </c>
      <c r="AO537" s="89">
        <f>IF(AE538&lt;&gt;AE537,AVERAGEIF(AE$9:AE537,AE537,AN$9:AN537),"")</f>
        <v/>
      </c>
      <c r="AP537" s="89">
        <f>IFERROR(IF(AE538&lt;&gt;AE537,AVERAGEIF(AE$9:AE537,AE537,AW$9:AW537),""),"")</f>
        <v/>
      </c>
      <c r="AQ537" s="89">
        <f>IFERROR(IF(AE538&lt;&gt;AE537,AVERAGEIF(AE$9:AE537,AE537,AX$9:AX537),""),"")</f>
        <v/>
      </c>
      <c r="AR537" s="89">
        <f t="array" ref="AR537">IFERROR(IF(AE538&lt;&gt;AE537,_xlfn.STDEV.P(IF(AE$9:AE537=AE537,AX$9:AX537)),""),"")</f>
        <v/>
      </c>
      <c r="AS537" s="89">
        <f t="array" ref="AS537">IFERROR(IF(AE538&lt;&gt;AE537,_xlfn.STDEV.P(IF(AE$9:AE537=AE537,AW$9:AW537)),""),"")</f>
        <v/>
      </c>
      <c r="AT537" s="90">
        <f>IFERROR(IF(AE537&lt;&gt;AE538,MAX((((AQ537*24*60)/2)*(1+POWER((((AR537*24*60) / (AQ537*24*60) )),2))) + ((AQ537*24*60 )*-0.1 + (AO537*0.015)) +1,(((AQ537*24*60)/2)*(1+POWER((((AR537*24*60) / (AQ537*24*60 ))),2)))),""),"")</f>
        <v/>
      </c>
      <c r="AU537" s="90">
        <f>IF(AND(AS537&lt;&gt;"",AP537&lt;&gt;""),IF(AE537&lt;&gt;AE538,((AP537*24*60) / 2 ) * (1 + POWER(((AS537*24*60) / (AP537*24*60)),2)),""),"")</f>
        <v/>
      </c>
      <c r="AV537" s="90">
        <f>IF(AU537&lt;&gt;"",MAX(AT537,AU537),"")</f>
        <v/>
      </c>
      <c r="AW537" s="89">
        <f>IF(AM537&lt;&gt;"H. Sale Real",IF(AND(AM538&lt;&gt;"",LEFT(AG538,2)&lt;&gt;"Va"),IF(AND(AM537&lt;&gt;"",LEFT(AG537,2)&lt;&gt;"Va",AM537&lt;&gt;"H. Sale Real"),IF(AM538-AM537&lt;0.208333333333333,AM538-AM537,""),IF(AND(AM536&lt;&gt;"",LEFT(AG536,2)&lt;&gt;"Va",AM536&lt;&gt;"H. Sale Real"),IF(AM538-AM536&lt;0.208333333333333,AM538-AM536,""),IF(AND(AM535&lt;&gt;"",LEFT(AG535,2)&lt;&gt;"Va",AM535&lt;&gt;"H. Sale Real"),IF(AM538-AM535&lt;0.208333333333333,AM538-AM535,""),IF(AND(AM534&lt;&gt;"",LEFT(AG534,2)&lt;&gt;"Va",AM534&lt;&gt;"H. Sale Real"),IF(AM538-AM534&lt;0.208333333333333,AM538-AM534,""),IF(AND(AM533&lt;&gt;"",LEFT(AG533,2)&lt;&gt;"Va",AM533&lt;&gt;"H. Sale Real"),IF(AM538-AM533&lt;0.208333333333333,AM538-AM533,""),""))))),""),"")</f>
        <v/>
      </c>
      <c r="AX537" s="89">
        <f>IF(AK537&lt;&gt;"H. Sale Real",IF(AND(AK538&lt;&gt;"",LEFT(AG538,2)&lt;&gt;"Va"),IF(AND(AK537&lt;&gt;"",LEFT(AG537,2)&lt;&gt;"Va",AK537&lt;&gt;"H. Sale Real"),IF(AK538-AK537&lt;0.208333333333333,AK538-AK537,""),IF(AND(AK536&lt;&gt;"",LEFT(AG536,2)&lt;&gt;"Va",AK536&lt;&gt;"H. Sale Real"),IF(AK538-AK536&lt;0.208333333333333,AK538-AK536,""),IF(AND(AK535&lt;&gt;"",LEFT(AG535,2)&lt;&gt;"NC",AK535&lt;&gt;"H. Sale Real"),IF(AK538-AK535&lt;0.208333333333333,AK538-AK535,""),IF(AND(AK534&lt;&gt;"",LEFT(AG534,2)&lt;&gt;"Va",AK534&lt;&gt;"H. Sale Real"),IF(AK538-AK534&lt;0.208333333333333,AK538-AK534,""),IF(AND(AK533&lt;&gt;"",LEFT(AG533,2)&lt;&gt;"Va",AK533&lt;&gt;"H. Sale Real"),IF(AK538-AK533&lt;0.208333333333333,AK538-AK533,""),""))))),""),"")</f>
        <v/>
      </c>
      <c r="AY537" s="87" t="n"/>
      <c r="AZ537" s="89" t="n"/>
      <c r="BA537" s="87" t="n"/>
      <c r="BB537" s="89" t="n"/>
      <c r="BC537" s="91" t="n"/>
      <c r="BD537" s="122">
        <f>IF(AK537&lt;&gt;"",IF(AND(BD536&lt;&gt;"IE",AT537&lt;&gt;0,AV537&lt;&gt;""),IF(IFERROR((AT537/AV537),0) &lt;=1,IFERROR(AT537/AV537,""),1),""),"")</f>
        <v/>
      </c>
      <c r="BE537" s="93" t="n"/>
      <c r="BF537" s="105" t="n"/>
      <c r="FC537" t="inlineStr">
        <is>
          <t>Diccionario 1</t>
        </is>
      </c>
      <c r="FD537" s="15" t="inlineStr"/>
      <c r="FE537" s="17" t="inlineStr">
        <is>
          <t>LDYECS31XS0044139</t>
        </is>
      </c>
      <c r="FF537" s="18" t="inlineStr">
        <is>
          <t>MDN35025030088</t>
        </is>
      </c>
      <c r="FG537" s="18" t="inlineStr">
        <is>
          <t>Zhong Thong</t>
        </is>
      </c>
      <c r="FH537" s="18" t="inlineStr">
        <is>
          <t>Lck6122evg</t>
        </is>
      </c>
      <c r="FI537" s="18" t="inlineStr">
        <is>
          <t>Zhong Thong</t>
        </is>
      </c>
      <c r="FJ537" s="18" t="inlineStr">
        <is>
          <t>Lck6122evg</t>
        </is>
      </c>
      <c r="FK537" s="18" t="n">
        <v>2026</v>
      </c>
      <c r="FL537" s="18" t="inlineStr">
        <is>
          <t>B</t>
        </is>
      </c>
      <c r="FM537" s="18" t="inlineStr">
        <is>
          <t>Lo Blanco</t>
        </is>
      </c>
      <c r="FP537" t="inlineStr">
        <is>
          <t>B</t>
        </is>
      </c>
      <c r="FS537" s="14" t="inlineStr">
        <is>
          <t>LZPR-80</t>
        </is>
      </c>
      <c r="FT537" t="inlineStr">
        <is>
          <t>LZPR-80</t>
        </is>
      </c>
      <c r="FU537" t="inlineStr">
        <is>
          <t>LZPR-80</t>
        </is>
      </c>
      <c r="FV537">
        <f>VLOOKUP(FU537,FD:FL,9,0)</f>
        <v/>
      </c>
      <c r="HA537" s="35" t="n">
        <v>82</v>
      </c>
      <c r="HB537" s="35" t="n">
        <v>531</v>
      </c>
    </row>
    <row r="538" ht="15.5" customHeight="1">
      <c r="A538" s="10">
        <f>HOUR(G538)+1</f>
        <v/>
      </c>
      <c r="B538" s="7" t="n"/>
      <c r="C538" s="7" t="n"/>
      <c r="D538" s="85">
        <f>IFERROR(
IF(AND(OR(Planilla!B538="C",Planilla!B538="c"), VLOOKUP(E538,FD:FP,13,0)="C"), "OK",IF(AND(OR(Planilla!B538="C",Planilla!B538="c"), OR(VLOOKUP(E538,FD:FP,13,0)="B", VLOOKUP(E538,FD:FP,13,0)="A")), "DEFICIT",IF(
AND(OR(Planilla!B538="B", Planilla!B538="BPAL"), VLOOKUP(E538,FD:FP,13,0)="B"), "OK",IF(AND(OR(Planilla!B538="B", Planilla!B538="BPAL"), VLOOKUP(E538,FD:FP,13,0)="A"), "DEFICIT",IF(AND(OR(Planilla!B538="B", Planilla!B538="BPAL"), VLOOKUP(E538,FD:FP,13,0)="C"), "SOBREOFERTA",IF(AND(Planilla!B538="A", VLOOKUP(E538,FD:FP,13,0)="A"), "OK",IF(
AND(Planilla!B538="A", OR(VLOOKUP(E538,FD:FP,13,0)="B", VLOOKUP(E538,FD:FP,13,0)="C")), "SOBREOFERTA",""
))))))),"")</f>
        <v/>
      </c>
      <c r="E538" s="8" t="n"/>
      <c r="F538" s="86" t="n"/>
      <c r="G538" s="87" t="n"/>
      <c r="H538" s="88">
        <f>IF(I538="","",IF(AND((I538-G538)&gt;=TIME(0,0,0),(I538-G538)&lt;TIME(0,3,0)),"OK",IF(AND((I538-G538)&gt;=TIME(0,3,0),(I538-G538)&lt;TIME(0,5,0)),"RETRASO DE 3-5 MIN",IF(AND((I538-G538)&gt;=TIME(0,5,0),(I538-G538)&lt;TIME(0,10,0)),"RETRASO DE 5-10 MIN",IF((I538-G538)&gt;=TIME(0,10,0),"RETRASO &gt;10 MIN", IF(AND((G538-I538)&gt;=TIME(0,0,0),(G538-I538)&lt;TIME(0,3,0)),"OK",IF((G538-I538)&gt;=TIME(0,3,0),"ADELANTADO")))))))</f>
        <v/>
      </c>
      <c r="I538" s="89" t="n"/>
      <c r="J538" s="89">
        <f>IF(A538&lt;&gt;"",HLOOKUP(VALUE(TEXT(G538,"h:mm:ss")),IF($C$6="Laboral",$FZ$4:$GX$227,IF($C$6="Sábado",$FZ$231:$GX$452,$FZ$456:$GX$656)),VLOOKUP($C$4,$HF$2:$HH$99,3,0)+IF(C$5="Ida",0,1),1),"")</f>
        <v/>
      </c>
      <c r="K538" s="89">
        <f>IF(A539&lt;&gt;A538,AVERAGEIF(A$9:A538,A538,J$9:J538),"")</f>
        <v/>
      </c>
      <c r="L538" s="89">
        <f>IFERROR(IF(A539&lt;&gt;A538,AVERAGEIF(A$9:A538,A538,S$9:S538),""),"")</f>
        <v/>
      </c>
      <c r="M538" s="89">
        <f>IFERROR(IF(A539&lt;&gt;A538,AVERAGEIF(A$9:A538,A538,T$9:T538),""),"")</f>
        <v/>
      </c>
      <c r="N538" s="89">
        <f t="array" ref="N538">IFERROR(IF(A539&lt;&gt;A538,_xlfn.STDEV.P(IF(A$9:A538=A538,T$9:T538)),""),"")</f>
        <v/>
      </c>
      <c r="O538" s="89">
        <f t="array" ref="O538">IFERROR(IF(A539&lt;&gt;A538,_xlfn.STDEV.P(IF(A$9:A538=A538,S$9:S538)),""),"")</f>
        <v/>
      </c>
      <c r="P538" s="90">
        <f>IFERROR(IF(A538&lt;&gt;A539,MAX((((M538*24*60)/2)*(1+POWER((((N538*24*60) / (M538*24*60) )),2))) + ((M538*24*60 )*-0.1 + (K538*0.015)) +1,(((M538*24*60)/2)*(1+POWER((((N538*24*60) / (M538*24*60 ))),2)))),""),"")</f>
        <v/>
      </c>
      <c r="Q538" s="90">
        <f>IF(AND(O538&lt;&gt;"",L538&lt;&gt;""),IF(A538&lt;&gt;A539,((L538*24*60) / 2 ) * (1 + POWER(((O538*24*60) / (L538*24*60)),2)),""),"")</f>
        <v/>
      </c>
      <c r="R538" s="90">
        <f>IF(Q538&lt;&gt;"",MAX(P538,Q538),"")</f>
        <v/>
      </c>
      <c r="S538" s="89">
        <f>IF(I538&lt;&gt;"H. Sale Real",IF(AND(I539&lt;&gt;"",LEFT(C539,2)&lt;&gt;"Va"),IF(AND(I538&lt;&gt;"",LEFT(C538,2)&lt;&gt;"Va",I538&lt;&gt;"H. Sale Real"),IF(I539-I538&lt;0.208333333333333,I539-I538,""),IF(AND(I537&lt;&gt;"",LEFT(C537,2)&lt;&gt;"Va",I537&lt;&gt;"H. Sale Real"),IF(I539-I537&lt;0.208333333333333,I539-I537,""),IF(AND(I536&lt;&gt;"",LEFT(C536,2)&lt;&gt;"Va",I536&lt;&gt;"H. Sale Real"),IF(I539-I536&lt;0.208333333333333,I539-I536,""),IF(AND(I535&lt;&gt;"",LEFT(C535,2)&lt;&gt;"Va",I535&lt;&gt;"H. Sale Real"),IF(I539-I535&lt;0.208333333333333,I539-I535,""),IF(AND(I534&lt;&gt;"",LEFT(C534,2)&lt;&gt;"Va",I534&lt;&gt;"H. Sale Real"),IF(I539-I534&lt;0.208333333333333,I539-I534,""),""))))),""),"")</f>
        <v/>
      </c>
      <c r="T538" s="89">
        <f>IF(G538&lt;&gt;"H. Sale Real",IF(AND(G539&lt;&gt;"",LEFT(C539,2)&lt;&gt;"Va"),IF(AND(G538&lt;&gt;"",LEFT(C538,2)&lt;&gt;"Va",G538&lt;&gt;"H. Sale Real"),IF(G539-G538&lt;0.208333333333333,G539-G538,""),IF(AND(G537&lt;&gt;"",LEFT(C537,2)&lt;&gt;"Va",G537&lt;&gt;"H. Sale Real"),IF(G539-G537&lt;0.208333333333333,G539-G537,""),IF(AND(G536&lt;&gt;"",LEFT(C536,2)&lt;&gt;"Va",G536&lt;&gt;"H. Sale Real"),IF(G539-G536&lt;0.208333333333333,G539-G536,""),IF(AND(G535&lt;&gt;"",LEFT(C535,2)&lt;&gt;"Va",G535&lt;&gt;"H. Sale Real"),IF(G539-G535&lt;0.208333333333333,G539-G535,""),IF(AND(G534&lt;&gt;"",LEFT(C534,2)&lt;&gt;"Va",G534&lt;&gt;"H. Sale Real"),IF(G539-G534&lt;0.208333333333333,G539-G534,""),""))))),""),"")</f>
        <v/>
      </c>
      <c r="U538" s="87" t="n"/>
      <c r="V538" s="89" t="n"/>
      <c r="W538" s="87" t="n"/>
      <c r="X538" s="89" t="n"/>
      <c r="Y538" s="91" t="n"/>
      <c r="Z538" s="122">
        <f>IF(G538&lt;&gt;"",IF(AND(Z537&lt;&gt;"IE",P538&lt;&gt;0,R538&lt;&gt;""),IF(IFERROR((P538/R538),0) &lt;=1,IFERROR(P538/R538,""),1),""),"")</f>
        <v/>
      </c>
      <c r="AA538" s="93" t="n"/>
      <c r="AB538" s="2" t="n"/>
      <c r="AE538" s="10">
        <f>HOUR(AK538)+1</f>
        <v/>
      </c>
      <c r="AF538" s="7" t="n"/>
      <c r="AG538" s="7" t="n"/>
      <c r="AH538" s="86" t="n"/>
      <c r="AI538" s="8" t="n"/>
      <c r="AJ538" s="86" t="n"/>
      <c r="AK538" s="87" t="n"/>
      <c r="AL538" s="88">
        <f>IF(AM538="","",IF(AND((AM538-AK538)&gt;=TIME(0,0,0),(AM538-AK538)&lt;TIME(0,3,0)),"OK",IF(AND((AM538-AK538)&gt;=TIME(0,3,0),(AM538-AK538)&lt;TIME(0,5,0)),"RETRASO DE 3-5 MIN",IF(AND((AM538-AK538)&gt;=TIME(0,5,0),(AM538-AK538)&lt;TIME(0,10,0)),"RETRASO DE 5-10 MIN",IF((AM538-AK538)&gt;=TIME(0,10,0),"RETRASO &gt;10 MIN", IF(AND((AK538-AM538)&gt;=TIME(0,0,0),(AK538-AM538)&lt;TIME(0,3,0)),"OK",IF((AK538-AM538)&gt;=TIME(0,3,0),"ADELANTADO")))))))</f>
        <v/>
      </c>
      <c r="AM538" s="91" t="n"/>
      <c r="AN538" s="89">
        <f>IF(AE538&lt;&gt;"",HLOOKUP(VALUE(TEXT(AK538,"h:mm:ss")),IF($C$6="Laboral",$FZ$4:$GX$227,IF($C$6="Sábado",$FZ$231:$GX$452,$FZ$456:$GX$656)),VLOOKUP($C$4,$HF$2:$HH$99,3,0)+IF(AG$5="Ida",0,1),1),"")</f>
        <v/>
      </c>
      <c r="AO538" s="89">
        <f>IF(AE539&lt;&gt;AE538,AVERAGEIF(AE$9:AE538,AE538,AN$9:AN538),"")</f>
        <v/>
      </c>
      <c r="AP538" s="89">
        <f>IFERROR(IF(AE539&lt;&gt;AE538,AVERAGEIF(AE$9:AE538,AE538,AW$9:AW538),""),"")</f>
        <v/>
      </c>
      <c r="AQ538" s="89">
        <f>IFERROR(IF(AE539&lt;&gt;AE538,AVERAGEIF(AE$9:AE538,AE538,AX$9:AX538),""),"")</f>
        <v/>
      </c>
      <c r="AR538" s="89">
        <f t="array" ref="AR538">IFERROR(IF(AE539&lt;&gt;AE538,_xlfn.STDEV.P(IF(AE$9:AE538=AE538,AX$9:AX538)),""),"")</f>
        <v/>
      </c>
      <c r="AS538" s="89">
        <f t="array" ref="AS538">IFERROR(IF(AE539&lt;&gt;AE538,_xlfn.STDEV.P(IF(AE$9:AE538=AE538,AW$9:AW538)),""),"")</f>
        <v/>
      </c>
      <c r="AT538" s="90">
        <f>IFERROR(IF(AE538&lt;&gt;AE539,MAX((((AQ538*24*60)/2)*(1+POWER((((AR538*24*60) / (AQ538*24*60) )),2))) + ((AQ538*24*60 )*-0.1 + (AO538*0.015)) +1,(((AQ538*24*60)/2)*(1+POWER((((AR538*24*60) / (AQ538*24*60 ))),2)))),""),"")</f>
        <v/>
      </c>
      <c r="AU538" s="90">
        <f>IF(AND(AS538&lt;&gt;"",AP538&lt;&gt;""),IF(AE538&lt;&gt;AE539,((AP538*24*60) / 2 ) * (1 + POWER(((AS538*24*60) / (AP538*24*60)),2)),""),"")</f>
        <v/>
      </c>
      <c r="AV538" s="90">
        <f>IF(AU538&lt;&gt;"",MAX(AT538,AU538),"")</f>
        <v/>
      </c>
      <c r="AW538" s="89">
        <f>IF(AM538&lt;&gt;"H. Sale Real",IF(AND(AM539&lt;&gt;"",LEFT(AG539,2)&lt;&gt;"Va"),IF(AND(AM538&lt;&gt;"",LEFT(AG538,2)&lt;&gt;"Va",AM538&lt;&gt;"H. Sale Real"),IF(AM539-AM538&lt;0.208333333333333,AM539-AM538,""),IF(AND(AM537&lt;&gt;"",LEFT(AG537,2)&lt;&gt;"Va",AM537&lt;&gt;"H. Sale Real"),IF(AM539-AM537&lt;0.208333333333333,AM539-AM537,""),IF(AND(AM536&lt;&gt;"",LEFT(AG536,2)&lt;&gt;"Va",AM536&lt;&gt;"H. Sale Real"),IF(AM539-AM536&lt;0.208333333333333,AM539-AM536,""),IF(AND(AM535&lt;&gt;"",LEFT(AG535,2)&lt;&gt;"Va",AM535&lt;&gt;"H. Sale Real"),IF(AM539-AM535&lt;0.208333333333333,AM539-AM535,""),IF(AND(AM534&lt;&gt;"",LEFT(AG534,2)&lt;&gt;"Va",AM534&lt;&gt;"H. Sale Real"),IF(AM539-AM534&lt;0.208333333333333,AM539-AM534,""),""))))),""),"")</f>
        <v/>
      </c>
      <c r="AX538" s="89">
        <f>IF(AK538&lt;&gt;"H. Sale Real",IF(AND(AK539&lt;&gt;"",LEFT(AG539,2)&lt;&gt;"Va"),IF(AND(AK538&lt;&gt;"",LEFT(AG538,2)&lt;&gt;"Va",AK538&lt;&gt;"H. Sale Real"),IF(AK539-AK538&lt;0.208333333333333,AK539-AK538,""),IF(AND(AK537&lt;&gt;"",LEFT(AG537,2)&lt;&gt;"Va",AK537&lt;&gt;"H. Sale Real"),IF(AK539-AK537&lt;0.208333333333333,AK539-AK537,""),IF(AND(AK536&lt;&gt;"",LEFT(AG536,2)&lt;&gt;"NC",AK536&lt;&gt;"H. Sale Real"),IF(AK539-AK536&lt;0.208333333333333,AK539-AK536,""),IF(AND(AK535&lt;&gt;"",LEFT(AG535,2)&lt;&gt;"Va",AK535&lt;&gt;"H. Sale Real"),IF(AK539-AK535&lt;0.208333333333333,AK539-AK535,""),IF(AND(AK534&lt;&gt;"",LEFT(AG534,2)&lt;&gt;"Va",AK534&lt;&gt;"H. Sale Real"),IF(AK539-AK534&lt;0.208333333333333,AK539-AK534,""),""))))),""),"")</f>
        <v/>
      </c>
      <c r="AY538" s="87" t="n"/>
      <c r="AZ538" s="89" t="n"/>
      <c r="BA538" s="87" t="n"/>
      <c r="BB538" s="89" t="n"/>
      <c r="BC538" s="91" t="n"/>
      <c r="BD538" s="122">
        <f>IF(AK538&lt;&gt;"",IF(AND(BD537&lt;&gt;"IE",AT538&lt;&gt;0,AV538&lt;&gt;""),IF(IFERROR((AT538/AV538),0) &lt;=1,IFERROR(AT538/AV538,""),1),""),"")</f>
        <v/>
      </c>
      <c r="BE538" s="93" t="n"/>
      <c r="BF538" s="105" t="n"/>
      <c r="FC538" t="inlineStr">
        <is>
          <t>Diccionario 1</t>
        </is>
      </c>
      <c r="FD538" s="15" t="inlineStr"/>
      <c r="FE538" s="17" t="inlineStr">
        <is>
          <t>LDYECS315S0044145</t>
        </is>
      </c>
      <c r="FF538" s="18" t="inlineStr">
        <is>
          <t>MDN35025030096</t>
        </is>
      </c>
      <c r="FG538" s="18" t="inlineStr">
        <is>
          <t>Zhong Thong</t>
        </is>
      </c>
      <c r="FH538" s="18" t="inlineStr">
        <is>
          <t>Lck6122evg</t>
        </is>
      </c>
      <c r="FI538" s="18" t="inlineStr">
        <is>
          <t>Zhong Thong</t>
        </is>
      </c>
      <c r="FJ538" s="18" t="inlineStr">
        <is>
          <t>Lck6122evg</t>
        </is>
      </c>
      <c r="FK538" s="18" t="n">
        <v>2026</v>
      </c>
      <c r="FL538" s="18" t="inlineStr">
        <is>
          <t>B</t>
        </is>
      </c>
      <c r="FM538" s="18" t="inlineStr">
        <is>
          <t>Lo Blanco</t>
        </is>
      </c>
      <c r="FP538" t="inlineStr">
        <is>
          <t>B</t>
        </is>
      </c>
      <c r="FS538" s="14" t="inlineStr">
        <is>
          <t>LZPW-14</t>
        </is>
      </c>
      <c r="FT538" t="inlineStr">
        <is>
          <t>LZPW-14</t>
        </is>
      </c>
      <c r="FU538" t="inlineStr">
        <is>
          <t>LZPW-14</t>
        </is>
      </c>
      <c r="FV538">
        <f>VLOOKUP(FU538,FD:FL,9,0)</f>
        <v/>
      </c>
      <c r="HA538" s="35" t="n">
        <v>83</v>
      </c>
      <c r="HB538" s="35" t="n">
        <v>532</v>
      </c>
    </row>
    <row r="539" ht="15.5" customHeight="1">
      <c r="A539" s="10">
        <f>HOUR(G539)+1</f>
        <v/>
      </c>
      <c r="B539" s="7" t="n"/>
      <c r="C539" s="7" t="n"/>
      <c r="D539" s="85">
        <f>IFERROR(
IF(AND(OR(Planilla!B539="C",Planilla!B539="c"), VLOOKUP(E539,FD:FP,13,0)="C"), "OK",IF(AND(OR(Planilla!B539="C",Planilla!B539="c"), OR(VLOOKUP(E539,FD:FP,13,0)="B", VLOOKUP(E539,FD:FP,13,0)="A")), "DEFICIT",IF(
AND(OR(Planilla!B539="B", Planilla!B539="BPAL"), VLOOKUP(E539,FD:FP,13,0)="B"), "OK",IF(AND(OR(Planilla!B539="B", Planilla!B539="BPAL"), VLOOKUP(E539,FD:FP,13,0)="A"), "DEFICIT",IF(AND(OR(Planilla!B539="B", Planilla!B539="BPAL"), VLOOKUP(E539,FD:FP,13,0)="C"), "SOBREOFERTA",IF(AND(Planilla!B539="A", VLOOKUP(E539,FD:FP,13,0)="A"), "OK",IF(
AND(Planilla!B539="A", OR(VLOOKUP(E539,FD:FP,13,0)="B", VLOOKUP(E539,FD:FP,13,0)="C")), "SOBREOFERTA",""
))))))),"")</f>
        <v/>
      </c>
      <c r="E539" s="8" t="n"/>
      <c r="F539" s="86" t="n"/>
      <c r="G539" s="87" t="n"/>
      <c r="H539" s="88">
        <f>IF(I539="","",IF(AND((I539-G539)&gt;=TIME(0,0,0),(I539-G539)&lt;TIME(0,3,0)),"OK",IF(AND((I539-G539)&gt;=TIME(0,3,0),(I539-G539)&lt;TIME(0,5,0)),"RETRASO DE 3-5 MIN",IF(AND((I539-G539)&gt;=TIME(0,5,0),(I539-G539)&lt;TIME(0,10,0)),"RETRASO DE 5-10 MIN",IF((I539-G539)&gt;=TIME(0,10,0),"RETRASO &gt;10 MIN", IF(AND((G539-I539)&gt;=TIME(0,0,0),(G539-I539)&lt;TIME(0,3,0)),"OK",IF((G539-I539)&gt;=TIME(0,3,0),"ADELANTADO")))))))</f>
        <v/>
      </c>
      <c r="I539" s="89" t="n"/>
      <c r="J539" s="89">
        <f>IF(A539&lt;&gt;"",HLOOKUP(VALUE(TEXT(G539,"h:mm:ss")),IF($C$6="Laboral",$FZ$4:$GX$227,IF($C$6="Sábado",$FZ$231:$GX$452,$FZ$456:$GX$656)),VLOOKUP($C$4,$HF$2:$HH$99,3,0)+IF(C$5="Ida",0,1),1),"")</f>
        <v/>
      </c>
      <c r="K539" s="89">
        <f>IF(A540&lt;&gt;A539,AVERAGEIF(A$9:A539,A539,J$9:J539),"")</f>
        <v/>
      </c>
      <c r="L539" s="89">
        <f>IFERROR(IF(A540&lt;&gt;A539,AVERAGEIF(A$9:A539,A539,S$9:S539),""),"")</f>
        <v/>
      </c>
      <c r="M539" s="89">
        <f>IFERROR(IF(A540&lt;&gt;A539,AVERAGEIF(A$9:A539,A539,T$9:T539),""),"")</f>
        <v/>
      </c>
      <c r="N539" s="89">
        <f t="array" ref="N539">IFERROR(IF(A540&lt;&gt;A539,_xlfn.STDEV.P(IF(A$9:A539=A539,T$9:T539)),""),"")</f>
        <v/>
      </c>
      <c r="O539" s="89">
        <f t="array" ref="O539">IFERROR(IF(A540&lt;&gt;A539,_xlfn.STDEV.P(IF(A$9:A539=A539,S$9:S539)),""),"")</f>
        <v/>
      </c>
      <c r="P539" s="90">
        <f>IFERROR(IF(A539&lt;&gt;A540,MAX((((M539*24*60)/2)*(1+POWER((((N539*24*60) / (M539*24*60) )),2))) + ((M539*24*60 )*-0.1 + (K539*0.015)) +1,(((M539*24*60)/2)*(1+POWER((((N539*24*60) / (M539*24*60 ))),2)))),""),"")</f>
        <v/>
      </c>
      <c r="Q539" s="90">
        <f>IF(AND(O539&lt;&gt;"",L539&lt;&gt;""),IF(A539&lt;&gt;A540,((L539*24*60) / 2 ) * (1 + POWER(((O539*24*60) / (L539*24*60)),2)),""),"")</f>
        <v/>
      </c>
      <c r="R539" s="90">
        <f>IF(Q539&lt;&gt;"",MAX(P539,Q539),"")</f>
        <v/>
      </c>
      <c r="S539" s="89">
        <f>IF(I539&lt;&gt;"H. Sale Real",IF(AND(I540&lt;&gt;"",LEFT(C540,2)&lt;&gt;"Va"),IF(AND(I539&lt;&gt;"",LEFT(C539,2)&lt;&gt;"Va",I539&lt;&gt;"H. Sale Real"),IF(I540-I539&lt;0.208333333333333,I540-I539,""),IF(AND(I538&lt;&gt;"",LEFT(C538,2)&lt;&gt;"Va",I538&lt;&gt;"H. Sale Real"),IF(I540-I538&lt;0.208333333333333,I540-I538,""),IF(AND(I537&lt;&gt;"",LEFT(C537,2)&lt;&gt;"Va",I537&lt;&gt;"H. Sale Real"),IF(I540-I537&lt;0.208333333333333,I540-I537,""),IF(AND(I536&lt;&gt;"",LEFT(C536,2)&lt;&gt;"Va",I536&lt;&gt;"H. Sale Real"),IF(I540-I536&lt;0.208333333333333,I540-I536,""),IF(AND(I535&lt;&gt;"",LEFT(C535,2)&lt;&gt;"Va",I535&lt;&gt;"H. Sale Real"),IF(I540-I535&lt;0.208333333333333,I540-I535,""),""))))),""),"")</f>
        <v/>
      </c>
      <c r="T539" s="89">
        <f>IF(G539&lt;&gt;"H. Sale Real",IF(AND(G540&lt;&gt;"",LEFT(C540,2)&lt;&gt;"Va"),IF(AND(G539&lt;&gt;"",LEFT(C539,2)&lt;&gt;"Va",G539&lt;&gt;"H. Sale Real"),IF(G540-G539&lt;0.208333333333333,G540-G539,""),IF(AND(G538&lt;&gt;"",LEFT(C538,2)&lt;&gt;"Va",G538&lt;&gt;"H. Sale Real"),IF(G540-G538&lt;0.208333333333333,G540-G538,""),IF(AND(G537&lt;&gt;"",LEFT(C537,2)&lt;&gt;"Va",G537&lt;&gt;"H. Sale Real"),IF(G540-G537&lt;0.208333333333333,G540-G537,""),IF(AND(G536&lt;&gt;"",LEFT(C536,2)&lt;&gt;"Va",G536&lt;&gt;"H. Sale Real"),IF(G540-G536&lt;0.208333333333333,G540-G536,""),IF(AND(G535&lt;&gt;"",LEFT(C535,2)&lt;&gt;"Va",G535&lt;&gt;"H. Sale Real"),IF(G540-G535&lt;0.208333333333333,G540-G535,""),""))))),""),"")</f>
        <v/>
      </c>
      <c r="U539" s="87" t="n"/>
      <c r="V539" s="89" t="n"/>
      <c r="W539" s="87" t="n"/>
      <c r="X539" s="89" t="n"/>
      <c r="Y539" s="91" t="n"/>
      <c r="Z539" s="122">
        <f>IF(G539&lt;&gt;"",IF(AND(Z538&lt;&gt;"IE",P539&lt;&gt;0,R539&lt;&gt;""),IF(IFERROR((P539/R539),0) &lt;=1,IFERROR(P539/R539,""),1),""),"")</f>
        <v/>
      </c>
      <c r="AA539" s="93" t="n"/>
      <c r="AB539" s="2" t="n"/>
      <c r="AE539" s="10">
        <f>HOUR(AK539)+1</f>
        <v/>
      </c>
      <c r="AF539" s="7" t="n"/>
      <c r="AG539" s="7" t="n"/>
      <c r="AH539" s="86" t="n"/>
      <c r="AI539" s="8" t="n"/>
      <c r="AJ539" s="86" t="n"/>
      <c r="AK539" s="87" t="n"/>
      <c r="AL539" s="88">
        <f>IF(AM539="","",IF(AND((AM539-AK539)&gt;=TIME(0,0,0),(AM539-AK539)&lt;TIME(0,3,0)),"OK",IF(AND((AM539-AK539)&gt;=TIME(0,3,0),(AM539-AK539)&lt;TIME(0,5,0)),"RETRASO DE 3-5 MIN",IF(AND((AM539-AK539)&gt;=TIME(0,5,0),(AM539-AK539)&lt;TIME(0,10,0)),"RETRASO DE 5-10 MIN",IF((AM539-AK539)&gt;=TIME(0,10,0),"RETRASO &gt;10 MIN", IF(AND((AK539-AM539)&gt;=TIME(0,0,0),(AK539-AM539)&lt;TIME(0,3,0)),"OK",IF((AK539-AM539)&gt;=TIME(0,3,0),"ADELANTADO")))))))</f>
        <v/>
      </c>
      <c r="AM539" s="91" t="n"/>
      <c r="AN539" s="89">
        <f>IF(AE539&lt;&gt;"",HLOOKUP(VALUE(TEXT(AK539,"h:mm:ss")),IF($C$6="Laboral",$FZ$4:$GX$227,IF($C$6="Sábado",$FZ$231:$GX$452,$FZ$456:$GX$656)),VLOOKUP($C$4,$HF$2:$HH$99,3,0)+IF(AG$5="Ida",0,1),1),"")</f>
        <v/>
      </c>
      <c r="AO539" s="89">
        <f>IF(AE540&lt;&gt;AE539,AVERAGEIF(AE$9:AE539,AE539,AN$9:AN539),"")</f>
        <v/>
      </c>
      <c r="AP539" s="89">
        <f>IFERROR(IF(AE540&lt;&gt;AE539,AVERAGEIF(AE$9:AE539,AE539,AW$9:AW539),""),"")</f>
        <v/>
      </c>
      <c r="AQ539" s="89">
        <f>IFERROR(IF(AE540&lt;&gt;AE539,AVERAGEIF(AE$9:AE539,AE539,AX$9:AX539),""),"")</f>
        <v/>
      </c>
      <c r="AR539" s="89">
        <f t="array" ref="AR539">IFERROR(IF(AE540&lt;&gt;AE539,_xlfn.STDEV.P(IF(AE$9:AE539=AE539,AX$9:AX539)),""),"")</f>
        <v/>
      </c>
      <c r="AS539" s="89">
        <f t="array" ref="AS539">IFERROR(IF(AE540&lt;&gt;AE539,_xlfn.STDEV.P(IF(AE$9:AE539=AE539,AW$9:AW539)),""),"")</f>
        <v/>
      </c>
      <c r="AT539" s="90">
        <f>IFERROR(IF(AE539&lt;&gt;AE540,MAX((((AQ539*24*60)/2)*(1+POWER((((AR539*24*60) / (AQ539*24*60) )),2))) + ((AQ539*24*60 )*-0.1 + (AO539*0.015)) +1,(((AQ539*24*60)/2)*(1+POWER((((AR539*24*60) / (AQ539*24*60 ))),2)))),""),"")</f>
        <v/>
      </c>
      <c r="AU539" s="90">
        <f>IF(AND(AS539&lt;&gt;"",AP539&lt;&gt;""),IF(AE539&lt;&gt;AE540,((AP539*24*60) / 2 ) * (1 + POWER(((AS539*24*60) / (AP539*24*60)),2)),""),"")</f>
        <v/>
      </c>
      <c r="AV539" s="90">
        <f>IF(AU539&lt;&gt;"",MAX(AT539,AU539),"")</f>
        <v/>
      </c>
      <c r="AW539" s="89">
        <f>IF(AM539&lt;&gt;"H. Sale Real",IF(AND(AM540&lt;&gt;"",LEFT(AG540,2)&lt;&gt;"Va"),IF(AND(AM539&lt;&gt;"",LEFT(AG539,2)&lt;&gt;"Va",AM539&lt;&gt;"H. Sale Real"),IF(AM540-AM539&lt;0.208333333333333,AM540-AM539,""),IF(AND(AM538&lt;&gt;"",LEFT(AG538,2)&lt;&gt;"Va",AM538&lt;&gt;"H. Sale Real"),IF(AM540-AM538&lt;0.208333333333333,AM540-AM538,""),IF(AND(AM537&lt;&gt;"",LEFT(AG537,2)&lt;&gt;"Va",AM537&lt;&gt;"H. Sale Real"),IF(AM540-AM537&lt;0.208333333333333,AM540-AM537,""),IF(AND(AM536&lt;&gt;"",LEFT(AG536,2)&lt;&gt;"Va",AM536&lt;&gt;"H. Sale Real"),IF(AM540-AM536&lt;0.208333333333333,AM540-AM536,""),IF(AND(AM535&lt;&gt;"",LEFT(AG535,2)&lt;&gt;"Va",AM535&lt;&gt;"H. Sale Real"),IF(AM540-AM535&lt;0.208333333333333,AM540-AM535,""),""))))),""),"")</f>
        <v/>
      </c>
      <c r="AX539" s="89">
        <f>IF(AK539&lt;&gt;"H. Sale Real",IF(AND(AK540&lt;&gt;"",LEFT(AG540,2)&lt;&gt;"Va"),IF(AND(AK539&lt;&gt;"",LEFT(AG539,2)&lt;&gt;"Va",AK539&lt;&gt;"H. Sale Real"),IF(AK540-AK539&lt;0.208333333333333,AK540-AK539,""),IF(AND(AK538&lt;&gt;"",LEFT(AG538,2)&lt;&gt;"Va",AK538&lt;&gt;"H. Sale Real"),IF(AK540-AK538&lt;0.208333333333333,AK540-AK538,""),IF(AND(AK537&lt;&gt;"",LEFT(AG537,2)&lt;&gt;"NC",AK537&lt;&gt;"H. Sale Real"),IF(AK540-AK537&lt;0.208333333333333,AK540-AK537,""),IF(AND(AK536&lt;&gt;"",LEFT(AG536,2)&lt;&gt;"Va",AK536&lt;&gt;"H. Sale Real"),IF(AK540-AK536&lt;0.208333333333333,AK540-AK536,""),IF(AND(AK535&lt;&gt;"",LEFT(AG535,2)&lt;&gt;"Va",AK535&lt;&gt;"H. Sale Real"),IF(AK540-AK535&lt;0.208333333333333,AK540-AK535,""),""))))),""),"")</f>
        <v/>
      </c>
      <c r="AY539" s="87" t="n"/>
      <c r="AZ539" s="89" t="n"/>
      <c r="BA539" s="87" t="n"/>
      <c r="BB539" s="89" t="n"/>
      <c r="BC539" s="91" t="n"/>
      <c r="BD539" s="122">
        <f>IF(AK539&lt;&gt;"",IF(AND(BD538&lt;&gt;"IE",AT539&lt;&gt;0,AV539&lt;&gt;""),IF(IFERROR((AT539/AV539),0) &lt;=1,IFERROR(AT539/AV539,""),1),""),"")</f>
        <v/>
      </c>
      <c r="BE539" s="93" t="n"/>
      <c r="BF539" s="105" t="n"/>
      <c r="FC539" t="inlineStr">
        <is>
          <t>Diccionario 1</t>
        </is>
      </c>
      <c r="FD539" s="15" t="inlineStr"/>
      <c r="FE539" s="17" t="inlineStr">
        <is>
          <t>LDYECS316S0044140</t>
        </is>
      </c>
      <c r="FF539" s="18" t="inlineStr">
        <is>
          <t>MDN35025030038</t>
        </is>
      </c>
      <c r="FG539" s="18" t="inlineStr">
        <is>
          <t>Zhong Thong</t>
        </is>
      </c>
      <c r="FH539" s="18" t="inlineStr">
        <is>
          <t>Lck6122evg</t>
        </is>
      </c>
      <c r="FI539" s="18" t="inlineStr">
        <is>
          <t>Zhong Thong</t>
        </is>
      </c>
      <c r="FJ539" s="18" t="inlineStr">
        <is>
          <t>Lck6122evg</t>
        </is>
      </c>
      <c r="FK539" s="18" t="n">
        <v>2026</v>
      </c>
      <c r="FL539" s="18" t="inlineStr">
        <is>
          <t>B</t>
        </is>
      </c>
      <c r="FM539" s="18" t="inlineStr">
        <is>
          <t>Lo Blanco</t>
        </is>
      </c>
      <c r="FP539" t="inlineStr">
        <is>
          <t>B</t>
        </is>
      </c>
      <c r="FS539" s="14" t="inlineStr">
        <is>
          <t>LZPG-22</t>
        </is>
      </c>
      <c r="FT539" t="inlineStr">
        <is>
          <t>LZPG-22</t>
        </is>
      </c>
      <c r="FU539" t="inlineStr">
        <is>
          <t>LZPG-22</t>
        </is>
      </c>
      <c r="FV539">
        <f>VLOOKUP(FU539,FD:FL,9,0)</f>
        <v/>
      </c>
      <c r="HA539" s="35" t="n">
        <v>84</v>
      </c>
      <c r="HB539" s="35" t="n">
        <v>533</v>
      </c>
    </row>
    <row r="540" ht="15.5" customHeight="1">
      <c r="A540" s="10">
        <f>HOUR(G540)+1</f>
        <v/>
      </c>
      <c r="B540" s="7" t="n"/>
      <c r="C540" s="7" t="n"/>
      <c r="D540" s="85">
        <f>IFERROR(
IF(AND(OR(Planilla!B540="C",Planilla!B540="c"), VLOOKUP(E540,FD:FP,13,0)="C"), "OK",IF(AND(OR(Planilla!B540="C",Planilla!B540="c"), OR(VLOOKUP(E540,FD:FP,13,0)="B", VLOOKUP(E540,FD:FP,13,0)="A")), "DEFICIT",IF(
AND(OR(Planilla!B540="B", Planilla!B540="BPAL"), VLOOKUP(E540,FD:FP,13,0)="B"), "OK",IF(AND(OR(Planilla!B540="B", Planilla!B540="BPAL"), VLOOKUP(E540,FD:FP,13,0)="A"), "DEFICIT",IF(AND(OR(Planilla!B540="B", Planilla!B540="BPAL"), VLOOKUP(E540,FD:FP,13,0)="C"), "SOBREOFERTA",IF(AND(Planilla!B540="A", VLOOKUP(E540,FD:FP,13,0)="A"), "OK",IF(
AND(Planilla!B540="A", OR(VLOOKUP(E540,FD:FP,13,0)="B", VLOOKUP(E540,FD:FP,13,0)="C")), "SOBREOFERTA",""
))))))),"")</f>
        <v/>
      </c>
      <c r="E540" s="8" t="n"/>
      <c r="F540" s="86" t="n"/>
      <c r="G540" s="87" t="n"/>
      <c r="H540" s="88">
        <f>IF(I540="","",IF(AND((I540-G540)&gt;=TIME(0,0,0),(I540-G540)&lt;TIME(0,3,0)),"OK",IF(AND((I540-G540)&gt;=TIME(0,3,0),(I540-G540)&lt;TIME(0,5,0)),"RETRASO DE 3-5 MIN",IF(AND((I540-G540)&gt;=TIME(0,5,0),(I540-G540)&lt;TIME(0,10,0)),"RETRASO DE 5-10 MIN",IF((I540-G540)&gt;=TIME(0,10,0),"RETRASO &gt;10 MIN", IF(AND((G540-I540)&gt;=TIME(0,0,0),(G540-I540)&lt;TIME(0,3,0)),"OK",IF((G540-I540)&gt;=TIME(0,3,0),"ADELANTADO")))))))</f>
        <v/>
      </c>
      <c r="I540" s="89" t="n"/>
      <c r="J540" s="89">
        <f>IF(A540&lt;&gt;"",HLOOKUP(VALUE(TEXT(G540,"h:mm:ss")),IF($C$6="Laboral",$FZ$4:$GX$227,IF($C$6="Sábado",$FZ$231:$GX$452,$FZ$456:$GX$656)),VLOOKUP($C$4,$HF$2:$HH$99,3,0)+IF(C$5="Ida",0,1),1),"")</f>
        <v/>
      </c>
      <c r="K540" s="89">
        <f>IF(A541&lt;&gt;A540,AVERAGEIF(A$9:A540,A540,J$9:J540),"")</f>
        <v/>
      </c>
      <c r="L540" s="89">
        <f>IFERROR(IF(A541&lt;&gt;A540,AVERAGEIF(A$9:A540,A540,S$9:S540),""),"")</f>
        <v/>
      </c>
      <c r="M540" s="89">
        <f>IFERROR(IF(A541&lt;&gt;A540,AVERAGEIF(A$9:A540,A540,T$9:T540),""),"")</f>
        <v/>
      </c>
      <c r="N540" s="89">
        <f t="array" ref="N540">IFERROR(IF(A541&lt;&gt;A540,_xlfn.STDEV.P(IF(A$9:A540=A540,T$9:T540)),""),"")</f>
        <v/>
      </c>
      <c r="O540" s="89">
        <f t="array" ref="O540">IFERROR(IF(A541&lt;&gt;A540,_xlfn.STDEV.P(IF(A$9:A540=A540,S$9:S540)),""),"")</f>
        <v/>
      </c>
      <c r="P540" s="90">
        <f>IFERROR(IF(A540&lt;&gt;A541,MAX((((M540*24*60)/2)*(1+POWER((((N540*24*60) / (M540*24*60) )),2))) + ((M540*24*60 )*-0.1 + (K540*0.015)) +1,(((M540*24*60)/2)*(1+POWER((((N540*24*60) / (M540*24*60 ))),2)))),""),"")</f>
        <v/>
      </c>
      <c r="Q540" s="90">
        <f>IF(AND(O540&lt;&gt;"",L540&lt;&gt;""),IF(A540&lt;&gt;A541,((L540*24*60) / 2 ) * (1 + POWER(((O540*24*60) / (L540*24*60)),2)),""),"")</f>
        <v/>
      </c>
      <c r="R540" s="90">
        <f>IF(Q540&lt;&gt;"",MAX(P540,Q540),"")</f>
        <v/>
      </c>
      <c r="S540" s="89">
        <f>IF(I540&lt;&gt;"H. Sale Real",IF(AND(I541&lt;&gt;"",LEFT(C541,2)&lt;&gt;"Va"),IF(AND(I540&lt;&gt;"",LEFT(C540,2)&lt;&gt;"Va",I540&lt;&gt;"H. Sale Real"),IF(I541-I540&lt;0.208333333333333,I541-I540,""),IF(AND(I539&lt;&gt;"",LEFT(C539,2)&lt;&gt;"Va",I539&lt;&gt;"H. Sale Real"),IF(I541-I539&lt;0.208333333333333,I541-I539,""),IF(AND(I538&lt;&gt;"",LEFT(C538,2)&lt;&gt;"Va",I538&lt;&gt;"H. Sale Real"),IF(I541-I538&lt;0.208333333333333,I541-I538,""),IF(AND(I537&lt;&gt;"",LEFT(C537,2)&lt;&gt;"Va",I537&lt;&gt;"H. Sale Real"),IF(I541-I537&lt;0.208333333333333,I541-I537,""),IF(AND(I536&lt;&gt;"",LEFT(C536,2)&lt;&gt;"Va",I536&lt;&gt;"H. Sale Real"),IF(I541-I536&lt;0.208333333333333,I541-I536,""),""))))),""),"")</f>
        <v/>
      </c>
      <c r="T540" s="89">
        <f>IF(G540&lt;&gt;"H. Sale Real",IF(AND(G541&lt;&gt;"",LEFT(C541,2)&lt;&gt;"Va"),IF(AND(G540&lt;&gt;"",LEFT(C540,2)&lt;&gt;"Va",G540&lt;&gt;"H. Sale Real"),IF(G541-G540&lt;0.208333333333333,G541-G540,""),IF(AND(G539&lt;&gt;"",LEFT(C539,2)&lt;&gt;"Va",G539&lt;&gt;"H. Sale Real"),IF(G541-G539&lt;0.208333333333333,G541-G539,""),IF(AND(G538&lt;&gt;"",LEFT(C538,2)&lt;&gt;"Va",G538&lt;&gt;"H. Sale Real"),IF(G541-G538&lt;0.208333333333333,G541-G538,""),IF(AND(G537&lt;&gt;"",LEFT(C537,2)&lt;&gt;"Va",G537&lt;&gt;"H. Sale Real"),IF(G541-G537&lt;0.208333333333333,G541-G537,""),IF(AND(G536&lt;&gt;"",LEFT(C536,2)&lt;&gt;"Va",G536&lt;&gt;"H. Sale Real"),IF(G541-G536&lt;0.208333333333333,G541-G536,""),""))))),""),"")</f>
        <v/>
      </c>
      <c r="U540" s="87" t="n"/>
      <c r="V540" s="89" t="n"/>
      <c r="W540" s="87" t="n"/>
      <c r="X540" s="89" t="n"/>
      <c r="Y540" s="91" t="n"/>
      <c r="Z540" s="122">
        <f>IF(G540&lt;&gt;"",IF(AND(Z539&lt;&gt;"IE",P540&lt;&gt;0,R540&lt;&gt;""),IF(IFERROR((P540/R540),0) &lt;=1,IFERROR(P540/R540,""),1),""),"")</f>
        <v/>
      </c>
      <c r="AA540" s="93" t="n"/>
      <c r="AB540" s="2" t="n"/>
      <c r="AE540" s="10">
        <f>HOUR(AK540)+1</f>
        <v/>
      </c>
      <c r="AF540" s="7" t="n"/>
      <c r="AG540" s="7" t="n"/>
      <c r="AH540" s="86" t="n"/>
      <c r="AI540" s="8" t="n"/>
      <c r="AJ540" s="86" t="n"/>
      <c r="AK540" s="87" t="n"/>
      <c r="AL540" s="88">
        <f>IF(AM540="","",IF(AND((AM540-AK540)&gt;=TIME(0,0,0),(AM540-AK540)&lt;TIME(0,3,0)),"OK",IF(AND((AM540-AK540)&gt;=TIME(0,3,0),(AM540-AK540)&lt;TIME(0,5,0)),"RETRASO DE 3-5 MIN",IF(AND((AM540-AK540)&gt;=TIME(0,5,0),(AM540-AK540)&lt;TIME(0,10,0)),"RETRASO DE 5-10 MIN",IF((AM540-AK540)&gt;=TIME(0,10,0),"RETRASO &gt;10 MIN", IF(AND((AK540-AM540)&gt;=TIME(0,0,0),(AK540-AM540)&lt;TIME(0,3,0)),"OK",IF((AK540-AM540)&gt;=TIME(0,3,0),"ADELANTADO")))))))</f>
        <v/>
      </c>
      <c r="AM540" s="91" t="n"/>
      <c r="AN540" s="89">
        <f>IF(AE540&lt;&gt;"",HLOOKUP(VALUE(TEXT(AK540,"h:mm:ss")),IF($C$6="Laboral",$FZ$4:$GX$227,IF($C$6="Sábado",$FZ$231:$GX$452,$FZ$456:$GX$656)),VLOOKUP($C$4,$HF$2:$HH$99,3,0)+IF(AG$5="Ida",0,1),1),"")</f>
        <v/>
      </c>
      <c r="AO540" s="89">
        <f>IF(AE541&lt;&gt;AE540,AVERAGEIF(AE$9:AE540,AE540,AN$9:AN540),"")</f>
        <v/>
      </c>
      <c r="AP540" s="89">
        <f>IFERROR(IF(AE541&lt;&gt;AE540,AVERAGEIF(AE$9:AE540,AE540,AW$9:AW540),""),"")</f>
        <v/>
      </c>
      <c r="AQ540" s="89">
        <f>IFERROR(IF(AE541&lt;&gt;AE540,AVERAGEIF(AE$9:AE540,AE540,AX$9:AX540),""),"")</f>
        <v/>
      </c>
      <c r="AR540" s="89">
        <f t="array" ref="AR540">IFERROR(IF(AE541&lt;&gt;AE540,_xlfn.STDEV.P(IF(AE$9:AE540=AE540,AX$9:AX540)),""),"")</f>
        <v/>
      </c>
      <c r="AS540" s="89">
        <f t="array" ref="AS540">IFERROR(IF(AE541&lt;&gt;AE540,_xlfn.STDEV.P(IF(AE$9:AE540=AE540,AW$9:AW540)),""),"")</f>
        <v/>
      </c>
      <c r="AT540" s="90">
        <f>IFERROR(IF(AE540&lt;&gt;AE541,MAX((((AQ540*24*60)/2)*(1+POWER((((AR540*24*60) / (AQ540*24*60) )),2))) + ((AQ540*24*60 )*-0.1 + (AO540*0.015)) +1,(((AQ540*24*60)/2)*(1+POWER((((AR540*24*60) / (AQ540*24*60 ))),2)))),""),"")</f>
        <v/>
      </c>
      <c r="AU540" s="90">
        <f>IF(AND(AS540&lt;&gt;"",AP540&lt;&gt;""),IF(AE540&lt;&gt;AE541,((AP540*24*60) / 2 ) * (1 + POWER(((AS540*24*60) / (AP540*24*60)),2)),""),"")</f>
        <v/>
      </c>
      <c r="AV540" s="90">
        <f>IF(AU540&lt;&gt;"",MAX(AT540,AU540),"")</f>
        <v/>
      </c>
      <c r="AW540" s="89">
        <f>IF(AM540&lt;&gt;"H. Sale Real",IF(AND(AM541&lt;&gt;"",LEFT(AG541,2)&lt;&gt;"Va"),IF(AND(AM540&lt;&gt;"",LEFT(AG540,2)&lt;&gt;"Va",AM540&lt;&gt;"H. Sale Real"),IF(AM541-AM540&lt;0.208333333333333,AM541-AM540,""),IF(AND(AM539&lt;&gt;"",LEFT(AG539,2)&lt;&gt;"Va",AM539&lt;&gt;"H. Sale Real"),IF(AM541-AM539&lt;0.208333333333333,AM541-AM539,""),IF(AND(AM538&lt;&gt;"",LEFT(AG538,2)&lt;&gt;"Va",AM538&lt;&gt;"H. Sale Real"),IF(AM541-AM538&lt;0.208333333333333,AM541-AM538,""),IF(AND(AM537&lt;&gt;"",LEFT(AG537,2)&lt;&gt;"Va",AM537&lt;&gt;"H. Sale Real"),IF(AM541-AM537&lt;0.208333333333333,AM541-AM537,""),IF(AND(AM536&lt;&gt;"",LEFT(AG536,2)&lt;&gt;"Va",AM536&lt;&gt;"H. Sale Real"),IF(AM541-AM536&lt;0.208333333333333,AM541-AM536,""),""))))),""),"")</f>
        <v/>
      </c>
      <c r="AX540" s="89">
        <f>IF(AK540&lt;&gt;"H. Sale Real",IF(AND(AK541&lt;&gt;"",LEFT(AG541,2)&lt;&gt;"Va"),IF(AND(AK540&lt;&gt;"",LEFT(AG540,2)&lt;&gt;"Va",AK540&lt;&gt;"H. Sale Real"),IF(AK541-AK540&lt;0.208333333333333,AK541-AK540,""),IF(AND(AK539&lt;&gt;"",LEFT(AG539,2)&lt;&gt;"Va",AK539&lt;&gt;"H. Sale Real"),IF(AK541-AK539&lt;0.208333333333333,AK541-AK539,""),IF(AND(AK538&lt;&gt;"",LEFT(AG538,2)&lt;&gt;"NC",AK538&lt;&gt;"H. Sale Real"),IF(AK541-AK538&lt;0.208333333333333,AK541-AK538,""),IF(AND(AK537&lt;&gt;"",LEFT(AG537,2)&lt;&gt;"Va",AK537&lt;&gt;"H. Sale Real"),IF(AK541-AK537&lt;0.208333333333333,AK541-AK537,""),IF(AND(AK536&lt;&gt;"",LEFT(AG536,2)&lt;&gt;"Va",AK536&lt;&gt;"H. Sale Real"),IF(AK541-AK536&lt;0.208333333333333,AK541-AK536,""),""))))),""),"")</f>
        <v/>
      </c>
      <c r="AY540" s="87" t="n"/>
      <c r="AZ540" s="89" t="n"/>
      <c r="BA540" s="87" t="n"/>
      <c r="BB540" s="89" t="n"/>
      <c r="BC540" s="91" t="n"/>
      <c r="BD540" s="122">
        <f>IF(AK540&lt;&gt;"",IF(AND(BD539&lt;&gt;"IE",AT540&lt;&gt;0,AV540&lt;&gt;""),IF(IFERROR((AT540/AV540),0) &lt;=1,IFERROR(AT540/AV540,""),1),""),"")</f>
        <v/>
      </c>
      <c r="BE540" s="93" t="n"/>
      <c r="BF540" s="105" t="n"/>
      <c r="FC540" t="inlineStr">
        <is>
          <t>Diccionario 1</t>
        </is>
      </c>
      <c r="FD540" s="15" t="inlineStr"/>
      <c r="FE540" s="17" t="inlineStr">
        <is>
          <t>LDYECS317S0044230</t>
        </is>
      </c>
      <c r="FF540" s="18" t="inlineStr">
        <is>
          <t>MDN35025020272</t>
        </is>
      </c>
      <c r="FG540" s="18" t="inlineStr">
        <is>
          <t>Zhong Thong</t>
        </is>
      </c>
      <c r="FH540" s="18" t="inlineStr">
        <is>
          <t>Lck6122evg</t>
        </is>
      </c>
      <c r="FI540" s="18" t="inlineStr">
        <is>
          <t>Zhong Thong</t>
        </is>
      </c>
      <c r="FJ540" s="18" t="inlineStr">
        <is>
          <t>Lck6122evg</t>
        </is>
      </c>
      <c r="FK540" s="18" t="n">
        <v>2026</v>
      </c>
      <c r="FL540" s="18" t="inlineStr">
        <is>
          <t>B</t>
        </is>
      </c>
      <c r="FM540" s="18" t="inlineStr">
        <is>
          <t>Lo Blanco</t>
        </is>
      </c>
      <c r="FP540" t="inlineStr">
        <is>
          <t>B</t>
        </is>
      </c>
      <c r="FS540" s="14" t="inlineStr">
        <is>
          <t>LZPT-73</t>
        </is>
      </c>
      <c r="FT540" t="inlineStr">
        <is>
          <t>LZPT-73</t>
        </is>
      </c>
      <c r="FU540" t="inlineStr">
        <is>
          <t>LZPT-73</t>
        </is>
      </c>
      <c r="FV540">
        <f>VLOOKUP(FU540,FD:FL,9,0)</f>
        <v/>
      </c>
      <c r="HA540" s="35" t="n">
        <v>85</v>
      </c>
      <c r="HB540" s="35" t="n">
        <v>534</v>
      </c>
    </row>
    <row r="541" ht="15.5" customHeight="1">
      <c r="A541" s="10">
        <f>HOUR(G541)+1</f>
        <v/>
      </c>
      <c r="B541" s="7" t="n"/>
      <c r="C541" s="7" t="n"/>
      <c r="D541" s="85">
        <f>IFERROR(
IF(AND(OR(Planilla!B541="C",Planilla!B541="c"), VLOOKUP(E541,FD:FP,13,0)="C"), "OK",IF(AND(OR(Planilla!B541="C",Planilla!B541="c"), OR(VLOOKUP(E541,FD:FP,13,0)="B", VLOOKUP(E541,FD:FP,13,0)="A")), "DEFICIT",IF(
AND(OR(Planilla!B541="B", Planilla!B541="BPAL"), VLOOKUP(E541,FD:FP,13,0)="B"), "OK",IF(AND(OR(Planilla!B541="B", Planilla!B541="BPAL"), VLOOKUP(E541,FD:FP,13,0)="A"), "DEFICIT",IF(AND(OR(Planilla!B541="B", Planilla!B541="BPAL"), VLOOKUP(E541,FD:FP,13,0)="C"), "SOBREOFERTA",IF(AND(Planilla!B541="A", VLOOKUP(E541,FD:FP,13,0)="A"), "OK",IF(
AND(Planilla!B541="A", OR(VLOOKUP(E541,FD:FP,13,0)="B", VLOOKUP(E541,FD:FP,13,0)="C")), "SOBREOFERTA",""
))))))),"")</f>
        <v/>
      </c>
      <c r="E541" s="8" t="n"/>
      <c r="F541" s="86" t="n"/>
      <c r="G541" s="87" t="n"/>
      <c r="H541" s="88">
        <f>IF(I541="","",IF(AND((I541-G541)&gt;=TIME(0,0,0),(I541-G541)&lt;TIME(0,3,0)),"OK",IF(AND((I541-G541)&gt;=TIME(0,3,0),(I541-G541)&lt;TIME(0,5,0)),"RETRASO DE 3-5 MIN",IF(AND((I541-G541)&gt;=TIME(0,5,0),(I541-G541)&lt;TIME(0,10,0)),"RETRASO DE 5-10 MIN",IF((I541-G541)&gt;=TIME(0,10,0),"RETRASO &gt;10 MIN", IF(AND((G541-I541)&gt;=TIME(0,0,0),(G541-I541)&lt;TIME(0,3,0)),"OK",IF((G541-I541)&gt;=TIME(0,3,0),"ADELANTADO")))))))</f>
        <v/>
      </c>
      <c r="I541" s="89" t="n"/>
      <c r="J541" s="89">
        <f>IF(A541&lt;&gt;"",HLOOKUP(VALUE(TEXT(G541,"h:mm:ss")),IF($C$6="Laboral",$FZ$4:$GX$227,IF($C$6="Sábado",$FZ$231:$GX$452,$FZ$456:$GX$656)),VLOOKUP($C$4,$HF$2:$HH$99,3,0)+IF(C$5="Ida",0,1),1),"")</f>
        <v/>
      </c>
      <c r="K541" s="89">
        <f>IF(A542&lt;&gt;A541,AVERAGEIF(A$9:A541,A541,J$9:J541),"")</f>
        <v/>
      </c>
      <c r="L541" s="89">
        <f>IFERROR(IF(A542&lt;&gt;A541,AVERAGEIF(A$9:A541,A541,S$9:S541),""),"")</f>
        <v/>
      </c>
      <c r="M541" s="89">
        <f>IFERROR(IF(A542&lt;&gt;A541,AVERAGEIF(A$9:A541,A541,T$9:T541),""),"")</f>
        <v/>
      </c>
      <c r="N541" s="89">
        <f t="array" ref="N541">IFERROR(IF(A542&lt;&gt;A541,_xlfn.STDEV.P(IF(A$9:A541=A541,T$9:T541)),""),"")</f>
        <v/>
      </c>
      <c r="O541" s="89">
        <f t="array" ref="O541">IFERROR(IF(A542&lt;&gt;A541,_xlfn.STDEV.P(IF(A$9:A541=A541,S$9:S541)),""),"")</f>
        <v/>
      </c>
      <c r="P541" s="90">
        <f>IFERROR(IF(A541&lt;&gt;A542,MAX((((M541*24*60)/2)*(1+POWER((((N541*24*60) / (M541*24*60) )),2))) + ((M541*24*60 )*-0.1 + (K541*0.015)) +1,(((M541*24*60)/2)*(1+POWER((((N541*24*60) / (M541*24*60 ))),2)))),""),"")</f>
        <v/>
      </c>
      <c r="Q541" s="90">
        <f>IF(AND(O541&lt;&gt;"",L541&lt;&gt;""),IF(A541&lt;&gt;A542,((L541*24*60) / 2 ) * (1 + POWER(((O541*24*60) / (L541*24*60)),2)),""),"")</f>
        <v/>
      </c>
      <c r="R541" s="90">
        <f>IF(Q541&lt;&gt;"",MAX(P541,Q541),"")</f>
        <v/>
      </c>
      <c r="S541" s="89">
        <f>IF(I541&lt;&gt;"H. Sale Real",IF(AND(I542&lt;&gt;"",LEFT(C542,2)&lt;&gt;"Va"),IF(AND(I541&lt;&gt;"",LEFT(C541,2)&lt;&gt;"Va",I541&lt;&gt;"H. Sale Real"),IF(I542-I541&lt;0.208333333333333,I542-I541,""),IF(AND(I540&lt;&gt;"",LEFT(C540,2)&lt;&gt;"Va",I540&lt;&gt;"H. Sale Real"),IF(I542-I540&lt;0.208333333333333,I542-I540,""),IF(AND(I539&lt;&gt;"",LEFT(C539,2)&lt;&gt;"Va",I539&lt;&gt;"H. Sale Real"),IF(I542-I539&lt;0.208333333333333,I542-I539,""),IF(AND(I538&lt;&gt;"",LEFT(C538,2)&lt;&gt;"Va",I538&lt;&gt;"H. Sale Real"),IF(I542-I538&lt;0.208333333333333,I542-I538,""),IF(AND(I537&lt;&gt;"",LEFT(C537,2)&lt;&gt;"Va",I537&lt;&gt;"H. Sale Real"),IF(I542-I537&lt;0.208333333333333,I542-I537,""),""))))),""),"")</f>
        <v/>
      </c>
      <c r="T541" s="89">
        <f>IF(G541&lt;&gt;"H. Sale Real",IF(AND(G542&lt;&gt;"",LEFT(C542,2)&lt;&gt;"Va"),IF(AND(G541&lt;&gt;"",LEFT(C541,2)&lt;&gt;"Va",G541&lt;&gt;"H. Sale Real"),IF(G542-G541&lt;0.208333333333333,G542-G541,""),IF(AND(G540&lt;&gt;"",LEFT(C540,2)&lt;&gt;"Va",G540&lt;&gt;"H. Sale Real"),IF(G542-G540&lt;0.208333333333333,G542-G540,""),IF(AND(G539&lt;&gt;"",LEFT(C539,2)&lt;&gt;"Va",G539&lt;&gt;"H. Sale Real"),IF(G542-G539&lt;0.208333333333333,G542-G539,""),IF(AND(G538&lt;&gt;"",LEFT(C538,2)&lt;&gt;"Va",G538&lt;&gt;"H. Sale Real"),IF(G542-G538&lt;0.208333333333333,G542-G538,""),IF(AND(G537&lt;&gt;"",LEFT(C537,2)&lt;&gt;"Va",G537&lt;&gt;"H. Sale Real"),IF(G542-G537&lt;0.208333333333333,G542-G537,""),""))))),""),"")</f>
        <v/>
      </c>
      <c r="U541" s="87" t="n"/>
      <c r="V541" s="89" t="n"/>
      <c r="W541" s="87" t="n"/>
      <c r="X541" s="89" t="n"/>
      <c r="Y541" s="91" t="n"/>
      <c r="Z541" s="122">
        <f>IF(G541&lt;&gt;"",IF(AND(Z540&lt;&gt;"IE",P541&lt;&gt;0,R541&lt;&gt;""),IF(IFERROR((P541/R541),0) &lt;=1,IFERROR(P541/R541,""),1),""),"")</f>
        <v/>
      </c>
      <c r="AA541" s="93" t="n"/>
      <c r="AB541" s="2" t="n"/>
      <c r="AE541" s="10">
        <f>HOUR(AK541)+1</f>
        <v/>
      </c>
      <c r="AF541" s="7" t="n"/>
      <c r="AG541" s="7" t="n"/>
      <c r="AH541" s="86" t="n"/>
      <c r="AI541" s="8" t="n"/>
      <c r="AJ541" s="86" t="n"/>
      <c r="AK541" s="87" t="n"/>
      <c r="AL541" s="88">
        <f>IF(AM541="","",IF(AND((AM541-AK541)&gt;=TIME(0,0,0),(AM541-AK541)&lt;TIME(0,3,0)),"OK",IF(AND((AM541-AK541)&gt;=TIME(0,3,0),(AM541-AK541)&lt;TIME(0,5,0)),"RETRASO DE 3-5 MIN",IF(AND((AM541-AK541)&gt;=TIME(0,5,0),(AM541-AK541)&lt;TIME(0,10,0)),"RETRASO DE 5-10 MIN",IF((AM541-AK541)&gt;=TIME(0,10,0),"RETRASO &gt;10 MIN", IF(AND((AK541-AM541)&gt;=TIME(0,0,0),(AK541-AM541)&lt;TIME(0,3,0)),"OK",IF((AK541-AM541)&gt;=TIME(0,3,0),"ADELANTADO")))))))</f>
        <v/>
      </c>
      <c r="AM541" s="91" t="n"/>
      <c r="AN541" s="89">
        <f>IF(AE541&lt;&gt;"",HLOOKUP(VALUE(TEXT(AK541,"h:mm:ss")),IF($C$6="Laboral",$FZ$4:$GX$227,IF($C$6="Sábado",$FZ$231:$GX$452,$FZ$456:$GX$656)),VLOOKUP($C$4,$HF$2:$HH$99,3,0)+IF(AG$5="Ida",0,1),1),"")</f>
        <v/>
      </c>
      <c r="AO541" s="89">
        <f>IF(AE542&lt;&gt;AE541,AVERAGEIF(AE$9:AE541,AE541,AN$9:AN541),"")</f>
        <v/>
      </c>
      <c r="AP541" s="89">
        <f>IFERROR(IF(AE542&lt;&gt;AE541,AVERAGEIF(AE$9:AE541,AE541,AW$9:AW541),""),"")</f>
        <v/>
      </c>
      <c r="AQ541" s="89">
        <f>IFERROR(IF(AE542&lt;&gt;AE541,AVERAGEIF(AE$9:AE541,AE541,AX$9:AX541),""),"")</f>
        <v/>
      </c>
      <c r="AR541" s="89">
        <f t="array" ref="AR541">IFERROR(IF(AE542&lt;&gt;AE541,_xlfn.STDEV.P(IF(AE$9:AE541=AE541,AX$9:AX541)),""),"")</f>
        <v/>
      </c>
      <c r="AS541" s="89">
        <f t="array" ref="AS541">IFERROR(IF(AE542&lt;&gt;AE541,_xlfn.STDEV.P(IF(AE$9:AE541=AE541,AW$9:AW541)),""),"")</f>
        <v/>
      </c>
      <c r="AT541" s="90">
        <f>IFERROR(IF(AE541&lt;&gt;AE542,MAX((((AQ541*24*60)/2)*(1+POWER((((AR541*24*60) / (AQ541*24*60) )),2))) + ((AQ541*24*60 )*-0.1 + (AO541*0.015)) +1,(((AQ541*24*60)/2)*(1+POWER((((AR541*24*60) / (AQ541*24*60 ))),2)))),""),"")</f>
        <v/>
      </c>
      <c r="AU541" s="90">
        <f>IF(AND(AS541&lt;&gt;"",AP541&lt;&gt;""),IF(AE541&lt;&gt;AE542,((AP541*24*60) / 2 ) * (1 + POWER(((AS541*24*60) / (AP541*24*60)),2)),""),"")</f>
        <v/>
      </c>
      <c r="AV541" s="90">
        <f>IF(AU541&lt;&gt;"",MAX(AT541,AU541),"")</f>
        <v/>
      </c>
      <c r="AW541" s="89">
        <f>IF(AM541&lt;&gt;"H. Sale Real",IF(AND(AM542&lt;&gt;"",LEFT(AG542,2)&lt;&gt;"Va"),IF(AND(AM541&lt;&gt;"",LEFT(AG541,2)&lt;&gt;"Va",AM541&lt;&gt;"H. Sale Real"),IF(AM542-AM541&lt;0.208333333333333,AM542-AM541,""),IF(AND(AM540&lt;&gt;"",LEFT(AG540,2)&lt;&gt;"Va",AM540&lt;&gt;"H. Sale Real"),IF(AM542-AM540&lt;0.208333333333333,AM542-AM540,""),IF(AND(AM539&lt;&gt;"",LEFT(AG539,2)&lt;&gt;"Va",AM539&lt;&gt;"H. Sale Real"),IF(AM542-AM539&lt;0.208333333333333,AM542-AM539,""),IF(AND(AM538&lt;&gt;"",LEFT(AG538,2)&lt;&gt;"Va",AM538&lt;&gt;"H. Sale Real"),IF(AM542-AM538&lt;0.208333333333333,AM542-AM538,""),IF(AND(AM537&lt;&gt;"",LEFT(AG537,2)&lt;&gt;"Va",AM537&lt;&gt;"H. Sale Real"),IF(AM542-AM537&lt;0.208333333333333,AM542-AM537,""),""))))),""),"")</f>
        <v/>
      </c>
      <c r="AX541" s="89">
        <f>IF(AK541&lt;&gt;"H. Sale Real",IF(AND(AK542&lt;&gt;"",LEFT(AG542,2)&lt;&gt;"Va"),IF(AND(AK541&lt;&gt;"",LEFT(AG541,2)&lt;&gt;"Va",AK541&lt;&gt;"H. Sale Real"),IF(AK542-AK541&lt;0.208333333333333,AK542-AK541,""),IF(AND(AK540&lt;&gt;"",LEFT(AG540,2)&lt;&gt;"Va",AK540&lt;&gt;"H. Sale Real"),IF(AK542-AK540&lt;0.208333333333333,AK542-AK540,""),IF(AND(AK539&lt;&gt;"",LEFT(AG539,2)&lt;&gt;"NC",AK539&lt;&gt;"H. Sale Real"),IF(AK542-AK539&lt;0.208333333333333,AK542-AK539,""),IF(AND(AK538&lt;&gt;"",LEFT(AG538,2)&lt;&gt;"Va",AK538&lt;&gt;"H. Sale Real"),IF(AK542-AK538&lt;0.208333333333333,AK542-AK538,""),IF(AND(AK537&lt;&gt;"",LEFT(AG537,2)&lt;&gt;"Va",AK537&lt;&gt;"H. Sale Real"),IF(AK542-AK537&lt;0.208333333333333,AK542-AK537,""),""))))),""),"")</f>
        <v/>
      </c>
      <c r="AY541" s="87" t="n"/>
      <c r="AZ541" s="89" t="n"/>
      <c r="BA541" s="87" t="n"/>
      <c r="BB541" s="89" t="n"/>
      <c r="BC541" s="91" t="n"/>
      <c r="BD541" s="122">
        <f>IF(AK541&lt;&gt;"",IF(AND(BD540&lt;&gt;"IE",AT541&lt;&gt;0,AV541&lt;&gt;""),IF(IFERROR((AT541/AV541),0) &lt;=1,IFERROR(AT541/AV541,""),1),""),"")</f>
        <v/>
      </c>
      <c r="BE541" s="93" t="n"/>
      <c r="BF541" s="105" t="n"/>
      <c r="FC541" t="inlineStr">
        <is>
          <t>Diccionario 1</t>
        </is>
      </c>
      <c r="FD541" s="15" t="inlineStr"/>
      <c r="FE541" s="17" t="inlineStr">
        <is>
          <t>LDYECS317S0044227</t>
        </is>
      </c>
      <c r="FF541" s="18" t="inlineStr">
        <is>
          <t>MDN35025020261</t>
        </is>
      </c>
      <c r="FG541" s="18" t="inlineStr">
        <is>
          <t>Zhong Thong</t>
        </is>
      </c>
      <c r="FH541" s="18" t="inlineStr">
        <is>
          <t>Lck6122evg</t>
        </is>
      </c>
      <c r="FI541" s="18" t="inlineStr">
        <is>
          <t>Zhong Thong</t>
        </is>
      </c>
      <c r="FJ541" s="18" t="inlineStr">
        <is>
          <t>Lck6122evg</t>
        </is>
      </c>
      <c r="FK541" s="18" t="n">
        <v>2026</v>
      </c>
      <c r="FL541" s="18" t="inlineStr">
        <is>
          <t>B</t>
        </is>
      </c>
      <c r="FM541" s="18" t="inlineStr">
        <is>
          <t>Lo Blanco</t>
        </is>
      </c>
      <c r="FP541" t="inlineStr">
        <is>
          <t>B</t>
        </is>
      </c>
      <c r="FS541" s="14" t="inlineStr">
        <is>
          <t>LZPT-42</t>
        </is>
      </c>
      <c r="FT541" t="inlineStr">
        <is>
          <t>LZPT-42</t>
        </is>
      </c>
      <c r="FU541" t="inlineStr">
        <is>
          <t>LZPT-42</t>
        </is>
      </c>
      <c r="FV541">
        <f>VLOOKUP(FU541,FD:FL,9,0)</f>
        <v/>
      </c>
      <c r="HA541" s="35" t="n">
        <v>86</v>
      </c>
      <c r="HB541" s="35" t="n">
        <v>535</v>
      </c>
    </row>
    <row r="542" ht="15.5" customHeight="1">
      <c r="A542" s="10">
        <f>HOUR(G542)+1</f>
        <v/>
      </c>
      <c r="B542" s="7" t="n"/>
      <c r="C542" s="7" t="n"/>
      <c r="D542" s="85">
        <f>IFERROR(
IF(AND(OR(Planilla!B542="C",Planilla!B542="c"), VLOOKUP(E542,FD:FP,13,0)="C"), "OK",IF(AND(OR(Planilla!B542="C",Planilla!B542="c"), OR(VLOOKUP(E542,FD:FP,13,0)="B", VLOOKUP(E542,FD:FP,13,0)="A")), "DEFICIT",IF(
AND(OR(Planilla!B542="B", Planilla!B542="BPAL"), VLOOKUP(E542,FD:FP,13,0)="B"), "OK",IF(AND(OR(Planilla!B542="B", Planilla!B542="BPAL"), VLOOKUP(E542,FD:FP,13,0)="A"), "DEFICIT",IF(AND(OR(Planilla!B542="B", Planilla!B542="BPAL"), VLOOKUP(E542,FD:FP,13,0)="C"), "SOBREOFERTA",IF(AND(Planilla!B542="A", VLOOKUP(E542,FD:FP,13,0)="A"), "OK",IF(
AND(Planilla!B542="A", OR(VLOOKUP(E542,FD:FP,13,0)="B", VLOOKUP(E542,FD:FP,13,0)="C")), "SOBREOFERTA",""
))))))),"")</f>
        <v/>
      </c>
      <c r="E542" s="8" t="n"/>
      <c r="F542" s="86" t="n"/>
      <c r="G542" s="87" t="n"/>
      <c r="H542" s="88">
        <f>IF(I542="","",IF(AND((I542-G542)&gt;=TIME(0,0,0),(I542-G542)&lt;TIME(0,3,0)),"OK",IF(AND((I542-G542)&gt;=TIME(0,3,0),(I542-G542)&lt;TIME(0,5,0)),"RETRASO DE 3-5 MIN",IF(AND((I542-G542)&gt;=TIME(0,5,0),(I542-G542)&lt;TIME(0,10,0)),"RETRASO DE 5-10 MIN",IF((I542-G542)&gt;=TIME(0,10,0),"RETRASO &gt;10 MIN", IF(AND((G542-I542)&gt;=TIME(0,0,0),(G542-I542)&lt;TIME(0,3,0)),"OK",IF((G542-I542)&gt;=TIME(0,3,0),"ADELANTADO")))))))</f>
        <v/>
      </c>
      <c r="I542" s="89" t="n"/>
      <c r="J542" s="89">
        <f>IF(A542&lt;&gt;"",HLOOKUP(VALUE(TEXT(G542,"h:mm:ss")),IF($C$6="Laboral",$FZ$4:$GX$227,IF($C$6="Sábado",$FZ$231:$GX$452,$FZ$456:$GX$656)),VLOOKUP($C$4,$HF$2:$HH$99,3,0)+IF(C$5="Ida",0,1),1),"")</f>
        <v/>
      </c>
      <c r="K542" s="89">
        <f>IF(A543&lt;&gt;A542,AVERAGEIF(A$9:A542,A542,J$9:J542),"")</f>
        <v/>
      </c>
      <c r="L542" s="89">
        <f>IFERROR(IF(A543&lt;&gt;A542,AVERAGEIF(A$9:A542,A542,S$9:S542),""),"")</f>
        <v/>
      </c>
      <c r="M542" s="89">
        <f>IFERROR(IF(A543&lt;&gt;A542,AVERAGEIF(A$9:A542,A542,T$9:T542),""),"")</f>
        <v/>
      </c>
      <c r="N542" s="89">
        <f t="array" ref="N542">IFERROR(IF(A543&lt;&gt;A542,_xlfn.STDEV.P(IF(A$9:A542=A542,T$9:T542)),""),"")</f>
        <v/>
      </c>
      <c r="O542" s="89">
        <f t="array" ref="O542">IFERROR(IF(A543&lt;&gt;A542,_xlfn.STDEV.P(IF(A$9:A542=A542,S$9:S542)),""),"")</f>
        <v/>
      </c>
      <c r="P542" s="90">
        <f>IFERROR(IF(A542&lt;&gt;A543,MAX((((M542*24*60)/2)*(1+POWER((((N542*24*60) / (M542*24*60) )),2))) + ((M542*24*60 )*-0.1 + (K542*0.015)) +1,(((M542*24*60)/2)*(1+POWER((((N542*24*60) / (M542*24*60 ))),2)))),""),"")</f>
        <v/>
      </c>
      <c r="Q542" s="90">
        <f>IF(AND(O542&lt;&gt;"",L542&lt;&gt;""),IF(A542&lt;&gt;A543,((L542*24*60) / 2 ) * (1 + POWER(((O542*24*60) / (L542*24*60)),2)),""),"")</f>
        <v/>
      </c>
      <c r="R542" s="90">
        <f>IF(Q542&lt;&gt;"",MAX(P542,Q542),"")</f>
        <v/>
      </c>
      <c r="S542" s="89">
        <f>IF(I542&lt;&gt;"H. Sale Real",IF(AND(I543&lt;&gt;"",LEFT(C543,2)&lt;&gt;"Va"),IF(AND(I542&lt;&gt;"",LEFT(C542,2)&lt;&gt;"Va",I542&lt;&gt;"H. Sale Real"),IF(I543-I542&lt;0.208333333333333,I543-I542,""),IF(AND(I541&lt;&gt;"",LEFT(C541,2)&lt;&gt;"Va",I541&lt;&gt;"H. Sale Real"),IF(I543-I541&lt;0.208333333333333,I543-I541,""),IF(AND(I540&lt;&gt;"",LEFT(C540,2)&lt;&gt;"Va",I540&lt;&gt;"H. Sale Real"),IF(I543-I540&lt;0.208333333333333,I543-I540,""),IF(AND(I539&lt;&gt;"",LEFT(C539,2)&lt;&gt;"Va",I539&lt;&gt;"H. Sale Real"),IF(I543-I539&lt;0.208333333333333,I543-I539,""),IF(AND(I538&lt;&gt;"",LEFT(C538,2)&lt;&gt;"Va",I538&lt;&gt;"H. Sale Real"),IF(I543-I538&lt;0.208333333333333,I543-I538,""),""))))),""),"")</f>
        <v/>
      </c>
      <c r="T542" s="89">
        <f>IF(G542&lt;&gt;"H. Sale Real",IF(AND(G543&lt;&gt;"",LEFT(C543,2)&lt;&gt;"Va"),IF(AND(G542&lt;&gt;"",LEFT(C542,2)&lt;&gt;"Va",G542&lt;&gt;"H. Sale Real"),IF(G543-G542&lt;0.208333333333333,G543-G542,""),IF(AND(G541&lt;&gt;"",LEFT(C541,2)&lt;&gt;"Va",G541&lt;&gt;"H. Sale Real"),IF(G543-G541&lt;0.208333333333333,G543-G541,""),IF(AND(G540&lt;&gt;"",LEFT(C540,2)&lt;&gt;"Va",G540&lt;&gt;"H. Sale Real"),IF(G543-G540&lt;0.208333333333333,G543-G540,""),IF(AND(G539&lt;&gt;"",LEFT(C539,2)&lt;&gt;"Va",G539&lt;&gt;"H. Sale Real"),IF(G543-G539&lt;0.208333333333333,G543-G539,""),IF(AND(G538&lt;&gt;"",LEFT(C538,2)&lt;&gt;"Va",G538&lt;&gt;"H. Sale Real"),IF(G543-G538&lt;0.208333333333333,G543-G538,""),""))))),""),"")</f>
        <v/>
      </c>
      <c r="U542" s="87" t="n"/>
      <c r="V542" s="89" t="n"/>
      <c r="W542" s="87" t="n"/>
      <c r="X542" s="89" t="n"/>
      <c r="Y542" s="91" t="n"/>
      <c r="Z542" s="122">
        <f>IF(G542&lt;&gt;"",IF(AND(Z541&lt;&gt;"IE",P542&lt;&gt;0,R542&lt;&gt;""),IF(IFERROR((P542/R542),0) &lt;=1,IFERROR(P542/R542,""),1),""),"")</f>
        <v/>
      </c>
      <c r="AA542" s="93" t="n"/>
      <c r="AB542" s="2" t="n"/>
      <c r="AE542" s="10">
        <f>HOUR(AK542)+1</f>
        <v/>
      </c>
      <c r="AF542" s="7" t="n"/>
      <c r="AG542" s="7" t="n"/>
      <c r="AH542" s="86" t="n"/>
      <c r="AI542" s="8" t="n"/>
      <c r="AJ542" s="86" t="n"/>
      <c r="AK542" s="87" t="n"/>
      <c r="AL542" s="88">
        <f>IF(AM542="","",IF(AND((AM542-AK542)&gt;=TIME(0,0,0),(AM542-AK542)&lt;TIME(0,3,0)),"OK",IF(AND((AM542-AK542)&gt;=TIME(0,3,0),(AM542-AK542)&lt;TIME(0,5,0)),"RETRASO DE 3-5 MIN",IF(AND((AM542-AK542)&gt;=TIME(0,5,0),(AM542-AK542)&lt;TIME(0,10,0)),"RETRASO DE 5-10 MIN",IF((AM542-AK542)&gt;=TIME(0,10,0),"RETRASO &gt;10 MIN", IF(AND((AK542-AM542)&gt;=TIME(0,0,0),(AK542-AM542)&lt;TIME(0,3,0)),"OK",IF((AK542-AM542)&gt;=TIME(0,3,0),"ADELANTADO")))))))</f>
        <v/>
      </c>
      <c r="AM542" s="91" t="n"/>
      <c r="AN542" s="89">
        <f>IF(AE542&lt;&gt;"",HLOOKUP(VALUE(TEXT(AK542,"h:mm:ss")),IF($C$6="Laboral",$FZ$4:$GX$227,IF($C$6="Sábado",$FZ$231:$GX$452,$FZ$456:$GX$656)),VLOOKUP($C$4,$HF$2:$HH$99,3,0)+IF(AG$5="Ida",0,1),1),"")</f>
        <v/>
      </c>
      <c r="AO542" s="89">
        <f>IF(AE543&lt;&gt;AE542,AVERAGEIF(AE$9:AE542,AE542,AN$9:AN542),"")</f>
        <v/>
      </c>
      <c r="AP542" s="89">
        <f>IFERROR(IF(AE543&lt;&gt;AE542,AVERAGEIF(AE$9:AE542,AE542,AW$9:AW542),""),"")</f>
        <v/>
      </c>
      <c r="AQ542" s="89">
        <f>IFERROR(IF(AE543&lt;&gt;AE542,AVERAGEIF(AE$9:AE542,AE542,AX$9:AX542),""),"")</f>
        <v/>
      </c>
      <c r="AR542" s="89">
        <f t="array" ref="AR542">IFERROR(IF(AE543&lt;&gt;AE542,_xlfn.STDEV.P(IF(AE$9:AE542=AE542,AX$9:AX542)),""),"")</f>
        <v/>
      </c>
      <c r="AS542" s="89">
        <f t="array" ref="AS542">IFERROR(IF(AE543&lt;&gt;AE542,_xlfn.STDEV.P(IF(AE$9:AE542=AE542,AW$9:AW542)),""),"")</f>
        <v/>
      </c>
      <c r="AT542" s="90">
        <f>IFERROR(IF(AE542&lt;&gt;AE543,MAX((((AQ542*24*60)/2)*(1+POWER((((AR542*24*60) / (AQ542*24*60) )),2))) + ((AQ542*24*60 )*-0.1 + (AO542*0.015)) +1,(((AQ542*24*60)/2)*(1+POWER((((AR542*24*60) / (AQ542*24*60 ))),2)))),""),"")</f>
        <v/>
      </c>
      <c r="AU542" s="90">
        <f>IF(AND(AS542&lt;&gt;"",AP542&lt;&gt;""),IF(AE542&lt;&gt;AE543,((AP542*24*60) / 2 ) * (1 + POWER(((AS542*24*60) / (AP542*24*60)),2)),""),"")</f>
        <v/>
      </c>
      <c r="AV542" s="90">
        <f>IF(AU542&lt;&gt;"",MAX(AT542,AU542),"")</f>
        <v/>
      </c>
      <c r="AW542" s="89">
        <f>IF(AM542&lt;&gt;"H. Sale Real",IF(AND(AM543&lt;&gt;"",LEFT(AG543,2)&lt;&gt;"Va"),IF(AND(AM542&lt;&gt;"",LEFT(AG542,2)&lt;&gt;"Va",AM542&lt;&gt;"H. Sale Real"),IF(AM543-AM542&lt;0.208333333333333,AM543-AM542,""),IF(AND(AM541&lt;&gt;"",LEFT(AG541,2)&lt;&gt;"Va",AM541&lt;&gt;"H. Sale Real"),IF(AM543-AM541&lt;0.208333333333333,AM543-AM541,""),IF(AND(AM540&lt;&gt;"",LEFT(AG540,2)&lt;&gt;"Va",AM540&lt;&gt;"H. Sale Real"),IF(AM543-AM540&lt;0.208333333333333,AM543-AM540,""),IF(AND(AM539&lt;&gt;"",LEFT(AG539,2)&lt;&gt;"Va",AM539&lt;&gt;"H. Sale Real"),IF(AM543-AM539&lt;0.208333333333333,AM543-AM539,""),IF(AND(AM538&lt;&gt;"",LEFT(AG538,2)&lt;&gt;"Va",AM538&lt;&gt;"H. Sale Real"),IF(AM543-AM538&lt;0.208333333333333,AM543-AM538,""),""))))),""),"")</f>
        <v/>
      </c>
      <c r="AX542" s="89">
        <f>IF(AK542&lt;&gt;"H. Sale Real",IF(AND(AK543&lt;&gt;"",LEFT(AG543,2)&lt;&gt;"Va"),IF(AND(AK542&lt;&gt;"",LEFT(AG542,2)&lt;&gt;"Va",AK542&lt;&gt;"H. Sale Real"),IF(AK543-AK542&lt;0.208333333333333,AK543-AK542,""),IF(AND(AK541&lt;&gt;"",LEFT(AG541,2)&lt;&gt;"Va",AK541&lt;&gt;"H. Sale Real"),IF(AK543-AK541&lt;0.208333333333333,AK543-AK541,""),IF(AND(AK540&lt;&gt;"",LEFT(AG540,2)&lt;&gt;"NC",AK540&lt;&gt;"H. Sale Real"),IF(AK543-AK540&lt;0.208333333333333,AK543-AK540,""),IF(AND(AK539&lt;&gt;"",LEFT(AG539,2)&lt;&gt;"Va",AK539&lt;&gt;"H. Sale Real"),IF(AK543-AK539&lt;0.208333333333333,AK543-AK539,""),IF(AND(AK538&lt;&gt;"",LEFT(AG538,2)&lt;&gt;"Va",AK538&lt;&gt;"H. Sale Real"),IF(AK543-AK538&lt;0.208333333333333,AK543-AK538,""),""))))),""),"")</f>
        <v/>
      </c>
      <c r="AY542" s="87" t="n"/>
      <c r="AZ542" s="89" t="n"/>
      <c r="BA542" s="87" t="n"/>
      <c r="BB542" s="89" t="n"/>
      <c r="BC542" s="91" t="n"/>
      <c r="BD542" s="122">
        <f>IF(AK542&lt;&gt;"",IF(AND(BD541&lt;&gt;"IE",AT542&lt;&gt;0,AV542&lt;&gt;""),IF(IFERROR((AT542/AV542),0) &lt;=1,IFERROR(AT542/AV542,""),1),""),"")</f>
        <v/>
      </c>
      <c r="BE542" s="93" t="n"/>
      <c r="BF542" s="105" t="n"/>
      <c r="FC542" t="inlineStr">
        <is>
          <t>Diccionario 1</t>
        </is>
      </c>
      <c r="FD542" s="15" t="inlineStr"/>
      <c r="FE542" s="17" t="inlineStr">
        <is>
          <t>LDYECS315S0044288</t>
        </is>
      </c>
      <c r="FF542" s="18" t="inlineStr">
        <is>
          <t>MDN35025020208</t>
        </is>
      </c>
      <c r="FG542" s="18" t="inlineStr">
        <is>
          <t>Zhong Thong</t>
        </is>
      </c>
      <c r="FH542" s="18" t="inlineStr">
        <is>
          <t>Lck6122evg</t>
        </is>
      </c>
      <c r="FI542" s="18" t="inlineStr">
        <is>
          <t>Zhong Thong</t>
        </is>
      </c>
      <c r="FJ542" s="18" t="inlineStr">
        <is>
          <t>Lck6122evg</t>
        </is>
      </c>
      <c r="FK542" s="18" t="n">
        <v>2026</v>
      </c>
      <c r="FL542" s="18" t="inlineStr">
        <is>
          <t>B</t>
        </is>
      </c>
      <c r="FM542" s="18" t="inlineStr">
        <is>
          <t>Ducaud</t>
        </is>
      </c>
      <c r="FP542" t="inlineStr">
        <is>
          <t>B</t>
        </is>
      </c>
      <c r="FS542" s="14" t="inlineStr">
        <is>
          <t>LZPS-19</t>
        </is>
      </c>
      <c r="FT542" t="inlineStr">
        <is>
          <t>LZPS-19</t>
        </is>
      </c>
      <c r="FU542" t="inlineStr">
        <is>
          <t>LZPS-19</t>
        </is>
      </c>
      <c r="FV542">
        <f>VLOOKUP(FU542,FD:FL,9,0)</f>
        <v/>
      </c>
      <c r="HA542" s="35" t="n">
        <v>87</v>
      </c>
      <c r="HB542" s="35" t="n">
        <v>536</v>
      </c>
    </row>
    <row r="543" ht="15.5" customHeight="1">
      <c r="A543" s="10">
        <f>HOUR(G543)+1</f>
        <v/>
      </c>
      <c r="B543" s="7" t="n"/>
      <c r="C543" s="7" t="n"/>
      <c r="D543" s="85">
        <f>IFERROR(
IF(AND(OR(Planilla!B543="C",Planilla!B543="c"), VLOOKUP(E543,FD:FP,13,0)="C"), "OK",IF(AND(OR(Planilla!B543="C",Planilla!B543="c"), OR(VLOOKUP(E543,FD:FP,13,0)="B", VLOOKUP(E543,FD:FP,13,0)="A")), "DEFICIT",IF(
AND(OR(Planilla!B543="B", Planilla!B543="BPAL"), VLOOKUP(E543,FD:FP,13,0)="B"), "OK",IF(AND(OR(Planilla!B543="B", Planilla!B543="BPAL"), VLOOKUP(E543,FD:FP,13,0)="A"), "DEFICIT",IF(AND(OR(Planilla!B543="B", Planilla!B543="BPAL"), VLOOKUP(E543,FD:FP,13,0)="C"), "SOBREOFERTA",IF(AND(Planilla!B543="A", VLOOKUP(E543,FD:FP,13,0)="A"), "OK",IF(
AND(Planilla!B543="A", OR(VLOOKUP(E543,FD:FP,13,0)="B", VLOOKUP(E543,FD:FP,13,0)="C")), "SOBREOFERTA",""
))))))),"")</f>
        <v/>
      </c>
      <c r="E543" s="8" t="n"/>
      <c r="F543" s="86" t="n"/>
      <c r="G543" s="87" t="n"/>
      <c r="H543" s="88">
        <f>IF(I543="","",IF(AND((I543-G543)&gt;=TIME(0,0,0),(I543-G543)&lt;TIME(0,3,0)),"OK",IF(AND((I543-G543)&gt;=TIME(0,3,0),(I543-G543)&lt;TIME(0,5,0)),"RETRASO DE 3-5 MIN",IF(AND((I543-G543)&gt;=TIME(0,5,0),(I543-G543)&lt;TIME(0,10,0)),"RETRASO DE 5-10 MIN",IF((I543-G543)&gt;=TIME(0,10,0),"RETRASO &gt;10 MIN", IF(AND((G543-I543)&gt;=TIME(0,0,0),(G543-I543)&lt;TIME(0,3,0)),"OK",IF((G543-I543)&gt;=TIME(0,3,0),"ADELANTADO")))))))</f>
        <v/>
      </c>
      <c r="I543" s="89" t="n"/>
      <c r="J543" s="89">
        <f>IF(A543&lt;&gt;"",HLOOKUP(VALUE(TEXT(G543,"h:mm:ss")),IF($C$6="Laboral",$FZ$4:$GX$227,IF($C$6="Sábado",$FZ$231:$GX$452,$FZ$456:$GX$656)),VLOOKUP($C$4,$HF$2:$HH$99,3,0)+IF(C$5="Ida",0,1),1),"")</f>
        <v/>
      </c>
      <c r="K543" s="89">
        <f>IF(A544&lt;&gt;A543,AVERAGEIF(A$9:A543,A543,J$9:J543),"")</f>
        <v/>
      </c>
      <c r="L543" s="89">
        <f>IFERROR(IF(A544&lt;&gt;A543,AVERAGEIF(A$9:A543,A543,S$9:S543),""),"")</f>
        <v/>
      </c>
      <c r="M543" s="89">
        <f>IFERROR(IF(A544&lt;&gt;A543,AVERAGEIF(A$9:A543,A543,T$9:T543),""),"")</f>
        <v/>
      </c>
      <c r="N543" s="89">
        <f t="array" ref="N543">IFERROR(IF(A544&lt;&gt;A543,_xlfn.STDEV.P(IF(A$9:A543=A543,T$9:T543)),""),"")</f>
        <v/>
      </c>
      <c r="O543" s="89">
        <f t="array" ref="O543">IFERROR(IF(A544&lt;&gt;A543,_xlfn.STDEV.P(IF(A$9:A543=A543,S$9:S543)),""),"")</f>
        <v/>
      </c>
      <c r="P543" s="90">
        <f>IFERROR(IF(A543&lt;&gt;A544,MAX((((M543*24*60)/2)*(1+POWER((((N543*24*60) / (M543*24*60) )),2))) + ((M543*24*60 )*-0.1 + (K543*0.015)) +1,(((M543*24*60)/2)*(1+POWER((((N543*24*60) / (M543*24*60 ))),2)))),""),"")</f>
        <v/>
      </c>
      <c r="Q543" s="90">
        <f>IF(AND(O543&lt;&gt;"",L543&lt;&gt;""),IF(A543&lt;&gt;A544,((L543*24*60) / 2 ) * (1 + POWER(((O543*24*60) / (L543*24*60)),2)),""),"")</f>
        <v/>
      </c>
      <c r="R543" s="90">
        <f>IF(Q543&lt;&gt;"",MAX(P543,Q543),"")</f>
        <v/>
      </c>
      <c r="S543" s="89">
        <f>IF(I543&lt;&gt;"H. Sale Real",IF(AND(I544&lt;&gt;"",LEFT(C544,2)&lt;&gt;"Va"),IF(AND(I543&lt;&gt;"",LEFT(C543,2)&lt;&gt;"Va",I543&lt;&gt;"H. Sale Real"),IF(I544-I543&lt;0.208333333333333,I544-I543,""),IF(AND(I542&lt;&gt;"",LEFT(C542,2)&lt;&gt;"Va",I542&lt;&gt;"H. Sale Real"),IF(I544-I542&lt;0.208333333333333,I544-I542,""),IF(AND(I541&lt;&gt;"",LEFT(C541,2)&lt;&gt;"Va",I541&lt;&gt;"H. Sale Real"),IF(I544-I541&lt;0.208333333333333,I544-I541,""),IF(AND(I540&lt;&gt;"",LEFT(C540,2)&lt;&gt;"Va",I540&lt;&gt;"H. Sale Real"),IF(I544-I540&lt;0.208333333333333,I544-I540,""),IF(AND(I539&lt;&gt;"",LEFT(C539,2)&lt;&gt;"Va",I539&lt;&gt;"H. Sale Real"),IF(I544-I539&lt;0.208333333333333,I544-I539,""),""))))),""),"")</f>
        <v/>
      </c>
      <c r="T543" s="89">
        <f>IF(G543&lt;&gt;"H. Sale Real",IF(AND(G544&lt;&gt;"",LEFT(C544,2)&lt;&gt;"Va"),IF(AND(G543&lt;&gt;"",LEFT(C543,2)&lt;&gt;"Va",G543&lt;&gt;"H. Sale Real"),IF(G544-G543&lt;0.208333333333333,G544-G543,""),IF(AND(G542&lt;&gt;"",LEFT(C542,2)&lt;&gt;"Va",G542&lt;&gt;"H. Sale Real"),IF(G544-G542&lt;0.208333333333333,G544-G542,""),IF(AND(G541&lt;&gt;"",LEFT(C541,2)&lt;&gt;"Va",G541&lt;&gt;"H. Sale Real"),IF(G544-G541&lt;0.208333333333333,G544-G541,""),IF(AND(G540&lt;&gt;"",LEFT(C540,2)&lt;&gt;"Va",G540&lt;&gt;"H. Sale Real"),IF(G544-G540&lt;0.208333333333333,G544-G540,""),IF(AND(G539&lt;&gt;"",LEFT(C539,2)&lt;&gt;"Va",G539&lt;&gt;"H. Sale Real"),IF(G544-G539&lt;0.208333333333333,G544-G539,""),""))))),""),"")</f>
        <v/>
      </c>
      <c r="U543" s="87" t="n"/>
      <c r="V543" s="89" t="n"/>
      <c r="W543" s="87" t="n"/>
      <c r="X543" s="89" t="n"/>
      <c r="Y543" s="91" t="n"/>
      <c r="Z543" s="122">
        <f>IF(G543&lt;&gt;"",IF(AND(Z542&lt;&gt;"IE",P543&lt;&gt;0,R543&lt;&gt;""),IF(IFERROR((P543/R543),0) &lt;=1,IFERROR(P543/R543,""),1),""),"")</f>
        <v/>
      </c>
      <c r="AA543" s="93" t="n"/>
      <c r="AB543" s="2" t="n"/>
      <c r="AE543" s="10">
        <f>HOUR(AK543)+1</f>
        <v/>
      </c>
      <c r="AF543" s="7" t="n"/>
      <c r="AG543" s="7" t="n"/>
      <c r="AH543" s="86" t="n"/>
      <c r="AI543" s="8" t="n"/>
      <c r="AJ543" s="86" t="n"/>
      <c r="AK543" s="87" t="n"/>
      <c r="AL543" s="88">
        <f>IF(AM543="","",IF(AND((AM543-AK543)&gt;=TIME(0,0,0),(AM543-AK543)&lt;TIME(0,3,0)),"OK",IF(AND((AM543-AK543)&gt;=TIME(0,3,0),(AM543-AK543)&lt;TIME(0,5,0)),"RETRASO DE 3-5 MIN",IF(AND((AM543-AK543)&gt;=TIME(0,5,0),(AM543-AK543)&lt;TIME(0,10,0)),"RETRASO DE 5-10 MIN",IF((AM543-AK543)&gt;=TIME(0,10,0),"RETRASO &gt;10 MIN", IF(AND((AK543-AM543)&gt;=TIME(0,0,0),(AK543-AM543)&lt;TIME(0,3,0)),"OK",IF((AK543-AM543)&gt;=TIME(0,3,0),"ADELANTADO")))))))</f>
        <v/>
      </c>
      <c r="AM543" s="91" t="n"/>
      <c r="AN543" s="89">
        <f>IF(AE543&lt;&gt;"",HLOOKUP(VALUE(TEXT(AK543,"h:mm:ss")),IF($C$6="Laboral",$FZ$4:$GX$227,IF($C$6="Sábado",$FZ$231:$GX$452,$FZ$456:$GX$656)),VLOOKUP($C$4,$HF$2:$HH$99,3,0)+IF(AG$5="Ida",0,1),1),"")</f>
        <v/>
      </c>
      <c r="AO543" s="89">
        <f>IF(AE544&lt;&gt;AE543,AVERAGEIF(AE$9:AE543,AE543,AN$9:AN543),"")</f>
        <v/>
      </c>
      <c r="AP543" s="89">
        <f>IFERROR(IF(AE544&lt;&gt;AE543,AVERAGEIF(AE$9:AE543,AE543,AW$9:AW543),""),"")</f>
        <v/>
      </c>
      <c r="AQ543" s="89">
        <f>IFERROR(IF(AE544&lt;&gt;AE543,AVERAGEIF(AE$9:AE543,AE543,AX$9:AX543),""),"")</f>
        <v/>
      </c>
      <c r="AR543" s="89">
        <f t="array" ref="AR543">IFERROR(IF(AE544&lt;&gt;AE543,_xlfn.STDEV.P(IF(AE$9:AE543=AE543,AX$9:AX543)),""),"")</f>
        <v/>
      </c>
      <c r="AS543" s="89">
        <f t="array" ref="AS543">IFERROR(IF(AE544&lt;&gt;AE543,_xlfn.STDEV.P(IF(AE$9:AE543=AE543,AW$9:AW543)),""),"")</f>
        <v/>
      </c>
      <c r="AT543" s="90">
        <f>IFERROR(IF(AE543&lt;&gt;AE544,MAX((((AQ543*24*60)/2)*(1+POWER((((AR543*24*60) / (AQ543*24*60) )),2))) + ((AQ543*24*60 )*-0.1 + (AO543*0.015)) +1,(((AQ543*24*60)/2)*(1+POWER((((AR543*24*60) / (AQ543*24*60 ))),2)))),""),"")</f>
        <v/>
      </c>
      <c r="AU543" s="90">
        <f>IF(AND(AS543&lt;&gt;"",AP543&lt;&gt;""),IF(AE543&lt;&gt;AE544,((AP543*24*60) / 2 ) * (1 + POWER(((AS543*24*60) / (AP543*24*60)),2)),""),"")</f>
        <v/>
      </c>
      <c r="AV543" s="90">
        <f>IF(AU543&lt;&gt;"",MAX(AT543,AU543),"")</f>
        <v/>
      </c>
      <c r="AW543" s="89">
        <f>IF(AM543&lt;&gt;"H. Sale Real",IF(AND(AM544&lt;&gt;"",LEFT(AG544,2)&lt;&gt;"Va"),IF(AND(AM543&lt;&gt;"",LEFT(AG543,2)&lt;&gt;"Va",AM543&lt;&gt;"H. Sale Real"),IF(AM544-AM543&lt;0.208333333333333,AM544-AM543,""),IF(AND(AM542&lt;&gt;"",LEFT(AG542,2)&lt;&gt;"Va",AM542&lt;&gt;"H. Sale Real"),IF(AM544-AM542&lt;0.208333333333333,AM544-AM542,""),IF(AND(AM541&lt;&gt;"",LEFT(AG541,2)&lt;&gt;"Va",AM541&lt;&gt;"H. Sale Real"),IF(AM544-AM541&lt;0.208333333333333,AM544-AM541,""),IF(AND(AM540&lt;&gt;"",LEFT(AG540,2)&lt;&gt;"Va",AM540&lt;&gt;"H. Sale Real"),IF(AM544-AM540&lt;0.208333333333333,AM544-AM540,""),IF(AND(AM539&lt;&gt;"",LEFT(AG539,2)&lt;&gt;"Va",AM539&lt;&gt;"H. Sale Real"),IF(AM544-AM539&lt;0.208333333333333,AM544-AM539,""),""))))),""),"")</f>
        <v/>
      </c>
      <c r="AX543" s="89">
        <f>IF(AK543&lt;&gt;"H. Sale Real",IF(AND(AK544&lt;&gt;"",LEFT(AG544,2)&lt;&gt;"Va"),IF(AND(AK543&lt;&gt;"",LEFT(AG543,2)&lt;&gt;"Va",AK543&lt;&gt;"H. Sale Real"),IF(AK544-AK543&lt;0.208333333333333,AK544-AK543,""),IF(AND(AK542&lt;&gt;"",LEFT(AG542,2)&lt;&gt;"Va",AK542&lt;&gt;"H. Sale Real"),IF(AK544-AK542&lt;0.208333333333333,AK544-AK542,""),IF(AND(AK541&lt;&gt;"",LEFT(AG541,2)&lt;&gt;"NC",AK541&lt;&gt;"H. Sale Real"),IF(AK544-AK541&lt;0.208333333333333,AK544-AK541,""),IF(AND(AK540&lt;&gt;"",LEFT(AG540,2)&lt;&gt;"Va",AK540&lt;&gt;"H. Sale Real"),IF(AK544-AK540&lt;0.208333333333333,AK544-AK540,""),IF(AND(AK539&lt;&gt;"",LEFT(AG539,2)&lt;&gt;"Va",AK539&lt;&gt;"H. Sale Real"),IF(AK544-AK539&lt;0.208333333333333,AK544-AK539,""),""))))),""),"")</f>
        <v/>
      </c>
      <c r="AY543" s="87" t="n"/>
      <c r="AZ543" s="89" t="n"/>
      <c r="BA543" s="87" t="n"/>
      <c r="BB543" s="89" t="n"/>
      <c r="BC543" s="91" t="n"/>
      <c r="BD543" s="122">
        <f>IF(AK543&lt;&gt;"",IF(AND(BD542&lt;&gt;"IE",AT543&lt;&gt;0,AV543&lt;&gt;""),IF(IFERROR((AT543/AV543),0) &lt;=1,IFERROR(AT543/AV543,""),1),""),"")</f>
        <v/>
      </c>
      <c r="BE543" s="93" t="n"/>
      <c r="BF543" s="105" t="n"/>
      <c r="FC543" t="inlineStr">
        <is>
          <t>Diccionario 1</t>
        </is>
      </c>
      <c r="FD543" s="15" t="inlineStr"/>
      <c r="FE543" s="17" t="inlineStr">
        <is>
          <t>LDYECS313S0044192</t>
        </is>
      </c>
      <c r="FF543" s="18" t="inlineStr">
        <is>
          <t>MDN35025020256</t>
        </is>
      </c>
      <c r="FG543" s="18" t="inlineStr">
        <is>
          <t>Zhong Thong</t>
        </is>
      </c>
      <c r="FH543" s="18" t="inlineStr">
        <is>
          <t>Lck6122evg</t>
        </is>
      </c>
      <c r="FI543" s="18" t="inlineStr">
        <is>
          <t>Zhong Thong</t>
        </is>
      </c>
      <c r="FJ543" s="18" t="inlineStr">
        <is>
          <t>Lck6122evg</t>
        </is>
      </c>
      <c r="FK543" s="18" t="n">
        <v>2026</v>
      </c>
      <c r="FL543" s="18" t="inlineStr">
        <is>
          <t>B</t>
        </is>
      </c>
      <c r="FM543" s="18" t="inlineStr">
        <is>
          <t>Ducaud</t>
        </is>
      </c>
      <c r="FP543" t="inlineStr">
        <is>
          <t>B</t>
        </is>
      </c>
      <c r="FS543" s="14" t="inlineStr">
        <is>
          <t>SFVZ-56</t>
        </is>
      </c>
      <c r="FT543" t="inlineStr">
        <is>
          <t>SFVZ-56</t>
        </is>
      </c>
      <c r="FU543" t="inlineStr">
        <is>
          <t>SFVZ-56</t>
        </is>
      </c>
      <c r="FV543">
        <f>VLOOKUP(FU543,FD:FL,9,0)</f>
        <v/>
      </c>
      <c r="HA543" s="35" t="n">
        <v>88</v>
      </c>
      <c r="HB543" s="35" t="n">
        <v>537</v>
      </c>
    </row>
    <row r="544" ht="15.5" customHeight="1">
      <c r="A544" s="10">
        <f>HOUR(G544)+1</f>
        <v/>
      </c>
      <c r="B544" s="7" t="n"/>
      <c r="C544" s="7" t="n"/>
      <c r="D544" s="85">
        <f>IFERROR(
IF(AND(OR(Planilla!B544="C",Planilla!B544="c"), VLOOKUP(E544,FD:FP,13,0)="C"), "OK",IF(AND(OR(Planilla!B544="C",Planilla!B544="c"), OR(VLOOKUP(E544,FD:FP,13,0)="B", VLOOKUP(E544,FD:FP,13,0)="A")), "DEFICIT",IF(
AND(OR(Planilla!B544="B", Planilla!B544="BPAL"), VLOOKUP(E544,FD:FP,13,0)="B"), "OK",IF(AND(OR(Planilla!B544="B", Planilla!B544="BPAL"), VLOOKUP(E544,FD:FP,13,0)="A"), "DEFICIT",IF(AND(OR(Planilla!B544="B", Planilla!B544="BPAL"), VLOOKUP(E544,FD:FP,13,0)="C"), "SOBREOFERTA",IF(AND(Planilla!B544="A", VLOOKUP(E544,FD:FP,13,0)="A"), "OK",IF(
AND(Planilla!B544="A", OR(VLOOKUP(E544,FD:FP,13,0)="B", VLOOKUP(E544,FD:FP,13,0)="C")), "SOBREOFERTA",""
))))))),"")</f>
        <v/>
      </c>
      <c r="E544" s="8" t="n"/>
      <c r="F544" s="86" t="n"/>
      <c r="G544" s="87" t="n"/>
      <c r="H544" s="88">
        <f>IF(I544="","",IF(AND((I544-G544)&gt;=TIME(0,0,0),(I544-G544)&lt;TIME(0,3,0)),"OK",IF(AND((I544-G544)&gt;=TIME(0,3,0),(I544-G544)&lt;TIME(0,5,0)),"RETRASO DE 3-5 MIN",IF(AND((I544-G544)&gt;=TIME(0,5,0),(I544-G544)&lt;TIME(0,10,0)),"RETRASO DE 5-10 MIN",IF((I544-G544)&gt;=TIME(0,10,0),"RETRASO &gt;10 MIN", IF(AND((G544-I544)&gt;=TIME(0,0,0),(G544-I544)&lt;TIME(0,3,0)),"OK",IF((G544-I544)&gt;=TIME(0,3,0),"ADELANTADO")))))))</f>
        <v/>
      </c>
      <c r="I544" s="89" t="n"/>
      <c r="J544" s="89">
        <f>IF(A544&lt;&gt;"",HLOOKUP(VALUE(TEXT(G544,"h:mm:ss")),IF($C$6="Laboral",$FZ$4:$GX$227,IF($C$6="Sábado",$FZ$231:$GX$452,$FZ$456:$GX$656)),VLOOKUP($C$4,$HF$2:$HH$99,3,0)+IF(C$5="Ida",0,1),1),"")</f>
        <v/>
      </c>
      <c r="K544" s="89">
        <f>IF(A545&lt;&gt;A544,AVERAGEIF(A$9:A544,A544,J$9:J544),"")</f>
        <v/>
      </c>
      <c r="L544" s="89">
        <f>IFERROR(IF(A545&lt;&gt;A544,AVERAGEIF(A$9:A544,A544,S$9:S544),""),"")</f>
        <v/>
      </c>
      <c r="M544" s="89">
        <f>IFERROR(IF(A545&lt;&gt;A544,AVERAGEIF(A$9:A544,A544,T$9:T544),""),"")</f>
        <v/>
      </c>
      <c r="N544" s="89">
        <f t="array" ref="N544">IFERROR(IF(A545&lt;&gt;A544,_xlfn.STDEV.P(IF(A$9:A544=A544,T$9:T544)),""),"")</f>
        <v/>
      </c>
      <c r="O544" s="89">
        <f t="array" ref="O544">IFERROR(IF(A545&lt;&gt;A544,_xlfn.STDEV.P(IF(A$9:A544=A544,S$9:S544)),""),"")</f>
        <v/>
      </c>
      <c r="P544" s="90">
        <f>IFERROR(IF(A544&lt;&gt;A545,MAX((((M544*24*60)/2)*(1+POWER((((N544*24*60) / (M544*24*60) )),2))) + ((M544*24*60 )*-0.1 + (K544*0.015)) +1,(((M544*24*60)/2)*(1+POWER((((N544*24*60) / (M544*24*60 ))),2)))),""),"")</f>
        <v/>
      </c>
      <c r="Q544" s="90">
        <f>IF(AND(O544&lt;&gt;"",L544&lt;&gt;""),IF(A544&lt;&gt;A545,((L544*24*60) / 2 ) * (1 + POWER(((O544*24*60) / (L544*24*60)),2)),""),"")</f>
        <v/>
      </c>
      <c r="R544" s="90">
        <f>IF(Q544&lt;&gt;"",MAX(P544,Q544),"")</f>
        <v/>
      </c>
      <c r="S544" s="89">
        <f>IF(I544&lt;&gt;"H. Sale Real",IF(AND(I545&lt;&gt;"",LEFT(C545,2)&lt;&gt;"Va"),IF(AND(I544&lt;&gt;"",LEFT(C544,2)&lt;&gt;"Va",I544&lt;&gt;"H. Sale Real"),IF(I545-I544&lt;0.208333333333333,I545-I544,""),IF(AND(I543&lt;&gt;"",LEFT(C543,2)&lt;&gt;"Va",I543&lt;&gt;"H. Sale Real"),IF(I545-I543&lt;0.208333333333333,I545-I543,""),IF(AND(I542&lt;&gt;"",LEFT(C542,2)&lt;&gt;"Va",I542&lt;&gt;"H. Sale Real"),IF(I545-I542&lt;0.208333333333333,I545-I542,""),IF(AND(I541&lt;&gt;"",LEFT(C541,2)&lt;&gt;"Va",I541&lt;&gt;"H. Sale Real"),IF(I545-I541&lt;0.208333333333333,I545-I541,""),IF(AND(I540&lt;&gt;"",LEFT(C540,2)&lt;&gt;"Va",I540&lt;&gt;"H. Sale Real"),IF(I545-I540&lt;0.208333333333333,I545-I540,""),""))))),""),"")</f>
        <v/>
      </c>
      <c r="T544" s="89">
        <f>IF(G544&lt;&gt;"H. Sale Real",IF(AND(G545&lt;&gt;"",LEFT(C545,2)&lt;&gt;"Va"),IF(AND(G544&lt;&gt;"",LEFT(C544,2)&lt;&gt;"Va",G544&lt;&gt;"H. Sale Real"),IF(G545-G544&lt;0.208333333333333,G545-G544,""),IF(AND(G543&lt;&gt;"",LEFT(C543,2)&lt;&gt;"Va",G543&lt;&gt;"H. Sale Real"),IF(G545-G543&lt;0.208333333333333,G545-G543,""),IF(AND(G542&lt;&gt;"",LEFT(C542,2)&lt;&gt;"Va",G542&lt;&gt;"H. Sale Real"),IF(G545-G542&lt;0.208333333333333,G545-G542,""),IF(AND(G541&lt;&gt;"",LEFT(C541,2)&lt;&gt;"Va",G541&lt;&gt;"H. Sale Real"),IF(G545-G541&lt;0.208333333333333,G545-G541,""),IF(AND(G540&lt;&gt;"",LEFT(C540,2)&lt;&gt;"Va",G540&lt;&gt;"H. Sale Real"),IF(G545-G540&lt;0.208333333333333,G545-G540,""),""))))),""),"")</f>
        <v/>
      </c>
      <c r="U544" s="87" t="n"/>
      <c r="V544" s="89" t="n"/>
      <c r="W544" s="87" t="n"/>
      <c r="X544" s="89" t="n"/>
      <c r="Y544" s="91" t="n"/>
      <c r="Z544" s="122">
        <f>IF(G544&lt;&gt;"",IF(AND(Z543&lt;&gt;"IE",P544&lt;&gt;0,R544&lt;&gt;""),IF(IFERROR((P544/R544),0) &lt;=1,IFERROR(P544/R544,""),1),""),"")</f>
        <v/>
      </c>
      <c r="AA544" s="93" t="n"/>
      <c r="AB544" s="2" t="n"/>
      <c r="AE544" s="10">
        <f>HOUR(AK544)+1</f>
        <v/>
      </c>
      <c r="AF544" s="7" t="n"/>
      <c r="AG544" s="7" t="n"/>
      <c r="AH544" s="86" t="n"/>
      <c r="AI544" s="8" t="n"/>
      <c r="AJ544" s="86" t="n"/>
      <c r="AK544" s="87" t="n"/>
      <c r="AL544" s="88">
        <f>IF(AM544="","",IF(AND((AM544-AK544)&gt;=TIME(0,0,0),(AM544-AK544)&lt;TIME(0,3,0)),"OK",IF(AND((AM544-AK544)&gt;=TIME(0,3,0),(AM544-AK544)&lt;TIME(0,5,0)),"RETRASO DE 3-5 MIN",IF(AND((AM544-AK544)&gt;=TIME(0,5,0),(AM544-AK544)&lt;TIME(0,10,0)),"RETRASO DE 5-10 MIN",IF((AM544-AK544)&gt;=TIME(0,10,0),"RETRASO &gt;10 MIN", IF(AND((AK544-AM544)&gt;=TIME(0,0,0),(AK544-AM544)&lt;TIME(0,3,0)),"OK",IF((AK544-AM544)&gt;=TIME(0,3,0),"ADELANTADO")))))))</f>
        <v/>
      </c>
      <c r="AM544" s="91" t="n"/>
      <c r="AN544" s="89">
        <f>IF(AE544&lt;&gt;"",HLOOKUP(VALUE(TEXT(AK544,"h:mm:ss")),IF($C$6="Laboral",$FZ$4:$GX$227,IF($C$6="Sábado",$FZ$231:$GX$452,$FZ$456:$GX$656)),VLOOKUP($C$4,$HF$2:$HH$99,3,0)+IF(AG$5="Ida",0,1),1),"")</f>
        <v/>
      </c>
      <c r="AO544" s="89">
        <f>IF(AE545&lt;&gt;AE544,AVERAGEIF(AE$9:AE544,AE544,AN$9:AN544),"")</f>
        <v/>
      </c>
      <c r="AP544" s="89">
        <f>IFERROR(IF(AE545&lt;&gt;AE544,AVERAGEIF(AE$9:AE544,AE544,AW$9:AW544),""),"")</f>
        <v/>
      </c>
      <c r="AQ544" s="89">
        <f>IFERROR(IF(AE545&lt;&gt;AE544,AVERAGEIF(AE$9:AE544,AE544,AX$9:AX544),""),"")</f>
        <v/>
      </c>
      <c r="AR544" s="89">
        <f t="array" ref="AR544">IFERROR(IF(AE545&lt;&gt;AE544,_xlfn.STDEV.P(IF(AE$9:AE544=AE544,AX$9:AX544)),""),"")</f>
        <v/>
      </c>
      <c r="AS544" s="89">
        <f t="array" ref="AS544">IFERROR(IF(AE545&lt;&gt;AE544,_xlfn.STDEV.P(IF(AE$9:AE544=AE544,AW$9:AW544)),""),"")</f>
        <v/>
      </c>
      <c r="AT544" s="90">
        <f>IFERROR(IF(AE544&lt;&gt;AE545,MAX((((AQ544*24*60)/2)*(1+POWER((((AR544*24*60) / (AQ544*24*60) )),2))) + ((AQ544*24*60 )*-0.1 + (AO544*0.015)) +1,(((AQ544*24*60)/2)*(1+POWER((((AR544*24*60) / (AQ544*24*60 ))),2)))),""),"")</f>
        <v/>
      </c>
      <c r="AU544" s="90">
        <f>IF(AND(AS544&lt;&gt;"",AP544&lt;&gt;""),IF(AE544&lt;&gt;AE545,((AP544*24*60) / 2 ) * (1 + POWER(((AS544*24*60) / (AP544*24*60)),2)),""),"")</f>
        <v/>
      </c>
      <c r="AV544" s="90">
        <f>IF(AU544&lt;&gt;"",MAX(AT544,AU544),"")</f>
        <v/>
      </c>
      <c r="AW544" s="89">
        <f>IF(AM544&lt;&gt;"H. Sale Real",IF(AND(AM545&lt;&gt;"",LEFT(AG545,2)&lt;&gt;"Va"),IF(AND(AM544&lt;&gt;"",LEFT(AG544,2)&lt;&gt;"Va",AM544&lt;&gt;"H. Sale Real"),IF(AM545-AM544&lt;0.208333333333333,AM545-AM544,""),IF(AND(AM543&lt;&gt;"",LEFT(AG543,2)&lt;&gt;"Va",AM543&lt;&gt;"H. Sale Real"),IF(AM545-AM543&lt;0.208333333333333,AM545-AM543,""),IF(AND(AM542&lt;&gt;"",LEFT(AG542,2)&lt;&gt;"Va",AM542&lt;&gt;"H. Sale Real"),IF(AM545-AM542&lt;0.208333333333333,AM545-AM542,""),IF(AND(AM541&lt;&gt;"",LEFT(AG541,2)&lt;&gt;"Va",AM541&lt;&gt;"H. Sale Real"),IF(AM545-AM541&lt;0.208333333333333,AM545-AM541,""),IF(AND(AM540&lt;&gt;"",LEFT(AG540,2)&lt;&gt;"Va",AM540&lt;&gt;"H. Sale Real"),IF(AM545-AM540&lt;0.208333333333333,AM545-AM540,""),""))))),""),"")</f>
        <v/>
      </c>
      <c r="AX544" s="89">
        <f>IF(AK544&lt;&gt;"H. Sale Real",IF(AND(AK545&lt;&gt;"",LEFT(AG545,2)&lt;&gt;"Va"),IF(AND(AK544&lt;&gt;"",LEFT(AG544,2)&lt;&gt;"Va",AK544&lt;&gt;"H. Sale Real"),IF(AK545-AK544&lt;0.208333333333333,AK545-AK544,""),IF(AND(AK543&lt;&gt;"",LEFT(AG543,2)&lt;&gt;"Va",AK543&lt;&gt;"H. Sale Real"),IF(AK545-AK543&lt;0.208333333333333,AK545-AK543,""),IF(AND(AK542&lt;&gt;"",LEFT(AG542,2)&lt;&gt;"NC",AK542&lt;&gt;"H. Sale Real"),IF(AK545-AK542&lt;0.208333333333333,AK545-AK542,""),IF(AND(AK541&lt;&gt;"",LEFT(AG541,2)&lt;&gt;"Va",AK541&lt;&gt;"H. Sale Real"),IF(AK545-AK541&lt;0.208333333333333,AK545-AK541,""),IF(AND(AK540&lt;&gt;"",LEFT(AG540,2)&lt;&gt;"Va",AK540&lt;&gt;"H. Sale Real"),IF(AK545-AK540&lt;0.208333333333333,AK545-AK540,""),""))))),""),"")</f>
        <v/>
      </c>
      <c r="AY544" s="87" t="n"/>
      <c r="AZ544" s="89" t="n"/>
      <c r="BA544" s="87" t="n"/>
      <c r="BB544" s="89" t="n"/>
      <c r="BC544" s="91" t="n"/>
      <c r="BD544" s="122">
        <f>IF(AK544&lt;&gt;"",IF(AND(BD543&lt;&gt;"IE",AT544&lt;&gt;0,AV544&lt;&gt;""),IF(IFERROR((AT544/AV544),0) &lt;=1,IFERROR(AT544/AV544,""),1),""),"")</f>
        <v/>
      </c>
      <c r="BE544" s="93" t="n"/>
      <c r="BF544" s="105" t="n"/>
      <c r="FC544" t="inlineStr">
        <is>
          <t>Diccionario 1</t>
        </is>
      </c>
      <c r="FD544" s="15" t="inlineStr"/>
      <c r="FE544" s="17" t="inlineStr">
        <is>
          <t>LDYECS315S0044193</t>
        </is>
      </c>
      <c r="FF544" s="18" t="inlineStr">
        <is>
          <t>MDN35025020248</t>
        </is>
      </c>
      <c r="FG544" s="18" t="inlineStr">
        <is>
          <t>Zhong Thong</t>
        </is>
      </c>
      <c r="FH544" s="18" t="inlineStr">
        <is>
          <t>Lck6122evg</t>
        </is>
      </c>
      <c r="FI544" s="18" t="inlineStr">
        <is>
          <t>Zhong Thong</t>
        </is>
      </c>
      <c r="FJ544" s="18" t="inlineStr">
        <is>
          <t>Lck6122evg</t>
        </is>
      </c>
      <c r="FK544" s="18" t="n">
        <v>2026</v>
      </c>
      <c r="FL544" s="18" t="inlineStr">
        <is>
          <t>B</t>
        </is>
      </c>
      <c r="FM544" s="18" t="inlineStr">
        <is>
          <t>Ducaud</t>
        </is>
      </c>
      <c r="FP544" t="inlineStr">
        <is>
          <t>B</t>
        </is>
      </c>
      <c r="FS544" s="14" t="inlineStr">
        <is>
          <t>LZPS-19</t>
        </is>
      </c>
      <c r="FT544" t="inlineStr">
        <is>
          <t>LZPS-19</t>
        </is>
      </c>
      <c r="FU544" t="inlineStr">
        <is>
          <t>LZPS-19</t>
        </is>
      </c>
      <c r="FV544">
        <f>VLOOKUP(FU544,FD:FL,9,0)</f>
        <v/>
      </c>
      <c r="HA544" s="35" t="n">
        <v>89</v>
      </c>
      <c r="HB544" s="35" t="n">
        <v>538</v>
      </c>
    </row>
    <row r="545" ht="15.5" customHeight="1">
      <c r="A545" s="10">
        <f>HOUR(G545)+1</f>
        <v/>
      </c>
      <c r="B545" s="7" t="n"/>
      <c r="C545" s="7" t="n"/>
      <c r="D545" s="85">
        <f>IFERROR(
IF(AND(OR(Planilla!B545="C",Planilla!B545="c"), VLOOKUP(E545,FD:FP,13,0)="C"), "OK",IF(AND(OR(Planilla!B545="C",Planilla!B545="c"), OR(VLOOKUP(E545,FD:FP,13,0)="B", VLOOKUP(E545,FD:FP,13,0)="A")), "DEFICIT",IF(
AND(OR(Planilla!B545="B", Planilla!B545="BPAL"), VLOOKUP(E545,FD:FP,13,0)="B"), "OK",IF(AND(OR(Planilla!B545="B", Planilla!B545="BPAL"), VLOOKUP(E545,FD:FP,13,0)="A"), "DEFICIT",IF(AND(OR(Planilla!B545="B", Planilla!B545="BPAL"), VLOOKUP(E545,FD:FP,13,0)="C"), "SOBREOFERTA",IF(AND(Planilla!B545="A", VLOOKUP(E545,FD:FP,13,0)="A"), "OK",IF(
AND(Planilla!B545="A", OR(VLOOKUP(E545,FD:FP,13,0)="B", VLOOKUP(E545,FD:FP,13,0)="C")), "SOBREOFERTA",""
))))))),"")</f>
        <v/>
      </c>
      <c r="E545" s="8" t="n"/>
      <c r="F545" s="86" t="n"/>
      <c r="G545" s="87" t="n"/>
      <c r="H545" s="88">
        <f>IF(I545="","",IF(AND((I545-G545)&gt;=TIME(0,0,0),(I545-G545)&lt;TIME(0,3,0)),"OK",IF(AND((I545-G545)&gt;=TIME(0,3,0),(I545-G545)&lt;TIME(0,5,0)),"RETRASO DE 3-5 MIN",IF(AND((I545-G545)&gt;=TIME(0,5,0),(I545-G545)&lt;TIME(0,10,0)),"RETRASO DE 5-10 MIN",IF((I545-G545)&gt;=TIME(0,10,0),"RETRASO &gt;10 MIN", IF(AND((G545-I545)&gt;=TIME(0,0,0),(G545-I545)&lt;TIME(0,3,0)),"OK",IF((G545-I545)&gt;=TIME(0,3,0),"ADELANTADO")))))))</f>
        <v/>
      </c>
      <c r="I545" s="89" t="n"/>
      <c r="J545" s="89">
        <f>IF(A545&lt;&gt;"",HLOOKUP(VALUE(TEXT(G545,"h:mm:ss")),IF($C$6="Laboral",$FZ$4:$GX$227,IF($C$6="Sábado",$FZ$231:$GX$452,$FZ$456:$GX$656)),VLOOKUP($C$4,$HF$2:$HH$99,3,0)+IF(C$5="Ida",0,1),1),"")</f>
        <v/>
      </c>
      <c r="K545" s="89">
        <f>IF(A546&lt;&gt;A545,AVERAGEIF(A$9:A545,A545,J$9:J545),"")</f>
        <v/>
      </c>
      <c r="L545" s="89">
        <f>IFERROR(IF(A546&lt;&gt;A545,AVERAGEIF(A$9:A545,A545,S$9:S545),""),"")</f>
        <v/>
      </c>
      <c r="M545" s="89">
        <f>IFERROR(IF(A546&lt;&gt;A545,AVERAGEIF(A$9:A545,A545,T$9:T545),""),"")</f>
        <v/>
      </c>
      <c r="N545" s="89">
        <f t="array" ref="N545">IFERROR(IF(A546&lt;&gt;A545,_xlfn.STDEV.P(IF(A$9:A545=A545,T$9:T545)),""),"")</f>
        <v/>
      </c>
      <c r="O545" s="89">
        <f t="array" ref="O545">IFERROR(IF(A546&lt;&gt;A545,_xlfn.STDEV.P(IF(A$9:A545=A545,S$9:S545)),""),"")</f>
        <v/>
      </c>
      <c r="P545" s="90">
        <f>IFERROR(IF(A545&lt;&gt;A546,MAX((((M545*24*60)/2)*(1+POWER((((N545*24*60) / (M545*24*60) )),2))) + ((M545*24*60 )*-0.1 + (K545*0.015)) +1,(((M545*24*60)/2)*(1+POWER((((N545*24*60) / (M545*24*60 ))),2)))),""),"")</f>
        <v/>
      </c>
      <c r="Q545" s="90">
        <f>IF(AND(O545&lt;&gt;"",L545&lt;&gt;""),IF(A545&lt;&gt;A546,((L545*24*60) / 2 ) * (1 + POWER(((O545*24*60) / (L545*24*60)),2)),""),"")</f>
        <v/>
      </c>
      <c r="R545" s="90">
        <f>IF(Q545&lt;&gt;"",MAX(P545,Q545),"")</f>
        <v/>
      </c>
      <c r="S545" s="89">
        <f>IF(I545&lt;&gt;"H. Sale Real",IF(AND(I546&lt;&gt;"",LEFT(C546,2)&lt;&gt;"Va"),IF(AND(I545&lt;&gt;"",LEFT(C545,2)&lt;&gt;"Va",I545&lt;&gt;"H. Sale Real"),IF(I546-I545&lt;0.208333333333333,I546-I545,""),IF(AND(I544&lt;&gt;"",LEFT(C544,2)&lt;&gt;"Va",I544&lt;&gt;"H. Sale Real"),IF(I546-I544&lt;0.208333333333333,I546-I544,""),IF(AND(I543&lt;&gt;"",LEFT(C543,2)&lt;&gt;"Va",I543&lt;&gt;"H. Sale Real"),IF(I546-I543&lt;0.208333333333333,I546-I543,""),IF(AND(I542&lt;&gt;"",LEFT(C542,2)&lt;&gt;"Va",I542&lt;&gt;"H. Sale Real"),IF(I546-I542&lt;0.208333333333333,I546-I542,""),IF(AND(I541&lt;&gt;"",LEFT(C541,2)&lt;&gt;"Va",I541&lt;&gt;"H. Sale Real"),IF(I546-I541&lt;0.208333333333333,I546-I541,""),""))))),""),"")</f>
        <v/>
      </c>
      <c r="T545" s="89">
        <f>IF(G545&lt;&gt;"H. Sale Real",IF(AND(G546&lt;&gt;"",LEFT(C546,2)&lt;&gt;"Va"),IF(AND(G545&lt;&gt;"",LEFT(C545,2)&lt;&gt;"Va",G545&lt;&gt;"H. Sale Real"),IF(G546-G545&lt;0.208333333333333,G546-G545,""),IF(AND(G544&lt;&gt;"",LEFT(C544,2)&lt;&gt;"Va",G544&lt;&gt;"H. Sale Real"),IF(G546-G544&lt;0.208333333333333,G546-G544,""),IF(AND(G543&lt;&gt;"",LEFT(C543,2)&lt;&gt;"Va",G543&lt;&gt;"H. Sale Real"),IF(G546-G543&lt;0.208333333333333,G546-G543,""),IF(AND(G542&lt;&gt;"",LEFT(C542,2)&lt;&gt;"Va",G542&lt;&gt;"H. Sale Real"),IF(G546-G542&lt;0.208333333333333,G546-G542,""),IF(AND(G541&lt;&gt;"",LEFT(C541,2)&lt;&gt;"Va",G541&lt;&gt;"H. Sale Real"),IF(G546-G541&lt;0.208333333333333,G546-G541,""),""))))),""),"")</f>
        <v/>
      </c>
      <c r="U545" s="87" t="n"/>
      <c r="V545" s="89" t="n"/>
      <c r="W545" s="87" t="n"/>
      <c r="X545" s="89" t="n"/>
      <c r="Y545" s="91" t="n"/>
      <c r="Z545" s="122">
        <f>IF(G545&lt;&gt;"",IF(AND(Z544&lt;&gt;"IE",P545&lt;&gt;0,R545&lt;&gt;""),IF(IFERROR((P545/R545),0) &lt;=1,IFERROR(P545/R545,""),1),""),"")</f>
        <v/>
      </c>
      <c r="AA545" s="93" t="n"/>
      <c r="AB545" s="2" t="n"/>
      <c r="AE545" s="10">
        <f>HOUR(AK545)+1</f>
        <v/>
      </c>
      <c r="AF545" s="7" t="n"/>
      <c r="AG545" s="7" t="n"/>
      <c r="AH545" s="86" t="n"/>
      <c r="AI545" s="8" t="n"/>
      <c r="AJ545" s="86" t="n"/>
      <c r="AK545" s="87" t="n"/>
      <c r="AL545" s="88">
        <f>IF(AM545="","",IF(AND((AM545-AK545)&gt;=TIME(0,0,0),(AM545-AK545)&lt;TIME(0,3,0)),"OK",IF(AND((AM545-AK545)&gt;=TIME(0,3,0),(AM545-AK545)&lt;TIME(0,5,0)),"RETRASO DE 3-5 MIN",IF(AND((AM545-AK545)&gt;=TIME(0,5,0),(AM545-AK545)&lt;TIME(0,10,0)),"RETRASO DE 5-10 MIN",IF((AM545-AK545)&gt;=TIME(0,10,0),"RETRASO &gt;10 MIN", IF(AND((AK545-AM545)&gt;=TIME(0,0,0),(AK545-AM545)&lt;TIME(0,3,0)),"OK",IF((AK545-AM545)&gt;=TIME(0,3,0),"ADELANTADO")))))))</f>
        <v/>
      </c>
      <c r="AM545" s="91" t="n"/>
      <c r="AN545" s="89">
        <f>IF(AE545&lt;&gt;"",HLOOKUP(VALUE(TEXT(AK545,"h:mm:ss")),IF($C$6="Laboral",$FZ$4:$GX$227,IF($C$6="Sábado",$FZ$231:$GX$452,$FZ$456:$GX$656)),VLOOKUP($C$4,$HF$2:$HH$99,3,0)+IF(AG$5="Ida",0,1),1),"")</f>
        <v/>
      </c>
      <c r="AO545" s="89">
        <f>IF(AE546&lt;&gt;AE545,AVERAGEIF(AE$9:AE545,AE545,AN$9:AN545),"")</f>
        <v/>
      </c>
      <c r="AP545" s="89">
        <f>IFERROR(IF(AE546&lt;&gt;AE545,AVERAGEIF(AE$9:AE545,AE545,AW$9:AW545),""),"")</f>
        <v/>
      </c>
      <c r="AQ545" s="89">
        <f>IFERROR(IF(AE546&lt;&gt;AE545,AVERAGEIF(AE$9:AE545,AE545,AX$9:AX545),""),"")</f>
        <v/>
      </c>
      <c r="AR545" s="89">
        <f t="array" ref="AR545">IFERROR(IF(AE546&lt;&gt;AE545,_xlfn.STDEV.P(IF(AE$9:AE545=AE545,AX$9:AX545)),""),"")</f>
        <v/>
      </c>
      <c r="AS545" s="89">
        <f t="array" ref="AS545">IFERROR(IF(AE546&lt;&gt;AE545,_xlfn.STDEV.P(IF(AE$9:AE545=AE545,AW$9:AW545)),""),"")</f>
        <v/>
      </c>
      <c r="AT545" s="90">
        <f>IFERROR(IF(AE545&lt;&gt;AE546,MAX((((AQ545*24*60)/2)*(1+POWER((((AR545*24*60) / (AQ545*24*60) )),2))) + ((AQ545*24*60 )*-0.1 + (AO545*0.015)) +1,(((AQ545*24*60)/2)*(1+POWER((((AR545*24*60) / (AQ545*24*60 ))),2)))),""),"")</f>
        <v/>
      </c>
      <c r="AU545" s="90">
        <f>IF(AND(AS545&lt;&gt;"",AP545&lt;&gt;""),IF(AE545&lt;&gt;AE546,((AP545*24*60) / 2 ) * (1 + POWER(((AS545*24*60) / (AP545*24*60)),2)),""),"")</f>
        <v/>
      </c>
      <c r="AV545" s="90">
        <f>IF(AU545&lt;&gt;"",MAX(AT545,AU545),"")</f>
        <v/>
      </c>
      <c r="AW545" s="89">
        <f>IF(AM545&lt;&gt;"H. Sale Real",IF(AND(AM546&lt;&gt;"",LEFT(AG546,2)&lt;&gt;"Va"),IF(AND(AM545&lt;&gt;"",LEFT(AG545,2)&lt;&gt;"Va",AM545&lt;&gt;"H. Sale Real"),IF(AM546-AM545&lt;0.208333333333333,AM546-AM545,""),IF(AND(AM544&lt;&gt;"",LEFT(AG544,2)&lt;&gt;"Va",AM544&lt;&gt;"H. Sale Real"),IF(AM546-AM544&lt;0.208333333333333,AM546-AM544,""),IF(AND(AM543&lt;&gt;"",LEFT(AG543,2)&lt;&gt;"Va",AM543&lt;&gt;"H. Sale Real"),IF(AM546-AM543&lt;0.208333333333333,AM546-AM543,""),IF(AND(AM542&lt;&gt;"",LEFT(AG542,2)&lt;&gt;"Va",AM542&lt;&gt;"H. Sale Real"),IF(AM546-AM542&lt;0.208333333333333,AM546-AM542,""),IF(AND(AM541&lt;&gt;"",LEFT(AG541,2)&lt;&gt;"Va",AM541&lt;&gt;"H. Sale Real"),IF(AM546-AM541&lt;0.208333333333333,AM546-AM541,""),""))))),""),"")</f>
        <v/>
      </c>
      <c r="AX545" s="89">
        <f>IF(AK545&lt;&gt;"H. Sale Real",IF(AND(AK546&lt;&gt;"",LEFT(AG546,2)&lt;&gt;"Va"),IF(AND(AK545&lt;&gt;"",LEFT(AG545,2)&lt;&gt;"Va",AK545&lt;&gt;"H. Sale Real"),IF(AK546-AK545&lt;0.208333333333333,AK546-AK545,""),IF(AND(AK544&lt;&gt;"",LEFT(AG544,2)&lt;&gt;"Va",AK544&lt;&gt;"H. Sale Real"),IF(AK546-AK544&lt;0.208333333333333,AK546-AK544,""),IF(AND(AK543&lt;&gt;"",LEFT(AG543,2)&lt;&gt;"NC",AK543&lt;&gt;"H. Sale Real"),IF(AK546-AK543&lt;0.208333333333333,AK546-AK543,""),IF(AND(AK542&lt;&gt;"",LEFT(AG542,2)&lt;&gt;"Va",AK542&lt;&gt;"H. Sale Real"),IF(AK546-AK542&lt;0.208333333333333,AK546-AK542,""),IF(AND(AK541&lt;&gt;"",LEFT(AG541,2)&lt;&gt;"Va",AK541&lt;&gt;"H. Sale Real"),IF(AK546-AK541&lt;0.208333333333333,AK546-AK541,""),""))))),""),"")</f>
        <v/>
      </c>
      <c r="AY545" s="87" t="n"/>
      <c r="AZ545" s="89" t="n"/>
      <c r="BA545" s="87" t="n"/>
      <c r="BB545" s="89" t="n"/>
      <c r="BC545" s="91" t="n"/>
      <c r="BD545" s="122">
        <f>IF(AK545&lt;&gt;"",IF(AND(BD544&lt;&gt;"IE",AT545&lt;&gt;0,AV545&lt;&gt;""),IF(IFERROR((AT545/AV545),0) &lt;=1,IFERROR(AT545/AV545,""),1),""),"")</f>
        <v/>
      </c>
      <c r="BE545" s="93" t="n"/>
      <c r="BF545" s="105" t="n"/>
      <c r="FC545" t="inlineStr">
        <is>
          <t>Diccionario 1</t>
        </is>
      </c>
      <c r="FD545" s="15" t="inlineStr"/>
      <c r="FE545" s="17" t="inlineStr">
        <is>
          <t>LDYECS31XS0044271</t>
        </is>
      </c>
      <c r="FF545" s="18" t="inlineStr">
        <is>
          <t>MDN35025020210</t>
        </is>
      </c>
      <c r="FG545" s="18" t="inlineStr">
        <is>
          <t>Zhong Thong</t>
        </is>
      </c>
      <c r="FH545" s="18" t="inlineStr">
        <is>
          <t>Lck6122evg</t>
        </is>
      </c>
      <c r="FI545" s="18" t="inlineStr">
        <is>
          <t>Zhong Thong</t>
        </is>
      </c>
      <c r="FJ545" s="18" t="inlineStr">
        <is>
          <t>Lck6122evg</t>
        </is>
      </c>
      <c r="FK545" s="18" t="n">
        <v>2026</v>
      </c>
      <c r="FL545" s="18" t="inlineStr">
        <is>
          <t>B</t>
        </is>
      </c>
      <c r="FM545" s="18" t="inlineStr">
        <is>
          <t>Ducaud</t>
        </is>
      </c>
      <c r="FP545" t="inlineStr">
        <is>
          <t>B</t>
        </is>
      </c>
      <c r="FS545" s="14" t="inlineStr">
        <is>
          <t>SFWZ-75</t>
        </is>
      </c>
      <c r="FT545" t="inlineStr">
        <is>
          <t>SFWZ-75</t>
        </is>
      </c>
      <c r="FU545" t="inlineStr">
        <is>
          <t>SFWZ-75</t>
        </is>
      </c>
      <c r="FV545">
        <f>VLOOKUP(FU545,FD:FL,9,0)</f>
        <v/>
      </c>
      <c r="HA545" s="35" t="n">
        <v>90</v>
      </c>
      <c r="HB545" s="35" t="n">
        <v>539</v>
      </c>
    </row>
    <row r="546" ht="15.5" customHeight="1">
      <c r="A546" s="10">
        <f>HOUR(G546)+1</f>
        <v/>
      </c>
      <c r="B546" s="7" t="n"/>
      <c r="C546" s="7" t="n"/>
      <c r="D546" s="85">
        <f>IFERROR(
IF(AND(OR(Planilla!B546="C",Planilla!B546="c"), VLOOKUP(E546,FD:FP,13,0)="C"), "OK",IF(AND(OR(Planilla!B546="C",Planilla!B546="c"), OR(VLOOKUP(E546,FD:FP,13,0)="B", VLOOKUP(E546,FD:FP,13,0)="A")), "DEFICIT",IF(
AND(OR(Planilla!B546="B", Planilla!B546="BPAL"), VLOOKUP(E546,FD:FP,13,0)="B"), "OK",IF(AND(OR(Planilla!B546="B", Planilla!B546="BPAL"), VLOOKUP(E546,FD:FP,13,0)="A"), "DEFICIT",IF(AND(OR(Planilla!B546="B", Planilla!B546="BPAL"), VLOOKUP(E546,FD:FP,13,0)="C"), "SOBREOFERTA",IF(AND(Planilla!B546="A", VLOOKUP(E546,FD:FP,13,0)="A"), "OK",IF(
AND(Planilla!B546="A", OR(VLOOKUP(E546,FD:FP,13,0)="B", VLOOKUP(E546,FD:FP,13,0)="C")), "SOBREOFERTA",""
))))))),"")</f>
        <v/>
      </c>
      <c r="E546" s="8" t="n"/>
      <c r="F546" s="86" t="n"/>
      <c r="G546" s="87" t="n"/>
      <c r="H546" s="88">
        <f>IF(I546="","",IF(AND((I546-G546)&gt;=TIME(0,0,0),(I546-G546)&lt;TIME(0,3,0)),"OK",IF(AND((I546-G546)&gt;=TIME(0,3,0),(I546-G546)&lt;TIME(0,5,0)),"RETRASO DE 3-5 MIN",IF(AND((I546-G546)&gt;=TIME(0,5,0),(I546-G546)&lt;TIME(0,10,0)),"RETRASO DE 5-10 MIN",IF((I546-G546)&gt;=TIME(0,10,0),"RETRASO &gt;10 MIN", IF(AND((G546-I546)&gt;=TIME(0,0,0),(G546-I546)&lt;TIME(0,3,0)),"OK",IF((G546-I546)&gt;=TIME(0,3,0),"ADELANTADO")))))))</f>
        <v/>
      </c>
      <c r="I546" s="89" t="n"/>
      <c r="J546" s="89">
        <f>IF(A546&lt;&gt;"",HLOOKUP(VALUE(TEXT(G546,"h:mm:ss")),IF($C$6="Laboral",$FZ$4:$GX$227,IF($C$6="Sábado",$FZ$231:$GX$452,$FZ$456:$GX$656)),VLOOKUP($C$4,$HF$2:$HH$99,3,0)+IF(C$5="Ida",0,1),1),"")</f>
        <v/>
      </c>
      <c r="K546" s="89">
        <f>IF(A547&lt;&gt;A546,AVERAGEIF(A$9:A546,A546,J$9:J546),"")</f>
        <v/>
      </c>
      <c r="L546" s="89">
        <f>IFERROR(IF(A547&lt;&gt;A546,AVERAGEIF(A$9:A546,A546,S$9:S546),""),"")</f>
        <v/>
      </c>
      <c r="M546" s="89">
        <f>IFERROR(IF(A547&lt;&gt;A546,AVERAGEIF(A$9:A546,A546,T$9:T546),""),"")</f>
        <v/>
      </c>
      <c r="N546" s="89">
        <f t="array" ref="N546">IFERROR(IF(A547&lt;&gt;A546,_xlfn.STDEV.P(IF(A$9:A546=A546,T$9:T546)),""),"")</f>
        <v/>
      </c>
      <c r="O546" s="89">
        <f t="array" ref="O546">IFERROR(IF(A547&lt;&gt;A546,_xlfn.STDEV.P(IF(A$9:A546=A546,S$9:S546)),""),"")</f>
        <v/>
      </c>
      <c r="P546" s="90">
        <f>IFERROR(IF(A546&lt;&gt;A547,MAX((((M546*24*60)/2)*(1+POWER((((N546*24*60) / (M546*24*60) )),2))) + ((M546*24*60 )*-0.1 + (K546*0.015)) +1,(((M546*24*60)/2)*(1+POWER((((N546*24*60) / (M546*24*60 ))),2)))),""),"")</f>
        <v/>
      </c>
      <c r="Q546" s="90">
        <f>IF(AND(O546&lt;&gt;"",L546&lt;&gt;""),IF(A546&lt;&gt;A547,((L546*24*60) / 2 ) * (1 + POWER(((O546*24*60) / (L546*24*60)),2)),""),"")</f>
        <v/>
      </c>
      <c r="R546" s="90">
        <f>IF(Q546&lt;&gt;"",MAX(P546,Q546),"")</f>
        <v/>
      </c>
      <c r="S546" s="89">
        <f>IF(I546&lt;&gt;"H. Sale Real",IF(AND(I547&lt;&gt;"",LEFT(C547,2)&lt;&gt;"Va"),IF(AND(I546&lt;&gt;"",LEFT(C546,2)&lt;&gt;"Va",I546&lt;&gt;"H. Sale Real"),IF(I547-I546&lt;0.208333333333333,I547-I546,""),IF(AND(I545&lt;&gt;"",LEFT(C545,2)&lt;&gt;"Va",I545&lt;&gt;"H. Sale Real"),IF(I547-I545&lt;0.208333333333333,I547-I545,""),IF(AND(I544&lt;&gt;"",LEFT(C544,2)&lt;&gt;"Va",I544&lt;&gt;"H. Sale Real"),IF(I547-I544&lt;0.208333333333333,I547-I544,""),IF(AND(I543&lt;&gt;"",LEFT(C543,2)&lt;&gt;"Va",I543&lt;&gt;"H. Sale Real"),IF(I547-I543&lt;0.208333333333333,I547-I543,""),IF(AND(I542&lt;&gt;"",LEFT(C542,2)&lt;&gt;"Va",I542&lt;&gt;"H. Sale Real"),IF(I547-I542&lt;0.208333333333333,I547-I542,""),""))))),""),"")</f>
        <v/>
      </c>
      <c r="T546" s="89">
        <f>IF(G546&lt;&gt;"H. Sale Real",IF(AND(G547&lt;&gt;"",LEFT(C547,2)&lt;&gt;"Va"),IF(AND(G546&lt;&gt;"",LEFT(C546,2)&lt;&gt;"Va",G546&lt;&gt;"H. Sale Real"),IF(G547-G546&lt;0.208333333333333,G547-G546,""),IF(AND(G545&lt;&gt;"",LEFT(C545,2)&lt;&gt;"Va",G545&lt;&gt;"H. Sale Real"),IF(G547-G545&lt;0.208333333333333,G547-G545,""),IF(AND(G544&lt;&gt;"",LEFT(C544,2)&lt;&gt;"Va",G544&lt;&gt;"H. Sale Real"),IF(G547-G544&lt;0.208333333333333,G547-G544,""),IF(AND(G543&lt;&gt;"",LEFT(C543,2)&lt;&gt;"Va",G543&lt;&gt;"H. Sale Real"),IF(G547-G543&lt;0.208333333333333,G547-G543,""),IF(AND(G542&lt;&gt;"",LEFT(C542,2)&lt;&gt;"Va",G542&lt;&gt;"H. Sale Real"),IF(G547-G542&lt;0.208333333333333,G547-G542,""),""))))),""),"")</f>
        <v/>
      </c>
      <c r="U546" s="87" t="n"/>
      <c r="V546" s="89" t="n"/>
      <c r="W546" s="87" t="n"/>
      <c r="X546" s="89" t="n"/>
      <c r="Y546" s="91" t="n"/>
      <c r="Z546" s="122">
        <f>IF(G546&lt;&gt;"",IF(AND(Z545&lt;&gt;"IE",P546&lt;&gt;0,R546&lt;&gt;""),IF(IFERROR((P546/R546),0) &lt;=1,IFERROR(P546/R546,""),1),""),"")</f>
        <v/>
      </c>
      <c r="AA546" s="93" t="n"/>
      <c r="AB546" s="2" t="n"/>
      <c r="AE546" s="10">
        <f>HOUR(AK546)+1</f>
        <v/>
      </c>
      <c r="AF546" s="7" t="n"/>
      <c r="AG546" s="7" t="n"/>
      <c r="AH546" s="86" t="n"/>
      <c r="AI546" s="8" t="n"/>
      <c r="AJ546" s="86" t="n"/>
      <c r="AK546" s="87" t="n"/>
      <c r="AL546" s="88">
        <f>IF(AM546="","",IF(AND((AM546-AK546)&gt;=TIME(0,0,0),(AM546-AK546)&lt;TIME(0,3,0)),"OK",IF(AND((AM546-AK546)&gt;=TIME(0,3,0),(AM546-AK546)&lt;TIME(0,5,0)),"RETRASO DE 3-5 MIN",IF(AND((AM546-AK546)&gt;=TIME(0,5,0),(AM546-AK546)&lt;TIME(0,10,0)),"RETRASO DE 5-10 MIN",IF((AM546-AK546)&gt;=TIME(0,10,0),"RETRASO &gt;10 MIN", IF(AND((AK546-AM546)&gt;=TIME(0,0,0),(AK546-AM546)&lt;TIME(0,3,0)),"OK",IF((AK546-AM546)&gt;=TIME(0,3,0),"ADELANTADO")))))))</f>
        <v/>
      </c>
      <c r="AM546" s="91" t="n"/>
      <c r="AN546" s="89">
        <f>IF(AE546&lt;&gt;"",HLOOKUP(VALUE(TEXT(AK546,"h:mm:ss")),IF($C$6="Laboral",$FZ$4:$GX$227,IF($C$6="Sábado",$FZ$231:$GX$452,$FZ$456:$GX$656)),VLOOKUP($C$4,$HF$2:$HH$99,3,0)+IF(AG$5="Ida",0,1),1),"")</f>
        <v/>
      </c>
      <c r="AO546" s="89">
        <f>IF(AE547&lt;&gt;AE546,AVERAGEIF(AE$9:AE546,AE546,AN$9:AN546),"")</f>
        <v/>
      </c>
      <c r="AP546" s="89">
        <f>IFERROR(IF(AE547&lt;&gt;AE546,AVERAGEIF(AE$9:AE546,AE546,AW$9:AW546),""),"")</f>
        <v/>
      </c>
      <c r="AQ546" s="89">
        <f>IFERROR(IF(AE547&lt;&gt;AE546,AVERAGEIF(AE$9:AE546,AE546,AX$9:AX546),""),"")</f>
        <v/>
      </c>
      <c r="AR546" s="89">
        <f t="array" ref="AR546">IFERROR(IF(AE547&lt;&gt;AE546,_xlfn.STDEV.P(IF(AE$9:AE546=AE546,AX$9:AX546)),""),"")</f>
        <v/>
      </c>
      <c r="AS546" s="89">
        <f t="array" ref="AS546">IFERROR(IF(AE547&lt;&gt;AE546,_xlfn.STDEV.P(IF(AE$9:AE546=AE546,AW$9:AW546)),""),"")</f>
        <v/>
      </c>
      <c r="AT546" s="90">
        <f>IFERROR(IF(AE546&lt;&gt;AE547,MAX((((AQ546*24*60)/2)*(1+POWER((((AR546*24*60) / (AQ546*24*60) )),2))) + ((AQ546*24*60 )*-0.1 + (AO546*0.015)) +1,(((AQ546*24*60)/2)*(1+POWER((((AR546*24*60) / (AQ546*24*60 ))),2)))),""),"")</f>
        <v/>
      </c>
      <c r="AU546" s="90">
        <f>IF(AND(AS546&lt;&gt;"",AP546&lt;&gt;""),IF(AE546&lt;&gt;AE547,((AP546*24*60) / 2 ) * (1 + POWER(((AS546*24*60) / (AP546*24*60)),2)),""),"")</f>
        <v/>
      </c>
      <c r="AV546" s="90">
        <f>IF(AU546&lt;&gt;"",MAX(AT546,AU546),"")</f>
        <v/>
      </c>
      <c r="AW546" s="89">
        <f>IF(AM546&lt;&gt;"H. Sale Real",IF(AND(AM547&lt;&gt;"",LEFT(AG547,2)&lt;&gt;"Va"),IF(AND(AM546&lt;&gt;"",LEFT(AG546,2)&lt;&gt;"Va",AM546&lt;&gt;"H. Sale Real"),IF(AM547-AM546&lt;0.208333333333333,AM547-AM546,""),IF(AND(AM545&lt;&gt;"",LEFT(AG545,2)&lt;&gt;"Va",AM545&lt;&gt;"H. Sale Real"),IF(AM547-AM545&lt;0.208333333333333,AM547-AM545,""),IF(AND(AM544&lt;&gt;"",LEFT(AG544,2)&lt;&gt;"Va",AM544&lt;&gt;"H. Sale Real"),IF(AM547-AM544&lt;0.208333333333333,AM547-AM544,""),IF(AND(AM543&lt;&gt;"",LEFT(AG543,2)&lt;&gt;"Va",AM543&lt;&gt;"H. Sale Real"),IF(AM547-AM543&lt;0.208333333333333,AM547-AM543,""),IF(AND(AM542&lt;&gt;"",LEFT(AG542,2)&lt;&gt;"Va",AM542&lt;&gt;"H. Sale Real"),IF(AM547-AM542&lt;0.208333333333333,AM547-AM542,""),""))))),""),"")</f>
        <v/>
      </c>
      <c r="AX546" s="89">
        <f>IF(AK546&lt;&gt;"H. Sale Real",IF(AND(AK547&lt;&gt;"",LEFT(AG547,2)&lt;&gt;"Va"),IF(AND(AK546&lt;&gt;"",LEFT(AG546,2)&lt;&gt;"Va",AK546&lt;&gt;"H. Sale Real"),IF(AK547-AK546&lt;0.208333333333333,AK547-AK546,""),IF(AND(AK545&lt;&gt;"",LEFT(AG545,2)&lt;&gt;"Va",AK545&lt;&gt;"H. Sale Real"),IF(AK547-AK545&lt;0.208333333333333,AK547-AK545,""),IF(AND(AK544&lt;&gt;"",LEFT(AG544,2)&lt;&gt;"NC",AK544&lt;&gt;"H. Sale Real"),IF(AK547-AK544&lt;0.208333333333333,AK547-AK544,""),IF(AND(AK543&lt;&gt;"",LEFT(AG543,2)&lt;&gt;"Va",AK543&lt;&gt;"H. Sale Real"),IF(AK547-AK543&lt;0.208333333333333,AK547-AK543,""),IF(AND(AK542&lt;&gt;"",LEFT(AG542,2)&lt;&gt;"Va",AK542&lt;&gt;"H. Sale Real"),IF(AK547-AK542&lt;0.208333333333333,AK547-AK542,""),""))))),""),"")</f>
        <v/>
      </c>
      <c r="AY546" s="87" t="n"/>
      <c r="AZ546" s="89" t="n"/>
      <c r="BA546" s="87" t="n"/>
      <c r="BB546" s="89" t="n"/>
      <c r="BC546" s="91" t="n"/>
      <c r="BD546" s="122">
        <f>IF(AK546&lt;&gt;"",IF(AND(BD545&lt;&gt;"IE",AT546&lt;&gt;0,AV546&lt;&gt;""),IF(IFERROR((AT546/AV546),0) &lt;=1,IFERROR(AT546/AV546,""),1),""),"")</f>
        <v/>
      </c>
      <c r="BE546" s="93" t="n"/>
      <c r="BF546" s="105" t="n"/>
      <c r="FC546" t="inlineStr">
        <is>
          <t>Diccionario 1</t>
        </is>
      </c>
      <c r="FD546" s="15" t="inlineStr"/>
      <c r="FE546" s="17" t="inlineStr">
        <is>
          <t>LDYECS31XS0044268</t>
        </is>
      </c>
      <c r="FF546" s="18" t="inlineStr">
        <is>
          <t>MDN3502520269</t>
        </is>
      </c>
      <c r="FG546" s="18" t="inlineStr">
        <is>
          <t>Zhong Thong</t>
        </is>
      </c>
      <c r="FH546" s="18" t="inlineStr">
        <is>
          <t>Lck6122evg</t>
        </is>
      </c>
      <c r="FI546" s="18" t="inlineStr">
        <is>
          <t>Zhong Thong</t>
        </is>
      </c>
      <c r="FJ546" s="18" t="inlineStr">
        <is>
          <t>Lck6122evg</t>
        </is>
      </c>
      <c r="FK546" s="18" t="n">
        <v>2026</v>
      </c>
      <c r="FL546" s="18" t="inlineStr">
        <is>
          <t>B</t>
        </is>
      </c>
      <c r="FM546" s="18" t="inlineStr">
        <is>
          <t>Ducaud</t>
        </is>
      </c>
      <c r="FP546" t="inlineStr">
        <is>
          <t>B</t>
        </is>
      </c>
      <c r="FS546" s="14" t="inlineStr">
        <is>
          <t>LZPT-75</t>
        </is>
      </c>
      <c r="FT546" t="inlineStr">
        <is>
          <t>LZPT-75</t>
        </is>
      </c>
      <c r="FU546" t="inlineStr">
        <is>
          <t>LZPT-75</t>
        </is>
      </c>
      <c r="FV546">
        <f>VLOOKUP(FU546,FD:FL,9,0)</f>
        <v/>
      </c>
      <c r="HA546" s="35" t="n">
        <v>91</v>
      </c>
      <c r="HB546" s="35" t="n">
        <v>540</v>
      </c>
    </row>
    <row r="547" ht="16" customHeight="1" thickBot="1">
      <c r="A547" s="11">
        <f>HOUR(G547)+1</f>
        <v/>
      </c>
      <c r="B547" s="12" t="n"/>
      <c r="C547" s="12" t="n"/>
      <c r="D547" s="94">
        <f>IFERROR(
IF(AND(OR(Planilla!B547="C",Planilla!B547="c"), VLOOKUP(E547,FD:FP,13,0)="C"), "OK",IF(AND(OR(Planilla!B547="C",Planilla!B547="c"), OR(VLOOKUP(E547,FD:FP,13,0)="B", VLOOKUP(E547,FD:FP,13,0)="A")), "DEFICIT",IF(
AND(OR(Planilla!B547="B", Planilla!B547="BPAL"), VLOOKUP(E547,FD:FP,13,0)="B"), "OK",IF(AND(OR(Planilla!B547="B", Planilla!B547="BPAL"), VLOOKUP(E547,FD:FP,13,0)="A"), "DEFICIT",IF(AND(OR(Planilla!B547="B", Planilla!B547="BPAL"), VLOOKUP(E547,FD:FP,13,0)="C"), "SOBREOFERTA",IF(AND(Planilla!B547="A", VLOOKUP(E547,FD:FP,13,0)="A"), "OK",IF(
AND(Planilla!B547="A", OR(VLOOKUP(E547,FD:FP,13,0)="B", VLOOKUP(E547,FD:FP,13,0)="C")), "SOBREOFERTA",""
))))))),"")</f>
        <v/>
      </c>
      <c r="E547" s="95" t="n"/>
      <c r="F547" s="96" t="n"/>
      <c r="G547" s="97" t="n"/>
      <c r="H547" s="98">
        <f>IF(I547="","",IF(AND((I547-G547)&gt;=TIME(0,0,0),(I547-G547)&lt;TIME(0,3,0)),"OK",IF(AND((I547-G547)&gt;=TIME(0,3,0),(I547-G547)&lt;TIME(0,5,0)),"RETRASO DE 3-5 MIN",IF(AND((I547-G547)&gt;=TIME(0,5,0),(I547-G547)&lt;TIME(0,10,0)),"RETRASO DE 5-10 MIN",IF((I547-G547)&gt;=TIME(0,10,0),"RETRASO &gt;10 MIN", IF(AND((G547-I547)&gt;=TIME(0,0,0),(G547-I547)&lt;TIME(0,3,0)),"OK",IF((G547-I547)&gt;=TIME(0,3,0),"ADELANTADO")))))))</f>
        <v/>
      </c>
      <c r="I547" s="99" t="n"/>
      <c r="J547" s="99">
        <f>IF(A547&lt;&gt;"",HLOOKUP(VALUE(TEXT(G547,"h:mm:ss")),IF($C$6="Laboral",$FZ$4:$GX$227,IF($C$6="Sábado",$FZ$231:$GX$452,$FZ$456:$GX$656)),VLOOKUP($C$4,$HF$2:$HH$99,3,0)+IF(C$5="Ida",0,1),1),"")</f>
        <v/>
      </c>
      <c r="K547" s="99">
        <f>IF(A548&lt;&gt;A547,AVERAGEIF(A$9:A547,A547,J$9:J547),"")</f>
        <v/>
      </c>
      <c r="L547" s="99">
        <f>IFERROR(IF(A548&lt;&gt;A547,AVERAGEIF(A$9:A547,A547,S$9:S547),""),"")</f>
        <v/>
      </c>
      <c r="M547" s="99">
        <f>IFERROR(IF(A548&lt;&gt;A547,AVERAGEIF(A$9:A547,A547,T$9:T547),""),"")</f>
        <v/>
      </c>
      <c r="N547" s="99">
        <f t="array" ref="N547">IFERROR(IF(A548&lt;&gt;A547,_xlfn.STDEV.P(IF(A$9:A547=A547,T$9:T547)),""),"")</f>
        <v/>
      </c>
      <c r="O547" s="99">
        <f t="array" ref="O547">IFERROR(IF(A548&lt;&gt;A547,_xlfn.STDEV.P(IF(A$9:A547=A547,S$9:S547)),""),"")</f>
        <v/>
      </c>
      <c r="P547" s="100">
        <f>IFERROR(IF(A547&lt;&gt;A548,MAX((((M547*24*60)/2)*(1+POWER((((N547*24*60) / (M547*24*60) )),2))) + ((M547*24*60 )*-0.1 + (K547*0.015)) +1,(((M547*24*60)/2)*(1+POWER((((N547*24*60) / (M547*24*60 ))),2)))),""),"")</f>
        <v/>
      </c>
      <c r="Q547" s="100">
        <f>IF(AND(O547&lt;&gt;"",L547&lt;&gt;""),IF(A547&lt;&gt;A548,((L547*24*60) / 2 ) * (1 + POWER(((O547*24*60) / (L547*24*60)),2)),""),"")</f>
        <v/>
      </c>
      <c r="R547" s="100">
        <f>IF(Q547&lt;&gt;"",MAX(P547,Q547),"")</f>
        <v/>
      </c>
      <c r="S547" s="99">
        <f>IF(I547&lt;&gt;"H. Sale Real",IF(AND(I548&lt;&gt;"",LEFT(C548,2)&lt;&gt;"Va"),IF(AND(I547&lt;&gt;"",LEFT(C547,2)&lt;&gt;"Va",I547&lt;&gt;"H. Sale Real"),IF(I548-I547&lt;0.208333333333333,I548-I547,""),IF(AND(I546&lt;&gt;"",LEFT(C546,2)&lt;&gt;"Va",I546&lt;&gt;"H. Sale Real"),IF(I548-I546&lt;0.208333333333333,I548-I546,""),IF(AND(I545&lt;&gt;"",LEFT(C545,2)&lt;&gt;"Va",I545&lt;&gt;"H. Sale Real"),IF(I548-I545&lt;0.208333333333333,I548-I545,""),IF(AND(I544&lt;&gt;"",LEFT(C544,2)&lt;&gt;"Va",I544&lt;&gt;"H. Sale Real"),IF(I548-I544&lt;0.208333333333333,I548-I544,""),IF(AND(I543&lt;&gt;"",LEFT(C543,2)&lt;&gt;"Va",I543&lt;&gt;"H. Sale Real"),IF(I548-I543&lt;0.208333333333333,I548-I543,""),""))))),""),"")</f>
        <v/>
      </c>
      <c r="T547" s="99">
        <f>IF(G547&lt;&gt;"H. Sale Real",IF(AND(G548&lt;&gt;"",LEFT(C548,2)&lt;&gt;"Va"),IF(AND(G547&lt;&gt;"",LEFT(C547,2)&lt;&gt;"Va",G547&lt;&gt;"H. Sale Real"),IF(G548-G547&lt;0.208333333333333,G548-G547,""),IF(AND(G546&lt;&gt;"",LEFT(C546,2)&lt;&gt;"Va",G546&lt;&gt;"H. Sale Real"),IF(G548-G546&lt;0.208333333333333,G548-G546,""),IF(AND(G545&lt;&gt;"",LEFT(C545,2)&lt;&gt;"Va",G545&lt;&gt;"H. Sale Real"),IF(G548-G545&lt;0.208333333333333,G548-G545,""),IF(AND(G544&lt;&gt;"",LEFT(C544,2)&lt;&gt;"Va",G544&lt;&gt;"H. Sale Real"),IF(G548-G544&lt;0.208333333333333,G548-G544,""),IF(AND(G543&lt;&gt;"",LEFT(C543,2)&lt;&gt;"Va",G543&lt;&gt;"H. Sale Real"),IF(G548-G543&lt;0.208333333333333,G548-G543,""),""))))),""),"")</f>
        <v/>
      </c>
      <c r="U547" s="97" t="n"/>
      <c r="V547" s="99" t="n"/>
      <c r="W547" s="97" t="n"/>
      <c r="X547" s="99" t="n"/>
      <c r="Y547" s="101" t="n"/>
      <c r="Z547" s="126">
        <f>IF(G547&lt;&gt;"",IF(AND(Z546&lt;&gt;"IE",P547&lt;&gt;0,R547&lt;&gt;""),IF(IFERROR((P547/R547),0) &lt;=1,IFERROR(P547/R547,""),1),""),"")</f>
        <v/>
      </c>
      <c r="AA547" s="103" t="n"/>
      <c r="AB547" s="61" t="n"/>
      <c r="AE547" s="11">
        <f>HOUR(AK547)+1</f>
        <v/>
      </c>
      <c r="AF547" s="12" t="n"/>
      <c r="AG547" s="12" t="n"/>
      <c r="AH547" s="96" t="n"/>
      <c r="AI547" s="95" t="n"/>
      <c r="AJ547" s="96" t="n"/>
      <c r="AK547" s="97" t="n"/>
      <c r="AL547" s="98">
        <f>IF(AM547="","",IF(AND((AM547-AK547)&gt;=TIME(0,0,0),(AM547-AK547)&lt;TIME(0,3,0)),"OK",IF(AND((AM547-AK547)&gt;=TIME(0,3,0),(AM547-AK547)&lt;TIME(0,5,0)),"RETRASO DE 3-5 MIN",IF(AND((AM547-AK547)&gt;=TIME(0,5,0),(AM547-AK547)&lt;TIME(0,10,0)),"RETRASO DE 5-10 MIN",IF((AM547-AK547)&gt;=TIME(0,10,0),"RETRASO &gt;10 MIN", IF(AND((AK547-AM547)&gt;=TIME(0,0,0),(AK547-AM547)&lt;TIME(0,3,0)),"OK",IF((AK547-AM547)&gt;=TIME(0,3,0),"ADELANTADO")))))))</f>
        <v/>
      </c>
      <c r="AM547" s="101" t="n"/>
      <c r="AN547" s="99">
        <f>IF(AE547&lt;&gt;"",HLOOKUP(VALUE(TEXT(AK547,"h:mm:ss")),IF($C$6="Laboral",$FZ$4:$GX$227,IF($C$6="Sábado",$FZ$231:$GX$452,$FZ$456:$GX$656)),VLOOKUP($C$4,$HF$2:$HH$99,3,0)+IF(AG$5="Ida",0,1),1),"")</f>
        <v/>
      </c>
      <c r="AO547" s="99">
        <f>IF(AE548&lt;&gt;AE547,AVERAGEIF(AE$9:AE547,AE547,AN$9:AN547),"")</f>
        <v/>
      </c>
      <c r="AP547" s="99">
        <f>IFERROR(IF(AE548&lt;&gt;AE547,AVERAGEIF(AE$9:AE547,AE547,AW$9:AW547),""),"")</f>
        <v/>
      </c>
      <c r="AQ547" s="99">
        <f>IFERROR(IF(AE548&lt;&gt;AE547,AVERAGEIF(AE$9:AE547,AE547,AX$9:AX547),""),"")</f>
        <v/>
      </c>
      <c r="AR547" s="99">
        <f t="array" ref="AR547">IFERROR(IF(AE548&lt;&gt;AE547,_xlfn.STDEV.P(IF(AE$9:AE547=AE547,AX$9:AX547)),""),"")</f>
        <v/>
      </c>
      <c r="AS547" s="99">
        <f t="array" ref="AS547">IFERROR(IF(AE548&lt;&gt;AE547,_xlfn.STDEV.P(IF(AE$9:AE547=AE547,AW$9:AW547)),""),"")</f>
        <v/>
      </c>
      <c r="AT547" s="100">
        <f>IFERROR(IF(AE547&lt;&gt;AE548,MAX((((AQ547*24*60)/2)*(1+POWER((((AR547*24*60) / (AQ547*24*60) )),2))) + ((AQ547*24*60 )*-0.1 + (AO547*0.015)) +1,(((AQ547*24*60)/2)*(1+POWER((((AR547*24*60) / (AQ547*24*60 ))),2)))),""),"")</f>
        <v/>
      </c>
      <c r="AU547" s="100">
        <f>IF(AND(AS547&lt;&gt;"",AP547&lt;&gt;""),IF(AE547&lt;&gt;AE548,((AP547*24*60) / 2 ) * (1 + POWER(((AS547*24*60) / (AP547*24*60)),2)),""),"")</f>
        <v/>
      </c>
      <c r="AV547" s="100">
        <f>IF(AU547&lt;&gt;"",MAX(AT547,AU547),"")</f>
        <v/>
      </c>
      <c r="AW547" s="99">
        <f>IF(AM547&lt;&gt;"H. Sale Real",IF(AND(AM548&lt;&gt;"",LEFT(AG548,2)&lt;&gt;"Va"),IF(AND(AM547&lt;&gt;"",LEFT(AG547,2)&lt;&gt;"Va",AM547&lt;&gt;"H. Sale Real"),IF(AM548-AM547&lt;0.208333333333333,AM548-AM547,""),IF(AND(AM546&lt;&gt;"",LEFT(AG546,2)&lt;&gt;"Va",AM546&lt;&gt;"H. Sale Real"),IF(AM548-AM546&lt;0.208333333333333,AM548-AM546,""),IF(AND(AM545&lt;&gt;"",LEFT(AG545,2)&lt;&gt;"Va",AM545&lt;&gt;"H. Sale Real"),IF(AM548-AM545&lt;0.208333333333333,AM548-AM545,""),IF(AND(AM544&lt;&gt;"",LEFT(AG544,2)&lt;&gt;"Va",AM544&lt;&gt;"H. Sale Real"),IF(AM548-AM544&lt;0.208333333333333,AM548-AM544,""),IF(AND(AM543&lt;&gt;"",LEFT(AG543,2)&lt;&gt;"Va",AM543&lt;&gt;"H. Sale Real"),IF(AM548-AM543&lt;0.208333333333333,AM548-AM543,""),""))))),""),"")</f>
        <v/>
      </c>
      <c r="AX547" s="99">
        <f>IF(AK547&lt;&gt;"H. Sale Real",IF(AND(AK548&lt;&gt;"",LEFT(AG548,2)&lt;&gt;"Va"),IF(AND(AK547&lt;&gt;"",LEFT(AG547,2)&lt;&gt;"Va",AK547&lt;&gt;"H. Sale Real"),IF(AK548-AK547&lt;0.208333333333333,AK548-AK547,""),IF(AND(AK546&lt;&gt;"",LEFT(AG546,2)&lt;&gt;"Va",AK546&lt;&gt;"H. Sale Real"),IF(AK548-AK546&lt;0.208333333333333,AK548-AK546,""),IF(AND(AK545&lt;&gt;"",LEFT(AG545,2)&lt;&gt;"NC",AK545&lt;&gt;"H. Sale Real"),IF(AK548-AK545&lt;0.208333333333333,AK548-AK545,""),IF(AND(AK544&lt;&gt;"",LEFT(AG544,2)&lt;&gt;"Va",AK544&lt;&gt;"H. Sale Real"),IF(AK548-AK544&lt;0.208333333333333,AK548-AK544,""),IF(AND(AK543&lt;&gt;"",LEFT(AG543,2)&lt;&gt;"Va",AK543&lt;&gt;"H. Sale Real"),IF(AK548-AK543&lt;0.208333333333333,AK548-AK543,""),""))))),""),"")</f>
        <v/>
      </c>
      <c r="AY547" s="97" t="n"/>
      <c r="AZ547" s="99" t="n"/>
      <c r="BA547" s="97" t="n"/>
      <c r="BB547" s="99" t="n"/>
      <c r="BC547" s="101" t="n"/>
      <c r="BD547" s="126">
        <f>IF(AK547&lt;&gt;"",IF(AND(BD546&lt;&gt;"IE",AT547&lt;&gt;0,AV547&lt;&gt;""),IF(IFERROR((AT547/AV547),0) &lt;=1,IFERROR(AT547/AV547,""),1),""),"")</f>
        <v/>
      </c>
      <c r="BE547" s="103" t="n"/>
      <c r="BF547" s="106" t="n"/>
      <c r="FC547" t="inlineStr">
        <is>
          <t>Diccionario 1</t>
        </is>
      </c>
      <c r="FD547" s="15" t="inlineStr"/>
      <c r="FE547" s="17" t="inlineStr">
        <is>
          <t>LDYECS319S0044262</t>
        </is>
      </c>
      <c r="FF547" s="18" t="inlineStr">
        <is>
          <t>MDN35025020247</t>
        </is>
      </c>
      <c r="FG547" s="18" t="inlineStr">
        <is>
          <t>Zhong Thong</t>
        </is>
      </c>
      <c r="FH547" s="18" t="inlineStr">
        <is>
          <t>Lck6122evg</t>
        </is>
      </c>
      <c r="FI547" s="18" t="inlineStr">
        <is>
          <t>Zhong Thong</t>
        </is>
      </c>
      <c r="FJ547" s="18" t="inlineStr">
        <is>
          <t>Lck6122evg</t>
        </is>
      </c>
      <c r="FK547" s="18" t="n">
        <v>2026</v>
      </c>
      <c r="FL547" s="18" t="inlineStr">
        <is>
          <t>B</t>
        </is>
      </c>
      <c r="FM547" s="18" t="inlineStr">
        <is>
          <t>Ducaud</t>
        </is>
      </c>
      <c r="FP547" t="inlineStr">
        <is>
          <t>B</t>
        </is>
      </c>
      <c r="FS547" s="14" t="inlineStr">
        <is>
          <t>LZPR-96|</t>
        </is>
      </c>
      <c r="FT547" t="inlineStr">
        <is>
          <t>LZPR-96|</t>
        </is>
      </c>
      <c r="FU547" t="inlineStr">
        <is>
          <t>LZPR-96</t>
        </is>
      </c>
      <c r="FV547">
        <f>VLOOKUP(FU547,FD:FL,9,0)</f>
        <v/>
      </c>
      <c r="HA547" s="35" t="n">
        <v>92</v>
      </c>
      <c r="HB547" s="35" t="n">
        <v>541</v>
      </c>
    </row>
    <row r="548">
      <c r="J548" s="127">
        <f>IF(A548&lt;&gt;"",HLOOKUP(VALUE(TEXT(G548,"h:mm:ss")),IF($C$6="Laboral",$FZ$4:$GX$227,IF($C$6="Sábado",$FZ$231:$GX$452,$FZ$456:$GX$656)),VLOOKUP($C$4,$HF$2:$HH$99,3,0)+IF(C$5="Ida",0,1),1),"")</f>
        <v/>
      </c>
      <c r="K548" s="127">
        <f>IF(A549&lt;&gt;A548,AVERAGEIF(A$9:A548,A548,J$9:J548),"")</f>
        <v/>
      </c>
      <c r="L548" s="5">
        <f>IFERROR(IF(A549&lt;&gt;A548,AVERAGEIF(A$9:A548,A548,S$9:S548),""),"")</f>
        <v/>
      </c>
      <c r="M548" s="5">
        <f>IFERROR(IF(A549&lt;&gt;A548,AVERAGEIF(A$9:A548,A548,T$9:T548),""),"")</f>
        <v/>
      </c>
      <c r="N548" s="5">
        <f t="array" ref="N548">IFERROR(IF(A549&lt;&gt;A548,_xlfn.STDEV.P(IF(A$9:A548=A548,T$9:T548)),""),"")</f>
        <v/>
      </c>
      <c r="O548" s="5">
        <f t="array" ref="O548">IFERROR(IF(A549&lt;&gt;A548,_xlfn.STDEV.P(IF(A$9:A548=A548,S$9:S548)),""),"")</f>
        <v/>
      </c>
      <c r="P548" s="128">
        <f>IFERROR(IF(A548&lt;&gt;A549,MAX((((M548*24*60)/2)*(1+POWER((((N548*24*60) / (M548*24*60) )),2))) + ((M548*24*60 )*-0.1 + (K548*0.015)) +1,(((M548*24*60)/2)*(1+POWER((((N548*24*60) / (M548*24*60 ))),2)))),""),"")</f>
        <v/>
      </c>
      <c r="Q548" s="128">
        <f>IF(AND(O548&lt;&gt;"",L548&lt;&gt;""),IF(A548&lt;&gt;A549,((L548*24*60) / 2 ) * (1 + POWER(((O548*24*60) / (L548*24*60)),2)),""),"")</f>
        <v/>
      </c>
      <c r="R548" s="128">
        <f>IF(Q548&lt;&gt;"",MAX(P548,Q548),"")</f>
        <v/>
      </c>
      <c r="S548" s="129">
        <f>IF(I548&lt;&gt;"H. Sale Real",IF(AND(I549&lt;&gt;"",LEFT(C549,2)&lt;&gt;"Va"),IF(AND(I548&lt;&gt;"",LEFT(C548,2)&lt;&gt;"Va",I548&lt;&gt;"H. Sale Real"),IF(I549-I548&lt;0.208333333333333,I549-I548,""),IF(AND(I547&lt;&gt;"",LEFT(C547,2)&lt;&gt;"Va",I547&lt;&gt;"H. Sale Real"),IF(I549-I547&lt;0.208333333333333,I549-I547,""),IF(AND(I546&lt;&gt;"",LEFT(C546,2)&lt;&gt;"Va",I546&lt;&gt;"H. Sale Real"),IF(I549-I546&lt;0.208333333333333,I549-I546,""),IF(AND(I545&lt;&gt;"",LEFT(C545,2)&lt;&gt;"Va",I545&lt;&gt;"H. Sale Real"),IF(I549-I545&lt;0.208333333333333,I549-I545,""),IF(AND(I544&lt;&gt;"",LEFT(C544,2)&lt;&gt;"Va",I544&lt;&gt;"H. Sale Real"),IF(I549-I544&lt;0.208333333333333,I549-I544,""),""))))),""),"")</f>
        <v/>
      </c>
      <c r="T548" s="129">
        <f>IF(G548&lt;&gt;"H. Sale Real",IF(AND(G549&lt;&gt;"",LEFT(C549,2)&lt;&gt;"Va"),IF(AND(G548&lt;&gt;"",LEFT(C548,2)&lt;&gt;"Va",G548&lt;&gt;"H. Sale Real"),IF(G549-G548&lt;0.208333333333333,G549-G548,""),IF(AND(G547&lt;&gt;"",LEFT(C547,2)&lt;&gt;"Va",G547&lt;&gt;"H. Sale Real"),IF(G549-G547&lt;0.208333333333333,G549-G547,""),IF(AND(G546&lt;&gt;"",LEFT(C546,2)&lt;&gt;"Va",G546&lt;&gt;"H. Sale Real"),IF(G549-G546&lt;0.208333333333333,G549-G546,""),IF(AND(G545&lt;&gt;"",LEFT(C545,2)&lt;&gt;"Va",G545&lt;&gt;"H. Sale Real"),IF(G549-G545&lt;0.208333333333333,G549-G545,""),IF(AND(G544&lt;&gt;"",LEFT(C544,2)&lt;&gt;"Va",G544&lt;&gt;"H. Sale Real"),IF(G549-G544&lt;0.208333333333333,G549-G544,""),""))))),""),"")</f>
        <v/>
      </c>
      <c r="AO548" s="127">
        <f>IF(AE549&lt;&gt;AE548,AVERAGEIF(AE$9:AE548,AE548,AN$9:AN548),"")</f>
        <v/>
      </c>
      <c r="AP548" s="5">
        <f>IFERROR(IF(AE549&lt;&gt;AE548,AVERAGEIF(AE$9:AE548,AE548,AW$9:AW548),""),"")</f>
        <v/>
      </c>
      <c r="AQ548" s="5">
        <f>IFERROR(IF(AE549&lt;&gt;AE548,AVERAGEIF(AE$9:AE548,AE548,AX$9:AX548),""),"")</f>
        <v/>
      </c>
      <c r="AR548" s="5">
        <f t="array" ref="AR548">IFERROR(IF(AE549&lt;&gt;AE548,_xlfn.STDEV.P(IF(AE$9:AE548=AE548,AX$9:AX548)),""),"")</f>
        <v/>
      </c>
      <c r="AS548" s="5">
        <f t="array" ref="AS548">IFERROR(IF(AE549&lt;&gt;AE548,_xlfn.STDEV.P(IF(AE$9:AE548=AE548,AW$9:AW548)),""),"")</f>
        <v/>
      </c>
      <c r="AT548" s="128">
        <f>IFERROR(IF(AE548&lt;&gt;AE549,MAX((((AQ548*24*60)/2)*(1+POWER((((AR548*24*60) / (AQ548*24*60) )),2))) + ((AQ548*24*60 )*-0.1 + (AO548*0.015)) +1,(((AQ548*24*60)/2)*(1+POWER((((AR548*24*60) / (AQ548*24*60 ))),2)))),""),"")</f>
        <v/>
      </c>
      <c r="AU548" s="128">
        <f>IF(AND(AS548&lt;&gt;"",AP548&lt;&gt;""),IF(AE548&lt;&gt;AE549,((AP548*24*60) / 2 ) * (1 + POWER(((AS548*24*60) / (AP548*24*60)),2)),""),"")</f>
        <v/>
      </c>
      <c r="AV548" s="128">
        <f>IF(AU548&lt;&gt;"",MAX(AT548,AU548),"")</f>
        <v/>
      </c>
      <c r="AW548" s="129">
        <f>IF(AM548&lt;&gt;"H. Sale Real",IF(AND(AM549&lt;&gt;"",LEFT(AG549,2)&lt;&gt;"Va"),IF(AND(AM548&lt;&gt;"",LEFT(AG548,2)&lt;&gt;"Va",AM548&lt;&gt;"H. Sale Real"),IF(AM549-AM548&lt;0.208333333333333,AM549-AM548,""),IF(AND(AM547&lt;&gt;"",LEFT(AG547,2)&lt;&gt;"Va",AM547&lt;&gt;"H. Sale Real"),IF(AM549-AM547&lt;0.208333333333333,AM549-AM547,""),IF(AND(AM546&lt;&gt;"",LEFT(AG546,2)&lt;&gt;"Va",AM546&lt;&gt;"H. Sale Real"),IF(AM549-AM546&lt;0.208333333333333,AM549-AM546,""),IF(AND(AM545&lt;&gt;"",LEFT(AG545,2)&lt;&gt;"Va",AM545&lt;&gt;"H. Sale Real"),IF(AM549-AM545&lt;0.208333333333333,AM549-AM545,""),IF(AND(AM544&lt;&gt;"",LEFT(AG544,2)&lt;&gt;"Va",AM544&lt;&gt;"H. Sale Real"),IF(AM549-AM544&lt;0.208333333333333,AM549-AM544,""),""))))),""),"")</f>
        <v/>
      </c>
      <c r="AX548" s="129">
        <f>IF(AK548&lt;&gt;"H. Sale Real",IF(AND(AK549&lt;&gt;"",LEFT(AG549,2)&lt;&gt;"Va"),IF(AND(AK548&lt;&gt;"",LEFT(AG548,2)&lt;&gt;"Va",AK548&lt;&gt;"H. Sale Real"),IF(AK549-AK548&lt;0.208333333333333,AK549-AK548,""),IF(AND(AK547&lt;&gt;"",LEFT(AG547,2)&lt;&gt;"Va",AK547&lt;&gt;"H. Sale Real"),IF(AK549-AK547&lt;0.208333333333333,AK549-AK547,""),IF(AND(AK546&lt;&gt;"",LEFT(AG546,2)&lt;&gt;"NC",AK546&lt;&gt;"H. Sale Real"),IF(AK549-AK546&lt;0.208333333333333,AK549-AK546,""),IF(AND(AK545&lt;&gt;"",LEFT(AG545,2)&lt;&gt;"Va",AK545&lt;&gt;"H. Sale Real"),IF(AK549-AK545&lt;0.208333333333333,AK549-AK545,""),IF(AND(AK544&lt;&gt;"",LEFT(AG544,2)&lt;&gt;"Va",AK544&lt;&gt;"H. Sale Real"),IF(AK549-AK544&lt;0.208333333333333,AK549-AK544,""),""))))),""),"")</f>
        <v/>
      </c>
      <c r="FC548" t="inlineStr">
        <is>
          <t>Diccionario 1</t>
        </is>
      </c>
      <c r="FD548" s="15" t="inlineStr"/>
      <c r="FE548" s="17" t="inlineStr">
        <is>
          <t>LDYECS311S0044269</t>
        </is>
      </c>
      <c r="FF548" s="18" t="inlineStr">
        <is>
          <t>MDN35025020266</t>
        </is>
      </c>
      <c r="FG548" s="18" t="inlineStr">
        <is>
          <t>Zhong Thong</t>
        </is>
      </c>
      <c r="FH548" s="18" t="inlineStr">
        <is>
          <t>Lck6122evg</t>
        </is>
      </c>
      <c r="FI548" s="18" t="inlineStr">
        <is>
          <t>Zhong Thong</t>
        </is>
      </c>
      <c r="FJ548" s="18" t="inlineStr">
        <is>
          <t>Lck6122evg</t>
        </is>
      </c>
      <c r="FK548" s="18" t="n">
        <v>2026</v>
      </c>
      <c r="FL548" s="18" t="inlineStr">
        <is>
          <t>B</t>
        </is>
      </c>
      <c r="FM548" s="18" t="inlineStr">
        <is>
          <t>Ducaud</t>
        </is>
      </c>
      <c r="FP548" t="inlineStr">
        <is>
          <t>B</t>
        </is>
      </c>
      <c r="FS548" s="14" t="inlineStr">
        <is>
          <t>LZPT-52|</t>
        </is>
      </c>
      <c r="FT548" t="inlineStr">
        <is>
          <t>LZPT-52|</t>
        </is>
      </c>
      <c r="FU548" t="inlineStr">
        <is>
          <t>LZPT-52</t>
        </is>
      </c>
      <c r="FV548">
        <f>VLOOKUP(FU548,FD:FL,9,0)</f>
        <v/>
      </c>
      <c r="HA548" s="35" t="n">
        <v>93</v>
      </c>
      <c r="HB548" s="35" t="n">
        <v>542</v>
      </c>
    </row>
    <row r="549">
      <c r="J549" s="127">
        <f>IF(A549&lt;&gt;"",HLOOKUP(VALUE(TEXT(G549,"h:mm:ss")),IF($C$6="Laboral",$FZ$4:$GX$227,IF($C$6="Sábado",$FZ$231:$GX$452,$FZ$456:$GX$656)),VLOOKUP($C$4,$HF$2:$HH$99,3,0)+IF(C$5="Ida",0,1),1),"")</f>
        <v/>
      </c>
      <c r="K549" s="127">
        <f>IF(A550&lt;&gt;A549,AVERAGEIF(A$9:A549,A549,J$9:J549),"")</f>
        <v/>
      </c>
      <c r="L549" s="5">
        <f>IFERROR(IF(A550&lt;&gt;A549,AVERAGEIF(A$9:A549,A549,S$9:S549),""),"")</f>
        <v/>
      </c>
      <c r="M549" s="5">
        <f>IFERROR(IF(A550&lt;&gt;A549,AVERAGEIF(A$9:A549,A549,T$9:T549),""),"")</f>
        <v/>
      </c>
      <c r="N549" s="5">
        <f t="array" ref="N549">IFERROR(IF(A550&lt;&gt;A549,_xlfn.STDEV.P(IF(A$9:A549=A549,T$9:T549)),""),"")</f>
        <v/>
      </c>
      <c r="O549" s="5">
        <f t="array" ref="O549">IFERROR(IF(A550&lt;&gt;A549,_xlfn.STDEV.P(IF(A$9:A549=A549,S$9:S549)),""),"")</f>
        <v/>
      </c>
      <c r="P549" s="128">
        <f>IFERROR(IF(A549&lt;&gt;A550,MAX((((M549*24*60)/2)*(1+POWER((((N549*24*60) / (M549*24*60) )),2))) + ((M549*24*60 )*-0.1 + (K549*0.015)) +1,(((M549*24*60)/2)*(1+POWER((((N549*24*60) / (M549*24*60 ))),2)))),""),"")</f>
        <v/>
      </c>
      <c r="Q549" s="128">
        <f>IF(AND(O549&lt;&gt;"",L549&lt;&gt;""),IF(A549&lt;&gt;A550,((L549*24*60) / 2 ) * (1 + POWER(((O549*24*60) / (L549*24*60)),2)),""),"")</f>
        <v/>
      </c>
      <c r="R549" s="128">
        <f>IF(Q549&lt;&gt;"",MAX(P549,Q549),"")</f>
        <v/>
      </c>
      <c r="S549" s="129">
        <f>IF(I549&lt;&gt;"H. Sale Real",IF(AND(I550&lt;&gt;"",LEFT(C550,2)&lt;&gt;"Va"),IF(AND(I549&lt;&gt;"",LEFT(C549,2)&lt;&gt;"Va",I549&lt;&gt;"H. Sale Real"),IF(I550-I549&lt;0.208333333333333,I550-I549,""),IF(AND(I548&lt;&gt;"",LEFT(C548,2)&lt;&gt;"Va",I548&lt;&gt;"H. Sale Real"),IF(I550-I548&lt;0.208333333333333,I550-I548,""),IF(AND(I547&lt;&gt;"",LEFT(C547,2)&lt;&gt;"Va",I547&lt;&gt;"H. Sale Real"),IF(I550-I547&lt;0.208333333333333,I550-I547,""),IF(AND(I546&lt;&gt;"",LEFT(C546,2)&lt;&gt;"Va",I546&lt;&gt;"H. Sale Real"),IF(I550-I546&lt;0.208333333333333,I550-I546,""),IF(AND(I545&lt;&gt;"",LEFT(C545,2)&lt;&gt;"Va",I545&lt;&gt;"H. Sale Real"),IF(I550-I545&lt;0.208333333333333,I550-I545,""),""))))),""),"")</f>
        <v/>
      </c>
      <c r="T549" s="129">
        <f>IF(G549&lt;&gt;"H. Sale Real",IF(AND(G550&lt;&gt;"",LEFT(C550,2)&lt;&gt;"Va"),IF(AND(G549&lt;&gt;"",LEFT(C549,2)&lt;&gt;"Va",G549&lt;&gt;"H. Sale Real"),IF(G550-G549&lt;0.208333333333333,G550-G549,""),IF(AND(G548&lt;&gt;"",LEFT(C548,2)&lt;&gt;"Va",G548&lt;&gt;"H. Sale Real"),IF(G550-G548&lt;0.208333333333333,G550-G548,""),IF(AND(G547&lt;&gt;"",LEFT(C547,2)&lt;&gt;"Va",G547&lt;&gt;"H. Sale Real"),IF(G550-G547&lt;0.208333333333333,G550-G547,""),IF(AND(G546&lt;&gt;"",LEFT(C546,2)&lt;&gt;"Va",G546&lt;&gt;"H. Sale Real"),IF(G550-G546&lt;0.208333333333333,G550-G546,""),IF(AND(G545&lt;&gt;"",LEFT(C545,2)&lt;&gt;"Va",G545&lt;&gt;"H. Sale Real"),IF(G550-G545&lt;0.208333333333333,G550-G545,""),""))))),""),"")</f>
        <v/>
      </c>
      <c r="AO549" s="127">
        <f>IF(AE550&lt;&gt;AE549,AVERAGEIF(AE$9:AE549,AE549,AN$9:AN549),"")</f>
        <v/>
      </c>
      <c r="AP549" s="5">
        <f>IFERROR(IF(AE550&lt;&gt;AE549,AVERAGEIF(AE$9:AE549,AE549,AW$9:AW549),""),"")</f>
        <v/>
      </c>
      <c r="AQ549" s="5">
        <f>IFERROR(IF(AE550&lt;&gt;AE549,AVERAGEIF(AE$9:AE549,AE549,AX$9:AX549),""),"")</f>
        <v/>
      </c>
      <c r="AR549" s="5">
        <f t="array" ref="AR549">IFERROR(IF(AE550&lt;&gt;AE549,_xlfn.STDEV.P(IF(AE$9:AE549=AE549,AX$9:AX549)),""),"")</f>
        <v/>
      </c>
      <c r="AS549" s="5">
        <f t="array" ref="AS549">IFERROR(IF(AE550&lt;&gt;AE549,_xlfn.STDEV.P(IF(AE$9:AE549=AE549,AW$9:AW549)),""),"")</f>
        <v/>
      </c>
      <c r="AT549" s="128">
        <f>IFERROR(IF(AE549&lt;&gt;AE550,MAX((((AQ549*24*60)/2)*(1+POWER((((AR549*24*60) / (AQ549*24*60) )),2))) + ((AQ549*24*60 )*-0.1 + (AO549*0.015)) +1,(((AQ549*24*60)/2)*(1+POWER((((AR549*24*60) / (AQ549*24*60 ))),2)))),""),"")</f>
        <v/>
      </c>
      <c r="AU549" s="128">
        <f>IF(AND(AS549&lt;&gt;"",AP549&lt;&gt;""),IF(AE549&lt;&gt;AE550,((AP549*24*60) / 2 ) * (1 + POWER(((AS549*24*60) / (AP549*24*60)),2)),""),"")</f>
        <v/>
      </c>
      <c r="AV549" s="128">
        <f>IF(AU549&lt;&gt;"",MAX(AT549,AU549),"")</f>
        <v/>
      </c>
      <c r="AW549" s="129">
        <f>IF(AM549&lt;&gt;"H. Sale Real",IF(AND(AM550&lt;&gt;"",LEFT(AG550,2)&lt;&gt;"Va"),IF(AND(AM549&lt;&gt;"",LEFT(AG549,2)&lt;&gt;"Va",AM549&lt;&gt;"H. Sale Real"),IF(AM550-AM549&lt;0.208333333333333,AM550-AM549,""),IF(AND(AM548&lt;&gt;"",LEFT(AG548,2)&lt;&gt;"Va",AM548&lt;&gt;"H. Sale Real"),IF(AM550-AM548&lt;0.208333333333333,AM550-AM548,""),IF(AND(AM547&lt;&gt;"",LEFT(AG547,2)&lt;&gt;"Va",AM547&lt;&gt;"H. Sale Real"),IF(AM550-AM547&lt;0.208333333333333,AM550-AM547,""),IF(AND(AM546&lt;&gt;"",LEFT(AG546,2)&lt;&gt;"Va",AM546&lt;&gt;"H. Sale Real"),IF(AM550-AM546&lt;0.208333333333333,AM550-AM546,""),IF(AND(AM545&lt;&gt;"",LEFT(AG545,2)&lt;&gt;"Va",AM545&lt;&gt;"H. Sale Real"),IF(AM550-AM545&lt;0.208333333333333,AM550-AM545,""),""))))),""),"")</f>
        <v/>
      </c>
      <c r="AX549" s="129">
        <f>IF(AK549&lt;&gt;"H. Sale Real",IF(AND(AK550&lt;&gt;"",LEFT(AG550,2)&lt;&gt;"Va"),IF(AND(AK549&lt;&gt;"",LEFT(AG549,2)&lt;&gt;"Va",AK549&lt;&gt;"H. Sale Real"),IF(AK550-AK549&lt;0.208333333333333,AK550-AK549,""),IF(AND(AK548&lt;&gt;"",LEFT(AG548,2)&lt;&gt;"Va",AK548&lt;&gt;"H. Sale Real"),IF(AK550-AK548&lt;0.208333333333333,AK550-AK548,""),IF(AND(AK547&lt;&gt;"",LEFT(AG547,2)&lt;&gt;"NC",AK547&lt;&gt;"H. Sale Real"),IF(AK550-AK547&lt;0.208333333333333,AK550-AK547,""),IF(AND(AK546&lt;&gt;"",LEFT(AG546,2)&lt;&gt;"Va",AK546&lt;&gt;"H. Sale Real"),IF(AK550-AK546&lt;0.208333333333333,AK550-AK546,""),IF(AND(AK545&lt;&gt;"",LEFT(AG545,2)&lt;&gt;"Va",AK545&lt;&gt;"H. Sale Real"),IF(AK550-AK545&lt;0.208333333333333,AK550-AK545,""),""))))),""),"")</f>
        <v/>
      </c>
      <c r="FC549" t="inlineStr">
        <is>
          <t>Diccionario 1</t>
        </is>
      </c>
      <c r="FD549" s="15" t="inlineStr"/>
      <c r="FE549" s="17" t="inlineStr">
        <is>
          <t>LDYECS311S0044272</t>
        </is>
      </c>
      <c r="FF549" s="18" t="inlineStr">
        <is>
          <t>MDN35025020270</t>
        </is>
      </c>
      <c r="FG549" s="18" t="inlineStr">
        <is>
          <t>Zhong Thong</t>
        </is>
      </c>
      <c r="FH549" s="18" t="inlineStr">
        <is>
          <t>Lck6122evg</t>
        </is>
      </c>
      <c r="FI549" s="18" t="inlineStr">
        <is>
          <t>Zhong Thong</t>
        </is>
      </c>
      <c r="FJ549" s="18" t="inlineStr">
        <is>
          <t>Lck6122evg</t>
        </is>
      </c>
      <c r="FK549" s="18" t="n">
        <v>2026</v>
      </c>
      <c r="FL549" s="18" t="inlineStr">
        <is>
          <t>B</t>
        </is>
      </c>
      <c r="FM549" s="18" t="inlineStr">
        <is>
          <t>Ducaud</t>
        </is>
      </c>
      <c r="FP549" t="inlineStr">
        <is>
          <t>B</t>
        </is>
      </c>
      <c r="FS549" s="14" t="inlineStr">
        <is>
          <t>LXWT-87|</t>
        </is>
      </c>
      <c r="FT549" t="inlineStr">
        <is>
          <t>LXWT-87|</t>
        </is>
      </c>
      <c r="FU549" t="inlineStr">
        <is>
          <t>LXWT-87</t>
        </is>
      </c>
      <c r="FV549">
        <f>VLOOKUP(FU549,FD:FL,9,0)</f>
        <v/>
      </c>
      <c r="HA549" s="35" t="n">
        <v>94</v>
      </c>
      <c r="HB549" s="35" t="n">
        <v>543</v>
      </c>
    </row>
    <row r="550">
      <c r="J550" s="127">
        <f>IF(A550&lt;&gt;"",HLOOKUP(VALUE(TEXT(G550,"h:mm:ss")),IF($C$6="Laboral",$FZ$4:$GX$227,IF($C$6="Sábado",$FZ$231:$GX$452,$FZ$456:$GX$656)),VLOOKUP($C$4,$HF$2:$HH$99,3,0)+IF(C$5="Ida",0,1),1),"")</f>
        <v/>
      </c>
      <c r="K550" s="127">
        <f>IF(A551&lt;&gt;A550,AVERAGEIF(A$9:A550,A550,J$9:J550),"")</f>
        <v/>
      </c>
      <c r="L550" s="5">
        <f>IFERROR(IF(A551&lt;&gt;A550,AVERAGEIF(A$9:A550,A550,S$9:S550),""),"")</f>
        <v/>
      </c>
      <c r="M550" s="5">
        <f>IFERROR(IF(A551&lt;&gt;A550,AVERAGEIF(A$9:A550,A550,T$9:T550),""),"")</f>
        <v/>
      </c>
      <c r="N550" s="5">
        <f t="array" ref="N550">IFERROR(IF(A551&lt;&gt;A550,_xlfn.STDEV.P(IF(A$9:A550=A550,T$9:T550)),""),"")</f>
        <v/>
      </c>
      <c r="O550" s="5">
        <f t="array" ref="O550">IFERROR(IF(A551&lt;&gt;A550,_xlfn.STDEV.P(IF(A$9:A550=A550,S$9:S550)),""),"")</f>
        <v/>
      </c>
      <c r="P550" s="128">
        <f>IFERROR(IF(A550&lt;&gt;A551,MAX((((M550*24*60)/2)*(1+POWER((((N550*24*60) / (M550*24*60) )),2))) + ((M550*24*60 )*-0.1 + (K550*0.015)) +1,(((M550*24*60)/2)*(1+POWER((((N550*24*60) / (M550*24*60 ))),2)))),""),"")</f>
        <v/>
      </c>
      <c r="Q550" s="128">
        <f>IF(AND(O550&lt;&gt;"",L550&lt;&gt;""),IF(A550&lt;&gt;A551,((L550*24*60) / 2 ) * (1 + POWER(((O550*24*60) / (L550*24*60)),2)),""),"")</f>
        <v/>
      </c>
      <c r="R550" s="128">
        <f>IF(Q550&lt;&gt;"",MAX(P550,Q550),"")</f>
        <v/>
      </c>
      <c r="S550" s="129">
        <f>IF(I550&lt;&gt;"H. Sale Real",IF(AND(I551&lt;&gt;"",LEFT(C551,2)&lt;&gt;"Va"),IF(AND(I550&lt;&gt;"",LEFT(C550,2)&lt;&gt;"Va",I550&lt;&gt;"H. Sale Real"),IF(I551-I550&lt;0.208333333333333,I551-I550,""),IF(AND(I549&lt;&gt;"",LEFT(C549,2)&lt;&gt;"Va",I549&lt;&gt;"H. Sale Real"),IF(I551-I549&lt;0.208333333333333,I551-I549,""),IF(AND(I548&lt;&gt;"",LEFT(C548,2)&lt;&gt;"Va",I548&lt;&gt;"H. Sale Real"),IF(I551-I548&lt;0.208333333333333,I551-I548,""),IF(AND(I547&lt;&gt;"",LEFT(C547,2)&lt;&gt;"Va",I547&lt;&gt;"H. Sale Real"),IF(I551-I547&lt;0.208333333333333,I551-I547,""),IF(AND(I546&lt;&gt;"",LEFT(C546,2)&lt;&gt;"Va",I546&lt;&gt;"H. Sale Real"),IF(I551-I546&lt;0.208333333333333,I551-I546,""),""))))),""),"")</f>
        <v/>
      </c>
      <c r="T550" s="129">
        <f>IF(G550&lt;&gt;"H. Sale Real",IF(AND(G551&lt;&gt;"",LEFT(C551,2)&lt;&gt;"Va"),IF(AND(G550&lt;&gt;"",LEFT(C550,2)&lt;&gt;"Va",G550&lt;&gt;"H. Sale Real"),IF(G551-G550&lt;0.208333333333333,G551-G550,""),IF(AND(G549&lt;&gt;"",LEFT(C549,2)&lt;&gt;"Va",G549&lt;&gt;"H. Sale Real"),IF(G551-G549&lt;0.208333333333333,G551-G549,""),IF(AND(G548&lt;&gt;"",LEFT(C548,2)&lt;&gt;"Va",G548&lt;&gt;"H. Sale Real"),IF(G551-G548&lt;0.208333333333333,G551-G548,""),IF(AND(G547&lt;&gt;"",LEFT(C547,2)&lt;&gt;"Va",G547&lt;&gt;"H. Sale Real"),IF(G551-G547&lt;0.208333333333333,G551-G547,""),IF(AND(G546&lt;&gt;"",LEFT(C546,2)&lt;&gt;"Va",G546&lt;&gt;"H. Sale Real"),IF(G551-G546&lt;0.208333333333333,G551-G546,""),""))))),""),"")</f>
        <v/>
      </c>
      <c r="AO550" s="127">
        <f>IF(AE551&lt;&gt;AE550,AVERAGEIF(AE$9:AE550,AE550,AN$9:AN550),"")</f>
        <v/>
      </c>
      <c r="AP550" s="5">
        <f>IFERROR(IF(AE551&lt;&gt;AE550,AVERAGEIF(AE$9:AE550,AE550,AW$9:AW550),""),"")</f>
        <v/>
      </c>
      <c r="AQ550" s="5">
        <f>IFERROR(IF(AE551&lt;&gt;AE550,AVERAGEIF(AE$9:AE550,AE550,AX$9:AX550),""),"")</f>
        <v/>
      </c>
      <c r="AR550" s="5">
        <f t="array" ref="AR550">IFERROR(IF(AE551&lt;&gt;AE550,_xlfn.STDEV.P(IF(AE$9:AE550=AE550,AX$9:AX550)),""),"")</f>
        <v/>
      </c>
      <c r="AS550" s="5">
        <f t="array" ref="AS550">IFERROR(IF(AE551&lt;&gt;AE550,_xlfn.STDEV.P(IF(AE$9:AE550=AE550,AW$9:AW550)),""),"")</f>
        <v/>
      </c>
      <c r="AT550" s="128">
        <f>IFERROR(IF(AE550&lt;&gt;AE551,MAX((((AQ550*24*60)/2)*(1+POWER((((AR550*24*60) / (AQ550*24*60) )),2))) + ((AQ550*24*60 )*-0.1 + (AO550*0.015)) +1,(((AQ550*24*60)/2)*(1+POWER((((AR550*24*60) / (AQ550*24*60 ))),2)))),""),"")</f>
        <v/>
      </c>
      <c r="AU550" s="128">
        <f>IF(AND(AS550&lt;&gt;"",AP550&lt;&gt;""),IF(AE550&lt;&gt;AE551,((AP550*24*60) / 2 ) * (1 + POWER(((AS550*24*60) / (AP550*24*60)),2)),""),"")</f>
        <v/>
      </c>
      <c r="AV550" s="128">
        <f>IF(AU550&lt;&gt;"",MAX(AT550,AU550),"")</f>
        <v/>
      </c>
      <c r="AW550" s="129">
        <f>IF(AM550&lt;&gt;"H. Sale Real",IF(AND(AM551&lt;&gt;"",LEFT(AG551,2)&lt;&gt;"Va"),IF(AND(AM550&lt;&gt;"",LEFT(AG550,2)&lt;&gt;"Va",AM550&lt;&gt;"H. Sale Real"),IF(AM551-AM550&lt;0.208333333333333,AM551-AM550,""),IF(AND(AM549&lt;&gt;"",LEFT(AG549,2)&lt;&gt;"Va",AM549&lt;&gt;"H. Sale Real"),IF(AM551-AM549&lt;0.208333333333333,AM551-AM549,""),IF(AND(AM548&lt;&gt;"",LEFT(AG548,2)&lt;&gt;"Va",AM548&lt;&gt;"H. Sale Real"),IF(AM551-AM548&lt;0.208333333333333,AM551-AM548,""),IF(AND(AM547&lt;&gt;"",LEFT(AG547,2)&lt;&gt;"Va",AM547&lt;&gt;"H. Sale Real"),IF(AM551-AM547&lt;0.208333333333333,AM551-AM547,""),IF(AND(AM546&lt;&gt;"",LEFT(AG546,2)&lt;&gt;"Va",AM546&lt;&gt;"H. Sale Real"),IF(AM551-AM546&lt;0.208333333333333,AM551-AM546,""),""))))),""),"")</f>
        <v/>
      </c>
      <c r="AX550" s="129">
        <f>IF(AK550&lt;&gt;"H. Sale Real",IF(AND(AK551&lt;&gt;"",LEFT(AG551,2)&lt;&gt;"Va"),IF(AND(AK550&lt;&gt;"",LEFT(AG550,2)&lt;&gt;"Va",AK550&lt;&gt;"H. Sale Real"),IF(AK551-AK550&lt;0.208333333333333,AK551-AK550,""),IF(AND(AK549&lt;&gt;"",LEFT(AG549,2)&lt;&gt;"Va",AK549&lt;&gt;"H. Sale Real"),IF(AK551-AK549&lt;0.208333333333333,AK551-AK549,""),IF(AND(AK548&lt;&gt;"",LEFT(AG548,2)&lt;&gt;"NC",AK548&lt;&gt;"H. Sale Real"),IF(AK551-AK548&lt;0.208333333333333,AK551-AK548,""),IF(AND(AK547&lt;&gt;"",LEFT(AG547,2)&lt;&gt;"Va",AK547&lt;&gt;"H. Sale Real"),IF(AK551-AK547&lt;0.208333333333333,AK551-AK547,""),IF(AND(AK546&lt;&gt;"",LEFT(AG546,2)&lt;&gt;"Va",AK546&lt;&gt;"H. Sale Real"),IF(AK551-AK546&lt;0.208333333333333,AK551-AK546,""),""))))),""),"")</f>
        <v/>
      </c>
      <c r="FC550" t="inlineStr">
        <is>
          <t>Diccionario 1</t>
        </is>
      </c>
      <c r="FD550" s="15" t="inlineStr"/>
      <c r="FE550" s="17" t="inlineStr">
        <is>
          <t>LDYECS317S0044258</t>
        </is>
      </c>
      <c r="FF550" s="18" t="inlineStr">
        <is>
          <t>MDN35025020200</t>
        </is>
      </c>
      <c r="FG550" s="18" t="inlineStr">
        <is>
          <t>Zhong Thong</t>
        </is>
      </c>
      <c r="FH550" s="18" t="inlineStr">
        <is>
          <t>Lck6122evg</t>
        </is>
      </c>
      <c r="FI550" s="18" t="inlineStr">
        <is>
          <t>Zhong Thong</t>
        </is>
      </c>
      <c r="FJ550" s="18" t="inlineStr">
        <is>
          <t>Lck6122evg</t>
        </is>
      </c>
      <c r="FK550" s="18" t="n">
        <v>2026</v>
      </c>
      <c r="FL550" s="18" t="inlineStr">
        <is>
          <t>B</t>
        </is>
      </c>
      <c r="FM550" s="18" t="inlineStr">
        <is>
          <t>Ducaud</t>
        </is>
      </c>
      <c r="FP550" t="inlineStr">
        <is>
          <t>B</t>
        </is>
      </c>
      <c r="FS550" s="14" t="inlineStr">
        <is>
          <t>LXWT-93|</t>
        </is>
      </c>
      <c r="FT550" t="inlineStr">
        <is>
          <t>LXWT-93|</t>
        </is>
      </c>
      <c r="FU550" t="inlineStr">
        <is>
          <t>LXWT-93</t>
        </is>
      </c>
      <c r="FV550">
        <f>VLOOKUP(FU550,FD:FL,9,0)</f>
        <v/>
      </c>
      <c r="HA550" s="35" t="n">
        <v>95</v>
      </c>
      <c r="HB550" s="35" t="n">
        <v>544</v>
      </c>
    </row>
    <row r="551">
      <c r="J551" s="127">
        <f>IF(A551&lt;&gt;"",HLOOKUP(VALUE(TEXT(G551,"h:mm:ss")),IF($C$6="Laboral",$FZ$4:$GX$227,IF($C$6="Sábado",$FZ$231:$GX$452,$FZ$456:$GX$656)),VLOOKUP($C$4,$HF$2:$HH$99,3,0)+IF(C$5="Ida",0,1),1),"")</f>
        <v/>
      </c>
      <c r="K551" s="127">
        <f>IF(A552&lt;&gt;A551,AVERAGEIF(A$9:A551,A551,J$9:J551),"")</f>
        <v/>
      </c>
      <c r="L551" s="5">
        <f>IFERROR(IF(A552&lt;&gt;A551,AVERAGEIF(A$9:A551,A551,S$9:S551),""),"")</f>
        <v/>
      </c>
      <c r="M551" s="5">
        <f>IFERROR(IF(A552&lt;&gt;A551,AVERAGEIF(A$9:A551,A551,T$9:T551),""),"")</f>
        <v/>
      </c>
      <c r="N551" s="5">
        <f t="array" ref="N551">IFERROR(IF(A552&lt;&gt;A551,_xlfn.STDEV.P(IF(A$9:A551=A551,T$9:T551)),""),"")</f>
        <v/>
      </c>
      <c r="O551" s="5">
        <f t="array" ref="O551">IFERROR(IF(A552&lt;&gt;A551,_xlfn.STDEV.P(IF(A$9:A551=A551,S$9:S551)),""),"")</f>
        <v/>
      </c>
      <c r="P551" s="128">
        <f>IFERROR(IF(A551&lt;&gt;A552,MAX((((M551*24*60)/2)*(1+POWER((((N551*24*60) / (M551*24*60) )),2))) + ((M551*24*60 )*-0.1 + (K551*0.015)) +1,(((M551*24*60)/2)*(1+POWER((((N551*24*60) / (M551*24*60 ))),2)))),""),"")</f>
        <v/>
      </c>
      <c r="Q551" s="128">
        <f>IF(AND(O551&lt;&gt;"",L551&lt;&gt;""),IF(A551&lt;&gt;A552,((L551*24*60) / 2 ) * (1 + POWER(((O551*24*60) / (L551*24*60)),2)),""),"")</f>
        <v/>
      </c>
      <c r="R551" s="128">
        <f>IF(Q551&lt;&gt;"",MAX(P551,Q551),"")</f>
        <v/>
      </c>
      <c r="S551" s="129">
        <f>IF(I551&lt;&gt;"H. Sale Real",IF(AND(I552&lt;&gt;"",LEFT(C552,2)&lt;&gt;"Va"),IF(AND(I551&lt;&gt;"",LEFT(C551,2)&lt;&gt;"Va",I551&lt;&gt;"H. Sale Real"),IF(I552-I551&lt;0.208333333333333,I552-I551,""),IF(AND(I550&lt;&gt;"",LEFT(C550,2)&lt;&gt;"Va",I550&lt;&gt;"H. Sale Real"),IF(I552-I550&lt;0.208333333333333,I552-I550,""),IF(AND(I549&lt;&gt;"",LEFT(C549,2)&lt;&gt;"Va",I549&lt;&gt;"H. Sale Real"),IF(I552-I549&lt;0.208333333333333,I552-I549,""),IF(AND(I548&lt;&gt;"",LEFT(C548,2)&lt;&gt;"Va",I548&lt;&gt;"H. Sale Real"),IF(I552-I548&lt;0.208333333333333,I552-I548,""),IF(AND(I547&lt;&gt;"",LEFT(C547,2)&lt;&gt;"Va",I547&lt;&gt;"H. Sale Real"),IF(I552-I547&lt;0.208333333333333,I552-I547,""),""))))),""),"")</f>
        <v/>
      </c>
      <c r="T551" s="129">
        <f>IF(G551&lt;&gt;"H. Sale Real",IF(AND(G552&lt;&gt;"",LEFT(C552,2)&lt;&gt;"Va"),IF(AND(G551&lt;&gt;"",LEFT(C551,2)&lt;&gt;"Va",G551&lt;&gt;"H. Sale Real"),IF(G552-G551&lt;0.208333333333333,G552-G551,""),IF(AND(G550&lt;&gt;"",LEFT(C550,2)&lt;&gt;"Va",G550&lt;&gt;"H. Sale Real"),IF(G552-G550&lt;0.208333333333333,G552-G550,""),IF(AND(G549&lt;&gt;"",LEFT(C549,2)&lt;&gt;"Va",G549&lt;&gt;"H. Sale Real"),IF(G552-G549&lt;0.208333333333333,G552-G549,""),IF(AND(G548&lt;&gt;"",LEFT(C548,2)&lt;&gt;"Va",G548&lt;&gt;"H. Sale Real"),IF(G552-G548&lt;0.208333333333333,G552-G548,""),IF(AND(G547&lt;&gt;"",LEFT(C547,2)&lt;&gt;"Va",G547&lt;&gt;"H. Sale Real"),IF(G552-G547&lt;0.208333333333333,G552-G547,""),""))))),""),"")</f>
        <v/>
      </c>
      <c r="AO551" s="127">
        <f>IF(AE552&lt;&gt;AE551,AVERAGEIF(AE$9:AE551,AE551,AN$9:AN551),"")</f>
        <v/>
      </c>
      <c r="AP551" s="5">
        <f>IFERROR(IF(AE552&lt;&gt;AE551,AVERAGEIF(AE$9:AE551,AE551,AW$9:AW551),""),"")</f>
        <v/>
      </c>
      <c r="AQ551" s="5">
        <f>IFERROR(IF(AE552&lt;&gt;AE551,AVERAGEIF(AE$9:AE551,AE551,AX$9:AX551),""),"")</f>
        <v/>
      </c>
      <c r="AR551" s="5">
        <f t="array" ref="AR551">IFERROR(IF(AE552&lt;&gt;AE551,_xlfn.STDEV.P(IF(AE$9:AE551=AE551,AX$9:AX551)),""),"")</f>
        <v/>
      </c>
      <c r="AS551" s="5">
        <f t="array" ref="AS551">IFERROR(IF(AE552&lt;&gt;AE551,_xlfn.STDEV.P(IF(AE$9:AE551=AE551,AW$9:AW551)),""),"")</f>
        <v/>
      </c>
      <c r="AT551" s="128">
        <f>IFERROR(IF(AE551&lt;&gt;AE552,MAX((((AQ551*24*60)/2)*(1+POWER((((AR551*24*60) / (AQ551*24*60) )),2))) + ((AQ551*24*60 )*-0.1 + (AO551*0.015)) +1,(((AQ551*24*60)/2)*(1+POWER((((AR551*24*60) / (AQ551*24*60 ))),2)))),""),"")</f>
        <v/>
      </c>
      <c r="AU551" s="128">
        <f>IF(AND(AS551&lt;&gt;"",AP551&lt;&gt;""),IF(AE551&lt;&gt;AE552,((AP551*24*60) / 2 ) * (1 + POWER(((AS551*24*60) / (AP551*24*60)),2)),""),"")</f>
        <v/>
      </c>
      <c r="AV551" s="128">
        <f>IF(AU551&lt;&gt;"",MAX(AT551,AU551),"")</f>
        <v/>
      </c>
      <c r="AW551" s="129">
        <f>IF(AM551&lt;&gt;"H. Sale Real",IF(AND(AM552&lt;&gt;"",LEFT(AG552,2)&lt;&gt;"Va"),IF(AND(AM551&lt;&gt;"",LEFT(AG551,2)&lt;&gt;"Va",AM551&lt;&gt;"H. Sale Real"),IF(AM552-AM551&lt;0.208333333333333,AM552-AM551,""),IF(AND(AM550&lt;&gt;"",LEFT(AG550,2)&lt;&gt;"Va",AM550&lt;&gt;"H. Sale Real"),IF(AM552-AM550&lt;0.208333333333333,AM552-AM550,""),IF(AND(AM549&lt;&gt;"",LEFT(AG549,2)&lt;&gt;"Va",AM549&lt;&gt;"H. Sale Real"),IF(AM552-AM549&lt;0.208333333333333,AM552-AM549,""),IF(AND(AM548&lt;&gt;"",LEFT(AG548,2)&lt;&gt;"Va",AM548&lt;&gt;"H. Sale Real"),IF(AM552-AM548&lt;0.208333333333333,AM552-AM548,""),IF(AND(AM547&lt;&gt;"",LEFT(AG547,2)&lt;&gt;"Va",AM547&lt;&gt;"H. Sale Real"),IF(AM552-AM547&lt;0.208333333333333,AM552-AM547,""),""))))),""),"")</f>
        <v/>
      </c>
      <c r="AX551" s="129">
        <f>IF(AK551&lt;&gt;"H. Sale Real",IF(AND(AK552&lt;&gt;"",LEFT(AG552,2)&lt;&gt;"Va"),IF(AND(AK551&lt;&gt;"",LEFT(AG551,2)&lt;&gt;"Va",AK551&lt;&gt;"H. Sale Real"),IF(AK552-AK551&lt;0.208333333333333,AK552-AK551,""),IF(AND(AK550&lt;&gt;"",LEFT(AG550,2)&lt;&gt;"Va",AK550&lt;&gt;"H. Sale Real"),IF(AK552-AK550&lt;0.208333333333333,AK552-AK550,""),IF(AND(AK549&lt;&gt;"",LEFT(AG549,2)&lt;&gt;"NC",AK549&lt;&gt;"H. Sale Real"),IF(AK552-AK549&lt;0.208333333333333,AK552-AK549,""),IF(AND(AK548&lt;&gt;"",LEFT(AG548,2)&lt;&gt;"Va",AK548&lt;&gt;"H. Sale Real"),IF(AK552-AK548&lt;0.208333333333333,AK552-AK548,""),IF(AND(AK547&lt;&gt;"",LEFT(AG547,2)&lt;&gt;"Va",AK547&lt;&gt;"H. Sale Real"),IF(AK552-AK547&lt;0.208333333333333,AK552-AK547,""),""))))),""),"")</f>
        <v/>
      </c>
      <c r="FC551" t="inlineStr">
        <is>
          <t>Diccionario 1</t>
        </is>
      </c>
      <c r="FD551" s="15" t="inlineStr"/>
      <c r="FE551" s="17" t="inlineStr">
        <is>
          <t>LDYECS315S0044274</t>
        </is>
      </c>
      <c r="FF551" s="18" t="inlineStr">
        <is>
          <t>LDM35025020202</t>
        </is>
      </c>
      <c r="FG551" s="18" t="inlineStr">
        <is>
          <t>Zhong Thong</t>
        </is>
      </c>
      <c r="FH551" s="18" t="inlineStr">
        <is>
          <t>Lck6122evg</t>
        </is>
      </c>
      <c r="FI551" s="18" t="inlineStr">
        <is>
          <t>Zhong Thong</t>
        </is>
      </c>
      <c r="FJ551" s="18" t="inlineStr">
        <is>
          <t>Lck6122evg</t>
        </is>
      </c>
      <c r="FK551" s="18" t="n">
        <v>2026</v>
      </c>
      <c r="FL551" s="18" t="inlineStr">
        <is>
          <t>B</t>
        </is>
      </c>
      <c r="FM551" s="18" t="inlineStr">
        <is>
          <t>Ducaud</t>
        </is>
      </c>
      <c r="FP551" t="inlineStr">
        <is>
          <t>B</t>
        </is>
      </c>
      <c r="FS551" s="14" t="inlineStr">
        <is>
          <t>LZPT-44|</t>
        </is>
      </c>
      <c r="FT551" t="inlineStr">
        <is>
          <t>LZPT-44|</t>
        </is>
      </c>
      <c r="FU551" t="inlineStr">
        <is>
          <t>LZPT-44</t>
        </is>
      </c>
      <c r="FV551">
        <f>VLOOKUP(FU551,FD:FL,9,0)</f>
        <v/>
      </c>
      <c r="HA551" s="35" t="n">
        <v>96</v>
      </c>
      <c r="HB551" s="35" t="n">
        <v>545</v>
      </c>
    </row>
    <row r="552">
      <c r="J552" s="127">
        <f>IF(A552&lt;&gt;"",HLOOKUP(VALUE(TEXT(G552,"h:mm:ss")),IF($C$6="Laboral",$FZ$4:$GX$227,IF($C$6="Sábado",$FZ$231:$GX$452,$FZ$456:$GX$656)),VLOOKUP($C$4,$HF$2:$HH$99,3,0)+IF(C$5="Ida",0,1),1),"")</f>
        <v/>
      </c>
      <c r="K552" s="127">
        <f>IF(A553&lt;&gt;A552,AVERAGEIF(A$9:A552,A552,J$9:J552),"")</f>
        <v/>
      </c>
      <c r="L552" s="5">
        <f>IFERROR(IF(A553&lt;&gt;A552,AVERAGEIF(A$9:A552,A552,S$9:S552),""),"")</f>
        <v/>
      </c>
      <c r="M552" s="5">
        <f>IFERROR(IF(A553&lt;&gt;A552,AVERAGEIF(A$9:A552,A552,T$9:T552),""),"")</f>
        <v/>
      </c>
      <c r="N552" s="5">
        <f t="array" ref="N552">IFERROR(IF(A553&lt;&gt;A552,_xlfn.STDEV.P(IF(A$9:A552=A552,T$9:T552)),""),"")</f>
        <v/>
      </c>
      <c r="O552" s="5">
        <f t="array" ref="O552">IFERROR(IF(A553&lt;&gt;A552,_xlfn.STDEV.P(IF(A$9:A552=A552,S$9:S552)),""),"")</f>
        <v/>
      </c>
      <c r="P552" s="128">
        <f>IFERROR(IF(A552&lt;&gt;A553,MAX((((M552*24*60)/2)*(1+POWER((((N552*24*60) / (M552*24*60) )),2))) + ((M552*24*60 )*-0.1 + (K552*0.015)) +1,(((M552*24*60)/2)*(1+POWER((((N552*24*60) / (M552*24*60 ))),2)))),""),"")</f>
        <v/>
      </c>
      <c r="Q552" s="128">
        <f>IF(AND(O552&lt;&gt;"",L552&lt;&gt;""),IF(A552&lt;&gt;A553,((L552*24*60) / 2 ) * (1 + POWER(((O552*24*60) / (L552*24*60)),2)),""),"")</f>
        <v/>
      </c>
      <c r="R552" s="128">
        <f>IF(Q552&lt;&gt;"",MAX(P552,Q552),"")</f>
        <v/>
      </c>
      <c r="S552" s="129">
        <f>IF(I552&lt;&gt;"H. Sale Real",IF(AND(I553&lt;&gt;"",LEFT(C553,2)&lt;&gt;"Va"),IF(AND(I552&lt;&gt;"",LEFT(C552,2)&lt;&gt;"Va",I552&lt;&gt;"H. Sale Real"),IF(I553-I552&lt;0.208333333333333,I553-I552,""),IF(AND(I551&lt;&gt;"",LEFT(C551,2)&lt;&gt;"Va",I551&lt;&gt;"H. Sale Real"),IF(I553-I551&lt;0.208333333333333,I553-I551,""),IF(AND(I550&lt;&gt;"",LEFT(C550,2)&lt;&gt;"Va",I550&lt;&gt;"H. Sale Real"),IF(I553-I550&lt;0.208333333333333,I553-I550,""),IF(AND(I549&lt;&gt;"",LEFT(C549,2)&lt;&gt;"Va",I549&lt;&gt;"H. Sale Real"),IF(I553-I549&lt;0.208333333333333,I553-I549,""),IF(AND(I548&lt;&gt;"",LEFT(C548,2)&lt;&gt;"Va",I548&lt;&gt;"H. Sale Real"),IF(I553-I548&lt;0.208333333333333,I553-I548,""),""))))),""),"")</f>
        <v/>
      </c>
      <c r="T552" s="129">
        <f>IF(G552&lt;&gt;"H. Sale Real",IF(AND(G553&lt;&gt;"",LEFT(C553,2)&lt;&gt;"Va"),IF(AND(G552&lt;&gt;"",LEFT(C552,2)&lt;&gt;"Va",G552&lt;&gt;"H. Sale Real"),IF(G553-G552&lt;0.208333333333333,G553-G552,""),IF(AND(G551&lt;&gt;"",LEFT(C551,2)&lt;&gt;"Va",G551&lt;&gt;"H. Sale Real"),IF(G553-G551&lt;0.208333333333333,G553-G551,""),IF(AND(G550&lt;&gt;"",LEFT(C550,2)&lt;&gt;"Va",G550&lt;&gt;"H. Sale Real"),IF(G553-G550&lt;0.208333333333333,G553-G550,""),IF(AND(G549&lt;&gt;"",LEFT(C549,2)&lt;&gt;"Va",G549&lt;&gt;"H. Sale Real"),IF(G553-G549&lt;0.208333333333333,G553-G549,""),IF(AND(G548&lt;&gt;"",LEFT(C548,2)&lt;&gt;"Va",G548&lt;&gt;"H. Sale Real"),IF(G553-G548&lt;0.208333333333333,G553-G548,""),""))))),""),"")</f>
        <v/>
      </c>
      <c r="AO552" s="127">
        <f>IF(AE553&lt;&gt;AE552,AVERAGEIF(AE$9:AE552,AE552,AN$9:AN552),"")</f>
        <v/>
      </c>
      <c r="AP552" s="5">
        <f>IFERROR(IF(AE553&lt;&gt;AE552,AVERAGEIF(AE$9:AE552,AE552,AW$9:AW552),""),"")</f>
        <v/>
      </c>
      <c r="AQ552" s="5">
        <f>IFERROR(IF(AE553&lt;&gt;AE552,AVERAGEIF(AE$9:AE552,AE552,AX$9:AX552),""),"")</f>
        <v/>
      </c>
      <c r="AR552" s="5">
        <f t="array" ref="AR552">IFERROR(IF(AE553&lt;&gt;AE552,_xlfn.STDEV.P(IF(AE$9:AE552=AE552,AX$9:AX552)),""),"")</f>
        <v/>
      </c>
      <c r="AS552" s="5">
        <f t="array" ref="AS552">IFERROR(IF(AE553&lt;&gt;AE552,_xlfn.STDEV.P(IF(AE$9:AE552=AE552,AW$9:AW552)),""),"")</f>
        <v/>
      </c>
      <c r="AT552" s="128">
        <f>IFERROR(IF(AE552&lt;&gt;AE553,MAX((((AQ552*24*60)/2)*(1+POWER((((AR552*24*60) / (AQ552*24*60) )),2))) + ((AQ552*24*60 )*-0.1 + (AO552*0.015)) +1,(((AQ552*24*60)/2)*(1+POWER((((AR552*24*60) / (AQ552*24*60 ))),2)))),""),"")</f>
        <v/>
      </c>
      <c r="AU552" s="128">
        <f>IF(AND(AS552&lt;&gt;"",AP552&lt;&gt;""),IF(AE552&lt;&gt;AE553,((AP552*24*60) / 2 ) * (1 + POWER(((AS552*24*60) / (AP552*24*60)),2)),""),"")</f>
        <v/>
      </c>
      <c r="AV552" s="128">
        <f>IF(AU552&lt;&gt;"",MAX(AT552,AU552),"")</f>
        <v/>
      </c>
      <c r="AW552" s="129">
        <f>IF(AM552&lt;&gt;"H. Sale Real",IF(AND(AM553&lt;&gt;"",LEFT(AG553,2)&lt;&gt;"Va"),IF(AND(AM552&lt;&gt;"",LEFT(AG552,2)&lt;&gt;"Va",AM552&lt;&gt;"H. Sale Real"),IF(AM553-AM552&lt;0.208333333333333,AM553-AM552,""),IF(AND(AM551&lt;&gt;"",LEFT(AG551,2)&lt;&gt;"Va",AM551&lt;&gt;"H. Sale Real"),IF(AM553-AM551&lt;0.208333333333333,AM553-AM551,""),IF(AND(AM550&lt;&gt;"",LEFT(AG550,2)&lt;&gt;"Va",AM550&lt;&gt;"H. Sale Real"),IF(AM553-AM550&lt;0.208333333333333,AM553-AM550,""),IF(AND(AM549&lt;&gt;"",LEFT(AG549,2)&lt;&gt;"Va",AM549&lt;&gt;"H. Sale Real"),IF(AM553-AM549&lt;0.208333333333333,AM553-AM549,""),IF(AND(AM548&lt;&gt;"",LEFT(AG548,2)&lt;&gt;"Va",AM548&lt;&gt;"H. Sale Real"),IF(AM553-AM548&lt;0.208333333333333,AM553-AM548,""),""))))),""),"")</f>
        <v/>
      </c>
      <c r="AX552" s="129">
        <f>IF(AK552&lt;&gt;"H. Sale Real",IF(AND(AK553&lt;&gt;"",LEFT(AG553,2)&lt;&gt;"Va"),IF(AND(AK552&lt;&gt;"",LEFT(AG552,2)&lt;&gt;"Va",AK552&lt;&gt;"H. Sale Real"),IF(AK553-AK552&lt;0.208333333333333,AK553-AK552,""),IF(AND(AK551&lt;&gt;"",LEFT(AG551,2)&lt;&gt;"Va",AK551&lt;&gt;"H. Sale Real"),IF(AK553-AK551&lt;0.208333333333333,AK553-AK551,""),IF(AND(AK550&lt;&gt;"",LEFT(AG550,2)&lt;&gt;"NC",AK550&lt;&gt;"H. Sale Real"),IF(AK553-AK550&lt;0.208333333333333,AK553-AK550,""),IF(AND(AK549&lt;&gt;"",LEFT(AG549,2)&lt;&gt;"Va",AK549&lt;&gt;"H. Sale Real"),IF(AK553-AK549&lt;0.208333333333333,AK553-AK549,""),IF(AND(AK548&lt;&gt;"",LEFT(AG548,2)&lt;&gt;"Va",AK548&lt;&gt;"H. Sale Real"),IF(AK553-AK548&lt;0.208333333333333,AK553-AK548,""),""))))),""),"")</f>
        <v/>
      </c>
      <c r="FC552" t="inlineStr">
        <is>
          <t>Diccionario 1</t>
        </is>
      </c>
      <c r="FD552" s="15" t="inlineStr"/>
      <c r="FE552" s="17" t="inlineStr">
        <is>
          <t>LDYECS314S0044279</t>
        </is>
      </c>
      <c r="FF552" s="18" t="inlineStr">
        <is>
          <t>MDN35025020206</t>
        </is>
      </c>
      <c r="FG552" s="18" t="inlineStr">
        <is>
          <t>Zhong Thong</t>
        </is>
      </c>
      <c r="FH552" s="18" t="inlineStr">
        <is>
          <t>Lck6122evg</t>
        </is>
      </c>
      <c r="FI552" s="18" t="inlineStr">
        <is>
          <t>Zhong Thong</t>
        </is>
      </c>
      <c r="FJ552" s="18" t="inlineStr">
        <is>
          <t>Lck6122evg</t>
        </is>
      </c>
      <c r="FK552" s="18" t="n">
        <v>2026</v>
      </c>
      <c r="FL552" s="18" t="inlineStr">
        <is>
          <t>B</t>
        </is>
      </c>
      <c r="FM552" s="18" t="inlineStr">
        <is>
          <t>Ducaud</t>
        </is>
      </c>
      <c r="FP552" t="inlineStr">
        <is>
          <t>B</t>
        </is>
      </c>
      <c r="FS552" s="14" t="inlineStr">
        <is>
          <t>LZPT-73|</t>
        </is>
      </c>
      <c r="FT552" t="inlineStr">
        <is>
          <t>LZPT-73|</t>
        </is>
      </c>
      <c r="FU552" t="inlineStr">
        <is>
          <t>LZPT-73</t>
        </is>
      </c>
      <c r="FV552">
        <f>VLOOKUP(FU552,FD:FL,9,0)</f>
        <v/>
      </c>
      <c r="HA552" s="35" t="n">
        <v>97</v>
      </c>
      <c r="HB552" s="35" t="n">
        <v>546</v>
      </c>
    </row>
    <row r="553">
      <c r="J553" s="127">
        <f>IF(A553&lt;&gt;"",HLOOKUP(VALUE(TEXT(G553,"h:mm:ss")),IF($C$6="Laboral",$FZ$4:$GX$227,IF($C$6="Sábado",$FZ$231:$GX$452,$FZ$456:$GX$656)),VLOOKUP($C$4,$HF$2:$HH$99,3,0)+IF(C$5="Ida",0,1),1),"")</f>
        <v/>
      </c>
      <c r="K553" s="127">
        <f>IF(A554&lt;&gt;A553,AVERAGEIF(A$9:A553,A553,J$9:J553),"")</f>
        <v/>
      </c>
      <c r="L553" s="5">
        <f>IFERROR(IF(A554&lt;&gt;A553,AVERAGEIF(A$9:A553,A553,S$9:S553),""),"")</f>
        <v/>
      </c>
      <c r="M553" s="5">
        <f>IFERROR(IF(A554&lt;&gt;A553,AVERAGEIF(A$9:A553,A553,T$9:T553),""),"")</f>
        <v/>
      </c>
      <c r="N553" s="5">
        <f t="array" ref="N553">IFERROR(IF(A554&lt;&gt;A553,_xlfn.STDEV.P(IF(A$9:A553=A553,T$9:T553)),""),"")</f>
        <v/>
      </c>
      <c r="O553" s="5">
        <f t="array" ref="O553">IFERROR(IF(A554&lt;&gt;A553,_xlfn.STDEV.P(IF(A$9:A553=A553,S$9:S553)),""),"")</f>
        <v/>
      </c>
      <c r="P553" s="128">
        <f>IFERROR(IF(A553&lt;&gt;A554,MAX((((M553*24*60)/2)*(1+POWER((((N553*24*60) / (M553*24*60) )),2))) + ((M553*24*60 )*-0.1 + (K553*0.015)) +1,(((M553*24*60)/2)*(1+POWER((((N553*24*60) / (M553*24*60 ))),2)))),""),"")</f>
        <v/>
      </c>
      <c r="Q553" s="128">
        <f>IF(AND(O553&lt;&gt;"",L553&lt;&gt;""),IF(A553&lt;&gt;A554,((L553*24*60) / 2 ) * (1 + POWER(((O553*24*60) / (L553*24*60)),2)),""),"")</f>
        <v/>
      </c>
      <c r="R553" s="128">
        <f>IF(Q553&lt;&gt;"",MAX(P553,Q553),"")</f>
        <v/>
      </c>
      <c r="S553" s="129">
        <f>IF(I553&lt;&gt;"H. Sale Real",IF(AND(I554&lt;&gt;"",LEFT(C554,2)&lt;&gt;"Va"),IF(AND(I553&lt;&gt;"",LEFT(C553,2)&lt;&gt;"Va",I553&lt;&gt;"H. Sale Real"),IF(I554-I553&lt;0.208333333333333,I554-I553,""),IF(AND(I552&lt;&gt;"",LEFT(C552,2)&lt;&gt;"Va",I552&lt;&gt;"H. Sale Real"),IF(I554-I552&lt;0.208333333333333,I554-I552,""),IF(AND(I551&lt;&gt;"",LEFT(C551,2)&lt;&gt;"Va",I551&lt;&gt;"H. Sale Real"),IF(I554-I551&lt;0.208333333333333,I554-I551,""),IF(AND(I550&lt;&gt;"",LEFT(C550,2)&lt;&gt;"Va",I550&lt;&gt;"H. Sale Real"),IF(I554-I550&lt;0.208333333333333,I554-I550,""),IF(AND(I549&lt;&gt;"",LEFT(C549,2)&lt;&gt;"Va",I549&lt;&gt;"H. Sale Real"),IF(I554-I549&lt;0.208333333333333,I554-I549,""),""))))),""),"")</f>
        <v/>
      </c>
      <c r="T553" s="129">
        <f>IF(G553&lt;&gt;"H. Sale Real",IF(AND(G554&lt;&gt;"",LEFT(C554,2)&lt;&gt;"Va"),IF(AND(G553&lt;&gt;"",LEFT(C553,2)&lt;&gt;"Va",G553&lt;&gt;"H. Sale Real"),IF(G554-G553&lt;0.208333333333333,G554-G553,""),IF(AND(G552&lt;&gt;"",LEFT(C552,2)&lt;&gt;"Va",G552&lt;&gt;"H. Sale Real"),IF(G554-G552&lt;0.208333333333333,G554-G552,""),IF(AND(G551&lt;&gt;"",LEFT(C551,2)&lt;&gt;"Va",G551&lt;&gt;"H. Sale Real"),IF(G554-G551&lt;0.208333333333333,G554-G551,""),IF(AND(G550&lt;&gt;"",LEFT(C550,2)&lt;&gt;"Va",G550&lt;&gt;"H. Sale Real"),IF(G554-G550&lt;0.208333333333333,G554-G550,""),IF(AND(G549&lt;&gt;"",LEFT(C549,2)&lt;&gt;"Va",G549&lt;&gt;"H. Sale Real"),IF(G554-G549&lt;0.208333333333333,G554-G549,""),""))))),""),"")</f>
        <v/>
      </c>
      <c r="FC553" t="inlineStr">
        <is>
          <t>Diccionario 1</t>
        </is>
      </c>
      <c r="FD553" s="15" t="inlineStr"/>
      <c r="FE553" s="17" t="inlineStr">
        <is>
          <t>LDYECS316S0044204</t>
        </is>
      </c>
      <c r="FF553" s="18" t="inlineStr">
        <is>
          <t>MDN35025020198</t>
        </is>
      </c>
      <c r="FG553" s="18" t="inlineStr">
        <is>
          <t>Zhong Thong</t>
        </is>
      </c>
      <c r="FH553" s="18" t="inlineStr">
        <is>
          <t>Lck6122evg</t>
        </is>
      </c>
      <c r="FI553" s="18" t="inlineStr">
        <is>
          <t>Zhong Thong</t>
        </is>
      </c>
      <c r="FJ553" s="18" t="inlineStr">
        <is>
          <t>Lck6122evg</t>
        </is>
      </c>
      <c r="FK553" s="18" t="n">
        <v>2026</v>
      </c>
      <c r="FL553" s="18" t="inlineStr">
        <is>
          <t>B</t>
        </is>
      </c>
      <c r="FM553" s="18" t="inlineStr">
        <is>
          <t>Ducaud</t>
        </is>
      </c>
      <c r="FP553" t="inlineStr">
        <is>
          <t>B</t>
        </is>
      </c>
      <c r="FS553" s="14" t="inlineStr">
        <is>
          <t>LZPW-14|</t>
        </is>
      </c>
      <c r="FT553" t="inlineStr">
        <is>
          <t>LZPW-14|</t>
        </is>
      </c>
      <c r="FU553" t="inlineStr">
        <is>
          <t>LZPW-14</t>
        </is>
      </c>
      <c r="FV553">
        <f>VLOOKUP(FU553,FD:FL,9,0)</f>
        <v/>
      </c>
      <c r="HA553" s="35" t="n">
        <v>98</v>
      </c>
      <c r="HB553" s="35" t="n">
        <v>547</v>
      </c>
    </row>
    <row r="554">
      <c r="J554" s="127">
        <f>IF(A554&lt;&gt;"",HLOOKUP(VALUE(TEXT(G554,"h:mm:ss")),IF($C$6="Laboral",$FZ$4:$GX$227,IF($C$6="Sábado",$FZ$231:$GX$452,$FZ$456:$GX$656)),VLOOKUP($C$4,$HF$2:$HH$99,3,0)+IF(C$5="Ida",0,1),1),"")</f>
        <v/>
      </c>
      <c r="K554" s="127">
        <f>IF(A555&lt;&gt;A554,AVERAGEIF(A$9:A554,A554,J$9:J554),"")</f>
        <v/>
      </c>
      <c r="L554" s="5">
        <f>IFERROR(IF(A555&lt;&gt;A554,AVERAGEIF(A$9:A554,A554,S$9:S554),""),"")</f>
        <v/>
      </c>
      <c r="M554" s="5">
        <f>IFERROR(IF(A555&lt;&gt;A554,AVERAGEIF(A$9:A554,A554,T$9:T554),""),"")</f>
        <v/>
      </c>
      <c r="N554" s="5">
        <f t="array" ref="N554">IFERROR(IF(A555&lt;&gt;A554,_xlfn.STDEV.P(IF(A$9:A554=A554,T$9:T554)),""),"")</f>
        <v/>
      </c>
      <c r="O554" s="5">
        <f t="array" ref="O554">IFERROR(IF(A555&lt;&gt;A554,_xlfn.STDEV.P(IF(A$9:A554=A554,S$9:S554)),""),"")</f>
        <v/>
      </c>
      <c r="P554" s="128">
        <f>IFERROR(IF(A554&lt;&gt;A555,MAX((((M554*24*60)/2)*(1+POWER((((N554*24*60) / (M554*24*60) )),2))) + ((M554*24*60 )*-0.1 + (K554*0.015)) +1,(((M554*24*60)/2)*(1+POWER((((N554*24*60) / (M554*24*60 ))),2)))),""),"")</f>
        <v/>
      </c>
      <c r="Q554" s="128">
        <f>IF(AND(O554&lt;&gt;"",L554&lt;&gt;""),IF(A554&lt;&gt;A555,((L554*24*60) / 2 ) * (1 + POWER(((O554*24*60) / (L554*24*60)),2)),""),"")</f>
        <v/>
      </c>
      <c r="R554" s="128">
        <f>IF(Q554&lt;&gt;"",MAX(P554,Q554),"")</f>
        <v/>
      </c>
      <c r="S554" s="129">
        <f>IF(I554&lt;&gt;"H. Sale Real",IF(AND(I555&lt;&gt;"",LEFT(C555,2)&lt;&gt;"Va"),IF(AND(I554&lt;&gt;"",LEFT(C554,2)&lt;&gt;"Va",I554&lt;&gt;"H. Sale Real"),IF(I555-I554&lt;0.208333333333333,I555-I554,""),IF(AND(I553&lt;&gt;"",LEFT(C553,2)&lt;&gt;"Va",I553&lt;&gt;"H. Sale Real"),IF(I555-I553&lt;0.208333333333333,I555-I553,""),IF(AND(I552&lt;&gt;"",LEFT(C552,2)&lt;&gt;"Va",I552&lt;&gt;"H. Sale Real"),IF(I555-I552&lt;0.208333333333333,I555-I552,""),IF(AND(I551&lt;&gt;"",LEFT(C551,2)&lt;&gt;"Va",I551&lt;&gt;"H. Sale Real"),IF(I555-I551&lt;0.208333333333333,I555-I551,""),IF(AND(I550&lt;&gt;"",LEFT(C550,2)&lt;&gt;"Va",I550&lt;&gt;"H. Sale Real"),IF(I555-I550&lt;0.208333333333333,I555-I550,""),""))))),""),"")</f>
        <v/>
      </c>
      <c r="T554" s="129">
        <f>IF(G554&lt;&gt;"H. Sale Real",IF(AND(G555&lt;&gt;"",LEFT(C555,2)&lt;&gt;"Va"),IF(AND(G554&lt;&gt;"",LEFT(C554,2)&lt;&gt;"Va",G554&lt;&gt;"H. Sale Real"),IF(G555-G554&lt;0.208333333333333,G555-G554,""),IF(AND(G553&lt;&gt;"",LEFT(C553,2)&lt;&gt;"Va",G553&lt;&gt;"H. Sale Real"),IF(G555-G553&lt;0.208333333333333,G555-G553,""),IF(AND(G552&lt;&gt;"",LEFT(C552,2)&lt;&gt;"Va",G552&lt;&gt;"H. Sale Real"),IF(G555-G552&lt;0.208333333333333,G555-G552,""),IF(AND(G551&lt;&gt;"",LEFT(C551,2)&lt;&gt;"Va",G551&lt;&gt;"H. Sale Real"),IF(G555-G551&lt;0.208333333333333,G555-G551,""),IF(AND(G550&lt;&gt;"",LEFT(C550,2)&lt;&gt;"Va",G550&lt;&gt;"H. Sale Real"),IF(G555-G550&lt;0.208333333333333,G555-G550,""),""))))),""),"")</f>
        <v/>
      </c>
      <c r="FC554" t="inlineStr">
        <is>
          <t>Diccionario 1</t>
        </is>
      </c>
      <c r="FD554" s="15" t="inlineStr"/>
      <c r="FE554" s="17" t="inlineStr">
        <is>
          <t>LDYECS312S0044359</t>
        </is>
      </c>
      <c r="FF554" s="18" t="inlineStr">
        <is>
          <t>MDN35025020203</t>
        </is>
      </c>
      <c r="FG554" s="18" t="inlineStr">
        <is>
          <t>Zhong Thong</t>
        </is>
      </c>
      <c r="FH554" s="18" t="inlineStr">
        <is>
          <t>Lck6122evg</t>
        </is>
      </c>
      <c r="FI554" s="18" t="inlineStr">
        <is>
          <t>Zhong Thong</t>
        </is>
      </c>
      <c r="FJ554" s="18" t="inlineStr">
        <is>
          <t>Lck6122evg</t>
        </is>
      </c>
      <c r="FK554" s="18" t="n">
        <v>2026</v>
      </c>
      <c r="FL554" s="18" t="inlineStr">
        <is>
          <t>B</t>
        </is>
      </c>
      <c r="FM554" s="18" t="inlineStr">
        <is>
          <t>Ducaud</t>
        </is>
      </c>
      <c r="FP554" t="inlineStr">
        <is>
          <t>B</t>
        </is>
      </c>
      <c r="FS554" s="14" t="inlineStr">
        <is>
          <t>3042 / SFVZ-56|</t>
        </is>
      </c>
      <c r="FT554" t="inlineStr">
        <is>
          <t>SFVZ-56|</t>
        </is>
      </c>
      <c r="FU554" t="inlineStr">
        <is>
          <t>SFVZ-56</t>
        </is>
      </c>
      <c r="FV554">
        <f>VLOOKUP(FU554,FD:FL,9,0)</f>
        <v/>
      </c>
      <c r="HA554" s="35" t="n">
        <v>99</v>
      </c>
      <c r="HB554" s="35" t="n">
        <v>548</v>
      </c>
    </row>
    <row r="555">
      <c r="J555" s="127">
        <f>IF(A555&lt;&gt;"",HLOOKUP(VALUE(TEXT(G555,"h:mm:ss")),IF($C$6="Laboral",$FZ$4:$GX$227,IF($C$6="Sábado",$FZ$231:$GX$452,$FZ$456:$GX$656)),VLOOKUP($C$4,$HF$2:$HH$99,3,0)+IF(C$5="Ida",0,1),1),"")</f>
        <v/>
      </c>
      <c r="K555" s="127">
        <f>IF(A556&lt;&gt;A555,AVERAGEIF(A$9:A555,A555,J$9:J555),"")</f>
        <v/>
      </c>
      <c r="L555" s="5">
        <f>IFERROR(IF(A556&lt;&gt;A555,AVERAGEIF(A$9:A555,A555,S$9:S555),""),"")</f>
        <v/>
      </c>
      <c r="M555" s="5">
        <f>IFERROR(IF(A556&lt;&gt;A555,AVERAGEIF(A$9:A555,A555,T$9:T555),""),"")</f>
        <v/>
      </c>
      <c r="N555" s="5">
        <f t="array" ref="N555">IFERROR(IF(A556&lt;&gt;A555,_xlfn.STDEV.P(IF(A$9:A555=A555,T$9:T555)),""),"")</f>
        <v/>
      </c>
      <c r="O555" s="5">
        <f t="array" ref="O555">IFERROR(IF(A556&lt;&gt;A555,_xlfn.STDEV.P(IF(A$9:A555=A555,S$9:S555)),""),"")</f>
        <v/>
      </c>
      <c r="P555" s="128">
        <f>IFERROR(IF(A555&lt;&gt;A556,MAX((((M555*24*60)/2)*(1+POWER((((N555*24*60) / (M555*24*60) )),2))) + ((M555*24*60 )*-0.1 + (K555*0.015)) +1,(((M555*24*60)/2)*(1+POWER((((N555*24*60) / (M555*24*60 ))),2)))),""),"")</f>
        <v/>
      </c>
      <c r="Q555" s="128">
        <f>IF(AND(O555&lt;&gt;"",L555&lt;&gt;""),IF(A555&lt;&gt;A556,((L555*24*60) / 2 ) * (1 + POWER(((O555*24*60) / (L555*24*60)),2)),""),"")</f>
        <v/>
      </c>
      <c r="R555" s="128">
        <f>IF(Q555&lt;&gt;"",MAX(P555,Q555),"")</f>
        <v/>
      </c>
      <c r="S555" s="129">
        <f>IF(I555&lt;&gt;"H. Sale Real",IF(AND(I556&lt;&gt;"",LEFT(C556,2)&lt;&gt;"Va"),IF(AND(I555&lt;&gt;"",LEFT(C555,2)&lt;&gt;"Va",I555&lt;&gt;"H. Sale Real"),IF(I556-I555&lt;0.208333333333333,I556-I555,""),IF(AND(I554&lt;&gt;"",LEFT(C554,2)&lt;&gt;"Va",I554&lt;&gt;"H. Sale Real"),IF(I556-I554&lt;0.208333333333333,I556-I554,""),IF(AND(I553&lt;&gt;"",LEFT(C553,2)&lt;&gt;"Va",I553&lt;&gt;"H. Sale Real"),IF(I556-I553&lt;0.208333333333333,I556-I553,""),IF(AND(I552&lt;&gt;"",LEFT(C552,2)&lt;&gt;"Va",I552&lt;&gt;"H. Sale Real"),IF(I556-I552&lt;0.208333333333333,I556-I552,""),IF(AND(I551&lt;&gt;"",LEFT(C551,2)&lt;&gt;"Va",I551&lt;&gt;"H. Sale Real"),IF(I556-I551&lt;0.208333333333333,I556-I551,""),""))))),""),"")</f>
        <v/>
      </c>
      <c r="T555" s="129">
        <f>IF(G555&lt;&gt;"H. Sale Real",IF(AND(G556&lt;&gt;"",LEFT(C556,2)&lt;&gt;"Va"),IF(AND(G555&lt;&gt;"",LEFT(C555,2)&lt;&gt;"Va",G555&lt;&gt;"H. Sale Real"),IF(G556-G555&lt;0.208333333333333,G556-G555,""),IF(AND(G554&lt;&gt;"",LEFT(C554,2)&lt;&gt;"Va",G554&lt;&gt;"H. Sale Real"),IF(G556-G554&lt;0.208333333333333,G556-G554,""),IF(AND(G553&lt;&gt;"",LEFT(C553,2)&lt;&gt;"Va",G553&lt;&gt;"H. Sale Real"),IF(G556-G553&lt;0.208333333333333,G556-G553,""),IF(AND(G552&lt;&gt;"",LEFT(C552,2)&lt;&gt;"Va",G552&lt;&gt;"H. Sale Real"),IF(G556-G552&lt;0.208333333333333,G556-G552,""),IF(AND(G551&lt;&gt;"",LEFT(C551,2)&lt;&gt;"Va",G551&lt;&gt;"H. Sale Real"),IF(G556-G551&lt;0.208333333333333,G556-G551,""),""))))),""),"")</f>
        <v/>
      </c>
      <c r="FC555" t="inlineStr">
        <is>
          <t>Diccionario 1</t>
        </is>
      </c>
      <c r="FD555" s="15" t="inlineStr"/>
      <c r="FE555" s="17" t="inlineStr">
        <is>
          <t>LDYECS314S0044363</t>
        </is>
      </c>
      <c r="FF555" s="18" t="inlineStr">
        <is>
          <t>MDN35025010121</t>
        </is>
      </c>
      <c r="FG555" s="18" t="inlineStr">
        <is>
          <t>Zhong Thong</t>
        </is>
      </c>
      <c r="FH555" s="18" t="inlineStr">
        <is>
          <t>Lck6122evg</t>
        </is>
      </c>
      <c r="FI555" s="18" t="inlineStr">
        <is>
          <t>Zhong Thong</t>
        </is>
      </c>
      <c r="FJ555" s="18" t="inlineStr">
        <is>
          <t>Lck6122evg</t>
        </is>
      </c>
      <c r="FK555" s="18" t="n">
        <v>2026</v>
      </c>
      <c r="FL555" s="18" t="inlineStr">
        <is>
          <t>B</t>
        </is>
      </c>
      <c r="FM555" s="18" t="inlineStr">
        <is>
          <t>Ducaud</t>
        </is>
      </c>
      <c r="FP555" t="inlineStr">
        <is>
          <t>B</t>
        </is>
      </c>
      <c r="FS555" s="14" t="inlineStr">
        <is>
          <t>LZPT-64|</t>
        </is>
      </c>
      <c r="FT555" t="inlineStr">
        <is>
          <t>LZPT-64|</t>
        </is>
      </c>
      <c r="FU555" t="inlineStr">
        <is>
          <t>LZPT-64</t>
        </is>
      </c>
      <c r="FV555">
        <f>VLOOKUP(FU555,FD:FL,9,0)</f>
        <v/>
      </c>
      <c r="HA555" s="35" t="n">
        <v>100</v>
      </c>
      <c r="HB555" s="35" t="n">
        <v>549</v>
      </c>
    </row>
    <row r="556">
      <c r="J556" s="127">
        <f>IF(A556&lt;&gt;"",HLOOKUP(VALUE(TEXT(G556,"h:mm:ss")),IF($C$6="Laboral",$FZ$4:$GX$227,IF($C$6="Sábado",$FZ$231:$GX$452,$FZ$456:$GX$656)),VLOOKUP($C$4,$HF$2:$HH$99,3,0)+IF(C$5="Ida",0,1),1),"")</f>
        <v/>
      </c>
      <c r="K556" s="127">
        <f>IF(A557&lt;&gt;A556,AVERAGEIF(A$9:A556,A556,J$9:J556),"")</f>
        <v/>
      </c>
      <c r="L556" s="5">
        <f>IFERROR(IF(A557&lt;&gt;A556,AVERAGEIF(A$9:A556,A556,S$9:S556),""),"")</f>
        <v/>
      </c>
      <c r="M556" s="5">
        <f>IFERROR(IF(A557&lt;&gt;A556,AVERAGEIF(A$9:A556,A556,T$9:T556),""),"")</f>
        <v/>
      </c>
      <c r="N556" s="5">
        <f t="array" ref="N556">IFERROR(IF(A557&lt;&gt;A556,_xlfn.STDEV.P(IF(A$9:A556=A556,T$9:T556)),""),"")</f>
        <v/>
      </c>
      <c r="O556" s="5">
        <f t="array" ref="O556">IFERROR(IF(A557&lt;&gt;A556,_xlfn.STDEV.P(IF(A$9:A556=A556,S$9:S556)),""),"")</f>
        <v/>
      </c>
      <c r="P556" s="128">
        <f>IFERROR(IF(A556&lt;&gt;A557,MAX((((M556*24*60)/2)*(1+POWER((((N556*24*60) / (M556*24*60) )),2))) + ((M556*24*60 )*-0.1 + (K556*0.015)) +1,(((M556*24*60)/2)*(1+POWER((((N556*24*60) / (M556*24*60 ))),2)))),""),"")</f>
        <v/>
      </c>
      <c r="Q556" s="128">
        <f>IF(AND(O556&lt;&gt;"",L556&lt;&gt;""),IF(A556&lt;&gt;A557,((L556*24*60) / 2 ) * (1 + POWER(((O556*24*60) / (L556*24*60)),2)),""),"")</f>
        <v/>
      </c>
      <c r="R556" s="128">
        <f>IF(Q556&lt;&gt;"",MAX(P556,Q556),"")</f>
        <v/>
      </c>
      <c r="S556" s="129">
        <f>IF(I556&lt;&gt;"H. Sale Real",IF(AND(I557&lt;&gt;"",LEFT(C557,2)&lt;&gt;"Va"),IF(AND(I556&lt;&gt;"",LEFT(C556,2)&lt;&gt;"Va",I556&lt;&gt;"H. Sale Real"),IF(I557-I556&lt;0.208333333333333,I557-I556,""),IF(AND(I555&lt;&gt;"",LEFT(C555,2)&lt;&gt;"Va",I555&lt;&gt;"H. Sale Real"),IF(I557-I555&lt;0.208333333333333,I557-I555,""),IF(AND(I554&lt;&gt;"",LEFT(C554,2)&lt;&gt;"Va",I554&lt;&gt;"H. Sale Real"),IF(I557-I554&lt;0.208333333333333,I557-I554,""),IF(AND(I553&lt;&gt;"",LEFT(C553,2)&lt;&gt;"Va",I553&lt;&gt;"H. Sale Real"),IF(I557-I553&lt;0.208333333333333,I557-I553,""),IF(AND(I552&lt;&gt;"",LEFT(C552,2)&lt;&gt;"Va",I552&lt;&gt;"H. Sale Real"),IF(I557-I552&lt;0.208333333333333,I557-I552,""),""))))),""),"")</f>
        <v/>
      </c>
      <c r="T556" s="129">
        <f>IF(G556&lt;&gt;"H. Sale Real",IF(AND(G557&lt;&gt;"",LEFT(C557,2)&lt;&gt;"Va"),IF(AND(G556&lt;&gt;"",LEFT(C556,2)&lt;&gt;"Va",G556&lt;&gt;"H. Sale Real"),IF(G557-G556&lt;0.208333333333333,G557-G556,""),IF(AND(G555&lt;&gt;"",LEFT(C555,2)&lt;&gt;"Va",G555&lt;&gt;"H. Sale Real"),IF(G557-G555&lt;0.208333333333333,G557-G555,""),IF(AND(G554&lt;&gt;"",LEFT(C554,2)&lt;&gt;"Va",G554&lt;&gt;"H. Sale Real"),IF(G557-G554&lt;0.208333333333333,G557-G554,""),IF(AND(G553&lt;&gt;"",LEFT(C553,2)&lt;&gt;"Va",G553&lt;&gt;"H. Sale Real"),IF(G557-G553&lt;0.208333333333333,G557-G553,""),IF(AND(G552&lt;&gt;"",LEFT(C552,2)&lt;&gt;"Va",G552&lt;&gt;"H. Sale Real"),IF(G557-G552&lt;0.208333333333333,G557-G552,""),""))))),""),"")</f>
        <v/>
      </c>
      <c r="FC556" t="inlineStr">
        <is>
          <t>Diccionario 1</t>
        </is>
      </c>
      <c r="FD556" s="15" t="inlineStr"/>
      <c r="FE556" s="17" t="inlineStr">
        <is>
          <t>LDYECS315S0044307</t>
        </is>
      </c>
      <c r="FF556" s="18" t="inlineStr">
        <is>
          <t>MDN35025030028</t>
        </is>
      </c>
      <c r="FG556" s="18" t="inlineStr">
        <is>
          <t>Zhong Thong</t>
        </is>
      </c>
      <c r="FH556" s="18" t="inlineStr">
        <is>
          <t>Lck6122evg</t>
        </is>
      </c>
      <c r="FI556" s="18" t="inlineStr">
        <is>
          <t>Zhong Thong</t>
        </is>
      </c>
      <c r="FJ556" s="18" t="inlineStr">
        <is>
          <t>Lck6122evg</t>
        </is>
      </c>
      <c r="FK556" s="18" t="n">
        <v>2026</v>
      </c>
      <c r="FL556" s="18" t="inlineStr">
        <is>
          <t>B</t>
        </is>
      </c>
      <c r="FM556" s="18" t="inlineStr">
        <is>
          <t>Ducaud</t>
        </is>
      </c>
      <c r="FP556" t="inlineStr">
        <is>
          <t>B</t>
        </is>
      </c>
      <c r="FS556" s="14" t="inlineStr">
        <is>
          <t>LZPT-42|</t>
        </is>
      </c>
      <c r="FT556" t="inlineStr">
        <is>
          <t>LZPT-42|</t>
        </is>
      </c>
      <c r="FU556" t="inlineStr">
        <is>
          <t>LZPT-42</t>
        </is>
      </c>
      <c r="FV556">
        <f>VLOOKUP(FU556,FD:FL,9,0)</f>
        <v/>
      </c>
      <c r="HA556" s="35" t="n">
        <v>101</v>
      </c>
      <c r="HB556" s="35" t="n">
        <v>550</v>
      </c>
    </row>
    <row r="557">
      <c r="J557" s="127">
        <f>IF(A557&lt;&gt;"",HLOOKUP(VALUE(TEXT(G557,"h:mm:ss")),IF($C$6="Laboral",$FZ$4:$GX$227,IF($C$6="Sábado",$FZ$231:$GX$452,$FZ$456:$GX$656)),VLOOKUP($C$4,$HF$2:$HH$99,3,0)+IF(C$5="Ida",0,1),1),"")</f>
        <v/>
      </c>
      <c r="K557" s="127">
        <f>IF(A558&lt;&gt;A557,AVERAGEIF(A$9:A557,A557,J$9:J557),"")</f>
        <v/>
      </c>
      <c r="L557" s="5">
        <f>IFERROR(IF(A558&lt;&gt;A557,AVERAGEIF(A$9:A557,A557,S$9:S557),""),"")</f>
        <v/>
      </c>
      <c r="M557" s="5">
        <f>IFERROR(IF(A558&lt;&gt;A557,AVERAGEIF(A$9:A557,A557,T$9:T557),""),"")</f>
        <v/>
      </c>
      <c r="N557" s="5">
        <f t="array" ref="N557">IFERROR(IF(A558&lt;&gt;A557,_xlfn.STDEV.P(IF(A$9:A557=A557,T$9:T557)),""),"")</f>
        <v/>
      </c>
      <c r="O557" s="5">
        <f t="array" ref="O557">IFERROR(IF(A558&lt;&gt;A557,_xlfn.STDEV.P(IF(A$9:A557=A557,S$9:S557)),""),"")</f>
        <v/>
      </c>
      <c r="P557" s="128">
        <f>IFERROR(IF(A557&lt;&gt;A558,MAX((((M557*24*60)/2)*(1+POWER((((N557*24*60) / (M557*24*60) )),2))) + ((M557*24*60 )*-0.1 + (K557*0.015)) +1,(((M557*24*60)/2)*(1+POWER((((N557*24*60) / (M557*24*60 ))),2)))),""),"")</f>
        <v/>
      </c>
      <c r="Q557" s="128">
        <f>IF(AND(O557&lt;&gt;"",L557&lt;&gt;""),IF(A557&lt;&gt;A558,((L557*24*60) / 2 ) * (1 + POWER(((O557*24*60) / (L557*24*60)),2)),""),"")</f>
        <v/>
      </c>
      <c r="R557" s="128">
        <f>IF(Q557&lt;&gt;"",MAX(P557,Q557),"")</f>
        <v/>
      </c>
      <c r="S557" s="129">
        <f>IF(I557&lt;&gt;"H. Sale Real",IF(AND(I558&lt;&gt;"",LEFT(C558,2)&lt;&gt;"Va"),IF(AND(I557&lt;&gt;"",LEFT(C557,2)&lt;&gt;"Va",I557&lt;&gt;"H. Sale Real"),IF(I558-I557&lt;0.208333333333333,I558-I557,""),IF(AND(I556&lt;&gt;"",LEFT(C556,2)&lt;&gt;"Va",I556&lt;&gt;"H. Sale Real"),IF(I558-I556&lt;0.208333333333333,I558-I556,""),IF(AND(I555&lt;&gt;"",LEFT(C555,2)&lt;&gt;"Va",I555&lt;&gt;"H. Sale Real"),IF(I558-I555&lt;0.208333333333333,I558-I555,""),IF(AND(I554&lt;&gt;"",LEFT(C554,2)&lt;&gt;"Va",I554&lt;&gt;"H. Sale Real"),IF(I558-I554&lt;0.208333333333333,I558-I554,""),IF(AND(I553&lt;&gt;"",LEFT(C553,2)&lt;&gt;"Va",I553&lt;&gt;"H. Sale Real"),IF(I558-I553&lt;0.208333333333333,I558-I553,""),""))))),""),"")</f>
        <v/>
      </c>
      <c r="T557" s="129">
        <f>IF(G557&lt;&gt;"H. Sale Real",IF(AND(G558&lt;&gt;"",LEFT(C558,2)&lt;&gt;"Va"),IF(AND(G557&lt;&gt;"",LEFT(C557,2)&lt;&gt;"Va",G557&lt;&gt;"H. Sale Real"),IF(G558-G557&lt;0.208333333333333,G558-G557,""),IF(AND(G556&lt;&gt;"",LEFT(C556,2)&lt;&gt;"Va",G556&lt;&gt;"H. Sale Real"),IF(G558-G556&lt;0.208333333333333,G558-G556,""),IF(AND(G555&lt;&gt;"",LEFT(C555,2)&lt;&gt;"Va",G555&lt;&gt;"H. Sale Real"),IF(G558-G555&lt;0.208333333333333,G558-G555,""),IF(AND(G554&lt;&gt;"",LEFT(C554,2)&lt;&gt;"Va",G554&lt;&gt;"H. Sale Real"),IF(G558-G554&lt;0.208333333333333,G558-G554,""),IF(AND(G553&lt;&gt;"",LEFT(C553,2)&lt;&gt;"Va",G553&lt;&gt;"H. Sale Real"),IF(G558-G553&lt;0.208333333333333,G558-G553,""),""))))),""),"")</f>
        <v/>
      </c>
      <c r="FC557" t="inlineStr">
        <is>
          <t>Diccionario 1</t>
        </is>
      </c>
      <c r="FD557" s="15" t="inlineStr"/>
      <c r="FE557" s="17" t="inlineStr">
        <is>
          <t>LDYECS317S0044311</t>
        </is>
      </c>
      <c r="FF557" s="18" t="inlineStr">
        <is>
          <t>MDN35025030043</t>
        </is>
      </c>
      <c r="FG557" s="18" t="inlineStr">
        <is>
          <t>Zhong Thong</t>
        </is>
      </c>
      <c r="FH557" s="18" t="inlineStr">
        <is>
          <t>Lck6122evg</t>
        </is>
      </c>
      <c r="FI557" s="18" t="inlineStr">
        <is>
          <t>Zhong Thong</t>
        </is>
      </c>
      <c r="FJ557" s="18" t="inlineStr">
        <is>
          <t>Lck6122evg</t>
        </is>
      </c>
      <c r="FK557" s="18" t="n">
        <v>2026</v>
      </c>
      <c r="FL557" s="18" t="inlineStr">
        <is>
          <t>B</t>
        </is>
      </c>
      <c r="FM557" s="18" t="inlineStr">
        <is>
          <t>Ducaud</t>
        </is>
      </c>
      <c r="FP557" t="inlineStr">
        <is>
          <t>B</t>
        </is>
      </c>
      <c r="FS557" s="14" t="inlineStr">
        <is>
          <t>SFWZ-75</t>
        </is>
      </c>
      <c r="FT557" t="inlineStr">
        <is>
          <t>SFWZ-75</t>
        </is>
      </c>
      <c r="FU557" t="inlineStr">
        <is>
          <t>SFWZ-75</t>
        </is>
      </c>
      <c r="FV557">
        <f>VLOOKUP(FU557,FD:FL,9,0)</f>
        <v/>
      </c>
      <c r="HA557" s="35" t="n">
        <v>102</v>
      </c>
      <c r="HB557" s="35" t="n">
        <v>551</v>
      </c>
    </row>
    <row r="558">
      <c r="J558" s="127">
        <f>IF(A558&lt;&gt;"",HLOOKUP(VALUE(TEXT(G558,"h:mm:ss")),IF($C$6="Laboral",$FZ$4:$GX$227,IF($C$6="Sábado",$FZ$231:$GX$452,$FZ$456:$GX$656)),VLOOKUP($C$4,$HF$2:$HH$99,3,0)+IF(C$5="Ida",0,1),1),"")</f>
        <v/>
      </c>
      <c r="K558" s="127">
        <f>IF(A559&lt;&gt;A558,AVERAGEIF(A$9:A558,A558,J$9:J558),"")</f>
        <v/>
      </c>
      <c r="L558" s="5">
        <f>IFERROR(IF(A559&lt;&gt;A558,AVERAGEIF(A$9:A558,A558,S$9:S558),""),"")</f>
        <v/>
      </c>
      <c r="M558" s="5">
        <f>IFERROR(IF(A559&lt;&gt;A558,AVERAGEIF(A$9:A558,A558,T$9:T558),""),"")</f>
        <v/>
      </c>
      <c r="N558" s="5">
        <f t="array" ref="N558">IFERROR(IF(A559&lt;&gt;A558,_xlfn.STDEV.P(IF(A$9:A558=A558,T$9:T558)),""),"")</f>
        <v/>
      </c>
      <c r="O558" s="5">
        <f t="array" ref="O558">IFERROR(IF(A559&lt;&gt;A558,_xlfn.STDEV.P(IF(A$9:A558=A558,S$9:S558)),""),"")</f>
        <v/>
      </c>
      <c r="P558" s="128">
        <f>IFERROR(IF(A558&lt;&gt;A559,MAX((((M558*24*60)/2)*(1+POWER((((N558*24*60) / (M558*24*60) )),2))) + ((M558*24*60 )*-0.1 + (K558*0.015)) +1,(((M558*24*60)/2)*(1+POWER((((N558*24*60) / (M558*24*60 ))),2)))),""),"")</f>
        <v/>
      </c>
      <c r="Q558" s="128">
        <f>IF(AND(O558&lt;&gt;"",L558&lt;&gt;""),IF(A558&lt;&gt;A559,((L558*24*60) / 2 ) * (1 + POWER(((O558*24*60) / (L558*24*60)),2)),""),"")</f>
        <v/>
      </c>
      <c r="R558" s="128">
        <f>IF(Q558&lt;&gt;"",MAX(P558,Q558),"")</f>
        <v/>
      </c>
      <c r="S558" s="129">
        <f>IF(I558&lt;&gt;"H. Sale Real",IF(AND(I559&lt;&gt;"",LEFT(C559,2)&lt;&gt;"Va"),IF(AND(I558&lt;&gt;"",LEFT(C558,2)&lt;&gt;"Va",I558&lt;&gt;"H. Sale Real"),IF(I559-I558&lt;0.208333333333333,I559-I558,""),IF(AND(I557&lt;&gt;"",LEFT(C557,2)&lt;&gt;"Va",I557&lt;&gt;"H. Sale Real"),IF(I559-I557&lt;0.208333333333333,I559-I557,""),IF(AND(I556&lt;&gt;"",LEFT(C556,2)&lt;&gt;"Va",I556&lt;&gt;"H. Sale Real"),IF(I559-I556&lt;0.208333333333333,I559-I556,""),IF(AND(I555&lt;&gt;"",LEFT(C555,2)&lt;&gt;"Va",I555&lt;&gt;"H. Sale Real"),IF(I559-I555&lt;0.208333333333333,I559-I555,""),IF(AND(I554&lt;&gt;"",LEFT(C554,2)&lt;&gt;"Va",I554&lt;&gt;"H. Sale Real"),IF(I559-I554&lt;0.208333333333333,I559-I554,""),""))))),""),"")</f>
        <v/>
      </c>
      <c r="T558" s="129">
        <f>IF(G558&lt;&gt;"H. Sale Real",IF(AND(G559&lt;&gt;"",LEFT(C559,2)&lt;&gt;"Va"),IF(AND(G558&lt;&gt;"",LEFT(C558,2)&lt;&gt;"Va",G558&lt;&gt;"H. Sale Real"),IF(G559-G558&lt;0.208333333333333,G559-G558,""),IF(AND(G557&lt;&gt;"",LEFT(C557,2)&lt;&gt;"Va",G557&lt;&gt;"H. Sale Real"),IF(G559-G557&lt;0.208333333333333,G559-G557,""),IF(AND(G556&lt;&gt;"",LEFT(C556,2)&lt;&gt;"Va",G556&lt;&gt;"H. Sale Real"),IF(G559-G556&lt;0.208333333333333,G559-G556,""),IF(AND(G555&lt;&gt;"",LEFT(C555,2)&lt;&gt;"Va",G555&lt;&gt;"H. Sale Real"),IF(G559-G555&lt;0.208333333333333,G559-G555,""),IF(AND(G554&lt;&gt;"",LEFT(C554,2)&lt;&gt;"Va",G554&lt;&gt;"H. Sale Real"),IF(G559-G554&lt;0.208333333333333,G559-G554,""),""))))),""),"")</f>
        <v/>
      </c>
      <c r="FC558" t="inlineStr">
        <is>
          <t>Diccionario 1</t>
        </is>
      </c>
      <c r="FD558" s="15" t="inlineStr"/>
      <c r="FE558" s="17" t="inlineStr">
        <is>
          <t>LDYECS31XS44318</t>
        </is>
      </c>
      <c r="FF558" s="18" t="inlineStr">
        <is>
          <t>MDN35025010176</t>
        </is>
      </c>
      <c r="FG558" s="18" t="inlineStr">
        <is>
          <t>Zhong Thong</t>
        </is>
      </c>
      <c r="FH558" s="18" t="inlineStr">
        <is>
          <t>Lck6122evg</t>
        </is>
      </c>
      <c r="FI558" s="18" t="inlineStr">
        <is>
          <t>Zhong Thong</t>
        </is>
      </c>
      <c r="FJ558" s="18" t="inlineStr">
        <is>
          <t>Lck6122evg</t>
        </is>
      </c>
      <c r="FK558" s="18" t="n">
        <v>2026</v>
      </c>
      <c r="FL558" s="18" t="inlineStr">
        <is>
          <t>B</t>
        </is>
      </c>
      <c r="FM558" s="18" t="inlineStr">
        <is>
          <t>Ducaud</t>
        </is>
      </c>
      <c r="FP558" t="inlineStr">
        <is>
          <t>B</t>
        </is>
      </c>
      <c r="FS558" s="14" t="inlineStr">
        <is>
          <t>SFWB-31</t>
        </is>
      </c>
      <c r="FT558" t="inlineStr">
        <is>
          <t>SFWB-31</t>
        </is>
      </c>
      <c r="FU558" t="inlineStr">
        <is>
          <t>SFWB-31</t>
        </is>
      </c>
      <c r="FV558">
        <f>VLOOKUP(FU558,FD:FL,9,0)</f>
        <v/>
      </c>
      <c r="HA558" s="35" t="n">
        <v>103</v>
      </c>
      <c r="HB558" s="35" t="n">
        <v>552</v>
      </c>
    </row>
    <row r="559">
      <c r="J559" s="127">
        <f>IF(A559&lt;&gt;"",HLOOKUP(VALUE(TEXT(G559,"h:mm:ss")),IF($C$6="Laboral",$FZ$4:$GX$227,IF($C$6="Sábado",$FZ$231:$GX$452,$FZ$456:$GX$656)),VLOOKUP($C$4,$HF$2:$HH$99,3,0)+IF(C$5="Ida",0,1),1),"")</f>
        <v/>
      </c>
      <c r="K559" s="127">
        <f>IF(A560&lt;&gt;A559,AVERAGEIF(A$9:A559,A559,J$9:J559),"")</f>
        <v/>
      </c>
      <c r="L559" s="5">
        <f>IFERROR(IF(A560&lt;&gt;A559,AVERAGEIF(A$9:A559,A559,S$9:S559),""),"")</f>
        <v/>
      </c>
      <c r="M559" s="5">
        <f>IFERROR(IF(A560&lt;&gt;A559,AVERAGEIF(A$9:A559,A559,T$9:T559),""),"")</f>
        <v/>
      </c>
      <c r="N559" s="5">
        <f t="array" ref="N559">IFERROR(IF(A560&lt;&gt;A559,_xlfn.STDEV.P(IF(A$9:A559=A559,T$9:T559)),""),"")</f>
        <v/>
      </c>
      <c r="O559" s="5">
        <f t="array" ref="O559">IFERROR(IF(A560&lt;&gt;A559,_xlfn.STDEV.P(IF(A$9:A559=A559,S$9:S559)),""),"")</f>
        <v/>
      </c>
      <c r="P559" s="128">
        <f>IFERROR(IF(A559&lt;&gt;A560,MAX((((M559*24*60)/2)*(1+POWER((((N559*24*60) / (M559*24*60) )),2))) + ((M559*24*60 )*-0.1 + (K559*0.015)) +1,(((M559*24*60)/2)*(1+POWER((((N559*24*60) / (M559*24*60 ))),2)))),""),"")</f>
        <v/>
      </c>
      <c r="Q559" s="128">
        <f>IF(AND(O559&lt;&gt;"",L559&lt;&gt;""),IF(A559&lt;&gt;A560,((L559*24*60) / 2 ) * (1 + POWER(((O559*24*60) / (L559*24*60)),2)),""),"")</f>
        <v/>
      </c>
      <c r="R559" s="128">
        <f>IF(Q559&lt;&gt;"",MAX(P559,Q559),"")</f>
        <v/>
      </c>
      <c r="S559" s="129">
        <f>IF(I559&lt;&gt;"H. Sale Real",IF(AND(I560&lt;&gt;"",LEFT(C560,2)&lt;&gt;"Va"),IF(AND(I559&lt;&gt;"",LEFT(C559,2)&lt;&gt;"Va",I559&lt;&gt;"H. Sale Real"),IF(I560-I559&lt;0.208333333333333,I560-I559,""),IF(AND(I558&lt;&gt;"",LEFT(C558,2)&lt;&gt;"Va",I558&lt;&gt;"H. Sale Real"),IF(I560-I558&lt;0.208333333333333,I560-I558,""),IF(AND(I557&lt;&gt;"",LEFT(C557,2)&lt;&gt;"Va",I557&lt;&gt;"H. Sale Real"),IF(I560-I557&lt;0.208333333333333,I560-I557,""),IF(AND(I556&lt;&gt;"",LEFT(C556,2)&lt;&gt;"Va",I556&lt;&gt;"H. Sale Real"),IF(I560-I556&lt;0.208333333333333,I560-I556,""),IF(AND(I555&lt;&gt;"",LEFT(C555,2)&lt;&gt;"Va",I555&lt;&gt;"H. Sale Real"),IF(I560-I555&lt;0.208333333333333,I560-I555,""),""))))),""),"")</f>
        <v/>
      </c>
      <c r="T559" s="129">
        <f>IF(G559&lt;&gt;"H. Sale Real",IF(AND(G560&lt;&gt;"",LEFT(C560,2)&lt;&gt;"Va"),IF(AND(G559&lt;&gt;"",LEFT(C559,2)&lt;&gt;"Va",G559&lt;&gt;"H. Sale Real"),IF(G560-G559&lt;0.208333333333333,G560-G559,""),IF(AND(G558&lt;&gt;"",LEFT(C558,2)&lt;&gt;"Va",G558&lt;&gt;"H. Sale Real"),IF(G560-G558&lt;0.208333333333333,G560-G558,""),IF(AND(G557&lt;&gt;"",LEFT(C557,2)&lt;&gt;"Va",G557&lt;&gt;"H. Sale Real"),IF(G560-G557&lt;0.208333333333333,G560-G557,""),IF(AND(G556&lt;&gt;"",LEFT(C556,2)&lt;&gt;"Va",G556&lt;&gt;"H. Sale Real"),IF(G560-G556&lt;0.208333333333333,G560-G556,""),IF(AND(G555&lt;&gt;"",LEFT(C555,2)&lt;&gt;"Va",G555&lt;&gt;"H. Sale Real"),IF(G560-G555&lt;0.208333333333333,G560-G555,""),""))))),""),"")</f>
        <v/>
      </c>
      <c r="FC559" t="inlineStr">
        <is>
          <t>Diccionario 1</t>
        </is>
      </c>
      <c r="FD559" s="15" t="inlineStr"/>
      <c r="FE559" s="17" t="inlineStr">
        <is>
          <t>LDYECS312S0044314</t>
        </is>
      </c>
      <c r="FF559" s="18" t="inlineStr">
        <is>
          <t>MDN35025030094</t>
        </is>
      </c>
      <c r="FG559" s="18" t="inlineStr">
        <is>
          <t>Zhong Thong</t>
        </is>
      </c>
      <c r="FH559" s="18" t="inlineStr">
        <is>
          <t>Lck6122evg</t>
        </is>
      </c>
      <c r="FI559" s="18" t="inlineStr">
        <is>
          <t>Zhong Thong</t>
        </is>
      </c>
      <c r="FJ559" s="18" t="inlineStr">
        <is>
          <t>Lck6122evg</t>
        </is>
      </c>
      <c r="FK559" s="18" t="n">
        <v>2026</v>
      </c>
      <c r="FL559" s="18" t="inlineStr">
        <is>
          <t>B</t>
        </is>
      </c>
      <c r="FM559" s="18" t="inlineStr">
        <is>
          <t>Ducaud</t>
        </is>
      </c>
      <c r="FP559" t="inlineStr">
        <is>
          <t>B</t>
        </is>
      </c>
      <c r="FS559" s="14" t="inlineStr">
        <is>
          <t>LZPT-52</t>
        </is>
      </c>
      <c r="FT559" t="inlineStr">
        <is>
          <t>LZPT-52</t>
        </is>
      </c>
      <c r="FU559" t="inlineStr">
        <is>
          <t>LZPT-52</t>
        </is>
      </c>
      <c r="FV559">
        <f>VLOOKUP(FU559,FD:FL,9,0)</f>
        <v/>
      </c>
      <c r="HA559" s="35" t="n">
        <v>104</v>
      </c>
      <c r="HB559" s="35" t="n">
        <v>553</v>
      </c>
    </row>
    <row r="560">
      <c r="J560" s="127">
        <f>IF(A560&lt;&gt;"",HLOOKUP(VALUE(TEXT(G560,"h:mm:ss")),IF($C$6="Laboral",$FZ$4:$GX$227,IF($C$6="Sábado",$FZ$231:$GX$452,$FZ$456:$GX$656)),VLOOKUP($C$4,$HF$2:$HH$99,3,0)+IF(C$5="Ida",0,1),1),"")</f>
        <v/>
      </c>
      <c r="K560" s="127">
        <f>IF(A561&lt;&gt;A560,AVERAGEIF(A$9:A560,A560,J$9:J560),"")</f>
        <v/>
      </c>
      <c r="L560" s="5">
        <f>IFERROR(IF(A561&lt;&gt;A560,AVERAGEIF(A$9:A560,A560,S$9:S560),""),"")</f>
        <v/>
      </c>
      <c r="M560" s="5">
        <f>IFERROR(IF(A561&lt;&gt;A560,AVERAGEIF(A$9:A560,A560,T$9:T560),""),"")</f>
        <v/>
      </c>
      <c r="N560" s="5">
        <f t="array" ref="N560">IFERROR(IF(A561&lt;&gt;A560,_xlfn.STDEV.P(IF(A$9:A560=A560,T$9:T560)),""),"")</f>
        <v/>
      </c>
      <c r="O560" s="5">
        <f t="array" ref="O560">IFERROR(IF(A561&lt;&gt;A560,_xlfn.STDEV.P(IF(A$9:A560=A560,S$9:S560)),""),"")</f>
        <v/>
      </c>
      <c r="P560" s="128">
        <f>IFERROR(IF(A560&lt;&gt;A561,MAX((((M560*24*60)/2)*(1+POWER((((N560*24*60) / (M560*24*60) )),2))) + ((M560*24*60 )*-0.1 + (K560*0.015)) +1,(((M560*24*60)/2)*(1+POWER((((N560*24*60) / (M560*24*60 ))),2)))),""),"")</f>
        <v/>
      </c>
      <c r="Q560" s="128">
        <f>IF(AND(O560&lt;&gt;"",L560&lt;&gt;""),IF(A560&lt;&gt;A561,((L560*24*60) / 2 ) * (1 + POWER(((O560*24*60) / (L560*24*60)),2)),""),"")</f>
        <v/>
      </c>
      <c r="R560" s="128">
        <f>IF(Q560&lt;&gt;"",MAX(P560,Q560),"")</f>
        <v/>
      </c>
      <c r="S560" s="129">
        <f>IF(I560&lt;&gt;"H. Sale Real",IF(AND(I561&lt;&gt;"",LEFT(C561,2)&lt;&gt;"Va"),IF(AND(I560&lt;&gt;"",LEFT(C560,2)&lt;&gt;"Va",I560&lt;&gt;"H. Sale Real"),IF(I561-I560&lt;0.208333333333333,I561-I560,""),IF(AND(I559&lt;&gt;"",LEFT(C559,2)&lt;&gt;"Va",I559&lt;&gt;"H. Sale Real"),IF(I561-I559&lt;0.208333333333333,I561-I559,""),IF(AND(I558&lt;&gt;"",LEFT(C558,2)&lt;&gt;"Va",I558&lt;&gt;"H. Sale Real"),IF(I561-I558&lt;0.208333333333333,I561-I558,""),IF(AND(I557&lt;&gt;"",LEFT(C557,2)&lt;&gt;"Va",I557&lt;&gt;"H. Sale Real"),IF(I561-I557&lt;0.208333333333333,I561-I557,""),IF(AND(I556&lt;&gt;"",LEFT(C556,2)&lt;&gt;"Va",I556&lt;&gt;"H. Sale Real"),IF(I561-I556&lt;0.208333333333333,I561-I556,""),""))))),""),"")</f>
        <v/>
      </c>
      <c r="T560" s="129">
        <f>IF(G560&lt;&gt;"H. Sale Real",IF(AND(G561&lt;&gt;"",LEFT(C561,2)&lt;&gt;"Va"),IF(AND(G560&lt;&gt;"",LEFT(C560,2)&lt;&gt;"Va",G560&lt;&gt;"H. Sale Real"),IF(G561-G560&lt;0.208333333333333,G561-G560,""),IF(AND(G559&lt;&gt;"",LEFT(C559,2)&lt;&gt;"Va",G559&lt;&gt;"H. Sale Real"),IF(G561-G559&lt;0.208333333333333,G561-G559,""),IF(AND(G558&lt;&gt;"",LEFT(C558,2)&lt;&gt;"Va",G558&lt;&gt;"H. Sale Real"),IF(G561-G558&lt;0.208333333333333,G561-G558,""),IF(AND(G557&lt;&gt;"",LEFT(C557,2)&lt;&gt;"Va",G557&lt;&gt;"H. Sale Real"),IF(G561-G557&lt;0.208333333333333,G561-G557,""),IF(AND(G556&lt;&gt;"",LEFT(C556,2)&lt;&gt;"Va",G556&lt;&gt;"H. Sale Real"),IF(G561-G556&lt;0.208333333333333,G561-G556,""),""))))),""),"")</f>
        <v/>
      </c>
      <c r="FC560" t="inlineStr">
        <is>
          <t>Diccionario 1</t>
        </is>
      </c>
      <c r="FD560" s="15" t="inlineStr"/>
      <c r="FE560" s="17" t="inlineStr">
        <is>
          <t>LDYECS319S0044391</t>
        </is>
      </c>
      <c r="FF560" s="18" t="inlineStr">
        <is>
          <t>MDN35025010114</t>
        </is>
      </c>
      <c r="FG560" s="18" t="inlineStr">
        <is>
          <t>Zhong Thong</t>
        </is>
      </c>
      <c r="FH560" s="18" t="inlineStr">
        <is>
          <t>Lck6122evg</t>
        </is>
      </c>
      <c r="FI560" s="18" t="inlineStr">
        <is>
          <t>Zhong Thong</t>
        </is>
      </c>
      <c r="FJ560" s="18" t="inlineStr">
        <is>
          <t>Lck6122evg</t>
        </is>
      </c>
      <c r="FK560" s="18" t="n">
        <v>2026</v>
      </c>
      <c r="FL560" s="18" t="inlineStr">
        <is>
          <t>B</t>
        </is>
      </c>
      <c r="FM560" s="18" t="inlineStr">
        <is>
          <t>Ducaud</t>
        </is>
      </c>
      <c r="FP560" t="inlineStr">
        <is>
          <t>B</t>
        </is>
      </c>
      <c r="FS560" s="14" t="inlineStr">
        <is>
          <t>LZPT-75</t>
        </is>
      </c>
      <c r="FT560" t="inlineStr">
        <is>
          <t>LZPT-75</t>
        </is>
      </c>
      <c r="FU560" t="inlineStr">
        <is>
          <t>LZPT-75</t>
        </is>
      </c>
      <c r="FV560">
        <f>VLOOKUP(FU560,FD:FL,9,0)</f>
        <v/>
      </c>
      <c r="HA560" s="35" t="n">
        <v>105</v>
      </c>
      <c r="HB560" s="35" t="n">
        <v>554</v>
      </c>
    </row>
    <row r="561">
      <c r="J561" s="127">
        <f>IF(A561&lt;&gt;"",HLOOKUP(VALUE(TEXT(G561,"h:mm:ss")),IF($C$6="Laboral",$FZ$4:$GX$227,IF($C$6="Sábado",$FZ$231:$GX$452,$FZ$456:$GX$656)),VLOOKUP($C$4,$HF$2:$HH$99,3,0)+IF(C$5="Ida",0,1),1),"")</f>
        <v/>
      </c>
      <c r="K561" s="127">
        <f>IF(A562&lt;&gt;A561,AVERAGEIF(A$9:A561,A561,J$9:J561),"")</f>
        <v/>
      </c>
      <c r="L561" s="5">
        <f>IFERROR(IF(A562&lt;&gt;A561,AVERAGEIF(A$9:A561,A561,S$9:S561),""),"")</f>
        <v/>
      </c>
      <c r="M561" s="5">
        <f>IFERROR(IF(A562&lt;&gt;A561,AVERAGEIF(A$9:A561,A561,T$9:T561),""),"")</f>
        <v/>
      </c>
      <c r="N561" s="5">
        <f t="array" ref="N561">IFERROR(IF(A562&lt;&gt;A561,_xlfn.STDEV.P(IF(A$9:A561=A561,T$9:T561)),""),"")</f>
        <v/>
      </c>
      <c r="O561" s="5">
        <f t="array" ref="O561">IFERROR(IF(A562&lt;&gt;A561,_xlfn.STDEV.P(IF(A$9:A561=A561,S$9:S561)),""),"")</f>
        <v/>
      </c>
      <c r="P561" s="128">
        <f>IFERROR(IF(A561&lt;&gt;A562,MAX((((M561*24*60)/2)*(1+POWER((((N561*24*60) / (M561*24*60) )),2))) + ((M561*24*60 )*-0.1 + (K561*0.015)) +1,(((M561*24*60)/2)*(1+POWER((((N561*24*60) / (M561*24*60 ))),2)))),""),"")</f>
        <v/>
      </c>
      <c r="Q561" s="128">
        <f>IF(AND(O561&lt;&gt;"",L561&lt;&gt;""),IF(A561&lt;&gt;A562,((L561*24*60) / 2 ) * (1 + POWER(((O561*24*60) / (L561*24*60)),2)),""),"")</f>
        <v/>
      </c>
      <c r="R561" s="128">
        <f>IF(Q561&lt;&gt;"",MAX(P561,Q561),"")</f>
        <v/>
      </c>
      <c r="S561" s="129">
        <f>IF(I561&lt;&gt;"H. Sale Real",IF(AND(I562&lt;&gt;"",LEFT(C562,2)&lt;&gt;"Va"),IF(AND(I561&lt;&gt;"",LEFT(C561,2)&lt;&gt;"Va",I561&lt;&gt;"H. Sale Real"),IF(I562-I561&lt;0.208333333333333,I562-I561,""),IF(AND(I560&lt;&gt;"",LEFT(C560,2)&lt;&gt;"Va",I560&lt;&gt;"H. Sale Real"),IF(I562-I560&lt;0.208333333333333,I562-I560,""),IF(AND(I559&lt;&gt;"",LEFT(C559,2)&lt;&gt;"Va",I559&lt;&gt;"H. Sale Real"),IF(I562-I559&lt;0.208333333333333,I562-I559,""),IF(AND(I558&lt;&gt;"",LEFT(C558,2)&lt;&gt;"Va",I558&lt;&gt;"H. Sale Real"),IF(I562-I558&lt;0.208333333333333,I562-I558,""),IF(AND(I557&lt;&gt;"",LEFT(C557,2)&lt;&gt;"Va",I557&lt;&gt;"H. Sale Real"),IF(I562-I557&lt;0.208333333333333,I562-I557,""),""))))),""),"")</f>
        <v/>
      </c>
      <c r="T561" s="129">
        <f>IF(G561&lt;&gt;"H. Sale Real",IF(AND(G562&lt;&gt;"",LEFT(C562,2)&lt;&gt;"Va"),IF(AND(G561&lt;&gt;"",LEFT(C561,2)&lt;&gt;"Va",G561&lt;&gt;"H. Sale Real"),IF(G562-G561&lt;0.208333333333333,G562-G561,""),IF(AND(G560&lt;&gt;"",LEFT(C560,2)&lt;&gt;"Va",G560&lt;&gt;"H. Sale Real"),IF(G562-G560&lt;0.208333333333333,G562-G560,""),IF(AND(G559&lt;&gt;"",LEFT(C559,2)&lt;&gt;"Va",G559&lt;&gt;"H. Sale Real"),IF(G562-G559&lt;0.208333333333333,G562-G559,""),IF(AND(G558&lt;&gt;"",LEFT(C558,2)&lt;&gt;"Va",G558&lt;&gt;"H. Sale Real"),IF(G562-G558&lt;0.208333333333333,G562-G558,""),IF(AND(G557&lt;&gt;"",LEFT(C557,2)&lt;&gt;"Va",G557&lt;&gt;"H. Sale Real"),IF(G562-G557&lt;0.208333333333333,G562-G557,""),""))))),""),"")</f>
        <v/>
      </c>
      <c r="FC561" t="inlineStr">
        <is>
          <t>Diccionario 1</t>
        </is>
      </c>
      <c r="FD561" s="15" t="inlineStr"/>
      <c r="FE561" s="17" t="inlineStr">
        <is>
          <t>LDYECS317S0044387</t>
        </is>
      </c>
      <c r="FF561" s="18" t="inlineStr">
        <is>
          <t>MDN35025010083</t>
        </is>
      </c>
      <c r="FG561" s="18" t="inlineStr">
        <is>
          <t>Zhong Thong</t>
        </is>
      </c>
      <c r="FH561" s="18" t="inlineStr">
        <is>
          <t>Lck6122evg</t>
        </is>
      </c>
      <c r="FI561" s="18" t="inlineStr">
        <is>
          <t>Zhong Thong</t>
        </is>
      </c>
      <c r="FJ561" s="18" t="inlineStr">
        <is>
          <t>Lck6122evg</t>
        </is>
      </c>
      <c r="FK561" s="18" t="n">
        <v>2026</v>
      </c>
      <c r="FL561" s="18" t="inlineStr">
        <is>
          <t>B</t>
        </is>
      </c>
      <c r="FM561" s="18" t="inlineStr">
        <is>
          <t>Ducaud</t>
        </is>
      </c>
      <c r="FP561" t="inlineStr">
        <is>
          <t>B</t>
        </is>
      </c>
      <c r="FS561" s="14" t="inlineStr">
        <is>
          <t>VJKT-63|</t>
        </is>
      </c>
      <c r="FT561" t="inlineStr">
        <is>
          <t>VJKT-63|</t>
        </is>
      </c>
      <c r="FU561" t="inlineStr">
        <is>
          <t>VJKT-63</t>
        </is>
      </c>
      <c r="FV561">
        <f>VLOOKUP(FU561,FD:FL,9,0)</f>
        <v/>
      </c>
      <c r="HA561" s="35" t="n">
        <v>106</v>
      </c>
      <c r="HB561" s="35" t="n">
        <v>555</v>
      </c>
    </row>
    <row r="562">
      <c r="J562" s="127">
        <f>IF(A562&lt;&gt;"",HLOOKUP(VALUE(TEXT(G562,"h:mm:ss")),IF($C$6="Laboral",$FZ$4:$GX$227,IF($C$6="Sábado",$FZ$231:$GX$452,$FZ$456:$GX$656)),VLOOKUP($C$4,$HF$2:$HH$99,3,0)+IF(C$5="Ida",0,1),1),"")</f>
        <v/>
      </c>
      <c r="K562" s="127">
        <f>IF(A563&lt;&gt;A562,AVERAGEIF(A$9:A562,A562,J$9:J562),"")</f>
        <v/>
      </c>
      <c r="L562" s="5">
        <f>IFERROR(IF(A563&lt;&gt;A562,AVERAGEIF(A$9:A562,A562,S$9:S562),""),"")</f>
        <v/>
      </c>
      <c r="M562" s="5">
        <f>IFERROR(IF(A563&lt;&gt;A562,AVERAGEIF(A$9:A562,A562,T$9:T562),""),"")</f>
        <v/>
      </c>
      <c r="N562" s="5">
        <f t="array" ref="N562">IFERROR(IF(A563&lt;&gt;A562,_xlfn.STDEV.P(IF(A$9:A562=A562,T$9:T562)),""),"")</f>
        <v/>
      </c>
      <c r="O562" s="5">
        <f t="array" ref="O562">IFERROR(IF(A563&lt;&gt;A562,_xlfn.STDEV.P(IF(A$9:A562=A562,S$9:S562)),""),"")</f>
        <v/>
      </c>
      <c r="P562" s="128">
        <f>IFERROR(IF(A562&lt;&gt;A563,MAX((((M562*24*60)/2)*(1+POWER((((N562*24*60) / (M562*24*60) )),2))) + ((M562*24*60 )*-0.1 + (K562*0.015)) +1,(((M562*24*60)/2)*(1+POWER((((N562*24*60) / (M562*24*60 ))),2)))),""),"")</f>
        <v/>
      </c>
      <c r="Q562" s="128">
        <f>IF(AND(O562&lt;&gt;"",L562&lt;&gt;""),IF(A562&lt;&gt;A563,((L562*24*60) / 2 ) * (1 + POWER(((O562*24*60) / (L562*24*60)),2)),""),"")</f>
        <v/>
      </c>
      <c r="R562" s="128">
        <f>IF(Q562&lt;&gt;"",MAX(P562,Q562),"")</f>
        <v/>
      </c>
      <c r="S562" s="129">
        <f>IF(I562&lt;&gt;"H. Sale Real",IF(AND(I563&lt;&gt;"",LEFT(C563,2)&lt;&gt;"Va"),IF(AND(I562&lt;&gt;"",LEFT(C562,2)&lt;&gt;"Va",I562&lt;&gt;"H. Sale Real"),IF(I563-I562&lt;0.208333333333333,I563-I562,""),IF(AND(I561&lt;&gt;"",LEFT(C561,2)&lt;&gt;"Va",I561&lt;&gt;"H. Sale Real"),IF(I563-I561&lt;0.208333333333333,I563-I561,""),IF(AND(I560&lt;&gt;"",LEFT(C560,2)&lt;&gt;"Va",I560&lt;&gt;"H. Sale Real"),IF(I563-I560&lt;0.208333333333333,I563-I560,""),IF(AND(I559&lt;&gt;"",LEFT(C559,2)&lt;&gt;"Va",I559&lt;&gt;"H. Sale Real"),IF(I563-I559&lt;0.208333333333333,I563-I559,""),IF(AND(I558&lt;&gt;"",LEFT(C558,2)&lt;&gt;"Va",I558&lt;&gt;"H. Sale Real"),IF(I563-I558&lt;0.208333333333333,I563-I558,""),""))))),""),"")</f>
        <v/>
      </c>
      <c r="T562" s="129">
        <f>IF(G562&lt;&gt;"H. Sale Real",IF(AND(G563&lt;&gt;"",LEFT(C563,2)&lt;&gt;"Va"),IF(AND(G562&lt;&gt;"",LEFT(C562,2)&lt;&gt;"Va",G562&lt;&gt;"H. Sale Real"),IF(G563-G562&lt;0.208333333333333,G563-G562,""),IF(AND(G561&lt;&gt;"",LEFT(C561,2)&lt;&gt;"Va",G561&lt;&gt;"H. Sale Real"),IF(G563-G561&lt;0.208333333333333,G563-G561,""),IF(AND(G560&lt;&gt;"",LEFT(C560,2)&lt;&gt;"Va",G560&lt;&gt;"H. Sale Real"),IF(G563-G560&lt;0.208333333333333,G563-G560,""),IF(AND(G559&lt;&gt;"",LEFT(C559,2)&lt;&gt;"Va",G559&lt;&gt;"H. Sale Real"),IF(G563-G559&lt;0.208333333333333,G563-G559,""),IF(AND(G558&lt;&gt;"",LEFT(C558,2)&lt;&gt;"Va",G558&lt;&gt;"H. Sale Real"),IF(G563-G558&lt;0.208333333333333,G563-G558,""),""))))),""),"")</f>
        <v/>
      </c>
      <c r="FC562" t="inlineStr">
        <is>
          <t>Diccionario 1</t>
        </is>
      </c>
      <c r="FD562" s="15" t="inlineStr"/>
      <c r="FE562" s="17" t="inlineStr">
        <is>
          <t>LDYECS314S0044315</t>
        </is>
      </c>
      <c r="FF562" s="18" t="inlineStr">
        <is>
          <t>MDN35025010082</t>
        </is>
      </c>
      <c r="FG562" s="18" t="inlineStr">
        <is>
          <t>Zhong Thong</t>
        </is>
      </c>
      <c r="FH562" s="18" t="inlineStr">
        <is>
          <t>Lck6122evg</t>
        </is>
      </c>
      <c r="FI562" s="18" t="inlineStr">
        <is>
          <t>Zhong Thong</t>
        </is>
      </c>
      <c r="FJ562" s="18" t="inlineStr">
        <is>
          <t>Lck6122evg</t>
        </is>
      </c>
      <c r="FK562" s="18" t="n">
        <v>2026</v>
      </c>
      <c r="FL562" s="18" t="inlineStr">
        <is>
          <t>B</t>
        </is>
      </c>
      <c r="FM562" s="18" t="inlineStr">
        <is>
          <t>Ducaud</t>
        </is>
      </c>
      <c r="FP562" t="inlineStr">
        <is>
          <t>B</t>
        </is>
      </c>
      <c r="FS562" s="14" t="inlineStr">
        <is>
          <t>LXWT-87|</t>
        </is>
      </c>
      <c r="FT562" t="inlineStr">
        <is>
          <t>LXWT-87|</t>
        </is>
      </c>
      <c r="FU562" t="inlineStr">
        <is>
          <t>LXWT-87</t>
        </is>
      </c>
      <c r="FV562">
        <f>VLOOKUP(FU562,FD:FL,9,0)</f>
        <v/>
      </c>
      <c r="HA562" s="35" t="n">
        <v>107</v>
      </c>
      <c r="HB562" s="35" t="n">
        <v>556</v>
      </c>
    </row>
    <row r="563">
      <c r="J563" s="127">
        <f>IF(A563&lt;&gt;"",HLOOKUP(VALUE(TEXT(G563,"h:mm:ss")),IF($C$6="Laboral",$FZ$4:$GX$227,IF($C$6="Sábado",$FZ$231:$GX$452,$FZ$456:$GX$656)),VLOOKUP($C$4,$HF$2:$HH$99,3,0)+IF(C$5="Ida",0,1),1),"")</f>
        <v/>
      </c>
      <c r="K563" s="127">
        <f>IF(A564&lt;&gt;A563,AVERAGEIF(A$9:A563,A563,J$9:J563),"")</f>
        <v/>
      </c>
      <c r="L563" s="5">
        <f>IFERROR(IF(A564&lt;&gt;A563,AVERAGEIF(A$9:A563,A563,S$9:S563),""),"")</f>
        <v/>
      </c>
      <c r="M563" s="5">
        <f>IFERROR(IF(A564&lt;&gt;A563,AVERAGEIF(A$9:A563,A563,T$9:T563),""),"")</f>
        <v/>
      </c>
      <c r="N563" s="5">
        <f t="array" ref="N563">IFERROR(IF(A564&lt;&gt;A563,_xlfn.STDEV.P(IF(A$9:A563=A563,T$9:T563)),""),"")</f>
        <v/>
      </c>
      <c r="O563" s="5">
        <f t="array" ref="O563">IFERROR(IF(A564&lt;&gt;A563,_xlfn.STDEV.P(IF(A$9:A563=A563,S$9:S563)),""),"")</f>
        <v/>
      </c>
      <c r="P563" s="128">
        <f>IFERROR(IF(A563&lt;&gt;A564,MAX((((M563*24*60)/2)*(1+POWER((((N563*24*60) / (M563*24*60) )),2))) + ((M563*24*60 )*-0.1 + (K563*0.015)) +1,(((M563*24*60)/2)*(1+POWER((((N563*24*60) / (M563*24*60 ))),2)))),""),"")</f>
        <v/>
      </c>
      <c r="Q563" s="128">
        <f>IF(AND(O563&lt;&gt;"",L563&lt;&gt;""),IF(A563&lt;&gt;A564,((L563*24*60) / 2 ) * (1 + POWER(((O563*24*60) / (L563*24*60)),2)),""),"")</f>
        <v/>
      </c>
      <c r="R563" s="128">
        <f>IF(Q563&lt;&gt;"",MAX(P563,Q563),"")</f>
        <v/>
      </c>
      <c r="S563" s="129">
        <f>IF(I563&lt;&gt;"H. Sale Real",IF(AND(I564&lt;&gt;"",LEFT(C564,2)&lt;&gt;"Va"),IF(AND(I563&lt;&gt;"",LEFT(C563,2)&lt;&gt;"Va",I563&lt;&gt;"H. Sale Real"),IF(I564-I563&lt;0.208333333333333,I564-I563,""),IF(AND(I562&lt;&gt;"",LEFT(C562,2)&lt;&gt;"Va",I562&lt;&gt;"H. Sale Real"),IF(I564-I562&lt;0.208333333333333,I564-I562,""),IF(AND(I561&lt;&gt;"",LEFT(C561,2)&lt;&gt;"Va",I561&lt;&gt;"H. Sale Real"),IF(I564-I561&lt;0.208333333333333,I564-I561,""),IF(AND(I560&lt;&gt;"",LEFT(C560,2)&lt;&gt;"Va",I560&lt;&gt;"H. Sale Real"),IF(I564-I560&lt;0.208333333333333,I564-I560,""),IF(AND(I559&lt;&gt;"",LEFT(C559,2)&lt;&gt;"Va",I559&lt;&gt;"H. Sale Real"),IF(I564-I559&lt;0.208333333333333,I564-I559,""),""))))),""),"")</f>
        <v/>
      </c>
      <c r="T563" s="129">
        <f>IF(G563&lt;&gt;"H. Sale Real",IF(AND(G564&lt;&gt;"",LEFT(C564,2)&lt;&gt;"Va"),IF(AND(G563&lt;&gt;"",LEFT(C563,2)&lt;&gt;"Va",G563&lt;&gt;"H. Sale Real"),IF(G564-G563&lt;0.208333333333333,G564-G563,""),IF(AND(G562&lt;&gt;"",LEFT(C562,2)&lt;&gt;"Va",G562&lt;&gt;"H. Sale Real"),IF(G564-G562&lt;0.208333333333333,G564-G562,""),IF(AND(G561&lt;&gt;"",LEFT(C561,2)&lt;&gt;"Va",G561&lt;&gt;"H. Sale Real"),IF(G564-G561&lt;0.208333333333333,G564-G561,""),IF(AND(G560&lt;&gt;"",LEFT(C560,2)&lt;&gt;"Va",G560&lt;&gt;"H. Sale Real"),IF(G564-G560&lt;0.208333333333333,G564-G560,""),IF(AND(G559&lt;&gt;"",LEFT(C559,2)&lt;&gt;"Va",G559&lt;&gt;"H. Sale Real"),IF(G564-G559&lt;0.208333333333333,G564-G559,""),""))))),""),"")</f>
        <v/>
      </c>
      <c r="FC563" t="inlineStr">
        <is>
          <t>Diccionario 1</t>
        </is>
      </c>
      <c r="FD563" s="15" t="inlineStr"/>
      <c r="FE563" s="17" t="inlineStr">
        <is>
          <t>LDYECS312S0044393</t>
        </is>
      </c>
      <c r="FF563" s="18" t="inlineStr">
        <is>
          <t>MDN35025030149</t>
        </is>
      </c>
      <c r="FG563" s="18" t="inlineStr">
        <is>
          <t>Zhong Thong</t>
        </is>
      </c>
      <c r="FH563" s="18" t="inlineStr">
        <is>
          <t>Lck6122evg</t>
        </is>
      </c>
      <c r="FI563" s="18" t="inlineStr">
        <is>
          <t>Zhong Thong</t>
        </is>
      </c>
      <c r="FJ563" s="18" t="inlineStr">
        <is>
          <t>Lck6122evg</t>
        </is>
      </c>
      <c r="FK563" s="18" t="n">
        <v>2026</v>
      </c>
      <c r="FL563" s="18" t="inlineStr">
        <is>
          <t>B</t>
        </is>
      </c>
      <c r="FM563" s="18" t="inlineStr">
        <is>
          <t>Ducaud</t>
        </is>
      </c>
      <c r="FP563" t="inlineStr">
        <is>
          <t>B</t>
        </is>
      </c>
      <c r="FS563" s="14" t="inlineStr">
        <is>
          <t>LZPS-24|</t>
        </is>
      </c>
      <c r="FT563" t="inlineStr">
        <is>
          <t>LZPS-24|</t>
        </is>
      </c>
      <c r="FU563" t="inlineStr">
        <is>
          <t>LZPS-24</t>
        </is>
      </c>
      <c r="FV563">
        <f>VLOOKUP(FU563,FD:FL,9,0)</f>
        <v/>
      </c>
      <c r="HA563" s="35" t="n">
        <v>108</v>
      </c>
      <c r="HB563" s="35" t="n">
        <v>557</v>
      </c>
    </row>
    <row r="564">
      <c r="J564" s="127">
        <f>IF(A564&lt;&gt;"",HLOOKUP(VALUE(TEXT(G564,"h:mm:ss")),IF($C$6="Laboral",$FZ$4:$GX$227,IF($C$6="Sábado",$FZ$231:$GX$452,$FZ$456:$GX$656)),VLOOKUP($C$4,$HF$2:$HH$99,3,0)+IF(C$5="Ida",0,1),1),"")</f>
        <v/>
      </c>
      <c r="K564" s="127">
        <f>IF(A565&lt;&gt;A564,AVERAGEIF(A$9:A564,A564,J$9:J564),"")</f>
        <v/>
      </c>
      <c r="L564" s="5">
        <f>IFERROR(IF(A565&lt;&gt;A564,AVERAGEIF(A$9:A564,A564,S$9:S564),""),"")</f>
        <v/>
      </c>
      <c r="M564" s="5">
        <f>IFERROR(IF(A565&lt;&gt;A564,AVERAGEIF(A$9:A564,A564,T$9:T564),""),"")</f>
        <v/>
      </c>
      <c r="N564" s="5">
        <f t="array" ref="N564">IFERROR(IF(A565&lt;&gt;A564,_xlfn.STDEV.P(IF(A$9:A564=A564,T$9:T564)),""),"")</f>
        <v/>
      </c>
      <c r="O564" s="5">
        <f t="array" ref="O564">IFERROR(IF(A565&lt;&gt;A564,_xlfn.STDEV.P(IF(A$9:A564=A564,S$9:S564)),""),"")</f>
        <v/>
      </c>
      <c r="P564" s="128">
        <f>IFERROR(IF(A564&lt;&gt;A565,MAX((((M564*24*60)/2)*(1+POWER((((N564*24*60) / (M564*24*60) )),2))) + ((M564*24*60 )*-0.1 + (K564*0.015)) +1,(((M564*24*60)/2)*(1+POWER((((N564*24*60) / (M564*24*60 ))),2)))),""),"")</f>
        <v/>
      </c>
      <c r="Q564" s="128">
        <f>IF(AND(O564&lt;&gt;"",L564&lt;&gt;""),IF(A564&lt;&gt;A565,((L564*24*60) / 2 ) * (1 + POWER(((O564*24*60) / (L564*24*60)),2)),""),"")</f>
        <v/>
      </c>
      <c r="R564" s="128">
        <f>IF(Q564&lt;&gt;"",MAX(P564,Q564),"")</f>
        <v/>
      </c>
      <c r="S564" s="129">
        <f>IF(I564&lt;&gt;"H. Sale Real",IF(AND(I565&lt;&gt;"",LEFT(C565,2)&lt;&gt;"Va"),IF(AND(I564&lt;&gt;"",LEFT(C564,2)&lt;&gt;"Va",I564&lt;&gt;"H. Sale Real"),IF(I565-I564&lt;0.208333333333333,I565-I564,""),IF(AND(I563&lt;&gt;"",LEFT(C563,2)&lt;&gt;"Va",I563&lt;&gt;"H. Sale Real"),IF(I565-I563&lt;0.208333333333333,I565-I563,""),IF(AND(I562&lt;&gt;"",LEFT(C562,2)&lt;&gt;"Va",I562&lt;&gt;"H. Sale Real"),IF(I565-I562&lt;0.208333333333333,I565-I562,""),IF(AND(I561&lt;&gt;"",LEFT(C561,2)&lt;&gt;"Va",I561&lt;&gt;"H. Sale Real"),IF(I565-I561&lt;0.208333333333333,I565-I561,""),IF(AND(I560&lt;&gt;"",LEFT(C560,2)&lt;&gt;"Va",I560&lt;&gt;"H. Sale Real"),IF(I565-I560&lt;0.208333333333333,I565-I560,""),""))))),""),"")</f>
        <v/>
      </c>
      <c r="T564" s="129">
        <f>IF(G564&lt;&gt;"H. Sale Real",IF(AND(G565&lt;&gt;"",LEFT(C565,2)&lt;&gt;"Va"),IF(AND(G564&lt;&gt;"",LEFT(C564,2)&lt;&gt;"Va",G564&lt;&gt;"H. Sale Real"),IF(G565-G564&lt;0.208333333333333,G565-G564,""),IF(AND(G563&lt;&gt;"",LEFT(C563,2)&lt;&gt;"Va",G563&lt;&gt;"H. Sale Real"),IF(G565-G563&lt;0.208333333333333,G565-G563,""),IF(AND(G562&lt;&gt;"",LEFT(C562,2)&lt;&gt;"Va",G562&lt;&gt;"H. Sale Real"),IF(G565-G562&lt;0.208333333333333,G565-G562,""),IF(AND(G561&lt;&gt;"",LEFT(C561,2)&lt;&gt;"Va",G561&lt;&gt;"H. Sale Real"),IF(G565-G561&lt;0.208333333333333,G565-G561,""),IF(AND(G560&lt;&gt;"",LEFT(C560,2)&lt;&gt;"Va",G560&lt;&gt;"H. Sale Real"),IF(G565-G560&lt;0.208333333333333,G565-G560,""),""))))),""),"")</f>
        <v/>
      </c>
      <c r="FC564" t="inlineStr">
        <is>
          <t>Diccionario 1</t>
        </is>
      </c>
      <c r="FD564" s="15" t="inlineStr"/>
      <c r="FE564" s="17" t="inlineStr">
        <is>
          <t>MDYECS315S0044386</t>
        </is>
      </c>
      <c r="FF564" s="18" t="inlineStr">
        <is>
          <t>MDN35025010084</t>
        </is>
      </c>
      <c r="FG564" s="18" t="inlineStr">
        <is>
          <t>Zhong Thong</t>
        </is>
      </c>
      <c r="FH564" s="18" t="inlineStr">
        <is>
          <t>Lck6122evg</t>
        </is>
      </c>
      <c r="FI564" s="18" t="inlineStr">
        <is>
          <t>Zhong Thong</t>
        </is>
      </c>
      <c r="FJ564" s="18" t="inlineStr">
        <is>
          <t>Lck6122evg</t>
        </is>
      </c>
      <c r="FK564" s="18" t="n">
        <v>2026</v>
      </c>
      <c r="FL564" s="18" t="inlineStr">
        <is>
          <t>B</t>
        </is>
      </c>
      <c r="FM564" s="18" t="inlineStr">
        <is>
          <t>Ducaud</t>
        </is>
      </c>
      <c r="FP564" t="inlineStr">
        <is>
          <t>B</t>
        </is>
      </c>
      <c r="FS564" s="14" t="inlineStr">
        <is>
          <t>LZPR-78|</t>
        </is>
      </c>
      <c r="FT564" t="inlineStr">
        <is>
          <t>LZPR-78|</t>
        </is>
      </c>
      <c r="FU564" t="inlineStr">
        <is>
          <t>LZPR-78</t>
        </is>
      </c>
      <c r="FV564">
        <f>VLOOKUP(FU564,FD:FL,9,0)</f>
        <v/>
      </c>
      <c r="HA564" s="35" t="n">
        <v>109</v>
      </c>
      <c r="HB564" s="35" t="n">
        <v>558</v>
      </c>
    </row>
    <row r="565">
      <c r="J565" s="127">
        <f>IF(A565&lt;&gt;"",HLOOKUP(VALUE(TEXT(G565,"h:mm:ss")),IF($C$6="Laboral",$FZ$4:$GX$227,IF($C$6="Sábado",$FZ$231:$GX$452,$FZ$456:$GX$656)),VLOOKUP($C$4,$HF$2:$HH$99,3,0)+IF(C$5="Ida",0,1),1),"")</f>
        <v/>
      </c>
      <c r="K565" s="127">
        <f>IF(A566&lt;&gt;A565,AVERAGEIF(A$9:A565,A565,J$9:J565),"")</f>
        <v/>
      </c>
      <c r="L565" s="5">
        <f>IFERROR(IF(A566&lt;&gt;A565,AVERAGEIF(A$9:A565,A565,S$9:S565),""),"")</f>
        <v/>
      </c>
      <c r="M565" s="5">
        <f>IFERROR(IF(A566&lt;&gt;A565,AVERAGEIF(A$9:A565,A565,T$9:T565),""),"")</f>
        <v/>
      </c>
      <c r="N565" s="5">
        <f t="array" ref="N565">IFERROR(IF(A566&lt;&gt;A565,_xlfn.STDEV.P(IF(A$9:A565=A565,T$9:T565)),""),"")</f>
        <v/>
      </c>
      <c r="O565" s="5">
        <f t="array" ref="O565">IFERROR(IF(A566&lt;&gt;A565,_xlfn.STDEV.P(IF(A$9:A565=A565,S$9:S565)),""),"")</f>
        <v/>
      </c>
      <c r="P565" s="128">
        <f>IFERROR(IF(A565&lt;&gt;A566,MAX((((M565*24*60)/2)*(1+POWER((((N565*24*60) / (M565*24*60) )),2))) + ((M565*24*60 )*-0.1 + (K565*0.015)) +1,(((M565*24*60)/2)*(1+POWER((((N565*24*60) / (M565*24*60 ))),2)))),""),"")</f>
        <v/>
      </c>
      <c r="Q565" s="128">
        <f>IF(AND(O565&lt;&gt;"",L565&lt;&gt;""),IF(A565&lt;&gt;A566,((L565*24*60) / 2 ) * (1 + POWER(((O565*24*60) / (L565*24*60)),2)),""),"")</f>
        <v/>
      </c>
      <c r="R565" s="128">
        <f>IF(Q565&lt;&gt;"",MAX(P565,Q565),"")</f>
        <v/>
      </c>
      <c r="S565" s="129">
        <f>IF(I565&lt;&gt;"H. Sale Real",IF(AND(I566&lt;&gt;"",LEFT(C566,2)&lt;&gt;"Va"),IF(AND(I565&lt;&gt;"",LEFT(C565,2)&lt;&gt;"Va",I565&lt;&gt;"H. Sale Real"),IF(I566-I565&lt;0.208333333333333,I566-I565,""),IF(AND(I564&lt;&gt;"",LEFT(C564,2)&lt;&gt;"Va",I564&lt;&gt;"H. Sale Real"),IF(I566-I564&lt;0.208333333333333,I566-I564,""),IF(AND(I563&lt;&gt;"",LEFT(C563,2)&lt;&gt;"Va",I563&lt;&gt;"H. Sale Real"),IF(I566-I563&lt;0.208333333333333,I566-I563,""),IF(AND(I562&lt;&gt;"",LEFT(C562,2)&lt;&gt;"Va",I562&lt;&gt;"H. Sale Real"),IF(I566-I562&lt;0.208333333333333,I566-I562,""),IF(AND(I561&lt;&gt;"",LEFT(C561,2)&lt;&gt;"Va",I561&lt;&gt;"H. Sale Real"),IF(I566-I561&lt;0.208333333333333,I566-I561,""),""))))),""),"")</f>
        <v/>
      </c>
      <c r="T565" s="129">
        <f>IF(G565&lt;&gt;"H. Sale Real",IF(AND(G566&lt;&gt;"",LEFT(C566,2)&lt;&gt;"Va"),IF(AND(G565&lt;&gt;"",LEFT(C565,2)&lt;&gt;"Va",G565&lt;&gt;"H. Sale Real"),IF(G566-G565&lt;0.208333333333333,G566-G565,""),IF(AND(G564&lt;&gt;"",LEFT(C564,2)&lt;&gt;"Va",G564&lt;&gt;"H. Sale Real"),IF(G566-G564&lt;0.208333333333333,G566-G564,""),IF(AND(G563&lt;&gt;"",LEFT(C563,2)&lt;&gt;"Va",G563&lt;&gt;"H. Sale Real"),IF(G566-G563&lt;0.208333333333333,G566-G563,""),IF(AND(G562&lt;&gt;"",LEFT(C562,2)&lt;&gt;"Va",G562&lt;&gt;"H. Sale Real"),IF(G566-G562&lt;0.208333333333333,G566-G562,""),IF(AND(G561&lt;&gt;"",LEFT(C561,2)&lt;&gt;"Va",G561&lt;&gt;"H. Sale Real"),IF(G566-G561&lt;0.208333333333333,G566-G561,""),""))))),""),"")</f>
        <v/>
      </c>
      <c r="FC565" t="inlineStr">
        <is>
          <t>Diccionario 1</t>
        </is>
      </c>
      <c r="FD565" s="15" t="inlineStr"/>
      <c r="FE565" s="17" t="inlineStr">
        <is>
          <t>LDYECS318S0044320</t>
        </is>
      </c>
      <c r="FF565" s="18" t="inlineStr">
        <is>
          <t>MDN35025010160</t>
        </is>
      </c>
      <c r="FG565" s="18" t="inlineStr">
        <is>
          <t>Zhong Thong</t>
        </is>
      </c>
      <c r="FH565" s="18" t="inlineStr">
        <is>
          <t>Lck6122evg</t>
        </is>
      </c>
      <c r="FI565" s="18" t="inlineStr">
        <is>
          <t>Zhong Thong</t>
        </is>
      </c>
      <c r="FJ565" s="18" t="inlineStr">
        <is>
          <t>Lck6122evg</t>
        </is>
      </c>
      <c r="FK565" s="18" t="n">
        <v>2026</v>
      </c>
      <c r="FL565" s="18" t="inlineStr">
        <is>
          <t>B</t>
        </is>
      </c>
      <c r="FM565" s="18" t="inlineStr">
        <is>
          <t>Ducaud</t>
        </is>
      </c>
      <c r="FP565" t="inlineStr">
        <is>
          <t>B</t>
        </is>
      </c>
      <c r="FS565" s="14" t="inlineStr">
        <is>
          <t>LZPT-44|</t>
        </is>
      </c>
      <c r="FT565" t="inlineStr">
        <is>
          <t>LZPT-44|</t>
        </is>
      </c>
      <c r="FU565" t="inlineStr">
        <is>
          <t>LZPT-44</t>
        </is>
      </c>
      <c r="FV565">
        <f>VLOOKUP(FU565,FD:FL,9,0)</f>
        <v/>
      </c>
      <c r="HA565" s="35" t="n">
        <v>110</v>
      </c>
      <c r="HB565" s="35" t="n">
        <v>559</v>
      </c>
    </row>
    <row r="566">
      <c r="J566" s="127">
        <f>IF(A566&lt;&gt;"",HLOOKUP(VALUE(TEXT(G566,"h:mm:ss")),IF($C$6="Laboral",$FZ$4:$GX$227,IF($C$6="Sábado",$FZ$231:$GX$452,$FZ$456:$GX$656)),VLOOKUP($C$4,$HF$2:$HH$99,3,0)+IF(C$5="Ida",0,1),1),"")</f>
        <v/>
      </c>
      <c r="K566" s="127">
        <f>IF(A567&lt;&gt;A566,AVERAGEIF(A$9:A566,A566,J$9:J566),"")</f>
        <v/>
      </c>
      <c r="L566" s="5">
        <f>IFERROR(IF(A567&lt;&gt;A566,AVERAGEIF(A$9:A566,A566,S$9:S566),""),"")</f>
        <v/>
      </c>
      <c r="M566" s="5">
        <f>IFERROR(IF(A567&lt;&gt;A566,AVERAGEIF(A$9:A566,A566,T$9:T566),""),"")</f>
        <v/>
      </c>
      <c r="N566" s="5">
        <f t="array" ref="N566">IFERROR(IF(A567&lt;&gt;A566,_xlfn.STDEV.P(IF(A$9:A566=A566,T$9:T566)),""),"")</f>
        <v/>
      </c>
      <c r="O566" s="5">
        <f t="array" ref="O566">IFERROR(IF(A567&lt;&gt;A566,_xlfn.STDEV.P(IF(A$9:A566=A566,S$9:S566)),""),"")</f>
        <v/>
      </c>
      <c r="P566" s="128">
        <f>IFERROR(IF(A566&lt;&gt;A567,MAX((((M566*24*60)/2)*(1+POWER((((N566*24*60) / (M566*24*60) )),2))) + ((M566*24*60 )*-0.1 + (K566*0.015)) +1,(((M566*24*60)/2)*(1+POWER((((N566*24*60) / (M566*24*60 ))),2)))),""),"")</f>
        <v/>
      </c>
      <c r="Q566" s="128">
        <f>IF(AND(O566&lt;&gt;"",L566&lt;&gt;""),IF(A566&lt;&gt;A567,((L566*24*60) / 2 ) * (1 + POWER(((O566*24*60) / (L566*24*60)),2)),""),"")</f>
        <v/>
      </c>
      <c r="R566" s="128">
        <f>IF(Q566&lt;&gt;"",MAX(P566,Q566),"")</f>
        <v/>
      </c>
      <c r="S566" s="129">
        <f>IF(I566&lt;&gt;"H. Sale Real",IF(AND(I567&lt;&gt;"",LEFT(C567,2)&lt;&gt;"Va"),IF(AND(I566&lt;&gt;"",LEFT(C566,2)&lt;&gt;"Va",I566&lt;&gt;"H. Sale Real"),IF(I567-I566&lt;0.208333333333333,I567-I566,""),IF(AND(I565&lt;&gt;"",LEFT(C565,2)&lt;&gt;"Va",I565&lt;&gt;"H. Sale Real"),IF(I567-I565&lt;0.208333333333333,I567-I565,""),IF(AND(I564&lt;&gt;"",LEFT(C564,2)&lt;&gt;"Va",I564&lt;&gt;"H. Sale Real"),IF(I567-I564&lt;0.208333333333333,I567-I564,""),IF(AND(I563&lt;&gt;"",LEFT(C563,2)&lt;&gt;"Va",I563&lt;&gt;"H. Sale Real"),IF(I567-I563&lt;0.208333333333333,I567-I563,""),IF(AND(I562&lt;&gt;"",LEFT(C562,2)&lt;&gt;"Va",I562&lt;&gt;"H. Sale Real"),IF(I567-I562&lt;0.208333333333333,I567-I562,""),""))))),""),"")</f>
        <v/>
      </c>
      <c r="T566" s="129">
        <f>IF(G566&lt;&gt;"H. Sale Real",IF(AND(G567&lt;&gt;"",LEFT(C567,2)&lt;&gt;"Va"),IF(AND(G566&lt;&gt;"",LEFT(C566,2)&lt;&gt;"Va",G566&lt;&gt;"H. Sale Real"),IF(G567-G566&lt;0.208333333333333,G567-G566,""),IF(AND(G565&lt;&gt;"",LEFT(C565,2)&lt;&gt;"Va",G565&lt;&gt;"H. Sale Real"),IF(G567-G565&lt;0.208333333333333,G567-G565,""),IF(AND(G564&lt;&gt;"",LEFT(C564,2)&lt;&gt;"Va",G564&lt;&gt;"H. Sale Real"),IF(G567-G564&lt;0.208333333333333,G567-G564,""),IF(AND(G563&lt;&gt;"",LEFT(C563,2)&lt;&gt;"Va",G563&lt;&gt;"H. Sale Real"),IF(G567-G563&lt;0.208333333333333,G567-G563,""),IF(AND(G562&lt;&gt;"",LEFT(C562,2)&lt;&gt;"Va",G562&lt;&gt;"H. Sale Real"),IF(G567-G562&lt;0.208333333333333,G567-G562,""),""))))),""),"")</f>
        <v/>
      </c>
      <c r="FC566" t="inlineStr">
        <is>
          <t>Diccionario 1</t>
        </is>
      </c>
      <c r="FD566" s="15" t="inlineStr"/>
      <c r="FE566" s="17" t="inlineStr">
        <is>
          <t>LDYECS316S0044395</t>
        </is>
      </c>
      <c r="FF566" s="18" t="inlineStr">
        <is>
          <t>MDN35025010172</t>
        </is>
      </c>
      <c r="FG566" s="18" t="inlineStr">
        <is>
          <t>Zhong Thong</t>
        </is>
      </c>
      <c r="FH566" s="18" t="inlineStr">
        <is>
          <t>Lck6122evg</t>
        </is>
      </c>
      <c r="FI566" s="18" t="inlineStr">
        <is>
          <t>Zhong Thong</t>
        </is>
      </c>
      <c r="FJ566" s="18" t="inlineStr">
        <is>
          <t>Lck6122evg</t>
        </is>
      </c>
      <c r="FK566" s="18" t="n">
        <v>2026</v>
      </c>
      <c r="FL566" s="18" t="inlineStr">
        <is>
          <t>B</t>
        </is>
      </c>
      <c r="FM566" s="18" t="inlineStr">
        <is>
          <t>Ducaud</t>
        </is>
      </c>
      <c r="FP566" t="inlineStr">
        <is>
          <t>B</t>
        </is>
      </c>
      <c r="FS566" s="14" t="inlineStr">
        <is>
          <t>GCBF-47|</t>
        </is>
      </c>
      <c r="FT566" t="inlineStr">
        <is>
          <t>GCBF-47|</t>
        </is>
      </c>
      <c r="FU566" t="inlineStr">
        <is>
          <t>GCBF-47</t>
        </is>
      </c>
      <c r="FV566">
        <f>VLOOKUP(FU566,FD:FL,9,0)</f>
        <v/>
      </c>
      <c r="HA566" s="35" t="n">
        <v>111</v>
      </c>
      <c r="HB566" s="35" t="n">
        <v>560</v>
      </c>
    </row>
    <row r="567">
      <c r="J567" s="127">
        <f>IF(A567&lt;&gt;"",HLOOKUP(VALUE(TEXT(G567,"h:mm:ss")),IF($C$6="Laboral",$FZ$4:$GX$227,IF($C$6="Sábado",$FZ$231:$GX$452,$FZ$456:$GX$656)),VLOOKUP($C$4,$HF$2:$HH$99,3,0)+IF(C$5="Ida",0,1),1),"")</f>
        <v/>
      </c>
      <c r="K567" s="127">
        <f>IF(A568&lt;&gt;A567,AVERAGEIF(A$9:A567,A567,J$9:J567),"")</f>
        <v/>
      </c>
      <c r="L567" s="5">
        <f>IFERROR(IF(A568&lt;&gt;A567,AVERAGEIF(A$9:A567,A567,S$9:S567),""),"")</f>
        <v/>
      </c>
      <c r="M567" s="5">
        <f>IFERROR(IF(A568&lt;&gt;A567,AVERAGEIF(A$9:A567,A567,T$9:T567),""),"")</f>
        <v/>
      </c>
      <c r="N567" s="5">
        <f t="array" ref="N567">IFERROR(IF(A568&lt;&gt;A567,_xlfn.STDEV.P(IF(A$9:A567=A567,T$9:T567)),""),"")</f>
        <v/>
      </c>
      <c r="O567" s="5">
        <f t="array" ref="O567">IFERROR(IF(A568&lt;&gt;A567,_xlfn.STDEV.P(IF(A$9:A567=A567,S$9:S567)),""),"")</f>
        <v/>
      </c>
      <c r="P567" s="128">
        <f>IFERROR(IF(A567&lt;&gt;A568,MAX((((M567*24*60)/2)*(1+POWER((((N567*24*60) / (M567*24*60) )),2))) + ((M567*24*60 )*-0.1 + (K567*0.015)) +1,(((M567*24*60)/2)*(1+POWER((((N567*24*60) / (M567*24*60 ))),2)))),""),"")</f>
        <v/>
      </c>
      <c r="Q567" s="128">
        <f>IF(AND(O567&lt;&gt;"",L567&lt;&gt;""),IF(A567&lt;&gt;A568,((L567*24*60) / 2 ) * (1 + POWER(((O567*24*60) / (L567*24*60)),2)),""),"")</f>
        <v/>
      </c>
      <c r="R567" s="128">
        <f>IF(Q567&lt;&gt;"",MAX(P567,Q567),"")</f>
        <v/>
      </c>
      <c r="S567" s="129">
        <f>IF(I567&lt;&gt;"H. Sale Real",IF(AND(I568&lt;&gt;"",LEFT(C568,2)&lt;&gt;"Va"),IF(AND(I567&lt;&gt;"",LEFT(C567,2)&lt;&gt;"Va",I567&lt;&gt;"H. Sale Real"),IF(I568-I567&lt;0.208333333333333,I568-I567,""),IF(AND(I566&lt;&gt;"",LEFT(C566,2)&lt;&gt;"Va",I566&lt;&gt;"H. Sale Real"),IF(I568-I566&lt;0.208333333333333,I568-I566,""),IF(AND(I565&lt;&gt;"",LEFT(C565,2)&lt;&gt;"Va",I565&lt;&gt;"H. Sale Real"),IF(I568-I565&lt;0.208333333333333,I568-I565,""),IF(AND(I564&lt;&gt;"",LEFT(C564,2)&lt;&gt;"Va",I564&lt;&gt;"H. Sale Real"),IF(I568-I564&lt;0.208333333333333,I568-I564,""),IF(AND(I563&lt;&gt;"",LEFT(C563,2)&lt;&gt;"Va",I563&lt;&gt;"H. Sale Real"),IF(I568-I563&lt;0.208333333333333,I568-I563,""),""))))),""),"")</f>
        <v/>
      </c>
      <c r="T567" s="129">
        <f>IF(G567&lt;&gt;"H. Sale Real",IF(AND(G568&lt;&gt;"",LEFT(C568,2)&lt;&gt;"Va"),IF(AND(G567&lt;&gt;"",LEFT(C567,2)&lt;&gt;"Va",G567&lt;&gt;"H. Sale Real"),IF(G568-G567&lt;0.208333333333333,G568-G567,""),IF(AND(G566&lt;&gt;"",LEFT(C566,2)&lt;&gt;"Va",G566&lt;&gt;"H. Sale Real"),IF(G568-G566&lt;0.208333333333333,G568-G566,""),IF(AND(G565&lt;&gt;"",LEFT(C565,2)&lt;&gt;"Va",G565&lt;&gt;"H. Sale Real"),IF(G568-G565&lt;0.208333333333333,G568-G565,""),IF(AND(G564&lt;&gt;"",LEFT(C564,2)&lt;&gt;"Va",G564&lt;&gt;"H. Sale Real"),IF(G568-G564&lt;0.208333333333333,G568-G564,""),IF(AND(G563&lt;&gt;"",LEFT(C563,2)&lt;&gt;"Va",G563&lt;&gt;"H. Sale Real"),IF(G568-G563&lt;0.208333333333333,G568-G563,""),""))))),""),"")</f>
        <v/>
      </c>
      <c r="FC567" t="inlineStr">
        <is>
          <t>Diccionario 1</t>
        </is>
      </c>
      <c r="FD567" s="15" t="inlineStr"/>
      <c r="FE567" s="17" t="inlineStr">
        <is>
          <t>LDYECS314S0044329</t>
        </is>
      </c>
      <c r="FF567" s="18" t="inlineStr">
        <is>
          <t>MDN35025010145</t>
        </is>
      </c>
      <c r="FG567" s="18" t="inlineStr">
        <is>
          <t>Zhong Thong</t>
        </is>
      </c>
      <c r="FH567" s="18" t="inlineStr">
        <is>
          <t>Lck6122evg</t>
        </is>
      </c>
      <c r="FI567" s="18" t="inlineStr">
        <is>
          <t>Zhong Thong</t>
        </is>
      </c>
      <c r="FJ567" s="18" t="inlineStr">
        <is>
          <t>Lck6122evg</t>
        </is>
      </c>
      <c r="FK567" s="18" t="n">
        <v>2026</v>
      </c>
      <c r="FL567" s="18" t="inlineStr">
        <is>
          <t>B</t>
        </is>
      </c>
      <c r="FM567" s="18" t="inlineStr">
        <is>
          <t>Ducaud</t>
        </is>
      </c>
      <c r="FP567" t="inlineStr">
        <is>
          <t>B</t>
        </is>
      </c>
      <c r="FS567" s="14" t="inlineStr">
        <is>
          <t>LZPW-14|</t>
        </is>
      </c>
      <c r="FT567" t="inlineStr">
        <is>
          <t>LZPW-14|</t>
        </is>
      </c>
      <c r="FU567" t="inlineStr">
        <is>
          <t>LZPW-14</t>
        </is>
      </c>
      <c r="FV567">
        <f>VLOOKUP(FU567,FD:FL,9,0)</f>
        <v/>
      </c>
      <c r="HA567" s="35" t="n">
        <v>112</v>
      </c>
      <c r="HB567" s="35" t="n">
        <v>561</v>
      </c>
    </row>
    <row r="568">
      <c r="J568" s="127">
        <f>IF(A568&lt;&gt;"",HLOOKUP(VALUE(TEXT(G568,"h:mm:ss")),IF($C$6="Laboral",$FZ$4:$GX$227,IF($C$6="Sábado",$FZ$231:$GX$452,$FZ$456:$GX$656)),VLOOKUP($C$4,$HF$2:$HH$99,3,0)+IF(C$5="Ida",0,1),1),"")</f>
        <v/>
      </c>
      <c r="K568" s="127">
        <f>IF(A569&lt;&gt;A568,AVERAGEIF(A$9:A568,A568,J$9:J568),"")</f>
        <v/>
      </c>
      <c r="L568" s="5">
        <f>IFERROR(IF(A569&lt;&gt;A568,AVERAGEIF(A$9:A568,A568,S$9:S568),""),"")</f>
        <v/>
      </c>
      <c r="M568" s="5">
        <f>IFERROR(IF(A569&lt;&gt;A568,AVERAGEIF(A$9:A568,A568,T$9:T568),""),"")</f>
        <v/>
      </c>
      <c r="N568" s="5">
        <f t="array" ref="N568">IFERROR(IF(A569&lt;&gt;A568,_xlfn.STDEV.P(IF(A$9:A568=A568,T$9:T568)),""),"")</f>
        <v/>
      </c>
      <c r="O568" s="5">
        <f t="array" ref="O568">IFERROR(IF(A569&lt;&gt;A568,_xlfn.STDEV.P(IF(A$9:A568=A568,S$9:S568)),""),"")</f>
        <v/>
      </c>
      <c r="P568" s="128">
        <f>IFERROR(IF(A568&lt;&gt;A569,MAX((((M568*24*60)/2)*(1+POWER((((N568*24*60) / (M568*24*60) )),2))) + ((M568*24*60 )*-0.1 + (K568*0.015)) +1,(((M568*24*60)/2)*(1+POWER((((N568*24*60) / (M568*24*60 ))),2)))),""),"")</f>
        <v/>
      </c>
      <c r="Q568" s="128">
        <f>IF(AND(O568&lt;&gt;"",L568&lt;&gt;""),IF(A568&lt;&gt;A569,((L568*24*60) / 2 ) * (1 + POWER(((O568*24*60) / (L568*24*60)),2)),""),"")</f>
        <v/>
      </c>
      <c r="R568" s="128">
        <f>IF(Q568&lt;&gt;"",MAX(P568,Q568),"")</f>
        <v/>
      </c>
      <c r="S568" s="129">
        <f>IF(I568&lt;&gt;"H. Sale Real",IF(AND(I569&lt;&gt;"",LEFT(C569,2)&lt;&gt;"Va"),IF(AND(I568&lt;&gt;"",LEFT(C568,2)&lt;&gt;"Va",I568&lt;&gt;"H. Sale Real"),IF(I569-I568&lt;0.208333333333333,I569-I568,""),IF(AND(I567&lt;&gt;"",LEFT(C567,2)&lt;&gt;"Va",I567&lt;&gt;"H. Sale Real"),IF(I569-I567&lt;0.208333333333333,I569-I567,""),IF(AND(I566&lt;&gt;"",LEFT(C566,2)&lt;&gt;"Va",I566&lt;&gt;"H. Sale Real"),IF(I569-I566&lt;0.208333333333333,I569-I566,""),IF(AND(I565&lt;&gt;"",LEFT(C565,2)&lt;&gt;"Va",I565&lt;&gt;"H. Sale Real"),IF(I569-I565&lt;0.208333333333333,I569-I565,""),IF(AND(I564&lt;&gt;"",LEFT(C564,2)&lt;&gt;"Va",I564&lt;&gt;"H. Sale Real"),IF(I569-I564&lt;0.208333333333333,I569-I564,""),""))))),""),"")</f>
        <v/>
      </c>
      <c r="T568" s="129">
        <f>IF(G568&lt;&gt;"H. Sale Real",IF(AND(G569&lt;&gt;"",LEFT(C569,2)&lt;&gt;"Va"),IF(AND(G568&lt;&gt;"",LEFT(C568,2)&lt;&gt;"Va",G568&lt;&gt;"H. Sale Real"),IF(G569-G568&lt;0.208333333333333,G569-G568,""),IF(AND(G567&lt;&gt;"",LEFT(C567,2)&lt;&gt;"Va",G567&lt;&gt;"H. Sale Real"),IF(G569-G567&lt;0.208333333333333,G569-G567,""),IF(AND(G566&lt;&gt;"",LEFT(C566,2)&lt;&gt;"Va",G566&lt;&gt;"H. Sale Real"),IF(G569-G566&lt;0.208333333333333,G569-G566,""),IF(AND(G565&lt;&gt;"",LEFT(C565,2)&lt;&gt;"Va",G565&lt;&gt;"H. Sale Real"),IF(G569-G565&lt;0.208333333333333,G569-G565,""),IF(AND(G564&lt;&gt;"",LEFT(C564,2)&lt;&gt;"Va",G564&lt;&gt;"H. Sale Real"),IF(G569-G564&lt;0.208333333333333,G569-G564,""),""))))),""),"")</f>
        <v/>
      </c>
      <c r="FC568" t="inlineStr">
        <is>
          <t>Diccionario 1</t>
        </is>
      </c>
      <c r="FD568" s="15" t="inlineStr"/>
      <c r="FE568" s="17" t="inlineStr">
        <is>
          <t>LDYECS319S0044326</t>
        </is>
      </c>
      <c r="FF568" s="18" t="inlineStr">
        <is>
          <t>MDN35025030181</t>
        </is>
      </c>
      <c r="FG568" s="18" t="inlineStr">
        <is>
          <t>Zhong Thong</t>
        </is>
      </c>
      <c r="FH568" s="18" t="inlineStr">
        <is>
          <t>Lck6122evg</t>
        </is>
      </c>
      <c r="FI568" s="18" t="inlineStr">
        <is>
          <t>Zhong Thong</t>
        </is>
      </c>
      <c r="FJ568" s="18" t="inlineStr">
        <is>
          <t>Lck6122evg</t>
        </is>
      </c>
      <c r="FK568" s="18" t="n">
        <v>2026</v>
      </c>
      <c r="FL568" s="18" t="inlineStr">
        <is>
          <t>B</t>
        </is>
      </c>
      <c r="FM568" s="18" t="inlineStr">
        <is>
          <t>Ducaud</t>
        </is>
      </c>
      <c r="FP568" t="inlineStr">
        <is>
          <t>B</t>
        </is>
      </c>
      <c r="FS568" s="14" t="inlineStr">
        <is>
          <t>3053 / SFWB-21|</t>
        </is>
      </c>
      <c r="FT568" t="inlineStr">
        <is>
          <t>SFWB-21|</t>
        </is>
      </c>
      <c r="FU568" t="inlineStr">
        <is>
          <t>SFWB-21</t>
        </is>
      </c>
      <c r="FV568">
        <f>VLOOKUP(FU568,FD:FL,9,0)</f>
        <v/>
      </c>
      <c r="HA568" s="35" t="n">
        <v>113</v>
      </c>
      <c r="HB568" s="35" t="n">
        <v>562</v>
      </c>
    </row>
    <row r="569">
      <c r="J569" s="127">
        <f>IF(A569&lt;&gt;"",HLOOKUP(VALUE(TEXT(G569,"h:mm:ss")),IF($C$6="Laboral",$FZ$4:$GX$227,IF($C$6="Sábado",$FZ$231:$GX$452,$FZ$456:$GX$656)),VLOOKUP($C$4,$HF$2:$HH$99,3,0)+IF(C$5="Ida",0,1),1),"")</f>
        <v/>
      </c>
      <c r="K569" s="127">
        <f>IF(A570&lt;&gt;A569,AVERAGEIF(A$9:A569,A569,J$9:J569),"")</f>
        <v/>
      </c>
      <c r="L569" s="5">
        <f>IFERROR(IF(A570&lt;&gt;A569,AVERAGEIF(A$9:A569,A569,S$9:S569),""),"")</f>
        <v/>
      </c>
      <c r="M569" s="5">
        <f>IFERROR(IF(A570&lt;&gt;A569,AVERAGEIF(A$9:A569,A569,T$9:T569),""),"")</f>
        <v/>
      </c>
      <c r="N569" s="5">
        <f t="array" ref="N569">IFERROR(IF(A570&lt;&gt;A569,_xlfn.STDEV.P(IF(A$9:A569=A569,T$9:T569)),""),"")</f>
        <v/>
      </c>
      <c r="O569" s="5">
        <f t="array" ref="O569">IFERROR(IF(A570&lt;&gt;A569,_xlfn.STDEV.P(IF(A$9:A569=A569,S$9:S569)),""),"")</f>
        <v/>
      </c>
      <c r="P569" s="128">
        <f>IFERROR(IF(A569&lt;&gt;A570,MAX((((M569*24*60)/2)*(1+POWER((((N569*24*60) / (M569*24*60) )),2))) + ((M569*24*60 )*-0.1 + (K569*0.015)) +1,(((M569*24*60)/2)*(1+POWER((((N569*24*60) / (M569*24*60 ))),2)))),""),"")</f>
        <v/>
      </c>
      <c r="Q569" s="128">
        <f>IF(AND(O569&lt;&gt;"",L569&lt;&gt;""),IF(A569&lt;&gt;A570,((L569*24*60) / 2 ) * (1 + POWER(((O569*24*60) / (L569*24*60)),2)),""),"")</f>
        <v/>
      </c>
      <c r="R569" s="128">
        <f>IF(Q569&lt;&gt;"",MAX(P569,Q569),"")</f>
        <v/>
      </c>
      <c r="S569" s="129">
        <f>IF(I569&lt;&gt;"H. Sale Real",IF(AND(I570&lt;&gt;"",LEFT(C570,2)&lt;&gt;"Va"),IF(AND(I569&lt;&gt;"",LEFT(C569,2)&lt;&gt;"Va",I569&lt;&gt;"H. Sale Real"),IF(I570-I569&lt;0.208333333333333,I570-I569,""),IF(AND(I568&lt;&gt;"",LEFT(C568,2)&lt;&gt;"Va",I568&lt;&gt;"H. Sale Real"),IF(I570-I568&lt;0.208333333333333,I570-I568,""),IF(AND(I567&lt;&gt;"",LEFT(C567,2)&lt;&gt;"Va",I567&lt;&gt;"H. Sale Real"),IF(I570-I567&lt;0.208333333333333,I570-I567,""),IF(AND(I566&lt;&gt;"",LEFT(C566,2)&lt;&gt;"Va",I566&lt;&gt;"H. Sale Real"),IF(I570-I566&lt;0.208333333333333,I570-I566,""),IF(AND(I565&lt;&gt;"",LEFT(C565,2)&lt;&gt;"Va",I565&lt;&gt;"H. Sale Real"),IF(I570-I565&lt;0.208333333333333,I570-I565,""),""))))),""),"")</f>
        <v/>
      </c>
      <c r="T569" s="129">
        <f>IF(G569&lt;&gt;"H. Sale Real",IF(AND(G570&lt;&gt;"",LEFT(C570,2)&lt;&gt;"Va"),IF(AND(G569&lt;&gt;"",LEFT(C569,2)&lt;&gt;"Va",G569&lt;&gt;"H. Sale Real"),IF(G570-G569&lt;0.208333333333333,G570-G569,""),IF(AND(G568&lt;&gt;"",LEFT(C568,2)&lt;&gt;"Va",G568&lt;&gt;"H. Sale Real"),IF(G570-G568&lt;0.208333333333333,G570-G568,""),IF(AND(G567&lt;&gt;"",LEFT(C567,2)&lt;&gt;"Va",G567&lt;&gt;"H. Sale Real"),IF(G570-G567&lt;0.208333333333333,G570-G567,""),IF(AND(G566&lt;&gt;"",LEFT(C566,2)&lt;&gt;"Va",G566&lt;&gt;"H. Sale Real"),IF(G570-G566&lt;0.208333333333333,G570-G566,""),IF(AND(G565&lt;&gt;"",LEFT(C565,2)&lt;&gt;"Va",G565&lt;&gt;"H. Sale Real"),IF(G570-G565&lt;0.208333333333333,G570-G565,""),""))))),""),"")</f>
        <v/>
      </c>
      <c r="FC569" t="inlineStr">
        <is>
          <t>Diccionario 1</t>
        </is>
      </c>
      <c r="FD569" s="15" t="inlineStr"/>
      <c r="FE569" s="17" t="inlineStr">
        <is>
          <t>LDYECS310S0044330</t>
        </is>
      </c>
      <c r="FF569" s="18" t="inlineStr">
        <is>
          <t>MDN35025030253</t>
        </is>
      </c>
      <c r="FG569" s="18" t="inlineStr">
        <is>
          <t>Zhong Thong</t>
        </is>
      </c>
      <c r="FH569" s="18" t="inlineStr">
        <is>
          <t>Lck6122evg</t>
        </is>
      </c>
      <c r="FI569" s="18" t="inlineStr">
        <is>
          <t>Zhong Thong</t>
        </is>
      </c>
      <c r="FJ569" s="18" t="inlineStr">
        <is>
          <t>Lck6122evg</t>
        </is>
      </c>
      <c r="FK569" s="18" t="n">
        <v>2026</v>
      </c>
      <c r="FL569" s="18" t="inlineStr">
        <is>
          <t>B</t>
        </is>
      </c>
      <c r="FM569" s="18" t="inlineStr">
        <is>
          <t>Ducaud</t>
        </is>
      </c>
      <c r="FP569" t="inlineStr">
        <is>
          <t>B</t>
        </is>
      </c>
      <c r="FS569" s="14" t="inlineStr">
        <is>
          <t>LXWT-93|</t>
        </is>
      </c>
      <c r="FT569" t="inlineStr">
        <is>
          <t>LXWT-93|</t>
        </is>
      </c>
      <c r="FU569" t="inlineStr">
        <is>
          <t>LXWT-93</t>
        </is>
      </c>
      <c r="FV569">
        <f>VLOOKUP(FU569,FD:FL,9,0)</f>
        <v/>
      </c>
      <c r="HA569" s="35" t="n">
        <v>114</v>
      </c>
      <c r="HB569" s="35" t="n">
        <v>563</v>
      </c>
    </row>
    <row r="570">
      <c r="J570" s="127">
        <f>IF(A570&lt;&gt;"",HLOOKUP(VALUE(TEXT(G570,"h:mm:ss")),IF($C$6="Laboral",$FZ$4:$GX$227,IF($C$6="Sábado",$FZ$231:$GX$452,$FZ$456:$GX$656)),VLOOKUP($C$4,$HF$2:$HH$99,3,0)+IF(C$5="Ida",0,1),1),"")</f>
        <v/>
      </c>
      <c r="K570" s="127">
        <f>IF(A571&lt;&gt;A570,AVERAGEIF(A$9:A570,A570,J$9:J570),"")</f>
        <v/>
      </c>
      <c r="L570" s="5">
        <f>IFERROR(IF(A571&lt;&gt;A570,AVERAGEIF(A$9:A570,A570,S$9:S570),""),"")</f>
        <v/>
      </c>
      <c r="M570" s="5">
        <f>IFERROR(IF(A571&lt;&gt;A570,AVERAGEIF(A$9:A570,A570,T$9:T570),""),"")</f>
        <v/>
      </c>
      <c r="N570" s="5">
        <f t="array" ref="N570">IFERROR(IF(A571&lt;&gt;A570,_xlfn.STDEV.P(IF(A$9:A570=A570,T$9:T570)),""),"")</f>
        <v/>
      </c>
      <c r="O570" s="5">
        <f t="array" ref="O570">IFERROR(IF(A571&lt;&gt;A570,_xlfn.STDEV.P(IF(A$9:A570=A570,S$9:S570)),""),"")</f>
        <v/>
      </c>
      <c r="P570" s="128">
        <f>IFERROR(IF(A570&lt;&gt;A571,MAX((((M570*24*60)/2)*(1+POWER((((N570*24*60) / (M570*24*60) )),2))) + ((M570*24*60 )*-0.1 + (K570*0.015)) +1,(((M570*24*60)/2)*(1+POWER((((N570*24*60) / (M570*24*60 ))),2)))),""),"")</f>
        <v/>
      </c>
      <c r="Q570" s="128">
        <f>IF(AND(O570&lt;&gt;"",L570&lt;&gt;""),IF(A570&lt;&gt;A571,((L570*24*60) / 2 ) * (1 + POWER(((O570*24*60) / (L570*24*60)),2)),""),"")</f>
        <v/>
      </c>
      <c r="R570" s="128">
        <f>IF(Q570&lt;&gt;"",MAX(P570,Q570),"")</f>
        <v/>
      </c>
      <c r="S570" s="129">
        <f>IF(I570&lt;&gt;"H. Sale Real",IF(AND(I571&lt;&gt;"",LEFT(C571,2)&lt;&gt;"Va"),IF(AND(I570&lt;&gt;"",LEFT(C570,2)&lt;&gt;"Va",I570&lt;&gt;"H. Sale Real"),IF(I571-I570&lt;0.208333333333333,I571-I570,""),IF(AND(I569&lt;&gt;"",LEFT(C569,2)&lt;&gt;"Va",I569&lt;&gt;"H. Sale Real"),IF(I571-I569&lt;0.208333333333333,I571-I569,""),IF(AND(I568&lt;&gt;"",LEFT(C568,2)&lt;&gt;"Va",I568&lt;&gt;"H. Sale Real"),IF(I571-I568&lt;0.208333333333333,I571-I568,""),IF(AND(I567&lt;&gt;"",LEFT(C567,2)&lt;&gt;"Va",I567&lt;&gt;"H. Sale Real"),IF(I571-I567&lt;0.208333333333333,I571-I567,""),IF(AND(I566&lt;&gt;"",LEFT(C566,2)&lt;&gt;"Va",I566&lt;&gt;"H. Sale Real"),IF(I571-I566&lt;0.208333333333333,I571-I566,""),""))))),""),"")</f>
        <v/>
      </c>
      <c r="T570" s="129">
        <f>IF(G570&lt;&gt;"H. Sale Real",IF(AND(G571&lt;&gt;"",LEFT(C571,2)&lt;&gt;"Va"),IF(AND(G570&lt;&gt;"",LEFT(C570,2)&lt;&gt;"Va",G570&lt;&gt;"H. Sale Real"),IF(G571-G570&lt;0.208333333333333,G571-G570,""),IF(AND(G569&lt;&gt;"",LEFT(C569,2)&lt;&gt;"Va",G569&lt;&gt;"H. Sale Real"),IF(G571-G569&lt;0.208333333333333,G571-G569,""),IF(AND(G568&lt;&gt;"",LEFT(C568,2)&lt;&gt;"Va",G568&lt;&gt;"H. Sale Real"),IF(G571-G568&lt;0.208333333333333,G571-G568,""),IF(AND(G567&lt;&gt;"",LEFT(C567,2)&lt;&gt;"Va",G567&lt;&gt;"H. Sale Real"),IF(G571-G567&lt;0.208333333333333,G571-G567,""),IF(AND(G566&lt;&gt;"",LEFT(C566,2)&lt;&gt;"Va",G566&lt;&gt;"H. Sale Real"),IF(G571-G566&lt;0.208333333333333,G571-G566,""),""))))),""),"")</f>
        <v/>
      </c>
      <c r="FC570" t="inlineStr">
        <is>
          <t>Diccionario 1</t>
        </is>
      </c>
      <c r="FD570" s="15" t="inlineStr"/>
      <c r="FE570" s="17" t="inlineStr">
        <is>
          <t>LDYECS319S0044410</t>
        </is>
      </c>
      <c r="FF570" s="18" t="inlineStr">
        <is>
          <t>MDN35025030046</t>
        </is>
      </c>
      <c r="FG570" s="18" t="inlineStr">
        <is>
          <t>Zhong Thong</t>
        </is>
      </c>
      <c r="FH570" s="18" t="inlineStr">
        <is>
          <t>Lck6122evg</t>
        </is>
      </c>
      <c r="FI570" s="18" t="inlineStr">
        <is>
          <t>Zhong Thong</t>
        </is>
      </c>
      <c r="FJ570" s="18" t="inlineStr">
        <is>
          <t>Lck6122evg</t>
        </is>
      </c>
      <c r="FK570" s="18" t="n">
        <v>2026</v>
      </c>
      <c r="FL570" s="18" t="inlineStr">
        <is>
          <t>B</t>
        </is>
      </c>
      <c r="FM570" s="18" t="inlineStr">
        <is>
          <t>Ducaud</t>
        </is>
      </c>
      <c r="FP570" t="inlineStr">
        <is>
          <t>B</t>
        </is>
      </c>
      <c r="FS570" s="14" t="inlineStr">
        <is>
          <t>LZPT-73|</t>
        </is>
      </c>
      <c r="FT570" t="inlineStr">
        <is>
          <t>LZPT-73|</t>
        </is>
      </c>
      <c r="FU570" t="inlineStr">
        <is>
          <t>LZPT-73</t>
        </is>
      </c>
      <c r="FV570">
        <f>VLOOKUP(FU570,FD:FL,9,0)</f>
        <v/>
      </c>
      <c r="HA570" s="35" t="n">
        <v>115</v>
      </c>
      <c r="HB570" s="35" t="n">
        <v>564</v>
      </c>
    </row>
    <row r="571">
      <c r="J571" s="127">
        <f>IF(A571&lt;&gt;"",HLOOKUP(VALUE(TEXT(G571,"h:mm:ss")),IF($C$6="Laboral",$FZ$4:$GX$227,IF($C$6="Sábado",$FZ$231:$GX$452,$FZ$456:$GX$656)),VLOOKUP($C$4,$HF$2:$HH$99,3,0)+IF(C$5="Ida",0,1),1),"")</f>
        <v/>
      </c>
      <c r="K571" s="127">
        <f>IF(A572&lt;&gt;A571,AVERAGEIF(A$9:A571,A571,J$9:J571),"")</f>
        <v/>
      </c>
      <c r="L571" s="5">
        <f>IFERROR(IF(A572&lt;&gt;A571,AVERAGEIF(A$9:A571,A571,S$9:S571),""),"")</f>
        <v/>
      </c>
      <c r="M571" s="5">
        <f>IFERROR(IF(A572&lt;&gt;A571,AVERAGEIF(A$9:A571,A571,T$9:T571),""),"")</f>
        <v/>
      </c>
      <c r="N571" s="5">
        <f t="array" ref="N571">IFERROR(IF(A572&lt;&gt;A571,_xlfn.STDEV.P(IF(A$9:A571=A571,T$9:T571)),""),"")</f>
        <v/>
      </c>
      <c r="O571" s="5">
        <f t="array" ref="O571">IFERROR(IF(A572&lt;&gt;A571,_xlfn.STDEV.P(IF(A$9:A571=A571,S$9:S571)),""),"")</f>
        <v/>
      </c>
      <c r="P571" s="128">
        <f>IFERROR(IF(A571&lt;&gt;A572,MAX((((M571*24*60)/2)*(1+POWER((((N571*24*60) / (M571*24*60) )),2))) + ((M571*24*60 )*-0.1 + (K571*0.015)) +1,(((M571*24*60)/2)*(1+POWER((((N571*24*60) / (M571*24*60 ))),2)))),""),"")</f>
        <v/>
      </c>
      <c r="Q571" s="128">
        <f>IF(AND(O571&lt;&gt;"",L571&lt;&gt;""),IF(A571&lt;&gt;A572,((L571*24*60) / 2 ) * (1 + POWER(((O571*24*60) / (L571*24*60)),2)),""),"")</f>
        <v/>
      </c>
      <c r="R571" s="128">
        <f>IF(Q571&lt;&gt;"",MAX(P571,Q571),"")</f>
        <v/>
      </c>
      <c r="S571" s="129">
        <f>IF(I571&lt;&gt;"H. Sale Real",IF(AND(I572&lt;&gt;"",LEFT(C572,2)&lt;&gt;"Va"),IF(AND(I571&lt;&gt;"",LEFT(C571,2)&lt;&gt;"Va",I571&lt;&gt;"H. Sale Real"),IF(I572-I571&lt;0.208333333333333,I572-I571,""),IF(AND(I570&lt;&gt;"",LEFT(C570,2)&lt;&gt;"Va",I570&lt;&gt;"H. Sale Real"),IF(I572-I570&lt;0.208333333333333,I572-I570,""),IF(AND(I569&lt;&gt;"",LEFT(C569,2)&lt;&gt;"Va",I569&lt;&gt;"H. Sale Real"),IF(I572-I569&lt;0.208333333333333,I572-I569,""),IF(AND(I568&lt;&gt;"",LEFT(C568,2)&lt;&gt;"Va",I568&lt;&gt;"H. Sale Real"),IF(I572-I568&lt;0.208333333333333,I572-I568,""),IF(AND(I567&lt;&gt;"",LEFT(C567,2)&lt;&gt;"Va",I567&lt;&gt;"H. Sale Real"),IF(I572-I567&lt;0.208333333333333,I572-I567,""),""))))),""),"")</f>
        <v/>
      </c>
      <c r="T571" s="129">
        <f>IF(G571&lt;&gt;"H. Sale Real",IF(AND(G572&lt;&gt;"",LEFT(C572,2)&lt;&gt;"Va"),IF(AND(G571&lt;&gt;"",LEFT(C571,2)&lt;&gt;"Va",G571&lt;&gt;"H. Sale Real"),IF(G572-G571&lt;0.208333333333333,G572-G571,""),IF(AND(G570&lt;&gt;"",LEFT(C570,2)&lt;&gt;"Va",G570&lt;&gt;"H. Sale Real"),IF(G572-G570&lt;0.208333333333333,G572-G570,""),IF(AND(G569&lt;&gt;"",LEFT(C569,2)&lt;&gt;"Va",G569&lt;&gt;"H. Sale Real"),IF(G572-G569&lt;0.208333333333333,G572-G569,""),IF(AND(G568&lt;&gt;"",LEFT(C568,2)&lt;&gt;"Va",G568&lt;&gt;"H. Sale Real"),IF(G572-G568&lt;0.208333333333333,G572-G568,""),IF(AND(G567&lt;&gt;"",LEFT(C567,2)&lt;&gt;"Va",G567&lt;&gt;"H. Sale Real"),IF(G572-G567&lt;0.208333333333333,G572-G567,""),""))))),""),"")</f>
        <v/>
      </c>
      <c r="FC571" t="inlineStr">
        <is>
          <t>Diccionario 1</t>
        </is>
      </c>
      <c r="FD571" s="15" t="inlineStr"/>
      <c r="FE571" s="17" t="inlineStr">
        <is>
          <t>LDYECS31XS0044397</t>
        </is>
      </c>
      <c r="FF571" s="18" t="inlineStr">
        <is>
          <t>MDN35025030184</t>
        </is>
      </c>
      <c r="FG571" s="18" t="inlineStr">
        <is>
          <t>Zhong Thong</t>
        </is>
      </c>
      <c r="FH571" s="18" t="inlineStr">
        <is>
          <t>Lck6122evg</t>
        </is>
      </c>
      <c r="FI571" s="18" t="inlineStr">
        <is>
          <t>Zhong Thong</t>
        </is>
      </c>
      <c r="FJ571" s="18" t="inlineStr">
        <is>
          <t>Lck6122evg</t>
        </is>
      </c>
      <c r="FK571" s="18" t="n">
        <v>2026</v>
      </c>
      <c r="FL571" s="18" t="inlineStr">
        <is>
          <t>B</t>
        </is>
      </c>
      <c r="FM571" s="18" t="inlineStr">
        <is>
          <t>Ducaud</t>
        </is>
      </c>
      <c r="FP571" t="inlineStr">
        <is>
          <t>B</t>
        </is>
      </c>
      <c r="FS571" s="14" t="inlineStr">
        <is>
          <t>3042 / SFVZ-56|</t>
        </is>
      </c>
      <c r="FT571" t="inlineStr">
        <is>
          <t>SFVZ-56|</t>
        </is>
      </c>
      <c r="FU571" t="inlineStr">
        <is>
          <t>SFVZ-56</t>
        </is>
      </c>
      <c r="FV571">
        <f>VLOOKUP(FU571,FD:FL,9,0)</f>
        <v/>
      </c>
      <c r="HA571" s="35" t="n">
        <v>116</v>
      </c>
      <c r="HB571" s="35" t="n">
        <v>565</v>
      </c>
    </row>
    <row r="572">
      <c r="J572" s="127">
        <f>IF(A572&lt;&gt;"",HLOOKUP(VALUE(TEXT(G572,"h:mm:ss")),IF($C$6="Laboral",$FZ$4:$GX$227,IF($C$6="Sábado",$FZ$231:$GX$452,$FZ$456:$GX$656)),VLOOKUP($C$4,$HF$2:$HH$99,3,0)+IF(C$5="Ida",0,1),1),"")</f>
        <v/>
      </c>
      <c r="K572" s="127">
        <f>IF(A573&lt;&gt;A572,AVERAGEIF(A$9:A572,A572,J$9:J572),"")</f>
        <v/>
      </c>
      <c r="L572" s="5">
        <f>IFERROR(IF(A573&lt;&gt;A572,AVERAGEIF(A$9:A572,A572,S$9:S572),""),"")</f>
        <v/>
      </c>
      <c r="M572" s="5">
        <f>IFERROR(IF(A573&lt;&gt;A572,AVERAGEIF(A$9:A572,A572,T$9:T572),""),"")</f>
        <v/>
      </c>
      <c r="N572" s="5">
        <f t="array" ref="N572">IFERROR(IF(A573&lt;&gt;A572,_xlfn.STDEV.P(IF(A$9:A572=A572,T$9:T572)),""),"")</f>
        <v/>
      </c>
      <c r="O572" s="5">
        <f t="array" ref="O572">IFERROR(IF(A573&lt;&gt;A572,_xlfn.STDEV.P(IF(A$9:A572=A572,S$9:S572)),""),"")</f>
        <v/>
      </c>
      <c r="P572" s="128">
        <f>IFERROR(IF(A572&lt;&gt;A573,MAX((((M572*24*60)/2)*(1+POWER((((N572*24*60) / (M572*24*60) )),2))) + ((M572*24*60 )*-0.1 + (K572*0.015)) +1,(((M572*24*60)/2)*(1+POWER((((N572*24*60) / (M572*24*60 ))),2)))),""),"")</f>
        <v/>
      </c>
      <c r="Q572" s="128">
        <f>IF(AND(O572&lt;&gt;"",L572&lt;&gt;""),IF(A572&lt;&gt;A573,((L572*24*60) / 2 ) * (1 + POWER(((O572*24*60) / (L572*24*60)),2)),""),"")</f>
        <v/>
      </c>
      <c r="R572" s="128">
        <f>IF(Q572&lt;&gt;"",MAX(P572,Q572),"")</f>
        <v/>
      </c>
      <c r="S572" s="129">
        <f>IF(I572&lt;&gt;"H. Sale Real",IF(AND(I573&lt;&gt;"",LEFT(C573,2)&lt;&gt;"Va"),IF(AND(I572&lt;&gt;"",LEFT(C572,2)&lt;&gt;"Va",I572&lt;&gt;"H. Sale Real"),IF(I573-I572&lt;0.208333333333333,I573-I572,""),IF(AND(I571&lt;&gt;"",LEFT(C571,2)&lt;&gt;"Va",I571&lt;&gt;"H. Sale Real"),IF(I573-I571&lt;0.208333333333333,I573-I571,""),IF(AND(I570&lt;&gt;"",LEFT(C570,2)&lt;&gt;"Va",I570&lt;&gt;"H. Sale Real"),IF(I573-I570&lt;0.208333333333333,I573-I570,""),IF(AND(I569&lt;&gt;"",LEFT(C569,2)&lt;&gt;"Va",I569&lt;&gt;"H. Sale Real"),IF(I573-I569&lt;0.208333333333333,I573-I569,""),IF(AND(I568&lt;&gt;"",LEFT(C568,2)&lt;&gt;"Va",I568&lt;&gt;"H. Sale Real"),IF(I573-I568&lt;0.208333333333333,I573-I568,""),""))))),""),"")</f>
        <v/>
      </c>
      <c r="T572" s="129">
        <f>IF(G572&lt;&gt;"H. Sale Real",IF(AND(G573&lt;&gt;"",LEFT(C573,2)&lt;&gt;"Va"),IF(AND(G572&lt;&gt;"",LEFT(C572,2)&lt;&gt;"Va",G572&lt;&gt;"H. Sale Real"),IF(G573-G572&lt;0.208333333333333,G573-G572,""),IF(AND(G571&lt;&gt;"",LEFT(C571,2)&lt;&gt;"Va",G571&lt;&gt;"H. Sale Real"),IF(G573-G571&lt;0.208333333333333,G573-G571,""),IF(AND(G570&lt;&gt;"",LEFT(C570,2)&lt;&gt;"Va",G570&lt;&gt;"H. Sale Real"),IF(G573-G570&lt;0.208333333333333,G573-G570,""),IF(AND(G569&lt;&gt;"",LEFT(C569,2)&lt;&gt;"Va",G569&lt;&gt;"H. Sale Real"),IF(G573-G569&lt;0.208333333333333,G573-G569,""),IF(AND(G568&lt;&gt;"",LEFT(C568,2)&lt;&gt;"Va",G568&lt;&gt;"H. Sale Real"),IF(G573-G568&lt;0.208333333333333,G573-G568,""),""))))),""),"")</f>
        <v/>
      </c>
      <c r="FC572" t="inlineStr">
        <is>
          <t>Diccionario 1</t>
        </is>
      </c>
      <c r="FD572" s="15" t="inlineStr"/>
      <c r="FE572" s="17" t="inlineStr">
        <is>
          <t>LDYECS316S0044400</t>
        </is>
      </c>
      <c r="FF572" s="18" t="inlineStr">
        <is>
          <t>MDN35025030146</t>
        </is>
      </c>
      <c r="FG572" s="18" t="inlineStr">
        <is>
          <t>Zhong Thong</t>
        </is>
      </c>
      <c r="FH572" s="18" t="inlineStr">
        <is>
          <t>Lck6122evg</t>
        </is>
      </c>
      <c r="FI572" s="18" t="inlineStr">
        <is>
          <t>Zhong Thong</t>
        </is>
      </c>
      <c r="FJ572" s="18" t="inlineStr">
        <is>
          <t>Lck6122evg</t>
        </is>
      </c>
      <c r="FK572" s="18" t="n">
        <v>2026</v>
      </c>
      <c r="FL572" s="18" t="inlineStr">
        <is>
          <t>B</t>
        </is>
      </c>
      <c r="FM572" s="18" t="inlineStr">
        <is>
          <t>Ducaud</t>
        </is>
      </c>
      <c r="FP572" t="inlineStr">
        <is>
          <t>B</t>
        </is>
      </c>
      <c r="FS572" s="14" t="inlineStr">
        <is>
          <t>LZPR-90|</t>
        </is>
      </c>
      <c r="FT572" t="inlineStr">
        <is>
          <t>LZPR-90|</t>
        </is>
      </c>
      <c r="FU572" t="inlineStr">
        <is>
          <t>LZPR-90</t>
        </is>
      </c>
      <c r="FV572">
        <f>VLOOKUP(FU572,FD:FL,9,0)</f>
        <v/>
      </c>
      <c r="HA572" s="35" t="n">
        <v>117</v>
      </c>
      <c r="HB572" s="35" t="n">
        <v>566</v>
      </c>
    </row>
    <row r="573">
      <c r="J573" s="127">
        <f>IF(A573&lt;&gt;"",HLOOKUP(VALUE(TEXT(G573,"h:mm:ss")),IF($C$6="Laboral",$FZ$4:$GX$227,IF($C$6="Sábado",$FZ$231:$GX$452,$FZ$456:$GX$656)),VLOOKUP($C$4,$HF$2:$HH$99,3,0)+IF(C$5="Ida",0,1),1),"")</f>
        <v/>
      </c>
      <c r="K573" s="127">
        <f>IF(A574&lt;&gt;A573,AVERAGEIF(A$9:A573,A573,J$9:J573),"")</f>
        <v/>
      </c>
      <c r="L573" s="5">
        <f>IFERROR(IF(A574&lt;&gt;A573,AVERAGEIF(A$9:A573,A573,S$9:S573),""),"")</f>
        <v/>
      </c>
      <c r="M573" s="5">
        <f>IFERROR(IF(A574&lt;&gt;A573,AVERAGEIF(A$9:A573,A573,T$9:T573),""),"")</f>
        <v/>
      </c>
      <c r="N573" s="5">
        <f t="array" ref="N573">IFERROR(IF(A574&lt;&gt;A573,_xlfn.STDEV.P(IF(A$9:A573=A573,T$9:T573)),""),"")</f>
        <v/>
      </c>
      <c r="O573" s="5">
        <f t="array" ref="O573">IFERROR(IF(A574&lt;&gt;A573,_xlfn.STDEV.P(IF(A$9:A573=A573,S$9:S573)),""),"")</f>
        <v/>
      </c>
      <c r="P573" s="128">
        <f>IFERROR(IF(A573&lt;&gt;A574,MAX((((M573*24*60)/2)*(1+POWER((((N573*24*60) / (M573*24*60) )),2))) + ((M573*24*60 )*-0.1 + (K573*0.015)) +1,(((M573*24*60)/2)*(1+POWER((((N573*24*60) / (M573*24*60 ))),2)))),""),"")</f>
        <v/>
      </c>
      <c r="Q573" s="128">
        <f>IF(AND(O573&lt;&gt;"",L573&lt;&gt;""),IF(A573&lt;&gt;A574,((L573*24*60) / 2 ) * (1 + POWER(((O573*24*60) / (L573*24*60)),2)),""),"")</f>
        <v/>
      </c>
      <c r="R573" s="128">
        <f>IF(Q573&lt;&gt;"",MAX(P573,Q573),"")</f>
        <v/>
      </c>
      <c r="S573" s="129">
        <f>IF(I573&lt;&gt;"H. Sale Real",IF(AND(I574&lt;&gt;"",LEFT(C574,2)&lt;&gt;"Va"),IF(AND(I573&lt;&gt;"",LEFT(C573,2)&lt;&gt;"Va",I573&lt;&gt;"H. Sale Real"),IF(I574-I573&lt;0.208333333333333,I574-I573,""),IF(AND(I572&lt;&gt;"",LEFT(C572,2)&lt;&gt;"Va",I572&lt;&gt;"H. Sale Real"),IF(I574-I572&lt;0.208333333333333,I574-I572,""),IF(AND(I571&lt;&gt;"",LEFT(C571,2)&lt;&gt;"Va",I571&lt;&gt;"H. Sale Real"),IF(I574-I571&lt;0.208333333333333,I574-I571,""),IF(AND(I570&lt;&gt;"",LEFT(C570,2)&lt;&gt;"Va",I570&lt;&gt;"H. Sale Real"),IF(I574-I570&lt;0.208333333333333,I574-I570,""),IF(AND(I569&lt;&gt;"",LEFT(C569,2)&lt;&gt;"Va",I569&lt;&gt;"H. Sale Real"),IF(I574-I569&lt;0.208333333333333,I574-I569,""),""))))),""),"")</f>
        <v/>
      </c>
      <c r="T573" s="129">
        <f>IF(G573&lt;&gt;"H. Sale Real",IF(AND(G574&lt;&gt;"",LEFT(C574,2)&lt;&gt;"Va"),IF(AND(G573&lt;&gt;"",LEFT(C573,2)&lt;&gt;"Va",G573&lt;&gt;"H. Sale Real"),IF(G574-G573&lt;0.208333333333333,G574-G573,""),IF(AND(G572&lt;&gt;"",LEFT(C572,2)&lt;&gt;"Va",G572&lt;&gt;"H. Sale Real"),IF(G574-G572&lt;0.208333333333333,G574-G572,""),IF(AND(G571&lt;&gt;"",LEFT(C571,2)&lt;&gt;"Va",G571&lt;&gt;"H. Sale Real"),IF(G574-G571&lt;0.208333333333333,G574-G571,""),IF(AND(G570&lt;&gt;"",LEFT(C570,2)&lt;&gt;"Va",G570&lt;&gt;"H. Sale Real"),IF(G574-G570&lt;0.208333333333333,G574-G570,""),IF(AND(G569&lt;&gt;"",LEFT(C569,2)&lt;&gt;"Va",G569&lt;&gt;"H. Sale Real"),IF(G574-G569&lt;0.208333333333333,G574-G569,""),""))))),""),"")</f>
        <v/>
      </c>
      <c r="FC573" t="inlineStr">
        <is>
          <t>Diccionario 1</t>
        </is>
      </c>
      <c r="FD573" s="15" t="inlineStr"/>
      <c r="FE573" s="17" t="inlineStr">
        <is>
          <t>LDYECS311S0044336</t>
        </is>
      </c>
      <c r="FF573" s="18" t="inlineStr">
        <is>
          <t>MDN35025030152</t>
        </is>
      </c>
      <c r="FG573" s="18" t="inlineStr">
        <is>
          <t>Zhong Thong</t>
        </is>
      </c>
      <c r="FH573" s="18" t="inlineStr">
        <is>
          <t>Lck6122evg</t>
        </is>
      </c>
      <c r="FI573" s="18" t="inlineStr">
        <is>
          <t>Zhong Thong</t>
        </is>
      </c>
      <c r="FJ573" s="18" t="inlineStr">
        <is>
          <t>Lck6122evg</t>
        </is>
      </c>
      <c r="FK573" s="18" t="n">
        <v>2026</v>
      </c>
      <c r="FL573" s="18" t="inlineStr">
        <is>
          <t>B</t>
        </is>
      </c>
      <c r="FM573" s="18" t="inlineStr">
        <is>
          <t>Ducaud</t>
        </is>
      </c>
      <c r="FP573" t="inlineStr">
        <is>
          <t>B</t>
        </is>
      </c>
      <c r="FS573" s="14" t="inlineStr">
        <is>
          <t>LZPG-22|</t>
        </is>
      </c>
      <c r="FT573" t="inlineStr">
        <is>
          <t>LZPG-22|</t>
        </is>
      </c>
      <c r="FU573" t="inlineStr">
        <is>
          <t>LZPG-22</t>
        </is>
      </c>
      <c r="FV573">
        <f>VLOOKUP(FU573,FD:FL,9,0)</f>
        <v/>
      </c>
      <c r="HA573" s="35" t="n">
        <v>118</v>
      </c>
      <c r="HB573" s="35" t="n">
        <v>567</v>
      </c>
    </row>
    <row r="574">
      <c r="J574" s="127">
        <f>IF(A574&lt;&gt;"",HLOOKUP(VALUE(TEXT(G574,"h:mm:ss")),IF($C$6="Laboral",$FZ$4:$GX$227,IF($C$6="Sábado",$FZ$231:$GX$452,$FZ$456:$GX$656)),VLOOKUP($C$4,$HF$2:$HH$99,3,0)+IF(C$5="Ida",0,1),1),"")</f>
        <v/>
      </c>
      <c r="K574" s="127">
        <f>IF(A575&lt;&gt;A574,AVERAGEIF(A$9:A574,A574,J$9:J574),"")</f>
        <v/>
      </c>
      <c r="L574" s="5">
        <f>IFERROR(IF(A575&lt;&gt;A574,AVERAGEIF(A$9:A574,A574,S$9:S574),""),"")</f>
        <v/>
      </c>
      <c r="M574" s="5">
        <f>IFERROR(IF(A575&lt;&gt;A574,AVERAGEIF(A$9:A574,A574,T$9:T574),""),"")</f>
        <v/>
      </c>
      <c r="N574" s="5">
        <f t="array" ref="N574">IFERROR(IF(A575&lt;&gt;A574,_xlfn.STDEV.P(IF(A$9:A574=A574,T$9:T574)),""),"")</f>
        <v/>
      </c>
      <c r="O574" s="5">
        <f t="array" ref="O574">IFERROR(IF(A575&lt;&gt;A574,_xlfn.STDEV.P(IF(A$9:A574=A574,S$9:S574)),""),"")</f>
        <v/>
      </c>
      <c r="P574" s="128">
        <f>IFERROR(IF(A574&lt;&gt;A575,MAX((((M574*24*60)/2)*(1+POWER((((N574*24*60) / (M574*24*60) )),2))) + ((M574*24*60 )*-0.1 + (K574*0.015)) +1,(((M574*24*60)/2)*(1+POWER((((N574*24*60) / (M574*24*60 ))),2)))),""),"")</f>
        <v/>
      </c>
      <c r="Q574" s="128">
        <f>IF(AND(O574&lt;&gt;"",L574&lt;&gt;""),IF(A574&lt;&gt;A575,((L574*24*60) / 2 ) * (1 + POWER(((O574*24*60) / (L574*24*60)),2)),""),"")</f>
        <v/>
      </c>
      <c r="R574" s="128">
        <f>IF(Q574&lt;&gt;"",MAX(P574,Q574),"")</f>
        <v/>
      </c>
      <c r="S574" s="129">
        <f>IF(I574&lt;&gt;"H. Sale Real",IF(AND(I575&lt;&gt;"",LEFT(C575,2)&lt;&gt;"Va"),IF(AND(I574&lt;&gt;"",LEFT(C574,2)&lt;&gt;"Va",I574&lt;&gt;"H. Sale Real"),IF(I575-I574&lt;0.208333333333333,I575-I574,""),IF(AND(I573&lt;&gt;"",LEFT(C573,2)&lt;&gt;"Va",I573&lt;&gt;"H. Sale Real"),IF(I575-I573&lt;0.208333333333333,I575-I573,""),IF(AND(I572&lt;&gt;"",LEFT(C572,2)&lt;&gt;"Va",I572&lt;&gt;"H. Sale Real"),IF(I575-I572&lt;0.208333333333333,I575-I572,""),IF(AND(I571&lt;&gt;"",LEFT(C571,2)&lt;&gt;"Va",I571&lt;&gt;"H. Sale Real"),IF(I575-I571&lt;0.208333333333333,I575-I571,""),IF(AND(I570&lt;&gt;"",LEFT(C570,2)&lt;&gt;"Va",I570&lt;&gt;"H. Sale Real"),IF(I575-I570&lt;0.208333333333333,I575-I570,""),""))))),""),"")</f>
        <v/>
      </c>
      <c r="T574" s="129">
        <f>IF(G574&lt;&gt;"H. Sale Real",IF(AND(G575&lt;&gt;"",LEFT(C575,2)&lt;&gt;"Va"),IF(AND(G574&lt;&gt;"",LEFT(C574,2)&lt;&gt;"Va",G574&lt;&gt;"H. Sale Real"),IF(G575-G574&lt;0.208333333333333,G575-G574,""),IF(AND(G573&lt;&gt;"",LEFT(C573,2)&lt;&gt;"Va",G573&lt;&gt;"H. Sale Real"),IF(G575-G573&lt;0.208333333333333,G575-G573,""),IF(AND(G572&lt;&gt;"",LEFT(C572,2)&lt;&gt;"Va",G572&lt;&gt;"H. Sale Real"),IF(G575-G572&lt;0.208333333333333,G575-G572,""),IF(AND(G571&lt;&gt;"",LEFT(C571,2)&lt;&gt;"Va",G571&lt;&gt;"H. Sale Real"),IF(G575-G571&lt;0.208333333333333,G575-G571,""),IF(AND(G570&lt;&gt;"",LEFT(C570,2)&lt;&gt;"Va",G570&lt;&gt;"H. Sale Real"),IF(G575-G570&lt;0.208333333333333,G575-G570,""),""))))),""),"")</f>
        <v/>
      </c>
      <c r="FC574" t="inlineStr">
        <is>
          <t>Diccionario 1</t>
        </is>
      </c>
      <c r="FD574" s="15" t="inlineStr"/>
      <c r="FE574" s="17" t="inlineStr">
        <is>
          <t>LDYECS315S0044338</t>
        </is>
      </c>
      <c r="FF574" s="18" t="inlineStr">
        <is>
          <t>MDN35025010150</t>
        </is>
      </c>
      <c r="FG574" s="18" t="inlineStr">
        <is>
          <t>Zhong Thong</t>
        </is>
      </c>
      <c r="FH574" s="18" t="inlineStr">
        <is>
          <t>Lck6122evg</t>
        </is>
      </c>
      <c r="FI574" s="18" t="inlineStr">
        <is>
          <t>Zhong Thong</t>
        </is>
      </c>
      <c r="FJ574" s="18" t="inlineStr">
        <is>
          <t>Lck6122evg</t>
        </is>
      </c>
      <c r="FK574" s="18" t="n">
        <v>2026</v>
      </c>
      <c r="FL574" s="18" t="inlineStr">
        <is>
          <t>B</t>
        </is>
      </c>
      <c r="FM574" s="18" t="inlineStr">
        <is>
          <t>Ducaud</t>
        </is>
      </c>
      <c r="FP574" t="inlineStr">
        <is>
          <t>B</t>
        </is>
      </c>
      <c r="FS574" s="14" t="inlineStr">
        <is>
          <t>LZPT-64|</t>
        </is>
      </c>
      <c r="FT574" t="inlineStr">
        <is>
          <t>LZPT-64|</t>
        </is>
      </c>
      <c r="FU574" t="inlineStr">
        <is>
          <t>LZPT-64</t>
        </is>
      </c>
      <c r="FV574">
        <f>VLOOKUP(FU574,FD:FL,9,0)</f>
        <v/>
      </c>
      <c r="HA574" s="35" t="n">
        <v>119</v>
      </c>
      <c r="HB574" s="35" t="n">
        <v>568</v>
      </c>
    </row>
    <row r="575">
      <c r="J575" s="127">
        <f>IF(A575&lt;&gt;"",HLOOKUP(VALUE(TEXT(G575,"h:mm:ss")),IF($C$6="Laboral",$FZ$4:$GX$227,IF($C$6="Sábado",$FZ$231:$GX$452,$FZ$456:$GX$656)),VLOOKUP($C$4,$HF$2:$HH$99,3,0)+IF(C$5="Ida",0,1),1),"")</f>
        <v/>
      </c>
      <c r="K575" s="127">
        <f>IF(A576&lt;&gt;A575,AVERAGEIF(A$9:A575,A575,J$9:J575),"")</f>
        <v/>
      </c>
      <c r="L575" s="5">
        <f>IFERROR(IF(A576&lt;&gt;A575,AVERAGEIF(A$9:A575,A575,S$9:S575),""),"")</f>
        <v/>
      </c>
      <c r="M575" s="5">
        <f>IFERROR(IF(A576&lt;&gt;A575,AVERAGEIF(A$9:A575,A575,T$9:T575),""),"")</f>
        <v/>
      </c>
      <c r="N575" s="5">
        <f t="array" ref="N575">IFERROR(IF(A576&lt;&gt;A575,_xlfn.STDEV.P(IF(A$9:A575=A575,T$9:T575)),""),"")</f>
        <v/>
      </c>
      <c r="O575" s="5">
        <f t="array" ref="O575">IFERROR(IF(A576&lt;&gt;A575,_xlfn.STDEV.P(IF(A$9:A575=A575,S$9:S575)),""),"")</f>
        <v/>
      </c>
      <c r="P575" s="128">
        <f>IFERROR(IF(A575&lt;&gt;A576,MAX((((M575*24*60)/2)*(1+POWER((((N575*24*60) / (M575*24*60) )),2))) + ((M575*24*60 )*-0.1 + (K575*0.015)) +1,(((M575*24*60)/2)*(1+POWER((((N575*24*60) / (M575*24*60 ))),2)))),""),"")</f>
        <v/>
      </c>
      <c r="Q575" s="128">
        <f>IF(AND(O575&lt;&gt;"",L575&lt;&gt;""),IF(A575&lt;&gt;A576,((L575*24*60) / 2 ) * (1 + POWER(((O575*24*60) / (L575*24*60)),2)),""),"")</f>
        <v/>
      </c>
      <c r="R575" s="128">
        <f>IF(Q575&lt;&gt;"",MAX(P575,Q575),"")</f>
        <v/>
      </c>
      <c r="S575" s="129">
        <f>IF(I575&lt;&gt;"H. Sale Real",IF(AND(I576&lt;&gt;"",LEFT(C576,2)&lt;&gt;"Va"),IF(AND(I575&lt;&gt;"",LEFT(C575,2)&lt;&gt;"Va",I575&lt;&gt;"H. Sale Real"),IF(I576-I575&lt;0.208333333333333,I576-I575,""),IF(AND(I574&lt;&gt;"",LEFT(C574,2)&lt;&gt;"Va",I574&lt;&gt;"H. Sale Real"),IF(I576-I574&lt;0.208333333333333,I576-I574,""),IF(AND(I573&lt;&gt;"",LEFT(C573,2)&lt;&gt;"Va",I573&lt;&gt;"H. Sale Real"),IF(I576-I573&lt;0.208333333333333,I576-I573,""),IF(AND(I572&lt;&gt;"",LEFT(C572,2)&lt;&gt;"Va",I572&lt;&gt;"H. Sale Real"),IF(I576-I572&lt;0.208333333333333,I576-I572,""),IF(AND(I571&lt;&gt;"",LEFT(C571,2)&lt;&gt;"Va",I571&lt;&gt;"H. Sale Real"),IF(I576-I571&lt;0.208333333333333,I576-I571,""),""))))),""),"")</f>
        <v/>
      </c>
      <c r="T575" s="129">
        <f>IF(G575&lt;&gt;"H. Sale Real",IF(AND(G576&lt;&gt;"",LEFT(C576,2)&lt;&gt;"Va"),IF(AND(G575&lt;&gt;"",LEFT(C575,2)&lt;&gt;"Va",G575&lt;&gt;"H. Sale Real"),IF(G576-G575&lt;0.208333333333333,G576-G575,""),IF(AND(G574&lt;&gt;"",LEFT(C574,2)&lt;&gt;"Va",G574&lt;&gt;"H. Sale Real"),IF(G576-G574&lt;0.208333333333333,G576-G574,""),IF(AND(G573&lt;&gt;"",LEFT(C573,2)&lt;&gt;"Va",G573&lt;&gt;"H. Sale Real"),IF(G576-G573&lt;0.208333333333333,G576-G573,""),IF(AND(G572&lt;&gt;"",LEFT(C572,2)&lt;&gt;"Va",G572&lt;&gt;"H. Sale Real"),IF(G576-G572&lt;0.208333333333333,G576-G572,""),IF(AND(G571&lt;&gt;"",LEFT(C571,2)&lt;&gt;"Va",G571&lt;&gt;"H. Sale Real"),IF(G576-G571&lt;0.208333333333333,G576-G571,""),""))))),""),"")</f>
        <v/>
      </c>
      <c r="FC575" t="inlineStr">
        <is>
          <t>Diccionario 1</t>
        </is>
      </c>
      <c r="FD575" s="15" t="inlineStr"/>
      <c r="FE575" s="17" t="inlineStr">
        <is>
          <t>LDYECS311S0044403</t>
        </is>
      </c>
      <c r="FF575" s="18" t="inlineStr">
        <is>
          <t>MDN35025030154</t>
        </is>
      </c>
      <c r="FG575" s="18" t="inlineStr">
        <is>
          <t>Zhong Thong</t>
        </is>
      </c>
      <c r="FH575" s="18" t="inlineStr">
        <is>
          <t>Lck6122evg</t>
        </is>
      </c>
      <c r="FI575" s="18" t="inlineStr">
        <is>
          <t>Zhong Thong</t>
        </is>
      </c>
      <c r="FJ575" s="18" t="inlineStr">
        <is>
          <t>Lck6122evg</t>
        </is>
      </c>
      <c r="FK575" s="18" t="n">
        <v>2026</v>
      </c>
      <c r="FL575" s="18" t="inlineStr">
        <is>
          <t>B</t>
        </is>
      </c>
      <c r="FM575" s="18" t="inlineStr">
        <is>
          <t>Ducaud</t>
        </is>
      </c>
      <c r="FP575" t="inlineStr">
        <is>
          <t>B</t>
        </is>
      </c>
      <c r="FS575" s="14" t="inlineStr">
        <is>
          <t>LZPS-19|</t>
        </is>
      </c>
      <c r="FT575" t="inlineStr">
        <is>
          <t>LZPS-19|</t>
        </is>
      </c>
      <c r="FU575" t="inlineStr">
        <is>
          <t>LZPS-19</t>
        </is>
      </c>
      <c r="FV575">
        <f>VLOOKUP(FU575,FD:FL,9,0)</f>
        <v/>
      </c>
      <c r="HA575" s="35" t="n">
        <v>120</v>
      </c>
      <c r="HB575" s="35" t="n">
        <v>569</v>
      </c>
    </row>
    <row r="576">
      <c r="FC576" t="inlineStr">
        <is>
          <t>Diccionario 1</t>
        </is>
      </c>
      <c r="FD576" s="15" t="inlineStr"/>
      <c r="FE576" s="17" t="inlineStr">
        <is>
          <t>LDYECS319S0044309</t>
        </is>
      </c>
      <c r="FF576" s="18" t="inlineStr">
        <is>
          <t>MDN35025030008</t>
        </is>
      </c>
      <c r="FG576" s="18" t="inlineStr">
        <is>
          <t>Zhong Thong</t>
        </is>
      </c>
      <c r="FH576" s="18" t="inlineStr">
        <is>
          <t>Lck6122evg</t>
        </is>
      </c>
      <c r="FI576" s="18" t="inlineStr">
        <is>
          <t>Zhong Thong</t>
        </is>
      </c>
      <c r="FJ576" s="18" t="inlineStr">
        <is>
          <t>Lck6122evg</t>
        </is>
      </c>
      <c r="FK576" s="18" t="n">
        <v>2026</v>
      </c>
      <c r="FL576" s="18" t="inlineStr">
        <is>
          <t>B</t>
        </is>
      </c>
      <c r="FM576" s="18" t="inlineStr">
        <is>
          <t>Ducaud</t>
        </is>
      </c>
      <c r="FP576" t="inlineStr">
        <is>
          <t>B</t>
        </is>
      </c>
      <c r="FS576" s="14" t="inlineStr">
        <is>
          <t>LZPT-52|</t>
        </is>
      </c>
      <c r="FT576" t="inlineStr">
        <is>
          <t>LZPT-52|</t>
        </is>
      </c>
      <c r="FU576" t="inlineStr">
        <is>
          <t>LZPT-52</t>
        </is>
      </c>
      <c r="FV576">
        <f>VLOOKUP(FU576,FD:FL,9,0)</f>
        <v/>
      </c>
      <c r="HA576" s="35" t="n">
        <v>121</v>
      </c>
      <c r="HB576" s="35" t="n">
        <v>570</v>
      </c>
    </row>
    <row r="577">
      <c r="FC577" t="inlineStr">
        <is>
          <t>Diccionario 1</t>
        </is>
      </c>
      <c r="FD577" s="15" t="inlineStr"/>
      <c r="FE577" s="17" t="inlineStr">
        <is>
          <t>LDYECS31XS0044190</t>
        </is>
      </c>
      <c r="FF577" s="18" t="inlineStr">
        <is>
          <t>MDN35025020179</t>
        </is>
      </c>
      <c r="FG577" s="18" t="inlineStr">
        <is>
          <t>Zhong Thong</t>
        </is>
      </c>
      <c r="FH577" s="18" t="inlineStr">
        <is>
          <t>Lck6122evg</t>
        </is>
      </c>
      <c r="FI577" s="18" t="inlineStr">
        <is>
          <t>Zhong Thong</t>
        </is>
      </c>
      <c r="FJ577" s="18" t="inlineStr">
        <is>
          <t>Lck6122evg</t>
        </is>
      </c>
      <c r="FK577" s="18" t="n">
        <v>2026</v>
      </c>
      <c r="FL577" s="18" t="inlineStr">
        <is>
          <t>B</t>
        </is>
      </c>
      <c r="FM577" s="18" t="inlineStr">
        <is>
          <t>Ducaud</t>
        </is>
      </c>
      <c r="FP577" t="inlineStr">
        <is>
          <t>B</t>
        </is>
      </c>
      <c r="FS577" s="14" t="inlineStr">
        <is>
          <t>3022 / SFWB-31|</t>
        </is>
      </c>
      <c r="FT577" t="inlineStr">
        <is>
          <t>SFWB-31|</t>
        </is>
      </c>
      <c r="FU577" t="inlineStr">
        <is>
          <t>SFWB-31</t>
        </is>
      </c>
      <c r="FV577">
        <f>VLOOKUP(FU577,FD:FL,9,0)</f>
        <v/>
      </c>
      <c r="HA577" s="35" t="n">
        <v>122</v>
      </c>
      <c r="HB577" s="35" t="n">
        <v>571</v>
      </c>
    </row>
    <row r="578">
      <c r="FC578" t="inlineStr">
        <is>
          <t>Diccionario 1</t>
        </is>
      </c>
      <c r="FD578" s="15" t="inlineStr"/>
      <c r="FE578" s="17" t="inlineStr">
        <is>
          <t>LDYECS312S0044264</t>
        </is>
      </c>
      <c r="FF578" s="18" t="inlineStr">
        <is>
          <t>MDN35025030090</t>
        </is>
      </c>
      <c r="FG578" s="18" t="inlineStr">
        <is>
          <t>Zhong Thong</t>
        </is>
      </c>
      <c r="FH578" s="18" t="inlineStr">
        <is>
          <t>Lck6122evg</t>
        </is>
      </c>
      <c r="FI578" s="18" t="inlineStr">
        <is>
          <t>Zhong Thong</t>
        </is>
      </c>
      <c r="FJ578" s="18" t="inlineStr">
        <is>
          <t>Lck6122evg</t>
        </is>
      </c>
      <c r="FK578" s="18" t="n">
        <v>2026</v>
      </c>
      <c r="FL578" s="18" t="inlineStr">
        <is>
          <t>B</t>
        </is>
      </c>
      <c r="FM578" s="18" t="inlineStr">
        <is>
          <t>Ducaud</t>
        </is>
      </c>
      <c r="FP578" t="inlineStr">
        <is>
          <t>B</t>
        </is>
      </c>
      <c r="FS578" s="14" t="inlineStr">
        <is>
          <t>LZPT-57|</t>
        </is>
      </c>
      <c r="FT578" t="inlineStr">
        <is>
          <t>LZPT-57|</t>
        </is>
      </c>
      <c r="FU578" t="inlineStr">
        <is>
          <t>LZPT-57</t>
        </is>
      </c>
      <c r="FV578">
        <f>VLOOKUP(FU578,FD:FL,9,0)</f>
        <v/>
      </c>
      <c r="HA578" s="35" t="n">
        <v>123</v>
      </c>
      <c r="HB578" s="35" t="n">
        <v>572</v>
      </c>
    </row>
    <row r="579">
      <c r="FC579" t="inlineStr">
        <is>
          <t>Diccionario 1</t>
        </is>
      </c>
      <c r="FD579" s="15" t="inlineStr"/>
      <c r="FE579" s="17" t="inlineStr">
        <is>
          <t>LDYECS315S0044355</t>
        </is>
      </c>
      <c r="FF579" s="18" t="inlineStr">
        <is>
          <t>MDN35025010086</t>
        </is>
      </c>
      <c r="FG579" s="18" t="inlineStr">
        <is>
          <t>Zhong Thong</t>
        </is>
      </c>
      <c r="FH579" s="18" t="inlineStr">
        <is>
          <t>Lck6122evg</t>
        </is>
      </c>
      <c r="FI579" s="18" t="inlineStr">
        <is>
          <t>Zhong Thong</t>
        </is>
      </c>
      <c r="FJ579" s="18" t="inlineStr">
        <is>
          <t>Lck6122evg</t>
        </is>
      </c>
      <c r="FK579" s="18" t="n">
        <v>2026</v>
      </c>
      <c r="FL579" s="18" t="inlineStr">
        <is>
          <t>B</t>
        </is>
      </c>
      <c r="FM579" s="18" t="inlineStr">
        <is>
          <t>Ducaud</t>
        </is>
      </c>
      <c r="FP579" t="inlineStr">
        <is>
          <t>B</t>
        </is>
      </c>
      <c r="FS579" s="14" t="inlineStr">
        <is>
          <t>LZPG-24|</t>
        </is>
      </c>
      <c r="FT579" t="inlineStr">
        <is>
          <t>LZPG-24|</t>
        </is>
      </c>
      <c r="FU579" t="inlineStr">
        <is>
          <t>LZPG-24</t>
        </is>
      </c>
      <c r="FV579">
        <f>VLOOKUP(FU579,FD:FL,9,0)</f>
        <v/>
      </c>
      <c r="HA579" s="35" t="n">
        <v>124</v>
      </c>
      <c r="HB579" s="35" t="n">
        <v>573</v>
      </c>
    </row>
    <row r="580">
      <c r="FC580" t="inlineStr">
        <is>
          <t>Diccionario 1</t>
        </is>
      </c>
      <c r="FD580" s="15" t="inlineStr"/>
      <c r="FE580" s="17" t="inlineStr">
        <is>
          <t>LDYECS311S0044367</t>
        </is>
      </c>
      <c r="FF580" s="18" t="inlineStr">
        <is>
          <t>MDN35025010046</t>
        </is>
      </c>
      <c r="FG580" s="18" t="inlineStr">
        <is>
          <t>Zhong Thong</t>
        </is>
      </c>
      <c r="FH580" s="18" t="inlineStr">
        <is>
          <t>Lck6122evg</t>
        </is>
      </c>
      <c r="FI580" s="18" t="inlineStr">
        <is>
          <t>Zhong Thong</t>
        </is>
      </c>
      <c r="FJ580" s="18" t="inlineStr">
        <is>
          <t>Lck6122evg</t>
        </is>
      </c>
      <c r="FK580" s="18" t="n">
        <v>2026</v>
      </c>
      <c r="FL580" s="18" t="inlineStr">
        <is>
          <t>B</t>
        </is>
      </c>
      <c r="FM580" s="18" t="inlineStr">
        <is>
          <t>Ducaud</t>
        </is>
      </c>
      <c r="FP580" t="inlineStr">
        <is>
          <t>B</t>
        </is>
      </c>
      <c r="FS580" s="14" t="inlineStr">
        <is>
          <t>VJKT-63|</t>
        </is>
      </c>
      <c r="FT580" t="inlineStr">
        <is>
          <t>VJKT-63|</t>
        </is>
      </c>
      <c r="FU580" t="inlineStr">
        <is>
          <t>VJKT-63</t>
        </is>
      </c>
      <c r="FV580">
        <f>VLOOKUP(FU580,FD:FL,9,0)</f>
        <v/>
      </c>
      <c r="HA580" s="35" t="n">
        <v>125</v>
      </c>
      <c r="HB580" s="35" t="n">
        <v>574</v>
      </c>
    </row>
    <row r="581">
      <c r="FC581" t="inlineStr">
        <is>
          <t>Diccionario 1</t>
        </is>
      </c>
      <c r="FD581" s="15" t="inlineStr"/>
      <c r="FE581" s="17" t="inlineStr">
        <is>
          <t>LDYECS311S0045762</t>
        </is>
      </c>
      <c r="FF581" s="18" t="inlineStr">
        <is>
          <t>MDN35025030168</t>
        </is>
      </c>
      <c r="FG581" s="18" t="inlineStr">
        <is>
          <t>Zhong Thong</t>
        </is>
      </c>
      <c r="FH581" s="18" t="inlineStr">
        <is>
          <t>Lck6122evg</t>
        </is>
      </c>
      <c r="FI581" s="18" t="inlineStr">
        <is>
          <t>Zhong Thong</t>
        </is>
      </c>
      <c r="FJ581" s="18" t="inlineStr">
        <is>
          <t>Lck6122evg</t>
        </is>
      </c>
      <c r="FK581" s="18" t="n">
        <v>2026</v>
      </c>
      <c r="FL581" s="18" t="inlineStr">
        <is>
          <t>B</t>
        </is>
      </c>
      <c r="FM581" s="18" t="inlineStr">
        <is>
          <t>Ducaud</t>
        </is>
      </c>
      <c r="FP581" t="inlineStr">
        <is>
          <t>B</t>
        </is>
      </c>
      <c r="FS581" s="14" t="inlineStr">
        <is>
          <t>LZPT-75|</t>
        </is>
      </c>
      <c r="FT581" t="inlineStr">
        <is>
          <t>LZPT-75|</t>
        </is>
      </c>
      <c r="FU581" t="inlineStr">
        <is>
          <t>LZPT-75</t>
        </is>
      </c>
      <c r="FV581">
        <f>VLOOKUP(FU581,FD:FL,9,0)</f>
        <v/>
      </c>
      <c r="HA581" s="35" t="n">
        <v>126</v>
      </c>
      <c r="HB581" s="35" t="n">
        <v>575</v>
      </c>
    </row>
    <row r="582">
      <c r="FC582" t="inlineStr">
        <is>
          <t>Diccionario 1</t>
        </is>
      </c>
      <c r="FD582" s="15" t="inlineStr"/>
      <c r="FE582" s="17" t="inlineStr">
        <is>
          <t>LDYECS318S0045760</t>
        </is>
      </c>
      <c r="FF582" s="18" t="inlineStr">
        <is>
          <t>MDN35025030276</t>
        </is>
      </c>
      <c r="FG582" s="18" t="inlineStr">
        <is>
          <t>Zhong Thong</t>
        </is>
      </c>
      <c r="FH582" s="18" t="inlineStr">
        <is>
          <t>Lck6122evg</t>
        </is>
      </c>
      <c r="FI582" s="18" t="inlineStr">
        <is>
          <t>Zhong Thong</t>
        </is>
      </c>
      <c r="FJ582" s="18" t="inlineStr">
        <is>
          <t>Lck6122evg</t>
        </is>
      </c>
      <c r="FK582" s="18" t="n">
        <v>2026</v>
      </c>
      <c r="FL582" s="18" t="inlineStr">
        <is>
          <t>B</t>
        </is>
      </c>
      <c r="FM582" s="18" t="inlineStr">
        <is>
          <t>Ducaud</t>
        </is>
      </c>
      <c r="FP582" t="inlineStr">
        <is>
          <t>B</t>
        </is>
      </c>
      <c r="FS582" s="14" t="inlineStr">
        <is>
          <t>LZPS-24|</t>
        </is>
      </c>
      <c r="FT582" t="inlineStr">
        <is>
          <t>LZPS-24|</t>
        </is>
      </c>
      <c r="FU582" t="inlineStr">
        <is>
          <t>LZPS-24</t>
        </is>
      </c>
      <c r="FV582">
        <f>VLOOKUP(FU582,FD:FL,9,0)</f>
        <v/>
      </c>
      <c r="HA582" s="35" t="n">
        <v>127</v>
      </c>
      <c r="HB582" s="35" t="n">
        <v>576</v>
      </c>
    </row>
    <row r="583">
      <c r="FC583" t="inlineStr">
        <is>
          <t>Diccionario 1</t>
        </is>
      </c>
      <c r="FD583" s="15" t="inlineStr"/>
      <c r="FE583" s="17" t="inlineStr">
        <is>
          <t>LDYECS313S0045763</t>
        </is>
      </c>
      <c r="FF583" s="18" t="inlineStr">
        <is>
          <t>MDN35025030156</t>
        </is>
      </c>
      <c r="FG583" s="18" t="inlineStr">
        <is>
          <t>Zhong Thong</t>
        </is>
      </c>
      <c r="FH583" s="18" t="inlineStr">
        <is>
          <t>Lck6122evg</t>
        </is>
      </c>
      <c r="FI583" s="18" t="inlineStr">
        <is>
          <t>Zhong Thong</t>
        </is>
      </c>
      <c r="FJ583" s="18" t="inlineStr">
        <is>
          <t>Lck6122evg</t>
        </is>
      </c>
      <c r="FK583" s="18" t="n">
        <v>2026</v>
      </c>
      <c r="FL583" s="18" t="inlineStr">
        <is>
          <t>B</t>
        </is>
      </c>
      <c r="FM583" s="18" t="inlineStr">
        <is>
          <t>Ducaud</t>
        </is>
      </c>
      <c r="FP583" t="inlineStr">
        <is>
          <t>B</t>
        </is>
      </c>
      <c r="FS583" s="14" t="inlineStr">
        <is>
          <t>LZPR-78|</t>
        </is>
      </c>
      <c r="FT583" t="inlineStr">
        <is>
          <t>LZPR-78|</t>
        </is>
      </c>
      <c r="FU583" t="inlineStr">
        <is>
          <t>LZPR-78</t>
        </is>
      </c>
      <c r="FV583">
        <f>VLOOKUP(FU583,FD:FL,9,0)</f>
        <v/>
      </c>
      <c r="HA583" s="35" t="n">
        <v>128</v>
      </c>
      <c r="HB583" s="35" t="n">
        <v>577</v>
      </c>
    </row>
    <row r="584">
      <c r="FC584" t="inlineStr">
        <is>
          <t>Diccionario 1</t>
        </is>
      </c>
      <c r="FD584" s="15" t="inlineStr"/>
      <c r="FE584" s="17" t="inlineStr">
        <is>
          <t>LDYECS314S0044394</t>
        </is>
      </c>
      <c r="FF584" s="18" t="inlineStr">
        <is>
          <t>MDN35025030249</t>
        </is>
      </c>
      <c r="FG584" s="18" t="inlineStr">
        <is>
          <t>Zhong Thong</t>
        </is>
      </c>
      <c r="FH584" s="18" t="inlineStr">
        <is>
          <t>Lck6122evg</t>
        </is>
      </c>
      <c r="FI584" s="18" t="inlineStr">
        <is>
          <t>Zhong Thong</t>
        </is>
      </c>
      <c r="FJ584" s="18" t="inlineStr">
        <is>
          <t>Lck6122evg</t>
        </is>
      </c>
      <c r="FK584" s="18" t="n">
        <v>2026</v>
      </c>
      <c r="FL584" s="18" t="inlineStr">
        <is>
          <t>B</t>
        </is>
      </c>
      <c r="FM584" s="18" t="inlineStr">
        <is>
          <t>Ducaud</t>
        </is>
      </c>
      <c r="FP584" t="inlineStr">
        <is>
          <t>B</t>
        </is>
      </c>
      <c r="FS584" s="14" t="inlineStr">
        <is>
          <t>3053 / SFWB-21|</t>
        </is>
      </c>
      <c r="FT584" t="inlineStr">
        <is>
          <t>SFWB-21|</t>
        </is>
      </c>
      <c r="FU584" t="inlineStr">
        <is>
          <t>SFWB-21</t>
        </is>
      </c>
      <c r="FV584">
        <f>VLOOKUP(FU584,FD:FL,9,0)</f>
        <v/>
      </c>
      <c r="HA584" s="35" t="n">
        <v>129</v>
      </c>
      <c r="HB584" s="35" t="n">
        <v>578</v>
      </c>
    </row>
    <row r="585">
      <c r="FC585" t="inlineStr">
        <is>
          <t>Diccionario 1</t>
        </is>
      </c>
      <c r="FD585" s="15" t="inlineStr"/>
      <c r="FE585" s="17" t="inlineStr">
        <is>
          <t>LDYECS315S0044257</t>
        </is>
      </c>
      <c r="FF585" s="18" t="inlineStr">
        <is>
          <t>MDN35025020147</t>
        </is>
      </c>
      <c r="FG585" s="18" t="inlineStr">
        <is>
          <t>Zhong Thong</t>
        </is>
      </c>
      <c r="FH585" s="18" t="inlineStr">
        <is>
          <t>Lck6122evg</t>
        </is>
      </c>
      <c r="FI585" s="18" t="inlineStr">
        <is>
          <t>Zhong Thong</t>
        </is>
      </c>
      <c r="FJ585" s="18" t="inlineStr">
        <is>
          <t>Lck6122evg</t>
        </is>
      </c>
      <c r="FK585" s="18" t="n">
        <v>2026</v>
      </c>
      <c r="FL585" s="18" t="inlineStr">
        <is>
          <t>B</t>
        </is>
      </c>
      <c r="FM585" s="18" t="inlineStr">
        <is>
          <t>Ducaud</t>
        </is>
      </c>
      <c r="FP585" t="inlineStr">
        <is>
          <t>B</t>
        </is>
      </c>
      <c r="FS585" s="14" t="inlineStr">
        <is>
          <t>LZPW-14|</t>
        </is>
      </c>
      <c r="FT585" t="inlineStr">
        <is>
          <t>LZPW-14|</t>
        </is>
      </c>
      <c r="FU585" t="inlineStr">
        <is>
          <t>LZPW-14</t>
        </is>
      </c>
      <c r="FV585">
        <f>VLOOKUP(FU585,FD:FL,9,0)</f>
        <v/>
      </c>
      <c r="HA585" s="35" t="n">
        <v>130</v>
      </c>
      <c r="HB585" s="35" t="n">
        <v>579</v>
      </c>
    </row>
    <row r="586">
      <c r="FC586" t="inlineStr">
        <is>
          <t>Diccionario 1</t>
        </is>
      </c>
      <c r="FD586" s="15" t="inlineStr"/>
      <c r="FE586" s="17" t="inlineStr">
        <is>
          <t>LDYECS31XS0045758</t>
        </is>
      </c>
      <c r="FF586" s="18" t="inlineStr">
        <is>
          <t>MDN35025030172</t>
        </is>
      </c>
      <c r="FG586" s="18" t="inlineStr">
        <is>
          <t>Zhong Thong</t>
        </is>
      </c>
      <c r="FH586" s="18" t="inlineStr">
        <is>
          <t>Lck6122evg</t>
        </is>
      </c>
      <c r="FI586" s="18" t="inlineStr">
        <is>
          <t>Zhong Thong</t>
        </is>
      </c>
      <c r="FJ586" s="18" t="inlineStr">
        <is>
          <t>Lck6122evg</t>
        </is>
      </c>
      <c r="FK586" s="18" t="n">
        <v>2026</v>
      </c>
      <c r="FL586" s="18" t="inlineStr">
        <is>
          <t>B</t>
        </is>
      </c>
      <c r="FM586" s="18" t="inlineStr">
        <is>
          <t>Ducaud</t>
        </is>
      </c>
      <c r="FP586" t="inlineStr">
        <is>
          <t>B</t>
        </is>
      </c>
      <c r="FS586" s="14" t="inlineStr">
        <is>
          <t>LZPT-44|</t>
        </is>
      </c>
      <c r="FT586" t="inlineStr">
        <is>
          <t>LZPT-44|</t>
        </is>
      </c>
      <c r="FU586" t="inlineStr">
        <is>
          <t>LZPT-44</t>
        </is>
      </c>
      <c r="FV586">
        <f>VLOOKUP(FU586,FD:FL,9,0)</f>
        <v/>
      </c>
      <c r="HA586" s="35" t="n">
        <v>131</v>
      </c>
      <c r="HB586" s="35" t="n">
        <v>580</v>
      </c>
    </row>
    <row r="587">
      <c r="FC587" t="inlineStr">
        <is>
          <t>Diccionario 1</t>
        </is>
      </c>
      <c r="FD587" s="15" t="inlineStr"/>
      <c r="FE587" s="17" t="inlineStr">
        <is>
          <t>LDYECS311S0045857</t>
        </is>
      </c>
      <c r="FF587" s="18" t="inlineStr">
        <is>
          <t>MDN35025030292</t>
        </is>
      </c>
      <c r="FG587" s="18" t="inlineStr">
        <is>
          <t>Zhong Thong</t>
        </is>
      </c>
      <c r="FH587" s="18" t="inlineStr">
        <is>
          <t>Lck6122evg</t>
        </is>
      </c>
      <c r="FI587" s="18" t="inlineStr">
        <is>
          <t>Zhong Thong</t>
        </is>
      </c>
      <c r="FJ587" s="18" t="inlineStr">
        <is>
          <t>Lck6122evg</t>
        </is>
      </c>
      <c r="FK587" s="18" t="n">
        <v>2026</v>
      </c>
      <c r="FL587" s="18" t="inlineStr">
        <is>
          <t>B</t>
        </is>
      </c>
      <c r="FM587" s="18" t="inlineStr">
        <is>
          <t>Ducaud</t>
        </is>
      </c>
      <c r="FP587" t="inlineStr">
        <is>
          <t>B</t>
        </is>
      </c>
      <c r="FS587" s="14" t="inlineStr">
        <is>
          <t>LZPS-22|</t>
        </is>
      </c>
      <c r="FT587" t="inlineStr">
        <is>
          <t>LZPS-22|</t>
        </is>
      </c>
      <c r="FU587" t="inlineStr">
        <is>
          <t>LZPS-22</t>
        </is>
      </c>
      <c r="FV587">
        <f>VLOOKUP(FU587,FD:FL,9,0)</f>
        <v/>
      </c>
      <c r="HA587" s="35" t="n">
        <v>132</v>
      </c>
      <c r="HB587" s="35" t="n">
        <v>581</v>
      </c>
    </row>
    <row r="588">
      <c r="FC588" t="inlineStr">
        <is>
          <t>Diccionario 1</t>
        </is>
      </c>
      <c r="FD588" s="15" t="inlineStr"/>
      <c r="FE588" s="17" t="inlineStr">
        <is>
          <t>LDYECS315S0045764</t>
        </is>
      </c>
      <c r="FF588" s="18" t="inlineStr">
        <is>
          <t>MDN35025030157</t>
        </is>
      </c>
      <c r="FG588" s="18" t="inlineStr">
        <is>
          <t>Zhong Thong</t>
        </is>
      </c>
      <c r="FH588" s="18" t="inlineStr">
        <is>
          <t>Lck6122evg</t>
        </is>
      </c>
      <c r="FI588" s="18" t="inlineStr">
        <is>
          <t>Zhong Thong</t>
        </is>
      </c>
      <c r="FJ588" s="18" t="inlineStr">
        <is>
          <t>Lck6122evg</t>
        </is>
      </c>
      <c r="FK588" s="18" t="n">
        <v>2026</v>
      </c>
      <c r="FL588" s="18" t="inlineStr">
        <is>
          <t>B</t>
        </is>
      </c>
      <c r="FM588" s="18" t="inlineStr">
        <is>
          <t>Ducaud</t>
        </is>
      </c>
      <c r="FP588" t="inlineStr">
        <is>
          <t>B</t>
        </is>
      </c>
      <c r="FS588" s="14" t="inlineStr">
        <is>
          <t>LZPR-95</t>
        </is>
      </c>
      <c r="FT588" t="inlineStr">
        <is>
          <t>LZPR-95</t>
        </is>
      </c>
      <c r="FU588" t="inlineStr">
        <is>
          <t>LZPR-95</t>
        </is>
      </c>
      <c r="FV588">
        <f>VLOOKUP(FU588,FD:FL,9,0)</f>
        <v/>
      </c>
      <c r="HA588" s="35" t="n">
        <v>133</v>
      </c>
      <c r="HB588" s="35" t="n">
        <v>582</v>
      </c>
    </row>
    <row r="589">
      <c r="FC589" t="inlineStr">
        <is>
          <t>Diccionario 1</t>
        </is>
      </c>
      <c r="FD589" s="15" t="inlineStr"/>
      <c r="FE589" s="17" t="inlineStr">
        <is>
          <t>LDYECS315S0045862</t>
        </is>
      </c>
      <c r="FF589" s="18" t="inlineStr">
        <is>
          <t>MDN35025030216</t>
        </is>
      </c>
      <c r="FG589" s="18" t="inlineStr">
        <is>
          <t>Zhong Thong</t>
        </is>
      </c>
      <c r="FH589" s="18" t="inlineStr">
        <is>
          <t>Lck6122evg</t>
        </is>
      </c>
      <c r="FI589" s="18" t="inlineStr">
        <is>
          <t>Zhong Thong</t>
        </is>
      </c>
      <c r="FJ589" s="18" t="inlineStr">
        <is>
          <t>Lck6122evg</t>
        </is>
      </c>
      <c r="FK589" s="18" t="n">
        <v>2026</v>
      </c>
      <c r="FL589" s="18" t="inlineStr">
        <is>
          <t>B</t>
        </is>
      </c>
      <c r="FM589" s="18" t="inlineStr">
        <is>
          <t>Ducaud</t>
        </is>
      </c>
      <c r="FP589" t="inlineStr">
        <is>
          <t>B</t>
        </is>
      </c>
      <c r="FS589" s="14" t="inlineStr">
        <is>
          <t>LZPS-11</t>
        </is>
      </c>
      <c r="FT589" t="inlineStr">
        <is>
          <t>LZPS-11</t>
        </is>
      </c>
      <c r="FU589" t="inlineStr">
        <is>
          <t>LZPS-11</t>
        </is>
      </c>
      <c r="FV589">
        <f>VLOOKUP(FU589,FD:FL,9,0)</f>
        <v/>
      </c>
      <c r="HA589" s="35" t="n">
        <v>134</v>
      </c>
      <c r="HB589" s="35" t="n">
        <v>583</v>
      </c>
    </row>
    <row r="590">
      <c r="FC590" t="inlineStr">
        <is>
          <t>Diccionario 1</t>
        </is>
      </c>
      <c r="FD590" s="15" t="inlineStr"/>
      <c r="FE590" s="17" t="inlineStr">
        <is>
          <t>LDYECS318S0044155</t>
        </is>
      </c>
      <c r="FF590" s="18" t="inlineStr">
        <is>
          <t>MDN35025020268</t>
        </is>
      </c>
      <c r="FG590" s="18" t="inlineStr">
        <is>
          <t>Zhong Thong</t>
        </is>
      </c>
      <c r="FH590" s="18" t="inlineStr">
        <is>
          <t>Lck6122evg</t>
        </is>
      </c>
      <c r="FI590" s="18" t="inlineStr">
        <is>
          <t>Zhong Thong</t>
        </is>
      </c>
      <c r="FJ590" s="18" t="inlineStr">
        <is>
          <t>Lck6122evg</t>
        </is>
      </c>
      <c r="FK590" s="18" t="n">
        <v>2026</v>
      </c>
      <c r="FL590" s="18" t="inlineStr">
        <is>
          <t>B</t>
        </is>
      </c>
      <c r="FM590" s="18" t="inlineStr">
        <is>
          <t>Ducaud</t>
        </is>
      </c>
      <c r="FP590" t="inlineStr">
        <is>
          <t>B</t>
        </is>
      </c>
      <c r="FS590" s="14" t="inlineStr">
        <is>
          <t>SFVZ-85</t>
        </is>
      </c>
      <c r="FT590" t="inlineStr">
        <is>
          <t>SFVZ-85</t>
        </is>
      </c>
      <c r="FU590" t="inlineStr">
        <is>
          <t>SFVZ-85</t>
        </is>
      </c>
      <c r="FV590">
        <f>VLOOKUP(FU590,FD:FL,9,0)</f>
        <v/>
      </c>
      <c r="HA590" s="35" t="n">
        <v>135</v>
      </c>
      <c r="HB590" s="35" t="n">
        <v>584</v>
      </c>
    </row>
    <row r="591">
      <c r="FC591" t="inlineStr">
        <is>
          <t>Diccionario 1</t>
        </is>
      </c>
      <c r="FD591" s="15" t="inlineStr"/>
      <c r="FE591" s="17" t="inlineStr">
        <is>
          <t>LDYECS315S0045781</t>
        </is>
      </c>
      <c r="FF591" s="18" t="inlineStr">
        <is>
          <t>MDN35025030229</t>
        </is>
      </c>
      <c r="FG591" s="18" t="inlineStr">
        <is>
          <t>Zhong Thong</t>
        </is>
      </c>
      <c r="FH591" s="18" t="inlineStr">
        <is>
          <t>Lck6122evg</t>
        </is>
      </c>
      <c r="FI591" s="18" t="inlineStr">
        <is>
          <t>Zhong Thong</t>
        </is>
      </c>
      <c r="FJ591" s="18" t="inlineStr">
        <is>
          <t>Lck6122evg</t>
        </is>
      </c>
      <c r="FK591" s="18" t="n">
        <v>2026</v>
      </c>
      <c r="FL591" s="18" t="inlineStr">
        <is>
          <t>B</t>
        </is>
      </c>
      <c r="FM591" s="18" t="inlineStr">
        <is>
          <t>Ducaud</t>
        </is>
      </c>
      <c r="FP591" t="inlineStr">
        <is>
          <t>B</t>
        </is>
      </c>
      <c r="FS591" s="14" t="inlineStr">
        <is>
          <t>GCBF-53</t>
        </is>
      </c>
      <c r="FT591" t="inlineStr">
        <is>
          <t>GCBF-53</t>
        </is>
      </c>
      <c r="FU591" t="inlineStr">
        <is>
          <t>GCBF-53</t>
        </is>
      </c>
      <c r="FV591">
        <f>VLOOKUP(FU591,FD:FL,9,0)</f>
        <v/>
      </c>
      <c r="HA591" s="35" t="n">
        <v>136</v>
      </c>
      <c r="HB591" s="35" t="n">
        <v>585</v>
      </c>
    </row>
    <row r="592">
      <c r="FC592" t="inlineStr">
        <is>
          <t>Diccionario 1</t>
        </is>
      </c>
      <c r="FD592" s="15" t="inlineStr"/>
      <c r="FE592" s="17" t="inlineStr">
        <is>
          <t>LDYECS317S0045765</t>
        </is>
      </c>
      <c r="FF592" s="18" t="inlineStr">
        <is>
          <t>MDN35025030272</t>
        </is>
      </c>
      <c r="FG592" s="18" t="inlineStr">
        <is>
          <t>Zhong Thong</t>
        </is>
      </c>
      <c r="FH592" s="18" t="inlineStr">
        <is>
          <t>Lck6122evg</t>
        </is>
      </c>
      <c r="FI592" s="18" t="inlineStr">
        <is>
          <t>Zhong Thong</t>
        </is>
      </c>
      <c r="FJ592" s="18" t="inlineStr">
        <is>
          <t>Lck6122evg</t>
        </is>
      </c>
      <c r="FK592" s="18" t="n">
        <v>2026</v>
      </c>
      <c r="FL592" s="18" t="inlineStr">
        <is>
          <t>B</t>
        </is>
      </c>
      <c r="FM592" s="18" t="inlineStr">
        <is>
          <t>Ducaud</t>
        </is>
      </c>
      <c r="FP592" t="inlineStr">
        <is>
          <t>B</t>
        </is>
      </c>
      <c r="FS592" s="14" t="inlineStr">
        <is>
          <t>LZPS-19|</t>
        </is>
      </c>
      <c r="FT592" t="inlineStr">
        <is>
          <t>LZPS-19|</t>
        </is>
      </c>
      <c r="FU592" t="inlineStr">
        <is>
          <t>LZPS-19</t>
        </is>
      </c>
      <c r="FV592">
        <f>VLOOKUP(FU592,FD:FL,9,0)</f>
        <v/>
      </c>
      <c r="HA592" s="35" t="n">
        <v>137</v>
      </c>
      <c r="HB592" s="35" t="n">
        <v>586</v>
      </c>
    </row>
    <row r="593">
      <c r="FC593" t="inlineStr">
        <is>
          <t>Diccionario 1</t>
        </is>
      </c>
      <c r="FD593" s="15" t="inlineStr"/>
      <c r="FE593" s="17" t="inlineStr">
        <is>
          <t>LDYECS319S0045752</t>
        </is>
      </c>
      <c r="FF593" s="18" t="inlineStr">
        <is>
          <t>MDN35025030131</t>
        </is>
      </c>
      <c r="FG593" s="18" t="inlineStr">
        <is>
          <t>Zhong Thong</t>
        </is>
      </c>
      <c r="FH593" s="18" t="inlineStr">
        <is>
          <t>Lck6122evg</t>
        </is>
      </c>
      <c r="FI593" s="18" t="inlineStr">
        <is>
          <t>Zhong Thong</t>
        </is>
      </c>
      <c r="FJ593" s="18" t="inlineStr">
        <is>
          <t>Lck6122evg</t>
        </is>
      </c>
      <c r="FK593" s="18" t="n">
        <v>2026</v>
      </c>
      <c r="FL593" s="18" t="inlineStr">
        <is>
          <t>B</t>
        </is>
      </c>
      <c r="FM593" s="18" t="inlineStr">
        <is>
          <t>Ducaud</t>
        </is>
      </c>
      <c r="FP593" t="inlineStr">
        <is>
          <t>B</t>
        </is>
      </c>
      <c r="FS593" s="14" t="inlineStr">
        <is>
          <t>LZPR-90|</t>
        </is>
      </c>
      <c r="FT593" t="inlineStr">
        <is>
          <t>LZPR-90|</t>
        </is>
      </c>
      <c r="FU593" t="inlineStr">
        <is>
          <t>LZPR-90</t>
        </is>
      </c>
      <c r="FV593">
        <f>VLOOKUP(FU593,FD:FL,9,0)</f>
        <v/>
      </c>
      <c r="HA593" s="35" t="n">
        <v>138</v>
      </c>
      <c r="HB593" s="35" t="n">
        <v>587</v>
      </c>
    </row>
    <row r="594">
      <c r="FC594" t="inlineStr">
        <is>
          <t>Diccionario 1</t>
        </is>
      </c>
      <c r="FD594" s="15" t="inlineStr"/>
      <c r="FE594" s="17" t="inlineStr">
        <is>
          <t>LDYECS313S0045861</t>
        </is>
      </c>
      <c r="FF594" s="18" t="inlineStr">
        <is>
          <t>MDN35025030174</t>
        </is>
      </c>
      <c r="FG594" s="18" t="inlineStr">
        <is>
          <t>Zhong Thong</t>
        </is>
      </c>
      <c r="FH594" s="18" t="inlineStr">
        <is>
          <t>Lck6122evg</t>
        </is>
      </c>
      <c r="FI594" s="18" t="inlineStr">
        <is>
          <t>Zhong Thong</t>
        </is>
      </c>
      <c r="FJ594" s="18" t="inlineStr">
        <is>
          <t>Lck6122evg</t>
        </is>
      </c>
      <c r="FK594" s="18" t="n">
        <v>2026</v>
      </c>
      <c r="FL594" s="18" t="inlineStr">
        <is>
          <t>B</t>
        </is>
      </c>
      <c r="FM594" s="18" t="inlineStr">
        <is>
          <t>Ducaud</t>
        </is>
      </c>
      <c r="FP594" t="inlineStr">
        <is>
          <t>B</t>
        </is>
      </c>
      <c r="FS594" s="14" t="inlineStr">
        <is>
          <t>LZPG-24|</t>
        </is>
      </c>
      <c r="FT594" t="inlineStr">
        <is>
          <t>LZPG-24|</t>
        </is>
      </c>
      <c r="FU594" t="inlineStr">
        <is>
          <t>LZPG-24</t>
        </is>
      </c>
      <c r="FV594">
        <f>VLOOKUP(FU594,FD:FL,9,0)</f>
        <v/>
      </c>
      <c r="HA594" s="35" t="n">
        <v>139</v>
      </c>
      <c r="HB594" s="35" t="n">
        <v>588</v>
      </c>
    </row>
    <row r="595">
      <c r="FC595" t="inlineStr">
        <is>
          <t>Diccionario 1</t>
        </is>
      </c>
      <c r="FD595" s="15" t="inlineStr"/>
      <c r="FE595" s="17" t="inlineStr">
        <is>
          <t>LDYECS316S0045773</t>
        </is>
      </c>
      <c r="FF595" s="18" t="inlineStr">
        <is>
          <t>MDN35025030170</t>
        </is>
      </c>
      <c r="FG595" s="18" t="inlineStr">
        <is>
          <t>Zhong Thong</t>
        </is>
      </c>
      <c r="FH595" s="18" t="inlineStr">
        <is>
          <t>Lck6122evg</t>
        </is>
      </c>
      <c r="FI595" s="18" t="inlineStr">
        <is>
          <t>Zhong Thong</t>
        </is>
      </c>
      <c r="FJ595" s="18" t="inlineStr">
        <is>
          <t>Lck6122evg</t>
        </is>
      </c>
      <c r="FK595" s="18" t="n">
        <v>2026</v>
      </c>
      <c r="FL595" s="18" t="inlineStr">
        <is>
          <t>B</t>
        </is>
      </c>
      <c r="FM595" s="18" t="inlineStr">
        <is>
          <t>Ducaud</t>
        </is>
      </c>
      <c r="FP595" t="inlineStr">
        <is>
          <t>B</t>
        </is>
      </c>
      <c r="FS595" s="14" t="inlineStr">
        <is>
          <t>3068 / SFWB-84|</t>
        </is>
      </c>
      <c r="FT595" t="inlineStr">
        <is>
          <t>SFWB-84|</t>
        </is>
      </c>
      <c r="FU595" t="inlineStr">
        <is>
          <t>SFWB-84</t>
        </is>
      </c>
      <c r="FV595">
        <f>VLOOKUP(FU595,FD:FL,9,0)</f>
        <v/>
      </c>
      <c r="HA595" s="35" t="n">
        <v>140</v>
      </c>
      <c r="HB595" s="35" t="n">
        <v>589</v>
      </c>
    </row>
    <row r="596">
      <c r="FC596" t="inlineStr">
        <is>
          <t>Diccionario 1</t>
        </is>
      </c>
      <c r="FD596" s="15" t="inlineStr"/>
      <c r="FE596" s="17" t="inlineStr">
        <is>
          <t>LDYECS312S0045771</t>
        </is>
      </c>
      <c r="FF596" s="18" t="inlineStr">
        <is>
          <t>MDN35025030182</t>
        </is>
      </c>
      <c r="FG596" s="18" t="inlineStr">
        <is>
          <t>Zhong Thong</t>
        </is>
      </c>
      <c r="FH596" s="18" t="inlineStr">
        <is>
          <t>Lck6122evg</t>
        </is>
      </c>
      <c r="FI596" s="18" t="inlineStr">
        <is>
          <t>Zhong Thong</t>
        </is>
      </c>
      <c r="FJ596" s="18" t="inlineStr">
        <is>
          <t>Lck6122evg</t>
        </is>
      </c>
      <c r="FK596" s="18" t="n">
        <v>2026</v>
      </c>
      <c r="FL596" s="18" t="inlineStr">
        <is>
          <t>B</t>
        </is>
      </c>
      <c r="FM596" s="18" t="inlineStr">
        <is>
          <t>Ducaud</t>
        </is>
      </c>
      <c r="FP596" t="inlineStr">
        <is>
          <t>B</t>
        </is>
      </c>
      <c r="FS596" s="14" t="inlineStr">
        <is>
          <t>LZPR-78</t>
        </is>
      </c>
      <c r="FT596" t="inlineStr">
        <is>
          <t>LZPR-78</t>
        </is>
      </c>
      <c r="FU596" t="inlineStr">
        <is>
          <t>LZPR-78</t>
        </is>
      </c>
      <c r="FV596">
        <f>VLOOKUP(FU596,FD:FL,9,0)</f>
        <v/>
      </c>
      <c r="HA596" s="35" t="n">
        <v>141</v>
      </c>
      <c r="HB596" s="35" t="n">
        <v>590</v>
      </c>
    </row>
    <row r="597">
      <c r="FC597" t="inlineStr">
        <is>
          <t>Diccionario 1</t>
        </is>
      </c>
      <c r="FD597" s="15" t="inlineStr"/>
      <c r="FE597" s="17" t="inlineStr">
        <is>
          <t>LDYECS314S0045870</t>
        </is>
      </c>
      <c r="FF597" s="18" t="inlineStr">
        <is>
          <t>MDN35025030202</t>
        </is>
      </c>
      <c r="FG597" s="18" t="inlineStr">
        <is>
          <t>Zhong Thong</t>
        </is>
      </c>
      <c r="FH597" s="18" t="inlineStr">
        <is>
          <t>Lck6122evg</t>
        </is>
      </c>
      <c r="FI597" s="18" t="inlineStr">
        <is>
          <t>Zhong Thong</t>
        </is>
      </c>
      <c r="FJ597" s="18" t="inlineStr">
        <is>
          <t>Lck6122evg</t>
        </is>
      </c>
      <c r="FK597" s="18" t="n">
        <v>2026</v>
      </c>
      <c r="FL597" s="18" t="inlineStr">
        <is>
          <t>B</t>
        </is>
      </c>
      <c r="FM597" s="18" t="inlineStr">
        <is>
          <t>Ducaud</t>
        </is>
      </c>
      <c r="FP597" t="inlineStr">
        <is>
          <t>B</t>
        </is>
      </c>
      <c r="FS597" s="14" t="inlineStr">
        <is>
          <t>LZPT-52</t>
        </is>
      </c>
      <c r="FT597" t="inlineStr">
        <is>
          <t>LZPT-52</t>
        </is>
      </c>
      <c r="FU597" t="inlineStr">
        <is>
          <t>LZPT-52</t>
        </is>
      </c>
      <c r="FV597">
        <f>VLOOKUP(FU597,FD:FL,9,0)</f>
        <v/>
      </c>
      <c r="HA597" s="35" t="n">
        <v>142</v>
      </c>
      <c r="HB597" s="35" t="n">
        <v>591</v>
      </c>
    </row>
    <row r="598">
      <c r="FC598" t="inlineStr">
        <is>
          <t>Diccionario 1</t>
        </is>
      </c>
      <c r="FD598" s="15" t="inlineStr"/>
      <c r="FE598" s="17" t="inlineStr">
        <is>
          <t>LDYECS312S0045866</t>
        </is>
      </c>
      <c r="FF598" s="18" t="inlineStr">
        <is>
          <t>MDN35025030296</t>
        </is>
      </c>
      <c r="FG598" s="18" t="inlineStr">
        <is>
          <t>Zhong Thong</t>
        </is>
      </c>
      <c r="FH598" s="18" t="inlineStr">
        <is>
          <t>Lck6122evg</t>
        </is>
      </c>
      <c r="FI598" s="18" t="inlineStr">
        <is>
          <t>Zhong Thong</t>
        </is>
      </c>
      <c r="FJ598" s="18" t="inlineStr">
        <is>
          <t>Lck6122evg</t>
        </is>
      </c>
      <c r="FK598" s="18" t="n">
        <v>2026</v>
      </c>
      <c r="FL598" s="18" t="inlineStr">
        <is>
          <t>B</t>
        </is>
      </c>
      <c r="FM598" s="18" t="inlineStr">
        <is>
          <t>Ducaud</t>
        </is>
      </c>
      <c r="FP598" t="inlineStr">
        <is>
          <t>B</t>
        </is>
      </c>
      <c r="FS598" s="14" t="inlineStr">
        <is>
          <t>3051 / SFVZ-80|</t>
        </is>
      </c>
      <c r="FT598" t="inlineStr">
        <is>
          <t>SFVZ-80|</t>
        </is>
      </c>
      <c r="FU598" t="inlineStr">
        <is>
          <t>SFVZ-80</t>
        </is>
      </c>
      <c r="FV598">
        <f>VLOOKUP(FU598,FD:FL,9,0)</f>
        <v/>
      </c>
      <c r="HA598" s="35" t="n">
        <v>143</v>
      </c>
      <c r="HB598" s="35" t="n">
        <v>592</v>
      </c>
    </row>
    <row r="599">
      <c r="FC599" t="inlineStr">
        <is>
          <t>Diccionario 1</t>
        </is>
      </c>
      <c r="FD599" s="15" t="inlineStr"/>
      <c r="FE599" s="17" t="inlineStr">
        <is>
          <t>LDYECS314S0045867</t>
        </is>
      </c>
      <c r="FF599" s="18" t="inlineStr">
        <is>
          <t>MDN35025030263</t>
        </is>
      </c>
      <c r="FG599" s="18" t="inlineStr">
        <is>
          <t>Zhong Thong</t>
        </is>
      </c>
      <c r="FH599" s="18" t="inlineStr">
        <is>
          <t>Lck6122evg</t>
        </is>
      </c>
      <c r="FI599" s="18" t="inlineStr">
        <is>
          <t>Zhong Thong</t>
        </is>
      </c>
      <c r="FJ599" s="18" t="inlineStr">
        <is>
          <t>Lck6122evg</t>
        </is>
      </c>
      <c r="FK599" s="18" t="n">
        <v>2026</v>
      </c>
      <c r="FL599" s="18" t="inlineStr">
        <is>
          <t>B</t>
        </is>
      </c>
      <c r="FM599" s="18" t="inlineStr">
        <is>
          <t>Ducaud</t>
        </is>
      </c>
      <c r="FP599" t="inlineStr">
        <is>
          <t>B</t>
        </is>
      </c>
      <c r="FS599" s="14" t="inlineStr">
        <is>
          <t>LXWT-88|</t>
        </is>
      </c>
      <c r="FT599" t="inlineStr">
        <is>
          <t>LXWT-88|</t>
        </is>
      </c>
      <c r="FU599" t="inlineStr">
        <is>
          <t>LXWT-88</t>
        </is>
      </c>
      <c r="FV599">
        <f>VLOOKUP(FU599,FD:FL,9,0)</f>
        <v/>
      </c>
      <c r="HA599" s="35" t="n">
        <v>144</v>
      </c>
      <c r="HB599" s="35" t="n">
        <v>593</v>
      </c>
    </row>
    <row r="600">
      <c r="FC600" t="inlineStr">
        <is>
          <t>Diccionario 1</t>
        </is>
      </c>
      <c r="FD600" s="15" t="inlineStr"/>
      <c r="FE600" s="17" t="inlineStr">
        <is>
          <t>LDYECS318S0045872</t>
        </is>
      </c>
      <c r="FF600" s="18" t="inlineStr">
        <is>
          <t>MDN35025030208</t>
        </is>
      </c>
      <c r="FG600" s="18" t="inlineStr">
        <is>
          <t>Zhong Thong</t>
        </is>
      </c>
      <c r="FH600" s="18" t="inlineStr">
        <is>
          <t>Lck6122evg</t>
        </is>
      </c>
      <c r="FI600" s="18" t="inlineStr">
        <is>
          <t>Zhong Thong</t>
        </is>
      </c>
      <c r="FJ600" s="18" t="inlineStr">
        <is>
          <t>Lck6122evg</t>
        </is>
      </c>
      <c r="FK600" s="18" t="n">
        <v>2026</v>
      </c>
      <c r="FL600" s="18" t="inlineStr">
        <is>
          <t>B</t>
        </is>
      </c>
      <c r="FM600" s="18" t="inlineStr">
        <is>
          <t>Ducaud</t>
        </is>
      </c>
      <c r="FP600" t="inlineStr">
        <is>
          <t>B</t>
        </is>
      </c>
      <c r="FS600" s="14" t="inlineStr">
        <is>
          <t>3027 / SFVZ-85|</t>
        </is>
      </c>
      <c r="FT600" t="inlineStr">
        <is>
          <t>SFVZ-85|</t>
        </is>
      </c>
      <c r="FU600" t="inlineStr">
        <is>
          <t>SFVZ-85</t>
        </is>
      </c>
      <c r="FV600">
        <f>VLOOKUP(FU600,FD:FL,9,0)</f>
        <v/>
      </c>
      <c r="HA600" s="35" t="n">
        <v>145</v>
      </c>
      <c r="HB600" s="35" t="n">
        <v>594</v>
      </c>
    </row>
    <row r="601">
      <c r="FC601" t="inlineStr">
        <is>
          <t>Diccionario 1</t>
        </is>
      </c>
      <c r="FD601" s="15" t="inlineStr"/>
      <c r="FE601" s="17" t="inlineStr">
        <is>
          <t>LDYECS310S0045770</t>
        </is>
      </c>
      <c r="FF601" s="18" t="inlineStr">
        <is>
          <t>MDN35025030277</t>
        </is>
      </c>
      <c r="FG601" s="18" t="inlineStr">
        <is>
          <t>Zhong Thong</t>
        </is>
      </c>
      <c r="FH601" s="18" t="inlineStr">
        <is>
          <t>Lck6122evg</t>
        </is>
      </c>
      <c r="FI601" s="18" t="inlineStr">
        <is>
          <t>Zhong Thong</t>
        </is>
      </c>
      <c r="FJ601" s="18" t="inlineStr">
        <is>
          <t>Lck6122evg</t>
        </is>
      </c>
      <c r="FK601" s="18" t="n">
        <v>2026</v>
      </c>
      <c r="FL601" s="18" t="inlineStr">
        <is>
          <t>B</t>
        </is>
      </c>
      <c r="FM601" s="18" t="inlineStr">
        <is>
          <t>Ducaud</t>
        </is>
      </c>
      <c r="FP601" t="inlineStr">
        <is>
          <t>B</t>
        </is>
      </c>
      <c r="FS601" s="14" t="inlineStr">
        <is>
          <t>LZPS-11|</t>
        </is>
      </c>
      <c r="FT601" t="inlineStr">
        <is>
          <t>LZPS-11|</t>
        </is>
      </c>
      <c r="FU601" t="inlineStr">
        <is>
          <t>LZPS-11</t>
        </is>
      </c>
      <c r="FV601">
        <f>VLOOKUP(FU601,FD:FL,9,0)</f>
        <v/>
      </c>
      <c r="HA601" s="35" t="n">
        <v>146</v>
      </c>
      <c r="HB601" s="35" t="n">
        <v>595</v>
      </c>
    </row>
    <row r="602">
      <c r="FC602" t="inlineStr">
        <is>
          <t>Diccionario 1</t>
        </is>
      </c>
      <c r="FD602" s="15" t="inlineStr"/>
      <c r="FE602" s="17" t="inlineStr">
        <is>
          <t>LDYECS31XS0045713</t>
        </is>
      </c>
      <c r="FF602" s="18" t="inlineStr">
        <is>
          <t>MDN35025030118</t>
        </is>
      </c>
      <c r="FG602" s="18" t="inlineStr">
        <is>
          <t>Zhong Thong</t>
        </is>
      </c>
      <c r="FH602" s="18" t="inlineStr">
        <is>
          <t>Lck6122evg</t>
        </is>
      </c>
      <c r="FI602" s="18" t="inlineStr">
        <is>
          <t>Zhong Thong</t>
        </is>
      </c>
      <c r="FJ602" s="18" t="inlineStr">
        <is>
          <t>Lck6122evg</t>
        </is>
      </c>
      <c r="FK602" s="18" t="n">
        <v>2026</v>
      </c>
      <c r="FL602" s="18" t="inlineStr">
        <is>
          <t>B</t>
        </is>
      </c>
      <c r="FM602" s="18" t="inlineStr">
        <is>
          <t>Las Acacias</t>
        </is>
      </c>
      <c r="FP602" t="inlineStr">
        <is>
          <t>B</t>
        </is>
      </c>
      <c r="FS602" s="14" t="inlineStr">
        <is>
          <t>LZPW-14</t>
        </is>
      </c>
      <c r="FT602" t="inlineStr">
        <is>
          <t>LZPW-14</t>
        </is>
      </c>
      <c r="FU602" t="inlineStr">
        <is>
          <t>LZPW-14</t>
        </is>
      </c>
      <c r="FV602">
        <f>VLOOKUP(FU602,FD:FL,9,0)</f>
        <v/>
      </c>
      <c r="HA602" s="35" t="n">
        <v>147</v>
      </c>
      <c r="HB602" s="35" t="n">
        <v>596</v>
      </c>
    </row>
    <row r="603">
      <c r="FC603" t="inlineStr">
        <is>
          <t>Diccionario 1</t>
        </is>
      </c>
      <c r="FD603" s="15" t="inlineStr"/>
      <c r="FE603" s="17" t="inlineStr">
        <is>
          <t>LDYECS31XS0045808</t>
        </is>
      </c>
      <c r="FF603" s="18" t="inlineStr">
        <is>
          <t>MDN35025030192</t>
        </is>
      </c>
      <c r="FG603" s="18" t="inlineStr">
        <is>
          <t>Zhong Thong</t>
        </is>
      </c>
      <c r="FH603" s="18" t="inlineStr">
        <is>
          <t>Lck6122evg</t>
        </is>
      </c>
      <c r="FI603" s="18" t="inlineStr">
        <is>
          <t>Zhong Thong</t>
        </is>
      </c>
      <c r="FJ603" s="18" t="inlineStr">
        <is>
          <t>Lck6122evg</t>
        </is>
      </c>
      <c r="FK603" s="18" t="n">
        <v>2026</v>
      </c>
      <c r="FL603" s="18" t="inlineStr">
        <is>
          <t>B</t>
        </is>
      </c>
      <c r="FM603" s="18" t="inlineStr">
        <is>
          <t>Las Acacias</t>
        </is>
      </c>
      <c r="FP603" t="inlineStr">
        <is>
          <t>B</t>
        </is>
      </c>
      <c r="FS603" s="14" t="inlineStr">
        <is>
          <t>LZPR-95</t>
        </is>
      </c>
      <c r="FT603" t="inlineStr">
        <is>
          <t>LZPR-95</t>
        </is>
      </c>
      <c r="FU603" t="inlineStr">
        <is>
          <t>LZPR-95</t>
        </is>
      </c>
      <c r="FV603">
        <f>VLOOKUP(FU603,FD:FL,9,0)</f>
        <v/>
      </c>
      <c r="HA603" s="35" t="n">
        <v>148</v>
      </c>
      <c r="HB603" s="35" t="n">
        <v>597</v>
      </c>
    </row>
    <row r="604">
      <c r="FC604" t="inlineStr">
        <is>
          <t>Diccionario 1</t>
        </is>
      </c>
      <c r="FD604" s="15" t="inlineStr"/>
      <c r="FE604" s="17" t="inlineStr">
        <is>
          <t>8LDYECS314S004578</t>
        </is>
      </c>
      <c r="FF604" s="18" t="inlineStr">
        <is>
          <t>MDN35025030194</t>
        </is>
      </c>
      <c r="FG604" s="18" t="inlineStr">
        <is>
          <t>Zhong Thong</t>
        </is>
      </c>
      <c r="FH604" s="18" t="inlineStr">
        <is>
          <t>Lck6122evg</t>
        </is>
      </c>
      <c r="FI604" s="18" t="inlineStr">
        <is>
          <t>Zhong Thong</t>
        </is>
      </c>
      <c r="FJ604" s="18" t="inlineStr">
        <is>
          <t>Lck6122evg</t>
        </is>
      </c>
      <c r="FK604" s="18" t="n">
        <v>2026</v>
      </c>
      <c r="FL604" s="18" t="inlineStr">
        <is>
          <t>B</t>
        </is>
      </c>
      <c r="FM604" s="18" t="inlineStr">
        <is>
          <t>Las Acacias</t>
        </is>
      </c>
      <c r="FP604" t="inlineStr">
        <is>
          <t>B</t>
        </is>
      </c>
      <c r="FS604" s="14" t="inlineStr">
        <is>
          <t>GCBF-45</t>
        </is>
      </c>
      <c r="FT604" t="inlineStr">
        <is>
          <t>GCBF-45</t>
        </is>
      </c>
      <c r="FU604" t="inlineStr">
        <is>
          <t>GCBF-45</t>
        </is>
      </c>
      <c r="FV604">
        <f>VLOOKUP(FU604,FD:FL,9,0)</f>
        <v/>
      </c>
      <c r="HA604" s="35" t="n">
        <v>149</v>
      </c>
      <c r="HB604" s="35" t="n">
        <v>598</v>
      </c>
    </row>
    <row r="605">
      <c r="FC605" t="inlineStr">
        <is>
          <t>Diccionario 1</t>
        </is>
      </c>
      <c r="FD605" s="15" t="inlineStr"/>
      <c r="FE605" s="17" t="inlineStr">
        <is>
          <t>LDYECS310S0045705</t>
        </is>
      </c>
      <c r="FF605" s="18" t="inlineStr">
        <is>
          <t>MDN35025030236</t>
        </is>
      </c>
      <c r="FG605" s="18" t="inlineStr">
        <is>
          <t>Zhong Thong</t>
        </is>
      </c>
      <c r="FH605" s="18" t="inlineStr">
        <is>
          <t>Lck6122evg</t>
        </is>
      </c>
      <c r="FI605" s="18" t="inlineStr">
        <is>
          <t>Zhong Thong</t>
        </is>
      </c>
      <c r="FJ605" s="18" t="inlineStr">
        <is>
          <t>Lck6122evg</t>
        </is>
      </c>
      <c r="FK605" s="18" t="n">
        <v>2026</v>
      </c>
      <c r="FL605" s="18" t="inlineStr">
        <is>
          <t>B</t>
        </is>
      </c>
      <c r="FM605" s="18" t="inlineStr">
        <is>
          <t>Las Acacias</t>
        </is>
      </c>
      <c r="FP605" t="inlineStr">
        <is>
          <t>B</t>
        </is>
      </c>
      <c r="FS605" s="14" t="inlineStr">
        <is>
          <t>GCBF53</t>
        </is>
      </c>
      <c r="FT605" t="inlineStr">
        <is>
          <t>GCBF53</t>
        </is>
      </c>
      <c r="FU605" t="inlineStr">
        <is>
          <t>GCBF53</t>
        </is>
      </c>
      <c r="FV605">
        <f>VLOOKUP(FU605,FD:FL,9,0)</f>
        <v/>
      </c>
      <c r="HA605" s="35" t="n">
        <v>150</v>
      </c>
      <c r="HB605" s="35" t="n">
        <v>599</v>
      </c>
    </row>
    <row r="606">
      <c r="FC606" t="inlineStr">
        <is>
          <t>Diccionario 1</t>
        </is>
      </c>
      <c r="FD606" s="15" t="inlineStr"/>
      <c r="FE606" s="17" t="inlineStr">
        <is>
          <t>LDYECS318S0045774</t>
        </is>
      </c>
      <c r="FF606" s="18" t="inlineStr">
        <is>
          <t>MDN35025030173</t>
        </is>
      </c>
      <c r="FG606" s="18" t="inlineStr">
        <is>
          <t>Zhong Thong</t>
        </is>
      </c>
      <c r="FH606" s="18" t="inlineStr">
        <is>
          <t>Lck6122evg</t>
        </is>
      </c>
      <c r="FI606" s="18" t="inlineStr">
        <is>
          <t>Zhong Thong</t>
        </is>
      </c>
      <c r="FJ606" s="18" t="inlineStr">
        <is>
          <t>Lck6122evg</t>
        </is>
      </c>
      <c r="FK606" s="18" t="n">
        <v>2026</v>
      </c>
      <c r="FL606" s="18" t="inlineStr">
        <is>
          <t>B</t>
        </is>
      </c>
      <c r="FM606" s="18" t="inlineStr">
        <is>
          <t>Las Acacias</t>
        </is>
      </c>
      <c r="FP606" t="inlineStr">
        <is>
          <t>B</t>
        </is>
      </c>
      <c r="FS606" s="14" t="inlineStr">
        <is>
          <t>LZPS-19</t>
        </is>
      </c>
      <c r="FT606" t="inlineStr">
        <is>
          <t>LZPS-19</t>
        </is>
      </c>
      <c r="FU606" t="inlineStr">
        <is>
          <t>LZPS-19</t>
        </is>
      </c>
      <c r="FV606">
        <f>VLOOKUP(FU606,FD:FL,9,0)</f>
        <v/>
      </c>
      <c r="HA606" s="35" t="n">
        <v>151</v>
      </c>
      <c r="HB606" s="35" t="n">
        <v>600</v>
      </c>
    </row>
    <row r="607">
      <c r="FC607" t="inlineStr">
        <is>
          <t>Diccionario 1</t>
        </is>
      </c>
      <c r="FD607" s="15" t="inlineStr"/>
      <c r="FE607" s="17" t="inlineStr">
        <is>
          <t>LDYECS310S0045784</t>
        </is>
      </c>
      <c r="FF607" s="18" t="inlineStr">
        <is>
          <t>MDN35025030197</t>
        </is>
      </c>
      <c r="FG607" s="18" t="inlineStr">
        <is>
          <t>Zhong Thong</t>
        </is>
      </c>
      <c r="FH607" s="18" t="inlineStr">
        <is>
          <t>Lck6122evg</t>
        </is>
      </c>
      <c r="FI607" s="18" t="inlineStr">
        <is>
          <t>Zhong Thong</t>
        </is>
      </c>
      <c r="FJ607" s="18" t="inlineStr">
        <is>
          <t>Lck6122evg</t>
        </is>
      </c>
      <c r="FK607" s="18" t="n">
        <v>2026</v>
      </c>
      <c r="FL607" s="18" t="inlineStr">
        <is>
          <t>B</t>
        </is>
      </c>
      <c r="FM607" s="18" t="inlineStr">
        <is>
          <t>Las Acacias</t>
        </is>
      </c>
      <c r="FP607" t="inlineStr">
        <is>
          <t>B</t>
        </is>
      </c>
      <c r="FS607" s="14" t="inlineStr">
        <is>
          <t>LZPR-98</t>
        </is>
      </c>
      <c r="FT607" t="inlineStr">
        <is>
          <t>LZPR-98</t>
        </is>
      </c>
      <c r="FU607" t="inlineStr">
        <is>
          <t>LZPR-98</t>
        </is>
      </c>
      <c r="FV607">
        <f>VLOOKUP(FU607,FD:FL,9,0)</f>
        <v/>
      </c>
      <c r="HA607" s="35" t="n">
        <v>152</v>
      </c>
      <c r="HB607" s="35" t="n">
        <v>601</v>
      </c>
    </row>
    <row r="608">
      <c r="FC608" t="inlineStr">
        <is>
          <t>Diccionario 1</t>
        </is>
      </c>
      <c r="FD608" s="15" t="inlineStr"/>
      <c r="FE608" s="17" t="inlineStr">
        <is>
          <t>LDYECS311S0045700</t>
        </is>
      </c>
      <c r="FF608" s="18" t="inlineStr">
        <is>
          <t>MDN35025030297</t>
        </is>
      </c>
      <c r="FG608" s="18" t="inlineStr">
        <is>
          <t>Zhong Thong</t>
        </is>
      </c>
      <c r="FH608" s="18" t="inlineStr">
        <is>
          <t>Lck6122evg</t>
        </is>
      </c>
      <c r="FI608" s="18" t="inlineStr">
        <is>
          <t>Zhong Thong</t>
        </is>
      </c>
      <c r="FJ608" s="18" t="inlineStr">
        <is>
          <t>Lck6122evg</t>
        </is>
      </c>
      <c r="FK608" s="18" t="n">
        <v>2026</v>
      </c>
      <c r="FL608" s="18" t="inlineStr">
        <is>
          <t>B</t>
        </is>
      </c>
      <c r="FM608" s="18" t="inlineStr">
        <is>
          <t>Las Acacias</t>
        </is>
      </c>
      <c r="FP608" t="inlineStr">
        <is>
          <t>B</t>
        </is>
      </c>
      <c r="FS608" s="14" t="inlineStr">
        <is>
          <t>LZPR-78|</t>
        </is>
      </c>
      <c r="FT608" t="inlineStr">
        <is>
          <t>LZPR-78|</t>
        </is>
      </c>
      <c r="FU608" t="inlineStr">
        <is>
          <t>LZPR-78</t>
        </is>
      </c>
      <c r="FV608">
        <f>VLOOKUP(FU608,FD:FL,9,0)</f>
        <v/>
      </c>
      <c r="HA608" s="35" t="n">
        <v>153</v>
      </c>
      <c r="HB608" s="35" t="n">
        <v>602</v>
      </c>
    </row>
    <row r="609">
      <c r="FC609" t="inlineStr">
        <is>
          <t>Diccionario 1</t>
        </is>
      </c>
      <c r="FD609" s="15" t="inlineStr"/>
      <c r="FE609" s="17" t="inlineStr">
        <is>
          <t>LDYECS316S0045871</t>
        </is>
      </c>
      <c r="FF609" s="18" t="inlineStr">
        <is>
          <t>MDN35025030288</t>
        </is>
      </c>
      <c r="FG609" s="18" t="inlineStr">
        <is>
          <t>Zhong Thong</t>
        </is>
      </c>
      <c r="FH609" s="18" t="inlineStr">
        <is>
          <t>Lck6122evg</t>
        </is>
      </c>
      <c r="FI609" s="18" t="inlineStr">
        <is>
          <t>Zhong Thong</t>
        </is>
      </c>
      <c r="FJ609" s="18" t="inlineStr">
        <is>
          <t>Lck6122evg</t>
        </is>
      </c>
      <c r="FK609" s="18" t="n">
        <v>2026</v>
      </c>
      <c r="FL609" s="18" t="inlineStr">
        <is>
          <t>B</t>
        </is>
      </c>
      <c r="FM609" s="18" t="inlineStr">
        <is>
          <t>Las Acacias</t>
        </is>
      </c>
      <c r="FP609" t="inlineStr">
        <is>
          <t>B</t>
        </is>
      </c>
      <c r="FS609" s="14" t="inlineStr">
        <is>
          <t>LZPG-24|</t>
        </is>
      </c>
      <c r="FT609" t="inlineStr">
        <is>
          <t>LZPG-24|</t>
        </is>
      </c>
      <c r="FU609" t="inlineStr">
        <is>
          <t>LZPG-24</t>
        </is>
      </c>
      <c r="FV609">
        <f>VLOOKUP(FU609,FD:FL,9,0)</f>
        <v/>
      </c>
      <c r="HA609" s="35" t="n">
        <v>154</v>
      </c>
      <c r="HB609" s="35" t="n">
        <v>603</v>
      </c>
    </row>
    <row r="610">
      <c r="FC610" t="inlineStr">
        <is>
          <t>Diccionario 1</t>
        </is>
      </c>
      <c r="FD610" s="15" t="inlineStr"/>
      <c r="FE610" s="17" t="inlineStr">
        <is>
          <t>LDYECS312S0045768</t>
        </is>
      </c>
      <c r="FF610" s="18" t="inlineStr">
        <is>
          <t>MDN35025030284</t>
        </is>
      </c>
      <c r="FG610" s="18" t="inlineStr">
        <is>
          <t>Zhong Thong</t>
        </is>
      </c>
      <c r="FH610" s="18" t="inlineStr">
        <is>
          <t>Lck6122evg</t>
        </is>
      </c>
      <c r="FI610" s="18" t="inlineStr">
        <is>
          <t>Zhong Thong</t>
        </is>
      </c>
      <c r="FJ610" s="18" t="inlineStr">
        <is>
          <t>Lck6122evg</t>
        </is>
      </c>
      <c r="FK610" s="18" t="n">
        <v>2026</v>
      </c>
      <c r="FL610" s="18" t="inlineStr">
        <is>
          <t>B</t>
        </is>
      </c>
      <c r="FM610" s="18" t="inlineStr">
        <is>
          <t>Las Acacias</t>
        </is>
      </c>
      <c r="FP610" t="inlineStr">
        <is>
          <t>B</t>
        </is>
      </c>
      <c r="FS610" s="14" t="inlineStr">
        <is>
          <t>SFWB-84</t>
        </is>
      </c>
      <c r="FT610" t="inlineStr">
        <is>
          <t>SFWB-84</t>
        </is>
      </c>
      <c r="FU610" t="inlineStr">
        <is>
          <t>SFWB-84</t>
        </is>
      </c>
      <c r="FV610">
        <f>VLOOKUP(FU610,FD:FL,9,0)</f>
        <v/>
      </c>
      <c r="HA610" s="35" t="n">
        <v>155</v>
      </c>
      <c r="HB610" s="35" t="n">
        <v>604</v>
      </c>
    </row>
    <row r="611">
      <c r="FC611" t="inlineStr">
        <is>
          <t>Diccionario 1</t>
        </is>
      </c>
      <c r="FD611" s="15" t="inlineStr"/>
      <c r="FE611" s="17" t="inlineStr">
        <is>
          <t>LDYECS311S0045874</t>
        </is>
      </c>
      <c r="FF611" s="18" t="inlineStr">
        <is>
          <t>MDN35025030278</t>
        </is>
      </c>
      <c r="FG611" s="18" t="inlineStr">
        <is>
          <t>Zhong Thong</t>
        </is>
      </c>
      <c r="FH611" s="18" t="inlineStr">
        <is>
          <t>Lck6122evg</t>
        </is>
      </c>
      <c r="FI611" s="18" t="inlineStr">
        <is>
          <t>Zhong Thong</t>
        </is>
      </c>
      <c r="FJ611" s="18" t="inlineStr">
        <is>
          <t>Lck6122evg</t>
        </is>
      </c>
      <c r="FK611" s="18" t="n">
        <v>2026</v>
      </c>
      <c r="FL611" s="18" t="inlineStr">
        <is>
          <t>B</t>
        </is>
      </c>
      <c r="FM611" s="18" t="inlineStr">
        <is>
          <t>Las Acacias</t>
        </is>
      </c>
      <c r="FP611" t="inlineStr">
        <is>
          <t>B</t>
        </is>
      </c>
      <c r="FS611" s="14" t="inlineStr">
        <is>
          <t>LZPT-52|</t>
        </is>
      </c>
      <c r="FT611" t="inlineStr">
        <is>
          <t>LZPT-52|</t>
        </is>
      </c>
      <c r="FU611" t="inlineStr">
        <is>
          <t>LZPT-52</t>
        </is>
      </c>
      <c r="FV611">
        <f>VLOOKUP(FU611,FD:FL,9,0)</f>
        <v/>
      </c>
      <c r="HA611" s="35" t="n">
        <v>156</v>
      </c>
      <c r="HB611" s="35" t="n">
        <v>605</v>
      </c>
    </row>
    <row r="612">
      <c r="FC612" t="inlineStr">
        <is>
          <t>Diccionario 1</t>
        </is>
      </c>
      <c r="FD612" s="15" t="inlineStr"/>
      <c r="FE612" s="17" t="inlineStr">
        <is>
          <t>LDYECS311S0045759</t>
        </is>
      </c>
      <c r="FF612" s="18" t="inlineStr">
        <is>
          <t>MDN35025030145</t>
        </is>
      </c>
      <c r="FG612" s="18" t="inlineStr">
        <is>
          <t>Zhong Thong</t>
        </is>
      </c>
      <c r="FH612" s="18" t="inlineStr">
        <is>
          <t>Lck6122evg</t>
        </is>
      </c>
      <c r="FI612" s="18" t="inlineStr">
        <is>
          <t>Zhong Thong</t>
        </is>
      </c>
      <c r="FJ612" s="18" t="inlineStr">
        <is>
          <t>Lck6122evg</t>
        </is>
      </c>
      <c r="FK612" s="18" t="n">
        <v>2026</v>
      </c>
      <c r="FL612" s="18" t="inlineStr">
        <is>
          <t>B</t>
        </is>
      </c>
      <c r="FM612" s="18" t="inlineStr">
        <is>
          <t>Las Acacias</t>
        </is>
      </c>
      <c r="FP612" t="inlineStr">
        <is>
          <t>B</t>
        </is>
      </c>
      <c r="FS612" s="14" t="inlineStr">
        <is>
          <t>LZPW-21</t>
        </is>
      </c>
      <c r="FT612" t="inlineStr">
        <is>
          <t>LZPW-21</t>
        </is>
      </c>
      <c r="FU612" t="inlineStr">
        <is>
          <t>LZPW-21</t>
        </is>
      </c>
      <c r="FV612">
        <f>VLOOKUP(FU612,FD:FL,9,0)</f>
        <v/>
      </c>
      <c r="HA612" s="35" t="n">
        <v>157</v>
      </c>
      <c r="HB612" s="35" t="n">
        <v>606</v>
      </c>
    </row>
    <row r="613">
      <c r="FC613" t="inlineStr">
        <is>
          <t>Diccionario 1</t>
        </is>
      </c>
      <c r="FD613" s="15" t="inlineStr"/>
      <c r="FE613" s="17" t="inlineStr">
        <is>
          <t>LDYECS839S0045647</t>
        </is>
      </c>
      <c r="FF613" s="18" t="inlineStr">
        <is>
          <t>MJJ20025010022</t>
        </is>
      </c>
      <c r="FG613" s="18" t="inlineStr">
        <is>
          <t>Zhong Thong</t>
        </is>
      </c>
      <c r="FH613" s="18" t="inlineStr">
        <is>
          <t>Lck6850evg</t>
        </is>
      </c>
      <c r="FI613" s="18" t="inlineStr">
        <is>
          <t>Zhong Thong</t>
        </is>
      </c>
      <c r="FJ613" s="18" t="inlineStr">
        <is>
          <t>Lck6850evg</t>
        </is>
      </c>
      <c r="FK613" s="18" t="n">
        <v>2026</v>
      </c>
      <c r="FL613" s="18" t="inlineStr">
        <is>
          <t>A</t>
        </is>
      </c>
      <c r="FM613" s="18" t="inlineStr">
        <is>
          <t>Las Acacias</t>
        </is>
      </c>
      <c r="FP613" t="inlineStr">
        <is>
          <t>A</t>
        </is>
      </c>
      <c r="FS613" s="14" t="inlineStr">
        <is>
          <t>SFVZ-80</t>
        </is>
      </c>
      <c r="FT613" t="inlineStr">
        <is>
          <t>SFVZ-80</t>
        </is>
      </c>
      <c r="FU613" t="inlineStr">
        <is>
          <t>SFVZ-80</t>
        </is>
      </c>
      <c r="FV613">
        <f>VLOOKUP(FU613,FD:FL,9,0)</f>
        <v/>
      </c>
      <c r="HA613" s="35" t="n">
        <v>158</v>
      </c>
      <c r="HB613" s="35" t="n">
        <v>607</v>
      </c>
    </row>
    <row r="614">
      <c r="FC614" t="inlineStr">
        <is>
          <t>Diccionario 1</t>
        </is>
      </c>
      <c r="FD614" s="15" t="inlineStr"/>
      <c r="FE614" s="17" t="inlineStr">
        <is>
          <t>LDYECS83XS0045642</t>
        </is>
      </c>
      <c r="FF614" s="18" t="inlineStr">
        <is>
          <t>MJJ20025010017</t>
        </is>
      </c>
      <c r="FG614" s="18" t="inlineStr">
        <is>
          <t>Zhong Thong</t>
        </is>
      </c>
      <c r="FH614" s="18" t="inlineStr">
        <is>
          <t>Lck6850evg</t>
        </is>
      </c>
      <c r="FI614" s="18" t="inlineStr">
        <is>
          <t>Zhong Thong</t>
        </is>
      </c>
      <c r="FJ614" s="18" t="inlineStr">
        <is>
          <t>Lck6850evg</t>
        </is>
      </c>
      <c r="FK614" s="18" t="n">
        <v>2026</v>
      </c>
      <c r="FL614" s="18" t="inlineStr">
        <is>
          <t>A</t>
        </is>
      </c>
      <c r="FM614" s="18" t="inlineStr">
        <is>
          <t>Las Acacias</t>
        </is>
      </c>
      <c r="FP614" t="inlineStr">
        <is>
          <t>A</t>
        </is>
      </c>
      <c r="FS614" s="14" t="inlineStr">
        <is>
          <t>LXWT-88|</t>
        </is>
      </c>
      <c r="FT614" t="inlineStr">
        <is>
          <t>LXWT-88|</t>
        </is>
      </c>
      <c r="FU614" t="inlineStr">
        <is>
          <t>LXWT-88</t>
        </is>
      </c>
      <c r="FV614">
        <f>VLOOKUP(FU614,FD:FL,9,0)</f>
        <v/>
      </c>
      <c r="HA614" s="35" t="n">
        <v>159</v>
      </c>
      <c r="HB614" s="35" t="n">
        <v>608</v>
      </c>
    </row>
    <row r="615">
      <c r="FC615" t="inlineStr">
        <is>
          <t>Diccionario 1</t>
        </is>
      </c>
      <c r="FD615" s="15" t="inlineStr"/>
      <c r="FE615" s="17" t="inlineStr">
        <is>
          <t>LDYECS835S0045645</t>
        </is>
      </c>
      <c r="FF615" s="18" t="inlineStr">
        <is>
          <t>MJJ20025010002</t>
        </is>
      </c>
      <c r="FG615" s="18" t="inlineStr">
        <is>
          <t>Zhong Thong</t>
        </is>
      </c>
      <c r="FH615" s="18" t="inlineStr">
        <is>
          <t>Lck6850evg</t>
        </is>
      </c>
      <c r="FI615" s="18" t="inlineStr">
        <is>
          <t>Zhong Thong</t>
        </is>
      </c>
      <c r="FJ615" s="18" t="inlineStr">
        <is>
          <t>Lck6850evg</t>
        </is>
      </c>
      <c r="FK615" s="18" t="n">
        <v>2026</v>
      </c>
      <c r="FL615" s="18" t="inlineStr">
        <is>
          <t>A</t>
        </is>
      </c>
      <c r="FM615" s="18" t="inlineStr">
        <is>
          <t>Las Acacias</t>
        </is>
      </c>
      <c r="FP615" t="inlineStr">
        <is>
          <t>A</t>
        </is>
      </c>
      <c r="FS615" s="14" t="inlineStr">
        <is>
          <t>LZPW-13</t>
        </is>
      </c>
      <c r="FT615" t="inlineStr">
        <is>
          <t>LZPW-13</t>
        </is>
      </c>
      <c r="FU615" t="inlineStr">
        <is>
          <t>LZPW-13</t>
        </is>
      </c>
      <c r="FV615">
        <f>VLOOKUP(FU615,FD:FL,9,0)</f>
        <v/>
      </c>
      <c r="HA615" s="35" t="n">
        <v>160</v>
      </c>
      <c r="HB615" s="35" t="n">
        <v>609</v>
      </c>
    </row>
    <row r="616">
      <c r="FC616" t="inlineStr">
        <is>
          <t>Diccionario 1</t>
        </is>
      </c>
      <c r="FD616" s="15" t="inlineStr"/>
      <c r="FE616" s="17" t="inlineStr">
        <is>
          <t>LDYECS838S0045638</t>
        </is>
      </c>
      <c r="FF616" s="18" t="inlineStr">
        <is>
          <t>MJJ20025010018</t>
        </is>
      </c>
      <c r="FG616" s="18" t="inlineStr">
        <is>
          <t>Zhong Thong</t>
        </is>
      </c>
      <c r="FH616" s="18" t="inlineStr">
        <is>
          <t>Lck6850evg</t>
        </is>
      </c>
      <c r="FI616" s="18" t="inlineStr">
        <is>
          <t>Zhong Thong</t>
        </is>
      </c>
      <c r="FJ616" s="18" t="inlineStr">
        <is>
          <t>Lck6850evg</t>
        </is>
      </c>
      <c r="FK616" s="18" t="n">
        <v>2026</v>
      </c>
      <c r="FL616" s="18" t="inlineStr">
        <is>
          <t>A</t>
        </is>
      </c>
      <c r="FM616" s="18" t="inlineStr">
        <is>
          <t>Las Acacias</t>
        </is>
      </c>
      <c r="FP616" t="inlineStr">
        <is>
          <t>A</t>
        </is>
      </c>
      <c r="FS616" s="14" t="inlineStr">
        <is>
          <t>LZPW-14</t>
        </is>
      </c>
      <c r="FT616" t="inlineStr">
        <is>
          <t>LZPW-14</t>
        </is>
      </c>
      <c r="FU616" t="inlineStr">
        <is>
          <t>LZPW-14</t>
        </is>
      </c>
      <c r="FV616">
        <f>VLOOKUP(FU616,FD:FL,9,0)</f>
        <v/>
      </c>
      <c r="HA616" s="35" t="n">
        <v>161</v>
      </c>
      <c r="HB616" s="35" t="n">
        <v>610</v>
      </c>
    </row>
    <row r="617">
      <c r="FC617" t="inlineStr">
        <is>
          <t>Diccionario 1</t>
        </is>
      </c>
      <c r="FD617" s="15" t="inlineStr"/>
      <c r="FE617" s="17" t="inlineStr">
        <is>
          <t>LDYECS838S0045641</t>
        </is>
      </c>
      <c r="FF617" s="18" t="inlineStr">
        <is>
          <t>MJJ20025010006</t>
        </is>
      </c>
      <c r="FG617" s="18" t="inlineStr">
        <is>
          <t>Zhong Thong</t>
        </is>
      </c>
      <c r="FH617" s="18" t="inlineStr">
        <is>
          <t>Lck6850evg</t>
        </is>
      </c>
      <c r="FI617" s="18" t="inlineStr">
        <is>
          <t>Zhong Thong</t>
        </is>
      </c>
      <c r="FJ617" s="18" t="inlineStr">
        <is>
          <t>Lck6850evg</t>
        </is>
      </c>
      <c r="FK617" s="18" t="n">
        <v>2026</v>
      </c>
      <c r="FL617" s="18" t="inlineStr">
        <is>
          <t>A</t>
        </is>
      </c>
      <c r="FM617" s="18" t="inlineStr">
        <is>
          <t>Las Acacias</t>
        </is>
      </c>
      <c r="FP617" t="inlineStr">
        <is>
          <t>A</t>
        </is>
      </c>
      <c r="FS617" s="14" t="inlineStr">
        <is>
          <t>GCBF-45|</t>
        </is>
      </c>
      <c r="FT617" t="inlineStr">
        <is>
          <t>GCBF-45|</t>
        </is>
      </c>
      <c r="FU617" t="inlineStr">
        <is>
          <t>GCBF-45</t>
        </is>
      </c>
      <c r="FV617">
        <f>VLOOKUP(FU617,FD:FL,9,0)</f>
        <v/>
      </c>
      <c r="HA617" s="35" t="n">
        <v>162</v>
      </c>
      <c r="HB617" s="35" t="n">
        <v>611</v>
      </c>
    </row>
    <row r="618">
      <c r="FC618" t="inlineStr">
        <is>
          <t>Diccionario 1</t>
        </is>
      </c>
      <c r="FD618" s="15" t="inlineStr"/>
      <c r="FE618" s="17" t="inlineStr">
        <is>
          <t>LDYECS831S0045643</t>
        </is>
      </c>
      <c r="FF618" s="18" t="inlineStr">
        <is>
          <t>MJJ20025010055</t>
        </is>
      </c>
      <c r="FG618" s="18" t="inlineStr">
        <is>
          <t>Zhong Thong</t>
        </is>
      </c>
      <c r="FH618" s="18" t="inlineStr">
        <is>
          <t>Lck6850evg</t>
        </is>
      </c>
      <c r="FI618" s="18" t="inlineStr">
        <is>
          <t>Zhong Thong</t>
        </is>
      </c>
      <c r="FJ618" s="18" t="inlineStr">
        <is>
          <t>Lck6850evg</t>
        </is>
      </c>
      <c r="FK618" s="18" t="n">
        <v>2026</v>
      </c>
      <c r="FL618" s="18" t="inlineStr">
        <is>
          <t>A</t>
        </is>
      </c>
      <c r="FM618" s="18" t="inlineStr">
        <is>
          <t>Las Acacias</t>
        </is>
      </c>
      <c r="FP618" t="inlineStr">
        <is>
          <t>A</t>
        </is>
      </c>
      <c r="FS618" s="14" t="inlineStr">
        <is>
          <t>LZPR-95|</t>
        </is>
      </c>
      <c r="FT618" t="inlineStr">
        <is>
          <t>LZPR-95|</t>
        </is>
      </c>
      <c r="FU618" t="inlineStr">
        <is>
          <t>LZPR-95</t>
        </is>
      </c>
      <c r="FV618">
        <f>VLOOKUP(FU618,FD:FL,9,0)</f>
        <v/>
      </c>
      <c r="HA618" s="35" t="n">
        <v>163</v>
      </c>
      <c r="HB618" s="35" t="n">
        <v>612</v>
      </c>
    </row>
    <row r="619">
      <c r="FC619" t="inlineStr">
        <is>
          <t>Diccionario 1</t>
        </is>
      </c>
      <c r="FD619" s="15" t="inlineStr"/>
      <c r="FE619" s="17" t="inlineStr">
        <is>
          <t>LDYECS835S0044527</t>
        </is>
      </c>
      <c r="FF619" s="18" t="inlineStr">
        <is>
          <t>MJJ20025010038</t>
        </is>
      </c>
      <c r="FG619" s="18" t="inlineStr">
        <is>
          <t>Zhong Thong</t>
        </is>
      </c>
      <c r="FH619" s="18" t="inlineStr">
        <is>
          <t>Lck6850evg</t>
        </is>
      </c>
      <c r="FI619" s="18" t="inlineStr">
        <is>
          <t>Zhong Thong</t>
        </is>
      </c>
      <c r="FJ619" s="18" t="inlineStr">
        <is>
          <t>Lck6850evg</t>
        </is>
      </c>
      <c r="FK619" s="18" t="n">
        <v>2026</v>
      </c>
      <c r="FL619" s="18" t="inlineStr">
        <is>
          <t>A</t>
        </is>
      </c>
      <c r="FM619" s="18" t="inlineStr">
        <is>
          <t>Las Acacias</t>
        </is>
      </c>
      <c r="FP619" t="inlineStr">
        <is>
          <t>A</t>
        </is>
      </c>
      <c r="FS619" s="14" t="inlineStr">
        <is>
          <t>LZPT-67|</t>
        </is>
      </c>
      <c r="FT619" t="inlineStr">
        <is>
          <t>LZPT-67|</t>
        </is>
      </c>
      <c r="FU619" t="inlineStr">
        <is>
          <t>LZPT-67</t>
        </is>
      </c>
      <c r="FV619">
        <f>VLOOKUP(FU619,FD:FL,9,0)</f>
        <v/>
      </c>
      <c r="HA619" s="35" t="n">
        <v>164</v>
      </c>
      <c r="HB619" s="35" t="n">
        <v>613</v>
      </c>
    </row>
    <row r="620">
      <c r="FC620" t="inlineStr">
        <is>
          <t>Diccionario 1</t>
        </is>
      </c>
      <c r="FD620" s="15" t="inlineStr"/>
      <c r="FE620" s="17" t="inlineStr">
        <is>
          <t>LDYECS837S0044528</t>
        </is>
      </c>
      <c r="FF620" s="18" t="inlineStr">
        <is>
          <t>MJJ20025010031</t>
        </is>
      </c>
      <c r="FG620" s="18" t="inlineStr">
        <is>
          <t>Zhong Thong</t>
        </is>
      </c>
      <c r="FH620" s="18" t="inlineStr">
        <is>
          <t>Lck6850evg</t>
        </is>
      </c>
      <c r="FI620" s="18" t="inlineStr">
        <is>
          <t>Zhong Thong</t>
        </is>
      </c>
      <c r="FJ620" s="18" t="inlineStr">
        <is>
          <t>Lck6850evg</t>
        </is>
      </c>
      <c r="FK620" s="18" t="n">
        <v>2026</v>
      </c>
      <c r="FL620" s="18" t="inlineStr">
        <is>
          <t>A</t>
        </is>
      </c>
      <c r="FM620" s="18" t="inlineStr">
        <is>
          <t>Las Acacias</t>
        </is>
      </c>
      <c r="FP620" t="inlineStr">
        <is>
          <t>A</t>
        </is>
      </c>
      <c r="FS620" s="14" t="inlineStr">
        <is>
          <t>GCBF-53|</t>
        </is>
      </c>
      <c r="FT620" t="inlineStr">
        <is>
          <t>GCBF-53|</t>
        </is>
      </c>
      <c r="FU620" t="inlineStr">
        <is>
          <t>GCBF-53</t>
        </is>
      </c>
      <c r="FV620">
        <f>VLOOKUP(FU620,FD:FL,9,0)</f>
        <v/>
      </c>
      <c r="HA620" s="35" t="n">
        <v>165</v>
      </c>
      <c r="HB620" s="35" t="n">
        <v>614</v>
      </c>
    </row>
    <row r="621">
      <c r="FC621" t="inlineStr">
        <is>
          <t>Diccionario 1</t>
        </is>
      </c>
      <c r="FD621" s="15" t="inlineStr"/>
      <c r="FE621" s="17" t="inlineStr">
        <is>
          <t>LDYECS835S0045614</t>
        </is>
      </c>
      <c r="FF621" s="18" t="inlineStr">
        <is>
          <t>MJJ20025010009</t>
        </is>
      </c>
      <c r="FG621" s="18" t="inlineStr">
        <is>
          <t>Zhong Thong</t>
        </is>
      </c>
      <c r="FH621" s="18" t="inlineStr">
        <is>
          <t>Lck6850evg</t>
        </is>
      </c>
      <c r="FI621" s="18" t="inlineStr">
        <is>
          <t>Zhong Thong</t>
        </is>
      </c>
      <c r="FJ621" s="18" t="inlineStr">
        <is>
          <t>Lck6850evg</t>
        </is>
      </c>
      <c r="FK621" s="18" t="n">
        <v>2026</v>
      </c>
      <c r="FL621" s="18" t="inlineStr">
        <is>
          <t>A</t>
        </is>
      </c>
      <c r="FM621" s="18" t="inlineStr">
        <is>
          <t>Las Acacias</t>
        </is>
      </c>
      <c r="FP621" t="inlineStr">
        <is>
          <t>A</t>
        </is>
      </c>
      <c r="FS621" s="14" t="inlineStr">
        <is>
          <t>SFWZ-27|</t>
        </is>
      </c>
      <c r="FT621" t="inlineStr">
        <is>
          <t>SFWZ-27|</t>
        </is>
      </c>
      <c r="FU621" t="inlineStr">
        <is>
          <t>SFWZ-27</t>
        </is>
      </c>
      <c r="FV621">
        <f>VLOOKUP(FU621,FD:FL,9,0)</f>
        <v/>
      </c>
      <c r="HA621" s="35" t="n">
        <v>166</v>
      </c>
      <c r="HB621" s="35" t="n">
        <v>615</v>
      </c>
    </row>
    <row r="622">
      <c r="FC622" t="inlineStr">
        <is>
          <t>Diccionario 1</t>
        </is>
      </c>
      <c r="FD622" s="15" t="inlineStr"/>
      <c r="FE622" s="17" t="inlineStr">
        <is>
          <t>LDYECS319S0045797</t>
        </is>
      </c>
      <c r="FF622" s="18" t="inlineStr">
        <is>
          <t>MDN35025030308</t>
        </is>
      </c>
      <c r="FG622" s="18" t="inlineStr">
        <is>
          <t>Zhong Thong</t>
        </is>
      </c>
      <c r="FH622" s="18" t="inlineStr">
        <is>
          <t>Lck6122evg</t>
        </is>
      </c>
      <c r="FI622" s="18" t="inlineStr">
        <is>
          <t>Zhong Thong</t>
        </is>
      </c>
      <c r="FJ622" s="18" t="inlineStr">
        <is>
          <t>Lck6122evg</t>
        </is>
      </c>
      <c r="FK622" s="18" t="n">
        <v>2026</v>
      </c>
      <c r="FL622" s="18" t="inlineStr">
        <is>
          <t>B</t>
        </is>
      </c>
      <c r="FM622" s="18" t="inlineStr">
        <is>
          <t>Las Acacias</t>
        </is>
      </c>
      <c r="FP622" t="inlineStr">
        <is>
          <t>B</t>
        </is>
      </c>
      <c r="FS622" s="14" t="inlineStr">
        <is>
          <t>LZPR-98|</t>
        </is>
      </c>
      <c r="FT622" t="inlineStr">
        <is>
          <t>LZPR-98|</t>
        </is>
      </c>
      <c r="FU622" t="inlineStr">
        <is>
          <t>LZPR-98</t>
        </is>
      </c>
      <c r="FV622">
        <f>VLOOKUP(FU622,FD:FL,9,0)</f>
        <v/>
      </c>
      <c r="HA622" s="35" t="n">
        <v>167</v>
      </c>
      <c r="HB622" s="35" t="n">
        <v>616</v>
      </c>
    </row>
    <row r="623">
      <c r="FC623" t="inlineStr">
        <is>
          <t>Diccionario 1</t>
        </is>
      </c>
      <c r="FD623" s="15" t="inlineStr"/>
      <c r="FE623" s="17" t="inlineStr">
        <is>
          <t>LDYECS315S0045800</t>
        </is>
      </c>
      <c r="FF623" s="18" t="inlineStr">
        <is>
          <t>MDN35025030258</t>
        </is>
      </c>
      <c r="FG623" s="18" t="inlineStr">
        <is>
          <t>Zhong Thong</t>
        </is>
      </c>
      <c r="FH623" s="18" t="inlineStr">
        <is>
          <t>Lck6122evg</t>
        </is>
      </c>
      <c r="FI623" s="18" t="inlineStr">
        <is>
          <t>Zhong Thong</t>
        </is>
      </c>
      <c r="FJ623" s="18" t="inlineStr">
        <is>
          <t>Lck6122evg</t>
        </is>
      </c>
      <c r="FK623" s="18" t="n">
        <v>2026</v>
      </c>
      <c r="FL623" s="18" t="inlineStr">
        <is>
          <t>B</t>
        </is>
      </c>
      <c r="FM623" s="18" t="inlineStr">
        <is>
          <t>Las Acacias</t>
        </is>
      </c>
      <c r="FP623" t="inlineStr">
        <is>
          <t>B</t>
        </is>
      </c>
      <c r="FS623" s="14" t="inlineStr">
        <is>
          <t>LZPR-78|</t>
        </is>
      </c>
      <c r="FT623" t="inlineStr">
        <is>
          <t>LZPR-78|</t>
        </is>
      </c>
      <c r="FU623" t="inlineStr">
        <is>
          <t>LZPR-78</t>
        </is>
      </c>
      <c r="FV623">
        <f>VLOOKUP(FU623,FD:FL,9,0)</f>
        <v/>
      </c>
      <c r="HA623" s="35" t="n">
        <v>168</v>
      </c>
      <c r="HB623" s="35" t="n">
        <v>617</v>
      </c>
    </row>
    <row r="624">
      <c r="FC624" t="inlineStr">
        <is>
          <t>Diccionario 1</t>
        </is>
      </c>
      <c r="FD624" s="15" t="inlineStr"/>
      <c r="FE624" s="17" t="inlineStr">
        <is>
          <t>LDYECS315S0045795</t>
        </is>
      </c>
      <c r="FF624" s="18" t="inlineStr">
        <is>
          <t>MDN35025030264</t>
        </is>
      </c>
      <c r="FG624" s="18" t="inlineStr">
        <is>
          <t>Zhong Thong</t>
        </is>
      </c>
      <c r="FH624" s="18" t="inlineStr">
        <is>
          <t>Lck6122evg</t>
        </is>
      </c>
      <c r="FI624" s="18" t="inlineStr">
        <is>
          <t>Zhong Thong</t>
        </is>
      </c>
      <c r="FJ624" s="18" t="inlineStr">
        <is>
          <t>Lck6122evg</t>
        </is>
      </c>
      <c r="FK624" s="18" t="n">
        <v>2026</v>
      </c>
      <c r="FL624" s="18" t="inlineStr">
        <is>
          <t>B</t>
        </is>
      </c>
      <c r="FM624" s="18" t="inlineStr">
        <is>
          <t>Las Acacias</t>
        </is>
      </c>
      <c r="FP624" t="inlineStr">
        <is>
          <t>B</t>
        </is>
      </c>
      <c r="FS624" s="14" t="inlineStr">
        <is>
          <t>LZPG-24</t>
        </is>
      </c>
      <c r="FT624" t="inlineStr">
        <is>
          <t>LZPG-24</t>
        </is>
      </c>
      <c r="FU624" t="inlineStr">
        <is>
          <t>LZPG-24</t>
        </is>
      </c>
      <c r="FV624">
        <f>VLOOKUP(FU624,FD:FL,9,0)</f>
        <v/>
      </c>
      <c r="HA624" s="35" t="n">
        <v>169</v>
      </c>
      <c r="HB624" s="35" t="n">
        <v>618</v>
      </c>
    </row>
    <row r="625">
      <c r="FC625" t="inlineStr">
        <is>
          <t>Diccionario 1</t>
        </is>
      </c>
      <c r="FD625" s="15" t="inlineStr"/>
      <c r="FE625" s="17" t="inlineStr">
        <is>
          <t>LDYECS310S0045722</t>
        </is>
      </c>
      <c r="FF625" s="18" t="inlineStr">
        <is>
          <t>MDN35025030123</t>
        </is>
      </c>
      <c r="FG625" s="18" t="inlineStr">
        <is>
          <t>Zhong Thong</t>
        </is>
      </c>
      <c r="FH625" s="18" t="inlineStr">
        <is>
          <t>Lck6122evg</t>
        </is>
      </c>
      <c r="FI625" s="18" t="inlineStr">
        <is>
          <t>Zhong Thong</t>
        </is>
      </c>
      <c r="FJ625" s="18" t="inlineStr">
        <is>
          <t>Lck6122evg</t>
        </is>
      </c>
      <c r="FK625" s="18" t="n">
        <v>2026</v>
      </c>
      <c r="FL625" s="18" t="inlineStr">
        <is>
          <t>B</t>
        </is>
      </c>
      <c r="FM625" s="18" t="inlineStr">
        <is>
          <t>Las Acacias</t>
        </is>
      </c>
      <c r="FP625" t="inlineStr">
        <is>
          <t>B</t>
        </is>
      </c>
      <c r="FS625" s="14" t="inlineStr">
        <is>
          <t>SFWB-84</t>
        </is>
      </c>
      <c r="FT625" t="inlineStr">
        <is>
          <t>SFWB-84</t>
        </is>
      </c>
      <c r="FU625" t="inlineStr">
        <is>
          <t>SFWB-84</t>
        </is>
      </c>
      <c r="FV625">
        <f>VLOOKUP(FU625,FD:FL,9,0)</f>
        <v/>
      </c>
      <c r="HA625" s="35" t="n">
        <v>170</v>
      </c>
      <c r="HB625" s="35" t="n">
        <v>619</v>
      </c>
    </row>
    <row r="626">
      <c r="FC626" t="inlineStr">
        <is>
          <t>Diccionario 1</t>
        </is>
      </c>
      <c r="FD626" s="15" t="inlineStr"/>
      <c r="FE626" s="17" t="inlineStr">
        <is>
          <t>LDYECS310S0045798</t>
        </is>
      </c>
      <c r="FF626" s="18" t="inlineStr">
        <is>
          <t>MDN35025030250</t>
        </is>
      </c>
      <c r="FG626" s="18" t="inlineStr">
        <is>
          <t>Zhong Thong</t>
        </is>
      </c>
      <c r="FH626" s="18" t="inlineStr">
        <is>
          <t>Lck6122evg</t>
        </is>
      </c>
      <c r="FI626" s="18" t="inlineStr">
        <is>
          <t>Zhong Thong</t>
        </is>
      </c>
      <c r="FJ626" s="18" t="inlineStr">
        <is>
          <t>Lck6122evg</t>
        </is>
      </c>
      <c r="FK626" s="18" t="n">
        <v>2026</v>
      </c>
      <c r="FL626" s="18" t="inlineStr">
        <is>
          <t>B</t>
        </is>
      </c>
      <c r="FM626" s="18" t="inlineStr">
        <is>
          <t>Las Acacias</t>
        </is>
      </c>
      <c r="FP626" t="inlineStr">
        <is>
          <t>B</t>
        </is>
      </c>
      <c r="FS626" s="14" t="inlineStr">
        <is>
          <t>LZPT-52</t>
        </is>
      </c>
      <c r="FT626" t="inlineStr">
        <is>
          <t>LZPT-52</t>
        </is>
      </c>
      <c r="FU626" t="inlineStr">
        <is>
          <t>LZPT-52</t>
        </is>
      </c>
      <c r="FV626">
        <f>VLOOKUP(FU626,FD:FL,9,0)</f>
        <v/>
      </c>
      <c r="HA626" s="35" t="n">
        <v>171</v>
      </c>
      <c r="HB626" s="35" t="n">
        <v>620</v>
      </c>
    </row>
    <row r="627">
      <c r="FC627" t="inlineStr">
        <is>
          <t>Diccionario 1</t>
        </is>
      </c>
      <c r="FD627" s="15" t="inlineStr"/>
      <c r="FE627" s="17" t="inlineStr">
        <is>
          <t>LDYECS313S0045813</t>
        </is>
      </c>
      <c r="FF627" s="18" t="inlineStr">
        <is>
          <t>MDN35025030268</t>
        </is>
      </c>
      <c r="FG627" s="18" t="inlineStr">
        <is>
          <t>Zhong Thong</t>
        </is>
      </c>
      <c r="FH627" s="18" t="inlineStr">
        <is>
          <t>Lck6122evg</t>
        </is>
      </c>
      <c r="FI627" s="18" t="inlineStr">
        <is>
          <t>Zhong Thong</t>
        </is>
      </c>
      <c r="FJ627" s="18" t="inlineStr">
        <is>
          <t>Lck6122evg</t>
        </is>
      </c>
      <c r="FK627" s="18" t="n">
        <v>2026</v>
      </c>
      <c r="FL627" s="18" t="inlineStr">
        <is>
          <t>B</t>
        </is>
      </c>
      <c r="FM627" s="18" t="inlineStr">
        <is>
          <t>Las Acacias</t>
        </is>
      </c>
      <c r="FP627" t="inlineStr">
        <is>
          <t>B</t>
        </is>
      </c>
      <c r="FS627" s="14" t="inlineStr">
        <is>
          <t>LZPW-21|</t>
        </is>
      </c>
      <c r="FT627" t="inlineStr">
        <is>
          <t>LZPW-21|</t>
        </is>
      </c>
      <c r="FU627" t="inlineStr">
        <is>
          <t>LZPW-21</t>
        </is>
      </c>
      <c r="FV627">
        <f>VLOOKUP(FU627,FD:FL,9,0)</f>
        <v/>
      </c>
      <c r="HA627" s="35" t="n">
        <v>172</v>
      </c>
      <c r="HB627" s="35" t="n">
        <v>621</v>
      </c>
    </row>
    <row r="628">
      <c r="FC628" t="inlineStr">
        <is>
          <t>Diccionario 1</t>
        </is>
      </c>
      <c r="FD628" s="15" t="inlineStr"/>
      <c r="FE628" s="17" t="inlineStr">
        <is>
          <t>LDYECS315S0045814</t>
        </is>
      </c>
      <c r="FF628" s="18" t="inlineStr">
        <is>
          <t>MDN35025030040</t>
        </is>
      </c>
      <c r="FG628" s="18" t="inlineStr">
        <is>
          <t>Zhong Thong</t>
        </is>
      </c>
      <c r="FH628" s="18" t="inlineStr">
        <is>
          <t>Lck6122evg</t>
        </is>
      </c>
      <c r="FI628" s="18" t="inlineStr">
        <is>
          <t>Zhong Thong</t>
        </is>
      </c>
      <c r="FJ628" s="18" t="inlineStr">
        <is>
          <t>Lck6122evg</t>
        </is>
      </c>
      <c r="FK628" s="18" t="n">
        <v>2026</v>
      </c>
      <c r="FL628" s="18" t="inlineStr">
        <is>
          <t>B</t>
        </is>
      </c>
      <c r="FM628" s="18" t="inlineStr">
        <is>
          <t>Las Acacias</t>
        </is>
      </c>
      <c r="FP628" t="inlineStr">
        <is>
          <t>B</t>
        </is>
      </c>
      <c r="FS628" s="14" t="inlineStr">
        <is>
          <t>SFVZ-80|</t>
        </is>
      </c>
      <c r="FT628" t="inlineStr">
        <is>
          <t>SFVZ-80|</t>
        </is>
      </c>
      <c r="FU628" t="inlineStr">
        <is>
          <t>SFVZ-80</t>
        </is>
      </c>
      <c r="FV628">
        <f>VLOOKUP(FU628,FD:FL,9,0)</f>
        <v/>
      </c>
      <c r="HA628" s="35" t="n">
        <v>173</v>
      </c>
      <c r="HB628" s="35" t="n">
        <v>622</v>
      </c>
    </row>
    <row r="629">
      <c r="FC629" t="inlineStr">
        <is>
          <t>Diccionario 1</t>
        </is>
      </c>
      <c r="FD629" s="15" t="inlineStr"/>
      <c r="FE629" s="17" t="inlineStr">
        <is>
          <t>LDYECS317S0045779</t>
        </is>
      </c>
      <c r="FF629" s="18" t="inlineStr">
        <is>
          <t>MDN35025030160</t>
        </is>
      </c>
      <c r="FG629" s="18" t="inlineStr">
        <is>
          <t>Zhong Thong</t>
        </is>
      </c>
      <c r="FH629" s="18" t="inlineStr">
        <is>
          <t>Lck6122evg</t>
        </is>
      </c>
      <c r="FI629" s="18" t="inlineStr">
        <is>
          <t>Zhong Thong</t>
        </is>
      </c>
      <c r="FJ629" s="18" t="inlineStr">
        <is>
          <t>Lck6122evg</t>
        </is>
      </c>
      <c r="FK629" s="18" t="n">
        <v>2026</v>
      </c>
      <c r="FL629" s="18" t="inlineStr">
        <is>
          <t>B</t>
        </is>
      </c>
      <c r="FM629" s="18" t="inlineStr">
        <is>
          <t>Las Acacias</t>
        </is>
      </c>
      <c r="FP629" t="inlineStr">
        <is>
          <t>B</t>
        </is>
      </c>
      <c r="FS629" s="14" t="inlineStr">
        <is>
          <t>LXWT-88|</t>
        </is>
      </c>
      <c r="FT629" t="inlineStr">
        <is>
          <t>LXWT-88|</t>
        </is>
      </c>
      <c r="FU629" t="inlineStr">
        <is>
          <t>LXWT-88</t>
        </is>
      </c>
      <c r="FV629">
        <f>VLOOKUP(FU629,FD:FL,9,0)</f>
        <v/>
      </c>
      <c r="HA629" s="35" t="n">
        <v>174</v>
      </c>
      <c r="HB629" s="35" t="n">
        <v>623</v>
      </c>
    </row>
    <row r="630">
      <c r="FC630" t="inlineStr">
        <is>
          <t>Diccionario 1</t>
        </is>
      </c>
      <c r="FD630" s="15" t="inlineStr"/>
      <c r="FE630" s="17" t="inlineStr">
        <is>
          <t>LDYECS311S0045809</t>
        </is>
      </c>
      <c r="FF630" s="18" t="inlineStr">
        <is>
          <t>MDN35025030257</t>
        </is>
      </c>
      <c r="FG630" s="18" t="inlineStr">
        <is>
          <t>Zhong Thong</t>
        </is>
      </c>
      <c r="FH630" s="18" t="inlineStr">
        <is>
          <t>Lck6122evg</t>
        </is>
      </c>
      <c r="FI630" s="18" t="inlineStr">
        <is>
          <t>Zhong Thong</t>
        </is>
      </c>
      <c r="FJ630" s="18" t="inlineStr">
        <is>
          <t>Lck6122evg</t>
        </is>
      </c>
      <c r="FK630" s="18" t="n">
        <v>2026</v>
      </c>
      <c r="FL630" s="18" t="inlineStr">
        <is>
          <t>B</t>
        </is>
      </c>
      <c r="FM630" s="18" t="inlineStr">
        <is>
          <t>Las Acacias</t>
        </is>
      </c>
      <c r="FP630" t="inlineStr">
        <is>
          <t>B</t>
        </is>
      </c>
      <c r="FS630" s="14" t="inlineStr">
        <is>
          <t>LZPS-11|</t>
        </is>
      </c>
      <c r="FT630" t="inlineStr">
        <is>
          <t>LZPS-11|</t>
        </is>
      </c>
      <c r="FU630" t="inlineStr">
        <is>
          <t>LZPS-11</t>
        </is>
      </c>
      <c r="FV630">
        <f>VLOOKUP(FU630,FD:FL,9,0)</f>
        <v/>
      </c>
      <c r="HA630" s="35" t="n">
        <v>175</v>
      </c>
      <c r="HB630" s="35" t="n">
        <v>624</v>
      </c>
    </row>
    <row r="631">
      <c r="FC631" t="inlineStr">
        <is>
          <t>Diccionario 1</t>
        </is>
      </c>
      <c r="FD631" s="15" t="inlineStr"/>
      <c r="FE631" s="17" t="inlineStr">
        <is>
          <t>LDYECS314S0045724</t>
        </is>
      </c>
      <c r="FF631" s="18" t="inlineStr">
        <is>
          <t>MDN35025030060</t>
        </is>
      </c>
      <c r="FG631" s="18" t="inlineStr">
        <is>
          <t>Zhong Thong</t>
        </is>
      </c>
      <c r="FH631" s="18" t="inlineStr">
        <is>
          <t>Lck6122evg</t>
        </is>
      </c>
      <c r="FI631" s="18" t="inlineStr">
        <is>
          <t>Zhong Thong</t>
        </is>
      </c>
      <c r="FJ631" s="18" t="inlineStr">
        <is>
          <t>Lck6122evg</t>
        </is>
      </c>
      <c r="FK631" s="18" t="n">
        <v>2026</v>
      </c>
      <c r="FL631" s="18" t="inlineStr">
        <is>
          <t>B</t>
        </is>
      </c>
      <c r="FM631" s="18" t="inlineStr">
        <is>
          <t>Las Acacias</t>
        </is>
      </c>
      <c r="FP631" t="inlineStr">
        <is>
          <t>B</t>
        </is>
      </c>
      <c r="FS631" s="14" t="inlineStr">
        <is>
          <t>LZPW-13|</t>
        </is>
      </c>
      <c r="FT631" t="inlineStr">
        <is>
          <t>LZPW-13|</t>
        </is>
      </c>
      <c r="FU631" t="inlineStr">
        <is>
          <t>LZPW-13</t>
        </is>
      </c>
      <c r="FV631">
        <f>VLOOKUP(FU631,FD:FL,9,0)</f>
        <v/>
      </c>
      <c r="HA631" s="35" t="n">
        <v>176</v>
      </c>
      <c r="HB631" s="35" t="n">
        <v>625</v>
      </c>
    </row>
    <row r="632">
      <c r="FC632" t="inlineStr">
        <is>
          <t>Diccionario 1</t>
        </is>
      </c>
      <c r="FD632" s="15" t="inlineStr"/>
      <c r="FE632" s="17" t="inlineStr">
        <is>
          <t>LDYECS318S0045810</t>
        </is>
      </c>
      <c r="FF632" s="18" t="inlineStr">
        <is>
          <t>MDN35025030195</t>
        </is>
      </c>
      <c r="FG632" s="18" t="inlineStr">
        <is>
          <t>Zhong Thong</t>
        </is>
      </c>
      <c r="FH632" s="18" t="inlineStr">
        <is>
          <t>Lck6122evg</t>
        </is>
      </c>
      <c r="FI632" s="18" t="inlineStr">
        <is>
          <t>Zhong Thong</t>
        </is>
      </c>
      <c r="FJ632" s="18" t="inlineStr">
        <is>
          <t>Lck6122evg</t>
        </is>
      </c>
      <c r="FK632" s="18" t="n">
        <v>2026</v>
      </c>
      <c r="FL632" s="18" t="inlineStr">
        <is>
          <t>B</t>
        </is>
      </c>
      <c r="FM632" s="18" t="inlineStr">
        <is>
          <t>Las Acacias</t>
        </is>
      </c>
      <c r="FP632" t="inlineStr">
        <is>
          <t>B</t>
        </is>
      </c>
      <c r="FS632" s="14" t="inlineStr">
        <is>
          <t>GCBF-45|</t>
        </is>
      </c>
      <c r="FT632" t="inlineStr">
        <is>
          <t>GCBF-45|</t>
        </is>
      </c>
      <c r="FU632" t="inlineStr">
        <is>
          <t>GCBF-45</t>
        </is>
      </c>
      <c r="FV632">
        <f>VLOOKUP(FU632,FD:FL,9,0)</f>
        <v/>
      </c>
      <c r="HA632" s="35" t="n">
        <v>177</v>
      </c>
      <c r="HB632" s="35" t="n">
        <v>626</v>
      </c>
    </row>
    <row r="633">
      <c r="FC633" t="inlineStr">
        <is>
          <t>Diccionario 1</t>
        </is>
      </c>
      <c r="FD633" s="15" t="inlineStr"/>
      <c r="FE633" s="17" t="inlineStr">
        <is>
          <t>LDYECS31XS0045727</t>
        </is>
      </c>
      <c r="FF633" s="18" t="inlineStr">
        <is>
          <t>MDN35025030224</t>
        </is>
      </c>
      <c r="FG633" s="18" t="inlineStr">
        <is>
          <t>Zhong Thong</t>
        </is>
      </c>
      <c r="FH633" s="18" t="inlineStr">
        <is>
          <t>Lck6122evg</t>
        </is>
      </c>
      <c r="FI633" s="18" t="inlineStr">
        <is>
          <t>Zhong Thong</t>
        </is>
      </c>
      <c r="FJ633" s="18" t="inlineStr">
        <is>
          <t>Lck6122evg</t>
        </is>
      </c>
      <c r="FK633" s="18" t="n">
        <v>2026</v>
      </c>
      <c r="FL633" s="18" t="inlineStr">
        <is>
          <t>B</t>
        </is>
      </c>
      <c r="FM633" s="18" t="inlineStr">
        <is>
          <t>Las Acacias</t>
        </is>
      </c>
      <c r="FP633" t="inlineStr">
        <is>
          <t>B</t>
        </is>
      </c>
      <c r="FS633" s="14" t="inlineStr">
        <is>
          <t>LZPT-67</t>
        </is>
      </c>
      <c r="FT633" t="inlineStr">
        <is>
          <t>LZPT-67</t>
        </is>
      </c>
      <c r="FU633" t="inlineStr">
        <is>
          <t>LZPT-67</t>
        </is>
      </c>
      <c r="FV633">
        <f>VLOOKUP(FU633,FD:FL,9,0)</f>
        <v/>
      </c>
      <c r="HA633" s="35" t="n">
        <v>178</v>
      </c>
      <c r="HB633" s="35" t="n">
        <v>627</v>
      </c>
    </row>
    <row r="634">
      <c r="FC634" t="inlineStr">
        <is>
          <t>Diccionario 1</t>
        </is>
      </c>
      <c r="FD634" s="15" t="inlineStr"/>
      <c r="FE634" s="17" t="inlineStr">
        <is>
          <t>LDYECS31XS0045811</t>
        </is>
      </c>
      <c r="FF634" s="18" t="inlineStr">
        <is>
          <t>MDN35025030077</t>
        </is>
      </c>
      <c r="FG634" s="18" t="inlineStr">
        <is>
          <t>Zhong Thong</t>
        </is>
      </c>
      <c r="FH634" s="18" t="inlineStr">
        <is>
          <t>Lck6122evg</t>
        </is>
      </c>
      <c r="FI634" s="18" t="inlineStr">
        <is>
          <t>Zhong Thong</t>
        </is>
      </c>
      <c r="FJ634" s="18" t="inlineStr">
        <is>
          <t>Lck6122evg</t>
        </is>
      </c>
      <c r="FK634" s="18" t="n">
        <v>2026</v>
      </c>
      <c r="FL634" s="18" t="inlineStr">
        <is>
          <t>B</t>
        </is>
      </c>
      <c r="FM634" s="18" t="inlineStr">
        <is>
          <t>Las Acacias</t>
        </is>
      </c>
      <c r="FP634" t="inlineStr">
        <is>
          <t>B</t>
        </is>
      </c>
      <c r="FS634" s="14" t="inlineStr">
        <is>
          <t>LZPW-18|</t>
        </is>
      </c>
      <c r="FT634" t="inlineStr">
        <is>
          <t>LZPW-18|</t>
        </is>
      </c>
      <c r="FU634" t="inlineStr">
        <is>
          <t>LZPW-18</t>
        </is>
      </c>
      <c r="FV634">
        <f>VLOOKUP(FU634,FD:FL,9,0)</f>
        <v/>
      </c>
      <c r="HA634" s="35" t="n">
        <v>179</v>
      </c>
      <c r="HB634" s="35" t="n">
        <v>628</v>
      </c>
    </row>
    <row r="635">
      <c r="FC635" t="inlineStr">
        <is>
          <t>Diccionario 1</t>
        </is>
      </c>
      <c r="FD635" s="15" t="inlineStr"/>
      <c r="FE635" s="17" t="inlineStr">
        <is>
          <t>LDYECS314S0045819</t>
        </is>
      </c>
      <c r="FF635" s="18" t="inlineStr">
        <is>
          <t>MDN35025030081</t>
        </is>
      </c>
      <c r="FG635" s="18" t="inlineStr">
        <is>
          <t>Zhong Thong</t>
        </is>
      </c>
      <c r="FH635" s="18" t="inlineStr">
        <is>
          <t>Lck6122evg</t>
        </is>
      </c>
      <c r="FI635" s="18" t="inlineStr">
        <is>
          <t>Zhong Thong</t>
        </is>
      </c>
      <c r="FJ635" s="18" t="inlineStr">
        <is>
          <t>Lck6122evg</t>
        </is>
      </c>
      <c r="FK635" s="18" t="n">
        <v>2026</v>
      </c>
      <c r="FL635" s="18" t="inlineStr">
        <is>
          <t>B</t>
        </is>
      </c>
      <c r="FM635" s="18" t="inlineStr">
        <is>
          <t>Las Acacias</t>
        </is>
      </c>
      <c r="FP635" t="inlineStr">
        <is>
          <t>B</t>
        </is>
      </c>
      <c r="FS635" s="14" t="inlineStr">
        <is>
          <t>LXWT-92</t>
        </is>
      </c>
      <c r="FT635" t="inlineStr">
        <is>
          <t>LXWT-92</t>
        </is>
      </c>
      <c r="FU635" t="inlineStr">
        <is>
          <t>LXWT-92</t>
        </is>
      </c>
      <c r="FV635">
        <f>VLOOKUP(FU635,FD:FL,9,0)</f>
        <v/>
      </c>
      <c r="HA635" s="35" t="n">
        <v>180</v>
      </c>
      <c r="HB635" s="35" t="n">
        <v>629</v>
      </c>
    </row>
    <row r="636">
      <c r="FC636" t="inlineStr">
        <is>
          <t>Diccionario 1</t>
        </is>
      </c>
      <c r="FD636" s="15" t="inlineStr"/>
      <c r="FE636" s="17" t="inlineStr">
        <is>
          <t>LDYECS311S0045728</t>
        </is>
      </c>
      <c r="FF636" s="18" t="inlineStr">
        <is>
          <t>MDN35025030126</t>
        </is>
      </c>
      <c r="FG636" s="18" t="inlineStr">
        <is>
          <t>Zhong Thong</t>
        </is>
      </c>
      <c r="FH636" s="18" t="inlineStr">
        <is>
          <t>Lck6122evg</t>
        </is>
      </c>
      <c r="FI636" s="18" t="inlineStr">
        <is>
          <t>Zhong Thong</t>
        </is>
      </c>
      <c r="FJ636" s="18" t="inlineStr">
        <is>
          <t>Lck6122evg</t>
        </is>
      </c>
      <c r="FK636" s="18" t="n">
        <v>2026</v>
      </c>
      <c r="FL636" s="18" t="inlineStr">
        <is>
          <t>B</t>
        </is>
      </c>
      <c r="FM636" s="18" t="inlineStr">
        <is>
          <t>Las Acacias</t>
        </is>
      </c>
      <c r="FP636" t="inlineStr">
        <is>
          <t>B</t>
        </is>
      </c>
      <c r="FS636" s="14" t="inlineStr">
        <is>
          <t>SFWZ-27|</t>
        </is>
      </c>
      <c r="FT636" t="inlineStr">
        <is>
          <t>SFWZ-27|</t>
        </is>
      </c>
      <c r="FU636" t="inlineStr">
        <is>
          <t>SFWZ-27</t>
        </is>
      </c>
      <c r="FV636">
        <f>VLOOKUP(FU636,FD:FL,9,0)</f>
        <v/>
      </c>
      <c r="HA636" s="35" t="n">
        <v>181</v>
      </c>
      <c r="HB636" s="35" t="n">
        <v>630</v>
      </c>
    </row>
    <row r="637">
      <c r="FC637" t="inlineStr">
        <is>
          <t>Diccionario 1</t>
        </is>
      </c>
      <c r="FD637" s="15" t="inlineStr"/>
      <c r="FE637" s="17" t="inlineStr">
        <is>
          <t>LDYECS316S0045840</t>
        </is>
      </c>
      <c r="FF637" s="18" t="inlineStr">
        <is>
          <t>MDN35025030254</t>
        </is>
      </c>
      <c r="FG637" s="18" t="inlineStr">
        <is>
          <t>Zhong Thong</t>
        </is>
      </c>
      <c r="FH637" s="18" t="inlineStr">
        <is>
          <t>Lck6122evg</t>
        </is>
      </c>
      <c r="FI637" s="18" t="inlineStr">
        <is>
          <t>Zhong Thong</t>
        </is>
      </c>
      <c r="FJ637" s="18" t="inlineStr">
        <is>
          <t>Lck6122evg</t>
        </is>
      </c>
      <c r="FK637" s="18" t="n">
        <v>2026</v>
      </c>
      <c r="FL637" s="18" t="inlineStr">
        <is>
          <t>B</t>
        </is>
      </c>
      <c r="FM637" s="18" t="inlineStr">
        <is>
          <t>Las Acacias</t>
        </is>
      </c>
      <c r="FP637" t="inlineStr">
        <is>
          <t>B</t>
        </is>
      </c>
      <c r="FS637" s="14" t="inlineStr">
        <is>
          <t>LZPR-98|</t>
        </is>
      </c>
      <c r="FT637" t="inlineStr">
        <is>
          <t>LZPR-98|</t>
        </is>
      </c>
      <c r="FU637" t="inlineStr">
        <is>
          <t>LZPR-98</t>
        </is>
      </c>
      <c r="FV637">
        <f>VLOOKUP(FU637,FD:FL,9,0)</f>
        <v/>
      </c>
      <c r="HA637" s="35" t="n">
        <v>182</v>
      </c>
      <c r="HB637" s="35" t="n">
        <v>631</v>
      </c>
    </row>
    <row r="638">
      <c r="FC638" t="inlineStr">
        <is>
          <t>Diccionario 1</t>
        </is>
      </c>
      <c r="FD638" s="15" t="inlineStr"/>
      <c r="FE638" s="17" t="inlineStr">
        <is>
          <t>LDYECS314S0045822</t>
        </is>
      </c>
      <c r="FF638" s="18" t="inlineStr">
        <is>
          <t>MDN35025030089</t>
        </is>
      </c>
      <c r="FG638" s="18" t="inlineStr">
        <is>
          <t>Zhong Thong</t>
        </is>
      </c>
      <c r="FH638" s="18" t="inlineStr">
        <is>
          <t>Lck6122evg</t>
        </is>
      </c>
      <c r="FI638" s="18" t="inlineStr">
        <is>
          <t>Zhong Thong</t>
        </is>
      </c>
      <c r="FJ638" s="18" t="inlineStr">
        <is>
          <t>Lck6122evg</t>
        </is>
      </c>
      <c r="FK638" s="18" t="n">
        <v>2026</v>
      </c>
      <c r="FL638" s="18" t="inlineStr">
        <is>
          <t>B</t>
        </is>
      </c>
      <c r="FM638" s="18" t="inlineStr">
        <is>
          <t>Las Acacias</t>
        </is>
      </c>
      <c r="FP638" t="inlineStr">
        <is>
          <t>B</t>
        </is>
      </c>
      <c r="FS638" s="14" t="inlineStr">
        <is>
          <t>LZPR-78|</t>
        </is>
      </c>
      <c r="FT638" t="inlineStr">
        <is>
          <t>LZPR-78|</t>
        </is>
      </c>
      <c r="FU638" t="inlineStr">
        <is>
          <t>LZPR-78</t>
        </is>
      </c>
      <c r="FV638">
        <f>VLOOKUP(FU638,FD:FL,9,0)</f>
        <v/>
      </c>
      <c r="HA638" s="35" t="n">
        <v>183</v>
      </c>
      <c r="HB638" s="35" t="n">
        <v>632</v>
      </c>
    </row>
    <row r="639">
      <c r="FC639" t="inlineStr">
        <is>
          <t>Diccionario 1</t>
        </is>
      </c>
      <c r="FD639" s="15" t="inlineStr"/>
      <c r="FE639" s="17" t="inlineStr">
        <is>
          <t>LDYECS315S0045828</t>
        </is>
      </c>
      <c r="FF639" s="18" t="inlineStr">
        <is>
          <t>MDN35025030269</t>
        </is>
      </c>
      <c r="FG639" s="18" t="inlineStr">
        <is>
          <t>Zhong Thong</t>
        </is>
      </c>
      <c r="FH639" s="18" t="inlineStr">
        <is>
          <t>Lck6122evg</t>
        </is>
      </c>
      <c r="FI639" s="18" t="inlineStr">
        <is>
          <t>Zhong Thong</t>
        </is>
      </c>
      <c r="FJ639" s="18" t="inlineStr">
        <is>
          <t>Lck6122evg</t>
        </is>
      </c>
      <c r="FK639" s="18" t="n">
        <v>2026</v>
      </c>
      <c r="FL639" s="18" t="inlineStr">
        <is>
          <t>B</t>
        </is>
      </c>
      <c r="FM639" s="18" t="inlineStr">
        <is>
          <t>Las Acacias</t>
        </is>
      </c>
      <c r="FP639" t="inlineStr">
        <is>
          <t>B</t>
        </is>
      </c>
      <c r="FS639" s="14" t="inlineStr">
        <is>
          <t>LZPG-24|</t>
        </is>
      </c>
      <c r="FT639" t="inlineStr">
        <is>
          <t>LZPG-24|</t>
        </is>
      </c>
      <c r="FU639" t="inlineStr">
        <is>
          <t>LZPG-24</t>
        </is>
      </c>
      <c r="FV639">
        <f>VLOOKUP(FU639,FD:FL,9,0)</f>
        <v/>
      </c>
      <c r="HA639" s="35" t="n">
        <v>184</v>
      </c>
      <c r="HB639" s="35" t="n">
        <v>633</v>
      </c>
    </row>
    <row r="640">
      <c r="FC640" t="inlineStr">
        <is>
          <t>Diccionario 1</t>
        </is>
      </c>
      <c r="FD640" s="15" t="inlineStr"/>
      <c r="FE640" s="17" t="inlineStr">
        <is>
          <t>LDYECS31XS0045825</t>
        </is>
      </c>
      <c r="FF640" s="18" t="inlineStr">
        <is>
          <t>MDN35025030210</t>
        </is>
      </c>
      <c r="FG640" s="18" t="inlineStr">
        <is>
          <t>Zhong Thong</t>
        </is>
      </c>
      <c r="FH640" s="18" t="inlineStr">
        <is>
          <t>Lck6122evg</t>
        </is>
      </c>
      <c r="FI640" s="18" t="inlineStr">
        <is>
          <t>Zhong Thong</t>
        </is>
      </c>
      <c r="FJ640" s="18" t="inlineStr">
        <is>
          <t>Lck6122evg</t>
        </is>
      </c>
      <c r="FK640" s="18" t="n">
        <v>2026</v>
      </c>
      <c r="FL640" s="18" t="inlineStr">
        <is>
          <t>B</t>
        </is>
      </c>
      <c r="FM640" s="18" t="inlineStr">
        <is>
          <t>Las Acacias</t>
        </is>
      </c>
      <c r="FP640" t="inlineStr">
        <is>
          <t>B</t>
        </is>
      </c>
      <c r="FS640" s="14" t="inlineStr">
        <is>
          <t>FWB-84|</t>
        </is>
      </c>
      <c r="FT640" t="inlineStr">
        <is>
          <t>FWB-84|</t>
        </is>
      </c>
      <c r="FU640" t="inlineStr">
        <is>
          <t>FWB-84|</t>
        </is>
      </c>
      <c r="FV640">
        <f>VLOOKUP(FU640,FD:FL,9,0)</f>
        <v/>
      </c>
      <c r="HA640" s="35" t="n">
        <v>185</v>
      </c>
      <c r="HB640" s="35" t="n">
        <v>634</v>
      </c>
    </row>
    <row r="641">
      <c r="FC641" t="inlineStr">
        <is>
          <t>Diccionario 1</t>
        </is>
      </c>
      <c r="FD641" s="15" t="inlineStr"/>
      <c r="FE641" s="17" t="inlineStr">
        <is>
          <t>LDYECS317S0045734</t>
        </is>
      </c>
      <c r="FF641" s="18" t="inlineStr">
        <is>
          <t>MDN35025030214</t>
        </is>
      </c>
      <c r="FG641" s="18" t="inlineStr">
        <is>
          <t>Zhong Thong</t>
        </is>
      </c>
      <c r="FH641" s="18" t="inlineStr">
        <is>
          <t>Lck6122evg</t>
        </is>
      </c>
      <c r="FI641" s="18" t="inlineStr">
        <is>
          <t>Zhong Thong</t>
        </is>
      </c>
      <c r="FJ641" s="18" t="inlineStr">
        <is>
          <t>Lck6122evg</t>
        </is>
      </c>
      <c r="FK641" s="18" t="n">
        <v>2026</v>
      </c>
      <c r="FL641" s="18" t="inlineStr">
        <is>
          <t>B</t>
        </is>
      </c>
      <c r="FM641" s="18" t="inlineStr">
        <is>
          <t>Las Acacias</t>
        </is>
      </c>
      <c r="FP641" t="inlineStr">
        <is>
          <t>B</t>
        </is>
      </c>
      <c r="FS641" s="14" t="inlineStr">
        <is>
          <t>LZPT-52|</t>
        </is>
      </c>
      <c r="FT641" t="inlineStr">
        <is>
          <t>LZPT-52|</t>
        </is>
      </c>
      <c r="FU641" t="inlineStr">
        <is>
          <t>LZPT-52</t>
        </is>
      </c>
      <c r="FV641">
        <f>VLOOKUP(FU641,FD:FL,9,0)</f>
        <v/>
      </c>
      <c r="HA641" s="35" t="n">
        <v>186</v>
      </c>
      <c r="HB641" s="35" t="n">
        <v>635</v>
      </c>
    </row>
    <row r="642">
      <c r="FC642" t="inlineStr">
        <is>
          <t>Diccionario 1</t>
        </is>
      </c>
      <c r="FD642" s="15" t="inlineStr"/>
      <c r="FE642" s="17" t="inlineStr">
        <is>
          <t>LDYECS311S0045731</t>
        </is>
      </c>
      <c r="FF642" s="18" t="inlineStr">
        <is>
          <t>MDN35025030130</t>
        </is>
      </c>
      <c r="FG642" s="18" t="inlineStr">
        <is>
          <t>Zhong Thong</t>
        </is>
      </c>
      <c r="FH642" s="18" t="inlineStr">
        <is>
          <t>Lck6122evg</t>
        </is>
      </c>
      <c r="FI642" s="18" t="inlineStr">
        <is>
          <t>Zhong Thong</t>
        </is>
      </c>
      <c r="FJ642" s="18" t="inlineStr">
        <is>
          <t>Lck6122evg</t>
        </is>
      </c>
      <c r="FK642" s="18" t="n">
        <v>2026</v>
      </c>
      <c r="FL642" s="18" t="inlineStr">
        <is>
          <t>B</t>
        </is>
      </c>
      <c r="FM642" s="18" t="inlineStr">
        <is>
          <t>Las Acacias</t>
        </is>
      </c>
      <c r="FP642" t="inlineStr">
        <is>
          <t>B</t>
        </is>
      </c>
      <c r="FS642" s="14" t="inlineStr">
        <is>
          <t>LZPW-14|</t>
        </is>
      </c>
      <c r="FT642" t="inlineStr">
        <is>
          <t>LZPW-14|</t>
        </is>
      </c>
      <c r="FU642" t="inlineStr">
        <is>
          <t>LZPW-14</t>
        </is>
      </c>
      <c r="FV642">
        <f>VLOOKUP(FU642,FD:FL,9,0)</f>
        <v/>
      </c>
      <c r="HA642" s="35" t="n">
        <v>187</v>
      </c>
      <c r="HB642" s="35" t="n">
        <v>636</v>
      </c>
    </row>
    <row r="643">
      <c r="FC643" t="inlineStr">
        <is>
          <t>Diccionario 1</t>
        </is>
      </c>
      <c r="FD643" s="15" t="inlineStr"/>
      <c r="FE643" s="17" t="inlineStr">
        <is>
          <t>LDYECS312S0045835</t>
        </is>
      </c>
      <c r="FF643" s="18" t="inlineStr">
        <is>
          <t>MDN35025030316</t>
        </is>
      </c>
      <c r="FG643" s="18" t="inlineStr">
        <is>
          <t>Zhong Thong</t>
        </is>
      </c>
      <c r="FH643" s="18" t="inlineStr">
        <is>
          <t>Lck6122evg</t>
        </is>
      </c>
      <c r="FI643" s="18" t="inlineStr">
        <is>
          <t>Zhong Thong</t>
        </is>
      </c>
      <c r="FJ643" s="18" t="inlineStr">
        <is>
          <t>Lck6122evg</t>
        </is>
      </c>
      <c r="FK643" s="18" t="n">
        <v>2026</v>
      </c>
      <c r="FL643" s="18" t="inlineStr">
        <is>
          <t>B</t>
        </is>
      </c>
      <c r="FM643" s="18" t="inlineStr">
        <is>
          <t>Las Acacias</t>
        </is>
      </c>
      <c r="FP643" t="inlineStr">
        <is>
          <t>B</t>
        </is>
      </c>
      <c r="FS643" s="14" t="inlineStr">
        <is>
          <t>SFVZ-80</t>
        </is>
      </c>
      <c r="FT643" t="inlineStr">
        <is>
          <t>SFVZ-80</t>
        </is>
      </c>
      <c r="FU643" t="inlineStr">
        <is>
          <t>SFVZ-80</t>
        </is>
      </c>
      <c r="FV643">
        <f>VLOOKUP(FU643,FD:FL,9,0)</f>
        <v/>
      </c>
      <c r="HA643" s="35" t="n">
        <v>188</v>
      </c>
      <c r="HB643" s="35" t="n">
        <v>637</v>
      </c>
    </row>
    <row r="644">
      <c r="FC644" t="inlineStr">
        <is>
          <t>Diccionario 1</t>
        </is>
      </c>
      <c r="FD644" s="15" t="inlineStr"/>
      <c r="FE644" s="17" t="inlineStr">
        <is>
          <t>LDYECS314S0045738</t>
        </is>
      </c>
      <c r="FF644" s="18" t="inlineStr">
        <is>
          <t>MDN35025030247</t>
        </is>
      </c>
      <c r="FG644" s="18" t="inlineStr">
        <is>
          <t>Zhong Thong</t>
        </is>
      </c>
      <c r="FH644" s="18" t="inlineStr">
        <is>
          <t>Lck6122evg</t>
        </is>
      </c>
      <c r="FI644" s="18" t="inlineStr">
        <is>
          <t>Zhong Thong</t>
        </is>
      </c>
      <c r="FJ644" s="18" t="inlineStr">
        <is>
          <t>Lck6122evg</t>
        </is>
      </c>
      <c r="FK644" s="18" t="n">
        <v>2026</v>
      </c>
      <c r="FL644" s="18" t="inlineStr">
        <is>
          <t>B</t>
        </is>
      </c>
      <c r="FM644" s="18" t="inlineStr">
        <is>
          <t>Las Acacias</t>
        </is>
      </c>
      <c r="FP644" t="inlineStr">
        <is>
          <t>B</t>
        </is>
      </c>
      <c r="FS644" s="14" t="inlineStr">
        <is>
          <t>LZPW-13|</t>
        </is>
      </c>
      <c r="FT644" t="inlineStr">
        <is>
          <t>LZPW-13|</t>
        </is>
      </c>
      <c r="FU644" t="inlineStr">
        <is>
          <t>LZPW-13</t>
        </is>
      </c>
      <c r="FV644">
        <f>VLOOKUP(FU644,FD:FL,9,0)</f>
        <v/>
      </c>
      <c r="HA644" s="35" t="n">
        <v>189</v>
      </c>
      <c r="HB644" s="35" t="n">
        <v>638</v>
      </c>
    </row>
    <row r="645">
      <c r="FC645" t="inlineStr">
        <is>
          <t>Diccionario 1</t>
        </is>
      </c>
      <c r="FD645" s="15" t="inlineStr"/>
      <c r="FE645" s="17" t="inlineStr">
        <is>
          <t>LDYECS318S0045824</t>
        </is>
      </c>
      <c r="FF645" s="18" t="inlineStr">
        <is>
          <t>MDN35025030189</t>
        </is>
      </c>
      <c r="FG645" s="18" t="inlineStr">
        <is>
          <t>Zhong Thong</t>
        </is>
      </c>
      <c r="FH645" s="18" t="inlineStr">
        <is>
          <t>Lck6122evg</t>
        </is>
      </c>
      <c r="FI645" s="18" t="inlineStr">
        <is>
          <t>Zhong Thong</t>
        </is>
      </c>
      <c r="FJ645" s="18" t="inlineStr">
        <is>
          <t>Lck6122evg</t>
        </is>
      </c>
      <c r="FK645" s="18" t="n">
        <v>2026</v>
      </c>
      <c r="FL645" s="18" t="inlineStr">
        <is>
          <t>B</t>
        </is>
      </c>
      <c r="FM645" s="18" t="inlineStr">
        <is>
          <t>Las Acacias</t>
        </is>
      </c>
      <c r="FP645" t="inlineStr">
        <is>
          <t>B</t>
        </is>
      </c>
      <c r="FS645" s="14" t="inlineStr">
        <is>
          <t>LZPS-11|</t>
        </is>
      </c>
      <c r="FT645" t="inlineStr">
        <is>
          <t>LZPS-11|</t>
        </is>
      </c>
      <c r="FU645" t="inlineStr">
        <is>
          <t>LZPS-11</t>
        </is>
      </c>
      <c r="FV645">
        <f>VLOOKUP(FU645,FD:FL,9,0)</f>
        <v/>
      </c>
      <c r="HA645" s="35" t="n">
        <v>190</v>
      </c>
      <c r="HB645" s="35" t="n">
        <v>639</v>
      </c>
    </row>
    <row r="646">
      <c r="FC646" t="inlineStr">
        <is>
          <t>Diccionario 1</t>
        </is>
      </c>
      <c r="FD646" s="15" t="inlineStr"/>
      <c r="FE646" s="17" t="inlineStr">
        <is>
          <t>LDYECS310S0045851</t>
        </is>
      </c>
      <c r="FF646" s="18" t="inlineStr">
        <is>
          <t>MDN35025030193</t>
        </is>
      </c>
      <c r="FG646" s="18" t="inlineStr">
        <is>
          <t>Zhong Thong</t>
        </is>
      </c>
      <c r="FH646" s="18" t="inlineStr">
        <is>
          <t>Lck6122evg</t>
        </is>
      </c>
      <c r="FI646" s="18" t="inlineStr">
        <is>
          <t>Zhong Thong</t>
        </is>
      </c>
      <c r="FJ646" s="18" t="inlineStr">
        <is>
          <t>Lck6122evg</t>
        </is>
      </c>
      <c r="FK646" s="18" t="n">
        <v>2026</v>
      </c>
      <c r="FL646" s="18" t="inlineStr">
        <is>
          <t>B</t>
        </is>
      </c>
      <c r="FM646" s="18" t="inlineStr">
        <is>
          <t>Las Acacias</t>
        </is>
      </c>
      <c r="FP646" t="inlineStr">
        <is>
          <t>B</t>
        </is>
      </c>
      <c r="FS646" s="14" t="inlineStr">
        <is>
          <t>LZPT-67|</t>
        </is>
      </c>
      <c r="FT646" t="inlineStr">
        <is>
          <t>LZPT-67|</t>
        </is>
      </c>
      <c r="FU646" t="inlineStr">
        <is>
          <t>LZPT-67</t>
        </is>
      </c>
      <c r="FV646">
        <f>VLOOKUP(FU646,FD:FL,9,0)</f>
        <v/>
      </c>
      <c r="HA646" s="35" t="n">
        <v>191</v>
      </c>
      <c r="HB646" s="35" t="n">
        <v>640</v>
      </c>
    </row>
    <row r="647">
      <c r="FC647" t="inlineStr">
        <is>
          <t>Diccionario 1</t>
        </is>
      </c>
      <c r="FD647" s="15" t="inlineStr"/>
      <c r="FE647" s="17" t="inlineStr">
        <is>
          <t>LDYECS319S0045850</t>
        </is>
      </c>
      <c r="FF647" s="18" t="inlineStr">
        <is>
          <t>MDN35025030244</t>
        </is>
      </c>
      <c r="FG647" s="18" t="inlineStr">
        <is>
          <t>Zhong Thong</t>
        </is>
      </c>
      <c r="FH647" s="18" t="inlineStr">
        <is>
          <t>Lck6122evg</t>
        </is>
      </c>
      <c r="FI647" s="18" t="inlineStr">
        <is>
          <t>Zhong Thong</t>
        </is>
      </c>
      <c r="FJ647" s="18" t="inlineStr">
        <is>
          <t>Lck6122evg</t>
        </is>
      </c>
      <c r="FK647" s="18" t="n">
        <v>2026</v>
      </c>
      <c r="FL647" s="18" t="inlineStr">
        <is>
          <t>B</t>
        </is>
      </c>
      <c r="FM647" s="18" t="inlineStr">
        <is>
          <t>Las Acacias</t>
        </is>
      </c>
      <c r="FP647" t="inlineStr">
        <is>
          <t>B</t>
        </is>
      </c>
      <c r="FS647" s="14" t="inlineStr">
        <is>
          <t>LZPW-18|</t>
        </is>
      </c>
      <c r="FT647" t="inlineStr">
        <is>
          <t>LZPW-18|</t>
        </is>
      </c>
      <c r="FU647" t="inlineStr">
        <is>
          <t>LZPW-18</t>
        </is>
      </c>
      <c r="FV647">
        <f>VLOOKUP(FU647,FD:FL,9,0)</f>
        <v/>
      </c>
      <c r="HA647" s="35" t="n">
        <v>192</v>
      </c>
      <c r="HB647" s="35" t="n">
        <v>641</v>
      </c>
    </row>
    <row r="648">
      <c r="FC648" t="inlineStr">
        <is>
          <t>Diccionario 1</t>
        </is>
      </c>
      <c r="FD648" s="15" t="inlineStr"/>
      <c r="FE648" s="17" t="inlineStr">
        <is>
          <t>LDYECS318S0045841</t>
        </is>
      </c>
      <c r="FF648" s="18" t="inlineStr">
        <is>
          <t>MDN35025030300</t>
        </is>
      </c>
      <c r="FG648" s="18" t="inlineStr">
        <is>
          <t>Zhong Thong</t>
        </is>
      </c>
      <c r="FH648" s="18" t="inlineStr">
        <is>
          <t>Lck6122evg</t>
        </is>
      </c>
      <c r="FI648" s="18" t="inlineStr">
        <is>
          <t>Zhong Thong</t>
        </is>
      </c>
      <c r="FJ648" s="18" t="inlineStr">
        <is>
          <t>Lck6122evg</t>
        </is>
      </c>
      <c r="FK648" s="18" t="n">
        <v>2026</v>
      </c>
      <c r="FL648" s="18" t="inlineStr">
        <is>
          <t>B</t>
        </is>
      </c>
      <c r="FM648" s="18" t="inlineStr">
        <is>
          <t>Las Acacias</t>
        </is>
      </c>
      <c r="FP648" t="inlineStr">
        <is>
          <t>B</t>
        </is>
      </c>
      <c r="FS648" s="14" t="inlineStr">
        <is>
          <t>LZPR-98</t>
        </is>
      </c>
      <c r="FT648" t="inlineStr">
        <is>
          <t>LZPR-98</t>
        </is>
      </c>
      <c r="FU648" t="inlineStr">
        <is>
          <t>LZPR-98</t>
        </is>
      </c>
      <c r="FV648">
        <f>VLOOKUP(FU648,FD:FL,9,0)</f>
        <v/>
      </c>
      <c r="HA648" s="35" t="n">
        <v>193</v>
      </c>
      <c r="HB648" s="35" t="n">
        <v>642</v>
      </c>
    </row>
    <row r="649">
      <c r="FC649" t="inlineStr">
        <is>
          <t>Diccionario 1</t>
        </is>
      </c>
      <c r="FD649" s="15" t="inlineStr"/>
      <c r="FE649" s="17" t="inlineStr">
        <is>
          <t>LDYECS318S0045838</t>
        </is>
      </c>
      <c r="FF649" s="18" t="inlineStr">
        <is>
          <t>MDN35025030084</t>
        </is>
      </c>
      <c r="FG649" s="18" t="inlineStr">
        <is>
          <t>Zhong Thong</t>
        </is>
      </c>
      <c r="FH649" s="18" t="inlineStr">
        <is>
          <t>Lck6122evg</t>
        </is>
      </c>
      <c r="FI649" s="18" t="inlineStr">
        <is>
          <t>Zhong Thong</t>
        </is>
      </c>
      <c r="FJ649" s="18" t="inlineStr">
        <is>
          <t>Lck6122evg</t>
        </is>
      </c>
      <c r="FK649" s="18" t="n">
        <v>2026</v>
      </c>
      <c r="FL649" s="18" t="inlineStr">
        <is>
          <t>B</t>
        </is>
      </c>
      <c r="FM649" s="18" t="inlineStr">
        <is>
          <t>Las Acacias</t>
        </is>
      </c>
      <c r="FP649" t="inlineStr">
        <is>
          <t>B</t>
        </is>
      </c>
      <c r="FS649" s="14" t="inlineStr">
        <is>
          <t>SFWZ-27</t>
        </is>
      </c>
      <c r="FT649" t="inlineStr">
        <is>
          <t>SFWZ-27</t>
        </is>
      </c>
      <c r="FU649" t="inlineStr">
        <is>
          <t>SFWZ-27</t>
        </is>
      </c>
      <c r="FV649">
        <f>VLOOKUP(FU649,FD:FL,9,0)</f>
        <v/>
      </c>
      <c r="HA649" s="35" t="n">
        <v>194</v>
      </c>
      <c r="HB649" s="35" t="n">
        <v>643</v>
      </c>
    </row>
    <row r="650">
      <c r="FC650" t="inlineStr">
        <is>
          <t>Diccionario 1</t>
        </is>
      </c>
      <c r="FD650" s="15" t="inlineStr"/>
      <c r="FE650" s="17" t="inlineStr">
        <is>
          <t>LDYECS31XS0045744</t>
        </is>
      </c>
      <c r="FF650" s="18" t="inlineStr">
        <is>
          <t>MDN35025030099</t>
        </is>
      </c>
      <c r="FG650" s="18" t="inlineStr">
        <is>
          <t>Zhong Thong</t>
        </is>
      </c>
      <c r="FH650" s="18" t="inlineStr">
        <is>
          <t>Lck6122evg</t>
        </is>
      </c>
      <c r="FI650" s="18" t="inlineStr">
        <is>
          <t>Zhong Thong</t>
        </is>
      </c>
      <c r="FJ650" s="18" t="inlineStr">
        <is>
          <t>Lck6122evg</t>
        </is>
      </c>
      <c r="FK650" s="18" t="n">
        <v>2026</v>
      </c>
      <c r="FL650" s="18" t="inlineStr">
        <is>
          <t>B</t>
        </is>
      </c>
      <c r="FM650" s="18" t="inlineStr">
        <is>
          <t>Las Acacias</t>
        </is>
      </c>
      <c r="FP650" t="inlineStr">
        <is>
          <t>B</t>
        </is>
      </c>
      <c r="FS650" s="14" t="inlineStr">
        <is>
          <t>LZPR-78|</t>
        </is>
      </c>
      <c r="FT650" t="inlineStr">
        <is>
          <t>LZPR-78|</t>
        </is>
      </c>
      <c r="FU650" t="inlineStr">
        <is>
          <t>LZPR-78</t>
        </is>
      </c>
      <c r="FV650">
        <f>VLOOKUP(FU650,FD:FL,9,0)</f>
        <v/>
      </c>
      <c r="HA650" s="35" t="n">
        <v>195</v>
      </c>
      <c r="HB650" s="35" t="n">
        <v>644</v>
      </c>
    </row>
    <row r="651">
      <c r="FC651" t="inlineStr">
        <is>
          <t>Diccionario 1</t>
        </is>
      </c>
      <c r="FD651" s="15" t="inlineStr"/>
      <c r="FE651" s="17" t="inlineStr">
        <is>
          <t>LDYECS311S0045843</t>
        </is>
      </c>
      <c r="FF651" s="18" t="inlineStr">
        <is>
          <t>MDN35025030281</t>
        </is>
      </c>
      <c r="FG651" s="18" t="inlineStr">
        <is>
          <t>Zhong Thong</t>
        </is>
      </c>
      <c r="FH651" s="18" t="inlineStr">
        <is>
          <t>Lck6122evg</t>
        </is>
      </c>
      <c r="FI651" s="18" t="inlineStr">
        <is>
          <t>Zhong Thong</t>
        </is>
      </c>
      <c r="FJ651" s="18" t="inlineStr">
        <is>
          <t>Lck6122evg</t>
        </is>
      </c>
      <c r="FK651" s="18" t="n">
        <v>2026</v>
      </c>
      <c r="FL651" s="18" t="inlineStr">
        <is>
          <t>B</t>
        </is>
      </c>
      <c r="FM651" s="18" t="inlineStr">
        <is>
          <t>Las Acacias</t>
        </is>
      </c>
      <c r="FP651" t="inlineStr">
        <is>
          <t>B</t>
        </is>
      </c>
      <c r="FS651" s="14" t="inlineStr">
        <is>
          <t>LZPG-24|</t>
        </is>
      </c>
      <c r="FT651" t="inlineStr">
        <is>
          <t>LZPG-24|</t>
        </is>
      </c>
      <c r="FU651" t="inlineStr">
        <is>
          <t>LZPG-24</t>
        </is>
      </c>
      <c r="FV651">
        <f>VLOOKUP(FU651,FD:FL,9,0)</f>
        <v/>
      </c>
      <c r="HA651" s="35" t="n">
        <v>196</v>
      </c>
      <c r="HB651" s="35" t="n">
        <v>645</v>
      </c>
    </row>
    <row r="652">
      <c r="FC652" t="inlineStr">
        <is>
          <t>Diccionario 1</t>
        </is>
      </c>
      <c r="FD652" s="15" t="inlineStr"/>
      <c r="FE652" s="17" t="inlineStr">
        <is>
          <t>LDYECS31XS0045887</t>
        </is>
      </c>
      <c r="FF652" s="18" t="inlineStr">
        <is>
          <t>MDN35025010014</t>
        </is>
      </c>
      <c r="FG652" s="18" t="inlineStr">
        <is>
          <t>Zhong Thong</t>
        </is>
      </c>
      <c r="FH652" s="18" t="inlineStr">
        <is>
          <t>Lck6122evg</t>
        </is>
      </c>
      <c r="FI652" s="18" t="inlineStr">
        <is>
          <t>Zhong Thong</t>
        </is>
      </c>
      <c r="FJ652" s="18" t="inlineStr">
        <is>
          <t>Lck6122evg</t>
        </is>
      </c>
      <c r="FK652" s="18" t="n">
        <v>2026</v>
      </c>
      <c r="FL652" s="18" t="inlineStr">
        <is>
          <t>B</t>
        </is>
      </c>
      <c r="FM652" s="18" t="inlineStr">
        <is>
          <t>Las Acacias</t>
        </is>
      </c>
      <c r="FP652" t="inlineStr">
        <is>
          <t>B</t>
        </is>
      </c>
      <c r="FS652" s="14" t="inlineStr">
        <is>
          <t>LZPW-14|</t>
        </is>
      </c>
      <c r="FT652" t="inlineStr">
        <is>
          <t>LZPW-14|</t>
        </is>
      </c>
      <c r="FU652" t="inlineStr">
        <is>
          <t>LZPW-14</t>
        </is>
      </c>
      <c r="FV652">
        <f>VLOOKUP(FU652,FD:FL,9,0)</f>
        <v/>
      </c>
      <c r="HA652" s="35" t="n">
        <v>197</v>
      </c>
      <c r="HB652" s="35" t="n">
        <v>646</v>
      </c>
    </row>
    <row r="653">
      <c r="FC653" t="inlineStr">
        <is>
          <t>Diccionario 1</t>
        </is>
      </c>
      <c r="FD653" s="15" t="inlineStr"/>
      <c r="FE653" s="17" t="inlineStr">
        <is>
          <t>LDYECS314S0045755</t>
        </is>
      </c>
      <c r="FF653" s="18" t="inlineStr">
        <is>
          <t>MDN35025030243</t>
        </is>
      </c>
      <c r="FG653" s="18" t="inlineStr">
        <is>
          <t>Zhong Thong</t>
        </is>
      </c>
      <c r="FH653" s="18" t="inlineStr">
        <is>
          <t>Lck6122evg</t>
        </is>
      </c>
      <c r="FI653" s="18" t="inlineStr">
        <is>
          <t>Zhong Thong</t>
        </is>
      </c>
      <c r="FJ653" s="18" t="inlineStr">
        <is>
          <t>Lck6122evg</t>
        </is>
      </c>
      <c r="FK653" s="18" t="n">
        <v>2026</v>
      </c>
      <c r="FL653" s="18" t="inlineStr">
        <is>
          <t>B</t>
        </is>
      </c>
      <c r="FM653" s="18" t="inlineStr">
        <is>
          <t>Las Acacias</t>
        </is>
      </c>
      <c r="FP653" t="inlineStr">
        <is>
          <t>B</t>
        </is>
      </c>
      <c r="FS653" s="14" t="inlineStr">
        <is>
          <t>LZPT-52|</t>
        </is>
      </c>
      <c r="FT653" t="inlineStr">
        <is>
          <t>LZPT-52|</t>
        </is>
      </c>
      <c r="FU653" t="inlineStr">
        <is>
          <t>LZPT-52</t>
        </is>
      </c>
      <c r="FV653">
        <f>VLOOKUP(FU653,FD:FL,9,0)</f>
        <v/>
      </c>
      <c r="HA653" s="35" t="n">
        <v>198</v>
      </c>
      <c r="HB653" s="35" t="n">
        <v>647</v>
      </c>
    </row>
    <row r="654">
      <c r="FC654" t="inlineStr">
        <is>
          <t>Diccionario 1</t>
        </is>
      </c>
      <c r="FD654" s="15" t="inlineStr"/>
      <c r="FE654" s="17" t="inlineStr">
        <is>
          <t>LDYECS319S0045847</t>
        </is>
      </c>
      <c r="FF654" s="18" t="inlineStr">
        <is>
          <t>MDN35025030242</t>
        </is>
      </c>
      <c r="FG654" s="18" t="inlineStr">
        <is>
          <t>Zhong Thong</t>
        </is>
      </c>
      <c r="FH654" s="18" t="inlineStr">
        <is>
          <t>Lck6122evg</t>
        </is>
      </c>
      <c r="FI654" s="18" t="inlineStr">
        <is>
          <t>Zhong Thong</t>
        </is>
      </c>
      <c r="FJ654" s="18" t="inlineStr">
        <is>
          <t>Lck6122evg</t>
        </is>
      </c>
      <c r="FK654" s="18" t="n">
        <v>2026</v>
      </c>
      <c r="FL654" s="18" t="inlineStr">
        <is>
          <t>B</t>
        </is>
      </c>
      <c r="FM654" s="18" t="inlineStr">
        <is>
          <t>Las Acacias</t>
        </is>
      </c>
      <c r="FP654" t="inlineStr">
        <is>
          <t>B</t>
        </is>
      </c>
      <c r="FS654" s="14" t="inlineStr">
        <is>
          <t>LZPW-13|</t>
        </is>
      </c>
      <c r="FT654" t="inlineStr">
        <is>
          <t>LZPW-13|</t>
        </is>
      </c>
      <c r="FU654" t="inlineStr">
        <is>
          <t>LZPW-13</t>
        </is>
      </c>
      <c r="FV654">
        <f>VLOOKUP(FU654,FD:FL,9,0)</f>
        <v/>
      </c>
      <c r="HA654" s="35" t="n">
        <v>199</v>
      </c>
      <c r="HB654" s="35" t="n">
        <v>648</v>
      </c>
    </row>
    <row r="655">
      <c r="FC655" t="inlineStr">
        <is>
          <t>Diccionario 1</t>
        </is>
      </c>
      <c r="FD655" s="15" t="inlineStr"/>
      <c r="FE655" s="17" t="inlineStr">
        <is>
          <t>LDYECS316S0045854</t>
        </is>
      </c>
      <c r="FF655" s="18" t="inlineStr">
        <is>
          <t>MDN35025030125</t>
        </is>
      </c>
      <c r="FG655" s="18" t="inlineStr">
        <is>
          <t>Zhong Thong</t>
        </is>
      </c>
      <c r="FH655" s="18" t="inlineStr">
        <is>
          <t>Lck6122evg</t>
        </is>
      </c>
      <c r="FI655" s="18" t="inlineStr">
        <is>
          <t>Zhong Thong</t>
        </is>
      </c>
      <c r="FJ655" s="18" t="inlineStr">
        <is>
          <t>Lck6122evg</t>
        </is>
      </c>
      <c r="FK655" s="18" t="n">
        <v>2026</v>
      </c>
      <c r="FL655" s="18" t="inlineStr">
        <is>
          <t>B</t>
        </is>
      </c>
      <c r="FM655" s="18" t="inlineStr">
        <is>
          <t>Las Acacias</t>
        </is>
      </c>
      <c r="FP655" t="inlineStr">
        <is>
          <t>B</t>
        </is>
      </c>
      <c r="FS655" s="14" t="inlineStr">
        <is>
          <t>LZPW-12|</t>
        </is>
      </c>
      <c r="FT655" t="inlineStr">
        <is>
          <t>LZPW-12|</t>
        </is>
      </c>
      <c r="FU655" t="inlineStr">
        <is>
          <t>LZPW-12</t>
        </is>
      </c>
      <c r="FV655">
        <f>VLOOKUP(FU655,FD:FL,9,0)</f>
        <v/>
      </c>
      <c r="HA655" s="35" t="n">
        <v>200</v>
      </c>
      <c r="HB655" s="35" t="n">
        <v>649</v>
      </c>
    </row>
    <row r="656">
      <c r="FC656" t="inlineStr">
        <is>
          <t>Diccionario 1</t>
        </is>
      </c>
      <c r="FD656" s="15" t="inlineStr"/>
      <c r="FE656" s="17" t="inlineStr">
        <is>
          <t>LDYECS318S0045757</t>
        </is>
      </c>
      <c r="FF656" s="18" t="inlineStr">
        <is>
          <t>MDN35025030175</t>
        </is>
      </c>
      <c r="FG656" s="18" t="inlineStr">
        <is>
          <t>Zhong Thong</t>
        </is>
      </c>
      <c r="FH656" s="18" t="inlineStr">
        <is>
          <t>Lck6122evg</t>
        </is>
      </c>
      <c r="FI656" s="18" t="inlineStr">
        <is>
          <t>Zhong Thong</t>
        </is>
      </c>
      <c r="FJ656" s="18" t="inlineStr">
        <is>
          <t>Lck6122evg</t>
        </is>
      </c>
      <c r="FK656" s="18" t="n">
        <v>2026</v>
      </c>
      <c r="FL656" s="18" t="inlineStr">
        <is>
          <t>B</t>
        </is>
      </c>
      <c r="FM656" s="18" t="inlineStr">
        <is>
          <t>Las Acacias</t>
        </is>
      </c>
      <c r="FP656" t="inlineStr">
        <is>
          <t>B</t>
        </is>
      </c>
      <c r="FS656" s="14" t="inlineStr">
        <is>
          <t>LZPR-95|</t>
        </is>
      </c>
      <c r="FT656" t="inlineStr">
        <is>
          <t>LZPR-95|</t>
        </is>
      </c>
      <c r="FU656" t="inlineStr">
        <is>
          <t>LZPR-95</t>
        </is>
      </c>
      <c r="FV656">
        <f>VLOOKUP(FU656,FD:FL,9,0)</f>
        <v/>
      </c>
      <c r="HA656" s="35" t="n">
        <v>201</v>
      </c>
      <c r="HB656" s="35" t="n">
        <v>650</v>
      </c>
    </row>
    <row r="657">
      <c r="FC657" t="inlineStr">
        <is>
          <t>Diccionario 1</t>
        </is>
      </c>
      <c r="FD657" s="15" t="inlineStr"/>
      <c r="FE657" s="17" t="inlineStr">
        <is>
          <t>LDYECS31XS0045856</t>
        </is>
      </c>
      <c r="FF657" s="18" t="inlineStr">
        <is>
          <t>MDN35025030127</t>
        </is>
      </c>
      <c r="FG657" s="18" t="inlineStr">
        <is>
          <t>Zhong Thong</t>
        </is>
      </c>
      <c r="FH657" s="18" t="inlineStr">
        <is>
          <t>Lck6122evg</t>
        </is>
      </c>
      <c r="FI657" s="18" t="inlineStr">
        <is>
          <t>Zhong Thong</t>
        </is>
      </c>
      <c r="FJ657" s="18" t="inlineStr">
        <is>
          <t>Lck6122evg</t>
        </is>
      </c>
      <c r="FK657" s="18" t="n">
        <v>2026</v>
      </c>
      <c r="FL657" s="18" t="inlineStr">
        <is>
          <t>B</t>
        </is>
      </c>
      <c r="FM657" s="18" t="inlineStr">
        <is>
          <t>Las Acacias</t>
        </is>
      </c>
      <c r="FP657" t="inlineStr">
        <is>
          <t>B</t>
        </is>
      </c>
      <c r="FS657" s="14" t="inlineStr">
        <is>
          <t>LZPW-18|</t>
        </is>
      </c>
      <c r="FT657" t="inlineStr">
        <is>
          <t>LZPW-18|</t>
        </is>
      </c>
      <c r="FU657" t="inlineStr">
        <is>
          <t>LZPW-18</t>
        </is>
      </c>
      <c r="FV657">
        <f>VLOOKUP(FU657,FD:FL,9,0)</f>
        <v/>
      </c>
    </row>
    <row r="658">
      <c r="FC658" t="inlineStr">
        <is>
          <t>Diccionario 1</t>
        </is>
      </c>
      <c r="FD658" s="15" t="inlineStr"/>
      <c r="FE658" s="17" t="inlineStr">
        <is>
          <t>LDYECS312S0045849</t>
        </is>
      </c>
      <c r="FF658" s="18" t="inlineStr">
        <is>
          <t>MDN35025030294</t>
        </is>
      </c>
      <c r="FG658" s="18" t="inlineStr">
        <is>
          <t>Zhong Thong</t>
        </is>
      </c>
      <c r="FH658" s="18" t="inlineStr">
        <is>
          <t>Lck6122evg</t>
        </is>
      </c>
      <c r="FI658" s="18" t="inlineStr">
        <is>
          <t>Zhong Thong</t>
        </is>
      </c>
      <c r="FJ658" s="18" t="inlineStr">
        <is>
          <t>Lck6122evg</t>
        </is>
      </c>
      <c r="FK658" s="18" t="n">
        <v>2026</v>
      </c>
      <c r="FL658" s="18" t="inlineStr">
        <is>
          <t>B</t>
        </is>
      </c>
      <c r="FM658" s="18" t="inlineStr">
        <is>
          <t>Las Acacias</t>
        </is>
      </c>
      <c r="FP658" t="inlineStr">
        <is>
          <t>B</t>
        </is>
      </c>
      <c r="FS658" s="14" t="inlineStr">
        <is>
          <t>LZPS-11|</t>
        </is>
      </c>
      <c r="FT658" t="inlineStr">
        <is>
          <t>LZPS-11|</t>
        </is>
      </c>
      <c r="FU658" t="inlineStr">
        <is>
          <t>LZPS-11</t>
        </is>
      </c>
      <c r="FV658">
        <f>VLOOKUP(FU658,FD:FL,9,0)</f>
        <v/>
      </c>
    </row>
    <row r="659">
      <c r="FC659" t="inlineStr">
        <is>
          <t>Diccionario 1</t>
        </is>
      </c>
      <c r="FD659" s="15" t="inlineStr"/>
      <c r="FE659" s="17" t="inlineStr">
        <is>
          <t>LDYECS312S0045754</t>
        </is>
      </c>
      <c r="FF659" s="18" t="inlineStr">
        <is>
          <t>MDN35025030177</t>
        </is>
      </c>
      <c r="FG659" s="18" t="inlineStr">
        <is>
          <t>Zhong Thong</t>
        </is>
      </c>
      <c r="FH659" s="18" t="inlineStr">
        <is>
          <t>Lck6122evg</t>
        </is>
      </c>
      <c r="FI659" s="18" t="inlineStr">
        <is>
          <t>Zhong Thong</t>
        </is>
      </c>
      <c r="FJ659" s="18" t="inlineStr">
        <is>
          <t>Lck6122evg</t>
        </is>
      </c>
      <c r="FK659" s="18" t="n">
        <v>2026</v>
      </c>
      <c r="FL659" s="18" t="inlineStr">
        <is>
          <t>B</t>
        </is>
      </c>
      <c r="FM659" s="18" t="inlineStr">
        <is>
          <t>Las Acacias</t>
        </is>
      </c>
      <c r="FP659" t="inlineStr">
        <is>
          <t>B</t>
        </is>
      </c>
      <c r="FS659" s="14" t="inlineStr">
        <is>
          <t>LZPT-67|</t>
        </is>
      </c>
      <c r="FT659" t="inlineStr">
        <is>
          <t>LZPT-67|</t>
        </is>
      </c>
      <c r="FU659" t="inlineStr">
        <is>
          <t>LZPT-67</t>
        </is>
      </c>
      <c r="FV659">
        <f>VLOOKUP(FU659,FD:FL,9,0)</f>
        <v/>
      </c>
    </row>
    <row r="660">
      <c r="FC660" t="inlineStr">
        <is>
          <t>Diccionario 1</t>
        </is>
      </c>
      <c r="FD660" s="15" t="inlineStr"/>
      <c r="FE660" s="17" t="inlineStr">
        <is>
          <t>LDYECS310S0045865</t>
        </is>
      </c>
      <c r="FF660" s="18" t="inlineStr">
        <is>
          <t>MDN35025030267</t>
        </is>
      </c>
      <c r="FG660" s="18" t="inlineStr">
        <is>
          <t>Zhong Thong</t>
        </is>
      </c>
      <c r="FH660" s="18" t="inlineStr">
        <is>
          <t>Lck6122evg</t>
        </is>
      </c>
      <c r="FI660" s="18" t="inlineStr">
        <is>
          <t>Zhong Thong</t>
        </is>
      </c>
      <c r="FJ660" s="18" t="inlineStr">
        <is>
          <t>Lck6122evg</t>
        </is>
      </c>
      <c r="FK660" s="18" t="n">
        <v>2026</v>
      </c>
      <c r="FL660" s="18" t="inlineStr">
        <is>
          <t>B</t>
        </is>
      </c>
      <c r="FM660" s="18" t="inlineStr">
        <is>
          <t>Las Acacias</t>
        </is>
      </c>
      <c r="FP660" t="inlineStr">
        <is>
          <t>B</t>
        </is>
      </c>
      <c r="FS660" s="14" t="inlineStr">
        <is>
          <t>GCBF-48|</t>
        </is>
      </c>
      <c r="FT660" t="inlineStr">
        <is>
          <t>GCBF-48|</t>
        </is>
      </c>
      <c r="FU660" t="inlineStr">
        <is>
          <t>GCBF-48</t>
        </is>
      </c>
      <c r="FV660">
        <f>VLOOKUP(FU660,FD:FL,9,0)</f>
        <v/>
      </c>
    </row>
    <row r="661">
      <c r="FC661" t="inlineStr">
        <is>
          <t>Diccionario 1</t>
        </is>
      </c>
      <c r="FD661" s="15" t="inlineStr"/>
      <c r="FE661" s="17" t="inlineStr">
        <is>
          <t>LC9LC30F5JALA6109</t>
        </is>
      </c>
      <c r="FF661" s="18" t="inlineStr">
        <is>
          <t>G174J60001</t>
        </is>
      </c>
      <c r="FG661" s="18" t="inlineStr">
        <is>
          <t>KING LONG</t>
        </is>
      </c>
      <c r="FH661" s="18" t="inlineStr">
        <is>
          <t>XMQ 6127</t>
        </is>
      </c>
      <c r="FI661" s="18" t="inlineStr">
        <is>
          <t>KING LONG</t>
        </is>
      </c>
      <c r="FJ661" s="18" t="inlineStr">
        <is>
          <t>XMQ 6127G E TECH</t>
        </is>
      </c>
      <c r="FK661" s="18" t="n">
        <v>2019</v>
      </c>
      <c r="FL661" s="18" t="inlineStr">
        <is>
          <t>B</t>
        </is>
      </c>
      <c r="FM661" s="18" t="inlineStr">
        <is>
          <t>Recoleta</t>
        </is>
      </c>
      <c r="FP661" t="inlineStr">
        <is>
          <t>B</t>
        </is>
      </c>
      <c r="FS661" s="14" t="inlineStr">
        <is>
          <t>3040 / SFWZ-27|</t>
        </is>
      </c>
      <c r="FT661" t="inlineStr">
        <is>
          <t>SFWZ-27|</t>
        </is>
      </c>
      <c r="FU661" t="inlineStr">
        <is>
          <t>SFWZ-27</t>
        </is>
      </c>
      <c r="FV661">
        <f>VLOOKUP(FU661,FD:FL,9,0)</f>
        <v/>
      </c>
    </row>
    <row r="662">
      <c r="FC662" t="inlineStr">
        <is>
          <t>Diccionario 1</t>
        </is>
      </c>
      <c r="FD662" s="15" t="inlineStr"/>
      <c r="FE662" s="17" t="inlineStr">
        <is>
          <t>YV3T7U52XKA195288</t>
        </is>
      </c>
      <c r="FF662" s="18" t="n">
        <v>482342</v>
      </c>
      <c r="FG662" s="18" t="inlineStr">
        <is>
          <t>VOLVO</t>
        </is>
      </c>
      <c r="FH662" s="18" t="inlineStr">
        <is>
          <t>B8R</t>
        </is>
      </c>
      <c r="FI662" s="18" t="inlineStr">
        <is>
          <t>MARCOPOLO</t>
        </is>
      </c>
      <c r="FJ662" s="18" t="inlineStr">
        <is>
          <t>TORINO</t>
        </is>
      </c>
      <c r="FK662" s="18" t="n">
        <v>2019</v>
      </c>
      <c r="FL662" s="18" t="inlineStr">
        <is>
          <t>BPAL</t>
        </is>
      </c>
      <c r="FM662" s="18" t="inlineStr">
        <is>
          <t>Santa Rosa</t>
        </is>
      </c>
      <c r="FP662" t="inlineStr">
        <is>
          <t>B</t>
        </is>
      </c>
      <c r="FS662" s="14" t="inlineStr">
        <is>
          <t>LZPW-14|</t>
        </is>
      </c>
      <c r="FT662" t="inlineStr">
        <is>
          <t>LZPW-14|</t>
        </is>
      </c>
      <c r="FU662" t="inlineStr">
        <is>
          <t>LZPW-14</t>
        </is>
      </c>
      <c r="FV662">
        <f>VLOOKUP(FU662,FD:FL,9,0)</f>
        <v/>
      </c>
    </row>
    <row r="663">
      <c r="FC663" t="inlineStr">
        <is>
          <t>Diccionario 1</t>
        </is>
      </c>
      <c r="FD663" s="15" t="inlineStr"/>
      <c r="FE663" s="17" t="inlineStr">
        <is>
          <t>YV3T7U520KA195591</t>
        </is>
      </c>
      <c r="FF663" s="18" t="n">
        <v>483878</v>
      </c>
      <c r="FG663" s="18" t="inlineStr">
        <is>
          <t>VOLVO</t>
        </is>
      </c>
      <c r="FH663" s="18" t="inlineStr">
        <is>
          <t>B8R</t>
        </is>
      </c>
      <c r="FI663" s="18" t="inlineStr">
        <is>
          <t>MARCOPOLO</t>
        </is>
      </c>
      <c r="FJ663" s="18" t="inlineStr">
        <is>
          <t>TORINO</t>
        </is>
      </c>
      <c r="FK663" s="18" t="n">
        <v>2019</v>
      </c>
      <c r="FL663" s="18" t="inlineStr">
        <is>
          <t>BPAL</t>
        </is>
      </c>
      <c r="FM663" s="18" t="inlineStr">
        <is>
          <t>Recoleta</t>
        </is>
      </c>
      <c r="FP663" t="inlineStr">
        <is>
          <t>B</t>
        </is>
      </c>
      <c r="FS663" s="14" t="inlineStr">
        <is>
          <t>LZPT-72|</t>
        </is>
      </c>
      <c r="FT663" t="inlineStr">
        <is>
          <t>LZPT-72|</t>
        </is>
      </c>
      <c r="FU663" t="inlineStr">
        <is>
          <t>LZPT-72</t>
        </is>
      </c>
      <c r="FV663">
        <f>VLOOKUP(FU663,FD:FL,9,0)</f>
        <v/>
      </c>
    </row>
    <row r="664">
      <c r="FC664" t="inlineStr">
        <is>
          <t>Diccionario 1</t>
        </is>
      </c>
      <c r="FD664" s="15" t="inlineStr"/>
      <c r="FE664" s="17" t="inlineStr">
        <is>
          <t>YV3T7U529KA195640</t>
        </is>
      </c>
      <c r="FF664" s="18" t="n">
        <v>479849</v>
      </c>
      <c r="FG664" s="18" t="inlineStr">
        <is>
          <t>VOLVO</t>
        </is>
      </c>
      <c r="FH664" s="18" t="inlineStr">
        <is>
          <t>B8R</t>
        </is>
      </c>
      <c r="FI664" s="18" t="inlineStr">
        <is>
          <t>MARCOPOLO</t>
        </is>
      </c>
      <c r="FJ664" s="18" t="inlineStr">
        <is>
          <t>TORINO</t>
        </is>
      </c>
      <c r="FK664" s="18" t="n">
        <v>2019</v>
      </c>
      <c r="FL664" s="18" t="inlineStr">
        <is>
          <t>BPAL</t>
        </is>
      </c>
      <c r="FM664" s="18" t="inlineStr">
        <is>
          <t>Recoleta</t>
        </is>
      </c>
      <c r="FP664" t="inlineStr">
        <is>
          <t>B</t>
        </is>
      </c>
      <c r="FS664" s="14" t="inlineStr">
        <is>
          <t>GCBF-45|</t>
        </is>
      </c>
      <c r="FT664" t="inlineStr">
        <is>
          <t>GCBF-45|</t>
        </is>
      </c>
      <c r="FU664" t="inlineStr">
        <is>
          <t>GCBF-45</t>
        </is>
      </c>
      <c r="FV664">
        <f>VLOOKUP(FU664,FD:FL,9,0)</f>
        <v/>
      </c>
    </row>
    <row r="665">
      <c r="FC665" t="inlineStr">
        <is>
          <t>Diccionario 1</t>
        </is>
      </c>
      <c r="FD665" s="15" t="inlineStr"/>
      <c r="FE665" s="17" t="inlineStr">
        <is>
          <t>YV3T7U526KA195689</t>
        </is>
      </c>
      <c r="FF665" s="18" t="n">
        <v>484541</v>
      </c>
      <c r="FG665" s="18" t="inlineStr">
        <is>
          <t>VOLVO</t>
        </is>
      </c>
      <c r="FH665" s="18" t="inlineStr">
        <is>
          <t>B8R</t>
        </is>
      </c>
      <c r="FI665" s="18" t="inlineStr">
        <is>
          <t>MARCOPOLO</t>
        </is>
      </c>
      <c r="FJ665" s="18" t="inlineStr">
        <is>
          <t>TORINO</t>
        </is>
      </c>
      <c r="FK665" s="18" t="n">
        <v>2019</v>
      </c>
      <c r="FL665" s="18" t="inlineStr">
        <is>
          <t>BPAL</t>
        </is>
      </c>
      <c r="FM665" s="18" t="inlineStr">
        <is>
          <t>Recoleta</t>
        </is>
      </c>
      <c r="FP665" t="inlineStr">
        <is>
          <t>B</t>
        </is>
      </c>
      <c r="FS665" s="14" t="inlineStr">
        <is>
          <t>9925 / SXKV-97|</t>
        </is>
      </c>
      <c r="FT665" t="inlineStr">
        <is>
          <t>SXKV-97|</t>
        </is>
      </c>
      <c r="FU665" t="inlineStr">
        <is>
          <t>SXKV-97</t>
        </is>
      </c>
      <c r="FV665">
        <f>VLOOKUP(FU665,FD:FL,9,0)</f>
        <v/>
      </c>
    </row>
    <row r="666">
      <c r="FC666" t="inlineStr">
        <is>
          <t>Diccionario 1</t>
        </is>
      </c>
      <c r="FD666" s="15" t="inlineStr"/>
      <c r="FE666" s="17" t="inlineStr">
        <is>
          <t>YV3T7U528KA195189</t>
        </is>
      </c>
      <c r="FF666" s="18" t="n">
        <v>481662</v>
      </c>
      <c r="FG666" s="18" t="inlineStr">
        <is>
          <t>VOLVO</t>
        </is>
      </c>
      <c r="FH666" s="18" t="inlineStr">
        <is>
          <t>B8R</t>
        </is>
      </c>
      <c r="FI666" s="18" t="inlineStr">
        <is>
          <t>MARCOPOLO</t>
        </is>
      </c>
      <c r="FJ666" s="18" t="inlineStr">
        <is>
          <t>TORINO</t>
        </is>
      </c>
      <c r="FK666" s="18" t="n">
        <v>2019</v>
      </c>
      <c r="FL666" s="18" t="inlineStr">
        <is>
          <t>BPAL</t>
        </is>
      </c>
      <c r="FM666" s="18" t="inlineStr">
        <is>
          <t>Santa Rosa</t>
        </is>
      </c>
      <c r="FP666" t="inlineStr">
        <is>
          <t>B</t>
        </is>
      </c>
      <c r="FS666" s="14" t="inlineStr">
        <is>
          <t>LZPV-98|</t>
        </is>
      </c>
      <c r="FT666" t="inlineStr">
        <is>
          <t>LZPV-98|</t>
        </is>
      </c>
      <c r="FU666" t="inlineStr">
        <is>
          <t>LZPV-98</t>
        </is>
      </c>
      <c r="FV666">
        <f>VLOOKUP(FU666,FD:FL,9,0)</f>
        <v/>
      </c>
    </row>
    <row r="667">
      <c r="FC667" t="inlineStr">
        <is>
          <t>Diccionario 1</t>
        </is>
      </c>
      <c r="FD667" s="15" t="inlineStr"/>
      <c r="FE667" s="17" t="inlineStr">
        <is>
          <t>YV3T7U527KA195149</t>
        </is>
      </c>
      <c r="FF667" s="18" t="n">
        <v>478253</v>
      </c>
      <c r="FG667" s="18" t="inlineStr">
        <is>
          <t>VOLVO</t>
        </is>
      </c>
      <c r="FH667" s="18" t="inlineStr">
        <is>
          <t>B8R</t>
        </is>
      </c>
      <c r="FI667" s="18" t="inlineStr">
        <is>
          <t>MARCOPOLO</t>
        </is>
      </c>
      <c r="FJ667" s="18" t="inlineStr">
        <is>
          <t>TORINO</t>
        </is>
      </c>
      <c r="FK667" s="18" t="n">
        <v>2019</v>
      </c>
      <c r="FL667" s="18" t="inlineStr">
        <is>
          <t>BPAL</t>
        </is>
      </c>
      <c r="FM667" s="18" t="inlineStr">
        <is>
          <t>Santa Rosa</t>
        </is>
      </c>
      <c r="FP667" t="inlineStr">
        <is>
          <t>B</t>
        </is>
      </c>
      <c r="FS667" s="14" t="inlineStr">
        <is>
          <t>LZPT-49|</t>
        </is>
      </c>
      <c r="FT667" t="inlineStr">
        <is>
          <t>LZPT-49|</t>
        </is>
      </c>
      <c r="FU667" t="inlineStr">
        <is>
          <t>LZPT-49</t>
        </is>
      </c>
      <c r="FV667">
        <f>VLOOKUP(FU667,FD:FL,9,0)</f>
        <v/>
      </c>
    </row>
    <row r="668">
      <c r="FC668" t="inlineStr">
        <is>
          <t>Diccionario 1</t>
        </is>
      </c>
      <c r="FD668" s="15" t="inlineStr"/>
      <c r="FE668" s="17" t="inlineStr">
        <is>
          <t>YV3T7U528KA195354</t>
        </is>
      </c>
      <c r="FF668" s="18" t="n">
        <v>482584</v>
      </c>
      <c r="FG668" s="18" t="inlineStr">
        <is>
          <t>VOLVO</t>
        </is>
      </c>
      <c r="FH668" s="18" t="inlineStr">
        <is>
          <t>B8R</t>
        </is>
      </c>
      <c r="FI668" s="18" t="inlineStr">
        <is>
          <t>MARCOPOLO</t>
        </is>
      </c>
      <c r="FJ668" s="18" t="inlineStr">
        <is>
          <t>TORINO</t>
        </is>
      </c>
      <c r="FK668" s="18" t="n">
        <v>2019</v>
      </c>
      <c r="FL668" s="18" t="inlineStr">
        <is>
          <t>BPAL</t>
        </is>
      </c>
      <c r="FM668" s="18" t="inlineStr">
        <is>
          <t>Santa Rosa</t>
        </is>
      </c>
      <c r="FP668" t="inlineStr">
        <is>
          <t>B</t>
        </is>
      </c>
      <c r="FS668" s="14" t="inlineStr">
        <is>
          <t>LZPW-10|</t>
        </is>
      </c>
      <c r="FT668" t="inlineStr">
        <is>
          <t>LZPW-10|</t>
        </is>
      </c>
      <c r="FU668" t="inlineStr">
        <is>
          <t>LZPW-10</t>
        </is>
      </c>
      <c r="FV668">
        <f>VLOOKUP(FU668,FD:FL,9,0)</f>
        <v/>
      </c>
    </row>
    <row r="669">
      <c r="FC669" t="inlineStr">
        <is>
          <t>Diccionario 1</t>
        </is>
      </c>
      <c r="FD669" s="15" t="inlineStr"/>
      <c r="FE669" s="17" t="inlineStr">
        <is>
          <t>YV3T7U525KA195358</t>
        </is>
      </c>
      <c r="FF669" s="18" t="n">
        <v>482487</v>
      </c>
      <c r="FG669" s="18" t="inlineStr">
        <is>
          <t>VOLVO</t>
        </is>
      </c>
      <c r="FH669" s="18" t="inlineStr">
        <is>
          <t>B8R</t>
        </is>
      </c>
      <c r="FI669" s="18" t="inlineStr">
        <is>
          <t>MARCOPOLO</t>
        </is>
      </c>
      <c r="FJ669" s="18" t="inlineStr">
        <is>
          <t>TORINO</t>
        </is>
      </c>
      <c r="FK669" s="18" t="n">
        <v>2019</v>
      </c>
      <c r="FL669" s="18" t="inlineStr">
        <is>
          <t>BPAL</t>
        </is>
      </c>
      <c r="FM669" s="18" t="inlineStr">
        <is>
          <t>Santa Rosa</t>
        </is>
      </c>
      <c r="FP669" t="inlineStr">
        <is>
          <t>B</t>
        </is>
      </c>
      <c r="FS669" s="14" t="inlineStr">
        <is>
          <t>LZPV-99|</t>
        </is>
      </c>
      <c r="FT669" t="inlineStr">
        <is>
          <t>LZPV-99|</t>
        </is>
      </c>
      <c r="FU669" t="inlineStr">
        <is>
          <t>LZPV-99</t>
        </is>
      </c>
      <c r="FV669">
        <f>VLOOKUP(FU669,FD:FL,9,0)</f>
        <v/>
      </c>
    </row>
    <row r="670">
      <c r="FC670" t="inlineStr">
        <is>
          <t>Diccionario 1</t>
        </is>
      </c>
      <c r="FD670" s="15" t="inlineStr"/>
      <c r="FE670" s="17" t="inlineStr">
        <is>
          <t>YV3T7U529KA195573</t>
        </is>
      </c>
      <c r="FF670" s="18" t="n">
        <v>483422</v>
      </c>
      <c r="FG670" s="18" t="inlineStr">
        <is>
          <t>VOLVO</t>
        </is>
      </c>
      <c r="FH670" s="18" t="inlineStr">
        <is>
          <t>B8R</t>
        </is>
      </c>
      <c r="FI670" s="18" t="inlineStr">
        <is>
          <t>MARCOPOLO</t>
        </is>
      </c>
      <c r="FJ670" s="18" t="inlineStr">
        <is>
          <t>TORINO</t>
        </is>
      </c>
      <c r="FK670" s="18" t="n">
        <v>2019</v>
      </c>
      <c r="FL670" s="18" t="inlineStr">
        <is>
          <t>BPAL</t>
        </is>
      </c>
      <c r="FM670" s="18" t="inlineStr">
        <is>
          <t>Recoleta</t>
        </is>
      </c>
      <c r="FP670" t="inlineStr">
        <is>
          <t>B</t>
        </is>
      </c>
      <c r="FS670" s="14" t="inlineStr">
        <is>
          <t>LZPG-24|</t>
        </is>
      </c>
      <c r="FT670" t="inlineStr">
        <is>
          <t>LZPG-24|</t>
        </is>
      </c>
      <c r="FU670" t="inlineStr">
        <is>
          <t>LZPG-24</t>
        </is>
      </c>
      <c r="FV670">
        <f>VLOOKUP(FU670,FD:FL,9,0)</f>
        <v/>
      </c>
    </row>
    <row r="671">
      <c r="FC671" t="inlineStr">
        <is>
          <t>Diccionario 1</t>
        </is>
      </c>
      <c r="FD671" s="15" t="inlineStr"/>
      <c r="FE671" s="17" t="inlineStr">
        <is>
          <t>YV3T7U526KA195711</t>
        </is>
      </c>
      <c r="FF671" s="18" t="n">
        <v>484639</v>
      </c>
      <c r="FG671" s="18" t="inlineStr">
        <is>
          <t>VOLVO</t>
        </is>
      </c>
      <c r="FH671" s="18" t="inlineStr">
        <is>
          <t>B8R</t>
        </is>
      </c>
      <c r="FI671" s="18" t="inlineStr">
        <is>
          <t>MARCOPOLO</t>
        </is>
      </c>
      <c r="FJ671" s="18" t="inlineStr">
        <is>
          <t>TORINO</t>
        </is>
      </c>
      <c r="FK671" s="18" t="n">
        <v>2019</v>
      </c>
      <c r="FL671" s="18" t="inlineStr">
        <is>
          <t>BPAL</t>
        </is>
      </c>
      <c r="FM671" s="18" t="inlineStr">
        <is>
          <t>Recoleta</t>
        </is>
      </c>
      <c r="FP671" t="inlineStr">
        <is>
          <t>B</t>
        </is>
      </c>
      <c r="FS671" s="14" t="inlineStr">
        <is>
          <t>LZPR-98|</t>
        </is>
      </c>
      <c r="FT671" t="inlineStr">
        <is>
          <t>LZPR-98|</t>
        </is>
      </c>
      <c r="FU671" t="inlineStr">
        <is>
          <t>LZPR-98</t>
        </is>
      </c>
      <c r="FV671">
        <f>VLOOKUP(FU671,FD:FL,9,0)</f>
        <v/>
      </c>
    </row>
    <row r="672">
      <c r="FC672" t="inlineStr">
        <is>
          <t>Diccionario 1</t>
        </is>
      </c>
      <c r="FD672" s="15" t="inlineStr"/>
      <c r="FE672" s="17" t="inlineStr">
        <is>
          <t>YV3T7U522KA195687</t>
        </is>
      </c>
      <c r="FF672" s="18" t="n">
        <v>484547</v>
      </c>
      <c r="FG672" s="18" t="inlineStr">
        <is>
          <t>VOLVO</t>
        </is>
      </c>
      <c r="FH672" s="18" t="inlineStr">
        <is>
          <t>B8R</t>
        </is>
      </c>
      <c r="FI672" s="18" t="inlineStr">
        <is>
          <t>MARCOPOLO</t>
        </is>
      </c>
      <c r="FJ672" s="18" t="inlineStr">
        <is>
          <t>TORINO</t>
        </is>
      </c>
      <c r="FK672" s="18" t="n">
        <v>2019</v>
      </c>
      <c r="FL672" s="18" t="inlineStr">
        <is>
          <t>BPAL</t>
        </is>
      </c>
      <c r="FM672" s="18" t="inlineStr">
        <is>
          <t>Recoleta</t>
        </is>
      </c>
      <c r="FP672" t="inlineStr">
        <is>
          <t>B</t>
        </is>
      </c>
      <c r="FS672" s="14" t="inlineStr">
        <is>
          <t>LZPT-61|</t>
        </is>
      </c>
      <c r="FT672" t="inlineStr">
        <is>
          <t>LZPT-61|</t>
        </is>
      </c>
      <c r="FU672" t="inlineStr">
        <is>
          <t>LZPT-61</t>
        </is>
      </c>
      <c r="FV672">
        <f>VLOOKUP(FU672,FD:FL,9,0)</f>
        <v/>
      </c>
    </row>
    <row r="673">
      <c r="FC673" t="inlineStr">
        <is>
          <t>Diccionario 1</t>
        </is>
      </c>
      <c r="FD673" s="15" t="inlineStr"/>
      <c r="FE673" s="17" t="inlineStr">
        <is>
          <t>YV3T7U520LA200970</t>
        </is>
      </c>
      <c r="FF673" s="18" t="n">
        <v>506294</v>
      </c>
      <c r="FG673" s="18" t="inlineStr">
        <is>
          <t>VOLVO</t>
        </is>
      </c>
      <c r="FH673" s="18" t="inlineStr">
        <is>
          <t>B8RLEA</t>
        </is>
      </c>
      <c r="FI673" s="18" t="inlineStr">
        <is>
          <t>MARCOPOLO</t>
        </is>
      </c>
      <c r="FJ673" s="18" t="inlineStr">
        <is>
          <t>GRAN VIALE</t>
        </is>
      </c>
      <c r="FK673" s="18" t="n">
        <v>2020</v>
      </c>
      <c r="FL673" s="18" t="inlineStr">
        <is>
          <t>C</t>
        </is>
      </c>
      <c r="FM673" s="18" t="inlineStr">
        <is>
          <t>Recoleta</t>
        </is>
      </c>
      <c r="FP673" t="inlineStr">
        <is>
          <t>C</t>
        </is>
      </c>
      <c r="FS673" s="14" t="inlineStr">
        <is>
          <t>GCBF-43|</t>
        </is>
      </c>
      <c r="FT673" t="inlineStr">
        <is>
          <t>GCBF-43|</t>
        </is>
      </c>
      <c r="FU673" t="inlineStr">
        <is>
          <t>GCBF-43</t>
        </is>
      </c>
      <c r="FV673">
        <f>VLOOKUP(FU673,FD:FL,9,0)</f>
        <v/>
      </c>
    </row>
    <row r="674">
      <c r="FC674" t="inlineStr">
        <is>
          <t>Diccionario 1</t>
        </is>
      </c>
      <c r="FD674" s="15" t="inlineStr"/>
      <c r="FE674" s="17" t="inlineStr">
        <is>
          <t>YV3T7U524LA200874</t>
        </is>
      </c>
      <c r="FF674" s="18" t="n">
        <v>505924</v>
      </c>
      <c r="FG674" s="18" t="inlineStr">
        <is>
          <t>VOLVO</t>
        </is>
      </c>
      <c r="FH674" s="18" t="inlineStr">
        <is>
          <t>B8RLEA</t>
        </is>
      </c>
      <c r="FI674" s="18" t="inlineStr">
        <is>
          <t>MARCOPOLO</t>
        </is>
      </c>
      <c r="FJ674" s="18" t="inlineStr">
        <is>
          <t>GRAN VIALE</t>
        </is>
      </c>
      <c r="FK674" s="18" t="n">
        <v>2020</v>
      </c>
      <c r="FL674" s="18" t="inlineStr">
        <is>
          <t>C</t>
        </is>
      </c>
      <c r="FM674" s="18" t="inlineStr">
        <is>
          <t>Recoleta</t>
        </is>
      </c>
      <c r="FP674" t="inlineStr">
        <is>
          <t>C</t>
        </is>
      </c>
      <c r="FS674" s="14" t="inlineStr">
        <is>
          <t>LZPT-65|</t>
        </is>
      </c>
      <c r="FT674" t="inlineStr">
        <is>
          <t>LZPT-65|</t>
        </is>
      </c>
      <c r="FU674" t="inlineStr">
        <is>
          <t>LZPT-65</t>
        </is>
      </c>
      <c r="FV674">
        <f>VLOOKUP(FU674,FD:FL,9,0)</f>
        <v/>
      </c>
    </row>
    <row r="675">
      <c r="FC675" t="inlineStr">
        <is>
          <t>Diccionario 1</t>
        </is>
      </c>
      <c r="FD675" s="15" t="inlineStr"/>
      <c r="FE675" s="17" t="inlineStr">
        <is>
          <t>YV3T7U526LA200875</t>
        </is>
      </c>
      <c r="FF675" s="18" t="n">
        <v>505881</v>
      </c>
      <c r="FG675" s="18" t="inlineStr">
        <is>
          <t>VOLVO</t>
        </is>
      </c>
      <c r="FH675" s="18" t="inlineStr">
        <is>
          <t>B8RLEA</t>
        </is>
      </c>
      <c r="FI675" s="18" t="inlineStr">
        <is>
          <t>MARCOPOLO</t>
        </is>
      </c>
      <c r="FJ675" s="18" t="inlineStr">
        <is>
          <t>GRAN VIALE</t>
        </is>
      </c>
      <c r="FK675" s="18" t="n">
        <v>2020</v>
      </c>
      <c r="FL675" s="18" t="inlineStr">
        <is>
          <t>C</t>
        </is>
      </c>
      <c r="FM675" s="18" t="inlineStr">
        <is>
          <t>Lo Blanco</t>
        </is>
      </c>
      <c r="FP675" t="inlineStr">
        <is>
          <t>C</t>
        </is>
      </c>
      <c r="FS675" s="14" t="inlineStr">
        <is>
          <t>LZPW-20|</t>
        </is>
      </c>
      <c r="FT675" t="inlineStr">
        <is>
          <t>LZPW-20|</t>
        </is>
      </c>
      <c r="FU675" t="inlineStr">
        <is>
          <t>LZPW-20</t>
        </is>
      </c>
      <c r="FV675">
        <f>VLOOKUP(FU675,FD:FL,9,0)</f>
        <v/>
      </c>
    </row>
    <row r="676">
      <c r="FC676" t="inlineStr">
        <is>
          <t>Diccionario 1</t>
        </is>
      </c>
      <c r="FD676" s="15" t="inlineStr"/>
      <c r="FE676" s="17" t="inlineStr">
        <is>
          <t>YV3T7U528LA200876</t>
        </is>
      </c>
      <c r="FF676" s="18" t="n">
        <v>505895</v>
      </c>
      <c r="FG676" s="18" t="inlineStr">
        <is>
          <t>VOLVO</t>
        </is>
      </c>
      <c r="FH676" s="18" t="inlineStr">
        <is>
          <t>B8RLEA</t>
        </is>
      </c>
      <c r="FI676" s="18" t="inlineStr">
        <is>
          <t>MARCOPOLO</t>
        </is>
      </c>
      <c r="FJ676" s="18" t="inlineStr">
        <is>
          <t>GRAN VIALE</t>
        </is>
      </c>
      <c r="FK676" s="18" t="n">
        <v>2020</v>
      </c>
      <c r="FL676" s="18" t="inlineStr">
        <is>
          <t>C</t>
        </is>
      </c>
      <c r="FM676" s="18" t="inlineStr">
        <is>
          <t>Recoleta</t>
        </is>
      </c>
      <c r="FP676" t="inlineStr">
        <is>
          <t>C</t>
        </is>
      </c>
      <c r="FS676" s="14" t="inlineStr">
        <is>
          <t>LZPS-23|</t>
        </is>
      </c>
      <c r="FT676" t="inlineStr">
        <is>
          <t>LZPS-23|</t>
        </is>
      </c>
      <c r="FU676" t="inlineStr">
        <is>
          <t>LZPS-23</t>
        </is>
      </c>
      <c r="FV676">
        <f>VLOOKUP(FU676,FD:FL,9,0)</f>
        <v/>
      </c>
    </row>
    <row r="677">
      <c r="FC677" t="inlineStr">
        <is>
          <t>Diccionario 1</t>
        </is>
      </c>
      <c r="FD677" s="15" t="inlineStr"/>
      <c r="FE677" s="17" t="inlineStr">
        <is>
          <t>YV3T7U520LA200886</t>
        </is>
      </c>
      <c r="FF677" s="18" t="n">
        <v>506176</v>
      </c>
      <c r="FG677" s="18" t="inlineStr">
        <is>
          <t>VOLVO</t>
        </is>
      </c>
      <c r="FH677" s="18" t="inlineStr">
        <is>
          <t>B8RLEA</t>
        </is>
      </c>
      <c r="FI677" s="18" t="inlineStr">
        <is>
          <t>MARCOPOLO</t>
        </is>
      </c>
      <c r="FJ677" s="18" t="inlineStr">
        <is>
          <t>GRAN VIALE</t>
        </is>
      </c>
      <c r="FK677" s="18" t="n">
        <v>2020</v>
      </c>
      <c r="FL677" s="18" t="inlineStr">
        <is>
          <t>C</t>
        </is>
      </c>
      <c r="FM677" s="18" t="inlineStr">
        <is>
          <t>Recoleta</t>
        </is>
      </c>
      <c r="FP677" t="inlineStr">
        <is>
          <t>C</t>
        </is>
      </c>
      <c r="FS677" s="14" t="inlineStr">
        <is>
          <t>LXWT-96|</t>
        </is>
      </c>
      <c r="FT677" t="inlineStr">
        <is>
          <t>LXWT-96|</t>
        </is>
      </c>
      <c r="FU677" t="inlineStr">
        <is>
          <t>LXWT-96</t>
        </is>
      </c>
      <c r="FV677">
        <f>VLOOKUP(FU677,FD:FL,9,0)</f>
        <v/>
      </c>
    </row>
    <row r="678">
      <c r="FC678" t="inlineStr">
        <is>
          <t>Diccionario 1</t>
        </is>
      </c>
      <c r="FD678" s="15" t="inlineStr"/>
      <c r="FE678" s="17" t="inlineStr">
        <is>
          <t>YV3T7U522LA200887</t>
        </is>
      </c>
      <c r="FF678" s="18" t="n">
        <v>506197</v>
      </c>
      <c r="FG678" s="18" t="inlineStr">
        <is>
          <t>VOLVO</t>
        </is>
      </c>
      <c r="FH678" s="18" t="inlineStr">
        <is>
          <t>B8RLEA</t>
        </is>
      </c>
      <c r="FI678" s="18" t="inlineStr">
        <is>
          <t>MARCOPOLO</t>
        </is>
      </c>
      <c r="FJ678" s="18" t="inlineStr">
        <is>
          <t>GRAN VIALE</t>
        </is>
      </c>
      <c r="FK678" s="18" t="n">
        <v>2020</v>
      </c>
      <c r="FL678" s="18" t="inlineStr">
        <is>
          <t>C</t>
        </is>
      </c>
      <c r="FM678" s="18" t="inlineStr">
        <is>
          <t>Recoleta</t>
        </is>
      </c>
      <c r="FP678" t="inlineStr">
        <is>
          <t>C</t>
        </is>
      </c>
      <c r="FS678" s="14" t="inlineStr">
        <is>
          <t>LZPR-97|</t>
        </is>
      </c>
      <c r="FT678" t="inlineStr">
        <is>
          <t>LZPR-97|</t>
        </is>
      </c>
      <c r="FU678" t="inlineStr">
        <is>
          <t>LZPR-97</t>
        </is>
      </c>
      <c r="FV678">
        <f>VLOOKUP(FU678,FD:FL,9,0)</f>
        <v/>
      </c>
    </row>
    <row r="679">
      <c r="FC679" t="inlineStr">
        <is>
          <t>Diccionario 1</t>
        </is>
      </c>
      <c r="FD679" s="15" t="inlineStr"/>
      <c r="FE679" s="17" t="inlineStr">
        <is>
          <t>YV3T7U526LA200925</t>
        </is>
      </c>
      <c r="FF679" s="18" t="n">
        <v>506187</v>
      </c>
      <c r="FG679" s="18" t="inlineStr">
        <is>
          <t>VOLVO</t>
        </is>
      </c>
      <c r="FH679" s="18" t="inlineStr">
        <is>
          <t>B8RLEA</t>
        </is>
      </c>
      <c r="FI679" s="18" t="inlineStr">
        <is>
          <t>MARCOPOLO</t>
        </is>
      </c>
      <c r="FJ679" s="18" t="inlineStr">
        <is>
          <t>GRAN VIALE</t>
        </is>
      </c>
      <c r="FK679" s="18" t="n">
        <v>2020</v>
      </c>
      <c r="FL679" s="18" t="inlineStr">
        <is>
          <t>C</t>
        </is>
      </c>
      <c r="FM679" s="18" t="inlineStr">
        <is>
          <t>Recoleta</t>
        </is>
      </c>
      <c r="FP679" t="inlineStr">
        <is>
          <t>C</t>
        </is>
      </c>
      <c r="FS679" s="14" t="inlineStr">
        <is>
          <t>LZPS-10|</t>
        </is>
      </c>
      <c r="FT679" t="inlineStr">
        <is>
          <t>LZPS-10|</t>
        </is>
      </c>
      <c r="FU679" t="inlineStr">
        <is>
          <t>LZPS-10</t>
        </is>
      </c>
      <c r="FV679">
        <f>VLOOKUP(FU679,FD:FL,9,0)</f>
        <v/>
      </c>
    </row>
    <row r="680">
      <c r="FC680" t="inlineStr">
        <is>
          <t>Diccionario 1</t>
        </is>
      </c>
      <c r="FD680" s="15" t="inlineStr"/>
      <c r="FE680" s="17" t="inlineStr">
        <is>
          <t>YV3T7U527LA200934</t>
        </is>
      </c>
      <c r="FF680" s="18" t="n">
        <v>506345</v>
      </c>
      <c r="FG680" s="18" t="inlineStr">
        <is>
          <t>VOLVO</t>
        </is>
      </c>
      <c r="FH680" s="18" t="inlineStr">
        <is>
          <t>B8RLEA</t>
        </is>
      </c>
      <c r="FI680" s="18" t="inlineStr">
        <is>
          <t>MARCOPOLO</t>
        </is>
      </c>
      <c r="FJ680" s="18" t="inlineStr">
        <is>
          <t>GRAN VIALE</t>
        </is>
      </c>
      <c r="FK680" s="18" t="n">
        <v>2020</v>
      </c>
      <c r="FL680" s="18" t="inlineStr">
        <is>
          <t>C</t>
        </is>
      </c>
      <c r="FM680" s="18" t="inlineStr">
        <is>
          <t>Recoleta</t>
        </is>
      </c>
      <c r="FP680" t="inlineStr">
        <is>
          <t>C</t>
        </is>
      </c>
      <c r="FS680" s="14" t="inlineStr">
        <is>
          <t>LXWT-95|</t>
        </is>
      </c>
      <c r="FT680" t="inlineStr">
        <is>
          <t>LXWT-95|</t>
        </is>
      </c>
      <c r="FU680" t="inlineStr">
        <is>
          <t>LXWT-95</t>
        </is>
      </c>
      <c r="FV680">
        <f>VLOOKUP(FU680,FD:FL,9,0)</f>
        <v/>
      </c>
    </row>
    <row r="681">
      <c r="FC681" t="inlineStr">
        <is>
          <t>Diccionario 1</t>
        </is>
      </c>
      <c r="FD681" s="15" t="inlineStr"/>
      <c r="FE681" s="17" t="inlineStr">
        <is>
          <t>YV3T7U529LA200935</t>
        </is>
      </c>
      <c r="FF681" s="18" t="n">
        <v>506403</v>
      </c>
      <c r="FG681" s="18" t="inlineStr">
        <is>
          <t>VOLVO</t>
        </is>
      </c>
      <c r="FH681" s="18" t="inlineStr">
        <is>
          <t>B8RLEA</t>
        </is>
      </c>
      <c r="FI681" s="18" t="inlineStr">
        <is>
          <t>MARCOPOLO</t>
        </is>
      </c>
      <c r="FJ681" s="18" t="inlineStr">
        <is>
          <t>GRAN VIALE</t>
        </is>
      </c>
      <c r="FK681" s="18" t="n">
        <v>2020</v>
      </c>
      <c r="FL681" s="18" t="inlineStr">
        <is>
          <t>C</t>
        </is>
      </c>
      <c r="FM681" s="18" t="inlineStr">
        <is>
          <t>Recoleta</t>
        </is>
      </c>
      <c r="FP681" t="inlineStr">
        <is>
          <t>C</t>
        </is>
      </c>
      <c r="FS681" s="14" t="inlineStr">
        <is>
          <t>LXWT-82|</t>
        </is>
      </c>
      <c r="FT681" t="inlineStr">
        <is>
          <t>LXWT-82|</t>
        </is>
      </c>
      <c r="FU681" t="inlineStr">
        <is>
          <t>LXWT-82</t>
        </is>
      </c>
      <c r="FV681">
        <f>VLOOKUP(FU681,FD:FL,9,0)</f>
        <v/>
      </c>
    </row>
    <row r="682">
      <c r="FC682" t="inlineStr">
        <is>
          <t>Diccionario 1</t>
        </is>
      </c>
      <c r="FD682" s="15" t="inlineStr"/>
      <c r="FE682" s="17" t="inlineStr">
        <is>
          <t>YV3T7U520LA200936</t>
        </is>
      </c>
      <c r="FF682" s="18" t="n">
        <v>506358</v>
      </c>
      <c r="FG682" s="18" t="inlineStr">
        <is>
          <t>VOLVO</t>
        </is>
      </c>
      <c r="FH682" s="18" t="inlineStr">
        <is>
          <t>B8RLEA</t>
        </is>
      </c>
      <c r="FI682" s="18" t="inlineStr">
        <is>
          <t>MARCOPOLO</t>
        </is>
      </c>
      <c r="FJ682" s="18" t="inlineStr">
        <is>
          <t>GRAN VIALE</t>
        </is>
      </c>
      <c r="FK682" s="18" t="n">
        <v>2020</v>
      </c>
      <c r="FL682" s="18" t="inlineStr">
        <is>
          <t>C</t>
        </is>
      </c>
      <c r="FM682" s="18" t="inlineStr">
        <is>
          <t>Recoleta</t>
        </is>
      </c>
      <c r="FP682" t="inlineStr">
        <is>
          <t>C</t>
        </is>
      </c>
      <c r="FS682" s="14" t="inlineStr">
        <is>
          <t>LZPT-77|</t>
        </is>
      </c>
      <c r="FT682" t="inlineStr">
        <is>
          <t>LZPT-77|</t>
        </is>
      </c>
      <c r="FU682" t="inlineStr">
        <is>
          <t>LZPT-77</t>
        </is>
      </c>
      <c r="FV682">
        <f>VLOOKUP(FU682,FD:FL,9,0)</f>
        <v/>
      </c>
    </row>
    <row r="683">
      <c r="FC683" t="inlineStr">
        <is>
          <t>Diccionario 1</t>
        </is>
      </c>
      <c r="FD683" s="15" t="inlineStr"/>
      <c r="FE683" s="17" t="inlineStr">
        <is>
          <t>YV3T7U524LA200969</t>
        </is>
      </c>
      <c r="FF683" s="18" t="n">
        <v>506311</v>
      </c>
      <c r="FG683" s="18" t="inlineStr">
        <is>
          <t>VOLVO</t>
        </is>
      </c>
      <c r="FH683" s="18" t="inlineStr">
        <is>
          <t>B8RLEA</t>
        </is>
      </c>
      <c r="FI683" s="18" t="inlineStr">
        <is>
          <t>MARCOPOLO</t>
        </is>
      </c>
      <c r="FJ683" s="18" t="inlineStr">
        <is>
          <t>GRAN VIALE</t>
        </is>
      </c>
      <c r="FK683" s="18" t="n">
        <v>2020</v>
      </c>
      <c r="FL683" s="18" t="inlineStr">
        <is>
          <t>C</t>
        </is>
      </c>
      <c r="FM683" s="18" t="inlineStr">
        <is>
          <t>Recoleta</t>
        </is>
      </c>
      <c r="FP683" t="inlineStr">
        <is>
          <t>C</t>
        </is>
      </c>
      <c r="FS683" s="14" t="inlineStr">
        <is>
          <t>9951 / TBZB-24|</t>
        </is>
      </c>
      <c r="FT683" t="inlineStr">
        <is>
          <t>TBZB-24|</t>
        </is>
      </c>
      <c r="FU683" t="inlineStr">
        <is>
          <t>TBZB-24</t>
        </is>
      </c>
      <c r="FV683">
        <f>VLOOKUP(FU683,FD:FL,9,0)</f>
        <v/>
      </c>
    </row>
    <row r="684">
      <c r="FC684" t="inlineStr">
        <is>
          <t>Diccionario 1</t>
        </is>
      </c>
      <c r="FD684" s="15" t="inlineStr"/>
      <c r="FE684" s="17" t="inlineStr">
        <is>
          <t>YV3T7U524LA200924</t>
        </is>
      </c>
      <c r="FF684" s="18" t="n">
        <v>506179</v>
      </c>
      <c r="FG684" s="18" t="inlineStr">
        <is>
          <t>VOLVO</t>
        </is>
      </c>
      <c r="FH684" s="18" t="inlineStr">
        <is>
          <t>B8RLEA</t>
        </is>
      </c>
      <c r="FI684" s="18" t="inlineStr">
        <is>
          <t>MARCOPOLO</t>
        </is>
      </c>
      <c r="FJ684" s="18" t="inlineStr">
        <is>
          <t>GRAN VIALE</t>
        </is>
      </c>
      <c r="FK684" s="18" t="n">
        <v>2020</v>
      </c>
      <c r="FL684" s="18" t="inlineStr">
        <is>
          <t>C</t>
        </is>
      </c>
      <c r="FM684" s="18" t="inlineStr">
        <is>
          <t>Recoleta</t>
        </is>
      </c>
      <c r="FP684" t="inlineStr">
        <is>
          <t>C</t>
        </is>
      </c>
      <c r="FS684" s="14" t="inlineStr">
        <is>
          <t>LZPT-62|</t>
        </is>
      </c>
      <c r="FT684" t="inlineStr">
        <is>
          <t>LZPT-62|</t>
        </is>
      </c>
      <c r="FU684" t="inlineStr">
        <is>
          <t>LZPT-62</t>
        </is>
      </c>
      <c r="FV684">
        <f>VLOOKUP(FU684,FD:FL,9,0)</f>
        <v/>
      </c>
    </row>
    <row r="685">
      <c r="FC685" t="inlineStr">
        <is>
          <t>Diccionario 1</t>
        </is>
      </c>
      <c r="FD685" s="15" t="inlineStr"/>
      <c r="FE685" s="17" t="inlineStr">
        <is>
          <t>YV3T7U522LA200873</t>
        </is>
      </c>
      <c r="FF685" s="18" t="n">
        <v>505882</v>
      </c>
      <c r="FG685" s="18" t="inlineStr">
        <is>
          <t>VOLVO</t>
        </is>
      </c>
      <c r="FH685" s="18" t="inlineStr">
        <is>
          <t>B8RLEA</t>
        </is>
      </c>
      <c r="FI685" s="18" t="inlineStr">
        <is>
          <t>MARCOPOLO</t>
        </is>
      </c>
      <c r="FJ685" s="18" t="inlineStr">
        <is>
          <t>GRAN VIALE</t>
        </is>
      </c>
      <c r="FK685" s="18" t="n">
        <v>2020</v>
      </c>
      <c r="FL685" s="18" t="inlineStr">
        <is>
          <t>C</t>
        </is>
      </c>
      <c r="FM685" s="18" t="inlineStr">
        <is>
          <t>Recoleta</t>
        </is>
      </c>
      <c r="FP685" t="inlineStr">
        <is>
          <t>C</t>
        </is>
      </c>
      <c r="FS685" s="14" t="inlineStr">
        <is>
          <t>LZPS-17|</t>
        </is>
      </c>
      <c r="FT685" t="inlineStr">
        <is>
          <t>LZPS-17|</t>
        </is>
      </c>
      <c r="FU685" t="inlineStr">
        <is>
          <t>LZPS-17</t>
        </is>
      </c>
      <c r="FV685">
        <f>VLOOKUP(FU685,FD:FL,9,0)</f>
        <v/>
      </c>
    </row>
    <row r="686">
      <c r="FC686" t="inlineStr">
        <is>
          <t>Diccionario 1</t>
        </is>
      </c>
      <c r="FD686" s="15" t="inlineStr"/>
      <c r="FE686" s="17" t="inlineStr">
        <is>
          <t>YV3T7U520LA198721</t>
        </is>
      </c>
      <c r="FF686" s="18" t="n">
        <v>500916</v>
      </c>
      <c r="FG686" s="18" t="inlineStr">
        <is>
          <t>VOLVO</t>
        </is>
      </c>
      <c r="FH686" s="18" t="inlineStr">
        <is>
          <t>B8RLEA</t>
        </is>
      </c>
      <c r="FI686" s="18" t="inlineStr">
        <is>
          <t>MARCOPOLO</t>
        </is>
      </c>
      <c r="FJ686" s="18" t="inlineStr">
        <is>
          <t>GRAN VIALE</t>
        </is>
      </c>
      <c r="FK686" s="18" t="n">
        <v>2020</v>
      </c>
      <c r="FL686" s="18" t="inlineStr">
        <is>
          <t>C</t>
        </is>
      </c>
      <c r="FM686" s="18" t="inlineStr">
        <is>
          <t>Lo Blanco</t>
        </is>
      </c>
      <c r="FP686" t="inlineStr">
        <is>
          <t>C</t>
        </is>
      </c>
      <c r="FS686" s="14" t="inlineStr">
        <is>
          <t>LXWT-85|</t>
        </is>
      </c>
      <c r="FT686" t="inlineStr">
        <is>
          <t>LXWT-85|</t>
        </is>
      </c>
      <c r="FU686" t="inlineStr">
        <is>
          <t>LXWT-85</t>
        </is>
      </c>
      <c r="FV686">
        <f>VLOOKUP(FU686,FD:FL,9,0)</f>
        <v/>
      </c>
    </row>
    <row r="687">
      <c r="FC687" t="inlineStr">
        <is>
          <t>Diccionario 1</t>
        </is>
      </c>
      <c r="FD687" s="15" t="inlineStr"/>
      <c r="FE687" s="17" t="inlineStr">
        <is>
          <t>YV3T7U52XLA200832</t>
        </is>
      </c>
      <c r="FF687" s="18" t="n">
        <v>505962</v>
      </c>
      <c r="FG687" s="18" t="inlineStr">
        <is>
          <t>VOLVO</t>
        </is>
      </c>
      <c r="FH687" s="18" t="inlineStr">
        <is>
          <t>B8RLEA</t>
        </is>
      </c>
      <c r="FI687" s="18" t="inlineStr">
        <is>
          <t>MARCOPOLO</t>
        </is>
      </c>
      <c r="FJ687" s="18" t="inlineStr">
        <is>
          <t>GRAN VIALE</t>
        </is>
      </c>
      <c r="FK687" s="18" t="n">
        <v>2020</v>
      </c>
      <c r="FL687" s="18" t="inlineStr">
        <is>
          <t>C</t>
        </is>
      </c>
      <c r="FM687" s="18" t="inlineStr">
        <is>
          <t>Recoleta</t>
        </is>
      </c>
      <c r="FP687" t="inlineStr">
        <is>
          <t>C</t>
        </is>
      </c>
      <c r="FS687" s="14" t="inlineStr">
        <is>
          <t>LZPG-16|</t>
        </is>
      </c>
      <c r="FT687" t="inlineStr">
        <is>
          <t>LZPG-16|</t>
        </is>
      </c>
      <c r="FU687" t="inlineStr">
        <is>
          <t>LZPG-16</t>
        </is>
      </c>
      <c r="FV687">
        <f>VLOOKUP(FU687,FD:FL,9,0)</f>
        <v/>
      </c>
    </row>
    <row r="688">
      <c r="FC688" t="inlineStr">
        <is>
          <t>Diccionario 1</t>
        </is>
      </c>
      <c r="FD688" s="15" t="inlineStr"/>
      <c r="FE688" s="17" t="inlineStr">
        <is>
          <t>YV3T7U52XLA200863</t>
        </is>
      </c>
      <c r="FF688" s="18" t="n">
        <v>505947</v>
      </c>
      <c r="FG688" s="18" t="inlineStr">
        <is>
          <t>VOLVO</t>
        </is>
      </c>
      <c r="FH688" s="18" t="inlineStr">
        <is>
          <t>B8RLEA</t>
        </is>
      </c>
      <c r="FI688" s="18" t="inlineStr">
        <is>
          <t>MARCOPOLO</t>
        </is>
      </c>
      <c r="FJ688" s="18" t="inlineStr">
        <is>
          <t>GRAN VIALE</t>
        </is>
      </c>
      <c r="FK688" s="18" t="n">
        <v>2020</v>
      </c>
      <c r="FL688" s="18" t="inlineStr">
        <is>
          <t>C</t>
        </is>
      </c>
      <c r="FM688" s="18" t="inlineStr">
        <is>
          <t>Recoleta</t>
        </is>
      </c>
      <c r="FP688" t="inlineStr">
        <is>
          <t>C</t>
        </is>
      </c>
      <c r="FS688" s="14" t="inlineStr">
        <is>
          <t>LZPS-11|</t>
        </is>
      </c>
      <c r="FT688" t="inlineStr">
        <is>
          <t>LZPS-11|</t>
        </is>
      </c>
      <c r="FU688" t="inlineStr">
        <is>
          <t>LZPS-11</t>
        </is>
      </c>
      <c r="FV688">
        <f>VLOOKUP(FU688,FD:FL,9,0)</f>
        <v/>
      </c>
    </row>
    <row r="689">
      <c r="FC689" t="inlineStr">
        <is>
          <t>Diccionario 1</t>
        </is>
      </c>
      <c r="FD689" s="15" t="inlineStr"/>
      <c r="FE689" s="17" t="inlineStr">
        <is>
          <t>YV3T7U528LA200831</t>
        </is>
      </c>
      <c r="FF689" s="18" t="n">
        <v>505956</v>
      </c>
      <c r="FG689" s="18" t="inlineStr">
        <is>
          <t>VOLVO</t>
        </is>
      </c>
      <c r="FH689" s="18" t="inlineStr">
        <is>
          <t>B8RLEA</t>
        </is>
      </c>
      <c r="FI689" s="18" t="inlineStr">
        <is>
          <t>MARCOPOLO</t>
        </is>
      </c>
      <c r="FJ689" s="18" t="inlineStr">
        <is>
          <t>GRAN VIALE</t>
        </is>
      </c>
      <c r="FK689" s="18" t="n">
        <v>2020</v>
      </c>
      <c r="FL689" s="18" t="inlineStr">
        <is>
          <t>C</t>
        </is>
      </c>
      <c r="FM689" s="18" t="inlineStr">
        <is>
          <t>Recoleta</t>
        </is>
      </c>
      <c r="FP689" t="inlineStr">
        <is>
          <t>C</t>
        </is>
      </c>
      <c r="FS689" s="14" t="inlineStr">
        <is>
          <t>LZPT-59|</t>
        </is>
      </c>
      <c r="FT689" t="inlineStr">
        <is>
          <t>LZPT-59|</t>
        </is>
      </c>
      <c r="FU689" t="inlineStr">
        <is>
          <t>LZPT-59</t>
        </is>
      </c>
      <c r="FV689">
        <f>VLOOKUP(FU689,FD:FL,9,0)</f>
        <v/>
      </c>
    </row>
    <row r="690">
      <c r="FC690" t="inlineStr">
        <is>
          <t>Diccionario 1</t>
        </is>
      </c>
      <c r="FD690" s="15" t="inlineStr"/>
      <c r="FE690" s="17" t="inlineStr">
        <is>
          <t>YV3T7U528LA200862</t>
        </is>
      </c>
      <c r="FF690" s="18" t="n">
        <v>505976</v>
      </c>
      <c r="FG690" s="18" t="inlineStr">
        <is>
          <t>VOLVO</t>
        </is>
      </c>
      <c r="FH690" s="18" t="inlineStr">
        <is>
          <t>B8RLEA</t>
        </is>
      </c>
      <c r="FI690" s="18" t="inlineStr">
        <is>
          <t>MARCOPOLO</t>
        </is>
      </c>
      <c r="FJ690" s="18" t="inlineStr">
        <is>
          <t>GRAN VIALE</t>
        </is>
      </c>
      <c r="FK690" s="18" t="n">
        <v>2020</v>
      </c>
      <c r="FL690" s="18" t="inlineStr">
        <is>
          <t>C</t>
        </is>
      </c>
      <c r="FM690" s="18" t="inlineStr">
        <is>
          <t>Recoleta</t>
        </is>
      </c>
      <c r="FP690" t="inlineStr">
        <is>
          <t>C</t>
        </is>
      </c>
      <c r="FS690" s="14" t="inlineStr">
        <is>
          <t>LZPS-25|</t>
        </is>
      </c>
      <c r="FT690" t="inlineStr">
        <is>
          <t>LZPS-25|</t>
        </is>
      </c>
      <c r="FU690" t="inlineStr">
        <is>
          <t>LZPS-25</t>
        </is>
      </c>
      <c r="FV690">
        <f>VLOOKUP(FU690,FD:FL,9,0)</f>
        <v/>
      </c>
    </row>
    <row r="691">
      <c r="FC691" t="inlineStr">
        <is>
          <t>Diccionario 1</t>
        </is>
      </c>
      <c r="FD691" s="15" t="inlineStr"/>
      <c r="FE691" s="17" t="inlineStr">
        <is>
          <t>YV3T7U521LA201271</t>
        </is>
      </c>
      <c r="FF691" s="18" t="n">
        <v>507683</v>
      </c>
      <c r="FG691" s="18" t="inlineStr">
        <is>
          <t>VOLVO</t>
        </is>
      </c>
      <c r="FH691" s="18" t="inlineStr">
        <is>
          <t>B8RLEA</t>
        </is>
      </c>
      <c r="FI691" s="18" t="inlineStr">
        <is>
          <t>MARCOPOLO</t>
        </is>
      </c>
      <c r="FJ691" s="18" t="inlineStr">
        <is>
          <t>GRAN VIALE</t>
        </is>
      </c>
      <c r="FK691" s="18" t="n">
        <v>2020</v>
      </c>
      <c r="FL691" s="18" t="inlineStr">
        <is>
          <t>C</t>
        </is>
      </c>
      <c r="FM691" s="18" t="inlineStr">
        <is>
          <t>Lo Blanco</t>
        </is>
      </c>
      <c r="FP691" t="inlineStr">
        <is>
          <t>C</t>
        </is>
      </c>
      <c r="FS691" s="14" t="inlineStr">
        <is>
          <t>LZPG-27|</t>
        </is>
      </c>
      <c r="FT691" t="inlineStr">
        <is>
          <t>LZPG-27|</t>
        </is>
      </c>
      <c r="FU691" t="inlineStr">
        <is>
          <t>LZPG-27</t>
        </is>
      </c>
      <c r="FV691">
        <f>VLOOKUP(FU691,FD:FL,9,0)</f>
        <v/>
      </c>
    </row>
    <row r="692">
      <c r="FC692" t="inlineStr">
        <is>
          <t>Diccionario 1</t>
        </is>
      </c>
      <c r="FD692" s="15" t="inlineStr"/>
      <c r="FE692" s="17" t="inlineStr">
        <is>
          <t>YV3T7U525LA201208</t>
        </is>
      </c>
      <c r="FF692" s="18" t="n">
        <v>507344</v>
      </c>
      <c r="FG692" s="18" t="inlineStr">
        <is>
          <t>VOLVO</t>
        </is>
      </c>
      <c r="FH692" s="18" t="inlineStr">
        <is>
          <t>B8RLEA</t>
        </is>
      </c>
      <c r="FI692" s="18" t="inlineStr">
        <is>
          <t>MARCOPOLO</t>
        </is>
      </c>
      <c r="FJ692" s="18" t="inlineStr">
        <is>
          <t>GRAN VIALE</t>
        </is>
      </c>
      <c r="FK692" s="18" t="n">
        <v>2020</v>
      </c>
      <c r="FL692" s="18" t="inlineStr">
        <is>
          <t>C</t>
        </is>
      </c>
      <c r="FM692" s="18" t="inlineStr">
        <is>
          <t>Lo Blanco</t>
        </is>
      </c>
      <c r="FP692" t="inlineStr">
        <is>
          <t>C</t>
        </is>
      </c>
      <c r="FS692" s="14" t="inlineStr">
        <is>
          <t>9925 / SXKV-97|</t>
        </is>
      </c>
      <c r="FT692" t="inlineStr">
        <is>
          <t>SXKV-97|</t>
        </is>
      </c>
      <c r="FU692" t="inlineStr">
        <is>
          <t>SXKV-97</t>
        </is>
      </c>
      <c r="FV692">
        <f>VLOOKUP(FU692,FD:FL,9,0)</f>
        <v/>
      </c>
    </row>
    <row r="693">
      <c r="FC693" t="inlineStr">
        <is>
          <t>Diccionario 1</t>
        </is>
      </c>
      <c r="FD693" s="15" t="inlineStr"/>
      <c r="FE693" s="17" t="inlineStr">
        <is>
          <t>YV3T7U524LA200888</t>
        </is>
      </c>
      <c r="FF693" s="18" t="n">
        <v>506177</v>
      </c>
      <c r="FG693" s="18" t="inlineStr">
        <is>
          <t>VOLVO</t>
        </is>
      </c>
      <c r="FH693" s="18" t="inlineStr">
        <is>
          <t>B8RLEA</t>
        </is>
      </c>
      <c r="FI693" s="18" t="inlineStr">
        <is>
          <t>MARCOPOLO</t>
        </is>
      </c>
      <c r="FJ693" s="18" t="inlineStr">
        <is>
          <t>GRAN VIALE</t>
        </is>
      </c>
      <c r="FK693" s="18" t="n">
        <v>2020</v>
      </c>
      <c r="FL693" s="18" t="inlineStr">
        <is>
          <t>C</t>
        </is>
      </c>
      <c r="FM693" s="18" t="inlineStr">
        <is>
          <t>Recoleta</t>
        </is>
      </c>
      <c r="FP693" t="inlineStr">
        <is>
          <t>C</t>
        </is>
      </c>
      <c r="FS693" s="14" t="inlineStr">
        <is>
          <t>LZPR-93|</t>
        </is>
      </c>
      <c r="FT693" t="inlineStr">
        <is>
          <t>LZPR-93|</t>
        </is>
      </c>
      <c r="FU693" t="inlineStr">
        <is>
          <t>LZPR-93</t>
        </is>
      </c>
      <c r="FV693">
        <f>VLOOKUP(FU693,FD:FL,9,0)</f>
        <v/>
      </c>
    </row>
    <row r="694">
      <c r="FC694" t="inlineStr">
        <is>
          <t>Diccionario 1</t>
        </is>
      </c>
      <c r="FD694" s="15" t="inlineStr"/>
      <c r="FE694" s="17" t="inlineStr">
        <is>
          <t>YV3T7U522LA200923</t>
        </is>
      </c>
      <c r="FF694" s="18" t="n">
        <v>506195</v>
      </c>
      <c r="FG694" s="18" t="inlineStr">
        <is>
          <t>VOLVO</t>
        </is>
      </c>
      <c r="FH694" s="18" t="inlineStr">
        <is>
          <t>B8RLEA</t>
        </is>
      </c>
      <c r="FI694" s="18" t="inlineStr">
        <is>
          <t>MARCOPOLO</t>
        </is>
      </c>
      <c r="FJ694" s="18" t="inlineStr">
        <is>
          <t>GRAN VIALE</t>
        </is>
      </c>
      <c r="FK694" s="18" t="n">
        <v>2020</v>
      </c>
      <c r="FL694" s="18" t="inlineStr">
        <is>
          <t>C</t>
        </is>
      </c>
      <c r="FM694" s="18" t="inlineStr">
        <is>
          <t>Lo Blanco</t>
        </is>
      </c>
      <c r="FP694" t="inlineStr">
        <is>
          <t>C</t>
        </is>
      </c>
      <c r="FS694" s="14" t="inlineStr">
        <is>
          <t>LZPW-17|</t>
        </is>
      </c>
      <c r="FT694" t="inlineStr">
        <is>
          <t>LZPW-17|</t>
        </is>
      </c>
      <c r="FU694" t="inlineStr">
        <is>
          <t>LZPW-17</t>
        </is>
      </c>
      <c r="FV694">
        <f>VLOOKUP(FU694,FD:FL,9,0)</f>
        <v/>
      </c>
    </row>
    <row r="695">
      <c r="FC695" t="inlineStr">
        <is>
          <t>Diccionario 1</t>
        </is>
      </c>
      <c r="FD695" s="15" t="inlineStr"/>
      <c r="FE695" s="17" t="inlineStr">
        <is>
          <t>YV3T7U525LA201211</t>
        </is>
      </c>
      <c r="FF695" s="18" t="n">
        <v>507350</v>
      </c>
      <c r="FG695" s="18" t="inlineStr">
        <is>
          <t>VOLVO</t>
        </is>
      </c>
      <c r="FH695" s="18" t="inlineStr">
        <is>
          <t>B8RLEA</t>
        </is>
      </c>
      <c r="FI695" s="18" t="inlineStr">
        <is>
          <t>MARCOPOLO</t>
        </is>
      </c>
      <c r="FJ695" s="18" t="inlineStr">
        <is>
          <t>GRAN VIALE</t>
        </is>
      </c>
      <c r="FK695" s="18" t="n">
        <v>2020</v>
      </c>
      <c r="FL695" s="18" t="inlineStr">
        <is>
          <t>C</t>
        </is>
      </c>
      <c r="FM695" s="18" t="inlineStr">
        <is>
          <t>Lo Blanco</t>
        </is>
      </c>
      <c r="FP695" t="inlineStr">
        <is>
          <t>C</t>
        </is>
      </c>
      <c r="FS695" s="14" t="inlineStr">
        <is>
          <t>LZPT-49|</t>
        </is>
      </c>
      <c r="FT695" t="inlineStr">
        <is>
          <t>LZPT-49|</t>
        </is>
      </c>
      <c r="FU695" t="inlineStr">
        <is>
          <t>LZPT-49</t>
        </is>
      </c>
      <c r="FV695">
        <f>VLOOKUP(FU695,FD:FL,9,0)</f>
        <v/>
      </c>
    </row>
    <row r="696">
      <c r="FC696" t="inlineStr">
        <is>
          <t>Diccionario 1</t>
        </is>
      </c>
      <c r="FD696" s="15" t="inlineStr"/>
      <c r="FE696" s="17" t="inlineStr">
        <is>
          <t>YV3T7U52XLA201317</t>
        </is>
      </c>
      <c r="FF696" s="18" t="n">
        <v>507672</v>
      </c>
      <c r="FG696" s="18" t="inlineStr">
        <is>
          <t>VOLVO</t>
        </is>
      </c>
      <c r="FH696" s="18" t="inlineStr">
        <is>
          <t>B8RLEA</t>
        </is>
      </c>
      <c r="FI696" s="18" t="inlineStr">
        <is>
          <t>MARCOPOLO</t>
        </is>
      </c>
      <c r="FJ696" s="18" t="inlineStr">
        <is>
          <t>GRAN VIALE</t>
        </is>
      </c>
      <c r="FK696" s="18" t="n">
        <v>2020</v>
      </c>
      <c r="FL696" s="18" t="inlineStr">
        <is>
          <t>C</t>
        </is>
      </c>
      <c r="FM696" s="18" t="inlineStr">
        <is>
          <t>Lo Blanco</t>
        </is>
      </c>
      <c r="FP696" t="inlineStr">
        <is>
          <t>C</t>
        </is>
      </c>
      <c r="FS696" s="14" t="inlineStr">
        <is>
          <t>LZPG-15|</t>
        </is>
      </c>
      <c r="FT696" t="inlineStr">
        <is>
          <t>LZPG-15|</t>
        </is>
      </c>
      <c r="FU696" t="inlineStr">
        <is>
          <t>LZPG-15</t>
        </is>
      </c>
      <c r="FV696">
        <f>VLOOKUP(FU696,FD:FL,9,0)</f>
        <v/>
      </c>
    </row>
    <row r="697">
      <c r="FC697" t="inlineStr">
        <is>
          <t>Diccionario 1</t>
        </is>
      </c>
      <c r="FD697" s="15" t="inlineStr"/>
      <c r="FE697" s="17" t="inlineStr">
        <is>
          <t>YV3T7U523LA201269</t>
        </is>
      </c>
      <c r="FF697" s="18" t="n">
        <v>507437</v>
      </c>
      <c r="FG697" s="18" t="inlineStr">
        <is>
          <t>VOLVO</t>
        </is>
      </c>
      <c r="FH697" s="18" t="inlineStr">
        <is>
          <t>B8RLEA</t>
        </is>
      </c>
      <c r="FI697" s="18" t="inlineStr">
        <is>
          <t>MARCOPOLO</t>
        </is>
      </c>
      <c r="FJ697" s="18" t="inlineStr">
        <is>
          <t>GRAN VIALE</t>
        </is>
      </c>
      <c r="FK697" s="18" t="n">
        <v>2020</v>
      </c>
      <c r="FL697" s="18" t="inlineStr">
        <is>
          <t>C</t>
        </is>
      </c>
      <c r="FM697" s="18" t="inlineStr">
        <is>
          <t>Lo Blanco</t>
        </is>
      </c>
      <c r="FP697" t="inlineStr">
        <is>
          <t>C</t>
        </is>
      </c>
      <c r="FS697" s="14" t="inlineStr">
        <is>
          <t>LZRB-84|</t>
        </is>
      </c>
      <c r="FT697" t="inlineStr">
        <is>
          <t>LZRB-84|</t>
        </is>
      </c>
      <c r="FU697" t="inlineStr">
        <is>
          <t>LZRB-84</t>
        </is>
      </c>
      <c r="FV697">
        <f>VLOOKUP(FU697,FD:FL,9,0)</f>
        <v/>
      </c>
    </row>
    <row r="698">
      <c r="FC698" t="inlineStr">
        <is>
          <t>Diccionario 1</t>
        </is>
      </c>
      <c r="FD698" s="15" t="inlineStr"/>
      <c r="FE698" s="17" t="inlineStr">
        <is>
          <t>YV3T7U528LA201252</t>
        </is>
      </c>
      <c r="FF698" s="18" t="n">
        <v>506904</v>
      </c>
      <c r="FG698" s="18" t="inlineStr">
        <is>
          <t>VOLVO</t>
        </is>
      </c>
      <c r="FH698" s="18" t="inlineStr">
        <is>
          <t>B8RLEA</t>
        </is>
      </c>
      <c r="FI698" s="18" t="inlineStr">
        <is>
          <t>MARCOPOLO</t>
        </is>
      </c>
      <c r="FJ698" s="18" t="inlineStr">
        <is>
          <t>GRAN VIALE</t>
        </is>
      </c>
      <c r="FK698" s="18" t="n">
        <v>2020</v>
      </c>
      <c r="FL698" s="18" t="inlineStr">
        <is>
          <t>C</t>
        </is>
      </c>
      <c r="FM698" s="18" t="inlineStr">
        <is>
          <t>Lo Blanco</t>
        </is>
      </c>
      <c r="FP698" t="inlineStr">
        <is>
          <t>C</t>
        </is>
      </c>
      <c r="FS698" s="14" t="inlineStr">
        <is>
          <t>LZRB-85|</t>
        </is>
      </c>
      <c r="FT698" t="inlineStr">
        <is>
          <t>LZRB-85|</t>
        </is>
      </c>
      <c r="FU698" t="inlineStr">
        <is>
          <t>LZRB-85</t>
        </is>
      </c>
      <c r="FV698">
        <f>VLOOKUP(FU698,FD:FL,9,0)</f>
        <v/>
      </c>
    </row>
    <row r="699">
      <c r="FC699" t="inlineStr">
        <is>
          <t>Diccionario 1</t>
        </is>
      </c>
      <c r="FD699" s="15" t="inlineStr"/>
      <c r="FE699" s="17" t="inlineStr">
        <is>
          <t>YV3T7U523LA201210</t>
        </is>
      </c>
      <c r="FF699" s="18" t="n">
        <v>507372</v>
      </c>
      <c r="FG699" s="18" t="inlineStr">
        <is>
          <t>VOLVO</t>
        </is>
      </c>
      <c r="FH699" s="18" t="inlineStr">
        <is>
          <t>B8RLEA</t>
        </is>
      </c>
      <c r="FI699" s="18" t="inlineStr">
        <is>
          <t>MARCOPOLO</t>
        </is>
      </c>
      <c r="FJ699" s="18" t="inlineStr">
        <is>
          <t>GRAN VIALE</t>
        </is>
      </c>
      <c r="FK699" s="18" t="n">
        <v>2020</v>
      </c>
      <c r="FL699" s="18" t="inlineStr">
        <is>
          <t>C</t>
        </is>
      </c>
      <c r="FM699" s="18" t="inlineStr">
        <is>
          <t>Lo Blanco</t>
        </is>
      </c>
      <c r="FP699" t="inlineStr">
        <is>
          <t>C</t>
        </is>
      </c>
      <c r="FS699" s="14" t="inlineStr">
        <is>
          <t>LZPR-98|</t>
        </is>
      </c>
      <c r="FT699" t="inlineStr">
        <is>
          <t>LZPR-98|</t>
        </is>
      </c>
      <c r="FU699" t="inlineStr">
        <is>
          <t>LZPR-98</t>
        </is>
      </c>
      <c r="FV699">
        <f>VLOOKUP(FU699,FD:FL,9,0)</f>
        <v/>
      </c>
    </row>
    <row r="700">
      <c r="FC700" t="inlineStr">
        <is>
          <t>Diccionario 1</t>
        </is>
      </c>
      <c r="FD700" s="15" t="inlineStr"/>
      <c r="FE700" s="17" t="inlineStr">
        <is>
          <t>YV3T7U522LA201182</t>
        </is>
      </c>
      <c r="FF700" s="18" t="n">
        <v>506843</v>
      </c>
      <c r="FG700" s="18" t="inlineStr">
        <is>
          <t>VOLVO</t>
        </is>
      </c>
      <c r="FH700" s="18" t="inlineStr">
        <is>
          <t>B8RLEA</t>
        </is>
      </c>
      <c r="FI700" s="18" t="inlineStr">
        <is>
          <t>MARCOPOLO</t>
        </is>
      </c>
      <c r="FJ700" s="18" t="inlineStr">
        <is>
          <t>GRAN VIALE</t>
        </is>
      </c>
      <c r="FK700" s="18" t="n">
        <v>2020</v>
      </c>
      <c r="FL700" s="18" t="inlineStr">
        <is>
          <t>C</t>
        </is>
      </c>
      <c r="FM700" s="18" t="inlineStr">
        <is>
          <t>Lo Blanco</t>
        </is>
      </c>
      <c r="FP700" t="inlineStr">
        <is>
          <t>C</t>
        </is>
      </c>
      <c r="FS700" s="14" t="inlineStr">
        <is>
          <t>LZPG-23|</t>
        </is>
      </c>
      <c r="FT700" t="inlineStr">
        <is>
          <t>LZPG-23|</t>
        </is>
      </c>
      <c r="FU700" t="inlineStr">
        <is>
          <t>LZPG-23</t>
        </is>
      </c>
      <c r="FV700">
        <f>VLOOKUP(FU700,FD:FL,9,0)</f>
        <v/>
      </c>
    </row>
    <row r="701">
      <c r="FC701" t="inlineStr">
        <is>
          <t>Diccionario 1</t>
        </is>
      </c>
      <c r="FD701" s="15" t="inlineStr"/>
      <c r="FE701" s="17" t="inlineStr">
        <is>
          <t>YV3T7U527LA201212</t>
        </is>
      </c>
      <c r="FF701" s="18" t="n">
        <v>507397</v>
      </c>
      <c r="FG701" s="18" t="inlineStr">
        <is>
          <t>VOLVO</t>
        </is>
      </c>
      <c r="FH701" s="18" t="inlineStr">
        <is>
          <t>B8RLEA</t>
        </is>
      </c>
      <c r="FI701" s="18" t="inlineStr">
        <is>
          <t>MARCOPOLO</t>
        </is>
      </c>
      <c r="FJ701" s="18" t="inlineStr">
        <is>
          <t>GRAN VIALE</t>
        </is>
      </c>
      <c r="FK701" s="18" t="n">
        <v>2020</v>
      </c>
      <c r="FL701" s="18" t="inlineStr">
        <is>
          <t>C</t>
        </is>
      </c>
      <c r="FM701" s="18" t="inlineStr">
        <is>
          <t>Lo Blanco</t>
        </is>
      </c>
      <c r="FP701" t="inlineStr">
        <is>
          <t>C</t>
        </is>
      </c>
      <c r="FS701" s="14" t="inlineStr">
        <is>
          <t>LXWT-83|</t>
        </is>
      </c>
      <c r="FT701" t="inlineStr">
        <is>
          <t>LXWT-83|</t>
        </is>
      </c>
      <c r="FU701" t="inlineStr">
        <is>
          <t>LXWT-83</t>
        </is>
      </c>
      <c r="FV701">
        <f>VLOOKUP(FU701,FD:FL,9,0)</f>
        <v/>
      </c>
    </row>
    <row r="702">
      <c r="FC702" t="inlineStr">
        <is>
          <t>Diccionario 1</t>
        </is>
      </c>
      <c r="FD702" s="15" t="inlineStr"/>
      <c r="FE702" s="17" t="inlineStr">
        <is>
          <t>YV3T7U521LA201254</t>
        </is>
      </c>
      <c r="FF702" s="18" t="n">
        <v>507451</v>
      </c>
      <c r="FG702" s="18" t="inlineStr">
        <is>
          <t>VOLVO</t>
        </is>
      </c>
      <c r="FH702" s="18" t="inlineStr">
        <is>
          <t>B8RLEA</t>
        </is>
      </c>
      <c r="FI702" s="18" t="inlineStr">
        <is>
          <t>MARCOPOLO</t>
        </is>
      </c>
      <c r="FJ702" s="18" t="inlineStr">
        <is>
          <t>GRAN VIALE</t>
        </is>
      </c>
      <c r="FK702" s="18" t="n">
        <v>2020</v>
      </c>
      <c r="FL702" s="18" t="inlineStr">
        <is>
          <t>C</t>
        </is>
      </c>
      <c r="FM702" s="18" t="inlineStr">
        <is>
          <t>Lo Blanco</t>
        </is>
      </c>
      <c r="FP702" t="inlineStr">
        <is>
          <t>C</t>
        </is>
      </c>
      <c r="FS702" s="14" t="inlineStr">
        <is>
          <t>LXWT-99|</t>
        </is>
      </c>
      <c r="FT702" t="inlineStr">
        <is>
          <t>LXWT-99|</t>
        </is>
      </c>
      <c r="FU702" t="inlineStr">
        <is>
          <t>LXWT-99</t>
        </is>
      </c>
      <c r="FV702">
        <f>VLOOKUP(FU702,FD:FL,9,0)</f>
        <v/>
      </c>
    </row>
    <row r="703">
      <c r="FC703" t="inlineStr">
        <is>
          <t>Diccionario 1</t>
        </is>
      </c>
      <c r="FD703" s="15" t="inlineStr"/>
      <c r="FE703" s="17" t="inlineStr">
        <is>
          <t>YV3T7U523LA201255</t>
        </is>
      </c>
      <c r="FF703" s="18" t="n">
        <v>507423</v>
      </c>
      <c r="FG703" s="18" t="inlineStr">
        <is>
          <t>VOLVO</t>
        </is>
      </c>
      <c r="FH703" s="18" t="inlineStr">
        <is>
          <t>B8RLEA</t>
        </is>
      </c>
      <c r="FI703" s="18" t="inlineStr">
        <is>
          <t>MARCOPOLO</t>
        </is>
      </c>
      <c r="FJ703" s="18" t="inlineStr">
        <is>
          <t>GRAN VIALE</t>
        </is>
      </c>
      <c r="FK703" s="18" t="n">
        <v>2020</v>
      </c>
      <c r="FL703" s="18" t="inlineStr">
        <is>
          <t>C</t>
        </is>
      </c>
      <c r="FM703" s="18" t="inlineStr">
        <is>
          <t>Lo Blanco</t>
        </is>
      </c>
      <c r="FP703" t="inlineStr">
        <is>
          <t>C</t>
        </is>
      </c>
      <c r="FS703" s="14" t="inlineStr">
        <is>
          <t>3020 / SFWZ-20|</t>
        </is>
      </c>
      <c r="FT703" t="inlineStr">
        <is>
          <t>SFWZ-20|</t>
        </is>
      </c>
      <c r="FU703" t="inlineStr">
        <is>
          <t>SFWZ-20</t>
        </is>
      </c>
      <c r="FV703">
        <f>VLOOKUP(FU703,FD:FL,9,0)</f>
        <v/>
      </c>
    </row>
    <row r="704">
      <c r="FC704" t="inlineStr">
        <is>
          <t>Diccionario 1</t>
        </is>
      </c>
      <c r="FD704" s="15" t="inlineStr"/>
      <c r="FE704" s="17" t="inlineStr">
        <is>
          <t>YV3T7U527LA201257</t>
        </is>
      </c>
      <c r="FF704" s="18" t="n">
        <v>507427</v>
      </c>
      <c r="FG704" s="18" t="inlineStr">
        <is>
          <t>VOLVO</t>
        </is>
      </c>
      <c r="FH704" s="18" t="inlineStr">
        <is>
          <t>B8RLEA</t>
        </is>
      </c>
      <c r="FI704" s="18" t="inlineStr">
        <is>
          <t>MARCOPOLO</t>
        </is>
      </c>
      <c r="FJ704" s="18" t="inlineStr">
        <is>
          <t>GRAN VIALE</t>
        </is>
      </c>
      <c r="FK704" s="18" t="n">
        <v>2020</v>
      </c>
      <c r="FL704" s="18" t="inlineStr">
        <is>
          <t>C</t>
        </is>
      </c>
      <c r="FM704" s="18" t="inlineStr">
        <is>
          <t>Lo Blanco</t>
        </is>
      </c>
      <c r="FP704" t="inlineStr">
        <is>
          <t>C</t>
        </is>
      </c>
      <c r="FS704" s="14" t="inlineStr">
        <is>
          <t>LZPR-97|</t>
        </is>
      </c>
      <c r="FT704" t="inlineStr">
        <is>
          <t>LZPR-97|</t>
        </is>
      </c>
      <c r="FU704" t="inlineStr">
        <is>
          <t>LZPR-97</t>
        </is>
      </c>
      <c r="FV704">
        <f>VLOOKUP(FU704,FD:FL,9,0)</f>
        <v/>
      </c>
    </row>
    <row r="705">
      <c r="FC705" t="inlineStr">
        <is>
          <t>Diccionario 1</t>
        </is>
      </c>
      <c r="FD705" s="15" t="inlineStr"/>
      <c r="FE705" s="17" t="inlineStr">
        <is>
          <t>YV3T7U520LA198718</t>
        </is>
      </c>
      <c r="FF705" s="18" t="n">
        <v>499868</v>
      </c>
      <c r="FG705" s="18" t="inlineStr">
        <is>
          <t>VOLVO</t>
        </is>
      </c>
      <c r="FH705" s="18" t="inlineStr">
        <is>
          <t>B8RLEA</t>
        </is>
      </c>
      <c r="FI705" s="18" t="inlineStr">
        <is>
          <t>MARCOPOLO</t>
        </is>
      </c>
      <c r="FJ705" s="18" t="inlineStr">
        <is>
          <t>GRAN VIALE</t>
        </is>
      </c>
      <c r="FK705" s="18" t="n">
        <v>2020</v>
      </c>
      <c r="FL705" s="18" t="inlineStr">
        <is>
          <t>C</t>
        </is>
      </c>
      <c r="FM705" s="18" t="inlineStr">
        <is>
          <t>Lo Blanco</t>
        </is>
      </c>
      <c r="FP705" t="inlineStr">
        <is>
          <t>C</t>
        </is>
      </c>
      <c r="FS705" s="14" t="inlineStr">
        <is>
          <t>LZPS-23|</t>
        </is>
      </c>
      <c r="FT705" t="inlineStr">
        <is>
          <t>LZPS-23|</t>
        </is>
      </c>
      <c r="FU705" t="inlineStr">
        <is>
          <t>LZPS-23</t>
        </is>
      </c>
      <c r="FV705">
        <f>VLOOKUP(FU705,FD:FL,9,0)</f>
        <v/>
      </c>
    </row>
    <row r="706">
      <c r="FC706" t="inlineStr">
        <is>
          <t>Diccionario 1</t>
        </is>
      </c>
      <c r="FD706" s="15" t="inlineStr"/>
      <c r="FE706" s="17" t="inlineStr">
        <is>
          <t>YV3T7U522LA198719</t>
        </is>
      </c>
      <c r="FF706" s="18" t="n">
        <v>499801</v>
      </c>
      <c r="FG706" s="18" t="inlineStr">
        <is>
          <t>VOLVO</t>
        </is>
      </c>
      <c r="FH706" s="18" t="inlineStr">
        <is>
          <t>B8RLEA</t>
        </is>
      </c>
      <c r="FI706" s="18" t="inlineStr">
        <is>
          <t>MARCOPOLO</t>
        </is>
      </c>
      <c r="FJ706" s="18" t="inlineStr">
        <is>
          <t>GRAN VIALE</t>
        </is>
      </c>
      <c r="FK706" s="18" t="n">
        <v>2020</v>
      </c>
      <c r="FL706" s="18" t="inlineStr">
        <is>
          <t>C</t>
        </is>
      </c>
      <c r="FM706" s="18" t="inlineStr">
        <is>
          <t>Lo Blanco</t>
        </is>
      </c>
      <c r="FP706" t="inlineStr">
        <is>
          <t>C</t>
        </is>
      </c>
      <c r="FS706" s="14" t="inlineStr">
        <is>
          <t>LZPW-20|</t>
        </is>
      </c>
      <c r="FT706" t="inlineStr">
        <is>
          <t>LZPW-20|</t>
        </is>
      </c>
      <c r="FU706" t="inlineStr">
        <is>
          <t>LZPW-20</t>
        </is>
      </c>
      <c r="FV706">
        <f>VLOOKUP(FU706,FD:FL,9,0)</f>
        <v/>
      </c>
    </row>
    <row r="707">
      <c r="FC707" t="inlineStr">
        <is>
          <t>Diccionario 1</t>
        </is>
      </c>
      <c r="FD707" s="15" t="inlineStr"/>
      <c r="FE707" s="17" t="inlineStr">
        <is>
          <t>YV3T7U52XLA200989</t>
        </is>
      </c>
      <c r="FF707" s="18" t="n">
        <v>506525</v>
      </c>
      <c r="FG707" s="18" t="inlineStr">
        <is>
          <t>VOLVO</t>
        </is>
      </c>
      <c r="FH707" s="18" t="inlineStr">
        <is>
          <t>B8RLEA</t>
        </is>
      </c>
      <c r="FI707" s="18" t="inlineStr">
        <is>
          <t>MARCOPOLO</t>
        </is>
      </c>
      <c r="FJ707" s="18" t="inlineStr">
        <is>
          <t>GRAN VIALE</t>
        </is>
      </c>
      <c r="FK707" s="18" t="n">
        <v>2020</v>
      </c>
      <c r="FL707" s="18" t="inlineStr">
        <is>
          <t>C</t>
        </is>
      </c>
      <c r="FM707" s="18" t="inlineStr">
        <is>
          <t>Recoleta</t>
        </is>
      </c>
      <c r="FP707" t="inlineStr">
        <is>
          <t>C</t>
        </is>
      </c>
      <c r="FS707" s="14" t="inlineStr">
        <is>
          <t>LZPS-20|</t>
        </is>
      </c>
      <c r="FT707" t="inlineStr">
        <is>
          <t>LZPS-20|</t>
        </is>
      </c>
      <c r="FU707" t="inlineStr">
        <is>
          <t>LZPS-20</t>
        </is>
      </c>
      <c r="FV707">
        <f>VLOOKUP(FU707,FD:FL,9,0)</f>
        <v/>
      </c>
    </row>
    <row r="708">
      <c r="FC708" t="inlineStr">
        <is>
          <t>Diccionario 1</t>
        </is>
      </c>
      <c r="FD708" s="15" t="inlineStr"/>
      <c r="FE708" s="17" t="inlineStr">
        <is>
          <t>YV3T7U529LA198717</t>
        </is>
      </c>
      <c r="FF708" s="18" t="n">
        <v>501057</v>
      </c>
      <c r="FG708" s="18" t="inlineStr">
        <is>
          <t>VOLVO</t>
        </is>
      </c>
      <c r="FH708" s="18" t="inlineStr">
        <is>
          <t>B8RLEA</t>
        </is>
      </c>
      <c r="FI708" s="18" t="inlineStr">
        <is>
          <t>MARCOPOLO</t>
        </is>
      </c>
      <c r="FJ708" s="18" t="inlineStr">
        <is>
          <t>GRAN VIALE</t>
        </is>
      </c>
      <c r="FK708" s="18" t="n">
        <v>2020</v>
      </c>
      <c r="FL708" s="18" t="inlineStr">
        <is>
          <t>C</t>
        </is>
      </c>
      <c r="FM708" s="18" t="inlineStr">
        <is>
          <t>Recoleta</t>
        </is>
      </c>
      <c r="FP708" t="inlineStr">
        <is>
          <t>C</t>
        </is>
      </c>
      <c r="FS708" s="14" t="inlineStr">
        <is>
          <t>LZPR-82|</t>
        </is>
      </c>
      <c r="FT708" t="inlineStr">
        <is>
          <t>LZPR-82|</t>
        </is>
      </c>
      <c r="FU708" t="inlineStr">
        <is>
          <t>LZPR-82</t>
        </is>
      </c>
      <c r="FV708">
        <f>VLOOKUP(FU708,FD:FL,9,0)</f>
        <v/>
      </c>
    </row>
    <row r="709">
      <c r="FC709" t="inlineStr">
        <is>
          <t>Diccionario 1</t>
        </is>
      </c>
      <c r="FD709" s="15" t="inlineStr"/>
      <c r="FE709" s="17" t="inlineStr">
        <is>
          <t>YV3T7U529LA198720</t>
        </is>
      </c>
      <c r="FF709" s="18" t="n">
        <v>500912</v>
      </c>
      <c r="FG709" s="18" t="inlineStr">
        <is>
          <t>VOLVO</t>
        </is>
      </c>
      <c r="FH709" s="18" t="inlineStr">
        <is>
          <t>B8RLEA</t>
        </is>
      </c>
      <c r="FI709" s="18" t="inlineStr">
        <is>
          <t>MARCOPOLO</t>
        </is>
      </c>
      <c r="FJ709" s="18" t="inlineStr">
        <is>
          <t>GRAN VIALE</t>
        </is>
      </c>
      <c r="FK709" s="18" t="n">
        <v>2020</v>
      </c>
      <c r="FL709" s="18" t="inlineStr">
        <is>
          <t>C</t>
        </is>
      </c>
      <c r="FM709" s="18" t="inlineStr">
        <is>
          <t>Lo Blanco</t>
        </is>
      </c>
      <c r="FP709" t="inlineStr">
        <is>
          <t>C</t>
        </is>
      </c>
      <c r="FS709" s="14" t="inlineStr">
        <is>
          <t>LZPG-14|</t>
        </is>
      </c>
      <c r="FT709" t="inlineStr">
        <is>
          <t>LZPG-14|</t>
        </is>
      </c>
      <c r="FU709" t="inlineStr">
        <is>
          <t>LZPG-14</t>
        </is>
      </c>
      <c r="FV709">
        <f>VLOOKUP(FU709,FD:FL,9,0)</f>
        <v/>
      </c>
    </row>
    <row r="710">
      <c r="FC710" t="inlineStr">
        <is>
          <t>Diccionario 1</t>
        </is>
      </c>
      <c r="FD710" s="15" t="inlineStr"/>
      <c r="FE710" s="17" t="inlineStr">
        <is>
          <t>YV3T7U525LA201256</t>
        </is>
      </c>
      <c r="FF710" s="18" t="n">
        <v>507442</v>
      </c>
      <c r="FG710" s="18" t="inlineStr">
        <is>
          <t>VOLVO</t>
        </is>
      </c>
      <c r="FH710" s="18" t="inlineStr">
        <is>
          <t>B8RLEA</t>
        </is>
      </c>
      <c r="FI710" s="18" t="inlineStr">
        <is>
          <t>MARCOPOLO</t>
        </is>
      </c>
      <c r="FJ710" s="18" t="inlineStr">
        <is>
          <t>GRAN VIALE</t>
        </is>
      </c>
      <c r="FK710" s="18" t="n">
        <v>2020</v>
      </c>
      <c r="FL710" s="18" t="inlineStr">
        <is>
          <t>C</t>
        </is>
      </c>
      <c r="FM710" s="18" t="inlineStr">
        <is>
          <t>Lo Blanco</t>
        </is>
      </c>
      <c r="FP710" t="inlineStr">
        <is>
          <t>C</t>
        </is>
      </c>
      <c r="FS710" s="14" t="inlineStr">
        <is>
          <t>LZPR-81|</t>
        </is>
      </c>
      <c r="FT710" t="inlineStr">
        <is>
          <t>LZPR-81|</t>
        </is>
      </c>
      <c r="FU710" t="inlineStr">
        <is>
          <t>LZPR-81</t>
        </is>
      </c>
      <c r="FV710">
        <f>VLOOKUP(FU710,FD:FL,9,0)</f>
        <v/>
      </c>
    </row>
    <row r="711">
      <c r="FC711" t="inlineStr">
        <is>
          <t>Diccionario 1</t>
        </is>
      </c>
      <c r="FD711" s="15" t="inlineStr"/>
      <c r="FE711" s="17" t="inlineStr">
        <is>
          <t>YV3T7U528LA200988</t>
        </is>
      </c>
      <c r="FF711" s="18" t="n">
        <v>506479</v>
      </c>
      <c r="FG711" s="18" t="inlineStr">
        <is>
          <t>VOLVO</t>
        </is>
      </c>
      <c r="FH711" s="18" t="inlineStr">
        <is>
          <t>B8RLEA</t>
        </is>
      </c>
      <c r="FI711" s="18" t="inlineStr">
        <is>
          <t>MARCOPOLO</t>
        </is>
      </c>
      <c r="FJ711" s="18" t="inlineStr">
        <is>
          <t>GRAN VIALE</t>
        </is>
      </c>
      <c r="FK711" s="18" t="n">
        <v>2020</v>
      </c>
      <c r="FL711" s="18" t="inlineStr">
        <is>
          <t>C</t>
        </is>
      </c>
      <c r="FM711" s="18" t="inlineStr">
        <is>
          <t>Lo Blanco</t>
        </is>
      </c>
      <c r="FP711" t="inlineStr">
        <is>
          <t>C</t>
        </is>
      </c>
      <c r="FS711" s="14" t="inlineStr">
        <is>
          <t>LZPT-77|</t>
        </is>
      </c>
      <c r="FT711" t="inlineStr">
        <is>
          <t>LZPT-77|</t>
        </is>
      </c>
      <c r="FU711" t="inlineStr">
        <is>
          <t>LZPT-77</t>
        </is>
      </c>
      <c r="FV711">
        <f>VLOOKUP(FU711,FD:FL,9,0)</f>
        <v/>
      </c>
    </row>
    <row r="712">
      <c r="FC712" t="inlineStr">
        <is>
          <t>Diccionario 1</t>
        </is>
      </c>
      <c r="FD712" s="15" t="inlineStr"/>
      <c r="FE712" s="17" t="inlineStr">
        <is>
          <t>YV3T7U525LA201032</t>
        </is>
      </c>
      <c r="FF712" s="18" t="n">
        <v>506651</v>
      </c>
      <c r="FG712" s="18" t="inlineStr">
        <is>
          <t>VOLVO</t>
        </is>
      </c>
      <c r="FH712" s="18" t="inlineStr">
        <is>
          <t>B8RLEA</t>
        </is>
      </c>
      <c r="FI712" s="18" t="inlineStr">
        <is>
          <t>MARCOPOLO</t>
        </is>
      </c>
      <c r="FJ712" s="18" t="inlineStr">
        <is>
          <t>GRAN VIALE</t>
        </is>
      </c>
      <c r="FK712" s="18" t="n">
        <v>2020</v>
      </c>
      <c r="FL712" s="18" t="inlineStr">
        <is>
          <t>C</t>
        </is>
      </c>
      <c r="FM712" s="18" t="inlineStr">
        <is>
          <t>Lo Blanco</t>
        </is>
      </c>
      <c r="FP712" t="inlineStr">
        <is>
          <t>C</t>
        </is>
      </c>
      <c r="FS712" s="14" t="inlineStr">
        <is>
          <t>LZPW-22|</t>
        </is>
      </c>
      <c r="FT712" t="inlineStr">
        <is>
          <t>LZPW-22|</t>
        </is>
      </c>
      <c r="FU712" t="inlineStr">
        <is>
          <t>LZPW-22</t>
        </is>
      </c>
      <c r="FV712">
        <f>VLOOKUP(FU712,FD:FL,9,0)</f>
        <v/>
      </c>
    </row>
    <row r="713">
      <c r="FC713" t="inlineStr">
        <is>
          <t>Diccionario 1</t>
        </is>
      </c>
      <c r="FD713" s="15" t="inlineStr"/>
      <c r="FE713" s="17" t="inlineStr">
        <is>
          <t>YV3T7U528LA201266</t>
        </is>
      </c>
      <c r="FF713" s="18" t="n">
        <v>507458</v>
      </c>
      <c r="FG713" s="18" t="inlineStr">
        <is>
          <t>VOLVO</t>
        </is>
      </c>
      <c r="FH713" s="18" t="inlineStr">
        <is>
          <t>B8RLEA</t>
        </is>
      </c>
      <c r="FI713" s="18" t="inlineStr">
        <is>
          <t>MARCOPOLO</t>
        </is>
      </c>
      <c r="FJ713" s="18" t="inlineStr">
        <is>
          <t>GRAN VIALE</t>
        </is>
      </c>
      <c r="FK713" s="18" t="n">
        <v>2020</v>
      </c>
      <c r="FL713" s="18" t="inlineStr">
        <is>
          <t>C</t>
        </is>
      </c>
      <c r="FM713" s="18" t="inlineStr">
        <is>
          <t>Lo Blanco</t>
        </is>
      </c>
      <c r="FP713" t="inlineStr">
        <is>
          <t>C</t>
        </is>
      </c>
      <c r="FS713" s="14" t="inlineStr">
        <is>
          <t>LXWT-91|</t>
        </is>
      </c>
      <c r="FT713" t="inlineStr">
        <is>
          <t>LXWT-91|</t>
        </is>
      </c>
      <c r="FU713" t="inlineStr">
        <is>
          <t>LXWT-91</t>
        </is>
      </c>
      <c r="FV713">
        <f>VLOOKUP(FU713,FD:FL,9,0)</f>
        <v/>
      </c>
    </row>
    <row r="714">
      <c r="FC714" t="inlineStr">
        <is>
          <t>Diccionario 1</t>
        </is>
      </c>
      <c r="FD714" s="15" t="inlineStr"/>
      <c r="FE714" s="17" t="inlineStr">
        <is>
          <t>YV3T7U523LA201272</t>
        </is>
      </c>
      <c r="FF714" s="18" t="n">
        <v>507661</v>
      </c>
      <c r="FG714" s="18" t="inlineStr">
        <is>
          <t>VOLVO</t>
        </is>
      </c>
      <c r="FH714" s="18" t="inlineStr">
        <is>
          <t>B8RLEA</t>
        </is>
      </c>
      <c r="FI714" s="18" t="inlineStr">
        <is>
          <t>MARCOPOLO</t>
        </is>
      </c>
      <c r="FJ714" s="18" t="inlineStr">
        <is>
          <t>GRAN VIALE</t>
        </is>
      </c>
      <c r="FK714" s="18" t="n">
        <v>2020</v>
      </c>
      <c r="FL714" s="18" t="inlineStr">
        <is>
          <t>C</t>
        </is>
      </c>
      <c r="FM714" s="18" t="inlineStr">
        <is>
          <t>Lo Blanco</t>
        </is>
      </c>
      <c r="FP714" t="inlineStr">
        <is>
          <t>C</t>
        </is>
      </c>
      <c r="FS714" s="14" t="inlineStr">
        <is>
          <t>LZPG-21|</t>
        </is>
      </c>
      <c r="FT714" t="inlineStr">
        <is>
          <t>LZPG-21|</t>
        </is>
      </c>
      <c r="FU714" t="inlineStr">
        <is>
          <t>LZPG-21</t>
        </is>
      </c>
      <c r="FV714">
        <f>VLOOKUP(FU714,FD:FL,9,0)</f>
        <v/>
      </c>
    </row>
    <row r="715">
      <c r="FC715" t="inlineStr">
        <is>
          <t>Diccionario 1</t>
        </is>
      </c>
      <c r="FD715" s="15" t="inlineStr"/>
      <c r="FE715" s="17" t="inlineStr">
        <is>
          <t>YV3T7U526LA200990</t>
        </is>
      </c>
      <c r="FF715" s="18" t="n">
        <v>506530</v>
      </c>
      <c r="FG715" s="18" t="inlineStr">
        <is>
          <t>VOLVO</t>
        </is>
      </c>
      <c r="FH715" s="18" t="inlineStr">
        <is>
          <t>B8RLEA</t>
        </is>
      </c>
      <c r="FI715" s="18" t="inlineStr">
        <is>
          <t>MARCOPOLO</t>
        </is>
      </c>
      <c r="FJ715" s="18" t="inlineStr">
        <is>
          <t>GRAN VIALE</t>
        </is>
      </c>
      <c r="FK715" s="18" t="n">
        <v>2020</v>
      </c>
      <c r="FL715" s="18" t="inlineStr">
        <is>
          <t>C</t>
        </is>
      </c>
      <c r="FM715" s="18" t="inlineStr">
        <is>
          <t>Recoleta</t>
        </is>
      </c>
      <c r="FP715" t="inlineStr">
        <is>
          <t>C</t>
        </is>
      </c>
      <c r="FS715" s="14" t="inlineStr">
        <is>
          <t>LZRB-88|</t>
        </is>
      </c>
      <c r="FT715" t="inlineStr">
        <is>
          <t>LZRB-88|</t>
        </is>
      </c>
      <c r="FU715" t="inlineStr">
        <is>
          <t>LZRB-88</t>
        </is>
      </c>
      <c r="FV715">
        <f>VLOOKUP(FU715,FD:FL,9,0)</f>
        <v/>
      </c>
    </row>
    <row r="716">
      <c r="FC716" t="inlineStr">
        <is>
          <t>Diccionario 1</t>
        </is>
      </c>
      <c r="FD716" s="15" t="inlineStr"/>
      <c r="FE716" s="17" t="inlineStr">
        <is>
          <t>YV3T7U528LA200991</t>
        </is>
      </c>
      <c r="FF716" s="18" t="n">
        <v>506543</v>
      </c>
      <c r="FG716" s="18" t="inlineStr">
        <is>
          <t>VOLVO</t>
        </is>
      </c>
      <c r="FH716" s="18" t="inlineStr">
        <is>
          <t>B8RLEA</t>
        </is>
      </c>
      <c r="FI716" s="18" t="inlineStr">
        <is>
          <t>MARCOPOLO</t>
        </is>
      </c>
      <c r="FJ716" s="18" t="inlineStr">
        <is>
          <t>GRAN VIALE</t>
        </is>
      </c>
      <c r="FK716" s="18" t="n">
        <v>2020</v>
      </c>
      <c r="FL716" s="18" t="inlineStr">
        <is>
          <t>C</t>
        </is>
      </c>
      <c r="FM716" s="18" t="inlineStr">
        <is>
          <t>Lo Blanco</t>
        </is>
      </c>
      <c r="FP716" t="inlineStr">
        <is>
          <t>C</t>
        </is>
      </c>
      <c r="FS716" s="14" t="inlineStr">
        <is>
          <t>3103 / SFWZ-78|</t>
        </is>
      </c>
      <c r="FT716" t="inlineStr">
        <is>
          <t>SFWZ-78|</t>
        </is>
      </c>
      <c r="FU716" t="inlineStr">
        <is>
          <t>SFWZ-78</t>
        </is>
      </c>
      <c r="FV716">
        <f>VLOOKUP(FU716,FD:FL,9,0)</f>
        <v/>
      </c>
    </row>
    <row r="717">
      <c r="FC717" t="inlineStr">
        <is>
          <t>Diccionario 1</t>
        </is>
      </c>
      <c r="FD717" s="15" t="inlineStr"/>
      <c r="FE717" s="17" t="inlineStr">
        <is>
          <t>YV3T7U52XLA201267</t>
        </is>
      </c>
      <c r="FF717" s="18" t="n">
        <v>507419</v>
      </c>
      <c r="FG717" s="18" t="inlineStr">
        <is>
          <t>VOLVO</t>
        </is>
      </c>
      <c r="FH717" s="18" t="inlineStr">
        <is>
          <t>B8RLEA</t>
        </is>
      </c>
      <c r="FI717" s="18" t="inlineStr">
        <is>
          <t>MARCOPOLO</t>
        </is>
      </c>
      <c r="FJ717" s="18" t="inlineStr">
        <is>
          <t>GRAN VIALE</t>
        </is>
      </c>
      <c r="FK717" s="18" t="n">
        <v>2020</v>
      </c>
      <c r="FL717" s="18" t="inlineStr">
        <is>
          <t>C</t>
        </is>
      </c>
      <c r="FM717" s="18" t="inlineStr">
        <is>
          <t>Lo Blanco</t>
        </is>
      </c>
      <c r="FP717" t="inlineStr">
        <is>
          <t>C</t>
        </is>
      </c>
      <c r="FS717" s="14" t="inlineStr">
        <is>
          <t>LZPR-92|</t>
        </is>
      </c>
      <c r="FT717" t="inlineStr">
        <is>
          <t>LZPR-92|</t>
        </is>
      </c>
      <c r="FU717" t="inlineStr">
        <is>
          <t>LZPR-92</t>
        </is>
      </c>
      <c r="FV717">
        <f>VLOOKUP(FU717,FD:FL,9,0)</f>
        <v/>
      </c>
    </row>
    <row r="718">
      <c r="FC718" t="inlineStr">
        <is>
          <t>Diccionario 1</t>
        </is>
      </c>
      <c r="FD718" s="15" t="inlineStr"/>
      <c r="FE718" s="17" t="inlineStr">
        <is>
          <t>YV3T7U521LA201268</t>
        </is>
      </c>
      <c r="FF718" s="18" t="n">
        <v>507446</v>
      </c>
      <c r="FG718" s="18" t="inlineStr">
        <is>
          <t>VOLVO</t>
        </is>
      </c>
      <c r="FH718" s="18" t="inlineStr">
        <is>
          <t>B8RLEA</t>
        </is>
      </c>
      <c r="FI718" s="18" t="inlineStr">
        <is>
          <t>MARCOPOLO</t>
        </is>
      </c>
      <c r="FJ718" s="18" t="inlineStr">
        <is>
          <t>GRAN VIALE</t>
        </is>
      </c>
      <c r="FK718" s="18" t="n">
        <v>2020</v>
      </c>
      <c r="FL718" s="18" t="inlineStr">
        <is>
          <t>C</t>
        </is>
      </c>
      <c r="FM718" s="18" t="inlineStr">
        <is>
          <t>Lo Blanco</t>
        </is>
      </c>
      <c r="FP718" t="inlineStr">
        <is>
          <t>C</t>
        </is>
      </c>
      <c r="FS718" s="14" t="inlineStr">
        <is>
          <t>LZPT-59|</t>
        </is>
      </c>
      <c r="FT718" t="inlineStr">
        <is>
          <t>LZPT-59|</t>
        </is>
      </c>
      <c r="FU718" t="inlineStr">
        <is>
          <t>LZPT-59</t>
        </is>
      </c>
      <c r="FV718">
        <f>VLOOKUP(FU718,FD:FL,9,0)</f>
        <v/>
      </c>
    </row>
    <row r="719">
      <c r="FC719" t="inlineStr">
        <is>
          <t>Diccionario 1</t>
        </is>
      </c>
      <c r="FD719" s="15" t="inlineStr"/>
      <c r="FE719" s="17" t="inlineStr">
        <is>
          <t>YV3T7U520LA200922</t>
        </is>
      </c>
      <c r="FF719" s="18" t="n">
        <v>506223</v>
      </c>
      <c r="FG719" s="18" t="inlineStr">
        <is>
          <t>VOLVO</t>
        </is>
      </c>
      <c r="FH719" s="18" t="inlineStr">
        <is>
          <t>B8RLEA</t>
        </is>
      </c>
      <c r="FI719" s="18" t="inlineStr">
        <is>
          <t>MARCOPOLO</t>
        </is>
      </c>
      <c r="FJ719" s="18" t="inlineStr">
        <is>
          <t>GRAN VIALE</t>
        </is>
      </c>
      <c r="FK719" s="18" t="n">
        <v>2020</v>
      </c>
      <c r="FL719" s="18" t="inlineStr">
        <is>
          <t>C</t>
        </is>
      </c>
      <c r="FM719" s="18" t="inlineStr">
        <is>
          <t>Lo Blanco</t>
        </is>
      </c>
      <c r="FP719" t="inlineStr">
        <is>
          <t>C</t>
        </is>
      </c>
      <c r="FS719" s="14" t="inlineStr">
        <is>
          <t>LZPG-25|</t>
        </is>
      </c>
      <c r="FT719" t="inlineStr">
        <is>
          <t>LZPG-25|</t>
        </is>
      </c>
      <c r="FU719" t="inlineStr">
        <is>
          <t>LZPG-25</t>
        </is>
      </c>
      <c r="FV719">
        <f>VLOOKUP(FU719,FD:FL,9,0)</f>
        <v/>
      </c>
    </row>
    <row r="720">
      <c r="FC720" t="inlineStr">
        <is>
          <t>Diccionario 1</t>
        </is>
      </c>
      <c r="FD720" s="15" t="inlineStr"/>
      <c r="FE720" s="17" t="inlineStr">
        <is>
          <t>YV3T7U52XLA201253</t>
        </is>
      </c>
      <c r="FF720" s="18" t="n">
        <v>507455</v>
      </c>
      <c r="FG720" s="18" t="inlineStr">
        <is>
          <t>VOLVO</t>
        </is>
      </c>
      <c r="FH720" s="18" t="inlineStr">
        <is>
          <t>B8RLEA</t>
        </is>
      </c>
      <c r="FI720" s="18" t="inlineStr">
        <is>
          <t>MARCOPOLO</t>
        </is>
      </c>
      <c r="FJ720" s="18" t="inlineStr">
        <is>
          <t>GRAN VIALE</t>
        </is>
      </c>
      <c r="FK720" s="18" t="n">
        <v>2020</v>
      </c>
      <c r="FL720" s="18" t="inlineStr">
        <is>
          <t>C</t>
        </is>
      </c>
      <c r="FM720" s="18" t="inlineStr">
        <is>
          <t>Recoleta</t>
        </is>
      </c>
      <c r="FP720" t="inlineStr">
        <is>
          <t>C</t>
        </is>
      </c>
      <c r="FS720" s="14" t="inlineStr">
        <is>
          <t>LZPT-47|</t>
        </is>
      </c>
      <c r="FT720" t="inlineStr">
        <is>
          <t>LZPT-47|</t>
        </is>
      </c>
      <c r="FU720" t="inlineStr">
        <is>
          <t>LZPT-47</t>
        </is>
      </c>
      <c r="FV720">
        <f>VLOOKUP(FU720,FD:FL,9,0)</f>
        <v/>
      </c>
    </row>
    <row r="721">
      <c r="FC721" t="inlineStr">
        <is>
          <t>Diccionario 1</t>
        </is>
      </c>
      <c r="FD721" s="15" t="inlineStr"/>
      <c r="FE721" s="17" t="inlineStr">
        <is>
          <t>YV3T7U521LA201044</t>
        </is>
      </c>
      <c r="FF721" s="18" t="n">
        <v>506662</v>
      </c>
      <c r="FG721" s="18" t="inlineStr">
        <is>
          <t>VOLVO</t>
        </is>
      </c>
      <c r="FH721" s="18" t="inlineStr">
        <is>
          <t>B8RLEA</t>
        </is>
      </c>
      <c r="FI721" s="18" t="inlineStr">
        <is>
          <t>MARCOPOLO</t>
        </is>
      </c>
      <c r="FJ721" s="18" t="inlineStr">
        <is>
          <t>GRAN VIALE</t>
        </is>
      </c>
      <c r="FK721" s="18" t="n">
        <v>2020</v>
      </c>
      <c r="FL721" s="18" t="inlineStr">
        <is>
          <t>C</t>
        </is>
      </c>
      <c r="FM721" s="18" t="inlineStr">
        <is>
          <t>Recoleta</t>
        </is>
      </c>
      <c r="FP721" t="inlineStr">
        <is>
          <t>C</t>
        </is>
      </c>
      <c r="FS721" s="14" t="inlineStr">
        <is>
          <t>LZPT-72|</t>
        </is>
      </c>
      <c r="FT721" t="inlineStr">
        <is>
          <t>LZPT-72|</t>
        </is>
      </c>
      <c r="FU721" t="inlineStr">
        <is>
          <t>LZPT-72</t>
        </is>
      </c>
      <c r="FV721">
        <f>VLOOKUP(FU721,FD:FL,9,0)</f>
        <v/>
      </c>
    </row>
    <row r="722">
      <c r="FC722" t="inlineStr">
        <is>
          <t>Diccionario 1</t>
        </is>
      </c>
      <c r="FD722" s="15" t="inlineStr"/>
      <c r="FE722" s="17" t="inlineStr">
        <is>
          <t>YV3T7U528LA201171</t>
        </is>
      </c>
      <c r="FF722" s="18" t="n">
        <v>507173</v>
      </c>
      <c r="FG722" s="18" t="inlineStr">
        <is>
          <t>VOLVO</t>
        </is>
      </c>
      <c r="FH722" s="18" t="inlineStr">
        <is>
          <t>B8RLEA</t>
        </is>
      </c>
      <c r="FI722" s="18" t="inlineStr">
        <is>
          <t>MARCOPOLO</t>
        </is>
      </c>
      <c r="FJ722" s="18" t="inlineStr">
        <is>
          <t>GRAN VIALE</t>
        </is>
      </c>
      <c r="FK722" s="18" t="n">
        <v>2020</v>
      </c>
      <c r="FL722" s="18" t="inlineStr">
        <is>
          <t>C</t>
        </is>
      </c>
      <c r="FM722" s="18" t="inlineStr">
        <is>
          <t>Recoleta</t>
        </is>
      </c>
      <c r="FP722" t="inlineStr">
        <is>
          <t>C</t>
        </is>
      </c>
      <c r="FS722" s="14" t="inlineStr">
        <is>
          <t>LZPR-94</t>
        </is>
      </c>
      <c r="FT722" t="inlineStr">
        <is>
          <t>LZPR-94</t>
        </is>
      </c>
      <c r="FU722" t="inlineStr">
        <is>
          <t>LZPR-94</t>
        </is>
      </c>
      <c r="FV722">
        <f>VLOOKUP(FU722,FD:FL,9,0)</f>
        <v/>
      </c>
    </row>
    <row r="723">
      <c r="FC723" t="inlineStr">
        <is>
          <t>Diccionario 1</t>
        </is>
      </c>
      <c r="FD723" s="15" t="inlineStr"/>
      <c r="FE723" s="17" t="inlineStr">
        <is>
          <t>YV3T7U526LA201167</t>
        </is>
      </c>
      <c r="FF723" s="18" t="n">
        <v>507153</v>
      </c>
      <c r="FG723" s="18" t="inlineStr">
        <is>
          <t>VOLVO</t>
        </is>
      </c>
      <c r="FH723" s="18" t="inlineStr">
        <is>
          <t>B8RLEA</t>
        </is>
      </c>
      <c r="FI723" s="18" t="inlineStr">
        <is>
          <t>MARCOPOLO</t>
        </is>
      </c>
      <c r="FJ723" s="18" t="inlineStr">
        <is>
          <t>GRAN VIALE</t>
        </is>
      </c>
      <c r="FK723" s="18" t="n">
        <v>2020</v>
      </c>
      <c r="FL723" s="18" t="inlineStr">
        <is>
          <t>C</t>
        </is>
      </c>
      <c r="FM723" s="18" t="inlineStr">
        <is>
          <t>Recoleta</t>
        </is>
      </c>
      <c r="FP723" t="inlineStr">
        <is>
          <t>C</t>
        </is>
      </c>
      <c r="FS723" s="14" t="inlineStr">
        <is>
          <t>LZPT-48</t>
        </is>
      </c>
      <c r="FT723" t="inlineStr">
        <is>
          <t>LZPT-48</t>
        </is>
      </c>
      <c r="FU723" t="inlineStr">
        <is>
          <t>LZPT-48</t>
        </is>
      </c>
      <c r="FV723">
        <f>VLOOKUP(FU723,FD:FL,9,0)</f>
        <v/>
      </c>
    </row>
    <row r="724">
      <c r="FC724" t="inlineStr">
        <is>
          <t>Diccionario 1</t>
        </is>
      </c>
      <c r="FD724" s="15" t="inlineStr"/>
      <c r="FE724" s="17" t="inlineStr">
        <is>
          <t>YV3T7U528LA201168</t>
        </is>
      </c>
      <c r="FF724" s="18" t="n">
        <v>507167</v>
      </c>
      <c r="FG724" s="18" t="inlineStr">
        <is>
          <t>VOLVO</t>
        </is>
      </c>
      <c r="FH724" s="18" t="inlineStr">
        <is>
          <t>B8RLEA</t>
        </is>
      </c>
      <c r="FI724" s="18" t="inlineStr">
        <is>
          <t>MARCOPOLO</t>
        </is>
      </c>
      <c r="FJ724" s="18" t="inlineStr">
        <is>
          <t>GRAN VIALE</t>
        </is>
      </c>
      <c r="FK724" s="18" t="n">
        <v>2020</v>
      </c>
      <c r="FL724" s="18" t="inlineStr">
        <is>
          <t>C</t>
        </is>
      </c>
      <c r="FM724" s="18" t="inlineStr">
        <is>
          <t>Recoleta</t>
        </is>
      </c>
      <c r="FP724" t="inlineStr">
        <is>
          <t>C</t>
        </is>
      </c>
      <c r="FS724" s="14" t="inlineStr">
        <is>
          <t>LXWT-97</t>
        </is>
      </c>
      <c r="FT724" t="inlineStr">
        <is>
          <t>LXWT-97</t>
        </is>
      </c>
      <c r="FU724" t="inlineStr">
        <is>
          <t>LXWT-97</t>
        </is>
      </c>
      <c r="FV724">
        <f>VLOOKUP(FU724,FD:FL,9,0)</f>
        <v/>
      </c>
    </row>
    <row r="725">
      <c r="FC725" t="inlineStr">
        <is>
          <t>Diccionario 1</t>
        </is>
      </c>
      <c r="FD725" s="15" t="inlineStr"/>
      <c r="FE725" s="17" t="inlineStr">
        <is>
          <t>YV3T7U525LA201144</t>
        </is>
      </c>
      <c r="FF725" s="18" t="n">
        <v>507082</v>
      </c>
      <c r="FG725" s="18" t="inlineStr">
        <is>
          <t>VOLVO</t>
        </is>
      </c>
      <c r="FH725" s="18" t="inlineStr">
        <is>
          <t>B8RLEA</t>
        </is>
      </c>
      <c r="FI725" s="18" t="inlineStr">
        <is>
          <t>MARCOPOLO</t>
        </is>
      </c>
      <c r="FJ725" s="18" t="inlineStr">
        <is>
          <t>GRAN VIALE</t>
        </is>
      </c>
      <c r="FK725" s="18" t="n">
        <v>2020</v>
      </c>
      <c r="FL725" s="18" t="inlineStr">
        <is>
          <t>C</t>
        </is>
      </c>
      <c r="FM725" s="18" t="inlineStr">
        <is>
          <t>Recoleta</t>
        </is>
      </c>
      <c r="FP725" t="inlineStr">
        <is>
          <t>C</t>
        </is>
      </c>
      <c r="FS725" s="14" t="inlineStr">
        <is>
          <t>LZPT-65</t>
        </is>
      </c>
      <c r="FT725" t="inlineStr">
        <is>
          <t>LZPT-65</t>
        </is>
      </c>
      <c r="FU725" t="inlineStr">
        <is>
          <t>LZPT-65</t>
        </is>
      </c>
      <c r="FV725">
        <f>VLOOKUP(FU725,FD:FL,9,0)</f>
        <v/>
      </c>
    </row>
    <row r="726">
      <c r="FC726" t="inlineStr">
        <is>
          <t>Diccionario 1</t>
        </is>
      </c>
      <c r="FD726" s="15" t="inlineStr"/>
      <c r="FE726" s="17" t="inlineStr">
        <is>
          <t>YV3T7U520LA201035</t>
        </is>
      </c>
      <c r="FF726" s="18" t="n">
        <v>506645</v>
      </c>
      <c r="FG726" s="18" t="inlineStr">
        <is>
          <t>VOLVO</t>
        </is>
      </c>
      <c r="FH726" s="18" t="inlineStr">
        <is>
          <t>B8RLEA</t>
        </is>
      </c>
      <c r="FI726" s="18" t="inlineStr">
        <is>
          <t>MARCOPOLO</t>
        </is>
      </c>
      <c r="FJ726" s="18" t="inlineStr">
        <is>
          <t>GRAN VIALE</t>
        </is>
      </c>
      <c r="FK726" s="18" t="n">
        <v>2020</v>
      </c>
      <c r="FL726" s="18" t="inlineStr">
        <is>
          <t>C</t>
        </is>
      </c>
      <c r="FM726" s="18" t="inlineStr">
        <is>
          <t>Recoleta</t>
        </is>
      </c>
      <c r="FP726" t="inlineStr">
        <is>
          <t>C</t>
        </is>
      </c>
      <c r="FS726" s="14" t="inlineStr">
        <is>
          <t>SXKV-98</t>
        </is>
      </c>
      <c r="FT726" t="inlineStr">
        <is>
          <t>SXKV-98</t>
        </is>
      </c>
      <c r="FU726" t="inlineStr">
        <is>
          <t>SXKV-98</t>
        </is>
      </c>
      <c r="FV726">
        <f>VLOOKUP(FU726,FD:FL,9,0)</f>
        <v/>
      </c>
    </row>
    <row r="727">
      <c r="FC727" t="inlineStr">
        <is>
          <t>Diccionario 1</t>
        </is>
      </c>
      <c r="FD727" s="15" t="inlineStr"/>
      <c r="FE727" s="17" t="inlineStr">
        <is>
          <t>YV3T7U527LA201209</t>
        </is>
      </c>
      <c r="FF727" s="18" t="n">
        <v>507402</v>
      </c>
      <c r="FG727" s="18" t="inlineStr">
        <is>
          <t>VOLVO</t>
        </is>
      </c>
      <c r="FH727" s="18" t="inlineStr">
        <is>
          <t>B8RLEA</t>
        </is>
      </c>
      <c r="FI727" s="18" t="inlineStr">
        <is>
          <t>MARCOPOLO</t>
        </is>
      </c>
      <c r="FJ727" s="18" t="inlineStr">
        <is>
          <t>GRAN VIALE</t>
        </is>
      </c>
      <c r="FK727" s="18" t="n">
        <v>2020</v>
      </c>
      <c r="FL727" s="18" t="inlineStr">
        <is>
          <t>C</t>
        </is>
      </c>
      <c r="FM727" s="18" t="inlineStr">
        <is>
          <t>Recoleta</t>
        </is>
      </c>
      <c r="FP727" t="inlineStr">
        <is>
          <t>C</t>
        </is>
      </c>
      <c r="FS727" s="14" t="inlineStr">
        <is>
          <t>GCBF-47</t>
        </is>
      </c>
      <c r="FT727" t="inlineStr">
        <is>
          <t>GCBF-47</t>
        </is>
      </c>
      <c r="FU727" t="inlineStr">
        <is>
          <t>GCBF-47</t>
        </is>
      </c>
      <c r="FV727">
        <f>VLOOKUP(FU727,FD:FL,9,0)</f>
        <v/>
      </c>
    </row>
    <row r="728">
      <c r="FC728" t="inlineStr">
        <is>
          <t>Diccionario 1</t>
        </is>
      </c>
      <c r="FD728" s="15" t="inlineStr"/>
      <c r="FE728" s="17" t="inlineStr">
        <is>
          <t>YV3T7U52XLA201186</t>
        </is>
      </c>
      <c r="FF728" s="18" t="n">
        <v>507277</v>
      </c>
      <c r="FG728" s="18" t="inlineStr">
        <is>
          <t>VOLVO</t>
        </is>
      </c>
      <c r="FH728" s="18" t="inlineStr">
        <is>
          <t>B8RLEA</t>
        </is>
      </c>
      <c r="FI728" s="18" t="inlineStr">
        <is>
          <t>MARCOPOLO</t>
        </is>
      </c>
      <c r="FJ728" s="18" t="inlineStr">
        <is>
          <t>GRAN VIALE</t>
        </is>
      </c>
      <c r="FK728" s="18" t="n">
        <v>2020</v>
      </c>
      <c r="FL728" s="18" t="inlineStr">
        <is>
          <t>C</t>
        </is>
      </c>
      <c r="FM728" s="18" t="inlineStr">
        <is>
          <t>Recoleta</t>
        </is>
      </c>
      <c r="FP728" t="inlineStr">
        <is>
          <t>C</t>
        </is>
      </c>
      <c r="FS728" s="14" t="inlineStr">
        <is>
          <t>LZPG-15</t>
        </is>
      </c>
      <c r="FT728" t="inlineStr">
        <is>
          <t>LZPG-15</t>
        </is>
      </c>
      <c r="FU728" t="inlineStr">
        <is>
          <t>LZPG-15</t>
        </is>
      </c>
      <c r="FV728">
        <f>VLOOKUP(FU728,FD:FL,9,0)</f>
        <v/>
      </c>
    </row>
    <row r="729">
      <c r="FC729" t="inlineStr">
        <is>
          <t>Diccionario 1</t>
        </is>
      </c>
      <c r="FD729" s="15" t="inlineStr"/>
      <c r="FE729" s="17" t="inlineStr">
        <is>
          <t>YV3T7U528LA201185</t>
        </is>
      </c>
      <c r="FF729" s="18" t="n">
        <v>506865</v>
      </c>
      <c r="FG729" s="18" t="inlineStr">
        <is>
          <t>VOLVO</t>
        </is>
      </c>
      <c r="FH729" s="18" t="inlineStr">
        <is>
          <t>B8RLEA</t>
        </is>
      </c>
      <c r="FI729" s="18" t="inlineStr">
        <is>
          <t>MARCOPOLO</t>
        </is>
      </c>
      <c r="FJ729" s="18" t="inlineStr">
        <is>
          <t>GRAN VIALE</t>
        </is>
      </c>
      <c r="FK729" s="18" t="n">
        <v>2020</v>
      </c>
      <c r="FL729" s="18" t="inlineStr">
        <is>
          <t>C</t>
        </is>
      </c>
      <c r="FM729" s="18" t="inlineStr">
        <is>
          <t>Recoleta</t>
        </is>
      </c>
      <c r="FP729" t="inlineStr">
        <is>
          <t>C</t>
        </is>
      </c>
      <c r="FS729" s="14" t="inlineStr">
        <is>
          <t>LZPW-12|</t>
        </is>
      </c>
      <c r="FT729" t="inlineStr">
        <is>
          <t>LZPW-12|</t>
        </is>
      </c>
      <c r="FU729" t="inlineStr">
        <is>
          <t>LZPW-12</t>
        </is>
      </c>
      <c r="FV729">
        <f>VLOOKUP(FU729,FD:FL,9,0)</f>
        <v/>
      </c>
    </row>
    <row r="730">
      <c r="FC730" t="inlineStr">
        <is>
          <t>Diccionario 1</t>
        </is>
      </c>
      <c r="FD730" s="15" t="inlineStr"/>
      <c r="FE730" s="17" t="inlineStr">
        <is>
          <t>YV3T7U523LA201059</t>
        </is>
      </c>
      <c r="FF730" s="18" t="n">
        <v>506732</v>
      </c>
      <c r="FG730" s="18" t="inlineStr">
        <is>
          <t>VOLVO</t>
        </is>
      </c>
      <c r="FH730" s="18" t="inlineStr">
        <is>
          <t>B8RLEA</t>
        </is>
      </c>
      <c r="FI730" s="18" t="inlineStr">
        <is>
          <t>MARCOPOLO</t>
        </is>
      </c>
      <c r="FJ730" s="18" t="inlineStr">
        <is>
          <t>GRAN VIALE</t>
        </is>
      </c>
      <c r="FK730" s="18" t="n">
        <v>2020</v>
      </c>
      <c r="FL730" s="18" t="inlineStr">
        <is>
          <t>C</t>
        </is>
      </c>
      <c r="FM730" s="18" t="inlineStr">
        <is>
          <t>Recoleta</t>
        </is>
      </c>
      <c r="FP730" t="inlineStr">
        <is>
          <t>C</t>
        </is>
      </c>
      <c r="FS730" s="14" t="inlineStr">
        <is>
          <t>LZPW-19</t>
        </is>
      </c>
      <c r="FT730" t="inlineStr">
        <is>
          <t>LZPW-19</t>
        </is>
      </c>
      <c r="FU730" t="inlineStr">
        <is>
          <t>LZPW-19</t>
        </is>
      </c>
      <c r="FV730">
        <f>VLOOKUP(FU730,FD:FL,9,0)</f>
        <v/>
      </c>
    </row>
    <row r="731">
      <c r="FC731" t="inlineStr">
        <is>
          <t>Diccionario 1</t>
        </is>
      </c>
      <c r="FD731" s="15" t="inlineStr"/>
      <c r="FE731" s="17" t="inlineStr">
        <is>
          <t>YV3T7U527LA201033</t>
        </is>
      </c>
      <c r="FF731" s="18" t="n">
        <v>506661</v>
      </c>
      <c r="FG731" s="18" t="inlineStr">
        <is>
          <t>VOLVO</t>
        </is>
      </c>
      <c r="FH731" s="18" t="inlineStr">
        <is>
          <t>B8RLEA</t>
        </is>
      </c>
      <c r="FI731" s="18" t="inlineStr">
        <is>
          <t>MARCOPOLO</t>
        </is>
      </c>
      <c r="FJ731" s="18" t="inlineStr">
        <is>
          <t>GRAN VIALE</t>
        </is>
      </c>
      <c r="FK731" s="18" t="n">
        <v>2020</v>
      </c>
      <c r="FL731" s="18" t="inlineStr">
        <is>
          <t>C</t>
        </is>
      </c>
      <c r="FM731" s="18" t="inlineStr">
        <is>
          <t>Recoleta</t>
        </is>
      </c>
      <c r="FP731" t="inlineStr">
        <is>
          <t>C</t>
        </is>
      </c>
      <c r="FS731" s="14" t="inlineStr">
        <is>
          <t>3057 / SFWB-16|</t>
        </is>
      </c>
      <c r="FT731" t="inlineStr">
        <is>
          <t>SFWB-16|</t>
        </is>
      </c>
      <c r="FU731" t="inlineStr">
        <is>
          <t>SFWB-16</t>
        </is>
      </c>
      <c r="FV731">
        <f>VLOOKUP(FU731,FD:FL,9,0)</f>
        <v/>
      </c>
    </row>
    <row r="732">
      <c r="FC732" t="inlineStr">
        <is>
          <t>Diccionario 1</t>
        </is>
      </c>
      <c r="FD732" s="15" t="inlineStr"/>
      <c r="FE732" s="17" t="inlineStr">
        <is>
          <t>YV3T7U52XLA200992</t>
        </is>
      </c>
      <c r="FF732" s="18" t="n">
        <v>506598</v>
      </c>
      <c r="FG732" s="18" t="inlineStr">
        <is>
          <t>VOLVO</t>
        </is>
      </c>
      <c r="FH732" s="18" t="inlineStr">
        <is>
          <t>B8RLEA</t>
        </is>
      </c>
      <c r="FI732" s="18" t="inlineStr">
        <is>
          <t>MARCOPOLO</t>
        </is>
      </c>
      <c r="FJ732" s="18" t="inlineStr">
        <is>
          <t>GRAN VIALE</t>
        </is>
      </c>
      <c r="FK732" s="18" t="n">
        <v>2020</v>
      </c>
      <c r="FL732" s="18" t="inlineStr">
        <is>
          <t>C</t>
        </is>
      </c>
      <c r="FM732" s="18" t="inlineStr">
        <is>
          <t>Recoleta</t>
        </is>
      </c>
      <c r="FP732" t="inlineStr">
        <is>
          <t>C</t>
        </is>
      </c>
      <c r="FS732" s="14" t="inlineStr">
        <is>
          <t>LZPT-71|</t>
        </is>
      </c>
      <c r="FT732" t="inlineStr">
        <is>
          <t>LZPT-71|</t>
        </is>
      </c>
      <c r="FU732" t="inlineStr">
        <is>
          <t>LZPT-71</t>
        </is>
      </c>
      <c r="FV732">
        <f>VLOOKUP(FU732,FD:FL,9,0)</f>
        <v/>
      </c>
    </row>
    <row r="733">
      <c r="FC733" t="inlineStr">
        <is>
          <t>Diccionario 1</t>
        </is>
      </c>
      <c r="FD733" s="15" t="inlineStr"/>
      <c r="FE733" s="17" t="inlineStr">
        <is>
          <t>YV3T7U522LA200971</t>
        </is>
      </c>
      <c r="FF733" s="18" t="n">
        <v>506305</v>
      </c>
      <c r="FG733" s="18" t="inlineStr">
        <is>
          <t>VOLVO</t>
        </is>
      </c>
      <c r="FH733" s="18" t="inlineStr">
        <is>
          <t>B8RLEA</t>
        </is>
      </c>
      <c r="FI733" s="18" t="inlineStr">
        <is>
          <t>MARCOPOLO</t>
        </is>
      </c>
      <c r="FJ733" s="18" t="inlineStr">
        <is>
          <t>GRAN VIALE</t>
        </is>
      </c>
      <c r="FK733" s="18" t="n">
        <v>2020</v>
      </c>
      <c r="FL733" s="18" t="inlineStr">
        <is>
          <t>C</t>
        </is>
      </c>
      <c r="FM733" s="18" t="inlineStr">
        <is>
          <t>Recoleta</t>
        </is>
      </c>
      <c r="FP733" t="inlineStr">
        <is>
          <t>C</t>
        </is>
      </c>
      <c r="FS733" s="14" t="inlineStr">
        <is>
          <t>GCBF-43|</t>
        </is>
      </c>
      <c r="FT733" t="inlineStr">
        <is>
          <t>GCBF-43|</t>
        </is>
      </c>
      <c r="FU733" t="inlineStr">
        <is>
          <t>GCBF-43</t>
        </is>
      </c>
      <c r="FV733">
        <f>VLOOKUP(FU733,FD:FL,9,0)</f>
        <v/>
      </c>
    </row>
    <row r="734">
      <c r="FC734" t="inlineStr">
        <is>
          <t>Diccionario 1</t>
        </is>
      </c>
      <c r="FD734" s="15" t="inlineStr"/>
      <c r="FE734" s="17" t="inlineStr">
        <is>
          <t>YV3T7U525LA201046</t>
        </is>
      </c>
      <c r="FF734" s="18" t="n">
        <v>506647</v>
      </c>
      <c r="FG734" s="18" t="inlineStr">
        <is>
          <t>VOLVO</t>
        </is>
      </c>
      <c r="FH734" s="18" t="inlineStr">
        <is>
          <t>B8RLEA</t>
        </is>
      </c>
      <c r="FI734" s="18" t="inlineStr">
        <is>
          <t>MARCOPOLO</t>
        </is>
      </c>
      <c r="FJ734" s="18" t="inlineStr">
        <is>
          <t>GRAN VIALE</t>
        </is>
      </c>
      <c r="FK734" s="18" t="n">
        <v>2020</v>
      </c>
      <c r="FL734" s="18" t="inlineStr">
        <is>
          <t>C</t>
        </is>
      </c>
      <c r="FM734" s="18" t="inlineStr">
        <is>
          <t>Recoleta</t>
        </is>
      </c>
      <c r="FP734" t="inlineStr">
        <is>
          <t>C</t>
        </is>
      </c>
      <c r="FS734" s="14" t="inlineStr">
        <is>
          <t>LXWT-95|</t>
        </is>
      </c>
      <c r="FT734" t="inlineStr">
        <is>
          <t>LXWT-95|</t>
        </is>
      </c>
      <c r="FU734" t="inlineStr">
        <is>
          <t>LXWT-95</t>
        </is>
      </c>
      <c r="FV734">
        <f>VLOOKUP(FU734,FD:FL,9,0)</f>
        <v/>
      </c>
    </row>
    <row r="735">
      <c r="FC735" t="inlineStr">
        <is>
          <t>Diccionario 1</t>
        </is>
      </c>
      <c r="FD735" s="15" t="inlineStr"/>
      <c r="FE735" s="17" t="inlineStr">
        <is>
          <t>YV3T7U521LA201156</t>
        </is>
      </c>
      <c r="FF735" s="18" t="n">
        <v>507078</v>
      </c>
      <c r="FG735" s="18" t="inlineStr">
        <is>
          <t>VOLVO</t>
        </is>
      </c>
      <c r="FH735" s="18" t="inlineStr">
        <is>
          <t>B8RLEA</t>
        </is>
      </c>
      <c r="FI735" s="18" t="inlineStr">
        <is>
          <t>MARCOPOLO</t>
        </is>
      </c>
      <c r="FJ735" s="18" t="inlineStr">
        <is>
          <t>GRAN VIALE</t>
        </is>
      </c>
      <c r="FK735" s="18" t="n">
        <v>2020</v>
      </c>
      <c r="FL735" s="18" t="inlineStr">
        <is>
          <t>C</t>
        </is>
      </c>
      <c r="FM735" s="18" t="inlineStr">
        <is>
          <t>Recoleta</t>
        </is>
      </c>
      <c r="FP735" t="inlineStr">
        <is>
          <t>C</t>
        </is>
      </c>
      <c r="FS735" s="14" t="inlineStr">
        <is>
          <t>LZPR-87|</t>
        </is>
      </c>
      <c r="FT735" t="inlineStr">
        <is>
          <t>LZPR-87|</t>
        </is>
      </c>
      <c r="FU735" t="inlineStr">
        <is>
          <t>LZPR-87</t>
        </is>
      </c>
      <c r="FV735">
        <f>VLOOKUP(FU735,FD:FL,9,0)</f>
        <v/>
      </c>
    </row>
    <row r="736">
      <c r="FC736" t="inlineStr">
        <is>
          <t>Diccionario 1</t>
        </is>
      </c>
      <c r="FD736" s="15" t="inlineStr"/>
      <c r="FE736" s="17" t="inlineStr">
        <is>
          <t>YV3T7U521LA201058</t>
        </is>
      </c>
      <c r="FF736" s="18" t="n">
        <v>506749</v>
      </c>
      <c r="FG736" s="18" t="inlineStr">
        <is>
          <t>VOLVO</t>
        </is>
      </c>
      <c r="FH736" s="18" t="inlineStr">
        <is>
          <t>B8RLEA</t>
        </is>
      </c>
      <c r="FI736" s="18" t="inlineStr">
        <is>
          <t>MARCOPOLO</t>
        </is>
      </c>
      <c r="FJ736" s="18" t="inlineStr">
        <is>
          <t>GRAN VIALE</t>
        </is>
      </c>
      <c r="FK736" s="18" t="n">
        <v>2020</v>
      </c>
      <c r="FL736" s="18" t="inlineStr">
        <is>
          <t>C</t>
        </is>
      </c>
      <c r="FM736" s="18" t="inlineStr">
        <is>
          <t>Recoleta</t>
        </is>
      </c>
      <c r="FP736" t="inlineStr">
        <is>
          <t>C</t>
        </is>
      </c>
      <c r="FS736" s="14" t="inlineStr">
        <is>
          <t>LXWT-82|</t>
        </is>
      </c>
      <c r="FT736" t="inlineStr">
        <is>
          <t>LXWT-82|</t>
        </is>
      </c>
      <c r="FU736" t="inlineStr">
        <is>
          <t>LXWT-82</t>
        </is>
      </c>
      <c r="FV736">
        <f>VLOOKUP(FU736,FD:FL,9,0)</f>
        <v/>
      </c>
    </row>
    <row r="737">
      <c r="FC737" t="inlineStr">
        <is>
          <t>Diccionario 1</t>
        </is>
      </c>
      <c r="FD737" s="15" t="inlineStr"/>
      <c r="FE737" s="17" t="inlineStr">
        <is>
          <t>YV3T7U528LA201073</t>
        </is>
      </c>
      <c r="FF737" s="18" t="n">
        <v>507040</v>
      </c>
      <c r="FG737" s="18" t="inlineStr">
        <is>
          <t>VOLVO</t>
        </is>
      </c>
      <c r="FH737" s="18" t="inlineStr">
        <is>
          <t>B8RLEA</t>
        </is>
      </c>
      <c r="FI737" s="18" t="inlineStr">
        <is>
          <t>MARCOPOLO</t>
        </is>
      </c>
      <c r="FJ737" s="18" t="inlineStr">
        <is>
          <t>GRAN VIALE</t>
        </is>
      </c>
      <c r="FK737" s="18" t="n">
        <v>2020</v>
      </c>
      <c r="FL737" s="18" t="inlineStr">
        <is>
          <t>C</t>
        </is>
      </c>
      <c r="FM737" s="18" t="inlineStr">
        <is>
          <t>Recoleta</t>
        </is>
      </c>
      <c r="FP737" t="inlineStr">
        <is>
          <t>C</t>
        </is>
      </c>
      <c r="FS737" s="14" t="inlineStr">
        <is>
          <t>GCBF-46|</t>
        </is>
      </c>
      <c r="FT737" t="inlineStr">
        <is>
          <t>GCBF-46|</t>
        </is>
      </c>
      <c r="FU737" t="inlineStr">
        <is>
          <t>GCBF-46</t>
        </is>
      </c>
      <c r="FV737">
        <f>VLOOKUP(FU737,FD:FL,9,0)</f>
        <v/>
      </c>
    </row>
    <row r="738">
      <c r="FC738" t="inlineStr">
        <is>
          <t>Diccionario 1</t>
        </is>
      </c>
      <c r="FD738" s="15" t="inlineStr"/>
      <c r="FE738" s="17" t="inlineStr">
        <is>
          <t>YV3T7U524LA201071</t>
        </is>
      </c>
      <c r="FF738" s="18" t="n">
        <v>506999</v>
      </c>
      <c r="FG738" s="18" t="inlineStr">
        <is>
          <t>VOLVO</t>
        </is>
      </c>
      <c r="FH738" s="18" t="inlineStr">
        <is>
          <t>B8RLEA</t>
        </is>
      </c>
      <c r="FI738" s="18" t="inlineStr">
        <is>
          <t>MARCOPOLO</t>
        </is>
      </c>
      <c r="FJ738" s="18" t="inlineStr">
        <is>
          <t>GRAN VIALE</t>
        </is>
      </c>
      <c r="FK738" s="18" t="n">
        <v>2020</v>
      </c>
      <c r="FL738" s="18" t="inlineStr">
        <is>
          <t>C</t>
        </is>
      </c>
      <c r="FM738" s="18" t="inlineStr">
        <is>
          <t>Recoleta</t>
        </is>
      </c>
      <c r="FP738" t="inlineStr">
        <is>
          <t>C</t>
        </is>
      </c>
      <c r="FS738" s="14" t="inlineStr">
        <is>
          <t>LZPS-24|</t>
        </is>
      </c>
      <c r="FT738" t="inlineStr">
        <is>
          <t>LZPS-24|</t>
        </is>
      </c>
      <c r="FU738" t="inlineStr">
        <is>
          <t>LZPS-24</t>
        </is>
      </c>
      <c r="FV738">
        <f>VLOOKUP(FU738,FD:FL,9,0)</f>
        <v/>
      </c>
    </row>
    <row r="739">
      <c r="FC739" t="inlineStr">
        <is>
          <t>Diccionario 1</t>
        </is>
      </c>
      <c r="FD739" s="15" t="inlineStr"/>
      <c r="FE739" s="17" t="inlineStr">
        <is>
          <t>YV3T7U529LA201048</t>
        </is>
      </c>
      <c r="FF739" s="18" t="n">
        <v>506686</v>
      </c>
      <c r="FG739" s="18" t="inlineStr">
        <is>
          <t>VOLVO</t>
        </is>
      </c>
      <c r="FH739" s="18" t="inlineStr">
        <is>
          <t>B8RLEA</t>
        </is>
      </c>
      <c r="FI739" s="18" t="inlineStr">
        <is>
          <t>MARCOPOLO</t>
        </is>
      </c>
      <c r="FJ739" s="18" t="inlineStr">
        <is>
          <t>GRAN VIALE</t>
        </is>
      </c>
      <c r="FK739" s="18" t="n">
        <v>2020</v>
      </c>
      <c r="FL739" s="18" t="inlineStr">
        <is>
          <t>C</t>
        </is>
      </c>
      <c r="FM739" s="18" t="inlineStr">
        <is>
          <t>Recoleta</t>
        </is>
      </c>
      <c r="FP739" t="inlineStr">
        <is>
          <t>C</t>
        </is>
      </c>
      <c r="FS739" s="14" t="inlineStr">
        <is>
          <t>LZPG-20|</t>
        </is>
      </c>
      <c r="FT739" t="inlineStr">
        <is>
          <t>LZPG-20|</t>
        </is>
      </c>
      <c r="FU739" t="inlineStr">
        <is>
          <t>LZPG-20</t>
        </is>
      </c>
      <c r="FV739">
        <f>VLOOKUP(FU739,FD:FL,9,0)</f>
        <v/>
      </c>
    </row>
    <row r="740">
      <c r="FC740" t="inlineStr">
        <is>
          <t>Diccionario 1</t>
        </is>
      </c>
      <c r="FD740" s="15" t="inlineStr"/>
      <c r="FE740" s="17" t="inlineStr">
        <is>
          <t>YV3T7U52XLA201155</t>
        </is>
      </c>
      <c r="FF740" s="18" t="n">
        <v>507117</v>
      </c>
      <c r="FG740" s="18" t="inlineStr">
        <is>
          <t>VOLVO</t>
        </is>
      </c>
      <c r="FH740" s="18" t="inlineStr">
        <is>
          <t>B8RLEA</t>
        </is>
      </c>
      <c r="FI740" s="18" t="inlineStr">
        <is>
          <t>MARCOPOLO</t>
        </is>
      </c>
      <c r="FJ740" s="18" t="inlineStr">
        <is>
          <t>GRAN VIALE</t>
        </is>
      </c>
      <c r="FK740" s="18" t="n">
        <v>2020</v>
      </c>
      <c r="FL740" s="18" t="inlineStr">
        <is>
          <t>C</t>
        </is>
      </c>
      <c r="FM740" s="18" t="inlineStr">
        <is>
          <t>Recoleta</t>
        </is>
      </c>
      <c r="FP740" t="inlineStr">
        <is>
          <t>C</t>
        </is>
      </c>
      <c r="FS740" s="14" t="inlineStr">
        <is>
          <t>LZPS-17|</t>
        </is>
      </c>
      <c r="FT740" t="inlineStr">
        <is>
          <t>LZPS-17|</t>
        </is>
      </c>
      <c r="FU740" t="inlineStr">
        <is>
          <t>LZPS-17</t>
        </is>
      </c>
      <c r="FV740">
        <f>VLOOKUP(FU740,FD:FL,9,0)</f>
        <v/>
      </c>
    </row>
    <row r="741">
      <c r="FC741" t="inlineStr">
        <is>
          <t>Diccionario 1</t>
        </is>
      </c>
      <c r="FD741" s="15" t="inlineStr"/>
      <c r="FE741" s="17" t="inlineStr">
        <is>
          <t>YV3T7U527LA201100</t>
        </is>
      </c>
      <c r="FF741" s="18" t="n">
        <v>507055</v>
      </c>
      <c r="FG741" s="18" t="inlineStr">
        <is>
          <t>VOLVO</t>
        </is>
      </c>
      <c r="FH741" s="18" t="inlineStr">
        <is>
          <t>B8RLEA</t>
        </is>
      </c>
      <c r="FI741" s="18" t="inlineStr">
        <is>
          <t>MARCOPOLO</t>
        </is>
      </c>
      <c r="FJ741" s="18" t="inlineStr">
        <is>
          <t>GRAN VIALE</t>
        </is>
      </c>
      <c r="FK741" s="18" t="n">
        <v>2020</v>
      </c>
      <c r="FL741" s="18" t="inlineStr">
        <is>
          <t>C</t>
        </is>
      </c>
      <c r="FM741" s="18" t="inlineStr">
        <is>
          <t>Recoleta</t>
        </is>
      </c>
      <c r="FP741" t="inlineStr">
        <is>
          <t>C</t>
        </is>
      </c>
      <c r="FS741" s="14" t="inlineStr">
        <is>
          <t>LZPG-14|</t>
        </is>
      </c>
      <c r="FT741" t="inlineStr">
        <is>
          <t>LZPG-14|</t>
        </is>
      </c>
      <c r="FU741" t="inlineStr">
        <is>
          <t>LZPG-14</t>
        </is>
      </c>
      <c r="FV741">
        <f>VLOOKUP(FU741,FD:FL,9,0)</f>
        <v/>
      </c>
    </row>
    <row r="742">
      <c r="FC742" t="inlineStr">
        <is>
          <t>Diccionario 1</t>
        </is>
      </c>
      <c r="FD742" s="15" t="inlineStr"/>
      <c r="FE742" s="17" t="inlineStr">
        <is>
          <t>YV3T7U521LA201142</t>
        </is>
      </c>
      <c r="FF742" s="18" t="n">
        <v>507102</v>
      </c>
      <c r="FG742" s="18" t="inlineStr">
        <is>
          <t>VOLVO</t>
        </is>
      </c>
      <c r="FH742" s="18" t="inlineStr">
        <is>
          <t>B8RLEA</t>
        </is>
      </c>
      <c r="FI742" s="18" t="inlineStr">
        <is>
          <t>MARCOPOLO</t>
        </is>
      </c>
      <c r="FJ742" s="18" t="inlineStr">
        <is>
          <t>GRAN VIALE</t>
        </is>
      </c>
      <c r="FK742" s="18" t="n">
        <v>2020</v>
      </c>
      <c r="FL742" s="18" t="inlineStr">
        <is>
          <t>C</t>
        </is>
      </c>
      <c r="FM742" s="18" t="inlineStr">
        <is>
          <t>Recoleta</t>
        </is>
      </c>
      <c r="FP742" t="inlineStr">
        <is>
          <t>C</t>
        </is>
      </c>
      <c r="FS742" s="14" t="inlineStr">
        <is>
          <t>LZPG-27|</t>
        </is>
      </c>
      <c r="FT742" t="inlineStr">
        <is>
          <t>LZPG-27|</t>
        </is>
      </c>
      <c r="FU742" t="inlineStr">
        <is>
          <t>LZPG-27</t>
        </is>
      </c>
      <c r="FV742">
        <f>VLOOKUP(FU742,FD:FL,9,0)</f>
        <v/>
      </c>
    </row>
    <row r="743">
      <c r="FC743" t="inlineStr">
        <is>
          <t>Diccionario 1</t>
        </is>
      </c>
      <c r="FD743" s="15" t="inlineStr"/>
      <c r="FE743" s="17" t="inlineStr">
        <is>
          <t>YV3T7U52XLA201141</t>
        </is>
      </c>
      <c r="FF743" s="18" t="n">
        <v>507075</v>
      </c>
      <c r="FG743" s="18" t="inlineStr">
        <is>
          <t>VOLVO</t>
        </is>
      </c>
      <c r="FH743" s="18" t="inlineStr">
        <is>
          <t>B8RLEA</t>
        </is>
      </c>
      <c r="FI743" s="18" t="inlineStr">
        <is>
          <t>MARCOPOLO</t>
        </is>
      </c>
      <c r="FJ743" s="18" t="inlineStr">
        <is>
          <t>GRAN VIALE</t>
        </is>
      </c>
      <c r="FK743" s="18" t="n">
        <v>2020</v>
      </c>
      <c r="FL743" s="18" t="inlineStr">
        <is>
          <t>C</t>
        </is>
      </c>
      <c r="FM743" s="18" t="inlineStr">
        <is>
          <t>Recoleta</t>
        </is>
      </c>
      <c r="FP743" t="inlineStr">
        <is>
          <t>C</t>
        </is>
      </c>
      <c r="FS743" s="14" t="inlineStr">
        <is>
          <t>LZPW-11|</t>
        </is>
      </c>
      <c r="FT743" t="inlineStr">
        <is>
          <t>LZPW-11|</t>
        </is>
      </c>
      <c r="FU743" t="inlineStr">
        <is>
          <t>LZPW-11</t>
        </is>
      </c>
      <c r="FV743">
        <f>VLOOKUP(FU743,FD:FL,9,0)</f>
        <v/>
      </c>
    </row>
    <row r="744">
      <c r="FC744" t="inlineStr">
        <is>
          <t>Diccionario 1</t>
        </is>
      </c>
      <c r="FD744" s="15" t="inlineStr"/>
      <c r="FE744" s="17" t="inlineStr">
        <is>
          <t>YV3T7U526LA201153</t>
        </is>
      </c>
      <c r="FF744" s="18" t="n">
        <v>507106</v>
      </c>
      <c r="FG744" s="18" t="inlineStr">
        <is>
          <t>VOLVO</t>
        </is>
      </c>
      <c r="FH744" s="18" t="inlineStr">
        <is>
          <t>B8RLEA</t>
        </is>
      </c>
      <c r="FI744" s="18" t="inlineStr">
        <is>
          <t>MARCOPOLO</t>
        </is>
      </c>
      <c r="FJ744" s="18" t="inlineStr">
        <is>
          <t>GRAN VIALE</t>
        </is>
      </c>
      <c r="FK744" s="18" t="n">
        <v>2020</v>
      </c>
      <c r="FL744" s="18" t="inlineStr">
        <is>
          <t>C</t>
        </is>
      </c>
      <c r="FM744" s="18" t="inlineStr">
        <is>
          <t>Recoleta</t>
        </is>
      </c>
      <c r="FP744" t="inlineStr">
        <is>
          <t>C</t>
        </is>
      </c>
      <c r="FS744" s="14" t="inlineStr">
        <is>
          <t>LZRB-86|</t>
        </is>
      </c>
      <c r="FT744" t="inlineStr">
        <is>
          <t>LZRB-86|</t>
        </is>
      </c>
      <c r="FU744" t="inlineStr">
        <is>
          <t>LZRB-86</t>
        </is>
      </c>
      <c r="FV744">
        <f>VLOOKUP(FU744,FD:FL,9,0)</f>
        <v/>
      </c>
    </row>
    <row r="745">
      <c r="FC745" t="inlineStr">
        <is>
          <t>Diccionario 1</t>
        </is>
      </c>
      <c r="FD745" s="15" t="inlineStr"/>
      <c r="FE745" s="17" t="inlineStr">
        <is>
          <t>YV3T7U529LA201034</t>
        </is>
      </c>
      <c r="FF745" s="18" t="n">
        <v>506644</v>
      </c>
      <c r="FG745" s="18" t="inlineStr">
        <is>
          <t>VOLVO</t>
        </is>
      </c>
      <c r="FH745" s="18" t="inlineStr">
        <is>
          <t>B8RLEA</t>
        </is>
      </c>
      <c r="FI745" s="18" t="inlineStr">
        <is>
          <t>MARCOPOLO</t>
        </is>
      </c>
      <c r="FJ745" s="18" t="inlineStr">
        <is>
          <t>GRAN VIALE</t>
        </is>
      </c>
      <c r="FK745" s="18" t="n">
        <v>2020</v>
      </c>
      <c r="FL745" s="18" t="inlineStr">
        <is>
          <t>C</t>
        </is>
      </c>
      <c r="FM745" s="18" t="inlineStr">
        <is>
          <t>Recoleta</t>
        </is>
      </c>
      <c r="FP745" t="inlineStr">
        <is>
          <t>C</t>
        </is>
      </c>
      <c r="FS745" s="14" t="inlineStr">
        <is>
          <t>LZPT-55|</t>
        </is>
      </c>
      <c r="FT745" t="inlineStr">
        <is>
          <t>LZPT-55|</t>
        </is>
      </c>
      <c r="FU745" t="inlineStr">
        <is>
          <t>LZPT-55</t>
        </is>
      </c>
      <c r="FV745">
        <f>VLOOKUP(FU745,FD:FL,9,0)</f>
        <v/>
      </c>
    </row>
    <row r="746">
      <c r="FC746" t="inlineStr">
        <is>
          <t>Diccionario 1</t>
        </is>
      </c>
      <c r="FD746" s="15" t="inlineStr"/>
      <c r="FE746" s="17" t="inlineStr">
        <is>
          <t>YV3T7U523LA201045</t>
        </is>
      </c>
      <c r="FF746" s="18" t="n">
        <v>506671</v>
      </c>
      <c r="FG746" s="18" t="inlineStr">
        <is>
          <t>VOLVO</t>
        </is>
      </c>
      <c r="FH746" s="18" t="inlineStr">
        <is>
          <t>B8RLEA</t>
        </is>
      </c>
      <c r="FI746" s="18" t="inlineStr">
        <is>
          <t>MARCOPOLO</t>
        </is>
      </c>
      <c r="FJ746" s="18" t="inlineStr">
        <is>
          <t>GRAN VIALE</t>
        </is>
      </c>
      <c r="FK746" s="18" t="n">
        <v>2020</v>
      </c>
      <c r="FL746" s="18" t="inlineStr">
        <is>
          <t>C</t>
        </is>
      </c>
      <c r="FM746" s="18" t="inlineStr">
        <is>
          <t>Recoleta</t>
        </is>
      </c>
      <c r="FP746" t="inlineStr">
        <is>
          <t>C</t>
        </is>
      </c>
      <c r="FS746" s="14" t="inlineStr">
        <is>
          <t>LZPS-18|</t>
        </is>
      </c>
      <c r="FT746" t="inlineStr">
        <is>
          <t>LZPS-18|</t>
        </is>
      </c>
      <c r="FU746" t="inlineStr">
        <is>
          <t>LZPS-18</t>
        </is>
      </c>
      <c r="FV746">
        <f>VLOOKUP(FU746,FD:FL,9,0)</f>
        <v/>
      </c>
    </row>
    <row r="747">
      <c r="FC747" t="inlineStr">
        <is>
          <t>Diccionario 1</t>
        </is>
      </c>
      <c r="FD747" s="15" t="inlineStr"/>
      <c r="FE747" s="17" t="inlineStr">
        <is>
          <t>YV3T7U52XLA201074</t>
        </is>
      </c>
      <c r="FF747" s="18" t="n">
        <v>507033</v>
      </c>
      <c r="FG747" s="18" t="inlineStr">
        <is>
          <t>VOLVO</t>
        </is>
      </c>
      <c r="FH747" s="18" t="inlineStr">
        <is>
          <t>B8RLEA</t>
        </is>
      </c>
      <c r="FI747" s="18" t="inlineStr">
        <is>
          <t>MARCOPOLO</t>
        </is>
      </c>
      <c r="FJ747" s="18" t="inlineStr">
        <is>
          <t>GRAN VIALE</t>
        </is>
      </c>
      <c r="FK747" s="18" t="n">
        <v>2020</v>
      </c>
      <c r="FL747" s="18" t="inlineStr">
        <is>
          <t>C</t>
        </is>
      </c>
      <c r="FM747" s="18" t="inlineStr">
        <is>
          <t>Recoleta</t>
        </is>
      </c>
      <c r="FP747" t="inlineStr">
        <is>
          <t>C</t>
        </is>
      </c>
      <c r="FS747" s="14" t="inlineStr">
        <is>
          <t>LXWT-91|</t>
        </is>
      </c>
      <c r="FT747" t="inlineStr">
        <is>
          <t>LXWT-91|</t>
        </is>
      </c>
      <c r="FU747" t="inlineStr">
        <is>
          <t>LXWT-91</t>
        </is>
      </c>
      <c r="FV747">
        <f>VLOOKUP(FU747,FD:FL,9,0)</f>
        <v/>
      </c>
    </row>
    <row r="748">
      <c r="FC748" t="inlineStr">
        <is>
          <t>Diccionario 1</t>
        </is>
      </c>
      <c r="FD748" s="15" t="inlineStr"/>
      <c r="FE748" s="17" t="inlineStr">
        <is>
          <t>YV3T7U526LA201072</t>
        </is>
      </c>
      <c r="FF748" s="18" t="n">
        <v>506988</v>
      </c>
      <c r="FG748" s="18" t="inlineStr">
        <is>
          <t>VOLVO</t>
        </is>
      </c>
      <c r="FH748" s="18" t="inlineStr">
        <is>
          <t>B8RLEA</t>
        </is>
      </c>
      <c r="FI748" s="18" t="inlineStr">
        <is>
          <t>MARCOPOLO</t>
        </is>
      </c>
      <c r="FJ748" s="18" t="inlineStr">
        <is>
          <t>GRAN VIALE</t>
        </is>
      </c>
      <c r="FK748" s="18" t="n">
        <v>2020</v>
      </c>
      <c r="FL748" s="18" t="inlineStr">
        <is>
          <t>C</t>
        </is>
      </c>
      <c r="FM748" s="18" t="inlineStr">
        <is>
          <t>Recoleta</t>
        </is>
      </c>
      <c r="FP748" t="inlineStr">
        <is>
          <t>C</t>
        </is>
      </c>
      <c r="FS748" s="14" t="inlineStr">
        <is>
          <t>LXWT-83|</t>
        </is>
      </c>
      <c r="FT748" t="inlineStr">
        <is>
          <t>LXWT-83|</t>
        </is>
      </c>
      <c r="FU748" t="inlineStr">
        <is>
          <t>LXWT-83</t>
        </is>
      </c>
      <c r="FV748">
        <f>VLOOKUP(FU748,FD:FL,9,0)</f>
        <v/>
      </c>
    </row>
    <row r="749">
      <c r="FC749" t="inlineStr">
        <is>
          <t>Diccionario 1</t>
        </is>
      </c>
      <c r="FD749" s="15" t="inlineStr"/>
      <c r="FE749" s="17" t="inlineStr">
        <is>
          <t>YV3T7U520LA201181</t>
        </is>
      </c>
      <c r="FF749" s="18" t="n">
        <v>506841</v>
      </c>
      <c r="FG749" s="18" t="inlineStr">
        <is>
          <t>VOLVO</t>
        </is>
      </c>
      <c r="FH749" s="18" t="inlineStr">
        <is>
          <t>B8RLEA</t>
        </is>
      </c>
      <c r="FI749" s="18" t="inlineStr">
        <is>
          <t>MARCOPOLO</t>
        </is>
      </c>
      <c r="FJ749" s="18" t="inlineStr">
        <is>
          <t>GRAN VIALE</t>
        </is>
      </c>
      <c r="FK749" s="18" t="n">
        <v>2020</v>
      </c>
      <c r="FL749" s="18" t="inlineStr">
        <is>
          <t>C</t>
        </is>
      </c>
      <c r="FM749" s="18" t="inlineStr">
        <is>
          <t>Santa Rosa</t>
        </is>
      </c>
      <c r="FP749" t="inlineStr">
        <is>
          <t>C</t>
        </is>
      </c>
      <c r="FS749" s="14" t="inlineStr">
        <is>
          <t>LZPR-84|</t>
        </is>
      </c>
      <c r="FT749" t="inlineStr">
        <is>
          <t>LZPR-84|</t>
        </is>
      </c>
      <c r="FU749" t="inlineStr">
        <is>
          <t>LZPR-84</t>
        </is>
      </c>
      <c r="FV749">
        <f>VLOOKUP(FU749,FD:FL,9,0)</f>
        <v/>
      </c>
    </row>
    <row r="750">
      <c r="FC750" t="inlineStr">
        <is>
          <t>Diccionario 1</t>
        </is>
      </c>
      <c r="FD750" s="15" t="inlineStr"/>
      <c r="FE750" s="17" t="inlineStr">
        <is>
          <t>YV3T7U522LA201098</t>
        </is>
      </c>
      <c r="FF750" s="18" t="n">
        <v>507058</v>
      </c>
      <c r="FG750" s="18" t="inlineStr">
        <is>
          <t>VOLVO</t>
        </is>
      </c>
      <c r="FH750" s="18" t="inlineStr">
        <is>
          <t>B8RLEA</t>
        </is>
      </c>
      <c r="FI750" s="18" t="inlineStr">
        <is>
          <t>MARCOPOLO</t>
        </is>
      </c>
      <c r="FJ750" s="18" t="inlineStr">
        <is>
          <t>GRAN VIALE</t>
        </is>
      </c>
      <c r="FK750" s="18" t="n">
        <v>2020</v>
      </c>
      <c r="FL750" s="18" t="inlineStr">
        <is>
          <t>C</t>
        </is>
      </c>
      <c r="FM750" s="18" t="inlineStr">
        <is>
          <t>Recoleta</t>
        </is>
      </c>
      <c r="FP750" t="inlineStr">
        <is>
          <t>C</t>
        </is>
      </c>
      <c r="FS750" s="14" t="inlineStr">
        <is>
          <t>LZPW-15|</t>
        </is>
      </c>
      <c r="FT750" t="inlineStr">
        <is>
          <t>LZPW-15|</t>
        </is>
      </c>
      <c r="FU750" t="inlineStr">
        <is>
          <t>LZPW-15</t>
        </is>
      </c>
      <c r="FV750">
        <f>VLOOKUP(FU750,FD:FL,9,0)</f>
        <v/>
      </c>
    </row>
    <row r="751">
      <c r="FC751" t="inlineStr">
        <is>
          <t>Diccionario 1</t>
        </is>
      </c>
      <c r="FD751" s="15" t="inlineStr"/>
      <c r="FE751" s="17" t="inlineStr">
        <is>
          <t>YV3T7U52XLA201060</t>
        </is>
      </c>
      <c r="FF751" s="18" t="n">
        <v>506731</v>
      </c>
      <c r="FG751" s="18" t="inlineStr">
        <is>
          <t>VOLVO</t>
        </is>
      </c>
      <c r="FH751" s="18" t="inlineStr">
        <is>
          <t>B8RLEA</t>
        </is>
      </c>
      <c r="FI751" s="18" t="inlineStr">
        <is>
          <t>MARCOPOLO</t>
        </is>
      </c>
      <c r="FJ751" s="18" t="inlineStr">
        <is>
          <t>GRAN VIALE</t>
        </is>
      </c>
      <c r="FK751" s="18" t="n">
        <v>2020</v>
      </c>
      <c r="FL751" s="18" t="inlineStr">
        <is>
          <t>C</t>
        </is>
      </c>
      <c r="FM751" s="18" t="inlineStr">
        <is>
          <t>Santa Rosa</t>
        </is>
      </c>
      <c r="FP751" t="inlineStr">
        <is>
          <t>C</t>
        </is>
      </c>
      <c r="FS751" s="14" t="inlineStr">
        <is>
          <t>LZPT-41|</t>
        </is>
      </c>
      <c r="FT751" t="inlineStr">
        <is>
          <t>LZPT-41|</t>
        </is>
      </c>
      <c r="FU751" t="inlineStr">
        <is>
          <t>LZPT-41</t>
        </is>
      </c>
      <c r="FV751">
        <f>VLOOKUP(FU751,FD:FL,9,0)</f>
        <v/>
      </c>
    </row>
    <row r="752">
      <c r="FC752" t="inlineStr">
        <is>
          <t>Diccionario 1</t>
        </is>
      </c>
      <c r="FD752" s="15" t="inlineStr"/>
      <c r="FE752" s="17" t="inlineStr">
        <is>
          <t>YV3T7U523LA201143</t>
        </is>
      </c>
      <c r="FF752" s="18" t="n">
        <v>507121</v>
      </c>
      <c r="FG752" s="18" t="inlineStr">
        <is>
          <t>VOLVO</t>
        </is>
      </c>
      <c r="FH752" s="18" t="inlineStr">
        <is>
          <t>B8RLEA</t>
        </is>
      </c>
      <c r="FI752" s="18" t="inlineStr">
        <is>
          <t>MARCOPOLO</t>
        </is>
      </c>
      <c r="FJ752" s="18" t="inlineStr">
        <is>
          <t>GRAN VIALE</t>
        </is>
      </c>
      <c r="FK752" s="18" t="n">
        <v>2020</v>
      </c>
      <c r="FL752" s="18" t="inlineStr">
        <is>
          <t>C</t>
        </is>
      </c>
      <c r="FM752" s="18" t="inlineStr">
        <is>
          <t>Recoleta</t>
        </is>
      </c>
      <c r="FP752" t="inlineStr">
        <is>
          <t>C</t>
        </is>
      </c>
      <c r="FS752" s="14" t="inlineStr">
        <is>
          <t>LZPG-12|</t>
        </is>
      </c>
      <c r="FT752" t="inlineStr">
        <is>
          <t>LZPG-12|</t>
        </is>
      </c>
      <c r="FU752" t="inlineStr">
        <is>
          <t>LZPG-12</t>
        </is>
      </c>
      <c r="FV752">
        <f>VLOOKUP(FU752,FD:FL,9,0)</f>
        <v/>
      </c>
    </row>
    <row r="753">
      <c r="FC753" t="inlineStr">
        <is>
          <t>Diccionario 1</t>
        </is>
      </c>
      <c r="FD753" s="15" t="inlineStr"/>
      <c r="FE753" s="17" t="inlineStr">
        <is>
          <t>YV3T7U52XLA201169</t>
        </is>
      </c>
      <c r="FF753" s="18" t="n">
        <v>507144</v>
      </c>
      <c r="FG753" s="18" t="inlineStr">
        <is>
          <t>VOLVO</t>
        </is>
      </c>
      <c r="FH753" s="18" t="inlineStr">
        <is>
          <t>B8RLEA</t>
        </is>
      </c>
      <c r="FI753" s="18" t="inlineStr">
        <is>
          <t>MARCOPOLO</t>
        </is>
      </c>
      <c r="FJ753" s="18" t="inlineStr">
        <is>
          <t>GRAN VIALE</t>
        </is>
      </c>
      <c r="FK753" s="18" t="n">
        <v>2020</v>
      </c>
      <c r="FL753" s="18" t="inlineStr">
        <is>
          <t>C</t>
        </is>
      </c>
      <c r="FM753" s="18" t="inlineStr">
        <is>
          <t>Santa Rosa</t>
        </is>
      </c>
      <c r="FP753" t="inlineStr">
        <is>
          <t>C</t>
        </is>
      </c>
      <c r="FS753" s="14" t="inlineStr">
        <is>
          <t>LZPS-25|</t>
        </is>
      </c>
      <c r="FT753" t="inlineStr">
        <is>
          <t>LZPS-25|</t>
        </is>
      </c>
      <c r="FU753" t="inlineStr">
        <is>
          <t>LZPS-25</t>
        </is>
      </c>
      <c r="FV753">
        <f>VLOOKUP(FU753,FD:FL,9,0)</f>
        <v/>
      </c>
    </row>
    <row r="754">
      <c r="FC754" t="inlineStr">
        <is>
          <t>Diccionario 1</t>
        </is>
      </c>
      <c r="FD754" s="15" t="inlineStr"/>
      <c r="FE754" s="17" t="inlineStr">
        <is>
          <t>YV3T7U524LA201099</t>
        </is>
      </c>
      <c r="FF754" s="18" t="n">
        <v>507047</v>
      </c>
      <c r="FG754" s="18" t="inlineStr">
        <is>
          <t>VOLVO</t>
        </is>
      </c>
      <c r="FH754" s="18" t="inlineStr">
        <is>
          <t>B8RLEA</t>
        </is>
      </c>
      <c r="FI754" s="18" t="inlineStr">
        <is>
          <t>MARCOPOLO</t>
        </is>
      </c>
      <c r="FJ754" s="18" t="inlineStr">
        <is>
          <t>GRAN VIALE</t>
        </is>
      </c>
      <c r="FK754" s="18" t="n">
        <v>2020</v>
      </c>
      <c r="FL754" s="18" t="inlineStr">
        <is>
          <t>C</t>
        </is>
      </c>
      <c r="FM754" s="18" t="inlineStr">
        <is>
          <t>Recoleta</t>
        </is>
      </c>
      <c r="FP754" t="inlineStr">
        <is>
          <t>C</t>
        </is>
      </c>
      <c r="FS754" s="14" t="inlineStr">
        <is>
          <t>LZPR-92|</t>
        </is>
      </c>
      <c r="FT754" t="inlineStr">
        <is>
          <t>LZPR-92|</t>
        </is>
      </c>
      <c r="FU754" t="inlineStr">
        <is>
          <t>LZPR-92</t>
        </is>
      </c>
      <c r="FV754">
        <f>VLOOKUP(FU754,FD:FL,9,0)</f>
        <v/>
      </c>
    </row>
    <row r="755">
      <c r="FC755" t="inlineStr">
        <is>
          <t>Diccionario 1</t>
        </is>
      </c>
      <c r="FD755" s="15" t="inlineStr"/>
      <c r="FE755" s="17" t="inlineStr">
        <is>
          <t>YV3T7U52XLA201270</t>
        </is>
      </c>
      <c r="FF755" s="18" t="n">
        <v>507680</v>
      </c>
      <c r="FG755" s="18" t="inlineStr">
        <is>
          <t>VOLVO</t>
        </is>
      </c>
      <c r="FH755" s="18" t="inlineStr">
        <is>
          <t>B8RLEA</t>
        </is>
      </c>
      <c r="FI755" s="18" t="inlineStr">
        <is>
          <t>MARCOPOLO</t>
        </is>
      </c>
      <c r="FJ755" s="18" t="inlineStr">
        <is>
          <t>GRAN VIALE</t>
        </is>
      </c>
      <c r="FK755" s="18" t="n">
        <v>2020</v>
      </c>
      <c r="FL755" s="18" t="inlineStr">
        <is>
          <t>C</t>
        </is>
      </c>
      <c r="FM755" s="18" t="inlineStr">
        <is>
          <t>Santa Rosa</t>
        </is>
      </c>
      <c r="FP755" t="inlineStr">
        <is>
          <t>C</t>
        </is>
      </c>
      <c r="FS755" s="14" t="inlineStr">
        <is>
          <t>LXWT-87|</t>
        </is>
      </c>
      <c r="FT755" t="inlineStr">
        <is>
          <t>LXWT-87|</t>
        </is>
      </c>
      <c r="FU755" t="inlineStr">
        <is>
          <t>LXWT-87</t>
        </is>
      </c>
      <c r="FV755">
        <f>VLOOKUP(FU755,FD:FL,9,0)</f>
        <v/>
      </c>
    </row>
    <row r="756">
      <c r="FC756" t="inlineStr">
        <is>
          <t>Diccionario 1</t>
        </is>
      </c>
      <c r="FD756" s="15" t="inlineStr"/>
      <c r="FE756" s="17" t="inlineStr">
        <is>
          <t>YV3T7U521LA201061</t>
        </is>
      </c>
      <c r="FF756" s="18" t="n">
        <v>506696</v>
      </c>
      <c r="FG756" s="18" t="inlineStr">
        <is>
          <t>VOLVO</t>
        </is>
      </c>
      <c r="FH756" s="18" t="inlineStr">
        <is>
          <t>B8RLEA</t>
        </is>
      </c>
      <c r="FI756" s="18" t="inlineStr">
        <is>
          <t>MARCOPOLO</t>
        </is>
      </c>
      <c r="FJ756" s="18" t="inlineStr">
        <is>
          <t>GRAN VIALE</t>
        </is>
      </c>
      <c r="FK756" s="18" t="n">
        <v>2020</v>
      </c>
      <c r="FL756" s="18" t="inlineStr">
        <is>
          <t>C</t>
        </is>
      </c>
      <c r="FM756" s="18" t="inlineStr">
        <is>
          <t>Recoleta</t>
        </is>
      </c>
      <c r="FP756" t="inlineStr">
        <is>
          <t>C</t>
        </is>
      </c>
      <c r="FS756" s="14" t="inlineStr">
        <is>
          <t>VJXC-42|</t>
        </is>
      </c>
      <c r="FT756" t="inlineStr">
        <is>
          <t>VJXC-42|</t>
        </is>
      </c>
      <c r="FU756" t="inlineStr">
        <is>
          <t>VJXC-42</t>
        </is>
      </c>
      <c r="FV756">
        <f>VLOOKUP(FU756,FD:FL,9,0)</f>
        <v/>
      </c>
    </row>
    <row r="757">
      <c r="FC757" t="inlineStr">
        <is>
          <t>Diccionario 1</t>
        </is>
      </c>
      <c r="FD757" s="15" t="inlineStr"/>
      <c r="FE757" s="17" t="inlineStr">
        <is>
          <t>YV3T7U526LA201184</t>
        </is>
      </c>
      <c r="FF757" s="18" t="n">
        <v>506823</v>
      </c>
      <c r="FG757" s="18" t="inlineStr">
        <is>
          <t>VOLVO</t>
        </is>
      </c>
      <c r="FH757" s="18" t="inlineStr">
        <is>
          <t>B8RLEA</t>
        </is>
      </c>
      <c r="FI757" s="18" t="inlineStr">
        <is>
          <t>MARCOPOLO</t>
        </is>
      </c>
      <c r="FJ757" s="18" t="inlineStr">
        <is>
          <t>GRAN VIALE</t>
        </is>
      </c>
      <c r="FK757" s="18" t="n">
        <v>2020</v>
      </c>
      <c r="FL757" s="18" t="inlineStr">
        <is>
          <t>C</t>
        </is>
      </c>
      <c r="FM757" s="18" t="inlineStr">
        <is>
          <t>Santa Rosa</t>
        </is>
      </c>
      <c r="FP757" t="inlineStr">
        <is>
          <t>C</t>
        </is>
      </c>
      <c r="FS757" s="14" t="inlineStr">
        <is>
          <t>LZRB-85|</t>
        </is>
      </c>
      <c r="FT757" t="inlineStr">
        <is>
          <t>LZRB-85|</t>
        </is>
      </c>
      <c r="FU757" t="inlineStr">
        <is>
          <t>LZRB-85</t>
        </is>
      </c>
      <c r="FV757">
        <f>VLOOKUP(FU757,FD:FL,9,0)</f>
        <v/>
      </c>
    </row>
    <row r="758">
      <c r="FC758" t="inlineStr">
        <is>
          <t>Diccionario 1</t>
        </is>
      </c>
      <c r="FD758" s="15" t="inlineStr"/>
      <c r="FE758" s="17" t="inlineStr">
        <is>
          <t>YV3T7U524LA201183</t>
        </is>
      </c>
      <c r="FF758" s="18" t="n">
        <v>506866</v>
      </c>
      <c r="FG758" s="18" t="inlineStr">
        <is>
          <t>VOLVO</t>
        </is>
      </c>
      <c r="FH758" s="18" t="inlineStr">
        <is>
          <t>B8RLEA</t>
        </is>
      </c>
      <c r="FI758" s="18" t="inlineStr">
        <is>
          <t>MARCOPOLO</t>
        </is>
      </c>
      <c r="FJ758" s="18" t="inlineStr">
        <is>
          <t>GRAN VIALE</t>
        </is>
      </c>
      <c r="FK758" s="18" t="n">
        <v>2020</v>
      </c>
      <c r="FL758" s="18" t="inlineStr">
        <is>
          <t>C</t>
        </is>
      </c>
      <c r="FM758" s="18" t="inlineStr">
        <is>
          <t>Santa Rosa</t>
        </is>
      </c>
      <c r="FP758" t="inlineStr">
        <is>
          <t>C</t>
        </is>
      </c>
      <c r="FS758" s="14" t="inlineStr">
        <is>
          <t>LZPT-48|</t>
        </is>
      </c>
      <c r="FT758" t="inlineStr">
        <is>
          <t>LZPT-48|</t>
        </is>
      </c>
      <c r="FU758" t="inlineStr">
        <is>
          <t>LZPT-48</t>
        </is>
      </c>
      <c r="FV758">
        <f>VLOOKUP(FU758,FD:FL,9,0)</f>
        <v/>
      </c>
    </row>
    <row r="759">
      <c r="FC759" t="inlineStr">
        <is>
          <t>Diccionario 1</t>
        </is>
      </c>
      <c r="FD759" s="15" t="inlineStr"/>
      <c r="FE759" s="17" t="inlineStr">
        <is>
          <t>YV3T7U523LA201157</t>
        </is>
      </c>
      <c r="FF759" s="18" t="n">
        <v>507134</v>
      </c>
      <c r="FG759" s="18" t="inlineStr">
        <is>
          <t>VOLVO</t>
        </is>
      </c>
      <c r="FH759" s="18" t="inlineStr">
        <is>
          <t>B8RLEA</t>
        </is>
      </c>
      <c r="FI759" s="18" t="inlineStr">
        <is>
          <t>MARCOPOLO</t>
        </is>
      </c>
      <c r="FJ759" s="18" t="inlineStr">
        <is>
          <t>GRAN VIALE</t>
        </is>
      </c>
      <c r="FK759" s="18" t="n">
        <v>2020</v>
      </c>
      <c r="FL759" s="18" t="inlineStr">
        <is>
          <t>C</t>
        </is>
      </c>
      <c r="FM759" s="18" t="inlineStr">
        <is>
          <t>Santa Rosa</t>
        </is>
      </c>
      <c r="FP759" t="inlineStr">
        <is>
          <t>C</t>
        </is>
      </c>
      <c r="FS759" s="14" t="inlineStr">
        <is>
          <t>LZPG-15|</t>
        </is>
      </c>
      <c r="FT759" t="inlineStr">
        <is>
          <t>LZPG-15|</t>
        </is>
      </c>
      <c r="FU759" t="inlineStr">
        <is>
          <t>LZPG-15</t>
        </is>
      </c>
      <c r="FV759">
        <f>VLOOKUP(FU759,FD:FL,9,0)</f>
        <v/>
      </c>
    </row>
    <row r="760">
      <c r="FC760" t="inlineStr">
        <is>
          <t>Diccionario 1</t>
        </is>
      </c>
      <c r="FD760" s="15" t="inlineStr"/>
      <c r="FE760" s="17" t="inlineStr">
        <is>
          <t>YV3T7U526LA201170</t>
        </is>
      </c>
      <c r="FF760" s="18" t="n">
        <v>507160</v>
      </c>
      <c r="FG760" s="18" t="inlineStr">
        <is>
          <t>VOLVO</t>
        </is>
      </c>
      <c r="FH760" s="18" t="inlineStr">
        <is>
          <t>B8RLEA</t>
        </is>
      </c>
      <c r="FI760" s="18" t="inlineStr">
        <is>
          <t>MARCOPOLO</t>
        </is>
      </c>
      <c r="FJ760" s="18" t="inlineStr">
        <is>
          <t>GRAN VIALE</t>
        </is>
      </c>
      <c r="FK760" s="18" t="n">
        <v>2020</v>
      </c>
      <c r="FL760" s="18" t="inlineStr">
        <is>
          <t>C</t>
        </is>
      </c>
      <c r="FM760" s="18" t="inlineStr">
        <is>
          <t>Santa Rosa</t>
        </is>
      </c>
      <c r="FP760" t="inlineStr">
        <is>
          <t>C</t>
        </is>
      </c>
      <c r="FS760" s="14" t="inlineStr">
        <is>
          <t>LZPG-26|</t>
        </is>
      </c>
      <c r="FT760" t="inlineStr">
        <is>
          <t>LZPG-26|</t>
        </is>
      </c>
      <c r="FU760" t="inlineStr">
        <is>
          <t>LZPG-26</t>
        </is>
      </c>
      <c r="FV760">
        <f>VLOOKUP(FU760,FD:FL,9,0)</f>
        <v/>
      </c>
    </row>
    <row r="761">
      <c r="FC761" t="inlineStr">
        <is>
          <t>Diccionario 1</t>
        </is>
      </c>
      <c r="FD761" s="15" t="inlineStr"/>
      <c r="FE761" s="17" t="inlineStr">
        <is>
          <t>YV3T7U528LA201140</t>
        </is>
      </c>
      <c r="FF761" s="18" t="n">
        <v>507108</v>
      </c>
      <c r="FG761" s="18" t="inlineStr">
        <is>
          <t>VOLVO</t>
        </is>
      </c>
      <c r="FH761" s="18" t="inlineStr">
        <is>
          <t>B8RLEA</t>
        </is>
      </c>
      <c r="FI761" s="18" t="inlineStr">
        <is>
          <t>MARCOPOLO</t>
        </is>
      </c>
      <c r="FJ761" s="18" t="inlineStr">
        <is>
          <t>GRAN VIALE</t>
        </is>
      </c>
      <c r="FK761" s="18" t="n">
        <v>2020</v>
      </c>
      <c r="FL761" s="18" t="inlineStr">
        <is>
          <t>C</t>
        </is>
      </c>
      <c r="FM761" s="18" t="inlineStr">
        <is>
          <t>Santa Rosa</t>
        </is>
      </c>
      <c r="FP761" t="inlineStr">
        <is>
          <t>C</t>
        </is>
      </c>
      <c r="FS761" s="14" t="inlineStr">
        <is>
          <t>LZPR-86|</t>
        </is>
      </c>
      <c r="FT761" t="inlineStr">
        <is>
          <t>LZPR-86|</t>
        </is>
      </c>
      <c r="FU761" t="inlineStr">
        <is>
          <t>LZPR-86</t>
        </is>
      </c>
      <c r="FV761">
        <f>VLOOKUP(FU761,FD:FL,9,0)</f>
        <v/>
      </c>
    </row>
    <row r="762">
      <c r="FC762" t="inlineStr">
        <is>
          <t>Diccionario 1</t>
        </is>
      </c>
      <c r="FD762" s="15" t="inlineStr"/>
      <c r="FE762" s="17" t="inlineStr">
        <is>
          <t>YV3T7U521LA201075</t>
        </is>
      </c>
      <c r="FF762" s="18" t="n">
        <v>507057</v>
      </c>
      <c r="FG762" s="18" t="inlineStr">
        <is>
          <t>VOLVO</t>
        </is>
      </c>
      <c r="FH762" s="18" t="inlineStr">
        <is>
          <t>B8RLEA</t>
        </is>
      </c>
      <c r="FI762" s="18" t="inlineStr">
        <is>
          <t>MARCOPOLO</t>
        </is>
      </c>
      <c r="FJ762" s="18" t="inlineStr">
        <is>
          <t>GRAN VIALE</t>
        </is>
      </c>
      <c r="FK762" s="18" t="n">
        <v>2020</v>
      </c>
      <c r="FL762" s="18" t="inlineStr">
        <is>
          <t>C</t>
        </is>
      </c>
      <c r="FM762" s="18" t="inlineStr">
        <is>
          <t>Recoleta</t>
        </is>
      </c>
      <c r="FP762" t="inlineStr">
        <is>
          <t>C</t>
        </is>
      </c>
      <c r="FS762" s="14" t="inlineStr">
        <is>
          <t>LXWT-97|</t>
        </is>
      </c>
      <c r="FT762" t="inlineStr">
        <is>
          <t>LXWT-97|</t>
        </is>
      </c>
      <c r="FU762" t="inlineStr">
        <is>
          <t>LXWT-97</t>
        </is>
      </c>
      <c r="FV762">
        <f>VLOOKUP(FU762,FD:FL,9,0)</f>
        <v/>
      </c>
    </row>
    <row r="763">
      <c r="FC763" t="inlineStr">
        <is>
          <t>Diccionario 1</t>
        </is>
      </c>
      <c r="FD763" s="15" t="inlineStr"/>
      <c r="FE763" s="17" t="inlineStr">
        <is>
          <t>YV3T7U529LA201101</t>
        </is>
      </c>
      <c r="FF763" s="18" t="n">
        <v>507062</v>
      </c>
      <c r="FG763" s="18" t="inlineStr">
        <is>
          <t>VOLVO</t>
        </is>
      </c>
      <c r="FH763" s="18" t="inlineStr">
        <is>
          <t>B8RLEA</t>
        </is>
      </c>
      <c r="FI763" s="18" t="inlineStr">
        <is>
          <t>MARCOPOLO</t>
        </is>
      </c>
      <c r="FJ763" s="18" t="inlineStr">
        <is>
          <t>GRAN VIALE</t>
        </is>
      </c>
      <c r="FK763" s="18" t="n">
        <v>2020</v>
      </c>
      <c r="FL763" s="18" t="inlineStr">
        <is>
          <t>C</t>
        </is>
      </c>
      <c r="FM763" s="18" t="inlineStr">
        <is>
          <t>Recoleta</t>
        </is>
      </c>
      <c r="FP763" t="inlineStr">
        <is>
          <t>C</t>
        </is>
      </c>
      <c r="FS763" s="14" t="inlineStr">
        <is>
          <t>LZPT-45|</t>
        </is>
      </c>
      <c r="FT763" t="inlineStr">
        <is>
          <t>LZPT-45|</t>
        </is>
      </c>
      <c r="FU763" t="inlineStr">
        <is>
          <t>LZPT-45</t>
        </is>
      </c>
      <c r="FV763">
        <f>VLOOKUP(FU763,FD:FL,9,0)</f>
        <v/>
      </c>
    </row>
    <row r="764">
      <c r="FC764" t="inlineStr">
        <is>
          <t>Diccionario 1</t>
        </is>
      </c>
      <c r="FD764" s="15" t="inlineStr"/>
      <c r="FE764" s="17" t="inlineStr">
        <is>
          <t>YV3T7U526LA201850</t>
        </is>
      </c>
      <c r="FF764" s="18" t="n">
        <v>507971</v>
      </c>
      <c r="FG764" s="18" t="inlineStr">
        <is>
          <t>VOLVO</t>
        </is>
      </c>
      <c r="FH764" s="18" t="inlineStr">
        <is>
          <t>B8RLEA</t>
        </is>
      </c>
      <c r="FI764" s="18" t="inlineStr">
        <is>
          <t>MARCOPOLO</t>
        </is>
      </c>
      <c r="FJ764" s="18" t="inlineStr">
        <is>
          <t>GRAN VIALE</t>
        </is>
      </c>
      <c r="FK764" s="18" t="n">
        <v>2020</v>
      </c>
      <c r="FL764" s="18" t="inlineStr">
        <is>
          <t>C</t>
        </is>
      </c>
      <c r="FM764" s="18" t="inlineStr">
        <is>
          <t>Santa Rosa</t>
        </is>
      </c>
      <c r="FP764" t="inlineStr">
        <is>
          <t>C</t>
        </is>
      </c>
      <c r="FS764" s="14" t="inlineStr">
        <is>
          <t>LZPR-96|</t>
        </is>
      </c>
      <c r="FT764" t="inlineStr">
        <is>
          <t>LZPR-96|</t>
        </is>
      </c>
      <c r="FU764" t="inlineStr">
        <is>
          <t>LZPR-96</t>
        </is>
      </c>
      <c r="FV764">
        <f>VLOOKUP(FU764,FD:FL,9,0)</f>
        <v/>
      </c>
    </row>
    <row r="765">
      <c r="FC765" t="inlineStr">
        <is>
          <t>Diccionario 1</t>
        </is>
      </c>
      <c r="FD765" s="15" t="inlineStr"/>
      <c r="FE765" s="17" t="inlineStr">
        <is>
          <t>YV3T7U527LA201713</t>
        </is>
      </c>
      <c r="FF765" s="18" t="n">
        <v>508481</v>
      </c>
      <c r="FG765" s="18" t="inlineStr">
        <is>
          <t>VOLVO</t>
        </is>
      </c>
      <c r="FH765" s="18" t="inlineStr">
        <is>
          <t>B8RLEA</t>
        </is>
      </c>
      <c r="FI765" s="18" t="inlineStr">
        <is>
          <t>MARCOPOLO</t>
        </is>
      </c>
      <c r="FJ765" s="18" t="inlineStr">
        <is>
          <t>GRAN VIALE</t>
        </is>
      </c>
      <c r="FK765" s="18" t="n">
        <v>2020</v>
      </c>
      <c r="FL765" s="18" t="inlineStr">
        <is>
          <t>C</t>
        </is>
      </c>
      <c r="FM765" s="18" t="inlineStr">
        <is>
          <t>Recoleta</t>
        </is>
      </c>
      <c r="FP765" t="inlineStr">
        <is>
          <t>C</t>
        </is>
      </c>
      <c r="FS765" s="14" t="inlineStr">
        <is>
          <t>LXWT-84|</t>
        </is>
      </c>
      <c r="FT765" t="inlineStr">
        <is>
          <t>LXWT-84|</t>
        </is>
      </c>
      <c r="FU765" t="inlineStr">
        <is>
          <t>LXWT-84</t>
        </is>
      </c>
      <c r="FV765">
        <f>VLOOKUP(FU765,FD:FL,9,0)</f>
        <v/>
      </c>
    </row>
    <row r="766">
      <c r="FC766" t="inlineStr">
        <is>
          <t>Diccionario 1</t>
        </is>
      </c>
      <c r="FD766" s="15" t="inlineStr"/>
      <c r="FE766" s="17" t="inlineStr">
        <is>
          <t>YV3T7U524LA201801</t>
        </is>
      </c>
      <c r="FF766" s="18" t="n">
        <v>509156</v>
      </c>
      <c r="FG766" s="18" t="inlineStr">
        <is>
          <t>VOLVO</t>
        </is>
      </c>
      <c r="FH766" s="18" t="inlineStr">
        <is>
          <t>B8RLEA</t>
        </is>
      </c>
      <c r="FI766" s="18" t="inlineStr">
        <is>
          <t>MARCOPOLO</t>
        </is>
      </c>
      <c r="FJ766" s="18" t="inlineStr">
        <is>
          <t>GRAN VIALE</t>
        </is>
      </c>
      <c r="FK766" s="18" t="n">
        <v>2020</v>
      </c>
      <c r="FL766" s="18" t="inlineStr">
        <is>
          <t>C</t>
        </is>
      </c>
      <c r="FM766" s="18" t="inlineStr">
        <is>
          <t>Recoleta</t>
        </is>
      </c>
      <c r="FP766" t="inlineStr">
        <is>
          <t>C</t>
        </is>
      </c>
      <c r="FS766" s="14" t="inlineStr">
        <is>
          <t>LZPT-74|</t>
        </is>
      </c>
      <c r="FT766" t="inlineStr">
        <is>
          <t>LZPT-74|</t>
        </is>
      </c>
      <c r="FU766" t="inlineStr">
        <is>
          <t>LZPT-74</t>
        </is>
      </c>
      <c r="FV766">
        <f>VLOOKUP(FU766,FD:FL,9,0)</f>
        <v/>
      </c>
    </row>
    <row r="767">
      <c r="FC767" t="inlineStr">
        <is>
          <t>Diccionario 1</t>
        </is>
      </c>
      <c r="FD767" s="15" t="inlineStr"/>
      <c r="FE767" s="17" t="inlineStr">
        <is>
          <t>YV3T7U529LA201812</t>
        </is>
      </c>
      <c r="FF767" s="18" t="n">
        <v>509224</v>
      </c>
      <c r="FG767" s="18" t="inlineStr">
        <is>
          <t>VOLVO</t>
        </is>
      </c>
      <c r="FH767" s="18" t="inlineStr">
        <is>
          <t>B8RLEA</t>
        </is>
      </c>
      <c r="FI767" s="18" t="inlineStr">
        <is>
          <t>MARCOPOLO</t>
        </is>
      </c>
      <c r="FJ767" s="18" t="inlineStr">
        <is>
          <t>GRAN VIALE</t>
        </is>
      </c>
      <c r="FK767" s="18" t="n">
        <v>2020</v>
      </c>
      <c r="FL767" s="18" t="inlineStr">
        <is>
          <t>C</t>
        </is>
      </c>
      <c r="FM767" s="18" t="inlineStr">
        <is>
          <t>Recoleta</t>
        </is>
      </c>
      <c r="FP767" t="inlineStr">
        <is>
          <t>C</t>
        </is>
      </c>
      <c r="FS767" s="14" t="inlineStr">
        <is>
          <t>LZPG-23|</t>
        </is>
      </c>
      <c r="FT767" t="inlineStr">
        <is>
          <t>LZPG-23|</t>
        </is>
      </c>
      <c r="FU767" t="inlineStr">
        <is>
          <t>LZPG-23</t>
        </is>
      </c>
      <c r="FV767">
        <f>VLOOKUP(FU767,FD:FL,9,0)</f>
        <v/>
      </c>
    </row>
    <row r="768">
      <c r="FC768" t="inlineStr">
        <is>
          <t>Diccionario 1</t>
        </is>
      </c>
      <c r="FD768" s="15" t="inlineStr"/>
      <c r="FE768" s="17" t="inlineStr">
        <is>
          <t>YV3T7U520LA201813</t>
        </is>
      </c>
      <c r="FF768" s="18" t="n">
        <v>509231</v>
      </c>
      <c r="FG768" s="18" t="inlineStr">
        <is>
          <t>VOLVO</t>
        </is>
      </c>
      <c r="FH768" s="18" t="inlineStr">
        <is>
          <t>B8RLEA</t>
        </is>
      </c>
      <c r="FI768" s="18" t="inlineStr">
        <is>
          <t>MARCOPOLO</t>
        </is>
      </c>
      <c r="FJ768" s="18" t="inlineStr">
        <is>
          <t>GRAN VIALE</t>
        </is>
      </c>
      <c r="FK768" s="18" t="n">
        <v>2020</v>
      </c>
      <c r="FL768" s="18" t="inlineStr">
        <is>
          <t>C</t>
        </is>
      </c>
      <c r="FM768" s="18" t="inlineStr">
        <is>
          <t>Santa Rosa</t>
        </is>
      </c>
      <c r="FP768" t="inlineStr">
        <is>
          <t>C</t>
        </is>
      </c>
      <c r="FS768" s="14" t="inlineStr">
        <is>
          <t>LZPS-15|</t>
        </is>
      </c>
      <c r="FT768" t="inlineStr">
        <is>
          <t>LZPS-15|</t>
        </is>
      </c>
      <c r="FU768" t="inlineStr">
        <is>
          <t>LZPS-15</t>
        </is>
      </c>
      <c r="FV768">
        <f>VLOOKUP(FU768,FD:FL,9,0)</f>
        <v/>
      </c>
    </row>
    <row r="769">
      <c r="FC769" t="inlineStr">
        <is>
          <t>Diccionario 1</t>
        </is>
      </c>
      <c r="FD769" s="15" t="inlineStr"/>
      <c r="FE769" s="17" t="inlineStr">
        <is>
          <t>YV3T7U522LA201814</t>
        </is>
      </c>
      <c r="FF769" s="18" t="n">
        <v>509235</v>
      </c>
      <c r="FG769" s="18" t="inlineStr">
        <is>
          <t>VOLVO</t>
        </is>
      </c>
      <c r="FH769" s="18" t="inlineStr">
        <is>
          <t>B8RLEA</t>
        </is>
      </c>
      <c r="FI769" s="18" t="inlineStr">
        <is>
          <t>MARCOPOLO</t>
        </is>
      </c>
      <c r="FJ769" s="18" t="inlineStr">
        <is>
          <t>GRAN VIALE</t>
        </is>
      </c>
      <c r="FK769" s="18" t="n">
        <v>2020</v>
      </c>
      <c r="FL769" s="18" t="inlineStr">
        <is>
          <t>C</t>
        </is>
      </c>
      <c r="FM769" s="18" t="inlineStr">
        <is>
          <t>Recoleta</t>
        </is>
      </c>
      <c r="FP769" t="inlineStr">
        <is>
          <t>C</t>
        </is>
      </c>
      <c r="FS769" s="14" t="inlineStr">
        <is>
          <t>GCBF-50|</t>
        </is>
      </c>
      <c r="FT769" t="inlineStr">
        <is>
          <t>GCBF-50|</t>
        </is>
      </c>
      <c r="FU769" t="inlineStr">
        <is>
          <t>GCBF-50</t>
        </is>
      </c>
      <c r="FV769">
        <f>VLOOKUP(FU769,FD:FL,9,0)</f>
        <v/>
      </c>
    </row>
    <row r="770">
      <c r="FC770" t="inlineStr">
        <is>
          <t>Diccionario 1</t>
        </is>
      </c>
      <c r="FD770" s="15" t="inlineStr"/>
      <c r="FE770" s="17" t="inlineStr">
        <is>
          <t>YV3T7U52XLA201849</t>
        </is>
      </c>
      <c r="FF770" s="18" t="n">
        <v>507983</v>
      </c>
      <c r="FG770" s="18" t="inlineStr">
        <is>
          <t>VOLVO</t>
        </is>
      </c>
      <c r="FH770" s="18" t="inlineStr">
        <is>
          <t>B8RLEA</t>
        </is>
      </c>
      <c r="FI770" s="18" t="inlineStr">
        <is>
          <t>MARCOPOLO</t>
        </is>
      </c>
      <c r="FJ770" s="18" t="inlineStr">
        <is>
          <t>GRAN VIALE</t>
        </is>
      </c>
      <c r="FK770" s="18" t="n">
        <v>2020</v>
      </c>
      <c r="FL770" s="18" t="inlineStr">
        <is>
          <t>C</t>
        </is>
      </c>
      <c r="FM770" s="18" t="inlineStr">
        <is>
          <t>Santa Rosa</t>
        </is>
      </c>
      <c r="FP770" t="inlineStr">
        <is>
          <t>C</t>
        </is>
      </c>
      <c r="FS770" s="14" t="inlineStr">
        <is>
          <t>GCBF-43|</t>
        </is>
      </c>
      <c r="FT770" t="inlineStr">
        <is>
          <t>GCBF-43|</t>
        </is>
      </c>
      <c r="FU770" t="inlineStr">
        <is>
          <t>GCBF-43</t>
        </is>
      </c>
      <c r="FV770">
        <f>VLOOKUP(FU770,FD:FL,9,0)</f>
        <v/>
      </c>
    </row>
    <row r="771">
      <c r="FC771" t="inlineStr">
        <is>
          <t>Diccionario 1</t>
        </is>
      </c>
      <c r="FD771" s="15" t="inlineStr"/>
      <c r="FE771" s="17" t="inlineStr">
        <is>
          <t>YV3T7U527LA201811</t>
        </is>
      </c>
      <c r="FF771" s="18" t="n">
        <v>509204</v>
      </c>
      <c r="FG771" s="18" t="inlineStr">
        <is>
          <t>VOLVO</t>
        </is>
      </c>
      <c r="FH771" s="18" t="inlineStr">
        <is>
          <t>B8RLEA</t>
        </is>
      </c>
      <c r="FI771" s="18" t="inlineStr">
        <is>
          <t>MARCOPOLO</t>
        </is>
      </c>
      <c r="FJ771" s="18" t="inlineStr">
        <is>
          <t>GRAN VIALE</t>
        </is>
      </c>
      <c r="FK771" s="18" t="n">
        <v>2020</v>
      </c>
      <c r="FL771" s="18" t="inlineStr">
        <is>
          <t>C</t>
        </is>
      </c>
      <c r="FM771" s="18" t="inlineStr">
        <is>
          <t>Recoleta</t>
        </is>
      </c>
      <c r="FP771" t="inlineStr">
        <is>
          <t>C</t>
        </is>
      </c>
      <c r="FS771" s="14" t="inlineStr">
        <is>
          <t>LXWT-82|</t>
        </is>
      </c>
      <c r="FT771" t="inlineStr">
        <is>
          <t>LXWT-82|</t>
        </is>
      </c>
      <c r="FU771" t="inlineStr">
        <is>
          <t>LXWT-82</t>
        </is>
      </c>
      <c r="FV771">
        <f>VLOOKUP(FU771,FD:FL,9,0)</f>
        <v/>
      </c>
    </row>
    <row r="772">
      <c r="FC772" t="inlineStr">
        <is>
          <t>Diccionario 1</t>
        </is>
      </c>
      <c r="FD772" s="15" t="inlineStr"/>
      <c r="FE772" s="17" t="inlineStr">
        <is>
          <t>YV3T7U526LA201475</t>
        </is>
      </c>
      <c r="FF772" s="18" t="n">
        <v>507876</v>
      </c>
      <c r="FG772" s="18" t="inlineStr">
        <is>
          <t>VOLVO</t>
        </is>
      </c>
      <c r="FH772" s="18" t="inlineStr">
        <is>
          <t>B8RLEA</t>
        </is>
      </c>
      <c r="FI772" s="18" t="inlineStr">
        <is>
          <t>MARCOPOLO</t>
        </is>
      </c>
      <c r="FJ772" s="18" t="inlineStr">
        <is>
          <t>GRAN VIALE</t>
        </is>
      </c>
      <c r="FK772" s="18" t="n">
        <v>2020</v>
      </c>
      <c r="FL772" s="18" t="inlineStr">
        <is>
          <t>C</t>
        </is>
      </c>
      <c r="FM772" s="18" t="inlineStr">
        <is>
          <t>Santa Rosa</t>
        </is>
      </c>
      <c r="FP772" t="inlineStr">
        <is>
          <t>C</t>
        </is>
      </c>
      <c r="FS772" s="14" t="inlineStr">
        <is>
          <t>LZPT-57|</t>
        </is>
      </c>
      <c r="FT772" t="inlineStr">
        <is>
          <t>LZPT-57|</t>
        </is>
      </c>
      <c r="FU772" t="inlineStr">
        <is>
          <t>LZPT-57</t>
        </is>
      </c>
      <c r="FV772">
        <f>VLOOKUP(FU772,FD:FL,9,0)</f>
        <v/>
      </c>
    </row>
    <row r="773">
      <c r="FC773" t="inlineStr">
        <is>
          <t>Diccionario 1</t>
        </is>
      </c>
      <c r="FD773" s="15" t="inlineStr"/>
      <c r="FE773" s="17" t="inlineStr">
        <is>
          <t>YV3T7U525LA201404</t>
        </is>
      </c>
      <c r="FF773" s="18" t="n">
        <v>507532</v>
      </c>
      <c r="FG773" s="18" t="inlineStr">
        <is>
          <t>VOLVO</t>
        </is>
      </c>
      <c r="FH773" s="18" t="inlineStr">
        <is>
          <t>B8RLEA</t>
        </is>
      </c>
      <c r="FI773" s="18" t="inlineStr">
        <is>
          <t>MARCOPOLO</t>
        </is>
      </c>
      <c r="FJ773" s="18" t="inlineStr">
        <is>
          <t>GRAN VIALE</t>
        </is>
      </c>
      <c r="FK773" s="18" t="n">
        <v>2020</v>
      </c>
      <c r="FL773" s="18" t="inlineStr">
        <is>
          <t>C</t>
        </is>
      </c>
      <c r="FM773" s="18" t="inlineStr">
        <is>
          <t>Santa Rosa</t>
        </is>
      </c>
      <c r="FP773" t="inlineStr">
        <is>
          <t>C</t>
        </is>
      </c>
      <c r="FS773" s="14" t="inlineStr">
        <is>
          <t>LXWT-94|</t>
        </is>
      </c>
      <c r="FT773" t="inlineStr">
        <is>
          <t>LXWT-94|</t>
        </is>
      </c>
      <c r="FU773" t="inlineStr">
        <is>
          <t>LXWT-94</t>
        </is>
      </c>
      <c r="FV773">
        <f>VLOOKUP(FU773,FD:FL,9,0)</f>
        <v/>
      </c>
    </row>
    <row r="774">
      <c r="FC774" t="inlineStr">
        <is>
          <t>Diccionario 1</t>
        </is>
      </c>
      <c r="FD774" s="15" t="inlineStr"/>
      <c r="FE774" s="17" t="inlineStr">
        <is>
          <t>YV3T7U524LA201460</t>
        </is>
      </c>
      <c r="FF774" s="18" t="n">
        <v>508062</v>
      </c>
      <c r="FG774" s="18" t="inlineStr">
        <is>
          <t>VOLVO</t>
        </is>
      </c>
      <c r="FH774" s="18" t="inlineStr">
        <is>
          <t>B8RLEA</t>
        </is>
      </c>
      <c r="FI774" s="18" t="inlineStr">
        <is>
          <t>MARCOPOLO</t>
        </is>
      </c>
      <c r="FJ774" s="18" t="inlineStr">
        <is>
          <t>GRAN VIALE</t>
        </is>
      </c>
      <c r="FK774" s="18" t="n">
        <v>2020</v>
      </c>
      <c r="FL774" s="18" t="inlineStr">
        <is>
          <t>C</t>
        </is>
      </c>
      <c r="FM774" s="18" t="inlineStr">
        <is>
          <t>Santa Rosa</t>
        </is>
      </c>
      <c r="FP774" t="inlineStr">
        <is>
          <t>C</t>
        </is>
      </c>
      <c r="FS774" s="14" t="inlineStr">
        <is>
          <t>3062 / SFWZ-10|</t>
        </is>
      </c>
      <c r="FT774" t="inlineStr">
        <is>
          <t>SFWZ-10|</t>
        </is>
      </c>
      <c r="FU774" t="inlineStr">
        <is>
          <t>SFWZ-10</t>
        </is>
      </c>
      <c r="FV774">
        <f>VLOOKUP(FU774,FD:FL,9,0)</f>
        <v/>
      </c>
    </row>
    <row r="775">
      <c r="FC775" t="inlineStr">
        <is>
          <t>Diccionario 1</t>
        </is>
      </c>
      <c r="FD775" s="15" t="inlineStr"/>
      <c r="FE775" s="17" t="inlineStr">
        <is>
          <t>YV3T7U526LA201346</t>
        </is>
      </c>
      <c r="FF775" s="18" t="n">
        <v>507705</v>
      </c>
      <c r="FG775" s="18" t="inlineStr">
        <is>
          <t>VOLVO</t>
        </is>
      </c>
      <c r="FH775" s="18" t="inlineStr">
        <is>
          <t>B8RLEA</t>
        </is>
      </c>
      <c r="FI775" s="18" t="inlineStr">
        <is>
          <t>MARCOPOLO</t>
        </is>
      </c>
      <c r="FJ775" s="18" t="inlineStr">
        <is>
          <t>GRAN VIALE</t>
        </is>
      </c>
      <c r="FK775" s="18" t="n">
        <v>2020</v>
      </c>
      <c r="FL775" s="18" t="inlineStr">
        <is>
          <t>C</t>
        </is>
      </c>
      <c r="FM775" s="18" t="inlineStr">
        <is>
          <t>Santa Rosa</t>
        </is>
      </c>
      <c r="FP775" t="inlineStr">
        <is>
          <t>C</t>
        </is>
      </c>
      <c r="FS775" s="14" t="inlineStr">
        <is>
          <t>LZPG-13|</t>
        </is>
      </c>
      <c r="FT775" t="inlineStr">
        <is>
          <t>LZPG-13|</t>
        </is>
      </c>
      <c r="FU775" t="inlineStr">
        <is>
          <t>LZPG-13</t>
        </is>
      </c>
      <c r="FV775">
        <f>VLOOKUP(FU775,FD:FL,9,0)</f>
        <v/>
      </c>
    </row>
    <row r="776">
      <c r="FC776" t="inlineStr">
        <is>
          <t>Diccionario 1</t>
        </is>
      </c>
      <c r="FD776" s="15" t="inlineStr"/>
      <c r="FE776" s="17" t="inlineStr">
        <is>
          <t>YV3T7U520LA201388</t>
        </is>
      </c>
      <c r="FF776" s="18" t="n">
        <v>507636</v>
      </c>
      <c r="FG776" s="18" t="inlineStr">
        <is>
          <t>VOLVO</t>
        </is>
      </c>
      <c r="FH776" s="18" t="inlineStr">
        <is>
          <t>B8RLEA</t>
        </is>
      </c>
      <c r="FI776" s="18" t="inlineStr">
        <is>
          <t>MARCOPOLO</t>
        </is>
      </c>
      <c r="FJ776" s="18" t="inlineStr">
        <is>
          <t>GRAN VIALE</t>
        </is>
      </c>
      <c r="FK776" s="18" t="n">
        <v>2020</v>
      </c>
      <c r="FL776" s="18" t="inlineStr">
        <is>
          <t>C</t>
        </is>
      </c>
      <c r="FM776" s="18" t="inlineStr">
        <is>
          <t>Santa Rosa</t>
        </is>
      </c>
      <c r="FP776" t="inlineStr">
        <is>
          <t>C</t>
        </is>
      </c>
      <c r="FS776" s="14" t="inlineStr">
        <is>
          <t>LZPT-73|</t>
        </is>
      </c>
      <c r="FT776" t="inlineStr">
        <is>
          <t>LZPT-73|</t>
        </is>
      </c>
      <c r="FU776" t="inlineStr">
        <is>
          <t>LZPT-73</t>
        </is>
      </c>
      <c r="FV776">
        <f>VLOOKUP(FU776,FD:FL,9,0)</f>
        <v/>
      </c>
    </row>
    <row r="777">
      <c r="FC777" t="inlineStr">
        <is>
          <t>Diccionario 1</t>
        </is>
      </c>
      <c r="FD777" s="15" t="inlineStr"/>
      <c r="FE777" s="17" t="inlineStr">
        <is>
          <t>YV3T7U528LA201459</t>
        </is>
      </c>
      <c r="FF777" s="18" t="n">
        <v>508054</v>
      </c>
      <c r="FG777" s="18" t="inlineStr">
        <is>
          <t>VOLVO</t>
        </is>
      </c>
      <c r="FH777" s="18" t="inlineStr">
        <is>
          <t>B8RLEA</t>
        </is>
      </c>
      <c r="FI777" s="18" t="inlineStr">
        <is>
          <t>MARCOPOLO</t>
        </is>
      </c>
      <c r="FJ777" s="18" t="inlineStr">
        <is>
          <t>GRAN VIALE</t>
        </is>
      </c>
      <c r="FK777" s="18" t="n">
        <v>2020</v>
      </c>
      <c r="FL777" s="18" t="inlineStr">
        <is>
          <t>C</t>
        </is>
      </c>
      <c r="FM777" s="18" t="inlineStr">
        <is>
          <t>Santa Rosa</t>
        </is>
      </c>
      <c r="FP777" t="inlineStr">
        <is>
          <t>C</t>
        </is>
      </c>
      <c r="FS777" s="14" t="inlineStr">
        <is>
          <t>LZPW-17|</t>
        </is>
      </c>
      <c r="FT777" t="inlineStr">
        <is>
          <t>LZPW-17|</t>
        </is>
      </c>
      <c r="FU777" t="inlineStr">
        <is>
          <t>LZPW-17</t>
        </is>
      </c>
      <c r="FV777">
        <f>VLOOKUP(FU777,FD:FL,9,0)</f>
        <v/>
      </c>
    </row>
    <row r="778">
      <c r="FC778" t="inlineStr">
        <is>
          <t>Diccionario 1</t>
        </is>
      </c>
      <c r="FD778" s="15" t="inlineStr"/>
      <c r="FE778" s="17" t="inlineStr">
        <is>
          <t>YV3T7U522LA201456</t>
        </is>
      </c>
      <c r="FF778" s="18" t="n">
        <v>508070</v>
      </c>
      <c r="FG778" s="18" t="inlineStr">
        <is>
          <t>VOLVO</t>
        </is>
      </c>
      <c r="FH778" s="18" t="inlineStr">
        <is>
          <t>B8RLEA</t>
        </is>
      </c>
      <c r="FI778" s="18" t="inlineStr">
        <is>
          <t>MARCOPOLO</t>
        </is>
      </c>
      <c r="FJ778" s="18" t="inlineStr">
        <is>
          <t>GRAN VIALE</t>
        </is>
      </c>
      <c r="FK778" s="18" t="n">
        <v>2020</v>
      </c>
      <c r="FL778" s="18" t="inlineStr">
        <is>
          <t>C</t>
        </is>
      </c>
      <c r="FM778" s="18" t="inlineStr">
        <is>
          <t>Santa Rosa</t>
        </is>
      </c>
      <c r="FP778" t="inlineStr">
        <is>
          <t>C</t>
        </is>
      </c>
      <c r="FS778" s="14" t="inlineStr">
        <is>
          <t>LZPT-55|</t>
        </is>
      </c>
      <c r="FT778" t="inlineStr">
        <is>
          <t>LZPT-55|</t>
        </is>
      </c>
      <c r="FU778" t="inlineStr">
        <is>
          <t>LZPT-55</t>
        </is>
      </c>
      <c r="FV778">
        <f>VLOOKUP(FU778,FD:FL,9,0)</f>
        <v/>
      </c>
    </row>
    <row r="779">
      <c r="FC779" t="inlineStr">
        <is>
          <t>Diccionario 1</t>
        </is>
      </c>
      <c r="FD779" s="15" t="inlineStr"/>
      <c r="FE779" s="17" t="inlineStr">
        <is>
          <t>YV3T7U522LA201408</t>
        </is>
      </c>
      <c r="FF779" s="18" t="n">
        <v>507800</v>
      </c>
      <c r="FG779" s="18" t="inlineStr">
        <is>
          <t>VOLVO</t>
        </is>
      </c>
      <c r="FH779" s="18" t="inlineStr">
        <is>
          <t>B8RLEA</t>
        </is>
      </c>
      <c r="FI779" s="18" t="inlineStr">
        <is>
          <t>MARCOPOLO</t>
        </is>
      </c>
      <c r="FJ779" s="18" t="inlineStr">
        <is>
          <t>GRAN VIALE</t>
        </is>
      </c>
      <c r="FK779" s="18" t="n">
        <v>2020</v>
      </c>
      <c r="FL779" s="18" t="inlineStr">
        <is>
          <t>C</t>
        </is>
      </c>
      <c r="FM779" s="18" t="inlineStr">
        <is>
          <t>Santa Rosa</t>
        </is>
      </c>
      <c r="FP779" t="inlineStr">
        <is>
          <t>C</t>
        </is>
      </c>
      <c r="FS779" s="14" t="inlineStr">
        <is>
          <t>LZRB-88|</t>
        </is>
      </c>
      <c r="FT779" t="inlineStr">
        <is>
          <t>LZRB-88|</t>
        </is>
      </c>
      <c r="FU779" t="inlineStr">
        <is>
          <t>LZRB-88</t>
        </is>
      </c>
      <c r="FV779">
        <f>VLOOKUP(FU779,FD:FL,9,0)</f>
        <v/>
      </c>
    </row>
    <row r="780">
      <c r="FC780" t="inlineStr">
        <is>
          <t>Diccionario 1</t>
        </is>
      </c>
      <c r="FD780" s="15" t="inlineStr"/>
      <c r="FE780" s="17" t="inlineStr">
        <is>
          <t>YV3T7U520LA201472</t>
        </is>
      </c>
      <c r="FF780" s="18" t="n">
        <v>508092</v>
      </c>
      <c r="FG780" s="18" t="inlineStr">
        <is>
          <t>VOLVO</t>
        </is>
      </c>
      <c r="FH780" s="18" t="inlineStr">
        <is>
          <t>B8RLEA</t>
        </is>
      </c>
      <c r="FI780" s="18" t="inlineStr">
        <is>
          <t>MARCOPOLO</t>
        </is>
      </c>
      <c r="FJ780" s="18" t="inlineStr">
        <is>
          <t>GRAN VIALE</t>
        </is>
      </c>
      <c r="FK780" s="18" t="n">
        <v>2020</v>
      </c>
      <c r="FL780" s="18" t="inlineStr">
        <is>
          <t>C</t>
        </is>
      </c>
      <c r="FM780" s="18" t="inlineStr">
        <is>
          <t>Santa Rosa</t>
        </is>
      </c>
      <c r="FP780" t="inlineStr">
        <is>
          <t>C</t>
        </is>
      </c>
      <c r="FS780" s="14" t="inlineStr">
        <is>
          <t>LXWT-95|</t>
        </is>
      </c>
      <c r="FT780" t="inlineStr">
        <is>
          <t>LXWT-95|</t>
        </is>
      </c>
      <c r="FU780" t="inlineStr">
        <is>
          <t>LXWT-95</t>
        </is>
      </c>
      <c r="FV780">
        <f>VLOOKUP(FU780,FD:FL,9,0)</f>
        <v/>
      </c>
    </row>
    <row r="781">
      <c r="FC781" t="inlineStr">
        <is>
          <t>Diccionario 1</t>
        </is>
      </c>
      <c r="FD781" s="15" t="inlineStr"/>
      <c r="FE781" s="17" t="inlineStr">
        <is>
          <t>YV3T7U524LA201474</t>
        </is>
      </c>
      <c r="FF781" s="18" t="n">
        <v>507827</v>
      </c>
      <c r="FG781" s="18" t="inlineStr">
        <is>
          <t>VOLVO</t>
        </is>
      </c>
      <c r="FH781" s="18" t="inlineStr">
        <is>
          <t>B8RLEA</t>
        </is>
      </c>
      <c r="FI781" s="18" t="inlineStr">
        <is>
          <t>MARCOPOLO</t>
        </is>
      </c>
      <c r="FJ781" s="18" t="inlineStr">
        <is>
          <t>GRAN VIALE</t>
        </is>
      </c>
      <c r="FK781" s="18" t="n">
        <v>2020</v>
      </c>
      <c r="FL781" s="18" t="inlineStr">
        <is>
          <t>C</t>
        </is>
      </c>
      <c r="FM781" s="18" t="inlineStr">
        <is>
          <t>Santa Rosa</t>
        </is>
      </c>
      <c r="FP781" t="inlineStr">
        <is>
          <t>C</t>
        </is>
      </c>
      <c r="FS781" s="14" t="inlineStr">
        <is>
          <t>LZPR-84|</t>
        </is>
      </c>
      <c r="FT781" t="inlineStr">
        <is>
          <t>LZPR-84|</t>
        </is>
      </c>
      <c r="FU781" t="inlineStr">
        <is>
          <t>LZPR-84</t>
        </is>
      </c>
      <c r="FV781">
        <f>VLOOKUP(FU781,FD:FL,9,0)</f>
        <v/>
      </c>
    </row>
    <row r="782">
      <c r="FC782" t="inlineStr">
        <is>
          <t>Diccionario 1</t>
        </is>
      </c>
      <c r="FD782" s="15" t="inlineStr"/>
      <c r="FE782" s="17" t="inlineStr">
        <is>
          <t>YV3T7U526LA201458</t>
        </is>
      </c>
      <c r="FF782" s="18" t="n">
        <v>508067</v>
      </c>
      <c r="FG782" s="18" t="inlineStr">
        <is>
          <t>VOLVO</t>
        </is>
      </c>
      <c r="FH782" s="18" t="inlineStr">
        <is>
          <t>B8RLEA</t>
        </is>
      </c>
      <c r="FI782" s="18" t="inlineStr">
        <is>
          <t>MARCOPOLO</t>
        </is>
      </c>
      <c r="FJ782" s="18" t="inlineStr">
        <is>
          <t>GRAN VIALE</t>
        </is>
      </c>
      <c r="FK782" s="18" t="n">
        <v>2020</v>
      </c>
      <c r="FL782" s="18" t="inlineStr">
        <is>
          <t>C</t>
        </is>
      </c>
      <c r="FM782" s="18" t="inlineStr">
        <is>
          <t>Santa Rosa</t>
        </is>
      </c>
      <c r="FP782" t="inlineStr">
        <is>
          <t>C</t>
        </is>
      </c>
      <c r="FS782" s="14" t="inlineStr">
        <is>
          <t>LXWT-91|</t>
        </is>
      </c>
      <c r="FT782" t="inlineStr">
        <is>
          <t>LXWT-91|</t>
        </is>
      </c>
      <c r="FU782" t="inlineStr">
        <is>
          <t>LXWT-91</t>
        </is>
      </c>
      <c r="FV782">
        <f>VLOOKUP(FU782,FD:FL,9,0)</f>
        <v/>
      </c>
    </row>
    <row r="783">
      <c r="FC783" t="inlineStr">
        <is>
          <t>Diccionario 1</t>
        </is>
      </c>
      <c r="FD783" s="15" t="inlineStr"/>
      <c r="FE783" s="17" t="inlineStr">
        <is>
          <t>YV3T7U522LA201473</t>
        </is>
      </c>
      <c r="FF783" s="18" t="n">
        <v>507830</v>
      </c>
      <c r="FG783" s="18" t="inlineStr">
        <is>
          <t>VOLVO</t>
        </is>
      </c>
      <c r="FH783" s="18" t="inlineStr">
        <is>
          <t>B8RLEA</t>
        </is>
      </c>
      <c r="FI783" s="18" t="inlineStr">
        <is>
          <t>MARCOPOLO</t>
        </is>
      </c>
      <c r="FJ783" s="18" t="inlineStr">
        <is>
          <t>GRAN VIALE</t>
        </is>
      </c>
      <c r="FK783" s="18" t="n">
        <v>2020</v>
      </c>
      <c r="FL783" s="18" t="inlineStr">
        <is>
          <t>C</t>
        </is>
      </c>
      <c r="FM783" s="18" t="inlineStr">
        <is>
          <t>Santa Rosa</t>
        </is>
      </c>
      <c r="FP783" t="inlineStr">
        <is>
          <t>C</t>
        </is>
      </c>
      <c r="FS783" s="14" t="inlineStr">
        <is>
          <t>LZPW-15|</t>
        </is>
      </c>
      <c r="FT783" t="inlineStr">
        <is>
          <t>LZPW-15|</t>
        </is>
      </c>
      <c r="FU783" t="inlineStr">
        <is>
          <t>LZPW-15</t>
        </is>
      </c>
      <c r="FV783">
        <f>VLOOKUP(FU783,FD:FL,9,0)</f>
        <v/>
      </c>
    </row>
    <row r="784">
      <c r="FC784" t="inlineStr">
        <is>
          <t>Diccionario 1</t>
        </is>
      </c>
      <c r="FD784" s="15" t="inlineStr"/>
      <c r="FE784" s="17" t="inlineStr">
        <is>
          <t>YV3T7U521LA201495</t>
        </is>
      </c>
      <c r="FF784" s="18" t="n">
        <v>507813</v>
      </c>
      <c r="FG784" s="18" t="inlineStr">
        <is>
          <t>VOLVO</t>
        </is>
      </c>
      <c r="FH784" s="18" t="inlineStr">
        <is>
          <t>B8RLEA</t>
        </is>
      </c>
      <c r="FI784" s="18" t="inlineStr">
        <is>
          <t>MARCOPOLO</t>
        </is>
      </c>
      <c r="FJ784" s="18" t="inlineStr">
        <is>
          <t>GRAN VIALE</t>
        </is>
      </c>
      <c r="FK784" s="18" t="n">
        <v>2020</v>
      </c>
      <c r="FL784" s="18" t="inlineStr">
        <is>
          <t>C</t>
        </is>
      </c>
      <c r="FM784" s="18" t="inlineStr">
        <is>
          <t>Santa Rosa</t>
        </is>
      </c>
      <c r="FP784" t="inlineStr">
        <is>
          <t>C</t>
        </is>
      </c>
      <c r="FS784" s="14" t="inlineStr">
        <is>
          <t>LZPT-44|</t>
        </is>
      </c>
      <c r="FT784" t="inlineStr">
        <is>
          <t>LZPT-44|</t>
        </is>
      </c>
      <c r="FU784" t="inlineStr">
        <is>
          <t>LZPT-44</t>
        </is>
      </c>
      <c r="FV784">
        <f>VLOOKUP(FU784,FD:FL,9,0)</f>
        <v/>
      </c>
    </row>
    <row r="785">
      <c r="FC785" t="inlineStr">
        <is>
          <t>Diccionario 1</t>
        </is>
      </c>
      <c r="FD785" s="15" t="inlineStr"/>
      <c r="FE785" s="17" t="inlineStr">
        <is>
          <t>YV3T7U525LA201497</t>
        </is>
      </c>
      <c r="FF785" s="18" t="n">
        <v>507862</v>
      </c>
      <c r="FG785" s="18" t="inlineStr">
        <is>
          <t>VOLVO</t>
        </is>
      </c>
      <c r="FH785" s="18" t="inlineStr">
        <is>
          <t>B8RLEA</t>
        </is>
      </c>
      <c r="FI785" s="18" t="inlineStr">
        <is>
          <t>MARCOPOLO</t>
        </is>
      </c>
      <c r="FJ785" s="18" t="inlineStr">
        <is>
          <t>GRAN VIALE</t>
        </is>
      </c>
      <c r="FK785" s="18" t="n">
        <v>2020</v>
      </c>
      <c r="FL785" s="18" t="inlineStr">
        <is>
          <t>C</t>
        </is>
      </c>
      <c r="FM785" s="18" t="inlineStr">
        <is>
          <t>Santa Rosa</t>
        </is>
      </c>
      <c r="FP785" t="inlineStr">
        <is>
          <t>C</t>
        </is>
      </c>
      <c r="FS785" s="14" t="inlineStr">
        <is>
          <t>LZPT-41|</t>
        </is>
      </c>
      <c r="FT785" t="inlineStr">
        <is>
          <t>LZPT-41|</t>
        </is>
      </c>
      <c r="FU785" t="inlineStr">
        <is>
          <t>LZPT-41</t>
        </is>
      </c>
      <c r="FV785">
        <f>VLOOKUP(FU785,FD:FL,9,0)</f>
        <v/>
      </c>
    </row>
    <row r="786">
      <c r="FC786" t="inlineStr">
        <is>
          <t>Diccionario 1</t>
        </is>
      </c>
      <c r="FD786" s="15" t="inlineStr"/>
      <c r="FE786" s="17" t="inlineStr">
        <is>
          <t>YV3T7U52XLA201320</t>
        </is>
      </c>
      <c r="FF786" s="18" t="n">
        <v>507688</v>
      </c>
      <c r="FG786" s="18" t="inlineStr">
        <is>
          <t>VOLVO</t>
        </is>
      </c>
      <c r="FH786" s="18" t="inlineStr">
        <is>
          <t>B8RLEA</t>
        </is>
      </c>
      <c r="FI786" s="18" t="inlineStr">
        <is>
          <t>MARCOPOLO</t>
        </is>
      </c>
      <c r="FJ786" s="18" t="inlineStr">
        <is>
          <t>GRAN VIALE</t>
        </is>
      </c>
      <c r="FK786" s="18" t="n">
        <v>2020</v>
      </c>
      <c r="FL786" s="18" t="inlineStr">
        <is>
          <t>C</t>
        </is>
      </c>
      <c r="FM786" s="18" t="inlineStr">
        <is>
          <t>Santa Rosa</t>
        </is>
      </c>
      <c r="FP786" t="inlineStr">
        <is>
          <t>C</t>
        </is>
      </c>
      <c r="FS786" s="14" t="inlineStr">
        <is>
          <t>LZPT-72|</t>
        </is>
      </c>
      <c r="FT786" t="inlineStr">
        <is>
          <t>LZPT-72|</t>
        </is>
      </c>
      <c r="FU786" t="inlineStr">
        <is>
          <t>LZPT-72</t>
        </is>
      </c>
      <c r="FV786">
        <f>VLOOKUP(FU786,FD:FL,9,0)</f>
        <v/>
      </c>
    </row>
    <row r="787">
      <c r="FC787" t="inlineStr">
        <is>
          <t>Diccionario 1</t>
        </is>
      </c>
      <c r="FD787" s="15" t="inlineStr"/>
      <c r="FE787" s="17" t="inlineStr">
        <is>
          <t>YV3T7U521LA201402</t>
        </is>
      </c>
      <c r="FF787" s="18" t="n">
        <v>507514</v>
      </c>
      <c r="FG787" s="18" t="inlineStr">
        <is>
          <t>VOLVO</t>
        </is>
      </c>
      <c r="FH787" s="18" t="inlineStr">
        <is>
          <t>B8RLEA</t>
        </is>
      </c>
      <c r="FI787" s="18" t="inlineStr">
        <is>
          <t>MARCOPOLO</t>
        </is>
      </c>
      <c r="FJ787" s="18" t="inlineStr">
        <is>
          <t>GRAN VIALE</t>
        </is>
      </c>
      <c r="FK787" s="18" t="n">
        <v>2020</v>
      </c>
      <c r="FL787" s="18" t="inlineStr">
        <is>
          <t>C</t>
        </is>
      </c>
      <c r="FM787" s="18" t="inlineStr">
        <is>
          <t>Santa Rosa</t>
        </is>
      </c>
      <c r="FP787" t="inlineStr">
        <is>
          <t>C</t>
        </is>
      </c>
      <c r="FS787" s="14" t="inlineStr">
        <is>
          <t>LZPG-25|</t>
        </is>
      </c>
      <c r="FT787" t="inlineStr">
        <is>
          <t>LZPG-25|</t>
        </is>
      </c>
      <c r="FU787" t="inlineStr">
        <is>
          <t>LZPG-25</t>
        </is>
      </c>
      <c r="FV787">
        <f>VLOOKUP(FU787,FD:FL,9,0)</f>
        <v/>
      </c>
    </row>
    <row r="788">
      <c r="FC788" t="inlineStr">
        <is>
          <t>Diccionario 1</t>
        </is>
      </c>
      <c r="FD788" s="15" t="inlineStr"/>
      <c r="FE788" s="17" t="inlineStr">
        <is>
          <t>YV3T7U526LA201461</t>
        </is>
      </c>
      <c r="FF788" s="18" t="n">
        <v>508059</v>
      </c>
      <c r="FG788" s="18" t="inlineStr">
        <is>
          <t>VOLVO</t>
        </is>
      </c>
      <c r="FH788" s="18" t="inlineStr">
        <is>
          <t>B8RLEA</t>
        </is>
      </c>
      <c r="FI788" s="18" t="inlineStr">
        <is>
          <t>MARCOPOLO</t>
        </is>
      </c>
      <c r="FJ788" s="18" t="inlineStr">
        <is>
          <t>GRAN VIALE</t>
        </is>
      </c>
      <c r="FK788" s="18" t="n">
        <v>2020</v>
      </c>
      <c r="FL788" s="18" t="inlineStr">
        <is>
          <t>C</t>
        </is>
      </c>
      <c r="FM788" s="18" t="inlineStr">
        <is>
          <t>Santa Rosa</t>
        </is>
      </c>
      <c r="FP788" t="inlineStr">
        <is>
          <t>C</t>
        </is>
      </c>
      <c r="FS788" s="14" t="inlineStr">
        <is>
          <t>LZRB-85|</t>
        </is>
      </c>
      <c r="FT788" t="inlineStr">
        <is>
          <t>LZRB-85|</t>
        </is>
      </c>
      <c r="FU788" t="inlineStr">
        <is>
          <t>LZRB-85</t>
        </is>
      </c>
      <c r="FV788">
        <f>VLOOKUP(FU788,FD:FL,9,0)</f>
        <v/>
      </c>
    </row>
    <row r="789">
      <c r="FC789" t="inlineStr">
        <is>
          <t>Diccionario 1</t>
        </is>
      </c>
      <c r="FD789" s="15" t="inlineStr"/>
      <c r="FE789" s="17" t="inlineStr">
        <is>
          <t>YV3T7U522LA201392</t>
        </is>
      </c>
      <c r="FF789" s="18" t="n">
        <v>507493</v>
      </c>
      <c r="FG789" s="18" t="inlineStr">
        <is>
          <t>VOLVO</t>
        </is>
      </c>
      <c r="FH789" s="18" t="inlineStr">
        <is>
          <t>B8RLEA</t>
        </is>
      </c>
      <c r="FI789" s="18" t="inlineStr">
        <is>
          <t>MARCOPOLO</t>
        </is>
      </c>
      <c r="FJ789" s="18" t="inlineStr">
        <is>
          <t>GRAN VIALE</t>
        </is>
      </c>
      <c r="FK789" s="18" t="n">
        <v>2020</v>
      </c>
      <c r="FL789" s="18" t="inlineStr">
        <is>
          <t>C</t>
        </is>
      </c>
      <c r="FM789" s="18" t="inlineStr">
        <is>
          <t>Santa Rosa</t>
        </is>
      </c>
      <c r="FP789" t="inlineStr">
        <is>
          <t>C</t>
        </is>
      </c>
      <c r="FS789" s="14" t="inlineStr">
        <is>
          <t>LZPW-22|</t>
        </is>
      </c>
      <c r="FT789" t="inlineStr">
        <is>
          <t>LZPW-22|</t>
        </is>
      </c>
      <c r="FU789" t="inlineStr">
        <is>
          <t>LZPW-22</t>
        </is>
      </c>
      <c r="FV789">
        <f>VLOOKUP(FU789,FD:FL,9,0)</f>
        <v/>
      </c>
    </row>
    <row r="790">
      <c r="FC790" t="inlineStr">
        <is>
          <t>Diccionario 1</t>
        </is>
      </c>
      <c r="FD790" s="15" t="inlineStr"/>
      <c r="FE790" s="17" t="inlineStr">
        <is>
          <t>YV3T7U524LA201457</t>
        </is>
      </c>
      <c r="FF790" s="18" t="n">
        <v>508050</v>
      </c>
      <c r="FG790" s="18" t="inlineStr">
        <is>
          <t>VOLVO</t>
        </is>
      </c>
      <c r="FH790" s="18" t="inlineStr">
        <is>
          <t>B8RLEA</t>
        </is>
      </c>
      <c r="FI790" s="18" t="inlineStr">
        <is>
          <t>MARCOPOLO</t>
        </is>
      </c>
      <c r="FJ790" s="18" t="inlineStr">
        <is>
          <t>GRAN VIALE</t>
        </is>
      </c>
      <c r="FK790" s="18" t="n">
        <v>2020</v>
      </c>
      <c r="FL790" s="18" t="inlineStr">
        <is>
          <t>C</t>
        </is>
      </c>
      <c r="FM790" s="18" t="inlineStr">
        <is>
          <t>Santa Rosa</t>
        </is>
      </c>
      <c r="FP790" t="inlineStr">
        <is>
          <t>C</t>
        </is>
      </c>
      <c r="FS790" s="14" t="inlineStr">
        <is>
          <t>LZPR-92|</t>
        </is>
      </c>
      <c r="FT790" t="inlineStr">
        <is>
          <t>LZPR-92|</t>
        </is>
      </c>
      <c r="FU790" t="inlineStr">
        <is>
          <t>LZPR-92</t>
        </is>
      </c>
      <c r="FV790">
        <f>VLOOKUP(FU790,FD:FL,9,0)</f>
        <v/>
      </c>
    </row>
    <row r="791">
      <c r="FC791" t="inlineStr">
        <is>
          <t>Diccionario 1</t>
        </is>
      </c>
      <c r="FD791" s="15" t="inlineStr"/>
      <c r="FE791" s="17" t="inlineStr">
        <is>
          <t>YV3T7U522LA201389</t>
        </is>
      </c>
      <c r="FF791" s="18" t="n">
        <v>507531</v>
      </c>
      <c r="FG791" s="18" t="inlineStr">
        <is>
          <t>VOLVO</t>
        </is>
      </c>
      <c r="FH791" s="18" t="inlineStr">
        <is>
          <t>B8RLEA</t>
        </is>
      </c>
      <c r="FI791" s="18" t="inlineStr">
        <is>
          <t>MARCOPOLO</t>
        </is>
      </c>
      <c r="FJ791" s="18" t="inlineStr">
        <is>
          <t>GRAN VIALE</t>
        </is>
      </c>
      <c r="FK791" s="18" t="n">
        <v>2020</v>
      </c>
      <c r="FL791" s="18" t="inlineStr">
        <is>
          <t>C</t>
        </is>
      </c>
      <c r="FM791" s="18" t="inlineStr">
        <is>
          <t>Santa Rosa</t>
        </is>
      </c>
      <c r="FP791" t="inlineStr">
        <is>
          <t>C</t>
        </is>
      </c>
      <c r="FS791" s="14" t="inlineStr">
        <is>
          <t>LZPR-80|</t>
        </is>
      </c>
      <c r="FT791" t="inlineStr">
        <is>
          <t>LZPR-80|</t>
        </is>
      </c>
      <c r="FU791" t="inlineStr">
        <is>
          <t>LZPR-80</t>
        </is>
      </c>
      <c r="FV791">
        <f>VLOOKUP(FU791,FD:FL,9,0)</f>
        <v/>
      </c>
    </row>
    <row r="792">
      <c r="FC792" t="inlineStr">
        <is>
          <t>Diccionario 1</t>
        </is>
      </c>
      <c r="FD792" s="15" t="inlineStr"/>
      <c r="FE792" s="17" t="inlineStr">
        <is>
          <t>YV3T7U524LA201345</t>
        </is>
      </c>
      <c r="FF792" s="18" t="n">
        <v>507748</v>
      </c>
      <c r="FG792" s="18" t="inlineStr">
        <is>
          <t>VOLVO</t>
        </is>
      </c>
      <c r="FH792" s="18" t="inlineStr">
        <is>
          <t>B8RLEA</t>
        </is>
      </c>
      <c r="FI792" s="18" t="inlineStr">
        <is>
          <t>MARCOPOLO</t>
        </is>
      </c>
      <c r="FJ792" s="18" t="inlineStr">
        <is>
          <t>GRAN VIALE</t>
        </is>
      </c>
      <c r="FK792" s="18" t="n">
        <v>2020</v>
      </c>
      <c r="FL792" s="18" t="inlineStr">
        <is>
          <t>C</t>
        </is>
      </c>
      <c r="FM792" s="18" t="inlineStr">
        <is>
          <t>Santa Rosa</t>
        </is>
      </c>
      <c r="FP792" t="inlineStr">
        <is>
          <t>C</t>
        </is>
      </c>
      <c r="FS792" s="14" t="inlineStr">
        <is>
          <t>GCBF-47|</t>
        </is>
      </c>
      <c r="FT792" t="inlineStr">
        <is>
          <t>GCBF-47|</t>
        </is>
      </c>
      <c r="FU792" t="inlineStr">
        <is>
          <t>GCBF-47</t>
        </is>
      </c>
      <c r="FV792">
        <f>VLOOKUP(FU792,FD:FL,9,0)</f>
        <v/>
      </c>
    </row>
    <row r="793">
      <c r="FC793" t="inlineStr">
        <is>
          <t>Diccionario 1</t>
        </is>
      </c>
      <c r="FD793" s="15" t="inlineStr"/>
      <c r="FE793" s="17" t="inlineStr">
        <is>
          <t>YV3T7U529LA201471</t>
        </is>
      </c>
      <c r="FF793" s="18" t="n">
        <v>508084</v>
      </c>
      <c r="FG793" s="18" t="inlineStr">
        <is>
          <t>VOLVO</t>
        </is>
      </c>
      <c r="FH793" s="18" t="inlineStr">
        <is>
          <t>B8RLEA</t>
        </is>
      </c>
      <c r="FI793" s="18" t="inlineStr">
        <is>
          <t>MARCOPOLO</t>
        </is>
      </c>
      <c r="FJ793" s="18" t="inlineStr">
        <is>
          <t>GRAN VIALE</t>
        </is>
      </c>
      <c r="FK793" s="18" t="n">
        <v>2020</v>
      </c>
      <c r="FL793" s="18" t="inlineStr">
        <is>
          <t>C</t>
        </is>
      </c>
      <c r="FM793" s="18" t="inlineStr">
        <is>
          <t>Santa Rosa</t>
        </is>
      </c>
      <c r="FP793" t="inlineStr">
        <is>
          <t>C</t>
        </is>
      </c>
      <c r="FS793" s="14" t="inlineStr">
        <is>
          <t>LZPV-99|</t>
        </is>
      </c>
      <c r="FT793" t="inlineStr">
        <is>
          <t>LZPV-99|</t>
        </is>
      </c>
      <c r="FU793" t="inlineStr">
        <is>
          <t>LZPV-99</t>
        </is>
      </c>
      <c r="FV793">
        <f>VLOOKUP(FU793,FD:FL,9,0)</f>
        <v/>
      </c>
    </row>
    <row r="794">
      <c r="FC794" t="inlineStr">
        <is>
          <t>Diccionario 1</t>
        </is>
      </c>
      <c r="FD794" s="15" t="inlineStr"/>
      <c r="FE794" s="17" t="inlineStr">
        <is>
          <t>YV3T7U529LA201406</t>
        </is>
      </c>
      <c r="FF794" s="18" t="n">
        <v>507795</v>
      </c>
      <c r="FG794" s="18" t="inlineStr">
        <is>
          <t>VOLVO</t>
        </is>
      </c>
      <c r="FH794" s="18" t="inlineStr">
        <is>
          <t>B8RLEA</t>
        </is>
      </c>
      <c r="FI794" s="18" t="inlineStr">
        <is>
          <t>MARCOPOLO</t>
        </is>
      </c>
      <c r="FJ794" s="18" t="inlineStr">
        <is>
          <t>GRAN VIALE</t>
        </is>
      </c>
      <c r="FK794" s="18" t="n">
        <v>2020</v>
      </c>
      <c r="FL794" s="18" t="inlineStr">
        <is>
          <t>C</t>
        </is>
      </c>
      <c r="FM794" s="18" t="inlineStr">
        <is>
          <t>Santa Rosa</t>
        </is>
      </c>
      <c r="FP794" t="inlineStr">
        <is>
          <t>C</t>
        </is>
      </c>
      <c r="FS794" s="14" t="inlineStr">
        <is>
          <t>LZPG-15|</t>
        </is>
      </c>
      <c r="FT794" t="inlineStr">
        <is>
          <t>LZPG-15|</t>
        </is>
      </c>
      <c r="FU794" t="inlineStr">
        <is>
          <t>LZPG-15</t>
        </is>
      </c>
      <c r="FV794">
        <f>VLOOKUP(FU794,FD:FL,9,0)</f>
        <v/>
      </c>
    </row>
    <row r="795">
      <c r="FC795" t="inlineStr">
        <is>
          <t>Diccionario 1</t>
        </is>
      </c>
      <c r="FD795" s="15" t="inlineStr"/>
      <c r="FE795" s="17" t="inlineStr">
        <is>
          <t>YV3T7U524LA201393</t>
        </is>
      </c>
      <c r="FF795" s="18" t="n">
        <v>507522</v>
      </c>
      <c r="FG795" s="18" t="inlineStr">
        <is>
          <t>VOLVO</t>
        </is>
      </c>
      <c r="FH795" s="18" t="inlineStr">
        <is>
          <t>B8RLEA</t>
        </is>
      </c>
      <c r="FI795" s="18" t="inlineStr">
        <is>
          <t>MARCOPOLO</t>
        </is>
      </c>
      <c r="FJ795" s="18" t="inlineStr">
        <is>
          <t>GRAN VIALE</t>
        </is>
      </c>
      <c r="FK795" s="18" t="n">
        <v>2020</v>
      </c>
      <c r="FL795" s="18" t="inlineStr">
        <is>
          <t>C</t>
        </is>
      </c>
      <c r="FM795" s="18" t="inlineStr">
        <is>
          <t>Santa Rosa</t>
        </is>
      </c>
      <c r="FP795" t="inlineStr">
        <is>
          <t>C</t>
        </is>
      </c>
      <c r="FS795" s="14" t="inlineStr">
        <is>
          <t>LZPS-16|</t>
        </is>
      </c>
      <c r="FT795" t="inlineStr">
        <is>
          <t>LZPS-16|</t>
        </is>
      </c>
      <c r="FU795" t="inlineStr">
        <is>
          <t>LZPS-16</t>
        </is>
      </c>
      <c r="FV795">
        <f>VLOOKUP(FU795,FD:FL,9,0)</f>
        <v/>
      </c>
    </row>
    <row r="796">
      <c r="FC796" t="inlineStr">
        <is>
          <t>Diccionario 1</t>
        </is>
      </c>
      <c r="FD796" s="15" t="inlineStr"/>
      <c r="FE796" s="17" t="inlineStr">
        <is>
          <t>YV3T7U527LA201047</t>
        </is>
      </c>
      <c r="FF796" s="18" t="n">
        <v>506628</v>
      </c>
      <c r="FG796" s="18" t="inlineStr">
        <is>
          <t>VOLVO</t>
        </is>
      </c>
      <c r="FH796" s="18" t="inlineStr">
        <is>
          <t>B8RLEA</t>
        </is>
      </c>
      <c r="FI796" s="18" t="inlineStr">
        <is>
          <t>MARCOPOLO</t>
        </is>
      </c>
      <c r="FJ796" s="18" t="inlineStr">
        <is>
          <t>GRAN VIALE</t>
        </is>
      </c>
      <c r="FK796" s="18" t="n">
        <v>2020</v>
      </c>
      <c r="FL796" s="18" t="inlineStr">
        <is>
          <t>C</t>
        </is>
      </c>
      <c r="FM796" s="18" t="inlineStr">
        <is>
          <t>Recoleta</t>
        </is>
      </c>
      <c r="FP796" t="inlineStr">
        <is>
          <t>C</t>
        </is>
      </c>
      <c r="FS796" s="14" t="inlineStr">
        <is>
          <t>GCBF-43|</t>
        </is>
      </c>
      <c r="FT796" t="inlineStr">
        <is>
          <t>GCBF-43|</t>
        </is>
      </c>
      <c r="FU796" t="inlineStr">
        <is>
          <t>GCBF-43</t>
        </is>
      </c>
      <c r="FV796">
        <f>VLOOKUP(FU796,FD:FL,9,0)</f>
        <v/>
      </c>
    </row>
    <row r="797">
      <c r="FC797" t="inlineStr">
        <is>
          <t>Diccionario 1</t>
        </is>
      </c>
      <c r="FD797" s="15" t="inlineStr"/>
      <c r="FE797" s="17" t="inlineStr">
        <is>
          <t>YV3T7U528LA201347</t>
        </is>
      </c>
      <c r="FF797" s="18" t="n">
        <v>507710</v>
      </c>
      <c r="FG797" s="18" t="inlineStr">
        <is>
          <t>VOLVO</t>
        </is>
      </c>
      <c r="FH797" s="18" t="inlineStr">
        <is>
          <t>B8RLEA</t>
        </is>
      </c>
      <c r="FI797" s="18" t="inlineStr">
        <is>
          <t>MARCOPOLO</t>
        </is>
      </c>
      <c r="FJ797" s="18" t="inlineStr">
        <is>
          <t>GRAN VIALE</t>
        </is>
      </c>
      <c r="FK797" s="18" t="n">
        <v>2020</v>
      </c>
      <c r="FL797" s="18" t="inlineStr">
        <is>
          <t>C</t>
        </is>
      </c>
      <c r="FM797" s="18" t="inlineStr">
        <is>
          <t>Santa Rosa</t>
        </is>
      </c>
      <c r="FP797" t="inlineStr">
        <is>
          <t>C</t>
        </is>
      </c>
      <c r="FS797" s="14" t="inlineStr">
        <is>
          <t>LZPS-23|</t>
        </is>
      </c>
      <c r="FT797" t="inlineStr">
        <is>
          <t>LZPS-23|</t>
        </is>
      </c>
      <c r="FU797" t="inlineStr">
        <is>
          <t>LZPS-23</t>
        </is>
      </c>
      <c r="FV797">
        <f>VLOOKUP(FU797,FD:FL,9,0)</f>
        <v/>
      </c>
    </row>
    <row r="798">
      <c r="FC798" t="inlineStr">
        <is>
          <t>Diccionario 1</t>
        </is>
      </c>
      <c r="FD798" s="15" t="inlineStr"/>
      <c r="FE798" s="17" t="inlineStr">
        <is>
          <t>YV3T7U529LA201390</t>
        </is>
      </c>
      <c r="FF798" s="18" t="n">
        <v>507489</v>
      </c>
      <c r="FG798" s="18" t="inlineStr">
        <is>
          <t>VOLVO</t>
        </is>
      </c>
      <c r="FH798" s="18" t="inlineStr">
        <is>
          <t>B8RLEA</t>
        </is>
      </c>
      <c r="FI798" s="18" t="inlineStr">
        <is>
          <t>MARCOPOLO</t>
        </is>
      </c>
      <c r="FJ798" s="18" t="inlineStr">
        <is>
          <t>GRAN VIALE</t>
        </is>
      </c>
      <c r="FK798" s="18" t="n">
        <v>2020</v>
      </c>
      <c r="FL798" s="18" t="inlineStr">
        <is>
          <t>C</t>
        </is>
      </c>
      <c r="FM798" s="18" t="inlineStr">
        <is>
          <t>Santa Rosa</t>
        </is>
      </c>
      <c r="FP798" t="inlineStr">
        <is>
          <t>C</t>
        </is>
      </c>
      <c r="FS798" s="14" t="inlineStr">
        <is>
          <t>LZPW-20|</t>
        </is>
      </c>
      <c r="FT798" t="inlineStr">
        <is>
          <t>LZPW-20|</t>
        </is>
      </c>
      <c r="FU798" t="inlineStr">
        <is>
          <t>LZPW-20</t>
        </is>
      </c>
      <c r="FV798">
        <f>VLOOKUP(FU798,FD:FL,9,0)</f>
        <v/>
      </c>
    </row>
    <row r="799">
      <c r="FC799" t="inlineStr">
        <is>
          <t>Diccionario 1</t>
        </is>
      </c>
      <c r="FD799" s="15" t="inlineStr"/>
      <c r="FE799" s="17" t="inlineStr">
        <is>
          <t>YV3T7U520LA201407</t>
        </is>
      </c>
      <c r="FF799" s="18" t="n">
        <v>507762</v>
      </c>
      <c r="FG799" s="18" t="inlineStr">
        <is>
          <t>VOLVO</t>
        </is>
      </c>
      <c r="FH799" s="18" t="inlineStr">
        <is>
          <t>B8RLEA</t>
        </is>
      </c>
      <c r="FI799" s="18" t="inlineStr">
        <is>
          <t>MARCOPOLO</t>
        </is>
      </c>
      <c r="FJ799" s="18" t="inlineStr">
        <is>
          <t>GRAN VIALE</t>
        </is>
      </c>
      <c r="FK799" s="18" t="n">
        <v>2020</v>
      </c>
      <c r="FL799" s="18" t="inlineStr">
        <is>
          <t>C</t>
        </is>
      </c>
      <c r="FM799" s="18" t="inlineStr">
        <is>
          <t>Santa Rosa</t>
        </is>
      </c>
      <c r="FP799" t="inlineStr">
        <is>
          <t>C</t>
        </is>
      </c>
      <c r="FS799" s="14" t="inlineStr">
        <is>
          <t>LXWT-96|</t>
        </is>
      </c>
      <c r="FT799" t="inlineStr">
        <is>
          <t>LXWT-96|</t>
        </is>
      </c>
      <c r="FU799" t="inlineStr">
        <is>
          <t>LXWT-96</t>
        </is>
      </c>
      <c r="FV799">
        <f>VLOOKUP(FU799,FD:FL,9,0)</f>
        <v/>
      </c>
    </row>
    <row r="800">
      <c r="FC800" t="inlineStr">
        <is>
          <t>Diccionario 1</t>
        </is>
      </c>
      <c r="FD800" s="15" t="inlineStr"/>
      <c r="FE800" s="17" t="inlineStr">
        <is>
          <t>YV3T7U523LA201496</t>
        </is>
      </c>
      <c r="FF800" s="18" t="n">
        <v>507817</v>
      </c>
      <c r="FG800" s="18" t="inlineStr">
        <is>
          <t>VOLVO</t>
        </is>
      </c>
      <c r="FH800" s="18" t="inlineStr">
        <is>
          <t>B8RLEA</t>
        </is>
      </c>
      <c r="FI800" s="18" t="inlineStr">
        <is>
          <t>MARCOPOLO</t>
        </is>
      </c>
      <c r="FJ800" s="18" t="inlineStr">
        <is>
          <t>GRAN VIALE</t>
        </is>
      </c>
      <c r="FK800" s="18" t="n">
        <v>2020</v>
      </c>
      <c r="FL800" s="18" t="inlineStr">
        <is>
          <t>C</t>
        </is>
      </c>
      <c r="FM800" s="18" t="inlineStr">
        <is>
          <t>Santa Rosa</t>
        </is>
      </c>
      <c r="FP800" t="inlineStr">
        <is>
          <t>C</t>
        </is>
      </c>
      <c r="FS800" s="14" t="inlineStr">
        <is>
          <t>LZPS-10|</t>
        </is>
      </c>
      <c r="FT800" t="inlineStr">
        <is>
          <t>LZPS-10|</t>
        </is>
      </c>
      <c r="FU800" t="inlineStr">
        <is>
          <t>LZPS-10</t>
        </is>
      </c>
      <c r="FV800">
        <f>VLOOKUP(FU800,FD:FL,9,0)</f>
        <v/>
      </c>
    </row>
    <row r="801">
      <c r="FC801" t="inlineStr">
        <is>
          <t>Diccionario 1</t>
        </is>
      </c>
      <c r="FD801" s="15" t="inlineStr"/>
      <c r="FE801" s="17" t="inlineStr">
        <is>
          <t>YV3T7U526LA201816</t>
        </is>
      </c>
      <c r="FF801" s="18" t="n">
        <v>509236</v>
      </c>
      <c r="FG801" s="18" t="inlineStr">
        <is>
          <t>VOLVO</t>
        </is>
      </c>
      <c r="FH801" s="18" t="inlineStr">
        <is>
          <t>B8RLEA</t>
        </is>
      </c>
      <c r="FI801" s="18" t="inlineStr">
        <is>
          <t>MARCOPOLO</t>
        </is>
      </c>
      <c r="FJ801" s="18" t="inlineStr">
        <is>
          <t>GRAN VIALE</t>
        </is>
      </c>
      <c r="FK801" s="18" t="n">
        <v>2020</v>
      </c>
      <c r="FL801" s="18" t="inlineStr">
        <is>
          <t>C</t>
        </is>
      </c>
      <c r="FM801" s="18" t="inlineStr">
        <is>
          <t>Santa Rosa</t>
        </is>
      </c>
      <c r="FP801" t="inlineStr">
        <is>
          <t>C</t>
        </is>
      </c>
      <c r="FS801" s="14" t="inlineStr">
        <is>
          <t>LZPR-97|</t>
        </is>
      </c>
      <c r="FT801" t="inlineStr">
        <is>
          <t>LZPR-97|</t>
        </is>
      </c>
      <c r="FU801" t="inlineStr">
        <is>
          <t>LZPR-97</t>
        </is>
      </c>
      <c r="FV801">
        <f>VLOOKUP(FU801,FD:FL,9,0)</f>
        <v/>
      </c>
    </row>
    <row r="802">
      <c r="FC802" t="inlineStr">
        <is>
          <t>Diccionario 1</t>
        </is>
      </c>
      <c r="FD802" s="15" t="inlineStr"/>
      <c r="FE802" s="17" t="inlineStr">
        <is>
          <t>YV3T7U528LA201154</t>
        </is>
      </c>
      <c r="FF802" s="18" t="n">
        <v>507070</v>
      </c>
      <c r="FG802" s="18" t="inlineStr">
        <is>
          <t>VOLVO</t>
        </is>
      </c>
      <c r="FH802" s="18" t="inlineStr">
        <is>
          <t>B8RLEA</t>
        </is>
      </c>
      <c r="FI802" s="18" t="inlineStr">
        <is>
          <t>MARCOPOLO</t>
        </is>
      </c>
      <c r="FJ802" s="18" t="inlineStr">
        <is>
          <t>GRAN VIALE</t>
        </is>
      </c>
      <c r="FK802" s="18" t="n">
        <v>2020</v>
      </c>
      <c r="FL802" s="18" t="inlineStr">
        <is>
          <t>C</t>
        </is>
      </c>
      <c r="FM802" s="18" t="inlineStr">
        <is>
          <t>Recoleta</t>
        </is>
      </c>
      <c r="FP802" t="inlineStr">
        <is>
          <t>C</t>
        </is>
      </c>
      <c r="FS802" s="14" t="inlineStr">
        <is>
          <t>LXWT-95|</t>
        </is>
      </c>
      <c r="FT802" t="inlineStr">
        <is>
          <t>LXWT-95|</t>
        </is>
      </c>
      <c r="FU802" t="inlineStr">
        <is>
          <t>LXWT-95</t>
        </is>
      </c>
      <c r="FV802">
        <f>VLOOKUP(FU802,FD:FL,9,0)</f>
        <v/>
      </c>
    </row>
    <row r="803">
      <c r="FC803" t="inlineStr">
        <is>
          <t>Diccionario 1</t>
        </is>
      </c>
      <c r="FD803" s="15" t="inlineStr"/>
      <c r="FE803" s="17" t="inlineStr">
        <is>
          <t>YV3T7U521LA201318</t>
        </is>
      </c>
      <c r="FF803" s="18" t="n">
        <v>507658</v>
      </c>
      <c r="FG803" s="18" t="inlineStr">
        <is>
          <t>VOLVO</t>
        </is>
      </c>
      <c r="FH803" s="18" t="inlineStr">
        <is>
          <t>B8RLEA</t>
        </is>
      </c>
      <c r="FI803" s="18" t="inlineStr">
        <is>
          <t>MARCOPOLO</t>
        </is>
      </c>
      <c r="FJ803" s="18" t="inlineStr">
        <is>
          <t>GRAN VIALE</t>
        </is>
      </c>
      <c r="FK803" s="18" t="n">
        <v>2020</v>
      </c>
      <c r="FL803" s="18" t="inlineStr">
        <is>
          <t>C</t>
        </is>
      </c>
      <c r="FM803" s="18" t="inlineStr">
        <is>
          <t>Santa Rosa</t>
        </is>
      </c>
      <c r="FP803" t="inlineStr">
        <is>
          <t>C</t>
        </is>
      </c>
      <c r="FS803" s="14" t="inlineStr">
        <is>
          <t>LZPT-77|</t>
        </is>
      </c>
      <c r="FT803" t="inlineStr">
        <is>
          <t>LZPT-77|</t>
        </is>
      </c>
      <c r="FU803" t="inlineStr">
        <is>
          <t>LZPT-77</t>
        </is>
      </c>
      <c r="FV803">
        <f>VLOOKUP(FU803,FD:FL,9,0)</f>
        <v/>
      </c>
    </row>
    <row r="804">
      <c r="FC804" t="inlineStr">
        <is>
          <t>Diccionario 1</t>
        </is>
      </c>
      <c r="FD804" s="15" t="inlineStr"/>
      <c r="FE804" s="17" t="inlineStr">
        <is>
          <t>YV3T7U523LA201319</t>
        </is>
      </c>
      <c r="FF804" s="18" t="n">
        <v>507679</v>
      </c>
      <c r="FG804" s="18" t="inlineStr">
        <is>
          <t>VOLVO</t>
        </is>
      </c>
      <c r="FH804" s="18" t="inlineStr">
        <is>
          <t>B8RLEA</t>
        </is>
      </c>
      <c r="FI804" s="18" t="inlineStr">
        <is>
          <t>MARCOPOLO</t>
        </is>
      </c>
      <c r="FJ804" s="18" t="inlineStr">
        <is>
          <t>GRAN VIALE</t>
        </is>
      </c>
      <c r="FK804" s="18" t="n">
        <v>2020</v>
      </c>
      <c r="FL804" s="18" t="inlineStr">
        <is>
          <t>C</t>
        </is>
      </c>
      <c r="FM804" s="18" t="inlineStr">
        <is>
          <t>Santa Rosa</t>
        </is>
      </c>
      <c r="FP804" t="inlineStr">
        <is>
          <t>C</t>
        </is>
      </c>
      <c r="FS804" s="14" t="inlineStr">
        <is>
          <t>LZPT-62|</t>
        </is>
      </c>
      <c r="FT804" t="inlineStr">
        <is>
          <t>LZPT-62|</t>
        </is>
      </c>
      <c r="FU804" t="inlineStr">
        <is>
          <t>LZPT-62</t>
        </is>
      </c>
      <c r="FV804">
        <f>VLOOKUP(FU804,FD:FL,9,0)</f>
        <v/>
      </c>
    </row>
    <row r="805">
      <c r="FC805" t="inlineStr">
        <is>
          <t>Diccionario 1</t>
        </is>
      </c>
      <c r="FD805" s="15" t="inlineStr"/>
      <c r="FE805" s="17" t="inlineStr">
        <is>
          <t>YV3T7U521LA201321</t>
        </is>
      </c>
      <c r="FF805" s="18" t="n">
        <v>507655</v>
      </c>
      <c r="FG805" s="18" t="inlineStr">
        <is>
          <t>VOLVO</t>
        </is>
      </c>
      <c r="FH805" s="18" t="inlineStr">
        <is>
          <t>B8RLEA</t>
        </is>
      </c>
      <c r="FI805" s="18" t="inlineStr">
        <is>
          <t>MARCOPOLO</t>
        </is>
      </c>
      <c r="FJ805" s="18" t="inlineStr">
        <is>
          <t>GRAN VIALE</t>
        </is>
      </c>
      <c r="FK805" s="18" t="n">
        <v>2020</v>
      </c>
      <c r="FL805" s="18" t="inlineStr">
        <is>
          <t>C</t>
        </is>
      </c>
      <c r="FM805" s="18" t="inlineStr">
        <is>
          <t>Santa Rosa</t>
        </is>
      </c>
      <c r="FP805" t="inlineStr">
        <is>
          <t>C</t>
        </is>
      </c>
      <c r="FS805" s="14" t="inlineStr">
        <is>
          <t>LXWT-85|</t>
        </is>
      </c>
      <c r="FT805" t="inlineStr">
        <is>
          <t>LXWT-85|</t>
        </is>
      </c>
      <c r="FU805" t="inlineStr">
        <is>
          <t>LXWT-85</t>
        </is>
      </c>
      <c r="FV805">
        <f>VLOOKUP(FU805,FD:FL,9,0)</f>
        <v/>
      </c>
    </row>
    <row r="806">
      <c r="FC806" t="inlineStr">
        <is>
          <t>Diccionario 1</t>
        </is>
      </c>
      <c r="FD806" s="15" t="inlineStr"/>
      <c r="FE806" s="17" t="inlineStr">
        <is>
          <t>YV3T7U52XLA201348</t>
        </is>
      </c>
      <c r="FF806" s="18" t="n">
        <v>507719</v>
      </c>
      <c r="FG806" s="18" t="inlineStr">
        <is>
          <t>VOLVO</t>
        </is>
      </c>
      <c r="FH806" s="18" t="inlineStr">
        <is>
          <t>B8RLEA</t>
        </is>
      </c>
      <c r="FI806" s="18" t="inlineStr">
        <is>
          <t>MARCOPOLO</t>
        </is>
      </c>
      <c r="FJ806" s="18" t="inlineStr">
        <is>
          <t>GRAN VIALE</t>
        </is>
      </c>
      <c r="FK806" s="18" t="n">
        <v>2020</v>
      </c>
      <c r="FL806" s="18" t="inlineStr">
        <is>
          <t>C</t>
        </is>
      </c>
      <c r="FM806" s="18" t="inlineStr">
        <is>
          <t>Santa Rosa</t>
        </is>
      </c>
      <c r="FP806" t="inlineStr">
        <is>
          <t>C</t>
        </is>
      </c>
      <c r="FS806" s="14" t="inlineStr">
        <is>
          <t>9951 / TBZB-24|</t>
        </is>
      </c>
      <c r="FT806" t="inlineStr">
        <is>
          <t>TBZB-24|</t>
        </is>
      </c>
      <c r="FU806" t="inlineStr">
        <is>
          <t>TBZB-24</t>
        </is>
      </c>
      <c r="FV806">
        <f>VLOOKUP(FU806,FD:FL,9,0)</f>
        <v/>
      </c>
    </row>
    <row r="807">
      <c r="FC807" t="inlineStr">
        <is>
          <t>Diccionario 1</t>
        </is>
      </c>
      <c r="FD807" s="15" t="inlineStr"/>
      <c r="FE807" s="17" t="inlineStr">
        <is>
          <t>YV3T7U527LA201405</t>
        </is>
      </c>
      <c r="FF807" s="18" t="n">
        <v>507775</v>
      </c>
      <c r="FG807" s="18" t="inlineStr">
        <is>
          <t>VOLVO</t>
        </is>
      </c>
      <c r="FH807" s="18" t="inlineStr">
        <is>
          <t>B8RLEA</t>
        </is>
      </c>
      <c r="FI807" s="18" t="inlineStr">
        <is>
          <t>MARCOPOLO</t>
        </is>
      </c>
      <c r="FJ807" s="18" t="inlineStr">
        <is>
          <t>GRAN VIALE</t>
        </is>
      </c>
      <c r="FK807" s="18" t="n">
        <v>2020</v>
      </c>
      <c r="FL807" s="18" t="inlineStr">
        <is>
          <t>C</t>
        </is>
      </c>
      <c r="FM807" s="18" t="inlineStr">
        <is>
          <t>Santa Rosa</t>
        </is>
      </c>
      <c r="FP807" t="inlineStr">
        <is>
          <t>C</t>
        </is>
      </c>
      <c r="FS807" s="14" t="inlineStr">
        <is>
          <t>LZPS-11|</t>
        </is>
      </c>
      <c r="FT807" t="inlineStr">
        <is>
          <t>LZPS-11|</t>
        </is>
      </c>
      <c r="FU807" t="inlineStr">
        <is>
          <t>LZPS-11</t>
        </is>
      </c>
      <c r="FV807">
        <f>VLOOKUP(FU807,FD:FL,9,0)</f>
        <v/>
      </c>
    </row>
    <row r="808">
      <c r="FC808" t="inlineStr">
        <is>
          <t>Diccionario 1</t>
        </is>
      </c>
      <c r="FD808" s="15" t="inlineStr"/>
      <c r="FE808" s="17" t="inlineStr">
        <is>
          <t>YV3T7U521LA198727</t>
        </is>
      </c>
      <c r="FF808" s="18" t="n">
        <v>508214</v>
      </c>
      <c r="FG808" s="18" t="inlineStr">
        <is>
          <t>VOLVO</t>
        </is>
      </c>
      <c r="FH808" s="18" t="inlineStr">
        <is>
          <t>B8RLEA</t>
        </is>
      </c>
      <c r="FI808" s="18" t="inlineStr">
        <is>
          <t>MARCOPOLO</t>
        </is>
      </c>
      <c r="FJ808" s="18" t="inlineStr">
        <is>
          <t>GRAN VIALE</t>
        </is>
      </c>
      <c r="FK808" s="18" t="n">
        <v>2020</v>
      </c>
      <c r="FL808" s="18" t="inlineStr">
        <is>
          <t>C</t>
        </is>
      </c>
      <c r="FM808" s="18" t="inlineStr">
        <is>
          <t>Santa Rosa</t>
        </is>
      </c>
      <c r="FP808" t="inlineStr">
        <is>
          <t>C</t>
        </is>
      </c>
      <c r="FS808" s="14" t="inlineStr">
        <is>
          <t>LZPS-17|</t>
        </is>
      </c>
      <c r="FT808" t="inlineStr">
        <is>
          <t>LZPS-17|</t>
        </is>
      </c>
      <c r="FU808" t="inlineStr">
        <is>
          <t>LZPS-17</t>
        </is>
      </c>
      <c r="FV808">
        <f>VLOOKUP(FU808,FD:FL,9,0)</f>
        <v/>
      </c>
    </row>
    <row r="809">
      <c r="FC809" t="inlineStr">
        <is>
          <t>Diccionario 1</t>
        </is>
      </c>
      <c r="FD809" s="15" t="inlineStr"/>
      <c r="FE809" s="17" t="inlineStr">
        <is>
          <t>YV3T7U528LA201669</t>
        </is>
      </c>
      <c r="FF809" s="18" t="n">
        <v>508621</v>
      </c>
      <c r="FG809" s="18" t="inlineStr">
        <is>
          <t>VOLVO</t>
        </is>
      </c>
      <c r="FH809" s="18" t="inlineStr">
        <is>
          <t>B8RLEA</t>
        </is>
      </c>
      <c r="FI809" s="18" t="inlineStr">
        <is>
          <t>MARCOPOLO</t>
        </is>
      </c>
      <c r="FJ809" s="18" t="inlineStr">
        <is>
          <t>GRAN VIALE</t>
        </is>
      </c>
      <c r="FK809" s="18" t="n">
        <v>2020</v>
      </c>
      <c r="FL809" s="18" t="inlineStr">
        <is>
          <t>C</t>
        </is>
      </c>
      <c r="FM809" s="18" t="inlineStr">
        <is>
          <t>Santa Rosa</t>
        </is>
      </c>
      <c r="FP809" t="inlineStr">
        <is>
          <t>C</t>
        </is>
      </c>
      <c r="FS809" s="14" t="inlineStr">
        <is>
          <t>LZPT-59|</t>
        </is>
      </c>
      <c r="FT809" t="inlineStr">
        <is>
          <t>LZPT-59|</t>
        </is>
      </c>
      <c r="FU809" t="inlineStr">
        <is>
          <t>LZPT-59</t>
        </is>
      </c>
      <c r="FV809">
        <f>VLOOKUP(FU809,FD:FL,9,0)</f>
        <v/>
      </c>
    </row>
    <row r="810">
      <c r="FC810" t="inlineStr">
        <is>
          <t>Diccionario 1</t>
        </is>
      </c>
      <c r="FD810" s="15" t="inlineStr"/>
      <c r="FE810" s="17" t="inlineStr">
        <is>
          <t>YV3T7U520LA201391</t>
        </is>
      </c>
      <c r="FF810" s="18" t="n">
        <v>507509</v>
      </c>
      <c r="FG810" s="18" t="inlineStr">
        <is>
          <t>VOLVO</t>
        </is>
      </c>
      <c r="FH810" s="18" t="inlineStr">
        <is>
          <t>B8RLEA</t>
        </is>
      </c>
      <c r="FI810" s="18" t="inlineStr">
        <is>
          <t>MARCOPOLO</t>
        </is>
      </c>
      <c r="FJ810" s="18" t="inlineStr">
        <is>
          <t>GRAN VIALE</t>
        </is>
      </c>
      <c r="FK810" s="18" t="n">
        <v>2020</v>
      </c>
      <c r="FL810" s="18" t="inlineStr">
        <is>
          <t>C</t>
        </is>
      </c>
      <c r="FM810" s="18" t="inlineStr">
        <is>
          <t>Santa Rosa</t>
        </is>
      </c>
      <c r="FP810" t="inlineStr">
        <is>
          <t>C</t>
        </is>
      </c>
      <c r="FS810" s="14" t="inlineStr">
        <is>
          <t>LZPS-25|</t>
        </is>
      </c>
      <c r="FT810" t="inlineStr">
        <is>
          <t>LZPS-25|</t>
        </is>
      </c>
      <c r="FU810" t="inlineStr">
        <is>
          <t>LZPS-25</t>
        </is>
      </c>
      <c r="FV810">
        <f>VLOOKUP(FU810,FD:FL,9,0)</f>
        <v/>
      </c>
    </row>
    <row r="811">
      <c r="FC811" t="inlineStr">
        <is>
          <t>Diccionario 1</t>
        </is>
      </c>
      <c r="FD811" s="15" t="inlineStr"/>
      <c r="FE811" s="17" t="inlineStr">
        <is>
          <t>YV3T7U520LA201097</t>
        </is>
      </c>
      <c r="FF811" s="18" t="n">
        <v>507017</v>
      </c>
      <c r="FG811" s="18" t="inlineStr">
        <is>
          <t>VOLVO</t>
        </is>
      </c>
      <c r="FH811" s="18" t="inlineStr">
        <is>
          <t>B8RLEA</t>
        </is>
      </c>
      <c r="FI811" s="18" t="inlineStr">
        <is>
          <t>MARCOPOLO</t>
        </is>
      </c>
      <c r="FJ811" s="18" t="inlineStr">
        <is>
          <t>GRAN VIALE</t>
        </is>
      </c>
      <c r="FK811" s="18" t="n">
        <v>2020</v>
      </c>
      <c r="FL811" s="18" t="inlineStr">
        <is>
          <t>C</t>
        </is>
      </c>
      <c r="FM811" s="18" t="inlineStr">
        <is>
          <t>Recoleta</t>
        </is>
      </c>
      <c r="FP811" t="inlineStr">
        <is>
          <t>C</t>
        </is>
      </c>
      <c r="FS811" s="14" t="inlineStr">
        <is>
          <t>LZPG-27|</t>
        </is>
      </c>
      <c r="FT811" t="inlineStr">
        <is>
          <t>LZPG-27|</t>
        </is>
      </c>
      <c r="FU811" t="inlineStr">
        <is>
          <t>LZPG-27</t>
        </is>
      </c>
      <c r="FV811">
        <f>VLOOKUP(FU811,FD:FL,9,0)</f>
        <v/>
      </c>
    </row>
    <row r="812">
      <c r="FC812" t="inlineStr">
        <is>
          <t>Diccionario 1</t>
        </is>
      </c>
      <c r="FD812" s="15" t="inlineStr"/>
      <c r="FE812" s="17" t="inlineStr">
        <is>
          <t>YV3T7U528LA201476</t>
        </is>
      </c>
      <c r="FF812" s="18" t="n">
        <v>507871</v>
      </c>
      <c r="FG812" s="18" t="inlineStr">
        <is>
          <t>VOLVO</t>
        </is>
      </c>
      <c r="FH812" s="18" t="inlineStr">
        <is>
          <t>B8RLEA</t>
        </is>
      </c>
      <c r="FI812" s="18" t="inlineStr">
        <is>
          <t>MARCOPOLO</t>
        </is>
      </c>
      <c r="FJ812" s="18" t="inlineStr">
        <is>
          <t>GRAN VIALE</t>
        </is>
      </c>
      <c r="FK812" s="18" t="n">
        <v>2020</v>
      </c>
      <c r="FL812" s="18" t="inlineStr">
        <is>
          <t>C</t>
        </is>
      </c>
      <c r="FM812" s="18" t="inlineStr">
        <is>
          <t>Santa Rosa</t>
        </is>
      </c>
      <c r="FP812" t="inlineStr">
        <is>
          <t>C</t>
        </is>
      </c>
      <c r="FS812" s="14" t="inlineStr">
        <is>
          <t>LZPR-93|</t>
        </is>
      </c>
      <c r="FT812" t="inlineStr">
        <is>
          <t>LZPR-93|</t>
        </is>
      </c>
      <c r="FU812" t="inlineStr">
        <is>
          <t>LZPR-93</t>
        </is>
      </c>
      <c r="FV812">
        <f>VLOOKUP(FU812,FD:FL,9,0)</f>
        <v/>
      </c>
    </row>
    <row r="813">
      <c r="FC813" t="inlineStr">
        <is>
          <t>Diccionario 1</t>
        </is>
      </c>
      <c r="FD813" s="15" t="inlineStr"/>
      <c r="FE813" s="17" t="inlineStr">
        <is>
          <t>YV3T7U524LA201815</t>
        </is>
      </c>
      <c r="FF813" s="18" t="n">
        <v>509217</v>
      </c>
      <c r="FG813" s="18" t="inlineStr">
        <is>
          <t>VOLVO</t>
        </is>
      </c>
      <c r="FH813" s="18" t="inlineStr">
        <is>
          <t>B8RLEA</t>
        </is>
      </c>
      <c r="FI813" s="18" t="inlineStr">
        <is>
          <t>MARCOPOLO</t>
        </is>
      </c>
      <c r="FJ813" s="18" t="inlineStr">
        <is>
          <t>GRAN VIALE</t>
        </is>
      </c>
      <c r="FK813" s="18" t="n">
        <v>2020</v>
      </c>
      <c r="FL813" s="18" t="inlineStr">
        <is>
          <t>C</t>
        </is>
      </c>
      <c r="FM813" s="18" t="inlineStr">
        <is>
          <t>Santa Rosa</t>
        </is>
      </c>
      <c r="FP813" t="inlineStr">
        <is>
          <t>C</t>
        </is>
      </c>
      <c r="FS813" s="14" t="inlineStr">
        <is>
          <t>9925 / SXKV-97|</t>
        </is>
      </c>
      <c r="FT813" t="inlineStr">
        <is>
          <t>SXKV-97|</t>
        </is>
      </c>
      <c r="FU813" t="inlineStr">
        <is>
          <t>SXKV-97</t>
        </is>
      </c>
      <c r="FV813">
        <f>VLOOKUP(FU813,FD:FL,9,0)</f>
        <v/>
      </c>
    </row>
    <row r="814">
      <c r="FC814" t="inlineStr">
        <is>
          <t>Diccionario 1</t>
        </is>
      </c>
      <c r="FD814" s="15" t="inlineStr"/>
      <c r="FE814" s="17" t="inlineStr">
        <is>
          <t>YV3T7U522LA201666</t>
        </is>
      </c>
      <c r="FF814" s="18" t="n">
        <v>508593</v>
      </c>
      <c r="FG814" s="18" t="inlineStr">
        <is>
          <t>VOLVO</t>
        </is>
      </c>
      <c r="FH814" s="18" t="inlineStr">
        <is>
          <t>B8RLEA</t>
        </is>
      </c>
      <c r="FI814" s="18" t="inlineStr">
        <is>
          <t>MARCOPOLO</t>
        </is>
      </c>
      <c r="FJ814" s="18" t="inlineStr">
        <is>
          <t>GRAN VIALE</t>
        </is>
      </c>
      <c r="FK814" s="18" t="n">
        <v>2020</v>
      </c>
      <c r="FL814" s="18" t="inlineStr">
        <is>
          <t>C</t>
        </is>
      </c>
      <c r="FM814" s="18" t="inlineStr">
        <is>
          <t>Santa Rosa</t>
        </is>
      </c>
      <c r="FP814" t="inlineStr">
        <is>
          <t>C</t>
        </is>
      </c>
      <c r="FS814" s="14" t="inlineStr">
        <is>
          <t>LZPW-17|</t>
        </is>
      </c>
      <c r="FT814" t="inlineStr">
        <is>
          <t>LZPW-17|</t>
        </is>
      </c>
      <c r="FU814" t="inlineStr">
        <is>
          <t>LZPW-17</t>
        </is>
      </c>
      <c r="FV814">
        <f>VLOOKUP(FU814,FD:FL,9,0)</f>
        <v/>
      </c>
    </row>
    <row r="815">
      <c r="FC815" t="inlineStr">
        <is>
          <t>Diccionario 1</t>
        </is>
      </c>
      <c r="FD815" s="15" t="inlineStr"/>
      <c r="FE815" s="17" t="inlineStr">
        <is>
          <t>YV3T7U529LA201924</t>
        </is>
      </c>
      <c r="FF815" s="18" t="n">
        <v>509325</v>
      </c>
      <c r="FG815" s="18" t="inlineStr">
        <is>
          <t>VOLVO</t>
        </is>
      </c>
      <c r="FH815" s="18" t="inlineStr">
        <is>
          <t>B8RLEA</t>
        </is>
      </c>
      <c r="FI815" s="18" t="inlineStr">
        <is>
          <t>MARCOPOLO</t>
        </is>
      </c>
      <c r="FJ815" s="18" t="inlineStr">
        <is>
          <t>GRAN VIALE</t>
        </is>
      </c>
      <c r="FK815" s="18" t="n">
        <v>2020</v>
      </c>
      <c r="FL815" s="18" t="inlineStr">
        <is>
          <t>C</t>
        </is>
      </c>
      <c r="FM815" s="18" t="inlineStr">
        <is>
          <t>Santa Rosa</t>
        </is>
      </c>
      <c r="FP815" t="inlineStr">
        <is>
          <t>C</t>
        </is>
      </c>
      <c r="FS815" s="14" t="inlineStr">
        <is>
          <t>LZPV-98|</t>
        </is>
      </c>
      <c r="FT815" t="inlineStr">
        <is>
          <t>LZPV-98|</t>
        </is>
      </c>
      <c r="FU815" t="inlineStr">
        <is>
          <t>LZPV-98</t>
        </is>
      </c>
      <c r="FV815">
        <f>VLOOKUP(FU815,FD:FL,9,0)</f>
        <v/>
      </c>
    </row>
    <row r="816">
      <c r="FC816" t="inlineStr">
        <is>
          <t>Diccionario 1</t>
        </is>
      </c>
      <c r="FD816" s="15" t="inlineStr"/>
      <c r="FE816" s="17" t="inlineStr">
        <is>
          <t>YV3T7U521LA201903</t>
        </is>
      </c>
      <c r="FF816" s="18" t="n">
        <v>509608</v>
      </c>
      <c r="FG816" s="18" t="inlineStr">
        <is>
          <t>VOLVO</t>
        </is>
      </c>
      <c r="FH816" s="18" t="inlineStr">
        <is>
          <t>B8RLEA</t>
        </is>
      </c>
      <c r="FI816" s="18" t="inlineStr">
        <is>
          <t>MARCOPOLO</t>
        </is>
      </c>
      <c r="FJ816" s="18" t="inlineStr">
        <is>
          <t>GRAN VIALE</t>
        </is>
      </c>
      <c r="FK816" s="18" t="n">
        <v>2020</v>
      </c>
      <c r="FL816" s="18" t="inlineStr">
        <is>
          <t>C</t>
        </is>
      </c>
      <c r="FM816" s="18" t="inlineStr">
        <is>
          <t>Santa Rosa</t>
        </is>
      </c>
      <c r="FP816" t="inlineStr">
        <is>
          <t>C</t>
        </is>
      </c>
      <c r="FS816" s="14" t="inlineStr">
        <is>
          <t>LZPT-49|</t>
        </is>
      </c>
      <c r="FT816" t="inlineStr">
        <is>
          <t>LZPT-49|</t>
        </is>
      </c>
      <c r="FU816" t="inlineStr">
        <is>
          <t>LZPT-49</t>
        </is>
      </c>
      <c r="FV816">
        <f>VLOOKUP(FU816,FD:FL,9,0)</f>
        <v/>
      </c>
    </row>
    <row r="817">
      <c r="FC817" t="inlineStr">
        <is>
          <t>Diccionario 1</t>
        </is>
      </c>
      <c r="FD817" s="15" t="inlineStr"/>
      <c r="FE817" s="17" t="inlineStr">
        <is>
          <t>YV3T7U523LA201921</t>
        </is>
      </c>
      <c r="FF817" s="18" t="n">
        <v>509543</v>
      </c>
      <c r="FG817" s="18" t="inlineStr">
        <is>
          <t>VOLVO</t>
        </is>
      </c>
      <c r="FH817" s="18" t="inlineStr">
        <is>
          <t>B8RLEA</t>
        </is>
      </c>
      <c r="FI817" s="18" t="inlineStr">
        <is>
          <t>MARCOPOLO</t>
        </is>
      </c>
      <c r="FJ817" s="18" t="inlineStr">
        <is>
          <t>GRAN VIALE</t>
        </is>
      </c>
      <c r="FK817" s="18" t="n">
        <v>2020</v>
      </c>
      <c r="FL817" s="18" t="inlineStr">
        <is>
          <t>C</t>
        </is>
      </c>
      <c r="FM817" s="18" t="inlineStr">
        <is>
          <t>Santa Rosa</t>
        </is>
      </c>
      <c r="FP817" t="inlineStr">
        <is>
          <t>C</t>
        </is>
      </c>
      <c r="FS817" s="14" t="inlineStr">
        <is>
          <t>LZPT-67|</t>
        </is>
      </c>
      <c r="FT817" t="inlineStr">
        <is>
          <t>LZPT-67|</t>
        </is>
      </c>
      <c r="FU817" t="inlineStr">
        <is>
          <t>LZPT-67</t>
        </is>
      </c>
      <c r="FV817">
        <f>VLOOKUP(FU817,FD:FL,9,0)</f>
        <v/>
      </c>
    </row>
    <row r="818">
      <c r="FC818" t="inlineStr">
        <is>
          <t>Diccionario 1</t>
        </is>
      </c>
      <c r="FD818" s="15" t="inlineStr"/>
      <c r="FE818" s="17" t="inlineStr">
        <is>
          <t>LVCB4L4DXMM003870</t>
        </is>
      </c>
      <c r="FF818" s="18" t="inlineStr">
        <is>
          <t>M221100546</t>
        </is>
      </c>
      <c r="FG818" s="18" t="inlineStr">
        <is>
          <t>FOTON</t>
        </is>
      </c>
      <c r="FH818" s="18" t="inlineStr">
        <is>
          <t>EBUS U12 SC</t>
        </is>
      </c>
      <c r="FI818" s="18" t="inlineStr">
        <is>
          <t>FOTON</t>
        </is>
      </c>
      <c r="FJ818" s="18" t="inlineStr">
        <is>
          <t>EBUS U12 SC</t>
        </is>
      </c>
      <c r="FK818" s="18" t="n">
        <v>2022</v>
      </c>
      <c r="FL818" s="18" t="inlineStr">
        <is>
          <t>B</t>
        </is>
      </c>
      <c r="FM818" s="18" t="inlineStr">
        <is>
          <t>Ducaud</t>
        </is>
      </c>
      <c r="FP818" t="inlineStr">
        <is>
          <t>B</t>
        </is>
      </c>
      <c r="FS818" s="14" t="inlineStr">
        <is>
          <t>LZPW-10|</t>
        </is>
      </c>
      <c r="FT818" t="inlineStr">
        <is>
          <t>LZPW-10|</t>
        </is>
      </c>
      <c r="FU818" t="inlineStr">
        <is>
          <t>LZPW-10</t>
        </is>
      </c>
      <c r="FV818">
        <f>VLOOKUP(FU818,FD:FL,9,0)</f>
        <v/>
      </c>
    </row>
    <row r="819">
      <c r="FC819" t="inlineStr">
        <is>
          <t>Diccionario 1</t>
        </is>
      </c>
      <c r="FD819" s="15" t="inlineStr"/>
      <c r="FE819" s="17" t="inlineStr">
        <is>
          <t>LVCB4L4D5MM003646</t>
        </is>
      </c>
      <c r="FF819" s="18" t="inlineStr">
        <is>
          <t>M221100541</t>
        </is>
      </c>
      <c r="FG819" s="18" t="inlineStr">
        <is>
          <t>FOTON</t>
        </is>
      </c>
      <c r="FH819" s="18" t="inlineStr">
        <is>
          <t>EBUS U12 SC</t>
        </is>
      </c>
      <c r="FI819" s="18" t="inlineStr">
        <is>
          <t>FOTON</t>
        </is>
      </c>
      <c r="FJ819" s="18" t="inlineStr">
        <is>
          <t>EBUS U12 SC</t>
        </is>
      </c>
      <c r="FK819" s="18" t="n">
        <v>2022</v>
      </c>
      <c r="FL819" s="18" t="inlineStr">
        <is>
          <t>B</t>
        </is>
      </c>
      <c r="FM819" s="18" t="inlineStr">
        <is>
          <t>Ducaud</t>
        </is>
      </c>
      <c r="FP819" t="inlineStr">
        <is>
          <t>B</t>
        </is>
      </c>
      <c r="FS819" s="14" t="inlineStr">
        <is>
          <t>LZPG-15|</t>
        </is>
      </c>
      <c r="FT819" t="inlineStr">
        <is>
          <t>LZPG-15|</t>
        </is>
      </c>
      <c r="FU819" t="inlineStr">
        <is>
          <t>LZPG-15</t>
        </is>
      </c>
      <c r="FV819">
        <f>VLOOKUP(FU819,FD:FL,9,0)</f>
        <v/>
      </c>
    </row>
    <row r="820">
      <c r="FC820" t="inlineStr">
        <is>
          <t>Diccionario 1</t>
        </is>
      </c>
      <c r="FD820" s="15" t="inlineStr"/>
      <c r="FE820" s="17" t="inlineStr">
        <is>
          <t>LVCB4L4D3MM003872</t>
        </is>
      </c>
      <c r="FF820" s="18" t="inlineStr">
        <is>
          <t>M221100304</t>
        </is>
      </c>
      <c r="FG820" s="18" t="inlineStr">
        <is>
          <t>FOTON</t>
        </is>
      </c>
      <c r="FH820" s="18" t="inlineStr">
        <is>
          <t>EBUS U12 SC</t>
        </is>
      </c>
      <c r="FI820" s="18" t="inlineStr">
        <is>
          <t>FOTON</t>
        </is>
      </c>
      <c r="FJ820" s="18" t="inlineStr">
        <is>
          <t>EBUS U12 SC</t>
        </is>
      </c>
      <c r="FK820" s="18" t="n">
        <v>2022</v>
      </c>
      <c r="FL820" s="18" t="inlineStr">
        <is>
          <t>B</t>
        </is>
      </c>
      <c r="FM820" s="18" t="inlineStr">
        <is>
          <t>Santa Rosa</t>
        </is>
      </c>
      <c r="FP820" t="inlineStr">
        <is>
          <t>B</t>
        </is>
      </c>
      <c r="FS820" s="14" t="inlineStr">
        <is>
          <t>LZPG-13</t>
        </is>
      </c>
      <c r="FT820" t="inlineStr">
        <is>
          <t>LZPG-13</t>
        </is>
      </c>
      <c r="FU820" t="inlineStr">
        <is>
          <t>LZPG-13</t>
        </is>
      </c>
      <c r="FV820">
        <f>VLOOKUP(FU820,FD:FL,9,0)</f>
        <v/>
      </c>
    </row>
    <row r="821">
      <c r="FC821" t="inlineStr">
        <is>
          <t>Diccionario 1</t>
        </is>
      </c>
      <c r="FD821" s="15" t="inlineStr"/>
      <c r="FE821" s="17" t="inlineStr">
        <is>
          <t>LVCB4L4D9MM003875</t>
        </is>
      </c>
      <c r="FF821" s="18" t="inlineStr">
        <is>
          <t>M221100438</t>
        </is>
      </c>
      <c r="FG821" s="18" t="inlineStr">
        <is>
          <t>FOTON</t>
        </is>
      </c>
      <c r="FH821" s="18" t="inlineStr">
        <is>
          <t>EBUS U12 SC</t>
        </is>
      </c>
      <c r="FI821" s="18" t="inlineStr">
        <is>
          <t>FOTON</t>
        </is>
      </c>
      <c r="FJ821" s="18" t="inlineStr">
        <is>
          <t>EBUS U12 SC</t>
        </is>
      </c>
      <c r="FK821" s="18" t="n">
        <v>2022</v>
      </c>
      <c r="FL821" s="18" t="inlineStr">
        <is>
          <t>B</t>
        </is>
      </c>
      <c r="FM821" s="18" t="inlineStr">
        <is>
          <t>Santa Rosa</t>
        </is>
      </c>
      <c r="FP821" t="inlineStr">
        <is>
          <t>B</t>
        </is>
      </c>
      <c r="FS821" s="14" t="inlineStr">
        <is>
          <t>LZPV-99</t>
        </is>
      </c>
      <c r="FT821" t="inlineStr">
        <is>
          <t>LZPV-99</t>
        </is>
      </c>
      <c r="FU821" t="inlineStr">
        <is>
          <t>LZPV-99</t>
        </is>
      </c>
      <c r="FV821">
        <f>VLOOKUP(FU821,FD:FL,9,0)</f>
        <v/>
      </c>
    </row>
    <row r="822">
      <c r="FC822" t="inlineStr">
        <is>
          <t>Diccionario 1</t>
        </is>
      </c>
      <c r="FD822" s="15" t="inlineStr"/>
      <c r="FE822" s="17" t="inlineStr">
        <is>
          <t>LVCB4L4D0MM003876</t>
        </is>
      </c>
      <c r="FF822" s="18" t="inlineStr">
        <is>
          <t>M221100544</t>
        </is>
      </c>
      <c r="FG822" s="18" t="inlineStr">
        <is>
          <t>FOTON</t>
        </is>
      </c>
      <c r="FH822" s="18" t="inlineStr">
        <is>
          <t>EBUS U12 SC</t>
        </is>
      </c>
      <c r="FI822" s="18" t="inlineStr">
        <is>
          <t>FOTON</t>
        </is>
      </c>
      <c r="FJ822" s="18" t="inlineStr">
        <is>
          <t>EBUS U12 SC</t>
        </is>
      </c>
      <c r="FK822" s="18" t="n">
        <v>2022</v>
      </c>
      <c r="FL822" s="18" t="inlineStr">
        <is>
          <t>B</t>
        </is>
      </c>
      <c r="FM822" s="18" t="inlineStr">
        <is>
          <t>Santa Rosa</t>
        </is>
      </c>
      <c r="FP822" t="inlineStr">
        <is>
          <t>B</t>
        </is>
      </c>
      <c r="FS822" s="14" t="inlineStr">
        <is>
          <t>LZPG-24|</t>
        </is>
      </c>
      <c r="FT822" t="inlineStr">
        <is>
          <t>LZPG-24|</t>
        </is>
      </c>
      <c r="FU822" t="inlineStr">
        <is>
          <t>LZPG-24</t>
        </is>
      </c>
      <c r="FV822">
        <f>VLOOKUP(FU822,FD:FL,9,0)</f>
        <v/>
      </c>
    </row>
    <row r="823">
      <c r="FC823" t="inlineStr">
        <is>
          <t>Diccionario 1</t>
        </is>
      </c>
      <c r="FD823" s="15" t="inlineStr"/>
      <c r="FE823" s="17" t="inlineStr">
        <is>
          <t>LVCB4L4D2MM003877</t>
        </is>
      </c>
      <c r="FF823" s="18" t="inlineStr">
        <is>
          <t>M221100558</t>
        </is>
      </c>
      <c r="FG823" s="18" t="inlineStr">
        <is>
          <t>FOTON</t>
        </is>
      </c>
      <c r="FH823" s="18" t="inlineStr">
        <is>
          <t>EBUS U12 SC</t>
        </is>
      </c>
      <c r="FI823" s="18" t="inlineStr">
        <is>
          <t>FOTON</t>
        </is>
      </c>
      <c r="FJ823" s="18" t="inlineStr">
        <is>
          <t>EBUS U12 SC</t>
        </is>
      </c>
      <c r="FK823" s="18" t="n">
        <v>2022</v>
      </c>
      <c r="FL823" s="18" t="inlineStr">
        <is>
          <t>B</t>
        </is>
      </c>
      <c r="FM823" s="18" t="inlineStr">
        <is>
          <t>Santa Rosa</t>
        </is>
      </c>
      <c r="FP823" t="inlineStr">
        <is>
          <t>B</t>
        </is>
      </c>
      <c r="FS823" s="14" t="inlineStr">
        <is>
          <t>LZPG-23|</t>
        </is>
      </c>
      <c r="FT823" t="inlineStr">
        <is>
          <t>LZPG-23|</t>
        </is>
      </c>
      <c r="FU823" t="inlineStr">
        <is>
          <t>LZPG-23</t>
        </is>
      </c>
      <c r="FV823">
        <f>VLOOKUP(FU823,FD:FL,9,0)</f>
        <v/>
      </c>
    </row>
    <row r="824">
      <c r="FC824" t="inlineStr">
        <is>
          <t>Diccionario 1</t>
        </is>
      </c>
      <c r="FD824" s="15" t="inlineStr"/>
      <c r="FE824" s="17" t="inlineStr">
        <is>
          <t>LVCB4L4D6MM003879</t>
        </is>
      </c>
      <c r="FF824" s="18" t="inlineStr">
        <is>
          <t>M221110022</t>
        </is>
      </c>
      <c r="FG824" s="18" t="inlineStr">
        <is>
          <t>FOTON</t>
        </is>
      </c>
      <c r="FH824" s="18" t="inlineStr">
        <is>
          <t>EBUS U12 SC</t>
        </is>
      </c>
      <c r="FI824" s="18" t="inlineStr">
        <is>
          <t>FOTON</t>
        </is>
      </c>
      <c r="FJ824" s="18" t="inlineStr">
        <is>
          <t>EBUS U12 SC</t>
        </is>
      </c>
      <c r="FK824" s="18" t="n">
        <v>2022</v>
      </c>
      <c r="FL824" s="18" t="inlineStr">
        <is>
          <t>B</t>
        </is>
      </c>
      <c r="FM824" s="18" t="inlineStr">
        <is>
          <t>Lo Blanco</t>
        </is>
      </c>
      <c r="FP824" t="inlineStr">
        <is>
          <t>B</t>
        </is>
      </c>
      <c r="FS824" s="14" t="inlineStr">
        <is>
          <t>LZRB-84|</t>
        </is>
      </c>
      <c r="FT824" t="inlineStr">
        <is>
          <t>LZRB-84|</t>
        </is>
      </c>
      <c r="FU824" t="inlineStr">
        <is>
          <t>LZRB-84</t>
        </is>
      </c>
      <c r="FV824">
        <f>VLOOKUP(FU824,FD:FL,9,0)</f>
        <v/>
      </c>
    </row>
    <row r="825">
      <c r="FC825" t="inlineStr">
        <is>
          <t>Diccionario 1</t>
        </is>
      </c>
      <c r="FD825" s="15" t="inlineStr"/>
      <c r="FE825" s="17" t="inlineStr">
        <is>
          <t>LVCB4L4D2MM003880</t>
        </is>
      </c>
      <c r="FF825" s="18" t="inlineStr">
        <is>
          <t>M221100408</t>
        </is>
      </c>
      <c r="FG825" s="18" t="inlineStr">
        <is>
          <t>FOTON</t>
        </is>
      </c>
      <c r="FH825" s="18" t="inlineStr">
        <is>
          <t>EBUS U12 SC</t>
        </is>
      </c>
      <c r="FI825" s="18" t="inlineStr">
        <is>
          <t>FOTON</t>
        </is>
      </c>
      <c r="FJ825" s="18" t="inlineStr">
        <is>
          <t>EBUS U12 SC</t>
        </is>
      </c>
      <c r="FK825" s="18" t="n">
        <v>2022</v>
      </c>
      <c r="FL825" s="18" t="inlineStr">
        <is>
          <t>B</t>
        </is>
      </c>
      <c r="FM825" s="18" t="inlineStr">
        <is>
          <t>Santa Rosa</t>
        </is>
      </c>
      <c r="FP825" t="inlineStr">
        <is>
          <t>B</t>
        </is>
      </c>
      <c r="FS825" s="14" t="inlineStr">
        <is>
          <t>LZPR-98|</t>
        </is>
      </c>
      <c r="FT825" t="inlineStr">
        <is>
          <t>LZPR-98|</t>
        </is>
      </c>
      <c r="FU825" t="inlineStr">
        <is>
          <t>LZPR-98</t>
        </is>
      </c>
      <c r="FV825">
        <f>VLOOKUP(FU825,FD:FL,9,0)</f>
        <v/>
      </c>
    </row>
    <row r="826">
      <c r="FC826" t="inlineStr">
        <is>
          <t>Diccionario 1</t>
        </is>
      </c>
      <c r="FD826" s="15" t="inlineStr"/>
      <c r="FE826" s="17" t="inlineStr">
        <is>
          <t>LVCB4L4D4MM003881</t>
        </is>
      </c>
      <c r="FF826" s="18" t="inlineStr">
        <is>
          <t>M221110108</t>
        </is>
      </c>
      <c r="FG826" s="18" t="inlineStr">
        <is>
          <t>FOTON</t>
        </is>
      </c>
      <c r="FH826" s="18" t="inlineStr">
        <is>
          <t>EBUS U12 SC</t>
        </is>
      </c>
      <c r="FI826" s="18" t="inlineStr">
        <is>
          <t>FOTON</t>
        </is>
      </c>
      <c r="FJ826" s="18" t="inlineStr">
        <is>
          <t>EBUS U12 SC</t>
        </is>
      </c>
      <c r="FK826" s="18" t="n">
        <v>2022</v>
      </c>
      <c r="FL826" s="18" t="inlineStr">
        <is>
          <t>B</t>
        </is>
      </c>
      <c r="FM826" s="18" t="inlineStr">
        <is>
          <t>Santa Rosa</t>
        </is>
      </c>
      <c r="FP826" t="inlineStr">
        <is>
          <t>B</t>
        </is>
      </c>
      <c r="FS826" s="14" t="inlineStr">
        <is>
          <t>GCBF-49|</t>
        </is>
      </c>
      <c r="FT826" t="inlineStr">
        <is>
          <t>GCBF-49|</t>
        </is>
      </c>
      <c r="FU826" t="inlineStr">
        <is>
          <t>GCBF-49</t>
        </is>
      </c>
      <c r="FV826">
        <f>VLOOKUP(FU826,FD:FL,9,0)</f>
        <v/>
      </c>
    </row>
    <row r="827">
      <c r="FC827" t="inlineStr">
        <is>
          <t>Diccionario 1</t>
        </is>
      </c>
      <c r="FD827" s="15" t="inlineStr"/>
      <c r="FE827" s="17" t="inlineStr">
        <is>
          <t>LVCB4L4D6MM003882</t>
        </is>
      </c>
      <c r="FF827" s="18" t="inlineStr">
        <is>
          <t>M221100437</t>
        </is>
      </c>
      <c r="FG827" s="18" t="inlineStr">
        <is>
          <t>FOTON</t>
        </is>
      </c>
      <c r="FH827" s="18" t="inlineStr">
        <is>
          <t>EBUS U12 SC</t>
        </is>
      </c>
      <c r="FI827" s="18" t="inlineStr">
        <is>
          <t>FOTON</t>
        </is>
      </c>
      <c r="FJ827" s="18" t="inlineStr">
        <is>
          <t>EBUS U12 SC</t>
        </is>
      </c>
      <c r="FK827" s="18" t="n">
        <v>2022</v>
      </c>
      <c r="FL827" s="18" t="inlineStr">
        <is>
          <t>B</t>
        </is>
      </c>
      <c r="FM827" s="18" t="inlineStr">
        <is>
          <t>Santa Rosa</t>
        </is>
      </c>
      <c r="FP827" t="inlineStr">
        <is>
          <t>B</t>
        </is>
      </c>
      <c r="FS827" s="14" t="inlineStr">
        <is>
          <t>LZPT-61|</t>
        </is>
      </c>
      <c r="FT827" t="inlineStr">
        <is>
          <t>LZPT-61|</t>
        </is>
      </c>
      <c r="FU827" t="inlineStr">
        <is>
          <t>LZPT-61</t>
        </is>
      </c>
      <c r="FV827">
        <f>VLOOKUP(FU827,FD:FL,9,0)</f>
        <v/>
      </c>
    </row>
    <row r="828">
      <c r="FC828" t="inlineStr">
        <is>
          <t>Diccionario 1</t>
        </is>
      </c>
      <c r="FD828" s="15" t="inlineStr"/>
      <c r="FE828" s="17" t="inlineStr">
        <is>
          <t>LVCB4L4D8MM003883</t>
        </is>
      </c>
      <c r="FF828" s="18" t="inlineStr">
        <is>
          <t>M221100477</t>
        </is>
      </c>
      <c r="FG828" s="18" t="inlineStr">
        <is>
          <t>FOTON</t>
        </is>
      </c>
      <c r="FH828" s="18" t="inlineStr">
        <is>
          <t>EBUS U12 SC</t>
        </is>
      </c>
      <c r="FI828" s="18" t="inlineStr">
        <is>
          <t>FOTON</t>
        </is>
      </c>
      <c r="FJ828" s="18" t="inlineStr">
        <is>
          <t>EBUS U12 SC</t>
        </is>
      </c>
      <c r="FK828" s="18" t="n">
        <v>2022</v>
      </c>
      <c r="FL828" s="18" t="inlineStr">
        <is>
          <t>B</t>
        </is>
      </c>
      <c r="FM828" s="18" t="inlineStr">
        <is>
          <t>Santa Rosa</t>
        </is>
      </c>
      <c r="FP828" t="inlineStr">
        <is>
          <t>B</t>
        </is>
      </c>
      <c r="FS828" s="14" t="inlineStr">
        <is>
          <t>LXWT-99|</t>
        </is>
      </c>
      <c r="FT828" t="inlineStr">
        <is>
          <t>LXWT-99|</t>
        </is>
      </c>
      <c r="FU828" t="inlineStr">
        <is>
          <t>LXWT-99</t>
        </is>
      </c>
      <c r="FV828">
        <f>VLOOKUP(FU828,FD:FL,9,0)</f>
        <v/>
      </c>
    </row>
    <row r="829">
      <c r="FC829" t="inlineStr">
        <is>
          <t>Diccionario 1</t>
        </is>
      </c>
      <c r="FD829" s="15" t="inlineStr"/>
      <c r="FE829" s="17" t="inlineStr">
        <is>
          <t>LVCB4L4D1MM003885</t>
        </is>
      </c>
      <c r="FF829" s="18" t="inlineStr">
        <is>
          <t>M221100475</t>
        </is>
      </c>
      <c r="FG829" s="18" t="inlineStr">
        <is>
          <t>FOTON</t>
        </is>
      </c>
      <c r="FH829" s="18" t="inlineStr">
        <is>
          <t>EBUS U12 SC</t>
        </is>
      </c>
      <c r="FI829" s="18" t="inlineStr">
        <is>
          <t>FOTON</t>
        </is>
      </c>
      <c r="FJ829" s="18" t="inlineStr">
        <is>
          <t>EBUS U12 SC</t>
        </is>
      </c>
      <c r="FK829" s="18" t="n">
        <v>2022</v>
      </c>
      <c r="FL829" s="18" t="inlineStr">
        <is>
          <t>B</t>
        </is>
      </c>
      <c r="FM829" s="18" t="inlineStr">
        <is>
          <t>Santa Rosa</t>
        </is>
      </c>
      <c r="FP829" t="inlineStr">
        <is>
          <t>B</t>
        </is>
      </c>
      <c r="FS829" s="14" t="inlineStr">
        <is>
          <t>3020 / SFWZ-20|</t>
        </is>
      </c>
      <c r="FT829" t="inlineStr">
        <is>
          <t>SFWZ-20|</t>
        </is>
      </c>
      <c r="FU829" t="inlineStr">
        <is>
          <t>SFWZ-20</t>
        </is>
      </c>
      <c r="FV829">
        <f>VLOOKUP(FU829,FD:FL,9,0)</f>
        <v/>
      </c>
    </row>
    <row r="830">
      <c r="FC830" t="inlineStr">
        <is>
          <t>Diccionario 1</t>
        </is>
      </c>
      <c r="FD830" s="15" t="inlineStr"/>
      <c r="FE830" s="17" t="inlineStr">
        <is>
          <t>LVCB4L4D3MM003886</t>
        </is>
      </c>
      <c r="FF830" s="18" t="inlineStr">
        <is>
          <t>M221100543</t>
        </is>
      </c>
      <c r="FG830" s="18" t="inlineStr">
        <is>
          <t>FOTON</t>
        </is>
      </c>
      <c r="FH830" s="18" t="inlineStr">
        <is>
          <t>EBUS U12 SC</t>
        </is>
      </c>
      <c r="FI830" s="18" t="inlineStr">
        <is>
          <t>FOTON</t>
        </is>
      </c>
      <c r="FJ830" s="18" t="inlineStr">
        <is>
          <t>EBUS U12 SC</t>
        </is>
      </c>
      <c r="FK830" s="18" t="n">
        <v>2022</v>
      </c>
      <c r="FL830" s="18" t="inlineStr">
        <is>
          <t>B</t>
        </is>
      </c>
      <c r="FM830" s="18" t="inlineStr">
        <is>
          <t>Santa Rosa</t>
        </is>
      </c>
      <c r="FP830" t="inlineStr">
        <is>
          <t>B</t>
        </is>
      </c>
      <c r="FS830" s="14" t="inlineStr">
        <is>
          <t>LZPW-20|</t>
        </is>
      </c>
      <c r="FT830" t="inlineStr">
        <is>
          <t>LZPW-20|</t>
        </is>
      </c>
      <c r="FU830" t="inlineStr">
        <is>
          <t>LZPW-20</t>
        </is>
      </c>
      <c r="FV830">
        <f>VLOOKUP(FU830,FD:FL,9,0)</f>
        <v/>
      </c>
    </row>
    <row r="831">
      <c r="FC831" t="inlineStr">
        <is>
          <t>Diccionario 1</t>
        </is>
      </c>
      <c r="FD831" s="15" t="inlineStr"/>
      <c r="FE831" s="17" t="inlineStr">
        <is>
          <t>LVCB4L4D5MM003887</t>
        </is>
      </c>
      <c r="FF831" s="18" t="inlineStr">
        <is>
          <t>M221110021</t>
        </is>
      </c>
      <c r="FG831" s="18" t="inlineStr">
        <is>
          <t>FOTON</t>
        </is>
      </c>
      <c r="FH831" s="18" t="inlineStr">
        <is>
          <t>EBUS U12 SC</t>
        </is>
      </c>
      <c r="FI831" s="18" t="inlineStr">
        <is>
          <t>FOTON</t>
        </is>
      </c>
      <c r="FJ831" s="18" t="inlineStr">
        <is>
          <t>EBUS U12 SC</t>
        </is>
      </c>
      <c r="FK831" s="18" t="n">
        <v>2022</v>
      </c>
      <c r="FL831" s="18" t="inlineStr">
        <is>
          <t>B</t>
        </is>
      </c>
      <c r="FM831" s="18" t="inlineStr">
        <is>
          <t>Santa Rosa</t>
        </is>
      </c>
      <c r="FP831" t="inlineStr">
        <is>
          <t>B</t>
        </is>
      </c>
      <c r="FS831" s="14" t="inlineStr">
        <is>
          <t>LZPS-23|</t>
        </is>
      </c>
      <c r="FT831" t="inlineStr">
        <is>
          <t>LZPS-23|</t>
        </is>
      </c>
      <c r="FU831" t="inlineStr">
        <is>
          <t>LZPS-23</t>
        </is>
      </c>
      <c r="FV831">
        <f>VLOOKUP(FU831,FD:FL,9,0)</f>
        <v/>
      </c>
    </row>
    <row r="832">
      <c r="FC832" t="inlineStr">
        <is>
          <t>Diccionario 1</t>
        </is>
      </c>
      <c r="FD832" s="15" t="inlineStr"/>
      <c r="FE832" s="17" t="inlineStr">
        <is>
          <t>LVCB4L4D7MM003888</t>
        </is>
      </c>
      <c r="FF832" s="18" t="inlineStr">
        <is>
          <t>M221100297</t>
        </is>
      </c>
      <c r="FG832" s="18" t="inlineStr">
        <is>
          <t>FOTON</t>
        </is>
      </c>
      <c r="FH832" s="18" t="inlineStr">
        <is>
          <t>EBUS U12 SC</t>
        </is>
      </c>
      <c r="FI832" s="18" t="inlineStr">
        <is>
          <t>FOTON</t>
        </is>
      </c>
      <c r="FJ832" s="18" t="inlineStr">
        <is>
          <t>EBUS U12 SC</t>
        </is>
      </c>
      <c r="FK832" s="18" t="n">
        <v>2022</v>
      </c>
      <c r="FL832" s="18" t="inlineStr">
        <is>
          <t>B</t>
        </is>
      </c>
      <c r="FM832" s="18" t="inlineStr">
        <is>
          <t>Lo Blanco</t>
        </is>
      </c>
      <c r="FP832" t="inlineStr">
        <is>
          <t>B</t>
        </is>
      </c>
      <c r="FS832" s="14" t="inlineStr">
        <is>
          <t>LZPR-97|</t>
        </is>
      </c>
      <c r="FT832" t="inlineStr">
        <is>
          <t>LZPR-97|</t>
        </is>
      </c>
      <c r="FU832" t="inlineStr">
        <is>
          <t>LZPR-97</t>
        </is>
      </c>
      <c r="FV832">
        <f>VLOOKUP(FU832,FD:FL,9,0)</f>
        <v/>
      </c>
    </row>
    <row r="833">
      <c r="FC833" t="inlineStr">
        <is>
          <t>Diccionario 1</t>
        </is>
      </c>
      <c r="FD833" s="15" t="inlineStr"/>
      <c r="FE833" s="17" t="inlineStr">
        <is>
          <t>LVCB4L4D9MM003889</t>
        </is>
      </c>
      <c r="FF833" s="18" t="inlineStr">
        <is>
          <t>M221100396</t>
        </is>
      </c>
      <c r="FG833" s="18" t="inlineStr">
        <is>
          <t>FOTON</t>
        </is>
      </c>
      <c r="FH833" s="18" t="inlineStr">
        <is>
          <t>EBUS U12 SC</t>
        </is>
      </c>
      <c r="FI833" s="18" t="inlineStr">
        <is>
          <t>FOTON</t>
        </is>
      </c>
      <c r="FJ833" s="18" t="inlineStr">
        <is>
          <t>EBUS U12 SC</t>
        </is>
      </c>
      <c r="FK833" s="18" t="n">
        <v>2022</v>
      </c>
      <c r="FL833" s="18" t="inlineStr">
        <is>
          <t>B</t>
        </is>
      </c>
      <c r="FM833" s="18" t="inlineStr">
        <is>
          <t>Recoleta</t>
        </is>
      </c>
      <c r="FP833" t="inlineStr">
        <is>
          <t>B</t>
        </is>
      </c>
      <c r="FS833" s="14" t="inlineStr">
        <is>
          <t>LZPG-14</t>
        </is>
      </c>
      <c r="FT833" t="inlineStr">
        <is>
          <t>LZPG-14</t>
        </is>
      </c>
      <c r="FU833" t="inlineStr">
        <is>
          <t>LZPG-14</t>
        </is>
      </c>
      <c r="FV833">
        <f>VLOOKUP(FU833,FD:FL,9,0)</f>
        <v/>
      </c>
    </row>
    <row r="834">
      <c r="FC834" t="inlineStr">
        <is>
          <t>Diccionario 1</t>
        </is>
      </c>
      <c r="FD834" s="15" t="inlineStr"/>
      <c r="FE834" s="17" t="inlineStr">
        <is>
          <t>LVCB4L4D5MM003890</t>
        </is>
      </c>
      <c r="FF834" s="18" t="inlineStr">
        <is>
          <t>M221100305</t>
        </is>
      </c>
      <c r="FG834" s="18" t="inlineStr">
        <is>
          <t>FOTON</t>
        </is>
      </c>
      <c r="FH834" s="18" t="inlineStr">
        <is>
          <t>EBUS U12 SC</t>
        </is>
      </c>
      <c r="FI834" s="18" t="inlineStr">
        <is>
          <t>FOTON</t>
        </is>
      </c>
      <c r="FJ834" s="18" t="inlineStr">
        <is>
          <t>EBUS U12 SC</t>
        </is>
      </c>
      <c r="FK834" s="18" t="n">
        <v>2022</v>
      </c>
      <c r="FL834" s="18" t="inlineStr">
        <is>
          <t>B</t>
        </is>
      </c>
      <c r="FM834" s="18" t="inlineStr">
        <is>
          <t>Santa Rosa</t>
        </is>
      </c>
      <c r="FP834" t="inlineStr">
        <is>
          <t>B</t>
        </is>
      </c>
      <c r="FS834" s="14" t="inlineStr">
        <is>
          <t>LZPR-82|</t>
        </is>
      </c>
      <c r="FT834" t="inlineStr">
        <is>
          <t>LZPR-82|</t>
        </is>
      </c>
      <c r="FU834" t="inlineStr">
        <is>
          <t>LZPR-82</t>
        </is>
      </c>
      <c r="FV834">
        <f>VLOOKUP(FU834,FD:FL,9,0)</f>
        <v/>
      </c>
    </row>
    <row r="835">
      <c r="FC835" t="inlineStr">
        <is>
          <t>Diccionario 1</t>
        </is>
      </c>
      <c r="FD835" s="15" t="inlineStr"/>
      <c r="FE835" s="17" t="inlineStr">
        <is>
          <t>LVCB4L4D9MM003892</t>
        </is>
      </c>
      <c r="FF835" s="18" t="inlineStr">
        <is>
          <t>M221110101</t>
        </is>
      </c>
      <c r="FG835" s="18" t="inlineStr">
        <is>
          <t>FOTON</t>
        </is>
      </c>
      <c r="FH835" s="18" t="inlineStr">
        <is>
          <t>EBUS U12 SC</t>
        </is>
      </c>
      <c r="FI835" s="18" t="inlineStr">
        <is>
          <t>FOTON</t>
        </is>
      </c>
      <c r="FJ835" s="18" t="inlineStr">
        <is>
          <t>EBUS U12 SC</t>
        </is>
      </c>
      <c r="FK835" s="18" t="n">
        <v>2022</v>
      </c>
      <c r="FL835" s="18" t="inlineStr">
        <is>
          <t>B</t>
        </is>
      </c>
      <c r="FM835" s="18" t="inlineStr">
        <is>
          <t>Recoleta</t>
        </is>
      </c>
      <c r="FP835" t="inlineStr">
        <is>
          <t>B</t>
        </is>
      </c>
      <c r="FS835" s="14" t="inlineStr">
        <is>
          <t>GCBF-46|</t>
        </is>
      </c>
      <c r="FT835" t="inlineStr">
        <is>
          <t>GCBF-46|</t>
        </is>
      </c>
      <c r="FU835" t="inlineStr">
        <is>
          <t>GCBF-46</t>
        </is>
      </c>
      <c r="FV835">
        <f>VLOOKUP(FU835,FD:FL,9,0)</f>
        <v/>
      </c>
    </row>
    <row r="836">
      <c r="FC836" t="inlineStr">
        <is>
          <t>Diccionario 1</t>
        </is>
      </c>
      <c r="FD836" s="15" t="inlineStr"/>
      <c r="FE836" s="17" t="inlineStr">
        <is>
          <t>LVCB4L4D0MM003893</t>
        </is>
      </c>
      <c r="FF836" s="18" t="inlineStr">
        <is>
          <t>M221100547</t>
        </is>
      </c>
      <c r="FG836" s="18" t="inlineStr">
        <is>
          <t>FOTON</t>
        </is>
      </c>
      <c r="FH836" s="18" t="inlineStr">
        <is>
          <t>EBUS U12 SC</t>
        </is>
      </c>
      <c r="FI836" s="18" t="inlineStr">
        <is>
          <t>FOTON</t>
        </is>
      </c>
      <c r="FJ836" s="18" t="inlineStr">
        <is>
          <t>EBUS U12 SC</t>
        </is>
      </c>
      <c r="FK836" s="18" t="n">
        <v>2022</v>
      </c>
      <c r="FL836" s="18" t="inlineStr">
        <is>
          <t>B</t>
        </is>
      </c>
      <c r="FM836" s="18" t="inlineStr">
        <is>
          <t>Santa Rosa</t>
        </is>
      </c>
      <c r="FP836" t="inlineStr">
        <is>
          <t>B</t>
        </is>
      </c>
      <c r="FS836" s="14" t="inlineStr">
        <is>
          <t>LZPS-10|</t>
        </is>
      </c>
      <c r="FT836" t="inlineStr">
        <is>
          <t>LZPS-10|</t>
        </is>
      </c>
      <c r="FU836" t="inlineStr">
        <is>
          <t>LZPS-10</t>
        </is>
      </c>
      <c r="FV836">
        <f>VLOOKUP(FU836,FD:FL,9,0)</f>
        <v/>
      </c>
    </row>
    <row r="837">
      <c r="FC837" t="inlineStr">
        <is>
          <t>Diccionario 1</t>
        </is>
      </c>
      <c r="FD837" s="15" t="inlineStr"/>
      <c r="FE837" s="17" t="inlineStr">
        <is>
          <t>LVCB4L4D4MM003895</t>
        </is>
      </c>
      <c r="FF837" s="18" t="inlineStr">
        <is>
          <t>M221100515</t>
        </is>
      </c>
      <c r="FG837" s="18" t="inlineStr">
        <is>
          <t>FOTON</t>
        </is>
      </c>
      <c r="FH837" s="18" t="inlineStr">
        <is>
          <t>EBUS U12 SC</t>
        </is>
      </c>
      <c r="FI837" s="18" t="inlineStr">
        <is>
          <t>FOTON</t>
        </is>
      </c>
      <c r="FJ837" s="18" t="inlineStr">
        <is>
          <t>EBUS U12 SC</t>
        </is>
      </c>
      <c r="FK837" s="18" t="n">
        <v>2022</v>
      </c>
      <c r="FL837" s="18" t="inlineStr">
        <is>
          <t>B</t>
        </is>
      </c>
      <c r="FM837" s="18" t="inlineStr">
        <is>
          <t>Recoleta</t>
        </is>
      </c>
      <c r="FP837" t="inlineStr">
        <is>
          <t>B</t>
        </is>
      </c>
      <c r="FS837" s="14" t="inlineStr">
        <is>
          <t>LZPW-22|</t>
        </is>
      </c>
      <c r="FT837" t="inlineStr">
        <is>
          <t>LZPW-22|</t>
        </is>
      </c>
      <c r="FU837" t="inlineStr">
        <is>
          <t>LZPW-22</t>
        </is>
      </c>
      <c r="FV837">
        <f>VLOOKUP(FU837,FD:FL,9,0)</f>
        <v/>
      </c>
    </row>
    <row r="838">
      <c r="FC838" t="inlineStr">
        <is>
          <t>Diccionario 1</t>
        </is>
      </c>
      <c r="FD838" s="15" t="inlineStr"/>
      <c r="FE838" s="17" t="inlineStr">
        <is>
          <t>LVCB4L4DXMM003898</t>
        </is>
      </c>
      <c r="FF838" s="18" t="inlineStr">
        <is>
          <t>M221110024</t>
        </is>
      </c>
      <c r="FG838" s="18" t="inlineStr">
        <is>
          <t>FOTON</t>
        </is>
      </c>
      <c r="FH838" s="18" t="inlineStr">
        <is>
          <t>EBUS U12 SC</t>
        </is>
      </c>
      <c r="FI838" s="18" t="inlineStr">
        <is>
          <t>FOTON</t>
        </is>
      </c>
      <c r="FJ838" s="18" t="inlineStr">
        <is>
          <t>EBUS U12 SC</t>
        </is>
      </c>
      <c r="FK838" s="18" t="n">
        <v>2022</v>
      </c>
      <c r="FL838" s="18" t="inlineStr">
        <is>
          <t>B</t>
        </is>
      </c>
      <c r="FM838" s="18" t="inlineStr">
        <is>
          <t>Santa Rosa</t>
        </is>
      </c>
      <c r="FP838" t="inlineStr">
        <is>
          <t>B</t>
        </is>
      </c>
      <c r="FS838" s="14" t="inlineStr">
        <is>
          <t>LZPR-81</t>
        </is>
      </c>
      <c r="FT838" t="inlineStr">
        <is>
          <t>LZPR-81</t>
        </is>
      </c>
      <c r="FU838" t="inlineStr">
        <is>
          <t>LZPR-81</t>
        </is>
      </c>
      <c r="FV838">
        <f>VLOOKUP(FU838,FD:FL,9,0)</f>
        <v/>
      </c>
    </row>
    <row r="839">
      <c r="FC839" t="inlineStr">
        <is>
          <t>Diccionario 1</t>
        </is>
      </c>
      <c r="FD839" s="15" t="inlineStr"/>
      <c r="FE839" s="17" t="inlineStr">
        <is>
          <t>LVCB4L4D1MM003899</t>
        </is>
      </c>
      <c r="FF839" s="18" t="inlineStr">
        <is>
          <t>M221100443</t>
        </is>
      </c>
      <c r="FG839" s="18" t="inlineStr">
        <is>
          <t>FOTON</t>
        </is>
      </c>
      <c r="FH839" s="18" t="inlineStr">
        <is>
          <t>EBUS U12 SC</t>
        </is>
      </c>
      <c r="FI839" s="18" t="inlineStr">
        <is>
          <t>FOTON</t>
        </is>
      </c>
      <c r="FJ839" s="18" t="inlineStr">
        <is>
          <t>EBUS U12 SC</t>
        </is>
      </c>
      <c r="FK839" s="18" t="n">
        <v>2022</v>
      </c>
      <c r="FL839" s="18" t="inlineStr">
        <is>
          <t>B</t>
        </is>
      </c>
      <c r="FM839" s="18" t="inlineStr">
        <is>
          <t>Santa Rosa</t>
        </is>
      </c>
      <c r="FP839" t="inlineStr">
        <is>
          <t>B</t>
        </is>
      </c>
      <c r="FS839" s="14" t="inlineStr">
        <is>
          <t>LZPT-77</t>
        </is>
      </c>
      <c r="FT839" t="inlineStr">
        <is>
          <t>LZPT-77</t>
        </is>
      </c>
      <c r="FU839" t="inlineStr">
        <is>
          <t>LZPT-77</t>
        </is>
      </c>
      <c r="FV839">
        <f>VLOOKUP(FU839,FD:FL,9,0)</f>
        <v/>
      </c>
    </row>
    <row r="840">
      <c r="FC840" t="inlineStr">
        <is>
          <t>Diccionario 1</t>
        </is>
      </c>
      <c r="FD840" s="15" t="inlineStr"/>
      <c r="FE840" s="17" t="inlineStr">
        <is>
          <t>LVCB4L4D8MM003902</t>
        </is>
      </c>
      <c r="FF840" s="18" t="inlineStr">
        <is>
          <t>M221100309</t>
        </is>
      </c>
      <c r="FG840" s="18" t="inlineStr">
        <is>
          <t>FOTON</t>
        </is>
      </c>
      <c r="FH840" s="18" t="inlineStr">
        <is>
          <t>EBUS U12 SC</t>
        </is>
      </c>
      <c r="FI840" s="18" t="inlineStr">
        <is>
          <t>FOTON</t>
        </is>
      </c>
      <c r="FJ840" s="18" t="inlineStr">
        <is>
          <t>EBUS U12 SC</t>
        </is>
      </c>
      <c r="FK840" s="18" t="n">
        <v>2022</v>
      </c>
      <c r="FL840" s="18" t="inlineStr">
        <is>
          <t>B</t>
        </is>
      </c>
      <c r="FM840" s="18" t="inlineStr">
        <is>
          <t>Santa Rosa</t>
        </is>
      </c>
      <c r="FP840" t="inlineStr">
        <is>
          <t>B</t>
        </is>
      </c>
      <c r="FS840" s="14" t="inlineStr">
        <is>
          <t>LXWT-91</t>
        </is>
      </c>
      <c r="FT840" t="inlineStr">
        <is>
          <t>LXWT-91</t>
        </is>
      </c>
      <c r="FU840" t="inlineStr">
        <is>
          <t>LXWT-91</t>
        </is>
      </c>
      <c r="FV840">
        <f>VLOOKUP(FU840,FD:FL,9,0)</f>
        <v/>
      </c>
    </row>
    <row r="841">
      <c r="FC841" t="inlineStr">
        <is>
          <t>Diccionario 1</t>
        </is>
      </c>
      <c r="FD841" s="15" t="inlineStr"/>
      <c r="FE841" s="17" t="inlineStr">
        <is>
          <t>LVCB4L4DXMM003903</t>
        </is>
      </c>
      <c r="FF841" s="18" t="inlineStr">
        <is>
          <t>M221110578</t>
        </is>
      </c>
      <c r="FG841" s="18" t="inlineStr">
        <is>
          <t>FOTON</t>
        </is>
      </c>
      <c r="FH841" s="18" t="inlineStr">
        <is>
          <t>EBUS U12 SC</t>
        </is>
      </c>
      <c r="FI841" s="18" t="inlineStr">
        <is>
          <t>FOTON</t>
        </is>
      </c>
      <c r="FJ841" s="18" t="inlineStr">
        <is>
          <t>EBUS U12 SC</t>
        </is>
      </c>
      <c r="FK841" s="18" t="n">
        <v>2022</v>
      </c>
      <c r="FL841" s="18" t="inlineStr">
        <is>
          <t>B</t>
        </is>
      </c>
      <c r="FM841" s="18" t="inlineStr">
        <is>
          <t>Santa Rosa</t>
        </is>
      </c>
      <c r="FP841" t="inlineStr">
        <is>
          <t>B</t>
        </is>
      </c>
      <c r="FS841" s="14" t="inlineStr">
        <is>
          <t>LZPG-21|</t>
        </is>
      </c>
      <c r="FT841" t="inlineStr">
        <is>
          <t>LZPG-21|</t>
        </is>
      </c>
      <c r="FU841" t="inlineStr">
        <is>
          <t>LZPG-21</t>
        </is>
      </c>
      <c r="FV841">
        <f>VLOOKUP(FU841,FD:FL,9,0)</f>
        <v/>
      </c>
    </row>
    <row r="842">
      <c r="FC842" t="inlineStr">
        <is>
          <t>Diccionario 1</t>
        </is>
      </c>
      <c r="FD842" s="15" t="inlineStr"/>
      <c r="FE842" s="17" t="inlineStr">
        <is>
          <t>LVCB4L4D3MM003905</t>
        </is>
      </c>
      <c r="FF842" s="18" t="inlineStr">
        <is>
          <t>M221100400</t>
        </is>
      </c>
      <c r="FG842" s="18" t="inlineStr">
        <is>
          <t>FOTON</t>
        </is>
      </c>
      <c r="FH842" s="18" t="inlineStr">
        <is>
          <t>EBUS U12 SC</t>
        </is>
      </c>
      <c r="FI842" s="18" t="inlineStr">
        <is>
          <t>FOTON</t>
        </is>
      </c>
      <c r="FJ842" s="18" t="inlineStr">
        <is>
          <t>EBUS U12 SC</t>
        </is>
      </c>
      <c r="FK842" s="18" t="n">
        <v>2022</v>
      </c>
      <c r="FL842" s="18" t="inlineStr">
        <is>
          <t>B</t>
        </is>
      </c>
      <c r="FM842" s="18" t="inlineStr">
        <is>
          <t>Recoleta</t>
        </is>
      </c>
      <c r="FP842" t="inlineStr">
        <is>
          <t>B</t>
        </is>
      </c>
      <c r="FS842" s="14" t="inlineStr">
        <is>
          <t>LZPW-11</t>
        </is>
      </c>
      <c r="FT842" t="inlineStr">
        <is>
          <t>LZPW-11</t>
        </is>
      </c>
      <c r="FU842" t="inlineStr">
        <is>
          <t>LZPW-11</t>
        </is>
      </c>
      <c r="FV842">
        <f>VLOOKUP(FU842,FD:FL,9,0)</f>
        <v/>
      </c>
    </row>
    <row r="843">
      <c r="FC843" t="inlineStr">
        <is>
          <t>Diccionario 1</t>
        </is>
      </c>
      <c r="FD843" s="15" t="inlineStr"/>
      <c r="FE843" s="17" t="inlineStr">
        <is>
          <t>LVCB4L4D5MM003906</t>
        </is>
      </c>
      <c r="FF843" s="18" t="inlineStr">
        <is>
          <t>M221100516</t>
        </is>
      </c>
      <c r="FG843" s="18" t="inlineStr">
        <is>
          <t>FOTON</t>
        </is>
      </c>
      <c r="FH843" s="18" t="inlineStr">
        <is>
          <t>EBUS U12 SC</t>
        </is>
      </c>
      <c r="FI843" s="18" t="inlineStr">
        <is>
          <t>FOTON</t>
        </is>
      </c>
      <c r="FJ843" s="18" t="inlineStr">
        <is>
          <t>EBUS U12 SC</t>
        </is>
      </c>
      <c r="FK843" s="18" t="n">
        <v>2022</v>
      </c>
      <c r="FL843" s="18" t="inlineStr">
        <is>
          <t>B</t>
        </is>
      </c>
      <c r="FM843" s="18" t="inlineStr">
        <is>
          <t>Santa Rosa</t>
        </is>
      </c>
      <c r="FP843" t="inlineStr">
        <is>
          <t>B</t>
        </is>
      </c>
      <c r="FS843" s="14" t="inlineStr">
        <is>
          <t>LZPG-16|</t>
        </is>
      </c>
      <c r="FT843" t="inlineStr">
        <is>
          <t>LZPG-16|</t>
        </is>
      </c>
      <c r="FU843" t="inlineStr">
        <is>
          <t>LZPG-16</t>
        </is>
      </c>
      <c r="FV843">
        <f>VLOOKUP(FU843,FD:FL,9,0)</f>
        <v/>
      </c>
    </row>
    <row r="844">
      <c r="FC844" t="inlineStr">
        <is>
          <t>Diccionario 1</t>
        </is>
      </c>
      <c r="FD844" s="15" t="inlineStr"/>
      <c r="FE844" s="17" t="inlineStr">
        <is>
          <t>LVCB4L4D7MM003907</t>
        </is>
      </c>
      <c r="FF844" s="18" t="inlineStr">
        <is>
          <t>M221100306</t>
        </is>
      </c>
      <c r="FG844" s="18" t="inlineStr">
        <is>
          <t>FOTON</t>
        </is>
      </c>
      <c r="FH844" s="18" t="inlineStr">
        <is>
          <t>EBUS U12 SC</t>
        </is>
      </c>
      <c r="FI844" s="18" t="inlineStr">
        <is>
          <t>FOTON</t>
        </is>
      </c>
      <c r="FJ844" s="18" t="inlineStr">
        <is>
          <t>EBUS U12 SC</t>
        </is>
      </c>
      <c r="FK844" s="18" t="n">
        <v>2022</v>
      </c>
      <c r="FL844" s="18" t="inlineStr">
        <is>
          <t>B</t>
        </is>
      </c>
      <c r="FM844" s="18" t="inlineStr">
        <is>
          <t>Recoleta</t>
        </is>
      </c>
      <c r="FP844" t="inlineStr">
        <is>
          <t>B</t>
        </is>
      </c>
      <c r="FS844" s="14" t="inlineStr">
        <is>
          <t>LZPR-92|</t>
        </is>
      </c>
      <c r="FT844" t="inlineStr">
        <is>
          <t>LZPR-92|</t>
        </is>
      </c>
      <c r="FU844" t="inlineStr">
        <is>
          <t>LZPR-92</t>
        </is>
      </c>
      <c r="FV844">
        <f>VLOOKUP(FU844,FD:FL,9,0)</f>
        <v/>
      </c>
    </row>
    <row r="845">
      <c r="FC845" t="inlineStr">
        <is>
          <t>Diccionario 1</t>
        </is>
      </c>
      <c r="FD845" s="15" t="inlineStr"/>
      <c r="FE845" s="17" t="inlineStr">
        <is>
          <t>LVCB4L4D0MM003909</t>
        </is>
      </c>
      <c r="FF845" s="18" t="inlineStr">
        <is>
          <t>M221110025</t>
        </is>
      </c>
      <c r="FG845" s="18" t="inlineStr">
        <is>
          <t>FOTON</t>
        </is>
      </c>
      <c r="FH845" s="18" t="inlineStr">
        <is>
          <t>EBUS U12 SC</t>
        </is>
      </c>
      <c r="FI845" s="18" t="inlineStr">
        <is>
          <t>FOTON</t>
        </is>
      </c>
      <c r="FJ845" s="18" t="inlineStr">
        <is>
          <t>EBUS U12 SC</t>
        </is>
      </c>
      <c r="FK845" s="18" t="n">
        <v>2022</v>
      </c>
      <c r="FL845" s="18" t="inlineStr">
        <is>
          <t>B</t>
        </is>
      </c>
      <c r="FM845" s="18" t="inlineStr">
        <is>
          <t>Santa Rosa</t>
        </is>
      </c>
      <c r="FP845" t="inlineStr">
        <is>
          <t>B</t>
        </is>
      </c>
      <c r="FS845" s="14" t="inlineStr">
        <is>
          <t>LZRB-88|</t>
        </is>
      </c>
      <c r="FT845" t="inlineStr">
        <is>
          <t>LZRB-88|</t>
        </is>
      </c>
      <c r="FU845" t="inlineStr">
        <is>
          <t>LZRB-88</t>
        </is>
      </c>
      <c r="FV845">
        <f>VLOOKUP(FU845,FD:FL,9,0)</f>
        <v/>
      </c>
    </row>
    <row r="846">
      <c r="FC846" t="inlineStr">
        <is>
          <t>Diccionario 1</t>
        </is>
      </c>
      <c r="FD846" s="15" t="inlineStr"/>
      <c r="FE846" s="17" t="inlineStr">
        <is>
          <t>LVCB4L4D9MM003911</t>
        </is>
      </c>
      <c r="FF846" s="18" t="inlineStr">
        <is>
          <t>M221100549</t>
        </is>
      </c>
      <c r="FG846" s="18" t="inlineStr">
        <is>
          <t>FOTON</t>
        </is>
      </c>
      <c r="FH846" s="18" t="inlineStr">
        <is>
          <t>EBUS U12 SC</t>
        </is>
      </c>
      <c r="FI846" s="18" t="inlineStr">
        <is>
          <t>FOTON</t>
        </is>
      </c>
      <c r="FJ846" s="18" t="inlineStr">
        <is>
          <t>EBUS U12 SC</t>
        </is>
      </c>
      <c r="FK846" s="18" t="n">
        <v>2022</v>
      </c>
      <c r="FL846" s="18" t="inlineStr">
        <is>
          <t>B</t>
        </is>
      </c>
      <c r="FM846" s="18" t="inlineStr">
        <is>
          <t>Santa Rosa</t>
        </is>
      </c>
      <c r="FP846" t="inlineStr">
        <is>
          <t>B</t>
        </is>
      </c>
      <c r="FS846" s="14" t="inlineStr">
        <is>
          <t>LZPG-25|</t>
        </is>
      </c>
      <c r="FT846" t="inlineStr">
        <is>
          <t>LZPG-25|</t>
        </is>
      </c>
      <c r="FU846" t="inlineStr">
        <is>
          <t>LZPG-25</t>
        </is>
      </c>
      <c r="FV846">
        <f>VLOOKUP(FU846,FD:FL,9,0)</f>
        <v/>
      </c>
    </row>
    <row r="847">
      <c r="FC847" t="inlineStr">
        <is>
          <t>Diccionario 1</t>
        </is>
      </c>
      <c r="FD847" s="15" t="inlineStr"/>
      <c r="FE847" s="17" t="inlineStr">
        <is>
          <t>LVCB4L4D3MM003631</t>
        </is>
      </c>
      <c r="FF847" s="18" t="inlineStr">
        <is>
          <t>M221100523</t>
        </is>
      </c>
      <c r="FG847" s="18" t="inlineStr">
        <is>
          <t>FOTON</t>
        </is>
      </c>
      <c r="FH847" s="18" t="inlineStr">
        <is>
          <t>EBUS U12 SC</t>
        </is>
      </c>
      <c r="FI847" s="18" t="inlineStr">
        <is>
          <t>FOTON</t>
        </is>
      </c>
      <c r="FJ847" s="18" t="inlineStr">
        <is>
          <t>EBUS U12 SC</t>
        </is>
      </c>
      <c r="FK847" s="18" t="n">
        <v>2022</v>
      </c>
      <c r="FL847" s="18" t="inlineStr">
        <is>
          <t>B</t>
        </is>
      </c>
      <c r="FM847" s="18" t="inlineStr">
        <is>
          <t>Santa Rosa</t>
        </is>
      </c>
      <c r="FP847" t="inlineStr">
        <is>
          <t>B</t>
        </is>
      </c>
      <c r="FS847" s="14" t="inlineStr">
        <is>
          <t>LZPT-47|</t>
        </is>
      </c>
      <c r="FT847" t="inlineStr">
        <is>
          <t>LZPT-47|</t>
        </is>
      </c>
      <c r="FU847" t="inlineStr">
        <is>
          <t>LZPT-47</t>
        </is>
      </c>
      <c r="FV847">
        <f>VLOOKUP(FU847,FD:FL,9,0)</f>
        <v/>
      </c>
    </row>
    <row r="848">
      <c r="FC848" t="inlineStr">
        <is>
          <t>Diccionario 1</t>
        </is>
      </c>
      <c r="FD848" s="15" t="inlineStr"/>
      <c r="FE848" s="17" t="inlineStr">
        <is>
          <t>LVCB4L4D8MM003916</t>
        </is>
      </c>
      <c r="FF848" s="18" t="inlineStr">
        <is>
          <t>M221100441</t>
        </is>
      </c>
      <c r="FG848" s="18" t="inlineStr">
        <is>
          <t>FOTON</t>
        </is>
      </c>
      <c r="FH848" s="18" t="inlineStr">
        <is>
          <t>EBUS U12 SC</t>
        </is>
      </c>
      <c r="FI848" s="18" t="inlineStr">
        <is>
          <t>FOTON</t>
        </is>
      </c>
      <c r="FJ848" s="18" t="inlineStr">
        <is>
          <t>EBUS U12 SC</t>
        </is>
      </c>
      <c r="FK848" s="18" t="n">
        <v>2022</v>
      </c>
      <c r="FL848" s="18" t="inlineStr">
        <is>
          <t>B</t>
        </is>
      </c>
      <c r="FM848" s="18" t="inlineStr">
        <is>
          <t>Santa Rosa</t>
        </is>
      </c>
      <c r="FP848" t="inlineStr">
        <is>
          <t>B</t>
        </is>
      </c>
      <c r="FS848" s="14" t="inlineStr">
        <is>
          <t>LZPT-59|</t>
        </is>
      </c>
      <c r="FT848" t="inlineStr">
        <is>
          <t>LZPT-59|</t>
        </is>
      </c>
      <c r="FU848" t="inlineStr">
        <is>
          <t>LZPT-59</t>
        </is>
      </c>
      <c r="FV848">
        <f>VLOOKUP(FU848,FD:FL,9,0)</f>
        <v/>
      </c>
    </row>
    <row r="849">
      <c r="FC849" t="inlineStr">
        <is>
          <t>Diccionario 1</t>
        </is>
      </c>
      <c r="FD849" s="15" t="inlineStr"/>
      <c r="FE849" s="17" t="inlineStr">
        <is>
          <t>LVCB4L4D3MM003919</t>
        </is>
      </c>
      <c r="FF849" s="18" t="inlineStr">
        <is>
          <t>M221110656</t>
        </is>
      </c>
      <c r="FG849" s="18" t="inlineStr">
        <is>
          <t>FOTON</t>
        </is>
      </c>
      <c r="FH849" s="18" t="inlineStr">
        <is>
          <t>EBUS U12 SC</t>
        </is>
      </c>
      <c r="FI849" s="18" t="inlineStr">
        <is>
          <t>FOTON</t>
        </is>
      </c>
      <c r="FJ849" s="18" t="inlineStr">
        <is>
          <t>EBUS U12 SC</t>
        </is>
      </c>
      <c r="FK849" s="18" t="n">
        <v>2022</v>
      </c>
      <c r="FL849" s="18" t="inlineStr">
        <is>
          <t>B</t>
        </is>
      </c>
      <c r="FM849" s="18" t="inlineStr">
        <is>
          <t>Recoleta</t>
        </is>
      </c>
      <c r="FP849" t="inlineStr">
        <is>
          <t>B</t>
        </is>
      </c>
      <c r="FS849" s="14" t="inlineStr">
        <is>
          <t>LZPT-48|</t>
        </is>
      </c>
      <c r="FT849" t="inlineStr">
        <is>
          <t>LZPT-48|</t>
        </is>
      </c>
      <c r="FU849" t="inlineStr">
        <is>
          <t>LZPT-48</t>
        </is>
      </c>
      <c r="FV849">
        <f>VLOOKUP(FU849,FD:FL,9,0)</f>
        <v/>
      </c>
    </row>
    <row r="850">
      <c r="FC850" t="inlineStr">
        <is>
          <t>Diccionario 1</t>
        </is>
      </c>
      <c r="FD850" s="15" t="inlineStr"/>
      <c r="FE850" s="17" t="inlineStr">
        <is>
          <t>LVCB4L4D1MM003921</t>
        </is>
      </c>
      <c r="FF850" s="18" t="inlineStr">
        <is>
          <t>M221100522</t>
        </is>
      </c>
      <c r="FG850" s="18" t="inlineStr">
        <is>
          <t>FOTON</t>
        </is>
      </c>
      <c r="FH850" s="18" t="inlineStr">
        <is>
          <t>EBUS U12 SC</t>
        </is>
      </c>
      <c r="FI850" s="18" t="inlineStr">
        <is>
          <t>FOTON</t>
        </is>
      </c>
      <c r="FJ850" s="18" t="inlineStr">
        <is>
          <t>EBUS U12 SC</t>
        </is>
      </c>
      <c r="FK850" s="18" t="n">
        <v>2022</v>
      </c>
      <c r="FL850" s="18" t="inlineStr">
        <is>
          <t>B</t>
        </is>
      </c>
      <c r="FM850" s="18" t="inlineStr">
        <is>
          <t>Santa Rosa</t>
        </is>
      </c>
      <c r="FP850" t="inlineStr">
        <is>
          <t>B</t>
        </is>
      </c>
      <c r="FS850" s="14" t="inlineStr">
        <is>
          <t>LZPR-94|</t>
        </is>
      </c>
      <c r="FT850" t="inlineStr">
        <is>
          <t>LZPR-94|</t>
        </is>
      </c>
      <c r="FU850" t="inlineStr">
        <is>
          <t>LZPR-94</t>
        </is>
      </c>
      <c r="FV850">
        <f>VLOOKUP(FU850,FD:FL,9,0)</f>
        <v/>
      </c>
    </row>
    <row r="851">
      <c r="FC851" t="inlineStr">
        <is>
          <t>Diccionario 1</t>
        </is>
      </c>
      <c r="FD851" s="15" t="inlineStr"/>
      <c r="FE851" s="17" t="inlineStr">
        <is>
          <t>LVCB4L4D3MM003922</t>
        </is>
      </c>
      <c r="FF851" s="18" t="inlineStr">
        <is>
          <t>M221100487</t>
        </is>
      </c>
      <c r="FG851" s="18" t="inlineStr">
        <is>
          <t>FOTON</t>
        </is>
      </c>
      <c r="FH851" s="18" t="inlineStr">
        <is>
          <t>EBUS U12 SC</t>
        </is>
      </c>
      <c r="FI851" s="18" t="inlineStr">
        <is>
          <t>FOTON</t>
        </is>
      </c>
      <c r="FJ851" s="18" t="inlineStr">
        <is>
          <t>EBUS U12 SC</t>
        </is>
      </c>
      <c r="FK851" s="18" t="n">
        <v>2022</v>
      </c>
      <c r="FL851" s="18" t="inlineStr">
        <is>
          <t>B</t>
        </is>
      </c>
      <c r="FM851" s="18" t="inlineStr">
        <is>
          <t>Recoleta</t>
        </is>
      </c>
      <c r="FP851" t="inlineStr">
        <is>
          <t>B</t>
        </is>
      </c>
      <c r="FS851" s="14" t="inlineStr">
        <is>
          <t>LXWT-97|</t>
        </is>
      </c>
      <c r="FT851" t="inlineStr">
        <is>
          <t>LXWT-97|</t>
        </is>
      </c>
      <c r="FU851" t="inlineStr">
        <is>
          <t>LXWT-97</t>
        </is>
      </c>
      <c r="FV851">
        <f>VLOOKUP(FU851,FD:FL,9,0)</f>
        <v/>
      </c>
    </row>
    <row r="852">
      <c r="FC852" t="inlineStr">
        <is>
          <t>Diccionario 1</t>
        </is>
      </c>
      <c r="FD852" s="15" t="inlineStr"/>
      <c r="FE852" s="17" t="inlineStr">
        <is>
          <t>LVCB4L4D2MM003927</t>
        </is>
      </c>
      <c r="FF852" s="18" t="inlineStr">
        <is>
          <t>M221100560</t>
        </is>
      </c>
      <c r="FG852" s="18" t="inlineStr">
        <is>
          <t>FOTON</t>
        </is>
      </c>
      <c r="FH852" s="18" t="inlineStr">
        <is>
          <t>EBUS U12 SC</t>
        </is>
      </c>
      <c r="FI852" s="18" t="inlineStr">
        <is>
          <t>FOTON</t>
        </is>
      </c>
      <c r="FJ852" s="18" t="inlineStr">
        <is>
          <t>EBUS U12 SC</t>
        </is>
      </c>
      <c r="FK852" s="18" t="n">
        <v>2022</v>
      </c>
      <c r="FL852" s="18" t="inlineStr">
        <is>
          <t>B</t>
        </is>
      </c>
      <c r="FM852" s="18" t="inlineStr">
        <is>
          <t>Santa Rosa</t>
        </is>
      </c>
      <c r="FP852" t="inlineStr">
        <is>
          <t>B</t>
        </is>
      </c>
      <c r="FS852" s="14" t="inlineStr">
        <is>
          <t>9929 / SXKV-98|</t>
        </is>
      </c>
      <c r="FT852" t="inlineStr">
        <is>
          <t>SXKV-98|</t>
        </is>
      </c>
      <c r="FU852" t="inlineStr">
        <is>
          <t>SXKV-98</t>
        </is>
      </c>
      <c r="FV852">
        <f>VLOOKUP(FU852,FD:FL,9,0)</f>
        <v/>
      </c>
    </row>
    <row r="853">
      <c r="FC853" t="inlineStr">
        <is>
          <t>Diccionario 1</t>
        </is>
      </c>
      <c r="FD853" s="15" t="inlineStr"/>
      <c r="FE853" s="17" t="inlineStr">
        <is>
          <t>LVCB4L4D4MM003928</t>
        </is>
      </c>
      <c r="FF853" s="18" t="inlineStr">
        <is>
          <t>M221110528</t>
        </is>
      </c>
      <c r="FG853" s="18" t="inlineStr">
        <is>
          <t>FOTON</t>
        </is>
      </c>
      <c r="FH853" s="18" t="inlineStr">
        <is>
          <t>EBUS U12 SC</t>
        </is>
      </c>
      <c r="FI853" s="18" t="inlineStr">
        <is>
          <t>FOTON</t>
        </is>
      </c>
      <c r="FJ853" s="18" t="inlineStr">
        <is>
          <t>EBUS U12 SC</t>
        </is>
      </c>
      <c r="FK853" s="18" t="n">
        <v>2022</v>
      </c>
      <c r="FL853" s="18" t="inlineStr">
        <is>
          <t>B</t>
        </is>
      </c>
      <c r="FM853" s="18" t="inlineStr">
        <is>
          <t>Santa Rosa</t>
        </is>
      </c>
      <c r="FP853" t="inlineStr">
        <is>
          <t>B</t>
        </is>
      </c>
      <c r="FS853" s="14" t="inlineStr">
        <is>
          <t>LZPG-15|</t>
        </is>
      </c>
      <c r="FT853" t="inlineStr">
        <is>
          <t>LZPG-15|</t>
        </is>
      </c>
      <c r="FU853" t="inlineStr">
        <is>
          <t>LZPG-15</t>
        </is>
      </c>
      <c r="FV853">
        <f>VLOOKUP(FU853,FD:FL,9,0)</f>
        <v/>
      </c>
    </row>
    <row r="854">
      <c r="FC854" t="inlineStr">
        <is>
          <t>Diccionario 1</t>
        </is>
      </c>
      <c r="FD854" s="15" t="inlineStr"/>
      <c r="FE854" s="17" t="inlineStr">
        <is>
          <t>LVCB4L4D6MM003929</t>
        </is>
      </c>
      <c r="FF854" s="18" t="inlineStr">
        <is>
          <t>M221100439</t>
        </is>
      </c>
      <c r="FG854" s="18" t="inlineStr">
        <is>
          <t>FOTON</t>
        </is>
      </c>
      <c r="FH854" s="18" t="inlineStr">
        <is>
          <t>EBUS U12 SC</t>
        </is>
      </c>
      <c r="FI854" s="18" t="inlineStr">
        <is>
          <t>FOTON</t>
        </is>
      </c>
      <c r="FJ854" s="18" t="inlineStr">
        <is>
          <t>EBUS U12 SC</t>
        </is>
      </c>
      <c r="FK854" s="18" t="n">
        <v>2022</v>
      </c>
      <c r="FL854" s="18" t="inlineStr">
        <is>
          <t>B</t>
        </is>
      </c>
      <c r="FM854" s="18" t="inlineStr">
        <is>
          <t>Recoleta</t>
        </is>
      </c>
      <c r="FP854" t="inlineStr">
        <is>
          <t>B</t>
        </is>
      </c>
      <c r="FS854" s="14" t="inlineStr">
        <is>
          <t>LZPW-12|</t>
        </is>
      </c>
      <c r="FT854" t="inlineStr">
        <is>
          <t>LZPW-12|</t>
        </is>
      </c>
      <c r="FU854" t="inlineStr">
        <is>
          <t>LZPW-12</t>
        </is>
      </c>
      <c r="FV854">
        <f>VLOOKUP(FU854,FD:FL,9,0)</f>
        <v/>
      </c>
    </row>
    <row r="855">
      <c r="FC855" t="inlineStr">
        <is>
          <t>Diccionario 1</t>
        </is>
      </c>
      <c r="FD855" s="15" t="inlineStr"/>
      <c r="FE855" s="17" t="inlineStr">
        <is>
          <t>LVCB4L4D2MM003930</t>
        </is>
      </c>
      <c r="FF855" s="18" t="inlineStr">
        <is>
          <t>M221100374</t>
        </is>
      </c>
      <c r="FG855" s="18" t="inlineStr">
        <is>
          <t>FOTON</t>
        </is>
      </c>
      <c r="FH855" s="18" t="inlineStr">
        <is>
          <t>EBUS U12 SC</t>
        </is>
      </c>
      <c r="FI855" s="18" t="inlineStr">
        <is>
          <t>FOTON</t>
        </is>
      </c>
      <c r="FJ855" s="18" t="inlineStr">
        <is>
          <t>EBUS U12 SC</t>
        </is>
      </c>
      <c r="FK855" s="18" t="n">
        <v>2022</v>
      </c>
      <c r="FL855" s="18" t="inlineStr">
        <is>
          <t>B</t>
        </is>
      </c>
      <c r="FM855" s="18" t="inlineStr">
        <is>
          <t>Santa Rosa</t>
        </is>
      </c>
      <c r="FP855" t="inlineStr">
        <is>
          <t>B</t>
        </is>
      </c>
      <c r="FS855" s="14" t="inlineStr">
        <is>
          <t>LZPT-53|</t>
        </is>
      </c>
      <c r="FT855" t="inlineStr">
        <is>
          <t>LZPT-53|</t>
        </is>
      </c>
      <c r="FU855" t="inlineStr">
        <is>
          <t>LZPT-53</t>
        </is>
      </c>
      <c r="FV855">
        <f>VLOOKUP(FU855,FD:FL,9,0)</f>
        <v/>
      </c>
    </row>
    <row r="856">
      <c r="FC856" t="inlineStr">
        <is>
          <t>Diccionario 1</t>
        </is>
      </c>
      <c r="FD856" s="15" t="inlineStr"/>
      <c r="FE856" s="17" t="inlineStr">
        <is>
          <t>LVCB4L4D4MM003931</t>
        </is>
      </c>
      <c r="FF856" s="18" t="inlineStr">
        <is>
          <t>M221100407</t>
        </is>
      </c>
      <c r="FG856" s="18" t="inlineStr">
        <is>
          <t>FOTON</t>
        </is>
      </c>
      <c r="FH856" s="18" t="inlineStr">
        <is>
          <t>EBUS U12 SC</t>
        </is>
      </c>
      <c r="FI856" s="18" t="inlineStr">
        <is>
          <t>FOTON</t>
        </is>
      </c>
      <c r="FJ856" s="18" t="inlineStr">
        <is>
          <t>EBUS U12 SC</t>
        </is>
      </c>
      <c r="FK856" s="18" t="n">
        <v>2022</v>
      </c>
      <c r="FL856" s="18" t="inlineStr">
        <is>
          <t>B</t>
        </is>
      </c>
      <c r="FM856" s="18" t="inlineStr">
        <is>
          <t>Santa Rosa</t>
        </is>
      </c>
      <c r="FP856" t="inlineStr">
        <is>
          <t>B</t>
        </is>
      </c>
      <c r="FS856" s="14" t="inlineStr">
        <is>
          <t>LXWT-84|</t>
        </is>
      </c>
      <c r="FT856" t="inlineStr">
        <is>
          <t>LXWT-84|</t>
        </is>
      </c>
      <c r="FU856" t="inlineStr">
        <is>
          <t>LXWT-84</t>
        </is>
      </c>
      <c r="FV856">
        <f>VLOOKUP(FU856,FD:FL,9,0)</f>
        <v/>
      </c>
    </row>
    <row r="857">
      <c r="FC857" t="inlineStr">
        <is>
          <t>Diccionario 1</t>
        </is>
      </c>
      <c r="FD857" s="15" t="inlineStr"/>
      <c r="FE857" s="17" t="inlineStr">
        <is>
          <t>LVCB4L4D8MM003933</t>
        </is>
      </c>
      <c r="FF857" s="18" t="inlineStr">
        <is>
          <t>M221110652</t>
        </is>
      </c>
      <c r="FG857" s="18" t="inlineStr">
        <is>
          <t>FOTON</t>
        </is>
      </c>
      <c r="FH857" s="18" t="inlineStr">
        <is>
          <t>EBUS U12 SC</t>
        </is>
      </c>
      <c r="FI857" s="18" t="inlineStr">
        <is>
          <t>FOTON</t>
        </is>
      </c>
      <c r="FJ857" s="18" t="inlineStr">
        <is>
          <t>EBUS U12 SC</t>
        </is>
      </c>
      <c r="FK857" s="18" t="n">
        <v>2022</v>
      </c>
      <c r="FL857" s="18" t="inlineStr">
        <is>
          <t>B</t>
        </is>
      </c>
      <c r="FM857" s="18" t="inlineStr">
        <is>
          <t>Santa Rosa</t>
        </is>
      </c>
      <c r="FP857" t="inlineStr">
        <is>
          <t>B</t>
        </is>
      </c>
      <c r="FS857" s="14" t="inlineStr">
        <is>
          <t>LZPT-55|</t>
        </is>
      </c>
      <c r="FT857" t="inlineStr">
        <is>
          <t>LZPT-55|</t>
        </is>
      </c>
      <c r="FU857" t="inlineStr">
        <is>
          <t>LZPT-55</t>
        </is>
      </c>
      <c r="FV857">
        <f>VLOOKUP(FU857,FD:FL,9,0)</f>
        <v/>
      </c>
    </row>
    <row r="858">
      <c r="FC858" t="inlineStr">
        <is>
          <t>Diccionario 1</t>
        </is>
      </c>
      <c r="FD858" s="15" t="inlineStr"/>
      <c r="FE858" s="17" t="inlineStr">
        <is>
          <t>LVCB4L4D3MM003936</t>
        </is>
      </c>
      <c r="FF858" s="18" t="inlineStr">
        <is>
          <t>M221110487</t>
        </is>
      </c>
      <c r="FG858" s="18" t="inlineStr">
        <is>
          <t>FOTON</t>
        </is>
      </c>
      <c r="FH858" s="18" t="inlineStr">
        <is>
          <t>EBUS U12 SC</t>
        </is>
      </c>
      <c r="FI858" s="18" t="inlineStr">
        <is>
          <t>FOTON</t>
        </is>
      </c>
      <c r="FJ858" s="18" t="inlineStr">
        <is>
          <t>EBUS U12 SC</t>
        </is>
      </c>
      <c r="FK858" s="18" t="n">
        <v>2022</v>
      </c>
      <c r="FL858" s="18" t="inlineStr">
        <is>
          <t>B</t>
        </is>
      </c>
      <c r="FM858" s="18" t="inlineStr">
        <is>
          <t>Santa Rosa</t>
        </is>
      </c>
      <c r="FP858" t="inlineStr">
        <is>
          <t>B</t>
        </is>
      </c>
      <c r="FS858" s="14" t="inlineStr">
        <is>
          <t>LZPT-71|</t>
        </is>
      </c>
      <c r="FT858" t="inlineStr">
        <is>
          <t>LZPT-71|</t>
        </is>
      </c>
      <c r="FU858" t="inlineStr">
        <is>
          <t>LZPT-71</t>
        </is>
      </c>
      <c r="FV858">
        <f>VLOOKUP(FU858,FD:FL,9,0)</f>
        <v/>
      </c>
    </row>
    <row r="859">
      <c r="FC859" t="inlineStr">
        <is>
          <t>Diccionario 1</t>
        </is>
      </c>
      <c r="FD859" s="15" t="inlineStr"/>
      <c r="FE859" s="17" t="inlineStr">
        <is>
          <t>LVCB4L4D5MM003937</t>
        </is>
      </c>
      <c r="FF859" s="18" t="inlineStr">
        <is>
          <t>M221120003</t>
        </is>
      </c>
      <c r="FG859" s="18" t="inlineStr">
        <is>
          <t>FOTON</t>
        </is>
      </c>
      <c r="FH859" s="18" t="inlineStr">
        <is>
          <t>EBUS U12 SC</t>
        </is>
      </c>
      <c r="FI859" s="18" t="inlineStr">
        <is>
          <t>FOTON</t>
        </is>
      </c>
      <c r="FJ859" s="18" t="inlineStr">
        <is>
          <t>EBUS U12 SC</t>
        </is>
      </c>
      <c r="FK859" s="18" t="n">
        <v>2022</v>
      </c>
      <c r="FL859" s="18" t="inlineStr">
        <is>
          <t>B</t>
        </is>
      </c>
      <c r="FM859" s="18" t="inlineStr">
        <is>
          <t>Santa Rosa</t>
        </is>
      </c>
      <c r="FP859" t="inlineStr">
        <is>
          <t>B</t>
        </is>
      </c>
      <c r="FS859" s="14" t="inlineStr">
        <is>
          <t>GCBF-43|</t>
        </is>
      </c>
      <c r="FT859" t="inlineStr">
        <is>
          <t>GCBF-43|</t>
        </is>
      </c>
      <c r="FU859" t="inlineStr">
        <is>
          <t>GCBF-43</t>
        </is>
      </c>
      <c r="FV859">
        <f>VLOOKUP(FU859,FD:FL,9,0)</f>
        <v/>
      </c>
    </row>
    <row r="860">
      <c r="FC860" t="inlineStr">
        <is>
          <t>Diccionario 1</t>
        </is>
      </c>
      <c r="FD860" s="15" t="inlineStr"/>
      <c r="FE860" s="17" t="inlineStr">
        <is>
          <t>LVCB4L4D7MM003938</t>
        </is>
      </c>
      <c r="FF860" s="18" t="inlineStr">
        <is>
          <t>M221100406</t>
        </is>
      </c>
      <c r="FG860" s="18" t="inlineStr">
        <is>
          <t>FOTON</t>
        </is>
      </c>
      <c r="FH860" s="18" t="inlineStr">
        <is>
          <t>EBUS U12 SC</t>
        </is>
      </c>
      <c r="FI860" s="18" t="inlineStr">
        <is>
          <t>FOTON</t>
        </is>
      </c>
      <c r="FJ860" s="18" t="inlineStr">
        <is>
          <t>EBUS U12 SC</t>
        </is>
      </c>
      <c r="FK860" s="18" t="n">
        <v>2022</v>
      </c>
      <c r="FL860" s="18" t="inlineStr">
        <is>
          <t>B</t>
        </is>
      </c>
      <c r="FM860" s="18" t="inlineStr">
        <is>
          <t>Santa Rosa</t>
        </is>
      </c>
      <c r="FP860" t="inlineStr">
        <is>
          <t>B</t>
        </is>
      </c>
      <c r="FS860" s="14" t="inlineStr">
        <is>
          <t>LZPW-19|</t>
        </is>
      </c>
      <c r="FT860" t="inlineStr">
        <is>
          <t>LZPW-19|</t>
        </is>
      </c>
      <c r="FU860" t="inlineStr">
        <is>
          <t>LZPW-19</t>
        </is>
      </c>
      <c r="FV860">
        <f>VLOOKUP(FU860,FD:FL,9,0)</f>
        <v/>
      </c>
    </row>
    <row r="861">
      <c r="FC861" t="inlineStr">
        <is>
          <t>Diccionario 1</t>
        </is>
      </c>
      <c r="FD861" s="15" t="inlineStr"/>
      <c r="FE861" s="17" t="inlineStr">
        <is>
          <t>LVCB4L4D9MM003939</t>
        </is>
      </c>
      <c r="FF861" s="18" t="inlineStr">
        <is>
          <t>M221100435</t>
        </is>
      </c>
      <c r="FG861" s="18" t="inlineStr">
        <is>
          <t>FOTON</t>
        </is>
      </c>
      <c r="FH861" s="18" t="inlineStr">
        <is>
          <t>EBUS U12 SC</t>
        </is>
      </c>
      <c r="FI861" s="18" t="inlineStr">
        <is>
          <t>FOTON</t>
        </is>
      </c>
      <c r="FJ861" s="18" t="inlineStr">
        <is>
          <t>EBUS U12 SC</t>
        </is>
      </c>
      <c r="FK861" s="18" t="n">
        <v>2022</v>
      </c>
      <c r="FL861" s="18" t="inlineStr">
        <is>
          <t>B</t>
        </is>
      </c>
      <c r="FM861" s="18" t="inlineStr">
        <is>
          <t>Recoleta</t>
        </is>
      </c>
      <c r="FP861" t="inlineStr">
        <is>
          <t>B</t>
        </is>
      </c>
      <c r="FS861" s="14" t="inlineStr">
        <is>
          <t>LXWT-83|</t>
        </is>
      </c>
      <c r="FT861" t="inlineStr">
        <is>
          <t>LXWT-83|</t>
        </is>
      </c>
      <c r="FU861" t="inlineStr">
        <is>
          <t>LXWT-83</t>
        </is>
      </c>
      <c r="FV861">
        <f>VLOOKUP(FU861,FD:FL,9,0)</f>
        <v/>
      </c>
    </row>
    <row r="862">
      <c r="FC862" t="inlineStr">
        <is>
          <t>Diccionario 1</t>
        </is>
      </c>
      <c r="FD862" s="15" t="inlineStr"/>
      <c r="FE862" s="17" t="inlineStr">
        <is>
          <t>LVCB4L4D5MM003940</t>
        </is>
      </c>
      <c r="FF862" s="18" t="inlineStr">
        <is>
          <t>M221100409</t>
        </is>
      </c>
      <c r="FG862" s="18" t="inlineStr">
        <is>
          <t>FOTON</t>
        </is>
      </c>
      <c r="FH862" s="18" t="inlineStr">
        <is>
          <t>EBUS U12 SC</t>
        </is>
      </c>
      <c r="FI862" s="18" t="inlineStr">
        <is>
          <t>FOTON</t>
        </is>
      </c>
      <c r="FJ862" s="18" t="inlineStr">
        <is>
          <t>EBUS U12 SC</t>
        </is>
      </c>
      <c r="FK862" s="18" t="n">
        <v>2022</v>
      </c>
      <c r="FL862" s="18" t="inlineStr">
        <is>
          <t>B</t>
        </is>
      </c>
      <c r="FM862" s="18" t="inlineStr">
        <is>
          <t>Santa Rosa</t>
        </is>
      </c>
      <c r="FP862" t="inlineStr">
        <is>
          <t>B</t>
        </is>
      </c>
      <c r="FS862" s="14" t="inlineStr">
        <is>
          <t>LXWT-95|</t>
        </is>
      </c>
      <c r="FT862" t="inlineStr">
        <is>
          <t>LXWT-95|</t>
        </is>
      </c>
      <c r="FU862" t="inlineStr">
        <is>
          <t>LXWT-95</t>
        </is>
      </c>
      <c r="FV862">
        <f>VLOOKUP(FU862,FD:FL,9,0)</f>
        <v/>
      </c>
    </row>
    <row r="863">
      <c r="FC863" t="inlineStr">
        <is>
          <t>Diccionario 1</t>
        </is>
      </c>
      <c r="FD863" s="15" t="inlineStr"/>
      <c r="FE863" s="17" t="inlineStr">
        <is>
          <t>LVCB4L4D7MM003941</t>
        </is>
      </c>
      <c r="FF863" s="18" t="inlineStr">
        <is>
          <t>M221110529</t>
        </is>
      </c>
      <c r="FG863" s="18" t="inlineStr">
        <is>
          <t>FOTON</t>
        </is>
      </c>
      <c r="FH863" s="18" t="inlineStr">
        <is>
          <t>EBUS U12 SC</t>
        </is>
      </c>
      <c r="FI863" s="18" t="inlineStr">
        <is>
          <t>FOTON</t>
        </is>
      </c>
      <c r="FJ863" s="18" t="inlineStr">
        <is>
          <t>EBUS U12 SC</t>
        </is>
      </c>
      <c r="FK863" s="18" t="n">
        <v>2022</v>
      </c>
      <c r="FL863" s="18" t="inlineStr">
        <is>
          <t>B</t>
        </is>
      </c>
      <c r="FM863" s="18" t="inlineStr">
        <is>
          <t>Santa Rosa</t>
        </is>
      </c>
      <c r="FP863" t="inlineStr">
        <is>
          <t>B</t>
        </is>
      </c>
      <c r="FS863" s="14" t="inlineStr">
        <is>
          <t>LZPT-56|</t>
        </is>
      </c>
      <c r="FT863" t="inlineStr">
        <is>
          <t>LZPT-56|</t>
        </is>
      </c>
      <c r="FU863" t="inlineStr">
        <is>
          <t>LZPT-56</t>
        </is>
      </c>
      <c r="FV863">
        <f>VLOOKUP(FU863,FD:FL,9,0)</f>
        <v/>
      </c>
    </row>
    <row r="864">
      <c r="FC864" t="inlineStr">
        <is>
          <t>Diccionario 1</t>
        </is>
      </c>
      <c r="FD864" s="15" t="inlineStr"/>
      <c r="FE864" s="17" t="inlineStr">
        <is>
          <t>LVCB4L4D0MM003943</t>
        </is>
      </c>
      <c r="FF864" s="18" t="inlineStr">
        <is>
          <t>M221100548</t>
        </is>
      </c>
      <c r="FG864" s="18" t="inlineStr">
        <is>
          <t>FOTON</t>
        </is>
      </c>
      <c r="FH864" s="18" t="inlineStr">
        <is>
          <t>EBUS U12 SC</t>
        </is>
      </c>
      <c r="FI864" s="18" t="inlineStr">
        <is>
          <t>FOTON</t>
        </is>
      </c>
      <c r="FJ864" s="18" t="inlineStr">
        <is>
          <t>EBUS U12 SC</t>
        </is>
      </c>
      <c r="FK864" s="18" t="n">
        <v>2022</v>
      </c>
      <c r="FL864" s="18" t="inlineStr">
        <is>
          <t>B</t>
        </is>
      </c>
      <c r="FM864" s="18" t="inlineStr">
        <is>
          <t>Recoleta</t>
        </is>
      </c>
      <c r="FP864" t="inlineStr">
        <is>
          <t>B</t>
        </is>
      </c>
      <c r="FS864" s="14" t="inlineStr">
        <is>
          <t>LZPS-23|</t>
        </is>
      </c>
      <c r="FT864" t="inlineStr">
        <is>
          <t>LZPS-23|</t>
        </is>
      </c>
      <c r="FU864" t="inlineStr">
        <is>
          <t>LZPS-23</t>
        </is>
      </c>
      <c r="FV864">
        <f>VLOOKUP(FU864,FD:FL,9,0)</f>
        <v/>
      </c>
    </row>
    <row r="865">
      <c r="FC865" t="inlineStr">
        <is>
          <t>Diccionario 1</t>
        </is>
      </c>
      <c r="FD865" s="15" t="inlineStr"/>
      <c r="FE865" s="17" t="inlineStr">
        <is>
          <t>LVCB4L4D8MM003947</t>
        </is>
      </c>
      <c r="FF865" s="18" t="inlineStr">
        <is>
          <t>M221110648</t>
        </is>
      </c>
      <c r="FG865" s="18" t="inlineStr">
        <is>
          <t>FOTON</t>
        </is>
      </c>
      <c r="FH865" s="18" t="inlineStr">
        <is>
          <t>EBUS U12 SC</t>
        </is>
      </c>
      <c r="FI865" s="18" t="inlineStr">
        <is>
          <t>FOTON</t>
        </is>
      </c>
      <c r="FJ865" s="18" t="inlineStr">
        <is>
          <t>EBUS U12 SC</t>
        </is>
      </c>
      <c r="FK865" s="18" t="n">
        <v>2022</v>
      </c>
      <c r="FL865" s="18" t="inlineStr">
        <is>
          <t>B</t>
        </is>
      </c>
      <c r="FM865" s="18" t="inlineStr">
        <is>
          <t>Santa Rosa</t>
        </is>
      </c>
      <c r="FP865" t="inlineStr">
        <is>
          <t>B</t>
        </is>
      </c>
      <c r="FS865" s="14" t="inlineStr">
        <is>
          <t>LZPR-87|</t>
        </is>
      </c>
      <c r="FT865" t="inlineStr">
        <is>
          <t>LZPR-87|</t>
        </is>
      </c>
      <c r="FU865" t="inlineStr">
        <is>
          <t>LZPR-87</t>
        </is>
      </c>
      <c r="FV865">
        <f>VLOOKUP(FU865,FD:FL,9,0)</f>
        <v/>
      </c>
    </row>
    <row r="866">
      <c r="FC866" t="inlineStr">
        <is>
          <t>Diccionario 1</t>
        </is>
      </c>
      <c r="FD866" s="15" t="inlineStr"/>
      <c r="FE866" s="17" t="inlineStr">
        <is>
          <t>LVCB4L4D8MM003950</t>
        </is>
      </c>
      <c r="FF866" s="18" t="inlineStr">
        <is>
          <t>M221100399</t>
        </is>
      </c>
      <c r="FG866" s="18" t="inlineStr">
        <is>
          <t>FOTON</t>
        </is>
      </c>
      <c r="FH866" s="18" t="inlineStr">
        <is>
          <t>EBUS U12 SC</t>
        </is>
      </c>
      <c r="FI866" s="18" t="inlineStr">
        <is>
          <t>FOTON</t>
        </is>
      </c>
      <c r="FJ866" s="18" t="inlineStr">
        <is>
          <t>EBUS U12 SC</t>
        </is>
      </c>
      <c r="FK866" s="18" t="n">
        <v>2022</v>
      </c>
      <c r="FL866" s="18" t="inlineStr">
        <is>
          <t>B</t>
        </is>
      </c>
      <c r="FM866" s="18" t="inlineStr">
        <is>
          <t>Santa Rosa</t>
        </is>
      </c>
      <c r="FP866" t="inlineStr">
        <is>
          <t>B</t>
        </is>
      </c>
      <c r="FS866" s="14" t="inlineStr">
        <is>
          <t>LXWT-82|</t>
        </is>
      </c>
      <c r="FT866" t="inlineStr">
        <is>
          <t>LXWT-82|</t>
        </is>
      </c>
      <c r="FU866" t="inlineStr">
        <is>
          <t>LXWT-82</t>
        </is>
      </c>
      <c r="FV866">
        <f>VLOOKUP(FU866,FD:FL,9,0)</f>
        <v/>
      </c>
    </row>
    <row r="867">
      <c r="FC867" t="inlineStr">
        <is>
          <t>Diccionario 1</t>
        </is>
      </c>
      <c r="FD867" s="15" t="inlineStr"/>
      <c r="FE867" s="17" t="inlineStr">
        <is>
          <t>LVCB4L4DXMM003951</t>
        </is>
      </c>
      <c r="FF867" s="18" t="inlineStr">
        <is>
          <t>M221110650</t>
        </is>
      </c>
      <c r="FG867" s="18" t="inlineStr">
        <is>
          <t>FOTON</t>
        </is>
      </c>
      <c r="FH867" s="18" t="inlineStr">
        <is>
          <t>EBUS U12 SC</t>
        </is>
      </c>
      <c r="FI867" s="18" t="inlineStr">
        <is>
          <t>FOTON</t>
        </is>
      </c>
      <c r="FJ867" s="18" t="inlineStr">
        <is>
          <t>EBUS U12 SC</t>
        </is>
      </c>
      <c r="FK867" s="18" t="n">
        <v>2022</v>
      </c>
      <c r="FL867" s="18" t="inlineStr">
        <is>
          <t>B</t>
        </is>
      </c>
      <c r="FM867" s="18" t="inlineStr">
        <is>
          <t>Santa Rosa</t>
        </is>
      </c>
      <c r="FP867" t="inlineStr">
        <is>
          <t>B</t>
        </is>
      </c>
      <c r="FS867" s="14" t="inlineStr">
        <is>
          <t>LZPG-23|</t>
        </is>
      </c>
      <c r="FT867" t="inlineStr">
        <is>
          <t>LZPG-23|</t>
        </is>
      </c>
      <c r="FU867" t="inlineStr">
        <is>
          <t>LZPG-23</t>
        </is>
      </c>
      <c r="FV867">
        <f>VLOOKUP(FU867,FD:FL,9,0)</f>
        <v/>
      </c>
    </row>
    <row r="868">
      <c r="FC868" t="inlineStr">
        <is>
          <t>Diccionario 1</t>
        </is>
      </c>
      <c r="FD868" s="15" t="inlineStr"/>
      <c r="FE868" s="17" t="inlineStr">
        <is>
          <t>LVCB4L4D1MM003952</t>
        </is>
      </c>
      <c r="FF868" s="18" t="inlineStr">
        <is>
          <t>M221100302</t>
        </is>
      </c>
      <c r="FG868" s="18" t="inlineStr">
        <is>
          <t>FOTON</t>
        </is>
      </c>
      <c r="FH868" s="18" t="inlineStr">
        <is>
          <t>EBUS U12 SC</t>
        </is>
      </c>
      <c r="FI868" s="18" t="inlineStr">
        <is>
          <t>FOTON</t>
        </is>
      </c>
      <c r="FJ868" s="18" t="inlineStr">
        <is>
          <t>EBUS U12 SC</t>
        </is>
      </c>
      <c r="FK868" s="18" t="n">
        <v>2022</v>
      </c>
      <c r="FL868" s="18" t="inlineStr">
        <is>
          <t>B</t>
        </is>
      </c>
      <c r="FM868" s="18" t="inlineStr">
        <is>
          <t>Santa Rosa</t>
        </is>
      </c>
      <c r="FP868" t="inlineStr">
        <is>
          <t>B</t>
        </is>
      </c>
      <c r="FS868" s="14" t="inlineStr">
        <is>
          <t>LZPG-20</t>
        </is>
      </c>
      <c r="FT868" t="inlineStr">
        <is>
          <t>LZPG-20</t>
        </is>
      </c>
      <c r="FU868" t="inlineStr">
        <is>
          <t>LZPG-20</t>
        </is>
      </c>
      <c r="FV868">
        <f>VLOOKUP(FU868,FD:FL,9,0)</f>
        <v/>
      </c>
    </row>
    <row r="869">
      <c r="FC869" t="inlineStr">
        <is>
          <t>Diccionario 1</t>
        </is>
      </c>
      <c r="FD869" s="15" t="inlineStr"/>
      <c r="FE869" s="17" t="inlineStr">
        <is>
          <t>LVCB4L4D3MM003953</t>
        </is>
      </c>
      <c r="FF869" s="18" t="inlineStr">
        <is>
          <t>M221100373</t>
        </is>
      </c>
      <c r="FG869" s="18" t="inlineStr">
        <is>
          <t>FOTON</t>
        </is>
      </c>
      <c r="FH869" s="18" t="inlineStr">
        <is>
          <t>EBUS U12 SC</t>
        </is>
      </c>
      <c r="FI869" s="18" t="inlineStr">
        <is>
          <t>FOTON</t>
        </is>
      </c>
      <c r="FJ869" s="18" t="inlineStr">
        <is>
          <t>EBUS U12 SC</t>
        </is>
      </c>
      <c r="FK869" s="18" t="n">
        <v>2022</v>
      </c>
      <c r="FL869" s="18" t="inlineStr">
        <is>
          <t>B</t>
        </is>
      </c>
      <c r="FM869" s="18" t="inlineStr">
        <is>
          <t>Santa Rosa</t>
        </is>
      </c>
      <c r="FP869" t="inlineStr">
        <is>
          <t>B</t>
        </is>
      </c>
      <c r="FS869" s="14" t="inlineStr">
        <is>
          <t>LZPS-17</t>
        </is>
      </c>
      <c r="FT869" t="inlineStr">
        <is>
          <t>LZPS-17</t>
        </is>
      </c>
      <c r="FU869" t="inlineStr">
        <is>
          <t>LZPS-17</t>
        </is>
      </c>
      <c r="FV869">
        <f>VLOOKUP(FU869,FD:FL,9,0)</f>
        <v/>
      </c>
    </row>
    <row r="870">
      <c r="FC870" t="inlineStr">
        <is>
          <t>Diccionario 1</t>
        </is>
      </c>
      <c r="FD870" s="15" t="inlineStr"/>
      <c r="FE870" s="17" t="inlineStr">
        <is>
          <t>LVCB4L4D7MM003955</t>
        </is>
      </c>
      <c r="FF870" s="18" t="inlineStr">
        <is>
          <t>M221100404</t>
        </is>
      </c>
      <c r="FG870" s="18" t="inlineStr">
        <is>
          <t>FOTON</t>
        </is>
      </c>
      <c r="FH870" s="18" t="inlineStr">
        <is>
          <t>EBUS U12 SC</t>
        </is>
      </c>
      <c r="FI870" s="18" t="inlineStr">
        <is>
          <t>FOTON</t>
        </is>
      </c>
      <c r="FJ870" s="18" t="inlineStr">
        <is>
          <t>EBUS U12 SC</t>
        </is>
      </c>
      <c r="FK870" s="18" t="n">
        <v>2022</v>
      </c>
      <c r="FL870" s="18" t="inlineStr">
        <is>
          <t>B</t>
        </is>
      </c>
      <c r="FM870" s="18" t="inlineStr">
        <is>
          <t>Santa Rosa</t>
        </is>
      </c>
      <c r="FP870" t="inlineStr">
        <is>
          <t>B</t>
        </is>
      </c>
      <c r="FS870" s="14" t="inlineStr">
        <is>
          <t>LZPG-27</t>
        </is>
      </c>
      <c r="FT870" t="inlineStr">
        <is>
          <t>LZPG-27</t>
        </is>
      </c>
      <c r="FU870" t="inlineStr">
        <is>
          <t>LZPG-27</t>
        </is>
      </c>
      <c r="FV870">
        <f>VLOOKUP(FU870,FD:FL,9,0)</f>
        <v/>
      </c>
    </row>
    <row r="871">
      <c r="FC871" t="inlineStr">
        <is>
          <t>Diccionario 1</t>
        </is>
      </c>
      <c r="FD871" s="15" t="inlineStr"/>
      <c r="FE871" s="17" t="inlineStr">
        <is>
          <t>LVCB4L4D2MM003958</t>
        </is>
      </c>
      <c r="FF871" s="18" t="inlineStr">
        <is>
          <t>M221100512</t>
        </is>
      </c>
      <c r="FG871" s="18" t="inlineStr">
        <is>
          <t>FOTON</t>
        </is>
      </c>
      <c r="FH871" s="18" t="inlineStr">
        <is>
          <t>EBUS U12 SC</t>
        </is>
      </c>
      <c r="FI871" s="18" t="inlineStr">
        <is>
          <t>FOTON</t>
        </is>
      </c>
      <c r="FJ871" s="18" t="inlineStr">
        <is>
          <t>EBUS U12 SC</t>
        </is>
      </c>
      <c r="FK871" s="18" t="n">
        <v>2022</v>
      </c>
      <c r="FL871" s="18" t="inlineStr">
        <is>
          <t>B</t>
        </is>
      </c>
      <c r="FM871" s="18" t="inlineStr">
        <is>
          <t>Santa Rosa</t>
        </is>
      </c>
      <c r="FP871" t="inlineStr">
        <is>
          <t>B</t>
        </is>
      </c>
      <c r="FS871" s="14" t="inlineStr">
        <is>
          <t>LZPW-11</t>
        </is>
      </c>
      <c r="FT871" t="inlineStr">
        <is>
          <t>LZPW-11</t>
        </is>
      </c>
      <c r="FU871" t="inlineStr">
        <is>
          <t>LZPW-11</t>
        </is>
      </c>
      <c r="FV871">
        <f>VLOOKUP(FU871,FD:FL,9,0)</f>
        <v/>
      </c>
    </row>
    <row r="872">
      <c r="FC872" t="inlineStr">
        <is>
          <t>Diccionario 1</t>
        </is>
      </c>
      <c r="FD872" s="15" t="inlineStr"/>
      <c r="FE872" s="17" t="inlineStr">
        <is>
          <t>LVCB4L4D0MM003960</t>
        </is>
      </c>
      <c r="FF872" s="18" t="inlineStr">
        <is>
          <t>M221110581</t>
        </is>
      </c>
      <c r="FG872" s="18" t="inlineStr">
        <is>
          <t>FOTON</t>
        </is>
      </c>
      <c r="FH872" s="18" t="inlineStr">
        <is>
          <t>EBUS U12 SC</t>
        </is>
      </c>
      <c r="FI872" s="18" t="inlineStr">
        <is>
          <t>FOTON</t>
        </is>
      </c>
      <c r="FJ872" s="18" t="inlineStr">
        <is>
          <t>EBUS U12 SC</t>
        </is>
      </c>
      <c r="FK872" s="18" t="n">
        <v>2022</v>
      </c>
      <c r="FL872" s="18" t="inlineStr">
        <is>
          <t>B</t>
        </is>
      </c>
      <c r="FM872" s="18" t="inlineStr">
        <is>
          <t>Recoleta</t>
        </is>
      </c>
      <c r="FP872" t="inlineStr">
        <is>
          <t>B</t>
        </is>
      </c>
      <c r="FS872" s="14" t="inlineStr">
        <is>
          <t>LZRB-86</t>
        </is>
      </c>
      <c r="FT872" t="inlineStr">
        <is>
          <t>LZRB-86</t>
        </is>
      </c>
      <c r="FU872" t="inlineStr">
        <is>
          <t>LZRB-86</t>
        </is>
      </c>
      <c r="FV872">
        <f>VLOOKUP(FU872,FD:FL,9,0)</f>
        <v/>
      </c>
    </row>
    <row r="873">
      <c r="FC873" t="inlineStr">
        <is>
          <t>Diccionario 1</t>
        </is>
      </c>
      <c r="FD873" s="15" t="inlineStr"/>
      <c r="FE873" s="17" t="inlineStr">
        <is>
          <t>LVCB4L4D2MM003961</t>
        </is>
      </c>
      <c r="FF873" s="18" t="inlineStr">
        <is>
          <t>M221100478</t>
        </is>
      </c>
      <c r="FG873" s="18" t="inlineStr">
        <is>
          <t>FOTON</t>
        </is>
      </c>
      <c r="FH873" s="18" t="inlineStr">
        <is>
          <t>EBUS U12 SC</t>
        </is>
      </c>
      <c r="FI873" s="18" t="inlineStr">
        <is>
          <t>FOTON</t>
        </is>
      </c>
      <c r="FJ873" s="18" t="inlineStr">
        <is>
          <t>EBUS U12 SC</t>
        </is>
      </c>
      <c r="FK873" s="18" t="n">
        <v>2022</v>
      </c>
      <c r="FL873" s="18" t="inlineStr">
        <is>
          <t>B</t>
        </is>
      </c>
      <c r="FM873" s="18" t="inlineStr">
        <is>
          <t>Recoleta</t>
        </is>
      </c>
      <c r="FP873" t="inlineStr">
        <is>
          <t>B</t>
        </is>
      </c>
      <c r="FS873" s="14" t="inlineStr">
        <is>
          <t>LZPS-18</t>
        </is>
      </c>
      <c r="FT873" t="inlineStr">
        <is>
          <t>LZPS-18</t>
        </is>
      </c>
      <c r="FU873" t="inlineStr">
        <is>
          <t>LZPS-18</t>
        </is>
      </c>
      <c r="FV873">
        <f>VLOOKUP(FU873,FD:FL,9,0)</f>
        <v/>
      </c>
    </row>
    <row r="874">
      <c r="FC874" t="inlineStr">
        <is>
          <t>Diccionario 1</t>
        </is>
      </c>
      <c r="FD874" s="15" t="inlineStr"/>
      <c r="FE874" s="17" t="inlineStr">
        <is>
          <t>LVCB4L4D4MM003962</t>
        </is>
      </c>
      <c r="FF874" s="18" t="inlineStr">
        <is>
          <t>M221100440</t>
        </is>
      </c>
      <c r="FG874" s="18" t="inlineStr">
        <is>
          <t>FOTON</t>
        </is>
      </c>
      <c r="FH874" s="18" t="inlineStr">
        <is>
          <t>EBUS U12 SC</t>
        </is>
      </c>
      <c r="FI874" s="18" t="inlineStr">
        <is>
          <t>FOTON</t>
        </is>
      </c>
      <c r="FJ874" s="18" t="inlineStr">
        <is>
          <t>EBUS U12 SC</t>
        </is>
      </c>
      <c r="FK874" s="18" t="n">
        <v>2022</v>
      </c>
      <c r="FL874" s="18" t="inlineStr">
        <is>
          <t>B</t>
        </is>
      </c>
      <c r="FM874" s="18" t="inlineStr">
        <is>
          <t>Santa Rosa</t>
        </is>
      </c>
      <c r="FP874" t="inlineStr">
        <is>
          <t>B</t>
        </is>
      </c>
      <c r="FS874" s="14" t="inlineStr">
        <is>
          <t>LZPT-69</t>
        </is>
      </c>
      <c r="FT874" t="inlineStr">
        <is>
          <t>LZPT-69</t>
        </is>
      </c>
      <c r="FU874" t="inlineStr">
        <is>
          <t>LZPT-69</t>
        </is>
      </c>
      <c r="FV874">
        <f>VLOOKUP(FU874,FD:FL,9,0)</f>
        <v/>
      </c>
    </row>
    <row r="875">
      <c r="FC875" t="inlineStr">
        <is>
          <t>Diccionario 1</t>
        </is>
      </c>
      <c r="FD875" s="15" t="inlineStr"/>
      <c r="FE875" s="17" t="inlineStr">
        <is>
          <t>LVCB4L4D3MM003967</t>
        </is>
      </c>
      <c r="FF875" s="18" t="inlineStr">
        <is>
          <t>M221110579</t>
        </is>
      </c>
      <c r="FG875" s="18" t="inlineStr">
        <is>
          <t>FOTON</t>
        </is>
      </c>
      <c r="FH875" s="18" t="inlineStr">
        <is>
          <t>EBUS U12 SC</t>
        </is>
      </c>
      <c r="FI875" s="18" t="inlineStr">
        <is>
          <t>FOTON</t>
        </is>
      </c>
      <c r="FJ875" s="18" t="inlineStr">
        <is>
          <t>EBUS U12 SC</t>
        </is>
      </c>
      <c r="FK875" s="18" t="n">
        <v>2022</v>
      </c>
      <c r="FL875" s="18" t="inlineStr">
        <is>
          <t>B</t>
        </is>
      </c>
      <c r="FM875" s="18" t="inlineStr">
        <is>
          <t>Santa Rosa</t>
        </is>
      </c>
      <c r="FP875" t="inlineStr">
        <is>
          <t>B</t>
        </is>
      </c>
      <c r="FS875" s="14" t="inlineStr">
        <is>
          <t>LXWT-91</t>
        </is>
      </c>
      <c r="FT875" t="inlineStr">
        <is>
          <t>LXWT-91</t>
        </is>
      </c>
      <c r="FU875" t="inlineStr">
        <is>
          <t>LXWT-91</t>
        </is>
      </c>
      <c r="FV875">
        <f>VLOOKUP(FU875,FD:FL,9,0)</f>
        <v/>
      </c>
    </row>
    <row r="876">
      <c r="FC876" t="inlineStr">
        <is>
          <t>Diccionario 1</t>
        </is>
      </c>
      <c r="FD876" s="15" t="inlineStr"/>
      <c r="FE876" s="17" t="inlineStr">
        <is>
          <t>LVCB4L4D5MM003968</t>
        </is>
      </c>
      <c r="FF876" s="18" t="inlineStr">
        <is>
          <t>M221110110</t>
        </is>
      </c>
      <c r="FG876" s="18" t="inlineStr">
        <is>
          <t>FOTON</t>
        </is>
      </c>
      <c r="FH876" s="18" t="inlineStr">
        <is>
          <t>EBUS U12 SC</t>
        </is>
      </c>
      <c r="FI876" s="18" t="inlineStr">
        <is>
          <t>FOTON</t>
        </is>
      </c>
      <c r="FJ876" s="18" t="inlineStr">
        <is>
          <t>EBUS U12 SC</t>
        </is>
      </c>
      <c r="FK876" s="18" t="n">
        <v>2022</v>
      </c>
      <c r="FL876" s="18" t="inlineStr">
        <is>
          <t>B</t>
        </is>
      </c>
      <c r="FM876" s="18" t="inlineStr">
        <is>
          <t>Santa Rosa</t>
        </is>
      </c>
      <c r="FP876" t="inlineStr">
        <is>
          <t>B</t>
        </is>
      </c>
      <c r="FS876" s="14" t="inlineStr">
        <is>
          <t>LZPR-84|</t>
        </is>
      </c>
      <c r="FT876" t="inlineStr">
        <is>
          <t>LZPR-84|</t>
        </is>
      </c>
      <c r="FU876" t="inlineStr">
        <is>
          <t>LZPR-84</t>
        </is>
      </c>
      <c r="FV876">
        <f>VLOOKUP(FU876,FD:FL,9,0)</f>
        <v/>
      </c>
    </row>
    <row r="877">
      <c r="FC877" t="inlineStr">
        <is>
          <t>Diccionario 1</t>
        </is>
      </c>
      <c r="FD877" s="15" t="inlineStr"/>
      <c r="FE877" s="17" t="inlineStr">
        <is>
          <t>LVCB4L4D7MM003969</t>
        </is>
      </c>
      <c r="FF877" s="18" t="inlineStr">
        <is>
          <t>M221100513</t>
        </is>
      </c>
      <c r="FG877" s="18" t="inlineStr">
        <is>
          <t>FOTON</t>
        </is>
      </c>
      <c r="FH877" s="18" t="inlineStr">
        <is>
          <t>EBUS U12 SC</t>
        </is>
      </c>
      <c r="FI877" s="18" t="inlineStr">
        <is>
          <t>FOTON</t>
        </is>
      </c>
      <c r="FJ877" s="18" t="inlineStr">
        <is>
          <t>EBUS U12 SC</t>
        </is>
      </c>
      <c r="FK877" s="18" t="n">
        <v>2022</v>
      </c>
      <c r="FL877" s="18" t="inlineStr">
        <is>
          <t>B</t>
        </is>
      </c>
      <c r="FM877" s="18" t="inlineStr">
        <is>
          <t>Santa Rosa</t>
        </is>
      </c>
      <c r="FP877" t="inlineStr">
        <is>
          <t>B</t>
        </is>
      </c>
      <c r="FS877" s="14" t="inlineStr">
        <is>
          <t>LZPT-41|</t>
        </is>
      </c>
      <c r="FT877" t="inlineStr">
        <is>
          <t>LZPT-41|</t>
        </is>
      </c>
      <c r="FU877" t="inlineStr">
        <is>
          <t>LZPT-41</t>
        </is>
      </c>
      <c r="FV877">
        <f>VLOOKUP(FU877,FD:FL,9,0)</f>
        <v/>
      </c>
    </row>
    <row r="878">
      <c r="FC878" t="inlineStr">
        <is>
          <t>Diccionario 1</t>
        </is>
      </c>
      <c r="FD878" s="15" t="inlineStr"/>
      <c r="FE878" s="17" t="inlineStr">
        <is>
          <t>LVCB4L4D3MM003970</t>
        </is>
      </c>
      <c r="FF878" s="18" t="inlineStr">
        <is>
          <t>M221110654</t>
        </is>
      </c>
      <c r="FG878" s="18" t="inlineStr">
        <is>
          <t>FOTON</t>
        </is>
      </c>
      <c r="FH878" s="18" t="inlineStr">
        <is>
          <t>EBUS U12 SC</t>
        </is>
      </c>
      <c r="FI878" s="18" t="inlineStr">
        <is>
          <t>FOTON</t>
        </is>
      </c>
      <c r="FJ878" s="18" t="inlineStr">
        <is>
          <t>EBUS U12 SC</t>
        </is>
      </c>
      <c r="FK878" s="18" t="n">
        <v>2022</v>
      </c>
      <c r="FL878" s="18" t="inlineStr">
        <is>
          <t>B</t>
        </is>
      </c>
      <c r="FM878" s="18" t="inlineStr">
        <is>
          <t>Santa Rosa</t>
        </is>
      </c>
      <c r="FP878" t="inlineStr">
        <is>
          <t>B</t>
        </is>
      </c>
      <c r="FS878" s="14" t="inlineStr">
        <is>
          <t>LZPG-12|</t>
        </is>
      </c>
      <c r="FT878" t="inlineStr">
        <is>
          <t>LZPG-12|</t>
        </is>
      </c>
      <c r="FU878" t="inlineStr">
        <is>
          <t>LZPG-12</t>
        </is>
      </c>
      <c r="FV878">
        <f>VLOOKUP(FU878,FD:FL,9,0)</f>
        <v/>
      </c>
    </row>
    <row r="879">
      <c r="FC879" t="inlineStr">
        <is>
          <t>Diccionario 1</t>
        </is>
      </c>
      <c r="FD879" s="15" t="inlineStr"/>
      <c r="FE879" s="17" t="inlineStr">
        <is>
          <t>LVCB4L4D5MM003971</t>
        </is>
      </c>
      <c r="FF879" s="18" t="inlineStr">
        <is>
          <t>M221100476</t>
        </is>
      </c>
      <c r="FG879" s="18" t="inlineStr">
        <is>
          <t>FOTON</t>
        </is>
      </c>
      <c r="FH879" s="18" t="inlineStr">
        <is>
          <t>EBUS U12 SC</t>
        </is>
      </c>
      <c r="FI879" s="18" t="inlineStr">
        <is>
          <t>FOTON</t>
        </is>
      </c>
      <c r="FJ879" s="18" t="inlineStr">
        <is>
          <t>EBUS U12 SC</t>
        </is>
      </c>
      <c r="FK879" s="18" t="n">
        <v>2022</v>
      </c>
      <c r="FL879" s="18" t="inlineStr">
        <is>
          <t>B</t>
        </is>
      </c>
      <c r="FM879" s="18" t="inlineStr">
        <is>
          <t>Santa Rosa</t>
        </is>
      </c>
      <c r="FP879" t="inlineStr">
        <is>
          <t>B</t>
        </is>
      </c>
      <c r="FS879" s="14" t="inlineStr">
        <is>
          <t>LZPS-25|</t>
        </is>
      </c>
      <c r="FT879" t="inlineStr">
        <is>
          <t>LZPS-25|</t>
        </is>
      </c>
      <c r="FU879" t="inlineStr">
        <is>
          <t>LZPS-25</t>
        </is>
      </c>
      <c r="FV879">
        <f>VLOOKUP(FU879,FD:FL,9,0)</f>
        <v/>
      </c>
    </row>
    <row r="880">
      <c r="FC880" t="inlineStr">
        <is>
          <t>Diccionario 1</t>
        </is>
      </c>
      <c r="FD880" s="15" t="inlineStr"/>
      <c r="FE880" s="17" t="inlineStr">
        <is>
          <t>LVCB4L4D9MM003973</t>
        </is>
      </c>
      <c r="FF880" s="18" t="inlineStr">
        <is>
          <t>M221100410</t>
        </is>
      </c>
      <c r="FG880" s="18" t="inlineStr">
        <is>
          <t>FOTON</t>
        </is>
      </c>
      <c r="FH880" s="18" t="inlineStr">
        <is>
          <t>EBUS U12 SC</t>
        </is>
      </c>
      <c r="FI880" s="18" t="inlineStr">
        <is>
          <t>FOTON</t>
        </is>
      </c>
      <c r="FJ880" s="18" t="inlineStr">
        <is>
          <t>EBUS U12 SC</t>
        </is>
      </c>
      <c r="FK880" s="18" t="n">
        <v>2022</v>
      </c>
      <c r="FL880" s="18" t="inlineStr">
        <is>
          <t>B</t>
        </is>
      </c>
      <c r="FM880" s="18" t="inlineStr">
        <is>
          <t>Recoleta</t>
        </is>
      </c>
      <c r="FP880" t="inlineStr">
        <is>
          <t>B</t>
        </is>
      </c>
      <c r="FS880" s="14" t="inlineStr">
        <is>
          <t>LZPR-92|</t>
        </is>
      </c>
      <c r="FT880" t="inlineStr">
        <is>
          <t>LZPR-92|</t>
        </is>
      </c>
      <c r="FU880" t="inlineStr">
        <is>
          <t>LZPR-92</t>
        </is>
      </c>
      <c r="FV880">
        <f>VLOOKUP(FU880,FD:FL,9,0)</f>
        <v/>
      </c>
    </row>
    <row r="881">
      <c r="FC881" t="inlineStr">
        <is>
          <t>Diccionario 1</t>
        </is>
      </c>
      <c r="FD881" s="15" t="inlineStr"/>
      <c r="FE881" s="17" t="inlineStr">
        <is>
          <t>LVCB4L4D4MM003976</t>
        </is>
      </c>
      <c r="FF881" s="18" t="inlineStr">
        <is>
          <t>M221120001</t>
        </is>
      </c>
      <c r="FG881" s="18" t="inlineStr">
        <is>
          <t>FOTON</t>
        </is>
      </c>
      <c r="FH881" s="18" t="inlineStr">
        <is>
          <t>EBUS U12 SC</t>
        </is>
      </c>
      <c r="FI881" s="18" t="inlineStr">
        <is>
          <t>FOTON</t>
        </is>
      </c>
      <c r="FJ881" s="18" t="inlineStr">
        <is>
          <t>EBUS U12 SC</t>
        </is>
      </c>
      <c r="FK881" s="18" t="n">
        <v>2022</v>
      </c>
      <c r="FL881" s="18" t="inlineStr">
        <is>
          <t>B</t>
        </is>
      </c>
      <c r="FM881" s="18" t="inlineStr">
        <is>
          <t>Recoleta</t>
        </is>
      </c>
      <c r="FP881" t="inlineStr">
        <is>
          <t>B</t>
        </is>
      </c>
      <c r="FS881" s="14" t="inlineStr">
        <is>
          <t>LXWT-87|</t>
        </is>
      </c>
      <c r="FT881" t="inlineStr">
        <is>
          <t>LXWT-87|</t>
        </is>
      </c>
      <c r="FU881" t="inlineStr">
        <is>
          <t>LXWT-87</t>
        </is>
      </c>
      <c r="FV881">
        <f>VLOOKUP(FU881,FD:FL,9,0)</f>
        <v/>
      </c>
    </row>
    <row r="882">
      <c r="FC882" t="inlineStr">
        <is>
          <t>Diccionario 1</t>
        </is>
      </c>
      <c r="FD882" s="15" t="inlineStr"/>
      <c r="FE882" s="17" t="inlineStr">
        <is>
          <t>LVCB4L4D6MM003977</t>
        </is>
      </c>
      <c r="FF882" s="18" t="inlineStr">
        <is>
          <t>M221110536</t>
        </is>
      </c>
      <c r="FG882" s="18" t="inlineStr">
        <is>
          <t>FOTON</t>
        </is>
      </c>
      <c r="FH882" s="18" t="inlineStr">
        <is>
          <t>EBUS U12 SC</t>
        </is>
      </c>
      <c r="FI882" s="18" t="inlineStr">
        <is>
          <t>FOTON</t>
        </is>
      </c>
      <c r="FJ882" s="18" t="inlineStr">
        <is>
          <t>EBUS U12 SC</t>
        </is>
      </c>
      <c r="FK882" s="18" t="n">
        <v>2022</v>
      </c>
      <c r="FL882" s="18" t="inlineStr">
        <is>
          <t>B</t>
        </is>
      </c>
      <c r="FM882" s="18" t="inlineStr">
        <is>
          <t>Recoleta</t>
        </is>
      </c>
      <c r="FP882" t="inlineStr">
        <is>
          <t>B</t>
        </is>
      </c>
      <c r="FS882" s="14" t="inlineStr">
        <is>
          <t>LZPR-89|</t>
        </is>
      </c>
      <c r="FT882" t="inlineStr">
        <is>
          <t>LZPR-89|</t>
        </is>
      </c>
      <c r="FU882" t="inlineStr">
        <is>
          <t>LZPR-89</t>
        </is>
      </c>
      <c r="FV882">
        <f>VLOOKUP(FU882,FD:FL,9,0)</f>
        <v/>
      </c>
    </row>
    <row r="883">
      <c r="FC883" t="inlineStr">
        <is>
          <t>Diccionario 1</t>
        </is>
      </c>
      <c r="FD883" s="15" t="inlineStr"/>
      <c r="FE883" s="17" t="inlineStr">
        <is>
          <t>LVCB4L4DXMM003979</t>
        </is>
      </c>
      <c r="FF883" s="18" t="inlineStr">
        <is>
          <t>M221110535</t>
        </is>
      </c>
      <c r="FG883" s="18" t="inlineStr">
        <is>
          <t>FOTON</t>
        </is>
      </c>
      <c r="FH883" s="18" t="inlineStr">
        <is>
          <t>EBUS U12 SC</t>
        </is>
      </c>
      <c r="FI883" s="18" t="inlineStr">
        <is>
          <t>FOTON</t>
        </is>
      </c>
      <c r="FJ883" s="18" t="inlineStr">
        <is>
          <t>EBUS U12 SC</t>
        </is>
      </c>
      <c r="FK883" s="18" t="n">
        <v>2022</v>
      </c>
      <c r="FL883" s="18" t="inlineStr">
        <is>
          <t>B</t>
        </is>
      </c>
      <c r="FM883" s="18" t="inlineStr">
        <is>
          <t>Santa Rosa</t>
        </is>
      </c>
      <c r="FP883" t="inlineStr">
        <is>
          <t>B</t>
        </is>
      </c>
      <c r="FS883" s="14" t="inlineStr">
        <is>
          <t>VJXC-42|</t>
        </is>
      </c>
      <c r="FT883" t="inlineStr">
        <is>
          <t>VJXC-42|</t>
        </is>
      </c>
      <c r="FU883" t="inlineStr">
        <is>
          <t>VJXC-42</t>
        </is>
      </c>
      <c r="FV883">
        <f>VLOOKUP(FU883,FD:FL,9,0)</f>
        <v/>
      </c>
    </row>
    <row r="884">
      <c r="FC884" t="inlineStr">
        <is>
          <t>Diccionario 1</t>
        </is>
      </c>
      <c r="FD884" s="15" t="inlineStr"/>
      <c r="FE884" s="17" t="inlineStr">
        <is>
          <t>LVCB4L4D8MM003981</t>
        </is>
      </c>
      <c r="FF884" s="18" t="inlineStr">
        <is>
          <t>M221100514</t>
        </is>
      </c>
      <c r="FG884" s="18" t="inlineStr">
        <is>
          <t>FOTON</t>
        </is>
      </c>
      <c r="FH884" s="18" t="inlineStr">
        <is>
          <t>EBUS U12 SC</t>
        </is>
      </c>
      <c r="FI884" s="18" t="inlineStr">
        <is>
          <t>FOTON</t>
        </is>
      </c>
      <c r="FJ884" s="18" t="inlineStr">
        <is>
          <t>EBUS U12 SC</t>
        </is>
      </c>
      <c r="FK884" s="18" t="n">
        <v>2022</v>
      </c>
      <c r="FL884" s="18" t="inlineStr">
        <is>
          <t>B</t>
        </is>
      </c>
      <c r="FM884" s="18" t="inlineStr">
        <is>
          <t>Recoleta</t>
        </is>
      </c>
      <c r="FP884" t="inlineStr">
        <is>
          <t>B</t>
        </is>
      </c>
      <c r="FS884" s="14" t="inlineStr">
        <is>
          <t>LZRB-85|</t>
        </is>
      </c>
      <c r="FT884" t="inlineStr">
        <is>
          <t>LZRB-85|</t>
        </is>
      </c>
      <c r="FU884" t="inlineStr">
        <is>
          <t>LZRB-85</t>
        </is>
      </c>
      <c r="FV884">
        <f>VLOOKUP(FU884,FD:FL,9,0)</f>
        <v/>
      </c>
    </row>
    <row r="885">
      <c r="FC885" t="inlineStr">
        <is>
          <t>Diccionario 1</t>
        </is>
      </c>
      <c r="FD885" s="15" t="inlineStr"/>
      <c r="FE885" s="17" t="inlineStr">
        <is>
          <t>LVCB4L4DXMM003982</t>
        </is>
      </c>
      <c r="FF885" s="18" t="inlineStr">
        <is>
          <t>M221110115</t>
        </is>
      </c>
      <c r="FG885" s="18" t="inlineStr">
        <is>
          <t>FOTON</t>
        </is>
      </c>
      <c r="FH885" s="18" t="inlineStr">
        <is>
          <t>EBUS U12 SC</t>
        </is>
      </c>
      <c r="FI885" s="18" t="inlineStr">
        <is>
          <t>FOTON</t>
        </is>
      </c>
      <c r="FJ885" s="18" t="inlineStr">
        <is>
          <t>EBUS U12 SC</t>
        </is>
      </c>
      <c r="FK885" s="18" t="n">
        <v>2022</v>
      </c>
      <c r="FL885" s="18" t="inlineStr">
        <is>
          <t>B</t>
        </is>
      </c>
      <c r="FM885" s="18" t="inlineStr">
        <is>
          <t>Santa Rosa</t>
        </is>
      </c>
      <c r="FP885" t="inlineStr">
        <is>
          <t>B</t>
        </is>
      </c>
      <c r="FS885" s="14" t="inlineStr">
        <is>
          <t>LZPT-48|</t>
        </is>
      </c>
      <c r="FT885" t="inlineStr">
        <is>
          <t>LZPT-48|</t>
        </is>
      </c>
      <c r="FU885" t="inlineStr">
        <is>
          <t>LZPT-48</t>
        </is>
      </c>
      <c r="FV885">
        <f>VLOOKUP(FU885,FD:FL,9,0)</f>
        <v/>
      </c>
    </row>
    <row r="886">
      <c r="FC886" t="inlineStr">
        <is>
          <t>Diccionario 1</t>
        </is>
      </c>
      <c r="FD886" s="15" t="inlineStr"/>
      <c r="FE886" s="17" t="inlineStr">
        <is>
          <t>LVCB4L4D5MM003985</t>
        </is>
      </c>
      <c r="FF886" s="18" t="inlineStr">
        <is>
          <t>M221100525</t>
        </is>
      </c>
      <c r="FG886" s="18" t="inlineStr">
        <is>
          <t>FOTON</t>
        </is>
      </c>
      <c r="FH886" s="18" t="inlineStr">
        <is>
          <t>EBUS U12 SC</t>
        </is>
      </c>
      <c r="FI886" s="18" t="inlineStr">
        <is>
          <t>FOTON</t>
        </is>
      </c>
      <c r="FJ886" s="18" t="inlineStr">
        <is>
          <t>EBUS U12 SC</t>
        </is>
      </c>
      <c r="FK886" s="18" t="n">
        <v>2022</v>
      </c>
      <c r="FL886" s="18" t="inlineStr">
        <is>
          <t>B</t>
        </is>
      </c>
      <c r="FM886" s="18" t="inlineStr">
        <is>
          <t>Santa Rosa</t>
        </is>
      </c>
      <c r="FP886" t="inlineStr">
        <is>
          <t>B</t>
        </is>
      </c>
      <c r="FS886" s="14" t="inlineStr">
        <is>
          <t>LZPG-26|</t>
        </is>
      </c>
      <c r="FT886" t="inlineStr">
        <is>
          <t>LZPG-26|</t>
        </is>
      </c>
      <c r="FU886" t="inlineStr">
        <is>
          <t>LZPG-26</t>
        </is>
      </c>
      <c r="FV886">
        <f>VLOOKUP(FU886,FD:FL,9,0)</f>
        <v/>
      </c>
    </row>
    <row r="887">
      <c r="FC887" t="inlineStr">
        <is>
          <t>Diccionario 1</t>
        </is>
      </c>
      <c r="FD887" s="15" t="inlineStr"/>
      <c r="FE887" s="17" t="inlineStr">
        <is>
          <t>LVCB4L4D8NM002640</t>
        </is>
      </c>
      <c r="FF887" s="18" t="inlineStr">
        <is>
          <t>M221100490</t>
        </is>
      </c>
      <c r="FG887" s="18" t="inlineStr">
        <is>
          <t>FOTON</t>
        </is>
      </c>
      <c r="FH887" s="18" t="inlineStr">
        <is>
          <t>EBUS U12 SC</t>
        </is>
      </c>
      <c r="FI887" s="18" t="inlineStr">
        <is>
          <t>FOTON</t>
        </is>
      </c>
      <c r="FJ887" s="18" t="inlineStr">
        <is>
          <t>EBUS U12 SC</t>
        </is>
      </c>
      <c r="FK887" s="18" t="n">
        <v>2022</v>
      </c>
      <c r="FL887" s="18" t="inlineStr">
        <is>
          <t>B</t>
        </is>
      </c>
      <c r="FM887" s="18" t="inlineStr">
        <is>
          <t>Recoleta</t>
        </is>
      </c>
      <c r="FP887" t="inlineStr">
        <is>
          <t>B</t>
        </is>
      </c>
      <c r="FS887" s="14" t="inlineStr">
        <is>
          <t>LZPR-86|</t>
        </is>
      </c>
      <c r="FT887" t="inlineStr">
        <is>
          <t>LZPR-86|</t>
        </is>
      </c>
      <c r="FU887" t="inlineStr">
        <is>
          <t>LZPR-86</t>
        </is>
      </c>
      <c r="FV887">
        <f>VLOOKUP(FU887,FD:FL,9,0)</f>
        <v/>
      </c>
    </row>
    <row r="888">
      <c r="FC888" t="inlineStr">
        <is>
          <t>Diccionario 1</t>
        </is>
      </c>
      <c r="FD888" s="15" t="inlineStr"/>
      <c r="FE888" s="17" t="inlineStr">
        <is>
          <t>LVCB4L4D7MM003986</t>
        </is>
      </c>
      <c r="FF888" s="18" t="inlineStr">
        <is>
          <t>M221120002</t>
        </is>
      </c>
      <c r="FG888" s="18" t="inlineStr">
        <is>
          <t>FOTON</t>
        </is>
      </c>
      <c r="FH888" s="18" t="inlineStr">
        <is>
          <t>EBUS U12 SC</t>
        </is>
      </c>
      <c r="FI888" s="18" t="inlineStr">
        <is>
          <t>FOTON</t>
        </is>
      </c>
      <c r="FJ888" s="18" t="inlineStr">
        <is>
          <t>EBUS U12 SC</t>
        </is>
      </c>
      <c r="FK888" s="18" t="n">
        <v>2022</v>
      </c>
      <c r="FL888" s="18" t="inlineStr">
        <is>
          <t>B</t>
        </is>
      </c>
      <c r="FM888" s="18" t="inlineStr">
        <is>
          <t>Santa Rosa</t>
        </is>
      </c>
      <c r="FP888" t="inlineStr">
        <is>
          <t>B</t>
        </is>
      </c>
      <c r="FS888" s="14" t="inlineStr">
        <is>
          <t>LZPG-15|</t>
        </is>
      </c>
      <c r="FT888" t="inlineStr">
        <is>
          <t>LZPG-15|</t>
        </is>
      </c>
      <c r="FU888" t="inlineStr">
        <is>
          <t>LZPG-15</t>
        </is>
      </c>
      <c r="FV888">
        <f>VLOOKUP(FU888,FD:FL,9,0)</f>
        <v/>
      </c>
    </row>
    <row r="889">
      <c r="FC889" t="inlineStr">
        <is>
          <t>Diccionario 1</t>
        </is>
      </c>
      <c r="FD889" s="15" t="inlineStr"/>
      <c r="FE889" s="17" t="inlineStr">
        <is>
          <t>LVCB4L4D9MM003987</t>
        </is>
      </c>
      <c r="FF889" s="18" t="inlineStr">
        <is>
          <t>M221110655</t>
        </is>
      </c>
      <c r="FG889" s="18" t="inlineStr">
        <is>
          <t>FOTON</t>
        </is>
      </c>
      <c r="FH889" s="18" t="inlineStr">
        <is>
          <t>EBUS U12 SC</t>
        </is>
      </c>
      <c r="FI889" s="18" t="inlineStr">
        <is>
          <t>FOTON</t>
        </is>
      </c>
      <c r="FJ889" s="18" t="inlineStr">
        <is>
          <t>EBUS U12 SC</t>
        </is>
      </c>
      <c r="FK889" s="18" t="n">
        <v>2022</v>
      </c>
      <c r="FL889" s="18" t="inlineStr">
        <is>
          <t>B</t>
        </is>
      </c>
      <c r="FM889" s="18" t="inlineStr">
        <is>
          <t>Recoleta</t>
        </is>
      </c>
      <c r="FP889" t="inlineStr">
        <is>
          <t>B</t>
        </is>
      </c>
      <c r="FS889" s="14" t="inlineStr">
        <is>
          <t>LXWT-97|</t>
        </is>
      </c>
      <c r="FT889" t="inlineStr">
        <is>
          <t>LXWT-97|</t>
        </is>
      </c>
      <c r="FU889" t="inlineStr">
        <is>
          <t>LXWT-97</t>
        </is>
      </c>
      <c r="FV889">
        <f>VLOOKUP(FU889,FD:FL,9,0)</f>
        <v/>
      </c>
    </row>
    <row r="890">
      <c r="FC890" t="inlineStr">
        <is>
          <t>Diccionario 1</t>
        </is>
      </c>
      <c r="FD890" s="15" t="inlineStr"/>
      <c r="FE890" s="17" t="inlineStr">
        <is>
          <t>LVCB4L4D7NM002631</t>
        </is>
      </c>
      <c r="FF890" s="18" t="inlineStr">
        <is>
          <t>M221110657</t>
        </is>
      </c>
      <c r="FG890" s="18" t="inlineStr">
        <is>
          <t>FOTON</t>
        </is>
      </c>
      <c r="FH890" s="18" t="inlineStr">
        <is>
          <t>EBUS U12 SC</t>
        </is>
      </c>
      <c r="FI890" s="18" t="inlineStr">
        <is>
          <t>FOTON</t>
        </is>
      </c>
      <c r="FJ890" s="18" t="inlineStr">
        <is>
          <t>EBUS U12 SC</t>
        </is>
      </c>
      <c r="FK890" s="18" t="n">
        <v>2022</v>
      </c>
      <c r="FL890" s="18" t="inlineStr">
        <is>
          <t>B</t>
        </is>
      </c>
      <c r="FM890" s="18" t="inlineStr">
        <is>
          <t>Santa Rosa</t>
        </is>
      </c>
      <c r="FP890" t="inlineStr">
        <is>
          <t>B</t>
        </is>
      </c>
      <c r="FS890" s="14" t="inlineStr">
        <is>
          <t>LZPR-96|</t>
        </is>
      </c>
      <c r="FT890" t="inlineStr">
        <is>
          <t>LZPR-96|</t>
        </is>
      </c>
      <c r="FU890" t="inlineStr">
        <is>
          <t>LZPR-96</t>
        </is>
      </c>
      <c r="FV890">
        <f>VLOOKUP(FU890,FD:FL,9,0)</f>
        <v/>
      </c>
    </row>
    <row r="891">
      <c r="FC891" t="inlineStr">
        <is>
          <t>Diccionario 1</t>
        </is>
      </c>
      <c r="FD891" s="15" t="inlineStr"/>
      <c r="FE891" s="17" t="inlineStr">
        <is>
          <t>LVCB4L4D9NM002632</t>
        </is>
      </c>
      <c r="FF891" s="18" t="inlineStr">
        <is>
          <t>M221100550</t>
        </is>
      </c>
      <c r="FG891" s="18" t="inlineStr">
        <is>
          <t>FOTON</t>
        </is>
      </c>
      <c r="FH891" s="18" t="inlineStr">
        <is>
          <t>EBUS U12 SC</t>
        </is>
      </c>
      <c r="FI891" s="18" t="inlineStr">
        <is>
          <t>FOTON</t>
        </is>
      </c>
      <c r="FJ891" s="18" t="inlineStr">
        <is>
          <t>EBUS U12 SC</t>
        </is>
      </c>
      <c r="FK891" s="18" t="n">
        <v>2022</v>
      </c>
      <c r="FL891" s="18" t="inlineStr">
        <is>
          <t>B</t>
        </is>
      </c>
      <c r="FM891" s="18" t="inlineStr">
        <is>
          <t>Recoleta</t>
        </is>
      </c>
      <c r="FP891" t="inlineStr">
        <is>
          <t>B</t>
        </is>
      </c>
      <c r="FS891" s="14" t="inlineStr">
        <is>
          <t>LZPT-45|</t>
        </is>
      </c>
      <c r="FT891" t="inlineStr">
        <is>
          <t>LZPT-45|</t>
        </is>
      </c>
      <c r="FU891" t="inlineStr">
        <is>
          <t>LZPT-45</t>
        </is>
      </c>
      <c r="FV891">
        <f>VLOOKUP(FU891,FD:FL,9,0)</f>
        <v/>
      </c>
    </row>
    <row r="892">
      <c r="FC892" t="inlineStr">
        <is>
          <t>Diccionario 1</t>
        </is>
      </c>
      <c r="FD892" s="15" t="inlineStr"/>
      <c r="FE892" s="17" t="inlineStr">
        <is>
          <t>LVCB4L4D0NM002633</t>
        </is>
      </c>
      <c r="FF892" s="18" t="inlineStr">
        <is>
          <t>M221110538</t>
        </is>
      </c>
      <c r="FG892" s="18" t="inlineStr">
        <is>
          <t>FOTON</t>
        </is>
      </c>
      <c r="FH892" s="18" t="inlineStr">
        <is>
          <t>EBUS U12 SC</t>
        </is>
      </c>
      <c r="FI892" s="18" t="inlineStr">
        <is>
          <t>FOTON</t>
        </is>
      </c>
      <c r="FJ892" s="18" t="inlineStr">
        <is>
          <t>EBUS U12 SC</t>
        </is>
      </c>
      <c r="FK892" s="18" t="n">
        <v>2022</v>
      </c>
      <c r="FL892" s="18" t="inlineStr">
        <is>
          <t>B</t>
        </is>
      </c>
      <c r="FM892" s="18" t="inlineStr">
        <is>
          <t>Santa Rosa</t>
        </is>
      </c>
      <c r="FP892" t="inlineStr">
        <is>
          <t>B</t>
        </is>
      </c>
      <c r="FS892" s="14" t="inlineStr">
        <is>
          <t>LZPW-12|</t>
        </is>
      </c>
      <c r="FT892" t="inlineStr">
        <is>
          <t>LZPW-12|</t>
        </is>
      </c>
      <c r="FU892" t="inlineStr">
        <is>
          <t>LZPW-12</t>
        </is>
      </c>
      <c r="FV892">
        <f>VLOOKUP(FU892,FD:FL,9,0)</f>
        <v/>
      </c>
    </row>
    <row r="893">
      <c r="FC893" t="inlineStr">
        <is>
          <t>Diccionario 1</t>
        </is>
      </c>
      <c r="FD893" s="15" t="inlineStr"/>
      <c r="FE893" s="17" t="inlineStr">
        <is>
          <t>LVCB4L4D4NM002635</t>
        </is>
      </c>
      <c r="FF893" s="18" t="inlineStr">
        <is>
          <t>M221110653</t>
        </is>
      </c>
      <c r="FG893" s="18" t="inlineStr">
        <is>
          <t>FOTON</t>
        </is>
      </c>
      <c r="FH893" s="18" t="inlineStr">
        <is>
          <t>EBUS U12 SC</t>
        </is>
      </c>
      <c r="FI893" s="18" t="inlineStr">
        <is>
          <t>FOTON</t>
        </is>
      </c>
      <c r="FJ893" s="18" t="inlineStr">
        <is>
          <t>EBUS U12 SC</t>
        </is>
      </c>
      <c r="FK893" s="18" t="n">
        <v>2022</v>
      </c>
      <c r="FL893" s="18" t="inlineStr">
        <is>
          <t>B</t>
        </is>
      </c>
      <c r="FM893" s="18" t="inlineStr">
        <is>
          <t>Recoleta</t>
        </is>
      </c>
      <c r="FP893" t="inlineStr">
        <is>
          <t>B</t>
        </is>
      </c>
      <c r="FS893" s="14" t="inlineStr">
        <is>
          <t>LZPT-74|</t>
        </is>
      </c>
      <c r="FT893" t="inlineStr">
        <is>
          <t>LZPT-74|</t>
        </is>
      </c>
      <c r="FU893" t="inlineStr">
        <is>
          <t>LZPT-74</t>
        </is>
      </c>
      <c r="FV893">
        <f>VLOOKUP(FU893,FD:FL,9,0)</f>
        <v/>
      </c>
    </row>
    <row r="894">
      <c r="FC894" t="inlineStr">
        <is>
          <t>Diccionario 1</t>
        </is>
      </c>
      <c r="FD894" s="15" t="inlineStr"/>
      <c r="FE894" s="17" t="inlineStr">
        <is>
          <t>LVCB4L4D6NM002636</t>
        </is>
      </c>
      <c r="FF894" s="18" t="inlineStr">
        <is>
          <t>M221110109</t>
        </is>
      </c>
      <c r="FG894" s="18" t="inlineStr">
        <is>
          <t>FOTON</t>
        </is>
      </c>
      <c r="FH894" s="18" t="inlineStr">
        <is>
          <t>EBUS U12 SC</t>
        </is>
      </c>
      <c r="FI894" s="18" t="inlineStr">
        <is>
          <t>FOTON</t>
        </is>
      </c>
      <c r="FJ894" s="18" t="inlineStr">
        <is>
          <t>EBUS U12 SC</t>
        </is>
      </c>
      <c r="FK894" s="18" t="n">
        <v>2022</v>
      </c>
      <c r="FL894" s="18" t="inlineStr">
        <is>
          <t>B</t>
        </is>
      </c>
      <c r="FM894" s="18" t="inlineStr">
        <is>
          <t>Recoleta</t>
        </is>
      </c>
      <c r="FP894" t="inlineStr">
        <is>
          <t>B</t>
        </is>
      </c>
      <c r="FS894" s="14" t="inlineStr">
        <is>
          <t>LXWT-84|</t>
        </is>
      </c>
      <c r="FT894" t="inlineStr">
        <is>
          <t>LXWT-84|</t>
        </is>
      </c>
      <c r="FU894" t="inlineStr">
        <is>
          <t>LXWT-84</t>
        </is>
      </c>
      <c r="FV894">
        <f>VLOOKUP(FU894,FD:FL,9,0)</f>
        <v/>
      </c>
    </row>
    <row r="895">
      <c r="FC895" t="inlineStr">
        <is>
          <t>Diccionario 1</t>
        </is>
      </c>
      <c r="FD895" s="15" t="inlineStr"/>
      <c r="FE895" s="17" t="inlineStr">
        <is>
          <t>LVCB4L4D8NM002637</t>
        </is>
      </c>
      <c r="FF895" s="18" t="inlineStr">
        <is>
          <t>M221100545</t>
        </is>
      </c>
      <c r="FG895" s="18" t="inlineStr">
        <is>
          <t>FOTON</t>
        </is>
      </c>
      <c r="FH895" s="18" t="inlineStr">
        <is>
          <t>EBUS U12 SC</t>
        </is>
      </c>
      <c r="FI895" s="18" t="inlineStr">
        <is>
          <t>FOTON</t>
        </is>
      </c>
      <c r="FJ895" s="18" t="inlineStr">
        <is>
          <t>EBUS U12 SC</t>
        </is>
      </c>
      <c r="FK895" s="18" t="n">
        <v>2022</v>
      </c>
      <c r="FL895" s="18" t="inlineStr">
        <is>
          <t>B</t>
        </is>
      </c>
      <c r="FM895" s="18" t="inlineStr">
        <is>
          <t>Recoleta</t>
        </is>
      </c>
      <c r="FP895" t="inlineStr">
        <is>
          <t>B</t>
        </is>
      </c>
      <c r="FS895" s="14" t="inlineStr">
        <is>
          <t>LZPG-23|</t>
        </is>
      </c>
      <c r="FT895" t="inlineStr">
        <is>
          <t>LZPG-23|</t>
        </is>
      </c>
      <c r="FU895" t="inlineStr">
        <is>
          <t>LZPG-23</t>
        </is>
      </c>
      <c r="FV895">
        <f>VLOOKUP(FU895,FD:FL,9,0)</f>
        <v/>
      </c>
    </row>
    <row r="896">
      <c r="FC896" t="inlineStr">
        <is>
          <t>Diccionario 1</t>
        </is>
      </c>
      <c r="FD896" s="15" t="inlineStr"/>
      <c r="FE896" s="17" t="inlineStr">
        <is>
          <t>LVCB4L4DXNM002638</t>
        </is>
      </c>
      <c r="FF896" s="18" t="inlineStr">
        <is>
          <t>M221110095</t>
        </is>
      </c>
      <c r="FG896" s="18" t="inlineStr">
        <is>
          <t>FOTON</t>
        </is>
      </c>
      <c r="FH896" s="18" t="inlineStr">
        <is>
          <t>EBUS U12 SC</t>
        </is>
      </c>
      <c r="FI896" s="18" t="inlineStr">
        <is>
          <t>FOTON</t>
        </is>
      </c>
      <c r="FJ896" s="18" t="inlineStr">
        <is>
          <t>EBUS U12 SC</t>
        </is>
      </c>
      <c r="FK896" s="18" t="n">
        <v>2022</v>
      </c>
      <c r="FL896" s="18" t="inlineStr">
        <is>
          <t>B</t>
        </is>
      </c>
      <c r="FM896" s="18" t="inlineStr">
        <is>
          <t>Recoleta</t>
        </is>
      </c>
      <c r="FP896" t="inlineStr">
        <is>
          <t>B</t>
        </is>
      </c>
      <c r="FS896" s="14" t="inlineStr">
        <is>
          <t>LZPS-15|</t>
        </is>
      </c>
      <c r="FT896" t="inlineStr">
        <is>
          <t>LZPS-15|</t>
        </is>
      </c>
      <c r="FU896" t="inlineStr">
        <is>
          <t>LZPS-15</t>
        </is>
      </c>
      <c r="FV896">
        <f>VLOOKUP(FU896,FD:FL,9,0)</f>
        <v/>
      </c>
    </row>
    <row r="897">
      <c r="FC897" t="inlineStr">
        <is>
          <t>Diccionario 1</t>
        </is>
      </c>
      <c r="FD897" s="15" t="inlineStr"/>
      <c r="FE897" s="17" t="inlineStr">
        <is>
          <t>LVCB4L4D1NM002639</t>
        </is>
      </c>
      <c r="FF897" s="18" t="inlineStr">
        <is>
          <t>M221110580</t>
        </is>
      </c>
      <c r="FG897" s="18" t="inlineStr">
        <is>
          <t>FOTON</t>
        </is>
      </c>
      <c r="FH897" s="18" t="inlineStr">
        <is>
          <t>EBUS U12 SC</t>
        </is>
      </c>
      <c r="FI897" s="18" t="inlineStr">
        <is>
          <t>FOTON</t>
        </is>
      </c>
      <c r="FJ897" s="18" t="inlineStr">
        <is>
          <t>EBUS U12 SC</t>
        </is>
      </c>
      <c r="FK897" s="18" t="n">
        <v>2022</v>
      </c>
      <c r="FL897" s="18" t="inlineStr">
        <is>
          <t>B</t>
        </is>
      </c>
      <c r="FM897" s="18" t="inlineStr">
        <is>
          <t>Recoleta</t>
        </is>
      </c>
      <c r="FP897" t="inlineStr">
        <is>
          <t>B</t>
        </is>
      </c>
      <c r="FS897" s="14" t="inlineStr">
        <is>
          <t>GCBF-50|</t>
        </is>
      </c>
      <c r="FT897" t="inlineStr">
        <is>
          <t>GCBF-50|</t>
        </is>
      </c>
      <c r="FU897" t="inlineStr">
        <is>
          <t>GCBF-50</t>
        </is>
      </c>
      <c r="FV897">
        <f>VLOOKUP(FU897,FD:FL,9,0)</f>
        <v/>
      </c>
    </row>
    <row r="898">
      <c r="FC898" t="inlineStr">
        <is>
          <t>Diccionario 1</t>
        </is>
      </c>
      <c r="FD898" s="15" t="inlineStr"/>
      <c r="FE898" s="17" t="inlineStr">
        <is>
          <t>LVCB4L4DXNM002641</t>
        </is>
      </c>
      <c r="FF898" s="18" t="inlineStr">
        <is>
          <t>M221100298</t>
        </is>
      </c>
      <c r="FG898" s="18" t="inlineStr">
        <is>
          <t>FOTON</t>
        </is>
      </c>
      <c r="FH898" s="18" t="inlineStr">
        <is>
          <t>EBUS U12 SC</t>
        </is>
      </c>
      <c r="FI898" s="18" t="inlineStr">
        <is>
          <t>FOTON</t>
        </is>
      </c>
      <c r="FJ898" s="18" t="inlineStr">
        <is>
          <t>EBUS U12 SC</t>
        </is>
      </c>
      <c r="FK898" s="18" t="n">
        <v>2022</v>
      </c>
      <c r="FL898" s="18" t="inlineStr">
        <is>
          <t>B</t>
        </is>
      </c>
      <c r="FM898" s="18" t="inlineStr">
        <is>
          <t>Recoleta</t>
        </is>
      </c>
      <c r="FP898" t="inlineStr">
        <is>
          <t>B</t>
        </is>
      </c>
      <c r="FS898" s="14" t="inlineStr">
        <is>
          <t>GCBF-43|</t>
        </is>
      </c>
      <c r="FT898" t="inlineStr">
        <is>
          <t>GCBF-43|</t>
        </is>
      </c>
      <c r="FU898" t="inlineStr">
        <is>
          <t>GCBF-43</t>
        </is>
      </c>
      <c r="FV898">
        <f>VLOOKUP(FU898,FD:FL,9,0)</f>
        <v/>
      </c>
    </row>
    <row r="899">
      <c r="FC899" t="inlineStr">
        <is>
          <t>Diccionario 1</t>
        </is>
      </c>
      <c r="FD899" s="15" t="inlineStr"/>
      <c r="FE899" s="17" t="inlineStr">
        <is>
          <t>LVCB4L4D1NM002642</t>
        </is>
      </c>
      <c r="FF899" s="18" t="inlineStr">
        <is>
          <t>M221100436</t>
        </is>
      </c>
      <c r="FG899" s="18" t="inlineStr">
        <is>
          <t>FOTON</t>
        </is>
      </c>
      <c r="FH899" s="18" t="inlineStr">
        <is>
          <t>EBUS U12 SC</t>
        </is>
      </c>
      <c r="FI899" s="18" t="inlineStr">
        <is>
          <t>FOTON</t>
        </is>
      </c>
      <c r="FJ899" s="18" t="inlineStr">
        <is>
          <t>EBUS U12 SC</t>
        </is>
      </c>
      <c r="FK899" s="18" t="n">
        <v>2022</v>
      </c>
      <c r="FL899" s="18" t="inlineStr">
        <is>
          <t>B</t>
        </is>
      </c>
      <c r="FM899" s="18" t="inlineStr">
        <is>
          <t>Recoleta</t>
        </is>
      </c>
      <c r="FP899" t="inlineStr">
        <is>
          <t>B</t>
        </is>
      </c>
      <c r="FS899" s="14" t="inlineStr">
        <is>
          <t>LZPT-57|</t>
        </is>
      </c>
      <c r="FT899" t="inlineStr">
        <is>
          <t>LZPT-57|</t>
        </is>
      </c>
      <c r="FU899" t="inlineStr">
        <is>
          <t>LZPT-57</t>
        </is>
      </c>
      <c r="FV899">
        <f>VLOOKUP(FU899,FD:FL,9,0)</f>
        <v/>
      </c>
    </row>
    <row r="900">
      <c r="FC900" t="inlineStr">
        <is>
          <t>Diccionario 1</t>
        </is>
      </c>
      <c r="FD900" s="15" t="inlineStr"/>
      <c r="FE900" s="17" t="inlineStr">
        <is>
          <t>LVCB4L4D3NM002643</t>
        </is>
      </c>
      <c r="FF900" s="18" t="inlineStr">
        <is>
          <t>M221100488</t>
        </is>
      </c>
      <c r="FG900" s="18" t="inlineStr">
        <is>
          <t>FOTON</t>
        </is>
      </c>
      <c r="FH900" s="18" t="inlineStr">
        <is>
          <t>EBUS U12 SC</t>
        </is>
      </c>
      <c r="FI900" s="18" t="inlineStr">
        <is>
          <t>FOTON</t>
        </is>
      </c>
      <c r="FJ900" s="18" t="inlineStr">
        <is>
          <t>EBUS U12 SC</t>
        </is>
      </c>
      <c r="FK900" s="18" t="n">
        <v>2022</v>
      </c>
      <c r="FL900" s="18" t="inlineStr">
        <is>
          <t>B</t>
        </is>
      </c>
      <c r="FM900" s="18" t="inlineStr">
        <is>
          <t>Recoleta</t>
        </is>
      </c>
      <c r="FP900" t="inlineStr">
        <is>
          <t>B</t>
        </is>
      </c>
      <c r="FS900" s="14" t="inlineStr">
        <is>
          <t>GCBF-46|</t>
        </is>
      </c>
      <c r="FT900" t="inlineStr">
        <is>
          <t>GCBF-46|</t>
        </is>
      </c>
      <c r="FU900" t="inlineStr">
        <is>
          <t>GCBF-46</t>
        </is>
      </c>
      <c r="FV900">
        <f>VLOOKUP(FU900,FD:FL,9,0)</f>
        <v/>
      </c>
    </row>
    <row r="901">
      <c r="FC901" t="inlineStr">
        <is>
          <t>Diccionario 1</t>
        </is>
      </c>
      <c r="FD901" s="15" t="inlineStr"/>
      <c r="FE901" s="17" t="inlineStr">
        <is>
          <t>LVCB4L4D7NM002645</t>
        </is>
      </c>
      <c r="FF901" s="18" t="inlineStr">
        <is>
          <t>M221100401</t>
        </is>
      </c>
      <c r="FG901" s="18" t="inlineStr">
        <is>
          <t>FOTON</t>
        </is>
      </c>
      <c r="FH901" s="18" t="inlineStr">
        <is>
          <t>EBUS U12 SC</t>
        </is>
      </c>
      <c r="FI901" s="18" t="inlineStr">
        <is>
          <t>FOTON</t>
        </is>
      </c>
      <c r="FJ901" s="18" t="inlineStr">
        <is>
          <t>EBUS U12 SC</t>
        </is>
      </c>
      <c r="FK901" s="18" t="n">
        <v>2022</v>
      </c>
      <c r="FL901" s="18" t="inlineStr">
        <is>
          <t>B</t>
        </is>
      </c>
      <c r="FM901" s="18" t="inlineStr">
        <is>
          <t>Santa Rosa</t>
        </is>
      </c>
      <c r="FP901" t="inlineStr">
        <is>
          <t>B</t>
        </is>
      </c>
      <c r="FS901" s="14" t="inlineStr">
        <is>
          <t>LXWT-82|</t>
        </is>
      </c>
      <c r="FT901" t="inlineStr">
        <is>
          <t>LXWT-82|</t>
        </is>
      </c>
      <c r="FU901" t="inlineStr">
        <is>
          <t>LXWT-82</t>
        </is>
      </c>
      <c r="FV901">
        <f>VLOOKUP(FU901,FD:FL,9,0)</f>
        <v/>
      </c>
    </row>
    <row r="902">
      <c r="FC902" t="inlineStr">
        <is>
          <t>Diccionario 1</t>
        </is>
      </c>
      <c r="FD902" s="15" t="inlineStr"/>
      <c r="FE902" s="17" t="inlineStr">
        <is>
          <t>LVCB4L4D9NM002646</t>
        </is>
      </c>
      <c r="FF902" s="18" t="inlineStr">
        <is>
          <t>M221110103</t>
        </is>
      </c>
      <c r="FG902" s="18" t="inlineStr">
        <is>
          <t>FOTON</t>
        </is>
      </c>
      <c r="FH902" s="18" t="inlineStr">
        <is>
          <t>EBUS U12 SC</t>
        </is>
      </c>
      <c r="FI902" s="18" t="inlineStr">
        <is>
          <t>FOTON</t>
        </is>
      </c>
      <c r="FJ902" s="18" t="inlineStr">
        <is>
          <t>EBUS U12 SC</t>
        </is>
      </c>
      <c r="FK902" s="18" t="n">
        <v>2022</v>
      </c>
      <c r="FL902" s="18" t="inlineStr">
        <is>
          <t>B</t>
        </is>
      </c>
      <c r="FM902" s="18" t="inlineStr">
        <is>
          <t>Recoleta</t>
        </is>
      </c>
      <c r="FP902" t="inlineStr">
        <is>
          <t>B</t>
        </is>
      </c>
      <c r="FS902" s="14" t="inlineStr">
        <is>
          <t>LXWT-94|</t>
        </is>
      </c>
      <c r="FT902" t="inlineStr">
        <is>
          <t>LXWT-94|</t>
        </is>
      </c>
      <c r="FU902" t="inlineStr">
        <is>
          <t>LXWT-94</t>
        </is>
      </c>
      <c r="FV902">
        <f>VLOOKUP(FU902,FD:FL,9,0)</f>
        <v/>
      </c>
    </row>
    <row r="903">
      <c r="FC903" t="inlineStr">
        <is>
          <t>Diccionario 1</t>
        </is>
      </c>
      <c r="FD903" s="15" t="inlineStr"/>
      <c r="FE903" s="17" t="inlineStr">
        <is>
          <t>LVCB4L4D0NM002647</t>
        </is>
      </c>
      <c r="FF903" s="18" t="inlineStr">
        <is>
          <t>M221100524</t>
        </is>
      </c>
      <c r="FG903" s="18" t="inlineStr">
        <is>
          <t>FOTON</t>
        </is>
      </c>
      <c r="FH903" s="18" t="inlineStr">
        <is>
          <t>EBUS U12 SC</t>
        </is>
      </c>
      <c r="FI903" s="18" t="inlineStr">
        <is>
          <t>FOTON</t>
        </is>
      </c>
      <c r="FJ903" s="18" t="inlineStr">
        <is>
          <t>EBUS U12 SC</t>
        </is>
      </c>
      <c r="FK903" s="18" t="n">
        <v>2022</v>
      </c>
      <c r="FL903" s="18" t="inlineStr">
        <is>
          <t>B</t>
        </is>
      </c>
      <c r="FM903" s="18" t="inlineStr">
        <is>
          <t>Recoleta</t>
        </is>
      </c>
      <c r="FP903" t="inlineStr">
        <is>
          <t>B</t>
        </is>
      </c>
      <c r="FS903" s="14" t="inlineStr">
        <is>
          <t>3077 / SFWZ-55|</t>
        </is>
      </c>
      <c r="FT903" t="inlineStr">
        <is>
          <t>SFWZ-55|</t>
        </is>
      </c>
      <c r="FU903" t="inlineStr">
        <is>
          <t>SFWZ-55</t>
        </is>
      </c>
      <c r="FV903">
        <f>VLOOKUP(FU903,FD:FL,9,0)</f>
        <v/>
      </c>
    </row>
    <row r="904">
      <c r="FC904" t="inlineStr">
        <is>
          <t>Diccionario 1</t>
        </is>
      </c>
      <c r="FD904" s="15" t="inlineStr"/>
      <c r="FE904" s="17" t="inlineStr">
        <is>
          <t>LVCB4L4D2NM002648</t>
        </is>
      </c>
      <c r="FF904" s="18" t="inlineStr">
        <is>
          <t>M221100442</t>
        </is>
      </c>
      <c r="FG904" s="18" t="inlineStr">
        <is>
          <t>FOTON</t>
        </is>
      </c>
      <c r="FH904" s="18" t="inlineStr">
        <is>
          <t>EBUS U12 SC</t>
        </is>
      </c>
      <c r="FI904" s="18" t="inlineStr">
        <is>
          <t>FOTON</t>
        </is>
      </c>
      <c r="FJ904" s="18" t="inlineStr">
        <is>
          <t>EBUS U12 SC</t>
        </is>
      </c>
      <c r="FK904" s="18" t="n">
        <v>2022</v>
      </c>
      <c r="FL904" s="18" t="inlineStr">
        <is>
          <t>B</t>
        </is>
      </c>
      <c r="FM904" s="18" t="inlineStr">
        <is>
          <t>Recoleta</t>
        </is>
      </c>
      <c r="FP904" t="inlineStr">
        <is>
          <t>B</t>
        </is>
      </c>
      <c r="FS904" s="14" t="inlineStr">
        <is>
          <t>3062 / SFWZ-10|</t>
        </is>
      </c>
      <c r="FT904" t="inlineStr">
        <is>
          <t>SFWZ-10|</t>
        </is>
      </c>
      <c r="FU904" t="inlineStr">
        <is>
          <t>SFWZ-10</t>
        </is>
      </c>
      <c r="FV904">
        <f>VLOOKUP(FU904,FD:FL,9,0)</f>
        <v/>
      </c>
    </row>
    <row r="905">
      <c r="FC905" t="inlineStr">
        <is>
          <t>Diccionario 1</t>
        </is>
      </c>
      <c r="FD905" s="15" t="inlineStr"/>
      <c r="FE905" s="17" t="inlineStr">
        <is>
          <t>LVCB4L4D4NM002649</t>
        </is>
      </c>
      <c r="FF905" s="18" t="inlineStr">
        <is>
          <t>M221100412</t>
        </is>
      </c>
      <c r="FG905" s="18" t="inlineStr">
        <is>
          <t>FOTON</t>
        </is>
      </c>
      <c r="FH905" s="18" t="inlineStr">
        <is>
          <t>EBUS U12 SC</t>
        </is>
      </c>
      <c r="FI905" s="18" t="inlineStr">
        <is>
          <t>FOTON</t>
        </is>
      </c>
      <c r="FJ905" s="18" t="inlineStr">
        <is>
          <t>EBUS U12 SC</t>
        </is>
      </c>
      <c r="FK905" s="18" t="n">
        <v>2022</v>
      </c>
      <c r="FL905" s="18" t="inlineStr">
        <is>
          <t>B</t>
        </is>
      </c>
      <c r="FM905" s="18" t="inlineStr">
        <is>
          <t>Santa Rosa</t>
        </is>
      </c>
      <c r="FP905" t="inlineStr">
        <is>
          <t>B</t>
        </is>
      </c>
      <c r="FS905" s="14" t="inlineStr">
        <is>
          <t>LZPG-13|</t>
        </is>
      </c>
      <c r="FT905" t="inlineStr">
        <is>
          <t>LZPG-13|</t>
        </is>
      </c>
      <c r="FU905" t="inlineStr">
        <is>
          <t>LZPG-13</t>
        </is>
      </c>
      <c r="FV905">
        <f>VLOOKUP(FU905,FD:FL,9,0)</f>
        <v/>
      </c>
    </row>
    <row r="906">
      <c r="FC906" t="inlineStr">
        <is>
          <t>Diccionario 1</t>
        </is>
      </c>
      <c r="FD906" s="15" t="inlineStr"/>
      <c r="FE906" s="17" t="inlineStr">
        <is>
          <t>LVCB4L4D0NM002650</t>
        </is>
      </c>
      <c r="FF906" s="18" t="inlineStr">
        <is>
          <t>M221110537</t>
        </is>
      </c>
      <c r="FG906" s="18" t="inlineStr">
        <is>
          <t>FOTON</t>
        </is>
      </c>
      <c r="FH906" s="18" t="inlineStr">
        <is>
          <t>EBUS U12 SC</t>
        </is>
      </c>
      <c r="FI906" s="18" t="inlineStr">
        <is>
          <t>FOTON</t>
        </is>
      </c>
      <c r="FJ906" s="18" t="inlineStr">
        <is>
          <t>EBUS U12 SC</t>
        </is>
      </c>
      <c r="FK906" s="18" t="n">
        <v>2022</v>
      </c>
      <c r="FL906" s="18" t="inlineStr">
        <is>
          <t>B</t>
        </is>
      </c>
      <c r="FM906" s="18" t="inlineStr">
        <is>
          <t>Recoleta</t>
        </is>
      </c>
      <c r="FP906" t="inlineStr">
        <is>
          <t>B</t>
        </is>
      </c>
      <c r="FS906" s="14" t="inlineStr">
        <is>
          <t>LZPW-17|</t>
        </is>
      </c>
      <c r="FT906" t="inlineStr">
        <is>
          <t>LZPW-17|</t>
        </is>
      </c>
      <c r="FU906" t="inlineStr">
        <is>
          <t>LZPW-17</t>
        </is>
      </c>
      <c r="FV906">
        <f>VLOOKUP(FU906,FD:FL,9,0)</f>
        <v/>
      </c>
    </row>
    <row r="907">
      <c r="FC907" t="inlineStr">
        <is>
          <t>Diccionario 1</t>
        </is>
      </c>
      <c r="FD907" s="15" t="inlineStr"/>
      <c r="FE907" s="17" t="inlineStr">
        <is>
          <t>LVCB4L4D2NM002651</t>
        </is>
      </c>
      <c r="FF907" s="18" t="inlineStr">
        <is>
          <t>M221100486</t>
        </is>
      </c>
      <c r="FG907" s="18" t="inlineStr">
        <is>
          <t>FOTON</t>
        </is>
      </c>
      <c r="FH907" s="18" t="inlineStr">
        <is>
          <t>EBUS U12 SC</t>
        </is>
      </c>
      <c r="FI907" s="18" t="inlineStr">
        <is>
          <t>FOTON</t>
        </is>
      </c>
      <c r="FJ907" s="18" t="inlineStr">
        <is>
          <t>EBUS U12 SC</t>
        </is>
      </c>
      <c r="FK907" s="18" t="n">
        <v>2022</v>
      </c>
      <c r="FL907" s="18" t="inlineStr">
        <is>
          <t>B</t>
        </is>
      </c>
      <c r="FM907" s="18" t="inlineStr">
        <is>
          <t>Recoleta</t>
        </is>
      </c>
      <c r="FP907" t="inlineStr">
        <is>
          <t>B</t>
        </is>
      </c>
      <c r="FS907" s="14" t="inlineStr">
        <is>
          <t>LZPT-73|</t>
        </is>
      </c>
      <c r="FT907" t="inlineStr">
        <is>
          <t>LZPT-73|</t>
        </is>
      </c>
      <c r="FU907" t="inlineStr">
        <is>
          <t>LZPT-73</t>
        </is>
      </c>
      <c r="FV907">
        <f>VLOOKUP(FU907,FD:FL,9,0)</f>
        <v/>
      </c>
    </row>
    <row r="908">
      <c r="FC908" t="inlineStr">
        <is>
          <t>Diccionario 1</t>
        </is>
      </c>
      <c r="FD908" s="15" t="inlineStr"/>
      <c r="FE908" s="17" t="inlineStr">
        <is>
          <t>LVCB4L4D4NM002652</t>
        </is>
      </c>
      <c r="FF908" s="18" t="inlineStr">
        <is>
          <t>M221110530</t>
        </is>
      </c>
      <c r="FG908" s="18" t="inlineStr">
        <is>
          <t>FOTON</t>
        </is>
      </c>
      <c r="FH908" s="18" t="inlineStr">
        <is>
          <t>EBUS U12 SC</t>
        </is>
      </c>
      <c r="FI908" s="18" t="inlineStr">
        <is>
          <t>FOTON</t>
        </is>
      </c>
      <c r="FJ908" s="18" t="inlineStr">
        <is>
          <t>EBUS U12 SC</t>
        </is>
      </c>
      <c r="FK908" s="18" t="n">
        <v>2022</v>
      </c>
      <c r="FL908" s="18" t="inlineStr">
        <is>
          <t>B</t>
        </is>
      </c>
      <c r="FM908" s="18" t="inlineStr">
        <is>
          <t>Recoleta</t>
        </is>
      </c>
      <c r="FP908" t="inlineStr">
        <is>
          <t>B</t>
        </is>
      </c>
      <c r="FS908" s="14" t="inlineStr">
        <is>
          <t>LZRB-88|</t>
        </is>
      </c>
      <c r="FT908" t="inlineStr">
        <is>
          <t>LZRB-88|</t>
        </is>
      </c>
      <c r="FU908" t="inlineStr">
        <is>
          <t>LZRB-88</t>
        </is>
      </c>
      <c r="FV908">
        <f>VLOOKUP(FU908,FD:FL,9,0)</f>
        <v/>
      </c>
    </row>
    <row r="909">
      <c r="FC909" t="inlineStr">
        <is>
          <t>Diccionario 1</t>
        </is>
      </c>
      <c r="FD909" s="15" t="inlineStr"/>
      <c r="FE909" s="17" t="inlineStr">
        <is>
          <t>LVCB4L4D6NM002653</t>
        </is>
      </c>
      <c r="FF909" s="18" t="inlineStr">
        <is>
          <t>M221100474</t>
        </is>
      </c>
      <c r="FG909" s="18" t="inlineStr">
        <is>
          <t>FOTON</t>
        </is>
      </c>
      <c r="FH909" s="18" t="inlineStr">
        <is>
          <t>EBUS U12 SC</t>
        </is>
      </c>
      <c r="FI909" s="18" t="inlineStr">
        <is>
          <t>FOTON</t>
        </is>
      </c>
      <c r="FJ909" s="18" t="inlineStr">
        <is>
          <t>EBUS U12 SC</t>
        </is>
      </c>
      <c r="FK909" s="18" t="n">
        <v>2022</v>
      </c>
      <c r="FL909" s="18" t="inlineStr">
        <is>
          <t>B</t>
        </is>
      </c>
      <c r="FM909" s="18" t="inlineStr">
        <is>
          <t>Santa Rosa</t>
        </is>
      </c>
      <c r="FP909" t="inlineStr">
        <is>
          <t>B</t>
        </is>
      </c>
      <c r="FS909" s="14" t="inlineStr">
        <is>
          <t>LXWT-95|</t>
        </is>
      </c>
      <c r="FT909" t="inlineStr">
        <is>
          <t>LXWT-95|</t>
        </is>
      </c>
      <c r="FU909" t="inlineStr">
        <is>
          <t>LXWT-95</t>
        </is>
      </c>
      <c r="FV909">
        <f>VLOOKUP(FU909,FD:FL,9,0)</f>
        <v/>
      </c>
    </row>
    <row r="910">
      <c r="FC910" t="inlineStr">
        <is>
          <t>Diccionario 1</t>
        </is>
      </c>
      <c r="FD910" s="15" t="inlineStr"/>
      <c r="FE910" s="17" t="inlineStr">
        <is>
          <t>LVCB4L4DXNM002655</t>
        </is>
      </c>
      <c r="FF910" s="18" t="inlineStr">
        <is>
          <t>M221100411</t>
        </is>
      </c>
      <c r="FG910" s="18" t="inlineStr">
        <is>
          <t>FOTON</t>
        </is>
      </c>
      <c r="FH910" s="18" t="inlineStr">
        <is>
          <t>EBUS U12 SC</t>
        </is>
      </c>
      <c r="FI910" s="18" t="inlineStr">
        <is>
          <t>FOTON</t>
        </is>
      </c>
      <c r="FJ910" s="18" t="inlineStr">
        <is>
          <t>EBUS U12 SC</t>
        </is>
      </c>
      <c r="FK910" s="18" t="n">
        <v>2022</v>
      </c>
      <c r="FL910" s="18" t="inlineStr">
        <is>
          <t>B</t>
        </is>
      </c>
      <c r="FM910" s="18" t="inlineStr">
        <is>
          <t>Santa Rosa</t>
        </is>
      </c>
      <c r="FP910" t="inlineStr">
        <is>
          <t>B</t>
        </is>
      </c>
      <c r="FS910" s="14" t="inlineStr">
        <is>
          <t>LZPT-55|</t>
        </is>
      </c>
      <c r="FT910" t="inlineStr">
        <is>
          <t>LZPT-55|</t>
        </is>
      </c>
      <c r="FU910" t="inlineStr">
        <is>
          <t>LZPT-55</t>
        </is>
      </c>
      <c r="FV910">
        <f>VLOOKUP(FU910,FD:FL,9,0)</f>
        <v/>
      </c>
    </row>
    <row r="911">
      <c r="FC911" t="inlineStr">
        <is>
          <t>Diccionario 1</t>
        </is>
      </c>
      <c r="FD911" s="15" t="inlineStr"/>
      <c r="FE911" s="17" t="inlineStr">
        <is>
          <t>LVCB4L4D1NM002656</t>
        </is>
      </c>
      <c r="FF911" s="18" t="inlineStr">
        <is>
          <t>M221100301</t>
        </is>
      </c>
      <c r="FG911" s="18" t="inlineStr">
        <is>
          <t>FOTON</t>
        </is>
      </c>
      <c r="FH911" s="18" t="inlineStr">
        <is>
          <t>EBUS U12 SC</t>
        </is>
      </c>
      <c r="FI911" s="18" t="inlineStr">
        <is>
          <t>FOTON</t>
        </is>
      </c>
      <c r="FJ911" s="18" t="inlineStr">
        <is>
          <t>EBUS U12 SC</t>
        </is>
      </c>
      <c r="FK911" s="18" t="n">
        <v>2022</v>
      </c>
      <c r="FL911" s="18" t="inlineStr">
        <is>
          <t>B</t>
        </is>
      </c>
      <c r="FM911" s="18" t="inlineStr">
        <is>
          <t>Recoleta</t>
        </is>
      </c>
      <c r="FP911" t="inlineStr">
        <is>
          <t>B</t>
        </is>
      </c>
      <c r="FS911" s="14" t="inlineStr">
        <is>
          <t>LXWT-91|</t>
        </is>
      </c>
      <c r="FT911" t="inlineStr">
        <is>
          <t>LXWT-91|</t>
        </is>
      </c>
      <c r="FU911" t="inlineStr">
        <is>
          <t>LXWT-91</t>
        </is>
      </c>
      <c r="FV911">
        <f>VLOOKUP(FU911,FD:FL,9,0)</f>
        <v/>
      </c>
    </row>
    <row r="912">
      <c r="FC912" t="inlineStr">
        <is>
          <t>Diccionario 1</t>
        </is>
      </c>
      <c r="FD912" s="15" t="inlineStr"/>
      <c r="FE912" s="17" t="inlineStr">
        <is>
          <t>LVCB4L4D3NM002657</t>
        </is>
      </c>
      <c r="FF912" s="18" t="inlineStr">
        <is>
          <t>M221110532</t>
        </is>
      </c>
      <c r="FG912" s="18" t="inlineStr">
        <is>
          <t>FOTON</t>
        </is>
      </c>
      <c r="FH912" s="18" t="inlineStr">
        <is>
          <t>EBUS U12 SC</t>
        </is>
      </c>
      <c r="FI912" s="18" t="inlineStr">
        <is>
          <t>FOTON</t>
        </is>
      </c>
      <c r="FJ912" s="18" t="inlineStr">
        <is>
          <t>EBUS U12 SC</t>
        </is>
      </c>
      <c r="FK912" s="18" t="n">
        <v>2022</v>
      </c>
      <c r="FL912" s="18" t="inlineStr">
        <is>
          <t>B</t>
        </is>
      </c>
      <c r="FM912" s="18" t="inlineStr">
        <is>
          <t>Santa Rosa</t>
        </is>
      </c>
      <c r="FP912" t="inlineStr">
        <is>
          <t>B</t>
        </is>
      </c>
      <c r="FS912" s="14" t="inlineStr">
        <is>
          <t>LZPR-84|</t>
        </is>
      </c>
      <c r="FT912" t="inlineStr">
        <is>
          <t>LZPR-84|</t>
        </is>
      </c>
      <c r="FU912" t="inlineStr">
        <is>
          <t>LZPR-84</t>
        </is>
      </c>
      <c r="FV912">
        <f>VLOOKUP(FU912,FD:FL,9,0)</f>
        <v/>
      </c>
    </row>
    <row r="913">
      <c r="FC913" t="inlineStr">
        <is>
          <t>Diccionario 1</t>
        </is>
      </c>
      <c r="FD913" s="15" t="inlineStr"/>
      <c r="FE913" s="17" t="inlineStr">
        <is>
          <t>LVCB4L4D5NM002658</t>
        </is>
      </c>
      <c r="FF913" s="18" t="inlineStr">
        <is>
          <t>M221100527</t>
        </is>
      </c>
      <c r="FG913" s="18" t="inlineStr">
        <is>
          <t>FOTON</t>
        </is>
      </c>
      <c r="FH913" s="18" t="inlineStr">
        <is>
          <t>EBUS U12 SC</t>
        </is>
      </c>
      <c r="FI913" s="18" t="inlineStr">
        <is>
          <t>FOTON</t>
        </is>
      </c>
      <c r="FJ913" s="18" t="inlineStr">
        <is>
          <t>EBUS U12 SC</t>
        </is>
      </c>
      <c r="FK913" s="18" t="n">
        <v>2022</v>
      </c>
      <c r="FL913" s="18" t="inlineStr">
        <is>
          <t>B</t>
        </is>
      </c>
      <c r="FM913" s="18" t="inlineStr">
        <is>
          <t>Recoleta</t>
        </is>
      </c>
      <c r="FP913" t="inlineStr">
        <is>
          <t>B</t>
        </is>
      </c>
      <c r="FS913" s="14" t="inlineStr">
        <is>
          <t>LZPT-59|</t>
        </is>
      </c>
      <c r="FT913" t="inlineStr">
        <is>
          <t>LZPT-59|</t>
        </is>
      </c>
      <c r="FU913" t="inlineStr">
        <is>
          <t>LZPT-59</t>
        </is>
      </c>
      <c r="FV913">
        <f>VLOOKUP(FU913,FD:FL,9,0)</f>
        <v/>
      </c>
    </row>
    <row r="914">
      <c r="FC914" t="inlineStr">
        <is>
          <t>Diccionario 1</t>
        </is>
      </c>
      <c r="FD914" s="15" t="inlineStr"/>
      <c r="FE914" s="17" t="inlineStr">
        <is>
          <t>LVCB4L4D7NM002659</t>
        </is>
      </c>
      <c r="FF914" s="18" t="inlineStr">
        <is>
          <t>M221100403</t>
        </is>
      </c>
      <c r="FG914" s="18" t="inlineStr">
        <is>
          <t>FOTON</t>
        </is>
      </c>
      <c r="FH914" s="18" t="inlineStr">
        <is>
          <t>EBUS U12 SC</t>
        </is>
      </c>
      <c r="FI914" s="18" t="inlineStr">
        <is>
          <t>FOTON</t>
        </is>
      </c>
      <c r="FJ914" s="18" t="inlineStr">
        <is>
          <t>EBUS U12 SC</t>
        </is>
      </c>
      <c r="FK914" s="18" t="n">
        <v>2022</v>
      </c>
      <c r="FL914" s="18" t="inlineStr">
        <is>
          <t>B</t>
        </is>
      </c>
      <c r="FM914" s="18" t="inlineStr">
        <is>
          <t>Santa Rosa</t>
        </is>
      </c>
      <c r="FP914" t="inlineStr">
        <is>
          <t>B</t>
        </is>
      </c>
      <c r="FS914" s="14" t="inlineStr">
        <is>
          <t>LZPW-15|</t>
        </is>
      </c>
      <c r="FT914" t="inlineStr">
        <is>
          <t>LZPW-15|</t>
        </is>
      </c>
      <c r="FU914" t="inlineStr">
        <is>
          <t>LZPW-15</t>
        </is>
      </c>
      <c r="FV914">
        <f>VLOOKUP(FU914,FD:FL,9,0)</f>
        <v/>
      </c>
    </row>
    <row r="915">
      <c r="FC915" t="inlineStr">
        <is>
          <t>Diccionario 1</t>
        </is>
      </c>
      <c r="FD915" s="15" t="inlineStr"/>
      <c r="FE915" s="17" t="inlineStr">
        <is>
          <t>LVCB4L4D3NM002660</t>
        </is>
      </c>
      <c r="FF915" s="18" t="inlineStr">
        <is>
          <t>M221100542</t>
        </is>
      </c>
      <c r="FG915" s="18" t="inlineStr">
        <is>
          <t>FOTON</t>
        </is>
      </c>
      <c r="FH915" s="18" t="inlineStr">
        <is>
          <t>EBUS U12 SC</t>
        </is>
      </c>
      <c r="FI915" s="18" t="inlineStr">
        <is>
          <t>FOTON</t>
        </is>
      </c>
      <c r="FJ915" s="18" t="inlineStr">
        <is>
          <t>EBUS U12 SC</t>
        </is>
      </c>
      <c r="FK915" s="18" t="n">
        <v>2022</v>
      </c>
      <c r="FL915" s="18" t="inlineStr">
        <is>
          <t>B</t>
        </is>
      </c>
      <c r="FM915" s="18" t="inlineStr">
        <is>
          <t>Santa Rosa</t>
        </is>
      </c>
      <c r="FP915" t="inlineStr">
        <is>
          <t>B</t>
        </is>
      </c>
      <c r="FS915" s="14" t="inlineStr">
        <is>
          <t>LZPT-50|</t>
        </is>
      </c>
      <c r="FT915" t="inlineStr">
        <is>
          <t>LZPT-50|</t>
        </is>
      </c>
      <c r="FU915" t="inlineStr">
        <is>
          <t>LZPT-50</t>
        </is>
      </c>
      <c r="FV915">
        <f>VLOOKUP(FU915,FD:FL,9,0)</f>
        <v/>
      </c>
    </row>
    <row r="916">
      <c r="FC916" t="inlineStr">
        <is>
          <t>Diccionario 1</t>
        </is>
      </c>
      <c r="FD916" s="15" t="inlineStr"/>
      <c r="FE916" s="17" t="inlineStr">
        <is>
          <t>LVCB4L4D5NM002661</t>
        </is>
      </c>
      <c r="FF916" s="18" t="inlineStr">
        <is>
          <t>M221110527</t>
        </is>
      </c>
      <c r="FG916" s="18" t="inlineStr">
        <is>
          <t>FOTON</t>
        </is>
      </c>
      <c r="FH916" s="18" t="inlineStr">
        <is>
          <t>EBUS U12 SC</t>
        </is>
      </c>
      <c r="FI916" s="18" t="inlineStr">
        <is>
          <t>FOTON</t>
        </is>
      </c>
      <c r="FJ916" s="18" t="inlineStr">
        <is>
          <t>EBUS U12 SC</t>
        </is>
      </c>
      <c r="FK916" s="18" t="n">
        <v>2022</v>
      </c>
      <c r="FL916" s="18" t="inlineStr">
        <is>
          <t>B</t>
        </is>
      </c>
      <c r="FM916" s="18" t="inlineStr">
        <is>
          <t>Santa Rosa</t>
        </is>
      </c>
      <c r="FP916" t="inlineStr">
        <is>
          <t>B</t>
        </is>
      </c>
      <c r="FS916" s="14" t="inlineStr">
        <is>
          <t>LZPW-15|</t>
        </is>
      </c>
      <c r="FT916" t="inlineStr">
        <is>
          <t>LZPW-15|</t>
        </is>
      </c>
      <c r="FU916" t="inlineStr">
        <is>
          <t>LZPW-15</t>
        </is>
      </c>
      <c r="FV916">
        <f>VLOOKUP(FU916,FD:FL,9,0)</f>
        <v/>
      </c>
    </row>
    <row r="917">
      <c r="FC917" t="inlineStr">
        <is>
          <t>Diccionario 1</t>
        </is>
      </c>
      <c r="FD917" s="15" t="inlineStr"/>
      <c r="FE917" s="17" t="inlineStr">
        <is>
          <t>LVCB4L4D7NM002662</t>
        </is>
      </c>
      <c r="FF917" s="18" t="inlineStr">
        <is>
          <t>M221100402</t>
        </is>
      </c>
      <c r="FG917" s="18" t="inlineStr">
        <is>
          <t>FOTON</t>
        </is>
      </c>
      <c r="FH917" s="18" t="inlineStr">
        <is>
          <t>EBUS U12 SC</t>
        </is>
      </c>
      <c r="FI917" s="18" t="inlineStr">
        <is>
          <t>FOTON</t>
        </is>
      </c>
      <c r="FJ917" s="18" t="inlineStr">
        <is>
          <t>EBUS U12 SC</t>
        </is>
      </c>
      <c r="FK917" s="18" t="n">
        <v>2022</v>
      </c>
      <c r="FL917" s="18" t="inlineStr">
        <is>
          <t>B</t>
        </is>
      </c>
      <c r="FM917" s="18" t="inlineStr">
        <is>
          <t>Santa Rosa</t>
        </is>
      </c>
      <c r="FP917" t="inlineStr">
        <is>
          <t>B</t>
        </is>
      </c>
      <c r="FS917" s="14" t="inlineStr">
        <is>
          <t>LZPT-44|</t>
        </is>
      </c>
      <c r="FT917" t="inlineStr">
        <is>
          <t>LZPT-44|</t>
        </is>
      </c>
      <c r="FU917" t="inlineStr">
        <is>
          <t>LZPT-44</t>
        </is>
      </c>
      <c r="FV917">
        <f>VLOOKUP(FU917,FD:FL,9,0)</f>
        <v/>
      </c>
    </row>
    <row r="918">
      <c r="FC918" t="inlineStr">
        <is>
          <t>Diccionario 1</t>
        </is>
      </c>
      <c r="FD918" s="15" t="inlineStr"/>
      <c r="FE918" s="17" t="inlineStr">
        <is>
          <t>LVCB4L4D9NM002663</t>
        </is>
      </c>
      <c r="FF918" s="18" t="inlineStr">
        <is>
          <t>M221110019</t>
        </is>
      </c>
      <c r="FG918" s="18" t="inlineStr">
        <is>
          <t>FOTON</t>
        </is>
      </c>
      <c r="FH918" s="18" t="inlineStr">
        <is>
          <t>EBUS U12 SC</t>
        </is>
      </c>
      <c r="FI918" s="18" t="inlineStr">
        <is>
          <t>FOTON</t>
        </is>
      </c>
      <c r="FJ918" s="18" t="inlineStr">
        <is>
          <t>EBUS U12 SC</t>
        </is>
      </c>
      <c r="FK918" s="18" t="n">
        <v>2022</v>
      </c>
      <c r="FL918" s="18" t="inlineStr">
        <is>
          <t>B</t>
        </is>
      </c>
      <c r="FM918" s="18" t="inlineStr">
        <is>
          <t>Santa Rosa</t>
        </is>
      </c>
      <c r="FP918" t="inlineStr">
        <is>
          <t>B</t>
        </is>
      </c>
      <c r="FS918" s="14" t="inlineStr">
        <is>
          <t>LZPT-41|</t>
        </is>
      </c>
      <c r="FT918" t="inlineStr">
        <is>
          <t>LZPT-41|</t>
        </is>
      </c>
      <c r="FU918" t="inlineStr">
        <is>
          <t>LZPT-41</t>
        </is>
      </c>
      <c r="FV918">
        <f>VLOOKUP(FU918,FD:FL,9,0)</f>
        <v/>
      </c>
    </row>
    <row r="919">
      <c r="FC919" t="inlineStr">
        <is>
          <t>Diccionario 1</t>
        </is>
      </c>
      <c r="FD919" s="15" t="inlineStr"/>
      <c r="FE919" s="17" t="inlineStr">
        <is>
          <t>LVCB4L4D2NM002665</t>
        </is>
      </c>
      <c r="FF919" s="18" t="inlineStr">
        <is>
          <t>M221100489</t>
        </is>
      </c>
      <c r="FG919" s="18" t="inlineStr">
        <is>
          <t>FOTON</t>
        </is>
      </c>
      <c r="FH919" s="18" t="inlineStr">
        <is>
          <t>EBUS U12 SC</t>
        </is>
      </c>
      <c r="FI919" s="18" t="inlineStr">
        <is>
          <t>FOTON</t>
        </is>
      </c>
      <c r="FJ919" s="18" t="inlineStr">
        <is>
          <t>EBUS U12 SC</t>
        </is>
      </c>
      <c r="FK919" s="18" t="n">
        <v>2022</v>
      </c>
      <c r="FL919" s="18" t="inlineStr">
        <is>
          <t>B</t>
        </is>
      </c>
      <c r="FM919" s="18" t="inlineStr">
        <is>
          <t>Recoleta</t>
        </is>
      </c>
      <c r="FP919" t="inlineStr">
        <is>
          <t>B</t>
        </is>
      </c>
      <c r="FS919" s="14" t="inlineStr">
        <is>
          <t>LZPT-72|</t>
        </is>
      </c>
      <c r="FT919" t="inlineStr">
        <is>
          <t>LZPT-72|</t>
        </is>
      </c>
      <c r="FU919" t="inlineStr">
        <is>
          <t>LZPT-72</t>
        </is>
      </c>
      <c r="FV919">
        <f>VLOOKUP(FU919,FD:FL,9,0)</f>
        <v/>
      </c>
    </row>
    <row r="920">
      <c r="FC920" t="inlineStr">
        <is>
          <t>Diccionario 1</t>
        </is>
      </c>
      <c r="FD920" s="15" t="inlineStr"/>
      <c r="FE920" s="17" t="inlineStr">
        <is>
          <t>LVCB4L4D4NM002666</t>
        </is>
      </c>
      <c r="FF920" s="18" t="inlineStr">
        <is>
          <t>M221110651</t>
        </is>
      </c>
      <c r="FG920" s="18" t="inlineStr">
        <is>
          <t>FOTON</t>
        </is>
      </c>
      <c r="FH920" s="18" t="inlineStr">
        <is>
          <t>EBUS U12 SC</t>
        </is>
      </c>
      <c r="FI920" s="18" t="inlineStr">
        <is>
          <t>FOTON</t>
        </is>
      </c>
      <c r="FJ920" s="18" t="inlineStr">
        <is>
          <t>EBUS U12 SC</t>
        </is>
      </c>
      <c r="FK920" s="18" t="n">
        <v>2022</v>
      </c>
      <c r="FL920" s="18" t="inlineStr">
        <is>
          <t>B</t>
        </is>
      </c>
      <c r="FM920" s="18" t="inlineStr">
        <is>
          <t>Recoleta</t>
        </is>
      </c>
      <c r="FP920" t="inlineStr">
        <is>
          <t>B</t>
        </is>
      </c>
      <c r="FS920" s="14" t="inlineStr">
        <is>
          <t>LZPG-25|</t>
        </is>
      </c>
      <c r="FT920" t="inlineStr">
        <is>
          <t>LZPG-25|</t>
        </is>
      </c>
      <c r="FU920" t="inlineStr">
        <is>
          <t>LZPG-25</t>
        </is>
      </c>
      <c r="FV920">
        <f>VLOOKUP(FU920,FD:FL,9,0)</f>
        <v/>
      </c>
    </row>
    <row r="921">
      <c r="FC921" t="inlineStr">
        <is>
          <t>Diccionario 1</t>
        </is>
      </c>
      <c r="FD921" s="15" t="inlineStr"/>
      <c r="FE921" s="17" t="inlineStr">
        <is>
          <t>LVCB4L4D6NM002667</t>
        </is>
      </c>
      <c r="FF921" s="18" t="inlineStr">
        <is>
          <t>M221100405</t>
        </is>
      </c>
      <c r="FG921" s="18" t="inlineStr">
        <is>
          <t>FOTON</t>
        </is>
      </c>
      <c r="FH921" s="18" t="inlineStr">
        <is>
          <t>EBUS U12 SC</t>
        </is>
      </c>
      <c r="FI921" s="18" t="inlineStr">
        <is>
          <t>FOTON</t>
        </is>
      </c>
      <c r="FJ921" s="18" t="inlineStr">
        <is>
          <t>EBUS U12 SC</t>
        </is>
      </c>
      <c r="FK921" s="18" t="n">
        <v>2022</v>
      </c>
      <c r="FL921" s="18" t="inlineStr">
        <is>
          <t>B</t>
        </is>
      </c>
      <c r="FM921" s="18" t="inlineStr">
        <is>
          <t>Recoleta</t>
        </is>
      </c>
      <c r="FP921" t="inlineStr">
        <is>
          <t>B</t>
        </is>
      </c>
      <c r="FS921" s="14" t="inlineStr">
        <is>
          <t>LZRB-85|</t>
        </is>
      </c>
      <c r="FT921" t="inlineStr">
        <is>
          <t>LZRB-85|</t>
        </is>
      </c>
      <c r="FU921" t="inlineStr">
        <is>
          <t>LZRB-85</t>
        </is>
      </c>
      <c r="FV921">
        <f>VLOOKUP(FU921,FD:FL,9,0)</f>
        <v/>
      </c>
    </row>
    <row r="922">
      <c r="FC922" t="inlineStr">
        <is>
          <t>Diccionario 1</t>
        </is>
      </c>
      <c r="FD922" s="15" t="inlineStr"/>
      <c r="FE922" s="17" t="inlineStr">
        <is>
          <t>LVCB4L4D8NM002668</t>
        </is>
      </c>
      <c r="FF922" s="18" t="inlineStr">
        <is>
          <t>M221100526</t>
        </is>
      </c>
      <c r="FG922" s="18" t="inlineStr">
        <is>
          <t>FOTON</t>
        </is>
      </c>
      <c r="FH922" s="18" t="inlineStr">
        <is>
          <t>EBUS U12 SC</t>
        </is>
      </c>
      <c r="FI922" s="18" t="inlineStr">
        <is>
          <t>FOTON</t>
        </is>
      </c>
      <c r="FJ922" s="18" t="inlineStr">
        <is>
          <t>EBUS U12 SC</t>
        </is>
      </c>
      <c r="FK922" s="18" t="n">
        <v>2022</v>
      </c>
      <c r="FL922" s="18" t="inlineStr">
        <is>
          <t>B</t>
        </is>
      </c>
      <c r="FM922" s="18" t="inlineStr">
        <is>
          <t>Recoleta</t>
        </is>
      </c>
      <c r="FP922" t="inlineStr">
        <is>
          <t>B</t>
        </is>
      </c>
      <c r="FS922" s="14" t="inlineStr">
        <is>
          <t>LZPW-22|</t>
        </is>
      </c>
      <c r="FT922" t="inlineStr">
        <is>
          <t>LZPW-22|</t>
        </is>
      </c>
      <c r="FU922" t="inlineStr">
        <is>
          <t>LZPW-22</t>
        </is>
      </c>
      <c r="FV922">
        <f>VLOOKUP(FU922,FD:FL,9,0)</f>
        <v/>
      </c>
    </row>
    <row r="923">
      <c r="FC923" t="inlineStr">
        <is>
          <t>Diccionario 1</t>
        </is>
      </c>
      <c r="FD923" s="15" t="inlineStr"/>
      <c r="FE923" s="17" t="inlineStr">
        <is>
          <t>LVCB4L4DXNM002669</t>
        </is>
      </c>
      <c r="FF923" s="18" t="inlineStr">
        <is>
          <t>M221110534</t>
        </is>
      </c>
      <c r="FG923" s="18" t="inlineStr">
        <is>
          <t>FOTON</t>
        </is>
      </c>
      <c r="FH923" s="18" t="inlineStr">
        <is>
          <t>EBUS U12 SC</t>
        </is>
      </c>
      <c r="FI923" s="18" t="inlineStr">
        <is>
          <t>FOTON</t>
        </is>
      </c>
      <c r="FJ923" s="18" t="inlineStr">
        <is>
          <t>EBUS U12 SC</t>
        </is>
      </c>
      <c r="FK923" s="18" t="n">
        <v>2022</v>
      </c>
      <c r="FL923" s="18" t="inlineStr">
        <is>
          <t>B</t>
        </is>
      </c>
      <c r="FM923" s="18" t="inlineStr">
        <is>
          <t>Santa Rosa</t>
        </is>
      </c>
      <c r="FP923" t="inlineStr">
        <is>
          <t>B</t>
        </is>
      </c>
      <c r="FS923" s="14" t="inlineStr">
        <is>
          <t>LZPR-92|</t>
        </is>
      </c>
      <c r="FT923" t="inlineStr">
        <is>
          <t>LZPR-92|</t>
        </is>
      </c>
      <c r="FU923" t="inlineStr">
        <is>
          <t>LZPR-92</t>
        </is>
      </c>
      <c r="FV923">
        <f>VLOOKUP(FU923,FD:FL,9,0)</f>
        <v/>
      </c>
    </row>
    <row r="924">
      <c r="FC924" t="inlineStr">
        <is>
          <t>Diccionario 1</t>
        </is>
      </c>
      <c r="FD924" s="15" t="inlineStr"/>
      <c r="FE924" s="17" t="inlineStr">
        <is>
          <t>YV3T7U520RA212108</t>
        </is>
      </c>
      <c r="FF924" s="18" t="n">
        <v>593521</v>
      </c>
      <c r="FG924" s="18" t="inlineStr">
        <is>
          <t>VOLVO</t>
        </is>
      </c>
      <c r="FH924" s="18" t="inlineStr">
        <is>
          <t>B8RLEA</t>
        </is>
      </c>
      <c r="FI924" s="18" t="inlineStr">
        <is>
          <t>MARCOPOLO</t>
        </is>
      </c>
      <c r="FJ924" s="18" t="inlineStr">
        <is>
          <t>GRAN VIALE</t>
        </is>
      </c>
      <c r="FK924" s="18" t="n">
        <v>2023</v>
      </c>
      <c r="FL924" s="18" t="inlineStr">
        <is>
          <t>C</t>
        </is>
      </c>
      <c r="FM924" s="18" t="inlineStr">
        <is>
          <t>Santa Rosa</t>
        </is>
      </c>
      <c r="FP924" t="inlineStr">
        <is>
          <t>C</t>
        </is>
      </c>
      <c r="FS924" s="14" t="inlineStr">
        <is>
          <t>LZPR-80|</t>
        </is>
      </c>
      <c r="FT924" t="inlineStr">
        <is>
          <t>LZPR-80|</t>
        </is>
      </c>
      <c r="FU924" t="inlineStr">
        <is>
          <t>LZPR-80</t>
        </is>
      </c>
      <c r="FV924">
        <f>VLOOKUP(FU924,FD:FL,9,0)</f>
        <v/>
      </c>
    </row>
    <row r="925">
      <c r="FC925" t="inlineStr">
        <is>
          <t>Diccionario 1</t>
        </is>
      </c>
      <c r="FD925" s="15" t="inlineStr"/>
      <c r="FE925" s="17" t="inlineStr">
        <is>
          <t>YV3T7U522RA212112</t>
        </is>
      </c>
      <c r="FF925" s="18" t="n">
        <v>593751</v>
      </c>
      <c r="FG925" s="18" t="inlineStr">
        <is>
          <t>VOLVO</t>
        </is>
      </c>
      <c r="FH925" s="18" t="inlineStr">
        <is>
          <t>B8RLEA</t>
        </is>
      </c>
      <c r="FI925" s="18" t="inlineStr">
        <is>
          <t>MARCOPOLO</t>
        </is>
      </c>
      <c r="FJ925" s="18" t="inlineStr">
        <is>
          <t>GRAN VIALE</t>
        </is>
      </c>
      <c r="FK925" s="18" t="n">
        <v>2023</v>
      </c>
      <c r="FL925" s="18" t="inlineStr">
        <is>
          <t>C</t>
        </is>
      </c>
      <c r="FM925" s="18" t="inlineStr">
        <is>
          <t>Santa Rosa</t>
        </is>
      </c>
      <c r="FP925" t="inlineStr">
        <is>
          <t>C</t>
        </is>
      </c>
      <c r="FS925" s="14" t="inlineStr">
        <is>
          <t>GCBF-47|</t>
        </is>
      </c>
      <c r="FT925" t="inlineStr">
        <is>
          <t>GCBF-47|</t>
        </is>
      </c>
      <c r="FU925" t="inlineStr">
        <is>
          <t>GCBF-47</t>
        </is>
      </c>
      <c r="FV925">
        <f>VLOOKUP(FU925,FD:FL,9,0)</f>
        <v/>
      </c>
    </row>
    <row r="926">
      <c r="FC926" t="inlineStr">
        <is>
          <t>Diccionario 1</t>
        </is>
      </c>
      <c r="FD926" s="15" t="inlineStr"/>
      <c r="FE926" s="17" t="inlineStr">
        <is>
          <t>YV3T7U525RA212217</t>
        </is>
      </c>
      <c r="FF926" s="18" t="n">
        <v>595002</v>
      </c>
      <c r="FG926" s="18" t="inlineStr">
        <is>
          <t>VOLVO</t>
        </is>
      </c>
      <c r="FH926" s="18" t="inlineStr">
        <is>
          <t>B8RLEA</t>
        </is>
      </c>
      <c r="FI926" s="18" t="inlineStr">
        <is>
          <t>MARCOPOLO</t>
        </is>
      </c>
      <c r="FJ926" s="18" t="inlineStr">
        <is>
          <t>GRAN VIALE</t>
        </is>
      </c>
      <c r="FK926" s="18" t="n">
        <v>2023</v>
      </c>
      <c r="FL926" s="18" t="inlineStr">
        <is>
          <t>C</t>
        </is>
      </c>
      <c r="FM926" s="18" t="inlineStr">
        <is>
          <t>Santa Rosa</t>
        </is>
      </c>
      <c r="FP926" t="inlineStr">
        <is>
          <t>C</t>
        </is>
      </c>
      <c r="FS926" s="14" t="inlineStr">
        <is>
          <t>LZPV-99|</t>
        </is>
      </c>
      <c r="FT926" t="inlineStr">
        <is>
          <t>LZPV-99|</t>
        </is>
      </c>
      <c r="FU926" t="inlineStr">
        <is>
          <t>LZPV-99</t>
        </is>
      </c>
      <c r="FV926">
        <f>VLOOKUP(FU926,FD:FL,9,0)</f>
        <v/>
      </c>
    </row>
    <row r="927">
      <c r="FC927" t="inlineStr">
        <is>
          <t>Diccionario 1</t>
        </is>
      </c>
      <c r="FD927" s="15" t="inlineStr"/>
      <c r="FE927" s="17" t="inlineStr">
        <is>
          <t>YV3T7U523RA212314</t>
        </is>
      </c>
      <c r="FF927" s="18" t="n">
        <v>598537</v>
      </c>
      <c r="FG927" s="18" t="inlineStr">
        <is>
          <t>VOLVO</t>
        </is>
      </c>
      <c r="FH927" s="18" t="inlineStr">
        <is>
          <t>B8RLEA</t>
        </is>
      </c>
      <c r="FI927" s="18" t="inlineStr">
        <is>
          <t>MARCOPOLO</t>
        </is>
      </c>
      <c r="FJ927" s="18" t="inlineStr">
        <is>
          <t>GRAN VIALE</t>
        </is>
      </c>
      <c r="FK927" s="18" t="n">
        <v>2023</v>
      </c>
      <c r="FL927" s="18" t="inlineStr">
        <is>
          <t>C</t>
        </is>
      </c>
      <c r="FM927" s="18" t="inlineStr">
        <is>
          <t>Santa Rosa</t>
        </is>
      </c>
      <c r="FP927" t="inlineStr">
        <is>
          <t>C</t>
        </is>
      </c>
      <c r="FS927" s="14" t="inlineStr">
        <is>
          <t>LZPR-94|</t>
        </is>
      </c>
      <c r="FT927" t="inlineStr">
        <is>
          <t>LZPR-94|</t>
        </is>
      </c>
      <c r="FU927" t="inlineStr">
        <is>
          <t>LZPR-94</t>
        </is>
      </c>
      <c r="FV927">
        <f>VLOOKUP(FU927,FD:FL,9,0)</f>
        <v/>
      </c>
    </row>
    <row r="928">
      <c r="FC928" t="inlineStr">
        <is>
          <t>Diccionario 1</t>
        </is>
      </c>
      <c r="FD928" s="15" t="inlineStr"/>
      <c r="FE928" s="17" t="inlineStr">
        <is>
          <t>LDYECS315S0045859</t>
        </is>
      </c>
      <c r="FF928" s="18" t="inlineStr">
        <is>
          <t>MDN35025030200</t>
        </is>
      </c>
      <c r="FG928" s="18" t="inlineStr">
        <is>
          <t>Zhong Thong</t>
        </is>
      </c>
      <c r="FH928" s="18" t="inlineStr">
        <is>
          <t>Lck6122evg</t>
        </is>
      </c>
      <c r="FI928" s="18" t="inlineStr">
        <is>
          <t>Zhong Thong</t>
        </is>
      </c>
      <c r="FJ928" s="18" t="inlineStr">
        <is>
          <t>Lck6122evg</t>
        </is>
      </c>
      <c r="FK928" s="18" t="n">
        <v>2026</v>
      </c>
      <c r="FL928" s="18" t="inlineStr">
        <is>
          <t>B</t>
        </is>
      </c>
      <c r="FM928" s="18" t="inlineStr">
        <is>
          <t>Las Acacias</t>
        </is>
      </c>
      <c r="FP928" t="inlineStr">
        <is>
          <t>B</t>
        </is>
      </c>
      <c r="FS928" s="14" t="inlineStr">
        <is>
          <t>LZPS-23|</t>
        </is>
      </c>
      <c r="FT928" t="inlineStr">
        <is>
          <t>LZPS-23|</t>
        </is>
      </c>
      <c r="FU928" t="inlineStr">
        <is>
          <t>LZPS-23</t>
        </is>
      </c>
      <c r="FV928">
        <f>VLOOKUP(FU928,FD:FL,9,0)</f>
        <v/>
      </c>
    </row>
    <row r="929">
      <c r="FC929" t="inlineStr">
        <is>
          <t>Diccionario 1</t>
        </is>
      </c>
      <c r="FD929" s="15" t="inlineStr"/>
      <c r="FE929" s="17" t="inlineStr">
        <is>
          <t>LDYECS313S0045858</t>
        </is>
      </c>
      <c r="FF929" s="18" t="inlineStr">
        <is>
          <t>MDN35025030201</t>
        </is>
      </c>
      <c r="FG929" s="18" t="inlineStr">
        <is>
          <t>Zhong Thong</t>
        </is>
      </c>
      <c r="FH929" s="18" t="inlineStr">
        <is>
          <t>Lck6122evg</t>
        </is>
      </c>
      <c r="FI929" s="18" t="inlineStr">
        <is>
          <t>Zhong Thong</t>
        </is>
      </c>
      <c r="FJ929" s="18" t="inlineStr">
        <is>
          <t>Lck6122evg</t>
        </is>
      </c>
      <c r="FK929" s="18" t="n">
        <v>2026</v>
      </c>
      <c r="FL929" s="18" t="inlineStr">
        <is>
          <t>B</t>
        </is>
      </c>
      <c r="FM929" s="18" t="inlineStr">
        <is>
          <t>Las Acacias</t>
        </is>
      </c>
      <c r="FP929" t="inlineStr">
        <is>
          <t>B</t>
        </is>
      </c>
      <c r="FS929" s="14" t="inlineStr">
        <is>
          <t>LZPS-16|</t>
        </is>
      </c>
      <c r="FT929" t="inlineStr">
        <is>
          <t>LZPS-16|</t>
        </is>
      </c>
      <c r="FU929" t="inlineStr">
        <is>
          <t>LZPS-16</t>
        </is>
      </c>
      <c r="FV929">
        <f>VLOOKUP(FU929,FD:FL,9,0)</f>
        <v/>
      </c>
    </row>
    <row r="930">
      <c r="FC930" t="inlineStr">
        <is>
          <t>Diccionario 1</t>
        </is>
      </c>
      <c r="FD930" s="15" t="inlineStr"/>
      <c r="FE930" s="17" t="inlineStr">
        <is>
          <t>LDYECS313S0045777</t>
        </is>
      </c>
      <c r="FF930" s="18" t="inlineStr">
        <is>
          <t>MDN35025030141</t>
        </is>
      </c>
      <c r="FG930" s="18" t="inlineStr">
        <is>
          <t>Zhong Thong</t>
        </is>
      </c>
      <c r="FH930" s="18" t="inlineStr">
        <is>
          <t>Lck6122evg</t>
        </is>
      </c>
      <c r="FI930" s="18" t="inlineStr">
        <is>
          <t>Zhong Thong</t>
        </is>
      </c>
      <c r="FJ930" s="18" t="inlineStr">
        <is>
          <t>Lck6122evg</t>
        </is>
      </c>
      <c r="FK930" s="18" t="n">
        <v>2026</v>
      </c>
      <c r="FL930" s="18" t="inlineStr">
        <is>
          <t>B</t>
        </is>
      </c>
      <c r="FM930" s="18" t="inlineStr">
        <is>
          <t>Las Acacias</t>
        </is>
      </c>
      <c r="FP930" t="inlineStr">
        <is>
          <t>B</t>
        </is>
      </c>
      <c r="FS930" s="14" t="inlineStr">
        <is>
          <t>GCBF-43|</t>
        </is>
      </c>
      <c r="FT930" t="inlineStr">
        <is>
          <t>GCBF-43|</t>
        </is>
      </c>
      <c r="FU930" t="inlineStr">
        <is>
          <t>GCBF-43</t>
        </is>
      </c>
      <c r="FV930">
        <f>VLOOKUP(FU930,FD:FL,9,0)</f>
        <v/>
      </c>
    </row>
    <row r="931">
      <c r="FC931" t="inlineStr">
        <is>
          <t>Diccionario 1</t>
        </is>
      </c>
      <c r="FD931" s="15" t="inlineStr"/>
      <c r="FE931" s="17" t="inlineStr">
        <is>
          <t>LDYECS314S0045772</t>
        </is>
      </c>
      <c r="FF931" s="18" t="inlineStr">
        <is>
          <t>MDN35025030143</t>
        </is>
      </c>
      <c r="FG931" s="18" t="inlineStr">
        <is>
          <t>Zhong Thong</t>
        </is>
      </c>
      <c r="FH931" s="18" t="inlineStr">
        <is>
          <t>Lck6122evg</t>
        </is>
      </c>
      <c r="FI931" s="18" t="inlineStr">
        <is>
          <t>Zhong Thong</t>
        </is>
      </c>
      <c r="FJ931" s="18" t="inlineStr">
        <is>
          <t>Lck6122evg</t>
        </is>
      </c>
      <c r="FK931" s="18" t="n">
        <v>2026</v>
      </c>
      <c r="FL931" s="18" t="inlineStr">
        <is>
          <t>B</t>
        </is>
      </c>
      <c r="FM931" s="18" t="inlineStr">
        <is>
          <t>Las Acacias</t>
        </is>
      </c>
      <c r="FP931" t="inlineStr">
        <is>
          <t>B</t>
        </is>
      </c>
      <c r="FS931" s="14" t="inlineStr">
        <is>
          <t>LZRB-82|</t>
        </is>
      </c>
      <c r="FT931" t="inlineStr">
        <is>
          <t>LZRB-82|</t>
        </is>
      </c>
      <c r="FU931" t="inlineStr">
        <is>
          <t>LZRB-82</t>
        </is>
      </c>
      <c r="FV931">
        <f>VLOOKUP(FU931,FD:FL,9,0)</f>
        <v/>
      </c>
    </row>
    <row r="932">
      <c r="FC932" t="inlineStr">
        <is>
          <t>Diccionario 1</t>
        </is>
      </c>
      <c r="FD932" s="15" t="inlineStr"/>
      <c r="FE932" s="17" t="inlineStr">
        <is>
          <t>LDYECS318S0045869</t>
        </is>
      </c>
      <c r="FF932" s="18" t="inlineStr">
        <is>
          <t>MDN35025030203</t>
        </is>
      </c>
      <c r="FG932" s="18" t="inlineStr">
        <is>
          <t>Zhong Thong</t>
        </is>
      </c>
      <c r="FH932" s="18" t="inlineStr">
        <is>
          <t>Lck6122evg</t>
        </is>
      </c>
      <c r="FI932" s="18" t="inlineStr">
        <is>
          <t>Zhong Thong</t>
        </is>
      </c>
      <c r="FJ932" s="18" t="inlineStr">
        <is>
          <t>Lck6122evg</t>
        </is>
      </c>
      <c r="FK932" s="18" t="n">
        <v>2026</v>
      </c>
      <c r="FL932" s="18" t="inlineStr">
        <is>
          <t>B</t>
        </is>
      </c>
      <c r="FM932" s="18" t="inlineStr">
        <is>
          <t>Las Acacias</t>
        </is>
      </c>
      <c r="FP932" t="inlineStr">
        <is>
          <t>B</t>
        </is>
      </c>
      <c r="FS932" s="14" t="inlineStr">
        <is>
          <t>LXWT-87|</t>
        </is>
      </c>
      <c r="FT932" t="inlineStr">
        <is>
          <t>LXWT-87|</t>
        </is>
      </c>
      <c r="FU932" t="inlineStr">
        <is>
          <t>LXWT-87</t>
        </is>
      </c>
      <c r="FV932">
        <f>VLOOKUP(FU932,FD:FL,9,0)</f>
        <v/>
      </c>
    </row>
    <row r="933">
      <c r="FC933" t="inlineStr">
        <is>
          <t>Diccionario 1</t>
        </is>
      </c>
      <c r="FD933" s="15" t="inlineStr"/>
      <c r="FE933" s="17" t="inlineStr">
        <is>
          <t>LDYECS311S0045860</t>
        </is>
      </c>
      <c r="FF933" s="18" t="inlineStr">
        <is>
          <t>MDN35025030275</t>
        </is>
      </c>
      <c r="FG933" s="18" t="inlineStr">
        <is>
          <t>Zhong Thong</t>
        </is>
      </c>
      <c r="FH933" s="18" t="inlineStr">
        <is>
          <t>Lck6122evg</t>
        </is>
      </c>
      <c r="FI933" s="18" t="inlineStr">
        <is>
          <t>Zhong Thong</t>
        </is>
      </c>
      <c r="FJ933" s="18" t="inlineStr">
        <is>
          <t>Lck6122evg</t>
        </is>
      </c>
      <c r="FK933" s="18" t="n">
        <v>2026</v>
      </c>
      <c r="FL933" s="18" t="inlineStr">
        <is>
          <t>B</t>
        </is>
      </c>
      <c r="FM933" s="18" t="inlineStr">
        <is>
          <t>Las Acacias</t>
        </is>
      </c>
      <c r="FP933" t="inlineStr">
        <is>
          <t>B</t>
        </is>
      </c>
      <c r="FS933" s="14" t="inlineStr">
        <is>
          <t>LZPR-97|</t>
        </is>
      </c>
      <c r="FT933" t="inlineStr">
        <is>
          <t>LZPR-97|</t>
        </is>
      </c>
      <c r="FU933" t="inlineStr">
        <is>
          <t>LZPR-97</t>
        </is>
      </c>
      <c r="FV933">
        <f>VLOOKUP(FU933,FD:FL,9,0)</f>
        <v/>
      </c>
    </row>
    <row r="934">
      <c r="FC934" t="inlineStr">
        <is>
          <t>Diccionario 1</t>
        </is>
      </c>
      <c r="FD934" s="15" t="inlineStr"/>
      <c r="FE934" s="17" t="inlineStr">
        <is>
          <t>LDYECS316S0045868</t>
        </is>
      </c>
      <c r="FF934" s="18" t="inlineStr">
        <is>
          <t>MDN35025030262</t>
        </is>
      </c>
      <c r="FG934" s="18" t="inlineStr">
        <is>
          <t>Zhong Thong</t>
        </is>
      </c>
      <c r="FH934" s="18" t="inlineStr">
        <is>
          <t>Lck6122evg</t>
        </is>
      </c>
      <c r="FI934" s="18" t="inlineStr">
        <is>
          <t>Zhong Thong</t>
        </is>
      </c>
      <c r="FJ934" s="18" t="inlineStr">
        <is>
          <t>Lck6122evg</t>
        </is>
      </c>
      <c r="FK934" s="18" t="n">
        <v>2026</v>
      </c>
      <c r="FL934" s="18" t="inlineStr">
        <is>
          <t>B</t>
        </is>
      </c>
      <c r="FM934" s="18" t="inlineStr">
        <is>
          <t>Las Acacias</t>
        </is>
      </c>
      <c r="FP934" t="inlineStr">
        <is>
          <t>B</t>
        </is>
      </c>
      <c r="FS934" s="14" t="inlineStr">
        <is>
          <t>LZPG-12|</t>
        </is>
      </c>
      <c r="FT934" t="inlineStr">
        <is>
          <t>LZPG-12|</t>
        </is>
      </c>
      <c r="FU934" t="inlineStr">
        <is>
          <t>LZPG-12</t>
        </is>
      </c>
      <c r="FV934">
        <f>VLOOKUP(FU934,FD:FL,9,0)</f>
        <v/>
      </c>
    </row>
    <row r="935">
      <c r="FC935" t="inlineStr">
        <is>
          <t>Diccionario 1</t>
        </is>
      </c>
      <c r="FD935" s="15" t="inlineStr"/>
      <c r="FE935" s="17" t="inlineStr">
        <is>
          <t>LDYECS312S0045785</t>
        </is>
      </c>
      <c r="FF935" s="18" t="inlineStr">
        <is>
          <t>MDN35025030159</t>
        </is>
      </c>
      <c r="FG935" s="18" t="inlineStr">
        <is>
          <t>Zhong Thong</t>
        </is>
      </c>
      <c r="FH935" s="18" t="inlineStr">
        <is>
          <t>Lck6122evg</t>
        </is>
      </c>
      <c r="FI935" s="18" t="inlineStr">
        <is>
          <t>Zhong Thong</t>
        </is>
      </c>
      <c r="FJ935" s="18" t="inlineStr">
        <is>
          <t>Lck6122evg</t>
        </is>
      </c>
      <c r="FK935" s="18" t="n">
        <v>2026</v>
      </c>
      <c r="FL935" s="18" t="inlineStr">
        <is>
          <t>B</t>
        </is>
      </c>
      <c r="FM935" s="18" t="inlineStr">
        <is>
          <t>Las Acacias</t>
        </is>
      </c>
      <c r="FP935" t="inlineStr">
        <is>
          <t>B</t>
        </is>
      </c>
      <c r="FS935" s="14" t="inlineStr">
        <is>
          <t>LZPT-39|</t>
        </is>
      </c>
      <c r="FT935" t="inlineStr">
        <is>
          <t>LZPT-39|</t>
        </is>
      </c>
      <c r="FU935" t="inlineStr">
        <is>
          <t>LZPT-39</t>
        </is>
      </c>
      <c r="FV935">
        <f>VLOOKUP(FU935,FD:FL,9,0)</f>
        <v/>
      </c>
    </row>
    <row r="936">
      <c r="FC936" t="inlineStr">
        <is>
          <t>Diccionario 1</t>
        </is>
      </c>
      <c r="FD936" s="15" t="inlineStr"/>
      <c r="FE936" s="17" t="inlineStr">
        <is>
          <t>LDYECS31XS0045873</t>
        </is>
      </c>
      <c r="FF936" s="18" t="inlineStr">
        <is>
          <t>MDN35025030290</t>
        </is>
      </c>
      <c r="FG936" s="18" t="inlineStr">
        <is>
          <t>Zhong Thong</t>
        </is>
      </c>
      <c r="FH936" s="18" t="inlineStr">
        <is>
          <t>Lck6122evg</t>
        </is>
      </c>
      <c r="FI936" s="18" t="inlineStr">
        <is>
          <t>Zhong Thong</t>
        </is>
      </c>
      <c r="FJ936" s="18" t="inlineStr">
        <is>
          <t>Lck6122evg</t>
        </is>
      </c>
      <c r="FK936" s="18" t="n">
        <v>2026</v>
      </c>
      <c r="FL936" s="18" t="inlineStr">
        <is>
          <t>B</t>
        </is>
      </c>
      <c r="FM936" s="18" t="inlineStr">
        <is>
          <t>Las Acacias</t>
        </is>
      </c>
      <c r="FP936" t="inlineStr">
        <is>
          <t>B</t>
        </is>
      </c>
      <c r="FS936" s="14" t="inlineStr">
        <is>
          <t>LZPR-93|</t>
        </is>
      </c>
      <c r="FT936" t="inlineStr">
        <is>
          <t>LZPR-93|</t>
        </is>
      </c>
      <c r="FU936" t="inlineStr">
        <is>
          <t>LZPR-93</t>
        </is>
      </c>
      <c r="FV936">
        <f>VLOOKUP(FU936,FD:FL,9,0)</f>
        <v/>
      </c>
    </row>
    <row r="937">
      <c r="FC937" t="inlineStr">
        <is>
          <t>Diccionario 1</t>
        </is>
      </c>
      <c r="FD937" s="15" t="inlineStr"/>
      <c r="FE937" s="17" t="inlineStr">
        <is>
          <t>LDYECS319S0045783</t>
        </is>
      </c>
      <c r="FF937" s="18" t="inlineStr">
        <is>
          <t>MDN35025030314</t>
        </is>
      </c>
      <c r="FG937" s="18" t="inlineStr">
        <is>
          <t>Zhong Thong</t>
        </is>
      </c>
      <c r="FH937" s="18" t="inlineStr">
        <is>
          <t>Lck6122evg</t>
        </is>
      </c>
      <c r="FI937" s="18" t="inlineStr">
        <is>
          <t>Zhong Thong</t>
        </is>
      </c>
      <c r="FJ937" s="18" t="inlineStr">
        <is>
          <t>Lck6122evg</t>
        </is>
      </c>
      <c r="FK937" s="18" t="n">
        <v>2026</v>
      </c>
      <c r="FL937" s="18" t="inlineStr">
        <is>
          <t>B</t>
        </is>
      </c>
      <c r="FM937" s="18" t="inlineStr">
        <is>
          <t>Las Acacias</t>
        </is>
      </c>
      <c r="FP937" t="inlineStr">
        <is>
          <t>B</t>
        </is>
      </c>
      <c r="FS937" s="14" t="inlineStr">
        <is>
          <t>LZPT-46|</t>
        </is>
      </c>
      <c r="FT937" t="inlineStr">
        <is>
          <t>LZPT-46|</t>
        </is>
      </c>
      <c r="FU937" t="inlineStr">
        <is>
          <t>LZPT-46</t>
        </is>
      </c>
      <c r="FV937">
        <f>VLOOKUP(FU937,FD:FL,9,0)</f>
        <v/>
      </c>
    </row>
    <row r="938">
      <c r="FC938" t="inlineStr">
        <is>
          <t>Diccionario 1</t>
        </is>
      </c>
      <c r="FD938" s="15" t="inlineStr"/>
      <c r="FE938" s="17" t="inlineStr">
        <is>
          <t>LDYECS315S0045778</t>
        </is>
      </c>
      <c r="FF938" s="18" t="inlineStr">
        <is>
          <t>MDN35025030280</t>
        </is>
      </c>
      <c r="FG938" s="18" t="inlineStr">
        <is>
          <t>Zhong Thong</t>
        </is>
      </c>
      <c r="FH938" s="18" t="inlineStr">
        <is>
          <t>Lck6122evg</t>
        </is>
      </c>
      <c r="FI938" s="18" t="inlineStr">
        <is>
          <t>Zhong Thong</t>
        </is>
      </c>
      <c r="FJ938" s="18" t="inlineStr">
        <is>
          <t>Lck6122evg</t>
        </is>
      </c>
      <c r="FK938" s="18" t="n">
        <v>2026</v>
      </c>
      <c r="FL938" s="18" t="inlineStr">
        <is>
          <t>B</t>
        </is>
      </c>
      <c r="FM938" s="18" t="inlineStr">
        <is>
          <t>Las Acacias</t>
        </is>
      </c>
      <c r="FP938" t="inlineStr">
        <is>
          <t>B</t>
        </is>
      </c>
      <c r="FS938" s="14" t="inlineStr">
        <is>
          <t>LZPT-41|</t>
        </is>
      </c>
      <c r="FT938" t="inlineStr">
        <is>
          <t>LZPT-41|</t>
        </is>
      </c>
      <c r="FU938" t="inlineStr">
        <is>
          <t>LZPT-41</t>
        </is>
      </c>
      <c r="FV938">
        <f>VLOOKUP(FU938,FD:FL,9,0)</f>
        <v/>
      </c>
    </row>
    <row r="939">
      <c r="FC939" t="inlineStr">
        <is>
          <t>Diccionario 1</t>
        </is>
      </c>
      <c r="FD939" s="15" t="inlineStr"/>
      <c r="FE939" s="17" t="inlineStr">
        <is>
          <t>LDYECS316S0045787</t>
        </is>
      </c>
      <c r="FF939" s="18" t="inlineStr">
        <is>
          <t>MDN35025030176</t>
        </is>
      </c>
      <c r="FG939" s="18" t="inlineStr">
        <is>
          <t>Zhong Thong</t>
        </is>
      </c>
      <c r="FH939" s="18" t="inlineStr">
        <is>
          <t>Lck6122evg</t>
        </is>
      </c>
      <c r="FI939" s="18" t="inlineStr">
        <is>
          <t>Zhong Thong</t>
        </is>
      </c>
      <c r="FJ939" s="18" t="inlineStr">
        <is>
          <t>Lck6122evg</t>
        </is>
      </c>
      <c r="FK939" s="18" t="n">
        <v>2026</v>
      </c>
      <c r="FL939" s="18" t="inlineStr">
        <is>
          <t>B</t>
        </is>
      </c>
      <c r="FM939" s="18" t="inlineStr">
        <is>
          <t>Las Acacias</t>
        </is>
      </c>
      <c r="FP939" t="inlineStr">
        <is>
          <t>B</t>
        </is>
      </c>
      <c r="FS939" s="14" t="inlineStr">
        <is>
          <t>LZPW-21|</t>
        </is>
      </c>
      <c r="FT939" t="inlineStr">
        <is>
          <t>LZPW-21|</t>
        </is>
      </c>
      <c r="FU939" t="inlineStr">
        <is>
          <t>LZPW-21</t>
        </is>
      </c>
      <c r="FV939">
        <f>VLOOKUP(FU939,FD:FL,9,0)</f>
        <v/>
      </c>
    </row>
    <row r="940">
      <c r="FC940" t="inlineStr">
        <is>
          <t>Diccionario 1</t>
        </is>
      </c>
      <c r="FD940" s="15" t="inlineStr"/>
      <c r="FE940" s="17" t="inlineStr">
        <is>
          <t>LDYECS313S0045780</t>
        </is>
      </c>
      <c r="FF940" s="18" t="inlineStr">
        <is>
          <t>MDN35025030190</t>
        </is>
      </c>
      <c r="FG940" s="18" t="inlineStr">
        <is>
          <t>Zhong Thong</t>
        </is>
      </c>
      <c r="FH940" s="18" t="inlineStr">
        <is>
          <t>Lck6122evg</t>
        </is>
      </c>
      <c r="FI940" s="18" t="inlineStr">
        <is>
          <t>Zhong Thong</t>
        </is>
      </c>
      <c r="FJ940" s="18" t="inlineStr">
        <is>
          <t>Lck6122evg</t>
        </is>
      </c>
      <c r="FK940" s="18" t="n">
        <v>2026</v>
      </c>
      <c r="FL940" s="18" t="inlineStr">
        <is>
          <t>B</t>
        </is>
      </c>
      <c r="FM940" s="18" t="inlineStr">
        <is>
          <t>Las Acacias</t>
        </is>
      </c>
      <c r="FP940" t="inlineStr">
        <is>
          <t>B</t>
        </is>
      </c>
      <c r="FS940" s="14" t="inlineStr">
        <is>
          <t>LZPT-76|</t>
        </is>
      </c>
      <c r="FT940" t="inlineStr">
        <is>
          <t>LZPT-76|</t>
        </is>
      </c>
      <c r="FU940" t="inlineStr">
        <is>
          <t>LZPT-76</t>
        </is>
      </c>
      <c r="FV940">
        <f>VLOOKUP(FU940,FD:FL,9,0)</f>
        <v/>
      </c>
    </row>
    <row r="941">
      <c r="FC941" t="inlineStr">
        <is>
          <t>Diccionario 1</t>
        </is>
      </c>
      <c r="FD941" s="15" t="inlineStr"/>
      <c r="FE941" s="17" t="inlineStr">
        <is>
          <t>LDYECS311S0045776</t>
        </is>
      </c>
      <c r="FF941" s="18" t="inlineStr">
        <is>
          <t>MDN35025030167</t>
        </is>
      </c>
      <c r="FG941" s="18" t="inlineStr">
        <is>
          <t>Zhong Thong</t>
        </is>
      </c>
      <c r="FH941" s="18" t="inlineStr">
        <is>
          <t>Lck6122evg</t>
        </is>
      </c>
      <c r="FI941" s="18" t="inlineStr">
        <is>
          <t>Zhong Thong</t>
        </is>
      </c>
      <c r="FJ941" s="18" t="inlineStr">
        <is>
          <t>Lck6122evg</t>
        </is>
      </c>
      <c r="FK941" s="18" t="n">
        <v>2026</v>
      </c>
      <c r="FL941" s="18" t="inlineStr">
        <is>
          <t>B</t>
        </is>
      </c>
      <c r="FM941" s="18" t="inlineStr">
        <is>
          <t>Las Acacias</t>
        </is>
      </c>
      <c r="FP941" t="inlineStr">
        <is>
          <t>B</t>
        </is>
      </c>
      <c r="FS941" s="14" t="inlineStr">
        <is>
          <t>LZPT-55|</t>
        </is>
      </c>
      <c r="FT941" t="inlineStr">
        <is>
          <t>LZPT-55|</t>
        </is>
      </c>
      <c r="FU941" t="inlineStr">
        <is>
          <t>LZPT-55</t>
        </is>
      </c>
      <c r="FV941">
        <f>VLOOKUP(FU941,FD:FL,9,0)</f>
        <v/>
      </c>
    </row>
    <row r="942">
      <c r="FC942" t="inlineStr">
        <is>
          <t>Diccionario 1</t>
        </is>
      </c>
      <c r="FD942" s="15" t="inlineStr"/>
      <c r="FE942" s="17" t="inlineStr">
        <is>
          <t>LDYECS317S0045782</t>
        </is>
      </c>
      <c r="FF942" s="18" t="inlineStr">
        <is>
          <t>MDN35025030212</t>
        </is>
      </c>
      <c r="FG942" s="18" t="inlineStr">
        <is>
          <t>Zhong Thong</t>
        </is>
      </c>
      <c r="FH942" s="18" t="inlineStr">
        <is>
          <t>Lck6122evg</t>
        </is>
      </c>
      <c r="FI942" s="18" t="inlineStr">
        <is>
          <t>Zhong Thong</t>
        </is>
      </c>
      <c r="FJ942" s="18" t="inlineStr">
        <is>
          <t>Lck6122evg</t>
        </is>
      </c>
      <c r="FK942" s="18" t="n">
        <v>2026</v>
      </c>
      <c r="FL942" s="18" t="inlineStr">
        <is>
          <t>B</t>
        </is>
      </c>
      <c r="FM942" s="18" t="inlineStr">
        <is>
          <t>Las Acacias</t>
        </is>
      </c>
      <c r="FP942" t="inlineStr">
        <is>
          <t>B</t>
        </is>
      </c>
      <c r="FS942" s="14" t="inlineStr">
        <is>
          <t>LZPT-71|</t>
        </is>
      </c>
      <c r="FT942" t="inlineStr">
        <is>
          <t>LZPT-71|</t>
        </is>
      </c>
      <c r="FU942" t="inlineStr">
        <is>
          <t>LZPT-71</t>
        </is>
      </c>
      <c r="FV942">
        <f>VLOOKUP(FU942,FD:FL,9,0)</f>
        <v/>
      </c>
    </row>
    <row r="943">
      <c r="FC943" t="inlineStr">
        <is>
          <t>Diccionario 1</t>
        </is>
      </c>
      <c r="FD943" s="15" t="inlineStr"/>
      <c r="FE943" s="17" t="inlineStr">
        <is>
          <t>LDYECS316S0045885</t>
        </is>
      </c>
      <c r="FF943" s="18" t="inlineStr">
        <is>
          <t>MDN35025030187</t>
        </is>
      </c>
      <c r="FG943" s="18" t="inlineStr">
        <is>
          <t>Zhong Thong</t>
        </is>
      </c>
      <c r="FH943" s="18" t="inlineStr">
        <is>
          <t>Lck6122evg</t>
        </is>
      </c>
      <c r="FI943" s="18" t="inlineStr">
        <is>
          <t>Zhong Thong</t>
        </is>
      </c>
      <c r="FJ943" s="18" t="inlineStr">
        <is>
          <t>Lck6122evg</t>
        </is>
      </c>
      <c r="FK943" s="18" t="n">
        <v>2026</v>
      </c>
      <c r="FL943" s="18" t="inlineStr">
        <is>
          <t>B</t>
        </is>
      </c>
      <c r="FM943" s="18" t="inlineStr">
        <is>
          <t>Las Acacias</t>
        </is>
      </c>
      <c r="FP943" t="inlineStr">
        <is>
          <t>B</t>
        </is>
      </c>
      <c r="FS943" s="14" t="inlineStr">
        <is>
          <t>LXWT-99|</t>
        </is>
      </c>
      <c r="FT943" t="inlineStr">
        <is>
          <t>LXWT-99|</t>
        </is>
      </c>
      <c r="FU943" t="inlineStr">
        <is>
          <t>LXWT-99</t>
        </is>
      </c>
      <c r="FV943">
        <f>VLOOKUP(FU943,FD:FL,9,0)</f>
        <v/>
      </c>
    </row>
    <row r="944">
      <c r="FC944" t="inlineStr">
        <is>
          <t>Diccionario 1</t>
        </is>
      </c>
      <c r="FD944" s="15" t="inlineStr"/>
      <c r="FE944" s="17" t="inlineStr">
        <is>
          <t>LDYECS311S0045745</t>
        </is>
      </c>
      <c r="FF944" s="18" t="inlineStr">
        <is>
          <t>MDN35025030007</t>
        </is>
      </c>
      <c r="FG944" s="18" t="inlineStr">
        <is>
          <t>Zhong Thong</t>
        </is>
      </c>
      <c r="FH944" s="18" t="inlineStr">
        <is>
          <t>Lck6122evg</t>
        </is>
      </c>
      <c r="FI944" s="18" t="inlineStr">
        <is>
          <t>Zhong Thong</t>
        </is>
      </c>
      <c r="FJ944" s="18" t="inlineStr">
        <is>
          <t>Lck6122evg</t>
        </is>
      </c>
      <c r="FK944" s="18" t="n">
        <v>2026</v>
      </c>
      <c r="FL944" s="18" t="inlineStr">
        <is>
          <t>B</t>
        </is>
      </c>
      <c r="FM944" s="18" t="inlineStr">
        <is>
          <t>Las Acacias</t>
        </is>
      </c>
      <c r="FP944" t="inlineStr">
        <is>
          <t>B</t>
        </is>
      </c>
      <c r="FS944" s="14" t="inlineStr">
        <is>
          <t>LXWT-88|</t>
        </is>
      </c>
      <c r="FT944" t="inlineStr">
        <is>
          <t>LXWT-88|</t>
        </is>
      </c>
      <c r="FU944" t="inlineStr">
        <is>
          <t>LXWT-88</t>
        </is>
      </c>
      <c r="FV944">
        <f>VLOOKUP(FU944,FD:FL,9,0)</f>
        <v/>
      </c>
    </row>
    <row r="945">
      <c r="FC945" t="inlineStr">
        <is>
          <t>Diccionario 1</t>
        </is>
      </c>
      <c r="FD945" s="15" t="inlineStr"/>
      <c r="FE945" s="17" t="inlineStr">
        <is>
          <t>LDYECS31XS0045789</t>
        </is>
      </c>
      <c r="FF945" s="18" t="inlineStr">
        <is>
          <t>MDN35025030164</t>
        </is>
      </c>
      <c r="FG945" s="18" t="inlineStr">
        <is>
          <t>Zhong Thong</t>
        </is>
      </c>
      <c r="FH945" s="18" t="inlineStr">
        <is>
          <t>Lck6122evg</t>
        </is>
      </c>
      <c r="FI945" s="18" t="inlineStr">
        <is>
          <t>Zhong Thong</t>
        </is>
      </c>
      <c r="FJ945" s="18" t="inlineStr">
        <is>
          <t>Lck6122evg</t>
        </is>
      </c>
      <c r="FK945" s="18" t="n">
        <v>2026</v>
      </c>
      <c r="FL945" s="18" t="inlineStr">
        <is>
          <t>B</t>
        </is>
      </c>
      <c r="FM945" s="18" t="inlineStr">
        <is>
          <t>Las Acacias</t>
        </is>
      </c>
      <c r="FP945" t="inlineStr">
        <is>
          <t>B</t>
        </is>
      </c>
      <c r="FS945" s="14" t="inlineStr">
        <is>
          <t>LZPG-18|</t>
        </is>
      </c>
      <c r="FT945" t="inlineStr">
        <is>
          <t>LZPG-18|</t>
        </is>
      </c>
      <c r="FU945" t="inlineStr">
        <is>
          <t>LZPG-18</t>
        </is>
      </c>
      <c r="FV945">
        <f>VLOOKUP(FU945,FD:FL,9,0)</f>
        <v/>
      </c>
    </row>
    <row r="946">
      <c r="FC946" t="inlineStr">
        <is>
          <t>Diccionario 1</t>
        </is>
      </c>
      <c r="FD946" s="15" t="inlineStr"/>
      <c r="FE946" s="17" t="inlineStr">
        <is>
          <t>LDYECS311S0045888</t>
        </is>
      </c>
      <c r="FF946" s="18" t="inlineStr">
        <is>
          <t>MDN35025010010</t>
        </is>
      </c>
      <c r="FG946" s="18" t="inlineStr">
        <is>
          <t>Zhong Thong</t>
        </is>
      </c>
      <c r="FH946" s="18" t="inlineStr">
        <is>
          <t>Lck6122evg</t>
        </is>
      </c>
      <c r="FI946" s="18" t="inlineStr">
        <is>
          <t>Zhong Thong</t>
        </is>
      </c>
      <c r="FJ946" s="18" t="inlineStr">
        <is>
          <t>Lck6122evg</t>
        </is>
      </c>
      <c r="FK946" s="18" t="n">
        <v>2026</v>
      </c>
      <c r="FL946" s="18" t="inlineStr">
        <is>
          <t>B</t>
        </is>
      </c>
      <c r="FM946" s="18" t="inlineStr">
        <is>
          <t>Las Acacias</t>
        </is>
      </c>
      <c r="FP946" t="inlineStr">
        <is>
          <t>B</t>
        </is>
      </c>
      <c r="FS946" s="14" t="inlineStr">
        <is>
          <t>LXWT-84|</t>
        </is>
      </c>
      <c r="FT946" t="inlineStr">
        <is>
          <t>LXWT-84|</t>
        </is>
      </c>
      <c r="FU946" t="inlineStr">
        <is>
          <t>LXWT-84</t>
        </is>
      </c>
      <c r="FV946">
        <f>VLOOKUP(FU946,FD:FL,9,0)</f>
        <v/>
      </c>
    </row>
    <row r="947">
      <c r="FC947" t="inlineStr">
        <is>
          <t>Diccionario 1</t>
        </is>
      </c>
      <c r="FD947" s="15" t="inlineStr"/>
      <c r="FE947" s="17" t="inlineStr">
        <is>
          <t>LDYECS312S0045883</t>
        </is>
      </c>
      <c r="FF947" s="18" t="inlineStr">
        <is>
          <t>MDN35025010007</t>
        </is>
      </c>
      <c r="FG947" s="18" t="inlineStr">
        <is>
          <t>Zhong Thong</t>
        </is>
      </c>
      <c r="FH947" s="18" t="inlineStr">
        <is>
          <t>Lck6122evg</t>
        </is>
      </c>
      <c r="FI947" s="18" t="inlineStr">
        <is>
          <t>Zhong Thong</t>
        </is>
      </c>
      <c r="FJ947" s="18" t="inlineStr">
        <is>
          <t>Lck6122evg</t>
        </is>
      </c>
      <c r="FK947" s="18" t="n">
        <v>2026</v>
      </c>
      <c r="FL947" s="18" t="inlineStr">
        <is>
          <t>B</t>
        </is>
      </c>
      <c r="FM947" s="18" t="inlineStr">
        <is>
          <t>Las Acacias</t>
        </is>
      </c>
      <c r="FP947" t="inlineStr">
        <is>
          <t>B</t>
        </is>
      </c>
      <c r="FS947" s="14" t="inlineStr">
        <is>
          <t>GCBF-46|</t>
        </is>
      </c>
      <c r="FT947" t="inlineStr">
        <is>
          <t>GCBF-46|</t>
        </is>
      </c>
      <c r="FU947" t="inlineStr">
        <is>
          <t>GCBF-46</t>
        </is>
      </c>
      <c r="FV947">
        <f>VLOOKUP(FU947,FD:FL,9,0)</f>
        <v/>
      </c>
    </row>
    <row r="948">
      <c r="FC948" t="inlineStr">
        <is>
          <t>Diccionario 1</t>
        </is>
      </c>
      <c r="FD948" s="15" t="inlineStr"/>
      <c r="FE948" s="17" t="inlineStr">
        <is>
          <t>LDYECS315S0045876</t>
        </is>
      </c>
      <c r="FF948" s="18" t="inlineStr">
        <is>
          <t>MDN35025030057</t>
        </is>
      </c>
      <c r="FG948" s="18" t="inlineStr">
        <is>
          <t>Zhong Thong</t>
        </is>
      </c>
      <c r="FH948" s="18" t="inlineStr">
        <is>
          <t>Lck6122evg</t>
        </is>
      </c>
      <c r="FI948" s="18" t="inlineStr">
        <is>
          <t>Zhong Thong</t>
        </is>
      </c>
      <c r="FJ948" s="18" t="inlineStr">
        <is>
          <t>Lck6122evg</t>
        </is>
      </c>
      <c r="FK948" s="18" t="n">
        <v>2026</v>
      </c>
      <c r="FL948" s="18" t="inlineStr">
        <is>
          <t>B</t>
        </is>
      </c>
      <c r="FM948" s="18" t="inlineStr">
        <is>
          <t>Las Acacias</t>
        </is>
      </c>
      <c r="FP948" t="inlineStr">
        <is>
          <t>B</t>
        </is>
      </c>
      <c r="FS948" s="14" t="inlineStr">
        <is>
          <t>LZPR-89|</t>
        </is>
      </c>
      <c r="FT948" t="inlineStr">
        <is>
          <t>LZPR-89|</t>
        </is>
      </c>
      <c r="FU948" t="inlineStr">
        <is>
          <t>LZPR-89</t>
        </is>
      </c>
      <c r="FV948">
        <f>VLOOKUP(FU948,FD:FL,9,0)</f>
        <v/>
      </c>
    </row>
    <row r="949">
      <c r="FC949" t="inlineStr">
        <is>
          <t>Diccionario 1</t>
        </is>
      </c>
      <c r="FD949" s="15" t="inlineStr"/>
      <c r="FE949" s="17" t="inlineStr">
        <is>
          <t>LDYECS319S0045881</t>
        </is>
      </c>
      <c r="FF949" s="18" t="inlineStr">
        <is>
          <t>MDN35025030161</t>
        </is>
      </c>
      <c r="FG949" s="18" t="inlineStr">
        <is>
          <t>Zhong Thong</t>
        </is>
      </c>
      <c r="FH949" s="18" t="inlineStr">
        <is>
          <t>Lck6122evg</t>
        </is>
      </c>
      <c r="FI949" s="18" t="inlineStr">
        <is>
          <t>Zhong Thong</t>
        </is>
      </c>
      <c r="FJ949" s="18" t="inlineStr">
        <is>
          <t>Lck6122evg</t>
        </is>
      </c>
      <c r="FK949" s="18" t="n">
        <v>2026</v>
      </c>
      <c r="FL949" s="18" t="inlineStr">
        <is>
          <t>B</t>
        </is>
      </c>
      <c r="FM949" s="18" t="inlineStr">
        <is>
          <t>Las Acacias</t>
        </is>
      </c>
      <c r="FP949" t="inlineStr">
        <is>
          <t>B</t>
        </is>
      </c>
      <c r="FS949" s="14" t="inlineStr">
        <is>
          <t>LZPR-82|</t>
        </is>
      </c>
      <c r="FT949" t="inlineStr">
        <is>
          <t>LZPR-82|</t>
        </is>
      </c>
      <c r="FU949" t="inlineStr">
        <is>
          <t>LZPR-82</t>
        </is>
      </c>
      <c r="FV949">
        <f>VLOOKUP(FU949,FD:FL,9,0)</f>
        <v/>
      </c>
    </row>
    <row r="950">
      <c r="FC950" t="inlineStr">
        <is>
          <t>Diccionario 1</t>
        </is>
      </c>
      <c r="FD950" s="15" t="inlineStr"/>
      <c r="FE950" s="17" t="inlineStr">
        <is>
          <t>LDYECS318S0045788</t>
        </is>
      </c>
      <c r="FF950" s="18" t="inlineStr">
        <is>
          <t>MDN35025030139</t>
        </is>
      </c>
      <c r="FG950" s="18" t="inlineStr">
        <is>
          <t>Zhong Thong</t>
        </is>
      </c>
      <c r="FH950" s="18" t="inlineStr">
        <is>
          <t>Lck6122evg</t>
        </is>
      </c>
      <c r="FI950" s="18" t="inlineStr">
        <is>
          <t>Zhong Thong</t>
        </is>
      </c>
      <c r="FJ950" s="18" t="inlineStr">
        <is>
          <t>Lck6122evg</t>
        </is>
      </c>
      <c r="FK950" s="18" t="n">
        <v>2026</v>
      </c>
      <c r="FL950" s="18" t="inlineStr">
        <is>
          <t>B</t>
        </is>
      </c>
      <c r="FM950" s="18" t="inlineStr">
        <is>
          <t>Las Acacias</t>
        </is>
      </c>
      <c r="FP950" t="inlineStr">
        <is>
          <t>B</t>
        </is>
      </c>
      <c r="FS950" s="14" t="inlineStr">
        <is>
          <t>LXWT-91|</t>
        </is>
      </c>
      <c r="FT950" t="inlineStr">
        <is>
          <t>LXWT-91|</t>
        </is>
      </c>
      <c r="FU950" t="inlineStr">
        <is>
          <t>LXWT-91</t>
        </is>
      </c>
      <c r="FV950">
        <f>VLOOKUP(FU950,FD:FL,9,0)</f>
        <v/>
      </c>
    </row>
    <row r="951">
      <c r="FC951" t="inlineStr">
        <is>
          <t>Diccionario 1</t>
        </is>
      </c>
      <c r="FD951" s="15" t="inlineStr"/>
      <c r="FE951" s="17" t="inlineStr">
        <is>
          <t>LDYECS317S0045877</t>
        </is>
      </c>
      <c r="FF951" s="18" t="inlineStr">
        <is>
          <t>MDN35025030162</t>
        </is>
      </c>
      <c r="FG951" s="18" t="inlineStr">
        <is>
          <t>Zhong Thong</t>
        </is>
      </c>
      <c r="FH951" s="18" t="inlineStr">
        <is>
          <t>Lck6122evg</t>
        </is>
      </c>
      <c r="FI951" s="18" t="inlineStr">
        <is>
          <t>Zhong Thong</t>
        </is>
      </c>
      <c r="FJ951" s="18" t="inlineStr">
        <is>
          <t>Lck6122evg</t>
        </is>
      </c>
      <c r="FK951" s="18" t="n">
        <v>2026</v>
      </c>
      <c r="FL951" s="18" t="inlineStr">
        <is>
          <t>B</t>
        </is>
      </c>
      <c r="FM951" s="18" t="inlineStr">
        <is>
          <t>Las Acacias</t>
        </is>
      </c>
      <c r="FP951" t="inlineStr">
        <is>
          <t>B</t>
        </is>
      </c>
      <c r="FS951" s="14" t="inlineStr">
        <is>
          <t>LZPW-11|</t>
        </is>
      </c>
      <c r="FT951" t="inlineStr">
        <is>
          <t>LZPW-11|</t>
        </is>
      </c>
      <c r="FU951" t="inlineStr">
        <is>
          <t>LZPW-11</t>
        </is>
      </c>
      <c r="FV951">
        <f>VLOOKUP(FU951,FD:FL,9,0)</f>
        <v/>
      </c>
    </row>
    <row r="952">
      <c r="FC952" t="inlineStr">
        <is>
          <t>Diccionario 1</t>
        </is>
      </c>
      <c r="FD952" s="15" t="inlineStr"/>
      <c r="FE952" s="17" t="inlineStr">
        <is>
          <t>LDYECS313S0045875</t>
        </is>
      </c>
      <c r="FF952" s="18" t="inlineStr">
        <is>
          <t>MDN35025030129</t>
        </is>
      </c>
      <c r="FG952" s="18" t="inlineStr">
        <is>
          <t>Zhong Thong</t>
        </is>
      </c>
      <c r="FH952" s="18" t="inlineStr">
        <is>
          <t>Lck6122evg</t>
        </is>
      </c>
      <c r="FI952" s="18" t="inlineStr">
        <is>
          <t>Zhong Thong</t>
        </is>
      </c>
      <c r="FJ952" s="18" t="inlineStr">
        <is>
          <t>Lck6122evg</t>
        </is>
      </c>
      <c r="FK952" s="18" t="n">
        <v>2026</v>
      </c>
      <c r="FL952" s="18" t="inlineStr">
        <is>
          <t>B</t>
        </is>
      </c>
      <c r="FM952" s="18" t="inlineStr">
        <is>
          <t>Las Acacias</t>
        </is>
      </c>
      <c r="FP952" t="inlineStr">
        <is>
          <t>B</t>
        </is>
      </c>
      <c r="FS952" s="14" t="inlineStr">
        <is>
          <t>LZPR-92|</t>
        </is>
      </c>
      <c r="FT952" t="inlineStr">
        <is>
          <t>LZPR-92|</t>
        </is>
      </c>
      <c r="FU952" t="inlineStr">
        <is>
          <t>LZPR-92</t>
        </is>
      </c>
      <c r="FV952">
        <f>VLOOKUP(FU952,FD:FL,9,0)</f>
        <v/>
      </c>
    </row>
    <row r="953">
      <c r="FC953" t="inlineStr">
        <is>
          <t>Diccionario 1</t>
        </is>
      </c>
      <c r="FD953" s="15" t="inlineStr"/>
      <c r="FE953" s="17" t="inlineStr">
        <is>
          <t>LDYECS314S0045884</t>
        </is>
      </c>
      <c r="FF953" s="18" t="inlineStr">
        <is>
          <t>MDN35025030150</t>
        </is>
      </c>
      <c r="FG953" s="18" t="inlineStr">
        <is>
          <t>Zhong Thong</t>
        </is>
      </c>
      <c r="FH953" s="18" t="inlineStr">
        <is>
          <t>Lck6122evg</t>
        </is>
      </c>
      <c r="FI953" s="18" t="inlineStr">
        <is>
          <t>Zhong Thong</t>
        </is>
      </c>
      <c r="FJ953" s="18" t="inlineStr">
        <is>
          <t>Lck6122evg</t>
        </is>
      </c>
      <c r="FK953" s="18" t="n">
        <v>2026</v>
      </c>
      <c r="FL953" s="18" t="inlineStr">
        <is>
          <t>B</t>
        </is>
      </c>
      <c r="FM953" s="18" t="inlineStr">
        <is>
          <t>Las Acacias</t>
        </is>
      </c>
      <c r="FP953" t="inlineStr">
        <is>
          <t>B</t>
        </is>
      </c>
      <c r="FS953" s="14" t="inlineStr">
        <is>
          <t>LZPW-13|</t>
        </is>
      </c>
      <c r="FT953" t="inlineStr">
        <is>
          <t>LZPW-13|</t>
        </is>
      </c>
      <c r="FU953" t="inlineStr">
        <is>
          <t>LZPW-13</t>
        </is>
      </c>
      <c r="FV953">
        <f>VLOOKUP(FU953,FD:FL,9,0)</f>
        <v/>
      </c>
    </row>
    <row r="954">
      <c r="FC954" t="inlineStr">
        <is>
          <t>Diccionario 1</t>
        </is>
      </c>
      <c r="FD954" s="15" t="inlineStr"/>
      <c r="FE954" s="17" t="inlineStr">
        <is>
          <t>LDYECS310S0045879</t>
        </is>
      </c>
      <c r="FF954" s="18" t="inlineStr">
        <is>
          <t>MDN35025030061</t>
        </is>
      </c>
      <c r="FG954" s="18" t="inlineStr">
        <is>
          <t>Zhong Thong</t>
        </is>
      </c>
      <c r="FH954" s="18" t="inlineStr">
        <is>
          <t>Lck6122evg</t>
        </is>
      </c>
      <c r="FI954" s="18" t="inlineStr">
        <is>
          <t>Zhong Thong</t>
        </is>
      </c>
      <c r="FJ954" s="18" t="inlineStr">
        <is>
          <t>Lck6122evg</t>
        </is>
      </c>
      <c r="FK954" s="18" t="n">
        <v>2026</v>
      </c>
      <c r="FL954" s="18" t="inlineStr">
        <is>
          <t>B</t>
        </is>
      </c>
      <c r="FM954" s="18" t="inlineStr">
        <is>
          <t>Las Acacias</t>
        </is>
      </c>
      <c r="FP954" t="inlineStr">
        <is>
          <t>B</t>
        </is>
      </c>
      <c r="FS954" s="14" t="inlineStr">
        <is>
          <t>LZPG-21|</t>
        </is>
      </c>
      <c r="FT954" t="inlineStr">
        <is>
          <t>LZPG-21|</t>
        </is>
      </c>
      <c r="FU954" t="inlineStr">
        <is>
          <t>LZPG-21</t>
        </is>
      </c>
      <c r="FV954">
        <f>VLOOKUP(FU954,FD:FL,9,0)</f>
        <v/>
      </c>
    </row>
    <row r="955">
      <c r="FC955" t="inlineStr">
        <is>
          <t>Diccionario 1</t>
        </is>
      </c>
      <c r="FD955" s="15" t="inlineStr"/>
      <c r="FE955" s="17" t="inlineStr">
        <is>
          <t>LDYECS317S0045880</t>
        </is>
      </c>
      <c r="FF955" s="18" t="inlineStr">
        <is>
          <t>MDN35025030304</t>
        </is>
      </c>
      <c r="FG955" s="18" t="inlineStr">
        <is>
          <t>Zhong Thong</t>
        </is>
      </c>
      <c r="FH955" s="18" t="inlineStr">
        <is>
          <t>Lck6122evg</t>
        </is>
      </c>
      <c r="FI955" s="18" t="inlineStr">
        <is>
          <t>Zhong Thong</t>
        </is>
      </c>
      <c r="FJ955" s="18" t="inlineStr">
        <is>
          <t>Lck6122evg</t>
        </is>
      </c>
      <c r="FK955" s="18" t="n">
        <v>2026</v>
      </c>
      <c r="FL955" s="18" t="inlineStr">
        <is>
          <t>B</t>
        </is>
      </c>
      <c r="FM955" s="18" t="inlineStr">
        <is>
          <t>Las Acacias</t>
        </is>
      </c>
      <c r="FP955" t="inlineStr">
        <is>
          <t>B</t>
        </is>
      </c>
      <c r="FS955" s="14" t="inlineStr">
        <is>
          <t>LZRB-86|</t>
        </is>
      </c>
      <c r="FT955" t="inlineStr">
        <is>
          <t>LZRB-86|</t>
        </is>
      </c>
      <c r="FU955" t="inlineStr">
        <is>
          <t>LZRB-86</t>
        </is>
      </c>
      <c r="FV955">
        <f>VLOOKUP(FU955,FD:FL,9,0)</f>
        <v/>
      </c>
    </row>
    <row r="956">
      <c r="FC956" t="inlineStr">
        <is>
          <t>Diccionario 1</t>
        </is>
      </c>
      <c r="FD956" s="15" t="inlineStr"/>
      <c r="FE956" s="17" t="inlineStr">
        <is>
          <t>LDYECS319S0045878</t>
        </is>
      </c>
      <c r="FF956" s="18" t="inlineStr">
        <is>
          <t>MDN35025030083</t>
        </is>
      </c>
      <c r="FG956" s="18" t="inlineStr">
        <is>
          <t>Zhong Thong</t>
        </is>
      </c>
      <c r="FH956" s="18" t="inlineStr">
        <is>
          <t>Lck6122evg</t>
        </is>
      </c>
      <c r="FI956" s="18" t="inlineStr">
        <is>
          <t>Zhong Thong</t>
        </is>
      </c>
      <c r="FJ956" s="18" t="inlineStr">
        <is>
          <t>Lck6122evg</t>
        </is>
      </c>
      <c r="FK956" s="18" t="n">
        <v>2026</v>
      </c>
      <c r="FL956" s="18" t="inlineStr">
        <is>
          <t>B</t>
        </is>
      </c>
      <c r="FM956" s="18" t="inlineStr">
        <is>
          <t>Las Acacias</t>
        </is>
      </c>
      <c r="FP956" t="inlineStr">
        <is>
          <t>B</t>
        </is>
      </c>
      <c r="FS956" s="14" t="inlineStr">
        <is>
          <t>LZPS-16|</t>
        </is>
      </c>
      <c r="FT956" t="inlineStr">
        <is>
          <t>LZPS-16|</t>
        </is>
      </c>
      <c r="FU956" t="inlineStr">
        <is>
          <t>LZPS-16</t>
        </is>
      </c>
      <c r="FV956">
        <f>VLOOKUP(FU956,FD:FL,9,0)</f>
        <v/>
      </c>
    </row>
    <row r="957">
      <c r="FC957" t="inlineStr">
        <is>
          <t>Diccionario 1</t>
        </is>
      </c>
      <c r="FD957" s="15" t="inlineStr"/>
      <c r="FE957" s="17" t="inlineStr">
        <is>
          <t>LDYECS310S0045882</t>
        </is>
      </c>
      <c r="FF957" s="18" t="inlineStr">
        <is>
          <t>MDN35025030289</t>
        </is>
      </c>
      <c r="FG957" s="18" t="inlineStr">
        <is>
          <t>Zhong Thong</t>
        </is>
      </c>
      <c r="FH957" s="18" t="inlineStr">
        <is>
          <t>Lck6122evg</t>
        </is>
      </c>
      <c r="FI957" s="18" t="inlineStr">
        <is>
          <t>Zhong Thong</t>
        </is>
      </c>
      <c r="FJ957" s="18" t="inlineStr">
        <is>
          <t>Lck6122evg</t>
        </is>
      </c>
      <c r="FK957" s="18" t="n">
        <v>2026</v>
      </c>
      <c r="FL957" s="18" t="inlineStr">
        <is>
          <t>B</t>
        </is>
      </c>
      <c r="FM957" s="18" t="inlineStr">
        <is>
          <t>Las Acacias</t>
        </is>
      </c>
      <c r="FP957" t="inlineStr">
        <is>
          <t>B</t>
        </is>
      </c>
      <c r="FS957" s="14" t="inlineStr">
        <is>
          <t>LZPG-26|</t>
        </is>
      </c>
      <c r="FT957" t="inlineStr">
        <is>
          <t>LZPG-26|</t>
        </is>
      </c>
      <c r="FU957" t="inlineStr">
        <is>
          <t>LZPG-26</t>
        </is>
      </c>
      <c r="FV957">
        <f>VLOOKUP(FU957,FD:FL,9,0)</f>
        <v/>
      </c>
    </row>
    <row r="958">
      <c r="FC958" t="inlineStr">
        <is>
          <t>Diccionario 1</t>
        </is>
      </c>
      <c r="FD958" s="15" t="inlineStr"/>
      <c r="FE958" s="17" t="inlineStr">
        <is>
          <t>LDYECS316S0045899</t>
        </is>
      </c>
      <c r="FF958" s="18" t="inlineStr">
        <is>
          <t>MDN35025030166</t>
        </is>
      </c>
      <c r="FG958" s="18" t="inlineStr">
        <is>
          <t>Zhong Thong</t>
        </is>
      </c>
      <c r="FH958" s="18" t="inlineStr">
        <is>
          <t>Lck6122evg</t>
        </is>
      </c>
      <c r="FI958" s="18" t="inlineStr">
        <is>
          <t>Zhong Thong</t>
        </is>
      </c>
      <c r="FJ958" s="18" t="inlineStr">
        <is>
          <t>Lck6122evg</t>
        </is>
      </c>
      <c r="FK958" s="18" t="n">
        <v>2026</v>
      </c>
      <c r="FL958" s="18" t="inlineStr">
        <is>
          <t>B</t>
        </is>
      </c>
      <c r="FM958" s="18" t="inlineStr">
        <is>
          <t>Las Acacias</t>
        </is>
      </c>
      <c r="FP958" t="inlineStr">
        <is>
          <t>B</t>
        </is>
      </c>
      <c r="FS958" s="14" t="inlineStr">
        <is>
          <t>LZPG-25|</t>
        </is>
      </c>
      <c r="FT958" t="inlineStr">
        <is>
          <t>LZPG-25|</t>
        </is>
      </c>
      <c r="FU958" t="inlineStr">
        <is>
          <t>LZPG-25</t>
        </is>
      </c>
      <c r="FV958">
        <f>VLOOKUP(FU958,FD:FL,9,0)</f>
        <v/>
      </c>
    </row>
    <row r="959">
      <c r="FC959" t="inlineStr">
        <is>
          <t>Diccionario 1</t>
        </is>
      </c>
      <c r="FD959" s="15" t="inlineStr"/>
      <c r="FE959" s="17" t="inlineStr">
        <is>
          <t>LDYECS311S0045891</t>
        </is>
      </c>
      <c r="FF959" s="18" t="inlineStr">
        <is>
          <t>MDN35025030095</t>
        </is>
      </c>
      <c r="FG959" s="18" t="inlineStr">
        <is>
          <t>Zhong Thong</t>
        </is>
      </c>
      <c r="FH959" s="18" t="inlineStr">
        <is>
          <t>Lck6122evg</t>
        </is>
      </c>
      <c r="FI959" s="18" t="inlineStr">
        <is>
          <t>Zhong Thong</t>
        </is>
      </c>
      <c r="FJ959" s="18" t="inlineStr">
        <is>
          <t>Lck6122evg</t>
        </is>
      </c>
      <c r="FK959" s="18" t="n">
        <v>2026</v>
      </c>
      <c r="FL959" s="18" t="inlineStr">
        <is>
          <t>B</t>
        </is>
      </c>
      <c r="FM959" s="18" t="inlineStr">
        <is>
          <t>Las Acacias</t>
        </is>
      </c>
      <c r="FP959" t="inlineStr">
        <is>
          <t>B</t>
        </is>
      </c>
      <c r="FS959" s="14" t="inlineStr">
        <is>
          <t>LZPT-58|</t>
        </is>
      </c>
      <c r="FT959" t="inlineStr">
        <is>
          <t>LZPT-58|</t>
        </is>
      </c>
      <c r="FU959" t="inlineStr">
        <is>
          <t>LZPT-58</t>
        </is>
      </c>
      <c r="FV959">
        <f>VLOOKUP(FU959,FD:FL,9,0)</f>
        <v/>
      </c>
    </row>
    <row r="960">
      <c r="FC960" t="inlineStr">
        <is>
          <t>Diccionario 1</t>
        </is>
      </c>
      <c r="FD960" s="15" t="inlineStr"/>
      <c r="FE960" s="17" t="inlineStr">
        <is>
          <t>LDYECS312S0045897</t>
        </is>
      </c>
      <c r="FF960" s="18" t="inlineStr">
        <is>
          <t>MDN35025030274</t>
        </is>
      </c>
      <c r="FG960" s="18" t="inlineStr">
        <is>
          <t>Zhong Thong</t>
        </is>
      </c>
      <c r="FH960" s="18" t="inlineStr">
        <is>
          <t>Lck6122evg</t>
        </is>
      </c>
      <c r="FI960" s="18" t="inlineStr">
        <is>
          <t>Zhong Thong</t>
        </is>
      </c>
      <c r="FJ960" s="18" t="inlineStr">
        <is>
          <t>Lck6122evg</t>
        </is>
      </c>
      <c r="FK960" s="18" t="n">
        <v>2026</v>
      </c>
      <c r="FL960" s="18" t="inlineStr">
        <is>
          <t>B</t>
        </is>
      </c>
      <c r="FM960" s="18" t="inlineStr">
        <is>
          <t>Las Acacias</t>
        </is>
      </c>
      <c r="FP960" t="inlineStr">
        <is>
          <t>B</t>
        </is>
      </c>
      <c r="FS960" s="14" t="inlineStr">
        <is>
          <t>LZPT-47|</t>
        </is>
      </c>
      <c r="FT960" t="inlineStr">
        <is>
          <t>LZPT-47|</t>
        </is>
      </c>
      <c r="FU960" t="inlineStr">
        <is>
          <t>LZPT-47</t>
        </is>
      </c>
      <c r="FV960">
        <f>VLOOKUP(FU960,FD:FL,9,0)</f>
        <v/>
      </c>
    </row>
    <row r="961">
      <c r="FC961" t="inlineStr">
        <is>
          <t>Diccionario 1</t>
        </is>
      </c>
      <c r="FD961" s="15" t="inlineStr"/>
      <c r="FE961" s="17" t="inlineStr">
        <is>
          <t>LDYECS313S0045892</t>
        </is>
      </c>
      <c r="FF961" s="18" t="inlineStr">
        <is>
          <t>MDN35025010003</t>
        </is>
      </c>
      <c r="FG961" s="18" t="inlineStr">
        <is>
          <t>Zhong Thong</t>
        </is>
      </c>
      <c r="FH961" s="18" t="inlineStr">
        <is>
          <t>Lck6122evg</t>
        </is>
      </c>
      <c r="FI961" s="18" t="inlineStr">
        <is>
          <t>Zhong Thong</t>
        </is>
      </c>
      <c r="FJ961" s="18" t="inlineStr">
        <is>
          <t>Lck6122evg</t>
        </is>
      </c>
      <c r="FK961" s="18" t="n">
        <v>2026</v>
      </c>
      <c r="FL961" s="18" t="inlineStr">
        <is>
          <t>B</t>
        </is>
      </c>
      <c r="FM961" s="18" t="inlineStr">
        <is>
          <t>Las Acacias</t>
        </is>
      </c>
      <c r="FP961" t="inlineStr">
        <is>
          <t>B</t>
        </is>
      </c>
      <c r="FS961" s="14" t="inlineStr">
        <is>
          <t>LZPT-38|</t>
        </is>
      </c>
      <c r="FT961" t="inlineStr">
        <is>
          <t>LZPT-38|</t>
        </is>
      </c>
      <c r="FU961" t="inlineStr">
        <is>
          <t>LZPT-38</t>
        </is>
      </c>
      <c r="FV961">
        <f>VLOOKUP(FU961,FD:FL,9,0)</f>
        <v/>
      </c>
    </row>
    <row r="962">
      <c r="FC962" t="inlineStr">
        <is>
          <t>Diccionario 1</t>
        </is>
      </c>
      <c r="FD962" s="15" t="inlineStr"/>
      <c r="FE962" s="17" t="inlineStr">
        <is>
          <t>LDYECS319S0045900</t>
        </is>
      </c>
      <c r="FF962" s="18" t="inlineStr">
        <is>
          <t>MDN35025030309</t>
        </is>
      </c>
      <c r="FG962" s="18" t="inlineStr">
        <is>
          <t>Zhong Thong</t>
        </is>
      </c>
      <c r="FH962" s="18" t="inlineStr">
        <is>
          <t>Lck6122evg</t>
        </is>
      </c>
      <c r="FI962" s="18" t="inlineStr">
        <is>
          <t>Zhong Thong</t>
        </is>
      </c>
      <c r="FJ962" s="18" t="inlineStr">
        <is>
          <t>Lck6122evg</t>
        </is>
      </c>
      <c r="FK962" s="18" t="n">
        <v>2026</v>
      </c>
      <c r="FL962" s="18" t="inlineStr">
        <is>
          <t>B</t>
        </is>
      </c>
      <c r="FM962" s="18" t="inlineStr">
        <is>
          <t>Las Acacias</t>
        </is>
      </c>
      <c r="FP962" t="inlineStr">
        <is>
          <t>B</t>
        </is>
      </c>
      <c r="FS962" s="14" t="inlineStr">
        <is>
          <t>LZPT-54|</t>
        </is>
      </c>
      <c r="FT962" t="inlineStr">
        <is>
          <t>LZPT-54|</t>
        </is>
      </c>
      <c r="FU962" t="inlineStr">
        <is>
          <t>LZPT-54</t>
        </is>
      </c>
      <c r="FV962">
        <f>VLOOKUP(FU962,FD:FL,9,0)</f>
        <v/>
      </c>
    </row>
    <row r="963">
      <c r="FC963" t="inlineStr">
        <is>
          <t>Diccionario 1</t>
        </is>
      </c>
      <c r="FD963" s="15" t="inlineStr"/>
      <c r="FE963" s="17" t="inlineStr">
        <is>
          <t>LDYECS310S0045901</t>
        </is>
      </c>
      <c r="FF963" s="18" t="inlineStr">
        <is>
          <t>MDN35025030140</t>
        </is>
      </c>
      <c r="FG963" s="18" t="inlineStr">
        <is>
          <t>Zhong Thong</t>
        </is>
      </c>
      <c r="FH963" s="18" t="inlineStr">
        <is>
          <t>Lck6122evg</t>
        </is>
      </c>
      <c r="FI963" s="18" t="inlineStr">
        <is>
          <t>Zhong Thong</t>
        </is>
      </c>
      <c r="FJ963" s="18" t="inlineStr">
        <is>
          <t>Lck6122evg</t>
        </is>
      </c>
      <c r="FK963" s="18" t="n">
        <v>2026</v>
      </c>
      <c r="FL963" s="18" t="inlineStr">
        <is>
          <t>B</t>
        </is>
      </c>
      <c r="FM963" s="18" t="inlineStr">
        <is>
          <t>Las Acacias</t>
        </is>
      </c>
      <c r="FP963" t="inlineStr">
        <is>
          <t>B</t>
        </is>
      </c>
      <c r="FS963" s="14" t="inlineStr">
        <is>
          <t>LZPT-48|</t>
        </is>
      </c>
      <c r="FT963" t="inlineStr">
        <is>
          <t>LZPT-48|</t>
        </is>
      </c>
      <c r="FU963" t="inlineStr">
        <is>
          <t>LZPT-48</t>
        </is>
      </c>
      <c r="FV963">
        <f>VLOOKUP(FU963,FD:FL,9,0)</f>
        <v/>
      </c>
    </row>
    <row r="964">
      <c r="FC964" t="inlineStr">
        <is>
          <t>Diccionario 1</t>
        </is>
      </c>
      <c r="FD964" s="15" t="inlineStr"/>
      <c r="FE964" s="17" t="inlineStr">
        <is>
          <t>LDYECS317S0045894</t>
        </is>
      </c>
      <c r="FF964" s="18" t="inlineStr">
        <is>
          <t>MDN35025010015</t>
        </is>
      </c>
      <c r="FG964" s="18" t="inlineStr">
        <is>
          <t>Zhong Thong</t>
        </is>
      </c>
      <c r="FH964" s="18" t="inlineStr">
        <is>
          <t>Lck6122evg</t>
        </is>
      </c>
      <c r="FI964" s="18" t="inlineStr">
        <is>
          <t>Zhong Thong</t>
        </is>
      </c>
      <c r="FJ964" s="18" t="inlineStr">
        <is>
          <t>Lck6122evg</t>
        </is>
      </c>
      <c r="FK964" s="18" t="n">
        <v>2026</v>
      </c>
      <c r="FL964" s="18" t="inlineStr">
        <is>
          <t>B</t>
        </is>
      </c>
      <c r="FM964" s="18" t="inlineStr">
        <is>
          <t>Las Acacias</t>
        </is>
      </c>
      <c r="FP964" t="inlineStr">
        <is>
          <t>B</t>
        </is>
      </c>
      <c r="FS964" s="14" t="inlineStr">
        <is>
          <t>GCBF-51|</t>
        </is>
      </c>
      <c r="FT964" t="inlineStr">
        <is>
          <t>GCBF-51|</t>
        </is>
      </c>
      <c r="FU964" t="inlineStr">
        <is>
          <t>GCBF-51</t>
        </is>
      </c>
      <c r="FV964">
        <f>VLOOKUP(FU964,FD:FL,9,0)</f>
        <v/>
      </c>
    </row>
    <row r="965">
      <c r="FC965" t="inlineStr">
        <is>
          <t>Diccionario 1</t>
        </is>
      </c>
      <c r="FD965" s="15" t="inlineStr"/>
      <c r="FE965" s="17" t="inlineStr">
        <is>
          <t>LDYECS310S0045896</t>
        </is>
      </c>
      <c r="FF965" s="18" t="inlineStr">
        <is>
          <t>MDN35025030169</t>
        </is>
      </c>
      <c r="FG965" s="18" t="inlineStr">
        <is>
          <t>Zhong Thong</t>
        </is>
      </c>
      <c r="FH965" s="18" t="inlineStr">
        <is>
          <t>Lck6122evg</t>
        </is>
      </c>
      <c r="FI965" s="18" t="inlineStr">
        <is>
          <t>Zhong Thong</t>
        </is>
      </c>
      <c r="FJ965" s="18" t="inlineStr">
        <is>
          <t>Lck6122evg</t>
        </is>
      </c>
      <c r="FK965" s="18" t="n">
        <v>2026</v>
      </c>
      <c r="FL965" s="18" t="inlineStr">
        <is>
          <t>B</t>
        </is>
      </c>
      <c r="FM965" s="18" t="inlineStr">
        <is>
          <t>Las Acacias</t>
        </is>
      </c>
      <c r="FP965" t="inlineStr">
        <is>
          <t>B</t>
        </is>
      </c>
      <c r="FS965" s="14" t="inlineStr">
        <is>
          <t>3032 / SFWZ-34|</t>
        </is>
      </c>
      <c r="FT965" t="inlineStr">
        <is>
          <t>SFWZ-34|</t>
        </is>
      </c>
      <c r="FU965" t="inlineStr">
        <is>
          <t>SFWZ-34</t>
        </is>
      </c>
      <c r="FV965">
        <f>VLOOKUP(FU965,FD:FL,9,0)</f>
        <v/>
      </c>
    </row>
    <row r="966">
      <c r="FC966" t="inlineStr">
        <is>
          <t>Diccionario 1</t>
        </is>
      </c>
      <c r="FD966" s="15" t="inlineStr"/>
      <c r="FE966" s="17" t="inlineStr">
        <is>
          <t>LDYECS319S0045895</t>
        </is>
      </c>
      <c r="FF966" s="18" t="inlineStr">
        <is>
          <t>MDN35025030282</t>
        </is>
      </c>
      <c r="FG966" s="18" t="inlineStr">
        <is>
          <t>Zhong Thong</t>
        </is>
      </c>
      <c r="FH966" s="18" t="inlineStr">
        <is>
          <t>Lck6122evg</t>
        </is>
      </c>
      <c r="FI966" s="18" t="inlineStr">
        <is>
          <t>Zhong Thong</t>
        </is>
      </c>
      <c r="FJ966" s="18" t="inlineStr">
        <is>
          <t>Lck6122evg</t>
        </is>
      </c>
      <c r="FK966" s="18" t="n">
        <v>2026</v>
      </c>
      <c r="FL966" s="18" t="inlineStr">
        <is>
          <t>B</t>
        </is>
      </c>
      <c r="FM966" s="18" t="inlineStr">
        <is>
          <t>Las Acacias</t>
        </is>
      </c>
      <c r="FP966" t="inlineStr">
        <is>
          <t>B</t>
        </is>
      </c>
      <c r="FS966" s="14" t="inlineStr">
        <is>
          <t>LZPT-40|</t>
        </is>
      </c>
      <c r="FT966" t="inlineStr">
        <is>
          <t>LZPT-40|</t>
        </is>
      </c>
      <c r="FU966" t="inlineStr">
        <is>
          <t>LZPT-40</t>
        </is>
      </c>
      <c r="FV966">
        <f>VLOOKUP(FU966,FD:FL,9,0)</f>
        <v/>
      </c>
    </row>
    <row r="967">
      <c r="FC967" t="inlineStr">
        <is>
          <t>Diccionario 1</t>
        </is>
      </c>
      <c r="FD967" s="15" t="inlineStr"/>
      <c r="FE967" s="17" t="inlineStr">
        <is>
          <t>LDYECS313S0045889</t>
        </is>
      </c>
      <c r="FF967" s="18" t="inlineStr">
        <is>
          <t>MDN35025010009</t>
        </is>
      </c>
      <c r="FG967" s="18" t="inlineStr">
        <is>
          <t>Zhong Thong</t>
        </is>
      </c>
      <c r="FH967" s="18" t="inlineStr">
        <is>
          <t>Lck6122evg</t>
        </is>
      </c>
      <c r="FI967" s="18" t="inlineStr">
        <is>
          <t>Zhong Thong</t>
        </is>
      </c>
      <c r="FJ967" s="18" t="inlineStr">
        <is>
          <t>Lck6122evg</t>
        </is>
      </c>
      <c r="FK967" s="18" t="n">
        <v>2026</v>
      </c>
      <c r="FL967" s="18" t="inlineStr">
        <is>
          <t>B</t>
        </is>
      </c>
      <c r="FM967" s="18" t="inlineStr">
        <is>
          <t>Las Acacias</t>
        </is>
      </c>
      <c r="FP967" t="inlineStr">
        <is>
          <t>B</t>
        </is>
      </c>
      <c r="FS967" s="14" t="inlineStr">
        <is>
          <t>LZPT-41|</t>
        </is>
      </c>
      <c r="FT967" t="inlineStr">
        <is>
          <t>LZPT-41|</t>
        </is>
      </c>
      <c r="FU967" t="inlineStr">
        <is>
          <t>LZPT-41</t>
        </is>
      </c>
      <c r="FV967">
        <f>VLOOKUP(FU967,FD:FL,9,0)</f>
        <v/>
      </c>
    </row>
    <row r="968">
      <c r="FC968" t="inlineStr">
        <is>
          <t>Diccionario 1</t>
        </is>
      </c>
      <c r="FD968" s="15" t="inlineStr"/>
      <c r="FE968" s="17" t="inlineStr">
        <is>
          <t>LDYECS314S0045898</t>
        </is>
      </c>
      <c r="FF968" s="18" t="inlineStr">
        <is>
          <t>MDN35025030165</t>
        </is>
      </c>
      <c r="FG968" s="18" t="inlineStr">
        <is>
          <t>Zhong Thong</t>
        </is>
      </c>
      <c r="FH968" s="18" t="inlineStr">
        <is>
          <t>Lck6122evg</t>
        </is>
      </c>
      <c r="FI968" s="18" t="inlineStr">
        <is>
          <t>Zhong Thong</t>
        </is>
      </c>
      <c r="FJ968" s="18" t="inlineStr">
        <is>
          <t>Lck6122evg</t>
        </is>
      </c>
      <c r="FK968" s="18" t="n">
        <v>2026</v>
      </c>
      <c r="FL968" s="18" t="inlineStr">
        <is>
          <t>B</t>
        </is>
      </c>
      <c r="FM968" s="18" t="inlineStr">
        <is>
          <t>Las Acacias</t>
        </is>
      </c>
      <c r="FP968" t="inlineStr">
        <is>
          <t>B</t>
        </is>
      </c>
      <c r="FS968" s="14" t="inlineStr">
        <is>
          <t>LZPW-19|</t>
        </is>
      </c>
      <c r="FT968" t="inlineStr">
        <is>
          <t>LZPW-19|</t>
        </is>
      </c>
      <c r="FU968" t="inlineStr">
        <is>
          <t>LZPW-19</t>
        </is>
      </c>
      <c r="FV968">
        <f>VLOOKUP(FU968,FD:FL,9,0)</f>
        <v/>
      </c>
    </row>
    <row r="969">
      <c r="FC969" t="inlineStr">
        <is>
          <t>Diccionario 1</t>
        </is>
      </c>
      <c r="FD969" s="15" t="inlineStr"/>
      <c r="FE969" s="17" t="inlineStr">
        <is>
          <t>LDYECS318S0045886</t>
        </is>
      </c>
      <c r="FF969" s="18" t="inlineStr">
        <is>
          <t>MDN35025010011</t>
        </is>
      </c>
      <c r="FG969" s="18" t="inlineStr">
        <is>
          <t>Zhong Thong</t>
        </is>
      </c>
      <c r="FH969" s="18" t="inlineStr">
        <is>
          <t>Lck6122evg</t>
        </is>
      </c>
      <c r="FI969" s="18" t="inlineStr">
        <is>
          <t>Zhong Thong</t>
        </is>
      </c>
      <c r="FJ969" s="18" t="inlineStr">
        <is>
          <t>Lck6122evg</t>
        </is>
      </c>
      <c r="FK969" s="18" t="n">
        <v>2026</v>
      </c>
      <c r="FL969" s="18" t="inlineStr">
        <is>
          <t>B</t>
        </is>
      </c>
      <c r="FM969" s="18" t="inlineStr">
        <is>
          <t>Las Acacias</t>
        </is>
      </c>
      <c r="FP969" t="inlineStr">
        <is>
          <t>B</t>
        </is>
      </c>
      <c r="FS969" s="14" t="inlineStr">
        <is>
          <t>LXWT-97|</t>
        </is>
      </c>
      <c r="FT969" t="inlineStr">
        <is>
          <t>LXWT-97|</t>
        </is>
      </c>
      <c r="FU969" t="inlineStr">
        <is>
          <t>LXWT-97</t>
        </is>
      </c>
      <c r="FV969">
        <f>VLOOKUP(FU969,FD:FL,9,0)</f>
        <v/>
      </c>
    </row>
    <row r="970">
      <c r="FC970" t="inlineStr">
        <is>
          <t>Diccionario 1</t>
        </is>
      </c>
      <c r="FD970" s="15" t="inlineStr"/>
      <c r="FE970" s="17" t="inlineStr">
        <is>
          <t>LDYECS310S0040231</t>
        </is>
      </c>
      <c r="FF970" s="18" t="inlineStr">
        <is>
          <t>MDN35024090002</t>
        </is>
      </c>
      <c r="FG970" s="18" t="inlineStr">
        <is>
          <t>Zhong Thong</t>
        </is>
      </c>
      <c r="FH970" s="18" t="inlineStr">
        <is>
          <t>Lck6122evg</t>
        </is>
      </c>
      <c r="FI970" s="18" t="inlineStr">
        <is>
          <t>Zhong Thong</t>
        </is>
      </c>
      <c r="FJ970" s="18" t="inlineStr">
        <is>
          <t>Lck6122evg</t>
        </is>
      </c>
      <c r="FK970" s="18" t="n">
        <v>2026</v>
      </c>
      <c r="FL970" s="18" t="inlineStr">
        <is>
          <t>B</t>
        </is>
      </c>
      <c r="FM970" s="18" t="inlineStr">
        <is>
          <t>Las Acacias</t>
        </is>
      </c>
      <c r="FP970" t="inlineStr">
        <is>
          <t>B</t>
        </is>
      </c>
      <c r="FS970" s="14" t="inlineStr">
        <is>
          <t>LZPR-84|</t>
        </is>
      </c>
      <c r="FT970" t="inlineStr">
        <is>
          <t>LZPR-84|</t>
        </is>
      </c>
      <c r="FU970" t="inlineStr">
        <is>
          <t>LZPR-84</t>
        </is>
      </c>
      <c r="FV970">
        <f>VLOOKUP(FU970,FD:FL,9,0)</f>
        <v/>
      </c>
    </row>
    <row r="971">
      <c r="FC971" t="inlineStr">
        <is>
          <t>Diccionario 1</t>
        </is>
      </c>
      <c r="FD971" s="15" t="inlineStr"/>
      <c r="FE971" s="17" t="inlineStr">
        <is>
          <t>LDYECS315S0045893</t>
        </is>
      </c>
      <c r="FF971" s="18" t="inlineStr">
        <is>
          <t>MDN35025010002</t>
        </is>
      </c>
      <c r="FG971" s="18" t="inlineStr">
        <is>
          <t>Zhong Thong</t>
        </is>
      </c>
      <c r="FH971" s="18" t="inlineStr">
        <is>
          <t>Lck6122evg</t>
        </is>
      </c>
      <c r="FI971" s="18" t="inlineStr">
        <is>
          <t>Zhong Thong</t>
        </is>
      </c>
      <c r="FJ971" s="18" t="inlineStr">
        <is>
          <t>Lck6122evg</t>
        </is>
      </c>
      <c r="FK971" s="18" t="n">
        <v>2026</v>
      </c>
      <c r="FL971" s="18" t="inlineStr">
        <is>
          <t>B</t>
        </is>
      </c>
      <c r="FM971" s="18" t="inlineStr">
        <is>
          <t>Las Acacias</t>
        </is>
      </c>
      <c r="FP971" t="inlineStr">
        <is>
          <t>B</t>
        </is>
      </c>
      <c r="FS971" s="14" t="inlineStr">
        <is>
          <t>LZPS-22|</t>
        </is>
      </c>
      <c r="FT971" t="inlineStr">
        <is>
          <t>LZPS-22|</t>
        </is>
      </c>
      <c r="FU971" t="inlineStr">
        <is>
          <t>LZPS-22</t>
        </is>
      </c>
      <c r="FV971">
        <f>VLOOKUP(FU971,FD:FL,9,0)</f>
        <v/>
      </c>
    </row>
    <row r="972">
      <c r="FC972" t="inlineStr">
        <is>
          <t>Diccionario 1</t>
        </is>
      </c>
      <c r="FD972" s="15" t="inlineStr"/>
      <c r="FE972" s="17" t="inlineStr">
        <is>
          <t>LDYECS31XS0045890</t>
        </is>
      </c>
      <c r="FF972" s="18" t="inlineStr">
        <is>
          <t>MDN35025030147</t>
        </is>
      </c>
      <c r="FG972" s="18" t="inlineStr">
        <is>
          <t>Zhong Thong</t>
        </is>
      </c>
      <c r="FH972" s="18" t="inlineStr">
        <is>
          <t>Lck6122evg</t>
        </is>
      </c>
      <c r="FI972" s="18" t="inlineStr">
        <is>
          <t>Zhong Thong</t>
        </is>
      </c>
      <c r="FJ972" s="18" t="inlineStr">
        <is>
          <t>Lck6122evg</t>
        </is>
      </c>
      <c r="FK972" s="18" t="n">
        <v>2026</v>
      </c>
      <c r="FL972" s="18" t="inlineStr">
        <is>
          <t>B</t>
        </is>
      </c>
      <c r="FM972" s="18" t="inlineStr">
        <is>
          <t>Las Acacias</t>
        </is>
      </c>
      <c r="FP972" t="inlineStr">
        <is>
          <t>B</t>
        </is>
      </c>
      <c r="FS972" s="14" t="inlineStr">
        <is>
          <t>LXWT-89|</t>
        </is>
      </c>
      <c r="FT972" t="inlineStr">
        <is>
          <t>LXWT-89|</t>
        </is>
      </c>
      <c r="FU972" t="inlineStr">
        <is>
          <t>LXWT-89</t>
        </is>
      </c>
      <c r="FV972">
        <f>VLOOKUP(FU972,FD:FL,9,0)</f>
        <v/>
      </c>
    </row>
    <row r="973">
      <c r="FC973" t="inlineStr">
        <is>
          <t>-</t>
        </is>
      </c>
      <c r="FD973" s="13" t="inlineStr">
        <is>
          <t>ppuguion</t>
        </is>
      </c>
      <c r="FE973" s="13" t="inlineStr">
        <is>
          <t>N° Chasis</t>
        </is>
      </c>
      <c r="FF973" s="13" t="inlineStr">
        <is>
          <t>N Motor</t>
        </is>
      </c>
      <c r="FG973" s="13" t="inlineStr">
        <is>
          <t>Marca chasis</t>
        </is>
      </c>
      <c r="FH973" s="13" t="inlineStr">
        <is>
          <t>Modelo Chasis</t>
        </is>
      </c>
      <c r="FI973" s="13" t="inlineStr">
        <is>
          <t>Marca Carrocería</t>
        </is>
      </c>
      <c r="FJ973" s="13" t="inlineStr">
        <is>
          <t>Modelo Carrocería</t>
        </is>
      </c>
      <c r="FK973" s="13" t="inlineStr">
        <is>
          <t>Año</t>
        </is>
      </c>
      <c r="FL973" s="13" t="inlineStr">
        <is>
          <t>Tipo de Bus</t>
        </is>
      </c>
      <c r="FM973" s="13" t="inlineStr">
        <is>
          <t>Nombre Terminal Asignado</t>
        </is>
      </c>
      <c r="FN973" s="13" t="inlineStr">
        <is>
          <t xml:space="preserve">Dirección Terminal </t>
        </is>
      </c>
      <c r="FO973" s="13" t="inlineStr">
        <is>
          <t xml:space="preserve">Comuna </t>
        </is>
      </c>
      <c r="FS973" s="14" t="inlineStr">
        <is>
          <t>LZPW-21|</t>
        </is>
      </c>
      <c r="FT973" t="inlineStr">
        <is>
          <t>LZPW-21|</t>
        </is>
      </c>
      <c r="FU973" t="inlineStr">
        <is>
          <t>LZPW-21</t>
        </is>
      </c>
      <c r="FV973">
        <f>VLOOKUP(FU973,FD:FL,9,0)</f>
        <v/>
      </c>
    </row>
    <row r="974">
      <c r="FC974" t="inlineStr">
        <is>
          <t>Diccionario 2</t>
        </is>
      </c>
      <c r="FD974" s="15" t="inlineStr">
        <is>
          <t>GCBB-15</t>
        </is>
      </c>
      <c r="FE974" s="15" t="inlineStr">
        <is>
          <t>De Baja</t>
        </is>
      </c>
      <c r="FF974" s="15" t="inlineStr">
        <is>
          <t>De Baja</t>
        </is>
      </c>
      <c r="FG974" s="15" t="inlineStr">
        <is>
          <t>De Baja</t>
        </is>
      </c>
      <c r="FH974" s="15" t="inlineStr">
        <is>
          <t>De Baja</t>
        </is>
      </c>
      <c r="FI974" s="15" t="inlineStr">
        <is>
          <t>De Baja</t>
        </is>
      </c>
      <c r="FJ974" s="15" t="inlineStr">
        <is>
          <t>De Baja</t>
        </is>
      </c>
      <c r="FK974" s="15" t="inlineStr">
        <is>
          <t>De Baja</t>
        </is>
      </c>
      <c r="FL974" s="15" t="inlineStr">
        <is>
          <t>De Baja</t>
        </is>
      </c>
      <c r="FM974" s="15" t="inlineStr">
        <is>
          <t>De Baja</t>
        </is>
      </c>
      <c r="FN974" s="15" t="inlineStr">
        <is>
          <t>De Baja</t>
        </is>
      </c>
      <c r="FO974" s="15" t="inlineStr">
        <is>
          <t>De Baja</t>
        </is>
      </c>
      <c r="FS974" s="14" t="inlineStr">
        <is>
          <t>LZPT-53|</t>
        </is>
      </c>
      <c r="FT974" t="inlineStr">
        <is>
          <t>LZPT-53|</t>
        </is>
      </c>
      <c r="FU974" t="inlineStr">
        <is>
          <t>LZPT-53</t>
        </is>
      </c>
      <c r="FV974">
        <f>VLOOKUP(FU974,FD:FL,9,0)</f>
        <v/>
      </c>
    </row>
    <row r="975">
      <c r="FC975" t="inlineStr">
        <is>
          <t>Diccionario 2</t>
        </is>
      </c>
      <c r="FD975" s="15" t="inlineStr">
        <is>
          <t>FLXZ-94</t>
        </is>
      </c>
      <c r="FE975" s="15" t="inlineStr">
        <is>
          <t>D8478292K2PL</t>
        </is>
      </c>
      <c r="FF975" s="15" t="inlineStr">
        <is>
          <t>YV3T7U524KA195142</t>
        </is>
      </c>
      <c r="FG975" s="15" t="inlineStr">
        <is>
          <t>Volvo</t>
        </is>
      </c>
      <c r="FH975" s="15" t="inlineStr">
        <is>
          <t>B8R</t>
        </is>
      </c>
      <c r="FI975" s="15" t="inlineStr">
        <is>
          <t>MARCOPOLO</t>
        </is>
      </c>
      <c r="FJ975" s="15" t="inlineStr">
        <is>
          <t>TORINO</t>
        </is>
      </c>
      <c r="FK975" s="15" t="n">
        <v>2019</v>
      </c>
      <c r="FL975" s="15" t="inlineStr">
        <is>
          <t>B2PAL</t>
        </is>
      </c>
      <c r="FM975" s="15" t="inlineStr">
        <is>
          <t>LOS LIBERTADORES</t>
        </is>
      </c>
      <c r="FN975" s="15" t="inlineStr">
        <is>
          <t>Los Liberadores 6450, Lote 4A</t>
        </is>
      </c>
      <c r="FO975" s="15" t="inlineStr">
        <is>
          <t>Huechuraba</t>
        </is>
      </c>
      <c r="FP975" t="inlineStr">
        <is>
          <t>B</t>
        </is>
      </c>
      <c r="FS975" s="14" t="inlineStr">
        <is>
          <t>LZPT-76|</t>
        </is>
      </c>
      <c r="FT975" t="inlineStr">
        <is>
          <t>LZPT-76|</t>
        </is>
      </c>
      <c r="FU975" t="inlineStr">
        <is>
          <t>LZPT-76</t>
        </is>
      </c>
      <c r="FV975">
        <f>VLOOKUP(FU975,FD:FL,9,0)</f>
        <v/>
      </c>
    </row>
    <row r="976">
      <c r="FC976" t="inlineStr">
        <is>
          <t>Diccionario 2</t>
        </is>
      </c>
      <c r="FD976" s="15" t="inlineStr">
        <is>
          <t>GCBB-13</t>
        </is>
      </c>
      <c r="FE976" s="15" t="inlineStr">
        <is>
          <t>D8482685K2PL</t>
        </is>
      </c>
      <c r="FF976" s="15" t="inlineStr">
        <is>
          <t>YV3T7U521KA195230</t>
        </is>
      </c>
      <c r="FG976" s="15" t="inlineStr">
        <is>
          <t>Volvo</t>
        </is>
      </c>
      <c r="FH976" s="15" t="inlineStr">
        <is>
          <t>B8R</t>
        </is>
      </c>
      <c r="FI976" s="15" t="inlineStr">
        <is>
          <t>MARCOPOLO</t>
        </is>
      </c>
      <c r="FJ976" s="15" t="inlineStr">
        <is>
          <t>TORINO</t>
        </is>
      </c>
      <c r="FK976" s="15" t="n">
        <v>2019</v>
      </c>
      <c r="FL976" s="15" t="inlineStr">
        <is>
          <t>B2PAL</t>
        </is>
      </c>
      <c r="FM976" s="15" t="inlineStr">
        <is>
          <t>LOS LIBERTADORES</t>
        </is>
      </c>
      <c r="FN976" s="15" t="inlineStr">
        <is>
          <t>Los Liberadores 6450, Lote 4A</t>
        </is>
      </c>
      <c r="FO976" s="15" t="inlineStr">
        <is>
          <t>Huechuraba</t>
        </is>
      </c>
      <c r="FP976" t="inlineStr">
        <is>
          <t>B</t>
        </is>
      </c>
      <c r="FS976" s="14" t="inlineStr">
        <is>
          <t>LZPT-55|</t>
        </is>
      </c>
      <c r="FT976" t="inlineStr">
        <is>
          <t>LZPT-55|</t>
        </is>
      </c>
      <c r="FU976" t="inlineStr">
        <is>
          <t>LZPT-55</t>
        </is>
      </c>
      <c r="FV976">
        <f>VLOOKUP(FU976,FD:FL,9,0)</f>
        <v/>
      </c>
    </row>
    <row r="977">
      <c r="FC977" t="inlineStr">
        <is>
          <t>Diccionario 2</t>
        </is>
      </c>
      <c r="FD977" s="15" t="inlineStr">
        <is>
          <t>GCBC-16</t>
        </is>
      </c>
      <c r="FE977" s="15" t="inlineStr">
        <is>
          <t>D8483833K2PL</t>
        </is>
      </c>
      <c r="FF977" s="15" t="inlineStr">
        <is>
          <t>YV3T7U520KA195641</t>
        </is>
      </c>
      <c r="FG977" s="15" t="inlineStr">
        <is>
          <t>Volvo</t>
        </is>
      </c>
      <c r="FH977" s="15" t="inlineStr">
        <is>
          <t>B8R</t>
        </is>
      </c>
      <c r="FI977" s="15" t="inlineStr">
        <is>
          <t>MARCOPOLO</t>
        </is>
      </c>
      <c r="FJ977" s="15" t="inlineStr">
        <is>
          <t>TORINO</t>
        </is>
      </c>
      <c r="FK977" s="15" t="n">
        <v>2019</v>
      </c>
      <c r="FL977" s="15" t="inlineStr">
        <is>
          <t>B2PAL</t>
        </is>
      </c>
      <c r="FM977" s="15" t="inlineStr">
        <is>
          <t>LOS LIBERTADORES</t>
        </is>
      </c>
      <c r="FN977" s="15" t="inlineStr">
        <is>
          <t>Los Liberadores 6450, Lote 4A</t>
        </is>
      </c>
      <c r="FO977" s="15" t="inlineStr">
        <is>
          <t>Huechuraba</t>
        </is>
      </c>
      <c r="FP977" t="inlineStr">
        <is>
          <t>B</t>
        </is>
      </c>
      <c r="FS977" s="14" t="inlineStr">
        <is>
          <t>LXWT-92|</t>
        </is>
      </c>
      <c r="FT977" t="inlineStr">
        <is>
          <t>LXWT-92|</t>
        </is>
      </c>
      <c r="FU977" t="inlineStr">
        <is>
          <t>LXWT-92</t>
        </is>
      </c>
      <c r="FV977">
        <f>VLOOKUP(FU977,FD:FL,9,0)</f>
        <v/>
      </c>
    </row>
    <row r="978">
      <c r="FC978" t="inlineStr">
        <is>
          <t>Diccionario 2</t>
        </is>
      </c>
      <c r="FD978" s="15" t="inlineStr">
        <is>
          <t>GCBC-17</t>
        </is>
      </c>
      <c r="FE978" s="15" t="inlineStr">
        <is>
          <t>D8483530K2PL</t>
        </is>
      </c>
      <c r="FF978" s="15" t="inlineStr">
        <is>
          <t>YV3T7U522KA195642</t>
        </is>
      </c>
      <c r="FG978" s="15" t="inlineStr">
        <is>
          <t>Volvo</t>
        </is>
      </c>
      <c r="FH978" s="15" t="inlineStr">
        <is>
          <t>B8R</t>
        </is>
      </c>
      <c r="FI978" s="15" t="inlineStr">
        <is>
          <t>MARCOPOLO</t>
        </is>
      </c>
      <c r="FJ978" s="15" t="inlineStr">
        <is>
          <t>TORINO</t>
        </is>
      </c>
      <c r="FK978" s="15" t="n">
        <v>2019</v>
      </c>
      <c r="FL978" s="15" t="inlineStr">
        <is>
          <t>B2PAL</t>
        </is>
      </c>
      <c r="FM978" s="15" t="inlineStr">
        <is>
          <t>LOS LIBERTADORES</t>
        </is>
      </c>
      <c r="FN978" s="15" t="inlineStr">
        <is>
          <t>Los Liberadores 6450, Lote 4A</t>
        </is>
      </c>
      <c r="FO978" s="15" t="inlineStr">
        <is>
          <t>Huechuraba</t>
        </is>
      </c>
      <c r="FP978" t="inlineStr">
        <is>
          <t>B</t>
        </is>
      </c>
      <c r="FS978" s="14" t="inlineStr">
        <is>
          <t>LZPT-65|</t>
        </is>
      </c>
      <c r="FT978" t="inlineStr">
        <is>
          <t>LZPT-65|</t>
        </is>
      </c>
      <c r="FU978" t="inlineStr">
        <is>
          <t>LZPT-65</t>
        </is>
      </c>
      <c r="FV978">
        <f>VLOOKUP(FU978,FD:FL,9,0)</f>
        <v/>
      </c>
    </row>
    <row r="979">
      <c r="FC979" t="inlineStr">
        <is>
          <t>Diccionario 2</t>
        </is>
      </c>
      <c r="FD979" s="15" t="inlineStr">
        <is>
          <t>GCBC-18</t>
        </is>
      </c>
      <c r="FE979" s="15" t="inlineStr">
        <is>
          <t>D8483789K2PL</t>
        </is>
      </c>
      <c r="FF979" s="15" t="inlineStr">
        <is>
          <t>YV3T7U524KA195643</t>
        </is>
      </c>
      <c r="FG979" s="15" t="inlineStr">
        <is>
          <t>Volvo</t>
        </is>
      </c>
      <c r="FH979" s="15" t="inlineStr">
        <is>
          <t>B8R</t>
        </is>
      </c>
      <c r="FI979" s="15" t="inlineStr">
        <is>
          <t>MARCOPOLO</t>
        </is>
      </c>
      <c r="FJ979" s="15" t="inlineStr">
        <is>
          <t>TORINO</t>
        </is>
      </c>
      <c r="FK979" s="15" t="n">
        <v>2019</v>
      </c>
      <c r="FL979" s="15" t="inlineStr">
        <is>
          <t>B2PAL</t>
        </is>
      </c>
      <c r="FM979" s="15" t="inlineStr">
        <is>
          <t>SAN JOSE</t>
        </is>
      </c>
      <c r="FN979" s="15" t="inlineStr">
        <is>
          <t>San José 030 (José Besa 669)</t>
        </is>
      </c>
      <c r="FO979" s="15" t="inlineStr">
        <is>
          <t>San Bernardo</t>
        </is>
      </c>
      <c r="FP979" t="inlineStr">
        <is>
          <t>B</t>
        </is>
      </c>
      <c r="FS979" s="14" t="inlineStr">
        <is>
          <t>GCBF-43|</t>
        </is>
      </c>
      <c r="FT979" t="inlineStr">
        <is>
          <t>GCBF-43|</t>
        </is>
      </c>
      <c r="FU979" t="inlineStr">
        <is>
          <t>GCBF-43</t>
        </is>
      </c>
      <c r="FV979">
        <f>VLOOKUP(FU979,FD:FL,9,0)</f>
        <v/>
      </c>
    </row>
    <row r="980">
      <c r="FC980" t="inlineStr">
        <is>
          <t>Diccionario 2</t>
        </is>
      </c>
      <c r="FD980" s="15" t="inlineStr">
        <is>
          <t>GCBC-19</t>
        </is>
      </c>
      <c r="FE980" s="15" t="inlineStr">
        <is>
          <t>D8484480K2PL</t>
        </is>
      </c>
      <c r="FF980" s="15" t="inlineStr">
        <is>
          <t>YV3T7U524KA195688</t>
        </is>
      </c>
      <c r="FG980" s="15" t="inlineStr">
        <is>
          <t>Volvo</t>
        </is>
      </c>
      <c r="FH980" s="15" t="inlineStr">
        <is>
          <t>B8R</t>
        </is>
      </c>
      <c r="FI980" s="15" t="inlineStr">
        <is>
          <t>MARCOPOLO</t>
        </is>
      </c>
      <c r="FJ980" s="15" t="inlineStr">
        <is>
          <t>TORINO</t>
        </is>
      </c>
      <c r="FK980" s="15" t="n">
        <v>2019</v>
      </c>
      <c r="FL980" s="15" t="inlineStr">
        <is>
          <t>B2PAL</t>
        </is>
      </c>
      <c r="FM980" s="15" t="inlineStr">
        <is>
          <t>SAN JOSE</t>
        </is>
      </c>
      <c r="FN980" s="15" t="inlineStr">
        <is>
          <t>San José 030 (José Besa 669)</t>
        </is>
      </c>
      <c r="FO980" s="15" t="inlineStr">
        <is>
          <t>San Bernardo</t>
        </is>
      </c>
      <c r="FP980" t="inlineStr">
        <is>
          <t>B</t>
        </is>
      </c>
      <c r="FS980" s="14" t="inlineStr">
        <is>
          <t>LZPT-45|</t>
        </is>
      </c>
      <c r="FT980" t="inlineStr">
        <is>
          <t>LZPT-45|</t>
        </is>
      </c>
      <c r="FU980" t="inlineStr">
        <is>
          <t>LZPT-45</t>
        </is>
      </c>
      <c r="FV980">
        <f>VLOOKUP(FU980,FD:FL,9,0)</f>
        <v/>
      </c>
    </row>
    <row r="981">
      <c r="FC981" t="inlineStr">
        <is>
          <t>Diccionario 2</t>
        </is>
      </c>
      <c r="FD981" s="15" t="inlineStr">
        <is>
          <t>GCBC-20</t>
        </is>
      </c>
      <c r="FE981" s="15" t="inlineStr">
        <is>
          <t>D8484637K2PL</t>
        </is>
      </c>
      <c r="FF981" s="15" t="inlineStr">
        <is>
          <t>YV3T7U528KA195712</t>
        </is>
      </c>
      <c r="FG981" s="15" t="inlineStr">
        <is>
          <t>Volvo</t>
        </is>
      </c>
      <c r="FH981" s="15" t="inlineStr">
        <is>
          <t>B8R</t>
        </is>
      </c>
      <c r="FI981" s="15" t="inlineStr">
        <is>
          <t>MARCOPOLO</t>
        </is>
      </c>
      <c r="FJ981" s="15" t="inlineStr">
        <is>
          <t>TORINO</t>
        </is>
      </c>
      <c r="FK981" s="15" t="n">
        <v>2019</v>
      </c>
      <c r="FL981" s="15" t="inlineStr">
        <is>
          <t>B2PAL</t>
        </is>
      </c>
      <c r="FM981" s="15" t="inlineStr">
        <is>
          <t>SAN JOSE</t>
        </is>
      </c>
      <c r="FN981" s="15" t="inlineStr">
        <is>
          <t>San José 030 (José Besa 669)</t>
        </is>
      </c>
      <c r="FO981" s="15" t="inlineStr">
        <is>
          <t>San Bernardo</t>
        </is>
      </c>
      <c r="FP981" t="inlineStr">
        <is>
          <t>B</t>
        </is>
      </c>
      <c r="FS981" s="14" t="inlineStr">
        <is>
          <t>LZPT-71|</t>
        </is>
      </c>
      <c r="FT981" t="inlineStr">
        <is>
          <t>LZPT-71|</t>
        </is>
      </c>
      <c r="FU981" t="inlineStr">
        <is>
          <t>LZPT-71</t>
        </is>
      </c>
      <c r="FV981">
        <f>VLOOKUP(FU981,FD:FL,9,0)</f>
        <v/>
      </c>
    </row>
    <row r="982">
      <c r="FC982" t="inlineStr">
        <is>
          <t>Diccionario 2</t>
        </is>
      </c>
      <c r="FD982" s="15" t="inlineStr">
        <is>
          <t>GCBC-21</t>
        </is>
      </c>
      <c r="FE982" s="15" t="inlineStr">
        <is>
          <t>D8484676K2PL</t>
        </is>
      </c>
      <c r="FF982" s="15" t="inlineStr">
        <is>
          <t>YV3T7U52XKA195713</t>
        </is>
      </c>
      <c r="FG982" s="15" t="inlineStr">
        <is>
          <t>Volvo</t>
        </is>
      </c>
      <c r="FH982" s="15" t="inlineStr">
        <is>
          <t>B8R</t>
        </is>
      </c>
      <c r="FI982" s="15" t="inlineStr">
        <is>
          <t>MARCOPOLO</t>
        </is>
      </c>
      <c r="FJ982" s="15" t="inlineStr">
        <is>
          <t>TORINO</t>
        </is>
      </c>
      <c r="FK982" s="15" t="n">
        <v>2019</v>
      </c>
      <c r="FL982" s="15" t="inlineStr">
        <is>
          <t>B2PAL</t>
        </is>
      </c>
      <c r="FM982" s="15" t="inlineStr">
        <is>
          <t>LOS LIBERTADORES</t>
        </is>
      </c>
      <c r="FN982" s="15" t="inlineStr">
        <is>
          <t>Los Liberadores 6450, Lote 4A</t>
        </is>
      </c>
      <c r="FO982" s="15" t="inlineStr">
        <is>
          <t>Huechuraba</t>
        </is>
      </c>
      <c r="FP982" t="inlineStr">
        <is>
          <t>B</t>
        </is>
      </c>
      <c r="FS982" s="14" t="inlineStr">
        <is>
          <t>LZPR-87|</t>
        </is>
      </c>
      <c r="FT982" t="inlineStr">
        <is>
          <t>LZPR-87|</t>
        </is>
      </c>
      <c r="FU982" t="inlineStr">
        <is>
          <t>LZPR-87</t>
        </is>
      </c>
      <c r="FV982">
        <f>VLOOKUP(FU982,FD:FL,9,0)</f>
        <v/>
      </c>
    </row>
    <row r="983">
      <c r="FC983" t="inlineStr">
        <is>
          <t>Diccionario 2</t>
        </is>
      </c>
      <c r="FD983" s="15" t="inlineStr">
        <is>
          <t>GCBC-22</t>
        </is>
      </c>
      <c r="FE983" s="15" t="inlineStr">
        <is>
          <t>D8484733K2PL</t>
        </is>
      </c>
      <c r="FF983" s="15" t="inlineStr">
        <is>
          <t>YV3T7U526KA195742</t>
        </is>
      </c>
      <c r="FG983" s="15" t="inlineStr">
        <is>
          <t>Volvo</t>
        </is>
      </c>
      <c r="FH983" s="15" t="inlineStr">
        <is>
          <t>B8R</t>
        </is>
      </c>
      <c r="FI983" s="15" t="inlineStr">
        <is>
          <t>MARCOPOLO</t>
        </is>
      </c>
      <c r="FJ983" s="15" t="inlineStr">
        <is>
          <t>TORINO</t>
        </is>
      </c>
      <c r="FK983" s="15" t="n">
        <v>2019</v>
      </c>
      <c r="FL983" s="15" t="inlineStr">
        <is>
          <t>B2PAL</t>
        </is>
      </c>
      <c r="FM983" s="15" t="inlineStr">
        <is>
          <t>LOS LIBERTADORES</t>
        </is>
      </c>
      <c r="FN983" s="15" t="inlineStr">
        <is>
          <t>Los Liberadores 6450, Lote 4A</t>
        </is>
      </c>
      <c r="FO983" s="15" t="inlineStr">
        <is>
          <t>Huechuraba</t>
        </is>
      </c>
      <c r="FP983" t="inlineStr">
        <is>
          <t>B</t>
        </is>
      </c>
      <c r="FS983" s="14" t="inlineStr">
        <is>
          <t>LZPT-56|</t>
        </is>
      </c>
      <c r="FT983" t="inlineStr">
        <is>
          <t>LZPT-56|</t>
        </is>
      </c>
      <c r="FU983" t="inlineStr">
        <is>
          <t>LZPT-56</t>
        </is>
      </c>
      <c r="FV983">
        <f>VLOOKUP(FU983,FD:FL,9,0)</f>
        <v/>
      </c>
    </row>
    <row r="984">
      <c r="FC984" t="inlineStr">
        <is>
          <t>Diccionario 2</t>
        </is>
      </c>
      <c r="FD984" s="15" t="inlineStr">
        <is>
          <t>GCBC-23</t>
        </is>
      </c>
      <c r="FE984" s="15" t="inlineStr">
        <is>
          <t>D8481621K2PL</t>
        </is>
      </c>
      <c r="FF984" s="15" t="inlineStr">
        <is>
          <t>YV3T7U528KA195175</t>
        </is>
      </c>
      <c r="FG984" s="15" t="inlineStr">
        <is>
          <t>Volvo</t>
        </is>
      </c>
      <c r="FH984" s="15" t="inlineStr">
        <is>
          <t>B8R</t>
        </is>
      </c>
      <c r="FI984" s="15" t="inlineStr">
        <is>
          <t>MARCOPOLO</t>
        </is>
      </c>
      <c r="FJ984" s="15" t="inlineStr">
        <is>
          <t>TORINO</t>
        </is>
      </c>
      <c r="FK984" s="15" t="n">
        <v>2019</v>
      </c>
      <c r="FL984" s="15" t="inlineStr">
        <is>
          <t>B2PAL</t>
        </is>
      </c>
      <c r="FM984" s="15" t="inlineStr">
        <is>
          <t>LOS LIBERTADORES</t>
        </is>
      </c>
      <c r="FN984" s="15" t="inlineStr">
        <is>
          <t>Los Liberadores 6450, Lote 4A</t>
        </is>
      </c>
      <c r="FO984" s="15" t="inlineStr">
        <is>
          <t>Huechuraba</t>
        </is>
      </c>
      <c r="FP984" t="inlineStr">
        <is>
          <t>B</t>
        </is>
      </c>
      <c r="FS984" s="14" t="inlineStr">
        <is>
          <t>LZPW-16|</t>
        </is>
      </c>
      <c r="FT984" t="inlineStr">
        <is>
          <t>LZPW-16|</t>
        </is>
      </c>
      <c r="FU984" t="inlineStr">
        <is>
          <t>LZPW-16</t>
        </is>
      </c>
      <c r="FV984">
        <f>VLOOKUP(FU984,FD:FL,9,0)</f>
        <v/>
      </c>
    </row>
    <row r="985">
      <c r="FC985" t="inlineStr">
        <is>
          <t>Diccionario 2</t>
        </is>
      </c>
      <c r="FD985" s="15" t="inlineStr">
        <is>
          <t>GCBB-16</t>
        </is>
      </c>
      <c r="FE985" s="15" t="inlineStr">
        <is>
          <t>D8482769K2PL</t>
        </is>
      </c>
      <c r="FF985" s="15" t="inlineStr">
        <is>
          <t>YV3T7U522KA195303</t>
        </is>
      </c>
      <c r="FG985" s="15" t="inlineStr">
        <is>
          <t>Volvo</t>
        </is>
      </c>
      <c r="FH985" s="15" t="inlineStr">
        <is>
          <t>B8R</t>
        </is>
      </c>
      <c r="FI985" s="15" t="inlineStr">
        <is>
          <t>MARCOPOLO</t>
        </is>
      </c>
      <c r="FJ985" s="15" t="inlineStr">
        <is>
          <t>TORINO</t>
        </is>
      </c>
      <c r="FK985" s="15" t="n">
        <v>2019</v>
      </c>
      <c r="FL985" s="15" t="inlineStr">
        <is>
          <t>B2PAL</t>
        </is>
      </c>
      <c r="FM985" s="15" t="inlineStr">
        <is>
          <t>LOS LIBERTADORES</t>
        </is>
      </c>
      <c r="FN985" s="15" t="inlineStr">
        <is>
          <t>Los Liberadores 6450, Lote 4A</t>
        </is>
      </c>
      <c r="FO985" s="15" t="inlineStr">
        <is>
          <t>Huechuraba</t>
        </is>
      </c>
      <c r="FP985" t="inlineStr">
        <is>
          <t>B</t>
        </is>
      </c>
      <c r="FS985" s="14" t="inlineStr">
        <is>
          <t>LZPT-43|</t>
        </is>
      </c>
      <c r="FT985" t="inlineStr">
        <is>
          <t>LZPT-43|</t>
        </is>
      </c>
      <c r="FU985" t="inlineStr">
        <is>
          <t>LZPT-43</t>
        </is>
      </c>
      <c r="FV985">
        <f>VLOOKUP(FU985,FD:FL,9,0)</f>
        <v/>
      </c>
    </row>
    <row r="986">
      <c r="FC986" t="inlineStr">
        <is>
          <t>Diccionario 2</t>
        </is>
      </c>
      <c r="FD986" s="15" t="inlineStr">
        <is>
          <t>GCBB-17</t>
        </is>
      </c>
      <c r="FE986" s="15" t="inlineStr">
        <is>
          <t>D8478205K2PL</t>
        </is>
      </c>
      <c r="FF986" s="15" t="inlineStr">
        <is>
          <t>YV3T7U520KA195140</t>
        </is>
      </c>
      <c r="FG986" s="15" t="inlineStr">
        <is>
          <t>Volvo</t>
        </is>
      </c>
      <c r="FH986" s="15" t="inlineStr">
        <is>
          <t>B8R</t>
        </is>
      </c>
      <c r="FI986" s="15" t="inlineStr">
        <is>
          <t>MARCOPOLO</t>
        </is>
      </c>
      <c r="FJ986" s="15" t="inlineStr">
        <is>
          <t>TORINO</t>
        </is>
      </c>
      <c r="FK986" s="15" t="n">
        <v>2019</v>
      </c>
      <c r="FL986" s="15" t="inlineStr">
        <is>
          <t>B2PAL</t>
        </is>
      </c>
      <c r="FM986" s="15" t="inlineStr">
        <is>
          <t>LOS LIBERTADORES</t>
        </is>
      </c>
      <c r="FN986" s="15" t="inlineStr">
        <is>
          <t>Los Liberadores 6450, Lote 4A</t>
        </is>
      </c>
      <c r="FO986" s="15" t="inlineStr">
        <is>
          <t>Huechuraba</t>
        </is>
      </c>
      <c r="FP986" t="inlineStr">
        <is>
          <t>B</t>
        </is>
      </c>
      <c r="FS986" s="14" t="inlineStr">
        <is>
          <t>LXWT-96|</t>
        </is>
      </c>
      <c r="FT986" t="inlineStr">
        <is>
          <t>LXWT-96|</t>
        </is>
      </c>
      <c r="FU986" t="inlineStr">
        <is>
          <t>LXWT-96</t>
        </is>
      </c>
      <c r="FV986">
        <f>VLOOKUP(FU986,FD:FL,9,0)</f>
        <v/>
      </c>
    </row>
    <row r="987">
      <c r="FC987" t="inlineStr">
        <is>
          <t>Diccionario 2</t>
        </is>
      </c>
      <c r="FD987" s="15" t="inlineStr">
        <is>
          <t>GCBB-18</t>
        </is>
      </c>
      <c r="FE987" s="15" t="inlineStr">
        <is>
          <t>D8481556K2PL</t>
        </is>
      </c>
      <c r="FF987" s="15" t="inlineStr">
        <is>
          <t>YV3T7U521KA195177</t>
        </is>
      </c>
      <c r="FG987" s="15" t="inlineStr">
        <is>
          <t>Volvo</t>
        </is>
      </c>
      <c r="FH987" s="15" t="inlineStr">
        <is>
          <t>B8R</t>
        </is>
      </c>
      <c r="FI987" s="15" t="inlineStr">
        <is>
          <t>MARCOPOLO</t>
        </is>
      </c>
      <c r="FJ987" s="15" t="inlineStr">
        <is>
          <t>TORINO</t>
        </is>
      </c>
      <c r="FK987" s="15" t="n">
        <v>2019</v>
      </c>
      <c r="FL987" s="15" t="inlineStr">
        <is>
          <t>B2PAL</t>
        </is>
      </c>
      <c r="FM987" s="15" t="inlineStr">
        <is>
          <t>SAN JOSE</t>
        </is>
      </c>
      <c r="FN987" s="15" t="inlineStr">
        <is>
          <t>San José 030 (José Besa 669)</t>
        </is>
      </c>
      <c r="FO987" s="15" t="inlineStr">
        <is>
          <t>San Bernardo</t>
        </is>
      </c>
      <c r="FP987" t="inlineStr">
        <is>
          <t>B</t>
        </is>
      </c>
      <c r="FS987" s="14" t="inlineStr">
        <is>
          <t>LZPS-15|</t>
        </is>
      </c>
      <c r="FT987" t="inlineStr">
        <is>
          <t>LZPS-15|</t>
        </is>
      </c>
      <c r="FU987" t="inlineStr">
        <is>
          <t>LZPS-15</t>
        </is>
      </c>
      <c r="FV987">
        <f>VLOOKUP(FU987,FD:FL,9,0)</f>
        <v/>
      </c>
    </row>
    <row r="988">
      <c r="FC988" t="inlineStr">
        <is>
          <t>Diccionario 2</t>
        </is>
      </c>
      <c r="FD988" s="15" t="inlineStr">
        <is>
          <t>GCBB-19</t>
        </is>
      </c>
      <c r="FE988" s="15" t="inlineStr">
        <is>
          <t>D8482482K2PL</t>
        </is>
      </c>
      <c r="FF988" s="15" t="inlineStr">
        <is>
          <t>YV3T7U523KA195326</t>
        </is>
      </c>
      <c r="FG988" s="15" t="inlineStr">
        <is>
          <t>Volvo</t>
        </is>
      </c>
      <c r="FH988" s="15" t="inlineStr">
        <is>
          <t>B8R</t>
        </is>
      </c>
      <c r="FI988" s="15" t="inlineStr">
        <is>
          <t>MARCOPOLO</t>
        </is>
      </c>
      <c r="FJ988" s="15" t="inlineStr">
        <is>
          <t>TORINO</t>
        </is>
      </c>
      <c r="FK988" s="15" t="n">
        <v>2019</v>
      </c>
      <c r="FL988" s="15" t="inlineStr">
        <is>
          <t>B2PAL</t>
        </is>
      </c>
      <c r="FM988" s="15" t="inlineStr">
        <is>
          <t>LOS LIBERTADORES</t>
        </is>
      </c>
      <c r="FN988" s="15" t="inlineStr">
        <is>
          <t>Los Liberadores 6450, Lote 4A</t>
        </is>
      </c>
      <c r="FO988" s="15" t="inlineStr">
        <is>
          <t>Huechuraba</t>
        </is>
      </c>
      <c r="FP988" t="inlineStr">
        <is>
          <t>B</t>
        </is>
      </c>
      <c r="FS988" s="14" t="inlineStr">
        <is>
          <t>LZPS-11|</t>
        </is>
      </c>
      <c r="FT988" t="inlineStr">
        <is>
          <t>LZPS-11|</t>
        </is>
      </c>
      <c r="FU988" t="inlineStr">
        <is>
          <t>LZPS-11</t>
        </is>
      </c>
      <c r="FV988">
        <f>VLOOKUP(FU988,FD:FL,9,0)</f>
        <v/>
      </c>
    </row>
    <row r="989">
      <c r="FC989" t="inlineStr">
        <is>
          <t>Diccionario 2</t>
        </is>
      </c>
      <c r="FD989" s="15" t="inlineStr">
        <is>
          <t>GCBB-20</t>
        </is>
      </c>
      <c r="FE989" s="15" t="inlineStr">
        <is>
          <t>D8482478K2PL</t>
        </is>
      </c>
      <c r="FF989" s="15" t="inlineStr">
        <is>
          <t>YV3T7U525KA195327</t>
        </is>
      </c>
      <c r="FG989" s="15" t="inlineStr">
        <is>
          <t>Volvo</t>
        </is>
      </c>
      <c r="FH989" s="15" t="inlineStr">
        <is>
          <t>B8R</t>
        </is>
      </c>
      <c r="FI989" s="15" t="inlineStr">
        <is>
          <t>MARCOPOLO</t>
        </is>
      </c>
      <c r="FJ989" s="15" t="inlineStr">
        <is>
          <t>TORINO</t>
        </is>
      </c>
      <c r="FK989" s="15" t="n">
        <v>2019</v>
      </c>
      <c r="FL989" s="15" t="inlineStr">
        <is>
          <t>B2PAL</t>
        </is>
      </c>
      <c r="FM989" s="15" t="inlineStr">
        <is>
          <t>LOS LIBERTADORES</t>
        </is>
      </c>
      <c r="FN989" s="15" t="inlineStr">
        <is>
          <t>Los Liberadores 6450, Lote 4A</t>
        </is>
      </c>
      <c r="FO989" s="15" t="inlineStr">
        <is>
          <t>Huechuraba</t>
        </is>
      </c>
      <c r="FP989" t="inlineStr">
        <is>
          <t>B</t>
        </is>
      </c>
      <c r="FS989" s="14" t="inlineStr">
        <is>
          <t>LXWT-95|</t>
        </is>
      </c>
      <c r="FT989" t="inlineStr">
        <is>
          <t>LXWT-95|</t>
        </is>
      </c>
      <c r="FU989" t="inlineStr">
        <is>
          <t>LXWT-95</t>
        </is>
      </c>
      <c r="FV989">
        <f>VLOOKUP(FU989,FD:FL,9,0)</f>
        <v/>
      </c>
    </row>
    <row r="990">
      <c r="FC990" t="inlineStr">
        <is>
          <t>Diccionario 2</t>
        </is>
      </c>
      <c r="FD990" s="15" t="inlineStr">
        <is>
          <t>GCBB-21</t>
        </is>
      </c>
      <c r="FE990" s="15" t="inlineStr">
        <is>
          <t>D8482400K2PL</t>
        </is>
      </c>
      <c r="FF990" s="15" t="inlineStr">
        <is>
          <t>YV3T7U527KA195328</t>
        </is>
      </c>
      <c r="FG990" s="15" t="inlineStr">
        <is>
          <t>Volvo</t>
        </is>
      </c>
      <c r="FH990" s="15" t="inlineStr">
        <is>
          <t>B8R</t>
        </is>
      </c>
      <c r="FI990" s="15" t="inlineStr">
        <is>
          <t>MARCOPOLO</t>
        </is>
      </c>
      <c r="FJ990" s="15" t="inlineStr">
        <is>
          <t>TORINO</t>
        </is>
      </c>
      <c r="FK990" s="15" t="n">
        <v>2019</v>
      </c>
      <c r="FL990" s="15" t="inlineStr">
        <is>
          <t>B2PAL</t>
        </is>
      </c>
      <c r="FM990" s="15" t="inlineStr">
        <is>
          <t>LOS LIBERTADORES</t>
        </is>
      </c>
      <c r="FN990" s="15" t="inlineStr">
        <is>
          <t>Los Liberadores 6450, Lote 4A</t>
        </is>
      </c>
      <c r="FO990" s="15" t="inlineStr">
        <is>
          <t>Huechuraba</t>
        </is>
      </c>
      <c r="FP990" t="inlineStr">
        <is>
          <t>B</t>
        </is>
      </c>
      <c r="FS990" s="14" t="inlineStr">
        <is>
          <t>LXWT-82|</t>
        </is>
      </c>
      <c r="FT990" t="inlineStr">
        <is>
          <t>LXWT-82|</t>
        </is>
      </c>
      <c r="FU990" t="inlineStr">
        <is>
          <t>LXWT-82</t>
        </is>
      </c>
      <c r="FV990">
        <f>VLOOKUP(FU990,FD:FL,9,0)</f>
        <v/>
      </c>
    </row>
    <row r="991">
      <c r="FC991" t="inlineStr">
        <is>
          <t>Diccionario 2</t>
        </is>
      </c>
      <c r="FD991" s="15" t="inlineStr">
        <is>
          <t>GCBB-22</t>
        </is>
      </c>
      <c r="FE991" s="15" t="inlineStr">
        <is>
          <t>D8482554K2PL</t>
        </is>
      </c>
      <c r="FF991" s="15" t="inlineStr">
        <is>
          <t>YV3T7U520KA195350</t>
        </is>
      </c>
      <c r="FG991" s="15" t="inlineStr">
        <is>
          <t>Volvo</t>
        </is>
      </c>
      <c r="FH991" s="15" t="inlineStr">
        <is>
          <t>B8R</t>
        </is>
      </c>
      <c r="FI991" s="15" t="inlineStr">
        <is>
          <t>MARCOPOLO</t>
        </is>
      </c>
      <c r="FJ991" s="15" t="inlineStr">
        <is>
          <t>TORINO</t>
        </is>
      </c>
      <c r="FK991" s="15" t="n">
        <v>2019</v>
      </c>
      <c r="FL991" s="15" t="inlineStr">
        <is>
          <t>B2PAL</t>
        </is>
      </c>
      <c r="FM991" s="15" t="inlineStr">
        <is>
          <t>LOS LIBERTADORES</t>
        </is>
      </c>
      <c r="FN991" s="15" t="inlineStr">
        <is>
          <t>Los Liberadores 6450, Lote 4A</t>
        </is>
      </c>
      <c r="FO991" s="15" t="inlineStr">
        <is>
          <t>Huechuraba</t>
        </is>
      </c>
      <c r="FP991" t="inlineStr">
        <is>
          <t>B</t>
        </is>
      </c>
      <c r="FS991" s="14" t="inlineStr">
        <is>
          <t>LZPG-20|</t>
        </is>
      </c>
      <c r="FT991" t="inlineStr">
        <is>
          <t>LZPG-20|</t>
        </is>
      </c>
      <c r="FU991" t="inlineStr">
        <is>
          <t>LZPG-20</t>
        </is>
      </c>
      <c r="FV991">
        <f>VLOOKUP(FU991,FD:FL,9,0)</f>
        <v/>
      </c>
    </row>
    <row r="992">
      <c r="FC992" t="inlineStr">
        <is>
          <t>Diccionario 2</t>
        </is>
      </c>
      <c r="FD992" s="15" t="inlineStr">
        <is>
          <t>GCBB-23</t>
        </is>
      </c>
      <c r="FE992" s="15" t="inlineStr">
        <is>
          <t>D8482519K2PL</t>
        </is>
      </c>
      <c r="FF992" s="15" t="inlineStr">
        <is>
          <t>YV3T7U522KA195351</t>
        </is>
      </c>
      <c r="FG992" s="15" t="inlineStr">
        <is>
          <t>Volvo</t>
        </is>
      </c>
      <c r="FH992" s="15" t="inlineStr">
        <is>
          <t>B8R</t>
        </is>
      </c>
      <c r="FI992" s="15" t="inlineStr">
        <is>
          <t>MARCOPOLO</t>
        </is>
      </c>
      <c r="FJ992" s="15" t="inlineStr">
        <is>
          <t>TORINO</t>
        </is>
      </c>
      <c r="FK992" s="15" t="n">
        <v>2019</v>
      </c>
      <c r="FL992" s="15" t="inlineStr">
        <is>
          <t>B2PAL</t>
        </is>
      </c>
      <c r="FM992" s="15" t="inlineStr">
        <is>
          <t>LOS LIBERTADORES</t>
        </is>
      </c>
      <c r="FN992" s="15" t="inlineStr">
        <is>
          <t>Los Liberadores 6450, Lote 4A</t>
        </is>
      </c>
      <c r="FO992" s="15" t="inlineStr">
        <is>
          <t>Huechuraba</t>
        </is>
      </c>
      <c r="FP992" t="inlineStr">
        <is>
          <t>B</t>
        </is>
      </c>
      <c r="FS992" s="14" t="inlineStr">
        <is>
          <t>LZPT-57|</t>
        </is>
      </c>
      <c r="FT992" t="inlineStr">
        <is>
          <t>LZPT-57|</t>
        </is>
      </c>
      <c r="FU992" t="inlineStr">
        <is>
          <t>LZPT-57</t>
        </is>
      </c>
      <c r="FV992">
        <f>VLOOKUP(FU992,FD:FL,9,0)</f>
        <v/>
      </c>
    </row>
    <row r="993">
      <c r="FC993" t="inlineStr">
        <is>
          <t>Diccionario 2</t>
        </is>
      </c>
      <c r="FD993" s="15" t="inlineStr">
        <is>
          <t>GCBB-24</t>
        </is>
      </c>
      <c r="FE993" s="15" t="inlineStr">
        <is>
          <t>D8482509K2PL</t>
        </is>
      </c>
      <c r="FF993" s="15" t="inlineStr">
        <is>
          <t>YV3T7U524KA195352</t>
        </is>
      </c>
      <c r="FG993" s="15" t="inlineStr">
        <is>
          <t>Volvo</t>
        </is>
      </c>
      <c r="FH993" s="15" t="inlineStr">
        <is>
          <t>B8R</t>
        </is>
      </c>
      <c r="FI993" s="15" t="inlineStr">
        <is>
          <t>MARCOPOLO</t>
        </is>
      </c>
      <c r="FJ993" s="15" t="inlineStr">
        <is>
          <t>TORINO</t>
        </is>
      </c>
      <c r="FK993" s="15" t="n">
        <v>2019</v>
      </c>
      <c r="FL993" s="15" t="inlineStr">
        <is>
          <t>B2PAL</t>
        </is>
      </c>
      <c r="FM993" s="15" t="inlineStr">
        <is>
          <t>LOS LIBERTADORES</t>
        </is>
      </c>
      <c r="FN993" s="15" t="inlineStr">
        <is>
          <t>Los Liberadores 6450, Lote 4A</t>
        </is>
      </c>
      <c r="FO993" s="15" t="inlineStr">
        <is>
          <t>Huechuraba</t>
        </is>
      </c>
      <c r="FP993" t="inlineStr">
        <is>
          <t>B</t>
        </is>
      </c>
      <c r="FS993" s="14" t="inlineStr">
        <is>
          <t>9951 / TBZB-24|</t>
        </is>
      </c>
      <c r="FT993" t="inlineStr">
        <is>
          <t>TBZB-24|</t>
        </is>
      </c>
      <c r="FU993" t="inlineStr">
        <is>
          <t>TBZB-24</t>
        </is>
      </c>
      <c r="FV993">
        <f>VLOOKUP(FU993,FD:FL,9,0)</f>
        <v/>
      </c>
    </row>
    <row r="994">
      <c r="FC994" t="inlineStr">
        <is>
          <t>Diccionario 2</t>
        </is>
      </c>
      <c r="FD994" s="15" t="inlineStr">
        <is>
          <t>FLXZ-96</t>
        </is>
      </c>
      <c r="FE994" s="15" t="inlineStr">
        <is>
          <t>D8478282K2PL</t>
        </is>
      </c>
      <c r="FF994" s="15" t="inlineStr">
        <is>
          <t>YV3T7U526KA195143</t>
        </is>
      </c>
      <c r="FG994" s="15" t="inlineStr">
        <is>
          <t>Volvo</t>
        </is>
      </c>
      <c r="FH994" s="15" t="inlineStr">
        <is>
          <t>B8R</t>
        </is>
      </c>
      <c r="FI994" s="15" t="inlineStr">
        <is>
          <t>MARCOPOLO</t>
        </is>
      </c>
      <c r="FJ994" s="15" t="inlineStr">
        <is>
          <t>TORINO</t>
        </is>
      </c>
      <c r="FK994" s="15" t="n">
        <v>2019</v>
      </c>
      <c r="FL994" s="15" t="inlineStr">
        <is>
          <t>B2PAL</t>
        </is>
      </c>
      <c r="FM994" s="15" t="inlineStr">
        <is>
          <t>LOS LIBERTADORES</t>
        </is>
      </c>
      <c r="FN994" s="15" t="inlineStr">
        <is>
          <t>Los Liberadores 6450, Lote 4A</t>
        </is>
      </c>
      <c r="FO994" s="15" t="inlineStr">
        <is>
          <t>Huechuraba</t>
        </is>
      </c>
      <c r="FP994" t="inlineStr">
        <is>
          <t>B</t>
        </is>
      </c>
      <c r="FS994" s="14" t="inlineStr">
        <is>
          <t>LZPS-17|</t>
        </is>
      </c>
      <c r="FT994" t="inlineStr">
        <is>
          <t>LZPS-17|</t>
        </is>
      </c>
      <c r="FU994" t="inlineStr">
        <is>
          <t>LZPS-17</t>
        </is>
      </c>
      <c r="FV994">
        <f>VLOOKUP(FU994,FD:FL,9,0)</f>
        <v/>
      </c>
    </row>
    <row r="995">
      <c r="FC995" t="inlineStr">
        <is>
          <t>Diccionario 2</t>
        </is>
      </c>
      <c r="FD995" s="15" t="inlineStr">
        <is>
          <t>GCBB-25</t>
        </is>
      </c>
      <c r="FE995" s="15" t="inlineStr">
        <is>
          <t>D8482576K2PL</t>
        </is>
      </c>
      <c r="FF995" s="15" t="inlineStr">
        <is>
          <t>YV3T7U523KA195357</t>
        </is>
      </c>
      <c r="FG995" s="15" t="inlineStr">
        <is>
          <t>Volvo</t>
        </is>
      </c>
      <c r="FH995" s="15" t="inlineStr">
        <is>
          <t>B8R</t>
        </is>
      </c>
      <c r="FI995" s="15" t="inlineStr">
        <is>
          <t>MARCOPOLO</t>
        </is>
      </c>
      <c r="FJ995" s="15" t="inlineStr">
        <is>
          <t>TORINO</t>
        </is>
      </c>
      <c r="FK995" s="15" t="n">
        <v>2019</v>
      </c>
      <c r="FL995" s="15" t="inlineStr">
        <is>
          <t>B2PAL</t>
        </is>
      </c>
      <c r="FM995" s="15" t="inlineStr">
        <is>
          <t>LOS LIBERTADORES</t>
        </is>
      </c>
      <c r="FN995" s="15" t="inlineStr">
        <is>
          <t>Los Liberadores 6450, Lote 4A</t>
        </is>
      </c>
      <c r="FO995" s="15" t="inlineStr">
        <is>
          <t>Huechuraba</t>
        </is>
      </c>
      <c r="FP995" t="inlineStr">
        <is>
          <t>B</t>
        </is>
      </c>
      <c r="FS995" s="14" t="inlineStr">
        <is>
          <t>LZPR-85|</t>
        </is>
      </c>
      <c r="FT995" t="inlineStr">
        <is>
          <t>LZPR-85|</t>
        </is>
      </c>
      <c r="FU995" t="inlineStr">
        <is>
          <t>LZPR-85</t>
        </is>
      </c>
      <c r="FV995">
        <f>VLOOKUP(FU995,FD:FL,9,0)</f>
        <v/>
      </c>
    </row>
    <row r="996">
      <c r="FC996" t="inlineStr">
        <is>
          <t>Diccionario 2</t>
        </is>
      </c>
      <c r="FD996" s="15" t="inlineStr">
        <is>
          <t>GCBB-26</t>
        </is>
      </c>
      <c r="FE996" s="15" t="inlineStr">
        <is>
          <t>D8482502K2PL</t>
        </is>
      </c>
      <c r="FF996" s="15" t="inlineStr">
        <is>
          <t>YV3T7U523KA195360</t>
        </is>
      </c>
      <c r="FG996" s="15" t="inlineStr">
        <is>
          <t>Volvo</t>
        </is>
      </c>
      <c r="FH996" s="15" t="inlineStr">
        <is>
          <t>B8R</t>
        </is>
      </c>
      <c r="FI996" s="15" t="inlineStr">
        <is>
          <t>MARCOPOLO</t>
        </is>
      </c>
      <c r="FJ996" s="15" t="inlineStr">
        <is>
          <t>TORINO</t>
        </is>
      </c>
      <c r="FK996" s="15" t="n">
        <v>2019</v>
      </c>
      <c r="FL996" s="15" t="inlineStr">
        <is>
          <t>B2PAL</t>
        </is>
      </c>
      <c r="FM996" s="15" t="inlineStr">
        <is>
          <t>LOS LIBERTADORES</t>
        </is>
      </c>
      <c r="FN996" s="15" t="inlineStr">
        <is>
          <t>Los Liberadores 6450, Lote 4A</t>
        </is>
      </c>
      <c r="FO996" s="15" t="inlineStr">
        <is>
          <t>Huechuraba</t>
        </is>
      </c>
      <c r="FP996" t="inlineStr">
        <is>
          <t>B</t>
        </is>
      </c>
      <c r="FS996" s="14" t="inlineStr">
        <is>
          <t>LZPT-62|</t>
        </is>
      </c>
      <c r="FT996" t="inlineStr">
        <is>
          <t>LZPT-62|</t>
        </is>
      </c>
      <c r="FU996" t="inlineStr">
        <is>
          <t>LZPT-62</t>
        </is>
      </c>
      <c r="FV996">
        <f>VLOOKUP(FU996,FD:FL,9,0)</f>
        <v/>
      </c>
    </row>
    <row r="997">
      <c r="FC997" t="inlineStr">
        <is>
          <t>Diccionario 2</t>
        </is>
      </c>
      <c r="FD997" s="15" t="inlineStr">
        <is>
          <t>GCBB-27</t>
        </is>
      </c>
      <c r="FE997" s="15" t="inlineStr">
        <is>
          <t>D8482597K2PL</t>
        </is>
      </c>
      <c r="FF997" s="15" t="inlineStr">
        <is>
          <t>YV3T7U525KA195361</t>
        </is>
      </c>
      <c r="FG997" s="15" t="inlineStr">
        <is>
          <t>Volvo</t>
        </is>
      </c>
      <c r="FH997" s="15" t="inlineStr">
        <is>
          <t>B8R</t>
        </is>
      </c>
      <c r="FI997" s="15" t="inlineStr">
        <is>
          <t>MARCOPOLO</t>
        </is>
      </c>
      <c r="FJ997" s="15" t="inlineStr">
        <is>
          <t>TORINO</t>
        </is>
      </c>
      <c r="FK997" s="15" t="n">
        <v>2019</v>
      </c>
      <c r="FL997" s="15" t="inlineStr">
        <is>
          <t>B2PAL</t>
        </is>
      </c>
      <c r="FM997" s="15" t="inlineStr">
        <is>
          <t>LOS LIBERTADORES</t>
        </is>
      </c>
      <c r="FN997" s="15" t="inlineStr">
        <is>
          <t>Los Liberadores 6450, Lote 4A</t>
        </is>
      </c>
      <c r="FO997" s="15" t="inlineStr">
        <is>
          <t>Huechuraba</t>
        </is>
      </c>
      <c r="FP997" t="inlineStr">
        <is>
          <t>B</t>
        </is>
      </c>
      <c r="FS997" s="14" t="inlineStr">
        <is>
          <t>LZPG-26|</t>
        </is>
      </c>
      <c r="FT997" t="inlineStr">
        <is>
          <t>LZPG-26|</t>
        </is>
      </c>
      <c r="FU997" t="inlineStr">
        <is>
          <t>LZPG-26</t>
        </is>
      </c>
      <c r="FV997">
        <f>VLOOKUP(FU997,FD:FL,9,0)</f>
        <v/>
      </c>
    </row>
    <row r="998">
      <c r="FC998" t="inlineStr">
        <is>
          <t>Diccionario 2</t>
        </is>
      </c>
      <c r="FD998" s="15" t="inlineStr">
        <is>
          <t>GCBB-28</t>
        </is>
      </c>
      <c r="FE998" s="15" t="inlineStr">
        <is>
          <t>D8481798K2PL</t>
        </is>
      </c>
      <c r="FF998" s="15" t="inlineStr">
        <is>
          <t>YV3T7U527KA195460</t>
        </is>
      </c>
      <c r="FG998" s="15" t="inlineStr">
        <is>
          <t>Volvo</t>
        </is>
      </c>
      <c r="FH998" s="15" t="inlineStr">
        <is>
          <t>B8R</t>
        </is>
      </c>
      <c r="FI998" s="15" t="inlineStr">
        <is>
          <t>MARCOPOLO</t>
        </is>
      </c>
      <c r="FJ998" s="15" t="inlineStr">
        <is>
          <t>TORINO</t>
        </is>
      </c>
      <c r="FK998" s="15" t="n">
        <v>2019</v>
      </c>
      <c r="FL998" s="15" t="inlineStr">
        <is>
          <t>B2PAL</t>
        </is>
      </c>
      <c r="FM998" s="15" t="inlineStr">
        <is>
          <t>LOS LIBERTADORES</t>
        </is>
      </c>
      <c r="FN998" s="15" t="inlineStr">
        <is>
          <t>Los Liberadores 6450, Lote 4A</t>
        </is>
      </c>
      <c r="FO998" s="15" t="inlineStr">
        <is>
          <t>Huechuraba</t>
        </is>
      </c>
      <c r="FP998" t="inlineStr">
        <is>
          <t>B</t>
        </is>
      </c>
      <c r="FS998" s="14" t="inlineStr">
        <is>
          <t>LZRB-86|</t>
        </is>
      </c>
      <c r="FT998" t="inlineStr">
        <is>
          <t>LZRB-86|</t>
        </is>
      </c>
      <c r="FU998" t="inlineStr">
        <is>
          <t>LZRB-86</t>
        </is>
      </c>
      <c r="FV998">
        <f>VLOOKUP(FU998,FD:FL,9,0)</f>
        <v/>
      </c>
    </row>
    <row r="999">
      <c r="FC999" t="inlineStr">
        <is>
          <t>Diccionario 2</t>
        </is>
      </c>
      <c r="FD999" s="15" t="inlineStr">
        <is>
          <t>GCBB-29</t>
        </is>
      </c>
      <c r="FE999" s="15" t="inlineStr">
        <is>
          <t>D8481794K2PL</t>
        </is>
      </c>
      <c r="FF999" s="15" t="inlineStr">
        <is>
          <t>YV3T7U529KA195461</t>
        </is>
      </c>
      <c r="FG999" s="15" t="inlineStr">
        <is>
          <t>Volvo</t>
        </is>
      </c>
      <c r="FH999" s="15" t="inlineStr">
        <is>
          <t>B8R</t>
        </is>
      </c>
      <c r="FI999" s="15" t="inlineStr">
        <is>
          <t>MARCOPOLO</t>
        </is>
      </c>
      <c r="FJ999" s="15" t="inlineStr">
        <is>
          <t>TORINO</t>
        </is>
      </c>
      <c r="FK999" s="15" t="n">
        <v>2019</v>
      </c>
      <c r="FL999" s="15" t="inlineStr">
        <is>
          <t>B2PAL</t>
        </is>
      </c>
      <c r="FM999" s="15" t="inlineStr">
        <is>
          <t>LOS LIBERTADORES</t>
        </is>
      </c>
      <c r="FN999" s="15" t="inlineStr">
        <is>
          <t>Los Liberadores 6450, Lote 4A</t>
        </is>
      </c>
      <c r="FO999" s="15" t="inlineStr">
        <is>
          <t>Huechuraba</t>
        </is>
      </c>
      <c r="FP999" t="inlineStr">
        <is>
          <t>B</t>
        </is>
      </c>
      <c r="FS999" s="14" t="inlineStr">
        <is>
          <t>LZPS-25|</t>
        </is>
      </c>
      <c r="FT999" t="inlineStr">
        <is>
          <t>LZPS-25|</t>
        </is>
      </c>
      <c r="FU999" t="inlineStr">
        <is>
          <t>LZPS-25</t>
        </is>
      </c>
      <c r="FV999">
        <f>VLOOKUP(FU999,FD:FL,9,0)</f>
        <v/>
      </c>
    </row>
    <row r="1000">
      <c r="FC1000" t="inlineStr">
        <is>
          <t>Diccionario 2</t>
        </is>
      </c>
      <c r="FD1000" s="15" t="inlineStr">
        <is>
          <t>GCBB-30</t>
        </is>
      </c>
      <c r="FE1000" s="15" t="inlineStr">
        <is>
          <t>D8483045K2PL</t>
        </is>
      </c>
      <c r="FF1000" s="15" t="inlineStr">
        <is>
          <t>YV3T7U520KA195462</t>
        </is>
      </c>
      <c r="FG1000" s="15" t="inlineStr">
        <is>
          <t>Volvo</t>
        </is>
      </c>
      <c r="FH1000" s="15" t="inlineStr">
        <is>
          <t>B8R</t>
        </is>
      </c>
      <c r="FI1000" s="15" t="inlineStr">
        <is>
          <t>MARCOPOLO</t>
        </is>
      </c>
      <c r="FJ1000" s="15" t="inlineStr">
        <is>
          <t>TORINO</t>
        </is>
      </c>
      <c r="FK1000" s="15" t="n">
        <v>2019</v>
      </c>
      <c r="FL1000" s="15" t="inlineStr">
        <is>
          <t>B2PAL</t>
        </is>
      </c>
      <c r="FM1000" s="15" t="inlineStr">
        <is>
          <t>LOS LIBERTADORES</t>
        </is>
      </c>
      <c r="FN1000" s="15" t="inlineStr">
        <is>
          <t>Los Liberadores 6450, Lote 4A</t>
        </is>
      </c>
      <c r="FO1000" s="15" t="inlineStr">
        <is>
          <t>Huechuraba</t>
        </is>
      </c>
      <c r="FP1000" t="inlineStr">
        <is>
          <t>B</t>
        </is>
      </c>
      <c r="FS1000" s="14" t="inlineStr">
        <is>
          <t>LZPT-54|</t>
        </is>
      </c>
      <c r="FT1000" t="inlineStr">
        <is>
          <t>LZPT-54|</t>
        </is>
      </c>
      <c r="FU1000" t="inlineStr">
        <is>
          <t>LZPT-54</t>
        </is>
      </c>
      <c r="FV1000">
        <f>VLOOKUP(FU1000,FD:FL,9,0)</f>
        <v/>
      </c>
    </row>
    <row r="1001">
      <c r="FC1001" t="inlineStr">
        <is>
          <t>Diccionario 2</t>
        </is>
      </c>
      <c r="FD1001" s="15" t="inlineStr">
        <is>
          <t>GCBB-31</t>
        </is>
      </c>
      <c r="FE1001" s="15" t="inlineStr">
        <is>
          <t>D8483063K2PL</t>
        </is>
      </c>
      <c r="FF1001" s="15" t="inlineStr">
        <is>
          <t>YV3T7U522KA195463</t>
        </is>
      </c>
      <c r="FG1001" s="15" t="inlineStr">
        <is>
          <t>Volvo</t>
        </is>
      </c>
      <c r="FH1001" s="15" t="inlineStr">
        <is>
          <t>B8R</t>
        </is>
      </c>
      <c r="FI1001" s="15" t="inlineStr">
        <is>
          <t>MARCOPOLO</t>
        </is>
      </c>
      <c r="FJ1001" s="15" t="inlineStr">
        <is>
          <t>TORINO</t>
        </is>
      </c>
      <c r="FK1001" s="15" t="n">
        <v>2019</v>
      </c>
      <c r="FL1001" s="15" t="inlineStr">
        <is>
          <t>B2PAL</t>
        </is>
      </c>
      <c r="FM1001" s="15" t="inlineStr">
        <is>
          <t>LOS LIBERTADORES</t>
        </is>
      </c>
      <c r="FN1001" s="15" t="inlineStr">
        <is>
          <t>Los Liberadores 6450, Lote 4A</t>
        </is>
      </c>
      <c r="FO1001" s="15" t="inlineStr">
        <is>
          <t>Huechuraba</t>
        </is>
      </c>
      <c r="FP1001" t="inlineStr">
        <is>
          <t>B</t>
        </is>
      </c>
      <c r="FS1001" s="14" t="inlineStr">
        <is>
          <t>9925 / SXKV-97|</t>
        </is>
      </c>
      <c r="FT1001" t="inlineStr">
        <is>
          <t>SXKV-97|</t>
        </is>
      </c>
      <c r="FU1001" t="inlineStr">
        <is>
          <t>SXKV-97</t>
        </is>
      </c>
      <c r="FV1001">
        <f>VLOOKUP(FU1001,FD:FL,9,0)</f>
        <v/>
      </c>
    </row>
    <row r="1002">
      <c r="FC1002" t="inlineStr">
        <is>
          <t>Diccionario 2</t>
        </is>
      </c>
      <c r="FD1002" s="15" t="inlineStr">
        <is>
          <t>GCBB-32</t>
        </is>
      </c>
      <c r="FE1002" s="15" t="inlineStr">
        <is>
          <t>D8483109K2PL</t>
        </is>
      </c>
      <c r="FF1002" s="15" t="inlineStr">
        <is>
          <t>YV3T7U523KA195486</t>
        </is>
      </c>
      <c r="FG1002" s="15" t="inlineStr">
        <is>
          <t>Volvo</t>
        </is>
      </c>
      <c r="FH1002" s="15" t="inlineStr">
        <is>
          <t>B8R</t>
        </is>
      </c>
      <c r="FI1002" s="15" t="inlineStr">
        <is>
          <t>MARCOPOLO</t>
        </is>
      </c>
      <c r="FJ1002" s="15" t="inlineStr">
        <is>
          <t>TORINO</t>
        </is>
      </c>
      <c r="FK1002" s="15" t="n">
        <v>2019</v>
      </c>
      <c r="FL1002" s="15" t="inlineStr">
        <is>
          <t>B2PAL</t>
        </is>
      </c>
      <c r="FM1002" s="15" t="inlineStr">
        <is>
          <t>LOS LIBERTADORES</t>
        </is>
      </c>
      <c r="FN1002" s="15" t="inlineStr">
        <is>
          <t>Los Liberadores 6450, Lote 4A</t>
        </is>
      </c>
      <c r="FO1002" s="15" t="inlineStr">
        <is>
          <t>Huechuraba</t>
        </is>
      </c>
      <c r="FP1002" t="inlineStr">
        <is>
          <t>B</t>
        </is>
      </c>
      <c r="FS1002" s="14" t="inlineStr">
        <is>
          <t>LZPT-41|</t>
        </is>
      </c>
      <c r="FT1002" t="inlineStr">
        <is>
          <t>LZPT-41|</t>
        </is>
      </c>
      <c r="FU1002" t="inlineStr">
        <is>
          <t>LZPT-41</t>
        </is>
      </c>
      <c r="FV1002">
        <f>VLOOKUP(FU1002,FD:FL,9,0)</f>
        <v/>
      </c>
    </row>
    <row r="1003">
      <c r="FC1003" t="inlineStr">
        <is>
          <t>Diccionario 2</t>
        </is>
      </c>
      <c r="FD1003" s="15" t="inlineStr">
        <is>
          <t>GCBC-33</t>
        </is>
      </c>
      <c r="FE1003" s="15" t="inlineStr">
        <is>
          <t>D8483197K2PL</t>
        </is>
      </c>
      <c r="FF1003" s="15" t="inlineStr">
        <is>
          <t>YV3T7U526KA195532</t>
        </is>
      </c>
      <c r="FG1003" s="15" t="inlineStr">
        <is>
          <t>Volvo</t>
        </is>
      </c>
      <c r="FH1003" s="15" t="inlineStr">
        <is>
          <t>B8R</t>
        </is>
      </c>
      <c r="FI1003" s="15" t="inlineStr">
        <is>
          <t>MARCOPOLO</t>
        </is>
      </c>
      <c r="FJ1003" s="15" t="inlineStr">
        <is>
          <t>TORINO</t>
        </is>
      </c>
      <c r="FK1003" s="15" t="n">
        <v>2019</v>
      </c>
      <c r="FL1003" s="15" t="inlineStr">
        <is>
          <t>B2PAL</t>
        </is>
      </c>
      <c r="FM1003" s="15" t="inlineStr">
        <is>
          <t>LOS LIBERTADORES</t>
        </is>
      </c>
      <c r="FN1003" s="15" t="inlineStr">
        <is>
          <t>Los Liberadores 6450, Lote 4A</t>
        </is>
      </c>
      <c r="FO1003" s="15" t="inlineStr">
        <is>
          <t>Huechuraba</t>
        </is>
      </c>
      <c r="FP1003" t="inlineStr">
        <is>
          <t>B</t>
        </is>
      </c>
      <c r="FS1003" s="14" t="inlineStr">
        <is>
          <t>LZPR-93|</t>
        </is>
      </c>
      <c r="FT1003" t="inlineStr">
        <is>
          <t>LZPR-93|</t>
        </is>
      </c>
      <c r="FU1003" t="inlineStr">
        <is>
          <t>LZPR-93</t>
        </is>
      </c>
      <c r="FV1003">
        <f>VLOOKUP(FU1003,FD:FL,9,0)</f>
        <v/>
      </c>
    </row>
    <row r="1004">
      <c r="FC1004" t="inlineStr">
        <is>
          <t>Diccionario 2</t>
        </is>
      </c>
      <c r="FD1004" s="15" t="inlineStr">
        <is>
          <t>GCBB-34</t>
        </is>
      </c>
      <c r="FE1004" s="15" t="inlineStr">
        <is>
          <t>D8483194K2PL</t>
        </is>
      </c>
      <c r="FF1004" s="15" t="inlineStr">
        <is>
          <t>YV3T7U528KA195533</t>
        </is>
      </c>
      <c r="FG1004" s="15" t="inlineStr">
        <is>
          <t>Volvo</t>
        </is>
      </c>
      <c r="FH1004" s="15" t="inlineStr">
        <is>
          <t>B8R</t>
        </is>
      </c>
      <c r="FI1004" s="15" t="inlineStr">
        <is>
          <t>MARCOPOLO</t>
        </is>
      </c>
      <c r="FJ1004" s="15" t="inlineStr">
        <is>
          <t>TORINO</t>
        </is>
      </c>
      <c r="FK1004" s="15" t="n">
        <v>2019</v>
      </c>
      <c r="FL1004" s="15" t="inlineStr">
        <is>
          <t>B2PAL</t>
        </is>
      </c>
      <c r="FM1004" s="15" t="inlineStr">
        <is>
          <t>LOS LIBERTADORES</t>
        </is>
      </c>
      <c r="FN1004" s="15" t="inlineStr">
        <is>
          <t>Los Liberadores 6450, Lote 4A</t>
        </is>
      </c>
      <c r="FO1004" s="15" t="inlineStr">
        <is>
          <t>Huechuraba</t>
        </is>
      </c>
      <c r="FP1004" t="inlineStr">
        <is>
          <t>B</t>
        </is>
      </c>
      <c r="FS1004" s="14" t="inlineStr">
        <is>
          <t>LZPT-49|</t>
        </is>
      </c>
      <c r="FT1004" t="inlineStr">
        <is>
          <t>LZPT-49|</t>
        </is>
      </c>
      <c r="FU1004" t="inlineStr">
        <is>
          <t>LZPT-49</t>
        </is>
      </c>
      <c r="FV1004">
        <f>VLOOKUP(FU1004,FD:FL,9,0)</f>
        <v/>
      </c>
    </row>
    <row r="1005">
      <c r="FC1005" t="inlineStr">
        <is>
          <t>Diccionario 2</t>
        </is>
      </c>
      <c r="FD1005" s="15" t="inlineStr">
        <is>
          <t>FLXZ-97</t>
        </is>
      </c>
      <c r="FE1005" s="15" t="inlineStr">
        <is>
          <t>D8478297K2PL</t>
        </is>
      </c>
      <c r="FF1005" s="15" t="inlineStr">
        <is>
          <t>YV3T7U528KA195144</t>
        </is>
      </c>
      <c r="FG1005" s="15" t="inlineStr">
        <is>
          <t>Volvo</t>
        </is>
      </c>
      <c r="FH1005" s="15" t="inlineStr">
        <is>
          <t>B8R</t>
        </is>
      </c>
      <c r="FI1005" s="15" t="inlineStr">
        <is>
          <t>MARCOPOLO</t>
        </is>
      </c>
      <c r="FJ1005" s="15" t="inlineStr">
        <is>
          <t>TORINO</t>
        </is>
      </c>
      <c r="FK1005" s="15" t="n">
        <v>2019</v>
      </c>
      <c r="FL1005" s="15" t="inlineStr">
        <is>
          <t>B2PAL</t>
        </is>
      </c>
      <c r="FM1005" s="15" t="inlineStr">
        <is>
          <t>LOS LIBERTADORES</t>
        </is>
      </c>
      <c r="FN1005" s="15" t="inlineStr">
        <is>
          <t>Los Liberadores 6450, Lote 4A</t>
        </is>
      </c>
      <c r="FO1005" s="15" t="inlineStr">
        <is>
          <t>Huechuraba</t>
        </is>
      </c>
      <c r="FP1005" t="inlineStr">
        <is>
          <t>B</t>
        </is>
      </c>
      <c r="FS1005" s="14" t="inlineStr">
        <is>
          <t>LZPT-39|</t>
        </is>
      </c>
      <c r="FT1005" t="inlineStr">
        <is>
          <t>LZPT-39|</t>
        </is>
      </c>
      <c r="FU1005" t="inlineStr">
        <is>
          <t>LZPT-39</t>
        </is>
      </c>
      <c r="FV1005">
        <f>VLOOKUP(FU1005,FD:FL,9,0)</f>
        <v/>
      </c>
    </row>
    <row r="1006">
      <c r="FC1006" t="inlineStr">
        <is>
          <t>Diccionario 2</t>
        </is>
      </c>
      <c r="FD1006" s="15" t="inlineStr">
        <is>
          <t>GCBB-35</t>
        </is>
      </c>
      <c r="FE1006" s="15" t="inlineStr">
        <is>
          <t>D8483221K2PL</t>
        </is>
      </c>
      <c r="FF1006" s="15" t="inlineStr">
        <is>
          <t>YV3T7U521KA195535</t>
        </is>
      </c>
      <c r="FG1006" s="15" t="inlineStr">
        <is>
          <t>Volvo</t>
        </is>
      </c>
      <c r="FH1006" s="15" t="inlineStr">
        <is>
          <t>B8R</t>
        </is>
      </c>
      <c r="FI1006" s="15" t="inlineStr">
        <is>
          <t>MARCOPOLO</t>
        </is>
      </c>
      <c r="FJ1006" s="15" t="inlineStr">
        <is>
          <t>TORINO</t>
        </is>
      </c>
      <c r="FK1006" s="15" t="n">
        <v>2019</v>
      </c>
      <c r="FL1006" s="15" t="inlineStr">
        <is>
          <t>B2PAL</t>
        </is>
      </c>
      <c r="FM1006" s="15" t="inlineStr">
        <is>
          <t>LOS LIBERTADORES</t>
        </is>
      </c>
      <c r="FN1006" s="15" t="inlineStr">
        <is>
          <t>Los Liberadores 6450, Lote 4A</t>
        </is>
      </c>
      <c r="FO1006" s="15" t="inlineStr">
        <is>
          <t>Huechuraba</t>
        </is>
      </c>
      <c r="FP1006" t="inlineStr">
        <is>
          <t>B</t>
        </is>
      </c>
      <c r="FS1006" s="14" t="inlineStr">
        <is>
          <t>LZRB-85|</t>
        </is>
      </c>
      <c r="FT1006" t="inlineStr">
        <is>
          <t>LZRB-85|</t>
        </is>
      </c>
      <c r="FU1006" t="inlineStr">
        <is>
          <t>LZRB-85</t>
        </is>
      </c>
      <c r="FV1006">
        <f>VLOOKUP(FU1006,FD:FL,9,0)</f>
        <v/>
      </c>
    </row>
    <row r="1007">
      <c r="FC1007" t="inlineStr">
        <is>
          <t>Diccionario 2</t>
        </is>
      </c>
      <c r="FD1007" s="15" t="inlineStr">
        <is>
          <t>GCBB-36</t>
        </is>
      </c>
      <c r="FE1007" s="15" t="inlineStr">
        <is>
          <t>D89303077</t>
        </is>
      </c>
      <c r="FF1007" s="15" t="inlineStr">
        <is>
          <t>YV3T7U523KA195553</t>
        </is>
      </c>
      <c r="FG1007" s="15" t="inlineStr">
        <is>
          <t>Volvo</t>
        </is>
      </c>
      <c r="FH1007" s="15" t="inlineStr">
        <is>
          <t>B8R</t>
        </is>
      </c>
      <c r="FI1007" s="15" t="inlineStr">
        <is>
          <t>MARCOPOLO</t>
        </is>
      </c>
      <c r="FJ1007" s="15" t="inlineStr">
        <is>
          <t>TORINO</t>
        </is>
      </c>
      <c r="FK1007" s="15" t="n">
        <v>2019</v>
      </c>
      <c r="FL1007" s="15" t="inlineStr">
        <is>
          <t>B2PAL</t>
        </is>
      </c>
      <c r="FM1007" s="15" t="inlineStr">
        <is>
          <t>LOS LIBERTADORES</t>
        </is>
      </c>
      <c r="FN1007" s="15" t="inlineStr">
        <is>
          <t>Los Liberadores 6450, Lote 4A</t>
        </is>
      </c>
      <c r="FO1007" s="15" t="inlineStr">
        <is>
          <t>Huechuraba</t>
        </is>
      </c>
      <c r="FP1007" t="inlineStr">
        <is>
          <t>B</t>
        </is>
      </c>
      <c r="FS1007" s="14" t="inlineStr">
        <is>
          <t>LZPR-86|</t>
        </is>
      </c>
      <c r="FT1007" t="inlineStr">
        <is>
          <t>LZPR-86|</t>
        </is>
      </c>
      <c r="FU1007" t="inlineStr">
        <is>
          <t>LZPR-86</t>
        </is>
      </c>
      <c r="FV1007">
        <f>VLOOKUP(FU1007,FD:FL,9,0)</f>
        <v/>
      </c>
    </row>
    <row r="1008">
      <c r="FC1008" t="inlineStr">
        <is>
          <t>Diccionario 2</t>
        </is>
      </c>
      <c r="FD1008" s="15" t="inlineStr">
        <is>
          <t>GCBB-37</t>
        </is>
      </c>
      <c r="FE1008" s="15" t="inlineStr">
        <is>
          <t>D8483453K2PL</t>
        </is>
      </c>
      <c r="FF1008" s="15" t="inlineStr">
        <is>
          <t>YV3T7U527KA195572</t>
        </is>
      </c>
      <c r="FG1008" s="15" t="inlineStr">
        <is>
          <t>Volvo</t>
        </is>
      </c>
      <c r="FH1008" s="15" t="inlineStr">
        <is>
          <t>B8R</t>
        </is>
      </c>
      <c r="FI1008" s="15" t="inlineStr">
        <is>
          <t>MARCOPOLO</t>
        </is>
      </c>
      <c r="FJ1008" s="15" t="inlineStr">
        <is>
          <t>TORINO</t>
        </is>
      </c>
      <c r="FK1008" s="15" t="n">
        <v>2019</v>
      </c>
      <c r="FL1008" s="15" t="inlineStr">
        <is>
          <t>B2PAL</t>
        </is>
      </c>
      <c r="FM1008" s="15" t="inlineStr">
        <is>
          <t>LOS LIBERTADORES</t>
        </is>
      </c>
      <c r="FN1008" s="15" t="inlineStr">
        <is>
          <t>Los Liberadores 6450, Lote 4A</t>
        </is>
      </c>
      <c r="FO1008" s="15" t="inlineStr">
        <is>
          <t>Huechuraba</t>
        </is>
      </c>
      <c r="FP1008" t="inlineStr">
        <is>
          <t>B</t>
        </is>
      </c>
      <c r="FS1008" s="14" t="inlineStr">
        <is>
          <t>LZRB-83|</t>
        </is>
      </c>
      <c r="FT1008" t="inlineStr">
        <is>
          <t>LZRB-83|</t>
        </is>
      </c>
      <c r="FU1008" t="inlineStr">
        <is>
          <t>LZRB-83</t>
        </is>
      </c>
      <c r="FV1008">
        <f>VLOOKUP(FU1008,FD:FL,9,0)</f>
        <v/>
      </c>
    </row>
    <row r="1009">
      <c r="FC1009" t="inlineStr">
        <is>
          <t>Diccionario 2</t>
        </is>
      </c>
      <c r="FD1009" s="15" t="inlineStr">
        <is>
          <t>GCBB-38</t>
        </is>
      </c>
      <c r="FE1009" s="15" t="inlineStr">
        <is>
          <t>D8483890K2PL</t>
        </is>
      </c>
      <c r="FF1009" s="15" t="inlineStr">
        <is>
          <t>YV3T7U520KA195574</t>
        </is>
      </c>
      <c r="FG1009" s="15" t="inlineStr">
        <is>
          <t>Volvo</t>
        </is>
      </c>
      <c r="FH1009" s="15" t="inlineStr">
        <is>
          <t>B8R</t>
        </is>
      </c>
      <c r="FI1009" s="15" t="inlineStr">
        <is>
          <t>MARCOPOLO</t>
        </is>
      </c>
      <c r="FJ1009" s="15" t="inlineStr">
        <is>
          <t>TORINO</t>
        </is>
      </c>
      <c r="FK1009" s="15" t="n">
        <v>2019</v>
      </c>
      <c r="FL1009" s="15" t="inlineStr">
        <is>
          <t>B2PAL</t>
        </is>
      </c>
      <c r="FM1009" s="15" t="inlineStr">
        <is>
          <t>LOS LIBERTADORES</t>
        </is>
      </c>
      <c r="FN1009" s="15" t="inlineStr">
        <is>
          <t>Los Liberadores 6450, Lote 4A</t>
        </is>
      </c>
      <c r="FO1009" s="15" t="inlineStr">
        <is>
          <t>Huechuraba</t>
        </is>
      </c>
      <c r="FP1009" t="inlineStr">
        <is>
          <t>B</t>
        </is>
      </c>
      <c r="FS1009" s="14" t="inlineStr">
        <is>
          <t>LZPT-43|</t>
        </is>
      </c>
      <c r="FT1009" t="inlineStr">
        <is>
          <t>LZPT-43|</t>
        </is>
      </c>
      <c r="FU1009" t="inlineStr">
        <is>
          <t>LZPT-43</t>
        </is>
      </c>
      <c r="FV1009">
        <f>VLOOKUP(FU1009,FD:FL,9,0)</f>
        <v/>
      </c>
    </row>
    <row r="1010">
      <c r="FC1010" t="inlineStr">
        <is>
          <t>Diccionario 2</t>
        </is>
      </c>
      <c r="FD1010" s="15" t="inlineStr">
        <is>
          <t>GCBB-39</t>
        </is>
      </c>
      <c r="FE1010" s="15" t="inlineStr">
        <is>
          <t>D8478276K2PL</t>
        </is>
      </c>
      <c r="FF1010" s="15" t="inlineStr">
        <is>
          <t>YV3T7U522KA195141</t>
        </is>
      </c>
      <c r="FG1010" s="15" t="inlineStr">
        <is>
          <t>Volvo</t>
        </is>
      </c>
      <c r="FH1010" s="15" t="inlineStr">
        <is>
          <t>B8R</t>
        </is>
      </c>
      <c r="FI1010" s="15" t="inlineStr">
        <is>
          <t>MARCOPOLO</t>
        </is>
      </c>
      <c r="FJ1010" s="15" t="inlineStr">
        <is>
          <t>TORINO</t>
        </is>
      </c>
      <c r="FK1010" s="15" t="n">
        <v>2019</v>
      </c>
      <c r="FL1010" s="15" t="inlineStr">
        <is>
          <t>B2PAL</t>
        </is>
      </c>
      <c r="FM1010" s="15" t="inlineStr">
        <is>
          <t>LOS LIBERTADORES</t>
        </is>
      </c>
      <c r="FN1010" s="15" t="inlineStr">
        <is>
          <t>Los Liberadores 6450, Lote 4A</t>
        </is>
      </c>
      <c r="FO1010" s="15" t="inlineStr">
        <is>
          <t>Huechuraba</t>
        </is>
      </c>
      <c r="FP1010" t="inlineStr">
        <is>
          <t>B</t>
        </is>
      </c>
      <c r="FS1010" s="14" t="inlineStr">
        <is>
          <t>LZPV-99|</t>
        </is>
      </c>
      <c r="FT1010" t="inlineStr">
        <is>
          <t>LZPV-99|</t>
        </is>
      </c>
      <c r="FU1010" t="inlineStr">
        <is>
          <t>LZPV-99</t>
        </is>
      </c>
      <c r="FV1010">
        <f>VLOOKUP(FU1010,FD:FL,9,0)</f>
        <v/>
      </c>
    </row>
    <row r="1011">
      <c r="FC1011" t="inlineStr">
        <is>
          <t>Diccionario 2</t>
        </is>
      </c>
      <c r="FD1011" s="15" t="inlineStr">
        <is>
          <t>GCBB-40</t>
        </is>
      </c>
      <c r="FE1011" s="15" t="inlineStr">
        <is>
          <t>D8481604K2PL</t>
        </is>
      </c>
      <c r="FF1011" s="15" t="inlineStr">
        <is>
          <t>YV3T7U52XKA195145</t>
        </is>
      </c>
      <c r="FG1011" s="15" t="inlineStr">
        <is>
          <t>Volvo</t>
        </is>
      </c>
      <c r="FH1011" s="15" t="inlineStr">
        <is>
          <t>B8R</t>
        </is>
      </c>
      <c r="FI1011" s="15" t="inlineStr">
        <is>
          <t>MARCOPOLO</t>
        </is>
      </c>
      <c r="FJ1011" s="15" t="inlineStr">
        <is>
          <t>TORINO</t>
        </is>
      </c>
      <c r="FK1011" s="15" t="n">
        <v>2019</v>
      </c>
      <c r="FL1011" s="15" t="inlineStr">
        <is>
          <t>B2PAL</t>
        </is>
      </c>
      <c r="FM1011" s="15" t="inlineStr">
        <is>
          <t>LOS LIBERTADORES</t>
        </is>
      </c>
      <c r="FN1011" s="15" t="inlineStr">
        <is>
          <t>Los Liberadores 6450, Lote 4A</t>
        </is>
      </c>
      <c r="FO1011" s="15" t="inlineStr">
        <is>
          <t>Huechuraba</t>
        </is>
      </c>
      <c r="FP1011" t="inlineStr">
        <is>
          <t>B</t>
        </is>
      </c>
      <c r="FS1011" s="14" t="inlineStr">
        <is>
          <t>LZPT-74|</t>
        </is>
      </c>
      <c r="FT1011" t="inlineStr">
        <is>
          <t>LZPT-74|</t>
        </is>
      </c>
      <c r="FU1011" t="inlineStr">
        <is>
          <t>LZPT-74</t>
        </is>
      </c>
      <c r="FV1011">
        <f>VLOOKUP(FU1011,FD:FL,9,0)</f>
        <v/>
      </c>
    </row>
    <row r="1012">
      <c r="FC1012" t="inlineStr">
        <is>
          <t>Diccionario 2</t>
        </is>
      </c>
      <c r="FD1012" s="15" t="inlineStr">
        <is>
          <t>GCBB-41</t>
        </is>
      </c>
      <c r="FE1012" s="15" t="inlineStr">
        <is>
          <t>D8481609K2PL</t>
        </is>
      </c>
      <c r="FF1012" s="15" t="inlineStr">
        <is>
          <t>YV3T7U521KA195146</t>
        </is>
      </c>
      <c r="FG1012" s="15" t="inlineStr">
        <is>
          <t>Volvo</t>
        </is>
      </c>
      <c r="FH1012" s="15" t="inlineStr">
        <is>
          <t>B8R</t>
        </is>
      </c>
      <c r="FI1012" s="15" t="inlineStr">
        <is>
          <t>MARCOPOLO</t>
        </is>
      </c>
      <c r="FJ1012" s="15" t="inlineStr">
        <is>
          <t>TORINO</t>
        </is>
      </c>
      <c r="FK1012" s="15" t="n">
        <v>2019</v>
      </c>
      <c r="FL1012" s="15" t="inlineStr">
        <is>
          <t>B2PAL</t>
        </is>
      </c>
      <c r="FM1012" s="15" t="inlineStr">
        <is>
          <t>LOS LIBERTADORES</t>
        </is>
      </c>
      <c r="FN1012" s="15" t="inlineStr">
        <is>
          <t>Los Liberadores 6450, Lote 4A</t>
        </is>
      </c>
      <c r="FO1012" s="15" t="inlineStr">
        <is>
          <t>Huechuraba</t>
        </is>
      </c>
      <c r="FP1012" t="inlineStr">
        <is>
          <t>B</t>
        </is>
      </c>
      <c r="FS1012" s="14" t="inlineStr">
        <is>
          <t>LZPS-16|</t>
        </is>
      </c>
      <c r="FT1012" t="inlineStr">
        <is>
          <t>LZPS-16|</t>
        </is>
      </c>
      <c r="FU1012" t="inlineStr">
        <is>
          <t>LZPS-16</t>
        </is>
      </c>
      <c r="FV1012">
        <f>VLOOKUP(FU1012,FD:FL,9,0)</f>
        <v/>
      </c>
    </row>
    <row r="1013">
      <c r="FC1013" t="inlineStr">
        <is>
          <t>Diccionario 2</t>
        </is>
      </c>
      <c r="FD1013" s="15" t="inlineStr">
        <is>
          <t>GCBB-42</t>
        </is>
      </c>
      <c r="FE1013" s="15" t="inlineStr">
        <is>
          <t>D8478221K2PL</t>
        </is>
      </c>
      <c r="FF1013" s="15" t="inlineStr">
        <is>
          <t>YV3T7U523KA195147</t>
        </is>
      </c>
      <c r="FG1013" s="15" t="inlineStr">
        <is>
          <t>Volvo</t>
        </is>
      </c>
      <c r="FH1013" s="15" t="inlineStr">
        <is>
          <t>B8R</t>
        </is>
      </c>
      <c r="FI1013" s="15" t="inlineStr">
        <is>
          <t>MARCOPOLO</t>
        </is>
      </c>
      <c r="FJ1013" s="15" t="inlineStr">
        <is>
          <t>TORINO</t>
        </is>
      </c>
      <c r="FK1013" s="15" t="n">
        <v>2019</v>
      </c>
      <c r="FL1013" s="15" t="inlineStr">
        <is>
          <t>B2PAL</t>
        </is>
      </c>
      <c r="FM1013" s="15" t="inlineStr">
        <is>
          <t>LOS LIBERTADORES</t>
        </is>
      </c>
      <c r="FN1013" s="15" t="inlineStr">
        <is>
          <t>Los Liberadores 6450, Lote 4A</t>
        </is>
      </c>
      <c r="FO1013" s="15" t="inlineStr">
        <is>
          <t>Huechuraba</t>
        </is>
      </c>
      <c r="FP1013" t="inlineStr">
        <is>
          <t>B</t>
        </is>
      </c>
      <c r="FS1013" s="14" t="inlineStr">
        <is>
          <t>GCBF-50|</t>
        </is>
      </c>
      <c r="FT1013" t="inlineStr">
        <is>
          <t>GCBF-50|</t>
        </is>
      </c>
      <c r="FU1013" t="inlineStr">
        <is>
          <t>GCBF-50</t>
        </is>
      </c>
      <c r="FV1013">
        <f>VLOOKUP(FU1013,FD:FL,9,0)</f>
        <v/>
      </c>
    </row>
    <row r="1014">
      <c r="FC1014" t="inlineStr">
        <is>
          <t>Diccionario 2</t>
        </is>
      </c>
      <c r="FD1014" s="15" t="inlineStr">
        <is>
          <t>GCBB-43</t>
        </is>
      </c>
      <c r="FE1014" s="15" t="inlineStr">
        <is>
          <t>D8478290K2PL</t>
        </is>
      </c>
      <c r="FF1014" s="15" t="inlineStr">
        <is>
          <t>YV3T7U525KA195148</t>
        </is>
      </c>
      <c r="FG1014" s="15" t="inlineStr">
        <is>
          <t>Volvo</t>
        </is>
      </c>
      <c r="FH1014" s="15" t="inlineStr">
        <is>
          <t>B8R</t>
        </is>
      </c>
      <c r="FI1014" s="15" t="inlineStr">
        <is>
          <t>MARCOPOLO</t>
        </is>
      </c>
      <c r="FJ1014" s="15" t="inlineStr">
        <is>
          <t>TORINO</t>
        </is>
      </c>
      <c r="FK1014" s="15" t="n">
        <v>2019</v>
      </c>
      <c r="FL1014" s="15" t="inlineStr">
        <is>
          <t>B2PAL</t>
        </is>
      </c>
      <c r="FM1014" s="15" t="inlineStr">
        <is>
          <t>LOS LIBERTADORES</t>
        </is>
      </c>
      <c r="FN1014" s="15" t="inlineStr">
        <is>
          <t>Los Liberadores 6450, Lote 4A</t>
        </is>
      </c>
      <c r="FO1014" s="15" t="inlineStr">
        <is>
          <t>Huechuraba</t>
        </is>
      </c>
      <c r="FP1014" t="inlineStr">
        <is>
          <t>B</t>
        </is>
      </c>
      <c r="FS1014" s="14" t="inlineStr">
        <is>
          <t>LZPS-15|</t>
        </is>
      </c>
      <c r="FT1014" t="inlineStr">
        <is>
          <t>LZPS-15|</t>
        </is>
      </c>
      <c r="FU1014" t="inlineStr">
        <is>
          <t>LZPS-15</t>
        </is>
      </c>
      <c r="FV1014">
        <f>VLOOKUP(FU1014,FD:FL,9,0)</f>
        <v/>
      </c>
    </row>
    <row r="1015">
      <c r="FC1015" t="inlineStr">
        <is>
          <t>Diccionario 2</t>
        </is>
      </c>
      <c r="FD1015" s="15" t="inlineStr">
        <is>
          <t>GCBB-44</t>
        </is>
      </c>
      <c r="FE1015" s="15" t="inlineStr">
        <is>
          <t>D8481517K2PL</t>
        </is>
      </c>
      <c r="FF1015" s="15" t="inlineStr">
        <is>
          <t>YV3T7U520KA195171</t>
        </is>
      </c>
      <c r="FG1015" s="15" t="inlineStr">
        <is>
          <t>Volvo</t>
        </is>
      </c>
      <c r="FH1015" s="15" t="inlineStr">
        <is>
          <t>B8R</t>
        </is>
      </c>
      <c r="FI1015" s="15" t="inlineStr">
        <is>
          <t>MARCOPOLO</t>
        </is>
      </c>
      <c r="FJ1015" s="15" t="inlineStr">
        <is>
          <t>TORINO</t>
        </is>
      </c>
      <c r="FK1015" s="15" t="n">
        <v>2019</v>
      </c>
      <c r="FL1015" s="15" t="inlineStr">
        <is>
          <t>B2PAL</t>
        </is>
      </c>
      <c r="FM1015" s="15" t="inlineStr">
        <is>
          <t>LOS LIBERTADORES</t>
        </is>
      </c>
      <c r="FN1015" s="15" t="inlineStr">
        <is>
          <t>Los Liberadores 6450, Lote 4A</t>
        </is>
      </c>
      <c r="FO1015" s="15" t="inlineStr">
        <is>
          <t>Huechuraba</t>
        </is>
      </c>
      <c r="FP1015" t="inlineStr">
        <is>
          <t>B</t>
        </is>
      </c>
      <c r="FS1015" s="14" t="inlineStr">
        <is>
          <t>GCBF-44|</t>
        </is>
      </c>
      <c r="FT1015" t="inlineStr">
        <is>
          <t>GCBF-44|</t>
        </is>
      </c>
      <c r="FU1015" t="inlineStr">
        <is>
          <t>GCBF-44</t>
        </is>
      </c>
      <c r="FV1015">
        <f>VLOOKUP(FU1015,FD:FL,9,0)</f>
        <v/>
      </c>
    </row>
    <row r="1016">
      <c r="FC1016" t="inlineStr">
        <is>
          <t>Diccionario 2</t>
        </is>
      </c>
      <c r="FD1016" s="15" t="inlineStr">
        <is>
          <t>FLXZ-98</t>
        </is>
      </c>
      <c r="FE1016" s="15" t="inlineStr">
        <is>
          <t>D8481625K2PL</t>
        </is>
      </c>
      <c r="FF1016" s="15" t="inlineStr">
        <is>
          <t>YV3T7U526KA195174</t>
        </is>
      </c>
      <c r="FG1016" s="15" t="inlineStr">
        <is>
          <t>Volvo</t>
        </is>
      </c>
      <c r="FH1016" s="15" t="inlineStr">
        <is>
          <t>B8R</t>
        </is>
      </c>
      <c r="FI1016" s="15" t="inlineStr">
        <is>
          <t>MARCOPOLO</t>
        </is>
      </c>
      <c r="FJ1016" s="15" t="inlineStr">
        <is>
          <t>TORINO</t>
        </is>
      </c>
      <c r="FK1016" s="15" t="n">
        <v>2019</v>
      </c>
      <c r="FL1016" s="15" t="inlineStr">
        <is>
          <t>B2PAL</t>
        </is>
      </c>
      <c r="FM1016" s="15" t="inlineStr">
        <is>
          <t>LOS LIBERTADORES</t>
        </is>
      </c>
      <c r="FN1016" s="15" t="inlineStr">
        <is>
          <t>Los Liberadores 6450, Lote 4A</t>
        </is>
      </c>
      <c r="FO1016" s="15" t="inlineStr">
        <is>
          <t>Huechuraba</t>
        </is>
      </c>
      <c r="FP1016" t="inlineStr">
        <is>
          <t>B</t>
        </is>
      </c>
      <c r="FS1016" s="14" t="inlineStr">
        <is>
          <t>LZPT-61|</t>
        </is>
      </c>
      <c r="FT1016" t="inlineStr">
        <is>
          <t>LZPT-61|</t>
        </is>
      </c>
      <c r="FU1016" t="inlineStr">
        <is>
          <t>LZPT-61</t>
        </is>
      </c>
      <c r="FV1016">
        <f>VLOOKUP(FU1016,FD:FL,9,0)</f>
        <v/>
      </c>
    </row>
    <row r="1017">
      <c r="FC1017" t="inlineStr">
        <is>
          <t>Diccionario 2</t>
        </is>
      </c>
      <c r="FD1017" s="15" t="inlineStr">
        <is>
          <t>GCBB-45</t>
        </is>
      </c>
      <c r="FE1017" s="15" t="inlineStr">
        <is>
          <t>D8481615K2PL</t>
        </is>
      </c>
      <c r="FF1017" s="15" t="inlineStr">
        <is>
          <t>YV3T7U524KA195173</t>
        </is>
      </c>
      <c r="FG1017" s="15" t="inlineStr">
        <is>
          <t>Volvo</t>
        </is>
      </c>
      <c r="FH1017" s="15" t="inlineStr">
        <is>
          <t>B8R</t>
        </is>
      </c>
      <c r="FI1017" s="15" t="inlineStr">
        <is>
          <t>MARCOPOLO</t>
        </is>
      </c>
      <c r="FJ1017" s="15" t="inlineStr">
        <is>
          <t>TORINO</t>
        </is>
      </c>
      <c r="FK1017" s="15" t="n">
        <v>2019</v>
      </c>
      <c r="FL1017" s="15" t="inlineStr">
        <is>
          <t>B2PAL</t>
        </is>
      </c>
      <c r="FM1017" s="15" t="inlineStr">
        <is>
          <t>LOS LIBERTADORES</t>
        </is>
      </c>
      <c r="FN1017" s="15" t="inlineStr">
        <is>
          <t>Los Liberadores 6450, Lote 4A</t>
        </is>
      </c>
      <c r="FO1017" s="15" t="inlineStr">
        <is>
          <t>Huechuraba</t>
        </is>
      </c>
      <c r="FP1017" t="inlineStr">
        <is>
          <t>B</t>
        </is>
      </c>
      <c r="FS1017" s="14" t="inlineStr">
        <is>
          <t>LXWT-94|</t>
        </is>
      </c>
      <c r="FT1017" t="inlineStr">
        <is>
          <t>LXWT-94|</t>
        </is>
      </c>
      <c r="FU1017" t="inlineStr">
        <is>
          <t>LXWT-94</t>
        </is>
      </c>
      <c r="FV1017">
        <f>VLOOKUP(FU1017,FD:FL,9,0)</f>
        <v/>
      </c>
    </row>
    <row r="1018">
      <c r="FC1018" t="inlineStr">
        <is>
          <t>Diccionario 2</t>
        </is>
      </c>
      <c r="FD1018" s="15" t="inlineStr">
        <is>
          <t>GCBB-46</t>
        </is>
      </c>
      <c r="FE1018" s="15" t="inlineStr">
        <is>
          <t>D8481618K2PL</t>
        </is>
      </c>
      <c r="FF1018" s="15" t="inlineStr">
        <is>
          <t>YV3T7U52XKA195176</t>
        </is>
      </c>
      <c r="FG1018" s="15" t="inlineStr">
        <is>
          <t>Volvo</t>
        </is>
      </c>
      <c r="FH1018" s="15" t="inlineStr">
        <is>
          <t>B8R</t>
        </is>
      </c>
      <c r="FI1018" s="15" t="inlineStr">
        <is>
          <t>MARCOPOLO</t>
        </is>
      </c>
      <c r="FJ1018" s="15" t="inlineStr">
        <is>
          <t>TORINO</t>
        </is>
      </c>
      <c r="FK1018" s="15" t="n">
        <v>2019</v>
      </c>
      <c r="FL1018" s="15" t="inlineStr">
        <is>
          <t>B2PAL</t>
        </is>
      </c>
      <c r="FM1018" s="15" t="inlineStr">
        <is>
          <t>LOS LIBERTADORES</t>
        </is>
      </c>
      <c r="FN1018" s="15" t="inlineStr">
        <is>
          <t>Los Liberadores 6450, Lote 4A</t>
        </is>
      </c>
      <c r="FO1018" s="15" t="inlineStr">
        <is>
          <t>Huechuraba</t>
        </is>
      </c>
      <c r="FP1018" t="inlineStr">
        <is>
          <t>B</t>
        </is>
      </c>
      <c r="FS1018" s="14" t="inlineStr">
        <is>
          <t>LZPR-82|</t>
        </is>
      </c>
      <c r="FT1018" t="inlineStr">
        <is>
          <t>LZPR-82|</t>
        </is>
      </c>
      <c r="FU1018" t="inlineStr">
        <is>
          <t>LZPR-82</t>
        </is>
      </c>
      <c r="FV1018">
        <f>VLOOKUP(FU1018,FD:FL,9,0)</f>
        <v/>
      </c>
    </row>
    <row r="1019">
      <c r="FC1019" t="inlineStr">
        <is>
          <t>Diccionario 2</t>
        </is>
      </c>
      <c r="FD1019" s="15" t="inlineStr">
        <is>
          <t>GCBB-47</t>
        </is>
      </c>
      <c r="FE1019" s="15" t="inlineStr">
        <is>
          <t>D8481639K2PL</t>
        </is>
      </c>
      <c r="FF1019" s="15" t="inlineStr">
        <is>
          <t>YV3T7U523KA195178</t>
        </is>
      </c>
      <c r="FG1019" s="15" t="inlineStr">
        <is>
          <t>Volvo</t>
        </is>
      </c>
      <c r="FH1019" s="15" t="inlineStr">
        <is>
          <t>B8R</t>
        </is>
      </c>
      <c r="FI1019" s="15" t="inlineStr">
        <is>
          <t>MARCOPOLO</t>
        </is>
      </c>
      <c r="FJ1019" s="15" t="inlineStr">
        <is>
          <t>TORINO</t>
        </is>
      </c>
      <c r="FK1019" s="15" t="n">
        <v>2019</v>
      </c>
      <c r="FL1019" s="15" t="inlineStr">
        <is>
          <t>B2PAL</t>
        </is>
      </c>
      <c r="FM1019" s="15" t="inlineStr">
        <is>
          <t>LOS LIBERTADORES</t>
        </is>
      </c>
      <c r="FN1019" s="15" t="inlineStr">
        <is>
          <t>Los Liberadores 6450, Lote 4A</t>
        </is>
      </c>
      <c r="FO1019" s="15" t="inlineStr">
        <is>
          <t>Huechuraba</t>
        </is>
      </c>
      <c r="FP1019" t="inlineStr">
        <is>
          <t>B</t>
        </is>
      </c>
      <c r="FS1019" s="14" t="inlineStr">
        <is>
          <t>9951 / TBZB-24|</t>
        </is>
      </c>
      <c r="FT1019" t="inlineStr">
        <is>
          <t>TBZB-24|</t>
        </is>
      </c>
      <c r="FU1019" t="inlineStr">
        <is>
          <t>TBZB-24</t>
        </is>
      </c>
      <c r="FV1019">
        <f>VLOOKUP(FU1019,FD:FL,9,0)</f>
        <v/>
      </c>
    </row>
    <row r="1020">
      <c r="FC1020" t="inlineStr">
        <is>
          <t>Diccionario 2</t>
        </is>
      </c>
      <c r="FD1020" s="15" t="inlineStr">
        <is>
          <t>GCBB-48</t>
        </is>
      </c>
      <c r="FE1020" s="15" t="inlineStr">
        <is>
          <t>D8481597K2PL</t>
        </is>
      </c>
      <c r="FF1020" s="15" t="inlineStr">
        <is>
          <t>YV3T7U523KA195181</t>
        </is>
      </c>
      <c r="FG1020" s="15" t="inlineStr">
        <is>
          <t>Volvo</t>
        </is>
      </c>
      <c r="FH1020" s="15" t="inlineStr">
        <is>
          <t>B8R</t>
        </is>
      </c>
      <c r="FI1020" s="15" t="inlineStr">
        <is>
          <t>MARCOPOLO</t>
        </is>
      </c>
      <c r="FJ1020" s="15" t="inlineStr">
        <is>
          <t>TORINO</t>
        </is>
      </c>
      <c r="FK1020" s="15" t="n">
        <v>2019</v>
      </c>
      <c r="FL1020" s="15" t="inlineStr">
        <is>
          <t>B2PAL</t>
        </is>
      </c>
      <c r="FM1020" s="15" t="inlineStr">
        <is>
          <t>LOS LIBERTADORES</t>
        </is>
      </c>
      <c r="FN1020" s="15" t="inlineStr">
        <is>
          <t>Los Liberadores 6450, Lote 4A</t>
        </is>
      </c>
      <c r="FO1020" s="15" t="inlineStr">
        <is>
          <t>Huechuraba</t>
        </is>
      </c>
      <c r="FP1020" t="inlineStr">
        <is>
          <t>B</t>
        </is>
      </c>
      <c r="FS1020" s="14" t="inlineStr">
        <is>
          <t>LXWT-92|</t>
        </is>
      </c>
      <c r="FT1020" t="inlineStr">
        <is>
          <t>LXWT-92|</t>
        </is>
      </c>
      <c r="FU1020" t="inlineStr">
        <is>
          <t>LXWT-92</t>
        </is>
      </c>
      <c r="FV1020">
        <f>VLOOKUP(FU1020,FD:FL,9,0)</f>
        <v/>
      </c>
    </row>
    <row r="1021">
      <c r="FC1021" t="inlineStr">
        <is>
          <t>Diccionario 2</t>
        </is>
      </c>
      <c r="FD1021" s="15" t="inlineStr">
        <is>
          <t>GCBB-49</t>
        </is>
      </c>
      <c r="FE1021" s="15" t="inlineStr">
        <is>
          <t>D8481673K2PL</t>
        </is>
      </c>
      <c r="FF1021" s="15" t="inlineStr">
        <is>
          <t>YV3T7U524KA195190</t>
        </is>
      </c>
      <c r="FG1021" s="15" t="inlineStr">
        <is>
          <t>Volvo</t>
        </is>
      </c>
      <c r="FH1021" s="15" t="inlineStr">
        <is>
          <t>B8R</t>
        </is>
      </c>
      <c r="FI1021" s="15" t="inlineStr">
        <is>
          <t>MARCOPOLO</t>
        </is>
      </c>
      <c r="FJ1021" s="15" t="inlineStr">
        <is>
          <t>TORINO</t>
        </is>
      </c>
      <c r="FK1021" s="15" t="n">
        <v>2019</v>
      </c>
      <c r="FL1021" s="15" t="inlineStr">
        <is>
          <t>B2PAL</t>
        </is>
      </c>
      <c r="FM1021" s="15" t="inlineStr">
        <is>
          <t>LOS LIBERTADORES</t>
        </is>
      </c>
      <c r="FN1021" s="15" t="inlineStr">
        <is>
          <t>Los Liberadores 6450, Lote 4A</t>
        </is>
      </c>
      <c r="FO1021" s="15" t="inlineStr">
        <is>
          <t>Huechuraba</t>
        </is>
      </c>
      <c r="FP1021" t="inlineStr">
        <is>
          <t>B</t>
        </is>
      </c>
      <c r="FS1021" s="14" t="inlineStr">
        <is>
          <t>LZPR-85|</t>
        </is>
      </c>
      <c r="FT1021" t="inlineStr">
        <is>
          <t>LZPR-85|</t>
        </is>
      </c>
      <c r="FU1021" t="inlineStr">
        <is>
          <t>LZPR-85</t>
        </is>
      </c>
      <c r="FV1021">
        <f>VLOOKUP(FU1021,FD:FL,9,0)</f>
        <v/>
      </c>
    </row>
    <row r="1022">
      <c r="FC1022" t="inlineStr">
        <is>
          <t>Diccionario 2</t>
        </is>
      </c>
      <c r="FD1022" s="15" t="inlineStr">
        <is>
          <t>GCBB-50</t>
        </is>
      </c>
      <c r="FE1022" s="15" t="inlineStr">
        <is>
          <t>D8481885K2PL</t>
        </is>
      </c>
      <c r="FF1022" s="15" t="inlineStr">
        <is>
          <t>YV3T7U526KA195191</t>
        </is>
      </c>
      <c r="FG1022" s="15" t="inlineStr">
        <is>
          <t>Volvo</t>
        </is>
      </c>
      <c r="FH1022" s="15" t="inlineStr">
        <is>
          <t>B8R</t>
        </is>
      </c>
      <c r="FI1022" s="15" t="inlineStr">
        <is>
          <t>MARCOPOLO</t>
        </is>
      </c>
      <c r="FJ1022" s="15" t="inlineStr">
        <is>
          <t>TORINO</t>
        </is>
      </c>
      <c r="FK1022" s="15" t="n">
        <v>2019</v>
      </c>
      <c r="FL1022" s="15" t="inlineStr">
        <is>
          <t>B2PAL</t>
        </is>
      </c>
      <c r="FM1022" s="15" t="inlineStr">
        <is>
          <t>LOS LIBERTADORES</t>
        </is>
      </c>
      <c r="FN1022" s="15" t="inlineStr">
        <is>
          <t>Los Liberadores 6450, Lote 4A</t>
        </is>
      </c>
      <c r="FO1022" s="15" t="inlineStr">
        <is>
          <t>Huechuraba</t>
        </is>
      </c>
      <c r="FP1022" t="inlineStr">
        <is>
          <t>B</t>
        </is>
      </c>
      <c r="FS1022" s="14" t="inlineStr">
        <is>
          <t>LZPR-81|</t>
        </is>
      </c>
      <c r="FT1022" t="inlineStr">
        <is>
          <t>LZPR-81|</t>
        </is>
      </c>
      <c r="FU1022" t="inlineStr">
        <is>
          <t>LZPR-81</t>
        </is>
      </c>
      <c r="FV1022">
        <f>VLOOKUP(FU1022,FD:FL,9,0)</f>
        <v/>
      </c>
    </row>
    <row r="1023">
      <c r="FC1023" t="inlineStr">
        <is>
          <t>Diccionario 2</t>
        </is>
      </c>
      <c r="FD1023" s="15" t="inlineStr">
        <is>
          <t>GCBB-51</t>
        </is>
      </c>
      <c r="FE1023" s="15" t="inlineStr">
        <is>
          <t>D8481866K2PL</t>
        </is>
      </c>
      <c r="FF1023" s="15" t="inlineStr">
        <is>
          <t>YV3T7U528KA195192</t>
        </is>
      </c>
      <c r="FG1023" s="15" t="inlineStr">
        <is>
          <t>Volvo</t>
        </is>
      </c>
      <c r="FH1023" s="15" t="inlineStr">
        <is>
          <t>B8R</t>
        </is>
      </c>
      <c r="FI1023" s="15" t="inlineStr">
        <is>
          <t>MARCOPOLO</t>
        </is>
      </c>
      <c r="FJ1023" s="15" t="inlineStr">
        <is>
          <t>TORINO</t>
        </is>
      </c>
      <c r="FK1023" s="15" t="n">
        <v>2019</v>
      </c>
      <c r="FL1023" s="15" t="inlineStr">
        <is>
          <t>B2PAL</t>
        </is>
      </c>
      <c r="FM1023" s="15" t="inlineStr">
        <is>
          <t>LOS LIBERTADORES</t>
        </is>
      </c>
      <c r="FN1023" s="15" t="inlineStr">
        <is>
          <t>Los Liberadores 6450, Lote 4A</t>
        </is>
      </c>
      <c r="FO1023" s="15" t="inlineStr">
        <is>
          <t>Huechuraba</t>
        </is>
      </c>
      <c r="FP1023" t="inlineStr">
        <is>
          <t>B</t>
        </is>
      </c>
      <c r="FS1023" s="14" t="inlineStr">
        <is>
          <t>LZRB-87|</t>
        </is>
      </c>
      <c r="FT1023" t="inlineStr">
        <is>
          <t>LZRB-87|</t>
        </is>
      </c>
      <c r="FU1023" t="inlineStr">
        <is>
          <t>LZRB-87</t>
        </is>
      </c>
      <c r="FV1023">
        <f>VLOOKUP(FU1023,FD:FL,9,0)</f>
        <v/>
      </c>
    </row>
    <row r="1024">
      <c r="FC1024" t="inlineStr">
        <is>
          <t>Diccionario 2</t>
        </is>
      </c>
      <c r="FD1024" s="15" t="inlineStr">
        <is>
          <t>GCBB-52</t>
        </is>
      </c>
      <c r="FE1024" s="15" t="inlineStr">
        <is>
          <t>D8481887K2PL</t>
        </is>
      </c>
      <c r="FF1024" s="15" t="inlineStr">
        <is>
          <t>YV3T7U52XKA195193</t>
        </is>
      </c>
      <c r="FG1024" s="15" t="inlineStr">
        <is>
          <t>Volvo</t>
        </is>
      </c>
      <c r="FH1024" s="15" t="inlineStr">
        <is>
          <t>B8R</t>
        </is>
      </c>
      <c r="FI1024" s="15" t="inlineStr">
        <is>
          <t>MARCOPOLO</t>
        </is>
      </c>
      <c r="FJ1024" s="15" t="inlineStr">
        <is>
          <t>TORINO</t>
        </is>
      </c>
      <c r="FK1024" s="15" t="n">
        <v>2019</v>
      </c>
      <c r="FL1024" s="15" t="inlineStr">
        <is>
          <t>B2PAL</t>
        </is>
      </c>
      <c r="FM1024" s="15" t="inlineStr">
        <is>
          <t>LOS LIBERTADORES</t>
        </is>
      </c>
      <c r="FN1024" s="15" t="inlineStr">
        <is>
          <t>Los Liberadores 6450, Lote 4A</t>
        </is>
      </c>
      <c r="FO1024" s="15" t="inlineStr">
        <is>
          <t>Huechuraba</t>
        </is>
      </c>
      <c r="FP1024" t="inlineStr">
        <is>
          <t>B</t>
        </is>
      </c>
      <c r="FS1024" s="14" t="inlineStr">
        <is>
          <t>LZPW-22|</t>
        </is>
      </c>
      <c r="FT1024" t="inlineStr">
        <is>
          <t>LZPW-22|</t>
        </is>
      </c>
      <c r="FU1024" t="inlineStr">
        <is>
          <t>LZPW-22</t>
        </is>
      </c>
      <c r="FV1024">
        <f>VLOOKUP(FU1024,FD:FL,9,0)</f>
        <v/>
      </c>
    </row>
    <row r="1025">
      <c r="FC1025" t="inlineStr">
        <is>
          <t>Diccionario 2</t>
        </is>
      </c>
      <c r="FD1025" s="15" t="inlineStr">
        <is>
          <t>GCBB-53</t>
        </is>
      </c>
      <c r="FE1025" s="15" t="inlineStr">
        <is>
          <t>D8481478K2PL</t>
        </is>
      </c>
      <c r="FF1025" s="15" t="inlineStr">
        <is>
          <t>YV3T7U527KA195197</t>
        </is>
      </c>
      <c r="FG1025" s="15" t="inlineStr">
        <is>
          <t>Volvo</t>
        </is>
      </c>
      <c r="FH1025" s="15" t="inlineStr">
        <is>
          <t>B8R</t>
        </is>
      </c>
      <c r="FI1025" s="15" t="inlineStr">
        <is>
          <t>MARCOPOLO</t>
        </is>
      </c>
      <c r="FJ1025" s="15" t="inlineStr">
        <is>
          <t>TORINO</t>
        </is>
      </c>
      <c r="FK1025" s="15" t="n">
        <v>2019</v>
      </c>
      <c r="FL1025" s="15" t="inlineStr">
        <is>
          <t>B2PAL</t>
        </is>
      </c>
      <c r="FM1025" s="15" t="inlineStr">
        <is>
          <t>LOS LIBERTADORES</t>
        </is>
      </c>
      <c r="FN1025" s="15" t="inlineStr">
        <is>
          <t>Los Liberadores 6450, Lote 4A</t>
        </is>
      </c>
      <c r="FO1025" s="15" t="inlineStr">
        <is>
          <t>Huechuraba</t>
        </is>
      </c>
      <c r="FP1025" t="inlineStr">
        <is>
          <t>B</t>
        </is>
      </c>
      <c r="FS1025" s="14" t="inlineStr">
        <is>
          <t>LZPR-79|</t>
        </is>
      </c>
      <c r="FT1025" t="inlineStr">
        <is>
          <t>LZPR-79|</t>
        </is>
      </c>
      <c r="FU1025" t="inlineStr">
        <is>
          <t>LZPR-79</t>
        </is>
      </c>
      <c r="FV1025">
        <f>VLOOKUP(FU1025,FD:FL,9,0)</f>
        <v/>
      </c>
    </row>
    <row r="1026">
      <c r="FC1026" t="inlineStr">
        <is>
          <t>Diccionario 2</t>
        </is>
      </c>
      <c r="FD1026" s="15" t="inlineStr">
        <is>
          <t>GCBB-54</t>
        </is>
      </c>
      <c r="FE1026" s="15" t="inlineStr">
        <is>
          <t>D8481635K2PL</t>
        </is>
      </c>
      <c r="FF1026" s="15" t="inlineStr">
        <is>
          <t>YV3T7U529KA195198</t>
        </is>
      </c>
      <c r="FG1026" s="15" t="inlineStr">
        <is>
          <t>Volvo</t>
        </is>
      </c>
      <c r="FH1026" s="15" t="inlineStr">
        <is>
          <t>B8R</t>
        </is>
      </c>
      <c r="FI1026" s="15" t="inlineStr">
        <is>
          <t>MARCOPOLO</t>
        </is>
      </c>
      <c r="FJ1026" s="15" t="inlineStr">
        <is>
          <t>TORINO</t>
        </is>
      </c>
      <c r="FK1026" s="15" t="n">
        <v>2019</v>
      </c>
      <c r="FL1026" s="15" t="inlineStr">
        <is>
          <t>B2PAL</t>
        </is>
      </c>
      <c r="FM1026" s="15" t="inlineStr">
        <is>
          <t>LOS LIBERTADORES</t>
        </is>
      </c>
      <c r="FN1026" s="15" t="inlineStr">
        <is>
          <t>Los Liberadores 6450, Lote 4A</t>
        </is>
      </c>
      <c r="FO1026" s="15" t="inlineStr">
        <is>
          <t>Huechuraba</t>
        </is>
      </c>
      <c r="FP1026" t="inlineStr">
        <is>
          <t>B</t>
        </is>
      </c>
      <c r="FS1026" s="14" t="inlineStr">
        <is>
          <t>LZPT-50|</t>
        </is>
      </c>
      <c r="FT1026" t="inlineStr">
        <is>
          <t>LZPT-50|</t>
        </is>
      </c>
      <c r="FU1026" t="inlineStr">
        <is>
          <t>LZPT-50</t>
        </is>
      </c>
      <c r="FV1026">
        <f>VLOOKUP(FU1026,FD:FL,9,0)</f>
        <v/>
      </c>
    </row>
    <row r="1027">
      <c r="FC1027" t="inlineStr">
        <is>
          <t>Diccionario 2</t>
        </is>
      </c>
      <c r="FD1027" s="15" t="inlineStr">
        <is>
          <t>FLXZ-99</t>
        </is>
      </c>
      <c r="FE1027" s="15" t="inlineStr">
        <is>
          <t>D8481607K2PL</t>
        </is>
      </c>
      <c r="FF1027" s="15" t="inlineStr">
        <is>
          <t>YV3T7U521KA195180</t>
        </is>
      </c>
      <c r="FG1027" s="15" t="inlineStr">
        <is>
          <t>Volvo</t>
        </is>
      </c>
      <c r="FH1027" s="15" t="inlineStr">
        <is>
          <t>B8R</t>
        </is>
      </c>
      <c r="FI1027" s="15" t="inlineStr">
        <is>
          <t>MARCOPOLO</t>
        </is>
      </c>
      <c r="FJ1027" s="15" t="inlineStr">
        <is>
          <t>TORINO</t>
        </is>
      </c>
      <c r="FK1027" s="15" t="n">
        <v>2019</v>
      </c>
      <c r="FL1027" s="15" t="inlineStr">
        <is>
          <t>B2PAL</t>
        </is>
      </c>
      <c r="FM1027" s="15" t="inlineStr">
        <is>
          <t>LOS LIBERTADORES</t>
        </is>
      </c>
      <c r="FN1027" s="15" t="inlineStr">
        <is>
          <t>Los Liberadores 6450, Lote 4A</t>
        </is>
      </c>
      <c r="FO1027" s="15" t="inlineStr">
        <is>
          <t>Huechuraba</t>
        </is>
      </c>
      <c r="FP1027" t="inlineStr">
        <is>
          <t>B</t>
        </is>
      </c>
      <c r="FS1027" s="14" t="inlineStr">
        <is>
          <t>LZPR-80|</t>
        </is>
      </c>
      <c r="FT1027" t="inlineStr">
        <is>
          <t>LZPR-80|</t>
        </is>
      </c>
      <c r="FU1027" t="inlineStr">
        <is>
          <t>LZPR-80</t>
        </is>
      </c>
      <c r="FV1027">
        <f>VLOOKUP(FU1027,FD:FL,9,0)</f>
        <v/>
      </c>
    </row>
    <row r="1028">
      <c r="FC1028" t="inlineStr">
        <is>
          <t>Diccionario 2</t>
        </is>
      </c>
      <c r="FD1028" s="15" t="inlineStr">
        <is>
          <t>GCBB-55</t>
        </is>
      </c>
      <c r="FE1028" s="15" t="inlineStr">
        <is>
          <t>D8481488K2PL</t>
        </is>
      </c>
      <c r="FF1028" s="15" t="inlineStr">
        <is>
          <t>YV3T7U525KA195229</t>
        </is>
      </c>
      <c r="FG1028" s="15" t="inlineStr">
        <is>
          <t>Volvo</t>
        </is>
      </c>
      <c r="FH1028" s="15" t="inlineStr">
        <is>
          <t>B8R</t>
        </is>
      </c>
      <c r="FI1028" s="15" t="inlineStr">
        <is>
          <t>MARCOPOLO</t>
        </is>
      </c>
      <c r="FJ1028" s="15" t="inlineStr">
        <is>
          <t>TORINO</t>
        </is>
      </c>
      <c r="FK1028" s="15" t="n">
        <v>2019</v>
      </c>
      <c r="FL1028" s="15" t="inlineStr">
        <is>
          <t>B2PAL</t>
        </is>
      </c>
      <c r="FM1028" s="15" t="inlineStr">
        <is>
          <t>LOS LIBERTADORES</t>
        </is>
      </c>
      <c r="FN1028" s="15" t="inlineStr">
        <is>
          <t>Los Liberadores 6450, Lote 4A</t>
        </is>
      </c>
      <c r="FO1028" s="15" t="inlineStr">
        <is>
          <t>Huechuraba</t>
        </is>
      </c>
      <c r="FP1028" t="inlineStr">
        <is>
          <t>B</t>
        </is>
      </c>
      <c r="FS1028" s="14" t="inlineStr">
        <is>
          <t>LZPS-10|</t>
        </is>
      </c>
      <c r="FT1028" t="inlineStr">
        <is>
          <t>LZPS-10|</t>
        </is>
      </c>
      <c r="FU1028" t="inlineStr">
        <is>
          <t>LZPS-10</t>
        </is>
      </c>
      <c r="FV1028">
        <f>VLOOKUP(FU1028,FD:FL,9,0)</f>
        <v/>
      </c>
    </row>
    <row r="1029">
      <c r="FC1029" t="inlineStr">
        <is>
          <t>Diccionario 2</t>
        </is>
      </c>
      <c r="FD1029" s="15" t="inlineStr">
        <is>
          <t>GCBB-56</t>
        </is>
      </c>
      <c r="FE1029" s="15" t="inlineStr">
        <is>
          <t>D8482670K2PL</t>
        </is>
      </c>
      <c r="FF1029" s="15" t="inlineStr">
        <is>
          <t>YV3T7U523KA195231</t>
        </is>
      </c>
      <c r="FG1029" s="15" t="inlineStr">
        <is>
          <t>Volvo</t>
        </is>
      </c>
      <c r="FH1029" s="15" t="inlineStr">
        <is>
          <t>B8R</t>
        </is>
      </c>
      <c r="FI1029" s="15" t="inlineStr">
        <is>
          <t>MARCOPOLO</t>
        </is>
      </c>
      <c r="FJ1029" s="15" t="inlineStr">
        <is>
          <t>TORINO</t>
        </is>
      </c>
      <c r="FK1029" s="15" t="n">
        <v>2019</v>
      </c>
      <c r="FL1029" s="15" t="inlineStr">
        <is>
          <t>B2PAL</t>
        </is>
      </c>
      <c r="FM1029" s="15" t="inlineStr">
        <is>
          <t>LOS LIBERTADORES</t>
        </is>
      </c>
      <c r="FN1029" s="15" t="inlineStr">
        <is>
          <t>Los Liberadores 6450, Lote 4A</t>
        </is>
      </c>
      <c r="FO1029" s="15" t="inlineStr">
        <is>
          <t>Huechuraba</t>
        </is>
      </c>
      <c r="FP1029" t="inlineStr">
        <is>
          <t>B</t>
        </is>
      </c>
      <c r="FS1029" s="14" t="inlineStr">
        <is>
          <t>LZPT-59|</t>
        </is>
      </c>
      <c r="FT1029" t="inlineStr">
        <is>
          <t>LZPT-59|</t>
        </is>
      </c>
      <c r="FU1029" t="inlineStr">
        <is>
          <t>LZPT-59</t>
        </is>
      </c>
      <c r="FV1029">
        <f>VLOOKUP(FU1029,FD:FL,9,0)</f>
        <v/>
      </c>
    </row>
    <row r="1030">
      <c r="FC1030" t="inlineStr">
        <is>
          <t>Diccionario 2</t>
        </is>
      </c>
      <c r="FD1030" s="15" t="inlineStr">
        <is>
          <t>GCBB-57</t>
        </is>
      </c>
      <c r="FE1030" s="15" t="inlineStr">
        <is>
          <t>D8481984K2PL</t>
        </is>
      </c>
      <c r="FF1030" s="15" t="inlineStr">
        <is>
          <t>YV3T7U524KA195268</t>
        </is>
      </c>
      <c r="FG1030" s="15" t="inlineStr">
        <is>
          <t>Volvo</t>
        </is>
      </c>
      <c r="FH1030" s="15" t="inlineStr">
        <is>
          <t>B8R</t>
        </is>
      </c>
      <c r="FI1030" s="15" t="inlineStr">
        <is>
          <t>MARCOPOLO</t>
        </is>
      </c>
      <c r="FJ1030" s="15" t="inlineStr">
        <is>
          <t>TORINO</t>
        </is>
      </c>
      <c r="FK1030" s="15" t="n">
        <v>2019</v>
      </c>
      <c r="FL1030" s="15" t="inlineStr">
        <is>
          <t>B2PAL</t>
        </is>
      </c>
      <c r="FM1030" s="15" t="inlineStr">
        <is>
          <t>LOS LIBERTADORES</t>
        </is>
      </c>
      <c r="FN1030" s="15" t="inlineStr">
        <is>
          <t>Los Liberadores 6450, Lote 4A</t>
        </is>
      </c>
      <c r="FO1030" s="15" t="inlineStr">
        <is>
          <t>Huechuraba</t>
        </is>
      </c>
      <c r="FP1030" t="inlineStr">
        <is>
          <t>B</t>
        </is>
      </c>
      <c r="FS1030" s="14" t="inlineStr">
        <is>
          <t>LZPR-93|</t>
        </is>
      </c>
      <c r="FT1030" t="inlineStr">
        <is>
          <t>LZPR-93|</t>
        </is>
      </c>
      <c r="FU1030" t="inlineStr">
        <is>
          <t>LZPR-93</t>
        </is>
      </c>
      <c r="FV1030">
        <f>VLOOKUP(FU1030,FD:FL,9,0)</f>
        <v/>
      </c>
    </row>
    <row r="1031">
      <c r="FC1031" t="inlineStr">
        <is>
          <t>Diccionario 2</t>
        </is>
      </c>
      <c r="FD1031" s="15" t="inlineStr">
        <is>
          <t>GCBB-58</t>
        </is>
      </c>
      <c r="FE1031" s="15" t="inlineStr">
        <is>
          <t>D8481907K2PL</t>
        </is>
      </c>
      <c r="FF1031" s="15" t="inlineStr">
        <is>
          <t>YV3T7U526KA195269</t>
        </is>
      </c>
      <c r="FG1031" s="15" t="inlineStr">
        <is>
          <t>Volvo</t>
        </is>
      </c>
      <c r="FH1031" s="15" t="inlineStr">
        <is>
          <t>B8R</t>
        </is>
      </c>
      <c r="FI1031" s="15" t="inlineStr">
        <is>
          <t>MARCOPOLO</t>
        </is>
      </c>
      <c r="FJ1031" s="15" t="inlineStr">
        <is>
          <t>TORINO</t>
        </is>
      </c>
      <c r="FK1031" s="15" t="n">
        <v>2019</v>
      </c>
      <c r="FL1031" s="15" t="inlineStr">
        <is>
          <t>B2PAL</t>
        </is>
      </c>
      <c r="FM1031" s="15" t="inlineStr">
        <is>
          <t>LOS LIBERTADORES</t>
        </is>
      </c>
      <c r="FN1031" s="15" t="inlineStr">
        <is>
          <t>Los Liberadores 6450, Lote 4A</t>
        </is>
      </c>
      <c r="FO1031" s="15" t="inlineStr">
        <is>
          <t>Huechuraba</t>
        </is>
      </c>
      <c r="FP1031" t="inlineStr">
        <is>
          <t>B</t>
        </is>
      </c>
      <c r="FS1031" s="14" t="inlineStr">
        <is>
          <t>LZPT-39|</t>
        </is>
      </c>
      <c r="FT1031" t="inlineStr">
        <is>
          <t>LZPT-39|</t>
        </is>
      </c>
      <c r="FU1031" t="inlineStr">
        <is>
          <t>LZPT-39</t>
        </is>
      </c>
      <c r="FV1031">
        <f>VLOOKUP(FU1031,FD:FL,9,0)</f>
        <v/>
      </c>
    </row>
    <row r="1032">
      <c r="FC1032" t="inlineStr">
        <is>
          <t>Diccionario 2</t>
        </is>
      </c>
      <c r="FD1032" s="15" t="inlineStr">
        <is>
          <t>GCBB-59</t>
        </is>
      </c>
      <c r="FE1032" s="15" t="inlineStr">
        <is>
          <t>D8481955K2PL</t>
        </is>
      </c>
      <c r="FF1032" s="15" t="inlineStr">
        <is>
          <t>YV3T7U522KA195270</t>
        </is>
      </c>
      <c r="FG1032" s="15" t="inlineStr">
        <is>
          <t>Volvo</t>
        </is>
      </c>
      <c r="FH1032" s="15" t="inlineStr">
        <is>
          <t>B8R</t>
        </is>
      </c>
      <c r="FI1032" s="15" t="inlineStr">
        <is>
          <t>MARCOPOLO</t>
        </is>
      </c>
      <c r="FJ1032" s="15" t="inlineStr">
        <is>
          <t>TORINO</t>
        </is>
      </c>
      <c r="FK1032" s="15" t="n">
        <v>2019</v>
      </c>
      <c r="FL1032" s="15" t="inlineStr">
        <is>
          <t>B2PAL</t>
        </is>
      </c>
      <c r="FM1032" s="15" t="inlineStr">
        <is>
          <t>LOS LIBERTADORES</t>
        </is>
      </c>
      <c r="FN1032" s="15" t="inlineStr">
        <is>
          <t>Los Liberadores 6450, Lote 4A</t>
        </is>
      </c>
      <c r="FO1032" s="15" t="inlineStr">
        <is>
          <t>Huechuraba</t>
        </is>
      </c>
      <c r="FP1032" t="inlineStr">
        <is>
          <t>B</t>
        </is>
      </c>
      <c r="FS1032" s="14" t="inlineStr">
        <is>
          <t>LZPT-72|</t>
        </is>
      </c>
      <c r="FT1032" t="inlineStr">
        <is>
          <t>LZPT-72|</t>
        </is>
      </c>
      <c r="FU1032" t="inlineStr">
        <is>
          <t>LZPT-72</t>
        </is>
      </c>
      <c r="FV1032">
        <f>VLOOKUP(FU1032,FD:FL,9,0)</f>
        <v/>
      </c>
    </row>
    <row r="1033">
      <c r="FC1033" t="inlineStr">
        <is>
          <t>Diccionario 2</t>
        </is>
      </c>
      <c r="FD1033" s="15" t="inlineStr">
        <is>
          <t>GCBB-60</t>
        </is>
      </c>
      <c r="FE1033" s="15" t="inlineStr">
        <is>
          <t>D8482733K2PL</t>
        </is>
      </c>
      <c r="FF1033" s="15" t="inlineStr">
        <is>
          <t>YV3T7U524KA195299</t>
        </is>
      </c>
      <c r="FG1033" s="15" t="inlineStr">
        <is>
          <t>Volvo</t>
        </is>
      </c>
      <c r="FH1033" s="15" t="inlineStr">
        <is>
          <t>B8R</t>
        </is>
      </c>
      <c r="FI1033" s="15" t="inlineStr">
        <is>
          <t>MARCOPOLO</t>
        </is>
      </c>
      <c r="FJ1033" s="15" t="inlineStr">
        <is>
          <t>TORINO</t>
        </is>
      </c>
      <c r="FK1033" s="15" t="n">
        <v>2019</v>
      </c>
      <c r="FL1033" s="15" t="inlineStr">
        <is>
          <t>B2PAL</t>
        </is>
      </c>
      <c r="FM1033" s="15" t="inlineStr">
        <is>
          <t>LOS LIBERTADORES</t>
        </is>
      </c>
      <c r="FN1033" s="15" t="inlineStr">
        <is>
          <t>Los Liberadores 6450, Lote 4A</t>
        </is>
      </c>
      <c r="FO1033" s="15" t="inlineStr">
        <is>
          <t>Huechuraba</t>
        </is>
      </c>
      <c r="FP1033" t="inlineStr">
        <is>
          <t>B</t>
        </is>
      </c>
      <c r="FS1033" s="14" t="inlineStr">
        <is>
          <t>LZPT-38|</t>
        </is>
      </c>
      <c r="FT1033" t="inlineStr">
        <is>
          <t>LZPT-38|</t>
        </is>
      </c>
      <c r="FU1033" t="inlineStr">
        <is>
          <t>LZPT-38</t>
        </is>
      </c>
      <c r="FV1033">
        <f>VLOOKUP(FU1033,FD:FL,9,0)</f>
        <v/>
      </c>
    </row>
    <row r="1034">
      <c r="FC1034" t="inlineStr">
        <is>
          <t>Diccionario 2</t>
        </is>
      </c>
      <c r="FD1034" s="15" t="inlineStr">
        <is>
          <t>GCBB-61</t>
        </is>
      </c>
      <c r="FE1034" s="15" t="inlineStr">
        <is>
          <t>D8482727K2PL</t>
        </is>
      </c>
      <c r="FF1034" s="15" t="inlineStr">
        <is>
          <t>YV3T7U527KA195300</t>
        </is>
      </c>
      <c r="FG1034" s="15" t="inlineStr">
        <is>
          <t>Volvo</t>
        </is>
      </c>
      <c r="FH1034" s="15" t="inlineStr">
        <is>
          <t>B8R</t>
        </is>
      </c>
      <c r="FI1034" s="15" t="inlineStr">
        <is>
          <t>MARCOPOLO</t>
        </is>
      </c>
      <c r="FJ1034" s="15" t="inlineStr">
        <is>
          <t>TORINO</t>
        </is>
      </c>
      <c r="FK1034" s="15" t="n">
        <v>2019</v>
      </c>
      <c r="FL1034" s="15" t="inlineStr">
        <is>
          <t>B2PAL</t>
        </is>
      </c>
      <c r="FM1034" s="15" t="inlineStr">
        <is>
          <t>LOS LIBERTADORES</t>
        </is>
      </c>
      <c r="FN1034" s="15" t="inlineStr">
        <is>
          <t>Los Liberadores 6450, Lote 4A</t>
        </is>
      </c>
      <c r="FO1034" s="15" t="inlineStr">
        <is>
          <t>Huechuraba</t>
        </is>
      </c>
      <c r="FP1034" t="inlineStr">
        <is>
          <t>B</t>
        </is>
      </c>
      <c r="FS1034" s="14" t="inlineStr">
        <is>
          <t>LZPW-16|</t>
        </is>
      </c>
      <c r="FT1034" t="inlineStr">
        <is>
          <t>LZPW-16|</t>
        </is>
      </c>
      <c r="FU1034" t="inlineStr">
        <is>
          <t>LZPW-16</t>
        </is>
      </c>
      <c r="FV1034">
        <f>VLOOKUP(FU1034,FD:FL,9,0)</f>
        <v/>
      </c>
    </row>
    <row r="1035">
      <c r="FC1035" t="inlineStr">
        <is>
          <t>Diccionario 2</t>
        </is>
      </c>
      <c r="FD1035" s="15" t="inlineStr">
        <is>
          <t>GCBB-62</t>
        </is>
      </c>
      <c r="FE1035" s="15" t="inlineStr">
        <is>
          <t>D8482362K2PL</t>
        </is>
      </c>
      <c r="FF1035" s="15" t="inlineStr">
        <is>
          <t>YV3T7U526KA195286</t>
        </is>
      </c>
      <c r="FG1035" s="15" t="inlineStr">
        <is>
          <t>Volvo</t>
        </is>
      </c>
      <c r="FH1035" s="15" t="inlineStr">
        <is>
          <t>B8R</t>
        </is>
      </c>
      <c r="FI1035" s="15" t="inlineStr">
        <is>
          <t>MARCOPOLO</t>
        </is>
      </c>
      <c r="FJ1035" s="15" t="inlineStr">
        <is>
          <t>TORINO</t>
        </is>
      </c>
      <c r="FK1035" s="15" t="n">
        <v>2019</v>
      </c>
      <c r="FL1035" s="15" t="inlineStr">
        <is>
          <t>B2PAL</t>
        </is>
      </c>
      <c r="FM1035" s="15" t="inlineStr">
        <is>
          <t>LOS LIBERTADORES</t>
        </is>
      </c>
      <c r="FN1035" s="15" t="inlineStr">
        <is>
          <t>Los Liberadores 6450, Lote 4A</t>
        </is>
      </c>
      <c r="FO1035" s="15" t="inlineStr">
        <is>
          <t>Huechuraba</t>
        </is>
      </c>
      <c r="FP1035" t="inlineStr">
        <is>
          <t>B</t>
        </is>
      </c>
      <c r="FS1035" s="14" t="inlineStr">
        <is>
          <t>LZPG-17|</t>
        </is>
      </c>
      <c r="FT1035" t="inlineStr">
        <is>
          <t>LZPG-17|</t>
        </is>
      </c>
      <c r="FU1035" t="inlineStr">
        <is>
          <t>LZPG-17</t>
        </is>
      </c>
      <c r="FV1035">
        <f>VLOOKUP(FU1035,FD:FL,9,0)</f>
        <v/>
      </c>
    </row>
    <row r="1036">
      <c r="FC1036" t="inlineStr">
        <is>
          <t>Diccionario 2</t>
        </is>
      </c>
      <c r="FD1036" s="15" t="inlineStr">
        <is>
          <t>GCBB-63</t>
        </is>
      </c>
      <c r="FE1036" s="15" t="inlineStr">
        <is>
          <t>D8482765K2PL</t>
        </is>
      </c>
      <c r="FF1036" s="15" t="inlineStr">
        <is>
          <t>YV3T7U520KA195302</t>
        </is>
      </c>
      <c r="FG1036" s="15" t="inlineStr">
        <is>
          <t>Volvo</t>
        </is>
      </c>
      <c r="FH1036" s="15" t="inlineStr">
        <is>
          <t>B8R</t>
        </is>
      </c>
      <c r="FI1036" s="15" t="inlineStr">
        <is>
          <t>MARCOPOLO</t>
        </is>
      </c>
      <c r="FJ1036" s="15" t="inlineStr">
        <is>
          <t>TORINO</t>
        </is>
      </c>
      <c r="FK1036" s="15" t="n">
        <v>2019</v>
      </c>
      <c r="FL1036" s="15" t="inlineStr">
        <is>
          <t>B2PAL</t>
        </is>
      </c>
      <c r="FM1036" s="15" t="inlineStr">
        <is>
          <t>LOS LIBERTADORES</t>
        </is>
      </c>
      <c r="FN1036" s="15" t="inlineStr">
        <is>
          <t>Los Liberadores 6450, Lote 4A</t>
        </is>
      </c>
      <c r="FO1036" s="15" t="inlineStr">
        <is>
          <t>Huechuraba</t>
        </is>
      </c>
      <c r="FP1036" t="inlineStr">
        <is>
          <t>B</t>
        </is>
      </c>
      <c r="FS1036" s="14" t="inlineStr">
        <is>
          <t>LZPR-88|</t>
        </is>
      </c>
      <c r="FT1036" t="inlineStr">
        <is>
          <t>LZPR-88|</t>
        </is>
      </c>
      <c r="FU1036" t="inlineStr">
        <is>
          <t>LZPR-88</t>
        </is>
      </c>
      <c r="FV1036">
        <f>VLOOKUP(FU1036,FD:FL,9,0)</f>
        <v/>
      </c>
    </row>
    <row r="1037">
      <c r="FC1037" t="inlineStr">
        <is>
          <t>Diccionario 2</t>
        </is>
      </c>
      <c r="FD1037" s="15" t="inlineStr">
        <is>
          <t>GCBB-64</t>
        </is>
      </c>
      <c r="FE1037" s="15" t="inlineStr">
        <is>
          <t>D8482772K2PL</t>
        </is>
      </c>
      <c r="FF1037" s="15" t="inlineStr">
        <is>
          <t>YV3T7U526KA195305</t>
        </is>
      </c>
      <c r="FG1037" s="15" t="inlineStr">
        <is>
          <t>Volvo</t>
        </is>
      </c>
      <c r="FH1037" s="15" t="inlineStr">
        <is>
          <t>B8R</t>
        </is>
      </c>
      <c r="FI1037" s="15" t="inlineStr">
        <is>
          <t>MARCOPOLO</t>
        </is>
      </c>
      <c r="FJ1037" s="15" t="inlineStr">
        <is>
          <t>TORINO</t>
        </is>
      </c>
      <c r="FK1037" s="15" t="n">
        <v>2019</v>
      </c>
      <c r="FL1037" s="15" t="inlineStr">
        <is>
          <t>B2PAL</t>
        </is>
      </c>
      <c r="FM1037" s="15" t="inlineStr">
        <is>
          <t>LOS LIBERTADORES</t>
        </is>
      </c>
      <c r="FN1037" s="15" t="inlineStr">
        <is>
          <t>Los Liberadores 6450, Lote 4A</t>
        </is>
      </c>
      <c r="FO1037" s="15" t="inlineStr">
        <is>
          <t>Huechuraba</t>
        </is>
      </c>
      <c r="FP1037" t="inlineStr">
        <is>
          <t>B</t>
        </is>
      </c>
      <c r="FS1037" s="14" t="inlineStr">
        <is>
          <t>LZPT-53|</t>
        </is>
      </c>
      <c r="FT1037" t="inlineStr">
        <is>
          <t>LZPT-53|</t>
        </is>
      </c>
      <c r="FU1037" t="inlineStr">
        <is>
          <t>LZPT-53</t>
        </is>
      </c>
      <c r="FV1037">
        <f>VLOOKUP(FU1037,FD:FL,9,0)</f>
        <v/>
      </c>
    </row>
    <row r="1038">
      <c r="FC1038" t="inlineStr">
        <is>
          <t>Diccionario 2</t>
        </is>
      </c>
      <c r="FD1038" s="15" t="inlineStr">
        <is>
          <t>GCBB-10</t>
        </is>
      </c>
      <c r="FE1038" s="15" t="inlineStr">
        <is>
          <t>D8481853K2PL</t>
        </is>
      </c>
      <c r="FF1038" s="15" t="inlineStr">
        <is>
          <t>YV3T7U523KA195195</t>
        </is>
      </c>
      <c r="FG1038" s="15" t="inlineStr">
        <is>
          <t>Volvo</t>
        </is>
      </c>
      <c r="FH1038" s="15" t="inlineStr">
        <is>
          <t>B8R</t>
        </is>
      </c>
      <c r="FI1038" s="15" t="inlineStr">
        <is>
          <t>MARCOPOLO</t>
        </is>
      </c>
      <c r="FJ1038" s="15" t="inlineStr">
        <is>
          <t>TORINO</t>
        </is>
      </c>
      <c r="FK1038" s="15" t="n">
        <v>2019</v>
      </c>
      <c r="FL1038" s="15" t="inlineStr">
        <is>
          <t>B2PAL</t>
        </is>
      </c>
      <c r="FM1038" s="15" t="inlineStr">
        <is>
          <t>LOS LIBERTADORES</t>
        </is>
      </c>
      <c r="FN1038" s="15" t="inlineStr">
        <is>
          <t>Los Liberadores 6450, Lote 4A</t>
        </is>
      </c>
      <c r="FO1038" s="15" t="inlineStr">
        <is>
          <t>Huechuraba</t>
        </is>
      </c>
      <c r="FP1038" t="inlineStr">
        <is>
          <t>B</t>
        </is>
      </c>
      <c r="FS1038" s="14" t="inlineStr">
        <is>
          <t>LZPV-99|</t>
        </is>
      </c>
      <c r="FT1038" t="inlineStr">
        <is>
          <t>LZPV-99|</t>
        </is>
      </c>
      <c r="FU1038" t="inlineStr">
        <is>
          <t>LZPV-99</t>
        </is>
      </c>
      <c r="FV1038">
        <f>VLOOKUP(FU1038,FD:FL,9,0)</f>
        <v/>
      </c>
    </row>
    <row r="1039">
      <c r="FC1039" t="inlineStr">
        <is>
          <t>Diccionario 2</t>
        </is>
      </c>
      <c r="FD1039" s="15" t="inlineStr">
        <is>
          <t>GCBB-65</t>
        </is>
      </c>
      <c r="FE1039" s="15" t="inlineStr">
        <is>
          <t>D8482473K2PL</t>
        </is>
      </c>
      <c r="FF1039" s="15" t="inlineStr">
        <is>
          <t>YV3T7U520KA195316</t>
        </is>
      </c>
      <c r="FG1039" s="15" t="inlineStr">
        <is>
          <t>Volvo</t>
        </is>
      </c>
      <c r="FH1039" s="15" t="inlineStr">
        <is>
          <t>B8R</t>
        </is>
      </c>
      <c r="FI1039" s="15" t="inlineStr">
        <is>
          <t>MARCOPOLO</t>
        </is>
      </c>
      <c r="FJ1039" s="15" t="inlineStr">
        <is>
          <t>TORINO</t>
        </is>
      </c>
      <c r="FK1039" s="15" t="n">
        <v>2019</v>
      </c>
      <c r="FL1039" s="15" t="inlineStr">
        <is>
          <t>B2PAL</t>
        </is>
      </c>
      <c r="FM1039" s="15" t="inlineStr">
        <is>
          <t>LOS LIBERTADORES</t>
        </is>
      </c>
      <c r="FN1039" s="15" t="inlineStr">
        <is>
          <t>Los Liberadores 6450, Lote 4A</t>
        </is>
      </c>
      <c r="FO1039" s="15" t="inlineStr">
        <is>
          <t>Huechuraba</t>
        </is>
      </c>
      <c r="FP1039" t="inlineStr">
        <is>
          <t>B</t>
        </is>
      </c>
      <c r="FS1039" s="14" t="inlineStr">
        <is>
          <t>LZPS-16|</t>
        </is>
      </c>
      <c r="FT1039" t="inlineStr">
        <is>
          <t>LZPS-16|</t>
        </is>
      </c>
      <c r="FU1039" t="inlineStr">
        <is>
          <t>LZPS-16</t>
        </is>
      </c>
      <c r="FV1039">
        <f>VLOOKUP(FU1039,FD:FL,9,0)</f>
        <v/>
      </c>
    </row>
    <row r="1040">
      <c r="FC1040" t="inlineStr">
        <is>
          <t>Diccionario 2</t>
        </is>
      </c>
      <c r="FD1040" s="15" t="inlineStr">
        <is>
          <t>GCBB-66</t>
        </is>
      </c>
      <c r="FE1040" s="15" t="inlineStr">
        <is>
          <t>D8484011K2PL</t>
        </is>
      </c>
      <c r="FF1040" s="15" t="inlineStr">
        <is>
          <t>YV3T7U522KA195592</t>
        </is>
      </c>
      <c r="FG1040" s="15" t="inlineStr">
        <is>
          <t>Volvo</t>
        </is>
      </c>
      <c r="FH1040" s="15" t="inlineStr">
        <is>
          <t>B8R</t>
        </is>
      </c>
      <c r="FI1040" s="15" t="inlineStr">
        <is>
          <t>MARCOPOLO</t>
        </is>
      </c>
      <c r="FJ1040" s="15" t="inlineStr">
        <is>
          <t>TORINO</t>
        </is>
      </c>
      <c r="FK1040" s="15" t="n">
        <v>2019</v>
      </c>
      <c r="FL1040" s="15" t="inlineStr">
        <is>
          <t>B2PAL</t>
        </is>
      </c>
      <c r="FM1040" s="15" t="inlineStr">
        <is>
          <t>LOS LIBERTADORES</t>
        </is>
      </c>
      <c r="FN1040" s="15" t="inlineStr">
        <is>
          <t>Los Liberadores 6450, Lote 4A</t>
        </is>
      </c>
      <c r="FO1040" s="15" t="inlineStr">
        <is>
          <t>Huechuraba</t>
        </is>
      </c>
      <c r="FP1040" t="inlineStr">
        <is>
          <t>B</t>
        </is>
      </c>
      <c r="FS1040" s="14" t="inlineStr">
        <is>
          <t>GCBF-51|</t>
        </is>
      </c>
      <c r="FT1040" t="inlineStr">
        <is>
          <t>GCBF-51|</t>
        </is>
      </c>
      <c r="FU1040" t="inlineStr">
        <is>
          <t>GCBF-51</t>
        </is>
      </c>
      <c r="FV1040">
        <f>VLOOKUP(FU1040,FD:FL,9,0)</f>
        <v/>
      </c>
    </row>
    <row r="1041">
      <c r="FC1041" t="inlineStr">
        <is>
          <t>Diccionario 2</t>
        </is>
      </c>
      <c r="FD1041" s="15" t="inlineStr">
        <is>
          <t>GCBB-67</t>
        </is>
      </c>
      <c r="FE1041" s="15" t="inlineStr">
        <is>
          <t>D8483863K2PL</t>
        </is>
      </c>
      <c r="FF1041" s="15" t="inlineStr">
        <is>
          <t>YV3T7U526KA195594</t>
        </is>
      </c>
      <c r="FG1041" s="15" t="inlineStr">
        <is>
          <t>Volvo</t>
        </is>
      </c>
      <c r="FH1041" s="15" t="inlineStr">
        <is>
          <t>B8R</t>
        </is>
      </c>
      <c r="FI1041" s="15" t="inlineStr">
        <is>
          <t>MARCOPOLO</t>
        </is>
      </c>
      <c r="FJ1041" s="15" t="inlineStr">
        <is>
          <t>TORINO</t>
        </is>
      </c>
      <c r="FK1041" s="15" t="n">
        <v>2019</v>
      </c>
      <c r="FL1041" s="15" t="inlineStr">
        <is>
          <t>B2PAL</t>
        </is>
      </c>
      <c r="FM1041" s="15" t="inlineStr">
        <is>
          <t>LOS LIBERTADORES</t>
        </is>
      </c>
      <c r="FN1041" s="15" t="inlineStr">
        <is>
          <t>Los Liberadores 6450, Lote 4A</t>
        </is>
      </c>
      <c r="FO1041" s="15" t="inlineStr">
        <is>
          <t>Huechuraba</t>
        </is>
      </c>
      <c r="FP1041" t="inlineStr">
        <is>
          <t>B</t>
        </is>
      </c>
      <c r="FS1041" s="14" t="inlineStr">
        <is>
          <t>LZPG-10|</t>
        </is>
      </c>
      <c r="FT1041" t="inlineStr">
        <is>
          <t>LZPG-10|</t>
        </is>
      </c>
      <c r="FU1041" t="inlineStr">
        <is>
          <t>LZPG-10</t>
        </is>
      </c>
      <c r="FV1041">
        <f>VLOOKUP(FU1041,FD:FL,9,0)</f>
        <v/>
      </c>
    </row>
    <row r="1042">
      <c r="FC1042" t="inlineStr">
        <is>
          <t>Diccionario 2</t>
        </is>
      </c>
      <c r="FD1042" s="15" t="inlineStr">
        <is>
          <t>GCBB-68</t>
        </is>
      </c>
      <c r="FE1042" s="15" t="inlineStr">
        <is>
          <t>D8452415K2PL</t>
        </is>
      </c>
      <c r="FF1042" s="15" t="inlineStr">
        <is>
          <t>YV3T7U529JA189190</t>
        </is>
      </c>
      <c r="FG1042" s="15" t="inlineStr">
        <is>
          <t>Volvo</t>
        </is>
      </c>
      <c r="FH1042" s="15" t="inlineStr">
        <is>
          <t>B8R</t>
        </is>
      </c>
      <c r="FI1042" s="15" t="inlineStr">
        <is>
          <t>MARCOPOLO</t>
        </is>
      </c>
      <c r="FJ1042" s="15" t="inlineStr">
        <is>
          <t>TORINO</t>
        </is>
      </c>
      <c r="FK1042" s="15" t="n">
        <v>2019</v>
      </c>
      <c r="FL1042" s="15" t="inlineStr">
        <is>
          <t>B2PAL</t>
        </is>
      </c>
      <c r="FM1042" s="15" t="inlineStr">
        <is>
          <t>SAN JOSE</t>
        </is>
      </c>
      <c r="FN1042" s="15" t="inlineStr">
        <is>
          <t>San José 030 (José Besa 669)</t>
        </is>
      </c>
      <c r="FO1042" s="15" t="inlineStr">
        <is>
          <t>San Bernardo</t>
        </is>
      </c>
      <c r="FP1042" t="inlineStr">
        <is>
          <t>B</t>
        </is>
      </c>
      <c r="FS1042" s="14" t="inlineStr">
        <is>
          <t>GCBF-47|</t>
        </is>
      </c>
      <c r="FT1042" t="inlineStr">
        <is>
          <t>GCBF-47|</t>
        </is>
      </c>
      <c r="FU1042" t="inlineStr">
        <is>
          <t>GCBF-47</t>
        </is>
      </c>
      <c r="FV1042">
        <f>VLOOKUP(FU1042,FD:FL,9,0)</f>
        <v/>
      </c>
    </row>
    <row r="1043">
      <c r="FC1043" t="inlineStr">
        <is>
          <t>Diccionario 2</t>
        </is>
      </c>
      <c r="FD1043" s="15" t="inlineStr">
        <is>
          <t>GCBB-69</t>
        </is>
      </c>
      <c r="FE1043" s="15" t="inlineStr">
        <is>
          <t>D8481542K2PL</t>
        </is>
      </c>
      <c r="FF1043" s="15" t="inlineStr">
        <is>
          <t>YV3T7U522KA195172</t>
        </is>
      </c>
      <c r="FG1043" s="15" t="inlineStr">
        <is>
          <t>Volvo</t>
        </is>
      </c>
      <c r="FH1043" s="15" t="inlineStr">
        <is>
          <t>B8R</t>
        </is>
      </c>
      <c r="FI1043" s="15" t="inlineStr">
        <is>
          <t>MARCOPOLO</t>
        </is>
      </c>
      <c r="FJ1043" s="15" t="inlineStr">
        <is>
          <t>TORINO</t>
        </is>
      </c>
      <c r="FK1043" s="15" t="n">
        <v>2019</v>
      </c>
      <c r="FL1043" s="15" t="inlineStr">
        <is>
          <t>B2PAL</t>
        </is>
      </c>
      <c r="FM1043" s="15" t="inlineStr">
        <is>
          <t>LOS LIBERTADORES</t>
        </is>
      </c>
      <c r="FN1043" s="15" t="inlineStr">
        <is>
          <t>Los Liberadores 6450, Lote 4A</t>
        </is>
      </c>
      <c r="FO1043" s="15" t="inlineStr">
        <is>
          <t>Huechuraba</t>
        </is>
      </c>
      <c r="FP1043" t="inlineStr">
        <is>
          <t>B</t>
        </is>
      </c>
      <c r="FS1043" s="14" t="inlineStr">
        <is>
          <t>LZPR-85|</t>
        </is>
      </c>
      <c r="FT1043" t="inlineStr">
        <is>
          <t>LZPR-85|</t>
        </is>
      </c>
      <c r="FU1043" t="inlineStr">
        <is>
          <t>LZPR-85</t>
        </is>
      </c>
      <c r="FV1043">
        <f>VLOOKUP(FU1043,FD:FL,9,0)</f>
        <v/>
      </c>
    </row>
    <row r="1044">
      <c r="FC1044" t="inlineStr">
        <is>
          <t>Diccionario 2</t>
        </is>
      </c>
      <c r="FD1044" s="15" t="inlineStr">
        <is>
          <t>GCBB-70</t>
        </is>
      </c>
      <c r="FE1044" s="15" t="inlineStr">
        <is>
          <t>D8482361K2PL</t>
        </is>
      </c>
      <c r="FF1044" s="15" t="inlineStr">
        <is>
          <t>YV3T7U528KA195287</t>
        </is>
      </c>
      <c r="FG1044" s="15" t="inlineStr">
        <is>
          <t>Volvo</t>
        </is>
      </c>
      <c r="FH1044" s="15" t="inlineStr">
        <is>
          <t>B8R</t>
        </is>
      </c>
      <c r="FI1044" s="15" t="inlineStr">
        <is>
          <t>MARCOPOLO</t>
        </is>
      </c>
      <c r="FJ1044" s="15" t="inlineStr">
        <is>
          <t>TORINO</t>
        </is>
      </c>
      <c r="FK1044" s="15" t="n">
        <v>2019</v>
      </c>
      <c r="FL1044" s="15" t="inlineStr">
        <is>
          <t>B2PAL</t>
        </is>
      </c>
      <c r="FM1044" s="15" t="inlineStr">
        <is>
          <t>LOS LIBERTADORES</t>
        </is>
      </c>
      <c r="FN1044" s="15" t="inlineStr">
        <is>
          <t>Los Liberadores 6450, Lote 4A</t>
        </is>
      </c>
      <c r="FO1044" s="15" t="inlineStr">
        <is>
          <t>Huechuraba</t>
        </is>
      </c>
      <c r="FP1044" t="inlineStr">
        <is>
          <t>B</t>
        </is>
      </c>
      <c r="FS1044" s="14" t="inlineStr">
        <is>
          <t>GCBF-44|</t>
        </is>
      </c>
      <c r="FT1044" t="inlineStr">
        <is>
          <t>GCBF-44|</t>
        </is>
      </c>
      <c r="FU1044" t="inlineStr">
        <is>
          <t>GCBF-44</t>
        </is>
      </c>
      <c r="FV1044">
        <f>VLOOKUP(FU1044,FD:FL,9,0)</f>
        <v/>
      </c>
    </row>
    <row r="1045">
      <c r="FC1045" t="inlineStr">
        <is>
          <t>Diccionario 2</t>
        </is>
      </c>
      <c r="FD1045" s="15" t="inlineStr">
        <is>
          <t>GCBB-71</t>
        </is>
      </c>
      <c r="FE1045" s="15" t="inlineStr">
        <is>
          <t>D8482775K2PL</t>
        </is>
      </c>
      <c r="FF1045" s="15" t="inlineStr">
        <is>
          <t>YV3T7U528KA195306</t>
        </is>
      </c>
      <c r="FG1045" s="15" t="inlineStr">
        <is>
          <t>Volvo</t>
        </is>
      </c>
      <c r="FH1045" s="15" t="inlineStr">
        <is>
          <t>B8R</t>
        </is>
      </c>
      <c r="FI1045" s="15" t="inlineStr">
        <is>
          <t>MARCOPOLO</t>
        </is>
      </c>
      <c r="FJ1045" s="15" t="inlineStr">
        <is>
          <t>TORINO</t>
        </is>
      </c>
      <c r="FK1045" s="15" t="n">
        <v>2019</v>
      </c>
      <c r="FL1045" s="15" t="inlineStr">
        <is>
          <t>B2PAL</t>
        </is>
      </c>
      <c r="FM1045" s="15" t="inlineStr">
        <is>
          <t>LOS LIBERTADORES</t>
        </is>
      </c>
      <c r="FN1045" s="15" t="inlineStr">
        <is>
          <t>Los Liberadores 6450, Lote 4A</t>
        </is>
      </c>
      <c r="FO1045" s="15" t="inlineStr">
        <is>
          <t>Huechuraba</t>
        </is>
      </c>
      <c r="FP1045" t="inlineStr">
        <is>
          <t>B</t>
        </is>
      </c>
      <c r="FS1045" s="14" t="inlineStr">
        <is>
          <t>LZPT-63|</t>
        </is>
      </c>
      <c r="FT1045" t="inlineStr">
        <is>
          <t>LZPT-63|</t>
        </is>
      </c>
      <c r="FU1045" t="inlineStr">
        <is>
          <t>LZPT-63</t>
        </is>
      </c>
      <c r="FV1045">
        <f>VLOOKUP(FU1045,FD:FL,9,0)</f>
        <v/>
      </c>
    </row>
    <row r="1046">
      <c r="FC1046" t="inlineStr">
        <is>
          <t>Diccionario 2</t>
        </is>
      </c>
      <c r="FD1046" s="15" t="inlineStr">
        <is>
          <t>GCBB-72</t>
        </is>
      </c>
      <c r="FE1046" s="15" t="inlineStr">
        <is>
          <t>D8482721K2PL</t>
        </is>
      </c>
      <c r="FF1046" s="15" t="inlineStr">
        <is>
          <t>YV3T7U52XKA195307</t>
        </is>
      </c>
      <c r="FG1046" s="15" t="inlineStr">
        <is>
          <t>Volvo</t>
        </is>
      </c>
      <c r="FH1046" s="15" t="inlineStr">
        <is>
          <t>B8R</t>
        </is>
      </c>
      <c r="FI1046" s="15" t="inlineStr">
        <is>
          <t>MARCOPOLO</t>
        </is>
      </c>
      <c r="FJ1046" s="15" t="inlineStr">
        <is>
          <t>TORINO</t>
        </is>
      </c>
      <c r="FK1046" s="15" t="n">
        <v>2019</v>
      </c>
      <c r="FL1046" s="15" t="inlineStr">
        <is>
          <t>B2PAL</t>
        </is>
      </c>
      <c r="FM1046" s="15" t="inlineStr">
        <is>
          <t>LOS LIBERTADORES</t>
        </is>
      </c>
      <c r="FN1046" s="15" t="inlineStr">
        <is>
          <t>Los Liberadores 6450, Lote 4A</t>
        </is>
      </c>
      <c r="FO1046" s="15" t="inlineStr">
        <is>
          <t>Huechuraba</t>
        </is>
      </c>
      <c r="FP1046" t="inlineStr">
        <is>
          <t>B</t>
        </is>
      </c>
      <c r="FS1046" s="14" t="inlineStr">
        <is>
          <t>LZPS-23|</t>
        </is>
      </c>
      <c r="FT1046" t="inlineStr">
        <is>
          <t>LZPS-23|</t>
        </is>
      </c>
      <c r="FU1046" t="inlineStr">
        <is>
          <t>LZPS-23</t>
        </is>
      </c>
      <c r="FV1046">
        <f>VLOOKUP(FU1046,FD:FL,9,0)</f>
        <v/>
      </c>
    </row>
    <row r="1047">
      <c r="FC1047" t="inlineStr">
        <is>
          <t>Diccionario 2</t>
        </is>
      </c>
      <c r="FD1047" s="15" t="inlineStr">
        <is>
          <t>GCBB-73</t>
        </is>
      </c>
      <c r="FE1047" s="15" t="inlineStr">
        <is>
          <t>D8482748K2PL</t>
        </is>
      </c>
      <c r="FF1047" s="15" t="inlineStr">
        <is>
          <t>YV3T7U521KA195308</t>
        </is>
      </c>
      <c r="FG1047" s="15" t="inlineStr">
        <is>
          <t>Volvo</t>
        </is>
      </c>
      <c r="FH1047" s="15" t="inlineStr">
        <is>
          <t>B8R</t>
        </is>
      </c>
      <c r="FI1047" s="15" t="inlineStr">
        <is>
          <t>MARCOPOLO</t>
        </is>
      </c>
      <c r="FJ1047" s="15" t="inlineStr">
        <is>
          <t>TORINO</t>
        </is>
      </c>
      <c r="FK1047" s="15" t="n">
        <v>2019</v>
      </c>
      <c r="FL1047" s="15" t="inlineStr">
        <is>
          <t>B2PAL</t>
        </is>
      </c>
      <c r="FM1047" s="15" t="inlineStr">
        <is>
          <t>SAN JOSE</t>
        </is>
      </c>
      <c r="FN1047" s="15" t="inlineStr">
        <is>
          <t>San José 030 (José Besa 669)</t>
        </is>
      </c>
      <c r="FO1047" s="15" t="inlineStr">
        <is>
          <t>San Bernardo</t>
        </is>
      </c>
      <c r="FP1047" t="inlineStr">
        <is>
          <t>B</t>
        </is>
      </c>
      <c r="FS1047" s="14" t="inlineStr">
        <is>
          <t>LZPG-21|</t>
        </is>
      </c>
      <c r="FT1047" t="inlineStr">
        <is>
          <t>LZPG-21|</t>
        </is>
      </c>
      <c r="FU1047" t="inlineStr">
        <is>
          <t>LZPG-21</t>
        </is>
      </c>
      <c r="FV1047">
        <f>VLOOKUP(FU1047,FD:FL,9,0)</f>
        <v/>
      </c>
    </row>
    <row r="1048">
      <c r="FC1048" t="inlineStr">
        <is>
          <t>Diccionario 2</t>
        </is>
      </c>
      <c r="FD1048" s="15" t="inlineStr">
        <is>
          <t>GCBB-74</t>
        </is>
      </c>
      <c r="FE1048" s="15" t="inlineStr">
        <is>
          <t>D8482485K2PL</t>
        </is>
      </c>
      <c r="FF1048" s="15" t="inlineStr">
        <is>
          <t>YV3T7U522KA195317</t>
        </is>
      </c>
      <c r="FG1048" s="15" t="inlineStr">
        <is>
          <t>Volvo</t>
        </is>
      </c>
      <c r="FH1048" s="15" t="inlineStr">
        <is>
          <t>B8R</t>
        </is>
      </c>
      <c r="FI1048" s="15" t="inlineStr">
        <is>
          <t>MARCOPOLO</t>
        </is>
      </c>
      <c r="FJ1048" s="15" t="inlineStr">
        <is>
          <t>TORINO</t>
        </is>
      </c>
      <c r="FK1048" s="15" t="n">
        <v>2019</v>
      </c>
      <c r="FL1048" s="15" t="inlineStr">
        <is>
          <t>B2PAL</t>
        </is>
      </c>
      <c r="FM1048" s="15" t="inlineStr">
        <is>
          <t>LOS LIBERTADORES</t>
        </is>
      </c>
      <c r="FN1048" s="15" t="inlineStr">
        <is>
          <t>Los Liberadores 6450, Lote 4A</t>
        </is>
      </c>
      <c r="FO1048" s="15" t="inlineStr">
        <is>
          <t>Huechuraba</t>
        </is>
      </c>
      <c r="FP1048" t="inlineStr">
        <is>
          <t>B</t>
        </is>
      </c>
      <c r="FS1048" s="14" t="inlineStr">
        <is>
          <t>LZRB-82|</t>
        </is>
      </c>
      <c r="FT1048" t="inlineStr">
        <is>
          <t>LZRB-82|</t>
        </is>
      </c>
      <c r="FU1048" t="inlineStr">
        <is>
          <t>LZRB-82</t>
        </is>
      </c>
      <c r="FV1048">
        <f>VLOOKUP(FU1048,FD:FL,9,0)</f>
        <v/>
      </c>
    </row>
    <row r="1049">
      <c r="FC1049" t="inlineStr">
        <is>
          <t>Diccionario 2</t>
        </is>
      </c>
      <c r="FD1049" s="15" t="inlineStr">
        <is>
          <t>GCBB-11</t>
        </is>
      </c>
      <c r="FE1049" s="15" t="inlineStr">
        <is>
          <t>D8481452K2PL</t>
        </is>
      </c>
      <c r="FF1049" s="15" t="inlineStr">
        <is>
          <t>YV3T7U525KA195196</t>
        </is>
      </c>
      <c r="FG1049" s="15" t="inlineStr">
        <is>
          <t>Volvo</t>
        </is>
      </c>
      <c r="FH1049" s="15" t="inlineStr">
        <is>
          <t>B8R</t>
        </is>
      </c>
      <c r="FI1049" s="15" t="inlineStr">
        <is>
          <t>MARCOPOLO</t>
        </is>
      </c>
      <c r="FJ1049" s="15" t="inlineStr">
        <is>
          <t>TORINO</t>
        </is>
      </c>
      <c r="FK1049" s="15" t="n">
        <v>2019</v>
      </c>
      <c r="FL1049" s="15" t="inlineStr">
        <is>
          <t>B2PAL</t>
        </is>
      </c>
      <c r="FM1049" s="15" t="inlineStr">
        <is>
          <t>LOS LIBERTADORES</t>
        </is>
      </c>
      <c r="FN1049" s="15" t="inlineStr">
        <is>
          <t>Los Liberadores 6450, Lote 4A</t>
        </is>
      </c>
      <c r="FO1049" s="15" t="inlineStr">
        <is>
          <t>Huechuraba</t>
        </is>
      </c>
      <c r="FP1049" t="inlineStr">
        <is>
          <t>B</t>
        </is>
      </c>
      <c r="FS1049" s="14" t="inlineStr">
        <is>
          <t>LZPR-81|</t>
        </is>
      </c>
      <c r="FT1049" t="inlineStr">
        <is>
          <t>LZPR-81|</t>
        </is>
      </c>
      <c r="FU1049" t="inlineStr">
        <is>
          <t>LZPR-81</t>
        </is>
      </c>
      <c r="FV1049">
        <f>VLOOKUP(FU1049,FD:FL,9,0)</f>
        <v/>
      </c>
    </row>
    <row r="1050">
      <c r="FC1050" t="inlineStr">
        <is>
          <t>Diccionario 2</t>
        </is>
      </c>
      <c r="FD1050" s="15" t="inlineStr">
        <is>
          <t>GCBB-75</t>
        </is>
      </c>
      <c r="FE1050" s="15" t="inlineStr">
        <is>
          <t>D8482455K2PL</t>
        </is>
      </c>
      <c r="FF1050" s="15" t="inlineStr">
        <is>
          <t>YV3T7U524KA195318</t>
        </is>
      </c>
      <c r="FG1050" s="15" t="inlineStr">
        <is>
          <t>Volvo</t>
        </is>
      </c>
      <c r="FH1050" s="15" t="inlineStr">
        <is>
          <t>B8R</t>
        </is>
      </c>
      <c r="FI1050" s="15" t="inlineStr">
        <is>
          <t>MARCOPOLO</t>
        </is>
      </c>
      <c r="FJ1050" s="15" t="inlineStr">
        <is>
          <t>TORINO</t>
        </is>
      </c>
      <c r="FK1050" s="15" t="n">
        <v>2019</v>
      </c>
      <c r="FL1050" s="15" t="inlineStr">
        <is>
          <t>B2PAL</t>
        </is>
      </c>
      <c r="FM1050" s="15" t="inlineStr">
        <is>
          <t>LOS LIBERTADORES</t>
        </is>
      </c>
      <c r="FN1050" s="15" t="inlineStr">
        <is>
          <t>Los Liberadores 6450, Lote 4A</t>
        </is>
      </c>
      <c r="FO1050" s="15" t="inlineStr">
        <is>
          <t>Huechuraba</t>
        </is>
      </c>
      <c r="FP1050" t="inlineStr">
        <is>
          <t>B</t>
        </is>
      </c>
      <c r="FS1050" s="14" t="inlineStr">
        <is>
          <t>GCBF-48|</t>
        </is>
      </c>
      <c r="FT1050" t="inlineStr">
        <is>
          <t>GCBF-48|</t>
        </is>
      </c>
      <c r="FU1050" t="inlineStr">
        <is>
          <t>GCBF-48</t>
        </is>
      </c>
      <c r="FV1050">
        <f>VLOOKUP(FU1050,FD:FL,9,0)</f>
        <v/>
      </c>
    </row>
    <row r="1051">
      <c r="FC1051" t="inlineStr">
        <is>
          <t>Diccionario 2</t>
        </is>
      </c>
      <c r="FD1051" s="15" t="inlineStr">
        <is>
          <t>GCBB-76</t>
        </is>
      </c>
      <c r="FE1051" s="15" t="inlineStr">
        <is>
          <t>D8482471K2PL</t>
        </is>
      </c>
      <c r="FF1051" s="15" t="inlineStr">
        <is>
          <t>YV3T7U526KA195319</t>
        </is>
      </c>
      <c r="FG1051" s="15" t="inlineStr">
        <is>
          <t>Volvo</t>
        </is>
      </c>
      <c r="FH1051" s="15" t="inlineStr">
        <is>
          <t>B8R</t>
        </is>
      </c>
      <c r="FI1051" s="15" t="inlineStr">
        <is>
          <t>MARCOPOLO</t>
        </is>
      </c>
      <c r="FJ1051" s="15" t="inlineStr">
        <is>
          <t>TORINO</t>
        </is>
      </c>
      <c r="FK1051" s="15" t="n">
        <v>2019</v>
      </c>
      <c r="FL1051" s="15" t="inlineStr">
        <is>
          <t>B2PAL</t>
        </is>
      </c>
      <c r="FM1051" s="15" t="inlineStr">
        <is>
          <t>SAN JOSE</t>
        </is>
      </c>
      <c r="FN1051" s="15" t="inlineStr">
        <is>
          <t>San José 030 (José Besa 669)</t>
        </is>
      </c>
      <c r="FO1051" s="15" t="inlineStr">
        <is>
          <t>San Bernardo</t>
        </is>
      </c>
      <c r="FP1051" t="inlineStr">
        <is>
          <t>B</t>
        </is>
      </c>
      <c r="FS1051" s="14" t="inlineStr">
        <is>
          <t>LZPG-20|</t>
        </is>
      </c>
      <c r="FT1051" t="inlineStr">
        <is>
          <t>LZPG-20|</t>
        </is>
      </c>
      <c r="FU1051" t="inlineStr">
        <is>
          <t>LZPG-20</t>
        </is>
      </c>
      <c r="FV1051">
        <f>VLOOKUP(FU1051,FD:FL,9,0)</f>
        <v/>
      </c>
    </row>
    <row r="1052">
      <c r="FC1052" t="inlineStr">
        <is>
          <t>Diccionario 2</t>
        </is>
      </c>
      <c r="FD1052" s="15" t="inlineStr">
        <is>
          <t>GCBB-77</t>
        </is>
      </c>
      <c r="FE1052" s="15" t="inlineStr">
        <is>
          <t>D8482458K2PL</t>
        </is>
      </c>
      <c r="FF1052" s="15" t="inlineStr">
        <is>
          <t>YV3T7U522KA195320</t>
        </is>
      </c>
      <c r="FG1052" s="15" t="inlineStr">
        <is>
          <t>Volvo</t>
        </is>
      </c>
      <c r="FH1052" s="15" t="inlineStr">
        <is>
          <t>B8R</t>
        </is>
      </c>
      <c r="FI1052" s="15" t="inlineStr">
        <is>
          <t>MARCOPOLO</t>
        </is>
      </c>
      <c r="FJ1052" s="15" t="inlineStr">
        <is>
          <t>TORINO</t>
        </is>
      </c>
      <c r="FK1052" s="15" t="n">
        <v>2019</v>
      </c>
      <c r="FL1052" s="15" t="inlineStr">
        <is>
          <t>B2PAL</t>
        </is>
      </c>
      <c r="FM1052" s="15" t="inlineStr">
        <is>
          <t>LOS LIBERTADORES</t>
        </is>
      </c>
      <c r="FN1052" s="15" t="inlineStr">
        <is>
          <t>Los Liberadores 6450, Lote 4A</t>
        </is>
      </c>
      <c r="FO1052" s="15" t="inlineStr">
        <is>
          <t>Huechuraba</t>
        </is>
      </c>
      <c r="FP1052" t="inlineStr">
        <is>
          <t>B</t>
        </is>
      </c>
      <c r="FS1052" s="14" t="inlineStr">
        <is>
          <t>LZPG-14|</t>
        </is>
      </c>
      <c r="FT1052" t="inlineStr">
        <is>
          <t>LZPG-14|</t>
        </is>
      </c>
      <c r="FU1052" t="inlineStr">
        <is>
          <t>LZPG-14</t>
        </is>
      </c>
      <c r="FV1052">
        <f>VLOOKUP(FU1052,FD:FL,9,0)</f>
        <v/>
      </c>
    </row>
    <row r="1053">
      <c r="FC1053" t="inlineStr">
        <is>
          <t>Diccionario 2</t>
        </is>
      </c>
      <c r="FD1053" s="15" t="inlineStr">
        <is>
          <t>GCBB-78</t>
        </is>
      </c>
      <c r="FE1053" s="15" t="inlineStr">
        <is>
          <t>D8482397K2PL</t>
        </is>
      </c>
      <c r="FF1053" s="15" t="inlineStr">
        <is>
          <t>YV3T7U524KA195321</t>
        </is>
      </c>
      <c r="FG1053" s="15" t="inlineStr">
        <is>
          <t>Volvo</t>
        </is>
      </c>
      <c r="FH1053" s="15" t="inlineStr">
        <is>
          <t>B8R</t>
        </is>
      </c>
      <c r="FI1053" s="15" t="inlineStr">
        <is>
          <t>MARCOPOLO</t>
        </is>
      </c>
      <c r="FJ1053" s="15" t="inlineStr">
        <is>
          <t>TORINO</t>
        </is>
      </c>
      <c r="FK1053" s="15" t="n">
        <v>2019</v>
      </c>
      <c r="FL1053" s="15" t="inlineStr">
        <is>
          <t>B2PAL</t>
        </is>
      </c>
      <c r="FM1053" s="15" t="inlineStr">
        <is>
          <t>LOS LIBERTADORES</t>
        </is>
      </c>
      <c r="FN1053" s="15" t="inlineStr">
        <is>
          <t>Los Liberadores 6450, Lote 4A</t>
        </is>
      </c>
      <c r="FO1053" s="15" t="inlineStr">
        <is>
          <t>Huechuraba</t>
        </is>
      </c>
      <c r="FP1053" t="inlineStr">
        <is>
          <t>B</t>
        </is>
      </c>
      <c r="FS1053" s="14" t="inlineStr">
        <is>
          <t>3016 / SFWB-28|</t>
        </is>
      </c>
      <c r="FT1053" t="inlineStr">
        <is>
          <t>SFWB-28|</t>
        </is>
      </c>
      <c r="FU1053" t="inlineStr">
        <is>
          <t>SFWB-28</t>
        </is>
      </c>
      <c r="FV1053">
        <f>VLOOKUP(FU1053,FD:FL,9,0)</f>
        <v/>
      </c>
    </row>
    <row r="1054">
      <c r="FC1054" t="inlineStr">
        <is>
          <t>Diccionario 2</t>
        </is>
      </c>
      <c r="FD1054" s="15" t="inlineStr">
        <is>
          <t>GCBB-79</t>
        </is>
      </c>
      <c r="FE1054" s="15" t="inlineStr">
        <is>
          <t>D8482405K2PL</t>
        </is>
      </c>
      <c r="FF1054" s="15" t="inlineStr">
        <is>
          <t>YV3T7U526KA195322</t>
        </is>
      </c>
      <c r="FG1054" s="15" t="inlineStr">
        <is>
          <t>Volvo</t>
        </is>
      </c>
      <c r="FH1054" s="15" t="inlineStr">
        <is>
          <t>B8R</t>
        </is>
      </c>
      <c r="FI1054" s="15" t="inlineStr">
        <is>
          <t>MARCOPOLO</t>
        </is>
      </c>
      <c r="FJ1054" s="15" t="inlineStr">
        <is>
          <t>TORINO</t>
        </is>
      </c>
      <c r="FK1054" s="15" t="n">
        <v>2019</v>
      </c>
      <c r="FL1054" s="15" t="inlineStr">
        <is>
          <t>B2PAL</t>
        </is>
      </c>
      <c r="FM1054" s="15" t="inlineStr">
        <is>
          <t>SAN JOSE</t>
        </is>
      </c>
      <c r="FN1054" s="15" t="inlineStr">
        <is>
          <t>San José 030 (José Besa 669)</t>
        </is>
      </c>
      <c r="FO1054" s="15" t="inlineStr">
        <is>
          <t>San Bernardo</t>
        </is>
      </c>
      <c r="FP1054" t="inlineStr">
        <is>
          <t>B</t>
        </is>
      </c>
      <c r="FS1054" s="14" t="inlineStr">
        <is>
          <t>LZRB-87|</t>
        </is>
      </c>
      <c r="FT1054" t="inlineStr">
        <is>
          <t>LZRB-87|</t>
        </is>
      </c>
      <c r="FU1054" t="inlineStr">
        <is>
          <t>LZRB-87</t>
        </is>
      </c>
      <c r="FV1054">
        <f>VLOOKUP(FU1054,FD:FL,9,0)</f>
        <v/>
      </c>
    </row>
    <row r="1055">
      <c r="FC1055" t="inlineStr">
        <is>
          <t>Diccionario 2</t>
        </is>
      </c>
      <c r="FD1055" s="15" t="inlineStr">
        <is>
          <t>GCBB-80</t>
        </is>
      </c>
      <c r="FE1055" s="15" t="inlineStr">
        <is>
          <t>D8482402K2PL</t>
        </is>
      </c>
      <c r="FF1055" s="15" t="inlineStr">
        <is>
          <t>YV3T7U528KA195323</t>
        </is>
      </c>
      <c r="FG1055" s="15" t="inlineStr">
        <is>
          <t>Volvo</t>
        </is>
      </c>
      <c r="FH1055" s="15" t="inlineStr">
        <is>
          <t>B8R</t>
        </is>
      </c>
      <c r="FI1055" s="15" t="inlineStr">
        <is>
          <t>MARCOPOLO</t>
        </is>
      </c>
      <c r="FJ1055" s="15" t="inlineStr">
        <is>
          <t>TORINO</t>
        </is>
      </c>
      <c r="FK1055" s="15" t="n">
        <v>2019</v>
      </c>
      <c r="FL1055" s="15" t="inlineStr">
        <is>
          <t>B2PAL</t>
        </is>
      </c>
      <c r="FM1055" s="15" t="inlineStr">
        <is>
          <t>SAN JOSE</t>
        </is>
      </c>
      <c r="FN1055" s="15" t="inlineStr">
        <is>
          <t>San José 030 (José Besa 669)</t>
        </is>
      </c>
      <c r="FO1055" s="15" t="inlineStr">
        <is>
          <t>San Bernardo</t>
        </is>
      </c>
      <c r="FP1055" t="inlineStr">
        <is>
          <t>B</t>
        </is>
      </c>
      <c r="FS1055" s="14" t="inlineStr">
        <is>
          <t>LXWT-89|</t>
        </is>
      </c>
      <c r="FT1055" t="inlineStr">
        <is>
          <t>LXWT-89|</t>
        </is>
      </c>
      <c r="FU1055" t="inlineStr">
        <is>
          <t>LXWT-89</t>
        </is>
      </c>
      <c r="FV1055">
        <f>VLOOKUP(FU1055,FD:FL,9,0)</f>
        <v/>
      </c>
    </row>
    <row r="1056">
      <c r="FC1056" t="inlineStr">
        <is>
          <t>Diccionario 2</t>
        </is>
      </c>
      <c r="FD1056" s="15" t="inlineStr">
        <is>
          <t>GCBB-81</t>
        </is>
      </c>
      <c r="FE1056" s="15" t="inlineStr">
        <is>
          <t>D8482422K2PL</t>
        </is>
      </c>
      <c r="FF1056" s="15" t="inlineStr">
        <is>
          <t>YV3T7U521KA195325</t>
        </is>
      </c>
      <c r="FG1056" s="15" t="inlineStr">
        <is>
          <t>Volvo</t>
        </is>
      </c>
      <c r="FH1056" s="15" t="inlineStr">
        <is>
          <t>B8R</t>
        </is>
      </c>
      <c r="FI1056" s="15" t="inlineStr">
        <is>
          <t>MARCOPOLO</t>
        </is>
      </c>
      <c r="FJ1056" s="15" t="inlineStr">
        <is>
          <t>TORINO</t>
        </is>
      </c>
      <c r="FK1056" s="15" t="n">
        <v>2019</v>
      </c>
      <c r="FL1056" s="15" t="inlineStr">
        <is>
          <t>B2PAL</t>
        </is>
      </c>
      <c r="FM1056" s="15" t="inlineStr">
        <is>
          <t>SAN JOSE</t>
        </is>
      </c>
      <c r="FN1056" s="15" t="inlineStr">
        <is>
          <t>San José 030 (José Besa 669)</t>
        </is>
      </c>
      <c r="FO1056" s="15" t="inlineStr">
        <is>
          <t>San Bernardo</t>
        </is>
      </c>
      <c r="FP1056" t="inlineStr">
        <is>
          <t>B</t>
        </is>
      </c>
      <c r="FS1056" s="14" t="inlineStr">
        <is>
          <t>LZPW-11|</t>
        </is>
      </c>
      <c r="FT1056" t="inlineStr">
        <is>
          <t>LZPW-11|</t>
        </is>
      </c>
      <c r="FU1056" t="inlineStr">
        <is>
          <t>LZPW-11</t>
        </is>
      </c>
      <c r="FV1056">
        <f>VLOOKUP(FU1056,FD:FL,9,0)</f>
        <v/>
      </c>
    </row>
    <row r="1057">
      <c r="FC1057" t="inlineStr">
        <is>
          <t>Diccionario 2</t>
        </is>
      </c>
      <c r="FD1057" s="15" t="inlineStr">
        <is>
          <t>GCBB-82</t>
        </is>
      </c>
      <c r="FE1057" s="15" t="inlineStr">
        <is>
          <t>D8482534K2PL</t>
        </is>
      </c>
      <c r="FF1057" s="15" t="inlineStr">
        <is>
          <t>YV3T7U527KA195359</t>
        </is>
      </c>
      <c r="FG1057" s="15" t="inlineStr">
        <is>
          <t>Volvo</t>
        </is>
      </c>
      <c r="FH1057" s="15" t="inlineStr">
        <is>
          <t>B8R</t>
        </is>
      </c>
      <c r="FI1057" s="15" t="inlineStr">
        <is>
          <t>MARCOPOLO</t>
        </is>
      </c>
      <c r="FJ1057" s="15" t="inlineStr">
        <is>
          <t>TORINO</t>
        </is>
      </c>
      <c r="FK1057" s="15" t="n">
        <v>2019</v>
      </c>
      <c r="FL1057" s="15" t="inlineStr">
        <is>
          <t>B2PAL</t>
        </is>
      </c>
      <c r="FM1057" s="15" t="inlineStr">
        <is>
          <t>SAN JOSE</t>
        </is>
      </c>
      <c r="FN1057" s="15" t="inlineStr">
        <is>
          <t>San José 030 (José Besa 669)</t>
        </is>
      </c>
      <c r="FO1057" s="15" t="inlineStr">
        <is>
          <t>San Bernardo</t>
        </is>
      </c>
      <c r="FP1057" t="inlineStr">
        <is>
          <t>B</t>
        </is>
      </c>
      <c r="FS1057" s="14" t="inlineStr">
        <is>
          <t>LZPT-46|</t>
        </is>
      </c>
      <c r="FT1057" t="inlineStr">
        <is>
          <t>LZPT-46|</t>
        </is>
      </c>
      <c r="FU1057" t="inlineStr">
        <is>
          <t>LZPT-46</t>
        </is>
      </c>
      <c r="FV1057">
        <f>VLOOKUP(FU1057,FD:FL,9,0)</f>
        <v/>
      </c>
    </row>
    <row r="1058">
      <c r="FC1058" t="inlineStr">
        <is>
          <t>Diccionario 2</t>
        </is>
      </c>
      <c r="FD1058" s="15" t="inlineStr">
        <is>
          <t>GCBB-83</t>
        </is>
      </c>
      <c r="FE1058" s="15" t="inlineStr">
        <is>
          <t>D8482872K2PL</t>
        </is>
      </c>
      <c r="FF1058" s="15" t="inlineStr">
        <is>
          <t>YV3T7U52XKA195405</t>
        </is>
      </c>
      <c r="FG1058" s="15" t="inlineStr">
        <is>
          <t>Volvo</t>
        </is>
      </c>
      <c r="FH1058" s="15" t="inlineStr">
        <is>
          <t>B8R</t>
        </is>
      </c>
      <c r="FI1058" s="15" t="inlineStr">
        <is>
          <t>MARCOPOLO</t>
        </is>
      </c>
      <c r="FJ1058" s="15" t="inlineStr">
        <is>
          <t>TORINO</t>
        </is>
      </c>
      <c r="FK1058" s="15" t="n">
        <v>2019</v>
      </c>
      <c r="FL1058" s="15" t="inlineStr">
        <is>
          <t>B2PAL</t>
        </is>
      </c>
      <c r="FM1058" s="15" t="inlineStr">
        <is>
          <t>LOS LIBERTADORES</t>
        </is>
      </c>
      <c r="FN1058" s="15" t="inlineStr">
        <is>
          <t>Los Liberadores 6450, Lote 4A</t>
        </is>
      </c>
      <c r="FO1058" s="15" t="inlineStr">
        <is>
          <t>Huechuraba</t>
        </is>
      </c>
      <c r="FP1058" t="inlineStr">
        <is>
          <t>B</t>
        </is>
      </c>
      <c r="FS1058" s="14" t="inlineStr">
        <is>
          <t>LZRB-86|</t>
        </is>
      </c>
      <c r="FT1058" t="inlineStr">
        <is>
          <t>LZRB-86|</t>
        </is>
      </c>
      <c r="FU1058" t="inlineStr">
        <is>
          <t>LZRB-86</t>
        </is>
      </c>
      <c r="FV1058">
        <f>VLOOKUP(FU1058,FD:FL,9,0)</f>
        <v/>
      </c>
    </row>
    <row r="1059">
      <c r="FC1059" t="inlineStr">
        <is>
          <t>Diccionario 2</t>
        </is>
      </c>
      <c r="FD1059" s="15" t="inlineStr">
        <is>
          <t>GCBB-84</t>
        </is>
      </c>
      <c r="FE1059" s="15" t="inlineStr">
        <is>
          <t>D8482892K2PL</t>
        </is>
      </c>
      <c r="FF1059" s="15" t="inlineStr">
        <is>
          <t>YV3T7U521KA195406</t>
        </is>
      </c>
      <c r="FG1059" s="15" t="inlineStr">
        <is>
          <t>Volvo</t>
        </is>
      </c>
      <c r="FH1059" s="15" t="inlineStr">
        <is>
          <t>B8R</t>
        </is>
      </c>
      <c r="FI1059" s="15" t="inlineStr">
        <is>
          <t>MARCOPOLO</t>
        </is>
      </c>
      <c r="FJ1059" s="15" t="inlineStr">
        <is>
          <t>TORINO</t>
        </is>
      </c>
      <c r="FK1059" s="15" t="n">
        <v>2019</v>
      </c>
      <c r="FL1059" s="15" t="inlineStr">
        <is>
          <t>B2PAL</t>
        </is>
      </c>
      <c r="FM1059" s="15" t="inlineStr">
        <is>
          <t>SAN JOSE</t>
        </is>
      </c>
      <c r="FN1059" s="15" t="inlineStr">
        <is>
          <t>San José 030 (José Besa 669)</t>
        </is>
      </c>
      <c r="FO1059" s="15" t="inlineStr">
        <is>
          <t>San Bernardo</t>
        </is>
      </c>
      <c r="FP1059" t="inlineStr">
        <is>
          <t>B</t>
        </is>
      </c>
      <c r="FS1059" s="14" t="inlineStr">
        <is>
          <t>LZPG-27|</t>
        </is>
      </c>
      <c r="FT1059" t="inlineStr">
        <is>
          <t>LZPG-27|</t>
        </is>
      </c>
      <c r="FU1059" t="inlineStr">
        <is>
          <t>LZPG-27</t>
        </is>
      </c>
      <c r="FV1059">
        <f>VLOOKUP(FU1059,FD:FL,9,0)</f>
        <v/>
      </c>
    </row>
    <row r="1060">
      <c r="FC1060" t="inlineStr">
        <is>
          <t>Diccionario 2</t>
        </is>
      </c>
      <c r="FD1060" s="15" t="inlineStr">
        <is>
          <t>GCBB-12</t>
        </is>
      </c>
      <c r="FE1060" s="15" t="inlineStr">
        <is>
          <t>D8481676K2PL</t>
        </is>
      </c>
      <c r="FF1060" s="15" t="inlineStr">
        <is>
          <t>YV3T7U520KA195199</t>
        </is>
      </c>
      <c r="FG1060" s="15" t="inlineStr">
        <is>
          <t>Volvo</t>
        </is>
      </c>
      <c r="FH1060" s="15" t="inlineStr">
        <is>
          <t>B8R</t>
        </is>
      </c>
      <c r="FI1060" s="15" t="inlineStr">
        <is>
          <t>MARCOPOLO</t>
        </is>
      </c>
      <c r="FJ1060" s="15" t="inlineStr">
        <is>
          <t>TORINO</t>
        </is>
      </c>
      <c r="FK1060" s="15" t="n">
        <v>2019</v>
      </c>
      <c r="FL1060" s="15" t="inlineStr">
        <is>
          <t>B2PAL</t>
        </is>
      </c>
      <c r="FM1060" s="15" t="inlineStr">
        <is>
          <t>LOS LIBERTADORES</t>
        </is>
      </c>
      <c r="FN1060" s="15" t="inlineStr">
        <is>
          <t>Los Liberadores 6450, Lote 4A</t>
        </is>
      </c>
      <c r="FO1060" s="15" t="inlineStr">
        <is>
          <t>Huechuraba</t>
        </is>
      </c>
      <c r="FP1060" t="inlineStr">
        <is>
          <t>B</t>
        </is>
      </c>
      <c r="FS1060" s="14" t="inlineStr">
        <is>
          <t>LZPS-18|</t>
        </is>
      </c>
      <c r="FT1060" t="inlineStr">
        <is>
          <t>LZPS-18|</t>
        </is>
      </c>
      <c r="FU1060" t="inlineStr">
        <is>
          <t>LZPS-18</t>
        </is>
      </c>
      <c r="FV1060">
        <f>VLOOKUP(FU1060,FD:FL,9,0)</f>
        <v/>
      </c>
    </row>
    <row r="1061">
      <c r="FC1061" t="inlineStr">
        <is>
          <t>Diccionario 2</t>
        </is>
      </c>
      <c r="FD1061" s="15" t="inlineStr">
        <is>
          <t>GCBB-85</t>
        </is>
      </c>
      <c r="FE1061" s="15" t="inlineStr">
        <is>
          <t>D8481773K2PL</t>
        </is>
      </c>
      <c r="FF1061" s="15" t="inlineStr">
        <is>
          <t>YV3T7U522KA195429</t>
        </is>
      </c>
      <c r="FG1061" s="15" t="inlineStr">
        <is>
          <t>Volvo</t>
        </is>
      </c>
      <c r="FH1061" s="15" t="inlineStr">
        <is>
          <t>B8R</t>
        </is>
      </c>
      <c r="FI1061" s="15" t="inlineStr">
        <is>
          <t>MARCOPOLO</t>
        </is>
      </c>
      <c r="FJ1061" s="15" t="inlineStr">
        <is>
          <t>TORINO</t>
        </is>
      </c>
      <c r="FK1061" s="15" t="n">
        <v>2019</v>
      </c>
      <c r="FL1061" s="15" t="inlineStr">
        <is>
          <t>B2PAL</t>
        </is>
      </c>
      <c r="FM1061" s="15" t="inlineStr">
        <is>
          <t>LOS LIBERTADORES</t>
        </is>
      </c>
      <c r="FN1061" s="15" t="inlineStr">
        <is>
          <t>Los Liberadores 6450, Lote 4A</t>
        </is>
      </c>
      <c r="FO1061" s="15" t="inlineStr">
        <is>
          <t>Huechuraba</t>
        </is>
      </c>
      <c r="FP1061" t="inlineStr">
        <is>
          <t>B</t>
        </is>
      </c>
      <c r="FS1061" s="14" t="inlineStr">
        <is>
          <t>LZPG-18|</t>
        </is>
      </c>
      <c r="FT1061" t="inlineStr">
        <is>
          <t>LZPG-18|</t>
        </is>
      </c>
      <c r="FU1061" t="inlineStr">
        <is>
          <t>LZPG-18</t>
        </is>
      </c>
      <c r="FV1061">
        <f>VLOOKUP(FU1061,FD:FL,9,0)</f>
        <v/>
      </c>
    </row>
    <row r="1062">
      <c r="FC1062" t="inlineStr">
        <is>
          <t>Diccionario 2</t>
        </is>
      </c>
      <c r="FD1062" s="15" t="inlineStr">
        <is>
          <t>GCBB-86</t>
        </is>
      </c>
      <c r="FE1062" s="15" t="inlineStr">
        <is>
          <t>D8483496K2PL</t>
        </is>
      </c>
      <c r="FF1062" s="15" t="inlineStr">
        <is>
          <t>YV3T7U52XKA195551</t>
        </is>
      </c>
      <c r="FG1062" s="15" t="inlineStr">
        <is>
          <t>Volvo</t>
        </is>
      </c>
      <c r="FH1062" s="15" t="inlineStr">
        <is>
          <t>B8R</t>
        </is>
      </c>
      <c r="FI1062" s="15" t="inlineStr">
        <is>
          <t>MARCOPOLO</t>
        </is>
      </c>
      <c r="FJ1062" s="15" t="inlineStr">
        <is>
          <t>TORINO</t>
        </is>
      </c>
      <c r="FK1062" s="15" t="n">
        <v>2019</v>
      </c>
      <c r="FL1062" s="15" t="inlineStr">
        <is>
          <t>B2PAL</t>
        </is>
      </c>
      <c r="FM1062" s="15" t="inlineStr">
        <is>
          <t>SAN JOSE</t>
        </is>
      </c>
      <c r="FN1062" s="15" t="inlineStr">
        <is>
          <t>San José 030 (José Besa 669)</t>
        </is>
      </c>
      <c r="FO1062" s="15" t="inlineStr">
        <is>
          <t>San Bernardo</t>
        </is>
      </c>
      <c r="FP1062" t="inlineStr">
        <is>
          <t>B</t>
        </is>
      </c>
      <c r="FS1062" s="14" t="inlineStr">
        <is>
          <t>LZPT-64|</t>
        </is>
      </c>
      <c r="FT1062" t="inlineStr">
        <is>
          <t>LZPT-64|</t>
        </is>
      </c>
      <c r="FU1062" t="inlineStr">
        <is>
          <t>LZPT-64</t>
        </is>
      </c>
      <c r="FV1062">
        <f>VLOOKUP(FU1062,FD:FL,9,0)</f>
        <v/>
      </c>
    </row>
    <row r="1063">
      <c r="FC1063" t="inlineStr">
        <is>
          <t>Diccionario 2</t>
        </is>
      </c>
      <c r="FD1063" s="15" t="inlineStr">
        <is>
          <t>GCBB-87</t>
        </is>
      </c>
      <c r="FE1063" s="15" t="inlineStr">
        <is>
          <t>D8483527K2PL</t>
        </is>
      </c>
      <c r="FF1063" s="15" t="inlineStr">
        <is>
          <t>YV3T7U521KA195552</t>
        </is>
      </c>
      <c r="FG1063" s="15" t="inlineStr">
        <is>
          <t>Volvo</t>
        </is>
      </c>
      <c r="FH1063" s="15" t="inlineStr">
        <is>
          <t>B8R</t>
        </is>
      </c>
      <c r="FI1063" s="15" t="inlineStr">
        <is>
          <t>MARCOPOLO</t>
        </is>
      </c>
      <c r="FJ1063" s="15" t="inlineStr">
        <is>
          <t>TORINO</t>
        </is>
      </c>
      <c r="FK1063" s="15" t="n">
        <v>2019</v>
      </c>
      <c r="FL1063" s="15" t="inlineStr">
        <is>
          <t>B2PAL</t>
        </is>
      </c>
      <c r="FM1063" s="15" t="inlineStr">
        <is>
          <t>SAN JOSE</t>
        </is>
      </c>
      <c r="FN1063" s="15" t="inlineStr">
        <is>
          <t>San José 030 (José Besa 669)</t>
        </is>
      </c>
      <c r="FO1063" s="15" t="inlineStr">
        <is>
          <t>San Bernardo</t>
        </is>
      </c>
      <c r="FP1063" t="inlineStr">
        <is>
          <t>B</t>
        </is>
      </c>
      <c r="FS1063" s="14" t="inlineStr">
        <is>
          <t>LZPT-47|</t>
        </is>
      </c>
      <c r="FT1063" t="inlineStr">
        <is>
          <t>LZPT-47|</t>
        </is>
      </c>
      <c r="FU1063" t="inlineStr">
        <is>
          <t>LZPT-47</t>
        </is>
      </c>
      <c r="FV1063">
        <f>VLOOKUP(FU1063,FD:FL,9,0)</f>
        <v/>
      </c>
    </row>
    <row r="1064">
      <c r="FC1064" t="inlineStr">
        <is>
          <t>Diccionario 2</t>
        </is>
      </c>
      <c r="FD1064" s="15" t="inlineStr">
        <is>
          <t>GCBB-88</t>
        </is>
      </c>
      <c r="FE1064" s="15" t="inlineStr">
        <is>
          <t>D8483438K2PL</t>
        </is>
      </c>
      <c r="FF1064" s="15" t="inlineStr">
        <is>
          <t>YV3T7U525KA195554</t>
        </is>
      </c>
      <c r="FG1064" s="15" t="inlineStr">
        <is>
          <t>Volvo</t>
        </is>
      </c>
      <c r="FH1064" s="15" t="inlineStr">
        <is>
          <t>B8R</t>
        </is>
      </c>
      <c r="FI1064" s="15" t="inlineStr">
        <is>
          <t>MARCOPOLO</t>
        </is>
      </c>
      <c r="FJ1064" s="15" t="inlineStr">
        <is>
          <t>TORINO</t>
        </is>
      </c>
      <c r="FK1064" s="15" t="n">
        <v>2019</v>
      </c>
      <c r="FL1064" s="15" t="inlineStr">
        <is>
          <t>B2PAL</t>
        </is>
      </c>
      <c r="FM1064" s="15" t="inlineStr">
        <is>
          <t>SAN JOSE</t>
        </is>
      </c>
      <c r="FN1064" s="15" t="inlineStr">
        <is>
          <t>San José 030 (José Besa 669)</t>
        </is>
      </c>
      <c r="FO1064" s="15" t="inlineStr">
        <is>
          <t>San Bernardo</t>
        </is>
      </c>
      <c r="FP1064" t="inlineStr">
        <is>
          <t>B</t>
        </is>
      </c>
      <c r="FS1064" s="14" t="inlineStr">
        <is>
          <t>LZPG-12|</t>
        </is>
      </c>
      <c r="FT1064" t="inlineStr">
        <is>
          <t>LZPG-12|</t>
        </is>
      </c>
      <c r="FU1064" t="inlineStr">
        <is>
          <t>LZPG-12</t>
        </is>
      </c>
      <c r="FV1064">
        <f>VLOOKUP(FU1064,FD:FL,9,0)</f>
        <v/>
      </c>
    </row>
    <row r="1065">
      <c r="FC1065" t="inlineStr">
        <is>
          <t>Diccionario 2</t>
        </is>
      </c>
      <c r="FD1065" s="15" t="inlineStr">
        <is>
          <t>GCBB-89</t>
        </is>
      </c>
      <c r="FE1065" s="15" t="inlineStr">
        <is>
          <t>D8484688K2PL</t>
        </is>
      </c>
      <c r="FF1065" s="15" t="inlineStr">
        <is>
          <t>YV3T7U521KA195714</t>
        </is>
      </c>
      <c r="FG1065" s="15" t="inlineStr">
        <is>
          <t>Volvo</t>
        </is>
      </c>
      <c r="FH1065" s="15" t="inlineStr">
        <is>
          <t>B8R</t>
        </is>
      </c>
      <c r="FI1065" s="15" t="inlineStr">
        <is>
          <t>MARCOPOLO</t>
        </is>
      </c>
      <c r="FJ1065" s="15" t="inlineStr">
        <is>
          <t>TORINO</t>
        </is>
      </c>
      <c r="FK1065" s="15" t="n">
        <v>2019</v>
      </c>
      <c r="FL1065" s="15" t="inlineStr">
        <is>
          <t>B2PAL</t>
        </is>
      </c>
      <c r="FM1065" s="15" t="inlineStr">
        <is>
          <t>SAN JOSE</t>
        </is>
      </c>
      <c r="FN1065" s="15" t="inlineStr">
        <is>
          <t>San José 030 (José Besa 669)</t>
        </is>
      </c>
      <c r="FO1065" s="15" t="inlineStr">
        <is>
          <t>San Bernardo</t>
        </is>
      </c>
      <c r="FP1065" t="inlineStr">
        <is>
          <t>B</t>
        </is>
      </c>
      <c r="FS1065" s="14" t="inlineStr">
        <is>
          <t>LZPT-39|</t>
        </is>
      </c>
      <c r="FT1065" t="inlineStr">
        <is>
          <t>LZPT-39|</t>
        </is>
      </c>
      <c r="FU1065" t="inlineStr">
        <is>
          <t>LZPT-39</t>
        </is>
      </c>
      <c r="FV1065">
        <f>VLOOKUP(FU1065,FD:FL,9,0)</f>
        <v/>
      </c>
    </row>
    <row r="1066">
      <c r="FC1066" t="inlineStr">
        <is>
          <t>Diccionario 2</t>
        </is>
      </c>
      <c r="FD1066" s="15" t="inlineStr">
        <is>
          <t>GCBB-91</t>
        </is>
      </c>
      <c r="FE1066" s="15" t="inlineStr">
        <is>
          <t>D8482515K2PL</t>
        </is>
      </c>
      <c r="FF1066" s="15" t="inlineStr">
        <is>
          <t>YV3T7U524KA195349</t>
        </is>
      </c>
      <c r="FG1066" s="15" t="inlineStr">
        <is>
          <t>Volvo</t>
        </is>
      </c>
      <c r="FH1066" s="15" t="inlineStr">
        <is>
          <t>B8R</t>
        </is>
      </c>
      <c r="FI1066" s="15" t="inlineStr">
        <is>
          <t>MARCOPOLO</t>
        </is>
      </c>
      <c r="FJ1066" s="15" t="inlineStr">
        <is>
          <t>TORINO</t>
        </is>
      </c>
      <c r="FK1066" s="15" t="n">
        <v>2019</v>
      </c>
      <c r="FL1066" s="15" t="inlineStr">
        <is>
          <t>B2PAL</t>
        </is>
      </c>
      <c r="FM1066" s="15" t="inlineStr">
        <is>
          <t>LOS LIBERTADORES</t>
        </is>
      </c>
      <c r="FN1066" s="15" t="inlineStr">
        <is>
          <t>Los Liberadores 6450, Lote 4A</t>
        </is>
      </c>
      <c r="FO1066" s="15" t="inlineStr">
        <is>
          <t>Huechuraba</t>
        </is>
      </c>
      <c r="FP1066" t="inlineStr">
        <is>
          <t>B</t>
        </is>
      </c>
      <c r="FS1066" s="14" t="inlineStr">
        <is>
          <t>LZPR-93|</t>
        </is>
      </c>
      <c r="FT1066" t="inlineStr">
        <is>
          <t>LZPR-93|</t>
        </is>
      </c>
      <c r="FU1066" t="inlineStr">
        <is>
          <t>LZPR-93</t>
        </is>
      </c>
      <c r="FV1066">
        <f>VLOOKUP(FU1066,FD:FL,9,0)</f>
        <v/>
      </c>
    </row>
    <row r="1067">
      <c r="FC1067" t="inlineStr">
        <is>
          <t>Diccionario 2</t>
        </is>
      </c>
      <c r="FD1067" s="15" t="inlineStr">
        <is>
          <t>GCBB-92</t>
        </is>
      </c>
      <c r="FE1067" s="15" t="inlineStr">
        <is>
          <t>D8482526K2PL</t>
        </is>
      </c>
      <c r="FF1067" s="15" t="inlineStr">
        <is>
          <t>YV3T7U526KA195353</t>
        </is>
      </c>
      <c r="FG1067" s="15" t="inlineStr">
        <is>
          <t>Volvo</t>
        </is>
      </c>
      <c r="FH1067" s="15" t="inlineStr">
        <is>
          <t>B8R</t>
        </is>
      </c>
      <c r="FI1067" s="15" t="inlineStr">
        <is>
          <t>MARCOPOLO</t>
        </is>
      </c>
      <c r="FJ1067" s="15" t="inlineStr">
        <is>
          <t>TORINO</t>
        </is>
      </c>
      <c r="FK1067" s="15" t="n">
        <v>2019</v>
      </c>
      <c r="FL1067" s="15" t="inlineStr">
        <is>
          <t>B2PAL</t>
        </is>
      </c>
      <c r="FM1067" s="15" t="inlineStr">
        <is>
          <t>SAN JOSE</t>
        </is>
      </c>
      <c r="FN1067" s="15" t="inlineStr">
        <is>
          <t>San José 030 (José Besa 669)</t>
        </is>
      </c>
      <c r="FO1067" s="15" t="inlineStr">
        <is>
          <t>San Bernardo</t>
        </is>
      </c>
      <c r="FP1067" t="inlineStr">
        <is>
          <t>B</t>
        </is>
      </c>
      <c r="FS1067" s="14" t="inlineStr">
        <is>
          <t>LZPW-16|</t>
        </is>
      </c>
      <c r="FT1067" t="inlineStr">
        <is>
          <t>LZPW-16|</t>
        </is>
      </c>
      <c r="FU1067" t="inlineStr">
        <is>
          <t>LZPW-16</t>
        </is>
      </c>
      <c r="FV1067">
        <f>VLOOKUP(FU1067,FD:FL,9,0)</f>
        <v/>
      </c>
    </row>
    <row r="1068">
      <c r="FC1068" t="inlineStr">
        <is>
          <t>Diccionario 2</t>
        </is>
      </c>
      <c r="FD1068" s="15" t="inlineStr">
        <is>
          <t>GCBB-93</t>
        </is>
      </c>
      <c r="FE1068" s="15" t="inlineStr">
        <is>
          <t>D8482598K2PL</t>
        </is>
      </c>
      <c r="FF1068" s="15" t="inlineStr">
        <is>
          <t>YV3T7U52XKA195355</t>
        </is>
      </c>
      <c r="FG1068" s="15" t="inlineStr">
        <is>
          <t>Volvo</t>
        </is>
      </c>
      <c r="FH1068" s="15" t="inlineStr">
        <is>
          <t>B8R</t>
        </is>
      </c>
      <c r="FI1068" s="15" t="inlineStr">
        <is>
          <t>MARCOPOLO</t>
        </is>
      </c>
      <c r="FJ1068" s="15" t="inlineStr">
        <is>
          <t>TORINO</t>
        </is>
      </c>
      <c r="FK1068" s="15" t="n">
        <v>2019</v>
      </c>
      <c r="FL1068" s="15" t="inlineStr">
        <is>
          <t>B2PAL</t>
        </is>
      </c>
      <c r="FM1068" s="15" t="inlineStr">
        <is>
          <t>SAN JOSE</t>
        </is>
      </c>
      <c r="FN1068" s="15" t="inlineStr">
        <is>
          <t>San José 030 (José Besa 669)</t>
        </is>
      </c>
      <c r="FO1068" s="15" t="inlineStr">
        <is>
          <t>San Bernardo</t>
        </is>
      </c>
      <c r="FP1068" t="inlineStr">
        <is>
          <t>B</t>
        </is>
      </c>
      <c r="FS1068" s="14" t="inlineStr">
        <is>
          <t>LZPS-10|</t>
        </is>
      </c>
      <c r="FT1068" t="inlineStr">
        <is>
          <t>LZPS-10|</t>
        </is>
      </c>
      <c r="FU1068" t="inlineStr">
        <is>
          <t>LZPS-10</t>
        </is>
      </c>
      <c r="FV1068">
        <f>VLOOKUP(FU1068,FD:FL,9,0)</f>
        <v/>
      </c>
    </row>
    <row r="1069">
      <c r="FC1069" t="inlineStr">
        <is>
          <t>Diccionario 2</t>
        </is>
      </c>
      <c r="FD1069" s="15" t="inlineStr">
        <is>
          <t>GCBB-94</t>
        </is>
      </c>
      <c r="FE1069" s="15" t="inlineStr">
        <is>
          <t>D8483001K2PL</t>
        </is>
      </c>
      <c r="FF1069" s="15" t="inlineStr">
        <is>
          <t>YV3T7U526KA195403</t>
        </is>
      </c>
      <c r="FG1069" s="15" t="inlineStr">
        <is>
          <t>Volvo</t>
        </is>
      </c>
      <c r="FH1069" s="15" t="inlineStr">
        <is>
          <t>B8R</t>
        </is>
      </c>
      <c r="FI1069" s="15" t="inlineStr">
        <is>
          <t>MARCOPOLO</t>
        </is>
      </c>
      <c r="FJ1069" s="15" t="inlineStr">
        <is>
          <t>TORINO</t>
        </is>
      </c>
      <c r="FK1069" s="15" t="n">
        <v>2019</v>
      </c>
      <c r="FL1069" s="15" t="inlineStr">
        <is>
          <t>B2PAL</t>
        </is>
      </c>
      <c r="FM1069" s="15" t="inlineStr">
        <is>
          <t>LOS LIBERTADORES</t>
        </is>
      </c>
      <c r="FN1069" s="15" t="inlineStr">
        <is>
          <t>Los Liberadores 6450, Lote 4A</t>
        </is>
      </c>
      <c r="FO1069" s="15" t="inlineStr">
        <is>
          <t>Huechuraba</t>
        </is>
      </c>
      <c r="FP1069" t="inlineStr">
        <is>
          <t>B</t>
        </is>
      </c>
      <c r="FS1069" s="14" t="inlineStr">
        <is>
          <t>9951 / TBZB-24|</t>
        </is>
      </c>
      <c r="FT1069" t="inlineStr">
        <is>
          <t>TBZB-24|</t>
        </is>
      </c>
      <c r="FU1069" t="inlineStr">
        <is>
          <t>TBZB-24</t>
        </is>
      </c>
      <c r="FV1069">
        <f>VLOOKUP(FU1069,FD:FL,9,0)</f>
        <v/>
      </c>
    </row>
    <row r="1070">
      <c r="FC1070" t="inlineStr">
        <is>
          <t>Diccionario 2</t>
        </is>
      </c>
      <c r="FD1070" s="15" t="inlineStr">
        <is>
          <t>GCBB-95</t>
        </is>
      </c>
      <c r="FE1070" s="15" t="inlineStr">
        <is>
          <t>D8483444K2PL</t>
        </is>
      </c>
      <c r="FF1070" s="15" t="inlineStr">
        <is>
          <t>YV3T7U528KA195404</t>
        </is>
      </c>
      <c r="FG1070" s="15" t="inlineStr">
        <is>
          <t>Volvo</t>
        </is>
      </c>
      <c r="FH1070" s="15" t="inlineStr">
        <is>
          <t>B8R</t>
        </is>
      </c>
      <c r="FI1070" s="15" t="inlineStr">
        <is>
          <t>MARCOPOLO</t>
        </is>
      </c>
      <c r="FJ1070" s="15" t="inlineStr">
        <is>
          <t>TORINO</t>
        </is>
      </c>
      <c r="FK1070" s="15" t="n">
        <v>2019</v>
      </c>
      <c r="FL1070" s="15" t="inlineStr">
        <is>
          <t>B2PAL</t>
        </is>
      </c>
      <c r="FM1070" s="15" t="inlineStr">
        <is>
          <t>SAN JOSE</t>
        </is>
      </c>
      <c r="FN1070" s="15" t="inlineStr">
        <is>
          <t>San José 030 (José Besa 669)</t>
        </is>
      </c>
      <c r="FO1070" s="15" t="inlineStr">
        <is>
          <t>San Bernardo</t>
        </is>
      </c>
      <c r="FP1070" t="inlineStr">
        <is>
          <t>B</t>
        </is>
      </c>
      <c r="FS1070" s="14" t="inlineStr">
        <is>
          <t>LZPT-60|</t>
        </is>
      </c>
      <c r="FT1070" t="inlineStr">
        <is>
          <t>LZPT-60|</t>
        </is>
      </c>
      <c r="FU1070" t="inlineStr">
        <is>
          <t>LZPT-60</t>
        </is>
      </c>
      <c r="FV1070">
        <f>VLOOKUP(FU1070,FD:FL,9,0)</f>
        <v/>
      </c>
    </row>
    <row r="1071">
      <c r="FC1071" t="inlineStr">
        <is>
          <t>Diccionario 2</t>
        </is>
      </c>
      <c r="FD1071" s="15" t="inlineStr">
        <is>
          <t>GCBB-13</t>
        </is>
      </c>
      <c r="FE1071" s="15" t="inlineStr">
        <is>
          <t>D8481462K2PL</t>
        </is>
      </c>
      <c r="FF1071" s="15" t="inlineStr">
        <is>
          <t>YV3T7U523KA195200</t>
        </is>
      </c>
      <c r="FG1071" s="15" t="inlineStr">
        <is>
          <t>Volvo</t>
        </is>
      </c>
      <c r="FH1071" s="15" t="inlineStr">
        <is>
          <t>B8R</t>
        </is>
      </c>
      <c r="FI1071" s="15" t="inlineStr">
        <is>
          <t>MARCOPOLO</t>
        </is>
      </c>
      <c r="FJ1071" s="15" t="inlineStr">
        <is>
          <t>TORINO</t>
        </is>
      </c>
      <c r="FK1071" s="15" t="n">
        <v>2019</v>
      </c>
      <c r="FL1071" s="15" t="inlineStr">
        <is>
          <t>B2PAL</t>
        </is>
      </c>
      <c r="FM1071" s="15" t="inlineStr">
        <is>
          <t>LOS LIBERTADORES</t>
        </is>
      </c>
      <c r="FN1071" s="15" t="inlineStr">
        <is>
          <t>Los Liberadores 6450, Lote 4A</t>
        </is>
      </c>
      <c r="FO1071" s="15" t="inlineStr">
        <is>
          <t>Huechuraba</t>
        </is>
      </c>
      <c r="FP1071" t="inlineStr">
        <is>
          <t>B</t>
        </is>
      </c>
      <c r="FS1071" s="14" t="inlineStr">
        <is>
          <t>LZRB-83|</t>
        </is>
      </c>
      <c r="FT1071" t="inlineStr">
        <is>
          <t>LZRB-83|</t>
        </is>
      </c>
      <c r="FU1071" t="inlineStr">
        <is>
          <t>LZRB-83</t>
        </is>
      </c>
      <c r="FV1071">
        <f>VLOOKUP(FU1071,FD:FL,9,0)</f>
        <v/>
      </c>
    </row>
    <row r="1072">
      <c r="FC1072" t="inlineStr">
        <is>
          <t>Diccionario 2</t>
        </is>
      </c>
      <c r="FD1072" s="15" t="inlineStr">
        <is>
          <t>GCBB-96</t>
        </is>
      </c>
      <c r="FE1072" s="15" t="inlineStr">
        <is>
          <t>D8481807K2PL</t>
        </is>
      </c>
      <c r="FF1072" s="15" t="inlineStr">
        <is>
          <t>YV3T7U520KA195428</t>
        </is>
      </c>
      <c r="FG1072" s="15" t="inlineStr">
        <is>
          <t>Volvo</t>
        </is>
      </c>
      <c r="FH1072" s="15" t="inlineStr">
        <is>
          <t>B8R</t>
        </is>
      </c>
      <c r="FI1072" s="15" t="inlineStr">
        <is>
          <t>MARCOPOLO</t>
        </is>
      </c>
      <c r="FJ1072" s="15" t="inlineStr">
        <is>
          <t>TORINO</t>
        </is>
      </c>
      <c r="FK1072" s="15" t="n">
        <v>2019</v>
      </c>
      <c r="FL1072" s="15" t="inlineStr">
        <is>
          <t>B2PAL</t>
        </is>
      </c>
      <c r="FM1072" s="15" t="inlineStr">
        <is>
          <t>SAN JOSE</t>
        </is>
      </c>
      <c r="FN1072" s="15" t="inlineStr">
        <is>
          <t>San José 030 (José Besa 669)</t>
        </is>
      </c>
      <c r="FO1072" s="15" t="inlineStr">
        <is>
          <t>San Bernardo</t>
        </is>
      </c>
      <c r="FP1072" t="inlineStr">
        <is>
          <t>B</t>
        </is>
      </c>
      <c r="FS1072" s="14" t="inlineStr">
        <is>
          <t>LZPT-38|</t>
        </is>
      </c>
      <c r="FT1072" t="inlineStr">
        <is>
          <t>LZPT-38|</t>
        </is>
      </c>
      <c r="FU1072" t="inlineStr">
        <is>
          <t>LZPT-38</t>
        </is>
      </c>
      <c r="FV1072">
        <f>VLOOKUP(FU1072,FD:FL,9,0)</f>
        <v/>
      </c>
    </row>
    <row r="1073">
      <c r="FC1073" t="inlineStr">
        <is>
          <t>Diccionario 2</t>
        </is>
      </c>
      <c r="FD1073" s="15" t="inlineStr">
        <is>
          <t>GCBB-97</t>
        </is>
      </c>
      <c r="FE1073" s="15" t="inlineStr">
        <is>
          <t>D8481802K2PL</t>
        </is>
      </c>
      <c r="FF1073" s="15" t="inlineStr">
        <is>
          <t>YV3T7U529KA195430</t>
        </is>
      </c>
      <c r="FG1073" s="15" t="inlineStr">
        <is>
          <t>Volvo</t>
        </is>
      </c>
      <c r="FH1073" s="15" t="inlineStr">
        <is>
          <t>B8R</t>
        </is>
      </c>
      <c r="FI1073" s="15" t="inlineStr">
        <is>
          <t>MARCOPOLO</t>
        </is>
      </c>
      <c r="FJ1073" s="15" t="inlineStr">
        <is>
          <t>TORINO</t>
        </is>
      </c>
      <c r="FK1073" s="15" t="n">
        <v>2019</v>
      </c>
      <c r="FL1073" s="15" t="inlineStr">
        <is>
          <t>B2PAL</t>
        </is>
      </c>
      <c r="FM1073" s="15" t="inlineStr">
        <is>
          <t>SAN JOSE</t>
        </is>
      </c>
      <c r="FN1073" s="15" t="inlineStr">
        <is>
          <t>San José 030 (José Besa 669)</t>
        </is>
      </c>
      <c r="FO1073" s="15" t="inlineStr">
        <is>
          <t>San Bernardo</t>
        </is>
      </c>
      <c r="FP1073" t="inlineStr">
        <is>
          <t>B</t>
        </is>
      </c>
      <c r="FS1073" s="14" t="inlineStr">
        <is>
          <t>LXWT-84|</t>
        </is>
      </c>
      <c r="FT1073" t="inlineStr">
        <is>
          <t>LXWT-84|</t>
        </is>
      </c>
      <c r="FU1073" t="inlineStr">
        <is>
          <t>LXWT-84</t>
        </is>
      </c>
      <c r="FV1073">
        <f>VLOOKUP(FU1073,FD:FL,9,0)</f>
        <v/>
      </c>
    </row>
    <row r="1074">
      <c r="FC1074" t="inlineStr">
        <is>
          <t>Diccionario 2</t>
        </is>
      </c>
      <c r="FD1074" s="15" t="inlineStr">
        <is>
          <t>GCBB-98</t>
        </is>
      </c>
      <c r="FE1074" s="15" t="inlineStr">
        <is>
          <t>D8481788K2PL</t>
        </is>
      </c>
      <c r="FF1074" s="15" t="inlineStr">
        <is>
          <t>YV3T7U520KA195431</t>
        </is>
      </c>
      <c r="FG1074" s="15" t="inlineStr">
        <is>
          <t>Volvo</t>
        </is>
      </c>
      <c r="FH1074" s="15" t="inlineStr">
        <is>
          <t>B8R</t>
        </is>
      </c>
      <c r="FI1074" s="15" t="inlineStr">
        <is>
          <t>MARCOPOLO</t>
        </is>
      </c>
      <c r="FJ1074" s="15" t="inlineStr">
        <is>
          <t>TORINO</t>
        </is>
      </c>
      <c r="FK1074" s="15" t="n">
        <v>2019</v>
      </c>
      <c r="FL1074" s="15" t="inlineStr">
        <is>
          <t>B2PAL</t>
        </is>
      </c>
      <c r="FM1074" s="15" t="inlineStr">
        <is>
          <t>SAN JOSE</t>
        </is>
      </c>
      <c r="FN1074" s="15" t="inlineStr">
        <is>
          <t>San José 030 (José Besa 669)</t>
        </is>
      </c>
      <c r="FO1074" s="15" t="inlineStr">
        <is>
          <t>San Bernardo</t>
        </is>
      </c>
      <c r="FP1074" t="inlineStr">
        <is>
          <t>B</t>
        </is>
      </c>
      <c r="FS1074" s="14" t="inlineStr">
        <is>
          <t>LZPT-63|</t>
        </is>
      </c>
      <c r="FT1074" t="inlineStr">
        <is>
          <t>LZPT-63|</t>
        </is>
      </c>
      <c r="FU1074" t="inlineStr">
        <is>
          <t>LZPT-63</t>
        </is>
      </c>
      <c r="FV1074">
        <f>VLOOKUP(FU1074,FD:FL,9,0)</f>
        <v/>
      </c>
    </row>
    <row r="1075">
      <c r="FC1075" t="inlineStr">
        <is>
          <t>Diccionario 2</t>
        </is>
      </c>
      <c r="FD1075" s="15" t="inlineStr">
        <is>
          <t>GCBB-33</t>
        </is>
      </c>
      <c r="FE1075" s="15" t="inlineStr">
        <is>
          <t>D8483123K2PL</t>
        </is>
      </c>
      <c r="FF1075" s="15" t="inlineStr">
        <is>
          <t>YV3T7U525KA195487</t>
        </is>
      </c>
      <c r="FG1075" s="15" t="inlineStr">
        <is>
          <t>Volvo</t>
        </is>
      </c>
      <c r="FH1075" s="15" t="inlineStr">
        <is>
          <t>B8R</t>
        </is>
      </c>
      <c r="FI1075" s="15" t="inlineStr">
        <is>
          <t>MARCOPOLO</t>
        </is>
      </c>
      <c r="FJ1075" s="15" t="inlineStr">
        <is>
          <t>TORINO</t>
        </is>
      </c>
      <c r="FK1075" s="15" t="n">
        <v>2019</v>
      </c>
      <c r="FL1075" s="15" t="inlineStr">
        <is>
          <t>B2PAL</t>
        </is>
      </c>
      <c r="FM1075" s="15" t="inlineStr">
        <is>
          <t>SAN JOSE</t>
        </is>
      </c>
      <c r="FN1075" s="15" t="inlineStr">
        <is>
          <t>San José 030 (José Besa 669)</t>
        </is>
      </c>
      <c r="FO1075" s="15" t="inlineStr">
        <is>
          <t>San Bernardo</t>
        </is>
      </c>
      <c r="FP1075" t="inlineStr">
        <is>
          <t>B</t>
        </is>
      </c>
      <c r="FS1075" s="14" t="inlineStr">
        <is>
          <t>9930 / SXKV-99|</t>
        </is>
      </c>
      <c r="FT1075" t="inlineStr">
        <is>
          <t>SXKV-99|</t>
        </is>
      </c>
      <c r="FU1075" t="inlineStr">
        <is>
          <t>SXKV-99</t>
        </is>
      </c>
      <c r="FV1075">
        <f>VLOOKUP(FU1075,FD:FL,9,0)</f>
        <v/>
      </c>
    </row>
    <row r="1076">
      <c r="FC1076" t="inlineStr">
        <is>
          <t>Diccionario 2</t>
        </is>
      </c>
      <c r="FD1076" s="15" t="inlineStr">
        <is>
          <t>GCBC-10</t>
        </is>
      </c>
      <c r="FE1076" s="15" t="inlineStr">
        <is>
          <t>D8483090K2PL</t>
        </is>
      </c>
      <c r="FF1076" s="15" t="inlineStr">
        <is>
          <t>YV3T7U527KA195488</t>
        </is>
      </c>
      <c r="FG1076" s="15" t="inlineStr">
        <is>
          <t>Volvo</t>
        </is>
      </c>
      <c r="FH1076" s="15" t="inlineStr">
        <is>
          <t>B8R</t>
        </is>
      </c>
      <c r="FI1076" s="15" t="inlineStr">
        <is>
          <t>MARCOPOLO</t>
        </is>
      </c>
      <c r="FJ1076" s="15" t="inlineStr">
        <is>
          <t>TORINO</t>
        </is>
      </c>
      <c r="FK1076" s="15" t="n">
        <v>2019</v>
      </c>
      <c r="FL1076" s="15" t="inlineStr">
        <is>
          <t>B2PAL</t>
        </is>
      </c>
      <c r="FM1076" s="15" t="inlineStr">
        <is>
          <t>SAN JOSE</t>
        </is>
      </c>
      <c r="FN1076" s="15" t="inlineStr">
        <is>
          <t>San José 030 (José Besa 669)</t>
        </is>
      </c>
      <c r="FO1076" s="15" t="inlineStr">
        <is>
          <t>San Bernardo</t>
        </is>
      </c>
      <c r="FP1076" t="inlineStr">
        <is>
          <t>B</t>
        </is>
      </c>
      <c r="FS1076" s="14" t="inlineStr">
        <is>
          <t>LZPR-81|</t>
        </is>
      </c>
      <c r="FT1076" t="inlineStr">
        <is>
          <t>LZPR-81|</t>
        </is>
      </c>
      <c r="FU1076" t="inlineStr">
        <is>
          <t>LZPR-81</t>
        </is>
      </c>
      <c r="FV1076">
        <f>VLOOKUP(FU1076,FD:FL,9,0)</f>
        <v/>
      </c>
    </row>
    <row r="1077">
      <c r="FC1077" t="inlineStr">
        <is>
          <t>Diccionario 2</t>
        </is>
      </c>
      <c r="FD1077" s="15" t="inlineStr">
        <is>
          <t>GCBC-11</t>
        </is>
      </c>
      <c r="FE1077" s="15" t="inlineStr">
        <is>
          <t>D8483468K2PL</t>
        </is>
      </c>
      <c r="FF1077" s="15" t="inlineStr">
        <is>
          <t>YV3T7U525KA195571</t>
        </is>
      </c>
      <c r="FG1077" s="15" t="inlineStr">
        <is>
          <t>Volvo</t>
        </is>
      </c>
      <c r="FH1077" s="15" t="inlineStr">
        <is>
          <t>B8R</t>
        </is>
      </c>
      <c r="FI1077" s="15" t="inlineStr">
        <is>
          <t>MARCOPOLO</t>
        </is>
      </c>
      <c r="FJ1077" s="15" t="inlineStr">
        <is>
          <t>TORINO</t>
        </is>
      </c>
      <c r="FK1077" s="15" t="n">
        <v>2019</v>
      </c>
      <c r="FL1077" s="15" t="inlineStr">
        <is>
          <t>B2PAL</t>
        </is>
      </c>
      <c r="FM1077" s="15" t="inlineStr">
        <is>
          <t>SAN JOSE</t>
        </is>
      </c>
      <c r="FN1077" s="15" t="inlineStr">
        <is>
          <t>San José 030 (José Besa 669)</t>
        </is>
      </c>
      <c r="FO1077" s="15" t="inlineStr">
        <is>
          <t>San Bernardo</t>
        </is>
      </c>
      <c r="FP1077" t="inlineStr">
        <is>
          <t>B</t>
        </is>
      </c>
      <c r="FS1077" s="14" t="inlineStr">
        <is>
          <t>LZPG-13|</t>
        </is>
      </c>
      <c r="FT1077" t="inlineStr">
        <is>
          <t>LZPG-13|</t>
        </is>
      </c>
      <c r="FU1077" t="inlineStr">
        <is>
          <t>LZPG-13</t>
        </is>
      </c>
      <c r="FV1077">
        <f>VLOOKUP(FU1077,FD:FL,9,0)</f>
        <v/>
      </c>
    </row>
    <row r="1078">
      <c r="FC1078" t="inlineStr">
        <is>
          <t>Diccionario 2</t>
        </is>
      </c>
      <c r="FD1078" s="15" t="inlineStr">
        <is>
          <t>GCBC-12</t>
        </is>
      </c>
      <c r="FE1078" s="15" t="inlineStr">
        <is>
          <t>D8483819K2PL</t>
        </is>
      </c>
      <c r="FF1078" s="15" t="inlineStr">
        <is>
          <t>YV3T7U520KA195686</t>
        </is>
      </c>
      <c r="FG1078" s="15" t="inlineStr">
        <is>
          <t>Volvo</t>
        </is>
      </c>
      <c r="FH1078" s="15" t="inlineStr">
        <is>
          <t>B8R</t>
        </is>
      </c>
      <c r="FI1078" s="15" t="inlineStr">
        <is>
          <t>MARCOPOLO</t>
        </is>
      </c>
      <c r="FJ1078" s="15" t="inlineStr">
        <is>
          <t>TORINO</t>
        </is>
      </c>
      <c r="FK1078" s="15" t="n">
        <v>2019</v>
      </c>
      <c r="FL1078" s="15" t="inlineStr">
        <is>
          <t>B2PAL</t>
        </is>
      </c>
      <c r="FM1078" s="15" t="inlineStr">
        <is>
          <t>SAN JOSE</t>
        </is>
      </c>
      <c r="FN1078" s="15" t="inlineStr">
        <is>
          <t>San José 030 (José Besa 669)</t>
        </is>
      </c>
      <c r="FO1078" s="15" t="inlineStr">
        <is>
          <t>San Bernardo</t>
        </is>
      </c>
      <c r="FP1078" t="inlineStr">
        <is>
          <t>B</t>
        </is>
      </c>
      <c r="FS1078" s="14" t="inlineStr">
        <is>
          <t>LXWT-82|</t>
        </is>
      </c>
      <c r="FT1078" t="inlineStr">
        <is>
          <t>LXWT-82|</t>
        </is>
      </c>
      <c r="FU1078" t="inlineStr">
        <is>
          <t>LXWT-82</t>
        </is>
      </c>
      <c r="FV1078">
        <f>VLOOKUP(FU1078,FD:FL,9,0)</f>
        <v/>
      </c>
    </row>
    <row r="1079">
      <c r="FC1079" t="inlineStr">
        <is>
          <t>Diccionario 2</t>
        </is>
      </c>
      <c r="FD1079" s="15" t="inlineStr">
        <is>
          <t>GCBC-13</t>
        </is>
      </c>
      <c r="FE1079" s="15" t="inlineStr">
        <is>
          <t>D8481869K2PL</t>
        </is>
      </c>
      <c r="FF1079" s="15" t="inlineStr">
        <is>
          <t>YV3T7U521KA195194</t>
        </is>
      </c>
      <c r="FG1079" s="15" t="inlineStr">
        <is>
          <t>Volvo</t>
        </is>
      </c>
      <c r="FH1079" s="15" t="inlineStr">
        <is>
          <t>B8R</t>
        </is>
      </c>
      <c r="FI1079" s="15" t="inlineStr">
        <is>
          <t>MARCOPOLO</t>
        </is>
      </c>
      <c r="FJ1079" s="15" t="inlineStr">
        <is>
          <t>TORINO</t>
        </is>
      </c>
      <c r="FK1079" s="15" t="n">
        <v>2019</v>
      </c>
      <c r="FL1079" s="15" t="inlineStr">
        <is>
          <t>B2PAL</t>
        </is>
      </c>
      <c r="FM1079" s="15" t="inlineStr">
        <is>
          <t>SAN JOSE</t>
        </is>
      </c>
      <c r="FN1079" s="15" t="inlineStr">
        <is>
          <t>San José 030 (José Besa 669)</t>
        </is>
      </c>
      <c r="FO1079" s="15" t="inlineStr">
        <is>
          <t>San Bernardo</t>
        </is>
      </c>
      <c r="FP1079" t="inlineStr">
        <is>
          <t>B</t>
        </is>
      </c>
      <c r="FS1079" s="14" t="inlineStr">
        <is>
          <t>LXWT-83|</t>
        </is>
      </c>
      <c r="FT1079" t="inlineStr">
        <is>
          <t>LXWT-83|</t>
        </is>
      </c>
      <c r="FU1079" t="inlineStr">
        <is>
          <t>LXWT-83</t>
        </is>
      </c>
      <c r="FV1079">
        <f>VLOOKUP(FU1079,FD:FL,9,0)</f>
        <v/>
      </c>
    </row>
    <row r="1080">
      <c r="FC1080" t="inlineStr">
        <is>
          <t>Diccionario 2</t>
        </is>
      </c>
      <c r="FD1080" s="15" t="inlineStr">
        <is>
          <t>GCBC-14</t>
        </is>
      </c>
      <c r="FE1080" s="15" t="inlineStr">
        <is>
          <t>D8483079K2PL</t>
        </is>
      </c>
      <c r="FF1080" s="15" t="inlineStr">
        <is>
          <t>YV3T7U529KA195489</t>
        </is>
      </c>
      <c r="FG1080" s="15" t="inlineStr">
        <is>
          <t>Volvo</t>
        </is>
      </c>
      <c r="FH1080" s="15" t="inlineStr">
        <is>
          <t>B8R</t>
        </is>
      </c>
      <c r="FI1080" s="15" t="inlineStr">
        <is>
          <t>MARCOPOLO</t>
        </is>
      </c>
      <c r="FJ1080" s="15" t="inlineStr">
        <is>
          <t>TORINO</t>
        </is>
      </c>
      <c r="FK1080" s="15" t="n">
        <v>2019</v>
      </c>
      <c r="FL1080" s="15" t="inlineStr">
        <is>
          <t>B2PAL</t>
        </is>
      </c>
      <c r="FM1080" s="15" t="inlineStr">
        <is>
          <t>SAN JOSE</t>
        </is>
      </c>
      <c r="FN1080" s="15" t="inlineStr">
        <is>
          <t>San José 030 (José Besa 669)</t>
        </is>
      </c>
      <c r="FO1080" s="15" t="inlineStr">
        <is>
          <t>San Bernardo</t>
        </is>
      </c>
      <c r="FP1080" t="inlineStr">
        <is>
          <t>B</t>
        </is>
      </c>
      <c r="FS1080" s="14" t="inlineStr">
        <is>
          <t>LZPT-48|</t>
        </is>
      </c>
      <c r="FT1080" t="inlineStr">
        <is>
          <t>LZPT-48|</t>
        </is>
      </c>
      <c r="FU1080" t="inlineStr">
        <is>
          <t>LZPT-48</t>
        </is>
      </c>
      <c r="FV1080">
        <f>VLOOKUP(FU1080,FD:FL,9,0)</f>
        <v/>
      </c>
    </row>
    <row r="1081">
      <c r="FC1081" t="inlineStr">
        <is>
          <t>Diccionario 2</t>
        </is>
      </c>
      <c r="FD1081" s="15" t="inlineStr">
        <is>
          <t>GCBC-15</t>
        </is>
      </c>
      <c r="FE1081" s="15" t="inlineStr">
        <is>
          <t>D8483914K2PL</t>
        </is>
      </c>
      <c r="FF1081" s="15" t="inlineStr">
        <is>
          <t>YV3T7U524KA195593</t>
        </is>
      </c>
      <c r="FG1081" s="15" t="inlineStr">
        <is>
          <t>Volvo</t>
        </is>
      </c>
      <c r="FH1081" s="15" t="inlineStr">
        <is>
          <t>B8R</t>
        </is>
      </c>
      <c r="FI1081" s="15" t="inlineStr">
        <is>
          <t>MARCOPOLO</t>
        </is>
      </c>
      <c r="FJ1081" s="15" t="inlineStr">
        <is>
          <t>TORINO</t>
        </is>
      </c>
      <c r="FK1081" s="15" t="n">
        <v>2019</v>
      </c>
      <c r="FL1081" s="15" t="inlineStr">
        <is>
          <t>B2PAL</t>
        </is>
      </c>
      <c r="FM1081" s="15" t="inlineStr">
        <is>
          <t>SAN JOSE</t>
        </is>
      </c>
      <c r="FN1081" s="15" t="inlineStr">
        <is>
          <t>San José 030 (José Besa 669)</t>
        </is>
      </c>
      <c r="FO1081" s="15" t="inlineStr">
        <is>
          <t>San Bernardo</t>
        </is>
      </c>
      <c r="FP1081" t="inlineStr">
        <is>
          <t>B</t>
        </is>
      </c>
      <c r="FS1081" s="14" t="inlineStr">
        <is>
          <t>LZPR-79|</t>
        </is>
      </c>
      <c r="FT1081" t="inlineStr">
        <is>
          <t>LZPR-79|</t>
        </is>
      </c>
      <c r="FU1081" t="inlineStr">
        <is>
          <t>LZPR-79</t>
        </is>
      </c>
      <c r="FV1081">
        <f>VLOOKUP(FU1081,FD:FL,9,0)</f>
        <v/>
      </c>
    </row>
    <row r="1082">
      <c r="FC1082" t="inlineStr">
        <is>
          <t>Diccionario 2</t>
        </is>
      </c>
      <c r="FD1082" s="15" t="inlineStr">
        <is>
          <t>VFHJ-88</t>
        </is>
      </c>
      <c r="FE1082" s="15" t="inlineStr">
        <is>
          <t>LDYECS31XS0043931</t>
        </is>
      </c>
      <c r="FF1082" s="15" t="inlineStr">
        <is>
          <t>MDN35025010058</t>
        </is>
      </c>
      <c r="FG1082" s="15" t="inlineStr">
        <is>
          <t>Zhong Tong</t>
        </is>
      </c>
      <c r="FH1082" s="15" t="inlineStr">
        <is>
          <t>Lck6122evg</t>
        </is>
      </c>
      <c r="FI1082" s="15" t="inlineStr">
        <is>
          <t>ZHONGTONG</t>
        </is>
      </c>
      <c r="FJ1082" s="15" t="inlineStr">
        <is>
          <t>LCK6122EVG</t>
        </is>
      </c>
      <c r="FK1082" s="15" t="n">
        <v>2025</v>
      </c>
      <c r="FL1082" s="15" t="inlineStr">
        <is>
          <t>B</t>
        </is>
      </c>
      <c r="FM1082" s="15" t="inlineStr">
        <is>
          <t>SAN JOSE</t>
        </is>
      </c>
      <c r="FN1082" s="15" t="inlineStr">
        <is>
          <t>San José 030 (José Besa 669)</t>
        </is>
      </c>
      <c r="FO1082" s="15" t="inlineStr">
        <is>
          <t>San Bernardo</t>
        </is>
      </c>
      <c r="FP1082" t="inlineStr">
        <is>
          <t>B</t>
        </is>
      </c>
      <c r="FS1082" s="14" t="inlineStr">
        <is>
          <t>LZPT-64|</t>
        </is>
      </c>
      <c r="FT1082" t="inlineStr">
        <is>
          <t>LZPT-64|</t>
        </is>
      </c>
      <c r="FU1082" t="inlineStr">
        <is>
          <t>LZPT-64</t>
        </is>
      </c>
      <c r="FV1082">
        <f>VLOOKUP(FU1082,FD:FL,9,0)</f>
        <v/>
      </c>
    </row>
    <row r="1083">
      <c r="FC1083" t="inlineStr">
        <is>
          <t>Diccionario 2</t>
        </is>
      </c>
      <c r="FD1083" s="15" t="inlineStr">
        <is>
          <t>VFHL-33</t>
        </is>
      </c>
      <c r="FE1083" s="15" t="inlineStr">
        <is>
          <t>LDYECS315S0043917</t>
        </is>
      </c>
      <c r="FF1083" s="15" t="inlineStr">
        <is>
          <t>MDN35025010105</t>
        </is>
      </c>
      <c r="FG1083" s="15" t="inlineStr">
        <is>
          <t>Zhong Tong</t>
        </is>
      </c>
      <c r="FH1083" s="15" t="inlineStr">
        <is>
          <t>Lck6122evg</t>
        </is>
      </c>
      <c r="FI1083" s="15" t="inlineStr">
        <is>
          <t>ZHONGTONG</t>
        </is>
      </c>
      <c r="FJ1083" s="15" t="inlineStr">
        <is>
          <t>LCK6122EVG</t>
        </is>
      </c>
      <c r="FK1083" s="15" t="n">
        <v>2025</v>
      </c>
      <c r="FL1083" s="15" t="inlineStr">
        <is>
          <t>B</t>
        </is>
      </c>
      <c r="FM1083" s="15" t="inlineStr">
        <is>
          <t>SAN JOSE</t>
        </is>
      </c>
      <c r="FN1083" s="15" t="inlineStr">
        <is>
          <t>San José 030 (José Besa 669)</t>
        </is>
      </c>
      <c r="FO1083" s="15" t="inlineStr">
        <is>
          <t>San Bernardo</t>
        </is>
      </c>
      <c r="FP1083" t="inlineStr">
        <is>
          <t>B</t>
        </is>
      </c>
      <c r="FS1083" s="14" t="inlineStr">
        <is>
          <t>LZPG-20|</t>
        </is>
      </c>
      <c r="FT1083" t="inlineStr">
        <is>
          <t>LZPG-20|</t>
        </is>
      </c>
      <c r="FU1083" t="inlineStr">
        <is>
          <t>LZPG-20</t>
        </is>
      </c>
      <c r="FV1083">
        <f>VLOOKUP(FU1083,FD:FL,9,0)</f>
        <v/>
      </c>
    </row>
    <row r="1084">
      <c r="FC1084" t="inlineStr">
        <is>
          <t>Diccionario 2</t>
        </is>
      </c>
      <c r="FD1084" s="15" t="inlineStr">
        <is>
          <t>VFHL-39</t>
        </is>
      </c>
      <c r="FE1084" s="15" t="inlineStr">
        <is>
          <t>LDYECS319S0043970</t>
        </is>
      </c>
      <c r="FF1084" s="15" t="inlineStr">
        <is>
          <t>MDN35025010061</t>
        </is>
      </c>
      <c r="FG1084" s="15" t="inlineStr">
        <is>
          <t>Zhong Tong</t>
        </is>
      </c>
      <c r="FH1084" s="15" t="inlineStr">
        <is>
          <t>Lck6122evg</t>
        </is>
      </c>
      <c r="FI1084" s="15" t="inlineStr">
        <is>
          <t>ZHONGTONG</t>
        </is>
      </c>
      <c r="FJ1084" s="15" t="inlineStr">
        <is>
          <t>LCK6122EVG</t>
        </is>
      </c>
      <c r="FK1084" s="15" t="n">
        <v>2025</v>
      </c>
      <c r="FL1084" s="15" t="inlineStr">
        <is>
          <t>B</t>
        </is>
      </c>
      <c r="FM1084" s="15" t="inlineStr">
        <is>
          <t>SAN JOSE</t>
        </is>
      </c>
      <c r="FN1084" s="15" t="inlineStr">
        <is>
          <t>San José 030 (José Besa 669)</t>
        </is>
      </c>
      <c r="FO1084" s="15" t="inlineStr">
        <is>
          <t>San Bernardo</t>
        </is>
      </c>
      <c r="FP1084" t="inlineStr">
        <is>
          <t>B</t>
        </is>
      </c>
      <c r="FS1084" s="14" t="inlineStr">
        <is>
          <t>LZPS-12|</t>
        </is>
      </c>
      <c r="FT1084" t="inlineStr">
        <is>
          <t>LZPS-12|</t>
        </is>
      </c>
      <c r="FU1084" t="inlineStr">
        <is>
          <t>LZPS-12</t>
        </is>
      </c>
      <c r="FV1084">
        <f>VLOOKUP(FU1084,FD:FL,9,0)</f>
        <v/>
      </c>
    </row>
    <row r="1085">
      <c r="FC1085" t="inlineStr">
        <is>
          <t>Diccionario 2</t>
        </is>
      </c>
      <c r="FD1085" s="15" t="inlineStr">
        <is>
          <t>VFHL-46</t>
        </is>
      </c>
      <c r="FE1085" s="15" t="inlineStr">
        <is>
          <t>LDYECS318S0043930</t>
        </is>
      </c>
      <c r="FF1085" s="15" t="inlineStr">
        <is>
          <t>MDN35025010059</t>
        </is>
      </c>
      <c r="FG1085" s="15" t="inlineStr">
        <is>
          <t>Zhong Tong</t>
        </is>
      </c>
      <c r="FH1085" s="15" t="inlineStr">
        <is>
          <t>Lck6122evg</t>
        </is>
      </c>
      <c r="FI1085" s="15" t="inlineStr">
        <is>
          <t>ZHONGTONG</t>
        </is>
      </c>
      <c r="FJ1085" s="15" t="inlineStr">
        <is>
          <t>LCK6122EVG</t>
        </is>
      </c>
      <c r="FK1085" s="15" t="n">
        <v>2025</v>
      </c>
      <c r="FL1085" s="15" t="inlineStr">
        <is>
          <t>B</t>
        </is>
      </c>
      <c r="FM1085" s="15" t="inlineStr">
        <is>
          <t>SAN JOSE</t>
        </is>
      </c>
      <c r="FN1085" s="15" t="inlineStr">
        <is>
          <t>San José 030 (José Besa 669)</t>
        </is>
      </c>
      <c r="FO1085" s="15" t="inlineStr">
        <is>
          <t>San Bernardo</t>
        </is>
      </c>
      <c r="FP1085" t="inlineStr">
        <is>
          <t>B</t>
        </is>
      </c>
      <c r="FS1085" s="14" t="inlineStr">
        <is>
          <t>LZPT-39|</t>
        </is>
      </c>
      <c r="FT1085" t="inlineStr">
        <is>
          <t>LZPT-39|</t>
        </is>
      </c>
      <c r="FU1085" t="inlineStr">
        <is>
          <t>LZPT-39</t>
        </is>
      </c>
      <c r="FV1085">
        <f>VLOOKUP(FU1085,FD:FL,9,0)</f>
        <v/>
      </c>
    </row>
    <row r="1086">
      <c r="FC1086" t="inlineStr">
        <is>
          <t>Diccionario 2</t>
        </is>
      </c>
      <c r="FD1086" s="15" t="inlineStr">
        <is>
          <t>VFHL-56</t>
        </is>
      </c>
      <c r="FE1086" s="15" t="inlineStr">
        <is>
          <t>LDYECS319S0043919</t>
        </is>
      </c>
      <c r="FF1086" s="15" t="inlineStr">
        <is>
          <t>MDN35025010112</t>
        </is>
      </c>
      <c r="FG1086" s="15" t="inlineStr">
        <is>
          <t>Zhong Tong</t>
        </is>
      </c>
      <c r="FH1086" s="15" t="inlineStr">
        <is>
          <t>Lck6122evg</t>
        </is>
      </c>
      <c r="FI1086" s="15" t="inlineStr">
        <is>
          <t>ZHONGTONG</t>
        </is>
      </c>
      <c r="FJ1086" s="15" t="inlineStr">
        <is>
          <t>LCK6122EVG</t>
        </is>
      </c>
      <c r="FK1086" s="15" t="n">
        <v>2025</v>
      </c>
      <c r="FL1086" s="15" t="inlineStr">
        <is>
          <t>B</t>
        </is>
      </c>
      <c r="FM1086" s="15" t="inlineStr">
        <is>
          <t>SAN JOSE</t>
        </is>
      </c>
      <c r="FN1086" s="15" t="inlineStr">
        <is>
          <t>San José 030 (José Besa 669)</t>
        </is>
      </c>
      <c r="FO1086" s="15" t="inlineStr">
        <is>
          <t>San Bernardo</t>
        </is>
      </c>
      <c r="FP1086" t="inlineStr">
        <is>
          <t>B</t>
        </is>
      </c>
      <c r="FS1086" s="14" t="inlineStr">
        <is>
          <t>LXWT-96|</t>
        </is>
      </c>
      <c r="FT1086" t="inlineStr">
        <is>
          <t>LXWT-96|</t>
        </is>
      </c>
      <c r="FU1086" t="inlineStr">
        <is>
          <t>LXWT-96</t>
        </is>
      </c>
      <c r="FV1086">
        <f>VLOOKUP(FU1086,FD:FL,9,0)</f>
        <v/>
      </c>
    </row>
    <row r="1087">
      <c r="FC1087" t="inlineStr">
        <is>
          <t>Diccionario 2</t>
        </is>
      </c>
      <c r="FD1087" s="15" t="inlineStr">
        <is>
          <t>VFHG-99</t>
        </is>
      </c>
      <c r="FE1087" s="15" t="inlineStr">
        <is>
          <t>LDYECS314S0043908</t>
        </is>
      </c>
      <c r="FF1087" s="15" t="inlineStr">
        <is>
          <t>MDN35025010130</t>
        </is>
      </c>
      <c r="FG1087" s="15" t="inlineStr">
        <is>
          <t>Zhong Tong</t>
        </is>
      </c>
      <c r="FH1087" s="15" t="inlineStr">
        <is>
          <t>Lck6122evg</t>
        </is>
      </c>
      <c r="FI1087" s="15" t="inlineStr">
        <is>
          <t>ZHONGTONG</t>
        </is>
      </c>
      <c r="FJ1087" s="15" t="inlineStr">
        <is>
          <t>LCK6122EVG</t>
        </is>
      </c>
      <c r="FK1087" s="15" t="n">
        <v>2025</v>
      </c>
      <c r="FL1087" s="15" t="inlineStr">
        <is>
          <t>B</t>
        </is>
      </c>
      <c r="FM1087" s="15" t="inlineStr">
        <is>
          <t>SAN JOSE</t>
        </is>
      </c>
      <c r="FN1087" s="15" t="inlineStr">
        <is>
          <t>San José 030 (José Besa 669)</t>
        </is>
      </c>
      <c r="FO1087" s="15" t="inlineStr">
        <is>
          <t>San Bernardo</t>
        </is>
      </c>
      <c r="FP1087" t="inlineStr">
        <is>
          <t>B</t>
        </is>
      </c>
      <c r="FS1087" s="14" t="inlineStr">
        <is>
          <t>LZPW-15|</t>
        </is>
      </c>
      <c r="FT1087" t="inlineStr">
        <is>
          <t>LZPW-15|</t>
        </is>
      </c>
      <c r="FU1087" t="inlineStr">
        <is>
          <t>LZPW-15</t>
        </is>
      </c>
      <c r="FV1087">
        <f>VLOOKUP(FU1087,FD:FL,9,0)</f>
        <v/>
      </c>
    </row>
    <row r="1088">
      <c r="FC1088" t="inlineStr">
        <is>
          <t>Diccionario 2</t>
        </is>
      </c>
      <c r="FD1088" s="15" t="inlineStr">
        <is>
          <t>VFHH-49</t>
        </is>
      </c>
      <c r="FE1088" s="15" t="inlineStr">
        <is>
          <t>LDYECS312S0043924</t>
        </is>
      </c>
      <c r="FF1088" s="15" t="inlineStr">
        <is>
          <t>MDN35025010050</t>
        </is>
      </c>
      <c r="FG1088" s="15" t="inlineStr">
        <is>
          <t>Zhong Tong</t>
        </is>
      </c>
      <c r="FH1088" s="15" t="inlineStr">
        <is>
          <t>Lck6122evg</t>
        </is>
      </c>
      <c r="FI1088" s="15" t="inlineStr">
        <is>
          <t>ZHONGTONG</t>
        </is>
      </c>
      <c r="FJ1088" s="15" t="inlineStr">
        <is>
          <t>LCK6122EVG</t>
        </is>
      </c>
      <c r="FK1088" s="15" t="n">
        <v>2025</v>
      </c>
      <c r="FL1088" s="15" t="inlineStr">
        <is>
          <t>B</t>
        </is>
      </c>
      <c r="FM1088" s="15" t="inlineStr">
        <is>
          <t>SAN JOSE</t>
        </is>
      </c>
      <c r="FN1088" s="15" t="inlineStr">
        <is>
          <t>San José 030 (José Besa 669)</t>
        </is>
      </c>
      <c r="FO1088" s="15" t="inlineStr">
        <is>
          <t>San Bernardo</t>
        </is>
      </c>
      <c r="FP1088" t="inlineStr">
        <is>
          <t>B</t>
        </is>
      </c>
      <c r="FS1088" s="14" t="inlineStr">
        <is>
          <t>LZPT-58|</t>
        </is>
      </c>
      <c r="FT1088" t="inlineStr">
        <is>
          <t>LZPT-58|</t>
        </is>
      </c>
      <c r="FU1088" t="inlineStr">
        <is>
          <t>LZPT-58</t>
        </is>
      </c>
      <c r="FV1088">
        <f>VLOOKUP(FU1088,FD:FL,9,0)</f>
        <v/>
      </c>
    </row>
    <row r="1089">
      <c r="FC1089" t="inlineStr">
        <is>
          <t>Diccionario 2</t>
        </is>
      </c>
      <c r="FD1089" s="15" t="inlineStr">
        <is>
          <t>VFHH-65</t>
        </is>
      </c>
      <c r="FE1089" s="15" t="inlineStr">
        <is>
          <t>LDYECS311S0043946</t>
        </is>
      </c>
      <c r="FF1089" s="15" t="inlineStr">
        <is>
          <t>MDN35025010056</t>
        </is>
      </c>
      <c r="FG1089" s="15" t="inlineStr">
        <is>
          <t>Zhong Tong</t>
        </is>
      </c>
      <c r="FH1089" s="15" t="inlineStr">
        <is>
          <t>Lck6122evg</t>
        </is>
      </c>
      <c r="FI1089" s="15" t="inlineStr">
        <is>
          <t>ZHONGTONG</t>
        </is>
      </c>
      <c r="FJ1089" s="15" t="inlineStr">
        <is>
          <t>LCK6122EVG</t>
        </is>
      </c>
      <c r="FK1089" s="15" t="n">
        <v>2025</v>
      </c>
      <c r="FL1089" s="15" t="inlineStr">
        <is>
          <t>B</t>
        </is>
      </c>
      <c r="FM1089" s="15" t="inlineStr">
        <is>
          <t>SAN JOSE</t>
        </is>
      </c>
      <c r="FN1089" s="15" t="inlineStr">
        <is>
          <t>San José 030 (José Besa 669)</t>
        </is>
      </c>
      <c r="FO1089" s="15" t="inlineStr">
        <is>
          <t>San Bernardo</t>
        </is>
      </c>
      <c r="FP1089" t="inlineStr">
        <is>
          <t>B</t>
        </is>
      </c>
      <c r="FS1089" s="14" t="inlineStr">
        <is>
          <t>LZPT-47|</t>
        </is>
      </c>
      <c r="FT1089" t="inlineStr">
        <is>
          <t>LZPT-47|</t>
        </is>
      </c>
      <c r="FU1089" t="inlineStr">
        <is>
          <t>LZPT-47</t>
        </is>
      </c>
      <c r="FV1089">
        <f>VLOOKUP(FU1089,FD:FL,9,0)</f>
        <v/>
      </c>
    </row>
    <row r="1090">
      <c r="FC1090" t="inlineStr">
        <is>
          <t>Diccionario 2</t>
        </is>
      </c>
      <c r="FD1090" s="15" t="inlineStr">
        <is>
          <t>VFHJ-21</t>
        </is>
      </c>
      <c r="FE1090" s="15" t="inlineStr">
        <is>
          <t>LDYECS318S0043913</t>
        </is>
      </c>
      <c r="FF1090" s="15" t="inlineStr">
        <is>
          <t>MDN35025010045</t>
        </is>
      </c>
      <c r="FG1090" s="15" t="inlineStr">
        <is>
          <t>Zhong Tong</t>
        </is>
      </c>
      <c r="FH1090" s="15" t="inlineStr">
        <is>
          <t>Lck6122evg</t>
        </is>
      </c>
      <c r="FI1090" s="15" t="inlineStr">
        <is>
          <t>ZHONGTONG</t>
        </is>
      </c>
      <c r="FJ1090" s="15" t="inlineStr">
        <is>
          <t>LCK6122EVG</t>
        </is>
      </c>
      <c r="FK1090" s="15" t="n">
        <v>2025</v>
      </c>
      <c r="FL1090" s="15" t="inlineStr">
        <is>
          <t>B</t>
        </is>
      </c>
      <c r="FM1090" s="15" t="inlineStr">
        <is>
          <t>SAN JOSE</t>
        </is>
      </c>
      <c r="FN1090" s="15" t="inlineStr">
        <is>
          <t>San José 030 (José Besa 669)</t>
        </is>
      </c>
      <c r="FO1090" s="15" t="inlineStr">
        <is>
          <t>San Bernardo</t>
        </is>
      </c>
      <c r="FP1090" t="inlineStr">
        <is>
          <t>B</t>
        </is>
      </c>
      <c r="FS1090" s="14" t="inlineStr">
        <is>
          <t>LZPW-19|</t>
        </is>
      </c>
      <c r="FT1090" t="inlineStr">
        <is>
          <t>LZPW-19|</t>
        </is>
      </c>
      <c r="FU1090" t="inlineStr">
        <is>
          <t>LZPW-19</t>
        </is>
      </c>
      <c r="FV1090">
        <f>VLOOKUP(FU1090,FD:FL,9,0)</f>
        <v/>
      </c>
    </row>
    <row r="1091">
      <c r="FC1091" t="inlineStr">
        <is>
          <t>Diccionario 2</t>
        </is>
      </c>
      <c r="FD1091" s="15" t="inlineStr">
        <is>
          <t>VFHJ-43</t>
        </is>
      </c>
      <c r="FE1091" s="15" t="inlineStr">
        <is>
          <t>LDYECS31XS0043895</t>
        </is>
      </c>
      <c r="FF1091" s="15" t="inlineStr">
        <is>
          <t>MDN35025010235</t>
        </is>
      </c>
      <c r="FG1091" s="15" t="inlineStr">
        <is>
          <t>Zhong Tong</t>
        </is>
      </c>
      <c r="FH1091" s="15" t="inlineStr">
        <is>
          <t>Lck6122evg</t>
        </is>
      </c>
      <c r="FI1091" s="15" t="inlineStr">
        <is>
          <t>ZHONGTONG</t>
        </is>
      </c>
      <c r="FJ1091" s="15" t="inlineStr">
        <is>
          <t>LCK6122EVG</t>
        </is>
      </c>
      <c r="FK1091" s="15" t="n">
        <v>2025</v>
      </c>
      <c r="FL1091" s="15" t="inlineStr">
        <is>
          <t>B</t>
        </is>
      </c>
      <c r="FM1091" s="15" t="inlineStr">
        <is>
          <t>SAN JOSE</t>
        </is>
      </c>
      <c r="FN1091" s="15" t="inlineStr">
        <is>
          <t>San José 030 (José Besa 669)</t>
        </is>
      </c>
      <c r="FO1091" s="15" t="inlineStr">
        <is>
          <t>San Bernardo</t>
        </is>
      </c>
      <c r="FP1091" t="inlineStr">
        <is>
          <t>B</t>
        </is>
      </c>
      <c r="FS1091" s="14" t="inlineStr">
        <is>
          <t>GCBF-51|</t>
        </is>
      </c>
      <c r="FT1091" t="inlineStr">
        <is>
          <t>GCBF-51|</t>
        </is>
      </c>
      <c r="FU1091" t="inlineStr">
        <is>
          <t>GCBF-51</t>
        </is>
      </c>
      <c r="FV1091">
        <f>VLOOKUP(FU1091,FD:FL,9,0)</f>
        <v/>
      </c>
    </row>
    <row r="1092">
      <c r="FC1092" t="inlineStr">
        <is>
          <t>Diccionario 2</t>
        </is>
      </c>
      <c r="FD1092" s="15" t="inlineStr">
        <is>
          <t>VFHJ-59</t>
        </is>
      </c>
      <c r="FE1092" s="15" t="inlineStr">
        <is>
          <t>LDYECS317S0043935</t>
        </is>
      </c>
      <c r="FF1092" s="15" t="inlineStr">
        <is>
          <t>MDN35025010210</t>
        </is>
      </c>
      <c r="FG1092" s="15" t="inlineStr">
        <is>
          <t>Zhong Tong</t>
        </is>
      </c>
      <c r="FH1092" s="15" t="inlineStr">
        <is>
          <t>Lck6122evg</t>
        </is>
      </c>
      <c r="FI1092" s="15" t="inlineStr">
        <is>
          <t>ZHONGTONG</t>
        </is>
      </c>
      <c r="FJ1092" s="15" t="inlineStr">
        <is>
          <t>LCK6122EVG</t>
        </is>
      </c>
      <c r="FK1092" s="15" t="n">
        <v>2025</v>
      </c>
      <c r="FL1092" s="15" t="inlineStr">
        <is>
          <t>B</t>
        </is>
      </c>
      <c r="FM1092" s="15" t="inlineStr">
        <is>
          <t>SAN JOSE</t>
        </is>
      </c>
      <c r="FN1092" s="15" t="inlineStr">
        <is>
          <t>San José 030 (José Besa 669)</t>
        </is>
      </c>
      <c r="FO1092" s="15" t="inlineStr">
        <is>
          <t>San Bernardo</t>
        </is>
      </c>
      <c r="FP1092" t="inlineStr">
        <is>
          <t>B</t>
        </is>
      </c>
      <c r="FS1092" s="14" t="inlineStr">
        <is>
          <t>LZPT-41|</t>
        </is>
      </c>
      <c r="FT1092" t="inlineStr">
        <is>
          <t>LZPT-41|</t>
        </is>
      </c>
      <c r="FU1092" t="inlineStr">
        <is>
          <t>LZPT-41</t>
        </is>
      </c>
      <c r="FV1092">
        <f>VLOOKUP(FU1092,FD:FL,9,0)</f>
        <v/>
      </c>
    </row>
    <row r="1093">
      <c r="FC1093" t="inlineStr">
        <is>
          <t>Diccionario 2</t>
        </is>
      </c>
      <c r="FD1093" s="15" t="inlineStr">
        <is>
          <t>VFHJ-92</t>
        </is>
      </c>
      <c r="FE1093" s="15" t="inlineStr">
        <is>
          <t>LDYECS316S0043926</t>
        </is>
      </c>
      <c r="FF1093" s="15" t="inlineStr">
        <is>
          <t>MDN35025010044</t>
        </is>
      </c>
      <c r="FG1093" s="15" t="inlineStr">
        <is>
          <t>Zhong Tong</t>
        </is>
      </c>
      <c r="FH1093" s="15" t="inlineStr">
        <is>
          <t>Lck6122evg</t>
        </is>
      </c>
      <c r="FI1093" s="15" t="inlineStr">
        <is>
          <t>ZHONGTONG</t>
        </is>
      </c>
      <c r="FJ1093" s="15" t="inlineStr">
        <is>
          <t>LCK6122EVG</t>
        </is>
      </c>
      <c r="FK1093" s="15" t="n">
        <v>2025</v>
      </c>
      <c r="FL1093" s="15" t="inlineStr">
        <is>
          <t>B</t>
        </is>
      </c>
      <c r="FM1093" s="15" t="inlineStr">
        <is>
          <t>SAN JOSE</t>
        </is>
      </c>
      <c r="FN1093" s="15" t="inlineStr">
        <is>
          <t>San José 030 (José Besa 669)</t>
        </is>
      </c>
      <c r="FO1093" s="15" t="inlineStr">
        <is>
          <t>San Bernardo</t>
        </is>
      </c>
      <c r="FP1093" t="inlineStr">
        <is>
          <t>B</t>
        </is>
      </c>
      <c r="FS1093" s="14" t="inlineStr">
        <is>
          <t>LZPS-22|</t>
        </is>
      </c>
      <c r="FT1093" t="inlineStr">
        <is>
          <t>LZPS-22|</t>
        </is>
      </c>
      <c r="FU1093" t="inlineStr">
        <is>
          <t>LZPS-22</t>
        </is>
      </c>
      <c r="FV1093">
        <f>VLOOKUP(FU1093,FD:FL,9,0)</f>
        <v/>
      </c>
    </row>
    <row r="1094">
      <c r="FC1094" t="inlineStr">
        <is>
          <t>Diccionario 2</t>
        </is>
      </c>
      <c r="FD1094" s="15" t="inlineStr">
        <is>
          <t>VFHJ-69</t>
        </is>
      </c>
      <c r="FE1094" s="15" t="inlineStr">
        <is>
          <t>LDYECS31XS0043914</t>
        </is>
      </c>
      <c r="FF1094" s="15" t="inlineStr">
        <is>
          <t>MDN35025010074</t>
        </is>
      </c>
      <c r="FG1094" s="15" t="inlineStr">
        <is>
          <t>Zhong Tong</t>
        </is>
      </c>
      <c r="FH1094" s="15" t="inlineStr">
        <is>
          <t>Lck6122evg</t>
        </is>
      </c>
      <c r="FI1094" s="15" t="inlineStr">
        <is>
          <t>ZHONGTONG</t>
        </is>
      </c>
      <c r="FJ1094" s="15" t="inlineStr">
        <is>
          <t>LCK6122EVG</t>
        </is>
      </c>
      <c r="FK1094" s="15" t="n">
        <v>2025</v>
      </c>
      <c r="FL1094" s="15" t="inlineStr">
        <is>
          <t>B</t>
        </is>
      </c>
      <c r="FM1094" s="15" t="inlineStr">
        <is>
          <t>SAN JOSE</t>
        </is>
      </c>
      <c r="FN1094" s="15" t="inlineStr">
        <is>
          <t>San José 030 (José Besa 669)</t>
        </is>
      </c>
      <c r="FO1094" s="15" t="inlineStr">
        <is>
          <t>San Bernardo</t>
        </is>
      </c>
      <c r="FP1094" t="inlineStr">
        <is>
          <t>B</t>
        </is>
      </c>
      <c r="FS1094" s="14" t="inlineStr">
        <is>
          <t>LZPW-21|</t>
        </is>
      </c>
      <c r="FT1094" t="inlineStr">
        <is>
          <t>LZPW-21|</t>
        </is>
      </c>
      <c r="FU1094" t="inlineStr">
        <is>
          <t>LZPW-21</t>
        </is>
      </c>
      <c r="FV1094">
        <f>VLOOKUP(FU1094,FD:FL,9,0)</f>
        <v/>
      </c>
    </row>
    <row r="1095">
      <c r="FC1095" t="inlineStr">
        <is>
          <t>Diccionario 2</t>
        </is>
      </c>
      <c r="FD1095" s="15" t="inlineStr">
        <is>
          <t>VFHJ-77</t>
        </is>
      </c>
      <c r="FE1095" s="15" t="inlineStr">
        <is>
          <t>LDYECS310S0043906</t>
        </is>
      </c>
      <c r="FF1095" s="15" t="inlineStr">
        <is>
          <t>MDN35025010080</t>
        </is>
      </c>
      <c r="FG1095" s="15" t="inlineStr">
        <is>
          <t>Zhong Tong</t>
        </is>
      </c>
      <c r="FH1095" s="15" t="inlineStr">
        <is>
          <t>Lck6122evg</t>
        </is>
      </c>
      <c r="FI1095" s="15" t="inlineStr">
        <is>
          <t>ZHONGTONG</t>
        </is>
      </c>
      <c r="FJ1095" s="15" t="inlineStr">
        <is>
          <t>LCK6122EVG</t>
        </is>
      </c>
      <c r="FK1095" s="15" t="n">
        <v>2025</v>
      </c>
      <c r="FL1095" s="15" t="inlineStr">
        <is>
          <t>B</t>
        </is>
      </c>
      <c r="FM1095" s="15" t="inlineStr">
        <is>
          <t>SAN JOSE</t>
        </is>
      </c>
      <c r="FN1095" s="15" t="inlineStr">
        <is>
          <t>San José 030 (José Besa 669)</t>
        </is>
      </c>
      <c r="FO1095" s="15" t="inlineStr">
        <is>
          <t>San Bernardo</t>
        </is>
      </c>
      <c r="FP1095" t="inlineStr">
        <is>
          <t>B</t>
        </is>
      </c>
      <c r="FS1095" s="14" t="inlineStr">
        <is>
          <t>LZPR-78|</t>
        </is>
      </c>
      <c r="FT1095" t="inlineStr">
        <is>
          <t>LZPR-78|</t>
        </is>
      </c>
      <c r="FU1095" t="inlineStr">
        <is>
          <t>LZPR-78</t>
        </is>
      </c>
      <c r="FV1095">
        <f>VLOOKUP(FU1095,FD:FL,9,0)</f>
        <v/>
      </c>
    </row>
    <row r="1096">
      <c r="FC1096" t="inlineStr">
        <is>
          <t>Diccionario 2</t>
        </is>
      </c>
      <c r="FD1096" s="15" t="inlineStr">
        <is>
          <t>VFHL-62</t>
        </is>
      </c>
      <c r="FE1096" s="15" t="inlineStr">
        <is>
          <t>LDYECS31XS0043928</t>
        </is>
      </c>
      <c r="FF1096" s="15" t="inlineStr">
        <is>
          <t>MDN35025010051</t>
        </is>
      </c>
      <c r="FG1096" s="15" t="inlineStr">
        <is>
          <t>Zhong Tong</t>
        </is>
      </c>
      <c r="FH1096" s="15" t="inlineStr">
        <is>
          <t>Lck6122evg</t>
        </is>
      </c>
      <c r="FI1096" s="15" t="inlineStr">
        <is>
          <t>ZHONGTONG</t>
        </is>
      </c>
      <c r="FJ1096" s="15" t="inlineStr">
        <is>
          <t>LCK6122EVG</t>
        </is>
      </c>
      <c r="FK1096" s="15" t="n">
        <v>2025</v>
      </c>
      <c r="FL1096" s="15" t="inlineStr">
        <is>
          <t>B</t>
        </is>
      </c>
      <c r="FM1096" s="15" t="inlineStr">
        <is>
          <t>SAN JOSE</t>
        </is>
      </c>
      <c r="FN1096" s="15" t="inlineStr">
        <is>
          <t>San José 030 (José Besa 669)</t>
        </is>
      </c>
      <c r="FO1096" s="15" t="inlineStr">
        <is>
          <t>San Bernardo</t>
        </is>
      </c>
      <c r="FP1096" t="inlineStr">
        <is>
          <t>B</t>
        </is>
      </c>
      <c r="FS1096" s="14" t="inlineStr">
        <is>
          <t>LZPT-76|</t>
        </is>
      </c>
      <c r="FT1096" t="inlineStr">
        <is>
          <t>LZPT-76|</t>
        </is>
      </c>
      <c r="FU1096" t="inlineStr">
        <is>
          <t>LZPT-76</t>
        </is>
      </c>
      <c r="FV1096">
        <f>VLOOKUP(FU1096,FD:FL,9,0)</f>
        <v/>
      </c>
    </row>
    <row r="1097">
      <c r="FC1097" t="inlineStr">
        <is>
          <t>Diccionario 2</t>
        </is>
      </c>
      <c r="FD1097" s="15" t="inlineStr">
        <is>
          <t>VFHL-66</t>
        </is>
      </c>
      <c r="FE1097" s="15" t="inlineStr">
        <is>
          <t>LDYECS315S0043934</t>
        </is>
      </c>
      <c r="FF1097" s="15" t="inlineStr">
        <is>
          <t>MDN35025010214</t>
        </is>
      </c>
      <c r="FG1097" s="15" t="inlineStr">
        <is>
          <t>Zhong Tong</t>
        </is>
      </c>
      <c r="FH1097" s="15" t="inlineStr">
        <is>
          <t>Lck6122evg</t>
        </is>
      </c>
      <c r="FI1097" s="15" t="inlineStr">
        <is>
          <t>ZHONGTONG</t>
        </is>
      </c>
      <c r="FJ1097" s="15" t="inlineStr">
        <is>
          <t>LCK6122EVG</t>
        </is>
      </c>
      <c r="FK1097" s="15" t="n">
        <v>2025</v>
      </c>
      <c r="FL1097" s="15" t="inlineStr">
        <is>
          <t>B</t>
        </is>
      </c>
      <c r="FM1097" s="15" t="inlineStr">
        <is>
          <t>CERRILLOS</t>
        </is>
      </c>
      <c r="FN1097" s="15" t="inlineStr">
        <is>
          <t>Calle Uno 7371</t>
        </is>
      </c>
      <c r="FO1097" s="15" t="inlineStr">
        <is>
          <t>Huechuraba</t>
        </is>
      </c>
      <c r="FP1097" t="inlineStr">
        <is>
          <t>B</t>
        </is>
      </c>
      <c r="FS1097" s="14" t="inlineStr">
        <is>
          <t>LZPT-55|</t>
        </is>
      </c>
      <c r="FT1097" t="inlineStr">
        <is>
          <t>LZPT-55|</t>
        </is>
      </c>
      <c r="FU1097" t="inlineStr">
        <is>
          <t>LZPT-55</t>
        </is>
      </c>
      <c r="FV1097">
        <f>VLOOKUP(FU1097,FD:FL,9,0)</f>
        <v/>
      </c>
    </row>
    <row r="1098">
      <c r="FC1098" t="inlineStr">
        <is>
          <t>Diccionario 2</t>
        </is>
      </c>
      <c r="FD1098" s="15" t="inlineStr">
        <is>
          <t>VFHL-81</t>
        </is>
      </c>
      <c r="FE1098" s="15" t="inlineStr">
        <is>
          <t>LDYECS317S0043983</t>
        </is>
      </c>
      <c r="FF1098" s="15" t="inlineStr">
        <is>
          <t>MDN35025020100</t>
        </is>
      </c>
      <c r="FG1098" s="15" t="inlineStr">
        <is>
          <t>Zhong Tong</t>
        </is>
      </c>
      <c r="FH1098" s="15" t="inlineStr">
        <is>
          <t>Lck6122evg</t>
        </is>
      </c>
      <c r="FI1098" s="15" t="inlineStr">
        <is>
          <t>ZHONGTONG</t>
        </is>
      </c>
      <c r="FJ1098" s="15" t="inlineStr">
        <is>
          <t>LCK6122EVG</t>
        </is>
      </c>
      <c r="FK1098" s="15" t="n">
        <v>2025</v>
      </c>
      <c r="FL1098" s="15" t="inlineStr">
        <is>
          <t>B</t>
        </is>
      </c>
      <c r="FM1098" s="15" t="inlineStr">
        <is>
          <t>LOS LIBERTADORES</t>
        </is>
      </c>
      <c r="FN1098" s="15" t="inlineStr">
        <is>
          <t>Los Liberadores 6450, Lote 4A</t>
        </is>
      </c>
      <c r="FO1098" s="15" t="inlineStr">
        <is>
          <t>Huechuraba</t>
        </is>
      </c>
      <c r="FP1098" t="inlineStr">
        <is>
          <t>B</t>
        </is>
      </c>
      <c r="FS1098" s="14" t="inlineStr">
        <is>
          <t>LZPT-45|</t>
        </is>
      </c>
      <c r="FT1098" t="inlineStr">
        <is>
          <t>LZPT-45|</t>
        </is>
      </c>
      <c r="FU1098" t="inlineStr">
        <is>
          <t>LZPT-45</t>
        </is>
      </c>
      <c r="FV1098">
        <f>VLOOKUP(FU1098,FD:FL,9,0)</f>
        <v/>
      </c>
    </row>
    <row r="1099">
      <c r="FC1099" t="inlineStr">
        <is>
          <t>Diccionario 2</t>
        </is>
      </c>
      <c r="FD1099" s="15" t="inlineStr">
        <is>
          <t>VFHS-85</t>
        </is>
      </c>
      <c r="FE1099" s="15" t="inlineStr">
        <is>
          <t>LDYECS315S0043979</t>
        </is>
      </c>
      <c r="FF1099" s="15" t="inlineStr">
        <is>
          <t>MDN35025020094</t>
        </is>
      </c>
      <c r="FG1099" s="15" t="inlineStr">
        <is>
          <t>Zhong Tong</t>
        </is>
      </c>
      <c r="FH1099" s="15" t="inlineStr">
        <is>
          <t>Lck6122evg</t>
        </is>
      </c>
      <c r="FI1099" s="15" t="inlineStr">
        <is>
          <t>ZHONGTONG</t>
        </is>
      </c>
      <c r="FJ1099" s="15" t="inlineStr">
        <is>
          <t>LCK6122EVG</t>
        </is>
      </c>
      <c r="FK1099" s="15" t="n">
        <v>2025</v>
      </c>
      <c r="FL1099" s="15" t="inlineStr">
        <is>
          <t>B</t>
        </is>
      </c>
      <c r="FM1099" s="15" t="inlineStr">
        <is>
          <t>LOS LIBERTADORES</t>
        </is>
      </c>
      <c r="FN1099" s="15" t="inlineStr">
        <is>
          <t>Los Liberadores 6450, Lote 4A</t>
        </is>
      </c>
      <c r="FO1099" s="15" t="inlineStr">
        <is>
          <t>Huechuraba</t>
        </is>
      </c>
      <c r="FP1099" t="inlineStr">
        <is>
          <t>B</t>
        </is>
      </c>
      <c r="FS1099" s="14" t="inlineStr">
        <is>
          <t>LXWT-99|</t>
        </is>
      </c>
      <c r="FT1099" t="inlineStr">
        <is>
          <t>LXWT-99|</t>
        </is>
      </c>
      <c r="FU1099" t="inlineStr">
        <is>
          <t>LXWT-99</t>
        </is>
      </c>
      <c r="FV1099">
        <f>VLOOKUP(FU1099,FD:FL,9,0)</f>
        <v/>
      </c>
    </row>
    <row r="1100">
      <c r="FC1100" t="inlineStr">
        <is>
          <t>Diccionario 2</t>
        </is>
      </c>
      <c r="FD1100" s="15" t="inlineStr">
        <is>
          <t>VFHS-95</t>
        </is>
      </c>
      <c r="FE1100" s="15" t="inlineStr">
        <is>
          <t>LDYECS314S0043956</t>
        </is>
      </c>
      <c r="FF1100" s="15" t="inlineStr">
        <is>
          <t>MDN35025020090</t>
        </is>
      </c>
      <c r="FG1100" s="15" t="inlineStr">
        <is>
          <t>Zhong Tong</t>
        </is>
      </c>
      <c r="FH1100" s="15" t="inlineStr">
        <is>
          <t>Lck6122evg</t>
        </is>
      </c>
      <c r="FI1100" s="15" t="inlineStr">
        <is>
          <t>ZHONGTONG</t>
        </is>
      </c>
      <c r="FJ1100" s="15" t="inlineStr">
        <is>
          <t>LCK6122EVG</t>
        </is>
      </c>
      <c r="FK1100" s="15" t="n">
        <v>2025</v>
      </c>
      <c r="FL1100" s="15" t="inlineStr">
        <is>
          <t>B</t>
        </is>
      </c>
      <c r="FM1100" s="15" t="inlineStr">
        <is>
          <t>LOS LIBERTADORES</t>
        </is>
      </c>
      <c r="FN1100" s="15" t="inlineStr">
        <is>
          <t>Los Liberadores 6450, Lote 4A</t>
        </is>
      </c>
      <c r="FO1100" s="15" t="inlineStr">
        <is>
          <t>Huechuraba</t>
        </is>
      </c>
      <c r="FP1100" t="inlineStr">
        <is>
          <t>B</t>
        </is>
      </c>
      <c r="FS1100" s="14" t="inlineStr">
        <is>
          <t>LZPT-71|</t>
        </is>
      </c>
      <c r="FT1100" t="inlineStr">
        <is>
          <t>LZPT-71|</t>
        </is>
      </c>
      <c r="FU1100" t="inlineStr">
        <is>
          <t>LZPT-71</t>
        </is>
      </c>
      <c r="FV1100">
        <f>VLOOKUP(FU1100,FD:FL,9,0)</f>
        <v/>
      </c>
    </row>
    <row r="1101">
      <c r="FC1101" t="inlineStr">
        <is>
          <t>Diccionario 2</t>
        </is>
      </c>
      <c r="FD1101" s="15" t="inlineStr">
        <is>
          <t>VFHS-98</t>
        </is>
      </c>
      <c r="FE1101" s="15" t="inlineStr">
        <is>
          <t>LDYECS316S0043957</t>
        </is>
      </c>
      <c r="FF1101" s="15" t="inlineStr">
        <is>
          <t>MDN35025020069</t>
        </is>
      </c>
      <c r="FG1101" s="15" t="inlineStr">
        <is>
          <t>Zhong Tong</t>
        </is>
      </c>
      <c r="FH1101" s="15" t="inlineStr">
        <is>
          <t>Lck6122evg</t>
        </is>
      </c>
      <c r="FI1101" s="15" t="inlineStr">
        <is>
          <t>ZHONGTONG</t>
        </is>
      </c>
      <c r="FJ1101" s="15" t="inlineStr">
        <is>
          <t>LCK6122EVG</t>
        </is>
      </c>
      <c r="FK1101" s="15" t="n">
        <v>2025</v>
      </c>
      <c r="FL1101" s="15" t="inlineStr">
        <is>
          <t>B</t>
        </is>
      </c>
      <c r="FM1101" s="15" t="inlineStr">
        <is>
          <t>SAN JOSE</t>
        </is>
      </c>
      <c r="FN1101" s="15" t="inlineStr">
        <is>
          <t>San José 030 (José Besa 669)</t>
        </is>
      </c>
      <c r="FO1101" s="15" t="inlineStr">
        <is>
          <t>San Bernardo</t>
        </is>
      </c>
      <c r="FP1101" t="inlineStr">
        <is>
          <t>B</t>
        </is>
      </c>
      <c r="FS1101" s="14" t="inlineStr">
        <is>
          <t>LZPW-16|</t>
        </is>
      </c>
      <c r="FT1101" t="inlineStr">
        <is>
          <t>LZPW-16|</t>
        </is>
      </c>
      <c r="FU1101" t="inlineStr">
        <is>
          <t>LZPW-16</t>
        </is>
      </c>
      <c r="FV1101">
        <f>VLOOKUP(FU1101,FD:FL,9,0)</f>
        <v/>
      </c>
    </row>
    <row r="1102">
      <c r="FC1102" t="inlineStr">
        <is>
          <t>Diccionario 2</t>
        </is>
      </c>
      <c r="FD1102" s="15" t="inlineStr">
        <is>
          <t>VFHT-45</t>
        </is>
      </c>
      <c r="FE1102" s="15" t="inlineStr">
        <is>
          <t>LDYECS319S0043953</t>
        </is>
      </c>
      <c r="FF1102" s="15" t="inlineStr">
        <is>
          <t>MDN35025020052</t>
        </is>
      </c>
      <c r="FG1102" s="15" t="inlineStr">
        <is>
          <t>Zhong Tong</t>
        </is>
      </c>
      <c r="FH1102" s="15" t="inlineStr">
        <is>
          <t>Lck6122evg</t>
        </is>
      </c>
      <c r="FI1102" s="15" t="inlineStr">
        <is>
          <t>ZHONGTONG</t>
        </is>
      </c>
      <c r="FJ1102" s="15" t="inlineStr">
        <is>
          <t>LCK6122EVG</t>
        </is>
      </c>
      <c r="FK1102" s="15" t="n">
        <v>2025</v>
      </c>
      <c r="FL1102" s="15" t="inlineStr">
        <is>
          <t>B</t>
        </is>
      </c>
      <c r="FM1102" s="15" t="inlineStr">
        <is>
          <t>SAN JOSE</t>
        </is>
      </c>
      <c r="FN1102" s="15" t="inlineStr">
        <is>
          <t>San José 030 (José Besa 669)</t>
        </is>
      </c>
      <c r="FO1102" s="15" t="inlineStr">
        <is>
          <t>San Bernardo</t>
        </is>
      </c>
      <c r="FP1102" t="inlineStr">
        <is>
          <t>B</t>
        </is>
      </c>
      <c r="FS1102" s="14" t="inlineStr">
        <is>
          <t>LXWT-88|</t>
        </is>
      </c>
      <c r="FT1102" t="inlineStr">
        <is>
          <t>LXWT-88|</t>
        </is>
      </c>
      <c r="FU1102" t="inlineStr">
        <is>
          <t>LXWT-88</t>
        </is>
      </c>
      <c r="FV1102">
        <f>VLOOKUP(FU1102,FD:FL,9,0)</f>
        <v/>
      </c>
    </row>
    <row r="1103">
      <c r="FC1103" t="inlineStr">
        <is>
          <t>Diccionario 2</t>
        </is>
      </c>
      <c r="FD1103" s="15" t="inlineStr">
        <is>
          <t>VFHT-55</t>
        </is>
      </c>
      <c r="FE1103" s="15" t="inlineStr">
        <is>
          <t>LDYECS310S0043954</t>
        </is>
      </c>
      <c r="FF1103" s="15" t="inlineStr">
        <is>
          <t>MDN35025020088</t>
        </is>
      </c>
      <c r="FG1103" s="15" t="inlineStr">
        <is>
          <t>Zhong Tong</t>
        </is>
      </c>
      <c r="FH1103" s="15" t="inlineStr">
        <is>
          <t>Lck6122evg</t>
        </is>
      </c>
      <c r="FI1103" s="15" t="inlineStr">
        <is>
          <t>ZHONGTONG</t>
        </is>
      </c>
      <c r="FJ1103" s="15" t="inlineStr">
        <is>
          <t>LCK6122EVG</t>
        </is>
      </c>
      <c r="FK1103" s="15" t="n">
        <v>2025</v>
      </c>
      <c r="FL1103" s="15" t="inlineStr">
        <is>
          <t>B</t>
        </is>
      </c>
      <c r="FM1103" s="15" t="inlineStr">
        <is>
          <t>SAN JOSE</t>
        </is>
      </c>
      <c r="FN1103" s="15" t="inlineStr">
        <is>
          <t>San José 030 (José Besa 669)</t>
        </is>
      </c>
      <c r="FO1103" s="15" t="inlineStr">
        <is>
          <t>San Bernardo</t>
        </is>
      </c>
      <c r="FP1103" t="inlineStr">
        <is>
          <t>B</t>
        </is>
      </c>
      <c r="FS1103" s="14" t="inlineStr">
        <is>
          <t>LXWT-84|</t>
        </is>
      </c>
      <c r="FT1103" t="inlineStr">
        <is>
          <t>LXWT-84|</t>
        </is>
      </c>
      <c r="FU1103" t="inlineStr">
        <is>
          <t>LXWT-84</t>
        </is>
      </c>
      <c r="FV1103">
        <f>VLOOKUP(FU1103,FD:FL,9,0)</f>
        <v/>
      </c>
    </row>
    <row r="1104">
      <c r="FC1104" t="inlineStr">
        <is>
          <t>Diccionario 2</t>
        </is>
      </c>
      <c r="FD1104" s="15" t="inlineStr">
        <is>
          <t>VFHK-16</t>
        </is>
      </c>
      <c r="FE1104" s="15" t="inlineStr">
        <is>
          <t>LDYECS311S0043915</t>
        </is>
      </c>
      <c r="FF1104" s="15" t="inlineStr">
        <is>
          <t>MDN35025010066</t>
        </is>
      </c>
      <c r="FG1104" s="15" t="inlineStr">
        <is>
          <t>Zhong Tong</t>
        </is>
      </c>
      <c r="FH1104" s="15" t="inlineStr">
        <is>
          <t>Lck6122evg</t>
        </is>
      </c>
      <c r="FI1104" s="15" t="inlineStr">
        <is>
          <t>ZHONGTONG</t>
        </is>
      </c>
      <c r="FJ1104" s="15" t="inlineStr">
        <is>
          <t>LCK6122EVG</t>
        </is>
      </c>
      <c r="FK1104" s="15" t="n">
        <v>2025</v>
      </c>
      <c r="FL1104" s="15" t="inlineStr">
        <is>
          <t>B</t>
        </is>
      </c>
      <c r="FM1104" s="15" t="inlineStr">
        <is>
          <t>SAN JOSE</t>
        </is>
      </c>
      <c r="FN1104" s="15" t="inlineStr">
        <is>
          <t>San José 030 (José Besa 669)</t>
        </is>
      </c>
      <c r="FO1104" s="15" t="inlineStr">
        <is>
          <t>San Bernardo</t>
        </is>
      </c>
      <c r="FP1104" t="inlineStr">
        <is>
          <t>B</t>
        </is>
      </c>
      <c r="FS1104" s="14" t="inlineStr">
        <is>
          <t>LZPG-11|</t>
        </is>
      </c>
      <c r="FT1104" t="inlineStr">
        <is>
          <t>LZPG-11|</t>
        </is>
      </c>
      <c r="FU1104" t="inlineStr">
        <is>
          <t>LZPG-11</t>
        </is>
      </c>
      <c r="FV1104">
        <f>VLOOKUP(FU1104,FD:FL,9,0)</f>
        <v/>
      </c>
    </row>
    <row r="1105">
      <c r="FC1105" t="inlineStr">
        <is>
          <t>Diccionario 2</t>
        </is>
      </c>
      <c r="FD1105" s="15" t="inlineStr">
        <is>
          <t>VFHT-73</t>
        </is>
      </c>
      <c r="FE1105" s="15" t="inlineStr">
        <is>
          <t>LDYECS319S0043984</t>
        </is>
      </c>
      <c r="FF1105" s="15" t="inlineStr">
        <is>
          <t>MDN35025020097</t>
        </is>
      </c>
      <c r="FG1105" s="15" t="inlineStr">
        <is>
          <t>Zhong Tong</t>
        </is>
      </c>
      <c r="FH1105" s="15" t="inlineStr">
        <is>
          <t>Lck6122evg</t>
        </is>
      </c>
      <c r="FI1105" s="15" t="inlineStr">
        <is>
          <t>ZHONGTONG</t>
        </is>
      </c>
      <c r="FJ1105" s="15" t="inlineStr">
        <is>
          <t>LCK6122EVG</t>
        </is>
      </c>
      <c r="FK1105" s="15" t="n">
        <v>2025</v>
      </c>
      <c r="FL1105" s="15" t="inlineStr">
        <is>
          <t>B</t>
        </is>
      </c>
      <c r="FM1105" s="15" t="inlineStr">
        <is>
          <t>CERRILLOS</t>
        </is>
      </c>
      <c r="FN1105" s="15" t="inlineStr">
        <is>
          <t>Calle Uno 7371</t>
        </is>
      </c>
      <c r="FO1105" s="15" t="inlineStr">
        <is>
          <t>Cerrillos</t>
        </is>
      </c>
      <c r="FP1105" t="inlineStr">
        <is>
          <t>B</t>
        </is>
      </c>
      <c r="FS1105" s="14" t="inlineStr">
        <is>
          <t>3102 / SFWZ-59|</t>
        </is>
      </c>
      <c r="FT1105" t="inlineStr">
        <is>
          <t>SFWZ-59|</t>
        </is>
      </c>
      <c r="FU1105" t="inlineStr">
        <is>
          <t>SFWZ-59</t>
        </is>
      </c>
      <c r="FV1105">
        <f>VLOOKUP(FU1105,FD:FL,9,0)</f>
        <v/>
      </c>
    </row>
    <row r="1106">
      <c r="FC1106" t="inlineStr">
        <is>
          <t>Diccionario 2</t>
        </is>
      </c>
      <c r="FD1106" s="15" t="inlineStr">
        <is>
          <t>VFHT-80</t>
        </is>
      </c>
      <c r="FE1106" s="15" t="inlineStr">
        <is>
          <t>LDYECS314S0043987</t>
        </is>
      </c>
      <c r="FF1106" s="15" t="inlineStr">
        <is>
          <t>MDN35025020056</t>
        </is>
      </c>
      <c r="FG1106" s="15" t="inlineStr">
        <is>
          <t>Zhong Tong</t>
        </is>
      </c>
      <c r="FH1106" s="15" t="inlineStr">
        <is>
          <t>Lck6122evg</t>
        </is>
      </c>
      <c r="FI1106" s="15" t="inlineStr">
        <is>
          <t>ZHONGTONG</t>
        </is>
      </c>
      <c r="FJ1106" s="15" t="inlineStr">
        <is>
          <t>LCK6122EVG</t>
        </is>
      </c>
      <c r="FK1106" s="15" t="n">
        <v>2025</v>
      </c>
      <c r="FL1106" s="15" t="inlineStr">
        <is>
          <t>B</t>
        </is>
      </c>
      <c r="FM1106" s="15" t="inlineStr">
        <is>
          <t>LOS LIBERTADORES</t>
        </is>
      </c>
      <c r="FN1106" s="15" t="inlineStr">
        <is>
          <t>Los Liberadores 6450, Lote 4A</t>
        </is>
      </c>
      <c r="FO1106" s="15" t="inlineStr">
        <is>
          <t>Huechuraba</t>
        </is>
      </c>
      <c r="FP1106" t="inlineStr">
        <is>
          <t>B</t>
        </is>
      </c>
      <c r="FS1106" s="14" t="inlineStr">
        <is>
          <t>LZPR-82|</t>
        </is>
      </c>
      <c r="FT1106" t="inlineStr">
        <is>
          <t>LZPR-82|</t>
        </is>
      </c>
      <c r="FU1106" t="inlineStr">
        <is>
          <t>LZPR-82</t>
        </is>
      </c>
      <c r="FV1106">
        <f>VLOOKUP(FU1106,FD:FL,9,0)</f>
        <v/>
      </c>
    </row>
    <row r="1107">
      <c r="FC1107" t="inlineStr">
        <is>
          <t>Diccionario 2</t>
        </is>
      </c>
      <c r="FD1107" s="15" t="inlineStr">
        <is>
          <t>VFHT-81</t>
        </is>
      </c>
      <c r="FE1107" s="15" t="inlineStr">
        <is>
          <t>LDYECS314S0043973</t>
        </is>
      </c>
      <c r="FF1107" s="15" t="inlineStr">
        <is>
          <t>MDN35025020087</t>
        </is>
      </c>
      <c r="FG1107" s="15" t="inlineStr">
        <is>
          <t>Zhong Tong</t>
        </is>
      </c>
      <c r="FH1107" s="15" t="inlineStr">
        <is>
          <t>Lck6122evg</t>
        </is>
      </c>
      <c r="FI1107" s="15" t="inlineStr">
        <is>
          <t>ZHONGTONG</t>
        </is>
      </c>
      <c r="FJ1107" s="15" t="inlineStr">
        <is>
          <t>LCK6122EVG</t>
        </is>
      </c>
      <c r="FK1107" s="15" t="n">
        <v>2025</v>
      </c>
      <c r="FL1107" s="15" t="inlineStr">
        <is>
          <t>B</t>
        </is>
      </c>
      <c r="FM1107" s="15" t="inlineStr">
        <is>
          <t>LOS LIBERTADORES</t>
        </is>
      </c>
      <c r="FN1107" s="15" t="inlineStr">
        <is>
          <t>Los Liberadores 6450, Lote 4A</t>
        </is>
      </c>
      <c r="FO1107" s="15" t="inlineStr">
        <is>
          <t>Huechuraba</t>
        </is>
      </c>
      <c r="FP1107" t="inlineStr">
        <is>
          <t>B</t>
        </is>
      </c>
      <c r="FS1107" s="14" t="inlineStr">
        <is>
          <t>LZPR-88|</t>
        </is>
      </c>
      <c r="FT1107" t="inlineStr">
        <is>
          <t>LZPR-88|</t>
        </is>
      </c>
      <c r="FU1107" t="inlineStr">
        <is>
          <t>LZPR-88</t>
        </is>
      </c>
      <c r="FV1107">
        <f>VLOOKUP(FU1107,FD:FL,9,0)</f>
        <v/>
      </c>
    </row>
    <row r="1108">
      <c r="FC1108" t="inlineStr">
        <is>
          <t>Diccionario 2</t>
        </is>
      </c>
      <c r="FD1108" s="15" t="inlineStr">
        <is>
          <t>VFHV-57</t>
        </is>
      </c>
      <c r="FE1108" s="15" t="inlineStr">
        <is>
          <t>LDYECS316S0043974</t>
        </is>
      </c>
      <c r="FF1108" s="15" t="inlineStr">
        <is>
          <t>MDN35025020079</t>
        </is>
      </c>
      <c r="FG1108" s="15" t="inlineStr">
        <is>
          <t>Zhong Tong</t>
        </is>
      </c>
      <c r="FH1108" s="15" t="inlineStr">
        <is>
          <t>Lck6122evg</t>
        </is>
      </c>
      <c r="FI1108" s="15" t="inlineStr">
        <is>
          <t>ZHONGTONG</t>
        </is>
      </c>
      <c r="FJ1108" s="15" t="inlineStr">
        <is>
          <t>LCK6122EVG</t>
        </is>
      </c>
      <c r="FK1108" s="15" t="n">
        <v>2025</v>
      </c>
      <c r="FL1108" s="15" t="inlineStr">
        <is>
          <t>B</t>
        </is>
      </c>
      <c r="FM1108" s="15" t="inlineStr">
        <is>
          <t>LOS LIBERTADORES</t>
        </is>
      </c>
      <c r="FN1108" s="15" t="inlineStr">
        <is>
          <t>Los Liberadores 6450, Lote 4A</t>
        </is>
      </c>
      <c r="FO1108" s="15" t="inlineStr">
        <is>
          <t>Huechuraba</t>
        </is>
      </c>
      <c r="FP1108" t="inlineStr">
        <is>
          <t>B</t>
        </is>
      </c>
      <c r="FS1108" s="14" t="inlineStr">
        <is>
          <t>GCBF-46|</t>
        </is>
      </c>
      <c r="FT1108" t="inlineStr">
        <is>
          <t>GCBF-46|</t>
        </is>
      </c>
      <c r="FU1108" t="inlineStr">
        <is>
          <t>GCBF-46</t>
        </is>
      </c>
      <c r="FV1108">
        <f>VLOOKUP(FU1108,FD:FL,9,0)</f>
        <v/>
      </c>
    </row>
    <row r="1109">
      <c r="FC1109" t="inlineStr">
        <is>
          <t>Diccionario 2</t>
        </is>
      </c>
      <c r="FD1109" s="15" t="inlineStr">
        <is>
          <t>VFHV-67</t>
        </is>
      </c>
      <c r="FE1109" s="15" t="inlineStr">
        <is>
          <t>LDYECS311S0043980</t>
        </is>
      </c>
      <c r="FF1109" s="15" t="inlineStr">
        <is>
          <t>MDN35025020095</t>
        </is>
      </c>
      <c r="FG1109" s="15" t="inlineStr">
        <is>
          <t>Zhong Tong</t>
        </is>
      </c>
      <c r="FH1109" s="15" t="inlineStr">
        <is>
          <t>Lck6122evg</t>
        </is>
      </c>
      <c r="FI1109" s="15" t="inlineStr">
        <is>
          <t>ZHONGTONG</t>
        </is>
      </c>
      <c r="FJ1109" s="15" t="inlineStr">
        <is>
          <t>LCK6122EVG</t>
        </is>
      </c>
      <c r="FK1109" s="15" t="n">
        <v>2025</v>
      </c>
      <c r="FL1109" s="15" t="inlineStr">
        <is>
          <t>B</t>
        </is>
      </c>
      <c r="FM1109" s="15" t="inlineStr">
        <is>
          <t>LOS LIBERTADORES</t>
        </is>
      </c>
      <c r="FN1109" s="15" t="inlineStr">
        <is>
          <t>Los Liberadores 6450, Lote 4A</t>
        </is>
      </c>
      <c r="FO1109" s="15" t="inlineStr">
        <is>
          <t>Huechuraba</t>
        </is>
      </c>
      <c r="FP1109" t="inlineStr">
        <is>
          <t>B</t>
        </is>
      </c>
      <c r="FS1109" s="14" t="inlineStr">
        <is>
          <t>VJKD-70|</t>
        </is>
      </c>
      <c r="FT1109" t="inlineStr">
        <is>
          <t>VJKD-70|</t>
        </is>
      </c>
      <c r="FU1109" t="inlineStr">
        <is>
          <t>VJKD-70</t>
        </is>
      </c>
      <c r="FV1109">
        <f>VLOOKUP(FU1109,FD:FL,9,0)</f>
        <v/>
      </c>
    </row>
    <row r="1110">
      <c r="FC1110" t="inlineStr">
        <is>
          <t>Diccionario 2</t>
        </is>
      </c>
      <c r="FD1110" s="15" t="inlineStr">
        <is>
          <t>VFHV-82</t>
        </is>
      </c>
      <c r="FE1110" s="15" t="inlineStr">
        <is>
          <t>LDYECS319S0044004</t>
        </is>
      </c>
      <c r="FF1110" s="15" t="inlineStr">
        <is>
          <t>MDN35025020057</t>
        </is>
      </c>
      <c r="FG1110" s="15" t="inlineStr">
        <is>
          <t>Zhong Tong</t>
        </is>
      </c>
      <c r="FH1110" s="15" t="inlineStr">
        <is>
          <t>Lck6122evg</t>
        </is>
      </c>
      <c r="FI1110" s="15" t="inlineStr">
        <is>
          <t>ZHONGTONG</t>
        </is>
      </c>
      <c r="FJ1110" s="15" t="inlineStr">
        <is>
          <t>LCK6122EVG</t>
        </is>
      </c>
      <c r="FK1110" s="15" t="n">
        <v>2025</v>
      </c>
      <c r="FL1110" s="15" t="inlineStr">
        <is>
          <t>B</t>
        </is>
      </c>
      <c r="FM1110" s="15" t="inlineStr">
        <is>
          <t>LOS LIBERTADORES</t>
        </is>
      </c>
      <c r="FN1110" s="15" t="inlineStr">
        <is>
          <t>Los Liberadores 6450, Lote 4A</t>
        </is>
      </c>
      <c r="FO1110" s="15" t="inlineStr">
        <is>
          <t>Huechuraba</t>
        </is>
      </c>
      <c r="FP1110" t="inlineStr">
        <is>
          <t>B</t>
        </is>
      </c>
      <c r="FS1110" s="14" t="inlineStr">
        <is>
          <t>LXWT-91|</t>
        </is>
      </c>
      <c r="FT1110" t="inlineStr">
        <is>
          <t>LXWT-91|</t>
        </is>
      </c>
      <c r="FU1110" t="inlineStr">
        <is>
          <t>LXWT-91</t>
        </is>
      </c>
      <c r="FV1110">
        <f>VLOOKUP(FU1110,FD:FL,9,0)</f>
        <v/>
      </c>
    </row>
    <row r="1111">
      <c r="FC1111" t="inlineStr">
        <is>
          <t>Diccionario 2</t>
        </is>
      </c>
      <c r="FD1111" s="15" t="inlineStr">
        <is>
          <t>VFHV-87</t>
        </is>
      </c>
      <c r="FE1111" s="15" t="inlineStr">
        <is>
          <t>LDYECS312S0043955</t>
        </is>
      </c>
      <c r="FF1111" s="15" t="inlineStr">
        <is>
          <t>MDN35025020084</t>
        </is>
      </c>
      <c r="FG1111" s="15" t="inlineStr">
        <is>
          <t>Zhong Tong</t>
        </is>
      </c>
      <c r="FH1111" s="15" t="inlineStr">
        <is>
          <t>Lck6122evg</t>
        </is>
      </c>
      <c r="FI1111" s="15" t="inlineStr">
        <is>
          <t>ZHONGTONG</t>
        </is>
      </c>
      <c r="FJ1111" s="15" t="inlineStr">
        <is>
          <t>LCK6122EVG</t>
        </is>
      </c>
      <c r="FK1111" s="15" t="n">
        <v>2025</v>
      </c>
      <c r="FL1111" s="15" t="inlineStr">
        <is>
          <t>B</t>
        </is>
      </c>
      <c r="FM1111" s="15" t="inlineStr">
        <is>
          <t>LOS LIBERTADORES</t>
        </is>
      </c>
      <c r="FN1111" s="15" t="inlineStr">
        <is>
          <t>Los Liberadores 6450, Lote 4A</t>
        </is>
      </c>
      <c r="FO1111" s="15" t="inlineStr">
        <is>
          <t>Huechuraba</t>
        </is>
      </c>
      <c r="FP1111" t="inlineStr">
        <is>
          <t>B</t>
        </is>
      </c>
      <c r="FS1111" s="14" t="inlineStr">
        <is>
          <t>3066 / SFWB-10|</t>
        </is>
      </c>
      <c r="FT1111" t="inlineStr">
        <is>
          <t>SFWB-10|</t>
        </is>
      </c>
      <c r="FU1111" t="inlineStr">
        <is>
          <t>SFWB-10</t>
        </is>
      </c>
      <c r="FV1111">
        <f>VLOOKUP(FU1111,FD:FL,9,0)</f>
        <v/>
      </c>
    </row>
    <row r="1112">
      <c r="FC1112" t="inlineStr">
        <is>
          <t>Diccionario 2</t>
        </is>
      </c>
      <c r="FD1112" s="15" t="inlineStr">
        <is>
          <t>VFHW-46</t>
        </is>
      </c>
      <c r="FE1112" s="15" t="inlineStr">
        <is>
          <t>LDYECS318S0043989</t>
        </is>
      </c>
      <c r="FF1112" s="15" t="inlineStr">
        <is>
          <t>MDN35025020060</t>
        </is>
      </c>
      <c r="FG1112" s="15" t="inlineStr">
        <is>
          <t>Zhong Tong</t>
        </is>
      </c>
      <c r="FH1112" s="15" t="inlineStr">
        <is>
          <t>Lck6122evg</t>
        </is>
      </c>
      <c r="FI1112" s="15" t="inlineStr">
        <is>
          <t>ZHONGTONG</t>
        </is>
      </c>
      <c r="FJ1112" s="15" t="inlineStr">
        <is>
          <t>LCK6122EVG</t>
        </is>
      </c>
      <c r="FK1112" s="15" t="n">
        <v>2025</v>
      </c>
      <c r="FL1112" s="15" t="inlineStr">
        <is>
          <t>B</t>
        </is>
      </c>
      <c r="FM1112" s="15" t="inlineStr">
        <is>
          <t>LOS LIBERTADORES</t>
        </is>
      </c>
      <c r="FN1112" s="15" t="inlineStr">
        <is>
          <t>Los Liberadores 6450, Lote 4A</t>
        </is>
      </c>
      <c r="FO1112" s="15" t="inlineStr">
        <is>
          <t>Huechuraba</t>
        </is>
      </c>
      <c r="FP1112" t="inlineStr">
        <is>
          <t>B</t>
        </is>
      </c>
      <c r="FS1112" s="14" t="inlineStr">
        <is>
          <t>LZPR-92|</t>
        </is>
      </c>
      <c r="FT1112" t="inlineStr">
        <is>
          <t>LZPR-92|</t>
        </is>
      </c>
      <c r="FU1112" t="inlineStr">
        <is>
          <t>LZPR-92</t>
        </is>
      </c>
      <c r="FV1112">
        <f>VLOOKUP(FU1112,FD:FL,9,0)</f>
        <v/>
      </c>
    </row>
    <row r="1113">
      <c r="FC1113" t="inlineStr">
        <is>
          <t>Diccionario 2</t>
        </is>
      </c>
      <c r="FD1113" s="15" t="inlineStr">
        <is>
          <t>VFHW-51</t>
        </is>
      </c>
      <c r="FE1113" s="15" t="inlineStr">
        <is>
          <t>LDYECS311S0043977</t>
        </is>
      </c>
      <c r="FF1113" s="15" t="inlineStr">
        <is>
          <t>MDN35025020058</t>
        </is>
      </c>
      <c r="FG1113" s="15" t="inlineStr">
        <is>
          <t>Zhong Tong</t>
        </is>
      </c>
      <c r="FH1113" s="15" t="inlineStr">
        <is>
          <t>Lck6122evg</t>
        </is>
      </c>
      <c r="FI1113" s="15" t="inlineStr">
        <is>
          <t>ZHONGTONG</t>
        </is>
      </c>
      <c r="FJ1113" s="15" t="inlineStr">
        <is>
          <t>LCK6122EVG</t>
        </is>
      </c>
      <c r="FK1113" s="15" t="n">
        <v>2025</v>
      </c>
      <c r="FL1113" s="15" t="inlineStr">
        <is>
          <t>B</t>
        </is>
      </c>
      <c r="FM1113" s="15" t="inlineStr">
        <is>
          <t>LOS LIBERTADORES</t>
        </is>
      </c>
      <c r="FN1113" s="15" t="inlineStr">
        <is>
          <t>Los Liberadores 6450, Lote 4A</t>
        </is>
      </c>
      <c r="FO1113" s="15" t="inlineStr">
        <is>
          <t>Huechuraba</t>
        </is>
      </c>
      <c r="FP1113" t="inlineStr">
        <is>
          <t>B</t>
        </is>
      </c>
      <c r="FS1113" s="14" t="inlineStr">
        <is>
          <t>LZPW-11|</t>
        </is>
      </c>
      <c r="FT1113" t="inlineStr">
        <is>
          <t>LZPW-11|</t>
        </is>
      </c>
      <c r="FU1113" t="inlineStr">
        <is>
          <t>LZPW-11</t>
        </is>
      </c>
      <c r="FV1113">
        <f>VLOOKUP(FU1113,FD:FL,9,0)</f>
        <v/>
      </c>
    </row>
    <row r="1114">
      <c r="FC1114" t="inlineStr">
        <is>
          <t>Diccionario 2</t>
        </is>
      </c>
      <c r="FD1114" s="15" t="inlineStr">
        <is>
          <t>VFHW-63</t>
        </is>
      </c>
      <c r="FE1114" s="15" t="inlineStr">
        <is>
          <t>LDYECS318S0043975</t>
        </is>
      </c>
      <c r="FF1114" s="15" t="inlineStr">
        <is>
          <t>MDN35025020063</t>
        </is>
      </c>
      <c r="FG1114" s="15" t="inlineStr">
        <is>
          <t>Zhong Tong</t>
        </is>
      </c>
      <c r="FH1114" s="15" t="inlineStr">
        <is>
          <t>Lck6122evg</t>
        </is>
      </c>
      <c r="FI1114" s="15" t="inlineStr">
        <is>
          <t>ZHONGTONG</t>
        </is>
      </c>
      <c r="FJ1114" s="15" t="inlineStr">
        <is>
          <t>LCK6122EVG</t>
        </is>
      </c>
      <c r="FK1114" s="15" t="n">
        <v>2025</v>
      </c>
      <c r="FL1114" s="15" t="inlineStr">
        <is>
          <t>B</t>
        </is>
      </c>
      <c r="FM1114" s="15" t="inlineStr">
        <is>
          <t>LOS LIBERTADORES</t>
        </is>
      </c>
      <c r="FN1114" s="15" t="inlineStr">
        <is>
          <t>Los Liberadores 6450, Lote 4A</t>
        </is>
      </c>
      <c r="FO1114" s="15" t="inlineStr">
        <is>
          <t>Huechuraba</t>
        </is>
      </c>
      <c r="FP1114" t="inlineStr">
        <is>
          <t>B</t>
        </is>
      </c>
      <c r="FS1114" s="14" t="inlineStr">
        <is>
          <t>LZPW-13|</t>
        </is>
      </c>
      <c r="FT1114" t="inlineStr">
        <is>
          <t>LZPW-13|</t>
        </is>
      </c>
      <c r="FU1114" t="inlineStr">
        <is>
          <t>LZPW-13</t>
        </is>
      </c>
      <c r="FV1114">
        <f>VLOOKUP(FU1114,FD:FL,9,0)</f>
        <v/>
      </c>
    </row>
    <row r="1115">
      <c r="FC1115" t="inlineStr">
        <is>
          <t>Diccionario 2</t>
        </is>
      </c>
      <c r="FD1115" s="15" t="inlineStr">
        <is>
          <t>VFHK-27</t>
        </is>
      </c>
      <c r="FE1115" s="15" t="inlineStr">
        <is>
          <t>LDYECS312S0043910</t>
        </is>
      </c>
      <c r="FF1115" s="15" t="inlineStr">
        <is>
          <t>MDN35025010079</t>
        </is>
      </c>
      <c r="FG1115" s="15" t="inlineStr">
        <is>
          <t>Zhong Tong</t>
        </is>
      </c>
      <c r="FH1115" s="15" t="inlineStr">
        <is>
          <t>Lck6122evg</t>
        </is>
      </c>
      <c r="FI1115" s="15" t="inlineStr">
        <is>
          <t>ZHONGTONG</t>
        </is>
      </c>
      <c r="FJ1115" s="15" t="inlineStr">
        <is>
          <t>LCK6122EVG</t>
        </is>
      </c>
      <c r="FK1115" s="15" t="n">
        <v>2025</v>
      </c>
      <c r="FL1115" s="15" t="inlineStr">
        <is>
          <t>B</t>
        </is>
      </c>
      <c r="FM1115" s="15" t="inlineStr">
        <is>
          <t>SAN JOSE</t>
        </is>
      </c>
      <c r="FN1115" s="15" t="inlineStr">
        <is>
          <t>San José 030 (José Besa 669)</t>
        </is>
      </c>
      <c r="FO1115" s="15" t="inlineStr">
        <is>
          <t>San Bernardo</t>
        </is>
      </c>
      <c r="FP1115" t="inlineStr">
        <is>
          <t>B</t>
        </is>
      </c>
      <c r="FS1115" s="14" t="inlineStr">
        <is>
          <t>LZPG-21|</t>
        </is>
      </c>
      <c r="FT1115" t="inlineStr">
        <is>
          <t>LZPG-21|</t>
        </is>
      </c>
      <c r="FU1115" t="inlineStr">
        <is>
          <t>LZPG-21</t>
        </is>
      </c>
      <c r="FV1115">
        <f>VLOOKUP(FU1115,FD:FL,9,0)</f>
        <v/>
      </c>
    </row>
    <row r="1116">
      <c r="FC1116" t="inlineStr">
        <is>
          <t>Diccionario 2</t>
        </is>
      </c>
      <c r="FD1116" s="15" t="inlineStr">
        <is>
          <t>VFPB-70</t>
        </is>
      </c>
      <c r="FE1116" s="15" t="inlineStr">
        <is>
          <t>LDYECS316S0043991</t>
        </is>
      </c>
      <c r="FF1116" s="15" t="inlineStr">
        <is>
          <t>MDN35025020122</t>
        </is>
      </c>
      <c r="FG1116" s="15" t="inlineStr">
        <is>
          <t>Zhong Tong</t>
        </is>
      </c>
      <c r="FH1116" s="15" t="inlineStr">
        <is>
          <t>Lck6122evg</t>
        </is>
      </c>
      <c r="FI1116" s="15" t="inlineStr">
        <is>
          <t>ZHONGTONG</t>
        </is>
      </c>
      <c r="FJ1116" s="15" t="inlineStr">
        <is>
          <t>LCK6122EVG</t>
        </is>
      </c>
      <c r="FK1116" s="15" t="n">
        <v>2025</v>
      </c>
      <c r="FL1116" s="15" t="inlineStr">
        <is>
          <t>B</t>
        </is>
      </c>
      <c r="FM1116" s="15" t="inlineStr">
        <is>
          <t>LOS LIBERTADORES</t>
        </is>
      </c>
      <c r="FN1116" s="15" t="inlineStr">
        <is>
          <t>Los Liberadores 6450, Lote 4A</t>
        </is>
      </c>
      <c r="FO1116" s="15" t="inlineStr">
        <is>
          <t>Huechuraba</t>
        </is>
      </c>
      <c r="FP1116" t="inlineStr">
        <is>
          <t>B</t>
        </is>
      </c>
      <c r="FS1116" s="14" t="inlineStr">
        <is>
          <t>7747 / GCBC-34|</t>
        </is>
      </c>
      <c r="FT1116" t="inlineStr">
        <is>
          <t>GCBC-34|</t>
        </is>
      </c>
      <c r="FU1116" t="inlineStr">
        <is>
          <t>GCBC-34</t>
        </is>
      </c>
      <c r="FV1116">
        <f>VLOOKUP(FU1116,FD:FL,9,0)</f>
        <v/>
      </c>
    </row>
    <row r="1117">
      <c r="FC1117" t="inlineStr">
        <is>
          <t>Diccionario 2</t>
        </is>
      </c>
      <c r="FD1117" s="15" t="inlineStr">
        <is>
          <t>VFPC-10</t>
        </is>
      </c>
      <c r="FE1117" s="15" t="inlineStr">
        <is>
          <t>LDYECS317S0044115</t>
        </is>
      </c>
      <c r="FF1117" s="15" t="inlineStr">
        <is>
          <t>MDN35025010018</t>
        </is>
      </c>
      <c r="FG1117" s="15" t="inlineStr">
        <is>
          <t>Zhong Tong</t>
        </is>
      </c>
      <c r="FH1117" s="15" t="inlineStr">
        <is>
          <t>Lck6122evg</t>
        </is>
      </c>
      <c r="FI1117" s="15" t="inlineStr">
        <is>
          <t>ZHONGTONG</t>
        </is>
      </c>
      <c r="FJ1117" s="15" t="inlineStr">
        <is>
          <t>LCK6122EVG</t>
        </is>
      </c>
      <c r="FK1117" s="15" t="n">
        <v>2025</v>
      </c>
      <c r="FL1117" s="15" t="inlineStr">
        <is>
          <t>B</t>
        </is>
      </c>
      <c r="FM1117" s="15" t="inlineStr">
        <is>
          <t>LOS LIBERTADORES</t>
        </is>
      </c>
      <c r="FN1117" s="15" t="inlineStr">
        <is>
          <t>Los Liberadores 6450, Lote 4A</t>
        </is>
      </c>
      <c r="FO1117" s="15" t="inlineStr">
        <is>
          <t>Huechuraba</t>
        </is>
      </c>
      <c r="FP1117" t="inlineStr">
        <is>
          <t>B</t>
        </is>
      </c>
      <c r="FS1117" s="14" t="inlineStr">
        <is>
          <t>VJKG-16|</t>
        </is>
      </c>
      <c r="FT1117" t="inlineStr">
        <is>
          <t>VJKG-16|</t>
        </is>
      </c>
      <c r="FU1117" t="inlineStr">
        <is>
          <t>VJKG-16</t>
        </is>
      </c>
      <c r="FV1117">
        <f>VLOOKUP(FU1117,FD:FL,9,0)</f>
        <v/>
      </c>
    </row>
    <row r="1118">
      <c r="FC1118" t="inlineStr">
        <is>
          <t>Diccionario 2</t>
        </is>
      </c>
      <c r="FD1118" s="15" t="inlineStr">
        <is>
          <t>VFPC-31</t>
        </is>
      </c>
      <c r="FE1118" s="15" t="inlineStr">
        <is>
          <t>LDYECS315S0043996</t>
        </is>
      </c>
      <c r="FF1118" s="15" t="inlineStr">
        <is>
          <t>MDN35025020055</t>
        </is>
      </c>
      <c r="FG1118" s="15" t="inlineStr">
        <is>
          <t>Zhong Tong</t>
        </is>
      </c>
      <c r="FH1118" s="15" t="inlineStr">
        <is>
          <t>Lck6122evg</t>
        </is>
      </c>
      <c r="FI1118" s="15" t="inlineStr">
        <is>
          <t>ZHONGTONG</t>
        </is>
      </c>
      <c r="FJ1118" s="15" t="inlineStr">
        <is>
          <t>LCK6122EVG</t>
        </is>
      </c>
      <c r="FK1118" s="15" t="n">
        <v>2025</v>
      </c>
      <c r="FL1118" s="15" t="inlineStr">
        <is>
          <t>B</t>
        </is>
      </c>
      <c r="FM1118" s="15" t="inlineStr">
        <is>
          <t>LOS LIBERTADORES</t>
        </is>
      </c>
      <c r="FN1118" s="15" t="inlineStr">
        <is>
          <t>Los Liberadores 6450, Lote 4A</t>
        </is>
      </c>
      <c r="FO1118" s="15" t="inlineStr">
        <is>
          <t>Huechuraba</t>
        </is>
      </c>
      <c r="FP1118" t="inlineStr">
        <is>
          <t>B</t>
        </is>
      </c>
      <c r="FS1118" s="14" t="inlineStr">
        <is>
          <t>LZPG-26|</t>
        </is>
      </c>
      <c r="FT1118" t="inlineStr">
        <is>
          <t>LZPG-26|</t>
        </is>
      </c>
      <c r="FU1118" t="inlineStr">
        <is>
          <t>LZPG-26</t>
        </is>
      </c>
      <c r="FV1118">
        <f>VLOOKUP(FU1118,FD:FL,9,0)</f>
        <v/>
      </c>
    </row>
    <row r="1119">
      <c r="FC1119" t="inlineStr">
        <is>
          <t>Diccionario 2</t>
        </is>
      </c>
      <c r="FD1119" s="15" t="inlineStr">
        <is>
          <t>VFPC-80</t>
        </is>
      </c>
      <c r="FE1119" s="15" t="inlineStr">
        <is>
          <t>LDYECS313S0043978</t>
        </is>
      </c>
      <c r="FF1119" s="15" t="inlineStr">
        <is>
          <t>MDN35025020093</t>
        </is>
      </c>
      <c r="FG1119" s="15" t="inlineStr">
        <is>
          <t>Zhong Tong</t>
        </is>
      </c>
      <c r="FH1119" s="15" t="inlineStr">
        <is>
          <t>Lck6122evg</t>
        </is>
      </c>
      <c r="FI1119" s="15" t="inlineStr">
        <is>
          <t>ZHONGTONG</t>
        </is>
      </c>
      <c r="FJ1119" s="15" t="inlineStr">
        <is>
          <t>LCK6122EVG</t>
        </is>
      </c>
      <c r="FK1119" s="15" t="n">
        <v>2025</v>
      </c>
      <c r="FL1119" s="15" t="inlineStr">
        <is>
          <t>B</t>
        </is>
      </c>
      <c r="FM1119" s="15" t="inlineStr">
        <is>
          <t>LOS LIBERTADORES</t>
        </is>
      </c>
      <c r="FN1119" s="15" t="inlineStr">
        <is>
          <t>Los Liberadores 6450, Lote 4A</t>
        </is>
      </c>
      <c r="FO1119" s="15" t="inlineStr">
        <is>
          <t>Huechuraba</t>
        </is>
      </c>
      <c r="FP1119" t="inlineStr">
        <is>
          <t>B</t>
        </is>
      </c>
      <c r="FS1119" s="14" t="inlineStr">
        <is>
          <t>LZRB-86|</t>
        </is>
      </c>
      <c r="FT1119" t="inlineStr">
        <is>
          <t>LZRB-86|</t>
        </is>
      </c>
      <c r="FU1119" t="inlineStr">
        <is>
          <t>LZRB-86</t>
        </is>
      </c>
      <c r="FV1119">
        <f>VLOOKUP(FU1119,FD:FL,9,0)</f>
        <v/>
      </c>
    </row>
    <row r="1120">
      <c r="FC1120" t="inlineStr">
        <is>
          <t>Diccionario 2</t>
        </is>
      </c>
      <c r="FD1120" s="15" t="inlineStr">
        <is>
          <t>VFPC-51</t>
        </is>
      </c>
      <c r="FE1120" s="15" t="inlineStr">
        <is>
          <t>LDYECS31XS0044027</t>
        </is>
      </c>
      <c r="FF1120" s="15" t="inlineStr">
        <is>
          <t>MDN35025020112</t>
        </is>
      </c>
      <c r="FG1120" s="15" t="inlineStr">
        <is>
          <t>Zhong Tong</t>
        </is>
      </c>
      <c r="FH1120" s="15" t="inlineStr">
        <is>
          <t>Lck6122evg</t>
        </is>
      </c>
      <c r="FI1120" s="15" t="inlineStr">
        <is>
          <t>ZHONGTONG</t>
        </is>
      </c>
      <c r="FJ1120" s="15" t="inlineStr">
        <is>
          <t>LCK6122EVG</t>
        </is>
      </c>
      <c r="FK1120" s="15" t="n">
        <v>2025</v>
      </c>
      <c r="FL1120" s="15" t="inlineStr">
        <is>
          <t>B</t>
        </is>
      </c>
      <c r="FM1120" s="15" t="inlineStr">
        <is>
          <t>LOS LIBERTADORES</t>
        </is>
      </c>
      <c r="FN1120" s="15" t="inlineStr">
        <is>
          <t>Los Liberadores 6450, Lote 4A</t>
        </is>
      </c>
      <c r="FO1120" s="15" t="inlineStr">
        <is>
          <t>Huechuraba</t>
        </is>
      </c>
      <c r="FP1120" t="inlineStr">
        <is>
          <t>B</t>
        </is>
      </c>
      <c r="FS1120" s="14" t="inlineStr">
        <is>
          <t>LZPG-25|</t>
        </is>
      </c>
      <c r="FT1120" t="inlineStr">
        <is>
          <t>LZPG-25|</t>
        </is>
      </c>
      <c r="FU1120" t="inlineStr">
        <is>
          <t>LZPG-25</t>
        </is>
      </c>
      <c r="FV1120">
        <f>VLOOKUP(FU1120,FD:FL,9,0)</f>
        <v/>
      </c>
    </row>
    <row r="1121">
      <c r="FC1121" t="inlineStr">
        <is>
          <t>Diccionario 2</t>
        </is>
      </c>
      <c r="FD1121" s="15" t="inlineStr">
        <is>
          <t>VFPD-84</t>
        </is>
      </c>
      <c r="FE1121" s="15" t="inlineStr">
        <is>
          <t>LDYECS315S0043982</t>
        </is>
      </c>
      <c r="FF1121" s="15" t="inlineStr">
        <is>
          <t>MDN35025020067</t>
        </is>
      </c>
      <c r="FG1121" s="15" t="inlineStr">
        <is>
          <t>Zhong Tong</t>
        </is>
      </c>
      <c r="FH1121" s="15" t="inlineStr">
        <is>
          <t>Lck6122evg</t>
        </is>
      </c>
      <c r="FI1121" s="15" t="inlineStr">
        <is>
          <t>ZHONGTONG</t>
        </is>
      </c>
      <c r="FJ1121" s="15" t="inlineStr">
        <is>
          <t>LCK6122EVG</t>
        </is>
      </c>
      <c r="FK1121" s="15" t="n">
        <v>2025</v>
      </c>
      <c r="FL1121" s="15" t="inlineStr">
        <is>
          <t>B</t>
        </is>
      </c>
      <c r="FM1121" s="15" t="inlineStr">
        <is>
          <t>LOS LIBERTADORES</t>
        </is>
      </c>
      <c r="FN1121" s="15" t="inlineStr">
        <is>
          <t>Los Liberadores 6450, Lote 4A</t>
        </is>
      </c>
      <c r="FO1121" s="15" t="inlineStr">
        <is>
          <t>Huechuraba</t>
        </is>
      </c>
      <c r="FP1121" t="inlineStr">
        <is>
          <t>B</t>
        </is>
      </c>
      <c r="FS1121" s="14" t="inlineStr">
        <is>
          <t>LZPR-94|</t>
        </is>
      </c>
      <c r="FT1121" t="inlineStr">
        <is>
          <t>LZPR-94|</t>
        </is>
      </c>
      <c r="FU1121" t="inlineStr">
        <is>
          <t>LZPR-94</t>
        </is>
      </c>
      <c r="FV1121">
        <f>VLOOKUP(FU1121,FD:FL,9,0)</f>
        <v/>
      </c>
    </row>
    <row r="1122">
      <c r="FC1122" t="inlineStr">
        <is>
          <t>Diccionario 2</t>
        </is>
      </c>
      <c r="FD1122" s="15" t="inlineStr">
        <is>
          <t>VFPD-94</t>
        </is>
      </c>
      <c r="FE1122" s="15" t="inlineStr">
        <is>
          <t>LDYECS317S0043997</t>
        </is>
      </c>
      <c r="FF1122" s="15" t="inlineStr">
        <is>
          <t>MDN35025020022</t>
        </is>
      </c>
      <c r="FG1122" s="15" t="inlineStr">
        <is>
          <t>Zhong Tong</t>
        </is>
      </c>
      <c r="FH1122" s="15" t="inlineStr">
        <is>
          <t>Lck6122evg</t>
        </is>
      </c>
      <c r="FI1122" s="15" t="inlineStr">
        <is>
          <t>ZHONGTONG</t>
        </is>
      </c>
      <c r="FJ1122" s="15" t="inlineStr">
        <is>
          <t>LCK6122EVG</t>
        </is>
      </c>
      <c r="FK1122" s="15" t="n">
        <v>2025</v>
      </c>
      <c r="FL1122" s="15" t="inlineStr">
        <is>
          <t>B</t>
        </is>
      </c>
      <c r="FM1122" s="15" t="inlineStr">
        <is>
          <t>LOS LIBERTADORES</t>
        </is>
      </c>
      <c r="FN1122" s="15" t="inlineStr">
        <is>
          <t>Los Liberadores 6450, Lote 4A</t>
        </is>
      </c>
      <c r="FO1122" s="15" t="inlineStr">
        <is>
          <t>Huechuraba</t>
        </is>
      </c>
      <c r="FP1122" t="inlineStr">
        <is>
          <t>B</t>
        </is>
      </c>
      <c r="FS1122" s="14" t="inlineStr">
        <is>
          <t>LZPS-16|</t>
        </is>
      </c>
      <c r="FT1122" t="inlineStr">
        <is>
          <t>LZPS-16|</t>
        </is>
      </c>
      <c r="FU1122" t="inlineStr">
        <is>
          <t>LZPS-16</t>
        </is>
      </c>
      <c r="FV1122">
        <f>VLOOKUP(FU1122,FD:FL,9,0)</f>
        <v/>
      </c>
    </row>
    <row r="1123">
      <c r="FC1123" t="inlineStr">
        <is>
          <t>Diccionario 2</t>
        </is>
      </c>
      <c r="FD1123" s="15" t="inlineStr">
        <is>
          <t>VFHL-60</t>
        </is>
      </c>
      <c r="FE1123" s="15" t="inlineStr">
        <is>
          <t>LDYECS314S0043911</t>
        </is>
      </c>
      <c r="FF1123" s="15" t="inlineStr">
        <is>
          <t>MDN35025010115</t>
        </is>
      </c>
      <c r="FG1123" s="15" t="inlineStr">
        <is>
          <t>Zhong Tong</t>
        </is>
      </c>
      <c r="FH1123" s="15" t="inlineStr">
        <is>
          <t>Lck6122evg</t>
        </is>
      </c>
      <c r="FI1123" s="15" t="inlineStr">
        <is>
          <t>ZHONGTONG</t>
        </is>
      </c>
      <c r="FJ1123" s="15" t="inlineStr">
        <is>
          <t>LCK6122EVG</t>
        </is>
      </c>
      <c r="FK1123" s="15" t="n">
        <v>2025</v>
      </c>
      <c r="FL1123" s="15" t="inlineStr">
        <is>
          <t>B</t>
        </is>
      </c>
      <c r="FM1123" s="15" t="inlineStr">
        <is>
          <t>LOS LIBERTADORES</t>
        </is>
      </c>
      <c r="FN1123" s="15" t="inlineStr">
        <is>
          <t>Los Liberadores 6450, Lote 4A</t>
        </is>
      </c>
      <c r="FO1123" s="15" t="inlineStr">
        <is>
          <t>Huechuraba</t>
        </is>
      </c>
      <c r="FP1123" t="inlineStr">
        <is>
          <t>B</t>
        </is>
      </c>
      <c r="FS1123" s="14" t="inlineStr">
        <is>
          <t>LZPT-47|</t>
        </is>
      </c>
      <c r="FT1123" t="inlineStr">
        <is>
          <t>LZPT-47|</t>
        </is>
      </c>
      <c r="FU1123" t="inlineStr">
        <is>
          <t>LZPT-47</t>
        </is>
      </c>
      <c r="FV1123">
        <f>VLOOKUP(FU1123,FD:FL,9,0)</f>
        <v/>
      </c>
    </row>
    <row r="1124">
      <c r="FC1124" t="inlineStr">
        <is>
          <t>Diccionario 2</t>
        </is>
      </c>
      <c r="FD1124" s="15" t="inlineStr">
        <is>
          <t>VFHK-31</t>
        </is>
      </c>
      <c r="FE1124" s="15" t="inlineStr">
        <is>
          <t>LDYECS314S0043925</t>
        </is>
      </c>
      <c r="FF1124" s="15" t="inlineStr">
        <is>
          <t>MDN35025010120</t>
        </is>
      </c>
      <c r="FG1124" s="15" t="inlineStr">
        <is>
          <t>Zhong Tong</t>
        </is>
      </c>
      <c r="FH1124" s="15" t="inlineStr">
        <is>
          <t>Lck6122evg</t>
        </is>
      </c>
      <c r="FI1124" s="15" t="inlineStr">
        <is>
          <t>ZHONGTONG</t>
        </is>
      </c>
      <c r="FJ1124" s="15" t="inlineStr">
        <is>
          <t>LCK6122EVG</t>
        </is>
      </c>
      <c r="FK1124" s="15" t="n">
        <v>2025</v>
      </c>
      <c r="FL1124" s="15" t="inlineStr">
        <is>
          <t>B</t>
        </is>
      </c>
      <c r="FM1124" s="15" t="inlineStr">
        <is>
          <t>SAN JOSE</t>
        </is>
      </c>
      <c r="FN1124" s="15" t="inlineStr">
        <is>
          <t>San José 030 (José Besa 669)</t>
        </is>
      </c>
      <c r="FO1124" s="15" t="inlineStr">
        <is>
          <t>San Bernardo</t>
        </is>
      </c>
      <c r="FP1124" t="inlineStr">
        <is>
          <t>B</t>
        </is>
      </c>
      <c r="FS1124" s="14" t="inlineStr">
        <is>
          <t>LZPT-38|</t>
        </is>
      </c>
      <c r="FT1124" t="inlineStr">
        <is>
          <t>LZPT-38|</t>
        </is>
      </c>
      <c r="FU1124" t="inlineStr">
        <is>
          <t>LZPT-38</t>
        </is>
      </c>
      <c r="FV1124">
        <f>VLOOKUP(FU1124,FD:FL,9,0)</f>
        <v/>
      </c>
    </row>
    <row r="1125">
      <c r="FC1125" t="inlineStr">
        <is>
          <t>Diccionario 2</t>
        </is>
      </c>
      <c r="FD1125" s="15" t="inlineStr">
        <is>
          <t>VFHK-58</t>
        </is>
      </c>
      <c r="FE1125" s="15" t="inlineStr">
        <is>
          <t>LDYECS315S0043898</t>
        </is>
      </c>
      <c r="FF1125" s="15" t="inlineStr">
        <is>
          <t>MDN35025010184</t>
        </is>
      </c>
      <c r="FG1125" s="15" t="inlineStr">
        <is>
          <t>Zhong Tong</t>
        </is>
      </c>
      <c r="FH1125" s="15" t="inlineStr">
        <is>
          <t>Lck6122evg</t>
        </is>
      </c>
      <c r="FI1125" s="15" t="inlineStr">
        <is>
          <t>ZHONGTONG</t>
        </is>
      </c>
      <c r="FJ1125" s="15" t="inlineStr">
        <is>
          <t>LCK6122EVG</t>
        </is>
      </c>
      <c r="FK1125" s="15" t="n">
        <v>2025</v>
      </c>
      <c r="FL1125" s="15" t="inlineStr">
        <is>
          <t>B</t>
        </is>
      </c>
      <c r="FM1125" s="15" t="inlineStr">
        <is>
          <t>SAN JOSE</t>
        </is>
      </c>
      <c r="FN1125" s="15" t="inlineStr">
        <is>
          <t>San José 030 (José Besa 669)</t>
        </is>
      </c>
      <c r="FO1125" s="15" t="inlineStr">
        <is>
          <t>San Bernardo</t>
        </is>
      </c>
      <c r="FP1125" t="inlineStr">
        <is>
          <t>B</t>
        </is>
      </c>
      <c r="FS1125" s="14" t="inlineStr">
        <is>
          <t>LZPT-54|</t>
        </is>
      </c>
      <c r="FT1125" t="inlineStr">
        <is>
          <t>LZPT-54|</t>
        </is>
      </c>
      <c r="FU1125" t="inlineStr">
        <is>
          <t>LZPT-54</t>
        </is>
      </c>
      <c r="FV1125">
        <f>VLOOKUP(FU1125,FD:FL,9,0)</f>
        <v/>
      </c>
    </row>
    <row r="1126">
      <c r="FC1126" t="inlineStr">
        <is>
          <t>Diccionario 2</t>
        </is>
      </c>
      <c r="FD1126" s="15" t="inlineStr">
        <is>
          <t>VFHK-69</t>
        </is>
      </c>
      <c r="FE1126" s="15" t="inlineStr">
        <is>
          <t>LDYECS316S0043909</t>
        </is>
      </c>
      <c r="FF1126" s="15" t="inlineStr">
        <is>
          <t>MDN35025010068</t>
        </is>
      </c>
      <c r="FG1126" s="15" t="inlineStr">
        <is>
          <t>Zhong Tong</t>
        </is>
      </c>
      <c r="FH1126" s="15" t="inlineStr">
        <is>
          <t>Lck6122evg</t>
        </is>
      </c>
      <c r="FI1126" s="15" t="inlineStr">
        <is>
          <t>ZHONGTONG</t>
        </is>
      </c>
      <c r="FJ1126" s="15" t="inlineStr">
        <is>
          <t>LCK6122EVG</t>
        </is>
      </c>
      <c r="FK1126" s="15" t="n">
        <v>2025</v>
      </c>
      <c r="FL1126" s="15" t="inlineStr">
        <is>
          <t>B</t>
        </is>
      </c>
      <c r="FM1126" s="15" t="inlineStr">
        <is>
          <t>SAN JOSE</t>
        </is>
      </c>
      <c r="FN1126" s="15" t="inlineStr">
        <is>
          <t>San José 030 (José Besa 669)</t>
        </is>
      </c>
      <c r="FO1126" s="15" t="inlineStr">
        <is>
          <t>San Bernardo</t>
        </is>
      </c>
      <c r="FP1126" t="inlineStr">
        <is>
          <t>B</t>
        </is>
      </c>
      <c r="FS1126" s="14" t="inlineStr">
        <is>
          <t>LZPT-48|</t>
        </is>
      </c>
      <c r="FT1126" t="inlineStr">
        <is>
          <t>LZPT-48|</t>
        </is>
      </c>
      <c r="FU1126" t="inlineStr">
        <is>
          <t>LZPT-48</t>
        </is>
      </c>
      <c r="FV1126">
        <f>VLOOKUP(FU1126,FD:FL,9,0)</f>
        <v/>
      </c>
    </row>
    <row r="1127">
      <c r="FC1127" t="inlineStr">
        <is>
          <t>Diccionario 2</t>
        </is>
      </c>
      <c r="FD1127" s="15" t="inlineStr">
        <is>
          <t>VFHK-89</t>
        </is>
      </c>
      <c r="FE1127" s="15" t="inlineStr">
        <is>
          <t>LDYECS316S0043943</t>
        </is>
      </c>
      <c r="FF1127" s="15" t="inlineStr">
        <is>
          <t>MDN35025010049</t>
        </is>
      </c>
      <c r="FG1127" s="15" t="inlineStr">
        <is>
          <t>Zhong Tong</t>
        </is>
      </c>
      <c r="FH1127" s="15" t="inlineStr">
        <is>
          <t>Lck6122evg</t>
        </is>
      </c>
      <c r="FI1127" s="15" t="inlineStr">
        <is>
          <t>ZHONGTONG</t>
        </is>
      </c>
      <c r="FJ1127" s="15" t="inlineStr">
        <is>
          <t>LCK6122EVG</t>
        </is>
      </c>
      <c r="FK1127" s="15" t="n">
        <v>2025</v>
      </c>
      <c r="FL1127" s="15" t="inlineStr">
        <is>
          <t>B</t>
        </is>
      </c>
      <c r="FM1127" s="15" t="inlineStr">
        <is>
          <t>CERRILLOS</t>
        </is>
      </c>
      <c r="FN1127" s="15" t="inlineStr">
        <is>
          <t>Calle Uno 7371</t>
        </is>
      </c>
      <c r="FO1127" s="15" t="inlineStr">
        <is>
          <t>Estacion Central</t>
        </is>
      </c>
      <c r="FP1127" t="inlineStr">
        <is>
          <t>B</t>
        </is>
      </c>
      <c r="FS1127" s="14" t="inlineStr">
        <is>
          <t>LXWT-97|</t>
        </is>
      </c>
      <c r="FT1127" t="inlineStr">
        <is>
          <t>LXWT-97|</t>
        </is>
      </c>
      <c r="FU1127" t="inlineStr">
        <is>
          <t>LXWT-97</t>
        </is>
      </c>
      <c r="FV1127">
        <f>VLOOKUP(FU1127,FD:FL,9,0)</f>
        <v/>
      </c>
    </row>
    <row r="1128">
      <c r="FC1128" t="inlineStr">
        <is>
          <t>Diccionario 2</t>
        </is>
      </c>
      <c r="FD1128" s="15" t="inlineStr">
        <is>
          <t>VFHK-96</t>
        </is>
      </c>
      <c r="FE1128" s="15" t="inlineStr">
        <is>
          <t>LDYECS319S0043905</t>
        </is>
      </c>
      <c r="FF1128" s="15" t="inlineStr">
        <is>
          <t>MDN35025010108</t>
        </is>
      </c>
      <c r="FG1128" s="15" t="inlineStr">
        <is>
          <t>Zhong Tong</t>
        </is>
      </c>
      <c r="FH1128" s="15" t="inlineStr">
        <is>
          <t>Lck6122evg</t>
        </is>
      </c>
      <c r="FI1128" s="15" t="inlineStr">
        <is>
          <t>ZHONGTONG</t>
        </is>
      </c>
      <c r="FJ1128" s="15" t="inlineStr">
        <is>
          <t>LCK6122EVG</t>
        </is>
      </c>
      <c r="FK1128" s="15" t="n">
        <v>2025</v>
      </c>
      <c r="FL1128" s="15" t="inlineStr">
        <is>
          <t>B</t>
        </is>
      </c>
      <c r="FM1128" s="15" t="inlineStr">
        <is>
          <t>SAN ALFONSO</t>
        </is>
      </c>
      <c r="FN1128" s="15" t="inlineStr">
        <is>
          <t>San Alfonso 2141 (Ramón Subercaseaux 3060)</t>
        </is>
      </c>
      <c r="FO1128" s="15" t="inlineStr">
        <is>
          <t>Estacion Central</t>
        </is>
      </c>
      <c r="FP1128" t="inlineStr">
        <is>
          <t>B</t>
        </is>
      </c>
      <c r="FS1128" s="14" t="inlineStr">
        <is>
          <t>LZPT-40|</t>
        </is>
      </c>
      <c r="FT1128" t="inlineStr">
        <is>
          <t>LZPT-40|</t>
        </is>
      </c>
      <c r="FU1128" t="inlineStr">
        <is>
          <t>LZPT-40</t>
        </is>
      </c>
      <c r="FV1128">
        <f>VLOOKUP(FU1128,FD:FL,9,0)</f>
        <v/>
      </c>
    </row>
    <row r="1129">
      <c r="FC1129" t="inlineStr">
        <is>
          <t>Diccionario 2</t>
        </is>
      </c>
      <c r="FD1129" s="15" t="inlineStr">
        <is>
          <t>GCBF-42</t>
        </is>
      </c>
      <c r="FE1129" s="15" t="inlineStr">
        <is>
          <t>YV3T7U520JA189191</t>
        </is>
      </c>
      <c r="FF1129" s="15" t="n">
        <v>451887</v>
      </c>
      <c r="FG1129" s="15" t="inlineStr">
        <is>
          <t>Volvo</t>
        </is>
      </c>
      <c r="FH1129" s="15" t="inlineStr">
        <is>
          <t>B8RLEA</t>
        </is>
      </c>
      <c r="FI1129" s="15" t="inlineStr">
        <is>
          <t>MARCOPOLO</t>
        </is>
      </c>
      <c r="FJ1129" s="15" t="inlineStr">
        <is>
          <t>TORINO</t>
        </is>
      </c>
      <c r="FK1129" s="15" t="n">
        <v>2020</v>
      </c>
      <c r="FL1129" s="15" t="inlineStr">
        <is>
          <t>C</t>
        </is>
      </c>
      <c r="FM1129" s="15" t="inlineStr">
        <is>
          <t>SAN ALFONSO</t>
        </is>
      </c>
      <c r="FN1129" s="15" t="inlineStr">
        <is>
          <t>San Alfonso 2141 (Ramón Subercaseaux 3060)</t>
        </is>
      </c>
      <c r="FO1129" s="15" t="inlineStr">
        <is>
          <t>Estacion Central</t>
        </is>
      </c>
      <c r="FP1129" t="inlineStr">
        <is>
          <t>C</t>
        </is>
      </c>
      <c r="FS1129" s="14" t="inlineStr">
        <is>
          <t>LZPT-41|</t>
        </is>
      </c>
      <c r="FT1129" t="inlineStr">
        <is>
          <t>LZPT-41|</t>
        </is>
      </c>
      <c r="FU1129" t="inlineStr">
        <is>
          <t>LZPT-41</t>
        </is>
      </c>
      <c r="FV1129">
        <f>VLOOKUP(FU1129,FD:FL,9,0)</f>
        <v/>
      </c>
    </row>
    <row r="1130">
      <c r="FC1130" t="inlineStr">
        <is>
          <t>Diccionario 2</t>
        </is>
      </c>
      <c r="FD1130" s="15" t="inlineStr">
        <is>
          <t>LZRB-89</t>
        </is>
      </c>
      <c r="FE1130" s="15" t="inlineStr">
        <is>
          <t>YV3T7U523LA201711</t>
        </is>
      </c>
      <c r="FF1130" s="15" t="n">
        <v>508408</v>
      </c>
      <c r="FG1130" s="15" t="inlineStr">
        <is>
          <t>Volvo</t>
        </is>
      </c>
      <c r="FH1130" s="15" t="inlineStr">
        <is>
          <t>B8RLEA</t>
        </is>
      </c>
      <c r="FI1130" s="15" t="inlineStr">
        <is>
          <t>MARCOPOLO</t>
        </is>
      </c>
      <c r="FJ1130" s="15" t="inlineStr">
        <is>
          <t>GRAN VIALE</t>
        </is>
      </c>
      <c r="FK1130" s="15" t="n">
        <v>2020</v>
      </c>
      <c r="FL1130" s="15" t="inlineStr">
        <is>
          <t>C</t>
        </is>
      </c>
      <c r="FM1130" s="15" t="inlineStr">
        <is>
          <t>PIE ANDINO</t>
        </is>
      </c>
      <c r="FN1130" s="15" t="inlineStr">
        <is>
          <t>Pie Andino 31 (Pie Andino 383)</t>
        </is>
      </c>
      <c r="FO1130" s="15" t="inlineStr">
        <is>
          <t>Puente Alto</t>
        </is>
      </c>
      <c r="FP1130" t="inlineStr">
        <is>
          <t>C</t>
        </is>
      </c>
      <c r="FS1130" s="14" t="inlineStr">
        <is>
          <t>LZPW-21|</t>
        </is>
      </c>
      <c r="FT1130" t="inlineStr">
        <is>
          <t>LZPW-21|</t>
        </is>
      </c>
      <c r="FU1130" t="inlineStr">
        <is>
          <t>LZPW-21</t>
        </is>
      </c>
      <c r="FV1130">
        <f>VLOOKUP(FU1130,FD:FL,9,0)</f>
        <v/>
      </c>
    </row>
    <row r="1131">
      <c r="FC1131" t="inlineStr">
        <is>
          <t>Diccionario 2</t>
        </is>
      </c>
      <c r="FD1131" s="15" t="inlineStr">
        <is>
          <t>LZRB-90</t>
        </is>
      </c>
      <c r="FE1131" s="15" t="inlineStr">
        <is>
          <t>YV3T7U527LA201923</t>
        </is>
      </c>
      <c r="FF1131" s="15" t="n">
        <v>509327</v>
      </c>
      <c r="FG1131" s="15" t="inlineStr">
        <is>
          <t>Volvo</t>
        </is>
      </c>
      <c r="FH1131" s="15" t="inlineStr">
        <is>
          <t>B8RLEA</t>
        </is>
      </c>
      <c r="FI1131" s="15" t="inlineStr">
        <is>
          <t>MARCOPOLO</t>
        </is>
      </c>
      <c r="FJ1131" s="15" t="inlineStr">
        <is>
          <t>GRAN VIALE</t>
        </is>
      </c>
      <c r="FK1131" s="15" t="n">
        <v>2020</v>
      </c>
      <c r="FL1131" s="15" t="inlineStr">
        <is>
          <t>C</t>
        </is>
      </c>
      <c r="FM1131" s="15" t="inlineStr">
        <is>
          <t>PIE ANDINO</t>
        </is>
      </c>
      <c r="FN1131" s="15" t="inlineStr">
        <is>
          <t>Pie Andino 31 (Pie Andino 383)</t>
        </is>
      </c>
      <c r="FO1131" s="15" t="inlineStr">
        <is>
          <t>Puente Alto</t>
        </is>
      </c>
      <c r="FP1131" t="inlineStr">
        <is>
          <t>C</t>
        </is>
      </c>
      <c r="FS1131" s="14" t="inlineStr">
        <is>
          <t>LZPT-53|</t>
        </is>
      </c>
      <c r="FT1131" t="inlineStr">
        <is>
          <t>LZPT-53|</t>
        </is>
      </c>
      <c r="FU1131" t="inlineStr">
        <is>
          <t>LZPT-53</t>
        </is>
      </c>
      <c r="FV1131">
        <f>VLOOKUP(FU1131,FD:FL,9,0)</f>
        <v/>
      </c>
    </row>
    <row r="1132">
      <c r="FC1132" t="inlineStr">
        <is>
          <t>Diccionario 2</t>
        </is>
      </c>
      <c r="FD1132" s="15" t="inlineStr">
        <is>
          <t>LZRB-91</t>
        </is>
      </c>
      <c r="FE1132" s="15" t="inlineStr">
        <is>
          <t>YV3T7U525LA201709</t>
        </is>
      </c>
      <c r="FF1132" s="15" t="n">
        <v>508437</v>
      </c>
      <c r="FG1132" s="15" t="inlineStr">
        <is>
          <t>Volvo</t>
        </is>
      </c>
      <c r="FH1132" s="15" t="inlineStr">
        <is>
          <t>B8RLEA</t>
        </is>
      </c>
      <c r="FI1132" s="15" t="inlineStr">
        <is>
          <t>MARCOPOLO</t>
        </is>
      </c>
      <c r="FJ1132" s="15" t="inlineStr">
        <is>
          <t>GRAN VIALE</t>
        </is>
      </c>
      <c r="FK1132" s="15" t="n">
        <v>2020</v>
      </c>
      <c r="FL1132" s="15" t="inlineStr">
        <is>
          <t>C</t>
        </is>
      </c>
      <c r="FM1132" s="15" t="inlineStr">
        <is>
          <t>PIE ANDINO</t>
        </is>
      </c>
      <c r="FN1132" s="15" t="inlineStr">
        <is>
          <t>Pie Andino 31 (Pie Andino 383)</t>
        </is>
      </c>
      <c r="FO1132" s="15" t="inlineStr">
        <is>
          <t>Puente Alto</t>
        </is>
      </c>
      <c r="FP1132" t="inlineStr">
        <is>
          <t>C</t>
        </is>
      </c>
      <c r="FS1132" s="14" t="inlineStr">
        <is>
          <t>LZPT-55|</t>
        </is>
      </c>
      <c r="FT1132" t="inlineStr">
        <is>
          <t>LZPT-55|</t>
        </is>
      </c>
      <c r="FU1132" t="inlineStr">
        <is>
          <t>LZPT-55</t>
        </is>
      </c>
      <c r="FV1132">
        <f>VLOOKUP(FU1132,FD:FL,9,0)</f>
        <v/>
      </c>
    </row>
    <row r="1133">
      <c r="FC1133" t="inlineStr">
        <is>
          <t>Diccionario 2</t>
        </is>
      </c>
      <c r="FD1133" s="15" t="inlineStr">
        <is>
          <t>LZRB-92</t>
        </is>
      </c>
      <c r="FE1133" s="15" t="inlineStr">
        <is>
          <t>YV3T7U520LA201665</t>
        </is>
      </c>
      <c r="FF1133" s="15" t="n">
        <v>508572</v>
      </c>
      <c r="FG1133" s="15" t="inlineStr">
        <is>
          <t>Volvo</t>
        </is>
      </c>
      <c r="FH1133" s="15" t="inlineStr">
        <is>
          <t>B8RLEA</t>
        </is>
      </c>
      <c r="FI1133" s="15" t="inlineStr">
        <is>
          <t>MARCOPOLO</t>
        </is>
      </c>
      <c r="FJ1133" s="15" t="inlineStr">
        <is>
          <t>GRAN VIALE</t>
        </is>
      </c>
      <c r="FK1133" s="15" t="n">
        <v>2020</v>
      </c>
      <c r="FL1133" s="15" t="inlineStr">
        <is>
          <t>C</t>
        </is>
      </c>
      <c r="FM1133" s="15" t="inlineStr">
        <is>
          <t>PIE ANDINO</t>
        </is>
      </c>
      <c r="FN1133" s="15" t="inlineStr">
        <is>
          <t>Pie Andino 31 (Pie Andino 383)</t>
        </is>
      </c>
      <c r="FO1133" s="15" t="inlineStr">
        <is>
          <t>Puente Alto</t>
        </is>
      </c>
      <c r="FP1133" t="inlineStr">
        <is>
          <t>C</t>
        </is>
      </c>
      <c r="FS1133" s="14" t="inlineStr">
        <is>
          <t>LZPT-71|</t>
        </is>
      </c>
      <c r="FT1133" t="inlineStr">
        <is>
          <t>LZPT-71|</t>
        </is>
      </c>
      <c r="FU1133" t="inlineStr">
        <is>
          <t>LZPT-71</t>
        </is>
      </c>
      <c r="FV1133">
        <f>VLOOKUP(FU1133,FD:FL,9,0)</f>
        <v/>
      </c>
    </row>
    <row r="1134">
      <c r="FC1134" t="inlineStr">
        <is>
          <t>Diccionario 2</t>
        </is>
      </c>
      <c r="FD1134" s="15" t="inlineStr">
        <is>
          <t>LZRB-93</t>
        </is>
      </c>
      <c r="FE1134" s="15" t="inlineStr">
        <is>
          <t>YV3T7U521LA201710</t>
        </is>
      </c>
      <c r="FF1134" s="15" t="n">
        <v>508361</v>
      </c>
      <c r="FG1134" s="15" t="inlineStr">
        <is>
          <t>Volvo</t>
        </is>
      </c>
      <c r="FH1134" s="15" t="inlineStr">
        <is>
          <t>B8RLEA</t>
        </is>
      </c>
      <c r="FI1134" s="15" t="inlineStr">
        <is>
          <t>MARCOPOLO</t>
        </is>
      </c>
      <c r="FJ1134" s="15" t="inlineStr">
        <is>
          <t>GRAN VIALE</t>
        </is>
      </c>
      <c r="FK1134" s="15" t="n">
        <v>2020</v>
      </c>
      <c r="FL1134" s="15" t="inlineStr">
        <is>
          <t>C</t>
        </is>
      </c>
      <c r="FM1134" s="15" t="inlineStr">
        <is>
          <t>PIE ANDINO</t>
        </is>
      </c>
      <c r="FN1134" s="15" t="inlineStr">
        <is>
          <t>Pie Andino 31 (Pie Andino 383)</t>
        </is>
      </c>
      <c r="FO1134" s="15" t="inlineStr">
        <is>
          <t>Puente Alto</t>
        </is>
      </c>
      <c r="FP1134" t="inlineStr">
        <is>
          <t>C</t>
        </is>
      </c>
      <c r="FS1134" s="14" t="inlineStr">
        <is>
          <t>GCBF-43|</t>
        </is>
      </c>
      <c r="FT1134" t="inlineStr">
        <is>
          <t>GCBF-43|</t>
        </is>
      </c>
      <c r="FU1134" t="inlineStr">
        <is>
          <t>GCBF-43</t>
        </is>
      </c>
      <c r="FV1134">
        <f>VLOOKUP(FU1134,FD:FL,9,0)</f>
        <v/>
      </c>
    </row>
    <row r="1135">
      <c r="FC1135" t="inlineStr">
        <is>
          <t>Diccionario 2</t>
        </is>
      </c>
      <c r="FD1135" s="15" t="inlineStr">
        <is>
          <t>LZRB-94</t>
        </is>
      </c>
      <c r="FE1135" s="15" t="inlineStr">
        <is>
          <t>YV3T7U526LA201699</t>
        </is>
      </c>
      <c r="FF1135" s="15" t="n">
        <v>508380</v>
      </c>
      <c r="FG1135" s="15" t="inlineStr">
        <is>
          <t>Volvo</t>
        </is>
      </c>
      <c r="FH1135" s="15" t="inlineStr">
        <is>
          <t>B8RLEA</t>
        </is>
      </c>
      <c r="FI1135" s="15" t="inlineStr">
        <is>
          <t>MARCOPOLO</t>
        </is>
      </c>
      <c r="FJ1135" s="15" t="inlineStr">
        <is>
          <t>GRAN VIALE</t>
        </is>
      </c>
      <c r="FK1135" s="15" t="n">
        <v>2020</v>
      </c>
      <c r="FL1135" s="15" t="inlineStr">
        <is>
          <t>C</t>
        </is>
      </c>
      <c r="FM1135" s="15" t="inlineStr">
        <is>
          <t>PIE ANDINO</t>
        </is>
      </c>
      <c r="FN1135" s="15" t="inlineStr">
        <is>
          <t>Pie Andino 31 (Pie Andino 383)</t>
        </is>
      </c>
      <c r="FO1135" s="15" t="inlineStr">
        <is>
          <t>Puente Alto</t>
        </is>
      </c>
      <c r="FP1135" t="inlineStr">
        <is>
          <t>C</t>
        </is>
      </c>
      <c r="FS1135" s="14" t="inlineStr">
        <is>
          <t>LXWT-96|</t>
        </is>
      </c>
      <c r="FT1135" t="inlineStr">
        <is>
          <t>LXWT-96|</t>
        </is>
      </c>
      <c r="FU1135" t="inlineStr">
        <is>
          <t>LXWT-96</t>
        </is>
      </c>
      <c r="FV1135">
        <f>VLOOKUP(FU1135,FD:FL,9,0)</f>
        <v/>
      </c>
    </row>
    <row r="1136">
      <c r="FC1136" t="inlineStr">
        <is>
          <t>Diccionario 2</t>
        </is>
      </c>
      <c r="FD1136" s="15" t="inlineStr">
        <is>
          <t>LZRB-95</t>
        </is>
      </c>
      <c r="FE1136" s="15" t="inlineStr">
        <is>
          <t>YV3T7U522LA201697</t>
        </is>
      </c>
      <c r="FF1136" s="15" t="n">
        <v>508444</v>
      </c>
      <c r="FG1136" s="15" t="inlineStr">
        <is>
          <t>Volvo</t>
        </is>
      </c>
      <c r="FH1136" s="15" t="inlineStr">
        <is>
          <t>B8RLEA</t>
        </is>
      </c>
      <c r="FI1136" s="15" t="inlineStr">
        <is>
          <t>MARCOPOLO</t>
        </is>
      </c>
      <c r="FJ1136" s="15" t="inlineStr">
        <is>
          <t>GRAN VIALE</t>
        </is>
      </c>
      <c r="FK1136" s="15" t="n">
        <v>2020</v>
      </c>
      <c r="FL1136" s="15" t="inlineStr">
        <is>
          <t>C</t>
        </is>
      </c>
      <c r="FM1136" s="15" t="inlineStr">
        <is>
          <t>PIE ANDINO</t>
        </is>
      </c>
      <c r="FN1136" s="15" t="inlineStr">
        <is>
          <t>Pie Andino 31 (Pie Andino 383)</t>
        </is>
      </c>
      <c r="FO1136" s="15" t="inlineStr">
        <is>
          <t>Puente Alto</t>
        </is>
      </c>
      <c r="FP1136" t="inlineStr">
        <is>
          <t>C</t>
        </is>
      </c>
      <c r="FS1136" s="14" t="inlineStr">
        <is>
          <t>LZPT-56|</t>
        </is>
      </c>
      <c r="FT1136" t="inlineStr">
        <is>
          <t>LZPT-56|</t>
        </is>
      </c>
      <c r="FU1136" t="inlineStr">
        <is>
          <t>LZPT-56</t>
        </is>
      </c>
      <c r="FV1136">
        <f>VLOOKUP(FU1136,FD:FL,9,0)</f>
        <v/>
      </c>
    </row>
    <row r="1137">
      <c r="FC1137" t="inlineStr">
        <is>
          <t>Diccionario 2</t>
        </is>
      </c>
      <c r="FD1137" s="15" t="inlineStr">
        <is>
          <t>LZRB-96</t>
        </is>
      </c>
      <c r="FE1137" s="15" t="inlineStr">
        <is>
          <t>YV3T7U524LA201698</t>
        </is>
      </c>
      <c r="FF1137" s="15" t="n">
        <v>508467</v>
      </c>
      <c r="FG1137" s="15" t="inlineStr">
        <is>
          <t>Volvo</t>
        </is>
      </c>
      <c r="FH1137" s="15" t="inlineStr">
        <is>
          <t>B8RLEA</t>
        </is>
      </c>
      <c r="FI1137" s="15" t="inlineStr">
        <is>
          <t>MARCOPOLO</t>
        </is>
      </c>
      <c r="FJ1137" s="15" t="inlineStr">
        <is>
          <t>GRAN VIALE</t>
        </is>
      </c>
      <c r="FK1137" s="15" t="n">
        <v>2020</v>
      </c>
      <c r="FL1137" s="15" t="inlineStr">
        <is>
          <t>C</t>
        </is>
      </c>
      <c r="FM1137" s="15" t="inlineStr">
        <is>
          <t>PIE ANDINO</t>
        </is>
      </c>
      <c r="FN1137" s="15" t="inlineStr">
        <is>
          <t>Pie Andino 31 (Pie Andino 383)</t>
        </is>
      </c>
      <c r="FO1137" s="15" t="inlineStr">
        <is>
          <t>Puente Alto</t>
        </is>
      </c>
      <c r="FP1137" t="inlineStr">
        <is>
          <t>C</t>
        </is>
      </c>
      <c r="FS1137" s="14" t="inlineStr">
        <is>
          <t>LXWT-95|</t>
        </is>
      </c>
      <c r="FT1137" t="inlineStr">
        <is>
          <t>LXWT-95|</t>
        </is>
      </c>
      <c r="FU1137" t="inlineStr">
        <is>
          <t>LXWT-95</t>
        </is>
      </c>
      <c r="FV1137">
        <f>VLOOKUP(FU1137,FD:FL,9,0)</f>
        <v/>
      </c>
    </row>
    <row r="1138">
      <c r="FC1138" t="inlineStr">
        <is>
          <t>Diccionario 2</t>
        </is>
      </c>
      <c r="FD1138" s="15" t="inlineStr">
        <is>
          <t>LZRD-61</t>
        </is>
      </c>
      <c r="FE1138" s="15" t="inlineStr">
        <is>
          <t>YV3T7U523LA198728</t>
        </is>
      </c>
      <c r="FF1138" s="15" t="n">
        <v>508196</v>
      </c>
      <c r="FG1138" s="15" t="inlineStr">
        <is>
          <t>Volvo</t>
        </is>
      </c>
      <c r="FH1138" s="15" t="inlineStr">
        <is>
          <t>B8RLEA</t>
        </is>
      </c>
      <c r="FI1138" s="15" t="inlineStr">
        <is>
          <t>MARCOPOLO</t>
        </is>
      </c>
      <c r="FJ1138" s="15" t="inlineStr">
        <is>
          <t>GRAN VIALE</t>
        </is>
      </c>
      <c r="FK1138" s="15" t="n">
        <v>2020</v>
      </c>
      <c r="FL1138" s="15" t="inlineStr">
        <is>
          <t>C</t>
        </is>
      </c>
      <c r="FM1138" s="15" t="inlineStr">
        <is>
          <t>PIE ANDINO</t>
        </is>
      </c>
      <c r="FN1138" s="15" t="inlineStr">
        <is>
          <t>Pie Andino 31 (Pie Andino 383)</t>
        </is>
      </c>
      <c r="FO1138" s="15" t="inlineStr">
        <is>
          <t>Puente Alto</t>
        </is>
      </c>
      <c r="FP1138" t="inlineStr">
        <is>
          <t>C</t>
        </is>
      </c>
      <c r="FS1138" s="14" t="inlineStr">
        <is>
          <t>LZPS-15|</t>
        </is>
      </c>
      <c r="FT1138" t="inlineStr">
        <is>
          <t>LZPS-15|</t>
        </is>
      </c>
      <c r="FU1138" t="inlineStr">
        <is>
          <t>LZPS-15</t>
        </is>
      </c>
      <c r="FV1138">
        <f>VLOOKUP(FU1138,FD:FL,9,0)</f>
        <v/>
      </c>
    </row>
    <row r="1139">
      <c r="FC1139" t="inlineStr">
        <is>
          <t>Diccionario 2</t>
        </is>
      </c>
      <c r="FD1139" s="15" t="inlineStr">
        <is>
          <t>LZRD-62</t>
        </is>
      </c>
      <c r="FE1139" s="15" t="inlineStr">
        <is>
          <t>YV3T7U526LA201623</t>
        </is>
      </c>
      <c r="FF1139" s="15" t="n">
        <v>508277</v>
      </c>
      <c r="FG1139" s="15" t="inlineStr">
        <is>
          <t>Volvo</t>
        </is>
      </c>
      <c r="FH1139" s="15" t="inlineStr">
        <is>
          <t>B8RLEA</t>
        </is>
      </c>
      <c r="FI1139" s="15" t="inlineStr">
        <is>
          <t>MARCOPOLO</t>
        </is>
      </c>
      <c r="FJ1139" s="15" t="inlineStr">
        <is>
          <t>GRAN VIALE</t>
        </is>
      </c>
      <c r="FK1139" s="15" t="n">
        <v>2020</v>
      </c>
      <c r="FL1139" s="15" t="inlineStr">
        <is>
          <t>C</t>
        </is>
      </c>
      <c r="FM1139" s="15" t="inlineStr">
        <is>
          <t>PIE ANDINO</t>
        </is>
      </c>
      <c r="FN1139" s="15" t="inlineStr">
        <is>
          <t>Pie Andino 31 (Pie Andino 383)</t>
        </is>
      </c>
      <c r="FO1139" s="15" t="inlineStr">
        <is>
          <t>Puente Alto</t>
        </is>
      </c>
      <c r="FP1139" t="inlineStr">
        <is>
          <t>C</t>
        </is>
      </c>
      <c r="FS1139" s="14" t="inlineStr">
        <is>
          <t>LXWT-82|</t>
        </is>
      </c>
      <c r="FT1139" t="inlineStr">
        <is>
          <t>LXWT-82|</t>
        </is>
      </c>
      <c r="FU1139" t="inlineStr">
        <is>
          <t>LXWT-82</t>
        </is>
      </c>
      <c r="FV1139">
        <f>VLOOKUP(FU1139,FD:FL,9,0)</f>
        <v/>
      </c>
    </row>
    <row r="1140">
      <c r="FC1140" t="inlineStr">
        <is>
          <t>Diccionario 2</t>
        </is>
      </c>
      <c r="FD1140" s="15" t="inlineStr">
        <is>
          <t>LZRD-63</t>
        </is>
      </c>
      <c r="FE1140" s="15" t="inlineStr">
        <is>
          <t>YV3T7U52XLA198726</t>
        </is>
      </c>
      <c r="FF1140" s="15" t="n">
        <v>508208</v>
      </c>
      <c r="FG1140" s="15" t="inlineStr">
        <is>
          <t>Volvo</t>
        </is>
      </c>
      <c r="FH1140" s="15" t="inlineStr">
        <is>
          <t>B8RLEA</t>
        </is>
      </c>
      <c r="FI1140" s="15" t="inlineStr">
        <is>
          <t>MARCOPOLO</t>
        </is>
      </c>
      <c r="FJ1140" s="15" t="inlineStr">
        <is>
          <t>GRAN VIALE</t>
        </is>
      </c>
      <c r="FK1140" s="15" t="n">
        <v>2020</v>
      </c>
      <c r="FL1140" s="15" t="inlineStr">
        <is>
          <t>C</t>
        </is>
      </c>
      <c r="FM1140" s="15" t="inlineStr">
        <is>
          <t>PIE ANDINO</t>
        </is>
      </c>
      <c r="FN1140" s="15" t="inlineStr">
        <is>
          <t>Pie Andino 31 (Pie Andino 383)</t>
        </is>
      </c>
      <c r="FO1140" s="15" t="inlineStr">
        <is>
          <t>Puente Alto</t>
        </is>
      </c>
      <c r="FP1140" t="inlineStr">
        <is>
          <t>C</t>
        </is>
      </c>
      <c r="FS1140" s="14" t="inlineStr">
        <is>
          <t>LZPG-20|</t>
        </is>
      </c>
      <c r="FT1140" t="inlineStr">
        <is>
          <t>LZPG-20|</t>
        </is>
      </c>
      <c r="FU1140" t="inlineStr">
        <is>
          <t>LZPG-20</t>
        </is>
      </c>
      <c r="FV1140">
        <f>VLOOKUP(FU1140,FD:FL,9,0)</f>
        <v/>
      </c>
    </row>
    <row r="1141">
      <c r="FC1141" t="inlineStr">
        <is>
          <t>Diccionario 2</t>
        </is>
      </c>
      <c r="FD1141" s="15" t="inlineStr">
        <is>
          <t>LZRD-64</t>
        </is>
      </c>
      <c r="FE1141" s="15" t="inlineStr">
        <is>
          <t>YV3T7U526LA198724</t>
        </is>
      </c>
      <c r="FF1141" s="15" t="n">
        <v>508167</v>
      </c>
      <c r="FG1141" s="15" t="inlineStr">
        <is>
          <t>Volvo</t>
        </is>
      </c>
      <c r="FH1141" s="15" t="inlineStr">
        <is>
          <t>B8RLEA</t>
        </is>
      </c>
      <c r="FI1141" s="15" t="inlineStr">
        <is>
          <t>MARCOPOLO</t>
        </is>
      </c>
      <c r="FJ1141" s="15" t="inlineStr">
        <is>
          <t>GRAN VIALE</t>
        </is>
      </c>
      <c r="FK1141" s="15" t="n">
        <v>2020</v>
      </c>
      <c r="FL1141" s="15" t="inlineStr">
        <is>
          <t>C</t>
        </is>
      </c>
      <c r="FM1141" s="15" t="inlineStr">
        <is>
          <t>PIE ANDINO</t>
        </is>
      </c>
      <c r="FN1141" s="15" t="inlineStr">
        <is>
          <t>Pie Andino 31 (Pie Andino 383)</t>
        </is>
      </c>
      <c r="FO1141" s="15" t="inlineStr">
        <is>
          <t>Puente Alto</t>
        </is>
      </c>
      <c r="FP1141" t="inlineStr">
        <is>
          <t>C</t>
        </is>
      </c>
      <c r="FS1141" s="14" t="inlineStr">
        <is>
          <t>9951 / TBZB-24|</t>
        </is>
      </c>
      <c r="FT1141" t="inlineStr">
        <is>
          <t>TBZB-24|</t>
        </is>
      </c>
      <c r="FU1141" t="inlineStr">
        <is>
          <t>TBZB-24</t>
        </is>
      </c>
      <c r="FV1141">
        <f>VLOOKUP(FU1141,FD:FL,9,0)</f>
        <v/>
      </c>
    </row>
    <row r="1142">
      <c r="FC1142" t="inlineStr">
        <is>
          <t>Diccionario 2</t>
        </is>
      </c>
      <c r="FD1142" s="15" t="inlineStr">
        <is>
          <t>LZRD-65</t>
        </is>
      </c>
      <c r="FE1142" s="15" t="inlineStr">
        <is>
          <t>YV3T7U521LA201500</t>
        </is>
      </c>
      <c r="FF1142" s="15" t="n">
        <v>507859</v>
      </c>
      <c r="FG1142" s="15" t="inlineStr">
        <is>
          <t>Volvo</t>
        </is>
      </c>
      <c r="FH1142" s="15" t="inlineStr">
        <is>
          <t>B8RLEA</t>
        </is>
      </c>
      <c r="FI1142" s="15" t="inlineStr">
        <is>
          <t>MARCOPOLO</t>
        </is>
      </c>
      <c r="FJ1142" s="15" t="inlineStr">
        <is>
          <t>GRAN VIALE</t>
        </is>
      </c>
      <c r="FK1142" s="15" t="n">
        <v>2020</v>
      </c>
      <c r="FL1142" s="15" t="inlineStr">
        <is>
          <t>C</t>
        </is>
      </c>
      <c r="FM1142" s="15" t="inlineStr">
        <is>
          <t>PIE ANDINO</t>
        </is>
      </c>
      <c r="FN1142" s="15" t="inlineStr">
        <is>
          <t>Pie Andino 31 (Pie Andino 383)</t>
        </is>
      </c>
      <c r="FO1142" s="15" t="inlineStr">
        <is>
          <t>Puente Alto</t>
        </is>
      </c>
      <c r="FP1142" t="inlineStr">
        <is>
          <t>C</t>
        </is>
      </c>
      <c r="FS1142" s="14" t="inlineStr">
        <is>
          <t>LZPS-17|</t>
        </is>
      </c>
      <c r="FT1142" t="inlineStr">
        <is>
          <t>LZPS-17|</t>
        </is>
      </c>
      <c r="FU1142" t="inlineStr">
        <is>
          <t>LZPS-17</t>
        </is>
      </c>
      <c r="FV1142">
        <f>VLOOKUP(FU1142,FD:FL,9,0)</f>
        <v/>
      </c>
    </row>
    <row r="1143">
      <c r="FC1143" t="inlineStr">
        <is>
          <t>Diccionario 2</t>
        </is>
      </c>
      <c r="FD1143" s="15" t="inlineStr">
        <is>
          <t>LZRD-66</t>
        </is>
      </c>
      <c r="FE1143" s="15" t="inlineStr">
        <is>
          <t>YV3T7U522LA198722</t>
        </is>
      </c>
      <c r="FF1143" s="15" t="n">
        <v>508172</v>
      </c>
      <c r="FG1143" s="15" t="inlineStr">
        <is>
          <t>Volvo</t>
        </is>
      </c>
      <c r="FH1143" s="15" t="inlineStr">
        <is>
          <t>B8RLEA</t>
        </is>
      </c>
      <c r="FI1143" s="15" t="inlineStr">
        <is>
          <t>MARCOPOLO</t>
        </is>
      </c>
      <c r="FJ1143" s="15" t="inlineStr">
        <is>
          <t>GRAN VIALE</t>
        </is>
      </c>
      <c r="FK1143" s="15" t="n">
        <v>2020</v>
      </c>
      <c r="FL1143" s="15" t="inlineStr">
        <is>
          <t>C</t>
        </is>
      </c>
      <c r="FM1143" s="15" t="inlineStr">
        <is>
          <t>PIE ANDINO</t>
        </is>
      </c>
      <c r="FN1143" s="15" t="inlineStr">
        <is>
          <t>Pie Andino 31 (Pie Andino 383)</t>
        </is>
      </c>
      <c r="FO1143" s="15" t="inlineStr">
        <is>
          <t>Puente Alto</t>
        </is>
      </c>
      <c r="FP1143" t="inlineStr">
        <is>
          <t>C</t>
        </is>
      </c>
      <c r="FS1143" s="14" t="inlineStr">
        <is>
          <t>LZPR-85|</t>
        </is>
      </c>
      <c r="FT1143" t="inlineStr">
        <is>
          <t>LZPR-85|</t>
        </is>
      </c>
      <c r="FU1143" t="inlineStr">
        <is>
          <t>LZPR-85</t>
        </is>
      </c>
      <c r="FV1143">
        <f>VLOOKUP(FU1143,FD:FL,9,0)</f>
        <v/>
      </c>
    </row>
    <row r="1144">
      <c r="FC1144" t="inlineStr">
        <is>
          <t>Diccionario 2</t>
        </is>
      </c>
      <c r="FD1144" s="15" t="inlineStr">
        <is>
          <t>LZRD-67</t>
        </is>
      </c>
      <c r="FE1144" s="15" t="inlineStr">
        <is>
          <t>YV3T7U520LA201696</t>
        </is>
      </c>
      <c r="FF1144" s="15" t="n">
        <v>508690</v>
      </c>
      <c r="FG1144" s="15" t="inlineStr">
        <is>
          <t>Volvo</t>
        </is>
      </c>
      <c r="FH1144" s="15" t="inlineStr">
        <is>
          <t>B8RLEA</t>
        </is>
      </c>
      <c r="FI1144" s="15" t="inlineStr">
        <is>
          <t>MARCOPOLO</t>
        </is>
      </c>
      <c r="FJ1144" s="15" t="inlineStr">
        <is>
          <t>GRAN VIALE</t>
        </is>
      </c>
      <c r="FK1144" s="15" t="n">
        <v>2020</v>
      </c>
      <c r="FL1144" s="15" t="inlineStr">
        <is>
          <t>C</t>
        </is>
      </c>
      <c r="FM1144" s="15" t="inlineStr">
        <is>
          <t>SAN ALFONSO</t>
        </is>
      </c>
      <c r="FN1144" s="15" t="inlineStr">
        <is>
          <t>San Alfonso 2141 (Ramón Subercaseaux 3060)</t>
        </is>
      </c>
      <c r="FO1144" s="15" t="inlineStr">
        <is>
          <t>Estacion Central</t>
        </is>
      </c>
      <c r="FP1144" t="inlineStr">
        <is>
          <t>C</t>
        </is>
      </c>
      <c r="FS1144" s="14" t="inlineStr">
        <is>
          <t>LZPT-62|</t>
        </is>
      </c>
      <c r="FT1144" t="inlineStr">
        <is>
          <t>LZPT-62|</t>
        </is>
      </c>
      <c r="FU1144" t="inlineStr">
        <is>
          <t>LZPT-62</t>
        </is>
      </c>
      <c r="FV1144">
        <f>VLOOKUP(FU1144,FD:FL,9,0)</f>
        <v/>
      </c>
    </row>
    <row r="1145">
      <c r="FC1145" t="inlineStr">
        <is>
          <t>Diccionario 2</t>
        </is>
      </c>
      <c r="FD1145" s="15" t="inlineStr">
        <is>
          <t>LZRD-68</t>
        </is>
      </c>
      <c r="FE1145" s="15" t="inlineStr">
        <is>
          <t>YV3T7U52XLA201608</t>
        </is>
      </c>
      <c r="FF1145" s="15" t="n">
        <v>508223</v>
      </c>
      <c r="FG1145" s="15" t="inlineStr">
        <is>
          <t>Volvo</t>
        </is>
      </c>
      <c r="FH1145" s="15" t="inlineStr">
        <is>
          <t>B8RLEA</t>
        </is>
      </c>
      <c r="FI1145" s="15" t="inlineStr">
        <is>
          <t>MARCOPOLO</t>
        </is>
      </c>
      <c r="FJ1145" s="15" t="inlineStr">
        <is>
          <t>GRAN VIALE</t>
        </is>
      </c>
      <c r="FK1145" s="15" t="n">
        <v>2020</v>
      </c>
      <c r="FL1145" s="15" t="inlineStr">
        <is>
          <t>C</t>
        </is>
      </c>
      <c r="FM1145" s="15" t="inlineStr">
        <is>
          <t>PIE ANDINO</t>
        </is>
      </c>
      <c r="FN1145" s="15" t="inlineStr">
        <is>
          <t>Pie Andino 31 (Pie Andino 383)</t>
        </is>
      </c>
      <c r="FO1145" s="15" t="inlineStr">
        <is>
          <t>Puente Alto</t>
        </is>
      </c>
      <c r="FP1145" t="inlineStr">
        <is>
          <t>C</t>
        </is>
      </c>
      <c r="FS1145" s="14" t="inlineStr">
        <is>
          <t>LZRB-86|</t>
        </is>
      </c>
      <c r="FT1145" t="inlineStr">
        <is>
          <t>LZRB-86|</t>
        </is>
      </c>
      <c r="FU1145" t="inlineStr">
        <is>
          <t>LZRB-86</t>
        </is>
      </c>
      <c r="FV1145">
        <f>VLOOKUP(FU1145,FD:FL,9,0)</f>
        <v/>
      </c>
    </row>
    <row r="1146">
      <c r="FC1146" t="inlineStr">
        <is>
          <t>Diccionario 2</t>
        </is>
      </c>
      <c r="FD1146" s="15" t="inlineStr">
        <is>
          <t>LZRD-69</t>
        </is>
      </c>
      <c r="FE1146" s="15" t="inlineStr">
        <is>
          <t>YV3T7U521LA201545</t>
        </is>
      </c>
      <c r="FF1146" s="15" t="n">
        <v>508144</v>
      </c>
      <c r="FG1146" s="15" t="inlineStr">
        <is>
          <t>Volvo</t>
        </is>
      </c>
      <c r="FH1146" s="15" t="inlineStr">
        <is>
          <t>B8RLEA</t>
        </is>
      </c>
      <c r="FI1146" s="15" t="inlineStr">
        <is>
          <t>MARCOPOLO</t>
        </is>
      </c>
      <c r="FJ1146" s="15" t="inlineStr">
        <is>
          <t>GRAN VIALE</t>
        </is>
      </c>
      <c r="FK1146" s="15" t="n">
        <v>2020</v>
      </c>
      <c r="FL1146" s="15" t="inlineStr">
        <is>
          <t>C</t>
        </is>
      </c>
      <c r="FM1146" s="15" t="inlineStr">
        <is>
          <t>PIE ANDINO</t>
        </is>
      </c>
      <c r="FN1146" s="15" t="inlineStr">
        <is>
          <t>Pie Andino 31 (Pie Andino 383)</t>
        </is>
      </c>
      <c r="FO1146" s="15" t="inlineStr">
        <is>
          <t>Puente Alto</t>
        </is>
      </c>
      <c r="FP1146" t="inlineStr">
        <is>
          <t>C</t>
        </is>
      </c>
      <c r="FS1146" s="14" t="inlineStr">
        <is>
          <t>9925 / SXKV-97|</t>
        </is>
      </c>
      <c r="FT1146" t="inlineStr">
        <is>
          <t>SXKV-97|</t>
        </is>
      </c>
      <c r="FU1146" t="inlineStr">
        <is>
          <t>SXKV-97</t>
        </is>
      </c>
      <c r="FV1146">
        <f>VLOOKUP(FU1146,FD:FL,9,0)</f>
        <v/>
      </c>
    </row>
    <row r="1147">
      <c r="FC1147" t="inlineStr">
        <is>
          <t>Diccionario 2</t>
        </is>
      </c>
      <c r="FD1147" s="15" t="inlineStr">
        <is>
          <t>LZRD-70</t>
        </is>
      </c>
      <c r="FE1147" s="15" t="inlineStr">
        <is>
          <t>YV3T7U528LA201543</t>
        </is>
      </c>
      <c r="FF1147" s="15" t="n">
        <v>508132</v>
      </c>
      <c r="FG1147" s="15" t="inlineStr">
        <is>
          <t>Volvo</t>
        </is>
      </c>
      <c r="FH1147" s="15" t="inlineStr">
        <is>
          <t>B8RLEA</t>
        </is>
      </c>
      <c r="FI1147" s="15" t="inlineStr">
        <is>
          <t>MARCOPOLO</t>
        </is>
      </c>
      <c r="FJ1147" s="15" t="inlineStr">
        <is>
          <t>GRAN VIALE</t>
        </is>
      </c>
      <c r="FK1147" s="15" t="n">
        <v>2020</v>
      </c>
      <c r="FL1147" s="15" t="inlineStr">
        <is>
          <t>C</t>
        </is>
      </c>
      <c r="FM1147" s="15" t="inlineStr">
        <is>
          <t>PIE ANDINO</t>
        </is>
      </c>
      <c r="FN1147" s="15" t="inlineStr">
        <is>
          <t>Pie Andino 31 (Pie Andino 383)</t>
        </is>
      </c>
      <c r="FO1147" s="15" t="inlineStr">
        <is>
          <t>Puente Alto</t>
        </is>
      </c>
      <c r="FP1147" t="inlineStr">
        <is>
          <t>C</t>
        </is>
      </c>
      <c r="FS1147" s="14" t="inlineStr">
        <is>
          <t>LZPT-54|</t>
        </is>
      </c>
      <c r="FT1147" t="inlineStr">
        <is>
          <t>LZPT-54|</t>
        </is>
      </c>
      <c r="FU1147" t="inlineStr">
        <is>
          <t>LZPT-54</t>
        </is>
      </c>
      <c r="FV1147">
        <f>VLOOKUP(FU1147,FD:FL,9,0)</f>
        <v/>
      </c>
    </row>
    <row r="1148">
      <c r="FC1148" t="inlineStr">
        <is>
          <t>Diccionario 2</t>
        </is>
      </c>
      <c r="FD1148" s="15" t="inlineStr">
        <is>
          <t>LZRD-71</t>
        </is>
      </c>
      <c r="FE1148" s="15" t="inlineStr">
        <is>
          <t>YV3T7U528LA201624</t>
        </is>
      </c>
      <c r="FF1148" s="15" t="n">
        <v>508345</v>
      </c>
      <c r="FG1148" s="15" t="inlineStr">
        <is>
          <t>Volvo</t>
        </is>
      </c>
      <c r="FH1148" s="15" t="inlineStr">
        <is>
          <t>B8RLEA</t>
        </is>
      </c>
      <c r="FI1148" s="15" t="inlineStr">
        <is>
          <t>MARCOPOLO</t>
        </is>
      </c>
      <c r="FJ1148" s="15" t="inlineStr">
        <is>
          <t>GRAN VIALE</t>
        </is>
      </c>
      <c r="FK1148" s="15" t="n">
        <v>2020</v>
      </c>
      <c r="FL1148" s="15" t="inlineStr">
        <is>
          <t>C</t>
        </is>
      </c>
      <c r="FM1148" s="15" t="inlineStr">
        <is>
          <t>PIE ANDINO</t>
        </is>
      </c>
      <c r="FN1148" s="15" t="inlineStr">
        <is>
          <t>Pie Andino 31 (Pie Andino 383)</t>
        </is>
      </c>
      <c r="FO1148" s="15" t="inlineStr">
        <is>
          <t>Puente Alto</t>
        </is>
      </c>
      <c r="FP1148" t="inlineStr">
        <is>
          <t>C</t>
        </is>
      </c>
      <c r="FS1148" s="14" t="inlineStr">
        <is>
          <t>LZPS-25|</t>
        </is>
      </c>
      <c r="FT1148" t="inlineStr">
        <is>
          <t>LZPS-25|</t>
        </is>
      </c>
      <c r="FU1148" t="inlineStr">
        <is>
          <t>LZPS-25</t>
        </is>
      </c>
      <c r="FV1148">
        <f>VLOOKUP(FU1148,FD:FL,9,0)</f>
        <v/>
      </c>
    </row>
    <row r="1149">
      <c r="FC1149" t="inlineStr">
        <is>
          <t>Diccionario 2</t>
        </is>
      </c>
      <c r="FD1149" s="15" t="inlineStr">
        <is>
          <t>LZRD-72</t>
        </is>
      </c>
      <c r="FE1149" s="15" t="inlineStr">
        <is>
          <t>YV3T7U525LA198729</t>
        </is>
      </c>
      <c r="FF1149" s="15" t="n">
        <v>508201</v>
      </c>
      <c r="FG1149" s="15" t="inlineStr">
        <is>
          <t>Volvo</t>
        </is>
      </c>
      <c r="FH1149" s="15" t="inlineStr">
        <is>
          <t>B8RLEA</t>
        </is>
      </c>
      <c r="FI1149" s="15" t="inlineStr">
        <is>
          <t>MARCOPOLO</t>
        </is>
      </c>
      <c r="FJ1149" s="15" t="inlineStr">
        <is>
          <t>GRAN VIALE</t>
        </is>
      </c>
      <c r="FK1149" s="15" t="n">
        <v>2020</v>
      </c>
      <c r="FL1149" s="15" t="inlineStr">
        <is>
          <t>C</t>
        </is>
      </c>
      <c r="FM1149" s="15" t="inlineStr">
        <is>
          <t>PIE ANDINO</t>
        </is>
      </c>
      <c r="FN1149" s="15" t="inlineStr">
        <is>
          <t>Pie Andino 31 (Pie Andino 383)</t>
        </is>
      </c>
      <c r="FO1149" s="15" t="inlineStr">
        <is>
          <t>Puente Alto</t>
        </is>
      </c>
      <c r="FP1149" t="inlineStr">
        <is>
          <t>C</t>
        </is>
      </c>
      <c r="FS1149" s="14" t="inlineStr">
        <is>
          <t>LZPT-41|</t>
        </is>
      </c>
      <c r="FT1149" t="inlineStr">
        <is>
          <t>LZPT-41|</t>
        </is>
      </c>
      <c r="FU1149" t="inlineStr">
        <is>
          <t>LZPT-41</t>
        </is>
      </c>
      <c r="FV1149">
        <f>VLOOKUP(FU1149,FD:FL,9,0)</f>
        <v/>
      </c>
    </row>
    <row r="1150">
      <c r="FC1150" t="inlineStr">
        <is>
          <t>Diccionario 2</t>
        </is>
      </c>
      <c r="FD1150" s="15" t="inlineStr">
        <is>
          <t>LZRD-73</t>
        </is>
      </c>
      <c r="FE1150" s="15" t="inlineStr">
        <is>
          <t>YV3T7U526LA201542</t>
        </is>
      </c>
      <c r="FF1150" s="15" t="n">
        <v>508119</v>
      </c>
      <c r="FG1150" s="15" t="inlineStr">
        <is>
          <t>Volvo</t>
        </is>
      </c>
      <c r="FH1150" s="15" t="inlineStr">
        <is>
          <t>B8RLEA</t>
        </is>
      </c>
      <c r="FI1150" s="15" t="inlineStr">
        <is>
          <t>MARCOPOLO</t>
        </is>
      </c>
      <c r="FJ1150" s="15" t="inlineStr">
        <is>
          <t>GRAN VIALE</t>
        </is>
      </c>
      <c r="FK1150" s="15" t="n">
        <v>2020</v>
      </c>
      <c r="FL1150" s="15" t="inlineStr">
        <is>
          <t>C</t>
        </is>
      </c>
      <c r="FM1150" s="15" t="inlineStr">
        <is>
          <t>PIE ANDINO</t>
        </is>
      </c>
      <c r="FN1150" s="15" t="inlineStr">
        <is>
          <t>Pie Andino 31 (Pie Andino 383)</t>
        </is>
      </c>
      <c r="FO1150" s="15" t="inlineStr">
        <is>
          <t>Puente Alto</t>
        </is>
      </c>
      <c r="FP1150" t="inlineStr">
        <is>
          <t>C</t>
        </is>
      </c>
      <c r="FS1150" s="14" t="inlineStr">
        <is>
          <t>LZPT-63|</t>
        </is>
      </c>
      <c r="FT1150" t="inlineStr">
        <is>
          <t>LZPT-63|</t>
        </is>
      </c>
      <c r="FU1150" t="inlineStr">
        <is>
          <t>LZPT-63</t>
        </is>
      </c>
      <c r="FV1150">
        <f>VLOOKUP(FU1150,FD:FL,9,0)</f>
        <v/>
      </c>
    </row>
    <row r="1151">
      <c r="FC1151" t="inlineStr">
        <is>
          <t>Diccionario 2</t>
        </is>
      </c>
      <c r="FD1151" s="15" t="inlineStr">
        <is>
          <t>LZRD-74</t>
        </is>
      </c>
      <c r="FE1151" s="15" t="inlineStr">
        <is>
          <t>YV3T7U524LA201622</t>
        </is>
      </c>
      <c r="FF1151" s="15" t="n">
        <v>508282</v>
      </c>
      <c r="FG1151" s="15" t="inlineStr">
        <is>
          <t>Volvo</t>
        </is>
      </c>
      <c r="FH1151" s="15" t="inlineStr">
        <is>
          <t>B8RLEA</t>
        </is>
      </c>
      <c r="FI1151" s="15" t="inlineStr">
        <is>
          <t>MARCOPOLO</t>
        </is>
      </c>
      <c r="FJ1151" s="15" t="inlineStr">
        <is>
          <t>GRAN VIALE</t>
        </is>
      </c>
      <c r="FK1151" s="15" t="n">
        <v>2020</v>
      </c>
      <c r="FL1151" s="15" t="inlineStr">
        <is>
          <t>C</t>
        </is>
      </c>
      <c r="FM1151" s="15" t="inlineStr">
        <is>
          <t>PIE ANDINO</t>
        </is>
      </c>
      <c r="FN1151" s="15" t="inlineStr">
        <is>
          <t>Pie Andino 31 (Pie Andino 383)</t>
        </is>
      </c>
      <c r="FO1151" s="15" t="inlineStr">
        <is>
          <t>Puente Alto</t>
        </is>
      </c>
      <c r="FP1151" t="inlineStr">
        <is>
          <t>C</t>
        </is>
      </c>
      <c r="FS1151" s="14" t="inlineStr">
        <is>
          <t>LZPT-49|</t>
        </is>
      </c>
      <c r="FT1151" t="inlineStr">
        <is>
          <t>LZPT-49|</t>
        </is>
      </c>
      <c r="FU1151" t="inlineStr">
        <is>
          <t>LZPT-49</t>
        </is>
      </c>
      <c r="FV1151">
        <f>VLOOKUP(FU1151,FD:FL,9,0)</f>
        <v/>
      </c>
    </row>
    <row r="1152">
      <c r="FC1152" t="inlineStr">
        <is>
          <t>Diccionario 2</t>
        </is>
      </c>
      <c r="FD1152" s="15" t="inlineStr">
        <is>
          <t>LZRD-75</t>
        </is>
      </c>
      <c r="FE1152" s="15" t="inlineStr">
        <is>
          <t>YV3T7U52XLA201544</t>
        </is>
      </c>
      <c r="FF1152" s="15" t="n">
        <v>508121</v>
      </c>
      <c r="FG1152" s="15" t="inlineStr">
        <is>
          <t>Volvo</t>
        </is>
      </c>
      <c r="FH1152" s="15" t="inlineStr">
        <is>
          <t>B8RLEA</t>
        </is>
      </c>
      <c r="FI1152" s="15" t="inlineStr">
        <is>
          <t>MARCOPOLO</t>
        </is>
      </c>
      <c r="FJ1152" s="15" t="inlineStr">
        <is>
          <t>GRAN VIALE</t>
        </is>
      </c>
      <c r="FK1152" s="15" t="n">
        <v>2020</v>
      </c>
      <c r="FL1152" s="15" t="inlineStr">
        <is>
          <t>C</t>
        </is>
      </c>
      <c r="FM1152" s="15" t="inlineStr">
        <is>
          <t>SAN ALFONSO</t>
        </is>
      </c>
      <c r="FN1152" s="15" t="inlineStr">
        <is>
          <t>San Alfonso 2141 (Ramón Subercaseaux 3060)</t>
        </is>
      </c>
      <c r="FO1152" s="15" t="inlineStr">
        <is>
          <t>Estacion Central</t>
        </is>
      </c>
      <c r="FP1152" t="inlineStr">
        <is>
          <t>C</t>
        </is>
      </c>
      <c r="FS1152" s="14" t="inlineStr">
        <is>
          <t>LZPR-93|</t>
        </is>
      </c>
      <c r="FT1152" t="inlineStr">
        <is>
          <t>LZPR-93|</t>
        </is>
      </c>
      <c r="FU1152" t="inlineStr">
        <is>
          <t>LZPR-93</t>
        </is>
      </c>
      <c r="FV1152">
        <f>VLOOKUP(FU1152,FD:FL,9,0)</f>
        <v/>
      </c>
    </row>
    <row r="1153">
      <c r="FC1153" t="inlineStr">
        <is>
          <t>Diccionario 2</t>
        </is>
      </c>
      <c r="FD1153" s="15" t="inlineStr">
        <is>
          <t>LZRD-76</t>
        </is>
      </c>
      <c r="FE1153" s="15" t="inlineStr">
        <is>
          <t>YV3T7U528LA198725</t>
        </is>
      </c>
      <c r="FF1153" s="15" t="n">
        <v>508224</v>
      </c>
      <c r="FG1153" s="15" t="inlineStr">
        <is>
          <t>Volvo</t>
        </is>
      </c>
      <c r="FH1153" s="15" t="inlineStr">
        <is>
          <t>B8RLEA</t>
        </is>
      </c>
      <c r="FI1153" s="15" t="inlineStr">
        <is>
          <t>MARCOPOLO</t>
        </is>
      </c>
      <c r="FJ1153" s="15" t="inlineStr">
        <is>
          <t>GRAN VIALE</t>
        </is>
      </c>
      <c r="FK1153" s="15" t="n">
        <v>2020</v>
      </c>
      <c r="FL1153" s="15" t="inlineStr">
        <is>
          <t>C</t>
        </is>
      </c>
      <c r="FM1153" s="15" t="inlineStr">
        <is>
          <t>SAN ALFONSO</t>
        </is>
      </c>
      <c r="FN1153" s="15" t="inlineStr">
        <is>
          <t>San Alfonso 2141 (Ramón Subercaseaux 3060)</t>
        </is>
      </c>
      <c r="FO1153" s="15" t="inlineStr">
        <is>
          <t>Estacion Central</t>
        </is>
      </c>
      <c r="FP1153" t="inlineStr">
        <is>
          <t>C</t>
        </is>
      </c>
      <c r="FS1153" s="14" t="inlineStr">
        <is>
          <t>LXWT-87|</t>
        </is>
      </c>
      <c r="FT1153" t="inlineStr">
        <is>
          <t>LXWT-87|</t>
        </is>
      </c>
      <c r="FU1153" t="inlineStr">
        <is>
          <t>LXWT-87</t>
        </is>
      </c>
      <c r="FV1153">
        <f>VLOOKUP(FU1153,FD:FL,9,0)</f>
        <v/>
      </c>
    </row>
    <row r="1154">
      <c r="FC1154" t="inlineStr">
        <is>
          <t>Diccionario 2</t>
        </is>
      </c>
      <c r="FD1154" s="15" t="inlineStr">
        <is>
          <t>LZRD-77</t>
        </is>
      </c>
      <c r="FE1154" s="15" t="inlineStr">
        <is>
          <t>YV3T7U524LA201667</t>
        </is>
      </c>
      <c r="FF1154" s="15" t="n">
        <v>508615</v>
      </c>
      <c r="FG1154" s="15" t="inlineStr">
        <is>
          <t>Volvo</t>
        </is>
      </c>
      <c r="FH1154" s="15" t="inlineStr">
        <is>
          <t>B8RLEA</t>
        </is>
      </c>
      <c r="FI1154" s="15" t="inlineStr">
        <is>
          <t>MARCOPOLO</t>
        </is>
      </c>
      <c r="FJ1154" s="15" t="inlineStr">
        <is>
          <t>GRAN VIALE</t>
        </is>
      </c>
      <c r="FK1154" s="15" t="n">
        <v>2020</v>
      </c>
      <c r="FL1154" s="15" t="inlineStr">
        <is>
          <t>C</t>
        </is>
      </c>
      <c r="FM1154" s="15" t="inlineStr">
        <is>
          <t>PIE ANDINO</t>
        </is>
      </c>
      <c r="FN1154" s="15" t="inlineStr">
        <is>
          <t>Pie Andino 31 (Pie Andino 383)</t>
        </is>
      </c>
      <c r="FO1154" s="15" t="inlineStr">
        <is>
          <t>Puente Alto</t>
        </is>
      </c>
      <c r="FP1154" t="inlineStr">
        <is>
          <t>C</t>
        </is>
      </c>
      <c r="FS1154" s="14" t="inlineStr">
        <is>
          <t>LZPT-39|</t>
        </is>
      </c>
      <c r="FT1154" t="inlineStr">
        <is>
          <t>LZPT-39|</t>
        </is>
      </c>
      <c r="FU1154" t="inlineStr">
        <is>
          <t>LZPT-39</t>
        </is>
      </c>
      <c r="FV1154">
        <f>VLOOKUP(FU1154,FD:FL,9,0)</f>
        <v/>
      </c>
    </row>
    <row r="1155">
      <c r="FC1155" t="inlineStr">
        <is>
          <t>Diccionario 2</t>
        </is>
      </c>
      <c r="FD1155" s="15" t="inlineStr">
        <is>
          <t>LZRD-78</t>
        </is>
      </c>
      <c r="FE1155" s="15" t="inlineStr">
        <is>
          <t>YV3T7U524LA201670</t>
        </is>
      </c>
      <c r="FF1155" s="15" t="n">
        <v>508569</v>
      </c>
      <c r="FG1155" s="15" t="inlineStr">
        <is>
          <t>Volvo</t>
        </is>
      </c>
      <c r="FH1155" s="15" t="inlineStr">
        <is>
          <t>B8RLEA</t>
        </is>
      </c>
      <c r="FI1155" s="15" t="inlineStr">
        <is>
          <t>MARCOPOLO</t>
        </is>
      </c>
      <c r="FJ1155" s="15" t="inlineStr">
        <is>
          <t>GRAN VIALE</t>
        </is>
      </c>
      <c r="FK1155" s="15" t="n">
        <v>2020</v>
      </c>
      <c r="FL1155" s="15" t="inlineStr">
        <is>
          <t>C</t>
        </is>
      </c>
      <c r="FM1155" s="15" t="inlineStr">
        <is>
          <t>SAN ALFONSO</t>
        </is>
      </c>
      <c r="FN1155" s="15" t="inlineStr">
        <is>
          <t>San Alfonso 2141 (Ramón Subercaseaux 3060)</t>
        </is>
      </c>
      <c r="FO1155" s="15" t="inlineStr">
        <is>
          <t>Estacion Central</t>
        </is>
      </c>
      <c r="FP1155" t="inlineStr">
        <is>
          <t>C</t>
        </is>
      </c>
      <c r="FS1155" s="14" t="inlineStr">
        <is>
          <t>LZRB-83|</t>
        </is>
      </c>
      <c r="FT1155" t="inlineStr">
        <is>
          <t>LZRB-83|</t>
        </is>
      </c>
      <c r="FU1155" t="inlineStr">
        <is>
          <t>LZRB-83</t>
        </is>
      </c>
      <c r="FV1155">
        <f>VLOOKUP(FU1155,FD:FL,9,0)</f>
        <v/>
      </c>
    </row>
    <row r="1156">
      <c r="FC1156" t="inlineStr">
        <is>
          <t>Diccionario 2</t>
        </is>
      </c>
      <c r="FD1156" s="15" t="inlineStr">
        <is>
          <t>LZRD-79</t>
        </is>
      </c>
      <c r="FE1156" s="15" t="inlineStr">
        <is>
          <t>YV3T7U52XLA201625</t>
        </is>
      </c>
      <c r="FF1156" s="15" t="n">
        <v>508297</v>
      </c>
      <c r="FG1156" s="15" t="inlineStr">
        <is>
          <t>Volvo</t>
        </is>
      </c>
      <c r="FH1156" s="15" t="inlineStr">
        <is>
          <t>B8RLEA</t>
        </is>
      </c>
      <c r="FI1156" s="15" t="inlineStr">
        <is>
          <t>MARCOPOLO</t>
        </is>
      </c>
      <c r="FJ1156" s="15" t="inlineStr">
        <is>
          <t>GRAN VIALE</t>
        </is>
      </c>
      <c r="FK1156" s="15" t="n">
        <v>2020</v>
      </c>
      <c r="FL1156" s="15" t="inlineStr">
        <is>
          <t>C</t>
        </is>
      </c>
      <c r="FM1156" s="15" t="inlineStr">
        <is>
          <t>PIE ANDINO</t>
        </is>
      </c>
      <c r="FN1156" s="15" t="inlineStr">
        <is>
          <t>Pie Andino 31 (Pie Andino 383)</t>
        </is>
      </c>
      <c r="FO1156" s="15" t="inlineStr">
        <is>
          <t>Puente Alto</t>
        </is>
      </c>
      <c r="FP1156" t="inlineStr">
        <is>
          <t>C</t>
        </is>
      </c>
      <c r="FS1156" s="14" t="inlineStr">
        <is>
          <t>LZPR-86|</t>
        </is>
      </c>
      <c r="FT1156" t="inlineStr">
        <is>
          <t>LZPR-86|</t>
        </is>
      </c>
      <c r="FU1156" t="inlineStr">
        <is>
          <t>LZPR-86</t>
        </is>
      </c>
      <c r="FV1156">
        <f>VLOOKUP(FU1156,FD:FL,9,0)</f>
        <v/>
      </c>
    </row>
    <row r="1157">
      <c r="FC1157" t="inlineStr">
        <is>
          <t>Diccionario 2</t>
        </is>
      </c>
      <c r="FD1157" s="15" t="inlineStr">
        <is>
          <t>LZRD-80</t>
        </is>
      </c>
      <c r="FE1157" s="15" t="inlineStr">
        <is>
          <t>YV3T7U520LA201620</t>
        </is>
      </c>
      <c r="FF1157" s="15" t="n">
        <v>508303</v>
      </c>
      <c r="FG1157" s="15" t="inlineStr">
        <is>
          <t>Volvo</t>
        </is>
      </c>
      <c r="FH1157" s="15" t="inlineStr">
        <is>
          <t>B8RLEA</t>
        </is>
      </c>
      <c r="FI1157" s="15" t="inlineStr">
        <is>
          <t>MARCOPOLO</t>
        </is>
      </c>
      <c r="FJ1157" s="15" t="inlineStr">
        <is>
          <t>GRAN VIALE</t>
        </is>
      </c>
      <c r="FK1157" s="15" t="n">
        <v>2020</v>
      </c>
      <c r="FL1157" s="15" t="inlineStr">
        <is>
          <t>C</t>
        </is>
      </c>
      <c r="FM1157" s="15" t="inlineStr">
        <is>
          <t>PIE ANDINO</t>
        </is>
      </c>
      <c r="FN1157" s="15" t="inlineStr">
        <is>
          <t>Pie Andino 31 (Pie Andino 383)</t>
        </is>
      </c>
      <c r="FO1157" s="15" t="inlineStr">
        <is>
          <t>Puente Alto</t>
        </is>
      </c>
      <c r="FP1157" t="inlineStr">
        <is>
          <t>C</t>
        </is>
      </c>
      <c r="FS1157" s="14" t="inlineStr">
        <is>
          <t>LZPW-16|</t>
        </is>
      </c>
      <c r="FT1157" t="inlineStr">
        <is>
          <t>LZPW-16|</t>
        </is>
      </c>
      <c r="FU1157" t="inlineStr">
        <is>
          <t>LZPW-16</t>
        </is>
      </c>
      <c r="FV1157">
        <f>VLOOKUP(FU1157,FD:FL,9,0)</f>
        <v/>
      </c>
    </row>
    <row r="1158">
      <c r="FC1158" t="inlineStr">
        <is>
          <t>Diccionario 2</t>
        </is>
      </c>
      <c r="FD1158" s="15" t="inlineStr">
        <is>
          <t>LZRD-81</t>
        </is>
      </c>
      <c r="FE1158" s="15" t="inlineStr">
        <is>
          <t>YV3T7U526LA201606</t>
        </is>
      </c>
      <c r="FF1158" s="15" t="n">
        <v>508235</v>
      </c>
      <c r="FG1158" s="15" t="inlineStr">
        <is>
          <t>Volvo</t>
        </is>
      </c>
      <c r="FH1158" s="15" t="inlineStr">
        <is>
          <t>B8RLEA</t>
        </is>
      </c>
      <c r="FI1158" s="15" t="inlineStr">
        <is>
          <t>MARCOPOLO</t>
        </is>
      </c>
      <c r="FJ1158" s="15" t="inlineStr">
        <is>
          <t>GRAN VIALE</t>
        </is>
      </c>
      <c r="FK1158" s="15" t="n">
        <v>2020</v>
      </c>
      <c r="FL1158" s="15" t="inlineStr">
        <is>
          <t>C</t>
        </is>
      </c>
      <c r="FM1158" s="15" t="inlineStr">
        <is>
          <t>PIE ANDINO</t>
        </is>
      </c>
      <c r="FN1158" s="15" t="inlineStr">
        <is>
          <t>Pie Andino 31 (Pie Andino 383)</t>
        </is>
      </c>
      <c r="FO1158" s="15" t="inlineStr">
        <is>
          <t>Puente Alto</t>
        </is>
      </c>
      <c r="FP1158" t="inlineStr">
        <is>
          <t>C</t>
        </is>
      </c>
      <c r="FS1158" s="14" t="inlineStr">
        <is>
          <t>LZPG-17|</t>
        </is>
      </c>
      <c r="FT1158" t="inlineStr">
        <is>
          <t>LZPG-17|</t>
        </is>
      </c>
      <c r="FU1158" t="inlineStr">
        <is>
          <t>LZPG-17</t>
        </is>
      </c>
      <c r="FV1158">
        <f>VLOOKUP(FU1158,FD:FL,9,0)</f>
        <v/>
      </c>
    </row>
    <row r="1159">
      <c r="FC1159" t="inlineStr">
        <is>
          <t>Diccionario 2</t>
        </is>
      </c>
      <c r="FD1159" s="15" t="inlineStr">
        <is>
          <t>LZRD-82</t>
        </is>
      </c>
      <c r="FE1159" s="15" t="inlineStr">
        <is>
          <t>YV3T7U527LA201498</t>
        </is>
      </c>
      <c r="FF1159" s="15" t="n">
        <v>507854</v>
      </c>
      <c r="FG1159" s="15" t="inlineStr">
        <is>
          <t>Volvo</t>
        </is>
      </c>
      <c r="FH1159" s="15" t="inlineStr">
        <is>
          <t>B8RLEA</t>
        </is>
      </c>
      <c r="FI1159" s="15" t="inlineStr">
        <is>
          <t>MARCOPOLO</t>
        </is>
      </c>
      <c r="FJ1159" s="15" t="inlineStr">
        <is>
          <t>GRAN VIALE</t>
        </is>
      </c>
      <c r="FK1159" s="15" t="n">
        <v>2020</v>
      </c>
      <c r="FL1159" s="15" t="inlineStr">
        <is>
          <t>C</t>
        </is>
      </c>
      <c r="FM1159" s="15" t="inlineStr">
        <is>
          <t>PIE ANDINO</t>
        </is>
      </c>
      <c r="FN1159" s="15" t="inlineStr">
        <is>
          <t>Pie Andino 31 (Pie Andino 383)</t>
        </is>
      </c>
      <c r="FO1159" s="15" t="inlineStr">
        <is>
          <t>Puente Alto</t>
        </is>
      </c>
      <c r="FP1159" t="inlineStr">
        <is>
          <t>C</t>
        </is>
      </c>
      <c r="FS1159" s="14" t="inlineStr">
        <is>
          <t>LZPT-43|</t>
        </is>
      </c>
      <c r="FT1159" t="inlineStr">
        <is>
          <t>LZPT-43|</t>
        </is>
      </c>
      <c r="FU1159" t="inlineStr">
        <is>
          <t>LZPT-43</t>
        </is>
      </c>
      <c r="FV1159">
        <f>VLOOKUP(FU1159,FD:FL,9,0)</f>
        <v/>
      </c>
    </row>
    <row r="1160">
      <c r="FC1160" t="inlineStr">
        <is>
          <t>Diccionario 2</t>
        </is>
      </c>
      <c r="FD1160" s="15" t="inlineStr">
        <is>
          <t>LZRD-83</t>
        </is>
      </c>
      <c r="FE1160" s="15" t="inlineStr">
        <is>
          <t>YV3T7U522LA201540</t>
        </is>
      </c>
      <c r="FF1160" s="15" t="n">
        <v>507955</v>
      </c>
      <c r="FG1160" s="15" t="inlineStr">
        <is>
          <t>Volvo</t>
        </is>
      </c>
      <c r="FH1160" s="15" t="inlineStr">
        <is>
          <t>B8RLEA</t>
        </is>
      </c>
      <c r="FI1160" s="15" t="inlineStr">
        <is>
          <t>MARCOPOLO</t>
        </is>
      </c>
      <c r="FJ1160" s="15" t="inlineStr">
        <is>
          <t>GRAN VIALE</t>
        </is>
      </c>
      <c r="FK1160" s="15" t="n">
        <v>2020</v>
      </c>
      <c r="FL1160" s="15" t="inlineStr">
        <is>
          <t>C</t>
        </is>
      </c>
      <c r="FM1160" s="15" t="inlineStr">
        <is>
          <t>SAN ALFONSO</t>
        </is>
      </c>
      <c r="FN1160" s="15" t="inlineStr">
        <is>
          <t>San Alfonso 2141 (Ramón Subercaseaux 3060)</t>
        </is>
      </c>
      <c r="FO1160" s="15" t="inlineStr">
        <is>
          <t>Estacion Central</t>
        </is>
      </c>
      <c r="FP1160" t="inlineStr">
        <is>
          <t>C</t>
        </is>
      </c>
      <c r="FS1160" s="14" t="inlineStr">
        <is>
          <t>LZPR-88|</t>
        </is>
      </c>
      <c r="FT1160" t="inlineStr">
        <is>
          <t>LZPR-88|</t>
        </is>
      </c>
      <c r="FU1160" t="inlineStr">
        <is>
          <t>LZPR-88</t>
        </is>
      </c>
      <c r="FV1160">
        <f>VLOOKUP(FU1160,FD:FL,9,0)</f>
        <v/>
      </c>
    </row>
    <row r="1161">
      <c r="FC1161" t="inlineStr">
        <is>
          <t>Diccionario 2</t>
        </is>
      </c>
      <c r="FD1161" s="15" t="inlineStr">
        <is>
          <t>LZRD-84</t>
        </is>
      </c>
      <c r="FE1161" s="15" t="inlineStr">
        <is>
          <t>YV3T7U526LA201668</t>
        </is>
      </c>
      <c r="FF1161" s="15" t="n">
        <v>508633</v>
      </c>
      <c r="FG1161" s="15" t="inlineStr">
        <is>
          <t>Volvo</t>
        </is>
      </c>
      <c r="FH1161" s="15" t="inlineStr">
        <is>
          <t>B8RLEA</t>
        </is>
      </c>
      <c r="FI1161" s="15" t="inlineStr">
        <is>
          <t>MARCOPOLO</t>
        </is>
      </c>
      <c r="FJ1161" s="15" t="inlineStr">
        <is>
          <t>GRAN VIALE</t>
        </is>
      </c>
      <c r="FK1161" s="15" t="n">
        <v>2020</v>
      </c>
      <c r="FL1161" s="15" t="inlineStr">
        <is>
          <t>C</t>
        </is>
      </c>
      <c r="FM1161" s="15" t="inlineStr">
        <is>
          <t>PIE ANDINO</t>
        </is>
      </c>
      <c r="FN1161" s="15" t="inlineStr">
        <is>
          <t>Pie Andino 31 (Pie Andino 383)</t>
        </is>
      </c>
      <c r="FO1161" s="15" t="inlineStr">
        <is>
          <t>Puente Alto</t>
        </is>
      </c>
      <c r="FP1161" t="inlineStr">
        <is>
          <t>C</t>
        </is>
      </c>
      <c r="FS1161" s="14" t="inlineStr">
        <is>
          <t>LZPV-99|</t>
        </is>
      </c>
      <c r="FT1161" t="inlineStr">
        <is>
          <t>LZPV-99|</t>
        </is>
      </c>
      <c r="FU1161" t="inlineStr">
        <is>
          <t>LZPV-99</t>
        </is>
      </c>
      <c r="FV1161">
        <f>VLOOKUP(FU1161,FD:FL,9,0)</f>
        <v/>
      </c>
    </row>
    <row r="1162">
      <c r="FC1162" t="inlineStr">
        <is>
          <t>Diccionario 2</t>
        </is>
      </c>
      <c r="FD1162" s="15" t="inlineStr">
        <is>
          <t>LZRD-85</t>
        </is>
      </c>
      <c r="FE1162" s="15" t="inlineStr">
        <is>
          <t>YV3T7U529LA201695</t>
        </is>
      </c>
      <c r="FF1162" s="15" t="n">
        <v>508651</v>
      </c>
      <c r="FG1162" s="15" t="inlineStr">
        <is>
          <t>Volvo</t>
        </is>
      </c>
      <c r="FH1162" s="15" t="inlineStr">
        <is>
          <t>B8RLEA</t>
        </is>
      </c>
      <c r="FI1162" s="15" t="inlineStr">
        <is>
          <t>MARCOPOLO</t>
        </is>
      </c>
      <c r="FJ1162" s="15" t="inlineStr">
        <is>
          <t>GRAN VIALE</t>
        </is>
      </c>
      <c r="FK1162" s="15" t="n">
        <v>2020</v>
      </c>
      <c r="FL1162" s="15" t="inlineStr">
        <is>
          <t>C</t>
        </is>
      </c>
      <c r="FM1162" s="15" t="inlineStr">
        <is>
          <t>PIE ANDINO</t>
        </is>
      </c>
      <c r="FN1162" s="15" t="inlineStr">
        <is>
          <t>Pie Andino 31 (Pie Andino 383)</t>
        </is>
      </c>
      <c r="FO1162" s="15" t="inlineStr">
        <is>
          <t>Puente Alto</t>
        </is>
      </c>
      <c r="FP1162" t="inlineStr">
        <is>
          <t>C</t>
        </is>
      </c>
      <c r="FS1162" s="14" t="inlineStr">
        <is>
          <t>LZPT-74|</t>
        </is>
      </c>
      <c r="FT1162" t="inlineStr">
        <is>
          <t>LZPT-74|</t>
        </is>
      </c>
      <c r="FU1162" t="inlineStr">
        <is>
          <t>LZPT-74</t>
        </is>
      </c>
      <c r="FV1162">
        <f>VLOOKUP(FU1162,FD:FL,9,0)</f>
        <v/>
      </c>
    </row>
    <row r="1163">
      <c r="FC1163" t="inlineStr">
        <is>
          <t>Diccionario 2</t>
        </is>
      </c>
      <c r="FD1163" s="15" t="inlineStr">
        <is>
          <t>LZRD-86</t>
        </is>
      </c>
      <c r="FE1163" s="15" t="inlineStr">
        <is>
          <t>YV3T7U521LA201609</t>
        </is>
      </c>
      <c r="FF1163" s="15" t="n">
        <v>508236</v>
      </c>
      <c r="FG1163" s="15" t="inlineStr">
        <is>
          <t>Volvo</t>
        </is>
      </c>
      <c r="FH1163" s="15" t="inlineStr">
        <is>
          <t>B8RLEA</t>
        </is>
      </c>
      <c r="FI1163" s="15" t="inlineStr">
        <is>
          <t>MARCOPOLO</t>
        </is>
      </c>
      <c r="FJ1163" s="15" t="inlineStr">
        <is>
          <t>GRAN VIALE</t>
        </is>
      </c>
      <c r="FK1163" s="15" t="n">
        <v>2020</v>
      </c>
      <c r="FL1163" s="15" t="inlineStr">
        <is>
          <t>C</t>
        </is>
      </c>
      <c r="FM1163" s="15" t="inlineStr">
        <is>
          <t>PIE ANDINO</t>
        </is>
      </c>
      <c r="FN1163" s="15" t="inlineStr">
        <is>
          <t>Pie Andino 31 (Pie Andino 383)</t>
        </is>
      </c>
      <c r="FO1163" s="15" t="inlineStr">
        <is>
          <t>Puente Alto</t>
        </is>
      </c>
      <c r="FP1163" t="inlineStr">
        <is>
          <t>C</t>
        </is>
      </c>
      <c r="FS1163" s="14" t="inlineStr">
        <is>
          <t>LZPS-16|</t>
        </is>
      </c>
      <c r="FT1163" t="inlineStr">
        <is>
          <t>LZPS-16|</t>
        </is>
      </c>
      <c r="FU1163" t="inlineStr">
        <is>
          <t>LZPS-16</t>
        </is>
      </c>
      <c r="FV1163">
        <f>VLOOKUP(FU1163,FD:FL,9,0)</f>
        <v/>
      </c>
    </row>
    <row r="1164">
      <c r="FC1164" t="inlineStr">
        <is>
          <t>Diccionario 2</t>
        </is>
      </c>
      <c r="FD1164" s="15" t="inlineStr">
        <is>
          <t>LZRD-87</t>
        </is>
      </c>
      <c r="FE1164" s="15" t="inlineStr">
        <is>
          <t>YV3T7U522LA201621</t>
        </is>
      </c>
      <c r="FF1164" s="15" t="n">
        <v>508307</v>
      </c>
      <c r="FG1164" s="15" t="inlineStr">
        <is>
          <t>Volvo</t>
        </is>
      </c>
      <c r="FH1164" s="15" t="inlineStr">
        <is>
          <t>B8RLEA</t>
        </is>
      </c>
      <c r="FI1164" s="15" t="inlineStr">
        <is>
          <t>MARCOPOLO</t>
        </is>
      </c>
      <c r="FJ1164" s="15" t="inlineStr">
        <is>
          <t>GRAN VIALE</t>
        </is>
      </c>
      <c r="FK1164" s="15" t="n">
        <v>2020</v>
      </c>
      <c r="FL1164" s="15" t="inlineStr">
        <is>
          <t>C</t>
        </is>
      </c>
      <c r="FM1164" s="15" t="inlineStr">
        <is>
          <t>PIE ANDINO</t>
        </is>
      </c>
      <c r="FN1164" s="15" t="inlineStr">
        <is>
          <t>Pie Andino 31 (Pie Andino 383)</t>
        </is>
      </c>
      <c r="FO1164" s="15" t="inlineStr">
        <is>
          <t>Puente Alto</t>
        </is>
      </c>
      <c r="FP1164" t="inlineStr">
        <is>
          <t>C</t>
        </is>
      </c>
      <c r="FS1164" s="14" t="inlineStr">
        <is>
          <t>GCBF-50|</t>
        </is>
      </c>
      <c r="FT1164" t="inlineStr">
        <is>
          <t>GCBF-50|</t>
        </is>
      </c>
      <c r="FU1164" t="inlineStr">
        <is>
          <t>GCBF-50</t>
        </is>
      </c>
      <c r="FV1164">
        <f>VLOOKUP(FU1164,FD:FL,9,0)</f>
        <v/>
      </c>
    </row>
    <row r="1165">
      <c r="FC1165" t="inlineStr">
        <is>
          <t>Diccionario 2</t>
        </is>
      </c>
      <c r="FD1165" s="15" t="inlineStr">
        <is>
          <t>LZRD-88</t>
        </is>
      </c>
      <c r="FE1165" s="15" t="inlineStr">
        <is>
          <t>YV3T7U528LA201607</t>
        </is>
      </c>
      <c r="FF1165" s="15" t="n">
        <v>508215</v>
      </c>
      <c r="FG1165" s="15" t="inlineStr">
        <is>
          <t>Volvo</t>
        </is>
      </c>
      <c r="FH1165" s="15" t="inlineStr">
        <is>
          <t>B8RLEA</t>
        </is>
      </c>
      <c r="FI1165" s="15" t="inlineStr">
        <is>
          <t>MARCOPOLO</t>
        </is>
      </c>
      <c r="FJ1165" s="15" t="inlineStr">
        <is>
          <t>GRAN VIALE</t>
        </is>
      </c>
      <c r="FK1165" s="15" t="n">
        <v>2020</v>
      </c>
      <c r="FL1165" s="15" t="inlineStr">
        <is>
          <t>C</t>
        </is>
      </c>
      <c r="FM1165" s="15" t="inlineStr">
        <is>
          <t>SAN ALFONSO</t>
        </is>
      </c>
      <c r="FN1165" s="15" t="inlineStr">
        <is>
          <t>San Alfonso 2141 (Ramón Subercaseaux 3060)</t>
        </is>
      </c>
      <c r="FO1165" s="15" t="inlineStr">
        <is>
          <t>Estacion Central</t>
        </is>
      </c>
      <c r="FP1165" t="inlineStr">
        <is>
          <t>C</t>
        </is>
      </c>
      <c r="FS1165" s="14" t="inlineStr">
        <is>
          <t>LZPT-61|</t>
        </is>
      </c>
      <c r="FT1165" t="inlineStr">
        <is>
          <t>LZPT-61|</t>
        </is>
      </c>
      <c r="FU1165" t="inlineStr">
        <is>
          <t>LZPT-61</t>
        </is>
      </c>
      <c r="FV1165">
        <f>VLOOKUP(FU1165,FD:FL,9,0)</f>
        <v/>
      </c>
    </row>
    <row r="1166">
      <c r="FC1166" t="inlineStr">
        <is>
          <t>Diccionario 2</t>
        </is>
      </c>
      <c r="FD1166" s="15" t="inlineStr">
        <is>
          <t>LZRD-89</t>
        </is>
      </c>
      <c r="FE1166" s="15" t="inlineStr">
        <is>
          <t>YV3T7U527LA201694</t>
        </is>
      </c>
      <c r="FF1166" s="15" t="n">
        <v>508655</v>
      </c>
      <c r="FG1166" s="15" t="inlineStr">
        <is>
          <t>Volvo</t>
        </is>
      </c>
      <c r="FH1166" s="15" t="inlineStr">
        <is>
          <t>B8RLEA</t>
        </is>
      </c>
      <c r="FI1166" s="15" t="inlineStr">
        <is>
          <t>MARCOPOLO</t>
        </is>
      </c>
      <c r="FJ1166" s="15" t="inlineStr">
        <is>
          <t>GRAN VIALE</t>
        </is>
      </c>
      <c r="FK1166" s="15" t="n">
        <v>2020</v>
      </c>
      <c r="FL1166" s="15" t="inlineStr">
        <is>
          <t>C</t>
        </is>
      </c>
      <c r="FM1166" s="15" t="inlineStr">
        <is>
          <t>PIE ANDINO</t>
        </is>
      </c>
      <c r="FN1166" s="15" t="inlineStr">
        <is>
          <t>Pie Andino 31 (Pie Andino 383)</t>
        </is>
      </c>
      <c r="FO1166" s="15" t="inlineStr">
        <is>
          <t>Puente Alto</t>
        </is>
      </c>
      <c r="FP1166" t="inlineStr">
        <is>
          <t>C</t>
        </is>
      </c>
      <c r="FS1166" s="14" t="inlineStr">
        <is>
          <t>GCBF-44|</t>
        </is>
      </c>
      <c r="FT1166" t="inlineStr">
        <is>
          <t>GCBF-44|</t>
        </is>
      </c>
      <c r="FU1166" t="inlineStr">
        <is>
          <t>GCBF-44</t>
        </is>
      </c>
      <c r="FV1166">
        <f>VLOOKUP(FU1166,FD:FL,9,0)</f>
        <v/>
      </c>
    </row>
    <row r="1167">
      <c r="FC1167" t="inlineStr">
        <is>
          <t>Diccionario 2</t>
        </is>
      </c>
      <c r="FD1167" s="15" t="inlineStr">
        <is>
          <t>LZRD-90</t>
        </is>
      </c>
      <c r="FE1167" s="15" t="inlineStr">
        <is>
          <t>YV3T7U528LA201610</t>
        </is>
      </c>
      <c r="FF1167" s="15" t="n">
        <v>508198</v>
      </c>
      <c r="FG1167" s="15" t="inlineStr">
        <is>
          <t>Volvo</t>
        </is>
      </c>
      <c r="FH1167" s="15" t="inlineStr">
        <is>
          <t>B8RLEA</t>
        </is>
      </c>
      <c r="FI1167" s="15" t="inlineStr">
        <is>
          <t>MARCOPOLO</t>
        </is>
      </c>
      <c r="FJ1167" s="15" t="inlineStr">
        <is>
          <t>GRAN VIALE</t>
        </is>
      </c>
      <c r="FK1167" s="15" t="n">
        <v>2020</v>
      </c>
      <c r="FL1167" s="15" t="inlineStr">
        <is>
          <t>C</t>
        </is>
      </c>
      <c r="FM1167" s="15" t="inlineStr">
        <is>
          <t>PIE ANDINO</t>
        </is>
      </c>
      <c r="FN1167" s="15" t="inlineStr">
        <is>
          <t>Pie Andino 31 (Pie Andino 383)</t>
        </is>
      </c>
      <c r="FO1167" s="15" t="inlineStr">
        <is>
          <t>Puente Alto</t>
        </is>
      </c>
      <c r="FP1167" t="inlineStr">
        <is>
          <t>C</t>
        </is>
      </c>
      <c r="FS1167" s="14" t="inlineStr">
        <is>
          <t>LXWT-92|</t>
        </is>
      </c>
      <c r="FT1167" t="inlineStr">
        <is>
          <t>LXWT-92|</t>
        </is>
      </c>
      <c r="FU1167" t="inlineStr">
        <is>
          <t>LXWT-92</t>
        </is>
      </c>
      <c r="FV1167">
        <f>VLOOKUP(FU1167,FD:FL,9,0)</f>
        <v/>
      </c>
    </row>
    <row r="1168">
      <c r="FC1168" t="inlineStr">
        <is>
          <t>Diccionario 2</t>
        </is>
      </c>
      <c r="FD1168" s="15" t="inlineStr">
        <is>
          <t>LZRD-91</t>
        </is>
      </c>
      <c r="FE1168" s="15" t="inlineStr">
        <is>
          <t>YV3T7U525LA201922</t>
        </is>
      </c>
      <c r="FF1168" s="15" t="n">
        <v>509348</v>
      </c>
      <c r="FG1168" s="15" t="inlineStr">
        <is>
          <t>Volvo</t>
        </is>
      </c>
      <c r="FH1168" s="15" t="inlineStr">
        <is>
          <t>B8RLEA</t>
        </is>
      </c>
      <c r="FI1168" s="15" t="inlineStr">
        <is>
          <t>MARCOPOLO</t>
        </is>
      </c>
      <c r="FJ1168" s="15" t="inlineStr">
        <is>
          <t>GRAN VIALE</t>
        </is>
      </c>
      <c r="FK1168" s="15" t="n">
        <v>2020</v>
      </c>
      <c r="FL1168" s="15" t="inlineStr">
        <is>
          <t>C</t>
        </is>
      </c>
      <c r="FM1168" s="15" t="inlineStr">
        <is>
          <t>SAN ALFONSO</t>
        </is>
      </c>
      <c r="FN1168" s="15" t="inlineStr">
        <is>
          <t>San Alfonso 2141 (Ramón Subercaseaux 3060)</t>
        </is>
      </c>
      <c r="FO1168" s="15" t="inlineStr">
        <is>
          <t>Estacion Central</t>
        </is>
      </c>
      <c r="FP1168" t="inlineStr">
        <is>
          <t>C</t>
        </is>
      </c>
      <c r="FS1168" s="14" t="inlineStr">
        <is>
          <t>9951 / TBZB-24|</t>
        </is>
      </c>
      <c r="FT1168" t="inlineStr">
        <is>
          <t>TBZB-24|</t>
        </is>
      </c>
      <c r="FU1168" t="inlineStr">
        <is>
          <t>TBZB-24</t>
        </is>
      </c>
      <c r="FV1168">
        <f>VLOOKUP(FU1168,FD:FL,9,0)</f>
        <v/>
      </c>
    </row>
    <row r="1169">
      <c r="FC1169" t="inlineStr">
        <is>
          <t>Diccionario 2</t>
        </is>
      </c>
      <c r="FD1169" s="15" t="inlineStr">
        <is>
          <t>LZRD-92</t>
        </is>
      </c>
      <c r="FE1169" s="15" t="inlineStr">
        <is>
          <t>YV3T7U527LA201906</t>
        </is>
      </c>
      <c r="FF1169" s="15" t="n">
        <v>509467</v>
      </c>
      <c r="FG1169" s="15" t="inlineStr">
        <is>
          <t>Volvo</t>
        </is>
      </c>
      <c r="FH1169" s="15" t="inlineStr">
        <is>
          <t>B8RLEA</t>
        </is>
      </c>
      <c r="FI1169" s="15" t="inlineStr">
        <is>
          <t>MARCOPOLO</t>
        </is>
      </c>
      <c r="FJ1169" s="15" t="inlineStr">
        <is>
          <t>GRAN VIALE</t>
        </is>
      </c>
      <c r="FK1169" s="15" t="n">
        <v>2020</v>
      </c>
      <c r="FL1169" s="15" t="inlineStr">
        <is>
          <t>C</t>
        </is>
      </c>
      <c r="FM1169" s="15" t="inlineStr">
        <is>
          <t>SAN ALFONSO</t>
        </is>
      </c>
      <c r="FN1169" s="15" t="inlineStr">
        <is>
          <t>San Alfonso 2141 (Ramón Subercaseaux 3060)</t>
        </is>
      </c>
      <c r="FO1169" s="15" t="inlineStr">
        <is>
          <t>Estacion Central</t>
        </is>
      </c>
      <c r="FP1169" t="inlineStr">
        <is>
          <t>C</t>
        </is>
      </c>
      <c r="FS1169" s="14" t="inlineStr">
        <is>
          <t>LXWT-99|</t>
        </is>
      </c>
      <c r="FT1169" t="inlineStr">
        <is>
          <t>LXWT-99|</t>
        </is>
      </c>
      <c r="FU1169" t="inlineStr">
        <is>
          <t>LXWT-99</t>
        </is>
      </c>
      <c r="FV1169">
        <f>VLOOKUP(FU1169,FD:FL,9,0)</f>
        <v/>
      </c>
    </row>
    <row r="1170">
      <c r="FC1170" t="inlineStr">
        <is>
          <t>Diccionario 2</t>
        </is>
      </c>
      <c r="FD1170" s="15" t="inlineStr">
        <is>
          <t>LZRD-61</t>
        </is>
      </c>
      <c r="FE1170" s="15" t="inlineStr">
        <is>
          <t>YV3T7U528LA201848</t>
        </is>
      </c>
      <c r="FF1170" s="15" t="n">
        <v>507981</v>
      </c>
      <c r="FG1170" s="15" t="inlineStr">
        <is>
          <t>Volvo</t>
        </is>
      </c>
      <c r="FH1170" s="15" t="inlineStr">
        <is>
          <t>B8RLEA</t>
        </is>
      </c>
      <c r="FI1170" s="15" t="inlineStr">
        <is>
          <t>MARCOPOLO</t>
        </is>
      </c>
      <c r="FJ1170" s="15" t="inlineStr">
        <is>
          <t>GRAN VIALE</t>
        </is>
      </c>
      <c r="FK1170" s="15" t="n">
        <v>2020</v>
      </c>
      <c r="FL1170" s="15" t="inlineStr">
        <is>
          <t>C</t>
        </is>
      </c>
      <c r="FM1170" s="15" t="inlineStr">
        <is>
          <t>PIE ANDINO</t>
        </is>
      </c>
      <c r="FN1170" s="15" t="inlineStr">
        <is>
          <t>Pie Andino 31 (Pie Andino 383)</t>
        </is>
      </c>
      <c r="FO1170" s="15" t="inlineStr">
        <is>
          <t>Puente Alto</t>
        </is>
      </c>
      <c r="FP1170" t="inlineStr">
        <is>
          <t>C</t>
        </is>
      </c>
      <c r="FS1170" s="14" t="inlineStr">
        <is>
          <t>LZPR-82|</t>
        </is>
      </c>
      <c r="FT1170" t="inlineStr">
        <is>
          <t>LZPR-82|</t>
        </is>
      </c>
      <c r="FU1170" t="inlineStr">
        <is>
          <t>LZPR-82</t>
        </is>
      </c>
      <c r="FV1170">
        <f>VLOOKUP(FU1170,FD:FL,9,0)</f>
        <v/>
      </c>
    </row>
    <row r="1171">
      <c r="FC1171" t="inlineStr">
        <is>
          <t>Diccionario 2</t>
        </is>
      </c>
      <c r="FD1171" s="15" t="inlineStr">
        <is>
          <t>LZRD-94</t>
        </is>
      </c>
      <c r="FE1171" s="15" t="inlineStr">
        <is>
          <t>YV3T7U523LA201708</t>
        </is>
      </c>
      <c r="FF1171" s="15" t="n">
        <v>508404</v>
      </c>
      <c r="FG1171" s="15" t="inlineStr">
        <is>
          <t>Volvo</t>
        </is>
      </c>
      <c r="FH1171" s="15" t="inlineStr">
        <is>
          <t>B8RLEA</t>
        </is>
      </c>
      <c r="FI1171" s="15" t="inlineStr">
        <is>
          <t>MARCOPOLO</t>
        </is>
      </c>
      <c r="FJ1171" s="15" t="inlineStr">
        <is>
          <t>GRAN VIALE</t>
        </is>
      </c>
      <c r="FK1171" s="15" t="n">
        <v>2020</v>
      </c>
      <c r="FL1171" s="15" t="inlineStr">
        <is>
          <t>C</t>
        </is>
      </c>
      <c r="FM1171" s="15" t="inlineStr">
        <is>
          <t>PIE ANDINO</t>
        </is>
      </c>
      <c r="FN1171" s="15" t="inlineStr">
        <is>
          <t>Pie Andino 31 (Pie Andino 383)</t>
        </is>
      </c>
      <c r="FO1171" s="15" t="inlineStr">
        <is>
          <t>Puente Alto</t>
        </is>
      </c>
      <c r="FP1171" t="inlineStr">
        <is>
          <t>C</t>
        </is>
      </c>
      <c r="FS1171" s="14" t="inlineStr">
        <is>
          <t>GCBF-48|</t>
        </is>
      </c>
      <c r="FT1171" t="inlineStr">
        <is>
          <t>GCBF-48|</t>
        </is>
      </c>
      <c r="FU1171" t="inlineStr">
        <is>
          <t>GCBF-48</t>
        </is>
      </c>
      <c r="FV1171">
        <f>VLOOKUP(FU1171,FD:FL,9,0)</f>
        <v/>
      </c>
    </row>
    <row r="1172">
      <c r="FC1172" t="inlineStr">
        <is>
          <t>Diccionario 2</t>
        </is>
      </c>
      <c r="FD1172" s="15" t="inlineStr">
        <is>
          <t>LZRD-95</t>
        </is>
      </c>
      <c r="FE1172" s="15" t="inlineStr">
        <is>
          <t>YV3T7U525LA201905</t>
        </is>
      </c>
      <c r="FF1172" s="15" t="n">
        <v>509585</v>
      </c>
      <c r="FG1172" s="15" t="inlineStr">
        <is>
          <t>Volvo</t>
        </is>
      </c>
      <c r="FH1172" s="15" t="inlineStr">
        <is>
          <t>B8RLEA</t>
        </is>
      </c>
      <c r="FI1172" s="15" t="inlineStr">
        <is>
          <t>MARCOPOLO</t>
        </is>
      </c>
      <c r="FJ1172" s="15" t="inlineStr">
        <is>
          <t>GRAN VIALE</t>
        </is>
      </c>
      <c r="FK1172" s="15" t="n">
        <v>2020</v>
      </c>
      <c r="FL1172" s="15" t="inlineStr">
        <is>
          <t>C</t>
        </is>
      </c>
      <c r="FM1172" s="15" t="inlineStr">
        <is>
          <t>PIE ANDINO</t>
        </is>
      </c>
      <c r="FN1172" s="15" t="inlineStr">
        <is>
          <t>Pie Andino 31 (Pie Andino 383)</t>
        </is>
      </c>
      <c r="FO1172" s="15" t="inlineStr">
        <is>
          <t>Puente Alto</t>
        </is>
      </c>
      <c r="FP1172" t="inlineStr">
        <is>
          <t>C</t>
        </is>
      </c>
      <c r="FS1172" s="14" t="inlineStr">
        <is>
          <t>LZPR-81|</t>
        </is>
      </c>
      <c r="FT1172" t="inlineStr">
        <is>
          <t>LZPR-81|</t>
        </is>
      </c>
      <c r="FU1172" t="inlineStr">
        <is>
          <t>LZPR-81</t>
        </is>
      </c>
      <c r="FV1172">
        <f>VLOOKUP(FU1172,FD:FL,9,0)</f>
        <v/>
      </c>
    </row>
    <row r="1173">
      <c r="FC1173" t="inlineStr">
        <is>
          <t>Diccionario 2</t>
        </is>
      </c>
      <c r="FD1173" s="15" t="inlineStr">
        <is>
          <t>LZRD-96</t>
        </is>
      </c>
      <c r="FE1173" s="15" t="inlineStr">
        <is>
          <t>YV3T7U520LA201908</t>
        </is>
      </c>
      <c r="FF1173" s="15" t="n">
        <v>509583</v>
      </c>
      <c r="FG1173" s="15" t="inlineStr">
        <is>
          <t>Volvo</t>
        </is>
      </c>
      <c r="FH1173" s="15" t="inlineStr">
        <is>
          <t>B8RLEA</t>
        </is>
      </c>
      <c r="FI1173" s="15" t="inlineStr">
        <is>
          <t>MARCOPOLO</t>
        </is>
      </c>
      <c r="FJ1173" s="15" t="inlineStr">
        <is>
          <t>GRAN VIALE</t>
        </is>
      </c>
      <c r="FK1173" s="15" t="n">
        <v>2020</v>
      </c>
      <c r="FL1173" s="15" t="inlineStr">
        <is>
          <t>C</t>
        </is>
      </c>
      <c r="FM1173" s="15" t="inlineStr">
        <is>
          <t>PIE ANDINO</t>
        </is>
      </c>
      <c r="FN1173" s="15" t="inlineStr">
        <is>
          <t>Pie Andino 31 (Pie Andino 383)</t>
        </is>
      </c>
      <c r="FO1173" s="15" t="inlineStr">
        <is>
          <t>Puente Alto</t>
        </is>
      </c>
      <c r="FP1173" t="inlineStr">
        <is>
          <t>C</t>
        </is>
      </c>
      <c r="FS1173" s="14" t="inlineStr">
        <is>
          <t>LZRB-87|</t>
        </is>
      </c>
      <c r="FT1173" t="inlineStr">
        <is>
          <t>LZRB-87|</t>
        </is>
      </c>
      <c r="FU1173" t="inlineStr">
        <is>
          <t>LZRB-87</t>
        </is>
      </c>
      <c r="FV1173">
        <f>VLOOKUP(FU1173,FD:FL,9,0)</f>
        <v/>
      </c>
    </row>
    <row r="1174">
      <c r="FC1174" t="inlineStr">
        <is>
          <t>Diccionario 2</t>
        </is>
      </c>
      <c r="FD1174" s="15" t="inlineStr">
        <is>
          <t>LZRD-97</t>
        </is>
      </c>
      <c r="FE1174" s="15" t="inlineStr">
        <is>
          <t>YV3T7U529LA201907</t>
        </is>
      </c>
      <c r="FF1174" s="15" t="n">
        <v>509444</v>
      </c>
      <c r="FG1174" s="15" t="inlineStr">
        <is>
          <t>Volvo</t>
        </is>
      </c>
      <c r="FH1174" s="15" t="inlineStr">
        <is>
          <t>B8RLEA</t>
        </is>
      </c>
      <c r="FI1174" s="15" t="inlineStr">
        <is>
          <t>MARCOPOLO</t>
        </is>
      </c>
      <c r="FJ1174" s="15" t="inlineStr">
        <is>
          <t>GRAN VIALE</t>
        </is>
      </c>
      <c r="FK1174" s="15" t="n">
        <v>2020</v>
      </c>
      <c r="FL1174" s="15" t="inlineStr">
        <is>
          <t>C</t>
        </is>
      </c>
      <c r="FM1174" s="15" t="inlineStr">
        <is>
          <t>PIE ANDINO</t>
        </is>
      </c>
      <c r="FN1174" s="15" t="inlineStr">
        <is>
          <t>Pie Andino 31 (Pie Andino 383)</t>
        </is>
      </c>
      <c r="FO1174" s="15" t="inlineStr">
        <is>
          <t>Puente Alto</t>
        </is>
      </c>
      <c r="FP1174" t="inlineStr">
        <is>
          <t>C</t>
        </is>
      </c>
      <c r="FS1174" s="14" t="inlineStr">
        <is>
          <t>LZPR-79|</t>
        </is>
      </c>
      <c r="FT1174" t="inlineStr">
        <is>
          <t>LZPR-79|</t>
        </is>
      </c>
      <c r="FU1174" t="inlineStr">
        <is>
          <t>LZPR-79</t>
        </is>
      </c>
      <c r="FV1174">
        <f>VLOOKUP(FU1174,FD:FL,9,0)</f>
        <v/>
      </c>
    </row>
    <row r="1175">
      <c r="FC1175" t="inlineStr">
        <is>
          <t>Diccionario 2</t>
        </is>
      </c>
      <c r="FD1175" s="15" t="inlineStr">
        <is>
          <t>LZRD-98</t>
        </is>
      </c>
      <c r="FE1175" s="15" t="inlineStr">
        <is>
          <t>YV3T7U526LA201802</t>
        </is>
      </c>
      <c r="FF1175" s="15" t="n">
        <v>509171</v>
      </c>
      <c r="FG1175" s="15" t="inlineStr">
        <is>
          <t>Volvo</t>
        </is>
      </c>
      <c r="FH1175" s="15" t="inlineStr">
        <is>
          <t>B8RLEA</t>
        </is>
      </c>
      <c r="FI1175" s="15" t="inlineStr">
        <is>
          <t>MARCOPOLO</t>
        </is>
      </c>
      <c r="FJ1175" s="15" t="inlineStr">
        <is>
          <t>GRAN VIALE</t>
        </is>
      </c>
      <c r="FK1175" s="15" t="n">
        <v>2020</v>
      </c>
      <c r="FL1175" s="15" t="inlineStr">
        <is>
          <t>C</t>
        </is>
      </c>
      <c r="FM1175" s="15" t="inlineStr">
        <is>
          <t>PIE ANDINO</t>
        </is>
      </c>
      <c r="FN1175" s="15" t="inlineStr">
        <is>
          <t>Pie Andino 31 (Pie Andino 383)</t>
        </is>
      </c>
      <c r="FO1175" s="15" t="inlineStr">
        <is>
          <t>Puente Alto</t>
        </is>
      </c>
      <c r="FP1175" t="inlineStr">
        <is>
          <t>C</t>
        </is>
      </c>
      <c r="FS1175" s="14" t="inlineStr">
        <is>
          <t>LZPW-22|</t>
        </is>
      </c>
      <c r="FT1175" t="inlineStr">
        <is>
          <t>LZPW-22|</t>
        </is>
      </c>
      <c r="FU1175" t="inlineStr">
        <is>
          <t>LZPW-22</t>
        </is>
      </c>
      <c r="FV1175">
        <f>VLOOKUP(FU1175,FD:FL,9,0)</f>
        <v/>
      </c>
    </row>
    <row r="1176">
      <c r="FC1176" t="inlineStr">
        <is>
          <t>Diccionario 2</t>
        </is>
      </c>
      <c r="FD1176" s="15" t="inlineStr">
        <is>
          <t>LZRD-99</t>
        </is>
      </c>
      <c r="FE1176" s="15" t="inlineStr">
        <is>
          <t>YV3T7U523LA201904</t>
        </is>
      </c>
      <c r="FF1176" s="15" t="n">
        <v>509572</v>
      </c>
      <c r="FG1176" s="15" t="inlineStr">
        <is>
          <t>Volvo</t>
        </is>
      </c>
      <c r="FH1176" s="15" t="inlineStr">
        <is>
          <t>B8RLEA</t>
        </is>
      </c>
      <c r="FI1176" s="15" t="inlineStr">
        <is>
          <t>MARCOPOLO</t>
        </is>
      </c>
      <c r="FJ1176" s="15" t="inlineStr">
        <is>
          <t>GRAN VIALE</t>
        </is>
      </c>
      <c r="FK1176" s="15" t="n">
        <v>2020</v>
      </c>
      <c r="FL1176" s="15" t="inlineStr">
        <is>
          <t>C</t>
        </is>
      </c>
      <c r="FM1176" s="15" t="inlineStr">
        <is>
          <t>PIE ANDINO</t>
        </is>
      </c>
      <c r="FN1176" s="15" t="inlineStr">
        <is>
          <t>Pie Andino 31 (Pie Andino 383)</t>
        </is>
      </c>
      <c r="FO1176" s="15" t="inlineStr">
        <is>
          <t>Puente Alto</t>
        </is>
      </c>
      <c r="FP1176" t="inlineStr">
        <is>
          <t>C</t>
        </is>
      </c>
      <c r="FS1176" s="14" t="inlineStr">
        <is>
          <t>LZPT-50|</t>
        </is>
      </c>
      <c r="FT1176" t="inlineStr">
        <is>
          <t>LZPT-50|</t>
        </is>
      </c>
      <c r="FU1176" t="inlineStr">
        <is>
          <t>LZPT-50</t>
        </is>
      </c>
      <c r="FV1176">
        <f>VLOOKUP(FU1176,FD:FL,9,0)</f>
        <v/>
      </c>
    </row>
    <row r="1177">
      <c r="FC1177" t="inlineStr">
        <is>
          <t>Diccionario 2</t>
        </is>
      </c>
      <c r="FD1177" s="15" t="inlineStr">
        <is>
          <t>LZRF-10</t>
        </is>
      </c>
      <c r="FE1177" s="15" t="inlineStr">
        <is>
          <t>YV3T7U525LA201712</t>
        </is>
      </c>
      <c r="FF1177" s="15" t="n">
        <v>508475</v>
      </c>
      <c r="FG1177" s="15" t="inlineStr">
        <is>
          <t>Volvo</t>
        </is>
      </c>
      <c r="FH1177" s="15" t="inlineStr">
        <is>
          <t>B8RLEA</t>
        </is>
      </c>
      <c r="FI1177" s="15" t="inlineStr">
        <is>
          <t>MARCOPOLO</t>
        </is>
      </c>
      <c r="FJ1177" s="15" t="inlineStr">
        <is>
          <t>GRAN VIALE</t>
        </is>
      </c>
      <c r="FK1177" s="15" t="n">
        <v>2020</v>
      </c>
      <c r="FL1177" s="15" t="inlineStr">
        <is>
          <t>C</t>
        </is>
      </c>
      <c r="FM1177" s="15" t="inlineStr">
        <is>
          <t>PIE ANDINO</t>
        </is>
      </c>
      <c r="FN1177" s="15" t="inlineStr">
        <is>
          <t>Pie Andino 31 (Pie Andino 383)</t>
        </is>
      </c>
      <c r="FO1177" s="15" t="inlineStr">
        <is>
          <t>Puente Alto</t>
        </is>
      </c>
      <c r="FP1177" t="inlineStr">
        <is>
          <t>C</t>
        </is>
      </c>
      <c r="FS1177" s="14" t="inlineStr">
        <is>
          <t>LZPR-80|</t>
        </is>
      </c>
      <c r="FT1177" t="inlineStr">
        <is>
          <t>LZPR-80|</t>
        </is>
      </c>
      <c r="FU1177" t="inlineStr">
        <is>
          <t>LZPR-80</t>
        </is>
      </c>
      <c r="FV1177">
        <f>VLOOKUP(FU1177,FD:FL,9,0)</f>
        <v/>
      </c>
    </row>
    <row r="1178">
      <c r="FC1178" t="inlineStr">
        <is>
          <t>Diccionario 2</t>
        </is>
      </c>
      <c r="FD1178" s="15" t="inlineStr">
        <is>
          <t>LZRF-11</t>
        </is>
      </c>
      <c r="FE1178" s="15" t="inlineStr">
        <is>
          <t>YV3T7U526LA201847</t>
        </is>
      </c>
      <c r="FF1178" s="15" t="n">
        <v>507974</v>
      </c>
      <c r="FG1178" s="15" t="inlineStr">
        <is>
          <t>Volvo</t>
        </is>
      </c>
      <c r="FH1178" s="15" t="inlineStr">
        <is>
          <t>B8RLEA</t>
        </is>
      </c>
      <c r="FI1178" s="15" t="inlineStr">
        <is>
          <t>MARCOPOLO</t>
        </is>
      </c>
      <c r="FJ1178" s="15" t="inlineStr">
        <is>
          <t>GRAN VIALE</t>
        </is>
      </c>
      <c r="FK1178" s="15" t="n">
        <v>2020</v>
      </c>
      <c r="FL1178" s="15" t="inlineStr">
        <is>
          <t>C</t>
        </is>
      </c>
      <c r="FM1178" s="15" t="inlineStr">
        <is>
          <t>PIE ANDINO</t>
        </is>
      </c>
      <c r="FN1178" s="15" t="inlineStr">
        <is>
          <t>Pie Andino 31 (Pie Andino 383)</t>
        </is>
      </c>
      <c r="FO1178" s="15" t="inlineStr">
        <is>
          <t>Puente Alto</t>
        </is>
      </c>
      <c r="FP1178" t="inlineStr">
        <is>
          <t>C</t>
        </is>
      </c>
      <c r="FS1178" s="14" t="inlineStr">
        <is>
          <t>LZPT-44|</t>
        </is>
      </c>
      <c r="FT1178" t="inlineStr">
        <is>
          <t>LZPT-44|</t>
        </is>
      </c>
      <c r="FU1178" t="inlineStr">
        <is>
          <t>LZPT-44</t>
        </is>
      </c>
      <c r="FV1178">
        <f>VLOOKUP(FU1178,FD:FL,9,0)</f>
        <v/>
      </c>
    </row>
    <row r="1179">
      <c r="FC1179" t="inlineStr">
        <is>
          <t>Diccionario 2</t>
        </is>
      </c>
      <c r="FD1179" s="15" t="inlineStr">
        <is>
          <t>LZRF-12</t>
        </is>
      </c>
      <c r="FE1179" s="15" t="inlineStr">
        <is>
          <t>YV3T7U528LA201851</t>
        </is>
      </c>
      <c r="FF1179" s="15" t="n">
        <v>508008</v>
      </c>
      <c r="FG1179" s="15" t="inlineStr">
        <is>
          <t>Volvo</t>
        </is>
      </c>
      <c r="FH1179" s="15" t="inlineStr">
        <is>
          <t>B8RLEA</t>
        </is>
      </c>
      <c r="FI1179" s="15" t="inlineStr">
        <is>
          <t>MARCOPOLO</t>
        </is>
      </c>
      <c r="FJ1179" s="15" t="inlineStr">
        <is>
          <t>GRAN VIALE</t>
        </is>
      </c>
      <c r="FK1179" s="15" t="n">
        <v>2020</v>
      </c>
      <c r="FL1179" s="15" t="inlineStr">
        <is>
          <t>C</t>
        </is>
      </c>
      <c r="FM1179" s="15" t="inlineStr">
        <is>
          <t>PIE ANDINO</t>
        </is>
      </c>
      <c r="FN1179" s="15" t="inlineStr">
        <is>
          <t>Pie Andino 31 (Pie Andino 383)</t>
        </is>
      </c>
      <c r="FO1179" s="15" t="inlineStr">
        <is>
          <t>Puente Alto</t>
        </is>
      </c>
      <c r="FP1179" t="inlineStr">
        <is>
          <t>C</t>
        </is>
      </c>
      <c r="FS1179" s="14" t="inlineStr">
        <is>
          <t>LZPT-77|</t>
        </is>
      </c>
      <c r="FT1179" t="inlineStr">
        <is>
          <t>LZPT-77|</t>
        </is>
      </c>
      <c r="FU1179" t="inlineStr">
        <is>
          <t>LZPT-77</t>
        </is>
      </c>
      <c r="FV1179">
        <f>VLOOKUP(FU1179,FD:FL,9,0)</f>
        <v/>
      </c>
    </row>
    <row r="1180">
      <c r="FC1180" t="inlineStr">
        <is>
          <t>Diccionario 2</t>
        </is>
      </c>
      <c r="FD1180" s="15" t="inlineStr">
        <is>
          <t>LZRF-13</t>
        </is>
      </c>
      <c r="FE1180" s="15" t="inlineStr">
        <is>
          <t>YV3T7U529LA201499</t>
        </is>
      </c>
      <c r="FF1180" s="15" t="n">
        <v>507878</v>
      </c>
      <c r="FG1180" s="15" t="inlineStr">
        <is>
          <t>Volvo</t>
        </is>
      </c>
      <c r="FH1180" s="15" t="inlineStr">
        <is>
          <t>B8RLEA</t>
        </is>
      </c>
      <c r="FI1180" s="15" t="inlineStr">
        <is>
          <t>MARCOPOLO</t>
        </is>
      </c>
      <c r="FJ1180" s="15" t="inlineStr">
        <is>
          <t>GRAN VIALE</t>
        </is>
      </c>
      <c r="FK1180" s="15" t="n">
        <v>2020</v>
      </c>
      <c r="FL1180" s="15" t="inlineStr">
        <is>
          <t>C</t>
        </is>
      </c>
      <c r="FM1180" s="15" t="inlineStr">
        <is>
          <t>PIE ANDINO</t>
        </is>
      </c>
      <c r="FN1180" s="15" t="inlineStr">
        <is>
          <t>Pie Andino 31 (Pie Andino 383)</t>
        </is>
      </c>
      <c r="FO1180" s="15" t="inlineStr">
        <is>
          <t>Puente Alto</t>
        </is>
      </c>
      <c r="FP1180" t="inlineStr">
        <is>
          <t>C</t>
        </is>
      </c>
      <c r="FS1180" s="14" t="inlineStr">
        <is>
          <t>LZPT-59|</t>
        </is>
      </c>
      <c r="FT1180" t="inlineStr">
        <is>
          <t>LZPT-59|</t>
        </is>
      </c>
      <c r="FU1180" t="inlineStr">
        <is>
          <t>LZPT-59</t>
        </is>
      </c>
      <c r="FV1180">
        <f>VLOOKUP(FU1180,FD:FL,9,0)</f>
        <v/>
      </c>
    </row>
    <row r="1181">
      <c r="FC1181" t="inlineStr">
        <is>
          <t>Diccionario 2</t>
        </is>
      </c>
      <c r="FD1181" s="15" t="inlineStr">
        <is>
          <t>LZRF-14</t>
        </is>
      </c>
      <c r="FE1181" s="15" t="inlineStr">
        <is>
          <t>YV3T7U524LA201541</t>
        </is>
      </c>
      <c r="FF1181" s="15" t="n">
        <v>507933</v>
      </c>
      <c r="FG1181" s="15" t="inlineStr">
        <is>
          <t>Volvo</t>
        </is>
      </c>
      <c r="FH1181" s="15" t="inlineStr">
        <is>
          <t>B8RLEA</t>
        </is>
      </c>
      <c r="FI1181" s="15" t="inlineStr">
        <is>
          <t>MARCOPOLO</t>
        </is>
      </c>
      <c r="FJ1181" s="15" t="inlineStr">
        <is>
          <t>GRAN VIALE</t>
        </is>
      </c>
      <c r="FK1181" s="15" t="n">
        <v>2020</v>
      </c>
      <c r="FL1181" s="15" t="inlineStr">
        <is>
          <t>C</t>
        </is>
      </c>
      <c r="FM1181" s="15" t="inlineStr">
        <is>
          <t>PIE ANDINO</t>
        </is>
      </c>
      <c r="FN1181" s="15" t="inlineStr">
        <is>
          <t>Pie Andino 31 (Pie Andino 383)</t>
        </is>
      </c>
      <c r="FO1181" s="15" t="inlineStr">
        <is>
          <t>Puente Alto</t>
        </is>
      </c>
      <c r="FP1181" t="inlineStr">
        <is>
          <t>C</t>
        </is>
      </c>
      <c r="FS1181" s="14" t="inlineStr">
        <is>
          <t>LZPR-93|</t>
        </is>
      </c>
      <c r="FT1181" t="inlineStr">
        <is>
          <t>LZPR-93|</t>
        </is>
      </c>
      <c r="FU1181" t="inlineStr">
        <is>
          <t>LZPR-93</t>
        </is>
      </c>
      <c r="FV1181">
        <f>VLOOKUP(FU1181,FD:FL,9,0)</f>
        <v/>
      </c>
    </row>
    <row r="1182">
      <c r="FC1182" t="inlineStr">
        <is>
          <t>Diccionario 2</t>
        </is>
      </c>
      <c r="FD1182" s="15" t="inlineStr">
        <is>
          <t>LZRF-15</t>
        </is>
      </c>
      <c r="FE1182" s="15" t="inlineStr">
        <is>
          <t>YV3T7U524LA198723</t>
        </is>
      </c>
      <c r="FF1182" s="15" t="n">
        <v>508173</v>
      </c>
      <c r="FG1182" s="15" t="inlineStr">
        <is>
          <t>Volvo</t>
        </is>
      </c>
      <c r="FH1182" s="15" t="inlineStr">
        <is>
          <t>B8RLEA</t>
        </is>
      </c>
      <c r="FI1182" s="15" t="inlineStr">
        <is>
          <t>MARCOPOLO</t>
        </is>
      </c>
      <c r="FJ1182" s="15" t="inlineStr">
        <is>
          <t>GRAN VIALE</t>
        </is>
      </c>
      <c r="FK1182" s="15" t="n">
        <v>2020</v>
      </c>
      <c r="FL1182" s="15" t="inlineStr">
        <is>
          <t>C</t>
        </is>
      </c>
      <c r="FM1182" s="15" t="inlineStr">
        <is>
          <t>PIE ANDINO</t>
        </is>
      </c>
      <c r="FN1182" s="15" t="inlineStr">
        <is>
          <t>Pie Andino 31 (Pie Andino 383)</t>
        </is>
      </c>
      <c r="FO1182" s="15" t="inlineStr">
        <is>
          <t>Puente Alto</t>
        </is>
      </c>
      <c r="FP1182" t="inlineStr">
        <is>
          <t>C</t>
        </is>
      </c>
      <c r="FS1182" s="14" t="inlineStr">
        <is>
          <t>LZPS-10|</t>
        </is>
      </c>
      <c r="FT1182" t="inlineStr">
        <is>
          <t>LZPS-10|</t>
        </is>
      </c>
      <c r="FU1182" t="inlineStr">
        <is>
          <t>LZPS-10</t>
        </is>
      </c>
      <c r="FV1182">
        <f>VLOOKUP(FU1182,FD:FL,9,0)</f>
        <v/>
      </c>
    </row>
    <row r="1183">
      <c r="FC1183" t="inlineStr">
        <is>
          <t>Diccionario 2</t>
        </is>
      </c>
      <c r="FD1183" s="15" t="inlineStr">
        <is>
          <t>RJXT-26</t>
        </is>
      </c>
      <c r="FE1183" s="15" t="inlineStr">
        <is>
          <t>YV3T7U528KA194902</t>
        </is>
      </c>
      <c r="FF1183" s="15" t="n">
        <v>480074</v>
      </c>
      <c r="FG1183" s="15" t="inlineStr">
        <is>
          <t>Volvo</t>
        </is>
      </c>
      <c r="FH1183" s="15" t="inlineStr">
        <is>
          <t>B8RLEA</t>
        </is>
      </c>
      <c r="FI1183" s="15" t="inlineStr">
        <is>
          <t>MARCOPOLO</t>
        </is>
      </c>
      <c r="FJ1183" s="15" t="inlineStr">
        <is>
          <t>MONDEGO II</t>
        </is>
      </c>
      <c r="FK1183" s="15" t="n">
        <v>2021</v>
      </c>
      <c r="FL1183" s="15" t="inlineStr">
        <is>
          <t>C</t>
        </is>
      </c>
      <c r="FM1183" s="15" t="inlineStr">
        <is>
          <t>PIE ANDINO</t>
        </is>
      </c>
      <c r="FN1183" s="15" t="inlineStr">
        <is>
          <t>Pie Andino 31 (Pie Andino 383)</t>
        </is>
      </c>
      <c r="FO1183" s="15" t="inlineStr">
        <is>
          <t>Puente Alto</t>
        </is>
      </c>
      <c r="FP1183" t="inlineStr">
        <is>
          <t>C</t>
        </is>
      </c>
      <c r="FS1183" s="14" t="inlineStr">
        <is>
          <t>LZPT-39|</t>
        </is>
      </c>
      <c r="FT1183" t="inlineStr">
        <is>
          <t>LZPT-39|</t>
        </is>
      </c>
      <c r="FU1183" t="inlineStr">
        <is>
          <t>LZPT-39</t>
        </is>
      </c>
      <c r="FV1183">
        <f>VLOOKUP(FU1183,FD:FL,9,0)</f>
        <v/>
      </c>
    </row>
    <row r="1184">
      <c r="FC1184" t="inlineStr">
        <is>
          <t>Diccionario 2</t>
        </is>
      </c>
      <c r="FD1184" s="15" t="inlineStr">
        <is>
          <t>RWTP-78</t>
        </is>
      </c>
      <c r="FE1184" s="15" t="inlineStr">
        <is>
          <t>YV3T7U52XNA207976</t>
        </is>
      </c>
      <c r="FF1184" s="15" t="n">
        <v>552632</v>
      </c>
      <c r="FG1184" s="15" t="inlineStr">
        <is>
          <t>Volvo</t>
        </is>
      </c>
      <c r="FH1184" s="15" t="inlineStr">
        <is>
          <t>B8RLEA</t>
        </is>
      </c>
      <c r="FI1184" s="15" t="inlineStr">
        <is>
          <t>MARCOPOLO</t>
        </is>
      </c>
      <c r="FJ1184" s="15" t="inlineStr">
        <is>
          <t>GRAN VIALE</t>
        </is>
      </c>
      <c r="FK1184" s="15" t="n">
        <v>2022</v>
      </c>
      <c r="FL1184" s="15" t="inlineStr">
        <is>
          <t>C</t>
        </is>
      </c>
      <c r="FM1184" s="15" t="inlineStr">
        <is>
          <t>PIE ANDINO</t>
        </is>
      </c>
      <c r="FN1184" s="15" t="inlineStr">
        <is>
          <t>Pie Andino 31 (Pie Andino 383)</t>
        </is>
      </c>
      <c r="FO1184" s="15" t="inlineStr">
        <is>
          <t>Puente Alto</t>
        </is>
      </c>
      <c r="FP1184" t="inlineStr">
        <is>
          <t>C</t>
        </is>
      </c>
      <c r="FS1184" s="14" t="inlineStr">
        <is>
          <t>LZPT-72|</t>
        </is>
      </c>
      <c r="FT1184" t="inlineStr">
        <is>
          <t>LZPT-72|</t>
        </is>
      </c>
      <c r="FU1184" t="inlineStr">
        <is>
          <t>LZPT-72</t>
        </is>
      </c>
      <c r="FV1184">
        <f>VLOOKUP(FU1184,FD:FL,9,0)</f>
        <v/>
      </c>
    </row>
    <row r="1185">
      <c r="FC1185" t="inlineStr">
        <is>
          <t>Diccionario 2</t>
        </is>
      </c>
      <c r="FD1185" s="15" t="inlineStr">
        <is>
          <t>RWTP-79</t>
        </is>
      </c>
      <c r="FE1185" s="15" t="inlineStr">
        <is>
          <t>YV3T7U52XNA207895</t>
        </is>
      </c>
      <c r="FF1185" s="15" t="n">
        <v>552649</v>
      </c>
      <c r="FG1185" s="15" t="inlineStr">
        <is>
          <t>Volvo</t>
        </is>
      </c>
      <c r="FH1185" s="15" t="inlineStr">
        <is>
          <t>B8RLEA</t>
        </is>
      </c>
      <c r="FI1185" s="15" t="inlineStr">
        <is>
          <t>MARCOPOLO</t>
        </is>
      </c>
      <c r="FJ1185" s="15" t="inlineStr">
        <is>
          <t>GRAN VIALE</t>
        </is>
      </c>
      <c r="FK1185" s="15" t="n">
        <v>2022</v>
      </c>
      <c r="FL1185" s="15" t="inlineStr">
        <is>
          <t>C</t>
        </is>
      </c>
      <c r="FM1185" s="15" t="inlineStr">
        <is>
          <t>SAN ALFONSO</t>
        </is>
      </c>
      <c r="FN1185" s="15" t="inlineStr">
        <is>
          <t>San Alfonso 2141 (Ramón Subercaseaux 3060)</t>
        </is>
      </c>
      <c r="FO1185" s="15" t="inlineStr">
        <is>
          <t>Estacion Central</t>
        </is>
      </c>
      <c r="FP1185" t="inlineStr">
        <is>
          <t>C</t>
        </is>
      </c>
      <c r="FS1185" s="14" t="inlineStr">
        <is>
          <t>LZPW-16|</t>
        </is>
      </c>
      <c r="FT1185" t="inlineStr">
        <is>
          <t>LZPW-16|</t>
        </is>
      </c>
      <c r="FU1185" t="inlineStr">
        <is>
          <t>LZPW-16</t>
        </is>
      </c>
      <c r="FV1185">
        <f>VLOOKUP(FU1185,FD:FL,9,0)</f>
        <v/>
      </c>
    </row>
    <row r="1186">
      <c r="FC1186" t="inlineStr">
        <is>
          <t>Diccionario 2</t>
        </is>
      </c>
      <c r="FD1186" s="15" t="inlineStr">
        <is>
          <t>RWTP-80</t>
        </is>
      </c>
      <c r="FE1186" s="15" t="inlineStr">
        <is>
          <t>YV3T7U528NA207894</t>
        </is>
      </c>
      <c r="FF1186" s="15" t="n">
        <v>552624</v>
      </c>
      <c r="FG1186" s="15" t="inlineStr">
        <is>
          <t>Volvo</t>
        </is>
      </c>
      <c r="FH1186" s="15" t="inlineStr">
        <is>
          <t>B8RLEA</t>
        </is>
      </c>
      <c r="FI1186" s="15" t="inlineStr">
        <is>
          <t>MARCOPOLO</t>
        </is>
      </c>
      <c r="FJ1186" s="15" t="inlineStr">
        <is>
          <t>GRAN VIALE</t>
        </is>
      </c>
      <c r="FK1186" s="15" t="n">
        <v>2022</v>
      </c>
      <c r="FL1186" s="15" t="inlineStr">
        <is>
          <t>C</t>
        </is>
      </c>
      <c r="FM1186" s="15" t="inlineStr">
        <is>
          <t>SAN ALFONSO</t>
        </is>
      </c>
      <c r="FN1186" s="15" t="inlineStr">
        <is>
          <t>San Alfonso 2141 (Ramón Subercaseaux 3060)</t>
        </is>
      </c>
      <c r="FO1186" s="15" t="inlineStr">
        <is>
          <t>Estacion Central</t>
        </is>
      </c>
      <c r="FP1186" t="inlineStr">
        <is>
          <t>C</t>
        </is>
      </c>
      <c r="FS1186" s="14" t="inlineStr">
        <is>
          <t>LZPT-38|</t>
        </is>
      </c>
      <c r="FT1186" t="inlineStr">
        <is>
          <t>LZPT-38|</t>
        </is>
      </c>
      <c r="FU1186" t="inlineStr">
        <is>
          <t>LZPT-38</t>
        </is>
      </c>
      <c r="FV1186">
        <f>VLOOKUP(FU1186,FD:FL,9,0)</f>
        <v/>
      </c>
    </row>
    <row r="1187">
      <c r="FC1187" t="inlineStr">
        <is>
          <t>Diccionario 2</t>
        </is>
      </c>
      <c r="FD1187" s="15" t="inlineStr">
        <is>
          <t>RWTP-81</t>
        </is>
      </c>
      <c r="FE1187" s="15" t="inlineStr">
        <is>
          <t>YV3T7U526NA207893</t>
        </is>
      </c>
      <c r="FF1187" s="15" t="n">
        <v>552338</v>
      </c>
      <c r="FG1187" s="15" t="inlineStr">
        <is>
          <t>Volvo</t>
        </is>
      </c>
      <c r="FH1187" s="15" t="inlineStr">
        <is>
          <t>B8RLEA</t>
        </is>
      </c>
      <c r="FI1187" s="15" t="inlineStr">
        <is>
          <t>MARCOPOLO</t>
        </is>
      </c>
      <c r="FJ1187" s="15" t="inlineStr">
        <is>
          <t>GRAN VIALE</t>
        </is>
      </c>
      <c r="FK1187" s="15" t="n">
        <v>2022</v>
      </c>
      <c r="FL1187" s="15" t="inlineStr">
        <is>
          <t>C</t>
        </is>
      </c>
      <c r="FM1187" s="15" t="inlineStr">
        <is>
          <t>SAN ALFONSO</t>
        </is>
      </c>
      <c r="FN1187" s="15" t="inlineStr">
        <is>
          <t>San Alfonso 2141 (Ramón Subercaseaux 3060)</t>
        </is>
      </c>
      <c r="FO1187" s="15" t="inlineStr">
        <is>
          <t>Estacion Central</t>
        </is>
      </c>
      <c r="FP1187" t="inlineStr">
        <is>
          <t>C</t>
        </is>
      </c>
      <c r="FS1187" s="14" t="inlineStr">
        <is>
          <t>LZPT-60|</t>
        </is>
      </c>
      <c r="FT1187" t="inlineStr">
        <is>
          <t>LZPT-60|</t>
        </is>
      </c>
      <c r="FU1187" t="inlineStr">
        <is>
          <t>LZPT-60</t>
        </is>
      </c>
      <c r="FV1187">
        <f>VLOOKUP(FU1187,FD:FL,9,0)</f>
        <v/>
      </c>
    </row>
    <row r="1188">
      <c r="FC1188" t="inlineStr">
        <is>
          <t>Diccionario 2</t>
        </is>
      </c>
      <c r="FD1188" s="15" t="inlineStr">
        <is>
          <t>RWTP-82</t>
        </is>
      </c>
      <c r="FE1188" s="15" t="inlineStr">
        <is>
          <t>YV3T7U525NA207884</t>
        </is>
      </c>
      <c r="FF1188" s="15" t="n">
        <v>552333</v>
      </c>
      <c r="FG1188" s="15" t="inlineStr">
        <is>
          <t>Volvo</t>
        </is>
      </c>
      <c r="FH1188" s="15" t="inlineStr">
        <is>
          <t>B8RLEA</t>
        </is>
      </c>
      <c r="FI1188" s="15" t="inlineStr">
        <is>
          <t>MARCOPOLO</t>
        </is>
      </c>
      <c r="FJ1188" s="15" t="inlineStr">
        <is>
          <t>GRAN VIALE</t>
        </is>
      </c>
      <c r="FK1188" s="15" t="n">
        <v>2022</v>
      </c>
      <c r="FL1188" s="15" t="inlineStr">
        <is>
          <t>C</t>
        </is>
      </c>
      <c r="FM1188" s="15" t="inlineStr">
        <is>
          <t>SAN ALFONSO</t>
        </is>
      </c>
      <c r="FN1188" s="15" t="inlineStr">
        <is>
          <t>San Alfonso 2141 (Ramón Subercaseaux 3060)</t>
        </is>
      </c>
      <c r="FO1188" s="15" t="inlineStr">
        <is>
          <t>Estacion Central</t>
        </is>
      </c>
      <c r="FP1188" t="inlineStr">
        <is>
          <t>C</t>
        </is>
      </c>
      <c r="FS1188" s="14" t="inlineStr">
        <is>
          <t>LZPG-17|</t>
        </is>
      </c>
      <c r="FT1188" t="inlineStr">
        <is>
          <t>LZPG-17|</t>
        </is>
      </c>
      <c r="FU1188" t="inlineStr">
        <is>
          <t>LZPG-17</t>
        </is>
      </c>
      <c r="FV1188">
        <f>VLOOKUP(FU1188,FD:FL,9,0)</f>
        <v/>
      </c>
    </row>
    <row r="1189">
      <c r="FC1189" t="inlineStr">
        <is>
          <t>Diccionario 2</t>
        </is>
      </c>
      <c r="FD1189" s="15" t="inlineStr">
        <is>
          <t>RWTP-83</t>
        </is>
      </c>
      <c r="FE1189" s="15" t="inlineStr">
        <is>
          <t>YV3T7U523NA207995</t>
        </is>
      </c>
      <c r="FF1189" s="15" t="n">
        <v>552881</v>
      </c>
      <c r="FG1189" s="15" t="inlineStr">
        <is>
          <t>Volvo</t>
        </is>
      </c>
      <c r="FH1189" s="15" t="inlineStr">
        <is>
          <t>B8RLEA</t>
        </is>
      </c>
      <c r="FI1189" s="15" t="inlineStr">
        <is>
          <t>MARCOPOLO</t>
        </is>
      </c>
      <c r="FJ1189" s="15" t="inlineStr">
        <is>
          <t>GRAN VIALE</t>
        </is>
      </c>
      <c r="FK1189" s="15" t="n">
        <v>2022</v>
      </c>
      <c r="FL1189" s="15" t="inlineStr">
        <is>
          <t>C</t>
        </is>
      </c>
      <c r="FM1189" s="15" t="inlineStr">
        <is>
          <t>PIE ANDINO</t>
        </is>
      </c>
      <c r="FN1189" s="15" t="inlineStr">
        <is>
          <t>Pie Andino 31 (Pie Andino 383)</t>
        </is>
      </c>
      <c r="FO1189" s="15" t="inlineStr">
        <is>
          <t>Puente Alto</t>
        </is>
      </c>
      <c r="FP1189" t="inlineStr">
        <is>
          <t>C</t>
        </is>
      </c>
      <c r="FS1189" s="14" t="inlineStr">
        <is>
          <t>LZPR-88|</t>
        </is>
      </c>
      <c r="FT1189" t="inlineStr">
        <is>
          <t>LZPR-88|</t>
        </is>
      </c>
      <c r="FU1189" t="inlineStr">
        <is>
          <t>LZPR-88</t>
        </is>
      </c>
      <c r="FV1189">
        <f>VLOOKUP(FU1189,FD:FL,9,0)</f>
        <v/>
      </c>
    </row>
    <row r="1190">
      <c r="FC1190" t="inlineStr">
        <is>
          <t>Diccionario 2</t>
        </is>
      </c>
      <c r="FD1190" s="15" t="inlineStr">
        <is>
          <t>RWTP-84</t>
        </is>
      </c>
      <c r="FE1190" s="15" t="inlineStr">
        <is>
          <t>YV3T7U521NA207834</t>
        </is>
      </c>
      <c r="FF1190" s="15" t="n">
        <v>550630</v>
      </c>
      <c r="FG1190" s="15" t="inlineStr">
        <is>
          <t>Volvo</t>
        </is>
      </c>
      <c r="FH1190" s="15" t="inlineStr">
        <is>
          <t>B8RLEA</t>
        </is>
      </c>
      <c r="FI1190" s="15" t="inlineStr">
        <is>
          <t>MARCOPOLO</t>
        </is>
      </c>
      <c r="FJ1190" s="15" t="inlineStr">
        <is>
          <t>GRAN VIALE</t>
        </is>
      </c>
      <c r="FK1190" s="15" t="n">
        <v>2022</v>
      </c>
      <c r="FL1190" s="15" t="inlineStr">
        <is>
          <t>C</t>
        </is>
      </c>
      <c r="FM1190" s="15" t="inlineStr">
        <is>
          <t>SAN ALFONSO</t>
        </is>
      </c>
      <c r="FN1190" s="15" t="inlineStr">
        <is>
          <t>San Alfonso 2141 (Ramón Subercaseaux 3060)</t>
        </is>
      </c>
      <c r="FO1190" s="15" t="inlineStr">
        <is>
          <t>Estacion Central</t>
        </is>
      </c>
      <c r="FP1190" t="inlineStr">
        <is>
          <t>C</t>
        </is>
      </c>
      <c r="FS1190" s="14" t="inlineStr">
        <is>
          <t>LZPT-53|</t>
        </is>
      </c>
      <c r="FT1190" t="inlineStr">
        <is>
          <t>LZPT-53|</t>
        </is>
      </c>
      <c r="FU1190" t="inlineStr">
        <is>
          <t>LZPT-53</t>
        </is>
      </c>
      <c r="FV1190">
        <f>VLOOKUP(FU1190,FD:FL,9,0)</f>
        <v/>
      </c>
    </row>
    <row r="1191">
      <c r="FC1191" t="inlineStr">
        <is>
          <t>Diccionario 2</t>
        </is>
      </c>
      <c r="FD1191" s="15" t="inlineStr">
        <is>
          <t>RWTP-85</t>
        </is>
      </c>
      <c r="FE1191" s="15" t="inlineStr">
        <is>
          <t>YV3T7U529NA207967</t>
        </is>
      </c>
      <c r="FF1191" s="15" t="n">
        <v>552303</v>
      </c>
      <c r="FG1191" s="15" t="inlineStr">
        <is>
          <t>Volvo</t>
        </is>
      </c>
      <c r="FH1191" s="15" t="inlineStr">
        <is>
          <t>B8RLEA</t>
        </is>
      </c>
      <c r="FI1191" s="15" t="inlineStr">
        <is>
          <t>MARCOPOLO</t>
        </is>
      </c>
      <c r="FJ1191" s="15" t="inlineStr">
        <is>
          <t>GRAN VIALE</t>
        </is>
      </c>
      <c r="FK1191" s="15" t="n">
        <v>2022</v>
      </c>
      <c r="FL1191" s="15" t="inlineStr">
        <is>
          <t>C</t>
        </is>
      </c>
      <c r="FM1191" s="15" t="inlineStr">
        <is>
          <t>PIE ANDINO</t>
        </is>
      </c>
      <c r="FN1191" s="15" t="inlineStr">
        <is>
          <t>Pie Andino 31 (Pie Andino 383)</t>
        </is>
      </c>
      <c r="FO1191" s="15" t="inlineStr">
        <is>
          <t>Puente Alto</t>
        </is>
      </c>
      <c r="FP1191" t="inlineStr">
        <is>
          <t>C</t>
        </is>
      </c>
      <c r="FS1191" s="14" t="inlineStr">
        <is>
          <t>LZPV-99|</t>
        </is>
      </c>
      <c r="FT1191" t="inlineStr">
        <is>
          <t>LZPV-99|</t>
        </is>
      </c>
      <c r="FU1191" t="inlineStr">
        <is>
          <t>LZPV-99</t>
        </is>
      </c>
      <c r="FV1191">
        <f>VLOOKUP(FU1191,FD:FL,9,0)</f>
        <v/>
      </c>
    </row>
    <row r="1192">
      <c r="FC1192" t="inlineStr">
        <is>
          <t>Diccionario 2</t>
        </is>
      </c>
      <c r="FD1192" s="15" t="inlineStr">
        <is>
          <t>RWTP-86</t>
        </is>
      </c>
      <c r="FE1192" s="15" t="inlineStr">
        <is>
          <t>YV3T7U528NA207930</t>
        </is>
      </c>
      <c r="FF1192" s="15" t="n">
        <v>551701</v>
      </c>
      <c r="FG1192" s="15" t="inlineStr">
        <is>
          <t>Volvo</t>
        </is>
      </c>
      <c r="FH1192" s="15" t="inlineStr">
        <is>
          <t>B8RLEA</t>
        </is>
      </c>
      <c r="FI1192" s="15" t="inlineStr">
        <is>
          <t>MARCOPOLO</t>
        </is>
      </c>
      <c r="FJ1192" s="15" t="inlineStr">
        <is>
          <t>GRAN VIALE</t>
        </is>
      </c>
      <c r="FK1192" s="15" t="n">
        <v>2022</v>
      </c>
      <c r="FL1192" s="15" t="inlineStr">
        <is>
          <t>C</t>
        </is>
      </c>
      <c r="FM1192" s="15" t="inlineStr">
        <is>
          <t>PIE ANDINO</t>
        </is>
      </c>
      <c r="FN1192" s="15" t="inlineStr">
        <is>
          <t>Pie Andino 31 (Pie Andino 383)</t>
        </is>
      </c>
      <c r="FO1192" s="15" t="inlineStr">
        <is>
          <t>Puente Alto</t>
        </is>
      </c>
      <c r="FP1192" t="inlineStr">
        <is>
          <t>C</t>
        </is>
      </c>
      <c r="FS1192" s="14" t="inlineStr">
        <is>
          <t>LZPS-16|</t>
        </is>
      </c>
      <c r="FT1192" t="inlineStr">
        <is>
          <t>LZPS-16|</t>
        </is>
      </c>
      <c r="FU1192" t="inlineStr">
        <is>
          <t>LZPS-16</t>
        </is>
      </c>
      <c r="FV1192">
        <f>VLOOKUP(FU1192,FD:FL,9,0)</f>
        <v/>
      </c>
    </row>
    <row r="1193">
      <c r="FC1193" t="inlineStr">
        <is>
          <t>Diccionario 2</t>
        </is>
      </c>
      <c r="FD1193" s="15" t="inlineStr">
        <is>
          <t>RWTP-87</t>
        </is>
      </c>
      <c r="FE1193" s="15" t="inlineStr">
        <is>
          <t>YV3T7U522NA207891</t>
        </is>
      </c>
      <c r="FF1193" s="15" t="n">
        <v>552373</v>
      </c>
      <c r="FG1193" s="15" t="inlineStr">
        <is>
          <t>Volvo</t>
        </is>
      </c>
      <c r="FH1193" s="15" t="inlineStr">
        <is>
          <t>B8RLEA</t>
        </is>
      </c>
      <c r="FI1193" s="15" t="inlineStr">
        <is>
          <t>MARCOPOLO</t>
        </is>
      </c>
      <c r="FJ1193" s="15" t="inlineStr">
        <is>
          <t>GRAN VIALE</t>
        </is>
      </c>
      <c r="FK1193" s="15" t="n">
        <v>2022</v>
      </c>
      <c r="FL1193" s="15" t="inlineStr">
        <is>
          <t>C</t>
        </is>
      </c>
      <c r="FM1193" s="15" t="inlineStr">
        <is>
          <t>SAN ALFONSO</t>
        </is>
      </c>
      <c r="FN1193" s="15" t="inlineStr">
        <is>
          <t>San Alfonso 2141 (Ramón Subercaseaux 3060)</t>
        </is>
      </c>
      <c r="FO1193" s="15" t="inlineStr">
        <is>
          <t>Estacion Central</t>
        </is>
      </c>
      <c r="FP1193" t="inlineStr">
        <is>
          <t>C</t>
        </is>
      </c>
      <c r="FS1193" s="14" t="inlineStr">
        <is>
          <t>GCBF-51|</t>
        </is>
      </c>
      <c r="FT1193" t="inlineStr">
        <is>
          <t>GCBF-51|</t>
        </is>
      </c>
      <c r="FU1193" t="inlineStr">
        <is>
          <t>GCBF-51</t>
        </is>
      </c>
      <c r="FV1193">
        <f>VLOOKUP(FU1193,FD:FL,9,0)</f>
        <v/>
      </c>
    </row>
    <row r="1194">
      <c r="FC1194" t="inlineStr">
        <is>
          <t>Diccionario 2</t>
        </is>
      </c>
      <c r="FD1194" s="15" t="inlineStr">
        <is>
          <t>RWTP-88</t>
        </is>
      </c>
      <c r="FE1194" s="15" t="inlineStr">
        <is>
          <t>YV3T7U52XNA207881</t>
        </is>
      </c>
      <c r="FF1194" s="15" t="n">
        <v>552573</v>
      </c>
      <c r="FG1194" s="15" t="inlineStr">
        <is>
          <t>Volvo</t>
        </is>
      </c>
      <c r="FH1194" s="15" t="inlineStr">
        <is>
          <t>B8RLEA</t>
        </is>
      </c>
      <c r="FI1194" s="15" t="inlineStr">
        <is>
          <t>MARCOPOLO</t>
        </is>
      </c>
      <c r="FJ1194" s="15" t="inlineStr">
        <is>
          <t>GRAN VIALE</t>
        </is>
      </c>
      <c r="FK1194" s="15" t="n">
        <v>2022</v>
      </c>
      <c r="FL1194" s="15" t="inlineStr">
        <is>
          <t>C</t>
        </is>
      </c>
      <c r="FM1194" s="15" t="inlineStr">
        <is>
          <t>SAN ALFONSO</t>
        </is>
      </c>
      <c r="FN1194" s="15" t="inlineStr">
        <is>
          <t>San Alfonso 2141 (Ramón Subercaseaux 3060)</t>
        </is>
      </c>
      <c r="FO1194" s="15" t="inlineStr">
        <is>
          <t>Estacion Central</t>
        </is>
      </c>
      <c r="FP1194" t="inlineStr">
        <is>
          <t>C</t>
        </is>
      </c>
      <c r="FS1194" s="14" t="inlineStr">
        <is>
          <t>GCBF-47|</t>
        </is>
      </c>
      <c r="FT1194" t="inlineStr">
        <is>
          <t>GCBF-47|</t>
        </is>
      </c>
      <c r="FU1194" t="inlineStr">
        <is>
          <t>GCBF-47</t>
        </is>
      </c>
      <c r="FV1194">
        <f>VLOOKUP(FU1194,FD:FL,9,0)</f>
        <v/>
      </c>
    </row>
    <row r="1195">
      <c r="FC1195" t="inlineStr">
        <is>
          <t>Diccionario 2</t>
        </is>
      </c>
      <c r="FD1195" s="15" t="inlineStr">
        <is>
          <t>RWTP-89</t>
        </is>
      </c>
      <c r="FE1195" s="15" t="inlineStr">
        <is>
          <t>YV3T7U527NA207837</t>
        </is>
      </c>
      <c r="FF1195" s="15" t="n">
        <v>550568</v>
      </c>
      <c r="FG1195" s="15" t="inlineStr">
        <is>
          <t>Volvo</t>
        </is>
      </c>
      <c r="FH1195" s="15" t="inlineStr">
        <is>
          <t>B8RLEA</t>
        </is>
      </c>
      <c r="FI1195" s="15" t="inlineStr">
        <is>
          <t>MARCOPOLO</t>
        </is>
      </c>
      <c r="FJ1195" s="15" t="inlineStr">
        <is>
          <t>GRAN VIALE</t>
        </is>
      </c>
      <c r="FK1195" s="15" t="n">
        <v>2022</v>
      </c>
      <c r="FL1195" s="15" t="inlineStr">
        <is>
          <t>C</t>
        </is>
      </c>
      <c r="FM1195" s="15" t="inlineStr">
        <is>
          <t>SAN ALFONSO</t>
        </is>
      </c>
      <c r="FN1195" s="15" t="inlineStr">
        <is>
          <t>San Alfonso 2141 (Ramón Subercaseaux 3060)</t>
        </is>
      </c>
      <c r="FO1195" s="15" t="inlineStr">
        <is>
          <t>Estacion Central</t>
        </is>
      </c>
      <c r="FP1195" t="inlineStr">
        <is>
          <t>C</t>
        </is>
      </c>
      <c r="FS1195" s="14" t="inlineStr">
        <is>
          <t>LZPG-10|</t>
        </is>
      </c>
      <c r="FT1195" t="inlineStr">
        <is>
          <t>LZPG-10|</t>
        </is>
      </c>
      <c r="FU1195" t="inlineStr">
        <is>
          <t>LZPG-10</t>
        </is>
      </c>
      <c r="FV1195">
        <f>VLOOKUP(FU1195,FD:FL,9,0)</f>
        <v/>
      </c>
    </row>
    <row r="1196">
      <c r="FC1196" t="inlineStr">
        <is>
          <t>Diccionario 2</t>
        </is>
      </c>
      <c r="FD1196" s="15" t="inlineStr">
        <is>
          <t>RWTP-90</t>
        </is>
      </c>
      <c r="FE1196" s="15" t="inlineStr">
        <is>
          <t>YV3T7U527NA207935</t>
        </is>
      </c>
      <c r="FF1196" s="15" t="n">
        <v>551734</v>
      </c>
      <c r="FG1196" s="15" t="inlineStr">
        <is>
          <t>Volvo</t>
        </is>
      </c>
      <c r="FH1196" s="15" t="inlineStr">
        <is>
          <t>B8RLEA</t>
        </is>
      </c>
      <c r="FI1196" s="15" t="inlineStr">
        <is>
          <t>MARCOPOLO</t>
        </is>
      </c>
      <c r="FJ1196" s="15" t="inlineStr">
        <is>
          <t>GRAN VIALE</t>
        </is>
      </c>
      <c r="FK1196" s="15" t="n">
        <v>2022</v>
      </c>
      <c r="FL1196" s="15" t="inlineStr">
        <is>
          <t>C</t>
        </is>
      </c>
      <c r="FM1196" s="15" t="inlineStr">
        <is>
          <t>PIE ANDINO</t>
        </is>
      </c>
      <c r="FN1196" s="15" t="inlineStr">
        <is>
          <t>Pie Andino 31 (Pie Andino 383)</t>
        </is>
      </c>
      <c r="FO1196" s="15" t="inlineStr">
        <is>
          <t>Puente Alto</t>
        </is>
      </c>
      <c r="FP1196" t="inlineStr">
        <is>
          <t>C</t>
        </is>
      </c>
      <c r="FS1196" s="14" t="inlineStr">
        <is>
          <t>LZPR-85|</t>
        </is>
      </c>
      <c r="FT1196" t="inlineStr">
        <is>
          <t>LZPR-85|</t>
        </is>
      </c>
      <c r="FU1196" t="inlineStr">
        <is>
          <t>LZPR-85</t>
        </is>
      </c>
      <c r="FV1196">
        <f>VLOOKUP(FU1196,FD:FL,9,0)</f>
        <v/>
      </c>
    </row>
    <row r="1197">
      <c r="FC1197" t="inlineStr">
        <is>
          <t>Diccionario 2</t>
        </is>
      </c>
      <c r="FD1197" s="15" t="inlineStr">
        <is>
          <t>RWTP-91</t>
        </is>
      </c>
      <c r="FE1197" s="15" t="inlineStr">
        <is>
          <t>YV3T7U524NA207892</t>
        </is>
      </c>
      <c r="FF1197" s="15" t="n">
        <v>552393</v>
      </c>
      <c r="FG1197" s="15" t="inlineStr">
        <is>
          <t>Volvo</t>
        </is>
      </c>
      <c r="FH1197" s="15" t="inlineStr">
        <is>
          <t>B8RLEA</t>
        </is>
      </c>
      <c r="FI1197" s="15" t="inlineStr">
        <is>
          <t>MARCOPOLO</t>
        </is>
      </c>
      <c r="FJ1197" s="15" t="inlineStr">
        <is>
          <t>GRAN VIALE</t>
        </is>
      </c>
      <c r="FK1197" s="15" t="n">
        <v>2022</v>
      </c>
      <c r="FL1197" s="15" t="inlineStr">
        <is>
          <t>C</t>
        </is>
      </c>
      <c r="FM1197" s="15" t="inlineStr">
        <is>
          <t>SAN ALFONSO</t>
        </is>
      </c>
      <c r="FN1197" s="15" t="inlineStr">
        <is>
          <t>San Alfonso 2141 (Ramón Subercaseaux 3060)</t>
        </is>
      </c>
      <c r="FO1197" s="15" t="inlineStr">
        <is>
          <t>Estacion Central</t>
        </is>
      </c>
      <c r="FP1197" t="inlineStr">
        <is>
          <t>C</t>
        </is>
      </c>
      <c r="FS1197" s="14" t="inlineStr">
        <is>
          <t>GCBF-44|</t>
        </is>
      </c>
      <c r="FT1197" t="inlineStr">
        <is>
          <t>GCBF-44|</t>
        </is>
      </c>
      <c r="FU1197" t="inlineStr">
        <is>
          <t>GCBF-44</t>
        </is>
      </c>
      <c r="FV1197">
        <f>VLOOKUP(FU1197,FD:FL,9,0)</f>
        <v/>
      </c>
    </row>
    <row r="1198">
      <c r="FC1198" t="inlineStr">
        <is>
          <t>Diccionario 2</t>
        </is>
      </c>
      <c r="FD1198" s="15" t="inlineStr">
        <is>
          <t>RWTP-92</t>
        </is>
      </c>
      <c r="FE1198" s="15" t="inlineStr">
        <is>
          <t>YV3T7U523NA207835</t>
        </is>
      </c>
      <c r="FF1198" s="15" t="n">
        <v>550593</v>
      </c>
      <c r="FG1198" s="15" t="inlineStr">
        <is>
          <t>Volvo</t>
        </is>
      </c>
      <c r="FH1198" s="15" t="inlineStr">
        <is>
          <t>B8RLEA</t>
        </is>
      </c>
      <c r="FI1198" s="15" t="inlineStr">
        <is>
          <t>MARCOPOLO</t>
        </is>
      </c>
      <c r="FJ1198" s="15" t="inlineStr">
        <is>
          <t>GRAN VIALE</t>
        </is>
      </c>
      <c r="FK1198" s="15" t="n">
        <v>2022</v>
      </c>
      <c r="FL1198" s="15" t="inlineStr">
        <is>
          <t>C</t>
        </is>
      </c>
      <c r="FM1198" s="15" t="inlineStr">
        <is>
          <t>SAN ALFONSO</t>
        </is>
      </c>
      <c r="FN1198" s="15" t="inlineStr">
        <is>
          <t>San Alfonso 2141 (Ramón Subercaseaux 3060)</t>
        </is>
      </c>
      <c r="FO1198" s="15" t="inlineStr">
        <is>
          <t>Estacion Central</t>
        </is>
      </c>
      <c r="FP1198" t="inlineStr">
        <is>
          <t>C</t>
        </is>
      </c>
      <c r="FS1198" s="14" t="inlineStr">
        <is>
          <t>LZPG-21|</t>
        </is>
      </c>
      <c r="FT1198" t="inlineStr">
        <is>
          <t>LZPG-21|</t>
        </is>
      </c>
      <c r="FU1198" t="inlineStr">
        <is>
          <t>LZPG-21</t>
        </is>
      </c>
      <c r="FV1198">
        <f>VLOOKUP(FU1198,FD:FL,9,0)</f>
        <v/>
      </c>
    </row>
    <row r="1199">
      <c r="FC1199" t="inlineStr">
        <is>
          <t>Diccionario 2</t>
        </is>
      </c>
      <c r="FD1199" s="15" t="inlineStr">
        <is>
          <t>RWTP-93</t>
        </is>
      </c>
      <c r="FE1199" s="15" t="inlineStr">
        <is>
          <t>YV3T7U52XNA207833</t>
        </is>
      </c>
      <c r="FF1199" s="15" t="n">
        <v>550451</v>
      </c>
      <c r="FG1199" s="15" t="inlineStr">
        <is>
          <t>Volvo</t>
        </is>
      </c>
      <c r="FH1199" s="15" t="inlineStr">
        <is>
          <t>B8RLEA</t>
        </is>
      </c>
      <c r="FI1199" s="15" t="inlineStr">
        <is>
          <t>MARCOPOLO</t>
        </is>
      </c>
      <c r="FJ1199" s="15" t="inlineStr">
        <is>
          <t>GRAN VIALE</t>
        </is>
      </c>
      <c r="FK1199" s="15" t="n">
        <v>2022</v>
      </c>
      <c r="FL1199" s="15" t="inlineStr">
        <is>
          <t>C</t>
        </is>
      </c>
      <c r="FM1199" s="15" t="inlineStr">
        <is>
          <t>SAN ALFONSO</t>
        </is>
      </c>
      <c r="FN1199" s="15" t="inlineStr">
        <is>
          <t>San Alfonso 2141 (Ramón Subercaseaux 3060)</t>
        </is>
      </c>
      <c r="FO1199" s="15" t="inlineStr">
        <is>
          <t>Estacion Central</t>
        </is>
      </c>
      <c r="FP1199" t="inlineStr">
        <is>
          <t>C</t>
        </is>
      </c>
      <c r="FS1199" s="14" t="inlineStr">
        <is>
          <t>LZPT-63|</t>
        </is>
      </c>
      <c r="FT1199" t="inlineStr">
        <is>
          <t>LZPT-63|</t>
        </is>
      </c>
      <c r="FU1199" t="inlineStr">
        <is>
          <t>LZPT-63</t>
        </is>
      </c>
      <c r="FV1199">
        <f>VLOOKUP(FU1199,FD:FL,9,0)</f>
        <v/>
      </c>
    </row>
    <row r="1200">
      <c r="FC1200" t="inlineStr">
        <is>
          <t>Diccionario 2</t>
        </is>
      </c>
      <c r="FD1200" s="15" t="inlineStr">
        <is>
          <t>RWTP-94</t>
        </is>
      </c>
      <c r="FE1200" s="15" t="inlineStr">
        <is>
          <t>YV3T7U520NA207937</t>
        </is>
      </c>
      <c r="FF1200" s="15" t="n">
        <v>551900</v>
      </c>
      <c r="FG1200" s="15" t="inlineStr">
        <is>
          <t>Volvo</t>
        </is>
      </c>
      <c r="FH1200" s="15" t="inlineStr">
        <is>
          <t>B8RLEA</t>
        </is>
      </c>
      <c r="FI1200" s="15" t="inlineStr">
        <is>
          <t>MARCOPOLO</t>
        </is>
      </c>
      <c r="FJ1200" s="15" t="inlineStr">
        <is>
          <t>GRAN VIALE</t>
        </is>
      </c>
      <c r="FK1200" s="15" t="n">
        <v>2022</v>
      </c>
      <c r="FL1200" s="15" t="inlineStr">
        <is>
          <t>C</t>
        </is>
      </c>
      <c r="FM1200" s="15" t="inlineStr">
        <is>
          <t>PIE ANDINO</t>
        </is>
      </c>
      <c r="FN1200" s="15" t="inlineStr">
        <is>
          <t>Pie Andino 31 (Pie Andino 383)</t>
        </is>
      </c>
      <c r="FO1200" s="15" t="inlineStr">
        <is>
          <t>Puente Alto</t>
        </is>
      </c>
      <c r="FP1200" t="inlineStr">
        <is>
          <t>C</t>
        </is>
      </c>
      <c r="FS1200" s="14" t="inlineStr">
        <is>
          <t>LZPT-71|</t>
        </is>
      </c>
      <c r="FT1200" t="inlineStr">
        <is>
          <t>LZPT-71|</t>
        </is>
      </c>
      <c r="FU1200" t="inlineStr">
        <is>
          <t>LZPT-71</t>
        </is>
      </c>
      <c r="FV1200">
        <f>VLOOKUP(FU1200,FD:FL,9,0)</f>
        <v/>
      </c>
    </row>
    <row r="1201">
      <c r="FC1201" t="inlineStr">
        <is>
          <t>Diccionario 2</t>
        </is>
      </c>
      <c r="FD1201" s="15" t="inlineStr">
        <is>
          <t>RWTP-95</t>
        </is>
      </c>
      <c r="FE1201" s="15" t="inlineStr">
        <is>
          <t>YV3T7U523NA207978</t>
        </is>
      </c>
      <c r="FF1201" s="15" t="n">
        <v>553953</v>
      </c>
      <c r="FG1201" s="15" t="inlineStr">
        <is>
          <t>Volvo</t>
        </is>
      </c>
      <c r="FH1201" s="15" t="inlineStr">
        <is>
          <t>B8RLEA</t>
        </is>
      </c>
      <c r="FI1201" s="15" t="inlineStr">
        <is>
          <t>MARCOPOLO</t>
        </is>
      </c>
      <c r="FJ1201" s="15" t="inlineStr">
        <is>
          <t>GRAN VIALE</t>
        </is>
      </c>
      <c r="FK1201" s="15" t="n">
        <v>2022</v>
      </c>
      <c r="FL1201" s="15" t="inlineStr">
        <is>
          <t>C</t>
        </is>
      </c>
      <c r="FM1201" s="15" t="inlineStr">
        <is>
          <t>PIE ANDINO</t>
        </is>
      </c>
      <c r="FN1201" s="15" t="inlineStr">
        <is>
          <t>Pie Andino 31 (Pie Andino 383)</t>
        </is>
      </c>
      <c r="FO1201" s="15" t="inlineStr">
        <is>
          <t>Puente Alto</t>
        </is>
      </c>
      <c r="FP1201" t="inlineStr">
        <is>
          <t>C</t>
        </is>
      </c>
      <c r="FS1201" s="14" t="inlineStr">
        <is>
          <t>LZPS-23|</t>
        </is>
      </c>
      <c r="FT1201" t="inlineStr">
        <is>
          <t>LZPS-23|</t>
        </is>
      </c>
      <c r="FU1201" t="inlineStr">
        <is>
          <t>LZPS-23</t>
        </is>
      </c>
      <c r="FV1201">
        <f>VLOOKUP(FU1201,FD:FL,9,0)</f>
        <v/>
      </c>
    </row>
    <row r="1202">
      <c r="FC1202" t="inlineStr">
        <is>
          <t>Diccionario 2</t>
        </is>
      </c>
      <c r="FD1202" s="15" t="inlineStr">
        <is>
          <t>RWTP-96</t>
        </is>
      </c>
      <c r="FE1202" s="15" t="inlineStr">
        <is>
          <t>YV3T7U525NA207934</t>
        </is>
      </c>
      <c r="FF1202" s="15" t="n">
        <v>551716</v>
      </c>
      <c r="FG1202" s="15" t="inlineStr">
        <is>
          <t>Volvo</t>
        </is>
      </c>
      <c r="FH1202" s="15" t="inlineStr">
        <is>
          <t>B8RLEA</t>
        </is>
      </c>
      <c r="FI1202" s="15" t="inlineStr">
        <is>
          <t>MARCOPOLO</t>
        </is>
      </c>
      <c r="FJ1202" s="15" t="inlineStr">
        <is>
          <t>GRAN VIALE</t>
        </is>
      </c>
      <c r="FK1202" s="15" t="n">
        <v>2022</v>
      </c>
      <c r="FL1202" s="15" t="inlineStr">
        <is>
          <t>C</t>
        </is>
      </c>
      <c r="FM1202" s="15" t="inlineStr">
        <is>
          <t>PIE ANDINO</t>
        </is>
      </c>
      <c r="FN1202" s="15" t="inlineStr">
        <is>
          <t>Pie Andino 31 (Pie Andino 383)</t>
        </is>
      </c>
      <c r="FO1202" s="15" t="inlineStr">
        <is>
          <t>Puente Alto</t>
        </is>
      </c>
      <c r="FP1202" t="inlineStr">
        <is>
          <t>C</t>
        </is>
      </c>
      <c r="FS1202" s="14" t="inlineStr">
        <is>
          <t>LZRB-82|</t>
        </is>
      </c>
      <c r="FT1202" t="inlineStr">
        <is>
          <t>LZRB-82|</t>
        </is>
      </c>
      <c r="FU1202" t="inlineStr">
        <is>
          <t>LZRB-82</t>
        </is>
      </c>
      <c r="FV1202">
        <f>VLOOKUP(FU1202,FD:FL,9,0)</f>
        <v/>
      </c>
    </row>
    <row r="1203">
      <c r="FC1203" t="inlineStr">
        <is>
          <t>Diccionario 2</t>
        </is>
      </c>
      <c r="FD1203" s="15" t="inlineStr">
        <is>
          <t>RWTP-97</t>
        </is>
      </c>
      <c r="FE1203" s="15" t="inlineStr">
        <is>
          <t>YV3T7U523NA207933</t>
        </is>
      </c>
      <c r="FF1203" s="15" t="n">
        <v>551695</v>
      </c>
      <c r="FG1203" s="15" t="inlineStr">
        <is>
          <t>Volvo</t>
        </is>
      </c>
      <c r="FH1203" s="15" t="inlineStr">
        <is>
          <t>B8RLEA</t>
        </is>
      </c>
      <c r="FI1203" s="15" t="inlineStr">
        <is>
          <t>MARCOPOLO</t>
        </is>
      </c>
      <c r="FJ1203" s="15" t="inlineStr">
        <is>
          <t>GRAN VIALE</t>
        </is>
      </c>
      <c r="FK1203" s="15" t="n">
        <v>2022</v>
      </c>
      <c r="FL1203" s="15" t="inlineStr">
        <is>
          <t>C</t>
        </is>
      </c>
      <c r="FM1203" s="15" t="inlineStr">
        <is>
          <t>PIE ANDINO</t>
        </is>
      </c>
      <c r="FN1203" s="15" t="inlineStr">
        <is>
          <t>Pie Andino 31 (Pie Andino 383)</t>
        </is>
      </c>
      <c r="FO1203" s="15" t="inlineStr">
        <is>
          <t>Puente Alto</t>
        </is>
      </c>
      <c r="FP1203" t="inlineStr">
        <is>
          <t>C</t>
        </is>
      </c>
      <c r="FS1203" s="14" t="inlineStr">
        <is>
          <t>LZPR-81|</t>
        </is>
      </c>
      <c r="FT1203" t="inlineStr">
        <is>
          <t>LZPR-81|</t>
        </is>
      </c>
      <c r="FU1203" t="inlineStr">
        <is>
          <t>LZPR-81</t>
        </is>
      </c>
      <c r="FV1203">
        <f>VLOOKUP(FU1203,FD:FL,9,0)</f>
        <v/>
      </c>
    </row>
    <row r="1204">
      <c r="FC1204" t="inlineStr">
        <is>
          <t>Diccionario 2</t>
        </is>
      </c>
      <c r="FD1204" s="15" t="inlineStr">
        <is>
          <t>RWTP-98</t>
        </is>
      </c>
      <c r="FE1204" s="15" t="inlineStr">
        <is>
          <t>YV3T7U521NA207932</t>
        </is>
      </c>
      <c r="FF1204" s="15" t="n">
        <v>551682</v>
      </c>
      <c r="FG1204" s="15" t="inlineStr">
        <is>
          <t>Volvo</t>
        </is>
      </c>
      <c r="FH1204" s="15" t="inlineStr">
        <is>
          <t>B8RLEA</t>
        </is>
      </c>
      <c r="FI1204" s="15" t="inlineStr">
        <is>
          <t>MARCOPOLO</t>
        </is>
      </c>
      <c r="FJ1204" s="15" t="inlineStr">
        <is>
          <t>GRAN VIALE</t>
        </is>
      </c>
      <c r="FK1204" s="15" t="n">
        <v>2022</v>
      </c>
      <c r="FL1204" s="15" t="inlineStr">
        <is>
          <t>C</t>
        </is>
      </c>
      <c r="FM1204" s="15" t="inlineStr">
        <is>
          <t>PIE ANDINO</t>
        </is>
      </c>
      <c r="FN1204" s="15" t="inlineStr">
        <is>
          <t>Pie Andino 31 (Pie Andino 383)</t>
        </is>
      </c>
      <c r="FO1204" s="15" t="inlineStr">
        <is>
          <t>Puente Alto</t>
        </is>
      </c>
      <c r="FP1204" t="inlineStr">
        <is>
          <t>C</t>
        </is>
      </c>
      <c r="FS1204" s="14" t="inlineStr">
        <is>
          <t>LZPG-14|</t>
        </is>
      </c>
      <c r="FT1204" t="inlineStr">
        <is>
          <t>LZPG-14|</t>
        </is>
      </c>
      <c r="FU1204" t="inlineStr">
        <is>
          <t>LZPG-14</t>
        </is>
      </c>
      <c r="FV1204">
        <f>VLOOKUP(FU1204,FD:FL,9,0)</f>
        <v/>
      </c>
    </row>
    <row r="1205">
      <c r="FC1205" t="inlineStr">
        <is>
          <t>Diccionario 2</t>
        </is>
      </c>
      <c r="FD1205" s="15" t="inlineStr">
        <is>
          <t>RWTP-99</t>
        </is>
      </c>
      <c r="FE1205" s="15" t="inlineStr">
        <is>
          <t>YV3T7U52XNA207931</t>
        </is>
      </c>
      <c r="FF1205" s="15" t="n">
        <v>551698</v>
      </c>
      <c r="FG1205" s="15" t="inlineStr">
        <is>
          <t>Volvo</t>
        </is>
      </c>
      <c r="FH1205" s="15" t="inlineStr">
        <is>
          <t>B8RLEA</t>
        </is>
      </c>
      <c r="FI1205" s="15" t="inlineStr">
        <is>
          <t>MARCOPOLO</t>
        </is>
      </c>
      <c r="FJ1205" s="15" t="inlineStr">
        <is>
          <t>GRAN VIALE</t>
        </is>
      </c>
      <c r="FK1205" s="15" t="n">
        <v>2022</v>
      </c>
      <c r="FL1205" s="15" t="inlineStr">
        <is>
          <t>C</t>
        </is>
      </c>
      <c r="FM1205" s="15" t="inlineStr">
        <is>
          <t>PIE ANDINO</t>
        </is>
      </c>
      <c r="FN1205" s="15" t="inlineStr">
        <is>
          <t>Pie Andino 31 (Pie Andino 383)</t>
        </is>
      </c>
      <c r="FO1205" s="15" t="inlineStr">
        <is>
          <t>Puente Alto</t>
        </is>
      </c>
      <c r="FP1205" t="inlineStr">
        <is>
          <t>C</t>
        </is>
      </c>
      <c r="FS1205" s="14" t="inlineStr">
        <is>
          <t>LZRB-87|</t>
        </is>
      </c>
      <c r="FT1205" t="inlineStr">
        <is>
          <t>LZRB-87|</t>
        </is>
      </c>
      <c r="FU1205" t="inlineStr">
        <is>
          <t>LZRB-87</t>
        </is>
      </c>
      <c r="FV1205">
        <f>VLOOKUP(FU1205,FD:FL,9,0)</f>
        <v/>
      </c>
    </row>
    <row r="1206">
      <c r="FC1206" t="inlineStr">
        <is>
          <t>Diccionario 2</t>
        </is>
      </c>
      <c r="FD1206" s="15" t="inlineStr">
        <is>
          <t>RWTR-10</t>
        </is>
      </c>
      <c r="FE1206" s="15" t="inlineStr">
        <is>
          <t>YV3T7U52XNA207928</t>
        </is>
      </c>
      <c r="FF1206" s="15" t="n">
        <v>551645</v>
      </c>
      <c r="FG1206" s="15" t="inlineStr">
        <is>
          <t>Volvo</t>
        </is>
      </c>
      <c r="FH1206" s="15" t="inlineStr">
        <is>
          <t>B8RLEA</t>
        </is>
      </c>
      <c r="FI1206" s="15" t="inlineStr">
        <is>
          <t>MARCOPOLO</t>
        </is>
      </c>
      <c r="FJ1206" s="15" t="inlineStr">
        <is>
          <t>GRAN VIALE</t>
        </is>
      </c>
      <c r="FK1206" s="15" t="n">
        <v>2022</v>
      </c>
      <c r="FL1206" s="15" t="inlineStr">
        <is>
          <t>C</t>
        </is>
      </c>
      <c r="FM1206" s="15" t="inlineStr">
        <is>
          <t>SAN ALFONSO</t>
        </is>
      </c>
      <c r="FN1206" s="15" t="inlineStr">
        <is>
          <t>San Alfonso 2141 (Ramón Subercaseaux 3060)</t>
        </is>
      </c>
      <c r="FO1206" s="15" t="inlineStr">
        <is>
          <t>Estacion Central</t>
        </is>
      </c>
      <c r="FP1206" t="inlineStr">
        <is>
          <t>C</t>
        </is>
      </c>
      <c r="FS1206" s="14" t="inlineStr">
        <is>
          <t>3016 / SFWB-28|</t>
        </is>
      </c>
      <c r="FT1206" t="inlineStr">
        <is>
          <t>SFWB-28|</t>
        </is>
      </c>
      <c r="FU1206" t="inlineStr">
        <is>
          <t>SFWB-28</t>
        </is>
      </c>
      <c r="FV1206">
        <f>VLOOKUP(FU1206,FD:FL,9,0)</f>
        <v/>
      </c>
    </row>
    <row r="1207">
      <c r="FC1207" t="inlineStr">
        <is>
          <t>Diccionario 2</t>
        </is>
      </c>
      <c r="FD1207" s="15" t="inlineStr">
        <is>
          <t>RWTR-11</t>
        </is>
      </c>
      <c r="FE1207" s="15" t="inlineStr">
        <is>
          <t>YV3T7U528NA207927</t>
        </is>
      </c>
      <c r="FF1207" s="15" t="n">
        <v>551661</v>
      </c>
      <c r="FG1207" s="15" t="inlineStr">
        <is>
          <t>Volvo</t>
        </is>
      </c>
      <c r="FH1207" s="15" t="inlineStr">
        <is>
          <t>B8RLEA</t>
        </is>
      </c>
      <c r="FI1207" s="15" t="inlineStr">
        <is>
          <t>MARCOPOLO</t>
        </is>
      </c>
      <c r="FJ1207" s="15" t="inlineStr">
        <is>
          <t>GRAN VIALE</t>
        </is>
      </c>
      <c r="FK1207" s="15" t="n">
        <v>2022</v>
      </c>
      <c r="FL1207" s="15" t="inlineStr">
        <is>
          <t>C</t>
        </is>
      </c>
      <c r="FM1207" s="15" t="inlineStr">
        <is>
          <t>SAN ALFONSO</t>
        </is>
      </c>
      <c r="FN1207" s="15" t="inlineStr">
        <is>
          <t>San Alfonso 2141 (Ramón Subercaseaux 3060)</t>
        </is>
      </c>
      <c r="FO1207" s="15" t="inlineStr">
        <is>
          <t>Estacion Central</t>
        </is>
      </c>
      <c r="FP1207" t="inlineStr">
        <is>
          <t>C</t>
        </is>
      </c>
      <c r="FS1207" s="14" t="inlineStr">
        <is>
          <t>LXWT-89|</t>
        </is>
      </c>
      <c r="FT1207" t="inlineStr">
        <is>
          <t>LXWT-89|</t>
        </is>
      </c>
      <c r="FU1207" t="inlineStr">
        <is>
          <t>LXWT-89</t>
        </is>
      </c>
      <c r="FV1207">
        <f>VLOOKUP(FU1207,FD:FL,9,0)</f>
        <v/>
      </c>
    </row>
    <row r="1208">
      <c r="FC1208" t="inlineStr">
        <is>
          <t>Diccionario 2</t>
        </is>
      </c>
      <c r="FD1208" s="15" t="inlineStr">
        <is>
          <t>RYJG-90</t>
        </is>
      </c>
      <c r="FE1208" s="15" t="inlineStr">
        <is>
          <t>YV3T7U521NA208143</t>
        </is>
      </c>
      <c r="FF1208" s="15" t="n">
        <v>554610</v>
      </c>
      <c r="FG1208" s="15" t="inlineStr">
        <is>
          <t>Volvo</t>
        </is>
      </c>
      <c r="FH1208" s="15" t="inlineStr">
        <is>
          <t>B8RLEA</t>
        </is>
      </c>
      <c r="FI1208" s="15" t="inlineStr">
        <is>
          <t>MARCOPOLO</t>
        </is>
      </c>
      <c r="FJ1208" s="15" t="inlineStr">
        <is>
          <t>GRAN VIALE</t>
        </is>
      </c>
      <c r="FK1208" s="15" t="n">
        <v>2022</v>
      </c>
      <c r="FL1208" s="15" t="inlineStr">
        <is>
          <t>C</t>
        </is>
      </c>
      <c r="FM1208" s="15" t="inlineStr">
        <is>
          <t>PIE ANDINO</t>
        </is>
      </c>
      <c r="FN1208" s="15" t="inlineStr">
        <is>
          <t>Pie Andino 31 (Pie Andino 383)</t>
        </is>
      </c>
      <c r="FO1208" s="15" t="inlineStr">
        <is>
          <t>Puente Alto</t>
        </is>
      </c>
      <c r="FP1208" t="inlineStr">
        <is>
          <t>C</t>
        </is>
      </c>
      <c r="FS1208" s="14" t="inlineStr">
        <is>
          <t>LZPT-46|</t>
        </is>
      </c>
      <c r="FT1208" t="inlineStr">
        <is>
          <t>LZPT-46|</t>
        </is>
      </c>
      <c r="FU1208" t="inlineStr">
        <is>
          <t>LZPT-46</t>
        </is>
      </c>
      <c r="FV1208">
        <f>VLOOKUP(FU1208,FD:FL,9,0)</f>
        <v/>
      </c>
    </row>
    <row r="1209">
      <c r="FC1209" t="inlineStr">
        <is>
          <t>Diccionario 2</t>
        </is>
      </c>
      <c r="FD1209" s="15" t="inlineStr">
        <is>
          <t>RYJG-91</t>
        </is>
      </c>
      <c r="FE1209" s="15" t="inlineStr">
        <is>
          <t>YV3T7U523NA208144</t>
        </is>
      </c>
      <c r="FF1209" s="15" t="n">
        <v>554682</v>
      </c>
      <c r="FG1209" s="15" t="inlineStr">
        <is>
          <t>Volvo</t>
        </is>
      </c>
      <c r="FH1209" s="15" t="inlineStr">
        <is>
          <t>B8RLEA</t>
        </is>
      </c>
      <c r="FI1209" s="15" t="inlineStr">
        <is>
          <t>MARCOPOLO</t>
        </is>
      </c>
      <c r="FJ1209" s="15" t="inlineStr">
        <is>
          <t>GRAN VIALE</t>
        </is>
      </c>
      <c r="FK1209" s="15" t="n">
        <v>2022</v>
      </c>
      <c r="FL1209" s="15" t="inlineStr">
        <is>
          <t>C</t>
        </is>
      </c>
      <c r="FM1209" s="15" t="inlineStr">
        <is>
          <t>PIE ANDINO</t>
        </is>
      </c>
      <c r="FN1209" s="15" t="inlineStr">
        <is>
          <t>Pie Andino 31 (Pie Andino 383)</t>
        </is>
      </c>
      <c r="FO1209" s="15" t="inlineStr">
        <is>
          <t>Puente Alto</t>
        </is>
      </c>
      <c r="FP1209" t="inlineStr">
        <is>
          <t>C</t>
        </is>
      </c>
      <c r="FS1209" s="14" t="inlineStr">
        <is>
          <t>LZPW-11|</t>
        </is>
      </c>
      <c r="FT1209" t="inlineStr">
        <is>
          <t>LZPW-11|</t>
        </is>
      </c>
      <c r="FU1209" t="inlineStr">
        <is>
          <t>LZPW-11</t>
        </is>
      </c>
      <c r="FV1209">
        <f>VLOOKUP(FU1209,FD:FL,9,0)</f>
        <v/>
      </c>
    </row>
    <row r="1210">
      <c r="FC1210" t="inlineStr">
        <is>
          <t>Diccionario 2</t>
        </is>
      </c>
      <c r="FD1210" s="15" t="inlineStr">
        <is>
          <t>RYJG-92</t>
        </is>
      </c>
      <c r="FE1210" s="15" t="inlineStr">
        <is>
          <t>YV3T7U522NA208152</t>
        </is>
      </c>
      <c r="FF1210" s="15" t="n">
        <v>554694</v>
      </c>
      <c r="FG1210" s="15" t="inlineStr">
        <is>
          <t>Volvo</t>
        </is>
      </c>
      <c r="FH1210" s="15" t="inlineStr">
        <is>
          <t>B8RLEA</t>
        </is>
      </c>
      <c r="FI1210" s="15" t="inlineStr">
        <is>
          <t>MARCOPOLO</t>
        </is>
      </c>
      <c r="FJ1210" s="15" t="inlineStr">
        <is>
          <t>GRAN VIALE</t>
        </is>
      </c>
      <c r="FK1210" s="15" t="n">
        <v>2022</v>
      </c>
      <c r="FL1210" s="15" t="inlineStr">
        <is>
          <t>C</t>
        </is>
      </c>
      <c r="FM1210" s="15" t="inlineStr">
        <is>
          <t>SAN ALFONSO</t>
        </is>
      </c>
      <c r="FN1210" s="15" t="inlineStr">
        <is>
          <t>San Alfonso 2141 (Ramón Subercaseaux 3060)</t>
        </is>
      </c>
      <c r="FO1210" s="15" t="inlineStr">
        <is>
          <t>Estacion Central</t>
        </is>
      </c>
      <c r="FP1210" t="inlineStr">
        <is>
          <t>C</t>
        </is>
      </c>
      <c r="FS1210" s="14" t="inlineStr">
        <is>
          <t>LZRB-86|</t>
        </is>
      </c>
      <c r="FT1210" t="inlineStr">
        <is>
          <t>LZRB-86|</t>
        </is>
      </c>
      <c r="FU1210" t="inlineStr">
        <is>
          <t>LZRB-86</t>
        </is>
      </c>
      <c r="FV1210">
        <f>VLOOKUP(FU1210,FD:FL,9,0)</f>
        <v/>
      </c>
    </row>
    <row r="1211">
      <c r="FC1211" t="inlineStr">
        <is>
          <t>Diccionario 2</t>
        </is>
      </c>
      <c r="FD1211" s="15" t="inlineStr">
        <is>
          <t>RYJG-93</t>
        </is>
      </c>
      <c r="FE1211" s="15" t="inlineStr">
        <is>
          <t>YV3T7U527NA208163</t>
        </is>
      </c>
      <c r="FF1211" s="15" t="n">
        <v>555374</v>
      </c>
      <c r="FG1211" s="15" t="inlineStr">
        <is>
          <t>Volvo</t>
        </is>
      </c>
      <c r="FH1211" s="15" t="inlineStr">
        <is>
          <t>B8RLEA</t>
        </is>
      </c>
      <c r="FI1211" s="15" t="inlineStr">
        <is>
          <t>MARCOPOLO</t>
        </is>
      </c>
      <c r="FJ1211" s="15" t="inlineStr">
        <is>
          <t>GRAN VIALE</t>
        </is>
      </c>
      <c r="FK1211" s="15" t="n">
        <v>2022</v>
      </c>
      <c r="FL1211" s="15" t="inlineStr">
        <is>
          <t>C</t>
        </is>
      </c>
      <c r="FM1211" s="15" t="inlineStr">
        <is>
          <t>SAN ALFONSO</t>
        </is>
      </c>
      <c r="FN1211" s="15" t="inlineStr">
        <is>
          <t>San Alfonso 2141 (Ramón Subercaseaux 3060)</t>
        </is>
      </c>
      <c r="FO1211" s="15" t="inlineStr">
        <is>
          <t>Estacion Central</t>
        </is>
      </c>
      <c r="FP1211" t="inlineStr">
        <is>
          <t>C</t>
        </is>
      </c>
      <c r="FS1211" s="14" t="inlineStr">
        <is>
          <t>LZPG-27|</t>
        </is>
      </c>
      <c r="FT1211" t="inlineStr">
        <is>
          <t>LZPG-27|</t>
        </is>
      </c>
      <c r="FU1211" t="inlineStr">
        <is>
          <t>LZPG-27</t>
        </is>
      </c>
      <c r="FV1211">
        <f>VLOOKUP(FU1211,FD:FL,9,0)</f>
        <v/>
      </c>
    </row>
    <row r="1212">
      <c r="FC1212" t="inlineStr">
        <is>
          <t>Diccionario 2</t>
        </is>
      </c>
      <c r="FD1212" s="15" t="inlineStr">
        <is>
          <t>RYJG-94</t>
        </is>
      </c>
      <c r="FE1212" s="15" t="inlineStr">
        <is>
          <t>YV3T7U528NA208169</t>
        </is>
      </c>
      <c r="FF1212" s="15" t="n">
        <v>555138</v>
      </c>
      <c r="FG1212" s="15" t="inlineStr">
        <is>
          <t>Volvo</t>
        </is>
      </c>
      <c r="FH1212" s="15" t="inlineStr">
        <is>
          <t>B8RLEA</t>
        </is>
      </c>
      <c r="FI1212" s="15" t="inlineStr">
        <is>
          <t>MARCOPOLO</t>
        </is>
      </c>
      <c r="FJ1212" s="15" t="inlineStr">
        <is>
          <t>GRAN VIALE</t>
        </is>
      </c>
      <c r="FK1212" s="15" t="n">
        <v>2022</v>
      </c>
      <c r="FL1212" s="15" t="inlineStr">
        <is>
          <t>C</t>
        </is>
      </c>
      <c r="FM1212" s="15" t="inlineStr">
        <is>
          <t>SAN ALFONSO</t>
        </is>
      </c>
      <c r="FN1212" s="15" t="inlineStr">
        <is>
          <t>San Alfonso 2141 (Ramón Subercaseaux 3060)</t>
        </is>
      </c>
      <c r="FO1212" s="15" t="inlineStr">
        <is>
          <t>Estacion Central</t>
        </is>
      </c>
      <c r="FP1212" t="inlineStr">
        <is>
          <t>C</t>
        </is>
      </c>
      <c r="FS1212" s="14" t="inlineStr">
        <is>
          <t>LZPS-18|</t>
        </is>
      </c>
      <c r="FT1212" t="inlineStr">
        <is>
          <t>LZPS-18|</t>
        </is>
      </c>
      <c r="FU1212" t="inlineStr">
        <is>
          <t>LZPS-18</t>
        </is>
      </c>
      <c r="FV1212">
        <f>VLOOKUP(FU1212,FD:FL,9,0)</f>
        <v/>
      </c>
    </row>
    <row r="1213">
      <c r="FC1213" t="inlineStr">
        <is>
          <t>Diccionario 2</t>
        </is>
      </c>
      <c r="FD1213" s="15" t="inlineStr">
        <is>
          <t>RYJG-95</t>
        </is>
      </c>
      <c r="FE1213" s="15" t="inlineStr">
        <is>
          <t>YV3T7U525NA208193</t>
        </is>
      </c>
      <c r="FF1213" s="15" t="n">
        <v>555050</v>
      </c>
      <c r="FG1213" s="15" t="inlineStr">
        <is>
          <t>Volvo</t>
        </is>
      </c>
      <c r="FH1213" s="15" t="inlineStr">
        <is>
          <t>B8RLEA</t>
        </is>
      </c>
      <c r="FI1213" s="15" t="inlineStr">
        <is>
          <t>MARCOPOLO</t>
        </is>
      </c>
      <c r="FJ1213" s="15" t="inlineStr">
        <is>
          <t>GRAN VIALE</t>
        </is>
      </c>
      <c r="FK1213" s="15" t="n">
        <v>2022</v>
      </c>
      <c r="FL1213" s="15" t="inlineStr">
        <is>
          <t>C</t>
        </is>
      </c>
      <c r="FM1213" s="15" t="inlineStr">
        <is>
          <t>SAN ALFONSO</t>
        </is>
      </c>
      <c r="FN1213" s="15" t="inlineStr">
        <is>
          <t>San Alfonso 2141 (Ramón Subercaseaux 3060)</t>
        </is>
      </c>
      <c r="FO1213" s="15" t="inlineStr">
        <is>
          <t>Estacion Central</t>
        </is>
      </c>
      <c r="FP1213" t="inlineStr">
        <is>
          <t>C</t>
        </is>
      </c>
      <c r="FS1213" s="14" t="inlineStr">
        <is>
          <t>LZPT-64|</t>
        </is>
      </c>
      <c r="FT1213" t="inlineStr">
        <is>
          <t>LZPT-64|</t>
        </is>
      </c>
      <c r="FU1213" t="inlineStr">
        <is>
          <t>LZPT-64</t>
        </is>
      </c>
      <c r="FV1213">
        <f>VLOOKUP(FU1213,FD:FL,9,0)</f>
        <v/>
      </c>
    </row>
    <row r="1214">
      <c r="FC1214" t="inlineStr">
        <is>
          <t>Diccionario 2</t>
        </is>
      </c>
      <c r="FD1214" s="15" t="inlineStr">
        <is>
          <t>SXKV-87</t>
        </is>
      </c>
      <c r="FE1214" s="15" t="inlineStr">
        <is>
          <t>YV3T7U529RA212110</t>
        </is>
      </c>
      <c r="FF1214" s="15" t="n">
        <v>593684</v>
      </c>
      <c r="FG1214" s="15" t="inlineStr">
        <is>
          <t>Volvo</t>
        </is>
      </c>
      <c r="FH1214" s="15" t="inlineStr">
        <is>
          <t>B8RLEA</t>
        </is>
      </c>
      <c r="FI1214" s="15" t="inlineStr">
        <is>
          <t>MARCOPOLO</t>
        </is>
      </c>
      <c r="FJ1214" s="15" t="inlineStr">
        <is>
          <t>GRAN VIALE</t>
        </is>
      </c>
      <c r="FK1214" s="15" t="n">
        <v>2023</v>
      </c>
      <c r="FL1214" s="15" t="inlineStr">
        <is>
          <t>C</t>
        </is>
      </c>
      <c r="FM1214" s="15" t="inlineStr">
        <is>
          <t>SAN ALFONSO</t>
        </is>
      </c>
      <c r="FN1214" s="15" t="inlineStr">
        <is>
          <t>San Alfonso 2141 (Ramón Subercaseaux 3060)</t>
        </is>
      </c>
      <c r="FO1214" s="15" t="inlineStr">
        <is>
          <t>Estacion Central</t>
        </is>
      </c>
      <c r="FP1214" t="inlineStr">
        <is>
          <t>C</t>
        </is>
      </c>
      <c r="FS1214" s="14" t="inlineStr">
        <is>
          <t>LZPG-12|</t>
        </is>
      </c>
      <c r="FT1214" t="inlineStr">
        <is>
          <t>LZPG-12|</t>
        </is>
      </c>
      <c r="FU1214" t="inlineStr">
        <is>
          <t>LZPG-12</t>
        </is>
      </c>
      <c r="FV1214">
        <f>VLOOKUP(FU1214,FD:FL,9,0)</f>
        <v/>
      </c>
    </row>
    <row r="1215">
      <c r="FC1215" t="inlineStr">
        <is>
          <t>Diccionario 2</t>
        </is>
      </c>
      <c r="FD1215" s="15" t="inlineStr">
        <is>
          <t>SXKV-88</t>
        </is>
      </c>
      <c r="FE1215" s="15" t="inlineStr">
        <is>
          <t>YV3T7U522RA212109</t>
        </is>
      </c>
      <c r="FF1215" s="15" t="n">
        <v>593717</v>
      </c>
      <c r="FG1215" s="15" t="inlineStr">
        <is>
          <t>Volvo</t>
        </is>
      </c>
      <c r="FH1215" s="15" t="inlineStr">
        <is>
          <t>B8RLEA</t>
        </is>
      </c>
      <c r="FI1215" s="15" t="inlineStr">
        <is>
          <t>MARCOPOLO</t>
        </is>
      </c>
      <c r="FJ1215" s="15" t="inlineStr">
        <is>
          <t>GRAN VIALE</t>
        </is>
      </c>
      <c r="FK1215" s="15" t="n">
        <v>2023</v>
      </c>
      <c r="FL1215" s="15" t="inlineStr">
        <is>
          <t>C</t>
        </is>
      </c>
      <c r="FM1215" s="15" t="inlineStr">
        <is>
          <t>SAN ALFONSO</t>
        </is>
      </c>
      <c r="FN1215" s="15" t="inlineStr">
        <is>
          <t>San Alfonso 2141 (Ramón Subercaseaux 3060)</t>
        </is>
      </c>
      <c r="FO1215" s="15" t="inlineStr">
        <is>
          <t>Estacion Central</t>
        </is>
      </c>
      <c r="FP1215" t="inlineStr">
        <is>
          <t>C</t>
        </is>
      </c>
      <c r="FS1215" s="14" t="inlineStr">
        <is>
          <t>LZPR-93|</t>
        </is>
      </c>
      <c r="FT1215" t="inlineStr">
        <is>
          <t>LZPR-93|</t>
        </is>
      </c>
      <c r="FU1215" t="inlineStr">
        <is>
          <t>LZPR-93</t>
        </is>
      </c>
      <c r="FV1215">
        <f>VLOOKUP(FU1215,FD:FL,9,0)</f>
        <v/>
      </c>
    </row>
    <row r="1216">
      <c r="FC1216" t="inlineStr">
        <is>
          <t>Diccionario 2</t>
        </is>
      </c>
      <c r="FD1216" s="15" t="inlineStr">
        <is>
          <t>SXKV-89</t>
        </is>
      </c>
      <c r="FE1216" s="15" t="inlineStr">
        <is>
          <t>YV3T7U521RA211954</t>
        </is>
      </c>
      <c r="FF1216" s="15" t="n">
        <v>592427</v>
      </c>
      <c r="FG1216" s="15" t="inlineStr">
        <is>
          <t>Volvo</t>
        </is>
      </c>
      <c r="FH1216" s="15" t="inlineStr">
        <is>
          <t>B8RLEA</t>
        </is>
      </c>
      <c r="FI1216" s="15" t="inlineStr">
        <is>
          <t>MARCOPOLO</t>
        </is>
      </c>
      <c r="FJ1216" s="15" t="inlineStr">
        <is>
          <t>GRAN VIALE</t>
        </is>
      </c>
      <c r="FK1216" s="15" t="n">
        <v>2023</v>
      </c>
      <c r="FL1216" s="15" t="inlineStr">
        <is>
          <t>C</t>
        </is>
      </c>
      <c r="FM1216" s="15" t="inlineStr">
        <is>
          <t>SAN ALFONSO</t>
        </is>
      </c>
      <c r="FN1216" s="15" t="inlineStr">
        <is>
          <t>San Alfonso 2141 (Ramón Subercaseaux 3060)</t>
        </is>
      </c>
      <c r="FO1216" s="15" t="inlineStr">
        <is>
          <t>Estacion Central</t>
        </is>
      </c>
      <c r="FP1216" t="inlineStr">
        <is>
          <t>C</t>
        </is>
      </c>
      <c r="FS1216" s="14" t="inlineStr">
        <is>
          <t>LZPW-16|</t>
        </is>
      </c>
      <c r="FT1216" t="inlineStr">
        <is>
          <t>LZPW-16|</t>
        </is>
      </c>
      <c r="FU1216" t="inlineStr">
        <is>
          <t>LZPW-16</t>
        </is>
      </c>
      <c r="FV1216">
        <f>VLOOKUP(FU1216,FD:FL,9,0)</f>
        <v/>
      </c>
    </row>
    <row r="1217">
      <c r="FC1217" t="inlineStr">
        <is>
          <t>Diccionario 2</t>
        </is>
      </c>
      <c r="FD1217" s="15" t="inlineStr">
        <is>
          <t>SXKV-90</t>
        </is>
      </c>
      <c r="FE1217" s="15" t="inlineStr">
        <is>
          <t>YV3T7U527RA211988</t>
        </is>
      </c>
      <c r="FF1217" s="15" t="n">
        <v>593907</v>
      </c>
      <c r="FG1217" s="15" t="inlineStr">
        <is>
          <t>Volvo</t>
        </is>
      </c>
      <c r="FH1217" s="15" t="inlineStr">
        <is>
          <t>B8RLEA</t>
        </is>
      </c>
      <c r="FI1217" s="15" t="inlineStr">
        <is>
          <t>MARCOPOLO</t>
        </is>
      </c>
      <c r="FJ1217" s="15" t="inlineStr">
        <is>
          <t>GRAN VIALE</t>
        </is>
      </c>
      <c r="FK1217" s="15" t="n">
        <v>2023</v>
      </c>
      <c r="FL1217" s="15" t="inlineStr">
        <is>
          <t>C</t>
        </is>
      </c>
      <c r="FM1217" s="15" t="inlineStr">
        <is>
          <t>SAN ALFONSO</t>
        </is>
      </c>
      <c r="FN1217" s="15" t="inlineStr">
        <is>
          <t>San Alfonso 2141 (Ramón Subercaseaux 3060)</t>
        </is>
      </c>
      <c r="FO1217" s="15" t="inlineStr">
        <is>
          <t>Estacion Central</t>
        </is>
      </c>
      <c r="FP1217" t="inlineStr">
        <is>
          <t>C</t>
        </is>
      </c>
      <c r="FS1217" s="14" t="inlineStr">
        <is>
          <t>LZPS-10|</t>
        </is>
      </c>
      <c r="FT1217" t="inlineStr">
        <is>
          <t>LZPS-10|</t>
        </is>
      </c>
      <c r="FU1217" t="inlineStr">
        <is>
          <t>LZPS-10</t>
        </is>
      </c>
      <c r="FV1217">
        <f>VLOOKUP(FU1217,FD:FL,9,0)</f>
        <v/>
      </c>
    </row>
    <row r="1218">
      <c r="FC1218" t="inlineStr">
        <is>
          <t>Diccionario 2</t>
        </is>
      </c>
      <c r="FD1218" s="15" t="inlineStr">
        <is>
          <t>SXKV-91</t>
        </is>
      </c>
      <c r="FE1218" s="15" t="inlineStr">
        <is>
          <t>YV3T7U529RA211989</t>
        </is>
      </c>
      <c r="FF1218" s="15" t="n">
        <v>593887</v>
      </c>
      <c r="FG1218" s="15" t="inlineStr">
        <is>
          <t>Volvo</t>
        </is>
      </c>
      <c r="FH1218" s="15" t="inlineStr">
        <is>
          <t>B8RLEA</t>
        </is>
      </c>
      <c r="FI1218" s="15" t="inlineStr">
        <is>
          <t>MARCOPOLO</t>
        </is>
      </c>
      <c r="FJ1218" s="15" t="inlineStr">
        <is>
          <t>GRAN VIALE</t>
        </is>
      </c>
      <c r="FK1218" s="15" t="n">
        <v>2023</v>
      </c>
      <c r="FL1218" s="15" t="inlineStr">
        <is>
          <t>C</t>
        </is>
      </c>
      <c r="FM1218" s="15" t="inlineStr">
        <is>
          <t>SAN ALFONSO</t>
        </is>
      </c>
      <c r="FN1218" s="15" t="inlineStr">
        <is>
          <t>San Alfonso 2141 (Ramón Subercaseaux 3060)</t>
        </is>
      </c>
      <c r="FO1218" s="15" t="inlineStr">
        <is>
          <t>Estacion Central</t>
        </is>
      </c>
      <c r="FP1218" t="inlineStr">
        <is>
          <t>C</t>
        </is>
      </c>
      <c r="FS1218" s="14" t="inlineStr">
        <is>
          <t>LZPT-60|</t>
        </is>
      </c>
      <c r="FT1218" t="inlineStr">
        <is>
          <t>LZPT-60|</t>
        </is>
      </c>
      <c r="FU1218" t="inlineStr">
        <is>
          <t>LZPT-60</t>
        </is>
      </c>
      <c r="FV1218">
        <f>VLOOKUP(FU1218,FD:FL,9,0)</f>
        <v/>
      </c>
    </row>
    <row r="1219">
      <c r="FC1219" t="inlineStr">
        <is>
          <t>Diccionario 2</t>
        </is>
      </c>
      <c r="FD1219" s="15" t="inlineStr">
        <is>
          <t>SXKV-92</t>
        </is>
      </c>
      <c r="FE1219" s="15" t="inlineStr">
        <is>
          <t>YV3T7U525RA211990</t>
        </is>
      </c>
      <c r="FF1219" s="15" t="n">
        <v>593899</v>
      </c>
      <c r="FG1219" s="15" t="inlineStr">
        <is>
          <t>Volvo</t>
        </is>
      </c>
      <c r="FH1219" s="15" t="inlineStr">
        <is>
          <t>B8RLEA</t>
        </is>
      </c>
      <c r="FI1219" s="15" t="inlineStr">
        <is>
          <t>MARCOPOLO</t>
        </is>
      </c>
      <c r="FJ1219" s="15" t="inlineStr">
        <is>
          <t>GRAN VIALE</t>
        </is>
      </c>
      <c r="FK1219" s="15" t="n">
        <v>2023</v>
      </c>
      <c r="FL1219" s="15" t="inlineStr">
        <is>
          <t>C</t>
        </is>
      </c>
      <c r="FM1219" s="15" t="inlineStr">
        <is>
          <t>SAN ALFONSO</t>
        </is>
      </c>
      <c r="FN1219" s="15" t="inlineStr">
        <is>
          <t>San Alfonso 2141 (Ramón Subercaseaux 3060)</t>
        </is>
      </c>
      <c r="FO1219" s="15" t="inlineStr">
        <is>
          <t>Estacion Central</t>
        </is>
      </c>
      <c r="FP1219" t="inlineStr">
        <is>
          <t>C</t>
        </is>
      </c>
      <c r="FS1219" s="14" t="inlineStr">
        <is>
          <t>9951 / TBZB-24|</t>
        </is>
      </c>
      <c r="FT1219" t="inlineStr">
        <is>
          <t>TBZB-24|</t>
        </is>
      </c>
      <c r="FU1219" t="inlineStr">
        <is>
          <t>TBZB-24</t>
        </is>
      </c>
      <c r="FV1219">
        <f>VLOOKUP(FU1219,FD:FL,9,0)</f>
        <v/>
      </c>
    </row>
    <row r="1220">
      <c r="FC1220" t="inlineStr">
        <is>
          <t>Diccionario 2</t>
        </is>
      </c>
      <c r="FD1220" s="15" t="inlineStr">
        <is>
          <t>SXKV-93</t>
        </is>
      </c>
      <c r="FE1220" s="15" t="inlineStr">
        <is>
          <t>YV3T7U527RA211991</t>
        </is>
      </c>
      <c r="FF1220" s="15" t="n">
        <v>593420</v>
      </c>
      <c r="FG1220" s="15" t="inlineStr">
        <is>
          <t>Volvo</t>
        </is>
      </c>
      <c r="FH1220" s="15" t="inlineStr">
        <is>
          <t>B8RLEA</t>
        </is>
      </c>
      <c r="FI1220" s="15" t="inlineStr">
        <is>
          <t>MARCOPOLO</t>
        </is>
      </c>
      <c r="FJ1220" s="15" t="inlineStr">
        <is>
          <t>GRAN VIALE</t>
        </is>
      </c>
      <c r="FK1220" s="15" t="n">
        <v>2023</v>
      </c>
      <c r="FL1220" s="15" t="inlineStr">
        <is>
          <t>C</t>
        </is>
      </c>
      <c r="FM1220" s="15" t="inlineStr">
        <is>
          <t>SAN ALFONSO</t>
        </is>
      </c>
      <c r="FN1220" s="15" t="inlineStr">
        <is>
          <t>San Alfonso 2141 (Ramón Subercaseaux 3060)</t>
        </is>
      </c>
      <c r="FO1220" s="15" t="inlineStr">
        <is>
          <t>Estacion Central</t>
        </is>
      </c>
      <c r="FP1220" t="inlineStr">
        <is>
          <t>C</t>
        </is>
      </c>
      <c r="FS1220" s="14" t="inlineStr">
        <is>
          <t>LZPT-63|</t>
        </is>
      </c>
      <c r="FT1220" t="inlineStr">
        <is>
          <t>LZPT-63|</t>
        </is>
      </c>
      <c r="FU1220" t="inlineStr">
        <is>
          <t>LZPT-63</t>
        </is>
      </c>
      <c r="FV1220">
        <f>VLOOKUP(FU1220,FD:FL,9,0)</f>
        <v/>
      </c>
    </row>
    <row r="1221">
      <c r="FC1221" t="inlineStr">
        <is>
          <t>Diccionario 2</t>
        </is>
      </c>
      <c r="FD1221" s="15" t="inlineStr">
        <is>
          <t>SXKV-94</t>
        </is>
      </c>
      <c r="FE1221" s="15" t="inlineStr">
        <is>
          <t>YV3T7U529RA211992</t>
        </is>
      </c>
      <c r="FF1221" s="15" t="n">
        <v>593506</v>
      </c>
      <c r="FG1221" s="15" t="inlineStr">
        <is>
          <t>Volvo</t>
        </is>
      </c>
      <c r="FH1221" s="15" t="inlineStr">
        <is>
          <t>B8RLEA</t>
        </is>
      </c>
      <c r="FI1221" s="15" t="inlineStr">
        <is>
          <t>MARCOPOLO</t>
        </is>
      </c>
      <c r="FJ1221" s="15" t="inlineStr">
        <is>
          <t>GRAN VIALE</t>
        </is>
      </c>
      <c r="FK1221" s="15" t="n">
        <v>2023</v>
      </c>
      <c r="FL1221" s="15" t="inlineStr">
        <is>
          <t>C</t>
        </is>
      </c>
      <c r="FM1221" s="15" t="inlineStr">
        <is>
          <t>SAN ALFONSO</t>
        </is>
      </c>
      <c r="FN1221" s="15" t="inlineStr">
        <is>
          <t>San Alfonso 2141 (Ramón Subercaseaux 3060)</t>
        </is>
      </c>
      <c r="FO1221" s="15" t="inlineStr">
        <is>
          <t>Estacion Central</t>
        </is>
      </c>
      <c r="FP1221" t="inlineStr">
        <is>
          <t>C</t>
        </is>
      </c>
      <c r="FS1221" s="14" t="inlineStr">
        <is>
          <t>9930 / SXKV-99|</t>
        </is>
      </c>
      <c r="FT1221" t="inlineStr">
        <is>
          <t>SXKV-99|</t>
        </is>
      </c>
      <c r="FU1221" t="inlineStr">
        <is>
          <t>SXKV-99</t>
        </is>
      </c>
      <c r="FV1221">
        <f>VLOOKUP(FU1221,FD:FL,9,0)</f>
        <v/>
      </c>
    </row>
    <row r="1222">
      <c r="FC1222" t="inlineStr">
        <is>
          <t>Diccionario 2</t>
        </is>
      </c>
      <c r="FD1222" s="15" t="inlineStr">
        <is>
          <t>SXKV-95</t>
        </is>
      </c>
      <c r="FE1222" s="15" t="inlineStr">
        <is>
          <t>YV3T7U520RA211993</t>
        </is>
      </c>
      <c r="FF1222" s="15" t="n">
        <v>593418</v>
      </c>
      <c r="FG1222" s="15" t="inlineStr">
        <is>
          <t>Volvo</t>
        </is>
      </c>
      <c r="FH1222" s="15" t="inlineStr">
        <is>
          <t>B8RLEA</t>
        </is>
      </c>
      <c r="FI1222" s="15" t="inlineStr">
        <is>
          <t>MARCOPOLO</t>
        </is>
      </c>
      <c r="FJ1222" s="15" t="inlineStr">
        <is>
          <t>GRAN VIALE</t>
        </is>
      </c>
      <c r="FK1222" s="15" t="n">
        <v>2023</v>
      </c>
      <c r="FL1222" s="15" t="inlineStr">
        <is>
          <t>C</t>
        </is>
      </c>
      <c r="FM1222" s="15" t="inlineStr">
        <is>
          <t>SAN ALFONSO</t>
        </is>
      </c>
      <c r="FN1222" s="15" t="inlineStr">
        <is>
          <t>San Alfonso 2141 (Ramón Subercaseaux 3060)</t>
        </is>
      </c>
      <c r="FO1222" s="15" t="inlineStr">
        <is>
          <t>Estacion Central</t>
        </is>
      </c>
      <c r="FP1222" t="inlineStr">
        <is>
          <t>C</t>
        </is>
      </c>
      <c r="FS1222" s="14" t="inlineStr">
        <is>
          <t>LZPR-81|</t>
        </is>
      </c>
      <c r="FT1222" t="inlineStr">
        <is>
          <t>LZPR-81|</t>
        </is>
      </c>
      <c r="FU1222" t="inlineStr">
        <is>
          <t>LZPR-81</t>
        </is>
      </c>
      <c r="FV1222">
        <f>VLOOKUP(FU1222,FD:FL,9,0)</f>
        <v/>
      </c>
    </row>
    <row r="1223">
      <c r="FC1223" t="inlineStr">
        <is>
          <t>Diccionario 2</t>
        </is>
      </c>
      <c r="FD1223" s="15" t="inlineStr">
        <is>
          <t>SXKV-96</t>
        </is>
      </c>
      <c r="FE1223" s="15" t="inlineStr">
        <is>
          <t>YV3T7U529RA212107</t>
        </is>
      </c>
      <c r="FF1223" s="15" t="n">
        <v>593145</v>
      </c>
      <c r="FG1223" s="15" t="inlineStr">
        <is>
          <t>Volvo</t>
        </is>
      </c>
      <c r="FH1223" s="15" t="inlineStr">
        <is>
          <t>B8RLEA</t>
        </is>
      </c>
      <c r="FI1223" s="15" t="inlineStr">
        <is>
          <t>MARCOPOLO</t>
        </is>
      </c>
      <c r="FJ1223" s="15" t="inlineStr">
        <is>
          <t>GRAN VIALE</t>
        </is>
      </c>
      <c r="FK1223" s="15" t="n">
        <v>2023</v>
      </c>
      <c r="FL1223" s="15" t="inlineStr">
        <is>
          <t>C</t>
        </is>
      </c>
      <c r="FM1223" s="15" t="inlineStr">
        <is>
          <t>SAN ALFONSO</t>
        </is>
      </c>
      <c r="FN1223" s="15" t="inlineStr">
        <is>
          <t>San Alfonso 2141 (Ramón Subercaseaux 3060)</t>
        </is>
      </c>
      <c r="FO1223" s="15" t="inlineStr">
        <is>
          <t>Estacion Central</t>
        </is>
      </c>
      <c r="FP1223" t="inlineStr">
        <is>
          <t>C</t>
        </is>
      </c>
      <c r="FS1223" s="14" t="inlineStr">
        <is>
          <t>LZPG-13|</t>
        </is>
      </c>
      <c r="FT1223" t="inlineStr">
        <is>
          <t>LZPG-13|</t>
        </is>
      </c>
      <c r="FU1223" t="inlineStr">
        <is>
          <t>LZPG-13</t>
        </is>
      </c>
      <c r="FV1223">
        <f>VLOOKUP(FU1223,FD:FL,9,0)</f>
        <v/>
      </c>
    </row>
    <row r="1224">
      <c r="FC1224" t="inlineStr">
        <is>
          <t>Diccionario 2</t>
        </is>
      </c>
      <c r="FD1224" s="15" t="inlineStr">
        <is>
          <t>VFPB-75</t>
        </is>
      </c>
      <c r="FE1224" s="15" t="inlineStr">
        <is>
          <t>MDN35025020059</t>
        </is>
      </c>
      <c r="FF1224" s="15" t="inlineStr">
        <is>
          <t>LDYECS312S0043986</t>
        </is>
      </c>
      <c r="FG1224" s="15" t="inlineStr">
        <is>
          <t>Zhong Tong</t>
        </is>
      </c>
      <c r="FH1224" s="15" t="inlineStr">
        <is>
          <t>Lck6122evg</t>
        </is>
      </c>
      <c r="FI1224" s="15" t="inlineStr">
        <is>
          <t>ZHONGTONG</t>
        </is>
      </c>
      <c r="FJ1224" s="15" t="inlineStr">
        <is>
          <t>LCK6122EVG</t>
        </is>
      </c>
      <c r="FK1224" s="15" t="n">
        <v>2025</v>
      </c>
      <c r="FL1224" s="15" t="inlineStr">
        <is>
          <t>B</t>
        </is>
      </c>
      <c r="FM1224" s="15" t="inlineStr">
        <is>
          <t>CERRILLOS</t>
        </is>
      </c>
      <c r="FN1224" s="15" t="inlineStr">
        <is>
          <t>Calle Uno 7371</t>
        </is>
      </c>
      <c r="FO1224" s="15" t="inlineStr">
        <is>
          <t>Cerrillos</t>
        </is>
      </c>
      <c r="FP1224" t="inlineStr">
        <is>
          <t>B</t>
        </is>
      </c>
      <c r="FS1224" s="14" t="inlineStr">
        <is>
          <t>LXWT-82|</t>
        </is>
      </c>
      <c r="FT1224" t="inlineStr">
        <is>
          <t>LXWT-82|</t>
        </is>
      </c>
      <c r="FU1224" t="inlineStr">
        <is>
          <t>LXWT-82</t>
        </is>
      </c>
      <c r="FV1224">
        <f>VLOOKUP(FU1224,FD:FL,9,0)</f>
        <v/>
      </c>
    </row>
    <row r="1225">
      <c r="FC1225" t="inlineStr">
        <is>
          <t>Diccionario 2</t>
        </is>
      </c>
      <c r="FD1225" s="15" t="inlineStr">
        <is>
          <t>VFPB-85</t>
        </is>
      </c>
      <c r="FE1225" s="15" t="inlineStr">
        <is>
          <t>MDN35025020068</t>
        </is>
      </c>
      <c r="FF1225" s="15" t="inlineStr">
        <is>
          <t>LDYECS318S0044009</t>
        </is>
      </c>
      <c r="FG1225" s="15" t="inlineStr">
        <is>
          <t>Zhong Tong</t>
        </is>
      </c>
      <c r="FH1225" s="15" t="inlineStr">
        <is>
          <t>Lck6122evg</t>
        </is>
      </c>
      <c r="FI1225" s="15" t="inlineStr">
        <is>
          <t>ZHONGTONG</t>
        </is>
      </c>
      <c r="FJ1225" s="15" t="inlineStr">
        <is>
          <t>LCK6122EVG</t>
        </is>
      </c>
      <c r="FK1225" s="15" t="n">
        <v>2025</v>
      </c>
      <c r="FL1225" s="15" t="inlineStr">
        <is>
          <t>B</t>
        </is>
      </c>
      <c r="FM1225" s="15" t="inlineStr">
        <is>
          <t>PIE ANDINO</t>
        </is>
      </c>
      <c r="FN1225" s="15" t="inlineStr">
        <is>
          <t>Pie Andino 31 (Pie Andino 383)</t>
        </is>
      </c>
      <c r="FO1225" s="15" t="inlineStr">
        <is>
          <t>Puente Alto</t>
        </is>
      </c>
      <c r="FP1225" t="inlineStr">
        <is>
          <t>B</t>
        </is>
      </c>
      <c r="FS1225" s="14" t="inlineStr">
        <is>
          <t>3102 / SFWZ-59|</t>
        </is>
      </c>
      <c r="FT1225" t="inlineStr">
        <is>
          <t>SFWZ-59|</t>
        </is>
      </c>
      <c r="FU1225" t="inlineStr">
        <is>
          <t>SFWZ-59</t>
        </is>
      </c>
      <c r="FV1225">
        <f>VLOOKUP(FU1225,FD:FL,9,0)</f>
        <v/>
      </c>
    </row>
    <row r="1226">
      <c r="FC1226" t="inlineStr">
        <is>
          <t>Diccionario 2</t>
        </is>
      </c>
      <c r="FD1226" s="15" t="inlineStr">
        <is>
          <t>VFPC-59</t>
        </is>
      </c>
      <c r="FE1226" s="15" t="inlineStr">
        <is>
          <t>MDN35025020104</t>
        </is>
      </c>
      <c r="FF1226" s="15" t="inlineStr">
        <is>
          <t>LDYECS315S0044016</t>
        </is>
      </c>
      <c r="FG1226" s="15" t="inlineStr">
        <is>
          <t>Zhong Tong</t>
        </is>
      </c>
      <c r="FH1226" s="15" t="inlineStr">
        <is>
          <t>Lck6122evg</t>
        </is>
      </c>
      <c r="FI1226" s="15" t="inlineStr">
        <is>
          <t>ZHONGTONG</t>
        </is>
      </c>
      <c r="FJ1226" s="15" t="inlineStr">
        <is>
          <t>LCK6122EVG</t>
        </is>
      </c>
      <c r="FK1226" s="15" t="n">
        <v>2025</v>
      </c>
      <c r="FL1226" s="15" t="inlineStr">
        <is>
          <t>B</t>
        </is>
      </c>
      <c r="FM1226" s="15" t="inlineStr">
        <is>
          <t>SAN ALFONSO</t>
        </is>
      </c>
      <c r="FN1226" s="15" t="inlineStr">
        <is>
          <t>San Alfonso 2141 (Ramón Subercaseaux 3060)</t>
        </is>
      </c>
      <c r="FO1226" s="15" t="inlineStr">
        <is>
          <t>Estacion Central</t>
        </is>
      </c>
      <c r="FP1226" t="inlineStr">
        <is>
          <t>B</t>
        </is>
      </c>
      <c r="FS1226" s="14" t="inlineStr">
        <is>
          <t>7747 / GCBC-34|</t>
        </is>
      </c>
      <c r="FT1226" t="inlineStr">
        <is>
          <t>GCBC-34|</t>
        </is>
      </c>
      <c r="FU1226" t="inlineStr">
        <is>
          <t>GCBC-34</t>
        </is>
      </c>
      <c r="FV1226">
        <f>VLOOKUP(FU1226,FD:FL,9,0)</f>
        <v/>
      </c>
    </row>
    <row r="1227">
      <c r="FC1227" t="inlineStr">
        <is>
          <t>Diccionario 2</t>
        </is>
      </c>
      <c r="FD1227" s="15" t="inlineStr">
        <is>
          <t>VFPC-66</t>
        </is>
      </c>
      <c r="FE1227" s="15" t="inlineStr">
        <is>
          <t>MDN35025020124</t>
        </is>
      </c>
      <c r="FF1227" s="15" t="inlineStr">
        <is>
          <t>LDYECS311S0044014</t>
        </is>
      </c>
      <c r="FG1227" s="15" t="inlineStr">
        <is>
          <t>Zhong Tong</t>
        </is>
      </c>
      <c r="FH1227" s="15" t="inlineStr">
        <is>
          <t>Lck6122evg</t>
        </is>
      </c>
      <c r="FI1227" s="15" t="inlineStr">
        <is>
          <t>ZHONGTONG</t>
        </is>
      </c>
      <c r="FJ1227" s="15" t="inlineStr">
        <is>
          <t>LCK6122EVG</t>
        </is>
      </c>
      <c r="FK1227" s="15" t="n">
        <v>2025</v>
      </c>
      <c r="FL1227" s="15" t="inlineStr">
        <is>
          <t>B</t>
        </is>
      </c>
      <c r="FM1227" s="15" t="inlineStr">
        <is>
          <t>SAN ALFONSO</t>
        </is>
      </c>
      <c r="FN1227" s="15" t="inlineStr">
        <is>
          <t>San Alfonso 2141 (Ramón Subercaseaux 3060)</t>
        </is>
      </c>
      <c r="FO1227" s="15" t="inlineStr">
        <is>
          <t>Estacion Central</t>
        </is>
      </c>
      <c r="FP1227" t="inlineStr">
        <is>
          <t>B</t>
        </is>
      </c>
      <c r="FS1227" s="14" t="inlineStr">
        <is>
          <t>7739 / GCBC-26|</t>
        </is>
      </c>
      <c r="FT1227" t="inlineStr">
        <is>
          <t>GCBC-26|</t>
        </is>
      </c>
      <c r="FU1227" t="inlineStr">
        <is>
          <t>GCBC-26</t>
        </is>
      </c>
      <c r="FV1227">
        <f>VLOOKUP(FU1227,FD:FL,9,0)</f>
        <v/>
      </c>
    </row>
    <row r="1228">
      <c r="FC1228" t="inlineStr">
        <is>
          <t>Diccionario 2</t>
        </is>
      </c>
      <c r="FD1228" s="15" t="inlineStr">
        <is>
          <t>VFPC-69</t>
        </is>
      </c>
      <c r="FE1228" s="15" t="inlineStr">
        <is>
          <t>MDN35025020027</t>
        </is>
      </c>
      <c r="FF1228" s="15" t="inlineStr">
        <is>
          <t>LDYECS317S0044003</t>
        </is>
      </c>
      <c r="FG1228" s="15" t="inlineStr">
        <is>
          <t>Zhong Tong</t>
        </is>
      </c>
      <c r="FH1228" s="15" t="inlineStr">
        <is>
          <t>Lck6122evg</t>
        </is>
      </c>
      <c r="FI1228" s="15" t="inlineStr">
        <is>
          <t>ZHONGTONG</t>
        </is>
      </c>
      <c r="FJ1228" s="15" t="inlineStr">
        <is>
          <t>LCK6122EVG</t>
        </is>
      </c>
      <c r="FK1228" s="15" t="n">
        <v>2025</v>
      </c>
      <c r="FL1228" s="15" t="inlineStr">
        <is>
          <t>B</t>
        </is>
      </c>
      <c r="FM1228" s="15" t="inlineStr">
        <is>
          <t>PIE ANDINO</t>
        </is>
      </c>
      <c r="FN1228" s="15" t="inlineStr">
        <is>
          <t>Pie Andino 31 (Pie Andino 383)</t>
        </is>
      </c>
      <c r="FO1228" s="15" t="inlineStr">
        <is>
          <t>Puente Alto</t>
        </is>
      </c>
      <c r="FP1228" t="inlineStr">
        <is>
          <t>B</t>
        </is>
      </c>
      <c r="FS1228" s="14" t="inlineStr">
        <is>
          <t>3017 / SFWB-29|</t>
        </is>
      </c>
      <c r="FT1228" t="inlineStr">
        <is>
          <t>SFWB-29|</t>
        </is>
      </c>
      <c r="FU1228" t="inlineStr">
        <is>
          <t>SFWB-29</t>
        </is>
      </c>
      <c r="FV1228">
        <f>VLOOKUP(FU1228,FD:FL,9,0)</f>
        <v/>
      </c>
    </row>
    <row r="1229">
      <c r="FC1229" t="inlineStr">
        <is>
          <t>Diccionario 2</t>
        </is>
      </c>
      <c r="FD1229" s="15" t="inlineStr">
        <is>
          <t>VFPD-10</t>
        </is>
      </c>
      <c r="FE1229" s="15" t="inlineStr">
        <is>
          <t>MDN35025020086</t>
        </is>
      </c>
      <c r="FF1229" s="15" t="inlineStr">
        <is>
          <t>LDYECS31XS0043976</t>
        </is>
      </c>
      <c r="FG1229" s="15" t="inlineStr">
        <is>
          <t>Zhong Tong</t>
        </is>
      </c>
      <c r="FH1229" s="15" t="inlineStr">
        <is>
          <t>Lck6122evg</t>
        </is>
      </c>
      <c r="FI1229" s="15" t="inlineStr">
        <is>
          <t>ZHONGTONG</t>
        </is>
      </c>
      <c r="FJ1229" s="15" t="inlineStr">
        <is>
          <t>LCK6122EVG</t>
        </is>
      </c>
      <c r="FK1229" s="15" t="n">
        <v>2025</v>
      </c>
      <c r="FL1229" s="15" t="inlineStr">
        <is>
          <t>B</t>
        </is>
      </c>
      <c r="FM1229" s="15" t="inlineStr">
        <is>
          <t>CERRILLOS</t>
        </is>
      </c>
      <c r="FN1229" s="15" t="inlineStr">
        <is>
          <t>Calle Uno 7371</t>
        </is>
      </c>
      <c r="FO1229" s="15" t="inlineStr">
        <is>
          <t>Cerrillos</t>
        </is>
      </c>
      <c r="FP1229" t="inlineStr">
        <is>
          <t>B</t>
        </is>
      </c>
      <c r="FS1229" s="14" t="inlineStr">
        <is>
          <t>3066 / SFWB-10|</t>
        </is>
      </c>
      <c r="FT1229" t="inlineStr">
        <is>
          <t>SFWB-10|</t>
        </is>
      </c>
      <c r="FU1229" t="inlineStr">
        <is>
          <t>SFWB-10</t>
        </is>
      </c>
      <c r="FV1229">
        <f>VLOOKUP(FU1229,FD:FL,9,0)</f>
        <v/>
      </c>
    </row>
    <row r="1230">
      <c r="FC1230" t="inlineStr">
        <is>
          <t>Diccionario 2</t>
        </is>
      </c>
      <c r="FD1230" s="15" t="inlineStr">
        <is>
          <t>VFPD-41</t>
        </is>
      </c>
      <c r="FE1230" s="15" t="inlineStr">
        <is>
          <t>MDN35025020119</t>
        </is>
      </c>
      <c r="FF1230" s="15" t="inlineStr">
        <is>
          <t>LDYECS313S0043981</t>
        </is>
      </c>
      <c r="FG1230" s="15" t="inlineStr">
        <is>
          <t>Zhong Tong</t>
        </is>
      </c>
      <c r="FH1230" s="15" t="inlineStr">
        <is>
          <t>Lck6122evg</t>
        </is>
      </c>
      <c r="FI1230" s="15" t="inlineStr">
        <is>
          <t>ZHONGTONG</t>
        </is>
      </c>
      <c r="FJ1230" s="15" t="inlineStr">
        <is>
          <t>LCK6122EVG</t>
        </is>
      </c>
      <c r="FK1230" s="15" t="n">
        <v>2025</v>
      </c>
      <c r="FL1230" s="15" t="inlineStr">
        <is>
          <t>B</t>
        </is>
      </c>
      <c r="FM1230" s="15" t="inlineStr">
        <is>
          <t>PIE ANDINO</t>
        </is>
      </c>
      <c r="FN1230" s="15" t="inlineStr">
        <is>
          <t>Pie Andino 31 (Pie Andino 383)</t>
        </is>
      </c>
      <c r="FO1230" s="15" t="inlineStr">
        <is>
          <t>Puente Alto</t>
        </is>
      </c>
      <c r="FP1230" t="inlineStr">
        <is>
          <t>B</t>
        </is>
      </c>
      <c r="FS1230" s="14" t="inlineStr">
        <is>
          <t>3106 / SFWZ-68|</t>
        </is>
      </c>
      <c r="FT1230" t="inlineStr">
        <is>
          <t>SFWZ-68|</t>
        </is>
      </c>
      <c r="FU1230" t="inlineStr">
        <is>
          <t>SFWZ-68</t>
        </is>
      </c>
      <c r="FV1230">
        <f>VLOOKUP(FU1230,FD:FL,9,0)</f>
        <v/>
      </c>
    </row>
    <row r="1231">
      <c r="FC1231" t="inlineStr">
        <is>
          <t>Diccionario 2</t>
        </is>
      </c>
      <c r="FD1231" s="15" t="inlineStr">
        <is>
          <t>VFPD-51</t>
        </is>
      </c>
      <c r="FE1231" s="15" t="inlineStr">
        <is>
          <t>MDN35025020092</t>
        </is>
      </c>
      <c r="FF1231" s="15" t="inlineStr">
        <is>
          <t>LDYECS319S0043998</t>
        </is>
      </c>
      <c r="FG1231" s="15" t="inlineStr">
        <is>
          <t>Zhong Tong</t>
        </is>
      </c>
      <c r="FH1231" s="15" t="inlineStr">
        <is>
          <t>Lck6122evg</t>
        </is>
      </c>
      <c r="FI1231" s="15" t="inlineStr">
        <is>
          <t>ZHONGTONG</t>
        </is>
      </c>
      <c r="FJ1231" s="15" t="inlineStr">
        <is>
          <t>LCK6122EVG</t>
        </is>
      </c>
      <c r="FK1231" s="15" t="n">
        <v>2025</v>
      </c>
      <c r="FL1231" s="15" t="inlineStr">
        <is>
          <t>B</t>
        </is>
      </c>
      <c r="FM1231" s="15" t="inlineStr">
        <is>
          <t>CERRILLOS</t>
        </is>
      </c>
      <c r="FN1231" s="15" t="inlineStr">
        <is>
          <t>Calle Uno 7371</t>
        </is>
      </c>
      <c r="FO1231" s="15" t="inlineStr">
        <is>
          <t>Cerrillos</t>
        </is>
      </c>
      <c r="FP1231" t="inlineStr">
        <is>
          <t>B</t>
        </is>
      </c>
      <c r="FS1231" s="14" t="inlineStr">
        <is>
          <t>SFWZ-29</t>
        </is>
      </c>
      <c r="FT1231" t="inlineStr">
        <is>
          <t>SFWZ-29</t>
        </is>
      </c>
      <c r="FU1231" t="inlineStr">
        <is>
          <t>SFWZ-29</t>
        </is>
      </c>
      <c r="FV1231">
        <f>VLOOKUP(FU1231,FD:FL,9,0)</f>
        <v/>
      </c>
    </row>
    <row r="1232">
      <c r="FC1232" t="inlineStr">
        <is>
          <t>Diccionario 2</t>
        </is>
      </c>
      <c r="FD1232" s="15" t="inlineStr">
        <is>
          <t>VFPD-61</t>
        </is>
      </c>
      <c r="FE1232" s="15" t="inlineStr">
        <is>
          <t>MDN35025020153</t>
        </is>
      </c>
      <c r="FF1232" s="15" t="inlineStr">
        <is>
          <t>LDYECS310S0043999</t>
        </is>
      </c>
      <c r="FG1232" s="15" t="inlineStr">
        <is>
          <t>Zhong Tong</t>
        </is>
      </c>
      <c r="FH1232" s="15" t="inlineStr">
        <is>
          <t>Lck6122evg</t>
        </is>
      </c>
      <c r="FI1232" s="15" t="inlineStr">
        <is>
          <t>ZHONGTONG</t>
        </is>
      </c>
      <c r="FJ1232" s="15" t="inlineStr">
        <is>
          <t>LCK6122EVG</t>
        </is>
      </c>
      <c r="FK1232" s="15" t="n">
        <v>2025</v>
      </c>
      <c r="FL1232" s="15" t="inlineStr">
        <is>
          <t>B</t>
        </is>
      </c>
      <c r="FM1232" s="15" t="inlineStr">
        <is>
          <t>CERRILLOS</t>
        </is>
      </c>
      <c r="FN1232" s="15" t="inlineStr">
        <is>
          <t>Calle Uno 7371</t>
        </is>
      </c>
      <c r="FO1232" s="15" t="inlineStr">
        <is>
          <t>Cerrillos</t>
        </is>
      </c>
      <c r="FP1232" t="inlineStr">
        <is>
          <t>B</t>
        </is>
      </c>
      <c r="FS1232" s="14" t="inlineStr">
        <is>
          <t>SFWZ-66</t>
        </is>
      </c>
      <c r="FT1232" t="inlineStr">
        <is>
          <t>SFWZ-66</t>
        </is>
      </c>
      <c r="FU1232" t="inlineStr">
        <is>
          <t>SFWZ-66</t>
        </is>
      </c>
      <c r="FV1232">
        <f>VLOOKUP(FU1232,FD:FL,9,0)</f>
        <v/>
      </c>
    </row>
    <row r="1233">
      <c r="FC1233" t="inlineStr">
        <is>
          <t>Diccionario 2</t>
        </is>
      </c>
      <c r="FD1233" s="15" t="inlineStr">
        <is>
          <t>VFPD-71</t>
        </is>
      </c>
      <c r="FE1233" s="15" t="inlineStr">
        <is>
          <t>MDN35025010097</t>
        </is>
      </c>
      <c r="FF1233" s="15" t="inlineStr">
        <is>
          <t>LDYECS318S0044110</t>
        </is>
      </c>
      <c r="FG1233" s="15" t="inlineStr">
        <is>
          <t>Zhong Tong</t>
        </is>
      </c>
      <c r="FH1233" s="15" t="inlineStr">
        <is>
          <t>Lck6122evg</t>
        </is>
      </c>
      <c r="FI1233" s="15" t="inlineStr">
        <is>
          <t>ZHONGTONG</t>
        </is>
      </c>
      <c r="FJ1233" s="15" t="inlineStr">
        <is>
          <t>LCK6122EVG</t>
        </is>
      </c>
      <c r="FK1233" s="15" t="n">
        <v>2025</v>
      </c>
      <c r="FL1233" s="15" t="inlineStr">
        <is>
          <t>B</t>
        </is>
      </c>
      <c r="FM1233" s="15" t="inlineStr">
        <is>
          <t>CERRILLOS</t>
        </is>
      </c>
      <c r="FN1233" s="15" t="inlineStr">
        <is>
          <t>Calle Uno 7371</t>
        </is>
      </c>
      <c r="FO1233" s="15" t="inlineStr">
        <is>
          <t>Cerrillos</t>
        </is>
      </c>
      <c r="FP1233" t="inlineStr">
        <is>
          <t>B</t>
        </is>
      </c>
      <c r="FS1233" s="14" t="inlineStr">
        <is>
          <t>SFWZ-27</t>
        </is>
      </c>
      <c r="FT1233" t="inlineStr">
        <is>
          <t>SFWZ-27</t>
        </is>
      </c>
      <c r="FU1233" t="inlineStr">
        <is>
          <t>SFWZ-27</t>
        </is>
      </c>
      <c r="FV1233">
        <f>VLOOKUP(FU1233,FD:FL,9,0)</f>
        <v/>
      </c>
    </row>
    <row r="1234">
      <c r="FC1234" t="inlineStr">
        <is>
          <t>Diccionario 2</t>
        </is>
      </c>
      <c r="FD1234" s="15" t="inlineStr">
        <is>
          <t>VFPD-81</t>
        </is>
      </c>
      <c r="FE1234" s="15" t="inlineStr">
        <is>
          <t>MDN35025020026</t>
        </is>
      </c>
      <c r="FF1234" s="15" t="inlineStr">
        <is>
          <t>LDYECS31XS0043993</t>
        </is>
      </c>
      <c r="FG1234" s="15" t="inlineStr">
        <is>
          <t>Zhong Tong</t>
        </is>
      </c>
      <c r="FH1234" s="15" t="inlineStr">
        <is>
          <t>Lck6122evg</t>
        </is>
      </c>
      <c r="FI1234" s="15" t="inlineStr">
        <is>
          <t>ZHONGTONG</t>
        </is>
      </c>
      <c r="FJ1234" s="15" t="inlineStr">
        <is>
          <t>LCK6122EVG</t>
        </is>
      </c>
      <c r="FK1234" s="15" t="n">
        <v>2025</v>
      </c>
      <c r="FL1234" s="15" t="inlineStr">
        <is>
          <t>B</t>
        </is>
      </c>
      <c r="FM1234" s="15" t="inlineStr">
        <is>
          <t>CERRILLOS</t>
        </is>
      </c>
      <c r="FN1234" s="15" t="inlineStr">
        <is>
          <t>Calle Uno 7371</t>
        </is>
      </c>
      <c r="FO1234" s="15" t="inlineStr">
        <is>
          <t>Cerrillos</t>
        </is>
      </c>
      <c r="FP1234" t="inlineStr">
        <is>
          <t>B</t>
        </is>
      </c>
      <c r="FS1234" s="14" t="inlineStr">
        <is>
          <t>SFWB-82</t>
        </is>
      </c>
      <c r="FT1234" t="inlineStr">
        <is>
          <t>SFWB-82</t>
        </is>
      </c>
      <c r="FU1234" t="inlineStr">
        <is>
          <t>SFWB-82</t>
        </is>
      </c>
      <c r="FV1234">
        <f>VLOOKUP(FU1234,FD:FL,9,0)</f>
        <v/>
      </c>
    </row>
    <row r="1235">
      <c r="FC1235" t="inlineStr">
        <is>
          <t>Diccionario 2</t>
        </is>
      </c>
      <c r="FD1235" s="15" t="inlineStr">
        <is>
          <t>VFPF-21</t>
        </is>
      </c>
      <c r="FE1235" s="15" t="inlineStr">
        <is>
          <t>MDN35025020048</t>
        </is>
      </c>
      <c r="FF1235" s="15" t="inlineStr">
        <is>
          <t>LDYECS316S0043988</t>
        </is>
      </c>
      <c r="FG1235" s="15" t="inlineStr">
        <is>
          <t>Zhong Tong</t>
        </is>
      </c>
      <c r="FH1235" s="15" t="inlineStr">
        <is>
          <t>Lck6122evg</t>
        </is>
      </c>
      <c r="FI1235" s="15" t="inlineStr">
        <is>
          <t>ZHONGTONG</t>
        </is>
      </c>
      <c r="FJ1235" s="15" t="inlineStr">
        <is>
          <t>LCK6122EVG</t>
        </is>
      </c>
      <c r="FK1235" s="15" t="n">
        <v>2025</v>
      </c>
      <c r="FL1235" s="15" t="inlineStr">
        <is>
          <t>B</t>
        </is>
      </c>
      <c r="FM1235" s="15" t="inlineStr">
        <is>
          <t>PIE ANDINO</t>
        </is>
      </c>
      <c r="FN1235" s="15" t="inlineStr">
        <is>
          <t>Pie Andino 31 (Pie Andino 383)</t>
        </is>
      </c>
      <c r="FO1235" s="15" t="inlineStr">
        <is>
          <t>Puente Alto</t>
        </is>
      </c>
      <c r="FP1235" t="inlineStr">
        <is>
          <t>B</t>
        </is>
      </c>
      <c r="FS1235" s="14" t="inlineStr">
        <is>
          <t>VJZB-67</t>
        </is>
      </c>
      <c r="FT1235" t="inlineStr">
        <is>
          <t>VJZB-67</t>
        </is>
      </c>
      <c r="FU1235" t="inlineStr">
        <is>
          <t>VJZB-67</t>
        </is>
      </c>
      <c r="FV1235">
        <f>VLOOKUP(FU1235,FD:FL,9,0)</f>
        <v/>
      </c>
    </row>
    <row r="1236">
      <c r="FC1236" t="inlineStr">
        <is>
          <t>Diccionario 2</t>
        </is>
      </c>
      <c r="FD1236" s="15" t="inlineStr">
        <is>
          <t>VFPF-31</t>
        </is>
      </c>
      <c r="FE1236" s="15" t="inlineStr">
        <is>
          <t>MDN35025020053</t>
        </is>
      </c>
      <c r="FF1236" s="15" t="inlineStr">
        <is>
          <t>LDYECS310S0043985</t>
        </is>
      </c>
      <c r="FG1236" s="15" t="inlineStr">
        <is>
          <t>Zhong Tong</t>
        </is>
      </c>
      <c r="FH1236" s="15" t="inlineStr">
        <is>
          <t>Lck6122evg</t>
        </is>
      </c>
      <c r="FI1236" s="15" t="inlineStr">
        <is>
          <t>ZHONGTONG</t>
        </is>
      </c>
      <c r="FJ1236" s="15" t="inlineStr">
        <is>
          <t>LCK6122EVG</t>
        </is>
      </c>
      <c r="FK1236" s="15" t="n">
        <v>2025</v>
      </c>
      <c r="FL1236" s="15" t="inlineStr">
        <is>
          <t>B</t>
        </is>
      </c>
      <c r="FM1236" s="15" t="inlineStr">
        <is>
          <t>CERRILLOS</t>
        </is>
      </c>
      <c r="FN1236" s="15" t="inlineStr">
        <is>
          <t>Calle Uno 7371</t>
        </is>
      </c>
      <c r="FO1236" s="15" t="inlineStr">
        <is>
          <t>Cerrillos</t>
        </is>
      </c>
      <c r="FP1236" t="inlineStr">
        <is>
          <t>B</t>
        </is>
      </c>
      <c r="FS1236" s="14" t="inlineStr">
        <is>
          <t>SFWZ-63</t>
        </is>
      </c>
      <c r="FT1236" t="inlineStr">
        <is>
          <t>SFWZ-63</t>
        </is>
      </c>
      <c r="FU1236" t="inlineStr">
        <is>
          <t>SFWZ-63</t>
        </is>
      </c>
      <c r="FV1236">
        <f>VLOOKUP(FU1236,FD:FL,9,0)</f>
        <v/>
      </c>
    </row>
    <row r="1237">
      <c r="FC1237" t="inlineStr">
        <is>
          <t>Diccionario 2</t>
        </is>
      </c>
      <c r="FD1237" s="15" t="inlineStr">
        <is>
          <t>VFPF-51</t>
        </is>
      </c>
      <c r="FE1237" s="15" t="inlineStr">
        <is>
          <t>MDN35025020080</t>
        </is>
      </c>
      <c r="FF1237" s="15" t="inlineStr">
        <is>
          <t>LDYECS314S0043990</t>
        </is>
      </c>
      <c r="FG1237" s="15" t="inlineStr">
        <is>
          <t>Zhong Tong</t>
        </is>
      </c>
      <c r="FH1237" s="15" t="inlineStr">
        <is>
          <t>Lck6122evg</t>
        </is>
      </c>
      <c r="FI1237" s="15" t="inlineStr">
        <is>
          <t>ZHONGTONG</t>
        </is>
      </c>
      <c r="FJ1237" s="15" t="inlineStr">
        <is>
          <t>LCK6122EVG</t>
        </is>
      </c>
      <c r="FK1237" s="15" t="n">
        <v>2025</v>
      </c>
      <c r="FL1237" s="15" t="inlineStr">
        <is>
          <t>B</t>
        </is>
      </c>
      <c r="FM1237" s="15" t="inlineStr">
        <is>
          <t>CERRILLOS</t>
        </is>
      </c>
      <c r="FN1237" s="15" t="inlineStr">
        <is>
          <t>Calle Uno 7371</t>
        </is>
      </c>
      <c r="FO1237" s="15" t="inlineStr">
        <is>
          <t>Cerrillos</t>
        </is>
      </c>
      <c r="FP1237" t="inlineStr">
        <is>
          <t>B</t>
        </is>
      </c>
      <c r="FS1237" s="14" t="inlineStr">
        <is>
          <t>SFWB-73</t>
        </is>
      </c>
      <c r="FT1237" t="inlineStr">
        <is>
          <t>SFWB-73</t>
        </is>
      </c>
      <c r="FU1237" t="inlineStr">
        <is>
          <t>SFWB-73</t>
        </is>
      </c>
      <c r="FV1237">
        <f>VLOOKUP(FU1237,FD:FL,9,0)</f>
        <v/>
      </c>
    </row>
    <row r="1238">
      <c r="FC1238" t="inlineStr">
        <is>
          <t>Diccionario 2</t>
        </is>
      </c>
      <c r="FD1238" s="15" t="inlineStr">
        <is>
          <t>VFPF-54</t>
        </is>
      </c>
      <c r="FE1238" s="15" t="inlineStr">
        <is>
          <t>MDN35025020046</t>
        </is>
      </c>
      <c r="FF1238" s="15" t="inlineStr">
        <is>
          <t>LDYECS311S0043994</t>
        </is>
      </c>
      <c r="FG1238" s="15" t="inlineStr">
        <is>
          <t>Zhong Tong</t>
        </is>
      </c>
      <c r="FH1238" s="15" t="inlineStr">
        <is>
          <t>Lck6122evg</t>
        </is>
      </c>
      <c r="FI1238" s="15" t="inlineStr">
        <is>
          <t>ZHONGTONG</t>
        </is>
      </c>
      <c r="FJ1238" s="15" t="inlineStr">
        <is>
          <t>LCK6122EVG</t>
        </is>
      </c>
      <c r="FK1238" s="15" t="n">
        <v>2025</v>
      </c>
      <c r="FL1238" s="15" t="inlineStr">
        <is>
          <t>B</t>
        </is>
      </c>
      <c r="FM1238" s="15" t="inlineStr">
        <is>
          <t>PIE ANDINO</t>
        </is>
      </c>
      <c r="FN1238" s="15" t="inlineStr">
        <is>
          <t>Pie Andino 31 (Pie Andino 383)</t>
        </is>
      </c>
      <c r="FO1238" s="15" t="inlineStr">
        <is>
          <t>Puente Alto</t>
        </is>
      </c>
      <c r="FP1238" t="inlineStr">
        <is>
          <t>B</t>
        </is>
      </c>
      <c r="FS1238" s="14" t="inlineStr">
        <is>
          <t>VJKG-16</t>
        </is>
      </c>
      <c r="FT1238" t="inlineStr">
        <is>
          <t>VJKG-16</t>
        </is>
      </c>
      <c r="FU1238" t="inlineStr">
        <is>
          <t>VJKG-16</t>
        </is>
      </c>
      <c r="FV1238">
        <f>VLOOKUP(FU1238,FD:FL,9,0)</f>
        <v/>
      </c>
    </row>
    <row r="1239">
      <c r="FC1239" t="inlineStr">
        <is>
          <t>Diccionario 2</t>
        </is>
      </c>
      <c r="FD1239" s="15" t="inlineStr">
        <is>
          <t>VFPF-61</t>
        </is>
      </c>
      <c r="FE1239" s="15" t="inlineStr">
        <is>
          <t>MDN35025020061</t>
        </is>
      </c>
      <c r="FF1239" s="15" t="inlineStr">
        <is>
          <t>LDYECS318S0043992</t>
        </is>
      </c>
      <c r="FG1239" s="15" t="inlineStr">
        <is>
          <t>Zhong Tong</t>
        </is>
      </c>
      <c r="FH1239" s="15" t="inlineStr">
        <is>
          <t>Lck6122evg</t>
        </is>
      </c>
      <c r="FI1239" s="15" t="inlineStr">
        <is>
          <t>ZHONGTONG</t>
        </is>
      </c>
      <c r="FJ1239" s="15" t="inlineStr">
        <is>
          <t>LCK6122EVG</t>
        </is>
      </c>
      <c r="FK1239" s="15" t="n">
        <v>2025</v>
      </c>
      <c r="FL1239" s="15" t="inlineStr">
        <is>
          <t>B</t>
        </is>
      </c>
      <c r="FM1239" s="15" t="inlineStr">
        <is>
          <t>SAN ALFONSO</t>
        </is>
      </c>
      <c r="FN1239" s="15" t="inlineStr">
        <is>
          <t>San Alfonso 2141 (Ramón Subercaseaux 3060)</t>
        </is>
      </c>
      <c r="FO1239" s="15" t="inlineStr">
        <is>
          <t>Estacion Central</t>
        </is>
      </c>
      <c r="FP1239" t="inlineStr">
        <is>
          <t>B</t>
        </is>
      </c>
      <c r="FS1239" s="14" t="inlineStr">
        <is>
          <t>VJXC-53</t>
        </is>
      </c>
      <c r="FT1239" t="inlineStr">
        <is>
          <t>VJXC-53</t>
        </is>
      </c>
      <c r="FU1239" t="inlineStr">
        <is>
          <t>VJXC-53</t>
        </is>
      </c>
      <c r="FV1239">
        <f>VLOOKUP(FU1239,FD:FL,9,0)</f>
        <v/>
      </c>
    </row>
    <row r="1240">
      <c r="FC1240" t="inlineStr">
        <is>
          <t>Diccionario 2</t>
        </is>
      </c>
      <c r="FD1240" s="15" t="inlineStr">
        <is>
          <t>VFPG-48</t>
        </is>
      </c>
      <c r="FE1240" s="15" t="inlineStr">
        <is>
          <t>MDN35025020044</t>
        </is>
      </c>
      <c r="FF1240" s="15" t="inlineStr">
        <is>
          <t>LDYECS31XS0044058</t>
        </is>
      </c>
      <c r="FG1240" s="15" t="inlineStr">
        <is>
          <t>Zhong Tong</t>
        </is>
      </c>
      <c r="FH1240" s="15" t="inlineStr">
        <is>
          <t>Lck6122evg</t>
        </is>
      </c>
      <c r="FI1240" s="15" t="inlineStr">
        <is>
          <t>ZHONGTONG</t>
        </is>
      </c>
      <c r="FJ1240" s="15" t="inlineStr">
        <is>
          <t>LCK6122EVG</t>
        </is>
      </c>
      <c r="FK1240" s="15" t="n">
        <v>2025</v>
      </c>
      <c r="FL1240" s="15" t="inlineStr">
        <is>
          <t>B</t>
        </is>
      </c>
      <c r="FM1240" s="15" t="inlineStr">
        <is>
          <t>CERRILLOS</t>
        </is>
      </c>
      <c r="FN1240" s="15" t="inlineStr">
        <is>
          <t>Calle Uno 7371</t>
        </is>
      </c>
      <c r="FO1240" s="15" t="inlineStr">
        <is>
          <t>Cerrillos</t>
        </is>
      </c>
      <c r="FP1240" t="inlineStr">
        <is>
          <t>B</t>
        </is>
      </c>
      <c r="FS1240" s="14" t="inlineStr">
        <is>
          <t>VJKX-18</t>
        </is>
      </c>
      <c r="FT1240" t="inlineStr">
        <is>
          <t>VJKX-18</t>
        </is>
      </c>
      <c r="FU1240" t="inlineStr">
        <is>
          <t>VJKX-18</t>
        </is>
      </c>
      <c r="FV1240">
        <f>VLOOKUP(FU1240,FD:FL,9,0)</f>
        <v/>
      </c>
    </row>
    <row r="1241">
      <c r="FC1241" t="inlineStr">
        <is>
          <t>Diccionario 2</t>
        </is>
      </c>
      <c r="FD1241" s="15" t="inlineStr">
        <is>
          <t>VFPG-58</t>
        </is>
      </c>
      <c r="FE1241" s="15" t="inlineStr">
        <is>
          <t>MDN35025020113</t>
        </is>
      </c>
      <c r="FF1241" s="15" t="inlineStr">
        <is>
          <t>LDYECS318S0044012</t>
        </is>
      </c>
      <c r="FG1241" s="15" t="inlineStr">
        <is>
          <t>Zhong Tong</t>
        </is>
      </c>
      <c r="FH1241" s="15" t="inlineStr">
        <is>
          <t>Lck6122evg</t>
        </is>
      </c>
      <c r="FI1241" s="15" t="inlineStr">
        <is>
          <t>ZHONGTONG</t>
        </is>
      </c>
      <c r="FJ1241" s="15" t="inlineStr">
        <is>
          <t>LCK6122EVG</t>
        </is>
      </c>
      <c r="FK1241" s="15" t="n">
        <v>2025</v>
      </c>
      <c r="FL1241" s="15" t="inlineStr">
        <is>
          <t>B</t>
        </is>
      </c>
      <c r="FM1241" s="15" t="inlineStr">
        <is>
          <t>CERRILLOS</t>
        </is>
      </c>
      <c r="FN1241" s="15" t="inlineStr">
        <is>
          <t>Calle Uno 7371</t>
        </is>
      </c>
      <c r="FO1241" s="15" t="inlineStr">
        <is>
          <t>Cerrillos</t>
        </is>
      </c>
      <c r="FP1241" t="inlineStr">
        <is>
          <t>B</t>
        </is>
      </c>
      <c r="FS1241" s="14" t="inlineStr">
        <is>
          <t>VJKT-63</t>
        </is>
      </c>
      <c r="FT1241" t="inlineStr">
        <is>
          <t>VJKT-63</t>
        </is>
      </c>
      <c r="FU1241" t="inlineStr">
        <is>
          <t>VJKT-63</t>
        </is>
      </c>
      <c r="FV1241">
        <f>VLOOKUP(FU1241,FD:FL,9,0)</f>
        <v/>
      </c>
    </row>
    <row r="1242">
      <c r="FC1242" t="inlineStr">
        <is>
          <t>Diccionario 2</t>
        </is>
      </c>
      <c r="FD1242" s="15" t="inlineStr">
        <is>
          <t>VFPG-91</t>
        </is>
      </c>
      <c r="FE1242" s="15" t="inlineStr">
        <is>
          <t>MDN35025020051</t>
        </is>
      </c>
      <c r="FF1242" s="15" t="inlineStr">
        <is>
          <t>LDYECS310S0044019</t>
        </is>
      </c>
      <c r="FG1242" s="15" t="inlineStr">
        <is>
          <t>Zhong Tong</t>
        </is>
      </c>
      <c r="FH1242" s="15" t="inlineStr">
        <is>
          <t>Lck6122evg</t>
        </is>
      </c>
      <c r="FI1242" s="15" t="inlineStr">
        <is>
          <t>ZHONGTONG</t>
        </is>
      </c>
      <c r="FJ1242" s="15" t="inlineStr">
        <is>
          <t>LCK6122EVG</t>
        </is>
      </c>
      <c r="FK1242" s="15" t="n">
        <v>2025</v>
      </c>
      <c r="FL1242" s="15" t="inlineStr">
        <is>
          <t>B</t>
        </is>
      </c>
      <c r="FM1242" s="15" t="inlineStr">
        <is>
          <t>PIE ANDINO</t>
        </is>
      </c>
      <c r="FN1242" s="15" t="inlineStr">
        <is>
          <t>Pie Andino 31 (Pie Andino 383)</t>
        </is>
      </c>
      <c r="FO1242" s="15" t="inlineStr">
        <is>
          <t>Puente Alto</t>
        </is>
      </c>
      <c r="FP1242" t="inlineStr">
        <is>
          <t>B</t>
        </is>
      </c>
      <c r="FS1242" s="14" t="inlineStr">
        <is>
          <t>VJKD-94</t>
        </is>
      </c>
      <c r="FT1242" t="inlineStr">
        <is>
          <t>VJKD-94</t>
        </is>
      </c>
      <c r="FU1242" t="inlineStr">
        <is>
          <t>VJKD-94</t>
        </is>
      </c>
      <c r="FV1242">
        <f>VLOOKUP(FU1242,FD:FL,9,0)</f>
        <v/>
      </c>
    </row>
    <row r="1243">
      <c r="FC1243" t="inlineStr">
        <is>
          <t>Diccionario 2</t>
        </is>
      </c>
      <c r="FD1243" s="15" t="inlineStr">
        <is>
          <t>VFPH-21</t>
        </is>
      </c>
      <c r="FE1243" s="15" t="inlineStr">
        <is>
          <t>MDN35025020130</t>
        </is>
      </c>
      <c r="FF1243" s="15" t="inlineStr">
        <is>
          <t>LDYECS319S0044021</t>
        </is>
      </c>
      <c r="FG1243" s="15" t="inlineStr">
        <is>
          <t>Zhong Tong</t>
        </is>
      </c>
      <c r="FH1243" s="15" t="inlineStr">
        <is>
          <t>Lck6122evg</t>
        </is>
      </c>
      <c r="FI1243" s="15" t="inlineStr">
        <is>
          <t>ZHONGTONG</t>
        </is>
      </c>
      <c r="FJ1243" s="15" t="inlineStr">
        <is>
          <t>LCK6122EVG</t>
        </is>
      </c>
      <c r="FK1243" s="15" t="n">
        <v>2025</v>
      </c>
      <c r="FL1243" s="15" t="inlineStr">
        <is>
          <t>B</t>
        </is>
      </c>
      <c r="FM1243" s="15" t="inlineStr">
        <is>
          <t>PIE ANDINO</t>
        </is>
      </c>
      <c r="FN1243" s="15" t="inlineStr">
        <is>
          <t>Pie Andino 31 (Pie Andino 383)</t>
        </is>
      </c>
      <c r="FO1243" s="15" t="inlineStr">
        <is>
          <t>Puente Alto</t>
        </is>
      </c>
      <c r="FP1243" t="inlineStr">
        <is>
          <t>B</t>
        </is>
      </c>
      <c r="FS1243" s="14" t="inlineStr">
        <is>
          <t>SFWB-31</t>
        </is>
      </c>
      <c r="FT1243" t="inlineStr">
        <is>
          <t>SFWB-31</t>
        </is>
      </c>
      <c r="FU1243" t="inlineStr">
        <is>
          <t>SFWB-31</t>
        </is>
      </c>
      <c r="FV1243">
        <f>VLOOKUP(FU1243,FD:FL,9,0)</f>
        <v/>
      </c>
    </row>
    <row r="1244">
      <c r="FC1244" t="inlineStr">
        <is>
          <t>Diccionario 2</t>
        </is>
      </c>
      <c r="FD1244" s="15" t="inlineStr">
        <is>
          <t>VFPH-35</t>
        </is>
      </c>
      <c r="FE1244" s="15" t="inlineStr">
        <is>
          <t>MDN35025020025</t>
        </is>
      </c>
      <c r="FF1244" s="15" t="inlineStr">
        <is>
          <t>LDYECS313S0044001</t>
        </is>
      </c>
      <c r="FG1244" s="15" t="inlineStr">
        <is>
          <t>Zhong Tong</t>
        </is>
      </c>
      <c r="FH1244" s="15" t="inlineStr">
        <is>
          <t>Lck6122evg</t>
        </is>
      </c>
      <c r="FI1244" s="15" t="inlineStr">
        <is>
          <t>ZHONGTONG</t>
        </is>
      </c>
      <c r="FJ1244" s="15" t="inlineStr">
        <is>
          <t>LCK6122EVG</t>
        </is>
      </c>
      <c r="FK1244" s="15" t="n">
        <v>2025</v>
      </c>
      <c r="FL1244" s="15" t="inlineStr">
        <is>
          <t>B</t>
        </is>
      </c>
      <c r="FM1244" s="15" t="inlineStr">
        <is>
          <t>CERRILLOS</t>
        </is>
      </c>
      <c r="FN1244" s="15" t="inlineStr">
        <is>
          <t>Calle Uno 7371</t>
        </is>
      </c>
      <c r="FO1244" s="15" t="inlineStr">
        <is>
          <t>Cerrillos</t>
        </is>
      </c>
      <c r="FP1244" t="inlineStr">
        <is>
          <t>B</t>
        </is>
      </c>
      <c r="FS1244" s="14" t="inlineStr">
        <is>
          <t>SFWB-84</t>
        </is>
      </c>
      <c r="FT1244" t="inlineStr">
        <is>
          <t>SFWB-84</t>
        </is>
      </c>
      <c r="FU1244" t="inlineStr">
        <is>
          <t>SFWB-84</t>
        </is>
      </c>
      <c r="FV1244">
        <f>VLOOKUP(FU1244,FD:FL,9,0)</f>
        <v/>
      </c>
    </row>
    <row r="1245">
      <c r="FC1245" t="inlineStr">
        <is>
          <t>Diccionario 2</t>
        </is>
      </c>
      <c r="FD1245" s="15" t="inlineStr">
        <is>
          <t>VFPH-51</t>
        </is>
      </c>
      <c r="FE1245" s="15" t="inlineStr">
        <is>
          <t>MDN35025020054</t>
        </is>
      </c>
      <c r="FF1245" s="15" t="inlineStr">
        <is>
          <t>LDYECS311S0044000</t>
        </is>
      </c>
      <c r="FG1245" s="15" t="inlineStr">
        <is>
          <t>Zhong Tong</t>
        </is>
      </c>
      <c r="FH1245" s="15" t="inlineStr">
        <is>
          <t>Lck6122evg</t>
        </is>
      </c>
      <c r="FI1245" s="15" t="inlineStr">
        <is>
          <t>ZHONGTONG</t>
        </is>
      </c>
      <c r="FJ1245" s="15" t="inlineStr">
        <is>
          <t>LCK6122EVG</t>
        </is>
      </c>
      <c r="FK1245" s="15" t="n">
        <v>2025</v>
      </c>
      <c r="FL1245" s="15" t="inlineStr">
        <is>
          <t>B</t>
        </is>
      </c>
      <c r="FM1245" s="15" t="inlineStr">
        <is>
          <t>PIE ANDINO</t>
        </is>
      </c>
      <c r="FN1245" s="15" t="inlineStr">
        <is>
          <t>Pie Andino 31 (Pie Andino 383)</t>
        </is>
      </c>
      <c r="FO1245" s="15" t="inlineStr">
        <is>
          <t>Puente Alto</t>
        </is>
      </c>
      <c r="FP1245" t="inlineStr">
        <is>
          <t>B</t>
        </is>
      </c>
      <c r="FS1245" s="14" t="inlineStr">
        <is>
          <t>VJKF-55</t>
        </is>
      </c>
      <c r="FT1245" t="inlineStr">
        <is>
          <t>VJKF-55</t>
        </is>
      </c>
      <c r="FU1245" t="inlineStr">
        <is>
          <t>VJKF-55</t>
        </is>
      </c>
      <c r="FV1245">
        <f>VLOOKUP(FU1245,FD:FL,9,0)</f>
        <v/>
      </c>
    </row>
    <row r="1246">
      <c r="FC1246" t="inlineStr">
        <is>
          <t>Diccionario 2</t>
        </is>
      </c>
      <c r="FD1246" s="15" t="inlineStr">
        <is>
          <t>VFPH-66</t>
        </is>
      </c>
      <c r="FE1246" s="15" t="inlineStr">
        <is>
          <t>MDN35025020154</t>
        </is>
      </c>
      <c r="FF1246" s="15" t="inlineStr">
        <is>
          <t>LDYECS315S0044002</t>
        </is>
      </c>
      <c r="FG1246" s="15" t="inlineStr">
        <is>
          <t>Zhong Tong</t>
        </is>
      </c>
      <c r="FH1246" s="15" t="inlineStr">
        <is>
          <t>Lck6122evg</t>
        </is>
      </c>
      <c r="FI1246" s="15" t="inlineStr">
        <is>
          <t>ZHONGTONG</t>
        </is>
      </c>
      <c r="FJ1246" s="15" t="inlineStr">
        <is>
          <t>LCK6122EVG</t>
        </is>
      </c>
      <c r="FK1246" s="15" t="n">
        <v>2025</v>
      </c>
      <c r="FL1246" s="15" t="inlineStr">
        <is>
          <t>B</t>
        </is>
      </c>
      <c r="FM1246" s="15" t="inlineStr">
        <is>
          <t>CERRILLOS</t>
        </is>
      </c>
      <c r="FN1246" s="15" t="inlineStr">
        <is>
          <t>Calle Uno 7371</t>
        </is>
      </c>
      <c r="FO1246" s="15" t="inlineStr">
        <is>
          <t>Cerrillos</t>
        </is>
      </c>
      <c r="FP1246" t="inlineStr">
        <is>
          <t>B</t>
        </is>
      </c>
      <c r="FS1246" s="14" t="inlineStr">
        <is>
          <t>SFWZ-48</t>
        </is>
      </c>
      <c r="FT1246" t="inlineStr">
        <is>
          <t>SFWZ-48</t>
        </is>
      </c>
      <c r="FU1246" t="inlineStr">
        <is>
          <t>SFWZ-48</t>
        </is>
      </c>
      <c r="FV1246">
        <f>VLOOKUP(FU1246,FD:FL,9,0)</f>
        <v/>
      </c>
    </row>
    <row r="1247">
      <c r="FC1247" t="inlineStr">
        <is>
          <t>Diccionario 2</t>
        </is>
      </c>
      <c r="FD1247" s="15" t="inlineStr">
        <is>
          <t>VFPH-79</t>
        </is>
      </c>
      <c r="FE1247" s="15" t="inlineStr">
        <is>
          <t>MDN35025020121</t>
        </is>
      </c>
      <c r="FF1247" s="15" t="inlineStr">
        <is>
          <t>LDYECS314S0044007</t>
        </is>
      </c>
      <c r="FG1247" s="15" t="inlineStr">
        <is>
          <t>Zhong Tong</t>
        </is>
      </c>
      <c r="FH1247" s="15" t="inlineStr">
        <is>
          <t>Lck6122evg</t>
        </is>
      </c>
      <c r="FI1247" s="15" t="inlineStr">
        <is>
          <t>ZHONGTONG</t>
        </is>
      </c>
      <c r="FJ1247" s="15" t="inlineStr">
        <is>
          <t>LCK6122EVG</t>
        </is>
      </c>
      <c r="FK1247" s="15" t="n">
        <v>2025</v>
      </c>
      <c r="FL1247" s="15" t="inlineStr">
        <is>
          <t>B</t>
        </is>
      </c>
      <c r="FM1247" s="15" t="inlineStr">
        <is>
          <t>PIE ANDINO</t>
        </is>
      </c>
      <c r="FN1247" s="15" t="inlineStr">
        <is>
          <t>Pie Andino 31 (Pie Andino 383)</t>
        </is>
      </c>
      <c r="FO1247" s="15" t="inlineStr">
        <is>
          <t>Puente Alto</t>
        </is>
      </c>
      <c r="FP1247" t="inlineStr">
        <is>
          <t>B</t>
        </is>
      </c>
      <c r="FS1247" s="14" t="inlineStr">
        <is>
          <t>SFWB-58</t>
        </is>
      </c>
      <c r="FT1247" t="inlineStr">
        <is>
          <t>SFWB-58</t>
        </is>
      </c>
      <c r="FU1247" t="inlineStr">
        <is>
          <t>SFWB-58</t>
        </is>
      </c>
      <c r="FV1247">
        <f>VLOOKUP(FU1247,FD:FL,9,0)</f>
        <v/>
      </c>
    </row>
    <row r="1248">
      <c r="FC1248" t="inlineStr">
        <is>
          <t>Diccionario 2</t>
        </is>
      </c>
      <c r="FD1248" s="15" t="inlineStr">
        <is>
          <t>VFPH-81</t>
        </is>
      </c>
      <c r="FE1248" s="15" t="inlineStr">
        <is>
          <t>MDN35025020096</t>
        </is>
      </c>
      <c r="FF1248" s="15" t="inlineStr">
        <is>
          <t>LDYECS318S0044060</t>
        </is>
      </c>
      <c r="FG1248" s="15" t="inlineStr">
        <is>
          <t>Zhong Tong</t>
        </is>
      </c>
      <c r="FH1248" s="15" t="inlineStr">
        <is>
          <t>Lck6122evg</t>
        </is>
      </c>
      <c r="FI1248" s="15" t="inlineStr">
        <is>
          <t>ZHONGTONG</t>
        </is>
      </c>
      <c r="FJ1248" s="15" t="inlineStr">
        <is>
          <t>LCK6122EVG</t>
        </is>
      </c>
      <c r="FK1248" s="15" t="n">
        <v>2025</v>
      </c>
      <c r="FL1248" s="15" t="inlineStr">
        <is>
          <t>B</t>
        </is>
      </c>
      <c r="FM1248" s="15" t="inlineStr">
        <is>
          <t>PIE ANDINO</t>
        </is>
      </c>
      <c r="FN1248" s="15" t="inlineStr">
        <is>
          <t>Pie Andino 31 (Pie Andino 383)</t>
        </is>
      </c>
      <c r="FO1248" s="15" t="inlineStr">
        <is>
          <t>Puente Alto</t>
        </is>
      </c>
      <c r="FP1248" t="inlineStr">
        <is>
          <t>B</t>
        </is>
      </c>
      <c r="FS1248" s="14" t="inlineStr">
        <is>
          <t>VJWZ-95</t>
        </is>
      </c>
      <c r="FT1248" t="inlineStr">
        <is>
          <t>VJWZ-95</t>
        </is>
      </c>
      <c r="FU1248" t="inlineStr">
        <is>
          <t>VJWZ-95</t>
        </is>
      </c>
      <c r="FV1248">
        <f>VLOOKUP(FU1248,FD:FL,9,0)</f>
        <v/>
      </c>
    </row>
    <row r="1249">
      <c r="FC1249" t="inlineStr">
        <is>
          <t>Diccionario 2</t>
        </is>
      </c>
      <c r="FD1249" s="15" t="inlineStr">
        <is>
          <t>VFPH-91</t>
        </is>
      </c>
      <c r="FE1249" s="15" t="inlineStr">
        <is>
          <t>MDN35025020045</t>
        </is>
      </c>
      <c r="FF1249" s="15" t="inlineStr">
        <is>
          <t>LDYECS312S0044023</t>
        </is>
      </c>
      <c r="FG1249" s="15" t="inlineStr">
        <is>
          <t>Zhong Tong</t>
        </is>
      </c>
      <c r="FH1249" s="15" t="inlineStr">
        <is>
          <t>Lck6122evg</t>
        </is>
      </c>
      <c r="FI1249" s="15" t="inlineStr">
        <is>
          <t>ZHONGTONG</t>
        </is>
      </c>
      <c r="FJ1249" s="15" t="inlineStr">
        <is>
          <t>LCK6122EVG</t>
        </is>
      </c>
      <c r="FK1249" s="15" t="n">
        <v>2025</v>
      </c>
      <c r="FL1249" s="15" t="inlineStr">
        <is>
          <t>B</t>
        </is>
      </c>
      <c r="FM1249" s="15" t="inlineStr">
        <is>
          <t>PIE ANDINO</t>
        </is>
      </c>
      <c r="FN1249" s="15" t="inlineStr">
        <is>
          <t>Pie Andino 31 (Pie Andino 383)</t>
        </is>
      </c>
      <c r="FO1249" s="15" t="inlineStr">
        <is>
          <t>Puente Alto</t>
        </is>
      </c>
      <c r="FP1249" t="inlineStr">
        <is>
          <t>B</t>
        </is>
      </c>
      <c r="FS1249" s="14" t="inlineStr">
        <is>
          <t>SFVZ-80</t>
        </is>
      </c>
      <c r="FT1249" t="inlineStr">
        <is>
          <t>SFVZ-80</t>
        </is>
      </c>
      <c r="FU1249" t="inlineStr">
        <is>
          <t>SFVZ-80</t>
        </is>
      </c>
      <c r="FV1249">
        <f>VLOOKUP(FU1249,FD:FL,9,0)</f>
        <v/>
      </c>
    </row>
    <row r="1250">
      <c r="FC1250" t="inlineStr">
        <is>
          <t>Diccionario 2</t>
        </is>
      </c>
      <c r="FD1250" s="15" t="inlineStr">
        <is>
          <t>VFPH-98</t>
        </is>
      </c>
      <c r="FE1250" s="15" t="inlineStr">
        <is>
          <t>MDN35025020128</t>
        </is>
      </c>
      <c r="FF1250" s="15" t="inlineStr">
        <is>
          <t>LDYECS31XS0044030</t>
        </is>
      </c>
      <c r="FG1250" s="15" t="inlineStr">
        <is>
          <t>Zhong Tong</t>
        </is>
      </c>
      <c r="FH1250" s="15" t="inlineStr">
        <is>
          <t>Lck6122evg</t>
        </is>
      </c>
      <c r="FI1250" s="15" t="inlineStr">
        <is>
          <t>ZHONGTONG</t>
        </is>
      </c>
      <c r="FJ1250" s="15" t="inlineStr">
        <is>
          <t>LCK6122EVG</t>
        </is>
      </c>
      <c r="FK1250" s="15" t="n">
        <v>2025</v>
      </c>
      <c r="FL1250" s="15" t="inlineStr">
        <is>
          <t>B</t>
        </is>
      </c>
      <c r="FM1250" s="15" t="inlineStr">
        <is>
          <t>SAN ALFONSO</t>
        </is>
      </c>
      <c r="FN1250" s="15" t="inlineStr">
        <is>
          <t>San Alfonso 2141 (Ramón Subercaseaux 3060)</t>
        </is>
      </c>
      <c r="FO1250" s="15" t="inlineStr">
        <is>
          <t>Estacion Central</t>
        </is>
      </c>
      <c r="FP1250" t="inlineStr">
        <is>
          <t>B</t>
        </is>
      </c>
      <c r="FS1250" s="14" t="inlineStr">
        <is>
          <t>SFWZ-53</t>
        </is>
      </c>
      <c r="FT1250" t="inlineStr">
        <is>
          <t>SFWZ-53</t>
        </is>
      </c>
      <c r="FU1250" t="inlineStr">
        <is>
          <t>SFWZ-53</t>
        </is>
      </c>
      <c r="FV1250">
        <f>VLOOKUP(FU1250,FD:FL,9,0)</f>
        <v/>
      </c>
    </row>
    <row r="1251">
      <c r="FC1251" t="inlineStr">
        <is>
          <t>Diccionario 2</t>
        </is>
      </c>
      <c r="FD1251" s="15" t="inlineStr">
        <is>
          <t>VFPJ-11</t>
        </is>
      </c>
      <c r="FE1251" s="15" t="inlineStr">
        <is>
          <t>MDN35025010019</t>
        </is>
      </c>
      <c r="FF1251" s="15" t="inlineStr">
        <is>
          <t>LDYECS319S0044116</t>
        </is>
      </c>
      <c r="FG1251" s="15" t="inlineStr">
        <is>
          <t>Zhong Tong</t>
        </is>
      </c>
      <c r="FH1251" s="15" t="inlineStr">
        <is>
          <t>Lck6122evg</t>
        </is>
      </c>
      <c r="FI1251" s="15" t="inlineStr">
        <is>
          <t>ZHONGTONG</t>
        </is>
      </c>
      <c r="FJ1251" s="15" t="inlineStr">
        <is>
          <t>LCK6122EVG</t>
        </is>
      </c>
      <c r="FK1251" s="15" t="n">
        <v>2025</v>
      </c>
      <c r="FL1251" s="15" t="inlineStr">
        <is>
          <t>B</t>
        </is>
      </c>
      <c r="FM1251" s="15" t="inlineStr">
        <is>
          <t>CERRILLOS</t>
        </is>
      </c>
      <c r="FN1251" s="15" t="inlineStr">
        <is>
          <t>Calle Uno 7371</t>
        </is>
      </c>
      <c r="FO1251" s="15" t="inlineStr">
        <is>
          <t>Cerrillos</t>
        </is>
      </c>
      <c r="FP1251" t="inlineStr">
        <is>
          <t>B</t>
        </is>
      </c>
      <c r="FS1251" s="14" t="inlineStr">
        <is>
          <t>SFWZ-76</t>
        </is>
      </c>
      <c r="FT1251" t="inlineStr">
        <is>
          <t>SFWZ-76</t>
        </is>
      </c>
      <c r="FU1251" t="inlineStr">
        <is>
          <t>SFWZ-76</t>
        </is>
      </c>
      <c r="FV1251">
        <f>VLOOKUP(FU1251,FD:FL,9,0)</f>
        <v/>
      </c>
    </row>
    <row r="1252">
      <c r="FC1252" t="inlineStr">
        <is>
          <t>Diccionario 2</t>
        </is>
      </c>
      <c r="FD1252" s="15" t="inlineStr">
        <is>
          <t>VFPJ-25</t>
        </is>
      </c>
      <c r="FE1252" s="15" t="inlineStr">
        <is>
          <t>MDN35025020127</t>
        </is>
      </c>
      <c r="FF1252" s="15" t="inlineStr">
        <is>
          <t>LDYECS313S0044029</t>
        </is>
      </c>
      <c r="FG1252" s="15" t="inlineStr">
        <is>
          <t>Zhong Tong</t>
        </is>
      </c>
      <c r="FH1252" s="15" t="inlineStr">
        <is>
          <t>Lck6122evg</t>
        </is>
      </c>
      <c r="FI1252" s="15" t="inlineStr">
        <is>
          <t>ZHONGTONG</t>
        </is>
      </c>
      <c r="FJ1252" s="15" t="inlineStr">
        <is>
          <t>LCK6122EVG</t>
        </is>
      </c>
      <c r="FK1252" s="15" t="n">
        <v>2025</v>
      </c>
      <c r="FL1252" s="15" t="inlineStr">
        <is>
          <t>B</t>
        </is>
      </c>
      <c r="FM1252" s="15" t="inlineStr">
        <is>
          <t>PIE ANDINO</t>
        </is>
      </c>
      <c r="FN1252" s="15" t="inlineStr">
        <is>
          <t>Pie Andino 31 (Pie Andino 383)</t>
        </is>
      </c>
      <c r="FO1252" s="15" t="inlineStr">
        <is>
          <t>Puente Alto</t>
        </is>
      </c>
      <c r="FP1252" t="inlineStr">
        <is>
          <t>B</t>
        </is>
      </c>
      <c r="FS1252" s="14" t="inlineStr">
        <is>
          <t>SFWZ-29</t>
        </is>
      </c>
      <c r="FT1252" t="inlineStr">
        <is>
          <t>SFWZ-29</t>
        </is>
      </c>
      <c r="FU1252" t="inlineStr">
        <is>
          <t>SFWZ-29</t>
        </is>
      </c>
      <c r="FV1252">
        <f>VLOOKUP(FU1252,FD:FL,9,0)</f>
        <v/>
      </c>
    </row>
    <row r="1253">
      <c r="FC1253" t="inlineStr">
        <is>
          <t>Diccionario 2</t>
        </is>
      </c>
      <c r="FD1253" s="15" t="inlineStr">
        <is>
          <t>VFPJ-28</t>
        </is>
      </c>
      <c r="FE1253" s="15" t="inlineStr">
        <is>
          <t>MDN35025020123</t>
        </is>
      </c>
      <c r="FF1253" s="15" t="inlineStr">
        <is>
          <t>LDYECS314S0044010</t>
        </is>
      </c>
      <c r="FG1253" s="15" t="inlineStr">
        <is>
          <t>Zhong Tong</t>
        </is>
      </c>
      <c r="FH1253" s="15" t="inlineStr">
        <is>
          <t>Lck6122evg</t>
        </is>
      </c>
      <c r="FI1253" s="15" t="inlineStr">
        <is>
          <t>ZHONGTONG</t>
        </is>
      </c>
      <c r="FJ1253" s="15" t="inlineStr">
        <is>
          <t>LCK6122EVG</t>
        </is>
      </c>
      <c r="FK1253" s="15" t="n">
        <v>2025</v>
      </c>
      <c r="FL1253" s="15" t="inlineStr">
        <is>
          <t>B</t>
        </is>
      </c>
      <c r="FM1253" s="15" t="inlineStr">
        <is>
          <t>PIE ANDINO</t>
        </is>
      </c>
      <c r="FN1253" s="15" t="inlineStr">
        <is>
          <t>Pie Andino 31 (Pie Andino 383)</t>
        </is>
      </c>
      <c r="FO1253" s="15" t="inlineStr">
        <is>
          <t>Puente Alto</t>
        </is>
      </c>
      <c r="FP1253" t="inlineStr">
        <is>
          <t>B</t>
        </is>
      </c>
      <c r="FS1253" s="14" t="inlineStr">
        <is>
          <t>SFWB-16</t>
        </is>
      </c>
      <c r="FT1253" t="inlineStr">
        <is>
          <t>SFWB-16</t>
        </is>
      </c>
      <c r="FU1253" t="inlineStr">
        <is>
          <t>SFWB-16</t>
        </is>
      </c>
      <c r="FV1253">
        <f>VLOOKUP(FU1253,FD:FL,9,0)</f>
        <v/>
      </c>
    </row>
    <row r="1254">
      <c r="FC1254" t="inlineStr">
        <is>
          <t>Diccionario 2</t>
        </is>
      </c>
      <c r="FD1254" s="15" t="inlineStr">
        <is>
          <t>VFPJ-31</t>
        </is>
      </c>
      <c r="FE1254" s="15" t="inlineStr">
        <is>
          <t>MDN35025020070</t>
        </is>
      </c>
      <c r="FF1254" s="15" t="inlineStr">
        <is>
          <t>LDYECS313S0043995</t>
        </is>
      </c>
      <c r="FG1254" s="15" t="inlineStr">
        <is>
          <t>Zhong Tong</t>
        </is>
      </c>
      <c r="FH1254" s="15" t="inlineStr">
        <is>
          <t>Lck6122evg</t>
        </is>
      </c>
      <c r="FI1254" s="15" t="inlineStr">
        <is>
          <t>ZHONGTONG</t>
        </is>
      </c>
      <c r="FJ1254" s="15" t="inlineStr">
        <is>
          <t>LCK6122EVG</t>
        </is>
      </c>
      <c r="FK1254" s="15" t="n">
        <v>2025</v>
      </c>
      <c r="FL1254" s="15" t="inlineStr">
        <is>
          <t>B</t>
        </is>
      </c>
      <c r="FM1254" s="15" t="inlineStr">
        <is>
          <t>CERRILLOS</t>
        </is>
      </c>
      <c r="FN1254" s="15" t="inlineStr">
        <is>
          <t>Calle Uno 7371</t>
        </is>
      </c>
      <c r="FO1254" s="15" t="inlineStr">
        <is>
          <t>Cerrillos</t>
        </is>
      </c>
      <c r="FP1254" t="inlineStr">
        <is>
          <t>B</t>
        </is>
      </c>
      <c r="FS1254" s="14" t="inlineStr">
        <is>
          <t>SFWZ-66</t>
        </is>
      </c>
      <c r="FT1254" t="inlineStr">
        <is>
          <t>SFWZ-66</t>
        </is>
      </c>
      <c r="FU1254" t="inlineStr">
        <is>
          <t>SFWZ-66</t>
        </is>
      </c>
      <c r="FV1254">
        <f>VLOOKUP(FU1254,FD:FL,9,0)</f>
        <v/>
      </c>
    </row>
    <row r="1255">
      <c r="FC1255" t="inlineStr">
        <is>
          <t>Diccionario 2</t>
        </is>
      </c>
      <c r="FD1255" s="15" t="inlineStr">
        <is>
          <t>VFPJ-51</t>
        </is>
      </c>
      <c r="FE1255" s="15" t="inlineStr">
        <is>
          <t>MDN35025020109</t>
        </is>
      </c>
      <c r="FF1255" s="15" t="inlineStr">
        <is>
          <t>LDYECS314S0044024</t>
        </is>
      </c>
      <c r="FG1255" s="15" t="inlineStr">
        <is>
          <t>Zhong Tong</t>
        </is>
      </c>
      <c r="FH1255" s="15" t="inlineStr">
        <is>
          <t>Lck6122evg</t>
        </is>
      </c>
      <c r="FI1255" s="15" t="inlineStr">
        <is>
          <t>ZHONGTONG</t>
        </is>
      </c>
      <c r="FJ1255" s="15" t="inlineStr">
        <is>
          <t>LCK6122EVG</t>
        </is>
      </c>
      <c r="FK1255" s="15" t="n">
        <v>2025</v>
      </c>
      <c r="FL1255" s="15" t="inlineStr">
        <is>
          <t>B</t>
        </is>
      </c>
      <c r="FM1255" s="15" t="inlineStr">
        <is>
          <t>PIE ANDINO</t>
        </is>
      </c>
      <c r="FN1255" s="15" t="inlineStr">
        <is>
          <t>Pie Andino 31 (Pie Andino 383)</t>
        </is>
      </c>
      <c r="FO1255" s="15" t="inlineStr">
        <is>
          <t>Puente Alto</t>
        </is>
      </c>
      <c r="FP1255" t="inlineStr">
        <is>
          <t>B</t>
        </is>
      </c>
      <c r="FS1255" s="14" t="inlineStr">
        <is>
          <t>SFWZ-27</t>
        </is>
      </c>
      <c r="FT1255" t="inlineStr">
        <is>
          <t>SFWZ-27</t>
        </is>
      </c>
      <c r="FU1255" t="inlineStr">
        <is>
          <t>SFWZ-27</t>
        </is>
      </c>
      <c r="FV1255">
        <f>VLOOKUP(FU1255,FD:FL,9,0)</f>
        <v/>
      </c>
    </row>
    <row r="1256">
      <c r="FC1256" t="inlineStr">
        <is>
          <t>Diccionario 2</t>
        </is>
      </c>
      <c r="FD1256" s="15" t="inlineStr">
        <is>
          <t>VFPJ-53</t>
        </is>
      </c>
      <c r="FE1256" s="15" t="inlineStr">
        <is>
          <t>MDN35025020024</t>
        </is>
      </c>
      <c r="FF1256" s="15" t="inlineStr">
        <is>
          <t>LDYECS318S0044026</t>
        </is>
      </c>
      <c r="FG1256" s="15" t="inlineStr">
        <is>
          <t>Zhong Tong</t>
        </is>
      </c>
      <c r="FH1256" s="15" t="inlineStr">
        <is>
          <t>Lck6122evg</t>
        </is>
      </c>
      <c r="FI1256" s="15" t="inlineStr">
        <is>
          <t>ZHONGTONG</t>
        </is>
      </c>
      <c r="FJ1256" s="15" t="inlineStr">
        <is>
          <t>LCK6122EVG</t>
        </is>
      </c>
      <c r="FK1256" s="15" t="n">
        <v>2025</v>
      </c>
      <c r="FL1256" s="15" t="inlineStr">
        <is>
          <t>B</t>
        </is>
      </c>
      <c r="FM1256" s="15" t="inlineStr">
        <is>
          <t>CERRILLOS</t>
        </is>
      </c>
      <c r="FN1256" s="15" t="inlineStr">
        <is>
          <t>Calle Uno 7371</t>
        </is>
      </c>
      <c r="FO1256" s="15" t="inlineStr">
        <is>
          <t>Cerrillos</t>
        </is>
      </c>
      <c r="FP1256" t="inlineStr">
        <is>
          <t>B</t>
        </is>
      </c>
      <c r="FS1256" s="14" t="inlineStr">
        <is>
          <t>SFWZ-78</t>
        </is>
      </c>
      <c r="FT1256" t="inlineStr">
        <is>
          <t>SFWZ-78</t>
        </is>
      </c>
      <c r="FU1256" t="inlineStr">
        <is>
          <t>SFWZ-78</t>
        </is>
      </c>
      <c r="FV1256">
        <f>VLOOKUP(FU1256,FD:FL,9,0)</f>
        <v/>
      </c>
    </row>
    <row r="1257">
      <c r="FC1257" t="inlineStr">
        <is>
          <t>Diccionario 2</t>
        </is>
      </c>
      <c r="FD1257" s="15" t="inlineStr">
        <is>
          <t>VFPJ-61</t>
        </is>
      </c>
      <c r="FE1257" s="15" t="inlineStr">
        <is>
          <t>MDN35025020049</t>
        </is>
      </c>
      <c r="FF1257" s="15" t="inlineStr">
        <is>
          <t>LDYECS310S0044005</t>
        </is>
      </c>
      <c r="FG1257" s="15" t="inlineStr">
        <is>
          <t>Zhong Tong</t>
        </is>
      </c>
      <c r="FH1257" s="15" t="inlineStr">
        <is>
          <t>Lck6122evg</t>
        </is>
      </c>
      <c r="FI1257" s="15" t="inlineStr">
        <is>
          <t>ZHONGTONG</t>
        </is>
      </c>
      <c r="FJ1257" s="15" t="inlineStr">
        <is>
          <t>LCK6122EVG</t>
        </is>
      </c>
      <c r="FK1257" s="15" t="n">
        <v>2025</v>
      </c>
      <c r="FL1257" s="15" t="inlineStr">
        <is>
          <t>B</t>
        </is>
      </c>
      <c r="FM1257" s="15" t="inlineStr">
        <is>
          <t>PIE ANDINO</t>
        </is>
      </c>
      <c r="FN1257" s="15" t="inlineStr">
        <is>
          <t>Pie Andino 31 (Pie Andino 383)</t>
        </is>
      </c>
      <c r="FO1257" s="15" t="inlineStr">
        <is>
          <t>Puente Alto</t>
        </is>
      </c>
      <c r="FP1257" t="inlineStr">
        <is>
          <t>B</t>
        </is>
      </c>
      <c r="FS1257" s="14" t="inlineStr">
        <is>
          <t>VJKT-45</t>
        </is>
      </c>
      <c r="FT1257" t="inlineStr">
        <is>
          <t>VJKT-45</t>
        </is>
      </c>
      <c r="FU1257" t="inlineStr">
        <is>
          <t>VJKT-45</t>
        </is>
      </c>
      <c r="FV1257">
        <f>VLOOKUP(FU1257,FD:FL,9,0)</f>
        <v/>
      </c>
    </row>
    <row r="1258">
      <c r="FC1258" t="inlineStr">
        <is>
          <t>Diccionario 2</t>
        </is>
      </c>
      <c r="FD1258" s="15" t="inlineStr">
        <is>
          <t>VFPJ-66</t>
        </is>
      </c>
      <c r="FE1258" s="15" t="inlineStr">
        <is>
          <t>MDN35025020108</t>
        </is>
      </c>
      <c r="FF1258" s="15" t="inlineStr">
        <is>
          <t>LDYECS31XS0044061</t>
        </is>
      </c>
      <c r="FG1258" s="15" t="inlineStr">
        <is>
          <t>Zhong Tong</t>
        </is>
      </c>
      <c r="FH1258" s="15" t="inlineStr">
        <is>
          <t>Lck6122evg</t>
        </is>
      </c>
      <c r="FI1258" s="15" t="inlineStr">
        <is>
          <t>ZHONGTONG</t>
        </is>
      </c>
      <c r="FJ1258" s="15" t="inlineStr">
        <is>
          <t>LCK6122EVG</t>
        </is>
      </c>
      <c r="FK1258" s="15" t="n">
        <v>2025</v>
      </c>
      <c r="FL1258" s="15" t="inlineStr">
        <is>
          <t>B</t>
        </is>
      </c>
      <c r="FM1258" s="15" t="inlineStr">
        <is>
          <t>CERRILLOS</t>
        </is>
      </c>
      <c r="FN1258" s="15" t="inlineStr">
        <is>
          <t>Calle Uno 7371</t>
        </is>
      </c>
      <c r="FO1258" s="15" t="inlineStr">
        <is>
          <t>Cerrillos</t>
        </is>
      </c>
      <c r="FP1258" t="inlineStr">
        <is>
          <t>B</t>
        </is>
      </c>
      <c r="FS1258" s="14" t="inlineStr">
        <is>
          <t>SFWZ-74</t>
        </is>
      </c>
      <c r="FT1258" t="inlineStr">
        <is>
          <t>SFWZ-74</t>
        </is>
      </c>
      <c r="FU1258" t="inlineStr">
        <is>
          <t>SFWZ-74</t>
        </is>
      </c>
      <c r="FV1258">
        <f>VLOOKUP(FU1258,FD:FL,9,0)</f>
        <v/>
      </c>
    </row>
    <row r="1259">
      <c r="FC1259" t="inlineStr">
        <is>
          <t>Diccionario 2</t>
        </is>
      </c>
      <c r="FD1259" s="15" t="inlineStr">
        <is>
          <t>VFPJ-68</t>
        </is>
      </c>
      <c r="FE1259" s="15" t="inlineStr">
        <is>
          <t>MDN35025020064</t>
        </is>
      </c>
      <c r="FF1259" s="15" t="inlineStr">
        <is>
          <t>LDYECS316S0044008</t>
        </is>
      </c>
      <c r="FG1259" s="15" t="inlineStr">
        <is>
          <t>Zhong Tong</t>
        </is>
      </c>
      <c r="FH1259" s="15" t="inlineStr">
        <is>
          <t>Lck6122evg</t>
        </is>
      </c>
      <c r="FI1259" s="15" t="inlineStr">
        <is>
          <t>ZHONGTONG</t>
        </is>
      </c>
      <c r="FJ1259" s="15" t="inlineStr">
        <is>
          <t>LCK6122EVG</t>
        </is>
      </c>
      <c r="FK1259" s="15" t="n">
        <v>2025</v>
      </c>
      <c r="FL1259" s="15" t="inlineStr">
        <is>
          <t>B</t>
        </is>
      </c>
      <c r="FM1259" s="15" t="inlineStr">
        <is>
          <t>PIE ANDINO</t>
        </is>
      </c>
      <c r="FN1259" s="15" t="inlineStr">
        <is>
          <t>Pie Andino 31 (Pie Andino 383)</t>
        </is>
      </c>
      <c r="FO1259" s="15" t="inlineStr">
        <is>
          <t>Puente Alto</t>
        </is>
      </c>
      <c r="FP1259" t="inlineStr">
        <is>
          <t>B</t>
        </is>
      </c>
      <c r="FS1259" s="14" t="inlineStr">
        <is>
          <t>VJKX-38</t>
        </is>
      </c>
      <c r="FT1259" t="inlineStr">
        <is>
          <t>VJKX-38</t>
        </is>
      </c>
      <c r="FU1259" t="inlineStr">
        <is>
          <t>VJKX-38</t>
        </is>
      </c>
      <c r="FV1259">
        <f>VLOOKUP(FU1259,FD:FL,9,0)</f>
        <v/>
      </c>
    </row>
    <row r="1260">
      <c r="FC1260" t="inlineStr">
        <is>
          <t>Diccionario 2</t>
        </is>
      </c>
      <c r="FD1260" s="15" t="inlineStr">
        <is>
          <t>VFPJ-71</t>
        </is>
      </c>
      <c r="FE1260" s="15" t="inlineStr">
        <is>
          <t>MDN35025020103</t>
        </is>
      </c>
      <c r="FF1260" s="15" t="inlineStr">
        <is>
          <t>LDYECS313S0044015</t>
        </is>
      </c>
      <c r="FG1260" s="15" t="inlineStr">
        <is>
          <t>Zhong Tong</t>
        </is>
      </c>
      <c r="FH1260" s="15" t="inlineStr">
        <is>
          <t>Lck6122evg</t>
        </is>
      </c>
      <c r="FI1260" s="15" t="inlineStr">
        <is>
          <t>ZHONGTONG</t>
        </is>
      </c>
      <c r="FJ1260" s="15" t="inlineStr">
        <is>
          <t>LCK6122EVG</t>
        </is>
      </c>
      <c r="FK1260" s="15" t="n">
        <v>2025</v>
      </c>
      <c r="FL1260" s="15" t="inlineStr">
        <is>
          <t>B</t>
        </is>
      </c>
      <c r="FM1260" s="15" t="inlineStr">
        <is>
          <t>CERRILLOS</t>
        </is>
      </c>
      <c r="FN1260" s="15" t="inlineStr">
        <is>
          <t>Calle Uno 7371</t>
        </is>
      </c>
      <c r="FO1260" s="15" t="inlineStr">
        <is>
          <t>Cerrillos</t>
        </is>
      </c>
      <c r="FP1260" t="inlineStr">
        <is>
          <t>B</t>
        </is>
      </c>
      <c r="FS1260" s="14" t="inlineStr">
        <is>
          <t>PERDIDA</t>
        </is>
      </c>
      <c r="FT1260" t="inlineStr">
        <is>
          <t>PERDIDA</t>
        </is>
      </c>
      <c r="FU1260" t="inlineStr">
        <is>
          <t>PERDIDA</t>
        </is>
      </c>
      <c r="FV1260">
        <f>VLOOKUP(FU1260,FD:FL,9,0)</f>
        <v/>
      </c>
    </row>
    <row r="1261">
      <c r="FC1261" t="inlineStr">
        <is>
          <t>Diccionario 2</t>
        </is>
      </c>
      <c r="FD1261" s="15" t="inlineStr">
        <is>
          <t>VFPJ-77</t>
        </is>
      </c>
      <c r="FE1261" s="15" t="inlineStr">
        <is>
          <t>MDN35025020131</t>
        </is>
      </c>
      <c r="FF1261" s="15" t="inlineStr">
        <is>
          <t>LDYECS317S0044017</t>
        </is>
      </c>
      <c r="FG1261" s="15" t="inlineStr">
        <is>
          <t>Zhong Tong</t>
        </is>
      </c>
      <c r="FH1261" s="15" t="inlineStr">
        <is>
          <t>Lck6122evg</t>
        </is>
      </c>
      <c r="FI1261" s="15" t="inlineStr">
        <is>
          <t>ZHONGTONG</t>
        </is>
      </c>
      <c r="FJ1261" s="15" t="inlineStr">
        <is>
          <t>LCK6122EVG</t>
        </is>
      </c>
      <c r="FK1261" s="15" t="n">
        <v>2025</v>
      </c>
      <c r="FL1261" s="15" t="inlineStr">
        <is>
          <t>B</t>
        </is>
      </c>
      <c r="FM1261" s="15" t="inlineStr">
        <is>
          <t>PIE ANDINO</t>
        </is>
      </c>
      <c r="FN1261" s="15" t="inlineStr">
        <is>
          <t>Pie Andino 31 (Pie Andino 383)</t>
        </is>
      </c>
      <c r="FO1261" s="15" t="inlineStr">
        <is>
          <t>Puente Alto</t>
        </is>
      </c>
      <c r="FP1261" t="inlineStr">
        <is>
          <t>B</t>
        </is>
      </c>
      <c r="FS1261" s="14" t="inlineStr">
        <is>
          <t>SFWZ-29</t>
        </is>
      </c>
      <c r="FT1261" t="inlineStr">
        <is>
          <t>SFWZ-29</t>
        </is>
      </c>
      <c r="FU1261" t="inlineStr">
        <is>
          <t>SFWZ-29</t>
        </is>
      </c>
      <c r="FV1261">
        <f>VLOOKUP(FU1261,FD:FL,9,0)</f>
        <v/>
      </c>
    </row>
    <row r="1262">
      <c r="FC1262" t="inlineStr">
        <is>
          <t>Diccionario 2</t>
        </is>
      </c>
      <c r="FD1262" s="15" t="inlineStr">
        <is>
          <t>VFPK-64</t>
        </is>
      </c>
      <c r="FE1262" s="15" t="inlineStr">
        <is>
          <t>MDN35025020115</t>
        </is>
      </c>
      <c r="FF1262" s="15" t="inlineStr">
        <is>
          <t>LDYECS319S0044018</t>
        </is>
      </c>
      <c r="FG1262" s="15" t="inlineStr">
        <is>
          <t>Zhong Tong</t>
        </is>
      </c>
      <c r="FH1262" s="15" t="inlineStr">
        <is>
          <t>Lck6122evg</t>
        </is>
      </c>
      <c r="FI1262" s="15" t="inlineStr">
        <is>
          <t>ZHONGTONG</t>
        </is>
      </c>
      <c r="FJ1262" s="15" t="inlineStr">
        <is>
          <t>LCK6122EVG</t>
        </is>
      </c>
      <c r="FK1262" s="15" t="n">
        <v>2025</v>
      </c>
      <c r="FL1262" s="15" t="inlineStr">
        <is>
          <t>B</t>
        </is>
      </c>
      <c r="FM1262" s="15" t="inlineStr">
        <is>
          <t>CERRILLOS</t>
        </is>
      </c>
      <c r="FN1262" s="15" t="inlineStr">
        <is>
          <t>Calle Uno 7371</t>
        </is>
      </c>
      <c r="FO1262" s="15" t="inlineStr">
        <is>
          <t>Cerrillos</t>
        </is>
      </c>
      <c r="FP1262" t="inlineStr">
        <is>
          <t>B</t>
        </is>
      </c>
      <c r="FS1262" s="14" t="inlineStr">
        <is>
          <t>VJZB-67</t>
        </is>
      </c>
      <c r="FT1262" t="inlineStr">
        <is>
          <t>VJZB-67</t>
        </is>
      </c>
      <c r="FU1262" t="inlineStr">
        <is>
          <t>VJZB-67</t>
        </is>
      </c>
      <c r="FV1262">
        <f>VLOOKUP(FU1262,FD:FL,9,0)</f>
        <v/>
      </c>
    </row>
    <row r="1263">
      <c r="FC1263" t="inlineStr">
        <is>
          <t>Diccionario 2</t>
        </is>
      </c>
      <c r="FD1263" s="15" t="inlineStr">
        <is>
          <t>VFPK-81</t>
        </is>
      </c>
      <c r="FE1263" s="15" t="inlineStr">
        <is>
          <t>MDN35025020019</t>
        </is>
      </c>
      <c r="FF1263" s="15" t="inlineStr">
        <is>
          <t>LDYECS313S0044094</t>
        </is>
      </c>
      <c r="FG1263" s="15" t="inlineStr">
        <is>
          <t>Zhong Tong</t>
        </is>
      </c>
      <c r="FH1263" s="15" t="inlineStr">
        <is>
          <t>Lck6122evg</t>
        </is>
      </c>
      <c r="FI1263" s="15" t="inlineStr">
        <is>
          <t>ZHONGTONG</t>
        </is>
      </c>
      <c r="FJ1263" s="15" t="inlineStr">
        <is>
          <t>LCK6122EVG</t>
        </is>
      </c>
      <c r="FK1263" s="15" t="n">
        <v>2025</v>
      </c>
      <c r="FL1263" s="15" t="inlineStr">
        <is>
          <t>B</t>
        </is>
      </c>
      <c r="FM1263" s="15" t="inlineStr">
        <is>
          <t>PIE ANDINO</t>
        </is>
      </c>
      <c r="FN1263" s="15" t="inlineStr">
        <is>
          <t>Pie Andino 31 (Pie Andino 383)</t>
        </is>
      </c>
      <c r="FO1263" s="15" t="inlineStr">
        <is>
          <t>Puente Alto</t>
        </is>
      </c>
      <c r="FP1263" t="inlineStr">
        <is>
          <t>B</t>
        </is>
      </c>
      <c r="FS1263" s="14" t="inlineStr">
        <is>
          <t>SFWZ-59</t>
        </is>
      </c>
      <c r="FT1263" t="inlineStr">
        <is>
          <t>SFWZ-59</t>
        </is>
      </c>
      <c r="FU1263" t="inlineStr">
        <is>
          <t>SFWZ-59</t>
        </is>
      </c>
      <c r="FV1263">
        <f>VLOOKUP(FU1263,FD:FL,9,0)</f>
        <v/>
      </c>
    </row>
    <row r="1264">
      <c r="FC1264" t="inlineStr">
        <is>
          <t>Diccionario 2</t>
        </is>
      </c>
      <c r="FD1264" s="15" t="inlineStr">
        <is>
          <t>VFPK-91</t>
        </is>
      </c>
      <c r="FE1264" s="15" t="inlineStr">
        <is>
          <t>MDN35025010038</t>
        </is>
      </c>
      <c r="FF1264" s="15" t="inlineStr">
        <is>
          <t>LDYECS315S0044114</t>
        </is>
      </c>
      <c r="FG1264" s="15" t="inlineStr">
        <is>
          <t>Zhong Tong</t>
        </is>
      </c>
      <c r="FH1264" s="15" t="inlineStr">
        <is>
          <t>Lck6122evg</t>
        </is>
      </c>
      <c r="FI1264" s="15" t="inlineStr">
        <is>
          <t>ZHONGTONG</t>
        </is>
      </c>
      <c r="FJ1264" s="15" t="inlineStr">
        <is>
          <t>LCK6122EVG</t>
        </is>
      </c>
      <c r="FK1264" s="15" t="n">
        <v>2025</v>
      </c>
      <c r="FL1264" s="15" t="inlineStr">
        <is>
          <t>B</t>
        </is>
      </c>
      <c r="FM1264" s="15" t="inlineStr">
        <is>
          <t>PIE ANDINO</t>
        </is>
      </c>
      <c r="FN1264" s="15" t="inlineStr">
        <is>
          <t>Pie Andino 31 (Pie Andino 383)</t>
        </is>
      </c>
      <c r="FO1264" s="15" t="inlineStr">
        <is>
          <t>Puente Alto</t>
        </is>
      </c>
      <c r="FP1264" t="inlineStr">
        <is>
          <t>B</t>
        </is>
      </c>
      <c r="FS1264" s="14" t="inlineStr">
        <is>
          <t>3082 / SFWZ-56|</t>
        </is>
      </c>
      <c r="FT1264" t="inlineStr">
        <is>
          <t>SFWZ-56|</t>
        </is>
      </c>
      <c r="FU1264" t="inlineStr">
        <is>
          <t>SFWZ-56</t>
        </is>
      </c>
      <c r="FV1264">
        <f>VLOOKUP(FU1264,FD:FL,9,0)</f>
        <v/>
      </c>
    </row>
    <row r="1265">
      <c r="FC1265" t="inlineStr">
        <is>
          <t>Diccionario 2</t>
        </is>
      </c>
      <c r="FD1265" s="19" t="inlineStr">
        <is>
          <t>VFPL-11</t>
        </is>
      </c>
      <c r="FE1265" s="15" t="inlineStr">
        <is>
          <t>MDN35025020028</t>
        </is>
      </c>
      <c r="FF1265" s="15" t="inlineStr">
        <is>
          <t>LDYECS314S0044041</t>
        </is>
      </c>
      <c r="FG1265" s="15" t="inlineStr">
        <is>
          <t>Zhong Tong</t>
        </is>
      </c>
      <c r="FH1265" s="15" t="inlineStr">
        <is>
          <t>Lck6122evg</t>
        </is>
      </c>
      <c r="FI1265" s="15" t="inlineStr">
        <is>
          <t>ZHONGTONG</t>
        </is>
      </c>
      <c r="FJ1265" s="15" t="inlineStr">
        <is>
          <t>LCK6122EVG</t>
        </is>
      </c>
      <c r="FK1265" s="15" t="n">
        <v>2025</v>
      </c>
      <c r="FL1265" s="15" t="inlineStr">
        <is>
          <t>B</t>
        </is>
      </c>
      <c r="FM1265" s="15" t="inlineStr">
        <is>
          <t>PIE ANDINO</t>
        </is>
      </c>
      <c r="FN1265" s="15" t="inlineStr">
        <is>
          <t>Pie Andino 31 (Pie Andino 383)</t>
        </is>
      </c>
      <c r="FO1265" s="15" t="inlineStr">
        <is>
          <t>Puente Alto</t>
        </is>
      </c>
      <c r="FP1265" t="inlineStr">
        <is>
          <t>B</t>
        </is>
      </c>
      <c r="FS1265" s="14" t="inlineStr">
        <is>
          <t>3008 / SFWB-58|</t>
        </is>
      </c>
      <c r="FT1265" t="inlineStr">
        <is>
          <t>SFWB-58|</t>
        </is>
      </c>
      <c r="FU1265" t="inlineStr">
        <is>
          <t>SFWB-58</t>
        </is>
      </c>
      <c r="FV1265">
        <f>VLOOKUP(FU1265,FD:FL,9,0)</f>
        <v/>
      </c>
    </row>
    <row r="1266">
      <c r="FC1266" t="inlineStr">
        <is>
          <t>Diccionario 2</t>
        </is>
      </c>
      <c r="FD1266" s="15" t="inlineStr">
        <is>
          <t>VFPL-15</t>
        </is>
      </c>
      <c r="FE1266" s="15" t="inlineStr">
        <is>
          <t>MDN35025020111</t>
        </is>
      </c>
      <c r="FF1266" s="15" t="inlineStr">
        <is>
          <t>LDYECS31XS0044013</t>
        </is>
      </c>
      <c r="FG1266" s="15" t="inlineStr">
        <is>
          <t>Zhong Tong</t>
        </is>
      </c>
      <c r="FH1266" s="15" t="inlineStr">
        <is>
          <t>Lck6122evg</t>
        </is>
      </c>
      <c r="FI1266" s="15" t="inlineStr">
        <is>
          <t>ZHONGTONG</t>
        </is>
      </c>
      <c r="FJ1266" s="15" t="inlineStr">
        <is>
          <t>LCK6122EVG</t>
        </is>
      </c>
      <c r="FK1266" s="15" t="n">
        <v>2025</v>
      </c>
      <c r="FL1266" s="15" t="inlineStr">
        <is>
          <t>B</t>
        </is>
      </c>
      <c r="FM1266" s="15" t="inlineStr">
        <is>
          <t>PIE ANDINO</t>
        </is>
      </c>
      <c r="FN1266" s="15" t="inlineStr">
        <is>
          <t>Pie Andino 31 (Pie Andino 383)</t>
        </is>
      </c>
      <c r="FO1266" s="15" t="inlineStr">
        <is>
          <t>Puente Alto</t>
        </is>
      </c>
      <c r="FP1266" t="inlineStr">
        <is>
          <t>B</t>
        </is>
      </c>
      <c r="FS1266" s="14" t="inlineStr">
        <is>
          <t>3076 / SFWZ-53|</t>
        </is>
      </c>
      <c r="FT1266" t="inlineStr">
        <is>
          <t>SFWZ-53|</t>
        </is>
      </c>
      <c r="FU1266" t="inlineStr">
        <is>
          <t>SFWZ-53</t>
        </is>
      </c>
      <c r="FV1266">
        <f>VLOOKUP(FU1266,FD:FL,9,0)</f>
        <v/>
      </c>
    </row>
    <row r="1267">
      <c r="FC1267" t="inlineStr">
        <is>
          <t>Diccionario 2</t>
        </is>
      </c>
      <c r="FD1267" s="15" t="inlineStr">
        <is>
          <t>VFPL-21</t>
        </is>
      </c>
      <c r="FE1267" s="15" t="inlineStr">
        <is>
          <t>MDN35025020125</t>
        </is>
      </c>
      <c r="FF1267" s="15" t="inlineStr">
        <is>
          <t>LDYECS313S0044032</t>
        </is>
      </c>
      <c r="FG1267" s="15" t="inlineStr">
        <is>
          <t>Zhong Tong</t>
        </is>
      </c>
      <c r="FH1267" s="15" t="inlineStr">
        <is>
          <t>Lck6122evg</t>
        </is>
      </c>
      <c r="FI1267" s="15" t="inlineStr">
        <is>
          <t>ZHONGTONG</t>
        </is>
      </c>
      <c r="FJ1267" s="15" t="inlineStr">
        <is>
          <t>LCK6122EVG</t>
        </is>
      </c>
      <c r="FK1267" s="15" t="n">
        <v>2025</v>
      </c>
      <c r="FL1267" s="15" t="inlineStr">
        <is>
          <t>B</t>
        </is>
      </c>
      <c r="FM1267" s="15" t="inlineStr">
        <is>
          <t>PIE ANDINO</t>
        </is>
      </c>
      <c r="FN1267" s="15" t="inlineStr">
        <is>
          <t>Pie Andino 31 (Pie Andino 383)</t>
        </is>
      </c>
      <c r="FO1267" s="15" t="inlineStr">
        <is>
          <t>Puente Alto</t>
        </is>
      </c>
      <c r="FP1267" t="inlineStr">
        <is>
          <t>B</t>
        </is>
      </c>
      <c r="FS1267" s="14" t="inlineStr">
        <is>
          <t>3024 / SFWB-76|</t>
        </is>
      </c>
      <c r="FT1267" t="inlineStr">
        <is>
          <t>SFWB-76|</t>
        </is>
      </c>
      <c r="FU1267" t="inlineStr">
        <is>
          <t>SFWB-76</t>
        </is>
      </c>
      <c r="FV1267">
        <f>VLOOKUP(FU1267,FD:FL,9,0)</f>
        <v/>
      </c>
    </row>
    <row r="1268">
      <c r="FC1268" t="inlineStr">
        <is>
          <t>Diccionario 2</t>
        </is>
      </c>
      <c r="FD1268" s="15" t="inlineStr">
        <is>
          <t>VFPL-31</t>
        </is>
      </c>
      <c r="FE1268" s="15" t="inlineStr">
        <is>
          <t>MDN35025020117</t>
        </is>
      </c>
      <c r="FF1268" s="15" t="inlineStr">
        <is>
          <t>LDYECS310S0044022</t>
        </is>
      </c>
      <c r="FG1268" s="15" t="inlineStr">
        <is>
          <t>Zhong Tong</t>
        </is>
      </c>
      <c r="FH1268" s="15" t="inlineStr">
        <is>
          <t>Lck6122evg</t>
        </is>
      </c>
      <c r="FI1268" s="15" t="inlineStr">
        <is>
          <t>ZHONGTONG</t>
        </is>
      </c>
      <c r="FJ1268" s="15" t="inlineStr">
        <is>
          <t>LCK6122EVG</t>
        </is>
      </c>
      <c r="FK1268" s="15" t="n">
        <v>2025</v>
      </c>
      <c r="FL1268" s="15" t="inlineStr">
        <is>
          <t>B</t>
        </is>
      </c>
      <c r="FM1268" s="15" t="inlineStr">
        <is>
          <t>PIE ANDINO</t>
        </is>
      </c>
      <c r="FN1268" s="15" t="inlineStr">
        <is>
          <t>Pie Andino 31 (Pie Andino 383)</t>
        </is>
      </c>
      <c r="FO1268" s="15" t="inlineStr">
        <is>
          <t>Puente Alto</t>
        </is>
      </c>
      <c r="FP1268" t="inlineStr">
        <is>
          <t>B</t>
        </is>
      </c>
      <c r="FS1268" s="14" t="inlineStr">
        <is>
          <t>VJZB-37|</t>
        </is>
      </c>
      <c r="FT1268" t="inlineStr">
        <is>
          <t>VJZB-37|</t>
        </is>
      </c>
      <c r="FU1268" t="inlineStr">
        <is>
          <t>VJZB-37</t>
        </is>
      </c>
      <c r="FV1268">
        <f>VLOOKUP(FU1268,FD:FL,9,0)</f>
        <v/>
      </c>
    </row>
    <row r="1269">
      <c r="FC1269" t="inlineStr">
        <is>
          <t>Diccionario 2</t>
        </is>
      </c>
      <c r="FD1269" s="15" t="inlineStr">
        <is>
          <t>VFPL-35</t>
        </is>
      </c>
      <c r="FE1269" s="15" t="inlineStr">
        <is>
          <t>MDN35025020006</t>
        </is>
      </c>
      <c r="FF1269" s="15" t="inlineStr">
        <is>
          <t>LDYECS316S0044073</t>
        </is>
      </c>
      <c r="FG1269" s="15" t="inlineStr">
        <is>
          <t>Zhong Tong</t>
        </is>
      </c>
      <c r="FH1269" s="15" t="inlineStr">
        <is>
          <t>Lck6122evg</t>
        </is>
      </c>
      <c r="FI1269" s="15" t="inlineStr">
        <is>
          <t>ZHONGTONG</t>
        </is>
      </c>
      <c r="FJ1269" s="15" t="inlineStr">
        <is>
          <t>LCK6122EVG</t>
        </is>
      </c>
      <c r="FK1269" s="15" t="n">
        <v>2025</v>
      </c>
      <c r="FL1269" s="15" t="inlineStr">
        <is>
          <t>B</t>
        </is>
      </c>
      <c r="FM1269" s="15" t="inlineStr">
        <is>
          <t>PIE ANDINO</t>
        </is>
      </c>
      <c r="FN1269" s="15" t="inlineStr">
        <is>
          <t>Pie Andino 31 (Pie Andino 383)</t>
        </is>
      </c>
      <c r="FO1269" s="15" t="inlineStr">
        <is>
          <t>Puente Alto</t>
        </is>
      </c>
      <c r="FP1269" t="inlineStr">
        <is>
          <t>B</t>
        </is>
      </c>
      <c r="FS1269" s="14" t="inlineStr">
        <is>
          <t>3058 / SFWB-85|</t>
        </is>
      </c>
      <c r="FT1269" t="inlineStr">
        <is>
          <t>SFWB-85|</t>
        </is>
      </c>
      <c r="FU1269" t="inlineStr">
        <is>
          <t>SFWB-85</t>
        </is>
      </c>
      <c r="FV1269">
        <f>VLOOKUP(FU1269,FD:FL,9,0)</f>
        <v/>
      </c>
    </row>
    <row r="1270">
      <c r="FC1270" t="inlineStr">
        <is>
          <t>Diccionario 2</t>
        </is>
      </c>
      <c r="FD1270" s="15" t="inlineStr">
        <is>
          <t>VFPL-41</t>
        </is>
      </c>
      <c r="FE1270" s="15" t="inlineStr">
        <is>
          <t>MDN35025020062</t>
        </is>
      </c>
      <c r="FF1270" s="15" t="inlineStr">
        <is>
          <t>LDYECS312S0044006</t>
        </is>
      </c>
      <c r="FG1270" s="15" t="inlineStr">
        <is>
          <t>Zhong Tong</t>
        </is>
      </c>
      <c r="FH1270" s="15" t="inlineStr">
        <is>
          <t>Lck6122evg</t>
        </is>
      </c>
      <c r="FI1270" s="15" t="inlineStr">
        <is>
          <t>ZHONGTONG</t>
        </is>
      </c>
      <c r="FJ1270" s="15" t="inlineStr">
        <is>
          <t>LCK6122EVG</t>
        </is>
      </c>
      <c r="FK1270" s="15" t="n">
        <v>2025</v>
      </c>
      <c r="FL1270" s="15" t="inlineStr">
        <is>
          <t>B</t>
        </is>
      </c>
      <c r="FM1270" s="15" t="inlineStr">
        <is>
          <t>SAN ALFONSO</t>
        </is>
      </c>
      <c r="FN1270" s="15" t="inlineStr">
        <is>
          <t>San Alfonso 2141 (Ramón Subercaseaux 3060)</t>
        </is>
      </c>
      <c r="FO1270" s="15" t="inlineStr">
        <is>
          <t>Estacion Central</t>
        </is>
      </c>
      <c r="FP1270" t="inlineStr">
        <is>
          <t>B</t>
        </is>
      </c>
      <c r="FS1270" s="14" t="inlineStr">
        <is>
          <t>3022 / SFWB-31|</t>
        </is>
      </c>
      <c r="FT1270" t="inlineStr">
        <is>
          <t>SFWB-31|</t>
        </is>
      </c>
      <c r="FU1270" t="inlineStr">
        <is>
          <t>SFWB-31</t>
        </is>
      </c>
      <c r="FV1270">
        <f>VLOOKUP(FU1270,FD:FL,9,0)</f>
        <v/>
      </c>
    </row>
    <row r="1271">
      <c r="FC1271" t="inlineStr">
        <is>
          <t>Diccionario 2</t>
        </is>
      </c>
      <c r="FD1271" s="15" t="inlineStr">
        <is>
          <t>VFPL-46</t>
        </is>
      </c>
      <c r="FE1271" s="15" t="inlineStr">
        <is>
          <t>MDN35025020116</t>
        </is>
      </c>
      <c r="FF1271" s="15" t="inlineStr">
        <is>
          <t>LDYECS317S0044020</t>
        </is>
      </c>
      <c r="FG1271" s="15" t="inlineStr">
        <is>
          <t>Zhong Tong</t>
        </is>
      </c>
      <c r="FH1271" s="15" t="inlineStr">
        <is>
          <t>Lck6122evg</t>
        </is>
      </c>
      <c r="FI1271" s="15" t="inlineStr">
        <is>
          <t>ZHONGTONG</t>
        </is>
      </c>
      <c r="FJ1271" s="15" t="inlineStr">
        <is>
          <t>LCK6122EVG</t>
        </is>
      </c>
      <c r="FK1271" s="15" t="n">
        <v>2025</v>
      </c>
      <c r="FL1271" s="15" t="inlineStr">
        <is>
          <t>B</t>
        </is>
      </c>
      <c r="FM1271" s="15" t="inlineStr">
        <is>
          <t>SAN ALFONSO</t>
        </is>
      </c>
      <c r="FN1271" s="15" t="inlineStr">
        <is>
          <t>San Alfonso 2141 (Ramón Subercaseaux 3060)</t>
        </is>
      </c>
      <c r="FO1271" s="15" t="inlineStr">
        <is>
          <t>Estacion Central</t>
        </is>
      </c>
      <c r="FP1271" t="inlineStr">
        <is>
          <t>B</t>
        </is>
      </c>
      <c r="FS1271" s="14" t="inlineStr">
        <is>
          <t>VJKT-92|</t>
        </is>
      </c>
      <c r="FT1271" t="inlineStr">
        <is>
          <t>VJKT-92|</t>
        </is>
      </c>
      <c r="FU1271" t="inlineStr">
        <is>
          <t>VJKT-92</t>
        </is>
      </c>
      <c r="FV1271">
        <f>VLOOKUP(FU1271,FD:FL,9,0)</f>
        <v/>
      </c>
    </row>
    <row r="1272">
      <c r="FC1272" t="inlineStr">
        <is>
          <t>Diccionario 2</t>
        </is>
      </c>
      <c r="FD1272" s="15" t="inlineStr">
        <is>
          <t>VFPL-57</t>
        </is>
      </c>
      <c r="FE1272" s="15" t="inlineStr">
        <is>
          <t>MDN35025020106</t>
        </is>
      </c>
      <c r="FF1272" s="15" t="inlineStr">
        <is>
          <t>LDYECS316S0044025</t>
        </is>
      </c>
      <c r="FG1272" s="15" t="inlineStr">
        <is>
          <t>Zhong Tong</t>
        </is>
      </c>
      <c r="FH1272" s="15" t="inlineStr">
        <is>
          <t>Lck6122evg</t>
        </is>
      </c>
      <c r="FI1272" s="15" t="inlineStr">
        <is>
          <t>ZHONGTONG</t>
        </is>
      </c>
      <c r="FJ1272" s="15" t="inlineStr">
        <is>
          <t>LCK6122EVG</t>
        </is>
      </c>
      <c r="FK1272" s="15" t="n">
        <v>2025</v>
      </c>
      <c r="FL1272" s="15" t="inlineStr">
        <is>
          <t>B</t>
        </is>
      </c>
      <c r="FM1272" s="15" t="inlineStr">
        <is>
          <t>CERRILLOS</t>
        </is>
      </c>
      <c r="FN1272" s="15" t="inlineStr">
        <is>
          <t>Calle Uno 7371</t>
        </is>
      </c>
      <c r="FO1272" s="15" t="inlineStr">
        <is>
          <t>Cerrillos</t>
        </is>
      </c>
      <c r="FP1272" t="inlineStr">
        <is>
          <t>B</t>
        </is>
      </c>
      <c r="FS1272" s="14" t="inlineStr">
        <is>
          <t>3096 / SFWZ-74|</t>
        </is>
      </c>
      <c r="FT1272" t="inlineStr">
        <is>
          <t>SFWZ-74|</t>
        </is>
      </c>
      <c r="FU1272" t="inlineStr">
        <is>
          <t>SFWZ-74</t>
        </is>
      </c>
      <c r="FV1272">
        <f>VLOOKUP(FU1272,FD:FL,9,0)</f>
        <v/>
      </c>
    </row>
    <row r="1273">
      <c r="FC1273" t="inlineStr">
        <is>
          <t>Diccionario 2</t>
        </is>
      </c>
      <c r="FD1273" s="15" t="inlineStr">
        <is>
          <t>VFPL-61</t>
        </is>
      </c>
      <c r="FE1273" s="15" t="inlineStr">
        <is>
          <t>MDN35025020110</t>
        </is>
      </c>
      <c r="FF1273" s="15" t="inlineStr">
        <is>
          <t>LDYECS317S0044034</t>
        </is>
      </c>
      <c r="FG1273" s="15" t="inlineStr">
        <is>
          <t>Zhong Tong</t>
        </is>
      </c>
      <c r="FH1273" s="15" t="inlineStr">
        <is>
          <t>Lck6122evg</t>
        </is>
      </c>
      <c r="FI1273" s="15" t="inlineStr">
        <is>
          <t>ZHONGTONG</t>
        </is>
      </c>
      <c r="FJ1273" s="15" t="inlineStr">
        <is>
          <t>LCK6122EVG</t>
        </is>
      </c>
      <c r="FK1273" s="15" t="n">
        <v>2025</v>
      </c>
      <c r="FL1273" s="15" t="inlineStr">
        <is>
          <t>B</t>
        </is>
      </c>
      <c r="FM1273" s="15" t="inlineStr">
        <is>
          <t>CERRILLOS</t>
        </is>
      </c>
      <c r="FN1273" s="15" t="inlineStr">
        <is>
          <t>Calle Uno 7371</t>
        </is>
      </c>
      <c r="FO1273" s="15" t="inlineStr">
        <is>
          <t>Cerrillos</t>
        </is>
      </c>
      <c r="FP1273" t="inlineStr">
        <is>
          <t>B</t>
        </is>
      </c>
      <c r="FS1273" s="14" t="inlineStr">
        <is>
          <t>3071 / SFWZ-29|</t>
        </is>
      </c>
      <c r="FT1273" t="inlineStr">
        <is>
          <t>SFWZ-29|</t>
        </is>
      </c>
      <c r="FU1273" t="inlineStr">
        <is>
          <t>SFWZ-29</t>
        </is>
      </c>
      <c r="FV1273">
        <f>VLOOKUP(FU1273,FD:FL,9,0)</f>
        <v/>
      </c>
    </row>
    <row r="1274">
      <c r="FC1274" t="inlineStr">
        <is>
          <t>Diccionario 2</t>
        </is>
      </c>
      <c r="FD1274" s="15" t="inlineStr">
        <is>
          <t>VFPL-63</t>
        </is>
      </c>
      <c r="FE1274" s="15" t="inlineStr">
        <is>
          <t>MDN35025020035</t>
        </is>
      </c>
      <c r="FF1274" s="15" t="inlineStr">
        <is>
          <t>LDYECS319S0044052</t>
        </is>
      </c>
      <c r="FG1274" s="15" t="inlineStr">
        <is>
          <t>Zhong Tong</t>
        </is>
      </c>
      <c r="FH1274" s="15" t="inlineStr">
        <is>
          <t>Lck6122evg</t>
        </is>
      </c>
      <c r="FI1274" s="15" t="inlineStr">
        <is>
          <t>ZHONGTONG</t>
        </is>
      </c>
      <c r="FJ1274" s="15" t="inlineStr">
        <is>
          <t>LCK6122EVG</t>
        </is>
      </c>
      <c r="FK1274" s="15" t="n">
        <v>2025</v>
      </c>
      <c r="FL1274" s="15" t="inlineStr">
        <is>
          <t>B</t>
        </is>
      </c>
      <c r="FM1274" s="15" t="inlineStr">
        <is>
          <t>CERRILLOS</t>
        </is>
      </c>
      <c r="FN1274" s="15" t="inlineStr">
        <is>
          <t>Calle Uno 7371</t>
        </is>
      </c>
      <c r="FO1274" s="15" t="inlineStr">
        <is>
          <t>Cerrillos</t>
        </is>
      </c>
      <c r="FP1274" t="inlineStr">
        <is>
          <t>B</t>
        </is>
      </c>
      <c r="FS1274" s="14" t="inlineStr">
        <is>
          <t>SFWZ-48</t>
        </is>
      </c>
      <c r="FT1274" t="inlineStr">
        <is>
          <t>SFWZ-48</t>
        </is>
      </c>
      <c r="FU1274" t="inlineStr">
        <is>
          <t>SFWZ-48</t>
        </is>
      </c>
      <c r="FV1274">
        <f>VLOOKUP(FU1274,FD:FL,9,0)</f>
        <v/>
      </c>
    </row>
    <row r="1275">
      <c r="FC1275" t="inlineStr">
        <is>
          <t>Diccionario 2</t>
        </is>
      </c>
      <c r="FD1275" s="15" t="inlineStr">
        <is>
          <t>VFPL-71</t>
        </is>
      </c>
      <c r="FE1275" s="15" t="inlineStr">
        <is>
          <t>MDN35025020077</t>
        </is>
      </c>
      <c r="FF1275" s="15" t="inlineStr">
        <is>
          <t>LDYECS312S0044037</t>
        </is>
      </c>
      <c r="FG1275" s="15" t="inlineStr">
        <is>
          <t>Zhong Tong</t>
        </is>
      </c>
      <c r="FH1275" s="15" t="inlineStr">
        <is>
          <t>Lck6122evg</t>
        </is>
      </c>
      <c r="FI1275" s="15" t="inlineStr">
        <is>
          <t>ZHONGTONG</t>
        </is>
      </c>
      <c r="FJ1275" s="15" t="inlineStr">
        <is>
          <t>LCK6122EVG</t>
        </is>
      </c>
      <c r="FK1275" s="15" t="n">
        <v>2025</v>
      </c>
      <c r="FL1275" s="15" t="inlineStr">
        <is>
          <t>B</t>
        </is>
      </c>
      <c r="FM1275" s="15" t="inlineStr">
        <is>
          <t>CERRILLOS</t>
        </is>
      </c>
      <c r="FN1275" s="15" t="inlineStr">
        <is>
          <t>Calle Uno 7371</t>
        </is>
      </c>
      <c r="FO1275" s="15" t="inlineStr">
        <is>
          <t>Cerrillos</t>
        </is>
      </c>
      <c r="FP1275" t="inlineStr">
        <is>
          <t>B</t>
        </is>
      </c>
      <c r="FS1275" s="14" t="inlineStr">
        <is>
          <t>SFWB-58</t>
        </is>
      </c>
      <c r="FT1275" t="inlineStr">
        <is>
          <t>SFWB-58</t>
        </is>
      </c>
      <c r="FU1275" t="inlineStr">
        <is>
          <t>SFWB-58</t>
        </is>
      </c>
      <c r="FV1275">
        <f>VLOOKUP(FU1275,FD:FL,9,0)</f>
        <v/>
      </c>
    </row>
    <row r="1276">
      <c r="FC1276" t="inlineStr">
        <is>
          <t>Diccionario 2</t>
        </is>
      </c>
      <c r="FD1276" s="15" t="inlineStr">
        <is>
          <t>VFPL-73</t>
        </is>
      </c>
      <c r="FE1276" s="15" t="inlineStr">
        <is>
          <t>MDN35025020033</t>
        </is>
      </c>
      <c r="FF1276" s="15" t="inlineStr">
        <is>
          <t>LDYECS318S0044088</t>
        </is>
      </c>
      <c r="FG1276" s="15" t="inlineStr">
        <is>
          <t>Zhong Tong</t>
        </is>
      </c>
      <c r="FH1276" s="15" t="inlineStr">
        <is>
          <t>Lck6122evg</t>
        </is>
      </c>
      <c r="FI1276" s="15" t="inlineStr">
        <is>
          <t>ZHONGTONG</t>
        </is>
      </c>
      <c r="FJ1276" s="15" t="inlineStr">
        <is>
          <t>LCK6122EVG</t>
        </is>
      </c>
      <c r="FK1276" s="15" t="n">
        <v>2025</v>
      </c>
      <c r="FL1276" s="15" t="inlineStr">
        <is>
          <t>B</t>
        </is>
      </c>
      <c r="FM1276" s="15" t="inlineStr">
        <is>
          <t>PIE ANDINO</t>
        </is>
      </c>
      <c r="FN1276" s="15" t="inlineStr">
        <is>
          <t>Pie Andino 31 (Pie Andino 383)</t>
        </is>
      </c>
      <c r="FO1276" s="15" t="inlineStr">
        <is>
          <t>Puente Alto</t>
        </is>
      </c>
      <c r="FP1276" t="inlineStr">
        <is>
          <t>B</t>
        </is>
      </c>
      <c r="FS1276" s="14" t="inlineStr">
        <is>
          <t>VJWZ-95</t>
        </is>
      </c>
      <c r="FT1276" t="inlineStr">
        <is>
          <t>VJWZ-95</t>
        </is>
      </c>
      <c r="FU1276" t="inlineStr">
        <is>
          <t>VJWZ-95</t>
        </is>
      </c>
      <c r="FV1276">
        <f>VLOOKUP(FU1276,FD:FL,9,0)</f>
        <v/>
      </c>
    </row>
    <row r="1277">
      <c r="FC1277" t="inlineStr">
        <is>
          <t>Diccionario 2</t>
        </is>
      </c>
      <c r="FD1277" s="15" t="inlineStr">
        <is>
          <t>VFPL-74</t>
        </is>
      </c>
      <c r="FE1277" s="15" t="inlineStr">
        <is>
          <t>MDN35025010021</t>
        </is>
      </c>
      <c r="FF1277" s="15" t="inlineStr">
        <is>
          <t>LDYECS313S0044113</t>
        </is>
      </c>
      <c r="FG1277" s="15" t="inlineStr">
        <is>
          <t>Zhong Tong</t>
        </is>
      </c>
      <c r="FH1277" s="15" t="inlineStr">
        <is>
          <t>Lck6122evg</t>
        </is>
      </c>
      <c r="FI1277" s="15" t="inlineStr">
        <is>
          <t>ZHONGTONG</t>
        </is>
      </c>
      <c r="FJ1277" s="15" t="inlineStr">
        <is>
          <t>LCK6122EVG</t>
        </is>
      </c>
      <c r="FK1277" s="15" t="n">
        <v>2025</v>
      </c>
      <c r="FL1277" s="15" t="inlineStr">
        <is>
          <t>B</t>
        </is>
      </c>
      <c r="FM1277" s="15" t="inlineStr">
        <is>
          <t>CERRILLOS</t>
        </is>
      </c>
      <c r="FN1277" s="15" t="inlineStr">
        <is>
          <t>Calle Uno 7371</t>
        </is>
      </c>
      <c r="FO1277" s="15" t="inlineStr">
        <is>
          <t>Cerrillos</t>
        </is>
      </c>
      <c r="FP1277" t="inlineStr">
        <is>
          <t>B</t>
        </is>
      </c>
      <c r="FS1277" s="14" t="inlineStr">
        <is>
          <t>SFVZ-80</t>
        </is>
      </c>
      <c r="FT1277" t="inlineStr">
        <is>
          <t>SFVZ-80</t>
        </is>
      </c>
      <c r="FU1277" t="inlineStr">
        <is>
          <t>SFVZ-80</t>
        </is>
      </c>
      <c r="FV1277">
        <f>VLOOKUP(FU1277,FD:FL,9,0)</f>
        <v/>
      </c>
    </row>
    <row r="1278">
      <c r="FC1278" t="inlineStr">
        <is>
          <t>Diccionario 2</t>
        </is>
      </c>
      <c r="FD1278" s="15" t="inlineStr">
        <is>
          <t>VFPL-81</t>
        </is>
      </c>
      <c r="FE1278" s="15" t="inlineStr">
        <is>
          <t>MDN35025020120</t>
        </is>
      </c>
      <c r="FF1278" s="15" t="inlineStr">
        <is>
          <t>LDYECS316S0044011</t>
        </is>
      </c>
      <c r="FG1278" s="15" t="inlineStr">
        <is>
          <t>Zhong Tong</t>
        </is>
      </c>
      <c r="FH1278" s="15" t="inlineStr">
        <is>
          <t>Lck6122evg</t>
        </is>
      </c>
      <c r="FI1278" s="15" t="inlineStr">
        <is>
          <t>ZHONGTONG</t>
        </is>
      </c>
      <c r="FJ1278" s="15" t="inlineStr">
        <is>
          <t>LCK6122EVG</t>
        </is>
      </c>
      <c r="FK1278" s="15" t="n">
        <v>2025</v>
      </c>
      <c r="FL1278" s="15" t="inlineStr">
        <is>
          <t>B</t>
        </is>
      </c>
      <c r="FM1278" s="15" t="inlineStr">
        <is>
          <t>CERRILLOS</t>
        </is>
      </c>
      <c r="FN1278" s="15" t="inlineStr">
        <is>
          <t>Calle Uno 7371</t>
        </is>
      </c>
      <c r="FO1278" s="15" t="inlineStr">
        <is>
          <t>Cerrillos</t>
        </is>
      </c>
      <c r="FP1278" t="inlineStr">
        <is>
          <t>B</t>
        </is>
      </c>
      <c r="FS1278" s="14" t="inlineStr">
        <is>
          <t>SFWZ-53</t>
        </is>
      </c>
      <c r="FT1278" t="inlineStr">
        <is>
          <t>SFWZ-53</t>
        </is>
      </c>
      <c r="FU1278" t="inlineStr">
        <is>
          <t>SFWZ-53</t>
        </is>
      </c>
      <c r="FV1278">
        <f>VLOOKUP(FU1278,FD:FL,9,0)</f>
        <v/>
      </c>
    </row>
    <row r="1279">
      <c r="FC1279" t="inlineStr">
        <is>
          <t>Diccionario 2</t>
        </is>
      </c>
      <c r="FD1279" s="15" t="inlineStr">
        <is>
          <t>VFPL-87</t>
        </is>
      </c>
      <c r="FE1279" s="15" t="inlineStr">
        <is>
          <t>MDN35025020101</t>
        </is>
      </c>
      <c r="FF1279" s="15" t="inlineStr">
        <is>
          <t>LDYECS315S0044047</t>
        </is>
      </c>
      <c r="FG1279" s="15" t="inlineStr">
        <is>
          <t>Zhong Tong</t>
        </is>
      </c>
      <c r="FH1279" s="15" t="inlineStr">
        <is>
          <t>Lck6122evg</t>
        </is>
      </c>
      <c r="FI1279" s="15" t="inlineStr">
        <is>
          <t>ZHONGTONG</t>
        </is>
      </c>
      <c r="FJ1279" s="15" t="inlineStr">
        <is>
          <t>LCK6122EVG</t>
        </is>
      </c>
      <c r="FK1279" s="15" t="n">
        <v>2025</v>
      </c>
      <c r="FL1279" s="15" t="inlineStr">
        <is>
          <t>B</t>
        </is>
      </c>
      <c r="FM1279" s="15" t="inlineStr">
        <is>
          <t>CERRILLOS</t>
        </is>
      </c>
      <c r="FN1279" s="15" t="inlineStr">
        <is>
          <t>Calle Uno 7371</t>
        </is>
      </c>
      <c r="FO1279" s="15" t="inlineStr">
        <is>
          <t>Cerrillos</t>
        </is>
      </c>
      <c r="FP1279" t="inlineStr">
        <is>
          <t>B</t>
        </is>
      </c>
      <c r="FS1279" s="14" t="inlineStr">
        <is>
          <t>SFWZ-76</t>
        </is>
      </c>
      <c r="FT1279" t="inlineStr">
        <is>
          <t>SFWZ-76</t>
        </is>
      </c>
      <c r="FU1279" t="inlineStr">
        <is>
          <t>SFWZ-76</t>
        </is>
      </c>
      <c r="FV1279">
        <f>VLOOKUP(FU1279,FD:FL,9,0)</f>
        <v/>
      </c>
    </row>
    <row r="1280">
      <c r="FC1280" t="inlineStr">
        <is>
          <t>Diccionario 2</t>
        </is>
      </c>
      <c r="FD1280" s="15" t="inlineStr">
        <is>
          <t>VFPL-88</t>
        </is>
      </c>
      <c r="FE1280" s="15" t="inlineStr">
        <is>
          <t>MDN35025020071</t>
        </is>
      </c>
      <c r="FF1280" s="15" t="inlineStr">
        <is>
          <t>LDYECS316S0044039</t>
        </is>
      </c>
      <c r="FG1280" s="15" t="inlineStr">
        <is>
          <t>Zhong Tong</t>
        </is>
      </c>
      <c r="FH1280" s="15" t="inlineStr">
        <is>
          <t>Lck6122evg</t>
        </is>
      </c>
      <c r="FI1280" s="15" t="inlineStr">
        <is>
          <t>ZHONGTONG</t>
        </is>
      </c>
      <c r="FJ1280" s="15" t="inlineStr">
        <is>
          <t>LCK6122EVG</t>
        </is>
      </c>
      <c r="FK1280" s="15" t="n">
        <v>2025</v>
      </c>
      <c r="FL1280" s="15" t="inlineStr">
        <is>
          <t>B</t>
        </is>
      </c>
      <c r="FM1280" s="15" t="inlineStr">
        <is>
          <t>PIE ANDINO</t>
        </is>
      </c>
      <c r="FN1280" s="15" t="inlineStr">
        <is>
          <t>Pie Andino 31 (Pie Andino 383)</t>
        </is>
      </c>
      <c r="FO1280" s="15" t="inlineStr">
        <is>
          <t>Puente Alto</t>
        </is>
      </c>
      <c r="FP1280" t="inlineStr">
        <is>
          <t>B</t>
        </is>
      </c>
      <c r="FS1280" s="14" t="inlineStr">
        <is>
          <t>VJZB-67</t>
        </is>
      </c>
      <c r="FT1280" t="inlineStr">
        <is>
          <t>VJZB-67</t>
        </is>
      </c>
      <c r="FU1280" t="inlineStr">
        <is>
          <t>VJZB-67</t>
        </is>
      </c>
      <c r="FV1280">
        <f>VLOOKUP(FU1280,FD:FL,9,0)</f>
        <v/>
      </c>
    </row>
    <row r="1281">
      <c r="FC1281" t="inlineStr">
        <is>
          <t>Diccionario 2</t>
        </is>
      </c>
      <c r="FD1281" s="15" t="inlineStr">
        <is>
          <t>VFPL-92</t>
        </is>
      </c>
      <c r="FE1281" s="15" t="inlineStr">
        <is>
          <t>MDN35025010192</t>
        </is>
      </c>
      <c r="FF1281" s="15" t="inlineStr">
        <is>
          <t>LDYECS312S0044054</t>
        </is>
      </c>
      <c r="FG1281" s="15" t="inlineStr">
        <is>
          <t>Zhong Tong</t>
        </is>
      </c>
      <c r="FH1281" s="15" t="inlineStr">
        <is>
          <t>Lck6122evg</t>
        </is>
      </c>
      <c r="FI1281" s="15" t="inlineStr">
        <is>
          <t>ZHONGTONG</t>
        </is>
      </c>
      <c r="FJ1281" s="15" t="inlineStr">
        <is>
          <t>LCK6122EVG</t>
        </is>
      </c>
      <c r="FK1281" s="15" t="n">
        <v>2025</v>
      </c>
      <c r="FL1281" s="15" t="inlineStr">
        <is>
          <t>B</t>
        </is>
      </c>
      <c r="FM1281" s="15" t="inlineStr">
        <is>
          <t>PIE ANDINO</t>
        </is>
      </c>
      <c r="FN1281" s="15" t="inlineStr">
        <is>
          <t>Pie Andino 31 (Pie Andino 383)</t>
        </is>
      </c>
      <c r="FO1281" s="15" t="inlineStr">
        <is>
          <t>Puente Alto</t>
        </is>
      </c>
      <c r="FP1281" t="inlineStr">
        <is>
          <t>B</t>
        </is>
      </c>
      <c r="FS1281" s="14" t="inlineStr">
        <is>
          <t>SFWZ-29</t>
        </is>
      </c>
      <c r="FT1281" t="inlineStr">
        <is>
          <t>SFWZ-29</t>
        </is>
      </c>
      <c r="FU1281" t="inlineStr">
        <is>
          <t>SFWZ-29</t>
        </is>
      </c>
      <c r="FV1281">
        <f>VLOOKUP(FU1281,FD:FL,9,0)</f>
        <v/>
      </c>
    </row>
    <row r="1282">
      <c r="FC1282" t="inlineStr">
        <is>
          <t>Diccionario 2</t>
        </is>
      </c>
      <c r="FD1282" s="15" t="inlineStr">
        <is>
          <t>VFPP-11</t>
        </is>
      </c>
      <c r="FE1282" s="15" t="inlineStr">
        <is>
          <t>MDN35025010191</t>
        </is>
      </c>
      <c r="FF1282" s="15" t="inlineStr">
        <is>
          <t>LDYECS316S0044056</t>
        </is>
      </c>
      <c r="FG1282" s="15" t="inlineStr">
        <is>
          <t>Zhong Tong</t>
        </is>
      </c>
      <c r="FH1282" s="15" t="inlineStr">
        <is>
          <t>Lck6122evg</t>
        </is>
      </c>
      <c r="FI1282" s="15" t="inlineStr">
        <is>
          <t>ZHONGTONG</t>
        </is>
      </c>
      <c r="FJ1282" s="15" t="inlineStr">
        <is>
          <t>LCK6122EVG</t>
        </is>
      </c>
      <c r="FK1282" s="15" t="n">
        <v>2025</v>
      </c>
      <c r="FL1282" s="15" t="inlineStr">
        <is>
          <t>B</t>
        </is>
      </c>
      <c r="FM1282" s="15" t="inlineStr">
        <is>
          <t>PIE ANDINO</t>
        </is>
      </c>
      <c r="FN1282" s="15" t="inlineStr">
        <is>
          <t>Pie Andino 31 (Pie Andino 383)</t>
        </is>
      </c>
      <c r="FO1282" s="15" t="inlineStr">
        <is>
          <t>Puente Alto</t>
        </is>
      </c>
      <c r="FP1282" t="inlineStr">
        <is>
          <t>B</t>
        </is>
      </c>
      <c r="FS1282" s="14" t="inlineStr">
        <is>
          <t>SFWZ-66</t>
        </is>
      </c>
      <c r="FT1282" t="inlineStr">
        <is>
          <t>SFWZ-66</t>
        </is>
      </c>
      <c r="FU1282" t="inlineStr">
        <is>
          <t>SFWZ-66</t>
        </is>
      </c>
      <c r="FV1282">
        <f>VLOOKUP(FU1282,FD:FL,9,0)</f>
        <v/>
      </c>
    </row>
    <row r="1283">
      <c r="FC1283" t="inlineStr">
        <is>
          <t>Diccionario 2</t>
        </is>
      </c>
      <c r="FD1283" s="15" t="inlineStr">
        <is>
          <t>VFPS-39</t>
        </is>
      </c>
      <c r="FE1283" s="15" t="inlineStr">
        <is>
          <t>MDN35025010217</t>
        </is>
      </c>
      <c r="FF1283" s="15" t="inlineStr">
        <is>
          <t>LDYECS319S0044083</t>
        </is>
      </c>
      <c r="FG1283" s="15" t="inlineStr">
        <is>
          <t>Zhong Tong</t>
        </is>
      </c>
      <c r="FH1283" s="15" t="inlineStr">
        <is>
          <t>Lck6122evg</t>
        </is>
      </c>
      <c r="FI1283" s="15" t="inlineStr">
        <is>
          <t>ZHONGTONG</t>
        </is>
      </c>
      <c r="FJ1283" s="15" t="inlineStr">
        <is>
          <t>LCK6122EVG</t>
        </is>
      </c>
      <c r="FK1283" s="15" t="n">
        <v>2025</v>
      </c>
      <c r="FL1283" s="15" t="inlineStr">
        <is>
          <t>B</t>
        </is>
      </c>
      <c r="FM1283" s="15" t="inlineStr">
        <is>
          <t>CERRILLOS</t>
        </is>
      </c>
      <c r="FN1283" s="15" t="inlineStr">
        <is>
          <t>Calle Uno 7371</t>
        </is>
      </c>
      <c r="FO1283" s="15" t="inlineStr">
        <is>
          <t>Cerrillos</t>
        </is>
      </c>
      <c r="FP1283" t="inlineStr">
        <is>
          <t>B</t>
        </is>
      </c>
      <c r="FS1283" s="14" t="inlineStr">
        <is>
          <t>SFWZ-27</t>
        </is>
      </c>
      <c r="FT1283" t="inlineStr">
        <is>
          <t>SFWZ-27</t>
        </is>
      </c>
      <c r="FU1283" t="inlineStr">
        <is>
          <t>SFWZ-27</t>
        </is>
      </c>
      <c r="FV1283">
        <f>VLOOKUP(FU1283,FD:FL,9,0)</f>
        <v/>
      </c>
    </row>
    <row r="1284">
      <c r="FC1284" t="inlineStr">
        <is>
          <t>Diccionario 2</t>
        </is>
      </c>
      <c r="FD1284" s="15" t="inlineStr">
        <is>
          <t>VFPS-47</t>
        </is>
      </c>
      <c r="FE1284" s="15" t="inlineStr">
        <is>
          <t>MDN35025020132</t>
        </is>
      </c>
      <c r="FF1284" s="15" t="inlineStr">
        <is>
          <t>LDYECS318S0044057</t>
        </is>
      </c>
      <c r="FG1284" s="15" t="inlineStr">
        <is>
          <t>Zhong Tong</t>
        </is>
      </c>
      <c r="FH1284" s="15" t="inlineStr">
        <is>
          <t>Lck6122evg</t>
        </is>
      </c>
      <c r="FI1284" s="15" t="inlineStr">
        <is>
          <t>ZHONGTONG</t>
        </is>
      </c>
      <c r="FJ1284" s="15" t="inlineStr">
        <is>
          <t>LCK6122EVG</t>
        </is>
      </c>
      <c r="FK1284" s="15" t="n">
        <v>2025</v>
      </c>
      <c r="FL1284" s="15" t="inlineStr">
        <is>
          <t>B</t>
        </is>
      </c>
      <c r="FM1284" s="15" t="inlineStr">
        <is>
          <t>CERRILLOS</t>
        </is>
      </c>
      <c r="FN1284" s="15" t="inlineStr">
        <is>
          <t>Calle Uno 7371</t>
        </is>
      </c>
      <c r="FO1284" s="15" t="inlineStr">
        <is>
          <t>Cerrillos</t>
        </is>
      </c>
      <c r="FP1284" t="inlineStr">
        <is>
          <t>B</t>
        </is>
      </c>
      <c r="FS1284" s="14" t="inlineStr">
        <is>
          <t>VJKT-45</t>
        </is>
      </c>
      <c r="FT1284" t="inlineStr">
        <is>
          <t>VJKT-45</t>
        </is>
      </c>
      <c r="FU1284" t="inlineStr">
        <is>
          <t>VJKT-45</t>
        </is>
      </c>
      <c r="FV1284">
        <f>VLOOKUP(FU1284,FD:FL,9,0)</f>
        <v/>
      </c>
    </row>
    <row r="1285">
      <c r="FC1285" t="inlineStr">
        <is>
          <t>Diccionario 2</t>
        </is>
      </c>
      <c r="FD1285" s="15" t="inlineStr">
        <is>
          <t>VFPS-48</t>
        </is>
      </c>
      <c r="FE1285" s="15" t="inlineStr">
        <is>
          <t>MDN35025020073</t>
        </is>
      </c>
      <c r="FF1285" s="15" t="inlineStr">
        <is>
          <t>LDYECS315S0044050</t>
        </is>
      </c>
      <c r="FG1285" s="15" t="inlineStr">
        <is>
          <t>Zhong Tong</t>
        </is>
      </c>
      <c r="FH1285" s="15" t="inlineStr">
        <is>
          <t>Lck6122evg</t>
        </is>
      </c>
      <c r="FI1285" s="15" t="inlineStr">
        <is>
          <t>ZHONGTONG</t>
        </is>
      </c>
      <c r="FJ1285" s="15" t="inlineStr">
        <is>
          <t>LCK6122EVG</t>
        </is>
      </c>
      <c r="FK1285" s="15" t="n">
        <v>2025</v>
      </c>
      <c r="FL1285" s="15" t="inlineStr">
        <is>
          <t>B</t>
        </is>
      </c>
      <c r="FM1285" s="15" t="inlineStr">
        <is>
          <t>PIE ANDINO</t>
        </is>
      </c>
      <c r="FN1285" s="15" t="inlineStr">
        <is>
          <t>Pie Andino 31 (Pie Andino 383)</t>
        </is>
      </c>
      <c r="FO1285" s="15" t="inlineStr">
        <is>
          <t>Puente Alto</t>
        </is>
      </c>
      <c r="FP1285" t="inlineStr">
        <is>
          <t>B</t>
        </is>
      </c>
      <c r="FS1285" s="14" t="inlineStr">
        <is>
          <t>SFWZ-63</t>
        </is>
      </c>
      <c r="FT1285" t="inlineStr">
        <is>
          <t>SFWZ-63</t>
        </is>
      </c>
      <c r="FU1285" t="inlineStr">
        <is>
          <t>SFWZ-63</t>
        </is>
      </c>
      <c r="FV1285">
        <f>VLOOKUP(FU1285,FD:FL,9,0)</f>
        <v/>
      </c>
    </row>
    <row r="1286">
      <c r="FC1286" t="inlineStr">
        <is>
          <t>Diccionario 2</t>
        </is>
      </c>
      <c r="FD1286" s="15" t="inlineStr">
        <is>
          <t>VFPS-56</t>
        </is>
      </c>
      <c r="FE1286" s="15" t="inlineStr">
        <is>
          <t>MDN35025010190</t>
        </is>
      </c>
      <c r="FF1286" s="15" t="inlineStr">
        <is>
          <t>LDYECS310S0044084</t>
        </is>
      </c>
      <c r="FG1286" s="15" t="inlineStr">
        <is>
          <t>Zhong Tong</t>
        </is>
      </c>
      <c r="FH1286" s="15" t="inlineStr">
        <is>
          <t>Lck6122evg</t>
        </is>
      </c>
      <c r="FI1286" s="15" t="inlineStr">
        <is>
          <t>ZHONGTONG</t>
        </is>
      </c>
      <c r="FJ1286" s="15" t="inlineStr">
        <is>
          <t>LCK6122EVG</t>
        </is>
      </c>
      <c r="FK1286" s="15" t="n">
        <v>2025</v>
      </c>
      <c r="FL1286" s="15" t="inlineStr">
        <is>
          <t>B</t>
        </is>
      </c>
      <c r="FM1286" s="15" t="inlineStr">
        <is>
          <t>PIE ANDINO</t>
        </is>
      </c>
      <c r="FN1286" s="15" t="inlineStr">
        <is>
          <t>Pie Andino 31 (Pie Andino 383)</t>
        </is>
      </c>
      <c r="FO1286" s="15" t="inlineStr">
        <is>
          <t>Puente Alto</t>
        </is>
      </c>
      <c r="FP1286" t="inlineStr">
        <is>
          <t>B</t>
        </is>
      </c>
      <c r="FS1286" s="14" t="inlineStr">
        <is>
          <t>SFWB-73</t>
        </is>
      </c>
      <c r="FT1286" t="inlineStr">
        <is>
          <t>SFWB-73</t>
        </is>
      </c>
      <c r="FU1286" t="inlineStr">
        <is>
          <t>SFWB-73</t>
        </is>
      </c>
      <c r="FV1286">
        <f>VLOOKUP(FU1286,FD:FL,9,0)</f>
        <v/>
      </c>
    </row>
    <row r="1287">
      <c r="FC1287" t="inlineStr">
        <is>
          <t>Diccionario 2</t>
        </is>
      </c>
      <c r="FD1287" s="15" t="inlineStr">
        <is>
          <t>VFPS-65</t>
        </is>
      </c>
      <c r="FE1287" s="15" t="inlineStr">
        <is>
          <t>MDN35025020029</t>
        </is>
      </c>
      <c r="FF1287" s="15" t="inlineStr">
        <is>
          <t>LDYECS311S0044045</t>
        </is>
      </c>
      <c r="FG1287" s="15" t="inlineStr">
        <is>
          <t>Zhong Tong</t>
        </is>
      </c>
      <c r="FH1287" s="15" t="inlineStr">
        <is>
          <t>Lck6122evg</t>
        </is>
      </c>
      <c r="FI1287" s="15" t="inlineStr">
        <is>
          <t>ZHONGTONG</t>
        </is>
      </c>
      <c r="FJ1287" s="15" t="inlineStr">
        <is>
          <t>LCK6122EVG</t>
        </is>
      </c>
      <c r="FK1287" s="15" t="n">
        <v>2025</v>
      </c>
      <c r="FL1287" s="15" t="inlineStr">
        <is>
          <t>B</t>
        </is>
      </c>
      <c r="FM1287" s="15" t="inlineStr">
        <is>
          <t>CERRILLOS</t>
        </is>
      </c>
      <c r="FN1287" s="15" t="inlineStr">
        <is>
          <t>Calle Uno 7371</t>
        </is>
      </c>
      <c r="FO1287" s="15" t="inlineStr">
        <is>
          <t>Cerrillos</t>
        </is>
      </c>
      <c r="FP1287" t="inlineStr">
        <is>
          <t>B</t>
        </is>
      </c>
      <c r="FS1287" s="14" t="inlineStr">
        <is>
          <t>3067 / SFWB-73|</t>
        </is>
      </c>
      <c r="FT1287" t="inlineStr">
        <is>
          <t>SFWB-73|</t>
        </is>
      </c>
      <c r="FU1287" t="inlineStr">
        <is>
          <t>SFWB-73</t>
        </is>
      </c>
      <c r="FV1287">
        <f>VLOOKUP(FU1287,FD:FL,9,0)</f>
        <v/>
      </c>
    </row>
    <row r="1288">
      <c r="FC1288" t="inlineStr">
        <is>
          <t>Diccionario 2</t>
        </is>
      </c>
      <c r="FD1288" s="15" t="inlineStr">
        <is>
          <t>VFPS-69</t>
        </is>
      </c>
      <c r="FE1288" s="15" t="inlineStr">
        <is>
          <t>MDN35025010198</t>
        </is>
      </c>
      <c r="FF1288" s="15" t="inlineStr">
        <is>
          <t>LDYECS314S0044038</t>
        </is>
      </c>
      <c r="FG1288" s="15" t="inlineStr">
        <is>
          <t>Zhong Tong</t>
        </is>
      </c>
      <c r="FH1288" s="15" t="inlineStr">
        <is>
          <t>Lck6122evg</t>
        </is>
      </c>
      <c r="FI1288" s="15" t="inlineStr">
        <is>
          <t>ZHONGTONG</t>
        </is>
      </c>
      <c r="FJ1288" s="15" t="inlineStr">
        <is>
          <t>LCK6122EVG</t>
        </is>
      </c>
      <c r="FK1288" s="15" t="n">
        <v>2025</v>
      </c>
      <c r="FL1288" s="15" t="inlineStr">
        <is>
          <t>B</t>
        </is>
      </c>
      <c r="FM1288" s="15" t="inlineStr">
        <is>
          <t>CERRILLOS</t>
        </is>
      </c>
      <c r="FN1288" s="15" t="inlineStr">
        <is>
          <t>Calle Uno 7371</t>
        </is>
      </c>
      <c r="FO1288" s="15" t="inlineStr">
        <is>
          <t>Cerrillos</t>
        </is>
      </c>
      <c r="FP1288" t="inlineStr">
        <is>
          <t>B</t>
        </is>
      </c>
      <c r="FS1288" s="14" t="inlineStr">
        <is>
          <t>3076 / SFWZ-53|</t>
        </is>
      </c>
      <c r="FT1288" t="inlineStr">
        <is>
          <t>SFWZ-53|</t>
        </is>
      </c>
      <c r="FU1288" t="inlineStr">
        <is>
          <t>SFWZ-53</t>
        </is>
      </c>
      <c r="FV1288">
        <f>VLOOKUP(FU1288,FD:FL,9,0)</f>
        <v/>
      </c>
    </row>
    <row r="1289">
      <c r="FC1289" t="inlineStr">
        <is>
          <t>Diccionario 2</t>
        </is>
      </c>
      <c r="FD1289" s="15" t="inlineStr">
        <is>
          <t>VFPS-74</t>
        </is>
      </c>
      <c r="FE1289" s="15" t="inlineStr">
        <is>
          <t>MDN35025020050</t>
        </is>
      </c>
      <c r="FF1289" s="15" t="inlineStr">
        <is>
          <t>LDYECS311S0044028</t>
        </is>
      </c>
      <c r="FG1289" s="15" t="inlineStr">
        <is>
          <t>Zhong Tong</t>
        </is>
      </c>
      <c r="FH1289" s="15" t="inlineStr">
        <is>
          <t>Lck6122evg</t>
        </is>
      </c>
      <c r="FI1289" s="15" t="inlineStr">
        <is>
          <t>ZHONGTONG</t>
        </is>
      </c>
      <c r="FJ1289" s="15" t="inlineStr">
        <is>
          <t>LCK6122EVG</t>
        </is>
      </c>
      <c r="FK1289" s="15" t="n">
        <v>2025</v>
      </c>
      <c r="FL1289" s="15" t="inlineStr">
        <is>
          <t>B</t>
        </is>
      </c>
      <c r="FM1289" s="15" t="inlineStr">
        <is>
          <t>PIE ANDINO</t>
        </is>
      </c>
      <c r="FN1289" s="15" t="inlineStr">
        <is>
          <t>Pie Andino 31 (Pie Andino 383)</t>
        </is>
      </c>
      <c r="FO1289" s="15" t="inlineStr">
        <is>
          <t>Puente Alto</t>
        </is>
      </c>
      <c r="FP1289" t="inlineStr">
        <is>
          <t>B</t>
        </is>
      </c>
      <c r="FS1289" s="14" t="inlineStr">
        <is>
          <t>3024 / SFWB-76|</t>
        </is>
      </c>
      <c r="FT1289" t="inlineStr">
        <is>
          <t>SFWB-76|</t>
        </is>
      </c>
      <c r="FU1289" t="inlineStr">
        <is>
          <t>SFWB-76</t>
        </is>
      </c>
      <c r="FV1289">
        <f>VLOOKUP(FU1289,FD:FL,9,0)</f>
        <v/>
      </c>
    </row>
    <row r="1290">
      <c r="FC1290" t="inlineStr">
        <is>
          <t>Diccionario 2</t>
        </is>
      </c>
      <c r="FD1290" s="15" t="inlineStr">
        <is>
          <t>VFPS-78</t>
        </is>
      </c>
      <c r="FE1290" s="15" t="inlineStr">
        <is>
          <t>MDN35025020099</t>
        </is>
      </c>
      <c r="FF1290" s="15" t="inlineStr">
        <is>
          <t>LDYECS311S0044031</t>
        </is>
      </c>
      <c r="FG1290" s="15" t="inlineStr">
        <is>
          <t>Zhong Tong</t>
        </is>
      </c>
      <c r="FH1290" s="15" t="inlineStr">
        <is>
          <t>Lck6122evg</t>
        </is>
      </c>
      <c r="FI1290" s="15" t="inlineStr">
        <is>
          <t>ZHONGTONG</t>
        </is>
      </c>
      <c r="FJ1290" s="15" t="inlineStr">
        <is>
          <t>LCK6122EVG</t>
        </is>
      </c>
      <c r="FK1290" s="15" t="n">
        <v>2025</v>
      </c>
      <c r="FL1290" s="15" t="inlineStr">
        <is>
          <t>B</t>
        </is>
      </c>
      <c r="FM1290" s="15" t="inlineStr">
        <is>
          <t>PIE ANDINO</t>
        </is>
      </c>
      <c r="FN1290" s="15" t="inlineStr">
        <is>
          <t>Pie Andino 31 (Pie Andino 383)</t>
        </is>
      </c>
      <c r="FO1290" s="15" t="inlineStr">
        <is>
          <t>Puente Alto</t>
        </is>
      </c>
      <c r="FP1290" t="inlineStr">
        <is>
          <t>B</t>
        </is>
      </c>
      <c r="FS1290" s="14" t="inlineStr">
        <is>
          <t>VJZB-37</t>
        </is>
      </c>
      <c r="FT1290" t="inlineStr">
        <is>
          <t>VJZB-37</t>
        </is>
      </c>
      <c r="FU1290" t="inlineStr">
        <is>
          <t>VJZB-37</t>
        </is>
      </c>
      <c r="FV1290">
        <f>VLOOKUP(FU1290,FD:FL,9,0)</f>
        <v/>
      </c>
    </row>
    <row r="1291">
      <c r="FC1291" t="inlineStr">
        <is>
          <t>Diccionario 2</t>
        </is>
      </c>
      <c r="FD1291" s="15" t="inlineStr">
        <is>
          <t>VFPS-85</t>
        </is>
      </c>
      <c r="FE1291" s="15" t="inlineStr">
        <is>
          <t>MDN35025010246</t>
        </is>
      </c>
      <c r="FF1291" s="15" t="inlineStr">
        <is>
          <t>LDYECS314S0044055</t>
        </is>
      </c>
      <c r="FG1291" s="15" t="inlineStr">
        <is>
          <t>Zhong Tong</t>
        </is>
      </c>
      <c r="FH1291" s="15" t="inlineStr">
        <is>
          <t>Lck6122evg</t>
        </is>
      </c>
      <c r="FI1291" s="15" t="inlineStr">
        <is>
          <t>ZHONGTONG</t>
        </is>
      </c>
      <c r="FJ1291" s="15" t="inlineStr">
        <is>
          <t>LCK6122EVG</t>
        </is>
      </c>
      <c r="FK1291" s="15" t="n">
        <v>2025</v>
      </c>
      <c r="FL1291" s="15" t="inlineStr">
        <is>
          <t>B</t>
        </is>
      </c>
      <c r="FM1291" s="15" t="inlineStr">
        <is>
          <t>PIE ANDINO</t>
        </is>
      </c>
      <c r="FN1291" s="15" t="inlineStr">
        <is>
          <t>Pie Andino 31 (Pie Andino 383)</t>
        </is>
      </c>
      <c r="FO1291" s="15" t="inlineStr">
        <is>
          <t>Puente Alto</t>
        </is>
      </c>
      <c r="FP1291" t="inlineStr">
        <is>
          <t>B</t>
        </is>
      </c>
      <c r="FS1291" s="14" t="inlineStr">
        <is>
          <t>SFWB-85</t>
        </is>
      </c>
      <c r="FT1291" t="inlineStr">
        <is>
          <t>SFWB-85</t>
        </is>
      </c>
      <c r="FU1291" t="inlineStr">
        <is>
          <t>SFWB-85</t>
        </is>
      </c>
      <c r="FV1291">
        <f>VLOOKUP(FU1291,FD:FL,9,0)</f>
        <v/>
      </c>
    </row>
    <row r="1292">
      <c r="FC1292" t="inlineStr">
        <is>
          <t>Diccionario 2</t>
        </is>
      </c>
      <c r="FD1292" s="15" t="inlineStr">
        <is>
          <t>VFPS-86</t>
        </is>
      </c>
      <c r="FE1292" s="15" t="inlineStr">
        <is>
          <t>MDN35025020047</t>
        </is>
      </c>
      <c r="FF1292" s="15" t="inlineStr">
        <is>
          <t>LDYECS310S0044036</t>
        </is>
      </c>
      <c r="FG1292" s="15" t="inlineStr">
        <is>
          <t>Zhong Tong</t>
        </is>
      </c>
      <c r="FH1292" s="15" t="inlineStr">
        <is>
          <t>Lck6122evg</t>
        </is>
      </c>
      <c r="FI1292" s="15" t="inlineStr">
        <is>
          <t>ZHONGTONG</t>
        </is>
      </c>
      <c r="FJ1292" s="15" t="inlineStr">
        <is>
          <t>LCK6122EVG</t>
        </is>
      </c>
      <c r="FK1292" s="15" t="n">
        <v>2025</v>
      </c>
      <c r="FL1292" s="15" t="inlineStr">
        <is>
          <t>B</t>
        </is>
      </c>
      <c r="FM1292" s="15" t="inlineStr">
        <is>
          <t>PIE ANDINO</t>
        </is>
      </c>
      <c r="FN1292" s="15" t="inlineStr">
        <is>
          <t>Pie Andino 31 (Pie Andino 383)</t>
        </is>
      </c>
      <c r="FO1292" s="15" t="inlineStr">
        <is>
          <t>Puente Alto</t>
        </is>
      </c>
      <c r="FP1292" t="inlineStr">
        <is>
          <t>B</t>
        </is>
      </c>
      <c r="FS1292" s="14" t="inlineStr">
        <is>
          <t>SFWB-31</t>
        </is>
      </c>
      <c r="FT1292" t="inlineStr">
        <is>
          <t>SFWB-31</t>
        </is>
      </c>
      <c r="FU1292" t="inlineStr">
        <is>
          <t>SFWB-31</t>
        </is>
      </c>
      <c r="FV1292">
        <f>VLOOKUP(FU1292,FD:FL,9,0)</f>
        <v/>
      </c>
    </row>
    <row r="1293">
      <c r="FC1293" t="inlineStr">
        <is>
          <t>Diccionario 2</t>
        </is>
      </c>
      <c r="FD1293" s="15" t="inlineStr">
        <is>
          <t>VFPS-87</t>
        </is>
      </c>
      <c r="FE1293" s="15" t="inlineStr">
        <is>
          <t>MDN35025020114</t>
        </is>
      </c>
      <c r="FF1293" s="15" t="inlineStr">
        <is>
          <t>LDYECS315S0044033</t>
        </is>
      </c>
      <c r="FG1293" s="15" t="inlineStr">
        <is>
          <t>Zhong Tong</t>
        </is>
      </c>
      <c r="FH1293" s="15" t="inlineStr">
        <is>
          <t>Lck6122evg</t>
        </is>
      </c>
      <c r="FI1293" s="15" t="inlineStr">
        <is>
          <t>ZHONGTONG</t>
        </is>
      </c>
      <c r="FJ1293" s="15" t="inlineStr">
        <is>
          <t>LCK6122EVG</t>
        </is>
      </c>
      <c r="FK1293" s="15" t="n">
        <v>2025</v>
      </c>
      <c r="FL1293" s="15" t="inlineStr">
        <is>
          <t>B</t>
        </is>
      </c>
      <c r="FM1293" s="15" t="inlineStr">
        <is>
          <t>CERRILLOS</t>
        </is>
      </c>
      <c r="FN1293" s="15" t="inlineStr">
        <is>
          <t>Calle Uno 7371</t>
        </is>
      </c>
      <c r="FO1293" s="15" t="inlineStr">
        <is>
          <t>Cerrillos</t>
        </is>
      </c>
      <c r="FP1293" t="inlineStr">
        <is>
          <t>B</t>
        </is>
      </c>
      <c r="FS1293" s="14" t="inlineStr">
        <is>
          <t>SFWZ-74</t>
        </is>
      </c>
      <c r="FT1293" t="inlineStr">
        <is>
          <t>SFWZ-74</t>
        </is>
      </c>
      <c r="FU1293" t="inlineStr">
        <is>
          <t>SFWZ-74</t>
        </is>
      </c>
      <c r="FV1293">
        <f>VLOOKUP(FU1293,FD:FL,9,0)</f>
        <v/>
      </c>
    </row>
    <row r="1294">
      <c r="FC1294" t="inlineStr">
        <is>
          <t>Diccionario 2</t>
        </is>
      </c>
      <c r="FD1294" s="15" t="inlineStr">
        <is>
          <t>VFPS-89</t>
        </is>
      </c>
      <c r="FE1294" s="15" t="inlineStr">
        <is>
          <t>MDN35025020031</t>
        </is>
      </c>
      <c r="FF1294" s="15" t="inlineStr">
        <is>
          <t>LDYECS319S0044049</t>
        </is>
      </c>
      <c r="FG1294" s="15" t="inlineStr">
        <is>
          <t>Zhong Tong</t>
        </is>
      </c>
      <c r="FH1294" s="15" t="inlineStr">
        <is>
          <t>Lck6122evg</t>
        </is>
      </c>
      <c r="FI1294" s="15" t="inlineStr">
        <is>
          <t>ZHONGTONG</t>
        </is>
      </c>
      <c r="FJ1294" s="15" t="inlineStr">
        <is>
          <t>LCK6122EVG</t>
        </is>
      </c>
      <c r="FK1294" s="15" t="n">
        <v>2025</v>
      </c>
      <c r="FL1294" s="15" t="inlineStr">
        <is>
          <t>B</t>
        </is>
      </c>
      <c r="FM1294" s="15" t="inlineStr">
        <is>
          <t>PIE ANDINO</t>
        </is>
      </c>
      <c r="FN1294" s="15" t="inlineStr">
        <is>
          <t>Pie Andino 31 (Pie Andino 383)</t>
        </is>
      </c>
      <c r="FO1294" s="15" t="inlineStr">
        <is>
          <t>Puente Alto</t>
        </is>
      </c>
      <c r="FP1294" t="inlineStr">
        <is>
          <t>B</t>
        </is>
      </c>
      <c r="FS1294" s="14" t="inlineStr">
        <is>
          <t>VJKT-92|</t>
        </is>
      </c>
      <c r="FT1294" t="inlineStr">
        <is>
          <t>VJKT-92|</t>
        </is>
      </c>
      <c r="FU1294" t="inlineStr">
        <is>
          <t>VJKT-92</t>
        </is>
      </c>
      <c r="FV1294">
        <f>VLOOKUP(FU1294,FD:FL,9,0)</f>
        <v/>
      </c>
    </row>
    <row r="1295">
      <c r="FC1295" t="inlineStr">
        <is>
          <t>Diccionario 2</t>
        </is>
      </c>
      <c r="FD1295" s="15" t="inlineStr">
        <is>
          <t>VFPS-94</t>
        </is>
      </c>
      <c r="FE1295" s="15" t="inlineStr">
        <is>
          <t>MDN35025020072</t>
        </is>
      </c>
      <c r="FF1295" s="15" t="inlineStr">
        <is>
          <t>LDYECS317S0044051</t>
        </is>
      </c>
      <c r="FG1295" s="15" t="inlineStr">
        <is>
          <t>Zhong Tong</t>
        </is>
      </c>
      <c r="FH1295" s="15" t="inlineStr">
        <is>
          <t>Lck6122evg</t>
        </is>
      </c>
      <c r="FI1295" s="15" t="inlineStr">
        <is>
          <t>ZHONGTONG</t>
        </is>
      </c>
      <c r="FJ1295" s="15" t="inlineStr">
        <is>
          <t>LCK6122EVG</t>
        </is>
      </c>
      <c r="FK1295" s="15" t="n">
        <v>2025</v>
      </c>
      <c r="FL1295" s="15" t="inlineStr">
        <is>
          <t>B</t>
        </is>
      </c>
      <c r="FM1295" s="15" t="inlineStr">
        <is>
          <t>PIE ANDINO</t>
        </is>
      </c>
      <c r="FN1295" s="15" t="inlineStr">
        <is>
          <t>Pie Andino 31 (Pie Andino 383)</t>
        </is>
      </c>
      <c r="FO1295" s="15" t="inlineStr">
        <is>
          <t>Puente Alto</t>
        </is>
      </c>
      <c r="FP1295" t="inlineStr">
        <is>
          <t>B</t>
        </is>
      </c>
      <c r="FS1295" s="14" t="inlineStr">
        <is>
          <t>3095 / SFWZ-58|</t>
        </is>
      </c>
      <c r="FT1295" t="inlineStr">
        <is>
          <t>SFWZ-58|</t>
        </is>
      </c>
      <c r="FU1295" t="inlineStr">
        <is>
          <t>SFWZ-58</t>
        </is>
      </c>
      <c r="FV1295">
        <f>VLOOKUP(FU1295,FD:FL,9,0)</f>
        <v/>
      </c>
    </row>
    <row r="1296">
      <c r="FC1296" t="inlineStr">
        <is>
          <t>Diccionario 2</t>
        </is>
      </c>
      <c r="FD1296" s="15" t="inlineStr">
        <is>
          <t>VFPS-99</t>
        </is>
      </c>
      <c r="FE1296" s="15" t="inlineStr">
        <is>
          <t>MDN35025020042</t>
        </is>
      </c>
      <c r="FF1296" s="15" t="inlineStr">
        <is>
          <t>LDYECS315S0044078</t>
        </is>
      </c>
      <c r="FG1296" s="15" t="inlineStr">
        <is>
          <t>Zhong Tong</t>
        </is>
      </c>
      <c r="FH1296" s="15" t="inlineStr">
        <is>
          <t>Lck6122evg</t>
        </is>
      </c>
      <c r="FI1296" s="15" t="inlineStr">
        <is>
          <t>ZHONGTONG</t>
        </is>
      </c>
      <c r="FJ1296" s="15" t="inlineStr">
        <is>
          <t>LCK6122EVG</t>
        </is>
      </c>
      <c r="FK1296" s="15" t="n">
        <v>2025</v>
      </c>
      <c r="FL1296" s="15" t="inlineStr">
        <is>
          <t>B</t>
        </is>
      </c>
      <c r="FM1296" s="15" t="inlineStr">
        <is>
          <t>PIE ANDINO</t>
        </is>
      </c>
      <c r="FN1296" s="15" t="inlineStr">
        <is>
          <t>Pie Andino 31 (Pie Andino 383)</t>
        </is>
      </c>
      <c r="FO1296" s="15" t="inlineStr">
        <is>
          <t>Puente Alto</t>
        </is>
      </c>
      <c r="FP1296" t="inlineStr">
        <is>
          <t>B</t>
        </is>
      </c>
      <c r="FS1296" s="14" t="inlineStr">
        <is>
          <t>3071 / SFWZ-29|</t>
        </is>
      </c>
      <c r="FT1296" t="inlineStr">
        <is>
          <t>SFWZ-29|</t>
        </is>
      </c>
      <c r="FU1296" t="inlineStr">
        <is>
          <t>SFWZ-29</t>
        </is>
      </c>
      <c r="FV1296">
        <f>VLOOKUP(FU1296,FD:FL,9,0)</f>
        <v/>
      </c>
    </row>
    <row r="1297">
      <c r="FC1297" t="inlineStr">
        <is>
          <t>Diccionario 2</t>
        </is>
      </c>
      <c r="FD1297" s="15" t="inlineStr">
        <is>
          <t>VFPT-23</t>
        </is>
      </c>
      <c r="FE1297" s="15" t="inlineStr">
        <is>
          <t>MDN35025020105</t>
        </is>
      </c>
      <c r="FF1297" s="15" t="inlineStr">
        <is>
          <t>LDYECS312S0044040</t>
        </is>
      </c>
      <c r="FG1297" s="15" t="inlineStr">
        <is>
          <t>Zhong Tong</t>
        </is>
      </c>
      <c r="FH1297" s="15" t="inlineStr">
        <is>
          <t>Lck6122evg</t>
        </is>
      </c>
      <c r="FI1297" s="15" t="inlineStr">
        <is>
          <t>ZHONGTONG</t>
        </is>
      </c>
      <c r="FJ1297" s="15" t="inlineStr">
        <is>
          <t>LCK6122EVG</t>
        </is>
      </c>
      <c r="FK1297" s="15" t="n">
        <v>2025</v>
      </c>
      <c r="FL1297" s="15" t="inlineStr">
        <is>
          <t>B</t>
        </is>
      </c>
      <c r="FM1297" s="15" t="inlineStr">
        <is>
          <t>SAN ALFONSO</t>
        </is>
      </c>
      <c r="FN1297" s="15" t="inlineStr">
        <is>
          <t>San Alfonso 2141 (Ramón Subercaseaux 3060)</t>
        </is>
      </c>
      <c r="FO1297" s="15" t="inlineStr">
        <is>
          <t>Estacion Central</t>
        </is>
      </c>
      <c r="FP1297" t="inlineStr">
        <is>
          <t>B</t>
        </is>
      </c>
      <c r="FS1297" s="14" t="inlineStr">
        <is>
          <t>VJYJ-15|</t>
        </is>
      </c>
      <c r="FT1297" t="inlineStr">
        <is>
          <t>VJYJ-15|</t>
        </is>
      </c>
      <c r="FU1297" t="inlineStr">
        <is>
          <t>VJYJ-15</t>
        </is>
      </c>
      <c r="FV1297">
        <f>VLOOKUP(FU1297,FD:FL,9,0)</f>
        <v/>
      </c>
    </row>
    <row r="1298">
      <c r="FC1298" t="inlineStr">
        <is>
          <t>Diccionario 2</t>
        </is>
      </c>
      <c r="FD1298" s="15" t="inlineStr">
        <is>
          <t>VFPT-27</t>
        </is>
      </c>
      <c r="FE1298" s="15" t="inlineStr">
        <is>
          <t>MDN35025020129</t>
        </is>
      </c>
      <c r="FF1298" s="15" t="inlineStr">
        <is>
          <t>LDYECS319S0044035</t>
        </is>
      </c>
      <c r="FG1298" s="15" t="inlineStr">
        <is>
          <t>Zhong Tong</t>
        </is>
      </c>
      <c r="FH1298" s="15" t="inlineStr">
        <is>
          <t>Lck6122evg</t>
        </is>
      </c>
      <c r="FI1298" s="15" t="inlineStr">
        <is>
          <t>ZHONGTONG</t>
        </is>
      </c>
      <c r="FJ1298" s="15" t="inlineStr">
        <is>
          <t>LCK6122EVG</t>
        </is>
      </c>
      <c r="FK1298" s="15" t="n">
        <v>2025</v>
      </c>
      <c r="FL1298" s="15" t="inlineStr">
        <is>
          <t>B</t>
        </is>
      </c>
      <c r="FM1298" s="15" t="inlineStr">
        <is>
          <t>SAN ALFONSO</t>
        </is>
      </c>
      <c r="FN1298" s="15" t="inlineStr">
        <is>
          <t>San Alfonso 2141 (Ramón Subercaseaux 3060)</t>
        </is>
      </c>
      <c r="FO1298" s="15" t="inlineStr">
        <is>
          <t>Estacion Central</t>
        </is>
      </c>
      <c r="FP1298" t="inlineStr">
        <is>
          <t>B</t>
        </is>
      </c>
      <c r="FS1298" s="14" t="inlineStr">
        <is>
          <t>VJZB-67|</t>
        </is>
      </c>
      <c r="FT1298" t="inlineStr">
        <is>
          <t>VJZB-67|</t>
        </is>
      </c>
      <c r="FU1298" t="inlineStr">
        <is>
          <t>VJZB-67</t>
        </is>
      </c>
      <c r="FV1298">
        <f>VLOOKUP(FU1298,FD:FL,9,0)</f>
        <v/>
      </c>
    </row>
    <row r="1299">
      <c r="FC1299" t="inlineStr">
        <is>
          <t>Diccionario 2</t>
        </is>
      </c>
      <c r="FD1299" s="15" t="inlineStr">
        <is>
          <t>VFPT-47</t>
        </is>
      </c>
      <c r="FE1299" s="15" t="inlineStr">
        <is>
          <t>MDN35025020107</t>
        </is>
      </c>
      <c r="FF1299" s="15" t="inlineStr">
        <is>
          <t>LDYECS313S0044063</t>
        </is>
      </c>
      <c r="FG1299" s="15" t="inlineStr">
        <is>
          <t>Zhong Tong</t>
        </is>
      </c>
      <c r="FH1299" s="15" t="inlineStr">
        <is>
          <t>Lck6122evg</t>
        </is>
      </c>
      <c r="FI1299" s="15" t="inlineStr">
        <is>
          <t>ZHONGTONG</t>
        </is>
      </c>
      <c r="FJ1299" s="15" t="inlineStr">
        <is>
          <t>LCK6122EVG</t>
        </is>
      </c>
      <c r="FK1299" s="15" t="n">
        <v>2025</v>
      </c>
      <c r="FL1299" s="15" t="inlineStr">
        <is>
          <t>B</t>
        </is>
      </c>
      <c r="FM1299" s="15" t="inlineStr">
        <is>
          <t>PIE ANDINO</t>
        </is>
      </c>
      <c r="FN1299" s="15" t="inlineStr">
        <is>
          <t>Pie Andino 31 (Pie Andino 383)</t>
        </is>
      </c>
      <c r="FO1299" s="15" t="inlineStr">
        <is>
          <t>Puente Alto</t>
        </is>
      </c>
      <c r="FP1299" t="inlineStr">
        <is>
          <t>B</t>
        </is>
      </c>
      <c r="FS1299" s="14" t="inlineStr">
        <is>
          <t>3102 / SFWZ-59|</t>
        </is>
      </c>
      <c r="FT1299" t="inlineStr">
        <is>
          <t>SFWZ-59|</t>
        </is>
      </c>
      <c r="FU1299" t="inlineStr">
        <is>
          <t>SFWZ-59</t>
        </is>
      </c>
      <c r="FV1299">
        <f>VLOOKUP(FU1299,FD:FL,9,0)</f>
        <v/>
      </c>
    </row>
    <row r="1300">
      <c r="FC1300" t="inlineStr">
        <is>
          <t>Diccionario 2</t>
        </is>
      </c>
      <c r="FD1300" s="15" t="inlineStr">
        <is>
          <t>VFPT-63</t>
        </is>
      </c>
      <c r="FE1300" s="15" t="inlineStr">
        <is>
          <t>MDN35025010243</t>
        </is>
      </c>
      <c r="FF1300" s="15" t="inlineStr">
        <is>
          <t>LDYECS310S0044053</t>
        </is>
      </c>
      <c r="FG1300" s="15" t="inlineStr">
        <is>
          <t>Zhong Tong</t>
        </is>
      </c>
      <c r="FH1300" s="15" t="inlineStr">
        <is>
          <t>Lck6122evg</t>
        </is>
      </c>
      <c r="FI1300" s="15" t="inlineStr">
        <is>
          <t>ZHONGTONG</t>
        </is>
      </c>
      <c r="FJ1300" s="15" t="inlineStr">
        <is>
          <t>LCK6122EVG</t>
        </is>
      </c>
      <c r="FK1300" s="15" t="n">
        <v>2025</v>
      </c>
      <c r="FL1300" s="15" t="inlineStr">
        <is>
          <t>B</t>
        </is>
      </c>
      <c r="FM1300" s="15" t="inlineStr">
        <is>
          <t>PIE ANDINO</t>
        </is>
      </c>
      <c r="FN1300" s="15" t="inlineStr">
        <is>
          <t>Pie Andino 31 (Pie Andino 383)</t>
        </is>
      </c>
      <c r="FO1300" s="15" t="inlineStr">
        <is>
          <t>Puente Alto</t>
        </is>
      </c>
      <c r="FP1300" t="inlineStr">
        <is>
          <t>B</t>
        </is>
      </c>
      <c r="FS1300" s="14" t="inlineStr">
        <is>
          <t>3082 / SFWZ-56|</t>
        </is>
      </c>
      <c r="FT1300" t="inlineStr">
        <is>
          <t>SFWZ-56|</t>
        </is>
      </c>
      <c r="FU1300" t="inlineStr">
        <is>
          <t>SFWZ-56</t>
        </is>
      </c>
      <c r="FV1300">
        <f>VLOOKUP(FU1300,FD:FL,9,0)</f>
        <v/>
      </c>
    </row>
    <row r="1301">
      <c r="FC1301" t="inlineStr">
        <is>
          <t>Diccionario 2</t>
        </is>
      </c>
      <c r="FD1301" s="15" t="inlineStr">
        <is>
          <t>VFPT-64</t>
        </is>
      </c>
      <c r="FE1301" s="15" t="inlineStr">
        <is>
          <t>MDN35025020034</t>
        </is>
      </c>
      <c r="FF1301" s="15" t="inlineStr">
        <is>
          <t>LDYECS315S0044064</t>
        </is>
      </c>
      <c r="FG1301" s="15" t="inlineStr">
        <is>
          <t>Zhong Tong</t>
        </is>
      </c>
      <c r="FH1301" s="15" t="inlineStr">
        <is>
          <t>Lck6122evg</t>
        </is>
      </c>
      <c r="FI1301" s="15" t="inlineStr">
        <is>
          <t>ZHONGTONG</t>
        </is>
      </c>
      <c r="FJ1301" s="15" t="inlineStr">
        <is>
          <t>LCK6122EVG</t>
        </is>
      </c>
      <c r="FK1301" s="15" t="n">
        <v>2025</v>
      </c>
      <c r="FL1301" s="15" t="inlineStr">
        <is>
          <t>B</t>
        </is>
      </c>
      <c r="FM1301" s="15" t="inlineStr">
        <is>
          <t>PIE ANDINO</t>
        </is>
      </c>
      <c r="FN1301" s="15" t="inlineStr">
        <is>
          <t>Pie Andino 31 (Pie Andino 383)</t>
        </is>
      </c>
      <c r="FO1301" s="15" t="inlineStr">
        <is>
          <t>Puente Alto</t>
        </is>
      </c>
      <c r="FP1301" t="inlineStr">
        <is>
          <t>B</t>
        </is>
      </c>
      <c r="FS1301" s="14" t="inlineStr">
        <is>
          <t>3008 / SFWB-58|</t>
        </is>
      </c>
      <c r="FT1301" t="inlineStr">
        <is>
          <t>SFWB-58|</t>
        </is>
      </c>
      <c r="FU1301" t="inlineStr">
        <is>
          <t>SFWB-58</t>
        </is>
      </c>
      <c r="FV1301">
        <f>VLOOKUP(FU1301,FD:FL,9,0)</f>
        <v/>
      </c>
    </row>
    <row r="1302">
      <c r="FC1302" t="inlineStr">
        <is>
          <t>Diccionario 2</t>
        </is>
      </c>
      <c r="FD1302" s="15" t="inlineStr">
        <is>
          <t>VFPT-65</t>
        </is>
      </c>
      <c r="FE1302" s="15" t="inlineStr">
        <is>
          <t>MDN35025010187</t>
        </is>
      </c>
      <c r="FF1302" s="15" t="inlineStr">
        <is>
          <t>LDYECS318S0044043</t>
        </is>
      </c>
      <c r="FG1302" s="15" t="inlineStr">
        <is>
          <t>Zhong Tong</t>
        </is>
      </c>
      <c r="FH1302" s="15" t="inlineStr">
        <is>
          <t>Lck6122evg</t>
        </is>
      </c>
      <c r="FI1302" s="15" t="inlineStr">
        <is>
          <t>ZHONGTONG</t>
        </is>
      </c>
      <c r="FJ1302" s="15" t="inlineStr">
        <is>
          <t>LCK6122EVG</t>
        </is>
      </c>
      <c r="FK1302" s="15" t="n">
        <v>2025</v>
      </c>
      <c r="FL1302" s="15" t="inlineStr">
        <is>
          <t>B</t>
        </is>
      </c>
      <c r="FM1302" s="15" t="inlineStr">
        <is>
          <t>PIE ANDINO</t>
        </is>
      </c>
      <c r="FN1302" s="15" t="inlineStr">
        <is>
          <t>Pie Andino 31 (Pie Andino 383)</t>
        </is>
      </c>
      <c r="FO1302" s="15" t="inlineStr">
        <is>
          <t>Puente Alto</t>
        </is>
      </c>
      <c r="FP1302" t="inlineStr">
        <is>
          <t>B</t>
        </is>
      </c>
      <c r="FS1302" s="14" t="inlineStr">
        <is>
          <t>VJKX-38|</t>
        </is>
      </c>
      <c r="FT1302" t="inlineStr">
        <is>
          <t>VJKX-38|</t>
        </is>
      </c>
      <c r="FU1302" t="inlineStr">
        <is>
          <t>VJKX-38</t>
        </is>
      </c>
      <c r="FV1302">
        <f>VLOOKUP(FU1302,FD:FL,9,0)</f>
        <v/>
      </c>
    </row>
    <row r="1303">
      <c r="FC1303" t="inlineStr">
        <is>
          <t>Diccionario 2</t>
        </is>
      </c>
      <c r="FD1303" s="15" t="inlineStr">
        <is>
          <t>VFPV-53</t>
        </is>
      </c>
      <c r="FE1303" s="15" t="inlineStr">
        <is>
          <t>MDN35025010199</t>
        </is>
      </c>
      <c r="FF1303" s="15" t="inlineStr">
        <is>
          <t>LDYECS316S0044042</t>
        </is>
      </c>
      <c r="FG1303" s="15" t="inlineStr">
        <is>
          <t>Zhong Tong</t>
        </is>
      </c>
      <c r="FH1303" s="15" t="inlineStr">
        <is>
          <t>Lck6122evg</t>
        </is>
      </c>
      <c r="FI1303" s="15" t="inlineStr">
        <is>
          <t>ZHONGTONG</t>
        </is>
      </c>
      <c r="FJ1303" s="15" t="inlineStr">
        <is>
          <t>LCK6122EVG</t>
        </is>
      </c>
      <c r="FK1303" s="15" t="n">
        <v>2025</v>
      </c>
      <c r="FL1303" s="15" t="inlineStr">
        <is>
          <t>B</t>
        </is>
      </c>
      <c r="FM1303" s="15" t="inlineStr">
        <is>
          <t>PIE ANDINO</t>
        </is>
      </c>
      <c r="FN1303" s="15" t="inlineStr">
        <is>
          <t>Pie Andino 31 (Pie Andino 383)</t>
        </is>
      </c>
      <c r="FO1303" s="15" t="inlineStr">
        <is>
          <t>Puente Alto</t>
        </is>
      </c>
      <c r="FP1303" t="inlineStr">
        <is>
          <t>B</t>
        </is>
      </c>
      <c r="FS1303" s="14" t="inlineStr">
        <is>
          <t>3067 / SFWB-73|</t>
        </is>
      </c>
      <c r="FT1303" t="inlineStr">
        <is>
          <t>SFWB-73|</t>
        </is>
      </c>
      <c r="FU1303" t="inlineStr">
        <is>
          <t>SFWB-73</t>
        </is>
      </c>
      <c r="FV1303">
        <f>VLOOKUP(FU1303,FD:FL,9,0)</f>
        <v/>
      </c>
    </row>
    <row r="1304">
      <c r="FC1304" t="inlineStr">
        <is>
          <t>Diccionario 2</t>
        </is>
      </c>
      <c r="FD1304" s="15" t="inlineStr">
        <is>
          <t>VFPV-63</t>
        </is>
      </c>
      <c r="FE1304" s="15" t="inlineStr">
        <is>
          <t>MDN35025020089</t>
        </is>
      </c>
      <c r="FF1304" s="15" t="inlineStr">
        <is>
          <t>LDYECS317S0044048</t>
        </is>
      </c>
      <c r="FG1304" s="15" t="inlineStr">
        <is>
          <t>Zhong Tong</t>
        </is>
      </c>
      <c r="FH1304" s="15" t="inlineStr">
        <is>
          <t>Lck6122evg</t>
        </is>
      </c>
      <c r="FI1304" s="15" t="inlineStr">
        <is>
          <t>ZHONGTONG</t>
        </is>
      </c>
      <c r="FJ1304" s="15" t="inlineStr">
        <is>
          <t>LCK6122EVG</t>
        </is>
      </c>
      <c r="FK1304" s="15" t="n">
        <v>2025</v>
      </c>
      <c r="FL1304" s="15" t="inlineStr">
        <is>
          <t>B</t>
        </is>
      </c>
      <c r="FM1304" s="15" t="inlineStr">
        <is>
          <t>SAN ALFONSO</t>
        </is>
      </c>
      <c r="FN1304" s="15" t="inlineStr">
        <is>
          <t>San Alfonso 2141 (Ramón Subercaseaux 3060)</t>
        </is>
      </c>
      <c r="FO1304" s="15" t="inlineStr">
        <is>
          <t>Estacion Central</t>
        </is>
      </c>
      <c r="FP1304" t="inlineStr">
        <is>
          <t>B</t>
        </is>
      </c>
      <c r="FS1304" s="14" t="inlineStr">
        <is>
          <t>3076 / SFWZ-53|</t>
        </is>
      </c>
      <c r="FT1304" t="inlineStr">
        <is>
          <t>SFWZ-53|</t>
        </is>
      </c>
      <c r="FU1304" t="inlineStr">
        <is>
          <t>SFWZ-53</t>
        </is>
      </c>
      <c r="FV1304">
        <f>VLOOKUP(FU1304,FD:FL,9,0)</f>
        <v/>
      </c>
    </row>
    <row r="1305">
      <c r="FC1305" t="inlineStr">
        <is>
          <t>Diccionario 2</t>
        </is>
      </c>
      <c r="FD1305" s="15" t="inlineStr">
        <is>
          <t>VFPV-73</t>
        </is>
      </c>
      <c r="FE1305" s="15" t="inlineStr">
        <is>
          <t>MDN35025020078</t>
        </is>
      </c>
      <c r="FF1305" s="15" t="inlineStr">
        <is>
          <t>LDYECS311S0044062</t>
        </is>
      </c>
      <c r="FG1305" s="15" t="inlineStr">
        <is>
          <t>Zhong Tong</t>
        </is>
      </c>
      <c r="FH1305" s="15" t="inlineStr">
        <is>
          <t>Lck6122evg</t>
        </is>
      </c>
      <c r="FI1305" s="15" t="inlineStr">
        <is>
          <t>ZHONGTONG</t>
        </is>
      </c>
      <c r="FJ1305" s="15" t="inlineStr">
        <is>
          <t>LCK6122EVG</t>
        </is>
      </c>
      <c r="FK1305" s="15" t="n">
        <v>2025</v>
      </c>
      <c r="FL1305" s="15" t="inlineStr">
        <is>
          <t>B</t>
        </is>
      </c>
      <c r="FM1305" s="15" t="inlineStr">
        <is>
          <t>SAN ALFONSO</t>
        </is>
      </c>
      <c r="FN1305" s="15" t="inlineStr">
        <is>
          <t>San Alfonso 2141 (Ramón Subercaseaux 3060)</t>
        </is>
      </c>
      <c r="FO1305" s="15" t="inlineStr">
        <is>
          <t>Estacion Central</t>
        </is>
      </c>
      <c r="FP1305" t="inlineStr">
        <is>
          <t>B</t>
        </is>
      </c>
      <c r="FS1305" s="14" t="inlineStr">
        <is>
          <t>3024 / SFWB-76|</t>
        </is>
      </c>
      <c r="FT1305" t="inlineStr">
        <is>
          <t>SFWB-76|</t>
        </is>
      </c>
      <c r="FU1305" t="inlineStr">
        <is>
          <t>SFWB-76</t>
        </is>
      </c>
      <c r="FV1305">
        <f>VLOOKUP(FU1305,FD:FL,9,0)</f>
        <v/>
      </c>
    </row>
    <row r="1306">
      <c r="FC1306" t="inlineStr">
        <is>
          <t>Diccionario 2</t>
        </is>
      </c>
      <c r="FD1306" s="15" t="inlineStr">
        <is>
          <t>VFPV-83</t>
        </is>
      </c>
      <c r="FE1306" s="15" t="inlineStr">
        <is>
          <t>MDN35025020036</t>
        </is>
      </c>
      <c r="FF1306" s="15" t="inlineStr">
        <is>
          <t>LDYECS319S0044066</t>
        </is>
      </c>
      <c r="FG1306" s="15" t="inlineStr">
        <is>
          <t>Zhong Tong</t>
        </is>
      </c>
      <c r="FH1306" s="15" t="inlineStr">
        <is>
          <t>Lck6122evg</t>
        </is>
      </c>
      <c r="FI1306" s="15" t="inlineStr">
        <is>
          <t>ZHONGTONG</t>
        </is>
      </c>
      <c r="FJ1306" s="15" t="inlineStr">
        <is>
          <t>LCK6122EVG</t>
        </is>
      </c>
      <c r="FK1306" s="15" t="n">
        <v>2025</v>
      </c>
      <c r="FL1306" s="15" t="inlineStr">
        <is>
          <t>B</t>
        </is>
      </c>
      <c r="FM1306" s="15" t="inlineStr">
        <is>
          <t>PIE ANDINO</t>
        </is>
      </c>
      <c r="FN1306" s="15" t="inlineStr">
        <is>
          <t>Pie Andino 31 (Pie Andino 383)</t>
        </is>
      </c>
      <c r="FO1306" s="15" t="inlineStr">
        <is>
          <t>Puente Alto</t>
        </is>
      </c>
      <c r="FP1306" t="inlineStr">
        <is>
          <t>B</t>
        </is>
      </c>
      <c r="FS1306" s="14" t="inlineStr">
        <is>
          <t>SFWZ-56</t>
        </is>
      </c>
      <c r="FT1306" t="inlineStr">
        <is>
          <t>SFWZ-56</t>
        </is>
      </c>
      <c r="FU1306" t="inlineStr">
        <is>
          <t>SFWZ-56</t>
        </is>
      </c>
      <c r="FV1306">
        <f>VLOOKUP(FU1306,FD:FL,9,0)</f>
        <v/>
      </c>
    </row>
    <row r="1307">
      <c r="FC1307" t="inlineStr">
        <is>
          <t>Diccionario 2</t>
        </is>
      </c>
      <c r="FD1307" s="15" t="inlineStr">
        <is>
          <t>VFPV-93</t>
        </is>
      </c>
      <c r="FE1307" s="15" t="inlineStr">
        <is>
          <t>MDN35025020126</t>
        </is>
      </c>
      <c r="FF1307" s="15" t="inlineStr">
        <is>
          <t>LDYECS318S0044074</t>
        </is>
      </c>
      <c r="FG1307" s="15" t="inlineStr">
        <is>
          <t>Zhong Tong</t>
        </is>
      </c>
      <c r="FH1307" s="15" t="inlineStr">
        <is>
          <t>Lck6122evg</t>
        </is>
      </c>
      <c r="FI1307" s="15" t="inlineStr">
        <is>
          <t>ZHONGTONG</t>
        </is>
      </c>
      <c r="FJ1307" s="15" t="inlineStr">
        <is>
          <t>LCK6122EVG</t>
        </is>
      </c>
      <c r="FK1307" s="15" t="n">
        <v>2025</v>
      </c>
      <c r="FL1307" s="15" t="inlineStr">
        <is>
          <t>B</t>
        </is>
      </c>
      <c r="FM1307" s="15" t="inlineStr">
        <is>
          <t>PIE ANDINO</t>
        </is>
      </c>
      <c r="FN1307" s="15" t="inlineStr">
        <is>
          <t>Pie Andino 31 (Pie Andino 383)</t>
        </is>
      </c>
      <c r="FO1307" s="15" t="inlineStr">
        <is>
          <t>Puente Alto</t>
        </is>
      </c>
      <c r="FP1307" t="inlineStr">
        <is>
          <t>B</t>
        </is>
      </c>
      <c r="FS1307" s="14" t="inlineStr">
        <is>
          <t>VJKX-38|</t>
        </is>
      </c>
      <c r="FT1307" t="inlineStr">
        <is>
          <t>VJKX-38|</t>
        </is>
      </c>
      <c r="FU1307" t="inlineStr">
        <is>
          <t>VJKX-38</t>
        </is>
      </c>
      <c r="FV1307">
        <f>VLOOKUP(FU1307,FD:FL,9,0)</f>
        <v/>
      </c>
    </row>
    <row r="1308">
      <c r="FC1308" t="inlineStr">
        <is>
          <t>Diccionario 2</t>
        </is>
      </c>
      <c r="FD1308" s="15" t="inlineStr">
        <is>
          <t>VFPW-13</t>
        </is>
      </c>
      <c r="FE1308" s="15" t="inlineStr">
        <is>
          <t>MDN35025010041</t>
        </is>
      </c>
      <c r="FF1308" s="15" t="inlineStr">
        <is>
          <t>LDYECS315S0043819</t>
        </is>
      </c>
      <c r="FG1308" s="15" t="inlineStr">
        <is>
          <t>Zhong Tong</t>
        </is>
      </c>
      <c r="FH1308" s="15" t="inlineStr">
        <is>
          <t>Lck6122evg</t>
        </is>
      </c>
      <c r="FI1308" s="15" t="inlineStr">
        <is>
          <t>ZHONGTONG</t>
        </is>
      </c>
      <c r="FJ1308" s="15" t="inlineStr">
        <is>
          <t>LCK6122EVG</t>
        </is>
      </c>
      <c r="FK1308" s="15" t="n">
        <v>2025</v>
      </c>
      <c r="FL1308" s="15" t="inlineStr">
        <is>
          <t>B</t>
        </is>
      </c>
      <c r="FM1308" s="15" t="inlineStr">
        <is>
          <t>SAN ALFONSO</t>
        </is>
      </c>
      <c r="FN1308" s="15" t="inlineStr">
        <is>
          <t>San Alfonso 2141 (Ramón Subercaseaux 3060)</t>
        </is>
      </c>
      <c r="FO1308" s="15" t="inlineStr">
        <is>
          <t>Estacion Central</t>
        </is>
      </c>
      <c r="FP1308" t="inlineStr">
        <is>
          <t>B</t>
        </is>
      </c>
      <c r="FS1308" s="14" t="inlineStr">
        <is>
          <t>VJKG-36|</t>
        </is>
      </c>
      <c r="FT1308" t="inlineStr">
        <is>
          <t>VJKG-36|</t>
        </is>
      </c>
      <c r="FU1308" t="inlineStr">
        <is>
          <t>VJKG-36</t>
        </is>
      </c>
      <c r="FV1308">
        <f>VLOOKUP(FU1308,FD:FL,9,0)</f>
        <v/>
      </c>
    </row>
    <row r="1309">
      <c r="FC1309" t="inlineStr">
        <is>
          <t>Diccionario 2</t>
        </is>
      </c>
      <c r="FD1309" s="15" t="inlineStr">
        <is>
          <t>VFPW-23</t>
        </is>
      </c>
      <c r="FE1309" s="15" t="inlineStr">
        <is>
          <t>MDN35025020021</t>
        </is>
      </c>
      <c r="FF1309" s="15" t="inlineStr">
        <is>
          <t>LDYECS316S0044106</t>
        </is>
      </c>
      <c r="FG1309" s="15" t="inlineStr">
        <is>
          <t>Zhong Tong</t>
        </is>
      </c>
      <c r="FH1309" s="15" t="inlineStr">
        <is>
          <t>Lck6122evg</t>
        </is>
      </c>
      <c r="FI1309" s="15" t="inlineStr">
        <is>
          <t>ZHONGTONG</t>
        </is>
      </c>
      <c r="FJ1309" s="15" t="inlineStr">
        <is>
          <t>LCK6122EVG</t>
        </is>
      </c>
      <c r="FK1309" s="15" t="n">
        <v>2025</v>
      </c>
      <c r="FL1309" s="15" t="inlineStr">
        <is>
          <t>B</t>
        </is>
      </c>
      <c r="FM1309" s="15" t="inlineStr">
        <is>
          <t>SAN ALFONSO</t>
        </is>
      </c>
      <c r="FN1309" s="15" t="inlineStr">
        <is>
          <t>San Alfonso 2141 (Ramón Subercaseaux 3060)</t>
        </is>
      </c>
      <c r="FO1309" s="15" t="inlineStr">
        <is>
          <t>Estacion Central</t>
        </is>
      </c>
      <c r="FP1309" t="inlineStr">
        <is>
          <t>B</t>
        </is>
      </c>
      <c r="FS1309" s="14" t="inlineStr">
        <is>
          <t>3031 / SFWZ-33|</t>
        </is>
      </c>
      <c r="FT1309" t="inlineStr">
        <is>
          <t>SFWZ-33|</t>
        </is>
      </c>
      <c r="FU1309" t="inlineStr">
        <is>
          <t>SFWZ-33</t>
        </is>
      </c>
      <c r="FV1309">
        <f>VLOOKUP(FU1309,FD:FL,9,0)</f>
        <v/>
      </c>
    </row>
    <row r="1310">
      <c r="FC1310" t="inlineStr">
        <is>
          <t>Diccionario 2</t>
        </is>
      </c>
      <c r="FD1310" s="15" t="inlineStr">
        <is>
          <t>VFPW-33</t>
        </is>
      </c>
      <c r="FE1310" s="15" t="inlineStr">
        <is>
          <t>MDN35025020102</t>
        </is>
      </c>
      <c r="FF1310" s="15" t="inlineStr">
        <is>
          <t>LDYECS31XS0044044</t>
        </is>
      </c>
      <c r="FG1310" s="15" t="inlineStr">
        <is>
          <t>Zhong Tong</t>
        </is>
      </c>
      <c r="FH1310" s="15" t="inlineStr">
        <is>
          <t>Lck6122evg</t>
        </is>
      </c>
      <c r="FI1310" s="15" t="inlineStr">
        <is>
          <t>ZHONGTONG</t>
        </is>
      </c>
      <c r="FJ1310" s="15" t="inlineStr">
        <is>
          <t>LCK6122EVG</t>
        </is>
      </c>
      <c r="FK1310" s="15" t="n">
        <v>2025</v>
      </c>
      <c r="FL1310" s="15" t="inlineStr">
        <is>
          <t>B</t>
        </is>
      </c>
      <c r="FM1310" s="15" t="inlineStr">
        <is>
          <t>SAN ALFONSO</t>
        </is>
      </c>
      <c r="FN1310" s="15" t="inlineStr">
        <is>
          <t>San Alfonso 2141 (Ramón Subercaseaux 3060)</t>
        </is>
      </c>
      <c r="FO1310" s="15" t="inlineStr">
        <is>
          <t>Estacion Central</t>
        </is>
      </c>
      <c r="FP1310" t="inlineStr">
        <is>
          <t>B</t>
        </is>
      </c>
      <c r="FS1310" s="14" t="inlineStr">
        <is>
          <t>VJYH-63|</t>
        </is>
      </c>
      <c r="FT1310" t="inlineStr">
        <is>
          <t>VJYH-63|</t>
        </is>
      </c>
      <c r="FU1310" t="inlineStr">
        <is>
          <t>VJYH-63</t>
        </is>
      </c>
      <c r="FV1310">
        <f>VLOOKUP(FU1310,FD:FL,9,0)</f>
        <v/>
      </c>
    </row>
    <row r="1311">
      <c r="FC1311" t="inlineStr">
        <is>
          <t>Diccionario 2</t>
        </is>
      </c>
      <c r="FD1311" s="15" t="inlineStr">
        <is>
          <t>VFPW-63</t>
        </is>
      </c>
      <c r="FE1311" s="15" t="inlineStr">
        <is>
          <t>MDN35025020003</t>
        </is>
      </c>
      <c r="FF1311" s="15" t="inlineStr">
        <is>
          <t>LDYECS314S0044069</t>
        </is>
      </c>
      <c r="FG1311" s="15" t="inlineStr">
        <is>
          <t>Zhong Tong</t>
        </is>
      </c>
      <c r="FH1311" s="15" t="inlineStr">
        <is>
          <t>Lck6122evg</t>
        </is>
      </c>
      <c r="FI1311" s="15" t="inlineStr">
        <is>
          <t>ZHONGTONG</t>
        </is>
      </c>
      <c r="FJ1311" s="15" t="inlineStr">
        <is>
          <t>LCK6122EVG</t>
        </is>
      </c>
      <c r="FK1311" s="15" t="n">
        <v>2025</v>
      </c>
      <c r="FL1311" s="15" t="inlineStr">
        <is>
          <t>B</t>
        </is>
      </c>
      <c r="FM1311" s="15" t="inlineStr">
        <is>
          <t>PIE ANDINO</t>
        </is>
      </c>
      <c r="FN1311" s="15" t="inlineStr">
        <is>
          <t>Pie Andino 31 (Pie Andino 383)</t>
        </is>
      </c>
      <c r="FO1311" s="15" t="inlineStr">
        <is>
          <t>Puente Alto</t>
        </is>
      </c>
      <c r="FP1311" t="inlineStr">
        <is>
          <t>B</t>
        </is>
      </c>
      <c r="FS1311" s="14" t="inlineStr">
        <is>
          <t>3083 / SFWZ-70|</t>
        </is>
      </c>
      <c r="FT1311" t="inlineStr">
        <is>
          <t>SFWZ-70|</t>
        </is>
      </c>
      <c r="FU1311" t="inlineStr">
        <is>
          <t>SFWZ-70</t>
        </is>
      </c>
      <c r="FV1311">
        <f>VLOOKUP(FU1311,FD:FL,9,0)</f>
        <v/>
      </c>
    </row>
    <row r="1312">
      <c r="FC1312" t="inlineStr">
        <is>
          <t>Diccionario 2</t>
        </is>
      </c>
      <c r="FD1312" s="15" t="inlineStr">
        <is>
          <t>VFPW-73</t>
        </is>
      </c>
      <c r="FE1312" s="15" t="inlineStr">
        <is>
          <t>MDN35025020091</t>
        </is>
      </c>
      <c r="FF1312" s="15" t="inlineStr">
        <is>
          <t>LDYECS313S0044046</t>
        </is>
      </c>
      <c r="FG1312" s="15" t="inlineStr">
        <is>
          <t>Zhong Tong</t>
        </is>
      </c>
      <c r="FH1312" s="15" t="inlineStr">
        <is>
          <t>Lck6122evg</t>
        </is>
      </c>
      <c r="FI1312" s="15" t="inlineStr">
        <is>
          <t>ZHONGTONG</t>
        </is>
      </c>
      <c r="FJ1312" s="15" t="inlineStr">
        <is>
          <t>LCK6122EVG</t>
        </is>
      </c>
      <c r="FK1312" s="15" t="n">
        <v>2025</v>
      </c>
      <c r="FL1312" s="15" t="inlineStr">
        <is>
          <t>B</t>
        </is>
      </c>
      <c r="FM1312" s="15" t="inlineStr">
        <is>
          <t>SAN ALFONSO</t>
        </is>
      </c>
      <c r="FN1312" s="15" t="inlineStr">
        <is>
          <t>San Alfonso 2141 (Ramón Subercaseaux 3060)</t>
        </is>
      </c>
      <c r="FO1312" s="15" t="inlineStr">
        <is>
          <t>Estacion Central</t>
        </is>
      </c>
      <c r="FP1312" t="inlineStr">
        <is>
          <t>B</t>
        </is>
      </c>
      <c r="FS1312" s="14" t="inlineStr">
        <is>
          <t>3019 / SFWB-44|</t>
        </is>
      </c>
      <c r="FT1312" t="inlineStr">
        <is>
          <t>SFWB-44|</t>
        </is>
      </c>
      <c r="FU1312" t="inlineStr">
        <is>
          <t>SFWB-44</t>
        </is>
      </c>
      <c r="FV1312">
        <f>VLOOKUP(FU1312,FD:FL,9,0)</f>
        <v/>
      </c>
    </row>
    <row r="1313">
      <c r="FC1313" t="inlineStr">
        <is>
          <t>Diccionario 2</t>
        </is>
      </c>
      <c r="FD1313" s="15" t="inlineStr">
        <is>
          <t>VFPX-13</t>
        </is>
      </c>
      <c r="FE1313" s="15" t="inlineStr">
        <is>
          <t>MDN35025020039</t>
        </is>
      </c>
      <c r="FF1313" s="15" t="inlineStr">
        <is>
          <t>LDYECS312S0044071</t>
        </is>
      </c>
      <c r="FG1313" s="15" t="inlineStr">
        <is>
          <t>Zhong Tong</t>
        </is>
      </c>
      <c r="FH1313" s="15" t="inlineStr">
        <is>
          <t>Lck6122evg</t>
        </is>
      </c>
      <c r="FI1313" s="15" t="inlineStr">
        <is>
          <t>ZHONGTONG</t>
        </is>
      </c>
      <c r="FJ1313" s="15" t="inlineStr">
        <is>
          <t>LCK6122EVG</t>
        </is>
      </c>
      <c r="FK1313" s="15" t="n">
        <v>2025</v>
      </c>
      <c r="FL1313" s="15" t="inlineStr">
        <is>
          <t>B</t>
        </is>
      </c>
      <c r="FM1313" s="15" t="inlineStr">
        <is>
          <t>SAN ALFONSO</t>
        </is>
      </c>
      <c r="FN1313" s="15" t="inlineStr">
        <is>
          <t>San Alfonso 2141 (Ramón Subercaseaux 3060)</t>
        </is>
      </c>
      <c r="FO1313" s="15" t="inlineStr">
        <is>
          <t>Estacion Central</t>
        </is>
      </c>
      <c r="FP1313" t="inlineStr">
        <is>
          <t>B</t>
        </is>
      </c>
      <c r="FS1313" s="14" t="inlineStr">
        <is>
          <t>3025 / SFVZ-44|</t>
        </is>
      </c>
      <c r="FT1313" t="inlineStr">
        <is>
          <t>SFVZ-44|</t>
        </is>
      </c>
      <c r="FU1313" t="inlineStr">
        <is>
          <t>SFVZ-44</t>
        </is>
      </c>
      <c r="FV1313">
        <f>VLOOKUP(FU1313,FD:FL,9,0)</f>
        <v/>
      </c>
    </row>
    <row r="1314">
      <c r="FC1314" t="inlineStr">
        <is>
          <t>Diccionario 2</t>
        </is>
      </c>
      <c r="FD1314" s="15" t="inlineStr">
        <is>
          <t>VFPX-33</t>
        </is>
      </c>
      <c r="FE1314" s="15" t="inlineStr">
        <is>
          <t>MDN35025020085</t>
        </is>
      </c>
      <c r="FF1314" s="15" t="inlineStr">
        <is>
          <t>LDYECS311S0044076</t>
        </is>
      </c>
      <c r="FG1314" s="15" t="inlineStr">
        <is>
          <t>Zhong Tong</t>
        </is>
      </c>
      <c r="FH1314" s="15" t="inlineStr">
        <is>
          <t>Lck6122evg</t>
        </is>
      </c>
      <c r="FI1314" s="15" t="inlineStr">
        <is>
          <t>ZHONGTONG</t>
        </is>
      </c>
      <c r="FJ1314" s="15" t="inlineStr">
        <is>
          <t>LCK6122EVG</t>
        </is>
      </c>
      <c r="FK1314" s="15" t="n">
        <v>2025</v>
      </c>
      <c r="FL1314" s="15" t="inlineStr">
        <is>
          <t>B</t>
        </is>
      </c>
      <c r="FM1314" s="15" t="inlineStr">
        <is>
          <t>SAN ALFONSO</t>
        </is>
      </c>
      <c r="FN1314" s="15" t="inlineStr">
        <is>
          <t>San Alfonso 2141 (Ramón Subercaseaux 3060)</t>
        </is>
      </c>
      <c r="FO1314" s="15" t="inlineStr">
        <is>
          <t>Estacion Central</t>
        </is>
      </c>
      <c r="FP1314" t="inlineStr">
        <is>
          <t>B</t>
        </is>
      </c>
      <c r="FS1314" s="14" t="inlineStr">
        <is>
          <t>3092 / SFWZ-67|</t>
        </is>
      </c>
      <c r="FT1314" t="inlineStr">
        <is>
          <t>SFWZ-67|</t>
        </is>
      </c>
      <c r="FU1314" t="inlineStr">
        <is>
          <t>SFWZ-67</t>
        </is>
      </c>
      <c r="FV1314">
        <f>VLOOKUP(FU1314,FD:FL,9,0)</f>
        <v/>
      </c>
    </row>
    <row r="1315">
      <c r="FC1315" t="inlineStr">
        <is>
          <t>Diccionario 2</t>
        </is>
      </c>
      <c r="FD1315" s="15" t="inlineStr">
        <is>
          <t>VFPX-53</t>
        </is>
      </c>
      <c r="FE1315" s="15" t="inlineStr">
        <is>
          <t>MDN35025010194</t>
        </is>
      </c>
      <c r="FF1315" s="15" t="inlineStr">
        <is>
          <t>LDYECS311S0044059</t>
        </is>
      </c>
      <c r="FG1315" s="15" t="inlineStr">
        <is>
          <t>Zhong Tong</t>
        </is>
      </c>
      <c r="FH1315" s="15" t="inlineStr">
        <is>
          <t>Lck6122evg</t>
        </is>
      </c>
      <c r="FI1315" s="15" t="inlineStr">
        <is>
          <t>ZHONGTONG</t>
        </is>
      </c>
      <c r="FJ1315" s="15" t="inlineStr">
        <is>
          <t>LCK6122EVG</t>
        </is>
      </c>
      <c r="FK1315" s="15" t="n">
        <v>2025</v>
      </c>
      <c r="FL1315" s="15" t="inlineStr">
        <is>
          <t>B</t>
        </is>
      </c>
      <c r="FM1315" s="15" t="inlineStr">
        <is>
          <t>PIE ANDINO</t>
        </is>
      </c>
      <c r="FN1315" s="15" t="inlineStr">
        <is>
          <t>Pie Andino 31 (Pie Andino 383)</t>
        </is>
      </c>
      <c r="FO1315" s="15" t="inlineStr">
        <is>
          <t>Puente Alto</t>
        </is>
      </c>
      <c r="FP1315" t="inlineStr">
        <is>
          <t>B</t>
        </is>
      </c>
      <c r="FS1315" s="14" t="inlineStr">
        <is>
          <t>VJXB-27|</t>
        </is>
      </c>
      <c r="FT1315" t="inlineStr">
        <is>
          <t>VJXB-27|</t>
        </is>
      </c>
      <c r="FU1315" t="inlineStr">
        <is>
          <t>VJXB-27</t>
        </is>
      </c>
      <c r="FV1315">
        <f>VLOOKUP(FU1315,FD:FL,9,0)</f>
        <v/>
      </c>
    </row>
    <row r="1316">
      <c r="FC1316" t="inlineStr">
        <is>
          <t>Diccionario 2</t>
        </is>
      </c>
      <c r="FD1316" s="15" t="inlineStr">
        <is>
          <t>VFPX-63</t>
        </is>
      </c>
      <c r="FE1316" s="15" t="inlineStr">
        <is>
          <t>MDN35025010098</t>
        </is>
      </c>
      <c r="FF1316" s="15" t="inlineStr">
        <is>
          <t>LDYECS31XS0044111</t>
        </is>
      </c>
      <c r="FG1316" s="15" t="inlineStr">
        <is>
          <t>Zhong Tong</t>
        </is>
      </c>
      <c r="FH1316" s="15" t="inlineStr">
        <is>
          <t>Lck6122evg</t>
        </is>
      </c>
      <c r="FI1316" s="15" t="inlineStr">
        <is>
          <t>ZHONGTONG</t>
        </is>
      </c>
      <c r="FJ1316" s="15" t="inlineStr">
        <is>
          <t>LCK6122EVG</t>
        </is>
      </c>
      <c r="FK1316" s="15" t="n">
        <v>2025</v>
      </c>
      <c r="FL1316" s="15" t="inlineStr">
        <is>
          <t>B</t>
        </is>
      </c>
      <c r="FM1316" s="15" t="inlineStr">
        <is>
          <t>PIE ANDINO</t>
        </is>
      </c>
      <c r="FN1316" s="15" t="inlineStr">
        <is>
          <t>Pie Andino 31 (Pie Andino 383)</t>
        </is>
      </c>
      <c r="FO1316" s="15" t="inlineStr">
        <is>
          <t>Puente Alto</t>
        </is>
      </c>
      <c r="FP1316" t="inlineStr">
        <is>
          <t>B</t>
        </is>
      </c>
      <c r="FS1316" s="14" t="inlineStr">
        <is>
          <t>SFVZ-86</t>
        </is>
      </c>
      <c r="FT1316" t="inlineStr">
        <is>
          <t>SFVZ-86</t>
        </is>
      </c>
      <c r="FU1316" t="inlineStr">
        <is>
          <t>SFVZ-86</t>
        </is>
      </c>
      <c r="FV1316">
        <f>VLOOKUP(FU1316,FD:FL,9,0)</f>
        <v/>
      </c>
    </row>
    <row r="1317">
      <c r="FC1317" t="inlineStr">
        <is>
          <t>Diccionario 2</t>
        </is>
      </c>
      <c r="FD1317" s="15" t="inlineStr">
        <is>
          <t>VFPX-83</t>
        </is>
      </c>
      <c r="FE1317" s="15" t="inlineStr">
        <is>
          <t>MDN35025020037</t>
        </is>
      </c>
      <c r="FF1317" s="15" t="inlineStr">
        <is>
          <t>LDYECS310S0044070</t>
        </is>
      </c>
      <c r="FG1317" s="15" t="inlineStr">
        <is>
          <t>Zhong Tong</t>
        </is>
      </c>
      <c r="FH1317" s="15" t="inlineStr">
        <is>
          <t>Lck6122evg</t>
        </is>
      </c>
      <c r="FI1317" s="15" t="inlineStr">
        <is>
          <t>ZHONGTONG</t>
        </is>
      </c>
      <c r="FJ1317" s="15" t="inlineStr">
        <is>
          <t>LCK6122EVG</t>
        </is>
      </c>
      <c r="FK1317" s="15" t="n">
        <v>2025</v>
      </c>
      <c r="FL1317" s="15" t="inlineStr">
        <is>
          <t>B</t>
        </is>
      </c>
      <c r="FM1317" s="15" t="inlineStr">
        <is>
          <t>PIE ANDINO</t>
        </is>
      </c>
      <c r="FN1317" s="15" t="inlineStr">
        <is>
          <t>Pie Andino 31 (Pie Andino 383)</t>
        </is>
      </c>
      <c r="FO1317" s="15" t="inlineStr">
        <is>
          <t>Puente Alto</t>
        </is>
      </c>
      <c r="FP1317" t="inlineStr">
        <is>
          <t>B</t>
        </is>
      </c>
      <c r="FS1317" s="14" t="inlineStr">
        <is>
          <t>VJZB-57|</t>
        </is>
      </c>
      <c r="FT1317" t="inlineStr">
        <is>
          <t>VJZB-57|</t>
        </is>
      </c>
      <c r="FU1317" t="inlineStr">
        <is>
          <t>VJZB-57</t>
        </is>
      </c>
      <c r="FV1317">
        <f>VLOOKUP(FU1317,FD:FL,9,0)</f>
        <v/>
      </c>
    </row>
    <row r="1318">
      <c r="FC1318" t="inlineStr">
        <is>
          <t>Diccionario 2</t>
        </is>
      </c>
      <c r="FD1318" s="15" t="inlineStr">
        <is>
          <t>VFPX-93</t>
        </is>
      </c>
      <c r="FE1318" s="15" t="inlineStr">
        <is>
          <t>MDN35025020023</t>
        </is>
      </c>
      <c r="FF1318" s="15" t="inlineStr">
        <is>
          <t>LDYECS310S0044067</t>
        </is>
      </c>
      <c r="FG1318" s="15" t="inlineStr">
        <is>
          <t>Zhong Tong</t>
        </is>
      </c>
      <c r="FH1318" s="15" t="inlineStr">
        <is>
          <t>Lck6122evg</t>
        </is>
      </c>
      <c r="FI1318" s="15" t="inlineStr">
        <is>
          <t>ZHONGTONG</t>
        </is>
      </c>
      <c r="FJ1318" s="15" t="inlineStr">
        <is>
          <t>LCK6122EVG</t>
        </is>
      </c>
      <c r="FK1318" s="15" t="n">
        <v>2025</v>
      </c>
      <c r="FL1318" s="15" t="inlineStr">
        <is>
          <t>B</t>
        </is>
      </c>
      <c r="FM1318" s="15" t="inlineStr">
        <is>
          <t>PIE ANDINO</t>
        </is>
      </c>
      <c r="FN1318" s="15" t="inlineStr">
        <is>
          <t>Pie Andino 31 (Pie Andino 383)</t>
        </is>
      </c>
      <c r="FO1318" s="15" t="inlineStr">
        <is>
          <t>Puente Alto</t>
        </is>
      </c>
      <c r="FP1318" t="inlineStr">
        <is>
          <t>B</t>
        </is>
      </c>
      <c r="FS1318" s="14" t="inlineStr">
        <is>
          <t>3096 / SFWZ-74|</t>
        </is>
      </c>
      <c r="FT1318" t="inlineStr">
        <is>
          <t>SFWZ-74|</t>
        </is>
      </c>
      <c r="FU1318" t="inlineStr">
        <is>
          <t>SFWZ-74</t>
        </is>
      </c>
      <c r="FV1318">
        <f>VLOOKUP(FU1318,FD:FL,9,0)</f>
        <v/>
      </c>
    </row>
    <row r="1319">
      <c r="FC1319" t="inlineStr">
        <is>
          <t>Diccionario 2</t>
        </is>
      </c>
      <c r="FD1319" s="15" t="inlineStr">
        <is>
          <t>VFPY-13</t>
        </is>
      </c>
      <c r="FE1319" s="15" t="inlineStr">
        <is>
          <t>MDN35025010218</t>
        </is>
      </c>
      <c r="FF1319" s="15" t="inlineStr">
        <is>
          <t>LDYECS316S0044087</t>
        </is>
      </c>
      <c r="FG1319" s="15" t="inlineStr">
        <is>
          <t>Zhong Tong</t>
        </is>
      </c>
      <c r="FH1319" s="15" t="inlineStr">
        <is>
          <t>Lck6122evg</t>
        </is>
      </c>
      <c r="FI1319" s="15" t="inlineStr">
        <is>
          <t>ZHONGTONG</t>
        </is>
      </c>
      <c r="FJ1319" s="15" t="inlineStr">
        <is>
          <t>LCK6122EVG</t>
        </is>
      </c>
      <c r="FK1319" s="15" t="n">
        <v>2025</v>
      </c>
      <c r="FL1319" s="15" t="inlineStr">
        <is>
          <t>B</t>
        </is>
      </c>
      <c r="FM1319" s="15" t="inlineStr">
        <is>
          <t>SAN ALFONSO</t>
        </is>
      </c>
      <c r="FN1319" s="15" t="inlineStr">
        <is>
          <t>San Alfonso 2141 (Ramón Subercaseaux 3060)</t>
        </is>
      </c>
      <c r="FO1319" s="15" t="inlineStr">
        <is>
          <t>Estacion Central</t>
        </is>
      </c>
      <c r="FP1319" t="inlineStr">
        <is>
          <t>B</t>
        </is>
      </c>
      <c r="FS1319" s="14" t="inlineStr">
        <is>
          <t>VJKG-36|</t>
        </is>
      </c>
      <c r="FT1319" t="inlineStr">
        <is>
          <t>VJKG-36|</t>
        </is>
      </c>
      <c r="FU1319" t="inlineStr">
        <is>
          <t>VJKG-36</t>
        </is>
      </c>
      <c r="FV1319">
        <f>VLOOKUP(FU1319,FD:FL,9,0)</f>
        <v/>
      </c>
    </row>
    <row r="1320">
      <c r="FC1320" t="inlineStr">
        <is>
          <t>Diccionario 2</t>
        </is>
      </c>
      <c r="FD1320" s="15" t="inlineStr">
        <is>
          <t>VFPY-23</t>
        </is>
      </c>
      <c r="FE1320" s="15" t="inlineStr">
        <is>
          <t>MDN35025020098</t>
        </is>
      </c>
      <c r="FF1320" s="15" t="inlineStr">
        <is>
          <t>LDYECS315S0044095</t>
        </is>
      </c>
      <c r="FG1320" s="15" t="inlineStr">
        <is>
          <t>Zhong Tong</t>
        </is>
      </c>
      <c r="FH1320" s="15" t="inlineStr">
        <is>
          <t>Lck6122evg</t>
        </is>
      </c>
      <c r="FI1320" s="15" t="inlineStr">
        <is>
          <t>ZHONGTONG</t>
        </is>
      </c>
      <c r="FJ1320" s="15" t="inlineStr">
        <is>
          <t>LCK6122EVG</t>
        </is>
      </c>
      <c r="FK1320" s="15" t="n">
        <v>2025</v>
      </c>
      <c r="FL1320" s="15" t="inlineStr">
        <is>
          <t>B</t>
        </is>
      </c>
      <c r="FM1320" s="15" t="inlineStr">
        <is>
          <t>PIE ANDINO</t>
        </is>
      </c>
      <c r="FN1320" s="15" t="inlineStr">
        <is>
          <t>Pie Andino 31 (Pie Andino 383)</t>
        </is>
      </c>
      <c r="FO1320" s="15" t="inlineStr">
        <is>
          <t>Puente Alto</t>
        </is>
      </c>
      <c r="FP1320" t="inlineStr">
        <is>
          <t>B</t>
        </is>
      </c>
      <c r="FS1320" s="14" t="inlineStr">
        <is>
          <t>3045 / SFWB-48|</t>
        </is>
      </c>
      <c r="FT1320" t="inlineStr">
        <is>
          <t>SFWB-48|</t>
        </is>
      </c>
      <c r="FU1320" t="inlineStr">
        <is>
          <t>SFWB-48</t>
        </is>
      </c>
      <c r="FV1320">
        <f>VLOOKUP(FU1320,FD:FL,9,0)</f>
        <v/>
      </c>
    </row>
    <row r="1321">
      <c r="FC1321" t="inlineStr">
        <is>
          <t>Diccionario 2</t>
        </is>
      </c>
      <c r="FD1321" s="15" t="inlineStr">
        <is>
          <t>VFPY-33</t>
        </is>
      </c>
      <c r="FE1321" s="15" t="inlineStr">
        <is>
          <t>MDN35025020038</t>
        </is>
      </c>
      <c r="FF1321" s="15" t="inlineStr">
        <is>
          <t>LDYECS317S0044065</t>
        </is>
      </c>
      <c r="FG1321" s="15" t="inlineStr">
        <is>
          <t>Zhong Tong</t>
        </is>
      </c>
      <c r="FH1321" s="15" t="inlineStr">
        <is>
          <t>Lck6122evg</t>
        </is>
      </c>
      <c r="FI1321" s="15" t="inlineStr">
        <is>
          <t>ZHONGTONG</t>
        </is>
      </c>
      <c r="FJ1321" s="15" t="inlineStr">
        <is>
          <t>LCK6122EVG</t>
        </is>
      </c>
      <c r="FK1321" s="15" t="n">
        <v>2025</v>
      </c>
      <c r="FL1321" s="15" t="inlineStr">
        <is>
          <t>B</t>
        </is>
      </c>
      <c r="FM1321" s="15" t="inlineStr">
        <is>
          <t>PIE ANDINO</t>
        </is>
      </c>
      <c r="FN1321" s="15" t="inlineStr">
        <is>
          <t>Pie Andino 31 (Pie Andino 383)</t>
        </is>
      </c>
      <c r="FO1321" s="15" t="inlineStr">
        <is>
          <t>Puente Alto</t>
        </is>
      </c>
      <c r="FP1321" t="inlineStr">
        <is>
          <t>B</t>
        </is>
      </c>
      <c r="FS1321" s="14" t="inlineStr">
        <is>
          <t>3080 / SFWZ-65|</t>
        </is>
      </c>
      <c r="FT1321" t="inlineStr">
        <is>
          <t>SFWZ-65|</t>
        </is>
      </c>
      <c r="FU1321" t="inlineStr">
        <is>
          <t>SFWZ-65</t>
        </is>
      </c>
      <c r="FV1321">
        <f>VLOOKUP(FU1321,FD:FL,9,0)</f>
        <v/>
      </c>
    </row>
    <row r="1322">
      <c r="FC1322" t="inlineStr">
        <is>
          <t>Diccionario 2</t>
        </is>
      </c>
      <c r="FD1322" s="15" t="inlineStr">
        <is>
          <t>VFPY-43</t>
        </is>
      </c>
      <c r="FE1322" s="15" t="inlineStr">
        <is>
          <t>MDN35025010188</t>
        </is>
      </c>
      <c r="FF1322" s="15" t="inlineStr">
        <is>
          <t>LDYECS314S0044072</t>
        </is>
      </c>
      <c r="FG1322" s="15" t="inlineStr">
        <is>
          <t>Zhong Tong</t>
        </is>
      </c>
      <c r="FH1322" s="15" t="inlineStr">
        <is>
          <t>Lck6122evg</t>
        </is>
      </c>
      <c r="FI1322" s="15" t="inlineStr">
        <is>
          <t>ZHONGTONG</t>
        </is>
      </c>
      <c r="FJ1322" s="15" t="inlineStr">
        <is>
          <t>LCK6122EVG</t>
        </is>
      </c>
      <c r="FK1322" s="15" t="n">
        <v>2025</v>
      </c>
      <c r="FL1322" s="15" t="inlineStr">
        <is>
          <t>B</t>
        </is>
      </c>
      <c r="FM1322" s="15" t="inlineStr">
        <is>
          <t>SAN ALFONSO</t>
        </is>
      </c>
      <c r="FN1322" s="15" t="inlineStr">
        <is>
          <t>San Alfonso 2141 (Ramón Subercaseaux 3060)</t>
        </is>
      </c>
      <c r="FO1322" s="15" t="inlineStr">
        <is>
          <t>Estacion Central</t>
        </is>
      </c>
      <c r="FP1322" t="inlineStr">
        <is>
          <t>B</t>
        </is>
      </c>
      <c r="FS1322" s="14" t="inlineStr">
        <is>
          <t>3031 / SFWZ-33|</t>
        </is>
      </c>
      <c r="FT1322" t="inlineStr">
        <is>
          <t>SFWZ-33|</t>
        </is>
      </c>
      <c r="FU1322" t="inlineStr">
        <is>
          <t>SFWZ-33</t>
        </is>
      </c>
      <c r="FV1322">
        <f>VLOOKUP(FU1322,FD:FL,9,0)</f>
        <v/>
      </c>
    </row>
    <row r="1323">
      <c r="FC1323" t="inlineStr">
        <is>
          <t>Diccionario 2</t>
        </is>
      </c>
      <c r="FD1323" s="15" t="inlineStr">
        <is>
          <t>VFPZ-27</t>
        </is>
      </c>
      <c r="FE1323" s="15" t="inlineStr">
        <is>
          <t>MDN35025010203</t>
        </is>
      </c>
      <c r="FF1323" s="15" t="inlineStr">
        <is>
          <t>LDYECS311S0044109</t>
        </is>
      </c>
      <c r="FG1323" s="15" t="inlineStr">
        <is>
          <t>Zhong Tong</t>
        </is>
      </c>
      <c r="FH1323" s="15" t="inlineStr">
        <is>
          <t>Lck6122evg</t>
        </is>
      </c>
      <c r="FI1323" s="15" t="inlineStr">
        <is>
          <t>ZHONGTONG</t>
        </is>
      </c>
      <c r="FJ1323" s="15" t="inlineStr">
        <is>
          <t>LCK6122EVG</t>
        </is>
      </c>
      <c r="FK1323" s="15" t="n">
        <v>2025</v>
      </c>
      <c r="FL1323" s="15" t="inlineStr">
        <is>
          <t>B</t>
        </is>
      </c>
      <c r="FM1323" s="15" t="inlineStr">
        <is>
          <t>SAN ALFONSO</t>
        </is>
      </c>
      <c r="FN1323" s="15" t="inlineStr">
        <is>
          <t>San Alfonso 2141 (Ramón Subercaseaux 3060)</t>
        </is>
      </c>
      <c r="FO1323" s="15" t="inlineStr">
        <is>
          <t>Estacion Central</t>
        </is>
      </c>
      <c r="FP1323" t="inlineStr">
        <is>
          <t>B</t>
        </is>
      </c>
      <c r="FS1323" s="14" t="inlineStr">
        <is>
          <t>VJKG-75|</t>
        </is>
      </c>
      <c r="FT1323" t="inlineStr">
        <is>
          <t>VJKG-75|</t>
        </is>
      </c>
      <c r="FU1323" t="inlineStr">
        <is>
          <t>VJKG-75</t>
        </is>
      </c>
      <c r="FV1323">
        <f>VLOOKUP(FU1323,FD:FL,9,0)</f>
        <v/>
      </c>
    </row>
    <row r="1324">
      <c r="FC1324" t="inlineStr">
        <is>
          <t>Diccionario 2</t>
        </is>
      </c>
      <c r="FD1324" s="15" t="inlineStr">
        <is>
          <t>VFPZ-38</t>
        </is>
      </c>
      <c r="FE1324" s="15" t="inlineStr">
        <is>
          <t>MDN35025010193</t>
        </is>
      </c>
      <c r="FF1324" s="15" t="inlineStr">
        <is>
          <t>LDYECS312S0044068</t>
        </is>
      </c>
      <c r="FG1324" s="15" t="inlineStr">
        <is>
          <t>Zhong Tong</t>
        </is>
      </c>
      <c r="FH1324" s="15" t="inlineStr">
        <is>
          <t>Lck6122evg</t>
        </is>
      </c>
      <c r="FI1324" s="15" t="inlineStr">
        <is>
          <t>ZHONGTONG</t>
        </is>
      </c>
      <c r="FJ1324" s="15" t="inlineStr">
        <is>
          <t>LCK6122EVG</t>
        </is>
      </c>
      <c r="FK1324" s="15" t="n">
        <v>2025</v>
      </c>
      <c r="FL1324" s="15" t="inlineStr">
        <is>
          <t>B</t>
        </is>
      </c>
      <c r="FM1324" s="15" t="inlineStr">
        <is>
          <t>SAN ALFONSO</t>
        </is>
      </c>
      <c r="FN1324" s="15" t="inlineStr">
        <is>
          <t>San Alfonso 2141 (Ramón Subercaseaux 3060)</t>
        </is>
      </c>
      <c r="FO1324" s="15" t="inlineStr">
        <is>
          <t>Estacion Central</t>
        </is>
      </c>
      <c r="FP1324" t="inlineStr">
        <is>
          <t>B</t>
        </is>
      </c>
      <c r="FS1324" s="14" t="inlineStr">
        <is>
          <t>VJYH-63|</t>
        </is>
      </c>
      <c r="FT1324" t="inlineStr">
        <is>
          <t>VJYH-63|</t>
        </is>
      </c>
      <c r="FU1324" t="inlineStr">
        <is>
          <t>VJYH-63</t>
        </is>
      </c>
      <c r="FV1324">
        <f>VLOOKUP(FU1324,FD:FL,9,0)</f>
        <v/>
      </c>
    </row>
    <row r="1325">
      <c r="FC1325" t="inlineStr">
        <is>
          <t>Diccionario 2</t>
        </is>
      </c>
      <c r="FD1325" s="15" t="inlineStr">
        <is>
          <t>VFPZ-39</t>
        </is>
      </c>
      <c r="FE1325" s="15" t="inlineStr">
        <is>
          <t>MDN35025020011</t>
        </is>
      </c>
      <c r="FF1325" s="15" t="inlineStr">
        <is>
          <t>LDYECS316S0044090</t>
        </is>
      </c>
      <c r="FG1325" s="15" t="inlineStr">
        <is>
          <t>Zhong Tong</t>
        </is>
      </c>
      <c r="FH1325" s="15" t="inlineStr">
        <is>
          <t>Lck6122evg</t>
        </is>
      </c>
      <c r="FI1325" s="15" t="inlineStr">
        <is>
          <t>ZHONGTONG</t>
        </is>
      </c>
      <c r="FJ1325" s="15" t="inlineStr">
        <is>
          <t>LCK6122EVG</t>
        </is>
      </c>
      <c r="FK1325" s="15" t="n">
        <v>2025</v>
      </c>
      <c r="FL1325" s="15" t="inlineStr">
        <is>
          <t>B</t>
        </is>
      </c>
      <c r="FM1325" s="15" t="inlineStr">
        <is>
          <t>SAN ALFONSO</t>
        </is>
      </c>
      <c r="FN1325" s="15" t="inlineStr">
        <is>
          <t>San Alfonso 2141 (Ramón Subercaseaux 3060)</t>
        </is>
      </c>
      <c r="FO1325" s="15" t="inlineStr">
        <is>
          <t>Estacion Central</t>
        </is>
      </c>
      <c r="FP1325" t="inlineStr">
        <is>
          <t>B</t>
        </is>
      </c>
      <c r="FS1325" s="14" t="inlineStr">
        <is>
          <t>3004 / SFWZ-31|</t>
        </is>
      </c>
      <c r="FT1325" t="inlineStr">
        <is>
          <t>SFWZ-31|</t>
        </is>
      </c>
      <c r="FU1325" t="inlineStr">
        <is>
          <t>SFWZ-31</t>
        </is>
      </c>
      <c r="FV1325">
        <f>VLOOKUP(FU1325,FD:FL,9,0)</f>
        <v/>
      </c>
    </row>
    <row r="1326">
      <c r="FC1326" t="inlineStr">
        <is>
          <t>Diccionario 2</t>
        </is>
      </c>
      <c r="FD1326" s="15" t="inlineStr">
        <is>
          <t>VFPZ-55</t>
        </is>
      </c>
      <c r="FE1326" s="15" t="inlineStr">
        <is>
          <t>MDN35025010208</t>
        </is>
      </c>
      <c r="FF1326" s="15" t="inlineStr">
        <is>
          <t>LDYECS317S0044082</t>
        </is>
      </c>
      <c r="FG1326" s="15" t="inlineStr">
        <is>
          <t>Zhong Tong</t>
        </is>
      </c>
      <c r="FH1326" s="15" t="inlineStr">
        <is>
          <t>Lck6122evg</t>
        </is>
      </c>
      <c r="FI1326" s="15" t="inlineStr">
        <is>
          <t>ZHONGTONG</t>
        </is>
      </c>
      <c r="FJ1326" s="15" t="inlineStr">
        <is>
          <t>LCK6122EVG</t>
        </is>
      </c>
      <c r="FK1326" s="15" t="n">
        <v>2025</v>
      </c>
      <c r="FL1326" s="15" t="inlineStr">
        <is>
          <t>B</t>
        </is>
      </c>
      <c r="FM1326" s="15" t="inlineStr">
        <is>
          <t>SAN ALFONSO</t>
        </is>
      </c>
      <c r="FN1326" s="15" t="inlineStr">
        <is>
          <t>San Alfonso 2141 (Ramón Subercaseaux 3060)</t>
        </is>
      </c>
      <c r="FO1326" s="15" t="inlineStr">
        <is>
          <t>Estacion Central</t>
        </is>
      </c>
      <c r="FP1326" t="inlineStr">
        <is>
          <t>B</t>
        </is>
      </c>
      <c r="FS1326" s="14" t="inlineStr">
        <is>
          <t>VJKF-29|</t>
        </is>
      </c>
      <c r="FT1326" t="inlineStr">
        <is>
          <t>VJKF-29|</t>
        </is>
      </c>
      <c r="FU1326" t="inlineStr">
        <is>
          <t>VJKF-29</t>
        </is>
      </c>
      <c r="FV1326">
        <f>VLOOKUP(FU1326,FD:FL,9,0)</f>
        <v/>
      </c>
    </row>
    <row r="1327">
      <c r="FC1327" t="inlineStr">
        <is>
          <t>Diccionario 2</t>
        </is>
      </c>
      <c r="FD1327" s="15" t="inlineStr">
        <is>
          <t>VFPZ-56</t>
        </is>
      </c>
      <c r="FE1327" s="15" t="inlineStr">
        <is>
          <t>MDN35025020043</t>
        </is>
      </c>
      <c r="FF1327" s="15" t="inlineStr">
        <is>
          <t>LDYECS31XS0044075</t>
        </is>
      </c>
      <c r="FG1327" s="15" t="inlineStr">
        <is>
          <t>Zhong Tong</t>
        </is>
      </c>
      <c r="FH1327" s="15" t="inlineStr">
        <is>
          <t>Lck6122evg</t>
        </is>
      </c>
      <c r="FI1327" s="15" t="inlineStr">
        <is>
          <t>ZHONGTONG</t>
        </is>
      </c>
      <c r="FJ1327" s="15" t="inlineStr">
        <is>
          <t>LCK6122EVG</t>
        </is>
      </c>
      <c r="FK1327" s="15" t="n">
        <v>2025</v>
      </c>
      <c r="FL1327" s="15" t="inlineStr">
        <is>
          <t>B</t>
        </is>
      </c>
      <c r="FM1327" s="15" t="inlineStr">
        <is>
          <t>PIE ANDINO</t>
        </is>
      </c>
      <c r="FN1327" s="15" t="inlineStr">
        <is>
          <t>Pie Andino 31 (Pie Andino 383)</t>
        </is>
      </c>
      <c r="FO1327" s="15" t="inlineStr">
        <is>
          <t>Puente Alto</t>
        </is>
      </c>
      <c r="FP1327" t="inlineStr">
        <is>
          <t>B</t>
        </is>
      </c>
      <c r="FS1327" s="14" t="inlineStr">
        <is>
          <t>3036 / SFWB-77|</t>
        </is>
      </c>
      <c r="FT1327" t="inlineStr">
        <is>
          <t>SFWB-77|</t>
        </is>
      </c>
      <c r="FU1327" t="inlineStr">
        <is>
          <t>SFWB-77</t>
        </is>
      </c>
      <c r="FV1327">
        <f>VLOOKUP(FU1327,FD:FL,9,0)</f>
        <v/>
      </c>
    </row>
    <row r="1328">
      <c r="FC1328" t="inlineStr">
        <is>
          <t>Diccionario 2</t>
        </is>
      </c>
      <c r="FD1328" s="15" t="inlineStr">
        <is>
          <t>VFPZ-74</t>
        </is>
      </c>
      <c r="FE1328" s="15" t="inlineStr">
        <is>
          <t>MDN35025020017</t>
        </is>
      </c>
      <c r="FF1328" s="15" t="inlineStr">
        <is>
          <t>LDYECS312S0044085</t>
        </is>
      </c>
      <c r="FG1328" s="15" t="inlineStr">
        <is>
          <t>Zhong Tong</t>
        </is>
      </c>
      <c r="FH1328" s="15" t="inlineStr">
        <is>
          <t>Lck6122evg</t>
        </is>
      </c>
      <c r="FI1328" s="15" t="inlineStr">
        <is>
          <t>ZHONGTONG</t>
        </is>
      </c>
      <c r="FJ1328" s="15" t="inlineStr">
        <is>
          <t>LCK6122EVG</t>
        </is>
      </c>
      <c r="FK1328" s="15" t="n">
        <v>2025</v>
      </c>
      <c r="FL1328" s="15" t="inlineStr">
        <is>
          <t>B</t>
        </is>
      </c>
      <c r="FM1328" s="15" t="inlineStr">
        <is>
          <t>PIE ANDINO</t>
        </is>
      </c>
      <c r="FN1328" s="15" t="inlineStr">
        <is>
          <t>Pie Andino 31 (Pie Andino 383)</t>
        </is>
      </c>
      <c r="FO1328" s="15" t="inlineStr">
        <is>
          <t>Puente Alto</t>
        </is>
      </c>
      <c r="FP1328" t="inlineStr">
        <is>
          <t>B</t>
        </is>
      </c>
      <c r="FS1328" s="14" t="inlineStr">
        <is>
          <t>VJZB-37|</t>
        </is>
      </c>
      <c r="FT1328" t="inlineStr">
        <is>
          <t>VJZB-37|</t>
        </is>
      </c>
      <c r="FU1328" t="inlineStr">
        <is>
          <t>VJZB-37</t>
        </is>
      </c>
      <c r="FV1328">
        <f>VLOOKUP(FU1328,FD:FL,9,0)</f>
        <v/>
      </c>
    </row>
    <row r="1329">
      <c r="FC1329" t="inlineStr">
        <is>
          <t>Diccionario 2</t>
        </is>
      </c>
      <c r="FD1329" s="15" t="inlineStr">
        <is>
          <t>VFPZ-78</t>
        </is>
      </c>
      <c r="FE1329" s="15" t="inlineStr">
        <is>
          <t>MDN35025020001</t>
        </is>
      </c>
      <c r="FF1329" s="15" t="inlineStr">
        <is>
          <t>LDYECS313S0044077</t>
        </is>
      </c>
      <c r="FG1329" s="15" t="inlineStr">
        <is>
          <t>Zhong Tong</t>
        </is>
      </c>
      <c r="FH1329" s="15" t="inlineStr">
        <is>
          <t>Lck6122evg</t>
        </is>
      </c>
      <c r="FI1329" s="15" t="inlineStr">
        <is>
          <t>ZHONGTONG</t>
        </is>
      </c>
      <c r="FJ1329" s="15" t="inlineStr">
        <is>
          <t>LCK6122EVG</t>
        </is>
      </c>
      <c r="FK1329" s="15" t="n">
        <v>2025</v>
      </c>
      <c r="FL1329" s="15" t="inlineStr">
        <is>
          <t>B</t>
        </is>
      </c>
      <c r="FM1329" s="15" t="inlineStr">
        <is>
          <t>PIE ANDINO</t>
        </is>
      </c>
      <c r="FN1329" s="15" t="inlineStr">
        <is>
          <t>Pie Andino 31 (Pie Andino 383)</t>
        </is>
      </c>
      <c r="FO1329" s="15" t="inlineStr">
        <is>
          <t>Puente Alto</t>
        </is>
      </c>
      <c r="FP1329" t="inlineStr">
        <is>
          <t>B</t>
        </is>
      </c>
      <c r="FS1329" s="14" t="inlineStr">
        <is>
          <t>VJZB-77|</t>
        </is>
      </c>
      <c r="FT1329" t="inlineStr">
        <is>
          <t>VJZB-77|</t>
        </is>
      </c>
      <c r="FU1329" t="inlineStr">
        <is>
          <t>VJZB-77</t>
        </is>
      </c>
      <c r="FV1329">
        <f>VLOOKUP(FU1329,FD:FL,9,0)</f>
        <v/>
      </c>
    </row>
    <row r="1330">
      <c r="FC1330" t="inlineStr">
        <is>
          <t>Diccionario 2</t>
        </is>
      </c>
      <c r="FD1330" s="15" t="inlineStr">
        <is>
          <t>VFPZ-88</t>
        </is>
      </c>
      <c r="FE1330" s="15" t="inlineStr">
        <is>
          <t>MDN35025010028</t>
        </is>
      </c>
      <c r="FF1330" s="15" t="inlineStr">
        <is>
          <t>LDYECS311S0044112</t>
        </is>
      </c>
      <c r="FG1330" s="15" t="inlineStr">
        <is>
          <t>Zhong Tong</t>
        </is>
      </c>
      <c r="FH1330" s="15" t="inlineStr">
        <is>
          <t>Lck6122evg</t>
        </is>
      </c>
      <c r="FI1330" s="15" t="inlineStr">
        <is>
          <t>ZHONGTONG</t>
        </is>
      </c>
      <c r="FJ1330" s="15" t="inlineStr">
        <is>
          <t>LCK6122EVG</t>
        </is>
      </c>
      <c r="FK1330" s="15" t="n">
        <v>2025</v>
      </c>
      <c r="FL1330" s="15" t="inlineStr">
        <is>
          <t>B</t>
        </is>
      </c>
      <c r="FM1330" s="15" t="inlineStr">
        <is>
          <t>SAN ALFONSO</t>
        </is>
      </c>
      <c r="FN1330" s="15" t="inlineStr">
        <is>
          <t>San Alfonso 2141 (Ramón Subercaseaux 3060)</t>
        </is>
      </c>
      <c r="FO1330" s="15" t="inlineStr">
        <is>
          <t>Estacion Central</t>
        </is>
      </c>
      <c r="FP1330" t="inlineStr">
        <is>
          <t>B</t>
        </is>
      </c>
      <c r="FS1330" s="14" t="inlineStr">
        <is>
          <t>LXWT-94|</t>
        </is>
      </c>
      <c r="FT1330" t="inlineStr">
        <is>
          <t>LXWT-94|</t>
        </is>
      </c>
      <c r="FU1330" t="inlineStr">
        <is>
          <t>LXWT-94</t>
        </is>
      </c>
      <c r="FV1330">
        <f>VLOOKUP(FU1330,FD:FL,9,0)</f>
        <v/>
      </c>
    </row>
    <row r="1331">
      <c r="FC1331" t="inlineStr">
        <is>
          <t>Diccionario 2</t>
        </is>
      </c>
      <c r="FD1331" s="15" t="inlineStr">
        <is>
          <t>VFPZ-89</t>
        </is>
      </c>
      <c r="FE1331" s="15" t="inlineStr">
        <is>
          <t>MDN35025020032</t>
        </is>
      </c>
      <c r="FF1331" s="15" t="inlineStr">
        <is>
          <t>LDYECS319S0044102</t>
        </is>
      </c>
      <c r="FG1331" s="15" t="inlineStr">
        <is>
          <t>Zhong Tong</t>
        </is>
      </c>
      <c r="FH1331" s="15" t="inlineStr">
        <is>
          <t>Lck6122evg</t>
        </is>
      </c>
      <c r="FI1331" s="15" t="inlineStr">
        <is>
          <t>ZHONGTONG</t>
        </is>
      </c>
      <c r="FJ1331" s="15" t="inlineStr">
        <is>
          <t>LCK6122EVG</t>
        </is>
      </c>
      <c r="FK1331" s="15" t="n">
        <v>2025</v>
      </c>
      <c r="FL1331" s="15" t="inlineStr">
        <is>
          <t>B</t>
        </is>
      </c>
      <c r="FM1331" s="15" t="inlineStr">
        <is>
          <t>SAN ALFONSO</t>
        </is>
      </c>
      <c r="FN1331" s="15" t="inlineStr">
        <is>
          <t>San Alfonso 2141 (Ramón Subercaseaux 3060)</t>
        </is>
      </c>
      <c r="FO1331" s="15" t="inlineStr">
        <is>
          <t>Estacion Central</t>
        </is>
      </c>
      <c r="FP1331" t="inlineStr">
        <is>
          <t>B</t>
        </is>
      </c>
      <c r="FS1331" s="14" t="inlineStr">
        <is>
          <t>LZRB-82|</t>
        </is>
      </c>
      <c r="FT1331" t="inlineStr">
        <is>
          <t>LZRB-82|</t>
        </is>
      </c>
      <c r="FU1331" t="inlineStr">
        <is>
          <t>LZRB-82</t>
        </is>
      </c>
      <c r="FV1331">
        <f>VLOOKUP(FU1331,FD:FL,9,0)</f>
        <v/>
      </c>
    </row>
    <row r="1332">
      <c r="FC1332" t="inlineStr">
        <is>
          <t>Diccionario 2</t>
        </is>
      </c>
      <c r="FD1332" s="15" t="inlineStr">
        <is>
          <t>VFPZ-92</t>
        </is>
      </c>
      <c r="FE1332" s="15" t="inlineStr">
        <is>
          <t>MDN35025020030</t>
        </is>
      </c>
      <c r="FF1332" s="15" t="inlineStr">
        <is>
          <t>LDYECS31XS0044089</t>
        </is>
      </c>
      <c r="FG1332" s="15" t="inlineStr">
        <is>
          <t>Zhong Tong</t>
        </is>
      </c>
      <c r="FH1332" s="15" t="inlineStr">
        <is>
          <t>Lck6122evg</t>
        </is>
      </c>
      <c r="FI1332" s="15" t="inlineStr">
        <is>
          <t>ZHONGTONG</t>
        </is>
      </c>
      <c r="FJ1332" s="15" t="inlineStr">
        <is>
          <t>LCK6122EVG</t>
        </is>
      </c>
      <c r="FK1332" s="15" t="n">
        <v>2025</v>
      </c>
      <c r="FL1332" s="15" t="inlineStr">
        <is>
          <t>B</t>
        </is>
      </c>
      <c r="FM1332" s="15" t="inlineStr">
        <is>
          <t>SAN ALFONSO</t>
        </is>
      </c>
      <c r="FN1332" s="15" t="inlineStr">
        <is>
          <t>San Alfonso 2141 (Ramón Subercaseaux 3060)</t>
        </is>
      </c>
      <c r="FO1332" s="15" t="inlineStr">
        <is>
          <t>Estacion Central</t>
        </is>
      </c>
      <c r="FP1332" t="inlineStr">
        <is>
          <t>B</t>
        </is>
      </c>
      <c r="FS1332" s="14" t="inlineStr">
        <is>
          <t>LZPT-74|</t>
        </is>
      </c>
      <c r="FT1332" t="inlineStr">
        <is>
          <t>LZPT-74|</t>
        </is>
      </c>
      <c r="FU1332" t="inlineStr">
        <is>
          <t>LZPT-74</t>
        </is>
      </c>
      <c r="FV1332">
        <f>VLOOKUP(FU1332,FD:FL,9,0)</f>
        <v/>
      </c>
    </row>
    <row r="1333">
      <c r="FC1333" t="inlineStr">
        <is>
          <t>Diccionario 2</t>
        </is>
      </c>
      <c r="FD1333" s="15" t="inlineStr">
        <is>
          <t>VFPZ-97</t>
        </is>
      </c>
      <c r="FE1333" s="15" t="inlineStr">
        <is>
          <t>MDN35025010247</t>
        </is>
      </c>
      <c r="FF1333" s="15" t="inlineStr">
        <is>
          <t>LDYECS312S0044104</t>
        </is>
      </c>
      <c r="FG1333" s="15" t="inlineStr">
        <is>
          <t>Zhong Tong</t>
        </is>
      </c>
      <c r="FH1333" s="15" t="inlineStr">
        <is>
          <t>Lck6122evg</t>
        </is>
      </c>
      <c r="FI1333" s="15" t="inlineStr">
        <is>
          <t>ZHONGTONG</t>
        </is>
      </c>
      <c r="FJ1333" s="15" t="inlineStr">
        <is>
          <t>LCK6122EVG</t>
        </is>
      </c>
      <c r="FK1333" s="15" t="n">
        <v>2025</v>
      </c>
      <c r="FL1333" s="15" t="inlineStr">
        <is>
          <t>B</t>
        </is>
      </c>
      <c r="FM1333" s="15" t="inlineStr">
        <is>
          <t>SAN ALFONSO</t>
        </is>
      </c>
      <c r="FN1333" s="15" t="inlineStr">
        <is>
          <t>San Alfonso 2141 (Ramón Subercaseaux 3060)</t>
        </is>
      </c>
      <c r="FO1333" s="15" t="inlineStr">
        <is>
          <t>Estacion Central</t>
        </is>
      </c>
      <c r="FP1333" t="inlineStr">
        <is>
          <t>B</t>
        </is>
      </c>
      <c r="FS1333" s="14" t="inlineStr">
        <is>
          <t>3052 / SFVZ-86|</t>
        </is>
      </c>
      <c r="FT1333" t="inlineStr">
        <is>
          <t>SFVZ-86|</t>
        </is>
      </c>
      <c r="FU1333" t="inlineStr">
        <is>
          <t>SFVZ-86</t>
        </is>
      </c>
      <c r="FV1333">
        <f>VLOOKUP(FU1333,FD:FL,9,0)</f>
        <v/>
      </c>
    </row>
    <row r="1334">
      <c r="FC1334" t="inlineStr">
        <is>
          <t>Diccionario 2</t>
        </is>
      </c>
      <c r="FD1334" s="15" t="inlineStr">
        <is>
          <t>VFPZ-98</t>
        </is>
      </c>
      <c r="FE1334" s="15" t="inlineStr">
        <is>
          <t>MDN35025010213</t>
        </is>
      </c>
      <c r="FF1334" s="15" t="inlineStr">
        <is>
          <t>LDYECS315S0044081</t>
        </is>
      </c>
      <c r="FG1334" s="15" t="inlineStr">
        <is>
          <t>Zhong Tong</t>
        </is>
      </c>
      <c r="FH1334" s="15" t="inlineStr">
        <is>
          <t>Lck6122evg</t>
        </is>
      </c>
      <c r="FI1334" s="15" t="inlineStr">
        <is>
          <t>ZHONGTONG</t>
        </is>
      </c>
      <c r="FJ1334" s="15" t="inlineStr">
        <is>
          <t>LCK6122EVG</t>
        </is>
      </c>
      <c r="FK1334" s="15" t="n">
        <v>2025</v>
      </c>
      <c r="FL1334" s="15" t="inlineStr">
        <is>
          <t>B</t>
        </is>
      </c>
      <c r="FM1334" s="15" t="inlineStr">
        <is>
          <t>SAN ALFONSO</t>
        </is>
      </c>
      <c r="FN1334" s="15" t="inlineStr">
        <is>
          <t>San Alfonso 2141 (Ramón Subercaseaux 3060)</t>
        </is>
      </c>
      <c r="FO1334" s="15" t="inlineStr">
        <is>
          <t>Estacion Central</t>
        </is>
      </c>
      <c r="FP1334" t="inlineStr">
        <is>
          <t>B</t>
        </is>
      </c>
      <c r="FS1334" s="14" t="inlineStr">
        <is>
          <t>VJWZ-74|</t>
        </is>
      </c>
      <c r="FT1334" t="inlineStr">
        <is>
          <t>VJWZ-74|</t>
        </is>
      </c>
      <c r="FU1334" t="inlineStr">
        <is>
          <t>VJWZ-74</t>
        </is>
      </c>
      <c r="FV1334">
        <f>VLOOKUP(FU1334,FD:FL,9,0)</f>
        <v/>
      </c>
    </row>
    <row r="1335">
      <c r="FC1335" t="inlineStr">
        <is>
          <t>Diccionario 2</t>
        </is>
      </c>
      <c r="FD1335" s="15" t="inlineStr">
        <is>
          <t>VFRB-13</t>
        </is>
      </c>
      <c r="FE1335" s="15" t="inlineStr">
        <is>
          <t>MDN35025010226</t>
        </is>
      </c>
      <c r="FF1335" s="15" t="inlineStr">
        <is>
          <t>LDYECS313S0044080</t>
        </is>
      </c>
      <c r="FG1335" s="15" t="inlineStr">
        <is>
          <t>Zhong Tong</t>
        </is>
      </c>
      <c r="FH1335" s="15" t="inlineStr">
        <is>
          <t>Lck6122evg</t>
        </is>
      </c>
      <c r="FI1335" s="15" t="inlineStr">
        <is>
          <t>ZHONGTONG</t>
        </is>
      </c>
      <c r="FJ1335" s="15" t="inlineStr">
        <is>
          <t>LCK6122EVG</t>
        </is>
      </c>
      <c r="FK1335" s="15" t="n">
        <v>2025</v>
      </c>
      <c r="FL1335" s="15" t="inlineStr">
        <is>
          <t>B</t>
        </is>
      </c>
      <c r="FM1335" s="15" t="inlineStr">
        <is>
          <t>PIE ANDINO</t>
        </is>
      </c>
      <c r="FN1335" s="15" t="inlineStr">
        <is>
          <t>Pie Andino 31 (Pie Andino 383)</t>
        </is>
      </c>
      <c r="FO1335" s="15" t="inlineStr">
        <is>
          <t>Puente Alto</t>
        </is>
      </c>
      <c r="FP1335" t="inlineStr">
        <is>
          <t>B</t>
        </is>
      </c>
      <c r="FS1335" s="14" t="inlineStr">
        <is>
          <t>VJKD-85|</t>
        </is>
      </c>
      <c r="FT1335" t="inlineStr">
        <is>
          <t>VJKD-85|</t>
        </is>
      </c>
      <c r="FU1335" t="inlineStr">
        <is>
          <t>VJKD-85</t>
        </is>
      </c>
      <c r="FV1335">
        <f>VLOOKUP(FU1335,FD:FL,9,0)</f>
        <v/>
      </c>
    </row>
    <row r="1336">
      <c r="FC1336" t="inlineStr">
        <is>
          <t>Diccionario 2</t>
        </is>
      </c>
      <c r="FD1336" s="15" t="inlineStr">
        <is>
          <t>VFRB-15</t>
        </is>
      </c>
      <c r="FE1336" s="15" t="inlineStr">
        <is>
          <t>MDN35025010225</t>
        </is>
      </c>
      <c r="FF1336" s="15" t="inlineStr">
        <is>
          <t>LDYECS317S0044079</t>
        </is>
      </c>
      <c r="FG1336" s="15" t="inlineStr">
        <is>
          <t>Zhong Tong</t>
        </is>
      </c>
      <c r="FH1336" s="15" t="inlineStr">
        <is>
          <t>Lck6122evg</t>
        </is>
      </c>
      <c r="FI1336" s="15" t="inlineStr">
        <is>
          <t>ZHONGTONG</t>
        </is>
      </c>
      <c r="FJ1336" s="15" t="inlineStr">
        <is>
          <t>LCK6122EVG</t>
        </is>
      </c>
      <c r="FK1336" s="15" t="n">
        <v>2025</v>
      </c>
      <c r="FL1336" s="15" t="inlineStr">
        <is>
          <t>B</t>
        </is>
      </c>
      <c r="FM1336" s="15" t="inlineStr">
        <is>
          <t>SAN ALFONSO</t>
        </is>
      </c>
      <c r="FN1336" s="15" t="inlineStr">
        <is>
          <t>San Alfonso 2141 (Ramón Subercaseaux 3060)</t>
        </is>
      </c>
      <c r="FO1336" s="15" t="inlineStr">
        <is>
          <t>Estacion Central</t>
        </is>
      </c>
      <c r="FP1336" t="inlineStr">
        <is>
          <t>B</t>
        </is>
      </c>
      <c r="FS1336" s="14" t="inlineStr">
        <is>
          <t>3016 / SFWB-28|</t>
        </is>
      </c>
      <c r="FT1336" t="inlineStr">
        <is>
          <t>SFWB-28|</t>
        </is>
      </c>
      <c r="FU1336" t="inlineStr">
        <is>
          <t>SFWB-28</t>
        </is>
      </c>
      <c r="FV1336">
        <f>VLOOKUP(FU1336,FD:FL,9,0)</f>
        <v/>
      </c>
    </row>
    <row r="1337">
      <c r="FC1337" t="inlineStr">
        <is>
          <t>Diccionario 2</t>
        </is>
      </c>
      <c r="FD1337" s="15" t="inlineStr">
        <is>
          <t>VFRB-54</t>
        </is>
      </c>
      <c r="FE1337" s="15" t="inlineStr">
        <is>
          <t>MDN35025010204</t>
        </is>
      </c>
      <c r="FF1337" s="15" t="inlineStr">
        <is>
          <t>LDYECS31XS0044108</t>
        </is>
      </c>
      <c r="FG1337" s="15" t="inlineStr">
        <is>
          <t>Zhong Tong</t>
        </is>
      </c>
      <c r="FH1337" s="15" t="inlineStr">
        <is>
          <t>Lck6122evg</t>
        </is>
      </c>
      <c r="FI1337" s="15" t="inlineStr">
        <is>
          <t>ZHONGTONG</t>
        </is>
      </c>
      <c r="FJ1337" s="15" t="inlineStr">
        <is>
          <t>LCK6122EVG</t>
        </is>
      </c>
      <c r="FK1337" s="15" t="n">
        <v>2025</v>
      </c>
      <c r="FL1337" s="15" t="inlineStr">
        <is>
          <t>B</t>
        </is>
      </c>
      <c r="FM1337" s="15" t="inlineStr">
        <is>
          <t>SAN ALFONSO</t>
        </is>
      </c>
      <c r="FN1337" s="15" t="inlineStr">
        <is>
          <t>San Alfonso 2141 (Ramón Subercaseaux 3060)</t>
        </is>
      </c>
      <c r="FO1337" s="15" t="inlineStr">
        <is>
          <t>Estacion Central</t>
        </is>
      </c>
      <c r="FP1337" t="inlineStr">
        <is>
          <t>B</t>
        </is>
      </c>
      <c r="FS1337" s="14" t="inlineStr">
        <is>
          <t>3044 / SFVZ-67|</t>
        </is>
      </c>
      <c r="FT1337" t="inlineStr">
        <is>
          <t>SFVZ-67|</t>
        </is>
      </c>
      <c r="FU1337" t="inlineStr">
        <is>
          <t>SFVZ-67</t>
        </is>
      </c>
      <c r="FV1337">
        <f>VLOOKUP(FU1337,FD:FL,9,0)</f>
        <v/>
      </c>
    </row>
    <row r="1338">
      <c r="FC1338" t="inlineStr">
        <is>
          <t>Diccionario 2</t>
        </is>
      </c>
      <c r="FD1338" s="15" t="inlineStr">
        <is>
          <t>VFRB-56</t>
        </is>
      </c>
      <c r="FE1338" s="15" t="inlineStr">
        <is>
          <t>MDN35025020040</t>
        </is>
      </c>
      <c r="FF1338" s="15" t="inlineStr">
        <is>
          <t>LDYECS314S0044086</t>
        </is>
      </c>
      <c r="FG1338" s="15" t="inlineStr">
        <is>
          <t>Zhong Tong</t>
        </is>
      </c>
      <c r="FH1338" s="15" t="inlineStr">
        <is>
          <t>Lck6122evg</t>
        </is>
      </c>
      <c r="FI1338" s="15" t="inlineStr">
        <is>
          <t>ZHONGTONG</t>
        </is>
      </c>
      <c r="FJ1338" s="15" t="inlineStr">
        <is>
          <t>LCK6122EVG</t>
        </is>
      </c>
      <c r="FK1338" s="15" t="n">
        <v>2025</v>
      </c>
      <c r="FL1338" s="15" t="inlineStr">
        <is>
          <t>B</t>
        </is>
      </c>
      <c r="FM1338" s="15" t="inlineStr">
        <is>
          <t>PIE ANDINO</t>
        </is>
      </c>
      <c r="FN1338" s="15" t="inlineStr">
        <is>
          <t>Pie Andino 31 (Pie Andino 383)</t>
        </is>
      </c>
      <c r="FO1338" s="15" t="inlineStr">
        <is>
          <t>Puente Alto</t>
        </is>
      </c>
      <c r="FP1338" t="inlineStr">
        <is>
          <t>B</t>
        </is>
      </c>
      <c r="FS1338" s="14" t="inlineStr">
        <is>
          <t>GCBF-44|</t>
        </is>
      </c>
      <c r="FT1338" t="inlineStr">
        <is>
          <t>GCBF-44|</t>
        </is>
      </c>
      <c r="FU1338" t="inlineStr">
        <is>
          <t>GCBF-44</t>
        </is>
      </c>
      <c r="FV1338">
        <f>VLOOKUP(FU1338,FD:FL,9,0)</f>
        <v/>
      </c>
    </row>
    <row r="1339">
      <c r="FC1339" t="inlineStr">
        <is>
          <t>Diccionario 2</t>
        </is>
      </c>
      <c r="FD1339" s="15" t="inlineStr">
        <is>
          <t>VFRB-63</t>
        </is>
      </c>
      <c r="FE1339" s="15" t="inlineStr">
        <is>
          <t>MDN35025020018</t>
        </is>
      </c>
      <c r="FF1339" s="15" t="inlineStr">
        <is>
          <t>LDYECS315S0044100</t>
        </is>
      </c>
      <c r="FG1339" s="15" t="inlineStr">
        <is>
          <t>Zhong Tong</t>
        </is>
      </c>
      <c r="FH1339" s="15" t="inlineStr">
        <is>
          <t>Lck6122evg</t>
        </is>
      </c>
      <c r="FI1339" s="15" t="inlineStr">
        <is>
          <t>ZHONGTONG</t>
        </is>
      </c>
      <c r="FJ1339" s="15" t="inlineStr">
        <is>
          <t>LCK6122EVG</t>
        </is>
      </c>
      <c r="FK1339" s="15" t="n">
        <v>2025</v>
      </c>
      <c r="FL1339" s="15" t="inlineStr">
        <is>
          <t>B</t>
        </is>
      </c>
      <c r="FM1339" s="15" t="inlineStr">
        <is>
          <t>SAN ALFONSO</t>
        </is>
      </c>
      <c r="FN1339" s="15" t="inlineStr">
        <is>
          <t>San Alfonso 2141 (Ramón Subercaseaux 3060)</t>
        </is>
      </c>
      <c r="FO1339" s="15" t="inlineStr">
        <is>
          <t>Estacion Central</t>
        </is>
      </c>
      <c r="FP1339" t="inlineStr">
        <is>
          <t>B</t>
        </is>
      </c>
      <c r="FS1339" s="14" t="inlineStr">
        <is>
          <t>3047 / SFVZ-39|</t>
        </is>
      </c>
      <c r="FT1339" t="inlineStr">
        <is>
          <t>SFVZ-39|</t>
        </is>
      </c>
      <c r="FU1339" t="inlineStr">
        <is>
          <t>SFVZ-39</t>
        </is>
      </c>
      <c r="FV1339">
        <f>VLOOKUP(FU1339,FD:FL,9,0)</f>
        <v/>
      </c>
    </row>
    <row r="1340">
      <c r="FC1340" t="inlineStr">
        <is>
          <t>Diccionario 2</t>
        </is>
      </c>
      <c r="FD1340" s="15" t="inlineStr">
        <is>
          <t>VFRB-67</t>
        </is>
      </c>
      <c r="FE1340" s="15" t="inlineStr">
        <is>
          <t>MDN35025010216</t>
        </is>
      </c>
      <c r="FF1340" s="15" t="inlineStr">
        <is>
          <t>LDYECS318S0044107</t>
        </is>
      </c>
      <c r="FG1340" s="15" t="inlineStr">
        <is>
          <t>Zhong Tong</t>
        </is>
      </c>
      <c r="FH1340" s="15" t="inlineStr">
        <is>
          <t>Lck6122evg</t>
        </is>
      </c>
      <c r="FI1340" s="15" t="inlineStr">
        <is>
          <t>ZHONGTONG</t>
        </is>
      </c>
      <c r="FJ1340" s="15" t="inlineStr">
        <is>
          <t>LCK6122EVG</t>
        </is>
      </c>
      <c r="FK1340" s="15" t="n">
        <v>2025</v>
      </c>
      <c r="FL1340" s="15" t="inlineStr">
        <is>
          <t>B</t>
        </is>
      </c>
      <c r="FM1340" s="15" t="inlineStr">
        <is>
          <t>SAN ALFONSO</t>
        </is>
      </c>
      <c r="FN1340" s="15" t="inlineStr">
        <is>
          <t>San Alfonso 2141 (Ramón Subercaseaux 3060)</t>
        </is>
      </c>
      <c r="FO1340" s="15" t="inlineStr">
        <is>
          <t>Estacion Central</t>
        </is>
      </c>
      <c r="FP1340" t="inlineStr">
        <is>
          <t>B</t>
        </is>
      </c>
      <c r="FS1340" s="14" t="inlineStr">
        <is>
          <t>VJKY-58|</t>
        </is>
      </c>
      <c r="FT1340" t="inlineStr">
        <is>
          <t>VJKY-58|</t>
        </is>
      </c>
      <c r="FU1340" t="inlineStr">
        <is>
          <t>VJKY-58</t>
        </is>
      </c>
      <c r="FV1340">
        <f>VLOOKUP(FU1340,FD:FL,9,0)</f>
        <v/>
      </c>
    </row>
    <row r="1341">
      <c r="FC1341" t="inlineStr">
        <is>
          <t>Diccionario 2</t>
        </is>
      </c>
      <c r="FD1341" s="15" t="inlineStr">
        <is>
          <t>VFRB-68</t>
        </is>
      </c>
      <c r="FE1341" s="15" t="inlineStr">
        <is>
          <t>MDN35025010249</t>
        </is>
      </c>
      <c r="FF1341" s="15" t="inlineStr">
        <is>
          <t>LDYECS31XS0044092</t>
        </is>
      </c>
      <c r="FG1341" s="15" t="inlineStr">
        <is>
          <t>Zhong Tong</t>
        </is>
      </c>
      <c r="FH1341" s="15" t="inlineStr">
        <is>
          <t>Lck6122evg</t>
        </is>
      </c>
      <c r="FI1341" s="15" t="inlineStr">
        <is>
          <t>ZHONGTONG</t>
        </is>
      </c>
      <c r="FJ1341" s="15" t="inlineStr">
        <is>
          <t>LCK6122EVG</t>
        </is>
      </c>
      <c r="FK1341" s="15" t="n">
        <v>2025</v>
      </c>
      <c r="FL1341" s="15" t="inlineStr">
        <is>
          <t>B</t>
        </is>
      </c>
      <c r="FM1341" s="15" t="inlineStr">
        <is>
          <t>PIE ANDINO</t>
        </is>
      </c>
      <c r="FN1341" s="15" t="inlineStr">
        <is>
          <t>Pie Andino 31 (Pie Andino 383)</t>
        </is>
      </c>
      <c r="FO1341" s="15" t="inlineStr">
        <is>
          <t>Puente Alto</t>
        </is>
      </c>
      <c r="FP1341" t="inlineStr">
        <is>
          <t>B</t>
        </is>
      </c>
      <c r="FS1341" s="14" t="inlineStr">
        <is>
          <t>3080 / SFWZ-65|</t>
        </is>
      </c>
      <c r="FT1341" t="inlineStr">
        <is>
          <t>SFWZ-65|</t>
        </is>
      </c>
      <c r="FU1341" t="inlineStr">
        <is>
          <t>SFWZ-65</t>
        </is>
      </c>
      <c r="FV1341">
        <f>VLOOKUP(FU1341,FD:FL,9,0)</f>
        <v/>
      </c>
    </row>
    <row r="1342">
      <c r="FC1342" t="inlineStr">
        <is>
          <t>Diccionario 2</t>
        </is>
      </c>
      <c r="FD1342" s="15" t="inlineStr">
        <is>
          <t>VFRB-81</t>
        </is>
      </c>
      <c r="FE1342" s="15" t="inlineStr">
        <is>
          <t>MDN35025020118</t>
        </is>
      </c>
      <c r="FF1342" s="15" t="inlineStr">
        <is>
          <t>LDYECS317S0044096</t>
        </is>
      </c>
      <c r="FG1342" s="15" t="inlineStr">
        <is>
          <t>Zhong Tong</t>
        </is>
      </c>
      <c r="FH1342" s="15" t="inlineStr">
        <is>
          <t>Lck6122evg</t>
        </is>
      </c>
      <c r="FI1342" s="15" t="inlineStr">
        <is>
          <t>ZHONGTONG</t>
        </is>
      </c>
      <c r="FJ1342" s="15" t="inlineStr">
        <is>
          <t>LCK6122EVG</t>
        </is>
      </c>
      <c r="FK1342" s="15" t="n">
        <v>2025</v>
      </c>
      <c r="FL1342" s="15" t="inlineStr">
        <is>
          <t>B</t>
        </is>
      </c>
      <c r="FM1342" s="15" t="inlineStr">
        <is>
          <t>SAN ALFONSO</t>
        </is>
      </c>
      <c r="FN1342" s="15" t="inlineStr">
        <is>
          <t>San Alfonso 2141 (Ramón Subercaseaux 3060)</t>
        </is>
      </c>
      <c r="FO1342" s="15" t="inlineStr">
        <is>
          <t>Estacion Central</t>
        </is>
      </c>
      <c r="FP1342" t="inlineStr">
        <is>
          <t>B</t>
        </is>
      </c>
      <c r="FS1342" s="14" t="inlineStr">
        <is>
          <t>3064 / SFWZ-61|</t>
        </is>
      </c>
      <c r="FT1342" t="inlineStr">
        <is>
          <t>SFWZ-61|</t>
        </is>
      </c>
      <c r="FU1342" t="inlineStr">
        <is>
          <t>SFWZ-61</t>
        </is>
      </c>
      <c r="FV1342">
        <f>VLOOKUP(FU1342,FD:FL,9,0)</f>
        <v/>
      </c>
    </row>
    <row r="1343">
      <c r="FC1343" t="inlineStr">
        <is>
          <t>Diccionario 2</t>
        </is>
      </c>
      <c r="FD1343" s="15" t="inlineStr">
        <is>
          <t>VFRC-75</t>
        </is>
      </c>
      <c r="FE1343" s="15" t="inlineStr">
        <is>
          <t>MDN35025010242</t>
        </is>
      </c>
      <c r="FF1343" s="15" t="inlineStr">
        <is>
          <t>LDYECS317S0044101</t>
        </is>
      </c>
      <c r="FG1343" s="15" t="inlineStr">
        <is>
          <t>Zhong Tong</t>
        </is>
      </c>
      <c r="FH1343" s="15" t="inlineStr">
        <is>
          <t>Lck6122evg</t>
        </is>
      </c>
      <c r="FI1343" s="15" t="inlineStr">
        <is>
          <t>ZHONGTONG</t>
        </is>
      </c>
      <c r="FJ1343" s="15" t="inlineStr">
        <is>
          <t>LCK6122EVG</t>
        </is>
      </c>
      <c r="FK1343" s="15" t="n">
        <v>2025</v>
      </c>
      <c r="FL1343" s="15" t="inlineStr">
        <is>
          <t>B</t>
        </is>
      </c>
      <c r="FM1343" s="15" t="inlineStr">
        <is>
          <t>SAN ALFONSO</t>
        </is>
      </c>
      <c r="FN1343" s="15" t="inlineStr">
        <is>
          <t>San Alfonso 2141 (Ramón Subercaseaux 3060)</t>
        </is>
      </c>
      <c r="FO1343" s="15" t="inlineStr">
        <is>
          <t>Estacion Central</t>
        </is>
      </c>
      <c r="FP1343" t="inlineStr">
        <is>
          <t>B</t>
        </is>
      </c>
      <c r="FS1343" s="14" t="inlineStr">
        <is>
          <t>3031 / SFWZ-33|</t>
        </is>
      </c>
      <c r="FT1343" t="inlineStr">
        <is>
          <t>SFWZ-33|</t>
        </is>
      </c>
      <c r="FU1343" t="inlineStr">
        <is>
          <t>SFWZ-33</t>
        </is>
      </c>
      <c r="FV1343">
        <f>VLOOKUP(FU1343,FD:FL,9,0)</f>
        <v/>
      </c>
    </row>
    <row r="1344">
      <c r="FC1344" t="inlineStr">
        <is>
          <t>Diccionario 2</t>
        </is>
      </c>
      <c r="FD1344" s="15" t="inlineStr">
        <is>
          <t>VFRD-35</t>
        </is>
      </c>
      <c r="FE1344" s="15" t="inlineStr">
        <is>
          <t>MDN35025020008</t>
        </is>
      </c>
      <c r="FF1344" s="15" t="inlineStr">
        <is>
          <t>LDYECS310S0044103</t>
        </is>
      </c>
      <c r="FG1344" s="15" t="inlineStr">
        <is>
          <t>Zhong Tong</t>
        </is>
      </c>
      <c r="FH1344" s="15" t="inlineStr">
        <is>
          <t>Lck6122evg</t>
        </is>
      </c>
      <c r="FI1344" s="15" t="inlineStr">
        <is>
          <t>ZHONGTONG</t>
        </is>
      </c>
      <c r="FJ1344" s="15" t="inlineStr">
        <is>
          <t>LCK6122EVG</t>
        </is>
      </c>
      <c r="FK1344" s="15" t="n">
        <v>2025</v>
      </c>
      <c r="FL1344" s="15" t="inlineStr">
        <is>
          <t>B</t>
        </is>
      </c>
      <c r="FM1344" s="15" t="inlineStr">
        <is>
          <t>PIE ANDINO</t>
        </is>
      </c>
      <c r="FN1344" s="15" t="inlineStr">
        <is>
          <t>Pie Andino 31 (Pie Andino 383)</t>
        </is>
      </c>
      <c r="FO1344" s="15" t="inlineStr">
        <is>
          <t>Puente Alto</t>
        </is>
      </c>
      <c r="FP1344" t="inlineStr">
        <is>
          <t>B</t>
        </is>
      </c>
      <c r="FS1344" s="14" t="inlineStr">
        <is>
          <t>VJKG-75|</t>
        </is>
      </c>
      <c r="FT1344" t="inlineStr">
        <is>
          <t>VJKG-75|</t>
        </is>
      </c>
      <c r="FU1344" t="inlineStr">
        <is>
          <t>VJKG-75</t>
        </is>
      </c>
      <c r="FV1344">
        <f>VLOOKUP(FU1344,FD:FL,9,0)</f>
        <v/>
      </c>
    </row>
    <row r="1345">
      <c r="FC1345" t="inlineStr">
        <is>
          <t>Diccionario 2</t>
        </is>
      </c>
      <c r="FD1345" s="15" t="inlineStr">
        <is>
          <t>VFRD-45</t>
        </is>
      </c>
      <c r="FE1345" s="15" t="inlineStr">
        <is>
          <t>MDN35025020020</t>
        </is>
      </c>
      <c r="FF1345" s="15" t="inlineStr">
        <is>
          <t>LDYECS310S0044098</t>
        </is>
      </c>
      <c r="FG1345" s="15" t="inlineStr">
        <is>
          <t>Zhong Tong</t>
        </is>
      </c>
      <c r="FH1345" s="15" t="inlineStr">
        <is>
          <t>Lck6122evg</t>
        </is>
      </c>
      <c r="FI1345" s="15" t="inlineStr">
        <is>
          <t>ZHONGTONG</t>
        </is>
      </c>
      <c r="FJ1345" s="15" t="inlineStr">
        <is>
          <t>LCK6122EVG</t>
        </is>
      </c>
      <c r="FK1345" s="15" t="n">
        <v>2025</v>
      </c>
      <c r="FL1345" s="15" t="inlineStr">
        <is>
          <t>B</t>
        </is>
      </c>
      <c r="FM1345" s="15" t="inlineStr">
        <is>
          <t>SAN ALFONSO</t>
        </is>
      </c>
      <c r="FN1345" s="15" t="inlineStr">
        <is>
          <t>San Alfonso 2141 (Ramón Subercaseaux 3060)</t>
        </is>
      </c>
      <c r="FO1345" s="15" t="inlineStr">
        <is>
          <t>Estacion Central</t>
        </is>
      </c>
      <c r="FP1345" t="inlineStr">
        <is>
          <t>B</t>
        </is>
      </c>
      <c r="FS1345" s="14" t="inlineStr">
        <is>
          <t>3004 / SFWZ-31|</t>
        </is>
      </c>
      <c r="FT1345" t="inlineStr">
        <is>
          <t>SFWZ-31|</t>
        </is>
      </c>
      <c r="FU1345" t="inlineStr">
        <is>
          <t>SFWZ-31</t>
        </is>
      </c>
      <c r="FV1345">
        <f>VLOOKUP(FU1345,FD:FL,9,0)</f>
        <v/>
      </c>
    </row>
    <row r="1346">
      <c r="FC1346" t="inlineStr">
        <is>
          <t>Diccionario 2</t>
        </is>
      </c>
      <c r="FD1346" s="15" t="inlineStr">
        <is>
          <t>VFRD-55</t>
        </is>
      </c>
      <c r="FE1346" s="15" t="inlineStr">
        <is>
          <t>MDN35025010252</t>
        </is>
      </c>
      <c r="FF1346" s="15" t="inlineStr">
        <is>
          <t>LDYECS311S0044093</t>
        </is>
      </c>
      <c r="FG1346" s="15" t="inlineStr">
        <is>
          <t>Zhong Tong</t>
        </is>
      </c>
      <c r="FH1346" s="15" t="inlineStr">
        <is>
          <t>Lck6122evg</t>
        </is>
      </c>
      <c r="FI1346" s="15" t="inlineStr">
        <is>
          <t>ZHONGTONG</t>
        </is>
      </c>
      <c r="FJ1346" s="15" t="inlineStr">
        <is>
          <t>LCK6122EVG</t>
        </is>
      </c>
      <c r="FK1346" s="15" t="n">
        <v>2025</v>
      </c>
      <c r="FL1346" s="15" t="inlineStr">
        <is>
          <t>B</t>
        </is>
      </c>
      <c r="FM1346" s="15" t="inlineStr">
        <is>
          <t>PIE ANDINO</t>
        </is>
      </c>
      <c r="FN1346" s="15" t="inlineStr">
        <is>
          <t>Pie Andino 31 (Pie Andino 383)</t>
        </is>
      </c>
      <c r="FO1346" s="15" t="inlineStr">
        <is>
          <t>Puente Alto</t>
        </is>
      </c>
      <c r="FP1346" t="inlineStr">
        <is>
          <t>B</t>
        </is>
      </c>
      <c r="FS1346" s="14" t="inlineStr">
        <is>
          <t>VJKG-16|</t>
        </is>
      </c>
      <c r="FT1346" t="inlineStr">
        <is>
          <t>VJKG-16|</t>
        </is>
      </c>
      <c r="FU1346" t="inlineStr">
        <is>
          <t>VJKG-16</t>
        </is>
      </c>
      <c r="FV1346">
        <f>VLOOKUP(FU1346,FD:FL,9,0)</f>
        <v/>
      </c>
    </row>
    <row r="1347">
      <c r="FC1347" t="inlineStr">
        <is>
          <t>Diccionario 2</t>
        </is>
      </c>
      <c r="FD1347" s="15" t="inlineStr">
        <is>
          <t>VFRD-65</t>
        </is>
      </c>
      <c r="FE1347" s="15" t="inlineStr">
        <is>
          <t>MDN35025020014</t>
        </is>
      </c>
      <c r="FF1347" s="15" t="inlineStr">
        <is>
          <t>LDYECS318S0044091</t>
        </is>
      </c>
      <c r="FG1347" s="15" t="inlineStr">
        <is>
          <t>Zhong Tong</t>
        </is>
      </c>
      <c r="FH1347" s="15" t="inlineStr">
        <is>
          <t>Lck6122evg</t>
        </is>
      </c>
      <c r="FI1347" s="15" t="inlineStr">
        <is>
          <t>ZHONGTONG</t>
        </is>
      </c>
      <c r="FJ1347" s="15" t="inlineStr">
        <is>
          <t>LCK6122EVG</t>
        </is>
      </c>
      <c r="FK1347" s="15" t="n">
        <v>2025</v>
      </c>
      <c r="FL1347" s="15" t="inlineStr">
        <is>
          <t>B</t>
        </is>
      </c>
      <c r="FM1347" s="15" t="inlineStr">
        <is>
          <t>PIE ANDINO</t>
        </is>
      </c>
      <c r="FN1347" s="15" t="inlineStr">
        <is>
          <t>Pie Andino 31 (Pie Andino 383)</t>
        </is>
      </c>
      <c r="FO1347" s="15" t="inlineStr">
        <is>
          <t>Puente Alto</t>
        </is>
      </c>
      <c r="FP1347" t="inlineStr">
        <is>
          <t>B</t>
        </is>
      </c>
      <c r="FS1347" s="14" t="inlineStr">
        <is>
          <t>VJYH-63|</t>
        </is>
      </c>
      <c r="FT1347" t="inlineStr">
        <is>
          <t>VJYH-63|</t>
        </is>
      </c>
      <c r="FU1347" t="inlineStr">
        <is>
          <t>VJYH-63</t>
        </is>
      </c>
      <c r="FV1347">
        <f>VLOOKUP(FU1347,FD:FL,9,0)</f>
        <v/>
      </c>
    </row>
    <row r="1348">
      <c r="FC1348" t="inlineStr">
        <is>
          <t>Diccionario 2</t>
        </is>
      </c>
      <c r="FD1348" s="15" t="inlineStr">
        <is>
          <t>VFRD-75</t>
        </is>
      </c>
      <c r="FE1348" s="15" t="inlineStr">
        <is>
          <t>MDN35025020004</t>
        </is>
      </c>
      <c r="FF1348" s="15" t="inlineStr">
        <is>
          <t>LDYECS314S0044105</t>
        </is>
      </c>
      <c r="FG1348" s="15" t="inlineStr">
        <is>
          <t>Zhong Tong</t>
        </is>
      </c>
      <c r="FH1348" s="15" t="inlineStr">
        <is>
          <t>Lck6122evg</t>
        </is>
      </c>
      <c r="FI1348" s="15" t="inlineStr">
        <is>
          <t>ZHONGTONG</t>
        </is>
      </c>
      <c r="FJ1348" s="15" t="inlineStr">
        <is>
          <t>LCK6122EVG</t>
        </is>
      </c>
      <c r="FK1348" s="15" t="n">
        <v>2025</v>
      </c>
      <c r="FL1348" s="15" t="inlineStr">
        <is>
          <t>B</t>
        </is>
      </c>
      <c r="FM1348" s="15" t="inlineStr">
        <is>
          <t>SAN ALFONSO</t>
        </is>
      </c>
      <c r="FN1348" s="15" t="inlineStr">
        <is>
          <t>San Alfonso 2141 (Ramón Subercaseaux 3060)</t>
        </is>
      </c>
      <c r="FO1348" s="15" t="inlineStr">
        <is>
          <t>Estacion Central</t>
        </is>
      </c>
      <c r="FP1348" t="inlineStr">
        <is>
          <t>B</t>
        </is>
      </c>
      <c r="FS1348" s="14" t="inlineStr">
        <is>
          <t>3023 / SFWB-33|</t>
        </is>
      </c>
      <c r="FT1348" t="inlineStr">
        <is>
          <t>SFWB-33|</t>
        </is>
      </c>
      <c r="FU1348" t="inlineStr">
        <is>
          <t>SFWB-33</t>
        </is>
      </c>
      <c r="FV1348">
        <f>VLOOKUP(FU1348,FD:FL,9,0)</f>
        <v/>
      </c>
    </row>
    <row r="1349">
      <c r="FC1349" t="inlineStr">
        <is>
          <t>Diccionario 2</t>
        </is>
      </c>
      <c r="FD1349" s="15" t="inlineStr">
        <is>
          <t>VFRD-85</t>
        </is>
      </c>
      <c r="FE1349" s="15" t="inlineStr">
        <is>
          <t>MDN35025010245</t>
        </is>
      </c>
      <c r="FF1349" s="15" t="inlineStr">
        <is>
          <t>LDYECS312S0044099</t>
        </is>
      </c>
      <c r="FG1349" s="15" t="inlineStr">
        <is>
          <t>Zhong Tong</t>
        </is>
      </c>
      <c r="FH1349" s="15" t="inlineStr">
        <is>
          <t>Lck6122evg</t>
        </is>
      </c>
      <c r="FI1349" s="15" t="inlineStr">
        <is>
          <t>ZHONGTONG</t>
        </is>
      </c>
      <c r="FJ1349" s="15" t="inlineStr">
        <is>
          <t>LCK6122EVG</t>
        </is>
      </c>
      <c r="FK1349" s="15" t="n">
        <v>2025</v>
      </c>
      <c r="FL1349" s="15" t="inlineStr">
        <is>
          <t>B</t>
        </is>
      </c>
      <c r="FM1349" s="15" t="inlineStr">
        <is>
          <t>PIE ANDINO</t>
        </is>
      </c>
      <c r="FN1349" s="15" t="inlineStr">
        <is>
          <t>Pie Andino 31 (Pie Andino 383)</t>
        </is>
      </c>
      <c r="FO1349" s="15" t="inlineStr">
        <is>
          <t>Puente Alto</t>
        </is>
      </c>
      <c r="FP1349" t="inlineStr">
        <is>
          <t>B</t>
        </is>
      </c>
      <c r="FS1349" s="14" t="inlineStr">
        <is>
          <t>VJKF-29|</t>
        </is>
      </c>
      <c r="FT1349" t="inlineStr">
        <is>
          <t>VJKF-29|</t>
        </is>
      </c>
      <c r="FU1349" t="inlineStr">
        <is>
          <t>VJKF-29</t>
        </is>
      </c>
      <c r="FV1349">
        <f>VLOOKUP(FU1349,FD:FL,9,0)</f>
        <v/>
      </c>
    </row>
    <row r="1350">
      <c r="FC1350" t="inlineStr">
        <is>
          <t>Diccionario 2</t>
        </is>
      </c>
      <c r="FD1350" s="15" t="inlineStr">
        <is>
          <t>VFRD-95</t>
        </is>
      </c>
      <c r="FE1350" s="15" t="inlineStr">
        <is>
          <t>MDN35025010043</t>
        </is>
      </c>
      <c r="FF1350" s="15" t="inlineStr">
        <is>
          <t>LDYECS316S0043831</t>
        </is>
      </c>
      <c r="FG1350" s="15" t="inlineStr">
        <is>
          <t>Zhong Tong</t>
        </is>
      </c>
      <c r="FH1350" s="15" t="inlineStr">
        <is>
          <t>Lck6122evg</t>
        </is>
      </c>
      <c r="FI1350" s="15" t="inlineStr">
        <is>
          <t>ZHONGTONG</t>
        </is>
      </c>
      <c r="FJ1350" s="15" t="inlineStr">
        <is>
          <t>LCK6122EVG</t>
        </is>
      </c>
      <c r="FK1350" s="15" t="n">
        <v>2025</v>
      </c>
      <c r="FL1350" s="15" t="inlineStr">
        <is>
          <t>B</t>
        </is>
      </c>
      <c r="FM1350" s="15" t="inlineStr">
        <is>
          <t>PIE ANDINO</t>
        </is>
      </c>
      <c r="FN1350" s="15" t="inlineStr">
        <is>
          <t>Pie Andino 31 (Pie Andino 383)</t>
        </is>
      </c>
      <c r="FO1350" s="15" t="inlineStr">
        <is>
          <t>Puente Alto</t>
        </is>
      </c>
      <c r="FP1350" t="inlineStr">
        <is>
          <t>B</t>
        </is>
      </c>
      <c r="FS1350" s="14" t="inlineStr">
        <is>
          <t>3036 / SFWB-77|</t>
        </is>
      </c>
      <c r="FT1350" t="inlineStr">
        <is>
          <t>SFWB-77|</t>
        </is>
      </c>
      <c r="FU1350" t="inlineStr">
        <is>
          <t>SFWB-77</t>
        </is>
      </c>
      <c r="FV1350">
        <f>VLOOKUP(FU1350,FD:FL,9,0)</f>
        <v/>
      </c>
    </row>
    <row r="1351">
      <c r="FC1351" t="inlineStr">
        <is>
          <t>Diccionario 2</t>
        </is>
      </c>
      <c r="FD1351" s="15" t="inlineStr">
        <is>
          <t>VFRF-15</t>
        </is>
      </c>
      <c r="FE1351" s="15" t="inlineStr">
        <is>
          <t>MDN35025010020</t>
        </is>
      </c>
      <c r="FF1351" s="15" t="inlineStr">
        <is>
          <t>LDYECS31XS0043833</t>
        </is>
      </c>
      <c r="FG1351" s="15" t="inlineStr">
        <is>
          <t>Zhong Tong</t>
        </is>
      </c>
      <c r="FH1351" s="15" t="inlineStr">
        <is>
          <t>Lck6122evg</t>
        </is>
      </c>
      <c r="FI1351" s="15" t="inlineStr">
        <is>
          <t>ZHONGTONG</t>
        </is>
      </c>
      <c r="FJ1351" s="15" t="inlineStr">
        <is>
          <t>LCK6122EVG</t>
        </is>
      </c>
      <c r="FK1351" s="15" t="n">
        <v>2025</v>
      </c>
      <c r="FL1351" s="15" t="inlineStr">
        <is>
          <t>B</t>
        </is>
      </c>
      <c r="FM1351" s="15" t="inlineStr">
        <is>
          <t>CERRILLOS</t>
        </is>
      </c>
      <c r="FN1351" s="15" t="inlineStr">
        <is>
          <t>Calle Uno 7371</t>
        </is>
      </c>
      <c r="FO1351" s="15" t="inlineStr">
        <is>
          <t>Cerrillos</t>
        </is>
      </c>
      <c r="FP1351" t="inlineStr">
        <is>
          <t>B</t>
        </is>
      </c>
      <c r="FS1351" s="14" t="inlineStr">
        <is>
          <t>3032 / SFWZ-34|</t>
        </is>
      </c>
      <c r="FT1351" t="inlineStr">
        <is>
          <t>SFWZ-34|</t>
        </is>
      </c>
      <c r="FU1351" t="inlineStr">
        <is>
          <t>SFWZ-34</t>
        </is>
      </c>
      <c r="FV1351">
        <f>VLOOKUP(FU1351,FD:FL,9,0)</f>
        <v/>
      </c>
    </row>
    <row r="1352">
      <c r="FC1352" t="inlineStr">
        <is>
          <t>Diccionario 2</t>
        </is>
      </c>
      <c r="FD1352" s="15" t="inlineStr">
        <is>
          <t>VFRF-35</t>
        </is>
      </c>
      <c r="FE1352" s="15" t="inlineStr">
        <is>
          <t>MDN35025010239</t>
        </is>
      </c>
      <c r="FF1352" s="15" t="inlineStr">
        <is>
          <t>LDYECS311S0043834</t>
        </is>
      </c>
      <c r="FG1352" s="15" t="inlineStr">
        <is>
          <t>Zhong Tong</t>
        </is>
      </c>
      <c r="FH1352" s="15" t="inlineStr">
        <is>
          <t>Lck6122evg</t>
        </is>
      </c>
      <c r="FI1352" s="15" t="inlineStr">
        <is>
          <t>ZHONGTONG</t>
        </is>
      </c>
      <c r="FJ1352" s="15" t="inlineStr">
        <is>
          <t>LCK6122EVG</t>
        </is>
      </c>
      <c r="FK1352" s="15" t="n">
        <v>2025</v>
      </c>
      <c r="FL1352" s="15" t="inlineStr">
        <is>
          <t>B</t>
        </is>
      </c>
      <c r="FM1352" s="15" t="inlineStr">
        <is>
          <t>PIE ANDINO</t>
        </is>
      </c>
      <c r="FN1352" s="15" t="inlineStr">
        <is>
          <t>Pie Andino 31 (Pie Andino 383)</t>
        </is>
      </c>
      <c r="FO1352" s="15" t="inlineStr">
        <is>
          <t>Puente Alto</t>
        </is>
      </c>
      <c r="FP1352" t="inlineStr">
        <is>
          <t>B</t>
        </is>
      </c>
      <c r="FS1352" s="14" t="inlineStr">
        <is>
          <t>3019 / SFWB-44|</t>
        </is>
      </c>
      <c r="FT1352" t="inlineStr">
        <is>
          <t>SFWB-44|</t>
        </is>
      </c>
      <c r="FU1352" t="inlineStr">
        <is>
          <t>SFWB-44</t>
        </is>
      </c>
      <c r="FV1352">
        <f>VLOOKUP(FU1352,FD:FL,9,0)</f>
        <v/>
      </c>
    </row>
    <row r="1353">
      <c r="FC1353" t="inlineStr">
        <is>
          <t>Diccionario 2</t>
        </is>
      </c>
      <c r="FD1353" s="15" t="inlineStr">
        <is>
          <t>VFRF-55</t>
        </is>
      </c>
      <c r="FE1353" s="15" t="inlineStr">
        <is>
          <t>MDN35025010027</t>
        </is>
      </c>
      <c r="FF1353" s="15" t="inlineStr">
        <is>
          <t>LDYECS314S0043830</t>
        </is>
      </c>
      <c r="FG1353" s="15" t="inlineStr">
        <is>
          <t>Zhong Tong</t>
        </is>
      </c>
      <c r="FH1353" s="15" t="inlineStr">
        <is>
          <t>Lck6122evg</t>
        </is>
      </c>
      <c r="FI1353" s="15" t="inlineStr">
        <is>
          <t>ZHONGTONG</t>
        </is>
      </c>
      <c r="FJ1353" s="15" t="inlineStr">
        <is>
          <t>LCK6122EVG</t>
        </is>
      </c>
      <c r="FK1353" s="15" t="n">
        <v>2025</v>
      </c>
      <c r="FL1353" s="15" t="inlineStr">
        <is>
          <t>B</t>
        </is>
      </c>
      <c r="FM1353" s="15" t="inlineStr">
        <is>
          <t>CERRILLOS</t>
        </is>
      </c>
      <c r="FN1353" s="15" t="inlineStr">
        <is>
          <t>Calle Uno 7371</t>
        </is>
      </c>
      <c r="FO1353" s="15" t="inlineStr">
        <is>
          <t>Cerrillos</t>
        </is>
      </c>
      <c r="FP1353" t="inlineStr">
        <is>
          <t>B</t>
        </is>
      </c>
      <c r="FS1353" s="14" t="inlineStr">
        <is>
          <t>VJKX-78|</t>
        </is>
      </c>
      <c r="FT1353" t="inlineStr">
        <is>
          <t>VJKX-78|</t>
        </is>
      </c>
      <c r="FU1353" t="inlineStr">
        <is>
          <t>VJKX-78</t>
        </is>
      </c>
      <c r="FV1353">
        <f>VLOOKUP(FU1353,FD:FL,9,0)</f>
        <v/>
      </c>
    </row>
    <row r="1354">
      <c r="FC1354" t="inlineStr">
        <is>
          <t>Diccionario 2</t>
        </is>
      </c>
      <c r="FD1354" s="15" t="inlineStr">
        <is>
          <t>VFRF-65</t>
        </is>
      </c>
      <c r="FE1354" s="15" t="inlineStr">
        <is>
          <t>MDN35025010024</t>
        </is>
      </c>
      <c r="FF1354" s="15" t="inlineStr">
        <is>
          <t>LDYECS319S0043824</t>
        </is>
      </c>
      <c r="FG1354" s="15" t="inlineStr">
        <is>
          <t>Zhong Tong</t>
        </is>
      </c>
      <c r="FH1354" s="15" t="inlineStr">
        <is>
          <t>Lck6122evg</t>
        </is>
      </c>
      <c r="FI1354" s="15" t="inlineStr">
        <is>
          <t>ZHONGTONG</t>
        </is>
      </c>
      <c r="FJ1354" s="15" t="inlineStr">
        <is>
          <t>LCK6122EVG</t>
        </is>
      </c>
      <c r="FK1354" s="15" t="n">
        <v>2025</v>
      </c>
      <c r="FL1354" s="15" t="inlineStr">
        <is>
          <t>B</t>
        </is>
      </c>
      <c r="FM1354" s="15" t="inlineStr">
        <is>
          <t>PIE ANDINO</t>
        </is>
      </c>
      <c r="FN1354" s="15" t="inlineStr">
        <is>
          <t>Pie Andino 31 (Pie Andino 383)</t>
        </is>
      </c>
      <c r="FO1354" s="15" t="inlineStr">
        <is>
          <t>Puente Alto</t>
        </is>
      </c>
      <c r="FP1354" t="inlineStr">
        <is>
          <t>B</t>
        </is>
      </c>
      <c r="FS1354" s="14" t="inlineStr">
        <is>
          <t>VJXC-26|</t>
        </is>
      </c>
      <c r="FT1354" t="inlineStr">
        <is>
          <t>VJXC-26|</t>
        </is>
      </c>
      <c r="FU1354" t="inlineStr">
        <is>
          <t>VJXC-26</t>
        </is>
      </c>
      <c r="FV1354">
        <f>VLOOKUP(FU1354,FD:FL,9,0)</f>
        <v/>
      </c>
    </row>
    <row r="1355">
      <c r="FC1355" t="inlineStr">
        <is>
          <t>Diccionario 2</t>
        </is>
      </c>
      <c r="FD1355" s="15" t="inlineStr">
        <is>
          <t>VFRF-75</t>
        </is>
      </c>
      <c r="FE1355" s="15" t="inlineStr">
        <is>
          <t>MDN35025010042</t>
        </is>
      </c>
      <c r="FF1355" s="15" t="inlineStr">
        <is>
          <t>LDYECS317S0043823</t>
        </is>
      </c>
      <c r="FG1355" s="15" t="inlineStr">
        <is>
          <t>Zhong Tong</t>
        </is>
      </c>
      <c r="FH1355" s="15" t="inlineStr">
        <is>
          <t>Lck6122evg</t>
        </is>
      </c>
      <c r="FI1355" s="15" t="inlineStr">
        <is>
          <t>ZHONGTONG</t>
        </is>
      </c>
      <c r="FJ1355" s="15" t="inlineStr">
        <is>
          <t>LCK6122EVG</t>
        </is>
      </c>
      <c r="FK1355" s="15" t="n">
        <v>2025</v>
      </c>
      <c r="FL1355" s="15" t="inlineStr">
        <is>
          <t>B</t>
        </is>
      </c>
      <c r="FM1355" s="15" t="inlineStr">
        <is>
          <t>PIE ANDINO</t>
        </is>
      </c>
      <c r="FN1355" s="15" t="inlineStr">
        <is>
          <t>Pie Andino 31 (Pie Andino 383)</t>
        </is>
      </c>
      <c r="FO1355" s="15" t="inlineStr">
        <is>
          <t>Puente Alto</t>
        </is>
      </c>
      <c r="FP1355" t="inlineStr">
        <is>
          <t>B</t>
        </is>
      </c>
      <c r="FS1355" s="14" t="inlineStr">
        <is>
          <t>3033 / SFVZ-29|</t>
        </is>
      </c>
      <c r="FT1355" t="inlineStr">
        <is>
          <t>SFVZ-29|</t>
        </is>
      </c>
      <c r="FU1355" t="inlineStr">
        <is>
          <t>SFVZ-29</t>
        </is>
      </c>
      <c r="FV1355">
        <f>VLOOKUP(FU1355,FD:FL,9,0)</f>
        <v/>
      </c>
    </row>
    <row r="1356">
      <c r="FC1356" t="inlineStr">
        <is>
          <t>Diccionario 2</t>
        </is>
      </c>
      <c r="FD1356" s="15" t="inlineStr">
        <is>
          <t>VFRF-85</t>
        </is>
      </c>
      <c r="FE1356" s="15" t="inlineStr">
        <is>
          <t>MDN35025010034</t>
        </is>
      </c>
      <c r="FF1356" s="15" t="inlineStr">
        <is>
          <t>LDYECS310S0043839</t>
        </is>
      </c>
      <c r="FG1356" s="15" t="inlineStr">
        <is>
          <t>Zhong Tong</t>
        </is>
      </c>
      <c r="FH1356" s="15" t="inlineStr">
        <is>
          <t>Lck6122evg</t>
        </is>
      </c>
      <c r="FI1356" s="15" t="inlineStr">
        <is>
          <t>ZHONGTONG</t>
        </is>
      </c>
      <c r="FJ1356" s="15" t="inlineStr">
        <is>
          <t>LCK6122EVG</t>
        </is>
      </c>
      <c r="FK1356" s="15" t="n">
        <v>2025</v>
      </c>
      <c r="FL1356" s="15" t="inlineStr">
        <is>
          <t>B</t>
        </is>
      </c>
      <c r="FM1356" s="15" t="inlineStr">
        <is>
          <t>PIE ANDINO</t>
        </is>
      </c>
      <c r="FN1356" s="15" t="inlineStr">
        <is>
          <t>Pie Andino 31 (Pie Andino 383)</t>
        </is>
      </c>
      <c r="FO1356" s="15" t="inlineStr">
        <is>
          <t>Puente Alto</t>
        </is>
      </c>
      <c r="FP1356" t="inlineStr">
        <is>
          <t>B</t>
        </is>
      </c>
      <c r="FS1356" s="14" t="inlineStr">
        <is>
          <t>3052 / SFVZ-86|</t>
        </is>
      </c>
      <c r="FT1356" t="inlineStr">
        <is>
          <t>SFVZ-86|</t>
        </is>
      </c>
      <c r="FU1356" t="inlineStr">
        <is>
          <t>SFVZ-86</t>
        </is>
      </c>
      <c r="FV1356">
        <f>VLOOKUP(FU1356,FD:FL,9,0)</f>
        <v/>
      </c>
    </row>
    <row r="1357">
      <c r="FC1357" t="inlineStr">
        <is>
          <t>Diccionario 2</t>
        </is>
      </c>
      <c r="FD1357" s="15" t="inlineStr">
        <is>
          <t>VFRF-95</t>
        </is>
      </c>
      <c r="FE1357" s="15" t="inlineStr">
        <is>
          <t>MDN35025020016</t>
        </is>
      </c>
      <c r="FF1357" s="15" t="inlineStr">
        <is>
          <t>LDYECS311S0043820</t>
        </is>
      </c>
      <c r="FG1357" s="15" t="inlineStr">
        <is>
          <t>Zhong Tong</t>
        </is>
      </c>
      <c r="FH1357" s="15" t="inlineStr">
        <is>
          <t>Lck6122evg</t>
        </is>
      </c>
      <c r="FI1357" s="15" t="inlineStr">
        <is>
          <t>ZHONGTONG</t>
        </is>
      </c>
      <c r="FJ1357" s="15" t="inlineStr">
        <is>
          <t>LCK6122EVG</t>
        </is>
      </c>
      <c r="FK1357" s="15" t="n">
        <v>2025</v>
      </c>
      <c r="FL1357" s="15" t="inlineStr">
        <is>
          <t>B</t>
        </is>
      </c>
      <c r="FM1357" s="15" t="inlineStr">
        <is>
          <t>PIE ANDINO</t>
        </is>
      </c>
      <c r="FN1357" s="15" t="inlineStr">
        <is>
          <t>Pie Andino 31 (Pie Andino 383)</t>
        </is>
      </c>
      <c r="FO1357" s="15" t="inlineStr">
        <is>
          <t>Puente Alto</t>
        </is>
      </c>
      <c r="FP1357" t="inlineStr">
        <is>
          <t>B</t>
        </is>
      </c>
      <c r="FS1357" s="14" t="inlineStr">
        <is>
          <t>VJZB-57|</t>
        </is>
      </c>
      <c r="FT1357" t="inlineStr">
        <is>
          <t>VJZB-57|</t>
        </is>
      </c>
      <c r="FU1357" t="inlineStr">
        <is>
          <t>VJZB-57</t>
        </is>
      </c>
      <c r="FV1357">
        <f>VLOOKUP(FU1357,FD:FL,9,0)</f>
        <v/>
      </c>
    </row>
    <row r="1358">
      <c r="FC1358" t="inlineStr">
        <is>
          <t>Diccionario 2</t>
        </is>
      </c>
      <c r="FD1358" s="15" t="inlineStr">
        <is>
          <t>VFRG-15</t>
        </is>
      </c>
      <c r="FE1358" s="15" t="inlineStr">
        <is>
          <t>MDN35025010090</t>
        </is>
      </c>
      <c r="FF1358" s="15" t="inlineStr">
        <is>
          <t>LDYECS315S0043822</t>
        </is>
      </c>
      <c r="FG1358" s="15" t="inlineStr">
        <is>
          <t>Zhong Tong</t>
        </is>
      </c>
      <c r="FH1358" s="15" t="inlineStr">
        <is>
          <t>Lck6122evg</t>
        </is>
      </c>
      <c r="FI1358" s="15" t="inlineStr">
        <is>
          <t>ZHONGTONG</t>
        </is>
      </c>
      <c r="FJ1358" s="15" t="inlineStr">
        <is>
          <t>LCK6122EVG</t>
        </is>
      </c>
      <c r="FK1358" s="15" t="n">
        <v>2025</v>
      </c>
      <c r="FL1358" s="15" t="inlineStr">
        <is>
          <t>B</t>
        </is>
      </c>
      <c r="FM1358" s="15" t="inlineStr">
        <is>
          <t>CERRILLOS</t>
        </is>
      </c>
      <c r="FN1358" s="15" t="inlineStr">
        <is>
          <t>Calle Uno 7371</t>
        </is>
      </c>
      <c r="FO1358" s="15" t="inlineStr">
        <is>
          <t>Cerrillos</t>
        </is>
      </c>
      <c r="FP1358" t="inlineStr">
        <is>
          <t>B</t>
        </is>
      </c>
      <c r="FS1358" s="14" t="inlineStr">
        <is>
          <t>VJKV-58|</t>
        </is>
      </c>
      <c r="FT1358" t="inlineStr">
        <is>
          <t>VJKV-58|</t>
        </is>
      </c>
      <c r="FU1358" t="inlineStr">
        <is>
          <t>VJKV-58</t>
        </is>
      </c>
      <c r="FV1358">
        <f>VLOOKUP(FU1358,FD:FL,9,0)</f>
        <v/>
      </c>
    </row>
    <row r="1359">
      <c r="FC1359" t="inlineStr">
        <is>
          <t>Diccionario 2</t>
        </is>
      </c>
      <c r="FD1359" s="15" t="inlineStr">
        <is>
          <t>VFRG-25</t>
        </is>
      </c>
      <c r="FE1359" s="15" t="inlineStr">
        <is>
          <t>MDN35025020041</t>
        </is>
      </c>
      <c r="FF1359" s="15" t="inlineStr">
        <is>
          <t>LDYECS319S0044097</t>
        </is>
      </c>
      <c r="FG1359" s="15" t="inlineStr">
        <is>
          <t>Zhong Tong</t>
        </is>
      </c>
      <c r="FH1359" s="15" t="inlineStr">
        <is>
          <t>Lck6122evg</t>
        </is>
      </c>
      <c r="FI1359" s="15" t="inlineStr">
        <is>
          <t>ZHONGTONG</t>
        </is>
      </c>
      <c r="FJ1359" s="15" t="inlineStr">
        <is>
          <t>LCK6122EVG</t>
        </is>
      </c>
      <c r="FK1359" s="15" t="n">
        <v>2025</v>
      </c>
      <c r="FL1359" s="15" t="inlineStr">
        <is>
          <t>B</t>
        </is>
      </c>
      <c r="FM1359" s="15" t="inlineStr">
        <is>
          <t>PIE ANDINO</t>
        </is>
      </c>
      <c r="FN1359" s="15" t="inlineStr">
        <is>
          <t>Pie Andino 31 (Pie Andino 383)</t>
        </is>
      </c>
      <c r="FO1359" s="15" t="inlineStr">
        <is>
          <t>Puente Alto</t>
        </is>
      </c>
      <c r="FP1359" t="inlineStr">
        <is>
          <t>B</t>
        </is>
      </c>
      <c r="FS1359" s="14" t="inlineStr">
        <is>
          <t>3085 / SFWZ-48|</t>
        </is>
      </c>
      <c r="FT1359" t="inlineStr">
        <is>
          <t>SFWZ-48|</t>
        </is>
      </c>
      <c r="FU1359" t="inlineStr">
        <is>
          <t>SFWZ-48</t>
        </is>
      </c>
      <c r="FV1359">
        <f>VLOOKUP(FU1359,FD:FL,9,0)</f>
        <v/>
      </c>
    </row>
    <row r="1360">
      <c r="FC1360" t="inlineStr">
        <is>
          <t>Diccionario 2</t>
        </is>
      </c>
      <c r="FD1360" s="15" t="inlineStr">
        <is>
          <t>VFRG-35</t>
        </is>
      </c>
      <c r="FE1360" s="15" t="inlineStr">
        <is>
          <t>MDN35025010093</t>
        </is>
      </c>
      <c r="FF1360" s="15" t="inlineStr">
        <is>
          <t>LDYECS318S0043846</t>
        </is>
      </c>
      <c r="FG1360" s="15" t="inlineStr">
        <is>
          <t>Zhong Tong</t>
        </is>
      </c>
      <c r="FH1360" s="15" t="inlineStr">
        <is>
          <t>Lck6122evg</t>
        </is>
      </c>
      <c r="FI1360" s="15" t="inlineStr">
        <is>
          <t>ZHONGTONG</t>
        </is>
      </c>
      <c r="FJ1360" s="15" t="inlineStr">
        <is>
          <t>LCK6122EVG</t>
        </is>
      </c>
      <c r="FK1360" s="15" t="n">
        <v>2025</v>
      </c>
      <c r="FL1360" s="15" t="inlineStr">
        <is>
          <t>B</t>
        </is>
      </c>
      <c r="FM1360" s="15" t="inlineStr">
        <is>
          <t>PIE ANDINO</t>
        </is>
      </c>
      <c r="FN1360" s="15" t="inlineStr">
        <is>
          <t>Pie Andino 31 (Pie Andino 383)</t>
        </is>
      </c>
      <c r="FO1360" s="15" t="inlineStr">
        <is>
          <t>Puente Alto</t>
        </is>
      </c>
      <c r="FP1360" t="inlineStr">
        <is>
          <t>B</t>
        </is>
      </c>
      <c r="FS1360" s="14" t="inlineStr">
        <is>
          <t>3100 / SFWZ-83|</t>
        </is>
      </c>
      <c r="FT1360" t="inlineStr">
        <is>
          <t>SFWZ-83|</t>
        </is>
      </c>
      <c r="FU1360" t="inlineStr">
        <is>
          <t>SFWZ-83</t>
        </is>
      </c>
      <c r="FV1360">
        <f>VLOOKUP(FU1360,FD:FL,9,0)</f>
        <v/>
      </c>
    </row>
    <row r="1361">
      <c r="FC1361" t="inlineStr">
        <is>
          <t>Diccionario 2</t>
        </is>
      </c>
      <c r="FD1361" s="15" t="inlineStr">
        <is>
          <t>VFRG-45</t>
        </is>
      </c>
      <c r="FE1361" s="15" t="inlineStr">
        <is>
          <t>MDN35025010087</t>
        </is>
      </c>
      <c r="FF1361" s="15" t="inlineStr">
        <is>
          <t>LDYECS318S0043829</t>
        </is>
      </c>
      <c r="FG1361" s="15" t="inlineStr">
        <is>
          <t>Zhong Tong</t>
        </is>
      </c>
      <c r="FH1361" s="15" t="inlineStr">
        <is>
          <t>Lck6122evg</t>
        </is>
      </c>
      <c r="FI1361" s="15" t="inlineStr">
        <is>
          <t>ZHONGTONG</t>
        </is>
      </c>
      <c r="FJ1361" s="15" t="inlineStr">
        <is>
          <t>LCK6122EVG</t>
        </is>
      </c>
      <c r="FK1361" s="15" t="n">
        <v>2025</v>
      </c>
      <c r="FL1361" s="15" t="inlineStr">
        <is>
          <t>B</t>
        </is>
      </c>
      <c r="FM1361" s="15" t="inlineStr">
        <is>
          <t>PIE ANDINO</t>
        </is>
      </c>
      <c r="FN1361" s="15" t="inlineStr">
        <is>
          <t>Pie Andino 31 (Pie Andino 383)</t>
        </is>
      </c>
      <c r="FO1361" s="15" t="inlineStr">
        <is>
          <t>Puente Alto</t>
        </is>
      </c>
      <c r="FP1361" t="inlineStr">
        <is>
          <t>B</t>
        </is>
      </c>
      <c r="FS1361" s="14" t="inlineStr">
        <is>
          <t>VJKZ-38|</t>
        </is>
      </c>
      <c r="FT1361" t="inlineStr">
        <is>
          <t>VJKZ-38|</t>
        </is>
      </c>
      <c r="FU1361" t="inlineStr">
        <is>
          <t>VJKZ-38</t>
        </is>
      </c>
      <c r="FV1361">
        <f>VLOOKUP(FU1361,FD:FL,9,0)</f>
        <v/>
      </c>
    </row>
    <row r="1362">
      <c r="FC1362" t="inlineStr">
        <is>
          <t>Diccionario 2</t>
        </is>
      </c>
      <c r="FD1362" s="15" t="inlineStr">
        <is>
          <t>VGBS-15</t>
        </is>
      </c>
      <c r="FE1362" s="15" t="inlineStr">
        <is>
          <t>MDN35025010031</t>
        </is>
      </c>
      <c r="FF1362" s="15" t="inlineStr">
        <is>
          <t>LDYECS318S0043832</t>
        </is>
      </c>
      <c r="FG1362" s="15" t="inlineStr">
        <is>
          <t>Zhong Tong</t>
        </is>
      </c>
      <c r="FH1362" s="15" t="inlineStr">
        <is>
          <t>Lck6122evg</t>
        </is>
      </c>
      <c r="FI1362" s="15" t="inlineStr">
        <is>
          <t>ZHONGTONG</t>
        </is>
      </c>
      <c r="FJ1362" s="15" t="inlineStr">
        <is>
          <t>LCK6122EVG</t>
        </is>
      </c>
      <c r="FK1362" s="15" t="n">
        <v>2025</v>
      </c>
      <c r="FL1362" s="15" t="inlineStr">
        <is>
          <t>B</t>
        </is>
      </c>
      <c r="FM1362" s="15" t="inlineStr">
        <is>
          <t>SAN ALFONSO</t>
        </is>
      </c>
      <c r="FN1362" s="15" t="inlineStr">
        <is>
          <t>San Alfonso 2141 (Ramón Subercaseaux 3060)</t>
        </is>
      </c>
      <c r="FO1362" s="15" t="inlineStr">
        <is>
          <t>Estacion Central</t>
        </is>
      </c>
      <c r="FP1362" t="inlineStr">
        <is>
          <t>B</t>
        </is>
      </c>
      <c r="FS1362" s="14" t="inlineStr">
        <is>
          <t>3093 / SFWZ-82|</t>
        </is>
      </c>
      <c r="FT1362" t="inlineStr">
        <is>
          <t>SFWZ-82|</t>
        </is>
      </c>
      <c r="FU1362" t="inlineStr">
        <is>
          <t>SFWZ-82</t>
        </is>
      </c>
      <c r="FV1362">
        <f>VLOOKUP(FU1362,FD:FL,9,0)</f>
        <v/>
      </c>
    </row>
    <row r="1363">
      <c r="FC1363" t="inlineStr">
        <is>
          <t>Diccionario 2</t>
        </is>
      </c>
      <c r="FD1363" s="15" t="inlineStr">
        <is>
          <t>VGBV-29</t>
        </is>
      </c>
      <c r="FE1363" s="15" t="inlineStr">
        <is>
          <t>MDN35025010251</t>
        </is>
      </c>
      <c r="FF1363" s="15" t="inlineStr">
        <is>
          <t>LDYECS314S0043844</t>
        </is>
      </c>
      <c r="FG1363" s="15" t="inlineStr">
        <is>
          <t>Zhong Tong</t>
        </is>
      </c>
      <c r="FH1363" s="15" t="inlineStr">
        <is>
          <t>Lck6122evg</t>
        </is>
      </c>
      <c r="FI1363" s="15" t="inlineStr">
        <is>
          <t>ZHONGTONG</t>
        </is>
      </c>
      <c r="FJ1363" s="15" t="inlineStr">
        <is>
          <t>LCK6122EVG</t>
        </is>
      </c>
      <c r="FK1363" s="15" t="n">
        <v>2025</v>
      </c>
      <c r="FL1363" s="15" t="inlineStr">
        <is>
          <t>B</t>
        </is>
      </c>
      <c r="FM1363" s="15" t="inlineStr">
        <is>
          <t>SAN ALFONSO</t>
        </is>
      </c>
      <c r="FN1363" s="15" t="inlineStr">
        <is>
          <t>San Alfonso 2141 (Ramón Subercaseaux 3060)</t>
        </is>
      </c>
      <c r="FO1363" s="15" t="inlineStr">
        <is>
          <t>Estacion Central</t>
        </is>
      </c>
      <c r="FP1363" t="inlineStr">
        <is>
          <t>B</t>
        </is>
      </c>
      <c r="FS1363" s="14" t="inlineStr">
        <is>
          <t>VJKF-66|</t>
        </is>
      </c>
      <c r="FT1363" t="inlineStr">
        <is>
          <t>VJKF-66|</t>
        </is>
      </c>
      <c r="FU1363" t="inlineStr">
        <is>
          <t>VJKF-66</t>
        </is>
      </c>
      <c r="FV1363">
        <f>VLOOKUP(FU1363,FD:FL,9,0)</f>
        <v/>
      </c>
    </row>
    <row r="1364">
      <c r="FC1364" t="inlineStr">
        <is>
          <t>Diccionario 2</t>
        </is>
      </c>
      <c r="FD1364" s="15" t="inlineStr">
        <is>
          <t>VGBV-35</t>
        </is>
      </c>
      <c r="FE1364" s="15" t="inlineStr">
        <is>
          <t>MDN35025010092</t>
        </is>
      </c>
      <c r="FF1364" s="15" t="inlineStr">
        <is>
          <t>LDYECS316S0043828</t>
        </is>
      </c>
      <c r="FG1364" s="15" t="inlineStr">
        <is>
          <t>Zhong Tong</t>
        </is>
      </c>
      <c r="FH1364" s="15" t="inlineStr">
        <is>
          <t>Lck6122evg</t>
        </is>
      </c>
      <c r="FI1364" s="15" t="inlineStr">
        <is>
          <t>ZHONGTONG</t>
        </is>
      </c>
      <c r="FJ1364" s="15" t="inlineStr">
        <is>
          <t>LCK6122EVG</t>
        </is>
      </c>
      <c r="FK1364" s="15" t="n">
        <v>2025</v>
      </c>
      <c r="FL1364" s="15" t="inlineStr">
        <is>
          <t>B</t>
        </is>
      </c>
      <c r="FM1364" s="15" t="inlineStr">
        <is>
          <t>SAN ALFONSO</t>
        </is>
      </c>
      <c r="FN1364" s="15" t="inlineStr">
        <is>
          <t>San Alfonso 2141 (Ramón Subercaseaux 3060)</t>
        </is>
      </c>
      <c r="FO1364" s="15" t="inlineStr">
        <is>
          <t>Estacion Central</t>
        </is>
      </c>
      <c r="FP1364" t="inlineStr">
        <is>
          <t>B</t>
        </is>
      </c>
      <c r="FS1364" s="14" t="inlineStr">
        <is>
          <t>3060 / SFWB-14|</t>
        </is>
      </c>
      <c r="FT1364" t="inlineStr">
        <is>
          <t>SFWB-14|</t>
        </is>
      </c>
      <c r="FU1364" t="inlineStr">
        <is>
          <t>SFWB-14</t>
        </is>
      </c>
      <c r="FV1364">
        <f>VLOOKUP(FU1364,FD:FL,9,0)</f>
        <v/>
      </c>
    </row>
    <row r="1365">
      <c r="FC1365" t="inlineStr">
        <is>
          <t>Diccionario 2</t>
        </is>
      </c>
      <c r="FD1365" s="15" t="inlineStr">
        <is>
          <t>VGBV-36</t>
        </is>
      </c>
      <c r="FE1365" s="15" t="inlineStr">
        <is>
          <t>MDN35025010241</t>
        </is>
      </c>
      <c r="FF1365" s="15" t="inlineStr">
        <is>
          <t>LDYECS312S0043843</t>
        </is>
      </c>
      <c r="FG1365" s="15" t="inlineStr">
        <is>
          <t>Zhong Tong</t>
        </is>
      </c>
      <c r="FH1365" s="15" t="inlineStr">
        <is>
          <t>Lck6122evg</t>
        </is>
      </c>
      <c r="FI1365" s="15" t="inlineStr">
        <is>
          <t>ZHONGTONG</t>
        </is>
      </c>
      <c r="FJ1365" s="15" t="inlineStr">
        <is>
          <t>LCK6122EVG</t>
        </is>
      </c>
      <c r="FK1365" s="15" t="n">
        <v>2025</v>
      </c>
      <c r="FL1365" s="15" t="inlineStr">
        <is>
          <t>B</t>
        </is>
      </c>
      <c r="FM1365" s="15" t="inlineStr">
        <is>
          <t>PIE ANDINO</t>
        </is>
      </c>
      <c r="FN1365" s="15" t="inlineStr">
        <is>
          <t>Pie Andino 31 (Pie Andino 383)</t>
        </is>
      </c>
      <c r="FO1365" s="15" t="inlineStr">
        <is>
          <t>Puente Alto</t>
        </is>
      </c>
      <c r="FP1365" t="inlineStr">
        <is>
          <t>B</t>
        </is>
      </c>
      <c r="FS1365" s="14" t="inlineStr">
        <is>
          <t>3064 / SFWZ-61|</t>
        </is>
      </c>
      <c r="FT1365" t="inlineStr">
        <is>
          <t>SFWZ-61|</t>
        </is>
      </c>
      <c r="FU1365" t="inlineStr">
        <is>
          <t>SFWZ-61</t>
        </is>
      </c>
      <c r="FV1365">
        <f>VLOOKUP(FU1365,FD:FL,9,0)</f>
        <v/>
      </c>
    </row>
    <row r="1366">
      <c r="FC1366" t="inlineStr">
        <is>
          <t>Diccionario 2</t>
        </is>
      </c>
      <c r="FD1366" s="15" t="inlineStr">
        <is>
          <t>VGBV-41</t>
        </is>
      </c>
      <c r="FE1366" s="15" t="inlineStr">
        <is>
          <t>MDN35025010100</t>
        </is>
      </c>
      <c r="FF1366" s="15" t="inlineStr">
        <is>
          <t>LDYECS319S0043841</t>
        </is>
      </c>
      <c r="FG1366" s="15" t="inlineStr">
        <is>
          <t>Zhong Tong</t>
        </is>
      </c>
      <c r="FH1366" s="15" t="inlineStr">
        <is>
          <t>Lck6122evg</t>
        </is>
      </c>
      <c r="FI1366" s="15" t="inlineStr">
        <is>
          <t>ZHONGTONG</t>
        </is>
      </c>
      <c r="FJ1366" s="15" t="inlineStr">
        <is>
          <t>LCK6122EVG</t>
        </is>
      </c>
      <c r="FK1366" s="15" t="n">
        <v>2025</v>
      </c>
      <c r="FL1366" s="15" t="inlineStr">
        <is>
          <t>B</t>
        </is>
      </c>
      <c r="FM1366" s="15" t="inlineStr">
        <is>
          <t>CERRILLOS</t>
        </is>
      </c>
      <c r="FN1366" s="15" t="inlineStr">
        <is>
          <t>Calle Uno 7371</t>
        </is>
      </c>
      <c r="FO1366" s="15" t="inlineStr">
        <is>
          <t>Cerrillos</t>
        </is>
      </c>
      <c r="FP1366" t="inlineStr">
        <is>
          <t>B</t>
        </is>
      </c>
      <c r="FS1366" s="14" t="inlineStr">
        <is>
          <t>VJKG-37|</t>
        </is>
      </c>
      <c r="FT1366" t="inlineStr">
        <is>
          <t>VJKG-37|</t>
        </is>
      </c>
      <c r="FU1366" t="inlineStr">
        <is>
          <t>VJKG-37</t>
        </is>
      </c>
      <c r="FV1366">
        <f>VLOOKUP(FU1366,FD:FL,9,0)</f>
        <v/>
      </c>
    </row>
    <row r="1367">
      <c r="FC1367" t="inlineStr">
        <is>
          <t>Diccionario 2</t>
        </is>
      </c>
      <c r="FD1367" s="15" t="inlineStr">
        <is>
          <t>VGBV-51</t>
        </is>
      </c>
      <c r="FE1367" s="15" t="inlineStr">
        <is>
          <t>MDN35025010022</t>
        </is>
      </c>
      <c r="FF1367" s="15" t="inlineStr">
        <is>
          <t>LDYECS312S0043826</t>
        </is>
      </c>
      <c r="FG1367" s="15" t="inlineStr">
        <is>
          <t>Zhong Tong</t>
        </is>
      </c>
      <c r="FH1367" s="15" t="inlineStr">
        <is>
          <t>Lck6122evg</t>
        </is>
      </c>
      <c r="FI1367" s="15" t="inlineStr">
        <is>
          <t>ZHONGTONG</t>
        </is>
      </c>
      <c r="FJ1367" s="15" t="inlineStr">
        <is>
          <t>LCK6122EVG</t>
        </is>
      </c>
      <c r="FK1367" s="15" t="n">
        <v>2025</v>
      </c>
      <c r="FL1367" s="15" t="inlineStr">
        <is>
          <t>B</t>
        </is>
      </c>
      <c r="FM1367" s="15" t="inlineStr">
        <is>
          <t>SAN ALFONSO</t>
        </is>
      </c>
      <c r="FN1367" s="15" t="inlineStr">
        <is>
          <t>San Alfonso 2141 (Ramón Subercaseaux 3060)</t>
        </is>
      </c>
      <c r="FO1367" s="15" t="inlineStr">
        <is>
          <t>Estacion Central</t>
        </is>
      </c>
      <c r="FP1367" t="inlineStr">
        <is>
          <t>B</t>
        </is>
      </c>
      <c r="FS1367" s="14" t="inlineStr">
        <is>
          <t>VJKV-88|</t>
        </is>
      </c>
      <c r="FT1367" t="inlineStr">
        <is>
          <t>VJKV-88|</t>
        </is>
      </c>
      <c r="FU1367" t="inlineStr">
        <is>
          <t>VJKV-88</t>
        </is>
      </c>
      <c r="FV1367">
        <f>VLOOKUP(FU1367,FD:FL,9,0)</f>
        <v/>
      </c>
    </row>
    <row r="1368">
      <c r="FC1368" t="inlineStr">
        <is>
          <t>Diccionario 2</t>
        </is>
      </c>
      <c r="FD1368" s="15" t="inlineStr">
        <is>
          <t>VGBV-55</t>
        </is>
      </c>
      <c r="FE1368" s="15" t="inlineStr">
        <is>
          <t>MDN35025010032</t>
        </is>
      </c>
      <c r="FF1368" s="15" t="inlineStr">
        <is>
          <t>LDYECS315S0043836</t>
        </is>
      </c>
      <c r="FG1368" s="15" t="inlineStr">
        <is>
          <t>Zhong Tong</t>
        </is>
      </c>
      <c r="FH1368" s="15" t="inlineStr">
        <is>
          <t>Lck6122evg</t>
        </is>
      </c>
      <c r="FI1368" s="15" t="inlineStr">
        <is>
          <t>ZHONGTONG</t>
        </is>
      </c>
      <c r="FJ1368" s="15" t="inlineStr">
        <is>
          <t>LCK6122EVG</t>
        </is>
      </c>
      <c r="FK1368" s="15" t="n">
        <v>2025</v>
      </c>
      <c r="FL1368" s="15" t="inlineStr">
        <is>
          <t>B</t>
        </is>
      </c>
      <c r="FM1368" s="15" t="inlineStr">
        <is>
          <t>PIE ANDINO</t>
        </is>
      </c>
      <c r="FN1368" s="15" t="inlineStr">
        <is>
          <t>Pie Andino 31 (Pie Andino 383)</t>
        </is>
      </c>
      <c r="FO1368" s="15" t="inlineStr">
        <is>
          <t>Puente Alto</t>
        </is>
      </c>
      <c r="FP1368" t="inlineStr">
        <is>
          <t>B</t>
        </is>
      </c>
      <c r="FS1368" s="14" t="inlineStr">
        <is>
          <t>VJXB-87|</t>
        </is>
      </c>
      <c r="FT1368" t="inlineStr">
        <is>
          <t>VJXB-87|</t>
        </is>
      </c>
      <c r="FU1368" t="inlineStr">
        <is>
          <t>VJXB-87</t>
        </is>
      </c>
      <c r="FV1368">
        <f>VLOOKUP(FU1368,FD:FL,9,0)</f>
        <v/>
      </c>
    </row>
    <row r="1369">
      <c r="FC1369" t="inlineStr">
        <is>
          <t>Diccionario 2</t>
        </is>
      </c>
      <c r="FD1369" s="15" t="inlineStr">
        <is>
          <t>VGBV-69</t>
        </is>
      </c>
      <c r="FE1369" s="15" t="inlineStr">
        <is>
          <t>MDN35025010096</t>
        </is>
      </c>
      <c r="FF1369" s="15" t="inlineStr">
        <is>
          <t>LDYECS310S0043825</t>
        </is>
      </c>
      <c r="FG1369" s="15" t="inlineStr">
        <is>
          <t>Zhong Tong</t>
        </is>
      </c>
      <c r="FH1369" s="15" t="inlineStr">
        <is>
          <t>Lck6122evg</t>
        </is>
      </c>
      <c r="FI1369" s="15" t="inlineStr">
        <is>
          <t>ZHONGTONG</t>
        </is>
      </c>
      <c r="FJ1369" s="15" t="inlineStr">
        <is>
          <t>LCK6122EVG</t>
        </is>
      </c>
      <c r="FK1369" s="15" t="n">
        <v>2025</v>
      </c>
      <c r="FL1369" s="15" t="inlineStr">
        <is>
          <t>B</t>
        </is>
      </c>
      <c r="FM1369" s="15" t="inlineStr">
        <is>
          <t>SAN ALFONSO</t>
        </is>
      </c>
      <c r="FN1369" s="15" t="inlineStr">
        <is>
          <t>San Alfonso 2141 (Ramón Subercaseaux 3060)</t>
        </is>
      </c>
      <c r="FO1369" s="15" t="inlineStr">
        <is>
          <t>Estacion Central</t>
        </is>
      </c>
      <c r="FP1369" t="inlineStr">
        <is>
          <t>B</t>
        </is>
      </c>
      <c r="FS1369" s="14" t="inlineStr">
        <is>
          <t>VJKY-18|</t>
        </is>
      </c>
      <c r="FT1369" t="inlineStr">
        <is>
          <t>VJKY-18|</t>
        </is>
      </c>
      <c r="FU1369" t="inlineStr">
        <is>
          <t>VJKY-18</t>
        </is>
      </c>
      <c r="FV1369">
        <f>VLOOKUP(FU1369,FD:FL,9,0)</f>
        <v/>
      </c>
    </row>
    <row r="1370">
      <c r="FC1370" t="inlineStr">
        <is>
          <t>Diccionario 2</t>
        </is>
      </c>
      <c r="FD1370" s="15" t="inlineStr">
        <is>
          <t>VGBV-79</t>
        </is>
      </c>
      <c r="FE1370" s="15" t="inlineStr">
        <is>
          <t>MDN35025010133</t>
        </is>
      </c>
      <c r="FF1370" s="15" t="inlineStr">
        <is>
          <t>LDYECS310S0043842</t>
        </is>
      </c>
      <c r="FG1370" s="15" t="inlineStr">
        <is>
          <t>Zhong Tong</t>
        </is>
      </c>
      <c r="FH1370" s="15" t="inlineStr">
        <is>
          <t>Lck6122evg</t>
        </is>
      </c>
      <c r="FI1370" s="15" t="inlineStr">
        <is>
          <t>ZHONGTONG</t>
        </is>
      </c>
      <c r="FJ1370" s="15" t="inlineStr">
        <is>
          <t>LCK6122EVG</t>
        </is>
      </c>
      <c r="FK1370" s="15" t="n">
        <v>2025</v>
      </c>
      <c r="FL1370" s="15" t="inlineStr">
        <is>
          <t>B</t>
        </is>
      </c>
      <c r="FM1370" s="15" t="inlineStr">
        <is>
          <t>SAN ALFONSO</t>
        </is>
      </c>
      <c r="FN1370" s="15" t="inlineStr">
        <is>
          <t>San Alfonso 2141 (Ramón Subercaseaux 3060)</t>
        </is>
      </c>
      <c r="FO1370" s="15" t="inlineStr">
        <is>
          <t>Estacion Central</t>
        </is>
      </c>
      <c r="FP1370" t="inlineStr">
        <is>
          <t>B</t>
        </is>
      </c>
      <c r="FS1370" s="14" t="inlineStr">
        <is>
          <t>VJXB-27|</t>
        </is>
      </c>
      <c r="FT1370" t="inlineStr">
        <is>
          <t>VJXB-27|</t>
        </is>
      </c>
      <c r="FU1370" t="inlineStr">
        <is>
          <t>VJXB-27</t>
        </is>
      </c>
      <c r="FV1370">
        <f>VLOOKUP(FU1370,FD:FL,9,0)</f>
        <v/>
      </c>
    </row>
    <row r="1371">
      <c r="FC1371" t="inlineStr">
        <is>
          <t>Diccionario 2</t>
        </is>
      </c>
      <c r="FD1371" s="15" t="inlineStr">
        <is>
          <t>VGBV-99</t>
        </is>
      </c>
      <c r="FE1371" s="15" t="inlineStr">
        <is>
          <t>MDN35025020065</t>
        </is>
      </c>
      <c r="FF1371" s="15" t="inlineStr">
        <is>
          <t>LDYECS317S0043854</t>
        </is>
      </c>
      <c r="FG1371" s="15" t="inlineStr">
        <is>
          <t>Zhong Tong</t>
        </is>
      </c>
      <c r="FH1371" s="15" t="inlineStr">
        <is>
          <t>Lck6122evg</t>
        </is>
      </c>
      <c r="FI1371" s="15" t="inlineStr">
        <is>
          <t>ZHONGTONG</t>
        </is>
      </c>
      <c r="FJ1371" s="15" t="inlineStr">
        <is>
          <t>LCK6122EVG</t>
        </is>
      </c>
      <c r="FK1371" s="15" t="n">
        <v>2025</v>
      </c>
      <c r="FL1371" s="15" t="inlineStr">
        <is>
          <t>B</t>
        </is>
      </c>
      <c r="FM1371" s="15" t="inlineStr">
        <is>
          <t>PIE ANDINO</t>
        </is>
      </c>
      <c r="FN1371" s="15" t="inlineStr">
        <is>
          <t>Pie Andino 31 (Pie Andino 383)</t>
        </is>
      </c>
      <c r="FO1371" s="15" t="inlineStr">
        <is>
          <t>Puente Alto</t>
        </is>
      </c>
      <c r="FP1371" t="inlineStr">
        <is>
          <t>B</t>
        </is>
      </c>
      <c r="FS1371" s="14" t="inlineStr">
        <is>
          <t>LZPT-75|</t>
        </is>
      </c>
      <c r="FT1371" t="inlineStr">
        <is>
          <t>LZPT-75|</t>
        </is>
      </c>
      <c r="FU1371" t="inlineStr">
        <is>
          <t>LZPT-75</t>
        </is>
      </c>
      <c r="FV1371">
        <f>VLOOKUP(FU1371,FD:FL,9,0)</f>
        <v/>
      </c>
    </row>
    <row r="1372">
      <c r="FC1372" t="inlineStr">
        <is>
          <t>Diccionario 2</t>
        </is>
      </c>
      <c r="FD1372" s="15" t="inlineStr">
        <is>
          <t>VGBW-19</t>
        </is>
      </c>
      <c r="FE1372" s="15" t="inlineStr">
        <is>
          <t>MDN35025020066</t>
        </is>
      </c>
      <c r="FF1372" s="15" t="inlineStr">
        <is>
          <t>LDYECS313S0043849</t>
        </is>
      </c>
      <c r="FG1372" s="15" t="inlineStr">
        <is>
          <t>Zhong Tong</t>
        </is>
      </c>
      <c r="FH1372" s="15" t="inlineStr">
        <is>
          <t>Lck6122evg</t>
        </is>
      </c>
      <c r="FI1372" s="15" t="inlineStr">
        <is>
          <t>ZHONGTONG</t>
        </is>
      </c>
      <c r="FJ1372" s="15" t="inlineStr">
        <is>
          <t>LCK6122EVG</t>
        </is>
      </c>
      <c r="FK1372" s="15" t="n">
        <v>2025</v>
      </c>
      <c r="FL1372" s="15" t="inlineStr">
        <is>
          <t>B</t>
        </is>
      </c>
      <c r="FM1372" s="15" t="inlineStr">
        <is>
          <t>PIE ANDINO</t>
        </is>
      </c>
      <c r="FN1372" s="15" t="inlineStr">
        <is>
          <t>Pie Andino 31 (Pie Andino 383)</t>
        </is>
      </c>
      <c r="FO1372" s="15" t="inlineStr">
        <is>
          <t>Puente Alto</t>
        </is>
      </c>
      <c r="FP1372" t="inlineStr">
        <is>
          <t>B</t>
        </is>
      </c>
      <c r="FS1372" s="14" t="inlineStr">
        <is>
          <t>3048 / SFVZ-96|</t>
        </is>
      </c>
      <c r="FT1372" t="inlineStr">
        <is>
          <t>SFVZ-96|</t>
        </is>
      </c>
      <c r="FU1372" t="inlineStr">
        <is>
          <t>SFVZ-96</t>
        </is>
      </c>
      <c r="FV1372">
        <f>VLOOKUP(FU1372,FD:FL,9,0)</f>
        <v/>
      </c>
    </row>
    <row r="1373">
      <c r="FC1373" t="inlineStr">
        <is>
          <t>Diccionario 2</t>
        </is>
      </c>
      <c r="FD1373" s="15" t="inlineStr">
        <is>
          <t>VGBW-29</t>
        </is>
      </c>
      <c r="FE1373" s="15" t="inlineStr">
        <is>
          <t>MDN35025010238</t>
        </is>
      </c>
      <c r="FF1373" s="15" t="inlineStr">
        <is>
          <t>LDYECS311S0043848</t>
        </is>
      </c>
      <c r="FG1373" s="15" t="inlineStr">
        <is>
          <t>Zhong Tong</t>
        </is>
      </c>
      <c r="FH1373" s="15" t="inlineStr">
        <is>
          <t>Lck6122evg</t>
        </is>
      </c>
      <c r="FI1373" s="15" t="inlineStr">
        <is>
          <t>ZHONGTONG</t>
        </is>
      </c>
      <c r="FJ1373" s="15" t="inlineStr">
        <is>
          <t>LCK6122EVG</t>
        </is>
      </c>
      <c r="FK1373" s="15" t="n">
        <v>2025</v>
      </c>
      <c r="FL1373" s="15" t="inlineStr">
        <is>
          <t>B</t>
        </is>
      </c>
      <c r="FM1373" s="15" t="inlineStr">
        <is>
          <t>PIE ANDINO</t>
        </is>
      </c>
      <c r="FN1373" s="15" t="inlineStr">
        <is>
          <t>Pie Andino 31 (Pie Andino 383)</t>
        </is>
      </c>
      <c r="FO1373" s="15" t="inlineStr">
        <is>
          <t>Puente Alto</t>
        </is>
      </c>
      <c r="FP1373" t="inlineStr">
        <is>
          <t>B</t>
        </is>
      </c>
      <c r="FS1373" s="14" t="inlineStr">
        <is>
          <t>LZPR-90|</t>
        </is>
      </c>
      <c r="FT1373" t="inlineStr">
        <is>
          <t>LZPR-90|</t>
        </is>
      </c>
      <c r="FU1373" t="inlineStr">
        <is>
          <t>LZPR-90</t>
        </is>
      </c>
      <c r="FV1373">
        <f>VLOOKUP(FU1373,FD:FL,9,0)</f>
        <v/>
      </c>
    </row>
    <row r="1374">
      <c r="FC1374" t="inlineStr">
        <is>
          <t>Diccionario 2</t>
        </is>
      </c>
      <c r="FD1374" s="15" t="inlineStr">
        <is>
          <t>VGBW-39</t>
        </is>
      </c>
      <c r="FE1374" s="15" t="inlineStr">
        <is>
          <t>MDN35025010109</t>
        </is>
      </c>
      <c r="FF1374" s="15" t="inlineStr">
        <is>
          <t>LDYECS31XS0043847</t>
        </is>
      </c>
      <c r="FG1374" s="15" t="inlineStr">
        <is>
          <t>Zhong Tong</t>
        </is>
      </c>
      <c r="FH1374" s="15" t="inlineStr">
        <is>
          <t>Lck6122evg</t>
        </is>
      </c>
      <c r="FI1374" s="15" t="inlineStr">
        <is>
          <t>ZHONGTONG</t>
        </is>
      </c>
      <c r="FJ1374" s="15" t="inlineStr">
        <is>
          <t>LCK6122EVG</t>
        </is>
      </c>
      <c r="FK1374" s="15" t="n">
        <v>2025</v>
      </c>
      <c r="FL1374" s="15" t="inlineStr">
        <is>
          <t>B</t>
        </is>
      </c>
      <c r="FM1374" s="15" t="inlineStr">
        <is>
          <t>SAN ALFONSO</t>
        </is>
      </c>
      <c r="FN1374" s="15" t="inlineStr">
        <is>
          <t>San Alfonso 2141 (Ramón Subercaseaux 3060)</t>
        </is>
      </c>
      <c r="FO1374" s="15" t="inlineStr">
        <is>
          <t>Estacion Central</t>
        </is>
      </c>
      <c r="FP1374" t="inlineStr">
        <is>
          <t>B</t>
        </is>
      </c>
      <c r="FS1374" s="14" t="inlineStr">
        <is>
          <t>VJKD-70|</t>
        </is>
      </c>
      <c r="FT1374" t="inlineStr">
        <is>
          <t>VJKD-70|</t>
        </is>
      </c>
      <c r="FU1374" t="inlineStr">
        <is>
          <t>VJKD-70</t>
        </is>
      </c>
      <c r="FV1374">
        <f>VLOOKUP(FU1374,FD:FL,9,0)</f>
        <v/>
      </c>
    </row>
    <row r="1375">
      <c r="FC1375" t="inlineStr">
        <is>
          <t>Diccionario 2</t>
        </is>
      </c>
      <c r="FD1375" s="15" t="inlineStr">
        <is>
          <t>VGBW-48</t>
        </is>
      </c>
      <c r="FE1375" s="15" t="inlineStr">
        <is>
          <t>MDN35025010035</t>
        </is>
      </c>
      <c r="FF1375" s="15" t="inlineStr">
        <is>
          <t>LDYECS314S0043827</t>
        </is>
      </c>
      <c r="FG1375" s="15" t="inlineStr">
        <is>
          <t>Zhong Tong</t>
        </is>
      </c>
      <c r="FH1375" s="15" t="inlineStr">
        <is>
          <t>Lck6122evg</t>
        </is>
      </c>
      <c r="FI1375" s="15" t="inlineStr">
        <is>
          <t>ZHONGTONG</t>
        </is>
      </c>
      <c r="FJ1375" s="15" t="inlineStr">
        <is>
          <t>LCK6122EVG</t>
        </is>
      </c>
      <c r="FK1375" s="15" t="n">
        <v>2025</v>
      </c>
      <c r="FL1375" s="15" t="inlineStr">
        <is>
          <t>B</t>
        </is>
      </c>
      <c r="FM1375" s="15" t="inlineStr">
        <is>
          <t>PIE ANDINO</t>
        </is>
      </c>
      <c r="FN1375" s="15" t="inlineStr">
        <is>
          <t>Pie Andino 31 (Pie Andino 383)</t>
        </is>
      </c>
      <c r="FO1375" s="15" t="inlineStr">
        <is>
          <t>Puente Alto</t>
        </is>
      </c>
      <c r="FP1375" t="inlineStr">
        <is>
          <t>B</t>
        </is>
      </c>
      <c r="FS1375" s="14" t="inlineStr">
        <is>
          <t>3069 / SFWZ-32|</t>
        </is>
      </c>
      <c r="FT1375" t="inlineStr">
        <is>
          <t>SFWZ-32|</t>
        </is>
      </c>
      <c r="FU1375" t="inlineStr">
        <is>
          <t>SFWZ-32</t>
        </is>
      </c>
      <c r="FV1375">
        <f>VLOOKUP(FU1375,FD:FL,9,0)</f>
        <v/>
      </c>
    </row>
    <row r="1376">
      <c r="FC1376" t="inlineStr">
        <is>
          <t>Diccionario 2</t>
        </is>
      </c>
      <c r="FD1376" s="15" t="inlineStr">
        <is>
          <t>VGBW-58</t>
        </is>
      </c>
      <c r="FE1376" s="15" t="inlineStr">
        <is>
          <t>MDN35025010026</t>
        </is>
      </c>
      <c r="FF1376" s="15" t="inlineStr">
        <is>
          <t>LDYECS313S0043835</t>
        </is>
      </c>
      <c r="FG1376" s="15" t="inlineStr">
        <is>
          <t>Zhong Tong</t>
        </is>
      </c>
      <c r="FH1376" s="15" t="inlineStr">
        <is>
          <t>Lck6122evg</t>
        </is>
      </c>
      <c r="FI1376" s="15" t="inlineStr">
        <is>
          <t>ZHONGTONG</t>
        </is>
      </c>
      <c r="FJ1376" s="15" t="inlineStr">
        <is>
          <t>LCK6122EVG</t>
        </is>
      </c>
      <c r="FK1376" s="15" t="n">
        <v>2025</v>
      </c>
      <c r="FL1376" s="15" t="inlineStr">
        <is>
          <t>B</t>
        </is>
      </c>
      <c r="FM1376" s="15" t="inlineStr">
        <is>
          <t>PIE ANDINO</t>
        </is>
      </c>
      <c r="FN1376" s="15" t="inlineStr">
        <is>
          <t>Pie Andino 31 (Pie Andino 383)</t>
        </is>
      </c>
      <c r="FO1376" s="15" t="inlineStr">
        <is>
          <t>Puente Alto</t>
        </is>
      </c>
      <c r="FP1376" t="inlineStr">
        <is>
          <t>B</t>
        </is>
      </c>
      <c r="FS1376" s="14" t="inlineStr">
        <is>
          <t>VJWZ-74|</t>
        </is>
      </c>
      <c r="FT1376" t="inlineStr">
        <is>
          <t>VJWZ-74|</t>
        </is>
      </c>
      <c r="FU1376" t="inlineStr">
        <is>
          <t>VJWZ-74</t>
        </is>
      </c>
      <c r="FV1376">
        <f>VLOOKUP(FU1376,FD:FL,9,0)</f>
        <v/>
      </c>
    </row>
    <row r="1377">
      <c r="FC1377" t="inlineStr">
        <is>
          <t>Diccionario 2</t>
        </is>
      </c>
      <c r="FD1377" s="15" t="inlineStr">
        <is>
          <t>VGBW-68</t>
        </is>
      </c>
      <c r="FE1377" s="15" t="inlineStr">
        <is>
          <t>MDN35025020082</t>
        </is>
      </c>
      <c r="FF1377" s="15" t="inlineStr">
        <is>
          <t>LDYECS315S0043853</t>
        </is>
      </c>
      <c r="FG1377" s="15" t="inlineStr">
        <is>
          <t>Zhong Tong</t>
        </is>
      </c>
      <c r="FH1377" s="15" t="inlineStr">
        <is>
          <t>Lck6122evg</t>
        </is>
      </c>
      <c r="FI1377" s="15" t="inlineStr">
        <is>
          <t>ZHONGTONG</t>
        </is>
      </c>
      <c r="FJ1377" s="15" t="inlineStr">
        <is>
          <t>LCK6122EVG</t>
        </is>
      </c>
      <c r="FK1377" s="15" t="n">
        <v>2025</v>
      </c>
      <c r="FL1377" s="15" t="inlineStr">
        <is>
          <t>B</t>
        </is>
      </c>
      <c r="FM1377" s="15" t="inlineStr">
        <is>
          <t>CERRILLOS</t>
        </is>
      </c>
      <c r="FN1377" s="15" t="inlineStr">
        <is>
          <t>Calle Uno 7371</t>
        </is>
      </c>
      <c r="FO1377" s="15" t="inlineStr">
        <is>
          <t>Cerrillos</t>
        </is>
      </c>
      <c r="FP1377" t="inlineStr">
        <is>
          <t>B</t>
        </is>
      </c>
      <c r="FS1377" s="14" t="inlineStr">
        <is>
          <t>3107 / SFWZ-85|</t>
        </is>
      </c>
      <c r="FT1377" t="inlineStr">
        <is>
          <t>SFWZ-85|</t>
        </is>
      </c>
      <c r="FU1377" t="inlineStr">
        <is>
          <t>SFWZ-85</t>
        </is>
      </c>
      <c r="FV1377">
        <f>VLOOKUP(FU1377,FD:FL,9,0)</f>
        <v/>
      </c>
    </row>
    <row r="1378">
      <c r="FC1378" t="inlineStr">
        <is>
          <t>Diccionario 2</t>
        </is>
      </c>
      <c r="FD1378" s="15" t="inlineStr">
        <is>
          <t>VGBW-98</t>
        </is>
      </c>
      <c r="FE1378" s="15" t="inlineStr">
        <is>
          <t>MDN35025010099</t>
        </is>
      </c>
      <c r="FF1378" s="15" t="inlineStr">
        <is>
          <t>LDYECS317S0043837</t>
        </is>
      </c>
      <c r="FG1378" s="15" t="inlineStr">
        <is>
          <t>Zhong Tong</t>
        </is>
      </c>
      <c r="FH1378" s="15" t="inlineStr">
        <is>
          <t>Lck6122evg</t>
        </is>
      </c>
      <c r="FI1378" s="15" t="inlineStr">
        <is>
          <t>ZHONGTONG</t>
        </is>
      </c>
      <c r="FJ1378" s="15" t="inlineStr">
        <is>
          <t>LCK6122EVG</t>
        </is>
      </c>
      <c r="FK1378" s="15" t="n">
        <v>2025</v>
      </c>
      <c r="FL1378" s="15" t="inlineStr">
        <is>
          <t>B</t>
        </is>
      </c>
      <c r="FM1378" s="15" t="inlineStr">
        <is>
          <t>SAN ALFONSO</t>
        </is>
      </c>
      <c r="FN1378" s="15" t="inlineStr">
        <is>
          <t>San Alfonso 2141 (Ramón Subercaseaux 3060)</t>
        </is>
      </c>
      <c r="FO1378" s="15" t="inlineStr">
        <is>
          <t>Estacion Central</t>
        </is>
      </c>
      <c r="FP1378" t="inlineStr">
        <is>
          <t>B</t>
        </is>
      </c>
      <c r="FS1378" s="14" t="inlineStr">
        <is>
          <t>VJKG-25|</t>
        </is>
      </c>
      <c r="FT1378" t="inlineStr">
        <is>
          <t>VJKG-25|</t>
        </is>
      </c>
      <c r="FU1378" t="inlineStr">
        <is>
          <t>VJKG-25</t>
        </is>
      </c>
      <c r="FV1378">
        <f>VLOOKUP(FU1378,FD:FL,9,0)</f>
        <v/>
      </c>
    </row>
    <row r="1379">
      <c r="FC1379" t="inlineStr">
        <is>
          <t>Diccionario 2</t>
        </is>
      </c>
      <c r="FD1379" s="15" t="inlineStr">
        <is>
          <t>VGBW-99</t>
        </is>
      </c>
      <c r="FE1379" s="15" t="inlineStr">
        <is>
          <t>MDN35025020081</t>
        </is>
      </c>
      <c r="FF1379" s="15" t="inlineStr">
        <is>
          <t>LDYECS313S0043852</t>
        </is>
      </c>
      <c r="FG1379" s="15" t="inlineStr">
        <is>
          <t>Zhong Tong</t>
        </is>
      </c>
      <c r="FH1379" s="15" t="inlineStr">
        <is>
          <t>Lck6122evg</t>
        </is>
      </c>
      <c r="FI1379" s="15" t="inlineStr">
        <is>
          <t>ZHONGTONG</t>
        </is>
      </c>
      <c r="FJ1379" s="15" t="inlineStr">
        <is>
          <t>LCK6122EVG</t>
        </is>
      </c>
      <c r="FK1379" s="15" t="n">
        <v>2025</v>
      </c>
      <c r="FL1379" s="15" t="inlineStr">
        <is>
          <t>B</t>
        </is>
      </c>
      <c r="FM1379" s="15" t="inlineStr">
        <is>
          <t>SAN ALFONSO</t>
        </is>
      </c>
      <c r="FN1379" s="15" t="inlineStr">
        <is>
          <t>San Alfonso 2141 (Ramón Subercaseaux 3060)</t>
        </is>
      </c>
      <c r="FO1379" s="15" t="inlineStr">
        <is>
          <t>Estacion Central</t>
        </is>
      </c>
      <c r="FP1379" t="inlineStr">
        <is>
          <t>B</t>
        </is>
      </c>
      <c r="FS1379" s="14" t="inlineStr">
        <is>
          <t>VJXC-75|</t>
        </is>
      </c>
      <c r="FT1379" t="inlineStr">
        <is>
          <t>VJXC-75|</t>
        </is>
      </c>
      <c r="FU1379" t="inlineStr">
        <is>
          <t>VJXC-75</t>
        </is>
      </c>
      <c r="FV1379">
        <f>VLOOKUP(FU1379,FD:FL,9,0)</f>
        <v/>
      </c>
    </row>
    <row r="1380">
      <c r="FC1380" t="inlineStr">
        <is>
          <t>Diccionario 2</t>
        </is>
      </c>
      <c r="FD1380" s="15" t="inlineStr">
        <is>
          <t>VGBX-29</t>
        </is>
      </c>
      <c r="FE1380" s="15" t="inlineStr">
        <is>
          <t>MDN35025010250</t>
        </is>
      </c>
      <c r="FF1380" s="15" t="inlineStr">
        <is>
          <t>LDYECS316S0043845</t>
        </is>
      </c>
      <c r="FG1380" s="15" t="inlineStr">
        <is>
          <t>Zhong Tong</t>
        </is>
      </c>
      <c r="FH1380" s="15" t="inlineStr">
        <is>
          <t>Lck6122evg</t>
        </is>
      </c>
      <c r="FI1380" s="15" t="inlineStr">
        <is>
          <t>ZHONGTONG</t>
        </is>
      </c>
      <c r="FJ1380" s="15" t="inlineStr">
        <is>
          <t>LCK6122EVG</t>
        </is>
      </c>
      <c r="FK1380" s="15" t="n">
        <v>2025</v>
      </c>
      <c r="FL1380" s="15" t="inlineStr">
        <is>
          <t>B</t>
        </is>
      </c>
      <c r="FM1380" s="15" t="inlineStr">
        <is>
          <t>PIE ANDINO</t>
        </is>
      </c>
      <c r="FN1380" s="15" t="inlineStr">
        <is>
          <t>Pie Andino 31 (Pie Andino 383)</t>
        </is>
      </c>
      <c r="FO1380" s="15" t="inlineStr">
        <is>
          <t>Puente Alto</t>
        </is>
      </c>
      <c r="FP1380" t="inlineStr">
        <is>
          <t>B</t>
        </is>
      </c>
      <c r="FS1380" s="14" t="inlineStr">
        <is>
          <t>VJXB-56|</t>
        </is>
      </c>
      <c r="FT1380" t="inlineStr">
        <is>
          <t>VJXB-56|</t>
        </is>
      </c>
      <c r="FU1380" t="inlineStr">
        <is>
          <t>VJXB-56</t>
        </is>
      </c>
      <c r="FV1380">
        <f>VLOOKUP(FU1380,FD:FL,9,0)</f>
        <v/>
      </c>
    </row>
    <row r="1381">
      <c r="FC1381" t="inlineStr">
        <is>
          <t>Diccionario 2</t>
        </is>
      </c>
      <c r="FD1381" s="15" t="inlineStr">
        <is>
          <t>VGBX-48</t>
        </is>
      </c>
      <c r="FE1381" s="15" t="inlineStr">
        <is>
          <t>MDN35025010138</t>
        </is>
      </c>
      <c r="FF1381" s="15" t="inlineStr">
        <is>
          <t>LDYECS31XS0043850</t>
        </is>
      </c>
      <c r="FG1381" s="15" t="inlineStr">
        <is>
          <t>Zhong Tong</t>
        </is>
      </c>
      <c r="FH1381" s="15" t="inlineStr">
        <is>
          <t>Lck6122evg</t>
        </is>
      </c>
      <c r="FI1381" s="15" t="inlineStr">
        <is>
          <t>ZHONGTONG</t>
        </is>
      </c>
      <c r="FJ1381" s="15" t="inlineStr">
        <is>
          <t>LCK6122EVG</t>
        </is>
      </c>
      <c r="FK1381" s="15" t="n">
        <v>2025</v>
      </c>
      <c r="FL1381" s="15" t="inlineStr">
        <is>
          <t>B</t>
        </is>
      </c>
      <c r="FM1381" s="15" t="inlineStr">
        <is>
          <t>PIE ANDINO</t>
        </is>
      </c>
      <c r="FN1381" s="15" t="inlineStr">
        <is>
          <t>Pie Andino 31 (Pie Andino 383)</t>
        </is>
      </c>
      <c r="FO1381" s="15" t="inlineStr">
        <is>
          <t>Puente Alto</t>
        </is>
      </c>
      <c r="FP1381" t="inlineStr">
        <is>
          <t>B</t>
        </is>
      </c>
      <c r="FS1381" s="14" t="inlineStr">
        <is>
          <t>VJYH-63|</t>
        </is>
      </c>
      <c r="FT1381" t="inlineStr">
        <is>
          <t>VJYH-63|</t>
        </is>
      </c>
      <c r="FU1381" t="inlineStr">
        <is>
          <t>VJYH-63</t>
        </is>
      </c>
      <c r="FV1381">
        <f>VLOOKUP(FU1381,FD:FL,9,0)</f>
        <v/>
      </c>
    </row>
    <row r="1382">
      <c r="FC1382" t="inlineStr">
        <is>
          <t>Diccionario 2</t>
        </is>
      </c>
      <c r="FD1382" s="15" t="inlineStr">
        <is>
          <t>VGBX-49</t>
        </is>
      </c>
      <c r="FE1382" s="15" t="inlineStr">
        <is>
          <t>MDN35025020236</t>
        </is>
      </c>
      <c r="FF1382" s="15" t="inlineStr">
        <is>
          <t>LDYECS310S0043856</t>
        </is>
      </c>
      <c r="FG1382" s="15" t="inlineStr">
        <is>
          <t>Zhong Tong</t>
        </is>
      </c>
      <c r="FH1382" s="15" t="inlineStr">
        <is>
          <t>Lck6122evg</t>
        </is>
      </c>
      <c r="FI1382" s="15" t="inlineStr">
        <is>
          <t>ZHONGTONG</t>
        </is>
      </c>
      <c r="FJ1382" s="15" t="inlineStr">
        <is>
          <t>LCK6122EVG</t>
        </is>
      </c>
      <c r="FK1382" s="15" t="n">
        <v>2025</v>
      </c>
      <c r="FL1382" s="15" t="inlineStr">
        <is>
          <t>B</t>
        </is>
      </c>
      <c r="FM1382" s="15" t="inlineStr">
        <is>
          <t>PIE ANDINO</t>
        </is>
      </c>
      <c r="FN1382" s="15" t="inlineStr">
        <is>
          <t>Pie Andino 31 (Pie Andino 383)</t>
        </is>
      </c>
      <c r="FO1382" s="15" t="inlineStr">
        <is>
          <t>Puente Alto</t>
        </is>
      </c>
      <c r="FP1382" t="inlineStr">
        <is>
          <t>B</t>
        </is>
      </c>
      <c r="FS1382" s="14" t="inlineStr">
        <is>
          <t>3047 / SFVZ-39|</t>
        </is>
      </c>
      <c r="FT1382" t="inlineStr">
        <is>
          <t>SFVZ-39|</t>
        </is>
      </c>
      <c r="FU1382" t="inlineStr">
        <is>
          <t>SFVZ-39</t>
        </is>
      </c>
      <c r="FV1382">
        <f>VLOOKUP(FU1382,FD:FL,9,0)</f>
        <v/>
      </c>
    </row>
    <row r="1383">
      <c r="FC1383" t="inlineStr">
        <is>
          <t>Diccionario 2</t>
        </is>
      </c>
      <c r="FD1383" s="15" t="inlineStr">
        <is>
          <t>VGBX-58</t>
        </is>
      </c>
      <c r="FE1383" s="15" t="inlineStr">
        <is>
          <t>MDN35025010240</t>
        </is>
      </c>
      <c r="FF1383" s="15" t="inlineStr">
        <is>
          <t>LDYECS317S0043840</t>
        </is>
      </c>
      <c r="FG1383" s="15" t="inlineStr">
        <is>
          <t>Zhong Tong</t>
        </is>
      </c>
      <c r="FH1383" s="15" t="inlineStr">
        <is>
          <t>Lck6122evg</t>
        </is>
      </c>
      <c r="FI1383" s="15" t="inlineStr">
        <is>
          <t>ZHONGTONG</t>
        </is>
      </c>
      <c r="FJ1383" s="15" t="inlineStr">
        <is>
          <t>LCK6122EVG</t>
        </is>
      </c>
      <c r="FK1383" s="15" t="n">
        <v>2025</v>
      </c>
      <c r="FL1383" s="15" t="inlineStr">
        <is>
          <t>B</t>
        </is>
      </c>
      <c r="FM1383" s="15" t="inlineStr">
        <is>
          <t>PIE ANDINO</t>
        </is>
      </c>
      <c r="FN1383" s="15" t="inlineStr">
        <is>
          <t>Pie Andino 31 (Pie Andino 383)</t>
        </is>
      </c>
      <c r="FO1383" s="15" t="inlineStr">
        <is>
          <t>Puente Alto</t>
        </is>
      </c>
      <c r="FP1383" t="inlineStr">
        <is>
          <t>B</t>
        </is>
      </c>
      <c r="FS1383" s="14" t="inlineStr">
        <is>
          <t>VJKX-78|</t>
        </is>
      </c>
      <c r="FT1383" t="inlineStr">
        <is>
          <t>VJKX-78|</t>
        </is>
      </c>
      <c r="FU1383" t="inlineStr">
        <is>
          <t>VJKX-78</t>
        </is>
      </c>
      <c r="FV1383">
        <f>VLOOKUP(FU1383,FD:FL,9,0)</f>
        <v/>
      </c>
    </row>
    <row r="1384">
      <c r="FC1384" t="inlineStr">
        <is>
          <t>Diccionario 2</t>
        </is>
      </c>
      <c r="FD1384" s="15" t="inlineStr">
        <is>
          <t>VGBX-59</t>
        </is>
      </c>
      <c r="FE1384" s="15" t="inlineStr">
        <is>
          <t>MDN35025010141</t>
        </is>
      </c>
      <c r="FF1384" s="15" t="inlineStr">
        <is>
          <t>LDYECS319S0043855</t>
        </is>
      </c>
      <c r="FG1384" s="15" t="inlineStr">
        <is>
          <t>Zhong Tong</t>
        </is>
      </c>
      <c r="FH1384" s="15" t="inlineStr">
        <is>
          <t>Lck6122evg</t>
        </is>
      </c>
      <c r="FI1384" s="15" t="inlineStr">
        <is>
          <t>ZHONGTONG</t>
        </is>
      </c>
      <c r="FJ1384" s="15" t="inlineStr">
        <is>
          <t>LCK6122EVG</t>
        </is>
      </c>
      <c r="FK1384" s="15" t="n">
        <v>2025</v>
      </c>
      <c r="FL1384" s="15" t="inlineStr">
        <is>
          <t>B</t>
        </is>
      </c>
      <c r="FM1384" s="15" t="inlineStr">
        <is>
          <t>LOS LIBERTADORES</t>
        </is>
      </c>
      <c r="FN1384" s="15" t="inlineStr">
        <is>
          <t>Los Liberadores 6450, Lote 4A</t>
        </is>
      </c>
      <c r="FO1384" s="15" t="inlineStr">
        <is>
          <t>Huechuraba</t>
        </is>
      </c>
      <c r="FP1384" t="inlineStr">
        <is>
          <t>B</t>
        </is>
      </c>
      <c r="FS1384" s="14" t="inlineStr">
        <is>
          <t>VJXC-26|</t>
        </is>
      </c>
      <c r="FT1384" t="inlineStr">
        <is>
          <t>VJXC-26|</t>
        </is>
      </c>
      <c r="FU1384" t="inlineStr">
        <is>
          <t>VJXC-26</t>
        </is>
      </c>
      <c r="FV1384">
        <f>VLOOKUP(FU1384,FD:FL,9,0)</f>
        <v/>
      </c>
    </row>
    <row r="1385">
      <c r="FC1385" t="inlineStr">
        <is>
          <t>Diccionario 2</t>
        </is>
      </c>
      <c r="FD1385" s="15" t="inlineStr">
        <is>
          <t>VGBX-78</t>
        </is>
      </c>
      <c r="FE1385" s="15" t="inlineStr">
        <is>
          <t>MDN35025010088</t>
        </is>
      </c>
      <c r="FF1385" s="15" t="inlineStr">
        <is>
          <t>LDYECS319S0043838</t>
        </is>
      </c>
      <c r="FG1385" s="15" t="inlineStr">
        <is>
          <t>Zhong Tong</t>
        </is>
      </c>
      <c r="FH1385" s="15" t="inlineStr">
        <is>
          <t>Lck6122evg</t>
        </is>
      </c>
      <c r="FI1385" s="15" t="inlineStr">
        <is>
          <t>ZHONGTONG</t>
        </is>
      </c>
      <c r="FJ1385" s="15" t="inlineStr">
        <is>
          <t>LCK6122EVG</t>
        </is>
      </c>
      <c r="FK1385" s="15" t="n">
        <v>2025</v>
      </c>
      <c r="FL1385" s="15" t="inlineStr">
        <is>
          <t>B</t>
        </is>
      </c>
      <c r="FM1385" s="15" t="inlineStr">
        <is>
          <t>LOS LIBERTADORES</t>
        </is>
      </c>
      <c r="FN1385" s="15" t="inlineStr">
        <is>
          <t>Los Liberadores 6450, Lote 4A</t>
        </is>
      </c>
      <c r="FO1385" s="15" t="inlineStr">
        <is>
          <t>Huechuraba</t>
        </is>
      </c>
      <c r="FP1385" t="inlineStr">
        <is>
          <t>B</t>
        </is>
      </c>
      <c r="FS1385" s="14" t="inlineStr">
        <is>
          <t>VJKF-29|</t>
        </is>
      </c>
      <c r="FT1385" t="inlineStr">
        <is>
          <t>VJKF-29|</t>
        </is>
      </c>
      <c r="FU1385" t="inlineStr">
        <is>
          <t>VJKF-29</t>
        </is>
      </c>
      <c r="FV1385">
        <f>VLOOKUP(FU1385,FD:FL,9,0)</f>
        <v/>
      </c>
    </row>
    <row r="1386">
      <c r="FC1386" t="inlineStr">
        <is>
          <t>Diccionario 2</t>
        </is>
      </c>
      <c r="FD1386" s="15" t="inlineStr">
        <is>
          <t>VGCB-39</t>
        </is>
      </c>
      <c r="FE1386" s="15" t="inlineStr">
        <is>
          <t>MDN35025010137</t>
        </is>
      </c>
      <c r="FF1386" s="15" t="inlineStr">
        <is>
          <t>LDYECS311S0043851</t>
        </is>
      </c>
      <c r="FG1386" s="15" t="inlineStr">
        <is>
          <t>Zhong Tong</t>
        </is>
      </c>
      <c r="FH1386" s="15" t="inlineStr">
        <is>
          <t>Lck6122evg</t>
        </is>
      </c>
      <c r="FI1386" s="15" t="inlineStr">
        <is>
          <t>ZHONGTONG</t>
        </is>
      </c>
      <c r="FJ1386" s="15" t="inlineStr">
        <is>
          <t>LCK6122EVG</t>
        </is>
      </c>
      <c r="FK1386" s="15" t="n">
        <v>2025</v>
      </c>
      <c r="FL1386" s="15" t="inlineStr">
        <is>
          <t>B</t>
        </is>
      </c>
      <c r="FM1386" s="15" t="inlineStr">
        <is>
          <t>LOS LIBERTADORES</t>
        </is>
      </c>
      <c r="FN1386" s="15" t="inlineStr">
        <is>
          <t>Los Liberadores 6450, Lote 4A</t>
        </is>
      </c>
      <c r="FO1386" s="15" t="inlineStr">
        <is>
          <t>Huechuraba</t>
        </is>
      </c>
      <c r="FP1386" t="inlineStr">
        <is>
          <t>B</t>
        </is>
      </c>
      <c r="FS1386" s="14" t="inlineStr">
        <is>
          <t>VJKY-18|</t>
        </is>
      </c>
      <c r="FT1386" t="inlineStr">
        <is>
          <t>VJKY-18|</t>
        </is>
      </c>
      <c r="FU1386" t="inlineStr">
        <is>
          <t>VJKY-18</t>
        </is>
      </c>
      <c r="FV1386">
        <f>VLOOKUP(FU1386,FD:FL,9,0)</f>
        <v/>
      </c>
    </row>
    <row r="1387">
      <c r="FC1387" t="inlineStr">
        <is>
          <t>Diccionario 2</t>
        </is>
      </c>
      <c r="FD1387" s="15" t="inlineStr">
        <is>
          <t>VGCB-59</t>
        </is>
      </c>
      <c r="FE1387" s="15" t="inlineStr">
        <is>
          <t>MDN35025010142</t>
        </is>
      </c>
      <c r="FF1387" s="15" t="inlineStr">
        <is>
          <t>LDYECS312S0043857</t>
        </is>
      </c>
      <c r="FG1387" s="15" t="inlineStr">
        <is>
          <t>Zhong Tong</t>
        </is>
      </c>
      <c r="FH1387" s="15" t="inlineStr">
        <is>
          <t>Lck6122evg</t>
        </is>
      </c>
      <c r="FI1387" s="15" t="inlineStr">
        <is>
          <t>ZHONGTONG</t>
        </is>
      </c>
      <c r="FJ1387" s="15" t="inlineStr">
        <is>
          <t>LCK6122EVG</t>
        </is>
      </c>
      <c r="FK1387" s="15" t="n">
        <v>2025</v>
      </c>
      <c r="FL1387" s="15" t="inlineStr">
        <is>
          <t>B</t>
        </is>
      </c>
      <c r="FM1387" s="15" t="inlineStr">
        <is>
          <t>CERRILLOS</t>
        </is>
      </c>
      <c r="FN1387" s="15" t="inlineStr">
        <is>
          <t>Calle Uno 7371</t>
        </is>
      </c>
      <c r="FO1387" s="15" t="inlineStr">
        <is>
          <t>Cerrillos</t>
        </is>
      </c>
      <c r="FP1387" t="inlineStr">
        <is>
          <t>B</t>
        </is>
      </c>
      <c r="FS1387" s="14" t="inlineStr">
        <is>
          <t>VJXB-27|</t>
        </is>
      </c>
      <c r="FT1387" t="inlineStr">
        <is>
          <t>VJXB-27|</t>
        </is>
      </c>
      <c r="FU1387" t="inlineStr">
        <is>
          <t>VJXB-27</t>
        </is>
      </c>
      <c r="FV1387">
        <f>VLOOKUP(FU1387,FD:FL,9,0)</f>
        <v/>
      </c>
    </row>
    <row r="1388">
      <c r="FC1388" t="inlineStr">
        <is>
          <t>Diccionario 2</t>
        </is>
      </c>
      <c r="FD1388" s="15" t="inlineStr">
        <is>
          <t>VGKX-42</t>
        </is>
      </c>
      <c r="FE1388" s="15" t="inlineStr">
        <is>
          <t>MDN35025030025</t>
        </is>
      </c>
      <c r="FF1388" s="15" t="inlineStr">
        <is>
          <t>LDYECS317S0044373</t>
        </is>
      </c>
      <c r="FG1388" s="15" t="inlineStr">
        <is>
          <t>Zhong Tong</t>
        </is>
      </c>
      <c r="FH1388" s="15" t="inlineStr">
        <is>
          <t>Lck6122evg</t>
        </is>
      </c>
      <c r="FI1388" s="15" t="inlineStr">
        <is>
          <t>ZHONGTONG</t>
        </is>
      </c>
      <c r="FJ1388" s="15" t="inlineStr">
        <is>
          <t>LCK6122EVG</t>
        </is>
      </c>
      <c r="FK1388" s="15" t="n">
        <v>2025</v>
      </c>
      <c r="FL1388" s="15" t="inlineStr">
        <is>
          <t>B</t>
        </is>
      </c>
      <c r="FM1388" s="15" t="inlineStr">
        <is>
          <t>PIE ANDINO</t>
        </is>
      </c>
      <c r="FN1388" s="15" t="inlineStr">
        <is>
          <t>Pie Andino 31 (Pie Andino 383)</t>
        </is>
      </c>
      <c r="FO1388" s="15" t="inlineStr">
        <is>
          <t>Puente Alto</t>
        </is>
      </c>
      <c r="FP1388" t="inlineStr">
        <is>
          <t>B</t>
        </is>
      </c>
      <c r="FS1388" s="14" t="inlineStr">
        <is>
          <t>VJKY-58|</t>
        </is>
      </c>
      <c r="FT1388" t="inlineStr">
        <is>
          <t>VJKY-58|</t>
        </is>
      </c>
      <c r="FU1388" t="inlineStr">
        <is>
          <t>VJKY-58</t>
        </is>
      </c>
      <c r="FV1388">
        <f>VLOOKUP(FU1388,FD:FL,9,0)</f>
        <v/>
      </c>
    </row>
    <row r="1389">
      <c r="FC1389" t="inlineStr">
        <is>
          <t>Diccionario 2</t>
        </is>
      </c>
      <c r="FD1389" s="15" t="inlineStr">
        <is>
          <t>VGKX-52</t>
        </is>
      </c>
      <c r="FE1389" s="15" t="inlineStr">
        <is>
          <t>MDN35025030153</t>
        </is>
      </c>
      <c r="FF1389" s="15" t="inlineStr">
        <is>
          <t>LDYECS310S0044327</t>
        </is>
      </c>
      <c r="FG1389" s="15" t="inlineStr">
        <is>
          <t>Zhong Tong</t>
        </is>
      </c>
      <c r="FH1389" s="15" t="inlineStr">
        <is>
          <t>Lck6122evg</t>
        </is>
      </c>
      <c r="FI1389" s="15" t="inlineStr">
        <is>
          <t>ZHONGTONG</t>
        </is>
      </c>
      <c r="FJ1389" s="15" t="inlineStr">
        <is>
          <t>LCK6122EVG</t>
        </is>
      </c>
      <c r="FK1389" s="15" t="n">
        <v>2025</v>
      </c>
      <c r="FL1389" s="15" t="inlineStr">
        <is>
          <t>B</t>
        </is>
      </c>
      <c r="FM1389" s="15" t="inlineStr">
        <is>
          <t>SAN ALFONSO</t>
        </is>
      </c>
      <c r="FN1389" s="15" t="inlineStr">
        <is>
          <t>San Alfonso 2141 (Ramón Subercaseaux 3060)</t>
        </is>
      </c>
      <c r="FO1389" s="15" t="inlineStr">
        <is>
          <t>Estacion Central</t>
        </is>
      </c>
      <c r="FP1389" t="inlineStr">
        <is>
          <t>B</t>
        </is>
      </c>
      <c r="FS1389" s="14" t="inlineStr">
        <is>
          <t>LZPT-75|</t>
        </is>
      </c>
      <c r="FT1389" t="inlineStr">
        <is>
          <t>LZPT-75|</t>
        </is>
      </c>
      <c r="FU1389" t="inlineStr">
        <is>
          <t>LZPT-75</t>
        </is>
      </c>
      <c r="FV1389">
        <f>VLOOKUP(FU1389,FD:FL,9,0)</f>
        <v/>
      </c>
    </row>
    <row r="1390">
      <c r="FC1390" t="inlineStr">
        <is>
          <t>Diccionario 2</t>
        </is>
      </c>
      <c r="FD1390" s="15" t="inlineStr">
        <is>
          <t>VGKX-62</t>
        </is>
      </c>
      <c r="FE1390" s="15" t="inlineStr">
        <is>
          <t>MDN35025030021</t>
        </is>
      </c>
      <c r="FF1390" s="15" t="inlineStr">
        <is>
          <t>LDYECS31XS0044304</t>
        </is>
      </c>
      <c r="FG1390" s="15" t="inlineStr">
        <is>
          <t>Zhong Tong</t>
        </is>
      </c>
      <c r="FH1390" s="15" t="inlineStr">
        <is>
          <t>Lck6122evg</t>
        </is>
      </c>
      <c r="FI1390" s="15" t="inlineStr">
        <is>
          <t>ZHONGTONG</t>
        </is>
      </c>
      <c r="FJ1390" s="15" t="inlineStr">
        <is>
          <t>LCK6122EVG</t>
        </is>
      </c>
      <c r="FK1390" s="15" t="n">
        <v>2025</v>
      </c>
      <c r="FL1390" s="15" t="inlineStr">
        <is>
          <t>B</t>
        </is>
      </c>
      <c r="FM1390" s="15" t="inlineStr">
        <is>
          <t>CERRILLOS</t>
        </is>
      </c>
      <c r="FN1390" s="15" t="inlineStr">
        <is>
          <t>Calle Uno 7371</t>
        </is>
      </c>
      <c r="FO1390" s="15" t="inlineStr">
        <is>
          <t>Cerrillos</t>
        </is>
      </c>
      <c r="FP1390" t="inlineStr">
        <is>
          <t>B</t>
        </is>
      </c>
      <c r="FS1390" s="14" t="inlineStr">
        <is>
          <t>3093 / SFWZ-82|</t>
        </is>
      </c>
      <c r="FT1390" t="inlineStr">
        <is>
          <t>SFWZ-82|</t>
        </is>
      </c>
      <c r="FU1390" t="inlineStr">
        <is>
          <t>SFWZ-82</t>
        </is>
      </c>
      <c r="FV1390">
        <f>VLOOKUP(FU1390,FD:FL,9,0)</f>
        <v/>
      </c>
    </row>
    <row r="1391">
      <c r="FC1391" t="inlineStr">
        <is>
          <t>Diccionario 2</t>
        </is>
      </c>
      <c r="FD1391" s="15" t="inlineStr">
        <is>
          <t>VGKX-82</t>
        </is>
      </c>
      <c r="FE1391" s="15" t="inlineStr">
        <is>
          <t>MDN35025030136</t>
        </is>
      </c>
      <c r="FF1391" s="15" t="inlineStr">
        <is>
          <t>LDYECS315S0044324</t>
        </is>
      </c>
      <c r="FG1391" s="15" t="inlineStr">
        <is>
          <t>Zhong Tong</t>
        </is>
      </c>
      <c r="FH1391" s="15" t="inlineStr">
        <is>
          <t>Lck6122evg</t>
        </is>
      </c>
      <c r="FI1391" s="15" t="inlineStr">
        <is>
          <t>ZHONGTONG</t>
        </is>
      </c>
      <c r="FJ1391" s="15" t="inlineStr">
        <is>
          <t>LCK6122EVG</t>
        </is>
      </c>
      <c r="FK1391" s="15" t="n">
        <v>2025</v>
      </c>
      <c r="FL1391" s="15" t="inlineStr">
        <is>
          <t>B</t>
        </is>
      </c>
      <c r="FM1391" s="15" t="inlineStr">
        <is>
          <t>PIE ANDINO</t>
        </is>
      </c>
      <c r="FN1391" s="15" t="inlineStr">
        <is>
          <t>Pie Andino 31 (Pie Andino 383)</t>
        </is>
      </c>
      <c r="FO1391" s="15" t="inlineStr">
        <is>
          <t>Puente Alto</t>
        </is>
      </c>
      <c r="FP1391" t="inlineStr">
        <is>
          <t>B</t>
        </is>
      </c>
      <c r="FS1391" s="14" t="inlineStr">
        <is>
          <t>3069 / SFWZ-32|</t>
        </is>
      </c>
      <c r="FT1391" t="inlineStr">
        <is>
          <t>SFWZ-32|</t>
        </is>
      </c>
      <c r="FU1391" t="inlineStr">
        <is>
          <t>SFWZ-32</t>
        </is>
      </c>
      <c r="FV1391">
        <f>VLOOKUP(FU1391,FD:FL,9,0)</f>
        <v/>
      </c>
    </row>
    <row r="1392">
      <c r="FC1392" t="inlineStr">
        <is>
          <t>Diccionario 2</t>
        </is>
      </c>
      <c r="FD1392" s="15" t="inlineStr">
        <is>
          <t>VGKY-12</t>
        </is>
      </c>
      <c r="FE1392" s="15" t="inlineStr">
        <is>
          <t>MDN35025030073</t>
        </is>
      </c>
      <c r="FF1392" s="15" t="inlineStr">
        <is>
          <t>LDYECS311S0044305</t>
        </is>
      </c>
      <c r="FG1392" s="15" t="inlineStr">
        <is>
          <t>Zhong Tong</t>
        </is>
      </c>
      <c r="FH1392" s="15" t="inlineStr">
        <is>
          <t>Lck6122evg</t>
        </is>
      </c>
      <c r="FI1392" s="15" t="inlineStr">
        <is>
          <t>ZHONGTONG</t>
        </is>
      </c>
      <c r="FJ1392" s="15" t="inlineStr">
        <is>
          <t>LCK6122EVG</t>
        </is>
      </c>
      <c r="FK1392" s="15" t="n">
        <v>2025</v>
      </c>
      <c r="FL1392" s="15" t="inlineStr">
        <is>
          <t>B</t>
        </is>
      </c>
      <c r="FM1392" s="15" t="inlineStr">
        <is>
          <t>CERRILLOS</t>
        </is>
      </c>
      <c r="FN1392" s="15" t="inlineStr">
        <is>
          <t>Calle Uno 7371</t>
        </is>
      </c>
      <c r="FO1392" s="15" t="inlineStr">
        <is>
          <t>Cerrillos</t>
        </is>
      </c>
      <c r="FP1392" t="inlineStr">
        <is>
          <t>B</t>
        </is>
      </c>
      <c r="FS1392" s="14" t="inlineStr">
        <is>
          <t>VJKW-68|</t>
        </is>
      </c>
      <c r="FT1392" t="inlineStr">
        <is>
          <t>VJKW-68|</t>
        </is>
      </c>
      <c r="FU1392" t="inlineStr">
        <is>
          <t>VJKW-68</t>
        </is>
      </c>
      <c r="FV1392">
        <f>VLOOKUP(FU1392,FD:FL,9,0)</f>
        <v/>
      </c>
    </row>
    <row r="1393">
      <c r="FC1393" t="inlineStr">
        <is>
          <t>Diccionario 2</t>
        </is>
      </c>
      <c r="FD1393" s="15" t="inlineStr">
        <is>
          <t>VGKY-22</t>
        </is>
      </c>
      <c r="FE1393" s="15" t="inlineStr">
        <is>
          <t>MDN35025030018</t>
        </is>
      </c>
      <c r="FF1393" s="15" t="inlineStr">
        <is>
          <t>LDYECS31XS0044383</t>
        </is>
      </c>
      <c r="FG1393" s="15" t="inlineStr">
        <is>
          <t>Zhong Tong</t>
        </is>
      </c>
      <c r="FH1393" s="15" t="inlineStr">
        <is>
          <t>Lck6122evg</t>
        </is>
      </c>
      <c r="FI1393" s="15" t="inlineStr">
        <is>
          <t>ZHONGTONG</t>
        </is>
      </c>
      <c r="FJ1393" s="15" t="inlineStr">
        <is>
          <t>LCK6122EVG</t>
        </is>
      </c>
      <c r="FK1393" s="15" t="n">
        <v>2025</v>
      </c>
      <c r="FL1393" s="15" t="inlineStr">
        <is>
          <t>B</t>
        </is>
      </c>
      <c r="FM1393" s="15" t="inlineStr">
        <is>
          <t>PIE ANDINO</t>
        </is>
      </c>
      <c r="FN1393" s="15" t="inlineStr">
        <is>
          <t>Pie Andino 31 (Pie Andino 383)</t>
        </is>
      </c>
      <c r="FO1393" s="15" t="inlineStr">
        <is>
          <t>Puente Alto</t>
        </is>
      </c>
      <c r="FP1393" t="inlineStr">
        <is>
          <t>B</t>
        </is>
      </c>
      <c r="FS1393" s="14" t="inlineStr">
        <is>
          <t>VJWZ-74|</t>
        </is>
      </c>
      <c r="FT1393" t="inlineStr">
        <is>
          <t>VJWZ-74|</t>
        </is>
      </c>
      <c r="FU1393" t="inlineStr">
        <is>
          <t>VJWZ-74</t>
        </is>
      </c>
      <c r="FV1393">
        <f>VLOOKUP(FU1393,FD:FL,9,0)</f>
        <v/>
      </c>
    </row>
    <row r="1394">
      <c r="FC1394" t="inlineStr">
        <is>
          <t>Diccionario 2</t>
        </is>
      </c>
      <c r="FD1394" s="15" t="inlineStr">
        <is>
          <t>VGKY-42</t>
        </is>
      </c>
      <c r="FE1394" s="15" t="inlineStr">
        <is>
          <t>MDN35025010127</t>
        </is>
      </c>
      <c r="FF1394" s="15" t="inlineStr">
        <is>
          <t>LDYECS319S0044388</t>
        </is>
      </c>
      <c r="FG1394" s="15" t="inlineStr">
        <is>
          <t>Zhong Tong</t>
        </is>
      </c>
      <c r="FH1394" s="15" t="inlineStr">
        <is>
          <t>Lck6122evg</t>
        </is>
      </c>
      <c r="FI1394" s="15" t="inlineStr">
        <is>
          <t>ZHONGTONG</t>
        </is>
      </c>
      <c r="FJ1394" s="15" t="inlineStr">
        <is>
          <t>LCK6122EVG</t>
        </is>
      </c>
      <c r="FK1394" s="15" t="n">
        <v>2025</v>
      </c>
      <c r="FL1394" s="15" t="inlineStr">
        <is>
          <t>B</t>
        </is>
      </c>
      <c r="FM1394" s="15" t="inlineStr">
        <is>
          <t>PIE ANDINO</t>
        </is>
      </c>
      <c r="FN1394" s="15" t="inlineStr">
        <is>
          <t>Pie Andino 31 (Pie Andino 383)</t>
        </is>
      </c>
      <c r="FO1394" s="15" t="inlineStr">
        <is>
          <t>Puente Alto</t>
        </is>
      </c>
      <c r="FP1394" t="inlineStr">
        <is>
          <t>B</t>
        </is>
      </c>
      <c r="FS1394" s="14" t="inlineStr">
        <is>
          <t>VJKX-78|</t>
        </is>
      </c>
      <c r="FT1394" t="inlineStr">
        <is>
          <t>VJKX-78|</t>
        </is>
      </c>
      <c r="FU1394" t="inlineStr">
        <is>
          <t>VJKX-78</t>
        </is>
      </c>
      <c r="FV1394">
        <f>VLOOKUP(FU1394,FD:FL,9,0)</f>
        <v/>
      </c>
    </row>
    <row r="1395">
      <c r="FC1395" t="inlineStr">
        <is>
          <t>Diccionario 2</t>
        </is>
      </c>
      <c r="FD1395" s="15" t="inlineStr">
        <is>
          <t>VGKY-72</t>
        </is>
      </c>
      <c r="FE1395" s="15" t="inlineStr">
        <is>
          <t>MDN35025030199</t>
        </is>
      </c>
      <c r="FF1395" s="15" t="inlineStr">
        <is>
          <t>LDYECS317S0044325</t>
        </is>
      </c>
      <c r="FG1395" s="15" t="inlineStr">
        <is>
          <t>Zhong Tong</t>
        </is>
      </c>
      <c r="FH1395" s="15" t="inlineStr">
        <is>
          <t>Lck6122evg</t>
        </is>
      </c>
      <c r="FI1395" s="15" t="inlineStr">
        <is>
          <t>ZHONGTONG</t>
        </is>
      </c>
      <c r="FJ1395" s="15" t="inlineStr">
        <is>
          <t>LCK6122EVG</t>
        </is>
      </c>
      <c r="FK1395" s="15" t="n">
        <v>2025</v>
      </c>
      <c r="FL1395" s="15" t="inlineStr">
        <is>
          <t>B</t>
        </is>
      </c>
      <c r="FM1395" s="15" t="inlineStr">
        <is>
          <t>PIE ANDINO</t>
        </is>
      </c>
      <c r="FN1395" s="15" t="inlineStr">
        <is>
          <t>Pie Andino 31 (Pie Andino 383)</t>
        </is>
      </c>
      <c r="FO1395" s="15" t="inlineStr">
        <is>
          <t>Puente Alto</t>
        </is>
      </c>
      <c r="FP1395" t="inlineStr">
        <is>
          <t>B</t>
        </is>
      </c>
      <c r="FS1395" s="14" t="inlineStr">
        <is>
          <t>3026 / SFVZ-81|</t>
        </is>
      </c>
      <c r="FT1395" t="inlineStr">
        <is>
          <t>SFVZ-81|</t>
        </is>
      </c>
      <c r="FU1395" t="inlineStr">
        <is>
          <t>SFVZ-81</t>
        </is>
      </c>
      <c r="FV1395">
        <f>VLOOKUP(FU1395,FD:FL,9,0)</f>
        <v/>
      </c>
    </row>
    <row r="1396">
      <c r="FC1396" t="inlineStr">
        <is>
          <t>Diccionario 2</t>
        </is>
      </c>
      <c r="FD1396" s="15" t="inlineStr">
        <is>
          <t>VGKY-82</t>
        </is>
      </c>
      <c r="FE1396" s="15" t="inlineStr">
        <is>
          <t>MDN35025030042</t>
        </is>
      </c>
      <c r="FF1396" s="15" t="inlineStr">
        <is>
          <t>LDYECS318S0044379</t>
        </is>
      </c>
      <c r="FG1396" s="15" t="inlineStr">
        <is>
          <t>Zhong Tong</t>
        </is>
      </c>
      <c r="FH1396" s="15" t="inlineStr">
        <is>
          <t>Lck6122evg</t>
        </is>
      </c>
      <c r="FI1396" s="15" t="inlineStr">
        <is>
          <t>ZHONGTONG</t>
        </is>
      </c>
      <c r="FJ1396" s="15" t="inlineStr">
        <is>
          <t>LCK6122EVG</t>
        </is>
      </c>
      <c r="FK1396" s="15" t="n">
        <v>2025</v>
      </c>
      <c r="FL1396" s="15" t="inlineStr">
        <is>
          <t>B</t>
        </is>
      </c>
      <c r="FM1396" s="15" t="inlineStr">
        <is>
          <t>PIE ANDINO</t>
        </is>
      </c>
      <c r="FN1396" s="15" t="inlineStr">
        <is>
          <t>Pie Andino 31 (Pie Andino 383)</t>
        </is>
      </c>
      <c r="FO1396" s="15" t="inlineStr">
        <is>
          <t>Puente Alto</t>
        </is>
      </c>
      <c r="FP1396" t="inlineStr">
        <is>
          <t>B</t>
        </is>
      </c>
      <c r="FS1396" s="14" t="inlineStr">
        <is>
          <t>3020 / SFWZ-20|</t>
        </is>
      </c>
      <c r="FT1396" t="inlineStr">
        <is>
          <t>SFWZ-20|</t>
        </is>
      </c>
      <c r="FU1396" t="inlineStr">
        <is>
          <t>SFWZ-20</t>
        </is>
      </c>
      <c r="FV1396">
        <f>VLOOKUP(FU1396,FD:FL,9,0)</f>
        <v/>
      </c>
    </row>
    <row r="1397">
      <c r="FC1397" t="inlineStr">
        <is>
          <t>Diccionario 2</t>
        </is>
      </c>
      <c r="FD1397" s="15" t="inlineStr">
        <is>
          <t>VGKZ-62</t>
        </is>
      </c>
      <c r="FE1397" s="15" t="inlineStr">
        <is>
          <t>MDN35025030041</t>
        </is>
      </c>
      <c r="FF1397" s="15" t="inlineStr">
        <is>
          <t>LDYECS313S0044385</t>
        </is>
      </c>
      <c r="FG1397" s="15" t="inlineStr">
        <is>
          <t>Zhong Tong</t>
        </is>
      </c>
      <c r="FH1397" s="15" t="inlineStr">
        <is>
          <t>Lck6122evg</t>
        </is>
      </c>
      <c r="FI1397" s="15" t="inlineStr">
        <is>
          <t>ZHONGTONG</t>
        </is>
      </c>
      <c r="FJ1397" s="15" t="inlineStr">
        <is>
          <t>LCK6122EVG</t>
        </is>
      </c>
      <c r="FK1397" s="15" t="n">
        <v>2025</v>
      </c>
      <c r="FL1397" s="15" t="inlineStr">
        <is>
          <t>B</t>
        </is>
      </c>
      <c r="FM1397" s="15" t="inlineStr">
        <is>
          <t>PIE ANDINO</t>
        </is>
      </c>
      <c r="FN1397" s="15" t="inlineStr">
        <is>
          <t>Pie Andino 31 (Pie Andino 383)</t>
        </is>
      </c>
      <c r="FO1397" s="15" t="inlineStr">
        <is>
          <t>Puente Alto</t>
        </is>
      </c>
      <c r="FP1397" t="inlineStr">
        <is>
          <t>B</t>
        </is>
      </c>
      <c r="FS1397" s="14" t="inlineStr">
        <is>
          <t>3047 / SFVZ-39|</t>
        </is>
      </c>
      <c r="FT1397" t="inlineStr">
        <is>
          <t>SFVZ-39|</t>
        </is>
      </c>
      <c r="FU1397" t="inlineStr">
        <is>
          <t>SFVZ-39</t>
        </is>
      </c>
      <c r="FV1397">
        <f>VLOOKUP(FU1397,FD:FL,9,0)</f>
        <v/>
      </c>
    </row>
    <row r="1398">
      <c r="FC1398" t="inlineStr">
        <is>
          <t>Diccionario 2</t>
        </is>
      </c>
      <c r="FD1398" s="15" t="inlineStr">
        <is>
          <t>VGKZ-82</t>
        </is>
      </c>
      <c r="FE1398" s="15" t="inlineStr">
        <is>
          <t>MDN35025030011</t>
        </is>
      </c>
      <c r="FF1398" s="15" t="inlineStr">
        <is>
          <t>LDYECS311S0044384</t>
        </is>
      </c>
      <c r="FG1398" s="15" t="inlineStr">
        <is>
          <t>Zhong Tong</t>
        </is>
      </c>
      <c r="FH1398" s="15" t="inlineStr">
        <is>
          <t>Lck6122evg</t>
        </is>
      </c>
      <c r="FI1398" s="15" t="inlineStr">
        <is>
          <t>ZHONGTONG</t>
        </is>
      </c>
      <c r="FJ1398" s="15" t="inlineStr">
        <is>
          <t>LCK6122EVG</t>
        </is>
      </c>
      <c r="FK1398" s="15" t="n">
        <v>2025</v>
      </c>
      <c r="FL1398" s="15" t="inlineStr">
        <is>
          <t>B</t>
        </is>
      </c>
      <c r="FM1398" s="15" t="inlineStr">
        <is>
          <t>PIE ANDINO</t>
        </is>
      </c>
      <c r="FN1398" s="15" t="inlineStr">
        <is>
          <t>Pie Andino 31 (Pie Andino 383)</t>
        </is>
      </c>
      <c r="FO1398" s="15" t="inlineStr">
        <is>
          <t>Puente Alto</t>
        </is>
      </c>
      <c r="FP1398" t="inlineStr">
        <is>
          <t>B</t>
        </is>
      </c>
      <c r="FS1398" s="14" t="inlineStr">
        <is>
          <t>3019 / SFWB-44|</t>
        </is>
      </c>
      <c r="FT1398" t="inlineStr">
        <is>
          <t>SFWB-44|</t>
        </is>
      </c>
      <c r="FU1398" t="inlineStr">
        <is>
          <t>SFWB-44</t>
        </is>
      </c>
      <c r="FV1398">
        <f>VLOOKUP(FU1398,FD:FL,9,0)</f>
        <v/>
      </c>
    </row>
    <row r="1399">
      <c r="FC1399" t="inlineStr">
        <is>
          <t>Diccionario 2</t>
        </is>
      </c>
      <c r="FD1399" s="15" t="inlineStr">
        <is>
          <t>VGKZ-92</t>
        </is>
      </c>
      <c r="FE1399" s="15" t="inlineStr">
        <is>
          <t>MDN35025030056</t>
        </is>
      </c>
      <c r="FF1399" s="15" t="inlineStr">
        <is>
          <t>LDYECS313S0044371</t>
        </is>
      </c>
      <c r="FG1399" s="15" t="inlineStr">
        <is>
          <t>Zhong Tong</t>
        </is>
      </c>
      <c r="FH1399" s="15" t="inlineStr">
        <is>
          <t>Lck6122evg</t>
        </is>
      </c>
      <c r="FI1399" s="15" t="inlineStr">
        <is>
          <t>ZHONGTONG</t>
        </is>
      </c>
      <c r="FJ1399" s="15" t="inlineStr">
        <is>
          <t>LCK6122EVG</t>
        </is>
      </c>
      <c r="FK1399" s="15" t="n">
        <v>2025</v>
      </c>
      <c r="FL1399" s="15" t="inlineStr">
        <is>
          <t>B</t>
        </is>
      </c>
      <c r="FM1399" s="15" t="inlineStr">
        <is>
          <t>PIE ANDINO</t>
        </is>
      </c>
      <c r="FN1399" s="15" t="inlineStr">
        <is>
          <t>Pie Andino 31 (Pie Andino 383)</t>
        </is>
      </c>
      <c r="FO1399" s="15" t="inlineStr">
        <is>
          <t>Puente Alto</t>
        </is>
      </c>
      <c r="FP1399" t="inlineStr">
        <is>
          <t>B</t>
        </is>
      </c>
      <c r="FS1399" s="14" t="inlineStr">
        <is>
          <t>3092 / SFWZ-67|</t>
        </is>
      </c>
      <c r="FT1399" t="inlineStr">
        <is>
          <t>SFWZ-67|</t>
        </is>
      </c>
      <c r="FU1399" t="inlineStr">
        <is>
          <t>SFWZ-67</t>
        </is>
      </c>
      <c r="FV1399">
        <f>VLOOKUP(FU1399,FD:FL,9,0)</f>
        <v/>
      </c>
    </row>
    <row r="1400">
      <c r="FC1400" t="inlineStr">
        <is>
          <t>Diccionario 2</t>
        </is>
      </c>
      <c r="FD1400" s="15" t="inlineStr">
        <is>
          <t>VGLZ-33</t>
        </is>
      </c>
      <c r="FE1400" s="15" t="inlineStr">
        <is>
          <t>LDYECS834S0045636</t>
        </is>
      </c>
      <c r="FF1400" s="15" t="inlineStr">
        <is>
          <t>MJJ20025010047</t>
        </is>
      </c>
      <c r="FG1400" s="15" t="inlineStr">
        <is>
          <t>Zhong Tong</t>
        </is>
      </c>
      <c r="FH1400" s="15" t="inlineStr">
        <is>
          <t>LCK6850evg</t>
        </is>
      </c>
      <c r="FI1400" s="15" t="inlineStr">
        <is>
          <t>ZHONGTONG</t>
        </is>
      </c>
      <c r="FJ1400" s="15" t="inlineStr">
        <is>
          <t>LCK6850evg</t>
        </is>
      </c>
      <c r="FK1400" s="15" t="n">
        <v>2025</v>
      </c>
      <c r="FL1400" s="15" t="inlineStr">
        <is>
          <t>A</t>
        </is>
      </c>
      <c r="FM1400" s="15" t="inlineStr">
        <is>
          <t>CERRILLOS</t>
        </is>
      </c>
      <c r="FN1400" s="15" t="inlineStr">
        <is>
          <t>Calle Uno 7371</t>
        </is>
      </c>
      <c r="FO1400" s="15" t="inlineStr">
        <is>
          <t>Cerrillos</t>
        </is>
      </c>
      <c r="FP1400" t="inlineStr">
        <is>
          <t>A</t>
        </is>
      </c>
      <c r="FS1400" s="14" t="inlineStr">
        <is>
          <t>VJXB-27|</t>
        </is>
      </c>
      <c r="FT1400" t="inlineStr">
        <is>
          <t>VJXB-27|</t>
        </is>
      </c>
      <c r="FU1400" t="inlineStr">
        <is>
          <t>VJXB-27</t>
        </is>
      </c>
      <c r="FV1400">
        <f>VLOOKUP(FU1400,FD:FL,9,0)</f>
        <v/>
      </c>
    </row>
    <row r="1401">
      <c r="FC1401" t="inlineStr">
        <is>
          <t>Diccionario 2</t>
        </is>
      </c>
      <c r="FD1401" s="15" t="inlineStr">
        <is>
          <t>VGLZ-43</t>
        </is>
      </c>
      <c r="FE1401" s="15" t="inlineStr">
        <is>
          <t>LDYECS832S0045635</t>
        </is>
      </c>
      <c r="FF1401" s="15" t="inlineStr">
        <is>
          <t>MJJ20025010001</t>
        </is>
      </c>
      <c r="FG1401" s="15" t="inlineStr">
        <is>
          <t>Zhong Tong</t>
        </is>
      </c>
      <c r="FH1401" s="15" t="inlineStr">
        <is>
          <t>LCK6850evg</t>
        </is>
      </c>
      <c r="FI1401" s="15" t="inlineStr">
        <is>
          <t>ZHONGTONG</t>
        </is>
      </c>
      <c r="FJ1401" s="15" t="inlineStr">
        <is>
          <t>LCK6850evg</t>
        </is>
      </c>
      <c r="FK1401" s="15" t="n">
        <v>2025</v>
      </c>
      <c r="FL1401" s="15" t="inlineStr">
        <is>
          <t>A</t>
        </is>
      </c>
      <c r="FM1401" s="15" t="inlineStr">
        <is>
          <t>CERRILLOS</t>
        </is>
      </c>
      <c r="FN1401" s="15" t="inlineStr">
        <is>
          <t>Calle Uno 7371</t>
        </is>
      </c>
      <c r="FO1401" s="15" t="inlineStr">
        <is>
          <t>Cerrillos</t>
        </is>
      </c>
      <c r="FP1401" t="inlineStr">
        <is>
          <t>A</t>
        </is>
      </c>
      <c r="FS1401" s="14" t="inlineStr">
        <is>
          <t>3096 / SFWZ-74|</t>
        </is>
      </c>
      <c r="FT1401" t="inlineStr">
        <is>
          <t>SFWZ-74|</t>
        </is>
      </c>
      <c r="FU1401" t="inlineStr">
        <is>
          <t>SFWZ-74</t>
        </is>
      </c>
      <c r="FV1401">
        <f>VLOOKUP(FU1401,FD:FL,9,0)</f>
        <v/>
      </c>
    </row>
    <row r="1402">
      <c r="FC1402" t="inlineStr">
        <is>
          <t>Diccionario 2</t>
        </is>
      </c>
      <c r="FD1402" s="15" t="inlineStr">
        <is>
          <t>VGRB-23</t>
        </is>
      </c>
      <c r="FE1402" s="15" t="inlineStr">
        <is>
          <t>LDYECS836S0045637</t>
        </is>
      </c>
      <c r="FF1402" s="15" t="inlineStr">
        <is>
          <t>MJJ20025010040</t>
        </is>
      </c>
      <c r="FG1402" s="15" t="inlineStr">
        <is>
          <t>Zhong Tong</t>
        </is>
      </c>
      <c r="FH1402" s="15" t="inlineStr">
        <is>
          <t>LCK6850evg</t>
        </is>
      </c>
      <c r="FI1402" s="15" t="inlineStr">
        <is>
          <t>ZHONGTONG</t>
        </is>
      </c>
      <c r="FJ1402" s="15" t="inlineStr">
        <is>
          <t>LCK6850evg</t>
        </is>
      </c>
      <c r="FK1402" s="15" t="n">
        <v>2025</v>
      </c>
      <c r="FL1402" s="15" t="inlineStr">
        <is>
          <t>A</t>
        </is>
      </c>
      <c r="FM1402" s="15" t="inlineStr">
        <is>
          <t>CERRILLOS</t>
        </is>
      </c>
      <c r="FN1402" s="15" t="inlineStr">
        <is>
          <t>Calle Uno 7371</t>
        </is>
      </c>
      <c r="FO1402" s="15" t="inlineStr">
        <is>
          <t>Cerrillos</t>
        </is>
      </c>
      <c r="FP1402" t="inlineStr">
        <is>
          <t>A</t>
        </is>
      </c>
      <c r="FS1402" s="14" t="inlineStr">
        <is>
          <t>VJZB-57|</t>
        </is>
      </c>
      <c r="FT1402" t="inlineStr">
        <is>
          <t>VJZB-57|</t>
        </is>
      </c>
      <c r="FU1402" t="inlineStr">
        <is>
          <t>VJZB-57</t>
        </is>
      </c>
      <c r="FV1402">
        <f>VLOOKUP(FU1402,FD:FL,9,0)</f>
        <v/>
      </c>
    </row>
    <row r="1403">
      <c r="FC1403" t="inlineStr">
        <is>
          <t>Diccionario 2</t>
        </is>
      </c>
      <c r="FD1403" s="15" t="inlineStr">
        <is>
          <t>VGRB-24</t>
        </is>
      </c>
      <c r="FE1403" s="15" t="inlineStr">
        <is>
          <t>LDYECS83XS0045611</t>
        </is>
      </c>
      <c r="FF1403" s="15" t="inlineStr">
        <is>
          <t>MJJ20025010028</t>
        </is>
      </c>
      <c r="FG1403" s="15" t="inlineStr">
        <is>
          <t>Zhong Tong</t>
        </is>
      </c>
      <c r="FH1403" s="15" t="inlineStr">
        <is>
          <t>LCK6850evg</t>
        </is>
      </c>
      <c r="FI1403" s="15" t="inlineStr">
        <is>
          <t>ZHONGTONG</t>
        </is>
      </c>
      <c r="FJ1403" s="15" t="inlineStr">
        <is>
          <t>LCK6850evg</t>
        </is>
      </c>
      <c r="FK1403" s="15" t="n">
        <v>2025</v>
      </c>
      <c r="FL1403" s="15" t="inlineStr">
        <is>
          <t>A</t>
        </is>
      </c>
      <c r="FM1403" s="15" t="inlineStr">
        <is>
          <t>CERRILLOS</t>
        </is>
      </c>
      <c r="FN1403" s="15" t="inlineStr">
        <is>
          <t>Calle Uno 7371</t>
        </is>
      </c>
      <c r="FO1403" s="15" t="inlineStr">
        <is>
          <t>Cerrillos</t>
        </is>
      </c>
      <c r="FP1403" t="inlineStr">
        <is>
          <t>A</t>
        </is>
      </c>
      <c r="FS1403" s="14" t="inlineStr">
        <is>
          <t>VJKG-36|</t>
        </is>
      </c>
      <c r="FT1403" t="inlineStr">
        <is>
          <t>VJKG-36|</t>
        </is>
      </c>
      <c r="FU1403" t="inlineStr">
        <is>
          <t>VJKG-36</t>
        </is>
      </c>
      <c r="FV1403">
        <f>VLOOKUP(FU1403,FD:FL,9,0)</f>
        <v/>
      </c>
    </row>
    <row r="1404">
      <c r="FC1404" t="inlineStr">
        <is>
          <t>Diccionario 2</t>
        </is>
      </c>
      <c r="FD1404" s="15" t="inlineStr">
        <is>
          <t>VGRB-33</t>
        </is>
      </c>
      <c r="FE1404" s="15" t="inlineStr">
        <is>
          <t>LDYECS833S0045630</t>
        </is>
      </c>
      <c r="FF1404" s="15" t="inlineStr">
        <is>
          <t>MJJ20025010012</t>
        </is>
      </c>
      <c r="FG1404" s="15" t="inlineStr">
        <is>
          <t>Zhong Tong</t>
        </is>
      </c>
      <c r="FH1404" s="15" t="inlineStr">
        <is>
          <t>LCK6850evg</t>
        </is>
      </c>
      <c r="FI1404" s="15" t="inlineStr">
        <is>
          <t>ZHONGTONG</t>
        </is>
      </c>
      <c r="FJ1404" s="15" t="inlineStr">
        <is>
          <t>LCK6850evg</t>
        </is>
      </c>
      <c r="FK1404" s="15" t="n">
        <v>2025</v>
      </c>
      <c r="FL1404" s="15" t="inlineStr">
        <is>
          <t>A</t>
        </is>
      </c>
      <c r="FM1404" s="15" t="inlineStr">
        <is>
          <t>CERRILLOS</t>
        </is>
      </c>
      <c r="FN1404" s="15" t="inlineStr">
        <is>
          <t>Calle Uno 7371</t>
        </is>
      </c>
      <c r="FO1404" s="15" t="inlineStr">
        <is>
          <t>Cerrillos</t>
        </is>
      </c>
      <c r="FP1404" t="inlineStr">
        <is>
          <t>A</t>
        </is>
      </c>
      <c r="FS1404" s="14" t="inlineStr">
        <is>
          <t>3045 / SFWB-48|</t>
        </is>
      </c>
      <c r="FT1404" t="inlineStr">
        <is>
          <t>SFWB-48|</t>
        </is>
      </c>
      <c r="FU1404" t="inlineStr">
        <is>
          <t>SFWB-48</t>
        </is>
      </c>
      <c r="FV1404">
        <f>VLOOKUP(FU1404,FD:FL,9,0)</f>
        <v/>
      </c>
    </row>
    <row r="1405">
      <c r="FC1405" t="inlineStr">
        <is>
          <t>Diccionario 2</t>
        </is>
      </c>
      <c r="FD1405" s="15" t="inlineStr">
        <is>
          <t>VGRB-63</t>
        </is>
      </c>
      <c r="FE1405" s="15" t="inlineStr">
        <is>
          <t>LDYECS837S0045632</t>
        </is>
      </c>
      <c r="FF1405" s="15" t="inlineStr">
        <is>
          <t>MJJ20025010003</t>
        </is>
      </c>
      <c r="FG1405" s="15" t="inlineStr">
        <is>
          <t>Zhong Tong</t>
        </is>
      </c>
      <c r="FH1405" s="15" t="inlineStr">
        <is>
          <t>LCK6850evg</t>
        </is>
      </c>
      <c r="FI1405" s="15" t="inlineStr">
        <is>
          <t>ZHONGTONG</t>
        </is>
      </c>
      <c r="FJ1405" s="15" t="inlineStr">
        <is>
          <t>LCK6850evg</t>
        </is>
      </c>
      <c r="FK1405" s="15" t="n">
        <v>2025</v>
      </c>
      <c r="FL1405" s="15" t="inlineStr">
        <is>
          <t>A</t>
        </is>
      </c>
      <c r="FM1405" s="15" t="inlineStr">
        <is>
          <t>CERRILLOS</t>
        </is>
      </c>
      <c r="FN1405" s="15" t="inlineStr">
        <is>
          <t>Calle Uno 7371</t>
        </is>
      </c>
      <c r="FO1405" s="15" t="inlineStr">
        <is>
          <t>Cerrillos</t>
        </is>
      </c>
      <c r="FP1405" t="inlineStr">
        <is>
          <t>A</t>
        </is>
      </c>
      <c r="FS1405" s="14" t="inlineStr">
        <is>
          <t>3080 / SFWZ-65|</t>
        </is>
      </c>
      <c r="FT1405" t="inlineStr">
        <is>
          <t>SFWZ-65|</t>
        </is>
      </c>
      <c r="FU1405" t="inlineStr">
        <is>
          <t>SFWZ-65</t>
        </is>
      </c>
      <c r="FV1405">
        <f>VLOOKUP(FU1405,FD:FL,9,0)</f>
        <v/>
      </c>
    </row>
    <row r="1406">
      <c r="FC1406" t="inlineStr">
        <is>
          <t>Diccionario 2</t>
        </is>
      </c>
      <c r="FD1406" s="15" t="inlineStr">
        <is>
          <t>VGRB-73</t>
        </is>
      </c>
      <c r="FE1406" s="15" t="inlineStr">
        <is>
          <t>LDYECS833S0045627</t>
        </is>
      </c>
      <c r="FF1406" s="15" t="inlineStr">
        <is>
          <t>MJJ20025010013</t>
        </is>
      </c>
      <c r="FG1406" s="15" t="inlineStr">
        <is>
          <t>Zhong Tong</t>
        </is>
      </c>
      <c r="FH1406" s="15" t="inlineStr">
        <is>
          <t>LCK6850evg</t>
        </is>
      </c>
      <c r="FI1406" s="15" t="inlineStr">
        <is>
          <t>ZHONGTONG</t>
        </is>
      </c>
      <c r="FJ1406" s="15" t="inlineStr">
        <is>
          <t>LCK6850evg</t>
        </is>
      </c>
      <c r="FK1406" s="15" t="n">
        <v>2025</v>
      </c>
      <c r="FL1406" s="15" t="inlineStr">
        <is>
          <t>A</t>
        </is>
      </c>
      <c r="FM1406" s="15" t="inlineStr">
        <is>
          <t>CERRILLOS</t>
        </is>
      </c>
      <c r="FN1406" s="15" t="inlineStr">
        <is>
          <t>Calle Uno 7371</t>
        </is>
      </c>
      <c r="FO1406" s="15" t="inlineStr">
        <is>
          <t>Cerrillos</t>
        </is>
      </c>
      <c r="FP1406" t="inlineStr">
        <is>
          <t>A</t>
        </is>
      </c>
      <c r="FS1406" s="14" t="inlineStr">
        <is>
          <t>SFWZ-33</t>
        </is>
      </c>
      <c r="FT1406" t="inlineStr">
        <is>
          <t>SFWZ-33</t>
        </is>
      </c>
      <c r="FU1406" t="inlineStr">
        <is>
          <t>SFWZ-33</t>
        </is>
      </c>
      <c r="FV1406">
        <f>VLOOKUP(FU1406,FD:FL,9,0)</f>
        <v/>
      </c>
    </row>
    <row r="1407">
      <c r="FC1407" t="inlineStr">
        <is>
          <t>Diccionario 2</t>
        </is>
      </c>
      <c r="FD1407" s="15" t="inlineStr">
        <is>
          <t>VGRB-93</t>
        </is>
      </c>
      <c r="FE1407" s="15" t="inlineStr">
        <is>
          <t>LDYECS839S0045633</t>
        </is>
      </c>
      <c r="FF1407" s="15" t="inlineStr">
        <is>
          <t>MJJ20025010010</t>
        </is>
      </c>
      <c r="FG1407" s="15" t="inlineStr">
        <is>
          <t>Zhong Tong</t>
        </is>
      </c>
      <c r="FH1407" s="15" t="inlineStr">
        <is>
          <t>LCK6850evg</t>
        </is>
      </c>
      <c r="FI1407" s="15" t="inlineStr">
        <is>
          <t>ZHONGTONG</t>
        </is>
      </c>
      <c r="FJ1407" s="15" t="inlineStr">
        <is>
          <t>LCK6850evg</t>
        </is>
      </c>
      <c r="FK1407" s="15" t="n">
        <v>2025</v>
      </c>
      <c r="FL1407" s="15" t="inlineStr">
        <is>
          <t>A</t>
        </is>
      </c>
      <c r="FM1407" s="15" t="inlineStr">
        <is>
          <t>CERRILLOS</t>
        </is>
      </c>
      <c r="FN1407" s="15" t="inlineStr">
        <is>
          <t>Calle Uno 7371</t>
        </is>
      </c>
      <c r="FO1407" s="15" t="inlineStr">
        <is>
          <t>Cerrillos</t>
        </is>
      </c>
      <c r="FP1407" t="inlineStr">
        <is>
          <t>A</t>
        </is>
      </c>
      <c r="FS1407" s="14" t="inlineStr">
        <is>
          <t>VJKG-75</t>
        </is>
      </c>
      <c r="FT1407" t="inlineStr">
        <is>
          <t>VJKG-75</t>
        </is>
      </c>
      <c r="FU1407" t="inlineStr">
        <is>
          <t>VJKG-75</t>
        </is>
      </c>
      <c r="FV1407">
        <f>VLOOKUP(FU1407,FD:FL,9,0)</f>
        <v/>
      </c>
    </row>
    <row r="1408">
      <c r="FC1408" t="inlineStr">
        <is>
          <t>Diccionario 2</t>
        </is>
      </c>
      <c r="FD1408" s="15" t="inlineStr">
        <is>
          <t>VGRC-13</t>
        </is>
      </c>
      <c r="FE1408" s="15" t="inlineStr">
        <is>
          <t>LDYECS830S0045648</t>
        </is>
      </c>
      <c r="FF1408" s="15" t="inlineStr">
        <is>
          <t>MJJ20025010016</t>
        </is>
      </c>
      <c r="FG1408" s="15" t="inlineStr">
        <is>
          <t>Zhong Tong</t>
        </is>
      </c>
      <c r="FH1408" s="15" t="inlineStr">
        <is>
          <t>LCK6850evg</t>
        </is>
      </c>
      <c r="FI1408" s="15" t="inlineStr">
        <is>
          <t>ZHONGTONG</t>
        </is>
      </c>
      <c r="FJ1408" s="15" t="inlineStr">
        <is>
          <t>LCK6850evg</t>
        </is>
      </c>
      <c r="FK1408" s="15" t="n">
        <v>2025</v>
      </c>
      <c r="FL1408" s="15" t="inlineStr">
        <is>
          <t>A</t>
        </is>
      </c>
      <c r="FM1408" s="15" t="inlineStr">
        <is>
          <t>CERRILLOS</t>
        </is>
      </c>
      <c r="FN1408" s="15" t="inlineStr">
        <is>
          <t>Calle Uno 7371</t>
        </is>
      </c>
      <c r="FO1408" s="15" t="inlineStr">
        <is>
          <t>Cerrillos</t>
        </is>
      </c>
      <c r="FP1408" t="inlineStr">
        <is>
          <t>A</t>
        </is>
      </c>
      <c r="FS1408" s="14" t="inlineStr">
        <is>
          <t>SFWZ-31</t>
        </is>
      </c>
      <c r="FT1408" t="inlineStr">
        <is>
          <t>SFWZ-31</t>
        </is>
      </c>
      <c r="FU1408" t="inlineStr">
        <is>
          <t>SFWZ-31</t>
        </is>
      </c>
      <c r="FV1408">
        <f>VLOOKUP(FU1408,FD:FL,9,0)</f>
        <v/>
      </c>
    </row>
    <row r="1409">
      <c r="FC1409" t="inlineStr">
        <is>
          <t>Diccionario 2</t>
        </is>
      </c>
      <c r="FD1409" s="15" t="inlineStr">
        <is>
          <t>VGRC-23</t>
        </is>
      </c>
      <c r="FE1409" s="15" t="inlineStr">
        <is>
          <t>LDYECS838S0045624</t>
        </is>
      </c>
      <c r="FF1409" s="15" t="inlineStr">
        <is>
          <t>MJJ20025010023</t>
        </is>
      </c>
      <c r="FG1409" s="15" t="inlineStr">
        <is>
          <t>Zhong Tong</t>
        </is>
      </c>
      <c r="FH1409" s="15" t="inlineStr">
        <is>
          <t>LCK6850evg</t>
        </is>
      </c>
      <c r="FI1409" s="15" t="inlineStr">
        <is>
          <t>ZHONGTONG</t>
        </is>
      </c>
      <c r="FJ1409" s="15" t="inlineStr">
        <is>
          <t>LCK6850evg</t>
        </is>
      </c>
      <c r="FK1409" s="15" t="n">
        <v>2025</v>
      </c>
      <c r="FL1409" s="15" t="inlineStr">
        <is>
          <t>A</t>
        </is>
      </c>
      <c r="FM1409" s="15" t="inlineStr">
        <is>
          <t>CERRILLOS</t>
        </is>
      </c>
      <c r="FN1409" s="15" t="inlineStr">
        <is>
          <t>Calle Uno 7371</t>
        </is>
      </c>
      <c r="FO1409" s="15" t="inlineStr">
        <is>
          <t>Cerrillos</t>
        </is>
      </c>
      <c r="FP1409" t="inlineStr">
        <is>
          <t>A</t>
        </is>
      </c>
      <c r="FS1409" s="14" t="inlineStr">
        <is>
          <t>VJYH-63</t>
        </is>
      </c>
      <c r="FT1409" t="inlineStr">
        <is>
          <t>VJYH-63</t>
        </is>
      </c>
      <c r="FU1409" t="inlineStr">
        <is>
          <t>VJYH-63</t>
        </is>
      </c>
      <c r="FV1409">
        <f>VLOOKUP(FU1409,FD:FL,9,0)</f>
        <v/>
      </c>
    </row>
    <row r="1410">
      <c r="FC1410" t="inlineStr">
        <is>
          <t>Diccionario 2</t>
        </is>
      </c>
      <c r="FD1410" s="15" t="inlineStr">
        <is>
          <t>VGRC-33</t>
        </is>
      </c>
      <c r="FE1410" s="15" t="inlineStr">
        <is>
          <t>LDYECS835S0045631</t>
        </is>
      </c>
      <c r="FF1410" s="15" t="inlineStr">
        <is>
          <t>MJJ20025010015</t>
        </is>
      </c>
      <c r="FG1410" s="15" t="inlineStr">
        <is>
          <t>Zhong Tong</t>
        </is>
      </c>
      <c r="FH1410" s="15" t="inlineStr">
        <is>
          <t>LCK6850evg</t>
        </is>
      </c>
      <c r="FI1410" s="15" t="inlineStr">
        <is>
          <t>ZHONGTONG</t>
        </is>
      </c>
      <c r="FJ1410" s="15" t="inlineStr">
        <is>
          <t>LCK6850evg</t>
        </is>
      </c>
      <c r="FK1410" s="15" t="n">
        <v>2025</v>
      </c>
      <c r="FL1410" s="15" t="inlineStr">
        <is>
          <t>A</t>
        </is>
      </c>
      <c r="FM1410" s="15" t="inlineStr">
        <is>
          <t>CERRILLOS</t>
        </is>
      </c>
      <c r="FN1410" s="15" t="inlineStr">
        <is>
          <t>Calle Uno 7371</t>
        </is>
      </c>
      <c r="FO1410" s="15" t="inlineStr">
        <is>
          <t>Cerrillos</t>
        </is>
      </c>
      <c r="FP1410" t="inlineStr">
        <is>
          <t>A</t>
        </is>
      </c>
      <c r="FS1410" s="14" t="inlineStr">
        <is>
          <t>VJKF-29</t>
        </is>
      </c>
      <c r="FT1410" t="inlineStr">
        <is>
          <t>VJKF-29</t>
        </is>
      </c>
      <c r="FU1410" t="inlineStr">
        <is>
          <t>VJKF-29</t>
        </is>
      </c>
      <c r="FV1410">
        <f>VLOOKUP(FU1410,FD:FL,9,0)</f>
        <v/>
      </c>
    </row>
    <row r="1411">
      <c r="FC1411" t="inlineStr">
        <is>
          <t>Diccionario 2</t>
        </is>
      </c>
      <c r="FD1411" s="15" t="inlineStr">
        <is>
          <t>VGRC-43</t>
        </is>
      </c>
      <c r="FE1411" s="15" t="inlineStr">
        <is>
          <t>LDYECS83XS0045639</t>
        </is>
      </c>
      <c r="FF1411" s="15" t="inlineStr">
        <is>
          <t>MJJ20025010020</t>
        </is>
      </c>
      <c r="FG1411" s="15" t="inlineStr">
        <is>
          <t>Zhong Tong</t>
        </is>
      </c>
      <c r="FH1411" s="15" t="inlineStr">
        <is>
          <t>LCK6850evg</t>
        </is>
      </c>
      <c r="FI1411" s="15" t="inlineStr">
        <is>
          <t>ZHONGTONG</t>
        </is>
      </c>
      <c r="FJ1411" s="15" t="inlineStr">
        <is>
          <t>LCK6850evg</t>
        </is>
      </c>
      <c r="FK1411" s="15" t="n">
        <v>2025</v>
      </c>
      <c r="FL1411" s="15" t="inlineStr">
        <is>
          <t>A</t>
        </is>
      </c>
      <c r="FM1411" s="15" t="inlineStr">
        <is>
          <t>CERRILLOS</t>
        </is>
      </c>
      <c r="FN1411" s="15" t="inlineStr">
        <is>
          <t>Calle Uno 7371</t>
        </is>
      </c>
      <c r="FO1411" s="15" t="inlineStr">
        <is>
          <t>Cerrillos</t>
        </is>
      </c>
      <c r="FP1411" t="inlineStr">
        <is>
          <t>A</t>
        </is>
      </c>
      <c r="FS1411" s="14" t="inlineStr">
        <is>
          <t>SFWB-77</t>
        </is>
      </c>
      <c r="FT1411" t="inlineStr">
        <is>
          <t>SFWB-77</t>
        </is>
      </c>
      <c r="FU1411" t="inlineStr">
        <is>
          <t>SFWB-77</t>
        </is>
      </c>
      <c r="FV1411">
        <f>VLOOKUP(FU1411,FD:FL,9,0)</f>
        <v/>
      </c>
    </row>
    <row r="1412">
      <c r="FC1412" t="inlineStr">
        <is>
          <t>Diccionario 2</t>
        </is>
      </c>
      <c r="FD1412" s="15" t="inlineStr">
        <is>
          <t>VGRC-53</t>
        </is>
      </c>
      <c r="FE1412" s="15" t="inlineStr">
        <is>
          <t>LDYECS831S0045626</t>
        </is>
      </c>
      <c r="FF1412" s="15" t="inlineStr">
        <is>
          <t>MJJ20025010058</t>
        </is>
      </c>
      <c r="FG1412" s="15" t="inlineStr">
        <is>
          <t>Zhong Tong</t>
        </is>
      </c>
      <c r="FH1412" s="15" t="inlineStr">
        <is>
          <t>LCK6850evg</t>
        </is>
      </c>
      <c r="FI1412" s="15" t="inlineStr">
        <is>
          <t>ZHONGTONG</t>
        </is>
      </c>
      <c r="FJ1412" s="15" t="inlineStr">
        <is>
          <t>LCK6850evg</t>
        </is>
      </c>
      <c r="FK1412" s="15" t="n">
        <v>2025</v>
      </c>
      <c r="FL1412" s="15" t="inlineStr">
        <is>
          <t>A</t>
        </is>
      </c>
      <c r="FM1412" s="15" t="inlineStr">
        <is>
          <t>CERRILLOS</t>
        </is>
      </c>
      <c r="FN1412" s="15" t="inlineStr">
        <is>
          <t>Calle Uno 7371</t>
        </is>
      </c>
      <c r="FO1412" s="15" t="inlineStr">
        <is>
          <t>Cerrillos</t>
        </is>
      </c>
      <c r="FP1412" t="inlineStr">
        <is>
          <t>A</t>
        </is>
      </c>
      <c r="FS1412" s="14" t="inlineStr">
        <is>
          <t>SFWB-44</t>
        </is>
      </c>
      <c r="FT1412" t="inlineStr">
        <is>
          <t>SFWB-44</t>
        </is>
      </c>
      <c r="FU1412" t="inlineStr">
        <is>
          <t>SFWB-44</t>
        </is>
      </c>
      <c r="FV1412">
        <f>VLOOKUP(FU1412,FD:FL,9,0)</f>
        <v/>
      </c>
    </row>
    <row r="1413">
      <c r="FC1413" t="inlineStr">
        <is>
          <t>Diccionario 2</t>
        </is>
      </c>
      <c r="FD1413" s="15" t="inlineStr">
        <is>
          <t>VGRC-73</t>
        </is>
      </c>
      <c r="FE1413" s="15" t="inlineStr">
        <is>
          <t>LDYECS833S0045644</t>
        </is>
      </c>
      <c r="FF1413" s="15" t="inlineStr">
        <is>
          <t>MJJ20025010033</t>
        </is>
      </c>
      <c r="FG1413" s="15" t="inlineStr">
        <is>
          <t>Zhong Tong</t>
        </is>
      </c>
      <c r="FH1413" s="15" t="inlineStr">
        <is>
          <t>LCK6850evg</t>
        </is>
      </c>
      <c r="FI1413" s="15" t="inlineStr">
        <is>
          <t>ZHONGTONG</t>
        </is>
      </c>
      <c r="FJ1413" s="15" t="inlineStr">
        <is>
          <t>LCK6850evg</t>
        </is>
      </c>
      <c r="FK1413" s="15" t="n">
        <v>2025</v>
      </c>
      <c r="FL1413" s="15" t="inlineStr">
        <is>
          <t>A</t>
        </is>
      </c>
      <c r="FM1413" s="15" t="inlineStr">
        <is>
          <t>CERRILLOS</t>
        </is>
      </c>
      <c r="FN1413" s="15" t="inlineStr">
        <is>
          <t>Calle Uno 7371</t>
        </is>
      </c>
      <c r="FO1413" s="15" t="inlineStr">
        <is>
          <t>Cerrillos</t>
        </is>
      </c>
      <c r="FP1413" t="inlineStr">
        <is>
          <t>A</t>
        </is>
      </c>
      <c r="FS1413" s="14" t="inlineStr">
        <is>
          <t>3025 / SFVZ-44|</t>
        </is>
      </c>
      <c r="FT1413" t="inlineStr">
        <is>
          <t>SFVZ-44|</t>
        </is>
      </c>
      <c r="FU1413" t="inlineStr">
        <is>
          <t>SFVZ-44</t>
        </is>
      </c>
      <c r="FV1413">
        <f>VLOOKUP(FU1413,FD:FL,9,0)</f>
        <v/>
      </c>
    </row>
    <row r="1414">
      <c r="FC1414" t="inlineStr">
        <is>
          <t>Diccionario 2</t>
        </is>
      </c>
      <c r="FD1414" s="15" t="inlineStr">
        <is>
          <t>VGRC-83</t>
        </is>
      </c>
      <c r="FE1414" s="15" t="inlineStr">
        <is>
          <t>LDYECS837S0045646</t>
        </is>
      </c>
      <c r="FF1414" s="15" t="inlineStr">
        <is>
          <t>MJJ20025010007</t>
        </is>
      </c>
      <c r="FG1414" s="15" t="inlineStr">
        <is>
          <t>Zhong Tong</t>
        </is>
      </c>
      <c r="FH1414" s="15" t="inlineStr">
        <is>
          <t>LCK6850evg</t>
        </is>
      </c>
      <c r="FI1414" s="15" t="inlineStr">
        <is>
          <t>ZHONGTONG</t>
        </is>
      </c>
      <c r="FJ1414" s="15" t="inlineStr">
        <is>
          <t>LCK6850evg</t>
        </is>
      </c>
      <c r="FK1414" s="15" t="n">
        <v>2025</v>
      </c>
      <c r="FL1414" s="15" t="inlineStr">
        <is>
          <t>A</t>
        </is>
      </c>
      <c r="FM1414" s="15" t="inlineStr">
        <is>
          <t>CERRILLOS</t>
        </is>
      </c>
      <c r="FN1414" s="15" t="inlineStr">
        <is>
          <t>Calle Uno 7371</t>
        </is>
      </c>
      <c r="FO1414" s="15" t="inlineStr">
        <is>
          <t>Cerrillos</t>
        </is>
      </c>
      <c r="FP1414" t="inlineStr">
        <is>
          <t>A</t>
        </is>
      </c>
      <c r="FS1414" s="14" t="inlineStr">
        <is>
          <t>VJZB-77|</t>
        </is>
      </c>
      <c r="FT1414" t="inlineStr">
        <is>
          <t>VJZB-77|</t>
        </is>
      </c>
      <c r="FU1414" t="inlineStr">
        <is>
          <t>VJZB-77</t>
        </is>
      </c>
      <c r="FV1414">
        <f>VLOOKUP(FU1414,FD:FL,9,0)</f>
        <v/>
      </c>
    </row>
    <row r="1415">
      <c r="FC1415" t="inlineStr">
        <is>
          <t>Diccionario 2</t>
        </is>
      </c>
      <c r="FD1415" s="15" t="inlineStr">
        <is>
          <t>VGRC-93</t>
        </is>
      </c>
      <c r="FE1415" s="15" t="inlineStr">
        <is>
          <t>LDYECS836S0045640</t>
        </is>
      </c>
      <c r="FF1415" s="15" t="inlineStr">
        <is>
          <t>MJJ20025010019</t>
        </is>
      </c>
      <c r="FG1415" s="15" t="inlineStr">
        <is>
          <t>Zhong Tong</t>
        </is>
      </c>
      <c r="FH1415" s="15" t="inlineStr">
        <is>
          <t>LCK6850evg</t>
        </is>
      </c>
      <c r="FI1415" s="15" t="inlineStr">
        <is>
          <t>ZHONGTONG</t>
        </is>
      </c>
      <c r="FJ1415" s="15" t="inlineStr">
        <is>
          <t>LCK6850evg</t>
        </is>
      </c>
      <c r="FK1415" s="15" t="n">
        <v>2025</v>
      </c>
      <c r="FL1415" s="15" t="inlineStr">
        <is>
          <t>A</t>
        </is>
      </c>
      <c r="FM1415" s="15" t="inlineStr">
        <is>
          <t>CERRILLOS</t>
        </is>
      </c>
      <c r="FN1415" s="15" t="inlineStr">
        <is>
          <t>Calle Uno 7371</t>
        </is>
      </c>
      <c r="FO1415" s="15" t="inlineStr">
        <is>
          <t>Cerrillos</t>
        </is>
      </c>
      <c r="FP1415" t="inlineStr">
        <is>
          <t>A</t>
        </is>
      </c>
      <c r="FS1415" s="14" t="inlineStr">
        <is>
          <t>LXWT-94|</t>
        </is>
      </c>
      <c r="FT1415" t="inlineStr">
        <is>
          <t>LXWT-94|</t>
        </is>
      </c>
      <c r="FU1415" t="inlineStr">
        <is>
          <t>LXWT-94</t>
        </is>
      </c>
      <c r="FV1415">
        <f>VLOOKUP(FU1415,FD:FL,9,0)</f>
        <v/>
      </c>
    </row>
    <row r="1416">
      <c r="FC1416" t="inlineStr">
        <is>
          <t>Diccionario 2</t>
        </is>
      </c>
      <c r="FD1416" s="15" t="inlineStr">
        <is>
          <t>VGRD-25</t>
        </is>
      </c>
      <c r="FE1416" s="15" t="inlineStr">
        <is>
          <t>LDYECS83XS0045625</t>
        </is>
      </c>
      <c r="FF1416" s="15" t="inlineStr">
        <is>
          <t>MJJ20025010014</t>
        </is>
      </c>
      <c r="FG1416" s="15" t="inlineStr">
        <is>
          <t>Zhong Tong</t>
        </is>
      </c>
      <c r="FH1416" s="15" t="inlineStr">
        <is>
          <t>LCK6850evg</t>
        </is>
      </c>
      <c r="FI1416" s="15" t="inlineStr">
        <is>
          <t>ZHONGTONG</t>
        </is>
      </c>
      <c r="FJ1416" s="15" t="inlineStr">
        <is>
          <t>LCK6850evg</t>
        </is>
      </c>
      <c r="FK1416" s="15" t="n">
        <v>2025</v>
      </c>
      <c r="FL1416" s="15" t="inlineStr">
        <is>
          <t>A</t>
        </is>
      </c>
      <c r="FM1416" s="15" t="inlineStr">
        <is>
          <t>CERRILLOS</t>
        </is>
      </c>
      <c r="FN1416" s="15" t="inlineStr">
        <is>
          <t>Calle Uno 7371</t>
        </is>
      </c>
      <c r="FO1416" s="15" t="inlineStr">
        <is>
          <t>Cerrillos</t>
        </is>
      </c>
      <c r="FP1416" t="inlineStr">
        <is>
          <t>A</t>
        </is>
      </c>
      <c r="FS1416" s="14" t="inlineStr">
        <is>
          <t>LZRB-82|</t>
        </is>
      </c>
      <c r="FT1416" t="inlineStr">
        <is>
          <t>LZRB-82|</t>
        </is>
      </c>
      <c r="FU1416" t="inlineStr">
        <is>
          <t>LZRB-82</t>
        </is>
      </c>
      <c r="FV1416">
        <f>VLOOKUP(FU1416,FD:FL,9,0)</f>
        <v/>
      </c>
    </row>
    <row r="1417">
      <c r="FC1417" t="inlineStr">
        <is>
          <t>Diccionario 2</t>
        </is>
      </c>
      <c r="FD1417" s="15" t="inlineStr">
        <is>
          <t>VGRD-35</t>
        </is>
      </c>
      <c r="FE1417" s="15" t="inlineStr">
        <is>
          <t>LDYECS832S0045599</t>
        </is>
      </c>
      <c r="FF1417" s="15" t="inlineStr">
        <is>
          <t>MJJ20025010048</t>
        </is>
      </c>
      <c r="FG1417" s="15" t="inlineStr">
        <is>
          <t>Zhong Tong</t>
        </is>
      </c>
      <c r="FH1417" s="15" t="inlineStr">
        <is>
          <t>LCK6850evg</t>
        </is>
      </c>
      <c r="FI1417" s="15" t="inlineStr">
        <is>
          <t>ZHONGTONG</t>
        </is>
      </c>
      <c r="FJ1417" s="15" t="inlineStr">
        <is>
          <t>LCK6850evg</t>
        </is>
      </c>
      <c r="FK1417" s="15" t="n">
        <v>2025</v>
      </c>
      <c r="FL1417" s="15" t="inlineStr">
        <is>
          <t>A</t>
        </is>
      </c>
      <c r="FM1417" s="15" t="inlineStr">
        <is>
          <t>CERRILLOS</t>
        </is>
      </c>
      <c r="FN1417" s="15" t="inlineStr">
        <is>
          <t>Calle Uno 7371</t>
        </is>
      </c>
      <c r="FO1417" s="15" t="inlineStr">
        <is>
          <t>Cerrillos</t>
        </is>
      </c>
      <c r="FP1417" t="inlineStr">
        <is>
          <t>A</t>
        </is>
      </c>
      <c r="FS1417" s="14" t="inlineStr">
        <is>
          <t>3052 / SFVZ-86|</t>
        </is>
      </c>
      <c r="FT1417" t="inlineStr">
        <is>
          <t>SFVZ-86|</t>
        </is>
      </c>
      <c r="FU1417" t="inlineStr">
        <is>
          <t>SFVZ-86</t>
        </is>
      </c>
      <c r="FV1417">
        <f>VLOOKUP(FU1417,FD:FL,9,0)</f>
        <v/>
      </c>
    </row>
    <row r="1418">
      <c r="FC1418" t="inlineStr">
        <is>
          <t>Diccionario 2</t>
        </is>
      </c>
      <c r="FD1418" s="15" t="inlineStr">
        <is>
          <t>VGRD-55</t>
        </is>
      </c>
      <c r="FE1418" s="15" t="inlineStr">
        <is>
          <t>LDYECS836S0045602</t>
        </is>
      </c>
      <c r="FF1418" s="15" t="inlineStr">
        <is>
          <t>MJJ20025010046</t>
        </is>
      </c>
      <c r="FG1418" s="15" t="inlineStr">
        <is>
          <t>Zhong Tong</t>
        </is>
      </c>
      <c r="FH1418" s="15" t="inlineStr">
        <is>
          <t>LCK6850evg</t>
        </is>
      </c>
      <c r="FI1418" s="15" t="inlineStr">
        <is>
          <t>ZHONGTONG</t>
        </is>
      </c>
      <c r="FJ1418" s="15" t="inlineStr">
        <is>
          <t>LCK6850evg</t>
        </is>
      </c>
      <c r="FK1418" s="15" t="n">
        <v>2025</v>
      </c>
      <c r="FL1418" s="15" t="inlineStr">
        <is>
          <t>A</t>
        </is>
      </c>
      <c r="FM1418" s="15" t="inlineStr">
        <is>
          <t>CERRILLOS</t>
        </is>
      </c>
      <c r="FN1418" s="15" t="inlineStr">
        <is>
          <t>Calle Uno 7371</t>
        </is>
      </c>
      <c r="FO1418" s="15" t="inlineStr">
        <is>
          <t>Cerrillos</t>
        </is>
      </c>
      <c r="FP1418" t="inlineStr">
        <is>
          <t>A</t>
        </is>
      </c>
      <c r="FS1418" s="14" t="inlineStr">
        <is>
          <t>VJWZ-74|</t>
        </is>
      </c>
      <c r="FT1418" t="inlineStr">
        <is>
          <t>VJWZ-74|</t>
        </is>
      </c>
      <c r="FU1418" t="inlineStr">
        <is>
          <t>VJWZ-74</t>
        </is>
      </c>
      <c r="FV1418">
        <f>VLOOKUP(FU1418,FD:FL,9,0)</f>
        <v/>
      </c>
    </row>
    <row r="1419">
      <c r="FC1419" t="inlineStr">
        <is>
          <t>Diccionario 2</t>
        </is>
      </c>
      <c r="FD1419" s="15" t="inlineStr">
        <is>
          <t>VGRF-45</t>
        </is>
      </c>
      <c r="FE1419" s="15" t="inlineStr">
        <is>
          <t>LDYECS837S0045629</t>
        </is>
      </c>
      <c r="FF1419" s="15" t="inlineStr">
        <is>
          <t>MJJ20025010011</t>
        </is>
      </c>
      <c r="FG1419" s="15" t="inlineStr">
        <is>
          <t>Zhong Tong</t>
        </is>
      </c>
      <c r="FH1419" s="15" t="inlineStr">
        <is>
          <t>LCK6850evg</t>
        </is>
      </c>
      <c r="FI1419" s="15" t="inlineStr">
        <is>
          <t>ZHONGTONG</t>
        </is>
      </c>
      <c r="FJ1419" s="15" t="inlineStr">
        <is>
          <t>LCK6850evg</t>
        </is>
      </c>
      <c r="FK1419" s="15" t="n">
        <v>2025</v>
      </c>
      <c r="FL1419" s="15" t="inlineStr">
        <is>
          <t>A</t>
        </is>
      </c>
      <c r="FM1419" s="15" t="inlineStr">
        <is>
          <t>CERRILLOS</t>
        </is>
      </c>
      <c r="FN1419" s="15" t="inlineStr">
        <is>
          <t>Calle Uno 7371</t>
        </is>
      </c>
      <c r="FO1419" s="15" t="inlineStr">
        <is>
          <t>Cerrillos</t>
        </is>
      </c>
      <c r="FP1419" t="inlineStr">
        <is>
          <t>A</t>
        </is>
      </c>
      <c r="FS1419" s="14" t="inlineStr">
        <is>
          <t>VJKD-85|</t>
        </is>
      </c>
      <c r="FT1419" t="inlineStr">
        <is>
          <t>VJKD-85|</t>
        </is>
      </c>
      <c r="FU1419" t="inlineStr">
        <is>
          <t>VJKD-85</t>
        </is>
      </c>
      <c r="FV1419">
        <f>VLOOKUP(FU1419,FD:FL,9,0)</f>
        <v/>
      </c>
    </row>
    <row r="1420">
      <c r="FC1420" t="inlineStr">
        <is>
          <t>Diccionario 2</t>
        </is>
      </c>
      <c r="FD1420" s="15" t="inlineStr">
        <is>
          <t>VGRF-55</t>
        </is>
      </c>
      <c r="FE1420" s="15" t="inlineStr">
        <is>
          <t>LDYECS839S0045616</t>
        </is>
      </c>
      <c r="FF1420" s="15" t="inlineStr">
        <is>
          <t>MJJ20025010037</t>
        </is>
      </c>
      <c r="FG1420" s="15" t="inlineStr">
        <is>
          <t>Zhong Tong</t>
        </is>
      </c>
      <c r="FH1420" s="15" t="inlineStr">
        <is>
          <t>LCK6850evg</t>
        </is>
      </c>
      <c r="FI1420" s="15" t="inlineStr">
        <is>
          <t>ZHONGTONG</t>
        </is>
      </c>
      <c r="FJ1420" s="15" t="inlineStr">
        <is>
          <t>LCK6850evg</t>
        </is>
      </c>
      <c r="FK1420" s="15" t="n">
        <v>2025</v>
      </c>
      <c r="FL1420" s="15" t="inlineStr">
        <is>
          <t>A</t>
        </is>
      </c>
      <c r="FM1420" s="15" t="inlineStr">
        <is>
          <t>CERRILLOS</t>
        </is>
      </c>
      <c r="FN1420" s="15" t="inlineStr">
        <is>
          <t>Calle Uno 7371</t>
        </is>
      </c>
      <c r="FO1420" s="15" t="inlineStr">
        <is>
          <t>Cerrillos</t>
        </is>
      </c>
      <c r="FP1420" t="inlineStr">
        <is>
          <t>A</t>
        </is>
      </c>
      <c r="FS1420" s="14" t="inlineStr">
        <is>
          <t>3016 / SFWB-28|</t>
        </is>
      </c>
      <c r="FT1420" t="inlineStr">
        <is>
          <t>SFWB-28|</t>
        </is>
      </c>
      <c r="FU1420" t="inlineStr">
        <is>
          <t>SFWB-28</t>
        </is>
      </c>
      <c r="FV1420">
        <f>VLOOKUP(FU1420,FD:FL,9,0)</f>
        <v/>
      </c>
    </row>
    <row r="1421">
      <c r="FC1421" t="inlineStr">
        <is>
          <t>Diccionario 2</t>
        </is>
      </c>
      <c r="FD1421" s="15" t="inlineStr">
        <is>
          <t>VGRF-65</t>
        </is>
      </c>
      <c r="FE1421" s="15" t="inlineStr">
        <is>
          <t>LDYECS838S0045610</t>
        </is>
      </c>
      <c r="FF1421" s="15" t="inlineStr">
        <is>
          <t>MJJ20025030024</t>
        </is>
      </c>
      <c r="FG1421" s="15" t="inlineStr">
        <is>
          <t>Zhong Tong</t>
        </is>
      </c>
      <c r="FH1421" s="15" t="inlineStr">
        <is>
          <t>LCK6850evg</t>
        </is>
      </c>
      <c r="FI1421" s="15" t="inlineStr">
        <is>
          <t>ZHONGTONG</t>
        </is>
      </c>
      <c r="FJ1421" s="15" t="inlineStr">
        <is>
          <t>LCK6850evg</t>
        </is>
      </c>
      <c r="FK1421" s="15" t="n">
        <v>2025</v>
      </c>
      <c r="FL1421" s="15" t="inlineStr">
        <is>
          <t>A</t>
        </is>
      </c>
      <c r="FM1421" s="15" t="inlineStr">
        <is>
          <t>CERRILLOS</t>
        </is>
      </c>
      <c r="FN1421" s="15" t="inlineStr">
        <is>
          <t>Calle Uno 7371</t>
        </is>
      </c>
      <c r="FO1421" s="15" t="inlineStr">
        <is>
          <t>Cerrillos</t>
        </is>
      </c>
      <c r="FP1421" t="inlineStr">
        <is>
          <t>A</t>
        </is>
      </c>
      <c r="FS1421" s="14" t="inlineStr">
        <is>
          <t>VJKG-36|</t>
        </is>
      </c>
      <c r="FT1421" t="inlineStr">
        <is>
          <t>VJKG-36|</t>
        </is>
      </c>
      <c r="FU1421" t="inlineStr">
        <is>
          <t>VJKG-36</t>
        </is>
      </c>
      <c r="FV1421">
        <f>VLOOKUP(FU1421,FD:FL,9,0)</f>
        <v/>
      </c>
    </row>
    <row r="1422">
      <c r="FC1422" t="inlineStr">
        <is>
          <t>Diccionario 2</t>
        </is>
      </c>
      <c r="FD1422" s="15" t="inlineStr">
        <is>
          <t>VGRF-75</t>
        </is>
      </c>
      <c r="FE1422" s="15" t="inlineStr">
        <is>
          <t>LDYECS830S0045620</t>
        </is>
      </c>
      <c r="FF1422" s="15" t="inlineStr">
        <is>
          <t>MJJ20025010025</t>
        </is>
      </c>
      <c r="FG1422" s="15" t="inlineStr">
        <is>
          <t>Zhong Tong</t>
        </is>
      </c>
      <c r="FH1422" s="15" t="inlineStr">
        <is>
          <t>LCK6850evg</t>
        </is>
      </c>
      <c r="FI1422" s="15" t="inlineStr">
        <is>
          <t>ZHONGTONG</t>
        </is>
      </c>
      <c r="FJ1422" s="15" t="inlineStr">
        <is>
          <t>LCK6850evg</t>
        </is>
      </c>
      <c r="FK1422" s="15" t="n">
        <v>2025</v>
      </c>
      <c r="FL1422" s="15" t="inlineStr">
        <is>
          <t>A</t>
        </is>
      </c>
      <c r="FM1422" s="15" t="inlineStr">
        <is>
          <t>CERRILLOS</t>
        </is>
      </c>
      <c r="FN1422" s="15" t="inlineStr">
        <is>
          <t>Calle Uno 7371</t>
        </is>
      </c>
      <c r="FO1422" s="15" t="inlineStr">
        <is>
          <t>Cerrillos</t>
        </is>
      </c>
      <c r="FP1422" t="inlineStr">
        <is>
          <t>A</t>
        </is>
      </c>
      <c r="FS1422" s="14" t="inlineStr">
        <is>
          <t>3044 / SFVZ-67|</t>
        </is>
      </c>
      <c r="FT1422" t="inlineStr">
        <is>
          <t>SFVZ-67|</t>
        </is>
      </c>
      <c r="FU1422" t="inlineStr">
        <is>
          <t>SFVZ-67</t>
        </is>
      </c>
      <c r="FV1422">
        <f>VLOOKUP(FU1422,FD:FL,9,0)</f>
        <v/>
      </c>
    </row>
    <row r="1423">
      <c r="FC1423" t="inlineStr">
        <is>
          <t>Diccionario 2</t>
        </is>
      </c>
      <c r="FD1423" s="15" t="inlineStr">
        <is>
          <t>VGRF-84</t>
        </is>
      </c>
      <c r="FE1423" s="15" t="inlineStr">
        <is>
          <t>LDYECS832S0045618</t>
        </is>
      </c>
      <c r="FF1423" s="15" t="inlineStr">
        <is>
          <t>MJJ20025010030</t>
        </is>
      </c>
      <c r="FG1423" s="15" t="inlineStr">
        <is>
          <t>Zhong Tong</t>
        </is>
      </c>
      <c r="FH1423" s="15" t="inlineStr">
        <is>
          <t>LCK6850evg</t>
        </is>
      </c>
      <c r="FI1423" s="15" t="inlineStr">
        <is>
          <t>ZHONGTONG</t>
        </is>
      </c>
      <c r="FJ1423" s="15" t="inlineStr">
        <is>
          <t>LCK6850evg</t>
        </is>
      </c>
      <c r="FK1423" s="15" t="n">
        <v>2025</v>
      </c>
      <c r="FL1423" s="15" t="inlineStr">
        <is>
          <t>A</t>
        </is>
      </c>
      <c r="FM1423" s="15" t="inlineStr">
        <is>
          <t>CERRILLOS</t>
        </is>
      </c>
      <c r="FN1423" s="15" t="inlineStr">
        <is>
          <t>Calle Uno 7371</t>
        </is>
      </c>
      <c r="FO1423" s="15" t="inlineStr">
        <is>
          <t>Cerrillos</t>
        </is>
      </c>
      <c r="FP1423" t="inlineStr">
        <is>
          <t>A</t>
        </is>
      </c>
      <c r="FS1423" s="14" t="inlineStr">
        <is>
          <t>VJKY-58|</t>
        </is>
      </c>
      <c r="FT1423" t="inlineStr">
        <is>
          <t>VJKY-58|</t>
        </is>
      </c>
      <c r="FU1423" t="inlineStr">
        <is>
          <t>VJKY-58</t>
        </is>
      </c>
      <c r="FV1423">
        <f>VLOOKUP(FU1423,FD:FL,9,0)</f>
        <v/>
      </c>
    </row>
    <row r="1424">
      <c r="FC1424" t="inlineStr">
        <is>
          <t>Diccionario 2</t>
        </is>
      </c>
      <c r="FD1424" s="15" t="inlineStr">
        <is>
          <t>VGRF-85</t>
        </is>
      </c>
      <c r="FE1424" s="15" t="inlineStr">
        <is>
          <t>LDYECS831S0045609</t>
        </is>
      </c>
      <c r="FF1424" s="15" t="inlineStr">
        <is>
          <t>MJJ20025010029</t>
        </is>
      </c>
      <c r="FG1424" s="15" t="inlineStr">
        <is>
          <t>Zhong Tong</t>
        </is>
      </c>
      <c r="FH1424" s="15" t="inlineStr">
        <is>
          <t>LCK6850evg</t>
        </is>
      </c>
      <c r="FI1424" s="15" t="inlineStr">
        <is>
          <t>ZHONGTONG</t>
        </is>
      </c>
      <c r="FJ1424" s="15" t="inlineStr">
        <is>
          <t>LCK6850evg</t>
        </is>
      </c>
      <c r="FK1424" s="15" t="n">
        <v>2025</v>
      </c>
      <c r="FL1424" s="15" t="inlineStr">
        <is>
          <t>A</t>
        </is>
      </c>
      <c r="FM1424" s="15" t="inlineStr">
        <is>
          <t>CERRILLOS</t>
        </is>
      </c>
      <c r="FN1424" s="15" t="inlineStr">
        <is>
          <t>Calle Uno 7371</t>
        </is>
      </c>
      <c r="FO1424" s="15" t="inlineStr">
        <is>
          <t>Cerrillos</t>
        </is>
      </c>
      <c r="FP1424" t="inlineStr">
        <is>
          <t>A</t>
        </is>
      </c>
      <c r="FS1424" s="14" t="inlineStr">
        <is>
          <t>3080 / SFWZ-65|</t>
        </is>
      </c>
      <c r="FT1424" t="inlineStr">
        <is>
          <t>SFWZ-65|</t>
        </is>
      </c>
      <c r="FU1424" t="inlineStr">
        <is>
          <t>SFWZ-65</t>
        </is>
      </c>
      <c r="FV1424">
        <f>VLOOKUP(FU1424,FD:FL,9,0)</f>
        <v/>
      </c>
    </row>
    <row r="1425">
      <c r="FC1425" t="inlineStr">
        <is>
          <t>Diccionario 2</t>
        </is>
      </c>
      <c r="FD1425" s="15" t="inlineStr">
        <is>
          <t>VGRF-94</t>
        </is>
      </c>
      <c r="FE1425" s="15" t="inlineStr">
        <is>
          <t>LDYECS830S0045634</t>
        </is>
      </c>
      <c r="FF1425" s="15" t="inlineStr">
        <is>
          <t>MJJ20025010004</t>
        </is>
      </c>
      <c r="FG1425" s="15" t="inlineStr">
        <is>
          <t>Zhong Tong</t>
        </is>
      </c>
      <c r="FH1425" s="15" t="inlineStr">
        <is>
          <t>LCK6850evg</t>
        </is>
      </c>
      <c r="FI1425" s="15" t="inlineStr">
        <is>
          <t>ZHONGTONG</t>
        </is>
      </c>
      <c r="FJ1425" s="15" t="inlineStr">
        <is>
          <t>LCK6850evg</t>
        </is>
      </c>
      <c r="FK1425" s="15" t="n">
        <v>2025</v>
      </c>
      <c r="FL1425" s="15" t="inlineStr">
        <is>
          <t>A</t>
        </is>
      </c>
      <c r="FM1425" s="15" t="inlineStr">
        <is>
          <t>CERRILLOS</t>
        </is>
      </c>
      <c r="FN1425" s="15" t="inlineStr">
        <is>
          <t>Calle Uno 7371</t>
        </is>
      </c>
      <c r="FO1425" s="15" t="inlineStr">
        <is>
          <t>Cerrillos</t>
        </is>
      </c>
      <c r="FP1425" t="inlineStr">
        <is>
          <t>A</t>
        </is>
      </c>
      <c r="FS1425" s="14" t="inlineStr">
        <is>
          <t>3064 / SFWZ-61|</t>
        </is>
      </c>
      <c r="FT1425" t="inlineStr">
        <is>
          <t>SFWZ-61|</t>
        </is>
      </c>
      <c r="FU1425" t="inlineStr">
        <is>
          <t>SFWZ-61</t>
        </is>
      </c>
      <c r="FV1425">
        <f>VLOOKUP(FU1425,FD:FL,9,0)</f>
        <v/>
      </c>
    </row>
    <row r="1426">
      <c r="FC1426" t="inlineStr">
        <is>
          <t>Diccionario 2</t>
        </is>
      </c>
      <c r="FD1426" s="15" t="inlineStr">
        <is>
          <t>VGRG-14</t>
        </is>
      </c>
      <c r="FE1426" s="15" t="inlineStr">
        <is>
          <t>LDYECS834S0045622</t>
        </is>
      </c>
      <c r="FF1426" s="15" t="inlineStr">
        <is>
          <t>MJJ20025030025</t>
        </is>
      </c>
      <c r="FG1426" s="15" t="inlineStr">
        <is>
          <t>Zhong Tong</t>
        </is>
      </c>
      <c r="FH1426" s="15" t="inlineStr">
        <is>
          <t>LCK6850evg</t>
        </is>
      </c>
      <c r="FI1426" s="15" t="inlineStr">
        <is>
          <t>ZHONGTONG</t>
        </is>
      </c>
      <c r="FJ1426" s="15" t="inlineStr">
        <is>
          <t>LCK6850evg</t>
        </is>
      </c>
      <c r="FK1426" s="15" t="n">
        <v>2025</v>
      </c>
      <c r="FL1426" s="15" t="inlineStr">
        <is>
          <t>A</t>
        </is>
      </c>
      <c r="FM1426" s="15" t="inlineStr">
        <is>
          <t>CERRILLOS</t>
        </is>
      </c>
      <c r="FN1426" s="15" t="inlineStr">
        <is>
          <t>Calle Uno 7371</t>
        </is>
      </c>
      <c r="FO1426" s="15" t="inlineStr">
        <is>
          <t>Cerrillos</t>
        </is>
      </c>
      <c r="FP1426" t="inlineStr">
        <is>
          <t>A</t>
        </is>
      </c>
      <c r="FS1426" s="14" t="inlineStr">
        <is>
          <t>3031 / SFWZ-33|</t>
        </is>
      </c>
      <c r="FT1426" t="inlineStr">
        <is>
          <t>SFWZ-33|</t>
        </is>
      </c>
      <c r="FU1426" t="inlineStr">
        <is>
          <t>SFWZ-33</t>
        </is>
      </c>
      <c r="FV1426">
        <f>VLOOKUP(FU1426,FD:FL,9,0)</f>
        <v/>
      </c>
    </row>
    <row r="1427">
      <c r="FC1427" t="inlineStr">
        <is>
          <t>Diccionario 2</t>
        </is>
      </c>
      <c r="FD1427" s="15" t="inlineStr">
        <is>
          <t>VGRG-24</t>
        </is>
      </c>
      <c r="FE1427" s="15" t="inlineStr">
        <is>
          <t>LDYECS831S0045612</t>
        </is>
      </c>
      <c r="FF1427" s="15" t="inlineStr">
        <is>
          <t>MJJ20025010043</t>
        </is>
      </c>
      <c r="FG1427" s="15" t="inlineStr">
        <is>
          <t>Zhong Tong</t>
        </is>
      </c>
      <c r="FH1427" s="15" t="inlineStr">
        <is>
          <t>LCK6850evg</t>
        </is>
      </c>
      <c r="FI1427" s="15" t="inlineStr">
        <is>
          <t>ZHONGTONG</t>
        </is>
      </c>
      <c r="FJ1427" s="15" t="inlineStr">
        <is>
          <t>LCK6850evg</t>
        </is>
      </c>
      <c r="FK1427" s="15" t="n">
        <v>2025</v>
      </c>
      <c r="FL1427" s="15" t="inlineStr">
        <is>
          <t>A</t>
        </is>
      </c>
      <c r="FM1427" s="15" t="inlineStr">
        <is>
          <t>CERRILLOS</t>
        </is>
      </c>
      <c r="FN1427" s="15" t="inlineStr">
        <is>
          <t>Calle Uno 7371</t>
        </is>
      </c>
      <c r="FO1427" s="15" t="inlineStr">
        <is>
          <t>Cerrillos</t>
        </is>
      </c>
      <c r="FP1427" t="inlineStr">
        <is>
          <t>A</t>
        </is>
      </c>
      <c r="FS1427" s="14" t="inlineStr">
        <is>
          <t>VJKG-75|</t>
        </is>
      </c>
      <c r="FT1427" t="inlineStr">
        <is>
          <t>VJKG-75|</t>
        </is>
      </c>
      <c r="FU1427" t="inlineStr">
        <is>
          <t>VJKG-75</t>
        </is>
      </c>
      <c r="FV1427">
        <f>VLOOKUP(FU1427,FD:FL,9,0)</f>
        <v/>
      </c>
    </row>
    <row r="1428">
      <c r="FC1428" t="inlineStr">
        <is>
          <t>Diccionario 2</t>
        </is>
      </c>
      <c r="FD1428" s="15" t="inlineStr">
        <is>
          <t>VGRG-34</t>
        </is>
      </c>
      <c r="FE1428" s="15" t="inlineStr">
        <is>
          <t>LDYECS834S0045619</t>
        </is>
      </c>
      <c r="FF1428" s="15" t="inlineStr">
        <is>
          <t>MJJ2002503018</t>
        </is>
      </c>
      <c r="FG1428" s="15" t="inlineStr">
        <is>
          <t>Zhong Tong</t>
        </is>
      </c>
      <c r="FH1428" s="15" t="inlineStr">
        <is>
          <t>LCK6850evg</t>
        </is>
      </c>
      <c r="FI1428" s="15" t="inlineStr">
        <is>
          <t>ZHONGTONG</t>
        </is>
      </c>
      <c r="FJ1428" s="15" t="inlineStr">
        <is>
          <t>LCK6850evg</t>
        </is>
      </c>
      <c r="FK1428" s="15" t="n">
        <v>2025</v>
      </c>
      <c r="FL1428" s="15" t="inlineStr">
        <is>
          <t>A</t>
        </is>
      </c>
      <c r="FM1428" s="15" t="inlineStr">
        <is>
          <t>CERRILLOS</t>
        </is>
      </c>
      <c r="FN1428" s="15" t="inlineStr">
        <is>
          <t>Calle Uno 7371</t>
        </is>
      </c>
      <c r="FO1428" s="15" t="inlineStr">
        <is>
          <t>Cerrillos</t>
        </is>
      </c>
      <c r="FP1428" t="inlineStr">
        <is>
          <t>A</t>
        </is>
      </c>
      <c r="FS1428" s="14" t="inlineStr">
        <is>
          <t>VJKG-16|</t>
        </is>
      </c>
      <c r="FT1428" t="inlineStr">
        <is>
          <t>VJKG-16|</t>
        </is>
      </c>
      <c r="FU1428" t="inlineStr">
        <is>
          <t>VJKG-16</t>
        </is>
      </c>
      <c r="FV1428">
        <f>VLOOKUP(FU1428,FD:FL,9,0)</f>
        <v/>
      </c>
    </row>
    <row r="1429">
      <c r="FC1429" t="inlineStr">
        <is>
          <t>Diccionario 2</t>
        </is>
      </c>
      <c r="FD1429" s="15" t="inlineStr">
        <is>
          <t>VGRG-44</t>
        </is>
      </c>
      <c r="FE1429" s="15" t="inlineStr">
        <is>
          <t>LDYECS83XS0045608</t>
        </is>
      </c>
      <c r="FF1429" s="15" t="inlineStr">
        <is>
          <t>MJJ20025030023</t>
        </is>
      </c>
      <c r="FG1429" s="15" t="inlineStr">
        <is>
          <t>Zhong Tong</t>
        </is>
      </c>
      <c r="FH1429" s="15" t="inlineStr">
        <is>
          <t>LCK6850evg</t>
        </is>
      </c>
      <c r="FI1429" s="15" t="inlineStr">
        <is>
          <t>ZHONGTONG</t>
        </is>
      </c>
      <c r="FJ1429" s="15" t="inlineStr">
        <is>
          <t>LCK6850evg</t>
        </is>
      </c>
      <c r="FK1429" s="15" t="n">
        <v>2025</v>
      </c>
      <c r="FL1429" s="15" t="inlineStr">
        <is>
          <t>A</t>
        </is>
      </c>
      <c r="FM1429" s="15" t="inlineStr">
        <is>
          <t>CERRILLOS</t>
        </is>
      </c>
      <c r="FN1429" s="15" t="inlineStr">
        <is>
          <t>Calle Uno 7371</t>
        </is>
      </c>
      <c r="FO1429" s="15" t="inlineStr">
        <is>
          <t>Cerrillos</t>
        </is>
      </c>
      <c r="FP1429" t="inlineStr">
        <is>
          <t>A</t>
        </is>
      </c>
      <c r="FS1429" s="14" t="inlineStr">
        <is>
          <t>VJYH-63|</t>
        </is>
      </c>
      <c r="FT1429" t="inlineStr">
        <is>
          <t>VJYH-63|</t>
        </is>
      </c>
      <c r="FU1429" t="inlineStr">
        <is>
          <t>VJYH-63</t>
        </is>
      </c>
      <c r="FV1429">
        <f>VLOOKUP(FU1429,FD:FL,9,0)</f>
        <v/>
      </c>
    </row>
    <row r="1430">
      <c r="FC1430" t="inlineStr">
        <is>
          <t>Diccionario 2</t>
        </is>
      </c>
      <c r="FD1430" s="15" t="inlineStr">
        <is>
          <t>VGRG-45</t>
        </is>
      </c>
      <c r="FE1430" s="15" t="inlineStr">
        <is>
          <t>LDYECS832S0045649</t>
        </is>
      </c>
      <c r="FF1430" s="15" t="inlineStr">
        <is>
          <t>MJJ20025010008</t>
        </is>
      </c>
      <c r="FG1430" s="15" t="inlineStr">
        <is>
          <t>Zhong Tong</t>
        </is>
      </c>
      <c r="FH1430" s="15" t="inlineStr">
        <is>
          <t>LCK6850evg</t>
        </is>
      </c>
      <c r="FI1430" s="15" t="inlineStr">
        <is>
          <t>ZHONGTONG</t>
        </is>
      </c>
      <c r="FJ1430" s="15" t="inlineStr">
        <is>
          <t>LCK6850evg</t>
        </is>
      </c>
      <c r="FK1430" s="15" t="n">
        <v>2025</v>
      </c>
      <c r="FL1430" s="15" t="inlineStr">
        <is>
          <t>A</t>
        </is>
      </c>
      <c r="FM1430" s="15" t="inlineStr">
        <is>
          <t>CERRILLOS</t>
        </is>
      </c>
      <c r="FN1430" s="15" t="inlineStr">
        <is>
          <t>Calle Uno 7371</t>
        </is>
      </c>
      <c r="FO1430" s="15" t="inlineStr">
        <is>
          <t>Cerrillos</t>
        </is>
      </c>
      <c r="FP1430" t="inlineStr">
        <is>
          <t>A</t>
        </is>
      </c>
      <c r="FS1430" s="14" t="inlineStr">
        <is>
          <t>3004 / SFWZ-31|</t>
        </is>
      </c>
      <c r="FT1430" t="inlineStr">
        <is>
          <t>SFWZ-31|</t>
        </is>
      </c>
      <c r="FU1430" t="inlineStr">
        <is>
          <t>SFWZ-31</t>
        </is>
      </c>
      <c r="FV1430">
        <f>VLOOKUP(FU1430,FD:FL,9,0)</f>
        <v/>
      </c>
    </row>
    <row r="1431">
      <c r="FC1431" t="inlineStr">
        <is>
          <t>Diccionario 2</t>
        </is>
      </c>
      <c r="FD1431" s="15" t="inlineStr">
        <is>
          <t>VGRG-54</t>
        </is>
      </c>
      <c r="FE1431" s="15" t="inlineStr">
        <is>
          <t>LDYECS836S0045623</t>
        </is>
      </c>
      <c r="FF1431" s="15" t="inlineStr">
        <is>
          <t>MJJ20025010021</t>
        </is>
      </c>
      <c r="FG1431" s="15" t="inlineStr">
        <is>
          <t>Zhong Tong</t>
        </is>
      </c>
      <c r="FH1431" s="15" t="inlineStr">
        <is>
          <t>LCK6850evg</t>
        </is>
      </c>
      <c r="FI1431" s="15" t="inlineStr">
        <is>
          <t>ZHONGTONG</t>
        </is>
      </c>
      <c r="FJ1431" s="15" t="inlineStr">
        <is>
          <t>LCK6850evg</t>
        </is>
      </c>
      <c r="FK1431" s="15" t="n">
        <v>2025</v>
      </c>
      <c r="FL1431" s="15" t="inlineStr">
        <is>
          <t>A</t>
        </is>
      </c>
      <c r="FM1431" s="15" t="inlineStr">
        <is>
          <t>CERRILLOS</t>
        </is>
      </c>
      <c r="FN1431" s="15" t="inlineStr">
        <is>
          <t>Calle Uno 7371</t>
        </is>
      </c>
      <c r="FO1431" s="15" t="inlineStr">
        <is>
          <t>Cerrillos</t>
        </is>
      </c>
      <c r="FP1431" t="inlineStr">
        <is>
          <t>A</t>
        </is>
      </c>
      <c r="FS1431" s="14" t="inlineStr">
        <is>
          <t>3023 / SFWB-33|</t>
        </is>
      </c>
      <c r="FT1431" t="inlineStr">
        <is>
          <t>SFWB-33|</t>
        </is>
      </c>
      <c r="FU1431" t="inlineStr">
        <is>
          <t>SFWB-33</t>
        </is>
      </c>
      <c r="FV1431">
        <f>VLOOKUP(FU1431,FD:FL,9,0)</f>
        <v/>
      </c>
    </row>
    <row r="1432">
      <c r="FC1432" t="inlineStr">
        <is>
          <t>Diccionario 2</t>
        </is>
      </c>
      <c r="FD1432" s="15" t="inlineStr">
        <is>
          <t>VJKD-70</t>
        </is>
      </c>
      <c r="FE1432" s="17" t="inlineStr">
        <is>
          <t>LDYECS312S0044409</t>
        </is>
      </c>
      <c r="FF1432" s="18" t="inlineStr">
        <is>
          <t>MDN35025030111</t>
        </is>
      </c>
      <c r="FG1432" s="18" t="inlineStr">
        <is>
          <t>Zhong Thong</t>
        </is>
      </c>
      <c r="FH1432" s="18" t="inlineStr">
        <is>
          <t>Lck6122evg</t>
        </is>
      </c>
      <c r="FI1432" s="18" t="inlineStr">
        <is>
          <t>Zhong Thong</t>
        </is>
      </c>
      <c r="FJ1432" s="18" t="inlineStr">
        <is>
          <t>Lck6122evg</t>
        </is>
      </c>
      <c r="FK1432" s="18" t="n">
        <v>2026</v>
      </c>
      <c r="FL1432" s="18" t="inlineStr">
        <is>
          <t>B</t>
        </is>
      </c>
      <c r="FM1432" s="18" t="inlineStr">
        <is>
          <t>Recoleta</t>
        </is>
      </c>
      <c r="FP1432" t="inlineStr">
        <is>
          <t>B</t>
        </is>
      </c>
      <c r="FS1432" s="14" t="inlineStr">
        <is>
          <t>VJKF-29|</t>
        </is>
      </c>
      <c r="FT1432" t="inlineStr">
        <is>
          <t>VJKF-29|</t>
        </is>
      </c>
      <c r="FU1432" t="inlineStr">
        <is>
          <t>VJKF-29</t>
        </is>
      </c>
      <c r="FV1432">
        <f>VLOOKUP(FU1432,FD:FL,9,0)</f>
        <v/>
      </c>
    </row>
    <row r="1433">
      <c r="FC1433" t="inlineStr">
        <is>
          <t>Diccionario 2</t>
        </is>
      </c>
      <c r="FD1433" s="15" t="inlineStr">
        <is>
          <t>VJKD-85</t>
        </is>
      </c>
      <c r="FE1433" s="17" t="inlineStr">
        <is>
          <t>LDYECS313S0044323</t>
        </is>
      </c>
      <c r="FF1433" s="18" t="inlineStr">
        <is>
          <t>MDN35025030135</t>
        </is>
      </c>
      <c r="FG1433" s="18" t="inlineStr">
        <is>
          <t>Zhong Thong</t>
        </is>
      </c>
      <c r="FH1433" s="18" t="inlineStr">
        <is>
          <t>Lck6122evg</t>
        </is>
      </c>
      <c r="FI1433" s="18" t="inlineStr">
        <is>
          <t>Zhong Thong</t>
        </is>
      </c>
      <c r="FJ1433" s="18" t="inlineStr">
        <is>
          <t>Lck6122evg</t>
        </is>
      </c>
      <c r="FK1433" s="18" t="n">
        <v>2026</v>
      </c>
      <c r="FL1433" s="18" t="inlineStr">
        <is>
          <t>B</t>
        </is>
      </c>
      <c r="FM1433" s="18" t="inlineStr">
        <is>
          <t>Recoleta</t>
        </is>
      </c>
      <c r="FP1433" t="inlineStr">
        <is>
          <t>B</t>
        </is>
      </c>
      <c r="FS1433" s="14" t="inlineStr">
        <is>
          <t>3036 / SFWB-77|</t>
        </is>
      </c>
      <c r="FT1433" t="inlineStr">
        <is>
          <t>SFWB-77|</t>
        </is>
      </c>
      <c r="FU1433" t="inlineStr">
        <is>
          <t>SFWB-77</t>
        </is>
      </c>
      <c r="FV1433">
        <f>VLOOKUP(FU1433,FD:FL,9,0)</f>
        <v/>
      </c>
    </row>
    <row r="1434">
      <c r="FC1434" t="inlineStr">
        <is>
          <t>Diccionario 2</t>
        </is>
      </c>
      <c r="FD1434" s="15" t="inlineStr">
        <is>
          <t>VJKD-94</t>
        </is>
      </c>
      <c r="FE1434" s="17" t="inlineStr">
        <is>
          <t>LDYECS310S0044392</t>
        </is>
      </c>
      <c r="FF1434" s="18" t="inlineStr">
        <is>
          <t>MDN35025030180</t>
        </is>
      </c>
      <c r="FG1434" s="18" t="inlineStr">
        <is>
          <t>Zhong Thong</t>
        </is>
      </c>
      <c r="FH1434" s="18" t="inlineStr">
        <is>
          <t>Lck6122evg</t>
        </is>
      </c>
      <c r="FI1434" s="18" t="inlineStr">
        <is>
          <t>Zhong Thong</t>
        </is>
      </c>
      <c r="FJ1434" s="18" t="inlineStr">
        <is>
          <t>Lck6122evg</t>
        </is>
      </c>
      <c r="FK1434" s="18" t="n">
        <v>2026</v>
      </c>
      <c r="FL1434" s="18" t="inlineStr">
        <is>
          <t>B</t>
        </is>
      </c>
      <c r="FM1434" s="18" t="inlineStr">
        <is>
          <t>Recoleta</t>
        </is>
      </c>
      <c r="FP1434" t="inlineStr">
        <is>
          <t>B</t>
        </is>
      </c>
      <c r="FS1434" s="14" t="inlineStr">
        <is>
          <t>3019 / SFWB-44|</t>
        </is>
      </c>
      <c r="FT1434" t="inlineStr">
        <is>
          <t>SFWB-44|</t>
        </is>
      </c>
      <c r="FU1434" t="inlineStr">
        <is>
          <t>SFWB-44</t>
        </is>
      </c>
      <c r="FV1434">
        <f>VLOOKUP(FU1434,FD:FL,9,0)</f>
        <v/>
      </c>
    </row>
    <row r="1435">
      <c r="FC1435" t="inlineStr">
        <is>
          <t>Diccionario 2</t>
        </is>
      </c>
      <c r="FD1435" s="15" t="inlineStr">
        <is>
          <t>VJKF-29</t>
        </is>
      </c>
      <c r="FE1435" s="17" t="inlineStr">
        <is>
          <t>LDYECS311S0044398</t>
        </is>
      </c>
      <c r="FF1435" s="18" t="inlineStr">
        <is>
          <t>MDN35025030205</t>
        </is>
      </c>
      <c r="FG1435" s="18" t="inlineStr">
        <is>
          <t>Zhong Thong</t>
        </is>
      </c>
      <c r="FH1435" s="18" t="inlineStr">
        <is>
          <t>Lck6122evg</t>
        </is>
      </c>
      <c r="FI1435" s="18" t="inlineStr">
        <is>
          <t>Zhong Thong</t>
        </is>
      </c>
      <c r="FJ1435" s="18" t="inlineStr">
        <is>
          <t>Lck6122evg</t>
        </is>
      </c>
      <c r="FK1435" s="18" t="n">
        <v>2026</v>
      </c>
      <c r="FL1435" s="18" t="inlineStr">
        <is>
          <t>B</t>
        </is>
      </c>
      <c r="FM1435" s="18" t="inlineStr">
        <is>
          <t>Recoleta</t>
        </is>
      </c>
      <c r="FP1435" t="inlineStr">
        <is>
          <t>B</t>
        </is>
      </c>
      <c r="FS1435" s="14" t="inlineStr">
        <is>
          <t>3032 / SFWZ-34|</t>
        </is>
      </c>
      <c r="FT1435" t="inlineStr">
        <is>
          <t>SFWZ-34|</t>
        </is>
      </c>
      <c r="FU1435" t="inlineStr">
        <is>
          <t>SFWZ-34</t>
        </is>
      </c>
      <c r="FV1435">
        <f>VLOOKUP(FU1435,FD:FL,9,0)</f>
        <v/>
      </c>
    </row>
    <row r="1436">
      <c r="FC1436" t="inlineStr">
        <is>
          <t>Diccionario 2</t>
        </is>
      </c>
      <c r="FD1436" s="15" t="inlineStr">
        <is>
          <t>VJKF-44</t>
        </is>
      </c>
      <c r="FE1436" s="17" t="inlineStr">
        <is>
          <t>LDYECS317S0044339</t>
        </is>
      </c>
      <c r="FF1436" s="18" t="inlineStr">
        <is>
          <t>MDN35025030142</t>
        </is>
      </c>
      <c r="FG1436" s="18" t="inlineStr">
        <is>
          <t>Zhong Thong</t>
        </is>
      </c>
      <c r="FH1436" s="18" t="inlineStr">
        <is>
          <t>Lck6122evg</t>
        </is>
      </c>
      <c r="FI1436" s="18" t="inlineStr">
        <is>
          <t>Zhong Thong</t>
        </is>
      </c>
      <c r="FJ1436" s="18" t="inlineStr">
        <is>
          <t>Lck6122evg</t>
        </is>
      </c>
      <c r="FK1436" s="18" t="n">
        <v>2026</v>
      </c>
      <c r="FL1436" s="18" t="inlineStr">
        <is>
          <t>B</t>
        </is>
      </c>
      <c r="FM1436" s="18" t="inlineStr">
        <is>
          <t>Lo Blanco</t>
        </is>
      </c>
      <c r="FP1436" t="inlineStr">
        <is>
          <t>B</t>
        </is>
      </c>
      <c r="FS1436" s="14" t="inlineStr">
        <is>
          <t>VJXC-26|</t>
        </is>
      </c>
      <c r="FT1436" t="inlineStr">
        <is>
          <t>VJXC-26|</t>
        </is>
      </c>
      <c r="FU1436" t="inlineStr">
        <is>
          <t>VJXC-26</t>
        </is>
      </c>
      <c r="FV1436">
        <f>VLOOKUP(FU1436,FD:FL,9,0)</f>
        <v/>
      </c>
    </row>
    <row r="1437">
      <c r="FC1437" t="inlineStr">
        <is>
          <t>Diccionario 2</t>
        </is>
      </c>
      <c r="FD1437" s="15" t="inlineStr">
        <is>
          <t>VJKF-46</t>
        </is>
      </c>
      <c r="FE1437" s="17" t="inlineStr">
        <is>
          <t>LDYECS312S0044331</t>
        </is>
      </c>
      <c r="FF1437" s="18" t="inlineStr">
        <is>
          <t>MDN35025030246</t>
        </is>
      </c>
      <c r="FG1437" s="18" t="inlineStr">
        <is>
          <t>Zhong Thong</t>
        </is>
      </c>
      <c r="FH1437" s="18" t="inlineStr">
        <is>
          <t>Lck6122evg</t>
        </is>
      </c>
      <c r="FI1437" s="18" t="inlineStr">
        <is>
          <t>Zhong Thong</t>
        </is>
      </c>
      <c r="FJ1437" s="18" t="inlineStr">
        <is>
          <t>Lck6122evg</t>
        </is>
      </c>
      <c r="FK1437" s="18" t="n">
        <v>2026</v>
      </c>
      <c r="FL1437" s="18" t="inlineStr">
        <is>
          <t>B</t>
        </is>
      </c>
      <c r="FM1437" s="18" t="inlineStr">
        <is>
          <t>Recoleta</t>
        </is>
      </c>
      <c r="FP1437" t="inlineStr">
        <is>
          <t>B</t>
        </is>
      </c>
      <c r="FS1437" s="14" t="inlineStr">
        <is>
          <t>3033 / SFVZ-29|</t>
        </is>
      </c>
      <c r="FT1437" t="inlineStr">
        <is>
          <t>SFVZ-29|</t>
        </is>
      </c>
      <c r="FU1437" t="inlineStr">
        <is>
          <t>SFVZ-29</t>
        </is>
      </c>
      <c r="FV1437">
        <f>VLOOKUP(FU1437,FD:FL,9,0)</f>
        <v/>
      </c>
    </row>
    <row r="1438">
      <c r="FC1438" t="inlineStr">
        <is>
          <t>Diccionario 2</t>
        </is>
      </c>
      <c r="FD1438" s="15" t="inlineStr">
        <is>
          <t>VJKF-55</t>
        </is>
      </c>
      <c r="FE1438" s="17" t="inlineStr">
        <is>
          <t>LDYECS319S0044407</t>
        </is>
      </c>
      <c r="FF1438" s="18" t="inlineStr">
        <is>
          <t>MDN35025030112</t>
        </is>
      </c>
      <c r="FG1438" s="18" t="inlineStr">
        <is>
          <t>Zhong Thong</t>
        </is>
      </c>
      <c r="FH1438" s="18" t="inlineStr">
        <is>
          <t>Lck6122evg</t>
        </is>
      </c>
      <c r="FI1438" s="18" t="inlineStr">
        <is>
          <t>Zhong Thong</t>
        </is>
      </c>
      <c r="FJ1438" s="18" t="inlineStr">
        <is>
          <t>Lck6122evg</t>
        </is>
      </c>
      <c r="FK1438" s="18" t="n">
        <v>2026</v>
      </c>
      <c r="FL1438" s="18" t="inlineStr">
        <is>
          <t>B</t>
        </is>
      </c>
      <c r="FM1438" s="18" t="inlineStr">
        <is>
          <t>Recoleta</t>
        </is>
      </c>
      <c r="FP1438" t="inlineStr">
        <is>
          <t>B</t>
        </is>
      </c>
      <c r="FS1438" s="14" t="inlineStr">
        <is>
          <t>VJKX-78|</t>
        </is>
      </c>
      <c r="FT1438" t="inlineStr">
        <is>
          <t>VJKX-78|</t>
        </is>
      </c>
      <c r="FU1438" t="inlineStr">
        <is>
          <t>VJKX-78</t>
        </is>
      </c>
      <c r="FV1438">
        <f>VLOOKUP(FU1438,FD:FL,9,0)</f>
        <v/>
      </c>
    </row>
    <row r="1439">
      <c r="FC1439" t="inlineStr">
        <is>
          <t>Diccionario 2</t>
        </is>
      </c>
      <c r="FD1439" s="15" t="inlineStr">
        <is>
          <t>VJKF-61</t>
        </is>
      </c>
      <c r="FE1439" s="17" t="inlineStr">
        <is>
          <t>LDYECS313S0044340</t>
        </is>
      </c>
      <c r="FF1439" s="18" t="inlineStr">
        <is>
          <t>MDN35025010149</t>
        </is>
      </c>
      <c r="FG1439" s="18" t="inlineStr">
        <is>
          <t>Zhong Thong</t>
        </is>
      </c>
      <c r="FH1439" s="18" t="inlineStr">
        <is>
          <t>Lck6122evg</t>
        </is>
      </c>
      <c r="FI1439" s="18" t="inlineStr">
        <is>
          <t>Zhong Thong</t>
        </is>
      </c>
      <c r="FJ1439" s="18" t="inlineStr">
        <is>
          <t>Lck6122evg</t>
        </is>
      </c>
      <c r="FK1439" s="18" t="n">
        <v>2026</v>
      </c>
      <c r="FL1439" s="18" t="inlineStr">
        <is>
          <t>B</t>
        </is>
      </c>
      <c r="FM1439" s="18" t="inlineStr">
        <is>
          <t>Recoleta</t>
        </is>
      </c>
      <c r="FP1439" t="inlineStr">
        <is>
          <t>B</t>
        </is>
      </c>
      <c r="FS1439" s="14" t="inlineStr">
        <is>
          <t>3052 / SFVZ-86|</t>
        </is>
      </c>
      <c r="FT1439" t="inlineStr">
        <is>
          <t>SFVZ-86|</t>
        </is>
      </c>
      <c r="FU1439" t="inlineStr">
        <is>
          <t>SFVZ-86</t>
        </is>
      </c>
      <c r="FV1439">
        <f>VLOOKUP(FU1439,FD:FL,9,0)</f>
        <v/>
      </c>
    </row>
    <row r="1440">
      <c r="FC1440" t="inlineStr">
        <is>
          <t>Diccionario 2</t>
        </is>
      </c>
      <c r="FD1440" s="15" t="inlineStr">
        <is>
          <t>VJKF-66</t>
        </is>
      </c>
      <c r="FE1440" s="17" t="inlineStr">
        <is>
          <t>LDYECS314S0044332</t>
        </is>
      </c>
      <c r="FF1440" s="18" t="inlineStr">
        <is>
          <t>MDN35025030178</t>
        </is>
      </c>
      <c r="FG1440" s="18" t="inlineStr">
        <is>
          <t>Zhong Thong</t>
        </is>
      </c>
      <c r="FH1440" s="18" t="inlineStr">
        <is>
          <t>Lck6122evg</t>
        </is>
      </c>
      <c r="FI1440" s="18" t="inlineStr">
        <is>
          <t>Zhong Thong</t>
        </is>
      </c>
      <c r="FJ1440" s="18" t="inlineStr">
        <is>
          <t>Lck6122evg</t>
        </is>
      </c>
      <c r="FK1440" s="18" t="n">
        <v>2026</v>
      </c>
      <c r="FL1440" s="18" t="inlineStr">
        <is>
          <t>B</t>
        </is>
      </c>
      <c r="FM1440" s="18" t="inlineStr">
        <is>
          <t>Recoleta</t>
        </is>
      </c>
      <c r="FP1440" t="inlineStr">
        <is>
          <t>B</t>
        </is>
      </c>
      <c r="FS1440" s="14" t="inlineStr">
        <is>
          <t>VJZB-57|</t>
        </is>
      </c>
      <c r="FT1440" t="inlineStr">
        <is>
          <t>VJZB-57|</t>
        </is>
      </c>
      <c r="FU1440" t="inlineStr">
        <is>
          <t>VJZB-57</t>
        </is>
      </c>
      <c r="FV1440">
        <f>VLOOKUP(FU1440,FD:FL,9,0)</f>
        <v/>
      </c>
    </row>
    <row r="1441">
      <c r="FC1441" t="inlineStr">
        <is>
          <t>Diccionario 2</t>
        </is>
      </c>
      <c r="FD1441" s="15" t="inlineStr">
        <is>
          <t>VJKG-16</t>
        </is>
      </c>
      <c r="FE1441" s="17" t="inlineStr">
        <is>
          <t>LDYECS313S0044399</t>
        </is>
      </c>
      <c r="FF1441" s="18" t="inlineStr">
        <is>
          <t>MDN35025030198</t>
        </is>
      </c>
      <c r="FG1441" s="18" t="inlineStr">
        <is>
          <t>Zhong Thong</t>
        </is>
      </c>
      <c r="FH1441" s="18" t="inlineStr">
        <is>
          <t>Lck6122evg</t>
        </is>
      </c>
      <c r="FI1441" s="18" t="inlineStr">
        <is>
          <t>Zhong Thong</t>
        </is>
      </c>
      <c r="FJ1441" s="18" t="inlineStr">
        <is>
          <t>Lck6122evg</t>
        </is>
      </c>
      <c r="FK1441" s="18" t="n">
        <v>2026</v>
      </c>
      <c r="FL1441" s="18" t="inlineStr">
        <is>
          <t>B</t>
        </is>
      </c>
      <c r="FM1441" s="18" t="inlineStr">
        <is>
          <t>Recoleta</t>
        </is>
      </c>
      <c r="FP1441" t="inlineStr">
        <is>
          <t>B</t>
        </is>
      </c>
      <c r="FS1441" s="14" t="inlineStr">
        <is>
          <t>VJKV-58|</t>
        </is>
      </c>
      <c r="FT1441" t="inlineStr">
        <is>
          <t>VJKV-58|</t>
        </is>
      </c>
      <c r="FU1441" t="inlineStr">
        <is>
          <t>VJKV-58</t>
        </is>
      </c>
      <c r="FV1441">
        <f>VLOOKUP(FU1441,FD:FL,9,0)</f>
        <v/>
      </c>
    </row>
    <row r="1442">
      <c r="FC1442" t="inlineStr">
        <is>
          <t>Diccionario 2</t>
        </is>
      </c>
      <c r="FD1442" s="15" t="inlineStr">
        <is>
          <t>VJKG-25</t>
        </is>
      </c>
      <c r="FE1442" s="17" t="inlineStr">
        <is>
          <t>LDYECS313S0044337</t>
        </is>
      </c>
      <c r="FF1442" s="18" t="inlineStr">
        <is>
          <t>MDN350250138</t>
        </is>
      </c>
      <c r="FG1442" s="18" t="inlineStr">
        <is>
          <t>Zhong Thong</t>
        </is>
      </c>
      <c r="FH1442" s="18" t="inlineStr">
        <is>
          <t>Lck6122evg</t>
        </is>
      </c>
      <c r="FI1442" s="18" t="inlineStr">
        <is>
          <t>Zhong Thong</t>
        </is>
      </c>
      <c r="FJ1442" s="18" t="inlineStr">
        <is>
          <t>Lck6122evg</t>
        </is>
      </c>
      <c r="FK1442" s="18" t="n">
        <v>2026</v>
      </c>
      <c r="FL1442" s="18" t="inlineStr">
        <is>
          <t>B</t>
        </is>
      </c>
      <c r="FM1442" s="18" t="inlineStr">
        <is>
          <t>Recoleta</t>
        </is>
      </c>
      <c r="FP1442" t="inlineStr">
        <is>
          <t>B</t>
        </is>
      </c>
      <c r="FS1442" s="14" t="inlineStr">
        <is>
          <t>VJKZ-38|</t>
        </is>
      </c>
      <c r="FT1442" t="inlineStr">
        <is>
          <t>VJKZ-38|</t>
        </is>
      </c>
      <c r="FU1442" t="inlineStr">
        <is>
          <t>VJKZ-38</t>
        </is>
      </c>
      <c r="FV1442">
        <f>VLOOKUP(FU1442,FD:FL,9,0)</f>
        <v/>
      </c>
    </row>
    <row r="1443">
      <c r="FC1443" t="inlineStr">
        <is>
          <t>Diccionario 2</t>
        </is>
      </c>
      <c r="FD1443" s="15" t="inlineStr">
        <is>
          <t>VJKG-36</t>
        </is>
      </c>
      <c r="FE1443" s="17" t="inlineStr">
        <is>
          <t>LDYECS313S0044404</t>
        </is>
      </c>
      <c r="FF1443" s="18" t="inlineStr">
        <is>
          <t>MDN35025030001</t>
        </is>
      </c>
      <c r="FG1443" s="18" t="inlineStr">
        <is>
          <t>Zhong Thong</t>
        </is>
      </c>
      <c r="FH1443" s="18" t="inlineStr">
        <is>
          <t>Lck6122evg</t>
        </is>
      </c>
      <c r="FI1443" s="18" t="inlineStr">
        <is>
          <t>Zhong Thong</t>
        </is>
      </c>
      <c r="FJ1443" s="18" t="inlineStr">
        <is>
          <t>Lck6122evg</t>
        </is>
      </c>
      <c r="FK1443" s="18" t="n">
        <v>2026</v>
      </c>
      <c r="FL1443" s="18" t="inlineStr">
        <is>
          <t>B</t>
        </is>
      </c>
      <c r="FM1443" s="18" t="inlineStr">
        <is>
          <t>Recoleta</t>
        </is>
      </c>
      <c r="FP1443" t="inlineStr">
        <is>
          <t>B</t>
        </is>
      </c>
      <c r="FS1443" s="14" t="inlineStr">
        <is>
          <t>3100 / SFWZ-83|</t>
        </is>
      </c>
      <c r="FT1443" t="inlineStr">
        <is>
          <t>SFWZ-83|</t>
        </is>
      </c>
      <c r="FU1443" t="inlineStr">
        <is>
          <t>SFWZ-83</t>
        </is>
      </c>
      <c r="FV1443">
        <f>VLOOKUP(FU1443,FD:FL,9,0)</f>
        <v/>
      </c>
    </row>
    <row r="1444">
      <c r="FC1444" t="inlineStr">
        <is>
          <t>Diccionario 2</t>
        </is>
      </c>
      <c r="FD1444" s="15" t="inlineStr">
        <is>
          <t>VJKG-37</t>
        </is>
      </c>
      <c r="FE1444" s="17" t="inlineStr">
        <is>
          <t>LDYECS310S0044408</t>
        </is>
      </c>
      <c r="FF1444" s="18" t="inlineStr">
        <is>
          <t>MDN35025020174</t>
        </is>
      </c>
      <c r="FG1444" s="18" t="inlineStr">
        <is>
          <t>Zhong Thong</t>
        </is>
      </c>
      <c r="FH1444" s="18" t="inlineStr">
        <is>
          <t>Lck6122evg</t>
        </is>
      </c>
      <c r="FI1444" s="18" t="inlineStr">
        <is>
          <t>Zhong Thong</t>
        </is>
      </c>
      <c r="FJ1444" s="18" t="inlineStr">
        <is>
          <t>Lck6122evg</t>
        </is>
      </c>
      <c r="FK1444" s="18" t="n">
        <v>2026</v>
      </c>
      <c r="FL1444" s="18" t="inlineStr">
        <is>
          <t>B</t>
        </is>
      </c>
      <c r="FM1444" s="18" t="inlineStr">
        <is>
          <t>Ducaud</t>
        </is>
      </c>
      <c r="FP1444" t="inlineStr">
        <is>
          <t>B</t>
        </is>
      </c>
      <c r="FS1444" s="14" t="inlineStr">
        <is>
          <t>3093 / SFWZ-82|</t>
        </is>
      </c>
      <c r="FT1444" t="inlineStr">
        <is>
          <t>SFWZ-82|</t>
        </is>
      </c>
      <c r="FU1444" t="inlineStr">
        <is>
          <t>SFWZ-82</t>
        </is>
      </c>
      <c r="FV1444">
        <f>VLOOKUP(FU1444,FD:FL,9,0)</f>
        <v/>
      </c>
    </row>
    <row r="1445">
      <c r="FC1445" t="inlineStr">
        <is>
          <t>Diccionario 2</t>
        </is>
      </c>
      <c r="FD1445" s="15" t="inlineStr">
        <is>
          <t>VJKG-66</t>
        </is>
      </c>
      <c r="FE1445" s="17" t="inlineStr">
        <is>
          <t>LDYECS315S0044405</t>
        </is>
      </c>
      <c r="FF1445" s="18" t="inlineStr">
        <is>
          <t>MDN35025020253</t>
        </is>
      </c>
      <c r="FG1445" s="18" t="inlineStr">
        <is>
          <t>Zhong Thong</t>
        </is>
      </c>
      <c r="FH1445" s="18" t="inlineStr">
        <is>
          <t>Lck6122evg</t>
        </is>
      </c>
      <c r="FI1445" s="18" t="inlineStr">
        <is>
          <t>Zhong Thong</t>
        </is>
      </c>
      <c r="FJ1445" s="18" t="inlineStr">
        <is>
          <t>Lck6122evg</t>
        </is>
      </c>
      <c r="FK1445" s="18" t="n">
        <v>2026</v>
      </c>
      <c r="FL1445" s="18" t="inlineStr">
        <is>
          <t>B</t>
        </is>
      </c>
      <c r="FM1445" s="18" t="inlineStr">
        <is>
          <t>Ducaud</t>
        </is>
      </c>
      <c r="FP1445" t="inlineStr">
        <is>
          <t>B</t>
        </is>
      </c>
      <c r="FS1445" s="14" t="inlineStr">
        <is>
          <t>VJKF-66|</t>
        </is>
      </c>
      <c r="FT1445" t="inlineStr">
        <is>
          <t>VJKF-66|</t>
        </is>
      </c>
      <c r="FU1445" t="inlineStr">
        <is>
          <t>VJKF-66</t>
        </is>
      </c>
      <c r="FV1445">
        <f>VLOOKUP(FU1445,FD:FL,9,0)</f>
        <v/>
      </c>
    </row>
    <row r="1446">
      <c r="FC1446" t="inlineStr">
        <is>
          <t>Diccionario 2</t>
        </is>
      </c>
      <c r="FD1446" s="15" t="inlineStr">
        <is>
          <t>VJKG-75</t>
        </is>
      </c>
      <c r="FE1446" s="17" t="inlineStr">
        <is>
          <t>LDYECS316S0044414</t>
        </is>
      </c>
      <c r="FF1446" s="18" t="inlineStr">
        <is>
          <t>MDN35025020075</t>
        </is>
      </c>
      <c r="FG1446" s="18" t="inlineStr">
        <is>
          <t>Zhong Thong</t>
        </is>
      </c>
      <c r="FH1446" s="18" t="inlineStr">
        <is>
          <t>Lck6122evg</t>
        </is>
      </c>
      <c r="FI1446" s="18" t="inlineStr">
        <is>
          <t>Zhong Thong</t>
        </is>
      </c>
      <c r="FJ1446" s="18" t="inlineStr">
        <is>
          <t>Lck6122evg</t>
        </is>
      </c>
      <c r="FK1446" s="18" t="n">
        <v>2026</v>
      </c>
      <c r="FL1446" s="18" t="inlineStr">
        <is>
          <t>B</t>
        </is>
      </c>
      <c r="FM1446" s="18" t="inlineStr">
        <is>
          <t>Ducaud</t>
        </is>
      </c>
      <c r="FP1446" t="inlineStr">
        <is>
          <t>B</t>
        </is>
      </c>
      <c r="FS1446" s="14" t="inlineStr">
        <is>
          <t>3060 / SFWB-14|</t>
        </is>
      </c>
      <c r="FT1446" t="inlineStr">
        <is>
          <t>SFWB-14|</t>
        </is>
      </c>
      <c r="FU1446" t="inlineStr">
        <is>
          <t>SFWB-14</t>
        </is>
      </c>
      <c r="FV1446">
        <f>VLOOKUP(FU1446,FD:FL,9,0)</f>
        <v/>
      </c>
    </row>
    <row r="1447">
      <c r="FC1447" t="inlineStr">
        <is>
          <t>Diccionario 2</t>
        </is>
      </c>
      <c r="FD1447" s="15" t="inlineStr">
        <is>
          <t>VJKG-85</t>
        </is>
      </c>
      <c r="FE1447" s="17" t="inlineStr">
        <is>
          <t>LDYECS313S0044239</t>
        </is>
      </c>
      <c r="FF1447" s="18" t="inlineStr">
        <is>
          <t>MDN35025020137</t>
        </is>
      </c>
      <c r="FG1447" s="18" t="inlineStr">
        <is>
          <t>Zhong Thong</t>
        </is>
      </c>
      <c r="FH1447" s="18" t="inlineStr">
        <is>
          <t>Lck6122evg</t>
        </is>
      </c>
      <c r="FI1447" s="18" t="inlineStr">
        <is>
          <t>Zhong Thong</t>
        </is>
      </c>
      <c r="FJ1447" s="18" t="inlineStr">
        <is>
          <t>Lck6122evg</t>
        </is>
      </c>
      <c r="FK1447" s="18" t="n">
        <v>2026</v>
      </c>
      <c r="FL1447" s="18" t="inlineStr">
        <is>
          <t>B</t>
        </is>
      </c>
      <c r="FM1447" s="18" t="inlineStr">
        <is>
          <t>Ducaud</t>
        </is>
      </c>
      <c r="FP1447" t="inlineStr">
        <is>
          <t>B</t>
        </is>
      </c>
      <c r="FS1447" s="14" t="inlineStr">
        <is>
          <t>3064 / SFWZ-61|</t>
        </is>
      </c>
      <c r="FT1447" t="inlineStr">
        <is>
          <t>SFWZ-61|</t>
        </is>
      </c>
      <c r="FU1447" t="inlineStr">
        <is>
          <t>SFWZ-61</t>
        </is>
      </c>
      <c r="FV1447">
        <f>VLOOKUP(FU1447,FD:FL,9,0)</f>
        <v/>
      </c>
    </row>
    <row r="1448">
      <c r="FC1448" t="inlineStr">
        <is>
          <t>Diccionario 2</t>
        </is>
      </c>
      <c r="FD1448" s="15" t="inlineStr">
        <is>
          <t>VJKT-45</t>
        </is>
      </c>
      <c r="FE1448" s="17" t="inlineStr">
        <is>
          <t>LDYECS316S0044381</t>
        </is>
      </c>
      <c r="FF1448" s="18" t="inlineStr">
        <is>
          <t>MDN35025030006</t>
        </is>
      </c>
      <c r="FG1448" s="18" t="inlineStr">
        <is>
          <t>Zhong Thong</t>
        </is>
      </c>
      <c r="FH1448" s="18" t="inlineStr">
        <is>
          <t>Lck6122evg</t>
        </is>
      </c>
      <c r="FI1448" s="18" t="inlineStr">
        <is>
          <t>Zhong Thong</t>
        </is>
      </c>
      <c r="FJ1448" s="18" t="inlineStr">
        <is>
          <t>Lck6122evg</t>
        </is>
      </c>
      <c r="FK1448" s="18" t="n">
        <v>2026</v>
      </c>
      <c r="FL1448" s="18" t="inlineStr">
        <is>
          <t>B</t>
        </is>
      </c>
      <c r="FM1448" s="18" t="inlineStr">
        <is>
          <t>Ducaud</t>
        </is>
      </c>
      <c r="FP1448" t="inlineStr">
        <is>
          <t>B</t>
        </is>
      </c>
      <c r="FS1448" s="14" t="inlineStr">
        <is>
          <t>VJKG-37|</t>
        </is>
      </c>
      <c r="FT1448" t="inlineStr">
        <is>
          <t>VJKG-37|</t>
        </is>
      </c>
      <c r="FU1448" t="inlineStr">
        <is>
          <t>VJKG-37</t>
        </is>
      </c>
      <c r="FV1448">
        <f>VLOOKUP(FU1448,FD:FL,9,0)</f>
        <v/>
      </c>
    </row>
    <row r="1449">
      <c r="FC1449" t="inlineStr">
        <is>
          <t>Diccionario 2</t>
        </is>
      </c>
      <c r="FD1449" s="15" t="inlineStr">
        <is>
          <t>VJKT-55</t>
        </is>
      </c>
      <c r="FE1449" s="17" t="inlineStr">
        <is>
          <t>LDYECS311S0044319</t>
        </is>
      </c>
      <c r="FF1449" s="18" t="inlineStr">
        <is>
          <t>MDN35025010158</t>
        </is>
      </c>
      <c r="FG1449" s="18" t="inlineStr">
        <is>
          <t>Zhong Thong</t>
        </is>
      </c>
      <c r="FH1449" s="18" t="inlineStr">
        <is>
          <t>Lck6122evg</t>
        </is>
      </c>
      <c r="FI1449" s="18" t="inlineStr">
        <is>
          <t>Zhong Thong</t>
        </is>
      </c>
      <c r="FJ1449" s="18" t="inlineStr">
        <is>
          <t>Lck6122evg</t>
        </is>
      </c>
      <c r="FK1449" s="18" t="n">
        <v>2026</v>
      </c>
      <c r="FL1449" s="18" t="inlineStr">
        <is>
          <t>B</t>
        </is>
      </c>
      <c r="FM1449" s="18" t="inlineStr">
        <is>
          <t>Ducaud</t>
        </is>
      </c>
      <c r="FP1449" t="inlineStr">
        <is>
          <t>B</t>
        </is>
      </c>
      <c r="FS1449" s="14" t="inlineStr">
        <is>
          <t>VJKV-88|</t>
        </is>
      </c>
      <c r="FT1449" t="inlineStr">
        <is>
          <t>VJKV-88|</t>
        </is>
      </c>
      <c r="FU1449" t="inlineStr">
        <is>
          <t>VJKV-88</t>
        </is>
      </c>
      <c r="FV1449">
        <f>VLOOKUP(FU1449,FD:FL,9,0)</f>
        <v/>
      </c>
    </row>
    <row r="1450">
      <c r="FC1450" t="inlineStr">
        <is>
          <t>Diccionario 2</t>
        </is>
      </c>
      <c r="FD1450" s="15" t="inlineStr">
        <is>
          <t>VJKT-63</t>
        </is>
      </c>
      <c r="FE1450" s="17" t="inlineStr">
        <is>
          <t>LDYECS318S0044334</t>
        </is>
      </c>
      <c r="FF1450" s="18" t="inlineStr">
        <is>
          <t>MDN35025030245</t>
        </is>
      </c>
      <c r="FG1450" s="18" t="inlineStr">
        <is>
          <t>Zhong Thong</t>
        </is>
      </c>
      <c r="FH1450" s="18" t="inlineStr">
        <is>
          <t>Lck6122evg</t>
        </is>
      </c>
      <c r="FI1450" s="18" t="inlineStr">
        <is>
          <t>Zhong Thong</t>
        </is>
      </c>
      <c r="FJ1450" s="18" t="inlineStr">
        <is>
          <t>Lck6122evg</t>
        </is>
      </c>
      <c r="FK1450" s="18" t="n">
        <v>2026</v>
      </c>
      <c r="FL1450" s="18" t="inlineStr">
        <is>
          <t>B</t>
        </is>
      </c>
      <c r="FM1450" s="18" t="inlineStr">
        <is>
          <t>Ducaud</t>
        </is>
      </c>
      <c r="FP1450" t="inlineStr">
        <is>
          <t>B</t>
        </is>
      </c>
      <c r="FS1450" s="14" t="inlineStr">
        <is>
          <t>VJXB-87|</t>
        </is>
      </c>
      <c r="FT1450" t="inlineStr">
        <is>
          <t>VJXB-87|</t>
        </is>
      </c>
      <c r="FU1450" t="inlineStr">
        <is>
          <t>VJXB-87</t>
        </is>
      </c>
      <c r="FV1450">
        <f>VLOOKUP(FU1450,FD:FL,9,0)</f>
        <v/>
      </c>
    </row>
    <row r="1451">
      <c r="FC1451" t="inlineStr">
        <is>
          <t>Diccionario 2</t>
        </is>
      </c>
      <c r="FD1451" s="15" t="inlineStr">
        <is>
          <t>VJKT-83</t>
        </is>
      </c>
      <c r="FE1451" s="17" t="inlineStr">
        <is>
          <t>LDYECS312S0044328</t>
        </is>
      </c>
      <c r="FF1451" s="18" t="inlineStr">
        <is>
          <t>MDN35025030204</t>
        </is>
      </c>
      <c r="FG1451" s="18" t="inlineStr">
        <is>
          <t>Zhong Thong</t>
        </is>
      </c>
      <c r="FH1451" s="18" t="inlineStr">
        <is>
          <t>Lck6122evg</t>
        </is>
      </c>
      <c r="FI1451" s="18" t="inlineStr">
        <is>
          <t>Zhong Thong</t>
        </is>
      </c>
      <c r="FJ1451" s="18" t="inlineStr">
        <is>
          <t>Lck6122evg</t>
        </is>
      </c>
      <c r="FK1451" s="18" t="n">
        <v>2026</v>
      </c>
      <c r="FL1451" s="18" t="inlineStr">
        <is>
          <t>B</t>
        </is>
      </c>
      <c r="FM1451" s="18" t="inlineStr">
        <is>
          <t>Recoleta</t>
        </is>
      </c>
      <c r="FP1451" t="inlineStr">
        <is>
          <t>B</t>
        </is>
      </c>
      <c r="FS1451" s="14" t="inlineStr">
        <is>
          <t>VJKY-18|</t>
        </is>
      </c>
      <c r="FT1451" t="inlineStr">
        <is>
          <t>VJKY-18|</t>
        </is>
      </c>
      <c r="FU1451" t="inlineStr">
        <is>
          <t>VJKY-18</t>
        </is>
      </c>
      <c r="FV1451">
        <f>VLOOKUP(FU1451,FD:FL,9,0)</f>
        <v/>
      </c>
    </row>
    <row r="1452">
      <c r="FC1452" t="inlineStr">
        <is>
          <t>Diccionario 2</t>
        </is>
      </c>
      <c r="FD1452" s="15" t="inlineStr">
        <is>
          <t>VJKT-92</t>
        </is>
      </c>
      <c r="FE1452" s="17" t="inlineStr">
        <is>
          <t>LDYECS310S0044389</t>
        </is>
      </c>
      <c r="FF1452" s="18" t="inlineStr">
        <is>
          <t>MDN35025010119</t>
        </is>
      </c>
      <c r="FG1452" s="18" t="inlineStr">
        <is>
          <t>Zhong Thong</t>
        </is>
      </c>
      <c r="FH1452" s="18" t="inlineStr">
        <is>
          <t>Lck6122evg</t>
        </is>
      </c>
      <c r="FI1452" s="18" t="inlineStr">
        <is>
          <t>Zhong Thong</t>
        </is>
      </c>
      <c r="FJ1452" s="18" t="inlineStr">
        <is>
          <t>Lck6122evg</t>
        </is>
      </c>
      <c r="FK1452" s="18" t="n">
        <v>2026</v>
      </c>
      <c r="FL1452" s="18" t="inlineStr">
        <is>
          <t>B</t>
        </is>
      </c>
      <c r="FM1452" s="18" t="inlineStr">
        <is>
          <t>Lo Blanco</t>
        </is>
      </c>
      <c r="FP1452" t="inlineStr">
        <is>
          <t>B</t>
        </is>
      </c>
      <c r="FS1452" s="14" t="inlineStr">
        <is>
          <t>VJXB-27|</t>
        </is>
      </c>
      <c r="FT1452" t="inlineStr">
        <is>
          <t>VJXB-27|</t>
        </is>
      </c>
      <c r="FU1452" t="inlineStr">
        <is>
          <t>VJXB-27</t>
        </is>
      </c>
      <c r="FV1452">
        <f>VLOOKUP(FU1452,FD:FL,9,0)</f>
        <v/>
      </c>
    </row>
    <row r="1453">
      <c r="FC1453" t="inlineStr">
        <is>
          <t>Diccionario 2</t>
        </is>
      </c>
      <c r="FD1453" s="15" t="inlineStr">
        <is>
          <t>VJKV-14</t>
        </is>
      </c>
      <c r="FE1453" s="17" t="inlineStr">
        <is>
          <t>LDYECS31XS0044321</t>
        </is>
      </c>
      <c r="FF1453" s="18" t="inlineStr">
        <is>
          <t>MDN35025010152</t>
        </is>
      </c>
      <c r="FG1453" s="18" t="inlineStr">
        <is>
          <t>Zhong Thong</t>
        </is>
      </c>
      <c r="FH1453" s="18" t="inlineStr">
        <is>
          <t>Lck6122evg</t>
        </is>
      </c>
      <c r="FI1453" s="18" t="inlineStr">
        <is>
          <t>Zhong Thong</t>
        </is>
      </c>
      <c r="FJ1453" s="18" t="inlineStr">
        <is>
          <t>Lck6122evg</t>
        </is>
      </c>
      <c r="FK1453" s="18" t="n">
        <v>2026</v>
      </c>
      <c r="FL1453" s="18" t="inlineStr">
        <is>
          <t>B</t>
        </is>
      </c>
      <c r="FM1453" s="18" t="inlineStr">
        <is>
          <t>Lo Blanco</t>
        </is>
      </c>
      <c r="FP1453" t="inlineStr">
        <is>
          <t>B</t>
        </is>
      </c>
      <c r="FS1453" s="14" t="inlineStr">
        <is>
          <t>3048 / SFVZ-96|</t>
        </is>
      </c>
      <c r="FT1453" t="inlineStr">
        <is>
          <t>SFVZ-96|</t>
        </is>
      </c>
      <c r="FU1453" t="inlineStr">
        <is>
          <t>SFVZ-96</t>
        </is>
      </c>
      <c r="FV1453">
        <f>VLOOKUP(FU1453,FD:FL,9,0)</f>
        <v/>
      </c>
    </row>
    <row r="1454">
      <c r="FC1454" t="inlineStr">
        <is>
          <t>Diccionario 2</t>
        </is>
      </c>
      <c r="FD1454" s="15" t="inlineStr">
        <is>
          <t>VJKV-58</t>
        </is>
      </c>
      <c r="FE1454" s="17" t="inlineStr">
        <is>
          <t>LDYECS318S0044396</t>
        </is>
      </c>
      <c r="FF1454" s="18" t="inlineStr">
        <is>
          <t>MDN35025010167</t>
        </is>
      </c>
      <c r="FG1454" s="18" t="inlineStr">
        <is>
          <t>Zhong Thong</t>
        </is>
      </c>
      <c r="FH1454" s="18" t="inlineStr">
        <is>
          <t>Lck6122evg</t>
        </is>
      </c>
      <c r="FI1454" s="18" t="inlineStr">
        <is>
          <t>Zhong Thong</t>
        </is>
      </c>
      <c r="FJ1454" s="18" t="inlineStr">
        <is>
          <t>Lck6122evg</t>
        </is>
      </c>
      <c r="FK1454" s="18" t="n">
        <v>2026</v>
      </c>
      <c r="FL1454" s="18" t="inlineStr">
        <is>
          <t>B</t>
        </is>
      </c>
      <c r="FM1454" s="18" t="inlineStr">
        <is>
          <t>Lo Blanco</t>
        </is>
      </c>
      <c r="FP1454" t="inlineStr">
        <is>
          <t>B</t>
        </is>
      </c>
      <c r="FS1454" s="14" t="inlineStr">
        <is>
          <t>VJKZ-78|</t>
        </is>
      </c>
      <c r="FT1454" t="inlineStr">
        <is>
          <t>VJKZ-78|</t>
        </is>
      </c>
      <c r="FU1454" t="inlineStr">
        <is>
          <t>VJKZ-78</t>
        </is>
      </c>
      <c r="FV1454">
        <f>VLOOKUP(FU1454,FD:FL,9,0)</f>
        <v/>
      </c>
    </row>
    <row r="1455">
      <c r="FC1455" t="inlineStr">
        <is>
          <t>Diccionario 2</t>
        </is>
      </c>
      <c r="FD1455" s="15" t="inlineStr">
        <is>
          <t>VJKV-78</t>
        </is>
      </c>
      <c r="FE1455" s="17" t="inlineStr">
        <is>
          <t>LDYECS315S0044341</t>
        </is>
      </c>
      <c r="FF1455" s="18" t="inlineStr">
        <is>
          <t>MDN35025030185</t>
        </is>
      </c>
      <c r="FG1455" s="18" t="inlineStr">
        <is>
          <t>Zhong Thong</t>
        </is>
      </c>
      <c r="FH1455" s="18" t="inlineStr">
        <is>
          <t>Lck6122evg</t>
        </is>
      </c>
      <c r="FI1455" s="18" t="inlineStr">
        <is>
          <t>Zhong Thong</t>
        </is>
      </c>
      <c r="FJ1455" s="18" t="inlineStr">
        <is>
          <t>Lck6122evg</t>
        </is>
      </c>
      <c r="FK1455" s="18" t="n">
        <v>2026</v>
      </c>
      <c r="FL1455" s="18" t="inlineStr">
        <is>
          <t>B</t>
        </is>
      </c>
      <c r="FM1455" s="18" t="inlineStr">
        <is>
          <t>Lo Blanco</t>
        </is>
      </c>
      <c r="FP1455" t="inlineStr">
        <is>
          <t>B</t>
        </is>
      </c>
      <c r="FS1455" s="14" t="inlineStr">
        <is>
          <t>3069 / SFWZ-32|</t>
        </is>
      </c>
      <c r="FT1455" t="inlineStr">
        <is>
          <t>SFWZ-32|</t>
        </is>
      </c>
      <c r="FU1455" t="inlineStr">
        <is>
          <t>SFWZ-32</t>
        </is>
      </c>
      <c r="FV1455">
        <f>VLOOKUP(FU1455,FD:FL,9,0)</f>
        <v/>
      </c>
    </row>
    <row r="1456">
      <c r="FC1456" t="inlineStr">
        <is>
          <t>Diccionario 2</t>
        </is>
      </c>
      <c r="FD1456" s="15" t="inlineStr">
        <is>
          <t>VJKV-88</t>
        </is>
      </c>
      <c r="FE1456" s="17" t="inlineStr">
        <is>
          <t>LDYECS316S0044333</t>
        </is>
      </c>
      <c r="FF1456" s="18" t="inlineStr">
        <is>
          <t>MDN35025030188</t>
        </is>
      </c>
      <c r="FG1456" s="18" t="inlineStr">
        <is>
          <t>Zhong Thong</t>
        </is>
      </c>
      <c r="FH1456" s="18" t="inlineStr">
        <is>
          <t>Lck6122evg</t>
        </is>
      </c>
      <c r="FI1456" s="18" t="inlineStr">
        <is>
          <t>Zhong Thong</t>
        </is>
      </c>
      <c r="FJ1456" s="18" t="inlineStr">
        <is>
          <t>Lck6122evg</t>
        </is>
      </c>
      <c r="FK1456" s="18" t="n">
        <v>2026</v>
      </c>
      <c r="FL1456" s="18" t="inlineStr">
        <is>
          <t>B</t>
        </is>
      </c>
      <c r="FM1456" s="18" t="inlineStr">
        <is>
          <t>Lo Blanco</t>
        </is>
      </c>
      <c r="FP1456" t="inlineStr">
        <is>
          <t>B</t>
        </is>
      </c>
      <c r="FS1456" s="14" t="inlineStr">
        <is>
          <t>VJKD-70|</t>
        </is>
      </c>
      <c r="FT1456" t="inlineStr">
        <is>
          <t>VJKD-70|</t>
        </is>
      </c>
      <c r="FU1456" t="inlineStr">
        <is>
          <t>VJKD-70</t>
        </is>
      </c>
      <c r="FV1456">
        <f>VLOOKUP(FU1456,FD:FL,9,0)</f>
        <v/>
      </c>
    </row>
    <row r="1457">
      <c r="FC1457" t="inlineStr">
        <is>
          <t>Diccionario 2</t>
        </is>
      </c>
      <c r="FD1457" s="15" t="inlineStr">
        <is>
          <t>VJKW-68</t>
        </is>
      </c>
      <c r="FE1457" s="17" t="inlineStr">
        <is>
          <t>LDYECS311S0044417</t>
        </is>
      </c>
      <c r="FF1457" s="18" t="inlineStr">
        <is>
          <t>MDN35025030119</t>
        </is>
      </c>
      <c r="FG1457" s="18" t="inlineStr">
        <is>
          <t>Zhong Thong</t>
        </is>
      </c>
      <c r="FH1457" s="18" t="inlineStr">
        <is>
          <t>Lck6122evg</t>
        </is>
      </c>
      <c r="FI1457" s="18" t="inlineStr">
        <is>
          <t>Zhong Thong</t>
        </is>
      </c>
      <c r="FJ1457" s="18" t="inlineStr">
        <is>
          <t>Lck6122evg</t>
        </is>
      </c>
      <c r="FK1457" s="18" t="n">
        <v>2026</v>
      </c>
      <c r="FL1457" s="18" t="inlineStr">
        <is>
          <t>B</t>
        </is>
      </c>
      <c r="FM1457" s="18" t="inlineStr">
        <is>
          <t>Lo Blanco</t>
        </is>
      </c>
      <c r="FP1457" t="inlineStr">
        <is>
          <t>B</t>
        </is>
      </c>
      <c r="FS1457" s="14" t="inlineStr">
        <is>
          <t>VJWZ-74|</t>
        </is>
      </c>
      <c r="FT1457" t="inlineStr">
        <is>
          <t>VJWZ-74|</t>
        </is>
      </c>
      <c r="FU1457" t="inlineStr">
        <is>
          <t>VJWZ-74</t>
        </is>
      </c>
      <c r="FV1457">
        <f>VLOOKUP(FU1457,FD:FL,9,0)</f>
        <v/>
      </c>
    </row>
    <row r="1458">
      <c r="FC1458" t="inlineStr">
        <is>
          <t>Diccionario 2</t>
        </is>
      </c>
      <c r="FD1458" s="15" t="inlineStr">
        <is>
          <t>VJKX-18</t>
        </is>
      </c>
      <c r="FE1458" s="17" t="inlineStr">
        <is>
          <t>LDYECS31XS0044416</t>
        </is>
      </c>
      <c r="FF1458" s="18" t="inlineStr">
        <is>
          <t>MDN35025020083</t>
        </is>
      </c>
      <c r="FG1458" s="18" t="inlineStr">
        <is>
          <t>Zhong Thong</t>
        </is>
      </c>
      <c r="FH1458" s="18" t="inlineStr">
        <is>
          <t>Lck6122evg</t>
        </is>
      </c>
      <c r="FI1458" s="18" t="inlineStr">
        <is>
          <t>Zhong Thong</t>
        </is>
      </c>
      <c r="FJ1458" s="18" t="inlineStr">
        <is>
          <t>Lck6122evg</t>
        </is>
      </c>
      <c r="FK1458" s="18" t="n">
        <v>2026</v>
      </c>
      <c r="FL1458" s="18" t="inlineStr">
        <is>
          <t>B</t>
        </is>
      </c>
      <c r="FM1458" s="18" t="inlineStr">
        <is>
          <t>Lo Blanco</t>
        </is>
      </c>
      <c r="FP1458" t="inlineStr">
        <is>
          <t>B</t>
        </is>
      </c>
      <c r="FS1458" s="14" t="inlineStr">
        <is>
          <t>3107 / SFWZ-85|</t>
        </is>
      </c>
      <c r="FT1458" t="inlineStr">
        <is>
          <t>SFWZ-85|</t>
        </is>
      </c>
      <c r="FU1458" t="inlineStr">
        <is>
          <t>SFWZ-85</t>
        </is>
      </c>
      <c r="FV1458">
        <f>VLOOKUP(FU1458,FD:FL,9,0)</f>
        <v/>
      </c>
    </row>
    <row r="1459">
      <c r="FC1459" t="inlineStr">
        <is>
          <t>Diccionario 2</t>
        </is>
      </c>
      <c r="FD1459" s="15" t="inlineStr">
        <is>
          <t>VJKX-38</t>
        </is>
      </c>
      <c r="FE1459" s="17" t="inlineStr">
        <is>
          <t>LDYECS318S0044401</t>
        </is>
      </c>
      <c r="FF1459" s="18" t="inlineStr">
        <is>
          <t>MDN35025030148</t>
        </is>
      </c>
      <c r="FG1459" s="18" t="inlineStr">
        <is>
          <t>Zhong Thong</t>
        </is>
      </c>
      <c r="FH1459" s="18" t="inlineStr">
        <is>
          <t>Lck6122evg</t>
        </is>
      </c>
      <c r="FI1459" s="18" t="inlineStr">
        <is>
          <t>Zhong Thong</t>
        </is>
      </c>
      <c r="FJ1459" s="18" t="inlineStr">
        <is>
          <t>Lck6122evg</t>
        </is>
      </c>
      <c r="FK1459" s="18" t="n">
        <v>2026</v>
      </c>
      <c r="FL1459" s="18" t="inlineStr">
        <is>
          <t>B</t>
        </is>
      </c>
      <c r="FM1459" s="18" t="inlineStr">
        <is>
          <t>Lo Blanco</t>
        </is>
      </c>
      <c r="FP1459" t="inlineStr">
        <is>
          <t>B</t>
        </is>
      </c>
      <c r="FS1459" s="14" t="inlineStr">
        <is>
          <t>VJKG-25|</t>
        </is>
      </c>
      <c r="FT1459" t="inlineStr">
        <is>
          <t>VJKG-25|</t>
        </is>
      </c>
      <c r="FU1459" t="inlineStr">
        <is>
          <t>VJKG-25</t>
        </is>
      </c>
      <c r="FV1459">
        <f>VLOOKUP(FU1459,FD:FL,9,0)</f>
        <v/>
      </c>
    </row>
    <row r="1460">
      <c r="FC1460" t="inlineStr">
        <is>
          <t>Diccionario 2</t>
        </is>
      </c>
      <c r="FD1460" s="15" t="inlineStr">
        <is>
          <t>VJKX-78</t>
        </is>
      </c>
      <c r="FE1460" s="17" t="inlineStr">
        <is>
          <t>LDYECS31XS0044402</t>
        </is>
      </c>
      <c r="FF1460" s="18" t="inlineStr">
        <is>
          <t>MDN35025030252</t>
        </is>
      </c>
      <c r="FG1460" s="18" t="inlineStr">
        <is>
          <t>Zhong Thong</t>
        </is>
      </c>
      <c r="FH1460" s="18" t="inlineStr">
        <is>
          <t>Lck6122evg</t>
        </is>
      </c>
      <c r="FI1460" s="18" t="inlineStr">
        <is>
          <t>Zhong Thong</t>
        </is>
      </c>
      <c r="FJ1460" s="18" t="inlineStr">
        <is>
          <t>Lck6122evg</t>
        </is>
      </c>
      <c r="FK1460" s="18" t="n">
        <v>2026</v>
      </c>
      <c r="FL1460" s="18" t="inlineStr">
        <is>
          <t>B</t>
        </is>
      </c>
      <c r="FM1460" s="18" t="inlineStr">
        <is>
          <t>Lo Blanco</t>
        </is>
      </c>
      <c r="FP1460" t="inlineStr">
        <is>
          <t>B</t>
        </is>
      </c>
      <c r="FS1460" s="14" t="inlineStr">
        <is>
          <t>VJXB-56|</t>
        </is>
      </c>
      <c r="FT1460" t="inlineStr">
        <is>
          <t>VJXB-56|</t>
        </is>
      </c>
      <c r="FU1460" t="inlineStr">
        <is>
          <t>VJXB-56</t>
        </is>
      </c>
      <c r="FV1460">
        <f>VLOOKUP(FU1460,FD:FL,9,0)</f>
        <v/>
      </c>
    </row>
    <row r="1461">
      <c r="FC1461" t="inlineStr">
        <is>
          <t>Diccionario 2</t>
        </is>
      </c>
      <c r="FD1461" s="15" t="inlineStr">
        <is>
          <t>VJKY-18</t>
        </is>
      </c>
      <c r="FE1461" s="17" t="inlineStr">
        <is>
          <t>LDYECS318S0044415</t>
        </is>
      </c>
      <c r="FF1461" s="18" t="inlineStr">
        <is>
          <t>MDN35025030034</t>
        </is>
      </c>
      <c r="FG1461" s="18" t="inlineStr">
        <is>
          <t>Zhong Thong</t>
        </is>
      </c>
      <c r="FH1461" s="18" t="inlineStr">
        <is>
          <t>Lck6122evg</t>
        </is>
      </c>
      <c r="FI1461" s="18" t="inlineStr">
        <is>
          <t>Zhong Thong</t>
        </is>
      </c>
      <c r="FJ1461" s="18" t="inlineStr">
        <is>
          <t>Lck6122evg</t>
        </is>
      </c>
      <c r="FK1461" s="18" t="n">
        <v>2026</v>
      </c>
      <c r="FL1461" s="18" t="inlineStr">
        <is>
          <t>B</t>
        </is>
      </c>
      <c r="FM1461" s="18" t="inlineStr">
        <is>
          <t>Lo Blanco</t>
        </is>
      </c>
      <c r="FP1461" t="inlineStr">
        <is>
          <t>B</t>
        </is>
      </c>
      <c r="FS1461" s="14" t="inlineStr">
        <is>
          <t>VJXC-75|</t>
        </is>
      </c>
      <c r="FT1461" t="inlineStr">
        <is>
          <t>VJXC-75|</t>
        </is>
      </c>
      <c r="FU1461" t="inlineStr">
        <is>
          <t>VJXC-75</t>
        </is>
      </c>
      <c r="FV1461">
        <f>VLOOKUP(FU1461,FD:FL,9,0)</f>
        <v/>
      </c>
    </row>
    <row r="1462">
      <c r="FC1462" t="inlineStr">
        <is>
          <t>Diccionario 2</t>
        </is>
      </c>
      <c r="FD1462" s="15" t="inlineStr">
        <is>
          <t>VJKY-58</t>
        </is>
      </c>
      <c r="FE1462" s="17" t="inlineStr">
        <is>
          <t>LDYECS314S0044413</t>
        </is>
      </c>
      <c r="FF1462" s="18" t="inlineStr">
        <is>
          <t>MDN35025030256</t>
        </is>
      </c>
      <c r="FG1462" s="18" t="inlineStr">
        <is>
          <t>Zhong Thong</t>
        </is>
      </c>
      <c r="FH1462" s="18" t="inlineStr">
        <is>
          <t>Lck6122evg</t>
        </is>
      </c>
      <c r="FI1462" s="18" t="inlineStr">
        <is>
          <t>Zhong Thong</t>
        </is>
      </c>
      <c r="FJ1462" s="18" t="inlineStr">
        <is>
          <t>Lck6122evg</t>
        </is>
      </c>
      <c r="FK1462" s="18" t="n">
        <v>2026</v>
      </c>
      <c r="FL1462" s="18" t="inlineStr">
        <is>
          <t>B</t>
        </is>
      </c>
      <c r="FM1462" s="18" t="inlineStr">
        <is>
          <t>Lo Blanco</t>
        </is>
      </c>
      <c r="FP1462" t="inlineStr">
        <is>
          <t>B</t>
        </is>
      </c>
      <c r="FS1462" s="14" t="inlineStr">
        <is>
          <t>VJYH-63|</t>
        </is>
      </c>
      <c r="FT1462" t="inlineStr">
        <is>
          <t>VJYH-63|</t>
        </is>
      </c>
      <c r="FU1462" t="inlineStr">
        <is>
          <t>VJYH-63</t>
        </is>
      </c>
      <c r="FV1462">
        <f>VLOOKUP(FU1462,FD:FL,9,0)</f>
        <v/>
      </c>
    </row>
    <row r="1463">
      <c r="FC1463" t="inlineStr">
        <is>
          <t>Diccionario 2</t>
        </is>
      </c>
      <c r="FD1463" s="15" t="inlineStr">
        <is>
          <t>VJKZ-38</t>
        </is>
      </c>
      <c r="FE1463" s="17" t="inlineStr">
        <is>
          <t>LDYECS312S0044412</t>
        </is>
      </c>
      <c r="FF1463" s="18" t="inlineStr">
        <is>
          <t>MDN35025020183</t>
        </is>
      </c>
      <c r="FG1463" s="18" t="inlineStr">
        <is>
          <t>Zhong Thong</t>
        </is>
      </c>
      <c r="FH1463" s="18" t="inlineStr">
        <is>
          <t>Lck6122evg</t>
        </is>
      </c>
      <c r="FI1463" s="18" t="inlineStr">
        <is>
          <t>Zhong Thong</t>
        </is>
      </c>
      <c r="FJ1463" s="18" t="inlineStr">
        <is>
          <t>Lck6122evg</t>
        </is>
      </c>
      <c r="FK1463" s="18" t="n">
        <v>2026</v>
      </c>
      <c r="FL1463" s="18" t="inlineStr">
        <is>
          <t>B</t>
        </is>
      </c>
      <c r="FM1463" s="18" t="inlineStr">
        <is>
          <t>Lo Blanco</t>
        </is>
      </c>
      <c r="FP1463" t="inlineStr">
        <is>
          <t>B</t>
        </is>
      </c>
      <c r="FS1463" s="14" t="inlineStr">
        <is>
          <t>3047 / SFVZ-39|</t>
        </is>
      </c>
      <c r="FT1463" t="inlineStr">
        <is>
          <t>SFVZ-39|</t>
        </is>
      </c>
      <c r="FU1463" t="inlineStr">
        <is>
          <t>SFVZ-39</t>
        </is>
      </c>
      <c r="FV1463">
        <f>VLOOKUP(FU1463,FD:FL,9,0)</f>
        <v/>
      </c>
    </row>
    <row r="1464">
      <c r="FC1464" t="inlineStr">
        <is>
          <t>Diccionario 2</t>
        </is>
      </c>
      <c r="FD1464" s="15" t="inlineStr">
        <is>
          <t>VJKZ-78</t>
        </is>
      </c>
      <c r="FE1464" s="17" t="inlineStr">
        <is>
          <t>LDYECS315S0044162</t>
        </is>
      </c>
      <c r="FF1464" s="18" t="inlineStr">
        <is>
          <t>MDN35025020184</t>
        </is>
      </c>
      <c r="FG1464" s="18" t="inlineStr">
        <is>
          <t>Zhong Thong</t>
        </is>
      </c>
      <c r="FH1464" s="18" t="inlineStr">
        <is>
          <t>Lck6122evg</t>
        </is>
      </c>
      <c r="FI1464" s="18" t="inlineStr">
        <is>
          <t>Zhong Thong</t>
        </is>
      </c>
      <c r="FJ1464" s="18" t="inlineStr">
        <is>
          <t>Lck6122evg</t>
        </is>
      </c>
      <c r="FK1464" s="18" t="n">
        <v>2026</v>
      </c>
      <c r="FL1464" s="18" t="inlineStr">
        <is>
          <t>B</t>
        </is>
      </c>
      <c r="FM1464" s="18" t="inlineStr">
        <is>
          <t>Lo Blanco</t>
        </is>
      </c>
      <c r="FP1464" t="inlineStr">
        <is>
          <t>B</t>
        </is>
      </c>
      <c r="FS1464" s="14" t="inlineStr">
        <is>
          <t>VJKX-78|</t>
        </is>
      </c>
      <c r="FT1464" t="inlineStr">
        <is>
          <t>VJKX-78|</t>
        </is>
      </c>
      <c r="FU1464" t="inlineStr">
        <is>
          <t>VJKX-78</t>
        </is>
      </c>
      <c r="FV1464">
        <f>VLOOKUP(FU1464,FD:FL,9,0)</f>
        <v/>
      </c>
    </row>
    <row r="1465">
      <c r="FC1465" t="inlineStr">
        <is>
          <t>Diccionario 2</t>
        </is>
      </c>
      <c r="FD1465" s="15" t="inlineStr">
        <is>
          <t>VJLH-14</t>
        </is>
      </c>
      <c r="FE1465" s="17" t="inlineStr">
        <is>
          <t>LDYECS311S0044174</t>
        </is>
      </c>
      <c r="FF1465" s="18" t="inlineStr">
        <is>
          <t>MDN35025020232</t>
        </is>
      </c>
      <c r="FG1465" s="18" t="inlineStr">
        <is>
          <t>Zhong Thong</t>
        </is>
      </c>
      <c r="FH1465" s="18" t="inlineStr">
        <is>
          <t>Lck6122evg</t>
        </is>
      </c>
      <c r="FI1465" s="18" t="inlineStr">
        <is>
          <t>Zhong Thong</t>
        </is>
      </c>
      <c r="FJ1465" s="18" t="inlineStr">
        <is>
          <t>Lck6122evg</t>
        </is>
      </c>
      <c r="FK1465" s="18" t="n">
        <v>2026</v>
      </c>
      <c r="FL1465" s="18" t="inlineStr">
        <is>
          <t>B</t>
        </is>
      </c>
      <c r="FM1465" s="18" t="inlineStr">
        <is>
          <t>Ducaud</t>
        </is>
      </c>
      <c r="FP1465" t="inlineStr">
        <is>
          <t>B</t>
        </is>
      </c>
      <c r="FS1465" s="14" t="inlineStr">
        <is>
          <t>VJXC-26|</t>
        </is>
      </c>
      <c r="FT1465" t="inlineStr">
        <is>
          <t>VJXC-26|</t>
        </is>
      </c>
      <c r="FU1465" t="inlineStr">
        <is>
          <t>VJXC-26</t>
        </is>
      </c>
      <c r="FV1465">
        <f>VLOOKUP(FU1465,FD:FL,9,0)</f>
        <v/>
      </c>
    </row>
    <row r="1466">
      <c r="FC1466" t="inlineStr">
        <is>
          <t>Diccionario 2</t>
        </is>
      </c>
      <c r="FD1466" s="15" t="inlineStr">
        <is>
          <t>VJLH-24</t>
        </is>
      </c>
      <c r="FE1466" s="17" t="inlineStr">
        <is>
          <t>LDYECS310S0044179</t>
        </is>
      </c>
      <c r="FF1466" s="18" t="inlineStr">
        <is>
          <t>MDN35025020240</t>
        </is>
      </c>
      <c r="FG1466" s="18" t="inlineStr">
        <is>
          <t>Zhong Thong</t>
        </is>
      </c>
      <c r="FH1466" s="18" t="inlineStr">
        <is>
          <t>Lck6122evg</t>
        </is>
      </c>
      <c r="FI1466" s="18" t="inlineStr">
        <is>
          <t>Zhong Thong</t>
        </is>
      </c>
      <c r="FJ1466" s="18" t="inlineStr">
        <is>
          <t>Lck6122evg</t>
        </is>
      </c>
      <c r="FK1466" s="18" t="n">
        <v>2026</v>
      </c>
      <c r="FL1466" s="18" t="inlineStr">
        <is>
          <t>B</t>
        </is>
      </c>
      <c r="FM1466" s="18" t="inlineStr">
        <is>
          <t>Ducaud</t>
        </is>
      </c>
      <c r="FP1466" t="inlineStr">
        <is>
          <t>B</t>
        </is>
      </c>
      <c r="FS1466" s="14" t="inlineStr">
        <is>
          <t>VJKF-29|</t>
        </is>
      </c>
      <c r="FT1466" t="inlineStr">
        <is>
          <t>VJKF-29|</t>
        </is>
      </c>
      <c r="FU1466" t="inlineStr">
        <is>
          <t>VJKF-29</t>
        </is>
      </c>
      <c r="FV1466">
        <f>VLOOKUP(FU1466,FD:FL,9,0)</f>
        <v/>
      </c>
    </row>
    <row r="1467">
      <c r="FC1467" t="inlineStr">
        <is>
          <t>Diccionario 2</t>
        </is>
      </c>
      <c r="FD1467" s="15" t="inlineStr">
        <is>
          <t>VJLH-33</t>
        </is>
      </c>
      <c r="FE1467" s="17" t="inlineStr">
        <is>
          <t>LDYECS316S0044171</t>
        </is>
      </c>
      <c r="FF1467" s="18" t="inlineStr">
        <is>
          <t>MDN35025020235</t>
        </is>
      </c>
      <c r="FG1467" s="18" t="inlineStr">
        <is>
          <t>Zhong Thong</t>
        </is>
      </c>
      <c r="FH1467" s="18" t="inlineStr">
        <is>
          <t>Lck6122evg</t>
        </is>
      </c>
      <c r="FI1467" s="18" t="inlineStr">
        <is>
          <t>Zhong Thong</t>
        </is>
      </c>
      <c r="FJ1467" s="18" t="inlineStr">
        <is>
          <t>Lck6122evg</t>
        </is>
      </c>
      <c r="FK1467" s="18" t="n">
        <v>2026</v>
      </c>
      <c r="FL1467" s="18" t="inlineStr">
        <is>
          <t>B</t>
        </is>
      </c>
      <c r="FM1467" s="18" t="inlineStr">
        <is>
          <t>Ducaud</t>
        </is>
      </c>
      <c r="FP1467" t="inlineStr">
        <is>
          <t>B</t>
        </is>
      </c>
      <c r="FS1467" s="14" t="inlineStr">
        <is>
          <t>VJKY-58|</t>
        </is>
      </c>
      <c r="FT1467" t="inlineStr">
        <is>
          <t>VJKY-58|</t>
        </is>
      </c>
      <c r="FU1467" t="inlineStr">
        <is>
          <t>VJKY-58</t>
        </is>
      </c>
      <c r="FV1467">
        <f>VLOOKUP(FU1467,FD:FL,9,0)</f>
        <v/>
      </c>
    </row>
    <row r="1468">
      <c r="FC1468" t="inlineStr">
        <is>
          <t>Diccionario 2</t>
        </is>
      </c>
      <c r="FD1468" s="15" t="inlineStr">
        <is>
          <t>VJWZ-74</t>
        </is>
      </c>
      <c r="FE1468" s="17" t="inlineStr">
        <is>
          <t>LDYECS315S0044226</t>
        </is>
      </c>
      <c r="FF1468" s="18" t="inlineStr">
        <is>
          <t>MDN35025020140</t>
        </is>
      </c>
      <c r="FG1468" s="18" t="inlineStr">
        <is>
          <t>Zhong Thong</t>
        </is>
      </c>
      <c r="FH1468" s="18" t="inlineStr">
        <is>
          <t>Lck6122evg</t>
        </is>
      </c>
      <c r="FI1468" s="18" t="inlineStr">
        <is>
          <t>Zhong Thong</t>
        </is>
      </c>
      <c r="FJ1468" s="18" t="inlineStr">
        <is>
          <t>Lck6122evg</t>
        </is>
      </c>
      <c r="FK1468" s="18" t="n">
        <v>2026</v>
      </c>
      <c r="FL1468" s="18" t="inlineStr">
        <is>
          <t>B</t>
        </is>
      </c>
      <c r="FM1468" s="18" t="inlineStr">
        <is>
          <t>Lo Blanco</t>
        </is>
      </c>
      <c r="FP1468" t="inlineStr">
        <is>
          <t>B</t>
        </is>
      </c>
      <c r="FS1468" s="14" t="inlineStr">
        <is>
          <t>VJKY-18|</t>
        </is>
      </c>
      <c r="FT1468" t="inlineStr">
        <is>
          <t>VJKY-18|</t>
        </is>
      </c>
      <c r="FU1468" t="inlineStr">
        <is>
          <t>VJKY-18</t>
        </is>
      </c>
      <c r="FV1468">
        <f>VLOOKUP(FU1468,FD:FL,9,0)</f>
        <v/>
      </c>
    </row>
    <row r="1469">
      <c r="FC1469" t="inlineStr">
        <is>
          <t>Diccionario 2</t>
        </is>
      </c>
      <c r="FD1469" s="15" t="inlineStr">
        <is>
          <t>VJWZ-95</t>
        </is>
      </c>
      <c r="FE1469" s="17" t="inlineStr">
        <is>
          <t>LDYECS311S0044241</t>
        </is>
      </c>
      <c r="FF1469" s="18" t="inlineStr">
        <is>
          <t>MDN35025020192</t>
        </is>
      </c>
      <c r="FG1469" s="18" t="inlineStr">
        <is>
          <t>Zhong Thong</t>
        </is>
      </c>
      <c r="FH1469" s="18" t="inlineStr">
        <is>
          <t>Lck6122evg</t>
        </is>
      </c>
      <c r="FI1469" s="18" t="inlineStr">
        <is>
          <t>Zhong Thong</t>
        </is>
      </c>
      <c r="FJ1469" s="18" t="inlineStr">
        <is>
          <t>Lck6122evg</t>
        </is>
      </c>
      <c r="FK1469" s="18" t="n">
        <v>2026</v>
      </c>
      <c r="FL1469" s="18" t="inlineStr">
        <is>
          <t>B</t>
        </is>
      </c>
      <c r="FM1469" s="18" t="inlineStr">
        <is>
          <t>Lo Blanco</t>
        </is>
      </c>
      <c r="FP1469" t="inlineStr">
        <is>
          <t>B</t>
        </is>
      </c>
      <c r="FS1469" s="14" t="inlineStr">
        <is>
          <t>VJXB-27|</t>
        </is>
      </c>
      <c r="FT1469" t="inlineStr">
        <is>
          <t>VJXB-27|</t>
        </is>
      </c>
      <c r="FU1469" t="inlineStr">
        <is>
          <t>VJXB-27</t>
        </is>
      </c>
      <c r="FV1469">
        <f>VLOOKUP(FU1469,FD:FL,9,0)</f>
        <v/>
      </c>
    </row>
    <row r="1470">
      <c r="FC1470" t="inlineStr">
        <is>
          <t>Diccionario 2</t>
        </is>
      </c>
      <c r="FD1470" s="15" t="inlineStr">
        <is>
          <t>VJXB-27</t>
        </is>
      </c>
      <c r="FE1470" s="17" t="inlineStr">
        <is>
          <t>LDYECS310S0044148</t>
        </is>
      </c>
      <c r="FF1470" s="18" t="inlineStr">
        <is>
          <t>MDN35025030010</t>
        </is>
      </c>
      <c r="FG1470" s="18" t="inlineStr">
        <is>
          <t>Zhong Thong</t>
        </is>
      </c>
      <c r="FH1470" s="18" t="inlineStr">
        <is>
          <t>Lck6122evg</t>
        </is>
      </c>
      <c r="FI1470" s="18" t="inlineStr">
        <is>
          <t>Zhong Thong</t>
        </is>
      </c>
      <c r="FJ1470" s="18" t="inlineStr">
        <is>
          <t>Lck6122evg</t>
        </is>
      </c>
      <c r="FK1470" s="18" t="n">
        <v>2026</v>
      </c>
      <c r="FL1470" s="18" t="inlineStr">
        <is>
          <t>B</t>
        </is>
      </c>
      <c r="FM1470" s="18" t="inlineStr">
        <is>
          <t>Lo Blanco</t>
        </is>
      </c>
      <c r="FP1470" t="inlineStr">
        <is>
          <t>B</t>
        </is>
      </c>
      <c r="FS1470" s="14" t="inlineStr">
        <is>
          <t>LZPT-75|</t>
        </is>
      </c>
      <c r="FT1470" t="inlineStr">
        <is>
          <t>LZPT-75|</t>
        </is>
      </c>
      <c r="FU1470" t="inlineStr">
        <is>
          <t>LZPT-75</t>
        </is>
      </c>
      <c r="FV1470">
        <f>VLOOKUP(FU1470,FD:FL,9,0)</f>
        <v/>
      </c>
    </row>
    <row r="1471">
      <c r="FC1471" t="inlineStr">
        <is>
          <t>Diccionario 2</t>
        </is>
      </c>
      <c r="FD1471" s="15" t="inlineStr">
        <is>
          <t>VJXB-56</t>
        </is>
      </c>
      <c r="FE1471" s="17" t="inlineStr">
        <is>
          <t>LDYECS315S0044159</t>
        </is>
      </c>
      <c r="FF1471" s="18" t="inlineStr">
        <is>
          <t>MDN35025020161</t>
        </is>
      </c>
      <c r="FG1471" s="18" t="inlineStr">
        <is>
          <t>Zhong Thong</t>
        </is>
      </c>
      <c r="FH1471" s="18" t="inlineStr">
        <is>
          <t>Lck6122evg</t>
        </is>
      </c>
      <c r="FI1471" s="18" t="inlineStr">
        <is>
          <t>Zhong Thong</t>
        </is>
      </c>
      <c r="FJ1471" s="18" t="inlineStr">
        <is>
          <t>Lck6122evg</t>
        </is>
      </c>
      <c r="FK1471" s="18" t="n">
        <v>2026</v>
      </c>
      <c r="FL1471" s="18" t="inlineStr">
        <is>
          <t>B</t>
        </is>
      </c>
      <c r="FM1471" s="18" t="inlineStr">
        <is>
          <t>Lo Blanco</t>
        </is>
      </c>
      <c r="FP1471" t="inlineStr">
        <is>
          <t>B</t>
        </is>
      </c>
      <c r="FS1471" s="14" t="inlineStr">
        <is>
          <t>VJZB-47|</t>
        </is>
      </c>
      <c r="FT1471" t="inlineStr">
        <is>
          <t>VJZB-47|</t>
        </is>
      </c>
      <c r="FU1471" t="inlineStr">
        <is>
          <t>VJZB-47</t>
        </is>
      </c>
      <c r="FV1471">
        <f>VLOOKUP(FU1471,FD:FL,9,0)</f>
        <v/>
      </c>
    </row>
    <row r="1472">
      <c r="FC1472" t="inlineStr">
        <is>
          <t>Diccionario 2</t>
        </is>
      </c>
      <c r="FD1472" s="15" t="inlineStr">
        <is>
          <t>VJXB-87</t>
        </is>
      </c>
      <c r="FE1472" s="17" t="inlineStr">
        <is>
          <t>LDYECS310S0044232</t>
        </is>
      </c>
      <c r="FF1472" s="18" t="inlineStr">
        <is>
          <t>MDN35025030039</t>
        </is>
      </c>
      <c r="FG1472" s="18" t="inlineStr">
        <is>
          <t>Zhong Thong</t>
        </is>
      </c>
      <c r="FH1472" s="18" t="inlineStr">
        <is>
          <t>Lck6122evg</t>
        </is>
      </c>
      <c r="FI1472" s="18" t="inlineStr">
        <is>
          <t>Zhong Thong</t>
        </is>
      </c>
      <c r="FJ1472" s="18" t="inlineStr">
        <is>
          <t>Lck6122evg</t>
        </is>
      </c>
      <c r="FK1472" s="18" t="n">
        <v>2026</v>
      </c>
      <c r="FL1472" s="18" t="inlineStr">
        <is>
          <t>B</t>
        </is>
      </c>
      <c r="FM1472" s="18" t="inlineStr">
        <is>
          <t>Lo Blanco</t>
        </is>
      </c>
      <c r="FP1472" t="inlineStr">
        <is>
          <t>B</t>
        </is>
      </c>
      <c r="FS1472" s="14" t="inlineStr">
        <is>
          <t>LZPR-90|</t>
        </is>
      </c>
      <c r="FT1472" t="inlineStr">
        <is>
          <t>LZPR-90|</t>
        </is>
      </c>
      <c r="FU1472" t="inlineStr">
        <is>
          <t>LZPR-90</t>
        </is>
      </c>
      <c r="FV1472">
        <f>VLOOKUP(FU1472,FD:FL,9,0)</f>
        <v/>
      </c>
    </row>
    <row r="1473">
      <c r="FC1473" t="inlineStr">
        <is>
          <t>Diccionario 2</t>
        </is>
      </c>
      <c r="FD1473" s="15" t="inlineStr">
        <is>
          <t>VJXC-26</t>
        </is>
      </c>
      <c r="FE1473" s="17" t="inlineStr">
        <is>
          <t>LDYECS311S0044157</t>
        </is>
      </c>
      <c r="FF1473" s="18" t="inlineStr">
        <is>
          <t>MDN35025020182</t>
        </is>
      </c>
      <c r="FG1473" s="18" t="inlineStr">
        <is>
          <t>Zhong Thong</t>
        </is>
      </c>
      <c r="FH1473" s="18" t="inlineStr">
        <is>
          <t>Lck6122evg</t>
        </is>
      </c>
      <c r="FI1473" s="18" t="inlineStr">
        <is>
          <t>Zhong Thong</t>
        </is>
      </c>
      <c r="FJ1473" s="18" t="inlineStr">
        <is>
          <t>Lck6122evg</t>
        </is>
      </c>
      <c r="FK1473" s="18" t="n">
        <v>2026</v>
      </c>
      <c r="FL1473" s="18" t="inlineStr">
        <is>
          <t>B</t>
        </is>
      </c>
      <c r="FM1473" s="18" t="inlineStr">
        <is>
          <t>Lo Blanco</t>
        </is>
      </c>
      <c r="FP1473" t="inlineStr">
        <is>
          <t>B</t>
        </is>
      </c>
      <c r="FS1473" s="14" t="inlineStr">
        <is>
          <t>3093 / SFWZ-82|</t>
        </is>
      </c>
      <c r="FT1473" t="inlineStr">
        <is>
          <t>SFWZ-82|</t>
        </is>
      </c>
      <c r="FU1473" t="inlineStr">
        <is>
          <t>SFWZ-82</t>
        </is>
      </c>
      <c r="FV1473">
        <f>VLOOKUP(FU1473,FD:FL,9,0)</f>
        <v/>
      </c>
    </row>
    <row r="1474">
      <c r="FC1474" t="inlineStr">
        <is>
          <t>Diccionario 2</t>
        </is>
      </c>
      <c r="FD1474" s="15" t="inlineStr">
        <is>
          <t>VJXC-42</t>
        </is>
      </c>
      <c r="FE1474" s="17" t="inlineStr">
        <is>
          <t>LDYECS319S0044150</t>
        </is>
      </c>
      <c r="FF1474" s="18" t="inlineStr">
        <is>
          <t>MDN35025030054</t>
        </is>
      </c>
      <c r="FG1474" s="18" t="inlineStr">
        <is>
          <t>Zhong Thong</t>
        </is>
      </c>
      <c r="FH1474" s="18" t="inlineStr">
        <is>
          <t>Lck6122evg</t>
        </is>
      </c>
      <c r="FI1474" s="18" t="inlineStr">
        <is>
          <t>Zhong Thong</t>
        </is>
      </c>
      <c r="FJ1474" s="18" t="inlineStr">
        <is>
          <t>Lck6122evg</t>
        </is>
      </c>
      <c r="FK1474" s="18" t="n">
        <v>2026</v>
      </c>
      <c r="FL1474" s="18" t="inlineStr">
        <is>
          <t>B</t>
        </is>
      </c>
      <c r="FM1474" s="18" t="inlineStr">
        <is>
          <t>Lo Blanco</t>
        </is>
      </c>
      <c r="FP1474" t="inlineStr">
        <is>
          <t>B</t>
        </is>
      </c>
      <c r="FS1474" s="14" t="inlineStr">
        <is>
          <t>3069 / SFWZ-32|</t>
        </is>
      </c>
      <c r="FT1474" t="inlineStr">
        <is>
          <t>SFWZ-32|</t>
        </is>
      </c>
      <c r="FU1474" t="inlineStr">
        <is>
          <t>SFWZ-32</t>
        </is>
      </c>
      <c r="FV1474">
        <f>VLOOKUP(FU1474,FD:FL,9,0)</f>
        <v/>
      </c>
    </row>
    <row r="1475">
      <c r="FC1475" t="inlineStr">
        <is>
          <t>Diccionario 2</t>
        </is>
      </c>
      <c r="FD1475" s="15" t="inlineStr">
        <is>
          <t>VJXC-53</t>
        </is>
      </c>
      <c r="FE1475" s="17" t="inlineStr">
        <is>
          <t>LDYECS319S0044164</t>
        </is>
      </c>
      <c r="FF1475" s="18" t="inlineStr">
        <is>
          <t>MDN35025020178</t>
        </is>
      </c>
      <c r="FG1475" s="18" t="inlineStr">
        <is>
          <t>Zhong Thong</t>
        </is>
      </c>
      <c r="FH1475" s="18" t="inlineStr">
        <is>
          <t>Lck6122evg</t>
        </is>
      </c>
      <c r="FI1475" s="18" t="inlineStr">
        <is>
          <t>Zhong Thong</t>
        </is>
      </c>
      <c r="FJ1475" s="18" t="inlineStr">
        <is>
          <t>Lck6122evg</t>
        </is>
      </c>
      <c r="FK1475" s="18" t="n">
        <v>2026</v>
      </c>
      <c r="FL1475" s="18" t="inlineStr">
        <is>
          <t>B</t>
        </is>
      </c>
      <c r="FM1475" s="18" t="inlineStr">
        <is>
          <t>Lo Blanco</t>
        </is>
      </c>
      <c r="FP1475" t="inlineStr">
        <is>
          <t>B</t>
        </is>
      </c>
      <c r="FS1475" s="14" t="inlineStr">
        <is>
          <t>VJKW-68|</t>
        </is>
      </c>
      <c r="FT1475" t="inlineStr">
        <is>
          <t>VJKW-68|</t>
        </is>
      </c>
      <c r="FU1475" t="inlineStr">
        <is>
          <t>VJKW-68</t>
        </is>
      </c>
      <c r="FV1475">
        <f>VLOOKUP(FU1475,FD:FL,9,0)</f>
        <v/>
      </c>
    </row>
    <row r="1476">
      <c r="FC1476" t="inlineStr">
        <is>
          <t>Diccionario 2</t>
        </is>
      </c>
      <c r="FD1476" s="15" t="inlineStr">
        <is>
          <t>VJXC-75</t>
        </is>
      </c>
      <c r="FE1476" s="17" t="inlineStr">
        <is>
          <t>LDTECS314S0044234</t>
        </is>
      </c>
      <c r="FF1476" s="18" t="inlineStr">
        <is>
          <t>MDN35025020193</t>
        </is>
      </c>
      <c r="FG1476" s="18" t="inlineStr">
        <is>
          <t>Zhong Thong</t>
        </is>
      </c>
      <c r="FH1476" s="18" t="inlineStr">
        <is>
          <t>Lck6122evg</t>
        </is>
      </c>
      <c r="FI1476" s="18" t="inlineStr">
        <is>
          <t>Zhong Thong</t>
        </is>
      </c>
      <c r="FJ1476" s="18" t="inlineStr">
        <is>
          <t>Lck6122evg</t>
        </is>
      </c>
      <c r="FK1476" s="18" t="n">
        <v>2026</v>
      </c>
      <c r="FL1476" s="18" t="inlineStr">
        <is>
          <t>B</t>
        </is>
      </c>
      <c r="FM1476" s="18" t="inlineStr">
        <is>
          <t>Lo Blanco</t>
        </is>
      </c>
      <c r="FP1476" t="inlineStr">
        <is>
          <t>B</t>
        </is>
      </c>
      <c r="FS1476" s="14" t="inlineStr">
        <is>
          <t>VJWZ-74|</t>
        </is>
      </c>
      <c r="FT1476" t="inlineStr">
        <is>
          <t>VJWZ-74|</t>
        </is>
      </c>
      <c r="FU1476" t="inlineStr">
        <is>
          <t>VJWZ-74</t>
        </is>
      </c>
      <c r="FV1476">
        <f>VLOOKUP(FU1476,FD:FL,9,0)</f>
        <v/>
      </c>
    </row>
    <row r="1477">
      <c r="FC1477" t="inlineStr">
        <is>
          <t>Diccionario 2</t>
        </is>
      </c>
      <c r="FD1477" s="15" t="inlineStr">
        <is>
          <t>VJXC-91</t>
        </is>
      </c>
      <c r="FE1477" s="17" t="inlineStr">
        <is>
          <t>LDYECS31XS0044254</t>
        </is>
      </c>
      <c r="FF1477" s="18" t="inlineStr">
        <is>
          <t>MDN35025020258</t>
        </is>
      </c>
      <c r="FG1477" s="18" t="inlineStr">
        <is>
          <t>Zhong Thong</t>
        </is>
      </c>
      <c r="FH1477" s="18" t="inlineStr">
        <is>
          <t>Lck6122evg</t>
        </is>
      </c>
      <c r="FI1477" s="18" t="inlineStr">
        <is>
          <t>Zhong Thong</t>
        </is>
      </c>
      <c r="FJ1477" s="18" t="inlineStr">
        <is>
          <t>Lck6122evg</t>
        </is>
      </c>
      <c r="FK1477" s="18" t="n">
        <v>2026</v>
      </c>
      <c r="FL1477" s="18" t="inlineStr">
        <is>
          <t>B</t>
        </is>
      </c>
      <c r="FM1477" s="18" t="inlineStr">
        <is>
          <t>Lo Blanco</t>
        </is>
      </c>
      <c r="FP1477" t="inlineStr">
        <is>
          <t>B</t>
        </is>
      </c>
      <c r="FS1477" s="14" t="inlineStr">
        <is>
          <t>VJKX-78|</t>
        </is>
      </c>
      <c r="FT1477" t="inlineStr">
        <is>
          <t>VJKX-78|</t>
        </is>
      </c>
      <c r="FU1477" t="inlineStr">
        <is>
          <t>VJKX-78</t>
        </is>
      </c>
      <c r="FV1477">
        <f>VLOOKUP(FU1477,FD:FL,9,0)</f>
        <v/>
      </c>
    </row>
    <row r="1478">
      <c r="FC1478" t="inlineStr">
        <is>
          <t>Diccionario 2</t>
        </is>
      </c>
      <c r="FD1478" s="15" t="inlineStr">
        <is>
          <t>VJXD-48</t>
        </is>
      </c>
      <c r="FE1478" s="17" t="inlineStr">
        <is>
          <t>LDYECS313S0044256</t>
        </is>
      </c>
      <c r="FF1478" s="18" t="inlineStr">
        <is>
          <t>MDN35025020180</t>
        </is>
      </c>
      <c r="FG1478" s="18" t="inlineStr">
        <is>
          <t>Zhong Thong</t>
        </is>
      </c>
      <c r="FH1478" s="18" t="inlineStr">
        <is>
          <t>Lck6122evg</t>
        </is>
      </c>
      <c r="FI1478" s="18" t="inlineStr">
        <is>
          <t>Zhong Thong</t>
        </is>
      </c>
      <c r="FJ1478" s="18" t="inlineStr">
        <is>
          <t>Lck6122evg</t>
        </is>
      </c>
      <c r="FK1478" s="18" t="n">
        <v>2026</v>
      </c>
      <c r="FL1478" s="18" t="inlineStr">
        <is>
          <t>B</t>
        </is>
      </c>
      <c r="FM1478" s="18" t="inlineStr">
        <is>
          <t>Ducaud</t>
        </is>
      </c>
      <c r="FP1478" t="inlineStr">
        <is>
          <t>B</t>
        </is>
      </c>
      <c r="FS1478" s="14" t="inlineStr">
        <is>
          <t>3026 / SFVZ-81|</t>
        </is>
      </c>
      <c r="FT1478" t="inlineStr">
        <is>
          <t>SFVZ-81|</t>
        </is>
      </c>
      <c r="FU1478" t="inlineStr">
        <is>
          <t>SFVZ-81</t>
        </is>
      </c>
      <c r="FV1478">
        <f>VLOOKUP(FU1478,FD:FL,9,0)</f>
        <v/>
      </c>
    </row>
    <row r="1479">
      <c r="FC1479" t="inlineStr">
        <is>
          <t>Diccionario 2</t>
        </is>
      </c>
      <c r="FD1479" s="15" t="inlineStr">
        <is>
          <t>VJXD-86</t>
        </is>
      </c>
      <c r="FE1479" s="17" t="inlineStr">
        <is>
          <t>LDYECS316S0044252</t>
        </is>
      </c>
      <c r="FF1479" s="18" t="inlineStr">
        <is>
          <t>MDN35025020172</t>
        </is>
      </c>
      <c r="FG1479" s="18" t="inlineStr">
        <is>
          <t>Zhong Thong</t>
        </is>
      </c>
      <c r="FH1479" s="18" t="inlineStr">
        <is>
          <t>Lck6122evg</t>
        </is>
      </c>
      <c r="FI1479" s="18" t="inlineStr">
        <is>
          <t>Zhong Thong</t>
        </is>
      </c>
      <c r="FJ1479" s="18" t="inlineStr">
        <is>
          <t>Lck6122evg</t>
        </is>
      </c>
      <c r="FK1479" s="18" t="n">
        <v>2026</v>
      </c>
      <c r="FL1479" s="18" t="inlineStr">
        <is>
          <t>B</t>
        </is>
      </c>
      <c r="FM1479" s="18" t="inlineStr">
        <is>
          <t>Ducaud</t>
        </is>
      </c>
      <c r="FP1479" t="inlineStr">
        <is>
          <t>B</t>
        </is>
      </c>
      <c r="FS1479" s="14" t="inlineStr">
        <is>
          <t>3020 / SFWZ-20|</t>
        </is>
      </c>
      <c r="FT1479" t="inlineStr">
        <is>
          <t>SFWZ-20|</t>
        </is>
      </c>
      <c r="FU1479" t="inlineStr">
        <is>
          <t>SFWZ-20</t>
        </is>
      </c>
      <c r="FV1479">
        <f>VLOOKUP(FU1479,FD:FL,9,0)</f>
        <v/>
      </c>
    </row>
    <row r="1480">
      <c r="FC1480" t="inlineStr">
        <is>
          <t>Diccionario 2</t>
        </is>
      </c>
      <c r="FD1480" s="15" t="inlineStr">
        <is>
          <t>VJXH-88</t>
        </is>
      </c>
      <c r="FE1480" s="17" t="inlineStr">
        <is>
          <t>LDYECS318S0044253</t>
        </is>
      </c>
      <c r="FF1480" s="18" t="inlineStr">
        <is>
          <t>MDN35025010248</t>
        </is>
      </c>
      <c r="FG1480" s="18" t="inlineStr">
        <is>
          <t>Zhong Thong</t>
        </is>
      </c>
      <c r="FH1480" s="18" t="inlineStr">
        <is>
          <t>Lck6122evg</t>
        </is>
      </c>
      <c r="FI1480" s="18" t="inlineStr">
        <is>
          <t>Zhong Thong</t>
        </is>
      </c>
      <c r="FJ1480" s="18" t="inlineStr">
        <is>
          <t>Lck6122evg</t>
        </is>
      </c>
      <c r="FK1480" s="18" t="n">
        <v>2026</v>
      </c>
      <c r="FL1480" s="18" t="inlineStr">
        <is>
          <t>B</t>
        </is>
      </c>
      <c r="FM1480" s="18" t="inlineStr">
        <is>
          <t>Ducaud</t>
        </is>
      </c>
      <c r="FP1480" t="inlineStr">
        <is>
          <t>B</t>
        </is>
      </c>
      <c r="FS1480" s="14" t="inlineStr">
        <is>
          <t>3047 / SFVZ-39|</t>
        </is>
      </c>
      <c r="FT1480" t="inlineStr">
        <is>
          <t>SFVZ-39|</t>
        </is>
      </c>
      <c r="FU1480" t="inlineStr">
        <is>
          <t>SFVZ-39</t>
        </is>
      </c>
      <c r="FV1480">
        <f>VLOOKUP(FU1480,FD:FL,9,0)</f>
        <v/>
      </c>
    </row>
    <row r="1481">
      <c r="FC1481" t="inlineStr">
        <is>
          <t>Diccionario 2</t>
        </is>
      </c>
      <c r="FD1481" s="15" t="inlineStr">
        <is>
          <t>VJXJ-27</t>
        </is>
      </c>
      <c r="FE1481" s="17" t="inlineStr">
        <is>
          <t>LDYECS318S0044186</t>
        </is>
      </c>
      <c r="FF1481" s="18" t="inlineStr">
        <is>
          <t>MDN35025020159</t>
        </is>
      </c>
      <c r="FG1481" s="18" t="inlineStr">
        <is>
          <t>Zhong Thong</t>
        </is>
      </c>
      <c r="FH1481" s="18" t="inlineStr">
        <is>
          <t>Lck6122evg</t>
        </is>
      </c>
      <c r="FI1481" s="18" t="inlineStr">
        <is>
          <t>Zhong Thong</t>
        </is>
      </c>
      <c r="FJ1481" s="18" t="inlineStr">
        <is>
          <t>Lck6122evg</t>
        </is>
      </c>
      <c r="FK1481" s="18" t="n">
        <v>2026</v>
      </c>
      <c r="FL1481" s="18" t="inlineStr">
        <is>
          <t>B</t>
        </is>
      </c>
      <c r="FM1481" s="18" t="inlineStr">
        <is>
          <t>Ducaud</t>
        </is>
      </c>
      <c r="FP1481" t="inlineStr">
        <is>
          <t>B</t>
        </is>
      </c>
      <c r="FS1481" s="14" t="inlineStr">
        <is>
          <t>VJKF-29|</t>
        </is>
      </c>
      <c r="FT1481" t="inlineStr">
        <is>
          <t>VJKF-29|</t>
        </is>
      </c>
      <c r="FU1481" t="inlineStr">
        <is>
          <t>VJKF-29</t>
        </is>
      </c>
      <c r="FV1481">
        <f>VLOOKUP(FU1481,FD:FL,9,0)</f>
        <v/>
      </c>
    </row>
    <row r="1482">
      <c r="FC1482" t="inlineStr">
        <is>
          <t>Diccionario 2</t>
        </is>
      </c>
      <c r="FD1482" s="15" t="inlineStr">
        <is>
          <t>VJXJ-39</t>
        </is>
      </c>
      <c r="FE1482" s="17" t="inlineStr">
        <is>
          <t>LDYECS310S0044196</t>
        </is>
      </c>
      <c r="FF1482" s="18" t="inlineStr">
        <is>
          <t>MDN35025020243</t>
        </is>
      </c>
      <c r="FG1482" s="18" t="inlineStr">
        <is>
          <t>Zhong Thong</t>
        </is>
      </c>
      <c r="FH1482" s="18" t="inlineStr">
        <is>
          <t>Lck6122evg</t>
        </is>
      </c>
      <c r="FI1482" s="18" t="inlineStr">
        <is>
          <t>Zhong Thong</t>
        </is>
      </c>
      <c r="FJ1482" s="18" t="inlineStr">
        <is>
          <t>Lck6122evg</t>
        </is>
      </c>
      <c r="FK1482" s="18" t="n">
        <v>2026</v>
      </c>
      <c r="FL1482" s="18" t="inlineStr">
        <is>
          <t>B</t>
        </is>
      </c>
      <c r="FM1482" s="18" t="inlineStr">
        <is>
          <t>Ducaud</t>
        </is>
      </c>
      <c r="FP1482" t="inlineStr">
        <is>
          <t>B</t>
        </is>
      </c>
      <c r="FS1482" s="14" t="inlineStr">
        <is>
          <t>VJXC-26|</t>
        </is>
      </c>
      <c r="FT1482" t="inlineStr">
        <is>
          <t>VJXC-26|</t>
        </is>
      </c>
      <c r="FU1482" t="inlineStr">
        <is>
          <t>VJXC-26</t>
        </is>
      </c>
      <c r="FV1482">
        <f>VLOOKUP(FU1482,FD:FL,9,0)</f>
        <v/>
      </c>
    </row>
    <row r="1483">
      <c r="FC1483" t="inlineStr">
        <is>
          <t>Diccionario 2</t>
        </is>
      </c>
      <c r="FD1483" s="15" t="inlineStr">
        <is>
          <t>VJXJ-44</t>
        </is>
      </c>
      <c r="FE1483" s="17" t="inlineStr">
        <is>
          <t>LDYECS317S0044308</t>
        </is>
      </c>
      <c r="FF1483" s="18" t="inlineStr">
        <is>
          <t>MDN35025010207</t>
        </is>
      </c>
      <c r="FG1483" s="18" t="inlineStr">
        <is>
          <t>Zhong Thong</t>
        </is>
      </c>
      <c r="FH1483" s="18" t="inlineStr">
        <is>
          <t>Lck6122evg</t>
        </is>
      </c>
      <c r="FI1483" s="18" t="inlineStr">
        <is>
          <t>Zhong Thong</t>
        </is>
      </c>
      <c r="FJ1483" s="18" t="inlineStr">
        <is>
          <t>Lck6122evg</t>
        </is>
      </c>
      <c r="FK1483" s="18" t="n">
        <v>2026</v>
      </c>
      <c r="FL1483" s="18" t="inlineStr">
        <is>
          <t>B</t>
        </is>
      </c>
      <c r="FM1483" s="18" t="inlineStr">
        <is>
          <t>Ducaud</t>
        </is>
      </c>
      <c r="FP1483" t="inlineStr">
        <is>
          <t>B</t>
        </is>
      </c>
      <c r="FS1483" s="14" t="inlineStr">
        <is>
          <t>VJKT-63|</t>
        </is>
      </c>
      <c r="FT1483" t="inlineStr">
        <is>
          <t>VJKT-63|</t>
        </is>
      </c>
      <c r="FU1483" t="inlineStr">
        <is>
          <t>VJKT-63</t>
        </is>
      </c>
      <c r="FV1483">
        <f>VLOOKUP(FU1483,FD:FL,9,0)</f>
        <v/>
      </c>
    </row>
    <row r="1484">
      <c r="FC1484" t="inlineStr">
        <is>
          <t>Diccionario 2</t>
        </is>
      </c>
      <c r="FD1484" s="15" t="inlineStr">
        <is>
          <t>VJXJ-46</t>
        </is>
      </c>
      <c r="FE1484" s="17" t="inlineStr">
        <is>
          <t>LDYECS31XS0044366</t>
        </is>
      </c>
      <c r="FF1484" s="18" t="inlineStr">
        <is>
          <t>MDN35025010076</t>
        </is>
      </c>
      <c r="FG1484" s="18" t="inlineStr">
        <is>
          <t>Zhong Thong</t>
        </is>
      </c>
      <c r="FH1484" s="18" t="inlineStr">
        <is>
          <t>Lck6122evg</t>
        </is>
      </c>
      <c r="FI1484" s="18" t="inlineStr">
        <is>
          <t>Zhong Thong</t>
        </is>
      </c>
      <c r="FJ1484" s="18" t="inlineStr">
        <is>
          <t>Lck6122evg</t>
        </is>
      </c>
      <c r="FK1484" s="18" t="n">
        <v>2026</v>
      </c>
      <c r="FL1484" s="18" t="inlineStr">
        <is>
          <t>B</t>
        </is>
      </c>
      <c r="FM1484" s="18" t="inlineStr">
        <is>
          <t>Ducaud</t>
        </is>
      </c>
      <c r="FP1484" t="inlineStr">
        <is>
          <t>B</t>
        </is>
      </c>
      <c r="FS1484" s="14" t="inlineStr">
        <is>
          <t>VJKZ-38|</t>
        </is>
      </c>
      <c r="FT1484" t="inlineStr">
        <is>
          <t>VJKZ-38|</t>
        </is>
      </c>
      <c r="FU1484" t="inlineStr">
        <is>
          <t>VJKZ-38</t>
        </is>
      </c>
      <c r="FV1484">
        <f>VLOOKUP(FU1484,FD:FL,9,0)</f>
        <v/>
      </c>
    </row>
    <row r="1485">
      <c r="FC1485" t="inlineStr">
        <is>
          <t>Diccionario 2</t>
        </is>
      </c>
      <c r="FD1485" s="15" t="inlineStr">
        <is>
          <t>VJXJ-94</t>
        </is>
      </c>
      <c r="FE1485" s="17" t="inlineStr">
        <is>
          <t>LDYECS310S0044411</t>
        </is>
      </c>
      <c r="FF1485" s="18" t="inlineStr">
        <is>
          <t>MDN35025010155</t>
        </is>
      </c>
      <c r="FG1485" s="18" t="inlineStr">
        <is>
          <t>Zhong Thong</t>
        </is>
      </c>
      <c r="FH1485" s="18" t="inlineStr">
        <is>
          <t>Lck6122evg</t>
        </is>
      </c>
      <c r="FI1485" s="18" t="inlineStr">
        <is>
          <t>Zhong Thong</t>
        </is>
      </c>
      <c r="FJ1485" s="18" t="inlineStr">
        <is>
          <t>Lck6122evg</t>
        </is>
      </c>
      <c r="FK1485" s="18" t="n">
        <v>2026</v>
      </c>
      <c r="FL1485" s="18" t="inlineStr">
        <is>
          <t>B</t>
        </is>
      </c>
      <c r="FM1485" s="18" t="inlineStr">
        <is>
          <t>Ducaud</t>
        </is>
      </c>
      <c r="FP1485" t="inlineStr">
        <is>
          <t>B</t>
        </is>
      </c>
      <c r="FS1485" s="14" t="inlineStr">
        <is>
          <t>VJXC-91|</t>
        </is>
      </c>
      <c r="FT1485" t="inlineStr">
        <is>
          <t>VJXC-91|</t>
        </is>
      </c>
      <c r="FU1485" t="inlineStr">
        <is>
          <t>VJXC-91</t>
        </is>
      </c>
      <c r="FV1485">
        <f>VLOOKUP(FU1485,FD:FL,9,0)</f>
        <v/>
      </c>
    </row>
    <row r="1486">
      <c r="FC1486" t="inlineStr">
        <is>
          <t>Diccionario 2</t>
        </is>
      </c>
      <c r="FD1486" s="15" t="inlineStr">
        <is>
          <t>VJXK-14</t>
        </is>
      </c>
      <c r="FE1486" s="17" t="inlineStr">
        <is>
          <t>LDYECS318S0044382</t>
        </is>
      </c>
      <c r="FF1486" s="18" t="inlineStr">
        <is>
          <t>MDN35025030032</t>
        </is>
      </c>
      <c r="FG1486" s="18" t="inlineStr">
        <is>
          <t>Zhong Thong</t>
        </is>
      </c>
      <c r="FH1486" s="18" t="inlineStr">
        <is>
          <t>Lck6122evg</t>
        </is>
      </c>
      <c r="FI1486" s="18" t="inlineStr">
        <is>
          <t>Zhong Thong</t>
        </is>
      </c>
      <c r="FJ1486" s="18" t="inlineStr">
        <is>
          <t>Lck6122evg</t>
        </is>
      </c>
      <c r="FK1486" s="18" t="n">
        <v>2026</v>
      </c>
      <c r="FL1486" s="18" t="inlineStr">
        <is>
          <t>B</t>
        </is>
      </c>
      <c r="FM1486" s="18" t="inlineStr">
        <is>
          <t>Ducaud</t>
        </is>
      </c>
      <c r="FP1486" t="inlineStr">
        <is>
          <t>B</t>
        </is>
      </c>
      <c r="FS1486" s="14" t="inlineStr">
        <is>
          <t>VJKW-68|</t>
        </is>
      </c>
      <c r="FT1486" t="inlineStr">
        <is>
          <t>VJKW-68|</t>
        </is>
      </c>
      <c r="FU1486" t="inlineStr">
        <is>
          <t>VJKW-68</t>
        </is>
      </c>
      <c r="FV1486">
        <f>VLOOKUP(FU1486,FD:FL,9,0)</f>
        <v/>
      </c>
    </row>
    <row r="1487">
      <c r="FC1487" t="inlineStr">
        <is>
          <t>Diccionario 2</t>
        </is>
      </c>
      <c r="FD1487" s="15" t="inlineStr">
        <is>
          <t>VJXK-15</t>
        </is>
      </c>
      <c r="FE1487" s="17" t="inlineStr">
        <is>
          <t>LDYECS316S0044316</t>
        </is>
      </c>
      <c r="FF1487" s="18" t="inlineStr">
        <is>
          <t>MDN35025030023</t>
        </is>
      </c>
      <c r="FG1487" s="18" t="inlineStr">
        <is>
          <t>Zhong Thong</t>
        </is>
      </c>
      <c r="FH1487" s="18" t="inlineStr">
        <is>
          <t>Lck6122evg</t>
        </is>
      </c>
      <c r="FI1487" s="18" t="inlineStr">
        <is>
          <t>Zhong Thong</t>
        </is>
      </c>
      <c r="FJ1487" s="18" t="inlineStr">
        <is>
          <t>Lck6122evg</t>
        </is>
      </c>
      <c r="FK1487" s="18" t="n">
        <v>2026</v>
      </c>
      <c r="FL1487" s="18" t="inlineStr">
        <is>
          <t>B</t>
        </is>
      </c>
      <c r="FM1487" s="18" t="inlineStr">
        <is>
          <t>Ducaud</t>
        </is>
      </c>
      <c r="FP1487" t="inlineStr">
        <is>
          <t>B</t>
        </is>
      </c>
      <c r="FS1487" s="14" t="inlineStr">
        <is>
          <t>3099 / SFWZ-37|</t>
        </is>
      </c>
      <c r="FT1487" t="inlineStr">
        <is>
          <t>SFWZ-37|</t>
        </is>
      </c>
      <c r="FU1487" t="inlineStr">
        <is>
          <t>SFWZ-37</t>
        </is>
      </c>
      <c r="FV1487">
        <f>VLOOKUP(FU1487,FD:FL,9,0)</f>
        <v/>
      </c>
    </row>
    <row r="1488">
      <c r="FC1488" t="inlineStr">
        <is>
          <t>Diccionario 2</t>
        </is>
      </c>
      <c r="FD1488" s="15" t="inlineStr">
        <is>
          <t>VJYH-63</t>
        </is>
      </c>
      <c r="FE1488" s="17" t="inlineStr">
        <is>
          <t>LDYECS316S0044168</t>
        </is>
      </c>
      <c r="FF1488" s="18" t="inlineStr">
        <is>
          <t>MDN35025020215</t>
        </is>
      </c>
      <c r="FG1488" s="18" t="inlineStr">
        <is>
          <t>Zhong Thong</t>
        </is>
      </c>
      <c r="FH1488" s="18" t="inlineStr">
        <is>
          <t>Lck6122evg</t>
        </is>
      </c>
      <c r="FI1488" s="18" t="inlineStr">
        <is>
          <t>Zhong Thong</t>
        </is>
      </c>
      <c r="FJ1488" s="18" t="inlineStr">
        <is>
          <t>Lck6122evg</t>
        </is>
      </c>
      <c r="FK1488" s="18" t="n">
        <v>2026</v>
      </c>
      <c r="FL1488" s="18" t="inlineStr">
        <is>
          <t>B</t>
        </is>
      </c>
      <c r="FM1488" s="18" t="inlineStr">
        <is>
          <t>Lo Blanco</t>
        </is>
      </c>
      <c r="FP1488" t="inlineStr">
        <is>
          <t>B</t>
        </is>
      </c>
      <c r="FS1488" s="14" t="inlineStr">
        <is>
          <t>VJKF-61|</t>
        </is>
      </c>
      <c r="FT1488" t="inlineStr">
        <is>
          <t>VJKF-61|</t>
        </is>
      </c>
      <c r="FU1488" t="inlineStr">
        <is>
          <t>VJKF-61</t>
        </is>
      </c>
      <c r="FV1488">
        <f>VLOOKUP(FU1488,FD:FL,9,0)</f>
        <v/>
      </c>
    </row>
    <row r="1489">
      <c r="FC1489" t="inlineStr">
        <is>
          <t>Diccionario 2</t>
        </is>
      </c>
      <c r="FD1489" s="15" t="inlineStr">
        <is>
          <t>VJYJ-15</t>
        </is>
      </c>
      <c r="FE1489" s="17" t="inlineStr">
        <is>
          <t>LDYECS311S0044160</t>
        </is>
      </c>
      <c r="FF1489" s="18" t="inlineStr">
        <is>
          <t>MDN35025020177</t>
        </is>
      </c>
      <c r="FG1489" s="18" t="inlineStr">
        <is>
          <t>Zhong Thong</t>
        </is>
      </c>
      <c r="FH1489" s="18" t="inlineStr">
        <is>
          <t>Lck6122evg</t>
        </is>
      </c>
      <c r="FI1489" s="18" t="inlineStr">
        <is>
          <t>Zhong Thong</t>
        </is>
      </c>
      <c r="FJ1489" s="18" t="inlineStr">
        <is>
          <t>Lck6122evg</t>
        </is>
      </c>
      <c r="FK1489" s="18" t="n">
        <v>2026</v>
      </c>
      <c r="FL1489" s="18" t="inlineStr">
        <is>
          <t>B</t>
        </is>
      </c>
      <c r="FM1489" s="18" t="inlineStr">
        <is>
          <t>Lo Blanco</t>
        </is>
      </c>
      <c r="FP1489" t="inlineStr">
        <is>
          <t>B</t>
        </is>
      </c>
      <c r="FS1489" s="14" t="inlineStr">
        <is>
          <t>3046 / SFWB-98|</t>
        </is>
      </c>
      <c r="FT1489" t="inlineStr">
        <is>
          <t>SFWB-98|</t>
        </is>
      </c>
      <c r="FU1489" t="inlineStr">
        <is>
          <t>SFWB-98</t>
        </is>
      </c>
      <c r="FV1489">
        <f>VLOOKUP(FU1489,FD:FL,9,0)</f>
        <v/>
      </c>
    </row>
    <row r="1490">
      <c r="FC1490" t="inlineStr">
        <is>
          <t>Diccionario 2</t>
        </is>
      </c>
      <c r="FD1490" s="15" t="inlineStr">
        <is>
          <t>VJYJ-22</t>
        </is>
      </c>
      <c r="FE1490" s="17" t="inlineStr">
        <is>
          <t>LDYECS310S0044277</t>
        </is>
      </c>
      <c r="FF1490" s="18" t="inlineStr">
        <is>
          <t>MDN35025020175</t>
        </is>
      </c>
      <c r="FG1490" s="18" t="inlineStr">
        <is>
          <t>Zhong Thong</t>
        </is>
      </c>
      <c r="FH1490" s="18" t="inlineStr">
        <is>
          <t>Lck6122evg</t>
        </is>
      </c>
      <c r="FI1490" s="18" t="inlineStr">
        <is>
          <t>Zhong Thong</t>
        </is>
      </c>
      <c r="FJ1490" s="18" t="inlineStr">
        <is>
          <t>Lck6122evg</t>
        </is>
      </c>
      <c r="FK1490" s="18" t="n">
        <v>2026</v>
      </c>
      <c r="FL1490" s="18" t="inlineStr">
        <is>
          <t>B</t>
        </is>
      </c>
      <c r="FM1490" s="18" t="inlineStr">
        <is>
          <t>Ducaud</t>
        </is>
      </c>
      <c r="FP1490" t="inlineStr">
        <is>
          <t>B</t>
        </is>
      </c>
      <c r="FS1490" s="14" t="inlineStr">
        <is>
          <t>3038 / SFWB-90|</t>
        </is>
      </c>
      <c r="FT1490" t="inlineStr">
        <is>
          <t>SFWB-90|</t>
        </is>
      </c>
      <c r="FU1490" t="inlineStr">
        <is>
          <t>SFWB-90</t>
        </is>
      </c>
      <c r="FV1490">
        <f>VLOOKUP(FU1490,FD:FL,9,0)</f>
        <v/>
      </c>
    </row>
    <row r="1491">
      <c r="FC1491" t="inlineStr">
        <is>
          <t>Diccionario 2</t>
        </is>
      </c>
      <c r="FD1491" s="15" t="inlineStr">
        <is>
          <t>VJYJ-35</t>
        </is>
      </c>
      <c r="FE1491" s="17" t="inlineStr">
        <is>
          <t>LDYECS312S0044166</t>
        </is>
      </c>
      <c r="FF1491" s="18" t="inlineStr">
        <is>
          <t>MDN35025020222</t>
        </is>
      </c>
      <c r="FG1491" s="18" t="inlineStr">
        <is>
          <t>Zhong Thong</t>
        </is>
      </c>
      <c r="FH1491" s="18" t="inlineStr">
        <is>
          <t>Lck6122evg</t>
        </is>
      </c>
      <c r="FI1491" s="18" t="inlineStr">
        <is>
          <t>Zhong Thong</t>
        </is>
      </c>
      <c r="FJ1491" s="18" t="inlineStr">
        <is>
          <t>Lck6122evg</t>
        </is>
      </c>
      <c r="FK1491" s="18" t="n">
        <v>2026</v>
      </c>
      <c r="FL1491" s="18" t="inlineStr">
        <is>
          <t>B</t>
        </is>
      </c>
      <c r="FM1491" s="18" t="inlineStr">
        <is>
          <t>Lo Blanco</t>
        </is>
      </c>
      <c r="FP1491" t="inlineStr">
        <is>
          <t>B</t>
        </is>
      </c>
      <c r="FS1491" s="14" t="inlineStr">
        <is>
          <t>3094 / SFWZ-40|</t>
        </is>
      </c>
      <c r="FT1491" t="inlineStr">
        <is>
          <t>SFWZ-40|</t>
        </is>
      </c>
      <c r="FU1491" t="inlineStr">
        <is>
          <t>SFWZ-40</t>
        </is>
      </c>
      <c r="FV1491">
        <f>VLOOKUP(FU1491,FD:FL,9,0)</f>
        <v/>
      </c>
    </row>
    <row r="1492">
      <c r="FC1492" t="inlineStr">
        <is>
          <t>Diccionario 2</t>
        </is>
      </c>
      <c r="FD1492" s="15" t="inlineStr">
        <is>
          <t>VJYJ-37</t>
        </is>
      </c>
      <c r="FE1492" s="17" t="inlineStr">
        <is>
          <t>LDYECS314S0044217</t>
        </is>
      </c>
      <c r="FF1492" s="18" t="inlineStr">
        <is>
          <t>MDN35025010179</t>
        </is>
      </c>
      <c r="FG1492" s="18" t="inlineStr">
        <is>
          <t>Zhong Thong</t>
        </is>
      </c>
      <c r="FH1492" s="18" t="inlineStr">
        <is>
          <t>Lck6122evg</t>
        </is>
      </c>
      <c r="FI1492" s="18" t="inlineStr">
        <is>
          <t>Zhong Thong</t>
        </is>
      </c>
      <c r="FJ1492" s="18" t="inlineStr">
        <is>
          <t>Lck6122evg</t>
        </is>
      </c>
      <c r="FK1492" s="18" t="n">
        <v>2026</v>
      </c>
      <c r="FL1492" s="18" t="inlineStr">
        <is>
          <t>B</t>
        </is>
      </c>
      <c r="FM1492" s="18" t="inlineStr">
        <is>
          <t>Ducaud</t>
        </is>
      </c>
      <c r="FP1492" t="inlineStr">
        <is>
          <t>B</t>
        </is>
      </c>
      <c r="FS1492" s="14" t="inlineStr">
        <is>
          <t>3099 / SFWZ-37|</t>
        </is>
      </c>
      <c r="FT1492" t="inlineStr">
        <is>
          <t>SFWZ-37|</t>
        </is>
      </c>
      <c r="FU1492" t="inlineStr">
        <is>
          <t>SFWZ-37</t>
        </is>
      </c>
      <c r="FV1492">
        <f>VLOOKUP(FU1492,FD:FL,9,0)</f>
        <v/>
      </c>
    </row>
    <row r="1493">
      <c r="FC1493" t="inlineStr">
        <is>
          <t>Diccionario 2</t>
        </is>
      </c>
      <c r="FD1493" s="15" t="inlineStr">
        <is>
          <t>VJYJ-44</t>
        </is>
      </c>
      <c r="FE1493" s="17" t="inlineStr">
        <is>
          <t>LDYECS313S0044273</t>
        </is>
      </c>
      <c r="FF1493" s="18" t="inlineStr">
        <is>
          <t>MDN5025020155</t>
        </is>
      </c>
      <c r="FG1493" s="18" t="inlineStr">
        <is>
          <t>Zhong Thong</t>
        </is>
      </c>
      <c r="FH1493" s="18" t="inlineStr">
        <is>
          <t>Lck6122evg</t>
        </is>
      </c>
      <c r="FI1493" s="18" t="inlineStr">
        <is>
          <t>Zhong Thong</t>
        </is>
      </c>
      <c r="FJ1493" s="18" t="inlineStr">
        <is>
          <t>Lck6122evg</t>
        </is>
      </c>
      <c r="FK1493" s="18" t="n">
        <v>2026</v>
      </c>
      <c r="FL1493" s="18" t="inlineStr">
        <is>
          <t>B</t>
        </is>
      </c>
      <c r="FM1493" s="18" t="inlineStr">
        <is>
          <t>Ducaud</t>
        </is>
      </c>
      <c r="FP1493" t="inlineStr">
        <is>
          <t>B</t>
        </is>
      </c>
      <c r="FS1493" s="14" t="inlineStr">
        <is>
          <t>3035 / SFWB-64|</t>
        </is>
      </c>
      <c r="FT1493" t="inlineStr">
        <is>
          <t>SFWB-64|</t>
        </is>
      </c>
      <c r="FU1493" t="inlineStr">
        <is>
          <t>SFWB-64</t>
        </is>
      </c>
      <c r="FV1493">
        <f>VLOOKUP(FU1493,FD:FL,9,0)</f>
        <v/>
      </c>
    </row>
    <row r="1494">
      <c r="FC1494" t="inlineStr">
        <is>
          <t>Diccionario 2</t>
        </is>
      </c>
      <c r="FD1494" s="15" t="inlineStr">
        <is>
          <t>VJYJ-46</t>
        </is>
      </c>
      <c r="FE1494" s="17" t="inlineStr">
        <is>
          <t>LDYECS317S0044213</t>
        </is>
      </c>
      <c r="FF1494" s="18" t="inlineStr">
        <is>
          <t>MDN35025030110</t>
        </is>
      </c>
      <c r="FG1494" s="18" t="inlineStr">
        <is>
          <t>Zhong Thong</t>
        </is>
      </c>
      <c r="FH1494" s="18" t="inlineStr">
        <is>
          <t>Lck6122evg</t>
        </is>
      </c>
      <c r="FI1494" s="18" t="inlineStr">
        <is>
          <t>Zhong Thong</t>
        </is>
      </c>
      <c r="FJ1494" s="18" t="inlineStr">
        <is>
          <t>Lck6122evg</t>
        </is>
      </c>
      <c r="FK1494" s="18" t="n">
        <v>2026</v>
      </c>
      <c r="FL1494" s="18" t="inlineStr">
        <is>
          <t>B</t>
        </is>
      </c>
      <c r="FM1494" s="18" t="inlineStr">
        <is>
          <t>Ducaud</t>
        </is>
      </c>
      <c r="FP1494" t="inlineStr">
        <is>
          <t>B</t>
        </is>
      </c>
      <c r="FS1494" s="14" t="inlineStr">
        <is>
          <t>VJKF-61|</t>
        </is>
      </c>
      <c r="FT1494" t="inlineStr">
        <is>
          <t>VJKF-61|</t>
        </is>
      </c>
      <c r="FU1494" t="inlineStr">
        <is>
          <t>VJKF-61</t>
        </is>
      </c>
      <c r="FV1494">
        <f>VLOOKUP(FU1494,FD:FL,9,0)</f>
        <v/>
      </c>
    </row>
    <row r="1495">
      <c r="FC1495" t="inlineStr">
        <is>
          <t>Diccionario 2</t>
        </is>
      </c>
      <c r="FD1495" s="15" t="inlineStr">
        <is>
          <t>VJYJ-68</t>
        </is>
      </c>
      <c r="FE1495" s="17" t="inlineStr">
        <is>
          <t>LDYECS311S0044210</t>
        </is>
      </c>
      <c r="FF1495" s="18" t="inlineStr">
        <is>
          <t>MDN35025030109</t>
        </is>
      </c>
      <c r="FG1495" s="18" t="inlineStr">
        <is>
          <t>Zhong Thong</t>
        </is>
      </c>
      <c r="FH1495" s="18" t="inlineStr">
        <is>
          <t>Lck6122evg</t>
        </is>
      </c>
      <c r="FI1495" s="18" t="inlineStr">
        <is>
          <t>Zhong Thong</t>
        </is>
      </c>
      <c r="FJ1495" s="18" t="inlineStr">
        <is>
          <t>Lck6122evg</t>
        </is>
      </c>
      <c r="FK1495" s="18" t="n">
        <v>2026</v>
      </c>
      <c r="FL1495" s="18" t="inlineStr">
        <is>
          <t>B</t>
        </is>
      </c>
      <c r="FM1495" s="18" t="inlineStr">
        <is>
          <t>Ducaud</t>
        </is>
      </c>
      <c r="FP1495" t="inlineStr">
        <is>
          <t>B</t>
        </is>
      </c>
      <c r="FS1495" s="14" t="inlineStr">
        <is>
          <t>3003 / SFWZ-16|</t>
        </is>
      </c>
      <c r="FT1495" t="inlineStr">
        <is>
          <t>SFWZ-16|</t>
        </is>
      </c>
      <c r="FU1495" t="inlineStr">
        <is>
          <t>SFWZ-16</t>
        </is>
      </c>
      <c r="FV1495">
        <f>VLOOKUP(FU1495,FD:FL,9,0)</f>
        <v/>
      </c>
    </row>
    <row r="1496">
      <c r="FC1496" t="inlineStr">
        <is>
          <t>Diccionario 2</t>
        </is>
      </c>
      <c r="FD1496" s="15" t="inlineStr">
        <is>
          <t>VJYJ-75</t>
        </is>
      </c>
      <c r="FE1496" s="17" t="inlineStr">
        <is>
          <t>LDYECS31XS0044285</t>
        </is>
      </c>
      <c r="FF1496" s="18" t="inlineStr">
        <is>
          <t>MDN35025020245</t>
        </is>
      </c>
      <c r="FG1496" s="18" t="inlineStr">
        <is>
          <t>Zhong Thong</t>
        </is>
      </c>
      <c r="FH1496" s="18" t="inlineStr">
        <is>
          <t>Lck6122evg</t>
        </is>
      </c>
      <c r="FI1496" s="18" t="inlineStr">
        <is>
          <t>Zhong Thong</t>
        </is>
      </c>
      <c r="FJ1496" s="18" t="inlineStr">
        <is>
          <t>Lck6122evg</t>
        </is>
      </c>
      <c r="FK1496" s="18" t="n">
        <v>2026</v>
      </c>
      <c r="FL1496" s="18" t="inlineStr">
        <is>
          <t>B</t>
        </is>
      </c>
      <c r="FM1496" s="18" t="inlineStr">
        <is>
          <t>Ducaud</t>
        </is>
      </c>
      <c r="FP1496" t="inlineStr">
        <is>
          <t>B</t>
        </is>
      </c>
      <c r="FS1496" s="14" t="inlineStr">
        <is>
          <t>3017 / SFWB-29|</t>
        </is>
      </c>
      <c r="FT1496" t="inlineStr">
        <is>
          <t>SFWB-29|</t>
        </is>
      </c>
      <c r="FU1496" t="inlineStr">
        <is>
          <t>SFWB-29</t>
        </is>
      </c>
      <c r="FV1496">
        <f>VLOOKUP(FU1496,FD:FL,9,0)</f>
        <v/>
      </c>
    </row>
    <row r="1497">
      <c r="FC1497" t="inlineStr">
        <is>
          <t>Diccionario 2</t>
        </is>
      </c>
      <c r="FD1497" s="15" t="inlineStr">
        <is>
          <t>VJYJ-84</t>
        </is>
      </c>
      <c r="FE1497" s="17" t="inlineStr">
        <is>
          <t>LDYECS316S0044218</t>
        </is>
      </c>
      <c r="FF1497" s="18" t="inlineStr">
        <is>
          <t>MDN35025010180</t>
        </is>
      </c>
      <c r="FG1497" s="18" t="inlineStr">
        <is>
          <t>Zhong Thong</t>
        </is>
      </c>
      <c r="FH1497" s="18" t="inlineStr">
        <is>
          <t>Lck6122evg</t>
        </is>
      </c>
      <c r="FI1497" s="18" t="inlineStr">
        <is>
          <t>Zhong Thong</t>
        </is>
      </c>
      <c r="FJ1497" s="18" t="inlineStr">
        <is>
          <t>Lck6122evg</t>
        </is>
      </c>
      <c r="FK1497" s="18" t="n">
        <v>2026</v>
      </c>
      <c r="FL1497" s="18" t="inlineStr">
        <is>
          <t>B</t>
        </is>
      </c>
      <c r="FM1497" s="18" t="inlineStr">
        <is>
          <t>Ducaud</t>
        </is>
      </c>
      <c r="FP1497" t="inlineStr">
        <is>
          <t>B</t>
        </is>
      </c>
      <c r="FS1497" s="14" t="inlineStr">
        <is>
          <t>3046 / SFWB-98|</t>
        </is>
      </c>
      <c r="FT1497" t="inlineStr">
        <is>
          <t>SFWB-98|</t>
        </is>
      </c>
      <c r="FU1497" t="inlineStr">
        <is>
          <t>SFWB-98</t>
        </is>
      </c>
      <c r="FV1497">
        <f>VLOOKUP(FU1497,FD:FL,9,0)</f>
        <v/>
      </c>
    </row>
    <row r="1498">
      <c r="FC1498" t="inlineStr">
        <is>
          <t>Diccionario 2</t>
        </is>
      </c>
      <c r="FD1498" s="15" t="inlineStr">
        <is>
          <t>VJYK-73</t>
        </is>
      </c>
      <c r="FE1498" s="17" t="inlineStr">
        <is>
          <t>LDYECS315S0044291</t>
        </is>
      </c>
      <c r="FF1498" s="18" t="inlineStr">
        <is>
          <t>MDN35025010116</t>
        </is>
      </c>
      <c r="FG1498" s="18" t="inlineStr">
        <is>
          <t>Zhong Thong</t>
        </is>
      </c>
      <c r="FH1498" s="18" t="inlineStr">
        <is>
          <t>Lck6122evg</t>
        </is>
      </c>
      <c r="FI1498" s="18" t="inlineStr">
        <is>
          <t>Zhong Thong</t>
        </is>
      </c>
      <c r="FJ1498" s="18" t="inlineStr">
        <is>
          <t>Lck6122evg</t>
        </is>
      </c>
      <c r="FK1498" s="18" t="n">
        <v>2026</v>
      </c>
      <c r="FL1498" s="18" t="inlineStr">
        <is>
          <t>B</t>
        </is>
      </c>
      <c r="FM1498" s="18" t="inlineStr">
        <is>
          <t>Ducaud</t>
        </is>
      </c>
      <c r="FP1498" t="inlineStr">
        <is>
          <t>B</t>
        </is>
      </c>
      <c r="FS1498" s="14" t="inlineStr">
        <is>
          <t>3038 / SFWB-90|</t>
        </is>
      </c>
      <c r="FT1498" t="inlineStr">
        <is>
          <t>SFWB-90|</t>
        </is>
      </c>
      <c r="FU1498" t="inlineStr">
        <is>
          <t>SFWB-90</t>
        </is>
      </c>
      <c r="FV1498">
        <f>VLOOKUP(FU1498,FD:FL,9,0)</f>
        <v/>
      </c>
    </row>
    <row r="1499">
      <c r="FC1499" t="inlineStr">
        <is>
          <t>Diccionario 2</t>
        </is>
      </c>
      <c r="FD1499" s="15" t="inlineStr">
        <is>
          <t>VJYK-82</t>
        </is>
      </c>
      <c r="FE1499" s="17" t="inlineStr">
        <is>
          <t>LDYECS31XS0044335</t>
        </is>
      </c>
      <c r="FF1499" s="18" t="inlineStr">
        <is>
          <t>MDN35025030151</t>
        </is>
      </c>
      <c r="FG1499" s="18" t="inlineStr">
        <is>
          <t>Zhong Thong</t>
        </is>
      </c>
      <c r="FH1499" s="18" t="inlineStr">
        <is>
          <t>Lck6122evg</t>
        </is>
      </c>
      <c r="FI1499" s="18" t="inlineStr">
        <is>
          <t>Zhong Thong</t>
        </is>
      </c>
      <c r="FJ1499" s="18" t="inlineStr">
        <is>
          <t>Lck6122evg</t>
        </is>
      </c>
      <c r="FK1499" s="18" t="n">
        <v>2026</v>
      </c>
      <c r="FL1499" s="18" t="inlineStr">
        <is>
          <t>B</t>
        </is>
      </c>
      <c r="FM1499" s="18" t="inlineStr">
        <is>
          <t>Ducaud</t>
        </is>
      </c>
      <c r="FP1499" t="inlineStr">
        <is>
          <t>B</t>
        </is>
      </c>
      <c r="FS1499" s="14" t="inlineStr">
        <is>
          <t>3094 / SFWZ-40|</t>
        </is>
      </c>
      <c r="FT1499" t="inlineStr">
        <is>
          <t>SFWZ-40|</t>
        </is>
      </c>
      <c r="FU1499" t="inlineStr">
        <is>
          <t>SFWZ-40</t>
        </is>
      </c>
      <c r="FV1499">
        <f>VLOOKUP(FU1499,FD:FL,9,0)</f>
        <v/>
      </c>
    </row>
    <row r="1500">
      <c r="FC1500" t="inlineStr">
        <is>
          <t>Diccionario 2</t>
        </is>
      </c>
      <c r="FD1500" s="15" t="inlineStr">
        <is>
          <t>VJYK-83</t>
        </is>
      </c>
      <c r="FE1500" s="17" t="inlineStr">
        <is>
          <t>LDYECS317S0044342</t>
        </is>
      </c>
      <c r="FF1500" s="18" t="inlineStr">
        <is>
          <t>MDN35025010144</t>
        </is>
      </c>
      <c r="FG1500" s="18" t="inlineStr">
        <is>
          <t>Zhong Thong</t>
        </is>
      </c>
      <c r="FH1500" s="18" t="inlineStr">
        <is>
          <t>Lck6122evg</t>
        </is>
      </c>
      <c r="FI1500" s="18" t="inlineStr">
        <is>
          <t>Zhong Thong</t>
        </is>
      </c>
      <c r="FJ1500" s="18" t="inlineStr">
        <is>
          <t>Lck6122evg</t>
        </is>
      </c>
      <c r="FK1500" s="18" t="n">
        <v>2026</v>
      </c>
      <c r="FL1500" s="18" t="inlineStr">
        <is>
          <t>B</t>
        </is>
      </c>
      <c r="FM1500" s="18" t="inlineStr">
        <is>
          <t>Ducaud</t>
        </is>
      </c>
      <c r="FP1500" t="inlineStr">
        <is>
          <t>B</t>
        </is>
      </c>
      <c r="FS1500" s="14" t="inlineStr">
        <is>
          <t>3099 / SFWZ-37|</t>
        </is>
      </c>
      <c r="FT1500" t="inlineStr">
        <is>
          <t>SFWZ-37|</t>
        </is>
      </c>
      <c r="FU1500" t="inlineStr">
        <is>
          <t>SFWZ-37</t>
        </is>
      </c>
      <c r="FV1500">
        <f>VLOOKUP(FU1500,FD:FL,9,0)</f>
        <v/>
      </c>
    </row>
    <row r="1501">
      <c r="FC1501" t="inlineStr">
        <is>
          <t>Diccionario 2</t>
        </is>
      </c>
      <c r="FD1501" s="15" t="inlineStr">
        <is>
          <t>VJYK-86</t>
        </is>
      </c>
      <c r="FE1501" s="17" t="inlineStr">
        <is>
          <t>LDYECS313S0044368</t>
        </is>
      </c>
      <c r="FF1501" s="18" t="inlineStr">
        <is>
          <t>MDN35025010047</t>
        </is>
      </c>
      <c r="FG1501" s="18" t="inlineStr">
        <is>
          <t>Zhong Thong</t>
        </is>
      </c>
      <c r="FH1501" s="18" t="inlineStr">
        <is>
          <t>Lck6122evg</t>
        </is>
      </c>
      <c r="FI1501" s="18" t="inlineStr">
        <is>
          <t>Zhong Thong</t>
        </is>
      </c>
      <c r="FJ1501" s="18" t="inlineStr">
        <is>
          <t>Lck6122evg</t>
        </is>
      </c>
      <c r="FK1501" s="18" t="n">
        <v>2026</v>
      </c>
      <c r="FL1501" s="18" t="inlineStr">
        <is>
          <t>B</t>
        </is>
      </c>
      <c r="FM1501" s="18" t="inlineStr">
        <is>
          <t>Ducaud</t>
        </is>
      </c>
      <c r="FP1501" t="inlineStr">
        <is>
          <t>B</t>
        </is>
      </c>
      <c r="FS1501" s="14" t="inlineStr">
        <is>
          <t>3088 / SFWZ-81|</t>
        </is>
      </c>
      <c r="FT1501" t="inlineStr">
        <is>
          <t>SFWZ-81|</t>
        </is>
      </c>
      <c r="FU1501" t="inlineStr">
        <is>
          <t>SFWZ-81</t>
        </is>
      </c>
      <c r="FV1501">
        <f>VLOOKUP(FU1501,FD:FL,9,0)</f>
        <v/>
      </c>
    </row>
    <row r="1502">
      <c r="FC1502" t="inlineStr">
        <is>
          <t>Diccionario 2</t>
        </is>
      </c>
      <c r="FD1502" s="15" t="inlineStr">
        <is>
          <t>VJYK-89</t>
        </is>
      </c>
      <c r="FE1502" s="17" t="inlineStr">
        <is>
          <t>LDYECS316S0044364</t>
        </is>
      </c>
      <c r="FF1502" s="18" t="inlineStr">
        <is>
          <t>MDN35025030062</t>
        </is>
      </c>
      <c r="FG1502" s="18" t="inlineStr">
        <is>
          <t>Zhong Thong</t>
        </is>
      </c>
      <c r="FH1502" s="18" t="inlineStr">
        <is>
          <t>Lck6122evg</t>
        </is>
      </c>
      <c r="FI1502" s="18" t="inlineStr">
        <is>
          <t>Zhong Thong</t>
        </is>
      </c>
      <c r="FJ1502" s="18" t="inlineStr">
        <is>
          <t>Lck6122evg</t>
        </is>
      </c>
      <c r="FK1502" s="18" t="n">
        <v>2026</v>
      </c>
      <c r="FL1502" s="18" t="inlineStr">
        <is>
          <t>B</t>
        </is>
      </c>
      <c r="FM1502" s="18" t="inlineStr">
        <is>
          <t>Ducaud</t>
        </is>
      </c>
      <c r="FP1502" t="inlineStr">
        <is>
          <t>B</t>
        </is>
      </c>
      <c r="FS1502" s="14" t="inlineStr">
        <is>
          <t>3035 / SFWB-64|</t>
        </is>
      </c>
      <c r="FT1502" t="inlineStr">
        <is>
          <t>SFWB-64|</t>
        </is>
      </c>
      <c r="FU1502" t="inlineStr">
        <is>
          <t>SFWB-64</t>
        </is>
      </c>
      <c r="FV1502">
        <f>VLOOKUP(FU1502,FD:FL,9,0)</f>
        <v/>
      </c>
    </row>
    <row r="1503">
      <c r="FC1503" t="inlineStr">
        <is>
          <t>Diccionario 2</t>
        </is>
      </c>
      <c r="FD1503" s="15" t="inlineStr">
        <is>
          <t>VJYK-91</t>
        </is>
      </c>
      <c r="FE1503" s="17" t="inlineStr">
        <is>
          <t>LDYECS312S0044295</t>
        </is>
      </c>
      <c r="FF1503" s="18" t="inlineStr">
        <is>
          <t>MDN35025020211</t>
        </is>
      </c>
      <c r="FG1503" s="18" t="inlineStr">
        <is>
          <t>Zhong Thong</t>
        </is>
      </c>
      <c r="FH1503" s="18" t="inlineStr">
        <is>
          <t>Lck6122evg</t>
        </is>
      </c>
      <c r="FI1503" s="18" t="inlineStr">
        <is>
          <t>Zhong Thong</t>
        </is>
      </c>
      <c r="FJ1503" s="18" t="inlineStr">
        <is>
          <t>Lck6122evg</t>
        </is>
      </c>
      <c r="FK1503" s="18" t="n">
        <v>2026</v>
      </c>
      <c r="FL1503" s="18" t="inlineStr">
        <is>
          <t>B</t>
        </is>
      </c>
      <c r="FM1503" s="18" t="inlineStr">
        <is>
          <t>Ducaud</t>
        </is>
      </c>
      <c r="FP1503" t="inlineStr">
        <is>
          <t>B</t>
        </is>
      </c>
      <c r="FS1503" s="14" t="inlineStr">
        <is>
          <t>3046 / SFWB-98|</t>
        </is>
      </c>
      <c r="FT1503" t="inlineStr">
        <is>
          <t>SFWB-98|</t>
        </is>
      </c>
      <c r="FU1503" t="inlineStr">
        <is>
          <t>SFWB-98</t>
        </is>
      </c>
      <c r="FV1503">
        <f>VLOOKUP(FU1503,FD:FL,9,0)</f>
        <v/>
      </c>
    </row>
    <row r="1504">
      <c r="FC1504" t="inlineStr">
        <is>
          <t>Diccionario 2</t>
        </is>
      </c>
      <c r="FD1504" s="15" t="inlineStr">
        <is>
          <t>VJYK-95</t>
        </is>
      </c>
      <c r="FE1504" s="17" t="inlineStr">
        <is>
          <t>LDYECS312S0044362</t>
        </is>
      </c>
      <c r="FF1504" s="18" t="inlineStr">
        <is>
          <t>MDN35025010110</t>
        </is>
      </c>
      <c r="FG1504" s="18" t="inlineStr">
        <is>
          <t>Zhong Thong</t>
        </is>
      </c>
      <c r="FH1504" s="18" t="inlineStr">
        <is>
          <t>Lck6122evg</t>
        </is>
      </c>
      <c r="FI1504" s="18" t="inlineStr">
        <is>
          <t>Zhong Thong</t>
        </is>
      </c>
      <c r="FJ1504" s="18" t="inlineStr">
        <is>
          <t>Lck6122evg</t>
        </is>
      </c>
      <c r="FK1504" s="18" t="n">
        <v>2026</v>
      </c>
      <c r="FL1504" s="18" t="inlineStr">
        <is>
          <t>B</t>
        </is>
      </c>
      <c r="FM1504" s="18" t="inlineStr">
        <is>
          <t>Ducaud</t>
        </is>
      </c>
      <c r="FP1504" t="inlineStr">
        <is>
          <t>B</t>
        </is>
      </c>
      <c r="FS1504" s="14" t="inlineStr">
        <is>
          <t>3003 / SFWZ-16|</t>
        </is>
      </c>
      <c r="FT1504" t="inlineStr">
        <is>
          <t>SFWZ-16|</t>
        </is>
      </c>
      <c r="FU1504" t="inlineStr">
        <is>
          <t>SFWZ-16</t>
        </is>
      </c>
      <c r="FV1504">
        <f>VLOOKUP(FU1504,FD:FL,9,0)</f>
        <v/>
      </c>
    </row>
    <row r="1505">
      <c r="FC1505" t="inlineStr">
        <is>
          <t>Diccionario 2</t>
        </is>
      </c>
      <c r="FD1505" s="15" t="inlineStr">
        <is>
          <t>VJYK-97</t>
        </is>
      </c>
      <c r="FE1505" s="17" t="inlineStr">
        <is>
          <t>LDYECS314S0044380</t>
        </is>
      </c>
      <c r="FF1505" s="18" t="inlineStr">
        <is>
          <t>MDN35025030033</t>
        </is>
      </c>
      <c r="FG1505" s="18" t="inlineStr">
        <is>
          <t>Zhong Thong</t>
        </is>
      </c>
      <c r="FH1505" s="18" t="inlineStr">
        <is>
          <t>Lck6122evg</t>
        </is>
      </c>
      <c r="FI1505" s="18" t="inlineStr">
        <is>
          <t>Zhong Thong</t>
        </is>
      </c>
      <c r="FJ1505" s="18" t="inlineStr">
        <is>
          <t>Lck6122evg</t>
        </is>
      </c>
      <c r="FK1505" s="18" t="n">
        <v>2026</v>
      </c>
      <c r="FL1505" s="18" t="inlineStr">
        <is>
          <t>B</t>
        </is>
      </c>
      <c r="FM1505" s="18" t="inlineStr">
        <is>
          <t>Ducaud</t>
        </is>
      </c>
      <c r="FP1505" t="inlineStr">
        <is>
          <t>B</t>
        </is>
      </c>
      <c r="FS1505" s="14" t="inlineStr">
        <is>
          <t>3017 / SFWB-29|</t>
        </is>
      </c>
      <c r="FT1505" t="inlineStr">
        <is>
          <t>SFWB-29|</t>
        </is>
      </c>
      <c r="FU1505" t="inlineStr">
        <is>
          <t>SFWB-29</t>
        </is>
      </c>
      <c r="FV1505">
        <f>VLOOKUP(FU1505,FD:FL,9,0)</f>
        <v/>
      </c>
    </row>
    <row r="1506">
      <c r="FC1506" t="inlineStr">
        <is>
          <t>Diccionario 2</t>
        </is>
      </c>
      <c r="FD1506" s="15" t="inlineStr">
        <is>
          <t>VJYK-98</t>
        </is>
      </c>
      <c r="FE1506" s="17" t="inlineStr">
        <is>
          <t>LDYECS312S0044300</t>
        </is>
      </c>
      <c r="FF1506" s="18" t="inlineStr">
        <is>
          <t>MDN350025010178</t>
        </is>
      </c>
      <c r="FG1506" s="18" t="inlineStr">
        <is>
          <t>Zhong Thong</t>
        </is>
      </c>
      <c r="FH1506" s="18" t="inlineStr">
        <is>
          <t>Lck6122evg</t>
        </is>
      </c>
      <c r="FI1506" s="18" t="inlineStr">
        <is>
          <t>Zhong Thong</t>
        </is>
      </c>
      <c r="FJ1506" s="18" t="inlineStr">
        <is>
          <t>Lck6122evg</t>
        </is>
      </c>
      <c r="FK1506" s="18" t="n">
        <v>2026</v>
      </c>
      <c r="FL1506" s="18" t="inlineStr">
        <is>
          <t>B</t>
        </is>
      </c>
      <c r="FM1506" s="18" t="inlineStr">
        <is>
          <t>Ducaud</t>
        </is>
      </c>
      <c r="FP1506" t="inlineStr">
        <is>
          <t>B</t>
        </is>
      </c>
      <c r="FS1506" s="14" t="inlineStr">
        <is>
          <t>3065 / SFVZ-40|</t>
        </is>
      </c>
      <c r="FT1506" t="inlineStr">
        <is>
          <t>SFVZ-40|</t>
        </is>
      </c>
      <c r="FU1506" t="inlineStr">
        <is>
          <t>SFVZ-40</t>
        </is>
      </c>
      <c r="FV1506">
        <f>VLOOKUP(FU1506,FD:FL,9,0)</f>
        <v/>
      </c>
    </row>
    <row r="1507">
      <c r="FC1507" t="inlineStr">
        <is>
          <t>Diccionario 2</t>
        </is>
      </c>
      <c r="FD1507" s="15" t="inlineStr">
        <is>
          <t>VJYL-12</t>
        </is>
      </c>
      <c r="FE1507" s="17" t="inlineStr">
        <is>
          <t>LDYECS313S0044290</t>
        </is>
      </c>
      <c r="FF1507" s="18" t="inlineStr">
        <is>
          <t>MDN35025020214</t>
        </is>
      </c>
      <c r="FG1507" s="18" t="inlineStr">
        <is>
          <t>Zhong Thong</t>
        </is>
      </c>
      <c r="FH1507" s="18" t="inlineStr">
        <is>
          <t>Lck6122evg</t>
        </is>
      </c>
      <c r="FI1507" s="18" t="inlineStr">
        <is>
          <t>Zhong Thong</t>
        </is>
      </c>
      <c r="FJ1507" s="18" t="inlineStr">
        <is>
          <t>Lck6122evg</t>
        </is>
      </c>
      <c r="FK1507" s="18" t="n">
        <v>2026</v>
      </c>
      <c r="FL1507" s="18" t="inlineStr">
        <is>
          <t>B</t>
        </is>
      </c>
      <c r="FM1507" s="18" t="inlineStr">
        <is>
          <t>Ducaud</t>
        </is>
      </c>
      <c r="FP1507" t="inlineStr">
        <is>
          <t>B</t>
        </is>
      </c>
      <c r="FS1507" s="14" t="inlineStr">
        <is>
          <t>3038 / SFWB-90|</t>
        </is>
      </c>
      <c r="FT1507" t="inlineStr">
        <is>
          <t>SFWB-90|</t>
        </is>
      </c>
      <c r="FU1507" t="inlineStr">
        <is>
          <t>SFWB-90</t>
        </is>
      </c>
      <c r="FV1507">
        <f>VLOOKUP(FU1507,FD:FL,9,0)</f>
        <v/>
      </c>
    </row>
    <row r="1508">
      <c r="FC1508" t="inlineStr">
        <is>
          <t>Diccionario 2</t>
        </is>
      </c>
      <c r="FD1508" s="15" t="inlineStr">
        <is>
          <t>VJYL-17</t>
        </is>
      </c>
      <c r="FE1508" s="17" t="inlineStr">
        <is>
          <t>LDYECS317S0044356</t>
        </is>
      </c>
      <c r="FF1508" s="18" t="inlineStr">
        <is>
          <t>MDN35025010073</t>
        </is>
      </c>
      <c r="FG1508" s="18" t="inlineStr">
        <is>
          <t>Zhong Thong</t>
        </is>
      </c>
      <c r="FH1508" s="18" t="inlineStr">
        <is>
          <t>Lck6122evg</t>
        </is>
      </c>
      <c r="FI1508" s="18" t="inlineStr">
        <is>
          <t>Zhong Thong</t>
        </is>
      </c>
      <c r="FJ1508" s="18" t="inlineStr">
        <is>
          <t>Lck6122evg</t>
        </is>
      </c>
      <c r="FK1508" s="18" t="n">
        <v>2026</v>
      </c>
      <c r="FL1508" s="18" t="inlineStr">
        <is>
          <t>B</t>
        </is>
      </c>
      <c r="FM1508" s="18" t="inlineStr">
        <is>
          <t>Ducaud</t>
        </is>
      </c>
      <c r="FP1508" t="inlineStr">
        <is>
          <t>B</t>
        </is>
      </c>
      <c r="FS1508" s="14" t="inlineStr">
        <is>
          <t>3094 / SFWZ-40|</t>
        </is>
      </c>
      <c r="FT1508" t="inlineStr">
        <is>
          <t>SFWZ-40|</t>
        </is>
      </c>
      <c r="FU1508" t="inlineStr">
        <is>
          <t>SFWZ-40</t>
        </is>
      </c>
      <c r="FV1508">
        <f>VLOOKUP(FU1508,FD:FL,9,0)</f>
        <v/>
      </c>
    </row>
    <row r="1509">
      <c r="FC1509" t="inlineStr">
        <is>
          <t>Diccionario 2</t>
        </is>
      </c>
      <c r="FD1509" s="15" t="inlineStr">
        <is>
          <t>VJZB-37</t>
        </is>
      </c>
      <c r="FE1509" s="17" t="inlineStr">
        <is>
          <t>LDYECS31XS0044139</t>
        </is>
      </c>
      <c r="FF1509" s="18" t="inlineStr">
        <is>
          <t>MDN35025030088</t>
        </is>
      </c>
      <c r="FG1509" s="18" t="inlineStr">
        <is>
          <t>Zhong Thong</t>
        </is>
      </c>
      <c r="FH1509" s="18" t="inlineStr">
        <is>
          <t>Lck6122evg</t>
        </is>
      </c>
      <c r="FI1509" s="18" t="inlineStr">
        <is>
          <t>Zhong Thong</t>
        </is>
      </c>
      <c r="FJ1509" s="18" t="inlineStr">
        <is>
          <t>Lck6122evg</t>
        </is>
      </c>
      <c r="FK1509" s="18" t="n">
        <v>2026</v>
      </c>
      <c r="FL1509" s="18" t="inlineStr">
        <is>
          <t>B</t>
        </is>
      </c>
      <c r="FM1509" s="18" t="inlineStr">
        <is>
          <t>Lo Blanco</t>
        </is>
      </c>
      <c r="FP1509" t="inlineStr">
        <is>
          <t>B</t>
        </is>
      </c>
      <c r="FS1509" s="14" t="inlineStr">
        <is>
          <t>3088 / SFWZ-81|</t>
        </is>
      </c>
      <c r="FT1509" t="inlineStr">
        <is>
          <t>SFWZ-81|</t>
        </is>
      </c>
      <c r="FU1509" t="inlineStr">
        <is>
          <t>SFWZ-81</t>
        </is>
      </c>
      <c r="FV1509">
        <f>VLOOKUP(FU1509,FD:FL,9,0)</f>
        <v/>
      </c>
    </row>
    <row r="1510">
      <c r="FC1510" t="inlineStr">
        <is>
          <t>Diccionario 2</t>
        </is>
      </c>
      <c r="FD1510" s="15" t="inlineStr">
        <is>
          <t>VJZB-47</t>
        </is>
      </c>
      <c r="FE1510" s="17" t="inlineStr">
        <is>
          <t>LDYECS315S0044145</t>
        </is>
      </c>
      <c r="FF1510" s="18" t="inlineStr">
        <is>
          <t>MDN35025030096</t>
        </is>
      </c>
      <c r="FG1510" s="18" t="inlineStr">
        <is>
          <t>Zhong Thong</t>
        </is>
      </c>
      <c r="FH1510" s="18" t="inlineStr">
        <is>
          <t>Lck6122evg</t>
        </is>
      </c>
      <c r="FI1510" s="18" t="inlineStr">
        <is>
          <t>Zhong Thong</t>
        </is>
      </c>
      <c r="FJ1510" s="18" t="inlineStr">
        <is>
          <t>Lck6122evg</t>
        </is>
      </c>
      <c r="FK1510" s="18" t="n">
        <v>2026</v>
      </c>
      <c r="FL1510" s="18" t="inlineStr">
        <is>
          <t>B</t>
        </is>
      </c>
      <c r="FM1510" s="18" t="inlineStr">
        <is>
          <t>Lo Blanco</t>
        </is>
      </c>
      <c r="FP1510" t="inlineStr">
        <is>
          <t>B</t>
        </is>
      </c>
      <c r="FS1510" s="14" t="inlineStr">
        <is>
          <t>VJKF-61|</t>
        </is>
      </c>
      <c r="FT1510" t="inlineStr">
        <is>
          <t>VJKF-61|</t>
        </is>
      </c>
      <c r="FU1510" t="inlineStr">
        <is>
          <t>VJKF-61</t>
        </is>
      </c>
      <c r="FV1510">
        <f>VLOOKUP(FU1510,FD:FL,9,0)</f>
        <v/>
      </c>
    </row>
    <row r="1511">
      <c r="FC1511" t="inlineStr">
        <is>
          <t>Diccionario 2</t>
        </is>
      </c>
      <c r="FD1511" s="15" t="inlineStr">
        <is>
          <t>VJZB-57</t>
        </is>
      </c>
      <c r="FE1511" s="17" t="inlineStr">
        <is>
          <t>LDYECS316S0044140</t>
        </is>
      </c>
      <c r="FF1511" s="18" t="inlineStr">
        <is>
          <t>MDN35025030038</t>
        </is>
      </c>
      <c r="FG1511" s="18" t="inlineStr">
        <is>
          <t>Zhong Thong</t>
        </is>
      </c>
      <c r="FH1511" s="18" t="inlineStr">
        <is>
          <t>Lck6122evg</t>
        </is>
      </c>
      <c r="FI1511" s="18" t="inlineStr">
        <is>
          <t>Zhong Thong</t>
        </is>
      </c>
      <c r="FJ1511" s="18" t="inlineStr">
        <is>
          <t>Lck6122evg</t>
        </is>
      </c>
      <c r="FK1511" s="18" t="n">
        <v>2026</v>
      </c>
      <c r="FL1511" s="18" t="inlineStr">
        <is>
          <t>B</t>
        </is>
      </c>
      <c r="FM1511" s="18" t="inlineStr">
        <is>
          <t>Lo Blanco</t>
        </is>
      </c>
      <c r="FP1511" t="inlineStr">
        <is>
          <t>B</t>
        </is>
      </c>
      <c r="FS1511" s="14" t="inlineStr">
        <is>
          <t>3041 / SFVZ-49|</t>
        </is>
      </c>
      <c r="FT1511" t="inlineStr">
        <is>
          <t>SFVZ-49|</t>
        </is>
      </c>
      <c r="FU1511" t="inlineStr">
        <is>
          <t>SFVZ-49</t>
        </is>
      </c>
      <c r="FV1511">
        <f>VLOOKUP(FU1511,FD:FL,9,0)</f>
        <v/>
      </c>
    </row>
    <row r="1512">
      <c r="FC1512" t="inlineStr">
        <is>
          <t>Diccionario 2</t>
        </is>
      </c>
      <c r="FD1512" s="15" t="inlineStr">
        <is>
          <t>VJZB-67</t>
        </is>
      </c>
      <c r="FE1512" s="17" t="inlineStr">
        <is>
          <t>LDYECS317S0044230</t>
        </is>
      </c>
      <c r="FF1512" s="18" t="inlineStr">
        <is>
          <t>MDN35025020272</t>
        </is>
      </c>
      <c r="FG1512" s="18" t="inlineStr">
        <is>
          <t>Zhong Thong</t>
        </is>
      </c>
      <c r="FH1512" s="18" t="inlineStr">
        <is>
          <t>Lck6122evg</t>
        </is>
      </c>
      <c r="FI1512" s="18" t="inlineStr">
        <is>
          <t>Zhong Thong</t>
        </is>
      </c>
      <c r="FJ1512" s="18" t="inlineStr">
        <is>
          <t>Lck6122evg</t>
        </is>
      </c>
      <c r="FK1512" s="18" t="n">
        <v>2026</v>
      </c>
      <c r="FL1512" s="18" t="inlineStr">
        <is>
          <t>B</t>
        </is>
      </c>
      <c r="FM1512" s="18" t="inlineStr">
        <is>
          <t>Lo Blanco</t>
        </is>
      </c>
      <c r="FP1512" t="inlineStr">
        <is>
          <t>B</t>
        </is>
      </c>
      <c r="FS1512" s="14" t="inlineStr">
        <is>
          <t>3003 / SFWZ-16|</t>
        </is>
      </c>
      <c r="FT1512" t="inlineStr">
        <is>
          <t>SFWZ-16|</t>
        </is>
      </c>
      <c r="FU1512" t="inlineStr">
        <is>
          <t>SFWZ-16</t>
        </is>
      </c>
      <c r="FV1512">
        <f>VLOOKUP(FU1512,FD:FL,9,0)</f>
        <v/>
      </c>
    </row>
    <row r="1513">
      <c r="FC1513" t="inlineStr">
        <is>
          <t>Diccionario 2</t>
        </is>
      </c>
      <c r="FD1513" s="15" t="inlineStr">
        <is>
          <t>VJZB-77</t>
        </is>
      </c>
      <c r="FE1513" s="17" t="inlineStr">
        <is>
          <t>LDYECS317S0044227</t>
        </is>
      </c>
      <c r="FF1513" s="18" t="inlineStr">
        <is>
          <t>MDN35025020261</t>
        </is>
      </c>
      <c r="FG1513" s="18" t="inlineStr">
        <is>
          <t>Zhong Thong</t>
        </is>
      </c>
      <c r="FH1513" s="18" t="inlineStr">
        <is>
          <t>Lck6122evg</t>
        </is>
      </c>
      <c r="FI1513" s="18" t="inlineStr">
        <is>
          <t>Zhong Thong</t>
        </is>
      </c>
      <c r="FJ1513" s="18" t="inlineStr">
        <is>
          <t>Lck6122evg</t>
        </is>
      </c>
      <c r="FK1513" s="18" t="n">
        <v>2026</v>
      </c>
      <c r="FL1513" s="18" t="inlineStr">
        <is>
          <t>B</t>
        </is>
      </c>
      <c r="FM1513" s="18" t="inlineStr">
        <is>
          <t>Lo Blanco</t>
        </is>
      </c>
      <c r="FP1513" t="inlineStr">
        <is>
          <t>B</t>
        </is>
      </c>
      <c r="FS1513" s="14" t="inlineStr">
        <is>
          <t>3038 / SFWB-90|</t>
        </is>
      </c>
      <c r="FT1513" t="inlineStr">
        <is>
          <t>SFWB-90|</t>
        </is>
      </c>
      <c r="FU1513" t="inlineStr">
        <is>
          <t>SFWB-90</t>
        </is>
      </c>
      <c r="FV1513">
        <f>VLOOKUP(FU1513,FD:FL,9,0)</f>
        <v/>
      </c>
    </row>
    <row r="1514">
      <c r="FC1514" t="inlineStr">
        <is>
          <t>Diccionario 2</t>
        </is>
      </c>
      <c r="FD1514" s="15" t="inlineStr">
        <is>
          <t>VJZB-87</t>
        </is>
      </c>
      <c r="FE1514" s="17" t="inlineStr">
        <is>
          <t>LDYECS315S0044288</t>
        </is>
      </c>
      <c r="FF1514" s="18" t="inlineStr">
        <is>
          <t>MDN35025020208</t>
        </is>
      </c>
      <c r="FG1514" s="18" t="inlineStr">
        <is>
          <t>Zhong Thong</t>
        </is>
      </c>
      <c r="FH1514" s="18" t="inlineStr">
        <is>
          <t>Lck6122evg</t>
        </is>
      </c>
      <c r="FI1514" s="18" t="inlineStr">
        <is>
          <t>Zhong Thong</t>
        </is>
      </c>
      <c r="FJ1514" s="18" t="inlineStr">
        <is>
          <t>Lck6122evg</t>
        </is>
      </c>
      <c r="FK1514" s="18" t="n">
        <v>2026</v>
      </c>
      <c r="FL1514" s="18" t="inlineStr">
        <is>
          <t>B</t>
        </is>
      </c>
      <c r="FM1514" s="18" t="inlineStr">
        <is>
          <t>Ducaud</t>
        </is>
      </c>
      <c r="FP1514" t="inlineStr">
        <is>
          <t>B</t>
        </is>
      </c>
      <c r="FS1514" s="14" t="inlineStr">
        <is>
          <t>3007 / SFWB-50|</t>
        </is>
      </c>
      <c r="FT1514" t="inlineStr">
        <is>
          <t>SFWB-50|</t>
        </is>
      </c>
      <c r="FU1514" t="inlineStr">
        <is>
          <t>SFWB-50</t>
        </is>
      </c>
      <c r="FV1514">
        <f>VLOOKUP(FU1514,FD:FL,9,0)</f>
        <v/>
      </c>
    </row>
    <row r="1515">
      <c r="FC1515" t="inlineStr">
        <is>
          <t>Diccionario 2</t>
        </is>
      </c>
      <c r="FD1515" s="15" t="inlineStr">
        <is>
          <t>VJZB-97</t>
        </is>
      </c>
      <c r="FE1515" s="17" t="inlineStr">
        <is>
          <t>LDYECS313S0044192</t>
        </is>
      </c>
      <c r="FF1515" s="18" t="inlineStr">
        <is>
          <t>MDN35025020256</t>
        </is>
      </c>
      <c r="FG1515" s="18" t="inlineStr">
        <is>
          <t>Zhong Thong</t>
        </is>
      </c>
      <c r="FH1515" s="18" t="inlineStr">
        <is>
          <t>Lck6122evg</t>
        </is>
      </c>
      <c r="FI1515" s="18" t="inlineStr">
        <is>
          <t>Zhong Thong</t>
        </is>
      </c>
      <c r="FJ1515" s="18" t="inlineStr">
        <is>
          <t>Lck6122evg</t>
        </is>
      </c>
      <c r="FK1515" s="18" t="n">
        <v>2026</v>
      </c>
      <c r="FL1515" s="18" t="inlineStr">
        <is>
          <t>B</t>
        </is>
      </c>
      <c r="FM1515" s="18" t="inlineStr">
        <is>
          <t>Ducaud</t>
        </is>
      </c>
      <c r="FP1515" t="inlineStr">
        <is>
          <t>B</t>
        </is>
      </c>
      <c r="FS1515" s="14" t="inlineStr">
        <is>
          <t>3065 / SFVZ-40|</t>
        </is>
      </c>
      <c r="FT1515" t="inlineStr">
        <is>
          <t>SFVZ-40|</t>
        </is>
      </c>
      <c r="FU1515" t="inlineStr">
        <is>
          <t>SFVZ-40</t>
        </is>
      </c>
      <c r="FV1515">
        <f>VLOOKUP(FU1515,FD:FL,9,0)</f>
        <v/>
      </c>
    </row>
    <row r="1516">
      <c r="FC1516" t="inlineStr">
        <is>
          <t>Diccionario 2</t>
        </is>
      </c>
      <c r="FD1516" s="15" t="inlineStr">
        <is>
          <t>VJZC-57</t>
        </is>
      </c>
      <c r="FE1516" s="17" t="inlineStr">
        <is>
          <t>LDYECS315S0044193</t>
        </is>
      </c>
      <c r="FF1516" s="18" t="inlineStr">
        <is>
          <t>MDN35025020248</t>
        </is>
      </c>
      <c r="FG1516" s="18" t="inlineStr">
        <is>
          <t>Zhong Thong</t>
        </is>
      </c>
      <c r="FH1516" s="18" t="inlineStr">
        <is>
          <t>Lck6122evg</t>
        </is>
      </c>
      <c r="FI1516" s="18" t="inlineStr">
        <is>
          <t>Zhong Thong</t>
        </is>
      </c>
      <c r="FJ1516" s="18" t="inlineStr">
        <is>
          <t>Lck6122evg</t>
        </is>
      </c>
      <c r="FK1516" s="18" t="n">
        <v>2026</v>
      </c>
      <c r="FL1516" s="18" t="inlineStr">
        <is>
          <t>B</t>
        </is>
      </c>
      <c r="FM1516" s="18" t="inlineStr">
        <is>
          <t>Ducaud</t>
        </is>
      </c>
      <c r="FP1516" t="inlineStr">
        <is>
          <t>B</t>
        </is>
      </c>
      <c r="FS1516" s="14" t="inlineStr">
        <is>
          <t>3094 / SFWZ-40|</t>
        </is>
      </c>
      <c r="FT1516" t="inlineStr">
        <is>
          <t>SFWZ-40|</t>
        </is>
      </c>
      <c r="FU1516" t="inlineStr">
        <is>
          <t>SFWZ-40</t>
        </is>
      </c>
      <c r="FV1516">
        <f>VLOOKUP(FU1516,FD:FL,9,0)</f>
        <v/>
      </c>
    </row>
    <row r="1517">
      <c r="FC1517" t="inlineStr">
        <is>
          <t>Diccionario 2</t>
        </is>
      </c>
      <c r="FD1517" s="15" t="inlineStr">
        <is>
          <t>VJZH-87</t>
        </is>
      </c>
      <c r="FE1517" s="17" t="inlineStr">
        <is>
          <t>LDYECS31XS0044271</t>
        </is>
      </c>
      <c r="FF1517" s="18" t="inlineStr">
        <is>
          <t>MDN35025020210</t>
        </is>
      </c>
      <c r="FG1517" s="18" t="inlineStr">
        <is>
          <t>Zhong Thong</t>
        </is>
      </c>
      <c r="FH1517" s="18" t="inlineStr">
        <is>
          <t>Lck6122evg</t>
        </is>
      </c>
      <c r="FI1517" s="18" t="inlineStr">
        <is>
          <t>Zhong Thong</t>
        </is>
      </c>
      <c r="FJ1517" s="18" t="inlineStr">
        <is>
          <t>Lck6122evg</t>
        </is>
      </c>
      <c r="FK1517" s="18" t="n">
        <v>2026</v>
      </c>
      <c r="FL1517" s="18" t="inlineStr">
        <is>
          <t>B</t>
        </is>
      </c>
      <c r="FM1517" s="18" t="inlineStr">
        <is>
          <t>Ducaud</t>
        </is>
      </c>
      <c r="FP1517" t="inlineStr">
        <is>
          <t>B</t>
        </is>
      </c>
      <c r="FS1517" s="14" t="inlineStr">
        <is>
          <t>3009 / SFVZ-87|</t>
        </is>
      </c>
      <c r="FT1517" t="inlineStr">
        <is>
          <t>SFVZ-87|</t>
        </is>
      </c>
      <c r="FU1517" t="inlineStr">
        <is>
          <t>SFVZ-87</t>
        </is>
      </c>
      <c r="FV1517">
        <f>VLOOKUP(FU1517,FD:FL,9,0)</f>
        <v/>
      </c>
    </row>
    <row r="1518">
      <c r="FC1518" t="inlineStr">
        <is>
          <t>Diccionario 2</t>
        </is>
      </c>
      <c r="FD1518" s="15" t="inlineStr">
        <is>
          <t>VJZH-97</t>
        </is>
      </c>
      <c r="FE1518" s="17" t="inlineStr">
        <is>
          <t>LDYECS31XS0044268</t>
        </is>
      </c>
      <c r="FF1518" s="18" t="inlineStr">
        <is>
          <t>MDN3502520269</t>
        </is>
      </c>
      <c r="FG1518" s="18" t="inlineStr">
        <is>
          <t>Zhong Thong</t>
        </is>
      </c>
      <c r="FH1518" s="18" t="inlineStr">
        <is>
          <t>Lck6122evg</t>
        </is>
      </c>
      <c r="FI1518" s="18" t="inlineStr">
        <is>
          <t>Zhong Thong</t>
        </is>
      </c>
      <c r="FJ1518" s="18" t="inlineStr">
        <is>
          <t>Lck6122evg</t>
        </is>
      </c>
      <c r="FK1518" s="18" t="n">
        <v>2026</v>
      </c>
      <c r="FL1518" s="18" t="inlineStr">
        <is>
          <t>B</t>
        </is>
      </c>
      <c r="FM1518" s="18" t="inlineStr">
        <is>
          <t>Ducaud</t>
        </is>
      </c>
      <c r="FP1518" t="inlineStr">
        <is>
          <t>B</t>
        </is>
      </c>
      <c r="FS1518" s="14" t="inlineStr">
        <is>
          <t>3106 / SFWZ-68|</t>
        </is>
      </c>
      <c r="FT1518" t="inlineStr">
        <is>
          <t>SFWZ-68|</t>
        </is>
      </c>
      <c r="FU1518" t="inlineStr">
        <is>
          <t>SFWZ-68</t>
        </is>
      </c>
      <c r="FV1518">
        <f>VLOOKUP(FU1518,FD:FL,9,0)</f>
        <v/>
      </c>
    </row>
    <row r="1519">
      <c r="FC1519" t="inlineStr">
        <is>
          <t>Diccionario 2</t>
        </is>
      </c>
      <c r="FD1519" s="15" t="inlineStr">
        <is>
          <t>VJZJ-56</t>
        </is>
      </c>
      <c r="FE1519" s="17" t="inlineStr">
        <is>
          <t>LDYECS319S0044262</t>
        </is>
      </c>
      <c r="FF1519" s="18" t="inlineStr">
        <is>
          <t>MDN35025020247</t>
        </is>
      </c>
      <c r="FG1519" s="18" t="inlineStr">
        <is>
          <t>Zhong Thong</t>
        </is>
      </c>
      <c r="FH1519" s="18" t="inlineStr">
        <is>
          <t>Lck6122evg</t>
        </is>
      </c>
      <c r="FI1519" s="18" t="inlineStr">
        <is>
          <t>Zhong Thong</t>
        </is>
      </c>
      <c r="FJ1519" s="18" t="inlineStr">
        <is>
          <t>Lck6122evg</t>
        </is>
      </c>
      <c r="FK1519" s="18" t="n">
        <v>2026</v>
      </c>
      <c r="FL1519" s="18" t="inlineStr">
        <is>
          <t>B</t>
        </is>
      </c>
      <c r="FM1519" s="18" t="inlineStr">
        <is>
          <t>Ducaud</t>
        </is>
      </c>
      <c r="FP1519" t="inlineStr">
        <is>
          <t>B</t>
        </is>
      </c>
      <c r="FS1519" s="14" t="inlineStr">
        <is>
          <t>3088 / SFWZ-81|</t>
        </is>
      </c>
      <c r="FT1519" t="inlineStr">
        <is>
          <t>SFWZ-81|</t>
        </is>
      </c>
      <c r="FU1519" t="inlineStr">
        <is>
          <t>SFWZ-81</t>
        </is>
      </c>
      <c r="FV1519">
        <f>VLOOKUP(FU1519,FD:FL,9,0)</f>
        <v/>
      </c>
    </row>
    <row r="1520">
      <c r="FC1520" t="inlineStr">
        <is>
          <t>Diccionario 2</t>
        </is>
      </c>
      <c r="FD1520" s="15" t="inlineStr">
        <is>
          <t>VJZJ-66</t>
        </is>
      </c>
      <c r="FE1520" s="17" t="inlineStr">
        <is>
          <t>LDYECS311S0044269</t>
        </is>
      </c>
      <c r="FF1520" s="18" t="inlineStr">
        <is>
          <t>MDN35025020266</t>
        </is>
      </c>
      <c r="FG1520" s="18" t="inlineStr">
        <is>
          <t>Zhong Thong</t>
        </is>
      </c>
      <c r="FH1520" s="18" t="inlineStr">
        <is>
          <t>Lck6122evg</t>
        </is>
      </c>
      <c r="FI1520" s="18" t="inlineStr">
        <is>
          <t>Zhong Thong</t>
        </is>
      </c>
      <c r="FJ1520" s="18" t="inlineStr">
        <is>
          <t>Lck6122evg</t>
        </is>
      </c>
      <c r="FK1520" s="18" t="n">
        <v>2026</v>
      </c>
      <c r="FL1520" s="18" t="inlineStr">
        <is>
          <t>B</t>
        </is>
      </c>
      <c r="FM1520" s="18" t="inlineStr">
        <is>
          <t>Ducaud</t>
        </is>
      </c>
      <c r="FP1520" t="inlineStr">
        <is>
          <t>B</t>
        </is>
      </c>
      <c r="FS1520" s="14" t="inlineStr">
        <is>
          <t>3050 / SFWB-82|</t>
        </is>
      </c>
      <c r="FT1520" t="inlineStr">
        <is>
          <t>SFWB-82|</t>
        </is>
      </c>
      <c r="FU1520" t="inlineStr">
        <is>
          <t>SFWB-82</t>
        </is>
      </c>
      <c r="FV1520">
        <f>VLOOKUP(FU1520,FD:FL,9,0)</f>
        <v/>
      </c>
    </row>
    <row r="1521">
      <c r="FC1521" t="inlineStr">
        <is>
          <t>Diccionario 2</t>
        </is>
      </c>
      <c r="FD1521" s="15" t="inlineStr">
        <is>
          <t>VKFW-93</t>
        </is>
      </c>
      <c r="FE1521" s="17" t="inlineStr">
        <is>
          <t>LDYECS311S0044272</t>
        </is>
      </c>
      <c r="FF1521" s="18" t="inlineStr">
        <is>
          <t>MDN35025020270</t>
        </is>
      </c>
      <c r="FG1521" s="18" t="inlineStr">
        <is>
          <t>Zhong Thong</t>
        </is>
      </c>
      <c r="FH1521" s="18" t="inlineStr">
        <is>
          <t>Lck6122evg</t>
        </is>
      </c>
      <c r="FI1521" s="18" t="inlineStr">
        <is>
          <t>Zhong Thong</t>
        </is>
      </c>
      <c r="FJ1521" s="18" t="inlineStr">
        <is>
          <t>Lck6122evg</t>
        </is>
      </c>
      <c r="FK1521" s="18" t="n">
        <v>2026</v>
      </c>
      <c r="FL1521" s="18" t="inlineStr">
        <is>
          <t>B</t>
        </is>
      </c>
      <c r="FM1521" s="18" t="inlineStr">
        <is>
          <t>Ducaud</t>
        </is>
      </c>
      <c r="FP1521" t="inlineStr">
        <is>
          <t>B</t>
        </is>
      </c>
      <c r="FS1521" s="14" t="inlineStr">
        <is>
          <t>3007 / SFWB-50|</t>
        </is>
      </c>
      <c r="FT1521" t="inlineStr">
        <is>
          <t>SFWB-50|</t>
        </is>
      </c>
      <c r="FU1521" t="inlineStr">
        <is>
          <t>SFWB-50</t>
        </is>
      </c>
      <c r="FV1521">
        <f>VLOOKUP(FU1521,FD:FL,9,0)</f>
        <v/>
      </c>
    </row>
    <row r="1522">
      <c r="FC1522" t="inlineStr">
        <is>
          <t>Diccionario 2</t>
        </is>
      </c>
      <c r="FD1522" s="15" t="inlineStr">
        <is>
          <t>VKFX-13</t>
        </is>
      </c>
      <c r="FE1522" s="17" t="inlineStr">
        <is>
          <t>LDYECS317S0044258</t>
        </is>
      </c>
      <c r="FF1522" s="18" t="inlineStr">
        <is>
          <t>MDN35025020200</t>
        </is>
      </c>
      <c r="FG1522" s="18" t="inlineStr">
        <is>
          <t>Zhong Thong</t>
        </is>
      </c>
      <c r="FH1522" s="18" t="inlineStr">
        <is>
          <t>Lck6122evg</t>
        </is>
      </c>
      <c r="FI1522" s="18" t="inlineStr">
        <is>
          <t>Zhong Thong</t>
        </is>
      </c>
      <c r="FJ1522" s="18" t="inlineStr">
        <is>
          <t>Lck6122evg</t>
        </is>
      </c>
      <c r="FK1522" s="18" t="n">
        <v>2026</v>
      </c>
      <c r="FL1522" s="18" t="inlineStr">
        <is>
          <t>B</t>
        </is>
      </c>
      <c r="FM1522" s="18" t="inlineStr">
        <is>
          <t>Ducaud</t>
        </is>
      </c>
      <c r="FP1522" t="inlineStr">
        <is>
          <t>B</t>
        </is>
      </c>
      <c r="FS1522" s="14" t="inlineStr">
        <is>
          <t>3003 / SFWZ-16|</t>
        </is>
      </c>
      <c r="FT1522" t="inlineStr">
        <is>
          <t>SFWZ-16|</t>
        </is>
      </c>
      <c r="FU1522" t="inlineStr">
        <is>
          <t>SFWZ-16</t>
        </is>
      </c>
      <c r="FV1522">
        <f>VLOOKUP(FU1522,FD:FL,9,0)</f>
        <v/>
      </c>
    </row>
    <row r="1523">
      <c r="FC1523" t="inlineStr">
        <is>
          <t>Diccionario 2</t>
        </is>
      </c>
      <c r="FD1523" s="15" t="inlineStr">
        <is>
          <t>VKFX-33</t>
        </is>
      </c>
      <c r="FE1523" s="17" t="inlineStr">
        <is>
          <t>LDYECS315S0044274</t>
        </is>
      </c>
      <c r="FF1523" s="18" t="inlineStr">
        <is>
          <t>LDM35025020202</t>
        </is>
      </c>
      <c r="FG1523" s="18" t="inlineStr">
        <is>
          <t>Zhong Thong</t>
        </is>
      </c>
      <c r="FH1523" s="18" t="inlineStr">
        <is>
          <t>Lck6122evg</t>
        </is>
      </c>
      <c r="FI1523" s="18" t="inlineStr">
        <is>
          <t>Zhong Thong</t>
        </is>
      </c>
      <c r="FJ1523" s="18" t="inlineStr">
        <is>
          <t>Lck6122evg</t>
        </is>
      </c>
      <c r="FK1523" s="18" t="n">
        <v>2026</v>
      </c>
      <c r="FL1523" s="18" t="inlineStr">
        <is>
          <t>B</t>
        </is>
      </c>
      <c r="FM1523" s="18" t="inlineStr">
        <is>
          <t>Ducaud</t>
        </is>
      </c>
      <c r="FP1523" t="inlineStr">
        <is>
          <t>B</t>
        </is>
      </c>
      <c r="FS1523" s="14" t="inlineStr">
        <is>
          <t>3009 / SFVZ-87|</t>
        </is>
      </c>
      <c r="FT1523" t="inlineStr">
        <is>
          <t>SFVZ-87|</t>
        </is>
      </c>
      <c r="FU1523" t="inlineStr">
        <is>
          <t>SFVZ-87</t>
        </is>
      </c>
      <c r="FV1523">
        <f>VLOOKUP(FU1523,FD:FL,9,0)</f>
        <v/>
      </c>
    </row>
    <row r="1524">
      <c r="FC1524" t="inlineStr">
        <is>
          <t>Diccionario 2</t>
        </is>
      </c>
      <c r="FD1524" s="15" t="inlineStr">
        <is>
          <t>VKFX-63</t>
        </is>
      </c>
      <c r="FE1524" s="17" t="inlineStr">
        <is>
          <t>LDYECS314S0044279</t>
        </is>
      </c>
      <c r="FF1524" s="18" t="inlineStr">
        <is>
          <t>MDN35025020206</t>
        </is>
      </c>
      <c r="FG1524" s="18" t="inlineStr">
        <is>
          <t>Zhong Thong</t>
        </is>
      </c>
      <c r="FH1524" s="18" t="inlineStr">
        <is>
          <t>Lck6122evg</t>
        </is>
      </c>
      <c r="FI1524" s="18" t="inlineStr">
        <is>
          <t>Zhong Thong</t>
        </is>
      </c>
      <c r="FJ1524" s="18" t="inlineStr">
        <is>
          <t>Lck6122evg</t>
        </is>
      </c>
      <c r="FK1524" s="18" t="n">
        <v>2026</v>
      </c>
      <c r="FL1524" s="18" t="inlineStr">
        <is>
          <t>B</t>
        </is>
      </c>
      <c r="FM1524" s="18" t="inlineStr">
        <is>
          <t>Ducaud</t>
        </is>
      </c>
      <c r="FP1524" t="inlineStr">
        <is>
          <t>B</t>
        </is>
      </c>
      <c r="FS1524" s="14" t="inlineStr">
        <is>
          <t>3023 / SFWB-33|</t>
        </is>
      </c>
      <c r="FT1524" t="inlineStr">
        <is>
          <t>SFWB-33|</t>
        </is>
      </c>
      <c r="FU1524" t="inlineStr">
        <is>
          <t>SFWB-33</t>
        </is>
      </c>
      <c r="FV1524">
        <f>VLOOKUP(FU1524,FD:FL,9,0)</f>
        <v/>
      </c>
    </row>
    <row r="1525">
      <c r="FC1525" t="inlineStr">
        <is>
          <t>Diccionario 2</t>
        </is>
      </c>
      <c r="FD1525" s="15" t="inlineStr">
        <is>
          <t>VKFX-73</t>
        </is>
      </c>
      <c r="FE1525" s="17" t="inlineStr">
        <is>
          <t>LDYECS316S0044204</t>
        </is>
      </c>
      <c r="FF1525" s="18" t="inlineStr">
        <is>
          <t>MDN35025020198</t>
        </is>
      </c>
      <c r="FG1525" s="18" t="inlineStr">
        <is>
          <t>Zhong Thong</t>
        </is>
      </c>
      <c r="FH1525" s="18" t="inlineStr">
        <is>
          <t>Lck6122evg</t>
        </is>
      </c>
      <c r="FI1525" s="18" t="inlineStr">
        <is>
          <t>Zhong Thong</t>
        </is>
      </c>
      <c r="FJ1525" s="18" t="inlineStr">
        <is>
          <t>Lck6122evg</t>
        </is>
      </c>
      <c r="FK1525" s="18" t="n">
        <v>2026</v>
      </c>
      <c r="FL1525" s="18" t="inlineStr">
        <is>
          <t>B</t>
        </is>
      </c>
      <c r="FM1525" s="18" t="inlineStr">
        <is>
          <t>Ducaud</t>
        </is>
      </c>
      <c r="FP1525" t="inlineStr">
        <is>
          <t>B</t>
        </is>
      </c>
      <c r="FS1525" s="14" t="inlineStr">
        <is>
          <t>3007 / SFWB-50|</t>
        </is>
      </c>
      <c r="FT1525" t="inlineStr">
        <is>
          <t>SFWB-50|</t>
        </is>
      </c>
      <c r="FU1525" t="inlineStr">
        <is>
          <t>SFWB-50</t>
        </is>
      </c>
      <c r="FV1525">
        <f>VLOOKUP(FU1525,FD:FL,9,0)</f>
        <v/>
      </c>
    </row>
    <row r="1526">
      <c r="FC1526" t="inlineStr">
        <is>
          <t>Diccionario 2</t>
        </is>
      </c>
      <c r="FD1526" s="15" t="inlineStr">
        <is>
          <t>VKFX-93</t>
        </is>
      </c>
      <c r="FE1526" s="17" t="inlineStr">
        <is>
          <t>LDYECS312S0044359</t>
        </is>
      </c>
      <c r="FF1526" s="18" t="inlineStr">
        <is>
          <t>MDN35025020203</t>
        </is>
      </c>
      <c r="FG1526" s="18" t="inlineStr">
        <is>
          <t>Zhong Thong</t>
        </is>
      </c>
      <c r="FH1526" s="18" t="inlineStr">
        <is>
          <t>Lck6122evg</t>
        </is>
      </c>
      <c r="FI1526" s="18" t="inlineStr">
        <is>
          <t>Zhong Thong</t>
        </is>
      </c>
      <c r="FJ1526" s="18" t="inlineStr">
        <is>
          <t>Lck6122evg</t>
        </is>
      </c>
      <c r="FK1526" s="18" t="n">
        <v>2026</v>
      </c>
      <c r="FL1526" s="18" t="inlineStr">
        <is>
          <t>B</t>
        </is>
      </c>
      <c r="FM1526" s="18" t="inlineStr">
        <is>
          <t>Ducaud</t>
        </is>
      </c>
      <c r="FP1526" t="inlineStr">
        <is>
          <t>B</t>
        </is>
      </c>
      <c r="FS1526" s="14" t="inlineStr">
        <is>
          <t>3031 / SFWZ-33|</t>
        </is>
      </c>
      <c r="FT1526" t="inlineStr">
        <is>
          <t>SFWZ-33|</t>
        </is>
      </c>
      <c r="FU1526" t="inlineStr">
        <is>
          <t>SFWZ-33</t>
        </is>
      </c>
      <c r="FV1526">
        <f>VLOOKUP(FU1526,FD:FL,9,0)</f>
        <v/>
      </c>
    </row>
    <row r="1527">
      <c r="FC1527" t="inlineStr">
        <is>
          <t>Diccionario 2</t>
        </is>
      </c>
      <c r="FD1527" s="15" t="inlineStr">
        <is>
          <t>VKFZ-33</t>
        </is>
      </c>
      <c r="FE1527" s="17" t="inlineStr">
        <is>
          <t>LDYECS314S0044363</t>
        </is>
      </c>
      <c r="FF1527" s="18" t="inlineStr">
        <is>
          <t>MDN35025010121</t>
        </is>
      </c>
      <c r="FG1527" s="18" t="inlineStr">
        <is>
          <t>Zhong Thong</t>
        </is>
      </c>
      <c r="FH1527" s="18" t="inlineStr">
        <is>
          <t>Lck6122evg</t>
        </is>
      </c>
      <c r="FI1527" s="18" t="inlineStr">
        <is>
          <t>Zhong Thong</t>
        </is>
      </c>
      <c r="FJ1527" s="18" t="inlineStr">
        <is>
          <t>Lck6122evg</t>
        </is>
      </c>
      <c r="FK1527" s="18" t="n">
        <v>2026</v>
      </c>
      <c r="FL1527" s="18" t="inlineStr">
        <is>
          <t>B</t>
        </is>
      </c>
      <c r="FM1527" s="18" t="inlineStr">
        <is>
          <t>Ducaud</t>
        </is>
      </c>
      <c r="FP1527" t="inlineStr">
        <is>
          <t>B</t>
        </is>
      </c>
      <c r="FS1527" s="14" t="inlineStr">
        <is>
          <t>3005 / SFWZ-39|</t>
        </is>
      </c>
      <c r="FT1527" t="inlineStr">
        <is>
          <t>SFWZ-39|</t>
        </is>
      </c>
      <c r="FU1527" t="inlineStr">
        <is>
          <t>SFWZ-39</t>
        </is>
      </c>
      <c r="FV1527">
        <f>VLOOKUP(FU1527,FD:FL,9,0)</f>
        <v/>
      </c>
    </row>
    <row r="1528">
      <c r="FC1528" t="inlineStr">
        <is>
          <t>Diccionario 2</t>
        </is>
      </c>
      <c r="FD1528" s="15" t="inlineStr">
        <is>
          <t>VKFZ-53</t>
        </is>
      </c>
      <c r="FE1528" s="17" t="inlineStr">
        <is>
          <t>LDYECS315S0044307</t>
        </is>
      </c>
      <c r="FF1528" s="18" t="inlineStr">
        <is>
          <t>MDN35025030028</t>
        </is>
      </c>
      <c r="FG1528" s="18" t="inlineStr">
        <is>
          <t>Zhong Thong</t>
        </is>
      </c>
      <c r="FH1528" s="18" t="inlineStr">
        <is>
          <t>Lck6122evg</t>
        </is>
      </c>
      <c r="FI1528" s="18" t="inlineStr">
        <is>
          <t>Zhong Thong</t>
        </is>
      </c>
      <c r="FJ1528" s="18" t="inlineStr">
        <is>
          <t>Lck6122evg</t>
        </is>
      </c>
      <c r="FK1528" s="18" t="n">
        <v>2026</v>
      </c>
      <c r="FL1528" s="18" t="inlineStr">
        <is>
          <t>B</t>
        </is>
      </c>
      <c r="FM1528" s="18" t="inlineStr">
        <is>
          <t>Ducaud</t>
        </is>
      </c>
      <c r="FP1528" t="inlineStr">
        <is>
          <t>B</t>
        </is>
      </c>
      <c r="FS1528" s="14" t="inlineStr">
        <is>
          <t>3003 / SFWZ-16|</t>
        </is>
      </c>
      <c r="FT1528" t="inlineStr">
        <is>
          <t>SFWZ-16|</t>
        </is>
      </c>
      <c r="FU1528" t="inlineStr">
        <is>
          <t>SFWZ-16</t>
        </is>
      </c>
      <c r="FV1528">
        <f>VLOOKUP(FU1528,FD:FL,9,0)</f>
        <v/>
      </c>
    </row>
    <row r="1529">
      <c r="FC1529" t="inlineStr">
        <is>
          <t>Diccionario 2</t>
        </is>
      </c>
      <c r="FD1529" s="15" t="inlineStr">
        <is>
          <t>VKFZ-93</t>
        </is>
      </c>
      <c r="FE1529" s="17" t="inlineStr">
        <is>
          <t>LDYECS317S0044311</t>
        </is>
      </c>
      <c r="FF1529" s="18" t="inlineStr">
        <is>
          <t>MDN35025030043</t>
        </is>
      </c>
      <c r="FG1529" s="18" t="inlineStr">
        <is>
          <t>Zhong Thong</t>
        </is>
      </c>
      <c r="FH1529" s="18" t="inlineStr">
        <is>
          <t>Lck6122evg</t>
        </is>
      </c>
      <c r="FI1529" s="18" t="inlineStr">
        <is>
          <t>Zhong Thong</t>
        </is>
      </c>
      <c r="FJ1529" s="18" t="inlineStr">
        <is>
          <t>Lck6122evg</t>
        </is>
      </c>
      <c r="FK1529" s="18" t="n">
        <v>2026</v>
      </c>
      <c r="FL1529" s="18" t="inlineStr">
        <is>
          <t>B</t>
        </is>
      </c>
      <c r="FM1529" s="18" t="inlineStr">
        <is>
          <t>Ducaud</t>
        </is>
      </c>
      <c r="FP1529" t="inlineStr">
        <is>
          <t>B</t>
        </is>
      </c>
      <c r="FS1529" s="14" t="inlineStr">
        <is>
          <t>3009 / SFVZ-87|</t>
        </is>
      </c>
      <c r="FT1529" t="inlineStr">
        <is>
          <t>SFVZ-87|</t>
        </is>
      </c>
      <c r="FU1529" t="inlineStr">
        <is>
          <t>SFVZ-87</t>
        </is>
      </c>
      <c r="FV1529">
        <f>VLOOKUP(FU1529,FD:FL,9,0)</f>
        <v/>
      </c>
    </row>
    <row r="1530">
      <c r="FC1530" t="inlineStr">
        <is>
          <t>Diccionario 2</t>
        </is>
      </c>
      <c r="FD1530" s="15" t="inlineStr">
        <is>
          <t>VKGB-43</t>
        </is>
      </c>
      <c r="FE1530" s="17" t="inlineStr">
        <is>
          <t>LDYECS31XS44318</t>
        </is>
      </c>
      <c r="FF1530" s="18" t="inlineStr">
        <is>
          <t>MDN35025010176</t>
        </is>
      </c>
      <c r="FG1530" s="18" t="inlineStr">
        <is>
          <t>Zhong Thong</t>
        </is>
      </c>
      <c r="FH1530" s="18" t="inlineStr">
        <is>
          <t>Lck6122evg</t>
        </is>
      </c>
      <c r="FI1530" s="18" t="inlineStr">
        <is>
          <t>Zhong Thong</t>
        </is>
      </c>
      <c r="FJ1530" s="18" t="inlineStr">
        <is>
          <t>Lck6122evg</t>
        </is>
      </c>
      <c r="FK1530" s="18" t="n">
        <v>2026</v>
      </c>
      <c r="FL1530" s="18" t="inlineStr">
        <is>
          <t>B</t>
        </is>
      </c>
      <c r="FM1530" s="18" t="inlineStr">
        <is>
          <t>Ducaud</t>
        </is>
      </c>
      <c r="FP1530" t="inlineStr">
        <is>
          <t>B</t>
        </is>
      </c>
      <c r="FS1530" s="14" t="inlineStr">
        <is>
          <t>3049 / SFWZ-13|</t>
        </is>
      </c>
      <c r="FT1530" t="inlineStr">
        <is>
          <t>SFWZ-13|</t>
        </is>
      </c>
      <c r="FU1530" t="inlineStr">
        <is>
          <t>SFWZ-13</t>
        </is>
      </c>
      <c r="FV1530">
        <f>VLOOKUP(FU1530,FD:FL,9,0)</f>
        <v/>
      </c>
    </row>
    <row r="1531">
      <c r="FC1531" t="inlineStr">
        <is>
          <t>Diccionario 2</t>
        </is>
      </c>
      <c r="FD1531" s="15" t="inlineStr">
        <is>
          <t>VKGB-83</t>
        </is>
      </c>
      <c r="FE1531" s="17" t="inlineStr">
        <is>
          <t>LDYECS312S0044314</t>
        </is>
      </c>
      <c r="FF1531" s="18" t="inlineStr">
        <is>
          <t>MDN35025030094</t>
        </is>
      </c>
      <c r="FG1531" s="18" t="inlineStr">
        <is>
          <t>Zhong Thong</t>
        </is>
      </c>
      <c r="FH1531" s="18" t="inlineStr">
        <is>
          <t>Lck6122evg</t>
        </is>
      </c>
      <c r="FI1531" s="18" t="inlineStr">
        <is>
          <t>Zhong Thong</t>
        </is>
      </c>
      <c r="FJ1531" s="18" t="inlineStr">
        <is>
          <t>Lck6122evg</t>
        </is>
      </c>
      <c r="FK1531" s="18" t="n">
        <v>2026</v>
      </c>
      <c r="FL1531" s="18" t="inlineStr">
        <is>
          <t>B</t>
        </is>
      </c>
      <c r="FM1531" s="18" t="inlineStr">
        <is>
          <t>Ducaud</t>
        </is>
      </c>
      <c r="FP1531" t="inlineStr">
        <is>
          <t>B</t>
        </is>
      </c>
      <c r="FS1531" s="14" t="inlineStr">
        <is>
          <t>3023 / SFWB-33|</t>
        </is>
      </c>
      <c r="FT1531" t="inlineStr">
        <is>
          <t>SFWB-33|</t>
        </is>
      </c>
      <c r="FU1531" t="inlineStr">
        <is>
          <t>SFWB-33</t>
        </is>
      </c>
      <c r="FV1531">
        <f>VLOOKUP(FU1531,FD:FL,9,0)</f>
        <v/>
      </c>
    </row>
    <row r="1532">
      <c r="FC1532" t="inlineStr">
        <is>
          <t>Diccionario 2</t>
        </is>
      </c>
      <c r="FD1532" s="15" t="inlineStr">
        <is>
          <t>VKGC-23</t>
        </is>
      </c>
      <c r="FE1532" s="17" t="inlineStr">
        <is>
          <t>LDYECS319S0044391</t>
        </is>
      </c>
      <c r="FF1532" s="18" t="inlineStr">
        <is>
          <t>MDN35025010114</t>
        </is>
      </c>
      <c r="FG1532" s="18" t="inlineStr">
        <is>
          <t>Zhong Thong</t>
        </is>
      </c>
      <c r="FH1532" s="18" t="inlineStr">
        <is>
          <t>Lck6122evg</t>
        </is>
      </c>
      <c r="FI1532" s="18" t="inlineStr">
        <is>
          <t>Zhong Thong</t>
        </is>
      </c>
      <c r="FJ1532" s="18" t="inlineStr">
        <is>
          <t>Lck6122evg</t>
        </is>
      </c>
      <c r="FK1532" s="18" t="n">
        <v>2026</v>
      </c>
      <c r="FL1532" s="18" t="inlineStr">
        <is>
          <t>B</t>
        </is>
      </c>
      <c r="FM1532" s="18" t="inlineStr">
        <is>
          <t>Ducaud</t>
        </is>
      </c>
      <c r="FP1532" t="inlineStr">
        <is>
          <t>B</t>
        </is>
      </c>
      <c r="FS1532" s="14" t="inlineStr">
        <is>
          <t>3013 / SFWZ-18|</t>
        </is>
      </c>
      <c r="FT1532" t="inlineStr">
        <is>
          <t>SFWZ-18|</t>
        </is>
      </c>
      <c r="FU1532" t="inlineStr">
        <is>
          <t>SFWZ-18</t>
        </is>
      </c>
      <c r="FV1532">
        <f>VLOOKUP(FU1532,FD:FL,9,0)</f>
        <v/>
      </c>
    </row>
    <row r="1533">
      <c r="FC1533" t="inlineStr">
        <is>
          <t>Diccionario 2</t>
        </is>
      </c>
      <c r="FD1533" s="15" t="inlineStr">
        <is>
          <t>VKGC-63</t>
        </is>
      </c>
      <c r="FE1533" s="17" t="inlineStr">
        <is>
          <t>LDYECS317S0044387</t>
        </is>
      </c>
      <c r="FF1533" s="18" t="inlineStr">
        <is>
          <t>MDN35025010083</t>
        </is>
      </c>
      <c r="FG1533" s="18" t="inlineStr">
        <is>
          <t>Zhong Thong</t>
        </is>
      </c>
      <c r="FH1533" s="18" t="inlineStr">
        <is>
          <t>Lck6122evg</t>
        </is>
      </c>
      <c r="FI1533" s="18" t="inlineStr">
        <is>
          <t>Zhong Thong</t>
        </is>
      </c>
      <c r="FJ1533" s="18" t="inlineStr">
        <is>
          <t>Lck6122evg</t>
        </is>
      </c>
      <c r="FK1533" s="18" t="n">
        <v>2026</v>
      </c>
      <c r="FL1533" s="18" t="inlineStr">
        <is>
          <t>B</t>
        </is>
      </c>
      <c r="FM1533" s="18" t="inlineStr">
        <is>
          <t>Ducaud</t>
        </is>
      </c>
      <c r="FP1533" t="inlineStr">
        <is>
          <t>B</t>
        </is>
      </c>
      <c r="FS1533" s="14" t="inlineStr">
        <is>
          <t>3030 / SFWZ-14|</t>
        </is>
      </c>
      <c r="FT1533" t="inlineStr">
        <is>
          <t>SFWZ-14|</t>
        </is>
      </c>
      <c r="FU1533" t="inlineStr">
        <is>
          <t>SFWZ-14</t>
        </is>
      </c>
      <c r="FV1533">
        <f>VLOOKUP(FU1533,FD:FL,9,0)</f>
        <v/>
      </c>
    </row>
    <row r="1534">
      <c r="FC1534" t="inlineStr">
        <is>
          <t>Diccionario 2</t>
        </is>
      </c>
      <c r="FD1534" s="15" t="inlineStr">
        <is>
          <t>VKGC-73</t>
        </is>
      </c>
      <c r="FE1534" s="17" t="inlineStr">
        <is>
          <t>LDYECS314S0044315</t>
        </is>
      </c>
      <c r="FF1534" s="18" t="inlineStr">
        <is>
          <t>MDN35025010082</t>
        </is>
      </c>
      <c r="FG1534" s="18" t="inlineStr">
        <is>
          <t>Zhong Thong</t>
        </is>
      </c>
      <c r="FH1534" s="18" t="inlineStr">
        <is>
          <t>Lck6122evg</t>
        </is>
      </c>
      <c r="FI1534" s="18" t="inlineStr">
        <is>
          <t>Zhong Thong</t>
        </is>
      </c>
      <c r="FJ1534" s="18" t="inlineStr">
        <is>
          <t>Lck6122evg</t>
        </is>
      </c>
      <c r="FK1534" s="18" t="n">
        <v>2026</v>
      </c>
      <c r="FL1534" s="18" t="inlineStr">
        <is>
          <t>B</t>
        </is>
      </c>
      <c r="FM1534" s="18" t="inlineStr">
        <is>
          <t>Ducaud</t>
        </is>
      </c>
      <c r="FP1534" t="inlineStr">
        <is>
          <t>B</t>
        </is>
      </c>
      <c r="FS1534" s="14" t="inlineStr">
        <is>
          <t>3031 / SFWZ-33|</t>
        </is>
      </c>
      <c r="FT1534" t="inlineStr">
        <is>
          <t>SFWZ-33|</t>
        </is>
      </c>
      <c r="FU1534" t="inlineStr">
        <is>
          <t>SFWZ-33</t>
        </is>
      </c>
      <c r="FV1534">
        <f>VLOOKUP(FU1534,FD:FL,9,0)</f>
        <v/>
      </c>
    </row>
    <row r="1535">
      <c r="FC1535" t="inlineStr">
        <is>
          <t>Diccionario 2</t>
        </is>
      </c>
      <c r="FD1535" s="15" t="inlineStr">
        <is>
          <t>VKGD-33</t>
        </is>
      </c>
      <c r="FE1535" s="17" t="inlineStr">
        <is>
          <t>LDYECS312S0044393</t>
        </is>
      </c>
      <c r="FF1535" s="18" t="inlineStr">
        <is>
          <t>MDN35025030149</t>
        </is>
      </c>
      <c r="FG1535" s="18" t="inlineStr">
        <is>
          <t>Zhong Thong</t>
        </is>
      </c>
      <c r="FH1535" s="18" t="inlineStr">
        <is>
          <t>Lck6122evg</t>
        </is>
      </c>
      <c r="FI1535" s="18" t="inlineStr">
        <is>
          <t>Zhong Thong</t>
        </is>
      </c>
      <c r="FJ1535" s="18" t="inlineStr">
        <is>
          <t>Lck6122evg</t>
        </is>
      </c>
      <c r="FK1535" s="18" t="n">
        <v>2026</v>
      </c>
      <c r="FL1535" s="18" t="inlineStr">
        <is>
          <t>B</t>
        </is>
      </c>
      <c r="FM1535" s="18" t="inlineStr">
        <is>
          <t>Ducaud</t>
        </is>
      </c>
      <c r="FP1535" t="inlineStr">
        <is>
          <t>B</t>
        </is>
      </c>
      <c r="FS1535" s="14" t="inlineStr">
        <is>
          <t>3035 / SFWB-64|</t>
        </is>
      </c>
      <c r="FT1535" t="inlineStr">
        <is>
          <t>SFWB-64|</t>
        </is>
      </c>
      <c r="FU1535" t="inlineStr">
        <is>
          <t>SFWB-64</t>
        </is>
      </c>
      <c r="FV1535">
        <f>VLOOKUP(FU1535,FD:FL,9,0)</f>
        <v/>
      </c>
    </row>
    <row r="1536">
      <c r="FC1536" t="inlineStr">
        <is>
          <t>Diccionario 2</t>
        </is>
      </c>
      <c r="FD1536" s="15" t="inlineStr">
        <is>
          <t>VKGD-43</t>
        </is>
      </c>
      <c r="FE1536" s="17" t="inlineStr">
        <is>
          <t>MDYECS315S0044386</t>
        </is>
      </c>
      <c r="FF1536" s="18" t="inlineStr">
        <is>
          <t>MDN35025010084</t>
        </is>
      </c>
      <c r="FG1536" s="18" t="inlineStr">
        <is>
          <t>Zhong Thong</t>
        </is>
      </c>
      <c r="FH1536" s="18" t="inlineStr">
        <is>
          <t>Lck6122evg</t>
        </is>
      </c>
      <c r="FI1536" s="18" t="inlineStr">
        <is>
          <t>Zhong Thong</t>
        </is>
      </c>
      <c r="FJ1536" s="18" t="inlineStr">
        <is>
          <t>Lck6122evg</t>
        </is>
      </c>
      <c r="FK1536" s="18" t="n">
        <v>2026</v>
      </c>
      <c r="FL1536" s="18" t="inlineStr">
        <is>
          <t>B</t>
        </is>
      </c>
      <c r="FM1536" s="18" t="inlineStr">
        <is>
          <t>Ducaud</t>
        </is>
      </c>
      <c r="FP1536" t="inlineStr">
        <is>
          <t>B</t>
        </is>
      </c>
      <c r="FS1536" s="14" t="inlineStr">
        <is>
          <t>3005 / SFWZ-39|</t>
        </is>
      </c>
      <c r="FT1536" t="inlineStr">
        <is>
          <t>SFWZ-39|</t>
        </is>
      </c>
      <c r="FU1536" t="inlineStr">
        <is>
          <t>SFWZ-39</t>
        </is>
      </c>
      <c r="FV1536">
        <f>VLOOKUP(FU1536,FD:FL,9,0)</f>
        <v/>
      </c>
    </row>
    <row r="1537">
      <c r="FC1537" t="inlineStr">
        <is>
          <t>Diccionario 2</t>
        </is>
      </c>
      <c r="FD1537" s="15" t="inlineStr">
        <is>
          <t>VKGF-93</t>
        </is>
      </c>
      <c r="FE1537" s="17" t="inlineStr">
        <is>
          <t>LDYECS318S0044320</t>
        </is>
      </c>
      <c r="FF1537" s="18" t="inlineStr">
        <is>
          <t>MDN35025010160</t>
        </is>
      </c>
      <c r="FG1537" s="18" t="inlineStr">
        <is>
          <t>Zhong Thong</t>
        </is>
      </c>
      <c r="FH1537" s="18" t="inlineStr">
        <is>
          <t>Lck6122evg</t>
        </is>
      </c>
      <c r="FI1537" s="18" t="inlineStr">
        <is>
          <t>Zhong Thong</t>
        </is>
      </c>
      <c r="FJ1537" s="18" t="inlineStr">
        <is>
          <t>Lck6122evg</t>
        </is>
      </c>
      <c r="FK1537" s="18" t="n">
        <v>2026</v>
      </c>
      <c r="FL1537" s="18" t="inlineStr">
        <is>
          <t>B</t>
        </is>
      </c>
      <c r="FM1537" s="18" t="inlineStr">
        <is>
          <t>Ducaud</t>
        </is>
      </c>
      <c r="FP1537" t="inlineStr">
        <is>
          <t>B</t>
        </is>
      </c>
      <c r="FS1537" s="14" t="inlineStr">
        <is>
          <t>3009 / SFVZ-87|</t>
        </is>
      </c>
      <c r="FT1537" t="inlineStr">
        <is>
          <t>SFVZ-87|</t>
        </is>
      </c>
      <c r="FU1537" t="inlineStr">
        <is>
          <t>SFVZ-87</t>
        </is>
      </c>
      <c r="FV1537">
        <f>VLOOKUP(FU1537,FD:FL,9,0)</f>
        <v/>
      </c>
    </row>
    <row r="1538">
      <c r="FC1538" t="inlineStr">
        <is>
          <t>Diccionario 2</t>
        </is>
      </c>
      <c r="FD1538" s="15" t="inlineStr">
        <is>
          <t>VKGG-13</t>
        </is>
      </c>
      <c r="FE1538" s="17" t="inlineStr">
        <is>
          <t>LDYECS316S0044395</t>
        </is>
      </c>
      <c r="FF1538" s="18" t="inlineStr">
        <is>
          <t>MDN35025010172</t>
        </is>
      </c>
      <c r="FG1538" s="18" t="inlineStr">
        <is>
          <t>Zhong Thong</t>
        </is>
      </c>
      <c r="FH1538" s="18" t="inlineStr">
        <is>
          <t>Lck6122evg</t>
        </is>
      </c>
      <c r="FI1538" s="18" t="inlineStr">
        <is>
          <t>Zhong Thong</t>
        </is>
      </c>
      <c r="FJ1538" s="18" t="inlineStr">
        <is>
          <t>Lck6122evg</t>
        </is>
      </c>
      <c r="FK1538" s="18" t="n">
        <v>2026</v>
      </c>
      <c r="FL1538" s="18" t="inlineStr">
        <is>
          <t>B</t>
        </is>
      </c>
      <c r="FM1538" s="18" t="inlineStr">
        <is>
          <t>Ducaud</t>
        </is>
      </c>
      <c r="FP1538" t="inlineStr">
        <is>
          <t>B</t>
        </is>
      </c>
      <c r="FS1538" s="14" t="inlineStr">
        <is>
          <t>3049 / SFWZ-13|</t>
        </is>
      </c>
      <c r="FT1538" t="inlineStr">
        <is>
          <t>SFWZ-13|</t>
        </is>
      </c>
      <c r="FU1538" t="inlineStr">
        <is>
          <t>SFWZ-13</t>
        </is>
      </c>
      <c r="FV1538">
        <f>VLOOKUP(FU1538,FD:FL,9,0)</f>
        <v/>
      </c>
    </row>
    <row r="1539">
      <c r="FC1539" t="inlineStr">
        <is>
          <t>Diccionario 2</t>
        </is>
      </c>
      <c r="FD1539" s="15" t="inlineStr">
        <is>
          <t>VKGG-23</t>
        </is>
      </c>
      <c r="FE1539" s="17" t="inlineStr">
        <is>
          <t>LDYECS314S0044329</t>
        </is>
      </c>
      <c r="FF1539" s="18" t="inlineStr">
        <is>
          <t>MDN35025010145</t>
        </is>
      </c>
      <c r="FG1539" s="18" t="inlineStr">
        <is>
          <t>Zhong Thong</t>
        </is>
      </c>
      <c r="FH1539" s="18" t="inlineStr">
        <is>
          <t>Lck6122evg</t>
        </is>
      </c>
      <c r="FI1539" s="18" t="inlineStr">
        <is>
          <t>Zhong Thong</t>
        </is>
      </c>
      <c r="FJ1539" s="18" t="inlineStr">
        <is>
          <t>Lck6122evg</t>
        </is>
      </c>
      <c r="FK1539" s="18" t="n">
        <v>2026</v>
      </c>
      <c r="FL1539" s="18" t="inlineStr">
        <is>
          <t>B</t>
        </is>
      </c>
      <c r="FM1539" s="18" t="inlineStr">
        <is>
          <t>Ducaud</t>
        </is>
      </c>
      <c r="FP1539" t="inlineStr">
        <is>
          <t>B</t>
        </is>
      </c>
      <c r="FS1539" s="14" t="inlineStr">
        <is>
          <t>3023 / SFWB-33|</t>
        </is>
      </c>
      <c r="FT1539" t="inlineStr">
        <is>
          <t>SFWB-33|</t>
        </is>
      </c>
      <c r="FU1539" t="inlineStr">
        <is>
          <t>SFWB-33</t>
        </is>
      </c>
      <c r="FV1539">
        <f>VLOOKUP(FU1539,FD:FL,9,0)</f>
        <v/>
      </c>
    </row>
    <row r="1540">
      <c r="FC1540" t="inlineStr">
        <is>
          <t>Diccionario 2</t>
        </is>
      </c>
      <c r="FD1540" s="15" t="inlineStr">
        <is>
          <t>VKGG-33</t>
        </is>
      </c>
      <c r="FE1540" s="17" t="inlineStr">
        <is>
          <t>LDYECS319S0044326</t>
        </is>
      </c>
      <c r="FF1540" s="18" t="inlineStr">
        <is>
          <t>MDN35025030181</t>
        </is>
      </c>
      <c r="FG1540" s="18" t="inlineStr">
        <is>
          <t>Zhong Thong</t>
        </is>
      </c>
      <c r="FH1540" s="18" t="inlineStr">
        <is>
          <t>Lck6122evg</t>
        </is>
      </c>
      <c r="FI1540" s="18" t="inlineStr">
        <is>
          <t>Zhong Thong</t>
        </is>
      </c>
      <c r="FJ1540" s="18" t="inlineStr">
        <is>
          <t>Lck6122evg</t>
        </is>
      </c>
      <c r="FK1540" s="18" t="n">
        <v>2026</v>
      </c>
      <c r="FL1540" s="18" t="inlineStr">
        <is>
          <t>B</t>
        </is>
      </c>
      <c r="FM1540" s="18" t="inlineStr">
        <is>
          <t>Ducaud</t>
        </is>
      </c>
      <c r="FP1540" t="inlineStr">
        <is>
          <t>B</t>
        </is>
      </c>
      <c r="FS1540" s="14" t="inlineStr">
        <is>
          <t>3013 / SFWZ-18|</t>
        </is>
      </c>
      <c r="FT1540" t="inlineStr">
        <is>
          <t>SFWZ-18|</t>
        </is>
      </c>
      <c r="FU1540" t="inlineStr">
        <is>
          <t>SFWZ-18</t>
        </is>
      </c>
      <c r="FV1540">
        <f>VLOOKUP(FU1540,FD:FL,9,0)</f>
        <v/>
      </c>
    </row>
    <row r="1541">
      <c r="FC1541" t="inlineStr">
        <is>
          <t>Diccionario 2</t>
        </is>
      </c>
      <c r="FD1541" s="15" t="inlineStr">
        <is>
          <t>VKGG-53</t>
        </is>
      </c>
      <c r="FE1541" s="17" t="inlineStr">
        <is>
          <t>LDYECS310S0044330</t>
        </is>
      </c>
      <c r="FF1541" s="18" t="inlineStr">
        <is>
          <t>MDN35025030253</t>
        </is>
      </c>
      <c r="FG1541" s="18" t="inlineStr">
        <is>
          <t>Zhong Thong</t>
        </is>
      </c>
      <c r="FH1541" s="18" t="inlineStr">
        <is>
          <t>Lck6122evg</t>
        </is>
      </c>
      <c r="FI1541" s="18" t="inlineStr">
        <is>
          <t>Zhong Thong</t>
        </is>
      </c>
      <c r="FJ1541" s="18" t="inlineStr">
        <is>
          <t>Lck6122evg</t>
        </is>
      </c>
      <c r="FK1541" s="18" t="n">
        <v>2026</v>
      </c>
      <c r="FL1541" s="18" t="inlineStr">
        <is>
          <t>B</t>
        </is>
      </c>
      <c r="FM1541" s="18" t="inlineStr">
        <is>
          <t>Ducaud</t>
        </is>
      </c>
      <c r="FP1541" t="inlineStr">
        <is>
          <t>B</t>
        </is>
      </c>
      <c r="FS1541" s="14" t="inlineStr">
        <is>
          <t>3025 / SFVZ-44|</t>
        </is>
      </c>
      <c r="FT1541" t="inlineStr">
        <is>
          <t>SFVZ-44|</t>
        </is>
      </c>
      <c r="FU1541" t="inlineStr">
        <is>
          <t>SFVZ-44</t>
        </is>
      </c>
      <c r="FV1541">
        <f>VLOOKUP(FU1541,FD:FL,9,0)</f>
        <v/>
      </c>
    </row>
    <row r="1542">
      <c r="FC1542" t="inlineStr">
        <is>
          <t>Diccionario 2</t>
        </is>
      </c>
      <c r="FD1542" s="15" t="inlineStr">
        <is>
          <t>VKGG-73</t>
        </is>
      </c>
      <c r="FE1542" s="17" t="inlineStr">
        <is>
          <t>LDYECS319S0044410</t>
        </is>
      </c>
      <c r="FF1542" s="18" t="inlineStr">
        <is>
          <t>MDN35025030046</t>
        </is>
      </c>
      <c r="FG1542" s="18" t="inlineStr">
        <is>
          <t>Zhong Thong</t>
        </is>
      </c>
      <c r="FH1542" s="18" t="inlineStr">
        <is>
          <t>Lck6122evg</t>
        </is>
      </c>
      <c r="FI1542" s="18" t="inlineStr">
        <is>
          <t>Zhong Thong</t>
        </is>
      </c>
      <c r="FJ1542" s="18" t="inlineStr">
        <is>
          <t>Lck6122evg</t>
        </is>
      </c>
      <c r="FK1542" s="18" t="n">
        <v>2026</v>
      </c>
      <c r="FL1542" s="18" t="inlineStr">
        <is>
          <t>B</t>
        </is>
      </c>
      <c r="FM1542" s="18" t="inlineStr">
        <is>
          <t>Ducaud</t>
        </is>
      </c>
      <c r="FP1542" t="inlineStr">
        <is>
          <t>B</t>
        </is>
      </c>
      <c r="FS1542" s="14" t="inlineStr">
        <is>
          <t>3031 / SFWZ-33|</t>
        </is>
      </c>
      <c r="FT1542" t="inlineStr">
        <is>
          <t>SFWZ-33|</t>
        </is>
      </c>
      <c r="FU1542" t="inlineStr">
        <is>
          <t>SFWZ-33</t>
        </is>
      </c>
      <c r="FV1542">
        <f>VLOOKUP(FU1542,FD:FL,9,0)</f>
        <v/>
      </c>
    </row>
    <row r="1543">
      <c r="FC1543" t="inlineStr">
        <is>
          <t>Diccionario 2</t>
        </is>
      </c>
      <c r="FD1543" s="15" t="inlineStr">
        <is>
          <t>VKGG-83</t>
        </is>
      </c>
      <c r="FE1543" s="17" t="inlineStr">
        <is>
          <t>LDYECS31XS0044397</t>
        </is>
      </c>
      <c r="FF1543" s="18" t="inlineStr">
        <is>
          <t>MDN35025030184</t>
        </is>
      </c>
      <c r="FG1543" s="18" t="inlineStr">
        <is>
          <t>Zhong Thong</t>
        </is>
      </c>
      <c r="FH1543" s="18" t="inlineStr">
        <is>
          <t>Lck6122evg</t>
        </is>
      </c>
      <c r="FI1543" s="18" t="inlineStr">
        <is>
          <t>Zhong Thong</t>
        </is>
      </c>
      <c r="FJ1543" s="18" t="inlineStr">
        <is>
          <t>Lck6122evg</t>
        </is>
      </c>
      <c r="FK1543" s="18" t="n">
        <v>2026</v>
      </c>
      <c r="FL1543" s="18" t="inlineStr">
        <is>
          <t>B</t>
        </is>
      </c>
      <c r="FM1543" s="18" t="inlineStr">
        <is>
          <t>Ducaud</t>
        </is>
      </c>
      <c r="FP1543" t="inlineStr">
        <is>
          <t>B</t>
        </is>
      </c>
      <c r="FS1543" s="14" t="inlineStr">
        <is>
          <t>3013 / SFWZ-18|</t>
        </is>
      </c>
      <c r="FT1543" t="inlineStr">
        <is>
          <t>SFWZ-18|</t>
        </is>
      </c>
      <c r="FU1543" t="inlineStr">
        <is>
          <t>SFWZ-18</t>
        </is>
      </c>
      <c r="FV1543">
        <f>VLOOKUP(FU1543,FD:FL,9,0)</f>
        <v/>
      </c>
    </row>
    <row r="1544">
      <c r="FC1544" t="inlineStr">
        <is>
          <t>Diccionario 2</t>
        </is>
      </c>
      <c r="FD1544" s="15" t="inlineStr">
        <is>
          <t>VKGG-93</t>
        </is>
      </c>
      <c r="FE1544" s="17" t="inlineStr">
        <is>
          <t>LDYECS316S0044400</t>
        </is>
      </c>
      <c r="FF1544" s="18" t="inlineStr">
        <is>
          <t>MDN35025030146</t>
        </is>
      </c>
      <c r="FG1544" s="18" t="inlineStr">
        <is>
          <t>Zhong Thong</t>
        </is>
      </c>
      <c r="FH1544" s="18" t="inlineStr">
        <is>
          <t>Lck6122evg</t>
        </is>
      </c>
      <c r="FI1544" s="18" t="inlineStr">
        <is>
          <t>Zhong Thong</t>
        </is>
      </c>
      <c r="FJ1544" s="18" t="inlineStr">
        <is>
          <t>Lck6122evg</t>
        </is>
      </c>
      <c r="FK1544" s="18" t="n">
        <v>2026</v>
      </c>
      <c r="FL1544" s="18" t="inlineStr">
        <is>
          <t>B</t>
        </is>
      </c>
      <c r="FM1544" s="18" t="inlineStr">
        <is>
          <t>Ducaud</t>
        </is>
      </c>
      <c r="FP1544" t="inlineStr">
        <is>
          <t>B</t>
        </is>
      </c>
      <c r="FS1544" s="14" t="inlineStr">
        <is>
          <t>3025 / SFVZ-44|</t>
        </is>
      </c>
      <c r="FT1544" t="inlineStr">
        <is>
          <t>SFVZ-44|</t>
        </is>
      </c>
      <c r="FU1544" t="inlineStr">
        <is>
          <t>SFVZ-44</t>
        </is>
      </c>
      <c r="FV1544">
        <f>VLOOKUP(FU1544,FD:FL,9,0)</f>
        <v/>
      </c>
    </row>
    <row r="1545">
      <c r="FC1545" t="inlineStr">
        <is>
          <t>Diccionario 2</t>
        </is>
      </c>
      <c r="FD1545" s="15" t="inlineStr">
        <is>
          <t>VKGH-13</t>
        </is>
      </c>
      <c r="FE1545" s="17" t="inlineStr">
        <is>
          <t>LDYECS311S0044336</t>
        </is>
      </c>
      <c r="FF1545" s="18" t="inlineStr">
        <is>
          <t>MDN35025030152</t>
        </is>
      </c>
      <c r="FG1545" s="18" t="inlineStr">
        <is>
          <t>Zhong Thong</t>
        </is>
      </c>
      <c r="FH1545" s="18" t="inlineStr">
        <is>
          <t>Lck6122evg</t>
        </is>
      </c>
      <c r="FI1545" s="18" t="inlineStr">
        <is>
          <t>Zhong Thong</t>
        </is>
      </c>
      <c r="FJ1545" s="18" t="inlineStr">
        <is>
          <t>Lck6122evg</t>
        </is>
      </c>
      <c r="FK1545" s="18" t="n">
        <v>2026</v>
      </c>
      <c r="FL1545" s="18" t="inlineStr">
        <is>
          <t>B</t>
        </is>
      </c>
      <c r="FM1545" s="18" t="inlineStr">
        <is>
          <t>Ducaud</t>
        </is>
      </c>
      <c r="FP1545" t="inlineStr">
        <is>
          <t>B</t>
        </is>
      </c>
      <c r="FS1545" s="14" t="inlineStr">
        <is>
          <t>3031 / SFWZ-33|</t>
        </is>
      </c>
      <c r="FT1545" t="inlineStr">
        <is>
          <t>SFWZ-33|</t>
        </is>
      </c>
      <c r="FU1545" t="inlineStr">
        <is>
          <t>SFWZ-33</t>
        </is>
      </c>
      <c r="FV1545">
        <f>VLOOKUP(FU1545,FD:FL,9,0)</f>
        <v/>
      </c>
    </row>
    <row r="1546">
      <c r="FC1546" t="inlineStr">
        <is>
          <t>Diccionario 2</t>
        </is>
      </c>
      <c r="FD1546" s="15" t="inlineStr">
        <is>
          <t>VKGH-23</t>
        </is>
      </c>
      <c r="FE1546" s="17" t="inlineStr">
        <is>
          <t>LDYECS315S0044338</t>
        </is>
      </c>
      <c r="FF1546" s="18" t="inlineStr">
        <is>
          <t>MDN35025010150</t>
        </is>
      </c>
      <c r="FG1546" s="18" t="inlineStr">
        <is>
          <t>Zhong Thong</t>
        </is>
      </c>
      <c r="FH1546" s="18" t="inlineStr">
        <is>
          <t>Lck6122evg</t>
        </is>
      </c>
      <c r="FI1546" s="18" t="inlineStr">
        <is>
          <t>Zhong Thong</t>
        </is>
      </c>
      <c r="FJ1546" s="18" t="inlineStr">
        <is>
          <t>Lck6122evg</t>
        </is>
      </c>
      <c r="FK1546" s="18" t="n">
        <v>2026</v>
      </c>
      <c r="FL1546" s="18" t="inlineStr">
        <is>
          <t>B</t>
        </is>
      </c>
      <c r="FM1546" s="18" t="inlineStr">
        <is>
          <t>Ducaud</t>
        </is>
      </c>
      <c r="FP1546" t="inlineStr">
        <is>
          <t>B</t>
        </is>
      </c>
      <c r="FS1546" s="14" t="inlineStr">
        <is>
          <t>3056 / SFWB-61|</t>
        </is>
      </c>
      <c r="FT1546" t="inlineStr">
        <is>
          <t>SFWB-61|</t>
        </is>
      </c>
      <c r="FU1546" t="inlineStr">
        <is>
          <t>SFWB-61</t>
        </is>
      </c>
      <c r="FV1546">
        <f>VLOOKUP(FU1546,FD:FL,9,0)</f>
        <v/>
      </c>
    </row>
    <row r="1547">
      <c r="FC1547" t="inlineStr">
        <is>
          <t>Diccionario 2</t>
        </is>
      </c>
      <c r="FD1547" s="15" t="inlineStr">
        <is>
          <t>VKGH-33</t>
        </is>
      </c>
      <c r="FE1547" s="17" t="inlineStr">
        <is>
          <t>LDYECS311S0044403</t>
        </is>
      </c>
      <c r="FF1547" s="18" t="inlineStr">
        <is>
          <t>MDN35025030154</t>
        </is>
      </c>
      <c r="FG1547" s="18" t="inlineStr">
        <is>
          <t>Zhong Thong</t>
        </is>
      </c>
      <c r="FH1547" s="18" t="inlineStr">
        <is>
          <t>Lck6122evg</t>
        </is>
      </c>
      <c r="FI1547" s="18" t="inlineStr">
        <is>
          <t>Zhong Thong</t>
        </is>
      </c>
      <c r="FJ1547" s="18" t="inlineStr">
        <is>
          <t>Lck6122evg</t>
        </is>
      </c>
      <c r="FK1547" s="18" t="n">
        <v>2026</v>
      </c>
      <c r="FL1547" s="18" t="inlineStr">
        <is>
          <t>B</t>
        </is>
      </c>
      <c r="FM1547" s="18" t="inlineStr">
        <is>
          <t>Ducaud</t>
        </is>
      </c>
      <c r="FP1547" t="inlineStr">
        <is>
          <t>B</t>
        </is>
      </c>
      <c r="FS1547" s="14" t="inlineStr">
        <is>
          <t>VJYJ-35|</t>
        </is>
      </c>
      <c r="FT1547" t="inlineStr">
        <is>
          <t>VJYJ-35|</t>
        </is>
      </c>
      <c r="FU1547" t="inlineStr">
        <is>
          <t>VJYJ-35</t>
        </is>
      </c>
      <c r="FV1547">
        <f>VLOOKUP(FU1547,FD:FL,9,0)</f>
        <v/>
      </c>
    </row>
    <row r="1548">
      <c r="FC1548" t="inlineStr">
        <is>
          <t>Diccionario 2</t>
        </is>
      </c>
      <c r="FD1548" s="15" t="inlineStr">
        <is>
          <t>VKGL-84</t>
        </is>
      </c>
      <c r="FE1548" s="17" t="inlineStr">
        <is>
          <t>LDYECS319S0044309</t>
        </is>
      </c>
      <c r="FF1548" s="18" t="inlineStr">
        <is>
          <t>MDN35025030008</t>
        </is>
      </c>
      <c r="FG1548" s="18" t="inlineStr">
        <is>
          <t>Zhong Thong</t>
        </is>
      </c>
      <c r="FH1548" s="18" t="inlineStr">
        <is>
          <t>Lck6122evg</t>
        </is>
      </c>
      <c r="FI1548" s="18" t="inlineStr">
        <is>
          <t>Zhong Thong</t>
        </is>
      </c>
      <c r="FJ1548" s="18" t="inlineStr">
        <is>
          <t>Lck6122evg</t>
        </is>
      </c>
      <c r="FK1548" s="18" t="n">
        <v>2026</v>
      </c>
      <c r="FL1548" s="18" t="inlineStr">
        <is>
          <t>B</t>
        </is>
      </c>
      <c r="FM1548" s="18" t="inlineStr">
        <is>
          <t>Ducaud</t>
        </is>
      </c>
      <c r="FP1548" t="inlineStr">
        <is>
          <t>B</t>
        </is>
      </c>
      <c r="FS1548" s="14" t="inlineStr">
        <is>
          <t>3041 / SFVZ-49|</t>
        </is>
      </c>
      <c r="FT1548" t="inlineStr">
        <is>
          <t>SFVZ-49|</t>
        </is>
      </c>
      <c r="FU1548" t="inlineStr">
        <is>
          <t>SFVZ-49</t>
        </is>
      </c>
      <c r="FV1548">
        <f>VLOOKUP(FU1548,FD:FL,9,0)</f>
        <v/>
      </c>
    </row>
    <row r="1549">
      <c r="FC1549" t="inlineStr">
        <is>
          <t>Diccionario 2</t>
        </is>
      </c>
      <c r="FD1549" s="15" t="inlineStr">
        <is>
          <t>VKGP-35</t>
        </is>
      </c>
      <c r="FE1549" s="17" t="inlineStr">
        <is>
          <t>LDYECS31XS0044190</t>
        </is>
      </c>
      <c r="FF1549" s="18" t="inlineStr">
        <is>
          <t>MDN35025020179</t>
        </is>
      </c>
      <c r="FG1549" s="18" t="inlineStr">
        <is>
          <t>Zhong Thong</t>
        </is>
      </c>
      <c r="FH1549" s="18" t="inlineStr">
        <is>
          <t>Lck6122evg</t>
        </is>
      </c>
      <c r="FI1549" s="18" t="inlineStr">
        <is>
          <t>Zhong Thong</t>
        </is>
      </c>
      <c r="FJ1549" s="18" t="inlineStr">
        <is>
          <t>Lck6122evg</t>
        </is>
      </c>
      <c r="FK1549" s="18" t="n">
        <v>2026</v>
      </c>
      <c r="FL1549" s="18" t="inlineStr">
        <is>
          <t>B</t>
        </is>
      </c>
      <c r="FM1549" s="18" t="inlineStr">
        <is>
          <t>Ducaud</t>
        </is>
      </c>
      <c r="FP1549" t="inlineStr">
        <is>
          <t>B</t>
        </is>
      </c>
      <c r="FS1549" s="14" t="inlineStr">
        <is>
          <t>VJZB-77|</t>
        </is>
      </c>
      <c r="FT1549" t="inlineStr">
        <is>
          <t>VJZB-77|</t>
        </is>
      </c>
      <c r="FU1549" t="inlineStr">
        <is>
          <t>VJZB-77</t>
        </is>
      </c>
      <c r="FV1549">
        <f>VLOOKUP(FU1549,FD:FL,9,0)</f>
        <v/>
      </c>
    </row>
    <row r="1550">
      <c r="FC1550" t="inlineStr">
        <is>
          <t>Diccionario 2</t>
        </is>
      </c>
      <c r="FD1550" s="15" t="inlineStr">
        <is>
          <t>VKGP-45</t>
        </is>
      </c>
      <c r="FE1550" s="17" t="inlineStr">
        <is>
          <t>LDYECS312S0044264</t>
        </is>
      </c>
      <c r="FF1550" s="18" t="inlineStr">
        <is>
          <t>MDN35025030090</t>
        </is>
      </c>
      <c r="FG1550" s="18" t="inlineStr">
        <is>
          <t>Zhong Thong</t>
        </is>
      </c>
      <c r="FH1550" s="18" t="inlineStr">
        <is>
          <t>Lck6122evg</t>
        </is>
      </c>
      <c r="FI1550" s="18" t="inlineStr">
        <is>
          <t>Zhong Thong</t>
        </is>
      </c>
      <c r="FJ1550" s="18" t="inlineStr">
        <is>
          <t>Lck6122evg</t>
        </is>
      </c>
      <c r="FK1550" s="18" t="n">
        <v>2026</v>
      </c>
      <c r="FL1550" s="18" t="inlineStr">
        <is>
          <t>B</t>
        </is>
      </c>
      <c r="FM1550" s="18" t="inlineStr">
        <is>
          <t>Ducaud</t>
        </is>
      </c>
      <c r="FP1550" t="inlineStr">
        <is>
          <t>B</t>
        </is>
      </c>
      <c r="FS1550" s="14" t="inlineStr">
        <is>
          <t>3062 / SFWZ-10|</t>
        </is>
      </c>
      <c r="FT1550" t="inlineStr">
        <is>
          <t>SFWZ-10|</t>
        </is>
      </c>
      <c r="FU1550" t="inlineStr">
        <is>
          <t>SFWZ-10</t>
        </is>
      </c>
      <c r="FV1550">
        <f>VLOOKUP(FU1550,FD:FL,9,0)</f>
        <v/>
      </c>
    </row>
    <row r="1551">
      <c r="FC1551" t="inlineStr">
        <is>
          <t>Diccionario 2</t>
        </is>
      </c>
      <c r="FD1551" s="15" t="inlineStr">
        <is>
          <t>VKGP-55</t>
        </is>
      </c>
      <c r="FE1551" s="17" t="inlineStr">
        <is>
          <t>LDYECS315S0044355</t>
        </is>
      </c>
      <c r="FF1551" s="18" t="inlineStr">
        <is>
          <t>MDN35025010086</t>
        </is>
      </c>
      <c r="FG1551" s="18" t="inlineStr">
        <is>
          <t>Zhong Thong</t>
        </is>
      </c>
      <c r="FH1551" s="18" t="inlineStr">
        <is>
          <t>Lck6122evg</t>
        </is>
      </c>
      <c r="FI1551" s="18" t="inlineStr">
        <is>
          <t>Zhong Thong</t>
        </is>
      </c>
      <c r="FJ1551" s="18" t="inlineStr">
        <is>
          <t>Lck6122evg</t>
        </is>
      </c>
      <c r="FK1551" s="18" t="n">
        <v>2026</v>
      </c>
      <c r="FL1551" s="18" t="inlineStr">
        <is>
          <t>B</t>
        </is>
      </c>
      <c r="FM1551" s="18" t="inlineStr">
        <is>
          <t>Ducaud</t>
        </is>
      </c>
      <c r="FP1551" t="inlineStr">
        <is>
          <t>B</t>
        </is>
      </c>
      <c r="FS1551" s="14" t="inlineStr">
        <is>
          <t>3004 / SFWZ-31|</t>
        </is>
      </c>
      <c r="FT1551" t="inlineStr">
        <is>
          <t>SFWZ-31|</t>
        </is>
      </c>
      <c r="FU1551" t="inlineStr">
        <is>
          <t>SFWZ-31</t>
        </is>
      </c>
      <c r="FV1551">
        <f>VLOOKUP(FU1551,FD:FL,9,0)</f>
        <v/>
      </c>
    </row>
    <row r="1552">
      <c r="FC1552" t="inlineStr">
        <is>
          <t>Diccionario 2</t>
        </is>
      </c>
      <c r="FD1552" s="15" t="inlineStr">
        <is>
          <t>VKGP-75</t>
        </is>
      </c>
      <c r="FE1552" s="17" t="inlineStr">
        <is>
          <t>LDYECS311S0044367</t>
        </is>
      </c>
      <c r="FF1552" s="18" t="inlineStr">
        <is>
          <t>MDN35025010046</t>
        </is>
      </c>
      <c r="FG1552" s="18" t="inlineStr">
        <is>
          <t>Zhong Thong</t>
        </is>
      </c>
      <c r="FH1552" s="18" t="inlineStr">
        <is>
          <t>Lck6122evg</t>
        </is>
      </c>
      <c r="FI1552" s="18" t="inlineStr">
        <is>
          <t>Zhong Thong</t>
        </is>
      </c>
      <c r="FJ1552" s="18" t="inlineStr">
        <is>
          <t>Lck6122evg</t>
        </is>
      </c>
      <c r="FK1552" s="18" t="n">
        <v>2026</v>
      </c>
      <c r="FL1552" s="18" t="inlineStr">
        <is>
          <t>B</t>
        </is>
      </c>
      <c r="FM1552" s="18" t="inlineStr">
        <is>
          <t>Ducaud</t>
        </is>
      </c>
      <c r="FP1552" t="inlineStr">
        <is>
          <t>B</t>
        </is>
      </c>
      <c r="FS1552" s="14" t="inlineStr">
        <is>
          <t>3033 / SFVZ-29|</t>
        </is>
      </c>
      <c r="FT1552" t="inlineStr">
        <is>
          <t>SFVZ-29|</t>
        </is>
      </c>
      <c r="FU1552" t="inlineStr">
        <is>
          <t>SFVZ-29</t>
        </is>
      </c>
      <c r="FV1552">
        <f>VLOOKUP(FU1552,FD:FL,9,0)</f>
        <v/>
      </c>
    </row>
    <row r="1553">
      <c r="FC1553" t="inlineStr">
        <is>
          <t>Diccionario 2</t>
        </is>
      </c>
      <c r="FD1553" s="15" t="inlineStr">
        <is>
          <t>VLBP-23</t>
        </is>
      </c>
      <c r="FE1553" s="17" t="inlineStr">
        <is>
          <t>LDYECS311S0045762</t>
        </is>
      </c>
      <c r="FF1553" s="18" t="inlineStr">
        <is>
          <t>MDN35025030168</t>
        </is>
      </c>
      <c r="FG1553" s="18" t="inlineStr">
        <is>
          <t>Zhong Thong</t>
        </is>
      </c>
      <c r="FH1553" s="18" t="inlineStr">
        <is>
          <t>Lck6122evg</t>
        </is>
      </c>
      <c r="FI1553" s="18" t="inlineStr">
        <is>
          <t>Zhong Thong</t>
        </is>
      </c>
      <c r="FJ1553" s="18" t="inlineStr">
        <is>
          <t>Lck6122evg</t>
        </is>
      </c>
      <c r="FK1553" s="18" t="n">
        <v>2026</v>
      </c>
      <c r="FL1553" s="18" t="inlineStr">
        <is>
          <t>B</t>
        </is>
      </c>
      <c r="FM1553" s="18" t="inlineStr">
        <is>
          <t>Ducaud</t>
        </is>
      </c>
      <c r="FP1553" t="inlineStr">
        <is>
          <t>B</t>
        </is>
      </c>
      <c r="FS1553" s="14" t="inlineStr">
        <is>
          <t>3061 / SFWB-68|</t>
        </is>
      </c>
      <c r="FT1553" t="inlineStr">
        <is>
          <t>SFWB-68|</t>
        </is>
      </c>
      <c r="FU1553" t="inlineStr">
        <is>
          <t>SFWB-68</t>
        </is>
      </c>
      <c r="FV1553">
        <f>VLOOKUP(FU1553,FD:FL,9,0)</f>
        <v/>
      </c>
    </row>
    <row r="1554">
      <c r="FC1554" t="inlineStr">
        <is>
          <t>Diccionario 2</t>
        </is>
      </c>
      <c r="FD1554" s="15" t="inlineStr">
        <is>
          <t>VLBP-73</t>
        </is>
      </c>
      <c r="FE1554" s="17" t="inlineStr">
        <is>
          <t>LDYECS318S0045760</t>
        </is>
      </c>
      <c r="FF1554" s="18" t="inlineStr">
        <is>
          <t>MDN35025030276</t>
        </is>
      </c>
      <c r="FG1554" s="18" t="inlineStr">
        <is>
          <t>Zhong Thong</t>
        </is>
      </c>
      <c r="FH1554" s="18" t="inlineStr">
        <is>
          <t>Lck6122evg</t>
        </is>
      </c>
      <c r="FI1554" s="18" t="inlineStr">
        <is>
          <t>Zhong Thong</t>
        </is>
      </c>
      <c r="FJ1554" s="18" t="inlineStr">
        <is>
          <t>Lck6122evg</t>
        </is>
      </c>
      <c r="FK1554" s="18" t="n">
        <v>2026</v>
      </c>
      <c r="FL1554" s="18" t="inlineStr">
        <is>
          <t>B</t>
        </is>
      </c>
      <c r="FM1554" s="18" t="inlineStr">
        <is>
          <t>Ducaud</t>
        </is>
      </c>
      <c r="FP1554" t="inlineStr">
        <is>
          <t>B</t>
        </is>
      </c>
      <c r="FS1554" s="14" t="inlineStr">
        <is>
          <t>3107 / SFWZ-85|</t>
        </is>
      </c>
      <c r="FT1554" t="inlineStr">
        <is>
          <t>SFWZ-85|</t>
        </is>
      </c>
      <c r="FU1554" t="inlineStr">
        <is>
          <t>SFWZ-85</t>
        </is>
      </c>
      <c r="FV1554">
        <f>VLOOKUP(FU1554,FD:FL,9,0)</f>
        <v/>
      </c>
    </row>
    <row r="1555">
      <c r="FC1555" t="inlineStr">
        <is>
          <t>Diccionario 2</t>
        </is>
      </c>
      <c r="FD1555" s="15" t="inlineStr">
        <is>
          <t>VLBZ-78</t>
        </is>
      </c>
      <c r="FE1555" s="17" t="inlineStr">
        <is>
          <t>LDYECS313S0045763</t>
        </is>
      </c>
      <c r="FF1555" s="18" t="inlineStr">
        <is>
          <t>MDN35025030156</t>
        </is>
      </c>
      <c r="FG1555" s="18" t="inlineStr">
        <is>
          <t>Zhong Thong</t>
        </is>
      </c>
      <c r="FH1555" s="18" t="inlineStr">
        <is>
          <t>Lck6122evg</t>
        </is>
      </c>
      <c r="FI1555" s="18" t="inlineStr">
        <is>
          <t>Zhong Thong</t>
        </is>
      </c>
      <c r="FJ1555" s="18" t="inlineStr">
        <is>
          <t>Lck6122evg</t>
        </is>
      </c>
      <c r="FK1555" s="18" t="n">
        <v>2026</v>
      </c>
      <c r="FL1555" s="18" t="inlineStr">
        <is>
          <t>B</t>
        </is>
      </c>
      <c r="FM1555" s="18" t="inlineStr">
        <is>
          <t>Ducaud</t>
        </is>
      </c>
      <c r="FP1555" t="inlineStr">
        <is>
          <t>B</t>
        </is>
      </c>
      <c r="FS1555" s="14" t="inlineStr">
        <is>
          <t>3014 / SFWZ-26|</t>
        </is>
      </c>
      <c r="FT1555" t="inlineStr">
        <is>
          <t>SFWZ-26|</t>
        </is>
      </c>
      <c r="FU1555" t="inlineStr">
        <is>
          <t>SFWZ-26</t>
        </is>
      </c>
      <c r="FV1555">
        <f>VLOOKUP(FU1555,FD:FL,9,0)</f>
        <v/>
      </c>
    </row>
    <row r="1556">
      <c r="FC1556" t="inlineStr">
        <is>
          <t>Diccionario 2</t>
        </is>
      </c>
      <c r="FD1556" s="15" t="inlineStr">
        <is>
          <t>VLBZ-96</t>
        </is>
      </c>
      <c r="FE1556" s="17" t="inlineStr">
        <is>
          <t>LDYECS314S0044394</t>
        </is>
      </c>
      <c r="FF1556" s="18" t="inlineStr">
        <is>
          <t>MDN35025030249</t>
        </is>
      </c>
      <c r="FG1556" s="18" t="inlineStr">
        <is>
          <t>Zhong Thong</t>
        </is>
      </c>
      <c r="FH1556" s="18" t="inlineStr">
        <is>
          <t>Lck6122evg</t>
        </is>
      </c>
      <c r="FI1556" s="18" t="inlineStr">
        <is>
          <t>Zhong Thong</t>
        </is>
      </c>
      <c r="FJ1556" s="18" t="inlineStr">
        <is>
          <t>Lck6122evg</t>
        </is>
      </c>
      <c r="FK1556" s="18" t="n">
        <v>2026</v>
      </c>
      <c r="FL1556" s="18" t="inlineStr">
        <is>
          <t>B</t>
        </is>
      </c>
      <c r="FM1556" s="18" t="inlineStr">
        <is>
          <t>Ducaud</t>
        </is>
      </c>
      <c r="FP1556" t="inlineStr">
        <is>
          <t>B</t>
        </is>
      </c>
      <c r="FS1556" s="14" t="inlineStr">
        <is>
          <t>3103 / SFWZ-78|</t>
        </is>
      </c>
      <c r="FT1556" t="inlineStr">
        <is>
          <t>SFWZ-78|</t>
        </is>
      </c>
      <c r="FU1556" t="inlineStr">
        <is>
          <t>SFWZ-78</t>
        </is>
      </c>
      <c r="FV1556">
        <f>VLOOKUP(FU1556,FD:FL,9,0)</f>
        <v/>
      </c>
    </row>
    <row r="1557">
      <c r="FC1557" t="inlineStr">
        <is>
          <t>Diccionario 2</t>
        </is>
      </c>
      <c r="FD1557" s="15" t="inlineStr">
        <is>
          <t>VLCB-26</t>
        </is>
      </c>
      <c r="FE1557" s="17" t="inlineStr">
        <is>
          <t>LDYECS315S0044257</t>
        </is>
      </c>
      <c r="FF1557" s="18" t="inlineStr">
        <is>
          <t>MDN35025020147</t>
        </is>
      </c>
      <c r="FG1557" s="18" t="inlineStr">
        <is>
          <t>Zhong Thong</t>
        </is>
      </c>
      <c r="FH1557" s="18" t="inlineStr">
        <is>
          <t>Lck6122evg</t>
        </is>
      </c>
      <c r="FI1557" s="18" t="inlineStr">
        <is>
          <t>Zhong Thong</t>
        </is>
      </c>
      <c r="FJ1557" s="18" t="inlineStr">
        <is>
          <t>Lck6122evg</t>
        </is>
      </c>
      <c r="FK1557" s="18" t="n">
        <v>2026</v>
      </c>
      <c r="FL1557" s="18" t="inlineStr">
        <is>
          <t>B</t>
        </is>
      </c>
      <c r="FM1557" s="18" t="inlineStr">
        <is>
          <t>Ducaud</t>
        </is>
      </c>
      <c r="FP1557" t="inlineStr">
        <is>
          <t>B</t>
        </is>
      </c>
      <c r="FS1557" s="14" t="inlineStr">
        <is>
          <t>3074 / SFWZ-17|</t>
        </is>
      </c>
      <c r="FT1557" t="inlineStr">
        <is>
          <t>SFWZ-17|</t>
        </is>
      </c>
      <c r="FU1557" t="inlineStr">
        <is>
          <t>SFWZ-17</t>
        </is>
      </c>
      <c r="FV1557">
        <f>VLOOKUP(FU1557,FD:FL,9,0)</f>
        <v/>
      </c>
    </row>
    <row r="1558">
      <c r="FC1558" t="inlineStr">
        <is>
          <t>Diccionario 2</t>
        </is>
      </c>
      <c r="FD1558" s="15" t="inlineStr">
        <is>
          <t>VLCB-56</t>
        </is>
      </c>
      <c r="FE1558" s="17" t="inlineStr">
        <is>
          <t>LDYECS31XS0045758</t>
        </is>
      </c>
      <c r="FF1558" s="18" t="inlineStr">
        <is>
          <t>MDN35025030172</t>
        </is>
      </c>
      <c r="FG1558" s="18" t="inlineStr">
        <is>
          <t>Zhong Thong</t>
        </is>
      </c>
      <c r="FH1558" s="18" t="inlineStr">
        <is>
          <t>Lck6122evg</t>
        </is>
      </c>
      <c r="FI1558" s="18" t="inlineStr">
        <is>
          <t>Zhong Thong</t>
        </is>
      </c>
      <c r="FJ1558" s="18" t="inlineStr">
        <is>
          <t>Lck6122evg</t>
        </is>
      </c>
      <c r="FK1558" s="18" t="n">
        <v>2026</v>
      </c>
      <c r="FL1558" s="18" t="inlineStr">
        <is>
          <t>B</t>
        </is>
      </c>
      <c r="FM1558" s="18" t="inlineStr">
        <is>
          <t>Ducaud</t>
        </is>
      </c>
      <c r="FP1558" t="inlineStr">
        <is>
          <t>B</t>
        </is>
      </c>
      <c r="FS1558" s="14" t="inlineStr">
        <is>
          <t>3104 / SFWZ-52|</t>
        </is>
      </c>
      <c r="FT1558" t="inlineStr">
        <is>
          <t>SFWZ-52|</t>
        </is>
      </c>
      <c r="FU1558" t="inlineStr">
        <is>
          <t>SFWZ-52</t>
        </is>
      </c>
      <c r="FV1558">
        <f>VLOOKUP(FU1558,FD:FL,9,0)</f>
        <v/>
      </c>
    </row>
    <row r="1559">
      <c r="FC1559" t="inlineStr">
        <is>
          <t>Diccionario 2</t>
        </is>
      </c>
      <c r="FD1559" s="15" t="inlineStr">
        <is>
          <t>VLCC-16</t>
        </is>
      </c>
      <c r="FE1559" s="17" t="inlineStr">
        <is>
          <t>LDYECS311S0045857</t>
        </is>
      </c>
      <c r="FF1559" s="18" t="inlineStr">
        <is>
          <t>MDN35025030292</t>
        </is>
      </c>
      <c r="FG1559" s="18" t="inlineStr">
        <is>
          <t>Zhong Thong</t>
        </is>
      </c>
      <c r="FH1559" s="18" t="inlineStr">
        <is>
          <t>Lck6122evg</t>
        </is>
      </c>
      <c r="FI1559" s="18" t="inlineStr">
        <is>
          <t>Zhong Thong</t>
        </is>
      </c>
      <c r="FJ1559" s="18" t="inlineStr">
        <is>
          <t>Lck6122evg</t>
        </is>
      </c>
      <c r="FK1559" s="18" t="n">
        <v>2026</v>
      </c>
      <c r="FL1559" s="18" t="inlineStr">
        <is>
          <t>B</t>
        </is>
      </c>
      <c r="FM1559" s="18" t="inlineStr">
        <is>
          <t>Ducaud</t>
        </is>
      </c>
      <c r="FP1559" t="inlineStr">
        <is>
          <t>B</t>
        </is>
      </c>
      <c r="FS1559" s="14" t="inlineStr">
        <is>
          <t>3105 / SFWZ-54|</t>
        </is>
      </c>
      <c r="FT1559" t="inlineStr">
        <is>
          <t>SFWZ-54|</t>
        </is>
      </c>
      <c r="FU1559" t="inlineStr">
        <is>
          <t>SFWZ-54</t>
        </is>
      </c>
      <c r="FV1559">
        <f>VLOOKUP(FU1559,FD:FL,9,0)</f>
        <v/>
      </c>
    </row>
    <row r="1560">
      <c r="FC1560" t="inlineStr">
        <is>
          <t>Diccionario 2</t>
        </is>
      </c>
      <c r="FD1560" s="15" t="inlineStr">
        <is>
          <t>VLCC-36</t>
        </is>
      </c>
      <c r="FE1560" s="17" t="inlineStr">
        <is>
          <t>LDYECS315S0045764</t>
        </is>
      </c>
      <c r="FF1560" s="18" t="inlineStr">
        <is>
          <t>MDN35025030157</t>
        </is>
      </c>
      <c r="FG1560" s="18" t="inlineStr">
        <is>
          <t>Zhong Thong</t>
        </is>
      </c>
      <c r="FH1560" s="18" t="inlineStr">
        <is>
          <t>Lck6122evg</t>
        </is>
      </c>
      <c r="FI1560" s="18" t="inlineStr">
        <is>
          <t>Zhong Thong</t>
        </is>
      </c>
      <c r="FJ1560" s="18" t="inlineStr">
        <is>
          <t>Lck6122evg</t>
        </is>
      </c>
      <c r="FK1560" s="18" t="n">
        <v>2026</v>
      </c>
      <c r="FL1560" s="18" t="inlineStr">
        <is>
          <t>B</t>
        </is>
      </c>
      <c r="FM1560" s="18" t="inlineStr">
        <is>
          <t>Ducaud</t>
        </is>
      </c>
      <c r="FP1560" t="inlineStr">
        <is>
          <t>B</t>
        </is>
      </c>
      <c r="FS1560" s="14" t="inlineStr">
        <is>
          <t>3065 / SFVZ-40|</t>
        </is>
      </c>
      <c r="FT1560" t="inlineStr">
        <is>
          <t>SFVZ-40|</t>
        </is>
      </c>
      <c r="FU1560" t="inlineStr">
        <is>
          <t>SFVZ-40</t>
        </is>
      </c>
      <c r="FV1560">
        <f>VLOOKUP(FU1560,FD:FL,9,0)</f>
        <v/>
      </c>
    </row>
    <row r="1561">
      <c r="FC1561" t="inlineStr">
        <is>
          <t>Diccionario 2</t>
        </is>
      </c>
      <c r="FD1561" s="15" t="inlineStr">
        <is>
          <t>VLCD-56</t>
        </is>
      </c>
      <c r="FE1561" s="17" t="inlineStr">
        <is>
          <t>LDYECS315S0045862</t>
        </is>
      </c>
      <c r="FF1561" s="18" t="inlineStr">
        <is>
          <t>MDN35025030216</t>
        </is>
      </c>
      <c r="FG1561" s="18" t="inlineStr">
        <is>
          <t>Zhong Thong</t>
        </is>
      </c>
      <c r="FH1561" s="18" t="inlineStr">
        <is>
          <t>Lck6122evg</t>
        </is>
      </c>
      <c r="FI1561" s="18" t="inlineStr">
        <is>
          <t>Zhong Thong</t>
        </is>
      </c>
      <c r="FJ1561" s="18" t="inlineStr">
        <is>
          <t>Lck6122evg</t>
        </is>
      </c>
      <c r="FK1561" s="18" t="n">
        <v>2026</v>
      </c>
      <c r="FL1561" s="18" t="inlineStr">
        <is>
          <t>B</t>
        </is>
      </c>
      <c r="FM1561" s="18" t="inlineStr">
        <is>
          <t>Ducaud</t>
        </is>
      </c>
      <c r="FP1561" t="inlineStr">
        <is>
          <t>B</t>
        </is>
      </c>
      <c r="FS1561" s="14" t="inlineStr">
        <is>
          <t>3106 / SFWZ-68|</t>
        </is>
      </c>
      <c r="FT1561" t="inlineStr">
        <is>
          <t>SFWZ-68|</t>
        </is>
      </c>
      <c r="FU1561" t="inlineStr">
        <is>
          <t>SFWZ-68</t>
        </is>
      </c>
      <c r="FV1561">
        <f>VLOOKUP(FU1561,FD:FL,9,0)</f>
        <v/>
      </c>
    </row>
    <row r="1562">
      <c r="FC1562" t="inlineStr">
        <is>
          <t>Diccionario 2</t>
        </is>
      </c>
      <c r="FD1562" s="15" t="inlineStr">
        <is>
          <t>VLCD-65</t>
        </is>
      </c>
      <c r="FE1562" s="17" t="inlineStr">
        <is>
          <t>LDYECS318S0044155</t>
        </is>
      </c>
      <c r="FF1562" s="18" t="inlineStr">
        <is>
          <t>MDN35025020268</t>
        </is>
      </c>
      <c r="FG1562" s="18" t="inlineStr">
        <is>
          <t>Zhong Thong</t>
        </is>
      </c>
      <c r="FH1562" s="18" t="inlineStr">
        <is>
          <t>Lck6122evg</t>
        </is>
      </c>
      <c r="FI1562" s="18" t="inlineStr">
        <is>
          <t>Zhong Thong</t>
        </is>
      </c>
      <c r="FJ1562" s="18" t="inlineStr">
        <is>
          <t>Lck6122evg</t>
        </is>
      </c>
      <c r="FK1562" s="18" t="n">
        <v>2026</v>
      </c>
      <c r="FL1562" s="18" t="inlineStr">
        <is>
          <t>B</t>
        </is>
      </c>
      <c r="FM1562" s="18" t="inlineStr">
        <is>
          <t>Ducaud</t>
        </is>
      </c>
      <c r="FP1562" t="inlineStr">
        <is>
          <t>B</t>
        </is>
      </c>
      <c r="FS1562" s="14" t="inlineStr">
        <is>
          <t>VJKG-37|</t>
        </is>
      </c>
      <c r="FT1562" t="inlineStr">
        <is>
          <t>VJKG-37|</t>
        </is>
      </c>
      <c r="FU1562" t="inlineStr">
        <is>
          <t>VJKG-37</t>
        </is>
      </c>
      <c r="FV1562">
        <f>VLOOKUP(FU1562,FD:FL,9,0)</f>
        <v/>
      </c>
    </row>
    <row r="1563">
      <c r="FC1563" t="inlineStr">
        <is>
          <t>Diccionario 2</t>
        </is>
      </c>
      <c r="FD1563" s="15" t="inlineStr">
        <is>
          <t>VLCF-18</t>
        </is>
      </c>
      <c r="FE1563" s="17" t="inlineStr">
        <is>
          <t>LDYECS315S0045781</t>
        </is>
      </c>
      <c r="FF1563" s="18" t="inlineStr">
        <is>
          <t>MDN35025030229</t>
        </is>
      </c>
      <c r="FG1563" s="18" t="inlineStr">
        <is>
          <t>Zhong Thong</t>
        </is>
      </c>
      <c r="FH1563" s="18" t="inlineStr">
        <is>
          <t>Lck6122evg</t>
        </is>
      </c>
      <c r="FI1563" s="18" t="inlineStr">
        <is>
          <t>Zhong Thong</t>
        </is>
      </c>
      <c r="FJ1563" s="18" t="inlineStr">
        <is>
          <t>Lck6122evg</t>
        </is>
      </c>
      <c r="FK1563" s="18" t="n">
        <v>2026</v>
      </c>
      <c r="FL1563" s="18" t="inlineStr">
        <is>
          <t>B</t>
        </is>
      </c>
      <c r="FM1563" s="18" t="inlineStr">
        <is>
          <t>Ducaud</t>
        </is>
      </c>
      <c r="FP1563" t="inlineStr">
        <is>
          <t>B</t>
        </is>
      </c>
      <c r="FS1563" s="14" t="inlineStr">
        <is>
          <t>3005 / SFWZ-39|</t>
        </is>
      </c>
      <c r="FT1563" t="inlineStr">
        <is>
          <t>SFWZ-39|</t>
        </is>
      </c>
      <c r="FU1563" t="inlineStr">
        <is>
          <t>SFWZ-39</t>
        </is>
      </c>
      <c r="FV1563">
        <f>VLOOKUP(FU1563,FD:FL,9,0)</f>
        <v/>
      </c>
    </row>
    <row r="1564">
      <c r="FC1564" t="inlineStr">
        <is>
          <t>Diccionario 2</t>
        </is>
      </c>
      <c r="FD1564" s="15" t="inlineStr">
        <is>
          <t>VLCF-76</t>
        </is>
      </c>
      <c r="FE1564" s="17" t="inlineStr">
        <is>
          <t>LDYECS317S0045765</t>
        </is>
      </c>
      <c r="FF1564" s="18" t="inlineStr">
        <is>
          <t>MDN35025030272</t>
        </is>
      </c>
      <c r="FG1564" s="18" t="inlineStr">
        <is>
          <t>Zhong Thong</t>
        </is>
      </c>
      <c r="FH1564" s="18" t="inlineStr">
        <is>
          <t>Lck6122evg</t>
        </is>
      </c>
      <c r="FI1564" s="18" t="inlineStr">
        <is>
          <t>Zhong Thong</t>
        </is>
      </c>
      <c r="FJ1564" s="18" t="inlineStr">
        <is>
          <t>Lck6122evg</t>
        </is>
      </c>
      <c r="FK1564" s="18" t="n">
        <v>2026</v>
      </c>
      <c r="FL1564" s="18" t="inlineStr">
        <is>
          <t>B</t>
        </is>
      </c>
      <c r="FM1564" s="18" t="inlineStr">
        <is>
          <t>Ducaud</t>
        </is>
      </c>
      <c r="FP1564" t="inlineStr">
        <is>
          <t>B</t>
        </is>
      </c>
      <c r="FS1564" s="14" t="inlineStr">
        <is>
          <t>VJKF-46|</t>
        </is>
      </c>
      <c r="FT1564" t="inlineStr">
        <is>
          <t>VJKF-46|</t>
        </is>
      </c>
      <c r="FU1564" t="inlineStr">
        <is>
          <t>VJKF-46</t>
        </is>
      </c>
      <c r="FV1564">
        <f>VLOOKUP(FU1564,FD:FL,9,0)</f>
        <v/>
      </c>
    </row>
    <row r="1565">
      <c r="FC1565" t="inlineStr">
        <is>
          <t>Diccionario 2</t>
        </is>
      </c>
      <c r="FD1565" s="15" t="inlineStr">
        <is>
          <t>VLCG-67</t>
        </is>
      </c>
      <c r="FE1565" s="17" t="inlineStr">
        <is>
          <t>LDYECS319S0045752</t>
        </is>
      </c>
      <c r="FF1565" s="18" t="inlineStr">
        <is>
          <t>MDN35025030131</t>
        </is>
      </c>
      <c r="FG1565" s="18" t="inlineStr">
        <is>
          <t>Zhong Thong</t>
        </is>
      </c>
      <c r="FH1565" s="18" t="inlineStr">
        <is>
          <t>Lck6122evg</t>
        </is>
      </c>
      <c r="FI1565" s="18" t="inlineStr">
        <is>
          <t>Zhong Thong</t>
        </is>
      </c>
      <c r="FJ1565" s="18" t="inlineStr">
        <is>
          <t>Lck6122evg</t>
        </is>
      </c>
      <c r="FK1565" s="18" t="n">
        <v>2026</v>
      </c>
      <c r="FL1565" s="18" t="inlineStr">
        <is>
          <t>B</t>
        </is>
      </c>
      <c r="FM1565" s="18" t="inlineStr">
        <is>
          <t>Ducaud</t>
        </is>
      </c>
      <c r="FP1565" t="inlineStr">
        <is>
          <t>B</t>
        </is>
      </c>
      <c r="FS1565" s="14" t="inlineStr">
        <is>
          <t>VJYJ-35|</t>
        </is>
      </c>
      <c r="FT1565" t="inlineStr">
        <is>
          <t>VJYJ-35|</t>
        </is>
      </c>
      <c r="FU1565" t="inlineStr">
        <is>
          <t>VJYJ-35</t>
        </is>
      </c>
      <c r="FV1565">
        <f>VLOOKUP(FU1565,FD:FL,9,0)</f>
        <v/>
      </c>
    </row>
    <row r="1566">
      <c r="FC1566" t="inlineStr">
        <is>
          <t>Diccionario 2</t>
        </is>
      </c>
      <c r="FD1566" s="15" t="inlineStr">
        <is>
          <t>VLCK-37</t>
        </is>
      </c>
      <c r="FE1566" s="17" t="inlineStr">
        <is>
          <t>LDYECS313S0045861</t>
        </is>
      </c>
      <c r="FF1566" s="18" t="inlineStr">
        <is>
          <t>MDN35025030174</t>
        </is>
      </c>
      <c r="FG1566" s="18" t="inlineStr">
        <is>
          <t>Zhong Thong</t>
        </is>
      </c>
      <c r="FH1566" s="18" t="inlineStr">
        <is>
          <t>Lck6122evg</t>
        </is>
      </c>
      <c r="FI1566" s="18" t="inlineStr">
        <is>
          <t>Zhong Thong</t>
        </is>
      </c>
      <c r="FJ1566" s="18" t="inlineStr">
        <is>
          <t>Lck6122evg</t>
        </is>
      </c>
      <c r="FK1566" s="18" t="n">
        <v>2026</v>
      </c>
      <c r="FL1566" s="18" t="inlineStr">
        <is>
          <t>B</t>
        </is>
      </c>
      <c r="FM1566" s="18" t="inlineStr">
        <is>
          <t>Ducaud</t>
        </is>
      </c>
      <c r="FP1566" t="inlineStr">
        <is>
          <t>B</t>
        </is>
      </c>
      <c r="FS1566" s="14" t="inlineStr">
        <is>
          <t>3097 / SFWZ-77|</t>
        </is>
      </c>
      <c r="FT1566" t="inlineStr">
        <is>
          <t>SFWZ-77|</t>
        </is>
      </c>
      <c r="FU1566" t="inlineStr">
        <is>
          <t>SFWZ-77</t>
        </is>
      </c>
      <c r="FV1566">
        <f>VLOOKUP(FU1566,FD:FL,9,0)</f>
        <v/>
      </c>
    </row>
    <row r="1567">
      <c r="FC1567" t="inlineStr">
        <is>
          <t>Diccionario 2</t>
        </is>
      </c>
      <c r="FD1567" s="15" t="inlineStr">
        <is>
          <t>VLCK-77</t>
        </is>
      </c>
      <c r="FE1567" s="17" t="inlineStr">
        <is>
          <t>LDYECS316S0045773</t>
        </is>
      </c>
      <c r="FF1567" s="18" t="inlineStr">
        <is>
          <t>MDN35025030170</t>
        </is>
      </c>
      <c r="FG1567" s="18" t="inlineStr">
        <is>
          <t>Zhong Thong</t>
        </is>
      </c>
      <c r="FH1567" s="18" t="inlineStr">
        <is>
          <t>Lck6122evg</t>
        </is>
      </c>
      <c r="FI1567" s="18" t="inlineStr">
        <is>
          <t>Zhong Thong</t>
        </is>
      </c>
      <c r="FJ1567" s="18" t="inlineStr">
        <is>
          <t>Lck6122evg</t>
        </is>
      </c>
      <c r="FK1567" s="18" t="n">
        <v>2026</v>
      </c>
      <c r="FL1567" s="18" t="inlineStr">
        <is>
          <t>B</t>
        </is>
      </c>
      <c r="FM1567" s="18" t="inlineStr">
        <is>
          <t>Ducaud</t>
        </is>
      </c>
      <c r="FP1567" t="inlineStr">
        <is>
          <t>B</t>
        </is>
      </c>
      <c r="FS1567" s="14" t="inlineStr">
        <is>
          <t>3063 / SFWZ-21|</t>
        </is>
      </c>
      <c r="FT1567" t="inlineStr">
        <is>
          <t>SFWZ-21|</t>
        </is>
      </c>
      <c r="FU1567" t="inlineStr">
        <is>
          <t>SFWZ-21</t>
        </is>
      </c>
      <c r="FV1567">
        <f>VLOOKUP(FU1567,FD:FL,9,0)</f>
        <v/>
      </c>
    </row>
    <row r="1568">
      <c r="FC1568" t="inlineStr">
        <is>
          <t>Diccionario 2</t>
        </is>
      </c>
      <c r="FD1568" s="15" t="inlineStr">
        <is>
          <t>VLFG-56</t>
        </is>
      </c>
      <c r="FE1568" s="17" t="inlineStr">
        <is>
          <t>LDYECS312S0045771</t>
        </is>
      </c>
      <c r="FF1568" s="18" t="inlineStr">
        <is>
          <t>MDN35025030182</t>
        </is>
      </c>
      <c r="FG1568" s="18" t="inlineStr">
        <is>
          <t>Zhong Thong</t>
        </is>
      </c>
      <c r="FH1568" s="18" t="inlineStr">
        <is>
          <t>Lck6122evg</t>
        </is>
      </c>
      <c r="FI1568" s="18" t="inlineStr">
        <is>
          <t>Zhong Thong</t>
        </is>
      </c>
      <c r="FJ1568" s="18" t="inlineStr">
        <is>
          <t>Lck6122evg</t>
        </is>
      </c>
      <c r="FK1568" s="18" t="n">
        <v>2026</v>
      </c>
      <c r="FL1568" s="18" t="inlineStr">
        <is>
          <t>B</t>
        </is>
      </c>
      <c r="FM1568" s="18" t="inlineStr">
        <is>
          <t>Ducaud</t>
        </is>
      </c>
      <c r="FP1568" t="inlineStr">
        <is>
          <t>B</t>
        </is>
      </c>
      <c r="FS1568" s="14" t="inlineStr">
        <is>
          <t>3089 / SFWZ-73|</t>
        </is>
      </c>
      <c r="FT1568" t="inlineStr">
        <is>
          <t>SFWZ-73|</t>
        </is>
      </c>
      <c r="FU1568" t="inlineStr">
        <is>
          <t>SFWZ-73</t>
        </is>
      </c>
      <c r="FV1568">
        <f>VLOOKUP(FU1568,FD:FL,9,0)</f>
        <v/>
      </c>
    </row>
    <row r="1569">
      <c r="FC1569" t="inlineStr">
        <is>
          <t>Diccionario 2</t>
        </is>
      </c>
      <c r="FD1569" s="15" t="inlineStr">
        <is>
          <t>VLFG-69</t>
        </is>
      </c>
      <c r="FE1569" s="17" t="inlineStr">
        <is>
          <t>LDYECS314S0045870</t>
        </is>
      </c>
      <c r="FF1569" s="18" t="inlineStr">
        <is>
          <t>MDN35025030202</t>
        </is>
      </c>
      <c r="FG1569" s="18" t="inlineStr">
        <is>
          <t>Zhong Thong</t>
        </is>
      </c>
      <c r="FH1569" s="18" t="inlineStr">
        <is>
          <t>Lck6122evg</t>
        </is>
      </c>
      <c r="FI1569" s="18" t="inlineStr">
        <is>
          <t>Zhong Thong</t>
        </is>
      </c>
      <c r="FJ1569" s="18" t="inlineStr">
        <is>
          <t>Lck6122evg</t>
        </is>
      </c>
      <c r="FK1569" s="18" t="n">
        <v>2026</v>
      </c>
      <c r="FL1569" s="18" t="inlineStr">
        <is>
          <t>B</t>
        </is>
      </c>
      <c r="FM1569" s="18" t="inlineStr">
        <is>
          <t>Ducaud</t>
        </is>
      </c>
      <c r="FP1569" t="inlineStr">
        <is>
          <t>B</t>
        </is>
      </c>
      <c r="FS1569" s="14" t="inlineStr">
        <is>
          <t>3030 / SFWZ-14|</t>
        </is>
      </c>
      <c r="FT1569" t="inlineStr">
        <is>
          <t>SFWZ-14|</t>
        </is>
      </c>
      <c r="FU1569" t="inlineStr">
        <is>
          <t>SFWZ-14</t>
        </is>
      </c>
      <c r="FV1569">
        <f>VLOOKUP(FU1569,FD:FL,9,0)</f>
        <v/>
      </c>
    </row>
    <row r="1570">
      <c r="FC1570" t="inlineStr">
        <is>
          <t>Diccionario 2</t>
        </is>
      </c>
      <c r="FD1570" s="15" t="inlineStr">
        <is>
          <t>VLFG-78</t>
        </is>
      </c>
      <c r="FE1570" s="17" t="inlineStr">
        <is>
          <t>LDYECS312S0045866</t>
        </is>
      </c>
      <c r="FF1570" s="18" t="inlineStr">
        <is>
          <t>MDN35025030296</t>
        </is>
      </c>
      <c r="FG1570" s="18" t="inlineStr">
        <is>
          <t>Zhong Thong</t>
        </is>
      </c>
      <c r="FH1570" s="18" t="inlineStr">
        <is>
          <t>Lck6122evg</t>
        </is>
      </c>
      <c r="FI1570" s="18" t="inlineStr">
        <is>
          <t>Zhong Thong</t>
        </is>
      </c>
      <c r="FJ1570" s="18" t="inlineStr">
        <is>
          <t>Lck6122evg</t>
        </is>
      </c>
      <c r="FK1570" s="18" t="n">
        <v>2026</v>
      </c>
      <c r="FL1570" s="18" t="inlineStr">
        <is>
          <t>B</t>
        </is>
      </c>
      <c r="FM1570" s="18" t="inlineStr">
        <is>
          <t>Ducaud</t>
        </is>
      </c>
      <c r="FP1570" t="inlineStr">
        <is>
          <t>B</t>
        </is>
      </c>
      <c r="FS1570" s="14" t="inlineStr">
        <is>
          <t>3007 / SFWB-50|</t>
        </is>
      </c>
      <c r="FT1570" t="inlineStr">
        <is>
          <t>SFWB-50|</t>
        </is>
      </c>
      <c r="FU1570" t="inlineStr">
        <is>
          <t>SFWB-50</t>
        </is>
      </c>
      <c r="FV1570">
        <f>VLOOKUP(FU1570,FD:FL,9,0)</f>
        <v/>
      </c>
    </row>
    <row r="1571">
      <c r="FC1571" t="inlineStr">
        <is>
          <t>Diccionario 2</t>
        </is>
      </c>
      <c r="FD1571" s="15" t="inlineStr">
        <is>
          <t>VLFG-89</t>
        </is>
      </c>
      <c r="FE1571" s="17" t="inlineStr">
        <is>
          <t>LDYECS314S0045867</t>
        </is>
      </c>
      <c r="FF1571" s="18" t="inlineStr">
        <is>
          <t>MDN35025030263</t>
        </is>
      </c>
      <c r="FG1571" s="18" t="inlineStr">
        <is>
          <t>Zhong Thong</t>
        </is>
      </c>
      <c r="FH1571" s="18" t="inlineStr">
        <is>
          <t>Lck6122evg</t>
        </is>
      </c>
      <c r="FI1571" s="18" t="inlineStr">
        <is>
          <t>Zhong Thong</t>
        </is>
      </c>
      <c r="FJ1571" s="18" t="inlineStr">
        <is>
          <t>Lck6122evg</t>
        </is>
      </c>
      <c r="FK1571" s="18" t="n">
        <v>2026</v>
      </c>
      <c r="FL1571" s="18" t="inlineStr">
        <is>
          <t>B</t>
        </is>
      </c>
      <c r="FM1571" s="18" t="inlineStr">
        <is>
          <t>Ducaud</t>
        </is>
      </c>
      <c r="FP1571" t="inlineStr">
        <is>
          <t>B</t>
        </is>
      </c>
      <c r="FS1571" s="14" t="inlineStr">
        <is>
          <t>3077 / SFWZ-55|</t>
        </is>
      </c>
      <c r="FT1571" t="inlineStr">
        <is>
          <t>SFWZ-55|</t>
        </is>
      </c>
      <c r="FU1571" t="inlineStr">
        <is>
          <t>SFWZ-55</t>
        </is>
      </c>
      <c r="FV1571">
        <f>VLOOKUP(FU1571,FD:FL,9,0)</f>
        <v/>
      </c>
    </row>
    <row r="1572">
      <c r="FC1572" t="inlineStr">
        <is>
          <t>Diccionario 2</t>
        </is>
      </c>
      <c r="FD1572" s="15" t="inlineStr">
        <is>
          <t>VLFH-16</t>
        </is>
      </c>
      <c r="FE1572" s="17" t="inlineStr">
        <is>
          <t>LDYECS318S0045872</t>
        </is>
      </c>
      <c r="FF1572" s="18" t="inlineStr">
        <is>
          <t>MDN35025030208</t>
        </is>
      </c>
      <c r="FG1572" s="18" t="inlineStr">
        <is>
          <t>Zhong Thong</t>
        </is>
      </c>
      <c r="FH1572" s="18" t="inlineStr">
        <is>
          <t>Lck6122evg</t>
        </is>
      </c>
      <c r="FI1572" s="18" t="inlineStr">
        <is>
          <t>Zhong Thong</t>
        </is>
      </c>
      <c r="FJ1572" s="18" t="inlineStr">
        <is>
          <t>Lck6122evg</t>
        </is>
      </c>
      <c r="FK1572" s="18" t="n">
        <v>2026</v>
      </c>
      <c r="FL1572" s="18" t="inlineStr">
        <is>
          <t>B</t>
        </is>
      </c>
      <c r="FM1572" s="18" t="inlineStr">
        <is>
          <t>Ducaud</t>
        </is>
      </c>
      <c r="FP1572" t="inlineStr">
        <is>
          <t>B</t>
        </is>
      </c>
      <c r="FS1572" s="14" t="inlineStr">
        <is>
          <t>3041 / SFVZ-49|</t>
        </is>
      </c>
      <c r="FT1572" t="inlineStr">
        <is>
          <t>SFVZ-49|</t>
        </is>
      </c>
      <c r="FU1572" t="inlineStr">
        <is>
          <t>SFVZ-49</t>
        </is>
      </c>
      <c r="FV1572">
        <f>VLOOKUP(FU1572,FD:FL,9,0)</f>
        <v/>
      </c>
    </row>
    <row r="1573">
      <c r="FC1573" t="inlineStr">
        <is>
          <t>Diccionario 2</t>
        </is>
      </c>
      <c r="FD1573" s="15" t="inlineStr">
        <is>
          <t>VLFH-46</t>
        </is>
      </c>
      <c r="FE1573" s="17" t="inlineStr">
        <is>
          <t>LDYECS310S0045770</t>
        </is>
      </c>
      <c r="FF1573" s="18" t="inlineStr">
        <is>
          <t>MDN35025030277</t>
        </is>
      </c>
      <c r="FG1573" s="18" t="inlineStr">
        <is>
          <t>Zhong Thong</t>
        </is>
      </c>
      <c r="FH1573" s="18" t="inlineStr">
        <is>
          <t>Lck6122evg</t>
        </is>
      </c>
      <c r="FI1573" s="18" t="inlineStr">
        <is>
          <t>Zhong Thong</t>
        </is>
      </c>
      <c r="FJ1573" s="18" t="inlineStr">
        <is>
          <t>Lck6122evg</t>
        </is>
      </c>
      <c r="FK1573" s="18" t="n">
        <v>2026</v>
      </c>
      <c r="FL1573" s="18" t="inlineStr">
        <is>
          <t>B</t>
        </is>
      </c>
      <c r="FM1573" s="18" t="inlineStr">
        <is>
          <t>Ducaud</t>
        </is>
      </c>
      <c r="FP1573" t="inlineStr">
        <is>
          <t>B</t>
        </is>
      </c>
      <c r="FS1573" s="14" t="inlineStr">
        <is>
          <t>3012 / SFWB-72|</t>
        </is>
      </c>
      <c r="FT1573" t="inlineStr">
        <is>
          <t>SFWB-72|</t>
        </is>
      </c>
      <c r="FU1573" t="inlineStr">
        <is>
          <t>SFWB-72</t>
        </is>
      </c>
      <c r="FV1573">
        <f>VLOOKUP(FU1573,FD:FL,9,0)</f>
        <v/>
      </c>
    </row>
    <row r="1574">
      <c r="FC1574" t="inlineStr">
        <is>
          <t>Diccionario 2</t>
        </is>
      </c>
      <c r="FD1574" s="15" t="inlineStr">
        <is>
          <t>VLFH-48</t>
        </is>
      </c>
      <c r="FE1574" s="17" t="inlineStr">
        <is>
          <t>LDYECS31XS0045713</t>
        </is>
      </c>
      <c r="FF1574" s="18" t="inlineStr">
        <is>
          <t>MDN35025030118</t>
        </is>
      </c>
      <c r="FG1574" s="18" t="inlineStr">
        <is>
          <t>Zhong Thong</t>
        </is>
      </c>
      <c r="FH1574" s="18" t="inlineStr">
        <is>
          <t>Lck6122evg</t>
        </is>
      </c>
      <c r="FI1574" s="18" t="inlineStr">
        <is>
          <t>Zhong Thong</t>
        </is>
      </c>
      <c r="FJ1574" s="18" t="inlineStr">
        <is>
          <t>Lck6122evg</t>
        </is>
      </c>
      <c r="FK1574" s="18" t="n">
        <v>2026</v>
      </c>
      <c r="FL1574" s="18" t="inlineStr">
        <is>
          <t>B</t>
        </is>
      </c>
      <c r="FM1574" s="18" t="inlineStr">
        <is>
          <t>Las Acacias</t>
        </is>
      </c>
      <c r="FP1574" t="inlineStr">
        <is>
          <t>B</t>
        </is>
      </c>
      <c r="FS1574" s="14" t="inlineStr">
        <is>
          <t>3107 / SFWZ-85|</t>
        </is>
      </c>
      <c r="FT1574" t="inlineStr">
        <is>
          <t>SFWZ-85|</t>
        </is>
      </c>
      <c r="FU1574" t="inlineStr">
        <is>
          <t>SFWZ-85</t>
        </is>
      </c>
      <c r="FV1574">
        <f>VLOOKUP(FU1574,FD:FL,9,0)</f>
        <v/>
      </c>
    </row>
    <row r="1575">
      <c r="FC1575" t="inlineStr">
        <is>
          <t>Diccionario 2</t>
        </is>
      </c>
      <c r="FD1575" s="15" t="inlineStr">
        <is>
          <t>VLFH-56</t>
        </is>
      </c>
      <c r="FE1575" s="17" t="inlineStr">
        <is>
          <t>LDYECS31XS0045808</t>
        </is>
      </c>
      <c r="FF1575" s="18" t="inlineStr">
        <is>
          <t>MDN35025030192</t>
        </is>
      </c>
      <c r="FG1575" s="18" t="inlineStr">
        <is>
          <t>Zhong Thong</t>
        </is>
      </c>
      <c r="FH1575" s="18" t="inlineStr">
        <is>
          <t>Lck6122evg</t>
        </is>
      </c>
      <c r="FI1575" s="18" t="inlineStr">
        <is>
          <t>Zhong Thong</t>
        </is>
      </c>
      <c r="FJ1575" s="18" t="inlineStr">
        <is>
          <t>Lck6122evg</t>
        </is>
      </c>
      <c r="FK1575" s="18" t="n">
        <v>2026</v>
      </c>
      <c r="FL1575" s="18" t="inlineStr">
        <is>
          <t>B</t>
        </is>
      </c>
      <c r="FM1575" s="18" t="inlineStr">
        <is>
          <t>Las Acacias</t>
        </is>
      </c>
      <c r="FP1575" t="inlineStr">
        <is>
          <t>B</t>
        </is>
      </c>
      <c r="FS1575" s="14" t="inlineStr">
        <is>
          <t>3061 / SFWB-68|</t>
        </is>
      </c>
      <c r="FT1575" t="inlineStr">
        <is>
          <t>SFWB-68|</t>
        </is>
      </c>
      <c r="FU1575" t="inlineStr">
        <is>
          <t>SFWB-68</t>
        </is>
      </c>
      <c r="FV1575">
        <f>VLOOKUP(FU1575,FD:FL,9,0)</f>
        <v/>
      </c>
    </row>
    <row r="1576">
      <c r="FC1576" t="inlineStr">
        <is>
          <t>Diccionario 2</t>
        </is>
      </c>
      <c r="FD1576" s="15" t="inlineStr">
        <is>
          <t>VLFH-63</t>
        </is>
      </c>
      <c r="FE1576" s="17" t="inlineStr">
        <is>
          <t>8LDYECS314S004578</t>
        </is>
      </c>
      <c r="FF1576" s="18" t="inlineStr">
        <is>
          <t>MDN35025030194</t>
        </is>
      </c>
      <c r="FG1576" s="18" t="inlineStr">
        <is>
          <t>Zhong Thong</t>
        </is>
      </c>
      <c r="FH1576" s="18" t="inlineStr">
        <is>
          <t>Lck6122evg</t>
        </is>
      </c>
      <c r="FI1576" s="18" t="inlineStr">
        <is>
          <t>Zhong Thong</t>
        </is>
      </c>
      <c r="FJ1576" s="18" t="inlineStr">
        <is>
          <t>Lck6122evg</t>
        </is>
      </c>
      <c r="FK1576" s="18" t="n">
        <v>2026</v>
      </c>
      <c r="FL1576" s="18" t="inlineStr">
        <is>
          <t>B</t>
        </is>
      </c>
      <c r="FM1576" s="18" t="inlineStr">
        <is>
          <t>Las Acacias</t>
        </is>
      </c>
      <c r="FP1576" t="inlineStr">
        <is>
          <t>B</t>
        </is>
      </c>
      <c r="FS1576" s="14" t="inlineStr">
        <is>
          <t>3062 / SFWZ-10|</t>
        </is>
      </c>
      <c r="FT1576" t="inlineStr">
        <is>
          <t>SFWZ-10|</t>
        </is>
      </c>
      <c r="FU1576" t="inlineStr">
        <is>
          <t>SFWZ-10</t>
        </is>
      </c>
      <c r="FV1576">
        <f>VLOOKUP(FU1576,FD:FL,9,0)</f>
        <v/>
      </c>
    </row>
    <row r="1577">
      <c r="FC1577" t="inlineStr">
        <is>
          <t>Diccionario 2</t>
        </is>
      </c>
      <c r="FD1577" s="15" t="inlineStr">
        <is>
          <t>VLFJ-57</t>
        </is>
      </c>
      <c r="FE1577" s="17" t="inlineStr">
        <is>
          <t>LDYECS310S0045705</t>
        </is>
      </c>
      <c r="FF1577" s="18" t="inlineStr">
        <is>
          <t>MDN35025030236</t>
        </is>
      </c>
      <c r="FG1577" s="18" t="inlineStr">
        <is>
          <t>Zhong Thong</t>
        </is>
      </c>
      <c r="FH1577" s="18" t="inlineStr">
        <is>
          <t>Lck6122evg</t>
        </is>
      </c>
      <c r="FI1577" s="18" t="inlineStr">
        <is>
          <t>Zhong Thong</t>
        </is>
      </c>
      <c r="FJ1577" s="18" t="inlineStr">
        <is>
          <t>Lck6122evg</t>
        </is>
      </c>
      <c r="FK1577" s="18" t="n">
        <v>2026</v>
      </c>
      <c r="FL1577" s="18" t="inlineStr">
        <is>
          <t>B</t>
        </is>
      </c>
      <c r="FM1577" s="18" t="inlineStr">
        <is>
          <t>Las Acacias</t>
        </is>
      </c>
      <c r="FP1577" t="inlineStr">
        <is>
          <t>B</t>
        </is>
      </c>
      <c r="FS1577" s="14" t="inlineStr">
        <is>
          <t>3105 / SFWZ-54|</t>
        </is>
      </c>
      <c r="FT1577" t="inlineStr">
        <is>
          <t>SFWZ-54|</t>
        </is>
      </c>
      <c r="FU1577" t="inlineStr">
        <is>
          <t>SFWZ-54</t>
        </is>
      </c>
      <c r="FV1577">
        <f>VLOOKUP(FU1577,FD:FL,9,0)</f>
        <v/>
      </c>
    </row>
    <row r="1578">
      <c r="FC1578" t="inlineStr">
        <is>
          <t>Diccionario 2</t>
        </is>
      </c>
      <c r="FD1578" s="15" t="inlineStr">
        <is>
          <t>VLFJ-62</t>
        </is>
      </c>
      <c r="FE1578" s="17" t="inlineStr">
        <is>
          <t>LDYECS318S0045774</t>
        </is>
      </c>
      <c r="FF1578" s="18" t="inlineStr">
        <is>
          <t>MDN35025030173</t>
        </is>
      </c>
      <c r="FG1578" s="18" t="inlineStr">
        <is>
          <t>Zhong Thong</t>
        </is>
      </c>
      <c r="FH1578" s="18" t="inlineStr">
        <is>
          <t>Lck6122evg</t>
        </is>
      </c>
      <c r="FI1578" s="18" t="inlineStr">
        <is>
          <t>Zhong Thong</t>
        </is>
      </c>
      <c r="FJ1578" s="18" t="inlineStr">
        <is>
          <t>Lck6122evg</t>
        </is>
      </c>
      <c r="FK1578" s="18" t="n">
        <v>2026</v>
      </c>
      <c r="FL1578" s="18" t="inlineStr">
        <is>
          <t>B</t>
        </is>
      </c>
      <c r="FM1578" s="18" t="inlineStr">
        <is>
          <t>Las Acacias</t>
        </is>
      </c>
      <c r="FP1578" t="inlineStr">
        <is>
          <t>B</t>
        </is>
      </c>
      <c r="FS1578" s="14" t="inlineStr">
        <is>
          <t>3074 / SFWZ-17|</t>
        </is>
      </c>
      <c r="FT1578" t="inlineStr">
        <is>
          <t>SFWZ-17|</t>
        </is>
      </c>
      <c r="FU1578" t="inlineStr">
        <is>
          <t>SFWZ-17</t>
        </is>
      </c>
      <c r="FV1578">
        <f>VLOOKUP(FU1578,FD:FL,9,0)</f>
        <v/>
      </c>
    </row>
    <row r="1579">
      <c r="FC1579" t="inlineStr">
        <is>
          <t>Diccionario 2</t>
        </is>
      </c>
      <c r="FD1579" s="15" t="inlineStr">
        <is>
          <t>VLFJ-65</t>
        </is>
      </c>
      <c r="FE1579" s="17" t="inlineStr">
        <is>
          <t>LDYECS310S0045784</t>
        </is>
      </c>
      <c r="FF1579" s="18" t="inlineStr">
        <is>
          <t>MDN35025030197</t>
        </is>
      </c>
      <c r="FG1579" s="18" t="inlineStr">
        <is>
          <t>Zhong Thong</t>
        </is>
      </c>
      <c r="FH1579" s="18" t="inlineStr">
        <is>
          <t>Lck6122evg</t>
        </is>
      </c>
      <c r="FI1579" s="18" t="inlineStr">
        <is>
          <t>Zhong Thong</t>
        </is>
      </c>
      <c r="FJ1579" s="18" t="inlineStr">
        <is>
          <t>Lck6122evg</t>
        </is>
      </c>
      <c r="FK1579" s="18" t="n">
        <v>2026</v>
      </c>
      <c r="FL1579" s="18" t="inlineStr">
        <is>
          <t>B</t>
        </is>
      </c>
      <c r="FM1579" s="18" t="inlineStr">
        <is>
          <t>Las Acacias</t>
        </is>
      </c>
      <c r="FP1579" t="inlineStr">
        <is>
          <t>B</t>
        </is>
      </c>
      <c r="FS1579" s="14" t="inlineStr">
        <is>
          <t>3104 / SFWZ-52|</t>
        </is>
      </c>
      <c r="FT1579" t="inlineStr">
        <is>
          <t>SFWZ-52|</t>
        </is>
      </c>
      <c r="FU1579" t="inlineStr">
        <is>
          <t>SFWZ-52</t>
        </is>
      </c>
      <c r="FV1579">
        <f>VLOOKUP(FU1579,FD:FL,9,0)</f>
        <v/>
      </c>
    </row>
    <row r="1580">
      <c r="FC1580" t="inlineStr">
        <is>
          <t>Diccionario 2</t>
        </is>
      </c>
      <c r="FD1580" s="15" t="inlineStr">
        <is>
          <t>VLFJ-82</t>
        </is>
      </c>
      <c r="FE1580" s="17" t="inlineStr">
        <is>
          <t>LDYECS311S0045700</t>
        </is>
      </c>
      <c r="FF1580" s="18" t="inlineStr">
        <is>
          <t>MDN35025030297</t>
        </is>
      </c>
      <c r="FG1580" s="18" t="inlineStr">
        <is>
          <t>Zhong Thong</t>
        </is>
      </c>
      <c r="FH1580" s="18" t="inlineStr">
        <is>
          <t>Lck6122evg</t>
        </is>
      </c>
      <c r="FI1580" s="18" t="inlineStr">
        <is>
          <t>Zhong Thong</t>
        </is>
      </c>
      <c r="FJ1580" s="18" t="inlineStr">
        <is>
          <t>Lck6122evg</t>
        </is>
      </c>
      <c r="FK1580" s="18" t="n">
        <v>2026</v>
      </c>
      <c r="FL1580" s="18" t="inlineStr">
        <is>
          <t>B</t>
        </is>
      </c>
      <c r="FM1580" s="18" t="inlineStr">
        <is>
          <t>Las Acacias</t>
        </is>
      </c>
      <c r="FP1580" t="inlineStr">
        <is>
          <t>B</t>
        </is>
      </c>
      <c r="FS1580" s="14" t="inlineStr">
        <is>
          <t>3106 / SFWZ-68|</t>
        </is>
      </c>
      <c r="FT1580" t="inlineStr">
        <is>
          <t>SFWZ-68|</t>
        </is>
      </c>
      <c r="FU1580" t="inlineStr">
        <is>
          <t>SFWZ-68</t>
        </is>
      </c>
      <c r="FV1580">
        <f>VLOOKUP(FU1580,FD:FL,9,0)</f>
        <v/>
      </c>
    </row>
    <row r="1581">
      <c r="FC1581" t="inlineStr">
        <is>
          <t>Diccionario 2</t>
        </is>
      </c>
      <c r="FD1581" s="15" t="inlineStr">
        <is>
          <t>VLFJ-85</t>
        </is>
      </c>
      <c r="FE1581" s="17" t="inlineStr">
        <is>
          <t>LDYECS316S0045871</t>
        </is>
      </c>
      <c r="FF1581" s="18" t="inlineStr">
        <is>
          <t>MDN35025030288</t>
        </is>
      </c>
      <c r="FG1581" s="18" t="inlineStr">
        <is>
          <t>Zhong Thong</t>
        </is>
      </c>
      <c r="FH1581" s="18" t="inlineStr">
        <is>
          <t>Lck6122evg</t>
        </is>
      </c>
      <c r="FI1581" s="18" t="inlineStr">
        <is>
          <t>Zhong Thong</t>
        </is>
      </c>
      <c r="FJ1581" s="18" t="inlineStr">
        <is>
          <t>Lck6122evg</t>
        </is>
      </c>
      <c r="FK1581" s="18" t="n">
        <v>2026</v>
      </c>
      <c r="FL1581" s="18" t="inlineStr">
        <is>
          <t>B</t>
        </is>
      </c>
      <c r="FM1581" s="18" t="inlineStr">
        <is>
          <t>Las Acacias</t>
        </is>
      </c>
      <c r="FP1581" t="inlineStr">
        <is>
          <t>B</t>
        </is>
      </c>
      <c r="FS1581" s="14" t="inlineStr">
        <is>
          <t>3033 / SFVZ-29|</t>
        </is>
      </c>
      <c r="FT1581" t="inlineStr">
        <is>
          <t>SFVZ-29|</t>
        </is>
      </c>
      <c r="FU1581" t="inlineStr">
        <is>
          <t>SFVZ-29</t>
        </is>
      </c>
      <c r="FV1581">
        <f>VLOOKUP(FU1581,FD:FL,9,0)</f>
        <v/>
      </c>
    </row>
    <row r="1582">
      <c r="FC1582" t="inlineStr">
        <is>
          <t>Diccionario 2</t>
        </is>
      </c>
      <c r="FD1582" s="15" t="inlineStr">
        <is>
          <t>VLLY-27</t>
        </is>
      </c>
      <c r="FE1582" s="17" t="inlineStr">
        <is>
          <t>LDYECS312S0045768</t>
        </is>
      </c>
      <c r="FF1582" s="18" t="inlineStr">
        <is>
          <t>MDN35025030284</t>
        </is>
      </c>
      <c r="FG1582" s="18" t="inlineStr">
        <is>
          <t>Zhong Thong</t>
        </is>
      </c>
      <c r="FH1582" s="18" t="inlineStr">
        <is>
          <t>Lck6122evg</t>
        </is>
      </c>
      <c r="FI1582" s="18" t="inlineStr">
        <is>
          <t>Zhong Thong</t>
        </is>
      </c>
      <c r="FJ1582" s="18" t="inlineStr">
        <is>
          <t>Lck6122evg</t>
        </is>
      </c>
      <c r="FK1582" s="18" t="n">
        <v>2026</v>
      </c>
      <c r="FL1582" s="18" t="inlineStr">
        <is>
          <t>B</t>
        </is>
      </c>
      <c r="FM1582" s="18" t="inlineStr">
        <is>
          <t>Las Acacias</t>
        </is>
      </c>
      <c r="FP1582" t="inlineStr">
        <is>
          <t>B</t>
        </is>
      </c>
      <c r="FS1582" s="14" t="inlineStr">
        <is>
          <t>3097 / SFWZ-77|</t>
        </is>
      </c>
      <c r="FT1582" t="inlineStr">
        <is>
          <t>SFWZ-77|</t>
        </is>
      </c>
      <c r="FU1582" t="inlineStr">
        <is>
          <t>SFWZ-77</t>
        </is>
      </c>
      <c r="FV1582">
        <f>VLOOKUP(FU1582,FD:FL,9,0)</f>
        <v/>
      </c>
    </row>
    <row r="1583">
      <c r="FC1583" t="inlineStr">
        <is>
          <t>Diccionario 2</t>
        </is>
      </c>
      <c r="FD1583" s="15" t="inlineStr">
        <is>
          <t>VLPD-24</t>
        </is>
      </c>
      <c r="FE1583" s="17" t="inlineStr">
        <is>
          <t>LDYECS311S0045874</t>
        </is>
      </c>
      <c r="FF1583" s="18" t="inlineStr">
        <is>
          <t>MDN35025030278</t>
        </is>
      </c>
      <c r="FG1583" s="18" t="inlineStr">
        <is>
          <t>Zhong Thong</t>
        </is>
      </c>
      <c r="FH1583" s="18" t="inlineStr">
        <is>
          <t>Lck6122evg</t>
        </is>
      </c>
      <c r="FI1583" s="18" t="inlineStr">
        <is>
          <t>Zhong Thong</t>
        </is>
      </c>
      <c r="FJ1583" s="18" t="inlineStr">
        <is>
          <t>Lck6122evg</t>
        </is>
      </c>
      <c r="FK1583" s="18" t="n">
        <v>2026</v>
      </c>
      <c r="FL1583" s="18" t="inlineStr">
        <is>
          <t>B</t>
        </is>
      </c>
      <c r="FM1583" s="18" t="inlineStr">
        <is>
          <t>Las Acacias</t>
        </is>
      </c>
      <c r="FP1583" t="inlineStr">
        <is>
          <t>B</t>
        </is>
      </c>
      <c r="FS1583" s="14" t="inlineStr">
        <is>
          <t>VJKG-37|</t>
        </is>
      </c>
      <c r="FT1583" t="inlineStr">
        <is>
          <t>VJKG-37|</t>
        </is>
      </c>
      <c r="FU1583" t="inlineStr">
        <is>
          <t>VJKG-37</t>
        </is>
      </c>
      <c r="FV1583">
        <f>VLOOKUP(FU1583,FD:FL,9,0)</f>
        <v/>
      </c>
    </row>
    <row r="1584">
      <c r="FC1584" t="inlineStr">
        <is>
          <t>Diccionario 2</t>
        </is>
      </c>
      <c r="FD1584" s="15" t="inlineStr">
        <is>
          <t>VLRS-46</t>
        </is>
      </c>
      <c r="FE1584" s="17" t="inlineStr">
        <is>
          <t>LDYECS311S0045759</t>
        </is>
      </c>
      <c r="FF1584" s="18" t="inlineStr">
        <is>
          <t>MDN35025030145</t>
        </is>
      </c>
      <c r="FG1584" s="18" t="inlineStr">
        <is>
          <t>Zhong Thong</t>
        </is>
      </c>
      <c r="FH1584" s="18" t="inlineStr">
        <is>
          <t>Lck6122evg</t>
        </is>
      </c>
      <c r="FI1584" s="18" t="inlineStr">
        <is>
          <t>Zhong Thong</t>
        </is>
      </c>
      <c r="FJ1584" s="18" t="inlineStr">
        <is>
          <t>Lck6122evg</t>
        </is>
      </c>
      <c r="FK1584" s="18" t="n">
        <v>2026</v>
      </c>
      <c r="FL1584" s="18" t="inlineStr">
        <is>
          <t>B</t>
        </is>
      </c>
      <c r="FM1584" s="18" t="inlineStr">
        <is>
          <t>Las Acacias</t>
        </is>
      </c>
      <c r="FP1584" t="inlineStr">
        <is>
          <t>B</t>
        </is>
      </c>
      <c r="FS1584" s="14" t="inlineStr">
        <is>
          <t>3048 / SFVZ-96|</t>
        </is>
      </c>
      <c r="FT1584" t="inlineStr">
        <is>
          <t>SFVZ-96|</t>
        </is>
      </c>
      <c r="FU1584" t="inlineStr">
        <is>
          <t>SFVZ-96</t>
        </is>
      </c>
      <c r="FV1584">
        <f>VLOOKUP(FU1584,FD:FL,9,0)</f>
        <v/>
      </c>
    </row>
    <row r="1585">
      <c r="FC1585" t="inlineStr">
        <is>
          <t>Diccionario 2</t>
        </is>
      </c>
      <c r="FD1585" s="15" t="inlineStr">
        <is>
          <t>VLSD-60</t>
        </is>
      </c>
      <c r="FE1585" s="17" t="inlineStr">
        <is>
          <t>LDYECS839S0045647</t>
        </is>
      </c>
      <c r="FF1585" s="18" t="inlineStr">
        <is>
          <t>MJJ20025010022</t>
        </is>
      </c>
      <c r="FG1585" s="18" t="inlineStr">
        <is>
          <t>Zhong Thong</t>
        </is>
      </c>
      <c r="FH1585" s="18" t="inlineStr">
        <is>
          <t>Lck6850evg</t>
        </is>
      </c>
      <c r="FI1585" s="18" t="inlineStr">
        <is>
          <t>Zhong Thong</t>
        </is>
      </c>
      <c r="FJ1585" s="18" t="inlineStr">
        <is>
          <t>Lck6850evg</t>
        </is>
      </c>
      <c r="FK1585" s="18" t="n">
        <v>2026</v>
      </c>
      <c r="FL1585" s="18" t="inlineStr">
        <is>
          <t>A</t>
        </is>
      </c>
      <c r="FM1585" s="18" t="inlineStr">
        <is>
          <t>Las Acacias</t>
        </is>
      </c>
      <c r="FP1585" t="inlineStr">
        <is>
          <t>A</t>
        </is>
      </c>
      <c r="FS1585" s="14" t="inlineStr">
        <is>
          <t>VJKF-46|</t>
        </is>
      </c>
      <c r="FT1585" t="inlineStr">
        <is>
          <t>VJKF-46|</t>
        </is>
      </c>
      <c r="FU1585" t="inlineStr">
        <is>
          <t>VJKF-46</t>
        </is>
      </c>
      <c r="FV1585">
        <f>VLOOKUP(FU1585,FD:FL,9,0)</f>
        <v/>
      </c>
    </row>
    <row r="1586">
      <c r="FC1586" t="inlineStr">
        <is>
          <t>Diccionario 2</t>
        </is>
      </c>
      <c r="FD1586" s="15" t="inlineStr">
        <is>
          <t>VLSD-66</t>
        </is>
      </c>
      <c r="FE1586" s="17" t="inlineStr">
        <is>
          <t>LDYECS83XS0045642</t>
        </is>
      </c>
      <c r="FF1586" s="18" t="inlineStr">
        <is>
          <t>MJJ20025010017</t>
        </is>
      </c>
      <c r="FG1586" s="18" t="inlineStr">
        <is>
          <t>Zhong Thong</t>
        </is>
      </c>
      <c r="FH1586" s="18" t="inlineStr">
        <is>
          <t>Lck6850evg</t>
        </is>
      </c>
      <c r="FI1586" s="18" t="inlineStr">
        <is>
          <t>Zhong Thong</t>
        </is>
      </c>
      <c r="FJ1586" s="18" t="inlineStr">
        <is>
          <t>Lck6850evg</t>
        </is>
      </c>
      <c r="FK1586" s="18" t="n">
        <v>2026</v>
      </c>
      <c r="FL1586" s="18" t="inlineStr">
        <is>
          <t>A</t>
        </is>
      </c>
      <c r="FM1586" s="18" t="inlineStr">
        <is>
          <t>Las Acacias</t>
        </is>
      </c>
      <c r="FP1586" t="inlineStr">
        <is>
          <t>A</t>
        </is>
      </c>
      <c r="FS1586" s="14" t="inlineStr">
        <is>
          <t>3066 / SFWB-10|</t>
        </is>
      </c>
      <c r="FT1586" t="inlineStr">
        <is>
          <t>SFWB-10|</t>
        </is>
      </c>
      <c r="FU1586" t="inlineStr">
        <is>
          <t>SFWB-10</t>
        </is>
      </c>
      <c r="FV1586">
        <f>VLOOKUP(FU1586,FD:FL,9,0)</f>
        <v/>
      </c>
    </row>
    <row r="1587">
      <c r="FC1587" t="inlineStr">
        <is>
          <t>Diccionario 2</t>
        </is>
      </c>
      <c r="FD1587" s="15" t="inlineStr">
        <is>
          <t>VLSD-67</t>
        </is>
      </c>
      <c r="FE1587" s="17" t="inlineStr">
        <is>
          <t>LDYECS835S0045645</t>
        </is>
      </c>
      <c r="FF1587" s="18" t="inlineStr">
        <is>
          <t>MJJ20025010002</t>
        </is>
      </c>
      <c r="FG1587" s="18" t="inlineStr">
        <is>
          <t>Zhong Thong</t>
        </is>
      </c>
      <c r="FH1587" s="18" t="inlineStr">
        <is>
          <t>Lck6850evg</t>
        </is>
      </c>
      <c r="FI1587" s="18" t="inlineStr">
        <is>
          <t>Zhong Thong</t>
        </is>
      </c>
      <c r="FJ1587" s="18" t="inlineStr">
        <is>
          <t>Lck6850evg</t>
        </is>
      </c>
      <c r="FK1587" s="18" t="n">
        <v>2026</v>
      </c>
      <c r="FL1587" s="18" t="inlineStr">
        <is>
          <t>A</t>
        </is>
      </c>
      <c r="FM1587" s="18" t="inlineStr">
        <is>
          <t>Las Acacias</t>
        </is>
      </c>
      <c r="FP1587" t="inlineStr">
        <is>
          <t>A</t>
        </is>
      </c>
      <c r="FS1587" s="14" t="inlineStr">
        <is>
          <t>3030 / SFWZ-14|</t>
        </is>
      </c>
      <c r="FT1587" t="inlineStr">
        <is>
          <t>SFWZ-14|</t>
        </is>
      </c>
      <c r="FU1587" t="inlineStr">
        <is>
          <t>SFWZ-14</t>
        </is>
      </c>
      <c r="FV1587">
        <f>VLOOKUP(FU1587,FD:FL,9,0)</f>
        <v/>
      </c>
    </row>
    <row r="1588">
      <c r="FC1588" t="inlineStr">
        <is>
          <t>Diccionario 2</t>
        </is>
      </c>
      <c r="FD1588" s="15" t="inlineStr">
        <is>
          <t>VLSD-68</t>
        </is>
      </c>
      <c r="FE1588" s="17" t="inlineStr">
        <is>
          <t>LDYECS838S0045638</t>
        </is>
      </c>
      <c r="FF1588" s="18" t="inlineStr">
        <is>
          <t>MJJ20025010018</t>
        </is>
      </c>
      <c r="FG1588" s="18" t="inlineStr">
        <is>
          <t>Zhong Thong</t>
        </is>
      </c>
      <c r="FH1588" s="18" t="inlineStr">
        <is>
          <t>Lck6850evg</t>
        </is>
      </c>
      <c r="FI1588" s="18" t="inlineStr">
        <is>
          <t>Zhong Thong</t>
        </is>
      </c>
      <c r="FJ1588" s="18" t="inlineStr">
        <is>
          <t>Lck6850evg</t>
        </is>
      </c>
      <c r="FK1588" s="18" t="n">
        <v>2026</v>
      </c>
      <c r="FL1588" s="18" t="inlineStr">
        <is>
          <t>A</t>
        </is>
      </c>
      <c r="FM1588" s="18" t="inlineStr">
        <is>
          <t>Las Acacias</t>
        </is>
      </c>
      <c r="FP1588" t="inlineStr">
        <is>
          <t>A</t>
        </is>
      </c>
      <c r="FS1588" s="14" t="inlineStr">
        <is>
          <t>3107 / SFWZ-85|</t>
        </is>
      </c>
      <c r="FT1588" t="inlineStr">
        <is>
          <t>SFWZ-85|</t>
        </is>
      </c>
      <c r="FU1588" t="inlineStr">
        <is>
          <t>SFWZ-85</t>
        </is>
      </c>
      <c r="FV1588">
        <f>VLOOKUP(FU1588,FD:FL,9,0)</f>
        <v/>
      </c>
    </row>
    <row r="1589">
      <c r="FC1589" t="inlineStr">
        <is>
          <t>Diccionario 2</t>
        </is>
      </c>
      <c r="FD1589" s="15" t="inlineStr">
        <is>
          <t>VLSD-70</t>
        </is>
      </c>
      <c r="FE1589" s="17" t="inlineStr">
        <is>
          <t>LDYECS838S0045641</t>
        </is>
      </c>
      <c r="FF1589" s="18" t="inlineStr">
        <is>
          <t>MJJ20025010006</t>
        </is>
      </c>
      <c r="FG1589" s="18" t="inlineStr">
        <is>
          <t>Zhong Thong</t>
        </is>
      </c>
      <c r="FH1589" s="18" t="inlineStr">
        <is>
          <t>Lck6850evg</t>
        </is>
      </c>
      <c r="FI1589" s="18" t="inlineStr">
        <is>
          <t>Zhong Thong</t>
        </is>
      </c>
      <c r="FJ1589" s="18" t="inlineStr">
        <is>
          <t>Lck6850evg</t>
        </is>
      </c>
      <c r="FK1589" s="18" t="n">
        <v>2026</v>
      </c>
      <c r="FL1589" s="18" t="inlineStr">
        <is>
          <t>A</t>
        </is>
      </c>
      <c r="FM1589" s="18" t="inlineStr">
        <is>
          <t>Las Acacias</t>
        </is>
      </c>
      <c r="FP1589" t="inlineStr">
        <is>
          <t>A</t>
        </is>
      </c>
      <c r="FS1589" s="14" t="inlineStr">
        <is>
          <t>3005 / SFWZ-39|</t>
        </is>
      </c>
      <c r="FT1589" t="inlineStr">
        <is>
          <t>SFWZ-39|</t>
        </is>
      </c>
      <c r="FU1589" t="inlineStr">
        <is>
          <t>SFWZ-39</t>
        </is>
      </c>
      <c r="FV1589">
        <f>VLOOKUP(FU1589,FD:FL,9,0)</f>
        <v/>
      </c>
    </row>
    <row r="1590">
      <c r="FC1590" t="inlineStr">
        <is>
          <t>Diccionario 2</t>
        </is>
      </c>
      <c r="FD1590" s="15" t="inlineStr">
        <is>
          <t>VLSD-77</t>
        </is>
      </c>
      <c r="FE1590" s="17" t="inlineStr">
        <is>
          <t>LDYECS831S0045643</t>
        </is>
      </c>
      <c r="FF1590" s="18" t="inlineStr">
        <is>
          <t>MJJ20025010055</t>
        </is>
      </c>
      <c r="FG1590" s="18" t="inlineStr">
        <is>
          <t>Zhong Thong</t>
        </is>
      </c>
      <c r="FH1590" s="18" t="inlineStr">
        <is>
          <t>Lck6850evg</t>
        </is>
      </c>
      <c r="FI1590" s="18" t="inlineStr">
        <is>
          <t>Zhong Thong</t>
        </is>
      </c>
      <c r="FJ1590" s="18" t="inlineStr">
        <is>
          <t>Lck6850evg</t>
        </is>
      </c>
      <c r="FK1590" s="18" t="n">
        <v>2026</v>
      </c>
      <c r="FL1590" s="18" t="inlineStr">
        <is>
          <t>A</t>
        </is>
      </c>
      <c r="FM1590" s="18" t="inlineStr">
        <is>
          <t>Las Acacias</t>
        </is>
      </c>
      <c r="FP1590" t="inlineStr">
        <is>
          <t>A</t>
        </is>
      </c>
      <c r="FS1590" s="14" t="inlineStr">
        <is>
          <t>3078 / SFWZ-69|</t>
        </is>
      </c>
      <c r="FT1590" t="inlineStr">
        <is>
          <t>SFWZ-69|</t>
        </is>
      </c>
      <c r="FU1590" t="inlineStr">
        <is>
          <t>SFWZ-69</t>
        </is>
      </c>
      <c r="FV1590">
        <f>VLOOKUP(FU1590,FD:FL,9,0)</f>
        <v/>
      </c>
    </row>
    <row r="1591">
      <c r="FC1591" t="inlineStr">
        <is>
          <t>Diccionario 2</t>
        </is>
      </c>
      <c r="FD1591" s="15" t="inlineStr">
        <is>
          <t>VLSJ-88</t>
        </is>
      </c>
      <c r="FE1591" s="17" t="inlineStr">
        <is>
          <t>LDYECS835S0044527</t>
        </is>
      </c>
      <c r="FF1591" s="18" t="inlineStr">
        <is>
          <t>MJJ20025010038</t>
        </is>
      </c>
      <c r="FG1591" s="18" t="inlineStr">
        <is>
          <t>Zhong Thong</t>
        </is>
      </c>
      <c r="FH1591" s="18" t="inlineStr">
        <is>
          <t>Lck6850evg</t>
        </is>
      </c>
      <c r="FI1591" s="18" t="inlineStr">
        <is>
          <t>Zhong Thong</t>
        </is>
      </c>
      <c r="FJ1591" s="18" t="inlineStr">
        <is>
          <t>Lck6850evg</t>
        </is>
      </c>
      <c r="FK1591" s="18" t="n">
        <v>2026</v>
      </c>
      <c r="FL1591" s="18" t="inlineStr">
        <is>
          <t>A</t>
        </is>
      </c>
      <c r="FM1591" s="18" t="inlineStr">
        <is>
          <t>Las Acacias</t>
        </is>
      </c>
      <c r="FP1591" t="inlineStr">
        <is>
          <t>A</t>
        </is>
      </c>
      <c r="FS1591" s="14" t="inlineStr">
        <is>
          <t>3089 / SFWZ-73|</t>
        </is>
      </c>
      <c r="FT1591" t="inlineStr">
        <is>
          <t>SFWZ-73|</t>
        </is>
      </c>
      <c r="FU1591" t="inlineStr">
        <is>
          <t>SFWZ-73</t>
        </is>
      </c>
      <c r="FV1591">
        <f>VLOOKUP(FU1591,FD:FL,9,0)</f>
        <v/>
      </c>
    </row>
    <row r="1592">
      <c r="FC1592" t="inlineStr">
        <is>
          <t>Diccionario 2</t>
        </is>
      </c>
      <c r="FD1592" s="15" t="inlineStr">
        <is>
          <t>VLSK-17</t>
        </is>
      </c>
      <c r="FE1592" s="17" t="inlineStr">
        <is>
          <t>LDYECS837S0044528</t>
        </is>
      </c>
      <c r="FF1592" s="18" t="inlineStr">
        <is>
          <t>MJJ20025010031</t>
        </is>
      </c>
      <c r="FG1592" s="18" t="inlineStr">
        <is>
          <t>Zhong Thong</t>
        </is>
      </c>
      <c r="FH1592" s="18" t="inlineStr">
        <is>
          <t>Lck6850evg</t>
        </is>
      </c>
      <c r="FI1592" s="18" t="inlineStr">
        <is>
          <t>Zhong Thong</t>
        </is>
      </c>
      <c r="FJ1592" s="18" t="inlineStr">
        <is>
          <t>Lck6850evg</t>
        </is>
      </c>
      <c r="FK1592" s="18" t="n">
        <v>2026</v>
      </c>
      <c r="FL1592" s="18" t="inlineStr">
        <is>
          <t>A</t>
        </is>
      </c>
      <c r="FM1592" s="18" t="inlineStr">
        <is>
          <t>Las Acacias</t>
        </is>
      </c>
      <c r="FP1592" t="inlineStr">
        <is>
          <t>A</t>
        </is>
      </c>
      <c r="FS1592" s="14" t="inlineStr">
        <is>
          <t>3062 / SFWZ-10|</t>
        </is>
      </c>
      <c r="FT1592" t="inlineStr">
        <is>
          <t>SFWZ-10|</t>
        </is>
      </c>
      <c r="FU1592" t="inlineStr">
        <is>
          <t>SFWZ-10</t>
        </is>
      </c>
      <c r="FV1592">
        <f>VLOOKUP(FU1592,FD:FL,9,0)</f>
        <v/>
      </c>
    </row>
    <row r="1593">
      <c r="FC1593" t="inlineStr">
        <is>
          <t>Diccionario 2</t>
        </is>
      </c>
      <c r="FD1593" s="15" t="inlineStr">
        <is>
          <t>VLSK-18</t>
        </is>
      </c>
      <c r="FE1593" s="17" t="inlineStr">
        <is>
          <t>LDYECS835S0045614</t>
        </is>
      </c>
      <c r="FF1593" s="18" t="inlineStr">
        <is>
          <t>MJJ20025010009</t>
        </is>
      </c>
      <c r="FG1593" s="18" t="inlineStr">
        <is>
          <t>Zhong Thong</t>
        </is>
      </c>
      <c r="FH1593" s="18" t="inlineStr">
        <is>
          <t>Lck6850evg</t>
        </is>
      </c>
      <c r="FI1593" s="18" t="inlineStr">
        <is>
          <t>Zhong Thong</t>
        </is>
      </c>
      <c r="FJ1593" s="18" t="inlineStr">
        <is>
          <t>Lck6850evg</t>
        </is>
      </c>
      <c r="FK1593" s="18" t="n">
        <v>2026</v>
      </c>
      <c r="FL1593" s="18" t="inlineStr">
        <is>
          <t>A</t>
        </is>
      </c>
      <c r="FM1593" s="18" t="inlineStr">
        <is>
          <t>Las Acacias</t>
        </is>
      </c>
      <c r="FP1593" t="inlineStr">
        <is>
          <t>A</t>
        </is>
      </c>
      <c r="FS1593" s="14" t="inlineStr">
        <is>
          <t>3105 / SFWZ-54|</t>
        </is>
      </c>
      <c r="FT1593" t="inlineStr">
        <is>
          <t>SFWZ-54|</t>
        </is>
      </c>
      <c r="FU1593" t="inlineStr">
        <is>
          <t>SFWZ-54</t>
        </is>
      </c>
      <c r="FV1593">
        <f>VLOOKUP(FU1593,FD:FL,9,0)</f>
        <v/>
      </c>
    </row>
    <row r="1594">
      <c r="FC1594" t="inlineStr">
        <is>
          <t>Diccionario 2</t>
        </is>
      </c>
      <c r="FD1594" s="15" t="inlineStr">
        <is>
          <t>VLSK-19</t>
        </is>
      </c>
      <c r="FE1594" s="17" t="inlineStr">
        <is>
          <t>LDYECS319S0045797</t>
        </is>
      </c>
      <c r="FF1594" s="18" t="inlineStr">
        <is>
          <t>MDN35025030308</t>
        </is>
      </c>
      <c r="FG1594" s="18" t="inlineStr">
        <is>
          <t>Zhong Thong</t>
        </is>
      </c>
      <c r="FH1594" s="18" t="inlineStr">
        <is>
          <t>Lck6122evg</t>
        </is>
      </c>
      <c r="FI1594" s="18" t="inlineStr">
        <is>
          <t>Zhong Thong</t>
        </is>
      </c>
      <c r="FJ1594" s="18" t="inlineStr">
        <is>
          <t>Lck6122evg</t>
        </is>
      </c>
      <c r="FK1594" s="18" t="n">
        <v>2026</v>
      </c>
      <c r="FL1594" s="18" t="inlineStr">
        <is>
          <t>B</t>
        </is>
      </c>
      <c r="FM1594" s="18" t="inlineStr">
        <is>
          <t>Las Acacias</t>
        </is>
      </c>
      <c r="FP1594" t="inlineStr">
        <is>
          <t>B</t>
        </is>
      </c>
      <c r="FS1594" s="14" t="inlineStr">
        <is>
          <t>3077 / SFWZ-55|</t>
        </is>
      </c>
      <c r="FT1594" t="inlineStr">
        <is>
          <t>SFWZ-55|</t>
        </is>
      </c>
      <c r="FU1594" t="inlineStr">
        <is>
          <t>SFWZ-55</t>
        </is>
      </c>
      <c r="FV1594">
        <f>VLOOKUP(FU1594,FD:FL,9,0)</f>
        <v/>
      </c>
    </row>
    <row r="1595">
      <c r="FC1595" t="inlineStr">
        <is>
          <t>Diccionario 2</t>
        </is>
      </c>
      <c r="FD1595" s="15" t="inlineStr">
        <is>
          <t>VLSK-23</t>
        </is>
      </c>
      <c r="FE1595" s="17" t="inlineStr">
        <is>
          <t>LDYECS315S0045800</t>
        </is>
      </c>
      <c r="FF1595" s="18" t="inlineStr">
        <is>
          <t>MDN35025030258</t>
        </is>
      </c>
      <c r="FG1595" s="18" t="inlineStr">
        <is>
          <t>Zhong Thong</t>
        </is>
      </c>
      <c r="FH1595" s="18" t="inlineStr">
        <is>
          <t>Lck6122evg</t>
        </is>
      </c>
      <c r="FI1595" s="18" t="inlineStr">
        <is>
          <t>Zhong Thong</t>
        </is>
      </c>
      <c r="FJ1595" s="18" t="inlineStr">
        <is>
          <t>Lck6122evg</t>
        </is>
      </c>
      <c r="FK1595" s="18" t="n">
        <v>2026</v>
      </c>
      <c r="FL1595" s="18" t="inlineStr">
        <is>
          <t>B</t>
        </is>
      </c>
      <c r="FM1595" s="18" t="inlineStr">
        <is>
          <t>Las Acacias</t>
        </is>
      </c>
      <c r="FP1595" t="inlineStr">
        <is>
          <t>B</t>
        </is>
      </c>
      <c r="FS1595" s="14" t="inlineStr">
        <is>
          <t>3097 / SFWZ-77|</t>
        </is>
      </c>
      <c r="FT1595" t="inlineStr">
        <is>
          <t>SFWZ-77|</t>
        </is>
      </c>
      <c r="FU1595" t="inlineStr">
        <is>
          <t>SFWZ-77</t>
        </is>
      </c>
      <c r="FV1595">
        <f>VLOOKUP(FU1595,FD:FL,9,0)</f>
        <v/>
      </c>
    </row>
    <row r="1596">
      <c r="FC1596" t="inlineStr">
        <is>
          <t>Diccionario 2</t>
        </is>
      </c>
      <c r="FD1596" s="15" t="inlineStr">
        <is>
          <t>VLSK-25</t>
        </is>
      </c>
      <c r="FE1596" s="17" t="inlineStr">
        <is>
          <t>LDYECS315S0045795</t>
        </is>
      </c>
      <c r="FF1596" s="18" t="inlineStr">
        <is>
          <t>MDN35025030264</t>
        </is>
      </c>
      <c r="FG1596" s="18" t="inlineStr">
        <is>
          <t>Zhong Thong</t>
        </is>
      </c>
      <c r="FH1596" s="18" t="inlineStr">
        <is>
          <t>Lck6122evg</t>
        </is>
      </c>
      <c r="FI1596" s="18" t="inlineStr">
        <is>
          <t>Zhong Thong</t>
        </is>
      </c>
      <c r="FJ1596" s="18" t="inlineStr">
        <is>
          <t>Lck6122evg</t>
        </is>
      </c>
      <c r="FK1596" s="18" t="n">
        <v>2026</v>
      </c>
      <c r="FL1596" s="18" t="inlineStr">
        <is>
          <t>B</t>
        </is>
      </c>
      <c r="FM1596" s="18" t="inlineStr">
        <is>
          <t>Las Acacias</t>
        </is>
      </c>
      <c r="FP1596" t="inlineStr">
        <is>
          <t>B</t>
        </is>
      </c>
      <c r="FS1596" s="14" t="inlineStr">
        <is>
          <t>VJYJ-35|</t>
        </is>
      </c>
      <c r="FT1596" t="inlineStr">
        <is>
          <t>VJYJ-35|</t>
        </is>
      </c>
      <c r="FU1596" t="inlineStr">
        <is>
          <t>VJYJ-35</t>
        </is>
      </c>
      <c r="FV1596">
        <f>VLOOKUP(FU1596,FD:FL,9,0)</f>
        <v/>
      </c>
    </row>
    <row r="1597">
      <c r="FC1597" t="inlineStr">
        <is>
          <t>Diccionario 2</t>
        </is>
      </c>
      <c r="FD1597" s="15" t="inlineStr">
        <is>
          <t>VLSK-26</t>
        </is>
      </c>
      <c r="FE1597" s="17" t="inlineStr">
        <is>
          <t>LDYECS310S0045722</t>
        </is>
      </c>
      <c r="FF1597" s="18" t="inlineStr">
        <is>
          <t>MDN35025030123</t>
        </is>
      </c>
      <c r="FG1597" s="18" t="inlineStr">
        <is>
          <t>Zhong Thong</t>
        </is>
      </c>
      <c r="FH1597" s="18" t="inlineStr">
        <is>
          <t>Lck6122evg</t>
        </is>
      </c>
      <c r="FI1597" s="18" t="inlineStr">
        <is>
          <t>Zhong Thong</t>
        </is>
      </c>
      <c r="FJ1597" s="18" t="inlineStr">
        <is>
          <t>Lck6122evg</t>
        </is>
      </c>
      <c r="FK1597" s="18" t="n">
        <v>2026</v>
      </c>
      <c r="FL1597" s="18" t="inlineStr">
        <is>
          <t>B</t>
        </is>
      </c>
      <c r="FM1597" s="18" t="inlineStr">
        <is>
          <t>Las Acacias</t>
        </is>
      </c>
      <c r="FP1597" t="inlineStr">
        <is>
          <t>B</t>
        </is>
      </c>
      <c r="FS1597" s="14" t="inlineStr">
        <is>
          <t>3058 / SFWB-85|</t>
        </is>
      </c>
      <c r="FT1597" t="inlineStr">
        <is>
          <t>SFWB-85|</t>
        </is>
      </c>
      <c r="FU1597" t="inlineStr">
        <is>
          <t>SFWB-85</t>
        </is>
      </c>
      <c r="FV1597">
        <f>VLOOKUP(FU1597,FD:FL,9,0)</f>
        <v/>
      </c>
    </row>
    <row r="1598">
      <c r="FC1598" t="inlineStr">
        <is>
          <t>Diccionario 2</t>
        </is>
      </c>
      <c r="FD1598" s="15" t="inlineStr">
        <is>
          <t>VLSK-29</t>
        </is>
      </c>
      <c r="FE1598" s="17" t="inlineStr">
        <is>
          <t>LDYECS310S0045798</t>
        </is>
      </c>
      <c r="FF1598" s="18" t="inlineStr">
        <is>
          <t>MDN35025030250</t>
        </is>
      </c>
      <c r="FG1598" s="18" t="inlineStr">
        <is>
          <t>Zhong Thong</t>
        </is>
      </c>
      <c r="FH1598" s="18" t="inlineStr">
        <is>
          <t>Lck6122evg</t>
        </is>
      </c>
      <c r="FI1598" s="18" t="inlineStr">
        <is>
          <t>Zhong Thong</t>
        </is>
      </c>
      <c r="FJ1598" s="18" t="inlineStr">
        <is>
          <t>Lck6122evg</t>
        </is>
      </c>
      <c r="FK1598" s="18" t="n">
        <v>2026</v>
      </c>
      <c r="FL1598" s="18" t="inlineStr">
        <is>
          <t>B</t>
        </is>
      </c>
      <c r="FM1598" s="18" t="inlineStr">
        <is>
          <t>Las Acacias</t>
        </is>
      </c>
      <c r="FP1598" t="inlineStr">
        <is>
          <t>B</t>
        </is>
      </c>
      <c r="FS1598" s="14" t="inlineStr">
        <is>
          <t>3104 / SFWZ-52|</t>
        </is>
      </c>
      <c r="FT1598" t="inlineStr">
        <is>
          <t>SFWZ-52|</t>
        </is>
      </c>
      <c r="FU1598" t="inlineStr">
        <is>
          <t>SFWZ-52</t>
        </is>
      </c>
      <c r="FV1598">
        <f>VLOOKUP(FU1598,FD:FL,9,0)</f>
        <v/>
      </c>
    </row>
    <row r="1599">
      <c r="FC1599" t="inlineStr">
        <is>
          <t>Diccionario 2</t>
        </is>
      </c>
      <c r="FD1599" s="15" t="inlineStr">
        <is>
          <t>VLSK-30</t>
        </is>
      </c>
      <c r="FE1599" s="17" t="inlineStr">
        <is>
          <t>LDYECS313S0045813</t>
        </is>
      </c>
      <c r="FF1599" s="18" t="inlineStr">
        <is>
          <t>MDN35025030268</t>
        </is>
      </c>
      <c r="FG1599" s="18" t="inlineStr">
        <is>
          <t>Zhong Thong</t>
        </is>
      </c>
      <c r="FH1599" s="18" t="inlineStr">
        <is>
          <t>Lck6122evg</t>
        </is>
      </c>
      <c r="FI1599" s="18" t="inlineStr">
        <is>
          <t>Zhong Thong</t>
        </is>
      </c>
      <c r="FJ1599" s="18" t="inlineStr">
        <is>
          <t>Lck6122evg</t>
        </is>
      </c>
      <c r="FK1599" s="18" t="n">
        <v>2026</v>
      </c>
      <c r="FL1599" s="18" t="inlineStr">
        <is>
          <t>B</t>
        </is>
      </c>
      <c r="FM1599" s="18" t="inlineStr">
        <is>
          <t>Las Acacias</t>
        </is>
      </c>
      <c r="FP1599" t="inlineStr">
        <is>
          <t>B</t>
        </is>
      </c>
      <c r="FS1599" s="14" t="inlineStr">
        <is>
          <t>VJKF-44|</t>
        </is>
      </c>
      <c r="FT1599" t="inlineStr">
        <is>
          <t>VJKF-44|</t>
        </is>
      </c>
      <c r="FU1599" t="inlineStr">
        <is>
          <t>VJKF-44</t>
        </is>
      </c>
      <c r="FV1599">
        <f>VLOOKUP(FU1599,FD:FL,9,0)</f>
        <v/>
      </c>
    </row>
    <row r="1600">
      <c r="FC1600" t="inlineStr">
        <is>
          <t>Diccionario 2</t>
        </is>
      </c>
      <c r="FD1600" s="15" t="inlineStr">
        <is>
          <t>VLSK-39</t>
        </is>
      </c>
      <c r="FE1600" s="17" t="inlineStr">
        <is>
          <t>LDYECS315S0045814</t>
        </is>
      </c>
      <c r="FF1600" s="18" t="inlineStr">
        <is>
          <t>MDN35025030040</t>
        </is>
      </c>
      <c r="FG1600" s="18" t="inlineStr">
        <is>
          <t>Zhong Thong</t>
        </is>
      </c>
      <c r="FH1600" s="18" t="inlineStr">
        <is>
          <t>Lck6122evg</t>
        </is>
      </c>
      <c r="FI1600" s="18" t="inlineStr">
        <is>
          <t>Zhong Thong</t>
        </is>
      </c>
      <c r="FJ1600" s="18" t="inlineStr">
        <is>
          <t>Lck6122evg</t>
        </is>
      </c>
      <c r="FK1600" s="18" t="n">
        <v>2026</v>
      </c>
      <c r="FL1600" s="18" t="inlineStr">
        <is>
          <t>B</t>
        </is>
      </c>
      <c r="FM1600" s="18" t="inlineStr">
        <is>
          <t>Las Acacias</t>
        </is>
      </c>
      <c r="FP1600" t="inlineStr">
        <is>
          <t>B</t>
        </is>
      </c>
      <c r="FS1600" s="14" t="inlineStr">
        <is>
          <t>3026 / SFVZ-81|</t>
        </is>
      </c>
      <c r="FT1600" t="inlineStr">
        <is>
          <t>SFVZ-81|</t>
        </is>
      </c>
      <c r="FU1600" t="inlineStr">
        <is>
          <t>SFVZ-81</t>
        </is>
      </c>
      <c r="FV1600">
        <f>VLOOKUP(FU1600,FD:FL,9,0)</f>
        <v/>
      </c>
    </row>
    <row r="1601">
      <c r="FC1601" t="inlineStr">
        <is>
          <t>Diccionario 2</t>
        </is>
      </c>
      <c r="FD1601" s="15" t="inlineStr">
        <is>
          <t>VLSK-44</t>
        </is>
      </c>
      <c r="FE1601" s="17" t="inlineStr">
        <is>
          <t>LDYECS317S0045779</t>
        </is>
      </c>
      <c r="FF1601" s="18" t="inlineStr">
        <is>
          <t>MDN35025030160</t>
        </is>
      </c>
      <c r="FG1601" s="18" t="inlineStr">
        <is>
          <t>Zhong Thong</t>
        </is>
      </c>
      <c r="FH1601" s="18" t="inlineStr">
        <is>
          <t>Lck6122evg</t>
        </is>
      </c>
      <c r="FI1601" s="18" t="inlineStr">
        <is>
          <t>Zhong Thong</t>
        </is>
      </c>
      <c r="FJ1601" s="18" t="inlineStr">
        <is>
          <t>Lck6122evg</t>
        </is>
      </c>
      <c r="FK1601" s="18" t="n">
        <v>2026</v>
      </c>
      <c r="FL1601" s="18" t="inlineStr">
        <is>
          <t>B</t>
        </is>
      </c>
      <c r="FM1601" s="18" t="inlineStr">
        <is>
          <t>Las Acacias</t>
        </is>
      </c>
      <c r="FP1601" t="inlineStr">
        <is>
          <t>B</t>
        </is>
      </c>
      <c r="FS1601" s="14" t="inlineStr">
        <is>
          <t>3037 / SFWB-87|</t>
        </is>
      </c>
      <c r="FT1601" t="inlineStr">
        <is>
          <t>SFWB-87|</t>
        </is>
      </c>
      <c r="FU1601" t="inlineStr">
        <is>
          <t>SFWB-87</t>
        </is>
      </c>
      <c r="FV1601">
        <f>VLOOKUP(FU1601,FD:FL,9,0)</f>
        <v/>
      </c>
    </row>
    <row r="1602">
      <c r="FC1602" t="inlineStr">
        <is>
          <t>Diccionario 2</t>
        </is>
      </c>
      <c r="FD1602" s="15" t="inlineStr">
        <is>
          <t>VLSK-46</t>
        </is>
      </c>
      <c r="FE1602" s="17" t="inlineStr">
        <is>
          <t>LDYECS311S0045809</t>
        </is>
      </c>
      <c r="FF1602" s="18" t="inlineStr">
        <is>
          <t>MDN35025030257</t>
        </is>
      </c>
      <c r="FG1602" s="18" t="inlineStr">
        <is>
          <t>Zhong Thong</t>
        </is>
      </c>
      <c r="FH1602" s="18" t="inlineStr">
        <is>
          <t>Lck6122evg</t>
        </is>
      </c>
      <c r="FI1602" s="18" t="inlineStr">
        <is>
          <t>Zhong Thong</t>
        </is>
      </c>
      <c r="FJ1602" s="18" t="inlineStr">
        <is>
          <t>Lck6122evg</t>
        </is>
      </c>
      <c r="FK1602" s="18" t="n">
        <v>2026</v>
      </c>
      <c r="FL1602" s="18" t="inlineStr">
        <is>
          <t>B</t>
        </is>
      </c>
      <c r="FM1602" s="18" t="inlineStr">
        <is>
          <t>Las Acacias</t>
        </is>
      </c>
      <c r="FP1602" t="inlineStr">
        <is>
          <t>B</t>
        </is>
      </c>
      <c r="FS1602" s="14" t="inlineStr">
        <is>
          <t>3041 / SFVZ-49|</t>
        </is>
      </c>
      <c r="FT1602" t="inlineStr">
        <is>
          <t>SFVZ-49|</t>
        </is>
      </c>
      <c r="FU1602" t="inlineStr">
        <is>
          <t>SFVZ-49</t>
        </is>
      </c>
      <c r="FV1602">
        <f>VLOOKUP(FU1602,FD:FL,9,0)</f>
        <v/>
      </c>
    </row>
    <row r="1603">
      <c r="FC1603" t="inlineStr">
        <is>
          <t>Diccionario 2</t>
        </is>
      </c>
      <c r="FD1603" s="15" t="inlineStr">
        <is>
          <t>VLSK-53</t>
        </is>
      </c>
      <c r="FE1603" s="17" t="inlineStr">
        <is>
          <t>LDYECS314S0045724</t>
        </is>
      </c>
      <c r="FF1603" s="18" t="inlineStr">
        <is>
          <t>MDN35025030060</t>
        </is>
      </c>
      <c r="FG1603" s="18" t="inlineStr">
        <is>
          <t>Zhong Thong</t>
        </is>
      </c>
      <c r="FH1603" s="18" t="inlineStr">
        <is>
          <t>Lck6122evg</t>
        </is>
      </c>
      <c r="FI1603" s="18" t="inlineStr">
        <is>
          <t>Zhong Thong</t>
        </is>
      </c>
      <c r="FJ1603" s="18" t="inlineStr">
        <is>
          <t>Lck6122evg</t>
        </is>
      </c>
      <c r="FK1603" s="18" t="n">
        <v>2026</v>
      </c>
      <c r="FL1603" s="18" t="inlineStr">
        <is>
          <t>B</t>
        </is>
      </c>
      <c r="FM1603" s="18" t="inlineStr">
        <is>
          <t>Las Acacias</t>
        </is>
      </c>
      <c r="FP1603" t="inlineStr">
        <is>
          <t>B</t>
        </is>
      </c>
      <c r="FS1603" s="14" t="inlineStr">
        <is>
          <t>3012 / SFWB-72|</t>
        </is>
      </c>
      <c r="FT1603" t="inlineStr">
        <is>
          <t>SFWB-72|</t>
        </is>
      </c>
      <c r="FU1603" t="inlineStr">
        <is>
          <t>SFWB-72</t>
        </is>
      </c>
      <c r="FV1603">
        <f>VLOOKUP(FU1603,FD:FL,9,0)</f>
        <v/>
      </c>
    </row>
    <row r="1604">
      <c r="FC1604" t="inlineStr">
        <is>
          <t>Diccionario 2</t>
        </is>
      </c>
      <c r="FD1604" s="15" t="inlineStr">
        <is>
          <t>VLSK-64</t>
        </is>
      </c>
      <c r="FE1604" s="17" t="inlineStr">
        <is>
          <t>LDYECS318S0045810</t>
        </is>
      </c>
      <c r="FF1604" s="18" t="inlineStr">
        <is>
          <t>MDN35025030195</t>
        </is>
      </c>
      <c r="FG1604" s="18" t="inlineStr">
        <is>
          <t>Zhong Thong</t>
        </is>
      </c>
      <c r="FH1604" s="18" t="inlineStr">
        <is>
          <t>Lck6122evg</t>
        </is>
      </c>
      <c r="FI1604" s="18" t="inlineStr">
        <is>
          <t>Zhong Thong</t>
        </is>
      </c>
      <c r="FJ1604" s="18" t="inlineStr">
        <is>
          <t>Lck6122evg</t>
        </is>
      </c>
      <c r="FK1604" s="18" t="n">
        <v>2026</v>
      </c>
      <c r="FL1604" s="18" t="inlineStr">
        <is>
          <t>B</t>
        </is>
      </c>
      <c r="FM1604" s="18" t="inlineStr">
        <is>
          <t>Las Acacias</t>
        </is>
      </c>
      <c r="FP1604" t="inlineStr">
        <is>
          <t>B</t>
        </is>
      </c>
      <c r="FS1604" s="14" t="inlineStr">
        <is>
          <t>3005 / SFWZ-39|</t>
        </is>
      </c>
      <c r="FT1604" t="inlineStr">
        <is>
          <t>SFWZ-39|</t>
        </is>
      </c>
      <c r="FU1604" t="inlineStr">
        <is>
          <t>SFWZ-39</t>
        </is>
      </c>
      <c r="FV1604">
        <f>VLOOKUP(FU1604,FD:FL,9,0)</f>
        <v/>
      </c>
    </row>
    <row r="1605">
      <c r="FC1605" t="inlineStr">
        <is>
          <t>Diccionario 2</t>
        </is>
      </c>
      <c r="FD1605" s="15" t="inlineStr">
        <is>
          <t>VLSK-70</t>
        </is>
      </c>
      <c r="FE1605" s="17" t="inlineStr">
        <is>
          <t>LDYECS31XS0045727</t>
        </is>
      </c>
      <c r="FF1605" s="18" t="inlineStr">
        <is>
          <t>MDN35025030224</t>
        </is>
      </c>
      <c r="FG1605" s="18" t="inlineStr">
        <is>
          <t>Zhong Thong</t>
        </is>
      </c>
      <c r="FH1605" s="18" t="inlineStr">
        <is>
          <t>Lck6122evg</t>
        </is>
      </c>
      <c r="FI1605" s="18" t="inlineStr">
        <is>
          <t>Zhong Thong</t>
        </is>
      </c>
      <c r="FJ1605" s="18" t="inlineStr">
        <is>
          <t>Lck6122evg</t>
        </is>
      </c>
      <c r="FK1605" s="18" t="n">
        <v>2026</v>
      </c>
      <c r="FL1605" s="18" t="inlineStr">
        <is>
          <t>B</t>
        </is>
      </c>
      <c r="FM1605" s="18" t="inlineStr">
        <is>
          <t>Las Acacias</t>
        </is>
      </c>
      <c r="FP1605" t="inlineStr">
        <is>
          <t>B</t>
        </is>
      </c>
      <c r="FS1605" s="14" t="inlineStr">
        <is>
          <t>3049 / SFWZ-13|</t>
        </is>
      </c>
      <c r="FT1605" t="inlineStr">
        <is>
          <t>SFWZ-13|</t>
        </is>
      </c>
      <c r="FU1605" t="inlineStr">
        <is>
          <t>SFWZ-13</t>
        </is>
      </c>
      <c r="FV1605">
        <f>VLOOKUP(FU1605,FD:FL,9,0)</f>
        <v/>
      </c>
    </row>
    <row r="1606">
      <c r="FC1606" t="inlineStr">
        <is>
          <t>Diccionario 2</t>
        </is>
      </c>
      <c r="FD1606" s="15" t="inlineStr">
        <is>
          <t>VLSK-77</t>
        </is>
      </c>
      <c r="FE1606" s="17" t="inlineStr">
        <is>
          <t>LDYECS31XS0045811</t>
        </is>
      </c>
      <c r="FF1606" s="18" t="inlineStr">
        <is>
          <t>MDN35025030077</t>
        </is>
      </c>
      <c r="FG1606" s="18" t="inlineStr">
        <is>
          <t>Zhong Thong</t>
        </is>
      </c>
      <c r="FH1606" s="18" t="inlineStr">
        <is>
          <t>Lck6122evg</t>
        </is>
      </c>
      <c r="FI1606" s="18" t="inlineStr">
        <is>
          <t>Zhong Thong</t>
        </is>
      </c>
      <c r="FJ1606" s="18" t="inlineStr">
        <is>
          <t>Lck6122evg</t>
        </is>
      </c>
      <c r="FK1606" s="18" t="n">
        <v>2026</v>
      </c>
      <c r="FL1606" s="18" t="inlineStr">
        <is>
          <t>B</t>
        </is>
      </c>
      <c r="FM1606" s="18" t="inlineStr">
        <is>
          <t>Las Acacias</t>
        </is>
      </c>
      <c r="FP1606" t="inlineStr">
        <is>
          <t>B</t>
        </is>
      </c>
      <c r="FS1606" s="14" t="inlineStr">
        <is>
          <t>3089 / SFWZ-73|</t>
        </is>
      </c>
      <c r="FT1606" t="inlineStr">
        <is>
          <t>SFWZ-73|</t>
        </is>
      </c>
      <c r="FU1606" t="inlineStr">
        <is>
          <t>SFWZ-73</t>
        </is>
      </c>
      <c r="FV1606">
        <f>VLOOKUP(FU1606,FD:FL,9,0)</f>
        <v/>
      </c>
    </row>
    <row r="1607">
      <c r="FC1607" t="inlineStr">
        <is>
          <t>Diccionario 2</t>
        </is>
      </c>
      <c r="FD1607" s="15" t="inlineStr">
        <is>
          <t>VLSK-86</t>
        </is>
      </c>
      <c r="FE1607" s="17" t="inlineStr">
        <is>
          <t>LDYECS314S0045819</t>
        </is>
      </c>
      <c r="FF1607" s="18" t="inlineStr">
        <is>
          <t>MDN35025030081</t>
        </is>
      </c>
      <c r="FG1607" s="18" t="inlineStr">
        <is>
          <t>Zhong Thong</t>
        </is>
      </c>
      <c r="FH1607" s="18" t="inlineStr">
        <is>
          <t>Lck6122evg</t>
        </is>
      </c>
      <c r="FI1607" s="18" t="inlineStr">
        <is>
          <t>Zhong Thong</t>
        </is>
      </c>
      <c r="FJ1607" s="18" t="inlineStr">
        <is>
          <t>Lck6122evg</t>
        </is>
      </c>
      <c r="FK1607" s="18" t="n">
        <v>2026</v>
      </c>
      <c r="FL1607" s="18" t="inlineStr">
        <is>
          <t>B</t>
        </is>
      </c>
      <c r="FM1607" s="18" t="inlineStr">
        <is>
          <t>Las Acacias</t>
        </is>
      </c>
      <c r="FP1607" t="inlineStr">
        <is>
          <t>B</t>
        </is>
      </c>
      <c r="FS1607" s="14" t="inlineStr">
        <is>
          <t>3105 / SFWZ-54|</t>
        </is>
      </c>
      <c r="FT1607" t="inlineStr">
        <is>
          <t>SFWZ-54|</t>
        </is>
      </c>
      <c r="FU1607" t="inlineStr">
        <is>
          <t>SFWZ-54</t>
        </is>
      </c>
      <c r="FV1607">
        <f>VLOOKUP(FU1607,FD:FL,9,0)</f>
        <v/>
      </c>
    </row>
    <row r="1608">
      <c r="FC1608" t="inlineStr">
        <is>
          <t>Diccionario 2</t>
        </is>
      </c>
      <c r="FD1608" s="15" t="inlineStr">
        <is>
          <t>VLSK-93</t>
        </is>
      </c>
      <c r="FE1608" s="17" t="inlineStr">
        <is>
          <t>LDYECS311S0045728</t>
        </is>
      </c>
      <c r="FF1608" s="18" t="inlineStr">
        <is>
          <t>MDN35025030126</t>
        </is>
      </c>
      <c r="FG1608" s="18" t="inlineStr">
        <is>
          <t>Zhong Thong</t>
        </is>
      </c>
      <c r="FH1608" s="18" t="inlineStr">
        <is>
          <t>Lck6122evg</t>
        </is>
      </c>
      <c r="FI1608" s="18" t="inlineStr">
        <is>
          <t>Zhong Thong</t>
        </is>
      </c>
      <c r="FJ1608" s="18" t="inlineStr">
        <is>
          <t>Lck6122evg</t>
        </is>
      </c>
      <c r="FK1608" s="18" t="n">
        <v>2026</v>
      </c>
      <c r="FL1608" s="18" t="inlineStr">
        <is>
          <t>B</t>
        </is>
      </c>
      <c r="FM1608" s="18" t="inlineStr">
        <is>
          <t>Las Acacias</t>
        </is>
      </c>
      <c r="FP1608" t="inlineStr">
        <is>
          <t>B</t>
        </is>
      </c>
      <c r="FS1608" s="14" t="inlineStr">
        <is>
          <t>3021 / SFWZ-36|</t>
        </is>
      </c>
      <c r="FT1608" t="inlineStr">
        <is>
          <t>SFWZ-36|</t>
        </is>
      </c>
      <c r="FU1608" t="inlineStr">
        <is>
          <t>SFWZ-36</t>
        </is>
      </c>
      <c r="FV1608">
        <f>VLOOKUP(FU1608,FD:FL,9,0)</f>
        <v/>
      </c>
    </row>
    <row r="1609">
      <c r="FC1609" t="inlineStr">
        <is>
          <t>Diccionario 2</t>
        </is>
      </c>
      <c r="FD1609" s="15" t="inlineStr">
        <is>
          <t>VLSK-95</t>
        </is>
      </c>
      <c r="FE1609" s="17" t="inlineStr">
        <is>
          <t>LDYECS316S0045840</t>
        </is>
      </c>
      <c r="FF1609" s="18" t="inlineStr">
        <is>
          <t>MDN35025030254</t>
        </is>
      </c>
      <c r="FG1609" s="18" t="inlineStr">
        <is>
          <t>Zhong Thong</t>
        </is>
      </c>
      <c r="FH1609" s="18" t="inlineStr">
        <is>
          <t>Lck6122evg</t>
        </is>
      </c>
      <c r="FI1609" s="18" t="inlineStr">
        <is>
          <t>Zhong Thong</t>
        </is>
      </c>
      <c r="FJ1609" s="18" t="inlineStr">
        <is>
          <t>Lck6122evg</t>
        </is>
      </c>
      <c r="FK1609" s="18" t="n">
        <v>2026</v>
      </c>
      <c r="FL1609" s="18" t="inlineStr">
        <is>
          <t>B</t>
        </is>
      </c>
      <c r="FM1609" s="18" t="inlineStr">
        <is>
          <t>Las Acacias</t>
        </is>
      </c>
      <c r="FP1609" t="inlineStr">
        <is>
          <t>B</t>
        </is>
      </c>
      <c r="FS1609" s="14" t="inlineStr">
        <is>
          <t>VJYJ-35|</t>
        </is>
      </c>
      <c r="FT1609" t="inlineStr">
        <is>
          <t>VJYJ-35|</t>
        </is>
      </c>
      <c r="FU1609" t="inlineStr">
        <is>
          <t>VJYJ-35</t>
        </is>
      </c>
      <c r="FV1609">
        <f>VLOOKUP(FU1609,FD:FL,9,0)</f>
        <v/>
      </c>
    </row>
    <row r="1610">
      <c r="FC1610" t="inlineStr">
        <is>
          <t>Diccionario 2</t>
        </is>
      </c>
      <c r="FD1610" s="15" t="inlineStr">
        <is>
          <t>VLSK-99</t>
        </is>
      </c>
      <c r="FE1610" s="17" t="inlineStr">
        <is>
          <t>LDYECS314S0045822</t>
        </is>
      </c>
      <c r="FF1610" s="18" t="inlineStr">
        <is>
          <t>MDN35025030089</t>
        </is>
      </c>
      <c r="FG1610" s="18" t="inlineStr">
        <is>
          <t>Zhong Thong</t>
        </is>
      </c>
      <c r="FH1610" s="18" t="inlineStr">
        <is>
          <t>Lck6122evg</t>
        </is>
      </c>
      <c r="FI1610" s="18" t="inlineStr">
        <is>
          <t>Zhong Thong</t>
        </is>
      </c>
      <c r="FJ1610" s="18" t="inlineStr">
        <is>
          <t>Lck6122evg</t>
        </is>
      </c>
      <c r="FK1610" s="18" t="n">
        <v>2026</v>
      </c>
      <c r="FL1610" s="18" t="inlineStr">
        <is>
          <t>B</t>
        </is>
      </c>
      <c r="FM1610" s="18" t="inlineStr">
        <is>
          <t>Las Acacias</t>
        </is>
      </c>
      <c r="FP1610" t="inlineStr">
        <is>
          <t>B</t>
        </is>
      </c>
      <c r="FS1610" s="14" t="inlineStr">
        <is>
          <t>3104 / SFWZ-52|</t>
        </is>
      </c>
      <c r="FT1610" t="inlineStr">
        <is>
          <t>SFWZ-52|</t>
        </is>
      </c>
      <c r="FU1610" t="inlineStr">
        <is>
          <t>SFWZ-52</t>
        </is>
      </c>
      <c r="FV1610">
        <f>VLOOKUP(FU1610,FD:FL,9,0)</f>
        <v/>
      </c>
    </row>
    <row r="1611">
      <c r="FC1611" t="inlineStr">
        <is>
          <t>Diccionario 2</t>
        </is>
      </c>
      <c r="FD1611" s="15" t="inlineStr">
        <is>
          <t>VLSL-10</t>
        </is>
      </c>
      <c r="FE1611" s="17" t="inlineStr">
        <is>
          <t>LDYECS315S0045828</t>
        </is>
      </c>
      <c r="FF1611" s="18" t="inlineStr">
        <is>
          <t>MDN35025030269</t>
        </is>
      </c>
      <c r="FG1611" s="18" t="inlineStr">
        <is>
          <t>Zhong Thong</t>
        </is>
      </c>
      <c r="FH1611" s="18" t="inlineStr">
        <is>
          <t>Lck6122evg</t>
        </is>
      </c>
      <c r="FI1611" s="18" t="inlineStr">
        <is>
          <t>Zhong Thong</t>
        </is>
      </c>
      <c r="FJ1611" s="18" t="inlineStr">
        <is>
          <t>Lck6122evg</t>
        </is>
      </c>
      <c r="FK1611" s="18" t="n">
        <v>2026</v>
      </c>
      <c r="FL1611" s="18" t="inlineStr">
        <is>
          <t>B</t>
        </is>
      </c>
      <c r="FM1611" s="18" t="inlineStr">
        <is>
          <t>Las Acacias</t>
        </is>
      </c>
      <c r="FP1611" t="inlineStr">
        <is>
          <t>B</t>
        </is>
      </c>
      <c r="FS1611" s="14" t="inlineStr">
        <is>
          <t>3074 / SFWZ-17|</t>
        </is>
      </c>
      <c r="FT1611" t="inlineStr">
        <is>
          <t>SFWZ-17|</t>
        </is>
      </c>
      <c r="FU1611" t="inlineStr">
        <is>
          <t>SFWZ-17</t>
        </is>
      </c>
      <c r="FV1611">
        <f>VLOOKUP(FU1611,FD:FL,9,0)</f>
        <v/>
      </c>
    </row>
    <row r="1612">
      <c r="FC1612" t="inlineStr">
        <is>
          <t>Diccionario 2</t>
        </is>
      </c>
      <c r="FD1612" s="15" t="inlineStr">
        <is>
          <t>VLSL-16</t>
        </is>
      </c>
      <c r="FE1612" s="17" t="inlineStr">
        <is>
          <t>LDYECS31XS0045825</t>
        </is>
      </c>
      <c r="FF1612" s="18" t="inlineStr">
        <is>
          <t>MDN35025030210</t>
        </is>
      </c>
      <c r="FG1612" s="18" t="inlineStr">
        <is>
          <t>Zhong Thong</t>
        </is>
      </c>
      <c r="FH1612" s="18" t="inlineStr">
        <is>
          <t>Lck6122evg</t>
        </is>
      </c>
      <c r="FI1612" s="18" t="inlineStr">
        <is>
          <t>Zhong Thong</t>
        </is>
      </c>
      <c r="FJ1612" s="18" t="inlineStr">
        <is>
          <t>Lck6122evg</t>
        </is>
      </c>
      <c r="FK1612" s="18" t="n">
        <v>2026</v>
      </c>
      <c r="FL1612" s="18" t="inlineStr">
        <is>
          <t>B</t>
        </is>
      </c>
      <c r="FM1612" s="18" t="inlineStr">
        <is>
          <t>Las Acacias</t>
        </is>
      </c>
      <c r="FP1612" t="inlineStr">
        <is>
          <t>B</t>
        </is>
      </c>
      <c r="FS1612" s="14" t="inlineStr">
        <is>
          <t>VJKF-46|</t>
        </is>
      </c>
      <c r="FT1612" t="inlineStr">
        <is>
          <t>VJKF-46|</t>
        </is>
      </c>
      <c r="FU1612" t="inlineStr">
        <is>
          <t>VJKF-46</t>
        </is>
      </c>
      <c r="FV1612">
        <f>VLOOKUP(FU1612,FD:FL,9,0)</f>
        <v/>
      </c>
    </row>
    <row r="1613">
      <c r="FC1613" t="inlineStr">
        <is>
          <t>Diccionario 2</t>
        </is>
      </c>
      <c r="FD1613" s="15" t="inlineStr">
        <is>
          <t>VLSL-25</t>
        </is>
      </c>
      <c r="FE1613" s="17" t="inlineStr">
        <is>
          <t>LDYECS317S0045734</t>
        </is>
      </c>
      <c r="FF1613" s="18" t="inlineStr">
        <is>
          <t>MDN35025030214</t>
        </is>
      </c>
      <c r="FG1613" s="18" t="inlineStr">
        <is>
          <t>Zhong Thong</t>
        </is>
      </c>
      <c r="FH1613" s="18" t="inlineStr">
        <is>
          <t>Lck6122evg</t>
        </is>
      </c>
      <c r="FI1613" s="18" t="inlineStr">
        <is>
          <t>Zhong Thong</t>
        </is>
      </c>
      <c r="FJ1613" s="18" t="inlineStr">
        <is>
          <t>Lck6122evg</t>
        </is>
      </c>
      <c r="FK1613" s="18" t="n">
        <v>2026</v>
      </c>
      <c r="FL1613" s="18" t="inlineStr">
        <is>
          <t>B</t>
        </is>
      </c>
      <c r="FM1613" s="18" t="inlineStr">
        <is>
          <t>Las Acacias</t>
        </is>
      </c>
      <c r="FP1613" t="inlineStr">
        <is>
          <t>B</t>
        </is>
      </c>
      <c r="FS1613" s="14" t="inlineStr">
        <is>
          <t>3012 / SFWB-72|</t>
        </is>
      </c>
      <c r="FT1613" t="inlineStr">
        <is>
          <t>SFWB-72|</t>
        </is>
      </c>
      <c r="FU1613" t="inlineStr">
        <is>
          <t>SFWB-72</t>
        </is>
      </c>
      <c r="FV1613">
        <f>VLOOKUP(FU1613,FD:FL,9,0)</f>
        <v/>
      </c>
    </row>
    <row r="1614">
      <c r="FC1614" t="inlineStr">
        <is>
          <t>Diccionario 2</t>
        </is>
      </c>
      <c r="FD1614" s="15" t="inlineStr">
        <is>
          <t>VLSS-34</t>
        </is>
      </c>
      <c r="FE1614" s="17" t="inlineStr">
        <is>
          <t>LDYECS311S0045731</t>
        </is>
      </c>
      <c r="FF1614" s="18" t="inlineStr">
        <is>
          <t>MDN35025030130</t>
        </is>
      </c>
      <c r="FG1614" s="18" t="inlineStr">
        <is>
          <t>Zhong Thong</t>
        </is>
      </c>
      <c r="FH1614" s="18" t="inlineStr">
        <is>
          <t>Lck6122evg</t>
        </is>
      </c>
      <c r="FI1614" s="18" t="inlineStr">
        <is>
          <t>Zhong Thong</t>
        </is>
      </c>
      <c r="FJ1614" s="18" t="inlineStr">
        <is>
          <t>Lck6122evg</t>
        </is>
      </c>
      <c r="FK1614" s="18" t="n">
        <v>2026</v>
      </c>
      <c r="FL1614" s="18" t="inlineStr">
        <is>
          <t>B</t>
        </is>
      </c>
      <c r="FM1614" s="18" t="inlineStr">
        <is>
          <t>Las Acacias</t>
        </is>
      </c>
      <c r="FP1614" t="inlineStr">
        <is>
          <t>B</t>
        </is>
      </c>
      <c r="FS1614" s="14" t="inlineStr">
        <is>
          <t>3041 / SFVZ-49|</t>
        </is>
      </c>
      <c r="FT1614" t="inlineStr">
        <is>
          <t>SFVZ-49|</t>
        </is>
      </c>
      <c r="FU1614" t="inlineStr">
        <is>
          <t>SFVZ-49</t>
        </is>
      </c>
      <c r="FV1614">
        <f>VLOOKUP(FU1614,FD:FL,9,0)</f>
        <v/>
      </c>
    </row>
    <row r="1615">
      <c r="FC1615" t="inlineStr">
        <is>
          <t>Diccionario 2</t>
        </is>
      </c>
      <c r="FD1615" s="15" t="inlineStr">
        <is>
          <t>VLSS-37</t>
        </is>
      </c>
      <c r="FE1615" s="17" t="inlineStr">
        <is>
          <t>LDYECS312S0045835</t>
        </is>
      </c>
      <c r="FF1615" s="18" t="inlineStr">
        <is>
          <t>MDN35025030316</t>
        </is>
      </c>
      <c r="FG1615" s="18" t="inlineStr">
        <is>
          <t>Zhong Thong</t>
        </is>
      </c>
      <c r="FH1615" s="18" t="inlineStr">
        <is>
          <t>Lck6122evg</t>
        </is>
      </c>
      <c r="FI1615" s="18" t="inlineStr">
        <is>
          <t>Zhong Thong</t>
        </is>
      </c>
      <c r="FJ1615" s="18" t="inlineStr">
        <is>
          <t>Lck6122evg</t>
        </is>
      </c>
      <c r="FK1615" s="18" t="n">
        <v>2026</v>
      </c>
      <c r="FL1615" s="18" t="inlineStr">
        <is>
          <t>B</t>
        </is>
      </c>
      <c r="FM1615" s="18" t="inlineStr">
        <is>
          <t>Las Acacias</t>
        </is>
      </c>
      <c r="FP1615" t="inlineStr">
        <is>
          <t>B</t>
        </is>
      </c>
      <c r="FS1615" s="14" t="inlineStr">
        <is>
          <t>3006 / SFVZ-94|</t>
        </is>
      </c>
      <c r="FT1615" t="inlineStr">
        <is>
          <t>SFVZ-94|</t>
        </is>
      </c>
      <c r="FU1615" t="inlineStr">
        <is>
          <t>SFVZ-94</t>
        </is>
      </c>
      <c r="FV1615">
        <f>VLOOKUP(FU1615,FD:FL,9,0)</f>
        <v/>
      </c>
    </row>
    <row r="1616">
      <c r="FC1616" t="inlineStr">
        <is>
          <t>Diccionario 2</t>
        </is>
      </c>
      <c r="FD1616" s="15" t="inlineStr">
        <is>
          <t>VLSS-45</t>
        </is>
      </c>
      <c r="FE1616" s="17" t="inlineStr">
        <is>
          <t>LDYECS314S0045738</t>
        </is>
      </c>
      <c r="FF1616" s="18" t="inlineStr">
        <is>
          <t>MDN35025030247</t>
        </is>
      </c>
      <c r="FG1616" s="18" t="inlineStr">
        <is>
          <t>Zhong Thong</t>
        </is>
      </c>
      <c r="FH1616" s="18" t="inlineStr">
        <is>
          <t>Lck6122evg</t>
        </is>
      </c>
      <c r="FI1616" s="18" t="inlineStr">
        <is>
          <t>Zhong Thong</t>
        </is>
      </c>
      <c r="FJ1616" s="18" t="inlineStr">
        <is>
          <t>Lck6122evg</t>
        </is>
      </c>
      <c r="FK1616" s="18" t="n">
        <v>2026</v>
      </c>
      <c r="FL1616" s="18" t="inlineStr">
        <is>
          <t>B</t>
        </is>
      </c>
      <c r="FM1616" s="18" t="inlineStr">
        <is>
          <t>Las Acacias</t>
        </is>
      </c>
      <c r="FP1616" t="inlineStr">
        <is>
          <t>B</t>
        </is>
      </c>
      <c r="FS1616" s="14" t="inlineStr">
        <is>
          <t>3004 / SFWZ-31|</t>
        </is>
      </c>
      <c r="FT1616" t="inlineStr">
        <is>
          <t>SFWZ-31|</t>
        </is>
      </c>
      <c r="FU1616" t="inlineStr">
        <is>
          <t>SFWZ-31</t>
        </is>
      </c>
      <c r="FV1616">
        <f>VLOOKUP(FU1616,FD:FL,9,0)</f>
        <v/>
      </c>
    </row>
    <row r="1617">
      <c r="FC1617" t="inlineStr">
        <is>
          <t>Diccionario 2</t>
        </is>
      </c>
      <c r="FD1617" s="15" t="inlineStr">
        <is>
          <t>VLSS-69</t>
        </is>
      </c>
      <c r="FE1617" s="17" t="inlineStr">
        <is>
          <t>LDYECS318S0045824</t>
        </is>
      </c>
      <c r="FF1617" s="18" t="inlineStr">
        <is>
          <t>MDN35025030189</t>
        </is>
      </c>
      <c r="FG1617" s="18" t="inlineStr">
        <is>
          <t>Zhong Thong</t>
        </is>
      </c>
      <c r="FH1617" s="18" t="inlineStr">
        <is>
          <t>Lck6122evg</t>
        </is>
      </c>
      <c r="FI1617" s="18" t="inlineStr">
        <is>
          <t>Zhong Thong</t>
        </is>
      </c>
      <c r="FJ1617" s="18" t="inlineStr">
        <is>
          <t>Lck6122evg</t>
        </is>
      </c>
      <c r="FK1617" s="18" t="n">
        <v>2026</v>
      </c>
      <c r="FL1617" s="18" t="inlineStr">
        <is>
          <t>B</t>
        </is>
      </c>
      <c r="FM1617" s="18" t="inlineStr">
        <is>
          <t>Las Acacias</t>
        </is>
      </c>
      <c r="FP1617" t="inlineStr">
        <is>
          <t>B</t>
        </is>
      </c>
      <c r="FS1617" s="14" t="inlineStr">
        <is>
          <t>3097 / SFWZ-77|</t>
        </is>
      </c>
      <c r="FT1617" t="inlineStr">
        <is>
          <t>SFWZ-77|</t>
        </is>
      </c>
      <c r="FU1617" t="inlineStr">
        <is>
          <t>SFWZ-77</t>
        </is>
      </c>
      <c r="FV1617">
        <f>VLOOKUP(FU1617,FD:FL,9,0)</f>
        <v/>
      </c>
    </row>
    <row r="1618">
      <c r="FC1618" t="inlineStr">
        <is>
          <t>Diccionario 2</t>
        </is>
      </c>
      <c r="FD1618" s="15" t="inlineStr">
        <is>
          <t>VLSS-88</t>
        </is>
      </c>
      <c r="FE1618" s="17" t="inlineStr">
        <is>
          <t>LDYECS310S0045851</t>
        </is>
      </c>
      <c r="FF1618" s="18" t="inlineStr">
        <is>
          <t>MDN35025030193</t>
        </is>
      </c>
      <c r="FG1618" s="18" t="inlineStr">
        <is>
          <t>Zhong Thong</t>
        </is>
      </c>
      <c r="FH1618" s="18" t="inlineStr">
        <is>
          <t>Lck6122evg</t>
        </is>
      </c>
      <c r="FI1618" s="18" t="inlineStr">
        <is>
          <t>Zhong Thong</t>
        </is>
      </c>
      <c r="FJ1618" s="18" t="inlineStr">
        <is>
          <t>Lck6122evg</t>
        </is>
      </c>
      <c r="FK1618" s="18" t="n">
        <v>2026</v>
      </c>
      <c r="FL1618" s="18" t="inlineStr">
        <is>
          <t>B</t>
        </is>
      </c>
      <c r="FM1618" s="18" t="inlineStr">
        <is>
          <t>Las Acacias</t>
        </is>
      </c>
      <c r="FP1618" t="inlineStr">
        <is>
          <t>B</t>
        </is>
      </c>
      <c r="FS1618" s="14" t="inlineStr">
        <is>
          <t>3065 / SFVZ-40|</t>
        </is>
      </c>
      <c r="FT1618" t="inlineStr">
        <is>
          <t>SFVZ-40|</t>
        </is>
      </c>
      <c r="FU1618" t="inlineStr">
        <is>
          <t>SFVZ-40</t>
        </is>
      </c>
      <c r="FV1618">
        <f>VLOOKUP(FU1618,FD:FL,9,0)</f>
        <v/>
      </c>
    </row>
    <row r="1619">
      <c r="FC1619" t="inlineStr">
        <is>
          <t>Diccionario 2</t>
        </is>
      </c>
      <c r="FD1619" s="15" t="inlineStr">
        <is>
          <t>VLST-15</t>
        </is>
      </c>
      <c r="FE1619" s="17" t="inlineStr">
        <is>
          <t>LDYECS319S0045850</t>
        </is>
      </c>
      <c r="FF1619" s="18" t="inlineStr">
        <is>
          <t>MDN35025030244</t>
        </is>
      </c>
      <c r="FG1619" s="18" t="inlineStr">
        <is>
          <t>Zhong Thong</t>
        </is>
      </c>
      <c r="FH1619" s="18" t="inlineStr">
        <is>
          <t>Lck6122evg</t>
        </is>
      </c>
      <c r="FI1619" s="18" t="inlineStr">
        <is>
          <t>Zhong Thong</t>
        </is>
      </c>
      <c r="FJ1619" s="18" t="inlineStr">
        <is>
          <t>Lck6122evg</t>
        </is>
      </c>
      <c r="FK1619" s="18" t="n">
        <v>2026</v>
      </c>
      <c r="FL1619" s="18" t="inlineStr">
        <is>
          <t>B</t>
        </is>
      </c>
      <c r="FM1619" s="18" t="inlineStr">
        <is>
          <t>Las Acacias</t>
        </is>
      </c>
      <c r="FP1619" t="inlineStr">
        <is>
          <t>B</t>
        </is>
      </c>
      <c r="FS1619" s="14" t="inlineStr">
        <is>
          <t>VJKF-44|</t>
        </is>
      </c>
      <c r="FT1619" t="inlineStr">
        <is>
          <t>VJKF-44|</t>
        </is>
      </c>
      <c r="FU1619" t="inlineStr">
        <is>
          <t>VJKF-44</t>
        </is>
      </c>
      <c r="FV1619">
        <f>VLOOKUP(FU1619,FD:FL,9,0)</f>
        <v/>
      </c>
    </row>
    <row r="1620">
      <c r="FC1620" t="inlineStr">
        <is>
          <t>Diccionario 2</t>
        </is>
      </c>
      <c r="FD1620" s="15" t="inlineStr">
        <is>
          <t>VLST-23</t>
        </is>
      </c>
      <c r="FE1620" s="17" t="inlineStr">
        <is>
          <t>LDYECS318S0045841</t>
        </is>
      </c>
      <c r="FF1620" s="18" t="inlineStr">
        <is>
          <t>MDN35025030300</t>
        </is>
      </c>
      <c r="FG1620" s="18" t="inlineStr">
        <is>
          <t>Zhong Thong</t>
        </is>
      </c>
      <c r="FH1620" s="18" t="inlineStr">
        <is>
          <t>Lck6122evg</t>
        </is>
      </c>
      <c r="FI1620" s="18" t="inlineStr">
        <is>
          <t>Zhong Thong</t>
        </is>
      </c>
      <c r="FJ1620" s="18" t="inlineStr">
        <is>
          <t>Lck6122evg</t>
        </is>
      </c>
      <c r="FK1620" s="18" t="n">
        <v>2026</v>
      </c>
      <c r="FL1620" s="18" t="inlineStr">
        <is>
          <t>B</t>
        </is>
      </c>
      <c r="FM1620" s="18" t="inlineStr">
        <is>
          <t>Las Acacias</t>
        </is>
      </c>
      <c r="FP1620" t="inlineStr">
        <is>
          <t>B</t>
        </is>
      </c>
      <c r="FS1620" s="14" t="inlineStr">
        <is>
          <t>3037 / SFWB-87|</t>
        </is>
      </c>
      <c r="FT1620" t="inlineStr">
        <is>
          <t>SFWB-87|</t>
        </is>
      </c>
      <c r="FU1620" t="inlineStr">
        <is>
          <t>SFWB-87</t>
        </is>
      </c>
      <c r="FV1620">
        <f>VLOOKUP(FU1620,FD:FL,9,0)</f>
        <v/>
      </c>
    </row>
    <row r="1621">
      <c r="FC1621" t="inlineStr">
        <is>
          <t>Diccionario 2</t>
        </is>
      </c>
      <c r="FD1621" s="15" t="inlineStr">
        <is>
          <t>VLST-92</t>
        </is>
      </c>
      <c r="FE1621" s="17" t="inlineStr">
        <is>
          <t>LDYECS318S0045838</t>
        </is>
      </c>
      <c r="FF1621" s="18" t="inlineStr">
        <is>
          <t>MDN35025030084</t>
        </is>
      </c>
      <c r="FG1621" s="18" t="inlineStr">
        <is>
          <t>Zhong Thong</t>
        </is>
      </c>
      <c r="FH1621" s="18" t="inlineStr">
        <is>
          <t>Lck6122evg</t>
        </is>
      </c>
      <c r="FI1621" s="18" t="inlineStr">
        <is>
          <t>Zhong Thong</t>
        </is>
      </c>
      <c r="FJ1621" s="18" t="inlineStr">
        <is>
          <t>Lck6122evg</t>
        </is>
      </c>
      <c r="FK1621" s="18" t="n">
        <v>2026</v>
      </c>
      <c r="FL1621" s="18" t="inlineStr">
        <is>
          <t>B</t>
        </is>
      </c>
      <c r="FM1621" s="18" t="inlineStr">
        <is>
          <t>Las Acacias</t>
        </is>
      </c>
      <c r="FP1621" t="inlineStr">
        <is>
          <t>B</t>
        </is>
      </c>
      <c r="FS1621" s="14" t="inlineStr">
        <is>
          <t>3032 / SFWZ-34|</t>
        </is>
      </c>
      <c r="FT1621" t="inlineStr">
        <is>
          <t>SFWZ-34|</t>
        </is>
      </c>
      <c r="FU1621" t="inlineStr">
        <is>
          <t>SFWZ-34</t>
        </is>
      </c>
      <c r="FV1621">
        <f>VLOOKUP(FU1621,FD:FL,9,0)</f>
        <v/>
      </c>
    </row>
    <row r="1622">
      <c r="FC1622" t="inlineStr">
        <is>
          <t>Diccionario 2</t>
        </is>
      </c>
      <c r="FD1622" s="15" t="inlineStr">
        <is>
          <t>VLSV-15</t>
        </is>
      </c>
      <c r="FE1622" s="17" t="inlineStr">
        <is>
          <t>LDYECS31XS0045744</t>
        </is>
      </c>
      <c r="FF1622" s="18" t="inlineStr">
        <is>
          <t>MDN35025030099</t>
        </is>
      </c>
      <c r="FG1622" s="18" t="inlineStr">
        <is>
          <t>Zhong Thong</t>
        </is>
      </c>
      <c r="FH1622" s="18" t="inlineStr">
        <is>
          <t>Lck6122evg</t>
        </is>
      </c>
      <c r="FI1622" s="18" t="inlineStr">
        <is>
          <t>Zhong Thong</t>
        </is>
      </c>
      <c r="FJ1622" s="18" t="inlineStr">
        <is>
          <t>Lck6122evg</t>
        </is>
      </c>
      <c r="FK1622" s="18" t="n">
        <v>2026</v>
      </c>
      <c r="FL1622" s="18" t="inlineStr">
        <is>
          <t>B</t>
        </is>
      </c>
      <c r="FM1622" s="18" t="inlineStr">
        <is>
          <t>Las Acacias</t>
        </is>
      </c>
      <c r="FP1622" t="inlineStr">
        <is>
          <t>B</t>
        </is>
      </c>
      <c r="FS1622" s="14" t="inlineStr">
        <is>
          <t>3088 / SFWZ-81|</t>
        </is>
      </c>
      <c r="FT1622" t="inlineStr">
        <is>
          <t>SFWZ-81|</t>
        </is>
      </c>
      <c r="FU1622" t="inlineStr">
        <is>
          <t>SFWZ-81</t>
        </is>
      </c>
      <c r="FV1622">
        <f>VLOOKUP(FU1622,FD:FL,9,0)</f>
        <v/>
      </c>
    </row>
    <row r="1623">
      <c r="FC1623" t="inlineStr">
        <is>
          <t>Diccionario 2</t>
        </is>
      </c>
      <c r="FD1623" s="15" t="inlineStr">
        <is>
          <t>VLSV-32</t>
        </is>
      </c>
      <c r="FE1623" s="17" t="inlineStr">
        <is>
          <t>LDYECS311S0045843</t>
        </is>
      </c>
      <c r="FF1623" s="18" t="inlineStr">
        <is>
          <t>MDN35025030281</t>
        </is>
      </c>
      <c r="FG1623" s="18" t="inlineStr">
        <is>
          <t>Zhong Thong</t>
        </is>
      </c>
      <c r="FH1623" s="18" t="inlineStr">
        <is>
          <t>Lck6122evg</t>
        </is>
      </c>
      <c r="FI1623" s="18" t="inlineStr">
        <is>
          <t>Zhong Thong</t>
        </is>
      </c>
      <c r="FJ1623" s="18" t="inlineStr">
        <is>
          <t>Lck6122evg</t>
        </is>
      </c>
      <c r="FK1623" s="18" t="n">
        <v>2026</v>
      </c>
      <c r="FL1623" s="18" t="inlineStr">
        <is>
          <t>B</t>
        </is>
      </c>
      <c r="FM1623" s="18" t="inlineStr">
        <is>
          <t>Las Acacias</t>
        </is>
      </c>
      <c r="FP1623" t="inlineStr">
        <is>
          <t>B</t>
        </is>
      </c>
      <c r="FS1623" s="14" t="inlineStr">
        <is>
          <t>3089 / SFWZ-73|</t>
        </is>
      </c>
      <c r="FT1623" t="inlineStr">
        <is>
          <t>SFWZ-73|</t>
        </is>
      </c>
      <c r="FU1623" t="inlineStr">
        <is>
          <t>SFWZ-73</t>
        </is>
      </c>
      <c r="FV1623">
        <f>VLOOKUP(FU1623,FD:FL,9,0)</f>
        <v/>
      </c>
    </row>
    <row r="1624">
      <c r="FC1624" t="inlineStr">
        <is>
          <t>Diccionario 2</t>
        </is>
      </c>
      <c r="FD1624" s="15" t="inlineStr">
        <is>
          <t>VLSW-32</t>
        </is>
      </c>
      <c r="FE1624" s="17" t="inlineStr">
        <is>
          <t>LDYECS31XS0045887</t>
        </is>
      </c>
      <c r="FF1624" s="18" t="inlineStr">
        <is>
          <t>MDN35025010014</t>
        </is>
      </c>
      <c r="FG1624" s="18" t="inlineStr">
        <is>
          <t>Zhong Thong</t>
        </is>
      </c>
      <c r="FH1624" s="18" t="inlineStr">
        <is>
          <t>Lck6122evg</t>
        </is>
      </c>
      <c r="FI1624" s="18" t="inlineStr">
        <is>
          <t>Zhong Thong</t>
        </is>
      </c>
      <c r="FJ1624" s="18" t="inlineStr">
        <is>
          <t>Lck6122evg</t>
        </is>
      </c>
      <c r="FK1624" s="18" t="n">
        <v>2026</v>
      </c>
      <c r="FL1624" s="18" t="inlineStr">
        <is>
          <t>B</t>
        </is>
      </c>
      <c r="FM1624" s="18" t="inlineStr">
        <is>
          <t>Las Acacias</t>
        </is>
      </c>
      <c r="FP1624" t="inlineStr">
        <is>
          <t>B</t>
        </is>
      </c>
      <c r="FS1624" s="14" t="inlineStr">
        <is>
          <t>3072 / SFWB-89|</t>
        </is>
      </c>
      <c r="FT1624" t="inlineStr">
        <is>
          <t>SFWB-89|</t>
        </is>
      </c>
      <c r="FU1624" t="inlineStr">
        <is>
          <t>SFWB-89</t>
        </is>
      </c>
      <c r="FV1624">
        <f>VLOOKUP(FU1624,FD:FL,9,0)</f>
        <v/>
      </c>
    </row>
    <row r="1625">
      <c r="FC1625" t="inlineStr">
        <is>
          <t>Diccionario 2</t>
        </is>
      </c>
      <c r="FD1625" s="15" t="inlineStr">
        <is>
          <t>VLSY-93</t>
        </is>
      </c>
      <c r="FE1625" s="17" t="inlineStr">
        <is>
          <t>LDYECS314S0045755</t>
        </is>
      </c>
      <c r="FF1625" s="18" t="inlineStr">
        <is>
          <t>MDN35025030243</t>
        </is>
      </c>
      <c r="FG1625" s="18" t="inlineStr">
        <is>
          <t>Zhong Thong</t>
        </is>
      </c>
      <c r="FH1625" s="18" t="inlineStr">
        <is>
          <t>Lck6122evg</t>
        </is>
      </c>
      <c r="FI1625" s="18" t="inlineStr">
        <is>
          <t>Zhong Thong</t>
        </is>
      </c>
      <c r="FJ1625" s="18" t="inlineStr">
        <is>
          <t>Lck6122evg</t>
        </is>
      </c>
      <c r="FK1625" s="18" t="n">
        <v>2026</v>
      </c>
      <c r="FL1625" s="18" t="inlineStr">
        <is>
          <t>B</t>
        </is>
      </c>
      <c r="FM1625" s="18" t="inlineStr">
        <is>
          <t>Las Acacias</t>
        </is>
      </c>
      <c r="FP1625" t="inlineStr">
        <is>
          <t>B</t>
        </is>
      </c>
      <c r="FS1625" s="14" t="inlineStr">
        <is>
          <t>3019 / SFWB-44|</t>
        </is>
      </c>
      <c r="FT1625" t="inlineStr">
        <is>
          <t>SFWB-44|</t>
        </is>
      </c>
      <c r="FU1625" t="inlineStr">
        <is>
          <t>SFWB-44</t>
        </is>
      </c>
      <c r="FV1625">
        <f>VLOOKUP(FU1625,FD:FL,9,0)</f>
        <v/>
      </c>
    </row>
    <row r="1626">
      <c r="FC1626" t="inlineStr">
        <is>
          <t>Diccionario 2</t>
        </is>
      </c>
      <c r="FD1626" s="15" t="inlineStr">
        <is>
          <t>VLSY-95</t>
        </is>
      </c>
      <c r="FE1626" s="17" t="inlineStr">
        <is>
          <t>LDYECS319S0045847</t>
        </is>
      </c>
      <c r="FF1626" s="18" t="inlineStr">
        <is>
          <t>MDN35025030242</t>
        </is>
      </c>
      <c r="FG1626" s="18" t="inlineStr">
        <is>
          <t>Zhong Thong</t>
        </is>
      </c>
      <c r="FH1626" s="18" t="inlineStr">
        <is>
          <t>Lck6122evg</t>
        </is>
      </c>
      <c r="FI1626" s="18" t="inlineStr">
        <is>
          <t>Zhong Thong</t>
        </is>
      </c>
      <c r="FJ1626" s="18" t="inlineStr">
        <is>
          <t>Lck6122evg</t>
        </is>
      </c>
      <c r="FK1626" s="18" t="n">
        <v>2026</v>
      </c>
      <c r="FL1626" s="18" t="inlineStr">
        <is>
          <t>B</t>
        </is>
      </c>
      <c r="FM1626" s="18" t="inlineStr">
        <is>
          <t>Las Acacias</t>
        </is>
      </c>
      <c r="FP1626" t="inlineStr">
        <is>
          <t>B</t>
        </is>
      </c>
      <c r="FS1626" s="14" t="inlineStr">
        <is>
          <t>3054 / SFWB-24|</t>
        </is>
      </c>
      <c r="FT1626" t="inlineStr">
        <is>
          <t>SFWB-24|</t>
        </is>
      </c>
      <c r="FU1626" t="inlineStr">
        <is>
          <t>SFWB-24</t>
        </is>
      </c>
      <c r="FV1626">
        <f>VLOOKUP(FU1626,FD:FL,9,0)</f>
        <v/>
      </c>
    </row>
    <row r="1627">
      <c r="FC1627" t="inlineStr">
        <is>
          <t>Diccionario 2</t>
        </is>
      </c>
      <c r="FD1627" s="15" t="inlineStr">
        <is>
          <t>VLSY-96</t>
        </is>
      </c>
      <c r="FE1627" s="17" t="inlineStr">
        <is>
          <t>LDYECS316S0045854</t>
        </is>
      </c>
      <c r="FF1627" s="18" t="inlineStr">
        <is>
          <t>MDN35025030125</t>
        </is>
      </c>
      <c r="FG1627" s="18" t="inlineStr">
        <is>
          <t>Zhong Thong</t>
        </is>
      </c>
      <c r="FH1627" s="18" t="inlineStr">
        <is>
          <t>Lck6122evg</t>
        </is>
      </c>
      <c r="FI1627" s="18" t="inlineStr">
        <is>
          <t>Zhong Thong</t>
        </is>
      </c>
      <c r="FJ1627" s="18" t="inlineStr">
        <is>
          <t>Lck6122evg</t>
        </is>
      </c>
      <c r="FK1627" s="18" t="n">
        <v>2026</v>
      </c>
      <c r="FL1627" s="18" t="inlineStr">
        <is>
          <t>B</t>
        </is>
      </c>
      <c r="FM1627" s="18" t="inlineStr">
        <is>
          <t>Las Acacias</t>
        </is>
      </c>
      <c r="FP1627" t="inlineStr">
        <is>
          <t>B</t>
        </is>
      </c>
      <c r="FS1627" s="14" t="inlineStr">
        <is>
          <t>3064 / SFWZ-61|</t>
        </is>
      </c>
      <c r="FT1627" t="inlineStr">
        <is>
          <t>SFWZ-61|</t>
        </is>
      </c>
      <c r="FU1627" t="inlineStr">
        <is>
          <t>SFWZ-61</t>
        </is>
      </c>
      <c r="FV1627">
        <f>VLOOKUP(FU1627,FD:FL,9,0)</f>
        <v/>
      </c>
    </row>
    <row r="1628">
      <c r="FC1628" t="inlineStr">
        <is>
          <t>Diccionario 2</t>
        </is>
      </c>
      <c r="FD1628" s="15" t="inlineStr">
        <is>
          <t>VLSY-97</t>
        </is>
      </c>
      <c r="FE1628" s="17" t="inlineStr">
        <is>
          <t>LDYECS318S0045757</t>
        </is>
      </c>
      <c r="FF1628" s="18" t="inlineStr">
        <is>
          <t>MDN35025030175</t>
        </is>
      </c>
      <c r="FG1628" s="18" t="inlineStr">
        <is>
          <t>Zhong Thong</t>
        </is>
      </c>
      <c r="FH1628" s="18" t="inlineStr">
        <is>
          <t>Lck6122evg</t>
        </is>
      </c>
      <c r="FI1628" s="18" t="inlineStr">
        <is>
          <t>Zhong Thong</t>
        </is>
      </c>
      <c r="FJ1628" s="18" t="inlineStr">
        <is>
          <t>Lck6122evg</t>
        </is>
      </c>
      <c r="FK1628" s="18" t="n">
        <v>2026</v>
      </c>
      <c r="FL1628" s="18" t="inlineStr">
        <is>
          <t>B</t>
        </is>
      </c>
      <c r="FM1628" s="18" t="inlineStr">
        <is>
          <t>Las Acacias</t>
        </is>
      </c>
      <c r="FP1628" t="inlineStr">
        <is>
          <t>B</t>
        </is>
      </c>
      <c r="FS1628" s="14" t="inlineStr">
        <is>
          <t>3063 / SFWZ-21|</t>
        </is>
      </c>
      <c r="FT1628" t="inlineStr">
        <is>
          <t>SFWZ-21|</t>
        </is>
      </c>
      <c r="FU1628" t="inlineStr">
        <is>
          <t>SFWZ-21</t>
        </is>
      </c>
      <c r="FV1628">
        <f>VLOOKUP(FU1628,FD:FL,9,0)</f>
        <v/>
      </c>
    </row>
    <row r="1629">
      <c r="FC1629" t="inlineStr">
        <is>
          <t>Diccionario 2</t>
        </is>
      </c>
      <c r="FD1629" s="15" t="inlineStr">
        <is>
          <t>VLSY-98</t>
        </is>
      </c>
      <c r="FE1629" s="17" t="inlineStr">
        <is>
          <t>LDYECS31XS0045856</t>
        </is>
      </c>
      <c r="FF1629" s="18" t="inlineStr">
        <is>
          <t>MDN35025030127</t>
        </is>
      </c>
      <c r="FG1629" s="18" t="inlineStr">
        <is>
          <t>Zhong Thong</t>
        </is>
      </c>
      <c r="FH1629" s="18" t="inlineStr">
        <is>
          <t>Lck6122evg</t>
        </is>
      </c>
      <c r="FI1629" s="18" t="inlineStr">
        <is>
          <t>Zhong Thong</t>
        </is>
      </c>
      <c r="FJ1629" s="18" t="inlineStr">
        <is>
          <t>Lck6122evg</t>
        </is>
      </c>
      <c r="FK1629" s="18" t="n">
        <v>2026</v>
      </c>
      <c r="FL1629" s="18" t="inlineStr">
        <is>
          <t>B</t>
        </is>
      </c>
      <c r="FM1629" s="18" t="inlineStr">
        <is>
          <t>Las Acacias</t>
        </is>
      </c>
      <c r="FP1629" t="inlineStr">
        <is>
          <t>B</t>
        </is>
      </c>
      <c r="FS1629" s="14" t="inlineStr">
        <is>
          <t>VJKF-46|</t>
        </is>
      </c>
      <c r="FT1629" t="inlineStr">
        <is>
          <t>VJKF-46|</t>
        </is>
      </c>
      <c r="FU1629" t="inlineStr">
        <is>
          <t>VJKF-46</t>
        </is>
      </c>
      <c r="FV1629">
        <f>VLOOKUP(FU1629,FD:FL,9,0)</f>
        <v/>
      </c>
    </row>
    <row r="1630">
      <c r="FC1630" t="inlineStr">
        <is>
          <t>Diccionario 2</t>
        </is>
      </c>
      <c r="FD1630" s="15" t="inlineStr">
        <is>
          <t>VLSZ-15</t>
        </is>
      </c>
      <c r="FE1630" s="17" t="inlineStr">
        <is>
          <t>LDYECS312S0045849</t>
        </is>
      </c>
      <c r="FF1630" s="18" t="inlineStr">
        <is>
          <t>MDN35025030294</t>
        </is>
      </c>
      <c r="FG1630" s="18" t="inlineStr">
        <is>
          <t>Zhong Thong</t>
        </is>
      </c>
      <c r="FH1630" s="18" t="inlineStr">
        <is>
          <t>Lck6122evg</t>
        </is>
      </c>
      <c r="FI1630" s="18" t="inlineStr">
        <is>
          <t>Zhong Thong</t>
        </is>
      </c>
      <c r="FJ1630" s="18" t="inlineStr">
        <is>
          <t>Lck6122evg</t>
        </is>
      </c>
      <c r="FK1630" s="18" t="n">
        <v>2026</v>
      </c>
      <c r="FL1630" s="18" t="inlineStr">
        <is>
          <t>B</t>
        </is>
      </c>
      <c r="FM1630" s="18" t="inlineStr">
        <is>
          <t>Las Acacias</t>
        </is>
      </c>
      <c r="FP1630" t="inlineStr">
        <is>
          <t>B</t>
        </is>
      </c>
      <c r="FS1630" s="14" t="inlineStr">
        <is>
          <t>3006 / SFVZ-94|</t>
        </is>
      </c>
      <c r="FT1630" t="inlineStr">
        <is>
          <t>SFVZ-94|</t>
        </is>
      </c>
      <c r="FU1630" t="inlineStr">
        <is>
          <t>SFVZ-94</t>
        </is>
      </c>
      <c r="FV1630">
        <f>VLOOKUP(FU1630,FD:FL,9,0)</f>
        <v/>
      </c>
    </row>
    <row r="1631">
      <c r="FC1631" t="inlineStr">
        <is>
          <t>Diccionario 2</t>
        </is>
      </c>
      <c r="FD1631" s="15" t="inlineStr">
        <is>
          <t>VLSZ-16</t>
        </is>
      </c>
      <c r="FE1631" s="17" t="inlineStr">
        <is>
          <t>LDYECS312S0045754</t>
        </is>
      </c>
      <c r="FF1631" s="18" t="inlineStr">
        <is>
          <t>MDN35025030177</t>
        </is>
      </c>
      <c r="FG1631" s="18" t="inlineStr">
        <is>
          <t>Zhong Thong</t>
        </is>
      </c>
      <c r="FH1631" s="18" t="inlineStr">
        <is>
          <t>Lck6122evg</t>
        </is>
      </c>
      <c r="FI1631" s="18" t="inlineStr">
        <is>
          <t>Zhong Thong</t>
        </is>
      </c>
      <c r="FJ1631" s="18" t="inlineStr">
        <is>
          <t>Lck6122evg</t>
        </is>
      </c>
      <c r="FK1631" s="18" t="n">
        <v>2026</v>
      </c>
      <c r="FL1631" s="18" t="inlineStr">
        <is>
          <t>B</t>
        </is>
      </c>
      <c r="FM1631" s="18" t="inlineStr">
        <is>
          <t>Las Acacias</t>
        </is>
      </c>
      <c r="FP1631" t="inlineStr">
        <is>
          <t>B</t>
        </is>
      </c>
      <c r="FS1631" s="14" t="inlineStr">
        <is>
          <t>3041 / SFVZ-49|</t>
        </is>
      </c>
      <c r="FT1631" t="inlineStr">
        <is>
          <t>SFVZ-49|</t>
        </is>
      </c>
      <c r="FU1631" t="inlineStr">
        <is>
          <t>SFVZ-49</t>
        </is>
      </c>
      <c r="FV1631">
        <f>VLOOKUP(FU1631,FD:FL,9,0)</f>
        <v/>
      </c>
    </row>
    <row r="1632">
      <c r="FC1632" t="inlineStr">
        <is>
          <t>Diccionario 2</t>
        </is>
      </c>
      <c r="FD1632" s="15" t="inlineStr">
        <is>
          <t>VLSZ-23</t>
        </is>
      </c>
      <c r="FE1632" s="17" t="inlineStr">
        <is>
          <t>LDYECS310S0045865</t>
        </is>
      </c>
      <c r="FF1632" s="18" t="inlineStr">
        <is>
          <t>MDN35025030267</t>
        </is>
      </c>
      <c r="FG1632" s="18" t="inlineStr">
        <is>
          <t>Zhong Thong</t>
        </is>
      </c>
      <c r="FH1632" s="18" t="inlineStr">
        <is>
          <t>Lck6122evg</t>
        </is>
      </c>
      <c r="FI1632" s="18" t="inlineStr">
        <is>
          <t>Zhong Thong</t>
        </is>
      </c>
      <c r="FJ1632" s="18" t="inlineStr">
        <is>
          <t>Lck6122evg</t>
        </is>
      </c>
      <c r="FK1632" s="18" t="n">
        <v>2026</v>
      </c>
      <c r="FL1632" s="18" t="inlineStr">
        <is>
          <t>B</t>
        </is>
      </c>
      <c r="FM1632" s="18" t="inlineStr">
        <is>
          <t>Las Acacias</t>
        </is>
      </c>
      <c r="FP1632" t="inlineStr">
        <is>
          <t>B</t>
        </is>
      </c>
      <c r="FS1632" s="14" t="inlineStr">
        <is>
          <t>3021 / SFWZ-36|</t>
        </is>
      </c>
      <c r="FT1632" t="inlineStr">
        <is>
          <t>SFWZ-36|</t>
        </is>
      </c>
      <c r="FU1632" t="inlineStr">
        <is>
          <t>SFWZ-36</t>
        </is>
      </c>
      <c r="FV1632">
        <f>VLOOKUP(FU1632,FD:FL,9,0)</f>
        <v/>
      </c>
    </row>
    <row r="1633">
      <c r="FC1633" t="inlineStr">
        <is>
          <t>Diccionario 2</t>
        </is>
      </c>
      <c r="FD1633" s="15" t="inlineStr">
        <is>
          <t>FLXZ-95</t>
        </is>
      </c>
      <c r="FE1633" s="17" t="inlineStr">
        <is>
          <t>LC9LC30F5JALA6109</t>
        </is>
      </c>
      <c r="FF1633" s="18" t="inlineStr">
        <is>
          <t>G174J60001</t>
        </is>
      </c>
      <c r="FG1633" s="18" t="inlineStr">
        <is>
          <t>KING LONG</t>
        </is>
      </c>
      <c r="FH1633" s="18" t="inlineStr">
        <is>
          <t>XMQ 6127</t>
        </is>
      </c>
      <c r="FI1633" s="18" t="inlineStr">
        <is>
          <t>KING LONG</t>
        </is>
      </c>
      <c r="FJ1633" s="18" t="inlineStr">
        <is>
          <t>XMQ 6127G E TECH</t>
        </is>
      </c>
      <c r="FK1633" s="18" t="n">
        <v>2019</v>
      </c>
      <c r="FL1633" s="18" t="inlineStr">
        <is>
          <t>B</t>
        </is>
      </c>
      <c r="FM1633" s="18" t="inlineStr">
        <is>
          <t>Recoleta</t>
        </is>
      </c>
      <c r="FP1633" t="inlineStr">
        <is>
          <t>B</t>
        </is>
      </c>
      <c r="FS1633" s="14" t="inlineStr">
        <is>
          <t>3074 / SFWZ-17|</t>
        </is>
      </c>
      <c r="FT1633" t="inlineStr">
        <is>
          <t>SFWZ-17|</t>
        </is>
      </c>
      <c r="FU1633" t="inlineStr">
        <is>
          <t>SFWZ-17</t>
        </is>
      </c>
      <c r="FV1633">
        <f>VLOOKUP(FU1633,FD:FL,9,0)</f>
        <v/>
      </c>
    </row>
    <row r="1634">
      <c r="FC1634" t="inlineStr">
        <is>
          <t>Diccionario 2</t>
        </is>
      </c>
      <c r="FD1634" s="15" t="inlineStr">
        <is>
          <t>GCBC-24</t>
        </is>
      </c>
      <c r="FE1634" s="17" t="inlineStr">
        <is>
          <t>YV3T7U52XKA195288</t>
        </is>
      </c>
      <c r="FF1634" s="18" t="n">
        <v>482342</v>
      </c>
      <c r="FG1634" s="18" t="inlineStr">
        <is>
          <t>VOLVO</t>
        </is>
      </c>
      <c r="FH1634" s="18" t="inlineStr">
        <is>
          <t>B8R</t>
        </is>
      </c>
      <c r="FI1634" s="18" t="inlineStr">
        <is>
          <t>MARCOPOLO</t>
        </is>
      </c>
      <c r="FJ1634" s="18" t="inlineStr">
        <is>
          <t>TORINO</t>
        </is>
      </c>
      <c r="FK1634" s="18" t="n">
        <v>2019</v>
      </c>
      <c r="FL1634" s="18" t="inlineStr">
        <is>
          <t>BPAL</t>
        </is>
      </c>
      <c r="FM1634" s="18" t="inlineStr">
        <is>
          <t>Santa Rosa</t>
        </is>
      </c>
      <c r="FP1634" t="inlineStr">
        <is>
          <t>B</t>
        </is>
      </c>
      <c r="FS1634" s="14" t="inlineStr">
        <is>
          <t>SFWB-77</t>
        </is>
      </c>
      <c r="FT1634" t="inlineStr">
        <is>
          <t>SFWB-77</t>
        </is>
      </c>
      <c r="FU1634" t="inlineStr">
        <is>
          <t>SFWB-77</t>
        </is>
      </c>
      <c r="FV1634">
        <f>VLOOKUP(FU1634,FD:FL,9,0)</f>
        <v/>
      </c>
    </row>
    <row r="1635">
      <c r="FC1635" t="inlineStr">
        <is>
          <t>Diccionario 2</t>
        </is>
      </c>
      <c r="FD1635" s="15" t="inlineStr">
        <is>
          <t>GCBC-25</t>
        </is>
      </c>
      <c r="FE1635" s="17" t="inlineStr">
        <is>
          <t>YV3T7U520KA195591</t>
        </is>
      </c>
      <c r="FF1635" s="18" t="n">
        <v>483878</v>
      </c>
      <c r="FG1635" s="18" t="inlineStr">
        <is>
          <t>VOLVO</t>
        </is>
      </c>
      <c r="FH1635" s="18" t="inlineStr">
        <is>
          <t>B8R</t>
        </is>
      </c>
      <c r="FI1635" s="18" t="inlineStr">
        <is>
          <t>MARCOPOLO</t>
        </is>
      </c>
      <c r="FJ1635" s="18" t="inlineStr">
        <is>
          <t>TORINO</t>
        </is>
      </c>
      <c r="FK1635" s="18" t="n">
        <v>2019</v>
      </c>
      <c r="FL1635" s="18" t="inlineStr">
        <is>
          <t>BPAL</t>
        </is>
      </c>
      <c r="FM1635" s="18" t="inlineStr">
        <is>
          <t>Recoleta</t>
        </is>
      </c>
      <c r="FP1635" t="inlineStr">
        <is>
          <t>B</t>
        </is>
      </c>
      <c r="FS1635" s="14" t="inlineStr">
        <is>
          <t>3104 / SFWZ-52|</t>
        </is>
      </c>
      <c r="FT1635" t="inlineStr">
        <is>
          <t>SFWZ-52|</t>
        </is>
      </c>
      <c r="FU1635" t="inlineStr">
        <is>
          <t>SFWZ-52</t>
        </is>
      </c>
      <c r="FV1635">
        <f>VLOOKUP(FU1635,FD:FL,9,0)</f>
        <v/>
      </c>
    </row>
    <row r="1636">
      <c r="FC1636" t="inlineStr">
        <is>
          <t>Diccionario 2</t>
        </is>
      </c>
      <c r="FD1636" s="15" t="inlineStr">
        <is>
          <t>GCBC-26</t>
        </is>
      </c>
      <c r="FE1636" s="17" t="inlineStr">
        <is>
          <t>YV3T7U529KA195640</t>
        </is>
      </c>
      <c r="FF1636" s="18" t="n">
        <v>479849</v>
      </c>
      <c r="FG1636" s="18" t="inlineStr">
        <is>
          <t>VOLVO</t>
        </is>
      </c>
      <c r="FH1636" s="18" t="inlineStr">
        <is>
          <t>B8R</t>
        </is>
      </c>
      <c r="FI1636" s="18" t="inlineStr">
        <is>
          <t>MARCOPOLO</t>
        </is>
      </c>
      <c r="FJ1636" s="18" t="inlineStr">
        <is>
          <t>TORINO</t>
        </is>
      </c>
      <c r="FK1636" s="18" t="n">
        <v>2019</v>
      </c>
      <c r="FL1636" s="18" t="inlineStr">
        <is>
          <t>BPAL</t>
        </is>
      </c>
      <c r="FM1636" s="18" t="inlineStr">
        <is>
          <t>Recoleta</t>
        </is>
      </c>
      <c r="FP1636" t="inlineStr">
        <is>
          <t>B</t>
        </is>
      </c>
      <c r="FS1636" s="14" t="inlineStr">
        <is>
          <t>3004 / SFWZ-31|</t>
        </is>
      </c>
      <c r="FT1636" t="inlineStr">
        <is>
          <t>SFWZ-31|</t>
        </is>
      </c>
      <c r="FU1636" t="inlineStr">
        <is>
          <t>SFWZ-31</t>
        </is>
      </c>
      <c r="FV1636">
        <f>VLOOKUP(FU1636,FD:FL,9,0)</f>
        <v/>
      </c>
    </row>
    <row r="1637">
      <c r="FC1637" t="inlineStr">
        <is>
          <t>Diccionario 2</t>
        </is>
      </c>
      <c r="FD1637" s="15" t="inlineStr">
        <is>
          <t>GCBC-27</t>
        </is>
      </c>
      <c r="FE1637" s="17" t="inlineStr">
        <is>
          <t>YV3T7U526KA195689</t>
        </is>
      </c>
      <c r="FF1637" s="18" t="n">
        <v>484541</v>
      </c>
      <c r="FG1637" s="18" t="inlineStr">
        <is>
          <t>VOLVO</t>
        </is>
      </c>
      <c r="FH1637" s="18" t="inlineStr">
        <is>
          <t>B8R</t>
        </is>
      </c>
      <c r="FI1637" s="18" t="inlineStr">
        <is>
          <t>MARCOPOLO</t>
        </is>
      </c>
      <c r="FJ1637" s="18" t="inlineStr">
        <is>
          <t>TORINO</t>
        </is>
      </c>
      <c r="FK1637" s="18" t="n">
        <v>2019</v>
      </c>
      <c r="FL1637" s="18" t="inlineStr">
        <is>
          <t>BPAL</t>
        </is>
      </c>
      <c r="FM1637" s="18" t="inlineStr">
        <is>
          <t>Recoleta</t>
        </is>
      </c>
      <c r="FP1637" t="inlineStr">
        <is>
          <t>B</t>
        </is>
      </c>
      <c r="FS1637" s="14" t="inlineStr">
        <is>
          <t>3032 / SFWZ-34|</t>
        </is>
      </c>
      <c r="FT1637" t="inlineStr">
        <is>
          <t>SFWZ-34|</t>
        </is>
      </c>
      <c r="FU1637" t="inlineStr">
        <is>
          <t>SFWZ-34</t>
        </is>
      </c>
      <c r="FV1637">
        <f>VLOOKUP(FU1637,FD:FL,9,0)</f>
        <v/>
      </c>
    </row>
    <row r="1638">
      <c r="FC1638" t="inlineStr">
        <is>
          <t>Diccionario 2</t>
        </is>
      </c>
      <c r="FD1638" s="15" t="inlineStr">
        <is>
          <t>GCBC-28</t>
        </is>
      </c>
      <c r="FE1638" s="17" t="inlineStr">
        <is>
          <t>YV3T7U528KA195189</t>
        </is>
      </c>
      <c r="FF1638" s="18" t="n">
        <v>481662</v>
      </c>
      <c r="FG1638" s="18" t="inlineStr">
        <is>
          <t>VOLVO</t>
        </is>
      </c>
      <c r="FH1638" s="18" t="inlineStr">
        <is>
          <t>B8R</t>
        </is>
      </c>
      <c r="FI1638" s="18" t="inlineStr">
        <is>
          <t>MARCOPOLO</t>
        </is>
      </c>
      <c r="FJ1638" s="18" t="inlineStr">
        <is>
          <t>TORINO</t>
        </is>
      </c>
      <c r="FK1638" s="18" t="n">
        <v>2019</v>
      </c>
      <c r="FL1638" s="18" t="inlineStr">
        <is>
          <t>BPAL</t>
        </is>
      </c>
      <c r="FM1638" s="18" t="inlineStr">
        <is>
          <t>Santa Rosa</t>
        </is>
      </c>
      <c r="FP1638" t="inlineStr">
        <is>
          <t>B</t>
        </is>
      </c>
      <c r="FS1638" s="14" t="inlineStr">
        <is>
          <t>VJYJ-35|</t>
        </is>
      </c>
      <c r="FT1638" t="inlineStr">
        <is>
          <t>VJYJ-35|</t>
        </is>
      </c>
      <c r="FU1638" t="inlineStr">
        <is>
          <t>VJYJ-35</t>
        </is>
      </c>
      <c r="FV1638">
        <f>VLOOKUP(FU1638,FD:FL,9,0)</f>
        <v/>
      </c>
    </row>
    <row r="1639">
      <c r="FC1639" t="inlineStr">
        <is>
          <t>Diccionario 2</t>
        </is>
      </c>
      <c r="FD1639" s="15" t="inlineStr">
        <is>
          <t>GCBC-29</t>
        </is>
      </c>
      <c r="FE1639" s="17" t="inlineStr">
        <is>
          <t>YV3T7U527KA195149</t>
        </is>
      </c>
      <c r="FF1639" s="18" t="n">
        <v>478253</v>
      </c>
      <c r="FG1639" s="18" t="inlineStr">
        <is>
          <t>VOLVO</t>
        </is>
      </c>
      <c r="FH1639" s="18" t="inlineStr">
        <is>
          <t>B8R</t>
        </is>
      </c>
      <c r="FI1639" s="18" t="inlineStr">
        <is>
          <t>MARCOPOLO</t>
        </is>
      </c>
      <c r="FJ1639" s="18" t="inlineStr">
        <is>
          <t>TORINO</t>
        </is>
      </c>
      <c r="FK1639" s="18" t="n">
        <v>2019</v>
      </c>
      <c r="FL1639" s="18" t="inlineStr">
        <is>
          <t>BPAL</t>
        </is>
      </c>
      <c r="FM1639" s="18" t="inlineStr">
        <is>
          <t>Santa Rosa</t>
        </is>
      </c>
      <c r="FP1639" t="inlineStr">
        <is>
          <t>B</t>
        </is>
      </c>
      <c r="FS1639" s="14" t="inlineStr">
        <is>
          <t>3063 / SFWZ-21|</t>
        </is>
      </c>
      <c r="FT1639" t="inlineStr">
        <is>
          <t>SFWZ-21|</t>
        </is>
      </c>
      <c r="FU1639" t="inlineStr">
        <is>
          <t>SFWZ-21</t>
        </is>
      </c>
      <c r="FV1639">
        <f>VLOOKUP(FU1639,FD:FL,9,0)</f>
        <v/>
      </c>
    </row>
    <row r="1640">
      <c r="FC1640" t="inlineStr">
        <is>
          <t>Diccionario 2</t>
        </is>
      </c>
      <c r="FD1640" s="15" t="inlineStr">
        <is>
          <t>GCBC-30</t>
        </is>
      </c>
      <c r="FE1640" s="17" t="inlineStr">
        <is>
          <t>YV3T7U528KA195354</t>
        </is>
      </c>
      <c r="FF1640" s="18" t="n">
        <v>482584</v>
      </c>
      <c r="FG1640" s="18" t="inlineStr">
        <is>
          <t>VOLVO</t>
        </is>
      </c>
      <c r="FH1640" s="18" t="inlineStr">
        <is>
          <t>B8R</t>
        </is>
      </c>
      <c r="FI1640" s="18" t="inlineStr">
        <is>
          <t>MARCOPOLO</t>
        </is>
      </c>
      <c r="FJ1640" s="18" t="inlineStr">
        <is>
          <t>TORINO</t>
        </is>
      </c>
      <c r="FK1640" s="18" t="n">
        <v>2019</v>
      </c>
      <c r="FL1640" s="18" t="inlineStr">
        <is>
          <t>BPAL</t>
        </is>
      </c>
      <c r="FM1640" s="18" t="inlineStr">
        <is>
          <t>Santa Rosa</t>
        </is>
      </c>
      <c r="FP1640" t="inlineStr">
        <is>
          <t>B</t>
        </is>
      </c>
      <c r="FS1640" s="14" t="inlineStr">
        <is>
          <t>3044 / SFVZ-67|</t>
        </is>
      </c>
      <c r="FT1640" t="inlineStr">
        <is>
          <t>SFVZ-67|</t>
        </is>
      </c>
      <c r="FU1640" t="inlineStr">
        <is>
          <t>SFVZ-67</t>
        </is>
      </c>
      <c r="FV1640">
        <f>VLOOKUP(FU1640,FD:FL,9,0)</f>
        <v/>
      </c>
    </row>
    <row r="1641">
      <c r="FC1641" t="inlineStr">
        <is>
          <t>Diccionario 2</t>
        </is>
      </c>
      <c r="FD1641" s="15" t="inlineStr">
        <is>
          <t>GCBC-31</t>
        </is>
      </c>
      <c r="FE1641" s="17" t="inlineStr">
        <is>
          <t>YV3T7U525KA195358</t>
        </is>
      </c>
      <c r="FF1641" s="18" t="n">
        <v>482487</v>
      </c>
      <c r="FG1641" s="18" t="inlineStr">
        <is>
          <t>VOLVO</t>
        </is>
      </c>
      <c r="FH1641" s="18" t="inlineStr">
        <is>
          <t>B8R</t>
        </is>
      </c>
      <c r="FI1641" s="18" t="inlineStr">
        <is>
          <t>MARCOPOLO</t>
        </is>
      </c>
      <c r="FJ1641" s="18" t="inlineStr">
        <is>
          <t>TORINO</t>
        </is>
      </c>
      <c r="FK1641" s="18" t="n">
        <v>2019</v>
      </c>
      <c r="FL1641" s="18" t="inlineStr">
        <is>
          <t>BPAL</t>
        </is>
      </c>
      <c r="FM1641" s="18" t="inlineStr">
        <is>
          <t>Santa Rosa</t>
        </is>
      </c>
      <c r="FP1641" t="inlineStr">
        <is>
          <t>B</t>
        </is>
      </c>
      <c r="FS1641" s="14" t="inlineStr">
        <is>
          <t>3019 / SFWB-44|</t>
        </is>
      </c>
      <c r="FT1641" t="inlineStr">
        <is>
          <t>SFWB-44|</t>
        </is>
      </c>
      <c r="FU1641" t="inlineStr">
        <is>
          <t>SFWB-44</t>
        </is>
      </c>
      <c r="FV1641">
        <f>VLOOKUP(FU1641,FD:FL,9,0)</f>
        <v/>
      </c>
    </row>
    <row r="1642">
      <c r="FC1642" t="inlineStr">
        <is>
          <t>Diccionario 2</t>
        </is>
      </c>
      <c r="FD1642" s="15" t="inlineStr">
        <is>
          <t>GCBC-33</t>
        </is>
      </c>
      <c r="FE1642" s="17" t="inlineStr">
        <is>
          <t>YV3T7U529KA195573</t>
        </is>
      </c>
      <c r="FF1642" s="18" t="n">
        <v>483422</v>
      </c>
      <c r="FG1642" s="18" t="inlineStr">
        <is>
          <t>VOLVO</t>
        </is>
      </c>
      <c r="FH1642" s="18" t="inlineStr">
        <is>
          <t>B8R</t>
        </is>
      </c>
      <c r="FI1642" s="18" t="inlineStr">
        <is>
          <t>MARCOPOLO</t>
        </is>
      </c>
      <c r="FJ1642" s="18" t="inlineStr">
        <is>
          <t>TORINO</t>
        </is>
      </c>
      <c r="FK1642" s="18" t="n">
        <v>2019</v>
      </c>
      <c r="FL1642" s="18" t="inlineStr">
        <is>
          <t>BPAL</t>
        </is>
      </c>
      <c r="FM1642" s="18" t="inlineStr">
        <is>
          <t>Recoleta</t>
        </is>
      </c>
      <c r="FP1642" t="inlineStr">
        <is>
          <t>B</t>
        </is>
      </c>
      <c r="FS1642" s="14" t="inlineStr">
        <is>
          <t>3036 / SFWB-77|</t>
        </is>
      </c>
      <c r="FT1642" t="inlineStr">
        <is>
          <t>SFWB-77|</t>
        </is>
      </c>
      <c r="FU1642" t="inlineStr">
        <is>
          <t>SFWB-77</t>
        </is>
      </c>
      <c r="FV1642">
        <f>VLOOKUP(FU1642,FD:FL,9,0)</f>
        <v/>
      </c>
    </row>
    <row r="1643">
      <c r="FC1643" t="inlineStr">
        <is>
          <t>Diccionario 2</t>
        </is>
      </c>
      <c r="FD1643" s="15" t="inlineStr">
        <is>
          <t>GCBC-34</t>
        </is>
      </c>
      <c r="FE1643" s="17" t="inlineStr">
        <is>
          <t>YV3T7U526KA195711</t>
        </is>
      </c>
      <c r="FF1643" s="18" t="n">
        <v>484639</v>
      </c>
      <c r="FG1643" s="18" t="inlineStr">
        <is>
          <t>VOLVO</t>
        </is>
      </c>
      <c r="FH1643" s="18" t="inlineStr">
        <is>
          <t>B8R</t>
        </is>
      </c>
      <c r="FI1643" s="18" t="inlineStr">
        <is>
          <t>MARCOPOLO</t>
        </is>
      </c>
      <c r="FJ1643" s="18" t="inlineStr">
        <is>
          <t>TORINO</t>
        </is>
      </c>
      <c r="FK1643" s="18" t="n">
        <v>2019</v>
      </c>
      <c r="FL1643" s="18" t="inlineStr">
        <is>
          <t>BPAL</t>
        </is>
      </c>
      <c r="FM1643" s="18" t="inlineStr">
        <is>
          <t>Recoleta</t>
        </is>
      </c>
      <c r="FP1643" t="inlineStr">
        <is>
          <t>B</t>
        </is>
      </c>
      <c r="FS1643" s="14" t="inlineStr">
        <is>
          <t>VJYJ-35|</t>
        </is>
      </c>
      <c r="FT1643" t="inlineStr">
        <is>
          <t>VJYJ-35|</t>
        </is>
      </c>
      <c r="FU1643" t="inlineStr">
        <is>
          <t>VJYJ-35</t>
        </is>
      </c>
      <c r="FV1643">
        <f>VLOOKUP(FU1643,FD:FL,9,0)</f>
        <v/>
      </c>
    </row>
    <row r="1644">
      <c r="FC1644" t="inlineStr">
        <is>
          <t>Diccionario 2</t>
        </is>
      </c>
      <c r="FD1644" s="15" t="inlineStr">
        <is>
          <t>GCBC-35</t>
        </is>
      </c>
      <c r="FE1644" s="17" t="inlineStr">
        <is>
          <t>YV3T7U522KA195687</t>
        </is>
      </c>
      <c r="FF1644" s="18" t="n">
        <v>484547</v>
      </c>
      <c r="FG1644" s="18" t="inlineStr">
        <is>
          <t>VOLVO</t>
        </is>
      </c>
      <c r="FH1644" s="18" t="inlineStr">
        <is>
          <t>B8R</t>
        </is>
      </c>
      <c r="FI1644" s="18" t="inlineStr">
        <is>
          <t>MARCOPOLO</t>
        </is>
      </c>
      <c r="FJ1644" s="18" t="inlineStr">
        <is>
          <t>TORINO</t>
        </is>
      </c>
      <c r="FK1644" s="18" t="n">
        <v>2019</v>
      </c>
      <c r="FL1644" s="18" t="inlineStr">
        <is>
          <t>BPAL</t>
        </is>
      </c>
      <c r="FM1644" s="18" t="inlineStr">
        <is>
          <t>Recoleta</t>
        </is>
      </c>
      <c r="FP1644" t="inlineStr">
        <is>
          <t>B</t>
        </is>
      </c>
      <c r="FS1644" s="14" t="inlineStr">
        <is>
          <t>3041 / SFVZ-49|</t>
        </is>
      </c>
      <c r="FT1644" t="inlineStr">
        <is>
          <t>SFVZ-49|</t>
        </is>
      </c>
      <c r="FU1644" t="inlineStr">
        <is>
          <t>SFVZ-49</t>
        </is>
      </c>
      <c r="FV1644">
        <f>VLOOKUP(FU1644,FD:FL,9,0)</f>
        <v/>
      </c>
    </row>
    <row r="1645">
      <c r="FC1645" t="inlineStr">
        <is>
          <t>Diccionario 2</t>
        </is>
      </c>
      <c r="FD1645" s="15" t="inlineStr">
        <is>
          <t>GCBF-43</t>
        </is>
      </c>
      <c r="FE1645" s="17" t="inlineStr">
        <is>
          <t>YV3T7U520LA200970</t>
        </is>
      </c>
      <c r="FF1645" s="18" t="n">
        <v>506294</v>
      </c>
      <c r="FG1645" s="18" t="inlineStr">
        <is>
          <t>VOLVO</t>
        </is>
      </c>
      <c r="FH1645" s="18" t="inlineStr">
        <is>
          <t>B8RLEA</t>
        </is>
      </c>
      <c r="FI1645" s="18" t="inlineStr">
        <is>
          <t>MARCOPOLO</t>
        </is>
      </c>
      <c r="FJ1645" s="18" t="inlineStr">
        <is>
          <t>GRAN VIALE</t>
        </is>
      </c>
      <c r="FK1645" s="18" t="n">
        <v>2020</v>
      </c>
      <c r="FL1645" s="18" t="inlineStr">
        <is>
          <t>C</t>
        </is>
      </c>
      <c r="FM1645" s="18" t="inlineStr">
        <is>
          <t>Recoleta</t>
        </is>
      </c>
      <c r="FP1645" t="inlineStr">
        <is>
          <t>C</t>
        </is>
      </c>
      <c r="FS1645" s="14" t="inlineStr">
        <is>
          <t>VJZB-77|</t>
        </is>
      </c>
      <c r="FT1645" t="inlineStr">
        <is>
          <t>VJZB-77|</t>
        </is>
      </c>
      <c r="FU1645" t="inlineStr">
        <is>
          <t>VJZB-77</t>
        </is>
      </c>
      <c r="FV1645">
        <f>VLOOKUP(FU1645,FD:FL,9,0)</f>
        <v/>
      </c>
    </row>
    <row r="1646">
      <c r="FC1646" t="inlineStr">
        <is>
          <t>Diccionario 2</t>
        </is>
      </c>
      <c r="FD1646" s="15" t="inlineStr">
        <is>
          <t>GCBF-44</t>
        </is>
      </c>
      <c r="FE1646" s="17" t="inlineStr">
        <is>
          <t>YV3T7U524LA200874</t>
        </is>
      </c>
      <c r="FF1646" s="18" t="n">
        <v>505924</v>
      </c>
      <c r="FG1646" s="18" t="inlineStr">
        <is>
          <t>VOLVO</t>
        </is>
      </c>
      <c r="FH1646" s="18" t="inlineStr">
        <is>
          <t>B8RLEA</t>
        </is>
      </c>
      <c r="FI1646" s="18" t="inlineStr">
        <is>
          <t>MARCOPOLO</t>
        </is>
      </c>
      <c r="FJ1646" s="18" t="inlineStr">
        <is>
          <t>GRAN VIALE</t>
        </is>
      </c>
      <c r="FK1646" s="18" t="n">
        <v>2020</v>
      </c>
      <c r="FL1646" s="18" t="inlineStr">
        <is>
          <t>C</t>
        </is>
      </c>
      <c r="FM1646" s="18" t="inlineStr">
        <is>
          <t>Recoleta</t>
        </is>
      </c>
      <c r="FP1646" t="inlineStr">
        <is>
          <t>C</t>
        </is>
      </c>
      <c r="FS1646" s="14" t="inlineStr">
        <is>
          <t>3033 / SFVZ-29|</t>
        </is>
      </c>
      <c r="FT1646" t="inlineStr">
        <is>
          <t>SFVZ-29|</t>
        </is>
      </c>
      <c r="FU1646" t="inlineStr">
        <is>
          <t>SFVZ-29</t>
        </is>
      </c>
      <c r="FV1646">
        <f>VLOOKUP(FU1646,FD:FL,9,0)</f>
        <v/>
      </c>
    </row>
    <row r="1647">
      <c r="FC1647" t="inlineStr">
        <is>
          <t>Diccionario 2</t>
        </is>
      </c>
      <c r="FD1647" s="15" t="inlineStr">
        <is>
          <t>GCBF-45</t>
        </is>
      </c>
      <c r="FE1647" s="17" t="inlineStr">
        <is>
          <t>YV3T7U526LA200875</t>
        </is>
      </c>
      <c r="FF1647" s="18" t="n">
        <v>505881</v>
      </c>
      <c r="FG1647" s="18" t="inlineStr">
        <is>
          <t>VOLVO</t>
        </is>
      </c>
      <c r="FH1647" s="18" t="inlineStr">
        <is>
          <t>B8RLEA</t>
        </is>
      </c>
      <c r="FI1647" s="18" t="inlineStr">
        <is>
          <t>MARCOPOLO</t>
        </is>
      </c>
      <c r="FJ1647" s="18" t="inlineStr">
        <is>
          <t>GRAN VIALE</t>
        </is>
      </c>
      <c r="FK1647" s="18" t="n">
        <v>2020</v>
      </c>
      <c r="FL1647" s="18" t="inlineStr">
        <is>
          <t>C</t>
        </is>
      </c>
      <c r="FM1647" s="18" t="inlineStr">
        <is>
          <t>Lo Blanco</t>
        </is>
      </c>
      <c r="FP1647" t="inlineStr">
        <is>
          <t>C</t>
        </is>
      </c>
      <c r="FS1647" s="14" t="inlineStr">
        <is>
          <t>3062 / SFWZ-10|</t>
        </is>
      </c>
      <c r="FT1647" t="inlineStr">
        <is>
          <t>SFWZ-10|</t>
        </is>
      </c>
      <c r="FU1647" t="inlineStr">
        <is>
          <t>SFWZ-10</t>
        </is>
      </c>
      <c r="FV1647">
        <f>VLOOKUP(FU1647,FD:FL,9,0)</f>
        <v/>
      </c>
    </row>
    <row r="1648">
      <c r="FC1648" t="inlineStr">
        <is>
          <t>Diccionario 2</t>
        </is>
      </c>
      <c r="FD1648" s="15" t="inlineStr">
        <is>
          <t>GCBF-46</t>
        </is>
      </c>
      <c r="FE1648" s="17" t="inlineStr">
        <is>
          <t>YV3T7U528LA200876</t>
        </is>
      </c>
      <c r="FF1648" s="18" t="n">
        <v>505895</v>
      </c>
      <c r="FG1648" s="18" t="inlineStr">
        <is>
          <t>VOLVO</t>
        </is>
      </c>
      <c r="FH1648" s="18" t="inlineStr">
        <is>
          <t>B8RLEA</t>
        </is>
      </c>
      <c r="FI1648" s="18" t="inlineStr">
        <is>
          <t>MARCOPOLO</t>
        </is>
      </c>
      <c r="FJ1648" s="18" t="inlineStr">
        <is>
          <t>GRAN VIALE</t>
        </is>
      </c>
      <c r="FK1648" s="18" t="n">
        <v>2020</v>
      </c>
      <c r="FL1648" s="18" t="inlineStr">
        <is>
          <t>C</t>
        </is>
      </c>
      <c r="FM1648" s="18" t="inlineStr">
        <is>
          <t>Recoleta</t>
        </is>
      </c>
      <c r="FP1648" t="inlineStr">
        <is>
          <t>C</t>
        </is>
      </c>
      <c r="FS1648" s="14" t="inlineStr">
        <is>
          <t>3014 / SFWZ-26|</t>
        </is>
      </c>
      <c r="FT1648" t="inlineStr">
        <is>
          <t>SFWZ-26|</t>
        </is>
      </c>
      <c r="FU1648" t="inlineStr">
        <is>
          <t>SFWZ-26</t>
        </is>
      </c>
      <c r="FV1648">
        <f>VLOOKUP(FU1648,FD:FL,9,0)</f>
        <v/>
      </c>
    </row>
    <row r="1649">
      <c r="FC1649" t="inlineStr">
        <is>
          <t>Diccionario 2</t>
        </is>
      </c>
      <c r="FD1649" s="15" t="inlineStr">
        <is>
          <t>GCBF-47</t>
        </is>
      </c>
      <c r="FE1649" s="17" t="inlineStr">
        <is>
          <t>YV3T7U520LA200886</t>
        </is>
      </c>
      <c r="FF1649" s="18" t="n">
        <v>506176</v>
      </c>
      <c r="FG1649" s="18" t="inlineStr">
        <is>
          <t>VOLVO</t>
        </is>
      </c>
      <c r="FH1649" s="18" t="inlineStr">
        <is>
          <t>B8RLEA</t>
        </is>
      </c>
      <c r="FI1649" s="18" t="inlineStr">
        <is>
          <t>MARCOPOLO</t>
        </is>
      </c>
      <c r="FJ1649" s="18" t="inlineStr">
        <is>
          <t>GRAN VIALE</t>
        </is>
      </c>
      <c r="FK1649" s="18" t="n">
        <v>2020</v>
      </c>
      <c r="FL1649" s="18" t="inlineStr">
        <is>
          <t>C</t>
        </is>
      </c>
      <c r="FM1649" s="18" t="inlineStr">
        <is>
          <t>Recoleta</t>
        </is>
      </c>
      <c r="FP1649" t="inlineStr">
        <is>
          <t>C</t>
        </is>
      </c>
      <c r="FS1649" s="14" t="inlineStr">
        <is>
          <t>3107 / SFWZ-85|</t>
        </is>
      </c>
      <c r="FT1649" t="inlineStr">
        <is>
          <t>SFWZ-85|</t>
        </is>
      </c>
      <c r="FU1649" t="inlineStr">
        <is>
          <t>SFWZ-85</t>
        </is>
      </c>
      <c r="FV1649">
        <f>VLOOKUP(FU1649,FD:FL,9,0)</f>
        <v/>
      </c>
    </row>
    <row r="1650">
      <c r="FC1650" t="inlineStr">
        <is>
          <t>Diccionario 2</t>
        </is>
      </c>
      <c r="FD1650" s="15" t="inlineStr">
        <is>
          <t>GCBF-48</t>
        </is>
      </c>
      <c r="FE1650" s="17" t="inlineStr">
        <is>
          <t>YV3T7U522LA200887</t>
        </is>
      </c>
      <c r="FF1650" s="18" t="n">
        <v>506197</v>
      </c>
      <c r="FG1650" s="18" t="inlineStr">
        <is>
          <t>VOLVO</t>
        </is>
      </c>
      <c r="FH1650" s="18" t="inlineStr">
        <is>
          <t>B8RLEA</t>
        </is>
      </c>
      <c r="FI1650" s="18" t="inlineStr">
        <is>
          <t>MARCOPOLO</t>
        </is>
      </c>
      <c r="FJ1650" s="18" t="inlineStr">
        <is>
          <t>GRAN VIALE</t>
        </is>
      </c>
      <c r="FK1650" s="18" t="n">
        <v>2020</v>
      </c>
      <c r="FL1650" s="18" t="inlineStr">
        <is>
          <t>C</t>
        </is>
      </c>
      <c r="FM1650" s="18" t="inlineStr">
        <is>
          <t>Recoleta</t>
        </is>
      </c>
      <c r="FP1650" t="inlineStr">
        <is>
          <t>C</t>
        </is>
      </c>
      <c r="FS1650" s="14" t="inlineStr">
        <is>
          <t>3103 / SFWZ-78|</t>
        </is>
      </c>
      <c r="FT1650" t="inlineStr">
        <is>
          <t>SFWZ-78|</t>
        </is>
      </c>
      <c r="FU1650" t="inlineStr">
        <is>
          <t>SFWZ-78</t>
        </is>
      </c>
      <c r="FV1650">
        <f>VLOOKUP(FU1650,FD:FL,9,0)</f>
        <v/>
      </c>
    </row>
    <row r="1651">
      <c r="FC1651" t="inlineStr">
        <is>
          <t>Diccionario 2</t>
        </is>
      </c>
      <c r="FD1651" s="15" t="inlineStr">
        <is>
          <t>GCBF-49</t>
        </is>
      </c>
      <c r="FE1651" s="17" t="inlineStr">
        <is>
          <t>YV3T7U526LA200925</t>
        </is>
      </c>
      <c r="FF1651" s="18" t="n">
        <v>506187</v>
      </c>
      <c r="FG1651" s="18" t="inlineStr">
        <is>
          <t>VOLVO</t>
        </is>
      </c>
      <c r="FH1651" s="18" t="inlineStr">
        <is>
          <t>B8RLEA</t>
        </is>
      </c>
      <c r="FI1651" s="18" t="inlineStr">
        <is>
          <t>MARCOPOLO</t>
        </is>
      </c>
      <c r="FJ1651" s="18" t="inlineStr">
        <is>
          <t>GRAN VIALE</t>
        </is>
      </c>
      <c r="FK1651" s="18" t="n">
        <v>2020</v>
      </c>
      <c r="FL1651" s="18" t="inlineStr">
        <is>
          <t>C</t>
        </is>
      </c>
      <c r="FM1651" s="18" t="inlineStr">
        <is>
          <t>Recoleta</t>
        </is>
      </c>
      <c r="FP1651" t="inlineStr">
        <is>
          <t>C</t>
        </is>
      </c>
      <c r="FS1651" s="14" t="inlineStr">
        <is>
          <t>3074 / SFWZ-17|</t>
        </is>
      </c>
      <c r="FT1651" t="inlineStr">
        <is>
          <t>SFWZ-17|</t>
        </is>
      </c>
      <c r="FU1651" t="inlineStr">
        <is>
          <t>SFWZ-17</t>
        </is>
      </c>
      <c r="FV1651">
        <f>VLOOKUP(FU1651,FD:FL,9,0)</f>
        <v/>
      </c>
    </row>
    <row r="1652">
      <c r="FC1652" t="inlineStr">
        <is>
          <t>Diccionario 2</t>
        </is>
      </c>
      <c r="FD1652" s="15" t="inlineStr">
        <is>
          <t>GCBF-50</t>
        </is>
      </c>
      <c r="FE1652" s="17" t="inlineStr">
        <is>
          <t>YV3T7U527LA200934</t>
        </is>
      </c>
      <c r="FF1652" s="18" t="n">
        <v>506345</v>
      </c>
      <c r="FG1652" s="18" t="inlineStr">
        <is>
          <t>VOLVO</t>
        </is>
      </c>
      <c r="FH1652" s="18" t="inlineStr">
        <is>
          <t>B8RLEA</t>
        </is>
      </c>
      <c r="FI1652" s="18" t="inlineStr">
        <is>
          <t>MARCOPOLO</t>
        </is>
      </c>
      <c r="FJ1652" s="18" t="inlineStr">
        <is>
          <t>GRAN VIALE</t>
        </is>
      </c>
      <c r="FK1652" s="18" t="n">
        <v>2020</v>
      </c>
      <c r="FL1652" s="18" t="inlineStr">
        <is>
          <t>C</t>
        </is>
      </c>
      <c r="FM1652" s="18" t="inlineStr">
        <is>
          <t>Recoleta</t>
        </is>
      </c>
      <c r="FP1652" t="inlineStr">
        <is>
          <t>C</t>
        </is>
      </c>
      <c r="FS1652" s="14" t="inlineStr">
        <is>
          <t>3104 / SFWZ-52|</t>
        </is>
      </c>
      <c r="FT1652" t="inlineStr">
        <is>
          <t>SFWZ-52|</t>
        </is>
      </c>
      <c r="FU1652" t="inlineStr">
        <is>
          <t>SFWZ-52</t>
        </is>
      </c>
      <c r="FV1652">
        <f>VLOOKUP(FU1652,FD:FL,9,0)</f>
        <v/>
      </c>
    </row>
    <row r="1653">
      <c r="FC1653" t="inlineStr">
        <is>
          <t>Diccionario 2</t>
        </is>
      </c>
      <c r="FD1653" s="15" t="inlineStr">
        <is>
          <t>GCBF-51</t>
        </is>
      </c>
      <c r="FE1653" s="17" t="inlineStr">
        <is>
          <t>YV3T7U529LA200935</t>
        </is>
      </c>
      <c r="FF1653" s="18" t="n">
        <v>506403</v>
      </c>
      <c r="FG1653" s="18" t="inlineStr">
        <is>
          <t>VOLVO</t>
        </is>
      </c>
      <c r="FH1653" s="18" t="inlineStr">
        <is>
          <t>B8RLEA</t>
        </is>
      </c>
      <c r="FI1653" s="18" t="inlineStr">
        <is>
          <t>MARCOPOLO</t>
        </is>
      </c>
      <c r="FJ1653" s="18" t="inlineStr">
        <is>
          <t>GRAN VIALE</t>
        </is>
      </c>
      <c r="FK1653" s="18" t="n">
        <v>2020</v>
      </c>
      <c r="FL1653" s="18" t="inlineStr">
        <is>
          <t>C</t>
        </is>
      </c>
      <c r="FM1653" s="18" t="inlineStr">
        <is>
          <t>Recoleta</t>
        </is>
      </c>
      <c r="FP1653" t="inlineStr">
        <is>
          <t>C</t>
        </is>
      </c>
      <c r="FS1653" s="14" t="inlineStr">
        <is>
          <t>3105 / SFWZ-54|</t>
        </is>
      </c>
      <c r="FT1653" t="inlineStr">
        <is>
          <t>SFWZ-54|</t>
        </is>
      </c>
      <c r="FU1653" t="inlineStr">
        <is>
          <t>SFWZ-54</t>
        </is>
      </c>
      <c r="FV1653">
        <f>VLOOKUP(FU1653,FD:FL,9,0)</f>
        <v/>
      </c>
    </row>
    <row r="1654">
      <c r="FC1654" t="inlineStr">
        <is>
          <t>Diccionario 2</t>
        </is>
      </c>
      <c r="FD1654" s="15" t="inlineStr">
        <is>
          <t>GCBF-52</t>
        </is>
      </c>
      <c r="FE1654" s="17" t="inlineStr">
        <is>
          <t>YV3T7U520LA200936</t>
        </is>
      </c>
      <c r="FF1654" s="18" t="n">
        <v>506358</v>
      </c>
      <c r="FG1654" s="18" t="inlineStr">
        <is>
          <t>VOLVO</t>
        </is>
      </c>
      <c r="FH1654" s="18" t="inlineStr">
        <is>
          <t>B8RLEA</t>
        </is>
      </c>
      <c r="FI1654" s="18" t="inlineStr">
        <is>
          <t>MARCOPOLO</t>
        </is>
      </c>
      <c r="FJ1654" s="18" t="inlineStr">
        <is>
          <t>GRAN VIALE</t>
        </is>
      </c>
      <c r="FK1654" s="18" t="n">
        <v>2020</v>
      </c>
      <c r="FL1654" s="18" t="inlineStr">
        <is>
          <t>C</t>
        </is>
      </c>
      <c r="FM1654" s="18" t="inlineStr">
        <is>
          <t>Recoleta</t>
        </is>
      </c>
      <c r="FP1654" t="inlineStr">
        <is>
          <t>C</t>
        </is>
      </c>
      <c r="FS1654" s="14" t="inlineStr">
        <is>
          <t>3106 / SFWZ-68|</t>
        </is>
      </c>
      <c r="FT1654" t="inlineStr">
        <is>
          <t>SFWZ-68|</t>
        </is>
      </c>
      <c r="FU1654" t="inlineStr">
        <is>
          <t>SFWZ-68</t>
        </is>
      </c>
      <c r="FV1654">
        <f>VLOOKUP(FU1654,FD:FL,9,0)</f>
        <v/>
      </c>
    </row>
    <row r="1655">
      <c r="FC1655" t="inlineStr">
        <is>
          <t>Diccionario 2</t>
        </is>
      </c>
      <c r="FD1655" s="15" t="inlineStr">
        <is>
          <t>GCBF-53</t>
        </is>
      </c>
      <c r="FE1655" s="17" t="inlineStr">
        <is>
          <t>YV3T7U524LA200969</t>
        </is>
      </c>
      <c r="FF1655" s="18" t="n">
        <v>506311</v>
      </c>
      <c r="FG1655" s="18" t="inlineStr">
        <is>
          <t>VOLVO</t>
        </is>
      </c>
      <c r="FH1655" s="18" t="inlineStr">
        <is>
          <t>B8RLEA</t>
        </is>
      </c>
      <c r="FI1655" s="18" t="inlineStr">
        <is>
          <t>MARCOPOLO</t>
        </is>
      </c>
      <c r="FJ1655" s="18" t="inlineStr">
        <is>
          <t>GRAN VIALE</t>
        </is>
      </c>
      <c r="FK1655" s="18" t="n">
        <v>2020</v>
      </c>
      <c r="FL1655" s="18" t="inlineStr">
        <is>
          <t>C</t>
        </is>
      </c>
      <c r="FM1655" s="18" t="inlineStr">
        <is>
          <t>Recoleta</t>
        </is>
      </c>
      <c r="FP1655" t="inlineStr">
        <is>
          <t>C</t>
        </is>
      </c>
      <c r="FS1655" s="14" t="inlineStr">
        <is>
          <t>3065 / SFVZ-40|</t>
        </is>
      </c>
      <c r="FT1655" t="inlineStr">
        <is>
          <t>SFVZ-40|</t>
        </is>
      </c>
      <c r="FU1655" t="inlineStr">
        <is>
          <t>SFVZ-40</t>
        </is>
      </c>
      <c r="FV1655">
        <f>VLOOKUP(FU1655,FD:FL,9,0)</f>
        <v/>
      </c>
    </row>
    <row r="1656">
      <c r="FC1656" t="inlineStr">
        <is>
          <t>Diccionario 2</t>
        </is>
      </c>
      <c r="FD1656" s="15" t="inlineStr">
        <is>
          <t>LXWT-82</t>
        </is>
      </c>
      <c r="FE1656" s="17" t="inlineStr">
        <is>
          <t>YV3T7U524LA200924</t>
        </is>
      </c>
      <c r="FF1656" s="18" t="n">
        <v>506179</v>
      </c>
      <c r="FG1656" s="18" t="inlineStr">
        <is>
          <t>VOLVO</t>
        </is>
      </c>
      <c r="FH1656" s="18" t="inlineStr">
        <is>
          <t>B8RLEA</t>
        </is>
      </c>
      <c r="FI1656" s="18" t="inlineStr">
        <is>
          <t>MARCOPOLO</t>
        </is>
      </c>
      <c r="FJ1656" s="18" t="inlineStr">
        <is>
          <t>GRAN VIALE</t>
        </is>
      </c>
      <c r="FK1656" s="18" t="n">
        <v>2020</v>
      </c>
      <c r="FL1656" s="18" t="inlineStr">
        <is>
          <t>C</t>
        </is>
      </c>
      <c r="FM1656" s="18" t="inlineStr">
        <is>
          <t>Recoleta</t>
        </is>
      </c>
      <c r="FP1656" t="inlineStr">
        <is>
          <t>C</t>
        </is>
      </c>
      <c r="FS1656" s="14" t="inlineStr">
        <is>
          <t>VJKG-37|</t>
        </is>
      </c>
      <c r="FT1656" t="inlineStr">
        <is>
          <t>VJKG-37|</t>
        </is>
      </c>
      <c r="FU1656" t="inlineStr">
        <is>
          <t>VJKG-37</t>
        </is>
      </c>
      <c r="FV1656">
        <f>VLOOKUP(FU1656,FD:FL,9,0)</f>
        <v/>
      </c>
    </row>
    <row r="1657">
      <c r="FC1657" t="inlineStr">
        <is>
          <t>Diccionario 2</t>
        </is>
      </c>
      <c r="FD1657" s="15" t="inlineStr">
        <is>
          <t>LXWT-83</t>
        </is>
      </c>
      <c r="FE1657" s="17" t="inlineStr">
        <is>
          <t>YV3T7U522LA200873</t>
        </is>
      </c>
      <c r="FF1657" s="18" t="n">
        <v>505882</v>
      </c>
      <c r="FG1657" s="18" t="inlineStr">
        <is>
          <t>VOLVO</t>
        </is>
      </c>
      <c r="FH1657" s="18" t="inlineStr">
        <is>
          <t>B8RLEA</t>
        </is>
      </c>
      <c r="FI1657" s="18" t="inlineStr">
        <is>
          <t>MARCOPOLO</t>
        </is>
      </c>
      <c r="FJ1657" s="18" t="inlineStr">
        <is>
          <t>GRAN VIALE</t>
        </is>
      </c>
      <c r="FK1657" s="18" t="n">
        <v>2020</v>
      </c>
      <c r="FL1657" s="18" t="inlineStr">
        <is>
          <t>C</t>
        </is>
      </c>
      <c r="FM1657" s="18" t="inlineStr">
        <is>
          <t>Recoleta</t>
        </is>
      </c>
      <c r="FP1657" t="inlineStr">
        <is>
          <t>C</t>
        </is>
      </c>
      <c r="FS1657" s="14" t="inlineStr">
        <is>
          <t>3005 / SFWZ-39|</t>
        </is>
      </c>
      <c r="FT1657" t="inlineStr">
        <is>
          <t>SFWZ-39|</t>
        </is>
      </c>
      <c r="FU1657" t="inlineStr">
        <is>
          <t>SFWZ-39</t>
        </is>
      </c>
      <c r="FV1657">
        <f>VLOOKUP(FU1657,FD:FL,9,0)</f>
        <v/>
      </c>
    </row>
    <row r="1658">
      <c r="FC1658" t="inlineStr">
        <is>
          <t>Diccionario 2</t>
        </is>
      </c>
      <c r="FD1658" s="15" t="inlineStr">
        <is>
          <t>LXWT-84</t>
        </is>
      </c>
      <c r="FE1658" s="17" t="inlineStr">
        <is>
          <t>YV3T7U520LA198721</t>
        </is>
      </c>
      <c r="FF1658" s="18" t="n">
        <v>500916</v>
      </c>
      <c r="FG1658" s="18" t="inlineStr">
        <is>
          <t>VOLVO</t>
        </is>
      </c>
      <c r="FH1658" s="18" t="inlineStr">
        <is>
          <t>B8RLEA</t>
        </is>
      </c>
      <c r="FI1658" s="18" t="inlineStr">
        <is>
          <t>MARCOPOLO</t>
        </is>
      </c>
      <c r="FJ1658" s="18" t="inlineStr">
        <is>
          <t>GRAN VIALE</t>
        </is>
      </c>
      <c r="FK1658" s="18" t="n">
        <v>2020</v>
      </c>
      <c r="FL1658" s="18" t="inlineStr">
        <is>
          <t>C</t>
        </is>
      </c>
      <c r="FM1658" s="18" t="inlineStr">
        <is>
          <t>Lo Blanco</t>
        </is>
      </c>
      <c r="FP1658" t="inlineStr">
        <is>
          <t>C</t>
        </is>
      </c>
      <c r="FS1658" s="14" t="inlineStr">
        <is>
          <t>VJKF-46|</t>
        </is>
      </c>
      <c r="FT1658" t="inlineStr">
        <is>
          <t>VJKF-46|</t>
        </is>
      </c>
      <c r="FU1658" t="inlineStr">
        <is>
          <t>VJKF-46</t>
        </is>
      </c>
      <c r="FV1658">
        <f>VLOOKUP(FU1658,FD:FL,9,0)</f>
        <v/>
      </c>
    </row>
    <row r="1659">
      <c r="FC1659" t="inlineStr">
        <is>
          <t>Diccionario 2</t>
        </is>
      </c>
      <c r="FD1659" s="15" t="inlineStr">
        <is>
          <t>LXWT-85</t>
        </is>
      </c>
      <c r="FE1659" s="17" t="inlineStr">
        <is>
          <t>YV3T7U52XLA200832</t>
        </is>
      </c>
      <c r="FF1659" s="18" t="n">
        <v>505962</v>
      </c>
      <c r="FG1659" s="18" t="inlineStr">
        <is>
          <t>VOLVO</t>
        </is>
      </c>
      <c r="FH1659" s="18" t="inlineStr">
        <is>
          <t>B8RLEA</t>
        </is>
      </c>
      <c r="FI1659" s="18" t="inlineStr">
        <is>
          <t>MARCOPOLO</t>
        </is>
      </c>
      <c r="FJ1659" s="18" t="inlineStr">
        <is>
          <t>GRAN VIALE</t>
        </is>
      </c>
      <c r="FK1659" s="18" t="n">
        <v>2020</v>
      </c>
      <c r="FL1659" s="18" t="inlineStr">
        <is>
          <t>C</t>
        </is>
      </c>
      <c r="FM1659" s="18" t="inlineStr">
        <is>
          <t>Recoleta</t>
        </is>
      </c>
      <c r="FP1659" t="inlineStr">
        <is>
          <t>C</t>
        </is>
      </c>
      <c r="FS1659" s="14" t="inlineStr">
        <is>
          <t>VJYJ-35|</t>
        </is>
      </c>
      <c r="FT1659" t="inlineStr">
        <is>
          <t>VJYJ-35|</t>
        </is>
      </c>
      <c r="FU1659" t="inlineStr">
        <is>
          <t>VJYJ-35</t>
        </is>
      </c>
      <c r="FV1659">
        <f>VLOOKUP(FU1659,FD:FL,9,0)</f>
        <v/>
      </c>
    </row>
    <row r="1660">
      <c r="FC1660" t="inlineStr">
        <is>
          <t>Diccionario 2</t>
        </is>
      </c>
      <c r="FD1660" s="15" t="inlineStr">
        <is>
          <t>LXWT-86</t>
        </is>
      </c>
      <c r="FE1660" s="17" t="inlineStr">
        <is>
          <t>YV3T7U52XLA200863</t>
        </is>
      </c>
      <c r="FF1660" s="18" t="n">
        <v>505947</v>
      </c>
      <c r="FG1660" s="18" t="inlineStr">
        <is>
          <t>VOLVO</t>
        </is>
      </c>
      <c r="FH1660" s="18" t="inlineStr">
        <is>
          <t>B8RLEA</t>
        </is>
      </c>
      <c r="FI1660" s="18" t="inlineStr">
        <is>
          <t>MARCOPOLO</t>
        </is>
      </c>
      <c r="FJ1660" s="18" t="inlineStr">
        <is>
          <t>GRAN VIALE</t>
        </is>
      </c>
      <c r="FK1660" s="18" t="n">
        <v>2020</v>
      </c>
      <c r="FL1660" s="18" t="inlineStr">
        <is>
          <t>C</t>
        </is>
      </c>
      <c r="FM1660" s="18" t="inlineStr">
        <is>
          <t>Recoleta</t>
        </is>
      </c>
      <c r="FP1660" t="inlineStr">
        <is>
          <t>C</t>
        </is>
      </c>
      <c r="FS1660" s="14" t="inlineStr">
        <is>
          <t>3097 / SFWZ-77|</t>
        </is>
      </c>
      <c r="FT1660" t="inlineStr">
        <is>
          <t>SFWZ-77|</t>
        </is>
      </c>
      <c r="FU1660" t="inlineStr">
        <is>
          <t>SFWZ-77</t>
        </is>
      </c>
      <c r="FV1660">
        <f>VLOOKUP(FU1660,FD:FL,9,0)</f>
        <v/>
      </c>
    </row>
    <row r="1661">
      <c r="FC1661" t="inlineStr">
        <is>
          <t>Diccionario 2</t>
        </is>
      </c>
      <c r="FD1661" s="15" t="inlineStr">
        <is>
          <t>LXWT-87</t>
        </is>
      </c>
      <c r="FE1661" s="17" t="inlineStr">
        <is>
          <t>YV3T7U528LA200831</t>
        </is>
      </c>
      <c r="FF1661" s="18" t="n">
        <v>505956</v>
      </c>
      <c r="FG1661" s="18" t="inlineStr">
        <is>
          <t>VOLVO</t>
        </is>
      </c>
      <c r="FH1661" s="18" t="inlineStr">
        <is>
          <t>B8RLEA</t>
        </is>
      </c>
      <c r="FI1661" s="18" t="inlineStr">
        <is>
          <t>MARCOPOLO</t>
        </is>
      </c>
      <c r="FJ1661" s="18" t="inlineStr">
        <is>
          <t>GRAN VIALE</t>
        </is>
      </c>
      <c r="FK1661" s="18" t="n">
        <v>2020</v>
      </c>
      <c r="FL1661" s="18" t="inlineStr">
        <is>
          <t>C</t>
        </is>
      </c>
      <c r="FM1661" s="18" t="inlineStr">
        <is>
          <t>Recoleta</t>
        </is>
      </c>
      <c r="FP1661" t="inlineStr">
        <is>
          <t>C</t>
        </is>
      </c>
      <c r="FS1661" s="14" t="inlineStr">
        <is>
          <t>3063 / SFWZ-21|</t>
        </is>
      </c>
      <c r="FT1661" t="inlineStr">
        <is>
          <t>SFWZ-21|</t>
        </is>
      </c>
      <c r="FU1661" t="inlineStr">
        <is>
          <t>SFWZ-21</t>
        </is>
      </c>
      <c r="FV1661">
        <f>VLOOKUP(FU1661,FD:FL,9,0)</f>
        <v/>
      </c>
    </row>
    <row r="1662">
      <c r="FC1662" t="inlineStr">
        <is>
          <t>Diccionario 2</t>
        </is>
      </c>
      <c r="FD1662" s="15" t="inlineStr">
        <is>
          <t>LXWT-88</t>
        </is>
      </c>
      <c r="FE1662" s="17" t="inlineStr">
        <is>
          <t>YV3T7U528LA200862</t>
        </is>
      </c>
      <c r="FF1662" s="18" t="n">
        <v>505976</v>
      </c>
      <c r="FG1662" s="18" t="inlineStr">
        <is>
          <t>VOLVO</t>
        </is>
      </c>
      <c r="FH1662" s="18" t="inlineStr">
        <is>
          <t>B8RLEA</t>
        </is>
      </c>
      <c r="FI1662" s="18" t="inlineStr">
        <is>
          <t>MARCOPOLO</t>
        </is>
      </c>
      <c r="FJ1662" s="18" t="inlineStr">
        <is>
          <t>GRAN VIALE</t>
        </is>
      </c>
      <c r="FK1662" s="18" t="n">
        <v>2020</v>
      </c>
      <c r="FL1662" s="18" t="inlineStr">
        <is>
          <t>C</t>
        </is>
      </c>
      <c r="FM1662" s="18" t="inlineStr">
        <is>
          <t>Recoleta</t>
        </is>
      </c>
      <c r="FP1662" t="inlineStr">
        <is>
          <t>C</t>
        </is>
      </c>
      <c r="FS1662" s="14" t="inlineStr">
        <is>
          <t>3030 / SFWZ-14|</t>
        </is>
      </c>
      <c r="FT1662" t="inlineStr">
        <is>
          <t>SFWZ-14|</t>
        </is>
      </c>
      <c r="FU1662" t="inlineStr">
        <is>
          <t>SFWZ-14</t>
        </is>
      </c>
      <c r="FV1662">
        <f>VLOOKUP(FU1662,FD:FL,9,0)</f>
        <v/>
      </c>
    </row>
    <row r="1663">
      <c r="FC1663" t="inlineStr">
        <is>
          <t>Diccionario 2</t>
        </is>
      </c>
      <c r="FD1663" s="15" t="inlineStr">
        <is>
          <t>LXWT-89</t>
        </is>
      </c>
      <c r="FE1663" s="17" t="inlineStr">
        <is>
          <t>YV3T7U521LA201271</t>
        </is>
      </c>
      <c r="FF1663" s="18" t="n">
        <v>507683</v>
      </c>
      <c r="FG1663" s="18" t="inlineStr">
        <is>
          <t>VOLVO</t>
        </is>
      </c>
      <c r="FH1663" s="18" t="inlineStr">
        <is>
          <t>B8RLEA</t>
        </is>
      </c>
      <c r="FI1663" s="18" t="inlineStr">
        <is>
          <t>MARCOPOLO</t>
        </is>
      </c>
      <c r="FJ1663" s="18" t="inlineStr">
        <is>
          <t>GRAN VIALE</t>
        </is>
      </c>
      <c r="FK1663" s="18" t="n">
        <v>2020</v>
      </c>
      <c r="FL1663" s="18" t="inlineStr">
        <is>
          <t>C</t>
        </is>
      </c>
      <c r="FM1663" s="18" t="inlineStr">
        <is>
          <t>Lo Blanco</t>
        </is>
      </c>
      <c r="FP1663" t="inlineStr">
        <is>
          <t>C</t>
        </is>
      </c>
      <c r="FS1663" s="14" t="inlineStr">
        <is>
          <t>3089 / SFWZ-73|</t>
        </is>
      </c>
      <c r="FT1663" t="inlineStr">
        <is>
          <t>SFWZ-73|</t>
        </is>
      </c>
      <c r="FU1663" t="inlineStr">
        <is>
          <t>SFWZ-73</t>
        </is>
      </c>
      <c r="FV1663">
        <f>VLOOKUP(FU1663,FD:FL,9,0)</f>
        <v/>
      </c>
    </row>
    <row r="1664">
      <c r="FC1664" t="inlineStr">
        <is>
          <t>Diccionario 2</t>
        </is>
      </c>
      <c r="FD1664" s="15" t="inlineStr">
        <is>
          <t>LXWT-90</t>
        </is>
      </c>
      <c r="FE1664" s="17" t="inlineStr">
        <is>
          <t>YV3T7U525LA201208</t>
        </is>
      </c>
      <c r="FF1664" s="18" t="n">
        <v>507344</v>
      </c>
      <c r="FG1664" s="18" t="inlineStr">
        <is>
          <t>VOLVO</t>
        </is>
      </c>
      <c r="FH1664" s="18" t="inlineStr">
        <is>
          <t>B8RLEA</t>
        </is>
      </c>
      <c r="FI1664" s="18" t="inlineStr">
        <is>
          <t>MARCOPOLO</t>
        </is>
      </c>
      <c r="FJ1664" s="18" t="inlineStr">
        <is>
          <t>GRAN VIALE</t>
        </is>
      </c>
      <c r="FK1664" s="18" t="n">
        <v>2020</v>
      </c>
      <c r="FL1664" s="18" t="inlineStr">
        <is>
          <t>C</t>
        </is>
      </c>
      <c r="FM1664" s="18" t="inlineStr">
        <is>
          <t>Lo Blanco</t>
        </is>
      </c>
      <c r="FP1664" t="inlineStr">
        <is>
          <t>C</t>
        </is>
      </c>
      <c r="FS1664" s="14" t="inlineStr">
        <is>
          <t>3007 / SFWB-50|</t>
        </is>
      </c>
      <c r="FT1664" t="inlineStr">
        <is>
          <t>SFWB-50|</t>
        </is>
      </c>
      <c r="FU1664" t="inlineStr">
        <is>
          <t>SFWB-50</t>
        </is>
      </c>
      <c r="FV1664">
        <f>VLOOKUP(FU1664,FD:FL,9,0)</f>
        <v/>
      </c>
    </row>
    <row r="1665">
      <c r="FC1665" t="inlineStr">
        <is>
          <t>Diccionario 2</t>
        </is>
      </c>
      <c r="FD1665" s="15" t="inlineStr">
        <is>
          <t>LXWT-91</t>
        </is>
      </c>
      <c r="FE1665" s="17" t="inlineStr">
        <is>
          <t>YV3T7U524LA200888</t>
        </is>
      </c>
      <c r="FF1665" s="18" t="n">
        <v>506177</v>
      </c>
      <c r="FG1665" s="18" t="inlineStr">
        <is>
          <t>VOLVO</t>
        </is>
      </c>
      <c r="FH1665" s="18" t="inlineStr">
        <is>
          <t>B8RLEA</t>
        </is>
      </c>
      <c r="FI1665" s="18" t="inlineStr">
        <is>
          <t>MARCOPOLO</t>
        </is>
      </c>
      <c r="FJ1665" s="18" t="inlineStr">
        <is>
          <t>GRAN VIALE</t>
        </is>
      </c>
      <c r="FK1665" s="18" t="n">
        <v>2020</v>
      </c>
      <c r="FL1665" s="18" t="inlineStr">
        <is>
          <t>C</t>
        </is>
      </c>
      <c r="FM1665" s="18" t="inlineStr">
        <is>
          <t>Recoleta</t>
        </is>
      </c>
      <c r="FP1665" t="inlineStr">
        <is>
          <t>C</t>
        </is>
      </c>
      <c r="FS1665" s="14" t="inlineStr">
        <is>
          <t>3077 / SFWZ-55|</t>
        </is>
      </c>
      <c r="FT1665" t="inlineStr">
        <is>
          <t>SFWZ-55|</t>
        </is>
      </c>
      <c r="FU1665" t="inlineStr">
        <is>
          <t>SFWZ-55</t>
        </is>
      </c>
      <c r="FV1665">
        <f>VLOOKUP(FU1665,FD:FL,9,0)</f>
        <v/>
      </c>
    </row>
    <row r="1666">
      <c r="FC1666" t="inlineStr">
        <is>
          <t>Diccionario 2</t>
        </is>
      </c>
      <c r="FD1666" s="15" t="inlineStr">
        <is>
          <t>LXWT-92</t>
        </is>
      </c>
      <c r="FE1666" s="17" t="inlineStr">
        <is>
          <t>YV3T7U522LA200923</t>
        </is>
      </c>
      <c r="FF1666" s="18" t="n">
        <v>506195</v>
      </c>
      <c r="FG1666" s="18" t="inlineStr">
        <is>
          <t>VOLVO</t>
        </is>
      </c>
      <c r="FH1666" s="18" t="inlineStr">
        <is>
          <t>B8RLEA</t>
        </is>
      </c>
      <c r="FI1666" s="18" t="inlineStr">
        <is>
          <t>MARCOPOLO</t>
        </is>
      </c>
      <c r="FJ1666" s="18" t="inlineStr">
        <is>
          <t>GRAN VIALE</t>
        </is>
      </c>
      <c r="FK1666" s="18" t="n">
        <v>2020</v>
      </c>
      <c r="FL1666" s="18" t="inlineStr">
        <is>
          <t>C</t>
        </is>
      </c>
      <c r="FM1666" s="18" t="inlineStr">
        <is>
          <t>Lo Blanco</t>
        </is>
      </c>
      <c r="FP1666" t="inlineStr">
        <is>
          <t>C</t>
        </is>
      </c>
      <c r="FS1666" s="14" t="inlineStr">
        <is>
          <t>3048 / SFVZ-96|</t>
        </is>
      </c>
      <c r="FT1666" t="inlineStr">
        <is>
          <t>SFVZ-96|</t>
        </is>
      </c>
      <c r="FU1666" t="inlineStr">
        <is>
          <t>SFVZ-96</t>
        </is>
      </c>
      <c r="FV1666">
        <f>VLOOKUP(FU1666,FD:FL,9,0)</f>
        <v/>
      </c>
    </row>
    <row r="1667">
      <c r="FC1667" t="inlineStr">
        <is>
          <t>Diccionario 2</t>
        </is>
      </c>
      <c r="FD1667" s="15" t="inlineStr">
        <is>
          <t>LXWT-93</t>
        </is>
      </c>
      <c r="FE1667" s="17" t="inlineStr">
        <is>
          <t>YV3T7U525LA201211</t>
        </is>
      </c>
      <c r="FF1667" s="18" t="n">
        <v>507350</v>
      </c>
      <c r="FG1667" s="18" t="inlineStr">
        <is>
          <t>VOLVO</t>
        </is>
      </c>
      <c r="FH1667" s="18" t="inlineStr">
        <is>
          <t>B8RLEA</t>
        </is>
      </c>
      <c r="FI1667" s="18" t="inlineStr">
        <is>
          <t>MARCOPOLO</t>
        </is>
      </c>
      <c r="FJ1667" s="18" t="inlineStr">
        <is>
          <t>GRAN VIALE</t>
        </is>
      </c>
      <c r="FK1667" s="18" t="n">
        <v>2020</v>
      </c>
      <c r="FL1667" s="18" t="inlineStr">
        <is>
          <t>C</t>
        </is>
      </c>
      <c r="FM1667" s="18" t="inlineStr">
        <is>
          <t>Lo Blanco</t>
        </is>
      </c>
      <c r="FP1667" t="inlineStr">
        <is>
          <t>C</t>
        </is>
      </c>
      <c r="FS1667" s="14" t="inlineStr">
        <is>
          <t>3041 / SFVZ-49|</t>
        </is>
      </c>
      <c r="FT1667" t="inlineStr">
        <is>
          <t>SFVZ-49|</t>
        </is>
      </c>
      <c r="FU1667" t="inlineStr">
        <is>
          <t>SFVZ-49</t>
        </is>
      </c>
      <c r="FV1667">
        <f>VLOOKUP(FU1667,FD:FL,9,0)</f>
        <v/>
      </c>
    </row>
    <row r="1668">
      <c r="FC1668" t="inlineStr">
        <is>
          <t>Diccionario 2</t>
        </is>
      </c>
      <c r="FD1668" s="15" t="inlineStr">
        <is>
          <t>LXWT-94</t>
        </is>
      </c>
      <c r="FE1668" s="17" t="inlineStr">
        <is>
          <t>YV3T7U52XLA201317</t>
        </is>
      </c>
      <c r="FF1668" s="18" t="n">
        <v>507672</v>
      </c>
      <c r="FG1668" s="18" t="inlineStr">
        <is>
          <t>VOLVO</t>
        </is>
      </c>
      <c r="FH1668" s="18" t="inlineStr">
        <is>
          <t>B8RLEA</t>
        </is>
      </c>
      <c r="FI1668" s="18" t="inlineStr">
        <is>
          <t>MARCOPOLO</t>
        </is>
      </c>
      <c r="FJ1668" s="18" t="inlineStr">
        <is>
          <t>GRAN VIALE</t>
        </is>
      </c>
      <c r="FK1668" s="18" t="n">
        <v>2020</v>
      </c>
      <c r="FL1668" s="18" t="inlineStr">
        <is>
          <t>C</t>
        </is>
      </c>
      <c r="FM1668" s="18" t="inlineStr">
        <is>
          <t>Lo Blanco</t>
        </is>
      </c>
      <c r="FP1668" t="inlineStr">
        <is>
          <t>C</t>
        </is>
      </c>
      <c r="FS1668" s="14" t="inlineStr">
        <is>
          <t>3012 / SFWB-72|</t>
        </is>
      </c>
      <c r="FT1668" t="inlineStr">
        <is>
          <t>SFWB-72|</t>
        </is>
      </c>
      <c r="FU1668" t="inlineStr">
        <is>
          <t>SFWB-72</t>
        </is>
      </c>
      <c r="FV1668">
        <f>VLOOKUP(FU1668,FD:FL,9,0)</f>
        <v/>
      </c>
    </row>
    <row r="1669">
      <c r="FC1669" t="inlineStr">
        <is>
          <t>Diccionario 2</t>
        </is>
      </c>
      <c r="FD1669" s="15" t="inlineStr">
        <is>
          <t>LXWT-95</t>
        </is>
      </c>
      <c r="FE1669" s="17" t="inlineStr">
        <is>
          <t>YV3T7U523LA201269</t>
        </is>
      </c>
      <c r="FF1669" s="18" t="n">
        <v>507437</v>
      </c>
      <c r="FG1669" s="18" t="inlineStr">
        <is>
          <t>VOLVO</t>
        </is>
      </c>
      <c r="FH1669" s="18" t="inlineStr">
        <is>
          <t>B8RLEA</t>
        </is>
      </c>
      <c r="FI1669" s="18" t="inlineStr">
        <is>
          <t>MARCOPOLO</t>
        </is>
      </c>
      <c r="FJ1669" s="18" t="inlineStr">
        <is>
          <t>GRAN VIALE</t>
        </is>
      </c>
      <c r="FK1669" s="18" t="n">
        <v>2020</v>
      </c>
      <c r="FL1669" s="18" t="inlineStr">
        <is>
          <t>C</t>
        </is>
      </c>
      <c r="FM1669" s="18" t="inlineStr">
        <is>
          <t>Lo Blanco</t>
        </is>
      </c>
      <c r="FP1669" t="inlineStr">
        <is>
          <t>C</t>
        </is>
      </c>
      <c r="FS1669" s="14" t="inlineStr">
        <is>
          <t>3107 / SFWZ-85|</t>
        </is>
      </c>
      <c r="FT1669" t="inlineStr">
        <is>
          <t>SFWZ-85|</t>
        </is>
      </c>
      <c r="FU1669" t="inlineStr">
        <is>
          <t>SFWZ-85</t>
        </is>
      </c>
      <c r="FV1669">
        <f>VLOOKUP(FU1669,FD:FL,9,0)</f>
        <v/>
      </c>
    </row>
    <row r="1670">
      <c r="FC1670" t="inlineStr">
        <is>
          <t>Diccionario 2</t>
        </is>
      </c>
      <c r="FD1670" s="15" t="inlineStr">
        <is>
          <t>LXWT-96</t>
        </is>
      </c>
      <c r="FE1670" s="17" t="inlineStr">
        <is>
          <t>YV3T7U528LA201252</t>
        </is>
      </c>
      <c r="FF1670" s="18" t="n">
        <v>506904</v>
      </c>
      <c r="FG1670" s="18" t="inlineStr">
        <is>
          <t>VOLVO</t>
        </is>
      </c>
      <c r="FH1670" s="18" t="inlineStr">
        <is>
          <t>B8RLEA</t>
        </is>
      </c>
      <c r="FI1670" s="18" t="inlineStr">
        <is>
          <t>MARCOPOLO</t>
        </is>
      </c>
      <c r="FJ1670" s="18" t="inlineStr">
        <is>
          <t>GRAN VIALE</t>
        </is>
      </c>
      <c r="FK1670" s="18" t="n">
        <v>2020</v>
      </c>
      <c r="FL1670" s="18" t="inlineStr">
        <is>
          <t>C</t>
        </is>
      </c>
      <c r="FM1670" s="18" t="inlineStr">
        <is>
          <t>Lo Blanco</t>
        </is>
      </c>
      <c r="FP1670" t="inlineStr">
        <is>
          <t>C</t>
        </is>
      </c>
      <c r="FS1670" s="14" t="inlineStr">
        <is>
          <t>3061 / SFWB-68|</t>
        </is>
      </c>
      <c r="FT1670" t="inlineStr">
        <is>
          <t>SFWB-68|</t>
        </is>
      </c>
      <c r="FU1670" t="inlineStr">
        <is>
          <t>SFWB-68</t>
        </is>
      </c>
      <c r="FV1670">
        <f>VLOOKUP(FU1670,FD:FL,9,0)</f>
        <v/>
      </c>
    </row>
    <row r="1671">
      <c r="FC1671" t="inlineStr">
        <is>
          <t>Diccionario 2</t>
        </is>
      </c>
      <c r="FD1671" s="15" t="inlineStr">
        <is>
          <t>LXWT-97</t>
        </is>
      </c>
      <c r="FE1671" s="17" t="inlineStr">
        <is>
          <t>YV3T7U523LA201210</t>
        </is>
      </c>
      <c r="FF1671" s="18" t="n">
        <v>507372</v>
      </c>
      <c r="FG1671" s="18" t="inlineStr">
        <is>
          <t>VOLVO</t>
        </is>
      </c>
      <c r="FH1671" s="18" t="inlineStr">
        <is>
          <t>B8RLEA</t>
        </is>
      </c>
      <c r="FI1671" s="18" t="inlineStr">
        <is>
          <t>MARCOPOLO</t>
        </is>
      </c>
      <c r="FJ1671" s="18" t="inlineStr">
        <is>
          <t>GRAN VIALE</t>
        </is>
      </c>
      <c r="FK1671" s="18" t="n">
        <v>2020</v>
      </c>
      <c r="FL1671" s="18" t="inlineStr">
        <is>
          <t>C</t>
        </is>
      </c>
      <c r="FM1671" s="18" t="inlineStr">
        <is>
          <t>Lo Blanco</t>
        </is>
      </c>
      <c r="FP1671" t="inlineStr">
        <is>
          <t>C</t>
        </is>
      </c>
      <c r="FS1671" s="14" t="inlineStr">
        <is>
          <t>3062 / SFWZ-10|</t>
        </is>
      </c>
      <c r="FT1671" t="inlineStr">
        <is>
          <t>SFWZ-10|</t>
        </is>
      </c>
      <c r="FU1671" t="inlineStr">
        <is>
          <t>SFWZ-10</t>
        </is>
      </c>
      <c r="FV1671">
        <f>VLOOKUP(FU1671,FD:FL,9,0)</f>
        <v/>
      </c>
    </row>
    <row r="1672">
      <c r="FC1672" t="inlineStr">
        <is>
          <t>Diccionario 2</t>
        </is>
      </c>
      <c r="FD1672" s="15" t="inlineStr">
        <is>
          <t>LXWT-98</t>
        </is>
      </c>
      <c r="FE1672" s="17" t="inlineStr">
        <is>
          <t>YV3T7U522LA201182</t>
        </is>
      </c>
      <c r="FF1672" s="18" t="n">
        <v>506843</v>
      </c>
      <c r="FG1672" s="18" t="inlineStr">
        <is>
          <t>VOLVO</t>
        </is>
      </c>
      <c r="FH1672" s="18" t="inlineStr">
        <is>
          <t>B8RLEA</t>
        </is>
      </c>
      <c r="FI1672" s="18" t="inlineStr">
        <is>
          <t>MARCOPOLO</t>
        </is>
      </c>
      <c r="FJ1672" s="18" t="inlineStr">
        <is>
          <t>GRAN VIALE</t>
        </is>
      </c>
      <c r="FK1672" s="18" t="n">
        <v>2020</v>
      </c>
      <c r="FL1672" s="18" t="inlineStr">
        <is>
          <t>C</t>
        </is>
      </c>
      <c r="FM1672" s="18" t="inlineStr">
        <is>
          <t>Lo Blanco</t>
        </is>
      </c>
      <c r="FP1672" t="inlineStr">
        <is>
          <t>C</t>
        </is>
      </c>
      <c r="FS1672" s="14" t="inlineStr">
        <is>
          <t>3105 / SFWZ-54|</t>
        </is>
      </c>
      <c r="FT1672" t="inlineStr">
        <is>
          <t>SFWZ-54|</t>
        </is>
      </c>
      <c r="FU1672" t="inlineStr">
        <is>
          <t>SFWZ-54</t>
        </is>
      </c>
      <c r="FV1672">
        <f>VLOOKUP(FU1672,FD:FL,9,0)</f>
        <v/>
      </c>
    </row>
    <row r="1673">
      <c r="FC1673" t="inlineStr">
        <is>
          <t>Diccionario 2</t>
        </is>
      </c>
      <c r="FD1673" s="15" t="inlineStr">
        <is>
          <t>LXWT-99</t>
        </is>
      </c>
      <c r="FE1673" s="17" t="inlineStr">
        <is>
          <t>YV3T7U527LA201212</t>
        </is>
      </c>
      <c r="FF1673" s="18" t="n">
        <v>507397</v>
      </c>
      <c r="FG1673" s="18" t="inlineStr">
        <is>
          <t>VOLVO</t>
        </is>
      </c>
      <c r="FH1673" s="18" t="inlineStr">
        <is>
          <t>B8RLEA</t>
        </is>
      </c>
      <c r="FI1673" s="18" t="inlineStr">
        <is>
          <t>MARCOPOLO</t>
        </is>
      </c>
      <c r="FJ1673" s="18" t="inlineStr">
        <is>
          <t>GRAN VIALE</t>
        </is>
      </c>
      <c r="FK1673" s="18" t="n">
        <v>2020</v>
      </c>
      <c r="FL1673" s="18" t="inlineStr">
        <is>
          <t>C</t>
        </is>
      </c>
      <c r="FM1673" s="18" t="inlineStr">
        <is>
          <t>Lo Blanco</t>
        </is>
      </c>
      <c r="FP1673" t="inlineStr">
        <is>
          <t>C</t>
        </is>
      </c>
      <c r="FS1673" s="14" t="inlineStr">
        <is>
          <t>3074 / SFWZ-17|</t>
        </is>
      </c>
      <c r="FT1673" t="inlineStr">
        <is>
          <t>SFWZ-17|</t>
        </is>
      </c>
      <c r="FU1673" t="inlineStr">
        <is>
          <t>SFWZ-17</t>
        </is>
      </c>
      <c r="FV1673">
        <f>VLOOKUP(FU1673,FD:FL,9,0)</f>
        <v/>
      </c>
    </row>
    <row r="1674">
      <c r="FC1674" t="inlineStr">
        <is>
          <t>Diccionario 2</t>
        </is>
      </c>
      <c r="FD1674" s="15" t="inlineStr">
        <is>
          <t>LZPG-10</t>
        </is>
      </c>
      <c r="FE1674" s="17" t="inlineStr">
        <is>
          <t>YV3T7U521LA201254</t>
        </is>
      </c>
      <c r="FF1674" s="18" t="n">
        <v>507451</v>
      </c>
      <c r="FG1674" s="18" t="inlineStr">
        <is>
          <t>VOLVO</t>
        </is>
      </c>
      <c r="FH1674" s="18" t="inlineStr">
        <is>
          <t>B8RLEA</t>
        </is>
      </c>
      <c r="FI1674" s="18" t="inlineStr">
        <is>
          <t>MARCOPOLO</t>
        </is>
      </c>
      <c r="FJ1674" s="18" t="inlineStr">
        <is>
          <t>GRAN VIALE</t>
        </is>
      </c>
      <c r="FK1674" s="18" t="n">
        <v>2020</v>
      </c>
      <c r="FL1674" s="18" t="inlineStr">
        <is>
          <t>C</t>
        </is>
      </c>
      <c r="FM1674" s="18" t="inlineStr">
        <is>
          <t>Lo Blanco</t>
        </is>
      </c>
      <c r="FP1674" t="inlineStr">
        <is>
          <t>C</t>
        </is>
      </c>
      <c r="FS1674" s="14" t="inlineStr">
        <is>
          <t>3104 / SFWZ-52|</t>
        </is>
      </c>
      <c r="FT1674" t="inlineStr">
        <is>
          <t>SFWZ-52|</t>
        </is>
      </c>
      <c r="FU1674" t="inlineStr">
        <is>
          <t>SFWZ-52</t>
        </is>
      </c>
      <c r="FV1674">
        <f>VLOOKUP(FU1674,FD:FL,9,0)</f>
        <v/>
      </c>
    </row>
    <row r="1675">
      <c r="FC1675" t="inlineStr">
        <is>
          <t>Diccionario 2</t>
        </is>
      </c>
      <c r="FD1675" s="15" t="inlineStr">
        <is>
          <t>LZPG-11</t>
        </is>
      </c>
      <c r="FE1675" s="17" t="inlineStr">
        <is>
          <t>YV3T7U523LA201255</t>
        </is>
      </c>
      <c r="FF1675" s="18" t="n">
        <v>507423</v>
      </c>
      <c r="FG1675" s="18" t="inlineStr">
        <is>
          <t>VOLVO</t>
        </is>
      </c>
      <c r="FH1675" s="18" t="inlineStr">
        <is>
          <t>B8RLEA</t>
        </is>
      </c>
      <c r="FI1675" s="18" t="inlineStr">
        <is>
          <t>MARCOPOLO</t>
        </is>
      </c>
      <c r="FJ1675" s="18" t="inlineStr">
        <is>
          <t>GRAN VIALE</t>
        </is>
      </c>
      <c r="FK1675" s="18" t="n">
        <v>2020</v>
      </c>
      <c r="FL1675" s="18" t="inlineStr">
        <is>
          <t>C</t>
        </is>
      </c>
      <c r="FM1675" s="18" t="inlineStr">
        <is>
          <t>Lo Blanco</t>
        </is>
      </c>
      <c r="FP1675" t="inlineStr">
        <is>
          <t>C</t>
        </is>
      </c>
      <c r="FS1675" s="14" t="inlineStr">
        <is>
          <t>3106 / SFWZ-68|</t>
        </is>
      </c>
      <c r="FT1675" t="inlineStr">
        <is>
          <t>SFWZ-68|</t>
        </is>
      </c>
      <c r="FU1675" t="inlineStr">
        <is>
          <t>SFWZ-68</t>
        </is>
      </c>
      <c r="FV1675">
        <f>VLOOKUP(FU1675,FD:FL,9,0)</f>
        <v/>
      </c>
    </row>
    <row r="1676">
      <c r="FC1676" t="inlineStr">
        <is>
          <t>Diccionario 2</t>
        </is>
      </c>
      <c r="FD1676" s="15" t="inlineStr">
        <is>
          <t>LZPG-12</t>
        </is>
      </c>
      <c r="FE1676" s="17" t="inlineStr">
        <is>
          <t>YV3T7U527LA201257</t>
        </is>
      </c>
      <c r="FF1676" s="18" t="n">
        <v>507427</v>
      </c>
      <c r="FG1676" s="18" t="inlineStr">
        <is>
          <t>VOLVO</t>
        </is>
      </c>
      <c r="FH1676" s="18" t="inlineStr">
        <is>
          <t>B8RLEA</t>
        </is>
      </c>
      <c r="FI1676" s="18" t="inlineStr">
        <is>
          <t>MARCOPOLO</t>
        </is>
      </c>
      <c r="FJ1676" s="18" t="inlineStr">
        <is>
          <t>GRAN VIALE</t>
        </is>
      </c>
      <c r="FK1676" s="18" t="n">
        <v>2020</v>
      </c>
      <c r="FL1676" s="18" t="inlineStr">
        <is>
          <t>C</t>
        </is>
      </c>
      <c r="FM1676" s="18" t="inlineStr">
        <is>
          <t>Lo Blanco</t>
        </is>
      </c>
      <c r="FP1676" t="inlineStr">
        <is>
          <t>C</t>
        </is>
      </c>
      <c r="FS1676" s="14" t="inlineStr">
        <is>
          <t>VJYJ-35|</t>
        </is>
      </c>
      <c r="FT1676" t="inlineStr">
        <is>
          <t>VJYJ-35|</t>
        </is>
      </c>
      <c r="FU1676" t="inlineStr">
        <is>
          <t>VJYJ-35</t>
        </is>
      </c>
      <c r="FV1676">
        <f>VLOOKUP(FU1676,FD:FL,9,0)</f>
        <v/>
      </c>
    </row>
    <row r="1677">
      <c r="FC1677" t="inlineStr">
        <is>
          <t>Diccionario 2</t>
        </is>
      </c>
      <c r="FD1677" s="15" t="inlineStr">
        <is>
          <t>LZPG-13</t>
        </is>
      </c>
      <c r="FE1677" s="17" t="inlineStr">
        <is>
          <t>YV3T7U520LA198718</t>
        </is>
      </c>
      <c r="FF1677" s="18" t="n">
        <v>499868</v>
      </c>
      <c r="FG1677" s="18" t="inlineStr">
        <is>
          <t>VOLVO</t>
        </is>
      </c>
      <c r="FH1677" s="18" t="inlineStr">
        <is>
          <t>B8RLEA</t>
        </is>
      </c>
      <c r="FI1677" s="18" t="inlineStr">
        <is>
          <t>MARCOPOLO</t>
        </is>
      </c>
      <c r="FJ1677" s="18" t="inlineStr">
        <is>
          <t>GRAN VIALE</t>
        </is>
      </c>
      <c r="FK1677" s="18" t="n">
        <v>2020</v>
      </c>
      <c r="FL1677" s="18" t="inlineStr">
        <is>
          <t>C</t>
        </is>
      </c>
      <c r="FM1677" s="18" t="inlineStr">
        <is>
          <t>Lo Blanco</t>
        </is>
      </c>
      <c r="FP1677" t="inlineStr">
        <is>
          <t>C</t>
        </is>
      </c>
      <c r="FS1677" s="14" t="inlineStr">
        <is>
          <t>3063 / SFWZ-21|</t>
        </is>
      </c>
      <c r="FT1677" t="inlineStr">
        <is>
          <t>SFWZ-21|</t>
        </is>
      </c>
      <c r="FU1677" t="inlineStr">
        <is>
          <t>SFWZ-21</t>
        </is>
      </c>
      <c r="FV1677">
        <f>VLOOKUP(FU1677,FD:FL,9,0)</f>
        <v/>
      </c>
    </row>
    <row r="1678">
      <c r="FC1678" t="inlineStr">
        <is>
          <t>Diccionario 2</t>
        </is>
      </c>
      <c r="FD1678" s="15" t="inlineStr">
        <is>
          <t>LZPG-14</t>
        </is>
      </c>
      <c r="FE1678" s="17" t="inlineStr">
        <is>
          <t>YV3T7U522LA198719</t>
        </is>
      </c>
      <c r="FF1678" s="18" t="n">
        <v>499801</v>
      </c>
      <c r="FG1678" s="18" t="inlineStr">
        <is>
          <t>VOLVO</t>
        </is>
      </c>
      <c r="FH1678" s="18" t="inlineStr">
        <is>
          <t>B8RLEA</t>
        </is>
      </c>
      <c r="FI1678" s="18" t="inlineStr">
        <is>
          <t>MARCOPOLO</t>
        </is>
      </c>
      <c r="FJ1678" s="18" t="inlineStr">
        <is>
          <t>GRAN VIALE</t>
        </is>
      </c>
      <c r="FK1678" s="18" t="n">
        <v>2020</v>
      </c>
      <c r="FL1678" s="18" t="inlineStr">
        <is>
          <t>C</t>
        </is>
      </c>
      <c r="FM1678" s="18" t="inlineStr">
        <is>
          <t>Lo Blanco</t>
        </is>
      </c>
      <c r="FP1678" t="inlineStr">
        <is>
          <t>C</t>
        </is>
      </c>
      <c r="FS1678" s="14" t="inlineStr">
        <is>
          <t>3097 / SFWZ-77|</t>
        </is>
      </c>
      <c r="FT1678" t="inlineStr">
        <is>
          <t>SFWZ-77|</t>
        </is>
      </c>
      <c r="FU1678" t="inlineStr">
        <is>
          <t>SFWZ-77</t>
        </is>
      </c>
      <c r="FV1678">
        <f>VLOOKUP(FU1678,FD:FL,9,0)</f>
        <v/>
      </c>
    </row>
    <row r="1679">
      <c r="FC1679" t="inlineStr">
        <is>
          <t>Diccionario 2</t>
        </is>
      </c>
      <c r="FD1679" s="15" t="inlineStr">
        <is>
          <t>LZPG-15</t>
        </is>
      </c>
      <c r="FE1679" s="17" t="inlineStr">
        <is>
          <t>YV3T7U52XLA200989</t>
        </is>
      </c>
      <c r="FF1679" s="18" t="n">
        <v>506525</v>
      </c>
      <c r="FG1679" s="18" t="inlineStr">
        <is>
          <t>VOLVO</t>
        </is>
      </c>
      <c r="FH1679" s="18" t="inlineStr">
        <is>
          <t>B8RLEA</t>
        </is>
      </c>
      <c r="FI1679" s="18" t="inlineStr">
        <is>
          <t>MARCOPOLO</t>
        </is>
      </c>
      <c r="FJ1679" s="18" t="inlineStr">
        <is>
          <t>GRAN VIALE</t>
        </is>
      </c>
      <c r="FK1679" s="18" t="n">
        <v>2020</v>
      </c>
      <c r="FL1679" s="18" t="inlineStr">
        <is>
          <t>C</t>
        </is>
      </c>
      <c r="FM1679" s="18" t="inlineStr">
        <is>
          <t>Recoleta</t>
        </is>
      </c>
      <c r="FP1679" t="inlineStr">
        <is>
          <t>C</t>
        </is>
      </c>
      <c r="FS1679" s="14" t="inlineStr">
        <is>
          <t>VJKG-37|</t>
        </is>
      </c>
      <c r="FT1679" t="inlineStr">
        <is>
          <t>VJKG-37|</t>
        </is>
      </c>
      <c r="FU1679" t="inlineStr">
        <is>
          <t>VJKG-37</t>
        </is>
      </c>
      <c r="FV1679">
        <f>VLOOKUP(FU1679,FD:FL,9,0)</f>
        <v/>
      </c>
    </row>
    <row r="1680">
      <c r="FC1680" t="inlineStr">
        <is>
          <t>Diccionario 2</t>
        </is>
      </c>
      <c r="FD1680" s="15" t="inlineStr">
        <is>
          <t>LZPG-16</t>
        </is>
      </c>
      <c r="FE1680" s="17" t="inlineStr">
        <is>
          <t>YV3T7U529LA198717</t>
        </is>
      </c>
      <c r="FF1680" s="18" t="n">
        <v>501057</v>
      </c>
      <c r="FG1680" s="18" t="inlineStr">
        <is>
          <t>VOLVO</t>
        </is>
      </c>
      <c r="FH1680" s="18" t="inlineStr">
        <is>
          <t>B8RLEA</t>
        </is>
      </c>
      <c r="FI1680" s="18" t="inlineStr">
        <is>
          <t>MARCOPOLO</t>
        </is>
      </c>
      <c r="FJ1680" s="18" t="inlineStr">
        <is>
          <t>GRAN VIALE</t>
        </is>
      </c>
      <c r="FK1680" s="18" t="n">
        <v>2020</v>
      </c>
      <c r="FL1680" s="18" t="inlineStr">
        <is>
          <t>C</t>
        </is>
      </c>
      <c r="FM1680" s="18" t="inlineStr">
        <is>
          <t>Recoleta</t>
        </is>
      </c>
      <c r="FP1680" t="inlineStr">
        <is>
          <t>C</t>
        </is>
      </c>
      <c r="FS1680" s="14" t="inlineStr">
        <is>
          <t>3048 / SFVZ-96|</t>
        </is>
      </c>
      <c r="FT1680" t="inlineStr">
        <is>
          <t>SFVZ-96|</t>
        </is>
      </c>
      <c r="FU1680" t="inlineStr">
        <is>
          <t>SFVZ-96</t>
        </is>
      </c>
      <c r="FV1680">
        <f>VLOOKUP(FU1680,FD:FL,9,0)</f>
        <v/>
      </c>
    </row>
    <row r="1681">
      <c r="FC1681" t="inlineStr">
        <is>
          <t>Diccionario 2</t>
        </is>
      </c>
      <c r="FD1681" s="15" t="inlineStr">
        <is>
          <t>LZPG-17</t>
        </is>
      </c>
      <c r="FE1681" s="17" t="inlineStr">
        <is>
          <t>YV3T7U529LA198720</t>
        </is>
      </c>
      <c r="FF1681" s="18" t="n">
        <v>500912</v>
      </c>
      <c r="FG1681" s="18" t="inlineStr">
        <is>
          <t>VOLVO</t>
        </is>
      </c>
      <c r="FH1681" s="18" t="inlineStr">
        <is>
          <t>B8RLEA</t>
        </is>
      </c>
      <c r="FI1681" s="18" t="inlineStr">
        <is>
          <t>MARCOPOLO</t>
        </is>
      </c>
      <c r="FJ1681" s="18" t="inlineStr">
        <is>
          <t>GRAN VIALE</t>
        </is>
      </c>
      <c r="FK1681" s="18" t="n">
        <v>2020</v>
      </c>
      <c r="FL1681" s="18" t="inlineStr">
        <is>
          <t>C</t>
        </is>
      </c>
      <c r="FM1681" s="18" t="inlineStr">
        <is>
          <t>Lo Blanco</t>
        </is>
      </c>
      <c r="FP1681" t="inlineStr">
        <is>
          <t>C</t>
        </is>
      </c>
      <c r="FS1681" s="14" t="inlineStr">
        <is>
          <t>VJKF-46|</t>
        </is>
      </c>
      <c r="FT1681" t="inlineStr">
        <is>
          <t>VJKF-46|</t>
        </is>
      </c>
      <c r="FU1681" t="inlineStr">
        <is>
          <t>VJKF-46</t>
        </is>
      </c>
      <c r="FV1681">
        <f>VLOOKUP(FU1681,FD:FL,9,0)</f>
        <v/>
      </c>
    </row>
    <row r="1682">
      <c r="FC1682" t="inlineStr">
        <is>
          <t>Diccionario 2</t>
        </is>
      </c>
      <c r="FD1682" s="15" t="inlineStr">
        <is>
          <t>LZPG-18</t>
        </is>
      </c>
      <c r="FE1682" s="17" t="inlineStr">
        <is>
          <t>YV3T7U525LA201256</t>
        </is>
      </c>
      <c r="FF1682" s="18" t="n">
        <v>507442</v>
      </c>
      <c r="FG1682" s="18" t="inlineStr">
        <is>
          <t>VOLVO</t>
        </is>
      </c>
      <c r="FH1682" s="18" t="inlineStr">
        <is>
          <t>B8RLEA</t>
        </is>
      </c>
      <c r="FI1682" s="18" t="inlineStr">
        <is>
          <t>MARCOPOLO</t>
        </is>
      </c>
      <c r="FJ1682" s="18" t="inlineStr">
        <is>
          <t>GRAN VIALE</t>
        </is>
      </c>
      <c r="FK1682" s="18" t="n">
        <v>2020</v>
      </c>
      <c r="FL1682" s="18" t="inlineStr">
        <is>
          <t>C</t>
        </is>
      </c>
      <c r="FM1682" s="18" t="inlineStr">
        <is>
          <t>Lo Blanco</t>
        </is>
      </c>
      <c r="FP1682" t="inlineStr">
        <is>
          <t>C</t>
        </is>
      </c>
      <c r="FS1682" s="14" t="inlineStr">
        <is>
          <t>3066 / SFWB-10|</t>
        </is>
      </c>
      <c r="FT1682" t="inlineStr">
        <is>
          <t>SFWB-10|</t>
        </is>
      </c>
      <c r="FU1682" t="inlineStr">
        <is>
          <t>SFWB-10</t>
        </is>
      </c>
      <c r="FV1682">
        <f>VLOOKUP(FU1682,FD:FL,9,0)</f>
        <v/>
      </c>
    </row>
    <row r="1683">
      <c r="FC1683" t="inlineStr">
        <is>
          <t>Diccionario 2</t>
        </is>
      </c>
      <c r="FD1683" s="15" t="inlineStr">
        <is>
          <t>LZPG-19</t>
        </is>
      </c>
      <c r="FE1683" s="17" t="inlineStr">
        <is>
          <t>YV3T7U528LA200988</t>
        </is>
      </c>
      <c r="FF1683" s="18" t="n">
        <v>506479</v>
      </c>
      <c r="FG1683" s="18" t="inlineStr">
        <is>
          <t>VOLVO</t>
        </is>
      </c>
      <c r="FH1683" s="18" t="inlineStr">
        <is>
          <t>B8RLEA</t>
        </is>
      </c>
      <c r="FI1683" s="18" t="inlineStr">
        <is>
          <t>MARCOPOLO</t>
        </is>
      </c>
      <c r="FJ1683" s="18" t="inlineStr">
        <is>
          <t>GRAN VIALE</t>
        </is>
      </c>
      <c r="FK1683" s="18" t="n">
        <v>2020</v>
      </c>
      <c r="FL1683" s="18" t="inlineStr">
        <is>
          <t>C</t>
        </is>
      </c>
      <c r="FM1683" s="18" t="inlineStr">
        <is>
          <t>Lo Blanco</t>
        </is>
      </c>
      <c r="FP1683" t="inlineStr">
        <is>
          <t>C</t>
        </is>
      </c>
      <c r="FS1683" s="14" t="inlineStr">
        <is>
          <t>3030 / SFWZ-14|</t>
        </is>
      </c>
      <c r="FT1683" t="inlineStr">
        <is>
          <t>SFWZ-14|</t>
        </is>
      </c>
      <c r="FU1683" t="inlineStr">
        <is>
          <t>SFWZ-14</t>
        </is>
      </c>
      <c r="FV1683">
        <f>VLOOKUP(FU1683,FD:FL,9,0)</f>
        <v/>
      </c>
    </row>
    <row r="1684">
      <c r="FC1684" t="inlineStr">
        <is>
          <t>Diccionario 2</t>
        </is>
      </c>
      <c r="FD1684" s="15" t="inlineStr">
        <is>
          <t>LZPG-20</t>
        </is>
      </c>
      <c r="FE1684" s="17" t="inlineStr">
        <is>
          <t>YV3T7U525LA201032</t>
        </is>
      </c>
      <c r="FF1684" s="18" t="n">
        <v>506651</v>
      </c>
      <c r="FG1684" s="18" t="inlineStr">
        <is>
          <t>VOLVO</t>
        </is>
      </c>
      <c r="FH1684" s="18" t="inlineStr">
        <is>
          <t>B8RLEA</t>
        </is>
      </c>
      <c r="FI1684" s="18" t="inlineStr">
        <is>
          <t>MARCOPOLO</t>
        </is>
      </c>
      <c r="FJ1684" s="18" t="inlineStr">
        <is>
          <t>GRAN VIALE</t>
        </is>
      </c>
      <c r="FK1684" s="18" t="n">
        <v>2020</v>
      </c>
      <c r="FL1684" s="18" t="inlineStr">
        <is>
          <t>C</t>
        </is>
      </c>
      <c r="FM1684" s="18" t="inlineStr">
        <is>
          <t>Lo Blanco</t>
        </is>
      </c>
      <c r="FP1684" t="inlineStr">
        <is>
          <t>C</t>
        </is>
      </c>
      <c r="FS1684" s="14" t="inlineStr">
        <is>
          <t>3107 / SFWZ-85|</t>
        </is>
      </c>
      <c r="FT1684" t="inlineStr">
        <is>
          <t>SFWZ-85|</t>
        </is>
      </c>
      <c r="FU1684" t="inlineStr">
        <is>
          <t>SFWZ-85</t>
        </is>
      </c>
      <c r="FV1684">
        <f>VLOOKUP(FU1684,FD:FL,9,0)</f>
        <v/>
      </c>
    </row>
    <row r="1685">
      <c r="FC1685" t="inlineStr">
        <is>
          <t>Diccionario 2</t>
        </is>
      </c>
      <c r="FD1685" s="15" t="inlineStr">
        <is>
          <t>LZPG-21</t>
        </is>
      </c>
      <c r="FE1685" s="17" t="inlineStr">
        <is>
          <t>YV3T7U528LA201266</t>
        </is>
      </c>
      <c r="FF1685" s="18" t="n">
        <v>507458</v>
      </c>
      <c r="FG1685" s="18" t="inlineStr">
        <is>
          <t>VOLVO</t>
        </is>
      </c>
      <c r="FH1685" s="18" t="inlineStr">
        <is>
          <t>B8RLEA</t>
        </is>
      </c>
      <c r="FI1685" s="18" t="inlineStr">
        <is>
          <t>MARCOPOLO</t>
        </is>
      </c>
      <c r="FJ1685" s="18" t="inlineStr">
        <is>
          <t>GRAN VIALE</t>
        </is>
      </c>
      <c r="FK1685" s="18" t="n">
        <v>2020</v>
      </c>
      <c r="FL1685" s="18" t="inlineStr">
        <is>
          <t>C</t>
        </is>
      </c>
      <c r="FM1685" s="18" t="inlineStr">
        <is>
          <t>Lo Blanco</t>
        </is>
      </c>
      <c r="FP1685" t="inlineStr">
        <is>
          <t>C</t>
        </is>
      </c>
      <c r="FS1685" s="14" t="inlineStr">
        <is>
          <t>3005 / SFWZ-39|</t>
        </is>
      </c>
      <c r="FT1685" t="inlineStr">
        <is>
          <t>SFWZ-39|</t>
        </is>
      </c>
      <c r="FU1685" t="inlineStr">
        <is>
          <t>SFWZ-39</t>
        </is>
      </c>
      <c r="FV1685">
        <f>VLOOKUP(FU1685,FD:FL,9,0)</f>
        <v/>
      </c>
    </row>
    <row r="1686">
      <c r="FC1686" t="inlineStr">
        <is>
          <t>Diccionario 2</t>
        </is>
      </c>
      <c r="FD1686" s="15" t="inlineStr">
        <is>
          <t>LZPG-22</t>
        </is>
      </c>
      <c r="FE1686" s="17" t="inlineStr">
        <is>
          <t>YV3T7U523LA201272</t>
        </is>
      </c>
      <c r="FF1686" s="18" t="n">
        <v>507661</v>
      </c>
      <c r="FG1686" s="18" t="inlineStr">
        <is>
          <t>VOLVO</t>
        </is>
      </c>
      <c r="FH1686" s="18" t="inlineStr">
        <is>
          <t>B8RLEA</t>
        </is>
      </c>
      <c r="FI1686" s="18" t="inlineStr">
        <is>
          <t>MARCOPOLO</t>
        </is>
      </c>
      <c r="FJ1686" s="18" t="inlineStr">
        <is>
          <t>GRAN VIALE</t>
        </is>
      </c>
      <c r="FK1686" s="18" t="n">
        <v>2020</v>
      </c>
      <c r="FL1686" s="18" t="inlineStr">
        <is>
          <t>C</t>
        </is>
      </c>
      <c r="FM1686" s="18" t="inlineStr">
        <is>
          <t>Lo Blanco</t>
        </is>
      </c>
      <c r="FP1686" t="inlineStr">
        <is>
          <t>C</t>
        </is>
      </c>
      <c r="FS1686" s="14" t="inlineStr">
        <is>
          <t>3078 / SFWZ-69|</t>
        </is>
      </c>
      <c r="FT1686" t="inlineStr">
        <is>
          <t>SFWZ-69|</t>
        </is>
      </c>
      <c r="FU1686" t="inlineStr">
        <is>
          <t>SFWZ-69</t>
        </is>
      </c>
      <c r="FV1686">
        <f>VLOOKUP(FU1686,FD:FL,9,0)</f>
        <v/>
      </c>
    </row>
    <row r="1687">
      <c r="FC1687" t="inlineStr">
        <is>
          <t>Diccionario 2</t>
        </is>
      </c>
      <c r="FD1687" s="15" t="inlineStr">
        <is>
          <t>LZPG-23</t>
        </is>
      </c>
      <c r="FE1687" s="17" t="inlineStr">
        <is>
          <t>YV3T7U526LA200990</t>
        </is>
      </c>
      <c r="FF1687" s="18" t="n">
        <v>506530</v>
      </c>
      <c r="FG1687" s="18" t="inlineStr">
        <is>
          <t>VOLVO</t>
        </is>
      </c>
      <c r="FH1687" s="18" t="inlineStr">
        <is>
          <t>B8RLEA</t>
        </is>
      </c>
      <c r="FI1687" s="18" t="inlineStr">
        <is>
          <t>MARCOPOLO</t>
        </is>
      </c>
      <c r="FJ1687" s="18" t="inlineStr">
        <is>
          <t>GRAN VIALE</t>
        </is>
      </c>
      <c r="FK1687" s="18" t="n">
        <v>2020</v>
      </c>
      <c r="FL1687" s="18" t="inlineStr">
        <is>
          <t>C</t>
        </is>
      </c>
      <c r="FM1687" s="18" t="inlineStr">
        <is>
          <t>Recoleta</t>
        </is>
      </c>
      <c r="FP1687" t="inlineStr">
        <is>
          <t>C</t>
        </is>
      </c>
      <c r="FS1687" s="14" t="inlineStr">
        <is>
          <t>3089 / SFWZ-73|</t>
        </is>
      </c>
      <c r="FT1687" t="inlineStr">
        <is>
          <t>SFWZ-73|</t>
        </is>
      </c>
      <c r="FU1687" t="inlineStr">
        <is>
          <t>SFWZ-73</t>
        </is>
      </c>
      <c r="FV1687">
        <f>VLOOKUP(FU1687,FD:FL,9,0)</f>
        <v/>
      </c>
    </row>
    <row r="1688">
      <c r="FC1688" t="inlineStr">
        <is>
          <t>Diccionario 2</t>
        </is>
      </c>
      <c r="FD1688" s="15" t="inlineStr">
        <is>
          <t>LZPG-24</t>
        </is>
      </c>
      <c r="FE1688" s="17" t="inlineStr">
        <is>
          <t>YV3T7U528LA200991</t>
        </is>
      </c>
      <c r="FF1688" s="18" t="n">
        <v>506543</v>
      </c>
      <c r="FG1688" s="18" t="inlineStr">
        <is>
          <t>VOLVO</t>
        </is>
      </c>
      <c r="FH1688" s="18" t="inlineStr">
        <is>
          <t>B8RLEA</t>
        </is>
      </c>
      <c r="FI1688" s="18" t="inlineStr">
        <is>
          <t>MARCOPOLO</t>
        </is>
      </c>
      <c r="FJ1688" s="18" t="inlineStr">
        <is>
          <t>GRAN VIALE</t>
        </is>
      </c>
      <c r="FK1688" s="18" t="n">
        <v>2020</v>
      </c>
      <c r="FL1688" s="18" t="inlineStr">
        <is>
          <t>C</t>
        </is>
      </c>
      <c r="FM1688" s="18" t="inlineStr">
        <is>
          <t>Lo Blanco</t>
        </is>
      </c>
      <c r="FP1688" t="inlineStr">
        <is>
          <t>C</t>
        </is>
      </c>
      <c r="FS1688" s="14" t="inlineStr">
        <is>
          <t>3062 / SFWZ-10|</t>
        </is>
      </c>
      <c r="FT1688" t="inlineStr">
        <is>
          <t>SFWZ-10|</t>
        </is>
      </c>
      <c r="FU1688" t="inlineStr">
        <is>
          <t>SFWZ-10</t>
        </is>
      </c>
      <c r="FV1688">
        <f>VLOOKUP(FU1688,FD:FL,9,0)</f>
        <v/>
      </c>
    </row>
    <row r="1689">
      <c r="FC1689" t="inlineStr">
        <is>
          <t>Diccionario 2</t>
        </is>
      </c>
      <c r="FD1689" s="15" t="inlineStr">
        <is>
          <t>LZPG-25</t>
        </is>
      </c>
      <c r="FE1689" s="17" t="inlineStr">
        <is>
          <t>YV3T7U52XLA201267</t>
        </is>
      </c>
      <c r="FF1689" s="18" t="n">
        <v>507419</v>
      </c>
      <c r="FG1689" s="18" t="inlineStr">
        <is>
          <t>VOLVO</t>
        </is>
      </c>
      <c r="FH1689" s="18" t="inlineStr">
        <is>
          <t>B8RLEA</t>
        </is>
      </c>
      <c r="FI1689" s="18" t="inlineStr">
        <is>
          <t>MARCOPOLO</t>
        </is>
      </c>
      <c r="FJ1689" s="18" t="inlineStr">
        <is>
          <t>GRAN VIALE</t>
        </is>
      </c>
      <c r="FK1689" s="18" t="n">
        <v>2020</v>
      </c>
      <c r="FL1689" s="18" t="inlineStr">
        <is>
          <t>C</t>
        </is>
      </c>
      <c r="FM1689" s="18" t="inlineStr">
        <is>
          <t>Lo Blanco</t>
        </is>
      </c>
      <c r="FP1689" t="inlineStr">
        <is>
          <t>C</t>
        </is>
      </c>
      <c r="FS1689" s="14" t="inlineStr">
        <is>
          <t>3105 / SFWZ-54|</t>
        </is>
      </c>
      <c r="FT1689" t="inlineStr">
        <is>
          <t>SFWZ-54|</t>
        </is>
      </c>
      <c r="FU1689" t="inlineStr">
        <is>
          <t>SFWZ-54</t>
        </is>
      </c>
      <c r="FV1689">
        <f>VLOOKUP(FU1689,FD:FL,9,0)</f>
        <v/>
      </c>
    </row>
    <row r="1690">
      <c r="FC1690" t="inlineStr">
        <is>
          <t>Diccionario 2</t>
        </is>
      </c>
      <c r="FD1690" s="15" t="inlineStr">
        <is>
          <t>LZPG-26</t>
        </is>
      </c>
      <c r="FE1690" s="17" t="inlineStr">
        <is>
          <t>YV3T7U521LA201268</t>
        </is>
      </c>
      <c r="FF1690" s="18" t="n">
        <v>507446</v>
      </c>
      <c r="FG1690" s="18" t="inlineStr">
        <is>
          <t>VOLVO</t>
        </is>
      </c>
      <c r="FH1690" s="18" t="inlineStr">
        <is>
          <t>B8RLEA</t>
        </is>
      </c>
      <c r="FI1690" s="18" t="inlineStr">
        <is>
          <t>MARCOPOLO</t>
        </is>
      </c>
      <c r="FJ1690" s="18" t="inlineStr">
        <is>
          <t>GRAN VIALE</t>
        </is>
      </c>
      <c r="FK1690" s="18" t="n">
        <v>2020</v>
      </c>
      <c r="FL1690" s="18" t="inlineStr">
        <is>
          <t>C</t>
        </is>
      </c>
      <c r="FM1690" s="18" t="inlineStr">
        <is>
          <t>Lo Blanco</t>
        </is>
      </c>
      <c r="FP1690" t="inlineStr">
        <is>
          <t>C</t>
        </is>
      </c>
      <c r="FS1690" s="14" t="inlineStr">
        <is>
          <t>3097 / SFWZ-77|</t>
        </is>
      </c>
      <c r="FT1690" t="inlineStr">
        <is>
          <t>SFWZ-77|</t>
        </is>
      </c>
      <c r="FU1690" t="inlineStr">
        <is>
          <t>SFWZ-77</t>
        </is>
      </c>
      <c r="FV1690">
        <f>VLOOKUP(FU1690,FD:FL,9,0)</f>
        <v/>
      </c>
    </row>
    <row r="1691">
      <c r="FC1691" t="inlineStr">
        <is>
          <t>Diccionario 2</t>
        </is>
      </c>
      <c r="FD1691" s="15" t="inlineStr">
        <is>
          <t>LZPG-27</t>
        </is>
      </c>
      <c r="FE1691" s="17" t="inlineStr">
        <is>
          <t>YV3T7U520LA200922</t>
        </is>
      </c>
      <c r="FF1691" s="18" t="n">
        <v>506223</v>
      </c>
      <c r="FG1691" s="18" t="inlineStr">
        <is>
          <t>VOLVO</t>
        </is>
      </c>
      <c r="FH1691" s="18" t="inlineStr">
        <is>
          <t>B8RLEA</t>
        </is>
      </c>
      <c r="FI1691" s="18" t="inlineStr">
        <is>
          <t>MARCOPOLO</t>
        </is>
      </c>
      <c r="FJ1691" s="18" t="inlineStr">
        <is>
          <t>GRAN VIALE</t>
        </is>
      </c>
      <c r="FK1691" s="18" t="n">
        <v>2020</v>
      </c>
      <c r="FL1691" s="18" t="inlineStr">
        <is>
          <t>C</t>
        </is>
      </c>
      <c r="FM1691" s="18" t="inlineStr">
        <is>
          <t>Lo Blanco</t>
        </is>
      </c>
      <c r="FP1691" t="inlineStr">
        <is>
          <t>C</t>
        </is>
      </c>
      <c r="FS1691" s="14" t="inlineStr">
        <is>
          <t>VJYJ-35|</t>
        </is>
      </c>
      <c r="FT1691" t="inlineStr">
        <is>
          <t>VJYJ-35|</t>
        </is>
      </c>
      <c r="FU1691" t="inlineStr">
        <is>
          <t>VJYJ-35</t>
        </is>
      </c>
      <c r="FV1691">
        <f>VLOOKUP(FU1691,FD:FL,9,0)</f>
        <v/>
      </c>
    </row>
    <row r="1692">
      <c r="FC1692" t="inlineStr">
        <is>
          <t>Diccionario 2</t>
        </is>
      </c>
      <c r="FD1692" s="15" t="inlineStr">
        <is>
          <t>LZPR-78</t>
        </is>
      </c>
      <c r="FE1692" s="17" t="inlineStr">
        <is>
          <t>YV3T7U52XLA201253</t>
        </is>
      </c>
      <c r="FF1692" s="18" t="n">
        <v>507455</v>
      </c>
      <c r="FG1692" s="18" t="inlineStr">
        <is>
          <t>VOLVO</t>
        </is>
      </c>
      <c r="FH1692" s="18" t="inlineStr">
        <is>
          <t>B8RLEA</t>
        </is>
      </c>
      <c r="FI1692" s="18" t="inlineStr">
        <is>
          <t>MARCOPOLO</t>
        </is>
      </c>
      <c r="FJ1692" s="18" t="inlineStr">
        <is>
          <t>GRAN VIALE</t>
        </is>
      </c>
      <c r="FK1692" s="18" t="n">
        <v>2020</v>
      </c>
      <c r="FL1692" s="18" t="inlineStr">
        <is>
          <t>C</t>
        </is>
      </c>
      <c r="FM1692" s="18" t="inlineStr">
        <is>
          <t>Recoleta</t>
        </is>
      </c>
      <c r="FP1692" t="inlineStr">
        <is>
          <t>C</t>
        </is>
      </c>
      <c r="FS1692" s="14" t="inlineStr">
        <is>
          <t>3058 / SFWB-85|</t>
        </is>
      </c>
      <c r="FT1692" t="inlineStr">
        <is>
          <t>SFWB-85|</t>
        </is>
      </c>
      <c r="FU1692" t="inlineStr">
        <is>
          <t>SFWB-85</t>
        </is>
      </c>
      <c r="FV1692">
        <f>VLOOKUP(FU1692,FD:FL,9,0)</f>
        <v/>
      </c>
    </row>
    <row r="1693">
      <c r="FC1693" t="inlineStr">
        <is>
          <t>Diccionario 2</t>
        </is>
      </c>
      <c r="FD1693" s="15" t="inlineStr">
        <is>
          <t>LZPR-79</t>
        </is>
      </c>
      <c r="FE1693" s="17" t="inlineStr">
        <is>
          <t>YV3T7U521LA201044</t>
        </is>
      </c>
      <c r="FF1693" s="18" t="n">
        <v>506662</v>
      </c>
      <c r="FG1693" s="18" t="inlineStr">
        <is>
          <t>VOLVO</t>
        </is>
      </c>
      <c r="FH1693" s="18" t="inlineStr">
        <is>
          <t>B8RLEA</t>
        </is>
      </c>
      <c r="FI1693" s="18" t="inlineStr">
        <is>
          <t>MARCOPOLO</t>
        </is>
      </c>
      <c r="FJ1693" s="18" t="inlineStr">
        <is>
          <t>GRAN VIALE</t>
        </is>
      </c>
      <c r="FK1693" s="18" t="n">
        <v>2020</v>
      </c>
      <c r="FL1693" s="18" t="inlineStr">
        <is>
          <t>C</t>
        </is>
      </c>
      <c r="FM1693" s="18" t="inlineStr">
        <is>
          <t>Recoleta</t>
        </is>
      </c>
      <c r="FP1693" t="inlineStr">
        <is>
          <t>C</t>
        </is>
      </c>
      <c r="FS1693" s="14" t="inlineStr">
        <is>
          <t>3104 / SFWZ-52|</t>
        </is>
      </c>
      <c r="FT1693" t="inlineStr">
        <is>
          <t>SFWZ-52|</t>
        </is>
      </c>
      <c r="FU1693" t="inlineStr">
        <is>
          <t>SFWZ-52</t>
        </is>
      </c>
      <c r="FV1693">
        <f>VLOOKUP(FU1693,FD:FL,9,0)</f>
        <v/>
      </c>
    </row>
    <row r="1694">
      <c r="FC1694" t="inlineStr">
        <is>
          <t>Diccionario 2</t>
        </is>
      </c>
      <c r="FD1694" s="15" t="inlineStr">
        <is>
          <t>LZPR-80</t>
        </is>
      </c>
      <c r="FE1694" s="17" t="inlineStr">
        <is>
          <t>YV3T7U528LA201171</t>
        </is>
      </c>
      <c r="FF1694" s="18" t="n">
        <v>507173</v>
      </c>
      <c r="FG1694" s="18" t="inlineStr">
        <is>
          <t>VOLVO</t>
        </is>
      </c>
      <c r="FH1694" s="18" t="inlineStr">
        <is>
          <t>B8RLEA</t>
        </is>
      </c>
      <c r="FI1694" s="18" t="inlineStr">
        <is>
          <t>MARCOPOLO</t>
        </is>
      </c>
      <c r="FJ1694" s="18" t="inlineStr">
        <is>
          <t>GRAN VIALE</t>
        </is>
      </c>
      <c r="FK1694" s="18" t="n">
        <v>2020</v>
      </c>
      <c r="FL1694" s="18" t="inlineStr">
        <is>
          <t>C</t>
        </is>
      </c>
      <c r="FM1694" s="18" t="inlineStr">
        <is>
          <t>Recoleta</t>
        </is>
      </c>
      <c r="FP1694" t="inlineStr">
        <is>
          <t>C</t>
        </is>
      </c>
      <c r="FS1694" s="14" t="inlineStr">
        <is>
          <t>VJKF-44|</t>
        </is>
      </c>
      <c r="FT1694" t="inlineStr">
        <is>
          <t>VJKF-44|</t>
        </is>
      </c>
      <c r="FU1694" t="inlineStr">
        <is>
          <t>VJKF-44</t>
        </is>
      </c>
      <c r="FV1694">
        <f>VLOOKUP(FU1694,FD:FL,9,0)</f>
        <v/>
      </c>
    </row>
    <row r="1695">
      <c r="FC1695" t="inlineStr">
        <is>
          <t>Diccionario 2</t>
        </is>
      </c>
      <c r="FD1695" s="15" t="inlineStr">
        <is>
          <t>LZPR-81</t>
        </is>
      </c>
      <c r="FE1695" s="17" t="inlineStr">
        <is>
          <t>YV3T7U526LA201167</t>
        </is>
      </c>
      <c r="FF1695" s="18" t="n">
        <v>507153</v>
      </c>
      <c r="FG1695" s="18" t="inlineStr">
        <is>
          <t>VOLVO</t>
        </is>
      </c>
      <c r="FH1695" s="18" t="inlineStr">
        <is>
          <t>B8RLEA</t>
        </is>
      </c>
      <c r="FI1695" s="18" t="inlineStr">
        <is>
          <t>MARCOPOLO</t>
        </is>
      </c>
      <c r="FJ1695" s="18" t="inlineStr">
        <is>
          <t>GRAN VIALE</t>
        </is>
      </c>
      <c r="FK1695" s="18" t="n">
        <v>2020</v>
      </c>
      <c r="FL1695" s="18" t="inlineStr">
        <is>
          <t>C</t>
        </is>
      </c>
      <c r="FM1695" s="18" t="inlineStr">
        <is>
          <t>Recoleta</t>
        </is>
      </c>
      <c r="FP1695" t="inlineStr">
        <is>
          <t>C</t>
        </is>
      </c>
      <c r="FS1695" s="14" t="inlineStr">
        <is>
          <t>3026 / SFVZ-81|</t>
        </is>
      </c>
      <c r="FT1695" t="inlineStr">
        <is>
          <t>SFVZ-81|</t>
        </is>
      </c>
      <c r="FU1695" t="inlineStr">
        <is>
          <t>SFVZ-81</t>
        </is>
      </c>
      <c r="FV1695">
        <f>VLOOKUP(FU1695,FD:FL,9,0)</f>
        <v/>
      </c>
    </row>
    <row r="1696">
      <c r="FC1696" t="inlineStr">
        <is>
          <t>Diccionario 2</t>
        </is>
      </c>
      <c r="FD1696" s="15" t="inlineStr">
        <is>
          <t>LZPR-82</t>
        </is>
      </c>
      <c r="FE1696" s="17" t="inlineStr">
        <is>
          <t>YV3T7U528LA201168</t>
        </is>
      </c>
      <c r="FF1696" s="18" t="n">
        <v>507167</v>
      </c>
      <c r="FG1696" s="18" t="inlineStr">
        <is>
          <t>VOLVO</t>
        </is>
      </c>
      <c r="FH1696" s="18" t="inlineStr">
        <is>
          <t>B8RLEA</t>
        </is>
      </c>
      <c r="FI1696" s="18" t="inlineStr">
        <is>
          <t>MARCOPOLO</t>
        </is>
      </c>
      <c r="FJ1696" s="18" t="inlineStr">
        <is>
          <t>GRAN VIALE</t>
        </is>
      </c>
      <c r="FK1696" s="18" t="n">
        <v>2020</v>
      </c>
      <c r="FL1696" s="18" t="inlineStr">
        <is>
          <t>C</t>
        </is>
      </c>
      <c r="FM1696" s="18" t="inlineStr">
        <is>
          <t>Recoleta</t>
        </is>
      </c>
      <c r="FP1696" t="inlineStr">
        <is>
          <t>C</t>
        </is>
      </c>
      <c r="FS1696" s="14" t="inlineStr">
        <is>
          <t>3074 / SFWZ-17|</t>
        </is>
      </c>
      <c r="FT1696" t="inlineStr">
        <is>
          <t>SFWZ-17|</t>
        </is>
      </c>
      <c r="FU1696" t="inlineStr">
        <is>
          <t>SFWZ-17</t>
        </is>
      </c>
      <c r="FV1696">
        <f>VLOOKUP(FU1696,FD:FL,9,0)</f>
        <v/>
      </c>
    </row>
    <row r="1697">
      <c r="FC1697" t="inlineStr">
        <is>
          <t>Diccionario 2</t>
        </is>
      </c>
      <c r="FD1697" s="15" t="inlineStr">
        <is>
          <t>LZPR-83</t>
        </is>
      </c>
      <c r="FE1697" s="17" t="inlineStr">
        <is>
          <t>YV3T7U525LA201144</t>
        </is>
      </c>
      <c r="FF1697" s="18" t="n">
        <v>507082</v>
      </c>
      <c r="FG1697" s="18" t="inlineStr">
        <is>
          <t>VOLVO</t>
        </is>
      </c>
      <c r="FH1697" s="18" t="inlineStr">
        <is>
          <t>B8RLEA</t>
        </is>
      </c>
      <c r="FI1697" s="18" t="inlineStr">
        <is>
          <t>MARCOPOLO</t>
        </is>
      </c>
      <c r="FJ1697" s="18" t="inlineStr">
        <is>
          <t>GRAN VIALE</t>
        </is>
      </c>
      <c r="FK1697" s="18" t="n">
        <v>2020</v>
      </c>
      <c r="FL1697" s="18" t="inlineStr">
        <is>
          <t>C</t>
        </is>
      </c>
      <c r="FM1697" s="18" t="inlineStr">
        <is>
          <t>Recoleta</t>
        </is>
      </c>
      <c r="FP1697" t="inlineStr">
        <is>
          <t>C</t>
        </is>
      </c>
      <c r="FS1697" s="14" t="inlineStr">
        <is>
          <t>3037 / SFWB-87|</t>
        </is>
      </c>
      <c r="FT1697" t="inlineStr">
        <is>
          <t>SFWB-87|</t>
        </is>
      </c>
      <c r="FU1697" t="inlineStr">
        <is>
          <t>SFWB-87</t>
        </is>
      </c>
      <c r="FV1697">
        <f>VLOOKUP(FU1697,FD:FL,9,0)</f>
        <v/>
      </c>
    </row>
    <row r="1698">
      <c r="FC1698" t="inlineStr">
        <is>
          <t>Diccionario 2</t>
        </is>
      </c>
      <c r="FD1698" s="15" t="inlineStr">
        <is>
          <t>LZPR-84</t>
        </is>
      </c>
      <c r="FE1698" s="17" t="inlineStr">
        <is>
          <t>YV3T7U520LA201035</t>
        </is>
      </c>
      <c r="FF1698" s="18" t="n">
        <v>506645</v>
      </c>
      <c r="FG1698" s="18" t="inlineStr">
        <is>
          <t>VOLVO</t>
        </is>
      </c>
      <c r="FH1698" s="18" t="inlineStr">
        <is>
          <t>B8RLEA</t>
        </is>
      </c>
      <c r="FI1698" s="18" t="inlineStr">
        <is>
          <t>MARCOPOLO</t>
        </is>
      </c>
      <c r="FJ1698" s="18" t="inlineStr">
        <is>
          <t>GRAN VIALE</t>
        </is>
      </c>
      <c r="FK1698" s="18" t="n">
        <v>2020</v>
      </c>
      <c r="FL1698" s="18" t="inlineStr">
        <is>
          <t>C</t>
        </is>
      </c>
      <c r="FM1698" s="18" t="inlineStr">
        <is>
          <t>Recoleta</t>
        </is>
      </c>
      <c r="FP1698" t="inlineStr">
        <is>
          <t>C</t>
        </is>
      </c>
      <c r="FS1698" s="14" t="inlineStr">
        <is>
          <t>3066 / SFWB-10|</t>
        </is>
      </c>
      <c r="FT1698" t="inlineStr">
        <is>
          <t>SFWB-10|</t>
        </is>
      </c>
      <c r="FU1698" t="inlineStr">
        <is>
          <t>SFWB-10</t>
        </is>
      </c>
      <c r="FV1698">
        <f>VLOOKUP(FU1698,FD:FL,9,0)</f>
        <v/>
      </c>
    </row>
    <row r="1699">
      <c r="FC1699" t="inlineStr">
        <is>
          <t>Diccionario 2</t>
        </is>
      </c>
      <c r="FD1699" s="15" t="inlineStr">
        <is>
          <t>LZPR-85</t>
        </is>
      </c>
      <c r="FE1699" s="17" t="inlineStr">
        <is>
          <t>YV3T7U527LA201209</t>
        </is>
      </c>
      <c r="FF1699" s="18" t="n">
        <v>507402</v>
      </c>
      <c r="FG1699" s="18" t="inlineStr">
        <is>
          <t>VOLVO</t>
        </is>
      </c>
      <c r="FH1699" s="18" t="inlineStr">
        <is>
          <t>B8RLEA</t>
        </is>
      </c>
      <c r="FI1699" s="18" t="inlineStr">
        <is>
          <t>MARCOPOLO</t>
        </is>
      </c>
      <c r="FJ1699" s="18" t="inlineStr">
        <is>
          <t>GRAN VIALE</t>
        </is>
      </c>
      <c r="FK1699" s="18" t="n">
        <v>2020</v>
      </c>
      <c r="FL1699" s="18" t="inlineStr">
        <is>
          <t>C</t>
        </is>
      </c>
      <c r="FM1699" s="18" t="inlineStr">
        <is>
          <t>Recoleta</t>
        </is>
      </c>
      <c r="FP1699" t="inlineStr">
        <is>
          <t>C</t>
        </is>
      </c>
      <c r="FS1699" s="14" t="inlineStr">
        <is>
          <t>3041 / SFVZ-49|</t>
        </is>
      </c>
      <c r="FT1699" t="inlineStr">
        <is>
          <t>SFVZ-49|</t>
        </is>
      </c>
      <c r="FU1699" t="inlineStr">
        <is>
          <t>SFVZ-49</t>
        </is>
      </c>
      <c r="FV1699">
        <f>VLOOKUP(FU1699,FD:FL,9,0)</f>
        <v/>
      </c>
    </row>
    <row r="1700">
      <c r="FC1700" t="inlineStr">
        <is>
          <t>Diccionario 2</t>
        </is>
      </c>
      <c r="FD1700" s="15" t="inlineStr">
        <is>
          <t>LZPR-86</t>
        </is>
      </c>
      <c r="FE1700" s="17" t="inlineStr">
        <is>
          <t>YV3T7U52XLA201186</t>
        </is>
      </c>
      <c r="FF1700" s="18" t="n">
        <v>507277</v>
      </c>
      <c r="FG1700" s="18" t="inlineStr">
        <is>
          <t>VOLVO</t>
        </is>
      </c>
      <c r="FH1700" s="18" t="inlineStr">
        <is>
          <t>B8RLEA</t>
        </is>
      </c>
      <c r="FI1700" s="18" t="inlineStr">
        <is>
          <t>MARCOPOLO</t>
        </is>
      </c>
      <c r="FJ1700" s="18" t="inlineStr">
        <is>
          <t>GRAN VIALE</t>
        </is>
      </c>
      <c r="FK1700" s="18" t="n">
        <v>2020</v>
      </c>
      <c r="FL1700" s="18" t="inlineStr">
        <is>
          <t>C</t>
        </is>
      </c>
      <c r="FM1700" s="18" t="inlineStr">
        <is>
          <t>Recoleta</t>
        </is>
      </c>
      <c r="FP1700" t="inlineStr">
        <is>
          <t>C</t>
        </is>
      </c>
      <c r="FS1700" s="14" t="inlineStr">
        <is>
          <t>3049 / SFWZ-13|</t>
        </is>
      </c>
      <c r="FT1700" t="inlineStr">
        <is>
          <t>SFWZ-13|</t>
        </is>
      </c>
      <c r="FU1700" t="inlineStr">
        <is>
          <t>SFWZ-13</t>
        </is>
      </c>
      <c r="FV1700">
        <f>VLOOKUP(FU1700,FD:FL,9,0)</f>
        <v/>
      </c>
    </row>
    <row r="1701">
      <c r="FC1701" t="inlineStr">
        <is>
          <t>Diccionario 2</t>
        </is>
      </c>
      <c r="FD1701" s="15" t="inlineStr">
        <is>
          <t>LZPR-87</t>
        </is>
      </c>
      <c r="FE1701" s="17" t="inlineStr">
        <is>
          <t>YV3T7U528LA201185</t>
        </is>
      </c>
      <c r="FF1701" s="18" t="n">
        <v>506865</v>
      </c>
      <c r="FG1701" s="18" t="inlineStr">
        <is>
          <t>VOLVO</t>
        </is>
      </c>
      <c r="FH1701" s="18" t="inlineStr">
        <is>
          <t>B8RLEA</t>
        </is>
      </c>
      <c r="FI1701" s="18" t="inlineStr">
        <is>
          <t>MARCOPOLO</t>
        </is>
      </c>
      <c r="FJ1701" s="18" t="inlineStr">
        <is>
          <t>GRAN VIALE</t>
        </is>
      </c>
      <c r="FK1701" s="18" t="n">
        <v>2020</v>
      </c>
      <c r="FL1701" s="18" t="inlineStr">
        <is>
          <t>C</t>
        </is>
      </c>
      <c r="FM1701" s="18" t="inlineStr">
        <is>
          <t>Recoleta</t>
        </is>
      </c>
      <c r="FP1701" t="inlineStr">
        <is>
          <t>C</t>
        </is>
      </c>
      <c r="FS1701" s="14" t="inlineStr">
        <is>
          <t>3005 / SFWZ-39|</t>
        </is>
      </c>
      <c r="FT1701" t="inlineStr">
        <is>
          <t>SFWZ-39|</t>
        </is>
      </c>
      <c r="FU1701" t="inlineStr">
        <is>
          <t>SFWZ-39</t>
        </is>
      </c>
      <c r="FV1701">
        <f>VLOOKUP(FU1701,FD:FL,9,0)</f>
        <v/>
      </c>
    </row>
    <row r="1702">
      <c r="FC1702" t="inlineStr">
        <is>
          <t>Diccionario 2</t>
        </is>
      </c>
      <c r="FD1702" s="15" t="inlineStr">
        <is>
          <t>LZPR-88</t>
        </is>
      </c>
      <c r="FE1702" s="17" t="inlineStr">
        <is>
          <t>YV3T7U523LA201059</t>
        </is>
      </c>
      <c r="FF1702" s="18" t="n">
        <v>506732</v>
      </c>
      <c r="FG1702" s="18" t="inlineStr">
        <is>
          <t>VOLVO</t>
        </is>
      </c>
      <c r="FH1702" s="18" t="inlineStr">
        <is>
          <t>B8RLEA</t>
        </is>
      </c>
      <c r="FI1702" s="18" t="inlineStr">
        <is>
          <t>MARCOPOLO</t>
        </is>
      </c>
      <c r="FJ1702" s="18" t="inlineStr">
        <is>
          <t>GRAN VIALE</t>
        </is>
      </c>
      <c r="FK1702" s="18" t="n">
        <v>2020</v>
      </c>
      <c r="FL1702" s="18" t="inlineStr">
        <is>
          <t>C</t>
        </is>
      </c>
      <c r="FM1702" s="18" t="inlineStr">
        <is>
          <t>Recoleta</t>
        </is>
      </c>
      <c r="FP1702" t="inlineStr">
        <is>
          <t>C</t>
        </is>
      </c>
      <c r="FS1702" s="14" t="inlineStr">
        <is>
          <t>3089 / SFWZ-73|</t>
        </is>
      </c>
      <c r="FT1702" t="inlineStr">
        <is>
          <t>SFWZ-73|</t>
        </is>
      </c>
      <c r="FU1702" t="inlineStr">
        <is>
          <t>SFWZ-73</t>
        </is>
      </c>
      <c r="FV1702">
        <f>VLOOKUP(FU1702,FD:FL,9,0)</f>
        <v/>
      </c>
    </row>
    <row r="1703">
      <c r="FC1703" t="inlineStr">
        <is>
          <t>Diccionario 2</t>
        </is>
      </c>
      <c r="FD1703" s="15" t="inlineStr">
        <is>
          <t>LZPR-89</t>
        </is>
      </c>
      <c r="FE1703" s="17" t="inlineStr">
        <is>
          <t>YV3T7U527LA201033</t>
        </is>
      </c>
      <c r="FF1703" s="18" t="n">
        <v>506661</v>
      </c>
      <c r="FG1703" s="18" t="inlineStr">
        <is>
          <t>VOLVO</t>
        </is>
      </c>
      <c r="FH1703" s="18" t="inlineStr">
        <is>
          <t>B8RLEA</t>
        </is>
      </c>
      <c r="FI1703" s="18" t="inlineStr">
        <is>
          <t>MARCOPOLO</t>
        </is>
      </c>
      <c r="FJ1703" s="18" t="inlineStr">
        <is>
          <t>GRAN VIALE</t>
        </is>
      </c>
      <c r="FK1703" s="18" t="n">
        <v>2020</v>
      </c>
      <c r="FL1703" s="18" t="inlineStr">
        <is>
          <t>C</t>
        </is>
      </c>
      <c r="FM1703" s="18" t="inlineStr">
        <is>
          <t>Recoleta</t>
        </is>
      </c>
      <c r="FP1703" t="inlineStr">
        <is>
          <t>C</t>
        </is>
      </c>
      <c r="FS1703" s="14" t="inlineStr">
        <is>
          <t>3105 / SFWZ-54|</t>
        </is>
      </c>
      <c r="FT1703" t="inlineStr">
        <is>
          <t>SFWZ-54|</t>
        </is>
      </c>
      <c r="FU1703" t="inlineStr">
        <is>
          <t>SFWZ-54</t>
        </is>
      </c>
      <c r="FV1703">
        <f>VLOOKUP(FU1703,FD:FL,9,0)</f>
        <v/>
      </c>
    </row>
    <row r="1704">
      <c r="FC1704" t="inlineStr">
        <is>
          <t>Diccionario 2</t>
        </is>
      </c>
      <c r="FD1704" s="15" t="inlineStr">
        <is>
          <t>LZPR-90</t>
        </is>
      </c>
      <c r="FE1704" s="17" t="inlineStr">
        <is>
          <t>YV3T7U52XLA200992</t>
        </is>
      </c>
      <c r="FF1704" s="18" t="n">
        <v>506598</v>
      </c>
      <c r="FG1704" s="18" t="inlineStr">
        <is>
          <t>VOLVO</t>
        </is>
      </c>
      <c r="FH1704" s="18" t="inlineStr">
        <is>
          <t>B8RLEA</t>
        </is>
      </c>
      <c r="FI1704" s="18" t="inlineStr">
        <is>
          <t>MARCOPOLO</t>
        </is>
      </c>
      <c r="FJ1704" s="18" t="inlineStr">
        <is>
          <t>GRAN VIALE</t>
        </is>
      </c>
      <c r="FK1704" s="18" t="n">
        <v>2020</v>
      </c>
      <c r="FL1704" s="18" t="inlineStr">
        <is>
          <t>C</t>
        </is>
      </c>
      <c r="FM1704" s="18" t="inlineStr">
        <is>
          <t>Recoleta</t>
        </is>
      </c>
      <c r="FP1704" t="inlineStr">
        <is>
          <t>C</t>
        </is>
      </c>
      <c r="FS1704" s="14" t="inlineStr">
        <is>
          <t>3021 / SFWZ-36|</t>
        </is>
      </c>
      <c r="FT1704" t="inlineStr">
        <is>
          <t>SFWZ-36|</t>
        </is>
      </c>
      <c r="FU1704" t="inlineStr">
        <is>
          <t>SFWZ-36</t>
        </is>
      </c>
      <c r="FV1704">
        <f>VLOOKUP(FU1704,FD:FL,9,0)</f>
        <v/>
      </c>
    </row>
    <row r="1705">
      <c r="FC1705" t="inlineStr">
        <is>
          <t>Diccionario 2</t>
        </is>
      </c>
      <c r="FD1705" s="15" t="inlineStr">
        <is>
          <t>LZPR-92</t>
        </is>
      </c>
      <c r="FE1705" s="17" t="inlineStr">
        <is>
          <t>YV3T7U522LA200971</t>
        </is>
      </c>
      <c r="FF1705" s="18" t="n">
        <v>506305</v>
      </c>
      <c r="FG1705" s="18" t="inlineStr">
        <is>
          <t>VOLVO</t>
        </is>
      </c>
      <c r="FH1705" s="18" t="inlineStr">
        <is>
          <t>B8RLEA</t>
        </is>
      </c>
      <c r="FI1705" s="18" t="inlineStr">
        <is>
          <t>MARCOPOLO</t>
        </is>
      </c>
      <c r="FJ1705" s="18" t="inlineStr">
        <is>
          <t>GRAN VIALE</t>
        </is>
      </c>
      <c r="FK1705" s="18" t="n">
        <v>2020</v>
      </c>
      <c r="FL1705" s="18" t="inlineStr">
        <is>
          <t>C</t>
        </is>
      </c>
      <c r="FM1705" s="18" t="inlineStr">
        <is>
          <t>Recoleta</t>
        </is>
      </c>
      <c r="FP1705" t="inlineStr">
        <is>
          <t>C</t>
        </is>
      </c>
      <c r="FS1705" s="14" t="inlineStr">
        <is>
          <t>VJYJ-35|</t>
        </is>
      </c>
      <c r="FT1705" t="inlineStr">
        <is>
          <t>VJYJ-35|</t>
        </is>
      </c>
      <c r="FU1705" t="inlineStr">
        <is>
          <t>VJYJ-35</t>
        </is>
      </c>
      <c r="FV1705">
        <f>VLOOKUP(FU1705,FD:FL,9,0)</f>
        <v/>
      </c>
    </row>
    <row r="1706">
      <c r="FC1706" t="inlineStr">
        <is>
          <t>Diccionario 2</t>
        </is>
      </c>
      <c r="FD1706" s="15" t="inlineStr">
        <is>
          <t>LZPR-93</t>
        </is>
      </c>
      <c r="FE1706" s="17" t="inlineStr">
        <is>
          <t>YV3T7U525LA201046</t>
        </is>
      </c>
      <c r="FF1706" s="18" t="n">
        <v>506647</v>
      </c>
      <c r="FG1706" s="18" t="inlineStr">
        <is>
          <t>VOLVO</t>
        </is>
      </c>
      <c r="FH1706" s="18" t="inlineStr">
        <is>
          <t>B8RLEA</t>
        </is>
      </c>
      <c r="FI1706" s="18" t="inlineStr">
        <is>
          <t>MARCOPOLO</t>
        </is>
      </c>
      <c r="FJ1706" s="18" t="inlineStr">
        <is>
          <t>GRAN VIALE</t>
        </is>
      </c>
      <c r="FK1706" s="18" t="n">
        <v>2020</v>
      </c>
      <c r="FL1706" s="18" t="inlineStr">
        <is>
          <t>C</t>
        </is>
      </c>
      <c r="FM1706" s="18" t="inlineStr">
        <is>
          <t>Recoleta</t>
        </is>
      </c>
      <c r="FP1706" t="inlineStr">
        <is>
          <t>C</t>
        </is>
      </c>
      <c r="FS1706" s="14" t="inlineStr">
        <is>
          <t>3104 / SFWZ-52|</t>
        </is>
      </c>
      <c r="FT1706" t="inlineStr">
        <is>
          <t>SFWZ-52|</t>
        </is>
      </c>
      <c r="FU1706" t="inlineStr">
        <is>
          <t>SFWZ-52</t>
        </is>
      </c>
      <c r="FV1706">
        <f>VLOOKUP(FU1706,FD:FL,9,0)</f>
        <v/>
      </c>
    </row>
    <row r="1707">
      <c r="FC1707" t="inlineStr">
        <is>
          <t>Diccionario 2</t>
        </is>
      </c>
      <c r="FD1707" s="15" t="inlineStr">
        <is>
          <t>LZPR-94</t>
        </is>
      </c>
      <c r="FE1707" s="17" t="inlineStr">
        <is>
          <t>YV3T7U521LA201156</t>
        </is>
      </c>
      <c r="FF1707" s="18" t="n">
        <v>507078</v>
      </c>
      <c r="FG1707" s="18" t="inlineStr">
        <is>
          <t>VOLVO</t>
        </is>
      </c>
      <c r="FH1707" s="18" t="inlineStr">
        <is>
          <t>B8RLEA</t>
        </is>
      </c>
      <c r="FI1707" s="18" t="inlineStr">
        <is>
          <t>MARCOPOLO</t>
        </is>
      </c>
      <c r="FJ1707" s="18" t="inlineStr">
        <is>
          <t>GRAN VIALE</t>
        </is>
      </c>
      <c r="FK1707" s="18" t="n">
        <v>2020</v>
      </c>
      <c r="FL1707" s="18" t="inlineStr">
        <is>
          <t>C</t>
        </is>
      </c>
      <c r="FM1707" s="18" t="inlineStr">
        <is>
          <t>Recoleta</t>
        </is>
      </c>
      <c r="FP1707" t="inlineStr">
        <is>
          <t>C</t>
        </is>
      </c>
      <c r="FS1707" s="14" t="inlineStr">
        <is>
          <t>VJKF-46|</t>
        </is>
      </c>
      <c r="FT1707" t="inlineStr">
        <is>
          <t>VJKF-46|</t>
        </is>
      </c>
      <c r="FU1707" t="inlineStr">
        <is>
          <t>VJKF-46</t>
        </is>
      </c>
      <c r="FV1707">
        <f>VLOOKUP(FU1707,FD:FL,9,0)</f>
        <v/>
      </c>
    </row>
    <row r="1708">
      <c r="FC1708" t="inlineStr">
        <is>
          <t>Diccionario 2</t>
        </is>
      </c>
      <c r="FD1708" s="15" t="inlineStr">
        <is>
          <t>LZPR-95</t>
        </is>
      </c>
      <c r="FE1708" s="17" t="inlineStr">
        <is>
          <t>YV3T7U521LA201058</t>
        </is>
      </c>
      <c r="FF1708" s="18" t="n">
        <v>506749</v>
      </c>
      <c r="FG1708" s="18" t="inlineStr">
        <is>
          <t>VOLVO</t>
        </is>
      </c>
      <c r="FH1708" s="18" t="inlineStr">
        <is>
          <t>B8RLEA</t>
        </is>
      </c>
      <c r="FI1708" s="18" t="inlineStr">
        <is>
          <t>MARCOPOLO</t>
        </is>
      </c>
      <c r="FJ1708" s="18" t="inlineStr">
        <is>
          <t>GRAN VIALE</t>
        </is>
      </c>
      <c r="FK1708" s="18" t="n">
        <v>2020</v>
      </c>
      <c r="FL1708" s="18" t="inlineStr">
        <is>
          <t>C</t>
        </is>
      </c>
      <c r="FM1708" s="18" t="inlineStr">
        <is>
          <t>Recoleta</t>
        </is>
      </c>
      <c r="FP1708" t="inlineStr">
        <is>
          <t>C</t>
        </is>
      </c>
      <c r="FS1708" s="14" t="inlineStr">
        <is>
          <t>3074 / SFWZ-17|</t>
        </is>
      </c>
      <c r="FT1708" t="inlineStr">
        <is>
          <t>SFWZ-17|</t>
        </is>
      </c>
      <c r="FU1708" t="inlineStr">
        <is>
          <t>SFWZ-17</t>
        </is>
      </c>
      <c r="FV1708">
        <f>VLOOKUP(FU1708,FD:FL,9,0)</f>
        <v/>
      </c>
    </row>
    <row r="1709">
      <c r="FC1709" t="inlineStr">
        <is>
          <t>Diccionario 2</t>
        </is>
      </c>
      <c r="FD1709" s="15" t="inlineStr">
        <is>
          <t>LZPR-96</t>
        </is>
      </c>
      <c r="FE1709" s="17" t="inlineStr">
        <is>
          <t>YV3T7U528LA201073</t>
        </is>
      </c>
      <c r="FF1709" s="18" t="n">
        <v>507040</v>
      </c>
      <c r="FG1709" s="18" t="inlineStr">
        <is>
          <t>VOLVO</t>
        </is>
      </c>
      <c r="FH1709" s="18" t="inlineStr">
        <is>
          <t>B8RLEA</t>
        </is>
      </c>
      <c r="FI1709" s="18" t="inlineStr">
        <is>
          <t>MARCOPOLO</t>
        </is>
      </c>
      <c r="FJ1709" s="18" t="inlineStr">
        <is>
          <t>GRAN VIALE</t>
        </is>
      </c>
      <c r="FK1709" s="18" t="n">
        <v>2020</v>
      </c>
      <c r="FL1709" s="18" t="inlineStr">
        <is>
          <t>C</t>
        </is>
      </c>
      <c r="FM1709" s="18" t="inlineStr">
        <is>
          <t>Recoleta</t>
        </is>
      </c>
      <c r="FP1709" t="inlineStr">
        <is>
          <t>C</t>
        </is>
      </c>
      <c r="FS1709" s="14" t="inlineStr">
        <is>
          <t>3006 / SFVZ-94|</t>
        </is>
      </c>
      <c r="FT1709" t="inlineStr">
        <is>
          <t>SFVZ-94|</t>
        </is>
      </c>
      <c r="FU1709" t="inlineStr">
        <is>
          <t>SFVZ-94</t>
        </is>
      </c>
      <c r="FV1709">
        <f>VLOOKUP(FU1709,FD:FL,9,0)</f>
        <v/>
      </c>
    </row>
    <row r="1710">
      <c r="FC1710" t="inlineStr">
        <is>
          <t>Diccionario 2</t>
        </is>
      </c>
      <c r="FD1710" s="15" t="inlineStr">
        <is>
          <t>LZPR-97</t>
        </is>
      </c>
      <c r="FE1710" s="17" t="inlineStr">
        <is>
          <t>YV3T7U524LA201071</t>
        </is>
      </c>
      <c r="FF1710" s="18" t="n">
        <v>506999</v>
      </c>
      <c r="FG1710" s="18" t="inlineStr">
        <is>
          <t>VOLVO</t>
        </is>
      </c>
      <c r="FH1710" s="18" t="inlineStr">
        <is>
          <t>B8RLEA</t>
        </is>
      </c>
      <c r="FI1710" s="18" t="inlineStr">
        <is>
          <t>MARCOPOLO</t>
        </is>
      </c>
      <c r="FJ1710" s="18" t="inlineStr">
        <is>
          <t>GRAN VIALE</t>
        </is>
      </c>
      <c r="FK1710" s="18" t="n">
        <v>2020</v>
      </c>
      <c r="FL1710" s="18" t="inlineStr">
        <is>
          <t>C</t>
        </is>
      </c>
      <c r="FM1710" s="18" t="inlineStr">
        <is>
          <t>Recoleta</t>
        </is>
      </c>
      <c r="FP1710" t="inlineStr">
        <is>
          <t>C</t>
        </is>
      </c>
      <c r="FS1710" s="14" t="inlineStr">
        <is>
          <t>3004 / SFWZ-31|</t>
        </is>
      </c>
      <c r="FT1710" t="inlineStr">
        <is>
          <t>SFWZ-31|</t>
        </is>
      </c>
      <c r="FU1710" t="inlineStr">
        <is>
          <t>SFWZ-31</t>
        </is>
      </c>
      <c r="FV1710">
        <f>VLOOKUP(FU1710,FD:FL,9,0)</f>
        <v/>
      </c>
    </row>
    <row r="1711">
      <c r="FC1711" t="inlineStr">
        <is>
          <t>Diccionario 2</t>
        </is>
      </c>
      <c r="FD1711" s="15" t="inlineStr">
        <is>
          <t>LZPR-98</t>
        </is>
      </c>
      <c r="FE1711" s="17" t="inlineStr">
        <is>
          <t>YV3T7U529LA201048</t>
        </is>
      </c>
      <c r="FF1711" s="18" t="n">
        <v>506686</v>
      </c>
      <c r="FG1711" s="18" t="inlineStr">
        <is>
          <t>VOLVO</t>
        </is>
      </c>
      <c r="FH1711" s="18" t="inlineStr">
        <is>
          <t>B8RLEA</t>
        </is>
      </c>
      <c r="FI1711" s="18" t="inlineStr">
        <is>
          <t>MARCOPOLO</t>
        </is>
      </c>
      <c r="FJ1711" s="18" t="inlineStr">
        <is>
          <t>GRAN VIALE</t>
        </is>
      </c>
      <c r="FK1711" s="18" t="n">
        <v>2020</v>
      </c>
      <c r="FL1711" s="18" t="inlineStr">
        <is>
          <t>C</t>
        </is>
      </c>
      <c r="FM1711" s="18" t="inlineStr">
        <is>
          <t>Recoleta</t>
        </is>
      </c>
      <c r="FP1711" t="inlineStr">
        <is>
          <t>C</t>
        </is>
      </c>
      <c r="FS1711" s="14" t="inlineStr">
        <is>
          <t>3041 / SFVZ-49|</t>
        </is>
      </c>
      <c r="FT1711" t="inlineStr">
        <is>
          <t>SFVZ-49|</t>
        </is>
      </c>
      <c r="FU1711" t="inlineStr">
        <is>
          <t>SFVZ-49</t>
        </is>
      </c>
      <c r="FV1711">
        <f>VLOOKUP(FU1711,FD:FL,9,0)</f>
        <v/>
      </c>
    </row>
    <row r="1712">
      <c r="FC1712" t="inlineStr">
        <is>
          <t>Diccionario 2</t>
        </is>
      </c>
      <c r="FD1712" s="15" t="inlineStr">
        <is>
          <t>LZPR-99</t>
        </is>
      </c>
      <c r="FE1712" s="17" t="inlineStr">
        <is>
          <t>YV3T7U52XLA201155</t>
        </is>
      </c>
      <c r="FF1712" s="18" t="n">
        <v>507117</v>
      </c>
      <c r="FG1712" s="18" t="inlineStr">
        <is>
          <t>VOLVO</t>
        </is>
      </c>
      <c r="FH1712" s="18" t="inlineStr">
        <is>
          <t>B8RLEA</t>
        </is>
      </c>
      <c r="FI1712" s="18" t="inlineStr">
        <is>
          <t>MARCOPOLO</t>
        </is>
      </c>
      <c r="FJ1712" s="18" t="inlineStr">
        <is>
          <t>GRAN VIALE</t>
        </is>
      </c>
      <c r="FK1712" s="18" t="n">
        <v>2020</v>
      </c>
      <c r="FL1712" s="18" t="inlineStr">
        <is>
          <t>C</t>
        </is>
      </c>
      <c r="FM1712" s="18" t="inlineStr">
        <is>
          <t>Recoleta</t>
        </is>
      </c>
      <c r="FP1712" t="inlineStr">
        <is>
          <t>C</t>
        </is>
      </c>
      <c r="FS1712" s="14" t="inlineStr">
        <is>
          <t>3097 / SFWZ-77|</t>
        </is>
      </c>
      <c r="FT1712" t="inlineStr">
        <is>
          <t>SFWZ-77|</t>
        </is>
      </c>
      <c r="FU1712" t="inlineStr">
        <is>
          <t>SFWZ-77</t>
        </is>
      </c>
      <c r="FV1712">
        <f>VLOOKUP(FU1712,FD:FL,9,0)</f>
        <v/>
      </c>
    </row>
    <row r="1713">
      <c r="FC1713" t="inlineStr">
        <is>
          <t>Diccionario 2</t>
        </is>
      </c>
      <c r="FD1713" s="15" t="inlineStr">
        <is>
          <t>LZPS-10</t>
        </is>
      </c>
      <c r="FE1713" s="17" t="inlineStr">
        <is>
          <t>YV3T7U527LA201100</t>
        </is>
      </c>
      <c r="FF1713" s="18" t="n">
        <v>507055</v>
      </c>
      <c r="FG1713" s="18" t="inlineStr">
        <is>
          <t>VOLVO</t>
        </is>
      </c>
      <c r="FH1713" s="18" t="inlineStr">
        <is>
          <t>B8RLEA</t>
        </is>
      </c>
      <c r="FI1713" s="18" t="inlineStr">
        <is>
          <t>MARCOPOLO</t>
        </is>
      </c>
      <c r="FJ1713" s="18" t="inlineStr">
        <is>
          <t>GRAN VIALE</t>
        </is>
      </c>
      <c r="FK1713" s="18" t="n">
        <v>2020</v>
      </c>
      <c r="FL1713" s="18" t="inlineStr">
        <is>
          <t>C</t>
        </is>
      </c>
      <c r="FM1713" s="18" t="inlineStr">
        <is>
          <t>Recoleta</t>
        </is>
      </c>
      <c r="FP1713" t="inlineStr">
        <is>
          <t>C</t>
        </is>
      </c>
      <c r="FS1713" s="14" t="inlineStr">
        <is>
          <t>3065 / SFVZ-40|</t>
        </is>
      </c>
      <c r="FT1713" t="inlineStr">
        <is>
          <t>SFVZ-40|</t>
        </is>
      </c>
      <c r="FU1713" t="inlineStr">
        <is>
          <t>SFVZ-40</t>
        </is>
      </c>
      <c r="FV1713">
        <f>VLOOKUP(FU1713,FD:FL,9,0)</f>
        <v/>
      </c>
    </row>
    <row r="1714">
      <c r="FC1714" t="inlineStr">
        <is>
          <t>Diccionario 2</t>
        </is>
      </c>
      <c r="FD1714" s="15" t="inlineStr">
        <is>
          <t>LZPS-11</t>
        </is>
      </c>
      <c r="FE1714" s="17" t="inlineStr">
        <is>
          <t>YV3T7U521LA201142</t>
        </is>
      </c>
      <c r="FF1714" s="18" t="n">
        <v>507102</v>
      </c>
      <c r="FG1714" s="18" t="inlineStr">
        <is>
          <t>VOLVO</t>
        </is>
      </c>
      <c r="FH1714" s="18" t="inlineStr">
        <is>
          <t>B8RLEA</t>
        </is>
      </c>
      <c r="FI1714" s="18" t="inlineStr">
        <is>
          <t>MARCOPOLO</t>
        </is>
      </c>
      <c r="FJ1714" s="18" t="inlineStr">
        <is>
          <t>GRAN VIALE</t>
        </is>
      </c>
      <c r="FK1714" s="18" t="n">
        <v>2020</v>
      </c>
      <c r="FL1714" s="18" t="inlineStr">
        <is>
          <t>C</t>
        </is>
      </c>
      <c r="FM1714" s="18" t="inlineStr">
        <is>
          <t>Recoleta</t>
        </is>
      </c>
      <c r="FP1714" t="inlineStr">
        <is>
          <t>C</t>
        </is>
      </c>
      <c r="FS1714" s="14" t="inlineStr">
        <is>
          <t>VJKF-44|</t>
        </is>
      </c>
      <c r="FT1714" t="inlineStr">
        <is>
          <t>VJKF-44|</t>
        </is>
      </c>
      <c r="FU1714" t="inlineStr">
        <is>
          <t>VJKF-44</t>
        </is>
      </c>
      <c r="FV1714">
        <f>VLOOKUP(FU1714,FD:FL,9,0)</f>
        <v/>
      </c>
    </row>
    <row r="1715">
      <c r="FC1715" t="inlineStr">
        <is>
          <t>Diccionario 2</t>
        </is>
      </c>
      <c r="FD1715" s="15" t="inlineStr">
        <is>
          <t>LZPS-12</t>
        </is>
      </c>
      <c r="FE1715" s="17" t="inlineStr">
        <is>
          <t>YV3T7U52XLA201141</t>
        </is>
      </c>
      <c r="FF1715" s="18" t="n">
        <v>507075</v>
      </c>
      <c r="FG1715" s="18" t="inlineStr">
        <is>
          <t>VOLVO</t>
        </is>
      </c>
      <c r="FH1715" s="18" t="inlineStr">
        <is>
          <t>B8RLEA</t>
        </is>
      </c>
      <c r="FI1715" s="18" t="inlineStr">
        <is>
          <t>MARCOPOLO</t>
        </is>
      </c>
      <c r="FJ1715" s="18" t="inlineStr">
        <is>
          <t>GRAN VIALE</t>
        </is>
      </c>
      <c r="FK1715" s="18" t="n">
        <v>2020</v>
      </c>
      <c r="FL1715" s="18" t="inlineStr">
        <is>
          <t>C</t>
        </is>
      </c>
      <c r="FM1715" s="18" t="inlineStr">
        <is>
          <t>Recoleta</t>
        </is>
      </c>
      <c r="FP1715" t="inlineStr">
        <is>
          <t>C</t>
        </is>
      </c>
      <c r="FS1715" s="14" t="inlineStr">
        <is>
          <t>3037 / SFWB-87|</t>
        </is>
      </c>
      <c r="FT1715" t="inlineStr">
        <is>
          <t>SFWB-87|</t>
        </is>
      </c>
      <c r="FU1715" t="inlineStr">
        <is>
          <t>SFWB-87</t>
        </is>
      </c>
      <c r="FV1715">
        <f>VLOOKUP(FU1715,FD:FL,9,0)</f>
        <v/>
      </c>
    </row>
    <row r="1716">
      <c r="FC1716" t="inlineStr">
        <is>
          <t>Diccionario 2</t>
        </is>
      </c>
      <c r="FD1716" s="15" t="inlineStr">
        <is>
          <t>LZPS-13</t>
        </is>
      </c>
      <c r="FE1716" s="17" t="inlineStr">
        <is>
          <t>YV3T7U526LA201153</t>
        </is>
      </c>
      <c r="FF1716" s="18" t="n">
        <v>507106</v>
      </c>
      <c r="FG1716" s="18" t="inlineStr">
        <is>
          <t>VOLVO</t>
        </is>
      </c>
      <c r="FH1716" s="18" t="inlineStr">
        <is>
          <t>B8RLEA</t>
        </is>
      </c>
      <c r="FI1716" s="18" t="inlineStr">
        <is>
          <t>MARCOPOLO</t>
        </is>
      </c>
      <c r="FJ1716" s="18" t="inlineStr">
        <is>
          <t>GRAN VIALE</t>
        </is>
      </c>
      <c r="FK1716" s="18" t="n">
        <v>2020</v>
      </c>
      <c r="FL1716" s="18" t="inlineStr">
        <is>
          <t>C</t>
        </is>
      </c>
      <c r="FM1716" s="18" t="inlineStr">
        <is>
          <t>Recoleta</t>
        </is>
      </c>
      <c r="FP1716" t="inlineStr">
        <is>
          <t>C</t>
        </is>
      </c>
      <c r="FS1716" s="14" t="inlineStr">
        <is>
          <t>3088 / SFWZ-81|</t>
        </is>
      </c>
      <c r="FT1716" t="inlineStr">
        <is>
          <t>SFWZ-81|</t>
        </is>
      </c>
      <c r="FU1716" t="inlineStr">
        <is>
          <t>SFWZ-81</t>
        </is>
      </c>
      <c r="FV1716">
        <f>VLOOKUP(FU1716,FD:FL,9,0)</f>
        <v/>
      </c>
    </row>
    <row r="1717">
      <c r="FC1717" t="inlineStr">
        <is>
          <t>Diccionario 2</t>
        </is>
      </c>
      <c r="FD1717" s="15" t="inlineStr">
        <is>
          <t>LZPS-14</t>
        </is>
      </c>
      <c r="FE1717" s="17" t="inlineStr">
        <is>
          <t>YV3T7U529LA201034</t>
        </is>
      </c>
      <c r="FF1717" s="18" t="n">
        <v>506644</v>
      </c>
      <c r="FG1717" s="18" t="inlineStr">
        <is>
          <t>VOLVO</t>
        </is>
      </c>
      <c r="FH1717" s="18" t="inlineStr">
        <is>
          <t>B8RLEA</t>
        </is>
      </c>
      <c r="FI1717" s="18" t="inlineStr">
        <is>
          <t>MARCOPOLO</t>
        </is>
      </c>
      <c r="FJ1717" s="18" t="inlineStr">
        <is>
          <t>GRAN VIALE</t>
        </is>
      </c>
      <c r="FK1717" s="18" t="n">
        <v>2020</v>
      </c>
      <c r="FL1717" s="18" t="inlineStr">
        <is>
          <t>C</t>
        </is>
      </c>
      <c r="FM1717" s="18" t="inlineStr">
        <is>
          <t>Recoleta</t>
        </is>
      </c>
      <c r="FP1717" t="inlineStr">
        <is>
          <t>C</t>
        </is>
      </c>
      <c r="FS1717" s="14" t="inlineStr">
        <is>
          <t>3089 / SFWZ-73|</t>
        </is>
      </c>
      <c r="FT1717" t="inlineStr">
        <is>
          <t>SFWZ-73|</t>
        </is>
      </c>
      <c r="FU1717" t="inlineStr">
        <is>
          <t>SFWZ-73</t>
        </is>
      </c>
      <c r="FV1717">
        <f>VLOOKUP(FU1717,FD:FL,9,0)</f>
        <v/>
      </c>
    </row>
    <row r="1718">
      <c r="FC1718" t="inlineStr">
        <is>
          <t>Diccionario 2</t>
        </is>
      </c>
      <c r="FD1718" s="15" t="inlineStr">
        <is>
          <t>LZPS-15</t>
        </is>
      </c>
      <c r="FE1718" s="17" t="inlineStr">
        <is>
          <t>YV3T7U523LA201045</t>
        </is>
      </c>
      <c r="FF1718" s="18" t="n">
        <v>506671</v>
      </c>
      <c r="FG1718" s="18" t="inlineStr">
        <is>
          <t>VOLVO</t>
        </is>
      </c>
      <c r="FH1718" s="18" t="inlineStr">
        <is>
          <t>B8RLEA</t>
        </is>
      </c>
      <c r="FI1718" s="18" t="inlineStr">
        <is>
          <t>MARCOPOLO</t>
        </is>
      </c>
      <c r="FJ1718" s="18" t="inlineStr">
        <is>
          <t>GRAN VIALE</t>
        </is>
      </c>
      <c r="FK1718" s="18" t="n">
        <v>2020</v>
      </c>
      <c r="FL1718" s="18" t="inlineStr">
        <is>
          <t>C</t>
        </is>
      </c>
      <c r="FM1718" s="18" t="inlineStr">
        <is>
          <t>Recoleta</t>
        </is>
      </c>
      <c r="FP1718" t="inlineStr">
        <is>
          <t>C</t>
        </is>
      </c>
      <c r="FS1718" s="14" t="inlineStr">
        <is>
          <t>3072 / SFWB-89|</t>
        </is>
      </c>
      <c r="FT1718" t="inlineStr">
        <is>
          <t>SFWB-89|</t>
        </is>
      </c>
      <c r="FU1718" t="inlineStr">
        <is>
          <t>SFWB-89</t>
        </is>
      </c>
      <c r="FV1718">
        <f>VLOOKUP(FU1718,FD:FL,9,0)</f>
        <v/>
      </c>
    </row>
    <row r="1719">
      <c r="FC1719" t="inlineStr">
        <is>
          <t>Diccionario 2</t>
        </is>
      </c>
      <c r="FD1719" s="15" t="inlineStr">
        <is>
          <t>LZPS-16</t>
        </is>
      </c>
      <c r="FE1719" s="17" t="inlineStr">
        <is>
          <t>YV3T7U52XLA201074</t>
        </is>
      </c>
      <c r="FF1719" s="18" t="n">
        <v>507033</v>
      </c>
      <c r="FG1719" s="18" t="inlineStr">
        <is>
          <t>VOLVO</t>
        </is>
      </c>
      <c r="FH1719" s="18" t="inlineStr">
        <is>
          <t>B8RLEA</t>
        </is>
      </c>
      <c r="FI1719" s="18" t="inlineStr">
        <is>
          <t>MARCOPOLO</t>
        </is>
      </c>
      <c r="FJ1719" s="18" t="inlineStr">
        <is>
          <t>GRAN VIALE</t>
        </is>
      </c>
      <c r="FK1719" s="18" t="n">
        <v>2020</v>
      </c>
      <c r="FL1719" s="18" t="inlineStr">
        <is>
          <t>C</t>
        </is>
      </c>
      <c r="FM1719" s="18" t="inlineStr">
        <is>
          <t>Recoleta</t>
        </is>
      </c>
      <c r="FP1719" t="inlineStr">
        <is>
          <t>C</t>
        </is>
      </c>
      <c r="FS1719" s="14" t="inlineStr">
        <is>
          <t>3054 / SFWB-24|</t>
        </is>
      </c>
      <c r="FT1719" t="inlineStr">
        <is>
          <t>SFWB-24|</t>
        </is>
      </c>
      <c r="FU1719" t="inlineStr">
        <is>
          <t>SFWB-24</t>
        </is>
      </c>
      <c r="FV1719">
        <f>VLOOKUP(FU1719,FD:FL,9,0)</f>
        <v/>
      </c>
    </row>
    <row r="1720">
      <c r="FC1720" t="inlineStr">
        <is>
          <t>Diccionario 2</t>
        </is>
      </c>
      <c r="FD1720" s="15" t="inlineStr">
        <is>
          <t>LZPS-17</t>
        </is>
      </c>
      <c r="FE1720" s="17" t="inlineStr">
        <is>
          <t>YV3T7U526LA201072</t>
        </is>
      </c>
      <c r="FF1720" s="18" t="n">
        <v>506988</v>
      </c>
      <c r="FG1720" s="18" t="inlineStr">
        <is>
          <t>VOLVO</t>
        </is>
      </c>
      <c r="FH1720" s="18" t="inlineStr">
        <is>
          <t>B8RLEA</t>
        </is>
      </c>
      <c r="FI1720" s="18" t="inlineStr">
        <is>
          <t>MARCOPOLO</t>
        </is>
      </c>
      <c r="FJ1720" s="18" t="inlineStr">
        <is>
          <t>GRAN VIALE</t>
        </is>
      </c>
      <c r="FK1720" s="18" t="n">
        <v>2020</v>
      </c>
      <c r="FL1720" s="18" t="inlineStr">
        <is>
          <t>C</t>
        </is>
      </c>
      <c r="FM1720" s="18" t="inlineStr">
        <is>
          <t>Recoleta</t>
        </is>
      </c>
      <c r="FP1720" t="inlineStr">
        <is>
          <t>C</t>
        </is>
      </c>
      <c r="FS1720" s="14" t="inlineStr">
        <is>
          <t>3019 / SFWB-44|</t>
        </is>
      </c>
      <c r="FT1720" t="inlineStr">
        <is>
          <t>SFWB-44|</t>
        </is>
      </c>
      <c r="FU1720" t="inlineStr">
        <is>
          <t>SFWB-44</t>
        </is>
      </c>
      <c r="FV1720">
        <f>VLOOKUP(FU1720,FD:FL,9,0)</f>
        <v/>
      </c>
    </row>
    <row r="1721">
      <c r="FC1721" t="inlineStr">
        <is>
          <t>Diccionario 2</t>
        </is>
      </c>
      <c r="FD1721" s="15" t="inlineStr">
        <is>
          <t>LZPS-18</t>
        </is>
      </c>
      <c r="FE1721" s="17" t="inlineStr">
        <is>
          <t>YV3T7U520LA201181</t>
        </is>
      </c>
      <c r="FF1721" s="18" t="n">
        <v>506841</v>
      </c>
      <c r="FG1721" s="18" t="inlineStr">
        <is>
          <t>VOLVO</t>
        </is>
      </c>
      <c r="FH1721" s="18" t="inlineStr">
        <is>
          <t>B8RLEA</t>
        </is>
      </c>
      <c r="FI1721" s="18" t="inlineStr">
        <is>
          <t>MARCOPOLO</t>
        </is>
      </c>
      <c r="FJ1721" s="18" t="inlineStr">
        <is>
          <t>GRAN VIALE</t>
        </is>
      </c>
      <c r="FK1721" s="18" t="n">
        <v>2020</v>
      </c>
      <c r="FL1721" s="18" t="inlineStr">
        <is>
          <t>C</t>
        </is>
      </c>
      <c r="FM1721" s="18" t="inlineStr">
        <is>
          <t>Santa Rosa</t>
        </is>
      </c>
      <c r="FP1721" t="inlineStr">
        <is>
          <t>C</t>
        </is>
      </c>
      <c r="FS1721" s="14" t="inlineStr">
        <is>
          <t>3064 / SFWZ-61|</t>
        </is>
      </c>
      <c r="FT1721" t="inlineStr">
        <is>
          <t>SFWZ-61|</t>
        </is>
      </c>
      <c r="FU1721" t="inlineStr">
        <is>
          <t>SFWZ-61</t>
        </is>
      </c>
      <c r="FV1721">
        <f>VLOOKUP(FU1721,FD:FL,9,0)</f>
        <v/>
      </c>
    </row>
    <row r="1722">
      <c r="FC1722" t="inlineStr">
        <is>
          <t>Diccionario 2</t>
        </is>
      </c>
      <c r="FD1722" s="15" t="inlineStr">
        <is>
          <t>LZPS-19</t>
        </is>
      </c>
      <c r="FE1722" s="17" t="inlineStr">
        <is>
          <t>YV3T7U522LA201098</t>
        </is>
      </c>
      <c r="FF1722" s="18" t="n">
        <v>507058</v>
      </c>
      <c r="FG1722" s="18" t="inlineStr">
        <is>
          <t>VOLVO</t>
        </is>
      </c>
      <c r="FH1722" s="18" t="inlineStr">
        <is>
          <t>B8RLEA</t>
        </is>
      </c>
      <c r="FI1722" s="18" t="inlineStr">
        <is>
          <t>MARCOPOLO</t>
        </is>
      </c>
      <c r="FJ1722" s="18" t="inlineStr">
        <is>
          <t>GRAN VIALE</t>
        </is>
      </c>
      <c r="FK1722" s="18" t="n">
        <v>2020</v>
      </c>
      <c r="FL1722" s="18" t="inlineStr">
        <is>
          <t>C</t>
        </is>
      </c>
      <c r="FM1722" s="18" t="inlineStr">
        <is>
          <t>Recoleta</t>
        </is>
      </c>
      <c r="FP1722" t="inlineStr">
        <is>
          <t>C</t>
        </is>
      </c>
      <c r="FS1722" s="14" t="inlineStr">
        <is>
          <t>3063 / SFWZ-21|</t>
        </is>
      </c>
      <c r="FT1722" t="inlineStr">
        <is>
          <t>SFWZ-21|</t>
        </is>
      </c>
      <c r="FU1722" t="inlineStr">
        <is>
          <t>SFWZ-21</t>
        </is>
      </c>
      <c r="FV1722">
        <f>VLOOKUP(FU1722,FD:FL,9,0)</f>
        <v/>
      </c>
    </row>
    <row r="1723">
      <c r="FC1723" t="inlineStr">
        <is>
          <t>Diccionario 2</t>
        </is>
      </c>
      <c r="FD1723" s="15" t="inlineStr">
        <is>
          <t>LZPS-20</t>
        </is>
      </c>
      <c r="FE1723" s="17" t="inlineStr">
        <is>
          <t>YV3T7U52XLA201060</t>
        </is>
      </c>
      <c r="FF1723" s="18" t="n">
        <v>506731</v>
      </c>
      <c r="FG1723" s="18" t="inlineStr">
        <is>
          <t>VOLVO</t>
        </is>
      </c>
      <c r="FH1723" s="18" t="inlineStr">
        <is>
          <t>B8RLEA</t>
        </is>
      </c>
      <c r="FI1723" s="18" t="inlineStr">
        <is>
          <t>MARCOPOLO</t>
        </is>
      </c>
      <c r="FJ1723" s="18" t="inlineStr">
        <is>
          <t>GRAN VIALE</t>
        </is>
      </c>
      <c r="FK1723" s="18" t="n">
        <v>2020</v>
      </c>
      <c r="FL1723" s="18" t="inlineStr">
        <is>
          <t>C</t>
        </is>
      </c>
      <c r="FM1723" s="18" t="inlineStr">
        <is>
          <t>Santa Rosa</t>
        </is>
      </c>
      <c r="FP1723" t="inlineStr">
        <is>
          <t>C</t>
        </is>
      </c>
      <c r="FS1723" s="14" t="inlineStr">
        <is>
          <t>VJKF-46|</t>
        </is>
      </c>
      <c r="FT1723" t="inlineStr">
        <is>
          <t>VJKF-46|</t>
        </is>
      </c>
      <c r="FU1723" t="inlineStr">
        <is>
          <t>VJKF-46</t>
        </is>
      </c>
      <c r="FV1723">
        <f>VLOOKUP(FU1723,FD:FL,9,0)</f>
        <v/>
      </c>
    </row>
    <row r="1724">
      <c r="FC1724" t="inlineStr">
        <is>
          <t>Diccionario 2</t>
        </is>
      </c>
      <c r="FD1724" s="15" t="inlineStr">
        <is>
          <t>LZPS-21</t>
        </is>
      </c>
      <c r="FE1724" s="17" t="inlineStr">
        <is>
          <t>YV3T7U523LA201143</t>
        </is>
      </c>
      <c r="FF1724" s="18" t="n">
        <v>507121</v>
      </c>
      <c r="FG1724" s="18" t="inlineStr">
        <is>
          <t>VOLVO</t>
        </is>
      </c>
      <c r="FH1724" s="18" t="inlineStr">
        <is>
          <t>B8RLEA</t>
        </is>
      </c>
      <c r="FI1724" s="18" t="inlineStr">
        <is>
          <t>MARCOPOLO</t>
        </is>
      </c>
      <c r="FJ1724" s="18" t="inlineStr">
        <is>
          <t>GRAN VIALE</t>
        </is>
      </c>
      <c r="FK1724" s="18" t="n">
        <v>2020</v>
      </c>
      <c r="FL1724" s="18" t="inlineStr">
        <is>
          <t>C</t>
        </is>
      </c>
      <c r="FM1724" s="18" t="inlineStr">
        <is>
          <t>Recoleta</t>
        </is>
      </c>
      <c r="FP1724" t="inlineStr">
        <is>
          <t>C</t>
        </is>
      </c>
      <c r="FS1724" s="14" t="inlineStr">
        <is>
          <t>3006 / SFVZ-94|</t>
        </is>
      </c>
      <c r="FT1724" t="inlineStr">
        <is>
          <t>SFVZ-94|</t>
        </is>
      </c>
      <c r="FU1724" t="inlineStr">
        <is>
          <t>SFVZ-94</t>
        </is>
      </c>
      <c r="FV1724">
        <f>VLOOKUP(FU1724,FD:FL,9,0)</f>
        <v/>
      </c>
    </row>
    <row r="1725">
      <c r="FC1725" t="inlineStr">
        <is>
          <t>Diccionario 2</t>
        </is>
      </c>
      <c r="FD1725" s="15" t="inlineStr">
        <is>
          <t>LZPS-22</t>
        </is>
      </c>
      <c r="FE1725" s="17" t="inlineStr">
        <is>
          <t>YV3T7U52XLA201169</t>
        </is>
      </c>
      <c r="FF1725" s="18" t="n">
        <v>507144</v>
      </c>
      <c r="FG1725" s="18" t="inlineStr">
        <is>
          <t>VOLVO</t>
        </is>
      </c>
      <c r="FH1725" s="18" t="inlineStr">
        <is>
          <t>B8RLEA</t>
        </is>
      </c>
      <c r="FI1725" s="18" t="inlineStr">
        <is>
          <t>MARCOPOLO</t>
        </is>
      </c>
      <c r="FJ1725" s="18" t="inlineStr">
        <is>
          <t>GRAN VIALE</t>
        </is>
      </c>
      <c r="FK1725" s="18" t="n">
        <v>2020</v>
      </c>
      <c r="FL1725" s="18" t="inlineStr">
        <is>
          <t>C</t>
        </is>
      </c>
      <c r="FM1725" s="18" t="inlineStr">
        <is>
          <t>Santa Rosa</t>
        </is>
      </c>
      <c r="FP1725" t="inlineStr">
        <is>
          <t>C</t>
        </is>
      </c>
      <c r="FS1725" s="14" t="inlineStr">
        <is>
          <t>3021 / SFWZ-36|</t>
        </is>
      </c>
      <c r="FT1725" t="inlineStr">
        <is>
          <t>SFWZ-36|</t>
        </is>
      </c>
      <c r="FU1725" t="inlineStr">
        <is>
          <t>SFWZ-36</t>
        </is>
      </c>
      <c r="FV1725">
        <f>VLOOKUP(FU1725,FD:FL,9,0)</f>
        <v/>
      </c>
    </row>
    <row r="1726">
      <c r="FC1726" t="inlineStr">
        <is>
          <t>Diccionario 2</t>
        </is>
      </c>
      <c r="FD1726" s="15" t="inlineStr">
        <is>
          <t>LZPS-23</t>
        </is>
      </c>
      <c r="FE1726" s="17" t="inlineStr">
        <is>
          <t>YV3T7U524LA201099</t>
        </is>
      </c>
      <c r="FF1726" s="18" t="n">
        <v>507047</v>
      </c>
      <c r="FG1726" s="18" t="inlineStr">
        <is>
          <t>VOLVO</t>
        </is>
      </c>
      <c r="FH1726" s="18" t="inlineStr">
        <is>
          <t>B8RLEA</t>
        </is>
      </c>
      <c r="FI1726" s="18" t="inlineStr">
        <is>
          <t>MARCOPOLO</t>
        </is>
      </c>
      <c r="FJ1726" s="18" t="inlineStr">
        <is>
          <t>GRAN VIALE</t>
        </is>
      </c>
      <c r="FK1726" s="18" t="n">
        <v>2020</v>
      </c>
      <c r="FL1726" s="18" t="inlineStr">
        <is>
          <t>C</t>
        </is>
      </c>
      <c r="FM1726" s="18" t="inlineStr">
        <is>
          <t>Recoleta</t>
        </is>
      </c>
      <c r="FP1726" t="inlineStr">
        <is>
          <t>C</t>
        </is>
      </c>
      <c r="FS1726" s="14" t="inlineStr">
        <is>
          <t>3012 / SFWB-72|</t>
        </is>
      </c>
      <c r="FT1726" t="inlineStr">
        <is>
          <t>SFWB-72|</t>
        </is>
      </c>
      <c r="FU1726" t="inlineStr">
        <is>
          <t>SFWB-72</t>
        </is>
      </c>
      <c r="FV1726">
        <f>VLOOKUP(FU1726,FD:FL,9,0)</f>
        <v/>
      </c>
    </row>
    <row r="1727">
      <c r="FC1727" t="inlineStr">
        <is>
          <t>Diccionario 2</t>
        </is>
      </c>
      <c r="FD1727" s="15" t="inlineStr">
        <is>
          <t>LZPS-24</t>
        </is>
      </c>
      <c r="FE1727" s="17" t="inlineStr">
        <is>
          <t>YV3T7U52XLA201270</t>
        </is>
      </c>
      <c r="FF1727" s="18" t="n">
        <v>507680</v>
      </c>
      <c r="FG1727" s="18" t="inlineStr">
        <is>
          <t>VOLVO</t>
        </is>
      </c>
      <c r="FH1727" s="18" t="inlineStr">
        <is>
          <t>B8RLEA</t>
        </is>
      </c>
      <c r="FI1727" s="18" t="inlineStr">
        <is>
          <t>MARCOPOLO</t>
        </is>
      </c>
      <c r="FJ1727" s="18" t="inlineStr">
        <is>
          <t>GRAN VIALE</t>
        </is>
      </c>
      <c r="FK1727" s="18" t="n">
        <v>2020</v>
      </c>
      <c r="FL1727" s="18" t="inlineStr">
        <is>
          <t>C</t>
        </is>
      </c>
      <c r="FM1727" s="18" t="inlineStr">
        <is>
          <t>Santa Rosa</t>
        </is>
      </c>
      <c r="FP1727" t="inlineStr">
        <is>
          <t>C</t>
        </is>
      </c>
      <c r="FS1727" s="14" t="inlineStr">
        <is>
          <t>3074 / SFWZ-17|</t>
        </is>
      </c>
      <c r="FT1727" t="inlineStr">
        <is>
          <t>SFWZ-17|</t>
        </is>
      </c>
      <c r="FU1727" t="inlineStr">
        <is>
          <t>SFWZ-17</t>
        </is>
      </c>
      <c r="FV1727">
        <f>VLOOKUP(FU1727,FD:FL,9,0)</f>
        <v/>
      </c>
    </row>
    <row r="1728">
      <c r="FC1728" t="inlineStr">
        <is>
          <t>Diccionario 2</t>
        </is>
      </c>
      <c r="FD1728" s="15" t="inlineStr">
        <is>
          <t>LZPS-25</t>
        </is>
      </c>
      <c r="FE1728" s="17" t="inlineStr">
        <is>
          <t>YV3T7U521LA201061</t>
        </is>
      </c>
      <c r="FF1728" s="18" t="n">
        <v>506696</v>
      </c>
      <c r="FG1728" s="18" t="inlineStr">
        <is>
          <t>VOLVO</t>
        </is>
      </c>
      <c r="FH1728" s="18" t="inlineStr">
        <is>
          <t>B8RLEA</t>
        </is>
      </c>
      <c r="FI1728" s="18" t="inlineStr">
        <is>
          <t>MARCOPOLO</t>
        </is>
      </c>
      <c r="FJ1728" s="18" t="inlineStr">
        <is>
          <t>GRAN VIALE</t>
        </is>
      </c>
      <c r="FK1728" s="18" t="n">
        <v>2020</v>
      </c>
      <c r="FL1728" s="18" t="inlineStr">
        <is>
          <t>C</t>
        </is>
      </c>
      <c r="FM1728" s="18" t="inlineStr">
        <is>
          <t>Recoleta</t>
        </is>
      </c>
      <c r="FP1728" t="inlineStr">
        <is>
          <t>C</t>
        </is>
      </c>
      <c r="FS1728" s="14" t="inlineStr">
        <is>
          <t>3044 / SFVZ-67|</t>
        </is>
      </c>
      <c r="FT1728" t="inlineStr">
        <is>
          <t>SFVZ-67|</t>
        </is>
      </c>
      <c r="FU1728" t="inlineStr">
        <is>
          <t>SFVZ-67</t>
        </is>
      </c>
      <c r="FV1728">
        <f>VLOOKUP(FU1728,FD:FL,9,0)</f>
        <v/>
      </c>
    </row>
    <row r="1729">
      <c r="FC1729" t="inlineStr">
        <is>
          <t>Diccionario 2</t>
        </is>
      </c>
      <c r="FD1729" s="15" t="inlineStr">
        <is>
          <t>LZPT-38</t>
        </is>
      </c>
      <c r="FE1729" s="17" t="inlineStr">
        <is>
          <t>YV3T7U526LA201184</t>
        </is>
      </c>
      <c r="FF1729" s="18" t="n">
        <v>506823</v>
      </c>
      <c r="FG1729" s="18" t="inlineStr">
        <is>
          <t>VOLVO</t>
        </is>
      </c>
      <c r="FH1729" s="18" t="inlineStr">
        <is>
          <t>B8RLEA</t>
        </is>
      </c>
      <c r="FI1729" s="18" t="inlineStr">
        <is>
          <t>MARCOPOLO</t>
        </is>
      </c>
      <c r="FJ1729" s="18" t="inlineStr">
        <is>
          <t>GRAN VIALE</t>
        </is>
      </c>
      <c r="FK1729" s="18" t="n">
        <v>2020</v>
      </c>
      <c r="FL1729" s="18" t="inlineStr">
        <is>
          <t>C</t>
        </is>
      </c>
      <c r="FM1729" s="18" t="inlineStr">
        <is>
          <t>Santa Rosa</t>
        </is>
      </c>
      <c r="FP1729" t="inlineStr">
        <is>
          <t>C</t>
        </is>
      </c>
      <c r="FS1729" s="14" t="inlineStr">
        <is>
          <t>3097 / SFWZ-77|</t>
        </is>
      </c>
      <c r="FT1729" t="inlineStr">
        <is>
          <t>SFWZ-77|</t>
        </is>
      </c>
      <c r="FU1729" t="inlineStr">
        <is>
          <t>SFWZ-77</t>
        </is>
      </c>
      <c r="FV1729">
        <f>VLOOKUP(FU1729,FD:FL,9,0)</f>
        <v/>
      </c>
    </row>
    <row r="1730">
      <c r="FC1730" t="inlineStr">
        <is>
          <t>Diccionario 2</t>
        </is>
      </c>
      <c r="FD1730" s="15" t="inlineStr">
        <is>
          <t>LZPT-39</t>
        </is>
      </c>
      <c r="FE1730" s="17" t="inlineStr">
        <is>
          <t>YV3T7U524LA201183</t>
        </is>
      </c>
      <c r="FF1730" s="18" t="n">
        <v>506866</v>
      </c>
      <c r="FG1730" s="18" t="inlineStr">
        <is>
          <t>VOLVO</t>
        </is>
      </c>
      <c r="FH1730" s="18" t="inlineStr">
        <is>
          <t>B8RLEA</t>
        </is>
      </c>
      <c r="FI1730" s="18" t="inlineStr">
        <is>
          <t>MARCOPOLO</t>
        </is>
      </c>
      <c r="FJ1730" s="18" t="inlineStr">
        <is>
          <t>GRAN VIALE</t>
        </is>
      </c>
      <c r="FK1730" s="18" t="n">
        <v>2020</v>
      </c>
      <c r="FL1730" s="18" t="inlineStr">
        <is>
          <t>C</t>
        </is>
      </c>
      <c r="FM1730" s="18" t="inlineStr">
        <is>
          <t>Santa Rosa</t>
        </is>
      </c>
      <c r="FP1730" t="inlineStr">
        <is>
          <t>C</t>
        </is>
      </c>
      <c r="FS1730" s="14" t="inlineStr">
        <is>
          <t>3036 / SFWB-77|</t>
        </is>
      </c>
      <c r="FT1730" t="inlineStr">
        <is>
          <t>SFWB-77|</t>
        </is>
      </c>
      <c r="FU1730" t="inlineStr">
        <is>
          <t>SFWB-77</t>
        </is>
      </c>
      <c r="FV1730">
        <f>VLOOKUP(FU1730,FD:FL,9,0)</f>
        <v/>
      </c>
    </row>
    <row r="1731">
      <c r="FC1731" t="inlineStr">
        <is>
          <t>Diccionario 2</t>
        </is>
      </c>
      <c r="FD1731" s="15" t="inlineStr">
        <is>
          <t>LZPT-40</t>
        </is>
      </c>
      <c r="FE1731" s="17" t="inlineStr">
        <is>
          <t>YV3T7U523LA201157</t>
        </is>
      </c>
      <c r="FF1731" s="18" t="n">
        <v>507134</v>
      </c>
      <c r="FG1731" s="18" t="inlineStr">
        <is>
          <t>VOLVO</t>
        </is>
      </c>
      <c r="FH1731" s="18" t="inlineStr">
        <is>
          <t>B8RLEA</t>
        </is>
      </c>
      <c r="FI1731" s="18" t="inlineStr">
        <is>
          <t>MARCOPOLO</t>
        </is>
      </c>
      <c r="FJ1731" s="18" t="inlineStr">
        <is>
          <t>GRAN VIALE</t>
        </is>
      </c>
      <c r="FK1731" s="18" t="n">
        <v>2020</v>
      </c>
      <c r="FL1731" s="18" t="inlineStr">
        <is>
          <t>C</t>
        </is>
      </c>
      <c r="FM1731" s="18" t="inlineStr">
        <is>
          <t>Santa Rosa</t>
        </is>
      </c>
      <c r="FP1731" t="inlineStr">
        <is>
          <t>C</t>
        </is>
      </c>
      <c r="FS1731" s="14" t="inlineStr">
        <is>
          <t>3104 / SFWZ-52|</t>
        </is>
      </c>
      <c r="FT1731" t="inlineStr">
        <is>
          <t>SFWZ-52|</t>
        </is>
      </c>
      <c r="FU1731" t="inlineStr">
        <is>
          <t>SFWZ-52</t>
        </is>
      </c>
      <c r="FV1731">
        <f>VLOOKUP(FU1731,FD:FL,9,0)</f>
        <v/>
      </c>
    </row>
    <row r="1732">
      <c r="FC1732" t="inlineStr">
        <is>
          <t>Diccionario 2</t>
        </is>
      </c>
      <c r="FD1732" s="15" t="inlineStr">
        <is>
          <t>LZPT-41</t>
        </is>
      </c>
      <c r="FE1732" s="17" t="inlineStr">
        <is>
          <t>YV3T7U526LA201170</t>
        </is>
      </c>
      <c r="FF1732" s="18" t="n">
        <v>507160</v>
      </c>
      <c r="FG1732" s="18" t="inlineStr">
        <is>
          <t>VOLVO</t>
        </is>
      </c>
      <c r="FH1732" s="18" t="inlineStr">
        <is>
          <t>B8RLEA</t>
        </is>
      </c>
      <c r="FI1732" s="18" t="inlineStr">
        <is>
          <t>MARCOPOLO</t>
        </is>
      </c>
      <c r="FJ1732" s="18" t="inlineStr">
        <is>
          <t>GRAN VIALE</t>
        </is>
      </c>
      <c r="FK1732" s="18" t="n">
        <v>2020</v>
      </c>
      <c r="FL1732" s="18" t="inlineStr">
        <is>
          <t>C</t>
        </is>
      </c>
      <c r="FM1732" s="18" t="inlineStr">
        <is>
          <t>Santa Rosa</t>
        </is>
      </c>
      <c r="FP1732" t="inlineStr">
        <is>
          <t>C</t>
        </is>
      </c>
      <c r="FS1732" s="14" t="inlineStr">
        <is>
          <t>3004 / SFWZ-31|</t>
        </is>
      </c>
      <c r="FT1732" t="inlineStr">
        <is>
          <t>SFWZ-31|</t>
        </is>
      </c>
      <c r="FU1732" t="inlineStr">
        <is>
          <t>SFWZ-31</t>
        </is>
      </c>
      <c r="FV1732">
        <f>VLOOKUP(FU1732,FD:FL,9,0)</f>
        <v/>
      </c>
    </row>
    <row r="1733">
      <c r="FC1733" t="inlineStr">
        <is>
          <t>Diccionario 2</t>
        </is>
      </c>
      <c r="FD1733" s="15" t="inlineStr">
        <is>
          <t>LZPT-42</t>
        </is>
      </c>
      <c r="FE1733" s="17" t="inlineStr">
        <is>
          <t>YV3T7U528LA201140</t>
        </is>
      </c>
      <c r="FF1733" s="18" t="n">
        <v>507108</v>
      </c>
      <c r="FG1733" s="18" t="inlineStr">
        <is>
          <t>VOLVO</t>
        </is>
      </c>
      <c r="FH1733" s="18" t="inlineStr">
        <is>
          <t>B8RLEA</t>
        </is>
      </c>
      <c r="FI1733" s="18" t="inlineStr">
        <is>
          <t>MARCOPOLO</t>
        </is>
      </c>
      <c r="FJ1733" s="18" t="inlineStr">
        <is>
          <t>GRAN VIALE</t>
        </is>
      </c>
      <c r="FK1733" s="18" t="n">
        <v>2020</v>
      </c>
      <c r="FL1733" s="18" t="inlineStr">
        <is>
          <t>C</t>
        </is>
      </c>
      <c r="FM1733" s="18" t="inlineStr">
        <is>
          <t>Santa Rosa</t>
        </is>
      </c>
      <c r="FP1733" t="inlineStr">
        <is>
          <t>C</t>
        </is>
      </c>
      <c r="FS1733" s="14" t="inlineStr">
        <is>
          <t>3032 / SFWZ-34|</t>
        </is>
      </c>
      <c r="FT1733" t="inlineStr">
        <is>
          <t>SFWZ-34|</t>
        </is>
      </c>
      <c r="FU1733" t="inlineStr">
        <is>
          <t>SFWZ-34</t>
        </is>
      </c>
      <c r="FV1733">
        <f>VLOOKUP(FU1733,FD:FL,9,0)</f>
        <v/>
      </c>
    </row>
    <row r="1734">
      <c r="FC1734" t="inlineStr">
        <is>
          <t>Diccionario 2</t>
        </is>
      </c>
      <c r="FD1734" s="15" t="inlineStr">
        <is>
          <t>LZPT-43</t>
        </is>
      </c>
      <c r="FE1734" s="17" t="inlineStr">
        <is>
          <t>YV3T7U521LA201075</t>
        </is>
      </c>
      <c r="FF1734" s="18" t="n">
        <v>507057</v>
      </c>
      <c r="FG1734" s="18" t="inlineStr">
        <is>
          <t>VOLVO</t>
        </is>
      </c>
      <c r="FH1734" s="18" t="inlineStr">
        <is>
          <t>B8RLEA</t>
        </is>
      </c>
      <c r="FI1734" s="18" t="inlineStr">
        <is>
          <t>MARCOPOLO</t>
        </is>
      </c>
      <c r="FJ1734" s="18" t="inlineStr">
        <is>
          <t>GRAN VIALE</t>
        </is>
      </c>
      <c r="FK1734" s="18" t="n">
        <v>2020</v>
      </c>
      <c r="FL1734" s="18" t="inlineStr">
        <is>
          <t>C</t>
        </is>
      </c>
      <c r="FM1734" s="18" t="inlineStr">
        <is>
          <t>Recoleta</t>
        </is>
      </c>
      <c r="FP1734" t="inlineStr">
        <is>
          <t>C</t>
        </is>
      </c>
      <c r="FS1734" s="14" t="inlineStr">
        <is>
          <t>VJKF-44|</t>
        </is>
      </c>
      <c r="FT1734" t="inlineStr">
        <is>
          <t>VJKF-44|</t>
        </is>
      </c>
      <c r="FU1734" t="inlineStr">
        <is>
          <t>VJKF-44</t>
        </is>
      </c>
      <c r="FV1734">
        <f>VLOOKUP(FU1734,FD:FL,9,0)</f>
        <v/>
      </c>
    </row>
    <row r="1735">
      <c r="FC1735" t="inlineStr">
        <is>
          <t>Diccionario 2</t>
        </is>
      </c>
      <c r="FD1735" s="15" t="inlineStr">
        <is>
          <t>LZPT-44</t>
        </is>
      </c>
      <c r="FE1735" s="17" t="inlineStr">
        <is>
          <t>YV3T7U529LA201101</t>
        </is>
      </c>
      <c r="FF1735" s="18" t="n">
        <v>507062</v>
      </c>
      <c r="FG1735" s="18" t="inlineStr">
        <is>
          <t>VOLVO</t>
        </is>
      </c>
      <c r="FH1735" s="18" t="inlineStr">
        <is>
          <t>B8RLEA</t>
        </is>
      </c>
      <c r="FI1735" s="18" t="inlineStr">
        <is>
          <t>MARCOPOLO</t>
        </is>
      </c>
      <c r="FJ1735" s="18" t="inlineStr">
        <is>
          <t>GRAN VIALE</t>
        </is>
      </c>
      <c r="FK1735" s="18" t="n">
        <v>2020</v>
      </c>
      <c r="FL1735" s="18" t="inlineStr">
        <is>
          <t>C</t>
        </is>
      </c>
      <c r="FM1735" s="18" t="inlineStr">
        <is>
          <t>Recoleta</t>
        </is>
      </c>
      <c r="FP1735" t="inlineStr">
        <is>
          <t>C</t>
        </is>
      </c>
      <c r="FS1735" s="14" t="inlineStr">
        <is>
          <t>VJYJ-35|</t>
        </is>
      </c>
      <c r="FT1735" t="inlineStr">
        <is>
          <t>VJYJ-35|</t>
        </is>
      </c>
      <c r="FU1735" t="inlineStr">
        <is>
          <t>VJYJ-35</t>
        </is>
      </c>
      <c r="FV1735">
        <f>VLOOKUP(FU1735,FD:FL,9,0)</f>
        <v/>
      </c>
    </row>
    <row r="1736">
      <c r="FC1736" t="inlineStr">
        <is>
          <t>Diccionario 2</t>
        </is>
      </c>
      <c r="FD1736" s="15" t="inlineStr">
        <is>
          <t>LZPT-45</t>
        </is>
      </c>
      <c r="FE1736" s="17" t="inlineStr">
        <is>
          <t>YV3T7U526LA201850</t>
        </is>
      </c>
      <c r="FF1736" s="18" t="n">
        <v>507971</v>
      </c>
      <c r="FG1736" s="18" t="inlineStr">
        <is>
          <t>VOLVO</t>
        </is>
      </c>
      <c r="FH1736" s="18" t="inlineStr">
        <is>
          <t>B8RLEA</t>
        </is>
      </c>
      <c r="FI1736" s="18" t="inlineStr">
        <is>
          <t>MARCOPOLO</t>
        </is>
      </c>
      <c r="FJ1736" s="18" t="inlineStr">
        <is>
          <t>GRAN VIALE</t>
        </is>
      </c>
      <c r="FK1736" s="18" t="n">
        <v>2020</v>
      </c>
      <c r="FL1736" s="18" t="inlineStr">
        <is>
          <t>C</t>
        </is>
      </c>
      <c r="FM1736" s="18" t="inlineStr">
        <is>
          <t>Santa Rosa</t>
        </is>
      </c>
      <c r="FP1736" t="inlineStr">
        <is>
          <t>C</t>
        </is>
      </c>
      <c r="FS1736" s="14" t="inlineStr">
        <is>
          <t>3044 / SFVZ-67|</t>
        </is>
      </c>
      <c r="FT1736" t="inlineStr">
        <is>
          <t>SFVZ-67|</t>
        </is>
      </c>
      <c r="FU1736" t="inlineStr">
        <is>
          <t>SFVZ-67</t>
        </is>
      </c>
      <c r="FV1736">
        <f>VLOOKUP(FU1736,FD:FL,9,0)</f>
        <v/>
      </c>
    </row>
    <row r="1737">
      <c r="FC1737" t="inlineStr">
        <is>
          <t>Diccionario 2</t>
        </is>
      </c>
      <c r="FD1737" s="15" t="inlineStr">
        <is>
          <t>LZPT-46</t>
        </is>
      </c>
      <c r="FE1737" s="17" t="inlineStr">
        <is>
          <t>YV3T7U527LA201713</t>
        </is>
      </c>
      <c r="FF1737" s="18" t="n">
        <v>508481</v>
      </c>
      <c r="FG1737" s="18" t="inlineStr">
        <is>
          <t>VOLVO</t>
        </is>
      </c>
      <c r="FH1737" s="18" t="inlineStr">
        <is>
          <t>B8RLEA</t>
        </is>
      </c>
      <c r="FI1737" s="18" t="inlineStr">
        <is>
          <t>MARCOPOLO</t>
        </is>
      </c>
      <c r="FJ1737" s="18" t="inlineStr">
        <is>
          <t>GRAN VIALE</t>
        </is>
      </c>
      <c r="FK1737" s="18" t="n">
        <v>2020</v>
      </c>
      <c r="FL1737" s="18" t="inlineStr">
        <is>
          <t>C</t>
        </is>
      </c>
      <c r="FM1737" s="18" t="inlineStr">
        <is>
          <t>Recoleta</t>
        </is>
      </c>
      <c r="FP1737" t="inlineStr">
        <is>
          <t>C</t>
        </is>
      </c>
      <c r="FS1737" s="14" t="inlineStr">
        <is>
          <t>3030 / SFWZ-14|</t>
        </is>
      </c>
      <c r="FT1737" t="inlineStr">
        <is>
          <t>SFWZ-14|</t>
        </is>
      </c>
      <c r="FU1737" t="inlineStr">
        <is>
          <t>SFWZ-14</t>
        </is>
      </c>
      <c r="FV1737">
        <f>VLOOKUP(FU1737,FD:FL,9,0)</f>
        <v/>
      </c>
    </row>
    <row r="1738">
      <c r="FC1738" t="inlineStr">
        <is>
          <t>Diccionario 2</t>
        </is>
      </c>
      <c r="FD1738" s="15" t="inlineStr">
        <is>
          <t>LZPT-47</t>
        </is>
      </c>
      <c r="FE1738" s="17" t="inlineStr">
        <is>
          <t>YV3T7U524LA201801</t>
        </is>
      </c>
      <c r="FF1738" s="18" t="n">
        <v>509156</v>
      </c>
      <c r="FG1738" s="18" t="inlineStr">
        <is>
          <t>VOLVO</t>
        </is>
      </c>
      <c r="FH1738" s="18" t="inlineStr">
        <is>
          <t>B8RLEA</t>
        </is>
      </c>
      <c r="FI1738" s="18" t="inlineStr">
        <is>
          <t>MARCOPOLO</t>
        </is>
      </c>
      <c r="FJ1738" s="18" t="inlineStr">
        <is>
          <t>GRAN VIALE</t>
        </is>
      </c>
      <c r="FK1738" s="18" t="n">
        <v>2020</v>
      </c>
      <c r="FL1738" s="18" t="inlineStr">
        <is>
          <t>C</t>
        </is>
      </c>
      <c r="FM1738" s="18" t="inlineStr">
        <is>
          <t>Recoleta</t>
        </is>
      </c>
      <c r="FP1738" t="inlineStr">
        <is>
          <t>C</t>
        </is>
      </c>
      <c r="FS1738" s="14" t="inlineStr">
        <is>
          <t>3063 / SFWZ-21|</t>
        </is>
      </c>
      <c r="FT1738" t="inlineStr">
        <is>
          <t>SFWZ-21|</t>
        </is>
      </c>
      <c r="FU1738" t="inlineStr">
        <is>
          <t>SFWZ-21</t>
        </is>
      </c>
      <c r="FV1738">
        <f>VLOOKUP(FU1738,FD:FL,9,0)</f>
        <v/>
      </c>
    </row>
    <row r="1739">
      <c r="FC1739" t="inlineStr">
        <is>
          <t>Diccionario 2</t>
        </is>
      </c>
      <c r="FD1739" s="15" t="inlineStr">
        <is>
          <t>LZPT-48</t>
        </is>
      </c>
      <c r="FE1739" s="17" t="inlineStr">
        <is>
          <t>YV3T7U529LA201812</t>
        </is>
      </c>
      <c r="FF1739" s="18" t="n">
        <v>509224</v>
      </c>
      <c r="FG1739" s="18" t="inlineStr">
        <is>
          <t>VOLVO</t>
        </is>
      </c>
      <c r="FH1739" s="18" t="inlineStr">
        <is>
          <t>B8RLEA</t>
        </is>
      </c>
      <c r="FI1739" s="18" t="inlineStr">
        <is>
          <t>MARCOPOLO</t>
        </is>
      </c>
      <c r="FJ1739" s="18" t="inlineStr">
        <is>
          <t>GRAN VIALE</t>
        </is>
      </c>
      <c r="FK1739" s="18" t="n">
        <v>2020</v>
      </c>
      <c r="FL1739" s="18" t="inlineStr">
        <is>
          <t>C</t>
        </is>
      </c>
      <c r="FM1739" s="18" t="inlineStr">
        <is>
          <t>Recoleta</t>
        </is>
      </c>
      <c r="FP1739" t="inlineStr">
        <is>
          <t>C</t>
        </is>
      </c>
      <c r="FS1739" s="14" t="inlineStr">
        <is>
          <t>3104 / SFWZ-52|</t>
        </is>
      </c>
      <c r="FT1739" t="inlineStr">
        <is>
          <t>SFWZ-52|</t>
        </is>
      </c>
      <c r="FU1739" t="inlineStr">
        <is>
          <t>SFWZ-52</t>
        </is>
      </c>
      <c r="FV1739">
        <f>VLOOKUP(FU1739,FD:FL,9,0)</f>
        <v/>
      </c>
    </row>
    <row r="1740">
      <c r="FC1740" t="inlineStr">
        <is>
          <t>Diccionario 2</t>
        </is>
      </c>
      <c r="FD1740" s="15" t="inlineStr">
        <is>
          <t>LZPT-49</t>
        </is>
      </c>
      <c r="FE1740" s="17" t="inlineStr">
        <is>
          <t>YV3T7U520LA201813</t>
        </is>
      </c>
      <c r="FF1740" s="18" t="n">
        <v>509231</v>
      </c>
      <c r="FG1740" s="18" t="inlineStr">
        <is>
          <t>VOLVO</t>
        </is>
      </c>
      <c r="FH1740" s="18" t="inlineStr">
        <is>
          <t>B8RLEA</t>
        </is>
      </c>
      <c r="FI1740" s="18" t="inlineStr">
        <is>
          <t>MARCOPOLO</t>
        </is>
      </c>
      <c r="FJ1740" s="18" t="inlineStr">
        <is>
          <t>GRAN VIALE</t>
        </is>
      </c>
      <c r="FK1740" s="18" t="n">
        <v>2020</v>
      </c>
      <c r="FL1740" s="18" t="inlineStr">
        <is>
          <t>C</t>
        </is>
      </c>
      <c r="FM1740" s="18" t="inlineStr">
        <is>
          <t>Santa Rosa</t>
        </is>
      </c>
      <c r="FP1740" t="inlineStr">
        <is>
          <t>C</t>
        </is>
      </c>
      <c r="FS1740" s="14" t="inlineStr">
        <is>
          <t>3019 / SFWB-44|</t>
        </is>
      </c>
      <c r="FT1740" t="inlineStr">
        <is>
          <t>SFWB-44|</t>
        </is>
      </c>
      <c r="FU1740" t="inlineStr">
        <is>
          <t>SFWB-44</t>
        </is>
      </c>
      <c r="FV1740">
        <f>VLOOKUP(FU1740,FD:FL,9,0)</f>
        <v/>
      </c>
    </row>
    <row r="1741">
      <c r="FC1741" t="inlineStr">
        <is>
          <t>Diccionario 2</t>
        </is>
      </c>
      <c r="FD1741" s="15" t="inlineStr">
        <is>
          <t>LZPT-50</t>
        </is>
      </c>
      <c r="FE1741" s="17" t="inlineStr">
        <is>
          <t>YV3T7U522LA201814</t>
        </is>
      </c>
      <c r="FF1741" s="18" t="n">
        <v>509235</v>
      </c>
      <c r="FG1741" s="18" t="inlineStr">
        <is>
          <t>VOLVO</t>
        </is>
      </c>
      <c r="FH1741" s="18" t="inlineStr">
        <is>
          <t>B8RLEA</t>
        </is>
      </c>
      <c r="FI1741" s="18" t="inlineStr">
        <is>
          <t>MARCOPOLO</t>
        </is>
      </c>
      <c r="FJ1741" s="18" t="inlineStr">
        <is>
          <t>GRAN VIALE</t>
        </is>
      </c>
      <c r="FK1741" s="18" t="n">
        <v>2020</v>
      </c>
      <c r="FL1741" s="18" t="inlineStr">
        <is>
          <t>C</t>
        </is>
      </c>
      <c r="FM1741" s="18" t="inlineStr">
        <is>
          <t>Recoleta</t>
        </is>
      </c>
      <c r="FP1741" t="inlineStr">
        <is>
          <t>C</t>
        </is>
      </c>
      <c r="FS1741" s="14" t="inlineStr">
        <is>
          <t>3036 / SFWB-77|</t>
        </is>
      </c>
      <c r="FT1741" t="inlineStr">
        <is>
          <t>SFWB-77|</t>
        </is>
      </c>
      <c r="FU1741" t="inlineStr">
        <is>
          <t>SFWB-77</t>
        </is>
      </c>
      <c r="FV1741">
        <f>VLOOKUP(FU1741,FD:FL,9,0)</f>
        <v/>
      </c>
    </row>
    <row r="1742">
      <c r="FC1742" t="inlineStr">
        <is>
          <t>Diccionario 2</t>
        </is>
      </c>
      <c r="FD1742" s="15" t="inlineStr">
        <is>
          <t>LZPT-51</t>
        </is>
      </c>
      <c r="FE1742" s="17" t="inlineStr">
        <is>
          <t>YV3T7U52XLA201849</t>
        </is>
      </c>
      <c r="FF1742" s="18" t="n">
        <v>507983</v>
      </c>
      <c r="FG1742" s="18" t="inlineStr">
        <is>
          <t>VOLVO</t>
        </is>
      </c>
      <c r="FH1742" s="18" t="inlineStr">
        <is>
          <t>B8RLEA</t>
        </is>
      </c>
      <c r="FI1742" s="18" t="inlineStr">
        <is>
          <t>MARCOPOLO</t>
        </is>
      </c>
      <c r="FJ1742" s="18" t="inlineStr">
        <is>
          <t>GRAN VIALE</t>
        </is>
      </c>
      <c r="FK1742" s="18" t="n">
        <v>2020</v>
      </c>
      <c r="FL1742" s="18" t="inlineStr">
        <is>
          <t>C</t>
        </is>
      </c>
      <c r="FM1742" s="18" t="inlineStr">
        <is>
          <t>Santa Rosa</t>
        </is>
      </c>
      <c r="FP1742" t="inlineStr">
        <is>
          <t>C</t>
        </is>
      </c>
    </row>
    <row r="1743">
      <c r="FC1743" t="inlineStr">
        <is>
          <t>Diccionario 2</t>
        </is>
      </c>
      <c r="FD1743" s="15" t="inlineStr">
        <is>
          <t>LZPT-52</t>
        </is>
      </c>
      <c r="FE1743" s="17" t="inlineStr">
        <is>
          <t>YV3T7U527LA201811</t>
        </is>
      </c>
      <c r="FF1743" s="18" t="n">
        <v>509204</v>
      </c>
      <c r="FG1743" s="18" t="inlineStr">
        <is>
          <t>VOLVO</t>
        </is>
      </c>
      <c r="FH1743" s="18" t="inlineStr">
        <is>
          <t>B8RLEA</t>
        </is>
      </c>
      <c r="FI1743" s="18" t="inlineStr">
        <is>
          <t>MARCOPOLO</t>
        </is>
      </c>
      <c r="FJ1743" s="18" t="inlineStr">
        <is>
          <t>GRAN VIALE</t>
        </is>
      </c>
      <c r="FK1743" s="18" t="n">
        <v>2020</v>
      </c>
      <c r="FL1743" s="18" t="inlineStr">
        <is>
          <t>C</t>
        </is>
      </c>
      <c r="FM1743" s="18" t="inlineStr">
        <is>
          <t>Recoleta</t>
        </is>
      </c>
      <c r="FP1743" t="inlineStr">
        <is>
          <t>C</t>
        </is>
      </c>
    </row>
    <row r="1744">
      <c r="FC1744" t="inlineStr">
        <is>
          <t>Diccionario 2</t>
        </is>
      </c>
      <c r="FD1744" s="15" t="inlineStr">
        <is>
          <t>LZPT-53</t>
        </is>
      </c>
      <c r="FE1744" s="17" t="inlineStr">
        <is>
          <t>YV3T7U526LA201475</t>
        </is>
      </c>
      <c r="FF1744" s="18" t="n">
        <v>507876</v>
      </c>
      <c r="FG1744" s="18" t="inlineStr">
        <is>
          <t>VOLVO</t>
        </is>
      </c>
      <c r="FH1744" s="18" t="inlineStr">
        <is>
          <t>B8RLEA</t>
        </is>
      </c>
      <c r="FI1744" s="18" t="inlineStr">
        <is>
          <t>MARCOPOLO</t>
        </is>
      </c>
      <c r="FJ1744" s="18" t="inlineStr">
        <is>
          <t>GRAN VIALE</t>
        </is>
      </c>
      <c r="FK1744" s="18" t="n">
        <v>2020</v>
      </c>
      <c r="FL1744" s="18" t="inlineStr">
        <is>
          <t>C</t>
        </is>
      </c>
      <c r="FM1744" s="18" t="inlineStr">
        <is>
          <t>Santa Rosa</t>
        </is>
      </c>
      <c r="FP1744" t="inlineStr">
        <is>
          <t>C</t>
        </is>
      </c>
    </row>
    <row r="1745">
      <c r="FC1745" t="inlineStr">
        <is>
          <t>Diccionario 2</t>
        </is>
      </c>
      <c r="FD1745" s="15" t="inlineStr">
        <is>
          <t>LZPT-54</t>
        </is>
      </c>
      <c r="FE1745" s="17" t="inlineStr">
        <is>
          <t>YV3T7U525LA201404</t>
        </is>
      </c>
      <c r="FF1745" s="18" t="n">
        <v>507532</v>
      </c>
      <c r="FG1745" s="18" t="inlineStr">
        <is>
          <t>VOLVO</t>
        </is>
      </c>
      <c r="FH1745" s="18" t="inlineStr">
        <is>
          <t>B8RLEA</t>
        </is>
      </c>
      <c r="FI1745" s="18" t="inlineStr">
        <is>
          <t>MARCOPOLO</t>
        </is>
      </c>
      <c r="FJ1745" s="18" t="inlineStr">
        <is>
          <t>GRAN VIALE</t>
        </is>
      </c>
      <c r="FK1745" s="18" t="n">
        <v>2020</v>
      </c>
      <c r="FL1745" s="18" t="inlineStr">
        <is>
          <t>C</t>
        </is>
      </c>
      <c r="FM1745" s="18" t="inlineStr">
        <is>
          <t>Santa Rosa</t>
        </is>
      </c>
      <c r="FP1745" t="inlineStr">
        <is>
          <t>C</t>
        </is>
      </c>
    </row>
    <row r="1746">
      <c r="FC1746" t="inlineStr">
        <is>
          <t>Diccionario 2</t>
        </is>
      </c>
      <c r="FD1746" s="15" t="inlineStr">
        <is>
          <t>LZPT-55</t>
        </is>
      </c>
      <c r="FE1746" s="17" t="inlineStr">
        <is>
          <t>YV3T7U524LA201460</t>
        </is>
      </c>
      <c r="FF1746" s="18" t="n">
        <v>508062</v>
      </c>
      <c r="FG1746" s="18" t="inlineStr">
        <is>
          <t>VOLVO</t>
        </is>
      </c>
      <c r="FH1746" s="18" t="inlineStr">
        <is>
          <t>B8RLEA</t>
        </is>
      </c>
      <c r="FI1746" s="18" t="inlineStr">
        <is>
          <t>MARCOPOLO</t>
        </is>
      </c>
      <c r="FJ1746" s="18" t="inlineStr">
        <is>
          <t>GRAN VIALE</t>
        </is>
      </c>
      <c r="FK1746" s="18" t="n">
        <v>2020</v>
      </c>
      <c r="FL1746" s="18" t="inlineStr">
        <is>
          <t>C</t>
        </is>
      </c>
      <c r="FM1746" s="18" t="inlineStr">
        <is>
          <t>Santa Rosa</t>
        </is>
      </c>
      <c r="FP1746" t="inlineStr">
        <is>
          <t>C</t>
        </is>
      </c>
    </row>
    <row r="1747">
      <c r="FC1747" t="inlineStr">
        <is>
          <t>Diccionario 2</t>
        </is>
      </c>
      <c r="FD1747" s="15" t="inlineStr">
        <is>
          <t>LZPT-56</t>
        </is>
      </c>
      <c r="FE1747" s="17" t="inlineStr">
        <is>
          <t>YV3T7U526LA201346</t>
        </is>
      </c>
      <c r="FF1747" s="18" t="n">
        <v>507705</v>
      </c>
      <c r="FG1747" s="18" t="inlineStr">
        <is>
          <t>VOLVO</t>
        </is>
      </c>
      <c r="FH1747" s="18" t="inlineStr">
        <is>
          <t>B8RLEA</t>
        </is>
      </c>
      <c r="FI1747" s="18" t="inlineStr">
        <is>
          <t>MARCOPOLO</t>
        </is>
      </c>
      <c r="FJ1747" s="18" t="inlineStr">
        <is>
          <t>GRAN VIALE</t>
        </is>
      </c>
      <c r="FK1747" s="18" t="n">
        <v>2020</v>
      </c>
      <c r="FL1747" s="18" t="inlineStr">
        <is>
          <t>C</t>
        </is>
      </c>
      <c r="FM1747" s="18" t="inlineStr">
        <is>
          <t>Santa Rosa</t>
        </is>
      </c>
      <c r="FP1747" t="inlineStr">
        <is>
          <t>C</t>
        </is>
      </c>
    </row>
    <row r="1748">
      <c r="FC1748" t="inlineStr">
        <is>
          <t>Diccionario 2</t>
        </is>
      </c>
      <c r="FD1748" s="15" t="inlineStr">
        <is>
          <t>LZPT-57</t>
        </is>
      </c>
      <c r="FE1748" s="17" t="inlineStr">
        <is>
          <t>YV3T7U520LA201388</t>
        </is>
      </c>
      <c r="FF1748" s="18" t="n">
        <v>507636</v>
      </c>
      <c r="FG1748" s="18" t="inlineStr">
        <is>
          <t>VOLVO</t>
        </is>
      </c>
      <c r="FH1748" s="18" t="inlineStr">
        <is>
          <t>B8RLEA</t>
        </is>
      </c>
      <c r="FI1748" s="18" t="inlineStr">
        <is>
          <t>MARCOPOLO</t>
        </is>
      </c>
      <c r="FJ1748" s="18" t="inlineStr">
        <is>
          <t>GRAN VIALE</t>
        </is>
      </c>
      <c r="FK1748" s="18" t="n">
        <v>2020</v>
      </c>
      <c r="FL1748" s="18" t="inlineStr">
        <is>
          <t>C</t>
        </is>
      </c>
      <c r="FM1748" s="18" t="inlineStr">
        <is>
          <t>Santa Rosa</t>
        </is>
      </c>
      <c r="FP1748" t="inlineStr">
        <is>
          <t>C</t>
        </is>
      </c>
    </row>
    <row r="1749">
      <c r="FC1749" t="inlineStr">
        <is>
          <t>Diccionario 2</t>
        </is>
      </c>
      <c r="FD1749" s="15" t="inlineStr">
        <is>
          <t>LZPT-58</t>
        </is>
      </c>
      <c r="FE1749" s="17" t="inlineStr">
        <is>
          <t>YV3T7U528LA201459</t>
        </is>
      </c>
      <c r="FF1749" s="18" t="n">
        <v>508054</v>
      </c>
      <c r="FG1749" s="18" t="inlineStr">
        <is>
          <t>VOLVO</t>
        </is>
      </c>
      <c r="FH1749" s="18" t="inlineStr">
        <is>
          <t>B8RLEA</t>
        </is>
      </c>
      <c r="FI1749" s="18" t="inlineStr">
        <is>
          <t>MARCOPOLO</t>
        </is>
      </c>
      <c r="FJ1749" s="18" t="inlineStr">
        <is>
          <t>GRAN VIALE</t>
        </is>
      </c>
      <c r="FK1749" s="18" t="n">
        <v>2020</v>
      </c>
      <c r="FL1749" s="18" t="inlineStr">
        <is>
          <t>C</t>
        </is>
      </c>
      <c r="FM1749" s="18" t="inlineStr">
        <is>
          <t>Santa Rosa</t>
        </is>
      </c>
      <c r="FP1749" t="inlineStr">
        <is>
          <t>C</t>
        </is>
      </c>
    </row>
    <row r="1750">
      <c r="FC1750" t="inlineStr">
        <is>
          <t>Diccionario 2</t>
        </is>
      </c>
      <c r="FD1750" s="15" t="inlineStr">
        <is>
          <t>LZPT-59</t>
        </is>
      </c>
      <c r="FE1750" s="17" t="inlineStr">
        <is>
          <t>YV3T7U522LA201456</t>
        </is>
      </c>
      <c r="FF1750" s="18" t="n">
        <v>508070</v>
      </c>
      <c r="FG1750" s="18" t="inlineStr">
        <is>
          <t>VOLVO</t>
        </is>
      </c>
      <c r="FH1750" s="18" t="inlineStr">
        <is>
          <t>B8RLEA</t>
        </is>
      </c>
      <c r="FI1750" s="18" t="inlineStr">
        <is>
          <t>MARCOPOLO</t>
        </is>
      </c>
      <c r="FJ1750" s="18" t="inlineStr">
        <is>
          <t>GRAN VIALE</t>
        </is>
      </c>
      <c r="FK1750" s="18" t="n">
        <v>2020</v>
      </c>
      <c r="FL1750" s="18" t="inlineStr">
        <is>
          <t>C</t>
        </is>
      </c>
      <c r="FM1750" s="18" t="inlineStr">
        <is>
          <t>Santa Rosa</t>
        </is>
      </c>
      <c r="FP1750" t="inlineStr">
        <is>
          <t>C</t>
        </is>
      </c>
    </row>
    <row r="1751">
      <c r="FC1751" t="inlineStr">
        <is>
          <t>Diccionario 2</t>
        </is>
      </c>
      <c r="FD1751" s="15" t="inlineStr">
        <is>
          <t>LZPT-60</t>
        </is>
      </c>
      <c r="FE1751" s="17" t="inlineStr">
        <is>
          <t>YV3T7U522LA201408</t>
        </is>
      </c>
      <c r="FF1751" s="18" t="n">
        <v>507800</v>
      </c>
      <c r="FG1751" s="18" t="inlineStr">
        <is>
          <t>VOLVO</t>
        </is>
      </c>
      <c r="FH1751" s="18" t="inlineStr">
        <is>
          <t>B8RLEA</t>
        </is>
      </c>
      <c r="FI1751" s="18" t="inlineStr">
        <is>
          <t>MARCOPOLO</t>
        </is>
      </c>
      <c r="FJ1751" s="18" t="inlineStr">
        <is>
          <t>GRAN VIALE</t>
        </is>
      </c>
      <c r="FK1751" s="18" t="n">
        <v>2020</v>
      </c>
      <c r="FL1751" s="18" t="inlineStr">
        <is>
          <t>C</t>
        </is>
      </c>
      <c r="FM1751" s="18" t="inlineStr">
        <is>
          <t>Santa Rosa</t>
        </is>
      </c>
      <c r="FP1751" t="inlineStr">
        <is>
          <t>C</t>
        </is>
      </c>
    </row>
    <row r="1752">
      <c r="FC1752" t="inlineStr">
        <is>
          <t>Diccionario 2</t>
        </is>
      </c>
      <c r="FD1752" s="15" t="inlineStr">
        <is>
          <t>LZPT-61</t>
        </is>
      </c>
      <c r="FE1752" s="17" t="inlineStr">
        <is>
          <t>YV3T7U520LA201472</t>
        </is>
      </c>
      <c r="FF1752" s="18" t="n">
        <v>508092</v>
      </c>
      <c r="FG1752" s="18" t="inlineStr">
        <is>
          <t>VOLVO</t>
        </is>
      </c>
      <c r="FH1752" s="18" t="inlineStr">
        <is>
          <t>B8RLEA</t>
        </is>
      </c>
      <c r="FI1752" s="18" t="inlineStr">
        <is>
          <t>MARCOPOLO</t>
        </is>
      </c>
      <c r="FJ1752" s="18" t="inlineStr">
        <is>
          <t>GRAN VIALE</t>
        </is>
      </c>
      <c r="FK1752" s="18" t="n">
        <v>2020</v>
      </c>
      <c r="FL1752" s="18" t="inlineStr">
        <is>
          <t>C</t>
        </is>
      </c>
      <c r="FM1752" s="18" t="inlineStr">
        <is>
          <t>Santa Rosa</t>
        </is>
      </c>
      <c r="FP1752" t="inlineStr">
        <is>
          <t>C</t>
        </is>
      </c>
    </row>
    <row r="1753">
      <c r="FC1753" t="inlineStr">
        <is>
          <t>Diccionario 2</t>
        </is>
      </c>
      <c r="FD1753" s="15" t="inlineStr">
        <is>
          <t>LZPT-62</t>
        </is>
      </c>
      <c r="FE1753" s="17" t="inlineStr">
        <is>
          <t>YV3T7U524LA201474</t>
        </is>
      </c>
      <c r="FF1753" s="18" t="n">
        <v>507827</v>
      </c>
      <c r="FG1753" s="18" t="inlineStr">
        <is>
          <t>VOLVO</t>
        </is>
      </c>
      <c r="FH1753" s="18" t="inlineStr">
        <is>
          <t>B8RLEA</t>
        </is>
      </c>
      <c r="FI1753" s="18" t="inlineStr">
        <is>
          <t>MARCOPOLO</t>
        </is>
      </c>
      <c r="FJ1753" s="18" t="inlineStr">
        <is>
          <t>GRAN VIALE</t>
        </is>
      </c>
      <c r="FK1753" s="18" t="n">
        <v>2020</v>
      </c>
      <c r="FL1753" s="18" t="inlineStr">
        <is>
          <t>C</t>
        </is>
      </c>
      <c r="FM1753" s="18" t="inlineStr">
        <is>
          <t>Santa Rosa</t>
        </is>
      </c>
      <c r="FP1753" t="inlineStr">
        <is>
          <t>C</t>
        </is>
      </c>
    </row>
    <row r="1754">
      <c r="FC1754" t="inlineStr">
        <is>
          <t>Diccionario 2</t>
        </is>
      </c>
      <c r="FD1754" s="15" t="inlineStr">
        <is>
          <t>LZPT-63</t>
        </is>
      </c>
      <c r="FE1754" s="17" t="inlineStr">
        <is>
          <t>YV3T7U526LA201458</t>
        </is>
      </c>
      <c r="FF1754" s="18" t="n">
        <v>508067</v>
      </c>
      <c r="FG1754" s="18" t="inlineStr">
        <is>
          <t>VOLVO</t>
        </is>
      </c>
      <c r="FH1754" s="18" t="inlineStr">
        <is>
          <t>B8RLEA</t>
        </is>
      </c>
      <c r="FI1754" s="18" t="inlineStr">
        <is>
          <t>MARCOPOLO</t>
        </is>
      </c>
      <c r="FJ1754" s="18" t="inlineStr">
        <is>
          <t>GRAN VIALE</t>
        </is>
      </c>
      <c r="FK1754" s="18" t="n">
        <v>2020</v>
      </c>
      <c r="FL1754" s="18" t="inlineStr">
        <is>
          <t>C</t>
        </is>
      </c>
      <c r="FM1754" s="18" t="inlineStr">
        <is>
          <t>Santa Rosa</t>
        </is>
      </c>
      <c r="FP1754" t="inlineStr">
        <is>
          <t>C</t>
        </is>
      </c>
    </row>
    <row r="1755">
      <c r="FC1755" t="inlineStr">
        <is>
          <t>Diccionario 2</t>
        </is>
      </c>
      <c r="FD1755" s="15" t="inlineStr">
        <is>
          <t>LZPT-64</t>
        </is>
      </c>
      <c r="FE1755" s="17" t="inlineStr">
        <is>
          <t>YV3T7U522LA201473</t>
        </is>
      </c>
      <c r="FF1755" s="18" t="n">
        <v>507830</v>
      </c>
      <c r="FG1755" s="18" t="inlineStr">
        <is>
          <t>VOLVO</t>
        </is>
      </c>
      <c r="FH1755" s="18" t="inlineStr">
        <is>
          <t>B8RLEA</t>
        </is>
      </c>
      <c r="FI1755" s="18" t="inlineStr">
        <is>
          <t>MARCOPOLO</t>
        </is>
      </c>
      <c r="FJ1755" s="18" t="inlineStr">
        <is>
          <t>GRAN VIALE</t>
        </is>
      </c>
      <c r="FK1755" s="18" t="n">
        <v>2020</v>
      </c>
      <c r="FL1755" s="18" t="inlineStr">
        <is>
          <t>C</t>
        </is>
      </c>
      <c r="FM1755" s="18" t="inlineStr">
        <is>
          <t>Santa Rosa</t>
        </is>
      </c>
      <c r="FP1755" t="inlineStr">
        <is>
          <t>C</t>
        </is>
      </c>
    </row>
    <row r="1756">
      <c r="FC1756" t="inlineStr">
        <is>
          <t>Diccionario 2</t>
        </is>
      </c>
      <c r="FD1756" s="15" t="inlineStr">
        <is>
          <t>LZPT-65</t>
        </is>
      </c>
      <c r="FE1756" s="17" t="inlineStr">
        <is>
          <t>YV3T7U521LA201495</t>
        </is>
      </c>
      <c r="FF1756" s="18" t="n">
        <v>507813</v>
      </c>
      <c r="FG1756" s="18" t="inlineStr">
        <is>
          <t>VOLVO</t>
        </is>
      </c>
      <c r="FH1756" s="18" t="inlineStr">
        <is>
          <t>B8RLEA</t>
        </is>
      </c>
      <c r="FI1756" s="18" t="inlineStr">
        <is>
          <t>MARCOPOLO</t>
        </is>
      </c>
      <c r="FJ1756" s="18" t="inlineStr">
        <is>
          <t>GRAN VIALE</t>
        </is>
      </c>
      <c r="FK1756" s="18" t="n">
        <v>2020</v>
      </c>
      <c r="FL1756" s="18" t="inlineStr">
        <is>
          <t>C</t>
        </is>
      </c>
      <c r="FM1756" s="18" t="inlineStr">
        <is>
          <t>Santa Rosa</t>
        </is>
      </c>
      <c r="FP1756" t="inlineStr">
        <is>
          <t>C</t>
        </is>
      </c>
    </row>
    <row r="1757">
      <c r="FC1757" t="inlineStr">
        <is>
          <t>Diccionario 2</t>
        </is>
      </c>
      <c r="FD1757" s="15" t="inlineStr">
        <is>
          <t>LZPT-66</t>
        </is>
      </c>
      <c r="FE1757" s="17" t="inlineStr">
        <is>
          <t>YV3T7U525LA201497</t>
        </is>
      </c>
      <c r="FF1757" s="18" t="n">
        <v>507862</v>
      </c>
      <c r="FG1757" s="18" t="inlineStr">
        <is>
          <t>VOLVO</t>
        </is>
      </c>
      <c r="FH1757" s="18" t="inlineStr">
        <is>
          <t>B8RLEA</t>
        </is>
      </c>
      <c r="FI1757" s="18" t="inlineStr">
        <is>
          <t>MARCOPOLO</t>
        </is>
      </c>
      <c r="FJ1757" s="18" t="inlineStr">
        <is>
          <t>GRAN VIALE</t>
        </is>
      </c>
      <c r="FK1757" s="18" t="n">
        <v>2020</v>
      </c>
      <c r="FL1757" s="18" t="inlineStr">
        <is>
          <t>C</t>
        </is>
      </c>
      <c r="FM1757" s="18" t="inlineStr">
        <is>
          <t>Santa Rosa</t>
        </is>
      </c>
      <c r="FP1757" t="inlineStr">
        <is>
          <t>C</t>
        </is>
      </c>
    </row>
    <row r="1758">
      <c r="FC1758" t="inlineStr">
        <is>
          <t>Diccionario 2</t>
        </is>
      </c>
      <c r="FD1758" s="15" t="inlineStr">
        <is>
          <t>LZPT-67</t>
        </is>
      </c>
      <c r="FE1758" s="17" t="inlineStr">
        <is>
          <t>YV3T7U52XLA201320</t>
        </is>
      </c>
      <c r="FF1758" s="18" t="n">
        <v>507688</v>
      </c>
      <c r="FG1758" s="18" t="inlineStr">
        <is>
          <t>VOLVO</t>
        </is>
      </c>
      <c r="FH1758" s="18" t="inlineStr">
        <is>
          <t>B8RLEA</t>
        </is>
      </c>
      <c r="FI1758" s="18" t="inlineStr">
        <is>
          <t>MARCOPOLO</t>
        </is>
      </c>
      <c r="FJ1758" s="18" t="inlineStr">
        <is>
          <t>GRAN VIALE</t>
        </is>
      </c>
      <c r="FK1758" s="18" t="n">
        <v>2020</v>
      </c>
      <c r="FL1758" s="18" t="inlineStr">
        <is>
          <t>C</t>
        </is>
      </c>
      <c r="FM1758" s="18" t="inlineStr">
        <is>
          <t>Santa Rosa</t>
        </is>
      </c>
      <c r="FP1758" t="inlineStr">
        <is>
          <t>C</t>
        </is>
      </c>
    </row>
    <row r="1759">
      <c r="FC1759" t="inlineStr">
        <is>
          <t>Diccionario 2</t>
        </is>
      </c>
      <c r="FD1759" s="15" t="inlineStr">
        <is>
          <t>LZPT-69</t>
        </is>
      </c>
      <c r="FE1759" s="17" t="inlineStr">
        <is>
          <t>YV3T7U521LA201402</t>
        </is>
      </c>
      <c r="FF1759" s="18" t="n">
        <v>507514</v>
      </c>
      <c r="FG1759" s="18" t="inlineStr">
        <is>
          <t>VOLVO</t>
        </is>
      </c>
      <c r="FH1759" s="18" t="inlineStr">
        <is>
          <t>B8RLEA</t>
        </is>
      </c>
      <c r="FI1759" s="18" t="inlineStr">
        <is>
          <t>MARCOPOLO</t>
        </is>
      </c>
      <c r="FJ1759" s="18" t="inlineStr">
        <is>
          <t>GRAN VIALE</t>
        </is>
      </c>
      <c r="FK1759" s="18" t="n">
        <v>2020</v>
      </c>
      <c r="FL1759" s="18" t="inlineStr">
        <is>
          <t>C</t>
        </is>
      </c>
      <c r="FM1759" s="18" t="inlineStr">
        <is>
          <t>Santa Rosa</t>
        </is>
      </c>
      <c r="FP1759" t="inlineStr">
        <is>
          <t>C</t>
        </is>
      </c>
    </row>
    <row r="1760">
      <c r="FC1760" t="inlineStr">
        <is>
          <t>Diccionario 2</t>
        </is>
      </c>
      <c r="FD1760" s="15" t="inlineStr">
        <is>
          <t>LZPT-70</t>
        </is>
      </c>
      <c r="FE1760" s="17" t="inlineStr">
        <is>
          <t>YV3T7U526LA201461</t>
        </is>
      </c>
      <c r="FF1760" s="18" t="n">
        <v>508059</v>
      </c>
      <c r="FG1760" s="18" t="inlineStr">
        <is>
          <t>VOLVO</t>
        </is>
      </c>
      <c r="FH1760" s="18" t="inlineStr">
        <is>
          <t>B8RLEA</t>
        </is>
      </c>
      <c r="FI1760" s="18" t="inlineStr">
        <is>
          <t>MARCOPOLO</t>
        </is>
      </c>
      <c r="FJ1760" s="18" t="inlineStr">
        <is>
          <t>GRAN VIALE</t>
        </is>
      </c>
      <c r="FK1760" s="18" t="n">
        <v>2020</v>
      </c>
      <c r="FL1760" s="18" t="inlineStr">
        <is>
          <t>C</t>
        </is>
      </c>
      <c r="FM1760" s="18" t="inlineStr">
        <is>
          <t>Santa Rosa</t>
        </is>
      </c>
      <c r="FP1760" t="inlineStr">
        <is>
          <t>C</t>
        </is>
      </c>
    </row>
    <row r="1761">
      <c r="FC1761" t="inlineStr">
        <is>
          <t>Diccionario 2</t>
        </is>
      </c>
      <c r="FD1761" s="15" t="inlineStr">
        <is>
          <t>LZPT-71</t>
        </is>
      </c>
      <c r="FE1761" s="17" t="inlineStr">
        <is>
          <t>YV3T7U522LA201392</t>
        </is>
      </c>
      <c r="FF1761" s="18" t="n">
        <v>507493</v>
      </c>
      <c r="FG1761" s="18" t="inlineStr">
        <is>
          <t>VOLVO</t>
        </is>
      </c>
      <c r="FH1761" s="18" t="inlineStr">
        <is>
          <t>B8RLEA</t>
        </is>
      </c>
      <c r="FI1761" s="18" t="inlineStr">
        <is>
          <t>MARCOPOLO</t>
        </is>
      </c>
      <c r="FJ1761" s="18" t="inlineStr">
        <is>
          <t>GRAN VIALE</t>
        </is>
      </c>
      <c r="FK1761" s="18" t="n">
        <v>2020</v>
      </c>
      <c r="FL1761" s="18" t="inlineStr">
        <is>
          <t>C</t>
        </is>
      </c>
      <c r="FM1761" s="18" t="inlineStr">
        <is>
          <t>Santa Rosa</t>
        </is>
      </c>
      <c r="FP1761" t="inlineStr">
        <is>
          <t>C</t>
        </is>
      </c>
    </row>
    <row r="1762">
      <c r="FC1762" t="inlineStr">
        <is>
          <t>Diccionario 2</t>
        </is>
      </c>
      <c r="FD1762" s="15" t="inlineStr">
        <is>
          <t>LZPT-72</t>
        </is>
      </c>
      <c r="FE1762" s="17" t="inlineStr">
        <is>
          <t>YV3T7U524LA201457</t>
        </is>
      </c>
      <c r="FF1762" s="18" t="n">
        <v>508050</v>
      </c>
      <c r="FG1762" s="18" t="inlineStr">
        <is>
          <t>VOLVO</t>
        </is>
      </c>
      <c r="FH1762" s="18" t="inlineStr">
        <is>
          <t>B8RLEA</t>
        </is>
      </c>
      <c r="FI1762" s="18" t="inlineStr">
        <is>
          <t>MARCOPOLO</t>
        </is>
      </c>
      <c r="FJ1762" s="18" t="inlineStr">
        <is>
          <t>GRAN VIALE</t>
        </is>
      </c>
      <c r="FK1762" s="18" t="n">
        <v>2020</v>
      </c>
      <c r="FL1762" s="18" t="inlineStr">
        <is>
          <t>C</t>
        </is>
      </c>
      <c r="FM1762" s="18" t="inlineStr">
        <is>
          <t>Santa Rosa</t>
        </is>
      </c>
      <c r="FP1762" t="inlineStr">
        <is>
          <t>C</t>
        </is>
      </c>
    </row>
    <row r="1763">
      <c r="FC1763" t="inlineStr">
        <is>
          <t>Diccionario 2</t>
        </is>
      </c>
      <c r="FD1763" s="15" t="inlineStr">
        <is>
          <t>LZPT-73</t>
        </is>
      </c>
      <c r="FE1763" s="17" t="inlineStr">
        <is>
          <t>YV3T7U522LA201389</t>
        </is>
      </c>
      <c r="FF1763" s="18" t="n">
        <v>507531</v>
      </c>
      <c r="FG1763" s="18" t="inlineStr">
        <is>
          <t>VOLVO</t>
        </is>
      </c>
      <c r="FH1763" s="18" t="inlineStr">
        <is>
          <t>B8RLEA</t>
        </is>
      </c>
      <c r="FI1763" s="18" t="inlineStr">
        <is>
          <t>MARCOPOLO</t>
        </is>
      </c>
      <c r="FJ1763" s="18" t="inlineStr">
        <is>
          <t>GRAN VIALE</t>
        </is>
      </c>
      <c r="FK1763" s="18" t="n">
        <v>2020</v>
      </c>
      <c r="FL1763" s="18" t="inlineStr">
        <is>
          <t>C</t>
        </is>
      </c>
      <c r="FM1763" s="18" t="inlineStr">
        <is>
          <t>Santa Rosa</t>
        </is>
      </c>
      <c r="FP1763" t="inlineStr">
        <is>
          <t>C</t>
        </is>
      </c>
    </row>
    <row r="1764">
      <c r="FC1764" t="inlineStr">
        <is>
          <t>Diccionario 2</t>
        </is>
      </c>
      <c r="FD1764" s="15" t="inlineStr">
        <is>
          <t>LZPT-74</t>
        </is>
      </c>
      <c r="FE1764" s="17" t="inlineStr">
        <is>
          <t>YV3T7U524LA201345</t>
        </is>
      </c>
      <c r="FF1764" s="18" t="n">
        <v>507748</v>
      </c>
      <c r="FG1764" s="18" t="inlineStr">
        <is>
          <t>VOLVO</t>
        </is>
      </c>
      <c r="FH1764" s="18" t="inlineStr">
        <is>
          <t>B8RLEA</t>
        </is>
      </c>
      <c r="FI1764" s="18" t="inlineStr">
        <is>
          <t>MARCOPOLO</t>
        </is>
      </c>
      <c r="FJ1764" s="18" t="inlineStr">
        <is>
          <t>GRAN VIALE</t>
        </is>
      </c>
      <c r="FK1764" s="18" t="n">
        <v>2020</v>
      </c>
      <c r="FL1764" s="18" t="inlineStr">
        <is>
          <t>C</t>
        </is>
      </c>
      <c r="FM1764" s="18" t="inlineStr">
        <is>
          <t>Santa Rosa</t>
        </is>
      </c>
      <c r="FP1764" t="inlineStr">
        <is>
          <t>C</t>
        </is>
      </c>
    </row>
    <row r="1765">
      <c r="FC1765" t="inlineStr">
        <is>
          <t>Diccionario 2</t>
        </is>
      </c>
      <c r="FD1765" s="15" t="inlineStr">
        <is>
          <t>LZPT-75</t>
        </is>
      </c>
      <c r="FE1765" s="17" t="inlineStr">
        <is>
          <t>YV3T7U529LA201471</t>
        </is>
      </c>
      <c r="FF1765" s="18" t="n">
        <v>508084</v>
      </c>
      <c r="FG1765" s="18" t="inlineStr">
        <is>
          <t>VOLVO</t>
        </is>
      </c>
      <c r="FH1765" s="18" t="inlineStr">
        <is>
          <t>B8RLEA</t>
        </is>
      </c>
      <c r="FI1765" s="18" t="inlineStr">
        <is>
          <t>MARCOPOLO</t>
        </is>
      </c>
      <c r="FJ1765" s="18" t="inlineStr">
        <is>
          <t>GRAN VIALE</t>
        </is>
      </c>
      <c r="FK1765" s="18" t="n">
        <v>2020</v>
      </c>
      <c r="FL1765" s="18" t="inlineStr">
        <is>
          <t>C</t>
        </is>
      </c>
      <c r="FM1765" s="18" t="inlineStr">
        <is>
          <t>Santa Rosa</t>
        </is>
      </c>
      <c r="FP1765" t="inlineStr">
        <is>
          <t>C</t>
        </is>
      </c>
    </row>
    <row r="1766">
      <c r="FC1766" t="inlineStr">
        <is>
          <t>Diccionario 2</t>
        </is>
      </c>
      <c r="FD1766" s="15" t="inlineStr">
        <is>
          <t>LZPT-76</t>
        </is>
      </c>
      <c r="FE1766" s="17" t="inlineStr">
        <is>
          <t>YV3T7U529LA201406</t>
        </is>
      </c>
      <c r="FF1766" s="18" t="n">
        <v>507795</v>
      </c>
      <c r="FG1766" s="18" t="inlineStr">
        <is>
          <t>VOLVO</t>
        </is>
      </c>
      <c r="FH1766" s="18" t="inlineStr">
        <is>
          <t>B8RLEA</t>
        </is>
      </c>
      <c r="FI1766" s="18" t="inlineStr">
        <is>
          <t>MARCOPOLO</t>
        </is>
      </c>
      <c r="FJ1766" s="18" t="inlineStr">
        <is>
          <t>GRAN VIALE</t>
        </is>
      </c>
      <c r="FK1766" s="18" t="n">
        <v>2020</v>
      </c>
      <c r="FL1766" s="18" t="inlineStr">
        <is>
          <t>C</t>
        </is>
      </c>
      <c r="FM1766" s="18" t="inlineStr">
        <is>
          <t>Santa Rosa</t>
        </is>
      </c>
      <c r="FP1766" t="inlineStr">
        <is>
          <t>C</t>
        </is>
      </c>
    </row>
    <row r="1767">
      <c r="FC1767" t="inlineStr">
        <is>
          <t>Diccionario 2</t>
        </is>
      </c>
      <c r="FD1767" s="15" t="inlineStr">
        <is>
          <t>LZPT-77</t>
        </is>
      </c>
      <c r="FE1767" s="17" t="inlineStr">
        <is>
          <t>YV3T7U524LA201393</t>
        </is>
      </c>
      <c r="FF1767" s="18" t="n">
        <v>507522</v>
      </c>
      <c r="FG1767" s="18" t="inlineStr">
        <is>
          <t>VOLVO</t>
        </is>
      </c>
      <c r="FH1767" s="18" t="inlineStr">
        <is>
          <t>B8RLEA</t>
        </is>
      </c>
      <c r="FI1767" s="18" t="inlineStr">
        <is>
          <t>MARCOPOLO</t>
        </is>
      </c>
      <c r="FJ1767" s="18" t="inlineStr">
        <is>
          <t>GRAN VIALE</t>
        </is>
      </c>
      <c r="FK1767" s="18" t="n">
        <v>2020</v>
      </c>
      <c r="FL1767" s="18" t="inlineStr">
        <is>
          <t>C</t>
        </is>
      </c>
      <c r="FM1767" s="18" t="inlineStr">
        <is>
          <t>Santa Rosa</t>
        </is>
      </c>
      <c r="FP1767" t="inlineStr">
        <is>
          <t>C</t>
        </is>
      </c>
    </row>
    <row r="1768">
      <c r="FC1768" t="inlineStr">
        <is>
          <t>Diccionario 2</t>
        </is>
      </c>
      <c r="FD1768" s="15" t="inlineStr">
        <is>
          <t>LZPV-98</t>
        </is>
      </c>
      <c r="FE1768" s="17" t="inlineStr">
        <is>
          <t>YV3T7U527LA201047</t>
        </is>
      </c>
      <c r="FF1768" s="18" t="n">
        <v>506628</v>
      </c>
      <c r="FG1768" s="18" t="inlineStr">
        <is>
          <t>VOLVO</t>
        </is>
      </c>
      <c r="FH1768" s="18" t="inlineStr">
        <is>
          <t>B8RLEA</t>
        </is>
      </c>
      <c r="FI1768" s="18" t="inlineStr">
        <is>
          <t>MARCOPOLO</t>
        </is>
      </c>
      <c r="FJ1768" s="18" t="inlineStr">
        <is>
          <t>GRAN VIALE</t>
        </is>
      </c>
      <c r="FK1768" s="18" t="n">
        <v>2020</v>
      </c>
      <c r="FL1768" s="18" t="inlineStr">
        <is>
          <t>C</t>
        </is>
      </c>
      <c r="FM1768" s="18" t="inlineStr">
        <is>
          <t>Recoleta</t>
        </is>
      </c>
      <c r="FP1768" t="inlineStr">
        <is>
          <t>C</t>
        </is>
      </c>
    </row>
    <row r="1769">
      <c r="FC1769" t="inlineStr">
        <is>
          <t>Diccionario 2</t>
        </is>
      </c>
      <c r="FD1769" s="15" t="inlineStr">
        <is>
          <t>LZPV-99</t>
        </is>
      </c>
      <c r="FE1769" s="17" t="inlineStr">
        <is>
          <t>YV3T7U528LA201347</t>
        </is>
      </c>
      <c r="FF1769" s="18" t="n">
        <v>507710</v>
      </c>
      <c r="FG1769" s="18" t="inlineStr">
        <is>
          <t>VOLVO</t>
        </is>
      </c>
      <c r="FH1769" s="18" t="inlineStr">
        <is>
          <t>B8RLEA</t>
        </is>
      </c>
      <c r="FI1769" s="18" t="inlineStr">
        <is>
          <t>MARCOPOLO</t>
        </is>
      </c>
      <c r="FJ1769" s="18" t="inlineStr">
        <is>
          <t>GRAN VIALE</t>
        </is>
      </c>
      <c r="FK1769" s="18" t="n">
        <v>2020</v>
      </c>
      <c r="FL1769" s="18" t="inlineStr">
        <is>
          <t>C</t>
        </is>
      </c>
      <c r="FM1769" s="18" t="inlineStr">
        <is>
          <t>Santa Rosa</t>
        </is>
      </c>
      <c r="FP1769" t="inlineStr">
        <is>
          <t>C</t>
        </is>
      </c>
    </row>
    <row r="1770">
      <c r="FC1770" t="inlineStr">
        <is>
          <t>Diccionario 2</t>
        </is>
      </c>
      <c r="FD1770" s="15" t="inlineStr">
        <is>
          <t>LZPW-10</t>
        </is>
      </c>
      <c r="FE1770" s="17" t="inlineStr">
        <is>
          <t>YV3T7U529LA201390</t>
        </is>
      </c>
      <c r="FF1770" s="18" t="n">
        <v>507489</v>
      </c>
      <c r="FG1770" s="18" t="inlineStr">
        <is>
          <t>VOLVO</t>
        </is>
      </c>
      <c r="FH1770" s="18" t="inlineStr">
        <is>
          <t>B8RLEA</t>
        </is>
      </c>
      <c r="FI1770" s="18" t="inlineStr">
        <is>
          <t>MARCOPOLO</t>
        </is>
      </c>
      <c r="FJ1770" s="18" t="inlineStr">
        <is>
          <t>GRAN VIALE</t>
        </is>
      </c>
      <c r="FK1770" s="18" t="n">
        <v>2020</v>
      </c>
      <c r="FL1770" s="18" t="inlineStr">
        <is>
          <t>C</t>
        </is>
      </c>
      <c r="FM1770" s="18" t="inlineStr">
        <is>
          <t>Santa Rosa</t>
        </is>
      </c>
      <c r="FP1770" t="inlineStr">
        <is>
          <t>C</t>
        </is>
      </c>
    </row>
    <row r="1771">
      <c r="FC1771" t="inlineStr">
        <is>
          <t>Diccionario 2</t>
        </is>
      </c>
      <c r="FD1771" s="15" t="inlineStr">
        <is>
          <t>LZPW-11</t>
        </is>
      </c>
      <c r="FE1771" s="17" t="inlineStr">
        <is>
          <t>YV3T7U520LA201407</t>
        </is>
      </c>
      <c r="FF1771" s="18" t="n">
        <v>507762</v>
      </c>
      <c r="FG1771" s="18" t="inlineStr">
        <is>
          <t>VOLVO</t>
        </is>
      </c>
      <c r="FH1771" s="18" t="inlineStr">
        <is>
          <t>B8RLEA</t>
        </is>
      </c>
      <c r="FI1771" s="18" t="inlineStr">
        <is>
          <t>MARCOPOLO</t>
        </is>
      </c>
      <c r="FJ1771" s="18" t="inlineStr">
        <is>
          <t>GRAN VIALE</t>
        </is>
      </c>
      <c r="FK1771" s="18" t="n">
        <v>2020</v>
      </c>
      <c r="FL1771" s="18" t="inlineStr">
        <is>
          <t>C</t>
        </is>
      </c>
      <c r="FM1771" s="18" t="inlineStr">
        <is>
          <t>Santa Rosa</t>
        </is>
      </c>
      <c r="FP1771" t="inlineStr">
        <is>
          <t>C</t>
        </is>
      </c>
    </row>
    <row r="1772">
      <c r="FC1772" t="inlineStr">
        <is>
          <t>Diccionario 2</t>
        </is>
      </c>
      <c r="FD1772" s="15" t="inlineStr">
        <is>
          <t>LZPW-12</t>
        </is>
      </c>
      <c r="FE1772" s="17" t="inlineStr">
        <is>
          <t>YV3T7U523LA201496</t>
        </is>
      </c>
      <c r="FF1772" s="18" t="n">
        <v>507817</v>
      </c>
      <c r="FG1772" s="18" t="inlineStr">
        <is>
          <t>VOLVO</t>
        </is>
      </c>
      <c r="FH1772" s="18" t="inlineStr">
        <is>
          <t>B8RLEA</t>
        </is>
      </c>
      <c r="FI1772" s="18" t="inlineStr">
        <is>
          <t>MARCOPOLO</t>
        </is>
      </c>
      <c r="FJ1772" s="18" t="inlineStr">
        <is>
          <t>GRAN VIALE</t>
        </is>
      </c>
      <c r="FK1772" s="18" t="n">
        <v>2020</v>
      </c>
      <c r="FL1772" s="18" t="inlineStr">
        <is>
          <t>C</t>
        </is>
      </c>
      <c r="FM1772" s="18" t="inlineStr">
        <is>
          <t>Santa Rosa</t>
        </is>
      </c>
      <c r="FP1772" t="inlineStr">
        <is>
          <t>C</t>
        </is>
      </c>
    </row>
    <row r="1773">
      <c r="FC1773" t="inlineStr">
        <is>
          <t>Diccionario 2</t>
        </is>
      </c>
      <c r="FD1773" s="15" t="inlineStr">
        <is>
          <t>LZPW-13</t>
        </is>
      </c>
      <c r="FE1773" s="17" t="inlineStr">
        <is>
          <t>YV3T7U526LA201816</t>
        </is>
      </c>
      <c r="FF1773" s="18" t="n">
        <v>509236</v>
      </c>
      <c r="FG1773" s="18" t="inlineStr">
        <is>
          <t>VOLVO</t>
        </is>
      </c>
      <c r="FH1773" s="18" t="inlineStr">
        <is>
          <t>B8RLEA</t>
        </is>
      </c>
      <c r="FI1773" s="18" t="inlineStr">
        <is>
          <t>MARCOPOLO</t>
        </is>
      </c>
      <c r="FJ1773" s="18" t="inlineStr">
        <is>
          <t>GRAN VIALE</t>
        </is>
      </c>
      <c r="FK1773" s="18" t="n">
        <v>2020</v>
      </c>
      <c r="FL1773" s="18" t="inlineStr">
        <is>
          <t>C</t>
        </is>
      </c>
      <c r="FM1773" s="18" t="inlineStr">
        <is>
          <t>Santa Rosa</t>
        </is>
      </c>
      <c r="FP1773" t="inlineStr">
        <is>
          <t>C</t>
        </is>
      </c>
    </row>
    <row r="1774">
      <c r="FC1774" t="inlineStr">
        <is>
          <t>Diccionario 2</t>
        </is>
      </c>
      <c r="FD1774" s="15" t="inlineStr">
        <is>
          <t>LZPW-14</t>
        </is>
      </c>
      <c r="FE1774" s="17" t="inlineStr">
        <is>
          <t>YV3T7U528LA201154</t>
        </is>
      </c>
      <c r="FF1774" s="18" t="n">
        <v>507070</v>
      </c>
      <c r="FG1774" s="18" t="inlineStr">
        <is>
          <t>VOLVO</t>
        </is>
      </c>
      <c r="FH1774" s="18" t="inlineStr">
        <is>
          <t>B8RLEA</t>
        </is>
      </c>
      <c r="FI1774" s="18" t="inlineStr">
        <is>
          <t>MARCOPOLO</t>
        </is>
      </c>
      <c r="FJ1774" s="18" t="inlineStr">
        <is>
          <t>GRAN VIALE</t>
        </is>
      </c>
      <c r="FK1774" s="18" t="n">
        <v>2020</v>
      </c>
      <c r="FL1774" s="18" t="inlineStr">
        <is>
          <t>C</t>
        </is>
      </c>
      <c r="FM1774" s="18" t="inlineStr">
        <is>
          <t>Recoleta</t>
        </is>
      </c>
      <c r="FP1774" t="inlineStr">
        <is>
          <t>C</t>
        </is>
      </c>
    </row>
    <row r="1775">
      <c r="FC1775" t="inlineStr">
        <is>
          <t>Diccionario 2</t>
        </is>
      </c>
      <c r="FD1775" s="15" t="inlineStr">
        <is>
          <t>LZPW-15</t>
        </is>
      </c>
      <c r="FE1775" s="17" t="inlineStr">
        <is>
          <t>YV3T7U521LA201318</t>
        </is>
      </c>
      <c r="FF1775" s="18" t="n">
        <v>507658</v>
      </c>
      <c r="FG1775" s="18" t="inlineStr">
        <is>
          <t>VOLVO</t>
        </is>
      </c>
      <c r="FH1775" s="18" t="inlineStr">
        <is>
          <t>B8RLEA</t>
        </is>
      </c>
      <c r="FI1775" s="18" t="inlineStr">
        <is>
          <t>MARCOPOLO</t>
        </is>
      </c>
      <c r="FJ1775" s="18" t="inlineStr">
        <is>
          <t>GRAN VIALE</t>
        </is>
      </c>
      <c r="FK1775" s="18" t="n">
        <v>2020</v>
      </c>
      <c r="FL1775" s="18" t="inlineStr">
        <is>
          <t>C</t>
        </is>
      </c>
      <c r="FM1775" s="18" t="inlineStr">
        <is>
          <t>Santa Rosa</t>
        </is>
      </c>
      <c r="FP1775" t="inlineStr">
        <is>
          <t>C</t>
        </is>
      </c>
    </row>
    <row r="1776">
      <c r="FC1776" t="inlineStr">
        <is>
          <t>Diccionario 2</t>
        </is>
      </c>
      <c r="FD1776" s="15" t="inlineStr">
        <is>
          <t>LZPW-16</t>
        </is>
      </c>
      <c r="FE1776" s="17" t="inlineStr">
        <is>
          <t>YV3T7U523LA201319</t>
        </is>
      </c>
      <c r="FF1776" s="18" t="n">
        <v>507679</v>
      </c>
      <c r="FG1776" s="18" t="inlineStr">
        <is>
          <t>VOLVO</t>
        </is>
      </c>
      <c r="FH1776" s="18" t="inlineStr">
        <is>
          <t>B8RLEA</t>
        </is>
      </c>
      <c r="FI1776" s="18" t="inlineStr">
        <is>
          <t>MARCOPOLO</t>
        </is>
      </c>
      <c r="FJ1776" s="18" t="inlineStr">
        <is>
          <t>GRAN VIALE</t>
        </is>
      </c>
      <c r="FK1776" s="18" t="n">
        <v>2020</v>
      </c>
      <c r="FL1776" s="18" t="inlineStr">
        <is>
          <t>C</t>
        </is>
      </c>
      <c r="FM1776" s="18" t="inlineStr">
        <is>
          <t>Santa Rosa</t>
        </is>
      </c>
      <c r="FP1776" t="inlineStr">
        <is>
          <t>C</t>
        </is>
      </c>
    </row>
    <row r="1777">
      <c r="FC1777" t="inlineStr">
        <is>
          <t>Diccionario 2</t>
        </is>
      </c>
      <c r="FD1777" s="15" t="inlineStr">
        <is>
          <t>LZPW-17</t>
        </is>
      </c>
      <c r="FE1777" s="17" t="inlineStr">
        <is>
          <t>YV3T7U521LA201321</t>
        </is>
      </c>
      <c r="FF1777" s="18" t="n">
        <v>507655</v>
      </c>
      <c r="FG1777" s="18" t="inlineStr">
        <is>
          <t>VOLVO</t>
        </is>
      </c>
      <c r="FH1777" s="18" t="inlineStr">
        <is>
          <t>B8RLEA</t>
        </is>
      </c>
      <c r="FI1777" s="18" t="inlineStr">
        <is>
          <t>MARCOPOLO</t>
        </is>
      </c>
      <c r="FJ1777" s="18" t="inlineStr">
        <is>
          <t>GRAN VIALE</t>
        </is>
      </c>
      <c r="FK1777" s="18" t="n">
        <v>2020</v>
      </c>
      <c r="FL1777" s="18" t="inlineStr">
        <is>
          <t>C</t>
        </is>
      </c>
      <c r="FM1777" s="18" t="inlineStr">
        <is>
          <t>Santa Rosa</t>
        </is>
      </c>
      <c r="FP1777" t="inlineStr">
        <is>
          <t>C</t>
        </is>
      </c>
    </row>
    <row r="1778">
      <c r="FC1778" t="inlineStr">
        <is>
          <t>Diccionario 2</t>
        </is>
      </c>
      <c r="FD1778" s="15" t="inlineStr">
        <is>
          <t>LZPW-18</t>
        </is>
      </c>
      <c r="FE1778" s="17" t="inlineStr">
        <is>
          <t>YV3T7U52XLA201348</t>
        </is>
      </c>
      <c r="FF1778" s="18" t="n">
        <v>507719</v>
      </c>
      <c r="FG1778" s="18" t="inlineStr">
        <is>
          <t>VOLVO</t>
        </is>
      </c>
      <c r="FH1778" s="18" t="inlineStr">
        <is>
          <t>B8RLEA</t>
        </is>
      </c>
      <c r="FI1778" s="18" t="inlineStr">
        <is>
          <t>MARCOPOLO</t>
        </is>
      </c>
      <c r="FJ1778" s="18" t="inlineStr">
        <is>
          <t>GRAN VIALE</t>
        </is>
      </c>
      <c r="FK1778" s="18" t="n">
        <v>2020</v>
      </c>
      <c r="FL1778" s="18" t="inlineStr">
        <is>
          <t>C</t>
        </is>
      </c>
      <c r="FM1778" s="18" t="inlineStr">
        <is>
          <t>Santa Rosa</t>
        </is>
      </c>
      <c r="FP1778" t="inlineStr">
        <is>
          <t>C</t>
        </is>
      </c>
    </row>
    <row r="1779">
      <c r="FC1779" t="inlineStr">
        <is>
          <t>Diccionario 2</t>
        </is>
      </c>
      <c r="FD1779" s="15" t="inlineStr">
        <is>
          <t>LZPW-19</t>
        </is>
      </c>
      <c r="FE1779" s="17" t="inlineStr">
        <is>
          <t>YV3T7U527LA201405</t>
        </is>
      </c>
      <c r="FF1779" s="18" t="n">
        <v>507775</v>
      </c>
      <c r="FG1779" s="18" t="inlineStr">
        <is>
          <t>VOLVO</t>
        </is>
      </c>
      <c r="FH1779" s="18" t="inlineStr">
        <is>
          <t>B8RLEA</t>
        </is>
      </c>
      <c r="FI1779" s="18" t="inlineStr">
        <is>
          <t>MARCOPOLO</t>
        </is>
      </c>
      <c r="FJ1779" s="18" t="inlineStr">
        <is>
          <t>GRAN VIALE</t>
        </is>
      </c>
      <c r="FK1779" s="18" t="n">
        <v>2020</v>
      </c>
      <c r="FL1779" s="18" t="inlineStr">
        <is>
          <t>C</t>
        </is>
      </c>
      <c r="FM1779" s="18" t="inlineStr">
        <is>
          <t>Santa Rosa</t>
        </is>
      </c>
      <c r="FP1779" t="inlineStr">
        <is>
          <t>C</t>
        </is>
      </c>
    </row>
    <row r="1780">
      <c r="FC1780" t="inlineStr">
        <is>
          <t>Diccionario 2</t>
        </is>
      </c>
      <c r="FD1780" s="15" t="inlineStr">
        <is>
          <t>LZPW-20</t>
        </is>
      </c>
      <c r="FE1780" s="17" t="inlineStr">
        <is>
          <t>YV3T7U521LA198727</t>
        </is>
      </c>
      <c r="FF1780" s="18" t="n">
        <v>508214</v>
      </c>
      <c r="FG1780" s="18" t="inlineStr">
        <is>
          <t>VOLVO</t>
        </is>
      </c>
      <c r="FH1780" s="18" t="inlineStr">
        <is>
          <t>B8RLEA</t>
        </is>
      </c>
      <c r="FI1780" s="18" t="inlineStr">
        <is>
          <t>MARCOPOLO</t>
        </is>
      </c>
      <c r="FJ1780" s="18" t="inlineStr">
        <is>
          <t>GRAN VIALE</t>
        </is>
      </c>
      <c r="FK1780" s="18" t="n">
        <v>2020</v>
      </c>
      <c r="FL1780" s="18" t="inlineStr">
        <is>
          <t>C</t>
        </is>
      </c>
      <c r="FM1780" s="18" t="inlineStr">
        <is>
          <t>Santa Rosa</t>
        </is>
      </c>
      <c r="FP1780" t="inlineStr">
        <is>
          <t>C</t>
        </is>
      </c>
    </row>
    <row r="1781">
      <c r="FC1781" t="inlineStr">
        <is>
          <t>Diccionario 2</t>
        </is>
      </c>
      <c r="FD1781" s="15" t="inlineStr">
        <is>
          <t>LZPW-21</t>
        </is>
      </c>
      <c r="FE1781" s="17" t="inlineStr">
        <is>
          <t>YV3T7U528LA201669</t>
        </is>
      </c>
      <c r="FF1781" s="18" t="n">
        <v>508621</v>
      </c>
      <c r="FG1781" s="18" t="inlineStr">
        <is>
          <t>VOLVO</t>
        </is>
      </c>
      <c r="FH1781" s="18" t="inlineStr">
        <is>
          <t>B8RLEA</t>
        </is>
      </c>
      <c r="FI1781" s="18" t="inlineStr">
        <is>
          <t>MARCOPOLO</t>
        </is>
      </c>
      <c r="FJ1781" s="18" t="inlineStr">
        <is>
          <t>GRAN VIALE</t>
        </is>
      </c>
      <c r="FK1781" s="18" t="n">
        <v>2020</v>
      </c>
      <c r="FL1781" s="18" t="inlineStr">
        <is>
          <t>C</t>
        </is>
      </c>
      <c r="FM1781" s="18" t="inlineStr">
        <is>
          <t>Santa Rosa</t>
        </is>
      </c>
      <c r="FP1781" t="inlineStr">
        <is>
          <t>C</t>
        </is>
      </c>
    </row>
    <row r="1782">
      <c r="FC1782" t="inlineStr">
        <is>
          <t>Diccionario 2</t>
        </is>
      </c>
      <c r="FD1782" s="15" t="inlineStr">
        <is>
          <t>LZPW-22</t>
        </is>
      </c>
      <c r="FE1782" s="17" t="inlineStr">
        <is>
          <t>YV3T7U520LA201391</t>
        </is>
      </c>
      <c r="FF1782" s="18" t="n">
        <v>507509</v>
      </c>
      <c r="FG1782" s="18" t="inlineStr">
        <is>
          <t>VOLVO</t>
        </is>
      </c>
      <c r="FH1782" s="18" t="inlineStr">
        <is>
          <t>B8RLEA</t>
        </is>
      </c>
      <c r="FI1782" s="18" t="inlineStr">
        <is>
          <t>MARCOPOLO</t>
        </is>
      </c>
      <c r="FJ1782" s="18" t="inlineStr">
        <is>
          <t>GRAN VIALE</t>
        </is>
      </c>
      <c r="FK1782" s="18" t="n">
        <v>2020</v>
      </c>
      <c r="FL1782" s="18" t="inlineStr">
        <is>
          <t>C</t>
        </is>
      </c>
      <c r="FM1782" s="18" t="inlineStr">
        <is>
          <t>Santa Rosa</t>
        </is>
      </c>
      <c r="FP1782" t="inlineStr">
        <is>
          <t>C</t>
        </is>
      </c>
    </row>
    <row r="1783">
      <c r="FC1783" t="inlineStr">
        <is>
          <t>Diccionario 2</t>
        </is>
      </c>
      <c r="FD1783" s="15" t="inlineStr">
        <is>
          <t>LZRB-82</t>
        </is>
      </c>
      <c r="FE1783" s="17" t="inlineStr">
        <is>
          <t>YV3T7U520LA201097</t>
        </is>
      </c>
      <c r="FF1783" s="18" t="n">
        <v>507017</v>
      </c>
      <c r="FG1783" s="18" t="inlineStr">
        <is>
          <t>VOLVO</t>
        </is>
      </c>
      <c r="FH1783" s="18" t="inlineStr">
        <is>
          <t>B8RLEA</t>
        </is>
      </c>
      <c r="FI1783" s="18" t="inlineStr">
        <is>
          <t>MARCOPOLO</t>
        </is>
      </c>
      <c r="FJ1783" s="18" t="inlineStr">
        <is>
          <t>GRAN VIALE</t>
        </is>
      </c>
      <c r="FK1783" s="18" t="n">
        <v>2020</v>
      </c>
      <c r="FL1783" s="18" t="inlineStr">
        <is>
          <t>C</t>
        </is>
      </c>
      <c r="FM1783" s="18" t="inlineStr">
        <is>
          <t>Recoleta</t>
        </is>
      </c>
      <c r="FP1783" t="inlineStr">
        <is>
          <t>C</t>
        </is>
      </c>
    </row>
    <row r="1784">
      <c r="FC1784" t="inlineStr">
        <is>
          <t>Diccionario 2</t>
        </is>
      </c>
      <c r="FD1784" s="15" t="inlineStr">
        <is>
          <t>LZRB-83</t>
        </is>
      </c>
      <c r="FE1784" s="17" t="inlineStr">
        <is>
          <t>YV3T7U528LA201476</t>
        </is>
      </c>
      <c r="FF1784" s="18" t="n">
        <v>507871</v>
      </c>
      <c r="FG1784" s="18" t="inlineStr">
        <is>
          <t>VOLVO</t>
        </is>
      </c>
      <c r="FH1784" s="18" t="inlineStr">
        <is>
          <t>B8RLEA</t>
        </is>
      </c>
      <c r="FI1784" s="18" t="inlineStr">
        <is>
          <t>MARCOPOLO</t>
        </is>
      </c>
      <c r="FJ1784" s="18" t="inlineStr">
        <is>
          <t>GRAN VIALE</t>
        </is>
      </c>
      <c r="FK1784" s="18" t="n">
        <v>2020</v>
      </c>
      <c r="FL1784" s="18" t="inlineStr">
        <is>
          <t>C</t>
        </is>
      </c>
      <c r="FM1784" s="18" t="inlineStr">
        <is>
          <t>Santa Rosa</t>
        </is>
      </c>
      <c r="FP1784" t="inlineStr">
        <is>
          <t>C</t>
        </is>
      </c>
    </row>
    <row r="1785">
      <c r="FC1785" t="inlineStr">
        <is>
          <t>Diccionario 2</t>
        </is>
      </c>
      <c r="FD1785" s="15" t="inlineStr">
        <is>
          <t>LZRB-84</t>
        </is>
      </c>
      <c r="FE1785" s="17" t="inlineStr">
        <is>
          <t>YV3T7U524LA201815</t>
        </is>
      </c>
      <c r="FF1785" s="18" t="n">
        <v>509217</v>
      </c>
      <c r="FG1785" s="18" t="inlineStr">
        <is>
          <t>VOLVO</t>
        </is>
      </c>
      <c r="FH1785" s="18" t="inlineStr">
        <is>
          <t>B8RLEA</t>
        </is>
      </c>
      <c r="FI1785" s="18" t="inlineStr">
        <is>
          <t>MARCOPOLO</t>
        </is>
      </c>
      <c r="FJ1785" s="18" t="inlineStr">
        <is>
          <t>GRAN VIALE</t>
        </is>
      </c>
      <c r="FK1785" s="18" t="n">
        <v>2020</v>
      </c>
      <c r="FL1785" s="18" t="inlineStr">
        <is>
          <t>C</t>
        </is>
      </c>
      <c r="FM1785" s="18" t="inlineStr">
        <is>
          <t>Santa Rosa</t>
        </is>
      </c>
      <c r="FP1785" t="inlineStr">
        <is>
          <t>C</t>
        </is>
      </c>
    </row>
    <row r="1786">
      <c r="FC1786" t="inlineStr">
        <is>
          <t>Diccionario 2</t>
        </is>
      </c>
      <c r="FD1786" s="15" t="inlineStr">
        <is>
          <t>LZRB-85</t>
        </is>
      </c>
      <c r="FE1786" s="17" t="inlineStr">
        <is>
          <t>YV3T7U522LA201666</t>
        </is>
      </c>
      <c r="FF1786" s="18" t="n">
        <v>508593</v>
      </c>
      <c r="FG1786" s="18" t="inlineStr">
        <is>
          <t>VOLVO</t>
        </is>
      </c>
      <c r="FH1786" s="18" t="inlineStr">
        <is>
          <t>B8RLEA</t>
        </is>
      </c>
      <c r="FI1786" s="18" t="inlineStr">
        <is>
          <t>MARCOPOLO</t>
        </is>
      </c>
      <c r="FJ1786" s="18" t="inlineStr">
        <is>
          <t>GRAN VIALE</t>
        </is>
      </c>
      <c r="FK1786" s="18" t="n">
        <v>2020</v>
      </c>
      <c r="FL1786" s="18" t="inlineStr">
        <is>
          <t>C</t>
        </is>
      </c>
      <c r="FM1786" s="18" t="inlineStr">
        <is>
          <t>Santa Rosa</t>
        </is>
      </c>
      <c r="FP1786" t="inlineStr">
        <is>
          <t>C</t>
        </is>
      </c>
    </row>
    <row r="1787">
      <c r="FC1787" t="inlineStr">
        <is>
          <t>Diccionario 2</t>
        </is>
      </c>
      <c r="FD1787" s="15" t="inlineStr">
        <is>
          <t>LZRB-86</t>
        </is>
      </c>
      <c r="FE1787" s="17" t="inlineStr">
        <is>
          <t>YV3T7U529LA201924</t>
        </is>
      </c>
      <c r="FF1787" s="18" t="n">
        <v>509325</v>
      </c>
      <c r="FG1787" s="18" t="inlineStr">
        <is>
          <t>VOLVO</t>
        </is>
      </c>
      <c r="FH1787" s="18" t="inlineStr">
        <is>
          <t>B8RLEA</t>
        </is>
      </c>
      <c r="FI1787" s="18" t="inlineStr">
        <is>
          <t>MARCOPOLO</t>
        </is>
      </c>
      <c r="FJ1787" s="18" t="inlineStr">
        <is>
          <t>GRAN VIALE</t>
        </is>
      </c>
      <c r="FK1787" s="18" t="n">
        <v>2020</v>
      </c>
      <c r="FL1787" s="18" t="inlineStr">
        <is>
          <t>C</t>
        </is>
      </c>
      <c r="FM1787" s="18" t="inlineStr">
        <is>
          <t>Santa Rosa</t>
        </is>
      </c>
      <c r="FP1787" t="inlineStr">
        <is>
          <t>C</t>
        </is>
      </c>
    </row>
    <row r="1788">
      <c r="FC1788" t="inlineStr">
        <is>
          <t>Diccionario 2</t>
        </is>
      </c>
      <c r="FD1788" s="15" t="inlineStr">
        <is>
          <t>LZRB-87</t>
        </is>
      </c>
      <c r="FE1788" s="17" t="inlineStr">
        <is>
          <t>YV3T7U521LA201903</t>
        </is>
      </c>
      <c r="FF1788" s="18" t="n">
        <v>509608</v>
      </c>
      <c r="FG1788" s="18" t="inlineStr">
        <is>
          <t>VOLVO</t>
        </is>
      </c>
      <c r="FH1788" s="18" t="inlineStr">
        <is>
          <t>B8RLEA</t>
        </is>
      </c>
      <c r="FI1788" s="18" t="inlineStr">
        <is>
          <t>MARCOPOLO</t>
        </is>
      </c>
      <c r="FJ1788" s="18" t="inlineStr">
        <is>
          <t>GRAN VIALE</t>
        </is>
      </c>
      <c r="FK1788" s="18" t="n">
        <v>2020</v>
      </c>
      <c r="FL1788" s="18" t="inlineStr">
        <is>
          <t>C</t>
        </is>
      </c>
      <c r="FM1788" s="18" t="inlineStr">
        <is>
          <t>Santa Rosa</t>
        </is>
      </c>
      <c r="FP1788" t="inlineStr">
        <is>
          <t>C</t>
        </is>
      </c>
    </row>
    <row r="1789">
      <c r="FC1789" t="inlineStr">
        <is>
          <t>Diccionario 2</t>
        </is>
      </c>
      <c r="FD1789" s="15" t="inlineStr">
        <is>
          <t>LZRB-88</t>
        </is>
      </c>
      <c r="FE1789" s="17" t="inlineStr">
        <is>
          <t>YV3T7U523LA201921</t>
        </is>
      </c>
      <c r="FF1789" s="18" t="n">
        <v>509543</v>
      </c>
      <c r="FG1789" s="18" t="inlineStr">
        <is>
          <t>VOLVO</t>
        </is>
      </c>
      <c r="FH1789" s="18" t="inlineStr">
        <is>
          <t>B8RLEA</t>
        </is>
      </c>
      <c r="FI1789" s="18" t="inlineStr">
        <is>
          <t>MARCOPOLO</t>
        </is>
      </c>
      <c r="FJ1789" s="18" t="inlineStr">
        <is>
          <t>GRAN VIALE</t>
        </is>
      </c>
      <c r="FK1789" s="18" t="n">
        <v>2020</v>
      </c>
      <c r="FL1789" s="18" t="inlineStr">
        <is>
          <t>C</t>
        </is>
      </c>
      <c r="FM1789" s="18" t="inlineStr">
        <is>
          <t>Santa Rosa</t>
        </is>
      </c>
      <c r="FP1789" t="inlineStr">
        <is>
          <t>C</t>
        </is>
      </c>
    </row>
    <row r="1790">
      <c r="FC1790" t="inlineStr">
        <is>
          <t>Diccionario 2</t>
        </is>
      </c>
      <c r="FD1790" s="15" t="inlineStr">
        <is>
          <t>SFVZ-29</t>
        </is>
      </c>
      <c r="FE1790" s="17" t="inlineStr">
        <is>
          <t>LVCB4L4DXMM003870</t>
        </is>
      </c>
      <c r="FF1790" s="18" t="inlineStr">
        <is>
          <t>M221100546</t>
        </is>
      </c>
      <c r="FG1790" s="18" t="inlineStr">
        <is>
          <t>FOTON</t>
        </is>
      </c>
      <c r="FH1790" s="18" t="inlineStr">
        <is>
          <t>EBUS U12 SC</t>
        </is>
      </c>
      <c r="FI1790" s="18" t="inlineStr">
        <is>
          <t>FOTON</t>
        </is>
      </c>
      <c r="FJ1790" s="18" t="inlineStr">
        <is>
          <t>EBUS U12 SC</t>
        </is>
      </c>
      <c r="FK1790" s="18" t="n">
        <v>2022</v>
      </c>
      <c r="FL1790" s="18" t="inlineStr">
        <is>
          <t>B</t>
        </is>
      </c>
      <c r="FM1790" s="18" t="inlineStr">
        <is>
          <t>Ducaud</t>
        </is>
      </c>
      <c r="FP1790" t="inlineStr">
        <is>
          <t>B</t>
        </is>
      </c>
    </row>
    <row r="1791">
      <c r="FC1791" t="inlineStr">
        <is>
          <t>Diccionario 2</t>
        </is>
      </c>
      <c r="FD1791" s="15" t="inlineStr">
        <is>
          <t>SFVZ-39</t>
        </is>
      </c>
      <c r="FE1791" s="17" t="inlineStr">
        <is>
          <t>LVCB4L4D5MM003646</t>
        </is>
      </c>
      <c r="FF1791" s="18" t="inlineStr">
        <is>
          <t>M221100541</t>
        </is>
      </c>
      <c r="FG1791" s="18" t="inlineStr">
        <is>
          <t>FOTON</t>
        </is>
      </c>
      <c r="FH1791" s="18" t="inlineStr">
        <is>
          <t>EBUS U12 SC</t>
        </is>
      </c>
      <c r="FI1791" s="18" t="inlineStr">
        <is>
          <t>FOTON</t>
        </is>
      </c>
      <c r="FJ1791" s="18" t="inlineStr">
        <is>
          <t>EBUS U12 SC</t>
        </is>
      </c>
      <c r="FK1791" s="18" t="n">
        <v>2022</v>
      </c>
      <c r="FL1791" s="18" t="inlineStr">
        <is>
          <t>B</t>
        </is>
      </c>
      <c r="FM1791" s="18" t="inlineStr">
        <is>
          <t>Ducaud</t>
        </is>
      </c>
      <c r="FP1791" t="inlineStr">
        <is>
          <t>B</t>
        </is>
      </c>
    </row>
    <row r="1792">
      <c r="FC1792" t="inlineStr">
        <is>
          <t>Diccionario 2</t>
        </is>
      </c>
      <c r="FD1792" s="15" t="inlineStr">
        <is>
          <t>SFVZ-40</t>
        </is>
      </c>
      <c r="FE1792" s="17" t="inlineStr">
        <is>
          <t>LVCB4L4D3MM003872</t>
        </is>
      </c>
      <c r="FF1792" s="18" t="inlineStr">
        <is>
          <t>M221100304</t>
        </is>
      </c>
      <c r="FG1792" s="18" t="inlineStr">
        <is>
          <t>FOTON</t>
        </is>
      </c>
      <c r="FH1792" s="18" t="inlineStr">
        <is>
          <t>EBUS U12 SC</t>
        </is>
      </c>
      <c r="FI1792" s="18" t="inlineStr">
        <is>
          <t>FOTON</t>
        </is>
      </c>
      <c r="FJ1792" s="18" t="inlineStr">
        <is>
          <t>EBUS U12 SC</t>
        </is>
      </c>
      <c r="FK1792" s="18" t="n">
        <v>2022</v>
      </c>
      <c r="FL1792" s="18" t="inlineStr">
        <is>
          <t>B</t>
        </is>
      </c>
      <c r="FM1792" s="18" t="inlineStr">
        <is>
          <t>Santa Rosa</t>
        </is>
      </c>
      <c r="FP1792" t="inlineStr">
        <is>
          <t>B</t>
        </is>
      </c>
    </row>
    <row r="1793">
      <c r="FC1793" t="inlineStr">
        <is>
          <t>Diccionario 2</t>
        </is>
      </c>
      <c r="FD1793" s="15" t="inlineStr">
        <is>
          <t>SFVZ-44</t>
        </is>
      </c>
      <c r="FE1793" s="17" t="inlineStr">
        <is>
          <t>LVCB4L4D9MM003875</t>
        </is>
      </c>
      <c r="FF1793" s="18" t="inlineStr">
        <is>
          <t>M221100438</t>
        </is>
      </c>
      <c r="FG1793" s="18" t="inlineStr">
        <is>
          <t>FOTON</t>
        </is>
      </c>
      <c r="FH1793" s="18" t="inlineStr">
        <is>
          <t>EBUS U12 SC</t>
        </is>
      </c>
      <c r="FI1793" s="18" t="inlineStr">
        <is>
          <t>FOTON</t>
        </is>
      </c>
      <c r="FJ1793" s="18" t="inlineStr">
        <is>
          <t>EBUS U12 SC</t>
        </is>
      </c>
      <c r="FK1793" s="18" t="n">
        <v>2022</v>
      </c>
      <c r="FL1793" s="18" t="inlineStr">
        <is>
          <t>B</t>
        </is>
      </c>
      <c r="FM1793" s="18" t="inlineStr">
        <is>
          <t>Santa Rosa</t>
        </is>
      </c>
      <c r="FP1793" t="inlineStr">
        <is>
          <t>B</t>
        </is>
      </c>
    </row>
    <row r="1794">
      <c r="FC1794" t="inlineStr">
        <is>
          <t>Diccionario 2</t>
        </is>
      </c>
      <c r="FD1794" s="15" t="inlineStr">
        <is>
          <t>SFVZ-49</t>
        </is>
      </c>
      <c r="FE1794" s="17" t="inlineStr">
        <is>
          <t>LVCB4L4D0MM003876</t>
        </is>
      </c>
      <c r="FF1794" s="18" t="inlineStr">
        <is>
          <t>M221100544</t>
        </is>
      </c>
      <c r="FG1794" s="18" t="inlineStr">
        <is>
          <t>FOTON</t>
        </is>
      </c>
      <c r="FH1794" s="18" t="inlineStr">
        <is>
          <t>EBUS U12 SC</t>
        </is>
      </c>
      <c r="FI1794" s="18" t="inlineStr">
        <is>
          <t>FOTON</t>
        </is>
      </c>
      <c r="FJ1794" s="18" t="inlineStr">
        <is>
          <t>EBUS U12 SC</t>
        </is>
      </c>
      <c r="FK1794" s="18" t="n">
        <v>2022</v>
      </c>
      <c r="FL1794" s="18" t="inlineStr">
        <is>
          <t>B</t>
        </is>
      </c>
      <c r="FM1794" s="18" t="inlineStr">
        <is>
          <t>Santa Rosa</t>
        </is>
      </c>
      <c r="FP1794" t="inlineStr">
        <is>
          <t>B</t>
        </is>
      </c>
    </row>
    <row r="1795">
      <c r="FC1795" t="inlineStr">
        <is>
          <t>Diccionario 2</t>
        </is>
      </c>
      <c r="FD1795" s="15" t="inlineStr">
        <is>
          <t>SFVZ-56</t>
        </is>
      </c>
      <c r="FE1795" s="17" t="inlineStr">
        <is>
          <t>LVCB4L4D2MM003877</t>
        </is>
      </c>
      <c r="FF1795" s="18" t="inlineStr">
        <is>
          <t>M221100558</t>
        </is>
      </c>
      <c r="FG1795" s="18" t="inlineStr">
        <is>
          <t>FOTON</t>
        </is>
      </c>
      <c r="FH1795" s="18" t="inlineStr">
        <is>
          <t>EBUS U12 SC</t>
        </is>
      </c>
      <c r="FI1795" s="18" t="inlineStr">
        <is>
          <t>FOTON</t>
        </is>
      </c>
      <c r="FJ1795" s="18" t="inlineStr">
        <is>
          <t>EBUS U12 SC</t>
        </is>
      </c>
      <c r="FK1795" s="18" t="n">
        <v>2022</v>
      </c>
      <c r="FL1795" s="18" t="inlineStr">
        <is>
          <t>B</t>
        </is>
      </c>
      <c r="FM1795" s="18" t="inlineStr">
        <is>
          <t>Santa Rosa</t>
        </is>
      </c>
      <c r="FP1795" t="inlineStr">
        <is>
          <t>B</t>
        </is>
      </c>
    </row>
    <row r="1796">
      <c r="FC1796" t="inlineStr">
        <is>
          <t>Diccionario 2</t>
        </is>
      </c>
      <c r="FD1796" s="15" t="inlineStr">
        <is>
          <t>SFVZ-60</t>
        </is>
      </c>
      <c r="FE1796" s="17" t="inlineStr">
        <is>
          <t>LVCB4L4D6MM003879</t>
        </is>
      </c>
      <c r="FF1796" s="18" t="inlineStr">
        <is>
          <t>M221110022</t>
        </is>
      </c>
      <c r="FG1796" s="18" t="inlineStr">
        <is>
          <t>FOTON</t>
        </is>
      </c>
      <c r="FH1796" s="18" t="inlineStr">
        <is>
          <t>EBUS U12 SC</t>
        </is>
      </c>
      <c r="FI1796" s="18" t="inlineStr">
        <is>
          <t>FOTON</t>
        </is>
      </c>
      <c r="FJ1796" s="18" t="inlineStr">
        <is>
          <t>EBUS U12 SC</t>
        </is>
      </c>
      <c r="FK1796" s="18" t="n">
        <v>2022</v>
      </c>
      <c r="FL1796" s="18" t="inlineStr">
        <is>
          <t>B</t>
        </is>
      </c>
      <c r="FM1796" s="18" t="inlineStr">
        <is>
          <t>Lo Blanco</t>
        </is>
      </c>
      <c r="FP1796" t="inlineStr">
        <is>
          <t>B</t>
        </is>
      </c>
    </row>
    <row r="1797">
      <c r="FC1797" t="inlineStr">
        <is>
          <t>Diccionario 2</t>
        </is>
      </c>
      <c r="FD1797" s="15" t="inlineStr">
        <is>
          <t>SFVZ-63</t>
        </is>
      </c>
      <c r="FE1797" s="17" t="inlineStr">
        <is>
          <t>LVCB4L4D2MM003880</t>
        </is>
      </c>
      <c r="FF1797" s="18" t="inlineStr">
        <is>
          <t>M221100408</t>
        </is>
      </c>
      <c r="FG1797" s="18" t="inlineStr">
        <is>
          <t>FOTON</t>
        </is>
      </c>
      <c r="FH1797" s="18" t="inlineStr">
        <is>
          <t>EBUS U12 SC</t>
        </is>
      </c>
      <c r="FI1797" s="18" t="inlineStr">
        <is>
          <t>FOTON</t>
        </is>
      </c>
      <c r="FJ1797" s="18" t="inlineStr">
        <is>
          <t>EBUS U12 SC</t>
        </is>
      </c>
      <c r="FK1797" s="18" t="n">
        <v>2022</v>
      </c>
      <c r="FL1797" s="18" t="inlineStr">
        <is>
          <t>B</t>
        </is>
      </c>
      <c r="FM1797" s="18" t="inlineStr">
        <is>
          <t>Santa Rosa</t>
        </is>
      </c>
      <c r="FP1797" t="inlineStr">
        <is>
          <t>B</t>
        </is>
      </c>
    </row>
    <row r="1798">
      <c r="FC1798" t="inlineStr">
        <is>
          <t>Diccionario 2</t>
        </is>
      </c>
      <c r="FD1798" s="15" t="inlineStr">
        <is>
          <t>SFVZ-67</t>
        </is>
      </c>
      <c r="FE1798" s="17" t="inlineStr">
        <is>
          <t>LVCB4L4D4MM003881</t>
        </is>
      </c>
      <c r="FF1798" s="18" t="inlineStr">
        <is>
          <t>M221110108</t>
        </is>
      </c>
      <c r="FG1798" s="18" t="inlineStr">
        <is>
          <t>FOTON</t>
        </is>
      </c>
      <c r="FH1798" s="18" t="inlineStr">
        <is>
          <t>EBUS U12 SC</t>
        </is>
      </c>
      <c r="FI1798" s="18" t="inlineStr">
        <is>
          <t>FOTON</t>
        </is>
      </c>
      <c r="FJ1798" s="18" t="inlineStr">
        <is>
          <t>EBUS U12 SC</t>
        </is>
      </c>
      <c r="FK1798" s="18" t="n">
        <v>2022</v>
      </c>
      <c r="FL1798" s="18" t="inlineStr">
        <is>
          <t>B</t>
        </is>
      </c>
      <c r="FM1798" s="18" t="inlineStr">
        <is>
          <t>Santa Rosa</t>
        </is>
      </c>
      <c r="FP1798" t="inlineStr">
        <is>
          <t>B</t>
        </is>
      </c>
    </row>
    <row r="1799">
      <c r="FC1799" t="inlineStr">
        <is>
          <t>Diccionario 2</t>
        </is>
      </c>
      <c r="FD1799" s="15" t="inlineStr">
        <is>
          <t>SFVZ-70</t>
        </is>
      </c>
      <c r="FE1799" s="17" t="inlineStr">
        <is>
          <t>LVCB4L4D6MM003882</t>
        </is>
      </c>
      <c r="FF1799" s="18" t="inlineStr">
        <is>
          <t>M221100437</t>
        </is>
      </c>
      <c r="FG1799" s="18" t="inlineStr">
        <is>
          <t>FOTON</t>
        </is>
      </c>
      <c r="FH1799" s="18" t="inlineStr">
        <is>
          <t>EBUS U12 SC</t>
        </is>
      </c>
      <c r="FI1799" s="18" t="inlineStr">
        <is>
          <t>FOTON</t>
        </is>
      </c>
      <c r="FJ1799" s="18" t="inlineStr">
        <is>
          <t>EBUS U12 SC</t>
        </is>
      </c>
      <c r="FK1799" s="18" t="n">
        <v>2022</v>
      </c>
      <c r="FL1799" s="18" t="inlineStr">
        <is>
          <t>B</t>
        </is>
      </c>
      <c r="FM1799" s="18" t="inlineStr">
        <is>
          <t>Santa Rosa</t>
        </is>
      </c>
      <c r="FP1799" t="inlineStr">
        <is>
          <t>B</t>
        </is>
      </c>
    </row>
    <row r="1800">
      <c r="FC1800" t="inlineStr">
        <is>
          <t>Diccionario 2</t>
        </is>
      </c>
      <c r="FD1800" s="15" t="inlineStr">
        <is>
          <t>SFVZ-80</t>
        </is>
      </c>
      <c r="FE1800" s="17" t="inlineStr">
        <is>
          <t>LVCB4L4D8MM003883</t>
        </is>
      </c>
      <c r="FF1800" s="18" t="inlineStr">
        <is>
          <t>M221100477</t>
        </is>
      </c>
      <c r="FG1800" s="18" t="inlineStr">
        <is>
          <t>FOTON</t>
        </is>
      </c>
      <c r="FH1800" s="18" t="inlineStr">
        <is>
          <t>EBUS U12 SC</t>
        </is>
      </c>
      <c r="FI1800" s="18" t="inlineStr">
        <is>
          <t>FOTON</t>
        </is>
      </c>
      <c r="FJ1800" s="18" t="inlineStr">
        <is>
          <t>EBUS U12 SC</t>
        </is>
      </c>
      <c r="FK1800" s="18" t="n">
        <v>2022</v>
      </c>
      <c r="FL1800" s="18" t="inlineStr">
        <is>
          <t>B</t>
        </is>
      </c>
      <c r="FM1800" s="18" t="inlineStr">
        <is>
          <t>Santa Rosa</t>
        </is>
      </c>
      <c r="FP1800" t="inlineStr">
        <is>
          <t>B</t>
        </is>
      </c>
    </row>
    <row r="1801">
      <c r="FC1801" t="inlineStr">
        <is>
          <t>Diccionario 2</t>
        </is>
      </c>
      <c r="FD1801" s="15" t="inlineStr">
        <is>
          <t>SFVZ-81</t>
        </is>
      </c>
      <c r="FE1801" s="17" t="inlineStr">
        <is>
          <t>LVCB4L4D1MM003885</t>
        </is>
      </c>
      <c r="FF1801" s="18" t="inlineStr">
        <is>
          <t>M221100475</t>
        </is>
      </c>
      <c r="FG1801" s="18" t="inlineStr">
        <is>
          <t>FOTON</t>
        </is>
      </c>
      <c r="FH1801" s="18" t="inlineStr">
        <is>
          <t>EBUS U12 SC</t>
        </is>
      </c>
      <c r="FI1801" s="18" t="inlineStr">
        <is>
          <t>FOTON</t>
        </is>
      </c>
      <c r="FJ1801" s="18" t="inlineStr">
        <is>
          <t>EBUS U12 SC</t>
        </is>
      </c>
      <c r="FK1801" s="18" t="n">
        <v>2022</v>
      </c>
      <c r="FL1801" s="18" t="inlineStr">
        <is>
          <t>B</t>
        </is>
      </c>
      <c r="FM1801" s="18" t="inlineStr">
        <is>
          <t>Santa Rosa</t>
        </is>
      </c>
      <c r="FP1801" t="inlineStr">
        <is>
          <t>B</t>
        </is>
      </c>
    </row>
    <row r="1802">
      <c r="FC1802" t="inlineStr">
        <is>
          <t>Diccionario 2</t>
        </is>
      </c>
      <c r="FD1802" s="15" t="inlineStr">
        <is>
          <t>SFVZ-85</t>
        </is>
      </c>
      <c r="FE1802" s="17" t="inlineStr">
        <is>
          <t>LVCB4L4D3MM003886</t>
        </is>
      </c>
      <c r="FF1802" s="18" t="inlineStr">
        <is>
          <t>M221100543</t>
        </is>
      </c>
      <c r="FG1802" s="18" t="inlineStr">
        <is>
          <t>FOTON</t>
        </is>
      </c>
      <c r="FH1802" s="18" t="inlineStr">
        <is>
          <t>EBUS U12 SC</t>
        </is>
      </c>
      <c r="FI1802" s="18" t="inlineStr">
        <is>
          <t>FOTON</t>
        </is>
      </c>
      <c r="FJ1802" s="18" t="inlineStr">
        <is>
          <t>EBUS U12 SC</t>
        </is>
      </c>
      <c r="FK1802" s="18" t="n">
        <v>2022</v>
      </c>
      <c r="FL1802" s="18" t="inlineStr">
        <is>
          <t>B</t>
        </is>
      </c>
      <c r="FM1802" s="18" t="inlineStr">
        <is>
          <t>Santa Rosa</t>
        </is>
      </c>
      <c r="FP1802" t="inlineStr">
        <is>
          <t>B</t>
        </is>
      </c>
    </row>
    <row r="1803">
      <c r="FC1803" t="inlineStr">
        <is>
          <t>Diccionario 2</t>
        </is>
      </c>
      <c r="FD1803" s="15" t="inlineStr">
        <is>
          <t>SFVZ-86</t>
        </is>
      </c>
      <c r="FE1803" s="17" t="inlineStr">
        <is>
          <t>LVCB4L4D5MM003887</t>
        </is>
      </c>
      <c r="FF1803" s="18" t="inlineStr">
        <is>
          <t>M221110021</t>
        </is>
      </c>
      <c r="FG1803" s="18" t="inlineStr">
        <is>
          <t>FOTON</t>
        </is>
      </c>
      <c r="FH1803" s="18" t="inlineStr">
        <is>
          <t>EBUS U12 SC</t>
        </is>
      </c>
      <c r="FI1803" s="18" t="inlineStr">
        <is>
          <t>FOTON</t>
        </is>
      </c>
      <c r="FJ1803" s="18" t="inlineStr">
        <is>
          <t>EBUS U12 SC</t>
        </is>
      </c>
      <c r="FK1803" s="18" t="n">
        <v>2022</v>
      </c>
      <c r="FL1803" s="18" t="inlineStr">
        <is>
          <t>B</t>
        </is>
      </c>
      <c r="FM1803" s="18" t="inlineStr">
        <is>
          <t>Santa Rosa</t>
        </is>
      </c>
      <c r="FP1803" t="inlineStr">
        <is>
          <t>B</t>
        </is>
      </c>
    </row>
    <row r="1804">
      <c r="FC1804" t="inlineStr">
        <is>
          <t>Diccionario 2</t>
        </is>
      </c>
      <c r="FD1804" s="15" t="inlineStr">
        <is>
          <t>SFVZ-87</t>
        </is>
      </c>
      <c r="FE1804" s="17" t="inlineStr">
        <is>
          <t>LVCB4L4D7MM003888</t>
        </is>
      </c>
      <c r="FF1804" s="18" t="inlineStr">
        <is>
          <t>M221100297</t>
        </is>
      </c>
      <c r="FG1804" s="18" t="inlineStr">
        <is>
          <t>FOTON</t>
        </is>
      </c>
      <c r="FH1804" s="18" t="inlineStr">
        <is>
          <t>EBUS U12 SC</t>
        </is>
      </c>
      <c r="FI1804" s="18" t="inlineStr">
        <is>
          <t>FOTON</t>
        </is>
      </c>
      <c r="FJ1804" s="18" t="inlineStr">
        <is>
          <t>EBUS U12 SC</t>
        </is>
      </c>
      <c r="FK1804" s="18" t="n">
        <v>2022</v>
      </c>
      <c r="FL1804" s="18" t="inlineStr">
        <is>
          <t>B</t>
        </is>
      </c>
      <c r="FM1804" s="18" t="inlineStr">
        <is>
          <t>Lo Blanco</t>
        </is>
      </c>
      <c r="FP1804" t="inlineStr">
        <is>
          <t>B</t>
        </is>
      </c>
    </row>
    <row r="1805">
      <c r="FC1805" t="inlineStr">
        <is>
          <t>Diccionario 2</t>
        </is>
      </c>
      <c r="FD1805" s="15" t="inlineStr">
        <is>
          <t>SFVZ-94</t>
        </is>
      </c>
      <c r="FE1805" s="17" t="inlineStr">
        <is>
          <t>LVCB4L4D9MM003889</t>
        </is>
      </c>
      <c r="FF1805" s="18" t="inlineStr">
        <is>
          <t>M221100396</t>
        </is>
      </c>
      <c r="FG1805" s="18" t="inlineStr">
        <is>
          <t>FOTON</t>
        </is>
      </c>
      <c r="FH1805" s="18" t="inlineStr">
        <is>
          <t>EBUS U12 SC</t>
        </is>
      </c>
      <c r="FI1805" s="18" t="inlineStr">
        <is>
          <t>FOTON</t>
        </is>
      </c>
      <c r="FJ1805" s="18" t="inlineStr">
        <is>
          <t>EBUS U12 SC</t>
        </is>
      </c>
      <c r="FK1805" s="18" t="n">
        <v>2022</v>
      </c>
      <c r="FL1805" s="18" t="inlineStr">
        <is>
          <t>B</t>
        </is>
      </c>
      <c r="FM1805" s="18" t="inlineStr">
        <is>
          <t>Recoleta</t>
        </is>
      </c>
      <c r="FP1805" t="inlineStr">
        <is>
          <t>B</t>
        </is>
      </c>
    </row>
    <row r="1806">
      <c r="FC1806" t="inlineStr">
        <is>
          <t>Diccionario 2</t>
        </is>
      </c>
      <c r="FD1806" s="15" t="inlineStr">
        <is>
          <t>SFVZ-96</t>
        </is>
      </c>
      <c r="FE1806" s="17" t="inlineStr">
        <is>
          <t>LVCB4L4D5MM003890</t>
        </is>
      </c>
      <c r="FF1806" s="18" t="inlineStr">
        <is>
          <t>M221100305</t>
        </is>
      </c>
      <c r="FG1806" s="18" t="inlineStr">
        <is>
          <t>FOTON</t>
        </is>
      </c>
      <c r="FH1806" s="18" t="inlineStr">
        <is>
          <t>EBUS U12 SC</t>
        </is>
      </c>
      <c r="FI1806" s="18" t="inlineStr">
        <is>
          <t>FOTON</t>
        </is>
      </c>
      <c r="FJ1806" s="18" t="inlineStr">
        <is>
          <t>EBUS U12 SC</t>
        </is>
      </c>
      <c r="FK1806" s="18" t="n">
        <v>2022</v>
      </c>
      <c r="FL1806" s="18" t="inlineStr">
        <is>
          <t>B</t>
        </is>
      </c>
      <c r="FM1806" s="18" t="inlineStr">
        <is>
          <t>Santa Rosa</t>
        </is>
      </c>
      <c r="FP1806" t="inlineStr">
        <is>
          <t>B</t>
        </is>
      </c>
    </row>
    <row r="1807">
      <c r="FC1807" t="inlineStr">
        <is>
          <t>Diccionario 2</t>
        </is>
      </c>
      <c r="FD1807" s="15" t="inlineStr">
        <is>
          <t>SFWB-10</t>
        </is>
      </c>
      <c r="FE1807" s="17" t="inlineStr">
        <is>
          <t>LVCB4L4D9MM003892</t>
        </is>
      </c>
      <c r="FF1807" s="18" t="inlineStr">
        <is>
          <t>M221110101</t>
        </is>
      </c>
      <c r="FG1807" s="18" t="inlineStr">
        <is>
          <t>FOTON</t>
        </is>
      </c>
      <c r="FH1807" s="18" t="inlineStr">
        <is>
          <t>EBUS U12 SC</t>
        </is>
      </c>
      <c r="FI1807" s="18" t="inlineStr">
        <is>
          <t>FOTON</t>
        </is>
      </c>
      <c r="FJ1807" s="18" t="inlineStr">
        <is>
          <t>EBUS U12 SC</t>
        </is>
      </c>
      <c r="FK1807" s="18" t="n">
        <v>2022</v>
      </c>
      <c r="FL1807" s="18" t="inlineStr">
        <is>
          <t>B</t>
        </is>
      </c>
      <c r="FM1807" s="18" t="inlineStr">
        <is>
          <t>Recoleta</t>
        </is>
      </c>
      <c r="FP1807" t="inlineStr">
        <is>
          <t>B</t>
        </is>
      </c>
    </row>
    <row r="1808">
      <c r="FC1808" t="inlineStr">
        <is>
          <t>Diccionario 2</t>
        </is>
      </c>
      <c r="FD1808" s="15" t="inlineStr">
        <is>
          <t>SFWB-14</t>
        </is>
      </c>
      <c r="FE1808" s="17" t="inlineStr">
        <is>
          <t>LVCB4L4D0MM003893</t>
        </is>
      </c>
      <c r="FF1808" s="18" t="inlineStr">
        <is>
          <t>M221100547</t>
        </is>
      </c>
      <c r="FG1808" s="18" t="inlineStr">
        <is>
          <t>FOTON</t>
        </is>
      </c>
      <c r="FH1808" s="18" t="inlineStr">
        <is>
          <t>EBUS U12 SC</t>
        </is>
      </c>
      <c r="FI1808" s="18" t="inlineStr">
        <is>
          <t>FOTON</t>
        </is>
      </c>
      <c r="FJ1808" s="18" t="inlineStr">
        <is>
          <t>EBUS U12 SC</t>
        </is>
      </c>
      <c r="FK1808" s="18" t="n">
        <v>2022</v>
      </c>
      <c r="FL1808" s="18" t="inlineStr">
        <is>
          <t>B</t>
        </is>
      </c>
      <c r="FM1808" s="18" t="inlineStr">
        <is>
          <t>Santa Rosa</t>
        </is>
      </c>
      <c r="FP1808" t="inlineStr">
        <is>
          <t>B</t>
        </is>
      </c>
    </row>
    <row r="1809">
      <c r="FC1809" t="inlineStr">
        <is>
          <t>Diccionario 2</t>
        </is>
      </c>
      <c r="FD1809" s="15" t="inlineStr">
        <is>
          <t>SFWB-16</t>
        </is>
      </c>
      <c r="FE1809" s="17" t="inlineStr">
        <is>
          <t>LVCB4L4D4MM003895</t>
        </is>
      </c>
      <c r="FF1809" s="18" t="inlineStr">
        <is>
          <t>M221100515</t>
        </is>
      </c>
      <c r="FG1809" s="18" t="inlineStr">
        <is>
          <t>FOTON</t>
        </is>
      </c>
      <c r="FH1809" s="18" t="inlineStr">
        <is>
          <t>EBUS U12 SC</t>
        </is>
      </c>
      <c r="FI1809" s="18" t="inlineStr">
        <is>
          <t>FOTON</t>
        </is>
      </c>
      <c r="FJ1809" s="18" t="inlineStr">
        <is>
          <t>EBUS U12 SC</t>
        </is>
      </c>
      <c r="FK1809" s="18" t="n">
        <v>2022</v>
      </c>
      <c r="FL1809" s="18" t="inlineStr">
        <is>
          <t>B</t>
        </is>
      </c>
      <c r="FM1809" s="18" t="inlineStr">
        <is>
          <t>Recoleta</t>
        </is>
      </c>
      <c r="FP1809" t="inlineStr">
        <is>
          <t>B</t>
        </is>
      </c>
    </row>
    <row r="1810">
      <c r="FC1810" t="inlineStr">
        <is>
          <t>Diccionario 2</t>
        </is>
      </c>
      <c r="FD1810" s="15" t="inlineStr">
        <is>
          <t>SFWB-21</t>
        </is>
      </c>
      <c r="FE1810" s="17" t="inlineStr">
        <is>
          <t>LVCB4L4DXMM003898</t>
        </is>
      </c>
      <c r="FF1810" s="18" t="inlineStr">
        <is>
          <t>M221110024</t>
        </is>
      </c>
      <c r="FG1810" s="18" t="inlineStr">
        <is>
          <t>FOTON</t>
        </is>
      </c>
      <c r="FH1810" s="18" t="inlineStr">
        <is>
          <t>EBUS U12 SC</t>
        </is>
      </c>
      <c r="FI1810" s="18" t="inlineStr">
        <is>
          <t>FOTON</t>
        </is>
      </c>
      <c r="FJ1810" s="18" t="inlineStr">
        <is>
          <t>EBUS U12 SC</t>
        </is>
      </c>
      <c r="FK1810" s="18" t="n">
        <v>2022</v>
      </c>
      <c r="FL1810" s="18" t="inlineStr">
        <is>
          <t>B</t>
        </is>
      </c>
      <c r="FM1810" s="18" t="inlineStr">
        <is>
          <t>Santa Rosa</t>
        </is>
      </c>
      <c r="FP1810" t="inlineStr">
        <is>
          <t>B</t>
        </is>
      </c>
    </row>
    <row r="1811">
      <c r="FC1811" t="inlineStr">
        <is>
          <t>Diccionario 2</t>
        </is>
      </c>
      <c r="FD1811" s="15" t="inlineStr">
        <is>
          <t>SFWB-24</t>
        </is>
      </c>
      <c r="FE1811" s="17" t="inlineStr">
        <is>
          <t>LVCB4L4D1MM003899</t>
        </is>
      </c>
      <c r="FF1811" s="18" t="inlineStr">
        <is>
          <t>M221100443</t>
        </is>
      </c>
      <c r="FG1811" s="18" t="inlineStr">
        <is>
          <t>FOTON</t>
        </is>
      </c>
      <c r="FH1811" s="18" t="inlineStr">
        <is>
          <t>EBUS U12 SC</t>
        </is>
      </c>
      <c r="FI1811" s="18" t="inlineStr">
        <is>
          <t>FOTON</t>
        </is>
      </c>
      <c r="FJ1811" s="18" t="inlineStr">
        <is>
          <t>EBUS U12 SC</t>
        </is>
      </c>
      <c r="FK1811" s="18" t="n">
        <v>2022</v>
      </c>
      <c r="FL1811" s="18" t="inlineStr">
        <is>
          <t>B</t>
        </is>
      </c>
      <c r="FM1811" s="18" t="inlineStr">
        <is>
          <t>Santa Rosa</t>
        </is>
      </c>
      <c r="FP1811" t="inlineStr">
        <is>
          <t>B</t>
        </is>
      </c>
    </row>
    <row r="1812">
      <c r="FC1812" t="inlineStr">
        <is>
          <t>Diccionario 2</t>
        </is>
      </c>
      <c r="FD1812" s="15" t="inlineStr">
        <is>
          <t>SFWB-28</t>
        </is>
      </c>
      <c r="FE1812" s="17" t="inlineStr">
        <is>
          <t>LVCB4L4D8MM003902</t>
        </is>
      </c>
      <c r="FF1812" s="18" t="inlineStr">
        <is>
          <t>M221100309</t>
        </is>
      </c>
      <c r="FG1812" s="18" t="inlineStr">
        <is>
          <t>FOTON</t>
        </is>
      </c>
      <c r="FH1812" s="18" t="inlineStr">
        <is>
          <t>EBUS U12 SC</t>
        </is>
      </c>
      <c r="FI1812" s="18" t="inlineStr">
        <is>
          <t>FOTON</t>
        </is>
      </c>
      <c r="FJ1812" s="18" t="inlineStr">
        <is>
          <t>EBUS U12 SC</t>
        </is>
      </c>
      <c r="FK1812" s="18" t="n">
        <v>2022</v>
      </c>
      <c r="FL1812" s="18" t="inlineStr">
        <is>
          <t>B</t>
        </is>
      </c>
      <c r="FM1812" s="18" t="inlineStr">
        <is>
          <t>Santa Rosa</t>
        </is>
      </c>
      <c r="FP1812" t="inlineStr">
        <is>
          <t>B</t>
        </is>
      </c>
    </row>
    <row r="1813">
      <c r="FC1813" t="inlineStr">
        <is>
          <t>Diccionario 2</t>
        </is>
      </c>
      <c r="FD1813" s="15" t="inlineStr">
        <is>
          <t>SFWB-29</t>
        </is>
      </c>
      <c r="FE1813" s="17" t="inlineStr">
        <is>
          <t>LVCB4L4DXMM003903</t>
        </is>
      </c>
      <c r="FF1813" s="18" t="inlineStr">
        <is>
          <t>M221110578</t>
        </is>
      </c>
      <c r="FG1813" s="18" t="inlineStr">
        <is>
          <t>FOTON</t>
        </is>
      </c>
      <c r="FH1813" s="18" t="inlineStr">
        <is>
          <t>EBUS U12 SC</t>
        </is>
      </c>
      <c r="FI1813" s="18" t="inlineStr">
        <is>
          <t>FOTON</t>
        </is>
      </c>
      <c r="FJ1813" s="18" t="inlineStr">
        <is>
          <t>EBUS U12 SC</t>
        </is>
      </c>
      <c r="FK1813" s="18" t="n">
        <v>2022</v>
      </c>
      <c r="FL1813" s="18" t="inlineStr">
        <is>
          <t>B</t>
        </is>
      </c>
      <c r="FM1813" s="18" t="inlineStr">
        <is>
          <t>Santa Rosa</t>
        </is>
      </c>
      <c r="FP1813" t="inlineStr">
        <is>
          <t>B</t>
        </is>
      </c>
    </row>
    <row r="1814">
      <c r="FC1814" t="inlineStr">
        <is>
          <t>Diccionario 2</t>
        </is>
      </c>
      <c r="FD1814" s="15" t="inlineStr">
        <is>
          <t>SFWB-31</t>
        </is>
      </c>
      <c r="FE1814" s="17" t="inlineStr">
        <is>
          <t>LVCB4L4D3MM003905</t>
        </is>
      </c>
      <c r="FF1814" s="18" t="inlineStr">
        <is>
          <t>M221100400</t>
        </is>
      </c>
      <c r="FG1814" s="18" t="inlineStr">
        <is>
          <t>FOTON</t>
        </is>
      </c>
      <c r="FH1814" s="18" t="inlineStr">
        <is>
          <t>EBUS U12 SC</t>
        </is>
      </c>
      <c r="FI1814" s="18" t="inlineStr">
        <is>
          <t>FOTON</t>
        </is>
      </c>
      <c r="FJ1814" s="18" t="inlineStr">
        <is>
          <t>EBUS U12 SC</t>
        </is>
      </c>
      <c r="FK1814" s="18" t="n">
        <v>2022</v>
      </c>
      <c r="FL1814" s="18" t="inlineStr">
        <is>
          <t>B</t>
        </is>
      </c>
      <c r="FM1814" s="18" t="inlineStr">
        <is>
          <t>Recoleta</t>
        </is>
      </c>
      <c r="FP1814" t="inlineStr">
        <is>
          <t>B</t>
        </is>
      </c>
    </row>
    <row r="1815">
      <c r="FC1815" t="inlineStr">
        <is>
          <t>Diccionario 2</t>
        </is>
      </c>
      <c r="FD1815" s="15" t="inlineStr">
        <is>
          <t>SFWB-33</t>
        </is>
      </c>
      <c r="FE1815" s="17" t="inlineStr">
        <is>
          <t>LVCB4L4D5MM003906</t>
        </is>
      </c>
      <c r="FF1815" s="18" t="inlineStr">
        <is>
          <t>M221100516</t>
        </is>
      </c>
      <c r="FG1815" s="18" t="inlineStr">
        <is>
          <t>FOTON</t>
        </is>
      </c>
      <c r="FH1815" s="18" t="inlineStr">
        <is>
          <t>EBUS U12 SC</t>
        </is>
      </c>
      <c r="FI1815" s="18" t="inlineStr">
        <is>
          <t>FOTON</t>
        </is>
      </c>
      <c r="FJ1815" s="18" t="inlineStr">
        <is>
          <t>EBUS U12 SC</t>
        </is>
      </c>
      <c r="FK1815" s="18" t="n">
        <v>2022</v>
      </c>
      <c r="FL1815" s="18" t="inlineStr">
        <is>
          <t>B</t>
        </is>
      </c>
      <c r="FM1815" s="18" t="inlineStr">
        <is>
          <t>Santa Rosa</t>
        </is>
      </c>
      <c r="FP1815" t="inlineStr">
        <is>
          <t>B</t>
        </is>
      </c>
    </row>
    <row r="1816">
      <c r="FC1816" t="inlineStr">
        <is>
          <t>Diccionario 2</t>
        </is>
      </c>
      <c r="FD1816" s="15" t="inlineStr">
        <is>
          <t>SFWB-35</t>
        </is>
      </c>
      <c r="FE1816" s="17" t="inlineStr">
        <is>
          <t>LVCB4L4D7MM003907</t>
        </is>
      </c>
      <c r="FF1816" s="18" t="inlineStr">
        <is>
          <t>M221100306</t>
        </is>
      </c>
      <c r="FG1816" s="18" t="inlineStr">
        <is>
          <t>FOTON</t>
        </is>
      </c>
      <c r="FH1816" s="18" t="inlineStr">
        <is>
          <t>EBUS U12 SC</t>
        </is>
      </c>
      <c r="FI1816" s="18" t="inlineStr">
        <is>
          <t>FOTON</t>
        </is>
      </c>
      <c r="FJ1816" s="18" t="inlineStr">
        <is>
          <t>EBUS U12 SC</t>
        </is>
      </c>
      <c r="FK1816" s="18" t="n">
        <v>2022</v>
      </c>
      <c r="FL1816" s="18" t="inlineStr">
        <is>
          <t>B</t>
        </is>
      </c>
      <c r="FM1816" s="18" t="inlineStr">
        <is>
          <t>Recoleta</t>
        </is>
      </c>
      <c r="FP1816" t="inlineStr">
        <is>
          <t>B</t>
        </is>
      </c>
    </row>
    <row r="1817">
      <c r="FC1817" t="inlineStr">
        <is>
          <t>Diccionario 2</t>
        </is>
      </c>
      <c r="FD1817" s="15" t="inlineStr">
        <is>
          <t>SFWB-42</t>
        </is>
      </c>
      <c r="FE1817" s="17" t="inlineStr">
        <is>
          <t>LVCB4L4D0MM003909</t>
        </is>
      </c>
      <c r="FF1817" s="18" t="inlineStr">
        <is>
          <t>M221110025</t>
        </is>
      </c>
      <c r="FG1817" s="18" t="inlineStr">
        <is>
          <t>FOTON</t>
        </is>
      </c>
      <c r="FH1817" s="18" t="inlineStr">
        <is>
          <t>EBUS U12 SC</t>
        </is>
      </c>
      <c r="FI1817" s="18" t="inlineStr">
        <is>
          <t>FOTON</t>
        </is>
      </c>
      <c r="FJ1817" s="18" t="inlineStr">
        <is>
          <t>EBUS U12 SC</t>
        </is>
      </c>
      <c r="FK1817" s="18" t="n">
        <v>2022</v>
      </c>
      <c r="FL1817" s="18" t="inlineStr">
        <is>
          <t>B</t>
        </is>
      </c>
      <c r="FM1817" s="18" t="inlineStr">
        <is>
          <t>Santa Rosa</t>
        </is>
      </c>
      <c r="FP1817" t="inlineStr">
        <is>
          <t>B</t>
        </is>
      </c>
    </row>
    <row r="1818">
      <c r="FC1818" t="inlineStr">
        <is>
          <t>Diccionario 2</t>
        </is>
      </c>
      <c r="FD1818" s="15" t="inlineStr">
        <is>
          <t>SFWB-44</t>
        </is>
      </c>
      <c r="FE1818" s="17" t="inlineStr">
        <is>
          <t>LVCB4L4D9MM003911</t>
        </is>
      </c>
      <c r="FF1818" s="18" t="inlineStr">
        <is>
          <t>M221100549</t>
        </is>
      </c>
      <c r="FG1818" s="18" t="inlineStr">
        <is>
          <t>FOTON</t>
        </is>
      </c>
      <c r="FH1818" s="18" t="inlineStr">
        <is>
          <t>EBUS U12 SC</t>
        </is>
      </c>
      <c r="FI1818" s="18" t="inlineStr">
        <is>
          <t>FOTON</t>
        </is>
      </c>
      <c r="FJ1818" s="18" t="inlineStr">
        <is>
          <t>EBUS U12 SC</t>
        </is>
      </c>
      <c r="FK1818" s="18" t="n">
        <v>2022</v>
      </c>
      <c r="FL1818" s="18" t="inlineStr">
        <is>
          <t>B</t>
        </is>
      </c>
      <c r="FM1818" s="18" t="inlineStr">
        <is>
          <t>Santa Rosa</t>
        </is>
      </c>
      <c r="FP1818" t="inlineStr">
        <is>
          <t>B</t>
        </is>
      </c>
    </row>
    <row r="1819">
      <c r="FC1819" t="inlineStr">
        <is>
          <t>Diccionario 2</t>
        </is>
      </c>
      <c r="FD1819" s="15" t="inlineStr">
        <is>
          <t>SFWB-46</t>
        </is>
      </c>
      <c r="FE1819" s="17" t="inlineStr">
        <is>
          <t>LVCB4L4D3MM003631</t>
        </is>
      </c>
      <c r="FF1819" s="18" t="inlineStr">
        <is>
          <t>M221100523</t>
        </is>
      </c>
      <c r="FG1819" s="18" t="inlineStr">
        <is>
          <t>FOTON</t>
        </is>
      </c>
      <c r="FH1819" s="18" t="inlineStr">
        <is>
          <t>EBUS U12 SC</t>
        </is>
      </c>
      <c r="FI1819" s="18" t="inlineStr">
        <is>
          <t>FOTON</t>
        </is>
      </c>
      <c r="FJ1819" s="18" t="inlineStr">
        <is>
          <t>EBUS U12 SC</t>
        </is>
      </c>
      <c r="FK1819" s="18" t="n">
        <v>2022</v>
      </c>
      <c r="FL1819" s="18" t="inlineStr">
        <is>
          <t>B</t>
        </is>
      </c>
      <c r="FM1819" s="18" t="inlineStr">
        <is>
          <t>Santa Rosa</t>
        </is>
      </c>
      <c r="FP1819" t="inlineStr">
        <is>
          <t>B</t>
        </is>
      </c>
    </row>
    <row r="1820">
      <c r="FC1820" t="inlineStr">
        <is>
          <t>Diccionario 2</t>
        </is>
      </c>
      <c r="FD1820" s="15" t="inlineStr">
        <is>
          <t>SFWB-48</t>
        </is>
      </c>
      <c r="FE1820" s="17" t="inlineStr">
        <is>
          <t>LVCB4L4D8MM003916</t>
        </is>
      </c>
      <c r="FF1820" s="18" t="inlineStr">
        <is>
          <t>M221100441</t>
        </is>
      </c>
      <c r="FG1820" s="18" t="inlineStr">
        <is>
          <t>FOTON</t>
        </is>
      </c>
      <c r="FH1820" s="18" t="inlineStr">
        <is>
          <t>EBUS U12 SC</t>
        </is>
      </c>
      <c r="FI1820" s="18" t="inlineStr">
        <is>
          <t>FOTON</t>
        </is>
      </c>
      <c r="FJ1820" s="18" t="inlineStr">
        <is>
          <t>EBUS U12 SC</t>
        </is>
      </c>
      <c r="FK1820" s="18" t="n">
        <v>2022</v>
      </c>
      <c r="FL1820" s="18" t="inlineStr">
        <is>
          <t>B</t>
        </is>
      </c>
      <c r="FM1820" s="18" t="inlineStr">
        <is>
          <t>Santa Rosa</t>
        </is>
      </c>
      <c r="FP1820" t="inlineStr">
        <is>
          <t>B</t>
        </is>
      </c>
    </row>
    <row r="1821">
      <c r="FC1821" t="inlineStr">
        <is>
          <t>Diccionario 2</t>
        </is>
      </c>
      <c r="FD1821" s="15" t="inlineStr">
        <is>
          <t>SFWB-50</t>
        </is>
      </c>
      <c r="FE1821" s="17" t="inlineStr">
        <is>
          <t>LVCB4L4D3MM003919</t>
        </is>
      </c>
      <c r="FF1821" s="18" t="inlineStr">
        <is>
          <t>M221110656</t>
        </is>
      </c>
      <c r="FG1821" s="18" t="inlineStr">
        <is>
          <t>FOTON</t>
        </is>
      </c>
      <c r="FH1821" s="18" t="inlineStr">
        <is>
          <t>EBUS U12 SC</t>
        </is>
      </c>
      <c r="FI1821" s="18" t="inlineStr">
        <is>
          <t>FOTON</t>
        </is>
      </c>
      <c r="FJ1821" s="18" t="inlineStr">
        <is>
          <t>EBUS U12 SC</t>
        </is>
      </c>
      <c r="FK1821" s="18" t="n">
        <v>2022</v>
      </c>
      <c r="FL1821" s="18" t="inlineStr">
        <is>
          <t>B</t>
        </is>
      </c>
      <c r="FM1821" s="18" t="inlineStr">
        <is>
          <t>Recoleta</t>
        </is>
      </c>
      <c r="FP1821" t="inlineStr">
        <is>
          <t>B</t>
        </is>
      </c>
    </row>
    <row r="1822">
      <c r="FC1822" t="inlineStr">
        <is>
          <t>Diccionario 2</t>
        </is>
      </c>
      <c r="FD1822" s="15" t="inlineStr">
        <is>
          <t>SFWB-51</t>
        </is>
      </c>
      <c r="FE1822" s="17" t="inlineStr">
        <is>
          <t>LVCB4L4D1MM003921</t>
        </is>
      </c>
      <c r="FF1822" s="18" t="inlineStr">
        <is>
          <t>M221100522</t>
        </is>
      </c>
      <c r="FG1822" s="18" t="inlineStr">
        <is>
          <t>FOTON</t>
        </is>
      </c>
      <c r="FH1822" s="18" t="inlineStr">
        <is>
          <t>EBUS U12 SC</t>
        </is>
      </c>
      <c r="FI1822" s="18" t="inlineStr">
        <is>
          <t>FOTON</t>
        </is>
      </c>
      <c r="FJ1822" s="18" t="inlineStr">
        <is>
          <t>EBUS U12 SC</t>
        </is>
      </c>
      <c r="FK1822" s="18" t="n">
        <v>2022</v>
      </c>
      <c r="FL1822" s="18" t="inlineStr">
        <is>
          <t>B</t>
        </is>
      </c>
      <c r="FM1822" s="18" t="inlineStr">
        <is>
          <t>Santa Rosa</t>
        </is>
      </c>
      <c r="FP1822" t="inlineStr">
        <is>
          <t>B</t>
        </is>
      </c>
    </row>
    <row r="1823">
      <c r="FC1823" t="inlineStr">
        <is>
          <t>Diccionario 2</t>
        </is>
      </c>
      <c r="FD1823" s="15" t="inlineStr">
        <is>
          <t>SFWB-58</t>
        </is>
      </c>
      <c r="FE1823" s="17" t="inlineStr">
        <is>
          <t>LVCB4L4D3MM003922</t>
        </is>
      </c>
      <c r="FF1823" s="18" t="inlineStr">
        <is>
          <t>M221100487</t>
        </is>
      </c>
      <c r="FG1823" s="18" t="inlineStr">
        <is>
          <t>FOTON</t>
        </is>
      </c>
      <c r="FH1823" s="18" t="inlineStr">
        <is>
          <t>EBUS U12 SC</t>
        </is>
      </c>
      <c r="FI1823" s="18" t="inlineStr">
        <is>
          <t>FOTON</t>
        </is>
      </c>
      <c r="FJ1823" s="18" t="inlineStr">
        <is>
          <t>EBUS U12 SC</t>
        </is>
      </c>
      <c r="FK1823" s="18" t="n">
        <v>2022</v>
      </c>
      <c r="FL1823" s="18" t="inlineStr">
        <is>
          <t>B</t>
        </is>
      </c>
      <c r="FM1823" s="18" t="inlineStr">
        <is>
          <t>Recoleta</t>
        </is>
      </c>
      <c r="FP1823" t="inlineStr">
        <is>
          <t>B</t>
        </is>
      </c>
    </row>
    <row r="1824">
      <c r="FC1824" t="inlineStr">
        <is>
          <t>Diccionario 2</t>
        </is>
      </c>
      <c r="FD1824" s="15" t="inlineStr">
        <is>
          <t>SFWB-61</t>
        </is>
      </c>
      <c r="FE1824" s="17" t="inlineStr">
        <is>
          <t>LVCB4L4D2MM003927</t>
        </is>
      </c>
      <c r="FF1824" s="18" t="inlineStr">
        <is>
          <t>M221100560</t>
        </is>
      </c>
      <c r="FG1824" s="18" t="inlineStr">
        <is>
          <t>FOTON</t>
        </is>
      </c>
      <c r="FH1824" s="18" t="inlineStr">
        <is>
          <t>EBUS U12 SC</t>
        </is>
      </c>
      <c r="FI1824" s="18" t="inlineStr">
        <is>
          <t>FOTON</t>
        </is>
      </c>
      <c r="FJ1824" s="18" t="inlineStr">
        <is>
          <t>EBUS U12 SC</t>
        </is>
      </c>
      <c r="FK1824" s="18" t="n">
        <v>2022</v>
      </c>
      <c r="FL1824" s="18" t="inlineStr">
        <is>
          <t>B</t>
        </is>
      </c>
      <c r="FM1824" s="18" t="inlineStr">
        <is>
          <t>Santa Rosa</t>
        </is>
      </c>
      <c r="FP1824" t="inlineStr">
        <is>
          <t>B</t>
        </is>
      </c>
    </row>
    <row r="1825">
      <c r="FC1825" t="inlineStr">
        <is>
          <t>Diccionario 2</t>
        </is>
      </c>
      <c r="FD1825" s="15" t="inlineStr">
        <is>
          <t>SFWB-64</t>
        </is>
      </c>
      <c r="FE1825" s="17" t="inlineStr">
        <is>
          <t>LVCB4L4D4MM003928</t>
        </is>
      </c>
      <c r="FF1825" s="18" t="inlineStr">
        <is>
          <t>M221110528</t>
        </is>
      </c>
      <c r="FG1825" s="18" t="inlineStr">
        <is>
          <t>FOTON</t>
        </is>
      </c>
      <c r="FH1825" s="18" t="inlineStr">
        <is>
          <t>EBUS U12 SC</t>
        </is>
      </c>
      <c r="FI1825" s="18" t="inlineStr">
        <is>
          <t>FOTON</t>
        </is>
      </c>
      <c r="FJ1825" s="18" t="inlineStr">
        <is>
          <t>EBUS U12 SC</t>
        </is>
      </c>
      <c r="FK1825" s="18" t="n">
        <v>2022</v>
      </c>
      <c r="FL1825" s="18" t="inlineStr">
        <is>
          <t>B</t>
        </is>
      </c>
      <c r="FM1825" s="18" t="inlineStr">
        <is>
          <t>Santa Rosa</t>
        </is>
      </c>
      <c r="FP1825" t="inlineStr">
        <is>
          <t>B</t>
        </is>
      </c>
    </row>
    <row r="1826">
      <c r="FC1826" t="inlineStr">
        <is>
          <t>Diccionario 2</t>
        </is>
      </c>
      <c r="FD1826" s="15" t="inlineStr">
        <is>
          <t>SFWB-68</t>
        </is>
      </c>
      <c r="FE1826" s="17" t="inlineStr">
        <is>
          <t>LVCB4L4D6MM003929</t>
        </is>
      </c>
      <c r="FF1826" s="18" t="inlineStr">
        <is>
          <t>M221100439</t>
        </is>
      </c>
      <c r="FG1826" s="18" t="inlineStr">
        <is>
          <t>FOTON</t>
        </is>
      </c>
      <c r="FH1826" s="18" t="inlineStr">
        <is>
          <t>EBUS U12 SC</t>
        </is>
      </c>
      <c r="FI1826" s="18" t="inlineStr">
        <is>
          <t>FOTON</t>
        </is>
      </c>
      <c r="FJ1826" s="18" t="inlineStr">
        <is>
          <t>EBUS U12 SC</t>
        </is>
      </c>
      <c r="FK1826" s="18" t="n">
        <v>2022</v>
      </c>
      <c r="FL1826" s="18" t="inlineStr">
        <is>
          <t>B</t>
        </is>
      </c>
      <c r="FM1826" s="18" t="inlineStr">
        <is>
          <t>Recoleta</t>
        </is>
      </c>
      <c r="FP1826" t="inlineStr">
        <is>
          <t>B</t>
        </is>
      </c>
    </row>
    <row r="1827">
      <c r="FC1827" t="inlineStr">
        <is>
          <t>Diccionario 2</t>
        </is>
      </c>
      <c r="FD1827" s="15" t="inlineStr">
        <is>
          <t>SFWB-72</t>
        </is>
      </c>
      <c r="FE1827" s="17" t="inlineStr">
        <is>
          <t>LVCB4L4D2MM003930</t>
        </is>
      </c>
      <c r="FF1827" s="18" t="inlineStr">
        <is>
          <t>M221100374</t>
        </is>
      </c>
      <c r="FG1827" s="18" t="inlineStr">
        <is>
          <t>FOTON</t>
        </is>
      </c>
      <c r="FH1827" s="18" t="inlineStr">
        <is>
          <t>EBUS U12 SC</t>
        </is>
      </c>
      <c r="FI1827" s="18" t="inlineStr">
        <is>
          <t>FOTON</t>
        </is>
      </c>
      <c r="FJ1827" s="18" t="inlineStr">
        <is>
          <t>EBUS U12 SC</t>
        </is>
      </c>
      <c r="FK1827" s="18" t="n">
        <v>2022</v>
      </c>
      <c r="FL1827" s="18" t="inlineStr">
        <is>
          <t>B</t>
        </is>
      </c>
      <c r="FM1827" s="18" t="inlineStr">
        <is>
          <t>Santa Rosa</t>
        </is>
      </c>
      <c r="FP1827" t="inlineStr">
        <is>
          <t>B</t>
        </is>
      </c>
    </row>
    <row r="1828">
      <c r="FC1828" t="inlineStr">
        <is>
          <t>Diccionario 2</t>
        </is>
      </c>
      <c r="FD1828" s="15" t="inlineStr">
        <is>
          <t>SFWB-73</t>
        </is>
      </c>
      <c r="FE1828" s="17" t="inlineStr">
        <is>
          <t>LVCB4L4D4MM003931</t>
        </is>
      </c>
      <c r="FF1828" s="18" t="inlineStr">
        <is>
          <t>M221100407</t>
        </is>
      </c>
      <c r="FG1828" s="18" t="inlineStr">
        <is>
          <t>FOTON</t>
        </is>
      </c>
      <c r="FH1828" s="18" t="inlineStr">
        <is>
          <t>EBUS U12 SC</t>
        </is>
      </c>
      <c r="FI1828" s="18" t="inlineStr">
        <is>
          <t>FOTON</t>
        </is>
      </c>
      <c r="FJ1828" s="18" t="inlineStr">
        <is>
          <t>EBUS U12 SC</t>
        </is>
      </c>
      <c r="FK1828" s="18" t="n">
        <v>2022</v>
      </c>
      <c r="FL1828" s="18" t="inlineStr">
        <is>
          <t>B</t>
        </is>
      </c>
      <c r="FM1828" s="18" t="inlineStr">
        <is>
          <t>Santa Rosa</t>
        </is>
      </c>
      <c r="FP1828" t="inlineStr">
        <is>
          <t>B</t>
        </is>
      </c>
    </row>
    <row r="1829">
      <c r="FC1829" t="inlineStr">
        <is>
          <t>Diccionario 2</t>
        </is>
      </c>
      <c r="FD1829" s="15" t="inlineStr">
        <is>
          <t>SFWB-75</t>
        </is>
      </c>
      <c r="FE1829" s="17" t="inlineStr">
        <is>
          <t>LVCB4L4D8MM003933</t>
        </is>
      </c>
      <c r="FF1829" s="18" t="inlineStr">
        <is>
          <t>M221110652</t>
        </is>
      </c>
      <c r="FG1829" s="18" t="inlineStr">
        <is>
          <t>FOTON</t>
        </is>
      </c>
      <c r="FH1829" s="18" t="inlineStr">
        <is>
          <t>EBUS U12 SC</t>
        </is>
      </c>
      <c r="FI1829" s="18" t="inlineStr">
        <is>
          <t>FOTON</t>
        </is>
      </c>
      <c r="FJ1829" s="18" t="inlineStr">
        <is>
          <t>EBUS U12 SC</t>
        </is>
      </c>
      <c r="FK1829" s="18" t="n">
        <v>2022</v>
      </c>
      <c r="FL1829" s="18" t="inlineStr">
        <is>
          <t>B</t>
        </is>
      </c>
      <c r="FM1829" s="18" t="inlineStr">
        <is>
          <t>Santa Rosa</t>
        </is>
      </c>
      <c r="FP1829" t="inlineStr">
        <is>
          <t>B</t>
        </is>
      </c>
    </row>
    <row r="1830">
      <c r="FC1830" t="inlineStr">
        <is>
          <t>Diccionario 2</t>
        </is>
      </c>
      <c r="FD1830" s="15" t="inlineStr">
        <is>
          <t>SFWB-76</t>
        </is>
      </c>
      <c r="FE1830" s="17" t="inlineStr">
        <is>
          <t>LVCB4L4D3MM003936</t>
        </is>
      </c>
      <c r="FF1830" s="18" t="inlineStr">
        <is>
          <t>M221110487</t>
        </is>
      </c>
      <c r="FG1830" s="18" t="inlineStr">
        <is>
          <t>FOTON</t>
        </is>
      </c>
      <c r="FH1830" s="18" t="inlineStr">
        <is>
          <t>EBUS U12 SC</t>
        </is>
      </c>
      <c r="FI1830" s="18" t="inlineStr">
        <is>
          <t>FOTON</t>
        </is>
      </c>
      <c r="FJ1830" s="18" t="inlineStr">
        <is>
          <t>EBUS U12 SC</t>
        </is>
      </c>
      <c r="FK1830" s="18" t="n">
        <v>2022</v>
      </c>
      <c r="FL1830" s="18" t="inlineStr">
        <is>
          <t>B</t>
        </is>
      </c>
      <c r="FM1830" s="18" t="inlineStr">
        <is>
          <t>Santa Rosa</t>
        </is>
      </c>
      <c r="FP1830" t="inlineStr">
        <is>
          <t>B</t>
        </is>
      </c>
    </row>
    <row r="1831">
      <c r="FC1831" t="inlineStr">
        <is>
          <t>Diccionario 2</t>
        </is>
      </c>
      <c r="FD1831" s="15" t="inlineStr">
        <is>
          <t>SFWB-77</t>
        </is>
      </c>
      <c r="FE1831" s="17" t="inlineStr">
        <is>
          <t>LVCB4L4D5MM003937</t>
        </is>
      </c>
      <c r="FF1831" s="18" t="inlineStr">
        <is>
          <t>M221120003</t>
        </is>
      </c>
      <c r="FG1831" s="18" t="inlineStr">
        <is>
          <t>FOTON</t>
        </is>
      </c>
      <c r="FH1831" s="18" t="inlineStr">
        <is>
          <t>EBUS U12 SC</t>
        </is>
      </c>
      <c r="FI1831" s="18" t="inlineStr">
        <is>
          <t>FOTON</t>
        </is>
      </c>
      <c r="FJ1831" s="18" t="inlineStr">
        <is>
          <t>EBUS U12 SC</t>
        </is>
      </c>
      <c r="FK1831" s="18" t="n">
        <v>2022</v>
      </c>
      <c r="FL1831" s="18" t="inlineStr">
        <is>
          <t>B</t>
        </is>
      </c>
      <c r="FM1831" s="18" t="inlineStr">
        <is>
          <t>Santa Rosa</t>
        </is>
      </c>
      <c r="FP1831" t="inlineStr">
        <is>
          <t>B</t>
        </is>
      </c>
    </row>
    <row r="1832">
      <c r="FC1832" t="inlineStr">
        <is>
          <t>Diccionario 2</t>
        </is>
      </c>
      <c r="FD1832" s="15" t="inlineStr">
        <is>
          <t>SFWB-82</t>
        </is>
      </c>
      <c r="FE1832" s="17" t="inlineStr">
        <is>
          <t>LVCB4L4D7MM003938</t>
        </is>
      </c>
      <c r="FF1832" s="18" t="inlineStr">
        <is>
          <t>M221100406</t>
        </is>
      </c>
      <c r="FG1832" s="18" t="inlineStr">
        <is>
          <t>FOTON</t>
        </is>
      </c>
      <c r="FH1832" s="18" t="inlineStr">
        <is>
          <t>EBUS U12 SC</t>
        </is>
      </c>
      <c r="FI1832" s="18" t="inlineStr">
        <is>
          <t>FOTON</t>
        </is>
      </c>
      <c r="FJ1832" s="18" t="inlineStr">
        <is>
          <t>EBUS U12 SC</t>
        </is>
      </c>
      <c r="FK1832" s="18" t="n">
        <v>2022</v>
      </c>
      <c r="FL1832" s="18" t="inlineStr">
        <is>
          <t>B</t>
        </is>
      </c>
      <c r="FM1832" s="18" t="inlineStr">
        <is>
          <t>Santa Rosa</t>
        </is>
      </c>
      <c r="FP1832" t="inlineStr">
        <is>
          <t>B</t>
        </is>
      </c>
    </row>
    <row r="1833">
      <c r="FC1833" t="inlineStr">
        <is>
          <t>Diccionario 2</t>
        </is>
      </c>
      <c r="FD1833" s="15" t="inlineStr">
        <is>
          <t>SFWB-84</t>
        </is>
      </c>
      <c r="FE1833" s="17" t="inlineStr">
        <is>
          <t>LVCB4L4D9MM003939</t>
        </is>
      </c>
      <c r="FF1833" s="18" t="inlineStr">
        <is>
          <t>M221100435</t>
        </is>
      </c>
      <c r="FG1833" s="18" t="inlineStr">
        <is>
          <t>FOTON</t>
        </is>
      </c>
      <c r="FH1833" s="18" t="inlineStr">
        <is>
          <t>EBUS U12 SC</t>
        </is>
      </c>
      <c r="FI1833" s="18" t="inlineStr">
        <is>
          <t>FOTON</t>
        </is>
      </c>
      <c r="FJ1833" s="18" t="inlineStr">
        <is>
          <t>EBUS U12 SC</t>
        </is>
      </c>
      <c r="FK1833" s="18" t="n">
        <v>2022</v>
      </c>
      <c r="FL1833" s="18" t="inlineStr">
        <is>
          <t>B</t>
        </is>
      </c>
      <c r="FM1833" s="18" t="inlineStr">
        <is>
          <t>Recoleta</t>
        </is>
      </c>
      <c r="FP1833" t="inlineStr">
        <is>
          <t>B</t>
        </is>
      </c>
    </row>
    <row r="1834">
      <c r="FC1834" t="inlineStr">
        <is>
          <t>Diccionario 2</t>
        </is>
      </c>
      <c r="FD1834" s="15" t="inlineStr">
        <is>
          <t>SFWB-85</t>
        </is>
      </c>
      <c r="FE1834" s="17" t="inlineStr">
        <is>
          <t>LVCB4L4D5MM003940</t>
        </is>
      </c>
      <c r="FF1834" s="18" t="inlineStr">
        <is>
          <t>M221100409</t>
        </is>
      </c>
      <c r="FG1834" s="18" t="inlineStr">
        <is>
          <t>FOTON</t>
        </is>
      </c>
      <c r="FH1834" s="18" t="inlineStr">
        <is>
          <t>EBUS U12 SC</t>
        </is>
      </c>
      <c r="FI1834" s="18" t="inlineStr">
        <is>
          <t>FOTON</t>
        </is>
      </c>
      <c r="FJ1834" s="18" t="inlineStr">
        <is>
          <t>EBUS U12 SC</t>
        </is>
      </c>
      <c r="FK1834" s="18" t="n">
        <v>2022</v>
      </c>
      <c r="FL1834" s="18" t="inlineStr">
        <is>
          <t>B</t>
        </is>
      </c>
      <c r="FM1834" s="18" t="inlineStr">
        <is>
          <t>Santa Rosa</t>
        </is>
      </c>
      <c r="FP1834" t="inlineStr">
        <is>
          <t>B</t>
        </is>
      </c>
    </row>
    <row r="1835">
      <c r="FC1835" t="inlineStr">
        <is>
          <t>Diccionario 2</t>
        </is>
      </c>
      <c r="FD1835" s="15" t="inlineStr">
        <is>
          <t>SFWB-87</t>
        </is>
      </c>
      <c r="FE1835" s="17" t="inlineStr">
        <is>
          <t>LVCB4L4D7MM003941</t>
        </is>
      </c>
      <c r="FF1835" s="18" t="inlineStr">
        <is>
          <t>M221110529</t>
        </is>
      </c>
      <c r="FG1835" s="18" t="inlineStr">
        <is>
          <t>FOTON</t>
        </is>
      </c>
      <c r="FH1835" s="18" t="inlineStr">
        <is>
          <t>EBUS U12 SC</t>
        </is>
      </c>
      <c r="FI1835" s="18" t="inlineStr">
        <is>
          <t>FOTON</t>
        </is>
      </c>
      <c r="FJ1835" s="18" t="inlineStr">
        <is>
          <t>EBUS U12 SC</t>
        </is>
      </c>
      <c r="FK1835" s="18" t="n">
        <v>2022</v>
      </c>
      <c r="FL1835" s="18" t="inlineStr">
        <is>
          <t>B</t>
        </is>
      </c>
      <c r="FM1835" s="18" t="inlineStr">
        <is>
          <t>Santa Rosa</t>
        </is>
      </c>
      <c r="FP1835" t="inlineStr">
        <is>
          <t>B</t>
        </is>
      </c>
    </row>
    <row r="1836">
      <c r="FC1836" t="inlineStr">
        <is>
          <t>Diccionario 2</t>
        </is>
      </c>
      <c r="FD1836" s="15" t="inlineStr">
        <is>
          <t>SFWB-89</t>
        </is>
      </c>
      <c r="FE1836" s="17" t="inlineStr">
        <is>
          <t>LVCB4L4D0MM003943</t>
        </is>
      </c>
      <c r="FF1836" s="18" t="inlineStr">
        <is>
          <t>M221100548</t>
        </is>
      </c>
      <c r="FG1836" s="18" t="inlineStr">
        <is>
          <t>FOTON</t>
        </is>
      </c>
      <c r="FH1836" s="18" t="inlineStr">
        <is>
          <t>EBUS U12 SC</t>
        </is>
      </c>
      <c r="FI1836" s="18" t="inlineStr">
        <is>
          <t>FOTON</t>
        </is>
      </c>
      <c r="FJ1836" s="18" t="inlineStr">
        <is>
          <t>EBUS U12 SC</t>
        </is>
      </c>
      <c r="FK1836" s="18" t="n">
        <v>2022</v>
      </c>
      <c r="FL1836" s="18" t="inlineStr">
        <is>
          <t>B</t>
        </is>
      </c>
      <c r="FM1836" s="18" t="inlineStr">
        <is>
          <t>Recoleta</t>
        </is>
      </c>
      <c r="FP1836" t="inlineStr">
        <is>
          <t>B</t>
        </is>
      </c>
    </row>
    <row r="1837">
      <c r="FC1837" t="inlineStr">
        <is>
          <t>Diccionario 2</t>
        </is>
      </c>
      <c r="FD1837" s="15" t="inlineStr">
        <is>
          <t>SFWB-90</t>
        </is>
      </c>
      <c r="FE1837" s="17" t="inlineStr">
        <is>
          <t>LVCB4L4D8MM003947</t>
        </is>
      </c>
      <c r="FF1837" s="18" t="inlineStr">
        <is>
          <t>M221110648</t>
        </is>
      </c>
      <c r="FG1837" s="18" t="inlineStr">
        <is>
          <t>FOTON</t>
        </is>
      </c>
      <c r="FH1837" s="18" t="inlineStr">
        <is>
          <t>EBUS U12 SC</t>
        </is>
      </c>
      <c r="FI1837" s="18" t="inlineStr">
        <is>
          <t>FOTON</t>
        </is>
      </c>
      <c r="FJ1837" s="18" t="inlineStr">
        <is>
          <t>EBUS U12 SC</t>
        </is>
      </c>
      <c r="FK1837" s="18" t="n">
        <v>2022</v>
      </c>
      <c r="FL1837" s="18" t="inlineStr">
        <is>
          <t>B</t>
        </is>
      </c>
      <c r="FM1837" s="18" t="inlineStr">
        <is>
          <t>Santa Rosa</t>
        </is>
      </c>
      <c r="FP1837" t="inlineStr">
        <is>
          <t>B</t>
        </is>
      </c>
    </row>
    <row r="1838">
      <c r="FC1838" t="inlineStr">
        <is>
          <t>Diccionario 2</t>
        </is>
      </c>
      <c r="FD1838" s="15" t="inlineStr">
        <is>
          <t>SFWB-95</t>
        </is>
      </c>
      <c r="FE1838" s="17" t="inlineStr">
        <is>
          <t>LVCB4L4D8MM003950</t>
        </is>
      </c>
      <c r="FF1838" s="18" t="inlineStr">
        <is>
          <t>M221100399</t>
        </is>
      </c>
      <c r="FG1838" s="18" t="inlineStr">
        <is>
          <t>FOTON</t>
        </is>
      </c>
      <c r="FH1838" s="18" t="inlineStr">
        <is>
          <t>EBUS U12 SC</t>
        </is>
      </c>
      <c r="FI1838" s="18" t="inlineStr">
        <is>
          <t>FOTON</t>
        </is>
      </c>
      <c r="FJ1838" s="18" t="inlineStr">
        <is>
          <t>EBUS U12 SC</t>
        </is>
      </c>
      <c r="FK1838" s="18" t="n">
        <v>2022</v>
      </c>
      <c r="FL1838" s="18" t="inlineStr">
        <is>
          <t>B</t>
        </is>
      </c>
      <c r="FM1838" s="18" t="inlineStr">
        <is>
          <t>Santa Rosa</t>
        </is>
      </c>
      <c r="FP1838" t="inlineStr">
        <is>
          <t>B</t>
        </is>
      </c>
    </row>
    <row r="1839">
      <c r="FC1839" t="inlineStr">
        <is>
          <t>Diccionario 2</t>
        </is>
      </c>
      <c r="FD1839" s="15" t="inlineStr">
        <is>
          <t>SFWB-96</t>
        </is>
      </c>
      <c r="FE1839" s="17" t="inlineStr">
        <is>
          <t>LVCB4L4DXMM003951</t>
        </is>
      </c>
      <c r="FF1839" s="18" t="inlineStr">
        <is>
          <t>M221110650</t>
        </is>
      </c>
      <c r="FG1839" s="18" t="inlineStr">
        <is>
          <t>FOTON</t>
        </is>
      </c>
      <c r="FH1839" s="18" t="inlineStr">
        <is>
          <t>EBUS U12 SC</t>
        </is>
      </c>
      <c r="FI1839" s="18" t="inlineStr">
        <is>
          <t>FOTON</t>
        </is>
      </c>
      <c r="FJ1839" s="18" t="inlineStr">
        <is>
          <t>EBUS U12 SC</t>
        </is>
      </c>
      <c r="FK1839" s="18" t="n">
        <v>2022</v>
      </c>
      <c r="FL1839" s="18" t="inlineStr">
        <is>
          <t>B</t>
        </is>
      </c>
      <c r="FM1839" s="18" t="inlineStr">
        <is>
          <t>Santa Rosa</t>
        </is>
      </c>
      <c r="FP1839" t="inlineStr">
        <is>
          <t>B</t>
        </is>
      </c>
    </row>
    <row r="1840">
      <c r="FC1840" t="inlineStr">
        <is>
          <t>Diccionario 2</t>
        </is>
      </c>
      <c r="FD1840" s="15" t="inlineStr">
        <is>
          <t>SFWB-98</t>
        </is>
      </c>
      <c r="FE1840" s="17" t="inlineStr">
        <is>
          <t>LVCB4L4D1MM003952</t>
        </is>
      </c>
      <c r="FF1840" s="18" t="inlineStr">
        <is>
          <t>M221100302</t>
        </is>
      </c>
      <c r="FG1840" s="18" t="inlineStr">
        <is>
          <t>FOTON</t>
        </is>
      </c>
      <c r="FH1840" s="18" t="inlineStr">
        <is>
          <t>EBUS U12 SC</t>
        </is>
      </c>
      <c r="FI1840" s="18" t="inlineStr">
        <is>
          <t>FOTON</t>
        </is>
      </c>
      <c r="FJ1840" s="18" t="inlineStr">
        <is>
          <t>EBUS U12 SC</t>
        </is>
      </c>
      <c r="FK1840" s="18" t="n">
        <v>2022</v>
      </c>
      <c r="FL1840" s="18" t="inlineStr">
        <is>
          <t>B</t>
        </is>
      </c>
      <c r="FM1840" s="18" t="inlineStr">
        <is>
          <t>Santa Rosa</t>
        </is>
      </c>
      <c r="FP1840" t="inlineStr">
        <is>
          <t>B</t>
        </is>
      </c>
    </row>
    <row r="1841">
      <c r="FC1841" t="inlineStr">
        <is>
          <t>Diccionario 2</t>
        </is>
      </c>
      <c r="FD1841" s="15" t="inlineStr">
        <is>
          <t>SFWZ-10</t>
        </is>
      </c>
      <c r="FE1841" s="17" t="inlineStr">
        <is>
          <t>LVCB4L4D3MM003953</t>
        </is>
      </c>
      <c r="FF1841" s="18" t="inlineStr">
        <is>
          <t>M221100373</t>
        </is>
      </c>
      <c r="FG1841" s="18" t="inlineStr">
        <is>
          <t>FOTON</t>
        </is>
      </c>
      <c r="FH1841" s="18" t="inlineStr">
        <is>
          <t>EBUS U12 SC</t>
        </is>
      </c>
      <c r="FI1841" s="18" t="inlineStr">
        <is>
          <t>FOTON</t>
        </is>
      </c>
      <c r="FJ1841" s="18" t="inlineStr">
        <is>
          <t>EBUS U12 SC</t>
        </is>
      </c>
      <c r="FK1841" s="18" t="n">
        <v>2022</v>
      </c>
      <c r="FL1841" s="18" t="inlineStr">
        <is>
          <t>B</t>
        </is>
      </c>
      <c r="FM1841" s="18" t="inlineStr">
        <is>
          <t>Santa Rosa</t>
        </is>
      </c>
      <c r="FP1841" t="inlineStr">
        <is>
          <t>B</t>
        </is>
      </c>
    </row>
    <row r="1842">
      <c r="FC1842" t="inlineStr">
        <is>
          <t>Diccionario 2</t>
        </is>
      </c>
      <c r="FD1842" s="15" t="inlineStr">
        <is>
          <t>SFWZ-13</t>
        </is>
      </c>
      <c r="FE1842" s="17" t="inlineStr">
        <is>
          <t>LVCB4L4D7MM003955</t>
        </is>
      </c>
      <c r="FF1842" s="18" t="inlineStr">
        <is>
          <t>M221100404</t>
        </is>
      </c>
      <c r="FG1842" s="18" t="inlineStr">
        <is>
          <t>FOTON</t>
        </is>
      </c>
      <c r="FH1842" s="18" t="inlineStr">
        <is>
          <t>EBUS U12 SC</t>
        </is>
      </c>
      <c r="FI1842" s="18" t="inlineStr">
        <is>
          <t>FOTON</t>
        </is>
      </c>
      <c r="FJ1842" s="18" t="inlineStr">
        <is>
          <t>EBUS U12 SC</t>
        </is>
      </c>
      <c r="FK1842" s="18" t="n">
        <v>2022</v>
      </c>
      <c r="FL1842" s="18" t="inlineStr">
        <is>
          <t>B</t>
        </is>
      </c>
      <c r="FM1842" s="18" t="inlineStr">
        <is>
          <t>Santa Rosa</t>
        </is>
      </c>
      <c r="FP1842" t="inlineStr">
        <is>
          <t>B</t>
        </is>
      </c>
    </row>
    <row r="1843">
      <c r="FC1843" t="inlineStr">
        <is>
          <t>Diccionario 2</t>
        </is>
      </c>
      <c r="FD1843" s="15" t="inlineStr">
        <is>
          <t>SFWZ-14</t>
        </is>
      </c>
      <c r="FE1843" s="17" t="inlineStr">
        <is>
          <t>LVCB4L4D2MM003958</t>
        </is>
      </c>
      <c r="FF1843" s="18" t="inlineStr">
        <is>
          <t>M221100512</t>
        </is>
      </c>
      <c r="FG1843" s="18" t="inlineStr">
        <is>
          <t>FOTON</t>
        </is>
      </c>
      <c r="FH1843" s="18" t="inlineStr">
        <is>
          <t>EBUS U12 SC</t>
        </is>
      </c>
      <c r="FI1843" s="18" t="inlineStr">
        <is>
          <t>FOTON</t>
        </is>
      </c>
      <c r="FJ1843" s="18" t="inlineStr">
        <is>
          <t>EBUS U12 SC</t>
        </is>
      </c>
      <c r="FK1843" s="18" t="n">
        <v>2022</v>
      </c>
      <c r="FL1843" s="18" t="inlineStr">
        <is>
          <t>B</t>
        </is>
      </c>
      <c r="FM1843" s="18" t="inlineStr">
        <is>
          <t>Santa Rosa</t>
        </is>
      </c>
      <c r="FP1843" t="inlineStr">
        <is>
          <t>B</t>
        </is>
      </c>
    </row>
    <row r="1844">
      <c r="FC1844" t="inlineStr">
        <is>
          <t>Diccionario 2</t>
        </is>
      </c>
      <c r="FD1844" s="15" t="inlineStr">
        <is>
          <t>SFWZ-16</t>
        </is>
      </c>
      <c r="FE1844" s="17" t="inlineStr">
        <is>
          <t>LVCB4L4D0MM003960</t>
        </is>
      </c>
      <c r="FF1844" s="18" t="inlineStr">
        <is>
          <t>M221110581</t>
        </is>
      </c>
      <c r="FG1844" s="18" t="inlineStr">
        <is>
          <t>FOTON</t>
        </is>
      </c>
      <c r="FH1844" s="18" t="inlineStr">
        <is>
          <t>EBUS U12 SC</t>
        </is>
      </c>
      <c r="FI1844" s="18" t="inlineStr">
        <is>
          <t>FOTON</t>
        </is>
      </c>
      <c r="FJ1844" s="18" t="inlineStr">
        <is>
          <t>EBUS U12 SC</t>
        </is>
      </c>
      <c r="FK1844" s="18" t="n">
        <v>2022</v>
      </c>
      <c r="FL1844" s="18" t="inlineStr">
        <is>
          <t>B</t>
        </is>
      </c>
      <c r="FM1844" s="18" t="inlineStr">
        <is>
          <t>Recoleta</t>
        </is>
      </c>
      <c r="FP1844" t="inlineStr">
        <is>
          <t>B</t>
        </is>
      </c>
    </row>
    <row r="1845">
      <c r="FC1845" t="inlineStr">
        <is>
          <t>Diccionario 2</t>
        </is>
      </c>
      <c r="FD1845" s="15" t="inlineStr">
        <is>
          <t>SFWZ-17</t>
        </is>
      </c>
      <c r="FE1845" s="17" t="inlineStr">
        <is>
          <t>LVCB4L4D2MM003961</t>
        </is>
      </c>
      <c r="FF1845" s="18" t="inlineStr">
        <is>
          <t>M221100478</t>
        </is>
      </c>
      <c r="FG1845" s="18" t="inlineStr">
        <is>
          <t>FOTON</t>
        </is>
      </c>
      <c r="FH1845" s="18" t="inlineStr">
        <is>
          <t>EBUS U12 SC</t>
        </is>
      </c>
      <c r="FI1845" s="18" t="inlineStr">
        <is>
          <t>FOTON</t>
        </is>
      </c>
      <c r="FJ1845" s="18" t="inlineStr">
        <is>
          <t>EBUS U12 SC</t>
        </is>
      </c>
      <c r="FK1845" s="18" t="n">
        <v>2022</v>
      </c>
      <c r="FL1845" s="18" t="inlineStr">
        <is>
          <t>B</t>
        </is>
      </c>
      <c r="FM1845" s="18" t="inlineStr">
        <is>
          <t>Recoleta</t>
        </is>
      </c>
      <c r="FP1845" t="inlineStr">
        <is>
          <t>B</t>
        </is>
      </c>
    </row>
    <row r="1846">
      <c r="FC1846" t="inlineStr">
        <is>
          <t>Diccionario 2</t>
        </is>
      </c>
      <c r="FD1846" s="15" t="inlineStr">
        <is>
          <t>SFWZ-18</t>
        </is>
      </c>
      <c r="FE1846" s="17" t="inlineStr">
        <is>
          <t>LVCB4L4D4MM003962</t>
        </is>
      </c>
      <c r="FF1846" s="18" t="inlineStr">
        <is>
          <t>M221100440</t>
        </is>
      </c>
      <c r="FG1846" s="18" t="inlineStr">
        <is>
          <t>FOTON</t>
        </is>
      </c>
      <c r="FH1846" s="18" t="inlineStr">
        <is>
          <t>EBUS U12 SC</t>
        </is>
      </c>
      <c r="FI1846" s="18" t="inlineStr">
        <is>
          <t>FOTON</t>
        </is>
      </c>
      <c r="FJ1846" s="18" t="inlineStr">
        <is>
          <t>EBUS U12 SC</t>
        </is>
      </c>
      <c r="FK1846" s="18" t="n">
        <v>2022</v>
      </c>
      <c r="FL1846" s="18" t="inlineStr">
        <is>
          <t>B</t>
        </is>
      </c>
      <c r="FM1846" s="18" t="inlineStr">
        <is>
          <t>Santa Rosa</t>
        </is>
      </c>
      <c r="FP1846" t="inlineStr">
        <is>
          <t>B</t>
        </is>
      </c>
    </row>
    <row r="1847">
      <c r="FC1847" t="inlineStr">
        <is>
          <t>Diccionario 2</t>
        </is>
      </c>
      <c r="FD1847" s="15" t="inlineStr">
        <is>
          <t>SFWZ-20</t>
        </is>
      </c>
      <c r="FE1847" s="17" t="inlineStr">
        <is>
          <t>LVCB4L4D3MM003967</t>
        </is>
      </c>
      <c r="FF1847" s="18" t="inlineStr">
        <is>
          <t>M221110579</t>
        </is>
      </c>
      <c r="FG1847" s="18" t="inlineStr">
        <is>
          <t>FOTON</t>
        </is>
      </c>
      <c r="FH1847" s="18" t="inlineStr">
        <is>
          <t>EBUS U12 SC</t>
        </is>
      </c>
      <c r="FI1847" s="18" t="inlineStr">
        <is>
          <t>FOTON</t>
        </is>
      </c>
      <c r="FJ1847" s="18" t="inlineStr">
        <is>
          <t>EBUS U12 SC</t>
        </is>
      </c>
      <c r="FK1847" s="18" t="n">
        <v>2022</v>
      </c>
      <c r="FL1847" s="18" t="inlineStr">
        <is>
          <t>B</t>
        </is>
      </c>
      <c r="FM1847" s="18" t="inlineStr">
        <is>
          <t>Santa Rosa</t>
        </is>
      </c>
      <c r="FP1847" t="inlineStr">
        <is>
          <t>B</t>
        </is>
      </c>
    </row>
    <row r="1848">
      <c r="FC1848" t="inlineStr">
        <is>
          <t>Diccionario 2</t>
        </is>
      </c>
      <c r="FD1848" s="15" t="inlineStr">
        <is>
          <t>SFWZ-21</t>
        </is>
      </c>
      <c r="FE1848" s="17" t="inlineStr">
        <is>
          <t>LVCB4L4D5MM003968</t>
        </is>
      </c>
      <c r="FF1848" s="18" t="inlineStr">
        <is>
          <t>M221110110</t>
        </is>
      </c>
      <c r="FG1848" s="18" t="inlineStr">
        <is>
          <t>FOTON</t>
        </is>
      </c>
      <c r="FH1848" s="18" t="inlineStr">
        <is>
          <t>EBUS U12 SC</t>
        </is>
      </c>
      <c r="FI1848" s="18" t="inlineStr">
        <is>
          <t>FOTON</t>
        </is>
      </c>
      <c r="FJ1848" s="18" t="inlineStr">
        <is>
          <t>EBUS U12 SC</t>
        </is>
      </c>
      <c r="FK1848" s="18" t="n">
        <v>2022</v>
      </c>
      <c r="FL1848" s="18" t="inlineStr">
        <is>
          <t>B</t>
        </is>
      </c>
      <c r="FM1848" s="18" t="inlineStr">
        <is>
          <t>Santa Rosa</t>
        </is>
      </c>
      <c r="FP1848" t="inlineStr">
        <is>
          <t>B</t>
        </is>
      </c>
    </row>
    <row r="1849">
      <c r="FC1849" t="inlineStr">
        <is>
          <t>Diccionario 2</t>
        </is>
      </c>
      <c r="FD1849" s="15" t="inlineStr">
        <is>
          <t>SFWZ-23</t>
        </is>
      </c>
      <c r="FE1849" s="17" t="inlineStr">
        <is>
          <t>LVCB4L4D7MM003969</t>
        </is>
      </c>
      <c r="FF1849" s="18" t="inlineStr">
        <is>
          <t>M221100513</t>
        </is>
      </c>
      <c r="FG1849" s="18" t="inlineStr">
        <is>
          <t>FOTON</t>
        </is>
      </c>
      <c r="FH1849" s="18" t="inlineStr">
        <is>
          <t>EBUS U12 SC</t>
        </is>
      </c>
      <c r="FI1849" s="18" t="inlineStr">
        <is>
          <t>FOTON</t>
        </is>
      </c>
      <c r="FJ1849" s="18" t="inlineStr">
        <is>
          <t>EBUS U12 SC</t>
        </is>
      </c>
      <c r="FK1849" s="18" t="n">
        <v>2022</v>
      </c>
      <c r="FL1849" s="18" t="inlineStr">
        <is>
          <t>B</t>
        </is>
      </c>
      <c r="FM1849" s="18" t="inlineStr">
        <is>
          <t>Santa Rosa</t>
        </is>
      </c>
      <c r="FP1849" t="inlineStr">
        <is>
          <t>B</t>
        </is>
      </c>
    </row>
    <row r="1850">
      <c r="FC1850" t="inlineStr">
        <is>
          <t>Diccionario 2</t>
        </is>
      </c>
      <c r="FD1850" s="15" t="inlineStr">
        <is>
          <t>SFWZ-25</t>
        </is>
      </c>
      <c r="FE1850" s="17" t="inlineStr">
        <is>
          <t>LVCB4L4D3MM003970</t>
        </is>
      </c>
      <c r="FF1850" s="18" t="inlineStr">
        <is>
          <t>M221110654</t>
        </is>
      </c>
      <c r="FG1850" s="18" t="inlineStr">
        <is>
          <t>FOTON</t>
        </is>
      </c>
      <c r="FH1850" s="18" t="inlineStr">
        <is>
          <t>EBUS U12 SC</t>
        </is>
      </c>
      <c r="FI1850" s="18" t="inlineStr">
        <is>
          <t>FOTON</t>
        </is>
      </c>
      <c r="FJ1850" s="18" t="inlineStr">
        <is>
          <t>EBUS U12 SC</t>
        </is>
      </c>
      <c r="FK1850" s="18" t="n">
        <v>2022</v>
      </c>
      <c r="FL1850" s="18" t="inlineStr">
        <is>
          <t>B</t>
        </is>
      </c>
      <c r="FM1850" s="18" t="inlineStr">
        <is>
          <t>Santa Rosa</t>
        </is>
      </c>
      <c r="FP1850" t="inlineStr">
        <is>
          <t>B</t>
        </is>
      </c>
    </row>
    <row r="1851">
      <c r="FC1851" t="inlineStr">
        <is>
          <t>Diccionario 2</t>
        </is>
      </c>
      <c r="FD1851" s="15" t="inlineStr">
        <is>
          <t>SFWZ-26</t>
        </is>
      </c>
      <c r="FE1851" s="17" t="inlineStr">
        <is>
          <t>LVCB4L4D5MM003971</t>
        </is>
      </c>
      <c r="FF1851" s="18" t="inlineStr">
        <is>
          <t>M221100476</t>
        </is>
      </c>
      <c r="FG1851" s="18" t="inlineStr">
        <is>
          <t>FOTON</t>
        </is>
      </c>
      <c r="FH1851" s="18" t="inlineStr">
        <is>
          <t>EBUS U12 SC</t>
        </is>
      </c>
      <c r="FI1851" s="18" t="inlineStr">
        <is>
          <t>FOTON</t>
        </is>
      </c>
      <c r="FJ1851" s="18" t="inlineStr">
        <is>
          <t>EBUS U12 SC</t>
        </is>
      </c>
      <c r="FK1851" s="18" t="n">
        <v>2022</v>
      </c>
      <c r="FL1851" s="18" t="inlineStr">
        <is>
          <t>B</t>
        </is>
      </c>
      <c r="FM1851" s="18" t="inlineStr">
        <is>
          <t>Santa Rosa</t>
        </is>
      </c>
      <c r="FP1851" t="inlineStr">
        <is>
          <t>B</t>
        </is>
      </c>
    </row>
    <row r="1852">
      <c r="FC1852" t="inlineStr">
        <is>
          <t>Diccionario 2</t>
        </is>
      </c>
      <c r="FD1852" s="15" t="inlineStr">
        <is>
          <t>SFWZ-27</t>
        </is>
      </c>
      <c r="FE1852" s="17" t="inlineStr">
        <is>
          <t>LVCB4L4D9MM003973</t>
        </is>
      </c>
      <c r="FF1852" s="18" t="inlineStr">
        <is>
          <t>M221100410</t>
        </is>
      </c>
      <c r="FG1852" s="18" t="inlineStr">
        <is>
          <t>FOTON</t>
        </is>
      </c>
      <c r="FH1852" s="18" t="inlineStr">
        <is>
          <t>EBUS U12 SC</t>
        </is>
      </c>
      <c r="FI1852" s="18" t="inlineStr">
        <is>
          <t>FOTON</t>
        </is>
      </c>
      <c r="FJ1852" s="18" t="inlineStr">
        <is>
          <t>EBUS U12 SC</t>
        </is>
      </c>
      <c r="FK1852" s="18" t="n">
        <v>2022</v>
      </c>
      <c r="FL1852" s="18" t="inlineStr">
        <is>
          <t>B</t>
        </is>
      </c>
      <c r="FM1852" s="18" t="inlineStr">
        <is>
          <t>Recoleta</t>
        </is>
      </c>
      <c r="FP1852" t="inlineStr">
        <is>
          <t>B</t>
        </is>
      </c>
    </row>
    <row r="1853">
      <c r="FC1853" t="inlineStr">
        <is>
          <t>Diccionario 2</t>
        </is>
      </c>
      <c r="FD1853" s="15" t="inlineStr">
        <is>
          <t>SFWZ-29</t>
        </is>
      </c>
      <c r="FE1853" s="17" t="inlineStr">
        <is>
          <t>LVCB4L4D4MM003976</t>
        </is>
      </c>
      <c r="FF1853" s="18" t="inlineStr">
        <is>
          <t>M221120001</t>
        </is>
      </c>
      <c r="FG1853" s="18" t="inlineStr">
        <is>
          <t>FOTON</t>
        </is>
      </c>
      <c r="FH1853" s="18" t="inlineStr">
        <is>
          <t>EBUS U12 SC</t>
        </is>
      </c>
      <c r="FI1853" s="18" t="inlineStr">
        <is>
          <t>FOTON</t>
        </is>
      </c>
      <c r="FJ1853" s="18" t="inlineStr">
        <is>
          <t>EBUS U12 SC</t>
        </is>
      </c>
      <c r="FK1853" s="18" t="n">
        <v>2022</v>
      </c>
      <c r="FL1853" s="18" t="inlineStr">
        <is>
          <t>B</t>
        </is>
      </c>
      <c r="FM1853" s="18" t="inlineStr">
        <is>
          <t>Recoleta</t>
        </is>
      </c>
      <c r="FP1853" t="inlineStr">
        <is>
          <t>B</t>
        </is>
      </c>
    </row>
    <row r="1854">
      <c r="FC1854" t="inlineStr">
        <is>
          <t>Diccionario 2</t>
        </is>
      </c>
      <c r="FD1854" s="15" t="inlineStr">
        <is>
          <t>SFWZ-31</t>
        </is>
      </c>
      <c r="FE1854" s="17" t="inlineStr">
        <is>
          <t>LVCB4L4D6MM003977</t>
        </is>
      </c>
      <c r="FF1854" s="18" t="inlineStr">
        <is>
          <t>M221110536</t>
        </is>
      </c>
      <c r="FG1854" s="18" t="inlineStr">
        <is>
          <t>FOTON</t>
        </is>
      </c>
      <c r="FH1854" s="18" t="inlineStr">
        <is>
          <t>EBUS U12 SC</t>
        </is>
      </c>
      <c r="FI1854" s="18" t="inlineStr">
        <is>
          <t>FOTON</t>
        </is>
      </c>
      <c r="FJ1854" s="18" t="inlineStr">
        <is>
          <t>EBUS U12 SC</t>
        </is>
      </c>
      <c r="FK1854" s="18" t="n">
        <v>2022</v>
      </c>
      <c r="FL1854" s="18" t="inlineStr">
        <is>
          <t>B</t>
        </is>
      </c>
      <c r="FM1854" s="18" t="inlineStr">
        <is>
          <t>Recoleta</t>
        </is>
      </c>
      <c r="FP1854" t="inlineStr">
        <is>
          <t>B</t>
        </is>
      </c>
    </row>
    <row r="1855">
      <c r="FC1855" t="inlineStr">
        <is>
          <t>Diccionario 2</t>
        </is>
      </c>
      <c r="FD1855" s="15" t="inlineStr">
        <is>
          <t>SFWZ-32</t>
        </is>
      </c>
      <c r="FE1855" s="17" t="inlineStr">
        <is>
          <t>LVCB4L4DXMM003979</t>
        </is>
      </c>
      <c r="FF1855" s="18" t="inlineStr">
        <is>
          <t>M221110535</t>
        </is>
      </c>
      <c r="FG1855" s="18" t="inlineStr">
        <is>
          <t>FOTON</t>
        </is>
      </c>
      <c r="FH1855" s="18" t="inlineStr">
        <is>
          <t>EBUS U12 SC</t>
        </is>
      </c>
      <c r="FI1855" s="18" t="inlineStr">
        <is>
          <t>FOTON</t>
        </is>
      </c>
      <c r="FJ1855" s="18" t="inlineStr">
        <is>
          <t>EBUS U12 SC</t>
        </is>
      </c>
      <c r="FK1855" s="18" t="n">
        <v>2022</v>
      </c>
      <c r="FL1855" s="18" t="inlineStr">
        <is>
          <t>B</t>
        </is>
      </c>
      <c r="FM1855" s="18" t="inlineStr">
        <is>
          <t>Santa Rosa</t>
        </is>
      </c>
      <c r="FP1855" t="inlineStr">
        <is>
          <t>B</t>
        </is>
      </c>
    </row>
    <row r="1856">
      <c r="FC1856" t="inlineStr">
        <is>
          <t>Diccionario 2</t>
        </is>
      </c>
      <c r="FD1856" s="15" t="inlineStr">
        <is>
          <t>SFWZ-33</t>
        </is>
      </c>
      <c r="FE1856" s="17" t="inlineStr">
        <is>
          <t>LVCB4L4D8MM003981</t>
        </is>
      </c>
      <c r="FF1856" s="18" t="inlineStr">
        <is>
          <t>M221100514</t>
        </is>
      </c>
      <c r="FG1856" s="18" t="inlineStr">
        <is>
          <t>FOTON</t>
        </is>
      </c>
      <c r="FH1856" s="18" t="inlineStr">
        <is>
          <t>EBUS U12 SC</t>
        </is>
      </c>
      <c r="FI1856" s="18" t="inlineStr">
        <is>
          <t>FOTON</t>
        </is>
      </c>
      <c r="FJ1856" s="18" t="inlineStr">
        <is>
          <t>EBUS U12 SC</t>
        </is>
      </c>
      <c r="FK1856" s="18" t="n">
        <v>2022</v>
      </c>
      <c r="FL1856" s="18" t="inlineStr">
        <is>
          <t>B</t>
        </is>
      </c>
      <c r="FM1856" s="18" t="inlineStr">
        <is>
          <t>Recoleta</t>
        </is>
      </c>
      <c r="FP1856" t="inlineStr">
        <is>
          <t>B</t>
        </is>
      </c>
    </row>
    <row r="1857">
      <c r="FC1857" t="inlineStr">
        <is>
          <t>Diccionario 2</t>
        </is>
      </c>
      <c r="FD1857" s="15" t="inlineStr">
        <is>
          <t>SFWZ-34</t>
        </is>
      </c>
      <c r="FE1857" s="17" t="inlineStr">
        <is>
          <t>LVCB4L4DXMM003982</t>
        </is>
      </c>
      <c r="FF1857" s="18" t="inlineStr">
        <is>
          <t>M221110115</t>
        </is>
      </c>
      <c r="FG1857" s="18" t="inlineStr">
        <is>
          <t>FOTON</t>
        </is>
      </c>
      <c r="FH1857" s="18" t="inlineStr">
        <is>
          <t>EBUS U12 SC</t>
        </is>
      </c>
      <c r="FI1857" s="18" t="inlineStr">
        <is>
          <t>FOTON</t>
        </is>
      </c>
      <c r="FJ1857" s="18" t="inlineStr">
        <is>
          <t>EBUS U12 SC</t>
        </is>
      </c>
      <c r="FK1857" s="18" t="n">
        <v>2022</v>
      </c>
      <c r="FL1857" s="18" t="inlineStr">
        <is>
          <t>B</t>
        </is>
      </c>
      <c r="FM1857" s="18" t="inlineStr">
        <is>
          <t>Santa Rosa</t>
        </is>
      </c>
      <c r="FP1857" t="inlineStr">
        <is>
          <t>B</t>
        </is>
      </c>
    </row>
    <row r="1858">
      <c r="FC1858" t="inlineStr">
        <is>
          <t>Diccionario 2</t>
        </is>
      </c>
      <c r="FD1858" s="15" t="inlineStr">
        <is>
          <t>SFWZ-36</t>
        </is>
      </c>
      <c r="FE1858" s="17" t="inlineStr">
        <is>
          <t>LVCB4L4D5MM003985</t>
        </is>
      </c>
      <c r="FF1858" s="18" t="inlineStr">
        <is>
          <t>M221100525</t>
        </is>
      </c>
      <c r="FG1858" s="18" t="inlineStr">
        <is>
          <t>FOTON</t>
        </is>
      </c>
      <c r="FH1858" s="18" t="inlineStr">
        <is>
          <t>EBUS U12 SC</t>
        </is>
      </c>
      <c r="FI1858" s="18" t="inlineStr">
        <is>
          <t>FOTON</t>
        </is>
      </c>
      <c r="FJ1858" s="18" t="inlineStr">
        <is>
          <t>EBUS U12 SC</t>
        </is>
      </c>
      <c r="FK1858" s="18" t="n">
        <v>2022</v>
      </c>
      <c r="FL1858" s="18" t="inlineStr">
        <is>
          <t>B</t>
        </is>
      </c>
      <c r="FM1858" s="18" t="inlineStr">
        <is>
          <t>Santa Rosa</t>
        </is>
      </c>
      <c r="FP1858" t="inlineStr">
        <is>
          <t>B</t>
        </is>
      </c>
    </row>
    <row r="1859">
      <c r="FC1859" t="inlineStr">
        <is>
          <t>Diccionario 2</t>
        </is>
      </c>
      <c r="FD1859" s="15" t="inlineStr">
        <is>
          <t>SFWZ-37</t>
        </is>
      </c>
      <c r="FE1859" s="17" t="inlineStr">
        <is>
          <t>LVCB4L4D8NM002640</t>
        </is>
      </c>
      <c r="FF1859" s="18" t="inlineStr">
        <is>
          <t>M221100490</t>
        </is>
      </c>
      <c r="FG1859" s="18" t="inlineStr">
        <is>
          <t>FOTON</t>
        </is>
      </c>
      <c r="FH1859" s="18" t="inlineStr">
        <is>
          <t>EBUS U12 SC</t>
        </is>
      </c>
      <c r="FI1859" s="18" t="inlineStr">
        <is>
          <t>FOTON</t>
        </is>
      </c>
      <c r="FJ1859" s="18" t="inlineStr">
        <is>
          <t>EBUS U12 SC</t>
        </is>
      </c>
      <c r="FK1859" s="18" t="n">
        <v>2022</v>
      </c>
      <c r="FL1859" s="18" t="inlineStr">
        <is>
          <t>B</t>
        </is>
      </c>
      <c r="FM1859" s="18" t="inlineStr">
        <is>
          <t>Recoleta</t>
        </is>
      </c>
      <c r="FP1859" t="inlineStr">
        <is>
          <t>B</t>
        </is>
      </c>
    </row>
    <row r="1860">
      <c r="FC1860" t="inlineStr">
        <is>
          <t>Diccionario 2</t>
        </is>
      </c>
      <c r="FD1860" s="15" t="inlineStr">
        <is>
          <t>SFWZ-38</t>
        </is>
      </c>
      <c r="FE1860" s="17" t="inlineStr">
        <is>
          <t>LVCB4L4D7MM003986</t>
        </is>
      </c>
      <c r="FF1860" s="18" t="inlineStr">
        <is>
          <t>M221120002</t>
        </is>
      </c>
      <c r="FG1860" s="18" t="inlineStr">
        <is>
          <t>FOTON</t>
        </is>
      </c>
      <c r="FH1860" s="18" t="inlineStr">
        <is>
          <t>EBUS U12 SC</t>
        </is>
      </c>
      <c r="FI1860" s="18" t="inlineStr">
        <is>
          <t>FOTON</t>
        </is>
      </c>
      <c r="FJ1860" s="18" t="inlineStr">
        <is>
          <t>EBUS U12 SC</t>
        </is>
      </c>
      <c r="FK1860" s="18" t="n">
        <v>2022</v>
      </c>
      <c r="FL1860" s="18" t="inlineStr">
        <is>
          <t>B</t>
        </is>
      </c>
      <c r="FM1860" s="18" t="inlineStr">
        <is>
          <t>Santa Rosa</t>
        </is>
      </c>
      <c r="FP1860" t="inlineStr">
        <is>
          <t>B</t>
        </is>
      </c>
    </row>
    <row r="1861">
      <c r="FC1861" t="inlineStr">
        <is>
          <t>Diccionario 2</t>
        </is>
      </c>
      <c r="FD1861" s="15" t="inlineStr">
        <is>
          <t>SFWZ-39</t>
        </is>
      </c>
      <c r="FE1861" s="17" t="inlineStr">
        <is>
          <t>LVCB4L4D9MM003987</t>
        </is>
      </c>
      <c r="FF1861" s="18" t="inlineStr">
        <is>
          <t>M221110655</t>
        </is>
      </c>
      <c r="FG1861" s="18" t="inlineStr">
        <is>
          <t>FOTON</t>
        </is>
      </c>
      <c r="FH1861" s="18" t="inlineStr">
        <is>
          <t>EBUS U12 SC</t>
        </is>
      </c>
      <c r="FI1861" s="18" t="inlineStr">
        <is>
          <t>FOTON</t>
        </is>
      </c>
      <c r="FJ1861" s="18" t="inlineStr">
        <is>
          <t>EBUS U12 SC</t>
        </is>
      </c>
      <c r="FK1861" s="18" t="n">
        <v>2022</v>
      </c>
      <c r="FL1861" s="18" t="inlineStr">
        <is>
          <t>B</t>
        </is>
      </c>
      <c r="FM1861" s="18" t="inlineStr">
        <is>
          <t>Recoleta</t>
        </is>
      </c>
      <c r="FP1861" t="inlineStr">
        <is>
          <t>B</t>
        </is>
      </c>
    </row>
    <row r="1862">
      <c r="FC1862" t="inlineStr">
        <is>
          <t>Diccionario 2</t>
        </is>
      </c>
      <c r="FD1862" s="15" t="inlineStr">
        <is>
          <t>SFWZ-40</t>
        </is>
      </c>
      <c r="FE1862" s="17" t="inlineStr">
        <is>
          <t>LVCB4L4D7NM002631</t>
        </is>
      </c>
      <c r="FF1862" s="18" t="inlineStr">
        <is>
          <t>M221110657</t>
        </is>
      </c>
      <c r="FG1862" s="18" t="inlineStr">
        <is>
          <t>FOTON</t>
        </is>
      </c>
      <c r="FH1862" s="18" t="inlineStr">
        <is>
          <t>EBUS U12 SC</t>
        </is>
      </c>
      <c r="FI1862" s="18" t="inlineStr">
        <is>
          <t>FOTON</t>
        </is>
      </c>
      <c r="FJ1862" s="18" t="inlineStr">
        <is>
          <t>EBUS U12 SC</t>
        </is>
      </c>
      <c r="FK1862" s="18" t="n">
        <v>2022</v>
      </c>
      <c r="FL1862" s="18" t="inlineStr">
        <is>
          <t>B</t>
        </is>
      </c>
      <c r="FM1862" s="18" t="inlineStr">
        <is>
          <t>Santa Rosa</t>
        </is>
      </c>
      <c r="FP1862" t="inlineStr">
        <is>
          <t>B</t>
        </is>
      </c>
    </row>
    <row r="1863">
      <c r="FC1863" t="inlineStr">
        <is>
          <t>Diccionario 2</t>
        </is>
      </c>
      <c r="FD1863" s="15" t="inlineStr">
        <is>
          <t>SFWZ-42</t>
        </is>
      </c>
      <c r="FE1863" s="17" t="inlineStr">
        <is>
          <t>LVCB4L4D9NM002632</t>
        </is>
      </c>
      <c r="FF1863" s="18" t="inlineStr">
        <is>
          <t>M221100550</t>
        </is>
      </c>
      <c r="FG1863" s="18" t="inlineStr">
        <is>
          <t>FOTON</t>
        </is>
      </c>
      <c r="FH1863" s="18" t="inlineStr">
        <is>
          <t>EBUS U12 SC</t>
        </is>
      </c>
      <c r="FI1863" s="18" t="inlineStr">
        <is>
          <t>FOTON</t>
        </is>
      </c>
      <c r="FJ1863" s="18" t="inlineStr">
        <is>
          <t>EBUS U12 SC</t>
        </is>
      </c>
      <c r="FK1863" s="18" t="n">
        <v>2022</v>
      </c>
      <c r="FL1863" s="18" t="inlineStr">
        <is>
          <t>B</t>
        </is>
      </c>
      <c r="FM1863" s="18" t="inlineStr">
        <is>
          <t>Recoleta</t>
        </is>
      </c>
      <c r="FP1863" t="inlineStr">
        <is>
          <t>B</t>
        </is>
      </c>
    </row>
    <row r="1864">
      <c r="FC1864" t="inlineStr">
        <is>
          <t>Diccionario 2</t>
        </is>
      </c>
      <c r="FD1864" s="15" t="inlineStr">
        <is>
          <t>SFWZ-45</t>
        </is>
      </c>
      <c r="FE1864" s="17" t="inlineStr">
        <is>
          <t>LVCB4L4D0NM002633</t>
        </is>
      </c>
      <c r="FF1864" s="18" t="inlineStr">
        <is>
          <t>M221110538</t>
        </is>
      </c>
      <c r="FG1864" s="18" t="inlineStr">
        <is>
          <t>FOTON</t>
        </is>
      </c>
      <c r="FH1864" s="18" t="inlineStr">
        <is>
          <t>EBUS U12 SC</t>
        </is>
      </c>
      <c r="FI1864" s="18" t="inlineStr">
        <is>
          <t>FOTON</t>
        </is>
      </c>
      <c r="FJ1864" s="18" t="inlineStr">
        <is>
          <t>EBUS U12 SC</t>
        </is>
      </c>
      <c r="FK1864" s="18" t="n">
        <v>2022</v>
      </c>
      <c r="FL1864" s="18" t="inlineStr">
        <is>
          <t>B</t>
        </is>
      </c>
      <c r="FM1864" s="18" t="inlineStr">
        <is>
          <t>Santa Rosa</t>
        </is>
      </c>
      <c r="FP1864" t="inlineStr">
        <is>
          <t>B</t>
        </is>
      </c>
    </row>
    <row r="1865">
      <c r="FC1865" t="inlineStr">
        <is>
          <t>Diccionario 2</t>
        </is>
      </c>
      <c r="FD1865" s="15" t="inlineStr">
        <is>
          <t>SFWZ-48</t>
        </is>
      </c>
      <c r="FE1865" s="17" t="inlineStr">
        <is>
          <t>LVCB4L4D4NM002635</t>
        </is>
      </c>
      <c r="FF1865" s="18" t="inlineStr">
        <is>
          <t>M221110653</t>
        </is>
      </c>
      <c r="FG1865" s="18" t="inlineStr">
        <is>
          <t>FOTON</t>
        </is>
      </c>
      <c r="FH1865" s="18" t="inlineStr">
        <is>
          <t>EBUS U12 SC</t>
        </is>
      </c>
      <c r="FI1865" s="18" t="inlineStr">
        <is>
          <t>FOTON</t>
        </is>
      </c>
      <c r="FJ1865" s="18" t="inlineStr">
        <is>
          <t>EBUS U12 SC</t>
        </is>
      </c>
      <c r="FK1865" s="18" t="n">
        <v>2022</v>
      </c>
      <c r="FL1865" s="18" t="inlineStr">
        <is>
          <t>B</t>
        </is>
      </c>
      <c r="FM1865" s="18" t="inlineStr">
        <is>
          <t>Recoleta</t>
        </is>
      </c>
      <c r="FP1865" t="inlineStr">
        <is>
          <t>B</t>
        </is>
      </c>
    </row>
    <row r="1866">
      <c r="FC1866" t="inlineStr">
        <is>
          <t>Diccionario 2</t>
        </is>
      </c>
      <c r="FD1866" s="15" t="inlineStr">
        <is>
          <t>SFWZ-49</t>
        </is>
      </c>
      <c r="FE1866" s="17" t="inlineStr">
        <is>
          <t>LVCB4L4D6NM002636</t>
        </is>
      </c>
      <c r="FF1866" s="18" t="inlineStr">
        <is>
          <t>M221110109</t>
        </is>
      </c>
      <c r="FG1866" s="18" t="inlineStr">
        <is>
          <t>FOTON</t>
        </is>
      </c>
      <c r="FH1866" s="18" t="inlineStr">
        <is>
          <t>EBUS U12 SC</t>
        </is>
      </c>
      <c r="FI1866" s="18" t="inlineStr">
        <is>
          <t>FOTON</t>
        </is>
      </c>
      <c r="FJ1866" s="18" t="inlineStr">
        <is>
          <t>EBUS U12 SC</t>
        </is>
      </c>
      <c r="FK1866" s="18" t="n">
        <v>2022</v>
      </c>
      <c r="FL1866" s="18" t="inlineStr">
        <is>
          <t>B</t>
        </is>
      </c>
      <c r="FM1866" s="18" t="inlineStr">
        <is>
          <t>Recoleta</t>
        </is>
      </c>
      <c r="FP1866" t="inlineStr">
        <is>
          <t>B</t>
        </is>
      </c>
    </row>
    <row r="1867">
      <c r="FC1867" t="inlineStr">
        <is>
          <t>Diccionario 2</t>
        </is>
      </c>
      <c r="FD1867" s="15" t="inlineStr">
        <is>
          <t>SFWZ-50</t>
        </is>
      </c>
      <c r="FE1867" s="17" t="inlineStr">
        <is>
          <t>LVCB4L4D8NM002637</t>
        </is>
      </c>
      <c r="FF1867" s="18" t="inlineStr">
        <is>
          <t>M221100545</t>
        </is>
      </c>
      <c r="FG1867" s="18" t="inlineStr">
        <is>
          <t>FOTON</t>
        </is>
      </c>
      <c r="FH1867" s="18" t="inlineStr">
        <is>
          <t>EBUS U12 SC</t>
        </is>
      </c>
      <c r="FI1867" s="18" t="inlineStr">
        <is>
          <t>FOTON</t>
        </is>
      </c>
      <c r="FJ1867" s="18" t="inlineStr">
        <is>
          <t>EBUS U12 SC</t>
        </is>
      </c>
      <c r="FK1867" s="18" t="n">
        <v>2022</v>
      </c>
      <c r="FL1867" s="18" t="inlineStr">
        <is>
          <t>B</t>
        </is>
      </c>
      <c r="FM1867" s="18" t="inlineStr">
        <is>
          <t>Recoleta</t>
        </is>
      </c>
      <c r="FP1867" t="inlineStr">
        <is>
          <t>B</t>
        </is>
      </c>
    </row>
    <row r="1868">
      <c r="FC1868" t="inlineStr">
        <is>
          <t>Diccionario 2</t>
        </is>
      </c>
      <c r="FD1868" s="15" t="inlineStr">
        <is>
          <t>SFWZ-52</t>
        </is>
      </c>
      <c r="FE1868" s="17" t="inlineStr">
        <is>
          <t>LVCB4L4DXNM002638</t>
        </is>
      </c>
      <c r="FF1868" s="18" t="inlineStr">
        <is>
          <t>M221110095</t>
        </is>
      </c>
      <c r="FG1868" s="18" t="inlineStr">
        <is>
          <t>FOTON</t>
        </is>
      </c>
      <c r="FH1868" s="18" t="inlineStr">
        <is>
          <t>EBUS U12 SC</t>
        </is>
      </c>
      <c r="FI1868" s="18" t="inlineStr">
        <is>
          <t>FOTON</t>
        </is>
      </c>
      <c r="FJ1868" s="18" t="inlineStr">
        <is>
          <t>EBUS U12 SC</t>
        </is>
      </c>
      <c r="FK1868" s="18" t="n">
        <v>2022</v>
      </c>
      <c r="FL1868" s="18" t="inlineStr">
        <is>
          <t>B</t>
        </is>
      </c>
      <c r="FM1868" s="18" t="inlineStr">
        <is>
          <t>Recoleta</t>
        </is>
      </c>
      <c r="FP1868" t="inlineStr">
        <is>
          <t>B</t>
        </is>
      </c>
    </row>
    <row r="1869">
      <c r="FC1869" t="inlineStr">
        <is>
          <t>Diccionario 2</t>
        </is>
      </c>
      <c r="FD1869" s="15" t="inlineStr">
        <is>
          <t>SFWZ-53</t>
        </is>
      </c>
      <c r="FE1869" s="17" t="inlineStr">
        <is>
          <t>LVCB4L4D1NM002639</t>
        </is>
      </c>
      <c r="FF1869" s="18" t="inlineStr">
        <is>
          <t>M221110580</t>
        </is>
      </c>
      <c r="FG1869" s="18" t="inlineStr">
        <is>
          <t>FOTON</t>
        </is>
      </c>
      <c r="FH1869" s="18" t="inlineStr">
        <is>
          <t>EBUS U12 SC</t>
        </is>
      </c>
      <c r="FI1869" s="18" t="inlineStr">
        <is>
          <t>FOTON</t>
        </is>
      </c>
      <c r="FJ1869" s="18" t="inlineStr">
        <is>
          <t>EBUS U12 SC</t>
        </is>
      </c>
      <c r="FK1869" s="18" t="n">
        <v>2022</v>
      </c>
      <c r="FL1869" s="18" t="inlineStr">
        <is>
          <t>B</t>
        </is>
      </c>
      <c r="FM1869" s="18" t="inlineStr">
        <is>
          <t>Recoleta</t>
        </is>
      </c>
      <c r="FP1869" t="inlineStr">
        <is>
          <t>B</t>
        </is>
      </c>
    </row>
    <row r="1870">
      <c r="FC1870" t="inlineStr">
        <is>
          <t>Diccionario 2</t>
        </is>
      </c>
      <c r="FD1870" s="15" t="inlineStr">
        <is>
          <t>SFWZ-54</t>
        </is>
      </c>
      <c r="FE1870" s="17" t="inlineStr">
        <is>
          <t>LVCB4L4DXNM002641</t>
        </is>
      </c>
      <c r="FF1870" s="18" t="inlineStr">
        <is>
          <t>M221100298</t>
        </is>
      </c>
      <c r="FG1870" s="18" t="inlineStr">
        <is>
          <t>FOTON</t>
        </is>
      </c>
      <c r="FH1870" s="18" t="inlineStr">
        <is>
          <t>EBUS U12 SC</t>
        </is>
      </c>
      <c r="FI1870" s="18" t="inlineStr">
        <is>
          <t>FOTON</t>
        </is>
      </c>
      <c r="FJ1870" s="18" t="inlineStr">
        <is>
          <t>EBUS U12 SC</t>
        </is>
      </c>
      <c r="FK1870" s="18" t="n">
        <v>2022</v>
      </c>
      <c r="FL1870" s="18" t="inlineStr">
        <is>
          <t>B</t>
        </is>
      </c>
      <c r="FM1870" s="18" t="inlineStr">
        <is>
          <t>Recoleta</t>
        </is>
      </c>
      <c r="FP1870" t="inlineStr">
        <is>
          <t>B</t>
        </is>
      </c>
    </row>
    <row r="1871">
      <c r="FC1871" t="inlineStr">
        <is>
          <t>Diccionario 2</t>
        </is>
      </c>
      <c r="FD1871" s="15" t="inlineStr">
        <is>
          <t>SFWZ-55</t>
        </is>
      </c>
      <c r="FE1871" s="17" t="inlineStr">
        <is>
          <t>LVCB4L4D1NM002642</t>
        </is>
      </c>
      <c r="FF1871" s="18" t="inlineStr">
        <is>
          <t>M221100436</t>
        </is>
      </c>
      <c r="FG1871" s="18" t="inlineStr">
        <is>
          <t>FOTON</t>
        </is>
      </c>
      <c r="FH1871" s="18" t="inlineStr">
        <is>
          <t>EBUS U12 SC</t>
        </is>
      </c>
      <c r="FI1871" s="18" t="inlineStr">
        <is>
          <t>FOTON</t>
        </is>
      </c>
      <c r="FJ1871" s="18" t="inlineStr">
        <is>
          <t>EBUS U12 SC</t>
        </is>
      </c>
      <c r="FK1871" s="18" t="n">
        <v>2022</v>
      </c>
      <c r="FL1871" s="18" t="inlineStr">
        <is>
          <t>B</t>
        </is>
      </c>
      <c r="FM1871" s="18" t="inlineStr">
        <is>
          <t>Recoleta</t>
        </is>
      </c>
      <c r="FP1871" t="inlineStr">
        <is>
          <t>B</t>
        </is>
      </c>
    </row>
    <row r="1872">
      <c r="FC1872" t="inlineStr">
        <is>
          <t>Diccionario 2</t>
        </is>
      </c>
      <c r="FD1872" s="15" t="inlineStr">
        <is>
          <t>SFWZ-56</t>
        </is>
      </c>
      <c r="FE1872" s="17" t="inlineStr">
        <is>
          <t>LVCB4L4D3NM002643</t>
        </is>
      </c>
      <c r="FF1872" s="18" t="inlineStr">
        <is>
          <t>M221100488</t>
        </is>
      </c>
      <c r="FG1872" s="18" t="inlineStr">
        <is>
          <t>FOTON</t>
        </is>
      </c>
      <c r="FH1872" s="18" t="inlineStr">
        <is>
          <t>EBUS U12 SC</t>
        </is>
      </c>
      <c r="FI1872" s="18" t="inlineStr">
        <is>
          <t>FOTON</t>
        </is>
      </c>
      <c r="FJ1872" s="18" t="inlineStr">
        <is>
          <t>EBUS U12 SC</t>
        </is>
      </c>
      <c r="FK1872" s="18" t="n">
        <v>2022</v>
      </c>
      <c r="FL1872" s="18" t="inlineStr">
        <is>
          <t>B</t>
        </is>
      </c>
      <c r="FM1872" s="18" t="inlineStr">
        <is>
          <t>Recoleta</t>
        </is>
      </c>
      <c r="FP1872" t="inlineStr">
        <is>
          <t>B</t>
        </is>
      </c>
    </row>
    <row r="1873">
      <c r="FC1873" t="inlineStr">
        <is>
          <t>Diccionario 2</t>
        </is>
      </c>
      <c r="FD1873" s="15" t="inlineStr">
        <is>
          <t>SFWZ-58</t>
        </is>
      </c>
      <c r="FE1873" s="17" t="inlineStr">
        <is>
          <t>LVCB4L4D7NM002645</t>
        </is>
      </c>
      <c r="FF1873" s="18" t="inlineStr">
        <is>
          <t>M221100401</t>
        </is>
      </c>
      <c r="FG1873" s="18" t="inlineStr">
        <is>
          <t>FOTON</t>
        </is>
      </c>
      <c r="FH1873" s="18" t="inlineStr">
        <is>
          <t>EBUS U12 SC</t>
        </is>
      </c>
      <c r="FI1873" s="18" t="inlineStr">
        <is>
          <t>FOTON</t>
        </is>
      </c>
      <c r="FJ1873" s="18" t="inlineStr">
        <is>
          <t>EBUS U12 SC</t>
        </is>
      </c>
      <c r="FK1873" s="18" t="n">
        <v>2022</v>
      </c>
      <c r="FL1873" s="18" t="inlineStr">
        <is>
          <t>B</t>
        </is>
      </c>
      <c r="FM1873" s="18" t="inlineStr">
        <is>
          <t>Santa Rosa</t>
        </is>
      </c>
      <c r="FP1873" t="inlineStr">
        <is>
          <t>B</t>
        </is>
      </c>
    </row>
    <row r="1874">
      <c r="FC1874" t="inlineStr">
        <is>
          <t>Diccionario 2</t>
        </is>
      </c>
      <c r="FD1874" s="15" t="inlineStr">
        <is>
          <t>SFWZ-59</t>
        </is>
      </c>
      <c r="FE1874" s="17" t="inlineStr">
        <is>
          <t>LVCB4L4D9NM002646</t>
        </is>
      </c>
      <c r="FF1874" s="18" t="inlineStr">
        <is>
          <t>M221110103</t>
        </is>
      </c>
      <c r="FG1874" s="18" t="inlineStr">
        <is>
          <t>FOTON</t>
        </is>
      </c>
      <c r="FH1874" s="18" t="inlineStr">
        <is>
          <t>EBUS U12 SC</t>
        </is>
      </c>
      <c r="FI1874" s="18" t="inlineStr">
        <is>
          <t>FOTON</t>
        </is>
      </c>
      <c r="FJ1874" s="18" t="inlineStr">
        <is>
          <t>EBUS U12 SC</t>
        </is>
      </c>
      <c r="FK1874" s="18" t="n">
        <v>2022</v>
      </c>
      <c r="FL1874" s="18" t="inlineStr">
        <is>
          <t>B</t>
        </is>
      </c>
      <c r="FM1874" s="18" t="inlineStr">
        <is>
          <t>Recoleta</t>
        </is>
      </c>
      <c r="FP1874" t="inlineStr">
        <is>
          <t>B</t>
        </is>
      </c>
    </row>
    <row r="1875">
      <c r="FC1875" t="inlineStr">
        <is>
          <t>Diccionario 2</t>
        </is>
      </c>
      <c r="FD1875" s="15" t="inlineStr">
        <is>
          <t>SFWZ-61</t>
        </is>
      </c>
      <c r="FE1875" s="17" t="inlineStr">
        <is>
          <t>LVCB4L4D0NM002647</t>
        </is>
      </c>
      <c r="FF1875" s="18" t="inlineStr">
        <is>
          <t>M221100524</t>
        </is>
      </c>
      <c r="FG1875" s="18" t="inlineStr">
        <is>
          <t>FOTON</t>
        </is>
      </c>
      <c r="FH1875" s="18" t="inlineStr">
        <is>
          <t>EBUS U12 SC</t>
        </is>
      </c>
      <c r="FI1875" s="18" t="inlineStr">
        <is>
          <t>FOTON</t>
        </is>
      </c>
      <c r="FJ1875" s="18" t="inlineStr">
        <is>
          <t>EBUS U12 SC</t>
        </is>
      </c>
      <c r="FK1875" s="18" t="n">
        <v>2022</v>
      </c>
      <c r="FL1875" s="18" t="inlineStr">
        <is>
          <t>B</t>
        </is>
      </c>
      <c r="FM1875" s="18" t="inlineStr">
        <is>
          <t>Recoleta</t>
        </is>
      </c>
      <c r="FP1875" t="inlineStr">
        <is>
          <t>B</t>
        </is>
      </c>
    </row>
    <row r="1876">
      <c r="FC1876" t="inlineStr">
        <is>
          <t>Diccionario 2</t>
        </is>
      </c>
      <c r="FD1876" s="15" t="inlineStr">
        <is>
          <t>SFWZ-62</t>
        </is>
      </c>
      <c r="FE1876" s="17" t="inlineStr">
        <is>
          <t>LVCB4L4D2NM002648</t>
        </is>
      </c>
      <c r="FF1876" s="18" t="inlineStr">
        <is>
          <t>M221100442</t>
        </is>
      </c>
      <c r="FG1876" s="18" t="inlineStr">
        <is>
          <t>FOTON</t>
        </is>
      </c>
      <c r="FH1876" s="18" t="inlineStr">
        <is>
          <t>EBUS U12 SC</t>
        </is>
      </c>
      <c r="FI1876" s="18" t="inlineStr">
        <is>
          <t>FOTON</t>
        </is>
      </c>
      <c r="FJ1876" s="18" t="inlineStr">
        <is>
          <t>EBUS U12 SC</t>
        </is>
      </c>
      <c r="FK1876" s="18" t="n">
        <v>2022</v>
      </c>
      <c r="FL1876" s="18" t="inlineStr">
        <is>
          <t>B</t>
        </is>
      </c>
      <c r="FM1876" s="18" t="inlineStr">
        <is>
          <t>Recoleta</t>
        </is>
      </c>
      <c r="FP1876" t="inlineStr">
        <is>
          <t>B</t>
        </is>
      </c>
    </row>
    <row r="1877">
      <c r="FC1877" t="inlineStr">
        <is>
          <t>Diccionario 2</t>
        </is>
      </c>
      <c r="FD1877" s="15" t="inlineStr">
        <is>
          <t>SFWZ-63</t>
        </is>
      </c>
      <c r="FE1877" s="17" t="inlineStr">
        <is>
          <t>LVCB4L4D4NM002649</t>
        </is>
      </c>
      <c r="FF1877" s="18" t="inlineStr">
        <is>
          <t>M221100412</t>
        </is>
      </c>
      <c r="FG1877" s="18" t="inlineStr">
        <is>
          <t>FOTON</t>
        </is>
      </c>
      <c r="FH1877" s="18" t="inlineStr">
        <is>
          <t>EBUS U12 SC</t>
        </is>
      </c>
      <c r="FI1877" s="18" t="inlineStr">
        <is>
          <t>FOTON</t>
        </is>
      </c>
      <c r="FJ1877" s="18" t="inlineStr">
        <is>
          <t>EBUS U12 SC</t>
        </is>
      </c>
      <c r="FK1877" s="18" t="n">
        <v>2022</v>
      </c>
      <c r="FL1877" s="18" t="inlineStr">
        <is>
          <t>B</t>
        </is>
      </c>
      <c r="FM1877" s="18" t="inlineStr">
        <is>
          <t>Santa Rosa</t>
        </is>
      </c>
      <c r="FP1877" t="inlineStr">
        <is>
          <t>B</t>
        </is>
      </c>
    </row>
    <row r="1878">
      <c r="FC1878" t="inlineStr">
        <is>
          <t>Diccionario 2</t>
        </is>
      </c>
      <c r="FD1878" s="15" t="inlineStr">
        <is>
          <t>SFWZ-64</t>
        </is>
      </c>
      <c r="FE1878" s="17" t="inlineStr">
        <is>
          <t>LVCB4L4D0NM002650</t>
        </is>
      </c>
      <c r="FF1878" s="18" t="inlineStr">
        <is>
          <t>M221110537</t>
        </is>
      </c>
      <c r="FG1878" s="18" t="inlineStr">
        <is>
          <t>FOTON</t>
        </is>
      </c>
      <c r="FH1878" s="18" t="inlineStr">
        <is>
          <t>EBUS U12 SC</t>
        </is>
      </c>
      <c r="FI1878" s="18" t="inlineStr">
        <is>
          <t>FOTON</t>
        </is>
      </c>
      <c r="FJ1878" s="18" t="inlineStr">
        <is>
          <t>EBUS U12 SC</t>
        </is>
      </c>
      <c r="FK1878" s="18" t="n">
        <v>2022</v>
      </c>
      <c r="FL1878" s="18" t="inlineStr">
        <is>
          <t>B</t>
        </is>
      </c>
      <c r="FM1878" s="18" t="inlineStr">
        <is>
          <t>Recoleta</t>
        </is>
      </c>
      <c r="FP1878" t="inlineStr">
        <is>
          <t>B</t>
        </is>
      </c>
    </row>
    <row r="1879">
      <c r="FC1879" t="inlineStr">
        <is>
          <t>Diccionario 2</t>
        </is>
      </c>
      <c r="FD1879" s="15" t="inlineStr">
        <is>
          <t>SFWZ-65</t>
        </is>
      </c>
      <c r="FE1879" s="17" t="inlineStr">
        <is>
          <t>LVCB4L4D2NM002651</t>
        </is>
      </c>
      <c r="FF1879" s="18" t="inlineStr">
        <is>
          <t>M221100486</t>
        </is>
      </c>
      <c r="FG1879" s="18" t="inlineStr">
        <is>
          <t>FOTON</t>
        </is>
      </c>
      <c r="FH1879" s="18" t="inlineStr">
        <is>
          <t>EBUS U12 SC</t>
        </is>
      </c>
      <c r="FI1879" s="18" t="inlineStr">
        <is>
          <t>FOTON</t>
        </is>
      </c>
      <c r="FJ1879" s="18" t="inlineStr">
        <is>
          <t>EBUS U12 SC</t>
        </is>
      </c>
      <c r="FK1879" s="18" t="n">
        <v>2022</v>
      </c>
      <c r="FL1879" s="18" t="inlineStr">
        <is>
          <t>B</t>
        </is>
      </c>
      <c r="FM1879" s="18" t="inlineStr">
        <is>
          <t>Recoleta</t>
        </is>
      </c>
      <c r="FP1879" t="inlineStr">
        <is>
          <t>B</t>
        </is>
      </c>
    </row>
    <row r="1880">
      <c r="FC1880" t="inlineStr">
        <is>
          <t>Diccionario 2</t>
        </is>
      </c>
      <c r="FD1880" s="15" t="inlineStr">
        <is>
          <t>SFWZ-66</t>
        </is>
      </c>
      <c r="FE1880" s="17" t="inlineStr">
        <is>
          <t>LVCB4L4D4NM002652</t>
        </is>
      </c>
      <c r="FF1880" s="18" t="inlineStr">
        <is>
          <t>M221110530</t>
        </is>
      </c>
      <c r="FG1880" s="18" t="inlineStr">
        <is>
          <t>FOTON</t>
        </is>
      </c>
      <c r="FH1880" s="18" t="inlineStr">
        <is>
          <t>EBUS U12 SC</t>
        </is>
      </c>
      <c r="FI1880" s="18" t="inlineStr">
        <is>
          <t>FOTON</t>
        </is>
      </c>
      <c r="FJ1880" s="18" t="inlineStr">
        <is>
          <t>EBUS U12 SC</t>
        </is>
      </c>
      <c r="FK1880" s="18" t="n">
        <v>2022</v>
      </c>
      <c r="FL1880" s="18" t="inlineStr">
        <is>
          <t>B</t>
        </is>
      </c>
      <c r="FM1880" s="18" t="inlineStr">
        <is>
          <t>Recoleta</t>
        </is>
      </c>
      <c r="FP1880" t="inlineStr">
        <is>
          <t>B</t>
        </is>
      </c>
    </row>
    <row r="1881">
      <c r="FC1881" t="inlineStr">
        <is>
          <t>Diccionario 2</t>
        </is>
      </c>
      <c r="FD1881" s="15" t="inlineStr">
        <is>
          <t>SFWZ-67</t>
        </is>
      </c>
      <c r="FE1881" s="17" t="inlineStr">
        <is>
          <t>LVCB4L4D6NM002653</t>
        </is>
      </c>
      <c r="FF1881" s="18" t="inlineStr">
        <is>
          <t>M221100474</t>
        </is>
      </c>
      <c r="FG1881" s="18" t="inlineStr">
        <is>
          <t>FOTON</t>
        </is>
      </c>
      <c r="FH1881" s="18" t="inlineStr">
        <is>
          <t>EBUS U12 SC</t>
        </is>
      </c>
      <c r="FI1881" s="18" t="inlineStr">
        <is>
          <t>FOTON</t>
        </is>
      </c>
      <c r="FJ1881" s="18" t="inlineStr">
        <is>
          <t>EBUS U12 SC</t>
        </is>
      </c>
      <c r="FK1881" s="18" t="n">
        <v>2022</v>
      </c>
      <c r="FL1881" s="18" t="inlineStr">
        <is>
          <t>B</t>
        </is>
      </c>
      <c r="FM1881" s="18" t="inlineStr">
        <is>
          <t>Santa Rosa</t>
        </is>
      </c>
      <c r="FP1881" t="inlineStr">
        <is>
          <t>B</t>
        </is>
      </c>
    </row>
    <row r="1882">
      <c r="FC1882" t="inlineStr">
        <is>
          <t>Diccionario 2</t>
        </is>
      </c>
      <c r="FD1882" s="15" t="inlineStr">
        <is>
          <t>SFWZ-68</t>
        </is>
      </c>
      <c r="FE1882" s="17" t="inlineStr">
        <is>
          <t>LVCB4L4DXNM002655</t>
        </is>
      </c>
      <c r="FF1882" s="18" t="inlineStr">
        <is>
          <t>M221100411</t>
        </is>
      </c>
      <c r="FG1882" s="18" t="inlineStr">
        <is>
          <t>FOTON</t>
        </is>
      </c>
      <c r="FH1882" s="18" t="inlineStr">
        <is>
          <t>EBUS U12 SC</t>
        </is>
      </c>
      <c r="FI1882" s="18" t="inlineStr">
        <is>
          <t>FOTON</t>
        </is>
      </c>
      <c r="FJ1882" s="18" t="inlineStr">
        <is>
          <t>EBUS U12 SC</t>
        </is>
      </c>
      <c r="FK1882" s="18" t="n">
        <v>2022</v>
      </c>
      <c r="FL1882" s="18" t="inlineStr">
        <is>
          <t>B</t>
        </is>
      </c>
      <c r="FM1882" s="18" t="inlineStr">
        <is>
          <t>Santa Rosa</t>
        </is>
      </c>
      <c r="FP1882" t="inlineStr">
        <is>
          <t>B</t>
        </is>
      </c>
    </row>
    <row r="1883">
      <c r="FC1883" t="inlineStr">
        <is>
          <t>Diccionario 2</t>
        </is>
      </c>
      <c r="FD1883" s="15" t="inlineStr">
        <is>
          <t>SFWZ-69</t>
        </is>
      </c>
      <c r="FE1883" s="17" t="inlineStr">
        <is>
          <t>LVCB4L4D1NM002656</t>
        </is>
      </c>
      <c r="FF1883" s="18" t="inlineStr">
        <is>
          <t>M221100301</t>
        </is>
      </c>
      <c r="FG1883" s="18" t="inlineStr">
        <is>
          <t>FOTON</t>
        </is>
      </c>
      <c r="FH1883" s="18" t="inlineStr">
        <is>
          <t>EBUS U12 SC</t>
        </is>
      </c>
      <c r="FI1883" s="18" t="inlineStr">
        <is>
          <t>FOTON</t>
        </is>
      </c>
      <c r="FJ1883" s="18" t="inlineStr">
        <is>
          <t>EBUS U12 SC</t>
        </is>
      </c>
      <c r="FK1883" s="18" t="n">
        <v>2022</v>
      </c>
      <c r="FL1883" s="18" t="inlineStr">
        <is>
          <t>B</t>
        </is>
      </c>
      <c r="FM1883" s="18" t="inlineStr">
        <is>
          <t>Recoleta</t>
        </is>
      </c>
      <c r="FP1883" t="inlineStr">
        <is>
          <t>B</t>
        </is>
      </c>
    </row>
    <row r="1884">
      <c r="FC1884" t="inlineStr">
        <is>
          <t>Diccionario 2</t>
        </is>
      </c>
      <c r="FD1884" s="15" t="inlineStr">
        <is>
          <t>SFWZ-70</t>
        </is>
      </c>
      <c r="FE1884" s="17" t="inlineStr">
        <is>
          <t>LVCB4L4D3NM002657</t>
        </is>
      </c>
      <c r="FF1884" s="18" t="inlineStr">
        <is>
          <t>M221110532</t>
        </is>
      </c>
      <c r="FG1884" s="18" t="inlineStr">
        <is>
          <t>FOTON</t>
        </is>
      </c>
      <c r="FH1884" s="18" t="inlineStr">
        <is>
          <t>EBUS U12 SC</t>
        </is>
      </c>
      <c r="FI1884" s="18" t="inlineStr">
        <is>
          <t>FOTON</t>
        </is>
      </c>
      <c r="FJ1884" s="18" t="inlineStr">
        <is>
          <t>EBUS U12 SC</t>
        </is>
      </c>
      <c r="FK1884" s="18" t="n">
        <v>2022</v>
      </c>
      <c r="FL1884" s="18" t="inlineStr">
        <is>
          <t>B</t>
        </is>
      </c>
      <c r="FM1884" s="18" t="inlineStr">
        <is>
          <t>Santa Rosa</t>
        </is>
      </c>
      <c r="FP1884" t="inlineStr">
        <is>
          <t>B</t>
        </is>
      </c>
    </row>
    <row r="1885">
      <c r="FC1885" t="inlineStr">
        <is>
          <t>Diccionario 2</t>
        </is>
      </c>
      <c r="FD1885" s="15" t="inlineStr">
        <is>
          <t>SFWZ-73</t>
        </is>
      </c>
      <c r="FE1885" s="17" t="inlineStr">
        <is>
          <t>LVCB4L4D5NM002658</t>
        </is>
      </c>
      <c r="FF1885" s="18" t="inlineStr">
        <is>
          <t>M221100527</t>
        </is>
      </c>
      <c r="FG1885" s="18" t="inlineStr">
        <is>
          <t>FOTON</t>
        </is>
      </c>
      <c r="FH1885" s="18" t="inlineStr">
        <is>
          <t>EBUS U12 SC</t>
        </is>
      </c>
      <c r="FI1885" s="18" t="inlineStr">
        <is>
          <t>FOTON</t>
        </is>
      </c>
      <c r="FJ1885" s="18" t="inlineStr">
        <is>
          <t>EBUS U12 SC</t>
        </is>
      </c>
      <c r="FK1885" s="18" t="n">
        <v>2022</v>
      </c>
      <c r="FL1885" s="18" t="inlineStr">
        <is>
          <t>B</t>
        </is>
      </c>
      <c r="FM1885" s="18" t="inlineStr">
        <is>
          <t>Recoleta</t>
        </is>
      </c>
      <c r="FP1885" t="inlineStr">
        <is>
          <t>B</t>
        </is>
      </c>
    </row>
    <row r="1886">
      <c r="FC1886" t="inlineStr">
        <is>
          <t>Diccionario 2</t>
        </is>
      </c>
      <c r="FD1886" s="15" t="inlineStr">
        <is>
          <t>SFWZ-74</t>
        </is>
      </c>
      <c r="FE1886" s="17" t="inlineStr">
        <is>
          <t>LVCB4L4D7NM002659</t>
        </is>
      </c>
      <c r="FF1886" s="18" t="inlineStr">
        <is>
          <t>M221100403</t>
        </is>
      </c>
      <c r="FG1886" s="18" t="inlineStr">
        <is>
          <t>FOTON</t>
        </is>
      </c>
      <c r="FH1886" s="18" t="inlineStr">
        <is>
          <t>EBUS U12 SC</t>
        </is>
      </c>
      <c r="FI1886" s="18" t="inlineStr">
        <is>
          <t>FOTON</t>
        </is>
      </c>
      <c r="FJ1886" s="18" t="inlineStr">
        <is>
          <t>EBUS U12 SC</t>
        </is>
      </c>
      <c r="FK1886" s="18" t="n">
        <v>2022</v>
      </c>
      <c r="FL1886" s="18" t="inlineStr">
        <is>
          <t>B</t>
        </is>
      </c>
      <c r="FM1886" s="18" t="inlineStr">
        <is>
          <t>Santa Rosa</t>
        </is>
      </c>
      <c r="FP1886" t="inlineStr">
        <is>
          <t>B</t>
        </is>
      </c>
    </row>
    <row r="1887">
      <c r="FC1887" t="inlineStr">
        <is>
          <t>Diccionario 2</t>
        </is>
      </c>
      <c r="FD1887" s="15" t="inlineStr">
        <is>
          <t>SFWZ-75</t>
        </is>
      </c>
      <c r="FE1887" s="17" t="inlineStr">
        <is>
          <t>LVCB4L4D3NM002660</t>
        </is>
      </c>
      <c r="FF1887" s="18" t="inlineStr">
        <is>
          <t>M221100542</t>
        </is>
      </c>
      <c r="FG1887" s="18" t="inlineStr">
        <is>
          <t>FOTON</t>
        </is>
      </c>
      <c r="FH1887" s="18" t="inlineStr">
        <is>
          <t>EBUS U12 SC</t>
        </is>
      </c>
      <c r="FI1887" s="18" t="inlineStr">
        <is>
          <t>FOTON</t>
        </is>
      </c>
      <c r="FJ1887" s="18" t="inlineStr">
        <is>
          <t>EBUS U12 SC</t>
        </is>
      </c>
      <c r="FK1887" s="18" t="n">
        <v>2022</v>
      </c>
      <c r="FL1887" s="18" t="inlineStr">
        <is>
          <t>B</t>
        </is>
      </c>
      <c r="FM1887" s="18" t="inlineStr">
        <is>
          <t>Santa Rosa</t>
        </is>
      </c>
      <c r="FP1887" t="inlineStr">
        <is>
          <t>B</t>
        </is>
      </c>
    </row>
    <row r="1888">
      <c r="FC1888" t="inlineStr">
        <is>
          <t>Diccionario 2</t>
        </is>
      </c>
      <c r="FD1888" s="15" t="inlineStr">
        <is>
          <t>SFWZ-76</t>
        </is>
      </c>
      <c r="FE1888" s="17" t="inlineStr">
        <is>
          <t>LVCB4L4D5NM002661</t>
        </is>
      </c>
      <c r="FF1888" s="18" t="inlineStr">
        <is>
          <t>M221110527</t>
        </is>
      </c>
      <c r="FG1888" s="18" t="inlineStr">
        <is>
          <t>FOTON</t>
        </is>
      </c>
      <c r="FH1888" s="18" t="inlineStr">
        <is>
          <t>EBUS U12 SC</t>
        </is>
      </c>
      <c r="FI1888" s="18" t="inlineStr">
        <is>
          <t>FOTON</t>
        </is>
      </c>
      <c r="FJ1888" s="18" t="inlineStr">
        <is>
          <t>EBUS U12 SC</t>
        </is>
      </c>
      <c r="FK1888" s="18" t="n">
        <v>2022</v>
      </c>
      <c r="FL1888" s="18" t="inlineStr">
        <is>
          <t>B</t>
        </is>
      </c>
      <c r="FM1888" s="18" t="inlineStr">
        <is>
          <t>Santa Rosa</t>
        </is>
      </c>
      <c r="FP1888" t="inlineStr">
        <is>
          <t>B</t>
        </is>
      </c>
    </row>
    <row r="1889">
      <c r="FC1889" t="inlineStr">
        <is>
          <t>Diccionario 2</t>
        </is>
      </c>
      <c r="FD1889" s="15" t="inlineStr">
        <is>
          <t>SFWZ-77</t>
        </is>
      </c>
      <c r="FE1889" s="17" t="inlineStr">
        <is>
          <t>LVCB4L4D7NM002662</t>
        </is>
      </c>
      <c r="FF1889" s="18" t="inlineStr">
        <is>
          <t>M221100402</t>
        </is>
      </c>
      <c r="FG1889" s="18" t="inlineStr">
        <is>
          <t>FOTON</t>
        </is>
      </c>
      <c r="FH1889" s="18" t="inlineStr">
        <is>
          <t>EBUS U12 SC</t>
        </is>
      </c>
      <c r="FI1889" s="18" t="inlineStr">
        <is>
          <t>FOTON</t>
        </is>
      </c>
      <c r="FJ1889" s="18" t="inlineStr">
        <is>
          <t>EBUS U12 SC</t>
        </is>
      </c>
      <c r="FK1889" s="18" t="n">
        <v>2022</v>
      </c>
      <c r="FL1889" s="18" t="inlineStr">
        <is>
          <t>B</t>
        </is>
      </c>
      <c r="FM1889" s="18" t="inlineStr">
        <is>
          <t>Santa Rosa</t>
        </is>
      </c>
      <c r="FP1889" t="inlineStr">
        <is>
          <t>B</t>
        </is>
      </c>
    </row>
    <row r="1890">
      <c r="FC1890" t="inlineStr">
        <is>
          <t>Diccionario 2</t>
        </is>
      </c>
      <c r="FD1890" s="15" t="inlineStr">
        <is>
          <t>SFWZ-78</t>
        </is>
      </c>
      <c r="FE1890" s="17" t="inlineStr">
        <is>
          <t>LVCB4L4D9NM002663</t>
        </is>
      </c>
      <c r="FF1890" s="18" t="inlineStr">
        <is>
          <t>M221110019</t>
        </is>
      </c>
      <c r="FG1890" s="18" t="inlineStr">
        <is>
          <t>FOTON</t>
        </is>
      </c>
      <c r="FH1890" s="18" t="inlineStr">
        <is>
          <t>EBUS U12 SC</t>
        </is>
      </c>
      <c r="FI1890" s="18" t="inlineStr">
        <is>
          <t>FOTON</t>
        </is>
      </c>
      <c r="FJ1890" s="18" t="inlineStr">
        <is>
          <t>EBUS U12 SC</t>
        </is>
      </c>
      <c r="FK1890" s="18" t="n">
        <v>2022</v>
      </c>
      <c r="FL1890" s="18" t="inlineStr">
        <is>
          <t>B</t>
        </is>
      </c>
      <c r="FM1890" s="18" t="inlineStr">
        <is>
          <t>Santa Rosa</t>
        </is>
      </c>
      <c r="FP1890" t="inlineStr">
        <is>
          <t>B</t>
        </is>
      </c>
    </row>
    <row r="1891">
      <c r="FC1891" t="inlineStr">
        <is>
          <t>Diccionario 2</t>
        </is>
      </c>
      <c r="FD1891" s="15" t="inlineStr">
        <is>
          <t>SFWZ-80</t>
        </is>
      </c>
      <c r="FE1891" s="17" t="inlineStr">
        <is>
          <t>LVCB4L4D2NM002665</t>
        </is>
      </c>
      <c r="FF1891" s="18" t="inlineStr">
        <is>
          <t>M221100489</t>
        </is>
      </c>
      <c r="FG1891" s="18" t="inlineStr">
        <is>
          <t>FOTON</t>
        </is>
      </c>
      <c r="FH1891" s="18" t="inlineStr">
        <is>
          <t>EBUS U12 SC</t>
        </is>
      </c>
      <c r="FI1891" s="18" t="inlineStr">
        <is>
          <t>FOTON</t>
        </is>
      </c>
      <c r="FJ1891" s="18" t="inlineStr">
        <is>
          <t>EBUS U12 SC</t>
        </is>
      </c>
      <c r="FK1891" s="18" t="n">
        <v>2022</v>
      </c>
      <c r="FL1891" s="18" t="inlineStr">
        <is>
          <t>B</t>
        </is>
      </c>
      <c r="FM1891" s="18" t="inlineStr">
        <is>
          <t>Recoleta</t>
        </is>
      </c>
      <c r="FP1891" t="inlineStr">
        <is>
          <t>B</t>
        </is>
      </c>
    </row>
    <row r="1892">
      <c r="FC1892" t="inlineStr">
        <is>
          <t>Diccionario 2</t>
        </is>
      </c>
      <c r="FD1892" s="15" t="inlineStr">
        <is>
          <t>SFWZ-81</t>
        </is>
      </c>
      <c r="FE1892" s="17" t="inlineStr">
        <is>
          <t>LVCB4L4D4NM002666</t>
        </is>
      </c>
      <c r="FF1892" s="18" t="inlineStr">
        <is>
          <t>M221110651</t>
        </is>
      </c>
      <c r="FG1892" s="18" t="inlineStr">
        <is>
          <t>FOTON</t>
        </is>
      </c>
      <c r="FH1892" s="18" t="inlineStr">
        <is>
          <t>EBUS U12 SC</t>
        </is>
      </c>
      <c r="FI1892" s="18" t="inlineStr">
        <is>
          <t>FOTON</t>
        </is>
      </c>
      <c r="FJ1892" s="18" t="inlineStr">
        <is>
          <t>EBUS U12 SC</t>
        </is>
      </c>
      <c r="FK1892" s="18" t="n">
        <v>2022</v>
      </c>
      <c r="FL1892" s="18" t="inlineStr">
        <is>
          <t>B</t>
        </is>
      </c>
      <c r="FM1892" s="18" t="inlineStr">
        <is>
          <t>Recoleta</t>
        </is>
      </c>
      <c r="FP1892" t="inlineStr">
        <is>
          <t>B</t>
        </is>
      </c>
    </row>
    <row r="1893">
      <c r="FC1893" t="inlineStr">
        <is>
          <t>Diccionario 2</t>
        </is>
      </c>
      <c r="FD1893" s="15" t="inlineStr">
        <is>
          <t>SFWZ-82</t>
        </is>
      </c>
      <c r="FE1893" s="17" t="inlineStr">
        <is>
          <t>LVCB4L4D6NM002667</t>
        </is>
      </c>
      <c r="FF1893" s="18" t="inlineStr">
        <is>
          <t>M221100405</t>
        </is>
      </c>
      <c r="FG1893" s="18" t="inlineStr">
        <is>
          <t>FOTON</t>
        </is>
      </c>
      <c r="FH1893" s="18" t="inlineStr">
        <is>
          <t>EBUS U12 SC</t>
        </is>
      </c>
      <c r="FI1893" s="18" t="inlineStr">
        <is>
          <t>FOTON</t>
        </is>
      </c>
      <c r="FJ1893" s="18" t="inlineStr">
        <is>
          <t>EBUS U12 SC</t>
        </is>
      </c>
      <c r="FK1893" s="18" t="n">
        <v>2022</v>
      </c>
      <c r="FL1893" s="18" t="inlineStr">
        <is>
          <t>B</t>
        </is>
      </c>
      <c r="FM1893" s="18" t="inlineStr">
        <is>
          <t>Recoleta</t>
        </is>
      </c>
      <c r="FP1893" t="inlineStr">
        <is>
          <t>B</t>
        </is>
      </c>
    </row>
    <row r="1894">
      <c r="FC1894" t="inlineStr">
        <is>
          <t>Diccionario 2</t>
        </is>
      </c>
      <c r="FD1894" s="15" t="inlineStr">
        <is>
          <t>SFWZ-83</t>
        </is>
      </c>
      <c r="FE1894" s="17" t="inlineStr">
        <is>
          <t>LVCB4L4D8NM002668</t>
        </is>
      </c>
      <c r="FF1894" s="18" t="inlineStr">
        <is>
          <t>M221100526</t>
        </is>
      </c>
      <c r="FG1894" s="18" t="inlineStr">
        <is>
          <t>FOTON</t>
        </is>
      </c>
      <c r="FH1894" s="18" t="inlineStr">
        <is>
          <t>EBUS U12 SC</t>
        </is>
      </c>
      <c r="FI1894" s="18" t="inlineStr">
        <is>
          <t>FOTON</t>
        </is>
      </c>
      <c r="FJ1894" s="18" t="inlineStr">
        <is>
          <t>EBUS U12 SC</t>
        </is>
      </c>
      <c r="FK1894" s="18" t="n">
        <v>2022</v>
      </c>
      <c r="FL1894" s="18" t="inlineStr">
        <is>
          <t>B</t>
        </is>
      </c>
      <c r="FM1894" s="18" t="inlineStr">
        <is>
          <t>Recoleta</t>
        </is>
      </c>
      <c r="FP1894" t="inlineStr">
        <is>
          <t>B</t>
        </is>
      </c>
    </row>
    <row r="1895">
      <c r="FC1895" t="inlineStr">
        <is>
          <t>Diccionario 2</t>
        </is>
      </c>
      <c r="FD1895" s="15" t="inlineStr">
        <is>
          <t>SFWZ-85</t>
        </is>
      </c>
      <c r="FE1895" s="17" t="inlineStr">
        <is>
          <t>LVCB4L4DXNM002669</t>
        </is>
      </c>
      <c r="FF1895" s="18" t="inlineStr">
        <is>
          <t>M221110534</t>
        </is>
      </c>
      <c r="FG1895" s="18" t="inlineStr">
        <is>
          <t>FOTON</t>
        </is>
      </c>
      <c r="FH1895" s="18" t="inlineStr">
        <is>
          <t>EBUS U12 SC</t>
        </is>
      </c>
      <c r="FI1895" s="18" t="inlineStr">
        <is>
          <t>FOTON</t>
        </is>
      </c>
      <c r="FJ1895" s="18" t="inlineStr">
        <is>
          <t>EBUS U12 SC</t>
        </is>
      </c>
      <c r="FK1895" s="18" t="n">
        <v>2022</v>
      </c>
      <c r="FL1895" s="18" t="inlineStr">
        <is>
          <t>B</t>
        </is>
      </c>
      <c r="FM1895" s="18" t="inlineStr">
        <is>
          <t>Santa Rosa</t>
        </is>
      </c>
      <c r="FP1895" t="inlineStr">
        <is>
          <t>B</t>
        </is>
      </c>
    </row>
    <row r="1896">
      <c r="FC1896" t="inlineStr">
        <is>
          <t>Diccionario 2</t>
        </is>
      </c>
      <c r="FD1896" s="15" t="inlineStr">
        <is>
          <t>SXKV-97</t>
        </is>
      </c>
      <c r="FE1896" s="17" t="inlineStr">
        <is>
          <t>YV3T7U520RA212108</t>
        </is>
      </c>
      <c r="FF1896" s="18" t="n">
        <v>593521</v>
      </c>
      <c r="FG1896" s="18" t="inlineStr">
        <is>
          <t>VOLVO</t>
        </is>
      </c>
      <c r="FH1896" s="18" t="inlineStr">
        <is>
          <t>B8RLEA</t>
        </is>
      </c>
      <c r="FI1896" s="18" t="inlineStr">
        <is>
          <t>MARCOPOLO</t>
        </is>
      </c>
      <c r="FJ1896" s="18" t="inlineStr">
        <is>
          <t>GRAN VIALE</t>
        </is>
      </c>
      <c r="FK1896" s="18" t="n">
        <v>2023</v>
      </c>
      <c r="FL1896" s="18" t="inlineStr">
        <is>
          <t>C</t>
        </is>
      </c>
      <c r="FM1896" s="18" t="inlineStr">
        <is>
          <t>Santa Rosa</t>
        </is>
      </c>
      <c r="FP1896" t="inlineStr">
        <is>
          <t>C</t>
        </is>
      </c>
    </row>
    <row r="1897">
      <c r="FC1897" t="inlineStr">
        <is>
          <t>Diccionario 2</t>
        </is>
      </c>
      <c r="FD1897" s="15" t="inlineStr">
        <is>
          <t>SXKV-98</t>
        </is>
      </c>
      <c r="FE1897" s="17" t="inlineStr">
        <is>
          <t>YV3T7U522RA212112</t>
        </is>
      </c>
      <c r="FF1897" s="18" t="n">
        <v>593751</v>
      </c>
      <c r="FG1897" s="18" t="inlineStr">
        <is>
          <t>VOLVO</t>
        </is>
      </c>
      <c r="FH1897" s="18" t="inlineStr">
        <is>
          <t>B8RLEA</t>
        </is>
      </c>
      <c r="FI1897" s="18" t="inlineStr">
        <is>
          <t>MARCOPOLO</t>
        </is>
      </c>
      <c r="FJ1897" s="18" t="inlineStr">
        <is>
          <t>GRAN VIALE</t>
        </is>
      </c>
      <c r="FK1897" s="18" t="n">
        <v>2023</v>
      </c>
      <c r="FL1897" s="18" t="inlineStr">
        <is>
          <t>C</t>
        </is>
      </c>
      <c r="FM1897" s="18" t="inlineStr">
        <is>
          <t>Santa Rosa</t>
        </is>
      </c>
      <c r="FP1897" t="inlineStr">
        <is>
          <t>C</t>
        </is>
      </c>
    </row>
    <row r="1898">
      <c r="FC1898" t="inlineStr">
        <is>
          <t>Diccionario 2</t>
        </is>
      </c>
      <c r="FD1898" s="15" t="inlineStr">
        <is>
          <t>SXKV-99</t>
        </is>
      </c>
      <c r="FE1898" s="17" t="inlineStr">
        <is>
          <t>YV3T7U525RA212217</t>
        </is>
      </c>
      <c r="FF1898" s="18" t="n">
        <v>595002</v>
      </c>
      <c r="FG1898" s="18" t="inlineStr">
        <is>
          <t>VOLVO</t>
        </is>
      </c>
      <c r="FH1898" s="18" t="inlineStr">
        <is>
          <t>B8RLEA</t>
        </is>
      </c>
      <c r="FI1898" s="18" t="inlineStr">
        <is>
          <t>MARCOPOLO</t>
        </is>
      </c>
      <c r="FJ1898" s="18" t="inlineStr">
        <is>
          <t>GRAN VIALE</t>
        </is>
      </c>
      <c r="FK1898" s="18" t="n">
        <v>2023</v>
      </c>
      <c r="FL1898" s="18" t="inlineStr">
        <is>
          <t>C</t>
        </is>
      </c>
      <c r="FM1898" s="18" t="inlineStr">
        <is>
          <t>Santa Rosa</t>
        </is>
      </c>
      <c r="FP1898" t="inlineStr">
        <is>
          <t>C</t>
        </is>
      </c>
    </row>
    <row r="1899">
      <c r="FC1899" t="inlineStr">
        <is>
          <t>Diccionario 2</t>
        </is>
      </c>
      <c r="FD1899" s="15" t="inlineStr">
        <is>
          <t>TBZB-24</t>
        </is>
      </c>
      <c r="FE1899" s="17" t="inlineStr">
        <is>
          <t>YV3T7U523RA212314</t>
        </is>
      </c>
      <c r="FF1899" s="18" t="n">
        <v>598537</v>
      </c>
      <c r="FG1899" s="18" t="inlineStr">
        <is>
          <t>VOLVO</t>
        </is>
      </c>
      <c r="FH1899" s="18" t="inlineStr">
        <is>
          <t>B8RLEA</t>
        </is>
      </c>
      <c r="FI1899" s="18" t="inlineStr">
        <is>
          <t>MARCOPOLO</t>
        </is>
      </c>
      <c r="FJ1899" s="18" t="inlineStr">
        <is>
          <t>GRAN VIALE</t>
        </is>
      </c>
      <c r="FK1899" s="18" t="n">
        <v>2023</v>
      </c>
      <c r="FL1899" s="18" t="inlineStr">
        <is>
          <t>C</t>
        </is>
      </c>
      <c r="FM1899" s="18" t="inlineStr">
        <is>
          <t>Santa Rosa</t>
        </is>
      </c>
      <c r="FP1899" t="inlineStr">
        <is>
          <t>C</t>
        </is>
      </c>
    </row>
    <row r="1900">
      <c r="FC1900" t="inlineStr">
        <is>
          <t>Diccionario 2</t>
        </is>
      </c>
      <c r="FD1900" s="15" t="inlineStr">
        <is>
          <t>VLSZ-25</t>
        </is>
      </c>
      <c r="FE1900" s="17" t="inlineStr">
        <is>
          <t>LDYECS315S0045859</t>
        </is>
      </c>
      <c r="FF1900" s="18" t="inlineStr">
        <is>
          <t>MDN35025030200</t>
        </is>
      </c>
      <c r="FG1900" s="18" t="inlineStr">
        <is>
          <t>Zhong Thong</t>
        </is>
      </c>
      <c r="FH1900" s="18" t="inlineStr">
        <is>
          <t>Lck6122evg</t>
        </is>
      </c>
      <c r="FI1900" s="18" t="inlineStr">
        <is>
          <t>Zhong Thong</t>
        </is>
      </c>
      <c r="FJ1900" s="18" t="inlineStr">
        <is>
          <t>Lck6122evg</t>
        </is>
      </c>
      <c r="FK1900" s="18" t="n">
        <v>2026</v>
      </c>
      <c r="FL1900" s="18" t="inlineStr">
        <is>
          <t>B</t>
        </is>
      </c>
      <c r="FM1900" s="18" t="inlineStr">
        <is>
          <t>Las Acacias</t>
        </is>
      </c>
      <c r="FP1900" t="inlineStr">
        <is>
          <t>B</t>
        </is>
      </c>
    </row>
    <row r="1901">
      <c r="FC1901" t="inlineStr">
        <is>
          <t>Diccionario 2</t>
        </is>
      </c>
      <c r="FD1901" s="15" t="inlineStr">
        <is>
          <t>VLSZ-26</t>
        </is>
      </c>
      <c r="FE1901" s="17" t="inlineStr">
        <is>
          <t>LDYECS313S0045858</t>
        </is>
      </c>
      <c r="FF1901" s="18" t="inlineStr">
        <is>
          <t>MDN35025030201</t>
        </is>
      </c>
      <c r="FG1901" s="18" t="inlineStr">
        <is>
          <t>Zhong Thong</t>
        </is>
      </c>
      <c r="FH1901" s="18" t="inlineStr">
        <is>
          <t>Lck6122evg</t>
        </is>
      </c>
      <c r="FI1901" s="18" t="inlineStr">
        <is>
          <t>Zhong Thong</t>
        </is>
      </c>
      <c r="FJ1901" s="18" t="inlineStr">
        <is>
          <t>Lck6122evg</t>
        </is>
      </c>
      <c r="FK1901" s="18" t="n">
        <v>2026</v>
      </c>
      <c r="FL1901" s="18" t="inlineStr">
        <is>
          <t>B</t>
        </is>
      </c>
      <c r="FM1901" s="18" t="inlineStr">
        <is>
          <t>Las Acacias</t>
        </is>
      </c>
      <c r="FP1901" t="inlineStr">
        <is>
          <t>B</t>
        </is>
      </c>
    </row>
    <row r="1902">
      <c r="FC1902" t="inlineStr">
        <is>
          <t>Diccionario 2</t>
        </is>
      </c>
      <c r="FD1902" s="15" t="inlineStr">
        <is>
          <t>VLSZ-46</t>
        </is>
      </c>
      <c r="FE1902" s="17" t="inlineStr">
        <is>
          <t>LDYECS313S0045777</t>
        </is>
      </c>
      <c r="FF1902" s="18" t="inlineStr">
        <is>
          <t>MDN35025030141</t>
        </is>
      </c>
      <c r="FG1902" s="18" t="inlineStr">
        <is>
          <t>Zhong Thong</t>
        </is>
      </c>
      <c r="FH1902" s="18" t="inlineStr">
        <is>
          <t>Lck6122evg</t>
        </is>
      </c>
      <c r="FI1902" s="18" t="inlineStr">
        <is>
          <t>Zhong Thong</t>
        </is>
      </c>
      <c r="FJ1902" s="18" t="inlineStr">
        <is>
          <t>Lck6122evg</t>
        </is>
      </c>
      <c r="FK1902" s="18" t="n">
        <v>2026</v>
      </c>
      <c r="FL1902" s="18" t="inlineStr">
        <is>
          <t>B</t>
        </is>
      </c>
      <c r="FM1902" s="18" t="inlineStr">
        <is>
          <t>Las Acacias</t>
        </is>
      </c>
      <c r="FP1902" t="inlineStr">
        <is>
          <t>B</t>
        </is>
      </c>
    </row>
    <row r="1903">
      <c r="FC1903" t="inlineStr">
        <is>
          <t>Diccionario 2</t>
        </is>
      </c>
      <c r="FD1903" s="15" t="inlineStr">
        <is>
          <t>VLSZ-52</t>
        </is>
      </c>
      <c r="FE1903" s="17" t="inlineStr">
        <is>
          <t>LDYECS314S0045772</t>
        </is>
      </c>
      <c r="FF1903" s="18" t="inlineStr">
        <is>
          <t>MDN35025030143</t>
        </is>
      </c>
      <c r="FG1903" s="18" t="inlineStr">
        <is>
          <t>Zhong Thong</t>
        </is>
      </c>
      <c r="FH1903" s="18" t="inlineStr">
        <is>
          <t>Lck6122evg</t>
        </is>
      </c>
      <c r="FI1903" s="18" t="inlineStr">
        <is>
          <t>Zhong Thong</t>
        </is>
      </c>
      <c r="FJ1903" s="18" t="inlineStr">
        <is>
          <t>Lck6122evg</t>
        </is>
      </c>
      <c r="FK1903" s="18" t="n">
        <v>2026</v>
      </c>
      <c r="FL1903" s="18" t="inlineStr">
        <is>
          <t>B</t>
        </is>
      </c>
      <c r="FM1903" s="18" t="inlineStr">
        <is>
          <t>Las Acacias</t>
        </is>
      </c>
      <c r="FP1903" t="inlineStr">
        <is>
          <t>B</t>
        </is>
      </c>
    </row>
    <row r="1904">
      <c r="FC1904" t="inlineStr">
        <is>
          <t>Diccionario 2</t>
        </is>
      </c>
      <c r="FD1904" s="15" t="inlineStr">
        <is>
          <t>VLSZ-54</t>
        </is>
      </c>
      <c r="FE1904" s="17" t="inlineStr">
        <is>
          <t>LDYECS318S0045869</t>
        </is>
      </c>
      <c r="FF1904" s="18" t="inlineStr">
        <is>
          <t>MDN35025030203</t>
        </is>
      </c>
      <c r="FG1904" s="18" t="inlineStr">
        <is>
          <t>Zhong Thong</t>
        </is>
      </c>
      <c r="FH1904" s="18" t="inlineStr">
        <is>
          <t>Lck6122evg</t>
        </is>
      </c>
      <c r="FI1904" s="18" t="inlineStr">
        <is>
          <t>Zhong Thong</t>
        </is>
      </c>
      <c r="FJ1904" s="18" t="inlineStr">
        <is>
          <t>Lck6122evg</t>
        </is>
      </c>
      <c r="FK1904" s="18" t="n">
        <v>2026</v>
      </c>
      <c r="FL1904" s="18" t="inlineStr">
        <is>
          <t>B</t>
        </is>
      </c>
      <c r="FM1904" s="18" t="inlineStr">
        <is>
          <t>Las Acacias</t>
        </is>
      </c>
      <c r="FP1904" t="inlineStr">
        <is>
          <t>B</t>
        </is>
      </c>
    </row>
    <row r="1905">
      <c r="FC1905" t="inlineStr">
        <is>
          <t>Diccionario 2</t>
        </is>
      </c>
      <c r="FD1905" s="15" t="inlineStr">
        <is>
          <t>VLSZ-65</t>
        </is>
      </c>
      <c r="FE1905" s="17" t="inlineStr">
        <is>
          <t>LDYECS311S0045860</t>
        </is>
      </c>
      <c r="FF1905" s="18" t="inlineStr">
        <is>
          <t>MDN35025030275</t>
        </is>
      </c>
      <c r="FG1905" s="18" t="inlineStr">
        <is>
          <t>Zhong Thong</t>
        </is>
      </c>
      <c r="FH1905" s="18" t="inlineStr">
        <is>
          <t>Lck6122evg</t>
        </is>
      </c>
      <c r="FI1905" s="18" t="inlineStr">
        <is>
          <t>Zhong Thong</t>
        </is>
      </c>
      <c r="FJ1905" s="18" t="inlineStr">
        <is>
          <t>Lck6122evg</t>
        </is>
      </c>
      <c r="FK1905" s="18" t="n">
        <v>2026</v>
      </c>
      <c r="FL1905" s="18" t="inlineStr">
        <is>
          <t>B</t>
        </is>
      </c>
      <c r="FM1905" s="18" t="inlineStr">
        <is>
          <t>Las Acacias</t>
        </is>
      </c>
      <c r="FP1905" t="inlineStr">
        <is>
          <t>B</t>
        </is>
      </c>
    </row>
    <row r="1906">
      <c r="FC1906" t="inlineStr">
        <is>
          <t>Diccionario 2</t>
        </is>
      </c>
      <c r="FD1906" s="15" t="inlineStr">
        <is>
          <t>VLSZ-68</t>
        </is>
      </c>
      <c r="FE1906" s="17" t="inlineStr">
        <is>
          <t>LDYECS316S0045868</t>
        </is>
      </c>
      <c r="FF1906" s="18" t="inlineStr">
        <is>
          <t>MDN35025030262</t>
        </is>
      </c>
      <c r="FG1906" s="18" t="inlineStr">
        <is>
          <t>Zhong Thong</t>
        </is>
      </c>
      <c r="FH1906" s="18" t="inlineStr">
        <is>
          <t>Lck6122evg</t>
        </is>
      </c>
      <c r="FI1906" s="18" t="inlineStr">
        <is>
          <t>Zhong Thong</t>
        </is>
      </c>
      <c r="FJ1906" s="18" t="inlineStr">
        <is>
          <t>Lck6122evg</t>
        </is>
      </c>
      <c r="FK1906" s="18" t="n">
        <v>2026</v>
      </c>
      <c r="FL1906" s="18" t="inlineStr">
        <is>
          <t>B</t>
        </is>
      </c>
      <c r="FM1906" s="18" t="inlineStr">
        <is>
          <t>Las Acacias</t>
        </is>
      </c>
      <c r="FP1906" t="inlineStr">
        <is>
          <t>B</t>
        </is>
      </c>
    </row>
    <row r="1907">
      <c r="FC1907" t="inlineStr">
        <is>
          <t>Diccionario 2</t>
        </is>
      </c>
      <c r="FD1907" s="15" t="inlineStr">
        <is>
          <t>VLSZ-75</t>
        </is>
      </c>
      <c r="FE1907" s="17" t="inlineStr">
        <is>
          <t>LDYECS312S0045785</t>
        </is>
      </c>
      <c r="FF1907" s="18" t="inlineStr">
        <is>
          <t>MDN35025030159</t>
        </is>
      </c>
      <c r="FG1907" s="18" t="inlineStr">
        <is>
          <t>Zhong Thong</t>
        </is>
      </c>
      <c r="FH1907" s="18" t="inlineStr">
        <is>
          <t>Lck6122evg</t>
        </is>
      </c>
      <c r="FI1907" s="18" t="inlineStr">
        <is>
          <t>Zhong Thong</t>
        </is>
      </c>
      <c r="FJ1907" s="18" t="inlineStr">
        <is>
          <t>Lck6122evg</t>
        </is>
      </c>
      <c r="FK1907" s="18" t="n">
        <v>2026</v>
      </c>
      <c r="FL1907" s="18" t="inlineStr">
        <is>
          <t>B</t>
        </is>
      </c>
      <c r="FM1907" s="18" t="inlineStr">
        <is>
          <t>Las Acacias</t>
        </is>
      </c>
      <c r="FP1907" t="inlineStr">
        <is>
          <t>B</t>
        </is>
      </c>
    </row>
    <row r="1908">
      <c r="FC1908" t="inlineStr">
        <is>
          <t>Diccionario 2</t>
        </is>
      </c>
      <c r="FD1908" s="15" t="inlineStr">
        <is>
          <t>VLTB-15</t>
        </is>
      </c>
      <c r="FE1908" s="17" t="inlineStr">
        <is>
          <t>LDYECS31XS0045873</t>
        </is>
      </c>
      <c r="FF1908" s="18" t="inlineStr">
        <is>
          <t>MDN35025030290</t>
        </is>
      </c>
      <c r="FG1908" s="18" t="inlineStr">
        <is>
          <t>Zhong Thong</t>
        </is>
      </c>
      <c r="FH1908" s="18" t="inlineStr">
        <is>
          <t>Lck6122evg</t>
        </is>
      </c>
      <c r="FI1908" s="18" t="inlineStr">
        <is>
          <t>Zhong Thong</t>
        </is>
      </c>
      <c r="FJ1908" s="18" t="inlineStr">
        <is>
          <t>Lck6122evg</t>
        </is>
      </c>
      <c r="FK1908" s="18" t="n">
        <v>2026</v>
      </c>
      <c r="FL1908" s="18" t="inlineStr">
        <is>
          <t>B</t>
        </is>
      </c>
      <c r="FM1908" s="18" t="inlineStr">
        <is>
          <t>Las Acacias</t>
        </is>
      </c>
      <c r="FP1908" t="inlineStr">
        <is>
          <t>B</t>
        </is>
      </c>
    </row>
    <row r="1909">
      <c r="FC1909" t="inlineStr">
        <is>
          <t>Diccionario 2</t>
        </is>
      </c>
      <c r="FD1909" s="15" t="inlineStr">
        <is>
          <t>VLTB-35</t>
        </is>
      </c>
      <c r="FE1909" s="17" t="inlineStr">
        <is>
          <t>LDYECS319S0045783</t>
        </is>
      </c>
      <c r="FF1909" s="18" t="inlineStr">
        <is>
          <t>MDN35025030314</t>
        </is>
      </c>
      <c r="FG1909" s="18" t="inlineStr">
        <is>
          <t>Zhong Thong</t>
        </is>
      </c>
      <c r="FH1909" s="18" t="inlineStr">
        <is>
          <t>Lck6122evg</t>
        </is>
      </c>
      <c r="FI1909" s="18" t="inlineStr">
        <is>
          <t>Zhong Thong</t>
        </is>
      </c>
      <c r="FJ1909" s="18" t="inlineStr">
        <is>
          <t>Lck6122evg</t>
        </is>
      </c>
      <c r="FK1909" s="18" t="n">
        <v>2026</v>
      </c>
      <c r="FL1909" s="18" t="inlineStr">
        <is>
          <t>B</t>
        </is>
      </c>
      <c r="FM1909" s="18" t="inlineStr">
        <is>
          <t>Las Acacias</t>
        </is>
      </c>
      <c r="FP1909" t="inlineStr">
        <is>
          <t>B</t>
        </is>
      </c>
    </row>
    <row r="1910">
      <c r="FC1910" t="inlineStr">
        <is>
          <t>Diccionario 2</t>
        </is>
      </c>
      <c r="FD1910" s="15" t="inlineStr">
        <is>
          <t>VLTB-43</t>
        </is>
      </c>
      <c r="FE1910" s="17" t="inlineStr">
        <is>
          <t>LDYECS315S0045778</t>
        </is>
      </c>
      <c r="FF1910" s="18" t="inlineStr">
        <is>
          <t>MDN35025030280</t>
        </is>
      </c>
      <c r="FG1910" s="18" t="inlineStr">
        <is>
          <t>Zhong Thong</t>
        </is>
      </c>
      <c r="FH1910" s="18" t="inlineStr">
        <is>
          <t>Lck6122evg</t>
        </is>
      </c>
      <c r="FI1910" s="18" t="inlineStr">
        <is>
          <t>Zhong Thong</t>
        </is>
      </c>
      <c r="FJ1910" s="18" t="inlineStr">
        <is>
          <t>Lck6122evg</t>
        </is>
      </c>
      <c r="FK1910" s="18" t="n">
        <v>2026</v>
      </c>
      <c r="FL1910" s="18" t="inlineStr">
        <is>
          <t>B</t>
        </is>
      </c>
      <c r="FM1910" s="18" t="inlineStr">
        <is>
          <t>Las Acacias</t>
        </is>
      </c>
      <c r="FP1910" t="inlineStr">
        <is>
          <t>B</t>
        </is>
      </c>
    </row>
    <row r="1911">
      <c r="FC1911" t="inlineStr">
        <is>
          <t>Diccionario 2</t>
        </is>
      </c>
      <c r="FD1911" s="15" t="inlineStr">
        <is>
          <t>VLTB-85</t>
        </is>
      </c>
      <c r="FE1911" s="17" t="inlineStr">
        <is>
          <t>LDYECS316S0045787</t>
        </is>
      </c>
      <c r="FF1911" s="18" t="inlineStr">
        <is>
          <t>MDN35025030176</t>
        </is>
      </c>
      <c r="FG1911" s="18" t="inlineStr">
        <is>
          <t>Zhong Thong</t>
        </is>
      </c>
      <c r="FH1911" s="18" t="inlineStr">
        <is>
          <t>Lck6122evg</t>
        </is>
      </c>
      <c r="FI1911" s="18" t="inlineStr">
        <is>
          <t>Zhong Thong</t>
        </is>
      </c>
      <c r="FJ1911" s="18" t="inlineStr">
        <is>
          <t>Lck6122evg</t>
        </is>
      </c>
      <c r="FK1911" s="18" t="n">
        <v>2026</v>
      </c>
      <c r="FL1911" s="18" t="inlineStr">
        <is>
          <t>B</t>
        </is>
      </c>
      <c r="FM1911" s="18" t="inlineStr">
        <is>
          <t>Las Acacias</t>
        </is>
      </c>
      <c r="FP1911" t="inlineStr">
        <is>
          <t>B</t>
        </is>
      </c>
    </row>
    <row r="1912">
      <c r="FC1912" t="inlineStr">
        <is>
          <t>Diccionario 2</t>
        </is>
      </c>
      <c r="FD1912" s="15" t="inlineStr">
        <is>
          <t>VLTB-93</t>
        </is>
      </c>
      <c r="FE1912" s="17" t="inlineStr">
        <is>
          <t>LDYECS313S0045780</t>
        </is>
      </c>
      <c r="FF1912" s="18" t="inlineStr">
        <is>
          <t>MDN35025030190</t>
        </is>
      </c>
      <c r="FG1912" s="18" t="inlineStr">
        <is>
          <t>Zhong Thong</t>
        </is>
      </c>
      <c r="FH1912" s="18" t="inlineStr">
        <is>
          <t>Lck6122evg</t>
        </is>
      </c>
      <c r="FI1912" s="18" t="inlineStr">
        <is>
          <t>Zhong Thong</t>
        </is>
      </c>
      <c r="FJ1912" s="18" t="inlineStr">
        <is>
          <t>Lck6122evg</t>
        </is>
      </c>
      <c r="FK1912" s="18" t="n">
        <v>2026</v>
      </c>
      <c r="FL1912" s="18" t="inlineStr">
        <is>
          <t>B</t>
        </is>
      </c>
      <c r="FM1912" s="18" t="inlineStr">
        <is>
          <t>Las Acacias</t>
        </is>
      </c>
      <c r="FP1912" t="inlineStr">
        <is>
          <t>B</t>
        </is>
      </c>
    </row>
    <row r="1913">
      <c r="FC1913" t="inlineStr">
        <is>
          <t>Diccionario 2</t>
        </is>
      </c>
      <c r="FD1913" s="15" t="inlineStr">
        <is>
          <t>VLTB-94</t>
        </is>
      </c>
      <c r="FE1913" s="17" t="inlineStr">
        <is>
          <t>LDYECS311S0045776</t>
        </is>
      </c>
      <c r="FF1913" s="18" t="inlineStr">
        <is>
          <t>MDN35025030167</t>
        </is>
      </c>
      <c r="FG1913" s="18" t="inlineStr">
        <is>
          <t>Zhong Thong</t>
        </is>
      </c>
      <c r="FH1913" s="18" t="inlineStr">
        <is>
          <t>Lck6122evg</t>
        </is>
      </c>
      <c r="FI1913" s="18" t="inlineStr">
        <is>
          <t>Zhong Thong</t>
        </is>
      </c>
      <c r="FJ1913" s="18" t="inlineStr">
        <is>
          <t>Lck6122evg</t>
        </is>
      </c>
      <c r="FK1913" s="18" t="n">
        <v>2026</v>
      </c>
      <c r="FL1913" s="18" t="inlineStr">
        <is>
          <t>B</t>
        </is>
      </c>
      <c r="FM1913" s="18" t="inlineStr">
        <is>
          <t>Las Acacias</t>
        </is>
      </c>
      <c r="FP1913" t="inlineStr">
        <is>
          <t>B</t>
        </is>
      </c>
    </row>
    <row r="1914">
      <c r="FC1914" t="inlineStr">
        <is>
          <t>Diccionario 2</t>
        </is>
      </c>
      <c r="FD1914" s="15" t="inlineStr">
        <is>
          <t>VLTC-16</t>
        </is>
      </c>
      <c r="FE1914" s="17" t="inlineStr">
        <is>
          <t>LDYECS317S0045782</t>
        </is>
      </c>
      <c r="FF1914" s="18" t="inlineStr">
        <is>
          <t>MDN35025030212</t>
        </is>
      </c>
      <c r="FG1914" s="18" t="inlineStr">
        <is>
          <t>Zhong Thong</t>
        </is>
      </c>
      <c r="FH1914" s="18" t="inlineStr">
        <is>
          <t>Lck6122evg</t>
        </is>
      </c>
      <c r="FI1914" s="18" t="inlineStr">
        <is>
          <t>Zhong Thong</t>
        </is>
      </c>
      <c r="FJ1914" s="18" t="inlineStr">
        <is>
          <t>Lck6122evg</t>
        </is>
      </c>
      <c r="FK1914" s="18" t="n">
        <v>2026</v>
      </c>
      <c r="FL1914" s="18" t="inlineStr">
        <is>
          <t>B</t>
        </is>
      </c>
      <c r="FM1914" s="18" t="inlineStr">
        <is>
          <t>Las Acacias</t>
        </is>
      </c>
      <c r="FP1914" t="inlineStr">
        <is>
          <t>B</t>
        </is>
      </c>
    </row>
    <row r="1915">
      <c r="FC1915" t="inlineStr">
        <is>
          <t>Diccionario 2</t>
        </is>
      </c>
      <c r="FD1915" s="15" t="inlineStr">
        <is>
          <t>VLTC-17</t>
        </is>
      </c>
      <c r="FE1915" s="17" t="inlineStr">
        <is>
          <t>LDYECS316S0045885</t>
        </is>
      </c>
      <c r="FF1915" s="18" t="inlineStr">
        <is>
          <t>MDN35025030187</t>
        </is>
      </c>
      <c r="FG1915" s="18" t="inlineStr">
        <is>
          <t>Zhong Thong</t>
        </is>
      </c>
      <c r="FH1915" s="18" t="inlineStr">
        <is>
          <t>Lck6122evg</t>
        </is>
      </c>
      <c r="FI1915" s="18" t="inlineStr">
        <is>
          <t>Zhong Thong</t>
        </is>
      </c>
      <c r="FJ1915" s="18" t="inlineStr">
        <is>
          <t>Lck6122evg</t>
        </is>
      </c>
      <c r="FK1915" s="18" t="n">
        <v>2026</v>
      </c>
      <c r="FL1915" s="18" t="inlineStr">
        <is>
          <t>B</t>
        </is>
      </c>
      <c r="FM1915" s="18" t="inlineStr">
        <is>
          <t>Las Acacias</t>
        </is>
      </c>
      <c r="FP1915" t="inlineStr">
        <is>
          <t>B</t>
        </is>
      </c>
    </row>
    <row r="1916">
      <c r="FC1916" t="inlineStr">
        <is>
          <t>Diccionario 2</t>
        </is>
      </c>
      <c r="FD1916" s="15" t="inlineStr">
        <is>
          <t>VLTC-21</t>
        </is>
      </c>
      <c r="FE1916" s="17" t="inlineStr">
        <is>
          <t>LDYECS311S0045745</t>
        </is>
      </c>
      <c r="FF1916" s="18" t="inlineStr">
        <is>
          <t>MDN35025030007</t>
        </is>
      </c>
      <c r="FG1916" s="18" t="inlineStr">
        <is>
          <t>Zhong Thong</t>
        </is>
      </c>
      <c r="FH1916" s="18" t="inlineStr">
        <is>
          <t>Lck6122evg</t>
        </is>
      </c>
      <c r="FI1916" s="18" t="inlineStr">
        <is>
          <t>Zhong Thong</t>
        </is>
      </c>
      <c r="FJ1916" s="18" t="inlineStr">
        <is>
          <t>Lck6122evg</t>
        </is>
      </c>
      <c r="FK1916" s="18" t="n">
        <v>2026</v>
      </c>
      <c r="FL1916" s="18" t="inlineStr">
        <is>
          <t>B</t>
        </is>
      </c>
      <c r="FM1916" s="18" t="inlineStr">
        <is>
          <t>Las Acacias</t>
        </is>
      </c>
      <c r="FP1916" t="inlineStr">
        <is>
          <t>B</t>
        </is>
      </c>
    </row>
    <row r="1917">
      <c r="FC1917" t="inlineStr">
        <is>
          <t>Diccionario 2</t>
        </is>
      </c>
      <c r="FD1917" s="15" t="inlineStr">
        <is>
          <t>VLTC-23</t>
        </is>
      </c>
      <c r="FE1917" s="17" t="inlineStr">
        <is>
          <t>LDYECS31XS0045789</t>
        </is>
      </c>
      <c r="FF1917" s="18" t="inlineStr">
        <is>
          <t>MDN35025030164</t>
        </is>
      </c>
      <c r="FG1917" s="18" t="inlineStr">
        <is>
          <t>Zhong Thong</t>
        </is>
      </c>
      <c r="FH1917" s="18" t="inlineStr">
        <is>
          <t>Lck6122evg</t>
        </is>
      </c>
      <c r="FI1917" s="18" t="inlineStr">
        <is>
          <t>Zhong Thong</t>
        </is>
      </c>
      <c r="FJ1917" s="18" t="inlineStr">
        <is>
          <t>Lck6122evg</t>
        </is>
      </c>
      <c r="FK1917" s="18" t="n">
        <v>2026</v>
      </c>
      <c r="FL1917" s="18" t="inlineStr">
        <is>
          <t>B</t>
        </is>
      </c>
      <c r="FM1917" s="18" t="inlineStr">
        <is>
          <t>Las Acacias</t>
        </is>
      </c>
      <c r="FP1917" t="inlineStr">
        <is>
          <t>B</t>
        </is>
      </c>
    </row>
    <row r="1918">
      <c r="FC1918" t="inlineStr">
        <is>
          <t>Diccionario 2</t>
        </is>
      </c>
      <c r="FD1918" s="15" t="inlineStr">
        <is>
          <t>VLTC-32</t>
        </is>
      </c>
      <c r="FE1918" s="17" t="inlineStr">
        <is>
          <t>LDYECS311S0045888</t>
        </is>
      </c>
      <c r="FF1918" s="18" t="inlineStr">
        <is>
          <t>MDN35025010010</t>
        </is>
      </c>
      <c r="FG1918" s="18" t="inlineStr">
        <is>
          <t>Zhong Thong</t>
        </is>
      </c>
      <c r="FH1918" s="18" t="inlineStr">
        <is>
          <t>Lck6122evg</t>
        </is>
      </c>
      <c r="FI1918" s="18" t="inlineStr">
        <is>
          <t>Zhong Thong</t>
        </is>
      </c>
      <c r="FJ1918" s="18" t="inlineStr">
        <is>
          <t>Lck6122evg</t>
        </is>
      </c>
      <c r="FK1918" s="18" t="n">
        <v>2026</v>
      </c>
      <c r="FL1918" s="18" t="inlineStr">
        <is>
          <t>B</t>
        </is>
      </c>
      <c r="FM1918" s="18" t="inlineStr">
        <is>
          <t>Las Acacias</t>
        </is>
      </c>
      <c r="FP1918" t="inlineStr">
        <is>
          <t>B</t>
        </is>
      </c>
    </row>
    <row r="1919">
      <c r="FC1919" t="inlineStr">
        <is>
          <t>Diccionario 2</t>
        </is>
      </c>
      <c r="FD1919" s="15" t="inlineStr">
        <is>
          <t>VLTC-33</t>
        </is>
      </c>
      <c r="FE1919" s="17" t="inlineStr">
        <is>
          <t>LDYECS312S0045883</t>
        </is>
      </c>
      <c r="FF1919" s="18" t="inlineStr">
        <is>
          <t>MDN35025010007</t>
        </is>
      </c>
      <c r="FG1919" s="18" t="inlineStr">
        <is>
          <t>Zhong Thong</t>
        </is>
      </c>
      <c r="FH1919" s="18" t="inlineStr">
        <is>
          <t>Lck6122evg</t>
        </is>
      </c>
      <c r="FI1919" s="18" t="inlineStr">
        <is>
          <t>Zhong Thong</t>
        </is>
      </c>
      <c r="FJ1919" s="18" t="inlineStr">
        <is>
          <t>Lck6122evg</t>
        </is>
      </c>
      <c r="FK1919" s="18" t="n">
        <v>2026</v>
      </c>
      <c r="FL1919" s="18" t="inlineStr">
        <is>
          <t>B</t>
        </is>
      </c>
      <c r="FM1919" s="18" t="inlineStr">
        <is>
          <t>Las Acacias</t>
        </is>
      </c>
      <c r="FP1919" t="inlineStr">
        <is>
          <t>B</t>
        </is>
      </c>
    </row>
    <row r="1920">
      <c r="FC1920" t="inlineStr">
        <is>
          <t>Diccionario 2</t>
        </is>
      </c>
      <c r="FD1920" s="15" t="inlineStr">
        <is>
          <t>VLTC-34</t>
        </is>
      </c>
      <c r="FE1920" s="17" t="inlineStr">
        <is>
          <t>LDYECS315S0045876</t>
        </is>
      </c>
      <c r="FF1920" s="18" t="inlineStr">
        <is>
          <t>MDN35025030057</t>
        </is>
      </c>
      <c r="FG1920" s="18" t="inlineStr">
        <is>
          <t>Zhong Thong</t>
        </is>
      </c>
      <c r="FH1920" s="18" t="inlineStr">
        <is>
          <t>Lck6122evg</t>
        </is>
      </c>
      <c r="FI1920" s="18" t="inlineStr">
        <is>
          <t>Zhong Thong</t>
        </is>
      </c>
      <c r="FJ1920" s="18" t="inlineStr">
        <is>
          <t>Lck6122evg</t>
        </is>
      </c>
      <c r="FK1920" s="18" t="n">
        <v>2026</v>
      </c>
      <c r="FL1920" s="18" t="inlineStr">
        <is>
          <t>B</t>
        </is>
      </c>
      <c r="FM1920" s="18" t="inlineStr">
        <is>
          <t>Las Acacias</t>
        </is>
      </c>
      <c r="FP1920" t="inlineStr">
        <is>
          <t>B</t>
        </is>
      </c>
    </row>
    <row r="1921">
      <c r="FC1921" t="inlineStr">
        <is>
          <t>Diccionario 2</t>
        </is>
      </c>
      <c r="FD1921" s="15" t="inlineStr">
        <is>
          <t>VLTC-35</t>
        </is>
      </c>
      <c r="FE1921" s="17" t="inlineStr">
        <is>
          <t>LDYECS319S0045881</t>
        </is>
      </c>
      <c r="FF1921" s="18" t="inlineStr">
        <is>
          <t>MDN35025030161</t>
        </is>
      </c>
      <c r="FG1921" s="18" t="inlineStr">
        <is>
          <t>Zhong Thong</t>
        </is>
      </c>
      <c r="FH1921" s="18" t="inlineStr">
        <is>
          <t>Lck6122evg</t>
        </is>
      </c>
      <c r="FI1921" s="18" t="inlineStr">
        <is>
          <t>Zhong Thong</t>
        </is>
      </c>
      <c r="FJ1921" s="18" t="inlineStr">
        <is>
          <t>Lck6122evg</t>
        </is>
      </c>
      <c r="FK1921" s="18" t="n">
        <v>2026</v>
      </c>
      <c r="FL1921" s="18" t="inlineStr">
        <is>
          <t>B</t>
        </is>
      </c>
      <c r="FM1921" s="18" t="inlineStr">
        <is>
          <t>Las Acacias</t>
        </is>
      </c>
      <c r="FP1921" t="inlineStr">
        <is>
          <t>B</t>
        </is>
      </c>
    </row>
    <row r="1922">
      <c r="FC1922" t="inlineStr">
        <is>
          <t>Diccionario 2</t>
        </is>
      </c>
      <c r="FD1922" s="15" t="inlineStr">
        <is>
          <t>VLTC-36</t>
        </is>
      </c>
      <c r="FE1922" s="17" t="inlineStr">
        <is>
          <t>LDYECS318S0045788</t>
        </is>
      </c>
      <c r="FF1922" s="18" t="inlineStr">
        <is>
          <t>MDN35025030139</t>
        </is>
      </c>
      <c r="FG1922" s="18" t="inlineStr">
        <is>
          <t>Zhong Thong</t>
        </is>
      </c>
      <c r="FH1922" s="18" t="inlineStr">
        <is>
          <t>Lck6122evg</t>
        </is>
      </c>
      <c r="FI1922" s="18" t="inlineStr">
        <is>
          <t>Zhong Thong</t>
        </is>
      </c>
      <c r="FJ1922" s="18" t="inlineStr">
        <is>
          <t>Lck6122evg</t>
        </is>
      </c>
      <c r="FK1922" s="18" t="n">
        <v>2026</v>
      </c>
      <c r="FL1922" s="18" t="inlineStr">
        <is>
          <t>B</t>
        </is>
      </c>
      <c r="FM1922" s="18" t="inlineStr">
        <is>
          <t>Las Acacias</t>
        </is>
      </c>
      <c r="FP1922" t="inlineStr">
        <is>
          <t>B</t>
        </is>
      </c>
    </row>
    <row r="1923">
      <c r="FC1923" t="inlineStr">
        <is>
          <t>Diccionario 2</t>
        </is>
      </c>
      <c r="FD1923" s="15" t="inlineStr">
        <is>
          <t>VLTC-37</t>
        </is>
      </c>
      <c r="FE1923" s="17" t="inlineStr">
        <is>
          <t>LDYECS317S0045877</t>
        </is>
      </c>
      <c r="FF1923" s="18" t="inlineStr">
        <is>
          <t>MDN35025030162</t>
        </is>
      </c>
      <c r="FG1923" s="18" t="inlineStr">
        <is>
          <t>Zhong Thong</t>
        </is>
      </c>
      <c r="FH1923" s="18" t="inlineStr">
        <is>
          <t>Lck6122evg</t>
        </is>
      </c>
      <c r="FI1923" s="18" t="inlineStr">
        <is>
          <t>Zhong Thong</t>
        </is>
      </c>
      <c r="FJ1923" s="18" t="inlineStr">
        <is>
          <t>Lck6122evg</t>
        </is>
      </c>
      <c r="FK1923" s="18" t="n">
        <v>2026</v>
      </c>
      <c r="FL1923" s="18" t="inlineStr">
        <is>
          <t>B</t>
        </is>
      </c>
      <c r="FM1923" s="18" t="inlineStr">
        <is>
          <t>Las Acacias</t>
        </is>
      </c>
      <c r="FP1923" t="inlineStr">
        <is>
          <t>B</t>
        </is>
      </c>
    </row>
    <row r="1924">
      <c r="FC1924" t="inlineStr">
        <is>
          <t>Diccionario 2</t>
        </is>
      </c>
      <c r="FD1924" s="15" t="inlineStr">
        <is>
          <t>VLTC-43</t>
        </is>
      </c>
      <c r="FE1924" s="17" t="inlineStr">
        <is>
          <t>LDYECS313S0045875</t>
        </is>
      </c>
      <c r="FF1924" s="18" t="inlineStr">
        <is>
          <t>MDN35025030129</t>
        </is>
      </c>
      <c r="FG1924" s="18" t="inlineStr">
        <is>
          <t>Zhong Thong</t>
        </is>
      </c>
      <c r="FH1924" s="18" t="inlineStr">
        <is>
          <t>Lck6122evg</t>
        </is>
      </c>
      <c r="FI1924" s="18" t="inlineStr">
        <is>
          <t>Zhong Thong</t>
        </is>
      </c>
      <c r="FJ1924" s="18" t="inlineStr">
        <is>
          <t>Lck6122evg</t>
        </is>
      </c>
      <c r="FK1924" s="18" t="n">
        <v>2026</v>
      </c>
      <c r="FL1924" s="18" t="inlineStr">
        <is>
          <t>B</t>
        </is>
      </c>
      <c r="FM1924" s="18" t="inlineStr">
        <is>
          <t>Las Acacias</t>
        </is>
      </c>
      <c r="FP1924" t="inlineStr">
        <is>
          <t>B</t>
        </is>
      </c>
    </row>
    <row r="1925">
      <c r="FC1925" t="inlineStr">
        <is>
          <t>Diccionario 2</t>
        </is>
      </c>
      <c r="FD1925" s="15" t="inlineStr">
        <is>
          <t>VLTC-44</t>
        </is>
      </c>
      <c r="FE1925" s="17" t="inlineStr">
        <is>
          <t>LDYECS314S0045884</t>
        </is>
      </c>
      <c r="FF1925" s="18" t="inlineStr">
        <is>
          <t>MDN35025030150</t>
        </is>
      </c>
      <c r="FG1925" s="18" t="inlineStr">
        <is>
          <t>Zhong Thong</t>
        </is>
      </c>
      <c r="FH1925" s="18" t="inlineStr">
        <is>
          <t>Lck6122evg</t>
        </is>
      </c>
      <c r="FI1925" s="18" t="inlineStr">
        <is>
          <t>Zhong Thong</t>
        </is>
      </c>
      <c r="FJ1925" s="18" t="inlineStr">
        <is>
          <t>Lck6122evg</t>
        </is>
      </c>
      <c r="FK1925" s="18" t="n">
        <v>2026</v>
      </c>
      <c r="FL1925" s="18" t="inlineStr">
        <is>
          <t>B</t>
        </is>
      </c>
      <c r="FM1925" s="18" t="inlineStr">
        <is>
          <t>Las Acacias</t>
        </is>
      </c>
      <c r="FP1925" t="inlineStr">
        <is>
          <t>B</t>
        </is>
      </c>
    </row>
    <row r="1926">
      <c r="FC1926" t="inlineStr">
        <is>
          <t>Diccionario 2</t>
        </is>
      </c>
      <c r="FD1926" s="15" t="inlineStr">
        <is>
          <t>VLTC-45</t>
        </is>
      </c>
      <c r="FE1926" s="17" t="inlineStr">
        <is>
          <t>LDYECS310S0045879</t>
        </is>
      </c>
      <c r="FF1926" s="18" t="inlineStr">
        <is>
          <t>MDN35025030061</t>
        </is>
      </c>
      <c r="FG1926" s="18" t="inlineStr">
        <is>
          <t>Zhong Thong</t>
        </is>
      </c>
      <c r="FH1926" s="18" t="inlineStr">
        <is>
          <t>Lck6122evg</t>
        </is>
      </c>
      <c r="FI1926" s="18" t="inlineStr">
        <is>
          <t>Zhong Thong</t>
        </is>
      </c>
      <c r="FJ1926" s="18" t="inlineStr">
        <is>
          <t>Lck6122evg</t>
        </is>
      </c>
      <c r="FK1926" s="18" t="n">
        <v>2026</v>
      </c>
      <c r="FL1926" s="18" t="inlineStr">
        <is>
          <t>B</t>
        </is>
      </c>
      <c r="FM1926" s="18" t="inlineStr">
        <is>
          <t>Las Acacias</t>
        </is>
      </c>
      <c r="FP1926" t="inlineStr">
        <is>
          <t>B</t>
        </is>
      </c>
    </row>
    <row r="1927">
      <c r="FC1927" t="inlineStr">
        <is>
          <t>Diccionario 2</t>
        </is>
      </c>
      <c r="FD1927" s="15" t="inlineStr">
        <is>
          <t>VLTC-53</t>
        </is>
      </c>
      <c r="FE1927" s="17" t="inlineStr">
        <is>
          <t>LDYECS317S0045880</t>
        </is>
      </c>
      <c r="FF1927" s="18" t="inlineStr">
        <is>
          <t>MDN35025030304</t>
        </is>
      </c>
      <c r="FG1927" s="18" t="inlineStr">
        <is>
          <t>Zhong Thong</t>
        </is>
      </c>
      <c r="FH1927" s="18" t="inlineStr">
        <is>
          <t>Lck6122evg</t>
        </is>
      </c>
      <c r="FI1927" s="18" t="inlineStr">
        <is>
          <t>Zhong Thong</t>
        </is>
      </c>
      <c r="FJ1927" s="18" t="inlineStr">
        <is>
          <t>Lck6122evg</t>
        </is>
      </c>
      <c r="FK1927" s="18" t="n">
        <v>2026</v>
      </c>
      <c r="FL1927" s="18" t="inlineStr">
        <is>
          <t>B</t>
        </is>
      </c>
      <c r="FM1927" s="18" t="inlineStr">
        <is>
          <t>Las Acacias</t>
        </is>
      </c>
      <c r="FP1927" t="inlineStr">
        <is>
          <t>B</t>
        </is>
      </c>
    </row>
    <row r="1928">
      <c r="FC1928" t="inlineStr">
        <is>
          <t>Diccionario 2</t>
        </is>
      </c>
      <c r="FD1928" s="15" t="inlineStr">
        <is>
          <t>VLTC-62</t>
        </is>
      </c>
      <c r="FE1928" s="17" t="inlineStr">
        <is>
          <t>LDYECS319S0045878</t>
        </is>
      </c>
      <c r="FF1928" s="18" t="inlineStr">
        <is>
          <t>MDN35025030083</t>
        </is>
      </c>
      <c r="FG1928" s="18" t="inlineStr">
        <is>
          <t>Zhong Thong</t>
        </is>
      </c>
      <c r="FH1928" s="18" t="inlineStr">
        <is>
          <t>Lck6122evg</t>
        </is>
      </c>
      <c r="FI1928" s="18" t="inlineStr">
        <is>
          <t>Zhong Thong</t>
        </is>
      </c>
      <c r="FJ1928" s="18" t="inlineStr">
        <is>
          <t>Lck6122evg</t>
        </is>
      </c>
      <c r="FK1928" s="18" t="n">
        <v>2026</v>
      </c>
      <c r="FL1928" s="18" t="inlineStr">
        <is>
          <t>B</t>
        </is>
      </c>
      <c r="FM1928" s="18" t="inlineStr">
        <is>
          <t>Las Acacias</t>
        </is>
      </c>
      <c r="FP1928" t="inlineStr">
        <is>
          <t>B</t>
        </is>
      </c>
    </row>
    <row r="1929">
      <c r="FC1929" t="inlineStr">
        <is>
          <t>Diccionario 2</t>
        </is>
      </c>
      <c r="FD1929" s="15" t="inlineStr">
        <is>
          <t>VLTC-92</t>
        </is>
      </c>
      <c r="FE1929" s="17" t="inlineStr">
        <is>
          <t>LDYECS310S0045882</t>
        </is>
      </c>
      <c r="FF1929" s="18" t="inlineStr">
        <is>
          <t>MDN35025030289</t>
        </is>
      </c>
      <c r="FG1929" s="18" t="inlineStr">
        <is>
          <t>Zhong Thong</t>
        </is>
      </c>
      <c r="FH1929" s="18" t="inlineStr">
        <is>
          <t>Lck6122evg</t>
        </is>
      </c>
      <c r="FI1929" s="18" t="inlineStr">
        <is>
          <t>Zhong Thong</t>
        </is>
      </c>
      <c r="FJ1929" s="18" t="inlineStr">
        <is>
          <t>Lck6122evg</t>
        </is>
      </c>
      <c r="FK1929" s="18" t="n">
        <v>2026</v>
      </c>
      <c r="FL1929" s="18" t="inlineStr">
        <is>
          <t>B</t>
        </is>
      </c>
      <c r="FM1929" s="18" t="inlineStr">
        <is>
          <t>Las Acacias</t>
        </is>
      </c>
      <c r="FP1929" t="inlineStr">
        <is>
          <t>B</t>
        </is>
      </c>
    </row>
    <row r="1930">
      <c r="FC1930" t="inlineStr">
        <is>
          <t>Diccionario 2</t>
        </is>
      </c>
      <c r="FD1930" s="15" t="inlineStr">
        <is>
          <t>VPBC-75</t>
        </is>
      </c>
      <c r="FE1930" s="17" t="inlineStr">
        <is>
          <t>LDYECS316S0045899</t>
        </is>
      </c>
      <c r="FF1930" s="18" t="inlineStr">
        <is>
          <t>MDN35025030166</t>
        </is>
      </c>
      <c r="FG1930" s="18" t="inlineStr">
        <is>
          <t>Zhong Thong</t>
        </is>
      </c>
      <c r="FH1930" s="18" t="inlineStr">
        <is>
          <t>Lck6122evg</t>
        </is>
      </c>
      <c r="FI1930" s="18" t="inlineStr">
        <is>
          <t>Zhong Thong</t>
        </is>
      </c>
      <c r="FJ1930" s="18" t="inlineStr">
        <is>
          <t>Lck6122evg</t>
        </is>
      </c>
      <c r="FK1930" s="18" t="n">
        <v>2026</v>
      </c>
      <c r="FL1930" s="18" t="inlineStr">
        <is>
          <t>B</t>
        </is>
      </c>
      <c r="FM1930" s="18" t="inlineStr">
        <is>
          <t>Las Acacias</t>
        </is>
      </c>
      <c r="FP1930" t="inlineStr">
        <is>
          <t>B</t>
        </is>
      </c>
    </row>
    <row r="1931">
      <c r="FC1931" t="inlineStr">
        <is>
          <t>Diccionario 2</t>
        </is>
      </c>
      <c r="FD1931" s="15" t="inlineStr">
        <is>
          <t>VPBD-15</t>
        </is>
      </c>
      <c r="FE1931" s="17" t="inlineStr">
        <is>
          <t>LDYECS311S0045891</t>
        </is>
      </c>
      <c r="FF1931" s="18" t="inlineStr">
        <is>
          <t>MDN35025030095</t>
        </is>
      </c>
      <c r="FG1931" s="18" t="inlineStr">
        <is>
          <t>Zhong Thong</t>
        </is>
      </c>
      <c r="FH1931" s="18" t="inlineStr">
        <is>
          <t>Lck6122evg</t>
        </is>
      </c>
      <c r="FI1931" s="18" t="inlineStr">
        <is>
          <t>Zhong Thong</t>
        </is>
      </c>
      <c r="FJ1931" s="18" t="inlineStr">
        <is>
          <t>Lck6122evg</t>
        </is>
      </c>
      <c r="FK1931" s="18" t="n">
        <v>2026</v>
      </c>
      <c r="FL1931" s="18" t="inlineStr">
        <is>
          <t>B</t>
        </is>
      </c>
      <c r="FM1931" s="18" t="inlineStr">
        <is>
          <t>Las Acacias</t>
        </is>
      </c>
      <c r="FP1931" t="inlineStr">
        <is>
          <t>B</t>
        </is>
      </c>
    </row>
    <row r="1932">
      <c r="FC1932" t="inlineStr">
        <is>
          <t>Diccionario 2</t>
        </is>
      </c>
      <c r="FD1932" s="15" t="inlineStr">
        <is>
          <t>VPBD-25</t>
        </is>
      </c>
      <c r="FE1932" s="17" t="inlineStr">
        <is>
          <t>LDYECS312S0045897</t>
        </is>
      </c>
      <c r="FF1932" s="18" t="inlineStr">
        <is>
          <t>MDN35025030274</t>
        </is>
      </c>
      <c r="FG1932" s="18" t="inlineStr">
        <is>
          <t>Zhong Thong</t>
        </is>
      </c>
      <c r="FH1932" s="18" t="inlineStr">
        <is>
          <t>Lck6122evg</t>
        </is>
      </c>
      <c r="FI1932" s="18" t="inlineStr">
        <is>
          <t>Zhong Thong</t>
        </is>
      </c>
      <c r="FJ1932" s="18" t="inlineStr">
        <is>
          <t>Lck6122evg</t>
        </is>
      </c>
      <c r="FK1932" s="18" t="n">
        <v>2026</v>
      </c>
      <c r="FL1932" s="18" t="inlineStr">
        <is>
          <t>B</t>
        </is>
      </c>
      <c r="FM1932" s="18" t="inlineStr">
        <is>
          <t>Las Acacias</t>
        </is>
      </c>
      <c r="FP1932" t="inlineStr">
        <is>
          <t>B</t>
        </is>
      </c>
    </row>
    <row r="1933">
      <c r="FC1933" t="inlineStr">
        <is>
          <t>Diccionario 2</t>
        </is>
      </c>
      <c r="FD1933" s="15" t="inlineStr">
        <is>
          <t>VPBD-64</t>
        </is>
      </c>
      <c r="FE1933" s="17" t="inlineStr">
        <is>
          <t>LDYECS313S0045892</t>
        </is>
      </c>
      <c r="FF1933" s="18" t="inlineStr">
        <is>
          <t>MDN35025010003</t>
        </is>
      </c>
      <c r="FG1933" s="18" t="inlineStr">
        <is>
          <t>Zhong Thong</t>
        </is>
      </c>
      <c r="FH1933" s="18" t="inlineStr">
        <is>
          <t>Lck6122evg</t>
        </is>
      </c>
      <c r="FI1933" s="18" t="inlineStr">
        <is>
          <t>Zhong Thong</t>
        </is>
      </c>
      <c r="FJ1933" s="18" t="inlineStr">
        <is>
          <t>Lck6122evg</t>
        </is>
      </c>
      <c r="FK1933" s="18" t="n">
        <v>2026</v>
      </c>
      <c r="FL1933" s="18" t="inlineStr">
        <is>
          <t>B</t>
        </is>
      </c>
      <c r="FM1933" s="18" t="inlineStr">
        <is>
          <t>Las Acacias</t>
        </is>
      </c>
      <c r="FP1933" t="inlineStr">
        <is>
          <t>B</t>
        </is>
      </c>
    </row>
    <row r="1934">
      <c r="FC1934" t="inlineStr">
        <is>
          <t>Diccionario 2</t>
        </is>
      </c>
      <c r="FD1934" s="15" t="inlineStr">
        <is>
          <t>VPBD-84</t>
        </is>
      </c>
      <c r="FE1934" s="17" t="inlineStr">
        <is>
          <t>LDYECS319S0045900</t>
        </is>
      </c>
      <c r="FF1934" s="18" t="inlineStr">
        <is>
          <t>MDN35025030309</t>
        </is>
      </c>
      <c r="FG1934" s="18" t="inlineStr">
        <is>
          <t>Zhong Thong</t>
        </is>
      </c>
      <c r="FH1934" s="18" t="inlineStr">
        <is>
          <t>Lck6122evg</t>
        </is>
      </c>
      <c r="FI1934" s="18" t="inlineStr">
        <is>
          <t>Zhong Thong</t>
        </is>
      </c>
      <c r="FJ1934" s="18" t="inlineStr">
        <is>
          <t>Lck6122evg</t>
        </is>
      </c>
      <c r="FK1934" s="18" t="n">
        <v>2026</v>
      </c>
      <c r="FL1934" s="18" t="inlineStr">
        <is>
          <t>B</t>
        </is>
      </c>
      <c r="FM1934" s="18" t="inlineStr">
        <is>
          <t>Las Acacias</t>
        </is>
      </c>
      <c r="FP1934" t="inlineStr">
        <is>
          <t>B</t>
        </is>
      </c>
    </row>
    <row r="1935">
      <c r="FC1935" t="inlineStr">
        <is>
          <t>Diccionario 2</t>
        </is>
      </c>
      <c r="FD1935" s="15" t="inlineStr">
        <is>
          <t>VPBF-11</t>
        </is>
      </c>
      <c r="FE1935" s="17" t="inlineStr">
        <is>
          <t>LDYECS310S0045901</t>
        </is>
      </c>
      <c r="FF1935" s="18" t="inlineStr">
        <is>
          <t>MDN35025030140</t>
        </is>
      </c>
      <c r="FG1935" s="18" t="inlineStr">
        <is>
          <t>Zhong Thong</t>
        </is>
      </c>
      <c r="FH1935" s="18" t="inlineStr">
        <is>
          <t>Lck6122evg</t>
        </is>
      </c>
      <c r="FI1935" s="18" t="inlineStr">
        <is>
          <t>Zhong Thong</t>
        </is>
      </c>
      <c r="FJ1935" s="18" t="inlineStr">
        <is>
          <t>Lck6122evg</t>
        </is>
      </c>
      <c r="FK1935" s="18" t="n">
        <v>2026</v>
      </c>
      <c r="FL1935" s="18" t="inlineStr">
        <is>
          <t>B</t>
        </is>
      </c>
      <c r="FM1935" s="18" t="inlineStr">
        <is>
          <t>Las Acacias</t>
        </is>
      </c>
      <c r="FP1935" t="inlineStr">
        <is>
          <t>B</t>
        </is>
      </c>
    </row>
    <row r="1936">
      <c r="FC1936" t="inlineStr">
        <is>
          <t>Diccionario 2</t>
        </is>
      </c>
      <c r="FD1936" s="15" t="inlineStr">
        <is>
          <t>VPBF-13</t>
        </is>
      </c>
      <c r="FE1936" s="17" t="inlineStr">
        <is>
          <t>LDYECS317S0045894</t>
        </is>
      </c>
      <c r="FF1936" s="18" t="inlineStr">
        <is>
          <t>MDN35025010015</t>
        </is>
      </c>
      <c r="FG1936" s="18" t="inlineStr">
        <is>
          <t>Zhong Thong</t>
        </is>
      </c>
      <c r="FH1936" s="18" t="inlineStr">
        <is>
          <t>Lck6122evg</t>
        </is>
      </c>
      <c r="FI1936" s="18" t="inlineStr">
        <is>
          <t>Zhong Thong</t>
        </is>
      </c>
      <c r="FJ1936" s="18" t="inlineStr">
        <is>
          <t>Lck6122evg</t>
        </is>
      </c>
      <c r="FK1936" s="18" t="n">
        <v>2026</v>
      </c>
      <c r="FL1936" s="18" t="inlineStr">
        <is>
          <t>B</t>
        </is>
      </c>
      <c r="FM1936" s="18" t="inlineStr">
        <is>
          <t>Las Acacias</t>
        </is>
      </c>
      <c r="FP1936" t="inlineStr">
        <is>
          <t>B</t>
        </is>
      </c>
    </row>
    <row r="1937">
      <c r="FC1937" t="inlineStr">
        <is>
          <t>Diccionario 2</t>
        </is>
      </c>
      <c r="FD1937" s="15" t="inlineStr">
        <is>
          <t>VPBF-14</t>
        </is>
      </c>
      <c r="FE1937" s="17" t="inlineStr">
        <is>
          <t>LDYECS310S0045896</t>
        </is>
      </c>
      <c r="FF1937" s="18" t="inlineStr">
        <is>
          <t>MDN35025030169</t>
        </is>
      </c>
      <c r="FG1937" s="18" t="inlineStr">
        <is>
          <t>Zhong Thong</t>
        </is>
      </c>
      <c r="FH1937" s="18" t="inlineStr">
        <is>
          <t>Lck6122evg</t>
        </is>
      </c>
      <c r="FI1937" s="18" t="inlineStr">
        <is>
          <t>Zhong Thong</t>
        </is>
      </c>
      <c r="FJ1937" s="18" t="inlineStr">
        <is>
          <t>Lck6122evg</t>
        </is>
      </c>
      <c r="FK1937" s="18" t="n">
        <v>2026</v>
      </c>
      <c r="FL1937" s="18" t="inlineStr">
        <is>
          <t>B</t>
        </is>
      </c>
      <c r="FM1937" s="18" t="inlineStr">
        <is>
          <t>Las Acacias</t>
        </is>
      </c>
      <c r="FP1937" t="inlineStr">
        <is>
          <t>B</t>
        </is>
      </c>
    </row>
    <row r="1938">
      <c r="FC1938" t="inlineStr">
        <is>
          <t>Diccionario 2</t>
        </is>
      </c>
      <c r="FD1938" s="15" t="inlineStr">
        <is>
          <t>VPBF-41</t>
        </is>
      </c>
      <c r="FE1938" s="17" t="inlineStr">
        <is>
          <t>LDYECS319S0045895</t>
        </is>
      </c>
      <c r="FF1938" s="18" t="inlineStr">
        <is>
          <t>MDN35025030282</t>
        </is>
      </c>
      <c r="FG1938" s="18" t="inlineStr">
        <is>
          <t>Zhong Thong</t>
        </is>
      </c>
      <c r="FH1938" s="18" t="inlineStr">
        <is>
          <t>Lck6122evg</t>
        </is>
      </c>
      <c r="FI1938" s="18" t="inlineStr">
        <is>
          <t>Zhong Thong</t>
        </is>
      </c>
      <c r="FJ1938" s="18" t="inlineStr">
        <is>
          <t>Lck6122evg</t>
        </is>
      </c>
      <c r="FK1938" s="18" t="n">
        <v>2026</v>
      </c>
      <c r="FL1938" s="18" t="inlineStr">
        <is>
          <t>B</t>
        </is>
      </c>
      <c r="FM1938" s="18" t="inlineStr">
        <is>
          <t>Las Acacias</t>
        </is>
      </c>
      <c r="FP1938" t="inlineStr">
        <is>
          <t>B</t>
        </is>
      </c>
    </row>
    <row r="1939">
      <c r="FC1939" t="inlineStr">
        <is>
          <t>Diccionario 2</t>
        </is>
      </c>
      <c r="FD1939" s="15" t="inlineStr">
        <is>
          <t>VPBF-51</t>
        </is>
      </c>
      <c r="FE1939" s="17" t="inlineStr">
        <is>
          <t>LDYECS313S0045889</t>
        </is>
      </c>
      <c r="FF1939" s="18" t="inlineStr">
        <is>
          <t>MDN35025010009</t>
        </is>
      </c>
      <c r="FG1939" s="18" t="inlineStr">
        <is>
          <t>Zhong Thong</t>
        </is>
      </c>
      <c r="FH1939" s="18" t="inlineStr">
        <is>
          <t>Lck6122evg</t>
        </is>
      </c>
      <c r="FI1939" s="18" t="inlineStr">
        <is>
          <t>Zhong Thong</t>
        </is>
      </c>
      <c r="FJ1939" s="18" t="inlineStr">
        <is>
          <t>Lck6122evg</t>
        </is>
      </c>
      <c r="FK1939" s="18" t="n">
        <v>2026</v>
      </c>
      <c r="FL1939" s="18" t="inlineStr">
        <is>
          <t>B</t>
        </is>
      </c>
      <c r="FM1939" s="18" t="inlineStr">
        <is>
          <t>Las Acacias</t>
        </is>
      </c>
      <c r="FP1939" t="inlineStr">
        <is>
          <t>B</t>
        </is>
      </c>
    </row>
    <row r="1940">
      <c r="FC1940" t="inlineStr">
        <is>
          <t>Diccionario 2</t>
        </is>
      </c>
      <c r="FD1940" s="15" t="inlineStr">
        <is>
          <t>VPBF-63</t>
        </is>
      </c>
      <c r="FE1940" s="17" t="inlineStr">
        <is>
          <t>LDYECS314S0045898</t>
        </is>
      </c>
      <c r="FF1940" s="18" t="inlineStr">
        <is>
          <t>MDN35025030165</t>
        </is>
      </c>
      <c r="FG1940" s="18" t="inlineStr">
        <is>
          <t>Zhong Thong</t>
        </is>
      </c>
      <c r="FH1940" s="18" t="inlineStr">
        <is>
          <t>Lck6122evg</t>
        </is>
      </c>
      <c r="FI1940" s="18" t="inlineStr">
        <is>
          <t>Zhong Thong</t>
        </is>
      </c>
      <c r="FJ1940" s="18" t="inlineStr">
        <is>
          <t>Lck6122evg</t>
        </is>
      </c>
      <c r="FK1940" s="18" t="n">
        <v>2026</v>
      </c>
      <c r="FL1940" s="18" t="inlineStr">
        <is>
          <t>B</t>
        </is>
      </c>
      <c r="FM1940" s="18" t="inlineStr">
        <is>
          <t>Las Acacias</t>
        </is>
      </c>
      <c r="FP1940" t="inlineStr">
        <is>
          <t>B</t>
        </is>
      </c>
    </row>
    <row r="1941">
      <c r="FC1941" t="inlineStr">
        <is>
          <t>Diccionario 2</t>
        </is>
      </c>
      <c r="FD1941" s="15" t="inlineStr">
        <is>
          <t>VPBF-71</t>
        </is>
      </c>
      <c r="FE1941" s="17" t="inlineStr">
        <is>
          <t>LDYECS318S0045886</t>
        </is>
      </c>
      <c r="FF1941" s="18" t="inlineStr">
        <is>
          <t>MDN35025010011</t>
        </is>
      </c>
      <c r="FG1941" s="18" t="inlineStr">
        <is>
          <t>Zhong Thong</t>
        </is>
      </c>
      <c r="FH1941" s="18" t="inlineStr">
        <is>
          <t>Lck6122evg</t>
        </is>
      </c>
      <c r="FI1941" s="18" t="inlineStr">
        <is>
          <t>Zhong Thong</t>
        </is>
      </c>
      <c r="FJ1941" s="18" t="inlineStr">
        <is>
          <t>Lck6122evg</t>
        </is>
      </c>
      <c r="FK1941" s="18" t="n">
        <v>2026</v>
      </c>
      <c r="FL1941" s="18" t="inlineStr">
        <is>
          <t>B</t>
        </is>
      </c>
      <c r="FM1941" s="18" t="inlineStr">
        <is>
          <t>Las Acacias</t>
        </is>
      </c>
      <c r="FP1941" t="inlineStr">
        <is>
          <t>B</t>
        </is>
      </c>
    </row>
    <row r="1942">
      <c r="FC1942" t="inlineStr">
        <is>
          <t>Diccionario 2</t>
        </is>
      </c>
      <c r="FD1942" s="15" t="inlineStr">
        <is>
          <t>VPBF-93</t>
        </is>
      </c>
      <c r="FE1942" s="17" t="inlineStr">
        <is>
          <t>LDYECS310S0040231</t>
        </is>
      </c>
      <c r="FF1942" s="18" t="inlineStr">
        <is>
          <t>MDN35024090002</t>
        </is>
      </c>
      <c r="FG1942" s="18" t="inlineStr">
        <is>
          <t>Zhong Thong</t>
        </is>
      </c>
      <c r="FH1942" s="18" t="inlineStr">
        <is>
          <t>Lck6122evg</t>
        </is>
      </c>
      <c r="FI1942" s="18" t="inlineStr">
        <is>
          <t>Zhong Thong</t>
        </is>
      </c>
      <c r="FJ1942" s="18" t="inlineStr">
        <is>
          <t>Lck6122evg</t>
        </is>
      </c>
      <c r="FK1942" s="18" t="n">
        <v>2026</v>
      </c>
      <c r="FL1942" s="18" t="inlineStr">
        <is>
          <t>B</t>
        </is>
      </c>
      <c r="FM1942" s="18" t="inlineStr">
        <is>
          <t>Las Acacias</t>
        </is>
      </c>
      <c r="FP1942" t="inlineStr">
        <is>
          <t>B</t>
        </is>
      </c>
    </row>
    <row r="1943">
      <c r="FC1943" t="inlineStr">
        <is>
          <t>Diccionario 2</t>
        </is>
      </c>
      <c r="FD1943" s="15" t="inlineStr">
        <is>
          <t>VPBG-88</t>
        </is>
      </c>
      <c r="FE1943" s="17" t="inlineStr">
        <is>
          <t>LDYECS315S0045893</t>
        </is>
      </c>
      <c r="FF1943" s="18" t="inlineStr">
        <is>
          <t>MDN35025010002</t>
        </is>
      </c>
      <c r="FG1943" s="18" t="inlineStr">
        <is>
          <t>Zhong Thong</t>
        </is>
      </c>
      <c r="FH1943" s="18" t="inlineStr">
        <is>
          <t>Lck6122evg</t>
        </is>
      </c>
      <c r="FI1943" s="18" t="inlineStr">
        <is>
          <t>Zhong Thong</t>
        </is>
      </c>
      <c r="FJ1943" s="18" t="inlineStr">
        <is>
          <t>Lck6122evg</t>
        </is>
      </c>
      <c r="FK1943" s="18" t="n">
        <v>2026</v>
      </c>
      <c r="FL1943" s="18" t="inlineStr">
        <is>
          <t>B</t>
        </is>
      </c>
      <c r="FM1943" s="18" t="inlineStr">
        <is>
          <t>Las Acacias</t>
        </is>
      </c>
      <c r="FP1943" t="inlineStr">
        <is>
          <t>B</t>
        </is>
      </c>
    </row>
    <row r="1944">
      <c r="FC1944" t="inlineStr">
        <is>
          <t>Diccionario 2</t>
        </is>
      </c>
      <c r="FD1944" s="15" t="inlineStr">
        <is>
          <t>VPBK-91</t>
        </is>
      </c>
      <c r="FE1944" s="17" t="inlineStr">
        <is>
          <t>LDYECS31XS0045890</t>
        </is>
      </c>
      <c r="FF1944" s="18" t="inlineStr">
        <is>
          <t>MDN35025030147</t>
        </is>
      </c>
      <c r="FG1944" s="18" t="inlineStr">
        <is>
          <t>Zhong Thong</t>
        </is>
      </c>
      <c r="FH1944" s="18" t="inlineStr">
        <is>
          <t>Lck6122evg</t>
        </is>
      </c>
      <c r="FI1944" s="18" t="inlineStr">
        <is>
          <t>Zhong Thong</t>
        </is>
      </c>
      <c r="FJ1944" s="18" t="inlineStr">
        <is>
          <t>Lck6122evg</t>
        </is>
      </c>
      <c r="FK1944" s="18" t="n">
        <v>2026</v>
      </c>
      <c r="FL1944" s="18" t="inlineStr">
        <is>
          <t>B</t>
        </is>
      </c>
      <c r="FM1944" s="18" t="inlineStr">
        <is>
          <t>Las Acacias</t>
        </is>
      </c>
      <c r="FP1944" t="inlineStr">
        <is>
          <t>B</t>
        </is>
      </c>
    </row>
    <row r="1945">
      <c r="FC1945" t="inlineStr">
        <is>
          <t>-</t>
        </is>
      </c>
      <c r="FD1945" s="13" t="inlineStr">
        <is>
          <t>PPU</t>
        </is>
      </c>
      <c r="FE1945" s="13" t="inlineStr">
        <is>
          <t>N° Chasis</t>
        </is>
      </c>
      <c r="FF1945" s="13" t="inlineStr">
        <is>
          <t>N Motor</t>
        </is>
      </c>
      <c r="FG1945" s="13" t="inlineStr">
        <is>
          <t>Marca chasis</t>
        </is>
      </c>
      <c r="FH1945" s="13" t="inlineStr">
        <is>
          <t>Modelo Chasis</t>
        </is>
      </c>
      <c r="FI1945" s="13" t="inlineStr">
        <is>
          <t>Marca Carrocería</t>
        </is>
      </c>
      <c r="FJ1945" s="13" t="inlineStr">
        <is>
          <t>Modelo Carrocería</t>
        </is>
      </c>
      <c r="FK1945" s="13" t="inlineStr">
        <is>
          <t>Año</t>
        </is>
      </c>
      <c r="FL1945" s="13" t="inlineStr">
        <is>
          <t>Tipo de Bus</t>
        </is>
      </c>
      <c r="FM1945" s="13" t="inlineStr">
        <is>
          <t>Nombre Terminal Asignado</t>
        </is>
      </c>
      <c r="FN1945" s="13" t="inlineStr">
        <is>
          <t xml:space="preserve">Dirección Terminal </t>
        </is>
      </c>
      <c r="FO1945" s="13" t="inlineStr">
        <is>
          <t xml:space="preserve">Comuna </t>
        </is>
      </c>
    </row>
    <row r="1946">
      <c r="FC1946" t="inlineStr">
        <is>
          <t>Diccionario 3</t>
        </is>
      </c>
      <c r="FD1946" s="15" t="inlineStr">
        <is>
          <t>GCBB15</t>
        </is>
      </c>
      <c r="FE1946" s="15" t="inlineStr">
        <is>
          <t>De Baja</t>
        </is>
      </c>
      <c r="FF1946" s="15" t="inlineStr">
        <is>
          <t>De Baja</t>
        </is>
      </c>
      <c r="FG1946" s="15" t="inlineStr">
        <is>
          <t>De Baja</t>
        </is>
      </c>
      <c r="FH1946" s="15" t="inlineStr">
        <is>
          <t>De Baja</t>
        </is>
      </c>
      <c r="FI1946" s="15" t="inlineStr">
        <is>
          <t>De Baja</t>
        </is>
      </c>
      <c r="FJ1946" s="15" t="inlineStr">
        <is>
          <t>De Baja</t>
        </is>
      </c>
      <c r="FK1946" s="15" t="inlineStr">
        <is>
          <t>De Baja</t>
        </is>
      </c>
      <c r="FL1946" s="15" t="inlineStr">
        <is>
          <t>De Baja</t>
        </is>
      </c>
      <c r="FM1946" s="15" t="inlineStr">
        <is>
          <t>De Baja</t>
        </is>
      </c>
      <c r="FN1946" s="15" t="inlineStr">
        <is>
          <t>De Baja</t>
        </is>
      </c>
      <c r="FO1946" s="15" t="inlineStr">
        <is>
          <t>De Baja</t>
        </is>
      </c>
    </row>
    <row r="1947">
      <c r="FC1947" t="inlineStr">
        <is>
          <t>Diccionario 3</t>
        </is>
      </c>
      <c r="FD1947" s="15" t="inlineStr">
        <is>
          <t>FLXZ94</t>
        </is>
      </c>
      <c r="FE1947" s="15" t="inlineStr">
        <is>
          <t>D8478292K2PL</t>
        </is>
      </c>
      <c r="FF1947" s="15" t="inlineStr">
        <is>
          <t>YV3T7U524KA195142</t>
        </is>
      </c>
      <c r="FG1947" s="15" t="inlineStr">
        <is>
          <t>Volvo</t>
        </is>
      </c>
      <c r="FH1947" s="15" t="inlineStr">
        <is>
          <t>B8R</t>
        </is>
      </c>
      <c r="FI1947" s="15" t="inlineStr">
        <is>
          <t>MARCOPOLO</t>
        </is>
      </c>
      <c r="FJ1947" s="15" t="inlineStr">
        <is>
          <t>TORINO</t>
        </is>
      </c>
      <c r="FK1947" s="15" t="n">
        <v>2019</v>
      </c>
      <c r="FL1947" s="15" t="inlineStr">
        <is>
          <t>B2PAL</t>
        </is>
      </c>
      <c r="FM1947" s="15" t="inlineStr">
        <is>
          <t>LOS LIBERTADORES</t>
        </is>
      </c>
      <c r="FN1947" s="15" t="inlineStr">
        <is>
          <t>Los Liberadores 6450, Lote 4A</t>
        </is>
      </c>
      <c r="FO1947" s="15" t="inlineStr">
        <is>
          <t>Huechuraba</t>
        </is>
      </c>
      <c r="FP1947" t="inlineStr">
        <is>
          <t>B</t>
        </is>
      </c>
    </row>
    <row r="1948">
      <c r="FC1948" t="inlineStr">
        <is>
          <t>Diccionario 3</t>
        </is>
      </c>
      <c r="FD1948" s="15" t="inlineStr">
        <is>
          <t>GCBB13</t>
        </is>
      </c>
      <c r="FE1948" s="15" t="inlineStr">
        <is>
          <t>D8482685K2PL</t>
        </is>
      </c>
      <c r="FF1948" s="15" t="inlineStr">
        <is>
          <t>YV3T7U521KA195230</t>
        </is>
      </c>
      <c r="FG1948" s="15" t="inlineStr">
        <is>
          <t>Volvo</t>
        </is>
      </c>
      <c r="FH1948" s="15" t="inlineStr">
        <is>
          <t>B8R</t>
        </is>
      </c>
      <c r="FI1948" s="15" t="inlineStr">
        <is>
          <t>MARCOPOLO</t>
        </is>
      </c>
      <c r="FJ1948" s="15" t="inlineStr">
        <is>
          <t>TORINO</t>
        </is>
      </c>
      <c r="FK1948" s="15" t="n">
        <v>2019</v>
      </c>
      <c r="FL1948" s="15" t="inlineStr">
        <is>
          <t>B2PAL</t>
        </is>
      </c>
      <c r="FM1948" s="15" t="inlineStr">
        <is>
          <t>LOS LIBERTADORES</t>
        </is>
      </c>
      <c r="FN1948" s="15" t="inlineStr">
        <is>
          <t>Los Liberadores 6450, Lote 4A</t>
        </is>
      </c>
      <c r="FO1948" s="15" t="inlineStr">
        <is>
          <t>Huechuraba</t>
        </is>
      </c>
      <c r="FP1948" t="inlineStr">
        <is>
          <t>B</t>
        </is>
      </c>
    </row>
    <row r="1949">
      <c r="FC1949" t="inlineStr">
        <is>
          <t>Diccionario 3</t>
        </is>
      </c>
      <c r="FD1949" s="15" t="inlineStr">
        <is>
          <t>GCBC16</t>
        </is>
      </c>
      <c r="FE1949" s="15" t="inlineStr">
        <is>
          <t>D8483833K2PL</t>
        </is>
      </c>
      <c r="FF1949" s="15" t="inlineStr">
        <is>
          <t>YV3T7U520KA195641</t>
        </is>
      </c>
      <c r="FG1949" s="15" t="inlineStr">
        <is>
          <t>Volvo</t>
        </is>
      </c>
      <c r="FH1949" s="15" t="inlineStr">
        <is>
          <t>B8R</t>
        </is>
      </c>
      <c r="FI1949" s="15" t="inlineStr">
        <is>
          <t>MARCOPOLO</t>
        </is>
      </c>
      <c r="FJ1949" s="15" t="inlineStr">
        <is>
          <t>TORINO</t>
        </is>
      </c>
      <c r="FK1949" s="15" t="n">
        <v>2019</v>
      </c>
      <c r="FL1949" s="15" t="inlineStr">
        <is>
          <t>B2PAL</t>
        </is>
      </c>
      <c r="FM1949" s="15" t="inlineStr">
        <is>
          <t>LOS LIBERTADORES</t>
        </is>
      </c>
      <c r="FN1949" s="15" t="inlineStr">
        <is>
          <t>Los Liberadores 6450, Lote 4A</t>
        </is>
      </c>
      <c r="FO1949" s="15" t="inlineStr">
        <is>
          <t>Huechuraba</t>
        </is>
      </c>
      <c r="FP1949" t="inlineStr">
        <is>
          <t>B</t>
        </is>
      </c>
    </row>
    <row r="1950">
      <c r="FC1950" t="inlineStr">
        <is>
          <t>Diccionario 3</t>
        </is>
      </c>
      <c r="FD1950" s="15" t="inlineStr">
        <is>
          <t>GCBC17</t>
        </is>
      </c>
      <c r="FE1950" s="15" t="inlineStr">
        <is>
          <t>D8483530K2PL</t>
        </is>
      </c>
      <c r="FF1950" s="15" t="inlineStr">
        <is>
          <t>YV3T7U522KA195642</t>
        </is>
      </c>
      <c r="FG1950" s="15" t="inlineStr">
        <is>
          <t>Volvo</t>
        </is>
      </c>
      <c r="FH1950" s="15" t="inlineStr">
        <is>
          <t>B8R</t>
        </is>
      </c>
      <c r="FI1950" s="15" t="inlineStr">
        <is>
          <t>MARCOPOLO</t>
        </is>
      </c>
      <c r="FJ1950" s="15" t="inlineStr">
        <is>
          <t>TORINO</t>
        </is>
      </c>
      <c r="FK1950" s="15" t="n">
        <v>2019</v>
      </c>
      <c r="FL1950" s="15" t="inlineStr">
        <is>
          <t>B2PAL</t>
        </is>
      </c>
      <c r="FM1950" s="15" t="inlineStr">
        <is>
          <t>LOS LIBERTADORES</t>
        </is>
      </c>
      <c r="FN1950" s="15" t="inlineStr">
        <is>
          <t>Los Liberadores 6450, Lote 4A</t>
        </is>
      </c>
      <c r="FO1950" s="15" t="inlineStr">
        <is>
          <t>Huechuraba</t>
        </is>
      </c>
      <c r="FP1950" t="inlineStr">
        <is>
          <t>B</t>
        </is>
      </c>
    </row>
    <row r="1951">
      <c r="FC1951" t="inlineStr">
        <is>
          <t>Diccionario 3</t>
        </is>
      </c>
      <c r="FD1951" s="15" t="inlineStr">
        <is>
          <t>GCBC18</t>
        </is>
      </c>
      <c r="FE1951" s="15" t="inlineStr">
        <is>
          <t>D8483789K2PL</t>
        </is>
      </c>
      <c r="FF1951" s="15" t="inlineStr">
        <is>
          <t>YV3T7U524KA195643</t>
        </is>
      </c>
      <c r="FG1951" s="15" t="inlineStr">
        <is>
          <t>Volvo</t>
        </is>
      </c>
      <c r="FH1951" s="15" t="inlineStr">
        <is>
          <t>B8R</t>
        </is>
      </c>
      <c r="FI1951" s="15" t="inlineStr">
        <is>
          <t>MARCOPOLO</t>
        </is>
      </c>
      <c r="FJ1951" s="15" t="inlineStr">
        <is>
          <t>TORINO</t>
        </is>
      </c>
      <c r="FK1951" s="15" t="n">
        <v>2019</v>
      </c>
      <c r="FL1951" s="15" t="inlineStr">
        <is>
          <t>B2PAL</t>
        </is>
      </c>
      <c r="FM1951" s="15" t="inlineStr">
        <is>
          <t>SAN JOSE</t>
        </is>
      </c>
      <c r="FN1951" s="15" t="inlineStr">
        <is>
          <t>San José 030 (José Besa 669)</t>
        </is>
      </c>
      <c r="FO1951" s="15" t="inlineStr">
        <is>
          <t>San Bernardo</t>
        </is>
      </c>
      <c r="FP1951" t="inlineStr">
        <is>
          <t>B</t>
        </is>
      </c>
    </row>
    <row r="1952">
      <c r="FC1952" t="inlineStr">
        <is>
          <t>Diccionario 3</t>
        </is>
      </c>
      <c r="FD1952" s="15" t="inlineStr">
        <is>
          <t>GCBC19</t>
        </is>
      </c>
      <c r="FE1952" s="15" t="inlineStr">
        <is>
          <t>D8484480K2PL</t>
        </is>
      </c>
      <c r="FF1952" s="15" t="inlineStr">
        <is>
          <t>YV3T7U524KA195688</t>
        </is>
      </c>
      <c r="FG1952" s="15" t="inlineStr">
        <is>
          <t>Volvo</t>
        </is>
      </c>
      <c r="FH1952" s="15" t="inlineStr">
        <is>
          <t>B8R</t>
        </is>
      </c>
      <c r="FI1952" s="15" t="inlineStr">
        <is>
          <t>MARCOPOLO</t>
        </is>
      </c>
      <c r="FJ1952" s="15" t="inlineStr">
        <is>
          <t>TORINO</t>
        </is>
      </c>
      <c r="FK1952" s="15" t="n">
        <v>2019</v>
      </c>
      <c r="FL1952" s="15" t="inlineStr">
        <is>
          <t>B2PAL</t>
        </is>
      </c>
      <c r="FM1952" s="15" t="inlineStr">
        <is>
          <t>SAN JOSE</t>
        </is>
      </c>
      <c r="FN1952" s="15" t="inlineStr">
        <is>
          <t>San José 030 (José Besa 669)</t>
        </is>
      </c>
      <c r="FO1952" s="15" t="inlineStr">
        <is>
          <t>San Bernardo</t>
        </is>
      </c>
      <c r="FP1952" t="inlineStr">
        <is>
          <t>B</t>
        </is>
      </c>
    </row>
    <row r="1953">
      <c r="FC1953" t="inlineStr">
        <is>
          <t>Diccionario 3</t>
        </is>
      </c>
      <c r="FD1953" s="15" t="inlineStr">
        <is>
          <t>GCBC20</t>
        </is>
      </c>
      <c r="FE1953" s="15" t="inlineStr">
        <is>
          <t>D8484637K2PL</t>
        </is>
      </c>
      <c r="FF1953" s="15" t="inlineStr">
        <is>
          <t>YV3T7U528KA195712</t>
        </is>
      </c>
      <c r="FG1953" s="15" t="inlineStr">
        <is>
          <t>Volvo</t>
        </is>
      </c>
      <c r="FH1953" s="15" t="inlineStr">
        <is>
          <t>B8R</t>
        </is>
      </c>
      <c r="FI1953" s="15" t="inlineStr">
        <is>
          <t>MARCOPOLO</t>
        </is>
      </c>
      <c r="FJ1953" s="15" t="inlineStr">
        <is>
          <t>TORINO</t>
        </is>
      </c>
      <c r="FK1953" s="15" t="n">
        <v>2019</v>
      </c>
      <c r="FL1953" s="15" t="inlineStr">
        <is>
          <t>B2PAL</t>
        </is>
      </c>
      <c r="FM1953" s="15" t="inlineStr">
        <is>
          <t>SAN JOSE</t>
        </is>
      </c>
      <c r="FN1953" s="15" t="inlineStr">
        <is>
          <t>San José 030 (José Besa 669)</t>
        </is>
      </c>
      <c r="FO1953" s="15" t="inlineStr">
        <is>
          <t>San Bernardo</t>
        </is>
      </c>
      <c r="FP1953" t="inlineStr">
        <is>
          <t>B</t>
        </is>
      </c>
    </row>
    <row r="1954">
      <c r="FC1954" t="inlineStr">
        <is>
          <t>Diccionario 3</t>
        </is>
      </c>
      <c r="FD1954" s="15" t="inlineStr">
        <is>
          <t>GCBC21</t>
        </is>
      </c>
      <c r="FE1954" s="15" t="inlineStr">
        <is>
          <t>D8484676K2PL</t>
        </is>
      </c>
      <c r="FF1954" s="15" t="inlineStr">
        <is>
          <t>YV3T7U52XKA195713</t>
        </is>
      </c>
      <c r="FG1954" s="15" t="inlineStr">
        <is>
          <t>Volvo</t>
        </is>
      </c>
      <c r="FH1954" s="15" t="inlineStr">
        <is>
          <t>B8R</t>
        </is>
      </c>
      <c r="FI1954" s="15" t="inlineStr">
        <is>
          <t>MARCOPOLO</t>
        </is>
      </c>
      <c r="FJ1954" s="15" t="inlineStr">
        <is>
          <t>TORINO</t>
        </is>
      </c>
      <c r="FK1954" s="15" t="n">
        <v>2019</v>
      </c>
      <c r="FL1954" s="15" t="inlineStr">
        <is>
          <t>B2PAL</t>
        </is>
      </c>
      <c r="FM1954" s="15" t="inlineStr">
        <is>
          <t>LOS LIBERTADORES</t>
        </is>
      </c>
      <c r="FN1954" s="15" t="inlineStr">
        <is>
          <t>Los Liberadores 6450, Lote 4A</t>
        </is>
      </c>
      <c r="FO1954" s="15" t="inlineStr">
        <is>
          <t>Huechuraba</t>
        </is>
      </c>
      <c r="FP1954" t="inlineStr">
        <is>
          <t>B</t>
        </is>
      </c>
    </row>
    <row r="1955">
      <c r="FC1955" t="inlineStr">
        <is>
          <t>Diccionario 3</t>
        </is>
      </c>
      <c r="FD1955" s="15" t="inlineStr">
        <is>
          <t>GCBC22</t>
        </is>
      </c>
      <c r="FE1955" s="15" t="inlineStr">
        <is>
          <t>D8484733K2PL</t>
        </is>
      </c>
      <c r="FF1955" s="15" t="inlineStr">
        <is>
          <t>YV3T7U526KA195742</t>
        </is>
      </c>
      <c r="FG1955" s="15" t="inlineStr">
        <is>
          <t>Volvo</t>
        </is>
      </c>
      <c r="FH1955" s="15" t="inlineStr">
        <is>
          <t>B8R</t>
        </is>
      </c>
      <c r="FI1955" s="15" t="inlineStr">
        <is>
          <t>MARCOPOLO</t>
        </is>
      </c>
      <c r="FJ1955" s="15" t="inlineStr">
        <is>
          <t>TORINO</t>
        </is>
      </c>
      <c r="FK1955" s="15" t="n">
        <v>2019</v>
      </c>
      <c r="FL1955" s="15" t="inlineStr">
        <is>
          <t>B2PAL</t>
        </is>
      </c>
      <c r="FM1955" s="15" t="inlineStr">
        <is>
          <t>LOS LIBERTADORES</t>
        </is>
      </c>
      <c r="FN1955" s="15" t="inlineStr">
        <is>
          <t>Los Liberadores 6450, Lote 4A</t>
        </is>
      </c>
      <c r="FO1955" s="15" t="inlineStr">
        <is>
          <t>Huechuraba</t>
        </is>
      </c>
      <c r="FP1955" t="inlineStr">
        <is>
          <t>B</t>
        </is>
      </c>
    </row>
    <row r="1956">
      <c r="FC1956" t="inlineStr">
        <is>
          <t>Diccionario 3</t>
        </is>
      </c>
      <c r="FD1956" s="15" t="inlineStr">
        <is>
          <t>GCBC23</t>
        </is>
      </c>
      <c r="FE1956" s="15" t="inlineStr">
        <is>
          <t>D8481621K2PL</t>
        </is>
      </c>
      <c r="FF1956" s="15" t="inlineStr">
        <is>
          <t>YV3T7U528KA195175</t>
        </is>
      </c>
      <c r="FG1956" s="15" t="inlineStr">
        <is>
          <t>Volvo</t>
        </is>
      </c>
      <c r="FH1956" s="15" t="inlineStr">
        <is>
          <t>B8R</t>
        </is>
      </c>
      <c r="FI1956" s="15" t="inlineStr">
        <is>
          <t>MARCOPOLO</t>
        </is>
      </c>
      <c r="FJ1956" s="15" t="inlineStr">
        <is>
          <t>TORINO</t>
        </is>
      </c>
      <c r="FK1956" s="15" t="n">
        <v>2019</v>
      </c>
      <c r="FL1956" s="15" t="inlineStr">
        <is>
          <t>B2PAL</t>
        </is>
      </c>
      <c r="FM1956" s="15" t="inlineStr">
        <is>
          <t>LOS LIBERTADORES</t>
        </is>
      </c>
      <c r="FN1956" s="15" t="inlineStr">
        <is>
          <t>Los Liberadores 6450, Lote 4A</t>
        </is>
      </c>
      <c r="FO1956" s="15" t="inlineStr">
        <is>
          <t>Huechuraba</t>
        </is>
      </c>
      <c r="FP1956" t="inlineStr">
        <is>
          <t>B</t>
        </is>
      </c>
    </row>
    <row r="1957">
      <c r="FC1957" t="inlineStr">
        <is>
          <t>Diccionario 3</t>
        </is>
      </c>
      <c r="FD1957" s="15" t="inlineStr">
        <is>
          <t>GCBB16</t>
        </is>
      </c>
      <c r="FE1957" s="15" t="inlineStr">
        <is>
          <t>D8482769K2PL</t>
        </is>
      </c>
      <c r="FF1957" s="15" t="inlineStr">
        <is>
          <t>YV3T7U522KA195303</t>
        </is>
      </c>
      <c r="FG1957" s="15" t="inlineStr">
        <is>
          <t>Volvo</t>
        </is>
      </c>
      <c r="FH1957" s="15" t="inlineStr">
        <is>
          <t>B8R</t>
        </is>
      </c>
      <c r="FI1957" s="15" t="inlineStr">
        <is>
          <t>MARCOPOLO</t>
        </is>
      </c>
      <c r="FJ1957" s="15" t="inlineStr">
        <is>
          <t>TORINO</t>
        </is>
      </c>
      <c r="FK1957" s="15" t="n">
        <v>2019</v>
      </c>
      <c r="FL1957" s="15" t="inlineStr">
        <is>
          <t>B2PAL</t>
        </is>
      </c>
      <c r="FM1957" s="15" t="inlineStr">
        <is>
          <t>LOS LIBERTADORES</t>
        </is>
      </c>
      <c r="FN1957" s="15" t="inlineStr">
        <is>
          <t>Los Liberadores 6450, Lote 4A</t>
        </is>
      </c>
      <c r="FO1957" s="15" t="inlineStr">
        <is>
          <t>Huechuraba</t>
        </is>
      </c>
      <c r="FP1957" t="inlineStr">
        <is>
          <t>B</t>
        </is>
      </c>
    </row>
    <row r="1958">
      <c r="FC1958" t="inlineStr">
        <is>
          <t>Diccionario 3</t>
        </is>
      </c>
      <c r="FD1958" s="15" t="inlineStr">
        <is>
          <t>GCBB17</t>
        </is>
      </c>
      <c r="FE1958" s="15" t="inlineStr">
        <is>
          <t>D8478205K2PL</t>
        </is>
      </c>
      <c r="FF1958" s="15" t="inlineStr">
        <is>
          <t>YV3T7U520KA195140</t>
        </is>
      </c>
      <c r="FG1958" s="15" t="inlineStr">
        <is>
          <t>Volvo</t>
        </is>
      </c>
      <c r="FH1958" s="15" t="inlineStr">
        <is>
          <t>B8R</t>
        </is>
      </c>
      <c r="FI1958" s="15" t="inlineStr">
        <is>
          <t>MARCOPOLO</t>
        </is>
      </c>
      <c r="FJ1958" s="15" t="inlineStr">
        <is>
          <t>TORINO</t>
        </is>
      </c>
      <c r="FK1958" s="15" t="n">
        <v>2019</v>
      </c>
      <c r="FL1958" s="15" t="inlineStr">
        <is>
          <t>B2PAL</t>
        </is>
      </c>
      <c r="FM1958" s="15" t="inlineStr">
        <is>
          <t>LOS LIBERTADORES</t>
        </is>
      </c>
      <c r="FN1958" s="15" t="inlineStr">
        <is>
          <t>Los Liberadores 6450, Lote 4A</t>
        </is>
      </c>
      <c r="FO1958" s="15" t="inlineStr">
        <is>
          <t>Huechuraba</t>
        </is>
      </c>
      <c r="FP1958" t="inlineStr">
        <is>
          <t>B</t>
        </is>
      </c>
    </row>
    <row r="1959">
      <c r="FC1959" t="inlineStr">
        <is>
          <t>Diccionario 3</t>
        </is>
      </c>
      <c r="FD1959" s="15" t="inlineStr">
        <is>
          <t>GCBB18</t>
        </is>
      </c>
      <c r="FE1959" s="15" t="inlineStr">
        <is>
          <t>D8481556K2PL</t>
        </is>
      </c>
      <c r="FF1959" s="15" t="inlineStr">
        <is>
          <t>YV3T7U521KA195177</t>
        </is>
      </c>
      <c r="FG1959" s="15" t="inlineStr">
        <is>
          <t>Volvo</t>
        </is>
      </c>
      <c r="FH1959" s="15" t="inlineStr">
        <is>
          <t>B8R</t>
        </is>
      </c>
      <c r="FI1959" s="15" t="inlineStr">
        <is>
          <t>MARCOPOLO</t>
        </is>
      </c>
      <c r="FJ1959" s="15" t="inlineStr">
        <is>
          <t>TORINO</t>
        </is>
      </c>
      <c r="FK1959" s="15" t="n">
        <v>2019</v>
      </c>
      <c r="FL1959" s="15" t="inlineStr">
        <is>
          <t>B2PAL</t>
        </is>
      </c>
      <c r="FM1959" s="15" t="inlineStr">
        <is>
          <t>SAN JOSE</t>
        </is>
      </c>
      <c r="FN1959" s="15" t="inlineStr">
        <is>
          <t>San José 030 (José Besa 669)</t>
        </is>
      </c>
      <c r="FO1959" s="15" t="inlineStr">
        <is>
          <t>San Bernardo</t>
        </is>
      </c>
      <c r="FP1959" t="inlineStr">
        <is>
          <t>B</t>
        </is>
      </c>
    </row>
    <row r="1960">
      <c r="FC1960" t="inlineStr">
        <is>
          <t>Diccionario 3</t>
        </is>
      </c>
      <c r="FD1960" s="15" t="inlineStr">
        <is>
          <t>GCBB19</t>
        </is>
      </c>
      <c r="FE1960" s="15" t="inlineStr">
        <is>
          <t>D8482482K2PL</t>
        </is>
      </c>
      <c r="FF1960" s="15" t="inlineStr">
        <is>
          <t>YV3T7U523KA195326</t>
        </is>
      </c>
      <c r="FG1960" s="15" t="inlineStr">
        <is>
          <t>Volvo</t>
        </is>
      </c>
      <c r="FH1960" s="15" t="inlineStr">
        <is>
          <t>B8R</t>
        </is>
      </c>
      <c r="FI1960" s="15" t="inlineStr">
        <is>
          <t>MARCOPOLO</t>
        </is>
      </c>
      <c r="FJ1960" s="15" t="inlineStr">
        <is>
          <t>TORINO</t>
        </is>
      </c>
      <c r="FK1960" s="15" t="n">
        <v>2019</v>
      </c>
      <c r="FL1960" s="15" t="inlineStr">
        <is>
          <t>B2PAL</t>
        </is>
      </c>
      <c r="FM1960" s="15" t="inlineStr">
        <is>
          <t>LOS LIBERTADORES</t>
        </is>
      </c>
      <c r="FN1960" s="15" t="inlineStr">
        <is>
          <t>Los Liberadores 6450, Lote 4A</t>
        </is>
      </c>
      <c r="FO1960" s="15" t="inlineStr">
        <is>
          <t>Huechuraba</t>
        </is>
      </c>
      <c r="FP1960" t="inlineStr">
        <is>
          <t>B</t>
        </is>
      </c>
    </row>
    <row r="1961">
      <c r="FC1961" t="inlineStr">
        <is>
          <t>Diccionario 3</t>
        </is>
      </c>
      <c r="FD1961" s="15" t="inlineStr">
        <is>
          <t>GCBB20</t>
        </is>
      </c>
      <c r="FE1961" s="15" t="inlineStr">
        <is>
          <t>D8482478K2PL</t>
        </is>
      </c>
      <c r="FF1961" s="15" t="inlineStr">
        <is>
          <t>YV3T7U525KA195327</t>
        </is>
      </c>
      <c r="FG1961" s="15" t="inlineStr">
        <is>
          <t>Volvo</t>
        </is>
      </c>
      <c r="FH1961" s="15" t="inlineStr">
        <is>
          <t>B8R</t>
        </is>
      </c>
      <c r="FI1961" s="15" t="inlineStr">
        <is>
          <t>MARCOPOLO</t>
        </is>
      </c>
      <c r="FJ1961" s="15" t="inlineStr">
        <is>
          <t>TORINO</t>
        </is>
      </c>
      <c r="FK1961" s="15" t="n">
        <v>2019</v>
      </c>
      <c r="FL1961" s="15" t="inlineStr">
        <is>
          <t>B2PAL</t>
        </is>
      </c>
      <c r="FM1961" s="15" t="inlineStr">
        <is>
          <t>LOS LIBERTADORES</t>
        </is>
      </c>
      <c r="FN1961" s="15" t="inlineStr">
        <is>
          <t>Los Liberadores 6450, Lote 4A</t>
        </is>
      </c>
      <c r="FO1961" s="15" t="inlineStr">
        <is>
          <t>Huechuraba</t>
        </is>
      </c>
      <c r="FP1961" t="inlineStr">
        <is>
          <t>B</t>
        </is>
      </c>
    </row>
    <row r="1962">
      <c r="FC1962" t="inlineStr">
        <is>
          <t>Diccionario 3</t>
        </is>
      </c>
      <c r="FD1962" s="15" t="inlineStr">
        <is>
          <t>GCBB21</t>
        </is>
      </c>
      <c r="FE1962" s="15" t="inlineStr">
        <is>
          <t>D8482400K2PL</t>
        </is>
      </c>
      <c r="FF1962" s="15" t="inlineStr">
        <is>
          <t>YV3T7U527KA195328</t>
        </is>
      </c>
      <c r="FG1962" s="15" t="inlineStr">
        <is>
          <t>Volvo</t>
        </is>
      </c>
      <c r="FH1962" s="15" t="inlineStr">
        <is>
          <t>B8R</t>
        </is>
      </c>
      <c r="FI1962" s="15" t="inlineStr">
        <is>
          <t>MARCOPOLO</t>
        </is>
      </c>
      <c r="FJ1962" s="15" t="inlineStr">
        <is>
          <t>TORINO</t>
        </is>
      </c>
      <c r="FK1962" s="15" t="n">
        <v>2019</v>
      </c>
      <c r="FL1962" s="15" t="inlineStr">
        <is>
          <t>B2PAL</t>
        </is>
      </c>
      <c r="FM1962" s="15" t="inlineStr">
        <is>
          <t>LOS LIBERTADORES</t>
        </is>
      </c>
      <c r="FN1962" s="15" t="inlineStr">
        <is>
          <t>Los Liberadores 6450, Lote 4A</t>
        </is>
      </c>
      <c r="FO1962" s="15" t="inlineStr">
        <is>
          <t>Huechuraba</t>
        </is>
      </c>
      <c r="FP1962" t="inlineStr">
        <is>
          <t>B</t>
        </is>
      </c>
    </row>
    <row r="1963">
      <c r="FC1963" t="inlineStr">
        <is>
          <t>Diccionario 3</t>
        </is>
      </c>
      <c r="FD1963" s="15" t="inlineStr">
        <is>
          <t>GCBB22</t>
        </is>
      </c>
      <c r="FE1963" s="15" t="inlineStr">
        <is>
          <t>D8482554K2PL</t>
        </is>
      </c>
      <c r="FF1963" s="15" t="inlineStr">
        <is>
          <t>YV3T7U520KA195350</t>
        </is>
      </c>
      <c r="FG1963" s="15" t="inlineStr">
        <is>
          <t>Volvo</t>
        </is>
      </c>
      <c r="FH1963" s="15" t="inlineStr">
        <is>
          <t>B8R</t>
        </is>
      </c>
      <c r="FI1963" s="15" t="inlineStr">
        <is>
          <t>MARCOPOLO</t>
        </is>
      </c>
      <c r="FJ1963" s="15" t="inlineStr">
        <is>
          <t>TORINO</t>
        </is>
      </c>
      <c r="FK1963" s="15" t="n">
        <v>2019</v>
      </c>
      <c r="FL1963" s="15" t="inlineStr">
        <is>
          <t>B2PAL</t>
        </is>
      </c>
      <c r="FM1963" s="15" t="inlineStr">
        <is>
          <t>LOS LIBERTADORES</t>
        </is>
      </c>
      <c r="FN1963" s="15" t="inlineStr">
        <is>
          <t>Los Liberadores 6450, Lote 4A</t>
        </is>
      </c>
      <c r="FO1963" s="15" t="inlineStr">
        <is>
          <t>Huechuraba</t>
        </is>
      </c>
      <c r="FP1963" t="inlineStr">
        <is>
          <t>B</t>
        </is>
      </c>
    </row>
    <row r="1964">
      <c r="FC1964" t="inlineStr">
        <is>
          <t>Diccionario 3</t>
        </is>
      </c>
      <c r="FD1964" s="15" t="inlineStr">
        <is>
          <t>GCBB23</t>
        </is>
      </c>
      <c r="FE1964" s="15" t="inlineStr">
        <is>
          <t>D8482519K2PL</t>
        </is>
      </c>
      <c r="FF1964" s="15" t="inlineStr">
        <is>
          <t>YV3T7U522KA195351</t>
        </is>
      </c>
      <c r="FG1964" s="15" t="inlineStr">
        <is>
          <t>Volvo</t>
        </is>
      </c>
      <c r="FH1964" s="15" t="inlineStr">
        <is>
          <t>B8R</t>
        </is>
      </c>
      <c r="FI1964" s="15" t="inlineStr">
        <is>
          <t>MARCOPOLO</t>
        </is>
      </c>
      <c r="FJ1964" s="15" t="inlineStr">
        <is>
          <t>TORINO</t>
        </is>
      </c>
      <c r="FK1964" s="15" t="n">
        <v>2019</v>
      </c>
      <c r="FL1964" s="15" t="inlineStr">
        <is>
          <t>B2PAL</t>
        </is>
      </c>
      <c r="FM1964" s="15" t="inlineStr">
        <is>
          <t>LOS LIBERTADORES</t>
        </is>
      </c>
      <c r="FN1964" s="15" t="inlineStr">
        <is>
          <t>Los Liberadores 6450, Lote 4A</t>
        </is>
      </c>
      <c r="FO1964" s="15" t="inlineStr">
        <is>
          <t>Huechuraba</t>
        </is>
      </c>
      <c r="FP1964" t="inlineStr">
        <is>
          <t>B</t>
        </is>
      </c>
    </row>
    <row r="1965">
      <c r="FC1965" t="inlineStr">
        <is>
          <t>Diccionario 3</t>
        </is>
      </c>
      <c r="FD1965" s="15" t="inlineStr">
        <is>
          <t>GCBB24</t>
        </is>
      </c>
      <c r="FE1965" s="15" t="inlineStr">
        <is>
          <t>D8482509K2PL</t>
        </is>
      </c>
      <c r="FF1965" s="15" t="inlineStr">
        <is>
          <t>YV3T7U524KA195352</t>
        </is>
      </c>
      <c r="FG1965" s="15" t="inlineStr">
        <is>
          <t>Volvo</t>
        </is>
      </c>
      <c r="FH1965" s="15" t="inlineStr">
        <is>
          <t>B8R</t>
        </is>
      </c>
      <c r="FI1965" s="15" t="inlineStr">
        <is>
          <t>MARCOPOLO</t>
        </is>
      </c>
      <c r="FJ1965" s="15" t="inlineStr">
        <is>
          <t>TORINO</t>
        </is>
      </c>
      <c r="FK1965" s="15" t="n">
        <v>2019</v>
      </c>
      <c r="FL1965" s="15" t="inlineStr">
        <is>
          <t>B2PAL</t>
        </is>
      </c>
      <c r="FM1965" s="15" t="inlineStr">
        <is>
          <t>LOS LIBERTADORES</t>
        </is>
      </c>
      <c r="FN1965" s="15" t="inlineStr">
        <is>
          <t>Los Liberadores 6450, Lote 4A</t>
        </is>
      </c>
      <c r="FO1965" s="15" t="inlineStr">
        <is>
          <t>Huechuraba</t>
        </is>
      </c>
      <c r="FP1965" t="inlineStr">
        <is>
          <t>B</t>
        </is>
      </c>
    </row>
    <row r="1966">
      <c r="FC1966" t="inlineStr">
        <is>
          <t>Diccionario 3</t>
        </is>
      </c>
      <c r="FD1966" s="15" t="inlineStr">
        <is>
          <t>FLXZ96</t>
        </is>
      </c>
      <c r="FE1966" s="15" t="inlineStr">
        <is>
          <t>D8478282K2PL</t>
        </is>
      </c>
      <c r="FF1966" s="15" t="inlineStr">
        <is>
          <t>YV3T7U526KA195143</t>
        </is>
      </c>
      <c r="FG1966" s="15" t="inlineStr">
        <is>
          <t>Volvo</t>
        </is>
      </c>
      <c r="FH1966" s="15" t="inlineStr">
        <is>
          <t>B8R</t>
        </is>
      </c>
      <c r="FI1966" s="15" t="inlineStr">
        <is>
          <t>MARCOPOLO</t>
        </is>
      </c>
      <c r="FJ1966" s="15" t="inlineStr">
        <is>
          <t>TORINO</t>
        </is>
      </c>
      <c r="FK1966" s="15" t="n">
        <v>2019</v>
      </c>
      <c r="FL1966" s="15" t="inlineStr">
        <is>
          <t>B2PAL</t>
        </is>
      </c>
      <c r="FM1966" s="15" t="inlineStr">
        <is>
          <t>LOS LIBERTADORES</t>
        </is>
      </c>
      <c r="FN1966" s="15" t="inlineStr">
        <is>
          <t>Los Liberadores 6450, Lote 4A</t>
        </is>
      </c>
      <c r="FO1966" s="15" t="inlineStr">
        <is>
          <t>Huechuraba</t>
        </is>
      </c>
      <c r="FP1966" t="inlineStr">
        <is>
          <t>B</t>
        </is>
      </c>
    </row>
    <row r="1967">
      <c r="FC1967" t="inlineStr">
        <is>
          <t>Diccionario 3</t>
        </is>
      </c>
      <c r="FD1967" s="15" t="inlineStr">
        <is>
          <t>GCBB25</t>
        </is>
      </c>
      <c r="FE1967" s="15" t="inlineStr">
        <is>
          <t>D8482576K2PL</t>
        </is>
      </c>
      <c r="FF1967" s="15" t="inlineStr">
        <is>
          <t>YV3T7U523KA195357</t>
        </is>
      </c>
      <c r="FG1967" s="15" t="inlineStr">
        <is>
          <t>Volvo</t>
        </is>
      </c>
      <c r="FH1967" s="15" t="inlineStr">
        <is>
          <t>B8R</t>
        </is>
      </c>
      <c r="FI1967" s="15" t="inlineStr">
        <is>
          <t>MARCOPOLO</t>
        </is>
      </c>
      <c r="FJ1967" s="15" t="inlineStr">
        <is>
          <t>TORINO</t>
        </is>
      </c>
      <c r="FK1967" s="15" t="n">
        <v>2019</v>
      </c>
      <c r="FL1967" s="15" t="inlineStr">
        <is>
          <t>B2PAL</t>
        </is>
      </c>
      <c r="FM1967" s="15" t="inlineStr">
        <is>
          <t>LOS LIBERTADORES</t>
        </is>
      </c>
      <c r="FN1967" s="15" t="inlineStr">
        <is>
          <t>Los Liberadores 6450, Lote 4A</t>
        </is>
      </c>
      <c r="FO1967" s="15" t="inlineStr">
        <is>
          <t>Huechuraba</t>
        </is>
      </c>
      <c r="FP1967" t="inlineStr">
        <is>
          <t>B</t>
        </is>
      </c>
    </row>
    <row r="1968">
      <c r="FC1968" t="inlineStr">
        <is>
          <t>Diccionario 3</t>
        </is>
      </c>
      <c r="FD1968" s="15" t="inlineStr">
        <is>
          <t>GCBB26</t>
        </is>
      </c>
      <c r="FE1968" s="15" t="inlineStr">
        <is>
          <t>D8482502K2PL</t>
        </is>
      </c>
      <c r="FF1968" s="15" t="inlineStr">
        <is>
          <t>YV3T7U523KA195360</t>
        </is>
      </c>
      <c r="FG1968" s="15" t="inlineStr">
        <is>
          <t>Volvo</t>
        </is>
      </c>
      <c r="FH1968" s="15" t="inlineStr">
        <is>
          <t>B8R</t>
        </is>
      </c>
      <c r="FI1968" s="15" t="inlineStr">
        <is>
          <t>MARCOPOLO</t>
        </is>
      </c>
      <c r="FJ1968" s="15" t="inlineStr">
        <is>
          <t>TORINO</t>
        </is>
      </c>
      <c r="FK1968" s="15" t="n">
        <v>2019</v>
      </c>
      <c r="FL1968" s="15" t="inlineStr">
        <is>
          <t>B2PAL</t>
        </is>
      </c>
      <c r="FM1968" s="15" t="inlineStr">
        <is>
          <t>LOS LIBERTADORES</t>
        </is>
      </c>
      <c r="FN1968" s="15" t="inlineStr">
        <is>
          <t>Los Liberadores 6450, Lote 4A</t>
        </is>
      </c>
      <c r="FO1968" s="15" t="inlineStr">
        <is>
          <t>Huechuraba</t>
        </is>
      </c>
      <c r="FP1968" t="inlineStr">
        <is>
          <t>B</t>
        </is>
      </c>
    </row>
    <row r="1969">
      <c r="FC1969" t="inlineStr">
        <is>
          <t>Diccionario 3</t>
        </is>
      </c>
      <c r="FD1969" s="20" t="inlineStr">
        <is>
          <t>GCBB27</t>
        </is>
      </c>
      <c r="FE1969" s="15" t="inlineStr">
        <is>
          <t>D8482597K2PL</t>
        </is>
      </c>
      <c r="FF1969" s="15" t="inlineStr">
        <is>
          <t>YV3T7U525KA195361</t>
        </is>
      </c>
      <c r="FG1969" s="15" t="inlineStr">
        <is>
          <t>Volvo</t>
        </is>
      </c>
      <c r="FH1969" s="15" t="inlineStr">
        <is>
          <t>B8R</t>
        </is>
      </c>
      <c r="FI1969" s="15" t="inlineStr">
        <is>
          <t>MARCOPOLO</t>
        </is>
      </c>
      <c r="FJ1969" s="15" t="inlineStr">
        <is>
          <t>TORINO</t>
        </is>
      </c>
      <c r="FK1969" s="15" t="n">
        <v>2019</v>
      </c>
      <c r="FL1969" s="15" t="inlineStr">
        <is>
          <t>B2PAL</t>
        </is>
      </c>
      <c r="FM1969" s="15" t="inlineStr">
        <is>
          <t>LOS LIBERTADORES</t>
        </is>
      </c>
      <c r="FN1969" s="15" t="inlineStr">
        <is>
          <t>Los Liberadores 6450, Lote 4A</t>
        </is>
      </c>
      <c r="FO1969" s="15" t="inlineStr">
        <is>
          <t>Huechuraba</t>
        </is>
      </c>
      <c r="FP1969" t="inlineStr">
        <is>
          <t>B</t>
        </is>
      </c>
    </row>
    <row r="1970">
      <c r="FC1970" t="inlineStr">
        <is>
          <t>Diccionario 3</t>
        </is>
      </c>
      <c r="FD1970" s="15" t="inlineStr">
        <is>
          <t>GCBB28</t>
        </is>
      </c>
      <c r="FE1970" s="15" t="inlineStr">
        <is>
          <t>D8481798K2PL</t>
        </is>
      </c>
      <c r="FF1970" s="15" t="inlineStr">
        <is>
          <t>YV3T7U527KA195460</t>
        </is>
      </c>
      <c r="FG1970" s="15" t="inlineStr">
        <is>
          <t>Volvo</t>
        </is>
      </c>
      <c r="FH1970" s="15" t="inlineStr">
        <is>
          <t>B8R</t>
        </is>
      </c>
      <c r="FI1970" s="15" t="inlineStr">
        <is>
          <t>MARCOPOLO</t>
        </is>
      </c>
      <c r="FJ1970" s="15" t="inlineStr">
        <is>
          <t>TORINO</t>
        </is>
      </c>
      <c r="FK1970" s="15" t="n">
        <v>2019</v>
      </c>
      <c r="FL1970" s="15" t="inlineStr">
        <is>
          <t>B2PAL</t>
        </is>
      </c>
      <c r="FM1970" s="15" t="inlineStr">
        <is>
          <t>LOS LIBERTADORES</t>
        </is>
      </c>
      <c r="FN1970" s="15" t="inlineStr">
        <is>
          <t>Los Liberadores 6450, Lote 4A</t>
        </is>
      </c>
      <c r="FO1970" s="15" t="inlineStr">
        <is>
          <t>Huechuraba</t>
        </is>
      </c>
      <c r="FP1970" t="inlineStr">
        <is>
          <t>B</t>
        </is>
      </c>
    </row>
    <row r="1971">
      <c r="FC1971" t="inlineStr">
        <is>
          <t>Diccionario 3</t>
        </is>
      </c>
      <c r="FD1971" s="15" t="inlineStr">
        <is>
          <t>GCBB29</t>
        </is>
      </c>
      <c r="FE1971" s="15" t="inlineStr">
        <is>
          <t>D8481794K2PL</t>
        </is>
      </c>
      <c r="FF1971" s="15" t="inlineStr">
        <is>
          <t>YV3T7U529KA195461</t>
        </is>
      </c>
      <c r="FG1971" s="15" t="inlineStr">
        <is>
          <t>Volvo</t>
        </is>
      </c>
      <c r="FH1971" s="15" t="inlineStr">
        <is>
          <t>B8R</t>
        </is>
      </c>
      <c r="FI1971" s="15" t="inlineStr">
        <is>
          <t>MARCOPOLO</t>
        </is>
      </c>
      <c r="FJ1971" s="15" t="inlineStr">
        <is>
          <t>TORINO</t>
        </is>
      </c>
      <c r="FK1971" s="15" t="n">
        <v>2019</v>
      </c>
      <c r="FL1971" s="15" t="inlineStr">
        <is>
          <t>B2PAL</t>
        </is>
      </c>
      <c r="FM1971" s="15" t="inlineStr">
        <is>
          <t>LOS LIBERTADORES</t>
        </is>
      </c>
      <c r="FN1971" s="15" t="inlineStr">
        <is>
          <t>Los Liberadores 6450, Lote 4A</t>
        </is>
      </c>
      <c r="FO1971" s="15" t="inlineStr">
        <is>
          <t>Huechuraba</t>
        </is>
      </c>
      <c r="FP1971" t="inlineStr">
        <is>
          <t>B</t>
        </is>
      </c>
    </row>
    <row r="1972">
      <c r="FC1972" t="inlineStr">
        <is>
          <t>Diccionario 3</t>
        </is>
      </c>
      <c r="FD1972" s="15" t="inlineStr">
        <is>
          <t>GCBB30</t>
        </is>
      </c>
      <c r="FE1972" s="15" t="inlineStr">
        <is>
          <t>D8483045K2PL</t>
        </is>
      </c>
      <c r="FF1972" s="15" t="inlineStr">
        <is>
          <t>YV3T7U520KA195462</t>
        </is>
      </c>
      <c r="FG1972" s="15" t="inlineStr">
        <is>
          <t>Volvo</t>
        </is>
      </c>
      <c r="FH1972" s="15" t="inlineStr">
        <is>
          <t>B8R</t>
        </is>
      </c>
      <c r="FI1972" s="15" t="inlineStr">
        <is>
          <t>MARCOPOLO</t>
        </is>
      </c>
      <c r="FJ1972" s="15" t="inlineStr">
        <is>
          <t>TORINO</t>
        </is>
      </c>
      <c r="FK1972" s="15" t="n">
        <v>2019</v>
      </c>
      <c r="FL1972" s="15" t="inlineStr">
        <is>
          <t>B2PAL</t>
        </is>
      </c>
      <c r="FM1972" s="15" t="inlineStr">
        <is>
          <t>LOS LIBERTADORES</t>
        </is>
      </c>
      <c r="FN1972" s="15" t="inlineStr">
        <is>
          <t>Los Liberadores 6450, Lote 4A</t>
        </is>
      </c>
      <c r="FO1972" s="15" t="inlineStr">
        <is>
          <t>Huechuraba</t>
        </is>
      </c>
      <c r="FP1972" t="inlineStr">
        <is>
          <t>B</t>
        </is>
      </c>
    </row>
    <row r="1973">
      <c r="FC1973" t="inlineStr">
        <is>
          <t>Diccionario 3</t>
        </is>
      </c>
      <c r="FD1973" s="15" t="inlineStr">
        <is>
          <t>GCBB31</t>
        </is>
      </c>
      <c r="FE1973" s="15" t="inlineStr">
        <is>
          <t>D8483063K2PL</t>
        </is>
      </c>
      <c r="FF1973" s="15" t="inlineStr">
        <is>
          <t>YV3T7U522KA195463</t>
        </is>
      </c>
      <c r="FG1973" s="15" t="inlineStr">
        <is>
          <t>Volvo</t>
        </is>
      </c>
      <c r="FH1973" s="15" t="inlineStr">
        <is>
          <t>B8R</t>
        </is>
      </c>
      <c r="FI1973" s="15" t="inlineStr">
        <is>
          <t>MARCOPOLO</t>
        </is>
      </c>
      <c r="FJ1973" s="15" t="inlineStr">
        <is>
          <t>TORINO</t>
        </is>
      </c>
      <c r="FK1973" s="15" t="n">
        <v>2019</v>
      </c>
      <c r="FL1973" s="15" t="inlineStr">
        <is>
          <t>B2PAL</t>
        </is>
      </c>
      <c r="FM1973" s="15" t="inlineStr">
        <is>
          <t>LOS LIBERTADORES</t>
        </is>
      </c>
      <c r="FN1973" s="15" t="inlineStr">
        <is>
          <t>Los Liberadores 6450, Lote 4A</t>
        </is>
      </c>
      <c r="FO1973" s="15" t="inlineStr">
        <is>
          <t>Huechuraba</t>
        </is>
      </c>
      <c r="FP1973" t="inlineStr">
        <is>
          <t>B</t>
        </is>
      </c>
    </row>
    <row r="1974">
      <c r="FC1974" t="inlineStr">
        <is>
          <t>Diccionario 3</t>
        </is>
      </c>
      <c r="FD1974" s="15" t="inlineStr">
        <is>
          <t>GCBB32</t>
        </is>
      </c>
      <c r="FE1974" s="15" t="inlineStr">
        <is>
          <t>D8483109K2PL</t>
        </is>
      </c>
      <c r="FF1974" s="15" t="inlineStr">
        <is>
          <t>YV3T7U523KA195486</t>
        </is>
      </c>
      <c r="FG1974" s="15" t="inlineStr">
        <is>
          <t>Volvo</t>
        </is>
      </c>
      <c r="FH1974" s="15" t="inlineStr">
        <is>
          <t>B8R</t>
        </is>
      </c>
      <c r="FI1974" s="15" t="inlineStr">
        <is>
          <t>MARCOPOLO</t>
        </is>
      </c>
      <c r="FJ1974" s="15" t="inlineStr">
        <is>
          <t>TORINO</t>
        </is>
      </c>
      <c r="FK1974" s="15" t="n">
        <v>2019</v>
      </c>
      <c r="FL1974" s="15" t="inlineStr">
        <is>
          <t>B2PAL</t>
        </is>
      </c>
      <c r="FM1974" s="15" t="inlineStr">
        <is>
          <t>LOS LIBERTADORES</t>
        </is>
      </c>
      <c r="FN1974" s="15" t="inlineStr">
        <is>
          <t>Los Liberadores 6450, Lote 4A</t>
        </is>
      </c>
      <c r="FO1974" s="15" t="inlineStr">
        <is>
          <t>Huechuraba</t>
        </is>
      </c>
      <c r="FP1974" t="inlineStr">
        <is>
          <t>B</t>
        </is>
      </c>
    </row>
    <row r="1975">
      <c r="FC1975" t="inlineStr">
        <is>
          <t>Diccionario 3</t>
        </is>
      </c>
      <c r="FD1975" s="15" t="inlineStr">
        <is>
          <t>GCBC33</t>
        </is>
      </c>
      <c r="FE1975" s="15" t="inlineStr">
        <is>
          <t>D8483197K2PL</t>
        </is>
      </c>
      <c r="FF1975" s="15" t="inlineStr">
        <is>
          <t>YV3T7U526KA195532</t>
        </is>
      </c>
      <c r="FG1975" s="15" t="inlineStr">
        <is>
          <t>Volvo</t>
        </is>
      </c>
      <c r="FH1975" s="15" t="inlineStr">
        <is>
          <t>B8R</t>
        </is>
      </c>
      <c r="FI1975" s="15" t="inlineStr">
        <is>
          <t>MARCOPOLO</t>
        </is>
      </c>
      <c r="FJ1975" s="15" t="inlineStr">
        <is>
          <t>TORINO</t>
        </is>
      </c>
      <c r="FK1975" s="15" t="n">
        <v>2019</v>
      </c>
      <c r="FL1975" s="15" t="inlineStr">
        <is>
          <t>B2PAL</t>
        </is>
      </c>
      <c r="FM1975" s="15" t="inlineStr">
        <is>
          <t>LOS LIBERTADORES</t>
        </is>
      </c>
      <c r="FN1975" s="15" t="inlineStr">
        <is>
          <t>Los Liberadores 6450, Lote 4A</t>
        </is>
      </c>
      <c r="FO1975" s="15" t="inlineStr">
        <is>
          <t>Huechuraba</t>
        </is>
      </c>
      <c r="FP1975" t="inlineStr">
        <is>
          <t>B</t>
        </is>
      </c>
    </row>
    <row r="1976">
      <c r="FC1976" t="inlineStr">
        <is>
          <t>Diccionario 3</t>
        </is>
      </c>
      <c r="FD1976" s="15" t="inlineStr">
        <is>
          <t>GCBB34</t>
        </is>
      </c>
      <c r="FE1976" s="15" t="inlineStr">
        <is>
          <t>D8483194K2PL</t>
        </is>
      </c>
      <c r="FF1976" s="15" t="inlineStr">
        <is>
          <t>YV3T7U528KA195533</t>
        </is>
      </c>
      <c r="FG1976" s="15" t="inlineStr">
        <is>
          <t>Volvo</t>
        </is>
      </c>
      <c r="FH1976" s="15" t="inlineStr">
        <is>
          <t>B8R</t>
        </is>
      </c>
      <c r="FI1976" s="15" t="inlineStr">
        <is>
          <t>MARCOPOLO</t>
        </is>
      </c>
      <c r="FJ1976" s="15" t="inlineStr">
        <is>
          <t>TORINO</t>
        </is>
      </c>
      <c r="FK1976" s="15" t="n">
        <v>2019</v>
      </c>
      <c r="FL1976" s="15" t="inlineStr">
        <is>
          <t>B2PAL</t>
        </is>
      </c>
      <c r="FM1976" s="15" t="inlineStr">
        <is>
          <t>LOS LIBERTADORES</t>
        </is>
      </c>
      <c r="FN1976" s="15" t="inlineStr">
        <is>
          <t>Los Liberadores 6450, Lote 4A</t>
        </is>
      </c>
      <c r="FO1976" s="15" t="inlineStr">
        <is>
          <t>Huechuraba</t>
        </is>
      </c>
      <c r="FP1976" t="inlineStr">
        <is>
          <t>B</t>
        </is>
      </c>
    </row>
    <row r="1977">
      <c r="FC1977" t="inlineStr">
        <is>
          <t>Diccionario 3</t>
        </is>
      </c>
      <c r="FD1977" s="15" t="inlineStr">
        <is>
          <t>FLXZ97</t>
        </is>
      </c>
      <c r="FE1977" s="15" t="inlineStr">
        <is>
          <t>D8478297K2PL</t>
        </is>
      </c>
      <c r="FF1977" s="15" t="inlineStr">
        <is>
          <t>YV3T7U528KA195144</t>
        </is>
      </c>
      <c r="FG1977" s="15" t="inlineStr">
        <is>
          <t>Volvo</t>
        </is>
      </c>
      <c r="FH1977" s="15" t="inlineStr">
        <is>
          <t>B8R</t>
        </is>
      </c>
      <c r="FI1977" s="15" t="inlineStr">
        <is>
          <t>MARCOPOLO</t>
        </is>
      </c>
      <c r="FJ1977" s="15" t="inlineStr">
        <is>
          <t>TORINO</t>
        </is>
      </c>
      <c r="FK1977" s="15" t="n">
        <v>2019</v>
      </c>
      <c r="FL1977" s="15" t="inlineStr">
        <is>
          <t>B2PAL</t>
        </is>
      </c>
      <c r="FM1977" s="15" t="inlineStr">
        <is>
          <t>LOS LIBERTADORES</t>
        </is>
      </c>
      <c r="FN1977" s="15" t="inlineStr">
        <is>
          <t>Los Liberadores 6450, Lote 4A</t>
        </is>
      </c>
      <c r="FO1977" s="15" t="inlineStr">
        <is>
          <t>Huechuraba</t>
        </is>
      </c>
      <c r="FP1977" t="inlineStr">
        <is>
          <t>B</t>
        </is>
      </c>
    </row>
    <row r="1978">
      <c r="FC1978" t="inlineStr">
        <is>
          <t>Diccionario 3</t>
        </is>
      </c>
      <c r="FD1978" s="15" t="inlineStr">
        <is>
          <t>GCBB35</t>
        </is>
      </c>
      <c r="FE1978" s="15" t="inlineStr">
        <is>
          <t>D8483221K2PL</t>
        </is>
      </c>
      <c r="FF1978" s="15" t="inlineStr">
        <is>
          <t>YV3T7U521KA195535</t>
        </is>
      </c>
      <c r="FG1978" s="15" t="inlineStr">
        <is>
          <t>Volvo</t>
        </is>
      </c>
      <c r="FH1978" s="15" t="inlineStr">
        <is>
          <t>B8R</t>
        </is>
      </c>
      <c r="FI1978" s="15" t="inlineStr">
        <is>
          <t>MARCOPOLO</t>
        </is>
      </c>
      <c r="FJ1978" s="15" t="inlineStr">
        <is>
          <t>TORINO</t>
        </is>
      </c>
      <c r="FK1978" s="15" t="n">
        <v>2019</v>
      </c>
      <c r="FL1978" s="15" t="inlineStr">
        <is>
          <t>B2PAL</t>
        </is>
      </c>
      <c r="FM1978" s="15" t="inlineStr">
        <is>
          <t>LOS LIBERTADORES</t>
        </is>
      </c>
      <c r="FN1978" s="15" t="inlineStr">
        <is>
          <t>Los Liberadores 6450, Lote 4A</t>
        </is>
      </c>
      <c r="FO1978" s="15" t="inlineStr">
        <is>
          <t>Huechuraba</t>
        </is>
      </c>
      <c r="FP1978" t="inlineStr">
        <is>
          <t>B</t>
        </is>
      </c>
    </row>
    <row r="1979">
      <c r="FC1979" t="inlineStr">
        <is>
          <t>Diccionario 3</t>
        </is>
      </c>
      <c r="FD1979" s="15" t="inlineStr">
        <is>
          <t>GCBB36</t>
        </is>
      </c>
      <c r="FE1979" s="15" t="inlineStr">
        <is>
          <t>D89303077</t>
        </is>
      </c>
      <c r="FF1979" s="15" t="inlineStr">
        <is>
          <t>YV3T7U523KA195553</t>
        </is>
      </c>
      <c r="FG1979" s="15" t="inlineStr">
        <is>
          <t>Volvo</t>
        </is>
      </c>
      <c r="FH1979" s="15" t="inlineStr">
        <is>
          <t>B8R</t>
        </is>
      </c>
      <c r="FI1979" s="15" t="inlineStr">
        <is>
          <t>MARCOPOLO</t>
        </is>
      </c>
      <c r="FJ1979" s="15" t="inlineStr">
        <is>
          <t>TORINO</t>
        </is>
      </c>
      <c r="FK1979" s="15" t="n">
        <v>2019</v>
      </c>
      <c r="FL1979" s="15" t="inlineStr">
        <is>
          <t>B2PAL</t>
        </is>
      </c>
      <c r="FM1979" s="15" t="inlineStr">
        <is>
          <t>LOS LIBERTADORES</t>
        </is>
      </c>
      <c r="FN1979" s="15" t="inlineStr">
        <is>
          <t>Los Liberadores 6450, Lote 4A</t>
        </is>
      </c>
      <c r="FO1979" s="15" t="inlineStr">
        <is>
          <t>Huechuraba</t>
        </is>
      </c>
      <c r="FP1979" t="inlineStr">
        <is>
          <t>B</t>
        </is>
      </c>
    </row>
    <row r="1980">
      <c r="FC1980" t="inlineStr">
        <is>
          <t>Diccionario 3</t>
        </is>
      </c>
      <c r="FD1980" s="15" t="inlineStr">
        <is>
          <t>GCBB37</t>
        </is>
      </c>
      <c r="FE1980" s="15" t="inlineStr">
        <is>
          <t>D8483453K2PL</t>
        </is>
      </c>
      <c r="FF1980" s="15" t="inlineStr">
        <is>
          <t>YV3T7U527KA195572</t>
        </is>
      </c>
      <c r="FG1980" s="15" t="inlineStr">
        <is>
          <t>Volvo</t>
        </is>
      </c>
      <c r="FH1980" s="15" t="inlineStr">
        <is>
          <t>B8R</t>
        </is>
      </c>
      <c r="FI1980" s="15" t="inlineStr">
        <is>
          <t>MARCOPOLO</t>
        </is>
      </c>
      <c r="FJ1980" s="15" t="inlineStr">
        <is>
          <t>TORINO</t>
        </is>
      </c>
      <c r="FK1980" s="15" t="n">
        <v>2019</v>
      </c>
      <c r="FL1980" s="15" t="inlineStr">
        <is>
          <t>B2PAL</t>
        </is>
      </c>
      <c r="FM1980" s="15" t="inlineStr">
        <is>
          <t>LOS LIBERTADORES</t>
        </is>
      </c>
      <c r="FN1980" s="15" t="inlineStr">
        <is>
          <t>Los Liberadores 6450, Lote 4A</t>
        </is>
      </c>
      <c r="FO1980" s="15" t="inlineStr">
        <is>
          <t>Huechuraba</t>
        </is>
      </c>
      <c r="FP1980" t="inlineStr">
        <is>
          <t>B</t>
        </is>
      </c>
    </row>
    <row r="1981">
      <c r="FC1981" t="inlineStr">
        <is>
          <t>Diccionario 3</t>
        </is>
      </c>
      <c r="FD1981" s="15" t="inlineStr">
        <is>
          <t>GCBB38</t>
        </is>
      </c>
      <c r="FE1981" s="15" t="inlineStr">
        <is>
          <t>D8483890K2PL</t>
        </is>
      </c>
      <c r="FF1981" s="15" t="inlineStr">
        <is>
          <t>YV3T7U520KA195574</t>
        </is>
      </c>
      <c r="FG1981" s="15" t="inlineStr">
        <is>
          <t>Volvo</t>
        </is>
      </c>
      <c r="FH1981" s="15" t="inlineStr">
        <is>
          <t>B8R</t>
        </is>
      </c>
      <c r="FI1981" s="15" t="inlineStr">
        <is>
          <t>MARCOPOLO</t>
        </is>
      </c>
      <c r="FJ1981" s="15" t="inlineStr">
        <is>
          <t>TORINO</t>
        </is>
      </c>
      <c r="FK1981" s="15" t="n">
        <v>2019</v>
      </c>
      <c r="FL1981" s="15" t="inlineStr">
        <is>
          <t>B2PAL</t>
        </is>
      </c>
      <c r="FM1981" s="15" t="inlineStr">
        <is>
          <t>LOS LIBERTADORES</t>
        </is>
      </c>
      <c r="FN1981" s="15" t="inlineStr">
        <is>
          <t>Los Liberadores 6450, Lote 4A</t>
        </is>
      </c>
      <c r="FO1981" s="15" t="inlineStr">
        <is>
          <t>Huechuraba</t>
        </is>
      </c>
      <c r="FP1981" t="inlineStr">
        <is>
          <t>B</t>
        </is>
      </c>
    </row>
    <row r="1982">
      <c r="FC1982" t="inlineStr">
        <is>
          <t>Diccionario 3</t>
        </is>
      </c>
      <c r="FD1982" s="15" t="inlineStr">
        <is>
          <t>GCBB39</t>
        </is>
      </c>
      <c r="FE1982" s="15" t="inlineStr">
        <is>
          <t>D8478276K2PL</t>
        </is>
      </c>
      <c r="FF1982" s="15" t="inlineStr">
        <is>
          <t>YV3T7U522KA195141</t>
        </is>
      </c>
      <c r="FG1982" s="15" t="inlineStr">
        <is>
          <t>Volvo</t>
        </is>
      </c>
      <c r="FH1982" s="15" t="inlineStr">
        <is>
          <t>B8R</t>
        </is>
      </c>
      <c r="FI1982" s="15" t="inlineStr">
        <is>
          <t>MARCOPOLO</t>
        </is>
      </c>
      <c r="FJ1982" s="15" t="inlineStr">
        <is>
          <t>TORINO</t>
        </is>
      </c>
      <c r="FK1982" s="15" t="n">
        <v>2019</v>
      </c>
      <c r="FL1982" s="15" t="inlineStr">
        <is>
          <t>B2PAL</t>
        </is>
      </c>
      <c r="FM1982" s="15" t="inlineStr">
        <is>
          <t>LOS LIBERTADORES</t>
        </is>
      </c>
      <c r="FN1982" s="15" t="inlineStr">
        <is>
          <t>Los Liberadores 6450, Lote 4A</t>
        </is>
      </c>
      <c r="FO1982" s="15" t="inlineStr">
        <is>
          <t>Huechuraba</t>
        </is>
      </c>
      <c r="FP1982" t="inlineStr">
        <is>
          <t>B</t>
        </is>
      </c>
    </row>
    <row r="1983">
      <c r="FC1983" t="inlineStr">
        <is>
          <t>Diccionario 3</t>
        </is>
      </c>
      <c r="FD1983" s="15" t="inlineStr">
        <is>
          <t>GCBB40</t>
        </is>
      </c>
      <c r="FE1983" s="15" t="inlineStr">
        <is>
          <t>D8481604K2PL</t>
        </is>
      </c>
      <c r="FF1983" s="15" t="inlineStr">
        <is>
          <t>YV3T7U52XKA195145</t>
        </is>
      </c>
      <c r="FG1983" s="15" t="inlineStr">
        <is>
          <t>Volvo</t>
        </is>
      </c>
      <c r="FH1983" s="15" t="inlineStr">
        <is>
          <t>B8R</t>
        </is>
      </c>
      <c r="FI1983" s="15" t="inlineStr">
        <is>
          <t>MARCOPOLO</t>
        </is>
      </c>
      <c r="FJ1983" s="15" t="inlineStr">
        <is>
          <t>TORINO</t>
        </is>
      </c>
      <c r="FK1983" s="15" t="n">
        <v>2019</v>
      </c>
      <c r="FL1983" s="15" t="inlineStr">
        <is>
          <t>B2PAL</t>
        </is>
      </c>
      <c r="FM1983" s="15" t="inlineStr">
        <is>
          <t>LOS LIBERTADORES</t>
        </is>
      </c>
      <c r="FN1983" s="15" t="inlineStr">
        <is>
          <t>Los Liberadores 6450, Lote 4A</t>
        </is>
      </c>
      <c r="FO1983" s="15" t="inlineStr">
        <is>
          <t>Huechuraba</t>
        </is>
      </c>
      <c r="FP1983" t="inlineStr">
        <is>
          <t>B</t>
        </is>
      </c>
    </row>
    <row r="1984">
      <c r="FC1984" t="inlineStr">
        <is>
          <t>Diccionario 3</t>
        </is>
      </c>
      <c r="FD1984" s="15" t="inlineStr">
        <is>
          <t>GCBB41</t>
        </is>
      </c>
      <c r="FE1984" s="15" t="inlineStr">
        <is>
          <t>D8481609K2PL</t>
        </is>
      </c>
      <c r="FF1984" s="15" t="inlineStr">
        <is>
          <t>YV3T7U521KA195146</t>
        </is>
      </c>
      <c r="FG1984" s="15" t="inlineStr">
        <is>
          <t>Volvo</t>
        </is>
      </c>
      <c r="FH1984" s="15" t="inlineStr">
        <is>
          <t>B8R</t>
        </is>
      </c>
      <c r="FI1984" s="15" t="inlineStr">
        <is>
          <t>MARCOPOLO</t>
        </is>
      </c>
      <c r="FJ1984" s="15" t="inlineStr">
        <is>
          <t>TORINO</t>
        </is>
      </c>
      <c r="FK1984" s="15" t="n">
        <v>2019</v>
      </c>
      <c r="FL1984" s="15" t="inlineStr">
        <is>
          <t>B2PAL</t>
        </is>
      </c>
      <c r="FM1984" s="15" t="inlineStr">
        <is>
          <t>LOS LIBERTADORES</t>
        </is>
      </c>
      <c r="FN1984" s="15" t="inlineStr">
        <is>
          <t>Los Liberadores 6450, Lote 4A</t>
        </is>
      </c>
      <c r="FO1984" s="15" t="inlineStr">
        <is>
          <t>Huechuraba</t>
        </is>
      </c>
      <c r="FP1984" t="inlineStr">
        <is>
          <t>B</t>
        </is>
      </c>
    </row>
    <row r="1985">
      <c r="FC1985" t="inlineStr">
        <is>
          <t>Diccionario 3</t>
        </is>
      </c>
      <c r="FD1985" s="15" t="inlineStr">
        <is>
          <t>GCBB42</t>
        </is>
      </c>
      <c r="FE1985" s="15" t="inlineStr">
        <is>
          <t>D8478221K2PL</t>
        </is>
      </c>
      <c r="FF1985" s="15" t="inlineStr">
        <is>
          <t>YV3T7U523KA195147</t>
        </is>
      </c>
      <c r="FG1985" s="15" t="inlineStr">
        <is>
          <t>Volvo</t>
        </is>
      </c>
      <c r="FH1985" s="15" t="inlineStr">
        <is>
          <t>B8R</t>
        </is>
      </c>
      <c r="FI1985" s="15" t="inlineStr">
        <is>
          <t>MARCOPOLO</t>
        </is>
      </c>
      <c r="FJ1985" s="15" t="inlineStr">
        <is>
          <t>TORINO</t>
        </is>
      </c>
      <c r="FK1985" s="15" t="n">
        <v>2019</v>
      </c>
      <c r="FL1985" s="15" t="inlineStr">
        <is>
          <t>B2PAL</t>
        </is>
      </c>
      <c r="FM1985" s="15" t="inlineStr">
        <is>
          <t>LOS LIBERTADORES</t>
        </is>
      </c>
      <c r="FN1985" s="15" t="inlineStr">
        <is>
          <t>Los Liberadores 6450, Lote 4A</t>
        </is>
      </c>
      <c r="FO1985" s="15" t="inlineStr">
        <is>
          <t>Huechuraba</t>
        </is>
      </c>
      <c r="FP1985" t="inlineStr">
        <is>
          <t>B</t>
        </is>
      </c>
    </row>
    <row r="1986">
      <c r="FC1986" t="inlineStr">
        <is>
          <t>Diccionario 3</t>
        </is>
      </c>
      <c r="FD1986" s="15" t="inlineStr">
        <is>
          <t>GCBB43</t>
        </is>
      </c>
      <c r="FE1986" s="15" t="inlineStr">
        <is>
          <t>D8478290K2PL</t>
        </is>
      </c>
      <c r="FF1986" s="15" t="inlineStr">
        <is>
          <t>YV3T7U525KA195148</t>
        </is>
      </c>
      <c r="FG1986" s="15" t="inlineStr">
        <is>
          <t>Volvo</t>
        </is>
      </c>
      <c r="FH1986" s="15" t="inlineStr">
        <is>
          <t>B8R</t>
        </is>
      </c>
      <c r="FI1986" s="15" t="inlineStr">
        <is>
          <t>MARCOPOLO</t>
        </is>
      </c>
      <c r="FJ1986" s="15" t="inlineStr">
        <is>
          <t>TORINO</t>
        </is>
      </c>
      <c r="FK1986" s="15" t="n">
        <v>2019</v>
      </c>
      <c r="FL1986" s="15" t="inlineStr">
        <is>
          <t>B2PAL</t>
        </is>
      </c>
      <c r="FM1986" s="15" t="inlineStr">
        <is>
          <t>LOS LIBERTADORES</t>
        </is>
      </c>
      <c r="FN1986" s="15" t="inlineStr">
        <is>
          <t>Los Liberadores 6450, Lote 4A</t>
        </is>
      </c>
      <c r="FO1986" s="15" t="inlineStr">
        <is>
          <t>Huechuraba</t>
        </is>
      </c>
      <c r="FP1986" t="inlineStr">
        <is>
          <t>B</t>
        </is>
      </c>
    </row>
    <row r="1987">
      <c r="FC1987" t="inlineStr">
        <is>
          <t>Diccionario 3</t>
        </is>
      </c>
      <c r="FD1987" s="15" t="inlineStr">
        <is>
          <t>GCBB44</t>
        </is>
      </c>
      <c r="FE1987" s="15" t="inlineStr">
        <is>
          <t>D8481517K2PL</t>
        </is>
      </c>
      <c r="FF1987" s="15" t="inlineStr">
        <is>
          <t>YV3T7U520KA195171</t>
        </is>
      </c>
      <c r="FG1987" s="15" t="inlineStr">
        <is>
          <t>Volvo</t>
        </is>
      </c>
      <c r="FH1987" s="15" t="inlineStr">
        <is>
          <t>B8R</t>
        </is>
      </c>
      <c r="FI1987" s="15" t="inlineStr">
        <is>
          <t>MARCOPOLO</t>
        </is>
      </c>
      <c r="FJ1987" s="15" t="inlineStr">
        <is>
          <t>TORINO</t>
        </is>
      </c>
      <c r="FK1987" s="15" t="n">
        <v>2019</v>
      </c>
      <c r="FL1987" s="15" t="inlineStr">
        <is>
          <t>B2PAL</t>
        </is>
      </c>
      <c r="FM1987" s="15" t="inlineStr">
        <is>
          <t>LOS LIBERTADORES</t>
        </is>
      </c>
      <c r="FN1987" s="15" t="inlineStr">
        <is>
          <t>Los Liberadores 6450, Lote 4A</t>
        </is>
      </c>
      <c r="FO1987" s="15" t="inlineStr">
        <is>
          <t>Huechuraba</t>
        </is>
      </c>
      <c r="FP1987" t="inlineStr">
        <is>
          <t>B</t>
        </is>
      </c>
    </row>
    <row r="1988">
      <c r="FC1988" t="inlineStr">
        <is>
          <t>Diccionario 3</t>
        </is>
      </c>
      <c r="FD1988" s="15" t="inlineStr">
        <is>
          <t>FLXZ98</t>
        </is>
      </c>
      <c r="FE1988" s="15" t="inlineStr">
        <is>
          <t>D8481625K2PL</t>
        </is>
      </c>
      <c r="FF1988" s="15" t="inlineStr">
        <is>
          <t>YV3T7U526KA195174</t>
        </is>
      </c>
      <c r="FG1988" s="15" t="inlineStr">
        <is>
          <t>Volvo</t>
        </is>
      </c>
      <c r="FH1988" s="15" t="inlineStr">
        <is>
          <t>B8R</t>
        </is>
      </c>
      <c r="FI1988" s="15" t="inlineStr">
        <is>
          <t>MARCOPOLO</t>
        </is>
      </c>
      <c r="FJ1988" s="15" t="inlineStr">
        <is>
          <t>TORINO</t>
        </is>
      </c>
      <c r="FK1988" s="15" t="n">
        <v>2019</v>
      </c>
      <c r="FL1988" s="15" t="inlineStr">
        <is>
          <t>B2PAL</t>
        </is>
      </c>
      <c r="FM1988" s="15" t="inlineStr">
        <is>
          <t>LOS LIBERTADORES</t>
        </is>
      </c>
      <c r="FN1988" s="15" t="inlineStr">
        <is>
          <t>Los Liberadores 6450, Lote 4A</t>
        </is>
      </c>
      <c r="FO1988" s="15" t="inlineStr">
        <is>
          <t>Huechuraba</t>
        </is>
      </c>
      <c r="FP1988" t="inlineStr">
        <is>
          <t>B</t>
        </is>
      </c>
    </row>
    <row r="1989">
      <c r="FC1989" t="inlineStr">
        <is>
          <t>Diccionario 3</t>
        </is>
      </c>
      <c r="FD1989" s="15" t="inlineStr">
        <is>
          <t>GCBB45</t>
        </is>
      </c>
      <c r="FE1989" s="15" t="inlineStr">
        <is>
          <t>D8481615K2PL</t>
        </is>
      </c>
      <c r="FF1989" s="15" t="inlineStr">
        <is>
          <t>YV3T7U524KA195173</t>
        </is>
      </c>
      <c r="FG1989" s="15" t="inlineStr">
        <is>
          <t>Volvo</t>
        </is>
      </c>
      <c r="FH1989" s="15" t="inlineStr">
        <is>
          <t>B8R</t>
        </is>
      </c>
      <c r="FI1989" s="15" t="inlineStr">
        <is>
          <t>MARCOPOLO</t>
        </is>
      </c>
      <c r="FJ1989" s="15" t="inlineStr">
        <is>
          <t>TORINO</t>
        </is>
      </c>
      <c r="FK1989" s="15" t="n">
        <v>2019</v>
      </c>
      <c r="FL1989" s="15" t="inlineStr">
        <is>
          <t>B2PAL</t>
        </is>
      </c>
      <c r="FM1989" s="15" t="inlineStr">
        <is>
          <t>LOS LIBERTADORES</t>
        </is>
      </c>
      <c r="FN1989" s="15" t="inlineStr">
        <is>
          <t>Los Liberadores 6450, Lote 4A</t>
        </is>
      </c>
      <c r="FO1989" s="15" t="inlineStr">
        <is>
          <t>Huechuraba</t>
        </is>
      </c>
      <c r="FP1989" t="inlineStr">
        <is>
          <t>B</t>
        </is>
      </c>
    </row>
    <row r="1990">
      <c r="FC1990" t="inlineStr">
        <is>
          <t>Diccionario 3</t>
        </is>
      </c>
      <c r="FD1990" s="15" t="inlineStr">
        <is>
          <t>GCBB46</t>
        </is>
      </c>
      <c r="FE1990" s="15" t="inlineStr">
        <is>
          <t>D8481618K2PL</t>
        </is>
      </c>
      <c r="FF1990" s="15" t="inlineStr">
        <is>
          <t>YV3T7U52XKA195176</t>
        </is>
      </c>
      <c r="FG1990" s="15" t="inlineStr">
        <is>
          <t>Volvo</t>
        </is>
      </c>
      <c r="FH1990" s="15" t="inlineStr">
        <is>
          <t>B8R</t>
        </is>
      </c>
      <c r="FI1990" s="15" t="inlineStr">
        <is>
          <t>MARCOPOLO</t>
        </is>
      </c>
      <c r="FJ1990" s="15" t="inlineStr">
        <is>
          <t>TORINO</t>
        </is>
      </c>
      <c r="FK1990" s="15" t="n">
        <v>2019</v>
      </c>
      <c r="FL1990" s="15" t="inlineStr">
        <is>
          <t>B2PAL</t>
        </is>
      </c>
      <c r="FM1990" s="15" t="inlineStr">
        <is>
          <t>LOS LIBERTADORES</t>
        </is>
      </c>
      <c r="FN1990" s="15" t="inlineStr">
        <is>
          <t>Los Liberadores 6450, Lote 4A</t>
        </is>
      </c>
      <c r="FO1990" s="15" t="inlineStr">
        <is>
          <t>Huechuraba</t>
        </is>
      </c>
      <c r="FP1990" t="inlineStr">
        <is>
          <t>B</t>
        </is>
      </c>
    </row>
    <row r="1991">
      <c r="FC1991" t="inlineStr">
        <is>
          <t>Diccionario 3</t>
        </is>
      </c>
      <c r="FD1991" s="15" t="inlineStr">
        <is>
          <t>GCBB47</t>
        </is>
      </c>
      <c r="FE1991" s="15" t="inlineStr">
        <is>
          <t>D8481639K2PL</t>
        </is>
      </c>
      <c r="FF1991" s="15" t="inlineStr">
        <is>
          <t>YV3T7U523KA195178</t>
        </is>
      </c>
      <c r="FG1991" s="15" t="inlineStr">
        <is>
          <t>Volvo</t>
        </is>
      </c>
      <c r="FH1991" s="15" t="inlineStr">
        <is>
          <t>B8R</t>
        </is>
      </c>
      <c r="FI1991" s="15" t="inlineStr">
        <is>
          <t>MARCOPOLO</t>
        </is>
      </c>
      <c r="FJ1991" s="15" t="inlineStr">
        <is>
          <t>TORINO</t>
        </is>
      </c>
      <c r="FK1991" s="15" t="n">
        <v>2019</v>
      </c>
      <c r="FL1991" s="15" t="inlineStr">
        <is>
          <t>B2PAL</t>
        </is>
      </c>
      <c r="FM1991" s="15" t="inlineStr">
        <is>
          <t>LOS LIBERTADORES</t>
        </is>
      </c>
      <c r="FN1991" s="15" t="inlineStr">
        <is>
          <t>Los Liberadores 6450, Lote 4A</t>
        </is>
      </c>
      <c r="FO1991" s="15" t="inlineStr">
        <is>
          <t>Huechuraba</t>
        </is>
      </c>
      <c r="FP1991" t="inlineStr">
        <is>
          <t>B</t>
        </is>
      </c>
    </row>
    <row r="1992">
      <c r="FC1992" t="inlineStr">
        <is>
          <t>Diccionario 3</t>
        </is>
      </c>
      <c r="FD1992" s="15" t="inlineStr">
        <is>
          <t>GCBB48</t>
        </is>
      </c>
      <c r="FE1992" s="15" t="inlineStr">
        <is>
          <t>D8481597K2PL</t>
        </is>
      </c>
      <c r="FF1992" s="15" t="inlineStr">
        <is>
          <t>YV3T7U523KA195181</t>
        </is>
      </c>
      <c r="FG1992" s="15" t="inlineStr">
        <is>
          <t>Volvo</t>
        </is>
      </c>
      <c r="FH1992" s="15" t="inlineStr">
        <is>
          <t>B8R</t>
        </is>
      </c>
      <c r="FI1992" s="15" t="inlineStr">
        <is>
          <t>MARCOPOLO</t>
        </is>
      </c>
      <c r="FJ1992" s="15" t="inlineStr">
        <is>
          <t>TORINO</t>
        </is>
      </c>
      <c r="FK1992" s="15" t="n">
        <v>2019</v>
      </c>
      <c r="FL1992" s="15" t="inlineStr">
        <is>
          <t>B2PAL</t>
        </is>
      </c>
      <c r="FM1992" s="15" t="inlineStr">
        <is>
          <t>LOS LIBERTADORES</t>
        </is>
      </c>
      <c r="FN1992" s="15" t="inlineStr">
        <is>
          <t>Los Liberadores 6450, Lote 4A</t>
        </is>
      </c>
      <c r="FO1992" s="15" t="inlineStr">
        <is>
          <t>Huechuraba</t>
        </is>
      </c>
      <c r="FP1992" t="inlineStr">
        <is>
          <t>B</t>
        </is>
      </c>
    </row>
    <row r="1993">
      <c r="FC1993" t="inlineStr">
        <is>
          <t>Diccionario 3</t>
        </is>
      </c>
      <c r="FD1993" s="15" t="inlineStr">
        <is>
          <t>GCBB49</t>
        </is>
      </c>
      <c r="FE1993" s="15" t="inlineStr">
        <is>
          <t>D8481673K2PL</t>
        </is>
      </c>
      <c r="FF1993" s="15" t="inlineStr">
        <is>
          <t>YV3T7U524KA195190</t>
        </is>
      </c>
      <c r="FG1993" s="15" t="inlineStr">
        <is>
          <t>Volvo</t>
        </is>
      </c>
      <c r="FH1993" s="15" t="inlineStr">
        <is>
          <t>B8R</t>
        </is>
      </c>
      <c r="FI1993" s="15" t="inlineStr">
        <is>
          <t>MARCOPOLO</t>
        </is>
      </c>
      <c r="FJ1993" s="15" t="inlineStr">
        <is>
          <t>TORINO</t>
        </is>
      </c>
      <c r="FK1993" s="15" t="n">
        <v>2019</v>
      </c>
      <c r="FL1993" s="15" t="inlineStr">
        <is>
          <t>B2PAL</t>
        </is>
      </c>
      <c r="FM1993" s="15" t="inlineStr">
        <is>
          <t>LOS LIBERTADORES</t>
        </is>
      </c>
      <c r="FN1993" s="15" t="inlineStr">
        <is>
          <t>Los Liberadores 6450, Lote 4A</t>
        </is>
      </c>
      <c r="FO1993" s="15" t="inlineStr">
        <is>
          <t>Huechuraba</t>
        </is>
      </c>
      <c r="FP1993" t="inlineStr">
        <is>
          <t>B</t>
        </is>
      </c>
    </row>
    <row r="1994">
      <c r="FC1994" t="inlineStr">
        <is>
          <t>Diccionario 3</t>
        </is>
      </c>
      <c r="FD1994" s="15" t="inlineStr">
        <is>
          <t>GCBB50</t>
        </is>
      </c>
      <c r="FE1994" s="15" t="inlineStr">
        <is>
          <t>D8481885K2PL</t>
        </is>
      </c>
      <c r="FF1994" s="15" t="inlineStr">
        <is>
          <t>YV3T7U526KA195191</t>
        </is>
      </c>
      <c r="FG1994" s="15" t="inlineStr">
        <is>
          <t>Volvo</t>
        </is>
      </c>
      <c r="FH1994" s="15" t="inlineStr">
        <is>
          <t>B8R</t>
        </is>
      </c>
      <c r="FI1994" s="15" t="inlineStr">
        <is>
          <t>MARCOPOLO</t>
        </is>
      </c>
      <c r="FJ1994" s="15" t="inlineStr">
        <is>
          <t>TORINO</t>
        </is>
      </c>
      <c r="FK1994" s="15" t="n">
        <v>2019</v>
      </c>
      <c r="FL1994" s="15" t="inlineStr">
        <is>
          <t>B2PAL</t>
        </is>
      </c>
      <c r="FM1994" s="15" t="inlineStr">
        <is>
          <t>LOS LIBERTADORES</t>
        </is>
      </c>
      <c r="FN1994" s="15" t="inlineStr">
        <is>
          <t>Los Liberadores 6450, Lote 4A</t>
        </is>
      </c>
      <c r="FO1994" s="15" t="inlineStr">
        <is>
          <t>Huechuraba</t>
        </is>
      </c>
      <c r="FP1994" t="inlineStr">
        <is>
          <t>B</t>
        </is>
      </c>
    </row>
    <row r="1995">
      <c r="FC1995" t="inlineStr">
        <is>
          <t>Diccionario 3</t>
        </is>
      </c>
      <c r="FD1995" s="15" t="inlineStr">
        <is>
          <t>GCBB51</t>
        </is>
      </c>
      <c r="FE1995" s="15" t="inlineStr">
        <is>
          <t>D8481866K2PL</t>
        </is>
      </c>
      <c r="FF1995" s="15" t="inlineStr">
        <is>
          <t>YV3T7U528KA195192</t>
        </is>
      </c>
      <c r="FG1995" s="15" t="inlineStr">
        <is>
          <t>Volvo</t>
        </is>
      </c>
      <c r="FH1995" s="15" t="inlineStr">
        <is>
          <t>B8R</t>
        </is>
      </c>
      <c r="FI1995" s="15" t="inlineStr">
        <is>
          <t>MARCOPOLO</t>
        </is>
      </c>
      <c r="FJ1995" s="15" t="inlineStr">
        <is>
          <t>TORINO</t>
        </is>
      </c>
      <c r="FK1995" s="15" t="n">
        <v>2019</v>
      </c>
      <c r="FL1995" s="15" t="inlineStr">
        <is>
          <t>B2PAL</t>
        </is>
      </c>
      <c r="FM1995" s="15" t="inlineStr">
        <is>
          <t>LOS LIBERTADORES</t>
        </is>
      </c>
      <c r="FN1995" s="15" t="inlineStr">
        <is>
          <t>Los Liberadores 6450, Lote 4A</t>
        </is>
      </c>
      <c r="FO1995" s="15" t="inlineStr">
        <is>
          <t>Huechuraba</t>
        </is>
      </c>
      <c r="FP1995" t="inlineStr">
        <is>
          <t>B</t>
        </is>
      </c>
    </row>
    <row r="1996">
      <c r="FC1996" t="inlineStr">
        <is>
          <t>Diccionario 3</t>
        </is>
      </c>
      <c r="FD1996" s="15" t="inlineStr">
        <is>
          <t>GCBB52</t>
        </is>
      </c>
      <c r="FE1996" s="15" t="inlineStr">
        <is>
          <t>D8481887K2PL</t>
        </is>
      </c>
      <c r="FF1996" s="15" t="inlineStr">
        <is>
          <t>YV3T7U52XKA195193</t>
        </is>
      </c>
      <c r="FG1996" s="15" t="inlineStr">
        <is>
          <t>Volvo</t>
        </is>
      </c>
      <c r="FH1996" s="15" t="inlineStr">
        <is>
          <t>B8R</t>
        </is>
      </c>
      <c r="FI1996" s="15" t="inlineStr">
        <is>
          <t>MARCOPOLO</t>
        </is>
      </c>
      <c r="FJ1996" s="15" t="inlineStr">
        <is>
          <t>TORINO</t>
        </is>
      </c>
      <c r="FK1996" s="15" t="n">
        <v>2019</v>
      </c>
      <c r="FL1996" s="15" t="inlineStr">
        <is>
          <t>B2PAL</t>
        </is>
      </c>
      <c r="FM1996" s="15" t="inlineStr">
        <is>
          <t>LOS LIBERTADORES</t>
        </is>
      </c>
      <c r="FN1996" s="15" t="inlineStr">
        <is>
          <t>Los Liberadores 6450, Lote 4A</t>
        </is>
      </c>
      <c r="FO1996" s="15" t="inlineStr">
        <is>
          <t>Huechuraba</t>
        </is>
      </c>
      <c r="FP1996" t="inlineStr">
        <is>
          <t>B</t>
        </is>
      </c>
    </row>
    <row r="1997">
      <c r="FC1997" t="inlineStr">
        <is>
          <t>Diccionario 3</t>
        </is>
      </c>
      <c r="FD1997" s="15" t="inlineStr">
        <is>
          <t>GCBB53</t>
        </is>
      </c>
      <c r="FE1997" s="15" t="inlineStr">
        <is>
          <t>D8481478K2PL</t>
        </is>
      </c>
      <c r="FF1997" s="15" t="inlineStr">
        <is>
          <t>YV3T7U527KA195197</t>
        </is>
      </c>
      <c r="FG1997" s="15" t="inlineStr">
        <is>
          <t>Volvo</t>
        </is>
      </c>
      <c r="FH1997" s="15" t="inlineStr">
        <is>
          <t>B8R</t>
        </is>
      </c>
      <c r="FI1997" s="15" t="inlineStr">
        <is>
          <t>MARCOPOLO</t>
        </is>
      </c>
      <c r="FJ1997" s="15" t="inlineStr">
        <is>
          <t>TORINO</t>
        </is>
      </c>
      <c r="FK1997" s="15" t="n">
        <v>2019</v>
      </c>
      <c r="FL1997" s="15" t="inlineStr">
        <is>
          <t>B2PAL</t>
        </is>
      </c>
      <c r="FM1997" s="15" t="inlineStr">
        <is>
          <t>LOS LIBERTADORES</t>
        </is>
      </c>
      <c r="FN1997" s="15" t="inlineStr">
        <is>
          <t>Los Liberadores 6450, Lote 4A</t>
        </is>
      </c>
      <c r="FO1997" s="15" t="inlineStr">
        <is>
          <t>Huechuraba</t>
        </is>
      </c>
      <c r="FP1997" t="inlineStr">
        <is>
          <t>B</t>
        </is>
      </c>
    </row>
    <row r="1998">
      <c r="FC1998" t="inlineStr">
        <is>
          <t>Diccionario 3</t>
        </is>
      </c>
      <c r="FD1998" s="15" t="inlineStr">
        <is>
          <t>GCBB54</t>
        </is>
      </c>
      <c r="FE1998" s="15" t="inlineStr">
        <is>
          <t>D8481635K2PL</t>
        </is>
      </c>
      <c r="FF1998" s="15" t="inlineStr">
        <is>
          <t>YV3T7U529KA195198</t>
        </is>
      </c>
      <c r="FG1998" s="15" t="inlineStr">
        <is>
          <t>Volvo</t>
        </is>
      </c>
      <c r="FH1998" s="15" t="inlineStr">
        <is>
          <t>B8R</t>
        </is>
      </c>
      <c r="FI1998" s="15" t="inlineStr">
        <is>
          <t>MARCOPOLO</t>
        </is>
      </c>
      <c r="FJ1998" s="15" t="inlineStr">
        <is>
          <t>TORINO</t>
        </is>
      </c>
      <c r="FK1998" s="15" t="n">
        <v>2019</v>
      </c>
      <c r="FL1998" s="15" t="inlineStr">
        <is>
          <t>B2PAL</t>
        </is>
      </c>
      <c r="FM1998" s="15" t="inlineStr">
        <is>
          <t>LOS LIBERTADORES</t>
        </is>
      </c>
      <c r="FN1998" s="15" t="inlineStr">
        <is>
          <t>Los Liberadores 6450, Lote 4A</t>
        </is>
      </c>
      <c r="FO1998" s="15" t="inlineStr">
        <is>
          <t>Huechuraba</t>
        </is>
      </c>
      <c r="FP1998" t="inlineStr">
        <is>
          <t>B</t>
        </is>
      </c>
    </row>
    <row r="1999">
      <c r="FC1999" t="inlineStr">
        <is>
          <t>Diccionario 3</t>
        </is>
      </c>
      <c r="FD1999" s="15" t="inlineStr">
        <is>
          <t>FLXZ99</t>
        </is>
      </c>
      <c r="FE1999" s="15" t="inlineStr">
        <is>
          <t>D8481607K2PL</t>
        </is>
      </c>
      <c r="FF1999" s="15" t="inlineStr">
        <is>
          <t>YV3T7U521KA195180</t>
        </is>
      </c>
      <c r="FG1999" s="15" t="inlineStr">
        <is>
          <t>Volvo</t>
        </is>
      </c>
      <c r="FH1999" s="15" t="inlineStr">
        <is>
          <t>B8R</t>
        </is>
      </c>
      <c r="FI1999" s="15" t="inlineStr">
        <is>
          <t>MARCOPOLO</t>
        </is>
      </c>
      <c r="FJ1999" s="15" t="inlineStr">
        <is>
          <t>TORINO</t>
        </is>
      </c>
      <c r="FK1999" s="15" t="n">
        <v>2019</v>
      </c>
      <c r="FL1999" s="15" t="inlineStr">
        <is>
          <t>B2PAL</t>
        </is>
      </c>
      <c r="FM1999" s="15" t="inlineStr">
        <is>
          <t>LOS LIBERTADORES</t>
        </is>
      </c>
      <c r="FN1999" s="15" t="inlineStr">
        <is>
          <t>Los Liberadores 6450, Lote 4A</t>
        </is>
      </c>
      <c r="FO1999" s="15" t="inlineStr">
        <is>
          <t>Huechuraba</t>
        </is>
      </c>
      <c r="FP1999" t="inlineStr">
        <is>
          <t>B</t>
        </is>
      </c>
    </row>
    <row r="2000">
      <c r="FC2000" t="inlineStr">
        <is>
          <t>Diccionario 3</t>
        </is>
      </c>
      <c r="FD2000" s="15" t="inlineStr">
        <is>
          <t>GCBB55</t>
        </is>
      </c>
      <c r="FE2000" s="15" t="inlineStr">
        <is>
          <t>D8481488K2PL</t>
        </is>
      </c>
      <c r="FF2000" s="15" t="inlineStr">
        <is>
          <t>YV3T7U525KA195229</t>
        </is>
      </c>
      <c r="FG2000" s="15" t="inlineStr">
        <is>
          <t>Volvo</t>
        </is>
      </c>
      <c r="FH2000" s="15" t="inlineStr">
        <is>
          <t>B8R</t>
        </is>
      </c>
      <c r="FI2000" s="15" t="inlineStr">
        <is>
          <t>MARCOPOLO</t>
        </is>
      </c>
      <c r="FJ2000" s="15" t="inlineStr">
        <is>
          <t>TORINO</t>
        </is>
      </c>
      <c r="FK2000" s="15" t="n">
        <v>2019</v>
      </c>
      <c r="FL2000" s="15" t="inlineStr">
        <is>
          <t>B2PAL</t>
        </is>
      </c>
      <c r="FM2000" s="15" t="inlineStr">
        <is>
          <t>LOS LIBERTADORES</t>
        </is>
      </c>
      <c r="FN2000" s="15" t="inlineStr">
        <is>
          <t>Los Liberadores 6450, Lote 4A</t>
        </is>
      </c>
      <c r="FO2000" s="15" t="inlineStr">
        <is>
          <t>Huechuraba</t>
        </is>
      </c>
      <c r="FP2000" t="inlineStr">
        <is>
          <t>B</t>
        </is>
      </c>
    </row>
    <row r="2001">
      <c r="FC2001" t="inlineStr">
        <is>
          <t>Diccionario 3</t>
        </is>
      </c>
      <c r="FD2001" s="15" t="inlineStr">
        <is>
          <t>GCBB56</t>
        </is>
      </c>
      <c r="FE2001" s="15" t="inlineStr">
        <is>
          <t>D8482670K2PL</t>
        </is>
      </c>
      <c r="FF2001" s="15" t="inlineStr">
        <is>
          <t>YV3T7U523KA195231</t>
        </is>
      </c>
      <c r="FG2001" s="15" t="inlineStr">
        <is>
          <t>Volvo</t>
        </is>
      </c>
      <c r="FH2001" s="15" t="inlineStr">
        <is>
          <t>B8R</t>
        </is>
      </c>
      <c r="FI2001" s="15" t="inlineStr">
        <is>
          <t>MARCOPOLO</t>
        </is>
      </c>
      <c r="FJ2001" s="15" t="inlineStr">
        <is>
          <t>TORINO</t>
        </is>
      </c>
      <c r="FK2001" s="15" t="n">
        <v>2019</v>
      </c>
      <c r="FL2001" s="15" t="inlineStr">
        <is>
          <t>B2PAL</t>
        </is>
      </c>
      <c r="FM2001" s="15" t="inlineStr">
        <is>
          <t>LOS LIBERTADORES</t>
        </is>
      </c>
      <c r="FN2001" s="15" t="inlineStr">
        <is>
          <t>Los Liberadores 6450, Lote 4A</t>
        </is>
      </c>
      <c r="FO2001" s="15" t="inlineStr">
        <is>
          <t>Huechuraba</t>
        </is>
      </c>
      <c r="FP2001" t="inlineStr">
        <is>
          <t>B</t>
        </is>
      </c>
    </row>
    <row r="2002">
      <c r="FC2002" t="inlineStr">
        <is>
          <t>Diccionario 3</t>
        </is>
      </c>
      <c r="FD2002" s="15" t="inlineStr">
        <is>
          <t>GCBB57</t>
        </is>
      </c>
      <c r="FE2002" s="15" t="inlineStr">
        <is>
          <t>D8481984K2PL</t>
        </is>
      </c>
      <c r="FF2002" s="15" t="inlineStr">
        <is>
          <t>YV3T7U524KA195268</t>
        </is>
      </c>
      <c r="FG2002" s="15" t="inlineStr">
        <is>
          <t>Volvo</t>
        </is>
      </c>
      <c r="FH2002" s="15" t="inlineStr">
        <is>
          <t>B8R</t>
        </is>
      </c>
      <c r="FI2002" s="15" t="inlineStr">
        <is>
          <t>MARCOPOLO</t>
        </is>
      </c>
      <c r="FJ2002" s="15" t="inlineStr">
        <is>
          <t>TORINO</t>
        </is>
      </c>
      <c r="FK2002" s="15" t="n">
        <v>2019</v>
      </c>
      <c r="FL2002" s="15" t="inlineStr">
        <is>
          <t>B2PAL</t>
        </is>
      </c>
      <c r="FM2002" s="15" t="inlineStr">
        <is>
          <t>LOS LIBERTADORES</t>
        </is>
      </c>
      <c r="FN2002" s="15" t="inlineStr">
        <is>
          <t>Los Liberadores 6450, Lote 4A</t>
        </is>
      </c>
      <c r="FO2002" s="15" t="inlineStr">
        <is>
          <t>Huechuraba</t>
        </is>
      </c>
      <c r="FP2002" t="inlineStr">
        <is>
          <t>B</t>
        </is>
      </c>
    </row>
    <row r="2003">
      <c r="FC2003" t="inlineStr">
        <is>
          <t>Diccionario 3</t>
        </is>
      </c>
      <c r="FD2003" s="15" t="inlineStr">
        <is>
          <t>GCBB58</t>
        </is>
      </c>
      <c r="FE2003" s="15" t="inlineStr">
        <is>
          <t>D8481907K2PL</t>
        </is>
      </c>
      <c r="FF2003" s="15" t="inlineStr">
        <is>
          <t>YV3T7U526KA195269</t>
        </is>
      </c>
      <c r="FG2003" s="15" t="inlineStr">
        <is>
          <t>Volvo</t>
        </is>
      </c>
      <c r="FH2003" s="15" t="inlineStr">
        <is>
          <t>B8R</t>
        </is>
      </c>
      <c r="FI2003" s="15" t="inlineStr">
        <is>
          <t>MARCOPOLO</t>
        </is>
      </c>
      <c r="FJ2003" s="15" t="inlineStr">
        <is>
          <t>TORINO</t>
        </is>
      </c>
      <c r="FK2003" s="15" t="n">
        <v>2019</v>
      </c>
      <c r="FL2003" s="15" t="inlineStr">
        <is>
          <t>B2PAL</t>
        </is>
      </c>
      <c r="FM2003" s="15" t="inlineStr">
        <is>
          <t>LOS LIBERTADORES</t>
        </is>
      </c>
      <c r="FN2003" s="15" t="inlineStr">
        <is>
          <t>Los Liberadores 6450, Lote 4A</t>
        </is>
      </c>
      <c r="FO2003" s="15" t="inlineStr">
        <is>
          <t>Huechuraba</t>
        </is>
      </c>
      <c r="FP2003" t="inlineStr">
        <is>
          <t>B</t>
        </is>
      </c>
    </row>
    <row r="2004">
      <c r="FC2004" t="inlineStr">
        <is>
          <t>Diccionario 3</t>
        </is>
      </c>
      <c r="FD2004" s="15" t="inlineStr">
        <is>
          <t>GCBB59</t>
        </is>
      </c>
      <c r="FE2004" s="15" t="inlineStr">
        <is>
          <t>D8481955K2PL</t>
        </is>
      </c>
      <c r="FF2004" s="15" t="inlineStr">
        <is>
          <t>YV3T7U522KA195270</t>
        </is>
      </c>
      <c r="FG2004" s="15" t="inlineStr">
        <is>
          <t>Volvo</t>
        </is>
      </c>
      <c r="FH2004" s="15" t="inlineStr">
        <is>
          <t>B8R</t>
        </is>
      </c>
      <c r="FI2004" s="15" t="inlineStr">
        <is>
          <t>MARCOPOLO</t>
        </is>
      </c>
      <c r="FJ2004" s="15" t="inlineStr">
        <is>
          <t>TORINO</t>
        </is>
      </c>
      <c r="FK2004" s="15" t="n">
        <v>2019</v>
      </c>
      <c r="FL2004" s="15" t="inlineStr">
        <is>
          <t>B2PAL</t>
        </is>
      </c>
      <c r="FM2004" s="15" t="inlineStr">
        <is>
          <t>LOS LIBERTADORES</t>
        </is>
      </c>
      <c r="FN2004" s="15" t="inlineStr">
        <is>
          <t>Los Liberadores 6450, Lote 4A</t>
        </is>
      </c>
      <c r="FO2004" s="15" t="inlineStr">
        <is>
          <t>Huechuraba</t>
        </is>
      </c>
      <c r="FP2004" t="inlineStr">
        <is>
          <t>B</t>
        </is>
      </c>
    </row>
    <row r="2005">
      <c r="FC2005" t="inlineStr">
        <is>
          <t>Diccionario 3</t>
        </is>
      </c>
      <c r="FD2005" s="15" t="inlineStr">
        <is>
          <t>GCBB60</t>
        </is>
      </c>
      <c r="FE2005" s="15" t="inlineStr">
        <is>
          <t>D8482733K2PL</t>
        </is>
      </c>
      <c r="FF2005" s="15" t="inlineStr">
        <is>
          <t>YV3T7U524KA195299</t>
        </is>
      </c>
      <c r="FG2005" s="15" t="inlineStr">
        <is>
          <t>Volvo</t>
        </is>
      </c>
      <c r="FH2005" s="15" t="inlineStr">
        <is>
          <t>B8R</t>
        </is>
      </c>
      <c r="FI2005" s="15" t="inlineStr">
        <is>
          <t>MARCOPOLO</t>
        </is>
      </c>
      <c r="FJ2005" s="15" t="inlineStr">
        <is>
          <t>TORINO</t>
        </is>
      </c>
      <c r="FK2005" s="15" t="n">
        <v>2019</v>
      </c>
      <c r="FL2005" s="15" t="inlineStr">
        <is>
          <t>B2PAL</t>
        </is>
      </c>
      <c r="FM2005" s="15" t="inlineStr">
        <is>
          <t>LOS LIBERTADORES</t>
        </is>
      </c>
      <c r="FN2005" s="15" t="inlineStr">
        <is>
          <t>Los Liberadores 6450, Lote 4A</t>
        </is>
      </c>
      <c r="FO2005" s="15" t="inlineStr">
        <is>
          <t>Huechuraba</t>
        </is>
      </c>
      <c r="FP2005" t="inlineStr">
        <is>
          <t>B</t>
        </is>
      </c>
    </row>
    <row r="2006">
      <c r="FC2006" t="inlineStr">
        <is>
          <t>Diccionario 3</t>
        </is>
      </c>
      <c r="FD2006" s="15" t="inlineStr">
        <is>
          <t>GCBB61</t>
        </is>
      </c>
      <c r="FE2006" s="15" t="inlineStr">
        <is>
          <t>D8482727K2PL</t>
        </is>
      </c>
      <c r="FF2006" s="15" t="inlineStr">
        <is>
          <t>YV3T7U527KA195300</t>
        </is>
      </c>
      <c r="FG2006" s="15" t="inlineStr">
        <is>
          <t>Volvo</t>
        </is>
      </c>
      <c r="FH2006" s="15" t="inlineStr">
        <is>
          <t>B8R</t>
        </is>
      </c>
      <c r="FI2006" s="15" t="inlineStr">
        <is>
          <t>MARCOPOLO</t>
        </is>
      </c>
      <c r="FJ2006" s="15" t="inlineStr">
        <is>
          <t>TORINO</t>
        </is>
      </c>
      <c r="FK2006" s="15" t="n">
        <v>2019</v>
      </c>
      <c r="FL2006" s="15" t="inlineStr">
        <is>
          <t>B2PAL</t>
        </is>
      </c>
      <c r="FM2006" s="15" t="inlineStr">
        <is>
          <t>LOS LIBERTADORES</t>
        </is>
      </c>
      <c r="FN2006" s="15" t="inlineStr">
        <is>
          <t>Los Liberadores 6450, Lote 4A</t>
        </is>
      </c>
      <c r="FO2006" s="15" t="inlineStr">
        <is>
          <t>Huechuraba</t>
        </is>
      </c>
      <c r="FP2006" t="inlineStr">
        <is>
          <t>B</t>
        </is>
      </c>
    </row>
    <row r="2007">
      <c r="FC2007" t="inlineStr">
        <is>
          <t>Diccionario 3</t>
        </is>
      </c>
      <c r="FD2007" s="15" t="inlineStr">
        <is>
          <t>GCBB62</t>
        </is>
      </c>
      <c r="FE2007" s="15" t="inlineStr">
        <is>
          <t>D8482362K2PL</t>
        </is>
      </c>
      <c r="FF2007" s="15" t="inlineStr">
        <is>
          <t>YV3T7U526KA195286</t>
        </is>
      </c>
      <c r="FG2007" s="15" t="inlineStr">
        <is>
          <t>Volvo</t>
        </is>
      </c>
      <c r="FH2007" s="15" t="inlineStr">
        <is>
          <t>B8R</t>
        </is>
      </c>
      <c r="FI2007" s="15" t="inlineStr">
        <is>
          <t>MARCOPOLO</t>
        </is>
      </c>
      <c r="FJ2007" s="15" t="inlineStr">
        <is>
          <t>TORINO</t>
        </is>
      </c>
      <c r="FK2007" s="15" t="n">
        <v>2019</v>
      </c>
      <c r="FL2007" s="15" t="inlineStr">
        <is>
          <t>B2PAL</t>
        </is>
      </c>
      <c r="FM2007" s="15" t="inlineStr">
        <is>
          <t>LOS LIBERTADORES</t>
        </is>
      </c>
      <c r="FN2007" s="15" t="inlineStr">
        <is>
          <t>Los Liberadores 6450, Lote 4A</t>
        </is>
      </c>
      <c r="FO2007" s="15" t="inlineStr">
        <is>
          <t>Huechuraba</t>
        </is>
      </c>
      <c r="FP2007" t="inlineStr">
        <is>
          <t>B</t>
        </is>
      </c>
    </row>
    <row r="2008">
      <c r="FC2008" t="inlineStr">
        <is>
          <t>Diccionario 3</t>
        </is>
      </c>
      <c r="FD2008" s="15" t="inlineStr">
        <is>
          <t>GCBB63</t>
        </is>
      </c>
      <c r="FE2008" s="15" t="inlineStr">
        <is>
          <t>D8482765K2PL</t>
        </is>
      </c>
      <c r="FF2008" s="15" t="inlineStr">
        <is>
          <t>YV3T7U520KA195302</t>
        </is>
      </c>
      <c r="FG2008" s="15" t="inlineStr">
        <is>
          <t>Volvo</t>
        </is>
      </c>
      <c r="FH2008" s="15" t="inlineStr">
        <is>
          <t>B8R</t>
        </is>
      </c>
      <c r="FI2008" s="15" t="inlineStr">
        <is>
          <t>MARCOPOLO</t>
        </is>
      </c>
      <c r="FJ2008" s="15" t="inlineStr">
        <is>
          <t>TORINO</t>
        </is>
      </c>
      <c r="FK2008" s="15" t="n">
        <v>2019</v>
      </c>
      <c r="FL2008" s="15" t="inlineStr">
        <is>
          <t>B2PAL</t>
        </is>
      </c>
      <c r="FM2008" s="15" t="inlineStr">
        <is>
          <t>LOS LIBERTADORES</t>
        </is>
      </c>
      <c r="FN2008" s="15" t="inlineStr">
        <is>
          <t>Los Liberadores 6450, Lote 4A</t>
        </is>
      </c>
      <c r="FO2008" s="15" t="inlineStr">
        <is>
          <t>Huechuraba</t>
        </is>
      </c>
      <c r="FP2008" t="inlineStr">
        <is>
          <t>B</t>
        </is>
      </c>
    </row>
    <row r="2009">
      <c r="FC2009" t="inlineStr">
        <is>
          <t>Diccionario 3</t>
        </is>
      </c>
      <c r="FD2009" s="15" t="inlineStr">
        <is>
          <t>GCBB64</t>
        </is>
      </c>
      <c r="FE2009" s="15" t="inlineStr">
        <is>
          <t>D8482772K2PL</t>
        </is>
      </c>
      <c r="FF2009" s="15" t="inlineStr">
        <is>
          <t>YV3T7U526KA195305</t>
        </is>
      </c>
      <c r="FG2009" s="15" t="inlineStr">
        <is>
          <t>Volvo</t>
        </is>
      </c>
      <c r="FH2009" s="15" t="inlineStr">
        <is>
          <t>B8R</t>
        </is>
      </c>
      <c r="FI2009" s="15" t="inlineStr">
        <is>
          <t>MARCOPOLO</t>
        </is>
      </c>
      <c r="FJ2009" s="15" t="inlineStr">
        <is>
          <t>TORINO</t>
        </is>
      </c>
      <c r="FK2009" s="15" t="n">
        <v>2019</v>
      </c>
      <c r="FL2009" s="15" t="inlineStr">
        <is>
          <t>B2PAL</t>
        </is>
      </c>
      <c r="FM2009" s="15" t="inlineStr">
        <is>
          <t>LOS LIBERTADORES</t>
        </is>
      </c>
      <c r="FN2009" s="15" t="inlineStr">
        <is>
          <t>Los Liberadores 6450, Lote 4A</t>
        </is>
      </c>
      <c r="FO2009" s="15" t="inlineStr">
        <is>
          <t>Huechuraba</t>
        </is>
      </c>
      <c r="FP2009" t="inlineStr">
        <is>
          <t>B</t>
        </is>
      </c>
    </row>
    <row r="2010">
      <c r="FC2010" t="inlineStr">
        <is>
          <t>Diccionario 3</t>
        </is>
      </c>
      <c r="FD2010" s="15" t="inlineStr">
        <is>
          <t>GCBB10</t>
        </is>
      </c>
      <c r="FE2010" s="15" t="inlineStr">
        <is>
          <t>D8481853K2PL</t>
        </is>
      </c>
      <c r="FF2010" s="15" t="inlineStr">
        <is>
          <t>YV3T7U523KA195195</t>
        </is>
      </c>
      <c r="FG2010" s="15" t="inlineStr">
        <is>
          <t>Volvo</t>
        </is>
      </c>
      <c r="FH2010" s="15" t="inlineStr">
        <is>
          <t>B8R</t>
        </is>
      </c>
      <c r="FI2010" s="15" t="inlineStr">
        <is>
          <t>MARCOPOLO</t>
        </is>
      </c>
      <c r="FJ2010" s="15" t="inlineStr">
        <is>
          <t>TORINO</t>
        </is>
      </c>
      <c r="FK2010" s="15" t="n">
        <v>2019</v>
      </c>
      <c r="FL2010" s="15" t="inlineStr">
        <is>
          <t>B2PAL</t>
        </is>
      </c>
      <c r="FM2010" s="15" t="inlineStr">
        <is>
          <t>LOS LIBERTADORES</t>
        </is>
      </c>
      <c r="FN2010" s="15" t="inlineStr">
        <is>
          <t>Los Liberadores 6450, Lote 4A</t>
        </is>
      </c>
      <c r="FO2010" s="15" t="inlineStr">
        <is>
          <t>Huechuraba</t>
        </is>
      </c>
      <c r="FP2010" t="inlineStr">
        <is>
          <t>B</t>
        </is>
      </c>
    </row>
    <row r="2011">
      <c r="FC2011" t="inlineStr">
        <is>
          <t>Diccionario 3</t>
        </is>
      </c>
      <c r="FD2011" s="15" t="inlineStr">
        <is>
          <t>GCBB65</t>
        </is>
      </c>
      <c r="FE2011" s="15" t="inlineStr">
        <is>
          <t>D8482473K2PL</t>
        </is>
      </c>
      <c r="FF2011" s="15" t="inlineStr">
        <is>
          <t>YV3T7U520KA195316</t>
        </is>
      </c>
      <c r="FG2011" s="15" t="inlineStr">
        <is>
          <t>Volvo</t>
        </is>
      </c>
      <c r="FH2011" s="15" t="inlineStr">
        <is>
          <t>B8R</t>
        </is>
      </c>
      <c r="FI2011" s="15" t="inlineStr">
        <is>
          <t>MARCOPOLO</t>
        </is>
      </c>
      <c r="FJ2011" s="15" t="inlineStr">
        <is>
          <t>TORINO</t>
        </is>
      </c>
      <c r="FK2011" s="15" t="n">
        <v>2019</v>
      </c>
      <c r="FL2011" s="15" t="inlineStr">
        <is>
          <t>B2PAL</t>
        </is>
      </c>
      <c r="FM2011" s="15" t="inlineStr">
        <is>
          <t>LOS LIBERTADORES</t>
        </is>
      </c>
      <c r="FN2011" s="15" t="inlineStr">
        <is>
          <t>Los Liberadores 6450, Lote 4A</t>
        </is>
      </c>
      <c r="FO2011" s="15" t="inlineStr">
        <is>
          <t>Huechuraba</t>
        </is>
      </c>
      <c r="FP2011" t="inlineStr">
        <is>
          <t>B</t>
        </is>
      </c>
    </row>
    <row r="2012">
      <c r="FC2012" t="inlineStr">
        <is>
          <t>Diccionario 3</t>
        </is>
      </c>
      <c r="FD2012" s="15" t="inlineStr">
        <is>
          <t>GCBB66</t>
        </is>
      </c>
      <c r="FE2012" s="15" t="inlineStr">
        <is>
          <t>D8484011K2PL</t>
        </is>
      </c>
      <c r="FF2012" s="15" t="inlineStr">
        <is>
          <t>YV3T7U522KA195592</t>
        </is>
      </c>
      <c r="FG2012" s="15" t="inlineStr">
        <is>
          <t>Volvo</t>
        </is>
      </c>
      <c r="FH2012" s="15" t="inlineStr">
        <is>
          <t>B8R</t>
        </is>
      </c>
      <c r="FI2012" s="15" t="inlineStr">
        <is>
          <t>MARCOPOLO</t>
        </is>
      </c>
      <c r="FJ2012" s="15" t="inlineStr">
        <is>
          <t>TORINO</t>
        </is>
      </c>
      <c r="FK2012" s="15" t="n">
        <v>2019</v>
      </c>
      <c r="FL2012" s="15" t="inlineStr">
        <is>
          <t>B2PAL</t>
        </is>
      </c>
      <c r="FM2012" s="15" t="inlineStr">
        <is>
          <t>LOS LIBERTADORES</t>
        </is>
      </c>
      <c r="FN2012" s="15" t="inlineStr">
        <is>
          <t>Los Liberadores 6450, Lote 4A</t>
        </is>
      </c>
      <c r="FO2012" s="15" t="inlineStr">
        <is>
          <t>Huechuraba</t>
        </is>
      </c>
      <c r="FP2012" t="inlineStr">
        <is>
          <t>B</t>
        </is>
      </c>
    </row>
    <row r="2013">
      <c r="FC2013" t="inlineStr">
        <is>
          <t>Diccionario 3</t>
        </is>
      </c>
      <c r="FD2013" s="15" t="inlineStr">
        <is>
          <t>GCBB67</t>
        </is>
      </c>
      <c r="FE2013" s="15" t="inlineStr">
        <is>
          <t>D8483863K2PL</t>
        </is>
      </c>
      <c r="FF2013" s="15" t="inlineStr">
        <is>
          <t>YV3T7U526KA195594</t>
        </is>
      </c>
      <c r="FG2013" s="15" t="inlineStr">
        <is>
          <t>Volvo</t>
        </is>
      </c>
      <c r="FH2013" s="15" t="inlineStr">
        <is>
          <t>B8R</t>
        </is>
      </c>
      <c r="FI2013" s="15" t="inlineStr">
        <is>
          <t>MARCOPOLO</t>
        </is>
      </c>
      <c r="FJ2013" s="15" t="inlineStr">
        <is>
          <t>TORINO</t>
        </is>
      </c>
      <c r="FK2013" s="15" t="n">
        <v>2019</v>
      </c>
      <c r="FL2013" s="15" t="inlineStr">
        <is>
          <t>B2PAL</t>
        </is>
      </c>
      <c r="FM2013" s="15" t="inlineStr">
        <is>
          <t>LOS LIBERTADORES</t>
        </is>
      </c>
      <c r="FN2013" s="15" t="inlineStr">
        <is>
          <t>Los Liberadores 6450, Lote 4A</t>
        </is>
      </c>
      <c r="FO2013" s="15" t="inlineStr">
        <is>
          <t>Huechuraba</t>
        </is>
      </c>
      <c r="FP2013" t="inlineStr">
        <is>
          <t>B</t>
        </is>
      </c>
    </row>
    <row r="2014">
      <c r="FC2014" t="inlineStr">
        <is>
          <t>Diccionario 3</t>
        </is>
      </c>
      <c r="FD2014" s="15" t="inlineStr">
        <is>
          <t>GCBB68</t>
        </is>
      </c>
      <c r="FE2014" s="15" t="inlineStr">
        <is>
          <t>D8452415K2PL</t>
        </is>
      </c>
      <c r="FF2014" s="15" t="inlineStr">
        <is>
          <t>YV3T7U529JA189190</t>
        </is>
      </c>
      <c r="FG2014" s="15" t="inlineStr">
        <is>
          <t>Volvo</t>
        </is>
      </c>
      <c r="FH2014" s="15" t="inlineStr">
        <is>
          <t>B8R</t>
        </is>
      </c>
      <c r="FI2014" s="15" t="inlineStr">
        <is>
          <t>MARCOPOLO</t>
        </is>
      </c>
      <c r="FJ2014" s="15" t="inlineStr">
        <is>
          <t>TORINO</t>
        </is>
      </c>
      <c r="FK2014" s="15" t="n">
        <v>2019</v>
      </c>
      <c r="FL2014" s="15" t="inlineStr">
        <is>
          <t>B2PAL</t>
        </is>
      </c>
      <c r="FM2014" s="15" t="inlineStr">
        <is>
          <t>SAN JOSE</t>
        </is>
      </c>
      <c r="FN2014" s="15" t="inlineStr">
        <is>
          <t>San José 030 (José Besa 669)</t>
        </is>
      </c>
      <c r="FO2014" s="15" t="inlineStr">
        <is>
          <t>San Bernardo</t>
        </is>
      </c>
      <c r="FP2014" t="inlineStr">
        <is>
          <t>B</t>
        </is>
      </c>
    </row>
    <row r="2015">
      <c r="FC2015" t="inlineStr">
        <is>
          <t>Diccionario 3</t>
        </is>
      </c>
      <c r="FD2015" s="15" t="inlineStr">
        <is>
          <t>GCBB69</t>
        </is>
      </c>
      <c r="FE2015" s="15" t="inlineStr">
        <is>
          <t>D8481542K2PL</t>
        </is>
      </c>
      <c r="FF2015" s="15" t="inlineStr">
        <is>
          <t>YV3T7U522KA195172</t>
        </is>
      </c>
      <c r="FG2015" s="15" t="inlineStr">
        <is>
          <t>Volvo</t>
        </is>
      </c>
      <c r="FH2015" s="15" t="inlineStr">
        <is>
          <t>B8R</t>
        </is>
      </c>
      <c r="FI2015" s="15" t="inlineStr">
        <is>
          <t>MARCOPOLO</t>
        </is>
      </c>
      <c r="FJ2015" s="15" t="inlineStr">
        <is>
          <t>TORINO</t>
        </is>
      </c>
      <c r="FK2015" s="15" t="n">
        <v>2019</v>
      </c>
      <c r="FL2015" s="15" t="inlineStr">
        <is>
          <t>B2PAL</t>
        </is>
      </c>
      <c r="FM2015" s="15" t="inlineStr">
        <is>
          <t>LOS LIBERTADORES</t>
        </is>
      </c>
      <c r="FN2015" s="15" t="inlineStr">
        <is>
          <t>Los Liberadores 6450, Lote 4A</t>
        </is>
      </c>
      <c r="FO2015" s="15" t="inlineStr">
        <is>
          <t>Huechuraba</t>
        </is>
      </c>
      <c r="FP2015" t="inlineStr">
        <is>
          <t>B</t>
        </is>
      </c>
    </row>
    <row r="2016">
      <c r="FC2016" t="inlineStr">
        <is>
          <t>Diccionario 3</t>
        </is>
      </c>
      <c r="FD2016" s="15" t="inlineStr">
        <is>
          <t>GCBB70</t>
        </is>
      </c>
      <c r="FE2016" s="15" t="inlineStr">
        <is>
          <t>D8482361K2PL</t>
        </is>
      </c>
      <c r="FF2016" s="15" t="inlineStr">
        <is>
          <t>YV3T7U528KA195287</t>
        </is>
      </c>
      <c r="FG2016" s="15" t="inlineStr">
        <is>
          <t>Volvo</t>
        </is>
      </c>
      <c r="FH2016" s="15" t="inlineStr">
        <is>
          <t>B8R</t>
        </is>
      </c>
      <c r="FI2016" s="15" t="inlineStr">
        <is>
          <t>MARCOPOLO</t>
        </is>
      </c>
      <c r="FJ2016" s="15" t="inlineStr">
        <is>
          <t>TORINO</t>
        </is>
      </c>
      <c r="FK2016" s="15" t="n">
        <v>2019</v>
      </c>
      <c r="FL2016" s="15" t="inlineStr">
        <is>
          <t>B2PAL</t>
        </is>
      </c>
      <c r="FM2016" s="15" t="inlineStr">
        <is>
          <t>LOS LIBERTADORES</t>
        </is>
      </c>
      <c r="FN2016" s="15" t="inlineStr">
        <is>
          <t>Los Liberadores 6450, Lote 4A</t>
        </is>
      </c>
      <c r="FO2016" s="15" t="inlineStr">
        <is>
          <t>Huechuraba</t>
        </is>
      </c>
      <c r="FP2016" t="inlineStr">
        <is>
          <t>B</t>
        </is>
      </c>
    </row>
    <row r="2017">
      <c r="FC2017" t="inlineStr">
        <is>
          <t>Diccionario 3</t>
        </is>
      </c>
      <c r="FD2017" s="15" t="inlineStr">
        <is>
          <t>GCBB71</t>
        </is>
      </c>
      <c r="FE2017" s="15" t="inlineStr">
        <is>
          <t>D8482775K2PL</t>
        </is>
      </c>
      <c r="FF2017" s="15" t="inlineStr">
        <is>
          <t>YV3T7U528KA195306</t>
        </is>
      </c>
      <c r="FG2017" s="15" t="inlineStr">
        <is>
          <t>Volvo</t>
        </is>
      </c>
      <c r="FH2017" s="15" t="inlineStr">
        <is>
          <t>B8R</t>
        </is>
      </c>
      <c r="FI2017" s="15" t="inlineStr">
        <is>
          <t>MARCOPOLO</t>
        </is>
      </c>
      <c r="FJ2017" s="15" t="inlineStr">
        <is>
          <t>TORINO</t>
        </is>
      </c>
      <c r="FK2017" s="15" t="n">
        <v>2019</v>
      </c>
      <c r="FL2017" s="15" t="inlineStr">
        <is>
          <t>B2PAL</t>
        </is>
      </c>
      <c r="FM2017" s="15" t="inlineStr">
        <is>
          <t>LOS LIBERTADORES</t>
        </is>
      </c>
      <c r="FN2017" s="15" t="inlineStr">
        <is>
          <t>Los Liberadores 6450, Lote 4A</t>
        </is>
      </c>
      <c r="FO2017" s="15" t="inlineStr">
        <is>
          <t>Huechuraba</t>
        </is>
      </c>
      <c r="FP2017" t="inlineStr">
        <is>
          <t>B</t>
        </is>
      </c>
    </row>
    <row r="2018">
      <c r="FC2018" t="inlineStr">
        <is>
          <t>Diccionario 3</t>
        </is>
      </c>
      <c r="FD2018" s="15" t="inlineStr">
        <is>
          <t>GCBB72</t>
        </is>
      </c>
      <c r="FE2018" s="15" t="inlineStr">
        <is>
          <t>D8482721K2PL</t>
        </is>
      </c>
      <c r="FF2018" s="15" t="inlineStr">
        <is>
          <t>YV3T7U52XKA195307</t>
        </is>
      </c>
      <c r="FG2018" s="15" t="inlineStr">
        <is>
          <t>Volvo</t>
        </is>
      </c>
      <c r="FH2018" s="15" t="inlineStr">
        <is>
          <t>B8R</t>
        </is>
      </c>
      <c r="FI2018" s="15" t="inlineStr">
        <is>
          <t>MARCOPOLO</t>
        </is>
      </c>
      <c r="FJ2018" s="15" t="inlineStr">
        <is>
          <t>TORINO</t>
        </is>
      </c>
      <c r="FK2018" s="15" t="n">
        <v>2019</v>
      </c>
      <c r="FL2018" s="15" t="inlineStr">
        <is>
          <t>B2PAL</t>
        </is>
      </c>
      <c r="FM2018" s="15" t="inlineStr">
        <is>
          <t>LOS LIBERTADORES</t>
        </is>
      </c>
      <c r="FN2018" s="15" t="inlineStr">
        <is>
          <t>Los Liberadores 6450, Lote 4A</t>
        </is>
      </c>
      <c r="FO2018" s="15" t="inlineStr">
        <is>
          <t>Huechuraba</t>
        </is>
      </c>
      <c r="FP2018" t="inlineStr">
        <is>
          <t>B</t>
        </is>
      </c>
    </row>
    <row r="2019">
      <c r="FC2019" t="inlineStr">
        <is>
          <t>Diccionario 3</t>
        </is>
      </c>
      <c r="FD2019" s="15" t="inlineStr">
        <is>
          <t>GCBB73</t>
        </is>
      </c>
      <c r="FE2019" s="15" t="inlineStr">
        <is>
          <t>D8482748K2PL</t>
        </is>
      </c>
      <c r="FF2019" s="15" t="inlineStr">
        <is>
          <t>YV3T7U521KA195308</t>
        </is>
      </c>
      <c r="FG2019" s="15" t="inlineStr">
        <is>
          <t>Volvo</t>
        </is>
      </c>
      <c r="FH2019" s="15" t="inlineStr">
        <is>
          <t>B8R</t>
        </is>
      </c>
      <c r="FI2019" s="15" t="inlineStr">
        <is>
          <t>MARCOPOLO</t>
        </is>
      </c>
      <c r="FJ2019" s="15" t="inlineStr">
        <is>
          <t>TORINO</t>
        </is>
      </c>
      <c r="FK2019" s="15" t="n">
        <v>2019</v>
      </c>
      <c r="FL2019" s="15" t="inlineStr">
        <is>
          <t>B2PAL</t>
        </is>
      </c>
      <c r="FM2019" s="15" t="inlineStr">
        <is>
          <t>SAN JOSE</t>
        </is>
      </c>
      <c r="FN2019" s="15" t="inlineStr">
        <is>
          <t>San José 030 (José Besa 669)</t>
        </is>
      </c>
      <c r="FO2019" s="15" t="inlineStr">
        <is>
          <t>San Bernardo</t>
        </is>
      </c>
      <c r="FP2019" t="inlineStr">
        <is>
          <t>B</t>
        </is>
      </c>
    </row>
    <row r="2020">
      <c r="FC2020" t="inlineStr">
        <is>
          <t>Diccionario 3</t>
        </is>
      </c>
      <c r="FD2020" s="15" t="inlineStr">
        <is>
          <t>GCBB74</t>
        </is>
      </c>
      <c r="FE2020" s="15" t="inlineStr">
        <is>
          <t>D8482485K2PL</t>
        </is>
      </c>
      <c r="FF2020" s="15" t="inlineStr">
        <is>
          <t>YV3T7U522KA195317</t>
        </is>
      </c>
      <c r="FG2020" s="15" t="inlineStr">
        <is>
          <t>Volvo</t>
        </is>
      </c>
      <c r="FH2020" s="15" t="inlineStr">
        <is>
          <t>B8R</t>
        </is>
      </c>
      <c r="FI2020" s="15" t="inlineStr">
        <is>
          <t>MARCOPOLO</t>
        </is>
      </c>
      <c r="FJ2020" s="15" t="inlineStr">
        <is>
          <t>TORINO</t>
        </is>
      </c>
      <c r="FK2020" s="15" t="n">
        <v>2019</v>
      </c>
      <c r="FL2020" s="15" t="inlineStr">
        <is>
          <t>B2PAL</t>
        </is>
      </c>
      <c r="FM2020" s="15" t="inlineStr">
        <is>
          <t>LOS LIBERTADORES</t>
        </is>
      </c>
      <c r="FN2020" s="15" t="inlineStr">
        <is>
          <t>Los Liberadores 6450, Lote 4A</t>
        </is>
      </c>
      <c r="FO2020" s="15" t="inlineStr">
        <is>
          <t>Huechuraba</t>
        </is>
      </c>
      <c r="FP2020" t="inlineStr">
        <is>
          <t>B</t>
        </is>
      </c>
    </row>
    <row r="2021">
      <c r="FC2021" t="inlineStr">
        <is>
          <t>Diccionario 3</t>
        </is>
      </c>
      <c r="FD2021" s="15" t="inlineStr">
        <is>
          <t>GCBB11</t>
        </is>
      </c>
      <c r="FE2021" s="15" t="inlineStr">
        <is>
          <t>D8481452K2PL</t>
        </is>
      </c>
      <c r="FF2021" s="15" t="inlineStr">
        <is>
          <t>YV3T7U525KA195196</t>
        </is>
      </c>
      <c r="FG2021" s="15" t="inlineStr">
        <is>
          <t>Volvo</t>
        </is>
      </c>
      <c r="FH2021" s="15" t="inlineStr">
        <is>
          <t>B8R</t>
        </is>
      </c>
      <c r="FI2021" s="15" t="inlineStr">
        <is>
          <t>MARCOPOLO</t>
        </is>
      </c>
      <c r="FJ2021" s="15" t="inlineStr">
        <is>
          <t>TORINO</t>
        </is>
      </c>
      <c r="FK2021" s="15" t="n">
        <v>2019</v>
      </c>
      <c r="FL2021" s="15" t="inlineStr">
        <is>
          <t>B2PAL</t>
        </is>
      </c>
      <c r="FM2021" s="15" t="inlineStr">
        <is>
          <t>LOS LIBERTADORES</t>
        </is>
      </c>
      <c r="FN2021" s="15" t="inlineStr">
        <is>
          <t>Los Liberadores 6450, Lote 4A</t>
        </is>
      </c>
      <c r="FO2021" s="15" t="inlineStr">
        <is>
          <t>Huechuraba</t>
        </is>
      </c>
      <c r="FP2021" t="inlineStr">
        <is>
          <t>B</t>
        </is>
      </c>
    </row>
    <row r="2022">
      <c r="FC2022" t="inlineStr">
        <is>
          <t>Diccionario 3</t>
        </is>
      </c>
      <c r="FD2022" s="15" t="inlineStr">
        <is>
          <t>GCBB75</t>
        </is>
      </c>
      <c r="FE2022" s="15" t="inlineStr">
        <is>
          <t>D8482455K2PL</t>
        </is>
      </c>
      <c r="FF2022" s="15" t="inlineStr">
        <is>
          <t>YV3T7U524KA195318</t>
        </is>
      </c>
      <c r="FG2022" s="15" t="inlineStr">
        <is>
          <t>Volvo</t>
        </is>
      </c>
      <c r="FH2022" s="15" t="inlineStr">
        <is>
          <t>B8R</t>
        </is>
      </c>
      <c r="FI2022" s="15" t="inlineStr">
        <is>
          <t>MARCOPOLO</t>
        </is>
      </c>
      <c r="FJ2022" s="15" t="inlineStr">
        <is>
          <t>TORINO</t>
        </is>
      </c>
      <c r="FK2022" s="15" t="n">
        <v>2019</v>
      </c>
      <c r="FL2022" s="15" t="inlineStr">
        <is>
          <t>B2PAL</t>
        </is>
      </c>
      <c r="FM2022" s="15" t="inlineStr">
        <is>
          <t>LOS LIBERTADORES</t>
        </is>
      </c>
      <c r="FN2022" s="15" t="inlineStr">
        <is>
          <t>Los Liberadores 6450, Lote 4A</t>
        </is>
      </c>
      <c r="FO2022" s="15" t="inlineStr">
        <is>
          <t>Huechuraba</t>
        </is>
      </c>
      <c r="FP2022" t="inlineStr">
        <is>
          <t>B</t>
        </is>
      </c>
    </row>
    <row r="2023">
      <c r="FC2023" t="inlineStr">
        <is>
          <t>Diccionario 3</t>
        </is>
      </c>
      <c r="FD2023" s="15" t="inlineStr">
        <is>
          <t>GCBB76</t>
        </is>
      </c>
      <c r="FE2023" s="15" t="inlineStr">
        <is>
          <t>D8482471K2PL</t>
        </is>
      </c>
      <c r="FF2023" s="15" t="inlineStr">
        <is>
          <t>YV3T7U526KA195319</t>
        </is>
      </c>
      <c r="FG2023" s="15" t="inlineStr">
        <is>
          <t>Volvo</t>
        </is>
      </c>
      <c r="FH2023" s="15" t="inlineStr">
        <is>
          <t>B8R</t>
        </is>
      </c>
      <c r="FI2023" s="15" t="inlineStr">
        <is>
          <t>MARCOPOLO</t>
        </is>
      </c>
      <c r="FJ2023" s="15" t="inlineStr">
        <is>
          <t>TORINO</t>
        </is>
      </c>
      <c r="FK2023" s="15" t="n">
        <v>2019</v>
      </c>
      <c r="FL2023" s="15" t="inlineStr">
        <is>
          <t>B2PAL</t>
        </is>
      </c>
      <c r="FM2023" s="15" t="inlineStr">
        <is>
          <t>SAN JOSE</t>
        </is>
      </c>
      <c r="FN2023" s="15" t="inlineStr">
        <is>
          <t>San José 030 (José Besa 669)</t>
        </is>
      </c>
      <c r="FO2023" s="15" t="inlineStr">
        <is>
          <t>San Bernardo</t>
        </is>
      </c>
      <c r="FP2023" t="inlineStr">
        <is>
          <t>B</t>
        </is>
      </c>
    </row>
    <row r="2024">
      <c r="FC2024" t="inlineStr">
        <is>
          <t>Diccionario 3</t>
        </is>
      </c>
      <c r="FD2024" s="15" t="inlineStr">
        <is>
          <t>GCBB77</t>
        </is>
      </c>
      <c r="FE2024" s="15" t="inlineStr">
        <is>
          <t>D8482458K2PL</t>
        </is>
      </c>
      <c r="FF2024" s="15" t="inlineStr">
        <is>
          <t>YV3T7U522KA195320</t>
        </is>
      </c>
      <c r="FG2024" s="15" t="inlineStr">
        <is>
          <t>Volvo</t>
        </is>
      </c>
      <c r="FH2024" s="15" t="inlineStr">
        <is>
          <t>B8R</t>
        </is>
      </c>
      <c r="FI2024" s="15" t="inlineStr">
        <is>
          <t>MARCOPOLO</t>
        </is>
      </c>
      <c r="FJ2024" s="15" t="inlineStr">
        <is>
          <t>TORINO</t>
        </is>
      </c>
      <c r="FK2024" s="15" t="n">
        <v>2019</v>
      </c>
      <c r="FL2024" s="15" t="inlineStr">
        <is>
          <t>B2PAL</t>
        </is>
      </c>
      <c r="FM2024" s="15" t="inlineStr">
        <is>
          <t>LOS LIBERTADORES</t>
        </is>
      </c>
      <c r="FN2024" s="15" t="inlineStr">
        <is>
          <t>Los Liberadores 6450, Lote 4A</t>
        </is>
      </c>
      <c r="FO2024" s="15" t="inlineStr">
        <is>
          <t>Huechuraba</t>
        </is>
      </c>
      <c r="FP2024" t="inlineStr">
        <is>
          <t>B</t>
        </is>
      </c>
    </row>
    <row r="2025">
      <c r="FC2025" t="inlineStr">
        <is>
          <t>Diccionario 3</t>
        </is>
      </c>
      <c r="FD2025" s="15" t="inlineStr">
        <is>
          <t>GCBB78</t>
        </is>
      </c>
      <c r="FE2025" s="15" t="inlineStr">
        <is>
          <t>D8482397K2PL</t>
        </is>
      </c>
      <c r="FF2025" s="15" t="inlineStr">
        <is>
          <t>YV3T7U524KA195321</t>
        </is>
      </c>
      <c r="FG2025" s="15" t="inlineStr">
        <is>
          <t>Volvo</t>
        </is>
      </c>
      <c r="FH2025" s="15" t="inlineStr">
        <is>
          <t>B8R</t>
        </is>
      </c>
      <c r="FI2025" s="15" t="inlineStr">
        <is>
          <t>MARCOPOLO</t>
        </is>
      </c>
      <c r="FJ2025" s="15" t="inlineStr">
        <is>
          <t>TORINO</t>
        </is>
      </c>
      <c r="FK2025" s="15" t="n">
        <v>2019</v>
      </c>
      <c r="FL2025" s="15" t="inlineStr">
        <is>
          <t>B2PAL</t>
        </is>
      </c>
      <c r="FM2025" s="15" t="inlineStr">
        <is>
          <t>LOS LIBERTADORES</t>
        </is>
      </c>
      <c r="FN2025" s="15" t="inlineStr">
        <is>
          <t>Los Liberadores 6450, Lote 4A</t>
        </is>
      </c>
      <c r="FO2025" s="15" t="inlineStr">
        <is>
          <t>Huechuraba</t>
        </is>
      </c>
      <c r="FP2025" t="inlineStr">
        <is>
          <t>B</t>
        </is>
      </c>
    </row>
    <row r="2026">
      <c r="FC2026" t="inlineStr">
        <is>
          <t>Diccionario 3</t>
        </is>
      </c>
      <c r="FD2026" s="15" t="inlineStr">
        <is>
          <t>GCBB79</t>
        </is>
      </c>
      <c r="FE2026" s="15" t="inlineStr">
        <is>
          <t>D8482405K2PL</t>
        </is>
      </c>
      <c r="FF2026" s="15" t="inlineStr">
        <is>
          <t>YV3T7U526KA195322</t>
        </is>
      </c>
      <c r="FG2026" s="15" t="inlineStr">
        <is>
          <t>Volvo</t>
        </is>
      </c>
      <c r="FH2026" s="15" t="inlineStr">
        <is>
          <t>B8R</t>
        </is>
      </c>
      <c r="FI2026" s="15" t="inlineStr">
        <is>
          <t>MARCOPOLO</t>
        </is>
      </c>
      <c r="FJ2026" s="15" t="inlineStr">
        <is>
          <t>TORINO</t>
        </is>
      </c>
      <c r="FK2026" s="15" t="n">
        <v>2019</v>
      </c>
      <c r="FL2026" s="15" t="inlineStr">
        <is>
          <t>B2PAL</t>
        </is>
      </c>
      <c r="FM2026" s="15" t="inlineStr">
        <is>
          <t>SAN JOSE</t>
        </is>
      </c>
      <c r="FN2026" s="15" t="inlineStr">
        <is>
          <t>San José 030 (José Besa 669)</t>
        </is>
      </c>
      <c r="FO2026" s="15" t="inlineStr">
        <is>
          <t>San Bernardo</t>
        </is>
      </c>
      <c r="FP2026" t="inlineStr">
        <is>
          <t>B</t>
        </is>
      </c>
    </row>
    <row r="2027">
      <c r="FC2027" t="inlineStr">
        <is>
          <t>Diccionario 3</t>
        </is>
      </c>
      <c r="FD2027" s="15" t="inlineStr">
        <is>
          <t>GCBB80</t>
        </is>
      </c>
      <c r="FE2027" s="15" t="inlineStr">
        <is>
          <t>D8482402K2PL</t>
        </is>
      </c>
      <c r="FF2027" s="15" t="inlineStr">
        <is>
          <t>YV3T7U528KA195323</t>
        </is>
      </c>
      <c r="FG2027" s="15" t="inlineStr">
        <is>
          <t>Volvo</t>
        </is>
      </c>
      <c r="FH2027" s="15" t="inlineStr">
        <is>
          <t>B8R</t>
        </is>
      </c>
      <c r="FI2027" s="15" t="inlineStr">
        <is>
          <t>MARCOPOLO</t>
        </is>
      </c>
      <c r="FJ2027" s="15" t="inlineStr">
        <is>
          <t>TORINO</t>
        </is>
      </c>
      <c r="FK2027" s="15" t="n">
        <v>2019</v>
      </c>
      <c r="FL2027" s="15" t="inlineStr">
        <is>
          <t>B2PAL</t>
        </is>
      </c>
      <c r="FM2027" s="15" t="inlineStr">
        <is>
          <t>SAN JOSE</t>
        </is>
      </c>
      <c r="FN2027" s="15" t="inlineStr">
        <is>
          <t>San José 030 (José Besa 669)</t>
        </is>
      </c>
      <c r="FO2027" s="15" t="inlineStr">
        <is>
          <t>San Bernardo</t>
        </is>
      </c>
      <c r="FP2027" t="inlineStr">
        <is>
          <t>B</t>
        </is>
      </c>
    </row>
    <row r="2028">
      <c r="FC2028" t="inlineStr">
        <is>
          <t>Diccionario 3</t>
        </is>
      </c>
      <c r="FD2028" s="15" t="inlineStr">
        <is>
          <t>GCBB81</t>
        </is>
      </c>
      <c r="FE2028" s="15" t="inlineStr">
        <is>
          <t>D8482422K2PL</t>
        </is>
      </c>
      <c r="FF2028" s="15" t="inlineStr">
        <is>
          <t>YV3T7U521KA195325</t>
        </is>
      </c>
      <c r="FG2028" s="15" t="inlineStr">
        <is>
          <t>Volvo</t>
        </is>
      </c>
      <c r="FH2028" s="15" t="inlineStr">
        <is>
          <t>B8R</t>
        </is>
      </c>
      <c r="FI2028" s="15" t="inlineStr">
        <is>
          <t>MARCOPOLO</t>
        </is>
      </c>
      <c r="FJ2028" s="15" t="inlineStr">
        <is>
          <t>TORINO</t>
        </is>
      </c>
      <c r="FK2028" s="15" t="n">
        <v>2019</v>
      </c>
      <c r="FL2028" s="15" t="inlineStr">
        <is>
          <t>B2PAL</t>
        </is>
      </c>
      <c r="FM2028" s="15" t="inlineStr">
        <is>
          <t>SAN JOSE</t>
        </is>
      </c>
      <c r="FN2028" s="15" t="inlineStr">
        <is>
          <t>San José 030 (José Besa 669)</t>
        </is>
      </c>
      <c r="FO2028" s="15" t="inlineStr">
        <is>
          <t>San Bernardo</t>
        </is>
      </c>
      <c r="FP2028" t="inlineStr">
        <is>
          <t>B</t>
        </is>
      </c>
    </row>
    <row r="2029">
      <c r="FC2029" t="inlineStr">
        <is>
          <t>Diccionario 3</t>
        </is>
      </c>
      <c r="FD2029" s="15" t="inlineStr">
        <is>
          <t>GCBB82</t>
        </is>
      </c>
      <c r="FE2029" s="15" t="inlineStr">
        <is>
          <t>D8482534K2PL</t>
        </is>
      </c>
      <c r="FF2029" s="15" t="inlineStr">
        <is>
          <t>YV3T7U527KA195359</t>
        </is>
      </c>
      <c r="FG2029" s="15" t="inlineStr">
        <is>
          <t>Volvo</t>
        </is>
      </c>
      <c r="FH2029" s="15" t="inlineStr">
        <is>
          <t>B8R</t>
        </is>
      </c>
      <c r="FI2029" s="15" t="inlineStr">
        <is>
          <t>MARCOPOLO</t>
        </is>
      </c>
      <c r="FJ2029" s="15" t="inlineStr">
        <is>
          <t>TORINO</t>
        </is>
      </c>
      <c r="FK2029" s="15" t="n">
        <v>2019</v>
      </c>
      <c r="FL2029" s="15" t="inlineStr">
        <is>
          <t>B2PAL</t>
        </is>
      </c>
      <c r="FM2029" s="15" t="inlineStr">
        <is>
          <t>SAN JOSE</t>
        </is>
      </c>
      <c r="FN2029" s="15" t="inlineStr">
        <is>
          <t>San José 030 (José Besa 669)</t>
        </is>
      </c>
      <c r="FO2029" s="15" t="inlineStr">
        <is>
          <t>San Bernardo</t>
        </is>
      </c>
      <c r="FP2029" t="inlineStr">
        <is>
          <t>B</t>
        </is>
      </c>
    </row>
    <row r="2030">
      <c r="FC2030" t="inlineStr">
        <is>
          <t>Diccionario 3</t>
        </is>
      </c>
      <c r="FD2030" s="15" t="inlineStr">
        <is>
          <t>GCBB83</t>
        </is>
      </c>
      <c r="FE2030" s="15" t="inlineStr">
        <is>
          <t>D8482872K2PL</t>
        </is>
      </c>
      <c r="FF2030" s="15" t="inlineStr">
        <is>
          <t>YV3T7U52XKA195405</t>
        </is>
      </c>
      <c r="FG2030" s="15" t="inlineStr">
        <is>
          <t>Volvo</t>
        </is>
      </c>
      <c r="FH2030" s="15" t="inlineStr">
        <is>
          <t>B8R</t>
        </is>
      </c>
      <c r="FI2030" s="15" t="inlineStr">
        <is>
          <t>MARCOPOLO</t>
        </is>
      </c>
      <c r="FJ2030" s="15" t="inlineStr">
        <is>
          <t>TORINO</t>
        </is>
      </c>
      <c r="FK2030" s="15" t="n">
        <v>2019</v>
      </c>
      <c r="FL2030" s="15" t="inlineStr">
        <is>
          <t>B2PAL</t>
        </is>
      </c>
      <c r="FM2030" s="15" t="inlineStr">
        <is>
          <t>LOS LIBERTADORES</t>
        </is>
      </c>
      <c r="FN2030" s="15" t="inlineStr">
        <is>
          <t>Los Liberadores 6450, Lote 4A</t>
        </is>
      </c>
      <c r="FO2030" s="15" t="inlineStr">
        <is>
          <t>Huechuraba</t>
        </is>
      </c>
      <c r="FP2030" t="inlineStr">
        <is>
          <t>B</t>
        </is>
      </c>
    </row>
    <row r="2031">
      <c r="FC2031" t="inlineStr">
        <is>
          <t>Diccionario 3</t>
        </is>
      </c>
      <c r="FD2031" s="15" t="inlineStr">
        <is>
          <t>GCBB84</t>
        </is>
      </c>
      <c r="FE2031" s="15" t="inlineStr">
        <is>
          <t>D8482892K2PL</t>
        </is>
      </c>
      <c r="FF2031" s="15" t="inlineStr">
        <is>
          <t>YV3T7U521KA195406</t>
        </is>
      </c>
      <c r="FG2031" s="15" t="inlineStr">
        <is>
          <t>Volvo</t>
        </is>
      </c>
      <c r="FH2031" s="15" t="inlineStr">
        <is>
          <t>B8R</t>
        </is>
      </c>
      <c r="FI2031" s="15" t="inlineStr">
        <is>
          <t>MARCOPOLO</t>
        </is>
      </c>
      <c r="FJ2031" s="15" t="inlineStr">
        <is>
          <t>TORINO</t>
        </is>
      </c>
      <c r="FK2031" s="15" t="n">
        <v>2019</v>
      </c>
      <c r="FL2031" s="15" t="inlineStr">
        <is>
          <t>B2PAL</t>
        </is>
      </c>
      <c r="FM2031" s="15" t="inlineStr">
        <is>
          <t>SAN JOSE</t>
        </is>
      </c>
      <c r="FN2031" s="15" t="inlineStr">
        <is>
          <t>San José 030 (José Besa 669)</t>
        </is>
      </c>
      <c r="FO2031" s="15" t="inlineStr">
        <is>
          <t>San Bernardo</t>
        </is>
      </c>
      <c r="FP2031" t="inlineStr">
        <is>
          <t>B</t>
        </is>
      </c>
    </row>
    <row r="2032">
      <c r="FC2032" t="inlineStr">
        <is>
          <t>Diccionario 3</t>
        </is>
      </c>
      <c r="FD2032" s="15" t="inlineStr">
        <is>
          <t>GCBB12</t>
        </is>
      </c>
      <c r="FE2032" s="15" t="inlineStr">
        <is>
          <t>D8481676K2PL</t>
        </is>
      </c>
      <c r="FF2032" s="15" t="inlineStr">
        <is>
          <t>YV3T7U520KA195199</t>
        </is>
      </c>
      <c r="FG2032" s="15" t="inlineStr">
        <is>
          <t>Volvo</t>
        </is>
      </c>
      <c r="FH2032" s="15" t="inlineStr">
        <is>
          <t>B8R</t>
        </is>
      </c>
      <c r="FI2032" s="15" t="inlineStr">
        <is>
          <t>MARCOPOLO</t>
        </is>
      </c>
      <c r="FJ2032" s="15" t="inlineStr">
        <is>
          <t>TORINO</t>
        </is>
      </c>
      <c r="FK2032" s="15" t="n">
        <v>2019</v>
      </c>
      <c r="FL2032" s="15" t="inlineStr">
        <is>
          <t>B2PAL</t>
        </is>
      </c>
      <c r="FM2032" s="15" t="inlineStr">
        <is>
          <t>LOS LIBERTADORES</t>
        </is>
      </c>
      <c r="FN2032" s="15" t="inlineStr">
        <is>
          <t>Los Liberadores 6450, Lote 4A</t>
        </is>
      </c>
      <c r="FO2032" s="15" t="inlineStr">
        <is>
          <t>Huechuraba</t>
        </is>
      </c>
      <c r="FP2032" t="inlineStr">
        <is>
          <t>B</t>
        </is>
      </c>
    </row>
    <row r="2033">
      <c r="FC2033" t="inlineStr">
        <is>
          <t>Diccionario 3</t>
        </is>
      </c>
      <c r="FD2033" s="15" t="inlineStr">
        <is>
          <t>GCBB85</t>
        </is>
      </c>
      <c r="FE2033" s="15" t="inlineStr">
        <is>
          <t>D8481773K2PL</t>
        </is>
      </c>
      <c r="FF2033" s="15" t="inlineStr">
        <is>
          <t>YV3T7U522KA195429</t>
        </is>
      </c>
      <c r="FG2033" s="15" t="inlineStr">
        <is>
          <t>Volvo</t>
        </is>
      </c>
      <c r="FH2033" s="15" t="inlineStr">
        <is>
          <t>B8R</t>
        </is>
      </c>
      <c r="FI2033" s="15" t="inlineStr">
        <is>
          <t>MARCOPOLO</t>
        </is>
      </c>
      <c r="FJ2033" s="15" t="inlineStr">
        <is>
          <t>TORINO</t>
        </is>
      </c>
      <c r="FK2033" s="15" t="n">
        <v>2019</v>
      </c>
      <c r="FL2033" s="15" t="inlineStr">
        <is>
          <t>B2PAL</t>
        </is>
      </c>
      <c r="FM2033" s="15" t="inlineStr">
        <is>
          <t>LOS LIBERTADORES</t>
        </is>
      </c>
      <c r="FN2033" s="15" t="inlineStr">
        <is>
          <t>Los Liberadores 6450, Lote 4A</t>
        </is>
      </c>
      <c r="FO2033" s="15" t="inlineStr">
        <is>
          <t>Huechuraba</t>
        </is>
      </c>
      <c r="FP2033" t="inlineStr">
        <is>
          <t>B</t>
        </is>
      </c>
    </row>
    <row r="2034">
      <c r="FC2034" t="inlineStr">
        <is>
          <t>Diccionario 3</t>
        </is>
      </c>
      <c r="FD2034" s="15" t="inlineStr">
        <is>
          <t>GCBB86</t>
        </is>
      </c>
      <c r="FE2034" s="15" t="inlineStr">
        <is>
          <t>D8483496K2PL</t>
        </is>
      </c>
      <c r="FF2034" s="15" t="inlineStr">
        <is>
          <t>YV3T7U52XKA195551</t>
        </is>
      </c>
      <c r="FG2034" s="15" t="inlineStr">
        <is>
          <t>Volvo</t>
        </is>
      </c>
      <c r="FH2034" s="15" t="inlineStr">
        <is>
          <t>B8R</t>
        </is>
      </c>
      <c r="FI2034" s="15" t="inlineStr">
        <is>
          <t>MARCOPOLO</t>
        </is>
      </c>
      <c r="FJ2034" s="15" t="inlineStr">
        <is>
          <t>TORINO</t>
        </is>
      </c>
      <c r="FK2034" s="15" t="n">
        <v>2019</v>
      </c>
      <c r="FL2034" s="15" t="inlineStr">
        <is>
          <t>B2PAL</t>
        </is>
      </c>
      <c r="FM2034" s="15" t="inlineStr">
        <is>
          <t>SAN JOSE</t>
        </is>
      </c>
      <c r="FN2034" s="15" t="inlineStr">
        <is>
          <t>San José 030 (José Besa 669)</t>
        </is>
      </c>
      <c r="FO2034" s="15" t="inlineStr">
        <is>
          <t>San Bernardo</t>
        </is>
      </c>
      <c r="FP2034" t="inlineStr">
        <is>
          <t>B</t>
        </is>
      </c>
    </row>
    <row r="2035">
      <c r="FC2035" t="inlineStr">
        <is>
          <t>Diccionario 3</t>
        </is>
      </c>
      <c r="FD2035" s="15" t="inlineStr">
        <is>
          <t>GCBB87</t>
        </is>
      </c>
      <c r="FE2035" s="15" t="inlineStr">
        <is>
          <t>D8483527K2PL</t>
        </is>
      </c>
      <c r="FF2035" s="15" t="inlineStr">
        <is>
          <t>YV3T7U521KA195552</t>
        </is>
      </c>
      <c r="FG2035" s="15" t="inlineStr">
        <is>
          <t>Volvo</t>
        </is>
      </c>
      <c r="FH2035" s="15" t="inlineStr">
        <is>
          <t>B8R</t>
        </is>
      </c>
      <c r="FI2035" s="15" t="inlineStr">
        <is>
          <t>MARCOPOLO</t>
        </is>
      </c>
      <c r="FJ2035" s="15" t="inlineStr">
        <is>
          <t>TORINO</t>
        </is>
      </c>
      <c r="FK2035" s="15" t="n">
        <v>2019</v>
      </c>
      <c r="FL2035" s="15" t="inlineStr">
        <is>
          <t>B2PAL</t>
        </is>
      </c>
      <c r="FM2035" s="15" t="inlineStr">
        <is>
          <t>SAN JOSE</t>
        </is>
      </c>
      <c r="FN2035" s="15" t="inlineStr">
        <is>
          <t>San José 030 (José Besa 669)</t>
        </is>
      </c>
      <c r="FO2035" s="15" t="inlineStr">
        <is>
          <t>San Bernardo</t>
        </is>
      </c>
      <c r="FP2035" t="inlineStr">
        <is>
          <t>B</t>
        </is>
      </c>
    </row>
    <row r="2036">
      <c r="FC2036" t="inlineStr">
        <is>
          <t>Diccionario 3</t>
        </is>
      </c>
      <c r="FD2036" s="15" t="inlineStr">
        <is>
          <t>GCBB88</t>
        </is>
      </c>
      <c r="FE2036" s="15" t="inlineStr">
        <is>
          <t>D8483438K2PL</t>
        </is>
      </c>
      <c r="FF2036" s="15" t="inlineStr">
        <is>
          <t>YV3T7U525KA195554</t>
        </is>
      </c>
      <c r="FG2036" s="15" t="inlineStr">
        <is>
          <t>Volvo</t>
        </is>
      </c>
      <c r="FH2036" s="15" t="inlineStr">
        <is>
          <t>B8R</t>
        </is>
      </c>
      <c r="FI2036" s="15" t="inlineStr">
        <is>
          <t>MARCOPOLO</t>
        </is>
      </c>
      <c r="FJ2036" s="15" t="inlineStr">
        <is>
          <t>TORINO</t>
        </is>
      </c>
      <c r="FK2036" s="15" t="n">
        <v>2019</v>
      </c>
      <c r="FL2036" s="15" t="inlineStr">
        <is>
          <t>B2PAL</t>
        </is>
      </c>
      <c r="FM2036" s="15" t="inlineStr">
        <is>
          <t>SAN JOSE</t>
        </is>
      </c>
      <c r="FN2036" s="15" t="inlineStr">
        <is>
          <t>San José 030 (José Besa 669)</t>
        </is>
      </c>
      <c r="FO2036" s="15" t="inlineStr">
        <is>
          <t>San Bernardo</t>
        </is>
      </c>
      <c r="FP2036" t="inlineStr">
        <is>
          <t>B</t>
        </is>
      </c>
    </row>
    <row r="2037">
      <c r="FC2037" t="inlineStr">
        <is>
          <t>Diccionario 3</t>
        </is>
      </c>
      <c r="FD2037" s="15" t="inlineStr">
        <is>
          <t>GCBB89</t>
        </is>
      </c>
      <c r="FE2037" s="15" t="inlineStr">
        <is>
          <t>D8484688K2PL</t>
        </is>
      </c>
      <c r="FF2037" s="15" t="inlineStr">
        <is>
          <t>YV3T7U521KA195714</t>
        </is>
      </c>
      <c r="FG2037" s="15" t="inlineStr">
        <is>
          <t>Volvo</t>
        </is>
      </c>
      <c r="FH2037" s="15" t="inlineStr">
        <is>
          <t>B8R</t>
        </is>
      </c>
      <c r="FI2037" s="15" t="inlineStr">
        <is>
          <t>MARCOPOLO</t>
        </is>
      </c>
      <c r="FJ2037" s="15" t="inlineStr">
        <is>
          <t>TORINO</t>
        </is>
      </c>
      <c r="FK2037" s="15" t="n">
        <v>2019</v>
      </c>
      <c r="FL2037" s="15" t="inlineStr">
        <is>
          <t>B2PAL</t>
        </is>
      </c>
      <c r="FM2037" s="15" t="inlineStr">
        <is>
          <t>SAN JOSE</t>
        </is>
      </c>
      <c r="FN2037" s="15" t="inlineStr">
        <is>
          <t>San José 030 (José Besa 669)</t>
        </is>
      </c>
      <c r="FO2037" s="15" t="inlineStr">
        <is>
          <t>San Bernardo</t>
        </is>
      </c>
      <c r="FP2037" t="inlineStr">
        <is>
          <t>B</t>
        </is>
      </c>
    </row>
    <row r="2038">
      <c r="FC2038" t="inlineStr">
        <is>
          <t>Diccionario 3</t>
        </is>
      </c>
      <c r="FD2038" s="15" t="inlineStr">
        <is>
          <t>GCBB91</t>
        </is>
      </c>
      <c r="FE2038" s="15" t="inlineStr">
        <is>
          <t>D8482515K2PL</t>
        </is>
      </c>
      <c r="FF2038" s="15" t="inlineStr">
        <is>
          <t>YV3T7U524KA195349</t>
        </is>
      </c>
      <c r="FG2038" s="15" t="inlineStr">
        <is>
          <t>Volvo</t>
        </is>
      </c>
      <c r="FH2038" s="15" t="inlineStr">
        <is>
          <t>B8R</t>
        </is>
      </c>
      <c r="FI2038" s="15" t="inlineStr">
        <is>
          <t>MARCOPOLO</t>
        </is>
      </c>
      <c r="FJ2038" s="15" t="inlineStr">
        <is>
          <t>TORINO</t>
        </is>
      </c>
      <c r="FK2038" s="15" t="n">
        <v>2019</v>
      </c>
      <c r="FL2038" s="15" t="inlineStr">
        <is>
          <t>B2PAL</t>
        </is>
      </c>
      <c r="FM2038" s="15" t="inlineStr">
        <is>
          <t>LOS LIBERTADORES</t>
        </is>
      </c>
      <c r="FN2038" s="15" t="inlineStr">
        <is>
          <t>Los Liberadores 6450, Lote 4A</t>
        </is>
      </c>
      <c r="FO2038" s="15" t="inlineStr">
        <is>
          <t>Huechuraba</t>
        </is>
      </c>
      <c r="FP2038" t="inlineStr">
        <is>
          <t>B</t>
        </is>
      </c>
    </row>
    <row r="2039">
      <c r="FC2039" t="inlineStr">
        <is>
          <t>Diccionario 3</t>
        </is>
      </c>
      <c r="FD2039" s="15" t="inlineStr">
        <is>
          <t>GCBB92</t>
        </is>
      </c>
      <c r="FE2039" s="15" t="inlineStr">
        <is>
          <t>D8482526K2PL</t>
        </is>
      </c>
      <c r="FF2039" s="15" t="inlineStr">
        <is>
          <t>YV3T7U526KA195353</t>
        </is>
      </c>
      <c r="FG2039" s="15" t="inlineStr">
        <is>
          <t>Volvo</t>
        </is>
      </c>
      <c r="FH2039" s="15" t="inlineStr">
        <is>
          <t>B8R</t>
        </is>
      </c>
      <c r="FI2039" s="15" t="inlineStr">
        <is>
          <t>MARCOPOLO</t>
        </is>
      </c>
      <c r="FJ2039" s="15" t="inlineStr">
        <is>
          <t>TORINO</t>
        </is>
      </c>
      <c r="FK2039" s="15" t="n">
        <v>2019</v>
      </c>
      <c r="FL2039" s="15" t="inlineStr">
        <is>
          <t>B2PAL</t>
        </is>
      </c>
      <c r="FM2039" s="15" t="inlineStr">
        <is>
          <t>SAN JOSE</t>
        </is>
      </c>
      <c r="FN2039" s="15" t="inlineStr">
        <is>
          <t>San José 030 (José Besa 669)</t>
        </is>
      </c>
      <c r="FO2039" s="15" t="inlineStr">
        <is>
          <t>San Bernardo</t>
        </is>
      </c>
      <c r="FP2039" t="inlineStr">
        <is>
          <t>B</t>
        </is>
      </c>
    </row>
    <row r="2040">
      <c r="FC2040" t="inlineStr">
        <is>
          <t>Diccionario 3</t>
        </is>
      </c>
      <c r="FD2040" s="15" t="inlineStr">
        <is>
          <t>GCBB93</t>
        </is>
      </c>
      <c r="FE2040" s="15" t="inlineStr">
        <is>
          <t>D8482598K2PL</t>
        </is>
      </c>
      <c r="FF2040" s="15" t="inlineStr">
        <is>
          <t>YV3T7U52XKA195355</t>
        </is>
      </c>
      <c r="FG2040" s="15" t="inlineStr">
        <is>
          <t>Volvo</t>
        </is>
      </c>
      <c r="FH2040" s="15" t="inlineStr">
        <is>
          <t>B8R</t>
        </is>
      </c>
      <c r="FI2040" s="15" t="inlineStr">
        <is>
          <t>MARCOPOLO</t>
        </is>
      </c>
      <c r="FJ2040" s="15" t="inlineStr">
        <is>
          <t>TORINO</t>
        </is>
      </c>
      <c r="FK2040" s="15" t="n">
        <v>2019</v>
      </c>
      <c r="FL2040" s="15" t="inlineStr">
        <is>
          <t>B2PAL</t>
        </is>
      </c>
      <c r="FM2040" s="15" t="inlineStr">
        <is>
          <t>SAN JOSE</t>
        </is>
      </c>
      <c r="FN2040" s="15" t="inlineStr">
        <is>
          <t>San José 030 (José Besa 669)</t>
        </is>
      </c>
      <c r="FO2040" s="15" t="inlineStr">
        <is>
          <t>San Bernardo</t>
        </is>
      </c>
      <c r="FP2040" t="inlineStr">
        <is>
          <t>B</t>
        </is>
      </c>
    </row>
    <row r="2041">
      <c r="FC2041" t="inlineStr">
        <is>
          <t>Diccionario 3</t>
        </is>
      </c>
      <c r="FD2041" s="15" t="inlineStr">
        <is>
          <t>GCBB94</t>
        </is>
      </c>
      <c r="FE2041" s="15" t="inlineStr">
        <is>
          <t>D8483001K2PL</t>
        </is>
      </c>
      <c r="FF2041" s="15" t="inlineStr">
        <is>
          <t>YV3T7U526KA195403</t>
        </is>
      </c>
      <c r="FG2041" s="15" t="inlineStr">
        <is>
          <t>Volvo</t>
        </is>
      </c>
      <c r="FH2041" s="15" t="inlineStr">
        <is>
          <t>B8R</t>
        </is>
      </c>
      <c r="FI2041" s="15" t="inlineStr">
        <is>
          <t>MARCOPOLO</t>
        </is>
      </c>
      <c r="FJ2041" s="15" t="inlineStr">
        <is>
          <t>TORINO</t>
        </is>
      </c>
      <c r="FK2041" s="15" t="n">
        <v>2019</v>
      </c>
      <c r="FL2041" s="15" t="inlineStr">
        <is>
          <t>B2PAL</t>
        </is>
      </c>
      <c r="FM2041" s="15" t="inlineStr">
        <is>
          <t>LOS LIBERTADORES</t>
        </is>
      </c>
      <c r="FN2041" s="15" t="inlineStr">
        <is>
          <t>Los Liberadores 6450, Lote 4A</t>
        </is>
      </c>
      <c r="FO2041" s="15" t="inlineStr">
        <is>
          <t>Huechuraba</t>
        </is>
      </c>
      <c r="FP2041" t="inlineStr">
        <is>
          <t>B</t>
        </is>
      </c>
    </row>
    <row r="2042">
      <c r="FC2042" t="inlineStr">
        <is>
          <t>Diccionario 3</t>
        </is>
      </c>
      <c r="FD2042" s="15" t="inlineStr">
        <is>
          <t>GCBB95</t>
        </is>
      </c>
      <c r="FE2042" s="15" t="inlineStr">
        <is>
          <t>D8483444K2PL</t>
        </is>
      </c>
      <c r="FF2042" s="15" t="inlineStr">
        <is>
          <t>YV3T7U528KA195404</t>
        </is>
      </c>
      <c r="FG2042" s="15" t="inlineStr">
        <is>
          <t>Volvo</t>
        </is>
      </c>
      <c r="FH2042" s="15" t="inlineStr">
        <is>
          <t>B8R</t>
        </is>
      </c>
      <c r="FI2042" s="15" t="inlineStr">
        <is>
          <t>MARCOPOLO</t>
        </is>
      </c>
      <c r="FJ2042" s="15" t="inlineStr">
        <is>
          <t>TORINO</t>
        </is>
      </c>
      <c r="FK2042" s="15" t="n">
        <v>2019</v>
      </c>
      <c r="FL2042" s="15" t="inlineStr">
        <is>
          <t>B2PAL</t>
        </is>
      </c>
      <c r="FM2042" s="15" t="inlineStr">
        <is>
          <t>SAN JOSE</t>
        </is>
      </c>
      <c r="FN2042" s="15" t="inlineStr">
        <is>
          <t>San José 030 (José Besa 669)</t>
        </is>
      </c>
      <c r="FO2042" s="15" t="inlineStr">
        <is>
          <t>San Bernardo</t>
        </is>
      </c>
      <c r="FP2042" t="inlineStr">
        <is>
          <t>B</t>
        </is>
      </c>
    </row>
    <row r="2043">
      <c r="FC2043" t="inlineStr">
        <is>
          <t>Diccionario 3</t>
        </is>
      </c>
      <c r="FD2043" s="15" t="inlineStr">
        <is>
          <t>GCBB13</t>
        </is>
      </c>
      <c r="FE2043" s="15" t="inlineStr">
        <is>
          <t>D8481462K2PL</t>
        </is>
      </c>
      <c r="FF2043" s="15" t="inlineStr">
        <is>
          <t>YV3T7U523KA195200</t>
        </is>
      </c>
      <c r="FG2043" s="15" t="inlineStr">
        <is>
          <t>Volvo</t>
        </is>
      </c>
      <c r="FH2043" s="15" t="inlineStr">
        <is>
          <t>B8R</t>
        </is>
      </c>
      <c r="FI2043" s="15" t="inlineStr">
        <is>
          <t>MARCOPOLO</t>
        </is>
      </c>
      <c r="FJ2043" s="15" t="inlineStr">
        <is>
          <t>TORINO</t>
        </is>
      </c>
      <c r="FK2043" s="15" t="n">
        <v>2019</v>
      </c>
      <c r="FL2043" s="15" t="inlineStr">
        <is>
          <t>B2PAL</t>
        </is>
      </c>
      <c r="FM2043" s="15" t="inlineStr">
        <is>
          <t>LOS LIBERTADORES</t>
        </is>
      </c>
      <c r="FN2043" s="15" t="inlineStr">
        <is>
          <t>Los Liberadores 6450, Lote 4A</t>
        </is>
      </c>
      <c r="FO2043" s="15" t="inlineStr">
        <is>
          <t>Huechuraba</t>
        </is>
      </c>
      <c r="FP2043" t="inlineStr">
        <is>
          <t>B</t>
        </is>
      </c>
    </row>
    <row r="2044">
      <c r="FC2044" t="inlineStr">
        <is>
          <t>Diccionario 3</t>
        </is>
      </c>
      <c r="FD2044" s="15" t="inlineStr">
        <is>
          <t>GCBB96</t>
        </is>
      </c>
      <c r="FE2044" s="15" t="inlineStr">
        <is>
          <t>D8481807K2PL</t>
        </is>
      </c>
      <c r="FF2044" s="15" t="inlineStr">
        <is>
          <t>YV3T7U520KA195428</t>
        </is>
      </c>
      <c r="FG2044" s="15" t="inlineStr">
        <is>
          <t>Volvo</t>
        </is>
      </c>
      <c r="FH2044" s="15" t="inlineStr">
        <is>
          <t>B8R</t>
        </is>
      </c>
      <c r="FI2044" s="15" t="inlineStr">
        <is>
          <t>MARCOPOLO</t>
        </is>
      </c>
      <c r="FJ2044" s="15" t="inlineStr">
        <is>
          <t>TORINO</t>
        </is>
      </c>
      <c r="FK2044" s="15" t="n">
        <v>2019</v>
      </c>
      <c r="FL2044" s="15" t="inlineStr">
        <is>
          <t>B2PAL</t>
        </is>
      </c>
      <c r="FM2044" s="15" t="inlineStr">
        <is>
          <t>SAN JOSE</t>
        </is>
      </c>
      <c r="FN2044" s="15" t="inlineStr">
        <is>
          <t>San José 030 (José Besa 669)</t>
        </is>
      </c>
      <c r="FO2044" s="15" t="inlineStr">
        <is>
          <t>San Bernardo</t>
        </is>
      </c>
      <c r="FP2044" t="inlineStr">
        <is>
          <t>B</t>
        </is>
      </c>
    </row>
    <row r="2045">
      <c r="FC2045" t="inlineStr">
        <is>
          <t>Diccionario 3</t>
        </is>
      </c>
      <c r="FD2045" s="15" t="inlineStr">
        <is>
          <t>GCBB97</t>
        </is>
      </c>
      <c r="FE2045" s="15" t="inlineStr">
        <is>
          <t>D8481802K2PL</t>
        </is>
      </c>
      <c r="FF2045" s="15" t="inlineStr">
        <is>
          <t>YV3T7U529KA195430</t>
        </is>
      </c>
      <c r="FG2045" s="15" t="inlineStr">
        <is>
          <t>Volvo</t>
        </is>
      </c>
      <c r="FH2045" s="15" t="inlineStr">
        <is>
          <t>B8R</t>
        </is>
      </c>
      <c r="FI2045" s="15" t="inlineStr">
        <is>
          <t>MARCOPOLO</t>
        </is>
      </c>
      <c r="FJ2045" s="15" t="inlineStr">
        <is>
          <t>TORINO</t>
        </is>
      </c>
      <c r="FK2045" s="15" t="n">
        <v>2019</v>
      </c>
      <c r="FL2045" s="15" t="inlineStr">
        <is>
          <t>B2PAL</t>
        </is>
      </c>
      <c r="FM2045" s="15" t="inlineStr">
        <is>
          <t>SAN JOSE</t>
        </is>
      </c>
      <c r="FN2045" s="15" t="inlineStr">
        <is>
          <t>San José 030 (José Besa 669)</t>
        </is>
      </c>
      <c r="FO2045" s="15" t="inlineStr">
        <is>
          <t>San Bernardo</t>
        </is>
      </c>
      <c r="FP2045" t="inlineStr">
        <is>
          <t>B</t>
        </is>
      </c>
    </row>
    <row r="2046">
      <c r="FC2046" t="inlineStr">
        <is>
          <t>Diccionario 3</t>
        </is>
      </c>
      <c r="FD2046" s="15" t="inlineStr">
        <is>
          <t>GCBB98</t>
        </is>
      </c>
      <c r="FE2046" s="15" t="inlineStr">
        <is>
          <t>D8481788K2PL</t>
        </is>
      </c>
      <c r="FF2046" s="15" t="inlineStr">
        <is>
          <t>YV3T7U520KA195431</t>
        </is>
      </c>
      <c r="FG2046" s="15" t="inlineStr">
        <is>
          <t>Volvo</t>
        </is>
      </c>
      <c r="FH2046" s="15" t="inlineStr">
        <is>
          <t>B8R</t>
        </is>
      </c>
      <c r="FI2046" s="15" t="inlineStr">
        <is>
          <t>MARCOPOLO</t>
        </is>
      </c>
      <c r="FJ2046" s="15" t="inlineStr">
        <is>
          <t>TORINO</t>
        </is>
      </c>
      <c r="FK2046" s="15" t="n">
        <v>2019</v>
      </c>
      <c r="FL2046" s="15" t="inlineStr">
        <is>
          <t>B2PAL</t>
        </is>
      </c>
      <c r="FM2046" s="15" t="inlineStr">
        <is>
          <t>SAN JOSE</t>
        </is>
      </c>
      <c r="FN2046" s="15" t="inlineStr">
        <is>
          <t>San José 030 (José Besa 669)</t>
        </is>
      </c>
      <c r="FO2046" s="15" t="inlineStr">
        <is>
          <t>San Bernardo</t>
        </is>
      </c>
      <c r="FP2046" t="inlineStr">
        <is>
          <t>B</t>
        </is>
      </c>
    </row>
    <row r="2047">
      <c r="FC2047" t="inlineStr">
        <is>
          <t>Diccionario 3</t>
        </is>
      </c>
      <c r="FD2047" s="15" t="inlineStr">
        <is>
          <t>GCBB33</t>
        </is>
      </c>
      <c r="FE2047" s="15" t="inlineStr">
        <is>
          <t>D8483123K2PL</t>
        </is>
      </c>
      <c r="FF2047" s="15" t="inlineStr">
        <is>
          <t>YV3T7U525KA195487</t>
        </is>
      </c>
      <c r="FG2047" s="15" t="inlineStr">
        <is>
          <t>Volvo</t>
        </is>
      </c>
      <c r="FH2047" s="15" t="inlineStr">
        <is>
          <t>B8R</t>
        </is>
      </c>
      <c r="FI2047" s="15" t="inlineStr">
        <is>
          <t>MARCOPOLO</t>
        </is>
      </c>
      <c r="FJ2047" s="15" t="inlineStr">
        <is>
          <t>TORINO</t>
        </is>
      </c>
      <c r="FK2047" s="15" t="n">
        <v>2019</v>
      </c>
      <c r="FL2047" s="15" t="inlineStr">
        <is>
          <t>B2PAL</t>
        </is>
      </c>
      <c r="FM2047" s="15" t="inlineStr">
        <is>
          <t>SAN JOSE</t>
        </is>
      </c>
      <c r="FN2047" s="15" t="inlineStr">
        <is>
          <t>San José 030 (José Besa 669)</t>
        </is>
      </c>
      <c r="FO2047" s="15" t="inlineStr">
        <is>
          <t>San Bernardo</t>
        </is>
      </c>
      <c r="FP2047" t="inlineStr">
        <is>
          <t>B</t>
        </is>
      </c>
    </row>
    <row r="2048">
      <c r="FC2048" t="inlineStr">
        <is>
          <t>Diccionario 3</t>
        </is>
      </c>
      <c r="FD2048" s="15" t="inlineStr">
        <is>
          <t>GCBC10</t>
        </is>
      </c>
      <c r="FE2048" s="15" t="inlineStr">
        <is>
          <t>D8483090K2PL</t>
        </is>
      </c>
      <c r="FF2048" s="15" t="inlineStr">
        <is>
          <t>YV3T7U527KA195488</t>
        </is>
      </c>
      <c r="FG2048" s="15" t="inlineStr">
        <is>
          <t>Volvo</t>
        </is>
      </c>
      <c r="FH2048" s="15" t="inlineStr">
        <is>
          <t>B8R</t>
        </is>
      </c>
      <c r="FI2048" s="15" t="inlineStr">
        <is>
          <t>MARCOPOLO</t>
        </is>
      </c>
      <c r="FJ2048" s="15" t="inlineStr">
        <is>
          <t>TORINO</t>
        </is>
      </c>
      <c r="FK2048" s="15" t="n">
        <v>2019</v>
      </c>
      <c r="FL2048" s="15" t="inlineStr">
        <is>
          <t>B2PAL</t>
        </is>
      </c>
      <c r="FM2048" s="15" t="inlineStr">
        <is>
          <t>SAN JOSE</t>
        </is>
      </c>
      <c r="FN2048" s="15" t="inlineStr">
        <is>
          <t>San José 030 (José Besa 669)</t>
        </is>
      </c>
      <c r="FO2048" s="15" t="inlineStr">
        <is>
          <t>San Bernardo</t>
        </is>
      </c>
      <c r="FP2048" t="inlineStr">
        <is>
          <t>B</t>
        </is>
      </c>
    </row>
    <row r="2049">
      <c r="FC2049" t="inlineStr">
        <is>
          <t>Diccionario 3</t>
        </is>
      </c>
      <c r="FD2049" s="15" t="inlineStr">
        <is>
          <t>GCBC11</t>
        </is>
      </c>
      <c r="FE2049" s="15" t="inlineStr">
        <is>
          <t>D8483468K2PL</t>
        </is>
      </c>
      <c r="FF2049" s="15" t="inlineStr">
        <is>
          <t>YV3T7U525KA195571</t>
        </is>
      </c>
      <c r="FG2049" s="15" t="inlineStr">
        <is>
          <t>Volvo</t>
        </is>
      </c>
      <c r="FH2049" s="15" t="inlineStr">
        <is>
          <t>B8R</t>
        </is>
      </c>
      <c r="FI2049" s="15" t="inlineStr">
        <is>
          <t>MARCOPOLO</t>
        </is>
      </c>
      <c r="FJ2049" s="15" t="inlineStr">
        <is>
          <t>TORINO</t>
        </is>
      </c>
      <c r="FK2049" s="15" t="n">
        <v>2019</v>
      </c>
      <c r="FL2049" s="15" t="inlineStr">
        <is>
          <t>B2PAL</t>
        </is>
      </c>
      <c r="FM2049" s="15" t="inlineStr">
        <is>
          <t>SAN JOSE</t>
        </is>
      </c>
      <c r="FN2049" s="15" t="inlineStr">
        <is>
          <t>San José 030 (José Besa 669)</t>
        </is>
      </c>
      <c r="FO2049" s="15" t="inlineStr">
        <is>
          <t>San Bernardo</t>
        </is>
      </c>
      <c r="FP2049" t="inlineStr">
        <is>
          <t>B</t>
        </is>
      </c>
    </row>
    <row r="2050">
      <c r="FC2050" t="inlineStr">
        <is>
          <t>Diccionario 3</t>
        </is>
      </c>
      <c r="FD2050" s="15" t="inlineStr">
        <is>
          <t>GCBC12</t>
        </is>
      </c>
      <c r="FE2050" s="15" t="inlineStr">
        <is>
          <t>D8483819K2PL</t>
        </is>
      </c>
      <c r="FF2050" s="15" t="inlineStr">
        <is>
          <t>YV3T7U520KA195686</t>
        </is>
      </c>
      <c r="FG2050" s="15" t="inlineStr">
        <is>
          <t>Volvo</t>
        </is>
      </c>
      <c r="FH2050" s="15" t="inlineStr">
        <is>
          <t>B8R</t>
        </is>
      </c>
      <c r="FI2050" s="15" t="inlineStr">
        <is>
          <t>MARCOPOLO</t>
        </is>
      </c>
      <c r="FJ2050" s="15" t="inlineStr">
        <is>
          <t>TORINO</t>
        </is>
      </c>
      <c r="FK2050" s="15" t="n">
        <v>2019</v>
      </c>
      <c r="FL2050" s="15" t="inlineStr">
        <is>
          <t>B2PAL</t>
        </is>
      </c>
      <c r="FM2050" s="15" t="inlineStr">
        <is>
          <t>SAN JOSE</t>
        </is>
      </c>
      <c r="FN2050" s="15" t="inlineStr">
        <is>
          <t>San José 030 (José Besa 669)</t>
        </is>
      </c>
      <c r="FO2050" s="15" t="inlineStr">
        <is>
          <t>San Bernardo</t>
        </is>
      </c>
      <c r="FP2050" t="inlineStr">
        <is>
          <t>B</t>
        </is>
      </c>
    </row>
    <row r="2051">
      <c r="FC2051" t="inlineStr">
        <is>
          <t>Diccionario 3</t>
        </is>
      </c>
      <c r="FD2051" s="15" t="inlineStr">
        <is>
          <t>GCBC13</t>
        </is>
      </c>
      <c r="FE2051" s="15" t="inlineStr">
        <is>
          <t>D8481869K2PL</t>
        </is>
      </c>
      <c r="FF2051" s="15" t="inlineStr">
        <is>
          <t>YV3T7U521KA195194</t>
        </is>
      </c>
      <c r="FG2051" s="15" t="inlineStr">
        <is>
          <t>Volvo</t>
        </is>
      </c>
      <c r="FH2051" s="15" t="inlineStr">
        <is>
          <t>B8R</t>
        </is>
      </c>
      <c r="FI2051" s="15" t="inlineStr">
        <is>
          <t>MARCOPOLO</t>
        </is>
      </c>
      <c r="FJ2051" s="15" t="inlineStr">
        <is>
          <t>TORINO</t>
        </is>
      </c>
      <c r="FK2051" s="15" t="n">
        <v>2019</v>
      </c>
      <c r="FL2051" s="15" t="inlineStr">
        <is>
          <t>B2PAL</t>
        </is>
      </c>
      <c r="FM2051" s="15" t="inlineStr">
        <is>
          <t>SAN JOSE</t>
        </is>
      </c>
      <c r="FN2051" s="15" t="inlineStr">
        <is>
          <t>San José 030 (José Besa 669)</t>
        </is>
      </c>
      <c r="FO2051" s="15" t="inlineStr">
        <is>
          <t>San Bernardo</t>
        </is>
      </c>
      <c r="FP2051" t="inlineStr">
        <is>
          <t>B</t>
        </is>
      </c>
    </row>
    <row r="2052">
      <c r="FC2052" t="inlineStr">
        <is>
          <t>Diccionario 3</t>
        </is>
      </c>
      <c r="FD2052" s="15" t="inlineStr">
        <is>
          <t>GCBC14</t>
        </is>
      </c>
      <c r="FE2052" s="15" t="inlineStr">
        <is>
          <t>D8483079K2PL</t>
        </is>
      </c>
      <c r="FF2052" s="15" t="inlineStr">
        <is>
          <t>YV3T7U529KA195489</t>
        </is>
      </c>
      <c r="FG2052" s="15" t="inlineStr">
        <is>
          <t>Volvo</t>
        </is>
      </c>
      <c r="FH2052" s="15" t="inlineStr">
        <is>
          <t>B8R</t>
        </is>
      </c>
      <c r="FI2052" s="15" t="inlineStr">
        <is>
          <t>MARCOPOLO</t>
        </is>
      </c>
      <c r="FJ2052" s="15" t="inlineStr">
        <is>
          <t>TORINO</t>
        </is>
      </c>
      <c r="FK2052" s="15" t="n">
        <v>2019</v>
      </c>
      <c r="FL2052" s="15" t="inlineStr">
        <is>
          <t>B2PAL</t>
        </is>
      </c>
      <c r="FM2052" s="15" t="inlineStr">
        <is>
          <t>SAN JOSE</t>
        </is>
      </c>
      <c r="FN2052" s="15" t="inlineStr">
        <is>
          <t>San José 030 (José Besa 669)</t>
        </is>
      </c>
      <c r="FO2052" s="15" t="inlineStr">
        <is>
          <t>San Bernardo</t>
        </is>
      </c>
      <c r="FP2052" t="inlineStr">
        <is>
          <t>B</t>
        </is>
      </c>
    </row>
    <row r="2053">
      <c r="FC2053" t="inlineStr">
        <is>
          <t>Diccionario 3</t>
        </is>
      </c>
      <c r="FD2053" s="15" t="inlineStr">
        <is>
          <t>GCBC15</t>
        </is>
      </c>
      <c r="FE2053" s="15" t="inlineStr">
        <is>
          <t>D8483914K2PL</t>
        </is>
      </c>
      <c r="FF2053" s="15" t="inlineStr">
        <is>
          <t>YV3T7U524KA195593</t>
        </is>
      </c>
      <c r="FG2053" s="15" t="inlineStr">
        <is>
          <t>Volvo</t>
        </is>
      </c>
      <c r="FH2053" s="15" t="inlineStr">
        <is>
          <t>B8R</t>
        </is>
      </c>
      <c r="FI2053" s="15" t="inlineStr">
        <is>
          <t>MARCOPOLO</t>
        </is>
      </c>
      <c r="FJ2053" s="15" t="inlineStr">
        <is>
          <t>TORINO</t>
        </is>
      </c>
      <c r="FK2053" s="15" t="n">
        <v>2019</v>
      </c>
      <c r="FL2053" s="15" t="inlineStr">
        <is>
          <t>B2PAL</t>
        </is>
      </c>
      <c r="FM2053" s="15" t="inlineStr">
        <is>
          <t>SAN JOSE</t>
        </is>
      </c>
      <c r="FN2053" s="15" t="inlineStr">
        <is>
          <t>San José 030 (José Besa 669)</t>
        </is>
      </c>
      <c r="FO2053" s="15" t="inlineStr">
        <is>
          <t>San Bernardo</t>
        </is>
      </c>
      <c r="FP2053" t="inlineStr">
        <is>
          <t>B</t>
        </is>
      </c>
    </row>
    <row r="2054">
      <c r="FC2054" t="inlineStr">
        <is>
          <t>Diccionario 3</t>
        </is>
      </c>
      <c r="FD2054" s="15" t="inlineStr">
        <is>
          <t>VFHJ88</t>
        </is>
      </c>
      <c r="FE2054" s="15" t="inlineStr">
        <is>
          <t>LDYECS31XS0043931</t>
        </is>
      </c>
      <c r="FF2054" s="15" t="inlineStr">
        <is>
          <t>MDN35025010058</t>
        </is>
      </c>
      <c r="FG2054" s="15" t="inlineStr">
        <is>
          <t>Zhong Tong</t>
        </is>
      </c>
      <c r="FH2054" s="15" t="inlineStr">
        <is>
          <t>Lck6122evg</t>
        </is>
      </c>
      <c r="FI2054" s="15" t="inlineStr">
        <is>
          <t>ZHONGTONG</t>
        </is>
      </c>
      <c r="FJ2054" s="15" t="inlineStr">
        <is>
          <t>LCK6122EVG</t>
        </is>
      </c>
      <c r="FK2054" s="15" t="n">
        <v>2025</v>
      </c>
      <c r="FL2054" s="15" t="inlineStr">
        <is>
          <t>B</t>
        </is>
      </c>
      <c r="FM2054" s="15" t="inlineStr">
        <is>
          <t>SAN JOSE</t>
        </is>
      </c>
      <c r="FN2054" s="15" t="inlineStr">
        <is>
          <t>San José 030 (José Besa 669)</t>
        </is>
      </c>
      <c r="FO2054" s="15" t="inlineStr">
        <is>
          <t>San Bernardo</t>
        </is>
      </c>
      <c r="FP2054" t="inlineStr">
        <is>
          <t>B</t>
        </is>
      </c>
    </row>
    <row r="2055">
      <c r="FC2055" t="inlineStr">
        <is>
          <t>Diccionario 3</t>
        </is>
      </c>
      <c r="FD2055" s="15" t="inlineStr">
        <is>
          <t>VFHL33</t>
        </is>
      </c>
      <c r="FE2055" s="15" t="inlineStr">
        <is>
          <t>LDYECS315S0043917</t>
        </is>
      </c>
      <c r="FF2055" s="15" t="inlineStr">
        <is>
          <t>MDN35025010105</t>
        </is>
      </c>
      <c r="FG2055" s="15" t="inlineStr">
        <is>
          <t>Zhong Tong</t>
        </is>
      </c>
      <c r="FH2055" s="15" t="inlineStr">
        <is>
          <t>Lck6122evg</t>
        </is>
      </c>
      <c r="FI2055" s="15" t="inlineStr">
        <is>
          <t>ZHONGTONG</t>
        </is>
      </c>
      <c r="FJ2055" s="15" t="inlineStr">
        <is>
          <t>LCK6122EVG</t>
        </is>
      </c>
      <c r="FK2055" s="15" t="n">
        <v>2025</v>
      </c>
      <c r="FL2055" s="15" t="inlineStr">
        <is>
          <t>B</t>
        </is>
      </c>
      <c r="FM2055" s="15" t="inlineStr">
        <is>
          <t>SAN JOSE</t>
        </is>
      </c>
      <c r="FN2055" s="15" t="inlineStr">
        <is>
          <t>San José 030 (José Besa 669)</t>
        </is>
      </c>
      <c r="FO2055" s="15" t="inlineStr">
        <is>
          <t>San Bernardo</t>
        </is>
      </c>
      <c r="FP2055" t="inlineStr">
        <is>
          <t>B</t>
        </is>
      </c>
    </row>
    <row r="2056">
      <c r="FC2056" t="inlineStr">
        <is>
          <t>Diccionario 3</t>
        </is>
      </c>
      <c r="FD2056" s="15" t="inlineStr">
        <is>
          <t>VFHL39</t>
        </is>
      </c>
      <c r="FE2056" s="15" t="inlineStr">
        <is>
          <t>LDYECS319S0043970</t>
        </is>
      </c>
      <c r="FF2056" s="15" t="inlineStr">
        <is>
          <t>MDN35025010061</t>
        </is>
      </c>
      <c r="FG2056" s="15" t="inlineStr">
        <is>
          <t>Zhong Tong</t>
        </is>
      </c>
      <c r="FH2056" s="15" t="inlineStr">
        <is>
          <t>Lck6122evg</t>
        </is>
      </c>
      <c r="FI2056" s="15" t="inlineStr">
        <is>
          <t>ZHONGTONG</t>
        </is>
      </c>
      <c r="FJ2056" s="15" t="inlineStr">
        <is>
          <t>LCK6122EVG</t>
        </is>
      </c>
      <c r="FK2056" s="15" t="n">
        <v>2025</v>
      </c>
      <c r="FL2056" s="15" t="inlineStr">
        <is>
          <t>B</t>
        </is>
      </c>
      <c r="FM2056" s="15" t="inlineStr">
        <is>
          <t>SAN JOSE</t>
        </is>
      </c>
      <c r="FN2056" s="15" t="inlineStr">
        <is>
          <t>San José 030 (José Besa 669)</t>
        </is>
      </c>
      <c r="FO2056" s="15" t="inlineStr">
        <is>
          <t>San Bernardo</t>
        </is>
      </c>
      <c r="FP2056" t="inlineStr">
        <is>
          <t>B</t>
        </is>
      </c>
    </row>
    <row r="2057">
      <c r="FC2057" t="inlineStr">
        <is>
          <t>Diccionario 3</t>
        </is>
      </c>
      <c r="FD2057" s="15" t="inlineStr">
        <is>
          <t>VFHL46</t>
        </is>
      </c>
      <c r="FE2057" s="15" t="inlineStr">
        <is>
          <t>LDYECS318S0043930</t>
        </is>
      </c>
      <c r="FF2057" s="15" t="inlineStr">
        <is>
          <t>MDN35025010059</t>
        </is>
      </c>
      <c r="FG2057" s="15" t="inlineStr">
        <is>
          <t>Zhong Tong</t>
        </is>
      </c>
      <c r="FH2057" s="15" t="inlineStr">
        <is>
          <t>Lck6122evg</t>
        </is>
      </c>
      <c r="FI2057" s="15" t="inlineStr">
        <is>
          <t>ZHONGTONG</t>
        </is>
      </c>
      <c r="FJ2057" s="15" t="inlineStr">
        <is>
          <t>LCK6122EVG</t>
        </is>
      </c>
      <c r="FK2057" s="15" t="n">
        <v>2025</v>
      </c>
      <c r="FL2057" s="15" t="inlineStr">
        <is>
          <t>B</t>
        </is>
      </c>
      <c r="FM2057" s="15" t="inlineStr">
        <is>
          <t>SAN JOSE</t>
        </is>
      </c>
      <c r="FN2057" s="15" t="inlineStr">
        <is>
          <t>San José 030 (José Besa 669)</t>
        </is>
      </c>
      <c r="FO2057" s="15" t="inlineStr">
        <is>
          <t>San Bernardo</t>
        </is>
      </c>
      <c r="FP2057" t="inlineStr">
        <is>
          <t>B</t>
        </is>
      </c>
    </row>
    <row r="2058">
      <c r="FC2058" t="inlineStr">
        <is>
          <t>Diccionario 3</t>
        </is>
      </c>
      <c r="FD2058" s="15" t="inlineStr">
        <is>
          <t>VFHL56</t>
        </is>
      </c>
      <c r="FE2058" s="15" t="inlineStr">
        <is>
          <t>LDYECS319S0043919</t>
        </is>
      </c>
      <c r="FF2058" s="15" t="inlineStr">
        <is>
          <t>MDN35025010112</t>
        </is>
      </c>
      <c r="FG2058" s="15" t="inlineStr">
        <is>
          <t>Zhong Tong</t>
        </is>
      </c>
      <c r="FH2058" s="15" t="inlineStr">
        <is>
          <t>Lck6122evg</t>
        </is>
      </c>
      <c r="FI2058" s="15" t="inlineStr">
        <is>
          <t>ZHONGTONG</t>
        </is>
      </c>
      <c r="FJ2058" s="15" t="inlineStr">
        <is>
          <t>LCK6122EVG</t>
        </is>
      </c>
      <c r="FK2058" s="15" t="n">
        <v>2025</v>
      </c>
      <c r="FL2058" s="15" t="inlineStr">
        <is>
          <t>B</t>
        </is>
      </c>
      <c r="FM2058" s="15" t="inlineStr">
        <is>
          <t>SAN JOSE</t>
        </is>
      </c>
      <c r="FN2058" s="15" t="inlineStr">
        <is>
          <t>San José 030 (José Besa 669)</t>
        </is>
      </c>
      <c r="FO2058" s="15" t="inlineStr">
        <is>
          <t>San Bernardo</t>
        </is>
      </c>
      <c r="FP2058" t="inlineStr">
        <is>
          <t>B</t>
        </is>
      </c>
    </row>
    <row r="2059">
      <c r="FC2059" t="inlineStr">
        <is>
          <t>Diccionario 3</t>
        </is>
      </c>
      <c r="FD2059" s="15" t="inlineStr">
        <is>
          <t>VFHG99</t>
        </is>
      </c>
      <c r="FE2059" s="15" t="inlineStr">
        <is>
          <t>LDYECS314S0043908</t>
        </is>
      </c>
      <c r="FF2059" s="15" t="inlineStr">
        <is>
          <t>MDN35025010130</t>
        </is>
      </c>
      <c r="FG2059" s="15" t="inlineStr">
        <is>
          <t>Zhong Tong</t>
        </is>
      </c>
      <c r="FH2059" s="15" t="inlineStr">
        <is>
          <t>Lck6122evg</t>
        </is>
      </c>
      <c r="FI2059" s="15" t="inlineStr">
        <is>
          <t>ZHONGTONG</t>
        </is>
      </c>
      <c r="FJ2059" s="15" t="inlineStr">
        <is>
          <t>LCK6122EVG</t>
        </is>
      </c>
      <c r="FK2059" s="15" t="n">
        <v>2025</v>
      </c>
      <c r="FL2059" s="15" t="inlineStr">
        <is>
          <t>B</t>
        </is>
      </c>
      <c r="FM2059" s="15" t="inlineStr">
        <is>
          <t>SAN JOSE</t>
        </is>
      </c>
      <c r="FN2059" s="15" t="inlineStr">
        <is>
          <t>San José 030 (José Besa 669)</t>
        </is>
      </c>
      <c r="FO2059" s="15" t="inlineStr">
        <is>
          <t>San Bernardo</t>
        </is>
      </c>
      <c r="FP2059" t="inlineStr">
        <is>
          <t>B</t>
        </is>
      </c>
    </row>
    <row r="2060">
      <c r="FC2060" t="inlineStr">
        <is>
          <t>Diccionario 3</t>
        </is>
      </c>
      <c r="FD2060" s="15" t="inlineStr">
        <is>
          <t>VFHH49</t>
        </is>
      </c>
      <c r="FE2060" s="15" t="inlineStr">
        <is>
          <t>LDYECS312S0043924</t>
        </is>
      </c>
      <c r="FF2060" s="15" t="inlineStr">
        <is>
          <t>MDN35025010050</t>
        </is>
      </c>
      <c r="FG2060" s="15" t="inlineStr">
        <is>
          <t>Zhong Tong</t>
        </is>
      </c>
      <c r="FH2060" s="15" t="inlineStr">
        <is>
          <t>Lck6122evg</t>
        </is>
      </c>
      <c r="FI2060" s="15" t="inlineStr">
        <is>
          <t>ZHONGTONG</t>
        </is>
      </c>
      <c r="FJ2060" s="15" t="inlineStr">
        <is>
          <t>LCK6122EVG</t>
        </is>
      </c>
      <c r="FK2060" s="15" t="n">
        <v>2025</v>
      </c>
      <c r="FL2060" s="15" t="inlineStr">
        <is>
          <t>B</t>
        </is>
      </c>
      <c r="FM2060" s="15" t="inlineStr">
        <is>
          <t>SAN JOSE</t>
        </is>
      </c>
      <c r="FN2060" s="15" t="inlineStr">
        <is>
          <t>San José 030 (José Besa 669)</t>
        </is>
      </c>
      <c r="FO2060" s="15" t="inlineStr">
        <is>
          <t>San Bernardo</t>
        </is>
      </c>
      <c r="FP2060" t="inlineStr">
        <is>
          <t>B</t>
        </is>
      </c>
    </row>
    <row r="2061">
      <c r="FC2061" t="inlineStr">
        <is>
          <t>Diccionario 3</t>
        </is>
      </c>
      <c r="FD2061" s="15" t="inlineStr">
        <is>
          <t>VFHH65</t>
        </is>
      </c>
      <c r="FE2061" s="15" t="inlineStr">
        <is>
          <t>LDYECS311S0043946</t>
        </is>
      </c>
      <c r="FF2061" s="15" t="inlineStr">
        <is>
          <t>MDN35025010056</t>
        </is>
      </c>
      <c r="FG2061" s="15" t="inlineStr">
        <is>
          <t>Zhong Tong</t>
        </is>
      </c>
      <c r="FH2061" s="15" t="inlineStr">
        <is>
          <t>Lck6122evg</t>
        </is>
      </c>
      <c r="FI2061" s="15" t="inlineStr">
        <is>
          <t>ZHONGTONG</t>
        </is>
      </c>
      <c r="FJ2061" s="15" t="inlineStr">
        <is>
          <t>LCK6122EVG</t>
        </is>
      </c>
      <c r="FK2061" s="15" t="n">
        <v>2025</v>
      </c>
      <c r="FL2061" s="15" t="inlineStr">
        <is>
          <t>B</t>
        </is>
      </c>
      <c r="FM2061" s="15" t="inlineStr">
        <is>
          <t>SAN JOSE</t>
        </is>
      </c>
      <c r="FN2061" s="15" t="inlineStr">
        <is>
          <t>San José 030 (José Besa 669)</t>
        </is>
      </c>
      <c r="FO2061" s="15" t="inlineStr">
        <is>
          <t>San Bernardo</t>
        </is>
      </c>
      <c r="FP2061" t="inlineStr">
        <is>
          <t>B</t>
        </is>
      </c>
    </row>
    <row r="2062">
      <c r="FC2062" t="inlineStr">
        <is>
          <t>Diccionario 3</t>
        </is>
      </c>
      <c r="FD2062" s="15" t="inlineStr">
        <is>
          <t>VFHJ21</t>
        </is>
      </c>
      <c r="FE2062" s="15" t="inlineStr">
        <is>
          <t>LDYECS318S0043913</t>
        </is>
      </c>
      <c r="FF2062" s="15" t="inlineStr">
        <is>
          <t>MDN35025010045</t>
        </is>
      </c>
      <c r="FG2062" s="15" t="inlineStr">
        <is>
          <t>Zhong Tong</t>
        </is>
      </c>
      <c r="FH2062" s="15" t="inlineStr">
        <is>
          <t>Lck6122evg</t>
        </is>
      </c>
      <c r="FI2062" s="15" t="inlineStr">
        <is>
          <t>ZHONGTONG</t>
        </is>
      </c>
      <c r="FJ2062" s="15" t="inlineStr">
        <is>
          <t>LCK6122EVG</t>
        </is>
      </c>
      <c r="FK2062" s="15" t="n">
        <v>2025</v>
      </c>
      <c r="FL2062" s="15" t="inlineStr">
        <is>
          <t>B</t>
        </is>
      </c>
      <c r="FM2062" s="15" t="inlineStr">
        <is>
          <t>SAN JOSE</t>
        </is>
      </c>
      <c r="FN2062" s="15" t="inlineStr">
        <is>
          <t>San José 030 (José Besa 669)</t>
        </is>
      </c>
      <c r="FO2062" s="15" t="inlineStr">
        <is>
          <t>San Bernardo</t>
        </is>
      </c>
      <c r="FP2062" t="inlineStr">
        <is>
          <t>B</t>
        </is>
      </c>
    </row>
    <row r="2063">
      <c r="FC2063" t="inlineStr">
        <is>
          <t>Diccionario 3</t>
        </is>
      </c>
      <c r="FD2063" s="15" t="inlineStr">
        <is>
          <t>VFHJ43</t>
        </is>
      </c>
      <c r="FE2063" s="15" t="inlineStr">
        <is>
          <t>LDYECS31XS0043895</t>
        </is>
      </c>
      <c r="FF2063" s="15" t="inlineStr">
        <is>
          <t>MDN35025010235</t>
        </is>
      </c>
      <c r="FG2063" s="15" t="inlineStr">
        <is>
          <t>Zhong Tong</t>
        </is>
      </c>
      <c r="FH2063" s="15" t="inlineStr">
        <is>
          <t>Lck6122evg</t>
        </is>
      </c>
      <c r="FI2063" s="15" t="inlineStr">
        <is>
          <t>ZHONGTONG</t>
        </is>
      </c>
      <c r="FJ2063" s="15" t="inlineStr">
        <is>
          <t>LCK6122EVG</t>
        </is>
      </c>
      <c r="FK2063" s="15" t="n">
        <v>2025</v>
      </c>
      <c r="FL2063" s="15" t="inlineStr">
        <is>
          <t>B</t>
        </is>
      </c>
      <c r="FM2063" s="15" t="inlineStr">
        <is>
          <t>SAN JOSE</t>
        </is>
      </c>
      <c r="FN2063" s="15" t="inlineStr">
        <is>
          <t>San José 030 (José Besa 669)</t>
        </is>
      </c>
      <c r="FO2063" s="15" t="inlineStr">
        <is>
          <t>San Bernardo</t>
        </is>
      </c>
      <c r="FP2063" t="inlineStr">
        <is>
          <t>B</t>
        </is>
      </c>
    </row>
    <row r="2064">
      <c r="FC2064" t="inlineStr">
        <is>
          <t>Diccionario 3</t>
        </is>
      </c>
      <c r="FD2064" s="15" t="inlineStr">
        <is>
          <t>VFHJ59</t>
        </is>
      </c>
      <c r="FE2064" s="15" t="inlineStr">
        <is>
          <t>LDYECS317S0043935</t>
        </is>
      </c>
      <c r="FF2064" s="15" t="inlineStr">
        <is>
          <t>MDN35025010210</t>
        </is>
      </c>
      <c r="FG2064" s="15" t="inlineStr">
        <is>
          <t>Zhong Tong</t>
        </is>
      </c>
      <c r="FH2064" s="15" t="inlineStr">
        <is>
          <t>Lck6122evg</t>
        </is>
      </c>
      <c r="FI2064" s="15" t="inlineStr">
        <is>
          <t>ZHONGTONG</t>
        </is>
      </c>
      <c r="FJ2064" s="15" t="inlineStr">
        <is>
          <t>LCK6122EVG</t>
        </is>
      </c>
      <c r="FK2064" s="15" t="n">
        <v>2025</v>
      </c>
      <c r="FL2064" s="15" t="inlineStr">
        <is>
          <t>B</t>
        </is>
      </c>
      <c r="FM2064" s="15" t="inlineStr">
        <is>
          <t>SAN JOSE</t>
        </is>
      </c>
      <c r="FN2064" s="15" t="inlineStr">
        <is>
          <t>San José 030 (José Besa 669)</t>
        </is>
      </c>
      <c r="FO2064" s="15" t="inlineStr">
        <is>
          <t>San Bernardo</t>
        </is>
      </c>
      <c r="FP2064" t="inlineStr">
        <is>
          <t>B</t>
        </is>
      </c>
    </row>
    <row r="2065">
      <c r="FC2065" t="inlineStr">
        <is>
          <t>Diccionario 3</t>
        </is>
      </c>
      <c r="FD2065" s="15" t="inlineStr">
        <is>
          <t>VFHJ92</t>
        </is>
      </c>
      <c r="FE2065" s="15" t="inlineStr">
        <is>
          <t>LDYECS316S0043926</t>
        </is>
      </c>
      <c r="FF2065" s="15" t="inlineStr">
        <is>
          <t>MDN35025010044</t>
        </is>
      </c>
      <c r="FG2065" s="15" t="inlineStr">
        <is>
          <t>Zhong Tong</t>
        </is>
      </c>
      <c r="FH2065" s="15" t="inlineStr">
        <is>
          <t>Lck6122evg</t>
        </is>
      </c>
      <c r="FI2065" s="15" t="inlineStr">
        <is>
          <t>ZHONGTONG</t>
        </is>
      </c>
      <c r="FJ2065" s="15" t="inlineStr">
        <is>
          <t>LCK6122EVG</t>
        </is>
      </c>
      <c r="FK2065" s="15" t="n">
        <v>2025</v>
      </c>
      <c r="FL2065" s="15" t="inlineStr">
        <is>
          <t>B</t>
        </is>
      </c>
      <c r="FM2065" s="15" t="inlineStr">
        <is>
          <t>SAN JOSE</t>
        </is>
      </c>
      <c r="FN2065" s="15" t="inlineStr">
        <is>
          <t>San José 030 (José Besa 669)</t>
        </is>
      </c>
      <c r="FO2065" s="15" t="inlineStr">
        <is>
          <t>San Bernardo</t>
        </is>
      </c>
      <c r="FP2065" t="inlineStr">
        <is>
          <t>B</t>
        </is>
      </c>
    </row>
    <row r="2066">
      <c r="FC2066" t="inlineStr">
        <is>
          <t>Diccionario 3</t>
        </is>
      </c>
      <c r="FD2066" s="15" t="inlineStr">
        <is>
          <t>VFHJ69</t>
        </is>
      </c>
      <c r="FE2066" s="15" t="inlineStr">
        <is>
          <t>LDYECS31XS0043914</t>
        </is>
      </c>
      <c r="FF2066" s="15" t="inlineStr">
        <is>
          <t>MDN35025010074</t>
        </is>
      </c>
      <c r="FG2066" s="15" t="inlineStr">
        <is>
          <t>Zhong Tong</t>
        </is>
      </c>
      <c r="FH2066" s="15" t="inlineStr">
        <is>
          <t>Lck6122evg</t>
        </is>
      </c>
      <c r="FI2066" s="15" t="inlineStr">
        <is>
          <t>ZHONGTONG</t>
        </is>
      </c>
      <c r="FJ2066" s="15" t="inlineStr">
        <is>
          <t>LCK6122EVG</t>
        </is>
      </c>
      <c r="FK2066" s="15" t="n">
        <v>2025</v>
      </c>
      <c r="FL2066" s="15" t="inlineStr">
        <is>
          <t>B</t>
        </is>
      </c>
      <c r="FM2066" s="15" t="inlineStr">
        <is>
          <t>SAN JOSE</t>
        </is>
      </c>
      <c r="FN2066" s="15" t="inlineStr">
        <is>
          <t>San José 030 (José Besa 669)</t>
        </is>
      </c>
      <c r="FO2066" s="15" t="inlineStr">
        <is>
          <t>San Bernardo</t>
        </is>
      </c>
      <c r="FP2066" t="inlineStr">
        <is>
          <t>B</t>
        </is>
      </c>
    </row>
    <row r="2067">
      <c r="FC2067" t="inlineStr">
        <is>
          <t>Diccionario 3</t>
        </is>
      </c>
      <c r="FD2067" s="15" t="inlineStr">
        <is>
          <t>VFHJ77</t>
        </is>
      </c>
      <c r="FE2067" s="15" t="inlineStr">
        <is>
          <t>LDYECS310S0043906</t>
        </is>
      </c>
      <c r="FF2067" s="15" t="inlineStr">
        <is>
          <t>MDN35025010080</t>
        </is>
      </c>
      <c r="FG2067" s="15" t="inlineStr">
        <is>
          <t>Zhong Tong</t>
        </is>
      </c>
      <c r="FH2067" s="15" t="inlineStr">
        <is>
          <t>Lck6122evg</t>
        </is>
      </c>
      <c r="FI2067" s="15" t="inlineStr">
        <is>
          <t>ZHONGTONG</t>
        </is>
      </c>
      <c r="FJ2067" s="15" t="inlineStr">
        <is>
          <t>LCK6122EVG</t>
        </is>
      </c>
      <c r="FK2067" s="15" t="n">
        <v>2025</v>
      </c>
      <c r="FL2067" s="15" t="inlineStr">
        <is>
          <t>B</t>
        </is>
      </c>
      <c r="FM2067" s="15" t="inlineStr">
        <is>
          <t>SAN JOSE</t>
        </is>
      </c>
      <c r="FN2067" s="15" t="inlineStr">
        <is>
          <t>San José 030 (José Besa 669)</t>
        </is>
      </c>
      <c r="FO2067" s="15" t="inlineStr">
        <is>
          <t>San Bernardo</t>
        </is>
      </c>
      <c r="FP2067" t="inlineStr">
        <is>
          <t>B</t>
        </is>
      </c>
    </row>
    <row r="2068">
      <c r="FC2068" t="inlineStr">
        <is>
          <t>Diccionario 3</t>
        </is>
      </c>
      <c r="FD2068" s="15" t="inlineStr">
        <is>
          <t>VFHL62</t>
        </is>
      </c>
      <c r="FE2068" s="15" t="inlineStr">
        <is>
          <t>LDYECS31XS0043928</t>
        </is>
      </c>
      <c r="FF2068" s="15" t="inlineStr">
        <is>
          <t>MDN35025010051</t>
        </is>
      </c>
      <c r="FG2068" s="15" t="inlineStr">
        <is>
          <t>Zhong Tong</t>
        </is>
      </c>
      <c r="FH2068" s="15" t="inlineStr">
        <is>
          <t>Lck6122evg</t>
        </is>
      </c>
      <c r="FI2068" s="15" t="inlineStr">
        <is>
          <t>ZHONGTONG</t>
        </is>
      </c>
      <c r="FJ2068" s="15" t="inlineStr">
        <is>
          <t>LCK6122EVG</t>
        </is>
      </c>
      <c r="FK2068" s="15" t="n">
        <v>2025</v>
      </c>
      <c r="FL2068" s="15" t="inlineStr">
        <is>
          <t>B</t>
        </is>
      </c>
      <c r="FM2068" s="15" t="inlineStr">
        <is>
          <t>SAN JOSE</t>
        </is>
      </c>
      <c r="FN2068" s="15" t="inlineStr">
        <is>
          <t>San José 030 (José Besa 669)</t>
        </is>
      </c>
      <c r="FO2068" s="15" t="inlineStr">
        <is>
          <t>San Bernardo</t>
        </is>
      </c>
      <c r="FP2068" t="inlineStr">
        <is>
          <t>B</t>
        </is>
      </c>
    </row>
    <row r="2069">
      <c r="FC2069" t="inlineStr">
        <is>
          <t>Diccionario 3</t>
        </is>
      </c>
      <c r="FD2069" s="15" t="inlineStr">
        <is>
          <t>VFHL66</t>
        </is>
      </c>
      <c r="FE2069" s="15" t="inlineStr">
        <is>
          <t>LDYECS315S0043934</t>
        </is>
      </c>
      <c r="FF2069" s="15" t="inlineStr">
        <is>
          <t>MDN35025010214</t>
        </is>
      </c>
      <c r="FG2069" s="15" t="inlineStr">
        <is>
          <t>Zhong Tong</t>
        </is>
      </c>
      <c r="FH2069" s="15" t="inlineStr">
        <is>
          <t>Lck6122evg</t>
        </is>
      </c>
      <c r="FI2069" s="15" t="inlineStr">
        <is>
          <t>ZHONGTONG</t>
        </is>
      </c>
      <c r="FJ2069" s="15" t="inlineStr">
        <is>
          <t>LCK6122EVG</t>
        </is>
      </c>
      <c r="FK2069" s="15" t="n">
        <v>2025</v>
      </c>
      <c r="FL2069" s="15" t="inlineStr">
        <is>
          <t>B</t>
        </is>
      </c>
      <c r="FM2069" s="15" t="inlineStr">
        <is>
          <t>CERRILLOS</t>
        </is>
      </c>
      <c r="FN2069" s="15" t="inlineStr">
        <is>
          <t>Calle Uno 7371</t>
        </is>
      </c>
      <c r="FO2069" s="15" t="inlineStr">
        <is>
          <t>Huechuraba</t>
        </is>
      </c>
      <c r="FP2069" t="inlineStr">
        <is>
          <t>B</t>
        </is>
      </c>
    </row>
    <row r="2070">
      <c r="FC2070" t="inlineStr">
        <is>
          <t>Diccionario 3</t>
        </is>
      </c>
      <c r="FD2070" s="15" t="inlineStr">
        <is>
          <t>VFHL81</t>
        </is>
      </c>
      <c r="FE2070" s="15" t="inlineStr">
        <is>
          <t>LDYECS317S0043983</t>
        </is>
      </c>
      <c r="FF2070" s="15" t="inlineStr">
        <is>
          <t>MDN35025020100</t>
        </is>
      </c>
      <c r="FG2070" s="15" t="inlineStr">
        <is>
          <t>Zhong Tong</t>
        </is>
      </c>
      <c r="FH2070" s="15" t="inlineStr">
        <is>
          <t>Lck6122evg</t>
        </is>
      </c>
      <c r="FI2070" s="15" t="inlineStr">
        <is>
          <t>ZHONGTONG</t>
        </is>
      </c>
      <c r="FJ2070" s="15" t="inlineStr">
        <is>
          <t>LCK6122EVG</t>
        </is>
      </c>
      <c r="FK2070" s="15" t="n">
        <v>2025</v>
      </c>
      <c r="FL2070" s="15" t="inlineStr">
        <is>
          <t>B</t>
        </is>
      </c>
      <c r="FM2070" s="15" t="inlineStr">
        <is>
          <t>LOS LIBERTADORES</t>
        </is>
      </c>
      <c r="FN2070" s="15" t="inlineStr">
        <is>
          <t>Los Liberadores 6450, Lote 4A</t>
        </is>
      </c>
      <c r="FO2070" s="15" t="inlineStr">
        <is>
          <t>Huechuraba</t>
        </is>
      </c>
      <c r="FP2070" t="inlineStr">
        <is>
          <t>B</t>
        </is>
      </c>
    </row>
    <row r="2071">
      <c r="FC2071" t="inlineStr">
        <is>
          <t>Diccionario 3</t>
        </is>
      </c>
      <c r="FD2071" s="15" t="inlineStr">
        <is>
          <t>VFHS85</t>
        </is>
      </c>
      <c r="FE2071" s="15" t="inlineStr">
        <is>
          <t>LDYECS315S0043979</t>
        </is>
      </c>
      <c r="FF2071" s="15" t="inlineStr">
        <is>
          <t>MDN35025020094</t>
        </is>
      </c>
      <c r="FG2071" s="15" t="inlineStr">
        <is>
          <t>Zhong Tong</t>
        </is>
      </c>
      <c r="FH2071" s="15" t="inlineStr">
        <is>
          <t>Lck6122evg</t>
        </is>
      </c>
      <c r="FI2071" s="15" t="inlineStr">
        <is>
          <t>ZHONGTONG</t>
        </is>
      </c>
      <c r="FJ2071" s="15" t="inlineStr">
        <is>
          <t>LCK6122EVG</t>
        </is>
      </c>
      <c r="FK2071" s="15" t="n">
        <v>2025</v>
      </c>
      <c r="FL2071" s="15" t="inlineStr">
        <is>
          <t>B</t>
        </is>
      </c>
      <c r="FM2071" s="15" t="inlineStr">
        <is>
          <t>LOS LIBERTADORES</t>
        </is>
      </c>
      <c r="FN2071" s="15" t="inlineStr">
        <is>
          <t>Los Liberadores 6450, Lote 4A</t>
        </is>
      </c>
      <c r="FO2071" s="15" t="inlineStr">
        <is>
          <t>Huechuraba</t>
        </is>
      </c>
      <c r="FP2071" t="inlineStr">
        <is>
          <t>B</t>
        </is>
      </c>
    </row>
    <row r="2072">
      <c r="FC2072" t="inlineStr">
        <is>
          <t>Diccionario 3</t>
        </is>
      </c>
      <c r="FD2072" s="15" t="inlineStr">
        <is>
          <t>VFHS95</t>
        </is>
      </c>
      <c r="FE2072" s="15" t="inlineStr">
        <is>
          <t>LDYECS314S0043956</t>
        </is>
      </c>
      <c r="FF2072" s="15" t="inlineStr">
        <is>
          <t>MDN35025020090</t>
        </is>
      </c>
      <c r="FG2072" s="15" t="inlineStr">
        <is>
          <t>Zhong Tong</t>
        </is>
      </c>
      <c r="FH2072" s="15" t="inlineStr">
        <is>
          <t>Lck6122evg</t>
        </is>
      </c>
      <c r="FI2072" s="15" t="inlineStr">
        <is>
          <t>ZHONGTONG</t>
        </is>
      </c>
      <c r="FJ2072" s="15" t="inlineStr">
        <is>
          <t>LCK6122EVG</t>
        </is>
      </c>
      <c r="FK2072" s="15" t="n">
        <v>2025</v>
      </c>
      <c r="FL2072" s="15" t="inlineStr">
        <is>
          <t>B</t>
        </is>
      </c>
      <c r="FM2072" s="15" t="inlineStr">
        <is>
          <t>LOS LIBERTADORES</t>
        </is>
      </c>
      <c r="FN2072" s="15" t="inlineStr">
        <is>
          <t>Los Liberadores 6450, Lote 4A</t>
        </is>
      </c>
      <c r="FO2072" s="15" t="inlineStr">
        <is>
          <t>Huechuraba</t>
        </is>
      </c>
      <c r="FP2072" t="inlineStr">
        <is>
          <t>B</t>
        </is>
      </c>
    </row>
    <row r="2073">
      <c r="FC2073" t="inlineStr">
        <is>
          <t>Diccionario 3</t>
        </is>
      </c>
      <c r="FD2073" s="15" t="inlineStr">
        <is>
          <t>VFHS98</t>
        </is>
      </c>
      <c r="FE2073" s="15" t="inlineStr">
        <is>
          <t>LDYECS316S0043957</t>
        </is>
      </c>
      <c r="FF2073" s="15" t="inlineStr">
        <is>
          <t>MDN35025020069</t>
        </is>
      </c>
      <c r="FG2073" s="15" t="inlineStr">
        <is>
          <t>Zhong Tong</t>
        </is>
      </c>
      <c r="FH2073" s="15" t="inlineStr">
        <is>
          <t>Lck6122evg</t>
        </is>
      </c>
      <c r="FI2073" s="15" t="inlineStr">
        <is>
          <t>ZHONGTONG</t>
        </is>
      </c>
      <c r="FJ2073" s="15" t="inlineStr">
        <is>
          <t>LCK6122EVG</t>
        </is>
      </c>
      <c r="FK2073" s="15" t="n">
        <v>2025</v>
      </c>
      <c r="FL2073" s="15" t="inlineStr">
        <is>
          <t>B</t>
        </is>
      </c>
      <c r="FM2073" s="15" t="inlineStr">
        <is>
          <t>SAN JOSE</t>
        </is>
      </c>
      <c r="FN2073" s="15" t="inlineStr">
        <is>
          <t>San José 030 (José Besa 669)</t>
        </is>
      </c>
      <c r="FO2073" s="15" t="inlineStr">
        <is>
          <t>San Bernardo</t>
        </is>
      </c>
      <c r="FP2073" t="inlineStr">
        <is>
          <t>B</t>
        </is>
      </c>
    </row>
    <row r="2074">
      <c r="FC2074" t="inlineStr">
        <is>
          <t>Diccionario 3</t>
        </is>
      </c>
      <c r="FD2074" s="15" t="inlineStr">
        <is>
          <t>VFHT45</t>
        </is>
      </c>
      <c r="FE2074" s="15" t="inlineStr">
        <is>
          <t>LDYECS319S0043953</t>
        </is>
      </c>
      <c r="FF2074" s="15" t="inlineStr">
        <is>
          <t>MDN35025020052</t>
        </is>
      </c>
      <c r="FG2074" s="15" t="inlineStr">
        <is>
          <t>Zhong Tong</t>
        </is>
      </c>
      <c r="FH2074" s="15" t="inlineStr">
        <is>
          <t>Lck6122evg</t>
        </is>
      </c>
      <c r="FI2074" s="15" t="inlineStr">
        <is>
          <t>ZHONGTONG</t>
        </is>
      </c>
      <c r="FJ2074" s="15" t="inlineStr">
        <is>
          <t>LCK6122EVG</t>
        </is>
      </c>
      <c r="FK2074" s="15" t="n">
        <v>2025</v>
      </c>
      <c r="FL2074" s="15" t="inlineStr">
        <is>
          <t>B</t>
        </is>
      </c>
      <c r="FM2074" s="15" t="inlineStr">
        <is>
          <t>SAN JOSE</t>
        </is>
      </c>
      <c r="FN2074" s="15" t="inlineStr">
        <is>
          <t>San José 030 (José Besa 669)</t>
        </is>
      </c>
      <c r="FO2074" s="15" t="inlineStr">
        <is>
          <t>San Bernardo</t>
        </is>
      </c>
      <c r="FP2074" t="inlineStr">
        <is>
          <t>B</t>
        </is>
      </c>
    </row>
    <row r="2075">
      <c r="FC2075" t="inlineStr">
        <is>
          <t>Diccionario 3</t>
        </is>
      </c>
      <c r="FD2075" s="15" t="inlineStr">
        <is>
          <t>VFHT55</t>
        </is>
      </c>
      <c r="FE2075" s="15" t="inlineStr">
        <is>
          <t>LDYECS310S0043954</t>
        </is>
      </c>
      <c r="FF2075" s="15" t="inlineStr">
        <is>
          <t>MDN35025020088</t>
        </is>
      </c>
      <c r="FG2075" s="15" t="inlineStr">
        <is>
          <t>Zhong Tong</t>
        </is>
      </c>
      <c r="FH2075" s="15" t="inlineStr">
        <is>
          <t>Lck6122evg</t>
        </is>
      </c>
      <c r="FI2075" s="15" t="inlineStr">
        <is>
          <t>ZHONGTONG</t>
        </is>
      </c>
      <c r="FJ2075" s="15" t="inlineStr">
        <is>
          <t>LCK6122EVG</t>
        </is>
      </c>
      <c r="FK2075" s="15" t="n">
        <v>2025</v>
      </c>
      <c r="FL2075" s="15" t="inlineStr">
        <is>
          <t>B</t>
        </is>
      </c>
      <c r="FM2075" s="15" t="inlineStr">
        <is>
          <t>SAN JOSE</t>
        </is>
      </c>
      <c r="FN2075" s="15" t="inlineStr">
        <is>
          <t>San José 030 (José Besa 669)</t>
        </is>
      </c>
      <c r="FO2075" s="15" t="inlineStr">
        <is>
          <t>San Bernardo</t>
        </is>
      </c>
      <c r="FP2075" t="inlineStr">
        <is>
          <t>B</t>
        </is>
      </c>
    </row>
    <row r="2076">
      <c r="FC2076" t="inlineStr">
        <is>
          <t>Diccionario 3</t>
        </is>
      </c>
      <c r="FD2076" s="15" t="inlineStr">
        <is>
          <t>VFHK16</t>
        </is>
      </c>
      <c r="FE2076" s="15" t="inlineStr">
        <is>
          <t>LDYECS311S0043915</t>
        </is>
      </c>
      <c r="FF2076" s="15" t="inlineStr">
        <is>
          <t>MDN35025010066</t>
        </is>
      </c>
      <c r="FG2076" s="15" t="inlineStr">
        <is>
          <t>Zhong Tong</t>
        </is>
      </c>
      <c r="FH2076" s="15" t="inlineStr">
        <is>
          <t>Lck6122evg</t>
        </is>
      </c>
      <c r="FI2076" s="15" t="inlineStr">
        <is>
          <t>ZHONGTONG</t>
        </is>
      </c>
      <c r="FJ2076" s="15" t="inlineStr">
        <is>
          <t>LCK6122EVG</t>
        </is>
      </c>
      <c r="FK2076" s="15" t="n">
        <v>2025</v>
      </c>
      <c r="FL2076" s="15" t="inlineStr">
        <is>
          <t>B</t>
        </is>
      </c>
      <c r="FM2076" s="15" t="inlineStr">
        <is>
          <t>SAN JOSE</t>
        </is>
      </c>
      <c r="FN2076" s="15" t="inlineStr">
        <is>
          <t>San José 030 (José Besa 669)</t>
        </is>
      </c>
      <c r="FO2076" s="15" t="inlineStr">
        <is>
          <t>San Bernardo</t>
        </is>
      </c>
      <c r="FP2076" t="inlineStr">
        <is>
          <t>B</t>
        </is>
      </c>
    </row>
    <row r="2077">
      <c r="FC2077" t="inlineStr">
        <is>
          <t>Diccionario 3</t>
        </is>
      </c>
      <c r="FD2077" s="15" t="inlineStr">
        <is>
          <t>VFHT73</t>
        </is>
      </c>
      <c r="FE2077" s="15" t="inlineStr">
        <is>
          <t>LDYECS319S0043984</t>
        </is>
      </c>
      <c r="FF2077" s="15" t="inlineStr">
        <is>
          <t>MDN35025020097</t>
        </is>
      </c>
      <c r="FG2077" s="15" t="inlineStr">
        <is>
          <t>Zhong Tong</t>
        </is>
      </c>
      <c r="FH2077" s="15" t="inlineStr">
        <is>
          <t>Lck6122evg</t>
        </is>
      </c>
      <c r="FI2077" s="15" t="inlineStr">
        <is>
          <t>ZHONGTONG</t>
        </is>
      </c>
      <c r="FJ2077" s="15" t="inlineStr">
        <is>
          <t>LCK6122EVG</t>
        </is>
      </c>
      <c r="FK2077" s="15" t="n">
        <v>2025</v>
      </c>
      <c r="FL2077" s="15" t="inlineStr">
        <is>
          <t>B</t>
        </is>
      </c>
      <c r="FM2077" s="15" t="inlineStr">
        <is>
          <t>CERRILLOS</t>
        </is>
      </c>
      <c r="FN2077" s="15" t="inlineStr">
        <is>
          <t>Calle Uno 7371</t>
        </is>
      </c>
      <c r="FO2077" s="15" t="inlineStr">
        <is>
          <t>Cerrillos</t>
        </is>
      </c>
      <c r="FP2077" t="inlineStr">
        <is>
          <t>B</t>
        </is>
      </c>
    </row>
    <row r="2078">
      <c r="FC2078" t="inlineStr">
        <is>
          <t>Diccionario 3</t>
        </is>
      </c>
      <c r="FD2078" s="15" t="inlineStr">
        <is>
          <t>VFHT80</t>
        </is>
      </c>
      <c r="FE2078" s="15" t="inlineStr">
        <is>
          <t>LDYECS314S0043987</t>
        </is>
      </c>
      <c r="FF2078" s="15" t="inlineStr">
        <is>
          <t>MDN35025020056</t>
        </is>
      </c>
      <c r="FG2078" s="15" t="inlineStr">
        <is>
          <t>Zhong Tong</t>
        </is>
      </c>
      <c r="FH2078" s="15" t="inlineStr">
        <is>
          <t>Lck6122evg</t>
        </is>
      </c>
      <c r="FI2078" s="15" t="inlineStr">
        <is>
          <t>ZHONGTONG</t>
        </is>
      </c>
      <c r="FJ2078" s="15" t="inlineStr">
        <is>
          <t>LCK6122EVG</t>
        </is>
      </c>
      <c r="FK2078" s="15" t="n">
        <v>2025</v>
      </c>
      <c r="FL2078" s="15" t="inlineStr">
        <is>
          <t>B</t>
        </is>
      </c>
      <c r="FM2078" s="15" t="inlineStr">
        <is>
          <t>LOS LIBERTADORES</t>
        </is>
      </c>
      <c r="FN2078" s="15" t="inlineStr">
        <is>
          <t>Los Liberadores 6450, Lote 4A</t>
        </is>
      </c>
      <c r="FO2078" s="15" t="inlineStr">
        <is>
          <t>Huechuraba</t>
        </is>
      </c>
      <c r="FP2078" t="inlineStr">
        <is>
          <t>B</t>
        </is>
      </c>
    </row>
    <row r="2079">
      <c r="FC2079" t="inlineStr">
        <is>
          <t>Diccionario 3</t>
        </is>
      </c>
      <c r="FD2079" s="15" t="inlineStr">
        <is>
          <t>VFHT81</t>
        </is>
      </c>
      <c r="FE2079" s="15" t="inlineStr">
        <is>
          <t>LDYECS314S0043973</t>
        </is>
      </c>
      <c r="FF2079" s="15" t="inlineStr">
        <is>
          <t>MDN35025020087</t>
        </is>
      </c>
      <c r="FG2079" s="15" t="inlineStr">
        <is>
          <t>Zhong Tong</t>
        </is>
      </c>
      <c r="FH2079" s="15" t="inlineStr">
        <is>
          <t>Lck6122evg</t>
        </is>
      </c>
      <c r="FI2079" s="15" t="inlineStr">
        <is>
          <t>ZHONGTONG</t>
        </is>
      </c>
      <c r="FJ2079" s="15" t="inlineStr">
        <is>
          <t>LCK6122EVG</t>
        </is>
      </c>
      <c r="FK2079" s="15" t="n">
        <v>2025</v>
      </c>
      <c r="FL2079" s="15" t="inlineStr">
        <is>
          <t>B</t>
        </is>
      </c>
      <c r="FM2079" s="15" t="inlineStr">
        <is>
          <t>LOS LIBERTADORES</t>
        </is>
      </c>
      <c r="FN2079" s="15" t="inlineStr">
        <is>
          <t>Los Liberadores 6450, Lote 4A</t>
        </is>
      </c>
      <c r="FO2079" s="15" t="inlineStr">
        <is>
          <t>Huechuraba</t>
        </is>
      </c>
      <c r="FP2079" t="inlineStr">
        <is>
          <t>B</t>
        </is>
      </c>
    </row>
    <row r="2080">
      <c r="FC2080" t="inlineStr">
        <is>
          <t>Diccionario 3</t>
        </is>
      </c>
      <c r="FD2080" s="15" t="inlineStr">
        <is>
          <t>VFHV57</t>
        </is>
      </c>
      <c r="FE2080" s="15" t="inlineStr">
        <is>
          <t>LDYECS316S0043974</t>
        </is>
      </c>
      <c r="FF2080" s="15" t="inlineStr">
        <is>
          <t>MDN35025020079</t>
        </is>
      </c>
      <c r="FG2080" s="15" t="inlineStr">
        <is>
          <t>Zhong Tong</t>
        </is>
      </c>
      <c r="FH2080" s="15" t="inlineStr">
        <is>
          <t>Lck6122evg</t>
        </is>
      </c>
      <c r="FI2080" s="15" t="inlineStr">
        <is>
          <t>ZHONGTONG</t>
        </is>
      </c>
      <c r="FJ2080" s="15" t="inlineStr">
        <is>
          <t>LCK6122EVG</t>
        </is>
      </c>
      <c r="FK2080" s="15" t="n">
        <v>2025</v>
      </c>
      <c r="FL2080" s="15" t="inlineStr">
        <is>
          <t>B</t>
        </is>
      </c>
      <c r="FM2080" s="15" t="inlineStr">
        <is>
          <t>LOS LIBERTADORES</t>
        </is>
      </c>
      <c r="FN2080" s="15" t="inlineStr">
        <is>
          <t>Los Liberadores 6450, Lote 4A</t>
        </is>
      </c>
      <c r="FO2080" s="15" t="inlineStr">
        <is>
          <t>Huechuraba</t>
        </is>
      </c>
      <c r="FP2080" t="inlineStr">
        <is>
          <t>B</t>
        </is>
      </c>
    </row>
    <row r="2081">
      <c r="FC2081" t="inlineStr">
        <is>
          <t>Diccionario 3</t>
        </is>
      </c>
      <c r="FD2081" s="15" t="inlineStr">
        <is>
          <t>VFHV67</t>
        </is>
      </c>
      <c r="FE2081" s="15" t="inlineStr">
        <is>
          <t>LDYECS311S0043980</t>
        </is>
      </c>
      <c r="FF2081" s="15" t="inlineStr">
        <is>
          <t>MDN35025020095</t>
        </is>
      </c>
      <c r="FG2081" s="15" t="inlineStr">
        <is>
          <t>Zhong Tong</t>
        </is>
      </c>
      <c r="FH2081" s="15" t="inlineStr">
        <is>
          <t>Lck6122evg</t>
        </is>
      </c>
      <c r="FI2081" s="15" t="inlineStr">
        <is>
          <t>ZHONGTONG</t>
        </is>
      </c>
      <c r="FJ2081" s="15" t="inlineStr">
        <is>
          <t>LCK6122EVG</t>
        </is>
      </c>
      <c r="FK2081" s="15" t="n">
        <v>2025</v>
      </c>
      <c r="FL2081" s="15" t="inlineStr">
        <is>
          <t>B</t>
        </is>
      </c>
      <c r="FM2081" s="15" t="inlineStr">
        <is>
          <t>LOS LIBERTADORES</t>
        </is>
      </c>
      <c r="FN2081" s="15" t="inlineStr">
        <is>
          <t>Los Liberadores 6450, Lote 4A</t>
        </is>
      </c>
      <c r="FO2081" s="15" t="inlineStr">
        <is>
          <t>Huechuraba</t>
        </is>
      </c>
      <c r="FP2081" t="inlineStr">
        <is>
          <t>B</t>
        </is>
      </c>
    </row>
    <row r="2082">
      <c r="FC2082" t="inlineStr">
        <is>
          <t>Diccionario 3</t>
        </is>
      </c>
      <c r="FD2082" s="15" t="inlineStr">
        <is>
          <t>VFHV82</t>
        </is>
      </c>
      <c r="FE2082" s="15" t="inlineStr">
        <is>
          <t>LDYECS319S0044004</t>
        </is>
      </c>
      <c r="FF2082" s="15" t="inlineStr">
        <is>
          <t>MDN35025020057</t>
        </is>
      </c>
      <c r="FG2082" s="15" t="inlineStr">
        <is>
          <t>Zhong Tong</t>
        </is>
      </c>
      <c r="FH2082" s="15" t="inlineStr">
        <is>
          <t>Lck6122evg</t>
        </is>
      </c>
      <c r="FI2082" s="15" t="inlineStr">
        <is>
          <t>ZHONGTONG</t>
        </is>
      </c>
      <c r="FJ2082" s="15" t="inlineStr">
        <is>
          <t>LCK6122EVG</t>
        </is>
      </c>
      <c r="FK2082" s="15" t="n">
        <v>2025</v>
      </c>
      <c r="FL2082" s="15" t="inlineStr">
        <is>
          <t>B</t>
        </is>
      </c>
      <c r="FM2082" s="15" t="inlineStr">
        <is>
          <t>LOS LIBERTADORES</t>
        </is>
      </c>
      <c r="FN2082" s="15" t="inlineStr">
        <is>
          <t>Los Liberadores 6450, Lote 4A</t>
        </is>
      </c>
      <c r="FO2082" s="15" t="inlineStr">
        <is>
          <t>Huechuraba</t>
        </is>
      </c>
      <c r="FP2082" t="inlineStr">
        <is>
          <t>B</t>
        </is>
      </c>
    </row>
    <row r="2083">
      <c r="FC2083" t="inlineStr">
        <is>
          <t>Diccionario 3</t>
        </is>
      </c>
      <c r="FD2083" s="15" t="inlineStr">
        <is>
          <t>VFHV87</t>
        </is>
      </c>
      <c r="FE2083" s="15" t="inlineStr">
        <is>
          <t>LDYECS312S0043955</t>
        </is>
      </c>
      <c r="FF2083" s="15" t="inlineStr">
        <is>
          <t>MDN35025020084</t>
        </is>
      </c>
      <c r="FG2083" s="15" t="inlineStr">
        <is>
          <t>Zhong Tong</t>
        </is>
      </c>
      <c r="FH2083" s="15" t="inlineStr">
        <is>
          <t>Lck6122evg</t>
        </is>
      </c>
      <c r="FI2083" s="15" t="inlineStr">
        <is>
          <t>ZHONGTONG</t>
        </is>
      </c>
      <c r="FJ2083" s="15" t="inlineStr">
        <is>
          <t>LCK6122EVG</t>
        </is>
      </c>
      <c r="FK2083" s="15" t="n">
        <v>2025</v>
      </c>
      <c r="FL2083" s="15" t="inlineStr">
        <is>
          <t>B</t>
        </is>
      </c>
      <c r="FM2083" s="15" t="inlineStr">
        <is>
          <t>LOS LIBERTADORES</t>
        </is>
      </c>
      <c r="FN2083" s="15" t="inlineStr">
        <is>
          <t>Los Liberadores 6450, Lote 4A</t>
        </is>
      </c>
      <c r="FO2083" s="15" t="inlineStr">
        <is>
          <t>Huechuraba</t>
        </is>
      </c>
      <c r="FP2083" t="inlineStr">
        <is>
          <t>B</t>
        </is>
      </c>
    </row>
    <row r="2084">
      <c r="FC2084" t="inlineStr">
        <is>
          <t>Diccionario 3</t>
        </is>
      </c>
      <c r="FD2084" s="15" t="inlineStr">
        <is>
          <t>VFHW46</t>
        </is>
      </c>
      <c r="FE2084" s="15" t="inlineStr">
        <is>
          <t>LDYECS318S0043989</t>
        </is>
      </c>
      <c r="FF2084" s="15" t="inlineStr">
        <is>
          <t>MDN35025020060</t>
        </is>
      </c>
      <c r="FG2084" s="15" t="inlineStr">
        <is>
          <t>Zhong Tong</t>
        </is>
      </c>
      <c r="FH2084" s="15" t="inlineStr">
        <is>
          <t>Lck6122evg</t>
        </is>
      </c>
      <c r="FI2084" s="15" t="inlineStr">
        <is>
          <t>ZHONGTONG</t>
        </is>
      </c>
      <c r="FJ2084" s="15" t="inlineStr">
        <is>
          <t>LCK6122EVG</t>
        </is>
      </c>
      <c r="FK2084" s="15" t="n">
        <v>2025</v>
      </c>
      <c r="FL2084" s="15" t="inlineStr">
        <is>
          <t>B</t>
        </is>
      </c>
      <c r="FM2084" s="15" t="inlineStr">
        <is>
          <t>LOS LIBERTADORES</t>
        </is>
      </c>
      <c r="FN2084" s="15" t="inlineStr">
        <is>
          <t>Los Liberadores 6450, Lote 4A</t>
        </is>
      </c>
      <c r="FO2084" s="15" t="inlineStr">
        <is>
          <t>Huechuraba</t>
        </is>
      </c>
      <c r="FP2084" t="inlineStr">
        <is>
          <t>B</t>
        </is>
      </c>
    </row>
    <row r="2085">
      <c r="FC2085" t="inlineStr">
        <is>
          <t>Diccionario 3</t>
        </is>
      </c>
      <c r="FD2085" s="15" t="inlineStr">
        <is>
          <t>VFHW51</t>
        </is>
      </c>
      <c r="FE2085" s="15" t="inlineStr">
        <is>
          <t>LDYECS311S0043977</t>
        </is>
      </c>
      <c r="FF2085" s="15" t="inlineStr">
        <is>
          <t>MDN35025020058</t>
        </is>
      </c>
      <c r="FG2085" s="15" t="inlineStr">
        <is>
          <t>Zhong Tong</t>
        </is>
      </c>
      <c r="FH2085" s="15" t="inlineStr">
        <is>
          <t>Lck6122evg</t>
        </is>
      </c>
      <c r="FI2085" s="15" t="inlineStr">
        <is>
          <t>ZHONGTONG</t>
        </is>
      </c>
      <c r="FJ2085" s="15" t="inlineStr">
        <is>
          <t>LCK6122EVG</t>
        </is>
      </c>
      <c r="FK2085" s="15" t="n">
        <v>2025</v>
      </c>
      <c r="FL2085" s="15" t="inlineStr">
        <is>
          <t>B</t>
        </is>
      </c>
      <c r="FM2085" s="15" t="inlineStr">
        <is>
          <t>LOS LIBERTADORES</t>
        </is>
      </c>
      <c r="FN2085" s="15" t="inlineStr">
        <is>
          <t>Los Liberadores 6450, Lote 4A</t>
        </is>
      </c>
      <c r="FO2085" s="15" t="inlineStr">
        <is>
          <t>Huechuraba</t>
        </is>
      </c>
      <c r="FP2085" t="inlineStr">
        <is>
          <t>B</t>
        </is>
      </c>
    </row>
    <row r="2086">
      <c r="FC2086" t="inlineStr">
        <is>
          <t>Diccionario 3</t>
        </is>
      </c>
      <c r="FD2086" s="15" t="inlineStr">
        <is>
          <t>VFHW63</t>
        </is>
      </c>
      <c r="FE2086" s="15" t="inlineStr">
        <is>
          <t>LDYECS318S0043975</t>
        </is>
      </c>
      <c r="FF2086" s="15" t="inlineStr">
        <is>
          <t>MDN35025020063</t>
        </is>
      </c>
      <c r="FG2086" s="15" t="inlineStr">
        <is>
          <t>Zhong Tong</t>
        </is>
      </c>
      <c r="FH2086" s="15" t="inlineStr">
        <is>
          <t>Lck6122evg</t>
        </is>
      </c>
      <c r="FI2086" s="15" t="inlineStr">
        <is>
          <t>ZHONGTONG</t>
        </is>
      </c>
      <c r="FJ2086" s="15" t="inlineStr">
        <is>
          <t>LCK6122EVG</t>
        </is>
      </c>
      <c r="FK2086" s="15" t="n">
        <v>2025</v>
      </c>
      <c r="FL2086" s="15" t="inlineStr">
        <is>
          <t>B</t>
        </is>
      </c>
      <c r="FM2086" s="15" t="inlineStr">
        <is>
          <t>LOS LIBERTADORES</t>
        </is>
      </c>
      <c r="FN2086" s="15" t="inlineStr">
        <is>
          <t>Los Liberadores 6450, Lote 4A</t>
        </is>
      </c>
      <c r="FO2086" s="15" t="inlineStr">
        <is>
          <t>Huechuraba</t>
        </is>
      </c>
      <c r="FP2086" t="inlineStr">
        <is>
          <t>B</t>
        </is>
      </c>
    </row>
    <row r="2087">
      <c r="FC2087" t="inlineStr">
        <is>
          <t>Diccionario 3</t>
        </is>
      </c>
      <c r="FD2087" s="15" t="inlineStr">
        <is>
          <t>VFHK27</t>
        </is>
      </c>
      <c r="FE2087" s="15" t="inlineStr">
        <is>
          <t>LDYECS312S0043910</t>
        </is>
      </c>
      <c r="FF2087" s="15" t="inlineStr">
        <is>
          <t>MDN35025010079</t>
        </is>
      </c>
      <c r="FG2087" s="15" t="inlineStr">
        <is>
          <t>Zhong Tong</t>
        </is>
      </c>
      <c r="FH2087" s="15" t="inlineStr">
        <is>
          <t>Lck6122evg</t>
        </is>
      </c>
      <c r="FI2087" s="15" t="inlineStr">
        <is>
          <t>ZHONGTONG</t>
        </is>
      </c>
      <c r="FJ2087" s="15" t="inlineStr">
        <is>
          <t>LCK6122EVG</t>
        </is>
      </c>
      <c r="FK2087" s="15" t="n">
        <v>2025</v>
      </c>
      <c r="FL2087" s="15" t="inlineStr">
        <is>
          <t>B</t>
        </is>
      </c>
      <c r="FM2087" s="15" t="inlineStr">
        <is>
          <t>SAN JOSE</t>
        </is>
      </c>
      <c r="FN2087" s="15" t="inlineStr">
        <is>
          <t>San José 030 (José Besa 669)</t>
        </is>
      </c>
      <c r="FO2087" s="15" t="inlineStr">
        <is>
          <t>San Bernardo</t>
        </is>
      </c>
      <c r="FP2087" t="inlineStr">
        <is>
          <t>B</t>
        </is>
      </c>
    </row>
    <row r="2088">
      <c r="FC2088" t="inlineStr">
        <is>
          <t>Diccionario 3</t>
        </is>
      </c>
      <c r="FD2088" s="15" t="inlineStr">
        <is>
          <t>VFPB70</t>
        </is>
      </c>
      <c r="FE2088" s="15" t="inlineStr">
        <is>
          <t>LDYECS316S0043991</t>
        </is>
      </c>
      <c r="FF2088" s="15" t="inlineStr">
        <is>
          <t>MDN35025020122</t>
        </is>
      </c>
      <c r="FG2088" s="15" t="inlineStr">
        <is>
          <t>Zhong Tong</t>
        </is>
      </c>
      <c r="FH2088" s="15" t="inlineStr">
        <is>
          <t>Lck6122evg</t>
        </is>
      </c>
      <c r="FI2088" s="15" t="inlineStr">
        <is>
          <t>ZHONGTONG</t>
        </is>
      </c>
      <c r="FJ2088" s="15" t="inlineStr">
        <is>
          <t>LCK6122EVG</t>
        </is>
      </c>
      <c r="FK2088" s="15" t="n">
        <v>2025</v>
      </c>
      <c r="FL2088" s="15" t="inlineStr">
        <is>
          <t>B</t>
        </is>
      </c>
      <c r="FM2088" s="15" t="inlineStr">
        <is>
          <t>LOS LIBERTADORES</t>
        </is>
      </c>
      <c r="FN2088" s="15" t="inlineStr">
        <is>
          <t>Los Liberadores 6450, Lote 4A</t>
        </is>
      </c>
      <c r="FO2088" s="15" t="inlineStr">
        <is>
          <t>Huechuraba</t>
        </is>
      </c>
      <c r="FP2088" t="inlineStr">
        <is>
          <t>B</t>
        </is>
      </c>
    </row>
    <row r="2089">
      <c r="FC2089" t="inlineStr">
        <is>
          <t>Diccionario 3</t>
        </is>
      </c>
      <c r="FD2089" s="15" t="inlineStr">
        <is>
          <t>VFPC10</t>
        </is>
      </c>
      <c r="FE2089" s="15" t="inlineStr">
        <is>
          <t>LDYECS317S0044115</t>
        </is>
      </c>
      <c r="FF2089" s="15" t="inlineStr">
        <is>
          <t>MDN35025010018</t>
        </is>
      </c>
      <c r="FG2089" s="15" t="inlineStr">
        <is>
          <t>Zhong Tong</t>
        </is>
      </c>
      <c r="FH2089" s="15" t="inlineStr">
        <is>
          <t>Lck6122evg</t>
        </is>
      </c>
      <c r="FI2089" s="15" t="inlineStr">
        <is>
          <t>ZHONGTONG</t>
        </is>
      </c>
      <c r="FJ2089" s="15" t="inlineStr">
        <is>
          <t>LCK6122EVG</t>
        </is>
      </c>
      <c r="FK2089" s="15" t="n">
        <v>2025</v>
      </c>
      <c r="FL2089" s="15" t="inlineStr">
        <is>
          <t>B</t>
        </is>
      </c>
      <c r="FM2089" s="15" t="inlineStr">
        <is>
          <t>LOS LIBERTADORES</t>
        </is>
      </c>
      <c r="FN2089" s="15" t="inlineStr">
        <is>
          <t>Los Liberadores 6450, Lote 4A</t>
        </is>
      </c>
      <c r="FO2089" s="15" t="inlineStr">
        <is>
          <t>Huechuraba</t>
        </is>
      </c>
      <c r="FP2089" t="inlineStr">
        <is>
          <t>B</t>
        </is>
      </c>
    </row>
    <row r="2090">
      <c r="FC2090" t="inlineStr">
        <is>
          <t>Diccionario 3</t>
        </is>
      </c>
      <c r="FD2090" s="15" t="inlineStr">
        <is>
          <t>VFPC31</t>
        </is>
      </c>
      <c r="FE2090" s="15" t="inlineStr">
        <is>
          <t>LDYECS315S0043996</t>
        </is>
      </c>
      <c r="FF2090" s="15" t="inlineStr">
        <is>
          <t>MDN35025020055</t>
        </is>
      </c>
      <c r="FG2090" s="15" t="inlineStr">
        <is>
          <t>Zhong Tong</t>
        </is>
      </c>
      <c r="FH2090" s="15" t="inlineStr">
        <is>
          <t>Lck6122evg</t>
        </is>
      </c>
      <c r="FI2090" s="15" t="inlineStr">
        <is>
          <t>ZHONGTONG</t>
        </is>
      </c>
      <c r="FJ2090" s="15" t="inlineStr">
        <is>
          <t>LCK6122EVG</t>
        </is>
      </c>
      <c r="FK2090" s="15" t="n">
        <v>2025</v>
      </c>
      <c r="FL2090" s="15" t="inlineStr">
        <is>
          <t>B</t>
        </is>
      </c>
      <c r="FM2090" s="15" t="inlineStr">
        <is>
          <t>LOS LIBERTADORES</t>
        </is>
      </c>
      <c r="FN2090" s="15" t="inlineStr">
        <is>
          <t>Los Liberadores 6450, Lote 4A</t>
        </is>
      </c>
      <c r="FO2090" s="15" t="inlineStr">
        <is>
          <t>Huechuraba</t>
        </is>
      </c>
      <c r="FP2090" t="inlineStr">
        <is>
          <t>B</t>
        </is>
      </c>
    </row>
    <row r="2091">
      <c r="FC2091" t="inlineStr">
        <is>
          <t>Diccionario 3</t>
        </is>
      </c>
      <c r="FD2091" s="15" t="inlineStr">
        <is>
          <t>VFPC80</t>
        </is>
      </c>
      <c r="FE2091" s="15" t="inlineStr">
        <is>
          <t>LDYECS313S0043978</t>
        </is>
      </c>
      <c r="FF2091" s="15" t="inlineStr">
        <is>
          <t>MDN35025020093</t>
        </is>
      </c>
      <c r="FG2091" s="15" t="inlineStr">
        <is>
          <t>Zhong Tong</t>
        </is>
      </c>
      <c r="FH2091" s="15" t="inlineStr">
        <is>
          <t>Lck6122evg</t>
        </is>
      </c>
      <c r="FI2091" s="15" t="inlineStr">
        <is>
          <t>ZHONGTONG</t>
        </is>
      </c>
      <c r="FJ2091" s="15" t="inlineStr">
        <is>
          <t>LCK6122EVG</t>
        </is>
      </c>
      <c r="FK2091" s="15" t="n">
        <v>2025</v>
      </c>
      <c r="FL2091" s="15" t="inlineStr">
        <is>
          <t>B</t>
        </is>
      </c>
      <c r="FM2091" s="15" t="inlineStr">
        <is>
          <t>LOS LIBERTADORES</t>
        </is>
      </c>
      <c r="FN2091" s="15" t="inlineStr">
        <is>
          <t>Los Liberadores 6450, Lote 4A</t>
        </is>
      </c>
      <c r="FO2091" s="15" t="inlineStr">
        <is>
          <t>Huechuraba</t>
        </is>
      </c>
      <c r="FP2091" t="inlineStr">
        <is>
          <t>B</t>
        </is>
      </c>
    </row>
    <row r="2092">
      <c r="FC2092" t="inlineStr">
        <is>
          <t>Diccionario 3</t>
        </is>
      </c>
      <c r="FD2092" s="15" t="inlineStr">
        <is>
          <t>VFPC51</t>
        </is>
      </c>
      <c r="FE2092" s="15" t="inlineStr">
        <is>
          <t>LDYECS31XS0044027</t>
        </is>
      </c>
      <c r="FF2092" s="15" t="inlineStr">
        <is>
          <t>MDN35025020112</t>
        </is>
      </c>
      <c r="FG2092" s="15" t="inlineStr">
        <is>
          <t>Zhong Tong</t>
        </is>
      </c>
      <c r="FH2092" s="15" t="inlineStr">
        <is>
          <t>Lck6122evg</t>
        </is>
      </c>
      <c r="FI2092" s="15" t="inlineStr">
        <is>
          <t>ZHONGTONG</t>
        </is>
      </c>
      <c r="FJ2092" s="15" t="inlineStr">
        <is>
          <t>LCK6122EVG</t>
        </is>
      </c>
      <c r="FK2092" s="15" t="n">
        <v>2025</v>
      </c>
      <c r="FL2092" s="15" t="inlineStr">
        <is>
          <t>B</t>
        </is>
      </c>
      <c r="FM2092" s="15" t="inlineStr">
        <is>
          <t>LOS LIBERTADORES</t>
        </is>
      </c>
      <c r="FN2092" s="15" t="inlineStr">
        <is>
          <t>Los Liberadores 6450, Lote 4A</t>
        </is>
      </c>
      <c r="FO2092" s="15" t="inlineStr">
        <is>
          <t>Huechuraba</t>
        </is>
      </c>
      <c r="FP2092" t="inlineStr">
        <is>
          <t>B</t>
        </is>
      </c>
    </row>
    <row r="2093">
      <c r="FC2093" t="inlineStr">
        <is>
          <t>Diccionario 3</t>
        </is>
      </c>
      <c r="FD2093" s="15" t="inlineStr">
        <is>
          <t>VFPD84</t>
        </is>
      </c>
      <c r="FE2093" s="15" t="inlineStr">
        <is>
          <t>LDYECS315S0043982</t>
        </is>
      </c>
      <c r="FF2093" s="15" t="inlineStr">
        <is>
          <t>MDN35025020067</t>
        </is>
      </c>
      <c r="FG2093" s="15" t="inlineStr">
        <is>
          <t>Zhong Tong</t>
        </is>
      </c>
      <c r="FH2093" s="15" t="inlineStr">
        <is>
          <t>Lck6122evg</t>
        </is>
      </c>
      <c r="FI2093" s="15" t="inlineStr">
        <is>
          <t>ZHONGTONG</t>
        </is>
      </c>
      <c r="FJ2093" s="15" t="inlineStr">
        <is>
          <t>LCK6122EVG</t>
        </is>
      </c>
      <c r="FK2093" s="15" t="n">
        <v>2025</v>
      </c>
      <c r="FL2093" s="15" t="inlineStr">
        <is>
          <t>B</t>
        </is>
      </c>
      <c r="FM2093" s="15" t="inlineStr">
        <is>
          <t>LOS LIBERTADORES</t>
        </is>
      </c>
      <c r="FN2093" s="15" t="inlineStr">
        <is>
          <t>Los Liberadores 6450, Lote 4A</t>
        </is>
      </c>
      <c r="FO2093" s="15" t="inlineStr">
        <is>
          <t>Huechuraba</t>
        </is>
      </c>
      <c r="FP2093" t="inlineStr">
        <is>
          <t>B</t>
        </is>
      </c>
    </row>
    <row r="2094">
      <c r="FC2094" t="inlineStr">
        <is>
          <t>Diccionario 3</t>
        </is>
      </c>
      <c r="FD2094" s="15" t="inlineStr">
        <is>
          <t>VFPD94</t>
        </is>
      </c>
      <c r="FE2094" s="15" t="inlineStr">
        <is>
          <t>LDYECS317S0043997</t>
        </is>
      </c>
      <c r="FF2094" s="15" t="inlineStr">
        <is>
          <t>MDN35025020022</t>
        </is>
      </c>
      <c r="FG2094" s="15" t="inlineStr">
        <is>
          <t>Zhong Tong</t>
        </is>
      </c>
      <c r="FH2094" s="15" t="inlineStr">
        <is>
          <t>Lck6122evg</t>
        </is>
      </c>
      <c r="FI2094" s="15" t="inlineStr">
        <is>
          <t>ZHONGTONG</t>
        </is>
      </c>
      <c r="FJ2094" s="15" t="inlineStr">
        <is>
          <t>LCK6122EVG</t>
        </is>
      </c>
      <c r="FK2094" s="15" t="n">
        <v>2025</v>
      </c>
      <c r="FL2094" s="15" t="inlineStr">
        <is>
          <t>B</t>
        </is>
      </c>
      <c r="FM2094" s="15" t="inlineStr">
        <is>
          <t>LOS LIBERTADORES</t>
        </is>
      </c>
      <c r="FN2094" s="15" t="inlineStr">
        <is>
          <t>Los Liberadores 6450, Lote 4A</t>
        </is>
      </c>
      <c r="FO2094" s="15" t="inlineStr">
        <is>
          <t>Huechuraba</t>
        </is>
      </c>
      <c r="FP2094" t="inlineStr">
        <is>
          <t>B</t>
        </is>
      </c>
    </row>
    <row r="2095">
      <c r="FC2095" t="inlineStr">
        <is>
          <t>Diccionario 3</t>
        </is>
      </c>
      <c r="FD2095" s="15" t="inlineStr">
        <is>
          <t>VFHL60</t>
        </is>
      </c>
      <c r="FE2095" s="15" t="inlineStr">
        <is>
          <t>LDYECS314S0043911</t>
        </is>
      </c>
      <c r="FF2095" s="15" t="inlineStr">
        <is>
          <t>MDN35025010115</t>
        </is>
      </c>
      <c r="FG2095" s="15" t="inlineStr">
        <is>
          <t>Zhong Tong</t>
        </is>
      </c>
      <c r="FH2095" s="15" t="inlineStr">
        <is>
          <t>Lck6122evg</t>
        </is>
      </c>
      <c r="FI2095" s="15" t="inlineStr">
        <is>
          <t>ZHONGTONG</t>
        </is>
      </c>
      <c r="FJ2095" s="15" t="inlineStr">
        <is>
          <t>LCK6122EVG</t>
        </is>
      </c>
      <c r="FK2095" s="15" t="n">
        <v>2025</v>
      </c>
      <c r="FL2095" s="15" t="inlineStr">
        <is>
          <t>B</t>
        </is>
      </c>
      <c r="FM2095" s="15" t="inlineStr">
        <is>
          <t>LOS LIBERTADORES</t>
        </is>
      </c>
      <c r="FN2095" s="15" t="inlineStr">
        <is>
          <t>Los Liberadores 6450, Lote 4A</t>
        </is>
      </c>
      <c r="FO2095" s="15" t="inlineStr">
        <is>
          <t>Huechuraba</t>
        </is>
      </c>
      <c r="FP2095" t="inlineStr">
        <is>
          <t>B</t>
        </is>
      </c>
    </row>
    <row r="2096">
      <c r="FC2096" t="inlineStr">
        <is>
          <t>Diccionario 3</t>
        </is>
      </c>
      <c r="FD2096" s="15" t="inlineStr">
        <is>
          <t>VFHK31</t>
        </is>
      </c>
      <c r="FE2096" s="15" t="inlineStr">
        <is>
          <t>LDYECS314S0043925</t>
        </is>
      </c>
      <c r="FF2096" s="15" t="inlineStr">
        <is>
          <t>MDN35025010120</t>
        </is>
      </c>
      <c r="FG2096" s="15" t="inlineStr">
        <is>
          <t>Zhong Tong</t>
        </is>
      </c>
      <c r="FH2096" s="15" t="inlineStr">
        <is>
          <t>Lck6122evg</t>
        </is>
      </c>
      <c r="FI2096" s="15" t="inlineStr">
        <is>
          <t>ZHONGTONG</t>
        </is>
      </c>
      <c r="FJ2096" s="15" t="inlineStr">
        <is>
          <t>LCK6122EVG</t>
        </is>
      </c>
      <c r="FK2096" s="15" t="n">
        <v>2025</v>
      </c>
      <c r="FL2096" s="15" t="inlineStr">
        <is>
          <t>B</t>
        </is>
      </c>
      <c r="FM2096" s="15" t="inlineStr">
        <is>
          <t>SAN JOSE</t>
        </is>
      </c>
      <c r="FN2096" s="15" t="inlineStr">
        <is>
          <t>San José 030 (José Besa 669)</t>
        </is>
      </c>
      <c r="FO2096" s="15" t="inlineStr">
        <is>
          <t>San Bernardo</t>
        </is>
      </c>
      <c r="FP2096" t="inlineStr">
        <is>
          <t>B</t>
        </is>
      </c>
    </row>
    <row r="2097">
      <c r="FC2097" t="inlineStr">
        <is>
          <t>Diccionario 3</t>
        </is>
      </c>
      <c r="FD2097" s="15" t="inlineStr">
        <is>
          <t>VFHK58</t>
        </is>
      </c>
      <c r="FE2097" s="15" t="inlineStr">
        <is>
          <t>LDYECS315S0043898</t>
        </is>
      </c>
      <c r="FF2097" s="15" t="inlineStr">
        <is>
          <t>MDN35025010184</t>
        </is>
      </c>
      <c r="FG2097" s="15" t="inlineStr">
        <is>
          <t>Zhong Tong</t>
        </is>
      </c>
      <c r="FH2097" s="15" t="inlineStr">
        <is>
          <t>Lck6122evg</t>
        </is>
      </c>
      <c r="FI2097" s="15" t="inlineStr">
        <is>
          <t>ZHONGTONG</t>
        </is>
      </c>
      <c r="FJ2097" s="15" t="inlineStr">
        <is>
          <t>LCK6122EVG</t>
        </is>
      </c>
      <c r="FK2097" s="15" t="n">
        <v>2025</v>
      </c>
      <c r="FL2097" s="15" t="inlineStr">
        <is>
          <t>B</t>
        </is>
      </c>
      <c r="FM2097" s="15" t="inlineStr">
        <is>
          <t>SAN JOSE</t>
        </is>
      </c>
      <c r="FN2097" s="15" t="inlineStr">
        <is>
          <t>San José 030 (José Besa 669)</t>
        </is>
      </c>
      <c r="FO2097" s="15" t="inlineStr">
        <is>
          <t>San Bernardo</t>
        </is>
      </c>
      <c r="FP2097" t="inlineStr">
        <is>
          <t>B</t>
        </is>
      </c>
    </row>
    <row r="2098">
      <c r="FC2098" t="inlineStr">
        <is>
          <t>Diccionario 3</t>
        </is>
      </c>
      <c r="FD2098" s="15" t="inlineStr">
        <is>
          <t>VFHK69</t>
        </is>
      </c>
      <c r="FE2098" s="15" t="inlineStr">
        <is>
          <t>LDYECS316S0043909</t>
        </is>
      </c>
      <c r="FF2098" s="15" t="inlineStr">
        <is>
          <t>MDN35025010068</t>
        </is>
      </c>
      <c r="FG2098" s="15" t="inlineStr">
        <is>
          <t>Zhong Tong</t>
        </is>
      </c>
      <c r="FH2098" s="15" t="inlineStr">
        <is>
          <t>Lck6122evg</t>
        </is>
      </c>
      <c r="FI2098" s="15" t="inlineStr">
        <is>
          <t>ZHONGTONG</t>
        </is>
      </c>
      <c r="FJ2098" s="15" t="inlineStr">
        <is>
          <t>LCK6122EVG</t>
        </is>
      </c>
      <c r="FK2098" s="15" t="n">
        <v>2025</v>
      </c>
      <c r="FL2098" s="15" t="inlineStr">
        <is>
          <t>B</t>
        </is>
      </c>
      <c r="FM2098" s="15" t="inlineStr">
        <is>
          <t>SAN JOSE</t>
        </is>
      </c>
      <c r="FN2098" s="15" t="inlineStr">
        <is>
          <t>San José 030 (José Besa 669)</t>
        </is>
      </c>
      <c r="FO2098" s="15" t="inlineStr">
        <is>
          <t>San Bernardo</t>
        </is>
      </c>
      <c r="FP2098" t="inlineStr">
        <is>
          <t>B</t>
        </is>
      </c>
    </row>
    <row r="2099">
      <c r="FC2099" t="inlineStr">
        <is>
          <t>Diccionario 3</t>
        </is>
      </c>
      <c r="FD2099" s="15" t="inlineStr">
        <is>
          <t>VFHK89</t>
        </is>
      </c>
      <c r="FE2099" s="15" t="inlineStr">
        <is>
          <t>LDYECS316S0043943</t>
        </is>
      </c>
      <c r="FF2099" s="15" t="inlineStr">
        <is>
          <t>MDN35025010049</t>
        </is>
      </c>
      <c r="FG2099" s="15" t="inlineStr">
        <is>
          <t>Zhong Tong</t>
        </is>
      </c>
      <c r="FH2099" s="15" t="inlineStr">
        <is>
          <t>Lck6122evg</t>
        </is>
      </c>
      <c r="FI2099" s="15" t="inlineStr">
        <is>
          <t>ZHONGTONG</t>
        </is>
      </c>
      <c r="FJ2099" s="15" t="inlineStr">
        <is>
          <t>LCK6122EVG</t>
        </is>
      </c>
      <c r="FK2099" s="15" t="n">
        <v>2025</v>
      </c>
      <c r="FL2099" s="15" t="inlineStr">
        <is>
          <t>B</t>
        </is>
      </c>
      <c r="FM2099" s="15" t="inlineStr">
        <is>
          <t>CERRILLOS</t>
        </is>
      </c>
      <c r="FN2099" s="15" t="inlineStr">
        <is>
          <t>Calle Uno 7371</t>
        </is>
      </c>
      <c r="FO2099" s="15" t="inlineStr">
        <is>
          <t>Estacion Central</t>
        </is>
      </c>
      <c r="FP2099" t="inlineStr">
        <is>
          <t>B</t>
        </is>
      </c>
    </row>
    <row r="2100">
      <c r="FC2100" t="inlineStr">
        <is>
          <t>Diccionario 3</t>
        </is>
      </c>
      <c r="FD2100" s="15" t="inlineStr">
        <is>
          <t>VFHK96</t>
        </is>
      </c>
      <c r="FE2100" s="15" t="inlineStr">
        <is>
          <t>LDYECS319S0043905</t>
        </is>
      </c>
      <c r="FF2100" s="15" t="inlineStr">
        <is>
          <t>MDN35025010108</t>
        </is>
      </c>
      <c r="FG2100" s="15" t="inlineStr">
        <is>
          <t>Zhong Tong</t>
        </is>
      </c>
      <c r="FH2100" s="15" t="inlineStr">
        <is>
          <t>Lck6122evg</t>
        </is>
      </c>
      <c r="FI2100" s="15" t="inlineStr">
        <is>
          <t>ZHONGTONG</t>
        </is>
      </c>
      <c r="FJ2100" s="15" t="inlineStr">
        <is>
          <t>LCK6122EVG</t>
        </is>
      </c>
      <c r="FK2100" s="15" t="n">
        <v>2025</v>
      </c>
      <c r="FL2100" s="15" t="inlineStr">
        <is>
          <t>B</t>
        </is>
      </c>
      <c r="FM2100" s="15" t="inlineStr">
        <is>
          <t>SAN ALFONSO</t>
        </is>
      </c>
      <c r="FN2100" s="15" t="inlineStr">
        <is>
          <t>San Alfonso 2141 (Ramón Subercaseaux 3060)</t>
        </is>
      </c>
      <c r="FO2100" s="15" t="inlineStr">
        <is>
          <t>Estacion Central</t>
        </is>
      </c>
      <c r="FP2100" t="inlineStr">
        <is>
          <t>B</t>
        </is>
      </c>
    </row>
    <row r="2101">
      <c r="FC2101" t="inlineStr">
        <is>
          <t>Diccionario 3</t>
        </is>
      </c>
      <c r="FD2101" s="15" t="inlineStr">
        <is>
          <t>GCBF42</t>
        </is>
      </c>
      <c r="FE2101" s="15" t="inlineStr">
        <is>
          <t>YV3T7U520JA189191</t>
        </is>
      </c>
      <c r="FF2101" s="15" t="n">
        <v>451887</v>
      </c>
      <c r="FG2101" s="15" t="inlineStr">
        <is>
          <t>Volvo</t>
        </is>
      </c>
      <c r="FH2101" s="15" t="inlineStr">
        <is>
          <t>B8RLEA</t>
        </is>
      </c>
      <c r="FI2101" s="15" t="inlineStr">
        <is>
          <t>MARCOPOLO</t>
        </is>
      </c>
      <c r="FJ2101" s="15" t="inlineStr">
        <is>
          <t>TORINO</t>
        </is>
      </c>
      <c r="FK2101" s="15" t="n">
        <v>2020</v>
      </c>
      <c r="FL2101" s="15" t="inlineStr">
        <is>
          <t>C</t>
        </is>
      </c>
      <c r="FM2101" s="15" t="inlineStr">
        <is>
          <t>SAN ALFONSO</t>
        </is>
      </c>
      <c r="FN2101" s="15" t="inlineStr">
        <is>
          <t>San Alfonso 2141 (Ramón Subercaseaux 3060)</t>
        </is>
      </c>
      <c r="FO2101" s="15" t="inlineStr">
        <is>
          <t>Estacion Central</t>
        </is>
      </c>
      <c r="FP2101" t="inlineStr">
        <is>
          <t>C</t>
        </is>
      </c>
    </row>
    <row r="2102">
      <c r="FC2102" t="inlineStr">
        <is>
          <t>Diccionario 3</t>
        </is>
      </c>
      <c r="FD2102" s="15" t="inlineStr">
        <is>
          <t>LZRB89</t>
        </is>
      </c>
      <c r="FE2102" s="15" t="inlineStr">
        <is>
          <t>YV3T7U523LA201711</t>
        </is>
      </c>
      <c r="FF2102" s="15" t="n">
        <v>508408</v>
      </c>
      <c r="FG2102" s="15" t="inlineStr">
        <is>
          <t>Volvo</t>
        </is>
      </c>
      <c r="FH2102" s="15" t="inlineStr">
        <is>
          <t>B8RLEA</t>
        </is>
      </c>
      <c r="FI2102" s="15" t="inlineStr">
        <is>
          <t>MARCOPOLO</t>
        </is>
      </c>
      <c r="FJ2102" s="15" t="inlineStr">
        <is>
          <t>GRAN VIALE</t>
        </is>
      </c>
      <c r="FK2102" s="15" t="n">
        <v>2020</v>
      </c>
      <c r="FL2102" s="15" t="inlineStr">
        <is>
          <t>C</t>
        </is>
      </c>
      <c r="FM2102" s="15" t="inlineStr">
        <is>
          <t>PIE ANDINO</t>
        </is>
      </c>
      <c r="FN2102" s="15" t="inlineStr">
        <is>
          <t>Pie Andino 31 (Pie Andino 383)</t>
        </is>
      </c>
      <c r="FO2102" s="15" t="inlineStr">
        <is>
          <t>Puente Alto</t>
        </is>
      </c>
      <c r="FP2102" t="inlineStr">
        <is>
          <t>C</t>
        </is>
      </c>
    </row>
    <row r="2103">
      <c r="FC2103" t="inlineStr">
        <is>
          <t>Diccionario 3</t>
        </is>
      </c>
      <c r="FD2103" s="15" t="inlineStr">
        <is>
          <t>LZRB90</t>
        </is>
      </c>
      <c r="FE2103" s="15" t="inlineStr">
        <is>
          <t>YV3T7U527LA201923</t>
        </is>
      </c>
      <c r="FF2103" s="15" t="n">
        <v>509327</v>
      </c>
      <c r="FG2103" s="15" t="inlineStr">
        <is>
          <t>Volvo</t>
        </is>
      </c>
      <c r="FH2103" s="15" t="inlineStr">
        <is>
          <t>B8RLEA</t>
        </is>
      </c>
      <c r="FI2103" s="15" t="inlineStr">
        <is>
          <t>MARCOPOLO</t>
        </is>
      </c>
      <c r="FJ2103" s="15" t="inlineStr">
        <is>
          <t>GRAN VIALE</t>
        </is>
      </c>
      <c r="FK2103" s="15" t="n">
        <v>2020</v>
      </c>
      <c r="FL2103" s="15" t="inlineStr">
        <is>
          <t>C</t>
        </is>
      </c>
      <c r="FM2103" s="15" t="inlineStr">
        <is>
          <t>PIE ANDINO</t>
        </is>
      </c>
      <c r="FN2103" s="15" t="inlineStr">
        <is>
          <t>Pie Andino 31 (Pie Andino 383)</t>
        </is>
      </c>
      <c r="FO2103" s="15" t="inlineStr">
        <is>
          <t>Puente Alto</t>
        </is>
      </c>
      <c r="FP2103" t="inlineStr">
        <is>
          <t>C</t>
        </is>
      </c>
    </row>
    <row r="2104">
      <c r="FC2104" t="inlineStr">
        <is>
          <t>Diccionario 3</t>
        </is>
      </c>
      <c r="FD2104" s="15" t="inlineStr">
        <is>
          <t>LZRB91</t>
        </is>
      </c>
      <c r="FE2104" s="15" t="inlineStr">
        <is>
          <t>YV3T7U525LA201709</t>
        </is>
      </c>
      <c r="FF2104" s="15" t="n">
        <v>508437</v>
      </c>
      <c r="FG2104" s="15" t="inlineStr">
        <is>
          <t>Volvo</t>
        </is>
      </c>
      <c r="FH2104" s="15" t="inlineStr">
        <is>
          <t>B8RLEA</t>
        </is>
      </c>
      <c r="FI2104" s="15" t="inlineStr">
        <is>
          <t>MARCOPOLO</t>
        </is>
      </c>
      <c r="FJ2104" s="15" t="inlineStr">
        <is>
          <t>GRAN VIALE</t>
        </is>
      </c>
      <c r="FK2104" s="15" t="n">
        <v>2020</v>
      </c>
      <c r="FL2104" s="15" t="inlineStr">
        <is>
          <t>C</t>
        </is>
      </c>
      <c r="FM2104" s="15" t="inlineStr">
        <is>
          <t>PIE ANDINO</t>
        </is>
      </c>
      <c r="FN2104" s="15" t="inlineStr">
        <is>
          <t>Pie Andino 31 (Pie Andino 383)</t>
        </is>
      </c>
      <c r="FO2104" s="15" t="inlineStr">
        <is>
          <t>Puente Alto</t>
        </is>
      </c>
      <c r="FP2104" t="inlineStr">
        <is>
          <t>C</t>
        </is>
      </c>
    </row>
    <row r="2105">
      <c r="FC2105" t="inlineStr">
        <is>
          <t>Diccionario 3</t>
        </is>
      </c>
      <c r="FD2105" s="15" t="inlineStr">
        <is>
          <t>LZRB92</t>
        </is>
      </c>
      <c r="FE2105" s="15" t="inlineStr">
        <is>
          <t>YV3T7U520LA201665</t>
        </is>
      </c>
      <c r="FF2105" s="15" t="n">
        <v>508572</v>
      </c>
      <c r="FG2105" s="15" t="inlineStr">
        <is>
          <t>Volvo</t>
        </is>
      </c>
      <c r="FH2105" s="15" t="inlineStr">
        <is>
          <t>B8RLEA</t>
        </is>
      </c>
      <c r="FI2105" s="15" t="inlineStr">
        <is>
          <t>MARCOPOLO</t>
        </is>
      </c>
      <c r="FJ2105" s="15" t="inlineStr">
        <is>
          <t>GRAN VIALE</t>
        </is>
      </c>
      <c r="FK2105" s="15" t="n">
        <v>2020</v>
      </c>
      <c r="FL2105" s="15" t="inlineStr">
        <is>
          <t>C</t>
        </is>
      </c>
      <c r="FM2105" s="15" t="inlineStr">
        <is>
          <t>PIE ANDINO</t>
        </is>
      </c>
      <c r="FN2105" s="15" t="inlineStr">
        <is>
          <t>Pie Andino 31 (Pie Andino 383)</t>
        </is>
      </c>
      <c r="FO2105" s="15" t="inlineStr">
        <is>
          <t>Puente Alto</t>
        </is>
      </c>
      <c r="FP2105" t="inlineStr">
        <is>
          <t>C</t>
        </is>
      </c>
    </row>
    <row r="2106">
      <c r="FC2106" t="inlineStr">
        <is>
          <t>Diccionario 3</t>
        </is>
      </c>
      <c r="FD2106" s="15" t="inlineStr">
        <is>
          <t>LZRB93</t>
        </is>
      </c>
      <c r="FE2106" s="15" t="inlineStr">
        <is>
          <t>YV3T7U521LA201710</t>
        </is>
      </c>
      <c r="FF2106" s="15" t="n">
        <v>508361</v>
      </c>
      <c r="FG2106" s="15" t="inlineStr">
        <is>
          <t>Volvo</t>
        </is>
      </c>
      <c r="FH2106" s="15" t="inlineStr">
        <is>
          <t>B8RLEA</t>
        </is>
      </c>
      <c r="FI2106" s="15" t="inlineStr">
        <is>
          <t>MARCOPOLO</t>
        </is>
      </c>
      <c r="FJ2106" s="15" t="inlineStr">
        <is>
          <t>GRAN VIALE</t>
        </is>
      </c>
      <c r="FK2106" s="15" t="n">
        <v>2020</v>
      </c>
      <c r="FL2106" s="15" t="inlineStr">
        <is>
          <t>C</t>
        </is>
      </c>
      <c r="FM2106" s="15" t="inlineStr">
        <is>
          <t>PIE ANDINO</t>
        </is>
      </c>
      <c r="FN2106" s="15" t="inlineStr">
        <is>
          <t>Pie Andino 31 (Pie Andino 383)</t>
        </is>
      </c>
      <c r="FO2106" s="15" t="inlineStr">
        <is>
          <t>Puente Alto</t>
        </is>
      </c>
      <c r="FP2106" t="inlineStr">
        <is>
          <t>C</t>
        </is>
      </c>
    </row>
    <row r="2107">
      <c r="FC2107" t="inlineStr">
        <is>
          <t>Diccionario 3</t>
        </is>
      </c>
      <c r="FD2107" s="15" t="inlineStr">
        <is>
          <t>LZRB94</t>
        </is>
      </c>
      <c r="FE2107" s="15" t="inlineStr">
        <is>
          <t>YV3T7U526LA201699</t>
        </is>
      </c>
      <c r="FF2107" s="15" t="n">
        <v>508380</v>
      </c>
      <c r="FG2107" s="15" t="inlineStr">
        <is>
          <t>Volvo</t>
        </is>
      </c>
      <c r="FH2107" s="15" t="inlineStr">
        <is>
          <t>B8RLEA</t>
        </is>
      </c>
      <c r="FI2107" s="15" t="inlineStr">
        <is>
          <t>MARCOPOLO</t>
        </is>
      </c>
      <c r="FJ2107" s="15" t="inlineStr">
        <is>
          <t>GRAN VIALE</t>
        </is>
      </c>
      <c r="FK2107" s="15" t="n">
        <v>2020</v>
      </c>
      <c r="FL2107" s="15" t="inlineStr">
        <is>
          <t>C</t>
        </is>
      </c>
      <c r="FM2107" s="15" t="inlineStr">
        <is>
          <t>PIE ANDINO</t>
        </is>
      </c>
      <c r="FN2107" s="15" t="inlineStr">
        <is>
          <t>Pie Andino 31 (Pie Andino 383)</t>
        </is>
      </c>
      <c r="FO2107" s="15" t="inlineStr">
        <is>
          <t>Puente Alto</t>
        </is>
      </c>
      <c r="FP2107" t="inlineStr">
        <is>
          <t>C</t>
        </is>
      </c>
    </row>
    <row r="2108">
      <c r="FC2108" t="inlineStr">
        <is>
          <t>Diccionario 3</t>
        </is>
      </c>
      <c r="FD2108" s="15" t="inlineStr">
        <is>
          <t>LZRB95</t>
        </is>
      </c>
      <c r="FE2108" s="15" t="inlineStr">
        <is>
          <t>YV3T7U522LA201697</t>
        </is>
      </c>
      <c r="FF2108" s="15" t="n">
        <v>508444</v>
      </c>
      <c r="FG2108" s="15" t="inlineStr">
        <is>
          <t>Volvo</t>
        </is>
      </c>
      <c r="FH2108" s="15" t="inlineStr">
        <is>
          <t>B8RLEA</t>
        </is>
      </c>
      <c r="FI2108" s="15" t="inlineStr">
        <is>
          <t>MARCOPOLO</t>
        </is>
      </c>
      <c r="FJ2108" s="15" t="inlineStr">
        <is>
          <t>GRAN VIALE</t>
        </is>
      </c>
      <c r="FK2108" s="15" t="n">
        <v>2020</v>
      </c>
      <c r="FL2108" s="15" t="inlineStr">
        <is>
          <t>C</t>
        </is>
      </c>
      <c r="FM2108" s="15" t="inlineStr">
        <is>
          <t>PIE ANDINO</t>
        </is>
      </c>
      <c r="FN2108" s="15" t="inlineStr">
        <is>
          <t>Pie Andino 31 (Pie Andino 383)</t>
        </is>
      </c>
      <c r="FO2108" s="15" t="inlineStr">
        <is>
          <t>Puente Alto</t>
        </is>
      </c>
      <c r="FP2108" t="inlineStr">
        <is>
          <t>C</t>
        </is>
      </c>
    </row>
    <row r="2109">
      <c r="FC2109" t="inlineStr">
        <is>
          <t>Diccionario 3</t>
        </is>
      </c>
      <c r="FD2109" s="15" t="inlineStr">
        <is>
          <t>LZRB96</t>
        </is>
      </c>
      <c r="FE2109" s="15" t="inlineStr">
        <is>
          <t>YV3T7U524LA201698</t>
        </is>
      </c>
      <c r="FF2109" s="15" t="n">
        <v>508467</v>
      </c>
      <c r="FG2109" s="15" t="inlineStr">
        <is>
          <t>Volvo</t>
        </is>
      </c>
      <c r="FH2109" s="15" t="inlineStr">
        <is>
          <t>B8RLEA</t>
        </is>
      </c>
      <c r="FI2109" s="15" t="inlineStr">
        <is>
          <t>MARCOPOLO</t>
        </is>
      </c>
      <c r="FJ2109" s="15" t="inlineStr">
        <is>
          <t>GRAN VIALE</t>
        </is>
      </c>
      <c r="FK2109" s="15" t="n">
        <v>2020</v>
      </c>
      <c r="FL2109" s="15" t="inlineStr">
        <is>
          <t>C</t>
        </is>
      </c>
      <c r="FM2109" s="15" t="inlineStr">
        <is>
          <t>PIE ANDINO</t>
        </is>
      </c>
      <c r="FN2109" s="15" t="inlineStr">
        <is>
          <t>Pie Andino 31 (Pie Andino 383)</t>
        </is>
      </c>
      <c r="FO2109" s="15" t="inlineStr">
        <is>
          <t>Puente Alto</t>
        </is>
      </c>
      <c r="FP2109" t="inlineStr">
        <is>
          <t>C</t>
        </is>
      </c>
    </row>
    <row r="2110">
      <c r="FC2110" t="inlineStr">
        <is>
          <t>Diccionario 3</t>
        </is>
      </c>
      <c r="FD2110" s="15" t="inlineStr">
        <is>
          <t>LZRD61</t>
        </is>
      </c>
      <c r="FE2110" s="15" t="inlineStr">
        <is>
          <t>YV3T7U523LA198728</t>
        </is>
      </c>
      <c r="FF2110" s="15" t="n">
        <v>508196</v>
      </c>
      <c r="FG2110" s="15" t="inlineStr">
        <is>
          <t>Volvo</t>
        </is>
      </c>
      <c r="FH2110" s="15" t="inlineStr">
        <is>
          <t>B8RLEA</t>
        </is>
      </c>
      <c r="FI2110" s="15" t="inlineStr">
        <is>
          <t>MARCOPOLO</t>
        </is>
      </c>
      <c r="FJ2110" s="15" t="inlineStr">
        <is>
          <t>GRAN VIALE</t>
        </is>
      </c>
      <c r="FK2110" s="15" t="n">
        <v>2020</v>
      </c>
      <c r="FL2110" s="15" t="inlineStr">
        <is>
          <t>C</t>
        </is>
      </c>
      <c r="FM2110" s="15" t="inlineStr">
        <is>
          <t>PIE ANDINO</t>
        </is>
      </c>
      <c r="FN2110" s="15" t="inlineStr">
        <is>
          <t>Pie Andino 31 (Pie Andino 383)</t>
        </is>
      </c>
      <c r="FO2110" s="15" t="inlineStr">
        <is>
          <t>Puente Alto</t>
        </is>
      </c>
      <c r="FP2110" t="inlineStr">
        <is>
          <t>C</t>
        </is>
      </c>
    </row>
    <row r="2111">
      <c r="FC2111" t="inlineStr">
        <is>
          <t>Diccionario 3</t>
        </is>
      </c>
      <c r="FD2111" s="15" t="inlineStr">
        <is>
          <t>LZRD62</t>
        </is>
      </c>
      <c r="FE2111" s="15" t="inlineStr">
        <is>
          <t>YV3T7U526LA201623</t>
        </is>
      </c>
      <c r="FF2111" s="15" t="n">
        <v>508277</v>
      </c>
      <c r="FG2111" s="15" t="inlineStr">
        <is>
          <t>Volvo</t>
        </is>
      </c>
      <c r="FH2111" s="15" t="inlineStr">
        <is>
          <t>B8RLEA</t>
        </is>
      </c>
      <c r="FI2111" s="15" t="inlineStr">
        <is>
          <t>MARCOPOLO</t>
        </is>
      </c>
      <c r="FJ2111" s="15" t="inlineStr">
        <is>
          <t>GRAN VIALE</t>
        </is>
      </c>
      <c r="FK2111" s="15" t="n">
        <v>2020</v>
      </c>
      <c r="FL2111" s="15" t="inlineStr">
        <is>
          <t>C</t>
        </is>
      </c>
      <c r="FM2111" s="15" t="inlineStr">
        <is>
          <t>PIE ANDINO</t>
        </is>
      </c>
      <c r="FN2111" s="15" t="inlineStr">
        <is>
          <t>Pie Andino 31 (Pie Andino 383)</t>
        </is>
      </c>
      <c r="FO2111" s="15" t="inlineStr">
        <is>
          <t>Puente Alto</t>
        </is>
      </c>
      <c r="FP2111" t="inlineStr">
        <is>
          <t>C</t>
        </is>
      </c>
    </row>
    <row r="2112">
      <c r="FC2112" t="inlineStr">
        <is>
          <t>Diccionario 3</t>
        </is>
      </c>
      <c r="FD2112" s="15" t="inlineStr">
        <is>
          <t>LZRD63</t>
        </is>
      </c>
      <c r="FE2112" s="15" t="inlineStr">
        <is>
          <t>YV3T7U52XLA198726</t>
        </is>
      </c>
      <c r="FF2112" s="15" t="n">
        <v>508208</v>
      </c>
      <c r="FG2112" s="15" t="inlineStr">
        <is>
          <t>Volvo</t>
        </is>
      </c>
      <c r="FH2112" s="15" t="inlineStr">
        <is>
          <t>B8RLEA</t>
        </is>
      </c>
      <c r="FI2112" s="15" t="inlineStr">
        <is>
          <t>MARCOPOLO</t>
        </is>
      </c>
      <c r="FJ2112" s="15" t="inlineStr">
        <is>
          <t>GRAN VIALE</t>
        </is>
      </c>
      <c r="FK2112" s="15" t="n">
        <v>2020</v>
      </c>
      <c r="FL2112" s="15" t="inlineStr">
        <is>
          <t>C</t>
        </is>
      </c>
      <c r="FM2112" s="15" t="inlineStr">
        <is>
          <t>PIE ANDINO</t>
        </is>
      </c>
      <c r="FN2112" s="15" t="inlineStr">
        <is>
          <t>Pie Andino 31 (Pie Andino 383)</t>
        </is>
      </c>
      <c r="FO2112" s="15" t="inlineStr">
        <is>
          <t>Puente Alto</t>
        </is>
      </c>
      <c r="FP2112" t="inlineStr">
        <is>
          <t>C</t>
        </is>
      </c>
    </row>
    <row r="2113">
      <c r="FC2113" t="inlineStr">
        <is>
          <t>Diccionario 3</t>
        </is>
      </c>
      <c r="FD2113" s="15" t="inlineStr">
        <is>
          <t>LZRD64</t>
        </is>
      </c>
      <c r="FE2113" s="15" t="inlineStr">
        <is>
          <t>YV3T7U526LA198724</t>
        </is>
      </c>
      <c r="FF2113" s="15" t="n">
        <v>508167</v>
      </c>
      <c r="FG2113" s="15" t="inlineStr">
        <is>
          <t>Volvo</t>
        </is>
      </c>
      <c r="FH2113" s="15" t="inlineStr">
        <is>
          <t>B8RLEA</t>
        </is>
      </c>
      <c r="FI2113" s="15" t="inlineStr">
        <is>
          <t>MARCOPOLO</t>
        </is>
      </c>
      <c r="FJ2113" s="15" t="inlineStr">
        <is>
          <t>GRAN VIALE</t>
        </is>
      </c>
      <c r="FK2113" s="15" t="n">
        <v>2020</v>
      </c>
      <c r="FL2113" s="15" t="inlineStr">
        <is>
          <t>C</t>
        </is>
      </c>
      <c r="FM2113" s="15" t="inlineStr">
        <is>
          <t>PIE ANDINO</t>
        </is>
      </c>
      <c r="FN2113" s="15" t="inlineStr">
        <is>
          <t>Pie Andino 31 (Pie Andino 383)</t>
        </is>
      </c>
      <c r="FO2113" s="15" t="inlineStr">
        <is>
          <t>Puente Alto</t>
        </is>
      </c>
      <c r="FP2113" t="inlineStr">
        <is>
          <t>C</t>
        </is>
      </c>
    </row>
    <row r="2114">
      <c r="FC2114" t="inlineStr">
        <is>
          <t>Diccionario 3</t>
        </is>
      </c>
      <c r="FD2114" s="15" t="inlineStr">
        <is>
          <t>LZRD65</t>
        </is>
      </c>
      <c r="FE2114" s="15" t="inlineStr">
        <is>
          <t>YV3T7U521LA201500</t>
        </is>
      </c>
      <c r="FF2114" s="15" t="n">
        <v>507859</v>
      </c>
      <c r="FG2114" s="15" t="inlineStr">
        <is>
          <t>Volvo</t>
        </is>
      </c>
      <c r="FH2114" s="15" t="inlineStr">
        <is>
          <t>B8RLEA</t>
        </is>
      </c>
      <c r="FI2114" s="15" t="inlineStr">
        <is>
          <t>MARCOPOLO</t>
        </is>
      </c>
      <c r="FJ2114" s="15" t="inlineStr">
        <is>
          <t>GRAN VIALE</t>
        </is>
      </c>
      <c r="FK2114" s="15" t="n">
        <v>2020</v>
      </c>
      <c r="FL2114" s="15" t="inlineStr">
        <is>
          <t>C</t>
        </is>
      </c>
      <c r="FM2114" s="15" t="inlineStr">
        <is>
          <t>PIE ANDINO</t>
        </is>
      </c>
      <c r="FN2114" s="15" t="inlineStr">
        <is>
          <t>Pie Andino 31 (Pie Andino 383)</t>
        </is>
      </c>
      <c r="FO2114" s="15" t="inlineStr">
        <is>
          <t>Puente Alto</t>
        </is>
      </c>
      <c r="FP2114" t="inlineStr">
        <is>
          <t>C</t>
        </is>
      </c>
    </row>
    <row r="2115">
      <c r="FC2115" t="inlineStr">
        <is>
          <t>Diccionario 3</t>
        </is>
      </c>
      <c r="FD2115" s="15" t="inlineStr">
        <is>
          <t>LZRD66</t>
        </is>
      </c>
      <c r="FE2115" s="15" t="inlineStr">
        <is>
          <t>YV3T7U522LA198722</t>
        </is>
      </c>
      <c r="FF2115" s="15" t="n">
        <v>508172</v>
      </c>
      <c r="FG2115" s="15" t="inlineStr">
        <is>
          <t>Volvo</t>
        </is>
      </c>
      <c r="FH2115" s="15" t="inlineStr">
        <is>
          <t>B8RLEA</t>
        </is>
      </c>
      <c r="FI2115" s="15" t="inlineStr">
        <is>
          <t>MARCOPOLO</t>
        </is>
      </c>
      <c r="FJ2115" s="15" t="inlineStr">
        <is>
          <t>GRAN VIALE</t>
        </is>
      </c>
      <c r="FK2115" s="15" t="n">
        <v>2020</v>
      </c>
      <c r="FL2115" s="15" t="inlineStr">
        <is>
          <t>C</t>
        </is>
      </c>
      <c r="FM2115" s="15" t="inlineStr">
        <is>
          <t>PIE ANDINO</t>
        </is>
      </c>
      <c r="FN2115" s="15" t="inlineStr">
        <is>
          <t>Pie Andino 31 (Pie Andino 383)</t>
        </is>
      </c>
      <c r="FO2115" s="15" t="inlineStr">
        <is>
          <t>Puente Alto</t>
        </is>
      </c>
      <c r="FP2115" t="inlineStr">
        <is>
          <t>C</t>
        </is>
      </c>
    </row>
    <row r="2116">
      <c r="FC2116" t="inlineStr">
        <is>
          <t>Diccionario 3</t>
        </is>
      </c>
      <c r="FD2116" s="15" t="inlineStr">
        <is>
          <t>LZRD67</t>
        </is>
      </c>
      <c r="FE2116" s="15" t="inlineStr">
        <is>
          <t>YV3T7U520LA201696</t>
        </is>
      </c>
      <c r="FF2116" s="15" t="n">
        <v>508690</v>
      </c>
      <c r="FG2116" s="15" t="inlineStr">
        <is>
          <t>Volvo</t>
        </is>
      </c>
      <c r="FH2116" s="15" t="inlineStr">
        <is>
          <t>B8RLEA</t>
        </is>
      </c>
      <c r="FI2116" s="15" t="inlineStr">
        <is>
          <t>MARCOPOLO</t>
        </is>
      </c>
      <c r="FJ2116" s="15" t="inlineStr">
        <is>
          <t>GRAN VIALE</t>
        </is>
      </c>
      <c r="FK2116" s="15" t="n">
        <v>2020</v>
      </c>
      <c r="FL2116" s="15" t="inlineStr">
        <is>
          <t>C</t>
        </is>
      </c>
      <c r="FM2116" s="15" t="inlineStr">
        <is>
          <t>SAN ALFONSO</t>
        </is>
      </c>
      <c r="FN2116" s="15" t="inlineStr">
        <is>
          <t>San Alfonso 2141 (Ramón Subercaseaux 3060)</t>
        </is>
      </c>
      <c r="FO2116" s="15" t="inlineStr">
        <is>
          <t>Estacion Central</t>
        </is>
      </c>
      <c r="FP2116" t="inlineStr">
        <is>
          <t>C</t>
        </is>
      </c>
    </row>
    <row r="2117">
      <c r="FC2117" t="inlineStr">
        <is>
          <t>Diccionario 3</t>
        </is>
      </c>
      <c r="FD2117" s="15" t="inlineStr">
        <is>
          <t>LZRD68</t>
        </is>
      </c>
      <c r="FE2117" s="15" t="inlineStr">
        <is>
          <t>YV3T7U52XLA201608</t>
        </is>
      </c>
      <c r="FF2117" s="15" t="n">
        <v>508223</v>
      </c>
      <c r="FG2117" s="15" t="inlineStr">
        <is>
          <t>Volvo</t>
        </is>
      </c>
      <c r="FH2117" s="15" t="inlineStr">
        <is>
          <t>B8RLEA</t>
        </is>
      </c>
      <c r="FI2117" s="15" t="inlineStr">
        <is>
          <t>MARCOPOLO</t>
        </is>
      </c>
      <c r="FJ2117" s="15" t="inlineStr">
        <is>
          <t>GRAN VIALE</t>
        </is>
      </c>
      <c r="FK2117" s="15" t="n">
        <v>2020</v>
      </c>
      <c r="FL2117" s="15" t="inlineStr">
        <is>
          <t>C</t>
        </is>
      </c>
      <c r="FM2117" s="15" t="inlineStr">
        <is>
          <t>PIE ANDINO</t>
        </is>
      </c>
      <c r="FN2117" s="15" t="inlineStr">
        <is>
          <t>Pie Andino 31 (Pie Andino 383)</t>
        </is>
      </c>
      <c r="FO2117" s="15" t="inlineStr">
        <is>
          <t>Puente Alto</t>
        </is>
      </c>
      <c r="FP2117" t="inlineStr">
        <is>
          <t>C</t>
        </is>
      </c>
    </row>
    <row r="2118">
      <c r="FC2118" t="inlineStr">
        <is>
          <t>Diccionario 3</t>
        </is>
      </c>
      <c r="FD2118" s="15" t="inlineStr">
        <is>
          <t>LZRD69</t>
        </is>
      </c>
      <c r="FE2118" s="15" t="inlineStr">
        <is>
          <t>YV3T7U521LA201545</t>
        </is>
      </c>
      <c r="FF2118" s="15" t="n">
        <v>508144</v>
      </c>
      <c r="FG2118" s="15" t="inlineStr">
        <is>
          <t>Volvo</t>
        </is>
      </c>
      <c r="FH2118" s="15" t="inlineStr">
        <is>
          <t>B8RLEA</t>
        </is>
      </c>
      <c r="FI2118" s="15" t="inlineStr">
        <is>
          <t>MARCOPOLO</t>
        </is>
      </c>
      <c r="FJ2118" s="15" t="inlineStr">
        <is>
          <t>GRAN VIALE</t>
        </is>
      </c>
      <c r="FK2118" s="15" t="n">
        <v>2020</v>
      </c>
      <c r="FL2118" s="15" t="inlineStr">
        <is>
          <t>C</t>
        </is>
      </c>
      <c r="FM2118" s="15" t="inlineStr">
        <is>
          <t>PIE ANDINO</t>
        </is>
      </c>
      <c r="FN2118" s="15" t="inlineStr">
        <is>
          <t>Pie Andino 31 (Pie Andino 383)</t>
        </is>
      </c>
      <c r="FO2118" s="15" t="inlineStr">
        <is>
          <t>Puente Alto</t>
        </is>
      </c>
      <c r="FP2118" t="inlineStr">
        <is>
          <t>C</t>
        </is>
      </c>
    </row>
    <row r="2119">
      <c r="FC2119" t="inlineStr">
        <is>
          <t>Diccionario 3</t>
        </is>
      </c>
      <c r="FD2119" s="15" t="inlineStr">
        <is>
          <t>LZRD70</t>
        </is>
      </c>
      <c r="FE2119" s="15" t="inlineStr">
        <is>
          <t>YV3T7U528LA201543</t>
        </is>
      </c>
      <c r="FF2119" s="15" t="n">
        <v>508132</v>
      </c>
      <c r="FG2119" s="15" t="inlineStr">
        <is>
          <t>Volvo</t>
        </is>
      </c>
      <c r="FH2119" s="15" t="inlineStr">
        <is>
          <t>B8RLEA</t>
        </is>
      </c>
      <c r="FI2119" s="15" t="inlineStr">
        <is>
          <t>MARCOPOLO</t>
        </is>
      </c>
      <c r="FJ2119" s="15" t="inlineStr">
        <is>
          <t>GRAN VIALE</t>
        </is>
      </c>
      <c r="FK2119" s="15" t="n">
        <v>2020</v>
      </c>
      <c r="FL2119" s="15" t="inlineStr">
        <is>
          <t>C</t>
        </is>
      </c>
      <c r="FM2119" s="15" t="inlineStr">
        <is>
          <t>PIE ANDINO</t>
        </is>
      </c>
      <c r="FN2119" s="15" t="inlineStr">
        <is>
          <t>Pie Andino 31 (Pie Andino 383)</t>
        </is>
      </c>
      <c r="FO2119" s="15" t="inlineStr">
        <is>
          <t>Puente Alto</t>
        </is>
      </c>
      <c r="FP2119" t="inlineStr">
        <is>
          <t>C</t>
        </is>
      </c>
    </row>
    <row r="2120">
      <c r="FC2120" t="inlineStr">
        <is>
          <t>Diccionario 3</t>
        </is>
      </c>
      <c r="FD2120" s="15" t="inlineStr">
        <is>
          <t>LZRD71</t>
        </is>
      </c>
      <c r="FE2120" s="15" t="inlineStr">
        <is>
          <t>YV3T7U528LA201624</t>
        </is>
      </c>
      <c r="FF2120" s="15" t="n">
        <v>508345</v>
      </c>
      <c r="FG2120" s="15" t="inlineStr">
        <is>
          <t>Volvo</t>
        </is>
      </c>
      <c r="FH2120" s="15" t="inlineStr">
        <is>
          <t>B8RLEA</t>
        </is>
      </c>
      <c r="FI2120" s="15" t="inlineStr">
        <is>
          <t>MARCOPOLO</t>
        </is>
      </c>
      <c r="FJ2120" s="15" t="inlineStr">
        <is>
          <t>GRAN VIALE</t>
        </is>
      </c>
      <c r="FK2120" s="15" t="n">
        <v>2020</v>
      </c>
      <c r="FL2120" s="15" t="inlineStr">
        <is>
          <t>C</t>
        </is>
      </c>
      <c r="FM2120" s="15" t="inlineStr">
        <is>
          <t>PIE ANDINO</t>
        </is>
      </c>
      <c r="FN2120" s="15" t="inlineStr">
        <is>
          <t>Pie Andino 31 (Pie Andino 383)</t>
        </is>
      </c>
      <c r="FO2120" s="15" t="inlineStr">
        <is>
          <t>Puente Alto</t>
        </is>
      </c>
      <c r="FP2120" t="inlineStr">
        <is>
          <t>C</t>
        </is>
      </c>
    </row>
    <row r="2121">
      <c r="FC2121" t="inlineStr">
        <is>
          <t>Diccionario 3</t>
        </is>
      </c>
      <c r="FD2121" s="15" t="inlineStr">
        <is>
          <t>LZRD72</t>
        </is>
      </c>
      <c r="FE2121" s="15" t="inlineStr">
        <is>
          <t>YV3T7U525LA198729</t>
        </is>
      </c>
      <c r="FF2121" s="15" t="n">
        <v>508201</v>
      </c>
      <c r="FG2121" s="15" t="inlineStr">
        <is>
          <t>Volvo</t>
        </is>
      </c>
      <c r="FH2121" s="15" t="inlineStr">
        <is>
          <t>B8RLEA</t>
        </is>
      </c>
      <c r="FI2121" s="15" t="inlineStr">
        <is>
          <t>MARCOPOLO</t>
        </is>
      </c>
      <c r="FJ2121" s="15" t="inlineStr">
        <is>
          <t>GRAN VIALE</t>
        </is>
      </c>
      <c r="FK2121" s="15" t="n">
        <v>2020</v>
      </c>
      <c r="FL2121" s="15" t="inlineStr">
        <is>
          <t>C</t>
        </is>
      </c>
      <c r="FM2121" s="15" t="inlineStr">
        <is>
          <t>PIE ANDINO</t>
        </is>
      </c>
      <c r="FN2121" s="15" t="inlineStr">
        <is>
          <t>Pie Andino 31 (Pie Andino 383)</t>
        </is>
      </c>
      <c r="FO2121" s="15" t="inlineStr">
        <is>
          <t>Puente Alto</t>
        </is>
      </c>
      <c r="FP2121" t="inlineStr">
        <is>
          <t>C</t>
        </is>
      </c>
    </row>
    <row r="2122">
      <c r="FC2122" t="inlineStr">
        <is>
          <t>Diccionario 3</t>
        </is>
      </c>
      <c r="FD2122" s="15" t="inlineStr">
        <is>
          <t>LZRD73</t>
        </is>
      </c>
      <c r="FE2122" s="15" t="inlineStr">
        <is>
          <t>YV3T7U526LA201542</t>
        </is>
      </c>
      <c r="FF2122" s="15" t="n">
        <v>508119</v>
      </c>
      <c r="FG2122" s="15" t="inlineStr">
        <is>
          <t>Volvo</t>
        </is>
      </c>
      <c r="FH2122" s="15" t="inlineStr">
        <is>
          <t>B8RLEA</t>
        </is>
      </c>
      <c r="FI2122" s="15" t="inlineStr">
        <is>
          <t>MARCOPOLO</t>
        </is>
      </c>
      <c r="FJ2122" s="15" t="inlineStr">
        <is>
          <t>GRAN VIALE</t>
        </is>
      </c>
      <c r="FK2122" s="15" t="n">
        <v>2020</v>
      </c>
      <c r="FL2122" s="15" t="inlineStr">
        <is>
          <t>C</t>
        </is>
      </c>
      <c r="FM2122" s="15" t="inlineStr">
        <is>
          <t>PIE ANDINO</t>
        </is>
      </c>
      <c r="FN2122" s="15" t="inlineStr">
        <is>
          <t>Pie Andino 31 (Pie Andino 383)</t>
        </is>
      </c>
      <c r="FO2122" s="15" t="inlineStr">
        <is>
          <t>Puente Alto</t>
        </is>
      </c>
      <c r="FP2122" t="inlineStr">
        <is>
          <t>C</t>
        </is>
      </c>
    </row>
    <row r="2123">
      <c r="FC2123" t="inlineStr">
        <is>
          <t>Diccionario 3</t>
        </is>
      </c>
      <c r="FD2123" s="15" t="inlineStr">
        <is>
          <t>LZRD74</t>
        </is>
      </c>
      <c r="FE2123" s="15" t="inlineStr">
        <is>
          <t>YV3T7U524LA201622</t>
        </is>
      </c>
      <c r="FF2123" s="15" t="n">
        <v>508282</v>
      </c>
      <c r="FG2123" s="15" t="inlineStr">
        <is>
          <t>Volvo</t>
        </is>
      </c>
      <c r="FH2123" s="15" t="inlineStr">
        <is>
          <t>B8RLEA</t>
        </is>
      </c>
      <c r="FI2123" s="15" t="inlineStr">
        <is>
          <t>MARCOPOLO</t>
        </is>
      </c>
      <c r="FJ2123" s="15" t="inlineStr">
        <is>
          <t>GRAN VIALE</t>
        </is>
      </c>
      <c r="FK2123" s="15" t="n">
        <v>2020</v>
      </c>
      <c r="FL2123" s="15" t="inlineStr">
        <is>
          <t>C</t>
        </is>
      </c>
      <c r="FM2123" s="15" t="inlineStr">
        <is>
          <t>PIE ANDINO</t>
        </is>
      </c>
      <c r="FN2123" s="15" t="inlineStr">
        <is>
          <t>Pie Andino 31 (Pie Andino 383)</t>
        </is>
      </c>
      <c r="FO2123" s="15" t="inlineStr">
        <is>
          <t>Puente Alto</t>
        </is>
      </c>
      <c r="FP2123" t="inlineStr">
        <is>
          <t>C</t>
        </is>
      </c>
    </row>
    <row r="2124">
      <c r="FC2124" t="inlineStr">
        <is>
          <t>Diccionario 3</t>
        </is>
      </c>
      <c r="FD2124" s="15" t="inlineStr">
        <is>
          <t>LZRD75</t>
        </is>
      </c>
      <c r="FE2124" s="15" t="inlineStr">
        <is>
          <t>YV3T7U52XLA201544</t>
        </is>
      </c>
      <c r="FF2124" s="15" t="n">
        <v>508121</v>
      </c>
      <c r="FG2124" s="15" t="inlineStr">
        <is>
          <t>Volvo</t>
        </is>
      </c>
      <c r="FH2124" s="15" t="inlineStr">
        <is>
          <t>B8RLEA</t>
        </is>
      </c>
      <c r="FI2124" s="15" t="inlineStr">
        <is>
          <t>MARCOPOLO</t>
        </is>
      </c>
      <c r="FJ2124" s="15" t="inlineStr">
        <is>
          <t>GRAN VIALE</t>
        </is>
      </c>
      <c r="FK2124" s="15" t="n">
        <v>2020</v>
      </c>
      <c r="FL2124" s="15" t="inlineStr">
        <is>
          <t>C</t>
        </is>
      </c>
      <c r="FM2124" s="15" t="inlineStr">
        <is>
          <t>SAN ALFONSO</t>
        </is>
      </c>
      <c r="FN2124" s="15" t="inlineStr">
        <is>
          <t>San Alfonso 2141 (Ramón Subercaseaux 3060)</t>
        </is>
      </c>
      <c r="FO2124" s="15" t="inlineStr">
        <is>
          <t>Estacion Central</t>
        </is>
      </c>
      <c r="FP2124" t="inlineStr">
        <is>
          <t>C</t>
        </is>
      </c>
    </row>
    <row r="2125">
      <c r="FC2125" t="inlineStr">
        <is>
          <t>Diccionario 3</t>
        </is>
      </c>
      <c r="FD2125" s="15" t="inlineStr">
        <is>
          <t>LZRD76</t>
        </is>
      </c>
      <c r="FE2125" s="15" t="inlineStr">
        <is>
          <t>YV3T7U528LA198725</t>
        </is>
      </c>
      <c r="FF2125" s="15" t="n">
        <v>508224</v>
      </c>
      <c r="FG2125" s="15" t="inlineStr">
        <is>
          <t>Volvo</t>
        </is>
      </c>
      <c r="FH2125" s="15" t="inlineStr">
        <is>
          <t>B8RLEA</t>
        </is>
      </c>
      <c r="FI2125" s="15" t="inlineStr">
        <is>
          <t>MARCOPOLO</t>
        </is>
      </c>
      <c r="FJ2125" s="15" t="inlineStr">
        <is>
          <t>GRAN VIALE</t>
        </is>
      </c>
      <c r="FK2125" s="15" t="n">
        <v>2020</v>
      </c>
      <c r="FL2125" s="15" t="inlineStr">
        <is>
          <t>C</t>
        </is>
      </c>
      <c r="FM2125" s="15" t="inlineStr">
        <is>
          <t>SAN ALFONSO</t>
        </is>
      </c>
      <c r="FN2125" s="15" t="inlineStr">
        <is>
          <t>San Alfonso 2141 (Ramón Subercaseaux 3060)</t>
        </is>
      </c>
      <c r="FO2125" s="15" t="inlineStr">
        <is>
          <t>Estacion Central</t>
        </is>
      </c>
      <c r="FP2125" t="inlineStr">
        <is>
          <t>C</t>
        </is>
      </c>
    </row>
    <row r="2126">
      <c r="FC2126" t="inlineStr">
        <is>
          <t>Diccionario 3</t>
        </is>
      </c>
      <c r="FD2126" s="15" t="inlineStr">
        <is>
          <t>LZRD77</t>
        </is>
      </c>
      <c r="FE2126" s="15" t="inlineStr">
        <is>
          <t>YV3T7U524LA201667</t>
        </is>
      </c>
      <c r="FF2126" s="15" t="n">
        <v>508615</v>
      </c>
      <c r="FG2126" s="15" t="inlineStr">
        <is>
          <t>Volvo</t>
        </is>
      </c>
      <c r="FH2126" s="15" t="inlineStr">
        <is>
          <t>B8RLEA</t>
        </is>
      </c>
      <c r="FI2126" s="15" t="inlineStr">
        <is>
          <t>MARCOPOLO</t>
        </is>
      </c>
      <c r="FJ2126" s="15" t="inlineStr">
        <is>
          <t>GRAN VIALE</t>
        </is>
      </c>
      <c r="FK2126" s="15" t="n">
        <v>2020</v>
      </c>
      <c r="FL2126" s="15" t="inlineStr">
        <is>
          <t>C</t>
        </is>
      </c>
      <c r="FM2126" s="15" t="inlineStr">
        <is>
          <t>PIE ANDINO</t>
        </is>
      </c>
      <c r="FN2126" s="15" t="inlineStr">
        <is>
          <t>Pie Andino 31 (Pie Andino 383)</t>
        </is>
      </c>
      <c r="FO2126" s="15" t="inlineStr">
        <is>
          <t>Puente Alto</t>
        </is>
      </c>
      <c r="FP2126" t="inlineStr">
        <is>
          <t>C</t>
        </is>
      </c>
    </row>
    <row r="2127">
      <c r="FC2127" t="inlineStr">
        <is>
          <t>Diccionario 3</t>
        </is>
      </c>
      <c r="FD2127" s="15" t="inlineStr">
        <is>
          <t>LZRD78</t>
        </is>
      </c>
      <c r="FE2127" s="15" t="inlineStr">
        <is>
          <t>YV3T7U524LA201670</t>
        </is>
      </c>
      <c r="FF2127" s="15" t="n">
        <v>508569</v>
      </c>
      <c r="FG2127" s="15" t="inlineStr">
        <is>
          <t>Volvo</t>
        </is>
      </c>
      <c r="FH2127" s="15" t="inlineStr">
        <is>
          <t>B8RLEA</t>
        </is>
      </c>
      <c r="FI2127" s="15" t="inlineStr">
        <is>
          <t>MARCOPOLO</t>
        </is>
      </c>
      <c r="FJ2127" s="15" t="inlineStr">
        <is>
          <t>GRAN VIALE</t>
        </is>
      </c>
      <c r="FK2127" s="15" t="n">
        <v>2020</v>
      </c>
      <c r="FL2127" s="15" t="inlineStr">
        <is>
          <t>C</t>
        </is>
      </c>
      <c r="FM2127" s="15" t="inlineStr">
        <is>
          <t>SAN ALFONSO</t>
        </is>
      </c>
      <c r="FN2127" s="15" t="inlineStr">
        <is>
          <t>San Alfonso 2141 (Ramón Subercaseaux 3060)</t>
        </is>
      </c>
      <c r="FO2127" s="15" t="inlineStr">
        <is>
          <t>Estacion Central</t>
        </is>
      </c>
      <c r="FP2127" t="inlineStr">
        <is>
          <t>C</t>
        </is>
      </c>
    </row>
    <row r="2128">
      <c r="FC2128" t="inlineStr">
        <is>
          <t>Diccionario 3</t>
        </is>
      </c>
      <c r="FD2128" s="15" t="inlineStr">
        <is>
          <t>LZRD79</t>
        </is>
      </c>
      <c r="FE2128" s="15" t="inlineStr">
        <is>
          <t>YV3T7U52XLA201625</t>
        </is>
      </c>
      <c r="FF2128" s="15" t="n">
        <v>508297</v>
      </c>
      <c r="FG2128" s="15" t="inlineStr">
        <is>
          <t>Volvo</t>
        </is>
      </c>
      <c r="FH2128" s="15" t="inlineStr">
        <is>
          <t>B8RLEA</t>
        </is>
      </c>
      <c r="FI2128" s="15" t="inlineStr">
        <is>
          <t>MARCOPOLO</t>
        </is>
      </c>
      <c r="FJ2128" s="15" t="inlineStr">
        <is>
          <t>GRAN VIALE</t>
        </is>
      </c>
      <c r="FK2128" s="15" t="n">
        <v>2020</v>
      </c>
      <c r="FL2128" s="15" t="inlineStr">
        <is>
          <t>C</t>
        </is>
      </c>
      <c r="FM2128" s="15" t="inlineStr">
        <is>
          <t>PIE ANDINO</t>
        </is>
      </c>
      <c r="FN2128" s="15" t="inlineStr">
        <is>
          <t>Pie Andino 31 (Pie Andino 383)</t>
        </is>
      </c>
      <c r="FO2128" s="15" t="inlineStr">
        <is>
          <t>Puente Alto</t>
        </is>
      </c>
      <c r="FP2128" t="inlineStr">
        <is>
          <t>C</t>
        </is>
      </c>
    </row>
    <row r="2129">
      <c r="FC2129" t="inlineStr">
        <is>
          <t>Diccionario 3</t>
        </is>
      </c>
      <c r="FD2129" s="15" t="inlineStr">
        <is>
          <t>LZRD80</t>
        </is>
      </c>
      <c r="FE2129" s="15" t="inlineStr">
        <is>
          <t>YV3T7U520LA201620</t>
        </is>
      </c>
      <c r="FF2129" s="15" t="n">
        <v>508303</v>
      </c>
      <c r="FG2129" s="15" t="inlineStr">
        <is>
          <t>Volvo</t>
        </is>
      </c>
      <c r="FH2129" s="15" t="inlineStr">
        <is>
          <t>B8RLEA</t>
        </is>
      </c>
      <c r="FI2129" s="15" t="inlineStr">
        <is>
          <t>MARCOPOLO</t>
        </is>
      </c>
      <c r="FJ2129" s="15" t="inlineStr">
        <is>
          <t>GRAN VIALE</t>
        </is>
      </c>
      <c r="FK2129" s="15" t="n">
        <v>2020</v>
      </c>
      <c r="FL2129" s="15" t="inlineStr">
        <is>
          <t>C</t>
        </is>
      </c>
      <c r="FM2129" s="15" t="inlineStr">
        <is>
          <t>PIE ANDINO</t>
        </is>
      </c>
      <c r="FN2129" s="15" t="inlineStr">
        <is>
          <t>Pie Andino 31 (Pie Andino 383)</t>
        </is>
      </c>
      <c r="FO2129" s="15" t="inlineStr">
        <is>
          <t>Puente Alto</t>
        </is>
      </c>
      <c r="FP2129" t="inlineStr">
        <is>
          <t>C</t>
        </is>
      </c>
    </row>
    <row r="2130">
      <c r="FC2130" t="inlineStr">
        <is>
          <t>Diccionario 3</t>
        </is>
      </c>
      <c r="FD2130" s="15" t="inlineStr">
        <is>
          <t>LZRD81</t>
        </is>
      </c>
      <c r="FE2130" s="15" t="inlineStr">
        <is>
          <t>YV3T7U526LA201606</t>
        </is>
      </c>
      <c r="FF2130" s="15" t="n">
        <v>508235</v>
      </c>
      <c r="FG2130" s="15" t="inlineStr">
        <is>
          <t>Volvo</t>
        </is>
      </c>
      <c r="FH2130" s="15" t="inlineStr">
        <is>
          <t>B8RLEA</t>
        </is>
      </c>
      <c r="FI2130" s="15" t="inlineStr">
        <is>
          <t>MARCOPOLO</t>
        </is>
      </c>
      <c r="FJ2130" s="15" t="inlineStr">
        <is>
          <t>GRAN VIALE</t>
        </is>
      </c>
      <c r="FK2130" s="15" t="n">
        <v>2020</v>
      </c>
      <c r="FL2130" s="15" t="inlineStr">
        <is>
          <t>C</t>
        </is>
      </c>
      <c r="FM2130" s="15" t="inlineStr">
        <is>
          <t>PIE ANDINO</t>
        </is>
      </c>
      <c r="FN2130" s="15" t="inlineStr">
        <is>
          <t>Pie Andino 31 (Pie Andino 383)</t>
        </is>
      </c>
      <c r="FO2130" s="15" t="inlineStr">
        <is>
          <t>Puente Alto</t>
        </is>
      </c>
      <c r="FP2130" t="inlineStr">
        <is>
          <t>C</t>
        </is>
      </c>
    </row>
    <row r="2131">
      <c r="FC2131" t="inlineStr">
        <is>
          <t>Diccionario 3</t>
        </is>
      </c>
      <c r="FD2131" s="15" t="inlineStr">
        <is>
          <t>LZRD82</t>
        </is>
      </c>
      <c r="FE2131" s="15" t="inlineStr">
        <is>
          <t>YV3T7U527LA201498</t>
        </is>
      </c>
      <c r="FF2131" s="15" t="n">
        <v>507854</v>
      </c>
      <c r="FG2131" s="15" t="inlineStr">
        <is>
          <t>Volvo</t>
        </is>
      </c>
      <c r="FH2131" s="15" t="inlineStr">
        <is>
          <t>B8RLEA</t>
        </is>
      </c>
      <c r="FI2131" s="15" t="inlineStr">
        <is>
          <t>MARCOPOLO</t>
        </is>
      </c>
      <c r="FJ2131" s="15" t="inlineStr">
        <is>
          <t>GRAN VIALE</t>
        </is>
      </c>
      <c r="FK2131" s="15" t="n">
        <v>2020</v>
      </c>
      <c r="FL2131" s="15" t="inlineStr">
        <is>
          <t>C</t>
        </is>
      </c>
      <c r="FM2131" s="15" t="inlineStr">
        <is>
          <t>PIE ANDINO</t>
        </is>
      </c>
      <c r="FN2131" s="15" t="inlineStr">
        <is>
          <t>Pie Andino 31 (Pie Andino 383)</t>
        </is>
      </c>
      <c r="FO2131" s="15" t="inlineStr">
        <is>
          <t>Puente Alto</t>
        </is>
      </c>
      <c r="FP2131" t="inlineStr">
        <is>
          <t>C</t>
        </is>
      </c>
    </row>
    <row r="2132">
      <c r="FC2132" t="inlineStr">
        <is>
          <t>Diccionario 3</t>
        </is>
      </c>
      <c r="FD2132" s="15" t="inlineStr">
        <is>
          <t>LZRD83</t>
        </is>
      </c>
      <c r="FE2132" s="15" t="inlineStr">
        <is>
          <t>YV3T7U522LA201540</t>
        </is>
      </c>
      <c r="FF2132" s="15" t="n">
        <v>507955</v>
      </c>
      <c r="FG2132" s="15" t="inlineStr">
        <is>
          <t>Volvo</t>
        </is>
      </c>
      <c r="FH2132" s="15" t="inlineStr">
        <is>
          <t>B8RLEA</t>
        </is>
      </c>
      <c r="FI2132" s="15" t="inlineStr">
        <is>
          <t>MARCOPOLO</t>
        </is>
      </c>
      <c r="FJ2132" s="15" t="inlineStr">
        <is>
          <t>GRAN VIALE</t>
        </is>
      </c>
      <c r="FK2132" s="15" t="n">
        <v>2020</v>
      </c>
      <c r="FL2132" s="15" t="inlineStr">
        <is>
          <t>C</t>
        </is>
      </c>
      <c r="FM2132" s="15" t="inlineStr">
        <is>
          <t>SAN ALFONSO</t>
        </is>
      </c>
      <c r="FN2132" s="15" t="inlineStr">
        <is>
          <t>San Alfonso 2141 (Ramón Subercaseaux 3060)</t>
        </is>
      </c>
      <c r="FO2132" s="15" t="inlineStr">
        <is>
          <t>Estacion Central</t>
        </is>
      </c>
      <c r="FP2132" t="inlineStr">
        <is>
          <t>C</t>
        </is>
      </c>
    </row>
    <row r="2133">
      <c r="FC2133" t="inlineStr">
        <is>
          <t>Diccionario 3</t>
        </is>
      </c>
      <c r="FD2133" s="15" t="inlineStr">
        <is>
          <t>LZRD84</t>
        </is>
      </c>
      <c r="FE2133" s="15" t="inlineStr">
        <is>
          <t>YV3T7U526LA201668</t>
        </is>
      </c>
      <c r="FF2133" s="15" t="n">
        <v>508633</v>
      </c>
      <c r="FG2133" s="15" t="inlineStr">
        <is>
          <t>Volvo</t>
        </is>
      </c>
      <c r="FH2133" s="15" t="inlineStr">
        <is>
          <t>B8RLEA</t>
        </is>
      </c>
      <c r="FI2133" s="15" t="inlineStr">
        <is>
          <t>MARCOPOLO</t>
        </is>
      </c>
      <c r="FJ2133" s="15" t="inlineStr">
        <is>
          <t>GRAN VIALE</t>
        </is>
      </c>
      <c r="FK2133" s="15" t="n">
        <v>2020</v>
      </c>
      <c r="FL2133" s="15" t="inlineStr">
        <is>
          <t>C</t>
        </is>
      </c>
      <c r="FM2133" s="15" t="inlineStr">
        <is>
          <t>PIE ANDINO</t>
        </is>
      </c>
      <c r="FN2133" s="15" t="inlineStr">
        <is>
          <t>Pie Andino 31 (Pie Andino 383)</t>
        </is>
      </c>
      <c r="FO2133" s="15" t="inlineStr">
        <is>
          <t>Puente Alto</t>
        </is>
      </c>
      <c r="FP2133" t="inlineStr">
        <is>
          <t>C</t>
        </is>
      </c>
    </row>
    <row r="2134">
      <c r="FC2134" t="inlineStr">
        <is>
          <t>Diccionario 3</t>
        </is>
      </c>
      <c r="FD2134" s="15" t="inlineStr">
        <is>
          <t>LZRD85</t>
        </is>
      </c>
      <c r="FE2134" s="15" t="inlineStr">
        <is>
          <t>YV3T7U529LA201695</t>
        </is>
      </c>
      <c r="FF2134" s="15" t="n">
        <v>508651</v>
      </c>
      <c r="FG2134" s="15" t="inlineStr">
        <is>
          <t>Volvo</t>
        </is>
      </c>
      <c r="FH2134" s="15" t="inlineStr">
        <is>
          <t>B8RLEA</t>
        </is>
      </c>
      <c r="FI2134" s="15" t="inlineStr">
        <is>
          <t>MARCOPOLO</t>
        </is>
      </c>
      <c r="FJ2134" s="15" t="inlineStr">
        <is>
          <t>GRAN VIALE</t>
        </is>
      </c>
      <c r="FK2134" s="15" t="n">
        <v>2020</v>
      </c>
      <c r="FL2134" s="15" t="inlineStr">
        <is>
          <t>C</t>
        </is>
      </c>
      <c r="FM2134" s="15" t="inlineStr">
        <is>
          <t>PIE ANDINO</t>
        </is>
      </c>
      <c r="FN2134" s="15" t="inlineStr">
        <is>
          <t>Pie Andino 31 (Pie Andino 383)</t>
        </is>
      </c>
      <c r="FO2134" s="15" t="inlineStr">
        <is>
          <t>Puente Alto</t>
        </is>
      </c>
      <c r="FP2134" t="inlineStr">
        <is>
          <t>C</t>
        </is>
      </c>
    </row>
    <row r="2135">
      <c r="FC2135" t="inlineStr">
        <is>
          <t>Diccionario 3</t>
        </is>
      </c>
      <c r="FD2135" s="15" t="inlineStr">
        <is>
          <t>LZRD86</t>
        </is>
      </c>
      <c r="FE2135" s="15" t="inlineStr">
        <is>
          <t>YV3T7U521LA201609</t>
        </is>
      </c>
      <c r="FF2135" s="15" t="n">
        <v>508236</v>
      </c>
      <c r="FG2135" s="15" t="inlineStr">
        <is>
          <t>Volvo</t>
        </is>
      </c>
      <c r="FH2135" s="15" t="inlineStr">
        <is>
          <t>B8RLEA</t>
        </is>
      </c>
      <c r="FI2135" s="15" t="inlineStr">
        <is>
          <t>MARCOPOLO</t>
        </is>
      </c>
      <c r="FJ2135" s="15" t="inlineStr">
        <is>
          <t>GRAN VIALE</t>
        </is>
      </c>
      <c r="FK2135" s="15" t="n">
        <v>2020</v>
      </c>
      <c r="FL2135" s="15" t="inlineStr">
        <is>
          <t>C</t>
        </is>
      </c>
      <c r="FM2135" s="15" t="inlineStr">
        <is>
          <t>PIE ANDINO</t>
        </is>
      </c>
      <c r="FN2135" s="15" t="inlineStr">
        <is>
          <t>Pie Andino 31 (Pie Andino 383)</t>
        </is>
      </c>
      <c r="FO2135" s="15" t="inlineStr">
        <is>
          <t>Puente Alto</t>
        </is>
      </c>
      <c r="FP2135" t="inlineStr">
        <is>
          <t>C</t>
        </is>
      </c>
    </row>
    <row r="2136">
      <c r="FC2136" t="inlineStr">
        <is>
          <t>Diccionario 3</t>
        </is>
      </c>
      <c r="FD2136" s="15" t="inlineStr">
        <is>
          <t>LZRD87</t>
        </is>
      </c>
      <c r="FE2136" s="15" t="inlineStr">
        <is>
          <t>YV3T7U522LA201621</t>
        </is>
      </c>
      <c r="FF2136" s="15" t="n">
        <v>508307</v>
      </c>
      <c r="FG2136" s="15" t="inlineStr">
        <is>
          <t>Volvo</t>
        </is>
      </c>
      <c r="FH2136" s="15" t="inlineStr">
        <is>
          <t>B8RLEA</t>
        </is>
      </c>
      <c r="FI2136" s="15" t="inlineStr">
        <is>
          <t>MARCOPOLO</t>
        </is>
      </c>
      <c r="FJ2136" s="15" t="inlineStr">
        <is>
          <t>GRAN VIALE</t>
        </is>
      </c>
      <c r="FK2136" s="15" t="n">
        <v>2020</v>
      </c>
      <c r="FL2136" s="15" t="inlineStr">
        <is>
          <t>C</t>
        </is>
      </c>
      <c r="FM2136" s="15" t="inlineStr">
        <is>
          <t>PIE ANDINO</t>
        </is>
      </c>
      <c r="FN2136" s="15" t="inlineStr">
        <is>
          <t>Pie Andino 31 (Pie Andino 383)</t>
        </is>
      </c>
      <c r="FO2136" s="15" t="inlineStr">
        <is>
          <t>Puente Alto</t>
        </is>
      </c>
      <c r="FP2136" t="inlineStr">
        <is>
          <t>C</t>
        </is>
      </c>
    </row>
    <row r="2137">
      <c r="FC2137" t="inlineStr">
        <is>
          <t>Diccionario 3</t>
        </is>
      </c>
      <c r="FD2137" s="15" t="inlineStr">
        <is>
          <t>LZRD88</t>
        </is>
      </c>
      <c r="FE2137" s="15" t="inlineStr">
        <is>
          <t>YV3T7U528LA201607</t>
        </is>
      </c>
      <c r="FF2137" s="15" t="n">
        <v>508215</v>
      </c>
      <c r="FG2137" s="15" t="inlineStr">
        <is>
          <t>Volvo</t>
        </is>
      </c>
      <c r="FH2137" s="15" t="inlineStr">
        <is>
          <t>B8RLEA</t>
        </is>
      </c>
      <c r="FI2137" s="15" t="inlineStr">
        <is>
          <t>MARCOPOLO</t>
        </is>
      </c>
      <c r="FJ2137" s="15" t="inlineStr">
        <is>
          <t>GRAN VIALE</t>
        </is>
      </c>
      <c r="FK2137" s="15" t="n">
        <v>2020</v>
      </c>
      <c r="FL2137" s="15" t="inlineStr">
        <is>
          <t>C</t>
        </is>
      </c>
      <c r="FM2137" s="15" t="inlineStr">
        <is>
          <t>SAN ALFONSO</t>
        </is>
      </c>
      <c r="FN2137" s="15" t="inlineStr">
        <is>
          <t>San Alfonso 2141 (Ramón Subercaseaux 3060)</t>
        </is>
      </c>
      <c r="FO2137" s="15" t="inlineStr">
        <is>
          <t>Estacion Central</t>
        </is>
      </c>
      <c r="FP2137" t="inlineStr">
        <is>
          <t>C</t>
        </is>
      </c>
    </row>
    <row r="2138">
      <c r="FC2138" t="inlineStr">
        <is>
          <t>Diccionario 3</t>
        </is>
      </c>
      <c r="FD2138" s="15" t="inlineStr">
        <is>
          <t>LZRD89</t>
        </is>
      </c>
      <c r="FE2138" s="15" t="inlineStr">
        <is>
          <t>YV3T7U527LA201694</t>
        </is>
      </c>
      <c r="FF2138" s="15" t="n">
        <v>508655</v>
      </c>
      <c r="FG2138" s="15" t="inlineStr">
        <is>
          <t>Volvo</t>
        </is>
      </c>
      <c r="FH2138" s="15" t="inlineStr">
        <is>
          <t>B8RLEA</t>
        </is>
      </c>
      <c r="FI2138" s="15" t="inlineStr">
        <is>
          <t>MARCOPOLO</t>
        </is>
      </c>
      <c r="FJ2138" s="15" t="inlineStr">
        <is>
          <t>GRAN VIALE</t>
        </is>
      </c>
      <c r="FK2138" s="15" t="n">
        <v>2020</v>
      </c>
      <c r="FL2138" s="15" t="inlineStr">
        <is>
          <t>C</t>
        </is>
      </c>
      <c r="FM2138" s="15" t="inlineStr">
        <is>
          <t>PIE ANDINO</t>
        </is>
      </c>
      <c r="FN2138" s="15" t="inlineStr">
        <is>
          <t>Pie Andino 31 (Pie Andino 383)</t>
        </is>
      </c>
      <c r="FO2138" s="15" t="inlineStr">
        <is>
          <t>Puente Alto</t>
        </is>
      </c>
      <c r="FP2138" t="inlineStr">
        <is>
          <t>C</t>
        </is>
      </c>
    </row>
    <row r="2139">
      <c r="FC2139" t="inlineStr">
        <is>
          <t>Diccionario 3</t>
        </is>
      </c>
      <c r="FD2139" s="15" t="inlineStr">
        <is>
          <t>LZRD90</t>
        </is>
      </c>
      <c r="FE2139" s="15" t="inlineStr">
        <is>
          <t>YV3T7U528LA201610</t>
        </is>
      </c>
      <c r="FF2139" s="15" t="n">
        <v>508198</v>
      </c>
      <c r="FG2139" s="15" t="inlineStr">
        <is>
          <t>Volvo</t>
        </is>
      </c>
      <c r="FH2139" s="15" t="inlineStr">
        <is>
          <t>B8RLEA</t>
        </is>
      </c>
      <c r="FI2139" s="15" t="inlineStr">
        <is>
          <t>MARCOPOLO</t>
        </is>
      </c>
      <c r="FJ2139" s="15" t="inlineStr">
        <is>
          <t>GRAN VIALE</t>
        </is>
      </c>
      <c r="FK2139" s="15" t="n">
        <v>2020</v>
      </c>
      <c r="FL2139" s="15" t="inlineStr">
        <is>
          <t>C</t>
        </is>
      </c>
      <c r="FM2139" s="15" t="inlineStr">
        <is>
          <t>PIE ANDINO</t>
        </is>
      </c>
      <c r="FN2139" s="15" t="inlineStr">
        <is>
          <t>Pie Andino 31 (Pie Andino 383)</t>
        </is>
      </c>
      <c r="FO2139" s="15" t="inlineStr">
        <is>
          <t>Puente Alto</t>
        </is>
      </c>
      <c r="FP2139" t="inlineStr">
        <is>
          <t>C</t>
        </is>
      </c>
    </row>
    <row r="2140">
      <c r="FC2140" t="inlineStr">
        <is>
          <t>Diccionario 3</t>
        </is>
      </c>
      <c r="FD2140" s="15" t="inlineStr">
        <is>
          <t>LZRD91</t>
        </is>
      </c>
      <c r="FE2140" s="15" t="inlineStr">
        <is>
          <t>YV3T7U525LA201922</t>
        </is>
      </c>
      <c r="FF2140" s="15" t="n">
        <v>509348</v>
      </c>
      <c r="FG2140" s="15" t="inlineStr">
        <is>
          <t>Volvo</t>
        </is>
      </c>
      <c r="FH2140" s="15" t="inlineStr">
        <is>
          <t>B8RLEA</t>
        </is>
      </c>
      <c r="FI2140" s="15" t="inlineStr">
        <is>
          <t>MARCOPOLO</t>
        </is>
      </c>
      <c r="FJ2140" s="15" t="inlineStr">
        <is>
          <t>GRAN VIALE</t>
        </is>
      </c>
      <c r="FK2140" s="15" t="n">
        <v>2020</v>
      </c>
      <c r="FL2140" s="15" t="inlineStr">
        <is>
          <t>C</t>
        </is>
      </c>
      <c r="FM2140" s="15" t="inlineStr">
        <is>
          <t>SAN ALFONSO</t>
        </is>
      </c>
      <c r="FN2140" s="15" t="inlineStr">
        <is>
          <t>San Alfonso 2141 (Ramón Subercaseaux 3060)</t>
        </is>
      </c>
      <c r="FO2140" s="15" t="inlineStr">
        <is>
          <t>Estacion Central</t>
        </is>
      </c>
      <c r="FP2140" t="inlineStr">
        <is>
          <t>C</t>
        </is>
      </c>
    </row>
    <row r="2141">
      <c r="FC2141" t="inlineStr">
        <is>
          <t>Diccionario 3</t>
        </is>
      </c>
      <c r="FD2141" s="15" t="inlineStr">
        <is>
          <t>LZRD92</t>
        </is>
      </c>
      <c r="FE2141" s="15" t="inlineStr">
        <is>
          <t>YV3T7U527LA201906</t>
        </is>
      </c>
      <c r="FF2141" s="15" t="n">
        <v>509467</v>
      </c>
      <c r="FG2141" s="15" t="inlineStr">
        <is>
          <t>Volvo</t>
        </is>
      </c>
      <c r="FH2141" s="15" t="inlineStr">
        <is>
          <t>B8RLEA</t>
        </is>
      </c>
      <c r="FI2141" s="15" t="inlineStr">
        <is>
          <t>MARCOPOLO</t>
        </is>
      </c>
      <c r="FJ2141" s="15" t="inlineStr">
        <is>
          <t>GRAN VIALE</t>
        </is>
      </c>
      <c r="FK2141" s="15" t="n">
        <v>2020</v>
      </c>
      <c r="FL2141" s="15" t="inlineStr">
        <is>
          <t>C</t>
        </is>
      </c>
      <c r="FM2141" s="15" t="inlineStr">
        <is>
          <t>SAN ALFONSO</t>
        </is>
      </c>
      <c r="FN2141" s="15" t="inlineStr">
        <is>
          <t>San Alfonso 2141 (Ramón Subercaseaux 3060)</t>
        </is>
      </c>
      <c r="FO2141" s="15" t="inlineStr">
        <is>
          <t>Estacion Central</t>
        </is>
      </c>
      <c r="FP2141" t="inlineStr">
        <is>
          <t>C</t>
        </is>
      </c>
    </row>
    <row r="2142">
      <c r="FC2142" t="inlineStr">
        <is>
          <t>Diccionario 3</t>
        </is>
      </c>
      <c r="FD2142" s="21" t="inlineStr">
        <is>
          <t>LZRD61</t>
        </is>
      </c>
      <c r="FE2142" s="15" t="inlineStr">
        <is>
          <t>YV3T7U528LA201848</t>
        </is>
      </c>
      <c r="FF2142" s="15" t="n">
        <v>507981</v>
      </c>
      <c r="FG2142" s="15" t="inlineStr">
        <is>
          <t>Volvo</t>
        </is>
      </c>
      <c r="FH2142" s="15" t="inlineStr">
        <is>
          <t>B8RLEA</t>
        </is>
      </c>
      <c r="FI2142" s="15" t="inlineStr">
        <is>
          <t>MARCOPOLO</t>
        </is>
      </c>
      <c r="FJ2142" s="15" t="inlineStr">
        <is>
          <t>GRAN VIALE</t>
        </is>
      </c>
      <c r="FK2142" s="15" t="n">
        <v>2020</v>
      </c>
      <c r="FL2142" s="15" t="inlineStr">
        <is>
          <t>C</t>
        </is>
      </c>
      <c r="FM2142" s="15" t="inlineStr">
        <is>
          <t>PIE ANDINO</t>
        </is>
      </c>
      <c r="FN2142" s="15" t="inlineStr">
        <is>
          <t>Pie Andino 31 (Pie Andino 383)</t>
        </is>
      </c>
      <c r="FO2142" s="15" t="inlineStr">
        <is>
          <t>Puente Alto</t>
        </is>
      </c>
      <c r="FP2142" t="inlineStr">
        <is>
          <t>C</t>
        </is>
      </c>
    </row>
    <row r="2143">
      <c r="FC2143" t="inlineStr">
        <is>
          <t>Diccionario 3</t>
        </is>
      </c>
      <c r="FD2143" s="15" t="inlineStr">
        <is>
          <t>LZRD94</t>
        </is>
      </c>
      <c r="FE2143" s="15" t="inlineStr">
        <is>
          <t>YV3T7U523LA201708</t>
        </is>
      </c>
      <c r="FF2143" s="15" t="n">
        <v>508404</v>
      </c>
      <c r="FG2143" s="15" t="inlineStr">
        <is>
          <t>Volvo</t>
        </is>
      </c>
      <c r="FH2143" s="15" t="inlineStr">
        <is>
          <t>B8RLEA</t>
        </is>
      </c>
      <c r="FI2143" s="15" t="inlineStr">
        <is>
          <t>MARCOPOLO</t>
        </is>
      </c>
      <c r="FJ2143" s="15" t="inlineStr">
        <is>
          <t>GRAN VIALE</t>
        </is>
      </c>
      <c r="FK2143" s="15" t="n">
        <v>2020</v>
      </c>
      <c r="FL2143" s="15" t="inlineStr">
        <is>
          <t>C</t>
        </is>
      </c>
      <c r="FM2143" s="15" t="inlineStr">
        <is>
          <t>PIE ANDINO</t>
        </is>
      </c>
      <c r="FN2143" s="15" t="inlineStr">
        <is>
          <t>Pie Andino 31 (Pie Andino 383)</t>
        </is>
      </c>
      <c r="FO2143" s="15" t="inlineStr">
        <is>
          <t>Puente Alto</t>
        </is>
      </c>
      <c r="FP2143" t="inlineStr">
        <is>
          <t>C</t>
        </is>
      </c>
    </row>
    <row r="2144">
      <c r="FC2144" t="inlineStr">
        <is>
          <t>Diccionario 3</t>
        </is>
      </c>
      <c r="FD2144" s="15" t="inlineStr">
        <is>
          <t>LZRD95</t>
        </is>
      </c>
      <c r="FE2144" s="15" t="inlineStr">
        <is>
          <t>YV3T7U525LA201905</t>
        </is>
      </c>
      <c r="FF2144" s="15" t="n">
        <v>509585</v>
      </c>
      <c r="FG2144" s="15" t="inlineStr">
        <is>
          <t>Volvo</t>
        </is>
      </c>
      <c r="FH2144" s="15" t="inlineStr">
        <is>
          <t>B8RLEA</t>
        </is>
      </c>
      <c r="FI2144" s="15" t="inlineStr">
        <is>
          <t>MARCOPOLO</t>
        </is>
      </c>
      <c r="FJ2144" s="15" t="inlineStr">
        <is>
          <t>GRAN VIALE</t>
        </is>
      </c>
      <c r="FK2144" s="15" t="n">
        <v>2020</v>
      </c>
      <c r="FL2144" s="15" t="inlineStr">
        <is>
          <t>C</t>
        </is>
      </c>
      <c r="FM2144" s="15" t="inlineStr">
        <is>
          <t>PIE ANDINO</t>
        </is>
      </c>
      <c r="FN2144" s="15" t="inlineStr">
        <is>
          <t>Pie Andino 31 (Pie Andino 383)</t>
        </is>
      </c>
      <c r="FO2144" s="15" t="inlineStr">
        <is>
          <t>Puente Alto</t>
        </is>
      </c>
      <c r="FP2144" t="inlineStr">
        <is>
          <t>C</t>
        </is>
      </c>
    </row>
    <row r="2145">
      <c r="FC2145" t="inlineStr">
        <is>
          <t>Diccionario 3</t>
        </is>
      </c>
      <c r="FD2145" s="15" t="inlineStr">
        <is>
          <t>LZRD96</t>
        </is>
      </c>
      <c r="FE2145" s="15" t="inlineStr">
        <is>
          <t>YV3T7U520LA201908</t>
        </is>
      </c>
      <c r="FF2145" s="15" t="n">
        <v>509583</v>
      </c>
      <c r="FG2145" s="15" t="inlineStr">
        <is>
          <t>Volvo</t>
        </is>
      </c>
      <c r="FH2145" s="15" t="inlineStr">
        <is>
          <t>B8RLEA</t>
        </is>
      </c>
      <c r="FI2145" s="15" t="inlineStr">
        <is>
          <t>MARCOPOLO</t>
        </is>
      </c>
      <c r="FJ2145" s="15" t="inlineStr">
        <is>
          <t>GRAN VIALE</t>
        </is>
      </c>
      <c r="FK2145" s="15" t="n">
        <v>2020</v>
      </c>
      <c r="FL2145" s="15" t="inlineStr">
        <is>
          <t>C</t>
        </is>
      </c>
      <c r="FM2145" s="15" t="inlineStr">
        <is>
          <t>PIE ANDINO</t>
        </is>
      </c>
      <c r="FN2145" s="15" t="inlineStr">
        <is>
          <t>Pie Andino 31 (Pie Andino 383)</t>
        </is>
      </c>
      <c r="FO2145" s="15" t="inlineStr">
        <is>
          <t>Puente Alto</t>
        </is>
      </c>
      <c r="FP2145" t="inlineStr">
        <is>
          <t>C</t>
        </is>
      </c>
    </row>
    <row r="2146">
      <c r="FC2146" t="inlineStr">
        <is>
          <t>Diccionario 3</t>
        </is>
      </c>
      <c r="FD2146" s="15" t="inlineStr">
        <is>
          <t>LZRD97</t>
        </is>
      </c>
      <c r="FE2146" s="15" t="inlineStr">
        <is>
          <t>YV3T7U529LA201907</t>
        </is>
      </c>
      <c r="FF2146" s="15" t="n">
        <v>509444</v>
      </c>
      <c r="FG2146" s="15" t="inlineStr">
        <is>
          <t>Volvo</t>
        </is>
      </c>
      <c r="FH2146" s="15" t="inlineStr">
        <is>
          <t>B8RLEA</t>
        </is>
      </c>
      <c r="FI2146" s="15" t="inlineStr">
        <is>
          <t>MARCOPOLO</t>
        </is>
      </c>
      <c r="FJ2146" s="15" t="inlineStr">
        <is>
          <t>GRAN VIALE</t>
        </is>
      </c>
      <c r="FK2146" s="15" t="n">
        <v>2020</v>
      </c>
      <c r="FL2146" s="15" t="inlineStr">
        <is>
          <t>C</t>
        </is>
      </c>
      <c r="FM2146" s="15" t="inlineStr">
        <is>
          <t>PIE ANDINO</t>
        </is>
      </c>
      <c r="FN2146" s="15" t="inlineStr">
        <is>
          <t>Pie Andino 31 (Pie Andino 383)</t>
        </is>
      </c>
      <c r="FO2146" s="15" t="inlineStr">
        <is>
          <t>Puente Alto</t>
        </is>
      </c>
      <c r="FP2146" t="inlineStr">
        <is>
          <t>C</t>
        </is>
      </c>
    </row>
    <row r="2147">
      <c r="FC2147" t="inlineStr">
        <is>
          <t>Diccionario 3</t>
        </is>
      </c>
      <c r="FD2147" s="15" t="inlineStr">
        <is>
          <t>LZRD98</t>
        </is>
      </c>
      <c r="FE2147" s="15" t="inlineStr">
        <is>
          <t>YV3T7U526LA201802</t>
        </is>
      </c>
      <c r="FF2147" s="15" t="n">
        <v>509171</v>
      </c>
      <c r="FG2147" s="15" t="inlineStr">
        <is>
          <t>Volvo</t>
        </is>
      </c>
      <c r="FH2147" s="15" t="inlineStr">
        <is>
          <t>B8RLEA</t>
        </is>
      </c>
      <c r="FI2147" s="15" t="inlineStr">
        <is>
          <t>MARCOPOLO</t>
        </is>
      </c>
      <c r="FJ2147" s="15" t="inlineStr">
        <is>
          <t>GRAN VIALE</t>
        </is>
      </c>
      <c r="FK2147" s="15" t="n">
        <v>2020</v>
      </c>
      <c r="FL2147" s="15" t="inlineStr">
        <is>
          <t>C</t>
        </is>
      </c>
      <c r="FM2147" s="15" t="inlineStr">
        <is>
          <t>PIE ANDINO</t>
        </is>
      </c>
      <c r="FN2147" s="15" t="inlineStr">
        <is>
          <t>Pie Andino 31 (Pie Andino 383)</t>
        </is>
      </c>
      <c r="FO2147" s="15" t="inlineStr">
        <is>
          <t>Puente Alto</t>
        </is>
      </c>
      <c r="FP2147" t="inlineStr">
        <is>
          <t>C</t>
        </is>
      </c>
    </row>
    <row r="2148">
      <c r="FC2148" t="inlineStr">
        <is>
          <t>Diccionario 3</t>
        </is>
      </c>
      <c r="FD2148" s="15" t="inlineStr">
        <is>
          <t>LZRD99</t>
        </is>
      </c>
      <c r="FE2148" s="15" t="inlineStr">
        <is>
          <t>YV3T7U523LA201904</t>
        </is>
      </c>
      <c r="FF2148" s="15" t="n">
        <v>509572</v>
      </c>
      <c r="FG2148" s="15" t="inlineStr">
        <is>
          <t>Volvo</t>
        </is>
      </c>
      <c r="FH2148" s="15" t="inlineStr">
        <is>
          <t>B8RLEA</t>
        </is>
      </c>
      <c r="FI2148" s="15" t="inlineStr">
        <is>
          <t>MARCOPOLO</t>
        </is>
      </c>
      <c r="FJ2148" s="15" t="inlineStr">
        <is>
          <t>GRAN VIALE</t>
        </is>
      </c>
      <c r="FK2148" s="15" t="n">
        <v>2020</v>
      </c>
      <c r="FL2148" s="15" t="inlineStr">
        <is>
          <t>C</t>
        </is>
      </c>
      <c r="FM2148" s="15" t="inlineStr">
        <is>
          <t>PIE ANDINO</t>
        </is>
      </c>
      <c r="FN2148" s="15" t="inlineStr">
        <is>
          <t>Pie Andino 31 (Pie Andino 383)</t>
        </is>
      </c>
      <c r="FO2148" s="15" t="inlineStr">
        <is>
          <t>Puente Alto</t>
        </is>
      </c>
      <c r="FP2148" t="inlineStr">
        <is>
          <t>C</t>
        </is>
      </c>
    </row>
    <row r="2149">
      <c r="FC2149" t="inlineStr">
        <is>
          <t>Diccionario 3</t>
        </is>
      </c>
      <c r="FD2149" s="15" t="inlineStr">
        <is>
          <t>LZRF10</t>
        </is>
      </c>
      <c r="FE2149" s="15" t="inlineStr">
        <is>
          <t>YV3T7U525LA201712</t>
        </is>
      </c>
      <c r="FF2149" s="15" t="n">
        <v>508475</v>
      </c>
      <c r="FG2149" s="15" t="inlineStr">
        <is>
          <t>Volvo</t>
        </is>
      </c>
      <c r="FH2149" s="15" t="inlineStr">
        <is>
          <t>B8RLEA</t>
        </is>
      </c>
      <c r="FI2149" s="15" t="inlineStr">
        <is>
          <t>MARCOPOLO</t>
        </is>
      </c>
      <c r="FJ2149" s="15" t="inlineStr">
        <is>
          <t>GRAN VIALE</t>
        </is>
      </c>
      <c r="FK2149" s="15" t="n">
        <v>2020</v>
      </c>
      <c r="FL2149" s="15" t="inlineStr">
        <is>
          <t>C</t>
        </is>
      </c>
      <c r="FM2149" s="15" t="inlineStr">
        <is>
          <t>PIE ANDINO</t>
        </is>
      </c>
      <c r="FN2149" s="15" t="inlineStr">
        <is>
          <t>Pie Andino 31 (Pie Andino 383)</t>
        </is>
      </c>
      <c r="FO2149" s="15" t="inlineStr">
        <is>
          <t>Puente Alto</t>
        </is>
      </c>
      <c r="FP2149" t="inlineStr">
        <is>
          <t>C</t>
        </is>
      </c>
    </row>
    <row r="2150">
      <c r="FC2150" t="inlineStr">
        <is>
          <t>Diccionario 3</t>
        </is>
      </c>
      <c r="FD2150" s="15" t="inlineStr">
        <is>
          <t>LZRF11</t>
        </is>
      </c>
      <c r="FE2150" s="15" t="inlineStr">
        <is>
          <t>YV3T7U526LA201847</t>
        </is>
      </c>
      <c r="FF2150" s="15" t="n">
        <v>507974</v>
      </c>
      <c r="FG2150" s="15" t="inlineStr">
        <is>
          <t>Volvo</t>
        </is>
      </c>
      <c r="FH2150" s="15" t="inlineStr">
        <is>
          <t>B8RLEA</t>
        </is>
      </c>
      <c r="FI2150" s="15" t="inlineStr">
        <is>
          <t>MARCOPOLO</t>
        </is>
      </c>
      <c r="FJ2150" s="15" t="inlineStr">
        <is>
          <t>GRAN VIALE</t>
        </is>
      </c>
      <c r="FK2150" s="15" t="n">
        <v>2020</v>
      </c>
      <c r="FL2150" s="15" t="inlineStr">
        <is>
          <t>C</t>
        </is>
      </c>
      <c r="FM2150" s="15" t="inlineStr">
        <is>
          <t>PIE ANDINO</t>
        </is>
      </c>
      <c r="FN2150" s="15" t="inlineStr">
        <is>
          <t>Pie Andino 31 (Pie Andino 383)</t>
        </is>
      </c>
      <c r="FO2150" s="15" t="inlineStr">
        <is>
          <t>Puente Alto</t>
        </is>
      </c>
      <c r="FP2150" t="inlineStr">
        <is>
          <t>C</t>
        </is>
      </c>
    </row>
    <row r="2151">
      <c r="FC2151" t="inlineStr">
        <is>
          <t>Diccionario 3</t>
        </is>
      </c>
      <c r="FD2151" s="15" t="inlineStr">
        <is>
          <t>LZRF12</t>
        </is>
      </c>
      <c r="FE2151" s="15" t="inlineStr">
        <is>
          <t>YV3T7U528LA201851</t>
        </is>
      </c>
      <c r="FF2151" s="15" t="n">
        <v>508008</v>
      </c>
      <c r="FG2151" s="15" t="inlineStr">
        <is>
          <t>Volvo</t>
        </is>
      </c>
      <c r="FH2151" s="15" t="inlineStr">
        <is>
          <t>B8RLEA</t>
        </is>
      </c>
      <c r="FI2151" s="15" t="inlineStr">
        <is>
          <t>MARCOPOLO</t>
        </is>
      </c>
      <c r="FJ2151" s="15" t="inlineStr">
        <is>
          <t>GRAN VIALE</t>
        </is>
      </c>
      <c r="FK2151" s="15" t="n">
        <v>2020</v>
      </c>
      <c r="FL2151" s="15" t="inlineStr">
        <is>
          <t>C</t>
        </is>
      </c>
      <c r="FM2151" s="15" t="inlineStr">
        <is>
          <t>PIE ANDINO</t>
        </is>
      </c>
      <c r="FN2151" s="15" t="inlineStr">
        <is>
          <t>Pie Andino 31 (Pie Andino 383)</t>
        </is>
      </c>
      <c r="FO2151" s="15" t="inlineStr">
        <is>
          <t>Puente Alto</t>
        </is>
      </c>
      <c r="FP2151" t="inlineStr">
        <is>
          <t>C</t>
        </is>
      </c>
    </row>
    <row r="2152">
      <c r="FC2152" t="inlineStr">
        <is>
          <t>Diccionario 3</t>
        </is>
      </c>
      <c r="FD2152" s="15" t="inlineStr">
        <is>
          <t>LZRF13</t>
        </is>
      </c>
      <c r="FE2152" s="15" t="inlineStr">
        <is>
          <t>YV3T7U529LA201499</t>
        </is>
      </c>
      <c r="FF2152" s="15" t="n">
        <v>507878</v>
      </c>
      <c r="FG2152" s="15" t="inlineStr">
        <is>
          <t>Volvo</t>
        </is>
      </c>
      <c r="FH2152" s="15" t="inlineStr">
        <is>
          <t>B8RLEA</t>
        </is>
      </c>
      <c r="FI2152" s="15" t="inlineStr">
        <is>
          <t>MARCOPOLO</t>
        </is>
      </c>
      <c r="FJ2152" s="15" t="inlineStr">
        <is>
          <t>GRAN VIALE</t>
        </is>
      </c>
      <c r="FK2152" s="15" t="n">
        <v>2020</v>
      </c>
      <c r="FL2152" s="15" t="inlineStr">
        <is>
          <t>C</t>
        </is>
      </c>
      <c r="FM2152" s="15" t="inlineStr">
        <is>
          <t>PIE ANDINO</t>
        </is>
      </c>
      <c r="FN2152" s="15" t="inlineStr">
        <is>
          <t>Pie Andino 31 (Pie Andino 383)</t>
        </is>
      </c>
      <c r="FO2152" s="15" t="inlineStr">
        <is>
          <t>Puente Alto</t>
        </is>
      </c>
      <c r="FP2152" t="inlineStr">
        <is>
          <t>C</t>
        </is>
      </c>
    </row>
    <row r="2153">
      <c r="FC2153" t="inlineStr">
        <is>
          <t>Diccionario 3</t>
        </is>
      </c>
      <c r="FD2153" s="15" t="inlineStr">
        <is>
          <t>LZRF14</t>
        </is>
      </c>
      <c r="FE2153" s="15" t="inlineStr">
        <is>
          <t>YV3T7U524LA201541</t>
        </is>
      </c>
      <c r="FF2153" s="15" t="n">
        <v>507933</v>
      </c>
      <c r="FG2153" s="15" t="inlineStr">
        <is>
          <t>Volvo</t>
        </is>
      </c>
      <c r="FH2153" s="15" t="inlineStr">
        <is>
          <t>B8RLEA</t>
        </is>
      </c>
      <c r="FI2153" s="15" t="inlineStr">
        <is>
          <t>MARCOPOLO</t>
        </is>
      </c>
      <c r="FJ2153" s="15" t="inlineStr">
        <is>
          <t>GRAN VIALE</t>
        </is>
      </c>
      <c r="FK2153" s="15" t="n">
        <v>2020</v>
      </c>
      <c r="FL2153" s="15" t="inlineStr">
        <is>
          <t>C</t>
        </is>
      </c>
      <c r="FM2153" s="15" t="inlineStr">
        <is>
          <t>PIE ANDINO</t>
        </is>
      </c>
      <c r="FN2153" s="15" t="inlineStr">
        <is>
          <t>Pie Andino 31 (Pie Andino 383)</t>
        </is>
      </c>
      <c r="FO2153" s="15" t="inlineStr">
        <is>
          <t>Puente Alto</t>
        </is>
      </c>
      <c r="FP2153" t="inlineStr">
        <is>
          <t>C</t>
        </is>
      </c>
    </row>
    <row r="2154">
      <c r="FC2154" t="inlineStr">
        <is>
          <t>Diccionario 3</t>
        </is>
      </c>
      <c r="FD2154" s="15" t="inlineStr">
        <is>
          <t>LZRF15</t>
        </is>
      </c>
      <c r="FE2154" s="15" t="inlineStr">
        <is>
          <t>YV3T7U524LA198723</t>
        </is>
      </c>
      <c r="FF2154" s="15" t="n">
        <v>508173</v>
      </c>
      <c r="FG2154" s="15" t="inlineStr">
        <is>
          <t>Volvo</t>
        </is>
      </c>
      <c r="FH2154" s="15" t="inlineStr">
        <is>
          <t>B8RLEA</t>
        </is>
      </c>
      <c r="FI2154" s="15" t="inlineStr">
        <is>
          <t>MARCOPOLO</t>
        </is>
      </c>
      <c r="FJ2154" s="15" t="inlineStr">
        <is>
          <t>GRAN VIALE</t>
        </is>
      </c>
      <c r="FK2154" s="15" t="n">
        <v>2020</v>
      </c>
      <c r="FL2154" s="15" t="inlineStr">
        <is>
          <t>C</t>
        </is>
      </c>
      <c r="FM2154" s="15" t="inlineStr">
        <is>
          <t>PIE ANDINO</t>
        </is>
      </c>
      <c r="FN2154" s="15" t="inlineStr">
        <is>
          <t>Pie Andino 31 (Pie Andino 383)</t>
        </is>
      </c>
      <c r="FO2154" s="15" t="inlineStr">
        <is>
          <t>Puente Alto</t>
        </is>
      </c>
      <c r="FP2154" t="inlineStr">
        <is>
          <t>C</t>
        </is>
      </c>
    </row>
    <row r="2155">
      <c r="FC2155" t="inlineStr">
        <is>
          <t>Diccionario 3</t>
        </is>
      </c>
      <c r="FD2155" s="15" t="inlineStr">
        <is>
          <t>RJXT26</t>
        </is>
      </c>
      <c r="FE2155" s="15" t="inlineStr">
        <is>
          <t>YV3T7U528KA194902</t>
        </is>
      </c>
      <c r="FF2155" s="15" t="n">
        <v>480074</v>
      </c>
      <c r="FG2155" s="15" t="inlineStr">
        <is>
          <t>Volvo</t>
        </is>
      </c>
      <c r="FH2155" s="15" t="inlineStr">
        <is>
          <t>B8RLEA</t>
        </is>
      </c>
      <c r="FI2155" s="15" t="inlineStr">
        <is>
          <t>MARCOPOLO</t>
        </is>
      </c>
      <c r="FJ2155" s="15" t="inlineStr">
        <is>
          <t>MONDEGO II</t>
        </is>
      </c>
      <c r="FK2155" s="15" t="n">
        <v>2021</v>
      </c>
      <c r="FL2155" s="15" t="inlineStr">
        <is>
          <t>C</t>
        </is>
      </c>
      <c r="FM2155" s="15" t="inlineStr">
        <is>
          <t>PIE ANDINO</t>
        </is>
      </c>
      <c r="FN2155" s="15" t="inlineStr">
        <is>
          <t>Pie Andino 31 (Pie Andino 383)</t>
        </is>
      </c>
      <c r="FO2155" s="15" t="inlineStr">
        <is>
          <t>Puente Alto</t>
        </is>
      </c>
      <c r="FP2155" t="inlineStr">
        <is>
          <t>C</t>
        </is>
      </c>
    </row>
    <row r="2156">
      <c r="FC2156" t="inlineStr">
        <is>
          <t>Diccionario 3</t>
        </is>
      </c>
      <c r="FD2156" s="15" t="inlineStr">
        <is>
          <t>RWTP78</t>
        </is>
      </c>
      <c r="FE2156" s="15" t="inlineStr">
        <is>
          <t>YV3T7U52XNA207976</t>
        </is>
      </c>
      <c r="FF2156" s="15" t="n">
        <v>552632</v>
      </c>
      <c r="FG2156" s="15" t="inlineStr">
        <is>
          <t>Volvo</t>
        </is>
      </c>
      <c r="FH2156" s="15" t="inlineStr">
        <is>
          <t>B8RLEA</t>
        </is>
      </c>
      <c r="FI2156" s="15" t="inlineStr">
        <is>
          <t>MARCOPOLO</t>
        </is>
      </c>
      <c r="FJ2156" s="15" t="inlineStr">
        <is>
          <t>GRAN VIALE</t>
        </is>
      </c>
      <c r="FK2156" s="15" t="n">
        <v>2022</v>
      </c>
      <c r="FL2156" s="15" t="inlineStr">
        <is>
          <t>C</t>
        </is>
      </c>
      <c r="FM2156" s="15" t="inlineStr">
        <is>
          <t>PIE ANDINO</t>
        </is>
      </c>
      <c r="FN2156" s="15" t="inlineStr">
        <is>
          <t>Pie Andino 31 (Pie Andino 383)</t>
        </is>
      </c>
      <c r="FO2156" s="15" t="inlineStr">
        <is>
          <t>Puente Alto</t>
        </is>
      </c>
      <c r="FP2156" t="inlineStr">
        <is>
          <t>C</t>
        </is>
      </c>
    </row>
    <row r="2157">
      <c r="FC2157" t="inlineStr">
        <is>
          <t>Diccionario 3</t>
        </is>
      </c>
      <c r="FD2157" s="15" t="inlineStr">
        <is>
          <t>RWTP79</t>
        </is>
      </c>
      <c r="FE2157" s="15" t="inlineStr">
        <is>
          <t>YV3T7U52XNA207895</t>
        </is>
      </c>
      <c r="FF2157" s="15" t="n">
        <v>552649</v>
      </c>
      <c r="FG2157" s="15" t="inlineStr">
        <is>
          <t>Volvo</t>
        </is>
      </c>
      <c r="FH2157" s="15" t="inlineStr">
        <is>
          <t>B8RLEA</t>
        </is>
      </c>
      <c r="FI2157" s="15" t="inlineStr">
        <is>
          <t>MARCOPOLO</t>
        </is>
      </c>
      <c r="FJ2157" s="15" t="inlineStr">
        <is>
          <t>GRAN VIALE</t>
        </is>
      </c>
      <c r="FK2157" s="15" t="n">
        <v>2022</v>
      </c>
      <c r="FL2157" s="15" t="inlineStr">
        <is>
          <t>C</t>
        </is>
      </c>
      <c r="FM2157" s="15" t="inlineStr">
        <is>
          <t>SAN ALFONSO</t>
        </is>
      </c>
      <c r="FN2157" s="15" t="inlineStr">
        <is>
          <t>San Alfonso 2141 (Ramón Subercaseaux 3060)</t>
        </is>
      </c>
      <c r="FO2157" s="15" t="inlineStr">
        <is>
          <t>Estacion Central</t>
        </is>
      </c>
      <c r="FP2157" t="inlineStr">
        <is>
          <t>C</t>
        </is>
      </c>
    </row>
    <row r="2158">
      <c r="FC2158" t="inlineStr">
        <is>
          <t>Diccionario 3</t>
        </is>
      </c>
      <c r="FD2158" s="15" t="inlineStr">
        <is>
          <t>RWTP80</t>
        </is>
      </c>
      <c r="FE2158" s="15" t="inlineStr">
        <is>
          <t>YV3T7U528NA207894</t>
        </is>
      </c>
      <c r="FF2158" s="15" t="n">
        <v>552624</v>
      </c>
      <c r="FG2158" s="15" t="inlineStr">
        <is>
          <t>Volvo</t>
        </is>
      </c>
      <c r="FH2158" s="15" t="inlineStr">
        <is>
          <t>B8RLEA</t>
        </is>
      </c>
      <c r="FI2158" s="15" t="inlineStr">
        <is>
          <t>MARCOPOLO</t>
        </is>
      </c>
      <c r="FJ2158" s="15" t="inlineStr">
        <is>
          <t>GRAN VIALE</t>
        </is>
      </c>
      <c r="FK2158" s="15" t="n">
        <v>2022</v>
      </c>
      <c r="FL2158" s="15" t="inlineStr">
        <is>
          <t>C</t>
        </is>
      </c>
      <c r="FM2158" s="15" t="inlineStr">
        <is>
          <t>SAN ALFONSO</t>
        </is>
      </c>
      <c r="FN2158" s="15" t="inlineStr">
        <is>
          <t>San Alfonso 2141 (Ramón Subercaseaux 3060)</t>
        </is>
      </c>
      <c r="FO2158" s="15" t="inlineStr">
        <is>
          <t>Estacion Central</t>
        </is>
      </c>
      <c r="FP2158" t="inlineStr">
        <is>
          <t>C</t>
        </is>
      </c>
    </row>
    <row r="2159">
      <c r="FC2159" t="inlineStr">
        <is>
          <t>Diccionario 3</t>
        </is>
      </c>
      <c r="FD2159" s="15" t="inlineStr">
        <is>
          <t>RWTP81</t>
        </is>
      </c>
      <c r="FE2159" s="15" t="inlineStr">
        <is>
          <t>YV3T7U526NA207893</t>
        </is>
      </c>
      <c r="FF2159" s="15" t="n">
        <v>552338</v>
      </c>
      <c r="FG2159" s="15" t="inlineStr">
        <is>
          <t>Volvo</t>
        </is>
      </c>
      <c r="FH2159" s="15" t="inlineStr">
        <is>
          <t>B8RLEA</t>
        </is>
      </c>
      <c r="FI2159" s="15" t="inlineStr">
        <is>
          <t>MARCOPOLO</t>
        </is>
      </c>
      <c r="FJ2159" s="15" t="inlineStr">
        <is>
          <t>GRAN VIALE</t>
        </is>
      </c>
      <c r="FK2159" s="15" t="n">
        <v>2022</v>
      </c>
      <c r="FL2159" s="15" t="inlineStr">
        <is>
          <t>C</t>
        </is>
      </c>
      <c r="FM2159" s="15" t="inlineStr">
        <is>
          <t>SAN ALFONSO</t>
        </is>
      </c>
      <c r="FN2159" s="15" t="inlineStr">
        <is>
          <t>San Alfonso 2141 (Ramón Subercaseaux 3060)</t>
        </is>
      </c>
      <c r="FO2159" s="15" t="inlineStr">
        <is>
          <t>Estacion Central</t>
        </is>
      </c>
      <c r="FP2159" t="inlineStr">
        <is>
          <t>C</t>
        </is>
      </c>
    </row>
    <row r="2160">
      <c r="FC2160" t="inlineStr">
        <is>
          <t>Diccionario 3</t>
        </is>
      </c>
      <c r="FD2160" s="15" t="inlineStr">
        <is>
          <t>RWTP82</t>
        </is>
      </c>
      <c r="FE2160" s="15" t="inlineStr">
        <is>
          <t>YV3T7U525NA207884</t>
        </is>
      </c>
      <c r="FF2160" s="15" t="n">
        <v>552333</v>
      </c>
      <c r="FG2160" s="15" t="inlineStr">
        <is>
          <t>Volvo</t>
        </is>
      </c>
      <c r="FH2160" s="15" t="inlineStr">
        <is>
          <t>B8RLEA</t>
        </is>
      </c>
      <c r="FI2160" s="15" t="inlineStr">
        <is>
          <t>MARCOPOLO</t>
        </is>
      </c>
      <c r="FJ2160" s="15" t="inlineStr">
        <is>
          <t>GRAN VIALE</t>
        </is>
      </c>
      <c r="FK2160" s="15" t="n">
        <v>2022</v>
      </c>
      <c r="FL2160" s="15" t="inlineStr">
        <is>
          <t>C</t>
        </is>
      </c>
      <c r="FM2160" s="15" t="inlineStr">
        <is>
          <t>SAN ALFONSO</t>
        </is>
      </c>
      <c r="FN2160" s="15" t="inlineStr">
        <is>
          <t>San Alfonso 2141 (Ramón Subercaseaux 3060)</t>
        </is>
      </c>
      <c r="FO2160" s="15" t="inlineStr">
        <is>
          <t>Estacion Central</t>
        </is>
      </c>
      <c r="FP2160" t="inlineStr">
        <is>
          <t>C</t>
        </is>
      </c>
    </row>
    <row r="2161">
      <c r="FC2161" t="inlineStr">
        <is>
          <t>Diccionario 3</t>
        </is>
      </c>
      <c r="FD2161" s="15" t="inlineStr">
        <is>
          <t>RWTP83</t>
        </is>
      </c>
      <c r="FE2161" s="15" t="inlineStr">
        <is>
          <t>YV3T7U523NA207995</t>
        </is>
      </c>
      <c r="FF2161" s="15" t="n">
        <v>552881</v>
      </c>
      <c r="FG2161" s="15" t="inlineStr">
        <is>
          <t>Volvo</t>
        </is>
      </c>
      <c r="FH2161" s="15" t="inlineStr">
        <is>
          <t>B8RLEA</t>
        </is>
      </c>
      <c r="FI2161" s="15" t="inlineStr">
        <is>
          <t>MARCOPOLO</t>
        </is>
      </c>
      <c r="FJ2161" s="15" t="inlineStr">
        <is>
          <t>GRAN VIALE</t>
        </is>
      </c>
      <c r="FK2161" s="15" t="n">
        <v>2022</v>
      </c>
      <c r="FL2161" s="15" t="inlineStr">
        <is>
          <t>C</t>
        </is>
      </c>
      <c r="FM2161" s="15" t="inlineStr">
        <is>
          <t>PIE ANDINO</t>
        </is>
      </c>
      <c r="FN2161" s="15" t="inlineStr">
        <is>
          <t>Pie Andino 31 (Pie Andino 383)</t>
        </is>
      </c>
      <c r="FO2161" s="15" t="inlineStr">
        <is>
          <t>Puente Alto</t>
        </is>
      </c>
      <c r="FP2161" t="inlineStr">
        <is>
          <t>C</t>
        </is>
      </c>
    </row>
    <row r="2162">
      <c r="FC2162" t="inlineStr">
        <is>
          <t>Diccionario 3</t>
        </is>
      </c>
      <c r="FD2162" s="15" t="inlineStr">
        <is>
          <t>RWTP84</t>
        </is>
      </c>
      <c r="FE2162" s="15" t="inlineStr">
        <is>
          <t>YV3T7U521NA207834</t>
        </is>
      </c>
      <c r="FF2162" s="15" t="n">
        <v>550630</v>
      </c>
      <c r="FG2162" s="15" t="inlineStr">
        <is>
          <t>Volvo</t>
        </is>
      </c>
      <c r="FH2162" s="15" t="inlineStr">
        <is>
          <t>B8RLEA</t>
        </is>
      </c>
      <c r="FI2162" s="15" t="inlineStr">
        <is>
          <t>MARCOPOLO</t>
        </is>
      </c>
      <c r="FJ2162" s="15" t="inlineStr">
        <is>
          <t>GRAN VIALE</t>
        </is>
      </c>
      <c r="FK2162" s="15" t="n">
        <v>2022</v>
      </c>
      <c r="FL2162" s="15" t="inlineStr">
        <is>
          <t>C</t>
        </is>
      </c>
      <c r="FM2162" s="15" t="inlineStr">
        <is>
          <t>SAN ALFONSO</t>
        </is>
      </c>
      <c r="FN2162" s="15" t="inlineStr">
        <is>
          <t>San Alfonso 2141 (Ramón Subercaseaux 3060)</t>
        </is>
      </c>
      <c r="FO2162" s="15" t="inlineStr">
        <is>
          <t>Estacion Central</t>
        </is>
      </c>
      <c r="FP2162" t="inlineStr">
        <is>
          <t>C</t>
        </is>
      </c>
    </row>
    <row r="2163">
      <c r="FC2163" t="inlineStr">
        <is>
          <t>Diccionario 3</t>
        </is>
      </c>
      <c r="FD2163" s="15" t="inlineStr">
        <is>
          <t>RWTP85</t>
        </is>
      </c>
      <c r="FE2163" s="15" t="inlineStr">
        <is>
          <t>YV3T7U529NA207967</t>
        </is>
      </c>
      <c r="FF2163" s="15" t="n">
        <v>552303</v>
      </c>
      <c r="FG2163" s="15" t="inlineStr">
        <is>
          <t>Volvo</t>
        </is>
      </c>
      <c r="FH2163" s="15" t="inlineStr">
        <is>
          <t>B8RLEA</t>
        </is>
      </c>
      <c r="FI2163" s="15" t="inlineStr">
        <is>
          <t>MARCOPOLO</t>
        </is>
      </c>
      <c r="FJ2163" s="15" t="inlineStr">
        <is>
          <t>GRAN VIALE</t>
        </is>
      </c>
      <c r="FK2163" s="15" t="n">
        <v>2022</v>
      </c>
      <c r="FL2163" s="15" t="inlineStr">
        <is>
          <t>C</t>
        </is>
      </c>
      <c r="FM2163" s="15" t="inlineStr">
        <is>
          <t>PIE ANDINO</t>
        </is>
      </c>
      <c r="FN2163" s="15" t="inlineStr">
        <is>
          <t>Pie Andino 31 (Pie Andino 383)</t>
        </is>
      </c>
      <c r="FO2163" s="15" t="inlineStr">
        <is>
          <t>Puente Alto</t>
        </is>
      </c>
      <c r="FP2163" t="inlineStr">
        <is>
          <t>C</t>
        </is>
      </c>
    </row>
    <row r="2164">
      <c r="FC2164" t="inlineStr">
        <is>
          <t>Diccionario 3</t>
        </is>
      </c>
      <c r="FD2164" s="15" t="inlineStr">
        <is>
          <t>RWTP86</t>
        </is>
      </c>
      <c r="FE2164" s="15" t="inlineStr">
        <is>
          <t>YV3T7U528NA207930</t>
        </is>
      </c>
      <c r="FF2164" s="15" t="n">
        <v>551701</v>
      </c>
      <c r="FG2164" s="15" t="inlineStr">
        <is>
          <t>Volvo</t>
        </is>
      </c>
      <c r="FH2164" s="15" t="inlineStr">
        <is>
          <t>B8RLEA</t>
        </is>
      </c>
      <c r="FI2164" s="15" t="inlineStr">
        <is>
          <t>MARCOPOLO</t>
        </is>
      </c>
      <c r="FJ2164" s="15" t="inlineStr">
        <is>
          <t>GRAN VIALE</t>
        </is>
      </c>
      <c r="FK2164" s="15" t="n">
        <v>2022</v>
      </c>
      <c r="FL2164" s="15" t="inlineStr">
        <is>
          <t>C</t>
        </is>
      </c>
      <c r="FM2164" s="15" t="inlineStr">
        <is>
          <t>PIE ANDINO</t>
        </is>
      </c>
      <c r="FN2164" s="15" t="inlineStr">
        <is>
          <t>Pie Andino 31 (Pie Andino 383)</t>
        </is>
      </c>
      <c r="FO2164" s="15" t="inlineStr">
        <is>
          <t>Puente Alto</t>
        </is>
      </c>
      <c r="FP2164" t="inlineStr">
        <is>
          <t>C</t>
        </is>
      </c>
    </row>
    <row r="2165">
      <c r="FC2165" t="inlineStr">
        <is>
          <t>Diccionario 3</t>
        </is>
      </c>
      <c r="FD2165" s="15" t="inlineStr">
        <is>
          <t>RWTP87</t>
        </is>
      </c>
      <c r="FE2165" s="15" t="inlineStr">
        <is>
          <t>YV3T7U522NA207891</t>
        </is>
      </c>
      <c r="FF2165" s="15" t="n">
        <v>552373</v>
      </c>
      <c r="FG2165" s="15" t="inlineStr">
        <is>
          <t>Volvo</t>
        </is>
      </c>
      <c r="FH2165" s="15" t="inlineStr">
        <is>
          <t>B8RLEA</t>
        </is>
      </c>
      <c r="FI2165" s="15" t="inlineStr">
        <is>
          <t>MARCOPOLO</t>
        </is>
      </c>
      <c r="FJ2165" s="15" t="inlineStr">
        <is>
          <t>GRAN VIALE</t>
        </is>
      </c>
      <c r="FK2165" s="15" t="n">
        <v>2022</v>
      </c>
      <c r="FL2165" s="15" t="inlineStr">
        <is>
          <t>C</t>
        </is>
      </c>
      <c r="FM2165" s="15" t="inlineStr">
        <is>
          <t>SAN ALFONSO</t>
        </is>
      </c>
      <c r="FN2165" s="15" t="inlineStr">
        <is>
          <t>San Alfonso 2141 (Ramón Subercaseaux 3060)</t>
        </is>
      </c>
      <c r="FO2165" s="15" t="inlineStr">
        <is>
          <t>Estacion Central</t>
        </is>
      </c>
      <c r="FP2165" t="inlineStr">
        <is>
          <t>C</t>
        </is>
      </c>
    </row>
    <row r="2166">
      <c r="FC2166" t="inlineStr">
        <is>
          <t>Diccionario 3</t>
        </is>
      </c>
      <c r="FD2166" s="15" t="inlineStr">
        <is>
          <t>RWTP88</t>
        </is>
      </c>
      <c r="FE2166" s="15" t="inlineStr">
        <is>
          <t>YV3T7U52XNA207881</t>
        </is>
      </c>
      <c r="FF2166" s="15" t="n">
        <v>552573</v>
      </c>
      <c r="FG2166" s="15" t="inlineStr">
        <is>
          <t>Volvo</t>
        </is>
      </c>
      <c r="FH2166" s="15" t="inlineStr">
        <is>
          <t>B8RLEA</t>
        </is>
      </c>
      <c r="FI2166" s="15" t="inlineStr">
        <is>
          <t>MARCOPOLO</t>
        </is>
      </c>
      <c r="FJ2166" s="15" t="inlineStr">
        <is>
          <t>GRAN VIALE</t>
        </is>
      </c>
      <c r="FK2166" s="15" t="n">
        <v>2022</v>
      </c>
      <c r="FL2166" s="15" t="inlineStr">
        <is>
          <t>C</t>
        </is>
      </c>
      <c r="FM2166" s="15" t="inlineStr">
        <is>
          <t>SAN ALFONSO</t>
        </is>
      </c>
      <c r="FN2166" s="15" t="inlineStr">
        <is>
          <t>San Alfonso 2141 (Ramón Subercaseaux 3060)</t>
        </is>
      </c>
      <c r="FO2166" s="15" t="inlineStr">
        <is>
          <t>Estacion Central</t>
        </is>
      </c>
      <c r="FP2166" t="inlineStr">
        <is>
          <t>C</t>
        </is>
      </c>
    </row>
    <row r="2167">
      <c r="FC2167" t="inlineStr">
        <is>
          <t>Diccionario 3</t>
        </is>
      </c>
      <c r="FD2167" s="15" t="inlineStr">
        <is>
          <t>RWTP89</t>
        </is>
      </c>
      <c r="FE2167" s="15" t="inlineStr">
        <is>
          <t>YV3T7U527NA207837</t>
        </is>
      </c>
      <c r="FF2167" s="15" t="n">
        <v>550568</v>
      </c>
      <c r="FG2167" s="15" t="inlineStr">
        <is>
          <t>Volvo</t>
        </is>
      </c>
      <c r="FH2167" s="15" t="inlineStr">
        <is>
          <t>B8RLEA</t>
        </is>
      </c>
      <c r="FI2167" s="15" t="inlineStr">
        <is>
          <t>MARCOPOLO</t>
        </is>
      </c>
      <c r="FJ2167" s="15" t="inlineStr">
        <is>
          <t>GRAN VIALE</t>
        </is>
      </c>
      <c r="FK2167" s="15" t="n">
        <v>2022</v>
      </c>
      <c r="FL2167" s="15" t="inlineStr">
        <is>
          <t>C</t>
        </is>
      </c>
      <c r="FM2167" s="15" t="inlineStr">
        <is>
          <t>SAN ALFONSO</t>
        </is>
      </c>
      <c r="FN2167" s="15" t="inlineStr">
        <is>
          <t>San Alfonso 2141 (Ramón Subercaseaux 3060)</t>
        </is>
      </c>
      <c r="FO2167" s="15" t="inlineStr">
        <is>
          <t>Estacion Central</t>
        </is>
      </c>
      <c r="FP2167" t="inlineStr">
        <is>
          <t>C</t>
        </is>
      </c>
    </row>
    <row r="2168">
      <c r="FC2168" t="inlineStr">
        <is>
          <t>Diccionario 3</t>
        </is>
      </c>
      <c r="FD2168" s="15" t="inlineStr">
        <is>
          <t>RWTP90</t>
        </is>
      </c>
      <c r="FE2168" s="15" t="inlineStr">
        <is>
          <t>YV3T7U527NA207935</t>
        </is>
      </c>
      <c r="FF2168" s="15" t="n">
        <v>551734</v>
      </c>
      <c r="FG2168" s="15" t="inlineStr">
        <is>
          <t>Volvo</t>
        </is>
      </c>
      <c r="FH2168" s="15" t="inlineStr">
        <is>
          <t>B8RLEA</t>
        </is>
      </c>
      <c r="FI2168" s="15" t="inlineStr">
        <is>
          <t>MARCOPOLO</t>
        </is>
      </c>
      <c r="FJ2168" s="15" t="inlineStr">
        <is>
          <t>GRAN VIALE</t>
        </is>
      </c>
      <c r="FK2168" s="15" t="n">
        <v>2022</v>
      </c>
      <c r="FL2168" s="15" t="inlineStr">
        <is>
          <t>C</t>
        </is>
      </c>
      <c r="FM2168" s="15" t="inlineStr">
        <is>
          <t>PIE ANDINO</t>
        </is>
      </c>
      <c r="FN2168" s="15" t="inlineStr">
        <is>
          <t>Pie Andino 31 (Pie Andino 383)</t>
        </is>
      </c>
      <c r="FO2168" s="15" t="inlineStr">
        <is>
          <t>Puente Alto</t>
        </is>
      </c>
      <c r="FP2168" t="inlineStr">
        <is>
          <t>C</t>
        </is>
      </c>
    </row>
    <row r="2169">
      <c r="FC2169" t="inlineStr">
        <is>
          <t>Diccionario 3</t>
        </is>
      </c>
      <c r="FD2169" s="15" t="inlineStr">
        <is>
          <t>RWTP91</t>
        </is>
      </c>
      <c r="FE2169" s="15" t="inlineStr">
        <is>
          <t>YV3T7U524NA207892</t>
        </is>
      </c>
      <c r="FF2169" s="15" t="n">
        <v>552393</v>
      </c>
      <c r="FG2169" s="15" t="inlineStr">
        <is>
          <t>Volvo</t>
        </is>
      </c>
      <c r="FH2169" s="15" t="inlineStr">
        <is>
          <t>B8RLEA</t>
        </is>
      </c>
      <c r="FI2169" s="15" t="inlineStr">
        <is>
          <t>MARCOPOLO</t>
        </is>
      </c>
      <c r="FJ2169" s="15" t="inlineStr">
        <is>
          <t>GRAN VIALE</t>
        </is>
      </c>
      <c r="FK2169" s="15" t="n">
        <v>2022</v>
      </c>
      <c r="FL2169" s="15" t="inlineStr">
        <is>
          <t>C</t>
        </is>
      </c>
      <c r="FM2169" s="15" t="inlineStr">
        <is>
          <t>SAN ALFONSO</t>
        </is>
      </c>
      <c r="FN2169" s="15" t="inlineStr">
        <is>
          <t>San Alfonso 2141 (Ramón Subercaseaux 3060)</t>
        </is>
      </c>
      <c r="FO2169" s="15" t="inlineStr">
        <is>
          <t>Estacion Central</t>
        </is>
      </c>
      <c r="FP2169" t="inlineStr">
        <is>
          <t>C</t>
        </is>
      </c>
    </row>
    <row r="2170">
      <c r="FC2170" t="inlineStr">
        <is>
          <t>Diccionario 3</t>
        </is>
      </c>
      <c r="FD2170" s="15" t="inlineStr">
        <is>
          <t>RWTP92</t>
        </is>
      </c>
      <c r="FE2170" s="15" t="inlineStr">
        <is>
          <t>YV3T7U523NA207835</t>
        </is>
      </c>
      <c r="FF2170" s="15" t="n">
        <v>550593</v>
      </c>
      <c r="FG2170" s="15" t="inlineStr">
        <is>
          <t>Volvo</t>
        </is>
      </c>
      <c r="FH2170" s="15" t="inlineStr">
        <is>
          <t>B8RLEA</t>
        </is>
      </c>
      <c r="FI2170" s="15" t="inlineStr">
        <is>
          <t>MARCOPOLO</t>
        </is>
      </c>
      <c r="FJ2170" s="15" t="inlineStr">
        <is>
          <t>GRAN VIALE</t>
        </is>
      </c>
      <c r="FK2170" s="15" t="n">
        <v>2022</v>
      </c>
      <c r="FL2170" s="15" t="inlineStr">
        <is>
          <t>C</t>
        </is>
      </c>
      <c r="FM2170" s="15" t="inlineStr">
        <is>
          <t>SAN ALFONSO</t>
        </is>
      </c>
      <c r="FN2170" s="15" t="inlineStr">
        <is>
          <t>San Alfonso 2141 (Ramón Subercaseaux 3060)</t>
        </is>
      </c>
      <c r="FO2170" s="15" t="inlineStr">
        <is>
          <t>Estacion Central</t>
        </is>
      </c>
      <c r="FP2170" t="inlineStr">
        <is>
          <t>C</t>
        </is>
      </c>
    </row>
    <row r="2171">
      <c r="FC2171" t="inlineStr">
        <is>
          <t>Diccionario 3</t>
        </is>
      </c>
      <c r="FD2171" s="15" t="inlineStr">
        <is>
          <t>RWTP93</t>
        </is>
      </c>
      <c r="FE2171" s="15" t="inlineStr">
        <is>
          <t>YV3T7U52XNA207833</t>
        </is>
      </c>
      <c r="FF2171" s="15" t="n">
        <v>550451</v>
      </c>
      <c r="FG2171" s="15" t="inlineStr">
        <is>
          <t>Volvo</t>
        </is>
      </c>
      <c r="FH2171" s="15" t="inlineStr">
        <is>
          <t>B8RLEA</t>
        </is>
      </c>
      <c r="FI2171" s="15" t="inlineStr">
        <is>
          <t>MARCOPOLO</t>
        </is>
      </c>
      <c r="FJ2171" s="15" t="inlineStr">
        <is>
          <t>GRAN VIALE</t>
        </is>
      </c>
      <c r="FK2171" s="15" t="n">
        <v>2022</v>
      </c>
      <c r="FL2171" s="15" t="inlineStr">
        <is>
          <t>C</t>
        </is>
      </c>
      <c r="FM2171" s="15" t="inlineStr">
        <is>
          <t>SAN ALFONSO</t>
        </is>
      </c>
      <c r="FN2171" s="15" t="inlineStr">
        <is>
          <t>San Alfonso 2141 (Ramón Subercaseaux 3060)</t>
        </is>
      </c>
      <c r="FO2171" s="15" t="inlineStr">
        <is>
          <t>Estacion Central</t>
        </is>
      </c>
      <c r="FP2171" t="inlineStr">
        <is>
          <t>C</t>
        </is>
      </c>
    </row>
    <row r="2172">
      <c r="FC2172" t="inlineStr">
        <is>
          <t>Diccionario 3</t>
        </is>
      </c>
      <c r="FD2172" s="15" t="inlineStr">
        <is>
          <t>RWTP94</t>
        </is>
      </c>
      <c r="FE2172" s="15" t="inlineStr">
        <is>
          <t>YV3T7U520NA207937</t>
        </is>
      </c>
      <c r="FF2172" s="15" t="n">
        <v>551900</v>
      </c>
      <c r="FG2172" s="15" t="inlineStr">
        <is>
          <t>Volvo</t>
        </is>
      </c>
      <c r="FH2172" s="15" t="inlineStr">
        <is>
          <t>B8RLEA</t>
        </is>
      </c>
      <c r="FI2172" s="15" t="inlineStr">
        <is>
          <t>MARCOPOLO</t>
        </is>
      </c>
      <c r="FJ2172" s="15" t="inlineStr">
        <is>
          <t>GRAN VIALE</t>
        </is>
      </c>
      <c r="FK2172" s="15" t="n">
        <v>2022</v>
      </c>
      <c r="FL2172" s="15" t="inlineStr">
        <is>
          <t>C</t>
        </is>
      </c>
      <c r="FM2172" s="15" t="inlineStr">
        <is>
          <t>PIE ANDINO</t>
        </is>
      </c>
      <c r="FN2172" s="15" t="inlineStr">
        <is>
          <t>Pie Andino 31 (Pie Andino 383)</t>
        </is>
      </c>
      <c r="FO2172" s="15" t="inlineStr">
        <is>
          <t>Puente Alto</t>
        </is>
      </c>
      <c r="FP2172" t="inlineStr">
        <is>
          <t>C</t>
        </is>
      </c>
    </row>
    <row r="2173">
      <c r="FC2173" t="inlineStr">
        <is>
          <t>Diccionario 3</t>
        </is>
      </c>
      <c r="FD2173" s="15" t="inlineStr">
        <is>
          <t>RWTP95</t>
        </is>
      </c>
      <c r="FE2173" s="15" t="inlineStr">
        <is>
          <t>YV3T7U523NA207978</t>
        </is>
      </c>
      <c r="FF2173" s="15" t="n">
        <v>553953</v>
      </c>
      <c r="FG2173" s="15" t="inlineStr">
        <is>
          <t>Volvo</t>
        </is>
      </c>
      <c r="FH2173" s="15" t="inlineStr">
        <is>
          <t>B8RLEA</t>
        </is>
      </c>
      <c r="FI2173" s="15" t="inlineStr">
        <is>
          <t>MARCOPOLO</t>
        </is>
      </c>
      <c r="FJ2173" s="15" t="inlineStr">
        <is>
          <t>GRAN VIALE</t>
        </is>
      </c>
      <c r="FK2173" s="15" t="n">
        <v>2022</v>
      </c>
      <c r="FL2173" s="15" t="inlineStr">
        <is>
          <t>C</t>
        </is>
      </c>
      <c r="FM2173" s="15" t="inlineStr">
        <is>
          <t>PIE ANDINO</t>
        </is>
      </c>
      <c r="FN2173" s="15" t="inlineStr">
        <is>
          <t>Pie Andino 31 (Pie Andino 383)</t>
        </is>
      </c>
      <c r="FO2173" s="15" t="inlineStr">
        <is>
          <t>Puente Alto</t>
        </is>
      </c>
      <c r="FP2173" t="inlineStr">
        <is>
          <t>C</t>
        </is>
      </c>
    </row>
    <row r="2174">
      <c r="FC2174" t="inlineStr">
        <is>
          <t>Diccionario 3</t>
        </is>
      </c>
      <c r="FD2174" s="15" t="inlineStr">
        <is>
          <t>RWTP96</t>
        </is>
      </c>
      <c r="FE2174" s="15" t="inlineStr">
        <is>
          <t>YV3T7U525NA207934</t>
        </is>
      </c>
      <c r="FF2174" s="15" t="n">
        <v>551716</v>
      </c>
      <c r="FG2174" s="15" t="inlineStr">
        <is>
          <t>Volvo</t>
        </is>
      </c>
      <c r="FH2174" s="15" t="inlineStr">
        <is>
          <t>B8RLEA</t>
        </is>
      </c>
      <c r="FI2174" s="15" t="inlineStr">
        <is>
          <t>MARCOPOLO</t>
        </is>
      </c>
      <c r="FJ2174" s="15" t="inlineStr">
        <is>
          <t>GRAN VIALE</t>
        </is>
      </c>
      <c r="FK2174" s="15" t="n">
        <v>2022</v>
      </c>
      <c r="FL2174" s="15" t="inlineStr">
        <is>
          <t>C</t>
        </is>
      </c>
      <c r="FM2174" s="15" t="inlineStr">
        <is>
          <t>PIE ANDINO</t>
        </is>
      </c>
      <c r="FN2174" s="15" t="inlineStr">
        <is>
          <t>Pie Andino 31 (Pie Andino 383)</t>
        </is>
      </c>
      <c r="FO2174" s="15" t="inlineStr">
        <is>
          <t>Puente Alto</t>
        </is>
      </c>
      <c r="FP2174" t="inlineStr">
        <is>
          <t>C</t>
        </is>
      </c>
    </row>
    <row r="2175">
      <c r="FC2175" t="inlineStr">
        <is>
          <t>Diccionario 3</t>
        </is>
      </c>
      <c r="FD2175" s="15" t="inlineStr">
        <is>
          <t>RWTP97</t>
        </is>
      </c>
      <c r="FE2175" s="15" t="inlineStr">
        <is>
          <t>YV3T7U523NA207933</t>
        </is>
      </c>
      <c r="FF2175" s="15" t="n">
        <v>551695</v>
      </c>
      <c r="FG2175" s="15" t="inlineStr">
        <is>
          <t>Volvo</t>
        </is>
      </c>
      <c r="FH2175" s="15" t="inlineStr">
        <is>
          <t>B8RLEA</t>
        </is>
      </c>
      <c r="FI2175" s="15" t="inlineStr">
        <is>
          <t>MARCOPOLO</t>
        </is>
      </c>
      <c r="FJ2175" s="15" t="inlineStr">
        <is>
          <t>GRAN VIALE</t>
        </is>
      </c>
      <c r="FK2175" s="15" t="n">
        <v>2022</v>
      </c>
      <c r="FL2175" s="15" t="inlineStr">
        <is>
          <t>C</t>
        </is>
      </c>
      <c r="FM2175" s="15" t="inlineStr">
        <is>
          <t>PIE ANDINO</t>
        </is>
      </c>
      <c r="FN2175" s="15" t="inlineStr">
        <is>
          <t>Pie Andino 31 (Pie Andino 383)</t>
        </is>
      </c>
      <c r="FO2175" s="15" t="inlineStr">
        <is>
          <t>Puente Alto</t>
        </is>
      </c>
      <c r="FP2175" t="inlineStr">
        <is>
          <t>C</t>
        </is>
      </c>
    </row>
    <row r="2176">
      <c r="FC2176" t="inlineStr">
        <is>
          <t>Diccionario 3</t>
        </is>
      </c>
      <c r="FD2176" s="15" t="inlineStr">
        <is>
          <t>RWTP98</t>
        </is>
      </c>
      <c r="FE2176" s="15" t="inlineStr">
        <is>
          <t>YV3T7U521NA207932</t>
        </is>
      </c>
      <c r="FF2176" s="15" t="n">
        <v>551682</v>
      </c>
      <c r="FG2176" s="15" t="inlineStr">
        <is>
          <t>Volvo</t>
        </is>
      </c>
      <c r="FH2176" s="15" t="inlineStr">
        <is>
          <t>B8RLEA</t>
        </is>
      </c>
      <c r="FI2176" s="15" t="inlineStr">
        <is>
          <t>MARCOPOLO</t>
        </is>
      </c>
      <c r="FJ2176" s="15" t="inlineStr">
        <is>
          <t>GRAN VIALE</t>
        </is>
      </c>
      <c r="FK2176" s="15" t="n">
        <v>2022</v>
      </c>
      <c r="FL2176" s="15" t="inlineStr">
        <is>
          <t>C</t>
        </is>
      </c>
      <c r="FM2176" s="15" t="inlineStr">
        <is>
          <t>PIE ANDINO</t>
        </is>
      </c>
      <c r="FN2176" s="15" t="inlineStr">
        <is>
          <t>Pie Andino 31 (Pie Andino 383)</t>
        </is>
      </c>
      <c r="FO2176" s="15" t="inlineStr">
        <is>
          <t>Puente Alto</t>
        </is>
      </c>
      <c r="FP2176" t="inlineStr">
        <is>
          <t>C</t>
        </is>
      </c>
    </row>
    <row r="2177">
      <c r="FC2177" t="inlineStr">
        <is>
          <t>Diccionario 3</t>
        </is>
      </c>
      <c r="FD2177" s="15" t="inlineStr">
        <is>
          <t>RWTP99</t>
        </is>
      </c>
      <c r="FE2177" s="15" t="inlineStr">
        <is>
          <t>YV3T7U52XNA207931</t>
        </is>
      </c>
      <c r="FF2177" s="15" t="n">
        <v>551698</v>
      </c>
      <c r="FG2177" s="15" t="inlineStr">
        <is>
          <t>Volvo</t>
        </is>
      </c>
      <c r="FH2177" s="15" t="inlineStr">
        <is>
          <t>B8RLEA</t>
        </is>
      </c>
      <c r="FI2177" s="15" t="inlineStr">
        <is>
          <t>MARCOPOLO</t>
        </is>
      </c>
      <c r="FJ2177" s="15" t="inlineStr">
        <is>
          <t>GRAN VIALE</t>
        </is>
      </c>
      <c r="FK2177" s="15" t="n">
        <v>2022</v>
      </c>
      <c r="FL2177" s="15" t="inlineStr">
        <is>
          <t>C</t>
        </is>
      </c>
      <c r="FM2177" s="15" t="inlineStr">
        <is>
          <t>PIE ANDINO</t>
        </is>
      </c>
      <c r="FN2177" s="15" t="inlineStr">
        <is>
          <t>Pie Andino 31 (Pie Andino 383)</t>
        </is>
      </c>
      <c r="FO2177" s="15" t="inlineStr">
        <is>
          <t>Puente Alto</t>
        </is>
      </c>
      <c r="FP2177" t="inlineStr">
        <is>
          <t>C</t>
        </is>
      </c>
    </row>
    <row r="2178">
      <c r="FC2178" t="inlineStr">
        <is>
          <t>Diccionario 3</t>
        </is>
      </c>
      <c r="FD2178" s="15" t="inlineStr">
        <is>
          <t>RWTR10</t>
        </is>
      </c>
      <c r="FE2178" s="15" t="inlineStr">
        <is>
          <t>YV3T7U52XNA207928</t>
        </is>
      </c>
      <c r="FF2178" s="15" t="n">
        <v>551645</v>
      </c>
      <c r="FG2178" s="15" t="inlineStr">
        <is>
          <t>Volvo</t>
        </is>
      </c>
      <c r="FH2178" s="15" t="inlineStr">
        <is>
          <t>B8RLEA</t>
        </is>
      </c>
      <c r="FI2178" s="15" t="inlineStr">
        <is>
          <t>MARCOPOLO</t>
        </is>
      </c>
      <c r="FJ2178" s="15" t="inlineStr">
        <is>
          <t>GRAN VIALE</t>
        </is>
      </c>
      <c r="FK2178" s="15" t="n">
        <v>2022</v>
      </c>
      <c r="FL2178" s="15" t="inlineStr">
        <is>
          <t>C</t>
        </is>
      </c>
      <c r="FM2178" s="15" t="inlineStr">
        <is>
          <t>SAN ALFONSO</t>
        </is>
      </c>
      <c r="FN2178" s="15" t="inlineStr">
        <is>
          <t>San Alfonso 2141 (Ramón Subercaseaux 3060)</t>
        </is>
      </c>
      <c r="FO2178" s="15" t="inlineStr">
        <is>
          <t>Estacion Central</t>
        </is>
      </c>
      <c r="FP2178" t="inlineStr">
        <is>
          <t>C</t>
        </is>
      </c>
    </row>
    <row r="2179">
      <c r="FC2179" t="inlineStr">
        <is>
          <t>Diccionario 3</t>
        </is>
      </c>
      <c r="FD2179" s="15" t="inlineStr">
        <is>
          <t>RWTR11</t>
        </is>
      </c>
      <c r="FE2179" s="15" t="inlineStr">
        <is>
          <t>YV3T7U528NA207927</t>
        </is>
      </c>
      <c r="FF2179" s="15" t="n">
        <v>551661</v>
      </c>
      <c r="FG2179" s="15" t="inlineStr">
        <is>
          <t>Volvo</t>
        </is>
      </c>
      <c r="FH2179" s="15" t="inlineStr">
        <is>
          <t>B8RLEA</t>
        </is>
      </c>
      <c r="FI2179" s="15" t="inlineStr">
        <is>
          <t>MARCOPOLO</t>
        </is>
      </c>
      <c r="FJ2179" s="15" t="inlineStr">
        <is>
          <t>GRAN VIALE</t>
        </is>
      </c>
      <c r="FK2179" s="15" t="n">
        <v>2022</v>
      </c>
      <c r="FL2179" s="15" t="inlineStr">
        <is>
          <t>C</t>
        </is>
      </c>
      <c r="FM2179" s="15" t="inlineStr">
        <is>
          <t>SAN ALFONSO</t>
        </is>
      </c>
      <c r="FN2179" s="15" t="inlineStr">
        <is>
          <t>San Alfonso 2141 (Ramón Subercaseaux 3060)</t>
        </is>
      </c>
      <c r="FO2179" s="15" t="inlineStr">
        <is>
          <t>Estacion Central</t>
        </is>
      </c>
      <c r="FP2179" t="inlineStr">
        <is>
          <t>C</t>
        </is>
      </c>
    </row>
    <row r="2180">
      <c r="FC2180" t="inlineStr">
        <is>
          <t>Diccionario 3</t>
        </is>
      </c>
      <c r="FD2180" s="15" t="inlineStr">
        <is>
          <t>RYJG90</t>
        </is>
      </c>
      <c r="FE2180" s="15" t="inlineStr">
        <is>
          <t>YV3T7U521NA208143</t>
        </is>
      </c>
      <c r="FF2180" s="15" t="n">
        <v>554610</v>
      </c>
      <c r="FG2180" s="15" t="inlineStr">
        <is>
          <t>Volvo</t>
        </is>
      </c>
      <c r="FH2180" s="15" t="inlineStr">
        <is>
          <t>B8RLEA</t>
        </is>
      </c>
      <c r="FI2180" s="15" t="inlineStr">
        <is>
          <t>MARCOPOLO</t>
        </is>
      </c>
      <c r="FJ2180" s="15" t="inlineStr">
        <is>
          <t>GRAN VIALE</t>
        </is>
      </c>
      <c r="FK2180" s="15" t="n">
        <v>2022</v>
      </c>
      <c r="FL2180" s="15" t="inlineStr">
        <is>
          <t>C</t>
        </is>
      </c>
      <c r="FM2180" s="15" t="inlineStr">
        <is>
          <t>PIE ANDINO</t>
        </is>
      </c>
      <c r="FN2180" s="15" t="inlineStr">
        <is>
          <t>Pie Andino 31 (Pie Andino 383)</t>
        </is>
      </c>
      <c r="FO2180" s="15" t="inlineStr">
        <is>
          <t>Puente Alto</t>
        </is>
      </c>
      <c r="FP2180" t="inlineStr">
        <is>
          <t>C</t>
        </is>
      </c>
    </row>
    <row r="2181">
      <c r="FC2181" t="inlineStr">
        <is>
          <t>Diccionario 3</t>
        </is>
      </c>
      <c r="FD2181" s="15" t="inlineStr">
        <is>
          <t>RYJG91</t>
        </is>
      </c>
      <c r="FE2181" s="15" t="inlineStr">
        <is>
          <t>YV3T7U523NA208144</t>
        </is>
      </c>
      <c r="FF2181" s="15" t="n">
        <v>554682</v>
      </c>
      <c r="FG2181" s="15" t="inlineStr">
        <is>
          <t>Volvo</t>
        </is>
      </c>
      <c r="FH2181" s="15" t="inlineStr">
        <is>
          <t>B8RLEA</t>
        </is>
      </c>
      <c r="FI2181" s="15" t="inlineStr">
        <is>
          <t>MARCOPOLO</t>
        </is>
      </c>
      <c r="FJ2181" s="15" t="inlineStr">
        <is>
          <t>GRAN VIALE</t>
        </is>
      </c>
      <c r="FK2181" s="15" t="n">
        <v>2022</v>
      </c>
      <c r="FL2181" s="15" t="inlineStr">
        <is>
          <t>C</t>
        </is>
      </c>
      <c r="FM2181" s="15" t="inlineStr">
        <is>
          <t>PIE ANDINO</t>
        </is>
      </c>
      <c r="FN2181" s="15" t="inlineStr">
        <is>
          <t>Pie Andino 31 (Pie Andino 383)</t>
        </is>
      </c>
      <c r="FO2181" s="15" t="inlineStr">
        <is>
          <t>Puente Alto</t>
        </is>
      </c>
      <c r="FP2181" t="inlineStr">
        <is>
          <t>C</t>
        </is>
      </c>
    </row>
    <row r="2182">
      <c r="FC2182" t="inlineStr">
        <is>
          <t>Diccionario 3</t>
        </is>
      </c>
      <c r="FD2182" s="15" t="inlineStr">
        <is>
          <t>RYJG92</t>
        </is>
      </c>
      <c r="FE2182" s="15" t="inlineStr">
        <is>
          <t>YV3T7U522NA208152</t>
        </is>
      </c>
      <c r="FF2182" s="15" t="n">
        <v>554694</v>
      </c>
      <c r="FG2182" s="15" t="inlineStr">
        <is>
          <t>Volvo</t>
        </is>
      </c>
      <c r="FH2182" s="15" t="inlineStr">
        <is>
          <t>B8RLEA</t>
        </is>
      </c>
      <c r="FI2182" s="15" t="inlineStr">
        <is>
          <t>MARCOPOLO</t>
        </is>
      </c>
      <c r="FJ2182" s="15" t="inlineStr">
        <is>
          <t>GRAN VIALE</t>
        </is>
      </c>
      <c r="FK2182" s="15" t="n">
        <v>2022</v>
      </c>
      <c r="FL2182" s="15" t="inlineStr">
        <is>
          <t>C</t>
        </is>
      </c>
      <c r="FM2182" s="15" t="inlineStr">
        <is>
          <t>SAN ALFONSO</t>
        </is>
      </c>
      <c r="FN2182" s="15" t="inlineStr">
        <is>
          <t>San Alfonso 2141 (Ramón Subercaseaux 3060)</t>
        </is>
      </c>
      <c r="FO2182" s="15" t="inlineStr">
        <is>
          <t>Estacion Central</t>
        </is>
      </c>
      <c r="FP2182" t="inlineStr">
        <is>
          <t>C</t>
        </is>
      </c>
    </row>
    <row r="2183">
      <c r="FC2183" t="inlineStr">
        <is>
          <t>Diccionario 3</t>
        </is>
      </c>
      <c r="FD2183" s="15" t="inlineStr">
        <is>
          <t>RYJG93</t>
        </is>
      </c>
      <c r="FE2183" s="15" t="inlineStr">
        <is>
          <t>YV3T7U527NA208163</t>
        </is>
      </c>
      <c r="FF2183" s="15" t="n">
        <v>555374</v>
      </c>
      <c r="FG2183" s="15" t="inlineStr">
        <is>
          <t>Volvo</t>
        </is>
      </c>
      <c r="FH2183" s="15" t="inlineStr">
        <is>
          <t>B8RLEA</t>
        </is>
      </c>
      <c r="FI2183" s="15" t="inlineStr">
        <is>
          <t>MARCOPOLO</t>
        </is>
      </c>
      <c r="FJ2183" s="15" t="inlineStr">
        <is>
          <t>GRAN VIALE</t>
        </is>
      </c>
      <c r="FK2183" s="15" t="n">
        <v>2022</v>
      </c>
      <c r="FL2183" s="15" t="inlineStr">
        <is>
          <t>C</t>
        </is>
      </c>
      <c r="FM2183" s="15" t="inlineStr">
        <is>
          <t>SAN ALFONSO</t>
        </is>
      </c>
      <c r="FN2183" s="15" t="inlineStr">
        <is>
          <t>San Alfonso 2141 (Ramón Subercaseaux 3060)</t>
        </is>
      </c>
      <c r="FO2183" s="15" t="inlineStr">
        <is>
          <t>Estacion Central</t>
        </is>
      </c>
      <c r="FP2183" t="inlineStr">
        <is>
          <t>C</t>
        </is>
      </c>
    </row>
    <row r="2184">
      <c r="FC2184" t="inlineStr">
        <is>
          <t>Diccionario 3</t>
        </is>
      </c>
      <c r="FD2184" s="15" t="inlineStr">
        <is>
          <t>RYJG94</t>
        </is>
      </c>
      <c r="FE2184" s="15" t="inlineStr">
        <is>
          <t>YV3T7U528NA208169</t>
        </is>
      </c>
      <c r="FF2184" s="15" t="n">
        <v>555138</v>
      </c>
      <c r="FG2184" s="15" t="inlineStr">
        <is>
          <t>Volvo</t>
        </is>
      </c>
      <c r="FH2184" s="15" t="inlineStr">
        <is>
          <t>B8RLEA</t>
        </is>
      </c>
      <c r="FI2184" s="15" t="inlineStr">
        <is>
          <t>MARCOPOLO</t>
        </is>
      </c>
      <c r="FJ2184" s="15" t="inlineStr">
        <is>
          <t>GRAN VIALE</t>
        </is>
      </c>
      <c r="FK2184" s="15" t="n">
        <v>2022</v>
      </c>
      <c r="FL2184" s="15" t="inlineStr">
        <is>
          <t>C</t>
        </is>
      </c>
      <c r="FM2184" s="15" t="inlineStr">
        <is>
          <t>SAN ALFONSO</t>
        </is>
      </c>
      <c r="FN2184" s="15" t="inlineStr">
        <is>
          <t>San Alfonso 2141 (Ramón Subercaseaux 3060)</t>
        </is>
      </c>
      <c r="FO2184" s="15" t="inlineStr">
        <is>
          <t>Estacion Central</t>
        </is>
      </c>
      <c r="FP2184" t="inlineStr">
        <is>
          <t>C</t>
        </is>
      </c>
    </row>
    <row r="2185">
      <c r="FC2185" t="inlineStr">
        <is>
          <t>Diccionario 3</t>
        </is>
      </c>
      <c r="FD2185" s="15" t="inlineStr">
        <is>
          <t>RYJG95</t>
        </is>
      </c>
      <c r="FE2185" s="15" t="inlineStr">
        <is>
          <t>YV3T7U525NA208193</t>
        </is>
      </c>
      <c r="FF2185" s="15" t="n">
        <v>555050</v>
      </c>
      <c r="FG2185" s="15" t="inlineStr">
        <is>
          <t>Volvo</t>
        </is>
      </c>
      <c r="FH2185" s="15" t="inlineStr">
        <is>
          <t>B8RLEA</t>
        </is>
      </c>
      <c r="FI2185" s="15" t="inlineStr">
        <is>
          <t>MARCOPOLO</t>
        </is>
      </c>
      <c r="FJ2185" s="15" t="inlineStr">
        <is>
          <t>GRAN VIALE</t>
        </is>
      </c>
      <c r="FK2185" s="15" t="n">
        <v>2022</v>
      </c>
      <c r="FL2185" s="15" t="inlineStr">
        <is>
          <t>C</t>
        </is>
      </c>
      <c r="FM2185" s="15" t="inlineStr">
        <is>
          <t>SAN ALFONSO</t>
        </is>
      </c>
      <c r="FN2185" s="15" t="inlineStr">
        <is>
          <t>San Alfonso 2141 (Ramón Subercaseaux 3060)</t>
        </is>
      </c>
      <c r="FO2185" s="15" t="inlineStr">
        <is>
          <t>Estacion Central</t>
        </is>
      </c>
      <c r="FP2185" t="inlineStr">
        <is>
          <t>C</t>
        </is>
      </c>
    </row>
    <row r="2186">
      <c r="FC2186" t="inlineStr">
        <is>
          <t>Diccionario 3</t>
        </is>
      </c>
      <c r="FD2186" s="15" t="inlineStr">
        <is>
          <t>SXKV87</t>
        </is>
      </c>
      <c r="FE2186" s="15" t="inlineStr">
        <is>
          <t>YV3T7U529RA212110</t>
        </is>
      </c>
      <c r="FF2186" s="15" t="n">
        <v>593684</v>
      </c>
      <c r="FG2186" s="15" t="inlineStr">
        <is>
          <t>Volvo</t>
        </is>
      </c>
      <c r="FH2186" s="15" t="inlineStr">
        <is>
          <t>B8RLEA</t>
        </is>
      </c>
      <c r="FI2186" s="15" t="inlineStr">
        <is>
          <t>MARCOPOLO</t>
        </is>
      </c>
      <c r="FJ2186" s="15" t="inlineStr">
        <is>
          <t>GRAN VIALE</t>
        </is>
      </c>
      <c r="FK2186" s="15" t="n">
        <v>2023</v>
      </c>
      <c r="FL2186" s="15" t="inlineStr">
        <is>
          <t>C</t>
        </is>
      </c>
      <c r="FM2186" s="15" t="inlineStr">
        <is>
          <t>SAN ALFONSO</t>
        </is>
      </c>
      <c r="FN2186" s="15" t="inlineStr">
        <is>
          <t>San Alfonso 2141 (Ramón Subercaseaux 3060)</t>
        </is>
      </c>
      <c r="FO2186" s="15" t="inlineStr">
        <is>
          <t>Estacion Central</t>
        </is>
      </c>
      <c r="FP2186" t="inlineStr">
        <is>
          <t>C</t>
        </is>
      </c>
    </row>
    <row r="2187">
      <c r="FC2187" t="inlineStr">
        <is>
          <t>Diccionario 3</t>
        </is>
      </c>
      <c r="FD2187" s="15" t="inlineStr">
        <is>
          <t>SXKV88</t>
        </is>
      </c>
      <c r="FE2187" s="15" t="inlineStr">
        <is>
          <t>YV3T7U522RA212109</t>
        </is>
      </c>
      <c r="FF2187" s="15" t="n">
        <v>593717</v>
      </c>
      <c r="FG2187" s="15" t="inlineStr">
        <is>
          <t>Volvo</t>
        </is>
      </c>
      <c r="FH2187" s="15" t="inlineStr">
        <is>
          <t>B8RLEA</t>
        </is>
      </c>
      <c r="FI2187" s="15" t="inlineStr">
        <is>
          <t>MARCOPOLO</t>
        </is>
      </c>
      <c r="FJ2187" s="15" t="inlineStr">
        <is>
          <t>GRAN VIALE</t>
        </is>
      </c>
      <c r="FK2187" s="15" t="n">
        <v>2023</v>
      </c>
      <c r="FL2187" s="15" t="inlineStr">
        <is>
          <t>C</t>
        </is>
      </c>
      <c r="FM2187" s="15" t="inlineStr">
        <is>
          <t>SAN ALFONSO</t>
        </is>
      </c>
      <c r="FN2187" s="15" t="inlineStr">
        <is>
          <t>San Alfonso 2141 (Ramón Subercaseaux 3060)</t>
        </is>
      </c>
      <c r="FO2187" s="15" t="inlineStr">
        <is>
          <t>Estacion Central</t>
        </is>
      </c>
      <c r="FP2187" t="inlineStr">
        <is>
          <t>C</t>
        </is>
      </c>
    </row>
    <row r="2188">
      <c r="FC2188" t="inlineStr">
        <is>
          <t>Diccionario 3</t>
        </is>
      </c>
      <c r="FD2188" s="15" t="inlineStr">
        <is>
          <t>SXKV89</t>
        </is>
      </c>
      <c r="FE2188" s="15" t="inlineStr">
        <is>
          <t>YV3T7U521RA211954</t>
        </is>
      </c>
      <c r="FF2188" s="15" t="n">
        <v>592427</v>
      </c>
      <c r="FG2188" s="15" t="inlineStr">
        <is>
          <t>Volvo</t>
        </is>
      </c>
      <c r="FH2188" s="15" t="inlineStr">
        <is>
          <t>B8RLEA</t>
        </is>
      </c>
      <c r="FI2188" s="15" t="inlineStr">
        <is>
          <t>MARCOPOLO</t>
        </is>
      </c>
      <c r="FJ2188" s="15" t="inlineStr">
        <is>
          <t>GRAN VIALE</t>
        </is>
      </c>
      <c r="FK2188" s="15" t="n">
        <v>2023</v>
      </c>
      <c r="FL2188" s="15" t="inlineStr">
        <is>
          <t>C</t>
        </is>
      </c>
      <c r="FM2188" s="15" t="inlineStr">
        <is>
          <t>SAN ALFONSO</t>
        </is>
      </c>
      <c r="FN2188" s="15" t="inlineStr">
        <is>
          <t>San Alfonso 2141 (Ramón Subercaseaux 3060)</t>
        </is>
      </c>
      <c r="FO2188" s="15" t="inlineStr">
        <is>
          <t>Estacion Central</t>
        </is>
      </c>
      <c r="FP2188" t="inlineStr">
        <is>
          <t>C</t>
        </is>
      </c>
    </row>
    <row r="2189">
      <c r="FC2189" t="inlineStr">
        <is>
          <t>Diccionario 3</t>
        </is>
      </c>
      <c r="FD2189" s="15" t="inlineStr">
        <is>
          <t>SXKV90</t>
        </is>
      </c>
      <c r="FE2189" s="15" t="inlineStr">
        <is>
          <t>YV3T7U527RA211988</t>
        </is>
      </c>
      <c r="FF2189" s="15" t="n">
        <v>593907</v>
      </c>
      <c r="FG2189" s="15" t="inlineStr">
        <is>
          <t>Volvo</t>
        </is>
      </c>
      <c r="FH2189" s="15" t="inlineStr">
        <is>
          <t>B8RLEA</t>
        </is>
      </c>
      <c r="FI2189" s="15" t="inlineStr">
        <is>
          <t>MARCOPOLO</t>
        </is>
      </c>
      <c r="FJ2189" s="15" t="inlineStr">
        <is>
          <t>GRAN VIALE</t>
        </is>
      </c>
      <c r="FK2189" s="15" t="n">
        <v>2023</v>
      </c>
      <c r="FL2189" s="15" t="inlineStr">
        <is>
          <t>C</t>
        </is>
      </c>
      <c r="FM2189" s="15" t="inlineStr">
        <is>
          <t>SAN ALFONSO</t>
        </is>
      </c>
      <c r="FN2189" s="15" t="inlineStr">
        <is>
          <t>San Alfonso 2141 (Ramón Subercaseaux 3060)</t>
        </is>
      </c>
      <c r="FO2189" s="15" t="inlineStr">
        <is>
          <t>Estacion Central</t>
        </is>
      </c>
      <c r="FP2189" t="inlineStr">
        <is>
          <t>C</t>
        </is>
      </c>
    </row>
    <row r="2190">
      <c r="FC2190" t="inlineStr">
        <is>
          <t>Diccionario 3</t>
        </is>
      </c>
      <c r="FD2190" s="15" t="inlineStr">
        <is>
          <t>SXKV91</t>
        </is>
      </c>
      <c r="FE2190" s="15" t="inlineStr">
        <is>
          <t>YV3T7U529RA211989</t>
        </is>
      </c>
      <c r="FF2190" s="15" t="n">
        <v>593887</v>
      </c>
      <c r="FG2190" s="15" t="inlineStr">
        <is>
          <t>Volvo</t>
        </is>
      </c>
      <c r="FH2190" s="15" t="inlineStr">
        <is>
          <t>B8RLEA</t>
        </is>
      </c>
      <c r="FI2190" s="15" t="inlineStr">
        <is>
          <t>MARCOPOLO</t>
        </is>
      </c>
      <c r="FJ2190" s="15" t="inlineStr">
        <is>
          <t>GRAN VIALE</t>
        </is>
      </c>
      <c r="FK2190" s="15" t="n">
        <v>2023</v>
      </c>
      <c r="FL2190" s="15" t="inlineStr">
        <is>
          <t>C</t>
        </is>
      </c>
      <c r="FM2190" s="15" t="inlineStr">
        <is>
          <t>SAN ALFONSO</t>
        </is>
      </c>
      <c r="FN2190" s="15" t="inlineStr">
        <is>
          <t>San Alfonso 2141 (Ramón Subercaseaux 3060)</t>
        </is>
      </c>
      <c r="FO2190" s="15" t="inlineStr">
        <is>
          <t>Estacion Central</t>
        </is>
      </c>
      <c r="FP2190" t="inlineStr">
        <is>
          <t>C</t>
        </is>
      </c>
    </row>
    <row r="2191">
      <c r="FC2191" t="inlineStr">
        <is>
          <t>Diccionario 3</t>
        </is>
      </c>
      <c r="FD2191" s="15" t="inlineStr">
        <is>
          <t>SXKV92</t>
        </is>
      </c>
      <c r="FE2191" s="15" t="inlineStr">
        <is>
          <t>YV3T7U525RA211990</t>
        </is>
      </c>
      <c r="FF2191" s="15" t="n">
        <v>593899</v>
      </c>
      <c r="FG2191" s="15" t="inlineStr">
        <is>
          <t>Volvo</t>
        </is>
      </c>
      <c r="FH2191" s="15" t="inlineStr">
        <is>
          <t>B8RLEA</t>
        </is>
      </c>
      <c r="FI2191" s="15" t="inlineStr">
        <is>
          <t>MARCOPOLO</t>
        </is>
      </c>
      <c r="FJ2191" s="15" t="inlineStr">
        <is>
          <t>GRAN VIALE</t>
        </is>
      </c>
      <c r="FK2191" s="15" t="n">
        <v>2023</v>
      </c>
      <c r="FL2191" s="15" t="inlineStr">
        <is>
          <t>C</t>
        </is>
      </c>
      <c r="FM2191" s="15" t="inlineStr">
        <is>
          <t>SAN ALFONSO</t>
        </is>
      </c>
      <c r="FN2191" s="15" t="inlineStr">
        <is>
          <t>San Alfonso 2141 (Ramón Subercaseaux 3060)</t>
        </is>
      </c>
      <c r="FO2191" s="15" t="inlineStr">
        <is>
          <t>Estacion Central</t>
        </is>
      </c>
      <c r="FP2191" t="inlineStr">
        <is>
          <t>C</t>
        </is>
      </c>
    </row>
    <row r="2192">
      <c r="FC2192" t="inlineStr">
        <is>
          <t>Diccionario 3</t>
        </is>
      </c>
      <c r="FD2192" s="15" t="inlineStr">
        <is>
          <t>SXKV93</t>
        </is>
      </c>
      <c r="FE2192" s="15" t="inlineStr">
        <is>
          <t>YV3T7U527RA211991</t>
        </is>
      </c>
      <c r="FF2192" s="15" t="n">
        <v>593420</v>
      </c>
      <c r="FG2192" s="15" t="inlineStr">
        <is>
          <t>Volvo</t>
        </is>
      </c>
      <c r="FH2192" s="15" t="inlineStr">
        <is>
          <t>B8RLEA</t>
        </is>
      </c>
      <c r="FI2192" s="15" t="inlineStr">
        <is>
          <t>MARCOPOLO</t>
        </is>
      </c>
      <c r="FJ2192" s="15" t="inlineStr">
        <is>
          <t>GRAN VIALE</t>
        </is>
      </c>
      <c r="FK2192" s="15" t="n">
        <v>2023</v>
      </c>
      <c r="FL2192" s="15" t="inlineStr">
        <is>
          <t>C</t>
        </is>
      </c>
      <c r="FM2192" s="15" t="inlineStr">
        <is>
          <t>SAN ALFONSO</t>
        </is>
      </c>
      <c r="FN2192" s="15" t="inlineStr">
        <is>
          <t>San Alfonso 2141 (Ramón Subercaseaux 3060)</t>
        </is>
      </c>
      <c r="FO2192" s="15" t="inlineStr">
        <is>
          <t>Estacion Central</t>
        </is>
      </c>
      <c r="FP2192" t="inlineStr">
        <is>
          <t>C</t>
        </is>
      </c>
    </row>
    <row r="2193">
      <c r="FC2193" t="inlineStr">
        <is>
          <t>Diccionario 3</t>
        </is>
      </c>
      <c r="FD2193" s="15" t="inlineStr">
        <is>
          <t>SXKV94</t>
        </is>
      </c>
      <c r="FE2193" s="15" t="inlineStr">
        <is>
          <t>YV3T7U529RA211992</t>
        </is>
      </c>
      <c r="FF2193" s="15" t="n">
        <v>593506</v>
      </c>
      <c r="FG2193" s="15" t="inlineStr">
        <is>
          <t>Volvo</t>
        </is>
      </c>
      <c r="FH2193" s="15" t="inlineStr">
        <is>
          <t>B8RLEA</t>
        </is>
      </c>
      <c r="FI2193" s="15" t="inlineStr">
        <is>
          <t>MARCOPOLO</t>
        </is>
      </c>
      <c r="FJ2193" s="15" t="inlineStr">
        <is>
          <t>GRAN VIALE</t>
        </is>
      </c>
      <c r="FK2193" s="15" t="n">
        <v>2023</v>
      </c>
      <c r="FL2193" s="15" t="inlineStr">
        <is>
          <t>C</t>
        </is>
      </c>
      <c r="FM2193" s="15" t="inlineStr">
        <is>
          <t>SAN ALFONSO</t>
        </is>
      </c>
      <c r="FN2193" s="15" t="inlineStr">
        <is>
          <t>San Alfonso 2141 (Ramón Subercaseaux 3060)</t>
        </is>
      </c>
      <c r="FO2193" s="15" t="inlineStr">
        <is>
          <t>Estacion Central</t>
        </is>
      </c>
      <c r="FP2193" t="inlineStr">
        <is>
          <t>C</t>
        </is>
      </c>
    </row>
    <row r="2194">
      <c r="FC2194" t="inlineStr">
        <is>
          <t>Diccionario 3</t>
        </is>
      </c>
      <c r="FD2194" s="15" t="inlineStr">
        <is>
          <t>SXKV95</t>
        </is>
      </c>
      <c r="FE2194" s="15" t="inlineStr">
        <is>
          <t>YV3T7U520RA211993</t>
        </is>
      </c>
      <c r="FF2194" s="15" t="n">
        <v>593418</v>
      </c>
      <c r="FG2194" s="15" t="inlineStr">
        <is>
          <t>Volvo</t>
        </is>
      </c>
      <c r="FH2194" s="15" t="inlineStr">
        <is>
          <t>B8RLEA</t>
        </is>
      </c>
      <c r="FI2194" s="15" t="inlineStr">
        <is>
          <t>MARCOPOLO</t>
        </is>
      </c>
      <c r="FJ2194" s="15" t="inlineStr">
        <is>
          <t>GRAN VIALE</t>
        </is>
      </c>
      <c r="FK2194" s="15" t="n">
        <v>2023</v>
      </c>
      <c r="FL2194" s="15" t="inlineStr">
        <is>
          <t>C</t>
        </is>
      </c>
      <c r="FM2194" s="15" t="inlineStr">
        <is>
          <t>SAN ALFONSO</t>
        </is>
      </c>
      <c r="FN2194" s="15" t="inlineStr">
        <is>
          <t>San Alfonso 2141 (Ramón Subercaseaux 3060)</t>
        </is>
      </c>
      <c r="FO2194" s="15" t="inlineStr">
        <is>
          <t>Estacion Central</t>
        </is>
      </c>
      <c r="FP2194" t="inlineStr">
        <is>
          <t>C</t>
        </is>
      </c>
    </row>
    <row r="2195">
      <c r="FC2195" t="inlineStr">
        <is>
          <t>Diccionario 3</t>
        </is>
      </c>
      <c r="FD2195" s="15" t="inlineStr">
        <is>
          <t>SXKV96</t>
        </is>
      </c>
      <c r="FE2195" s="15" t="inlineStr">
        <is>
          <t>YV3T7U529RA212107</t>
        </is>
      </c>
      <c r="FF2195" s="15" t="n">
        <v>593145</v>
      </c>
      <c r="FG2195" s="15" t="inlineStr">
        <is>
          <t>Volvo</t>
        </is>
      </c>
      <c r="FH2195" s="15" t="inlineStr">
        <is>
          <t>B8RLEA</t>
        </is>
      </c>
      <c r="FI2195" s="15" t="inlineStr">
        <is>
          <t>MARCOPOLO</t>
        </is>
      </c>
      <c r="FJ2195" s="15" t="inlineStr">
        <is>
          <t>GRAN VIALE</t>
        </is>
      </c>
      <c r="FK2195" s="15" t="n">
        <v>2023</v>
      </c>
      <c r="FL2195" s="15" t="inlineStr">
        <is>
          <t>C</t>
        </is>
      </c>
      <c r="FM2195" s="15" t="inlineStr">
        <is>
          <t>SAN ALFONSO</t>
        </is>
      </c>
      <c r="FN2195" s="15" t="inlineStr">
        <is>
          <t>San Alfonso 2141 (Ramón Subercaseaux 3060)</t>
        </is>
      </c>
      <c r="FO2195" s="15" t="inlineStr">
        <is>
          <t>Estacion Central</t>
        </is>
      </c>
      <c r="FP2195" t="inlineStr">
        <is>
          <t>C</t>
        </is>
      </c>
    </row>
    <row r="2196">
      <c r="FC2196" t="inlineStr">
        <is>
          <t>Diccionario 3</t>
        </is>
      </c>
      <c r="FD2196" s="15" t="inlineStr">
        <is>
          <t>VFPB75</t>
        </is>
      </c>
      <c r="FE2196" s="15" t="inlineStr">
        <is>
          <t>MDN35025020059</t>
        </is>
      </c>
      <c r="FF2196" s="15" t="inlineStr">
        <is>
          <t>LDYECS312S0043986</t>
        </is>
      </c>
      <c r="FG2196" s="15" t="inlineStr">
        <is>
          <t>Zhong Tong</t>
        </is>
      </c>
      <c r="FH2196" s="15" t="inlineStr">
        <is>
          <t>Lck6122evg</t>
        </is>
      </c>
      <c r="FI2196" s="15" t="inlineStr">
        <is>
          <t>ZHONGTONG</t>
        </is>
      </c>
      <c r="FJ2196" s="15" t="inlineStr">
        <is>
          <t>LCK6122EVG</t>
        </is>
      </c>
      <c r="FK2196" s="15" t="n">
        <v>2025</v>
      </c>
      <c r="FL2196" s="15" t="inlineStr">
        <is>
          <t>B</t>
        </is>
      </c>
      <c r="FM2196" s="15" t="inlineStr">
        <is>
          <t>CERRILLOS</t>
        </is>
      </c>
      <c r="FN2196" s="15" t="inlineStr">
        <is>
          <t>Calle Uno 7371</t>
        </is>
      </c>
      <c r="FO2196" s="15" t="inlineStr">
        <is>
          <t>Cerrillos</t>
        </is>
      </c>
      <c r="FP2196" t="inlineStr">
        <is>
          <t>B</t>
        </is>
      </c>
    </row>
    <row r="2197">
      <c r="FC2197" t="inlineStr">
        <is>
          <t>Diccionario 3</t>
        </is>
      </c>
      <c r="FD2197" s="15" t="inlineStr">
        <is>
          <t>VFPB85</t>
        </is>
      </c>
      <c r="FE2197" s="15" t="inlineStr">
        <is>
          <t>MDN35025020068</t>
        </is>
      </c>
      <c r="FF2197" s="15" t="inlineStr">
        <is>
          <t>LDYECS318S0044009</t>
        </is>
      </c>
      <c r="FG2197" s="15" t="inlineStr">
        <is>
          <t>Zhong Tong</t>
        </is>
      </c>
      <c r="FH2197" s="15" t="inlineStr">
        <is>
          <t>Lck6122evg</t>
        </is>
      </c>
      <c r="FI2197" s="15" t="inlineStr">
        <is>
          <t>ZHONGTONG</t>
        </is>
      </c>
      <c r="FJ2197" s="15" t="inlineStr">
        <is>
          <t>LCK6122EVG</t>
        </is>
      </c>
      <c r="FK2197" s="15" t="n">
        <v>2025</v>
      </c>
      <c r="FL2197" s="15" t="inlineStr">
        <is>
          <t>B</t>
        </is>
      </c>
      <c r="FM2197" s="15" t="inlineStr">
        <is>
          <t>PIE ANDINO</t>
        </is>
      </c>
      <c r="FN2197" s="15" t="inlineStr">
        <is>
          <t>Pie Andino 31 (Pie Andino 383)</t>
        </is>
      </c>
      <c r="FO2197" s="15" t="inlineStr">
        <is>
          <t>Puente Alto</t>
        </is>
      </c>
      <c r="FP2197" t="inlineStr">
        <is>
          <t>B</t>
        </is>
      </c>
    </row>
    <row r="2198">
      <c r="FC2198" t="inlineStr">
        <is>
          <t>Diccionario 3</t>
        </is>
      </c>
      <c r="FD2198" s="15" t="inlineStr">
        <is>
          <t>VFPC59</t>
        </is>
      </c>
      <c r="FE2198" s="15" t="inlineStr">
        <is>
          <t>MDN35025020104</t>
        </is>
      </c>
      <c r="FF2198" s="15" t="inlineStr">
        <is>
          <t>LDYECS315S0044016</t>
        </is>
      </c>
      <c r="FG2198" s="15" t="inlineStr">
        <is>
          <t>Zhong Tong</t>
        </is>
      </c>
      <c r="FH2198" s="15" t="inlineStr">
        <is>
          <t>Lck6122evg</t>
        </is>
      </c>
      <c r="FI2198" s="15" t="inlineStr">
        <is>
          <t>ZHONGTONG</t>
        </is>
      </c>
      <c r="FJ2198" s="15" t="inlineStr">
        <is>
          <t>LCK6122EVG</t>
        </is>
      </c>
      <c r="FK2198" s="15" t="n">
        <v>2025</v>
      </c>
      <c r="FL2198" s="15" t="inlineStr">
        <is>
          <t>B</t>
        </is>
      </c>
      <c r="FM2198" s="15" t="inlineStr">
        <is>
          <t>SAN ALFONSO</t>
        </is>
      </c>
      <c r="FN2198" s="15" t="inlineStr">
        <is>
          <t>San Alfonso 2141 (Ramón Subercaseaux 3060)</t>
        </is>
      </c>
      <c r="FO2198" s="15" t="inlineStr">
        <is>
          <t>Estacion Central</t>
        </is>
      </c>
      <c r="FP2198" t="inlineStr">
        <is>
          <t>B</t>
        </is>
      </c>
    </row>
    <row r="2199">
      <c r="FC2199" t="inlineStr">
        <is>
          <t>Diccionario 3</t>
        </is>
      </c>
      <c r="FD2199" s="15" t="inlineStr">
        <is>
          <t>VFPC66</t>
        </is>
      </c>
      <c r="FE2199" s="15" t="inlineStr">
        <is>
          <t>MDN35025020124</t>
        </is>
      </c>
      <c r="FF2199" s="15" t="inlineStr">
        <is>
          <t>LDYECS311S0044014</t>
        </is>
      </c>
      <c r="FG2199" s="15" t="inlineStr">
        <is>
          <t>Zhong Tong</t>
        </is>
      </c>
      <c r="FH2199" s="15" t="inlineStr">
        <is>
          <t>Lck6122evg</t>
        </is>
      </c>
      <c r="FI2199" s="15" t="inlineStr">
        <is>
          <t>ZHONGTONG</t>
        </is>
      </c>
      <c r="FJ2199" s="15" t="inlineStr">
        <is>
          <t>LCK6122EVG</t>
        </is>
      </c>
      <c r="FK2199" s="15" t="n">
        <v>2025</v>
      </c>
      <c r="FL2199" s="15" t="inlineStr">
        <is>
          <t>B</t>
        </is>
      </c>
      <c r="FM2199" s="15" t="inlineStr">
        <is>
          <t>SAN ALFONSO</t>
        </is>
      </c>
      <c r="FN2199" s="15" t="inlineStr">
        <is>
          <t>San Alfonso 2141 (Ramón Subercaseaux 3060)</t>
        </is>
      </c>
      <c r="FO2199" s="15" t="inlineStr">
        <is>
          <t>Estacion Central</t>
        </is>
      </c>
      <c r="FP2199" t="inlineStr">
        <is>
          <t>B</t>
        </is>
      </c>
    </row>
    <row r="2200">
      <c r="FC2200" t="inlineStr">
        <is>
          <t>Diccionario 3</t>
        </is>
      </c>
      <c r="FD2200" s="15" t="inlineStr">
        <is>
          <t>VFPC69</t>
        </is>
      </c>
      <c r="FE2200" s="15" t="inlineStr">
        <is>
          <t>MDN35025020027</t>
        </is>
      </c>
      <c r="FF2200" s="15" t="inlineStr">
        <is>
          <t>LDYECS317S0044003</t>
        </is>
      </c>
      <c r="FG2200" s="15" t="inlineStr">
        <is>
          <t>Zhong Tong</t>
        </is>
      </c>
      <c r="FH2200" s="15" t="inlineStr">
        <is>
          <t>Lck6122evg</t>
        </is>
      </c>
      <c r="FI2200" s="15" t="inlineStr">
        <is>
          <t>ZHONGTONG</t>
        </is>
      </c>
      <c r="FJ2200" s="15" t="inlineStr">
        <is>
          <t>LCK6122EVG</t>
        </is>
      </c>
      <c r="FK2200" s="15" t="n">
        <v>2025</v>
      </c>
      <c r="FL2200" s="15" t="inlineStr">
        <is>
          <t>B</t>
        </is>
      </c>
      <c r="FM2200" s="15" t="inlineStr">
        <is>
          <t>PIE ANDINO</t>
        </is>
      </c>
      <c r="FN2200" s="15" t="inlineStr">
        <is>
          <t>Pie Andino 31 (Pie Andino 383)</t>
        </is>
      </c>
      <c r="FO2200" s="15" t="inlineStr">
        <is>
          <t>Puente Alto</t>
        </is>
      </c>
      <c r="FP2200" t="inlineStr">
        <is>
          <t>B</t>
        </is>
      </c>
    </row>
    <row r="2201">
      <c r="FC2201" t="inlineStr">
        <is>
          <t>Diccionario 3</t>
        </is>
      </c>
      <c r="FD2201" s="15" t="inlineStr">
        <is>
          <t>VFPD10</t>
        </is>
      </c>
      <c r="FE2201" s="15" t="inlineStr">
        <is>
          <t>MDN35025020086</t>
        </is>
      </c>
      <c r="FF2201" s="15" t="inlineStr">
        <is>
          <t>LDYECS31XS0043976</t>
        </is>
      </c>
      <c r="FG2201" s="15" t="inlineStr">
        <is>
          <t>Zhong Tong</t>
        </is>
      </c>
      <c r="FH2201" s="15" t="inlineStr">
        <is>
          <t>Lck6122evg</t>
        </is>
      </c>
      <c r="FI2201" s="15" t="inlineStr">
        <is>
          <t>ZHONGTONG</t>
        </is>
      </c>
      <c r="FJ2201" s="15" t="inlineStr">
        <is>
          <t>LCK6122EVG</t>
        </is>
      </c>
      <c r="FK2201" s="15" t="n">
        <v>2025</v>
      </c>
      <c r="FL2201" s="15" t="inlineStr">
        <is>
          <t>B</t>
        </is>
      </c>
      <c r="FM2201" s="15" t="inlineStr">
        <is>
          <t>CERRILLOS</t>
        </is>
      </c>
      <c r="FN2201" s="15" t="inlineStr">
        <is>
          <t>Calle Uno 7371</t>
        </is>
      </c>
      <c r="FO2201" s="15" t="inlineStr">
        <is>
          <t>Cerrillos</t>
        </is>
      </c>
      <c r="FP2201" t="inlineStr">
        <is>
          <t>B</t>
        </is>
      </c>
    </row>
    <row r="2202">
      <c r="FC2202" t="inlineStr">
        <is>
          <t>Diccionario 3</t>
        </is>
      </c>
      <c r="FD2202" s="15" t="inlineStr">
        <is>
          <t>VFPD41</t>
        </is>
      </c>
      <c r="FE2202" s="15" t="inlineStr">
        <is>
          <t>MDN35025020119</t>
        </is>
      </c>
      <c r="FF2202" s="15" t="inlineStr">
        <is>
          <t>LDYECS313S0043981</t>
        </is>
      </c>
      <c r="FG2202" s="15" t="inlineStr">
        <is>
          <t>Zhong Tong</t>
        </is>
      </c>
      <c r="FH2202" s="15" t="inlineStr">
        <is>
          <t>Lck6122evg</t>
        </is>
      </c>
      <c r="FI2202" s="15" t="inlineStr">
        <is>
          <t>ZHONGTONG</t>
        </is>
      </c>
      <c r="FJ2202" s="15" t="inlineStr">
        <is>
          <t>LCK6122EVG</t>
        </is>
      </c>
      <c r="FK2202" s="15" t="n">
        <v>2025</v>
      </c>
      <c r="FL2202" s="15" t="inlineStr">
        <is>
          <t>B</t>
        </is>
      </c>
      <c r="FM2202" s="15" t="inlineStr">
        <is>
          <t>PIE ANDINO</t>
        </is>
      </c>
      <c r="FN2202" s="15" t="inlineStr">
        <is>
          <t>Pie Andino 31 (Pie Andino 383)</t>
        </is>
      </c>
      <c r="FO2202" s="15" t="inlineStr">
        <is>
          <t>Puente Alto</t>
        </is>
      </c>
      <c r="FP2202" t="inlineStr">
        <is>
          <t>B</t>
        </is>
      </c>
    </row>
    <row r="2203">
      <c r="FC2203" t="inlineStr">
        <is>
          <t>Diccionario 3</t>
        </is>
      </c>
      <c r="FD2203" s="15" t="inlineStr">
        <is>
          <t>VFPD51</t>
        </is>
      </c>
      <c r="FE2203" s="15" t="inlineStr">
        <is>
          <t>MDN35025020092</t>
        </is>
      </c>
      <c r="FF2203" s="15" t="inlineStr">
        <is>
          <t>LDYECS319S0043998</t>
        </is>
      </c>
      <c r="FG2203" s="15" t="inlineStr">
        <is>
          <t>Zhong Tong</t>
        </is>
      </c>
      <c r="FH2203" s="15" t="inlineStr">
        <is>
          <t>Lck6122evg</t>
        </is>
      </c>
      <c r="FI2203" s="15" t="inlineStr">
        <is>
          <t>ZHONGTONG</t>
        </is>
      </c>
      <c r="FJ2203" s="15" t="inlineStr">
        <is>
          <t>LCK6122EVG</t>
        </is>
      </c>
      <c r="FK2203" s="15" t="n">
        <v>2025</v>
      </c>
      <c r="FL2203" s="15" t="inlineStr">
        <is>
          <t>B</t>
        </is>
      </c>
      <c r="FM2203" s="15" t="inlineStr">
        <is>
          <t>CERRILLOS</t>
        </is>
      </c>
      <c r="FN2203" s="15" t="inlineStr">
        <is>
          <t>Calle Uno 7371</t>
        </is>
      </c>
      <c r="FO2203" s="15" t="inlineStr">
        <is>
          <t>Cerrillos</t>
        </is>
      </c>
      <c r="FP2203" t="inlineStr">
        <is>
          <t>B</t>
        </is>
      </c>
    </row>
    <row r="2204">
      <c r="FC2204" t="inlineStr">
        <is>
          <t>Diccionario 3</t>
        </is>
      </c>
      <c r="FD2204" s="15" t="inlineStr">
        <is>
          <t>VFPD61</t>
        </is>
      </c>
      <c r="FE2204" s="15" t="inlineStr">
        <is>
          <t>MDN35025020153</t>
        </is>
      </c>
      <c r="FF2204" s="15" t="inlineStr">
        <is>
          <t>LDYECS310S0043999</t>
        </is>
      </c>
      <c r="FG2204" s="15" t="inlineStr">
        <is>
          <t>Zhong Tong</t>
        </is>
      </c>
      <c r="FH2204" s="15" t="inlineStr">
        <is>
          <t>Lck6122evg</t>
        </is>
      </c>
      <c r="FI2204" s="15" t="inlineStr">
        <is>
          <t>ZHONGTONG</t>
        </is>
      </c>
      <c r="FJ2204" s="15" t="inlineStr">
        <is>
          <t>LCK6122EVG</t>
        </is>
      </c>
      <c r="FK2204" s="15" t="n">
        <v>2025</v>
      </c>
      <c r="FL2204" s="15" t="inlineStr">
        <is>
          <t>B</t>
        </is>
      </c>
      <c r="FM2204" s="15" t="inlineStr">
        <is>
          <t>CERRILLOS</t>
        </is>
      </c>
      <c r="FN2204" s="15" t="inlineStr">
        <is>
          <t>Calle Uno 7371</t>
        </is>
      </c>
      <c r="FO2204" s="15" t="inlineStr">
        <is>
          <t>Cerrillos</t>
        </is>
      </c>
      <c r="FP2204" t="inlineStr">
        <is>
          <t>B</t>
        </is>
      </c>
    </row>
    <row r="2205">
      <c r="FC2205" t="inlineStr">
        <is>
          <t>Diccionario 3</t>
        </is>
      </c>
      <c r="FD2205" s="15" t="inlineStr">
        <is>
          <t>VFPD71</t>
        </is>
      </c>
      <c r="FE2205" s="15" t="inlineStr">
        <is>
          <t>MDN35025010097</t>
        </is>
      </c>
      <c r="FF2205" s="15" t="inlineStr">
        <is>
          <t>LDYECS318S0044110</t>
        </is>
      </c>
      <c r="FG2205" s="15" t="inlineStr">
        <is>
          <t>Zhong Tong</t>
        </is>
      </c>
      <c r="FH2205" s="15" t="inlineStr">
        <is>
          <t>Lck6122evg</t>
        </is>
      </c>
      <c r="FI2205" s="15" t="inlineStr">
        <is>
          <t>ZHONGTONG</t>
        </is>
      </c>
      <c r="FJ2205" s="15" t="inlineStr">
        <is>
          <t>LCK6122EVG</t>
        </is>
      </c>
      <c r="FK2205" s="15" t="n">
        <v>2025</v>
      </c>
      <c r="FL2205" s="15" t="inlineStr">
        <is>
          <t>B</t>
        </is>
      </c>
      <c r="FM2205" s="15" t="inlineStr">
        <is>
          <t>CERRILLOS</t>
        </is>
      </c>
      <c r="FN2205" s="15" t="inlineStr">
        <is>
          <t>Calle Uno 7371</t>
        </is>
      </c>
      <c r="FO2205" s="15" t="inlineStr">
        <is>
          <t>Cerrillos</t>
        </is>
      </c>
      <c r="FP2205" t="inlineStr">
        <is>
          <t>B</t>
        </is>
      </c>
    </row>
    <row r="2206">
      <c r="FC2206" t="inlineStr">
        <is>
          <t>Diccionario 3</t>
        </is>
      </c>
      <c r="FD2206" s="15" t="inlineStr">
        <is>
          <t>VFPD81</t>
        </is>
      </c>
      <c r="FE2206" s="15" t="inlineStr">
        <is>
          <t>MDN35025020026</t>
        </is>
      </c>
      <c r="FF2206" s="15" t="inlineStr">
        <is>
          <t>LDYECS31XS0043993</t>
        </is>
      </c>
      <c r="FG2206" s="15" t="inlineStr">
        <is>
          <t>Zhong Tong</t>
        </is>
      </c>
      <c r="FH2206" s="15" t="inlineStr">
        <is>
          <t>Lck6122evg</t>
        </is>
      </c>
      <c r="FI2206" s="15" t="inlineStr">
        <is>
          <t>ZHONGTONG</t>
        </is>
      </c>
      <c r="FJ2206" s="15" t="inlineStr">
        <is>
          <t>LCK6122EVG</t>
        </is>
      </c>
      <c r="FK2206" s="15" t="n">
        <v>2025</v>
      </c>
      <c r="FL2206" s="15" t="inlineStr">
        <is>
          <t>B</t>
        </is>
      </c>
      <c r="FM2206" s="15" t="inlineStr">
        <is>
          <t>CERRILLOS</t>
        </is>
      </c>
      <c r="FN2206" s="15" t="inlineStr">
        <is>
          <t>Calle Uno 7371</t>
        </is>
      </c>
      <c r="FO2206" s="15" t="inlineStr">
        <is>
          <t>Cerrillos</t>
        </is>
      </c>
      <c r="FP2206" t="inlineStr">
        <is>
          <t>B</t>
        </is>
      </c>
    </row>
    <row r="2207">
      <c r="FC2207" t="inlineStr">
        <is>
          <t>Diccionario 3</t>
        </is>
      </c>
      <c r="FD2207" s="15" t="inlineStr">
        <is>
          <t>VFPF21</t>
        </is>
      </c>
      <c r="FE2207" s="15" t="inlineStr">
        <is>
          <t>MDN35025020048</t>
        </is>
      </c>
      <c r="FF2207" s="15" t="inlineStr">
        <is>
          <t>LDYECS316S0043988</t>
        </is>
      </c>
      <c r="FG2207" s="15" t="inlineStr">
        <is>
          <t>Zhong Tong</t>
        </is>
      </c>
      <c r="FH2207" s="15" t="inlineStr">
        <is>
          <t>Lck6122evg</t>
        </is>
      </c>
      <c r="FI2207" s="15" t="inlineStr">
        <is>
          <t>ZHONGTONG</t>
        </is>
      </c>
      <c r="FJ2207" s="15" t="inlineStr">
        <is>
          <t>LCK6122EVG</t>
        </is>
      </c>
      <c r="FK2207" s="15" t="n">
        <v>2025</v>
      </c>
      <c r="FL2207" s="15" t="inlineStr">
        <is>
          <t>B</t>
        </is>
      </c>
      <c r="FM2207" s="15" t="inlineStr">
        <is>
          <t>PIE ANDINO</t>
        </is>
      </c>
      <c r="FN2207" s="15" t="inlineStr">
        <is>
          <t>Pie Andino 31 (Pie Andino 383)</t>
        </is>
      </c>
      <c r="FO2207" s="15" t="inlineStr">
        <is>
          <t>Puente Alto</t>
        </is>
      </c>
      <c r="FP2207" t="inlineStr">
        <is>
          <t>B</t>
        </is>
      </c>
    </row>
    <row r="2208">
      <c r="FC2208" t="inlineStr">
        <is>
          <t>Diccionario 3</t>
        </is>
      </c>
      <c r="FD2208" s="15" t="inlineStr">
        <is>
          <t>VFPF31</t>
        </is>
      </c>
      <c r="FE2208" s="15" t="inlineStr">
        <is>
          <t>MDN35025020053</t>
        </is>
      </c>
      <c r="FF2208" s="15" t="inlineStr">
        <is>
          <t>LDYECS310S0043985</t>
        </is>
      </c>
      <c r="FG2208" s="15" t="inlineStr">
        <is>
          <t>Zhong Tong</t>
        </is>
      </c>
      <c r="FH2208" s="15" t="inlineStr">
        <is>
          <t>Lck6122evg</t>
        </is>
      </c>
      <c r="FI2208" s="15" t="inlineStr">
        <is>
          <t>ZHONGTONG</t>
        </is>
      </c>
      <c r="FJ2208" s="15" t="inlineStr">
        <is>
          <t>LCK6122EVG</t>
        </is>
      </c>
      <c r="FK2208" s="15" t="n">
        <v>2025</v>
      </c>
      <c r="FL2208" s="15" t="inlineStr">
        <is>
          <t>B</t>
        </is>
      </c>
      <c r="FM2208" s="15" t="inlineStr">
        <is>
          <t>CERRILLOS</t>
        </is>
      </c>
      <c r="FN2208" s="15" t="inlineStr">
        <is>
          <t>Calle Uno 7371</t>
        </is>
      </c>
      <c r="FO2208" s="15" t="inlineStr">
        <is>
          <t>Cerrillos</t>
        </is>
      </c>
      <c r="FP2208" t="inlineStr">
        <is>
          <t>B</t>
        </is>
      </c>
    </row>
    <row r="2209">
      <c r="FC2209" t="inlineStr">
        <is>
          <t>Diccionario 3</t>
        </is>
      </c>
      <c r="FD2209" s="15" t="inlineStr">
        <is>
          <t>VFPF51</t>
        </is>
      </c>
      <c r="FE2209" s="15" t="inlineStr">
        <is>
          <t>MDN35025020080</t>
        </is>
      </c>
      <c r="FF2209" s="15" t="inlineStr">
        <is>
          <t>LDYECS314S0043990</t>
        </is>
      </c>
      <c r="FG2209" s="15" t="inlineStr">
        <is>
          <t>Zhong Tong</t>
        </is>
      </c>
      <c r="FH2209" s="15" t="inlineStr">
        <is>
          <t>Lck6122evg</t>
        </is>
      </c>
      <c r="FI2209" s="15" t="inlineStr">
        <is>
          <t>ZHONGTONG</t>
        </is>
      </c>
      <c r="FJ2209" s="15" t="inlineStr">
        <is>
          <t>LCK6122EVG</t>
        </is>
      </c>
      <c r="FK2209" s="15" t="n">
        <v>2025</v>
      </c>
      <c r="FL2209" s="15" t="inlineStr">
        <is>
          <t>B</t>
        </is>
      </c>
      <c r="FM2209" s="15" t="inlineStr">
        <is>
          <t>CERRILLOS</t>
        </is>
      </c>
      <c r="FN2209" s="15" t="inlineStr">
        <is>
          <t>Calle Uno 7371</t>
        </is>
      </c>
      <c r="FO2209" s="15" t="inlineStr">
        <is>
          <t>Cerrillos</t>
        </is>
      </c>
      <c r="FP2209" t="inlineStr">
        <is>
          <t>B</t>
        </is>
      </c>
    </row>
    <row r="2210">
      <c r="FC2210" t="inlineStr">
        <is>
          <t>Diccionario 3</t>
        </is>
      </c>
      <c r="FD2210" s="15" t="inlineStr">
        <is>
          <t>VFPF54</t>
        </is>
      </c>
      <c r="FE2210" s="15" t="inlineStr">
        <is>
          <t>MDN35025020046</t>
        </is>
      </c>
      <c r="FF2210" s="15" t="inlineStr">
        <is>
          <t>LDYECS311S0043994</t>
        </is>
      </c>
      <c r="FG2210" s="15" t="inlineStr">
        <is>
          <t>Zhong Tong</t>
        </is>
      </c>
      <c r="FH2210" s="15" t="inlineStr">
        <is>
          <t>Lck6122evg</t>
        </is>
      </c>
      <c r="FI2210" s="15" t="inlineStr">
        <is>
          <t>ZHONGTONG</t>
        </is>
      </c>
      <c r="FJ2210" s="15" t="inlineStr">
        <is>
          <t>LCK6122EVG</t>
        </is>
      </c>
      <c r="FK2210" s="15" t="n">
        <v>2025</v>
      </c>
      <c r="FL2210" s="15" t="inlineStr">
        <is>
          <t>B</t>
        </is>
      </c>
      <c r="FM2210" s="15" t="inlineStr">
        <is>
          <t>PIE ANDINO</t>
        </is>
      </c>
      <c r="FN2210" s="15" t="inlineStr">
        <is>
          <t>Pie Andino 31 (Pie Andino 383)</t>
        </is>
      </c>
      <c r="FO2210" s="15" t="inlineStr">
        <is>
          <t>Puente Alto</t>
        </is>
      </c>
      <c r="FP2210" t="inlineStr">
        <is>
          <t>B</t>
        </is>
      </c>
    </row>
    <row r="2211">
      <c r="FC2211" t="inlineStr">
        <is>
          <t>Diccionario 3</t>
        </is>
      </c>
      <c r="FD2211" s="15" t="inlineStr">
        <is>
          <t>VFPF61</t>
        </is>
      </c>
      <c r="FE2211" s="15" t="inlineStr">
        <is>
          <t>MDN35025020061</t>
        </is>
      </c>
      <c r="FF2211" s="15" t="inlineStr">
        <is>
          <t>LDYECS318S0043992</t>
        </is>
      </c>
      <c r="FG2211" s="15" t="inlineStr">
        <is>
          <t>Zhong Tong</t>
        </is>
      </c>
      <c r="FH2211" s="15" t="inlineStr">
        <is>
          <t>Lck6122evg</t>
        </is>
      </c>
      <c r="FI2211" s="15" t="inlineStr">
        <is>
          <t>ZHONGTONG</t>
        </is>
      </c>
      <c r="FJ2211" s="15" t="inlineStr">
        <is>
          <t>LCK6122EVG</t>
        </is>
      </c>
      <c r="FK2211" s="15" t="n">
        <v>2025</v>
      </c>
      <c r="FL2211" s="15" t="inlineStr">
        <is>
          <t>B</t>
        </is>
      </c>
      <c r="FM2211" s="15" t="inlineStr">
        <is>
          <t>SAN ALFONSO</t>
        </is>
      </c>
      <c r="FN2211" s="15" t="inlineStr">
        <is>
          <t>San Alfonso 2141 (Ramón Subercaseaux 3060)</t>
        </is>
      </c>
      <c r="FO2211" s="15" t="inlineStr">
        <is>
          <t>Estacion Central</t>
        </is>
      </c>
      <c r="FP2211" t="inlineStr">
        <is>
          <t>B</t>
        </is>
      </c>
    </row>
    <row r="2212">
      <c r="FC2212" t="inlineStr">
        <is>
          <t>Diccionario 3</t>
        </is>
      </c>
      <c r="FD2212" s="15" t="inlineStr">
        <is>
          <t>VFPG48</t>
        </is>
      </c>
      <c r="FE2212" s="15" t="inlineStr">
        <is>
          <t>MDN35025020044</t>
        </is>
      </c>
      <c r="FF2212" s="15" t="inlineStr">
        <is>
          <t>LDYECS31XS0044058</t>
        </is>
      </c>
      <c r="FG2212" s="15" t="inlineStr">
        <is>
          <t>Zhong Tong</t>
        </is>
      </c>
      <c r="FH2212" s="15" t="inlineStr">
        <is>
          <t>Lck6122evg</t>
        </is>
      </c>
      <c r="FI2212" s="15" t="inlineStr">
        <is>
          <t>ZHONGTONG</t>
        </is>
      </c>
      <c r="FJ2212" s="15" t="inlineStr">
        <is>
          <t>LCK6122EVG</t>
        </is>
      </c>
      <c r="FK2212" s="15" t="n">
        <v>2025</v>
      </c>
      <c r="FL2212" s="15" t="inlineStr">
        <is>
          <t>B</t>
        </is>
      </c>
      <c r="FM2212" s="15" t="inlineStr">
        <is>
          <t>CERRILLOS</t>
        </is>
      </c>
      <c r="FN2212" s="15" t="inlineStr">
        <is>
          <t>Calle Uno 7371</t>
        </is>
      </c>
      <c r="FO2212" s="15" t="inlineStr">
        <is>
          <t>Cerrillos</t>
        </is>
      </c>
      <c r="FP2212" t="inlineStr">
        <is>
          <t>B</t>
        </is>
      </c>
    </row>
    <row r="2213">
      <c r="FC2213" t="inlineStr">
        <is>
          <t>Diccionario 3</t>
        </is>
      </c>
      <c r="FD2213" s="15" t="inlineStr">
        <is>
          <t>VFPG58</t>
        </is>
      </c>
      <c r="FE2213" s="15" t="inlineStr">
        <is>
          <t>MDN35025020113</t>
        </is>
      </c>
      <c r="FF2213" s="15" t="inlineStr">
        <is>
          <t>LDYECS318S0044012</t>
        </is>
      </c>
      <c r="FG2213" s="15" t="inlineStr">
        <is>
          <t>Zhong Tong</t>
        </is>
      </c>
      <c r="FH2213" s="15" t="inlineStr">
        <is>
          <t>Lck6122evg</t>
        </is>
      </c>
      <c r="FI2213" s="15" t="inlineStr">
        <is>
          <t>ZHONGTONG</t>
        </is>
      </c>
      <c r="FJ2213" s="15" t="inlineStr">
        <is>
          <t>LCK6122EVG</t>
        </is>
      </c>
      <c r="FK2213" s="15" t="n">
        <v>2025</v>
      </c>
      <c r="FL2213" s="15" t="inlineStr">
        <is>
          <t>B</t>
        </is>
      </c>
      <c r="FM2213" s="15" t="inlineStr">
        <is>
          <t>CERRILLOS</t>
        </is>
      </c>
      <c r="FN2213" s="15" t="inlineStr">
        <is>
          <t>Calle Uno 7371</t>
        </is>
      </c>
      <c r="FO2213" s="15" t="inlineStr">
        <is>
          <t>Cerrillos</t>
        </is>
      </c>
      <c r="FP2213" t="inlineStr">
        <is>
          <t>B</t>
        </is>
      </c>
    </row>
    <row r="2214">
      <c r="FC2214" t="inlineStr">
        <is>
          <t>Diccionario 3</t>
        </is>
      </c>
      <c r="FD2214" s="15" t="inlineStr">
        <is>
          <t>VFPG91</t>
        </is>
      </c>
      <c r="FE2214" s="15" t="inlineStr">
        <is>
          <t>MDN35025020051</t>
        </is>
      </c>
      <c r="FF2214" s="15" t="inlineStr">
        <is>
          <t>LDYECS310S0044019</t>
        </is>
      </c>
      <c r="FG2214" s="15" t="inlineStr">
        <is>
          <t>Zhong Tong</t>
        </is>
      </c>
      <c r="FH2214" s="15" t="inlineStr">
        <is>
          <t>Lck6122evg</t>
        </is>
      </c>
      <c r="FI2214" s="15" t="inlineStr">
        <is>
          <t>ZHONGTONG</t>
        </is>
      </c>
      <c r="FJ2214" s="15" t="inlineStr">
        <is>
          <t>LCK6122EVG</t>
        </is>
      </c>
      <c r="FK2214" s="15" t="n">
        <v>2025</v>
      </c>
      <c r="FL2214" s="15" t="inlineStr">
        <is>
          <t>B</t>
        </is>
      </c>
      <c r="FM2214" s="15" t="inlineStr">
        <is>
          <t>PIE ANDINO</t>
        </is>
      </c>
      <c r="FN2214" s="15" t="inlineStr">
        <is>
          <t>Pie Andino 31 (Pie Andino 383)</t>
        </is>
      </c>
      <c r="FO2214" s="15" t="inlineStr">
        <is>
          <t>Puente Alto</t>
        </is>
      </c>
      <c r="FP2214" t="inlineStr">
        <is>
          <t>B</t>
        </is>
      </c>
    </row>
    <row r="2215">
      <c r="FC2215" t="inlineStr">
        <is>
          <t>Diccionario 3</t>
        </is>
      </c>
      <c r="FD2215" s="15" t="inlineStr">
        <is>
          <t>VFPH21</t>
        </is>
      </c>
      <c r="FE2215" s="15" t="inlineStr">
        <is>
          <t>MDN35025020130</t>
        </is>
      </c>
      <c r="FF2215" s="15" t="inlineStr">
        <is>
          <t>LDYECS319S0044021</t>
        </is>
      </c>
      <c r="FG2215" s="15" t="inlineStr">
        <is>
          <t>Zhong Tong</t>
        </is>
      </c>
      <c r="FH2215" s="15" t="inlineStr">
        <is>
          <t>Lck6122evg</t>
        </is>
      </c>
      <c r="FI2215" s="15" t="inlineStr">
        <is>
          <t>ZHONGTONG</t>
        </is>
      </c>
      <c r="FJ2215" s="15" t="inlineStr">
        <is>
          <t>LCK6122EVG</t>
        </is>
      </c>
      <c r="FK2215" s="15" t="n">
        <v>2025</v>
      </c>
      <c r="FL2215" s="15" t="inlineStr">
        <is>
          <t>B</t>
        </is>
      </c>
      <c r="FM2215" s="15" t="inlineStr">
        <is>
          <t>PIE ANDINO</t>
        </is>
      </c>
      <c r="FN2215" s="15" t="inlineStr">
        <is>
          <t>Pie Andino 31 (Pie Andino 383)</t>
        </is>
      </c>
      <c r="FO2215" s="15" t="inlineStr">
        <is>
          <t>Puente Alto</t>
        </is>
      </c>
      <c r="FP2215" t="inlineStr">
        <is>
          <t>B</t>
        </is>
      </c>
    </row>
    <row r="2216">
      <c r="FC2216" t="inlineStr">
        <is>
          <t>Diccionario 3</t>
        </is>
      </c>
      <c r="FD2216" s="15" t="inlineStr">
        <is>
          <t>VFPH35</t>
        </is>
      </c>
      <c r="FE2216" s="15" t="inlineStr">
        <is>
          <t>MDN35025020025</t>
        </is>
      </c>
      <c r="FF2216" s="15" t="inlineStr">
        <is>
          <t>LDYECS313S0044001</t>
        </is>
      </c>
      <c r="FG2216" s="15" t="inlineStr">
        <is>
          <t>Zhong Tong</t>
        </is>
      </c>
      <c r="FH2216" s="15" t="inlineStr">
        <is>
          <t>Lck6122evg</t>
        </is>
      </c>
      <c r="FI2216" s="15" t="inlineStr">
        <is>
          <t>ZHONGTONG</t>
        </is>
      </c>
      <c r="FJ2216" s="15" t="inlineStr">
        <is>
          <t>LCK6122EVG</t>
        </is>
      </c>
      <c r="FK2216" s="15" t="n">
        <v>2025</v>
      </c>
      <c r="FL2216" s="15" t="inlineStr">
        <is>
          <t>B</t>
        </is>
      </c>
      <c r="FM2216" s="15" t="inlineStr">
        <is>
          <t>CERRILLOS</t>
        </is>
      </c>
      <c r="FN2216" s="15" t="inlineStr">
        <is>
          <t>Calle Uno 7371</t>
        </is>
      </c>
      <c r="FO2216" s="15" t="inlineStr">
        <is>
          <t>Cerrillos</t>
        </is>
      </c>
      <c r="FP2216" t="inlineStr">
        <is>
          <t>B</t>
        </is>
      </c>
    </row>
    <row r="2217">
      <c r="FC2217" t="inlineStr">
        <is>
          <t>Diccionario 3</t>
        </is>
      </c>
      <c r="FD2217" s="15" t="inlineStr">
        <is>
          <t>VFPH51</t>
        </is>
      </c>
      <c r="FE2217" s="15" t="inlineStr">
        <is>
          <t>MDN35025020054</t>
        </is>
      </c>
      <c r="FF2217" s="15" t="inlineStr">
        <is>
          <t>LDYECS311S0044000</t>
        </is>
      </c>
      <c r="FG2217" s="15" t="inlineStr">
        <is>
          <t>Zhong Tong</t>
        </is>
      </c>
      <c r="FH2217" s="15" t="inlineStr">
        <is>
          <t>Lck6122evg</t>
        </is>
      </c>
      <c r="FI2217" s="15" t="inlineStr">
        <is>
          <t>ZHONGTONG</t>
        </is>
      </c>
      <c r="FJ2217" s="15" t="inlineStr">
        <is>
          <t>LCK6122EVG</t>
        </is>
      </c>
      <c r="FK2217" s="15" t="n">
        <v>2025</v>
      </c>
      <c r="FL2217" s="15" t="inlineStr">
        <is>
          <t>B</t>
        </is>
      </c>
      <c r="FM2217" s="15" t="inlineStr">
        <is>
          <t>PIE ANDINO</t>
        </is>
      </c>
      <c r="FN2217" s="15" t="inlineStr">
        <is>
          <t>Pie Andino 31 (Pie Andino 383)</t>
        </is>
      </c>
      <c r="FO2217" s="15" t="inlineStr">
        <is>
          <t>Puente Alto</t>
        </is>
      </c>
      <c r="FP2217" t="inlineStr">
        <is>
          <t>B</t>
        </is>
      </c>
    </row>
    <row r="2218">
      <c r="FC2218" t="inlineStr">
        <is>
          <t>Diccionario 3</t>
        </is>
      </c>
      <c r="FD2218" s="15" t="inlineStr">
        <is>
          <t>VFPH66</t>
        </is>
      </c>
      <c r="FE2218" s="15" t="inlineStr">
        <is>
          <t>MDN35025020154</t>
        </is>
      </c>
      <c r="FF2218" s="15" t="inlineStr">
        <is>
          <t>LDYECS315S0044002</t>
        </is>
      </c>
      <c r="FG2218" s="15" t="inlineStr">
        <is>
          <t>Zhong Tong</t>
        </is>
      </c>
      <c r="FH2218" s="15" t="inlineStr">
        <is>
          <t>Lck6122evg</t>
        </is>
      </c>
      <c r="FI2218" s="15" t="inlineStr">
        <is>
          <t>ZHONGTONG</t>
        </is>
      </c>
      <c r="FJ2218" s="15" t="inlineStr">
        <is>
          <t>LCK6122EVG</t>
        </is>
      </c>
      <c r="FK2218" s="15" t="n">
        <v>2025</v>
      </c>
      <c r="FL2218" s="15" t="inlineStr">
        <is>
          <t>B</t>
        </is>
      </c>
      <c r="FM2218" s="15" t="inlineStr">
        <is>
          <t>CERRILLOS</t>
        </is>
      </c>
      <c r="FN2218" s="15" t="inlineStr">
        <is>
          <t>Calle Uno 7371</t>
        </is>
      </c>
      <c r="FO2218" s="15" t="inlineStr">
        <is>
          <t>Cerrillos</t>
        </is>
      </c>
      <c r="FP2218" t="inlineStr">
        <is>
          <t>B</t>
        </is>
      </c>
    </row>
    <row r="2219">
      <c r="FC2219" t="inlineStr">
        <is>
          <t>Diccionario 3</t>
        </is>
      </c>
      <c r="FD2219" s="15" t="inlineStr">
        <is>
          <t>VFPH79</t>
        </is>
      </c>
      <c r="FE2219" s="15" t="inlineStr">
        <is>
          <t>MDN35025020121</t>
        </is>
      </c>
      <c r="FF2219" s="15" t="inlineStr">
        <is>
          <t>LDYECS314S0044007</t>
        </is>
      </c>
      <c r="FG2219" s="15" t="inlineStr">
        <is>
          <t>Zhong Tong</t>
        </is>
      </c>
      <c r="FH2219" s="15" t="inlineStr">
        <is>
          <t>Lck6122evg</t>
        </is>
      </c>
      <c r="FI2219" s="15" t="inlineStr">
        <is>
          <t>ZHONGTONG</t>
        </is>
      </c>
      <c r="FJ2219" s="15" t="inlineStr">
        <is>
          <t>LCK6122EVG</t>
        </is>
      </c>
      <c r="FK2219" s="15" t="n">
        <v>2025</v>
      </c>
      <c r="FL2219" s="15" t="inlineStr">
        <is>
          <t>B</t>
        </is>
      </c>
      <c r="FM2219" s="15" t="inlineStr">
        <is>
          <t>PIE ANDINO</t>
        </is>
      </c>
      <c r="FN2219" s="15" t="inlineStr">
        <is>
          <t>Pie Andino 31 (Pie Andino 383)</t>
        </is>
      </c>
      <c r="FO2219" s="15" t="inlineStr">
        <is>
          <t>Puente Alto</t>
        </is>
      </c>
      <c r="FP2219" t="inlineStr">
        <is>
          <t>B</t>
        </is>
      </c>
    </row>
    <row r="2220">
      <c r="FC2220" t="inlineStr">
        <is>
          <t>Diccionario 3</t>
        </is>
      </c>
      <c r="FD2220" s="15" t="inlineStr">
        <is>
          <t>VFPH81</t>
        </is>
      </c>
      <c r="FE2220" s="15" t="inlineStr">
        <is>
          <t>MDN35025020096</t>
        </is>
      </c>
      <c r="FF2220" s="15" t="inlineStr">
        <is>
          <t>LDYECS318S0044060</t>
        </is>
      </c>
      <c r="FG2220" s="15" t="inlineStr">
        <is>
          <t>Zhong Tong</t>
        </is>
      </c>
      <c r="FH2220" s="15" t="inlineStr">
        <is>
          <t>Lck6122evg</t>
        </is>
      </c>
      <c r="FI2220" s="15" t="inlineStr">
        <is>
          <t>ZHONGTONG</t>
        </is>
      </c>
      <c r="FJ2220" s="15" t="inlineStr">
        <is>
          <t>LCK6122EVG</t>
        </is>
      </c>
      <c r="FK2220" s="15" t="n">
        <v>2025</v>
      </c>
      <c r="FL2220" s="15" t="inlineStr">
        <is>
          <t>B</t>
        </is>
      </c>
      <c r="FM2220" s="15" t="inlineStr">
        <is>
          <t>PIE ANDINO</t>
        </is>
      </c>
      <c r="FN2220" s="15" t="inlineStr">
        <is>
          <t>Pie Andino 31 (Pie Andino 383)</t>
        </is>
      </c>
      <c r="FO2220" s="15" t="inlineStr">
        <is>
          <t>Puente Alto</t>
        </is>
      </c>
      <c r="FP2220" t="inlineStr">
        <is>
          <t>B</t>
        </is>
      </c>
    </row>
    <row r="2221">
      <c r="FC2221" t="inlineStr">
        <is>
          <t>Diccionario 3</t>
        </is>
      </c>
      <c r="FD2221" s="15" t="inlineStr">
        <is>
          <t>VFPH91</t>
        </is>
      </c>
      <c r="FE2221" s="15" t="inlineStr">
        <is>
          <t>MDN35025020045</t>
        </is>
      </c>
      <c r="FF2221" s="15" t="inlineStr">
        <is>
          <t>LDYECS312S0044023</t>
        </is>
      </c>
      <c r="FG2221" s="15" t="inlineStr">
        <is>
          <t>Zhong Tong</t>
        </is>
      </c>
      <c r="FH2221" s="15" t="inlineStr">
        <is>
          <t>Lck6122evg</t>
        </is>
      </c>
      <c r="FI2221" s="15" t="inlineStr">
        <is>
          <t>ZHONGTONG</t>
        </is>
      </c>
      <c r="FJ2221" s="15" t="inlineStr">
        <is>
          <t>LCK6122EVG</t>
        </is>
      </c>
      <c r="FK2221" s="15" t="n">
        <v>2025</v>
      </c>
      <c r="FL2221" s="15" t="inlineStr">
        <is>
          <t>B</t>
        </is>
      </c>
      <c r="FM2221" s="15" t="inlineStr">
        <is>
          <t>PIE ANDINO</t>
        </is>
      </c>
      <c r="FN2221" s="15" t="inlineStr">
        <is>
          <t>Pie Andino 31 (Pie Andino 383)</t>
        </is>
      </c>
      <c r="FO2221" s="15" t="inlineStr">
        <is>
          <t>Puente Alto</t>
        </is>
      </c>
      <c r="FP2221" t="inlineStr">
        <is>
          <t>B</t>
        </is>
      </c>
    </row>
    <row r="2222">
      <c r="FC2222" t="inlineStr">
        <is>
          <t>Diccionario 3</t>
        </is>
      </c>
      <c r="FD2222" s="15" t="inlineStr">
        <is>
          <t>VFPH98</t>
        </is>
      </c>
      <c r="FE2222" s="15" t="inlineStr">
        <is>
          <t>MDN35025020128</t>
        </is>
      </c>
      <c r="FF2222" s="15" t="inlineStr">
        <is>
          <t>LDYECS31XS0044030</t>
        </is>
      </c>
      <c r="FG2222" s="15" t="inlineStr">
        <is>
          <t>Zhong Tong</t>
        </is>
      </c>
      <c r="FH2222" s="15" t="inlineStr">
        <is>
          <t>Lck6122evg</t>
        </is>
      </c>
      <c r="FI2222" s="15" t="inlineStr">
        <is>
          <t>ZHONGTONG</t>
        </is>
      </c>
      <c r="FJ2222" s="15" t="inlineStr">
        <is>
          <t>LCK6122EVG</t>
        </is>
      </c>
      <c r="FK2222" s="15" t="n">
        <v>2025</v>
      </c>
      <c r="FL2222" s="15" t="inlineStr">
        <is>
          <t>B</t>
        </is>
      </c>
      <c r="FM2222" s="15" t="inlineStr">
        <is>
          <t>SAN ALFONSO</t>
        </is>
      </c>
      <c r="FN2222" s="15" t="inlineStr">
        <is>
          <t>San Alfonso 2141 (Ramón Subercaseaux 3060)</t>
        </is>
      </c>
      <c r="FO2222" s="15" t="inlineStr">
        <is>
          <t>Estacion Central</t>
        </is>
      </c>
      <c r="FP2222" t="inlineStr">
        <is>
          <t>B</t>
        </is>
      </c>
    </row>
    <row r="2223">
      <c r="FC2223" t="inlineStr">
        <is>
          <t>Diccionario 3</t>
        </is>
      </c>
      <c r="FD2223" s="15" t="inlineStr">
        <is>
          <t>VFPJ11</t>
        </is>
      </c>
      <c r="FE2223" s="15" t="inlineStr">
        <is>
          <t>MDN35025010019</t>
        </is>
      </c>
      <c r="FF2223" s="15" t="inlineStr">
        <is>
          <t>LDYECS319S0044116</t>
        </is>
      </c>
      <c r="FG2223" s="15" t="inlineStr">
        <is>
          <t>Zhong Tong</t>
        </is>
      </c>
      <c r="FH2223" s="15" t="inlineStr">
        <is>
          <t>Lck6122evg</t>
        </is>
      </c>
      <c r="FI2223" s="15" t="inlineStr">
        <is>
          <t>ZHONGTONG</t>
        </is>
      </c>
      <c r="FJ2223" s="15" t="inlineStr">
        <is>
          <t>LCK6122EVG</t>
        </is>
      </c>
      <c r="FK2223" s="15" t="n">
        <v>2025</v>
      </c>
      <c r="FL2223" s="15" t="inlineStr">
        <is>
          <t>B</t>
        </is>
      </c>
      <c r="FM2223" s="15" t="inlineStr">
        <is>
          <t>CERRILLOS</t>
        </is>
      </c>
      <c r="FN2223" s="15" t="inlineStr">
        <is>
          <t>Calle Uno 7371</t>
        </is>
      </c>
      <c r="FO2223" s="15" t="inlineStr">
        <is>
          <t>Cerrillos</t>
        </is>
      </c>
      <c r="FP2223" t="inlineStr">
        <is>
          <t>B</t>
        </is>
      </c>
    </row>
    <row r="2224">
      <c r="FC2224" t="inlineStr">
        <is>
          <t>Diccionario 3</t>
        </is>
      </c>
      <c r="FD2224" s="15" t="inlineStr">
        <is>
          <t>VFPJ25</t>
        </is>
      </c>
      <c r="FE2224" s="15" t="inlineStr">
        <is>
          <t>MDN35025020127</t>
        </is>
      </c>
      <c r="FF2224" s="15" t="inlineStr">
        <is>
          <t>LDYECS313S0044029</t>
        </is>
      </c>
      <c r="FG2224" s="15" t="inlineStr">
        <is>
          <t>Zhong Tong</t>
        </is>
      </c>
      <c r="FH2224" s="15" t="inlineStr">
        <is>
          <t>Lck6122evg</t>
        </is>
      </c>
      <c r="FI2224" s="15" t="inlineStr">
        <is>
          <t>ZHONGTONG</t>
        </is>
      </c>
      <c r="FJ2224" s="15" t="inlineStr">
        <is>
          <t>LCK6122EVG</t>
        </is>
      </c>
      <c r="FK2224" s="15" t="n">
        <v>2025</v>
      </c>
      <c r="FL2224" s="15" t="inlineStr">
        <is>
          <t>B</t>
        </is>
      </c>
      <c r="FM2224" s="15" t="inlineStr">
        <is>
          <t>PIE ANDINO</t>
        </is>
      </c>
      <c r="FN2224" s="15" t="inlineStr">
        <is>
          <t>Pie Andino 31 (Pie Andino 383)</t>
        </is>
      </c>
      <c r="FO2224" s="15" t="inlineStr">
        <is>
          <t>Puente Alto</t>
        </is>
      </c>
      <c r="FP2224" t="inlineStr">
        <is>
          <t>B</t>
        </is>
      </c>
    </row>
    <row r="2225">
      <c r="FC2225" t="inlineStr">
        <is>
          <t>Diccionario 3</t>
        </is>
      </c>
      <c r="FD2225" s="15" t="inlineStr">
        <is>
          <t>VFPJ28</t>
        </is>
      </c>
      <c r="FE2225" s="15" t="inlineStr">
        <is>
          <t>MDN35025020123</t>
        </is>
      </c>
      <c r="FF2225" s="15" t="inlineStr">
        <is>
          <t>LDYECS314S0044010</t>
        </is>
      </c>
      <c r="FG2225" s="15" t="inlineStr">
        <is>
          <t>Zhong Tong</t>
        </is>
      </c>
      <c r="FH2225" s="15" t="inlineStr">
        <is>
          <t>Lck6122evg</t>
        </is>
      </c>
      <c r="FI2225" s="15" t="inlineStr">
        <is>
          <t>ZHONGTONG</t>
        </is>
      </c>
      <c r="FJ2225" s="15" t="inlineStr">
        <is>
          <t>LCK6122EVG</t>
        </is>
      </c>
      <c r="FK2225" s="15" t="n">
        <v>2025</v>
      </c>
      <c r="FL2225" s="15" t="inlineStr">
        <is>
          <t>B</t>
        </is>
      </c>
      <c r="FM2225" s="15" t="inlineStr">
        <is>
          <t>PIE ANDINO</t>
        </is>
      </c>
      <c r="FN2225" s="15" t="inlineStr">
        <is>
          <t>Pie Andino 31 (Pie Andino 383)</t>
        </is>
      </c>
      <c r="FO2225" s="15" t="inlineStr">
        <is>
          <t>Puente Alto</t>
        </is>
      </c>
      <c r="FP2225" t="inlineStr">
        <is>
          <t>B</t>
        </is>
      </c>
    </row>
    <row r="2226">
      <c r="FC2226" t="inlineStr">
        <is>
          <t>Diccionario 3</t>
        </is>
      </c>
      <c r="FD2226" s="15" t="inlineStr">
        <is>
          <t>VFPJ31</t>
        </is>
      </c>
      <c r="FE2226" s="15" t="inlineStr">
        <is>
          <t>MDN35025020070</t>
        </is>
      </c>
      <c r="FF2226" s="15" t="inlineStr">
        <is>
          <t>LDYECS313S0043995</t>
        </is>
      </c>
      <c r="FG2226" s="15" t="inlineStr">
        <is>
          <t>Zhong Tong</t>
        </is>
      </c>
      <c r="FH2226" s="15" t="inlineStr">
        <is>
          <t>Lck6122evg</t>
        </is>
      </c>
      <c r="FI2226" s="15" t="inlineStr">
        <is>
          <t>ZHONGTONG</t>
        </is>
      </c>
      <c r="FJ2226" s="15" t="inlineStr">
        <is>
          <t>LCK6122EVG</t>
        </is>
      </c>
      <c r="FK2226" s="15" t="n">
        <v>2025</v>
      </c>
      <c r="FL2226" s="15" t="inlineStr">
        <is>
          <t>B</t>
        </is>
      </c>
      <c r="FM2226" s="15" t="inlineStr">
        <is>
          <t>CERRILLOS</t>
        </is>
      </c>
      <c r="FN2226" s="15" t="inlineStr">
        <is>
          <t>Calle Uno 7371</t>
        </is>
      </c>
      <c r="FO2226" s="15" t="inlineStr">
        <is>
          <t>Cerrillos</t>
        </is>
      </c>
      <c r="FP2226" t="inlineStr">
        <is>
          <t>B</t>
        </is>
      </c>
    </row>
    <row r="2227">
      <c r="FC2227" t="inlineStr">
        <is>
          <t>Diccionario 3</t>
        </is>
      </c>
      <c r="FD2227" s="15" t="inlineStr">
        <is>
          <t>VFPJ51</t>
        </is>
      </c>
      <c r="FE2227" s="15" t="inlineStr">
        <is>
          <t>MDN35025020109</t>
        </is>
      </c>
      <c r="FF2227" s="15" t="inlineStr">
        <is>
          <t>LDYECS314S0044024</t>
        </is>
      </c>
      <c r="FG2227" s="15" t="inlineStr">
        <is>
          <t>Zhong Tong</t>
        </is>
      </c>
      <c r="FH2227" s="15" t="inlineStr">
        <is>
          <t>Lck6122evg</t>
        </is>
      </c>
      <c r="FI2227" s="15" t="inlineStr">
        <is>
          <t>ZHONGTONG</t>
        </is>
      </c>
      <c r="FJ2227" s="15" t="inlineStr">
        <is>
          <t>LCK6122EVG</t>
        </is>
      </c>
      <c r="FK2227" s="15" t="n">
        <v>2025</v>
      </c>
      <c r="FL2227" s="15" t="inlineStr">
        <is>
          <t>B</t>
        </is>
      </c>
      <c r="FM2227" s="15" t="inlineStr">
        <is>
          <t>PIE ANDINO</t>
        </is>
      </c>
      <c r="FN2227" s="15" t="inlineStr">
        <is>
          <t>Pie Andino 31 (Pie Andino 383)</t>
        </is>
      </c>
      <c r="FO2227" s="15" t="inlineStr">
        <is>
          <t>Puente Alto</t>
        </is>
      </c>
      <c r="FP2227" t="inlineStr">
        <is>
          <t>B</t>
        </is>
      </c>
    </row>
    <row r="2228">
      <c r="FC2228" t="inlineStr">
        <is>
          <t>Diccionario 3</t>
        </is>
      </c>
      <c r="FD2228" s="15" t="inlineStr">
        <is>
          <t>VFPJ53</t>
        </is>
      </c>
      <c r="FE2228" s="15" t="inlineStr">
        <is>
          <t>MDN35025020024</t>
        </is>
      </c>
      <c r="FF2228" s="15" t="inlineStr">
        <is>
          <t>LDYECS318S0044026</t>
        </is>
      </c>
      <c r="FG2228" s="15" t="inlineStr">
        <is>
          <t>Zhong Tong</t>
        </is>
      </c>
      <c r="FH2228" s="15" t="inlineStr">
        <is>
          <t>Lck6122evg</t>
        </is>
      </c>
      <c r="FI2228" s="15" t="inlineStr">
        <is>
          <t>ZHONGTONG</t>
        </is>
      </c>
      <c r="FJ2228" s="15" t="inlineStr">
        <is>
          <t>LCK6122EVG</t>
        </is>
      </c>
      <c r="FK2228" s="15" t="n">
        <v>2025</v>
      </c>
      <c r="FL2228" s="15" t="inlineStr">
        <is>
          <t>B</t>
        </is>
      </c>
      <c r="FM2228" s="15" t="inlineStr">
        <is>
          <t>CERRILLOS</t>
        </is>
      </c>
      <c r="FN2228" s="15" t="inlineStr">
        <is>
          <t>Calle Uno 7371</t>
        </is>
      </c>
      <c r="FO2228" s="15" t="inlineStr">
        <is>
          <t>Cerrillos</t>
        </is>
      </c>
      <c r="FP2228" t="inlineStr">
        <is>
          <t>B</t>
        </is>
      </c>
    </row>
    <row r="2229">
      <c r="FC2229" t="inlineStr">
        <is>
          <t>Diccionario 3</t>
        </is>
      </c>
      <c r="FD2229" s="15" t="inlineStr">
        <is>
          <t>VFPJ61</t>
        </is>
      </c>
      <c r="FE2229" s="15" t="inlineStr">
        <is>
          <t>MDN35025020049</t>
        </is>
      </c>
      <c r="FF2229" s="15" t="inlineStr">
        <is>
          <t>LDYECS310S0044005</t>
        </is>
      </c>
      <c r="FG2229" s="15" t="inlineStr">
        <is>
          <t>Zhong Tong</t>
        </is>
      </c>
      <c r="FH2229" s="15" t="inlineStr">
        <is>
          <t>Lck6122evg</t>
        </is>
      </c>
      <c r="FI2229" s="15" t="inlineStr">
        <is>
          <t>ZHONGTONG</t>
        </is>
      </c>
      <c r="FJ2229" s="15" t="inlineStr">
        <is>
          <t>LCK6122EVG</t>
        </is>
      </c>
      <c r="FK2229" s="15" t="n">
        <v>2025</v>
      </c>
      <c r="FL2229" s="15" t="inlineStr">
        <is>
          <t>B</t>
        </is>
      </c>
      <c r="FM2229" s="15" t="inlineStr">
        <is>
          <t>PIE ANDINO</t>
        </is>
      </c>
      <c r="FN2229" s="15" t="inlineStr">
        <is>
          <t>Pie Andino 31 (Pie Andino 383)</t>
        </is>
      </c>
      <c r="FO2229" s="15" t="inlineStr">
        <is>
          <t>Puente Alto</t>
        </is>
      </c>
      <c r="FP2229" t="inlineStr">
        <is>
          <t>B</t>
        </is>
      </c>
    </row>
    <row r="2230">
      <c r="FC2230" t="inlineStr">
        <is>
          <t>Diccionario 3</t>
        </is>
      </c>
      <c r="FD2230" s="15" t="inlineStr">
        <is>
          <t>VFPJ66</t>
        </is>
      </c>
      <c r="FE2230" s="15" t="inlineStr">
        <is>
          <t>MDN35025020108</t>
        </is>
      </c>
      <c r="FF2230" s="15" t="inlineStr">
        <is>
          <t>LDYECS31XS0044061</t>
        </is>
      </c>
      <c r="FG2230" s="15" t="inlineStr">
        <is>
          <t>Zhong Tong</t>
        </is>
      </c>
      <c r="FH2230" s="15" t="inlineStr">
        <is>
          <t>Lck6122evg</t>
        </is>
      </c>
      <c r="FI2230" s="15" t="inlineStr">
        <is>
          <t>ZHONGTONG</t>
        </is>
      </c>
      <c r="FJ2230" s="15" t="inlineStr">
        <is>
          <t>LCK6122EVG</t>
        </is>
      </c>
      <c r="FK2230" s="15" t="n">
        <v>2025</v>
      </c>
      <c r="FL2230" s="15" t="inlineStr">
        <is>
          <t>B</t>
        </is>
      </c>
      <c r="FM2230" s="15" t="inlineStr">
        <is>
          <t>CERRILLOS</t>
        </is>
      </c>
      <c r="FN2230" s="15" t="inlineStr">
        <is>
          <t>Calle Uno 7371</t>
        </is>
      </c>
      <c r="FO2230" s="15" t="inlineStr">
        <is>
          <t>Cerrillos</t>
        </is>
      </c>
      <c r="FP2230" t="inlineStr">
        <is>
          <t>B</t>
        </is>
      </c>
    </row>
    <row r="2231">
      <c r="FC2231" t="inlineStr">
        <is>
          <t>Diccionario 3</t>
        </is>
      </c>
      <c r="FD2231" s="15" t="inlineStr">
        <is>
          <t>VFPJ68</t>
        </is>
      </c>
      <c r="FE2231" s="15" t="inlineStr">
        <is>
          <t>MDN35025020064</t>
        </is>
      </c>
      <c r="FF2231" s="15" t="inlineStr">
        <is>
          <t>LDYECS316S0044008</t>
        </is>
      </c>
      <c r="FG2231" s="15" t="inlineStr">
        <is>
          <t>Zhong Tong</t>
        </is>
      </c>
      <c r="FH2231" s="15" t="inlineStr">
        <is>
          <t>Lck6122evg</t>
        </is>
      </c>
      <c r="FI2231" s="15" t="inlineStr">
        <is>
          <t>ZHONGTONG</t>
        </is>
      </c>
      <c r="FJ2231" s="15" t="inlineStr">
        <is>
          <t>LCK6122EVG</t>
        </is>
      </c>
      <c r="FK2231" s="15" t="n">
        <v>2025</v>
      </c>
      <c r="FL2231" s="15" t="inlineStr">
        <is>
          <t>B</t>
        </is>
      </c>
      <c r="FM2231" s="15" t="inlineStr">
        <is>
          <t>PIE ANDINO</t>
        </is>
      </c>
      <c r="FN2231" s="15" t="inlineStr">
        <is>
          <t>Pie Andino 31 (Pie Andino 383)</t>
        </is>
      </c>
      <c r="FO2231" s="15" t="inlineStr">
        <is>
          <t>Puente Alto</t>
        </is>
      </c>
      <c r="FP2231" t="inlineStr">
        <is>
          <t>B</t>
        </is>
      </c>
    </row>
    <row r="2232">
      <c r="FC2232" t="inlineStr">
        <is>
          <t>Diccionario 3</t>
        </is>
      </c>
      <c r="FD2232" s="15" t="inlineStr">
        <is>
          <t>VFPJ71</t>
        </is>
      </c>
      <c r="FE2232" s="15" t="inlineStr">
        <is>
          <t>MDN35025020103</t>
        </is>
      </c>
      <c r="FF2232" s="15" t="inlineStr">
        <is>
          <t>LDYECS313S0044015</t>
        </is>
      </c>
      <c r="FG2232" s="15" t="inlineStr">
        <is>
          <t>Zhong Tong</t>
        </is>
      </c>
      <c r="FH2232" s="15" t="inlineStr">
        <is>
          <t>Lck6122evg</t>
        </is>
      </c>
      <c r="FI2232" s="15" t="inlineStr">
        <is>
          <t>ZHONGTONG</t>
        </is>
      </c>
      <c r="FJ2232" s="15" t="inlineStr">
        <is>
          <t>LCK6122EVG</t>
        </is>
      </c>
      <c r="FK2232" s="15" t="n">
        <v>2025</v>
      </c>
      <c r="FL2232" s="15" t="inlineStr">
        <is>
          <t>B</t>
        </is>
      </c>
      <c r="FM2232" s="15" t="inlineStr">
        <is>
          <t>CERRILLOS</t>
        </is>
      </c>
      <c r="FN2232" s="15" t="inlineStr">
        <is>
          <t>Calle Uno 7371</t>
        </is>
      </c>
      <c r="FO2232" s="15" t="inlineStr">
        <is>
          <t>Cerrillos</t>
        </is>
      </c>
      <c r="FP2232" t="inlineStr">
        <is>
          <t>B</t>
        </is>
      </c>
    </row>
    <row r="2233">
      <c r="FC2233" t="inlineStr">
        <is>
          <t>Diccionario 3</t>
        </is>
      </c>
      <c r="FD2233" s="15" t="inlineStr">
        <is>
          <t>VFPJ77</t>
        </is>
      </c>
      <c r="FE2233" s="15" t="inlineStr">
        <is>
          <t>MDN35025020131</t>
        </is>
      </c>
      <c r="FF2233" s="15" t="inlineStr">
        <is>
          <t>LDYECS317S0044017</t>
        </is>
      </c>
      <c r="FG2233" s="15" t="inlineStr">
        <is>
          <t>Zhong Tong</t>
        </is>
      </c>
      <c r="FH2233" s="15" t="inlineStr">
        <is>
          <t>Lck6122evg</t>
        </is>
      </c>
      <c r="FI2233" s="15" t="inlineStr">
        <is>
          <t>ZHONGTONG</t>
        </is>
      </c>
      <c r="FJ2233" s="15" t="inlineStr">
        <is>
          <t>LCK6122EVG</t>
        </is>
      </c>
      <c r="FK2233" s="15" t="n">
        <v>2025</v>
      </c>
      <c r="FL2233" s="15" t="inlineStr">
        <is>
          <t>B</t>
        </is>
      </c>
      <c r="FM2233" s="15" t="inlineStr">
        <is>
          <t>PIE ANDINO</t>
        </is>
      </c>
      <c r="FN2233" s="15" t="inlineStr">
        <is>
          <t>Pie Andino 31 (Pie Andino 383)</t>
        </is>
      </c>
      <c r="FO2233" s="15" t="inlineStr">
        <is>
          <t>Puente Alto</t>
        </is>
      </c>
      <c r="FP2233" t="inlineStr">
        <is>
          <t>B</t>
        </is>
      </c>
    </row>
    <row r="2234">
      <c r="FC2234" t="inlineStr">
        <is>
          <t>Diccionario 3</t>
        </is>
      </c>
      <c r="FD2234" s="15" t="inlineStr">
        <is>
          <t>VFPK64</t>
        </is>
      </c>
      <c r="FE2234" s="15" t="inlineStr">
        <is>
          <t>MDN35025020115</t>
        </is>
      </c>
      <c r="FF2234" s="15" t="inlineStr">
        <is>
          <t>LDYECS319S0044018</t>
        </is>
      </c>
      <c r="FG2234" s="15" t="inlineStr">
        <is>
          <t>Zhong Tong</t>
        </is>
      </c>
      <c r="FH2234" s="15" t="inlineStr">
        <is>
          <t>Lck6122evg</t>
        </is>
      </c>
      <c r="FI2234" s="15" t="inlineStr">
        <is>
          <t>ZHONGTONG</t>
        </is>
      </c>
      <c r="FJ2234" s="15" t="inlineStr">
        <is>
          <t>LCK6122EVG</t>
        </is>
      </c>
      <c r="FK2234" s="15" t="n">
        <v>2025</v>
      </c>
      <c r="FL2234" s="15" t="inlineStr">
        <is>
          <t>B</t>
        </is>
      </c>
      <c r="FM2234" s="15" t="inlineStr">
        <is>
          <t>CERRILLOS</t>
        </is>
      </c>
      <c r="FN2234" s="15" t="inlineStr">
        <is>
          <t>Calle Uno 7371</t>
        </is>
      </c>
      <c r="FO2234" s="15" t="inlineStr">
        <is>
          <t>Cerrillos</t>
        </is>
      </c>
      <c r="FP2234" t="inlineStr">
        <is>
          <t>B</t>
        </is>
      </c>
    </row>
    <row r="2235">
      <c r="FC2235" t="inlineStr">
        <is>
          <t>Diccionario 3</t>
        </is>
      </c>
      <c r="FD2235" s="15" t="inlineStr">
        <is>
          <t>VFPK81</t>
        </is>
      </c>
      <c r="FE2235" s="15" t="inlineStr">
        <is>
          <t>MDN35025020019</t>
        </is>
      </c>
      <c r="FF2235" s="15" t="inlineStr">
        <is>
          <t>LDYECS313S0044094</t>
        </is>
      </c>
      <c r="FG2235" s="15" t="inlineStr">
        <is>
          <t>Zhong Tong</t>
        </is>
      </c>
      <c r="FH2235" s="15" t="inlineStr">
        <is>
          <t>Lck6122evg</t>
        </is>
      </c>
      <c r="FI2235" s="15" t="inlineStr">
        <is>
          <t>ZHONGTONG</t>
        </is>
      </c>
      <c r="FJ2235" s="15" t="inlineStr">
        <is>
          <t>LCK6122EVG</t>
        </is>
      </c>
      <c r="FK2235" s="15" t="n">
        <v>2025</v>
      </c>
      <c r="FL2235" s="15" t="inlineStr">
        <is>
          <t>B</t>
        </is>
      </c>
      <c r="FM2235" s="15" t="inlineStr">
        <is>
          <t>PIE ANDINO</t>
        </is>
      </c>
      <c r="FN2235" s="15" t="inlineStr">
        <is>
          <t>Pie Andino 31 (Pie Andino 383)</t>
        </is>
      </c>
      <c r="FO2235" s="15" t="inlineStr">
        <is>
          <t>Puente Alto</t>
        </is>
      </c>
      <c r="FP2235" t="inlineStr">
        <is>
          <t>B</t>
        </is>
      </c>
    </row>
    <row r="2236">
      <c r="FC2236" t="inlineStr">
        <is>
          <t>Diccionario 3</t>
        </is>
      </c>
      <c r="FD2236" s="15" t="inlineStr">
        <is>
          <t>VFPK91</t>
        </is>
      </c>
      <c r="FE2236" s="15" t="inlineStr">
        <is>
          <t>MDN35025010038</t>
        </is>
      </c>
      <c r="FF2236" s="15" t="inlineStr">
        <is>
          <t>LDYECS315S0044114</t>
        </is>
      </c>
      <c r="FG2236" s="15" t="inlineStr">
        <is>
          <t>Zhong Tong</t>
        </is>
      </c>
      <c r="FH2236" s="15" t="inlineStr">
        <is>
          <t>Lck6122evg</t>
        </is>
      </c>
      <c r="FI2236" s="15" t="inlineStr">
        <is>
          <t>ZHONGTONG</t>
        </is>
      </c>
      <c r="FJ2236" s="15" t="inlineStr">
        <is>
          <t>LCK6122EVG</t>
        </is>
      </c>
      <c r="FK2236" s="15" t="n">
        <v>2025</v>
      </c>
      <c r="FL2236" s="15" t="inlineStr">
        <is>
          <t>B</t>
        </is>
      </c>
      <c r="FM2236" s="15" t="inlineStr">
        <is>
          <t>PIE ANDINO</t>
        </is>
      </c>
      <c r="FN2236" s="15" t="inlineStr">
        <is>
          <t>Pie Andino 31 (Pie Andino 383)</t>
        </is>
      </c>
      <c r="FO2236" s="15" t="inlineStr">
        <is>
          <t>Puente Alto</t>
        </is>
      </c>
      <c r="FP2236" t="inlineStr">
        <is>
          <t>B</t>
        </is>
      </c>
    </row>
    <row r="2237">
      <c r="FC2237" t="inlineStr">
        <is>
          <t>Diccionario 3</t>
        </is>
      </c>
      <c r="FD2237" s="19" t="inlineStr">
        <is>
          <t>VFPL11</t>
        </is>
      </c>
      <c r="FE2237" s="15" t="inlineStr">
        <is>
          <t>MDN35025020028</t>
        </is>
      </c>
      <c r="FF2237" s="15" t="inlineStr">
        <is>
          <t>LDYECS314S0044041</t>
        </is>
      </c>
      <c r="FG2237" s="15" t="inlineStr">
        <is>
          <t>Zhong Tong</t>
        </is>
      </c>
      <c r="FH2237" s="15" t="inlineStr">
        <is>
          <t>Lck6122evg</t>
        </is>
      </c>
      <c r="FI2237" s="15" t="inlineStr">
        <is>
          <t>ZHONGTONG</t>
        </is>
      </c>
      <c r="FJ2237" s="15" t="inlineStr">
        <is>
          <t>LCK6122EVG</t>
        </is>
      </c>
      <c r="FK2237" s="15" t="n">
        <v>2025</v>
      </c>
      <c r="FL2237" s="15" t="inlineStr">
        <is>
          <t>B</t>
        </is>
      </c>
      <c r="FM2237" s="15" t="inlineStr">
        <is>
          <t>PIE ANDINO</t>
        </is>
      </c>
      <c r="FN2237" s="15" t="inlineStr">
        <is>
          <t>Pie Andino 31 (Pie Andino 383)</t>
        </is>
      </c>
      <c r="FO2237" s="15" t="inlineStr">
        <is>
          <t>Puente Alto</t>
        </is>
      </c>
      <c r="FP2237" t="inlineStr">
        <is>
          <t>B</t>
        </is>
      </c>
    </row>
    <row r="2238">
      <c r="FC2238" t="inlineStr">
        <is>
          <t>Diccionario 3</t>
        </is>
      </c>
      <c r="FD2238" s="15" t="inlineStr">
        <is>
          <t>VFPL15</t>
        </is>
      </c>
      <c r="FE2238" s="15" t="inlineStr">
        <is>
          <t>MDN35025020111</t>
        </is>
      </c>
      <c r="FF2238" s="15" t="inlineStr">
        <is>
          <t>LDYECS31XS0044013</t>
        </is>
      </c>
      <c r="FG2238" s="15" t="inlineStr">
        <is>
          <t>Zhong Tong</t>
        </is>
      </c>
      <c r="FH2238" s="15" t="inlineStr">
        <is>
          <t>Lck6122evg</t>
        </is>
      </c>
      <c r="FI2238" s="15" t="inlineStr">
        <is>
          <t>ZHONGTONG</t>
        </is>
      </c>
      <c r="FJ2238" s="15" t="inlineStr">
        <is>
          <t>LCK6122EVG</t>
        </is>
      </c>
      <c r="FK2238" s="15" t="n">
        <v>2025</v>
      </c>
      <c r="FL2238" s="15" t="inlineStr">
        <is>
          <t>B</t>
        </is>
      </c>
      <c r="FM2238" s="15" t="inlineStr">
        <is>
          <t>PIE ANDINO</t>
        </is>
      </c>
      <c r="FN2238" s="15" t="inlineStr">
        <is>
          <t>Pie Andino 31 (Pie Andino 383)</t>
        </is>
      </c>
      <c r="FO2238" s="15" t="inlineStr">
        <is>
          <t>Puente Alto</t>
        </is>
      </c>
      <c r="FP2238" t="inlineStr">
        <is>
          <t>B</t>
        </is>
      </c>
    </row>
    <row r="2239">
      <c r="FC2239" t="inlineStr">
        <is>
          <t>Diccionario 3</t>
        </is>
      </c>
      <c r="FD2239" s="15" t="inlineStr">
        <is>
          <t>VFPL21</t>
        </is>
      </c>
      <c r="FE2239" s="15" t="inlineStr">
        <is>
          <t>MDN35025020125</t>
        </is>
      </c>
      <c r="FF2239" s="15" t="inlineStr">
        <is>
          <t>LDYECS313S0044032</t>
        </is>
      </c>
      <c r="FG2239" s="15" t="inlineStr">
        <is>
          <t>Zhong Tong</t>
        </is>
      </c>
      <c r="FH2239" s="15" t="inlineStr">
        <is>
          <t>Lck6122evg</t>
        </is>
      </c>
      <c r="FI2239" s="15" t="inlineStr">
        <is>
          <t>ZHONGTONG</t>
        </is>
      </c>
      <c r="FJ2239" s="15" t="inlineStr">
        <is>
          <t>LCK6122EVG</t>
        </is>
      </c>
      <c r="FK2239" s="15" t="n">
        <v>2025</v>
      </c>
      <c r="FL2239" s="15" t="inlineStr">
        <is>
          <t>B</t>
        </is>
      </c>
      <c r="FM2239" s="15" t="inlineStr">
        <is>
          <t>PIE ANDINO</t>
        </is>
      </c>
      <c r="FN2239" s="15" t="inlineStr">
        <is>
          <t>Pie Andino 31 (Pie Andino 383)</t>
        </is>
      </c>
      <c r="FO2239" s="15" t="inlineStr">
        <is>
          <t>Puente Alto</t>
        </is>
      </c>
      <c r="FP2239" t="inlineStr">
        <is>
          <t>B</t>
        </is>
      </c>
    </row>
    <row r="2240">
      <c r="FC2240" t="inlineStr">
        <is>
          <t>Diccionario 3</t>
        </is>
      </c>
      <c r="FD2240" s="15" t="inlineStr">
        <is>
          <t>VFPL31</t>
        </is>
      </c>
      <c r="FE2240" s="15" t="inlineStr">
        <is>
          <t>MDN35025020117</t>
        </is>
      </c>
      <c r="FF2240" s="15" t="inlineStr">
        <is>
          <t>LDYECS310S0044022</t>
        </is>
      </c>
      <c r="FG2240" s="15" t="inlineStr">
        <is>
          <t>Zhong Tong</t>
        </is>
      </c>
      <c r="FH2240" s="15" t="inlineStr">
        <is>
          <t>Lck6122evg</t>
        </is>
      </c>
      <c r="FI2240" s="15" t="inlineStr">
        <is>
          <t>ZHONGTONG</t>
        </is>
      </c>
      <c r="FJ2240" s="15" t="inlineStr">
        <is>
          <t>LCK6122EVG</t>
        </is>
      </c>
      <c r="FK2240" s="15" t="n">
        <v>2025</v>
      </c>
      <c r="FL2240" s="15" t="inlineStr">
        <is>
          <t>B</t>
        </is>
      </c>
      <c r="FM2240" s="15" t="inlineStr">
        <is>
          <t>PIE ANDINO</t>
        </is>
      </c>
      <c r="FN2240" s="15" t="inlineStr">
        <is>
          <t>Pie Andino 31 (Pie Andino 383)</t>
        </is>
      </c>
      <c r="FO2240" s="15" t="inlineStr">
        <is>
          <t>Puente Alto</t>
        </is>
      </c>
      <c r="FP2240" t="inlineStr">
        <is>
          <t>B</t>
        </is>
      </c>
    </row>
    <row r="2241">
      <c r="FC2241" t="inlineStr">
        <is>
          <t>Diccionario 3</t>
        </is>
      </c>
      <c r="FD2241" s="15" t="inlineStr">
        <is>
          <t>VFPL35</t>
        </is>
      </c>
      <c r="FE2241" s="15" t="inlineStr">
        <is>
          <t>MDN35025020006</t>
        </is>
      </c>
      <c r="FF2241" s="15" t="inlineStr">
        <is>
          <t>LDYECS316S0044073</t>
        </is>
      </c>
      <c r="FG2241" s="15" t="inlineStr">
        <is>
          <t>Zhong Tong</t>
        </is>
      </c>
      <c r="FH2241" s="15" t="inlineStr">
        <is>
          <t>Lck6122evg</t>
        </is>
      </c>
      <c r="FI2241" s="15" t="inlineStr">
        <is>
          <t>ZHONGTONG</t>
        </is>
      </c>
      <c r="FJ2241" s="15" t="inlineStr">
        <is>
          <t>LCK6122EVG</t>
        </is>
      </c>
      <c r="FK2241" s="15" t="n">
        <v>2025</v>
      </c>
      <c r="FL2241" s="15" t="inlineStr">
        <is>
          <t>B</t>
        </is>
      </c>
      <c r="FM2241" s="15" t="inlineStr">
        <is>
          <t>PIE ANDINO</t>
        </is>
      </c>
      <c r="FN2241" s="15" t="inlineStr">
        <is>
          <t>Pie Andino 31 (Pie Andino 383)</t>
        </is>
      </c>
      <c r="FO2241" s="15" t="inlineStr">
        <is>
          <t>Puente Alto</t>
        </is>
      </c>
      <c r="FP2241" t="inlineStr">
        <is>
          <t>B</t>
        </is>
      </c>
    </row>
    <row r="2242">
      <c r="FC2242" t="inlineStr">
        <is>
          <t>Diccionario 3</t>
        </is>
      </c>
      <c r="FD2242" s="15" t="inlineStr">
        <is>
          <t>VFPL41</t>
        </is>
      </c>
      <c r="FE2242" s="15" t="inlineStr">
        <is>
          <t>MDN35025020062</t>
        </is>
      </c>
      <c r="FF2242" s="15" t="inlineStr">
        <is>
          <t>LDYECS312S0044006</t>
        </is>
      </c>
      <c r="FG2242" s="15" t="inlineStr">
        <is>
          <t>Zhong Tong</t>
        </is>
      </c>
      <c r="FH2242" s="15" t="inlineStr">
        <is>
          <t>Lck6122evg</t>
        </is>
      </c>
      <c r="FI2242" s="15" t="inlineStr">
        <is>
          <t>ZHONGTONG</t>
        </is>
      </c>
      <c r="FJ2242" s="15" t="inlineStr">
        <is>
          <t>LCK6122EVG</t>
        </is>
      </c>
      <c r="FK2242" s="15" t="n">
        <v>2025</v>
      </c>
      <c r="FL2242" s="15" t="inlineStr">
        <is>
          <t>B</t>
        </is>
      </c>
      <c r="FM2242" s="15" t="inlineStr">
        <is>
          <t>SAN ALFONSO</t>
        </is>
      </c>
      <c r="FN2242" s="15" t="inlineStr">
        <is>
          <t>San Alfonso 2141 (Ramón Subercaseaux 3060)</t>
        </is>
      </c>
      <c r="FO2242" s="15" t="inlineStr">
        <is>
          <t>Estacion Central</t>
        </is>
      </c>
      <c r="FP2242" t="inlineStr">
        <is>
          <t>B</t>
        </is>
      </c>
    </row>
    <row r="2243">
      <c r="FC2243" t="inlineStr">
        <is>
          <t>Diccionario 3</t>
        </is>
      </c>
      <c r="FD2243" s="15" t="inlineStr">
        <is>
          <t>VFPL46</t>
        </is>
      </c>
      <c r="FE2243" s="15" t="inlineStr">
        <is>
          <t>MDN35025020116</t>
        </is>
      </c>
      <c r="FF2243" s="15" t="inlineStr">
        <is>
          <t>LDYECS317S0044020</t>
        </is>
      </c>
      <c r="FG2243" s="15" t="inlineStr">
        <is>
          <t>Zhong Tong</t>
        </is>
      </c>
      <c r="FH2243" s="15" t="inlineStr">
        <is>
          <t>Lck6122evg</t>
        </is>
      </c>
      <c r="FI2243" s="15" t="inlineStr">
        <is>
          <t>ZHONGTONG</t>
        </is>
      </c>
      <c r="FJ2243" s="15" t="inlineStr">
        <is>
          <t>LCK6122EVG</t>
        </is>
      </c>
      <c r="FK2243" s="15" t="n">
        <v>2025</v>
      </c>
      <c r="FL2243" s="15" t="inlineStr">
        <is>
          <t>B</t>
        </is>
      </c>
      <c r="FM2243" s="15" t="inlineStr">
        <is>
          <t>SAN ALFONSO</t>
        </is>
      </c>
      <c r="FN2243" s="15" t="inlineStr">
        <is>
          <t>San Alfonso 2141 (Ramón Subercaseaux 3060)</t>
        </is>
      </c>
      <c r="FO2243" s="15" t="inlineStr">
        <is>
          <t>Estacion Central</t>
        </is>
      </c>
      <c r="FP2243" t="inlineStr">
        <is>
          <t>B</t>
        </is>
      </c>
    </row>
    <row r="2244">
      <c r="FC2244" t="inlineStr">
        <is>
          <t>Diccionario 3</t>
        </is>
      </c>
      <c r="FD2244" s="15" t="inlineStr">
        <is>
          <t>VFPL57</t>
        </is>
      </c>
      <c r="FE2244" s="15" t="inlineStr">
        <is>
          <t>MDN35025020106</t>
        </is>
      </c>
      <c r="FF2244" s="15" t="inlineStr">
        <is>
          <t>LDYECS316S0044025</t>
        </is>
      </c>
      <c r="FG2244" s="15" t="inlineStr">
        <is>
          <t>Zhong Tong</t>
        </is>
      </c>
      <c r="FH2244" s="15" t="inlineStr">
        <is>
          <t>Lck6122evg</t>
        </is>
      </c>
      <c r="FI2244" s="15" t="inlineStr">
        <is>
          <t>ZHONGTONG</t>
        </is>
      </c>
      <c r="FJ2244" s="15" t="inlineStr">
        <is>
          <t>LCK6122EVG</t>
        </is>
      </c>
      <c r="FK2244" s="15" t="n">
        <v>2025</v>
      </c>
      <c r="FL2244" s="15" t="inlineStr">
        <is>
          <t>B</t>
        </is>
      </c>
      <c r="FM2244" s="15" t="inlineStr">
        <is>
          <t>CERRILLOS</t>
        </is>
      </c>
      <c r="FN2244" s="15" t="inlineStr">
        <is>
          <t>Calle Uno 7371</t>
        </is>
      </c>
      <c r="FO2244" s="15" t="inlineStr">
        <is>
          <t>Cerrillos</t>
        </is>
      </c>
      <c r="FP2244" t="inlineStr">
        <is>
          <t>B</t>
        </is>
      </c>
    </row>
    <row r="2245">
      <c r="FC2245" t="inlineStr">
        <is>
          <t>Diccionario 3</t>
        </is>
      </c>
      <c r="FD2245" s="15" t="inlineStr">
        <is>
          <t>VFPL61</t>
        </is>
      </c>
      <c r="FE2245" s="15" t="inlineStr">
        <is>
          <t>MDN35025020110</t>
        </is>
      </c>
      <c r="FF2245" s="15" t="inlineStr">
        <is>
          <t>LDYECS317S0044034</t>
        </is>
      </c>
      <c r="FG2245" s="15" t="inlineStr">
        <is>
          <t>Zhong Tong</t>
        </is>
      </c>
      <c r="FH2245" s="15" t="inlineStr">
        <is>
          <t>Lck6122evg</t>
        </is>
      </c>
      <c r="FI2245" s="15" t="inlineStr">
        <is>
          <t>ZHONGTONG</t>
        </is>
      </c>
      <c r="FJ2245" s="15" t="inlineStr">
        <is>
          <t>LCK6122EVG</t>
        </is>
      </c>
      <c r="FK2245" s="15" t="n">
        <v>2025</v>
      </c>
      <c r="FL2245" s="15" t="inlineStr">
        <is>
          <t>B</t>
        </is>
      </c>
      <c r="FM2245" s="15" t="inlineStr">
        <is>
          <t>CERRILLOS</t>
        </is>
      </c>
      <c r="FN2245" s="15" t="inlineStr">
        <is>
          <t>Calle Uno 7371</t>
        </is>
      </c>
      <c r="FO2245" s="15" t="inlineStr">
        <is>
          <t>Cerrillos</t>
        </is>
      </c>
      <c r="FP2245" t="inlineStr">
        <is>
          <t>B</t>
        </is>
      </c>
    </row>
    <row r="2246">
      <c r="FC2246" t="inlineStr">
        <is>
          <t>Diccionario 3</t>
        </is>
      </c>
      <c r="FD2246" s="15" t="inlineStr">
        <is>
          <t>VFPL63</t>
        </is>
      </c>
      <c r="FE2246" s="15" t="inlineStr">
        <is>
          <t>MDN35025020035</t>
        </is>
      </c>
      <c r="FF2246" s="15" t="inlineStr">
        <is>
          <t>LDYECS319S0044052</t>
        </is>
      </c>
      <c r="FG2246" s="15" t="inlineStr">
        <is>
          <t>Zhong Tong</t>
        </is>
      </c>
      <c r="FH2246" s="15" t="inlineStr">
        <is>
          <t>Lck6122evg</t>
        </is>
      </c>
      <c r="FI2246" s="15" t="inlineStr">
        <is>
          <t>ZHONGTONG</t>
        </is>
      </c>
      <c r="FJ2246" s="15" t="inlineStr">
        <is>
          <t>LCK6122EVG</t>
        </is>
      </c>
      <c r="FK2246" s="15" t="n">
        <v>2025</v>
      </c>
      <c r="FL2246" s="15" t="inlineStr">
        <is>
          <t>B</t>
        </is>
      </c>
      <c r="FM2246" s="15" t="inlineStr">
        <is>
          <t>CERRILLOS</t>
        </is>
      </c>
      <c r="FN2246" s="15" t="inlineStr">
        <is>
          <t>Calle Uno 7371</t>
        </is>
      </c>
      <c r="FO2246" s="15" t="inlineStr">
        <is>
          <t>Cerrillos</t>
        </is>
      </c>
      <c r="FP2246" t="inlineStr">
        <is>
          <t>B</t>
        </is>
      </c>
    </row>
    <row r="2247">
      <c r="FC2247" t="inlineStr">
        <is>
          <t>Diccionario 3</t>
        </is>
      </c>
      <c r="FD2247" s="15" t="inlineStr">
        <is>
          <t>VFPL71</t>
        </is>
      </c>
      <c r="FE2247" s="15" t="inlineStr">
        <is>
          <t>MDN35025020077</t>
        </is>
      </c>
      <c r="FF2247" s="15" t="inlineStr">
        <is>
          <t>LDYECS312S0044037</t>
        </is>
      </c>
      <c r="FG2247" s="15" t="inlineStr">
        <is>
          <t>Zhong Tong</t>
        </is>
      </c>
      <c r="FH2247" s="15" t="inlineStr">
        <is>
          <t>Lck6122evg</t>
        </is>
      </c>
      <c r="FI2247" s="15" t="inlineStr">
        <is>
          <t>ZHONGTONG</t>
        </is>
      </c>
      <c r="FJ2247" s="15" t="inlineStr">
        <is>
          <t>LCK6122EVG</t>
        </is>
      </c>
      <c r="FK2247" s="15" t="n">
        <v>2025</v>
      </c>
      <c r="FL2247" s="15" t="inlineStr">
        <is>
          <t>B</t>
        </is>
      </c>
      <c r="FM2247" s="15" t="inlineStr">
        <is>
          <t>CERRILLOS</t>
        </is>
      </c>
      <c r="FN2247" s="15" t="inlineStr">
        <is>
          <t>Calle Uno 7371</t>
        </is>
      </c>
      <c r="FO2247" s="15" t="inlineStr">
        <is>
          <t>Cerrillos</t>
        </is>
      </c>
      <c r="FP2247" t="inlineStr">
        <is>
          <t>B</t>
        </is>
      </c>
    </row>
    <row r="2248">
      <c r="FC2248" t="inlineStr">
        <is>
          <t>Diccionario 3</t>
        </is>
      </c>
      <c r="FD2248" s="15" t="inlineStr">
        <is>
          <t>VFPL73</t>
        </is>
      </c>
      <c r="FE2248" s="15" t="inlineStr">
        <is>
          <t>MDN35025020033</t>
        </is>
      </c>
      <c r="FF2248" s="15" t="inlineStr">
        <is>
          <t>LDYECS318S0044088</t>
        </is>
      </c>
      <c r="FG2248" s="15" t="inlineStr">
        <is>
          <t>Zhong Tong</t>
        </is>
      </c>
      <c r="FH2248" s="15" t="inlineStr">
        <is>
          <t>Lck6122evg</t>
        </is>
      </c>
      <c r="FI2248" s="15" t="inlineStr">
        <is>
          <t>ZHONGTONG</t>
        </is>
      </c>
      <c r="FJ2248" s="15" t="inlineStr">
        <is>
          <t>LCK6122EVG</t>
        </is>
      </c>
      <c r="FK2248" s="15" t="n">
        <v>2025</v>
      </c>
      <c r="FL2248" s="15" t="inlineStr">
        <is>
          <t>B</t>
        </is>
      </c>
      <c r="FM2248" s="15" t="inlineStr">
        <is>
          <t>PIE ANDINO</t>
        </is>
      </c>
      <c r="FN2248" s="15" t="inlineStr">
        <is>
          <t>Pie Andino 31 (Pie Andino 383)</t>
        </is>
      </c>
      <c r="FO2248" s="15" t="inlineStr">
        <is>
          <t>Puente Alto</t>
        </is>
      </c>
      <c r="FP2248" t="inlineStr">
        <is>
          <t>B</t>
        </is>
      </c>
    </row>
    <row r="2249">
      <c r="FC2249" t="inlineStr">
        <is>
          <t>Diccionario 3</t>
        </is>
      </c>
      <c r="FD2249" s="15" t="inlineStr">
        <is>
          <t>VFPL74</t>
        </is>
      </c>
      <c r="FE2249" s="15" t="inlineStr">
        <is>
          <t>MDN35025010021</t>
        </is>
      </c>
      <c r="FF2249" s="15" t="inlineStr">
        <is>
          <t>LDYECS313S0044113</t>
        </is>
      </c>
      <c r="FG2249" s="15" t="inlineStr">
        <is>
          <t>Zhong Tong</t>
        </is>
      </c>
      <c r="FH2249" s="15" t="inlineStr">
        <is>
          <t>Lck6122evg</t>
        </is>
      </c>
      <c r="FI2249" s="15" t="inlineStr">
        <is>
          <t>ZHONGTONG</t>
        </is>
      </c>
      <c r="FJ2249" s="15" t="inlineStr">
        <is>
          <t>LCK6122EVG</t>
        </is>
      </c>
      <c r="FK2249" s="15" t="n">
        <v>2025</v>
      </c>
      <c r="FL2249" s="15" t="inlineStr">
        <is>
          <t>B</t>
        </is>
      </c>
      <c r="FM2249" s="15" t="inlineStr">
        <is>
          <t>CERRILLOS</t>
        </is>
      </c>
      <c r="FN2249" s="15" t="inlineStr">
        <is>
          <t>Calle Uno 7371</t>
        </is>
      </c>
      <c r="FO2249" s="15" t="inlineStr">
        <is>
          <t>Cerrillos</t>
        </is>
      </c>
      <c r="FP2249" t="inlineStr">
        <is>
          <t>B</t>
        </is>
      </c>
    </row>
    <row r="2250">
      <c r="FC2250" t="inlineStr">
        <is>
          <t>Diccionario 3</t>
        </is>
      </c>
      <c r="FD2250" s="15" t="inlineStr">
        <is>
          <t>VFPL81</t>
        </is>
      </c>
      <c r="FE2250" s="15" t="inlineStr">
        <is>
          <t>MDN35025020120</t>
        </is>
      </c>
      <c r="FF2250" s="15" t="inlineStr">
        <is>
          <t>LDYECS316S0044011</t>
        </is>
      </c>
      <c r="FG2250" s="15" t="inlineStr">
        <is>
          <t>Zhong Tong</t>
        </is>
      </c>
      <c r="FH2250" s="15" t="inlineStr">
        <is>
          <t>Lck6122evg</t>
        </is>
      </c>
      <c r="FI2250" s="15" t="inlineStr">
        <is>
          <t>ZHONGTONG</t>
        </is>
      </c>
      <c r="FJ2250" s="15" t="inlineStr">
        <is>
          <t>LCK6122EVG</t>
        </is>
      </c>
      <c r="FK2250" s="15" t="n">
        <v>2025</v>
      </c>
      <c r="FL2250" s="15" t="inlineStr">
        <is>
          <t>B</t>
        </is>
      </c>
      <c r="FM2250" s="15" t="inlineStr">
        <is>
          <t>CERRILLOS</t>
        </is>
      </c>
      <c r="FN2250" s="15" t="inlineStr">
        <is>
          <t>Calle Uno 7371</t>
        </is>
      </c>
      <c r="FO2250" s="15" t="inlineStr">
        <is>
          <t>Cerrillos</t>
        </is>
      </c>
      <c r="FP2250" t="inlineStr">
        <is>
          <t>B</t>
        </is>
      </c>
    </row>
    <row r="2251">
      <c r="FC2251" t="inlineStr">
        <is>
          <t>Diccionario 3</t>
        </is>
      </c>
      <c r="FD2251" s="15" t="inlineStr">
        <is>
          <t>VFPL87</t>
        </is>
      </c>
      <c r="FE2251" s="15" t="inlineStr">
        <is>
          <t>MDN35025020101</t>
        </is>
      </c>
      <c r="FF2251" s="15" t="inlineStr">
        <is>
          <t>LDYECS315S0044047</t>
        </is>
      </c>
      <c r="FG2251" s="15" t="inlineStr">
        <is>
          <t>Zhong Tong</t>
        </is>
      </c>
      <c r="FH2251" s="15" t="inlineStr">
        <is>
          <t>Lck6122evg</t>
        </is>
      </c>
      <c r="FI2251" s="15" t="inlineStr">
        <is>
          <t>ZHONGTONG</t>
        </is>
      </c>
      <c r="FJ2251" s="15" t="inlineStr">
        <is>
          <t>LCK6122EVG</t>
        </is>
      </c>
      <c r="FK2251" s="15" t="n">
        <v>2025</v>
      </c>
      <c r="FL2251" s="15" t="inlineStr">
        <is>
          <t>B</t>
        </is>
      </c>
      <c r="FM2251" s="15" t="inlineStr">
        <is>
          <t>CERRILLOS</t>
        </is>
      </c>
      <c r="FN2251" s="15" t="inlineStr">
        <is>
          <t>Calle Uno 7371</t>
        </is>
      </c>
      <c r="FO2251" s="15" t="inlineStr">
        <is>
          <t>Cerrillos</t>
        </is>
      </c>
      <c r="FP2251" t="inlineStr">
        <is>
          <t>B</t>
        </is>
      </c>
    </row>
    <row r="2252">
      <c r="FC2252" t="inlineStr">
        <is>
          <t>Diccionario 3</t>
        </is>
      </c>
      <c r="FD2252" s="15" t="inlineStr">
        <is>
          <t>VFPL88</t>
        </is>
      </c>
      <c r="FE2252" s="15" t="inlineStr">
        <is>
          <t>MDN35025020071</t>
        </is>
      </c>
      <c r="FF2252" s="15" t="inlineStr">
        <is>
          <t>LDYECS316S0044039</t>
        </is>
      </c>
      <c r="FG2252" s="15" t="inlineStr">
        <is>
          <t>Zhong Tong</t>
        </is>
      </c>
      <c r="FH2252" s="15" t="inlineStr">
        <is>
          <t>Lck6122evg</t>
        </is>
      </c>
      <c r="FI2252" s="15" t="inlineStr">
        <is>
          <t>ZHONGTONG</t>
        </is>
      </c>
      <c r="FJ2252" s="15" t="inlineStr">
        <is>
          <t>LCK6122EVG</t>
        </is>
      </c>
      <c r="FK2252" s="15" t="n">
        <v>2025</v>
      </c>
      <c r="FL2252" s="15" t="inlineStr">
        <is>
          <t>B</t>
        </is>
      </c>
      <c r="FM2252" s="15" t="inlineStr">
        <is>
          <t>PIE ANDINO</t>
        </is>
      </c>
      <c r="FN2252" s="15" t="inlineStr">
        <is>
          <t>Pie Andino 31 (Pie Andino 383)</t>
        </is>
      </c>
      <c r="FO2252" s="15" t="inlineStr">
        <is>
          <t>Puente Alto</t>
        </is>
      </c>
      <c r="FP2252" t="inlineStr">
        <is>
          <t>B</t>
        </is>
      </c>
    </row>
    <row r="2253">
      <c r="FC2253" t="inlineStr">
        <is>
          <t>Diccionario 3</t>
        </is>
      </c>
      <c r="FD2253" s="15" t="inlineStr">
        <is>
          <t>VFPL92</t>
        </is>
      </c>
      <c r="FE2253" s="15" t="inlineStr">
        <is>
          <t>MDN35025010192</t>
        </is>
      </c>
      <c r="FF2253" s="15" t="inlineStr">
        <is>
          <t>LDYECS312S0044054</t>
        </is>
      </c>
      <c r="FG2253" s="15" t="inlineStr">
        <is>
          <t>Zhong Tong</t>
        </is>
      </c>
      <c r="FH2253" s="15" t="inlineStr">
        <is>
          <t>Lck6122evg</t>
        </is>
      </c>
      <c r="FI2253" s="15" t="inlineStr">
        <is>
          <t>ZHONGTONG</t>
        </is>
      </c>
      <c r="FJ2253" s="15" t="inlineStr">
        <is>
          <t>LCK6122EVG</t>
        </is>
      </c>
      <c r="FK2253" s="15" t="n">
        <v>2025</v>
      </c>
      <c r="FL2253" s="15" t="inlineStr">
        <is>
          <t>B</t>
        </is>
      </c>
      <c r="FM2253" s="15" t="inlineStr">
        <is>
          <t>PIE ANDINO</t>
        </is>
      </c>
      <c r="FN2253" s="15" t="inlineStr">
        <is>
          <t>Pie Andino 31 (Pie Andino 383)</t>
        </is>
      </c>
      <c r="FO2253" s="15" t="inlineStr">
        <is>
          <t>Puente Alto</t>
        </is>
      </c>
      <c r="FP2253" t="inlineStr">
        <is>
          <t>B</t>
        </is>
      </c>
    </row>
    <row r="2254">
      <c r="FC2254" t="inlineStr">
        <is>
          <t>Diccionario 3</t>
        </is>
      </c>
      <c r="FD2254" s="15" t="inlineStr">
        <is>
          <t>VFPP11</t>
        </is>
      </c>
      <c r="FE2254" s="15" t="inlineStr">
        <is>
          <t>MDN35025010191</t>
        </is>
      </c>
      <c r="FF2254" s="15" t="inlineStr">
        <is>
          <t>LDYECS316S0044056</t>
        </is>
      </c>
      <c r="FG2254" s="15" t="inlineStr">
        <is>
          <t>Zhong Tong</t>
        </is>
      </c>
      <c r="FH2254" s="15" t="inlineStr">
        <is>
          <t>Lck6122evg</t>
        </is>
      </c>
      <c r="FI2254" s="15" t="inlineStr">
        <is>
          <t>ZHONGTONG</t>
        </is>
      </c>
      <c r="FJ2254" s="15" t="inlineStr">
        <is>
          <t>LCK6122EVG</t>
        </is>
      </c>
      <c r="FK2254" s="15" t="n">
        <v>2025</v>
      </c>
      <c r="FL2254" s="15" t="inlineStr">
        <is>
          <t>B</t>
        </is>
      </c>
      <c r="FM2254" s="15" t="inlineStr">
        <is>
          <t>PIE ANDINO</t>
        </is>
      </c>
      <c r="FN2254" s="15" t="inlineStr">
        <is>
          <t>Pie Andino 31 (Pie Andino 383)</t>
        </is>
      </c>
      <c r="FO2254" s="15" t="inlineStr">
        <is>
          <t>Puente Alto</t>
        </is>
      </c>
      <c r="FP2254" t="inlineStr">
        <is>
          <t>B</t>
        </is>
      </c>
    </row>
    <row r="2255">
      <c r="FC2255" t="inlineStr">
        <is>
          <t>Diccionario 3</t>
        </is>
      </c>
      <c r="FD2255" s="15" t="inlineStr">
        <is>
          <t>VFPS39</t>
        </is>
      </c>
      <c r="FE2255" s="15" t="inlineStr">
        <is>
          <t>MDN35025010217</t>
        </is>
      </c>
      <c r="FF2255" s="15" t="inlineStr">
        <is>
          <t>LDYECS319S0044083</t>
        </is>
      </c>
      <c r="FG2255" s="15" t="inlineStr">
        <is>
          <t>Zhong Tong</t>
        </is>
      </c>
      <c r="FH2255" s="15" t="inlineStr">
        <is>
          <t>Lck6122evg</t>
        </is>
      </c>
      <c r="FI2255" s="15" t="inlineStr">
        <is>
          <t>ZHONGTONG</t>
        </is>
      </c>
      <c r="FJ2255" s="15" t="inlineStr">
        <is>
          <t>LCK6122EVG</t>
        </is>
      </c>
      <c r="FK2255" s="15" t="n">
        <v>2025</v>
      </c>
      <c r="FL2255" s="15" t="inlineStr">
        <is>
          <t>B</t>
        </is>
      </c>
      <c r="FM2255" s="15" t="inlineStr">
        <is>
          <t>CERRILLOS</t>
        </is>
      </c>
      <c r="FN2255" s="15" t="inlineStr">
        <is>
          <t>Calle Uno 7371</t>
        </is>
      </c>
      <c r="FO2255" s="15" t="inlineStr">
        <is>
          <t>Cerrillos</t>
        </is>
      </c>
      <c r="FP2255" t="inlineStr">
        <is>
          <t>B</t>
        </is>
      </c>
    </row>
    <row r="2256">
      <c r="FC2256" t="inlineStr">
        <is>
          <t>Diccionario 3</t>
        </is>
      </c>
      <c r="FD2256" s="15" t="inlineStr">
        <is>
          <t>VFPS47</t>
        </is>
      </c>
      <c r="FE2256" s="15" t="inlineStr">
        <is>
          <t>MDN35025020132</t>
        </is>
      </c>
      <c r="FF2256" s="15" t="inlineStr">
        <is>
          <t>LDYECS318S0044057</t>
        </is>
      </c>
      <c r="FG2256" s="15" t="inlineStr">
        <is>
          <t>Zhong Tong</t>
        </is>
      </c>
      <c r="FH2256" s="15" t="inlineStr">
        <is>
          <t>Lck6122evg</t>
        </is>
      </c>
      <c r="FI2256" s="15" t="inlineStr">
        <is>
          <t>ZHONGTONG</t>
        </is>
      </c>
      <c r="FJ2256" s="15" t="inlineStr">
        <is>
          <t>LCK6122EVG</t>
        </is>
      </c>
      <c r="FK2256" s="15" t="n">
        <v>2025</v>
      </c>
      <c r="FL2256" s="15" t="inlineStr">
        <is>
          <t>B</t>
        </is>
      </c>
      <c r="FM2256" s="15" t="inlineStr">
        <is>
          <t>CERRILLOS</t>
        </is>
      </c>
      <c r="FN2256" s="15" t="inlineStr">
        <is>
          <t>Calle Uno 7371</t>
        </is>
      </c>
      <c r="FO2256" s="15" t="inlineStr">
        <is>
          <t>Cerrillos</t>
        </is>
      </c>
      <c r="FP2256" t="inlineStr">
        <is>
          <t>B</t>
        </is>
      </c>
    </row>
    <row r="2257">
      <c r="FC2257" t="inlineStr">
        <is>
          <t>Diccionario 3</t>
        </is>
      </c>
      <c r="FD2257" s="15" t="inlineStr">
        <is>
          <t>VFPS48</t>
        </is>
      </c>
      <c r="FE2257" s="15" t="inlineStr">
        <is>
          <t>MDN35025020073</t>
        </is>
      </c>
      <c r="FF2257" s="15" t="inlineStr">
        <is>
          <t>LDYECS315S0044050</t>
        </is>
      </c>
      <c r="FG2257" s="15" t="inlineStr">
        <is>
          <t>Zhong Tong</t>
        </is>
      </c>
      <c r="FH2257" s="15" t="inlineStr">
        <is>
          <t>Lck6122evg</t>
        </is>
      </c>
      <c r="FI2257" s="15" t="inlineStr">
        <is>
          <t>ZHONGTONG</t>
        </is>
      </c>
      <c r="FJ2257" s="15" t="inlineStr">
        <is>
          <t>LCK6122EVG</t>
        </is>
      </c>
      <c r="FK2257" s="15" t="n">
        <v>2025</v>
      </c>
      <c r="FL2257" s="15" t="inlineStr">
        <is>
          <t>B</t>
        </is>
      </c>
      <c r="FM2257" s="15" t="inlineStr">
        <is>
          <t>PIE ANDINO</t>
        </is>
      </c>
      <c r="FN2257" s="15" t="inlineStr">
        <is>
          <t>Pie Andino 31 (Pie Andino 383)</t>
        </is>
      </c>
      <c r="FO2257" s="15" t="inlineStr">
        <is>
          <t>Puente Alto</t>
        </is>
      </c>
      <c r="FP2257" t="inlineStr">
        <is>
          <t>B</t>
        </is>
      </c>
    </row>
    <row r="2258">
      <c r="FC2258" t="inlineStr">
        <is>
          <t>Diccionario 3</t>
        </is>
      </c>
      <c r="FD2258" s="15" t="inlineStr">
        <is>
          <t>VFPS56</t>
        </is>
      </c>
      <c r="FE2258" s="15" t="inlineStr">
        <is>
          <t>MDN35025010190</t>
        </is>
      </c>
      <c r="FF2258" s="15" t="inlineStr">
        <is>
          <t>LDYECS310S0044084</t>
        </is>
      </c>
      <c r="FG2258" s="15" t="inlineStr">
        <is>
          <t>Zhong Tong</t>
        </is>
      </c>
      <c r="FH2258" s="15" t="inlineStr">
        <is>
          <t>Lck6122evg</t>
        </is>
      </c>
      <c r="FI2258" s="15" t="inlineStr">
        <is>
          <t>ZHONGTONG</t>
        </is>
      </c>
      <c r="FJ2258" s="15" t="inlineStr">
        <is>
          <t>LCK6122EVG</t>
        </is>
      </c>
      <c r="FK2258" s="15" t="n">
        <v>2025</v>
      </c>
      <c r="FL2258" s="15" t="inlineStr">
        <is>
          <t>B</t>
        </is>
      </c>
      <c r="FM2258" s="15" t="inlineStr">
        <is>
          <t>PIE ANDINO</t>
        </is>
      </c>
      <c r="FN2258" s="15" t="inlineStr">
        <is>
          <t>Pie Andino 31 (Pie Andino 383)</t>
        </is>
      </c>
      <c r="FO2258" s="15" t="inlineStr">
        <is>
          <t>Puente Alto</t>
        </is>
      </c>
      <c r="FP2258" t="inlineStr">
        <is>
          <t>B</t>
        </is>
      </c>
    </row>
    <row r="2259">
      <c r="FC2259" t="inlineStr">
        <is>
          <t>Diccionario 3</t>
        </is>
      </c>
      <c r="FD2259" s="15" t="inlineStr">
        <is>
          <t>VFPS65</t>
        </is>
      </c>
      <c r="FE2259" s="15" t="inlineStr">
        <is>
          <t>MDN35025020029</t>
        </is>
      </c>
      <c r="FF2259" s="15" t="inlineStr">
        <is>
          <t>LDYECS311S0044045</t>
        </is>
      </c>
      <c r="FG2259" s="15" t="inlineStr">
        <is>
          <t>Zhong Tong</t>
        </is>
      </c>
      <c r="FH2259" s="15" t="inlineStr">
        <is>
          <t>Lck6122evg</t>
        </is>
      </c>
      <c r="FI2259" s="15" t="inlineStr">
        <is>
          <t>ZHONGTONG</t>
        </is>
      </c>
      <c r="FJ2259" s="15" t="inlineStr">
        <is>
          <t>LCK6122EVG</t>
        </is>
      </c>
      <c r="FK2259" s="15" t="n">
        <v>2025</v>
      </c>
      <c r="FL2259" s="15" t="inlineStr">
        <is>
          <t>B</t>
        </is>
      </c>
      <c r="FM2259" s="15" t="inlineStr">
        <is>
          <t>CERRILLOS</t>
        </is>
      </c>
      <c r="FN2259" s="15" t="inlineStr">
        <is>
          <t>Calle Uno 7371</t>
        </is>
      </c>
      <c r="FO2259" s="15" t="inlineStr">
        <is>
          <t>Cerrillos</t>
        </is>
      </c>
      <c r="FP2259" t="inlineStr">
        <is>
          <t>B</t>
        </is>
      </c>
    </row>
    <row r="2260">
      <c r="FC2260" t="inlineStr">
        <is>
          <t>Diccionario 3</t>
        </is>
      </c>
      <c r="FD2260" s="15" t="inlineStr">
        <is>
          <t>VFPS69</t>
        </is>
      </c>
      <c r="FE2260" s="15" t="inlineStr">
        <is>
          <t>MDN35025010198</t>
        </is>
      </c>
      <c r="FF2260" s="15" t="inlineStr">
        <is>
          <t>LDYECS314S0044038</t>
        </is>
      </c>
      <c r="FG2260" s="15" t="inlineStr">
        <is>
          <t>Zhong Tong</t>
        </is>
      </c>
      <c r="FH2260" s="15" t="inlineStr">
        <is>
          <t>Lck6122evg</t>
        </is>
      </c>
      <c r="FI2260" s="15" t="inlineStr">
        <is>
          <t>ZHONGTONG</t>
        </is>
      </c>
      <c r="FJ2260" s="15" t="inlineStr">
        <is>
          <t>LCK6122EVG</t>
        </is>
      </c>
      <c r="FK2260" s="15" t="n">
        <v>2025</v>
      </c>
      <c r="FL2260" s="15" t="inlineStr">
        <is>
          <t>B</t>
        </is>
      </c>
      <c r="FM2260" s="15" t="inlineStr">
        <is>
          <t>CERRILLOS</t>
        </is>
      </c>
      <c r="FN2260" s="15" t="inlineStr">
        <is>
          <t>Calle Uno 7371</t>
        </is>
      </c>
      <c r="FO2260" s="15" t="inlineStr">
        <is>
          <t>Cerrillos</t>
        </is>
      </c>
      <c r="FP2260" t="inlineStr">
        <is>
          <t>B</t>
        </is>
      </c>
    </row>
    <row r="2261">
      <c r="FC2261" t="inlineStr">
        <is>
          <t>Diccionario 3</t>
        </is>
      </c>
      <c r="FD2261" s="15" t="inlineStr">
        <is>
          <t>VFPS74</t>
        </is>
      </c>
      <c r="FE2261" s="15" t="inlineStr">
        <is>
          <t>MDN35025020050</t>
        </is>
      </c>
      <c r="FF2261" s="15" t="inlineStr">
        <is>
          <t>LDYECS311S0044028</t>
        </is>
      </c>
      <c r="FG2261" s="15" t="inlineStr">
        <is>
          <t>Zhong Tong</t>
        </is>
      </c>
      <c r="FH2261" s="15" t="inlineStr">
        <is>
          <t>Lck6122evg</t>
        </is>
      </c>
      <c r="FI2261" s="15" t="inlineStr">
        <is>
          <t>ZHONGTONG</t>
        </is>
      </c>
      <c r="FJ2261" s="15" t="inlineStr">
        <is>
          <t>LCK6122EVG</t>
        </is>
      </c>
      <c r="FK2261" s="15" t="n">
        <v>2025</v>
      </c>
      <c r="FL2261" s="15" t="inlineStr">
        <is>
          <t>B</t>
        </is>
      </c>
      <c r="FM2261" s="15" t="inlineStr">
        <is>
          <t>PIE ANDINO</t>
        </is>
      </c>
      <c r="FN2261" s="15" t="inlineStr">
        <is>
          <t>Pie Andino 31 (Pie Andino 383)</t>
        </is>
      </c>
      <c r="FO2261" s="15" t="inlineStr">
        <is>
          <t>Puente Alto</t>
        </is>
      </c>
      <c r="FP2261" t="inlineStr">
        <is>
          <t>B</t>
        </is>
      </c>
    </row>
    <row r="2262">
      <c r="FC2262" t="inlineStr">
        <is>
          <t>Diccionario 3</t>
        </is>
      </c>
      <c r="FD2262" s="15" t="inlineStr">
        <is>
          <t>VFPS78</t>
        </is>
      </c>
      <c r="FE2262" s="15" t="inlineStr">
        <is>
          <t>MDN35025020099</t>
        </is>
      </c>
      <c r="FF2262" s="15" t="inlineStr">
        <is>
          <t>LDYECS311S0044031</t>
        </is>
      </c>
      <c r="FG2262" s="15" t="inlineStr">
        <is>
          <t>Zhong Tong</t>
        </is>
      </c>
      <c r="FH2262" s="15" t="inlineStr">
        <is>
          <t>Lck6122evg</t>
        </is>
      </c>
      <c r="FI2262" s="15" t="inlineStr">
        <is>
          <t>ZHONGTONG</t>
        </is>
      </c>
      <c r="FJ2262" s="15" t="inlineStr">
        <is>
          <t>LCK6122EVG</t>
        </is>
      </c>
      <c r="FK2262" s="15" t="n">
        <v>2025</v>
      </c>
      <c r="FL2262" s="15" t="inlineStr">
        <is>
          <t>B</t>
        </is>
      </c>
      <c r="FM2262" s="15" t="inlineStr">
        <is>
          <t>PIE ANDINO</t>
        </is>
      </c>
      <c r="FN2262" s="15" t="inlineStr">
        <is>
          <t>Pie Andino 31 (Pie Andino 383)</t>
        </is>
      </c>
      <c r="FO2262" s="15" t="inlineStr">
        <is>
          <t>Puente Alto</t>
        </is>
      </c>
      <c r="FP2262" t="inlineStr">
        <is>
          <t>B</t>
        </is>
      </c>
    </row>
    <row r="2263">
      <c r="FC2263" t="inlineStr">
        <is>
          <t>Diccionario 3</t>
        </is>
      </c>
      <c r="FD2263" s="15" t="inlineStr">
        <is>
          <t>VFPS85</t>
        </is>
      </c>
      <c r="FE2263" s="15" t="inlineStr">
        <is>
          <t>MDN35025010246</t>
        </is>
      </c>
      <c r="FF2263" s="15" t="inlineStr">
        <is>
          <t>LDYECS314S0044055</t>
        </is>
      </c>
      <c r="FG2263" s="15" t="inlineStr">
        <is>
          <t>Zhong Tong</t>
        </is>
      </c>
      <c r="FH2263" s="15" t="inlineStr">
        <is>
          <t>Lck6122evg</t>
        </is>
      </c>
      <c r="FI2263" s="15" t="inlineStr">
        <is>
          <t>ZHONGTONG</t>
        </is>
      </c>
      <c r="FJ2263" s="15" t="inlineStr">
        <is>
          <t>LCK6122EVG</t>
        </is>
      </c>
      <c r="FK2263" s="15" t="n">
        <v>2025</v>
      </c>
      <c r="FL2263" s="15" t="inlineStr">
        <is>
          <t>B</t>
        </is>
      </c>
      <c r="FM2263" s="15" t="inlineStr">
        <is>
          <t>PIE ANDINO</t>
        </is>
      </c>
      <c r="FN2263" s="15" t="inlineStr">
        <is>
          <t>Pie Andino 31 (Pie Andino 383)</t>
        </is>
      </c>
      <c r="FO2263" s="15" t="inlineStr">
        <is>
          <t>Puente Alto</t>
        </is>
      </c>
      <c r="FP2263" t="inlineStr">
        <is>
          <t>B</t>
        </is>
      </c>
    </row>
    <row r="2264">
      <c r="FC2264" t="inlineStr">
        <is>
          <t>Diccionario 3</t>
        </is>
      </c>
      <c r="FD2264" s="15" t="inlineStr">
        <is>
          <t>VFPS86</t>
        </is>
      </c>
      <c r="FE2264" s="15" t="inlineStr">
        <is>
          <t>MDN35025020047</t>
        </is>
      </c>
      <c r="FF2264" s="15" t="inlineStr">
        <is>
          <t>LDYECS310S0044036</t>
        </is>
      </c>
      <c r="FG2264" s="15" t="inlineStr">
        <is>
          <t>Zhong Tong</t>
        </is>
      </c>
      <c r="FH2264" s="15" t="inlineStr">
        <is>
          <t>Lck6122evg</t>
        </is>
      </c>
      <c r="FI2264" s="15" t="inlineStr">
        <is>
          <t>ZHONGTONG</t>
        </is>
      </c>
      <c r="FJ2264" s="15" t="inlineStr">
        <is>
          <t>LCK6122EVG</t>
        </is>
      </c>
      <c r="FK2264" s="15" t="n">
        <v>2025</v>
      </c>
      <c r="FL2264" s="15" t="inlineStr">
        <is>
          <t>B</t>
        </is>
      </c>
      <c r="FM2264" s="15" t="inlineStr">
        <is>
          <t>PIE ANDINO</t>
        </is>
      </c>
      <c r="FN2264" s="15" t="inlineStr">
        <is>
          <t>Pie Andino 31 (Pie Andino 383)</t>
        </is>
      </c>
      <c r="FO2264" s="15" t="inlineStr">
        <is>
          <t>Puente Alto</t>
        </is>
      </c>
      <c r="FP2264" t="inlineStr">
        <is>
          <t>B</t>
        </is>
      </c>
    </row>
    <row r="2265">
      <c r="FC2265" t="inlineStr">
        <is>
          <t>Diccionario 3</t>
        </is>
      </c>
      <c r="FD2265" s="15" t="inlineStr">
        <is>
          <t>VFPS87</t>
        </is>
      </c>
      <c r="FE2265" s="15" t="inlineStr">
        <is>
          <t>MDN35025020114</t>
        </is>
      </c>
      <c r="FF2265" s="15" t="inlineStr">
        <is>
          <t>LDYECS315S0044033</t>
        </is>
      </c>
      <c r="FG2265" s="15" t="inlineStr">
        <is>
          <t>Zhong Tong</t>
        </is>
      </c>
      <c r="FH2265" s="15" t="inlineStr">
        <is>
          <t>Lck6122evg</t>
        </is>
      </c>
      <c r="FI2265" s="15" t="inlineStr">
        <is>
          <t>ZHONGTONG</t>
        </is>
      </c>
      <c r="FJ2265" s="15" t="inlineStr">
        <is>
          <t>LCK6122EVG</t>
        </is>
      </c>
      <c r="FK2265" s="15" t="n">
        <v>2025</v>
      </c>
      <c r="FL2265" s="15" t="inlineStr">
        <is>
          <t>B</t>
        </is>
      </c>
      <c r="FM2265" s="15" t="inlineStr">
        <is>
          <t>CERRILLOS</t>
        </is>
      </c>
      <c r="FN2265" s="15" t="inlineStr">
        <is>
          <t>Calle Uno 7371</t>
        </is>
      </c>
      <c r="FO2265" s="15" t="inlineStr">
        <is>
          <t>Cerrillos</t>
        </is>
      </c>
      <c r="FP2265" t="inlineStr">
        <is>
          <t>B</t>
        </is>
      </c>
    </row>
    <row r="2266">
      <c r="FC2266" t="inlineStr">
        <is>
          <t>Diccionario 3</t>
        </is>
      </c>
      <c r="FD2266" s="15" t="inlineStr">
        <is>
          <t>VFPS89</t>
        </is>
      </c>
      <c r="FE2266" s="15" t="inlineStr">
        <is>
          <t>MDN35025020031</t>
        </is>
      </c>
      <c r="FF2266" s="15" t="inlineStr">
        <is>
          <t>LDYECS319S0044049</t>
        </is>
      </c>
      <c r="FG2266" s="15" t="inlineStr">
        <is>
          <t>Zhong Tong</t>
        </is>
      </c>
      <c r="FH2266" s="15" t="inlineStr">
        <is>
          <t>Lck6122evg</t>
        </is>
      </c>
      <c r="FI2266" s="15" t="inlineStr">
        <is>
          <t>ZHONGTONG</t>
        </is>
      </c>
      <c r="FJ2266" s="15" t="inlineStr">
        <is>
          <t>LCK6122EVG</t>
        </is>
      </c>
      <c r="FK2266" s="15" t="n">
        <v>2025</v>
      </c>
      <c r="FL2266" s="15" t="inlineStr">
        <is>
          <t>B</t>
        </is>
      </c>
      <c r="FM2266" s="15" t="inlineStr">
        <is>
          <t>PIE ANDINO</t>
        </is>
      </c>
      <c r="FN2266" s="15" t="inlineStr">
        <is>
          <t>Pie Andino 31 (Pie Andino 383)</t>
        </is>
      </c>
      <c r="FO2266" s="15" t="inlineStr">
        <is>
          <t>Puente Alto</t>
        </is>
      </c>
      <c r="FP2266" t="inlineStr">
        <is>
          <t>B</t>
        </is>
      </c>
    </row>
    <row r="2267">
      <c r="FC2267" t="inlineStr">
        <is>
          <t>Diccionario 3</t>
        </is>
      </c>
      <c r="FD2267" s="15" t="inlineStr">
        <is>
          <t>VFPS94</t>
        </is>
      </c>
      <c r="FE2267" s="15" t="inlineStr">
        <is>
          <t>MDN35025020072</t>
        </is>
      </c>
      <c r="FF2267" s="15" t="inlineStr">
        <is>
          <t>LDYECS317S0044051</t>
        </is>
      </c>
      <c r="FG2267" s="15" t="inlineStr">
        <is>
          <t>Zhong Tong</t>
        </is>
      </c>
      <c r="FH2267" s="15" t="inlineStr">
        <is>
          <t>Lck6122evg</t>
        </is>
      </c>
      <c r="FI2267" s="15" t="inlineStr">
        <is>
          <t>ZHONGTONG</t>
        </is>
      </c>
      <c r="FJ2267" s="15" t="inlineStr">
        <is>
          <t>LCK6122EVG</t>
        </is>
      </c>
      <c r="FK2267" s="15" t="n">
        <v>2025</v>
      </c>
      <c r="FL2267" s="15" t="inlineStr">
        <is>
          <t>B</t>
        </is>
      </c>
      <c r="FM2267" s="15" t="inlineStr">
        <is>
          <t>PIE ANDINO</t>
        </is>
      </c>
      <c r="FN2267" s="15" t="inlineStr">
        <is>
          <t>Pie Andino 31 (Pie Andino 383)</t>
        </is>
      </c>
      <c r="FO2267" s="15" t="inlineStr">
        <is>
          <t>Puente Alto</t>
        </is>
      </c>
      <c r="FP2267" t="inlineStr">
        <is>
          <t>B</t>
        </is>
      </c>
    </row>
    <row r="2268">
      <c r="FC2268" t="inlineStr">
        <is>
          <t>Diccionario 3</t>
        </is>
      </c>
      <c r="FD2268" s="15" t="inlineStr">
        <is>
          <t>VFPS99</t>
        </is>
      </c>
      <c r="FE2268" s="15" t="inlineStr">
        <is>
          <t>MDN35025020042</t>
        </is>
      </c>
      <c r="FF2268" s="15" t="inlineStr">
        <is>
          <t>LDYECS315S0044078</t>
        </is>
      </c>
      <c r="FG2268" s="15" t="inlineStr">
        <is>
          <t>Zhong Tong</t>
        </is>
      </c>
      <c r="FH2268" s="15" t="inlineStr">
        <is>
          <t>Lck6122evg</t>
        </is>
      </c>
      <c r="FI2268" s="15" t="inlineStr">
        <is>
          <t>ZHONGTONG</t>
        </is>
      </c>
      <c r="FJ2268" s="15" t="inlineStr">
        <is>
          <t>LCK6122EVG</t>
        </is>
      </c>
      <c r="FK2268" s="15" t="n">
        <v>2025</v>
      </c>
      <c r="FL2268" s="15" t="inlineStr">
        <is>
          <t>B</t>
        </is>
      </c>
      <c r="FM2268" s="15" t="inlineStr">
        <is>
          <t>PIE ANDINO</t>
        </is>
      </c>
      <c r="FN2268" s="15" t="inlineStr">
        <is>
          <t>Pie Andino 31 (Pie Andino 383)</t>
        </is>
      </c>
      <c r="FO2268" s="15" t="inlineStr">
        <is>
          <t>Puente Alto</t>
        </is>
      </c>
      <c r="FP2268" t="inlineStr">
        <is>
          <t>B</t>
        </is>
      </c>
    </row>
    <row r="2269">
      <c r="FC2269" t="inlineStr">
        <is>
          <t>Diccionario 3</t>
        </is>
      </c>
      <c r="FD2269" s="15" t="inlineStr">
        <is>
          <t>VFPT23</t>
        </is>
      </c>
      <c r="FE2269" s="15" t="inlineStr">
        <is>
          <t>MDN35025020105</t>
        </is>
      </c>
      <c r="FF2269" s="15" t="inlineStr">
        <is>
          <t>LDYECS312S0044040</t>
        </is>
      </c>
      <c r="FG2269" s="15" t="inlineStr">
        <is>
          <t>Zhong Tong</t>
        </is>
      </c>
      <c r="FH2269" s="15" t="inlineStr">
        <is>
          <t>Lck6122evg</t>
        </is>
      </c>
      <c r="FI2269" s="15" t="inlineStr">
        <is>
          <t>ZHONGTONG</t>
        </is>
      </c>
      <c r="FJ2269" s="15" t="inlineStr">
        <is>
          <t>LCK6122EVG</t>
        </is>
      </c>
      <c r="FK2269" s="15" t="n">
        <v>2025</v>
      </c>
      <c r="FL2269" s="15" t="inlineStr">
        <is>
          <t>B</t>
        </is>
      </c>
      <c r="FM2269" s="15" t="inlineStr">
        <is>
          <t>SAN ALFONSO</t>
        </is>
      </c>
      <c r="FN2269" s="15" t="inlineStr">
        <is>
          <t>San Alfonso 2141 (Ramón Subercaseaux 3060)</t>
        </is>
      </c>
      <c r="FO2269" s="15" t="inlineStr">
        <is>
          <t>Estacion Central</t>
        </is>
      </c>
      <c r="FP2269" t="inlineStr">
        <is>
          <t>B</t>
        </is>
      </c>
    </row>
    <row r="2270">
      <c r="FC2270" t="inlineStr">
        <is>
          <t>Diccionario 3</t>
        </is>
      </c>
      <c r="FD2270" s="15" t="inlineStr">
        <is>
          <t>VFPT27</t>
        </is>
      </c>
      <c r="FE2270" s="15" t="inlineStr">
        <is>
          <t>MDN35025020129</t>
        </is>
      </c>
      <c r="FF2270" s="15" t="inlineStr">
        <is>
          <t>LDYECS319S0044035</t>
        </is>
      </c>
      <c r="FG2270" s="15" t="inlineStr">
        <is>
          <t>Zhong Tong</t>
        </is>
      </c>
      <c r="FH2270" s="15" t="inlineStr">
        <is>
          <t>Lck6122evg</t>
        </is>
      </c>
      <c r="FI2270" s="15" t="inlineStr">
        <is>
          <t>ZHONGTONG</t>
        </is>
      </c>
      <c r="FJ2270" s="15" t="inlineStr">
        <is>
          <t>LCK6122EVG</t>
        </is>
      </c>
      <c r="FK2270" s="15" t="n">
        <v>2025</v>
      </c>
      <c r="FL2270" s="15" t="inlineStr">
        <is>
          <t>B</t>
        </is>
      </c>
      <c r="FM2270" s="15" t="inlineStr">
        <is>
          <t>SAN ALFONSO</t>
        </is>
      </c>
      <c r="FN2270" s="15" t="inlineStr">
        <is>
          <t>San Alfonso 2141 (Ramón Subercaseaux 3060)</t>
        </is>
      </c>
      <c r="FO2270" s="15" t="inlineStr">
        <is>
          <t>Estacion Central</t>
        </is>
      </c>
      <c r="FP2270" t="inlineStr">
        <is>
          <t>B</t>
        </is>
      </c>
    </row>
    <row r="2271">
      <c r="FC2271" t="inlineStr">
        <is>
          <t>Diccionario 3</t>
        </is>
      </c>
      <c r="FD2271" s="15" t="inlineStr">
        <is>
          <t>VFPT47</t>
        </is>
      </c>
      <c r="FE2271" s="15" t="inlineStr">
        <is>
          <t>MDN35025020107</t>
        </is>
      </c>
      <c r="FF2271" s="15" t="inlineStr">
        <is>
          <t>LDYECS313S0044063</t>
        </is>
      </c>
      <c r="FG2271" s="15" t="inlineStr">
        <is>
          <t>Zhong Tong</t>
        </is>
      </c>
      <c r="FH2271" s="15" t="inlineStr">
        <is>
          <t>Lck6122evg</t>
        </is>
      </c>
      <c r="FI2271" s="15" t="inlineStr">
        <is>
          <t>ZHONGTONG</t>
        </is>
      </c>
      <c r="FJ2271" s="15" t="inlineStr">
        <is>
          <t>LCK6122EVG</t>
        </is>
      </c>
      <c r="FK2271" s="15" t="n">
        <v>2025</v>
      </c>
      <c r="FL2271" s="15" t="inlineStr">
        <is>
          <t>B</t>
        </is>
      </c>
      <c r="FM2271" s="15" t="inlineStr">
        <is>
          <t>PIE ANDINO</t>
        </is>
      </c>
      <c r="FN2271" s="15" t="inlineStr">
        <is>
          <t>Pie Andino 31 (Pie Andino 383)</t>
        </is>
      </c>
      <c r="FO2271" s="15" t="inlineStr">
        <is>
          <t>Puente Alto</t>
        </is>
      </c>
      <c r="FP2271" t="inlineStr">
        <is>
          <t>B</t>
        </is>
      </c>
    </row>
    <row r="2272">
      <c r="FC2272" t="inlineStr">
        <is>
          <t>Diccionario 3</t>
        </is>
      </c>
      <c r="FD2272" s="15" t="inlineStr">
        <is>
          <t>VFPT63</t>
        </is>
      </c>
      <c r="FE2272" s="15" t="inlineStr">
        <is>
          <t>MDN35025010243</t>
        </is>
      </c>
      <c r="FF2272" s="15" t="inlineStr">
        <is>
          <t>LDYECS310S0044053</t>
        </is>
      </c>
      <c r="FG2272" s="15" t="inlineStr">
        <is>
          <t>Zhong Tong</t>
        </is>
      </c>
      <c r="FH2272" s="15" t="inlineStr">
        <is>
          <t>Lck6122evg</t>
        </is>
      </c>
      <c r="FI2272" s="15" t="inlineStr">
        <is>
          <t>ZHONGTONG</t>
        </is>
      </c>
      <c r="FJ2272" s="15" t="inlineStr">
        <is>
          <t>LCK6122EVG</t>
        </is>
      </c>
      <c r="FK2272" s="15" t="n">
        <v>2025</v>
      </c>
      <c r="FL2272" s="15" t="inlineStr">
        <is>
          <t>B</t>
        </is>
      </c>
      <c r="FM2272" s="15" t="inlineStr">
        <is>
          <t>PIE ANDINO</t>
        </is>
      </c>
      <c r="FN2272" s="15" t="inlineStr">
        <is>
          <t>Pie Andino 31 (Pie Andino 383)</t>
        </is>
      </c>
      <c r="FO2272" s="15" t="inlineStr">
        <is>
          <t>Puente Alto</t>
        </is>
      </c>
      <c r="FP2272" t="inlineStr">
        <is>
          <t>B</t>
        </is>
      </c>
    </row>
    <row r="2273">
      <c r="FC2273" t="inlineStr">
        <is>
          <t>Diccionario 3</t>
        </is>
      </c>
      <c r="FD2273" s="15" t="inlineStr">
        <is>
          <t>VFPT64</t>
        </is>
      </c>
      <c r="FE2273" s="15" t="inlineStr">
        <is>
          <t>MDN35025020034</t>
        </is>
      </c>
      <c r="FF2273" s="15" t="inlineStr">
        <is>
          <t>LDYECS315S0044064</t>
        </is>
      </c>
      <c r="FG2273" s="15" t="inlineStr">
        <is>
          <t>Zhong Tong</t>
        </is>
      </c>
      <c r="FH2273" s="15" t="inlineStr">
        <is>
          <t>Lck6122evg</t>
        </is>
      </c>
      <c r="FI2273" s="15" t="inlineStr">
        <is>
          <t>ZHONGTONG</t>
        </is>
      </c>
      <c r="FJ2273" s="15" t="inlineStr">
        <is>
          <t>LCK6122EVG</t>
        </is>
      </c>
      <c r="FK2273" s="15" t="n">
        <v>2025</v>
      </c>
      <c r="FL2273" s="15" t="inlineStr">
        <is>
          <t>B</t>
        </is>
      </c>
      <c r="FM2273" s="15" t="inlineStr">
        <is>
          <t>PIE ANDINO</t>
        </is>
      </c>
      <c r="FN2273" s="15" t="inlineStr">
        <is>
          <t>Pie Andino 31 (Pie Andino 383)</t>
        </is>
      </c>
      <c r="FO2273" s="15" t="inlineStr">
        <is>
          <t>Puente Alto</t>
        </is>
      </c>
      <c r="FP2273" t="inlineStr">
        <is>
          <t>B</t>
        </is>
      </c>
    </row>
    <row r="2274">
      <c r="FC2274" t="inlineStr">
        <is>
          <t>Diccionario 3</t>
        </is>
      </c>
      <c r="FD2274" s="15" t="inlineStr">
        <is>
          <t>VFPT65</t>
        </is>
      </c>
      <c r="FE2274" s="15" t="inlineStr">
        <is>
          <t>MDN35025010187</t>
        </is>
      </c>
      <c r="FF2274" s="15" t="inlineStr">
        <is>
          <t>LDYECS318S0044043</t>
        </is>
      </c>
      <c r="FG2274" s="15" t="inlineStr">
        <is>
          <t>Zhong Tong</t>
        </is>
      </c>
      <c r="FH2274" s="15" t="inlineStr">
        <is>
          <t>Lck6122evg</t>
        </is>
      </c>
      <c r="FI2274" s="15" t="inlineStr">
        <is>
          <t>ZHONGTONG</t>
        </is>
      </c>
      <c r="FJ2274" s="15" t="inlineStr">
        <is>
          <t>LCK6122EVG</t>
        </is>
      </c>
      <c r="FK2274" s="15" t="n">
        <v>2025</v>
      </c>
      <c r="FL2274" s="15" t="inlineStr">
        <is>
          <t>B</t>
        </is>
      </c>
      <c r="FM2274" s="15" t="inlineStr">
        <is>
          <t>PIE ANDINO</t>
        </is>
      </c>
      <c r="FN2274" s="15" t="inlineStr">
        <is>
          <t>Pie Andino 31 (Pie Andino 383)</t>
        </is>
      </c>
      <c r="FO2274" s="15" t="inlineStr">
        <is>
          <t>Puente Alto</t>
        </is>
      </c>
      <c r="FP2274" t="inlineStr">
        <is>
          <t>B</t>
        </is>
      </c>
    </row>
    <row r="2275">
      <c r="FC2275" t="inlineStr">
        <is>
          <t>Diccionario 3</t>
        </is>
      </c>
      <c r="FD2275" s="15" t="inlineStr">
        <is>
          <t>VFPV53</t>
        </is>
      </c>
      <c r="FE2275" s="15" t="inlineStr">
        <is>
          <t>MDN35025010199</t>
        </is>
      </c>
      <c r="FF2275" s="15" t="inlineStr">
        <is>
          <t>LDYECS316S0044042</t>
        </is>
      </c>
      <c r="FG2275" s="15" t="inlineStr">
        <is>
          <t>Zhong Tong</t>
        </is>
      </c>
      <c r="FH2275" s="15" t="inlineStr">
        <is>
          <t>Lck6122evg</t>
        </is>
      </c>
      <c r="FI2275" s="15" t="inlineStr">
        <is>
          <t>ZHONGTONG</t>
        </is>
      </c>
      <c r="FJ2275" s="15" t="inlineStr">
        <is>
          <t>LCK6122EVG</t>
        </is>
      </c>
      <c r="FK2275" s="15" t="n">
        <v>2025</v>
      </c>
      <c r="FL2275" s="15" t="inlineStr">
        <is>
          <t>B</t>
        </is>
      </c>
      <c r="FM2275" s="15" t="inlineStr">
        <is>
          <t>PIE ANDINO</t>
        </is>
      </c>
      <c r="FN2275" s="15" t="inlineStr">
        <is>
          <t>Pie Andino 31 (Pie Andino 383)</t>
        </is>
      </c>
      <c r="FO2275" s="15" t="inlineStr">
        <is>
          <t>Puente Alto</t>
        </is>
      </c>
      <c r="FP2275" t="inlineStr">
        <is>
          <t>B</t>
        </is>
      </c>
    </row>
    <row r="2276">
      <c r="FC2276" t="inlineStr">
        <is>
          <t>Diccionario 3</t>
        </is>
      </c>
      <c r="FD2276" s="15" t="inlineStr">
        <is>
          <t>VFPV63</t>
        </is>
      </c>
      <c r="FE2276" s="15" t="inlineStr">
        <is>
          <t>MDN35025020089</t>
        </is>
      </c>
      <c r="FF2276" s="15" t="inlineStr">
        <is>
          <t>LDYECS317S0044048</t>
        </is>
      </c>
      <c r="FG2276" s="15" t="inlineStr">
        <is>
          <t>Zhong Tong</t>
        </is>
      </c>
      <c r="FH2276" s="15" t="inlineStr">
        <is>
          <t>Lck6122evg</t>
        </is>
      </c>
      <c r="FI2276" s="15" t="inlineStr">
        <is>
          <t>ZHONGTONG</t>
        </is>
      </c>
      <c r="FJ2276" s="15" t="inlineStr">
        <is>
          <t>LCK6122EVG</t>
        </is>
      </c>
      <c r="FK2276" s="15" t="n">
        <v>2025</v>
      </c>
      <c r="FL2276" s="15" t="inlineStr">
        <is>
          <t>B</t>
        </is>
      </c>
      <c r="FM2276" s="15" t="inlineStr">
        <is>
          <t>SAN ALFONSO</t>
        </is>
      </c>
      <c r="FN2276" s="15" t="inlineStr">
        <is>
          <t>San Alfonso 2141 (Ramón Subercaseaux 3060)</t>
        </is>
      </c>
      <c r="FO2276" s="15" t="inlineStr">
        <is>
          <t>Estacion Central</t>
        </is>
      </c>
      <c r="FP2276" t="inlineStr">
        <is>
          <t>B</t>
        </is>
      </c>
    </row>
    <row r="2277">
      <c r="FC2277" t="inlineStr">
        <is>
          <t>Diccionario 3</t>
        </is>
      </c>
      <c r="FD2277" s="15" t="inlineStr">
        <is>
          <t>VFPV73</t>
        </is>
      </c>
      <c r="FE2277" s="15" t="inlineStr">
        <is>
          <t>MDN35025020078</t>
        </is>
      </c>
      <c r="FF2277" s="15" t="inlineStr">
        <is>
          <t>LDYECS311S0044062</t>
        </is>
      </c>
      <c r="FG2277" s="15" t="inlineStr">
        <is>
          <t>Zhong Tong</t>
        </is>
      </c>
      <c r="FH2277" s="15" t="inlineStr">
        <is>
          <t>Lck6122evg</t>
        </is>
      </c>
      <c r="FI2277" s="15" t="inlineStr">
        <is>
          <t>ZHONGTONG</t>
        </is>
      </c>
      <c r="FJ2277" s="15" t="inlineStr">
        <is>
          <t>LCK6122EVG</t>
        </is>
      </c>
      <c r="FK2277" s="15" t="n">
        <v>2025</v>
      </c>
      <c r="FL2277" s="15" t="inlineStr">
        <is>
          <t>B</t>
        </is>
      </c>
      <c r="FM2277" s="15" t="inlineStr">
        <is>
          <t>SAN ALFONSO</t>
        </is>
      </c>
      <c r="FN2277" s="15" t="inlineStr">
        <is>
          <t>San Alfonso 2141 (Ramón Subercaseaux 3060)</t>
        </is>
      </c>
      <c r="FO2277" s="15" t="inlineStr">
        <is>
          <t>Estacion Central</t>
        </is>
      </c>
      <c r="FP2277" t="inlineStr">
        <is>
          <t>B</t>
        </is>
      </c>
    </row>
    <row r="2278">
      <c r="FC2278" t="inlineStr">
        <is>
          <t>Diccionario 3</t>
        </is>
      </c>
      <c r="FD2278" s="15" t="inlineStr">
        <is>
          <t>VFPV83</t>
        </is>
      </c>
      <c r="FE2278" s="15" t="inlineStr">
        <is>
          <t>MDN35025020036</t>
        </is>
      </c>
      <c r="FF2278" s="15" t="inlineStr">
        <is>
          <t>LDYECS319S0044066</t>
        </is>
      </c>
      <c r="FG2278" s="15" t="inlineStr">
        <is>
          <t>Zhong Tong</t>
        </is>
      </c>
      <c r="FH2278" s="15" t="inlineStr">
        <is>
          <t>Lck6122evg</t>
        </is>
      </c>
      <c r="FI2278" s="15" t="inlineStr">
        <is>
          <t>ZHONGTONG</t>
        </is>
      </c>
      <c r="FJ2278" s="15" t="inlineStr">
        <is>
          <t>LCK6122EVG</t>
        </is>
      </c>
      <c r="FK2278" s="15" t="n">
        <v>2025</v>
      </c>
      <c r="FL2278" s="15" t="inlineStr">
        <is>
          <t>B</t>
        </is>
      </c>
      <c r="FM2278" s="15" t="inlineStr">
        <is>
          <t>PIE ANDINO</t>
        </is>
      </c>
      <c r="FN2278" s="15" t="inlineStr">
        <is>
          <t>Pie Andino 31 (Pie Andino 383)</t>
        </is>
      </c>
      <c r="FO2278" s="15" t="inlineStr">
        <is>
          <t>Puente Alto</t>
        </is>
      </c>
      <c r="FP2278" t="inlineStr">
        <is>
          <t>B</t>
        </is>
      </c>
    </row>
    <row r="2279">
      <c r="FC2279" t="inlineStr">
        <is>
          <t>Diccionario 3</t>
        </is>
      </c>
      <c r="FD2279" s="15" t="inlineStr">
        <is>
          <t>VFPV93</t>
        </is>
      </c>
      <c r="FE2279" s="15" t="inlineStr">
        <is>
          <t>MDN35025020126</t>
        </is>
      </c>
      <c r="FF2279" s="15" t="inlineStr">
        <is>
          <t>LDYECS318S0044074</t>
        </is>
      </c>
      <c r="FG2279" s="15" t="inlineStr">
        <is>
          <t>Zhong Tong</t>
        </is>
      </c>
      <c r="FH2279" s="15" t="inlineStr">
        <is>
          <t>Lck6122evg</t>
        </is>
      </c>
      <c r="FI2279" s="15" t="inlineStr">
        <is>
          <t>ZHONGTONG</t>
        </is>
      </c>
      <c r="FJ2279" s="15" t="inlineStr">
        <is>
          <t>LCK6122EVG</t>
        </is>
      </c>
      <c r="FK2279" s="15" t="n">
        <v>2025</v>
      </c>
      <c r="FL2279" s="15" t="inlineStr">
        <is>
          <t>B</t>
        </is>
      </c>
      <c r="FM2279" s="15" t="inlineStr">
        <is>
          <t>PIE ANDINO</t>
        </is>
      </c>
      <c r="FN2279" s="15" t="inlineStr">
        <is>
          <t>Pie Andino 31 (Pie Andino 383)</t>
        </is>
      </c>
      <c r="FO2279" s="15" t="inlineStr">
        <is>
          <t>Puente Alto</t>
        </is>
      </c>
      <c r="FP2279" t="inlineStr">
        <is>
          <t>B</t>
        </is>
      </c>
    </row>
    <row r="2280">
      <c r="FC2280" t="inlineStr">
        <is>
          <t>Diccionario 3</t>
        </is>
      </c>
      <c r="FD2280" s="15" t="inlineStr">
        <is>
          <t>VFPW13</t>
        </is>
      </c>
      <c r="FE2280" s="15" t="inlineStr">
        <is>
          <t>MDN35025010041</t>
        </is>
      </c>
      <c r="FF2280" s="15" t="inlineStr">
        <is>
          <t>LDYECS315S0043819</t>
        </is>
      </c>
      <c r="FG2280" s="15" t="inlineStr">
        <is>
          <t>Zhong Tong</t>
        </is>
      </c>
      <c r="FH2280" s="15" t="inlineStr">
        <is>
          <t>Lck6122evg</t>
        </is>
      </c>
      <c r="FI2280" s="15" t="inlineStr">
        <is>
          <t>ZHONGTONG</t>
        </is>
      </c>
      <c r="FJ2280" s="15" t="inlineStr">
        <is>
          <t>LCK6122EVG</t>
        </is>
      </c>
      <c r="FK2280" s="15" t="n">
        <v>2025</v>
      </c>
      <c r="FL2280" s="15" t="inlineStr">
        <is>
          <t>B</t>
        </is>
      </c>
      <c r="FM2280" s="15" t="inlineStr">
        <is>
          <t>SAN ALFONSO</t>
        </is>
      </c>
      <c r="FN2280" s="15" t="inlineStr">
        <is>
          <t>San Alfonso 2141 (Ramón Subercaseaux 3060)</t>
        </is>
      </c>
      <c r="FO2280" s="15" t="inlineStr">
        <is>
          <t>Estacion Central</t>
        </is>
      </c>
      <c r="FP2280" t="inlineStr">
        <is>
          <t>B</t>
        </is>
      </c>
    </row>
    <row r="2281">
      <c r="FC2281" t="inlineStr">
        <is>
          <t>Diccionario 3</t>
        </is>
      </c>
      <c r="FD2281" s="15" t="inlineStr">
        <is>
          <t>VFPW23</t>
        </is>
      </c>
      <c r="FE2281" s="15" t="inlineStr">
        <is>
          <t>MDN35025020021</t>
        </is>
      </c>
      <c r="FF2281" s="15" t="inlineStr">
        <is>
          <t>LDYECS316S0044106</t>
        </is>
      </c>
      <c r="FG2281" s="15" t="inlineStr">
        <is>
          <t>Zhong Tong</t>
        </is>
      </c>
      <c r="FH2281" s="15" t="inlineStr">
        <is>
          <t>Lck6122evg</t>
        </is>
      </c>
      <c r="FI2281" s="15" t="inlineStr">
        <is>
          <t>ZHONGTONG</t>
        </is>
      </c>
      <c r="FJ2281" s="15" t="inlineStr">
        <is>
          <t>LCK6122EVG</t>
        </is>
      </c>
      <c r="FK2281" s="15" t="n">
        <v>2025</v>
      </c>
      <c r="FL2281" s="15" t="inlineStr">
        <is>
          <t>B</t>
        </is>
      </c>
      <c r="FM2281" s="15" t="inlineStr">
        <is>
          <t>SAN ALFONSO</t>
        </is>
      </c>
      <c r="FN2281" s="15" t="inlineStr">
        <is>
          <t>San Alfonso 2141 (Ramón Subercaseaux 3060)</t>
        </is>
      </c>
      <c r="FO2281" s="15" t="inlineStr">
        <is>
          <t>Estacion Central</t>
        </is>
      </c>
      <c r="FP2281" t="inlineStr">
        <is>
          <t>B</t>
        </is>
      </c>
    </row>
    <row r="2282">
      <c r="FC2282" t="inlineStr">
        <is>
          <t>Diccionario 3</t>
        </is>
      </c>
      <c r="FD2282" s="15" t="inlineStr">
        <is>
          <t>VFPW33</t>
        </is>
      </c>
      <c r="FE2282" s="15" t="inlineStr">
        <is>
          <t>MDN35025020102</t>
        </is>
      </c>
      <c r="FF2282" s="15" t="inlineStr">
        <is>
          <t>LDYECS31XS0044044</t>
        </is>
      </c>
      <c r="FG2282" s="15" t="inlineStr">
        <is>
          <t>Zhong Tong</t>
        </is>
      </c>
      <c r="FH2282" s="15" t="inlineStr">
        <is>
          <t>Lck6122evg</t>
        </is>
      </c>
      <c r="FI2282" s="15" t="inlineStr">
        <is>
          <t>ZHONGTONG</t>
        </is>
      </c>
      <c r="FJ2282" s="15" t="inlineStr">
        <is>
          <t>LCK6122EVG</t>
        </is>
      </c>
      <c r="FK2282" s="15" t="n">
        <v>2025</v>
      </c>
      <c r="FL2282" s="15" t="inlineStr">
        <is>
          <t>B</t>
        </is>
      </c>
      <c r="FM2282" s="15" t="inlineStr">
        <is>
          <t>SAN ALFONSO</t>
        </is>
      </c>
      <c r="FN2282" s="15" t="inlineStr">
        <is>
          <t>San Alfonso 2141 (Ramón Subercaseaux 3060)</t>
        </is>
      </c>
      <c r="FO2282" s="15" t="inlineStr">
        <is>
          <t>Estacion Central</t>
        </is>
      </c>
      <c r="FP2282" t="inlineStr">
        <is>
          <t>B</t>
        </is>
      </c>
    </row>
    <row r="2283">
      <c r="FC2283" t="inlineStr">
        <is>
          <t>Diccionario 3</t>
        </is>
      </c>
      <c r="FD2283" s="15" t="inlineStr">
        <is>
          <t>VFPW63</t>
        </is>
      </c>
      <c r="FE2283" s="15" t="inlineStr">
        <is>
          <t>MDN35025020003</t>
        </is>
      </c>
      <c r="FF2283" s="15" t="inlineStr">
        <is>
          <t>LDYECS314S0044069</t>
        </is>
      </c>
      <c r="FG2283" s="15" t="inlineStr">
        <is>
          <t>Zhong Tong</t>
        </is>
      </c>
      <c r="FH2283" s="15" t="inlineStr">
        <is>
          <t>Lck6122evg</t>
        </is>
      </c>
      <c r="FI2283" s="15" t="inlineStr">
        <is>
          <t>ZHONGTONG</t>
        </is>
      </c>
      <c r="FJ2283" s="15" t="inlineStr">
        <is>
          <t>LCK6122EVG</t>
        </is>
      </c>
      <c r="FK2283" s="15" t="n">
        <v>2025</v>
      </c>
      <c r="FL2283" s="15" t="inlineStr">
        <is>
          <t>B</t>
        </is>
      </c>
      <c r="FM2283" s="15" t="inlineStr">
        <is>
          <t>PIE ANDINO</t>
        </is>
      </c>
      <c r="FN2283" s="15" t="inlineStr">
        <is>
          <t>Pie Andino 31 (Pie Andino 383)</t>
        </is>
      </c>
      <c r="FO2283" s="15" t="inlineStr">
        <is>
          <t>Puente Alto</t>
        </is>
      </c>
      <c r="FP2283" t="inlineStr">
        <is>
          <t>B</t>
        </is>
      </c>
    </row>
    <row r="2284">
      <c r="FC2284" t="inlineStr">
        <is>
          <t>Diccionario 3</t>
        </is>
      </c>
      <c r="FD2284" s="15" t="inlineStr">
        <is>
          <t>VFPW73</t>
        </is>
      </c>
      <c r="FE2284" s="15" t="inlineStr">
        <is>
          <t>MDN35025020091</t>
        </is>
      </c>
      <c r="FF2284" s="15" t="inlineStr">
        <is>
          <t>LDYECS313S0044046</t>
        </is>
      </c>
      <c r="FG2284" s="15" t="inlineStr">
        <is>
          <t>Zhong Tong</t>
        </is>
      </c>
      <c r="FH2284" s="15" t="inlineStr">
        <is>
          <t>Lck6122evg</t>
        </is>
      </c>
      <c r="FI2284" s="15" t="inlineStr">
        <is>
          <t>ZHONGTONG</t>
        </is>
      </c>
      <c r="FJ2284" s="15" t="inlineStr">
        <is>
          <t>LCK6122EVG</t>
        </is>
      </c>
      <c r="FK2284" s="15" t="n">
        <v>2025</v>
      </c>
      <c r="FL2284" s="15" t="inlineStr">
        <is>
          <t>B</t>
        </is>
      </c>
      <c r="FM2284" s="15" t="inlineStr">
        <is>
          <t>SAN ALFONSO</t>
        </is>
      </c>
      <c r="FN2284" s="15" t="inlineStr">
        <is>
          <t>San Alfonso 2141 (Ramón Subercaseaux 3060)</t>
        </is>
      </c>
      <c r="FO2284" s="15" t="inlineStr">
        <is>
          <t>Estacion Central</t>
        </is>
      </c>
      <c r="FP2284" t="inlineStr">
        <is>
          <t>B</t>
        </is>
      </c>
    </row>
    <row r="2285">
      <c r="FC2285" t="inlineStr">
        <is>
          <t>Diccionario 3</t>
        </is>
      </c>
      <c r="FD2285" s="15" t="inlineStr">
        <is>
          <t>VFPX13</t>
        </is>
      </c>
      <c r="FE2285" s="15" t="inlineStr">
        <is>
          <t>MDN35025020039</t>
        </is>
      </c>
      <c r="FF2285" s="15" t="inlineStr">
        <is>
          <t>LDYECS312S0044071</t>
        </is>
      </c>
      <c r="FG2285" s="15" t="inlineStr">
        <is>
          <t>Zhong Tong</t>
        </is>
      </c>
      <c r="FH2285" s="15" t="inlineStr">
        <is>
          <t>Lck6122evg</t>
        </is>
      </c>
      <c r="FI2285" s="15" t="inlineStr">
        <is>
          <t>ZHONGTONG</t>
        </is>
      </c>
      <c r="FJ2285" s="15" t="inlineStr">
        <is>
          <t>LCK6122EVG</t>
        </is>
      </c>
      <c r="FK2285" s="15" t="n">
        <v>2025</v>
      </c>
      <c r="FL2285" s="15" t="inlineStr">
        <is>
          <t>B</t>
        </is>
      </c>
      <c r="FM2285" s="15" t="inlineStr">
        <is>
          <t>SAN ALFONSO</t>
        </is>
      </c>
      <c r="FN2285" s="15" t="inlineStr">
        <is>
          <t>San Alfonso 2141 (Ramón Subercaseaux 3060)</t>
        </is>
      </c>
      <c r="FO2285" s="15" t="inlineStr">
        <is>
          <t>Estacion Central</t>
        </is>
      </c>
      <c r="FP2285" t="inlineStr">
        <is>
          <t>B</t>
        </is>
      </c>
    </row>
    <row r="2286">
      <c r="FC2286" t="inlineStr">
        <is>
          <t>Diccionario 3</t>
        </is>
      </c>
      <c r="FD2286" s="15" t="inlineStr">
        <is>
          <t>VFPX33</t>
        </is>
      </c>
      <c r="FE2286" s="15" t="inlineStr">
        <is>
          <t>MDN35025020085</t>
        </is>
      </c>
      <c r="FF2286" s="15" t="inlineStr">
        <is>
          <t>LDYECS311S0044076</t>
        </is>
      </c>
      <c r="FG2286" s="15" t="inlineStr">
        <is>
          <t>Zhong Tong</t>
        </is>
      </c>
      <c r="FH2286" s="15" t="inlineStr">
        <is>
          <t>Lck6122evg</t>
        </is>
      </c>
      <c r="FI2286" s="15" t="inlineStr">
        <is>
          <t>ZHONGTONG</t>
        </is>
      </c>
      <c r="FJ2286" s="15" t="inlineStr">
        <is>
          <t>LCK6122EVG</t>
        </is>
      </c>
      <c r="FK2286" s="15" t="n">
        <v>2025</v>
      </c>
      <c r="FL2286" s="15" t="inlineStr">
        <is>
          <t>B</t>
        </is>
      </c>
      <c r="FM2286" s="15" t="inlineStr">
        <is>
          <t>SAN ALFONSO</t>
        </is>
      </c>
      <c r="FN2286" s="15" t="inlineStr">
        <is>
          <t>San Alfonso 2141 (Ramón Subercaseaux 3060)</t>
        </is>
      </c>
      <c r="FO2286" s="15" t="inlineStr">
        <is>
          <t>Estacion Central</t>
        </is>
      </c>
      <c r="FP2286" t="inlineStr">
        <is>
          <t>B</t>
        </is>
      </c>
    </row>
    <row r="2287">
      <c r="FC2287" t="inlineStr">
        <is>
          <t>Diccionario 3</t>
        </is>
      </c>
      <c r="FD2287" s="15" t="inlineStr">
        <is>
          <t>VFPX53</t>
        </is>
      </c>
      <c r="FE2287" s="15" t="inlineStr">
        <is>
          <t>MDN35025010194</t>
        </is>
      </c>
      <c r="FF2287" s="15" t="inlineStr">
        <is>
          <t>LDYECS311S0044059</t>
        </is>
      </c>
      <c r="FG2287" s="15" t="inlineStr">
        <is>
          <t>Zhong Tong</t>
        </is>
      </c>
      <c r="FH2287" s="15" t="inlineStr">
        <is>
          <t>Lck6122evg</t>
        </is>
      </c>
      <c r="FI2287" s="15" t="inlineStr">
        <is>
          <t>ZHONGTONG</t>
        </is>
      </c>
      <c r="FJ2287" s="15" t="inlineStr">
        <is>
          <t>LCK6122EVG</t>
        </is>
      </c>
      <c r="FK2287" s="15" t="n">
        <v>2025</v>
      </c>
      <c r="FL2287" s="15" t="inlineStr">
        <is>
          <t>B</t>
        </is>
      </c>
      <c r="FM2287" s="15" t="inlineStr">
        <is>
          <t>PIE ANDINO</t>
        </is>
      </c>
      <c r="FN2287" s="15" t="inlineStr">
        <is>
          <t>Pie Andino 31 (Pie Andino 383)</t>
        </is>
      </c>
      <c r="FO2287" s="15" t="inlineStr">
        <is>
          <t>Puente Alto</t>
        </is>
      </c>
      <c r="FP2287" t="inlineStr">
        <is>
          <t>B</t>
        </is>
      </c>
    </row>
    <row r="2288">
      <c r="FC2288" t="inlineStr">
        <is>
          <t>Diccionario 3</t>
        </is>
      </c>
      <c r="FD2288" s="15" t="inlineStr">
        <is>
          <t>VFPX63</t>
        </is>
      </c>
      <c r="FE2288" s="15" t="inlineStr">
        <is>
          <t>MDN35025010098</t>
        </is>
      </c>
      <c r="FF2288" s="15" t="inlineStr">
        <is>
          <t>LDYECS31XS0044111</t>
        </is>
      </c>
      <c r="FG2288" s="15" t="inlineStr">
        <is>
          <t>Zhong Tong</t>
        </is>
      </c>
      <c r="FH2288" s="15" t="inlineStr">
        <is>
          <t>Lck6122evg</t>
        </is>
      </c>
      <c r="FI2288" s="15" t="inlineStr">
        <is>
          <t>ZHONGTONG</t>
        </is>
      </c>
      <c r="FJ2288" s="15" t="inlineStr">
        <is>
          <t>LCK6122EVG</t>
        </is>
      </c>
      <c r="FK2288" s="15" t="n">
        <v>2025</v>
      </c>
      <c r="FL2288" s="15" t="inlineStr">
        <is>
          <t>B</t>
        </is>
      </c>
      <c r="FM2288" s="15" t="inlineStr">
        <is>
          <t>PIE ANDINO</t>
        </is>
      </c>
      <c r="FN2288" s="15" t="inlineStr">
        <is>
          <t>Pie Andino 31 (Pie Andino 383)</t>
        </is>
      </c>
      <c r="FO2288" s="15" t="inlineStr">
        <is>
          <t>Puente Alto</t>
        </is>
      </c>
      <c r="FP2288" t="inlineStr">
        <is>
          <t>B</t>
        </is>
      </c>
    </row>
    <row r="2289">
      <c r="FC2289" t="inlineStr">
        <is>
          <t>Diccionario 3</t>
        </is>
      </c>
      <c r="FD2289" s="15" t="inlineStr">
        <is>
          <t>VFPX83</t>
        </is>
      </c>
      <c r="FE2289" s="15" t="inlineStr">
        <is>
          <t>MDN35025020037</t>
        </is>
      </c>
      <c r="FF2289" s="15" t="inlineStr">
        <is>
          <t>LDYECS310S0044070</t>
        </is>
      </c>
      <c r="FG2289" s="15" t="inlineStr">
        <is>
          <t>Zhong Tong</t>
        </is>
      </c>
      <c r="FH2289" s="15" t="inlineStr">
        <is>
          <t>Lck6122evg</t>
        </is>
      </c>
      <c r="FI2289" s="15" t="inlineStr">
        <is>
          <t>ZHONGTONG</t>
        </is>
      </c>
      <c r="FJ2289" s="15" t="inlineStr">
        <is>
          <t>LCK6122EVG</t>
        </is>
      </c>
      <c r="FK2289" s="15" t="n">
        <v>2025</v>
      </c>
      <c r="FL2289" s="15" t="inlineStr">
        <is>
          <t>B</t>
        </is>
      </c>
      <c r="FM2289" s="15" t="inlineStr">
        <is>
          <t>PIE ANDINO</t>
        </is>
      </c>
      <c r="FN2289" s="15" t="inlineStr">
        <is>
          <t>Pie Andino 31 (Pie Andino 383)</t>
        </is>
      </c>
      <c r="FO2289" s="15" t="inlineStr">
        <is>
          <t>Puente Alto</t>
        </is>
      </c>
      <c r="FP2289" t="inlineStr">
        <is>
          <t>B</t>
        </is>
      </c>
    </row>
    <row r="2290">
      <c r="FC2290" t="inlineStr">
        <is>
          <t>Diccionario 3</t>
        </is>
      </c>
      <c r="FD2290" s="15" t="inlineStr">
        <is>
          <t>VFPX93</t>
        </is>
      </c>
      <c r="FE2290" s="15" t="inlineStr">
        <is>
          <t>MDN35025020023</t>
        </is>
      </c>
      <c r="FF2290" s="15" t="inlineStr">
        <is>
          <t>LDYECS310S0044067</t>
        </is>
      </c>
      <c r="FG2290" s="15" t="inlineStr">
        <is>
          <t>Zhong Tong</t>
        </is>
      </c>
      <c r="FH2290" s="15" t="inlineStr">
        <is>
          <t>Lck6122evg</t>
        </is>
      </c>
      <c r="FI2290" s="15" t="inlineStr">
        <is>
          <t>ZHONGTONG</t>
        </is>
      </c>
      <c r="FJ2290" s="15" t="inlineStr">
        <is>
          <t>LCK6122EVG</t>
        </is>
      </c>
      <c r="FK2290" s="15" t="n">
        <v>2025</v>
      </c>
      <c r="FL2290" s="15" t="inlineStr">
        <is>
          <t>B</t>
        </is>
      </c>
      <c r="FM2290" s="15" t="inlineStr">
        <is>
          <t>PIE ANDINO</t>
        </is>
      </c>
      <c r="FN2290" s="15" t="inlineStr">
        <is>
          <t>Pie Andino 31 (Pie Andino 383)</t>
        </is>
      </c>
      <c r="FO2290" s="15" t="inlineStr">
        <is>
          <t>Puente Alto</t>
        </is>
      </c>
      <c r="FP2290" t="inlineStr">
        <is>
          <t>B</t>
        </is>
      </c>
    </row>
    <row r="2291">
      <c r="FC2291" t="inlineStr">
        <is>
          <t>Diccionario 3</t>
        </is>
      </c>
      <c r="FD2291" s="15" t="inlineStr">
        <is>
          <t>VFPY13</t>
        </is>
      </c>
      <c r="FE2291" s="15" t="inlineStr">
        <is>
          <t>MDN35025010218</t>
        </is>
      </c>
      <c r="FF2291" s="15" t="inlineStr">
        <is>
          <t>LDYECS316S0044087</t>
        </is>
      </c>
      <c r="FG2291" s="15" t="inlineStr">
        <is>
          <t>Zhong Tong</t>
        </is>
      </c>
      <c r="FH2291" s="15" t="inlineStr">
        <is>
          <t>Lck6122evg</t>
        </is>
      </c>
      <c r="FI2291" s="15" t="inlineStr">
        <is>
          <t>ZHONGTONG</t>
        </is>
      </c>
      <c r="FJ2291" s="15" t="inlineStr">
        <is>
          <t>LCK6122EVG</t>
        </is>
      </c>
      <c r="FK2291" s="15" t="n">
        <v>2025</v>
      </c>
      <c r="FL2291" s="15" t="inlineStr">
        <is>
          <t>B</t>
        </is>
      </c>
      <c r="FM2291" s="15" t="inlineStr">
        <is>
          <t>SAN ALFONSO</t>
        </is>
      </c>
      <c r="FN2291" s="15" t="inlineStr">
        <is>
          <t>San Alfonso 2141 (Ramón Subercaseaux 3060)</t>
        </is>
      </c>
      <c r="FO2291" s="15" t="inlineStr">
        <is>
          <t>Estacion Central</t>
        </is>
      </c>
      <c r="FP2291" t="inlineStr">
        <is>
          <t>B</t>
        </is>
      </c>
    </row>
    <row r="2292">
      <c r="FC2292" t="inlineStr">
        <is>
          <t>Diccionario 3</t>
        </is>
      </c>
      <c r="FD2292" s="15" t="inlineStr">
        <is>
          <t>VFPY23</t>
        </is>
      </c>
      <c r="FE2292" s="15" t="inlineStr">
        <is>
          <t>MDN35025020098</t>
        </is>
      </c>
      <c r="FF2292" s="15" t="inlineStr">
        <is>
          <t>LDYECS315S0044095</t>
        </is>
      </c>
      <c r="FG2292" s="15" t="inlineStr">
        <is>
          <t>Zhong Tong</t>
        </is>
      </c>
      <c r="FH2292" s="15" t="inlineStr">
        <is>
          <t>Lck6122evg</t>
        </is>
      </c>
      <c r="FI2292" s="15" t="inlineStr">
        <is>
          <t>ZHONGTONG</t>
        </is>
      </c>
      <c r="FJ2292" s="15" t="inlineStr">
        <is>
          <t>LCK6122EVG</t>
        </is>
      </c>
      <c r="FK2292" s="15" t="n">
        <v>2025</v>
      </c>
      <c r="FL2292" s="15" t="inlineStr">
        <is>
          <t>B</t>
        </is>
      </c>
      <c r="FM2292" s="15" t="inlineStr">
        <is>
          <t>PIE ANDINO</t>
        </is>
      </c>
      <c r="FN2292" s="15" t="inlineStr">
        <is>
          <t>Pie Andino 31 (Pie Andino 383)</t>
        </is>
      </c>
      <c r="FO2292" s="15" t="inlineStr">
        <is>
          <t>Puente Alto</t>
        </is>
      </c>
      <c r="FP2292" t="inlineStr">
        <is>
          <t>B</t>
        </is>
      </c>
    </row>
    <row r="2293">
      <c r="FC2293" t="inlineStr">
        <is>
          <t>Diccionario 3</t>
        </is>
      </c>
      <c r="FD2293" s="15" t="inlineStr">
        <is>
          <t>VFPY33</t>
        </is>
      </c>
      <c r="FE2293" s="15" t="inlineStr">
        <is>
          <t>MDN35025020038</t>
        </is>
      </c>
      <c r="FF2293" s="15" t="inlineStr">
        <is>
          <t>LDYECS317S0044065</t>
        </is>
      </c>
      <c r="FG2293" s="15" t="inlineStr">
        <is>
          <t>Zhong Tong</t>
        </is>
      </c>
      <c r="FH2293" s="15" t="inlineStr">
        <is>
          <t>Lck6122evg</t>
        </is>
      </c>
      <c r="FI2293" s="15" t="inlineStr">
        <is>
          <t>ZHONGTONG</t>
        </is>
      </c>
      <c r="FJ2293" s="15" t="inlineStr">
        <is>
          <t>LCK6122EVG</t>
        </is>
      </c>
      <c r="FK2293" s="15" t="n">
        <v>2025</v>
      </c>
      <c r="FL2293" s="15" t="inlineStr">
        <is>
          <t>B</t>
        </is>
      </c>
      <c r="FM2293" s="15" t="inlineStr">
        <is>
          <t>PIE ANDINO</t>
        </is>
      </c>
      <c r="FN2293" s="15" t="inlineStr">
        <is>
          <t>Pie Andino 31 (Pie Andino 383)</t>
        </is>
      </c>
      <c r="FO2293" s="15" t="inlineStr">
        <is>
          <t>Puente Alto</t>
        </is>
      </c>
      <c r="FP2293" t="inlineStr">
        <is>
          <t>B</t>
        </is>
      </c>
    </row>
    <row r="2294">
      <c r="FC2294" t="inlineStr">
        <is>
          <t>Diccionario 3</t>
        </is>
      </c>
      <c r="FD2294" s="15" t="inlineStr">
        <is>
          <t>VFPY43</t>
        </is>
      </c>
      <c r="FE2294" s="15" t="inlineStr">
        <is>
          <t>MDN35025010188</t>
        </is>
      </c>
      <c r="FF2294" s="15" t="inlineStr">
        <is>
          <t>LDYECS314S0044072</t>
        </is>
      </c>
      <c r="FG2294" s="15" t="inlineStr">
        <is>
          <t>Zhong Tong</t>
        </is>
      </c>
      <c r="FH2294" s="15" t="inlineStr">
        <is>
          <t>Lck6122evg</t>
        </is>
      </c>
      <c r="FI2294" s="15" t="inlineStr">
        <is>
          <t>ZHONGTONG</t>
        </is>
      </c>
      <c r="FJ2294" s="15" t="inlineStr">
        <is>
          <t>LCK6122EVG</t>
        </is>
      </c>
      <c r="FK2294" s="15" t="n">
        <v>2025</v>
      </c>
      <c r="FL2294" s="15" t="inlineStr">
        <is>
          <t>B</t>
        </is>
      </c>
      <c r="FM2294" s="15" t="inlineStr">
        <is>
          <t>SAN ALFONSO</t>
        </is>
      </c>
      <c r="FN2294" s="15" t="inlineStr">
        <is>
          <t>San Alfonso 2141 (Ramón Subercaseaux 3060)</t>
        </is>
      </c>
      <c r="FO2294" s="15" t="inlineStr">
        <is>
          <t>Estacion Central</t>
        </is>
      </c>
      <c r="FP2294" t="inlineStr">
        <is>
          <t>B</t>
        </is>
      </c>
    </row>
    <row r="2295">
      <c r="FC2295" t="inlineStr">
        <is>
          <t>Diccionario 3</t>
        </is>
      </c>
      <c r="FD2295" s="15" t="inlineStr">
        <is>
          <t>VFPZ27</t>
        </is>
      </c>
      <c r="FE2295" s="15" t="inlineStr">
        <is>
          <t>MDN35025010203</t>
        </is>
      </c>
      <c r="FF2295" s="15" t="inlineStr">
        <is>
          <t>LDYECS311S0044109</t>
        </is>
      </c>
      <c r="FG2295" s="15" t="inlineStr">
        <is>
          <t>Zhong Tong</t>
        </is>
      </c>
      <c r="FH2295" s="15" t="inlineStr">
        <is>
          <t>Lck6122evg</t>
        </is>
      </c>
      <c r="FI2295" s="15" t="inlineStr">
        <is>
          <t>ZHONGTONG</t>
        </is>
      </c>
      <c r="FJ2295" s="15" t="inlineStr">
        <is>
          <t>LCK6122EVG</t>
        </is>
      </c>
      <c r="FK2295" s="15" t="n">
        <v>2025</v>
      </c>
      <c r="FL2295" s="15" t="inlineStr">
        <is>
          <t>B</t>
        </is>
      </c>
      <c r="FM2295" s="15" t="inlineStr">
        <is>
          <t>SAN ALFONSO</t>
        </is>
      </c>
      <c r="FN2295" s="15" t="inlineStr">
        <is>
          <t>San Alfonso 2141 (Ramón Subercaseaux 3060)</t>
        </is>
      </c>
      <c r="FO2295" s="15" t="inlineStr">
        <is>
          <t>Estacion Central</t>
        </is>
      </c>
      <c r="FP2295" t="inlineStr">
        <is>
          <t>B</t>
        </is>
      </c>
    </row>
    <row r="2296">
      <c r="FC2296" t="inlineStr">
        <is>
          <t>Diccionario 3</t>
        </is>
      </c>
      <c r="FD2296" s="15" t="inlineStr">
        <is>
          <t>VFPZ38</t>
        </is>
      </c>
      <c r="FE2296" s="15" t="inlineStr">
        <is>
          <t>MDN35025010193</t>
        </is>
      </c>
      <c r="FF2296" s="15" t="inlineStr">
        <is>
          <t>LDYECS312S0044068</t>
        </is>
      </c>
      <c r="FG2296" s="15" t="inlineStr">
        <is>
          <t>Zhong Tong</t>
        </is>
      </c>
      <c r="FH2296" s="15" t="inlineStr">
        <is>
          <t>Lck6122evg</t>
        </is>
      </c>
      <c r="FI2296" s="15" t="inlineStr">
        <is>
          <t>ZHONGTONG</t>
        </is>
      </c>
      <c r="FJ2296" s="15" t="inlineStr">
        <is>
          <t>LCK6122EVG</t>
        </is>
      </c>
      <c r="FK2296" s="15" t="n">
        <v>2025</v>
      </c>
      <c r="FL2296" s="15" t="inlineStr">
        <is>
          <t>B</t>
        </is>
      </c>
      <c r="FM2296" s="15" t="inlineStr">
        <is>
          <t>SAN ALFONSO</t>
        </is>
      </c>
      <c r="FN2296" s="15" t="inlineStr">
        <is>
          <t>San Alfonso 2141 (Ramón Subercaseaux 3060)</t>
        </is>
      </c>
      <c r="FO2296" s="15" t="inlineStr">
        <is>
          <t>Estacion Central</t>
        </is>
      </c>
      <c r="FP2296" t="inlineStr">
        <is>
          <t>B</t>
        </is>
      </c>
    </row>
    <row r="2297">
      <c r="FC2297" t="inlineStr">
        <is>
          <t>Diccionario 3</t>
        </is>
      </c>
      <c r="FD2297" s="15" t="inlineStr">
        <is>
          <t>VFPZ39</t>
        </is>
      </c>
      <c r="FE2297" s="15" t="inlineStr">
        <is>
          <t>MDN35025020011</t>
        </is>
      </c>
      <c r="FF2297" s="15" t="inlineStr">
        <is>
          <t>LDYECS316S0044090</t>
        </is>
      </c>
      <c r="FG2297" s="15" t="inlineStr">
        <is>
          <t>Zhong Tong</t>
        </is>
      </c>
      <c r="FH2297" s="15" t="inlineStr">
        <is>
          <t>Lck6122evg</t>
        </is>
      </c>
      <c r="FI2297" s="15" t="inlineStr">
        <is>
          <t>ZHONGTONG</t>
        </is>
      </c>
      <c r="FJ2297" s="15" t="inlineStr">
        <is>
          <t>LCK6122EVG</t>
        </is>
      </c>
      <c r="FK2297" s="15" t="n">
        <v>2025</v>
      </c>
      <c r="FL2297" s="15" t="inlineStr">
        <is>
          <t>B</t>
        </is>
      </c>
      <c r="FM2297" s="15" t="inlineStr">
        <is>
          <t>SAN ALFONSO</t>
        </is>
      </c>
      <c r="FN2297" s="15" t="inlineStr">
        <is>
          <t>San Alfonso 2141 (Ramón Subercaseaux 3060)</t>
        </is>
      </c>
      <c r="FO2297" s="15" t="inlineStr">
        <is>
          <t>Estacion Central</t>
        </is>
      </c>
      <c r="FP2297" t="inlineStr">
        <is>
          <t>B</t>
        </is>
      </c>
    </row>
    <row r="2298">
      <c r="FC2298" t="inlineStr">
        <is>
          <t>Diccionario 3</t>
        </is>
      </c>
      <c r="FD2298" s="15" t="inlineStr">
        <is>
          <t>VFPZ55</t>
        </is>
      </c>
      <c r="FE2298" s="15" t="inlineStr">
        <is>
          <t>MDN35025010208</t>
        </is>
      </c>
      <c r="FF2298" s="15" t="inlineStr">
        <is>
          <t>LDYECS317S0044082</t>
        </is>
      </c>
      <c r="FG2298" s="15" t="inlineStr">
        <is>
          <t>Zhong Tong</t>
        </is>
      </c>
      <c r="FH2298" s="15" t="inlineStr">
        <is>
          <t>Lck6122evg</t>
        </is>
      </c>
      <c r="FI2298" s="15" t="inlineStr">
        <is>
          <t>ZHONGTONG</t>
        </is>
      </c>
      <c r="FJ2298" s="15" t="inlineStr">
        <is>
          <t>LCK6122EVG</t>
        </is>
      </c>
      <c r="FK2298" s="15" t="n">
        <v>2025</v>
      </c>
      <c r="FL2298" s="15" t="inlineStr">
        <is>
          <t>B</t>
        </is>
      </c>
      <c r="FM2298" s="15" t="inlineStr">
        <is>
          <t>SAN ALFONSO</t>
        </is>
      </c>
      <c r="FN2298" s="15" t="inlineStr">
        <is>
          <t>San Alfonso 2141 (Ramón Subercaseaux 3060)</t>
        </is>
      </c>
      <c r="FO2298" s="15" t="inlineStr">
        <is>
          <t>Estacion Central</t>
        </is>
      </c>
      <c r="FP2298" t="inlineStr">
        <is>
          <t>B</t>
        </is>
      </c>
    </row>
    <row r="2299">
      <c r="FC2299" t="inlineStr">
        <is>
          <t>Diccionario 3</t>
        </is>
      </c>
      <c r="FD2299" s="15" t="inlineStr">
        <is>
          <t>VFPZ56</t>
        </is>
      </c>
      <c r="FE2299" s="15" t="inlineStr">
        <is>
          <t>MDN35025020043</t>
        </is>
      </c>
      <c r="FF2299" s="15" t="inlineStr">
        <is>
          <t>LDYECS31XS0044075</t>
        </is>
      </c>
      <c r="FG2299" s="15" t="inlineStr">
        <is>
          <t>Zhong Tong</t>
        </is>
      </c>
      <c r="FH2299" s="15" t="inlineStr">
        <is>
          <t>Lck6122evg</t>
        </is>
      </c>
      <c r="FI2299" s="15" t="inlineStr">
        <is>
          <t>ZHONGTONG</t>
        </is>
      </c>
      <c r="FJ2299" s="15" t="inlineStr">
        <is>
          <t>LCK6122EVG</t>
        </is>
      </c>
      <c r="FK2299" s="15" t="n">
        <v>2025</v>
      </c>
      <c r="FL2299" s="15" t="inlineStr">
        <is>
          <t>B</t>
        </is>
      </c>
      <c r="FM2299" s="15" t="inlineStr">
        <is>
          <t>PIE ANDINO</t>
        </is>
      </c>
      <c r="FN2299" s="15" t="inlineStr">
        <is>
          <t>Pie Andino 31 (Pie Andino 383)</t>
        </is>
      </c>
      <c r="FO2299" s="15" t="inlineStr">
        <is>
          <t>Puente Alto</t>
        </is>
      </c>
      <c r="FP2299" t="inlineStr">
        <is>
          <t>B</t>
        </is>
      </c>
    </row>
    <row r="2300">
      <c r="FC2300" t="inlineStr">
        <is>
          <t>Diccionario 3</t>
        </is>
      </c>
      <c r="FD2300" s="15" t="inlineStr">
        <is>
          <t>VFPZ74</t>
        </is>
      </c>
      <c r="FE2300" s="15" t="inlineStr">
        <is>
          <t>MDN35025020017</t>
        </is>
      </c>
      <c r="FF2300" s="15" t="inlineStr">
        <is>
          <t>LDYECS312S0044085</t>
        </is>
      </c>
      <c r="FG2300" s="15" t="inlineStr">
        <is>
          <t>Zhong Tong</t>
        </is>
      </c>
      <c r="FH2300" s="15" t="inlineStr">
        <is>
          <t>Lck6122evg</t>
        </is>
      </c>
      <c r="FI2300" s="15" t="inlineStr">
        <is>
          <t>ZHONGTONG</t>
        </is>
      </c>
      <c r="FJ2300" s="15" t="inlineStr">
        <is>
          <t>LCK6122EVG</t>
        </is>
      </c>
      <c r="FK2300" s="15" t="n">
        <v>2025</v>
      </c>
      <c r="FL2300" s="15" t="inlineStr">
        <is>
          <t>B</t>
        </is>
      </c>
      <c r="FM2300" s="15" t="inlineStr">
        <is>
          <t>PIE ANDINO</t>
        </is>
      </c>
      <c r="FN2300" s="15" t="inlineStr">
        <is>
          <t>Pie Andino 31 (Pie Andino 383)</t>
        </is>
      </c>
      <c r="FO2300" s="15" t="inlineStr">
        <is>
          <t>Puente Alto</t>
        </is>
      </c>
      <c r="FP2300" t="inlineStr">
        <is>
          <t>B</t>
        </is>
      </c>
    </row>
    <row r="2301">
      <c r="FC2301" t="inlineStr">
        <is>
          <t>Diccionario 3</t>
        </is>
      </c>
      <c r="FD2301" s="15" t="inlineStr">
        <is>
          <t>VFPZ78</t>
        </is>
      </c>
      <c r="FE2301" s="15" t="inlineStr">
        <is>
          <t>MDN35025020001</t>
        </is>
      </c>
      <c r="FF2301" s="15" t="inlineStr">
        <is>
          <t>LDYECS313S0044077</t>
        </is>
      </c>
      <c r="FG2301" s="15" t="inlineStr">
        <is>
          <t>Zhong Tong</t>
        </is>
      </c>
      <c r="FH2301" s="15" t="inlineStr">
        <is>
          <t>Lck6122evg</t>
        </is>
      </c>
      <c r="FI2301" s="15" t="inlineStr">
        <is>
          <t>ZHONGTONG</t>
        </is>
      </c>
      <c r="FJ2301" s="15" t="inlineStr">
        <is>
          <t>LCK6122EVG</t>
        </is>
      </c>
      <c r="FK2301" s="15" t="n">
        <v>2025</v>
      </c>
      <c r="FL2301" s="15" t="inlineStr">
        <is>
          <t>B</t>
        </is>
      </c>
      <c r="FM2301" s="15" t="inlineStr">
        <is>
          <t>PIE ANDINO</t>
        </is>
      </c>
      <c r="FN2301" s="15" t="inlineStr">
        <is>
          <t>Pie Andino 31 (Pie Andino 383)</t>
        </is>
      </c>
      <c r="FO2301" s="15" t="inlineStr">
        <is>
          <t>Puente Alto</t>
        </is>
      </c>
      <c r="FP2301" t="inlineStr">
        <is>
          <t>B</t>
        </is>
      </c>
    </row>
    <row r="2302">
      <c r="FC2302" t="inlineStr">
        <is>
          <t>Diccionario 3</t>
        </is>
      </c>
      <c r="FD2302" s="15" t="inlineStr">
        <is>
          <t>VFPZ88</t>
        </is>
      </c>
      <c r="FE2302" s="15" t="inlineStr">
        <is>
          <t>MDN35025010028</t>
        </is>
      </c>
      <c r="FF2302" s="15" t="inlineStr">
        <is>
          <t>LDYECS311S0044112</t>
        </is>
      </c>
      <c r="FG2302" s="15" t="inlineStr">
        <is>
          <t>Zhong Tong</t>
        </is>
      </c>
      <c r="FH2302" s="15" t="inlineStr">
        <is>
          <t>Lck6122evg</t>
        </is>
      </c>
      <c r="FI2302" s="15" t="inlineStr">
        <is>
          <t>ZHONGTONG</t>
        </is>
      </c>
      <c r="FJ2302" s="15" t="inlineStr">
        <is>
          <t>LCK6122EVG</t>
        </is>
      </c>
      <c r="FK2302" s="15" t="n">
        <v>2025</v>
      </c>
      <c r="FL2302" s="15" t="inlineStr">
        <is>
          <t>B</t>
        </is>
      </c>
      <c r="FM2302" s="15" t="inlineStr">
        <is>
          <t>SAN ALFONSO</t>
        </is>
      </c>
      <c r="FN2302" s="15" t="inlineStr">
        <is>
          <t>San Alfonso 2141 (Ramón Subercaseaux 3060)</t>
        </is>
      </c>
      <c r="FO2302" s="15" t="inlineStr">
        <is>
          <t>Estacion Central</t>
        </is>
      </c>
      <c r="FP2302" t="inlineStr">
        <is>
          <t>B</t>
        </is>
      </c>
    </row>
    <row r="2303">
      <c r="FC2303" t="inlineStr">
        <is>
          <t>Diccionario 3</t>
        </is>
      </c>
      <c r="FD2303" s="15" t="inlineStr">
        <is>
          <t>VFPZ89</t>
        </is>
      </c>
      <c r="FE2303" s="15" t="inlineStr">
        <is>
          <t>MDN35025020032</t>
        </is>
      </c>
      <c r="FF2303" s="15" t="inlineStr">
        <is>
          <t>LDYECS319S0044102</t>
        </is>
      </c>
      <c r="FG2303" s="15" t="inlineStr">
        <is>
          <t>Zhong Tong</t>
        </is>
      </c>
      <c r="FH2303" s="15" t="inlineStr">
        <is>
          <t>Lck6122evg</t>
        </is>
      </c>
      <c r="FI2303" s="15" t="inlineStr">
        <is>
          <t>ZHONGTONG</t>
        </is>
      </c>
      <c r="FJ2303" s="15" t="inlineStr">
        <is>
          <t>LCK6122EVG</t>
        </is>
      </c>
      <c r="FK2303" s="15" t="n">
        <v>2025</v>
      </c>
      <c r="FL2303" s="15" t="inlineStr">
        <is>
          <t>B</t>
        </is>
      </c>
      <c r="FM2303" s="15" t="inlineStr">
        <is>
          <t>SAN ALFONSO</t>
        </is>
      </c>
      <c r="FN2303" s="15" t="inlineStr">
        <is>
          <t>San Alfonso 2141 (Ramón Subercaseaux 3060)</t>
        </is>
      </c>
      <c r="FO2303" s="15" t="inlineStr">
        <is>
          <t>Estacion Central</t>
        </is>
      </c>
      <c r="FP2303" t="inlineStr">
        <is>
          <t>B</t>
        </is>
      </c>
    </row>
    <row r="2304">
      <c r="FC2304" t="inlineStr">
        <is>
          <t>Diccionario 3</t>
        </is>
      </c>
      <c r="FD2304" s="15" t="inlineStr">
        <is>
          <t>VFPZ92</t>
        </is>
      </c>
      <c r="FE2304" s="15" t="inlineStr">
        <is>
          <t>MDN35025020030</t>
        </is>
      </c>
      <c r="FF2304" s="15" t="inlineStr">
        <is>
          <t>LDYECS31XS0044089</t>
        </is>
      </c>
      <c r="FG2304" s="15" t="inlineStr">
        <is>
          <t>Zhong Tong</t>
        </is>
      </c>
      <c r="FH2304" s="15" t="inlineStr">
        <is>
          <t>Lck6122evg</t>
        </is>
      </c>
      <c r="FI2304" s="15" t="inlineStr">
        <is>
          <t>ZHONGTONG</t>
        </is>
      </c>
      <c r="FJ2304" s="15" t="inlineStr">
        <is>
          <t>LCK6122EVG</t>
        </is>
      </c>
      <c r="FK2304" s="15" t="n">
        <v>2025</v>
      </c>
      <c r="FL2304" s="15" t="inlineStr">
        <is>
          <t>B</t>
        </is>
      </c>
      <c r="FM2304" s="15" t="inlineStr">
        <is>
          <t>SAN ALFONSO</t>
        </is>
      </c>
      <c r="FN2304" s="15" t="inlineStr">
        <is>
          <t>San Alfonso 2141 (Ramón Subercaseaux 3060)</t>
        </is>
      </c>
      <c r="FO2304" s="15" t="inlineStr">
        <is>
          <t>Estacion Central</t>
        </is>
      </c>
      <c r="FP2304" t="inlineStr">
        <is>
          <t>B</t>
        </is>
      </c>
    </row>
    <row r="2305">
      <c r="FC2305" t="inlineStr">
        <is>
          <t>Diccionario 3</t>
        </is>
      </c>
      <c r="FD2305" s="15" t="inlineStr">
        <is>
          <t>VFPZ97</t>
        </is>
      </c>
      <c r="FE2305" s="15" t="inlineStr">
        <is>
          <t>MDN35025010247</t>
        </is>
      </c>
      <c r="FF2305" s="15" t="inlineStr">
        <is>
          <t>LDYECS312S0044104</t>
        </is>
      </c>
      <c r="FG2305" s="15" t="inlineStr">
        <is>
          <t>Zhong Tong</t>
        </is>
      </c>
      <c r="FH2305" s="15" t="inlineStr">
        <is>
          <t>Lck6122evg</t>
        </is>
      </c>
      <c r="FI2305" s="15" t="inlineStr">
        <is>
          <t>ZHONGTONG</t>
        </is>
      </c>
      <c r="FJ2305" s="15" t="inlineStr">
        <is>
          <t>LCK6122EVG</t>
        </is>
      </c>
      <c r="FK2305" s="15" t="n">
        <v>2025</v>
      </c>
      <c r="FL2305" s="15" t="inlineStr">
        <is>
          <t>B</t>
        </is>
      </c>
      <c r="FM2305" s="15" t="inlineStr">
        <is>
          <t>SAN ALFONSO</t>
        </is>
      </c>
      <c r="FN2305" s="15" t="inlineStr">
        <is>
          <t>San Alfonso 2141 (Ramón Subercaseaux 3060)</t>
        </is>
      </c>
      <c r="FO2305" s="15" t="inlineStr">
        <is>
          <t>Estacion Central</t>
        </is>
      </c>
      <c r="FP2305" t="inlineStr">
        <is>
          <t>B</t>
        </is>
      </c>
    </row>
    <row r="2306">
      <c r="FC2306" t="inlineStr">
        <is>
          <t>Diccionario 3</t>
        </is>
      </c>
      <c r="FD2306" s="15" t="inlineStr">
        <is>
          <t>VFPZ98</t>
        </is>
      </c>
      <c r="FE2306" s="15" t="inlineStr">
        <is>
          <t>MDN35025010213</t>
        </is>
      </c>
      <c r="FF2306" s="15" t="inlineStr">
        <is>
          <t>LDYECS315S0044081</t>
        </is>
      </c>
      <c r="FG2306" s="15" t="inlineStr">
        <is>
          <t>Zhong Tong</t>
        </is>
      </c>
      <c r="FH2306" s="15" t="inlineStr">
        <is>
          <t>Lck6122evg</t>
        </is>
      </c>
      <c r="FI2306" s="15" t="inlineStr">
        <is>
          <t>ZHONGTONG</t>
        </is>
      </c>
      <c r="FJ2306" s="15" t="inlineStr">
        <is>
          <t>LCK6122EVG</t>
        </is>
      </c>
      <c r="FK2306" s="15" t="n">
        <v>2025</v>
      </c>
      <c r="FL2306" s="15" t="inlineStr">
        <is>
          <t>B</t>
        </is>
      </c>
      <c r="FM2306" s="15" t="inlineStr">
        <is>
          <t>SAN ALFONSO</t>
        </is>
      </c>
      <c r="FN2306" s="15" t="inlineStr">
        <is>
          <t>San Alfonso 2141 (Ramón Subercaseaux 3060)</t>
        </is>
      </c>
      <c r="FO2306" s="15" t="inlineStr">
        <is>
          <t>Estacion Central</t>
        </is>
      </c>
      <c r="FP2306" t="inlineStr">
        <is>
          <t>B</t>
        </is>
      </c>
    </row>
    <row r="2307">
      <c r="FC2307" t="inlineStr">
        <is>
          <t>Diccionario 3</t>
        </is>
      </c>
      <c r="FD2307" s="15" t="inlineStr">
        <is>
          <t>VFRB13</t>
        </is>
      </c>
      <c r="FE2307" s="15" t="inlineStr">
        <is>
          <t>MDN35025010226</t>
        </is>
      </c>
      <c r="FF2307" s="15" t="inlineStr">
        <is>
          <t>LDYECS313S0044080</t>
        </is>
      </c>
      <c r="FG2307" s="15" t="inlineStr">
        <is>
          <t>Zhong Tong</t>
        </is>
      </c>
      <c r="FH2307" s="15" t="inlineStr">
        <is>
          <t>Lck6122evg</t>
        </is>
      </c>
      <c r="FI2307" s="15" t="inlineStr">
        <is>
          <t>ZHONGTONG</t>
        </is>
      </c>
      <c r="FJ2307" s="15" t="inlineStr">
        <is>
          <t>LCK6122EVG</t>
        </is>
      </c>
      <c r="FK2307" s="15" t="n">
        <v>2025</v>
      </c>
      <c r="FL2307" s="15" t="inlineStr">
        <is>
          <t>B</t>
        </is>
      </c>
      <c r="FM2307" s="15" t="inlineStr">
        <is>
          <t>PIE ANDINO</t>
        </is>
      </c>
      <c r="FN2307" s="15" t="inlineStr">
        <is>
          <t>Pie Andino 31 (Pie Andino 383)</t>
        </is>
      </c>
      <c r="FO2307" s="15" t="inlineStr">
        <is>
          <t>Puente Alto</t>
        </is>
      </c>
      <c r="FP2307" t="inlineStr">
        <is>
          <t>B</t>
        </is>
      </c>
    </row>
    <row r="2308">
      <c r="FC2308" t="inlineStr">
        <is>
          <t>Diccionario 3</t>
        </is>
      </c>
      <c r="FD2308" s="15" t="inlineStr">
        <is>
          <t>VFRB15</t>
        </is>
      </c>
      <c r="FE2308" s="15" t="inlineStr">
        <is>
          <t>MDN35025010225</t>
        </is>
      </c>
      <c r="FF2308" s="15" t="inlineStr">
        <is>
          <t>LDYECS317S0044079</t>
        </is>
      </c>
      <c r="FG2308" s="15" t="inlineStr">
        <is>
          <t>Zhong Tong</t>
        </is>
      </c>
      <c r="FH2308" s="15" t="inlineStr">
        <is>
          <t>Lck6122evg</t>
        </is>
      </c>
      <c r="FI2308" s="15" t="inlineStr">
        <is>
          <t>ZHONGTONG</t>
        </is>
      </c>
      <c r="FJ2308" s="15" t="inlineStr">
        <is>
          <t>LCK6122EVG</t>
        </is>
      </c>
      <c r="FK2308" s="15" t="n">
        <v>2025</v>
      </c>
      <c r="FL2308" s="15" t="inlineStr">
        <is>
          <t>B</t>
        </is>
      </c>
      <c r="FM2308" s="15" t="inlineStr">
        <is>
          <t>SAN ALFONSO</t>
        </is>
      </c>
      <c r="FN2308" s="15" t="inlineStr">
        <is>
          <t>San Alfonso 2141 (Ramón Subercaseaux 3060)</t>
        </is>
      </c>
      <c r="FO2308" s="15" t="inlineStr">
        <is>
          <t>Estacion Central</t>
        </is>
      </c>
      <c r="FP2308" t="inlineStr">
        <is>
          <t>B</t>
        </is>
      </c>
    </row>
    <row r="2309">
      <c r="FC2309" t="inlineStr">
        <is>
          <t>Diccionario 3</t>
        </is>
      </c>
      <c r="FD2309" s="15" t="inlineStr">
        <is>
          <t>VFRB54</t>
        </is>
      </c>
      <c r="FE2309" s="15" t="inlineStr">
        <is>
          <t>MDN35025010204</t>
        </is>
      </c>
      <c r="FF2309" s="15" t="inlineStr">
        <is>
          <t>LDYECS31XS0044108</t>
        </is>
      </c>
      <c r="FG2309" s="15" t="inlineStr">
        <is>
          <t>Zhong Tong</t>
        </is>
      </c>
      <c r="FH2309" s="15" t="inlineStr">
        <is>
          <t>Lck6122evg</t>
        </is>
      </c>
      <c r="FI2309" s="15" t="inlineStr">
        <is>
          <t>ZHONGTONG</t>
        </is>
      </c>
      <c r="FJ2309" s="15" t="inlineStr">
        <is>
          <t>LCK6122EVG</t>
        </is>
      </c>
      <c r="FK2309" s="15" t="n">
        <v>2025</v>
      </c>
      <c r="FL2309" s="15" t="inlineStr">
        <is>
          <t>B</t>
        </is>
      </c>
      <c r="FM2309" s="15" t="inlineStr">
        <is>
          <t>SAN ALFONSO</t>
        </is>
      </c>
      <c r="FN2309" s="15" t="inlineStr">
        <is>
          <t>San Alfonso 2141 (Ramón Subercaseaux 3060)</t>
        </is>
      </c>
      <c r="FO2309" s="15" t="inlineStr">
        <is>
          <t>Estacion Central</t>
        </is>
      </c>
      <c r="FP2309" t="inlineStr">
        <is>
          <t>B</t>
        </is>
      </c>
    </row>
    <row r="2310">
      <c r="FC2310" t="inlineStr">
        <is>
          <t>Diccionario 3</t>
        </is>
      </c>
      <c r="FD2310" s="15" t="inlineStr">
        <is>
          <t>VFRB56</t>
        </is>
      </c>
      <c r="FE2310" s="15" t="inlineStr">
        <is>
          <t>MDN35025020040</t>
        </is>
      </c>
      <c r="FF2310" s="15" t="inlineStr">
        <is>
          <t>LDYECS314S0044086</t>
        </is>
      </c>
      <c r="FG2310" s="15" t="inlineStr">
        <is>
          <t>Zhong Tong</t>
        </is>
      </c>
      <c r="FH2310" s="15" t="inlineStr">
        <is>
          <t>Lck6122evg</t>
        </is>
      </c>
      <c r="FI2310" s="15" t="inlineStr">
        <is>
          <t>ZHONGTONG</t>
        </is>
      </c>
      <c r="FJ2310" s="15" t="inlineStr">
        <is>
          <t>LCK6122EVG</t>
        </is>
      </c>
      <c r="FK2310" s="15" t="n">
        <v>2025</v>
      </c>
      <c r="FL2310" s="15" t="inlineStr">
        <is>
          <t>B</t>
        </is>
      </c>
      <c r="FM2310" s="15" t="inlineStr">
        <is>
          <t>PIE ANDINO</t>
        </is>
      </c>
      <c r="FN2310" s="15" t="inlineStr">
        <is>
          <t>Pie Andino 31 (Pie Andino 383)</t>
        </is>
      </c>
      <c r="FO2310" s="15" t="inlineStr">
        <is>
          <t>Puente Alto</t>
        </is>
      </c>
      <c r="FP2310" t="inlineStr">
        <is>
          <t>B</t>
        </is>
      </c>
    </row>
    <row r="2311">
      <c r="FC2311" t="inlineStr">
        <is>
          <t>Diccionario 3</t>
        </is>
      </c>
      <c r="FD2311" s="15" t="inlineStr">
        <is>
          <t>VFRB63</t>
        </is>
      </c>
      <c r="FE2311" s="15" t="inlineStr">
        <is>
          <t>MDN35025020018</t>
        </is>
      </c>
      <c r="FF2311" s="15" t="inlineStr">
        <is>
          <t>LDYECS315S0044100</t>
        </is>
      </c>
      <c r="FG2311" s="15" t="inlineStr">
        <is>
          <t>Zhong Tong</t>
        </is>
      </c>
      <c r="FH2311" s="15" t="inlineStr">
        <is>
          <t>Lck6122evg</t>
        </is>
      </c>
      <c r="FI2311" s="15" t="inlineStr">
        <is>
          <t>ZHONGTONG</t>
        </is>
      </c>
      <c r="FJ2311" s="15" t="inlineStr">
        <is>
          <t>LCK6122EVG</t>
        </is>
      </c>
      <c r="FK2311" s="15" t="n">
        <v>2025</v>
      </c>
      <c r="FL2311" s="15" t="inlineStr">
        <is>
          <t>B</t>
        </is>
      </c>
      <c r="FM2311" s="15" t="inlineStr">
        <is>
          <t>SAN ALFONSO</t>
        </is>
      </c>
      <c r="FN2311" s="15" t="inlineStr">
        <is>
          <t>San Alfonso 2141 (Ramón Subercaseaux 3060)</t>
        </is>
      </c>
      <c r="FO2311" s="15" t="inlineStr">
        <is>
          <t>Estacion Central</t>
        </is>
      </c>
      <c r="FP2311" t="inlineStr">
        <is>
          <t>B</t>
        </is>
      </c>
    </row>
    <row r="2312">
      <c r="FC2312" t="inlineStr">
        <is>
          <t>Diccionario 3</t>
        </is>
      </c>
      <c r="FD2312" s="15" t="inlineStr">
        <is>
          <t>VFRB67</t>
        </is>
      </c>
      <c r="FE2312" s="15" t="inlineStr">
        <is>
          <t>MDN35025010216</t>
        </is>
      </c>
      <c r="FF2312" s="15" t="inlineStr">
        <is>
          <t>LDYECS318S0044107</t>
        </is>
      </c>
      <c r="FG2312" s="15" t="inlineStr">
        <is>
          <t>Zhong Tong</t>
        </is>
      </c>
      <c r="FH2312" s="15" t="inlineStr">
        <is>
          <t>Lck6122evg</t>
        </is>
      </c>
      <c r="FI2312" s="15" t="inlineStr">
        <is>
          <t>ZHONGTONG</t>
        </is>
      </c>
      <c r="FJ2312" s="15" t="inlineStr">
        <is>
          <t>LCK6122EVG</t>
        </is>
      </c>
      <c r="FK2312" s="15" t="n">
        <v>2025</v>
      </c>
      <c r="FL2312" s="15" t="inlineStr">
        <is>
          <t>B</t>
        </is>
      </c>
      <c r="FM2312" s="15" t="inlineStr">
        <is>
          <t>SAN ALFONSO</t>
        </is>
      </c>
      <c r="FN2312" s="15" t="inlineStr">
        <is>
          <t>San Alfonso 2141 (Ramón Subercaseaux 3060)</t>
        </is>
      </c>
      <c r="FO2312" s="15" t="inlineStr">
        <is>
          <t>Estacion Central</t>
        </is>
      </c>
      <c r="FP2312" t="inlineStr">
        <is>
          <t>B</t>
        </is>
      </c>
    </row>
    <row r="2313">
      <c r="FC2313" t="inlineStr">
        <is>
          <t>Diccionario 3</t>
        </is>
      </c>
      <c r="FD2313" s="15" t="inlineStr">
        <is>
          <t>VFRB68</t>
        </is>
      </c>
      <c r="FE2313" s="15" t="inlineStr">
        <is>
          <t>MDN35025010249</t>
        </is>
      </c>
      <c r="FF2313" s="15" t="inlineStr">
        <is>
          <t>LDYECS31XS0044092</t>
        </is>
      </c>
      <c r="FG2313" s="15" t="inlineStr">
        <is>
          <t>Zhong Tong</t>
        </is>
      </c>
      <c r="FH2313" s="15" t="inlineStr">
        <is>
          <t>Lck6122evg</t>
        </is>
      </c>
      <c r="FI2313" s="15" t="inlineStr">
        <is>
          <t>ZHONGTONG</t>
        </is>
      </c>
      <c r="FJ2313" s="15" t="inlineStr">
        <is>
          <t>LCK6122EVG</t>
        </is>
      </c>
      <c r="FK2313" s="15" t="n">
        <v>2025</v>
      </c>
      <c r="FL2313" s="15" t="inlineStr">
        <is>
          <t>B</t>
        </is>
      </c>
      <c r="FM2313" s="15" t="inlineStr">
        <is>
          <t>PIE ANDINO</t>
        </is>
      </c>
      <c r="FN2313" s="15" t="inlineStr">
        <is>
          <t>Pie Andino 31 (Pie Andino 383)</t>
        </is>
      </c>
      <c r="FO2313" s="15" t="inlineStr">
        <is>
          <t>Puente Alto</t>
        </is>
      </c>
      <c r="FP2313" t="inlineStr">
        <is>
          <t>B</t>
        </is>
      </c>
    </row>
    <row r="2314">
      <c r="FC2314" t="inlineStr">
        <is>
          <t>Diccionario 3</t>
        </is>
      </c>
      <c r="FD2314" s="15" t="inlineStr">
        <is>
          <t>VFRB81</t>
        </is>
      </c>
      <c r="FE2314" s="15" t="inlineStr">
        <is>
          <t>MDN35025020118</t>
        </is>
      </c>
      <c r="FF2314" s="15" t="inlineStr">
        <is>
          <t>LDYECS317S0044096</t>
        </is>
      </c>
      <c r="FG2314" s="15" t="inlineStr">
        <is>
          <t>Zhong Tong</t>
        </is>
      </c>
      <c r="FH2314" s="15" t="inlineStr">
        <is>
          <t>Lck6122evg</t>
        </is>
      </c>
      <c r="FI2314" s="15" t="inlineStr">
        <is>
          <t>ZHONGTONG</t>
        </is>
      </c>
      <c r="FJ2314" s="15" t="inlineStr">
        <is>
          <t>LCK6122EVG</t>
        </is>
      </c>
      <c r="FK2314" s="15" t="n">
        <v>2025</v>
      </c>
      <c r="FL2314" s="15" t="inlineStr">
        <is>
          <t>B</t>
        </is>
      </c>
      <c r="FM2314" s="15" t="inlineStr">
        <is>
          <t>SAN ALFONSO</t>
        </is>
      </c>
      <c r="FN2314" s="15" t="inlineStr">
        <is>
          <t>San Alfonso 2141 (Ramón Subercaseaux 3060)</t>
        </is>
      </c>
      <c r="FO2314" s="15" t="inlineStr">
        <is>
          <t>Estacion Central</t>
        </is>
      </c>
      <c r="FP2314" t="inlineStr">
        <is>
          <t>B</t>
        </is>
      </c>
    </row>
    <row r="2315">
      <c r="FC2315" t="inlineStr">
        <is>
          <t>Diccionario 3</t>
        </is>
      </c>
      <c r="FD2315" s="15" t="inlineStr">
        <is>
          <t>VFRC75</t>
        </is>
      </c>
      <c r="FE2315" s="15" t="inlineStr">
        <is>
          <t>MDN35025010242</t>
        </is>
      </c>
      <c r="FF2315" s="15" t="inlineStr">
        <is>
          <t>LDYECS317S0044101</t>
        </is>
      </c>
      <c r="FG2315" s="15" t="inlineStr">
        <is>
          <t>Zhong Tong</t>
        </is>
      </c>
      <c r="FH2315" s="15" t="inlineStr">
        <is>
          <t>Lck6122evg</t>
        </is>
      </c>
      <c r="FI2315" s="15" t="inlineStr">
        <is>
          <t>ZHONGTONG</t>
        </is>
      </c>
      <c r="FJ2315" s="15" t="inlineStr">
        <is>
          <t>LCK6122EVG</t>
        </is>
      </c>
      <c r="FK2315" s="15" t="n">
        <v>2025</v>
      </c>
      <c r="FL2315" s="15" t="inlineStr">
        <is>
          <t>B</t>
        </is>
      </c>
      <c r="FM2315" s="15" t="inlineStr">
        <is>
          <t>SAN ALFONSO</t>
        </is>
      </c>
      <c r="FN2315" s="15" t="inlineStr">
        <is>
          <t>San Alfonso 2141 (Ramón Subercaseaux 3060)</t>
        </is>
      </c>
      <c r="FO2315" s="15" t="inlineStr">
        <is>
          <t>Estacion Central</t>
        </is>
      </c>
      <c r="FP2315" t="inlineStr">
        <is>
          <t>B</t>
        </is>
      </c>
    </row>
    <row r="2316">
      <c r="FC2316" t="inlineStr">
        <is>
          <t>Diccionario 3</t>
        </is>
      </c>
      <c r="FD2316" s="15" t="inlineStr">
        <is>
          <t>VFRD35</t>
        </is>
      </c>
      <c r="FE2316" s="15" t="inlineStr">
        <is>
          <t>MDN35025020008</t>
        </is>
      </c>
      <c r="FF2316" s="15" t="inlineStr">
        <is>
          <t>LDYECS310S0044103</t>
        </is>
      </c>
      <c r="FG2316" s="15" t="inlineStr">
        <is>
          <t>Zhong Tong</t>
        </is>
      </c>
      <c r="FH2316" s="15" t="inlineStr">
        <is>
          <t>Lck6122evg</t>
        </is>
      </c>
      <c r="FI2316" s="15" t="inlineStr">
        <is>
          <t>ZHONGTONG</t>
        </is>
      </c>
      <c r="FJ2316" s="15" t="inlineStr">
        <is>
          <t>LCK6122EVG</t>
        </is>
      </c>
      <c r="FK2316" s="15" t="n">
        <v>2025</v>
      </c>
      <c r="FL2316" s="15" t="inlineStr">
        <is>
          <t>B</t>
        </is>
      </c>
      <c r="FM2316" s="15" t="inlineStr">
        <is>
          <t>PIE ANDINO</t>
        </is>
      </c>
      <c r="FN2316" s="15" t="inlineStr">
        <is>
          <t>Pie Andino 31 (Pie Andino 383)</t>
        </is>
      </c>
      <c r="FO2316" s="15" t="inlineStr">
        <is>
          <t>Puente Alto</t>
        </is>
      </c>
      <c r="FP2316" t="inlineStr">
        <is>
          <t>B</t>
        </is>
      </c>
    </row>
    <row r="2317">
      <c r="FC2317" t="inlineStr">
        <is>
          <t>Diccionario 3</t>
        </is>
      </c>
      <c r="FD2317" s="15" t="inlineStr">
        <is>
          <t>VFRD45</t>
        </is>
      </c>
      <c r="FE2317" s="15" t="inlineStr">
        <is>
          <t>MDN35025020020</t>
        </is>
      </c>
      <c r="FF2317" s="15" t="inlineStr">
        <is>
          <t>LDYECS310S0044098</t>
        </is>
      </c>
      <c r="FG2317" s="15" t="inlineStr">
        <is>
          <t>Zhong Tong</t>
        </is>
      </c>
      <c r="FH2317" s="15" t="inlineStr">
        <is>
          <t>Lck6122evg</t>
        </is>
      </c>
      <c r="FI2317" s="15" t="inlineStr">
        <is>
          <t>ZHONGTONG</t>
        </is>
      </c>
      <c r="FJ2317" s="15" t="inlineStr">
        <is>
          <t>LCK6122EVG</t>
        </is>
      </c>
      <c r="FK2317" s="15" t="n">
        <v>2025</v>
      </c>
      <c r="FL2317" s="15" t="inlineStr">
        <is>
          <t>B</t>
        </is>
      </c>
      <c r="FM2317" s="15" t="inlineStr">
        <is>
          <t>SAN ALFONSO</t>
        </is>
      </c>
      <c r="FN2317" s="15" t="inlineStr">
        <is>
          <t>San Alfonso 2141 (Ramón Subercaseaux 3060)</t>
        </is>
      </c>
      <c r="FO2317" s="15" t="inlineStr">
        <is>
          <t>Estacion Central</t>
        </is>
      </c>
      <c r="FP2317" t="inlineStr">
        <is>
          <t>B</t>
        </is>
      </c>
    </row>
    <row r="2318">
      <c r="FC2318" t="inlineStr">
        <is>
          <t>Diccionario 3</t>
        </is>
      </c>
      <c r="FD2318" s="15" t="inlineStr">
        <is>
          <t>VFRD55</t>
        </is>
      </c>
      <c r="FE2318" s="15" t="inlineStr">
        <is>
          <t>MDN35025010252</t>
        </is>
      </c>
      <c r="FF2318" s="15" t="inlineStr">
        <is>
          <t>LDYECS311S0044093</t>
        </is>
      </c>
      <c r="FG2318" s="15" t="inlineStr">
        <is>
          <t>Zhong Tong</t>
        </is>
      </c>
      <c r="FH2318" s="15" t="inlineStr">
        <is>
          <t>Lck6122evg</t>
        </is>
      </c>
      <c r="FI2318" s="15" t="inlineStr">
        <is>
          <t>ZHONGTONG</t>
        </is>
      </c>
      <c r="FJ2318" s="15" t="inlineStr">
        <is>
          <t>LCK6122EVG</t>
        </is>
      </c>
      <c r="FK2318" s="15" t="n">
        <v>2025</v>
      </c>
      <c r="FL2318" s="15" t="inlineStr">
        <is>
          <t>B</t>
        </is>
      </c>
      <c r="FM2318" s="15" t="inlineStr">
        <is>
          <t>PIE ANDINO</t>
        </is>
      </c>
      <c r="FN2318" s="15" t="inlineStr">
        <is>
          <t>Pie Andino 31 (Pie Andino 383)</t>
        </is>
      </c>
      <c r="FO2318" s="15" t="inlineStr">
        <is>
          <t>Puente Alto</t>
        </is>
      </c>
      <c r="FP2318" t="inlineStr">
        <is>
          <t>B</t>
        </is>
      </c>
    </row>
    <row r="2319">
      <c r="FC2319" t="inlineStr">
        <is>
          <t>Diccionario 3</t>
        </is>
      </c>
      <c r="FD2319" s="15" t="inlineStr">
        <is>
          <t>VFRD65</t>
        </is>
      </c>
      <c r="FE2319" s="15" t="inlineStr">
        <is>
          <t>MDN35025020014</t>
        </is>
      </c>
      <c r="FF2319" s="15" t="inlineStr">
        <is>
          <t>LDYECS318S0044091</t>
        </is>
      </c>
      <c r="FG2319" s="15" t="inlineStr">
        <is>
          <t>Zhong Tong</t>
        </is>
      </c>
      <c r="FH2319" s="15" t="inlineStr">
        <is>
          <t>Lck6122evg</t>
        </is>
      </c>
      <c r="FI2319" s="15" t="inlineStr">
        <is>
          <t>ZHONGTONG</t>
        </is>
      </c>
      <c r="FJ2319" s="15" t="inlineStr">
        <is>
          <t>LCK6122EVG</t>
        </is>
      </c>
      <c r="FK2319" s="15" t="n">
        <v>2025</v>
      </c>
      <c r="FL2319" s="15" t="inlineStr">
        <is>
          <t>B</t>
        </is>
      </c>
      <c r="FM2319" s="15" t="inlineStr">
        <is>
          <t>PIE ANDINO</t>
        </is>
      </c>
      <c r="FN2319" s="15" t="inlineStr">
        <is>
          <t>Pie Andino 31 (Pie Andino 383)</t>
        </is>
      </c>
      <c r="FO2319" s="15" t="inlineStr">
        <is>
          <t>Puente Alto</t>
        </is>
      </c>
      <c r="FP2319" t="inlineStr">
        <is>
          <t>B</t>
        </is>
      </c>
    </row>
    <row r="2320">
      <c r="FC2320" t="inlineStr">
        <is>
          <t>Diccionario 3</t>
        </is>
      </c>
      <c r="FD2320" s="15" t="inlineStr">
        <is>
          <t>VFRD75</t>
        </is>
      </c>
      <c r="FE2320" s="15" t="inlineStr">
        <is>
          <t>MDN35025020004</t>
        </is>
      </c>
      <c r="FF2320" s="15" t="inlineStr">
        <is>
          <t>LDYECS314S0044105</t>
        </is>
      </c>
      <c r="FG2320" s="15" t="inlineStr">
        <is>
          <t>Zhong Tong</t>
        </is>
      </c>
      <c r="FH2320" s="15" t="inlineStr">
        <is>
          <t>Lck6122evg</t>
        </is>
      </c>
      <c r="FI2320" s="15" t="inlineStr">
        <is>
          <t>ZHONGTONG</t>
        </is>
      </c>
      <c r="FJ2320" s="15" t="inlineStr">
        <is>
          <t>LCK6122EVG</t>
        </is>
      </c>
      <c r="FK2320" s="15" t="n">
        <v>2025</v>
      </c>
      <c r="FL2320" s="15" t="inlineStr">
        <is>
          <t>B</t>
        </is>
      </c>
      <c r="FM2320" s="15" t="inlineStr">
        <is>
          <t>SAN ALFONSO</t>
        </is>
      </c>
      <c r="FN2320" s="15" t="inlineStr">
        <is>
          <t>San Alfonso 2141 (Ramón Subercaseaux 3060)</t>
        </is>
      </c>
      <c r="FO2320" s="15" t="inlineStr">
        <is>
          <t>Estacion Central</t>
        </is>
      </c>
      <c r="FP2320" t="inlineStr">
        <is>
          <t>B</t>
        </is>
      </c>
    </row>
    <row r="2321">
      <c r="FC2321" t="inlineStr">
        <is>
          <t>Diccionario 3</t>
        </is>
      </c>
      <c r="FD2321" s="15" t="inlineStr">
        <is>
          <t>VFRD85</t>
        </is>
      </c>
      <c r="FE2321" s="15" t="inlineStr">
        <is>
          <t>MDN35025010245</t>
        </is>
      </c>
      <c r="FF2321" s="15" t="inlineStr">
        <is>
          <t>LDYECS312S0044099</t>
        </is>
      </c>
      <c r="FG2321" s="15" t="inlineStr">
        <is>
          <t>Zhong Tong</t>
        </is>
      </c>
      <c r="FH2321" s="15" t="inlineStr">
        <is>
          <t>Lck6122evg</t>
        </is>
      </c>
      <c r="FI2321" s="15" t="inlineStr">
        <is>
          <t>ZHONGTONG</t>
        </is>
      </c>
      <c r="FJ2321" s="15" t="inlineStr">
        <is>
          <t>LCK6122EVG</t>
        </is>
      </c>
      <c r="FK2321" s="15" t="n">
        <v>2025</v>
      </c>
      <c r="FL2321" s="15" t="inlineStr">
        <is>
          <t>B</t>
        </is>
      </c>
      <c r="FM2321" s="15" t="inlineStr">
        <is>
          <t>PIE ANDINO</t>
        </is>
      </c>
      <c r="FN2321" s="15" t="inlineStr">
        <is>
          <t>Pie Andino 31 (Pie Andino 383)</t>
        </is>
      </c>
      <c r="FO2321" s="15" t="inlineStr">
        <is>
          <t>Puente Alto</t>
        </is>
      </c>
      <c r="FP2321" t="inlineStr">
        <is>
          <t>B</t>
        </is>
      </c>
    </row>
    <row r="2322">
      <c r="FC2322" t="inlineStr">
        <is>
          <t>Diccionario 3</t>
        </is>
      </c>
      <c r="FD2322" s="15" t="inlineStr">
        <is>
          <t>VFRD95</t>
        </is>
      </c>
      <c r="FE2322" s="15" t="inlineStr">
        <is>
          <t>MDN35025010043</t>
        </is>
      </c>
      <c r="FF2322" s="15" t="inlineStr">
        <is>
          <t>LDYECS316S0043831</t>
        </is>
      </c>
      <c r="FG2322" s="15" t="inlineStr">
        <is>
          <t>Zhong Tong</t>
        </is>
      </c>
      <c r="FH2322" s="15" t="inlineStr">
        <is>
          <t>Lck6122evg</t>
        </is>
      </c>
      <c r="FI2322" s="15" t="inlineStr">
        <is>
          <t>ZHONGTONG</t>
        </is>
      </c>
      <c r="FJ2322" s="15" t="inlineStr">
        <is>
          <t>LCK6122EVG</t>
        </is>
      </c>
      <c r="FK2322" s="15" t="n">
        <v>2025</v>
      </c>
      <c r="FL2322" s="15" t="inlineStr">
        <is>
          <t>B</t>
        </is>
      </c>
      <c r="FM2322" s="15" t="inlineStr">
        <is>
          <t>PIE ANDINO</t>
        </is>
      </c>
      <c r="FN2322" s="15" t="inlineStr">
        <is>
          <t>Pie Andino 31 (Pie Andino 383)</t>
        </is>
      </c>
      <c r="FO2322" s="15" t="inlineStr">
        <is>
          <t>Puente Alto</t>
        </is>
      </c>
      <c r="FP2322" t="inlineStr">
        <is>
          <t>B</t>
        </is>
      </c>
    </row>
    <row r="2323">
      <c r="FC2323" t="inlineStr">
        <is>
          <t>Diccionario 3</t>
        </is>
      </c>
      <c r="FD2323" s="15" t="inlineStr">
        <is>
          <t>VFRF15</t>
        </is>
      </c>
      <c r="FE2323" s="15" t="inlineStr">
        <is>
          <t>MDN35025010020</t>
        </is>
      </c>
      <c r="FF2323" s="15" t="inlineStr">
        <is>
          <t>LDYECS31XS0043833</t>
        </is>
      </c>
      <c r="FG2323" s="15" t="inlineStr">
        <is>
          <t>Zhong Tong</t>
        </is>
      </c>
      <c r="FH2323" s="15" t="inlineStr">
        <is>
          <t>Lck6122evg</t>
        </is>
      </c>
      <c r="FI2323" s="15" t="inlineStr">
        <is>
          <t>ZHONGTONG</t>
        </is>
      </c>
      <c r="FJ2323" s="15" t="inlineStr">
        <is>
          <t>LCK6122EVG</t>
        </is>
      </c>
      <c r="FK2323" s="15" t="n">
        <v>2025</v>
      </c>
      <c r="FL2323" s="15" t="inlineStr">
        <is>
          <t>B</t>
        </is>
      </c>
      <c r="FM2323" s="15" t="inlineStr">
        <is>
          <t>CERRILLOS</t>
        </is>
      </c>
      <c r="FN2323" s="15" t="inlineStr">
        <is>
          <t>Calle Uno 7371</t>
        </is>
      </c>
      <c r="FO2323" s="15" t="inlineStr">
        <is>
          <t>Cerrillos</t>
        </is>
      </c>
      <c r="FP2323" t="inlineStr">
        <is>
          <t>B</t>
        </is>
      </c>
    </row>
    <row r="2324">
      <c r="FC2324" t="inlineStr">
        <is>
          <t>Diccionario 3</t>
        </is>
      </c>
      <c r="FD2324" s="15" t="inlineStr">
        <is>
          <t>VFRF35</t>
        </is>
      </c>
      <c r="FE2324" s="15" t="inlineStr">
        <is>
          <t>MDN35025010239</t>
        </is>
      </c>
      <c r="FF2324" s="15" t="inlineStr">
        <is>
          <t>LDYECS311S0043834</t>
        </is>
      </c>
      <c r="FG2324" s="15" t="inlineStr">
        <is>
          <t>Zhong Tong</t>
        </is>
      </c>
      <c r="FH2324" s="15" t="inlineStr">
        <is>
          <t>Lck6122evg</t>
        </is>
      </c>
      <c r="FI2324" s="15" t="inlineStr">
        <is>
          <t>ZHONGTONG</t>
        </is>
      </c>
      <c r="FJ2324" s="15" t="inlineStr">
        <is>
          <t>LCK6122EVG</t>
        </is>
      </c>
      <c r="FK2324" s="15" t="n">
        <v>2025</v>
      </c>
      <c r="FL2324" s="15" t="inlineStr">
        <is>
          <t>B</t>
        </is>
      </c>
      <c r="FM2324" s="15" t="inlineStr">
        <is>
          <t>PIE ANDINO</t>
        </is>
      </c>
      <c r="FN2324" s="15" t="inlineStr">
        <is>
          <t>Pie Andino 31 (Pie Andino 383)</t>
        </is>
      </c>
      <c r="FO2324" s="15" t="inlineStr">
        <is>
          <t>Puente Alto</t>
        </is>
      </c>
      <c r="FP2324" t="inlineStr">
        <is>
          <t>B</t>
        </is>
      </c>
    </row>
    <row r="2325">
      <c r="FC2325" t="inlineStr">
        <is>
          <t>Diccionario 3</t>
        </is>
      </c>
      <c r="FD2325" s="15" t="inlineStr">
        <is>
          <t>VFRF55</t>
        </is>
      </c>
      <c r="FE2325" s="15" t="inlineStr">
        <is>
          <t>MDN35025010027</t>
        </is>
      </c>
      <c r="FF2325" s="15" t="inlineStr">
        <is>
          <t>LDYECS314S0043830</t>
        </is>
      </c>
      <c r="FG2325" s="15" t="inlineStr">
        <is>
          <t>Zhong Tong</t>
        </is>
      </c>
      <c r="FH2325" s="15" t="inlineStr">
        <is>
          <t>Lck6122evg</t>
        </is>
      </c>
      <c r="FI2325" s="15" t="inlineStr">
        <is>
          <t>ZHONGTONG</t>
        </is>
      </c>
      <c r="FJ2325" s="15" t="inlineStr">
        <is>
          <t>LCK6122EVG</t>
        </is>
      </c>
      <c r="FK2325" s="15" t="n">
        <v>2025</v>
      </c>
      <c r="FL2325" s="15" t="inlineStr">
        <is>
          <t>B</t>
        </is>
      </c>
      <c r="FM2325" s="15" t="inlineStr">
        <is>
          <t>CERRILLOS</t>
        </is>
      </c>
      <c r="FN2325" s="15" t="inlineStr">
        <is>
          <t>Calle Uno 7371</t>
        </is>
      </c>
      <c r="FO2325" s="15" t="inlineStr">
        <is>
          <t>Cerrillos</t>
        </is>
      </c>
      <c r="FP2325" t="inlineStr">
        <is>
          <t>B</t>
        </is>
      </c>
    </row>
    <row r="2326">
      <c r="FC2326" t="inlineStr">
        <is>
          <t>Diccionario 3</t>
        </is>
      </c>
      <c r="FD2326" s="15" t="inlineStr">
        <is>
          <t>VFRF65</t>
        </is>
      </c>
      <c r="FE2326" s="15" t="inlineStr">
        <is>
          <t>MDN35025010024</t>
        </is>
      </c>
      <c r="FF2326" s="15" t="inlineStr">
        <is>
          <t>LDYECS319S0043824</t>
        </is>
      </c>
      <c r="FG2326" s="15" t="inlineStr">
        <is>
          <t>Zhong Tong</t>
        </is>
      </c>
      <c r="FH2326" s="15" t="inlineStr">
        <is>
          <t>Lck6122evg</t>
        </is>
      </c>
      <c r="FI2326" s="15" t="inlineStr">
        <is>
          <t>ZHONGTONG</t>
        </is>
      </c>
      <c r="FJ2326" s="15" t="inlineStr">
        <is>
          <t>LCK6122EVG</t>
        </is>
      </c>
      <c r="FK2326" s="15" t="n">
        <v>2025</v>
      </c>
      <c r="FL2326" s="15" t="inlineStr">
        <is>
          <t>B</t>
        </is>
      </c>
      <c r="FM2326" s="15" t="inlineStr">
        <is>
          <t>PIE ANDINO</t>
        </is>
      </c>
      <c r="FN2326" s="15" t="inlineStr">
        <is>
          <t>Pie Andino 31 (Pie Andino 383)</t>
        </is>
      </c>
      <c r="FO2326" s="15" t="inlineStr">
        <is>
          <t>Puente Alto</t>
        </is>
      </c>
      <c r="FP2326" t="inlineStr">
        <is>
          <t>B</t>
        </is>
      </c>
    </row>
    <row r="2327">
      <c r="FC2327" t="inlineStr">
        <is>
          <t>Diccionario 3</t>
        </is>
      </c>
      <c r="FD2327" s="15" t="inlineStr">
        <is>
          <t>VFRF75</t>
        </is>
      </c>
      <c r="FE2327" s="15" t="inlineStr">
        <is>
          <t>MDN35025010042</t>
        </is>
      </c>
      <c r="FF2327" s="15" t="inlineStr">
        <is>
          <t>LDYECS317S0043823</t>
        </is>
      </c>
      <c r="FG2327" s="15" t="inlineStr">
        <is>
          <t>Zhong Tong</t>
        </is>
      </c>
      <c r="FH2327" s="15" t="inlineStr">
        <is>
          <t>Lck6122evg</t>
        </is>
      </c>
      <c r="FI2327" s="15" t="inlineStr">
        <is>
          <t>ZHONGTONG</t>
        </is>
      </c>
      <c r="FJ2327" s="15" t="inlineStr">
        <is>
          <t>LCK6122EVG</t>
        </is>
      </c>
      <c r="FK2327" s="15" t="n">
        <v>2025</v>
      </c>
      <c r="FL2327" s="15" t="inlineStr">
        <is>
          <t>B</t>
        </is>
      </c>
      <c r="FM2327" s="15" t="inlineStr">
        <is>
          <t>PIE ANDINO</t>
        </is>
      </c>
      <c r="FN2327" s="15" t="inlineStr">
        <is>
          <t>Pie Andino 31 (Pie Andino 383)</t>
        </is>
      </c>
      <c r="FO2327" s="15" t="inlineStr">
        <is>
          <t>Puente Alto</t>
        </is>
      </c>
      <c r="FP2327" t="inlineStr">
        <is>
          <t>B</t>
        </is>
      </c>
    </row>
    <row r="2328">
      <c r="FC2328" t="inlineStr">
        <is>
          <t>Diccionario 3</t>
        </is>
      </c>
      <c r="FD2328" s="15" t="inlineStr">
        <is>
          <t>VFRF85</t>
        </is>
      </c>
      <c r="FE2328" s="15" t="inlineStr">
        <is>
          <t>MDN35025010034</t>
        </is>
      </c>
      <c r="FF2328" s="15" t="inlineStr">
        <is>
          <t>LDYECS310S0043839</t>
        </is>
      </c>
      <c r="FG2328" s="15" t="inlineStr">
        <is>
          <t>Zhong Tong</t>
        </is>
      </c>
      <c r="FH2328" s="15" t="inlineStr">
        <is>
          <t>Lck6122evg</t>
        </is>
      </c>
      <c r="FI2328" s="15" t="inlineStr">
        <is>
          <t>ZHONGTONG</t>
        </is>
      </c>
      <c r="FJ2328" s="15" t="inlineStr">
        <is>
          <t>LCK6122EVG</t>
        </is>
      </c>
      <c r="FK2328" s="15" t="n">
        <v>2025</v>
      </c>
      <c r="FL2328" s="15" t="inlineStr">
        <is>
          <t>B</t>
        </is>
      </c>
      <c r="FM2328" s="15" t="inlineStr">
        <is>
          <t>PIE ANDINO</t>
        </is>
      </c>
      <c r="FN2328" s="15" t="inlineStr">
        <is>
          <t>Pie Andino 31 (Pie Andino 383)</t>
        </is>
      </c>
      <c r="FO2328" s="15" t="inlineStr">
        <is>
          <t>Puente Alto</t>
        </is>
      </c>
      <c r="FP2328" t="inlineStr">
        <is>
          <t>B</t>
        </is>
      </c>
    </row>
    <row r="2329">
      <c r="FC2329" t="inlineStr">
        <is>
          <t>Diccionario 3</t>
        </is>
      </c>
      <c r="FD2329" s="15" t="inlineStr">
        <is>
          <t>VFRF95</t>
        </is>
      </c>
      <c r="FE2329" s="15" t="inlineStr">
        <is>
          <t>MDN35025020016</t>
        </is>
      </c>
      <c r="FF2329" s="15" t="inlineStr">
        <is>
          <t>LDYECS311S0043820</t>
        </is>
      </c>
      <c r="FG2329" s="15" t="inlineStr">
        <is>
          <t>Zhong Tong</t>
        </is>
      </c>
      <c r="FH2329" s="15" t="inlineStr">
        <is>
          <t>Lck6122evg</t>
        </is>
      </c>
      <c r="FI2329" s="15" t="inlineStr">
        <is>
          <t>ZHONGTONG</t>
        </is>
      </c>
      <c r="FJ2329" s="15" t="inlineStr">
        <is>
          <t>LCK6122EVG</t>
        </is>
      </c>
      <c r="FK2329" s="15" t="n">
        <v>2025</v>
      </c>
      <c r="FL2329" s="15" t="inlineStr">
        <is>
          <t>B</t>
        </is>
      </c>
      <c r="FM2329" s="15" t="inlineStr">
        <is>
          <t>PIE ANDINO</t>
        </is>
      </c>
      <c r="FN2329" s="15" t="inlineStr">
        <is>
          <t>Pie Andino 31 (Pie Andino 383)</t>
        </is>
      </c>
      <c r="FO2329" s="15" t="inlineStr">
        <is>
          <t>Puente Alto</t>
        </is>
      </c>
      <c r="FP2329" t="inlineStr">
        <is>
          <t>B</t>
        </is>
      </c>
    </row>
    <row r="2330">
      <c r="FC2330" t="inlineStr">
        <is>
          <t>Diccionario 3</t>
        </is>
      </c>
      <c r="FD2330" s="15" t="inlineStr">
        <is>
          <t>VFRG15</t>
        </is>
      </c>
      <c r="FE2330" s="15" t="inlineStr">
        <is>
          <t>MDN35025010090</t>
        </is>
      </c>
      <c r="FF2330" s="15" t="inlineStr">
        <is>
          <t>LDYECS315S0043822</t>
        </is>
      </c>
      <c r="FG2330" s="15" t="inlineStr">
        <is>
          <t>Zhong Tong</t>
        </is>
      </c>
      <c r="FH2330" s="15" t="inlineStr">
        <is>
          <t>Lck6122evg</t>
        </is>
      </c>
      <c r="FI2330" s="15" t="inlineStr">
        <is>
          <t>ZHONGTONG</t>
        </is>
      </c>
      <c r="FJ2330" s="15" t="inlineStr">
        <is>
          <t>LCK6122EVG</t>
        </is>
      </c>
      <c r="FK2330" s="15" t="n">
        <v>2025</v>
      </c>
      <c r="FL2330" s="15" t="inlineStr">
        <is>
          <t>B</t>
        </is>
      </c>
      <c r="FM2330" s="15" t="inlineStr">
        <is>
          <t>CERRILLOS</t>
        </is>
      </c>
      <c r="FN2330" s="15" t="inlineStr">
        <is>
          <t>Calle Uno 7371</t>
        </is>
      </c>
      <c r="FO2330" s="15" t="inlineStr">
        <is>
          <t>Cerrillos</t>
        </is>
      </c>
      <c r="FP2330" t="inlineStr">
        <is>
          <t>B</t>
        </is>
      </c>
    </row>
    <row r="2331">
      <c r="FC2331" t="inlineStr">
        <is>
          <t>Diccionario 3</t>
        </is>
      </c>
      <c r="FD2331" s="15" t="inlineStr">
        <is>
          <t>VFRG25</t>
        </is>
      </c>
      <c r="FE2331" s="15" t="inlineStr">
        <is>
          <t>MDN35025020041</t>
        </is>
      </c>
      <c r="FF2331" s="15" t="inlineStr">
        <is>
          <t>LDYECS319S0044097</t>
        </is>
      </c>
      <c r="FG2331" s="15" t="inlineStr">
        <is>
          <t>Zhong Tong</t>
        </is>
      </c>
      <c r="FH2331" s="15" t="inlineStr">
        <is>
          <t>Lck6122evg</t>
        </is>
      </c>
      <c r="FI2331" s="15" t="inlineStr">
        <is>
          <t>ZHONGTONG</t>
        </is>
      </c>
      <c r="FJ2331" s="15" t="inlineStr">
        <is>
          <t>LCK6122EVG</t>
        </is>
      </c>
      <c r="FK2331" s="15" t="n">
        <v>2025</v>
      </c>
      <c r="FL2331" s="15" t="inlineStr">
        <is>
          <t>B</t>
        </is>
      </c>
      <c r="FM2331" s="15" t="inlineStr">
        <is>
          <t>PIE ANDINO</t>
        </is>
      </c>
      <c r="FN2331" s="15" t="inlineStr">
        <is>
          <t>Pie Andino 31 (Pie Andino 383)</t>
        </is>
      </c>
      <c r="FO2331" s="15" t="inlineStr">
        <is>
          <t>Puente Alto</t>
        </is>
      </c>
      <c r="FP2331" t="inlineStr">
        <is>
          <t>B</t>
        </is>
      </c>
    </row>
    <row r="2332">
      <c r="FC2332" t="inlineStr">
        <is>
          <t>Diccionario 3</t>
        </is>
      </c>
      <c r="FD2332" s="15" t="inlineStr">
        <is>
          <t>VFRG35</t>
        </is>
      </c>
      <c r="FE2332" s="15" t="inlineStr">
        <is>
          <t>MDN35025010093</t>
        </is>
      </c>
      <c r="FF2332" s="15" t="inlineStr">
        <is>
          <t>LDYECS318S0043846</t>
        </is>
      </c>
      <c r="FG2332" s="15" t="inlineStr">
        <is>
          <t>Zhong Tong</t>
        </is>
      </c>
      <c r="FH2332" s="15" t="inlineStr">
        <is>
          <t>Lck6122evg</t>
        </is>
      </c>
      <c r="FI2332" s="15" t="inlineStr">
        <is>
          <t>ZHONGTONG</t>
        </is>
      </c>
      <c r="FJ2332" s="15" t="inlineStr">
        <is>
          <t>LCK6122EVG</t>
        </is>
      </c>
      <c r="FK2332" s="15" t="n">
        <v>2025</v>
      </c>
      <c r="FL2332" s="15" t="inlineStr">
        <is>
          <t>B</t>
        </is>
      </c>
      <c r="FM2332" s="15" t="inlineStr">
        <is>
          <t>PIE ANDINO</t>
        </is>
      </c>
      <c r="FN2332" s="15" t="inlineStr">
        <is>
          <t>Pie Andino 31 (Pie Andino 383)</t>
        </is>
      </c>
      <c r="FO2332" s="15" t="inlineStr">
        <is>
          <t>Puente Alto</t>
        </is>
      </c>
      <c r="FP2332" t="inlineStr">
        <is>
          <t>B</t>
        </is>
      </c>
    </row>
    <row r="2333">
      <c r="FC2333" t="inlineStr">
        <is>
          <t>Diccionario 3</t>
        </is>
      </c>
      <c r="FD2333" s="15" t="inlineStr">
        <is>
          <t>VFRG45</t>
        </is>
      </c>
      <c r="FE2333" s="15" t="inlineStr">
        <is>
          <t>MDN35025010087</t>
        </is>
      </c>
      <c r="FF2333" s="15" t="inlineStr">
        <is>
          <t>LDYECS318S0043829</t>
        </is>
      </c>
      <c r="FG2333" s="15" t="inlineStr">
        <is>
          <t>Zhong Tong</t>
        </is>
      </c>
      <c r="FH2333" s="15" t="inlineStr">
        <is>
          <t>Lck6122evg</t>
        </is>
      </c>
      <c r="FI2333" s="15" t="inlineStr">
        <is>
          <t>ZHONGTONG</t>
        </is>
      </c>
      <c r="FJ2333" s="15" t="inlineStr">
        <is>
          <t>LCK6122EVG</t>
        </is>
      </c>
      <c r="FK2333" s="15" t="n">
        <v>2025</v>
      </c>
      <c r="FL2333" s="15" t="inlineStr">
        <is>
          <t>B</t>
        </is>
      </c>
      <c r="FM2333" s="15" t="inlineStr">
        <is>
          <t>PIE ANDINO</t>
        </is>
      </c>
      <c r="FN2333" s="15" t="inlineStr">
        <is>
          <t>Pie Andino 31 (Pie Andino 383)</t>
        </is>
      </c>
      <c r="FO2333" s="15" t="inlineStr">
        <is>
          <t>Puente Alto</t>
        </is>
      </c>
      <c r="FP2333" t="inlineStr">
        <is>
          <t>B</t>
        </is>
      </c>
    </row>
    <row r="2334">
      <c r="FC2334" t="inlineStr">
        <is>
          <t>Diccionario 3</t>
        </is>
      </c>
      <c r="FD2334" s="15" t="inlineStr">
        <is>
          <t>VGBS15</t>
        </is>
      </c>
      <c r="FE2334" s="15" t="inlineStr">
        <is>
          <t>MDN35025010031</t>
        </is>
      </c>
      <c r="FF2334" s="15" t="inlineStr">
        <is>
          <t>LDYECS318S0043832</t>
        </is>
      </c>
      <c r="FG2334" s="15" t="inlineStr">
        <is>
          <t>Zhong Tong</t>
        </is>
      </c>
      <c r="FH2334" s="15" t="inlineStr">
        <is>
          <t>Lck6122evg</t>
        </is>
      </c>
      <c r="FI2334" s="15" t="inlineStr">
        <is>
          <t>ZHONGTONG</t>
        </is>
      </c>
      <c r="FJ2334" s="15" t="inlineStr">
        <is>
          <t>LCK6122EVG</t>
        </is>
      </c>
      <c r="FK2334" s="15" t="n">
        <v>2025</v>
      </c>
      <c r="FL2334" s="15" t="inlineStr">
        <is>
          <t>B</t>
        </is>
      </c>
      <c r="FM2334" s="15" t="inlineStr">
        <is>
          <t>SAN ALFONSO</t>
        </is>
      </c>
      <c r="FN2334" s="15" t="inlineStr">
        <is>
          <t>San Alfonso 2141 (Ramón Subercaseaux 3060)</t>
        </is>
      </c>
      <c r="FO2334" s="15" t="inlineStr">
        <is>
          <t>Estacion Central</t>
        </is>
      </c>
      <c r="FP2334" t="inlineStr">
        <is>
          <t>B</t>
        </is>
      </c>
    </row>
    <row r="2335">
      <c r="FC2335" t="inlineStr">
        <is>
          <t>Diccionario 3</t>
        </is>
      </c>
      <c r="FD2335" s="15" t="inlineStr">
        <is>
          <t>VGBV29</t>
        </is>
      </c>
      <c r="FE2335" s="15" t="inlineStr">
        <is>
          <t>MDN35025010251</t>
        </is>
      </c>
      <c r="FF2335" s="15" t="inlineStr">
        <is>
          <t>LDYECS314S0043844</t>
        </is>
      </c>
      <c r="FG2335" s="15" t="inlineStr">
        <is>
          <t>Zhong Tong</t>
        </is>
      </c>
      <c r="FH2335" s="15" t="inlineStr">
        <is>
          <t>Lck6122evg</t>
        </is>
      </c>
      <c r="FI2335" s="15" t="inlineStr">
        <is>
          <t>ZHONGTONG</t>
        </is>
      </c>
      <c r="FJ2335" s="15" t="inlineStr">
        <is>
          <t>LCK6122EVG</t>
        </is>
      </c>
      <c r="FK2335" s="15" t="n">
        <v>2025</v>
      </c>
      <c r="FL2335" s="15" t="inlineStr">
        <is>
          <t>B</t>
        </is>
      </c>
      <c r="FM2335" s="15" t="inlineStr">
        <is>
          <t>SAN ALFONSO</t>
        </is>
      </c>
      <c r="FN2335" s="15" t="inlineStr">
        <is>
          <t>San Alfonso 2141 (Ramón Subercaseaux 3060)</t>
        </is>
      </c>
      <c r="FO2335" s="15" t="inlineStr">
        <is>
          <t>Estacion Central</t>
        </is>
      </c>
      <c r="FP2335" t="inlineStr">
        <is>
          <t>B</t>
        </is>
      </c>
    </row>
    <row r="2336">
      <c r="FC2336" t="inlineStr">
        <is>
          <t>Diccionario 3</t>
        </is>
      </c>
      <c r="FD2336" s="15" t="inlineStr">
        <is>
          <t>VGBV35</t>
        </is>
      </c>
      <c r="FE2336" s="15" t="inlineStr">
        <is>
          <t>MDN35025010092</t>
        </is>
      </c>
      <c r="FF2336" s="15" t="inlineStr">
        <is>
          <t>LDYECS316S0043828</t>
        </is>
      </c>
      <c r="FG2336" s="15" t="inlineStr">
        <is>
          <t>Zhong Tong</t>
        </is>
      </c>
      <c r="FH2336" s="15" t="inlineStr">
        <is>
          <t>Lck6122evg</t>
        </is>
      </c>
      <c r="FI2336" s="15" t="inlineStr">
        <is>
          <t>ZHONGTONG</t>
        </is>
      </c>
      <c r="FJ2336" s="15" t="inlineStr">
        <is>
          <t>LCK6122EVG</t>
        </is>
      </c>
      <c r="FK2336" s="15" t="n">
        <v>2025</v>
      </c>
      <c r="FL2336" s="15" t="inlineStr">
        <is>
          <t>B</t>
        </is>
      </c>
      <c r="FM2336" s="15" t="inlineStr">
        <is>
          <t>SAN ALFONSO</t>
        </is>
      </c>
      <c r="FN2336" s="15" t="inlineStr">
        <is>
          <t>San Alfonso 2141 (Ramón Subercaseaux 3060)</t>
        </is>
      </c>
      <c r="FO2336" s="15" t="inlineStr">
        <is>
          <t>Estacion Central</t>
        </is>
      </c>
      <c r="FP2336" t="inlineStr">
        <is>
          <t>B</t>
        </is>
      </c>
    </row>
    <row r="2337">
      <c r="FC2337" t="inlineStr">
        <is>
          <t>Diccionario 3</t>
        </is>
      </c>
      <c r="FD2337" s="15" t="inlineStr">
        <is>
          <t>VGBV36</t>
        </is>
      </c>
      <c r="FE2337" s="15" t="inlineStr">
        <is>
          <t>MDN35025010241</t>
        </is>
      </c>
      <c r="FF2337" s="15" t="inlineStr">
        <is>
          <t>LDYECS312S0043843</t>
        </is>
      </c>
      <c r="FG2337" s="15" t="inlineStr">
        <is>
          <t>Zhong Tong</t>
        </is>
      </c>
      <c r="FH2337" s="15" t="inlineStr">
        <is>
          <t>Lck6122evg</t>
        </is>
      </c>
      <c r="FI2337" s="15" t="inlineStr">
        <is>
          <t>ZHONGTONG</t>
        </is>
      </c>
      <c r="FJ2337" s="15" t="inlineStr">
        <is>
          <t>LCK6122EVG</t>
        </is>
      </c>
      <c r="FK2337" s="15" t="n">
        <v>2025</v>
      </c>
      <c r="FL2337" s="15" t="inlineStr">
        <is>
          <t>B</t>
        </is>
      </c>
      <c r="FM2337" s="15" t="inlineStr">
        <is>
          <t>PIE ANDINO</t>
        </is>
      </c>
      <c r="FN2337" s="15" t="inlineStr">
        <is>
          <t>Pie Andino 31 (Pie Andino 383)</t>
        </is>
      </c>
      <c r="FO2337" s="15" t="inlineStr">
        <is>
          <t>Puente Alto</t>
        </is>
      </c>
      <c r="FP2337" t="inlineStr">
        <is>
          <t>B</t>
        </is>
      </c>
    </row>
    <row r="2338">
      <c r="FC2338" t="inlineStr">
        <is>
          <t>Diccionario 3</t>
        </is>
      </c>
      <c r="FD2338" s="15" t="inlineStr">
        <is>
          <t>VGBV41</t>
        </is>
      </c>
      <c r="FE2338" s="15" t="inlineStr">
        <is>
          <t>MDN35025010100</t>
        </is>
      </c>
      <c r="FF2338" s="15" t="inlineStr">
        <is>
          <t>LDYECS319S0043841</t>
        </is>
      </c>
      <c r="FG2338" s="15" t="inlineStr">
        <is>
          <t>Zhong Tong</t>
        </is>
      </c>
      <c r="FH2338" s="15" t="inlineStr">
        <is>
          <t>Lck6122evg</t>
        </is>
      </c>
      <c r="FI2338" s="15" t="inlineStr">
        <is>
          <t>ZHONGTONG</t>
        </is>
      </c>
      <c r="FJ2338" s="15" t="inlineStr">
        <is>
          <t>LCK6122EVG</t>
        </is>
      </c>
      <c r="FK2338" s="15" t="n">
        <v>2025</v>
      </c>
      <c r="FL2338" s="15" t="inlineStr">
        <is>
          <t>B</t>
        </is>
      </c>
      <c r="FM2338" s="15" t="inlineStr">
        <is>
          <t>CERRILLOS</t>
        </is>
      </c>
      <c r="FN2338" s="15" t="inlineStr">
        <is>
          <t>Calle Uno 7371</t>
        </is>
      </c>
      <c r="FO2338" s="15" t="inlineStr">
        <is>
          <t>Cerrillos</t>
        </is>
      </c>
      <c r="FP2338" t="inlineStr">
        <is>
          <t>B</t>
        </is>
      </c>
    </row>
    <row r="2339">
      <c r="FC2339" t="inlineStr">
        <is>
          <t>Diccionario 3</t>
        </is>
      </c>
      <c r="FD2339" s="15" t="inlineStr">
        <is>
          <t>VGBV51</t>
        </is>
      </c>
      <c r="FE2339" s="15" t="inlineStr">
        <is>
          <t>MDN35025010022</t>
        </is>
      </c>
      <c r="FF2339" s="15" t="inlineStr">
        <is>
          <t>LDYECS312S0043826</t>
        </is>
      </c>
      <c r="FG2339" s="15" t="inlineStr">
        <is>
          <t>Zhong Tong</t>
        </is>
      </c>
      <c r="FH2339" s="15" t="inlineStr">
        <is>
          <t>Lck6122evg</t>
        </is>
      </c>
      <c r="FI2339" s="15" t="inlineStr">
        <is>
          <t>ZHONGTONG</t>
        </is>
      </c>
      <c r="FJ2339" s="15" t="inlineStr">
        <is>
          <t>LCK6122EVG</t>
        </is>
      </c>
      <c r="FK2339" s="15" t="n">
        <v>2025</v>
      </c>
      <c r="FL2339" s="15" t="inlineStr">
        <is>
          <t>B</t>
        </is>
      </c>
      <c r="FM2339" s="15" t="inlineStr">
        <is>
          <t>SAN ALFONSO</t>
        </is>
      </c>
      <c r="FN2339" s="15" t="inlineStr">
        <is>
          <t>San Alfonso 2141 (Ramón Subercaseaux 3060)</t>
        </is>
      </c>
      <c r="FO2339" s="15" t="inlineStr">
        <is>
          <t>Estacion Central</t>
        </is>
      </c>
      <c r="FP2339" t="inlineStr">
        <is>
          <t>B</t>
        </is>
      </c>
    </row>
    <row r="2340">
      <c r="FC2340" t="inlineStr">
        <is>
          <t>Diccionario 3</t>
        </is>
      </c>
      <c r="FD2340" s="15" t="inlineStr">
        <is>
          <t>VGBV55</t>
        </is>
      </c>
      <c r="FE2340" s="15" t="inlineStr">
        <is>
          <t>MDN35025010032</t>
        </is>
      </c>
      <c r="FF2340" s="15" t="inlineStr">
        <is>
          <t>LDYECS315S0043836</t>
        </is>
      </c>
      <c r="FG2340" s="15" t="inlineStr">
        <is>
          <t>Zhong Tong</t>
        </is>
      </c>
      <c r="FH2340" s="15" t="inlineStr">
        <is>
          <t>Lck6122evg</t>
        </is>
      </c>
      <c r="FI2340" s="15" t="inlineStr">
        <is>
          <t>ZHONGTONG</t>
        </is>
      </c>
      <c r="FJ2340" s="15" t="inlineStr">
        <is>
          <t>LCK6122EVG</t>
        </is>
      </c>
      <c r="FK2340" s="15" t="n">
        <v>2025</v>
      </c>
      <c r="FL2340" s="15" t="inlineStr">
        <is>
          <t>B</t>
        </is>
      </c>
      <c r="FM2340" s="15" t="inlineStr">
        <is>
          <t>PIE ANDINO</t>
        </is>
      </c>
      <c r="FN2340" s="15" t="inlineStr">
        <is>
          <t>Pie Andino 31 (Pie Andino 383)</t>
        </is>
      </c>
      <c r="FO2340" s="15" t="inlineStr">
        <is>
          <t>Puente Alto</t>
        </is>
      </c>
      <c r="FP2340" t="inlineStr">
        <is>
          <t>B</t>
        </is>
      </c>
    </row>
    <row r="2341">
      <c r="FC2341" t="inlineStr">
        <is>
          <t>Diccionario 3</t>
        </is>
      </c>
      <c r="FD2341" s="15" t="inlineStr">
        <is>
          <t>VGBV69</t>
        </is>
      </c>
      <c r="FE2341" s="15" t="inlineStr">
        <is>
          <t>MDN35025010096</t>
        </is>
      </c>
      <c r="FF2341" s="15" t="inlineStr">
        <is>
          <t>LDYECS310S0043825</t>
        </is>
      </c>
      <c r="FG2341" s="15" t="inlineStr">
        <is>
          <t>Zhong Tong</t>
        </is>
      </c>
      <c r="FH2341" s="15" t="inlineStr">
        <is>
          <t>Lck6122evg</t>
        </is>
      </c>
      <c r="FI2341" s="15" t="inlineStr">
        <is>
          <t>ZHONGTONG</t>
        </is>
      </c>
      <c r="FJ2341" s="15" t="inlineStr">
        <is>
          <t>LCK6122EVG</t>
        </is>
      </c>
      <c r="FK2341" s="15" t="n">
        <v>2025</v>
      </c>
      <c r="FL2341" s="15" t="inlineStr">
        <is>
          <t>B</t>
        </is>
      </c>
      <c r="FM2341" s="15" t="inlineStr">
        <is>
          <t>SAN ALFONSO</t>
        </is>
      </c>
      <c r="FN2341" s="15" t="inlineStr">
        <is>
          <t>San Alfonso 2141 (Ramón Subercaseaux 3060)</t>
        </is>
      </c>
      <c r="FO2341" s="15" t="inlineStr">
        <is>
          <t>Estacion Central</t>
        </is>
      </c>
      <c r="FP2341" t="inlineStr">
        <is>
          <t>B</t>
        </is>
      </c>
    </row>
    <row r="2342">
      <c r="FC2342" t="inlineStr">
        <is>
          <t>Diccionario 3</t>
        </is>
      </c>
      <c r="FD2342" s="15" t="inlineStr">
        <is>
          <t>VGBV79</t>
        </is>
      </c>
      <c r="FE2342" s="15" t="inlineStr">
        <is>
          <t>MDN35025010133</t>
        </is>
      </c>
      <c r="FF2342" s="15" t="inlineStr">
        <is>
          <t>LDYECS310S0043842</t>
        </is>
      </c>
      <c r="FG2342" s="15" t="inlineStr">
        <is>
          <t>Zhong Tong</t>
        </is>
      </c>
      <c r="FH2342" s="15" t="inlineStr">
        <is>
          <t>Lck6122evg</t>
        </is>
      </c>
      <c r="FI2342" s="15" t="inlineStr">
        <is>
          <t>ZHONGTONG</t>
        </is>
      </c>
      <c r="FJ2342" s="15" t="inlineStr">
        <is>
          <t>LCK6122EVG</t>
        </is>
      </c>
      <c r="FK2342" s="15" t="n">
        <v>2025</v>
      </c>
      <c r="FL2342" s="15" t="inlineStr">
        <is>
          <t>B</t>
        </is>
      </c>
      <c r="FM2342" s="15" t="inlineStr">
        <is>
          <t>SAN ALFONSO</t>
        </is>
      </c>
      <c r="FN2342" s="15" t="inlineStr">
        <is>
          <t>San Alfonso 2141 (Ramón Subercaseaux 3060)</t>
        </is>
      </c>
      <c r="FO2342" s="15" t="inlineStr">
        <is>
          <t>Estacion Central</t>
        </is>
      </c>
      <c r="FP2342" t="inlineStr">
        <is>
          <t>B</t>
        </is>
      </c>
    </row>
    <row r="2343">
      <c r="FC2343" t="inlineStr">
        <is>
          <t>Diccionario 3</t>
        </is>
      </c>
      <c r="FD2343" s="15" t="inlineStr">
        <is>
          <t>VGBV99</t>
        </is>
      </c>
      <c r="FE2343" s="15" t="inlineStr">
        <is>
          <t>MDN35025020065</t>
        </is>
      </c>
      <c r="FF2343" s="15" t="inlineStr">
        <is>
          <t>LDYECS317S0043854</t>
        </is>
      </c>
      <c r="FG2343" s="15" t="inlineStr">
        <is>
          <t>Zhong Tong</t>
        </is>
      </c>
      <c r="FH2343" s="15" t="inlineStr">
        <is>
          <t>Lck6122evg</t>
        </is>
      </c>
      <c r="FI2343" s="15" t="inlineStr">
        <is>
          <t>ZHONGTONG</t>
        </is>
      </c>
      <c r="FJ2343" s="15" t="inlineStr">
        <is>
          <t>LCK6122EVG</t>
        </is>
      </c>
      <c r="FK2343" s="15" t="n">
        <v>2025</v>
      </c>
      <c r="FL2343" s="15" t="inlineStr">
        <is>
          <t>B</t>
        </is>
      </c>
      <c r="FM2343" s="15" t="inlineStr">
        <is>
          <t>PIE ANDINO</t>
        </is>
      </c>
      <c r="FN2343" s="15" t="inlineStr">
        <is>
          <t>Pie Andino 31 (Pie Andino 383)</t>
        </is>
      </c>
      <c r="FO2343" s="15" t="inlineStr">
        <is>
          <t>Puente Alto</t>
        </is>
      </c>
      <c r="FP2343" t="inlineStr">
        <is>
          <t>B</t>
        </is>
      </c>
    </row>
    <row r="2344">
      <c r="FC2344" t="inlineStr">
        <is>
          <t>Diccionario 3</t>
        </is>
      </c>
      <c r="FD2344" s="15" t="inlineStr">
        <is>
          <t>VGBW19</t>
        </is>
      </c>
      <c r="FE2344" s="15" t="inlineStr">
        <is>
          <t>MDN35025020066</t>
        </is>
      </c>
      <c r="FF2344" s="15" t="inlineStr">
        <is>
          <t>LDYECS313S0043849</t>
        </is>
      </c>
      <c r="FG2344" s="15" t="inlineStr">
        <is>
          <t>Zhong Tong</t>
        </is>
      </c>
      <c r="FH2344" s="15" t="inlineStr">
        <is>
          <t>Lck6122evg</t>
        </is>
      </c>
      <c r="FI2344" s="15" t="inlineStr">
        <is>
          <t>ZHONGTONG</t>
        </is>
      </c>
      <c r="FJ2344" s="15" t="inlineStr">
        <is>
          <t>LCK6122EVG</t>
        </is>
      </c>
      <c r="FK2344" s="15" t="n">
        <v>2025</v>
      </c>
      <c r="FL2344" s="15" t="inlineStr">
        <is>
          <t>B</t>
        </is>
      </c>
      <c r="FM2344" s="15" t="inlineStr">
        <is>
          <t>PIE ANDINO</t>
        </is>
      </c>
      <c r="FN2344" s="15" t="inlineStr">
        <is>
          <t>Pie Andino 31 (Pie Andino 383)</t>
        </is>
      </c>
      <c r="FO2344" s="15" t="inlineStr">
        <is>
          <t>Puente Alto</t>
        </is>
      </c>
      <c r="FP2344" t="inlineStr">
        <is>
          <t>B</t>
        </is>
      </c>
    </row>
    <row r="2345">
      <c r="FC2345" t="inlineStr">
        <is>
          <t>Diccionario 3</t>
        </is>
      </c>
      <c r="FD2345" s="15" t="inlineStr">
        <is>
          <t>VGBW29</t>
        </is>
      </c>
      <c r="FE2345" s="15" t="inlineStr">
        <is>
          <t>MDN35025010238</t>
        </is>
      </c>
      <c r="FF2345" s="15" t="inlineStr">
        <is>
          <t>LDYECS311S0043848</t>
        </is>
      </c>
      <c r="FG2345" s="15" t="inlineStr">
        <is>
          <t>Zhong Tong</t>
        </is>
      </c>
      <c r="FH2345" s="15" t="inlineStr">
        <is>
          <t>Lck6122evg</t>
        </is>
      </c>
      <c r="FI2345" s="15" t="inlineStr">
        <is>
          <t>ZHONGTONG</t>
        </is>
      </c>
      <c r="FJ2345" s="15" t="inlineStr">
        <is>
          <t>LCK6122EVG</t>
        </is>
      </c>
      <c r="FK2345" s="15" t="n">
        <v>2025</v>
      </c>
      <c r="FL2345" s="15" t="inlineStr">
        <is>
          <t>B</t>
        </is>
      </c>
      <c r="FM2345" s="15" t="inlineStr">
        <is>
          <t>PIE ANDINO</t>
        </is>
      </c>
      <c r="FN2345" s="15" t="inlineStr">
        <is>
          <t>Pie Andino 31 (Pie Andino 383)</t>
        </is>
      </c>
      <c r="FO2345" s="15" t="inlineStr">
        <is>
          <t>Puente Alto</t>
        </is>
      </c>
      <c r="FP2345" t="inlineStr">
        <is>
          <t>B</t>
        </is>
      </c>
    </row>
    <row r="2346">
      <c r="FC2346" t="inlineStr">
        <is>
          <t>Diccionario 3</t>
        </is>
      </c>
      <c r="FD2346" s="15" t="inlineStr">
        <is>
          <t>VGBW39</t>
        </is>
      </c>
      <c r="FE2346" s="15" t="inlineStr">
        <is>
          <t>MDN35025010109</t>
        </is>
      </c>
      <c r="FF2346" s="15" t="inlineStr">
        <is>
          <t>LDYECS31XS0043847</t>
        </is>
      </c>
      <c r="FG2346" s="15" t="inlineStr">
        <is>
          <t>Zhong Tong</t>
        </is>
      </c>
      <c r="FH2346" s="15" t="inlineStr">
        <is>
          <t>Lck6122evg</t>
        </is>
      </c>
      <c r="FI2346" s="15" t="inlineStr">
        <is>
          <t>ZHONGTONG</t>
        </is>
      </c>
      <c r="FJ2346" s="15" t="inlineStr">
        <is>
          <t>LCK6122EVG</t>
        </is>
      </c>
      <c r="FK2346" s="15" t="n">
        <v>2025</v>
      </c>
      <c r="FL2346" s="15" t="inlineStr">
        <is>
          <t>B</t>
        </is>
      </c>
      <c r="FM2346" s="15" t="inlineStr">
        <is>
          <t>SAN ALFONSO</t>
        </is>
      </c>
      <c r="FN2346" s="15" t="inlineStr">
        <is>
          <t>San Alfonso 2141 (Ramón Subercaseaux 3060)</t>
        </is>
      </c>
      <c r="FO2346" s="15" t="inlineStr">
        <is>
          <t>Estacion Central</t>
        </is>
      </c>
      <c r="FP2346" t="inlineStr">
        <is>
          <t>B</t>
        </is>
      </c>
    </row>
    <row r="2347">
      <c r="FC2347" t="inlineStr">
        <is>
          <t>Diccionario 3</t>
        </is>
      </c>
      <c r="FD2347" s="15" t="inlineStr">
        <is>
          <t>VGBW48</t>
        </is>
      </c>
      <c r="FE2347" s="15" t="inlineStr">
        <is>
          <t>MDN35025010035</t>
        </is>
      </c>
      <c r="FF2347" s="15" t="inlineStr">
        <is>
          <t>LDYECS314S0043827</t>
        </is>
      </c>
      <c r="FG2347" s="15" t="inlineStr">
        <is>
          <t>Zhong Tong</t>
        </is>
      </c>
      <c r="FH2347" s="15" t="inlineStr">
        <is>
          <t>Lck6122evg</t>
        </is>
      </c>
      <c r="FI2347" s="15" t="inlineStr">
        <is>
          <t>ZHONGTONG</t>
        </is>
      </c>
      <c r="FJ2347" s="15" t="inlineStr">
        <is>
          <t>LCK6122EVG</t>
        </is>
      </c>
      <c r="FK2347" s="15" t="n">
        <v>2025</v>
      </c>
      <c r="FL2347" s="15" t="inlineStr">
        <is>
          <t>B</t>
        </is>
      </c>
      <c r="FM2347" s="15" t="inlineStr">
        <is>
          <t>PIE ANDINO</t>
        </is>
      </c>
      <c r="FN2347" s="15" t="inlineStr">
        <is>
          <t>Pie Andino 31 (Pie Andino 383)</t>
        </is>
      </c>
      <c r="FO2347" s="15" t="inlineStr">
        <is>
          <t>Puente Alto</t>
        </is>
      </c>
      <c r="FP2347" t="inlineStr">
        <is>
          <t>B</t>
        </is>
      </c>
    </row>
    <row r="2348">
      <c r="FC2348" t="inlineStr">
        <is>
          <t>Diccionario 3</t>
        </is>
      </c>
      <c r="FD2348" s="15" t="inlineStr">
        <is>
          <t>VGBW58</t>
        </is>
      </c>
      <c r="FE2348" s="15" t="inlineStr">
        <is>
          <t>MDN35025010026</t>
        </is>
      </c>
      <c r="FF2348" s="15" t="inlineStr">
        <is>
          <t>LDYECS313S0043835</t>
        </is>
      </c>
      <c r="FG2348" s="15" t="inlineStr">
        <is>
          <t>Zhong Tong</t>
        </is>
      </c>
      <c r="FH2348" s="15" t="inlineStr">
        <is>
          <t>Lck6122evg</t>
        </is>
      </c>
      <c r="FI2348" s="15" t="inlineStr">
        <is>
          <t>ZHONGTONG</t>
        </is>
      </c>
      <c r="FJ2348" s="15" t="inlineStr">
        <is>
          <t>LCK6122EVG</t>
        </is>
      </c>
      <c r="FK2348" s="15" t="n">
        <v>2025</v>
      </c>
      <c r="FL2348" s="15" t="inlineStr">
        <is>
          <t>B</t>
        </is>
      </c>
      <c r="FM2348" s="15" t="inlineStr">
        <is>
          <t>PIE ANDINO</t>
        </is>
      </c>
      <c r="FN2348" s="15" t="inlineStr">
        <is>
          <t>Pie Andino 31 (Pie Andino 383)</t>
        </is>
      </c>
      <c r="FO2348" s="15" t="inlineStr">
        <is>
          <t>Puente Alto</t>
        </is>
      </c>
      <c r="FP2348" t="inlineStr">
        <is>
          <t>B</t>
        </is>
      </c>
    </row>
    <row r="2349">
      <c r="FC2349" t="inlineStr">
        <is>
          <t>Diccionario 3</t>
        </is>
      </c>
      <c r="FD2349" s="15" t="inlineStr">
        <is>
          <t>VGBW68</t>
        </is>
      </c>
      <c r="FE2349" s="15" t="inlineStr">
        <is>
          <t>MDN35025020082</t>
        </is>
      </c>
      <c r="FF2349" s="15" t="inlineStr">
        <is>
          <t>LDYECS315S0043853</t>
        </is>
      </c>
      <c r="FG2349" s="15" t="inlineStr">
        <is>
          <t>Zhong Tong</t>
        </is>
      </c>
      <c r="FH2349" s="15" t="inlineStr">
        <is>
          <t>Lck6122evg</t>
        </is>
      </c>
      <c r="FI2349" s="15" t="inlineStr">
        <is>
          <t>ZHONGTONG</t>
        </is>
      </c>
      <c r="FJ2349" s="15" t="inlineStr">
        <is>
          <t>LCK6122EVG</t>
        </is>
      </c>
      <c r="FK2349" s="15" t="n">
        <v>2025</v>
      </c>
      <c r="FL2349" s="15" t="inlineStr">
        <is>
          <t>B</t>
        </is>
      </c>
      <c r="FM2349" s="15" t="inlineStr">
        <is>
          <t>CERRILLOS</t>
        </is>
      </c>
      <c r="FN2349" s="15" t="inlineStr">
        <is>
          <t>Calle Uno 7371</t>
        </is>
      </c>
      <c r="FO2349" s="15" t="inlineStr">
        <is>
          <t>Cerrillos</t>
        </is>
      </c>
      <c r="FP2349" t="inlineStr">
        <is>
          <t>B</t>
        </is>
      </c>
    </row>
    <row r="2350">
      <c r="FC2350" t="inlineStr">
        <is>
          <t>Diccionario 3</t>
        </is>
      </c>
      <c r="FD2350" s="15" t="inlineStr">
        <is>
          <t>VGBW98</t>
        </is>
      </c>
      <c r="FE2350" s="15" t="inlineStr">
        <is>
          <t>MDN35025010099</t>
        </is>
      </c>
      <c r="FF2350" s="15" t="inlineStr">
        <is>
          <t>LDYECS317S0043837</t>
        </is>
      </c>
      <c r="FG2350" s="15" t="inlineStr">
        <is>
          <t>Zhong Tong</t>
        </is>
      </c>
      <c r="FH2350" s="15" t="inlineStr">
        <is>
          <t>Lck6122evg</t>
        </is>
      </c>
      <c r="FI2350" s="15" t="inlineStr">
        <is>
          <t>ZHONGTONG</t>
        </is>
      </c>
      <c r="FJ2350" s="15" t="inlineStr">
        <is>
          <t>LCK6122EVG</t>
        </is>
      </c>
      <c r="FK2350" s="15" t="n">
        <v>2025</v>
      </c>
      <c r="FL2350" s="15" t="inlineStr">
        <is>
          <t>B</t>
        </is>
      </c>
      <c r="FM2350" s="15" t="inlineStr">
        <is>
          <t>SAN ALFONSO</t>
        </is>
      </c>
      <c r="FN2350" s="15" t="inlineStr">
        <is>
          <t>San Alfonso 2141 (Ramón Subercaseaux 3060)</t>
        </is>
      </c>
      <c r="FO2350" s="15" t="inlineStr">
        <is>
          <t>Estacion Central</t>
        </is>
      </c>
      <c r="FP2350" t="inlineStr">
        <is>
          <t>B</t>
        </is>
      </c>
    </row>
    <row r="2351">
      <c r="FC2351" t="inlineStr">
        <is>
          <t>Diccionario 3</t>
        </is>
      </c>
      <c r="FD2351" s="15" t="inlineStr">
        <is>
          <t>VGBW99</t>
        </is>
      </c>
      <c r="FE2351" s="15" t="inlineStr">
        <is>
          <t>MDN35025020081</t>
        </is>
      </c>
      <c r="FF2351" s="15" t="inlineStr">
        <is>
          <t>LDYECS313S0043852</t>
        </is>
      </c>
      <c r="FG2351" s="15" t="inlineStr">
        <is>
          <t>Zhong Tong</t>
        </is>
      </c>
      <c r="FH2351" s="15" t="inlineStr">
        <is>
          <t>Lck6122evg</t>
        </is>
      </c>
      <c r="FI2351" s="15" t="inlineStr">
        <is>
          <t>ZHONGTONG</t>
        </is>
      </c>
      <c r="FJ2351" s="15" t="inlineStr">
        <is>
          <t>LCK6122EVG</t>
        </is>
      </c>
      <c r="FK2351" s="15" t="n">
        <v>2025</v>
      </c>
      <c r="FL2351" s="15" t="inlineStr">
        <is>
          <t>B</t>
        </is>
      </c>
      <c r="FM2351" s="15" t="inlineStr">
        <is>
          <t>SAN ALFONSO</t>
        </is>
      </c>
      <c r="FN2351" s="15" t="inlineStr">
        <is>
          <t>San Alfonso 2141 (Ramón Subercaseaux 3060)</t>
        </is>
      </c>
      <c r="FO2351" s="15" t="inlineStr">
        <is>
          <t>Estacion Central</t>
        </is>
      </c>
      <c r="FP2351" t="inlineStr">
        <is>
          <t>B</t>
        </is>
      </c>
    </row>
    <row r="2352">
      <c r="FC2352" t="inlineStr">
        <is>
          <t>Diccionario 3</t>
        </is>
      </c>
      <c r="FD2352" s="15" t="inlineStr">
        <is>
          <t>VGBX29</t>
        </is>
      </c>
      <c r="FE2352" s="15" t="inlineStr">
        <is>
          <t>MDN35025010250</t>
        </is>
      </c>
      <c r="FF2352" s="15" t="inlineStr">
        <is>
          <t>LDYECS316S0043845</t>
        </is>
      </c>
      <c r="FG2352" s="15" t="inlineStr">
        <is>
          <t>Zhong Tong</t>
        </is>
      </c>
      <c r="FH2352" s="15" t="inlineStr">
        <is>
          <t>Lck6122evg</t>
        </is>
      </c>
      <c r="FI2352" s="15" t="inlineStr">
        <is>
          <t>ZHONGTONG</t>
        </is>
      </c>
      <c r="FJ2352" s="15" t="inlineStr">
        <is>
          <t>LCK6122EVG</t>
        </is>
      </c>
      <c r="FK2352" s="15" t="n">
        <v>2025</v>
      </c>
      <c r="FL2352" s="15" t="inlineStr">
        <is>
          <t>B</t>
        </is>
      </c>
      <c r="FM2352" s="15" t="inlineStr">
        <is>
          <t>PIE ANDINO</t>
        </is>
      </c>
      <c r="FN2352" s="15" t="inlineStr">
        <is>
          <t>Pie Andino 31 (Pie Andino 383)</t>
        </is>
      </c>
      <c r="FO2352" s="15" t="inlineStr">
        <is>
          <t>Puente Alto</t>
        </is>
      </c>
      <c r="FP2352" t="inlineStr">
        <is>
          <t>B</t>
        </is>
      </c>
    </row>
    <row r="2353">
      <c r="FC2353" t="inlineStr">
        <is>
          <t>Diccionario 3</t>
        </is>
      </c>
      <c r="FD2353" s="15" t="inlineStr">
        <is>
          <t>VGBX48</t>
        </is>
      </c>
      <c r="FE2353" s="15" t="inlineStr">
        <is>
          <t>MDN35025010138</t>
        </is>
      </c>
      <c r="FF2353" s="15" t="inlineStr">
        <is>
          <t>LDYECS31XS0043850</t>
        </is>
      </c>
      <c r="FG2353" s="15" t="inlineStr">
        <is>
          <t>Zhong Tong</t>
        </is>
      </c>
      <c r="FH2353" s="15" t="inlineStr">
        <is>
          <t>Lck6122evg</t>
        </is>
      </c>
      <c r="FI2353" s="15" t="inlineStr">
        <is>
          <t>ZHONGTONG</t>
        </is>
      </c>
      <c r="FJ2353" s="15" t="inlineStr">
        <is>
          <t>LCK6122EVG</t>
        </is>
      </c>
      <c r="FK2353" s="15" t="n">
        <v>2025</v>
      </c>
      <c r="FL2353" s="15" t="inlineStr">
        <is>
          <t>B</t>
        </is>
      </c>
      <c r="FM2353" s="15" t="inlineStr">
        <is>
          <t>PIE ANDINO</t>
        </is>
      </c>
      <c r="FN2353" s="15" t="inlineStr">
        <is>
          <t>Pie Andino 31 (Pie Andino 383)</t>
        </is>
      </c>
      <c r="FO2353" s="15" t="inlineStr">
        <is>
          <t>Puente Alto</t>
        </is>
      </c>
      <c r="FP2353" t="inlineStr">
        <is>
          <t>B</t>
        </is>
      </c>
    </row>
    <row r="2354">
      <c r="FC2354" t="inlineStr">
        <is>
          <t>Diccionario 3</t>
        </is>
      </c>
      <c r="FD2354" s="15" t="inlineStr">
        <is>
          <t>VGBX49</t>
        </is>
      </c>
      <c r="FE2354" s="15" t="inlineStr">
        <is>
          <t>MDN35025020236</t>
        </is>
      </c>
      <c r="FF2354" s="15" t="inlineStr">
        <is>
          <t>LDYECS310S0043856</t>
        </is>
      </c>
      <c r="FG2354" s="15" t="inlineStr">
        <is>
          <t>Zhong Tong</t>
        </is>
      </c>
      <c r="FH2354" s="15" t="inlineStr">
        <is>
          <t>Lck6122evg</t>
        </is>
      </c>
      <c r="FI2354" s="15" t="inlineStr">
        <is>
          <t>ZHONGTONG</t>
        </is>
      </c>
      <c r="FJ2354" s="15" t="inlineStr">
        <is>
          <t>LCK6122EVG</t>
        </is>
      </c>
      <c r="FK2354" s="15" t="n">
        <v>2025</v>
      </c>
      <c r="FL2354" s="15" t="inlineStr">
        <is>
          <t>B</t>
        </is>
      </c>
      <c r="FM2354" s="15" t="inlineStr">
        <is>
          <t>PIE ANDINO</t>
        </is>
      </c>
      <c r="FN2354" s="15" t="inlineStr">
        <is>
          <t>Pie Andino 31 (Pie Andino 383)</t>
        </is>
      </c>
      <c r="FO2354" s="15" t="inlineStr">
        <is>
          <t>Puente Alto</t>
        </is>
      </c>
      <c r="FP2354" t="inlineStr">
        <is>
          <t>B</t>
        </is>
      </c>
    </row>
    <row r="2355">
      <c r="FC2355" t="inlineStr">
        <is>
          <t>Diccionario 3</t>
        </is>
      </c>
      <c r="FD2355" s="15" t="inlineStr">
        <is>
          <t>VGBX58</t>
        </is>
      </c>
      <c r="FE2355" s="15" t="inlineStr">
        <is>
          <t>MDN35025010240</t>
        </is>
      </c>
      <c r="FF2355" s="15" t="inlineStr">
        <is>
          <t>LDYECS317S0043840</t>
        </is>
      </c>
      <c r="FG2355" s="15" t="inlineStr">
        <is>
          <t>Zhong Tong</t>
        </is>
      </c>
      <c r="FH2355" s="15" t="inlineStr">
        <is>
          <t>Lck6122evg</t>
        </is>
      </c>
      <c r="FI2355" s="15" t="inlineStr">
        <is>
          <t>ZHONGTONG</t>
        </is>
      </c>
      <c r="FJ2355" s="15" t="inlineStr">
        <is>
          <t>LCK6122EVG</t>
        </is>
      </c>
      <c r="FK2355" s="15" t="n">
        <v>2025</v>
      </c>
      <c r="FL2355" s="15" t="inlineStr">
        <is>
          <t>B</t>
        </is>
      </c>
      <c r="FM2355" s="15" t="inlineStr">
        <is>
          <t>PIE ANDINO</t>
        </is>
      </c>
      <c r="FN2355" s="15" t="inlineStr">
        <is>
          <t>Pie Andino 31 (Pie Andino 383)</t>
        </is>
      </c>
      <c r="FO2355" s="15" t="inlineStr">
        <is>
          <t>Puente Alto</t>
        </is>
      </c>
      <c r="FP2355" t="inlineStr">
        <is>
          <t>B</t>
        </is>
      </c>
    </row>
    <row r="2356">
      <c r="FC2356" t="inlineStr">
        <is>
          <t>Diccionario 3</t>
        </is>
      </c>
      <c r="FD2356" s="15" t="inlineStr">
        <is>
          <t>VGBX59</t>
        </is>
      </c>
      <c r="FE2356" s="15" t="inlineStr">
        <is>
          <t>MDN35025010141</t>
        </is>
      </c>
      <c r="FF2356" s="15" t="inlineStr">
        <is>
          <t>LDYECS319S0043855</t>
        </is>
      </c>
      <c r="FG2356" s="15" t="inlineStr">
        <is>
          <t>Zhong Tong</t>
        </is>
      </c>
      <c r="FH2356" s="15" t="inlineStr">
        <is>
          <t>Lck6122evg</t>
        </is>
      </c>
      <c r="FI2356" s="15" t="inlineStr">
        <is>
          <t>ZHONGTONG</t>
        </is>
      </c>
      <c r="FJ2356" s="15" t="inlineStr">
        <is>
          <t>LCK6122EVG</t>
        </is>
      </c>
      <c r="FK2356" s="15" t="n">
        <v>2025</v>
      </c>
      <c r="FL2356" s="15" t="inlineStr">
        <is>
          <t>B</t>
        </is>
      </c>
      <c r="FM2356" s="15" t="inlineStr">
        <is>
          <t>LOS LIBERTADORES</t>
        </is>
      </c>
      <c r="FN2356" s="15" t="inlineStr">
        <is>
          <t>Los Liberadores 6450, Lote 4A</t>
        </is>
      </c>
      <c r="FO2356" s="15" t="inlineStr">
        <is>
          <t>Huechuraba</t>
        </is>
      </c>
      <c r="FP2356" t="inlineStr">
        <is>
          <t>B</t>
        </is>
      </c>
    </row>
    <row r="2357">
      <c r="FC2357" t="inlineStr">
        <is>
          <t>Diccionario 3</t>
        </is>
      </c>
      <c r="FD2357" s="15" t="inlineStr">
        <is>
          <t>VGBX78</t>
        </is>
      </c>
      <c r="FE2357" s="15" t="inlineStr">
        <is>
          <t>MDN35025010088</t>
        </is>
      </c>
      <c r="FF2357" s="15" t="inlineStr">
        <is>
          <t>LDYECS319S0043838</t>
        </is>
      </c>
      <c r="FG2357" s="15" t="inlineStr">
        <is>
          <t>Zhong Tong</t>
        </is>
      </c>
      <c r="FH2357" s="15" t="inlineStr">
        <is>
          <t>Lck6122evg</t>
        </is>
      </c>
      <c r="FI2357" s="15" t="inlineStr">
        <is>
          <t>ZHONGTONG</t>
        </is>
      </c>
      <c r="FJ2357" s="15" t="inlineStr">
        <is>
          <t>LCK6122EVG</t>
        </is>
      </c>
      <c r="FK2357" s="15" t="n">
        <v>2025</v>
      </c>
      <c r="FL2357" s="15" t="inlineStr">
        <is>
          <t>B</t>
        </is>
      </c>
      <c r="FM2357" s="15" t="inlineStr">
        <is>
          <t>LOS LIBERTADORES</t>
        </is>
      </c>
      <c r="FN2357" s="15" t="inlineStr">
        <is>
          <t>Los Liberadores 6450, Lote 4A</t>
        </is>
      </c>
      <c r="FO2357" s="15" t="inlineStr">
        <is>
          <t>Huechuraba</t>
        </is>
      </c>
      <c r="FP2357" t="inlineStr">
        <is>
          <t>B</t>
        </is>
      </c>
    </row>
    <row r="2358">
      <c r="FC2358" t="inlineStr">
        <is>
          <t>Diccionario 3</t>
        </is>
      </c>
      <c r="FD2358" s="15" t="inlineStr">
        <is>
          <t>VGCB39</t>
        </is>
      </c>
      <c r="FE2358" s="15" t="inlineStr">
        <is>
          <t>MDN35025010137</t>
        </is>
      </c>
      <c r="FF2358" s="15" t="inlineStr">
        <is>
          <t>LDYECS311S0043851</t>
        </is>
      </c>
      <c r="FG2358" s="15" t="inlineStr">
        <is>
          <t>Zhong Tong</t>
        </is>
      </c>
      <c r="FH2358" s="15" t="inlineStr">
        <is>
          <t>Lck6122evg</t>
        </is>
      </c>
      <c r="FI2358" s="15" t="inlineStr">
        <is>
          <t>ZHONGTONG</t>
        </is>
      </c>
      <c r="FJ2358" s="15" t="inlineStr">
        <is>
          <t>LCK6122EVG</t>
        </is>
      </c>
      <c r="FK2358" s="15" t="n">
        <v>2025</v>
      </c>
      <c r="FL2358" s="15" t="inlineStr">
        <is>
          <t>B</t>
        </is>
      </c>
      <c r="FM2358" s="15" t="inlineStr">
        <is>
          <t>LOS LIBERTADORES</t>
        </is>
      </c>
      <c r="FN2358" s="15" t="inlineStr">
        <is>
          <t>Los Liberadores 6450, Lote 4A</t>
        </is>
      </c>
      <c r="FO2358" s="15" t="inlineStr">
        <is>
          <t>Huechuraba</t>
        </is>
      </c>
      <c r="FP2358" t="inlineStr">
        <is>
          <t>B</t>
        </is>
      </c>
    </row>
    <row r="2359">
      <c r="FC2359" t="inlineStr">
        <is>
          <t>Diccionario 3</t>
        </is>
      </c>
      <c r="FD2359" s="15" t="inlineStr">
        <is>
          <t>VGCB59</t>
        </is>
      </c>
      <c r="FE2359" s="15" t="inlineStr">
        <is>
          <t>MDN35025010142</t>
        </is>
      </c>
      <c r="FF2359" s="15" t="inlineStr">
        <is>
          <t>LDYECS312S0043857</t>
        </is>
      </c>
      <c r="FG2359" s="15" t="inlineStr">
        <is>
          <t>Zhong Tong</t>
        </is>
      </c>
      <c r="FH2359" s="15" t="inlineStr">
        <is>
          <t>Lck6122evg</t>
        </is>
      </c>
      <c r="FI2359" s="15" t="inlineStr">
        <is>
          <t>ZHONGTONG</t>
        </is>
      </c>
      <c r="FJ2359" s="15" t="inlineStr">
        <is>
          <t>LCK6122EVG</t>
        </is>
      </c>
      <c r="FK2359" s="15" t="n">
        <v>2025</v>
      </c>
      <c r="FL2359" s="15" t="inlineStr">
        <is>
          <t>B</t>
        </is>
      </c>
      <c r="FM2359" s="15" t="inlineStr">
        <is>
          <t>CERRILLOS</t>
        </is>
      </c>
      <c r="FN2359" s="15" t="inlineStr">
        <is>
          <t>Calle Uno 7371</t>
        </is>
      </c>
      <c r="FO2359" s="15" t="inlineStr">
        <is>
          <t>Cerrillos</t>
        </is>
      </c>
      <c r="FP2359" t="inlineStr">
        <is>
          <t>B</t>
        </is>
      </c>
    </row>
    <row r="2360">
      <c r="FC2360" t="inlineStr">
        <is>
          <t>Diccionario 3</t>
        </is>
      </c>
      <c r="FD2360" s="15" t="inlineStr">
        <is>
          <t>VGKX42</t>
        </is>
      </c>
      <c r="FE2360" s="15" t="inlineStr">
        <is>
          <t>MDN35025030025</t>
        </is>
      </c>
      <c r="FF2360" s="15" t="inlineStr">
        <is>
          <t>LDYECS317S0044373</t>
        </is>
      </c>
      <c r="FG2360" s="15" t="inlineStr">
        <is>
          <t>Zhong Tong</t>
        </is>
      </c>
      <c r="FH2360" s="15" t="inlineStr">
        <is>
          <t>Lck6122evg</t>
        </is>
      </c>
      <c r="FI2360" s="15" t="inlineStr">
        <is>
          <t>ZHONGTONG</t>
        </is>
      </c>
      <c r="FJ2360" s="15" t="inlineStr">
        <is>
          <t>LCK6122EVG</t>
        </is>
      </c>
      <c r="FK2360" s="15" t="n">
        <v>2025</v>
      </c>
      <c r="FL2360" s="15" t="inlineStr">
        <is>
          <t>B</t>
        </is>
      </c>
      <c r="FM2360" s="15" t="inlineStr">
        <is>
          <t>PIE ANDINO</t>
        </is>
      </c>
      <c r="FN2360" s="15" t="inlineStr">
        <is>
          <t>Pie Andino 31 (Pie Andino 383)</t>
        </is>
      </c>
      <c r="FO2360" s="15" t="inlineStr">
        <is>
          <t>Puente Alto</t>
        </is>
      </c>
      <c r="FP2360" t="inlineStr">
        <is>
          <t>B</t>
        </is>
      </c>
    </row>
    <row r="2361">
      <c r="FC2361" t="inlineStr">
        <is>
          <t>Diccionario 3</t>
        </is>
      </c>
      <c r="FD2361" s="15" t="inlineStr">
        <is>
          <t>VGKX52</t>
        </is>
      </c>
      <c r="FE2361" s="15" t="inlineStr">
        <is>
          <t>MDN35025030153</t>
        </is>
      </c>
      <c r="FF2361" s="15" t="inlineStr">
        <is>
          <t>LDYECS310S0044327</t>
        </is>
      </c>
      <c r="FG2361" s="15" t="inlineStr">
        <is>
          <t>Zhong Tong</t>
        </is>
      </c>
      <c r="FH2361" s="15" t="inlineStr">
        <is>
          <t>Lck6122evg</t>
        </is>
      </c>
      <c r="FI2361" s="15" t="inlineStr">
        <is>
          <t>ZHONGTONG</t>
        </is>
      </c>
      <c r="FJ2361" s="15" t="inlineStr">
        <is>
          <t>LCK6122EVG</t>
        </is>
      </c>
      <c r="FK2361" s="15" t="n">
        <v>2025</v>
      </c>
      <c r="FL2361" s="15" t="inlineStr">
        <is>
          <t>B</t>
        </is>
      </c>
      <c r="FM2361" s="15" t="inlineStr">
        <is>
          <t>SAN ALFONSO</t>
        </is>
      </c>
      <c r="FN2361" s="15" t="inlineStr">
        <is>
          <t>San Alfonso 2141 (Ramón Subercaseaux 3060)</t>
        </is>
      </c>
      <c r="FO2361" s="15" t="inlineStr">
        <is>
          <t>Estacion Central</t>
        </is>
      </c>
      <c r="FP2361" t="inlineStr">
        <is>
          <t>B</t>
        </is>
      </c>
    </row>
    <row r="2362">
      <c r="FC2362" t="inlineStr">
        <is>
          <t>Diccionario 3</t>
        </is>
      </c>
      <c r="FD2362" s="15" t="inlineStr">
        <is>
          <t>VGKX62</t>
        </is>
      </c>
      <c r="FE2362" s="15" t="inlineStr">
        <is>
          <t>MDN35025030021</t>
        </is>
      </c>
      <c r="FF2362" s="15" t="inlineStr">
        <is>
          <t>LDYECS31XS0044304</t>
        </is>
      </c>
      <c r="FG2362" s="15" t="inlineStr">
        <is>
          <t>Zhong Tong</t>
        </is>
      </c>
      <c r="FH2362" s="15" t="inlineStr">
        <is>
          <t>Lck6122evg</t>
        </is>
      </c>
      <c r="FI2362" s="15" t="inlineStr">
        <is>
          <t>ZHONGTONG</t>
        </is>
      </c>
      <c r="FJ2362" s="15" t="inlineStr">
        <is>
          <t>LCK6122EVG</t>
        </is>
      </c>
      <c r="FK2362" s="15" t="n">
        <v>2025</v>
      </c>
      <c r="FL2362" s="15" t="inlineStr">
        <is>
          <t>B</t>
        </is>
      </c>
      <c r="FM2362" s="15" t="inlineStr">
        <is>
          <t>CERRILLOS</t>
        </is>
      </c>
      <c r="FN2362" s="15" t="inlineStr">
        <is>
          <t>Calle Uno 7371</t>
        </is>
      </c>
      <c r="FO2362" s="15" t="inlineStr">
        <is>
          <t>Cerrillos</t>
        </is>
      </c>
      <c r="FP2362" t="inlineStr">
        <is>
          <t>B</t>
        </is>
      </c>
    </row>
    <row r="2363">
      <c r="FC2363" t="inlineStr">
        <is>
          <t>Diccionario 3</t>
        </is>
      </c>
      <c r="FD2363" s="15" t="inlineStr">
        <is>
          <t>VGKX82</t>
        </is>
      </c>
      <c r="FE2363" s="15" t="inlineStr">
        <is>
          <t>MDN35025030136</t>
        </is>
      </c>
      <c r="FF2363" s="15" t="inlineStr">
        <is>
          <t>LDYECS315S0044324</t>
        </is>
      </c>
      <c r="FG2363" s="15" t="inlineStr">
        <is>
          <t>Zhong Tong</t>
        </is>
      </c>
      <c r="FH2363" s="15" t="inlineStr">
        <is>
          <t>Lck6122evg</t>
        </is>
      </c>
      <c r="FI2363" s="15" t="inlineStr">
        <is>
          <t>ZHONGTONG</t>
        </is>
      </c>
      <c r="FJ2363" s="15" t="inlineStr">
        <is>
          <t>LCK6122EVG</t>
        </is>
      </c>
      <c r="FK2363" s="15" t="n">
        <v>2025</v>
      </c>
      <c r="FL2363" s="15" t="inlineStr">
        <is>
          <t>B</t>
        </is>
      </c>
      <c r="FM2363" s="15" t="inlineStr">
        <is>
          <t>PIE ANDINO</t>
        </is>
      </c>
      <c r="FN2363" s="15" t="inlineStr">
        <is>
          <t>Pie Andino 31 (Pie Andino 383)</t>
        </is>
      </c>
      <c r="FO2363" s="15" t="inlineStr">
        <is>
          <t>Puente Alto</t>
        </is>
      </c>
      <c r="FP2363" t="inlineStr">
        <is>
          <t>B</t>
        </is>
      </c>
    </row>
    <row r="2364">
      <c r="FC2364" t="inlineStr">
        <is>
          <t>Diccionario 3</t>
        </is>
      </c>
      <c r="FD2364" s="15" t="inlineStr">
        <is>
          <t>VGKY12</t>
        </is>
      </c>
      <c r="FE2364" s="15" t="inlineStr">
        <is>
          <t>MDN35025030073</t>
        </is>
      </c>
      <c r="FF2364" s="15" t="inlineStr">
        <is>
          <t>LDYECS311S0044305</t>
        </is>
      </c>
      <c r="FG2364" s="15" t="inlineStr">
        <is>
          <t>Zhong Tong</t>
        </is>
      </c>
      <c r="FH2364" s="15" t="inlineStr">
        <is>
          <t>Lck6122evg</t>
        </is>
      </c>
      <c r="FI2364" s="15" t="inlineStr">
        <is>
          <t>ZHONGTONG</t>
        </is>
      </c>
      <c r="FJ2364" s="15" t="inlineStr">
        <is>
          <t>LCK6122EVG</t>
        </is>
      </c>
      <c r="FK2364" s="15" t="n">
        <v>2025</v>
      </c>
      <c r="FL2364" s="15" t="inlineStr">
        <is>
          <t>B</t>
        </is>
      </c>
      <c r="FM2364" s="15" t="inlineStr">
        <is>
          <t>CERRILLOS</t>
        </is>
      </c>
      <c r="FN2364" s="15" t="inlineStr">
        <is>
          <t>Calle Uno 7371</t>
        </is>
      </c>
      <c r="FO2364" s="15" t="inlineStr">
        <is>
          <t>Cerrillos</t>
        </is>
      </c>
      <c r="FP2364" t="inlineStr">
        <is>
          <t>B</t>
        </is>
      </c>
    </row>
    <row r="2365">
      <c r="FC2365" t="inlineStr">
        <is>
          <t>Diccionario 3</t>
        </is>
      </c>
      <c r="FD2365" s="15" t="inlineStr">
        <is>
          <t>VGKY22</t>
        </is>
      </c>
      <c r="FE2365" s="15" t="inlineStr">
        <is>
          <t>MDN35025030018</t>
        </is>
      </c>
      <c r="FF2365" s="15" t="inlineStr">
        <is>
          <t>LDYECS31XS0044383</t>
        </is>
      </c>
      <c r="FG2365" s="15" t="inlineStr">
        <is>
          <t>Zhong Tong</t>
        </is>
      </c>
      <c r="FH2365" s="15" t="inlineStr">
        <is>
          <t>Lck6122evg</t>
        </is>
      </c>
      <c r="FI2365" s="15" t="inlineStr">
        <is>
          <t>ZHONGTONG</t>
        </is>
      </c>
      <c r="FJ2365" s="15" t="inlineStr">
        <is>
          <t>LCK6122EVG</t>
        </is>
      </c>
      <c r="FK2365" s="15" t="n">
        <v>2025</v>
      </c>
      <c r="FL2365" s="15" t="inlineStr">
        <is>
          <t>B</t>
        </is>
      </c>
      <c r="FM2365" s="15" t="inlineStr">
        <is>
          <t>PIE ANDINO</t>
        </is>
      </c>
      <c r="FN2365" s="15" t="inlineStr">
        <is>
          <t>Pie Andino 31 (Pie Andino 383)</t>
        </is>
      </c>
      <c r="FO2365" s="15" t="inlineStr">
        <is>
          <t>Puente Alto</t>
        </is>
      </c>
      <c r="FP2365" t="inlineStr">
        <is>
          <t>B</t>
        </is>
      </c>
    </row>
    <row r="2366">
      <c r="FC2366" t="inlineStr">
        <is>
          <t>Diccionario 3</t>
        </is>
      </c>
      <c r="FD2366" s="15" t="inlineStr">
        <is>
          <t>VGKY42</t>
        </is>
      </c>
      <c r="FE2366" s="15" t="inlineStr">
        <is>
          <t>MDN35025010127</t>
        </is>
      </c>
      <c r="FF2366" s="15" t="inlineStr">
        <is>
          <t>LDYECS319S0044388</t>
        </is>
      </c>
      <c r="FG2366" s="15" t="inlineStr">
        <is>
          <t>Zhong Tong</t>
        </is>
      </c>
      <c r="FH2366" s="15" t="inlineStr">
        <is>
          <t>Lck6122evg</t>
        </is>
      </c>
      <c r="FI2366" s="15" t="inlineStr">
        <is>
          <t>ZHONGTONG</t>
        </is>
      </c>
      <c r="FJ2366" s="15" t="inlineStr">
        <is>
          <t>LCK6122EVG</t>
        </is>
      </c>
      <c r="FK2366" s="15" t="n">
        <v>2025</v>
      </c>
      <c r="FL2366" s="15" t="inlineStr">
        <is>
          <t>B</t>
        </is>
      </c>
      <c r="FM2366" s="15" t="inlineStr">
        <is>
          <t>PIE ANDINO</t>
        </is>
      </c>
      <c r="FN2366" s="15" t="inlineStr">
        <is>
          <t>Pie Andino 31 (Pie Andino 383)</t>
        </is>
      </c>
      <c r="FO2366" s="15" t="inlineStr">
        <is>
          <t>Puente Alto</t>
        </is>
      </c>
      <c r="FP2366" t="inlineStr">
        <is>
          <t>B</t>
        </is>
      </c>
    </row>
    <row r="2367">
      <c r="FC2367" t="inlineStr">
        <is>
          <t>Diccionario 3</t>
        </is>
      </c>
      <c r="FD2367" s="15" t="inlineStr">
        <is>
          <t>VGKY72</t>
        </is>
      </c>
      <c r="FE2367" s="15" t="inlineStr">
        <is>
          <t>MDN35025030199</t>
        </is>
      </c>
      <c r="FF2367" s="15" t="inlineStr">
        <is>
          <t>LDYECS317S0044325</t>
        </is>
      </c>
      <c r="FG2367" s="15" t="inlineStr">
        <is>
          <t>Zhong Tong</t>
        </is>
      </c>
      <c r="FH2367" s="15" t="inlineStr">
        <is>
          <t>Lck6122evg</t>
        </is>
      </c>
      <c r="FI2367" s="15" t="inlineStr">
        <is>
          <t>ZHONGTONG</t>
        </is>
      </c>
      <c r="FJ2367" s="15" t="inlineStr">
        <is>
          <t>LCK6122EVG</t>
        </is>
      </c>
      <c r="FK2367" s="15" t="n">
        <v>2025</v>
      </c>
      <c r="FL2367" s="15" t="inlineStr">
        <is>
          <t>B</t>
        </is>
      </c>
      <c r="FM2367" s="15" t="inlineStr">
        <is>
          <t>PIE ANDINO</t>
        </is>
      </c>
      <c r="FN2367" s="15" t="inlineStr">
        <is>
          <t>Pie Andino 31 (Pie Andino 383)</t>
        </is>
      </c>
      <c r="FO2367" s="15" t="inlineStr">
        <is>
          <t>Puente Alto</t>
        </is>
      </c>
      <c r="FP2367" t="inlineStr">
        <is>
          <t>B</t>
        </is>
      </c>
    </row>
    <row r="2368">
      <c r="FC2368" t="inlineStr">
        <is>
          <t>Diccionario 3</t>
        </is>
      </c>
      <c r="FD2368" s="15" t="inlineStr">
        <is>
          <t>VGKY82</t>
        </is>
      </c>
      <c r="FE2368" s="15" t="inlineStr">
        <is>
          <t>MDN35025030042</t>
        </is>
      </c>
      <c r="FF2368" s="15" t="inlineStr">
        <is>
          <t>LDYECS318S0044379</t>
        </is>
      </c>
      <c r="FG2368" s="15" t="inlineStr">
        <is>
          <t>Zhong Tong</t>
        </is>
      </c>
      <c r="FH2368" s="15" t="inlineStr">
        <is>
          <t>Lck6122evg</t>
        </is>
      </c>
      <c r="FI2368" s="15" t="inlineStr">
        <is>
          <t>ZHONGTONG</t>
        </is>
      </c>
      <c r="FJ2368" s="15" t="inlineStr">
        <is>
          <t>LCK6122EVG</t>
        </is>
      </c>
      <c r="FK2368" s="15" t="n">
        <v>2025</v>
      </c>
      <c r="FL2368" s="15" t="inlineStr">
        <is>
          <t>B</t>
        </is>
      </c>
      <c r="FM2368" s="15" t="inlineStr">
        <is>
          <t>PIE ANDINO</t>
        </is>
      </c>
      <c r="FN2368" s="15" t="inlineStr">
        <is>
          <t>Pie Andino 31 (Pie Andino 383)</t>
        </is>
      </c>
      <c r="FO2368" s="15" t="inlineStr">
        <is>
          <t>Puente Alto</t>
        </is>
      </c>
      <c r="FP2368" t="inlineStr">
        <is>
          <t>B</t>
        </is>
      </c>
    </row>
    <row r="2369">
      <c r="FC2369" t="inlineStr">
        <is>
          <t>Diccionario 3</t>
        </is>
      </c>
      <c r="FD2369" s="15" t="inlineStr">
        <is>
          <t>VGKZ62</t>
        </is>
      </c>
      <c r="FE2369" s="15" t="inlineStr">
        <is>
          <t>MDN35025030041</t>
        </is>
      </c>
      <c r="FF2369" s="15" t="inlineStr">
        <is>
          <t>LDYECS313S0044385</t>
        </is>
      </c>
      <c r="FG2369" s="15" t="inlineStr">
        <is>
          <t>Zhong Tong</t>
        </is>
      </c>
      <c r="FH2369" s="15" t="inlineStr">
        <is>
          <t>Lck6122evg</t>
        </is>
      </c>
      <c r="FI2369" s="15" t="inlineStr">
        <is>
          <t>ZHONGTONG</t>
        </is>
      </c>
      <c r="FJ2369" s="15" t="inlineStr">
        <is>
          <t>LCK6122EVG</t>
        </is>
      </c>
      <c r="FK2369" s="15" t="n">
        <v>2025</v>
      </c>
      <c r="FL2369" s="15" t="inlineStr">
        <is>
          <t>B</t>
        </is>
      </c>
      <c r="FM2369" s="15" t="inlineStr">
        <is>
          <t>PIE ANDINO</t>
        </is>
      </c>
      <c r="FN2369" s="15" t="inlineStr">
        <is>
          <t>Pie Andino 31 (Pie Andino 383)</t>
        </is>
      </c>
      <c r="FO2369" s="15" t="inlineStr">
        <is>
          <t>Puente Alto</t>
        </is>
      </c>
      <c r="FP2369" t="inlineStr">
        <is>
          <t>B</t>
        </is>
      </c>
    </row>
    <row r="2370">
      <c r="FC2370" t="inlineStr">
        <is>
          <t>Diccionario 3</t>
        </is>
      </c>
      <c r="FD2370" s="15" t="inlineStr">
        <is>
          <t>VGKZ82</t>
        </is>
      </c>
      <c r="FE2370" s="15" t="inlineStr">
        <is>
          <t>MDN35025030011</t>
        </is>
      </c>
      <c r="FF2370" s="15" t="inlineStr">
        <is>
          <t>LDYECS311S0044384</t>
        </is>
      </c>
      <c r="FG2370" s="15" t="inlineStr">
        <is>
          <t>Zhong Tong</t>
        </is>
      </c>
      <c r="FH2370" s="15" t="inlineStr">
        <is>
          <t>Lck6122evg</t>
        </is>
      </c>
      <c r="FI2370" s="15" t="inlineStr">
        <is>
          <t>ZHONGTONG</t>
        </is>
      </c>
      <c r="FJ2370" s="15" t="inlineStr">
        <is>
          <t>LCK6122EVG</t>
        </is>
      </c>
      <c r="FK2370" s="15" t="n">
        <v>2025</v>
      </c>
      <c r="FL2370" s="15" t="inlineStr">
        <is>
          <t>B</t>
        </is>
      </c>
      <c r="FM2370" s="15" t="inlineStr">
        <is>
          <t>PIE ANDINO</t>
        </is>
      </c>
      <c r="FN2370" s="15" t="inlineStr">
        <is>
          <t>Pie Andino 31 (Pie Andino 383)</t>
        </is>
      </c>
      <c r="FO2370" s="15" t="inlineStr">
        <is>
          <t>Puente Alto</t>
        </is>
      </c>
      <c r="FP2370" t="inlineStr">
        <is>
          <t>B</t>
        </is>
      </c>
    </row>
    <row r="2371">
      <c r="FC2371" t="inlineStr">
        <is>
          <t>Diccionario 3</t>
        </is>
      </c>
      <c r="FD2371" s="15" t="inlineStr">
        <is>
          <t>VGKZ92</t>
        </is>
      </c>
      <c r="FE2371" s="15" t="inlineStr">
        <is>
          <t>MDN35025030056</t>
        </is>
      </c>
      <c r="FF2371" s="15" t="inlineStr">
        <is>
          <t>LDYECS313S0044371</t>
        </is>
      </c>
      <c r="FG2371" s="15" t="inlineStr">
        <is>
          <t>Zhong Tong</t>
        </is>
      </c>
      <c r="FH2371" s="15" t="inlineStr">
        <is>
          <t>Lck6122evg</t>
        </is>
      </c>
      <c r="FI2371" s="15" t="inlineStr">
        <is>
          <t>ZHONGTONG</t>
        </is>
      </c>
      <c r="FJ2371" s="15" t="inlineStr">
        <is>
          <t>LCK6122EVG</t>
        </is>
      </c>
      <c r="FK2371" s="15" t="n">
        <v>2025</v>
      </c>
      <c r="FL2371" s="15" t="inlineStr">
        <is>
          <t>B</t>
        </is>
      </c>
      <c r="FM2371" s="15" t="inlineStr">
        <is>
          <t>PIE ANDINO</t>
        </is>
      </c>
      <c r="FN2371" s="15" t="inlineStr">
        <is>
          <t>Pie Andino 31 (Pie Andino 383)</t>
        </is>
      </c>
      <c r="FO2371" s="15" t="inlineStr">
        <is>
          <t>Puente Alto</t>
        </is>
      </c>
      <c r="FP2371" t="inlineStr">
        <is>
          <t>B</t>
        </is>
      </c>
    </row>
    <row r="2372">
      <c r="FC2372" t="inlineStr">
        <is>
          <t>Diccionario 3</t>
        </is>
      </c>
      <c r="FD2372" s="15" t="inlineStr">
        <is>
          <t>VGLZ33</t>
        </is>
      </c>
      <c r="FE2372" s="15" t="inlineStr">
        <is>
          <t>LDYECS834S0045636</t>
        </is>
      </c>
      <c r="FF2372" s="15" t="inlineStr">
        <is>
          <t>MJJ20025010047</t>
        </is>
      </c>
      <c r="FG2372" s="15" t="inlineStr">
        <is>
          <t>Zhong Tong</t>
        </is>
      </c>
      <c r="FH2372" s="15" t="inlineStr">
        <is>
          <t>LCK6850evg</t>
        </is>
      </c>
      <c r="FI2372" s="15" t="inlineStr">
        <is>
          <t>ZHONGTONG</t>
        </is>
      </c>
      <c r="FJ2372" s="15" t="inlineStr">
        <is>
          <t>LCK6850evg</t>
        </is>
      </c>
      <c r="FK2372" s="15" t="n">
        <v>2025</v>
      </c>
      <c r="FL2372" s="15" t="inlineStr">
        <is>
          <t>A</t>
        </is>
      </c>
      <c r="FM2372" s="15" t="inlineStr">
        <is>
          <t>CERRILLOS</t>
        </is>
      </c>
      <c r="FN2372" s="15" t="inlineStr">
        <is>
          <t>Calle Uno 7371</t>
        </is>
      </c>
      <c r="FO2372" s="15" t="inlineStr">
        <is>
          <t>Cerrillos</t>
        </is>
      </c>
      <c r="FP2372" t="inlineStr">
        <is>
          <t>A</t>
        </is>
      </c>
    </row>
    <row r="2373">
      <c r="FC2373" t="inlineStr">
        <is>
          <t>Diccionario 3</t>
        </is>
      </c>
      <c r="FD2373" s="15" t="inlineStr">
        <is>
          <t>VGLZ43</t>
        </is>
      </c>
      <c r="FE2373" s="15" t="inlineStr">
        <is>
          <t>LDYECS832S0045635</t>
        </is>
      </c>
      <c r="FF2373" s="15" t="inlineStr">
        <is>
          <t>MJJ20025010001</t>
        </is>
      </c>
      <c r="FG2373" s="15" t="inlineStr">
        <is>
          <t>Zhong Tong</t>
        </is>
      </c>
      <c r="FH2373" s="15" t="inlineStr">
        <is>
          <t>LCK6850evg</t>
        </is>
      </c>
      <c r="FI2373" s="15" t="inlineStr">
        <is>
          <t>ZHONGTONG</t>
        </is>
      </c>
      <c r="FJ2373" s="15" t="inlineStr">
        <is>
          <t>LCK6850evg</t>
        </is>
      </c>
      <c r="FK2373" s="15" t="n">
        <v>2025</v>
      </c>
      <c r="FL2373" s="15" t="inlineStr">
        <is>
          <t>A</t>
        </is>
      </c>
      <c r="FM2373" s="15" t="inlineStr">
        <is>
          <t>CERRILLOS</t>
        </is>
      </c>
      <c r="FN2373" s="15" t="inlineStr">
        <is>
          <t>Calle Uno 7371</t>
        </is>
      </c>
      <c r="FO2373" s="15" t="inlineStr">
        <is>
          <t>Cerrillos</t>
        </is>
      </c>
      <c r="FP2373" t="inlineStr">
        <is>
          <t>A</t>
        </is>
      </c>
    </row>
    <row r="2374">
      <c r="FC2374" t="inlineStr">
        <is>
          <t>Diccionario 3</t>
        </is>
      </c>
      <c r="FD2374" s="15" t="inlineStr">
        <is>
          <t>VGRB23</t>
        </is>
      </c>
      <c r="FE2374" s="15" t="inlineStr">
        <is>
          <t>LDYECS836S0045637</t>
        </is>
      </c>
      <c r="FF2374" s="15" t="inlineStr">
        <is>
          <t>MJJ20025010040</t>
        </is>
      </c>
      <c r="FG2374" s="15" t="inlineStr">
        <is>
          <t>Zhong Tong</t>
        </is>
      </c>
      <c r="FH2374" s="15" t="inlineStr">
        <is>
          <t>LCK6850evg</t>
        </is>
      </c>
      <c r="FI2374" s="15" t="inlineStr">
        <is>
          <t>ZHONGTONG</t>
        </is>
      </c>
      <c r="FJ2374" s="15" t="inlineStr">
        <is>
          <t>LCK6850evg</t>
        </is>
      </c>
      <c r="FK2374" s="15" t="n">
        <v>2025</v>
      </c>
      <c r="FL2374" s="15" t="inlineStr">
        <is>
          <t>A</t>
        </is>
      </c>
      <c r="FM2374" s="15" t="inlineStr">
        <is>
          <t>CERRILLOS</t>
        </is>
      </c>
      <c r="FN2374" s="15" t="inlineStr">
        <is>
          <t>Calle Uno 7371</t>
        </is>
      </c>
      <c r="FO2374" s="15" t="inlineStr">
        <is>
          <t>Cerrillos</t>
        </is>
      </c>
      <c r="FP2374" t="inlineStr">
        <is>
          <t>A</t>
        </is>
      </c>
    </row>
    <row r="2375">
      <c r="FC2375" t="inlineStr">
        <is>
          <t>Diccionario 3</t>
        </is>
      </c>
      <c r="FD2375" s="15" t="inlineStr">
        <is>
          <t>VGRB24</t>
        </is>
      </c>
      <c r="FE2375" s="15" t="inlineStr">
        <is>
          <t>LDYECS83XS0045611</t>
        </is>
      </c>
      <c r="FF2375" s="15" t="inlineStr">
        <is>
          <t>MJJ20025010028</t>
        </is>
      </c>
      <c r="FG2375" s="15" t="inlineStr">
        <is>
          <t>Zhong Tong</t>
        </is>
      </c>
      <c r="FH2375" s="15" t="inlineStr">
        <is>
          <t>LCK6850evg</t>
        </is>
      </c>
      <c r="FI2375" s="15" t="inlineStr">
        <is>
          <t>ZHONGTONG</t>
        </is>
      </c>
      <c r="FJ2375" s="15" t="inlineStr">
        <is>
          <t>LCK6850evg</t>
        </is>
      </c>
      <c r="FK2375" s="15" t="n">
        <v>2025</v>
      </c>
      <c r="FL2375" s="15" t="inlineStr">
        <is>
          <t>A</t>
        </is>
      </c>
      <c r="FM2375" s="15" t="inlineStr">
        <is>
          <t>CERRILLOS</t>
        </is>
      </c>
      <c r="FN2375" s="15" t="inlineStr">
        <is>
          <t>Calle Uno 7371</t>
        </is>
      </c>
      <c r="FO2375" s="15" t="inlineStr">
        <is>
          <t>Cerrillos</t>
        </is>
      </c>
      <c r="FP2375" t="inlineStr">
        <is>
          <t>A</t>
        </is>
      </c>
    </row>
    <row r="2376">
      <c r="FC2376" t="inlineStr">
        <is>
          <t>Diccionario 3</t>
        </is>
      </c>
      <c r="FD2376" s="22" t="inlineStr">
        <is>
          <t>VGRB33</t>
        </is>
      </c>
      <c r="FE2376" s="15" t="inlineStr">
        <is>
          <t>LDYECS833S0045630</t>
        </is>
      </c>
      <c r="FF2376" s="15" t="inlineStr">
        <is>
          <t>MJJ20025010012</t>
        </is>
      </c>
      <c r="FG2376" s="15" t="inlineStr">
        <is>
          <t>Zhong Tong</t>
        </is>
      </c>
      <c r="FH2376" s="15" t="inlineStr">
        <is>
          <t>LCK6850evg</t>
        </is>
      </c>
      <c r="FI2376" s="15" t="inlineStr">
        <is>
          <t>ZHONGTONG</t>
        </is>
      </c>
      <c r="FJ2376" s="15" t="inlineStr">
        <is>
          <t>LCK6850evg</t>
        </is>
      </c>
      <c r="FK2376" s="15" t="n">
        <v>2025</v>
      </c>
      <c r="FL2376" s="15" t="inlineStr">
        <is>
          <t>A</t>
        </is>
      </c>
      <c r="FM2376" s="15" t="inlineStr">
        <is>
          <t>CERRILLOS</t>
        </is>
      </c>
      <c r="FN2376" s="15" t="inlineStr">
        <is>
          <t>Calle Uno 7371</t>
        </is>
      </c>
      <c r="FO2376" s="15" t="inlineStr">
        <is>
          <t>Cerrillos</t>
        </is>
      </c>
      <c r="FP2376" t="inlineStr">
        <is>
          <t>A</t>
        </is>
      </c>
    </row>
    <row r="2377">
      <c r="FC2377" t="inlineStr">
        <is>
          <t>Diccionario 3</t>
        </is>
      </c>
      <c r="FD2377" s="22" t="inlineStr">
        <is>
          <t>VGRB63</t>
        </is>
      </c>
      <c r="FE2377" s="15" t="inlineStr">
        <is>
          <t>LDYECS837S0045632</t>
        </is>
      </c>
      <c r="FF2377" s="15" t="inlineStr">
        <is>
          <t>MJJ20025010003</t>
        </is>
      </c>
      <c r="FG2377" s="15" t="inlineStr">
        <is>
          <t>Zhong Tong</t>
        </is>
      </c>
      <c r="FH2377" s="15" t="inlineStr">
        <is>
          <t>LCK6850evg</t>
        </is>
      </c>
      <c r="FI2377" s="15" t="inlineStr">
        <is>
          <t>ZHONGTONG</t>
        </is>
      </c>
      <c r="FJ2377" s="15" t="inlineStr">
        <is>
          <t>LCK6850evg</t>
        </is>
      </c>
      <c r="FK2377" s="15" t="n">
        <v>2025</v>
      </c>
      <c r="FL2377" s="15" t="inlineStr">
        <is>
          <t>A</t>
        </is>
      </c>
      <c r="FM2377" s="15" t="inlineStr">
        <is>
          <t>CERRILLOS</t>
        </is>
      </c>
      <c r="FN2377" s="15" t="inlineStr">
        <is>
          <t>Calle Uno 7371</t>
        </is>
      </c>
      <c r="FO2377" s="15" t="inlineStr">
        <is>
          <t>Cerrillos</t>
        </is>
      </c>
      <c r="FP2377" t="inlineStr">
        <is>
          <t>A</t>
        </is>
      </c>
    </row>
    <row r="2378">
      <c r="FC2378" t="inlineStr">
        <is>
          <t>Diccionario 3</t>
        </is>
      </c>
      <c r="FD2378" s="22" t="inlineStr">
        <is>
          <t>VGRB73</t>
        </is>
      </c>
      <c r="FE2378" s="15" t="inlineStr">
        <is>
          <t>LDYECS833S0045627</t>
        </is>
      </c>
      <c r="FF2378" s="15" t="inlineStr">
        <is>
          <t>MJJ20025010013</t>
        </is>
      </c>
      <c r="FG2378" s="15" t="inlineStr">
        <is>
          <t>Zhong Tong</t>
        </is>
      </c>
      <c r="FH2378" s="15" t="inlineStr">
        <is>
          <t>LCK6850evg</t>
        </is>
      </c>
      <c r="FI2378" s="15" t="inlineStr">
        <is>
          <t>ZHONGTONG</t>
        </is>
      </c>
      <c r="FJ2378" s="15" t="inlineStr">
        <is>
          <t>LCK6850evg</t>
        </is>
      </c>
      <c r="FK2378" s="15" t="n">
        <v>2025</v>
      </c>
      <c r="FL2378" s="15" t="inlineStr">
        <is>
          <t>A</t>
        </is>
      </c>
      <c r="FM2378" s="15" t="inlineStr">
        <is>
          <t>CERRILLOS</t>
        </is>
      </c>
      <c r="FN2378" s="15" t="inlineStr">
        <is>
          <t>Calle Uno 7371</t>
        </is>
      </c>
      <c r="FO2378" s="15" t="inlineStr">
        <is>
          <t>Cerrillos</t>
        </is>
      </c>
      <c r="FP2378" t="inlineStr">
        <is>
          <t>A</t>
        </is>
      </c>
    </row>
    <row r="2379">
      <c r="FC2379" t="inlineStr">
        <is>
          <t>Diccionario 3</t>
        </is>
      </c>
      <c r="FD2379" s="22" t="inlineStr">
        <is>
          <t>VGRB93</t>
        </is>
      </c>
      <c r="FE2379" s="15" t="inlineStr">
        <is>
          <t>LDYECS839S0045633</t>
        </is>
      </c>
      <c r="FF2379" s="15" t="inlineStr">
        <is>
          <t>MJJ20025010010</t>
        </is>
      </c>
      <c r="FG2379" s="15" t="inlineStr">
        <is>
          <t>Zhong Tong</t>
        </is>
      </c>
      <c r="FH2379" s="15" t="inlineStr">
        <is>
          <t>LCK6850evg</t>
        </is>
      </c>
      <c r="FI2379" s="15" t="inlineStr">
        <is>
          <t>ZHONGTONG</t>
        </is>
      </c>
      <c r="FJ2379" s="15" t="inlineStr">
        <is>
          <t>LCK6850evg</t>
        </is>
      </c>
      <c r="FK2379" s="15" t="n">
        <v>2025</v>
      </c>
      <c r="FL2379" s="15" t="inlineStr">
        <is>
          <t>A</t>
        </is>
      </c>
      <c r="FM2379" s="15" t="inlineStr">
        <is>
          <t>CERRILLOS</t>
        </is>
      </c>
      <c r="FN2379" s="15" t="inlineStr">
        <is>
          <t>Calle Uno 7371</t>
        </is>
      </c>
      <c r="FO2379" s="15" t="inlineStr">
        <is>
          <t>Cerrillos</t>
        </is>
      </c>
      <c r="FP2379" t="inlineStr">
        <is>
          <t>A</t>
        </is>
      </c>
    </row>
    <row r="2380">
      <c r="FC2380" t="inlineStr">
        <is>
          <t>Diccionario 3</t>
        </is>
      </c>
      <c r="FD2380" s="22" t="inlineStr">
        <is>
          <t>VGRC13</t>
        </is>
      </c>
      <c r="FE2380" s="15" t="inlineStr">
        <is>
          <t>LDYECS830S0045648</t>
        </is>
      </c>
      <c r="FF2380" s="15" t="inlineStr">
        <is>
          <t>MJJ20025010016</t>
        </is>
      </c>
      <c r="FG2380" s="15" t="inlineStr">
        <is>
          <t>Zhong Tong</t>
        </is>
      </c>
      <c r="FH2380" s="15" t="inlineStr">
        <is>
          <t>LCK6850evg</t>
        </is>
      </c>
      <c r="FI2380" s="15" t="inlineStr">
        <is>
          <t>ZHONGTONG</t>
        </is>
      </c>
      <c r="FJ2380" s="15" t="inlineStr">
        <is>
          <t>LCK6850evg</t>
        </is>
      </c>
      <c r="FK2380" s="15" t="n">
        <v>2025</v>
      </c>
      <c r="FL2380" s="15" t="inlineStr">
        <is>
          <t>A</t>
        </is>
      </c>
      <c r="FM2380" s="15" t="inlineStr">
        <is>
          <t>CERRILLOS</t>
        </is>
      </c>
      <c r="FN2380" s="15" t="inlineStr">
        <is>
          <t>Calle Uno 7371</t>
        </is>
      </c>
      <c r="FO2380" s="15" t="inlineStr">
        <is>
          <t>Cerrillos</t>
        </is>
      </c>
      <c r="FP2380" t="inlineStr">
        <is>
          <t>A</t>
        </is>
      </c>
    </row>
    <row r="2381">
      <c r="FC2381" t="inlineStr">
        <is>
          <t>Diccionario 3</t>
        </is>
      </c>
      <c r="FD2381" s="22" t="inlineStr">
        <is>
          <t>VGRC23</t>
        </is>
      </c>
      <c r="FE2381" s="15" t="inlineStr">
        <is>
          <t>LDYECS838S0045624</t>
        </is>
      </c>
      <c r="FF2381" s="15" t="inlineStr">
        <is>
          <t>MJJ20025010023</t>
        </is>
      </c>
      <c r="FG2381" s="15" t="inlineStr">
        <is>
          <t>Zhong Tong</t>
        </is>
      </c>
      <c r="FH2381" s="15" t="inlineStr">
        <is>
          <t>LCK6850evg</t>
        </is>
      </c>
      <c r="FI2381" s="15" t="inlineStr">
        <is>
          <t>ZHONGTONG</t>
        </is>
      </c>
      <c r="FJ2381" s="15" t="inlineStr">
        <is>
          <t>LCK6850evg</t>
        </is>
      </c>
      <c r="FK2381" s="15" t="n">
        <v>2025</v>
      </c>
      <c r="FL2381" s="15" t="inlineStr">
        <is>
          <t>A</t>
        </is>
      </c>
      <c r="FM2381" s="15" t="inlineStr">
        <is>
          <t>CERRILLOS</t>
        </is>
      </c>
      <c r="FN2381" s="15" t="inlineStr">
        <is>
          <t>Calle Uno 7371</t>
        </is>
      </c>
      <c r="FO2381" s="15" t="inlineStr">
        <is>
          <t>Cerrillos</t>
        </is>
      </c>
      <c r="FP2381" t="inlineStr">
        <is>
          <t>A</t>
        </is>
      </c>
    </row>
    <row r="2382">
      <c r="FC2382" t="inlineStr">
        <is>
          <t>Diccionario 3</t>
        </is>
      </c>
      <c r="FD2382" s="22" t="inlineStr">
        <is>
          <t>VGRC33</t>
        </is>
      </c>
      <c r="FE2382" s="15" t="inlineStr">
        <is>
          <t>LDYECS835S0045631</t>
        </is>
      </c>
      <c r="FF2382" s="15" t="inlineStr">
        <is>
          <t>MJJ20025010015</t>
        </is>
      </c>
      <c r="FG2382" s="15" t="inlineStr">
        <is>
          <t>Zhong Tong</t>
        </is>
      </c>
      <c r="FH2382" s="15" t="inlineStr">
        <is>
          <t>LCK6850evg</t>
        </is>
      </c>
      <c r="FI2382" s="15" t="inlineStr">
        <is>
          <t>ZHONGTONG</t>
        </is>
      </c>
      <c r="FJ2382" s="15" t="inlineStr">
        <is>
          <t>LCK6850evg</t>
        </is>
      </c>
      <c r="FK2382" s="15" t="n">
        <v>2025</v>
      </c>
      <c r="FL2382" s="15" t="inlineStr">
        <is>
          <t>A</t>
        </is>
      </c>
      <c r="FM2382" s="15" t="inlineStr">
        <is>
          <t>CERRILLOS</t>
        </is>
      </c>
      <c r="FN2382" s="15" t="inlineStr">
        <is>
          <t>Calle Uno 7371</t>
        </is>
      </c>
      <c r="FO2382" s="15" t="inlineStr">
        <is>
          <t>Cerrillos</t>
        </is>
      </c>
      <c r="FP2382" t="inlineStr">
        <is>
          <t>A</t>
        </is>
      </c>
    </row>
    <row r="2383">
      <c r="FC2383" t="inlineStr">
        <is>
          <t>Diccionario 3</t>
        </is>
      </c>
      <c r="FD2383" s="22" t="inlineStr">
        <is>
          <t>VGRC43</t>
        </is>
      </c>
      <c r="FE2383" s="15" t="inlineStr">
        <is>
          <t>LDYECS83XS0045639</t>
        </is>
      </c>
      <c r="FF2383" s="15" t="inlineStr">
        <is>
          <t>MJJ20025010020</t>
        </is>
      </c>
      <c r="FG2383" s="15" t="inlineStr">
        <is>
          <t>Zhong Tong</t>
        </is>
      </c>
      <c r="FH2383" s="15" t="inlineStr">
        <is>
          <t>LCK6850evg</t>
        </is>
      </c>
      <c r="FI2383" s="15" t="inlineStr">
        <is>
          <t>ZHONGTONG</t>
        </is>
      </c>
      <c r="FJ2383" s="15" t="inlineStr">
        <is>
          <t>LCK6850evg</t>
        </is>
      </c>
      <c r="FK2383" s="15" t="n">
        <v>2025</v>
      </c>
      <c r="FL2383" s="15" t="inlineStr">
        <is>
          <t>A</t>
        </is>
      </c>
      <c r="FM2383" s="15" t="inlineStr">
        <is>
          <t>CERRILLOS</t>
        </is>
      </c>
      <c r="FN2383" s="15" t="inlineStr">
        <is>
          <t>Calle Uno 7371</t>
        </is>
      </c>
      <c r="FO2383" s="15" t="inlineStr">
        <is>
          <t>Cerrillos</t>
        </is>
      </c>
      <c r="FP2383" t="inlineStr">
        <is>
          <t>A</t>
        </is>
      </c>
    </row>
    <row r="2384">
      <c r="FC2384" t="inlineStr">
        <is>
          <t>Diccionario 3</t>
        </is>
      </c>
      <c r="FD2384" s="22" t="inlineStr">
        <is>
          <t>VGRC53</t>
        </is>
      </c>
      <c r="FE2384" s="15" t="inlineStr">
        <is>
          <t>LDYECS831S0045626</t>
        </is>
      </c>
      <c r="FF2384" s="15" t="inlineStr">
        <is>
          <t>MJJ20025010058</t>
        </is>
      </c>
      <c r="FG2384" s="15" t="inlineStr">
        <is>
          <t>Zhong Tong</t>
        </is>
      </c>
      <c r="FH2384" s="15" t="inlineStr">
        <is>
          <t>LCK6850evg</t>
        </is>
      </c>
      <c r="FI2384" s="15" t="inlineStr">
        <is>
          <t>ZHONGTONG</t>
        </is>
      </c>
      <c r="FJ2384" s="15" t="inlineStr">
        <is>
          <t>LCK6850evg</t>
        </is>
      </c>
      <c r="FK2384" s="15" t="n">
        <v>2025</v>
      </c>
      <c r="FL2384" s="15" t="inlineStr">
        <is>
          <t>A</t>
        </is>
      </c>
      <c r="FM2384" s="15" t="inlineStr">
        <is>
          <t>CERRILLOS</t>
        </is>
      </c>
      <c r="FN2384" s="15" t="inlineStr">
        <is>
          <t>Calle Uno 7371</t>
        </is>
      </c>
      <c r="FO2384" s="15" t="inlineStr">
        <is>
          <t>Cerrillos</t>
        </is>
      </c>
      <c r="FP2384" t="inlineStr">
        <is>
          <t>A</t>
        </is>
      </c>
    </row>
    <row r="2385">
      <c r="FC2385" t="inlineStr">
        <is>
          <t>Diccionario 3</t>
        </is>
      </c>
      <c r="FD2385" s="22" t="inlineStr">
        <is>
          <t>VGRC73</t>
        </is>
      </c>
      <c r="FE2385" s="15" t="inlineStr">
        <is>
          <t>LDYECS833S0045644</t>
        </is>
      </c>
      <c r="FF2385" s="15" t="inlineStr">
        <is>
          <t>MJJ20025010033</t>
        </is>
      </c>
      <c r="FG2385" s="15" t="inlineStr">
        <is>
          <t>Zhong Tong</t>
        </is>
      </c>
      <c r="FH2385" s="15" t="inlineStr">
        <is>
          <t>LCK6850evg</t>
        </is>
      </c>
      <c r="FI2385" s="15" t="inlineStr">
        <is>
          <t>ZHONGTONG</t>
        </is>
      </c>
      <c r="FJ2385" s="15" t="inlineStr">
        <is>
          <t>LCK6850evg</t>
        </is>
      </c>
      <c r="FK2385" s="15" t="n">
        <v>2025</v>
      </c>
      <c r="FL2385" s="15" t="inlineStr">
        <is>
          <t>A</t>
        </is>
      </c>
      <c r="FM2385" s="15" t="inlineStr">
        <is>
          <t>CERRILLOS</t>
        </is>
      </c>
      <c r="FN2385" s="15" t="inlineStr">
        <is>
          <t>Calle Uno 7371</t>
        </is>
      </c>
      <c r="FO2385" s="15" t="inlineStr">
        <is>
          <t>Cerrillos</t>
        </is>
      </c>
      <c r="FP2385" t="inlineStr">
        <is>
          <t>A</t>
        </is>
      </c>
    </row>
    <row r="2386">
      <c r="FC2386" t="inlineStr">
        <is>
          <t>Diccionario 3</t>
        </is>
      </c>
      <c r="FD2386" s="22" t="inlineStr">
        <is>
          <t>VGRC83</t>
        </is>
      </c>
      <c r="FE2386" s="15" t="inlineStr">
        <is>
          <t>LDYECS837S0045646</t>
        </is>
      </c>
      <c r="FF2386" s="15" t="inlineStr">
        <is>
          <t>MJJ20025010007</t>
        </is>
      </c>
      <c r="FG2386" s="15" t="inlineStr">
        <is>
          <t>Zhong Tong</t>
        </is>
      </c>
      <c r="FH2386" s="15" t="inlineStr">
        <is>
          <t>LCK6850evg</t>
        </is>
      </c>
      <c r="FI2386" s="15" t="inlineStr">
        <is>
          <t>ZHONGTONG</t>
        </is>
      </c>
      <c r="FJ2386" s="15" t="inlineStr">
        <is>
          <t>LCK6850evg</t>
        </is>
      </c>
      <c r="FK2386" s="15" t="n">
        <v>2025</v>
      </c>
      <c r="FL2386" s="15" t="inlineStr">
        <is>
          <t>A</t>
        </is>
      </c>
      <c r="FM2386" s="15" t="inlineStr">
        <is>
          <t>CERRILLOS</t>
        </is>
      </c>
      <c r="FN2386" s="15" t="inlineStr">
        <is>
          <t>Calle Uno 7371</t>
        </is>
      </c>
      <c r="FO2386" s="15" t="inlineStr">
        <is>
          <t>Cerrillos</t>
        </is>
      </c>
      <c r="FP2386" t="inlineStr">
        <is>
          <t>A</t>
        </is>
      </c>
    </row>
    <row r="2387">
      <c r="FC2387" t="inlineStr">
        <is>
          <t>Diccionario 3</t>
        </is>
      </c>
      <c r="FD2387" s="22" t="inlineStr">
        <is>
          <t>VGRC93</t>
        </is>
      </c>
      <c r="FE2387" s="15" t="inlineStr">
        <is>
          <t>LDYECS836S0045640</t>
        </is>
      </c>
      <c r="FF2387" s="15" t="inlineStr">
        <is>
          <t>MJJ20025010019</t>
        </is>
      </c>
      <c r="FG2387" s="15" t="inlineStr">
        <is>
          <t>Zhong Tong</t>
        </is>
      </c>
      <c r="FH2387" s="15" t="inlineStr">
        <is>
          <t>LCK6850evg</t>
        </is>
      </c>
      <c r="FI2387" s="15" t="inlineStr">
        <is>
          <t>ZHONGTONG</t>
        </is>
      </c>
      <c r="FJ2387" s="15" t="inlineStr">
        <is>
          <t>LCK6850evg</t>
        </is>
      </c>
      <c r="FK2387" s="15" t="n">
        <v>2025</v>
      </c>
      <c r="FL2387" s="15" t="inlineStr">
        <is>
          <t>A</t>
        </is>
      </c>
      <c r="FM2387" s="15" t="inlineStr">
        <is>
          <t>CERRILLOS</t>
        </is>
      </c>
      <c r="FN2387" s="15" t="inlineStr">
        <is>
          <t>Calle Uno 7371</t>
        </is>
      </c>
      <c r="FO2387" s="15" t="inlineStr">
        <is>
          <t>Cerrillos</t>
        </is>
      </c>
      <c r="FP2387" t="inlineStr">
        <is>
          <t>A</t>
        </is>
      </c>
    </row>
    <row r="2388">
      <c r="FC2388" t="inlineStr">
        <is>
          <t>Diccionario 3</t>
        </is>
      </c>
      <c r="FD2388" s="22" t="inlineStr">
        <is>
          <t>VGRD25</t>
        </is>
      </c>
      <c r="FE2388" s="15" t="inlineStr">
        <is>
          <t>LDYECS83XS0045625</t>
        </is>
      </c>
      <c r="FF2388" s="15" t="inlineStr">
        <is>
          <t>MJJ20025010014</t>
        </is>
      </c>
      <c r="FG2388" s="15" t="inlineStr">
        <is>
          <t>Zhong Tong</t>
        </is>
      </c>
      <c r="FH2388" s="15" t="inlineStr">
        <is>
          <t>LCK6850evg</t>
        </is>
      </c>
      <c r="FI2388" s="15" t="inlineStr">
        <is>
          <t>ZHONGTONG</t>
        </is>
      </c>
      <c r="FJ2388" s="15" t="inlineStr">
        <is>
          <t>LCK6850evg</t>
        </is>
      </c>
      <c r="FK2388" s="15" t="n">
        <v>2025</v>
      </c>
      <c r="FL2388" s="15" t="inlineStr">
        <is>
          <t>A</t>
        </is>
      </c>
      <c r="FM2388" s="15" t="inlineStr">
        <is>
          <t>CERRILLOS</t>
        </is>
      </c>
      <c r="FN2388" s="15" t="inlineStr">
        <is>
          <t>Calle Uno 7371</t>
        </is>
      </c>
      <c r="FO2388" s="15" t="inlineStr">
        <is>
          <t>Cerrillos</t>
        </is>
      </c>
      <c r="FP2388" t="inlineStr">
        <is>
          <t>A</t>
        </is>
      </c>
    </row>
    <row r="2389">
      <c r="FC2389" t="inlineStr">
        <is>
          <t>Diccionario 3</t>
        </is>
      </c>
      <c r="FD2389" s="22" t="inlineStr">
        <is>
          <t>VGRD35</t>
        </is>
      </c>
      <c r="FE2389" s="15" t="inlineStr">
        <is>
          <t>LDYECS832S0045599</t>
        </is>
      </c>
      <c r="FF2389" s="15" t="inlineStr">
        <is>
          <t>MJJ20025010048</t>
        </is>
      </c>
      <c r="FG2389" s="15" t="inlineStr">
        <is>
          <t>Zhong Tong</t>
        </is>
      </c>
      <c r="FH2389" s="15" t="inlineStr">
        <is>
          <t>LCK6850evg</t>
        </is>
      </c>
      <c r="FI2389" s="15" t="inlineStr">
        <is>
          <t>ZHONGTONG</t>
        </is>
      </c>
      <c r="FJ2389" s="15" t="inlineStr">
        <is>
          <t>LCK6850evg</t>
        </is>
      </c>
      <c r="FK2389" s="15" t="n">
        <v>2025</v>
      </c>
      <c r="FL2389" s="15" t="inlineStr">
        <is>
          <t>A</t>
        </is>
      </c>
      <c r="FM2389" s="15" t="inlineStr">
        <is>
          <t>CERRILLOS</t>
        </is>
      </c>
      <c r="FN2389" s="15" t="inlineStr">
        <is>
          <t>Calle Uno 7371</t>
        </is>
      </c>
      <c r="FO2389" s="15" t="inlineStr">
        <is>
          <t>Cerrillos</t>
        </is>
      </c>
      <c r="FP2389" t="inlineStr">
        <is>
          <t>A</t>
        </is>
      </c>
    </row>
    <row r="2390">
      <c r="FC2390" t="inlineStr">
        <is>
          <t>Diccionario 3</t>
        </is>
      </c>
      <c r="FD2390" s="22" t="inlineStr">
        <is>
          <t>VGRD55</t>
        </is>
      </c>
      <c r="FE2390" s="15" t="inlineStr">
        <is>
          <t>LDYECS836S0045602</t>
        </is>
      </c>
      <c r="FF2390" s="15" t="inlineStr">
        <is>
          <t>MJJ20025010046</t>
        </is>
      </c>
      <c r="FG2390" s="15" t="inlineStr">
        <is>
          <t>Zhong Tong</t>
        </is>
      </c>
      <c r="FH2390" s="15" t="inlineStr">
        <is>
          <t>LCK6850evg</t>
        </is>
      </c>
      <c r="FI2390" s="15" t="inlineStr">
        <is>
          <t>ZHONGTONG</t>
        </is>
      </c>
      <c r="FJ2390" s="15" t="inlineStr">
        <is>
          <t>LCK6850evg</t>
        </is>
      </c>
      <c r="FK2390" s="15" t="n">
        <v>2025</v>
      </c>
      <c r="FL2390" s="15" t="inlineStr">
        <is>
          <t>A</t>
        </is>
      </c>
      <c r="FM2390" s="15" t="inlineStr">
        <is>
          <t>CERRILLOS</t>
        </is>
      </c>
      <c r="FN2390" s="15" t="inlineStr">
        <is>
          <t>Calle Uno 7371</t>
        </is>
      </c>
      <c r="FO2390" s="15" t="inlineStr">
        <is>
          <t>Cerrillos</t>
        </is>
      </c>
      <c r="FP2390" t="inlineStr">
        <is>
          <t>A</t>
        </is>
      </c>
    </row>
    <row r="2391">
      <c r="FC2391" t="inlineStr">
        <is>
          <t>Diccionario 3</t>
        </is>
      </c>
      <c r="FD2391" s="15" t="inlineStr">
        <is>
          <t>VGRF45</t>
        </is>
      </c>
      <c r="FE2391" s="15" t="inlineStr">
        <is>
          <t>LDYECS837S0045629</t>
        </is>
      </c>
      <c r="FF2391" s="15" t="inlineStr">
        <is>
          <t>MJJ20025010011</t>
        </is>
      </c>
      <c r="FG2391" s="15" t="inlineStr">
        <is>
          <t>Zhong Tong</t>
        </is>
      </c>
      <c r="FH2391" s="15" t="inlineStr">
        <is>
          <t>LCK6850evg</t>
        </is>
      </c>
      <c r="FI2391" s="15" t="inlineStr">
        <is>
          <t>ZHONGTONG</t>
        </is>
      </c>
      <c r="FJ2391" s="15" t="inlineStr">
        <is>
          <t>LCK6850evg</t>
        </is>
      </c>
      <c r="FK2391" s="15" t="n">
        <v>2025</v>
      </c>
      <c r="FL2391" s="15" t="inlineStr">
        <is>
          <t>A</t>
        </is>
      </c>
      <c r="FM2391" s="15" t="inlineStr">
        <is>
          <t>CERRILLOS</t>
        </is>
      </c>
      <c r="FN2391" s="15" t="inlineStr">
        <is>
          <t>Calle Uno 7371</t>
        </is>
      </c>
      <c r="FO2391" s="15" t="inlineStr">
        <is>
          <t>Cerrillos</t>
        </is>
      </c>
      <c r="FP2391" t="inlineStr">
        <is>
          <t>A</t>
        </is>
      </c>
    </row>
    <row r="2392">
      <c r="FC2392" t="inlineStr">
        <is>
          <t>Diccionario 3</t>
        </is>
      </c>
      <c r="FD2392" s="15" t="inlineStr">
        <is>
          <t>VGRF55</t>
        </is>
      </c>
      <c r="FE2392" s="15" t="inlineStr">
        <is>
          <t>LDYECS839S0045616</t>
        </is>
      </c>
      <c r="FF2392" s="15" t="inlineStr">
        <is>
          <t>MJJ20025010037</t>
        </is>
      </c>
      <c r="FG2392" s="15" t="inlineStr">
        <is>
          <t>Zhong Tong</t>
        </is>
      </c>
      <c r="FH2392" s="15" t="inlineStr">
        <is>
          <t>LCK6850evg</t>
        </is>
      </c>
      <c r="FI2392" s="15" t="inlineStr">
        <is>
          <t>ZHONGTONG</t>
        </is>
      </c>
      <c r="FJ2392" s="15" t="inlineStr">
        <is>
          <t>LCK6850evg</t>
        </is>
      </c>
      <c r="FK2392" s="15" t="n">
        <v>2025</v>
      </c>
      <c r="FL2392" s="15" t="inlineStr">
        <is>
          <t>A</t>
        </is>
      </c>
      <c r="FM2392" s="15" t="inlineStr">
        <is>
          <t>CERRILLOS</t>
        </is>
      </c>
      <c r="FN2392" s="15" t="inlineStr">
        <is>
          <t>Calle Uno 7371</t>
        </is>
      </c>
      <c r="FO2392" s="15" t="inlineStr">
        <is>
          <t>Cerrillos</t>
        </is>
      </c>
      <c r="FP2392" t="inlineStr">
        <is>
          <t>A</t>
        </is>
      </c>
    </row>
    <row r="2393">
      <c r="FC2393" t="inlineStr">
        <is>
          <t>Diccionario 3</t>
        </is>
      </c>
      <c r="FD2393" s="15" t="inlineStr">
        <is>
          <t>VGRF65</t>
        </is>
      </c>
      <c r="FE2393" s="15" t="inlineStr">
        <is>
          <t>LDYECS838S0045610</t>
        </is>
      </c>
      <c r="FF2393" s="15" t="inlineStr">
        <is>
          <t>MJJ20025030024</t>
        </is>
      </c>
      <c r="FG2393" s="15" t="inlineStr">
        <is>
          <t>Zhong Tong</t>
        </is>
      </c>
      <c r="FH2393" s="15" t="inlineStr">
        <is>
          <t>LCK6850evg</t>
        </is>
      </c>
      <c r="FI2393" s="15" t="inlineStr">
        <is>
          <t>ZHONGTONG</t>
        </is>
      </c>
      <c r="FJ2393" s="15" t="inlineStr">
        <is>
          <t>LCK6850evg</t>
        </is>
      </c>
      <c r="FK2393" s="15" t="n">
        <v>2025</v>
      </c>
      <c r="FL2393" s="15" t="inlineStr">
        <is>
          <t>A</t>
        </is>
      </c>
      <c r="FM2393" s="15" t="inlineStr">
        <is>
          <t>CERRILLOS</t>
        </is>
      </c>
      <c r="FN2393" s="15" t="inlineStr">
        <is>
          <t>Calle Uno 7371</t>
        </is>
      </c>
      <c r="FO2393" s="15" t="inlineStr">
        <is>
          <t>Cerrillos</t>
        </is>
      </c>
      <c r="FP2393" t="inlineStr">
        <is>
          <t>A</t>
        </is>
      </c>
    </row>
    <row r="2394">
      <c r="FC2394" t="inlineStr">
        <is>
          <t>Diccionario 3</t>
        </is>
      </c>
      <c r="FD2394" s="15" t="inlineStr">
        <is>
          <t>VGRF75</t>
        </is>
      </c>
      <c r="FE2394" s="15" t="inlineStr">
        <is>
          <t>LDYECS830S0045620</t>
        </is>
      </c>
      <c r="FF2394" s="15" t="inlineStr">
        <is>
          <t>MJJ20025010025</t>
        </is>
      </c>
      <c r="FG2394" s="15" t="inlineStr">
        <is>
          <t>Zhong Tong</t>
        </is>
      </c>
      <c r="FH2394" s="15" t="inlineStr">
        <is>
          <t>LCK6850evg</t>
        </is>
      </c>
      <c r="FI2394" s="15" t="inlineStr">
        <is>
          <t>ZHONGTONG</t>
        </is>
      </c>
      <c r="FJ2394" s="15" t="inlineStr">
        <is>
          <t>LCK6850evg</t>
        </is>
      </c>
      <c r="FK2394" s="15" t="n">
        <v>2025</v>
      </c>
      <c r="FL2394" s="15" t="inlineStr">
        <is>
          <t>A</t>
        </is>
      </c>
      <c r="FM2394" s="15" t="inlineStr">
        <is>
          <t>CERRILLOS</t>
        </is>
      </c>
      <c r="FN2394" s="15" t="inlineStr">
        <is>
          <t>Calle Uno 7371</t>
        </is>
      </c>
      <c r="FO2394" s="15" t="inlineStr">
        <is>
          <t>Cerrillos</t>
        </is>
      </c>
      <c r="FP2394" t="inlineStr">
        <is>
          <t>A</t>
        </is>
      </c>
    </row>
    <row r="2395">
      <c r="FC2395" t="inlineStr">
        <is>
          <t>Diccionario 3</t>
        </is>
      </c>
      <c r="FD2395" s="15" t="inlineStr">
        <is>
          <t>VGRF84</t>
        </is>
      </c>
      <c r="FE2395" s="15" t="inlineStr">
        <is>
          <t>LDYECS832S0045618</t>
        </is>
      </c>
      <c r="FF2395" s="15" t="inlineStr">
        <is>
          <t>MJJ20025010030</t>
        </is>
      </c>
      <c r="FG2395" s="15" t="inlineStr">
        <is>
          <t>Zhong Tong</t>
        </is>
      </c>
      <c r="FH2395" s="15" t="inlineStr">
        <is>
          <t>LCK6850evg</t>
        </is>
      </c>
      <c r="FI2395" s="15" t="inlineStr">
        <is>
          <t>ZHONGTONG</t>
        </is>
      </c>
      <c r="FJ2395" s="15" t="inlineStr">
        <is>
          <t>LCK6850evg</t>
        </is>
      </c>
      <c r="FK2395" s="15" t="n">
        <v>2025</v>
      </c>
      <c r="FL2395" s="15" t="inlineStr">
        <is>
          <t>A</t>
        </is>
      </c>
      <c r="FM2395" s="15" t="inlineStr">
        <is>
          <t>CERRILLOS</t>
        </is>
      </c>
      <c r="FN2395" s="15" t="inlineStr">
        <is>
          <t>Calle Uno 7371</t>
        </is>
      </c>
      <c r="FO2395" s="15" t="inlineStr">
        <is>
          <t>Cerrillos</t>
        </is>
      </c>
      <c r="FP2395" t="inlineStr">
        <is>
          <t>A</t>
        </is>
      </c>
    </row>
    <row r="2396">
      <c r="FC2396" t="inlineStr">
        <is>
          <t>Diccionario 3</t>
        </is>
      </c>
      <c r="FD2396" s="15" t="inlineStr">
        <is>
          <t>VGRF85</t>
        </is>
      </c>
      <c r="FE2396" s="15" t="inlineStr">
        <is>
          <t>LDYECS831S0045609</t>
        </is>
      </c>
      <c r="FF2396" s="15" t="inlineStr">
        <is>
          <t>MJJ20025010029</t>
        </is>
      </c>
      <c r="FG2396" s="15" t="inlineStr">
        <is>
          <t>Zhong Tong</t>
        </is>
      </c>
      <c r="FH2396" s="15" t="inlineStr">
        <is>
          <t>LCK6850evg</t>
        </is>
      </c>
      <c r="FI2396" s="15" t="inlineStr">
        <is>
          <t>ZHONGTONG</t>
        </is>
      </c>
      <c r="FJ2396" s="15" t="inlineStr">
        <is>
          <t>LCK6850evg</t>
        </is>
      </c>
      <c r="FK2396" s="15" t="n">
        <v>2025</v>
      </c>
      <c r="FL2396" s="15" t="inlineStr">
        <is>
          <t>A</t>
        </is>
      </c>
      <c r="FM2396" s="15" t="inlineStr">
        <is>
          <t>CERRILLOS</t>
        </is>
      </c>
      <c r="FN2396" s="15" t="inlineStr">
        <is>
          <t>Calle Uno 7371</t>
        </is>
      </c>
      <c r="FO2396" s="15" t="inlineStr">
        <is>
          <t>Cerrillos</t>
        </is>
      </c>
      <c r="FP2396" t="inlineStr">
        <is>
          <t>A</t>
        </is>
      </c>
    </row>
    <row r="2397">
      <c r="FC2397" t="inlineStr">
        <is>
          <t>Diccionario 3</t>
        </is>
      </c>
      <c r="FD2397" s="15" t="inlineStr">
        <is>
          <t>VGRF94</t>
        </is>
      </c>
      <c r="FE2397" s="15" t="inlineStr">
        <is>
          <t>LDYECS830S0045634</t>
        </is>
      </c>
      <c r="FF2397" s="15" t="inlineStr">
        <is>
          <t>MJJ20025010004</t>
        </is>
      </c>
      <c r="FG2397" s="15" t="inlineStr">
        <is>
          <t>Zhong Tong</t>
        </is>
      </c>
      <c r="FH2397" s="15" t="inlineStr">
        <is>
          <t>LCK6850evg</t>
        </is>
      </c>
      <c r="FI2397" s="15" t="inlineStr">
        <is>
          <t>ZHONGTONG</t>
        </is>
      </c>
      <c r="FJ2397" s="15" t="inlineStr">
        <is>
          <t>LCK6850evg</t>
        </is>
      </c>
      <c r="FK2397" s="15" t="n">
        <v>2025</v>
      </c>
      <c r="FL2397" s="15" t="inlineStr">
        <is>
          <t>A</t>
        </is>
      </c>
      <c r="FM2397" s="15" t="inlineStr">
        <is>
          <t>CERRILLOS</t>
        </is>
      </c>
      <c r="FN2397" s="15" t="inlineStr">
        <is>
          <t>Calle Uno 7371</t>
        </is>
      </c>
      <c r="FO2397" s="15" t="inlineStr">
        <is>
          <t>Cerrillos</t>
        </is>
      </c>
      <c r="FP2397" t="inlineStr">
        <is>
          <t>A</t>
        </is>
      </c>
    </row>
    <row r="2398">
      <c r="FC2398" t="inlineStr">
        <is>
          <t>Diccionario 3</t>
        </is>
      </c>
      <c r="FD2398" s="15" t="inlineStr">
        <is>
          <t>VGRG14</t>
        </is>
      </c>
      <c r="FE2398" s="15" t="inlineStr">
        <is>
          <t>LDYECS834S0045622</t>
        </is>
      </c>
      <c r="FF2398" s="15" t="inlineStr">
        <is>
          <t>MJJ20025030025</t>
        </is>
      </c>
      <c r="FG2398" s="15" t="inlineStr">
        <is>
          <t>Zhong Tong</t>
        </is>
      </c>
      <c r="FH2398" s="15" t="inlineStr">
        <is>
          <t>LCK6850evg</t>
        </is>
      </c>
      <c r="FI2398" s="15" t="inlineStr">
        <is>
          <t>ZHONGTONG</t>
        </is>
      </c>
      <c r="FJ2398" s="15" t="inlineStr">
        <is>
          <t>LCK6850evg</t>
        </is>
      </c>
      <c r="FK2398" s="15" t="n">
        <v>2025</v>
      </c>
      <c r="FL2398" s="15" t="inlineStr">
        <is>
          <t>A</t>
        </is>
      </c>
      <c r="FM2398" s="15" t="inlineStr">
        <is>
          <t>CERRILLOS</t>
        </is>
      </c>
      <c r="FN2398" s="15" t="inlineStr">
        <is>
          <t>Calle Uno 7371</t>
        </is>
      </c>
      <c r="FO2398" s="15" t="inlineStr">
        <is>
          <t>Cerrillos</t>
        </is>
      </c>
      <c r="FP2398" t="inlineStr">
        <is>
          <t>A</t>
        </is>
      </c>
    </row>
    <row r="2399">
      <c r="FC2399" t="inlineStr">
        <is>
          <t>Diccionario 3</t>
        </is>
      </c>
      <c r="FD2399" s="15" t="inlineStr">
        <is>
          <t>VGRG24</t>
        </is>
      </c>
      <c r="FE2399" s="15" t="inlineStr">
        <is>
          <t>LDYECS831S0045612</t>
        </is>
      </c>
      <c r="FF2399" s="15" t="inlineStr">
        <is>
          <t>MJJ20025010043</t>
        </is>
      </c>
      <c r="FG2399" s="15" t="inlineStr">
        <is>
          <t>Zhong Tong</t>
        </is>
      </c>
      <c r="FH2399" s="15" t="inlineStr">
        <is>
          <t>LCK6850evg</t>
        </is>
      </c>
      <c r="FI2399" s="15" t="inlineStr">
        <is>
          <t>ZHONGTONG</t>
        </is>
      </c>
      <c r="FJ2399" s="15" t="inlineStr">
        <is>
          <t>LCK6850evg</t>
        </is>
      </c>
      <c r="FK2399" s="15" t="n">
        <v>2025</v>
      </c>
      <c r="FL2399" s="15" t="inlineStr">
        <is>
          <t>A</t>
        </is>
      </c>
      <c r="FM2399" s="15" t="inlineStr">
        <is>
          <t>CERRILLOS</t>
        </is>
      </c>
      <c r="FN2399" s="15" t="inlineStr">
        <is>
          <t>Calle Uno 7371</t>
        </is>
      </c>
      <c r="FO2399" s="15" t="inlineStr">
        <is>
          <t>Cerrillos</t>
        </is>
      </c>
      <c r="FP2399" t="inlineStr">
        <is>
          <t>A</t>
        </is>
      </c>
    </row>
    <row r="2400">
      <c r="FC2400" t="inlineStr">
        <is>
          <t>Diccionario 3</t>
        </is>
      </c>
      <c r="FD2400" s="15" t="inlineStr">
        <is>
          <t>VGRG34</t>
        </is>
      </c>
      <c r="FE2400" s="15" t="inlineStr">
        <is>
          <t>LDYECS834S0045619</t>
        </is>
      </c>
      <c r="FF2400" s="15" t="inlineStr">
        <is>
          <t>MJJ2002503018</t>
        </is>
      </c>
      <c r="FG2400" s="15" t="inlineStr">
        <is>
          <t>Zhong Tong</t>
        </is>
      </c>
      <c r="FH2400" s="15" t="inlineStr">
        <is>
          <t>LCK6850evg</t>
        </is>
      </c>
      <c r="FI2400" s="15" t="inlineStr">
        <is>
          <t>ZHONGTONG</t>
        </is>
      </c>
      <c r="FJ2400" s="15" t="inlineStr">
        <is>
          <t>LCK6850evg</t>
        </is>
      </c>
      <c r="FK2400" s="15" t="n">
        <v>2025</v>
      </c>
      <c r="FL2400" s="15" t="inlineStr">
        <is>
          <t>A</t>
        </is>
      </c>
      <c r="FM2400" s="15" t="inlineStr">
        <is>
          <t>CERRILLOS</t>
        </is>
      </c>
      <c r="FN2400" s="15" t="inlineStr">
        <is>
          <t>Calle Uno 7371</t>
        </is>
      </c>
      <c r="FO2400" s="15" t="inlineStr">
        <is>
          <t>Cerrillos</t>
        </is>
      </c>
      <c r="FP2400" t="inlineStr">
        <is>
          <t>A</t>
        </is>
      </c>
    </row>
    <row r="2401">
      <c r="FC2401" t="inlineStr">
        <is>
          <t>Diccionario 3</t>
        </is>
      </c>
      <c r="FD2401" s="15" t="inlineStr">
        <is>
          <t>VGRG44</t>
        </is>
      </c>
      <c r="FE2401" s="15" t="inlineStr">
        <is>
          <t>LDYECS83XS0045608</t>
        </is>
      </c>
      <c r="FF2401" s="15" t="inlineStr">
        <is>
          <t>MJJ20025030023</t>
        </is>
      </c>
      <c r="FG2401" s="15" t="inlineStr">
        <is>
          <t>Zhong Tong</t>
        </is>
      </c>
      <c r="FH2401" s="15" t="inlineStr">
        <is>
          <t>LCK6850evg</t>
        </is>
      </c>
      <c r="FI2401" s="15" t="inlineStr">
        <is>
          <t>ZHONGTONG</t>
        </is>
      </c>
      <c r="FJ2401" s="15" t="inlineStr">
        <is>
          <t>LCK6850evg</t>
        </is>
      </c>
      <c r="FK2401" s="15" t="n">
        <v>2025</v>
      </c>
      <c r="FL2401" s="15" t="inlineStr">
        <is>
          <t>A</t>
        </is>
      </c>
      <c r="FM2401" s="15" t="inlineStr">
        <is>
          <t>CERRILLOS</t>
        </is>
      </c>
      <c r="FN2401" s="15" t="inlineStr">
        <is>
          <t>Calle Uno 7371</t>
        </is>
      </c>
      <c r="FO2401" s="15" t="inlineStr">
        <is>
          <t>Cerrillos</t>
        </is>
      </c>
      <c r="FP2401" t="inlineStr">
        <is>
          <t>A</t>
        </is>
      </c>
    </row>
    <row r="2402">
      <c r="FC2402" t="inlineStr">
        <is>
          <t>Diccionario 3</t>
        </is>
      </c>
      <c r="FD2402" s="15" t="inlineStr">
        <is>
          <t>VGRG45</t>
        </is>
      </c>
      <c r="FE2402" s="15" t="inlineStr">
        <is>
          <t>LDYECS832S0045649</t>
        </is>
      </c>
      <c r="FF2402" s="15" t="inlineStr">
        <is>
          <t>MJJ20025010008</t>
        </is>
      </c>
      <c r="FG2402" s="15" t="inlineStr">
        <is>
          <t>Zhong Tong</t>
        </is>
      </c>
      <c r="FH2402" s="15" t="inlineStr">
        <is>
          <t>LCK6850evg</t>
        </is>
      </c>
      <c r="FI2402" s="15" t="inlineStr">
        <is>
          <t>ZHONGTONG</t>
        </is>
      </c>
      <c r="FJ2402" s="15" t="inlineStr">
        <is>
          <t>LCK6850evg</t>
        </is>
      </c>
      <c r="FK2402" s="15" t="n">
        <v>2025</v>
      </c>
      <c r="FL2402" s="15" t="inlineStr">
        <is>
          <t>A</t>
        </is>
      </c>
      <c r="FM2402" s="15" t="inlineStr">
        <is>
          <t>CERRILLOS</t>
        </is>
      </c>
      <c r="FN2402" s="15" t="inlineStr">
        <is>
          <t>Calle Uno 7371</t>
        </is>
      </c>
      <c r="FO2402" s="15" t="inlineStr">
        <is>
          <t>Cerrillos</t>
        </is>
      </c>
      <c r="FP2402" t="inlineStr">
        <is>
          <t>A</t>
        </is>
      </c>
    </row>
    <row r="2403">
      <c r="FC2403" t="inlineStr">
        <is>
          <t>Diccionario 3</t>
        </is>
      </c>
      <c r="FD2403" s="15" t="inlineStr">
        <is>
          <t>VGRG54</t>
        </is>
      </c>
      <c r="FE2403" s="15" t="inlineStr">
        <is>
          <t>LDYECS836S0045623</t>
        </is>
      </c>
      <c r="FF2403" s="15" t="inlineStr">
        <is>
          <t>MJJ20025010021</t>
        </is>
      </c>
      <c r="FG2403" s="15" t="inlineStr">
        <is>
          <t>Zhong Tong</t>
        </is>
      </c>
      <c r="FH2403" s="15" t="inlineStr">
        <is>
          <t>LCK6850evg</t>
        </is>
      </c>
      <c r="FI2403" s="15" t="inlineStr">
        <is>
          <t>ZHONGTONG</t>
        </is>
      </c>
      <c r="FJ2403" s="15" t="inlineStr">
        <is>
          <t>LCK6850evg</t>
        </is>
      </c>
      <c r="FK2403" s="15" t="n">
        <v>2025</v>
      </c>
      <c r="FL2403" s="15" t="inlineStr">
        <is>
          <t>A</t>
        </is>
      </c>
      <c r="FM2403" s="15" t="inlineStr">
        <is>
          <t>CERRILLOS</t>
        </is>
      </c>
      <c r="FN2403" s="15" t="inlineStr">
        <is>
          <t>Calle Uno 7371</t>
        </is>
      </c>
      <c r="FO2403" s="15" t="inlineStr">
        <is>
          <t>Cerrillos</t>
        </is>
      </c>
      <c r="FP2403" t="inlineStr">
        <is>
          <t>A</t>
        </is>
      </c>
    </row>
    <row r="2404">
      <c r="FC2404" t="inlineStr">
        <is>
          <t>Diccionario 3</t>
        </is>
      </c>
      <c r="FD2404" s="17" t="inlineStr">
        <is>
          <t>VJKD70</t>
        </is>
      </c>
      <c r="FE2404" s="17" t="inlineStr">
        <is>
          <t>LDYECS312S0044409</t>
        </is>
      </c>
      <c r="FF2404" s="18" t="inlineStr">
        <is>
          <t>MDN35025030111</t>
        </is>
      </c>
      <c r="FG2404" s="18" t="inlineStr">
        <is>
          <t>Zhong Thong</t>
        </is>
      </c>
      <c r="FH2404" s="18" t="inlineStr">
        <is>
          <t>Lck6122evg</t>
        </is>
      </c>
      <c r="FI2404" s="18" t="inlineStr">
        <is>
          <t>Zhong Thong</t>
        </is>
      </c>
      <c r="FJ2404" s="18" t="inlineStr">
        <is>
          <t>Lck6122evg</t>
        </is>
      </c>
      <c r="FK2404" s="18" t="n">
        <v>2026</v>
      </c>
      <c r="FL2404" s="18" t="inlineStr">
        <is>
          <t>B</t>
        </is>
      </c>
      <c r="FM2404" s="18" t="inlineStr">
        <is>
          <t>Recoleta</t>
        </is>
      </c>
      <c r="FP2404" t="inlineStr">
        <is>
          <t>B</t>
        </is>
      </c>
    </row>
    <row r="2405">
      <c r="FC2405" t="inlineStr">
        <is>
          <t>Diccionario 3</t>
        </is>
      </c>
      <c r="FD2405" s="17" t="inlineStr">
        <is>
          <t>VJKD85</t>
        </is>
      </c>
      <c r="FE2405" s="17" t="inlineStr">
        <is>
          <t>LDYECS313S0044323</t>
        </is>
      </c>
      <c r="FF2405" s="18" t="inlineStr">
        <is>
          <t>MDN35025030135</t>
        </is>
      </c>
      <c r="FG2405" s="18" t="inlineStr">
        <is>
          <t>Zhong Thong</t>
        </is>
      </c>
      <c r="FH2405" s="18" t="inlineStr">
        <is>
          <t>Lck6122evg</t>
        </is>
      </c>
      <c r="FI2405" s="18" t="inlineStr">
        <is>
          <t>Zhong Thong</t>
        </is>
      </c>
      <c r="FJ2405" s="18" t="inlineStr">
        <is>
          <t>Lck6122evg</t>
        </is>
      </c>
      <c r="FK2405" s="18" t="n">
        <v>2026</v>
      </c>
      <c r="FL2405" s="18" t="inlineStr">
        <is>
          <t>B</t>
        </is>
      </c>
      <c r="FM2405" s="18" t="inlineStr">
        <is>
          <t>Recoleta</t>
        </is>
      </c>
      <c r="FP2405" t="inlineStr">
        <is>
          <t>B</t>
        </is>
      </c>
    </row>
    <row r="2406">
      <c r="FC2406" t="inlineStr">
        <is>
          <t>Diccionario 3</t>
        </is>
      </c>
      <c r="FD2406" s="17" t="inlineStr">
        <is>
          <t>VJKD94</t>
        </is>
      </c>
      <c r="FE2406" s="17" t="inlineStr">
        <is>
          <t>LDYECS310S0044392</t>
        </is>
      </c>
      <c r="FF2406" s="18" t="inlineStr">
        <is>
          <t>MDN35025030180</t>
        </is>
      </c>
      <c r="FG2406" s="18" t="inlineStr">
        <is>
          <t>Zhong Thong</t>
        </is>
      </c>
      <c r="FH2406" s="18" t="inlineStr">
        <is>
          <t>Lck6122evg</t>
        </is>
      </c>
      <c r="FI2406" s="18" t="inlineStr">
        <is>
          <t>Zhong Thong</t>
        </is>
      </c>
      <c r="FJ2406" s="18" t="inlineStr">
        <is>
          <t>Lck6122evg</t>
        </is>
      </c>
      <c r="FK2406" s="18" t="n">
        <v>2026</v>
      </c>
      <c r="FL2406" s="18" t="inlineStr">
        <is>
          <t>B</t>
        </is>
      </c>
      <c r="FM2406" s="18" t="inlineStr">
        <is>
          <t>Recoleta</t>
        </is>
      </c>
      <c r="FP2406" t="inlineStr">
        <is>
          <t>B</t>
        </is>
      </c>
    </row>
    <row r="2407">
      <c r="FC2407" t="inlineStr">
        <is>
          <t>Diccionario 3</t>
        </is>
      </c>
      <c r="FD2407" s="17" t="inlineStr">
        <is>
          <t>VJKF29</t>
        </is>
      </c>
      <c r="FE2407" s="17" t="inlineStr">
        <is>
          <t>LDYECS311S0044398</t>
        </is>
      </c>
      <c r="FF2407" s="18" t="inlineStr">
        <is>
          <t>MDN35025030205</t>
        </is>
      </c>
      <c r="FG2407" s="18" t="inlineStr">
        <is>
          <t>Zhong Thong</t>
        </is>
      </c>
      <c r="FH2407" s="18" t="inlineStr">
        <is>
          <t>Lck6122evg</t>
        </is>
      </c>
      <c r="FI2407" s="18" t="inlineStr">
        <is>
          <t>Zhong Thong</t>
        </is>
      </c>
      <c r="FJ2407" s="18" t="inlineStr">
        <is>
          <t>Lck6122evg</t>
        </is>
      </c>
      <c r="FK2407" s="18" t="n">
        <v>2026</v>
      </c>
      <c r="FL2407" s="18" t="inlineStr">
        <is>
          <t>B</t>
        </is>
      </c>
      <c r="FM2407" s="18" t="inlineStr">
        <is>
          <t>Recoleta</t>
        </is>
      </c>
      <c r="FP2407" t="inlineStr">
        <is>
          <t>B</t>
        </is>
      </c>
    </row>
    <row r="2408">
      <c r="FC2408" t="inlineStr">
        <is>
          <t>Diccionario 3</t>
        </is>
      </c>
      <c r="FD2408" s="17" t="inlineStr">
        <is>
          <t>VJKF44</t>
        </is>
      </c>
      <c r="FE2408" s="17" t="inlineStr">
        <is>
          <t>LDYECS317S0044339</t>
        </is>
      </c>
      <c r="FF2408" s="18" t="inlineStr">
        <is>
          <t>MDN35025030142</t>
        </is>
      </c>
      <c r="FG2408" s="18" t="inlineStr">
        <is>
          <t>Zhong Thong</t>
        </is>
      </c>
      <c r="FH2408" s="18" t="inlineStr">
        <is>
          <t>Lck6122evg</t>
        </is>
      </c>
      <c r="FI2408" s="18" t="inlineStr">
        <is>
          <t>Zhong Thong</t>
        </is>
      </c>
      <c r="FJ2408" s="18" t="inlineStr">
        <is>
          <t>Lck6122evg</t>
        </is>
      </c>
      <c r="FK2408" s="18" t="n">
        <v>2026</v>
      </c>
      <c r="FL2408" s="18" t="inlineStr">
        <is>
          <t>B</t>
        </is>
      </c>
      <c r="FM2408" s="18" t="inlineStr">
        <is>
          <t>Lo Blanco</t>
        </is>
      </c>
      <c r="FP2408" t="inlineStr">
        <is>
          <t>B</t>
        </is>
      </c>
    </row>
    <row r="2409">
      <c r="FC2409" t="inlineStr">
        <is>
          <t>Diccionario 3</t>
        </is>
      </c>
      <c r="FD2409" s="17" t="inlineStr">
        <is>
          <t>VJKF46</t>
        </is>
      </c>
      <c r="FE2409" s="17" t="inlineStr">
        <is>
          <t>LDYECS312S0044331</t>
        </is>
      </c>
      <c r="FF2409" s="18" t="inlineStr">
        <is>
          <t>MDN35025030246</t>
        </is>
      </c>
      <c r="FG2409" s="18" t="inlineStr">
        <is>
          <t>Zhong Thong</t>
        </is>
      </c>
      <c r="FH2409" s="18" t="inlineStr">
        <is>
          <t>Lck6122evg</t>
        </is>
      </c>
      <c r="FI2409" s="18" t="inlineStr">
        <is>
          <t>Zhong Thong</t>
        </is>
      </c>
      <c r="FJ2409" s="18" t="inlineStr">
        <is>
          <t>Lck6122evg</t>
        </is>
      </c>
      <c r="FK2409" s="18" t="n">
        <v>2026</v>
      </c>
      <c r="FL2409" s="18" t="inlineStr">
        <is>
          <t>B</t>
        </is>
      </c>
      <c r="FM2409" s="18" t="inlineStr">
        <is>
          <t>Recoleta</t>
        </is>
      </c>
      <c r="FP2409" t="inlineStr">
        <is>
          <t>B</t>
        </is>
      </c>
    </row>
    <row r="2410">
      <c r="FC2410" t="inlineStr">
        <is>
          <t>Diccionario 3</t>
        </is>
      </c>
      <c r="FD2410" s="17" t="inlineStr">
        <is>
          <t>VJKF55</t>
        </is>
      </c>
      <c r="FE2410" s="17" t="inlineStr">
        <is>
          <t>LDYECS319S0044407</t>
        </is>
      </c>
      <c r="FF2410" s="18" t="inlineStr">
        <is>
          <t>MDN35025030112</t>
        </is>
      </c>
      <c r="FG2410" s="18" t="inlineStr">
        <is>
          <t>Zhong Thong</t>
        </is>
      </c>
      <c r="FH2410" s="18" t="inlineStr">
        <is>
          <t>Lck6122evg</t>
        </is>
      </c>
      <c r="FI2410" s="18" t="inlineStr">
        <is>
          <t>Zhong Thong</t>
        </is>
      </c>
      <c r="FJ2410" s="18" t="inlineStr">
        <is>
          <t>Lck6122evg</t>
        </is>
      </c>
      <c r="FK2410" s="18" t="n">
        <v>2026</v>
      </c>
      <c r="FL2410" s="18" t="inlineStr">
        <is>
          <t>B</t>
        </is>
      </c>
      <c r="FM2410" s="18" t="inlineStr">
        <is>
          <t>Recoleta</t>
        </is>
      </c>
      <c r="FP2410" t="inlineStr">
        <is>
          <t>B</t>
        </is>
      </c>
    </row>
    <row r="2411">
      <c r="FC2411" t="inlineStr">
        <is>
          <t>Diccionario 3</t>
        </is>
      </c>
      <c r="FD2411" s="17" t="inlineStr">
        <is>
          <t>VJKF61</t>
        </is>
      </c>
      <c r="FE2411" s="17" t="inlineStr">
        <is>
          <t>LDYECS313S0044340</t>
        </is>
      </c>
      <c r="FF2411" s="18" t="inlineStr">
        <is>
          <t>MDN35025010149</t>
        </is>
      </c>
      <c r="FG2411" s="18" t="inlineStr">
        <is>
          <t>Zhong Thong</t>
        </is>
      </c>
      <c r="FH2411" s="18" t="inlineStr">
        <is>
          <t>Lck6122evg</t>
        </is>
      </c>
      <c r="FI2411" s="18" t="inlineStr">
        <is>
          <t>Zhong Thong</t>
        </is>
      </c>
      <c r="FJ2411" s="18" t="inlineStr">
        <is>
          <t>Lck6122evg</t>
        </is>
      </c>
      <c r="FK2411" s="18" t="n">
        <v>2026</v>
      </c>
      <c r="FL2411" s="18" t="inlineStr">
        <is>
          <t>B</t>
        </is>
      </c>
      <c r="FM2411" s="18" t="inlineStr">
        <is>
          <t>Recoleta</t>
        </is>
      </c>
      <c r="FP2411" t="inlineStr">
        <is>
          <t>B</t>
        </is>
      </c>
    </row>
    <row r="2412">
      <c r="FC2412" t="inlineStr">
        <is>
          <t>Diccionario 3</t>
        </is>
      </c>
      <c r="FD2412" s="17" t="inlineStr">
        <is>
          <t>VJKF66</t>
        </is>
      </c>
      <c r="FE2412" s="17" t="inlineStr">
        <is>
          <t>LDYECS314S0044332</t>
        </is>
      </c>
      <c r="FF2412" s="18" t="inlineStr">
        <is>
          <t>MDN35025030178</t>
        </is>
      </c>
      <c r="FG2412" s="18" t="inlineStr">
        <is>
          <t>Zhong Thong</t>
        </is>
      </c>
      <c r="FH2412" s="18" t="inlineStr">
        <is>
          <t>Lck6122evg</t>
        </is>
      </c>
      <c r="FI2412" s="18" t="inlineStr">
        <is>
          <t>Zhong Thong</t>
        </is>
      </c>
      <c r="FJ2412" s="18" t="inlineStr">
        <is>
          <t>Lck6122evg</t>
        </is>
      </c>
      <c r="FK2412" s="18" t="n">
        <v>2026</v>
      </c>
      <c r="FL2412" s="18" t="inlineStr">
        <is>
          <t>B</t>
        </is>
      </c>
      <c r="FM2412" s="18" t="inlineStr">
        <is>
          <t>Recoleta</t>
        </is>
      </c>
      <c r="FP2412" t="inlineStr">
        <is>
          <t>B</t>
        </is>
      </c>
    </row>
    <row r="2413">
      <c r="FC2413" t="inlineStr">
        <is>
          <t>Diccionario 3</t>
        </is>
      </c>
      <c r="FD2413" s="17" t="inlineStr">
        <is>
          <t>VJKG16</t>
        </is>
      </c>
      <c r="FE2413" s="17" t="inlineStr">
        <is>
          <t>LDYECS313S0044399</t>
        </is>
      </c>
      <c r="FF2413" s="18" t="inlineStr">
        <is>
          <t>MDN35025030198</t>
        </is>
      </c>
      <c r="FG2413" s="18" t="inlineStr">
        <is>
          <t>Zhong Thong</t>
        </is>
      </c>
      <c r="FH2413" s="18" t="inlineStr">
        <is>
          <t>Lck6122evg</t>
        </is>
      </c>
      <c r="FI2413" s="18" t="inlineStr">
        <is>
          <t>Zhong Thong</t>
        </is>
      </c>
      <c r="FJ2413" s="18" t="inlineStr">
        <is>
          <t>Lck6122evg</t>
        </is>
      </c>
      <c r="FK2413" s="18" t="n">
        <v>2026</v>
      </c>
      <c r="FL2413" s="18" t="inlineStr">
        <is>
          <t>B</t>
        </is>
      </c>
      <c r="FM2413" s="18" t="inlineStr">
        <is>
          <t>Recoleta</t>
        </is>
      </c>
      <c r="FP2413" t="inlineStr">
        <is>
          <t>B</t>
        </is>
      </c>
    </row>
    <row r="2414">
      <c r="FC2414" t="inlineStr">
        <is>
          <t>Diccionario 3</t>
        </is>
      </c>
      <c r="FD2414" s="17" t="inlineStr">
        <is>
          <t>VJKG25</t>
        </is>
      </c>
      <c r="FE2414" s="17" t="inlineStr">
        <is>
          <t>LDYECS313S0044337</t>
        </is>
      </c>
      <c r="FF2414" s="18" t="inlineStr">
        <is>
          <t>MDN350250138</t>
        </is>
      </c>
      <c r="FG2414" s="18" t="inlineStr">
        <is>
          <t>Zhong Thong</t>
        </is>
      </c>
      <c r="FH2414" s="18" t="inlineStr">
        <is>
          <t>Lck6122evg</t>
        </is>
      </c>
      <c r="FI2414" s="18" t="inlineStr">
        <is>
          <t>Zhong Thong</t>
        </is>
      </c>
      <c r="FJ2414" s="18" t="inlineStr">
        <is>
          <t>Lck6122evg</t>
        </is>
      </c>
      <c r="FK2414" s="18" t="n">
        <v>2026</v>
      </c>
      <c r="FL2414" s="18" t="inlineStr">
        <is>
          <t>B</t>
        </is>
      </c>
      <c r="FM2414" s="18" t="inlineStr">
        <is>
          <t>Recoleta</t>
        </is>
      </c>
      <c r="FP2414" t="inlineStr">
        <is>
          <t>B</t>
        </is>
      </c>
    </row>
    <row r="2415">
      <c r="FC2415" t="inlineStr">
        <is>
          <t>Diccionario 3</t>
        </is>
      </c>
      <c r="FD2415" s="17" t="inlineStr">
        <is>
          <t>VJKG36</t>
        </is>
      </c>
      <c r="FE2415" s="17" t="inlineStr">
        <is>
          <t>LDYECS313S0044404</t>
        </is>
      </c>
      <c r="FF2415" s="18" t="inlineStr">
        <is>
          <t>MDN35025030001</t>
        </is>
      </c>
      <c r="FG2415" s="18" t="inlineStr">
        <is>
          <t>Zhong Thong</t>
        </is>
      </c>
      <c r="FH2415" s="18" t="inlineStr">
        <is>
          <t>Lck6122evg</t>
        </is>
      </c>
      <c r="FI2415" s="18" t="inlineStr">
        <is>
          <t>Zhong Thong</t>
        </is>
      </c>
      <c r="FJ2415" s="18" t="inlineStr">
        <is>
          <t>Lck6122evg</t>
        </is>
      </c>
      <c r="FK2415" s="18" t="n">
        <v>2026</v>
      </c>
      <c r="FL2415" s="18" t="inlineStr">
        <is>
          <t>B</t>
        </is>
      </c>
      <c r="FM2415" s="18" t="inlineStr">
        <is>
          <t>Recoleta</t>
        </is>
      </c>
      <c r="FP2415" t="inlineStr">
        <is>
          <t>B</t>
        </is>
      </c>
    </row>
    <row r="2416">
      <c r="FC2416" t="inlineStr">
        <is>
          <t>Diccionario 3</t>
        </is>
      </c>
      <c r="FD2416" s="17" t="inlineStr">
        <is>
          <t>VJKG37</t>
        </is>
      </c>
      <c r="FE2416" s="17" t="inlineStr">
        <is>
          <t>LDYECS310S0044408</t>
        </is>
      </c>
      <c r="FF2416" s="18" t="inlineStr">
        <is>
          <t>MDN35025020174</t>
        </is>
      </c>
      <c r="FG2416" s="18" t="inlineStr">
        <is>
          <t>Zhong Thong</t>
        </is>
      </c>
      <c r="FH2416" s="18" t="inlineStr">
        <is>
          <t>Lck6122evg</t>
        </is>
      </c>
      <c r="FI2416" s="18" t="inlineStr">
        <is>
          <t>Zhong Thong</t>
        </is>
      </c>
      <c r="FJ2416" s="18" t="inlineStr">
        <is>
          <t>Lck6122evg</t>
        </is>
      </c>
      <c r="FK2416" s="18" t="n">
        <v>2026</v>
      </c>
      <c r="FL2416" s="18" t="inlineStr">
        <is>
          <t>B</t>
        </is>
      </c>
      <c r="FM2416" s="18" t="inlineStr">
        <is>
          <t>Ducaud</t>
        </is>
      </c>
      <c r="FP2416" t="inlineStr">
        <is>
          <t>B</t>
        </is>
      </c>
    </row>
    <row r="2417">
      <c r="FC2417" t="inlineStr">
        <is>
          <t>Diccionario 3</t>
        </is>
      </c>
      <c r="FD2417" s="17" t="inlineStr">
        <is>
          <t>VJKG66</t>
        </is>
      </c>
      <c r="FE2417" s="17" t="inlineStr">
        <is>
          <t>LDYECS315S0044405</t>
        </is>
      </c>
      <c r="FF2417" s="18" t="inlineStr">
        <is>
          <t>MDN35025020253</t>
        </is>
      </c>
      <c r="FG2417" s="18" t="inlineStr">
        <is>
          <t>Zhong Thong</t>
        </is>
      </c>
      <c r="FH2417" s="18" t="inlineStr">
        <is>
          <t>Lck6122evg</t>
        </is>
      </c>
      <c r="FI2417" s="18" t="inlineStr">
        <is>
          <t>Zhong Thong</t>
        </is>
      </c>
      <c r="FJ2417" s="18" t="inlineStr">
        <is>
          <t>Lck6122evg</t>
        </is>
      </c>
      <c r="FK2417" s="18" t="n">
        <v>2026</v>
      </c>
      <c r="FL2417" s="18" t="inlineStr">
        <is>
          <t>B</t>
        </is>
      </c>
      <c r="FM2417" s="18" t="inlineStr">
        <is>
          <t>Ducaud</t>
        </is>
      </c>
      <c r="FP2417" t="inlineStr">
        <is>
          <t>B</t>
        </is>
      </c>
    </row>
    <row r="2418">
      <c r="FC2418" t="inlineStr">
        <is>
          <t>Diccionario 3</t>
        </is>
      </c>
      <c r="FD2418" s="17" t="inlineStr">
        <is>
          <t>VJKG75</t>
        </is>
      </c>
      <c r="FE2418" s="17" t="inlineStr">
        <is>
          <t>LDYECS316S0044414</t>
        </is>
      </c>
      <c r="FF2418" s="18" t="inlineStr">
        <is>
          <t>MDN35025020075</t>
        </is>
      </c>
      <c r="FG2418" s="18" t="inlineStr">
        <is>
          <t>Zhong Thong</t>
        </is>
      </c>
      <c r="FH2418" s="18" t="inlineStr">
        <is>
          <t>Lck6122evg</t>
        </is>
      </c>
      <c r="FI2418" s="18" t="inlineStr">
        <is>
          <t>Zhong Thong</t>
        </is>
      </c>
      <c r="FJ2418" s="18" t="inlineStr">
        <is>
          <t>Lck6122evg</t>
        </is>
      </c>
      <c r="FK2418" s="18" t="n">
        <v>2026</v>
      </c>
      <c r="FL2418" s="18" t="inlineStr">
        <is>
          <t>B</t>
        </is>
      </c>
      <c r="FM2418" s="18" t="inlineStr">
        <is>
          <t>Ducaud</t>
        </is>
      </c>
      <c r="FP2418" t="inlineStr">
        <is>
          <t>B</t>
        </is>
      </c>
    </row>
    <row r="2419">
      <c r="FC2419" t="inlineStr">
        <is>
          <t>Diccionario 3</t>
        </is>
      </c>
      <c r="FD2419" s="17" t="inlineStr">
        <is>
          <t>VJKG85</t>
        </is>
      </c>
      <c r="FE2419" s="17" t="inlineStr">
        <is>
          <t>LDYECS313S0044239</t>
        </is>
      </c>
      <c r="FF2419" s="18" t="inlineStr">
        <is>
          <t>MDN35025020137</t>
        </is>
      </c>
      <c r="FG2419" s="18" t="inlineStr">
        <is>
          <t>Zhong Thong</t>
        </is>
      </c>
      <c r="FH2419" s="18" t="inlineStr">
        <is>
          <t>Lck6122evg</t>
        </is>
      </c>
      <c r="FI2419" s="18" t="inlineStr">
        <is>
          <t>Zhong Thong</t>
        </is>
      </c>
      <c r="FJ2419" s="18" t="inlineStr">
        <is>
          <t>Lck6122evg</t>
        </is>
      </c>
      <c r="FK2419" s="18" t="n">
        <v>2026</v>
      </c>
      <c r="FL2419" s="18" t="inlineStr">
        <is>
          <t>B</t>
        </is>
      </c>
      <c r="FM2419" s="18" t="inlineStr">
        <is>
          <t>Ducaud</t>
        </is>
      </c>
      <c r="FP2419" t="inlineStr">
        <is>
          <t>B</t>
        </is>
      </c>
    </row>
    <row r="2420">
      <c r="FC2420" t="inlineStr">
        <is>
          <t>Diccionario 3</t>
        </is>
      </c>
      <c r="FD2420" s="17" t="inlineStr">
        <is>
          <t>VJKT45</t>
        </is>
      </c>
      <c r="FE2420" s="17" t="inlineStr">
        <is>
          <t>LDYECS316S0044381</t>
        </is>
      </c>
      <c r="FF2420" s="18" t="inlineStr">
        <is>
          <t>MDN35025030006</t>
        </is>
      </c>
      <c r="FG2420" s="18" t="inlineStr">
        <is>
          <t>Zhong Thong</t>
        </is>
      </c>
      <c r="FH2420" s="18" t="inlineStr">
        <is>
          <t>Lck6122evg</t>
        </is>
      </c>
      <c r="FI2420" s="18" t="inlineStr">
        <is>
          <t>Zhong Thong</t>
        </is>
      </c>
      <c r="FJ2420" s="18" t="inlineStr">
        <is>
          <t>Lck6122evg</t>
        </is>
      </c>
      <c r="FK2420" s="18" t="n">
        <v>2026</v>
      </c>
      <c r="FL2420" s="18" t="inlineStr">
        <is>
          <t>B</t>
        </is>
      </c>
      <c r="FM2420" s="18" t="inlineStr">
        <is>
          <t>Ducaud</t>
        </is>
      </c>
      <c r="FP2420" t="inlineStr">
        <is>
          <t>B</t>
        </is>
      </c>
    </row>
    <row r="2421">
      <c r="FC2421" t="inlineStr">
        <is>
          <t>Diccionario 3</t>
        </is>
      </c>
      <c r="FD2421" s="17" t="inlineStr">
        <is>
          <t>VJKT55</t>
        </is>
      </c>
      <c r="FE2421" s="17" t="inlineStr">
        <is>
          <t>LDYECS311S0044319</t>
        </is>
      </c>
      <c r="FF2421" s="18" t="inlineStr">
        <is>
          <t>MDN35025010158</t>
        </is>
      </c>
      <c r="FG2421" s="18" t="inlineStr">
        <is>
          <t>Zhong Thong</t>
        </is>
      </c>
      <c r="FH2421" s="18" t="inlineStr">
        <is>
          <t>Lck6122evg</t>
        </is>
      </c>
      <c r="FI2421" s="18" t="inlineStr">
        <is>
          <t>Zhong Thong</t>
        </is>
      </c>
      <c r="FJ2421" s="18" t="inlineStr">
        <is>
          <t>Lck6122evg</t>
        </is>
      </c>
      <c r="FK2421" s="18" t="n">
        <v>2026</v>
      </c>
      <c r="FL2421" s="18" t="inlineStr">
        <is>
          <t>B</t>
        </is>
      </c>
      <c r="FM2421" s="18" t="inlineStr">
        <is>
          <t>Ducaud</t>
        </is>
      </c>
      <c r="FP2421" t="inlineStr">
        <is>
          <t>B</t>
        </is>
      </c>
    </row>
    <row r="2422">
      <c r="FC2422" t="inlineStr">
        <is>
          <t>Diccionario 3</t>
        </is>
      </c>
      <c r="FD2422" s="17" t="inlineStr">
        <is>
          <t>VJKT63</t>
        </is>
      </c>
      <c r="FE2422" s="17" t="inlineStr">
        <is>
          <t>LDYECS318S0044334</t>
        </is>
      </c>
      <c r="FF2422" s="18" t="inlineStr">
        <is>
          <t>MDN35025030245</t>
        </is>
      </c>
      <c r="FG2422" s="18" t="inlineStr">
        <is>
          <t>Zhong Thong</t>
        </is>
      </c>
      <c r="FH2422" s="18" t="inlineStr">
        <is>
          <t>Lck6122evg</t>
        </is>
      </c>
      <c r="FI2422" s="18" t="inlineStr">
        <is>
          <t>Zhong Thong</t>
        </is>
      </c>
      <c r="FJ2422" s="18" t="inlineStr">
        <is>
          <t>Lck6122evg</t>
        </is>
      </c>
      <c r="FK2422" s="18" t="n">
        <v>2026</v>
      </c>
      <c r="FL2422" s="18" t="inlineStr">
        <is>
          <t>B</t>
        </is>
      </c>
      <c r="FM2422" s="18" t="inlineStr">
        <is>
          <t>Ducaud</t>
        </is>
      </c>
      <c r="FP2422" t="inlineStr">
        <is>
          <t>B</t>
        </is>
      </c>
    </row>
    <row r="2423">
      <c r="FC2423" t="inlineStr">
        <is>
          <t>Diccionario 3</t>
        </is>
      </c>
      <c r="FD2423" s="17" t="inlineStr">
        <is>
          <t>VJKT83</t>
        </is>
      </c>
      <c r="FE2423" s="17" t="inlineStr">
        <is>
          <t>LDYECS312S0044328</t>
        </is>
      </c>
      <c r="FF2423" s="18" t="inlineStr">
        <is>
          <t>MDN35025030204</t>
        </is>
      </c>
      <c r="FG2423" s="18" t="inlineStr">
        <is>
          <t>Zhong Thong</t>
        </is>
      </c>
      <c r="FH2423" s="18" t="inlineStr">
        <is>
          <t>Lck6122evg</t>
        </is>
      </c>
      <c r="FI2423" s="18" t="inlineStr">
        <is>
          <t>Zhong Thong</t>
        </is>
      </c>
      <c r="FJ2423" s="18" t="inlineStr">
        <is>
          <t>Lck6122evg</t>
        </is>
      </c>
      <c r="FK2423" s="18" t="n">
        <v>2026</v>
      </c>
      <c r="FL2423" s="18" t="inlineStr">
        <is>
          <t>B</t>
        </is>
      </c>
      <c r="FM2423" s="18" t="inlineStr">
        <is>
          <t>Recoleta</t>
        </is>
      </c>
      <c r="FP2423" t="inlineStr">
        <is>
          <t>B</t>
        </is>
      </c>
    </row>
    <row r="2424">
      <c r="FC2424" t="inlineStr">
        <is>
          <t>Diccionario 3</t>
        </is>
      </c>
      <c r="FD2424" s="17" t="inlineStr">
        <is>
          <t>VJKT92</t>
        </is>
      </c>
      <c r="FE2424" s="17" t="inlineStr">
        <is>
          <t>LDYECS310S0044389</t>
        </is>
      </c>
      <c r="FF2424" s="18" t="inlineStr">
        <is>
          <t>MDN35025010119</t>
        </is>
      </c>
      <c r="FG2424" s="18" t="inlineStr">
        <is>
          <t>Zhong Thong</t>
        </is>
      </c>
      <c r="FH2424" s="18" t="inlineStr">
        <is>
          <t>Lck6122evg</t>
        </is>
      </c>
      <c r="FI2424" s="18" t="inlineStr">
        <is>
          <t>Zhong Thong</t>
        </is>
      </c>
      <c r="FJ2424" s="18" t="inlineStr">
        <is>
          <t>Lck6122evg</t>
        </is>
      </c>
      <c r="FK2424" s="18" t="n">
        <v>2026</v>
      </c>
      <c r="FL2424" s="18" t="inlineStr">
        <is>
          <t>B</t>
        </is>
      </c>
      <c r="FM2424" s="18" t="inlineStr">
        <is>
          <t>Lo Blanco</t>
        </is>
      </c>
      <c r="FP2424" t="inlineStr">
        <is>
          <t>B</t>
        </is>
      </c>
    </row>
    <row r="2425">
      <c r="FC2425" t="inlineStr">
        <is>
          <t>Diccionario 3</t>
        </is>
      </c>
      <c r="FD2425" s="17" t="inlineStr">
        <is>
          <t>VJKV14</t>
        </is>
      </c>
      <c r="FE2425" s="17" t="inlineStr">
        <is>
          <t>LDYECS31XS0044321</t>
        </is>
      </c>
      <c r="FF2425" s="18" t="inlineStr">
        <is>
          <t>MDN35025010152</t>
        </is>
      </c>
      <c r="FG2425" s="18" t="inlineStr">
        <is>
          <t>Zhong Thong</t>
        </is>
      </c>
      <c r="FH2425" s="18" t="inlineStr">
        <is>
          <t>Lck6122evg</t>
        </is>
      </c>
      <c r="FI2425" s="18" t="inlineStr">
        <is>
          <t>Zhong Thong</t>
        </is>
      </c>
      <c r="FJ2425" s="18" t="inlineStr">
        <is>
          <t>Lck6122evg</t>
        </is>
      </c>
      <c r="FK2425" s="18" t="n">
        <v>2026</v>
      </c>
      <c r="FL2425" s="18" t="inlineStr">
        <is>
          <t>B</t>
        </is>
      </c>
      <c r="FM2425" s="18" t="inlineStr">
        <is>
          <t>Lo Blanco</t>
        </is>
      </c>
      <c r="FP2425" t="inlineStr">
        <is>
          <t>B</t>
        </is>
      </c>
    </row>
    <row r="2426">
      <c r="FC2426" t="inlineStr">
        <is>
          <t>Diccionario 3</t>
        </is>
      </c>
      <c r="FD2426" s="23" t="inlineStr">
        <is>
          <t>VJKV58</t>
        </is>
      </c>
      <c r="FE2426" s="17" t="inlineStr">
        <is>
          <t>LDYECS318S0044396</t>
        </is>
      </c>
      <c r="FF2426" s="18" t="inlineStr">
        <is>
          <t>MDN35025010167</t>
        </is>
      </c>
      <c r="FG2426" s="18" t="inlineStr">
        <is>
          <t>Zhong Thong</t>
        </is>
      </c>
      <c r="FH2426" s="18" t="inlineStr">
        <is>
          <t>Lck6122evg</t>
        </is>
      </c>
      <c r="FI2426" s="18" t="inlineStr">
        <is>
          <t>Zhong Thong</t>
        </is>
      </c>
      <c r="FJ2426" s="18" t="inlineStr">
        <is>
          <t>Lck6122evg</t>
        </is>
      </c>
      <c r="FK2426" s="18" t="n">
        <v>2026</v>
      </c>
      <c r="FL2426" s="18" t="inlineStr">
        <is>
          <t>B</t>
        </is>
      </c>
      <c r="FM2426" s="18" t="inlineStr">
        <is>
          <t>Lo Blanco</t>
        </is>
      </c>
      <c r="FP2426" t="inlineStr">
        <is>
          <t>B</t>
        </is>
      </c>
    </row>
    <row r="2427">
      <c r="FC2427" t="inlineStr">
        <is>
          <t>Diccionario 3</t>
        </is>
      </c>
      <c r="FD2427" s="17" t="inlineStr">
        <is>
          <t>VJKV78</t>
        </is>
      </c>
      <c r="FE2427" s="17" t="inlineStr">
        <is>
          <t>LDYECS315S0044341</t>
        </is>
      </c>
      <c r="FF2427" s="18" t="inlineStr">
        <is>
          <t>MDN35025030185</t>
        </is>
      </c>
      <c r="FG2427" s="18" t="inlineStr">
        <is>
          <t>Zhong Thong</t>
        </is>
      </c>
      <c r="FH2427" s="18" t="inlineStr">
        <is>
          <t>Lck6122evg</t>
        </is>
      </c>
      <c r="FI2427" s="18" t="inlineStr">
        <is>
          <t>Zhong Thong</t>
        </is>
      </c>
      <c r="FJ2427" s="18" t="inlineStr">
        <is>
          <t>Lck6122evg</t>
        </is>
      </c>
      <c r="FK2427" s="18" t="n">
        <v>2026</v>
      </c>
      <c r="FL2427" s="18" t="inlineStr">
        <is>
          <t>B</t>
        </is>
      </c>
      <c r="FM2427" s="18" t="inlineStr">
        <is>
          <t>Lo Blanco</t>
        </is>
      </c>
      <c r="FP2427" t="inlineStr">
        <is>
          <t>B</t>
        </is>
      </c>
    </row>
    <row r="2428">
      <c r="FC2428" t="inlineStr">
        <is>
          <t>Diccionario 3</t>
        </is>
      </c>
      <c r="FD2428" s="17" t="inlineStr">
        <is>
          <t>VJKV88</t>
        </is>
      </c>
      <c r="FE2428" s="17" t="inlineStr">
        <is>
          <t>LDYECS316S0044333</t>
        </is>
      </c>
      <c r="FF2428" s="18" t="inlineStr">
        <is>
          <t>MDN35025030188</t>
        </is>
      </c>
      <c r="FG2428" s="18" t="inlineStr">
        <is>
          <t>Zhong Thong</t>
        </is>
      </c>
      <c r="FH2428" s="18" t="inlineStr">
        <is>
          <t>Lck6122evg</t>
        </is>
      </c>
      <c r="FI2428" s="18" t="inlineStr">
        <is>
          <t>Zhong Thong</t>
        </is>
      </c>
      <c r="FJ2428" s="18" t="inlineStr">
        <is>
          <t>Lck6122evg</t>
        </is>
      </c>
      <c r="FK2428" s="18" t="n">
        <v>2026</v>
      </c>
      <c r="FL2428" s="18" t="inlineStr">
        <is>
          <t>B</t>
        </is>
      </c>
      <c r="FM2428" s="18" t="inlineStr">
        <is>
          <t>Lo Blanco</t>
        </is>
      </c>
      <c r="FP2428" t="inlineStr">
        <is>
          <t>B</t>
        </is>
      </c>
    </row>
    <row r="2429">
      <c r="FC2429" t="inlineStr">
        <is>
          <t>Diccionario 3</t>
        </is>
      </c>
      <c r="FD2429" s="17" t="inlineStr">
        <is>
          <t>VJKW68</t>
        </is>
      </c>
      <c r="FE2429" s="17" t="inlineStr">
        <is>
          <t>LDYECS311S0044417</t>
        </is>
      </c>
      <c r="FF2429" s="18" t="inlineStr">
        <is>
          <t>MDN35025030119</t>
        </is>
      </c>
      <c r="FG2429" s="18" t="inlineStr">
        <is>
          <t>Zhong Thong</t>
        </is>
      </c>
      <c r="FH2429" s="18" t="inlineStr">
        <is>
          <t>Lck6122evg</t>
        </is>
      </c>
      <c r="FI2429" s="18" t="inlineStr">
        <is>
          <t>Zhong Thong</t>
        </is>
      </c>
      <c r="FJ2429" s="18" t="inlineStr">
        <is>
          <t>Lck6122evg</t>
        </is>
      </c>
      <c r="FK2429" s="18" t="n">
        <v>2026</v>
      </c>
      <c r="FL2429" s="18" t="inlineStr">
        <is>
          <t>B</t>
        </is>
      </c>
      <c r="FM2429" s="18" t="inlineStr">
        <is>
          <t>Lo Blanco</t>
        </is>
      </c>
      <c r="FP2429" t="inlineStr">
        <is>
          <t>B</t>
        </is>
      </c>
    </row>
    <row r="2430">
      <c r="FC2430" t="inlineStr">
        <is>
          <t>Diccionario 3</t>
        </is>
      </c>
      <c r="FD2430" s="17" t="inlineStr">
        <is>
          <t>VJKX18</t>
        </is>
      </c>
      <c r="FE2430" s="17" t="inlineStr">
        <is>
          <t>LDYECS31XS0044416</t>
        </is>
      </c>
      <c r="FF2430" s="18" t="inlineStr">
        <is>
          <t>MDN35025020083</t>
        </is>
      </c>
      <c r="FG2430" s="18" t="inlineStr">
        <is>
          <t>Zhong Thong</t>
        </is>
      </c>
      <c r="FH2430" s="18" t="inlineStr">
        <is>
          <t>Lck6122evg</t>
        </is>
      </c>
      <c r="FI2430" s="18" t="inlineStr">
        <is>
          <t>Zhong Thong</t>
        </is>
      </c>
      <c r="FJ2430" s="18" t="inlineStr">
        <is>
          <t>Lck6122evg</t>
        </is>
      </c>
      <c r="FK2430" s="18" t="n">
        <v>2026</v>
      </c>
      <c r="FL2430" s="18" t="inlineStr">
        <is>
          <t>B</t>
        </is>
      </c>
      <c r="FM2430" s="18" t="inlineStr">
        <is>
          <t>Lo Blanco</t>
        </is>
      </c>
      <c r="FP2430" t="inlineStr">
        <is>
          <t>B</t>
        </is>
      </c>
    </row>
    <row r="2431">
      <c r="FC2431" t="inlineStr">
        <is>
          <t>Diccionario 3</t>
        </is>
      </c>
      <c r="FD2431" s="17" t="inlineStr">
        <is>
          <t>VJKX38</t>
        </is>
      </c>
      <c r="FE2431" s="17" t="inlineStr">
        <is>
          <t>LDYECS318S0044401</t>
        </is>
      </c>
      <c r="FF2431" s="18" t="inlineStr">
        <is>
          <t>MDN35025030148</t>
        </is>
      </c>
      <c r="FG2431" s="18" t="inlineStr">
        <is>
          <t>Zhong Thong</t>
        </is>
      </c>
      <c r="FH2431" s="18" t="inlineStr">
        <is>
          <t>Lck6122evg</t>
        </is>
      </c>
      <c r="FI2431" s="18" t="inlineStr">
        <is>
          <t>Zhong Thong</t>
        </is>
      </c>
      <c r="FJ2431" s="18" t="inlineStr">
        <is>
          <t>Lck6122evg</t>
        </is>
      </c>
      <c r="FK2431" s="18" t="n">
        <v>2026</v>
      </c>
      <c r="FL2431" s="18" t="inlineStr">
        <is>
          <t>B</t>
        </is>
      </c>
      <c r="FM2431" s="18" t="inlineStr">
        <is>
          <t>Lo Blanco</t>
        </is>
      </c>
      <c r="FP2431" t="inlineStr">
        <is>
          <t>B</t>
        </is>
      </c>
    </row>
    <row r="2432">
      <c r="FC2432" t="inlineStr">
        <is>
          <t>Diccionario 3</t>
        </is>
      </c>
      <c r="FD2432" s="17" t="inlineStr">
        <is>
          <t>VJKX78</t>
        </is>
      </c>
      <c r="FE2432" s="17" t="inlineStr">
        <is>
          <t>LDYECS31XS0044402</t>
        </is>
      </c>
      <c r="FF2432" s="18" t="inlineStr">
        <is>
          <t>MDN35025030252</t>
        </is>
      </c>
      <c r="FG2432" s="18" t="inlineStr">
        <is>
          <t>Zhong Thong</t>
        </is>
      </c>
      <c r="FH2432" s="18" t="inlineStr">
        <is>
          <t>Lck6122evg</t>
        </is>
      </c>
      <c r="FI2432" s="18" t="inlineStr">
        <is>
          <t>Zhong Thong</t>
        </is>
      </c>
      <c r="FJ2432" s="18" t="inlineStr">
        <is>
          <t>Lck6122evg</t>
        </is>
      </c>
      <c r="FK2432" s="18" t="n">
        <v>2026</v>
      </c>
      <c r="FL2432" s="18" t="inlineStr">
        <is>
          <t>B</t>
        </is>
      </c>
      <c r="FM2432" s="18" t="inlineStr">
        <is>
          <t>Lo Blanco</t>
        </is>
      </c>
      <c r="FP2432" t="inlineStr">
        <is>
          <t>B</t>
        </is>
      </c>
    </row>
    <row r="2433">
      <c r="FC2433" t="inlineStr">
        <is>
          <t>Diccionario 3</t>
        </is>
      </c>
      <c r="FD2433" s="17" t="inlineStr">
        <is>
          <t>VJKY18</t>
        </is>
      </c>
      <c r="FE2433" s="17" t="inlineStr">
        <is>
          <t>LDYECS318S0044415</t>
        </is>
      </c>
      <c r="FF2433" s="18" t="inlineStr">
        <is>
          <t>MDN35025030034</t>
        </is>
      </c>
      <c r="FG2433" s="18" t="inlineStr">
        <is>
          <t>Zhong Thong</t>
        </is>
      </c>
      <c r="FH2433" s="18" t="inlineStr">
        <is>
          <t>Lck6122evg</t>
        </is>
      </c>
      <c r="FI2433" s="18" t="inlineStr">
        <is>
          <t>Zhong Thong</t>
        </is>
      </c>
      <c r="FJ2433" s="18" t="inlineStr">
        <is>
          <t>Lck6122evg</t>
        </is>
      </c>
      <c r="FK2433" s="18" t="n">
        <v>2026</v>
      </c>
      <c r="FL2433" s="18" t="inlineStr">
        <is>
          <t>B</t>
        </is>
      </c>
      <c r="FM2433" s="18" t="inlineStr">
        <is>
          <t>Lo Blanco</t>
        </is>
      </c>
      <c r="FP2433" t="inlineStr">
        <is>
          <t>B</t>
        </is>
      </c>
    </row>
    <row r="2434">
      <c r="FC2434" t="inlineStr">
        <is>
          <t>Diccionario 3</t>
        </is>
      </c>
      <c r="FD2434" s="17" t="inlineStr">
        <is>
          <t>VJKY58</t>
        </is>
      </c>
      <c r="FE2434" s="17" t="inlineStr">
        <is>
          <t>LDYECS314S0044413</t>
        </is>
      </c>
      <c r="FF2434" s="18" t="inlineStr">
        <is>
          <t>MDN35025030256</t>
        </is>
      </c>
      <c r="FG2434" s="18" t="inlineStr">
        <is>
          <t>Zhong Thong</t>
        </is>
      </c>
      <c r="FH2434" s="18" t="inlineStr">
        <is>
          <t>Lck6122evg</t>
        </is>
      </c>
      <c r="FI2434" s="18" t="inlineStr">
        <is>
          <t>Zhong Thong</t>
        </is>
      </c>
      <c r="FJ2434" s="18" t="inlineStr">
        <is>
          <t>Lck6122evg</t>
        </is>
      </c>
      <c r="FK2434" s="18" t="n">
        <v>2026</v>
      </c>
      <c r="FL2434" s="18" t="inlineStr">
        <is>
          <t>B</t>
        </is>
      </c>
      <c r="FM2434" s="18" t="inlineStr">
        <is>
          <t>Lo Blanco</t>
        </is>
      </c>
      <c r="FP2434" t="inlineStr">
        <is>
          <t>B</t>
        </is>
      </c>
    </row>
    <row r="2435">
      <c r="FC2435" t="inlineStr">
        <is>
          <t>Diccionario 3</t>
        </is>
      </c>
      <c r="FD2435" s="17" t="inlineStr">
        <is>
          <t>VJKZ38</t>
        </is>
      </c>
      <c r="FE2435" s="17" t="inlineStr">
        <is>
          <t>LDYECS312S0044412</t>
        </is>
      </c>
      <c r="FF2435" s="18" t="inlineStr">
        <is>
          <t>MDN35025020183</t>
        </is>
      </c>
      <c r="FG2435" s="18" t="inlineStr">
        <is>
          <t>Zhong Thong</t>
        </is>
      </c>
      <c r="FH2435" s="18" t="inlineStr">
        <is>
          <t>Lck6122evg</t>
        </is>
      </c>
      <c r="FI2435" s="18" t="inlineStr">
        <is>
          <t>Zhong Thong</t>
        </is>
      </c>
      <c r="FJ2435" s="18" t="inlineStr">
        <is>
          <t>Lck6122evg</t>
        </is>
      </c>
      <c r="FK2435" s="18" t="n">
        <v>2026</v>
      </c>
      <c r="FL2435" s="18" t="inlineStr">
        <is>
          <t>B</t>
        </is>
      </c>
      <c r="FM2435" s="18" t="inlineStr">
        <is>
          <t>Lo Blanco</t>
        </is>
      </c>
      <c r="FP2435" t="inlineStr">
        <is>
          <t>B</t>
        </is>
      </c>
    </row>
    <row r="2436">
      <c r="FC2436" t="inlineStr">
        <is>
          <t>Diccionario 3</t>
        </is>
      </c>
      <c r="FD2436" s="17" t="inlineStr">
        <is>
          <t>VJKZ78</t>
        </is>
      </c>
      <c r="FE2436" s="17" t="inlineStr">
        <is>
          <t>LDYECS315S0044162</t>
        </is>
      </c>
      <c r="FF2436" s="18" t="inlineStr">
        <is>
          <t>MDN35025020184</t>
        </is>
      </c>
      <c r="FG2436" s="18" t="inlineStr">
        <is>
          <t>Zhong Thong</t>
        </is>
      </c>
      <c r="FH2436" s="18" t="inlineStr">
        <is>
          <t>Lck6122evg</t>
        </is>
      </c>
      <c r="FI2436" s="18" t="inlineStr">
        <is>
          <t>Zhong Thong</t>
        </is>
      </c>
      <c r="FJ2436" s="18" t="inlineStr">
        <is>
          <t>Lck6122evg</t>
        </is>
      </c>
      <c r="FK2436" s="18" t="n">
        <v>2026</v>
      </c>
      <c r="FL2436" s="18" t="inlineStr">
        <is>
          <t>B</t>
        </is>
      </c>
      <c r="FM2436" s="18" t="inlineStr">
        <is>
          <t>Lo Blanco</t>
        </is>
      </c>
      <c r="FP2436" t="inlineStr">
        <is>
          <t>B</t>
        </is>
      </c>
    </row>
    <row r="2437">
      <c r="FC2437" t="inlineStr">
        <is>
          <t>Diccionario 3</t>
        </is>
      </c>
      <c r="FD2437" s="17" t="inlineStr">
        <is>
          <t>VJLH14</t>
        </is>
      </c>
      <c r="FE2437" s="17" t="inlineStr">
        <is>
          <t>LDYECS311S0044174</t>
        </is>
      </c>
      <c r="FF2437" s="18" t="inlineStr">
        <is>
          <t>MDN35025020232</t>
        </is>
      </c>
      <c r="FG2437" s="18" t="inlineStr">
        <is>
          <t>Zhong Thong</t>
        </is>
      </c>
      <c r="FH2437" s="18" t="inlineStr">
        <is>
          <t>Lck6122evg</t>
        </is>
      </c>
      <c r="FI2437" s="18" t="inlineStr">
        <is>
          <t>Zhong Thong</t>
        </is>
      </c>
      <c r="FJ2437" s="18" t="inlineStr">
        <is>
          <t>Lck6122evg</t>
        </is>
      </c>
      <c r="FK2437" s="18" t="n">
        <v>2026</v>
      </c>
      <c r="FL2437" s="18" t="inlineStr">
        <is>
          <t>B</t>
        </is>
      </c>
      <c r="FM2437" s="18" t="inlineStr">
        <is>
          <t>Ducaud</t>
        </is>
      </c>
      <c r="FP2437" t="inlineStr">
        <is>
          <t>B</t>
        </is>
      </c>
    </row>
    <row r="2438">
      <c r="FC2438" t="inlineStr">
        <is>
          <t>Diccionario 3</t>
        </is>
      </c>
      <c r="FD2438" s="17" t="inlineStr">
        <is>
          <t>VJLH24</t>
        </is>
      </c>
      <c r="FE2438" s="17" t="inlineStr">
        <is>
          <t>LDYECS310S0044179</t>
        </is>
      </c>
      <c r="FF2438" s="18" t="inlineStr">
        <is>
          <t>MDN35025020240</t>
        </is>
      </c>
      <c r="FG2438" s="18" t="inlineStr">
        <is>
          <t>Zhong Thong</t>
        </is>
      </c>
      <c r="FH2438" s="18" t="inlineStr">
        <is>
          <t>Lck6122evg</t>
        </is>
      </c>
      <c r="FI2438" s="18" t="inlineStr">
        <is>
          <t>Zhong Thong</t>
        </is>
      </c>
      <c r="FJ2438" s="18" t="inlineStr">
        <is>
          <t>Lck6122evg</t>
        </is>
      </c>
      <c r="FK2438" s="18" t="n">
        <v>2026</v>
      </c>
      <c r="FL2438" s="18" t="inlineStr">
        <is>
          <t>B</t>
        </is>
      </c>
      <c r="FM2438" s="18" t="inlineStr">
        <is>
          <t>Ducaud</t>
        </is>
      </c>
      <c r="FP2438" t="inlineStr">
        <is>
          <t>B</t>
        </is>
      </c>
    </row>
    <row r="2439">
      <c r="FC2439" t="inlineStr">
        <is>
          <t>Diccionario 3</t>
        </is>
      </c>
      <c r="FD2439" s="17" t="inlineStr">
        <is>
          <t>VJLH33</t>
        </is>
      </c>
      <c r="FE2439" s="17" t="inlineStr">
        <is>
          <t>LDYECS316S0044171</t>
        </is>
      </c>
      <c r="FF2439" s="18" t="inlineStr">
        <is>
          <t>MDN35025020235</t>
        </is>
      </c>
      <c r="FG2439" s="18" t="inlineStr">
        <is>
          <t>Zhong Thong</t>
        </is>
      </c>
      <c r="FH2439" s="18" t="inlineStr">
        <is>
          <t>Lck6122evg</t>
        </is>
      </c>
      <c r="FI2439" s="18" t="inlineStr">
        <is>
          <t>Zhong Thong</t>
        </is>
      </c>
      <c r="FJ2439" s="18" t="inlineStr">
        <is>
          <t>Lck6122evg</t>
        </is>
      </c>
      <c r="FK2439" s="18" t="n">
        <v>2026</v>
      </c>
      <c r="FL2439" s="18" t="inlineStr">
        <is>
          <t>B</t>
        </is>
      </c>
      <c r="FM2439" s="18" t="inlineStr">
        <is>
          <t>Ducaud</t>
        </is>
      </c>
      <c r="FP2439" t="inlineStr">
        <is>
          <t>B</t>
        </is>
      </c>
    </row>
    <row r="2440">
      <c r="FC2440" t="inlineStr">
        <is>
          <t>Diccionario 3</t>
        </is>
      </c>
      <c r="FD2440" s="17" t="inlineStr">
        <is>
          <t>VJWZ74</t>
        </is>
      </c>
      <c r="FE2440" s="17" t="inlineStr">
        <is>
          <t>LDYECS315S0044226</t>
        </is>
      </c>
      <c r="FF2440" s="18" t="inlineStr">
        <is>
          <t>MDN35025020140</t>
        </is>
      </c>
      <c r="FG2440" s="18" t="inlineStr">
        <is>
          <t>Zhong Thong</t>
        </is>
      </c>
      <c r="FH2440" s="18" t="inlineStr">
        <is>
          <t>Lck6122evg</t>
        </is>
      </c>
      <c r="FI2440" s="18" t="inlineStr">
        <is>
          <t>Zhong Thong</t>
        </is>
      </c>
      <c r="FJ2440" s="18" t="inlineStr">
        <is>
          <t>Lck6122evg</t>
        </is>
      </c>
      <c r="FK2440" s="18" t="n">
        <v>2026</v>
      </c>
      <c r="FL2440" s="18" t="inlineStr">
        <is>
          <t>B</t>
        </is>
      </c>
      <c r="FM2440" s="18" t="inlineStr">
        <is>
          <t>Lo Blanco</t>
        </is>
      </c>
      <c r="FP2440" t="inlineStr">
        <is>
          <t>B</t>
        </is>
      </c>
    </row>
    <row r="2441">
      <c r="FC2441" t="inlineStr">
        <is>
          <t>Diccionario 3</t>
        </is>
      </c>
      <c r="FD2441" s="17" t="inlineStr">
        <is>
          <t>VJWZ95</t>
        </is>
      </c>
      <c r="FE2441" s="17" t="inlineStr">
        <is>
          <t>LDYECS311S0044241</t>
        </is>
      </c>
      <c r="FF2441" s="18" t="inlineStr">
        <is>
          <t>MDN35025020192</t>
        </is>
      </c>
      <c r="FG2441" s="18" t="inlineStr">
        <is>
          <t>Zhong Thong</t>
        </is>
      </c>
      <c r="FH2441" s="18" t="inlineStr">
        <is>
          <t>Lck6122evg</t>
        </is>
      </c>
      <c r="FI2441" s="18" t="inlineStr">
        <is>
          <t>Zhong Thong</t>
        </is>
      </c>
      <c r="FJ2441" s="18" t="inlineStr">
        <is>
          <t>Lck6122evg</t>
        </is>
      </c>
      <c r="FK2441" s="18" t="n">
        <v>2026</v>
      </c>
      <c r="FL2441" s="18" t="inlineStr">
        <is>
          <t>B</t>
        </is>
      </c>
      <c r="FM2441" s="18" t="inlineStr">
        <is>
          <t>Lo Blanco</t>
        </is>
      </c>
      <c r="FP2441" t="inlineStr">
        <is>
          <t>B</t>
        </is>
      </c>
    </row>
    <row r="2442">
      <c r="FC2442" t="inlineStr">
        <is>
          <t>Diccionario 3</t>
        </is>
      </c>
      <c r="FD2442" s="17" t="inlineStr">
        <is>
          <t>VJXB27</t>
        </is>
      </c>
      <c r="FE2442" s="17" t="inlineStr">
        <is>
          <t>LDYECS310S0044148</t>
        </is>
      </c>
      <c r="FF2442" s="18" t="inlineStr">
        <is>
          <t>MDN35025030010</t>
        </is>
      </c>
      <c r="FG2442" s="18" t="inlineStr">
        <is>
          <t>Zhong Thong</t>
        </is>
      </c>
      <c r="FH2442" s="18" t="inlineStr">
        <is>
          <t>Lck6122evg</t>
        </is>
      </c>
      <c r="FI2442" s="18" t="inlineStr">
        <is>
          <t>Zhong Thong</t>
        </is>
      </c>
      <c r="FJ2442" s="18" t="inlineStr">
        <is>
          <t>Lck6122evg</t>
        </is>
      </c>
      <c r="FK2442" s="18" t="n">
        <v>2026</v>
      </c>
      <c r="FL2442" s="18" t="inlineStr">
        <is>
          <t>B</t>
        </is>
      </c>
      <c r="FM2442" s="18" t="inlineStr">
        <is>
          <t>Lo Blanco</t>
        </is>
      </c>
      <c r="FP2442" t="inlineStr">
        <is>
          <t>B</t>
        </is>
      </c>
    </row>
    <row r="2443">
      <c r="FC2443" t="inlineStr">
        <is>
          <t>Diccionario 3</t>
        </is>
      </c>
      <c r="FD2443" s="17" t="inlineStr">
        <is>
          <t>VJXB56</t>
        </is>
      </c>
      <c r="FE2443" s="17" t="inlineStr">
        <is>
          <t>LDYECS315S0044159</t>
        </is>
      </c>
      <c r="FF2443" s="18" t="inlineStr">
        <is>
          <t>MDN35025020161</t>
        </is>
      </c>
      <c r="FG2443" s="18" t="inlineStr">
        <is>
          <t>Zhong Thong</t>
        </is>
      </c>
      <c r="FH2443" s="18" t="inlineStr">
        <is>
          <t>Lck6122evg</t>
        </is>
      </c>
      <c r="FI2443" s="18" t="inlineStr">
        <is>
          <t>Zhong Thong</t>
        </is>
      </c>
      <c r="FJ2443" s="18" t="inlineStr">
        <is>
          <t>Lck6122evg</t>
        </is>
      </c>
      <c r="FK2443" s="18" t="n">
        <v>2026</v>
      </c>
      <c r="FL2443" s="18" t="inlineStr">
        <is>
          <t>B</t>
        </is>
      </c>
      <c r="FM2443" s="18" t="inlineStr">
        <is>
          <t>Lo Blanco</t>
        </is>
      </c>
      <c r="FP2443" t="inlineStr">
        <is>
          <t>B</t>
        </is>
      </c>
    </row>
    <row r="2444">
      <c r="FC2444" t="inlineStr">
        <is>
          <t>Diccionario 3</t>
        </is>
      </c>
      <c r="FD2444" s="17" t="inlineStr">
        <is>
          <t>VJXB87</t>
        </is>
      </c>
      <c r="FE2444" s="17" t="inlineStr">
        <is>
          <t>LDYECS310S0044232</t>
        </is>
      </c>
      <c r="FF2444" s="18" t="inlineStr">
        <is>
          <t>MDN35025030039</t>
        </is>
      </c>
      <c r="FG2444" s="18" t="inlineStr">
        <is>
          <t>Zhong Thong</t>
        </is>
      </c>
      <c r="FH2444" s="18" t="inlineStr">
        <is>
          <t>Lck6122evg</t>
        </is>
      </c>
      <c r="FI2444" s="18" t="inlineStr">
        <is>
          <t>Zhong Thong</t>
        </is>
      </c>
      <c r="FJ2444" s="18" t="inlineStr">
        <is>
          <t>Lck6122evg</t>
        </is>
      </c>
      <c r="FK2444" s="18" t="n">
        <v>2026</v>
      </c>
      <c r="FL2444" s="18" t="inlineStr">
        <is>
          <t>B</t>
        </is>
      </c>
      <c r="FM2444" s="18" t="inlineStr">
        <is>
          <t>Lo Blanco</t>
        </is>
      </c>
      <c r="FP2444" t="inlineStr">
        <is>
          <t>B</t>
        </is>
      </c>
    </row>
    <row r="2445">
      <c r="FC2445" t="inlineStr">
        <is>
          <t>Diccionario 3</t>
        </is>
      </c>
      <c r="FD2445" s="17" t="inlineStr">
        <is>
          <t>VJXC26</t>
        </is>
      </c>
      <c r="FE2445" s="17" t="inlineStr">
        <is>
          <t>LDYECS311S0044157</t>
        </is>
      </c>
      <c r="FF2445" s="18" t="inlineStr">
        <is>
          <t>MDN35025020182</t>
        </is>
      </c>
      <c r="FG2445" s="18" t="inlineStr">
        <is>
          <t>Zhong Thong</t>
        </is>
      </c>
      <c r="FH2445" s="18" t="inlineStr">
        <is>
          <t>Lck6122evg</t>
        </is>
      </c>
      <c r="FI2445" s="18" t="inlineStr">
        <is>
          <t>Zhong Thong</t>
        </is>
      </c>
      <c r="FJ2445" s="18" t="inlineStr">
        <is>
          <t>Lck6122evg</t>
        </is>
      </c>
      <c r="FK2445" s="18" t="n">
        <v>2026</v>
      </c>
      <c r="FL2445" s="18" t="inlineStr">
        <is>
          <t>B</t>
        </is>
      </c>
      <c r="FM2445" s="18" t="inlineStr">
        <is>
          <t>Lo Blanco</t>
        </is>
      </c>
      <c r="FP2445" t="inlineStr">
        <is>
          <t>B</t>
        </is>
      </c>
    </row>
    <row r="2446">
      <c r="FC2446" t="inlineStr">
        <is>
          <t>Diccionario 3</t>
        </is>
      </c>
      <c r="FD2446" s="17" t="inlineStr">
        <is>
          <t>VJXC42</t>
        </is>
      </c>
      <c r="FE2446" s="17" t="inlineStr">
        <is>
          <t>LDYECS319S0044150</t>
        </is>
      </c>
      <c r="FF2446" s="18" t="inlineStr">
        <is>
          <t>MDN35025030054</t>
        </is>
      </c>
      <c r="FG2446" s="18" t="inlineStr">
        <is>
          <t>Zhong Thong</t>
        </is>
      </c>
      <c r="FH2446" s="18" t="inlineStr">
        <is>
          <t>Lck6122evg</t>
        </is>
      </c>
      <c r="FI2446" s="18" t="inlineStr">
        <is>
          <t>Zhong Thong</t>
        </is>
      </c>
      <c r="FJ2446" s="18" t="inlineStr">
        <is>
          <t>Lck6122evg</t>
        </is>
      </c>
      <c r="FK2446" s="18" t="n">
        <v>2026</v>
      </c>
      <c r="FL2446" s="18" t="inlineStr">
        <is>
          <t>B</t>
        </is>
      </c>
      <c r="FM2446" s="18" t="inlineStr">
        <is>
          <t>Lo Blanco</t>
        </is>
      </c>
      <c r="FP2446" t="inlineStr">
        <is>
          <t>B</t>
        </is>
      </c>
    </row>
    <row r="2447">
      <c r="FC2447" t="inlineStr">
        <is>
          <t>Diccionario 3</t>
        </is>
      </c>
      <c r="FD2447" s="17" t="inlineStr">
        <is>
          <t>VJXC53</t>
        </is>
      </c>
      <c r="FE2447" s="17" t="inlineStr">
        <is>
          <t>LDYECS319S0044164</t>
        </is>
      </c>
      <c r="FF2447" s="18" t="inlineStr">
        <is>
          <t>MDN35025020178</t>
        </is>
      </c>
      <c r="FG2447" s="18" t="inlineStr">
        <is>
          <t>Zhong Thong</t>
        </is>
      </c>
      <c r="FH2447" s="18" t="inlineStr">
        <is>
          <t>Lck6122evg</t>
        </is>
      </c>
      <c r="FI2447" s="18" t="inlineStr">
        <is>
          <t>Zhong Thong</t>
        </is>
      </c>
      <c r="FJ2447" s="18" t="inlineStr">
        <is>
          <t>Lck6122evg</t>
        </is>
      </c>
      <c r="FK2447" s="18" t="n">
        <v>2026</v>
      </c>
      <c r="FL2447" s="18" t="inlineStr">
        <is>
          <t>B</t>
        </is>
      </c>
      <c r="FM2447" s="18" t="inlineStr">
        <is>
          <t>Lo Blanco</t>
        </is>
      </c>
      <c r="FP2447" t="inlineStr">
        <is>
          <t>B</t>
        </is>
      </c>
    </row>
    <row r="2448">
      <c r="FC2448" t="inlineStr">
        <is>
          <t>Diccionario 3</t>
        </is>
      </c>
      <c r="FD2448" s="17" t="inlineStr">
        <is>
          <t>VJXC75</t>
        </is>
      </c>
      <c r="FE2448" s="17" t="inlineStr">
        <is>
          <t>LDTECS314S0044234</t>
        </is>
      </c>
      <c r="FF2448" s="18" t="inlineStr">
        <is>
          <t>MDN35025020193</t>
        </is>
      </c>
      <c r="FG2448" s="18" t="inlineStr">
        <is>
          <t>Zhong Thong</t>
        </is>
      </c>
      <c r="FH2448" s="18" t="inlineStr">
        <is>
          <t>Lck6122evg</t>
        </is>
      </c>
      <c r="FI2448" s="18" t="inlineStr">
        <is>
          <t>Zhong Thong</t>
        </is>
      </c>
      <c r="FJ2448" s="18" t="inlineStr">
        <is>
          <t>Lck6122evg</t>
        </is>
      </c>
      <c r="FK2448" s="18" t="n">
        <v>2026</v>
      </c>
      <c r="FL2448" s="18" t="inlineStr">
        <is>
          <t>B</t>
        </is>
      </c>
      <c r="FM2448" s="18" t="inlineStr">
        <is>
          <t>Lo Blanco</t>
        </is>
      </c>
      <c r="FP2448" t="inlineStr">
        <is>
          <t>B</t>
        </is>
      </c>
    </row>
    <row r="2449">
      <c r="FC2449" t="inlineStr">
        <is>
          <t>Diccionario 3</t>
        </is>
      </c>
      <c r="FD2449" s="17" t="inlineStr">
        <is>
          <t>VJXC91</t>
        </is>
      </c>
      <c r="FE2449" s="17" t="inlineStr">
        <is>
          <t>LDYECS31XS0044254</t>
        </is>
      </c>
      <c r="FF2449" s="18" t="inlineStr">
        <is>
          <t>MDN35025020258</t>
        </is>
      </c>
      <c r="FG2449" s="18" t="inlineStr">
        <is>
          <t>Zhong Thong</t>
        </is>
      </c>
      <c r="FH2449" s="18" t="inlineStr">
        <is>
          <t>Lck6122evg</t>
        </is>
      </c>
      <c r="FI2449" s="18" t="inlineStr">
        <is>
          <t>Zhong Thong</t>
        </is>
      </c>
      <c r="FJ2449" s="18" t="inlineStr">
        <is>
          <t>Lck6122evg</t>
        </is>
      </c>
      <c r="FK2449" s="18" t="n">
        <v>2026</v>
      </c>
      <c r="FL2449" s="18" t="inlineStr">
        <is>
          <t>B</t>
        </is>
      </c>
      <c r="FM2449" s="18" t="inlineStr">
        <is>
          <t>Lo Blanco</t>
        </is>
      </c>
      <c r="FP2449" t="inlineStr">
        <is>
          <t>B</t>
        </is>
      </c>
    </row>
    <row r="2450">
      <c r="FC2450" t="inlineStr">
        <is>
          <t>Diccionario 3</t>
        </is>
      </c>
      <c r="FD2450" s="17" t="inlineStr">
        <is>
          <t>VJXD48</t>
        </is>
      </c>
      <c r="FE2450" s="17" t="inlineStr">
        <is>
          <t>LDYECS313S0044256</t>
        </is>
      </c>
      <c r="FF2450" s="18" t="inlineStr">
        <is>
          <t>MDN35025020180</t>
        </is>
      </c>
      <c r="FG2450" s="18" t="inlineStr">
        <is>
          <t>Zhong Thong</t>
        </is>
      </c>
      <c r="FH2450" s="18" t="inlineStr">
        <is>
          <t>Lck6122evg</t>
        </is>
      </c>
      <c r="FI2450" s="18" t="inlineStr">
        <is>
          <t>Zhong Thong</t>
        </is>
      </c>
      <c r="FJ2450" s="18" t="inlineStr">
        <is>
          <t>Lck6122evg</t>
        </is>
      </c>
      <c r="FK2450" s="18" t="n">
        <v>2026</v>
      </c>
      <c r="FL2450" s="18" t="inlineStr">
        <is>
          <t>B</t>
        </is>
      </c>
      <c r="FM2450" s="18" t="inlineStr">
        <is>
          <t>Ducaud</t>
        </is>
      </c>
      <c r="FP2450" t="inlineStr">
        <is>
          <t>B</t>
        </is>
      </c>
    </row>
    <row r="2451">
      <c r="FC2451" t="inlineStr">
        <is>
          <t>Diccionario 3</t>
        </is>
      </c>
      <c r="FD2451" s="17" t="inlineStr">
        <is>
          <t>VJXD86</t>
        </is>
      </c>
      <c r="FE2451" s="17" t="inlineStr">
        <is>
          <t>LDYECS316S0044252</t>
        </is>
      </c>
      <c r="FF2451" s="18" t="inlineStr">
        <is>
          <t>MDN35025020172</t>
        </is>
      </c>
      <c r="FG2451" s="18" t="inlineStr">
        <is>
          <t>Zhong Thong</t>
        </is>
      </c>
      <c r="FH2451" s="18" t="inlineStr">
        <is>
          <t>Lck6122evg</t>
        </is>
      </c>
      <c r="FI2451" s="18" t="inlineStr">
        <is>
          <t>Zhong Thong</t>
        </is>
      </c>
      <c r="FJ2451" s="18" t="inlineStr">
        <is>
          <t>Lck6122evg</t>
        </is>
      </c>
      <c r="FK2451" s="18" t="n">
        <v>2026</v>
      </c>
      <c r="FL2451" s="18" t="inlineStr">
        <is>
          <t>B</t>
        </is>
      </c>
      <c r="FM2451" s="18" t="inlineStr">
        <is>
          <t>Ducaud</t>
        </is>
      </c>
      <c r="FP2451" t="inlineStr">
        <is>
          <t>B</t>
        </is>
      </c>
    </row>
    <row r="2452">
      <c r="FC2452" t="inlineStr">
        <is>
          <t>Diccionario 3</t>
        </is>
      </c>
      <c r="FD2452" s="17" t="inlineStr">
        <is>
          <t>VJXH88</t>
        </is>
      </c>
      <c r="FE2452" s="17" t="inlineStr">
        <is>
          <t>LDYECS318S0044253</t>
        </is>
      </c>
      <c r="FF2452" s="18" t="inlineStr">
        <is>
          <t>MDN35025010248</t>
        </is>
      </c>
      <c r="FG2452" s="18" t="inlineStr">
        <is>
          <t>Zhong Thong</t>
        </is>
      </c>
      <c r="FH2452" s="18" t="inlineStr">
        <is>
          <t>Lck6122evg</t>
        </is>
      </c>
      <c r="FI2452" s="18" t="inlineStr">
        <is>
          <t>Zhong Thong</t>
        </is>
      </c>
      <c r="FJ2452" s="18" t="inlineStr">
        <is>
          <t>Lck6122evg</t>
        </is>
      </c>
      <c r="FK2452" s="18" t="n">
        <v>2026</v>
      </c>
      <c r="FL2452" s="18" t="inlineStr">
        <is>
          <t>B</t>
        </is>
      </c>
      <c r="FM2452" s="18" t="inlineStr">
        <is>
          <t>Ducaud</t>
        </is>
      </c>
      <c r="FP2452" t="inlineStr">
        <is>
          <t>B</t>
        </is>
      </c>
    </row>
    <row r="2453">
      <c r="FC2453" t="inlineStr">
        <is>
          <t>Diccionario 3</t>
        </is>
      </c>
      <c r="FD2453" s="17" t="inlineStr">
        <is>
          <t>VJXJ27</t>
        </is>
      </c>
      <c r="FE2453" s="17" t="inlineStr">
        <is>
          <t>LDYECS318S0044186</t>
        </is>
      </c>
      <c r="FF2453" s="18" t="inlineStr">
        <is>
          <t>MDN35025020159</t>
        </is>
      </c>
      <c r="FG2453" s="18" t="inlineStr">
        <is>
          <t>Zhong Thong</t>
        </is>
      </c>
      <c r="FH2453" s="18" t="inlineStr">
        <is>
          <t>Lck6122evg</t>
        </is>
      </c>
      <c r="FI2453" s="18" t="inlineStr">
        <is>
          <t>Zhong Thong</t>
        </is>
      </c>
      <c r="FJ2453" s="18" t="inlineStr">
        <is>
          <t>Lck6122evg</t>
        </is>
      </c>
      <c r="FK2453" s="18" t="n">
        <v>2026</v>
      </c>
      <c r="FL2453" s="18" t="inlineStr">
        <is>
          <t>B</t>
        </is>
      </c>
      <c r="FM2453" s="18" t="inlineStr">
        <is>
          <t>Ducaud</t>
        </is>
      </c>
      <c r="FP2453" t="inlineStr">
        <is>
          <t>B</t>
        </is>
      </c>
    </row>
    <row r="2454">
      <c r="FC2454" t="inlineStr">
        <is>
          <t>Diccionario 3</t>
        </is>
      </c>
      <c r="FD2454" s="17" t="inlineStr">
        <is>
          <t>VJXJ39</t>
        </is>
      </c>
      <c r="FE2454" s="17" t="inlineStr">
        <is>
          <t>LDYECS310S0044196</t>
        </is>
      </c>
      <c r="FF2454" s="18" t="inlineStr">
        <is>
          <t>MDN35025020243</t>
        </is>
      </c>
      <c r="FG2454" s="18" t="inlineStr">
        <is>
          <t>Zhong Thong</t>
        </is>
      </c>
      <c r="FH2454" s="18" t="inlineStr">
        <is>
          <t>Lck6122evg</t>
        </is>
      </c>
      <c r="FI2454" s="18" t="inlineStr">
        <is>
          <t>Zhong Thong</t>
        </is>
      </c>
      <c r="FJ2454" s="18" t="inlineStr">
        <is>
          <t>Lck6122evg</t>
        </is>
      </c>
      <c r="FK2454" s="18" t="n">
        <v>2026</v>
      </c>
      <c r="FL2454" s="18" t="inlineStr">
        <is>
          <t>B</t>
        </is>
      </c>
      <c r="FM2454" s="18" t="inlineStr">
        <is>
          <t>Ducaud</t>
        </is>
      </c>
      <c r="FP2454" t="inlineStr">
        <is>
          <t>B</t>
        </is>
      </c>
    </row>
    <row r="2455">
      <c r="FC2455" t="inlineStr">
        <is>
          <t>Diccionario 3</t>
        </is>
      </c>
      <c r="FD2455" s="17" t="inlineStr">
        <is>
          <t>VJXJ44</t>
        </is>
      </c>
      <c r="FE2455" s="17" t="inlineStr">
        <is>
          <t>LDYECS317S0044308</t>
        </is>
      </c>
      <c r="FF2455" s="18" t="inlineStr">
        <is>
          <t>MDN35025010207</t>
        </is>
      </c>
      <c r="FG2455" s="18" t="inlineStr">
        <is>
          <t>Zhong Thong</t>
        </is>
      </c>
      <c r="FH2455" s="18" t="inlineStr">
        <is>
          <t>Lck6122evg</t>
        </is>
      </c>
      <c r="FI2455" s="18" t="inlineStr">
        <is>
          <t>Zhong Thong</t>
        </is>
      </c>
      <c r="FJ2455" s="18" t="inlineStr">
        <is>
          <t>Lck6122evg</t>
        </is>
      </c>
      <c r="FK2455" s="18" t="n">
        <v>2026</v>
      </c>
      <c r="FL2455" s="18" t="inlineStr">
        <is>
          <t>B</t>
        </is>
      </c>
      <c r="FM2455" s="18" t="inlineStr">
        <is>
          <t>Ducaud</t>
        </is>
      </c>
      <c r="FP2455" t="inlineStr">
        <is>
          <t>B</t>
        </is>
      </c>
    </row>
    <row r="2456">
      <c r="FC2456" t="inlineStr">
        <is>
          <t>Diccionario 3</t>
        </is>
      </c>
      <c r="FD2456" s="17" t="inlineStr">
        <is>
          <t>VJXJ46</t>
        </is>
      </c>
      <c r="FE2456" s="17" t="inlineStr">
        <is>
          <t>LDYECS31XS0044366</t>
        </is>
      </c>
      <c r="FF2456" s="18" t="inlineStr">
        <is>
          <t>MDN35025010076</t>
        </is>
      </c>
      <c r="FG2456" s="18" t="inlineStr">
        <is>
          <t>Zhong Thong</t>
        </is>
      </c>
      <c r="FH2456" s="18" t="inlineStr">
        <is>
          <t>Lck6122evg</t>
        </is>
      </c>
      <c r="FI2456" s="18" t="inlineStr">
        <is>
          <t>Zhong Thong</t>
        </is>
      </c>
      <c r="FJ2456" s="18" t="inlineStr">
        <is>
          <t>Lck6122evg</t>
        </is>
      </c>
      <c r="FK2456" s="18" t="n">
        <v>2026</v>
      </c>
      <c r="FL2456" s="18" t="inlineStr">
        <is>
          <t>B</t>
        </is>
      </c>
      <c r="FM2456" s="18" t="inlineStr">
        <is>
          <t>Ducaud</t>
        </is>
      </c>
      <c r="FP2456" t="inlineStr">
        <is>
          <t>B</t>
        </is>
      </c>
    </row>
    <row r="2457">
      <c r="FC2457" t="inlineStr">
        <is>
          <t>Diccionario 3</t>
        </is>
      </c>
      <c r="FD2457" s="17" t="inlineStr">
        <is>
          <t>VJXJ94</t>
        </is>
      </c>
      <c r="FE2457" s="17" t="inlineStr">
        <is>
          <t>LDYECS310S0044411</t>
        </is>
      </c>
      <c r="FF2457" s="18" t="inlineStr">
        <is>
          <t>MDN35025010155</t>
        </is>
      </c>
      <c r="FG2457" s="18" t="inlineStr">
        <is>
          <t>Zhong Thong</t>
        </is>
      </c>
      <c r="FH2457" s="18" t="inlineStr">
        <is>
          <t>Lck6122evg</t>
        </is>
      </c>
      <c r="FI2457" s="18" t="inlineStr">
        <is>
          <t>Zhong Thong</t>
        </is>
      </c>
      <c r="FJ2457" s="18" t="inlineStr">
        <is>
          <t>Lck6122evg</t>
        </is>
      </c>
      <c r="FK2457" s="18" t="n">
        <v>2026</v>
      </c>
      <c r="FL2457" s="18" t="inlineStr">
        <is>
          <t>B</t>
        </is>
      </c>
      <c r="FM2457" s="18" t="inlineStr">
        <is>
          <t>Ducaud</t>
        </is>
      </c>
      <c r="FP2457" t="inlineStr">
        <is>
          <t>B</t>
        </is>
      </c>
    </row>
    <row r="2458">
      <c r="FC2458" t="inlineStr">
        <is>
          <t>Diccionario 3</t>
        </is>
      </c>
      <c r="FD2458" s="17" t="inlineStr">
        <is>
          <t>VJXK14</t>
        </is>
      </c>
      <c r="FE2458" s="17" t="inlineStr">
        <is>
          <t>LDYECS318S0044382</t>
        </is>
      </c>
      <c r="FF2458" s="18" t="inlineStr">
        <is>
          <t>MDN35025030032</t>
        </is>
      </c>
      <c r="FG2458" s="18" t="inlineStr">
        <is>
          <t>Zhong Thong</t>
        </is>
      </c>
      <c r="FH2458" s="18" t="inlineStr">
        <is>
          <t>Lck6122evg</t>
        </is>
      </c>
      <c r="FI2458" s="18" t="inlineStr">
        <is>
          <t>Zhong Thong</t>
        </is>
      </c>
      <c r="FJ2458" s="18" t="inlineStr">
        <is>
          <t>Lck6122evg</t>
        </is>
      </c>
      <c r="FK2458" s="18" t="n">
        <v>2026</v>
      </c>
      <c r="FL2458" s="18" t="inlineStr">
        <is>
          <t>B</t>
        </is>
      </c>
      <c r="FM2458" s="18" t="inlineStr">
        <is>
          <t>Ducaud</t>
        </is>
      </c>
      <c r="FP2458" t="inlineStr">
        <is>
          <t>B</t>
        </is>
      </c>
    </row>
    <row r="2459">
      <c r="FC2459" t="inlineStr">
        <is>
          <t>Diccionario 3</t>
        </is>
      </c>
      <c r="FD2459" s="17" t="inlineStr">
        <is>
          <t>VJXK15</t>
        </is>
      </c>
      <c r="FE2459" s="17" t="inlineStr">
        <is>
          <t>LDYECS316S0044316</t>
        </is>
      </c>
      <c r="FF2459" s="18" t="inlineStr">
        <is>
          <t>MDN35025030023</t>
        </is>
      </c>
      <c r="FG2459" s="18" t="inlineStr">
        <is>
          <t>Zhong Thong</t>
        </is>
      </c>
      <c r="FH2459" s="18" t="inlineStr">
        <is>
          <t>Lck6122evg</t>
        </is>
      </c>
      <c r="FI2459" s="18" t="inlineStr">
        <is>
          <t>Zhong Thong</t>
        </is>
      </c>
      <c r="FJ2459" s="18" t="inlineStr">
        <is>
          <t>Lck6122evg</t>
        </is>
      </c>
      <c r="FK2459" s="18" t="n">
        <v>2026</v>
      </c>
      <c r="FL2459" s="18" t="inlineStr">
        <is>
          <t>B</t>
        </is>
      </c>
      <c r="FM2459" s="18" t="inlineStr">
        <is>
          <t>Ducaud</t>
        </is>
      </c>
      <c r="FP2459" t="inlineStr">
        <is>
          <t>B</t>
        </is>
      </c>
    </row>
    <row r="2460">
      <c r="FC2460" t="inlineStr">
        <is>
          <t>Diccionario 3</t>
        </is>
      </c>
      <c r="FD2460" s="17" t="inlineStr">
        <is>
          <t>VJYH63</t>
        </is>
      </c>
      <c r="FE2460" s="17" t="inlineStr">
        <is>
          <t>LDYECS316S0044168</t>
        </is>
      </c>
      <c r="FF2460" s="18" t="inlineStr">
        <is>
          <t>MDN35025020215</t>
        </is>
      </c>
      <c r="FG2460" s="18" t="inlineStr">
        <is>
          <t>Zhong Thong</t>
        </is>
      </c>
      <c r="FH2460" s="18" t="inlineStr">
        <is>
          <t>Lck6122evg</t>
        </is>
      </c>
      <c r="FI2460" s="18" t="inlineStr">
        <is>
          <t>Zhong Thong</t>
        </is>
      </c>
      <c r="FJ2460" s="18" t="inlineStr">
        <is>
          <t>Lck6122evg</t>
        </is>
      </c>
      <c r="FK2460" s="18" t="n">
        <v>2026</v>
      </c>
      <c r="FL2460" s="18" t="inlineStr">
        <is>
          <t>B</t>
        </is>
      </c>
      <c r="FM2460" s="18" t="inlineStr">
        <is>
          <t>Lo Blanco</t>
        </is>
      </c>
      <c r="FP2460" t="inlineStr">
        <is>
          <t>B</t>
        </is>
      </c>
    </row>
    <row r="2461">
      <c r="FC2461" t="inlineStr">
        <is>
          <t>Diccionario 3</t>
        </is>
      </c>
      <c r="FD2461" s="17" t="inlineStr">
        <is>
          <t>VJYJ15</t>
        </is>
      </c>
      <c r="FE2461" s="17" t="inlineStr">
        <is>
          <t>LDYECS311S0044160</t>
        </is>
      </c>
      <c r="FF2461" s="18" t="inlineStr">
        <is>
          <t>MDN35025020177</t>
        </is>
      </c>
      <c r="FG2461" s="18" t="inlineStr">
        <is>
          <t>Zhong Thong</t>
        </is>
      </c>
      <c r="FH2461" s="18" t="inlineStr">
        <is>
          <t>Lck6122evg</t>
        </is>
      </c>
      <c r="FI2461" s="18" t="inlineStr">
        <is>
          <t>Zhong Thong</t>
        </is>
      </c>
      <c r="FJ2461" s="18" t="inlineStr">
        <is>
          <t>Lck6122evg</t>
        </is>
      </c>
      <c r="FK2461" s="18" t="n">
        <v>2026</v>
      </c>
      <c r="FL2461" s="18" t="inlineStr">
        <is>
          <t>B</t>
        </is>
      </c>
      <c r="FM2461" s="18" t="inlineStr">
        <is>
          <t>Lo Blanco</t>
        </is>
      </c>
      <c r="FP2461" t="inlineStr">
        <is>
          <t>B</t>
        </is>
      </c>
    </row>
    <row r="2462">
      <c r="FC2462" t="inlineStr">
        <is>
          <t>Diccionario 3</t>
        </is>
      </c>
      <c r="FD2462" s="17" t="inlineStr">
        <is>
          <t>VJYJ22</t>
        </is>
      </c>
      <c r="FE2462" s="17" t="inlineStr">
        <is>
          <t>LDYECS310S0044277</t>
        </is>
      </c>
      <c r="FF2462" s="18" t="inlineStr">
        <is>
          <t>MDN35025020175</t>
        </is>
      </c>
      <c r="FG2462" s="18" t="inlineStr">
        <is>
          <t>Zhong Thong</t>
        </is>
      </c>
      <c r="FH2462" s="18" t="inlineStr">
        <is>
          <t>Lck6122evg</t>
        </is>
      </c>
      <c r="FI2462" s="18" t="inlineStr">
        <is>
          <t>Zhong Thong</t>
        </is>
      </c>
      <c r="FJ2462" s="18" t="inlineStr">
        <is>
          <t>Lck6122evg</t>
        </is>
      </c>
      <c r="FK2462" s="18" t="n">
        <v>2026</v>
      </c>
      <c r="FL2462" s="18" t="inlineStr">
        <is>
          <t>B</t>
        </is>
      </c>
      <c r="FM2462" s="18" t="inlineStr">
        <is>
          <t>Ducaud</t>
        </is>
      </c>
      <c r="FP2462" t="inlineStr">
        <is>
          <t>B</t>
        </is>
      </c>
    </row>
    <row r="2463">
      <c r="FC2463" t="inlineStr">
        <is>
          <t>Diccionario 3</t>
        </is>
      </c>
      <c r="FD2463" s="17" t="inlineStr">
        <is>
          <t>VJYJ35</t>
        </is>
      </c>
      <c r="FE2463" s="17" t="inlineStr">
        <is>
          <t>LDYECS312S0044166</t>
        </is>
      </c>
      <c r="FF2463" s="18" t="inlineStr">
        <is>
          <t>MDN35025020222</t>
        </is>
      </c>
      <c r="FG2463" s="18" t="inlineStr">
        <is>
          <t>Zhong Thong</t>
        </is>
      </c>
      <c r="FH2463" s="18" t="inlineStr">
        <is>
          <t>Lck6122evg</t>
        </is>
      </c>
      <c r="FI2463" s="18" t="inlineStr">
        <is>
          <t>Zhong Thong</t>
        </is>
      </c>
      <c r="FJ2463" s="18" t="inlineStr">
        <is>
          <t>Lck6122evg</t>
        </is>
      </c>
      <c r="FK2463" s="18" t="n">
        <v>2026</v>
      </c>
      <c r="FL2463" s="18" t="inlineStr">
        <is>
          <t>B</t>
        </is>
      </c>
      <c r="FM2463" s="18" t="inlineStr">
        <is>
          <t>Lo Blanco</t>
        </is>
      </c>
      <c r="FP2463" t="inlineStr">
        <is>
          <t>B</t>
        </is>
      </c>
    </row>
    <row r="2464">
      <c r="FC2464" t="inlineStr">
        <is>
          <t>Diccionario 3</t>
        </is>
      </c>
      <c r="FD2464" s="17" t="inlineStr">
        <is>
          <t>VJYJ37</t>
        </is>
      </c>
      <c r="FE2464" s="17" t="inlineStr">
        <is>
          <t>LDYECS314S0044217</t>
        </is>
      </c>
      <c r="FF2464" s="18" t="inlineStr">
        <is>
          <t>MDN35025010179</t>
        </is>
      </c>
      <c r="FG2464" s="18" t="inlineStr">
        <is>
          <t>Zhong Thong</t>
        </is>
      </c>
      <c r="FH2464" s="18" t="inlineStr">
        <is>
          <t>Lck6122evg</t>
        </is>
      </c>
      <c r="FI2464" s="18" t="inlineStr">
        <is>
          <t>Zhong Thong</t>
        </is>
      </c>
      <c r="FJ2464" s="18" t="inlineStr">
        <is>
          <t>Lck6122evg</t>
        </is>
      </c>
      <c r="FK2464" s="18" t="n">
        <v>2026</v>
      </c>
      <c r="FL2464" s="18" t="inlineStr">
        <is>
          <t>B</t>
        </is>
      </c>
      <c r="FM2464" s="18" t="inlineStr">
        <is>
          <t>Ducaud</t>
        </is>
      </c>
      <c r="FP2464" t="inlineStr">
        <is>
          <t>B</t>
        </is>
      </c>
    </row>
    <row r="2465">
      <c r="FC2465" t="inlineStr">
        <is>
          <t>Diccionario 3</t>
        </is>
      </c>
      <c r="FD2465" s="17" t="inlineStr">
        <is>
          <t>VJYJ44</t>
        </is>
      </c>
      <c r="FE2465" s="17" t="inlineStr">
        <is>
          <t>LDYECS313S0044273</t>
        </is>
      </c>
      <c r="FF2465" s="18" t="inlineStr">
        <is>
          <t>MDN5025020155</t>
        </is>
      </c>
      <c r="FG2465" s="18" t="inlineStr">
        <is>
          <t>Zhong Thong</t>
        </is>
      </c>
      <c r="FH2465" s="18" t="inlineStr">
        <is>
          <t>Lck6122evg</t>
        </is>
      </c>
      <c r="FI2465" s="18" t="inlineStr">
        <is>
          <t>Zhong Thong</t>
        </is>
      </c>
      <c r="FJ2465" s="18" t="inlineStr">
        <is>
          <t>Lck6122evg</t>
        </is>
      </c>
      <c r="FK2465" s="18" t="n">
        <v>2026</v>
      </c>
      <c r="FL2465" s="18" t="inlineStr">
        <is>
          <t>B</t>
        </is>
      </c>
      <c r="FM2465" s="18" t="inlineStr">
        <is>
          <t>Ducaud</t>
        </is>
      </c>
      <c r="FP2465" t="inlineStr">
        <is>
          <t>B</t>
        </is>
      </c>
    </row>
    <row r="2466">
      <c r="FC2466" t="inlineStr">
        <is>
          <t>Diccionario 3</t>
        </is>
      </c>
      <c r="FD2466" s="17" t="inlineStr">
        <is>
          <t>VJYJ46</t>
        </is>
      </c>
      <c r="FE2466" s="17" t="inlineStr">
        <is>
          <t>LDYECS317S0044213</t>
        </is>
      </c>
      <c r="FF2466" s="18" t="inlineStr">
        <is>
          <t>MDN35025030110</t>
        </is>
      </c>
      <c r="FG2466" s="18" t="inlineStr">
        <is>
          <t>Zhong Thong</t>
        </is>
      </c>
      <c r="FH2466" s="18" t="inlineStr">
        <is>
          <t>Lck6122evg</t>
        </is>
      </c>
      <c r="FI2466" s="18" t="inlineStr">
        <is>
          <t>Zhong Thong</t>
        </is>
      </c>
      <c r="FJ2466" s="18" t="inlineStr">
        <is>
          <t>Lck6122evg</t>
        </is>
      </c>
      <c r="FK2466" s="18" t="n">
        <v>2026</v>
      </c>
      <c r="FL2466" s="18" t="inlineStr">
        <is>
          <t>B</t>
        </is>
      </c>
      <c r="FM2466" s="18" t="inlineStr">
        <is>
          <t>Ducaud</t>
        </is>
      </c>
      <c r="FP2466" t="inlineStr">
        <is>
          <t>B</t>
        </is>
      </c>
    </row>
    <row r="2467">
      <c r="FC2467" t="inlineStr">
        <is>
          <t>Diccionario 3</t>
        </is>
      </c>
      <c r="FD2467" s="17" t="inlineStr">
        <is>
          <t>VJYJ68</t>
        </is>
      </c>
      <c r="FE2467" s="17" t="inlineStr">
        <is>
          <t>LDYECS311S0044210</t>
        </is>
      </c>
      <c r="FF2467" s="18" t="inlineStr">
        <is>
          <t>MDN35025030109</t>
        </is>
      </c>
      <c r="FG2467" s="18" t="inlineStr">
        <is>
          <t>Zhong Thong</t>
        </is>
      </c>
      <c r="FH2467" s="18" t="inlineStr">
        <is>
          <t>Lck6122evg</t>
        </is>
      </c>
      <c r="FI2467" s="18" t="inlineStr">
        <is>
          <t>Zhong Thong</t>
        </is>
      </c>
      <c r="FJ2467" s="18" t="inlineStr">
        <is>
          <t>Lck6122evg</t>
        </is>
      </c>
      <c r="FK2467" s="18" t="n">
        <v>2026</v>
      </c>
      <c r="FL2467" s="18" t="inlineStr">
        <is>
          <t>B</t>
        </is>
      </c>
      <c r="FM2467" s="18" t="inlineStr">
        <is>
          <t>Ducaud</t>
        </is>
      </c>
      <c r="FP2467" t="inlineStr">
        <is>
          <t>B</t>
        </is>
      </c>
    </row>
    <row r="2468">
      <c r="FC2468" t="inlineStr">
        <is>
          <t>Diccionario 3</t>
        </is>
      </c>
      <c r="FD2468" s="17" t="inlineStr">
        <is>
          <t>VJYJ75</t>
        </is>
      </c>
      <c r="FE2468" s="17" t="inlineStr">
        <is>
          <t>LDYECS31XS0044285</t>
        </is>
      </c>
      <c r="FF2468" s="18" t="inlineStr">
        <is>
          <t>MDN35025020245</t>
        </is>
      </c>
      <c r="FG2468" s="18" t="inlineStr">
        <is>
          <t>Zhong Thong</t>
        </is>
      </c>
      <c r="FH2468" s="18" t="inlineStr">
        <is>
          <t>Lck6122evg</t>
        </is>
      </c>
      <c r="FI2468" s="18" t="inlineStr">
        <is>
          <t>Zhong Thong</t>
        </is>
      </c>
      <c r="FJ2468" s="18" t="inlineStr">
        <is>
          <t>Lck6122evg</t>
        </is>
      </c>
      <c r="FK2468" s="18" t="n">
        <v>2026</v>
      </c>
      <c r="FL2468" s="18" t="inlineStr">
        <is>
          <t>B</t>
        </is>
      </c>
      <c r="FM2468" s="18" t="inlineStr">
        <is>
          <t>Ducaud</t>
        </is>
      </c>
      <c r="FP2468" t="inlineStr">
        <is>
          <t>B</t>
        </is>
      </c>
    </row>
    <row r="2469">
      <c r="FC2469" t="inlineStr">
        <is>
          <t>Diccionario 3</t>
        </is>
      </c>
      <c r="FD2469" s="17" t="inlineStr">
        <is>
          <t>VJYJ84</t>
        </is>
      </c>
      <c r="FE2469" s="17" t="inlineStr">
        <is>
          <t>LDYECS316S0044218</t>
        </is>
      </c>
      <c r="FF2469" s="18" t="inlineStr">
        <is>
          <t>MDN35025010180</t>
        </is>
      </c>
      <c r="FG2469" s="18" t="inlineStr">
        <is>
          <t>Zhong Thong</t>
        </is>
      </c>
      <c r="FH2469" s="18" t="inlineStr">
        <is>
          <t>Lck6122evg</t>
        </is>
      </c>
      <c r="FI2469" s="18" t="inlineStr">
        <is>
          <t>Zhong Thong</t>
        </is>
      </c>
      <c r="FJ2469" s="18" t="inlineStr">
        <is>
          <t>Lck6122evg</t>
        </is>
      </c>
      <c r="FK2469" s="18" t="n">
        <v>2026</v>
      </c>
      <c r="FL2469" s="18" t="inlineStr">
        <is>
          <t>B</t>
        </is>
      </c>
      <c r="FM2469" s="18" t="inlineStr">
        <is>
          <t>Ducaud</t>
        </is>
      </c>
      <c r="FP2469" t="inlineStr">
        <is>
          <t>B</t>
        </is>
      </c>
    </row>
    <row r="2470">
      <c r="FC2470" t="inlineStr">
        <is>
          <t>Diccionario 3</t>
        </is>
      </c>
      <c r="FD2470" s="17" t="inlineStr">
        <is>
          <t>VJYK73</t>
        </is>
      </c>
      <c r="FE2470" s="17" t="inlineStr">
        <is>
          <t>LDYECS315S0044291</t>
        </is>
      </c>
      <c r="FF2470" s="18" t="inlineStr">
        <is>
          <t>MDN35025010116</t>
        </is>
      </c>
      <c r="FG2470" s="18" t="inlineStr">
        <is>
          <t>Zhong Thong</t>
        </is>
      </c>
      <c r="FH2470" s="18" t="inlineStr">
        <is>
          <t>Lck6122evg</t>
        </is>
      </c>
      <c r="FI2470" s="18" t="inlineStr">
        <is>
          <t>Zhong Thong</t>
        </is>
      </c>
      <c r="FJ2470" s="18" t="inlineStr">
        <is>
          <t>Lck6122evg</t>
        </is>
      </c>
      <c r="FK2470" s="18" t="n">
        <v>2026</v>
      </c>
      <c r="FL2470" s="18" t="inlineStr">
        <is>
          <t>B</t>
        </is>
      </c>
      <c r="FM2470" s="18" t="inlineStr">
        <is>
          <t>Ducaud</t>
        </is>
      </c>
      <c r="FP2470" t="inlineStr">
        <is>
          <t>B</t>
        </is>
      </c>
    </row>
    <row r="2471">
      <c r="FC2471" t="inlineStr">
        <is>
          <t>Diccionario 3</t>
        </is>
      </c>
      <c r="FD2471" s="17" t="inlineStr">
        <is>
          <t>VJYK82</t>
        </is>
      </c>
      <c r="FE2471" s="17" t="inlineStr">
        <is>
          <t>LDYECS31XS0044335</t>
        </is>
      </c>
      <c r="FF2471" s="18" t="inlineStr">
        <is>
          <t>MDN35025030151</t>
        </is>
      </c>
      <c r="FG2471" s="18" t="inlineStr">
        <is>
          <t>Zhong Thong</t>
        </is>
      </c>
      <c r="FH2471" s="18" t="inlineStr">
        <is>
          <t>Lck6122evg</t>
        </is>
      </c>
      <c r="FI2471" s="18" t="inlineStr">
        <is>
          <t>Zhong Thong</t>
        </is>
      </c>
      <c r="FJ2471" s="18" t="inlineStr">
        <is>
          <t>Lck6122evg</t>
        </is>
      </c>
      <c r="FK2471" s="18" t="n">
        <v>2026</v>
      </c>
      <c r="FL2471" s="18" t="inlineStr">
        <is>
          <t>B</t>
        </is>
      </c>
      <c r="FM2471" s="18" t="inlineStr">
        <is>
          <t>Ducaud</t>
        </is>
      </c>
      <c r="FP2471" t="inlineStr">
        <is>
          <t>B</t>
        </is>
      </c>
    </row>
    <row r="2472">
      <c r="FC2472" t="inlineStr">
        <is>
          <t>Diccionario 3</t>
        </is>
      </c>
      <c r="FD2472" s="17" t="inlineStr">
        <is>
          <t>VJYK83</t>
        </is>
      </c>
      <c r="FE2472" s="17" t="inlineStr">
        <is>
          <t>LDYECS317S0044342</t>
        </is>
      </c>
      <c r="FF2472" s="18" t="inlineStr">
        <is>
          <t>MDN35025010144</t>
        </is>
      </c>
      <c r="FG2472" s="18" t="inlineStr">
        <is>
          <t>Zhong Thong</t>
        </is>
      </c>
      <c r="FH2472" s="18" t="inlineStr">
        <is>
          <t>Lck6122evg</t>
        </is>
      </c>
      <c r="FI2472" s="18" t="inlineStr">
        <is>
          <t>Zhong Thong</t>
        </is>
      </c>
      <c r="FJ2472" s="18" t="inlineStr">
        <is>
          <t>Lck6122evg</t>
        </is>
      </c>
      <c r="FK2472" s="18" t="n">
        <v>2026</v>
      </c>
      <c r="FL2472" s="18" t="inlineStr">
        <is>
          <t>B</t>
        </is>
      </c>
      <c r="FM2472" s="18" t="inlineStr">
        <is>
          <t>Ducaud</t>
        </is>
      </c>
      <c r="FP2472" t="inlineStr">
        <is>
          <t>B</t>
        </is>
      </c>
    </row>
    <row r="2473">
      <c r="FC2473" t="inlineStr">
        <is>
          <t>Diccionario 3</t>
        </is>
      </c>
      <c r="FD2473" s="17" t="inlineStr">
        <is>
          <t>VJYK86</t>
        </is>
      </c>
      <c r="FE2473" s="17" t="inlineStr">
        <is>
          <t>LDYECS313S0044368</t>
        </is>
      </c>
      <c r="FF2473" s="18" t="inlineStr">
        <is>
          <t>MDN35025010047</t>
        </is>
      </c>
      <c r="FG2473" s="18" t="inlineStr">
        <is>
          <t>Zhong Thong</t>
        </is>
      </c>
      <c r="FH2473" s="18" t="inlineStr">
        <is>
          <t>Lck6122evg</t>
        </is>
      </c>
      <c r="FI2473" s="18" t="inlineStr">
        <is>
          <t>Zhong Thong</t>
        </is>
      </c>
      <c r="FJ2473" s="18" t="inlineStr">
        <is>
          <t>Lck6122evg</t>
        </is>
      </c>
      <c r="FK2473" s="18" t="n">
        <v>2026</v>
      </c>
      <c r="FL2473" s="18" t="inlineStr">
        <is>
          <t>B</t>
        </is>
      </c>
      <c r="FM2473" s="18" t="inlineStr">
        <is>
          <t>Ducaud</t>
        </is>
      </c>
      <c r="FP2473" t="inlineStr">
        <is>
          <t>B</t>
        </is>
      </c>
    </row>
    <row r="2474">
      <c r="FC2474" t="inlineStr">
        <is>
          <t>Diccionario 3</t>
        </is>
      </c>
      <c r="FD2474" s="17" t="inlineStr">
        <is>
          <t>VJYK89</t>
        </is>
      </c>
      <c r="FE2474" s="17" t="inlineStr">
        <is>
          <t>LDYECS316S0044364</t>
        </is>
      </c>
      <c r="FF2474" s="18" t="inlineStr">
        <is>
          <t>MDN35025030062</t>
        </is>
      </c>
      <c r="FG2474" s="18" t="inlineStr">
        <is>
          <t>Zhong Thong</t>
        </is>
      </c>
      <c r="FH2474" s="18" t="inlineStr">
        <is>
          <t>Lck6122evg</t>
        </is>
      </c>
      <c r="FI2474" s="18" t="inlineStr">
        <is>
          <t>Zhong Thong</t>
        </is>
      </c>
      <c r="FJ2474" s="18" t="inlineStr">
        <is>
          <t>Lck6122evg</t>
        </is>
      </c>
      <c r="FK2474" s="18" t="n">
        <v>2026</v>
      </c>
      <c r="FL2474" s="18" t="inlineStr">
        <is>
          <t>B</t>
        </is>
      </c>
      <c r="FM2474" s="18" t="inlineStr">
        <is>
          <t>Ducaud</t>
        </is>
      </c>
      <c r="FP2474" t="inlineStr">
        <is>
          <t>B</t>
        </is>
      </c>
    </row>
    <row r="2475">
      <c r="FC2475" t="inlineStr">
        <is>
          <t>Diccionario 3</t>
        </is>
      </c>
      <c r="FD2475" s="17" t="inlineStr">
        <is>
          <t>VJYK91</t>
        </is>
      </c>
      <c r="FE2475" s="17" t="inlineStr">
        <is>
          <t>LDYECS312S0044295</t>
        </is>
      </c>
      <c r="FF2475" s="18" t="inlineStr">
        <is>
          <t>MDN35025020211</t>
        </is>
      </c>
      <c r="FG2475" s="18" t="inlineStr">
        <is>
          <t>Zhong Thong</t>
        </is>
      </c>
      <c r="FH2475" s="18" t="inlineStr">
        <is>
          <t>Lck6122evg</t>
        </is>
      </c>
      <c r="FI2475" s="18" t="inlineStr">
        <is>
          <t>Zhong Thong</t>
        </is>
      </c>
      <c r="FJ2475" s="18" t="inlineStr">
        <is>
          <t>Lck6122evg</t>
        </is>
      </c>
      <c r="FK2475" s="18" t="n">
        <v>2026</v>
      </c>
      <c r="FL2475" s="18" t="inlineStr">
        <is>
          <t>B</t>
        </is>
      </c>
      <c r="FM2475" s="18" t="inlineStr">
        <is>
          <t>Ducaud</t>
        </is>
      </c>
      <c r="FP2475" t="inlineStr">
        <is>
          <t>B</t>
        </is>
      </c>
    </row>
    <row r="2476">
      <c r="FC2476" t="inlineStr">
        <is>
          <t>Diccionario 3</t>
        </is>
      </c>
      <c r="FD2476" s="17" t="inlineStr">
        <is>
          <t>VJYK95</t>
        </is>
      </c>
      <c r="FE2476" s="17" t="inlineStr">
        <is>
          <t>LDYECS312S0044362</t>
        </is>
      </c>
      <c r="FF2476" s="18" t="inlineStr">
        <is>
          <t>MDN35025010110</t>
        </is>
      </c>
      <c r="FG2476" s="18" t="inlineStr">
        <is>
          <t>Zhong Thong</t>
        </is>
      </c>
      <c r="FH2476" s="18" t="inlineStr">
        <is>
          <t>Lck6122evg</t>
        </is>
      </c>
      <c r="FI2476" s="18" t="inlineStr">
        <is>
          <t>Zhong Thong</t>
        </is>
      </c>
      <c r="FJ2476" s="18" t="inlineStr">
        <is>
          <t>Lck6122evg</t>
        </is>
      </c>
      <c r="FK2476" s="18" t="n">
        <v>2026</v>
      </c>
      <c r="FL2476" s="18" t="inlineStr">
        <is>
          <t>B</t>
        </is>
      </c>
      <c r="FM2476" s="18" t="inlineStr">
        <is>
          <t>Ducaud</t>
        </is>
      </c>
      <c r="FP2476" t="inlineStr">
        <is>
          <t>B</t>
        </is>
      </c>
    </row>
    <row r="2477">
      <c r="FC2477" t="inlineStr">
        <is>
          <t>Diccionario 3</t>
        </is>
      </c>
      <c r="FD2477" s="17" t="inlineStr">
        <is>
          <t>VJYK97</t>
        </is>
      </c>
      <c r="FE2477" s="17" t="inlineStr">
        <is>
          <t>LDYECS314S0044380</t>
        </is>
      </c>
      <c r="FF2477" s="18" t="inlineStr">
        <is>
          <t>MDN35025030033</t>
        </is>
      </c>
      <c r="FG2477" s="18" t="inlineStr">
        <is>
          <t>Zhong Thong</t>
        </is>
      </c>
      <c r="FH2477" s="18" t="inlineStr">
        <is>
          <t>Lck6122evg</t>
        </is>
      </c>
      <c r="FI2477" s="18" t="inlineStr">
        <is>
          <t>Zhong Thong</t>
        </is>
      </c>
      <c r="FJ2477" s="18" t="inlineStr">
        <is>
          <t>Lck6122evg</t>
        </is>
      </c>
      <c r="FK2477" s="18" t="n">
        <v>2026</v>
      </c>
      <c r="FL2477" s="18" t="inlineStr">
        <is>
          <t>B</t>
        </is>
      </c>
      <c r="FM2477" s="18" t="inlineStr">
        <is>
          <t>Ducaud</t>
        </is>
      </c>
      <c r="FP2477" t="inlineStr">
        <is>
          <t>B</t>
        </is>
      </c>
    </row>
    <row r="2478">
      <c r="FC2478" t="inlineStr">
        <is>
          <t>Diccionario 3</t>
        </is>
      </c>
      <c r="FD2478" s="17" t="inlineStr">
        <is>
          <t>VJYK98</t>
        </is>
      </c>
      <c r="FE2478" s="17" t="inlineStr">
        <is>
          <t>LDYECS312S0044300</t>
        </is>
      </c>
      <c r="FF2478" s="18" t="inlineStr">
        <is>
          <t>MDN350025010178</t>
        </is>
      </c>
      <c r="FG2478" s="18" t="inlineStr">
        <is>
          <t>Zhong Thong</t>
        </is>
      </c>
      <c r="FH2478" s="18" t="inlineStr">
        <is>
          <t>Lck6122evg</t>
        </is>
      </c>
      <c r="FI2478" s="18" t="inlineStr">
        <is>
          <t>Zhong Thong</t>
        </is>
      </c>
      <c r="FJ2478" s="18" t="inlineStr">
        <is>
          <t>Lck6122evg</t>
        </is>
      </c>
      <c r="FK2478" s="18" t="n">
        <v>2026</v>
      </c>
      <c r="FL2478" s="18" t="inlineStr">
        <is>
          <t>B</t>
        </is>
      </c>
      <c r="FM2478" s="18" t="inlineStr">
        <is>
          <t>Ducaud</t>
        </is>
      </c>
      <c r="FP2478" t="inlineStr">
        <is>
          <t>B</t>
        </is>
      </c>
    </row>
    <row r="2479">
      <c r="FC2479" t="inlineStr">
        <is>
          <t>Diccionario 3</t>
        </is>
      </c>
      <c r="FD2479" s="17" t="inlineStr">
        <is>
          <t>VJYL12</t>
        </is>
      </c>
      <c r="FE2479" s="17" t="inlineStr">
        <is>
          <t>LDYECS313S0044290</t>
        </is>
      </c>
      <c r="FF2479" s="18" t="inlineStr">
        <is>
          <t>MDN35025020214</t>
        </is>
      </c>
      <c r="FG2479" s="18" t="inlineStr">
        <is>
          <t>Zhong Thong</t>
        </is>
      </c>
      <c r="FH2479" s="18" t="inlineStr">
        <is>
          <t>Lck6122evg</t>
        </is>
      </c>
      <c r="FI2479" s="18" t="inlineStr">
        <is>
          <t>Zhong Thong</t>
        </is>
      </c>
      <c r="FJ2479" s="18" t="inlineStr">
        <is>
          <t>Lck6122evg</t>
        </is>
      </c>
      <c r="FK2479" s="18" t="n">
        <v>2026</v>
      </c>
      <c r="FL2479" s="18" t="inlineStr">
        <is>
          <t>B</t>
        </is>
      </c>
      <c r="FM2479" s="18" t="inlineStr">
        <is>
          <t>Ducaud</t>
        </is>
      </c>
      <c r="FP2479" t="inlineStr">
        <is>
          <t>B</t>
        </is>
      </c>
    </row>
    <row r="2480">
      <c r="FC2480" t="inlineStr">
        <is>
          <t>Diccionario 3</t>
        </is>
      </c>
      <c r="FD2480" s="17" t="inlineStr">
        <is>
          <t>VJYL17</t>
        </is>
      </c>
      <c r="FE2480" s="17" t="inlineStr">
        <is>
          <t>LDYECS317S0044356</t>
        </is>
      </c>
      <c r="FF2480" s="18" t="inlineStr">
        <is>
          <t>MDN35025010073</t>
        </is>
      </c>
      <c r="FG2480" s="18" t="inlineStr">
        <is>
          <t>Zhong Thong</t>
        </is>
      </c>
      <c r="FH2480" s="18" t="inlineStr">
        <is>
          <t>Lck6122evg</t>
        </is>
      </c>
      <c r="FI2480" s="18" t="inlineStr">
        <is>
          <t>Zhong Thong</t>
        </is>
      </c>
      <c r="FJ2480" s="18" t="inlineStr">
        <is>
          <t>Lck6122evg</t>
        </is>
      </c>
      <c r="FK2480" s="18" t="n">
        <v>2026</v>
      </c>
      <c r="FL2480" s="18" t="inlineStr">
        <is>
          <t>B</t>
        </is>
      </c>
      <c r="FM2480" s="18" t="inlineStr">
        <is>
          <t>Ducaud</t>
        </is>
      </c>
      <c r="FP2480" t="inlineStr">
        <is>
          <t>B</t>
        </is>
      </c>
    </row>
    <row r="2481">
      <c r="FC2481" t="inlineStr">
        <is>
          <t>Diccionario 3</t>
        </is>
      </c>
      <c r="FD2481" s="17" t="inlineStr">
        <is>
          <t>VJZB37</t>
        </is>
      </c>
      <c r="FE2481" s="17" t="inlineStr">
        <is>
          <t>LDYECS31XS0044139</t>
        </is>
      </c>
      <c r="FF2481" s="18" t="inlineStr">
        <is>
          <t>MDN35025030088</t>
        </is>
      </c>
      <c r="FG2481" s="18" t="inlineStr">
        <is>
          <t>Zhong Thong</t>
        </is>
      </c>
      <c r="FH2481" s="18" t="inlineStr">
        <is>
          <t>Lck6122evg</t>
        </is>
      </c>
      <c r="FI2481" s="18" t="inlineStr">
        <is>
          <t>Zhong Thong</t>
        </is>
      </c>
      <c r="FJ2481" s="18" t="inlineStr">
        <is>
          <t>Lck6122evg</t>
        </is>
      </c>
      <c r="FK2481" s="18" t="n">
        <v>2026</v>
      </c>
      <c r="FL2481" s="18" t="inlineStr">
        <is>
          <t>B</t>
        </is>
      </c>
      <c r="FM2481" s="18" t="inlineStr">
        <is>
          <t>Lo Blanco</t>
        </is>
      </c>
      <c r="FP2481" t="inlineStr">
        <is>
          <t>B</t>
        </is>
      </c>
    </row>
    <row r="2482">
      <c r="FC2482" t="inlineStr">
        <is>
          <t>Diccionario 3</t>
        </is>
      </c>
      <c r="FD2482" s="17" t="inlineStr">
        <is>
          <t>VJZB47</t>
        </is>
      </c>
      <c r="FE2482" s="17" t="inlineStr">
        <is>
          <t>LDYECS315S0044145</t>
        </is>
      </c>
      <c r="FF2482" s="18" t="inlineStr">
        <is>
          <t>MDN35025030096</t>
        </is>
      </c>
      <c r="FG2482" s="18" t="inlineStr">
        <is>
          <t>Zhong Thong</t>
        </is>
      </c>
      <c r="FH2482" s="18" t="inlineStr">
        <is>
          <t>Lck6122evg</t>
        </is>
      </c>
      <c r="FI2482" s="18" t="inlineStr">
        <is>
          <t>Zhong Thong</t>
        </is>
      </c>
      <c r="FJ2482" s="18" t="inlineStr">
        <is>
          <t>Lck6122evg</t>
        </is>
      </c>
      <c r="FK2482" s="18" t="n">
        <v>2026</v>
      </c>
      <c r="FL2482" s="18" t="inlineStr">
        <is>
          <t>B</t>
        </is>
      </c>
      <c r="FM2482" s="18" t="inlineStr">
        <is>
          <t>Lo Blanco</t>
        </is>
      </c>
      <c r="FP2482" t="inlineStr">
        <is>
          <t>B</t>
        </is>
      </c>
    </row>
    <row r="2483">
      <c r="FC2483" t="inlineStr">
        <is>
          <t>Diccionario 3</t>
        </is>
      </c>
      <c r="FD2483" s="17" t="inlineStr">
        <is>
          <t>VJZB57</t>
        </is>
      </c>
      <c r="FE2483" s="17" t="inlineStr">
        <is>
          <t>LDYECS316S0044140</t>
        </is>
      </c>
      <c r="FF2483" s="18" t="inlineStr">
        <is>
          <t>MDN35025030038</t>
        </is>
      </c>
      <c r="FG2483" s="18" t="inlineStr">
        <is>
          <t>Zhong Thong</t>
        </is>
      </c>
      <c r="FH2483" s="18" t="inlineStr">
        <is>
          <t>Lck6122evg</t>
        </is>
      </c>
      <c r="FI2483" s="18" t="inlineStr">
        <is>
          <t>Zhong Thong</t>
        </is>
      </c>
      <c r="FJ2483" s="18" t="inlineStr">
        <is>
          <t>Lck6122evg</t>
        </is>
      </c>
      <c r="FK2483" s="18" t="n">
        <v>2026</v>
      </c>
      <c r="FL2483" s="18" t="inlineStr">
        <is>
          <t>B</t>
        </is>
      </c>
      <c r="FM2483" s="18" t="inlineStr">
        <is>
          <t>Lo Blanco</t>
        </is>
      </c>
      <c r="FP2483" t="inlineStr">
        <is>
          <t>B</t>
        </is>
      </c>
    </row>
    <row r="2484">
      <c r="FC2484" t="inlineStr">
        <is>
          <t>Diccionario 3</t>
        </is>
      </c>
      <c r="FD2484" s="17" t="inlineStr">
        <is>
          <t>VJZB67</t>
        </is>
      </c>
      <c r="FE2484" s="17" t="inlineStr">
        <is>
          <t>LDYECS317S0044230</t>
        </is>
      </c>
      <c r="FF2484" s="18" t="inlineStr">
        <is>
          <t>MDN35025020272</t>
        </is>
      </c>
      <c r="FG2484" s="18" t="inlineStr">
        <is>
          <t>Zhong Thong</t>
        </is>
      </c>
      <c r="FH2484" s="18" t="inlineStr">
        <is>
          <t>Lck6122evg</t>
        </is>
      </c>
      <c r="FI2484" s="18" t="inlineStr">
        <is>
          <t>Zhong Thong</t>
        </is>
      </c>
      <c r="FJ2484" s="18" t="inlineStr">
        <is>
          <t>Lck6122evg</t>
        </is>
      </c>
      <c r="FK2484" s="18" t="n">
        <v>2026</v>
      </c>
      <c r="FL2484" s="18" t="inlineStr">
        <is>
          <t>B</t>
        </is>
      </c>
      <c r="FM2484" s="18" t="inlineStr">
        <is>
          <t>Lo Blanco</t>
        </is>
      </c>
      <c r="FP2484" t="inlineStr">
        <is>
          <t>B</t>
        </is>
      </c>
    </row>
    <row r="2485">
      <c r="FC2485" t="inlineStr">
        <is>
          <t>Diccionario 3</t>
        </is>
      </c>
      <c r="FD2485" s="17" t="inlineStr">
        <is>
          <t>VJZB77</t>
        </is>
      </c>
      <c r="FE2485" s="17" t="inlineStr">
        <is>
          <t>LDYECS317S0044227</t>
        </is>
      </c>
      <c r="FF2485" s="18" t="inlineStr">
        <is>
          <t>MDN35025020261</t>
        </is>
      </c>
      <c r="FG2485" s="18" t="inlineStr">
        <is>
          <t>Zhong Thong</t>
        </is>
      </c>
      <c r="FH2485" s="18" t="inlineStr">
        <is>
          <t>Lck6122evg</t>
        </is>
      </c>
      <c r="FI2485" s="18" t="inlineStr">
        <is>
          <t>Zhong Thong</t>
        </is>
      </c>
      <c r="FJ2485" s="18" t="inlineStr">
        <is>
          <t>Lck6122evg</t>
        </is>
      </c>
      <c r="FK2485" s="18" t="n">
        <v>2026</v>
      </c>
      <c r="FL2485" s="18" t="inlineStr">
        <is>
          <t>B</t>
        </is>
      </c>
      <c r="FM2485" s="18" t="inlineStr">
        <is>
          <t>Lo Blanco</t>
        </is>
      </c>
      <c r="FP2485" t="inlineStr">
        <is>
          <t>B</t>
        </is>
      </c>
    </row>
    <row r="2486">
      <c r="FC2486" t="inlineStr">
        <is>
          <t>Diccionario 3</t>
        </is>
      </c>
      <c r="FD2486" s="17" t="inlineStr">
        <is>
          <t>VJZB87</t>
        </is>
      </c>
      <c r="FE2486" s="17" t="inlineStr">
        <is>
          <t>LDYECS315S0044288</t>
        </is>
      </c>
      <c r="FF2486" s="18" t="inlineStr">
        <is>
          <t>MDN35025020208</t>
        </is>
      </c>
      <c r="FG2486" s="18" t="inlineStr">
        <is>
          <t>Zhong Thong</t>
        </is>
      </c>
      <c r="FH2486" s="18" t="inlineStr">
        <is>
          <t>Lck6122evg</t>
        </is>
      </c>
      <c r="FI2486" s="18" t="inlineStr">
        <is>
          <t>Zhong Thong</t>
        </is>
      </c>
      <c r="FJ2486" s="18" t="inlineStr">
        <is>
          <t>Lck6122evg</t>
        </is>
      </c>
      <c r="FK2486" s="18" t="n">
        <v>2026</v>
      </c>
      <c r="FL2486" s="18" t="inlineStr">
        <is>
          <t>B</t>
        </is>
      </c>
      <c r="FM2486" s="18" t="inlineStr">
        <is>
          <t>Ducaud</t>
        </is>
      </c>
      <c r="FP2486" t="inlineStr">
        <is>
          <t>B</t>
        </is>
      </c>
    </row>
    <row r="2487">
      <c r="FC2487" t="inlineStr">
        <is>
          <t>Diccionario 3</t>
        </is>
      </c>
      <c r="FD2487" s="17" t="inlineStr">
        <is>
          <t>VJZB97</t>
        </is>
      </c>
      <c r="FE2487" s="17" t="inlineStr">
        <is>
          <t>LDYECS313S0044192</t>
        </is>
      </c>
      <c r="FF2487" s="18" t="inlineStr">
        <is>
          <t>MDN35025020256</t>
        </is>
      </c>
      <c r="FG2487" s="18" t="inlineStr">
        <is>
          <t>Zhong Thong</t>
        </is>
      </c>
      <c r="FH2487" s="18" t="inlineStr">
        <is>
          <t>Lck6122evg</t>
        </is>
      </c>
      <c r="FI2487" s="18" t="inlineStr">
        <is>
          <t>Zhong Thong</t>
        </is>
      </c>
      <c r="FJ2487" s="18" t="inlineStr">
        <is>
          <t>Lck6122evg</t>
        </is>
      </c>
      <c r="FK2487" s="18" t="n">
        <v>2026</v>
      </c>
      <c r="FL2487" s="18" t="inlineStr">
        <is>
          <t>B</t>
        </is>
      </c>
      <c r="FM2487" s="18" t="inlineStr">
        <is>
          <t>Ducaud</t>
        </is>
      </c>
      <c r="FP2487" t="inlineStr">
        <is>
          <t>B</t>
        </is>
      </c>
    </row>
    <row r="2488">
      <c r="FC2488" t="inlineStr">
        <is>
          <t>Diccionario 3</t>
        </is>
      </c>
      <c r="FD2488" s="17" t="inlineStr">
        <is>
          <t>VJZC57</t>
        </is>
      </c>
      <c r="FE2488" s="17" t="inlineStr">
        <is>
          <t>LDYECS315S0044193</t>
        </is>
      </c>
      <c r="FF2488" s="18" t="inlineStr">
        <is>
          <t>MDN35025020248</t>
        </is>
      </c>
      <c r="FG2488" s="18" t="inlineStr">
        <is>
          <t>Zhong Thong</t>
        </is>
      </c>
      <c r="FH2488" s="18" t="inlineStr">
        <is>
          <t>Lck6122evg</t>
        </is>
      </c>
      <c r="FI2488" s="18" t="inlineStr">
        <is>
          <t>Zhong Thong</t>
        </is>
      </c>
      <c r="FJ2488" s="18" t="inlineStr">
        <is>
          <t>Lck6122evg</t>
        </is>
      </c>
      <c r="FK2488" s="18" t="n">
        <v>2026</v>
      </c>
      <c r="FL2488" s="18" t="inlineStr">
        <is>
          <t>B</t>
        </is>
      </c>
      <c r="FM2488" s="18" t="inlineStr">
        <is>
          <t>Ducaud</t>
        </is>
      </c>
      <c r="FP2488" t="inlineStr">
        <is>
          <t>B</t>
        </is>
      </c>
    </row>
    <row r="2489">
      <c r="FC2489" t="inlineStr">
        <is>
          <t>Diccionario 3</t>
        </is>
      </c>
      <c r="FD2489" s="17" t="inlineStr">
        <is>
          <t>VJZH87</t>
        </is>
      </c>
      <c r="FE2489" s="17" t="inlineStr">
        <is>
          <t>LDYECS31XS0044271</t>
        </is>
      </c>
      <c r="FF2489" s="18" t="inlineStr">
        <is>
          <t>MDN35025020210</t>
        </is>
      </c>
      <c r="FG2489" s="18" t="inlineStr">
        <is>
          <t>Zhong Thong</t>
        </is>
      </c>
      <c r="FH2489" s="18" t="inlineStr">
        <is>
          <t>Lck6122evg</t>
        </is>
      </c>
      <c r="FI2489" s="18" t="inlineStr">
        <is>
          <t>Zhong Thong</t>
        </is>
      </c>
      <c r="FJ2489" s="18" t="inlineStr">
        <is>
          <t>Lck6122evg</t>
        </is>
      </c>
      <c r="FK2489" s="18" t="n">
        <v>2026</v>
      </c>
      <c r="FL2489" s="18" t="inlineStr">
        <is>
          <t>B</t>
        </is>
      </c>
      <c r="FM2489" s="18" t="inlineStr">
        <is>
          <t>Ducaud</t>
        </is>
      </c>
      <c r="FP2489" t="inlineStr">
        <is>
          <t>B</t>
        </is>
      </c>
    </row>
    <row r="2490">
      <c r="FC2490" t="inlineStr">
        <is>
          <t>Diccionario 3</t>
        </is>
      </c>
      <c r="FD2490" s="17" t="inlineStr">
        <is>
          <t>VJZH97</t>
        </is>
      </c>
      <c r="FE2490" s="17" t="inlineStr">
        <is>
          <t>LDYECS31XS0044268</t>
        </is>
      </c>
      <c r="FF2490" s="18" t="inlineStr">
        <is>
          <t>MDN3502520269</t>
        </is>
      </c>
      <c r="FG2490" s="18" t="inlineStr">
        <is>
          <t>Zhong Thong</t>
        </is>
      </c>
      <c r="FH2490" s="18" t="inlineStr">
        <is>
          <t>Lck6122evg</t>
        </is>
      </c>
      <c r="FI2490" s="18" t="inlineStr">
        <is>
          <t>Zhong Thong</t>
        </is>
      </c>
      <c r="FJ2490" s="18" t="inlineStr">
        <is>
          <t>Lck6122evg</t>
        </is>
      </c>
      <c r="FK2490" s="18" t="n">
        <v>2026</v>
      </c>
      <c r="FL2490" s="18" t="inlineStr">
        <is>
          <t>B</t>
        </is>
      </c>
      <c r="FM2490" s="18" t="inlineStr">
        <is>
          <t>Ducaud</t>
        </is>
      </c>
      <c r="FP2490" t="inlineStr">
        <is>
          <t>B</t>
        </is>
      </c>
    </row>
    <row r="2491">
      <c r="FC2491" t="inlineStr">
        <is>
          <t>Diccionario 3</t>
        </is>
      </c>
      <c r="FD2491" s="17" t="inlineStr">
        <is>
          <t>VJZJ56</t>
        </is>
      </c>
      <c r="FE2491" s="17" t="inlineStr">
        <is>
          <t>LDYECS319S0044262</t>
        </is>
      </c>
      <c r="FF2491" s="18" t="inlineStr">
        <is>
          <t>MDN35025020247</t>
        </is>
      </c>
      <c r="FG2491" s="18" t="inlineStr">
        <is>
          <t>Zhong Thong</t>
        </is>
      </c>
      <c r="FH2491" s="18" t="inlineStr">
        <is>
          <t>Lck6122evg</t>
        </is>
      </c>
      <c r="FI2491" s="18" t="inlineStr">
        <is>
          <t>Zhong Thong</t>
        </is>
      </c>
      <c r="FJ2491" s="18" t="inlineStr">
        <is>
          <t>Lck6122evg</t>
        </is>
      </c>
      <c r="FK2491" s="18" t="n">
        <v>2026</v>
      </c>
      <c r="FL2491" s="18" t="inlineStr">
        <is>
          <t>B</t>
        </is>
      </c>
      <c r="FM2491" s="18" t="inlineStr">
        <is>
          <t>Ducaud</t>
        </is>
      </c>
      <c r="FP2491" t="inlineStr">
        <is>
          <t>B</t>
        </is>
      </c>
    </row>
    <row r="2492">
      <c r="FC2492" t="inlineStr">
        <is>
          <t>Diccionario 3</t>
        </is>
      </c>
      <c r="FD2492" s="17" t="inlineStr">
        <is>
          <t>VJZJ66</t>
        </is>
      </c>
      <c r="FE2492" s="17" t="inlineStr">
        <is>
          <t>LDYECS311S0044269</t>
        </is>
      </c>
      <c r="FF2492" s="18" t="inlineStr">
        <is>
          <t>MDN35025020266</t>
        </is>
      </c>
      <c r="FG2492" s="18" t="inlineStr">
        <is>
          <t>Zhong Thong</t>
        </is>
      </c>
      <c r="FH2492" s="18" t="inlineStr">
        <is>
          <t>Lck6122evg</t>
        </is>
      </c>
      <c r="FI2492" s="18" t="inlineStr">
        <is>
          <t>Zhong Thong</t>
        </is>
      </c>
      <c r="FJ2492" s="18" t="inlineStr">
        <is>
          <t>Lck6122evg</t>
        </is>
      </c>
      <c r="FK2492" s="18" t="n">
        <v>2026</v>
      </c>
      <c r="FL2492" s="18" t="inlineStr">
        <is>
          <t>B</t>
        </is>
      </c>
      <c r="FM2492" s="18" t="inlineStr">
        <is>
          <t>Ducaud</t>
        </is>
      </c>
      <c r="FP2492" t="inlineStr">
        <is>
          <t>B</t>
        </is>
      </c>
    </row>
    <row r="2493">
      <c r="FC2493" t="inlineStr">
        <is>
          <t>Diccionario 3</t>
        </is>
      </c>
      <c r="FD2493" s="17" t="inlineStr">
        <is>
          <t>VKFW93</t>
        </is>
      </c>
      <c r="FE2493" s="17" t="inlineStr">
        <is>
          <t>LDYECS311S0044272</t>
        </is>
      </c>
      <c r="FF2493" s="18" t="inlineStr">
        <is>
          <t>MDN35025020270</t>
        </is>
      </c>
      <c r="FG2493" s="18" t="inlineStr">
        <is>
          <t>Zhong Thong</t>
        </is>
      </c>
      <c r="FH2493" s="18" t="inlineStr">
        <is>
          <t>Lck6122evg</t>
        </is>
      </c>
      <c r="FI2493" s="18" t="inlineStr">
        <is>
          <t>Zhong Thong</t>
        </is>
      </c>
      <c r="FJ2493" s="18" t="inlineStr">
        <is>
          <t>Lck6122evg</t>
        </is>
      </c>
      <c r="FK2493" s="18" t="n">
        <v>2026</v>
      </c>
      <c r="FL2493" s="18" t="inlineStr">
        <is>
          <t>B</t>
        </is>
      </c>
      <c r="FM2493" s="18" t="inlineStr">
        <is>
          <t>Ducaud</t>
        </is>
      </c>
      <c r="FP2493" t="inlineStr">
        <is>
          <t>B</t>
        </is>
      </c>
    </row>
    <row r="2494">
      <c r="FC2494" t="inlineStr">
        <is>
          <t>Diccionario 3</t>
        </is>
      </c>
      <c r="FD2494" s="17" t="inlineStr">
        <is>
          <t>VKFX13</t>
        </is>
      </c>
      <c r="FE2494" s="17" t="inlineStr">
        <is>
          <t>LDYECS317S0044258</t>
        </is>
      </c>
      <c r="FF2494" s="18" t="inlineStr">
        <is>
          <t>MDN35025020200</t>
        </is>
      </c>
      <c r="FG2494" s="18" t="inlineStr">
        <is>
          <t>Zhong Thong</t>
        </is>
      </c>
      <c r="FH2494" s="18" t="inlineStr">
        <is>
          <t>Lck6122evg</t>
        </is>
      </c>
      <c r="FI2494" s="18" t="inlineStr">
        <is>
          <t>Zhong Thong</t>
        </is>
      </c>
      <c r="FJ2494" s="18" t="inlineStr">
        <is>
          <t>Lck6122evg</t>
        </is>
      </c>
      <c r="FK2494" s="18" t="n">
        <v>2026</v>
      </c>
      <c r="FL2494" s="18" t="inlineStr">
        <is>
          <t>B</t>
        </is>
      </c>
      <c r="FM2494" s="18" t="inlineStr">
        <is>
          <t>Ducaud</t>
        </is>
      </c>
      <c r="FP2494" t="inlineStr">
        <is>
          <t>B</t>
        </is>
      </c>
    </row>
    <row r="2495">
      <c r="FC2495" t="inlineStr">
        <is>
          <t>Diccionario 3</t>
        </is>
      </c>
      <c r="FD2495" s="17" t="inlineStr">
        <is>
          <t>VKFX33</t>
        </is>
      </c>
      <c r="FE2495" s="17" t="inlineStr">
        <is>
          <t>LDYECS315S0044274</t>
        </is>
      </c>
      <c r="FF2495" s="18" t="inlineStr">
        <is>
          <t>LDM35025020202</t>
        </is>
      </c>
      <c r="FG2495" s="18" t="inlineStr">
        <is>
          <t>Zhong Thong</t>
        </is>
      </c>
      <c r="FH2495" s="18" t="inlineStr">
        <is>
          <t>Lck6122evg</t>
        </is>
      </c>
      <c r="FI2495" s="18" t="inlineStr">
        <is>
          <t>Zhong Thong</t>
        </is>
      </c>
      <c r="FJ2495" s="18" t="inlineStr">
        <is>
          <t>Lck6122evg</t>
        </is>
      </c>
      <c r="FK2495" s="18" t="n">
        <v>2026</v>
      </c>
      <c r="FL2495" s="18" t="inlineStr">
        <is>
          <t>B</t>
        </is>
      </c>
      <c r="FM2495" s="18" t="inlineStr">
        <is>
          <t>Ducaud</t>
        </is>
      </c>
      <c r="FP2495" t="inlineStr">
        <is>
          <t>B</t>
        </is>
      </c>
    </row>
    <row r="2496">
      <c r="FC2496" t="inlineStr">
        <is>
          <t>Diccionario 3</t>
        </is>
      </c>
      <c r="FD2496" s="17" t="inlineStr">
        <is>
          <t>VKFX63</t>
        </is>
      </c>
      <c r="FE2496" s="17" t="inlineStr">
        <is>
          <t>LDYECS314S0044279</t>
        </is>
      </c>
      <c r="FF2496" s="18" t="inlineStr">
        <is>
          <t>MDN35025020206</t>
        </is>
      </c>
      <c r="FG2496" s="18" t="inlineStr">
        <is>
          <t>Zhong Thong</t>
        </is>
      </c>
      <c r="FH2496" s="18" t="inlineStr">
        <is>
          <t>Lck6122evg</t>
        </is>
      </c>
      <c r="FI2496" s="18" t="inlineStr">
        <is>
          <t>Zhong Thong</t>
        </is>
      </c>
      <c r="FJ2496" s="18" t="inlineStr">
        <is>
          <t>Lck6122evg</t>
        </is>
      </c>
      <c r="FK2496" s="18" t="n">
        <v>2026</v>
      </c>
      <c r="FL2496" s="18" t="inlineStr">
        <is>
          <t>B</t>
        </is>
      </c>
      <c r="FM2496" s="18" t="inlineStr">
        <is>
          <t>Ducaud</t>
        </is>
      </c>
      <c r="FP2496" t="inlineStr">
        <is>
          <t>B</t>
        </is>
      </c>
    </row>
    <row r="2497">
      <c r="FC2497" t="inlineStr">
        <is>
          <t>Diccionario 3</t>
        </is>
      </c>
      <c r="FD2497" s="17" t="inlineStr">
        <is>
          <t>VKFX73</t>
        </is>
      </c>
      <c r="FE2497" s="17" t="inlineStr">
        <is>
          <t>LDYECS316S0044204</t>
        </is>
      </c>
      <c r="FF2497" s="18" t="inlineStr">
        <is>
          <t>MDN35025020198</t>
        </is>
      </c>
      <c r="FG2497" s="18" t="inlineStr">
        <is>
          <t>Zhong Thong</t>
        </is>
      </c>
      <c r="FH2497" s="18" t="inlineStr">
        <is>
          <t>Lck6122evg</t>
        </is>
      </c>
      <c r="FI2497" s="18" t="inlineStr">
        <is>
          <t>Zhong Thong</t>
        </is>
      </c>
      <c r="FJ2497" s="18" t="inlineStr">
        <is>
          <t>Lck6122evg</t>
        </is>
      </c>
      <c r="FK2497" s="18" t="n">
        <v>2026</v>
      </c>
      <c r="FL2497" s="18" t="inlineStr">
        <is>
          <t>B</t>
        </is>
      </c>
      <c r="FM2497" s="18" t="inlineStr">
        <is>
          <t>Ducaud</t>
        </is>
      </c>
      <c r="FP2497" t="inlineStr">
        <is>
          <t>B</t>
        </is>
      </c>
    </row>
    <row r="2498">
      <c r="FC2498" t="inlineStr">
        <is>
          <t>Diccionario 3</t>
        </is>
      </c>
      <c r="FD2498" s="17" t="inlineStr">
        <is>
          <t>VKFX93</t>
        </is>
      </c>
      <c r="FE2498" s="17" t="inlineStr">
        <is>
          <t>LDYECS312S0044359</t>
        </is>
      </c>
      <c r="FF2498" s="18" t="inlineStr">
        <is>
          <t>MDN35025020203</t>
        </is>
      </c>
      <c r="FG2498" s="18" t="inlineStr">
        <is>
          <t>Zhong Thong</t>
        </is>
      </c>
      <c r="FH2498" s="18" t="inlineStr">
        <is>
          <t>Lck6122evg</t>
        </is>
      </c>
      <c r="FI2498" s="18" t="inlineStr">
        <is>
          <t>Zhong Thong</t>
        </is>
      </c>
      <c r="FJ2498" s="18" t="inlineStr">
        <is>
          <t>Lck6122evg</t>
        </is>
      </c>
      <c r="FK2498" s="18" t="n">
        <v>2026</v>
      </c>
      <c r="FL2498" s="18" t="inlineStr">
        <is>
          <t>B</t>
        </is>
      </c>
      <c r="FM2498" s="18" t="inlineStr">
        <is>
          <t>Ducaud</t>
        </is>
      </c>
      <c r="FP2498" t="inlineStr">
        <is>
          <t>B</t>
        </is>
      </c>
    </row>
    <row r="2499">
      <c r="FC2499" t="inlineStr">
        <is>
          <t>Diccionario 3</t>
        </is>
      </c>
      <c r="FD2499" s="17" t="inlineStr">
        <is>
          <t>VKFZ33</t>
        </is>
      </c>
      <c r="FE2499" s="17" t="inlineStr">
        <is>
          <t>LDYECS314S0044363</t>
        </is>
      </c>
      <c r="FF2499" s="18" t="inlineStr">
        <is>
          <t>MDN35025010121</t>
        </is>
      </c>
      <c r="FG2499" s="18" t="inlineStr">
        <is>
          <t>Zhong Thong</t>
        </is>
      </c>
      <c r="FH2499" s="18" t="inlineStr">
        <is>
          <t>Lck6122evg</t>
        </is>
      </c>
      <c r="FI2499" s="18" t="inlineStr">
        <is>
          <t>Zhong Thong</t>
        </is>
      </c>
      <c r="FJ2499" s="18" t="inlineStr">
        <is>
          <t>Lck6122evg</t>
        </is>
      </c>
      <c r="FK2499" s="18" t="n">
        <v>2026</v>
      </c>
      <c r="FL2499" s="18" t="inlineStr">
        <is>
          <t>B</t>
        </is>
      </c>
      <c r="FM2499" s="18" t="inlineStr">
        <is>
          <t>Ducaud</t>
        </is>
      </c>
      <c r="FP2499" t="inlineStr">
        <is>
          <t>B</t>
        </is>
      </c>
    </row>
    <row r="2500">
      <c r="FC2500" t="inlineStr">
        <is>
          <t>Diccionario 3</t>
        </is>
      </c>
      <c r="FD2500" s="17" t="inlineStr">
        <is>
          <t>VKFZ53</t>
        </is>
      </c>
      <c r="FE2500" s="17" t="inlineStr">
        <is>
          <t>LDYECS315S0044307</t>
        </is>
      </c>
      <c r="FF2500" s="18" t="inlineStr">
        <is>
          <t>MDN35025030028</t>
        </is>
      </c>
      <c r="FG2500" s="18" t="inlineStr">
        <is>
          <t>Zhong Thong</t>
        </is>
      </c>
      <c r="FH2500" s="18" t="inlineStr">
        <is>
          <t>Lck6122evg</t>
        </is>
      </c>
      <c r="FI2500" s="18" t="inlineStr">
        <is>
          <t>Zhong Thong</t>
        </is>
      </c>
      <c r="FJ2500" s="18" t="inlineStr">
        <is>
          <t>Lck6122evg</t>
        </is>
      </c>
      <c r="FK2500" s="18" t="n">
        <v>2026</v>
      </c>
      <c r="FL2500" s="18" t="inlineStr">
        <is>
          <t>B</t>
        </is>
      </c>
      <c r="FM2500" s="18" t="inlineStr">
        <is>
          <t>Ducaud</t>
        </is>
      </c>
      <c r="FP2500" t="inlineStr">
        <is>
          <t>B</t>
        </is>
      </c>
    </row>
    <row r="2501">
      <c r="FC2501" t="inlineStr">
        <is>
          <t>Diccionario 3</t>
        </is>
      </c>
      <c r="FD2501" s="17" t="inlineStr">
        <is>
          <t>VKFZ93</t>
        </is>
      </c>
      <c r="FE2501" s="17" t="inlineStr">
        <is>
          <t>LDYECS317S0044311</t>
        </is>
      </c>
      <c r="FF2501" s="18" t="inlineStr">
        <is>
          <t>MDN35025030043</t>
        </is>
      </c>
      <c r="FG2501" s="18" t="inlineStr">
        <is>
          <t>Zhong Thong</t>
        </is>
      </c>
      <c r="FH2501" s="18" t="inlineStr">
        <is>
          <t>Lck6122evg</t>
        </is>
      </c>
      <c r="FI2501" s="18" t="inlineStr">
        <is>
          <t>Zhong Thong</t>
        </is>
      </c>
      <c r="FJ2501" s="18" t="inlineStr">
        <is>
          <t>Lck6122evg</t>
        </is>
      </c>
      <c r="FK2501" s="18" t="n">
        <v>2026</v>
      </c>
      <c r="FL2501" s="18" t="inlineStr">
        <is>
          <t>B</t>
        </is>
      </c>
      <c r="FM2501" s="18" t="inlineStr">
        <is>
          <t>Ducaud</t>
        </is>
      </c>
      <c r="FP2501" t="inlineStr">
        <is>
          <t>B</t>
        </is>
      </c>
    </row>
    <row r="2502">
      <c r="FC2502" t="inlineStr">
        <is>
          <t>Diccionario 3</t>
        </is>
      </c>
      <c r="FD2502" s="17" t="inlineStr">
        <is>
          <t>VKGB43</t>
        </is>
      </c>
      <c r="FE2502" s="17" t="inlineStr">
        <is>
          <t>LDYECS31XS44318</t>
        </is>
      </c>
      <c r="FF2502" s="18" t="inlineStr">
        <is>
          <t>MDN35025010176</t>
        </is>
      </c>
      <c r="FG2502" s="18" t="inlineStr">
        <is>
          <t>Zhong Thong</t>
        </is>
      </c>
      <c r="FH2502" s="18" t="inlineStr">
        <is>
          <t>Lck6122evg</t>
        </is>
      </c>
      <c r="FI2502" s="18" t="inlineStr">
        <is>
          <t>Zhong Thong</t>
        </is>
      </c>
      <c r="FJ2502" s="18" t="inlineStr">
        <is>
          <t>Lck6122evg</t>
        </is>
      </c>
      <c r="FK2502" s="18" t="n">
        <v>2026</v>
      </c>
      <c r="FL2502" s="18" t="inlineStr">
        <is>
          <t>B</t>
        </is>
      </c>
      <c r="FM2502" s="18" t="inlineStr">
        <is>
          <t>Ducaud</t>
        </is>
      </c>
      <c r="FP2502" t="inlineStr">
        <is>
          <t>B</t>
        </is>
      </c>
    </row>
    <row r="2503">
      <c r="FC2503" t="inlineStr">
        <is>
          <t>Diccionario 3</t>
        </is>
      </c>
      <c r="FD2503" s="17" t="inlineStr">
        <is>
          <t>VKGB83</t>
        </is>
      </c>
      <c r="FE2503" s="17" t="inlineStr">
        <is>
          <t>LDYECS312S0044314</t>
        </is>
      </c>
      <c r="FF2503" s="18" t="inlineStr">
        <is>
          <t>MDN35025030094</t>
        </is>
      </c>
      <c r="FG2503" s="18" t="inlineStr">
        <is>
          <t>Zhong Thong</t>
        </is>
      </c>
      <c r="FH2503" s="18" t="inlineStr">
        <is>
          <t>Lck6122evg</t>
        </is>
      </c>
      <c r="FI2503" s="18" t="inlineStr">
        <is>
          <t>Zhong Thong</t>
        </is>
      </c>
      <c r="FJ2503" s="18" t="inlineStr">
        <is>
          <t>Lck6122evg</t>
        </is>
      </c>
      <c r="FK2503" s="18" t="n">
        <v>2026</v>
      </c>
      <c r="FL2503" s="18" t="inlineStr">
        <is>
          <t>B</t>
        </is>
      </c>
      <c r="FM2503" s="18" t="inlineStr">
        <is>
          <t>Ducaud</t>
        </is>
      </c>
      <c r="FP2503" t="inlineStr">
        <is>
          <t>B</t>
        </is>
      </c>
    </row>
    <row r="2504">
      <c r="FC2504" t="inlineStr">
        <is>
          <t>Diccionario 3</t>
        </is>
      </c>
      <c r="FD2504" s="17" t="inlineStr">
        <is>
          <t>VKGC23</t>
        </is>
      </c>
      <c r="FE2504" s="17" t="inlineStr">
        <is>
          <t>LDYECS319S0044391</t>
        </is>
      </c>
      <c r="FF2504" s="18" t="inlineStr">
        <is>
          <t>MDN35025010114</t>
        </is>
      </c>
      <c r="FG2504" s="18" t="inlineStr">
        <is>
          <t>Zhong Thong</t>
        </is>
      </c>
      <c r="FH2504" s="18" t="inlineStr">
        <is>
          <t>Lck6122evg</t>
        </is>
      </c>
      <c r="FI2504" s="18" t="inlineStr">
        <is>
          <t>Zhong Thong</t>
        </is>
      </c>
      <c r="FJ2504" s="18" t="inlineStr">
        <is>
          <t>Lck6122evg</t>
        </is>
      </c>
      <c r="FK2504" s="18" t="n">
        <v>2026</v>
      </c>
      <c r="FL2504" s="18" t="inlineStr">
        <is>
          <t>B</t>
        </is>
      </c>
      <c r="FM2504" s="18" t="inlineStr">
        <is>
          <t>Ducaud</t>
        </is>
      </c>
      <c r="FP2504" t="inlineStr">
        <is>
          <t>B</t>
        </is>
      </c>
    </row>
    <row r="2505">
      <c r="FC2505" t="inlineStr">
        <is>
          <t>Diccionario 3</t>
        </is>
      </c>
      <c r="FD2505" s="17" t="inlineStr">
        <is>
          <t>VKGC63</t>
        </is>
      </c>
      <c r="FE2505" s="17" t="inlineStr">
        <is>
          <t>LDYECS317S0044387</t>
        </is>
      </c>
      <c r="FF2505" s="18" t="inlineStr">
        <is>
          <t>MDN35025010083</t>
        </is>
      </c>
      <c r="FG2505" s="18" t="inlineStr">
        <is>
          <t>Zhong Thong</t>
        </is>
      </c>
      <c r="FH2505" s="18" t="inlineStr">
        <is>
          <t>Lck6122evg</t>
        </is>
      </c>
      <c r="FI2505" s="18" t="inlineStr">
        <is>
          <t>Zhong Thong</t>
        </is>
      </c>
      <c r="FJ2505" s="18" t="inlineStr">
        <is>
          <t>Lck6122evg</t>
        </is>
      </c>
      <c r="FK2505" s="18" t="n">
        <v>2026</v>
      </c>
      <c r="FL2505" s="18" t="inlineStr">
        <is>
          <t>B</t>
        </is>
      </c>
      <c r="FM2505" s="18" t="inlineStr">
        <is>
          <t>Ducaud</t>
        </is>
      </c>
      <c r="FP2505" t="inlineStr">
        <is>
          <t>B</t>
        </is>
      </c>
    </row>
    <row r="2506">
      <c r="FC2506" t="inlineStr">
        <is>
          <t>Diccionario 3</t>
        </is>
      </c>
      <c r="FD2506" s="17" t="inlineStr">
        <is>
          <t>VKGC73</t>
        </is>
      </c>
      <c r="FE2506" s="17" t="inlineStr">
        <is>
          <t>LDYECS314S0044315</t>
        </is>
      </c>
      <c r="FF2506" s="18" t="inlineStr">
        <is>
          <t>MDN35025010082</t>
        </is>
      </c>
      <c r="FG2506" s="18" t="inlineStr">
        <is>
          <t>Zhong Thong</t>
        </is>
      </c>
      <c r="FH2506" s="18" t="inlineStr">
        <is>
          <t>Lck6122evg</t>
        </is>
      </c>
      <c r="FI2506" s="18" t="inlineStr">
        <is>
          <t>Zhong Thong</t>
        </is>
      </c>
      <c r="FJ2506" s="18" t="inlineStr">
        <is>
          <t>Lck6122evg</t>
        </is>
      </c>
      <c r="FK2506" s="18" t="n">
        <v>2026</v>
      </c>
      <c r="FL2506" s="18" t="inlineStr">
        <is>
          <t>B</t>
        </is>
      </c>
      <c r="FM2506" s="18" t="inlineStr">
        <is>
          <t>Ducaud</t>
        </is>
      </c>
      <c r="FP2506" t="inlineStr">
        <is>
          <t>B</t>
        </is>
      </c>
    </row>
    <row r="2507">
      <c r="FC2507" t="inlineStr">
        <is>
          <t>Diccionario 3</t>
        </is>
      </c>
      <c r="FD2507" s="17" t="inlineStr">
        <is>
          <t>VKGD33</t>
        </is>
      </c>
      <c r="FE2507" s="17" t="inlineStr">
        <is>
          <t>LDYECS312S0044393</t>
        </is>
      </c>
      <c r="FF2507" s="18" t="inlineStr">
        <is>
          <t>MDN35025030149</t>
        </is>
      </c>
      <c r="FG2507" s="18" t="inlineStr">
        <is>
          <t>Zhong Thong</t>
        </is>
      </c>
      <c r="FH2507" s="18" t="inlineStr">
        <is>
          <t>Lck6122evg</t>
        </is>
      </c>
      <c r="FI2507" s="18" t="inlineStr">
        <is>
          <t>Zhong Thong</t>
        </is>
      </c>
      <c r="FJ2507" s="18" t="inlineStr">
        <is>
          <t>Lck6122evg</t>
        </is>
      </c>
      <c r="FK2507" s="18" t="n">
        <v>2026</v>
      </c>
      <c r="FL2507" s="18" t="inlineStr">
        <is>
          <t>B</t>
        </is>
      </c>
      <c r="FM2507" s="18" t="inlineStr">
        <is>
          <t>Ducaud</t>
        </is>
      </c>
      <c r="FP2507" t="inlineStr">
        <is>
          <t>B</t>
        </is>
      </c>
    </row>
    <row r="2508">
      <c r="FC2508" t="inlineStr">
        <is>
          <t>Diccionario 3</t>
        </is>
      </c>
      <c r="FD2508" s="17" t="inlineStr">
        <is>
          <t>VKGD43</t>
        </is>
      </c>
      <c r="FE2508" s="17" t="inlineStr">
        <is>
          <t>MDYECS315S0044386</t>
        </is>
      </c>
      <c r="FF2508" s="18" t="inlineStr">
        <is>
          <t>MDN35025010084</t>
        </is>
      </c>
      <c r="FG2508" s="18" t="inlineStr">
        <is>
          <t>Zhong Thong</t>
        </is>
      </c>
      <c r="FH2508" s="18" t="inlineStr">
        <is>
          <t>Lck6122evg</t>
        </is>
      </c>
      <c r="FI2508" s="18" t="inlineStr">
        <is>
          <t>Zhong Thong</t>
        </is>
      </c>
      <c r="FJ2508" s="18" t="inlineStr">
        <is>
          <t>Lck6122evg</t>
        </is>
      </c>
      <c r="FK2508" s="18" t="n">
        <v>2026</v>
      </c>
      <c r="FL2508" s="18" t="inlineStr">
        <is>
          <t>B</t>
        </is>
      </c>
      <c r="FM2508" s="18" t="inlineStr">
        <is>
          <t>Ducaud</t>
        </is>
      </c>
      <c r="FP2508" t="inlineStr">
        <is>
          <t>B</t>
        </is>
      </c>
    </row>
    <row r="2509">
      <c r="FC2509" t="inlineStr">
        <is>
          <t>Diccionario 3</t>
        </is>
      </c>
      <c r="FD2509" s="17" t="inlineStr">
        <is>
          <t>VKGF93</t>
        </is>
      </c>
      <c r="FE2509" s="17" t="inlineStr">
        <is>
          <t>LDYECS318S0044320</t>
        </is>
      </c>
      <c r="FF2509" s="18" t="inlineStr">
        <is>
          <t>MDN35025010160</t>
        </is>
      </c>
      <c r="FG2509" s="18" t="inlineStr">
        <is>
          <t>Zhong Thong</t>
        </is>
      </c>
      <c r="FH2509" s="18" t="inlineStr">
        <is>
          <t>Lck6122evg</t>
        </is>
      </c>
      <c r="FI2509" s="18" t="inlineStr">
        <is>
          <t>Zhong Thong</t>
        </is>
      </c>
      <c r="FJ2509" s="18" t="inlineStr">
        <is>
          <t>Lck6122evg</t>
        </is>
      </c>
      <c r="FK2509" s="18" t="n">
        <v>2026</v>
      </c>
      <c r="FL2509" s="18" t="inlineStr">
        <is>
          <t>B</t>
        </is>
      </c>
      <c r="FM2509" s="18" t="inlineStr">
        <is>
          <t>Ducaud</t>
        </is>
      </c>
      <c r="FP2509" t="inlineStr">
        <is>
          <t>B</t>
        </is>
      </c>
    </row>
    <row r="2510">
      <c r="FC2510" t="inlineStr">
        <is>
          <t>Diccionario 3</t>
        </is>
      </c>
      <c r="FD2510" s="17" t="inlineStr">
        <is>
          <t>VKGG13</t>
        </is>
      </c>
      <c r="FE2510" s="17" t="inlineStr">
        <is>
          <t>LDYECS316S0044395</t>
        </is>
      </c>
      <c r="FF2510" s="18" t="inlineStr">
        <is>
          <t>MDN35025010172</t>
        </is>
      </c>
      <c r="FG2510" s="18" t="inlineStr">
        <is>
          <t>Zhong Thong</t>
        </is>
      </c>
      <c r="FH2510" s="18" t="inlineStr">
        <is>
          <t>Lck6122evg</t>
        </is>
      </c>
      <c r="FI2510" s="18" t="inlineStr">
        <is>
          <t>Zhong Thong</t>
        </is>
      </c>
      <c r="FJ2510" s="18" t="inlineStr">
        <is>
          <t>Lck6122evg</t>
        </is>
      </c>
      <c r="FK2510" s="18" t="n">
        <v>2026</v>
      </c>
      <c r="FL2510" s="18" t="inlineStr">
        <is>
          <t>B</t>
        </is>
      </c>
      <c r="FM2510" s="18" t="inlineStr">
        <is>
          <t>Ducaud</t>
        </is>
      </c>
      <c r="FP2510" t="inlineStr">
        <is>
          <t>B</t>
        </is>
      </c>
    </row>
    <row r="2511">
      <c r="FC2511" t="inlineStr">
        <is>
          <t>Diccionario 3</t>
        </is>
      </c>
      <c r="FD2511" s="17" t="inlineStr">
        <is>
          <t>VKGG23</t>
        </is>
      </c>
      <c r="FE2511" s="17" t="inlineStr">
        <is>
          <t>LDYECS314S0044329</t>
        </is>
      </c>
      <c r="FF2511" s="18" t="inlineStr">
        <is>
          <t>MDN35025010145</t>
        </is>
      </c>
      <c r="FG2511" s="18" t="inlineStr">
        <is>
          <t>Zhong Thong</t>
        </is>
      </c>
      <c r="FH2511" s="18" t="inlineStr">
        <is>
          <t>Lck6122evg</t>
        </is>
      </c>
      <c r="FI2511" s="18" t="inlineStr">
        <is>
          <t>Zhong Thong</t>
        </is>
      </c>
      <c r="FJ2511" s="18" t="inlineStr">
        <is>
          <t>Lck6122evg</t>
        </is>
      </c>
      <c r="FK2511" s="18" t="n">
        <v>2026</v>
      </c>
      <c r="FL2511" s="18" t="inlineStr">
        <is>
          <t>B</t>
        </is>
      </c>
      <c r="FM2511" s="18" t="inlineStr">
        <is>
          <t>Ducaud</t>
        </is>
      </c>
      <c r="FP2511" t="inlineStr">
        <is>
          <t>B</t>
        </is>
      </c>
    </row>
    <row r="2512">
      <c r="FC2512" t="inlineStr">
        <is>
          <t>Diccionario 3</t>
        </is>
      </c>
      <c r="FD2512" s="17" t="inlineStr">
        <is>
          <t>VKGG33</t>
        </is>
      </c>
      <c r="FE2512" s="17" t="inlineStr">
        <is>
          <t>LDYECS319S0044326</t>
        </is>
      </c>
      <c r="FF2512" s="18" t="inlineStr">
        <is>
          <t>MDN35025030181</t>
        </is>
      </c>
      <c r="FG2512" s="18" t="inlineStr">
        <is>
          <t>Zhong Thong</t>
        </is>
      </c>
      <c r="FH2512" s="18" t="inlineStr">
        <is>
          <t>Lck6122evg</t>
        </is>
      </c>
      <c r="FI2512" s="18" t="inlineStr">
        <is>
          <t>Zhong Thong</t>
        </is>
      </c>
      <c r="FJ2512" s="18" t="inlineStr">
        <is>
          <t>Lck6122evg</t>
        </is>
      </c>
      <c r="FK2512" s="18" t="n">
        <v>2026</v>
      </c>
      <c r="FL2512" s="18" t="inlineStr">
        <is>
          <t>B</t>
        </is>
      </c>
      <c r="FM2512" s="18" t="inlineStr">
        <is>
          <t>Ducaud</t>
        </is>
      </c>
      <c r="FP2512" t="inlineStr">
        <is>
          <t>B</t>
        </is>
      </c>
    </row>
    <row r="2513">
      <c r="FC2513" t="inlineStr">
        <is>
          <t>Diccionario 3</t>
        </is>
      </c>
      <c r="FD2513" s="17" t="inlineStr">
        <is>
          <t>VKGG53</t>
        </is>
      </c>
      <c r="FE2513" s="17" t="inlineStr">
        <is>
          <t>LDYECS310S0044330</t>
        </is>
      </c>
      <c r="FF2513" s="18" t="inlineStr">
        <is>
          <t>MDN35025030253</t>
        </is>
      </c>
      <c r="FG2513" s="18" t="inlineStr">
        <is>
          <t>Zhong Thong</t>
        </is>
      </c>
      <c r="FH2513" s="18" t="inlineStr">
        <is>
          <t>Lck6122evg</t>
        </is>
      </c>
      <c r="FI2513" s="18" t="inlineStr">
        <is>
          <t>Zhong Thong</t>
        </is>
      </c>
      <c r="FJ2513" s="18" t="inlineStr">
        <is>
          <t>Lck6122evg</t>
        </is>
      </c>
      <c r="FK2513" s="18" t="n">
        <v>2026</v>
      </c>
      <c r="FL2513" s="18" t="inlineStr">
        <is>
          <t>B</t>
        </is>
      </c>
      <c r="FM2513" s="18" t="inlineStr">
        <is>
          <t>Ducaud</t>
        </is>
      </c>
      <c r="FP2513" t="inlineStr">
        <is>
          <t>B</t>
        </is>
      </c>
    </row>
    <row r="2514">
      <c r="FC2514" t="inlineStr">
        <is>
          <t>Diccionario 3</t>
        </is>
      </c>
      <c r="FD2514" s="17" t="inlineStr">
        <is>
          <t>VKGG73</t>
        </is>
      </c>
      <c r="FE2514" s="17" t="inlineStr">
        <is>
          <t>LDYECS319S0044410</t>
        </is>
      </c>
      <c r="FF2514" s="18" t="inlineStr">
        <is>
          <t>MDN35025030046</t>
        </is>
      </c>
      <c r="FG2514" s="18" t="inlineStr">
        <is>
          <t>Zhong Thong</t>
        </is>
      </c>
      <c r="FH2514" s="18" t="inlineStr">
        <is>
          <t>Lck6122evg</t>
        </is>
      </c>
      <c r="FI2514" s="18" t="inlineStr">
        <is>
          <t>Zhong Thong</t>
        </is>
      </c>
      <c r="FJ2514" s="18" t="inlineStr">
        <is>
          <t>Lck6122evg</t>
        </is>
      </c>
      <c r="FK2514" s="18" t="n">
        <v>2026</v>
      </c>
      <c r="FL2514" s="18" t="inlineStr">
        <is>
          <t>B</t>
        </is>
      </c>
      <c r="FM2514" s="18" t="inlineStr">
        <is>
          <t>Ducaud</t>
        </is>
      </c>
      <c r="FP2514" t="inlineStr">
        <is>
          <t>B</t>
        </is>
      </c>
    </row>
    <row r="2515">
      <c r="FC2515" t="inlineStr">
        <is>
          <t>Diccionario 3</t>
        </is>
      </c>
      <c r="FD2515" s="17" t="inlineStr">
        <is>
          <t>VKGG83</t>
        </is>
      </c>
      <c r="FE2515" s="17" t="inlineStr">
        <is>
          <t>LDYECS31XS0044397</t>
        </is>
      </c>
      <c r="FF2515" s="18" t="inlineStr">
        <is>
          <t>MDN35025030184</t>
        </is>
      </c>
      <c r="FG2515" s="18" t="inlineStr">
        <is>
          <t>Zhong Thong</t>
        </is>
      </c>
      <c r="FH2515" s="18" t="inlineStr">
        <is>
          <t>Lck6122evg</t>
        </is>
      </c>
      <c r="FI2515" s="18" t="inlineStr">
        <is>
          <t>Zhong Thong</t>
        </is>
      </c>
      <c r="FJ2515" s="18" t="inlineStr">
        <is>
          <t>Lck6122evg</t>
        </is>
      </c>
      <c r="FK2515" s="18" t="n">
        <v>2026</v>
      </c>
      <c r="FL2515" s="18" t="inlineStr">
        <is>
          <t>B</t>
        </is>
      </c>
      <c r="FM2515" s="18" t="inlineStr">
        <is>
          <t>Ducaud</t>
        </is>
      </c>
      <c r="FP2515" t="inlineStr">
        <is>
          <t>B</t>
        </is>
      </c>
    </row>
    <row r="2516">
      <c r="FC2516" t="inlineStr">
        <is>
          <t>Diccionario 3</t>
        </is>
      </c>
      <c r="FD2516" s="17" t="inlineStr">
        <is>
          <t>VKGG93</t>
        </is>
      </c>
      <c r="FE2516" s="17" t="inlineStr">
        <is>
          <t>LDYECS316S0044400</t>
        </is>
      </c>
      <c r="FF2516" s="18" t="inlineStr">
        <is>
          <t>MDN35025030146</t>
        </is>
      </c>
      <c r="FG2516" s="18" t="inlineStr">
        <is>
          <t>Zhong Thong</t>
        </is>
      </c>
      <c r="FH2516" s="18" t="inlineStr">
        <is>
          <t>Lck6122evg</t>
        </is>
      </c>
      <c r="FI2516" s="18" t="inlineStr">
        <is>
          <t>Zhong Thong</t>
        </is>
      </c>
      <c r="FJ2516" s="18" t="inlineStr">
        <is>
          <t>Lck6122evg</t>
        </is>
      </c>
      <c r="FK2516" s="18" t="n">
        <v>2026</v>
      </c>
      <c r="FL2516" s="18" t="inlineStr">
        <is>
          <t>B</t>
        </is>
      </c>
      <c r="FM2516" s="18" t="inlineStr">
        <is>
          <t>Ducaud</t>
        </is>
      </c>
      <c r="FP2516" t="inlineStr">
        <is>
          <t>B</t>
        </is>
      </c>
    </row>
    <row r="2517">
      <c r="FC2517" t="inlineStr">
        <is>
          <t>Diccionario 3</t>
        </is>
      </c>
      <c r="FD2517" s="17" t="inlineStr">
        <is>
          <t>VKGH13</t>
        </is>
      </c>
      <c r="FE2517" s="17" t="inlineStr">
        <is>
          <t>LDYECS311S0044336</t>
        </is>
      </c>
      <c r="FF2517" s="18" t="inlineStr">
        <is>
          <t>MDN35025030152</t>
        </is>
      </c>
      <c r="FG2517" s="18" t="inlineStr">
        <is>
          <t>Zhong Thong</t>
        </is>
      </c>
      <c r="FH2517" s="18" t="inlineStr">
        <is>
          <t>Lck6122evg</t>
        </is>
      </c>
      <c r="FI2517" s="18" t="inlineStr">
        <is>
          <t>Zhong Thong</t>
        </is>
      </c>
      <c r="FJ2517" s="18" t="inlineStr">
        <is>
          <t>Lck6122evg</t>
        </is>
      </c>
      <c r="FK2517" s="18" t="n">
        <v>2026</v>
      </c>
      <c r="FL2517" s="18" t="inlineStr">
        <is>
          <t>B</t>
        </is>
      </c>
      <c r="FM2517" s="18" t="inlineStr">
        <is>
          <t>Ducaud</t>
        </is>
      </c>
      <c r="FP2517" t="inlineStr">
        <is>
          <t>B</t>
        </is>
      </c>
    </row>
    <row r="2518">
      <c r="FC2518" t="inlineStr">
        <is>
          <t>Diccionario 3</t>
        </is>
      </c>
      <c r="FD2518" s="17" t="inlineStr">
        <is>
          <t>VKGH23</t>
        </is>
      </c>
      <c r="FE2518" s="17" t="inlineStr">
        <is>
          <t>LDYECS315S0044338</t>
        </is>
      </c>
      <c r="FF2518" s="18" t="inlineStr">
        <is>
          <t>MDN35025010150</t>
        </is>
      </c>
      <c r="FG2518" s="18" t="inlineStr">
        <is>
          <t>Zhong Thong</t>
        </is>
      </c>
      <c r="FH2518" s="18" t="inlineStr">
        <is>
          <t>Lck6122evg</t>
        </is>
      </c>
      <c r="FI2518" s="18" t="inlineStr">
        <is>
          <t>Zhong Thong</t>
        </is>
      </c>
      <c r="FJ2518" s="18" t="inlineStr">
        <is>
          <t>Lck6122evg</t>
        </is>
      </c>
      <c r="FK2518" s="18" t="n">
        <v>2026</v>
      </c>
      <c r="FL2518" s="18" t="inlineStr">
        <is>
          <t>B</t>
        </is>
      </c>
      <c r="FM2518" s="18" t="inlineStr">
        <is>
          <t>Ducaud</t>
        </is>
      </c>
      <c r="FP2518" t="inlineStr">
        <is>
          <t>B</t>
        </is>
      </c>
    </row>
    <row r="2519">
      <c r="FC2519" t="inlineStr">
        <is>
          <t>Diccionario 3</t>
        </is>
      </c>
      <c r="FD2519" s="17" t="inlineStr">
        <is>
          <t>VKGH33</t>
        </is>
      </c>
      <c r="FE2519" s="17" t="inlineStr">
        <is>
          <t>LDYECS311S0044403</t>
        </is>
      </c>
      <c r="FF2519" s="18" t="inlineStr">
        <is>
          <t>MDN35025030154</t>
        </is>
      </c>
      <c r="FG2519" s="18" t="inlineStr">
        <is>
          <t>Zhong Thong</t>
        </is>
      </c>
      <c r="FH2519" s="18" t="inlineStr">
        <is>
          <t>Lck6122evg</t>
        </is>
      </c>
      <c r="FI2519" s="18" t="inlineStr">
        <is>
          <t>Zhong Thong</t>
        </is>
      </c>
      <c r="FJ2519" s="18" t="inlineStr">
        <is>
          <t>Lck6122evg</t>
        </is>
      </c>
      <c r="FK2519" s="18" t="n">
        <v>2026</v>
      </c>
      <c r="FL2519" s="18" t="inlineStr">
        <is>
          <t>B</t>
        </is>
      </c>
      <c r="FM2519" s="18" t="inlineStr">
        <is>
          <t>Ducaud</t>
        </is>
      </c>
      <c r="FP2519" t="inlineStr">
        <is>
          <t>B</t>
        </is>
      </c>
    </row>
    <row r="2520">
      <c r="FC2520" t="inlineStr">
        <is>
          <t>Diccionario 3</t>
        </is>
      </c>
      <c r="FD2520" s="17" t="inlineStr">
        <is>
          <t>VKGL84</t>
        </is>
      </c>
      <c r="FE2520" s="17" t="inlineStr">
        <is>
          <t>LDYECS319S0044309</t>
        </is>
      </c>
      <c r="FF2520" s="18" t="inlineStr">
        <is>
          <t>MDN35025030008</t>
        </is>
      </c>
      <c r="FG2520" s="18" t="inlineStr">
        <is>
          <t>Zhong Thong</t>
        </is>
      </c>
      <c r="FH2520" s="18" t="inlineStr">
        <is>
          <t>Lck6122evg</t>
        </is>
      </c>
      <c r="FI2520" s="18" t="inlineStr">
        <is>
          <t>Zhong Thong</t>
        </is>
      </c>
      <c r="FJ2520" s="18" t="inlineStr">
        <is>
          <t>Lck6122evg</t>
        </is>
      </c>
      <c r="FK2520" s="18" t="n">
        <v>2026</v>
      </c>
      <c r="FL2520" s="18" t="inlineStr">
        <is>
          <t>B</t>
        </is>
      </c>
      <c r="FM2520" s="18" t="inlineStr">
        <is>
          <t>Ducaud</t>
        </is>
      </c>
      <c r="FP2520" t="inlineStr">
        <is>
          <t>B</t>
        </is>
      </c>
    </row>
    <row r="2521">
      <c r="FC2521" t="inlineStr">
        <is>
          <t>Diccionario 3</t>
        </is>
      </c>
      <c r="FD2521" s="17" t="inlineStr">
        <is>
          <t>VKGP35</t>
        </is>
      </c>
      <c r="FE2521" s="17" t="inlineStr">
        <is>
          <t>LDYECS31XS0044190</t>
        </is>
      </c>
      <c r="FF2521" s="18" t="inlineStr">
        <is>
          <t>MDN35025020179</t>
        </is>
      </c>
      <c r="FG2521" s="18" t="inlineStr">
        <is>
          <t>Zhong Thong</t>
        </is>
      </c>
      <c r="FH2521" s="18" t="inlineStr">
        <is>
          <t>Lck6122evg</t>
        </is>
      </c>
      <c r="FI2521" s="18" t="inlineStr">
        <is>
          <t>Zhong Thong</t>
        </is>
      </c>
      <c r="FJ2521" s="18" t="inlineStr">
        <is>
          <t>Lck6122evg</t>
        </is>
      </c>
      <c r="FK2521" s="18" t="n">
        <v>2026</v>
      </c>
      <c r="FL2521" s="18" t="inlineStr">
        <is>
          <t>B</t>
        </is>
      </c>
      <c r="FM2521" s="18" t="inlineStr">
        <is>
          <t>Ducaud</t>
        </is>
      </c>
      <c r="FP2521" t="inlineStr">
        <is>
          <t>B</t>
        </is>
      </c>
    </row>
    <row r="2522">
      <c r="FC2522" t="inlineStr">
        <is>
          <t>Diccionario 3</t>
        </is>
      </c>
      <c r="FD2522" s="17" t="inlineStr">
        <is>
          <t>VKGP45</t>
        </is>
      </c>
      <c r="FE2522" s="17" t="inlineStr">
        <is>
          <t>LDYECS312S0044264</t>
        </is>
      </c>
      <c r="FF2522" s="18" t="inlineStr">
        <is>
          <t>MDN35025030090</t>
        </is>
      </c>
      <c r="FG2522" s="18" t="inlineStr">
        <is>
          <t>Zhong Thong</t>
        </is>
      </c>
      <c r="FH2522" s="18" t="inlineStr">
        <is>
          <t>Lck6122evg</t>
        </is>
      </c>
      <c r="FI2522" s="18" t="inlineStr">
        <is>
          <t>Zhong Thong</t>
        </is>
      </c>
      <c r="FJ2522" s="18" t="inlineStr">
        <is>
          <t>Lck6122evg</t>
        </is>
      </c>
      <c r="FK2522" s="18" t="n">
        <v>2026</v>
      </c>
      <c r="FL2522" s="18" t="inlineStr">
        <is>
          <t>B</t>
        </is>
      </c>
      <c r="FM2522" s="18" t="inlineStr">
        <is>
          <t>Ducaud</t>
        </is>
      </c>
      <c r="FP2522" t="inlineStr">
        <is>
          <t>B</t>
        </is>
      </c>
    </row>
    <row r="2523">
      <c r="FC2523" t="inlineStr">
        <is>
          <t>Diccionario 3</t>
        </is>
      </c>
      <c r="FD2523" s="17" t="inlineStr">
        <is>
          <t>VKGP55</t>
        </is>
      </c>
      <c r="FE2523" s="17" t="inlineStr">
        <is>
          <t>LDYECS315S0044355</t>
        </is>
      </c>
      <c r="FF2523" s="18" t="inlineStr">
        <is>
          <t>MDN35025010086</t>
        </is>
      </c>
      <c r="FG2523" s="18" t="inlineStr">
        <is>
          <t>Zhong Thong</t>
        </is>
      </c>
      <c r="FH2523" s="18" t="inlineStr">
        <is>
          <t>Lck6122evg</t>
        </is>
      </c>
      <c r="FI2523" s="18" t="inlineStr">
        <is>
          <t>Zhong Thong</t>
        </is>
      </c>
      <c r="FJ2523" s="18" t="inlineStr">
        <is>
          <t>Lck6122evg</t>
        </is>
      </c>
      <c r="FK2523" s="18" t="n">
        <v>2026</v>
      </c>
      <c r="FL2523" s="18" t="inlineStr">
        <is>
          <t>B</t>
        </is>
      </c>
      <c r="FM2523" s="18" t="inlineStr">
        <is>
          <t>Ducaud</t>
        </is>
      </c>
      <c r="FP2523" t="inlineStr">
        <is>
          <t>B</t>
        </is>
      </c>
    </row>
    <row r="2524">
      <c r="FC2524" t="inlineStr">
        <is>
          <t>Diccionario 3</t>
        </is>
      </c>
      <c r="FD2524" s="17" t="inlineStr">
        <is>
          <t>VKGP75</t>
        </is>
      </c>
      <c r="FE2524" s="17" t="inlineStr">
        <is>
          <t>LDYECS311S0044367</t>
        </is>
      </c>
      <c r="FF2524" s="18" t="inlineStr">
        <is>
          <t>MDN35025010046</t>
        </is>
      </c>
      <c r="FG2524" s="18" t="inlineStr">
        <is>
          <t>Zhong Thong</t>
        </is>
      </c>
      <c r="FH2524" s="18" t="inlineStr">
        <is>
          <t>Lck6122evg</t>
        </is>
      </c>
      <c r="FI2524" s="18" t="inlineStr">
        <is>
          <t>Zhong Thong</t>
        </is>
      </c>
      <c r="FJ2524" s="18" t="inlineStr">
        <is>
          <t>Lck6122evg</t>
        </is>
      </c>
      <c r="FK2524" s="18" t="n">
        <v>2026</v>
      </c>
      <c r="FL2524" s="18" t="inlineStr">
        <is>
          <t>B</t>
        </is>
      </c>
      <c r="FM2524" s="18" t="inlineStr">
        <is>
          <t>Ducaud</t>
        </is>
      </c>
      <c r="FP2524" t="inlineStr">
        <is>
          <t>B</t>
        </is>
      </c>
    </row>
    <row r="2525">
      <c r="FC2525" t="inlineStr">
        <is>
          <t>Diccionario 3</t>
        </is>
      </c>
      <c r="FD2525" s="17" t="inlineStr">
        <is>
          <t>VLBP23</t>
        </is>
      </c>
      <c r="FE2525" s="17" t="inlineStr">
        <is>
          <t>LDYECS311S0045762</t>
        </is>
      </c>
      <c r="FF2525" s="18" t="inlineStr">
        <is>
          <t>MDN35025030168</t>
        </is>
      </c>
      <c r="FG2525" s="18" t="inlineStr">
        <is>
          <t>Zhong Thong</t>
        </is>
      </c>
      <c r="FH2525" s="18" t="inlineStr">
        <is>
          <t>Lck6122evg</t>
        </is>
      </c>
      <c r="FI2525" s="18" t="inlineStr">
        <is>
          <t>Zhong Thong</t>
        </is>
      </c>
      <c r="FJ2525" s="18" t="inlineStr">
        <is>
          <t>Lck6122evg</t>
        </is>
      </c>
      <c r="FK2525" s="18" t="n">
        <v>2026</v>
      </c>
      <c r="FL2525" s="18" t="inlineStr">
        <is>
          <t>B</t>
        </is>
      </c>
      <c r="FM2525" s="18" t="inlineStr">
        <is>
          <t>Ducaud</t>
        </is>
      </c>
      <c r="FP2525" t="inlineStr">
        <is>
          <t>B</t>
        </is>
      </c>
    </row>
    <row r="2526">
      <c r="FC2526" t="inlineStr">
        <is>
          <t>Diccionario 3</t>
        </is>
      </c>
      <c r="FD2526" s="17" t="inlineStr">
        <is>
          <t>VLBP73</t>
        </is>
      </c>
      <c r="FE2526" s="17" t="inlineStr">
        <is>
          <t>LDYECS318S0045760</t>
        </is>
      </c>
      <c r="FF2526" s="18" t="inlineStr">
        <is>
          <t>MDN35025030276</t>
        </is>
      </c>
      <c r="FG2526" s="18" t="inlineStr">
        <is>
          <t>Zhong Thong</t>
        </is>
      </c>
      <c r="FH2526" s="18" t="inlineStr">
        <is>
          <t>Lck6122evg</t>
        </is>
      </c>
      <c r="FI2526" s="18" t="inlineStr">
        <is>
          <t>Zhong Thong</t>
        </is>
      </c>
      <c r="FJ2526" s="18" t="inlineStr">
        <is>
          <t>Lck6122evg</t>
        </is>
      </c>
      <c r="FK2526" s="18" t="n">
        <v>2026</v>
      </c>
      <c r="FL2526" s="18" t="inlineStr">
        <is>
          <t>B</t>
        </is>
      </c>
      <c r="FM2526" s="18" t="inlineStr">
        <is>
          <t>Ducaud</t>
        </is>
      </c>
      <c r="FP2526" t="inlineStr">
        <is>
          <t>B</t>
        </is>
      </c>
    </row>
    <row r="2527">
      <c r="FC2527" t="inlineStr">
        <is>
          <t>Diccionario 3</t>
        </is>
      </c>
      <c r="FD2527" s="17" t="inlineStr">
        <is>
          <t>VLBZ78</t>
        </is>
      </c>
      <c r="FE2527" s="17" t="inlineStr">
        <is>
          <t>LDYECS313S0045763</t>
        </is>
      </c>
      <c r="FF2527" s="18" t="inlineStr">
        <is>
          <t>MDN35025030156</t>
        </is>
      </c>
      <c r="FG2527" s="18" t="inlineStr">
        <is>
          <t>Zhong Thong</t>
        </is>
      </c>
      <c r="FH2527" s="18" t="inlineStr">
        <is>
          <t>Lck6122evg</t>
        </is>
      </c>
      <c r="FI2527" s="18" t="inlineStr">
        <is>
          <t>Zhong Thong</t>
        </is>
      </c>
      <c r="FJ2527" s="18" t="inlineStr">
        <is>
          <t>Lck6122evg</t>
        </is>
      </c>
      <c r="FK2527" s="18" t="n">
        <v>2026</v>
      </c>
      <c r="FL2527" s="18" t="inlineStr">
        <is>
          <t>B</t>
        </is>
      </c>
      <c r="FM2527" s="18" t="inlineStr">
        <is>
          <t>Ducaud</t>
        </is>
      </c>
      <c r="FP2527" t="inlineStr">
        <is>
          <t>B</t>
        </is>
      </c>
    </row>
    <row r="2528">
      <c r="FC2528" t="inlineStr">
        <is>
          <t>Diccionario 3</t>
        </is>
      </c>
      <c r="FD2528" s="17" t="inlineStr">
        <is>
          <t>VLBZ96</t>
        </is>
      </c>
      <c r="FE2528" s="17" t="inlineStr">
        <is>
          <t>LDYECS314S0044394</t>
        </is>
      </c>
      <c r="FF2528" s="18" t="inlineStr">
        <is>
          <t>MDN35025030249</t>
        </is>
      </c>
      <c r="FG2528" s="18" t="inlineStr">
        <is>
          <t>Zhong Thong</t>
        </is>
      </c>
      <c r="FH2528" s="18" t="inlineStr">
        <is>
          <t>Lck6122evg</t>
        </is>
      </c>
      <c r="FI2528" s="18" t="inlineStr">
        <is>
          <t>Zhong Thong</t>
        </is>
      </c>
      <c r="FJ2528" s="18" t="inlineStr">
        <is>
          <t>Lck6122evg</t>
        </is>
      </c>
      <c r="FK2528" s="18" t="n">
        <v>2026</v>
      </c>
      <c r="FL2528" s="18" t="inlineStr">
        <is>
          <t>B</t>
        </is>
      </c>
      <c r="FM2528" s="18" t="inlineStr">
        <is>
          <t>Ducaud</t>
        </is>
      </c>
      <c r="FP2528" t="inlineStr">
        <is>
          <t>B</t>
        </is>
      </c>
    </row>
    <row r="2529">
      <c r="FC2529" t="inlineStr">
        <is>
          <t>Diccionario 3</t>
        </is>
      </c>
      <c r="FD2529" s="17" t="inlineStr">
        <is>
          <t>VLCB26</t>
        </is>
      </c>
      <c r="FE2529" s="17" t="inlineStr">
        <is>
          <t>LDYECS315S0044257</t>
        </is>
      </c>
      <c r="FF2529" s="18" t="inlineStr">
        <is>
          <t>MDN35025020147</t>
        </is>
      </c>
      <c r="FG2529" s="18" t="inlineStr">
        <is>
          <t>Zhong Thong</t>
        </is>
      </c>
      <c r="FH2529" s="18" t="inlineStr">
        <is>
          <t>Lck6122evg</t>
        </is>
      </c>
      <c r="FI2529" s="18" t="inlineStr">
        <is>
          <t>Zhong Thong</t>
        </is>
      </c>
      <c r="FJ2529" s="18" t="inlineStr">
        <is>
          <t>Lck6122evg</t>
        </is>
      </c>
      <c r="FK2529" s="18" t="n">
        <v>2026</v>
      </c>
      <c r="FL2529" s="18" t="inlineStr">
        <is>
          <t>B</t>
        </is>
      </c>
      <c r="FM2529" s="18" t="inlineStr">
        <is>
          <t>Ducaud</t>
        </is>
      </c>
      <c r="FP2529" t="inlineStr">
        <is>
          <t>B</t>
        </is>
      </c>
    </row>
    <row r="2530">
      <c r="FC2530" t="inlineStr">
        <is>
          <t>Diccionario 3</t>
        </is>
      </c>
      <c r="FD2530" s="17" t="inlineStr">
        <is>
          <t>VLCB56</t>
        </is>
      </c>
      <c r="FE2530" s="17" t="inlineStr">
        <is>
          <t>LDYECS31XS0045758</t>
        </is>
      </c>
      <c r="FF2530" s="18" t="inlineStr">
        <is>
          <t>MDN35025030172</t>
        </is>
      </c>
      <c r="FG2530" s="18" t="inlineStr">
        <is>
          <t>Zhong Thong</t>
        </is>
      </c>
      <c r="FH2530" s="18" t="inlineStr">
        <is>
          <t>Lck6122evg</t>
        </is>
      </c>
      <c r="FI2530" s="18" t="inlineStr">
        <is>
          <t>Zhong Thong</t>
        </is>
      </c>
      <c r="FJ2530" s="18" t="inlineStr">
        <is>
          <t>Lck6122evg</t>
        </is>
      </c>
      <c r="FK2530" s="18" t="n">
        <v>2026</v>
      </c>
      <c r="FL2530" s="18" t="inlineStr">
        <is>
          <t>B</t>
        </is>
      </c>
      <c r="FM2530" s="18" t="inlineStr">
        <is>
          <t>Ducaud</t>
        </is>
      </c>
      <c r="FP2530" t="inlineStr">
        <is>
          <t>B</t>
        </is>
      </c>
    </row>
    <row r="2531">
      <c r="FC2531" t="inlineStr">
        <is>
          <t>Diccionario 3</t>
        </is>
      </c>
      <c r="FD2531" s="17" t="inlineStr">
        <is>
          <t>VLCC16</t>
        </is>
      </c>
      <c r="FE2531" s="17" t="inlineStr">
        <is>
          <t>LDYECS311S0045857</t>
        </is>
      </c>
      <c r="FF2531" s="18" t="inlineStr">
        <is>
          <t>MDN35025030292</t>
        </is>
      </c>
      <c r="FG2531" s="18" t="inlineStr">
        <is>
          <t>Zhong Thong</t>
        </is>
      </c>
      <c r="FH2531" s="18" t="inlineStr">
        <is>
          <t>Lck6122evg</t>
        </is>
      </c>
      <c r="FI2531" s="18" t="inlineStr">
        <is>
          <t>Zhong Thong</t>
        </is>
      </c>
      <c r="FJ2531" s="18" t="inlineStr">
        <is>
          <t>Lck6122evg</t>
        </is>
      </c>
      <c r="FK2531" s="18" t="n">
        <v>2026</v>
      </c>
      <c r="FL2531" s="18" t="inlineStr">
        <is>
          <t>B</t>
        </is>
      </c>
      <c r="FM2531" s="18" t="inlineStr">
        <is>
          <t>Ducaud</t>
        </is>
      </c>
      <c r="FP2531" t="inlineStr">
        <is>
          <t>B</t>
        </is>
      </c>
    </row>
    <row r="2532">
      <c r="FC2532" t="inlineStr">
        <is>
          <t>Diccionario 3</t>
        </is>
      </c>
      <c r="FD2532" s="17" t="inlineStr">
        <is>
          <t>VLCC36</t>
        </is>
      </c>
      <c r="FE2532" s="17" t="inlineStr">
        <is>
          <t>LDYECS315S0045764</t>
        </is>
      </c>
      <c r="FF2532" s="18" t="inlineStr">
        <is>
          <t>MDN35025030157</t>
        </is>
      </c>
      <c r="FG2532" s="18" t="inlineStr">
        <is>
          <t>Zhong Thong</t>
        </is>
      </c>
      <c r="FH2532" s="18" t="inlineStr">
        <is>
          <t>Lck6122evg</t>
        </is>
      </c>
      <c r="FI2532" s="18" t="inlineStr">
        <is>
          <t>Zhong Thong</t>
        </is>
      </c>
      <c r="FJ2532" s="18" t="inlineStr">
        <is>
          <t>Lck6122evg</t>
        </is>
      </c>
      <c r="FK2532" s="18" t="n">
        <v>2026</v>
      </c>
      <c r="FL2532" s="18" t="inlineStr">
        <is>
          <t>B</t>
        </is>
      </c>
      <c r="FM2532" s="18" t="inlineStr">
        <is>
          <t>Ducaud</t>
        </is>
      </c>
      <c r="FP2532" t="inlineStr">
        <is>
          <t>B</t>
        </is>
      </c>
    </row>
    <row r="2533">
      <c r="FC2533" t="inlineStr">
        <is>
          <t>Diccionario 3</t>
        </is>
      </c>
      <c r="FD2533" s="17" t="inlineStr">
        <is>
          <t>VLCD56</t>
        </is>
      </c>
      <c r="FE2533" s="17" t="inlineStr">
        <is>
          <t>LDYECS315S0045862</t>
        </is>
      </c>
      <c r="FF2533" s="18" t="inlineStr">
        <is>
          <t>MDN35025030216</t>
        </is>
      </c>
      <c r="FG2533" s="18" t="inlineStr">
        <is>
          <t>Zhong Thong</t>
        </is>
      </c>
      <c r="FH2533" s="18" t="inlineStr">
        <is>
          <t>Lck6122evg</t>
        </is>
      </c>
      <c r="FI2533" s="18" t="inlineStr">
        <is>
          <t>Zhong Thong</t>
        </is>
      </c>
      <c r="FJ2533" s="18" t="inlineStr">
        <is>
          <t>Lck6122evg</t>
        </is>
      </c>
      <c r="FK2533" s="18" t="n">
        <v>2026</v>
      </c>
      <c r="FL2533" s="18" t="inlineStr">
        <is>
          <t>B</t>
        </is>
      </c>
      <c r="FM2533" s="18" t="inlineStr">
        <is>
          <t>Ducaud</t>
        </is>
      </c>
      <c r="FP2533" t="inlineStr">
        <is>
          <t>B</t>
        </is>
      </c>
    </row>
    <row r="2534">
      <c r="FC2534" t="inlineStr">
        <is>
          <t>Diccionario 3</t>
        </is>
      </c>
      <c r="FD2534" s="17" t="inlineStr">
        <is>
          <t>VLCD65</t>
        </is>
      </c>
      <c r="FE2534" s="17" t="inlineStr">
        <is>
          <t>LDYECS318S0044155</t>
        </is>
      </c>
      <c r="FF2534" s="18" t="inlineStr">
        <is>
          <t>MDN35025020268</t>
        </is>
      </c>
      <c r="FG2534" s="18" t="inlineStr">
        <is>
          <t>Zhong Thong</t>
        </is>
      </c>
      <c r="FH2534" s="18" t="inlineStr">
        <is>
          <t>Lck6122evg</t>
        </is>
      </c>
      <c r="FI2534" s="18" t="inlineStr">
        <is>
          <t>Zhong Thong</t>
        </is>
      </c>
      <c r="FJ2534" s="18" t="inlineStr">
        <is>
          <t>Lck6122evg</t>
        </is>
      </c>
      <c r="FK2534" s="18" t="n">
        <v>2026</v>
      </c>
      <c r="FL2534" s="18" t="inlineStr">
        <is>
          <t>B</t>
        </is>
      </c>
      <c r="FM2534" s="18" t="inlineStr">
        <is>
          <t>Ducaud</t>
        </is>
      </c>
      <c r="FP2534" t="inlineStr">
        <is>
          <t>B</t>
        </is>
      </c>
    </row>
    <row r="2535">
      <c r="FC2535" t="inlineStr">
        <is>
          <t>Diccionario 3</t>
        </is>
      </c>
      <c r="FD2535" s="17" t="inlineStr">
        <is>
          <t>VLCF18</t>
        </is>
      </c>
      <c r="FE2535" s="17" t="inlineStr">
        <is>
          <t>LDYECS315S0045781</t>
        </is>
      </c>
      <c r="FF2535" s="18" t="inlineStr">
        <is>
          <t>MDN35025030229</t>
        </is>
      </c>
      <c r="FG2535" s="18" t="inlineStr">
        <is>
          <t>Zhong Thong</t>
        </is>
      </c>
      <c r="FH2535" s="18" t="inlineStr">
        <is>
          <t>Lck6122evg</t>
        </is>
      </c>
      <c r="FI2535" s="18" t="inlineStr">
        <is>
          <t>Zhong Thong</t>
        </is>
      </c>
      <c r="FJ2535" s="18" t="inlineStr">
        <is>
          <t>Lck6122evg</t>
        </is>
      </c>
      <c r="FK2535" s="18" t="n">
        <v>2026</v>
      </c>
      <c r="FL2535" s="18" t="inlineStr">
        <is>
          <t>B</t>
        </is>
      </c>
      <c r="FM2535" s="18" t="inlineStr">
        <is>
          <t>Ducaud</t>
        </is>
      </c>
      <c r="FP2535" t="inlineStr">
        <is>
          <t>B</t>
        </is>
      </c>
    </row>
    <row r="2536">
      <c r="FC2536" t="inlineStr">
        <is>
          <t>Diccionario 3</t>
        </is>
      </c>
      <c r="FD2536" s="17" t="inlineStr">
        <is>
          <t>VLCF76</t>
        </is>
      </c>
      <c r="FE2536" s="17" t="inlineStr">
        <is>
          <t>LDYECS317S0045765</t>
        </is>
      </c>
      <c r="FF2536" s="18" t="inlineStr">
        <is>
          <t>MDN35025030272</t>
        </is>
      </c>
      <c r="FG2536" s="18" t="inlineStr">
        <is>
          <t>Zhong Thong</t>
        </is>
      </c>
      <c r="FH2536" s="18" t="inlineStr">
        <is>
          <t>Lck6122evg</t>
        </is>
      </c>
      <c r="FI2536" s="18" t="inlineStr">
        <is>
          <t>Zhong Thong</t>
        </is>
      </c>
      <c r="FJ2536" s="18" t="inlineStr">
        <is>
          <t>Lck6122evg</t>
        </is>
      </c>
      <c r="FK2536" s="18" t="n">
        <v>2026</v>
      </c>
      <c r="FL2536" s="18" t="inlineStr">
        <is>
          <t>B</t>
        </is>
      </c>
      <c r="FM2536" s="18" t="inlineStr">
        <is>
          <t>Ducaud</t>
        </is>
      </c>
      <c r="FP2536" t="inlineStr">
        <is>
          <t>B</t>
        </is>
      </c>
    </row>
    <row r="2537">
      <c r="FC2537" t="inlineStr">
        <is>
          <t>Diccionario 3</t>
        </is>
      </c>
      <c r="FD2537" s="17" t="inlineStr">
        <is>
          <t>VLCG67</t>
        </is>
      </c>
      <c r="FE2537" s="17" t="inlineStr">
        <is>
          <t>LDYECS319S0045752</t>
        </is>
      </c>
      <c r="FF2537" s="18" t="inlineStr">
        <is>
          <t>MDN35025030131</t>
        </is>
      </c>
      <c r="FG2537" s="18" t="inlineStr">
        <is>
          <t>Zhong Thong</t>
        </is>
      </c>
      <c r="FH2537" s="18" t="inlineStr">
        <is>
          <t>Lck6122evg</t>
        </is>
      </c>
      <c r="FI2537" s="18" t="inlineStr">
        <is>
          <t>Zhong Thong</t>
        </is>
      </c>
      <c r="FJ2537" s="18" t="inlineStr">
        <is>
          <t>Lck6122evg</t>
        </is>
      </c>
      <c r="FK2537" s="18" t="n">
        <v>2026</v>
      </c>
      <c r="FL2537" s="18" t="inlineStr">
        <is>
          <t>B</t>
        </is>
      </c>
      <c r="FM2537" s="18" t="inlineStr">
        <is>
          <t>Ducaud</t>
        </is>
      </c>
      <c r="FP2537" t="inlineStr">
        <is>
          <t>B</t>
        </is>
      </c>
    </row>
    <row r="2538">
      <c r="FC2538" t="inlineStr">
        <is>
          <t>Diccionario 3</t>
        </is>
      </c>
      <c r="FD2538" s="17" t="inlineStr">
        <is>
          <t>VLCK37</t>
        </is>
      </c>
      <c r="FE2538" s="17" t="inlineStr">
        <is>
          <t>LDYECS313S0045861</t>
        </is>
      </c>
      <c r="FF2538" s="18" t="inlineStr">
        <is>
          <t>MDN35025030174</t>
        </is>
      </c>
      <c r="FG2538" s="18" t="inlineStr">
        <is>
          <t>Zhong Thong</t>
        </is>
      </c>
      <c r="FH2538" s="18" t="inlineStr">
        <is>
          <t>Lck6122evg</t>
        </is>
      </c>
      <c r="FI2538" s="18" t="inlineStr">
        <is>
          <t>Zhong Thong</t>
        </is>
      </c>
      <c r="FJ2538" s="18" t="inlineStr">
        <is>
          <t>Lck6122evg</t>
        </is>
      </c>
      <c r="FK2538" s="18" t="n">
        <v>2026</v>
      </c>
      <c r="FL2538" s="18" t="inlineStr">
        <is>
          <t>B</t>
        </is>
      </c>
      <c r="FM2538" s="18" t="inlineStr">
        <is>
          <t>Ducaud</t>
        </is>
      </c>
      <c r="FP2538" t="inlineStr">
        <is>
          <t>B</t>
        </is>
      </c>
    </row>
    <row r="2539">
      <c r="FC2539" t="inlineStr">
        <is>
          <t>Diccionario 3</t>
        </is>
      </c>
      <c r="FD2539" s="17" t="inlineStr">
        <is>
          <t>VLCK77</t>
        </is>
      </c>
      <c r="FE2539" s="17" t="inlineStr">
        <is>
          <t>LDYECS316S0045773</t>
        </is>
      </c>
      <c r="FF2539" s="18" t="inlineStr">
        <is>
          <t>MDN35025030170</t>
        </is>
      </c>
      <c r="FG2539" s="18" t="inlineStr">
        <is>
          <t>Zhong Thong</t>
        </is>
      </c>
      <c r="FH2539" s="18" t="inlineStr">
        <is>
          <t>Lck6122evg</t>
        </is>
      </c>
      <c r="FI2539" s="18" t="inlineStr">
        <is>
          <t>Zhong Thong</t>
        </is>
      </c>
      <c r="FJ2539" s="18" t="inlineStr">
        <is>
          <t>Lck6122evg</t>
        </is>
      </c>
      <c r="FK2539" s="18" t="n">
        <v>2026</v>
      </c>
      <c r="FL2539" s="18" t="inlineStr">
        <is>
          <t>B</t>
        </is>
      </c>
      <c r="FM2539" s="18" t="inlineStr">
        <is>
          <t>Ducaud</t>
        </is>
      </c>
      <c r="FP2539" t="inlineStr">
        <is>
          <t>B</t>
        </is>
      </c>
    </row>
    <row r="2540">
      <c r="FC2540" t="inlineStr">
        <is>
          <t>Diccionario 3</t>
        </is>
      </c>
      <c r="FD2540" s="17" t="inlineStr">
        <is>
          <t>VLFG56</t>
        </is>
      </c>
      <c r="FE2540" s="17" t="inlineStr">
        <is>
          <t>LDYECS312S0045771</t>
        </is>
      </c>
      <c r="FF2540" s="18" t="inlineStr">
        <is>
          <t>MDN35025030182</t>
        </is>
      </c>
      <c r="FG2540" s="18" t="inlineStr">
        <is>
          <t>Zhong Thong</t>
        </is>
      </c>
      <c r="FH2540" s="18" t="inlineStr">
        <is>
          <t>Lck6122evg</t>
        </is>
      </c>
      <c r="FI2540" s="18" t="inlineStr">
        <is>
          <t>Zhong Thong</t>
        </is>
      </c>
      <c r="FJ2540" s="18" t="inlineStr">
        <is>
          <t>Lck6122evg</t>
        </is>
      </c>
      <c r="FK2540" s="18" t="n">
        <v>2026</v>
      </c>
      <c r="FL2540" s="18" t="inlineStr">
        <is>
          <t>B</t>
        </is>
      </c>
      <c r="FM2540" s="18" t="inlineStr">
        <is>
          <t>Ducaud</t>
        </is>
      </c>
      <c r="FP2540" t="inlineStr">
        <is>
          <t>B</t>
        </is>
      </c>
    </row>
    <row r="2541">
      <c r="FC2541" t="inlineStr">
        <is>
          <t>Diccionario 3</t>
        </is>
      </c>
      <c r="FD2541" s="17" t="inlineStr">
        <is>
          <t>VLFG69</t>
        </is>
      </c>
      <c r="FE2541" s="17" t="inlineStr">
        <is>
          <t>LDYECS314S0045870</t>
        </is>
      </c>
      <c r="FF2541" s="18" t="inlineStr">
        <is>
          <t>MDN35025030202</t>
        </is>
      </c>
      <c r="FG2541" s="18" t="inlineStr">
        <is>
          <t>Zhong Thong</t>
        </is>
      </c>
      <c r="FH2541" s="18" t="inlineStr">
        <is>
          <t>Lck6122evg</t>
        </is>
      </c>
      <c r="FI2541" s="18" t="inlineStr">
        <is>
          <t>Zhong Thong</t>
        </is>
      </c>
      <c r="FJ2541" s="18" t="inlineStr">
        <is>
          <t>Lck6122evg</t>
        </is>
      </c>
      <c r="FK2541" s="18" t="n">
        <v>2026</v>
      </c>
      <c r="FL2541" s="18" t="inlineStr">
        <is>
          <t>B</t>
        </is>
      </c>
      <c r="FM2541" s="18" t="inlineStr">
        <is>
          <t>Ducaud</t>
        </is>
      </c>
      <c r="FP2541" t="inlineStr">
        <is>
          <t>B</t>
        </is>
      </c>
    </row>
    <row r="2542">
      <c r="FC2542" t="inlineStr">
        <is>
          <t>Diccionario 3</t>
        </is>
      </c>
      <c r="FD2542" s="17" t="inlineStr">
        <is>
          <t>VLFG78</t>
        </is>
      </c>
      <c r="FE2542" s="17" t="inlineStr">
        <is>
          <t>LDYECS312S0045866</t>
        </is>
      </c>
      <c r="FF2542" s="18" t="inlineStr">
        <is>
          <t>MDN35025030296</t>
        </is>
      </c>
      <c r="FG2542" s="18" t="inlineStr">
        <is>
          <t>Zhong Thong</t>
        </is>
      </c>
      <c r="FH2542" s="18" t="inlineStr">
        <is>
          <t>Lck6122evg</t>
        </is>
      </c>
      <c r="FI2542" s="18" t="inlineStr">
        <is>
          <t>Zhong Thong</t>
        </is>
      </c>
      <c r="FJ2542" s="18" t="inlineStr">
        <is>
          <t>Lck6122evg</t>
        </is>
      </c>
      <c r="FK2542" s="18" t="n">
        <v>2026</v>
      </c>
      <c r="FL2542" s="18" t="inlineStr">
        <is>
          <t>B</t>
        </is>
      </c>
      <c r="FM2542" s="18" t="inlineStr">
        <is>
          <t>Ducaud</t>
        </is>
      </c>
      <c r="FP2542" t="inlineStr">
        <is>
          <t>B</t>
        </is>
      </c>
    </row>
    <row r="2543">
      <c r="FC2543" t="inlineStr">
        <is>
          <t>Diccionario 3</t>
        </is>
      </c>
      <c r="FD2543" s="17" t="inlineStr">
        <is>
          <t>VLFG89</t>
        </is>
      </c>
      <c r="FE2543" s="17" t="inlineStr">
        <is>
          <t>LDYECS314S0045867</t>
        </is>
      </c>
      <c r="FF2543" s="18" t="inlineStr">
        <is>
          <t>MDN35025030263</t>
        </is>
      </c>
      <c r="FG2543" s="18" t="inlineStr">
        <is>
          <t>Zhong Thong</t>
        </is>
      </c>
      <c r="FH2543" s="18" t="inlineStr">
        <is>
          <t>Lck6122evg</t>
        </is>
      </c>
      <c r="FI2543" s="18" t="inlineStr">
        <is>
          <t>Zhong Thong</t>
        </is>
      </c>
      <c r="FJ2543" s="18" t="inlineStr">
        <is>
          <t>Lck6122evg</t>
        </is>
      </c>
      <c r="FK2543" s="18" t="n">
        <v>2026</v>
      </c>
      <c r="FL2543" s="18" t="inlineStr">
        <is>
          <t>B</t>
        </is>
      </c>
      <c r="FM2543" s="18" t="inlineStr">
        <is>
          <t>Ducaud</t>
        </is>
      </c>
      <c r="FP2543" t="inlineStr">
        <is>
          <t>B</t>
        </is>
      </c>
    </row>
    <row r="2544">
      <c r="FC2544" t="inlineStr">
        <is>
          <t>Diccionario 3</t>
        </is>
      </c>
      <c r="FD2544" s="17" t="inlineStr">
        <is>
          <t>VLFH16</t>
        </is>
      </c>
      <c r="FE2544" s="17" t="inlineStr">
        <is>
          <t>LDYECS318S0045872</t>
        </is>
      </c>
      <c r="FF2544" s="18" t="inlineStr">
        <is>
          <t>MDN35025030208</t>
        </is>
      </c>
      <c r="FG2544" s="18" t="inlineStr">
        <is>
          <t>Zhong Thong</t>
        </is>
      </c>
      <c r="FH2544" s="18" t="inlineStr">
        <is>
          <t>Lck6122evg</t>
        </is>
      </c>
      <c r="FI2544" s="18" t="inlineStr">
        <is>
          <t>Zhong Thong</t>
        </is>
      </c>
      <c r="FJ2544" s="18" t="inlineStr">
        <is>
          <t>Lck6122evg</t>
        </is>
      </c>
      <c r="FK2544" s="18" t="n">
        <v>2026</v>
      </c>
      <c r="FL2544" s="18" t="inlineStr">
        <is>
          <t>B</t>
        </is>
      </c>
      <c r="FM2544" s="18" t="inlineStr">
        <is>
          <t>Ducaud</t>
        </is>
      </c>
      <c r="FP2544" t="inlineStr">
        <is>
          <t>B</t>
        </is>
      </c>
    </row>
    <row r="2545">
      <c r="FC2545" t="inlineStr">
        <is>
          <t>Diccionario 3</t>
        </is>
      </c>
      <c r="FD2545" s="17" t="inlineStr">
        <is>
          <t>VLFH46</t>
        </is>
      </c>
      <c r="FE2545" s="17" t="inlineStr">
        <is>
          <t>LDYECS310S0045770</t>
        </is>
      </c>
      <c r="FF2545" s="18" t="inlineStr">
        <is>
          <t>MDN35025030277</t>
        </is>
      </c>
      <c r="FG2545" s="18" t="inlineStr">
        <is>
          <t>Zhong Thong</t>
        </is>
      </c>
      <c r="FH2545" s="18" t="inlineStr">
        <is>
          <t>Lck6122evg</t>
        </is>
      </c>
      <c r="FI2545" s="18" t="inlineStr">
        <is>
          <t>Zhong Thong</t>
        </is>
      </c>
      <c r="FJ2545" s="18" t="inlineStr">
        <is>
          <t>Lck6122evg</t>
        </is>
      </c>
      <c r="FK2545" s="18" t="n">
        <v>2026</v>
      </c>
      <c r="FL2545" s="18" t="inlineStr">
        <is>
          <t>B</t>
        </is>
      </c>
      <c r="FM2545" s="18" t="inlineStr">
        <is>
          <t>Ducaud</t>
        </is>
      </c>
      <c r="FP2545" t="inlineStr">
        <is>
          <t>B</t>
        </is>
      </c>
    </row>
    <row r="2546">
      <c r="FC2546" t="inlineStr">
        <is>
          <t>Diccionario 3</t>
        </is>
      </c>
      <c r="FD2546" s="17" t="inlineStr">
        <is>
          <t>VLFH48</t>
        </is>
      </c>
      <c r="FE2546" s="17" t="inlineStr">
        <is>
          <t>LDYECS31XS0045713</t>
        </is>
      </c>
      <c r="FF2546" s="18" t="inlineStr">
        <is>
          <t>MDN35025030118</t>
        </is>
      </c>
      <c r="FG2546" s="18" t="inlineStr">
        <is>
          <t>Zhong Thong</t>
        </is>
      </c>
      <c r="FH2546" s="18" t="inlineStr">
        <is>
          <t>Lck6122evg</t>
        </is>
      </c>
      <c r="FI2546" s="18" t="inlineStr">
        <is>
          <t>Zhong Thong</t>
        </is>
      </c>
      <c r="FJ2546" s="18" t="inlineStr">
        <is>
          <t>Lck6122evg</t>
        </is>
      </c>
      <c r="FK2546" s="18" t="n">
        <v>2026</v>
      </c>
      <c r="FL2546" s="18" t="inlineStr">
        <is>
          <t>B</t>
        </is>
      </c>
      <c r="FM2546" s="18" t="inlineStr">
        <is>
          <t>Las Acacias</t>
        </is>
      </c>
      <c r="FP2546" t="inlineStr">
        <is>
          <t>B</t>
        </is>
      </c>
    </row>
    <row r="2547">
      <c r="FC2547" t="inlineStr">
        <is>
          <t>Diccionario 3</t>
        </is>
      </c>
      <c r="FD2547" s="17" t="inlineStr">
        <is>
          <t>VLFH56</t>
        </is>
      </c>
      <c r="FE2547" s="17" t="inlineStr">
        <is>
          <t>LDYECS31XS0045808</t>
        </is>
      </c>
      <c r="FF2547" s="18" t="inlineStr">
        <is>
          <t>MDN35025030192</t>
        </is>
      </c>
      <c r="FG2547" s="18" t="inlineStr">
        <is>
          <t>Zhong Thong</t>
        </is>
      </c>
      <c r="FH2547" s="18" t="inlineStr">
        <is>
          <t>Lck6122evg</t>
        </is>
      </c>
      <c r="FI2547" s="18" t="inlineStr">
        <is>
          <t>Zhong Thong</t>
        </is>
      </c>
      <c r="FJ2547" s="18" t="inlineStr">
        <is>
          <t>Lck6122evg</t>
        </is>
      </c>
      <c r="FK2547" s="18" t="n">
        <v>2026</v>
      </c>
      <c r="FL2547" s="18" t="inlineStr">
        <is>
          <t>B</t>
        </is>
      </c>
      <c r="FM2547" s="18" t="inlineStr">
        <is>
          <t>Las Acacias</t>
        </is>
      </c>
      <c r="FP2547" t="inlineStr">
        <is>
          <t>B</t>
        </is>
      </c>
    </row>
    <row r="2548">
      <c r="FC2548" t="inlineStr">
        <is>
          <t>Diccionario 3</t>
        </is>
      </c>
      <c r="FD2548" s="17" t="inlineStr">
        <is>
          <t>VLFH63</t>
        </is>
      </c>
      <c r="FE2548" s="17" t="inlineStr">
        <is>
          <t>8LDYECS314S004578</t>
        </is>
      </c>
      <c r="FF2548" s="18" t="inlineStr">
        <is>
          <t>MDN35025030194</t>
        </is>
      </c>
      <c r="FG2548" s="18" t="inlineStr">
        <is>
          <t>Zhong Thong</t>
        </is>
      </c>
      <c r="FH2548" s="18" t="inlineStr">
        <is>
          <t>Lck6122evg</t>
        </is>
      </c>
      <c r="FI2548" s="18" t="inlineStr">
        <is>
          <t>Zhong Thong</t>
        </is>
      </c>
      <c r="FJ2548" s="18" t="inlineStr">
        <is>
          <t>Lck6122evg</t>
        </is>
      </c>
      <c r="FK2548" s="18" t="n">
        <v>2026</v>
      </c>
      <c r="FL2548" s="18" t="inlineStr">
        <is>
          <t>B</t>
        </is>
      </c>
      <c r="FM2548" s="18" t="inlineStr">
        <is>
          <t>Las Acacias</t>
        </is>
      </c>
      <c r="FP2548" t="inlineStr">
        <is>
          <t>B</t>
        </is>
      </c>
    </row>
    <row r="2549">
      <c r="FC2549" t="inlineStr">
        <is>
          <t>Diccionario 3</t>
        </is>
      </c>
      <c r="FD2549" s="17" t="inlineStr">
        <is>
          <t>VLFJ57</t>
        </is>
      </c>
      <c r="FE2549" s="17" t="inlineStr">
        <is>
          <t>LDYECS310S0045705</t>
        </is>
      </c>
      <c r="FF2549" s="18" t="inlineStr">
        <is>
          <t>MDN35025030236</t>
        </is>
      </c>
      <c r="FG2549" s="18" t="inlineStr">
        <is>
          <t>Zhong Thong</t>
        </is>
      </c>
      <c r="FH2549" s="18" t="inlineStr">
        <is>
          <t>Lck6122evg</t>
        </is>
      </c>
      <c r="FI2549" s="18" t="inlineStr">
        <is>
          <t>Zhong Thong</t>
        </is>
      </c>
      <c r="FJ2549" s="18" t="inlineStr">
        <is>
          <t>Lck6122evg</t>
        </is>
      </c>
      <c r="FK2549" s="18" t="n">
        <v>2026</v>
      </c>
      <c r="FL2549" s="18" t="inlineStr">
        <is>
          <t>B</t>
        </is>
      </c>
      <c r="FM2549" s="18" t="inlineStr">
        <is>
          <t>Las Acacias</t>
        </is>
      </c>
      <c r="FP2549" t="inlineStr">
        <is>
          <t>B</t>
        </is>
      </c>
    </row>
    <row r="2550">
      <c r="FC2550" t="inlineStr">
        <is>
          <t>Diccionario 3</t>
        </is>
      </c>
      <c r="FD2550" s="17" t="inlineStr">
        <is>
          <t>VLFJ62</t>
        </is>
      </c>
      <c r="FE2550" s="17" t="inlineStr">
        <is>
          <t>LDYECS318S0045774</t>
        </is>
      </c>
      <c r="FF2550" s="18" t="inlineStr">
        <is>
          <t>MDN35025030173</t>
        </is>
      </c>
      <c r="FG2550" s="18" t="inlineStr">
        <is>
          <t>Zhong Thong</t>
        </is>
      </c>
      <c r="FH2550" s="18" t="inlineStr">
        <is>
          <t>Lck6122evg</t>
        </is>
      </c>
      <c r="FI2550" s="18" t="inlineStr">
        <is>
          <t>Zhong Thong</t>
        </is>
      </c>
      <c r="FJ2550" s="18" t="inlineStr">
        <is>
          <t>Lck6122evg</t>
        </is>
      </c>
      <c r="FK2550" s="18" t="n">
        <v>2026</v>
      </c>
      <c r="FL2550" s="18" t="inlineStr">
        <is>
          <t>B</t>
        </is>
      </c>
      <c r="FM2550" s="18" t="inlineStr">
        <is>
          <t>Las Acacias</t>
        </is>
      </c>
      <c r="FP2550" t="inlineStr">
        <is>
          <t>B</t>
        </is>
      </c>
    </row>
    <row r="2551">
      <c r="FC2551" t="inlineStr">
        <is>
          <t>Diccionario 3</t>
        </is>
      </c>
      <c r="FD2551" s="17" t="inlineStr">
        <is>
          <t>VLFJ65</t>
        </is>
      </c>
      <c r="FE2551" s="17" t="inlineStr">
        <is>
          <t>LDYECS310S0045784</t>
        </is>
      </c>
      <c r="FF2551" s="18" t="inlineStr">
        <is>
          <t>MDN35025030197</t>
        </is>
      </c>
      <c r="FG2551" s="18" t="inlineStr">
        <is>
          <t>Zhong Thong</t>
        </is>
      </c>
      <c r="FH2551" s="18" t="inlineStr">
        <is>
          <t>Lck6122evg</t>
        </is>
      </c>
      <c r="FI2551" s="18" t="inlineStr">
        <is>
          <t>Zhong Thong</t>
        </is>
      </c>
      <c r="FJ2551" s="18" t="inlineStr">
        <is>
          <t>Lck6122evg</t>
        </is>
      </c>
      <c r="FK2551" s="18" t="n">
        <v>2026</v>
      </c>
      <c r="FL2551" s="18" t="inlineStr">
        <is>
          <t>B</t>
        </is>
      </c>
      <c r="FM2551" s="18" t="inlineStr">
        <is>
          <t>Las Acacias</t>
        </is>
      </c>
      <c r="FP2551" t="inlineStr">
        <is>
          <t>B</t>
        </is>
      </c>
    </row>
    <row r="2552">
      <c r="FC2552" t="inlineStr">
        <is>
          <t>Diccionario 3</t>
        </is>
      </c>
      <c r="FD2552" s="17" t="inlineStr">
        <is>
          <t>VLFJ82</t>
        </is>
      </c>
      <c r="FE2552" s="17" t="inlineStr">
        <is>
          <t>LDYECS311S0045700</t>
        </is>
      </c>
      <c r="FF2552" s="18" t="inlineStr">
        <is>
          <t>MDN35025030297</t>
        </is>
      </c>
      <c r="FG2552" s="18" t="inlineStr">
        <is>
          <t>Zhong Thong</t>
        </is>
      </c>
      <c r="FH2552" s="18" t="inlineStr">
        <is>
          <t>Lck6122evg</t>
        </is>
      </c>
      <c r="FI2552" s="18" t="inlineStr">
        <is>
          <t>Zhong Thong</t>
        </is>
      </c>
      <c r="FJ2552" s="18" t="inlineStr">
        <is>
          <t>Lck6122evg</t>
        </is>
      </c>
      <c r="FK2552" s="18" t="n">
        <v>2026</v>
      </c>
      <c r="FL2552" s="18" t="inlineStr">
        <is>
          <t>B</t>
        </is>
      </c>
      <c r="FM2552" s="18" t="inlineStr">
        <is>
          <t>Las Acacias</t>
        </is>
      </c>
      <c r="FP2552" t="inlineStr">
        <is>
          <t>B</t>
        </is>
      </c>
    </row>
    <row r="2553">
      <c r="FC2553" t="inlineStr">
        <is>
          <t>Diccionario 3</t>
        </is>
      </c>
      <c r="FD2553" s="17" t="inlineStr">
        <is>
          <t>VLFJ85</t>
        </is>
      </c>
      <c r="FE2553" s="17" t="inlineStr">
        <is>
          <t>LDYECS316S0045871</t>
        </is>
      </c>
      <c r="FF2553" s="18" t="inlineStr">
        <is>
          <t>MDN35025030288</t>
        </is>
      </c>
      <c r="FG2553" s="18" t="inlineStr">
        <is>
          <t>Zhong Thong</t>
        </is>
      </c>
      <c r="FH2553" s="18" t="inlineStr">
        <is>
          <t>Lck6122evg</t>
        </is>
      </c>
      <c r="FI2553" s="18" t="inlineStr">
        <is>
          <t>Zhong Thong</t>
        </is>
      </c>
      <c r="FJ2553" s="18" t="inlineStr">
        <is>
          <t>Lck6122evg</t>
        </is>
      </c>
      <c r="FK2553" s="18" t="n">
        <v>2026</v>
      </c>
      <c r="FL2553" s="18" t="inlineStr">
        <is>
          <t>B</t>
        </is>
      </c>
      <c r="FM2553" s="18" t="inlineStr">
        <is>
          <t>Las Acacias</t>
        </is>
      </c>
      <c r="FP2553" t="inlineStr">
        <is>
          <t>B</t>
        </is>
      </c>
    </row>
    <row r="2554">
      <c r="FC2554" t="inlineStr">
        <is>
          <t>Diccionario 3</t>
        </is>
      </c>
      <c r="FD2554" s="24" t="inlineStr">
        <is>
          <t>VLLY27</t>
        </is>
      </c>
      <c r="FE2554" s="17" t="inlineStr">
        <is>
          <t>LDYECS312S0045768</t>
        </is>
      </c>
      <c r="FF2554" s="18" t="inlineStr">
        <is>
          <t>MDN35025030284</t>
        </is>
      </c>
      <c r="FG2554" s="18" t="inlineStr">
        <is>
          <t>Zhong Thong</t>
        </is>
      </c>
      <c r="FH2554" s="18" t="inlineStr">
        <is>
          <t>Lck6122evg</t>
        </is>
      </c>
      <c r="FI2554" s="18" t="inlineStr">
        <is>
          <t>Zhong Thong</t>
        </is>
      </c>
      <c r="FJ2554" s="18" t="inlineStr">
        <is>
          <t>Lck6122evg</t>
        </is>
      </c>
      <c r="FK2554" s="18" t="n">
        <v>2026</v>
      </c>
      <c r="FL2554" s="18" t="inlineStr">
        <is>
          <t>B</t>
        </is>
      </c>
      <c r="FM2554" s="18" t="inlineStr">
        <is>
          <t>Las Acacias</t>
        </is>
      </c>
      <c r="FP2554" t="inlineStr">
        <is>
          <t>B</t>
        </is>
      </c>
    </row>
    <row r="2555">
      <c r="FC2555" t="inlineStr">
        <is>
          <t>Diccionario 3</t>
        </is>
      </c>
      <c r="FD2555" s="17" t="inlineStr">
        <is>
          <t>VLPD24</t>
        </is>
      </c>
      <c r="FE2555" s="17" t="inlineStr">
        <is>
          <t>LDYECS311S0045874</t>
        </is>
      </c>
      <c r="FF2555" s="18" t="inlineStr">
        <is>
          <t>MDN35025030278</t>
        </is>
      </c>
      <c r="FG2555" s="18" t="inlineStr">
        <is>
          <t>Zhong Thong</t>
        </is>
      </c>
      <c r="FH2555" s="18" t="inlineStr">
        <is>
          <t>Lck6122evg</t>
        </is>
      </c>
      <c r="FI2555" s="18" t="inlineStr">
        <is>
          <t>Zhong Thong</t>
        </is>
      </c>
      <c r="FJ2555" s="18" t="inlineStr">
        <is>
          <t>Lck6122evg</t>
        </is>
      </c>
      <c r="FK2555" s="18" t="n">
        <v>2026</v>
      </c>
      <c r="FL2555" s="18" t="inlineStr">
        <is>
          <t>B</t>
        </is>
      </c>
      <c r="FM2555" s="18" t="inlineStr">
        <is>
          <t>Las Acacias</t>
        </is>
      </c>
      <c r="FP2555" t="inlineStr">
        <is>
          <t>B</t>
        </is>
      </c>
    </row>
    <row r="2556">
      <c r="FC2556" t="inlineStr">
        <is>
          <t>Diccionario 3</t>
        </is>
      </c>
      <c r="FD2556" s="17" t="inlineStr">
        <is>
          <t>VLRS46</t>
        </is>
      </c>
      <c r="FE2556" s="17" t="inlineStr">
        <is>
          <t>LDYECS311S0045759</t>
        </is>
      </c>
      <c r="FF2556" s="18" t="inlineStr">
        <is>
          <t>MDN35025030145</t>
        </is>
      </c>
      <c r="FG2556" s="18" t="inlineStr">
        <is>
          <t>Zhong Thong</t>
        </is>
      </c>
      <c r="FH2556" s="18" t="inlineStr">
        <is>
          <t>Lck6122evg</t>
        </is>
      </c>
      <c r="FI2556" s="18" t="inlineStr">
        <is>
          <t>Zhong Thong</t>
        </is>
      </c>
      <c r="FJ2556" s="18" t="inlineStr">
        <is>
          <t>Lck6122evg</t>
        </is>
      </c>
      <c r="FK2556" s="18" t="n">
        <v>2026</v>
      </c>
      <c r="FL2556" s="18" t="inlineStr">
        <is>
          <t>B</t>
        </is>
      </c>
      <c r="FM2556" s="18" t="inlineStr">
        <is>
          <t>Las Acacias</t>
        </is>
      </c>
      <c r="FP2556" t="inlineStr">
        <is>
          <t>B</t>
        </is>
      </c>
    </row>
    <row r="2557">
      <c r="FC2557" t="inlineStr">
        <is>
          <t>Diccionario 3</t>
        </is>
      </c>
      <c r="FD2557" s="17" t="inlineStr">
        <is>
          <t>VLSD60</t>
        </is>
      </c>
      <c r="FE2557" s="17" t="inlineStr">
        <is>
          <t>LDYECS839S0045647</t>
        </is>
      </c>
      <c r="FF2557" s="18" t="inlineStr">
        <is>
          <t>MJJ20025010022</t>
        </is>
      </c>
      <c r="FG2557" s="18" t="inlineStr">
        <is>
          <t>Zhong Thong</t>
        </is>
      </c>
      <c r="FH2557" s="18" t="inlineStr">
        <is>
          <t>Lck6850evg</t>
        </is>
      </c>
      <c r="FI2557" s="18" t="inlineStr">
        <is>
          <t>Zhong Thong</t>
        </is>
      </c>
      <c r="FJ2557" s="18" t="inlineStr">
        <is>
          <t>Lck6850evg</t>
        </is>
      </c>
      <c r="FK2557" s="18" t="n">
        <v>2026</v>
      </c>
      <c r="FL2557" s="18" t="inlineStr">
        <is>
          <t>A</t>
        </is>
      </c>
      <c r="FM2557" s="18" t="inlineStr">
        <is>
          <t>Las Acacias</t>
        </is>
      </c>
      <c r="FP2557" t="inlineStr">
        <is>
          <t>A</t>
        </is>
      </c>
    </row>
    <row r="2558">
      <c r="FC2558" t="inlineStr">
        <is>
          <t>Diccionario 3</t>
        </is>
      </c>
      <c r="FD2558" s="17" t="inlineStr">
        <is>
          <t>VLSD66</t>
        </is>
      </c>
      <c r="FE2558" s="17" t="inlineStr">
        <is>
          <t>LDYECS83XS0045642</t>
        </is>
      </c>
      <c r="FF2558" s="18" t="inlineStr">
        <is>
          <t>MJJ20025010017</t>
        </is>
      </c>
      <c r="FG2558" s="18" t="inlineStr">
        <is>
          <t>Zhong Thong</t>
        </is>
      </c>
      <c r="FH2558" s="18" t="inlineStr">
        <is>
          <t>Lck6850evg</t>
        </is>
      </c>
      <c r="FI2558" s="18" t="inlineStr">
        <is>
          <t>Zhong Thong</t>
        </is>
      </c>
      <c r="FJ2558" s="18" t="inlineStr">
        <is>
          <t>Lck6850evg</t>
        </is>
      </c>
      <c r="FK2558" s="18" t="n">
        <v>2026</v>
      </c>
      <c r="FL2558" s="18" t="inlineStr">
        <is>
          <t>A</t>
        </is>
      </c>
      <c r="FM2558" s="18" t="inlineStr">
        <is>
          <t>Las Acacias</t>
        </is>
      </c>
      <c r="FP2558" t="inlineStr">
        <is>
          <t>A</t>
        </is>
      </c>
    </row>
    <row r="2559">
      <c r="FC2559" t="inlineStr">
        <is>
          <t>Diccionario 3</t>
        </is>
      </c>
      <c r="FD2559" s="17" t="inlineStr">
        <is>
          <t>VLSD67</t>
        </is>
      </c>
      <c r="FE2559" s="17" t="inlineStr">
        <is>
          <t>LDYECS835S0045645</t>
        </is>
      </c>
      <c r="FF2559" s="18" t="inlineStr">
        <is>
          <t>MJJ20025010002</t>
        </is>
      </c>
      <c r="FG2559" s="18" t="inlineStr">
        <is>
          <t>Zhong Thong</t>
        </is>
      </c>
      <c r="FH2559" s="18" t="inlineStr">
        <is>
          <t>Lck6850evg</t>
        </is>
      </c>
      <c r="FI2559" s="18" t="inlineStr">
        <is>
          <t>Zhong Thong</t>
        </is>
      </c>
      <c r="FJ2559" s="18" t="inlineStr">
        <is>
          <t>Lck6850evg</t>
        </is>
      </c>
      <c r="FK2559" s="18" t="n">
        <v>2026</v>
      </c>
      <c r="FL2559" s="18" t="inlineStr">
        <is>
          <t>A</t>
        </is>
      </c>
      <c r="FM2559" s="18" t="inlineStr">
        <is>
          <t>Las Acacias</t>
        </is>
      </c>
      <c r="FP2559" t="inlineStr">
        <is>
          <t>A</t>
        </is>
      </c>
    </row>
    <row r="2560">
      <c r="FC2560" t="inlineStr">
        <is>
          <t>Diccionario 3</t>
        </is>
      </c>
      <c r="FD2560" s="17" t="inlineStr">
        <is>
          <t>VLSD68</t>
        </is>
      </c>
      <c r="FE2560" s="17" t="inlineStr">
        <is>
          <t>LDYECS838S0045638</t>
        </is>
      </c>
      <c r="FF2560" s="18" t="inlineStr">
        <is>
          <t>MJJ20025010018</t>
        </is>
      </c>
      <c r="FG2560" s="18" t="inlineStr">
        <is>
          <t>Zhong Thong</t>
        </is>
      </c>
      <c r="FH2560" s="18" t="inlineStr">
        <is>
          <t>Lck6850evg</t>
        </is>
      </c>
      <c r="FI2560" s="18" t="inlineStr">
        <is>
          <t>Zhong Thong</t>
        </is>
      </c>
      <c r="FJ2560" s="18" t="inlineStr">
        <is>
          <t>Lck6850evg</t>
        </is>
      </c>
      <c r="FK2560" s="18" t="n">
        <v>2026</v>
      </c>
      <c r="FL2560" s="18" t="inlineStr">
        <is>
          <t>A</t>
        </is>
      </c>
      <c r="FM2560" s="18" t="inlineStr">
        <is>
          <t>Las Acacias</t>
        </is>
      </c>
      <c r="FP2560" t="inlineStr">
        <is>
          <t>A</t>
        </is>
      </c>
    </row>
    <row r="2561">
      <c r="FC2561" t="inlineStr">
        <is>
          <t>Diccionario 3</t>
        </is>
      </c>
      <c r="FD2561" s="17" t="inlineStr">
        <is>
          <t>VLSD70</t>
        </is>
      </c>
      <c r="FE2561" s="17" t="inlineStr">
        <is>
          <t>LDYECS838S0045641</t>
        </is>
      </c>
      <c r="FF2561" s="18" t="inlineStr">
        <is>
          <t>MJJ20025010006</t>
        </is>
      </c>
      <c r="FG2561" s="18" t="inlineStr">
        <is>
          <t>Zhong Thong</t>
        </is>
      </c>
      <c r="FH2561" s="18" t="inlineStr">
        <is>
          <t>Lck6850evg</t>
        </is>
      </c>
      <c r="FI2561" s="18" t="inlineStr">
        <is>
          <t>Zhong Thong</t>
        </is>
      </c>
      <c r="FJ2561" s="18" t="inlineStr">
        <is>
          <t>Lck6850evg</t>
        </is>
      </c>
      <c r="FK2561" s="18" t="n">
        <v>2026</v>
      </c>
      <c r="FL2561" s="18" t="inlineStr">
        <is>
          <t>A</t>
        </is>
      </c>
      <c r="FM2561" s="18" t="inlineStr">
        <is>
          <t>Las Acacias</t>
        </is>
      </c>
      <c r="FP2561" t="inlineStr">
        <is>
          <t>A</t>
        </is>
      </c>
    </row>
    <row r="2562">
      <c r="FC2562" t="inlineStr">
        <is>
          <t>Diccionario 3</t>
        </is>
      </c>
      <c r="FD2562" s="17" t="inlineStr">
        <is>
          <t>VLSD77</t>
        </is>
      </c>
      <c r="FE2562" s="17" t="inlineStr">
        <is>
          <t>LDYECS831S0045643</t>
        </is>
      </c>
      <c r="FF2562" s="18" t="inlineStr">
        <is>
          <t>MJJ20025010055</t>
        </is>
      </c>
      <c r="FG2562" s="18" t="inlineStr">
        <is>
          <t>Zhong Thong</t>
        </is>
      </c>
      <c r="FH2562" s="18" t="inlineStr">
        <is>
          <t>Lck6850evg</t>
        </is>
      </c>
      <c r="FI2562" s="18" t="inlineStr">
        <is>
          <t>Zhong Thong</t>
        </is>
      </c>
      <c r="FJ2562" s="18" t="inlineStr">
        <is>
          <t>Lck6850evg</t>
        </is>
      </c>
      <c r="FK2562" s="18" t="n">
        <v>2026</v>
      </c>
      <c r="FL2562" s="18" t="inlineStr">
        <is>
          <t>A</t>
        </is>
      </c>
      <c r="FM2562" s="18" t="inlineStr">
        <is>
          <t>Las Acacias</t>
        </is>
      </c>
      <c r="FP2562" t="inlineStr">
        <is>
          <t>A</t>
        </is>
      </c>
    </row>
    <row r="2563">
      <c r="FC2563" t="inlineStr">
        <is>
          <t>Diccionario 3</t>
        </is>
      </c>
      <c r="FD2563" s="17" t="inlineStr">
        <is>
          <t>VLSJ88</t>
        </is>
      </c>
      <c r="FE2563" s="17" t="inlineStr">
        <is>
          <t>LDYECS835S0044527</t>
        </is>
      </c>
      <c r="FF2563" s="18" t="inlineStr">
        <is>
          <t>MJJ20025010038</t>
        </is>
      </c>
      <c r="FG2563" s="18" t="inlineStr">
        <is>
          <t>Zhong Thong</t>
        </is>
      </c>
      <c r="FH2563" s="18" t="inlineStr">
        <is>
          <t>Lck6850evg</t>
        </is>
      </c>
      <c r="FI2563" s="18" t="inlineStr">
        <is>
          <t>Zhong Thong</t>
        </is>
      </c>
      <c r="FJ2563" s="18" t="inlineStr">
        <is>
          <t>Lck6850evg</t>
        </is>
      </c>
      <c r="FK2563" s="18" t="n">
        <v>2026</v>
      </c>
      <c r="FL2563" s="18" t="inlineStr">
        <is>
          <t>A</t>
        </is>
      </c>
      <c r="FM2563" s="18" t="inlineStr">
        <is>
          <t>Las Acacias</t>
        </is>
      </c>
      <c r="FP2563" t="inlineStr">
        <is>
          <t>A</t>
        </is>
      </c>
    </row>
    <row r="2564">
      <c r="FC2564" t="inlineStr">
        <is>
          <t>Diccionario 3</t>
        </is>
      </c>
      <c r="FD2564" s="17" t="inlineStr">
        <is>
          <t>VLSK17</t>
        </is>
      </c>
      <c r="FE2564" s="17" t="inlineStr">
        <is>
          <t>LDYECS837S0044528</t>
        </is>
      </c>
      <c r="FF2564" s="18" t="inlineStr">
        <is>
          <t>MJJ20025010031</t>
        </is>
      </c>
      <c r="FG2564" s="18" t="inlineStr">
        <is>
          <t>Zhong Thong</t>
        </is>
      </c>
      <c r="FH2564" s="18" t="inlineStr">
        <is>
          <t>Lck6850evg</t>
        </is>
      </c>
      <c r="FI2564" s="18" t="inlineStr">
        <is>
          <t>Zhong Thong</t>
        </is>
      </c>
      <c r="FJ2564" s="18" t="inlineStr">
        <is>
          <t>Lck6850evg</t>
        </is>
      </c>
      <c r="FK2564" s="18" t="n">
        <v>2026</v>
      </c>
      <c r="FL2564" s="18" t="inlineStr">
        <is>
          <t>A</t>
        </is>
      </c>
      <c r="FM2564" s="18" t="inlineStr">
        <is>
          <t>Las Acacias</t>
        </is>
      </c>
      <c r="FP2564" t="inlineStr">
        <is>
          <t>A</t>
        </is>
      </c>
    </row>
    <row r="2565">
      <c r="FC2565" t="inlineStr">
        <is>
          <t>Diccionario 3</t>
        </is>
      </c>
      <c r="FD2565" s="17" t="inlineStr">
        <is>
          <t>VLSK18</t>
        </is>
      </c>
      <c r="FE2565" s="17" t="inlineStr">
        <is>
          <t>LDYECS835S0045614</t>
        </is>
      </c>
      <c r="FF2565" s="18" t="inlineStr">
        <is>
          <t>MJJ20025010009</t>
        </is>
      </c>
      <c r="FG2565" s="18" t="inlineStr">
        <is>
          <t>Zhong Thong</t>
        </is>
      </c>
      <c r="FH2565" s="18" t="inlineStr">
        <is>
          <t>Lck6850evg</t>
        </is>
      </c>
      <c r="FI2565" s="18" t="inlineStr">
        <is>
          <t>Zhong Thong</t>
        </is>
      </c>
      <c r="FJ2565" s="18" t="inlineStr">
        <is>
          <t>Lck6850evg</t>
        </is>
      </c>
      <c r="FK2565" s="18" t="n">
        <v>2026</v>
      </c>
      <c r="FL2565" s="18" t="inlineStr">
        <is>
          <t>A</t>
        </is>
      </c>
      <c r="FM2565" s="18" t="inlineStr">
        <is>
          <t>Las Acacias</t>
        </is>
      </c>
      <c r="FP2565" t="inlineStr">
        <is>
          <t>A</t>
        </is>
      </c>
    </row>
    <row r="2566">
      <c r="FC2566" t="inlineStr">
        <is>
          <t>Diccionario 3</t>
        </is>
      </c>
      <c r="FD2566" s="17" t="inlineStr">
        <is>
          <t>VLSK19</t>
        </is>
      </c>
      <c r="FE2566" s="17" t="inlineStr">
        <is>
          <t>LDYECS319S0045797</t>
        </is>
      </c>
      <c r="FF2566" s="18" t="inlineStr">
        <is>
          <t>MDN35025030308</t>
        </is>
      </c>
      <c r="FG2566" s="18" t="inlineStr">
        <is>
          <t>Zhong Thong</t>
        </is>
      </c>
      <c r="FH2566" s="18" t="inlineStr">
        <is>
          <t>Lck6122evg</t>
        </is>
      </c>
      <c r="FI2566" s="18" t="inlineStr">
        <is>
          <t>Zhong Thong</t>
        </is>
      </c>
      <c r="FJ2566" s="18" t="inlineStr">
        <is>
          <t>Lck6122evg</t>
        </is>
      </c>
      <c r="FK2566" s="18" t="n">
        <v>2026</v>
      </c>
      <c r="FL2566" s="18" t="inlineStr">
        <is>
          <t>B</t>
        </is>
      </c>
      <c r="FM2566" s="18" t="inlineStr">
        <is>
          <t>Las Acacias</t>
        </is>
      </c>
      <c r="FP2566" t="inlineStr">
        <is>
          <t>B</t>
        </is>
      </c>
    </row>
    <row r="2567">
      <c r="FC2567" t="inlineStr">
        <is>
          <t>Diccionario 3</t>
        </is>
      </c>
      <c r="FD2567" s="17" t="inlineStr">
        <is>
          <t>VLSK23</t>
        </is>
      </c>
      <c r="FE2567" s="17" t="inlineStr">
        <is>
          <t>LDYECS315S0045800</t>
        </is>
      </c>
      <c r="FF2567" s="18" t="inlineStr">
        <is>
          <t>MDN35025030258</t>
        </is>
      </c>
      <c r="FG2567" s="18" t="inlineStr">
        <is>
          <t>Zhong Thong</t>
        </is>
      </c>
      <c r="FH2567" s="18" t="inlineStr">
        <is>
          <t>Lck6122evg</t>
        </is>
      </c>
      <c r="FI2567" s="18" t="inlineStr">
        <is>
          <t>Zhong Thong</t>
        </is>
      </c>
      <c r="FJ2567" s="18" t="inlineStr">
        <is>
          <t>Lck6122evg</t>
        </is>
      </c>
      <c r="FK2567" s="18" t="n">
        <v>2026</v>
      </c>
      <c r="FL2567" s="18" t="inlineStr">
        <is>
          <t>B</t>
        </is>
      </c>
      <c r="FM2567" s="18" t="inlineStr">
        <is>
          <t>Las Acacias</t>
        </is>
      </c>
      <c r="FP2567" t="inlineStr">
        <is>
          <t>B</t>
        </is>
      </c>
    </row>
    <row r="2568">
      <c r="FC2568" t="inlineStr">
        <is>
          <t>Diccionario 3</t>
        </is>
      </c>
      <c r="FD2568" s="17" t="inlineStr">
        <is>
          <t>VLSK25</t>
        </is>
      </c>
      <c r="FE2568" s="17" t="inlineStr">
        <is>
          <t>LDYECS315S0045795</t>
        </is>
      </c>
      <c r="FF2568" s="18" t="inlineStr">
        <is>
          <t>MDN35025030264</t>
        </is>
      </c>
      <c r="FG2568" s="18" t="inlineStr">
        <is>
          <t>Zhong Thong</t>
        </is>
      </c>
      <c r="FH2568" s="18" t="inlineStr">
        <is>
          <t>Lck6122evg</t>
        </is>
      </c>
      <c r="FI2568" s="18" t="inlineStr">
        <is>
          <t>Zhong Thong</t>
        </is>
      </c>
      <c r="FJ2568" s="18" t="inlineStr">
        <is>
          <t>Lck6122evg</t>
        </is>
      </c>
      <c r="FK2568" s="18" t="n">
        <v>2026</v>
      </c>
      <c r="FL2568" s="18" t="inlineStr">
        <is>
          <t>B</t>
        </is>
      </c>
      <c r="FM2568" s="18" t="inlineStr">
        <is>
          <t>Las Acacias</t>
        </is>
      </c>
      <c r="FP2568" t="inlineStr">
        <is>
          <t>B</t>
        </is>
      </c>
    </row>
    <row r="2569">
      <c r="FC2569" t="inlineStr">
        <is>
          <t>Diccionario 3</t>
        </is>
      </c>
      <c r="FD2569" s="17" t="inlineStr">
        <is>
          <t>VLSK26</t>
        </is>
      </c>
      <c r="FE2569" s="17" t="inlineStr">
        <is>
          <t>LDYECS310S0045722</t>
        </is>
      </c>
      <c r="FF2569" s="18" t="inlineStr">
        <is>
          <t>MDN35025030123</t>
        </is>
      </c>
      <c r="FG2569" s="18" t="inlineStr">
        <is>
          <t>Zhong Thong</t>
        </is>
      </c>
      <c r="FH2569" s="18" t="inlineStr">
        <is>
          <t>Lck6122evg</t>
        </is>
      </c>
      <c r="FI2569" s="18" t="inlineStr">
        <is>
          <t>Zhong Thong</t>
        </is>
      </c>
      <c r="FJ2569" s="18" t="inlineStr">
        <is>
          <t>Lck6122evg</t>
        </is>
      </c>
      <c r="FK2569" s="18" t="n">
        <v>2026</v>
      </c>
      <c r="FL2569" s="18" t="inlineStr">
        <is>
          <t>B</t>
        </is>
      </c>
      <c r="FM2569" s="18" t="inlineStr">
        <is>
          <t>Las Acacias</t>
        </is>
      </c>
      <c r="FP2569" t="inlineStr">
        <is>
          <t>B</t>
        </is>
      </c>
    </row>
    <row r="2570">
      <c r="FC2570" t="inlineStr">
        <is>
          <t>Diccionario 3</t>
        </is>
      </c>
      <c r="FD2570" s="17" t="inlineStr">
        <is>
          <t>VLSK29</t>
        </is>
      </c>
      <c r="FE2570" s="17" t="inlineStr">
        <is>
          <t>LDYECS310S0045798</t>
        </is>
      </c>
      <c r="FF2570" s="18" t="inlineStr">
        <is>
          <t>MDN35025030250</t>
        </is>
      </c>
      <c r="FG2570" s="18" t="inlineStr">
        <is>
          <t>Zhong Thong</t>
        </is>
      </c>
      <c r="FH2570" s="18" t="inlineStr">
        <is>
          <t>Lck6122evg</t>
        </is>
      </c>
      <c r="FI2570" s="18" t="inlineStr">
        <is>
          <t>Zhong Thong</t>
        </is>
      </c>
      <c r="FJ2570" s="18" t="inlineStr">
        <is>
          <t>Lck6122evg</t>
        </is>
      </c>
      <c r="FK2570" s="18" t="n">
        <v>2026</v>
      </c>
      <c r="FL2570" s="18" t="inlineStr">
        <is>
          <t>B</t>
        </is>
      </c>
      <c r="FM2570" s="18" t="inlineStr">
        <is>
          <t>Las Acacias</t>
        </is>
      </c>
      <c r="FP2570" t="inlineStr">
        <is>
          <t>B</t>
        </is>
      </c>
    </row>
    <row r="2571">
      <c r="FC2571" t="inlineStr">
        <is>
          <t>Diccionario 3</t>
        </is>
      </c>
      <c r="FD2571" s="17" t="inlineStr">
        <is>
          <t>VLSK30</t>
        </is>
      </c>
      <c r="FE2571" s="17" t="inlineStr">
        <is>
          <t>LDYECS313S0045813</t>
        </is>
      </c>
      <c r="FF2571" s="18" t="inlineStr">
        <is>
          <t>MDN35025030268</t>
        </is>
      </c>
      <c r="FG2571" s="18" t="inlineStr">
        <is>
          <t>Zhong Thong</t>
        </is>
      </c>
      <c r="FH2571" s="18" t="inlineStr">
        <is>
          <t>Lck6122evg</t>
        </is>
      </c>
      <c r="FI2571" s="18" t="inlineStr">
        <is>
          <t>Zhong Thong</t>
        </is>
      </c>
      <c r="FJ2571" s="18" t="inlineStr">
        <is>
          <t>Lck6122evg</t>
        </is>
      </c>
      <c r="FK2571" s="18" t="n">
        <v>2026</v>
      </c>
      <c r="FL2571" s="18" t="inlineStr">
        <is>
          <t>B</t>
        </is>
      </c>
      <c r="FM2571" s="18" t="inlineStr">
        <is>
          <t>Las Acacias</t>
        </is>
      </c>
      <c r="FP2571" t="inlineStr">
        <is>
          <t>B</t>
        </is>
      </c>
    </row>
    <row r="2572">
      <c r="FC2572" t="inlineStr">
        <is>
          <t>Diccionario 3</t>
        </is>
      </c>
      <c r="FD2572" s="17" t="inlineStr">
        <is>
          <t>VLSK39</t>
        </is>
      </c>
      <c r="FE2572" s="17" t="inlineStr">
        <is>
          <t>LDYECS315S0045814</t>
        </is>
      </c>
      <c r="FF2572" s="18" t="inlineStr">
        <is>
          <t>MDN35025030040</t>
        </is>
      </c>
      <c r="FG2572" s="18" t="inlineStr">
        <is>
          <t>Zhong Thong</t>
        </is>
      </c>
      <c r="FH2572" s="18" t="inlineStr">
        <is>
          <t>Lck6122evg</t>
        </is>
      </c>
      <c r="FI2572" s="18" t="inlineStr">
        <is>
          <t>Zhong Thong</t>
        </is>
      </c>
      <c r="FJ2572" s="18" t="inlineStr">
        <is>
          <t>Lck6122evg</t>
        </is>
      </c>
      <c r="FK2572" s="18" t="n">
        <v>2026</v>
      </c>
      <c r="FL2572" s="18" t="inlineStr">
        <is>
          <t>B</t>
        </is>
      </c>
      <c r="FM2572" s="18" t="inlineStr">
        <is>
          <t>Las Acacias</t>
        </is>
      </c>
      <c r="FP2572" t="inlineStr">
        <is>
          <t>B</t>
        </is>
      </c>
    </row>
    <row r="2573">
      <c r="FC2573" t="inlineStr">
        <is>
          <t>Diccionario 3</t>
        </is>
      </c>
      <c r="FD2573" s="17" t="inlineStr">
        <is>
          <t>VLSK44</t>
        </is>
      </c>
      <c r="FE2573" s="17" t="inlineStr">
        <is>
          <t>LDYECS317S0045779</t>
        </is>
      </c>
      <c r="FF2573" s="18" t="inlineStr">
        <is>
          <t>MDN35025030160</t>
        </is>
      </c>
      <c r="FG2573" s="18" t="inlineStr">
        <is>
          <t>Zhong Thong</t>
        </is>
      </c>
      <c r="FH2573" s="18" t="inlineStr">
        <is>
          <t>Lck6122evg</t>
        </is>
      </c>
      <c r="FI2573" s="18" t="inlineStr">
        <is>
          <t>Zhong Thong</t>
        </is>
      </c>
      <c r="FJ2573" s="18" t="inlineStr">
        <is>
          <t>Lck6122evg</t>
        </is>
      </c>
      <c r="FK2573" s="18" t="n">
        <v>2026</v>
      </c>
      <c r="FL2573" s="18" t="inlineStr">
        <is>
          <t>B</t>
        </is>
      </c>
      <c r="FM2573" s="18" t="inlineStr">
        <is>
          <t>Las Acacias</t>
        </is>
      </c>
      <c r="FP2573" t="inlineStr">
        <is>
          <t>B</t>
        </is>
      </c>
    </row>
    <row r="2574">
      <c r="FC2574" t="inlineStr">
        <is>
          <t>Diccionario 3</t>
        </is>
      </c>
      <c r="FD2574" s="17" t="inlineStr">
        <is>
          <t>VLSK46</t>
        </is>
      </c>
      <c r="FE2574" s="17" t="inlineStr">
        <is>
          <t>LDYECS311S0045809</t>
        </is>
      </c>
      <c r="FF2574" s="18" t="inlineStr">
        <is>
          <t>MDN35025030257</t>
        </is>
      </c>
      <c r="FG2574" s="18" t="inlineStr">
        <is>
          <t>Zhong Thong</t>
        </is>
      </c>
      <c r="FH2574" s="18" t="inlineStr">
        <is>
          <t>Lck6122evg</t>
        </is>
      </c>
      <c r="FI2574" s="18" t="inlineStr">
        <is>
          <t>Zhong Thong</t>
        </is>
      </c>
      <c r="FJ2574" s="18" t="inlineStr">
        <is>
          <t>Lck6122evg</t>
        </is>
      </c>
      <c r="FK2574" s="18" t="n">
        <v>2026</v>
      </c>
      <c r="FL2574" s="18" t="inlineStr">
        <is>
          <t>B</t>
        </is>
      </c>
      <c r="FM2574" s="18" t="inlineStr">
        <is>
          <t>Las Acacias</t>
        </is>
      </c>
      <c r="FP2574" t="inlineStr">
        <is>
          <t>B</t>
        </is>
      </c>
    </row>
    <row r="2575">
      <c r="FC2575" t="inlineStr">
        <is>
          <t>Diccionario 3</t>
        </is>
      </c>
      <c r="FD2575" s="17" t="inlineStr">
        <is>
          <t>VLSK53</t>
        </is>
      </c>
      <c r="FE2575" s="17" t="inlineStr">
        <is>
          <t>LDYECS314S0045724</t>
        </is>
      </c>
      <c r="FF2575" s="18" t="inlineStr">
        <is>
          <t>MDN35025030060</t>
        </is>
      </c>
      <c r="FG2575" s="18" t="inlineStr">
        <is>
          <t>Zhong Thong</t>
        </is>
      </c>
      <c r="FH2575" s="18" t="inlineStr">
        <is>
          <t>Lck6122evg</t>
        </is>
      </c>
      <c r="FI2575" s="18" t="inlineStr">
        <is>
          <t>Zhong Thong</t>
        </is>
      </c>
      <c r="FJ2575" s="18" t="inlineStr">
        <is>
          <t>Lck6122evg</t>
        </is>
      </c>
      <c r="FK2575" s="18" t="n">
        <v>2026</v>
      </c>
      <c r="FL2575" s="18" t="inlineStr">
        <is>
          <t>B</t>
        </is>
      </c>
      <c r="FM2575" s="18" t="inlineStr">
        <is>
          <t>Las Acacias</t>
        </is>
      </c>
      <c r="FP2575" t="inlineStr">
        <is>
          <t>B</t>
        </is>
      </c>
    </row>
    <row r="2576">
      <c r="FC2576" t="inlineStr">
        <is>
          <t>Diccionario 3</t>
        </is>
      </c>
      <c r="FD2576" s="17" t="inlineStr">
        <is>
          <t>VLSK64</t>
        </is>
      </c>
      <c r="FE2576" s="17" t="inlineStr">
        <is>
          <t>LDYECS318S0045810</t>
        </is>
      </c>
      <c r="FF2576" s="18" t="inlineStr">
        <is>
          <t>MDN35025030195</t>
        </is>
      </c>
      <c r="FG2576" s="18" t="inlineStr">
        <is>
          <t>Zhong Thong</t>
        </is>
      </c>
      <c r="FH2576" s="18" t="inlineStr">
        <is>
          <t>Lck6122evg</t>
        </is>
      </c>
      <c r="FI2576" s="18" t="inlineStr">
        <is>
          <t>Zhong Thong</t>
        </is>
      </c>
      <c r="FJ2576" s="18" t="inlineStr">
        <is>
          <t>Lck6122evg</t>
        </is>
      </c>
      <c r="FK2576" s="18" t="n">
        <v>2026</v>
      </c>
      <c r="FL2576" s="18" t="inlineStr">
        <is>
          <t>B</t>
        </is>
      </c>
      <c r="FM2576" s="18" t="inlineStr">
        <is>
          <t>Las Acacias</t>
        </is>
      </c>
      <c r="FP2576" t="inlineStr">
        <is>
          <t>B</t>
        </is>
      </c>
    </row>
    <row r="2577">
      <c r="FC2577" t="inlineStr">
        <is>
          <t>Diccionario 3</t>
        </is>
      </c>
      <c r="FD2577" s="17" t="inlineStr">
        <is>
          <t>VLSK70</t>
        </is>
      </c>
      <c r="FE2577" s="17" t="inlineStr">
        <is>
          <t>LDYECS31XS0045727</t>
        </is>
      </c>
      <c r="FF2577" s="18" t="inlineStr">
        <is>
          <t>MDN35025030224</t>
        </is>
      </c>
      <c r="FG2577" s="18" t="inlineStr">
        <is>
          <t>Zhong Thong</t>
        </is>
      </c>
      <c r="FH2577" s="18" t="inlineStr">
        <is>
          <t>Lck6122evg</t>
        </is>
      </c>
      <c r="FI2577" s="18" t="inlineStr">
        <is>
          <t>Zhong Thong</t>
        </is>
      </c>
      <c r="FJ2577" s="18" t="inlineStr">
        <is>
          <t>Lck6122evg</t>
        </is>
      </c>
      <c r="FK2577" s="18" t="n">
        <v>2026</v>
      </c>
      <c r="FL2577" s="18" t="inlineStr">
        <is>
          <t>B</t>
        </is>
      </c>
      <c r="FM2577" s="18" t="inlineStr">
        <is>
          <t>Las Acacias</t>
        </is>
      </c>
      <c r="FP2577" t="inlineStr">
        <is>
          <t>B</t>
        </is>
      </c>
    </row>
    <row r="2578">
      <c r="FC2578" t="inlineStr">
        <is>
          <t>Diccionario 3</t>
        </is>
      </c>
      <c r="FD2578" s="17" t="inlineStr">
        <is>
          <t>VLSK77</t>
        </is>
      </c>
      <c r="FE2578" s="17" t="inlineStr">
        <is>
          <t>LDYECS31XS0045811</t>
        </is>
      </c>
      <c r="FF2578" s="18" t="inlineStr">
        <is>
          <t>MDN35025030077</t>
        </is>
      </c>
      <c r="FG2578" s="18" t="inlineStr">
        <is>
          <t>Zhong Thong</t>
        </is>
      </c>
      <c r="FH2578" s="18" t="inlineStr">
        <is>
          <t>Lck6122evg</t>
        </is>
      </c>
      <c r="FI2578" s="18" t="inlineStr">
        <is>
          <t>Zhong Thong</t>
        </is>
      </c>
      <c r="FJ2578" s="18" t="inlineStr">
        <is>
          <t>Lck6122evg</t>
        </is>
      </c>
      <c r="FK2578" s="18" t="n">
        <v>2026</v>
      </c>
      <c r="FL2578" s="18" t="inlineStr">
        <is>
          <t>B</t>
        </is>
      </c>
      <c r="FM2578" s="18" t="inlineStr">
        <is>
          <t>Las Acacias</t>
        </is>
      </c>
      <c r="FP2578" t="inlineStr">
        <is>
          <t>B</t>
        </is>
      </c>
    </row>
    <row r="2579">
      <c r="FC2579" t="inlineStr">
        <is>
          <t>Diccionario 3</t>
        </is>
      </c>
      <c r="FD2579" s="17" t="inlineStr">
        <is>
          <t>VLSK86</t>
        </is>
      </c>
      <c r="FE2579" s="17" t="inlineStr">
        <is>
          <t>LDYECS314S0045819</t>
        </is>
      </c>
      <c r="FF2579" s="18" t="inlineStr">
        <is>
          <t>MDN35025030081</t>
        </is>
      </c>
      <c r="FG2579" s="18" t="inlineStr">
        <is>
          <t>Zhong Thong</t>
        </is>
      </c>
      <c r="FH2579" s="18" t="inlineStr">
        <is>
          <t>Lck6122evg</t>
        </is>
      </c>
      <c r="FI2579" s="18" t="inlineStr">
        <is>
          <t>Zhong Thong</t>
        </is>
      </c>
      <c r="FJ2579" s="18" t="inlineStr">
        <is>
          <t>Lck6122evg</t>
        </is>
      </c>
      <c r="FK2579" s="18" t="n">
        <v>2026</v>
      </c>
      <c r="FL2579" s="18" t="inlineStr">
        <is>
          <t>B</t>
        </is>
      </c>
      <c r="FM2579" s="18" t="inlineStr">
        <is>
          <t>Las Acacias</t>
        </is>
      </c>
      <c r="FP2579" t="inlineStr">
        <is>
          <t>B</t>
        </is>
      </c>
    </row>
    <row r="2580">
      <c r="FC2580" t="inlineStr">
        <is>
          <t>Diccionario 3</t>
        </is>
      </c>
      <c r="FD2580" s="17" t="inlineStr">
        <is>
          <t>VLSK93</t>
        </is>
      </c>
      <c r="FE2580" s="17" t="inlineStr">
        <is>
          <t>LDYECS311S0045728</t>
        </is>
      </c>
      <c r="FF2580" s="18" t="inlineStr">
        <is>
          <t>MDN35025030126</t>
        </is>
      </c>
      <c r="FG2580" s="18" t="inlineStr">
        <is>
          <t>Zhong Thong</t>
        </is>
      </c>
      <c r="FH2580" s="18" t="inlineStr">
        <is>
          <t>Lck6122evg</t>
        </is>
      </c>
      <c r="FI2580" s="18" t="inlineStr">
        <is>
          <t>Zhong Thong</t>
        </is>
      </c>
      <c r="FJ2580" s="18" t="inlineStr">
        <is>
          <t>Lck6122evg</t>
        </is>
      </c>
      <c r="FK2580" s="18" t="n">
        <v>2026</v>
      </c>
      <c r="FL2580" s="18" t="inlineStr">
        <is>
          <t>B</t>
        </is>
      </c>
      <c r="FM2580" s="18" t="inlineStr">
        <is>
          <t>Las Acacias</t>
        </is>
      </c>
      <c r="FP2580" t="inlineStr">
        <is>
          <t>B</t>
        </is>
      </c>
    </row>
    <row r="2581">
      <c r="FC2581" t="inlineStr">
        <is>
          <t>Diccionario 3</t>
        </is>
      </c>
      <c r="FD2581" s="17" t="inlineStr">
        <is>
          <t>VLSK95</t>
        </is>
      </c>
      <c r="FE2581" s="17" t="inlineStr">
        <is>
          <t>LDYECS316S0045840</t>
        </is>
      </c>
      <c r="FF2581" s="18" t="inlineStr">
        <is>
          <t>MDN35025030254</t>
        </is>
      </c>
      <c r="FG2581" s="18" t="inlineStr">
        <is>
          <t>Zhong Thong</t>
        </is>
      </c>
      <c r="FH2581" s="18" t="inlineStr">
        <is>
          <t>Lck6122evg</t>
        </is>
      </c>
      <c r="FI2581" s="18" t="inlineStr">
        <is>
          <t>Zhong Thong</t>
        </is>
      </c>
      <c r="FJ2581" s="18" t="inlineStr">
        <is>
          <t>Lck6122evg</t>
        </is>
      </c>
      <c r="FK2581" s="18" t="n">
        <v>2026</v>
      </c>
      <c r="FL2581" s="18" t="inlineStr">
        <is>
          <t>B</t>
        </is>
      </c>
      <c r="FM2581" s="18" t="inlineStr">
        <is>
          <t>Las Acacias</t>
        </is>
      </c>
      <c r="FP2581" t="inlineStr">
        <is>
          <t>B</t>
        </is>
      </c>
    </row>
    <row r="2582">
      <c r="FC2582" t="inlineStr">
        <is>
          <t>Diccionario 3</t>
        </is>
      </c>
      <c r="FD2582" s="17" t="inlineStr">
        <is>
          <t>VLSK99</t>
        </is>
      </c>
      <c r="FE2582" s="17" t="inlineStr">
        <is>
          <t>LDYECS314S0045822</t>
        </is>
      </c>
      <c r="FF2582" s="18" t="inlineStr">
        <is>
          <t>MDN35025030089</t>
        </is>
      </c>
      <c r="FG2582" s="18" t="inlineStr">
        <is>
          <t>Zhong Thong</t>
        </is>
      </c>
      <c r="FH2582" s="18" t="inlineStr">
        <is>
          <t>Lck6122evg</t>
        </is>
      </c>
      <c r="FI2582" s="18" t="inlineStr">
        <is>
          <t>Zhong Thong</t>
        </is>
      </c>
      <c r="FJ2582" s="18" t="inlineStr">
        <is>
          <t>Lck6122evg</t>
        </is>
      </c>
      <c r="FK2582" s="18" t="n">
        <v>2026</v>
      </c>
      <c r="FL2582" s="18" t="inlineStr">
        <is>
          <t>B</t>
        </is>
      </c>
      <c r="FM2582" s="18" t="inlineStr">
        <is>
          <t>Las Acacias</t>
        </is>
      </c>
      <c r="FP2582" t="inlineStr">
        <is>
          <t>B</t>
        </is>
      </c>
    </row>
    <row r="2583">
      <c r="FC2583" t="inlineStr">
        <is>
          <t>Diccionario 3</t>
        </is>
      </c>
      <c r="FD2583" s="17" t="inlineStr">
        <is>
          <t>VLSL10</t>
        </is>
      </c>
      <c r="FE2583" s="17" t="inlineStr">
        <is>
          <t>LDYECS315S0045828</t>
        </is>
      </c>
      <c r="FF2583" s="18" t="inlineStr">
        <is>
          <t>MDN35025030269</t>
        </is>
      </c>
      <c r="FG2583" s="18" t="inlineStr">
        <is>
          <t>Zhong Thong</t>
        </is>
      </c>
      <c r="FH2583" s="18" t="inlineStr">
        <is>
          <t>Lck6122evg</t>
        </is>
      </c>
      <c r="FI2583" s="18" t="inlineStr">
        <is>
          <t>Zhong Thong</t>
        </is>
      </c>
      <c r="FJ2583" s="18" t="inlineStr">
        <is>
          <t>Lck6122evg</t>
        </is>
      </c>
      <c r="FK2583" s="18" t="n">
        <v>2026</v>
      </c>
      <c r="FL2583" s="18" t="inlineStr">
        <is>
          <t>B</t>
        </is>
      </c>
      <c r="FM2583" s="18" t="inlineStr">
        <is>
          <t>Las Acacias</t>
        </is>
      </c>
      <c r="FP2583" t="inlineStr">
        <is>
          <t>B</t>
        </is>
      </c>
    </row>
    <row r="2584">
      <c r="FC2584" t="inlineStr">
        <is>
          <t>Diccionario 3</t>
        </is>
      </c>
      <c r="FD2584" s="17" t="inlineStr">
        <is>
          <t>VLSL16</t>
        </is>
      </c>
      <c r="FE2584" s="17" t="inlineStr">
        <is>
          <t>LDYECS31XS0045825</t>
        </is>
      </c>
      <c r="FF2584" s="18" t="inlineStr">
        <is>
          <t>MDN35025030210</t>
        </is>
      </c>
      <c r="FG2584" s="18" t="inlineStr">
        <is>
          <t>Zhong Thong</t>
        </is>
      </c>
      <c r="FH2584" s="18" t="inlineStr">
        <is>
          <t>Lck6122evg</t>
        </is>
      </c>
      <c r="FI2584" s="18" t="inlineStr">
        <is>
          <t>Zhong Thong</t>
        </is>
      </c>
      <c r="FJ2584" s="18" t="inlineStr">
        <is>
          <t>Lck6122evg</t>
        </is>
      </c>
      <c r="FK2584" s="18" t="n">
        <v>2026</v>
      </c>
      <c r="FL2584" s="18" t="inlineStr">
        <is>
          <t>B</t>
        </is>
      </c>
      <c r="FM2584" s="18" t="inlineStr">
        <is>
          <t>Las Acacias</t>
        </is>
      </c>
      <c r="FP2584" t="inlineStr">
        <is>
          <t>B</t>
        </is>
      </c>
    </row>
    <row r="2585">
      <c r="FC2585" t="inlineStr">
        <is>
          <t>Diccionario 3</t>
        </is>
      </c>
      <c r="FD2585" s="17" t="inlineStr">
        <is>
          <t>VLSL25</t>
        </is>
      </c>
      <c r="FE2585" s="17" t="inlineStr">
        <is>
          <t>LDYECS317S0045734</t>
        </is>
      </c>
      <c r="FF2585" s="18" t="inlineStr">
        <is>
          <t>MDN35025030214</t>
        </is>
      </c>
      <c r="FG2585" s="18" t="inlineStr">
        <is>
          <t>Zhong Thong</t>
        </is>
      </c>
      <c r="FH2585" s="18" t="inlineStr">
        <is>
          <t>Lck6122evg</t>
        </is>
      </c>
      <c r="FI2585" s="18" t="inlineStr">
        <is>
          <t>Zhong Thong</t>
        </is>
      </c>
      <c r="FJ2585" s="18" t="inlineStr">
        <is>
          <t>Lck6122evg</t>
        </is>
      </c>
      <c r="FK2585" s="18" t="n">
        <v>2026</v>
      </c>
      <c r="FL2585" s="18" t="inlineStr">
        <is>
          <t>B</t>
        </is>
      </c>
      <c r="FM2585" s="18" t="inlineStr">
        <is>
          <t>Las Acacias</t>
        </is>
      </c>
      <c r="FP2585" t="inlineStr">
        <is>
          <t>B</t>
        </is>
      </c>
    </row>
    <row r="2586">
      <c r="FC2586" t="inlineStr">
        <is>
          <t>Diccionario 3</t>
        </is>
      </c>
      <c r="FD2586" s="17" t="inlineStr">
        <is>
          <t>VLSS34</t>
        </is>
      </c>
      <c r="FE2586" s="17" t="inlineStr">
        <is>
          <t>LDYECS311S0045731</t>
        </is>
      </c>
      <c r="FF2586" s="18" t="inlineStr">
        <is>
          <t>MDN35025030130</t>
        </is>
      </c>
      <c r="FG2586" s="18" t="inlineStr">
        <is>
          <t>Zhong Thong</t>
        </is>
      </c>
      <c r="FH2586" s="18" t="inlineStr">
        <is>
          <t>Lck6122evg</t>
        </is>
      </c>
      <c r="FI2586" s="18" t="inlineStr">
        <is>
          <t>Zhong Thong</t>
        </is>
      </c>
      <c r="FJ2586" s="18" t="inlineStr">
        <is>
          <t>Lck6122evg</t>
        </is>
      </c>
      <c r="FK2586" s="18" t="n">
        <v>2026</v>
      </c>
      <c r="FL2586" s="18" t="inlineStr">
        <is>
          <t>B</t>
        </is>
      </c>
      <c r="FM2586" s="18" t="inlineStr">
        <is>
          <t>Las Acacias</t>
        </is>
      </c>
      <c r="FP2586" t="inlineStr">
        <is>
          <t>B</t>
        </is>
      </c>
    </row>
    <row r="2587">
      <c r="FC2587" t="inlineStr">
        <is>
          <t>Diccionario 3</t>
        </is>
      </c>
      <c r="FD2587" s="17" t="inlineStr">
        <is>
          <t>VLSS37</t>
        </is>
      </c>
      <c r="FE2587" s="17" t="inlineStr">
        <is>
          <t>LDYECS312S0045835</t>
        </is>
      </c>
      <c r="FF2587" s="18" t="inlineStr">
        <is>
          <t>MDN35025030316</t>
        </is>
      </c>
      <c r="FG2587" s="18" t="inlineStr">
        <is>
          <t>Zhong Thong</t>
        </is>
      </c>
      <c r="FH2587" s="18" t="inlineStr">
        <is>
          <t>Lck6122evg</t>
        </is>
      </c>
      <c r="FI2587" s="18" t="inlineStr">
        <is>
          <t>Zhong Thong</t>
        </is>
      </c>
      <c r="FJ2587" s="18" t="inlineStr">
        <is>
          <t>Lck6122evg</t>
        </is>
      </c>
      <c r="FK2587" s="18" t="n">
        <v>2026</v>
      </c>
      <c r="FL2587" s="18" t="inlineStr">
        <is>
          <t>B</t>
        </is>
      </c>
      <c r="FM2587" s="18" t="inlineStr">
        <is>
          <t>Las Acacias</t>
        </is>
      </c>
      <c r="FP2587" t="inlineStr">
        <is>
          <t>B</t>
        </is>
      </c>
    </row>
    <row r="2588">
      <c r="FC2588" t="inlineStr">
        <is>
          <t>Diccionario 3</t>
        </is>
      </c>
      <c r="FD2588" s="17" t="inlineStr">
        <is>
          <t>VLSS45</t>
        </is>
      </c>
      <c r="FE2588" s="17" t="inlineStr">
        <is>
          <t>LDYECS314S0045738</t>
        </is>
      </c>
      <c r="FF2588" s="18" t="inlineStr">
        <is>
          <t>MDN35025030247</t>
        </is>
      </c>
      <c r="FG2588" s="18" t="inlineStr">
        <is>
          <t>Zhong Thong</t>
        </is>
      </c>
      <c r="FH2588" s="18" t="inlineStr">
        <is>
          <t>Lck6122evg</t>
        </is>
      </c>
      <c r="FI2588" s="18" t="inlineStr">
        <is>
          <t>Zhong Thong</t>
        </is>
      </c>
      <c r="FJ2588" s="18" t="inlineStr">
        <is>
          <t>Lck6122evg</t>
        </is>
      </c>
      <c r="FK2588" s="18" t="n">
        <v>2026</v>
      </c>
      <c r="FL2588" s="18" t="inlineStr">
        <is>
          <t>B</t>
        </is>
      </c>
      <c r="FM2588" s="18" t="inlineStr">
        <is>
          <t>Las Acacias</t>
        </is>
      </c>
      <c r="FP2588" t="inlineStr">
        <is>
          <t>B</t>
        </is>
      </c>
    </row>
    <row r="2589">
      <c r="FC2589" t="inlineStr">
        <is>
          <t>Diccionario 3</t>
        </is>
      </c>
      <c r="FD2589" s="17" t="inlineStr">
        <is>
          <t>VLSS69</t>
        </is>
      </c>
      <c r="FE2589" s="17" t="inlineStr">
        <is>
          <t>LDYECS318S0045824</t>
        </is>
      </c>
      <c r="FF2589" s="18" t="inlineStr">
        <is>
          <t>MDN35025030189</t>
        </is>
      </c>
      <c r="FG2589" s="18" t="inlineStr">
        <is>
          <t>Zhong Thong</t>
        </is>
      </c>
      <c r="FH2589" s="18" t="inlineStr">
        <is>
          <t>Lck6122evg</t>
        </is>
      </c>
      <c r="FI2589" s="18" t="inlineStr">
        <is>
          <t>Zhong Thong</t>
        </is>
      </c>
      <c r="FJ2589" s="18" t="inlineStr">
        <is>
          <t>Lck6122evg</t>
        </is>
      </c>
      <c r="FK2589" s="18" t="n">
        <v>2026</v>
      </c>
      <c r="FL2589" s="18" t="inlineStr">
        <is>
          <t>B</t>
        </is>
      </c>
      <c r="FM2589" s="18" t="inlineStr">
        <is>
          <t>Las Acacias</t>
        </is>
      </c>
      <c r="FP2589" t="inlineStr">
        <is>
          <t>B</t>
        </is>
      </c>
    </row>
    <row r="2590">
      <c r="FC2590" t="inlineStr">
        <is>
          <t>Diccionario 3</t>
        </is>
      </c>
      <c r="FD2590" s="17" t="inlineStr">
        <is>
          <t>VLSS88</t>
        </is>
      </c>
      <c r="FE2590" s="17" t="inlineStr">
        <is>
          <t>LDYECS310S0045851</t>
        </is>
      </c>
      <c r="FF2590" s="18" t="inlineStr">
        <is>
          <t>MDN35025030193</t>
        </is>
      </c>
      <c r="FG2590" s="18" t="inlineStr">
        <is>
          <t>Zhong Thong</t>
        </is>
      </c>
      <c r="FH2590" s="18" t="inlineStr">
        <is>
          <t>Lck6122evg</t>
        </is>
      </c>
      <c r="FI2590" s="18" t="inlineStr">
        <is>
          <t>Zhong Thong</t>
        </is>
      </c>
      <c r="FJ2590" s="18" t="inlineStr">
        <is>
          <t>Lck6122evg</t>
        </is>
      </c>
      <c r="FK2590" s="18" t="n">
        <v>2026</v>
      </c>
      <c r="FL2590" s="18" t="inlineStr">
        <is>
          <t>B</t>
        </is>
      </c>
      <c r="FM2590" s="18" t="inlineStr">
        <is>
          <t>Las Acacias</t>
        </is>
      </c>
      <c r="FP2590" t="inlineStr">
        <is>
          <t>B</t>
        </is>
      </c>
    </row>
    <row r="2591">
      <c r="FC2591" t="inlineStr">
        <is>
          <t>Diccionario 3</t>
        </is>
      </c>
      <c r="FD2591" s="17" t="inlineStr">
        <is>
          <t>VLST15</t>
        </is>
      </c>
      <c r="FE2591" s="17" t="inlineStr">
        <is>
          <t>LDYECS319S0045850</t>
        </is>
      </c>
      <c r="FF2591" s="18" t="inlineStr">
        <is>
          <t>MDN35025030244</t>
        </is>
      </c>
      <c r="FG2591" s="18" t="inlineStr">
        <is>
          <t>Zhong Thong</t>
        </is>
      </c>
      <c r="FH2591" s="18" t="inlineStr">
        <is>
          <t>Lck6122evg</t>
        </is>
      </c>
      <c r="FI2591" s="18" t="inlineStr">
        <is>
          <t>Zhong Thong</t>
        </is>
      </c>
      <c r="FJ2591" s="18" t="inlineStr">
        <is>
          <t>Lck6122evg</t>
        </is>
      </c>
      <c r="FK2591" s="18" t="n">
        <v>2026</v>
      </c>
      <c r="FL2591" s="18" t="inlineStr">
        <is>
          <t>B</t>
        </is>
      </c>
      <c r="FM2591" s="18" t="inlineStr">
        <is>
          <t>Las Acacias</t>
        </is>
      </c>
      <c r="FP2591" t="inlineStr">
        <is>
          <t>B</t>
        </is>
      </c>
    </row>
    <row r="2592">
      <c r="FC2592" t="inlineStr">
        <is>
          <t>Diccionario 3</t>
        </is>
      </c>
      <c r="FD2592" s="17" t="inlineStr">
        <is>
          <t>VLST23</t>
        </is>
      </c>
      <c r="FE2592" s="17" t="inlineStr">
        <is>
          <t>LDYECS318S0045841</t>
        </is>
      </c>
      <c r="FF2592" s="18" t="inlineStr">
        <is>
          <t>MDN35025030300</t>
        </is>
      </c>
      <c r="FG2592" s="18" t="inlineStr">
        <is>
          <t>Zhong Thong</t>
        </is>
      </c>
      <c r="FH2592" s="18" t="inlineStr">
        <is>
          <t>Lck6122evg</t>
        </is>
      </c>
      <c r="FI2592" s="18" t="inlineStr">
        <is>
          <t>Zhong Thong</t>
        </is>
      </c>
      <c r="FJ2592" s="18" t="inlineStr">
        <is>
          <t>Lck6122evg</t>
        </is>
      </c>
      <c r="FK2592" s="18" t="n">
        <v>2026</v>
      </c>
      <c r="FL2592" s="18" t="inlineStr">
        <is>
          <t>B</t>
        </is>
      </c>
      <c r="FM2592" s="18" t="inlineStr">
        <is>
          <t>Las Acacias</t>
        </is>
      </c>
      <c r="FP2592" t="inlineStr">
        <is>
          <t>B</t>
        </is>
      </c>
    </row>
    <row r="2593">
      <c r="FC2593" t="inlineStr">
        <is>
          <t>Diccionario 3</t>
        </is>
      </c>
      <c r="FD2593" s="17" t="inlineStr">
        <is>
          <t>VLST92</t>
        </is>
      </c>
      <c r="FE2593" s="17" t="inlineStr">
        <is>
          <t>LDYECS318S0045838</t>
        </is>
      </c>
      <c r="FF2593" s="18" t="inlineStr">
        <is>
          <t>MDN35025030084</t>
        </is>
      </c>
      <c r="FG2593" s="18" t="inlineStr">
        <is>
          <t>Zhong Thong</t>
        </is>
      </c>
      <c r="FH2593" s="18" t="inlineStr">
        <is>
          <t>Lck6122evg</t>
        </is>
      </c>
      <c r="FI2593" s="18" t="inlineStr">
        <is>
          <t>Zhong Thong</t>
        </is>
      </c>
      <c r="FJ2593" s="18" t="inlineStr">
        <is>
          <t>Lck6122evg</t>
        </is>
      </c>
      <c r="FK2593" s="18" t="n">
        <v>2026</v>
      </c>
      <c r="FL2593" s="18" t="inlineStr">
        <is>
          <t>B</t>
        </is>
      </c>
      <c r="FM2593" s="18" t="inlineStr">
        <is>
          <t>Las Acacias</t>
        </is>
      </c>
      <c r="FP2593" t="inlineStr">
        <is>
          <t>B</t>
        </is>
      </c>
    </row>
    <row r="2594">
      <c r="FC2594" t="inlineStr">
        <is>
          <t>Diccionario 3</t>
        </is>
      </c>
      <c r="FD2594" s="17" t="inlineStr">
        <is>
          <t>VLSV15</t>
        </is>
      </c>
      <c r="FE2594" s="17" t="inlineStr">
        <is>
          <t>LDYECS31XS0045744</t>
        </is>
      </c>
      <c r="FF2594" s="18" t="inlineStr">
        <is>
          <t>MDN35025030099</t>
        </is>
      </c>
      <c r="FG2594" s="18" t="inlineStr">
        <is>
          <t>Zhong Thong</t>
        </is>
      </c>
      <c r="FH2594" s="18" t="inlineStr">
        <is>
          <t>Lck6122evg</t>
        </is>
      </c>
      <c r="FI2594" s="18" t="inlineStr">
        <is>
          <t>Zhong Thong</t>
        </is>
      </c>
      <c r="FJ2594" s="18" t="inlineStr">
        <is>
          <t>Lck6122evg</t>
        </is>
      </c>
      <c r="FK2594" s="18" t="n">
        <v>2026</v>
      </c>
      <c r="FL2594" s="18" t="inlineStr">
        <is>
          <t>B</t>
        </is>
      </c>
      <c r="FM2594" s="18" t="inlineStr">
        <is>
          <t>Las Acacias</t>
        </is>
      </c>
      <c r="FP2594" t="inlineStr">
        <is>
          <t>B</t>
        </is>
      </c>
    </row>
    <row r="2595">
      <c r="FC2595" t="inlineStr">
        <is>
          <t>Diccionario 3</t>
        </is>
      </c>
      <c r="FD2595" s="17" t="inlineStr">
        <is>
          <t>VLSV32</t>
        </is>
      </c>
      <c r="FE2595" s="17" t="inlineStr">
        <is>
          <t>LDYECS311S0045843</t>
        </is>
      </c>
      <c r="FF2595" s="18" t="inlineStr">
        <is>
          <t>MDN35025030281</t>
        </is>
      </c>
      <c r="FG2595" s="18" t="inlineStr">
        <is>
          <t>Zhong Thong</t>
        </is>
      </c>
      <c r="FH2595" s="18" t="inlineStr">
        <is>
          <t>Lck6122evg</t>
        </is>
      </c>
      <c r="FI2595" s="18" t="inlineStr">
        <is>
          <t>Zhong Thong</t>
        </is>
      </c>
      <c r="FJ2595" s="18" t="inlineStr">
        <is>
          <t>Lck6122evg</t>
        </is>
      </c>
      <c r="FK2595" s="18" t="n">
        <v>2026</v>
      </c>
      <c r="FL2595" s="18" t="inlineStr">
        <is>
          <t>B</t>
        </is>
      </c>
      <c r="FM2595" s="18" t="inlineStr">
        <is>
          <t>Las Acacias</t>
        </is>
      </c>
      <c r="FP2595" t="inlineStr">
        <is>
          <t>B</t>
        </is>
      </c>
    </row>
    <row r="2596">
      <c r="FC2596" t="inlineStr">
        <is>
          <t>Diccionario 3</t>
        </is>
      </c>
      <c r="FD2596" s="17" t="inlineStr">
        <is>
          <t>VLSW32</t>
        </is>
      </c>
      <c r="FE2596" s="17" t="inlineStr">
        <is>
          <t>LDYECS31XS0045887</t>
        </is>
      </c>
      <c r="FF2596" s="18" t="inlineStr">
        <is>
          <t>MDN35025010014</t>
        </is>
      </c>
      <c r="FG2596" s="18" t="inlineStr">
        <is>
          <t>Zhong Thong</t>
        </is>
      </c>
      <c r="FH2596" s="18" t="inlineStr">
        <is>
          <t>Lck6122evg</t>
        </is>
      </c>
      <c r="FI2596" s="18" t="inlineStr">
        <is>
          <t>Zhong Thong</t>
        </is>
      </c>
      <c r="FJ2596" s="18" t="inlineStr">
        <is>
          <t>Lck6122evg</t>
        </is>
      </c>
      <c r="FK2596" s="18" t="n">
        <v>2026</v>
      </c>
      <c r="FL2596" s="18" t="inlineStr">
        <is>
          <t>B</t>
        </is>
      </c>
      <c r="FM2596" s="18" t="inlineStr">
        <is>
          <t>Las Acacias</t>
        </is>
      </c>
      <c r="FP2596" t="inlineStr">
        <is>
          <t>B</t>
        </is>
      </c>
    </row>
    <row r="2597">
      <c r="FC2597" t="inlineStr">
        <is>
          <t>Diccionario 3</t>
        </is>
      </c>
      <c r="FD2597" s="17" t="inlineStr">
        <is>
          <t>VLSY93</t>
        </is>
      </c>
      <c r="FE2597" s="17" t="inlineStr">
        <is>
          <t>LDYECS314S0045755</t>
        </is>
      </c>
      <c r="FF2597" s="18" t="inlineStr">
        <is>
          <t>MDN35025030243</t>
        </is>
      </c>
      <c r="FG2597" s="18" t="inlineStr">
        <is>
          <t>Zhong Thong</t>
        </is>
      </c>
      <c r="FH2597" s="18" t="inlineStr">
        <is>
          <t>Lck6122evg</t>
        </is>
      </c>
      <c r="FI2597" s="18" t="inlineStr">
        <is>
          <t>Zhong Thong</t>
        </is>
      </c>
      <c r="FJ2597" s="18" t="inlineStr">
        <is>
          <t>Lck6122evg</t>
        </is>
      </c>
      <c r="FK2597" s="18" t="n">
        <v>2026</v>
      </c>
      <c r="FL2597" s="18" t="inlineStr">
        <is>
          <t>B</t>
        </is>
      </c>
      <c r="FM2597" s="18" t="inlineStr">
        <is>
          <t>Las Acacias</t>
        </is>
      </c>
      <c r="FP2597" t="inlineStr">
        <is>
          <t>B</t>
        </is>
      </c>
    </row>
    <row r="2598">
      <c r="FC2598" t="inlineStr">
        <is>
          <t>Diccionario 3</t>
        </is>
      </c>
      <c r="FD2598" s="17" t="inlineStr">
        <is>
          <t>VLSY95</t>
        </is>
      </c>
      <c r="FE2598" s="17" t="inlineStr">
        <is>
          <t>LDYECS319S0045847</t>
        </is>
      </c>
      <c r="FF2598" s="18" t="inlineStr">
        <is>
          <t>MDN35025030242</t>
        </is>
      </c>
      <c r="FG2598" s="18" t="inlineStr">
        <is>
          <t>Zhong Thong</t>
        </is>
      </c>
      <c r="FH2598" s="18" t="inlineStr">
        <is>
          <t>Lck6122evg</t>
        </is>
      </c>
      <c r="FI2598" s="18" t="inlineStr">
        <is>
          <t>Zhong Thong</t>
        </is>
      </c>
      <c r="FJ2598" s="18" t="inlineStr">
        <is>
          <t>Lck6122evg</t>
        </is>
      </c>
      <c r="FK2598" s="18" t="n">
        <v>2026</v>
      </c>
      <c r="FL2598" s="18" t="inlineStr">
        <is>
          <t>B</t>
        </is>
      </c>
      <c r="FM2598" s="18" t="inlineStr">
        <is>
          <t>Las Acacias</t>
        </is>
      </c>
      <c r="FP2598" t="inlineStr">
        <is>
          <t>B</t>
        </is>
      </c>
    </row>
    <row r="2599">
      <c r="FC2599" t="inlineStr">
        <is>
          <t>Diccionario 3</t>
        </is>
      </c>
      <c r="FD2599" s="17" t="inlineStr">
        <is>
          <t>VLSY96</t>
        </is>
      </c>
      <c r="FE2599" s="17" t="inlineStr">
        <is>
          <t>LDYECS316S0045854</t>
        </is>
      </c>
      <c r="FF2599" s="18" t="inlineStr">
        <is>
          <t>MDN35025030125</t>
        </is>
      </c>
      <c r="FG2599" s="18" t="inlineStr">
        <is>
          <t>Zhong Thong</t>
        </is>
      </c>
      <c r="FH2599" s="18" t="inlineStr">
        <is>
          <t>Lck6122evg</t>
        </is>
      </c>
      <c r="FI2599" s="18" t="inlineStr">
        <is>
          <t>Zhong Thong</t>
        </is>
      </c>
      <c r="FJ2599" s="18" t="inlineStr">
        <is>
          <t>Lck6122evg</t>
        </is>
      </c>
      <c r="FK2599" s="18" t="n">
        <v>2026</v>
      </c>
      <c r="FL2599" s="18" t="inlineStr">
        <is>
          <t>B</t>
        </is>
      </c>
      <c r="FM2599" s="18" t="inlineStr">
        <is>
          <t>Las Acacias</t>
        </is>
      </c>
      <c r="FP2599" t="inlineStr">
        <is>
          <t>B</t>
        </is>
      </c>
    </row>
    <row r="2600">
      <c r="FC2600" t="inlineStr">
        <is>
          <t>Diccionario 3</t>
        </is>
      </c>
      <c r="FD2600" s="17" t="inlineStr">
        <is>
          <t>VLSY97</t>
        </is>
      </c>
      <c r="FE2600" s="17" t="inlineStr">
        <is>
          <t>LDYECS318S0045757</t>
        </is>
      </c>
      <c r="FF2600" s="18" t="inlineStr">
        <is>
          <t>MDN35025030175</t>
        </is>
      </c>
      <c r="FG2600" s="18" t="inlineStr">
        <is>
          <t>Zhong Thong</t>
        </is>
      </c>
      <c r="FH2600" s="18" t="inlineStr">
        <is>
          <t>Lck6122evg</t>
        </is>
      </c>
      <c r="FI2600" s="18" t="inlineStr">
        <is>
          <t>Zhong Thong</t>
        </is>
      </c>
      <c r="FJ2600" s="18" t="inlineStr">
        <is>
          <t>Lck6122evg</t>
        </is>
      </c>
      <c r="FK2600" s="18" t="n">
        <v>2026</v>
      </c>
      <c r="FL2600" s="18" t="inlineStr">
        <is>
          <t>B</t>
        </is>
      </c>
      <c r="FM2600" s="18" t="inlineStr">
        <is>
          <t>Las Acacias</t>
        </is>
      </c>
      <c r="FP2600" t="inlineStr">
        <is>
          <t>B</t>
        </is>
      </c>
    </row>
    <row r="2601">
      <c r="FC2601" t="inlineStr">
        <is>
          <t>Diccionario 3</t>
        </is>
      </c>
      <c r="FD2601" s="17" t="inlineStr">
        <is>
          <t>VLSY98</t>
        </is>
      </c>
      <c r="FE2601" s="17" t="inlineStr">
        <is>
          <t>LDYECS31XS0045856</t>
        </is>
      </c>
      <c r="FF2601" s="18" t="inlineStr">
        <is>
          <t>MDN35025030127</t>
        </is>
      </c>
      <c r="FG2601" s="18" t="inlineStr">
        <is>
          <t>Zhong Thong</t>
        </is>
      </c>
      <c r="FH2601" s="18" t="inlineStr">
        <is>
          <t>Lck6122evg</t>
        </is>
      </c>
      <c r="FI2601" s="18" t="inlineStr">
        <is>
          <t>Zhong Thong</t>
        </is>
      </c>
      <c r="FJ2601" s="18" t="inlineStr">
        <is>
          <t>Lck6122evg</t>
        </is>
      </c>
      <c r="FK2601" s="18" t="n">
        <v>2026</v>
      </c>
      <c r="FL2601" s="18" t="inlineStr">
        <is>
          <t>B</t>
        </is>
      </c>
      <c r="FM2601" s="18" t="inlineStr">
        <is>
          <t>Las Acacias</t>
        </is>
      </c>
      <c r="FP2601" t="inlineStr">
        <is>
          <t>B</t>
        </is>
      </c>
    </row>
    <row r="2602">
      <c r="FC2602" t="inlineStr">
        <is>
          <t>Diccionario 3</t>
        </is>
      </c>
      <c r="FD2602" s="17" t="inlineStr">
        <is>
          <t>VLSZ15</t>
        </is>
      </c>
      <c r="FE2602" s="17" t="inlineStr">
        <is>
          <t>LDYECS312S0045849</t>
        </is>
      </c>
      <c r="FF2602" s="18" t="inlineStr">
        <is>
          <t>MDN35025030294</t>
        </is>
      </c>
      <c r="FG2602" s="18" t="inlineStr">
        <is>
          <t>Zhong Thong</t>
        </is>
      </c>
      <c r="FH2602" s="18" t="inlineStr">
        <is>
          <t>Lck6122evg</t>
        </is>
      </c>
      <c r="FI2602" s="18" t="inlineStr">
        <is>
          <t>Zhong Thong</t>
        </is>
      </c>
      <c r="FJ2602" s="18" t="inlineStr">
        <is>
          <t>Lck6122evg</t>
        </is>
      </c>
      <c r="FK2602" s="18" t="n">
        <v>2026</v>
      </c>
      <c r="FL2602" s="18" t="inlineStr">
        <is>
          <t>B</t>
        </is>
      </c>
      <c r="FM2602" s="18" t="inlineStr">
        <is>
          <t>Las Acacias</t>
        </is>
      </c>
      <c r="FP2602" t="inlineStr">
        <is>
          <t>B</t>
        </is>
      </c>
    </row>
    <row r="2603">
      <c r="FC2603" t="inlineStr">
        <is>
          <t>Diccionario 3</t>
        </is>
      </c>
      <c r="FD2603" s="17" t="inlineStr">
        <is>
          <t>VLSZ16</t>
        </is>
      </c>
      <c r="FE2603" s="17" t="inlineStr">
        <is>
          <t>LDYECS312S0045754</t>
        </is>
      </c>
      <c r="FF2603" s="18" t="inlineStr">
        <is>
          <t>MDN35025030177</t>
        </is>
      </c>
      <c r="FG2603" s="18" t="inlineStr">
        <is>
          <t>Zhong Thong</t>
        </is>
      </c>
      <c r="FH2603" s="18" t="inlineStr">
        <is>
          <t>Lck6122evg</t>
        </is>
      </c>
      <c r="FI2603" s="18" t="inlineStr">
        <is>
          <t>Zhong Thong</t>
        </is>
      </c>
      <c r="FJ2603" s="18" t="inlineStr">
        <is>
          <t>Lck6122evg</t>
        </is>
      </c>
      <c r="FK2603" s="18" t="n">
        <v>2026</v>
      </c>
      <c r="FL2603" s="18" t="inlineStr">
        <is>
          <t>B</t>
        </is>
      </c>
      <c r="FM2603" s="18" t="inlineStr">
        <is>
          <t>Las Acacias</t>
        </is>
      </c>
      <c r="FP2603" t="inlineStr">
        <is>
          <t>B</t>
        </is>
      </c>
    </row>
    <row r="2604">
      <c r="FC2604" t="inlineStr">
        <is>
          <t>Diccionario 3</t>
        </is>
      </c>
      <c r="FD2604" s="17" t="inlineStr">
        <is>
          <t>VLSZ23</t>
        </is>
      </c>
      <c r="FE2604" s="17" t="inlineStr">
        <is>
          <t>LDYECS310S0045865</t>
        </is>
      </c>
      <c r="FF2604" s="18" t="inlineStr">
        <is>
          <t>MDN35025030267</t>
        </is>
      </c>
      <c r="FG2604" s="18" t="inlineStr">
        <is>
          <t>Zhong Thong</t>
        </is>
      </c>
      <c r="FH2604" s="18" t="inlineStr">
        <is>
          <t>Lck6122evg</t>
        </is>
      </c>
      <c r="FI2604" s="18" t="inlineStr">
        <is>
          <t>Zhong Thong</t>
        </is>
      </c>
      <c r="FJ2604" s="18" t="inlineStr">
        <is>
          <t>Lck6122evg</t>
        </is>
      </c>
      <c r="FK2604" s="18" t="n">
        <v>2026</v>
      </c>
      <c r="FL2604" s="18" t="inlineStr">
        <is>
          <t>B</t>
        </is>
      </c>
      <c r="FM2604" s="18" t="inlineStr">
        <is>
          <t>Las Acacias</t>
        </is>
      </c>
      <c r="FP2604" t="inlineStr">
        <is>
          <t>B</t>
        </is>
      </c>
    </row>
    <row r="2605">
      <c r="FC2605" t="inlineStr">
        <is>
          <t>Diccionario 3</t>
        </is>
      </c>
      <c r="FD2605" s="17" t="inlineStr">
        <is>
          <t>FLXZ95</t>
        </is>
      </c>
      <c r="FE2605" s="17" t="inlineStr">
        <is>
          <t>LC9LC30F5JALA6109</t>
        </is>
      </c>
      <c r="FF2605" s="18" t="inlineStr">
        <is>
          <t>G174J60001</t>
        </is>
      </c>
      <c r="FG2605" s="18" t="inlineStr">
        <is>
          <t>KING LONG</t>
        </is>
      </c>
      <c r="FH2605" s="18" t="inlineStr">
        <is>
          <t>XMQ 6127</t>
        </is>
      </c>
      <c r="FI2605" s="18" t="inlineStr">
        <is>
          <t>KING LONG</t>
        </is>
      </c>
      <c r="FJ2605" s="18" t="inlineStr">
        <is>
          <t>XMQ 6127G E TECH</t>
        </is>
      </c>
      <c r="FK2605" s="18" t="n">
        <v>2019</v>
      </c>
      <c r="FL2605" s="18" t="inlineStr">
        <is>
          <t>B</t>
        </is>
      </c>
      <c r="FM2605" s="18" t="inlineStr">
        <is>
          <t>Recoleta</t>
        </is>
      </c>
      <c r="FP2605" t="inlineStr">
        <is>
          <t>B</t>
        </is>
      </c>
    </row>
    <row r="2606">
      <c r="FC2606" t="inlineStr">
        <is>
          <t>Diccionario 3</t>
        </is>
      </c>
      <c r="FD2606" s="17" t="inlineStr">
        <is>
          <t>GCBC24</t>
        </is>
      </c>
      <c r="FE2606" s="17" t="inlineStr">
        <is>
          <t>YV3T7U52XKA195288</t>
        </is>
      </c>
      <c r="FF2606" s="18" t="n">
        <v>482342</v>
      </c>
      <c r="FG2606" s="18" t="inlineStr">
        <is>
          <t>VOLVO</t>
        </is>
      </c>
      <c r="FH2606" s="18" t="inlineStr">
        <is>
          <t>B8R</t>
        </is>
      </c>
      <c r="FI2606" s="18" t="inlineStr">
        <is>
          <t>MARCOPOLO</t>
        </is>
      </c>
      <c r="FJ2606" s="18" t="inlineStr">
        <is>
          <t>TORINO</t>
        </is>
      </c>
      <c r="FK2606" s="18" t="n">
        <v>2019</v>
      </c>
      <c r="FL2606" s="18" t="inlineStr">
        <is>
          <t>BPAL</t>
        </is>
      </c>
      <c r="FM2606" s="18" t="inlineStr">
        <is>
          <t>Santa Rosa</t>
        </is>
      </c>
      <c r="FP2606" t="inlineStr">
        <is>
          <t>B</t>
        </is>
      </c>
    </row>
    <row r="2607">
      <c r="FC2607" t="inlineStr">
        <is>
          <t>Diccionario 3</t>
        </is>
      </c>
      <c r="FD2607" s="17" t="inlineStr">
        <is>
          <t>GCBC25</t>
        </is>
      </c>
      <c r="FE2607" s="17" t="inlineStr">
        <is>
          <t>YV3T7U520KA195591</t>
        </is>
      </c>
      <c r="FF2607" s="18" t="n">
        <v>483878</v>
      </c>
      <c r="FG2607" s="18" t="inlineStr">
        <is>
          <t>VOLVO</t>
        </is>
      </c>
      <c r="FH2607" s="18" t="inlineStr">
        <is>
          <t>B8R</t>
        </is>
      </c>
      <c r="FI2607" s="18" t="inlineStr">
        <is>
          <t>MARCOPOLO</t>
        </is>
      </c>
      <c r="FJ2607" s="18" t="inlineStr">
        <is>
          <t>TORINO</t>
        </is>
      </c>
      <c r="FK2607" s="18" t="n">
        <v>2019</v>
      </c>
      <c r="FL2607" s="18" t="inlineStr">
        <is>
          <t>BPAL</t>
        </is>
      </c>
      <c r="FM2607" s="18" t="inlineStr">
        <is>
          <t>Recoleta</t>
        </is>
      </c>
      <c r="FP2607" t="inlineStr">
        <is>
          <t>B</t>
        </is>
      </c>
    </row>
    <row r="2608">
      <c r="FC2608" t="inlineStr">
        <is>
          <t>Diccionario 3</t>
        </is>
      </c>
      <c r="FD2608" s="17" t="inlineStr">
        <is>
          <t>GCBC26</t>
        </is>
      </c>
      <c r="FE2608" s="17" t="inlineStr">
        <is>
          <t>YV3T7U529KA195640</t>
        </is>
      </c>
      <c r="FF2608" s="18" t="n">
        <v>479849</v>
      </c>
      <c r="FG2608" s="18" t="inlineStr">
        <is>
          <t>VOLVO</t>
        </is>
      </c>
      <c r="FH2608" s="18" t="inlineStr">
        <is>
          <t>B8R</t>
        </is>
      </c>
      <c r="FI2608" s="18" t="inlineStr">
        <is>
          <t>MARCOPOLO</t>
        </is>
      </c>
      <c r="FJ2608" s="18" t="inlineStr">
        <is>
          <t>TORINO</t>
        </is>
      </c>
      <c r="FK2608" s="18" t="n">
        <v>2019</v>
      </c>
      <c r="FL2608" s="18" t="inlineStr">
        <is>
          <t>BPAL</t>
        </is>
      </c>
      <c r="FM2608" s="18" t="inlineStr">
        <is>
          <t>Recoleta</t>
        </is>
      </c>
      <c r="FP2608" t="inlineStr">
        <is>
          <t>B</t>
        </is>
      </c>
    </row>
    <row r="2609">
      <c r="FC2609" t="inlineStr">
        <is>
          <t>Diccionario 3</t>
        </is>
      </c>
      <c r="FD2609" s="17" t="inlineStr">
        <is>
          <t>GCBC27</t>
        </is>
      </c>
      <c r="FE2609" s="17" t="inlineStr">
        <is>
          <t>YV3T7U526KA195689</t>
        </is>
      </c>
      <c r="FF2609" s="18" t="n">
        <v>484541</v>
      </c>
      <c r="FG2609" s="18" t="inlineStr">
        <is>
          <t>VOLVO</t>
        </is>
      </c>
      <c r="FH2609" s="18" t="inlineStr">
        <is>
          <t>B8R</t>
        </is>
      </c>
      <c r="FI2609" s="18" t="inlineStr">
        <is>
          <t>MARCOPOLO</t>
        </is>
      </c>
      <c r="FJ2609" s="18" t="inlineStr">
        <is>
          <t>TORINO</t>
        </is>
      </c>
      <c r="FK2609" s="18" t="n">
        <v>2019</v>
      </c>
      <c r="FL2609" s="18" t="inlineStr">
        <is>
          <t>BPAL</t>
        </is>
      </c>
      <c r="FM2609" s="18" t="inlineStr">
        <is>
          <t>Recoleta</t>
        </is>
      </c>
      <c r="FP2609" t="inlineStr">
        <is>
          <t>B</t>
        </is>
      </c>
    </row>
    <row r="2610">
      <c r="FC2610" t="inlineStr">
        <is>
          <t>Diccionario 3</t>
        </is>
      </c>
      <c r="FD2610" s="17" t="inlineStr">
        <is>
          <t>GCBC28</t>
        </is>
      </c>
      <c r="FE2610" s="17" t="inlineStr">
        <is>
          <t>YV3T7U528KA195189</t>
        </is>
      </c>
      <c r="FF2610" s="18" t="n">
        <v>481662</v>
      </c>
      <c r="FG2610" s="18" t="inlineStr">
        <is>
          <t>VOLVO</t>
        </is>
      </c>
      <c r="FH2610" s="18" t="inlineStr">
        <is>
          <t>B8R</t>
        </is>
      </c>
      <c r="FI2610" s="18" t="inlineStr">
        <is>
          <t>MARCOPOLO</t>
        </is>
      </c>
      <c r="FJ2610" s="18" t="inlineStr">
        <is>
          <t>TORINO</t>
        </is>
      </c>
      <c r="FK2610" s="18" t="n">
        <v>2019</v>
      </c>
      <c r="FL2610" s="18" t="inlineStr">
        <is>
          <t>BPAL</t>
        </is>
      </c>
      <c r="FM2610" s="18" t="inlineStr">
        <is>
          <t>Santa Rosa</t>
        </is>
      </c>
      <c r="FP2610" t="inlineStr">
        <is>
          <t>B</t>
        </is>
      </c>
    </row>
    <row r="2611">
      <c r="FC2611" t="inlineStr">
        <is>
          <t>Diccionario 3</t>
        </is>
      </c>
      <c r="FD2611" s="17" t="inlineStr">
        <is>
          <t>GCBC29</t>
        </is>
      </c>
      <c r="FE2611" s="17" t="inlineStr">
        <is>
          <t>YV3T7U527KA195149</t>
        </is>
      </c>
      <c r="FF2611" s="18" t="n">
        <v>478253</v>
      </c>
      <c r="FG2611" s="18" t="inlineStr">
        <is>
          <t>VOLVO</t>
        </is>
      </c>
      <c r="FH2611" s="18" t="inlineStr">
        <is>
          <t>B8R</t>
        </is>
      </c>
      <c r="FI2611" s="18" t="inlineStr">
        <is>
          <t>MARCOPOLO</t>
        </is>
      </c>
      <c r="FJ2611" s="18" t="inlineStr">
        <is>
          <t>TORINO</t>
        </is>
      </c>
      <c r="FK2611" s="18" t="n">
        <v>2019</v>
      </c>
      <c r="FL2611" s="18" t="inlineStr">
        <is>
          <t>BPAL</t>
        </is>
      </c>
      <c r="FM2611" s="18" t="inlineStr">
        <is>
          <t>Santa Rosa</t>
        </is>
      </c>
      <c r="FP2611" t="inlineStr">
        <is>
          <t>B</t>
        </is>
      </c>
    </row>
    <row r="2612">
      <c r="FC2612" t="inlineStr">
        <is>
          <t>Diccionario 3</t>
        </is>
      </c>
      <c r="FD2612" s="17" t="inlineStr">
        <is>
          <t>GCBC30</t>
        </is>
      </c>
      <c r="FE2612" s="17" t="inlineStr">
        <is>
          <t>YV3T7U528KA195354</t>
        </is>
      </c>
      <c r="FF2612" s="18" t="n">
        <v>482584</v>
      </c>
      <c r="FG2612" s="18" t="inlineStr">
        <is>
          <t>VOLVO</t>
        </is>
      </c>
      <c r="FH2612" s="18" t="inlineStr">
        <is>
          <t>B8R</t>
        </is>
      </c>
      <c r="FI2612" s="18" t="inlineStr">
        <is>
          <t>MARCOPOLO</t>
        </is>
      </c>
      <c r="FJ2612" s="18" t="inlineStr">
        <is>
          <t>TORINO</t>
        </is>
      </c>
      <c r="FK2612" s="18" t="n">
        <v>2019</v>
      </c>
      <c r="FL2612" s="18" t="inlineStr">
        <is>
          <t>BPAL</t>
        </is>
      </c>
      <c r="FM2612" s="18" t="inlineStr">
        <is>
          <t>Santa Rosa</t>
        </is>
      </c>
      <c r="FP2612" t="inlineStr">
        <is>
          <t>B</t>
        </is>
      </c>
    </row>
    <row r="2613">
      <c r="FC2613" t="inlineStr">
        <is>
          <t>Diccionario 3</t>
        </is>
      </c>
      <c r="FD2613" s="17" t="inlineStr">
        <is>
          <t>GCBC31</t>
        </is>
      </c>
      <c r="FE2613" s="17" t="inlineStr">
        <is>
          <t>YV3T7U525KA195358</t>
        </is>
      </c>
      <c r="FF2613" s="18" t="n">
        <v>482487</v>
      </c>
      <c r="FG2613" s="18" t="inlineStr">
        <is>
          <t>VOLVO</t>
        </is>
      </c>
      <c r="FH2613" s="18" t="inlineStr">
        <is>
          <t>B8R</t>
        </is>
      </c>
      <c r="FI2613" s="18" t="inlineStr">
        <is>
          <t>MARCOPOLO</t>
        </is>
      </c>
      <c r="FJ2613" s="18" t="inlineStr">
        <is>
          <t>TORINO</t>
        </is>
      </c>
      <c r="FK2613" s="18" t="n">
        <v>2019</v>
      </c>
      <c r="FL2613" s="18" t="inlineStr">
        <is>
          <t>BPAL</t>
        </is>
      </c>
      <c r="FM2613" s="18" t="inlineStr">
        <is>
          <t>Santa Rosa</t>
        </is>
      </c>
      <c r="FP2613" t="inlineStr">
        <is>
          <t>B</t>
        </is>
      </c>
    </row>
    <row r="2614">
      <c r="FC2614" t="inlineStr">
        <is>
          <t>Diccionario 3</t>
        </is>
      </c>
      <c r="FD2614" s="17" t="inlineStr">
        <is>
          <t>GCBC33</t>
        </is>
      </c>
      <c r="FE2614" s="17" t="inlineStr">
        <is>
          <t>YV3T7U529KA195573</t>
        </is>
      </c>
      <c r="FF2614" s="18" t="n">
        <v>483422</v>
      </c>
      <c r="FG2614" s="18" t="inlineStr">
        <is>
          <t>VOLVO</t>
        </is>
      </c>
      <c r="FH2614" s="18" t="inlineStr">
        <is>
          <t>B8R</t>
        </is>
      </c>
      <c r="FI2614" s="18" t="inlineStr">
        <is>
          <t>MARCOPOLO</t>
        </is>
      </c>
      <c r="FJ2614" s="18" t="inlineStr">
        <is>
          <t>TORINO</t>
        </is>
      </c>
      <c r="FK2614" s="18" t="n">
        <v>2019</v>
      </c>
      <c r="FL2614" s="18" t="inlineStr">
        <is>
          <t>BPAL</t>
        </is>
      </c>
      <c r="FM2614" s="18" t="inlineStr">
        <is>
          <t>Recoleta</t>
        </is>
      </c>
      <c r="FP2614" t="inlineStr">
        <is>
          <t>B</t>
        </is>
      </c>
    </row>
    <row r="2615">
      <c r="FC2615" t="inlineStr">
        <is>
          <t>Diccionario 3</t>
        </is>
      </c>
      <c r="FD2615" s="17" t="inlineStr">
        <is>
          <t>GCBC34</t>
        </is>
      </c>
      <c r="FE2615" s="17" t="inlineStr">
        <is>
          <t>YV3T7U526KA195711</t>
        </is>
      </c>
      <c r="FF2615" s="18" t="n">
        <v>484639</v>
      </c>
      <c r="FG2615" s="18" t="inlineStr">
        <is>
          <t>VOLVO</t>
        </is>
      </c>
      <c r="FH2615" s="18" t="inlineStr">
        <is>
          <t>B8R</t>
        </is>
      </c>
      <c r="FI2615" s="18" t="inlineStr">
        <is>
          <t>MARCOPOLO</t>
        </is>
      </c>
      <c r="FJ2615" s="18" t="inlineStr">
        <is>
          <t>TORINO</t>
        </is>
      </c>
      <c r="FK2615" s="18" t="n">
        <v>2019</v>
      </c>
      <c r="FL2615" s="18" t="inlineStr">
        <is>
          <t>BPAL</t>
        </is>
      </c>
      <c r="FM2615" s="18" t="inlineStr">
        <is>
          <t>Recoleta</t>
        </is>
      </c>
      <c r="FP2615" t="inlineStr">
        <is>
          <t>B</t>
        </is>
      </c>
    </row>
    <row r="2616">
      <c r="FC2616" t="inlineStr">
        <is>
          <t>Diccionario 3</t>
        </is>
      </c>
      <c r="FD2616" s="17" t="inlineStr">
        <is>
          <t>GCBC35</t>
        </is>
      </c>
      <c r="FE2616" s="17" t="inlineStr">
        <is>
          <t>YV3T7U522KA195687</t>
        </is>
      </c>
      <c r="FF2616" s="18" t="n">
        <v>484547</v>
      </c>
      <c r="FG2616" s="18" t="inlineStr">
        <is>
          <t>VOLVO</t>
        </is>
      </c>
      <c r="FH2616" s="18" t="inlineStr">
        <is>
          <t>B8R</t>
        </is>
      </c>
      <c r="FI2616" s="18" t="inlineStr">
        <is>
          <t>MARCOPOLO</t>
        </is>
      </c>
      <c r="FJ2616" s="18" t="inlineStr">
        <is>
          <t>TORINO</t>
        </is>
      </c>
      <c r="FK2616" s="18" t="n">
        <v>2019</v>
      </c>
      <c r="FL2616" s="18" t="inlineStr">
        <is>
          <t>BPAL</t>
        </is>
      </c>
      <c r="FM2616" s="18" t="inlineStr">
        <is>
          <t>Recoleta</t>
        </is>
      </c>
      <c r="FP2616" t="inlineStr">
        <is>
          <t>B</t>
        </is>
      </c>
    </row>
    <row r="2617">
      <c r="FC2617" t="inlineStr">
        <is>
          <t>Diccionario 3</t>
        </is>
      </c>
      <c r="FD2617" s="17" t="inlineStr">
        <is>
          <t>GCBF43</t>
        </is>
      </c>
      <c r="FE2617" s="17" t="inlineStr">
        <is>
          <t>YV3T7U520LA200970</t>
        </is>
      </c>
      <c r="FF2617" s="18" t="n">
        <v>506294</v>
      </c>
      <c r="FG2617" s="18" t="inlineStr">
        <is>
          <t>VOLVO</t>
        </is>
      </c>
      <c r="FH2617" s="18" t="inlineStr">
        <is>
          <t>B8RLEA</t>
        </is>
      </c>
      <c r="FI2617" s="18" t="inlineStr">
        <is>
          <t>MARCOPOLO</t>
        </is>
      </c>
      <c r="FJ2617" s="18" t="inlineStr">
        <is>
          <t>GRAN VIALE</t>
        </is>
      </c>
      <c r="FK2617" s="18" t="n">
        <v>2020</v>
      </c>
      <c r="FL2617" s="18" t="inlineStr">
        <is>
          <t>C</t>
        </is>
      </c>
      <c r="FM2617" s="18" t="inlineStr">
        <is>
          <t>Recoleta</t>
        </is>
      </c>
      <c r="FP2617" t="inlineStr">
        <is>
          <t>C</t>
        </is>
      </c>
    </row>
    <row r="2618">
      <c r="FC2618" t="inlineStr">
        <is>
          <t>Diccionario 3</t>
        </is>
      </c>
      <c r="FD2618" s="17" t="inlineStr">
        <is>
          <t>GCBF44</t>
        </is>
      </c>
      <c r="FE2618" s="17" t="inlineStr">
        <is>
          <t>YV3T7U524LA200874</t>
        </is>
      </c>
      <c r="FF2618" s="18" t="n">
        <v>505924</v>
      </c>
      <c r="FG2618" s="18" t="inlineStr">
        <is>
          <t>VOLVO</t>
        </is>
      </c>
      <c r="FH2618" s="18" t="inlineStr">
        <is>
          <t>B8RLEA</t>
        </is>
      </c>
      <c r="FI2618" s="18" t="inlineStr">
        <is>
          <t>MARCOPOLO</t>
        </is>
      </c>
      <c r="FJ2618" s="18" t="inlineStr">
        <is>
          <t>GRAN VIALE</t>
        </is>
      </c>
      <c r="FK2618" s="18" t="n">
        <v>2020</v>
      </c>
      <c r="FL2618" s="18" t="inlineStr">
        <is>
          <t>C</t>
        </is>
      </c>
      <c r="FM2618" s="18" t="inlineStr">
        <is>
          <t>Recoleta</t>
        </is>
      </c>
      <c r="FP2618" t="inlineStr">
        <is>
          <t>C</t>
        </is>
      </c>
    </row>
    <row r="2619">
      <c r="FC2619" t="inlineStr">
        <is>
          <t>Diccionario 3</t>
        </is>
      </c>
      <c r="FD2619" s="17" t="inlineStr">
        <is>
          <t>GCBF45</t>
        </is>
      </c>
      <c r="FE2619" s="17" t="inlineStr">
        <is>
          <t>YV3T7U526LA200875</t>
        </is>
      </c>
      <c r="FF2619" s="18" t="n">
        <v>505881</v>
      </c>
      <c r="FG2619" s="18" t="inlineStr">
        <is>
          <t>VOLVO</t>
        </is>
      </c>
      <c r="FH2619" s="18" t="inlineStr">
        <is>
          <t>B8RLEA</t>
        </is>
      </c>
      <c r="FI2619" s="18" t="inlineStr">
        <is>
          <t>MARCOPOLO</t>
        </is>
      </c>
      <c r="FJ2619" s="18" t="inlineStr">
        <is>
          <t>GRAN VIALE</t>
        </is>
      </c>
      <c r="FK2619" s="18" t="n">
        <v>2020</v>
      </c>
      <c r="FL2619" s="18" t="inlineStr">
        <is>
          <t>C</t>
        </is>
      </c>
      <c r="FM2619" s="18" t="inlineStr">
        <is>
          <t>Lo Blanco</t>
        </is>
      </c>
      <c r="FP2619" t="inlineStr">
        <is>
          <t>C</t>
        </is>
      </c>
    </row>
    <row r="2620">
      <c r="FC2620" t="inlineStr">
        <is>
          <t>Diccionario 3</t>
        </is>
      </c>
      <c r="FD2620" s="17" t="inlineStr">
        <is>
          <t>GCBF46</t>
        </is>
      </c>
      <c r="FE2620" s="17" t="inlineStr">
        <is>
          <t>YV3T7U528LA200876</t>
        </is>
      </c>
      <c r="FF2620" s="18" t="n">
        <v>505895</v>
      </c>
      <c r="FG2620" s="18" t="inlineStr">
        <is>
          <t>VOLVO</t>
        </is>
      </c>
      <c r="FH2620" s="18" t="inlineStr">
        <is>
          <t>B8RLEA</t>
        </is>
      </c>
      <c r="FI2620" s="18" t="inlineStr">
        <is>
          <t>MARCOPOLO</t>
        </is>
      </c>
      <c r="FJ2620" s="18" t="inlineStr">
        <is>
          <t>GRAN VIALE</t>
        </is>
      </c>
      <c r="FK2620" s="18" t="n">
        <v>2020</v>
      </c>
      <c r="FL2620" s="18" t="inlineStr">
        <is>
          <t>C</t>
        </is>
      </c>
      <c r="FM2620" s="18" t="inlineStr">
        <is>
          <t>Recoleta</t>
        </is>
      </c>
      <c r="FP2620" t="inlineStr">
        <is>
          <t>C</t>
        </is>
      </c>
    </row>
    <row r="2621">
      <c r="FC2621" t="inlineStr">
        <is>
          <t>Diccionario 3</t>
        </is>
      </c>
      <c r="FD2621" s="17" t="inlineStr">
        <is>
          <t>GCBF47</t>
        </is>
      </c>
      <c r="FE2621" s="17" t="inlineStr">
        <is>
          <t>YV3T7U520LA200886</t>
        </is>
      </c>
      <c r="FF2621" s="18" t="n">
        <v>506176</v>
      </c>
      <c r="FG2621" s="18" t="inlineStr">
        <is>
          <t>VOLVO</t>
        </is>
      </c>
      <c r="FH2621" s="18" t="inlineStr">
        <is>
          <t>B8RLEA</t>
        </is>
      </c>
      <c r="FI2621" s="18" t="inlineStr">
        <is>
          <t>MARCOPOLO</t>
        </is>
      </c>
      <c r="FJ2621" s="18" t="inlineStr">
        <is>
          <t>GRAN VIALE</t>
        </is>
      </c>
      <c r="FK2621" s="18" t="n">
        <v>2020</v>
      </c>
      <c r="FL2621" s="18" t="inlineStr">
        <is>
          <t>C</t>
        </is>
      </c>
      <c r="FM2621" s="18" t="inlineStr">
        <is>
          <t>Recoleta</t>
        </is>
      </c>
      <c r="FP2621" t="inlineStr">
        <is>
          <t>C</t>
        </is>
      </c>
    </row>
    <row r="2622">
      <c r="FC2622" t="inlineStr">
        <is>
          <t>Diccionario 3</t>
        </is>
      </c>
      <c r="FD2622" s="17" t="inlineStr">
        <is>
          <t>GCBF48</t>
        </is>
      </c>
      <c r="FE2622" s="17" t="inlineStr">
        <is>
          <t>YV3T7U522LA200887</t>
        </is>
      </c>
      <c r="FF2622" s="18" t="n">
        <v>506197</v>
      </c>
      <c r="FG2622" s="18" t="inlineStr">
        <is>
          <t>VOLVO</t>
        </is>
      </c>
      <c r="FH2622" s="18" t="inlineStr">
        <is>
          <t>B8RLEA</t>
        </is>
      </c>
      <c r="FI2622" s="18" t="inlineStr">
        <is>
          <t>MARCOPOLO</t>
        </is>
      </c>
      <c r="FJ2622" s="18" t="inlineStr">
        <is>
          <t>GRAN VIALE</t>
        </is>
      </c>
      <c r="FK2622" s="18" t="n">
        <v>2020</v>
      </c>
      <c r="FL2622" s="18" t="inlineStr">
        <is>
          <t>C</t>
        </is>
      </c>
      <c r="FM2622" s="18" t="inlineStr">
        <is>
          <t>Recoleta</t>
        </is>
      </c>
      <c r="FP2622" t="inlineStr">
        <is>
          <t>C</t>
        </is>
      </c>
    </row>
    <row r="2623">
      <c r="FC2623" t="inlineStr">
        <is>
          <t>Diccionario 3</t>
        </is>
      </c>
      <c r="FD2623" s="17" t="inlineStr">
        <is>
          <t>GCBF49</t>
        </is>
      </c>
      <c r="FE2623" s="17" t="inlineStr">
        <is>
          <t>YV3T7U526LA200925</t>
        </is>
      </c>
      <c r="FF2623" s="18" t="n">
        <v>506187</v>
      </c>
      <c r="FG2623" s="18" t="inlineStr">
        <is>
          <t>VOLVO</t>
        </is>
      </c>
      <c r="FH2623" s="18" t="inlineStr">
        <is>
          <t>B8RLEA</t>
        </is>
      </c>
      <c r="FI2623" s="18" t="inlineStr">
        <is>
          <t>MARCOPOLO</t>
        </is>
      </c>
      <c r="FJ2623" s="18" t="inlineStr">
        <is>
          <t>GRAN VIALE</t>
        </is>
      </c>
      <c r="FK2623" s="18" t="n">
        <v>2020</v>
      </c>
      <c r="FL2623" s="18" t="inlineStr">
        <is>
          <t>C</t>
        </is>
      </c>
      <c r="FM2623" s="18" t="inlineStr">
        <is>
          <t>Recoleta</t>
        </is>
      </c>
      <c r="FP2623" t="inlineStr">
        <is>
          <t>C</t>
        </is>
      </c>
    </row>
    <row r="2624">
      <c r="FC2624" t="inlineStr">
        <is>
          <t>Diccionario 3</t>
        </is>
      </c>
      <c r="FD2624" s="17" t="inlineStr">
        <is>
          <t>GCBF50</t>
        </is>
      </c>
      <c r="FE2624" s="17" t="inlineStr">
        <is>
          <t>YV3T7U527LA200934</t>
        </is>
      </c>
      <c r="FF2624" s="18" t="n">
        <v>506345</v>
      </c>
      <c r="FG2624" s="18" t="inlineStr">
        <is>
          <t>VOLVO</t>
        </is>
      </c>
      <c r="FH2624" s="18" t="inlineStr">
        <is>
          <t>B8RLEA</t>
        </is>
      </c>
      <c r="FI2624" s="18" t="inlineStr">
        <is>
          <t>MARCOPOLO</t>
        </is>
      </c>
      <c r="FJ2624" s="18" t="inlineStr">
        <is>
          <t>GRAN VIALE</t>
        </is>
      </c>
      <c r="FK2624" s="18" t="n">
        <v>2020</v>
      </c>
      <c r="FL2624" s="18" t="inlineStr">
        <is>
          <t>C</t>
        </is>
      </c>
      <c r="FM2624" s="18" t="inlineStr">
        <is>
          <t>Recoleta</t>
        </is>
      </c>
      <c r="FP2624" t="inlineStr">
        <is>
          <t>C</t>
        </is>
      </c>
    </row>
    <row r="2625">
      <c r="FC2625" t="inlineStr">
        <is>
          <t>Diccionario 3</t>
        </is>
      </c>
      <c r="FD2625" s="17" t="inlineStr">
        <is>
          <t>GCBF51</t>
        </is>
      </c>
      <c r="FE2625" s="17" t="inlineStr">
        <is>
          <t>YV3T7U529LA200935</t>
        </is>
      </c>
      <c r="FF2625" s="18" t="n">
        <v>506403</v>
      </c>
      <c r="FG2625" s="18" t="inlineStr">
        <is>
          <t>VOLVO</t>
        </is>
      </c>
      <c r="FH2625" s="18" t="inlineStr">
        <is>
          <t>B8RLEA</t>
        </is>
      </c>
      <c r="FI2625" s="18" t="inlineStr">
        <is>
          <t>MARCOPOLO</t>
        </is>
      </c>
      <c r="FJ2625" s="18" t="inlineStr">
        <is>
          <t>GRAN VIALE</t>
        </is>
      </c>
      <c r="FK2625" s="18" t="n">
        <v>2020</v>
      </c>
      <c r="FL2625" s="18" t="inlineStr">
        <is>
          <t>C</t>
        </is>
      </c>
      <c r="FM2625" s="18" t="inlineStr">
        <is>
          <t>Recoleta</t>
        </is>
      </c>
      <c r="FP2625" t="inlineStr">
        <is>
          <t>C</t>
        </is>
      </c>
    </row>
    <row r="2626">
      <c r="FC2626" t="inlineStr">
        <is>
          <t>Diccionario 3</t>
        </is>
      </c>
      <c r="FD2626" s="17" t="inlineStr">
        <is>
          <t>GCBF52</t>
        </is>
      </c>
      <c r="FE2626" s="17" t="inlineStr">
        <is>
          <t>YV3T7U520LA200936</t>
        </is>
      </c>
      <c r="FF2626" s="18" t="n">
        <v>506358</v>
      </c>
      <c r="FG2626" s="18" t="inlineStr">
        <is>
          <t>VOLVO</t>
        </is>
      </c>
      <c r="FH2626" s="18" t="inlineStr">
        <is>
          <t>B8RLEA</t>
        </is>
      </c>
      <c r="FI2626" s="18" t="inlineStr">
        <is>
          <t>MARCOPOLO</t>
        </is>
      </c>
      <c r="FJ2626" s="18" t="inlineStr">
        <is>
          <t>GRAN VIALE</t>
        </is>
      </c>
      <c r="FK2626" s="18" t="n">
        <v>2020</v>
      </c>
      <c r="FL2626" s="18" t="inlineStr">
        <is>
          <t>C</t>
        </is>
      </c>
      <c r="FM2626" s="18" t="inlineStr">
        <is>
          <t>Recoleta</t>
        </is>
      </c>
      <c r="FP2626" t="inlineStr">
        <is>
          <t>C</t>
        </is>
      </c>
    </row>
    <row r="2627">
      <c r="FC2627" t="inlineStr">
        <is>
          <t>Diccionario 3</t>
        </is>
      </c>
      <c r="FD2627" s="17" t="inlineStr">
        <is>
          <t>GCBF53</t>
        </is>
      </c>
      <c r="FE2627" s="17" t="inlineStr">
        <is>
          <t>YV3T7U524LA200969</t>
        </is>
      </c>
      <c r="FF2627" s="18" t="n">
        <v>506311</v>
      </c>
      <c r="FG2627" s="18" t="inlineStr">
        <is>
          <t>VOLVO</t>
        </is>
      </c>
      <c r="FH2627" s="18" t="inlineStr">
        <is>
          <t>B8RLEA</t>
        </is>
      </c>
      <c r="FI2627" s="18" t="inlineStr">
        <is>
          <t>MARCOPOLO</t>
        </is>
      </c>
      <c r="FJ2627" s="18" t="inlineStr">
        <is>
          <t>GRAN VIALE</t>
        </is>
      </c>
      <c r="FK2627" s="18" t="n">
        <v>2020</v>
      </c>
      <c r="FL2627" s="18" t="inlineStr">
        <is>
          <t>C</t>
        </is>
      </c>
      <c r="FM2627" s="18" t="inlineStr">
        <is>
          <t>Recoleta</t>
        </is>
      </c>
      <c r="FP2627" t="inlineStr">
        <is>
          <t>C</t>
        </is>
      </c>
    </row>
    <row r="2628">
      <c r="FC2628" t="inlineStr">
        <is>
          <t>Diccionario 3</t>
        </is>
      </c>
      <c r="FD2628" s="17" t="inlineStr">
        <is>
          <t>LXWT82</t>
        </is>
      </c>
      <c r="FE2628" s="17" t="inlineStr">
        <is>
          <t>YV3T7U524LA200924</t>
        </is>
      </c>
      <c r="FF2628" s="18" t="n">
        <v>506179</v>
      </c>
      <c r="FG2628" s="18" t="inlineStr">
        <is>
          <t>VOLVO</t>
        </is>
      </c>
      <c r="FH2628" s="18" t="inlineStr">
        <is>
          <t>B8RLEA</t>
        </is>
      </c>
      <c r="FI2628" s="18" t="inlineStr">
        <is>
          <t>MARCOPOLO</t>
        </is>
      </c>
      <c r="FJ2628" s="18" t="inlineStr">
        <is>
          <t>GRAN VIALE</t>
        </is>
      </c>
      <c r="FK2628" s="18" t="n">
        <v>2020</v>
      </c>
      <c r="FL2628" s="18" t="inlineStr">
        <is>
          <t>C</t>
        </is>
      </c>
      <c r="FM2628" s="18" t="inlineStr">
        <is>
          <t>Recoleta</t>
        </is>
      </c>
      <c r="FP2628" t="inlineStr">
        <is>
          <t>C</t>
        </is>
      </c>
    </row>
    <row r="2629">
      <c r="FC2629" t="inlineStr">
        <is>
          <t>Diccionario 3</t>
        </is>
      </c>
      <c r="FD2629" s="17" t="inlineStr">
        <is>
          <t>LXWT83</t>
        </is>
      </c>
      <c r="FE2629" s="17" t="inlineStr">
        <is>
          <t>YV3T7U522LA200873</t>
        </is>
      </c>
      <c r="FF2629" s="18" t="n">
        <v>505882</v>
      </c>
      <c r="FG2629" s="18" t="inlineStr">
        <is>
          <t>VOLVO</t>
        </is>
      </c>
      <c r="FH2629" s="18" t="inlineStr">
        <is>
          <t>B8RLEA</t>
        </is>
      </c>
      <c r="FI2629" s="18" t="inlineStr">
        <is>
          <t>MARCOPOLO</t>
        </is>
      </c>
      <c r="FJ2629" s="18" t="inlineStr">
        <is>
          <t>GRAN VIALE</t>
        </is>
      </c>
      <c r="FK2629" s="18" t="n">
        <v>2020</v>
      </c>
      <c r="FL2629" s="18" t="inlineStr">
        <is>
          <t>C</t>
        </is>
      </c>
      <c r="FM2629" s="18" t="inlineStr">
        <is>
          <t>Recoleta</t>
        </is>
      </c>
      <c r="FP2629" t="inlineStr">
        <is>
          <t>C</t>
        </is>
      </c>
    </row>
    <row r="2630">
      <c r="FC2630" t="inlineStr">
        <is>
          <t>Diccionario 3</t>
        </is>
      </c>
      <c r="FD2630" s="17" t="inlineStr">
        <is>
          <t>LXWT84</t>
        </is>
      </c>
      <c r="FE2630" s="17" t="inlineStr">
        <is>
          <t>YV3T7U520LA198721</t>
        </is>
      </c>
      <c r="FF2630" s="18" t="n">
        <v>500916</v>
      </c>
      <c r="FG2630" s="18" t="inlineStr">
        <is>
          <t>VOLVO</t>
        </is>
      </c>
      <c r="FH2630" s="18" t="inlineStr">
        <is>
          <t>B8RLEA</t>
        </is>
      </c>
      <c r="FI2630" s="18" t="inlineStr">
        <is>
          <t>MARCOPOLO</t>
        </is>
      </c>
      <c r="FJ2630" s="18" t="inlineStr">
        <is>
          <t>GRAN VIALE</t>
        </is>
      </c>
      <c r="FK2630" s="18" t="n">
        <v>2020</v>
      </c>
      <c r="FL2630" s="18" t="inlineStr">
        <is>
          <t>C</t>
        </is>
      </c>
      <c r="FM2630" s="18" t="inlineStr">
        <is>
          <t>Lo Blanco</t>
        </is>
      </c>
      <c r="FP2630" t="inlineStr">
        <is>
          <t>C</t>
        </is>
      </c>
    </row>
    <row r="2631">
      <c r="FC2631" t="inlineStr">
        <is>
          <t>Diccionario 3</t>
        </is>
      </c>
      <c r="FD2631" s="17" t="inlineStr">
        <is>
          <t>LXWT85</t>
        </is>
      </c>
      <c r="FE2631" s="17" t="inlineStr">
        <is>
          <t>YV3T7U52XLA200832</t>
        </is>
      </c>
      <c r="FF2631" s="18" t="n">
        <v>505962</v>
      </c>
      <c r="FG2631" s="18" t="inlineStr">
        <is>
          <t>VOLVO</t>
        </is>
      </c>
      <c r="FH2631" s="18" t="inlineStr">
        <is>
          <t>B8RLEA</t>
        </is>
      </c>
      <c r="FI2631" s="18" t="inlineStr">
        <is>
          <t>MARCOPOLO</t>
        </is>
      </c>
      <c r="FJ2631" s="18" t="inlineStr">
        <is>
          <t>GRAN VIALE</t>
        </is>
      </c>
      <c r="FK2631" s="18" t="n">
        <v>2020</v>
      </c>
      <c r="FL2631" s="18" t="inlineStr">
        <is>
          <t>C</t>
        </is>
      </c>
      <c r="FM2631" s="18" t="inlineStr">
        <is>
          <t>Recoleta</t>
        </is>
      </c>
      <c r="FP2631" t="inlineStr">
        <is>
          <t>C</t>
        </is>
      </c>
    </row>
    <row r="2632">
      <c r="FC2632" t="inlineStr">
        <is>
          <t>Diccionario 3</t>
        </is>
      </c>
      <c r="FD2632" s="17" t="inlineStr">
        <is>
          <t>LXWT86</t>
        </is>
      </c>
      <c r="FE2632" s="17" t="inlineStr">
        <is>
          <t>YV3T7U52XLA200863</t>
        </is>
      </c>
      <c r="FF2632" s="18" t="n">
        <v>505947</v>
      </c>
      <c r="FG2632" s="18" t="inlineStr">
        <is>
          <t>VOLVO</t>
        </is>
      </c>
      <c r="FH2632" s="18" t="inlineStr">
        <is>
          <t>B8RLEA</t>
        </is>
      </c>
      <c r="FI2632" s="18" t="inlineStr">
        <is>
          <t>MARCOPOLO</t>
        </is>
      </c>
      <c r="FJ2632" s="18" t="inlineStr">
        <is>
          <t>GRAN VIALE</t>
        </is>
      </c>
      <c r="FK2632" s="18" t="n">
        <v>2020</v>
      </c>
      <c r="FL2632" s="18" t="inlineStr">
        <is>
          <t>C</t>
        </is>
      </c>
      <c r="FM2632" s="18" t="inlineStr">
        <is>
          <t>Recoleta</t>
        </is>
      </c>
      <c r="FP2632" t="inlineStr">
        <is>
          <t>C</t>
        </is>
      </c>
    </row>
    <row r="2633">
      <c r="FC2633" t="inlineStr">
        <is>
          <t>Diccionario 3</t>
        </is>
      </c>
      <c r="FD2633" s="17" t="inlineStr">
        <is>
          <t>LXWT87</t>
        </is>
      </c>
      <c r="FE2633" s="17" t="inlineStr">
        <is>
          <t>YV3T7U528LA200831</t>
        </is>
      </c>
      <c r="FF2633" s="18" t="n">
        <v>505956</v>
      </c>
      <c r="FG2633" s="18" t="inlineStr">
        <is>
          <t>VOLVO</t>
        </is>
      </c>
      <c r="FH2633" s="18" t="inlineStr">
        <is>
          <t>B8RLEA</t>
        </is>
      </c>
      <c r="FI2633" s="18" t="inlineStr">
        <is>
          <t>MARCOPOLO</t>
        </is>
      </c>
      <c r="FJ2633" s="18" t="inlineStr">
        <is>
          <t>GRAN VIALE</t>
        </is>
      </c>
      <c r="FK2633" s="18" t="n">
        <v>2020</v>
      </c>
      <c r="FL2633" s="18" t="inlineStr">
        <is>
          <t>C</t>
        </is>
      </c>
      <c r="FM2633" s="18" t="inlineStr">
        <is>
          <t>Recoleta</t>
        </is>
      </c>
      <c r="FP2633" t="inlineStr">
        <is>
          <t>C</t>
        </is>
      </c>
    </row>
    <row r="2634">
      <c r="FC2634" t="inlineStr">
        <is>
          <t>Diccionario 3</t>
        </is>
      </c>
      <c r="FD2634" s="17" t="inlineStr">
        <is>
          <t>LXWT88</t>
        </is>
      </c>
      <c r="FE2634" s="17" t="inlineStr">
        <is>
          <t>YV3T7U528LA200862</t>
        </is>
      </c>
      <c r="FF2634" s="18" t="n">
        <v>505976</v>
      </c>
      <c r="FG2634" s="18" t="inlineStr">
        <is>
          <t>VOLVO</t>
        </is>
      </c>
      <c r="FH2634" s="18" t="inlineStr">
        <is>
          <t>B8RLEA</t>
        </is>
      </c>
      <c r="FI2634" s="18" t="inlineStr">
        <is>
          <t>MARCOPOLO</t>
        </is>
      </c>
      <c r="FJ2634" s="18" t="inlineStr">
        <is>
          <t>GRAN VIALE</t>
        </is>
      </c>
      <c r="FK2634" s="18" t="n">
        <v>2020</v>
      </c>
      <c r="FL2634" s="18" t="inlineStr">
        <is>
          <t>C</t>
        </is>
      </c>
      <c r="FM2634" s="18" t="inlineStr">
        <is>
          <t>Recoleta</t>
        </is>
      </c>
      <c r="FP2634" t="inlineStr">
        <is>
          <t>C</t>
        </is>
      </c>
    </row>
    <row r="2635">
      <c r="FC2635" t="inlineStr">
        <is>
          <t>Diccionario 3</t>
        </is>
      </c>
      <c r="FD2635" s="17" t="inlineStr">
        <is>
          <t>LXWT89</t>
        </is>
      </c>
      <c r="FE2635" s="17" t="inlineStr">
        <is>
          <t>YV3T7U521LA201271</t>
        </is>
      </c>
      <c r="FF2635" s="18" t="n">
        <v>507683</v>
      </c>
      <c r="FG2635" s="18" t="inlineStr">
        <is>
          <t>VOLVO</t>
        </is>
      </c>
      <c r="FH2635" s="18" t="inlineStr">
        <is>
          <t>B8RLEA</t>
        </is>
      </c>
      <c r="FI2635" s="18" t="inlineStr">
        <is>
          <t>MARCOPOLO</t>
        </is>
      </c>
      <c r="FJ2635" s="18" t="inlineStr">
        <is>
          <t>GRAN VIALE</t>
        </is>
      </c>
      <c r="FK2635" s="18" t="n">
        <v>2020</v>
      </c>
      <c r="FL2635" s="18" t="inlineStr">
        <is>
          <t>C</t>
        </is>
      </c>
      <c r="FM2635" s="18" t="inlineStr">
        <is>
          <t>Lo Blanco</t>
        </is>
      </c>
      <c r="FP2635" t="inlineStr">
        <is>
          <t>C</t>
        </is>
      </c>
    </row>
    <row r="2636">
      <c r="FC2636" t="inlineStr">
        <is>
          <t>Diccionario 3</t>
        </is>
      </c>
      <c r="FD2636" s="17" t="inlineStr">
        <is>
          <t>LXWT90</t>
        </is>
      </c>
      <c r="FE2636" s="17" t="inlineStr">
        <is>
          <t>YV3T7U525LA201208</t>
        </is>
      </c>
      <c r="FF2636" s="18" t="n">
        <v>507344</v>
      </c>
      <c r="FG2636" s="18" t="inlineStr">
        <is>
          <t>VOLVO</t>
        </is>
      </c>
      <c r="FH2636" s="18" t="inlineStr">
        <is>
          <t>B8RLEA</t>
        </is>
      </c>
      <c r="FI2636" s="18" t="inlineStr">
        <is>
          <t>MARCOPOLO</t>
        </is>
      </c>
      <c r="FJ2636" s="18" t="inlineStr">
        <is>
          <t>GRAN VIALE</t>
        </is>
      </c>
      <c r="FK2636" s="18" t="n">
        <v>2020</v>
      </c>
      <c r="FL2636" s="18" t="inlineStr">
        <is>
          <t>C</t>
        </is>
      </c>
      <c r="FM2636" s="18" t="inlineStr">
        <is>
          <t>Lo Blanco</t>
        </is>
      </c>
      <c r="FP2636" t="inlineStr">
        <is>
          <t>C</t>
        </is>
      </c>
    </row>
    <row r="2637">
      <c r="FC2637" t="inlineStr">
        <is>
          <t>Diccionario 3</t>
        </is>
      </c>
      <c r="FD2637" s="17" t="inlineStr">
        <is>
          <t>LXWT91</t>
        </is>
      </c>
      <c r="FE2637" s="17" t="inlineStr">
        <is>
          <t>YV3T7U524LA200888</t>
        </is>
      </c>
      <c r="FF2637" s="18" t="n">
        <v>506177</v>
      </c>
      <c r="FG2637" s="18" t="inlineStr">
        <is>
          <t>VOLVO</t>
        </is>
      </c>
      <c r="FH2637" s="18" t="inlineStr">
        <is>
          <t>B8RLEA</t>
        </is>
      </c>
      <c r="FI2637" s="18" t="inlineStr">
        <is>
          <t>MARCOPOLO</t>
        </is>
      </c>
      <c r="FJ2637" s="18" t="inlineStr">
        <is>
          <t>GRAN VIALE</t>
        </is>
      </c>
      <c r="FK2637" s="18" t="n">
        <v>2020</v>
      </c>
      <c r="FL2637" s="18" t="inlineStr">
        <is>
          <t>C</t>
        </is>
      </c>
      <c r="FM2637" s="18" t="inlineStr">
        <is>
          <t>Recoleta</t>
        </is>
      </c>
      <c r="FP2637" t="inlineStr">
        <is>
          <t>C</t>
        </is>
      </c>
    </row>
    <row r="2638">
      <c r="FC2638" t="inlineStr">
        <is>
          <t>Diccionario 3</t>
        </is>
      </c>
      <c r="FD2638" s="17" t="inlineStr">
        <is>
          <t>LXWT92</t>
        </is>
      </c>
      <c r="FE2638" s="17" t="inlineStr">
        <is>
          <t>YV3T7U522LA200923</t>
        </is>
      </c>
      <c r="FF2638" s="18" t="n">
        <v>506195</v>
      </c>
      <c r="FG2638" s="18" t="inlineStr">
        <is>
          <t>VOLVO</t>
        </is>
      </c>
      <c r="FH2638" s="18" t="inlineStr">
        <is>
          <t>B8RLEA</t>
        </is>
      </c>
      <c r="FI2638" s="18" t="inlineStr">
        <is>
          <t>MARCOPOLO</t>
        </is>
      </c>
      <c r="FJ2638" s="18" t="inlineStr">
        <is>
          <t>GRAN VIALE</t>
        </is>
      </c>
      <c r="FK2638" s="18" t="n">
        <v>2020</v>
      </c>
      <c r="FL2638" s="18" t="inlineStr">
        <is>
          <t>C</t>
        </is>
      </c>
      <c r="FM2638" s="18" t="inlineStr">
        <is>
          <t>Lo Blanco</t>
        </is>
      </c>
      <c r="FP2638" t="inlineStr">
        <is>
          <t>C</t>
        </is>
      </c>
    </row>
    <row r="2639">
      <c r="FC2639" t="inlineStr">
        <is>
          <t>Diccionario 3</t>
        </is>
      </c>
      <c r="FD2639" s="17" t="inlineStr">
        <is>
          <t>LXWT93</t>
        </is>
      </c>
      <c r="FE2639" s="17" t="inlineStr">
        <is>
          <t>YV3T7U525LA201211</t>
        </is>
      </c>
      <c r="FF2639" s="18" t="n">
        <v>507350</v>
      </c>
      <c r="FG2639" s="18" t="inlineStr">
        <is>
          <t>VOLVO</t>
        </is>
      </c>
      <c r="FH2639" s="18" t="inlineStr">
        <is>
          <t>B8RLEA</t>
        </is>
      </c>
      <c r="FI2639" s="18" t="inlineStr">
        <is>
          <t>MARCOPOLO</t>
        </is>
      </c>
      <c r="FJ2639" s="18" t="inlineStr">
        <is>
          <t>GRAN VIALE</t>
        </is>
      </c>
      <c r="FK2639" s="18" t="n">
        <v>2020</v>
      </c>
      <c r="FL2639" s="18" t="inlineStr">
        <is>
          <t>C</t>
        </is>
      </c>
      <c r="FM2639" s="18" t="inlineStr">
        <is>
          <t>Lo Blanco</t>
        </is>
      </c>
      <c r="FP2639" t="inlineStr">
        <is>
          <t>C</t>
        </is>
      </c>
    </row>
    <row r="2640">
      <c r="FC2640" t="inlineStr">
        <is>
          <t>Diccionario 3</t>
        </is>
      </c>
      <c r="FD2640" s="17" t="inlineStr">
        <is>
          <t>LXWT94</t>
        </is>
      </c>
      <c r="FE2640" s="17" t="inlineStr">
        <is>
          <t>YV3T7U52XLA201317</t>
        </is>
      </c>
      <c r="FF2640" s="18" t="n">
        <v>507672</v>
      </c>
      <c r="FG2640" s="18" t="inlineStr">
        <is>
          <t>VOLVO</t>
        </is>
      </c>
      <c r="FH2640" s="18" t="inlineStr">
        <is>
          <t>B8RLEA</t>
        </is>
      </c>
      <c r="FI2640" s="18" t="inlineStr">
        <is>
          <t>MARCOPOLO</t>
        </is>
      </c>
      <c r="FJ2640" s="18" t="inlineStr">
        <is>
          <t>GRAN VIALE</t>
        </is>
      </c>
      <c r="FK2640" s="18" t="n">
        <v>2020</v>
      </c>
      <c r="FL2640" s="18" t="inlineStr">
        <is>
          <t>C</t>
        </is>
      </c>
      <c r="FM2640" s="18" t="inlineStr">
        <is>
          <t>Lo Blanco</t>
        </is>
      </c>
      <c r="FP2640" t="inlineStr">
        <is>
          <t>C</t>
        </is>
      </c>
    </row>
    <row r="2641">
      <c r="FC2641" t="inlineStr">
        <is>
          <t>Diccionario 3</t>
        </is>
      </c>
      <c r="FD2641" s="17" t="inlineStr">
        <is>
          <t>LXWT95</t>
        </is>
      </c>
      <c r="FE2641" s="17" t="inlineStr">
        <is>
          <t>YV3T7U523LA201269</t>
        </is>
      </c>
      <c r="FF2641" s="18" t="n">
        <v>507437</v>
      </c>
      <c r="FG2641" s="18" t="inlineStr">
        <is>
          <t>VOLVO</t>
        </is>
      </c>
      <c r="FH2641" s="18" t="inlineStr">
        <is>
          <t>B8RLEA</t>
        </is>
      </c>
      <c r="FI2641" s="18" t="inlineStr">
        <is>
          <t>MARCOPOLO</t>
        </is>
      </c>
      <c r="FJ2641" s="18" t="inlineStr">
        <is>
          <t>GRAN VIALE</t>
        </is>
      </c>
      <c r="FK2641" s="18" t="n">
        <v>2020</v>
      </c>
      <c r="FL2641" s="18" t="inlineStr">
        <is>
          <t>C</t>
        </is>
      </c>
      <c r="FM2641" s="18" t="inlineStr">
        <is>
          <t>Lo Blanco</t>
        </is>
      </c>
      <c r="FP2641" t="inlineStr">
        <is>
          <t>C</t>
        </is>
      </c>
    </row>
    <row r="2642">
      <c r="FC2642" t="inlineStr">
        <is>
          <t>Diccionario 3</t>
        </is>
      </c>
      <c r="FD2642" s="17" t="inlineStr">
        <is>
          <t>LXWT96</t>
        </is>
      </c>
      <c r="FE2642" s="17" t="inlineStr">
        <is>
          <t>YV3T7U528LA201252</t>
        </is>
      </c>
      <c r="FF2642" s="18" t="n">
        <v>506904</v>
      </c>
      <c r="FG2642" s="18" t="inlineStr">
        <is>
          <t>VOLVO</t>
        </is>
      </c>
      <c r="FH2642" s="18" t="inlineStr">
        <is>
          <t>B8RLEA</t>
        </is>
      </c>
      <c r="FI2642" s="18" t="inlineStr">
        <is>
          <t>MARCOPOLO</t>
        </is>
      </c>
      <c r="FJ2642" s="18" t="inlineStr">
        <is>
          <t>GRAN VIALE</t>
        </is>
      </c>
      <c r="FK2642" s="18" t="n">
        <v>2020</v>
      </c>
      <c r="FL2642" s="18" t="inlineStr">
        <is>
          <t>C</t>
        </is>
      </c>
      <c r="FM2642" s="18" t="inlineStr">
        <is>
          <t>Lo Blanco</t>
        </is>
      </c>
      <c r="FP2642" t="inlineStr">
        <is>
          <t>C</t>
        </is>
      </c>
    </row>
    <row r="2643">
      <c r="FC2643" t="inlineStr">
        <is>
          <t>Diccionario 3</t>
        </is>
      </c>
      <c r="FD2643" s="17" t="inlineStr">
        <is>
          <t>LXWT97</t>
        </is>
      </c>
      <c r="FE2643" s="17" t="inlineStr">
        <is>
          <t>YV3T7U523LA201210</t>
        </is>
      </c>
      <c r="FF2643" s="18" t="n">
        <v>507372</v>
      </c>
      <c r="FG2643" s="18" t="inlineStr">
        <is>
          <t>VOLVO</t>
        </is>
      </c>
      <c r="FH2643" s="18" t="inlineStr">
        <is>
          <t>B8RLEA</t>
        </is>
      </c>
      <c r="FI2643" s="18" t="inlineStr">
        <is>
          <t>MARCOPOLO</t>
        </is>
      </c>
      <c r="FJ2643" s="18" t="inlineStr">
        <is>
          <t>GRAN VIALE</t>
        </is>
      </c>
      <c r="FK2643" s="18" t="n">
        <v>2020</v>
      </c>
      <c r="FL2643" s="18" t="inlineStr">
        <is>
          <t>C</t>
        </is>
      </c>
      <c r="FM2643" s="18" t="inlineStr">
        <is>
          <t>Lo Blanco</t>
        </is>
      </c>
      <c r="FP2643" t="inlineStr">
        <is>
          <t>C</t>
        </is>
      </c>
    </row>
    <row r="2644">
      <c r="FC2644" t="inlineStr">
        <is>
          <t>Diccionario 3</t>
        </is>
      </c>
      <c r="FD2644" s="17" t="inlineStr">
        <is>
          <t>LXWT98</t>
        </is>
      </c>
      <c r="FE2644" s="17" t="inlineStr">
        <is>
          <t>YV3T7U522LA201182</t>
        </is>
      </c>
      <c r="FF2644" s="18" t="n">
        <v>506843</v>
      </c>
      <c r="FG2644" s="18" t="inlineStr">
        <is>
          <t>VOLVO</t>
        </is>
      </c>
      <c r="FH2644" s="18" t="inlineStr">
        <is>
          <t>B8RLEA</t>
        </is>
      </c>
      <c r="FI2644" s="18" t="inlineStr">
        <is>
          <t>MARCOPOLO</t>
        </is>
      </c>
      <c r="FJ2644" s="18" t="inlineStr">
        <is>
          <t>GRAN VIALE</t>
        </is>
      </c>
      <c r="FK2644" s="18" t="n">
        <v>2020</v>
      </c>
      <c r="FL2644" s="18" t="inlineStr">
        <is>
          <t>C</t>
        </is>
      </c>
      <c r="FM2644" s="18" t="inlineStr">
        <is>
          <t>Lo Blanco</t>
        </is>
      </c>
      <c r="FP2644" t="inlineStr">
        <is>
          <t>C</t>
        </is>
      </c>
    </row>
    <row r="2645">
      <c r="FC2645" t="inlineStr">
        <is>
          <t>Diccionario 3</t>
        </is>
      </c>
      <c r="FD2645" s="17" t="inlineStr">
        <is>
          <t>LXWT99</t>
        </is>
      </c>
      <c r="FE2645" s="17" t="inlineStr">
        <is>
          <t>YV3T7U527LA201212</t>
        </is>
      </c>
      <c r="FF2645" s="18" t="n">
        <v>507397</v>
      </c>
      <c r="FG2645" s="18" t="inlineStr">
        <is>
          <t>VOLVO</t>
        </is>
      </c>
      <c r="FH2645" s="18" t="inlineStr">
        <is>
          <t>B8RLEA</t>
        </is>
      </c>
      <c r="FI2645" s="18" t="inlineStr">
        <is>
          <t>MARCOPOLO</t>
        </is>
      </c>
      <c r="FJ2645" s="18" t="inlineStr">
        <is>
          <t>GRAN VIALE</t>
        </is>
      </c>
      <c r="FK2645" s="18" t="n">
        <v>2020</v>
      </c>
      <c r="FL2645" s="18" t="inlineStr">
        <is>
          <t>C</t>
        </is>
      </c>
      <c r="FM2645" s="18" t="inlineStr">
        <is>
          <t>Lo Blanco</t>
        </is>
      </c>
      <c r="FP2645" t="inlineStr">
        <is>
          <t>C</t>
        </is>
      </c>
    </row>
    <row r="2646">
      <c r="FC2646" t="inlineStr">
        <is>
          <t>Diccionario 3</t>
        </is>
      </c>
      <c r="FD2646" s="17" t="inlineStr">
        <is>
          <t>LZPG10</t>
        </is>
      </c>
      <c r="FE2646" s="17" t="inlineStr">
        <is>
          <t>YV3T7U521LA201254</t>
        </is>
      </c>
      <c r="FF2646" s="18" t="n">
        <v>507451</v>
      </c>
      <c r="FG2646" s="18" t="inlineStr">
        <is>
          <t>VOLVO</t>
        </is>
      </c>
      <c r="FH2646" s="18" t="inlineStr">
        <is>
          <t>B8RLEA</t>
        </is>
      </c>
      <c r="FI2646" s="18" t="inlineStr">
        <is>
          <t>MARCOPOLO</t>
        </is>
      </c>
      <c r="FJ2646" s="18" t="inlineStr">
        <is>
          <t>GRAN VIALE</t>
        </is>
      </c>
      <c r="FK2646" s="18" t="n">
        <v>2020</v>
      </c>
      <c r="FL2646" s="18" t="inlineStr">
        <is>
          <t>C</t>
        </is>
      </c>
      <c r="FM2646" s="18" t="inlineStr">
        <is>
          <t>Lo Blanco</t>
        </is>
      </c>
      <c r="FP2646" t="inlineStr">
        <is>
          <t>C</t>
        </is>
      </c>
    </row>
    <row r="2647">
      <c r="FC2647" t="inlineStr">
        <is>
          <t>Diccionario 3</t>
        </is>
      </c>
      <c r="FD2647" s="17" t="inlineStr">
        <is>
          <t>LZPG11</t>
        </is>
      </c>
      <c r="FE2647" s="17" t="inlineStr">
        <is>
          <t>YV3T7U523LA201255</t>
        </is>
      </c>
      <c r="FF2647" s="18" t="n">
        <v>507423</v>
      </c>
      <c r="FG2647" s="18" t="inlineStr">
        <is>
          <t>VOLVO</t>
        </is>
      </c>
      <c r="FH2647" s="18" t="inlineStr">
        <is>
          <t>B8RLEA</t>
        </is>
      </c>
      <c r="FI2647" s="18" t="inlineStr">
        <is>
          <t>MARCOPOLO</t>
        </is>
      </c>
      <c r="FJ2647" s="18" t="inlineStr">
        <is>
          <t>GRAN VIALE</t>
        </is>
      </c>
      <c r="FK2647" s="18" t="n">
        <v>2020</v>
      </c>
      <c r="FL2647" s="18" t="inlineStr">
        <is>
          <t>C</t>
        </is>
      </c>
      <c r="FM2647" s="18" t="inlineStr">
        <is>
          <t>Lo Blanco</t>
        </is>
      </c>
      <c r="FP2647" t="inlineStr">
        <is>
          <t>C</t>
        </is>
      </c>
    </row>
    <row r="2648">
      <c r="FC2648" t="inlineStr">
        <is>
          <t>Diccionario 3</t>
        </is>
      </c>
      <c r="FD2648" s="17" t="inlineStr">
        <is>
          <t>LZPG12</t>
        </is>
      </c>
      <c r="FE2648" s="17" t="inlineStr">
        <is>
          <t>YV3T7U527LA201257</t>
        </is>
      </c>
      <c r="FF2648" s="18" t="n">
        <v>507427</v>
      </c>
      <c r="FG2648" s="18" t="inlineStr">
        <is>
          <t>VOLVO</t>
        </is>
      </c>
      <c r="FH2648" s="18" t="inlineStr">
        <is>
          <t>B8RLEA</t>
        </is>
      </c>
      <c r="FI2648" s="18" t="inlineStr">
        <is>
          <t>MARCOPOLO</t>
        </is>
      </c>
      <c r="FJ2648" s="18" t="inlineStr">
        <is>
          <t>GRAN VIALE</t>
        </is>
      </c>
      <c r="FK2648" s="18" t="n">
        <v>2020</v>
      </c>
      <c r="FL2648" s="18" t="inlineStr">
        <is>
          <t>C</t>
        </is>
      </c>
      <c r="FM2648" s="18" t="inlineStr">
        <is>
          <t>Lo Blanco</t>
        </is>
      </c>
      <c r="FP2648" t="inlineStr">
        <is>
          <t>C</t>
        </is>
      </c>
    </row>
    <row r="2649">
      <c r="FC2649" t="inlineStr">
        <is>
          <t>Diccionario 3</t>
        </is>
      </c>
      <c r="FD2649" s="17" t="inlineStr">
        <is>
          <t>LZPG13</t>
        </is>
      </c>
      <c r="FE2649" s="17" t="inlineStr">
        <is>
          <t>YV3T7U520LA198718</t>
        </is>
      </c>
      <c r="FF2649" s="18" t="n">
        <v>499868</v>
      </c>
      <c r="FG2649" s="18" t="inlineStr">
        <is>
          <t>VOLVO</t>
        </is>
      </c>
      <c r="FH2649" s="18" t="inlineStr">
        <is>
          <t>B8RLEA</t>
        </is>
      </c>
      <c r="FI2649" s="18" t="inlineStr">
        <is>
          <t>MARCOPOLO</t>
        </is>
      </c>
      <c r="FJ2649" s="18" t="inlineStr">
        <is>
          <t>GRAN VIALE</t>
        </is>
      </c>
      <c r="FK2649" s="18" t="n">
        <v>2020</v>
      </c>
      <c r="FL2649" s="18" t="inlineStr">
        <is>
          <t>C</t>
        </is>
      </c>
      <c r="FM2649" s="18" t="inlineStr">
        <is>
          <t>Lo Blanco</t>
        </is>
      </c>
      <c r="FP2649" t="inlineStr">
        <is>
          <t>C</t>
        </is>
      </c>
    </row>
    <row r="2650">
      <c r="FC2650" t="inlineStr">
        <is>
          <t>Diccionario 3</t>
        </is>
      </c>
      <c r="FD2650" s="17" t="inlineStr">
        <is>
          <t>LZPG14</t>
        </is>
      </c>
      <c r="FE2650" s="17" t="inlineStr">
        <is>
          <t>YV3T7U522LA198719</t>
        </is>
      </c>
      <c r="FF2650" s="18" t="n">
        <v>499801</v>
      </c>
      <c r="FG2650" s="18" t="inlineStr">
        <is>
          <t>VOLVO</t>
        </is>
      </c>
      <c r="FH2650" s="18" t="inlineStr">
        <is>
          <t>B8RLEA</t>
        </is>
      </c>
      <c r="FI2650" s="18" t="inlineStr">
        <is>
          <t>MARCOPOLO</t>
        </is>
      </c>
      <c r="FJ2650" s="18" t="inlineStr">
        <is>
          <t>GRAN VIALE</t>
        </is>
      </c>
      <c r="FK2650" s="18" t="n">
        <v>2020</v>
      </c>
      <c r="FL2650" s="18" t="inlineStr">
        <is>
          <t>C</t>
        </is>
      </c>
      <c r="FM2650" s="18" t="inlineStr">
        <is>
          <t>Lo Blanco</t>
        </is>
      </c>
      <c r="FP2650" t="inlineStr">
        <is>
          <t>C</t>
        </is>
      </c>
    </row>
    <row r="2651">
      <c r="FC2651" t="inlineStr">
        <is>
          <t>Diccionario 3</t>
        </is>
      </c>
      <c r="FD2651" s="17" t="inlineStr">
        <is>
          <t>LZPG15</t>
        </is>
      </c>
      <c r="FE2651" s="17" t="inlineStr">
        <is>
          <t>YV3T7U52XLA200989</t>
        </is>
      </c>
      <c r="FF2651" s="18" t="n">
        <v>506525</v>
      </c>
      <c r="FG2651" s="18" t="inlineStr">
        <is>
          <t>VOLVO</t>
        </is>
      </c>
      <c r="FH2651" s="18" t="inlineStr">
        <is>
          <t>B8RLEA</t>
        </is>
      </c>
      <c r="FI2651" s="18" t="inlineStr">
        <is>
          <t>MARCOPOLO</t>
        </is>
      </c>
      <c r="FJ2651" s="18" t="inlineStr">
        <is>
          <t>GRAN VIALE</t>
        </is>
      </c>
      <c r="FK2651" s="18" t="n">
        <v>2020</v>
      </c>
      <c r="FL2651" s="18" t="inlineStr">
        <is>
          <t>C</t>
        </is>
      </c>
      <c r="FM2651" s="18" t="inlineStr">
        <is>
          <t>Recoleta</t>
        </is>
      </c>
      <c r="FP2651" t="inlineStr">
        <is>
          <t>C</t>
        </is>
      </c>
    </row>
    <row r="2652">
      <c r="FC2652" t="inlineStr">
        <is>
          <t>Diccionario 3</t>
        </is>
      </c>
      <c r="FD2652" s="17" t="inlineStr">
        <is>
          <t>LZPG16</t>
        </is>
      </c>
      <c r="FE2652" s="17" t="inlineStr">
        <is>
          <t>YV3T7U529LA198717</t>
        </is>
      </c>
      <c r="FF2652" s="18" t="n">
        <v>501057</v>
      </c>
      <c r="FG2652" s="18" t="inlineStr">
        <is>
          <t>VOLVO</t>
        </is>
      </c>
      <c r="FH2652" s="18" t="inlineStr">
        <is>
          <t>B8RLEA</t>
        </is>
      </c>
      <c r="FI2652" s="18" t="inlineStr">
        <is>
          <t>MARCOPOLO</t>
        </is>
      </c>
      <c r="FJ2652" s="18" t="inlineStr">
        <is>
          <t>GRAN VIALE</t>
        </is>
      </c>
      <c r="FK2652" s="18" t="n">
        <v>2020</v>
      </c>
      <c r="FL2652" s="18" t="inlineStr">
        <is>
          <t>C</t>
        </is>
      </c>
      <c r="FM2652" s="18" t="inlineStr">
        <is>
          <t>Recoleta</t>
        </is>
      </c>
      <c r="FP2652" t="inlineStr">
        <is>
          <t>C</t>
        </is>
      </c>
    </row>
    <row r="2653">
      <c r="FC2653" t="inlineStr">
        <is>
          <t>Diccionario 3</t>
        </is>
      </c>
      <c r="FD2653" s="17" t="inlineStr">
        <is>
          <t>LZPG17</t>
        </is>
      </c>
      <c r="FE2653" s="17" t="inlineStr">
        <is>
          <t>YV3T7U529LA198720</t>
        </is>
      </c>
      <c r="FF2653" s="18" t="n">
        <v>500912</v>
      </c>
      <c r="FG2653" s="18" t="inlineStr">
        <is>
          <t>VOLVO</t>
        </is>
      </c>
      <c r="FH2653" s="18" t="inlineStr">
        <is>
          <t>B8RLEA</t>
        </is>
      </c>
      <c r="FI2653" s="18" t="inlineStr">
        <is>
          <t>MARCOPOLO</t>
        </is>
      </c>
      <c r="FJ2653" s="18" t="inlineStr">
        <is>
          <t>GRAN VIALE</t>
        </is>
      </c>
      <c r="FK2653" s="18" t="n">
        <v>2020</v>
      </c>
      <c r="FL2653" s="18" t="inlineStr">
        <is>
          <t>C</t>
        </is>
      </c>
      <c r="FM2653" s="18" t="inlineStr">
        <is>
          <t>Lo Blanco</t>
        </is>
      </c>
      <c r="FP2653" t="inlineStr">
        <is>
          <t>C</t>
        </is>
      </c>
    </row>
    <row r="2654">
      <c r="FC2654" t="inlineStr">
        <is>
          <t>Diccionario 3</t>
        </is>
      </c>
      <c r="FD2654" s="17" t="inlineStr">
        <is>
          <t>LZPG18</t>
        </is>
      </c>
      <c r="FE2654" s="17" t="inlineStr">
        <is>
          <t>YV3T7U525LA201256</t>
        </is>
      </c>
      <c r="FF2654" s="18" t="n">
        <v>507442</v>
      </c>
      <c r="FG2654" s="18" t="inlineStr">
        <is>
          <t>VOLVO</t>
        </is>
      </c>
      <c r="FH2654" s="18" t="inlineStr">
        <is>
          <t>B8RLEA</t>
        </is>
      </c>
      <c r="FI2654" s="18" t="inlineStr">
        <is>
          <t>MARCOPOLO</t>
        </is>
      </c>
      <c r="FJ2654" s="18" t="inlineStr">
        <is>
          <t>GRAN VIALE</t>
        </is>
      </c>
      <c r="FK2654" s="18" t="n">
        <v>2020</v>
      </c>
      <c r="FL2654" s="18" t="inlineStr">
        <is>
          <t>C</t>
        </is>
      </c>
      <c r="FM2654" s="18" t="inlineStr">
        <is>
          <t>Lo Blanco</t>
        </is>
      </c>
      <c r="FP2654" t="inlineStr">
        <is>
          <t>C</t>
        </is>
      </c>
    </row>
    <row r="2655">
      <c r="FC2655" t="inlineStr">
        <is>
          <t>Diccionario 3</t>
        </is>
      </c>
      <c r="FD2655" s="17" t="inlineStr">
        <is>
          <t>LZPG19</t>
        </is>
      </c>
      <c r="FE2655" s="17" t="inlineStr">
        <is>
          <t>YV3T7U528LA200988</t>
        </is>
      </c>
      <c r="FF2655" s="18" t="n">
        <v>506479</v>
      </c>
      <c r="FG2655" s="18" t="inlineStr">
        <is>
          <t>VOLVO</t>
        </is>
      </c>
      <c r="FH2655" s="18" t="inlineStr">
        <is>
          <t>B8RLEA</t>
        </is>
      </c>
      <c r="FI2655" s="18" t="inlineStr">
        <is>
          <t>MARCOPOLO</t>
        </is>
      </c>
      <c r="FJ2655" s="18" t="inlineStr">
        <is>
          <t>GRAN VIALE</t>
        </is>
      </c>
      <c r="FK2655" s="18" t="n">
        <v>2020</v>
      </c>
      <c r="FL2655" s="18" t="inlineStr">
        <is>
          <t>C</t>
        </is>
      </c>
      <c r="FM2655" s="18" t="inlineStr">
        <is>
          <t>Lo Blanco</t>
        </is>
      </c>
      <c r="FP2655" t="inlineStr">
        <is>
          <t>C</t>
        </is>
      </c>
    </row>
    <row r="2656">
      <c r="FC2656" t="inlineStr">
        <is>
          <t>Diccionario 3</t>
        </is>
      </c>
      <c r="FD2656" s="17" t="inlineStr">
        <is>
          <t>LZPG20</t>
        </is>
      </c>
      <c r="FE2656" s="17" t="inlineStr">
        <is>
          <t>YV3T7U525LA201032</t>
        </is>
      </c>
      <c r="FF2656" s="18" t="n">
        <v>506651</v>
      </c>
      <c r="FG2656" s="18" t="inlineStr">
        <is>
          <t>VOLVO</t>
        </is>
      </c>
      <c r="FH2656" s="18" t="inlineStr">
        <is>
          <t>B8RLEA</t>
        </is>
      </c>
      <c r="FI2656" s="18" t="inlineStr">
        <is>
          <t>MARCOPOLO</t>
        </is>
      </c>
      <c r="FJ2656" s="18" t="inlineStr">
        <is>
          <t>GRAN VIALE</t>
        </is>
      </c>
      <c r="FK2656" s="18" t="n">
        <v>2020</v>
      </c>
      <c r="FL2656" s="18" t="inlineStr">
        <is>
          <t>C</t>
        </is>
      </c>
      <c r="FM2656" s="18" t="inlineStr">
        <is>
          <t>Lo Blanco</t>
        </is>
      </c>
      <c r="FP2656" t="inlineStr">
        <is>
          <t>C</t>
        </is>
      </c>
    </row>
    <row r="2657">
      <c r="FC2657" t="inlineStr">
        <is>
          <t>Diccionario 3</t>
        </is>
      </c>
      <c r="FD2657" s="17" t="inlineStr">
        <is>
          <t>LZPG21</t>
        </is>
      </c>
      <c r="FE2657" s="17" t="inlineStr">
        <is>
          <t>YV3T7U528LA201266</t>
        </is>
      </c>
      <c r="FF2657" s="18" t="n">
        <v>507458</v>
      </c>
      <c r="FG2657" s="18" t="inlineStr">
        <is>
          <t>VOLVO</t>
        </is>
      </c>
      <c r="FH2657" s="18" t="inlineStr">
        <is>
          <t>B8RLEA</t>
        </is>
      </c>
      <c r="FI2657" s="18" t="inlineStr">
        <is>
          <t>MARCOPOLO</t>
        </is>
      </c>
      <c r="FJ2657" s="18" t="inlineStr">
        <is>
          <t>GRAN VIALE</t>
        </is>
      </c>
      <c r="FK2657" s="18" t="n">
        <v>2020</v>
      </c>
      <c r="FL2657" s="18" t="inlineStr">
        <is>
          <t>C</t>
        </is>
      </c>
      <c r="FM2657" s="18" t="inlineStr">
        <is>
          <t>Lo Blanco</t>
        </is>
      </c>
      <c r="FP2657" t="inlineStr">
        <is>
          <t>C</t>
        </is>
      </c>
    </row>
    <row r="2658">
      <c r="FC2658" t="inlineStr">
        <is>
          <t>Diccionario 3</t>
        </is>
      </c>
      <c r="FD2658" s="17" t="inlineStr">
        <is>
          <t>LZPG22</t>
        </is>
      </c>
      <c r="FE2658" s="17" t="inlineStr">
        <is>
          <t>YV3T7U523LA201272</t>
        </is>
      </c>
      <c r="FF2658" s="18" t="n">
        <v>507661</v>
      </c>
      <c r="FG2658" s="18" t="inlineStr">
        <is>
          <t>VOLVO</t>
        </is>
      </c>
      <c r="FH2658" s="18" t="inlineStr">
        <is>
          <t>B8RLEA</t>
        </is>
      </c>
      <c r="FI2658" s="18" t="inlineStr">
        <is>
          <t>MARCOPOLO</t>
        </is>
      </c>
      <c r="FJ2658" s="18" t="inlineStr">
        <is>
          <t>GRAN VIALE</t>
        </is>
      </c>
      <c r="FK2658" s="18" t="n">
        <v>2020</v>
      </c>
      <c r="FL2658" s="18" t="inlineStr">
        <is>
          <t>C</t>
        </is>
      </c>
      <c r="FM2658" s="18" t="inlineStr">
        <is>
          <t>Lo Blanco</t>
        </is>
      </c>
      <c r="FP2658" t="inlineStr">
        <is>
          <t>C</t>
        </is>
      </c>
    </row>
    <row r="2659">
      <c r="FC2659" t="inlineStr">
        <is>
          <t>Diccionario 3</t>
        </is>
      </c>
      <c r="FD2659" s="17" t="inlineStr">
        <is>
          <t>LZPG23</t>
        </is>
      </c>
      <c r="FE2659" s="17" t="inlineStr">
        <is>
          <t>YV3T7U526LA200990</t>
        </is>
      </c>
      <c r="FF2659" s="18" t="n">
        <v>506530</v>
      </c>
      <c r="FG2659" s="18" t="inlineStr">
        <is>
          <t>VOLVO</t>
        </is>
      </c>
      <c r="FH2659" s="18" t="inlineStr">
        <is>
          <t>B8RLEA</t>
        </is>
      </c>
      <c r="FI2659" s="18" t="inlineStr">
        <is>
          <t>MARCOPOLO</t>
        </is>
      </c>
      <c r="FJ2659" s="18" t="inlineStr">
        <is>
          <t>GRAN VIALE</t>
        </is>
      </c>
      <c r="FK2659" s="18" t="n">
        <v>2020</v>
      </c>
      <c r="FL2659" s="18" t="inlineStr">
        <is>
          <t>C</t>
        </is>
      </c>
      <c r="FM2659" s="18" t="inlineStr">
        <is>
          <t>Recoleta</t>
        </is>
      </c>
      <c r="FP2659" t="inlineStr">
        <is>
          <t>C</t>
        </is>
      </c>
    </row>
    <row r="2660">
      <c r="FC2660" t="inlineStr">
        <is>
          <t>Diccionario 3</t>
        </is>
      </c>
      <c r="FD2660" s="17" t="inlineStr">
        <is>
          <t>LZPG24</t>
        </is>
      </c>
      <c r="FE2660" s="17" t="inlineStr">
        <is>
          <t>YV3T7U528LA200991</t>
        </is>
      </c>
      <c r="FF2660" s="18" t="n">
        <v>506543</v>
      </c>
      <c r="FG2660" s="18" t="inlineStr">
        <is>
          <t>VOLVO</t>
        </is>
      </c>
      <c r="FH2660" s="18" t="inlineStr">
        <is>
          <t>B8RLEA</t>
        </is>
      </c>
      <c r="FI2660" s="18" t="inlineStr">
        <is>
          <t>MARCOPOLO</t>
        </is>
      </c>
      <c r="FJ2660" s="18" t="inlineStr">
        <is>
          <t>GRAN VIALE</t>
        </is>
      </c>
      <c r="FK2660" s="18" t="n">
        <v>2020</v>
      </c>
      <c r="FL2660" s="18" t="inlineStr">
        <is>
          <t>C</t>
        </is>
      </c>
      <c r="FM2660" s="18" t="inlineStr">
        <is>
          <t>Lo Blanco</t>
        </is>
      </c>
      <c r="FP2660" t="inlineStr">
        <is>
          <t>C</t>
        </is>
      </c>
    </row>
    <row r="2661">
      <c r="FC2661" t="inlineStr">
        <is>
          <t>Diccionario 3</t>
        </is>
      </c>
      <c r="FD2661" s="17" t="inlineStr">
        <is>
          <t>LZPG25</t>
        </is>
      </c>
      <c r="FE2661" s="17" t="inlineStr">
        <is>
          <t>YV3T7U52XLA201267</t>
        </is>
      </c>
      <c r="FF2661" s="18" t="n">
        <v>507419</v>
      </c>
      <c r="FG2661" s="18" t="inlineStr">
        <is>
          <t>VOLVO</t>
        </is>
      </c>
      <c r="FH2661" s="18" t="inlineStr">
        <is>
          <t>B8RLEA</t>
        </is>
      </c>
      <c r="FI2661" s="18" t="inlineStr">
        <is>
          <t>MARCOPOLO</t>
        </is>
      </c>
      <c r="FJ2661" s="18" t="inlineStr">
        <is>
          <t>GRAN VIALE</t>
        </is>
      </c>
      <c r="FK2661" s="18" t="n">
        <v>2020</v>
      </c>
      <c r="FL2661" s="18" t="inlineStr">
        <is>
          <t>C</t>
        </is>
      </c>
      <c r="FM2661" s="18" t="inlineStr">
        <is>
          <t>Lo Blanco</t>
        </is>
      </c>
      <c r="FP2661" t="inlineStr">
        <is>
          <t>C</t>
        </is>
      </c>
    </row>
    <row r="2662">
      <c r="FC2662" t="inlineStr">
        <is>
          <t>Diccionario 3</t>
        </is>
      </c>
      <c r="FD2662" s="17" t="inlineStr">
        <is>
          <t>LZPG26</t>
        </is>
      </c>
      <c r="FE2662" s="17" t="inlineStr">
        <is>
          <t>YV3T7U521LA201268</t>
        </is>
      </c>
      <c r="FF2662" s="18" t="n">
        <v>507446</v>
      </c>
      <c r="FG2662" s="18" t="inlineStr">
        <is>
          <t>VOLVO</t>
        </is>
      </c>
      <c r="FH2662" s="18" t="inlineStr">
        <is>
          <t>B8RLEA</t>
        </is>
      </c>
      <c r="FI2662" s="18" t="inlineStr">
        <is>
          <t>MARCOPOLO</t>
        </is>
      </c>
      <c r="FJ2662" s="18" t="inlineStr">
        <is>
          <t>GRAN VIALE</t>
        </is>
      </c>
      <c r="FK2662" s="18" t="n">
        <v>2020</v>
      </c>
      <c r="FL2662" s="18" t="inlineStr">
        <is>
          <t>C</t>
        </is>
      </c>
      <c r="FM2662" s="18" t="inlineStr">
        <is>
          <t>Lo Blanco</t>
        </is>
      </c>
      <c r="FP2662" t="inlineStr">
        <is>
          <t>C</t>
        </is>
      </c>
    </row>
    <row r="2663">
      <c r="FC2663" t="inlineStr">
        <is>
          <t>Diccionario 3</t>
        </is>
      </c>
      <c r="FD2663" s="17" t="inlineStr">
        <is>
          <t>LZPG27</t>
        </is>
      </c>
      <c r="FE2663" s="17" t="inlineStr">
        <is>
          <t>YV3T7U520LA200922</t>
        </is>
      </c>
      <c r="FF2663" s="18" t="n">
        <v>506223</v>
      </c>
      <c r="FG2663" s="18" t="inlineStr">
        <is>
          <t>VOLVO</t>
        </is>
      </c>
      <c r="FH2663" s="18" t="inlineStr">
        <is>
          <t>B8RLEA</t>
        </is>
      </c>
      <c r="FI2663" s="18" t="inlineStr">
        <is>
          <t>MARCOPOLO</t>
        </is>
      </c>
      <c r="FJ2663" s="18" t="inlineStr">
        <is>
          <t>GRAN VIALE</t>
        </is>
      </c>
      <c r="FK2663" s="18" t="n">
        <v>2020</v>
      </c>
      <c r="FL2663" s="18" t="inlineStr">
        <is>
          <t>C</t>
        </is>
      </c>
      <c r="FM2663" s="18" t="inlineStr">
        <is>
          <t>Lo Blanco</t>
        </is>
      </c>
      <c r="FP2663" t="inlineStr">
        <is>
          <t>C</t>
        </is>
      </c>
    </row>
    <row r="2664">
      <c r="FC2664" t="inlineStr">
        <is>
          <t>Diccionario 3</t>
        </is>
      </c>
      <c r="FD2664" s="17" t="inlineStr">
        <is>
          <t>LZPR78</t>
        </is>
      </c>
      <c r="FE2664" s="17" t="inlineStr">
        <is>
          <t>YV3T7U52XLA201253</t>
        </is>
      </c>
      <c r="FF2664" s="18" t="n">
        <v>507455</v>
      </c>
      <c r="FG2664" s="18" t="inlineStr">
        <is>
          <t>VOLVO</t>
        </is>
      </c>
      <c r="FH2664" s="18" t="inlineStr">
        <is>
          <t>B8RLEA</t>
        </is>
      </c>
      <c r="FI2664" s="18" t="inlineStr">
        <is>
          <t>MARCOPOLO</t>
        </is>
      </c>
      <c r="FJ2664" s="18" t="inlineStr">
        <is>
          <t>GRAN VIALE</t>
        </is>
      </c>
      <c r="FK2664" s="18" t="n">
        <v>2020</v>
      </c>
      <c r="FL2664" s="18" t="inlineStr">
        <is>
          <t>C</t>
        </is>
      </c>
      <c r="FM2664" s="18" t="inlineStr">
        <is>
          <t>Recoleta</t>
        </is>
      </c>
      <c r="FP2664" t="inlineStr">
        <is>
          <t>C</t>
        </is>
      </c>
    </row>
    <row r="2665">
      <c r="FC2665" t="inlineStr">
        <is>
          <t>Diccionario 3</t>
        </is>
      </c>
      <c r="FD2665" s="17" t="inlineStr">
        <is>
          <t>LZPR79</t>
        </is>
      </c>
      <c r="FE2665" s="17" t="inlineStr">
        <is>
          <t>YV3T7U521LA201044</t>
        </is>
      </c>
      <c r="FF2665" s="18" t="n">
        <v>506662</v>
      </c>
      <c r="FG2665" s="18" t="inlineStr">
        <is>
          <t>VOLVO</t>
        </is>
      </c>
      <c r="FH2665" s="18" t="inlineStr">
        <is>
          <t>B8RLEA</t>
        </is>
      </c>
      <c r="FI2665" s="18" t="inlineStr">
        <is>
          <t>MARCOPOLO</t>
        </is>
      </c>
      <c r="FJ2665" s="18" t="inlineStr">
        <is>
          <t>GRAN VIALE</t>
        </is>
      </c>
      <c r="FK2665" s="18" t="n">
        <v>2020</v>
      </c>
      <c r="FL2665" s="18" t="inlineStr">
        <is>
          <t>C</t>
        </is>
      </c>
      <c r="FM2665" s="18" t="inlineStr">
        <is>
          <t>Recoleta</t>
        </is>
      </c>
      <c r="FP2665" t="inlineStr">
        <is>
          <t>C</t>
        </is>
      </c>
    </row>
    <row r="2666">
      <c r="FC2666" t="inlineStr">
        <is>
          <t>Diccionario 3</t>
        </is>
      </c>
      <c r="FD2666" s="17" t="inlineStr">
        <is>
          <t>LZPR80</t>
        </is>
      </c>
      <c r="FE2666" s="17" t="inlineStr">
        <is>
          <t>YV3T7U528LA201171</t>
        </is>
      </c>
      <c r="FF2666" s="18" t="n">
        <v>507173</v>
      </c>
      <c r="FG2666" s="18" t="inlineStr">
        <is>
          <t>VOLVO</t>
        </is>
      </c>
      <c r="FH2666" s="18" t="inlineStr">
        <is>
          <t>B8RLEA</t>
        </is>
      </c>
      <c r="FI2666" s="18" t="inlineStr">
        <is>
          <t>MARCOPOLO</t>
        </is>
      </c>
      <c r="FJ2666" s="18" t="inlineStr">
        <is>
          <t>GRAN VIALE</t>
        </is>
      </c>
      <c r="FK2666" s="18" t="n">
        <v>2020</v>
      </c>
      <c r="FL2666" s="18" t="inlineStr">
        <is>
          <t>C</t>
        </is>
      </c>
      <c r="FM2666" s="18" t="inlineStr">
        <is>
          <t>Recoleta</t>
        </is>
      </c>
      <c r="FP2666" t="inlineStr">
        <is>
          <t>C</t>
        </is>
      </c>
    </row>
    <row r="2667">
      <c r="FC2667" t="inlineStr">
        <is>
          <t>Diccionario 3</t>
        </is>
      </c>
      <c r="FD2667" s="17" t="inlineStr">
        <is>
          <t>LZPR81</t>
        </is>
      </c>
      <c r="FE2667" s="17" t="inlineStr">
        <is>
          <t>YV3T7U526LA201167</t>
        </is>
      </c>
      <c r="FF2667" s="18" t="n">
        <v>507153</v>
      </c>
      <c r="FG2667" s="18" t="inlineStr">
        <is>
          <t>VOLVO</t>
        </is>
      </c>
      <c r="FH2667" s="18" t="inlineStr">
        <is>
          <t>B8RLEA</t>
        </is>
      </c>
      <c r="FI2667" s="18" t="inlineStr">
        <is>
          <t>MARCOPOLO</t>
        </is>
      </c>
      <c r="FJ2667" s="18" t="inlineStr">
        <is>
          <t>GRAN VIALE</t>
        </is>
      </c>
      <c r="FK2667" s="18" t="n">
        <v>2020</v>
      </c>
      <c r="FL2667" s="18" t="inlineStr">
        <is>
          <t>C</t>
        </is>
      </c>
      <c r="FM2667" s="18" t="inlineStr">
        <is>
          <t>Recoleta</t>
        </is>
      </c>
      <c r="FP2667" t="inlineStr">
        <is>
          <t>C</t>
        </is>
      </c>
    </row>
    <row r="2668">
      <c r="FC2668" t="inlineStr">
        <is>
          <t>Diccionario 3</t>
        </is>
      </c>
      <c r="FD2668" s="17" t="inlineStr">
        <is>
          <t>LZPR82</t>
        </is>
      </c>
      <c r="FE2668" s="17" t="inlineStr">
        <is>
          <t>YV3T7U528LA201168</t>
        </is>
      </c>
      <c r="FF2668" s="18" t="n">
        <v>507167</v>
      </c>
      <c r="FG2668" s="18" t="inlineStr">
        <is>
          <t>VOLVO</t>
        </is>
      </c>
      <c r="FH2668" s="18" t="inlineStr">
        <is>
          <t>B8RLEA</t>
        </is>
      </c>
      <c r="FI2668" s="18" t="inlineStr">
        <is>
          <t>MARCOPOLO</t>
        </is>
      </c>
      <c r="FJ2668" s="18" t="inlineStr">
        <is>
          <t>GRAN VIALE</t>
        </is>
      </c>
      <c r="FK2668" s="18" t="n">
        <v>2020</v>
      </c>
      <c r="FL2668" s="18" t="inlineStr">
        <is>
          <t>C</t>
        </is>
      </c>
      <c r="FM2668" s="18" t="inlineStr">
        <is>
          <t>Recoleta</t>
        </is>
      </c>
      <c r="FP2668" t="inlineStr">
        <is>
          <t>C</t>
        </is>
      </c>
    </row>
    <row r="2669">
      <c r="FC2669" t="inlineStr">
        <is>
          <t>Diccionario 3</t>
        </is>
      </c>
      <c r="FD2669" s="17" t="inlineStr">
        <is>
          <t>LZPR83</t>
        </is>
      </c>
      <c r="FE2669" s="17" t="inlineStr">
        <is>
          <t>YV3T7U525LA201144</t>
        </is>
      </c>
      <c r="FF2669" s="18" t="n">
        <v>507082</v>
      </c>
      <c r="FG2669" s="18" t="inlineStr">
        <is>
          <t>VOLVO</t>
        </is>
      </c>
      <c r="FH2669" s="18" t="inlineStr">
        <is>
          <t>B8RLEA</t>
        </is>
      </c>
      <c r="FI2669" s="18" t="inlineStr">
        <is>
          <t>MARCOPOLO</t>
        </is>
      </c>
      <c r="FJ2669" s="18" t="inlineStr">
        <is>
          <t>GRAN VIALE</t>
        </is>
      </c>
      <c r="FK2669" s="18" t="n">
        <v>2020</v>
      </c>
      <c r="FL2669" s="18" t="inlineStr">
        <is>
          <t>C</t>
        </is>
      </c>
      <c r="FM2669" s="18" t="inlineStr">
        <is>
          <t>Recoleta</t>
        </is>
      </c>
      <c r="FP2669" t="inlineStr">
        <is>
          <t>C</t>
        </is>
      </c>
    </row>
    <row r="2670">
      <c r="FC2670" t="inlineStr">
        <is>
          <t>Diccionario 3</t>
        </is>
      </c>
      <c r="FD2670" s="17" t="inlineStr">
        <is>
          <t>LZPR84</t>
        </is>
      </c>
      <c r="FE2670" s="17" t="inlineStr">
        <is>
          <t>YV3T7U520LA201035</t>
        </is>
      </c>
      <c r="FF2670" s="18" t="n">
        <v>506645</v>
      </c>
      <c r="FG2670" s="18" t="inlineStr">
        <is>
          <t>VOLVO</t>
        </is>
      </c>
      <c r="FH2670" s="18" t="inlineStr">
        <is>
          <t>B8RLEA</t>
        </is>
      </c>
      <c r="FI2670" s="18" t="inlineStr">
        <is>
          <t>MARCOPOLO</t>
        </is>
      </c>
      <c r="FJ2670" s="18" t="inlineStr">
        <is>
          <t>GRAN VIALE</t>
        </is>
      </c>
      <c r="FK2670" s="18" t="n">
        <v>2020</v>
      </c>
      <c r="FL2670" s="18" t="inlineStr">
        <is>
          <t>C</t>
        </is>
      </c>
      <c r="FM2670" s="18" t="inlineStr">
        <is>
          <t>Recoleta</t>
        </is>
      </c>
      <c r="FP2670" t="inlineStr">
        <is>
          <t>C</t>
        </is>
      </c>
    </row>
    <row r="2671">
      <c r="FC2671" t="inlineStr">
        <is>
          <t>Diccionario 3</t>
        </is>
      </c>
      <c r="FD2671" s="17" t="inlineStr">
        <is>
          <t>LZPR85</t>
        </is>
      </c>
      <c r="FE2671" s="17" t="inlineStr">
        <is>
          <t>YV3T7U527LA201209</t>
        </is>
      </c>
      <c r="FF2671" s="18" t="n">
        <v>507402</v>
      </c>
      <c r="FG2671" s="18" t="inlineStr">
        <is>
          <t>VOLVO</t>
        </is>
      </c>
      <c r="FH2671" s="18" t="inlineStr">
        <is>
          <t>B8RLEA</t>
        </is>
      </c>
      <c r="FI2671" s="18" t="inlineStr">
        <is>
          <t>MARCOPOLO</t>
        </is>
      </c>
      <c r="FJ2671" s="18" t="inlineStr">
        <is>
          <t>GRAN VIALE</t>
        </is>
      </c>
      <c r="FK2671" s="18" t="n">
        <v>2020</v>
      </c>
      <c r="FL2671" s="18" t="inlineStr">
        <is>
          <t>C</t>
        </is>
      </c>
      <c r="FM2671" s="18" t="inlineStr">
        <is>
          <t>Recoleta</t>
        </is>
      </c>
      <c r="FP2671" t="inlineStr">
        <is>
          <t>C</t>
        </is>
      </c>
    </row>
    <row r="2672">
      <c r="FC2672" t="inlineStr">
        <is>
          <t>Diccionario 3</t>
        </is>
      </c>
      <c r="FD2672" s="17" t="inlineStr">
        <is>
          <t>LZPR86</t>
        </is>
      </c>
      <c r="FE2672" s="17" t="inlineStr">
        <is>
          <t>YV3T7U52XLA201186</t>
        </is>
      </c>
      <c r="FF2672" s="18" t="n">
        <v>507277</v>
      </c>
      <c r="FG2672" s="18" t="inlineStr">
        <is>
          <t>VOLVO</t>
        </is>
      </c>
      <c r="FH2672" s="18" t="inlineStr">
        <is>
          <t>B8RLEA</t>
        </is>
      </c>
      <c r="FI2672" s="18" t="inlineStr">
        <is>
          <t>MARCOPOLO</t>
        </is>
      </c>
      <c r="FJ2672" s="18" t="inlineStr">
        <is>
          <t>GRAN VIALE</t>
        </is>
      </c>
      <c r="FK2672" s="18" t="n">
        <v>2020</v>
      </c>
      <c r="FL2672" s="18" t="inlineStr">
        <is>
          <t>C</t>
        </is>
      </c>
      <c r="FM2672" s="18" t="inlineStr">
        <is>
          <t>Recoleta</t>
        </is>
      </c>
      <c r="FP2672" t="inlineStr">
        <is>
          <t>C</t>
        </is>
      </c>
    </row>
    <row r="2673">
      <c r="FC2673" t="inlineStr">
        <is>
          <t>Diccionario 3</t>
        </is>
      </c>
      <c r="FD2673" s="17" t="inlineStr">
        <is>
          <t>LZPR87</t>
        </is>
      </c>
      <c r="FE2673" s="17" t="inlineStr">
        <is>
          <t>YV3T7U528LA201185</t>
        </is>
      </c>
      <c r="FF2673" s="18" t="n">
        <v>506865</v>
      </c>
      <c r="FG2673" s="18" t="inlineStr">
        <is>
          <t>VOLVO</t>
        </is>
      </c>
      <c r="FH2673" s="18" t="inlineStr">
        <is>
          <t>B8RLEA</t>
        </is>
      </c>
      <c r="FI2673" s="18" t="inlineStr">
        <is>
          <t>MARCOPOLO</t>
        </is>
      </c>
      <c r="FJ2673" s="18" t="inlineStr">
        <is>
          <t>GRAN VIALE</t>
        </is>
      </c>
      <c r="FK2673" s="18" t="n">
        <v>2020</v>
      </c>
      <c r="FL2673" s="18" t="inlineStr">
        <is>
          <t>C</t>
        </is>
      </c>
      <c r="FM2673" s="18" t="inlineStr">
        <is>
          <t>Recoleta</t>
        </is>
      </c>
      <c r="FP2673" t="inlineStr">
        <is>
          <t>C</t>
        </is>
      </c>
    </row>
    <row r="2674">
      <c r="FC2674" t="inlineStr">
        <is>
          <t>Diccionario 3</t>
        </is>
      </c>
      <c r="FD2674" s="17" t="inlineStr">
        <is>
          <t>LZPR88</t>
        </is>
      </c>
      <c r="FE2674" s="17" t="inlineStr">
        <is>
          <t>YV3T7U523LA201059</t>
        </is>
      </c>
      <c r="FF2674" s="18" t="n">
        <v>506732</v>
      </c>
      <c r="FG2674" s="18" t="inlineStr">
        <is>
          <t>VOLVO</t>
        </is>
      </c>
      <c r="FH2674" s="18" t="inlineStr">
        <is>
          <t>B8RLEA</t>
        </is>
      </c>
      <c r="FI2674" s="18" t="inlineStr">
        <is>
          <t>MARCOPOLO</t>
        </is>
      </c>
      <c r="FJ2674" s="18" t="inlineStr">
        <is>
          <t>GRAN VIALE</t>
        </is>
      </c>
      <c r="FK2674" s="18" t="n">
        <v>2020</v>
      </c>
      <c r="FL2674" s="18" t="inlineStr">
        <is>
          <t>C</t>
        </is>
      </c>
      <c r="FM2674" s="18" t="inlineStr">
        <is>
          <t>Recoleta</t>
        </is>
      </c>
      <c r="FP2674" t="inlineStr">
        <is>
          <t>C</t>
        </is>
      </c>
    </row>
    <row r="2675">
      <c r="FC2675" t="inlineStr">
        <is>
          <t>Diccionario 3</t>
        </is>
      </c>
      <c r="FD2675" s="17" t="inlineStr">
        <is>
          <t>LZPR89</t>
        </is>
      </c>
      <c r="FE2675" s="17" t="inlineStr">
        <is>
          <t>YV3T7U527LA201033</t>
        </is>
      </c>
      <c r="FF2675" s="18" t="n">
        <v>506661</v>
      </c>
      <c r="FG2675" s="18" t="inlineStr">
        <is>
          <t>VOLVO</t>
        </is>
      </c>
      <c r="FH2675" s="18" t="inlineStr">
        <is>
          <t>B8RLEA</t>
        </is>
      </c>
      <c r="FI2675" s="18" t="inlineStr">
        <is>
          <t>MARCOPOLO</t>
        </is>
      </c>
      <c r="FJ2675" s="18" t="inlineStr">
        <is>
          <t>GRAN VIALE</t>
        </is>
      </c>
      <c r="FK2675" s="18" t="n">
        <v>2020</v>
      </c>
      <c r="FL2675" s="18" t="inlineStr">
        <is>
          <t>C</t>
        </is>
      </c>
      <c r="FM2675" s="18" t="inlineStr">
        <is>
          <t>Recoleta</t>
        </is>
      </c>
      <c r="FP2675" t="inlineStr">
        <is>
          <t>C</t>
        </is>
      </c>
    </row>
    <row r="2676">
      <c r="FC2676" t="inlineStr">
        <is>
          <t>Diccionario 3</t>
        </is>
      </c>
      <c r="FD2676" s="17" t="inlineStr">
        <is>
          <t>LZPR90</t>
        </is>
      </c>
      <c r="FE2676" s="17" t="inlineStr">
        <is>
          <t>YV3T7U52XLA200992</t>
        </is>
      </c>
      <c r="FF2676" s="18" t="n">
        <v>506598</v>
      </c>
      <c r="FG2676" s="18" t="inlineStr">
        <is>
          <t>VOLVO</t>
        </is>
      </c>
      <c r="FH2676" s="18" t="inlineStr">
        <is>
          <t>B8RLEA</t>
        </is>
      </c>
      <c r="FI2676" s="18" t="inlineStr">
        <is>
          <t>MARCOPOLO</t>
        </is>
      </c>
      <c r="FJ2676" s="18" t="inlineStr">
        <is>
          <t>GRAN VIALE</t>
        </is>
      </c>
      <c r="FK2676" s="18" t="n">
        <v>2020</v>
      </c>
      <c r="FL2676" s="18" t="inlineStr">
        <is>
          <t>C</t>
        </is>
      </c>
      <c r="FM2676" s="18" t="inlineStr">
        <is>
          <t>Recoleta</t>
        </is>
      </c>
      <c r="FP2676" t="inlineStr">
        <is>
          <t>C</t>
        </is>
      </c>
    </row>
    <row r="2677">
      <c r="FC2677" t="inlineStr">
        <is>
          <t>Diccionario 3</t>
        </is>
      </c>
      <c r="FD2677" s="17" t="inlineStr">
        <is>
          <t>LZPR92</t>
        </is>
      </c>
      <c r="FE2677" s="17" t="inlineStr">
        <is>
          <t>YV3T7U522LA200971</t>
        </is>
      </c>
      <c r="FF2677" s="18" t="n">
        <v>506305</v>
      </c>
      <c r="FG2677" s="18" t="inlineStr">
        <is>
          <t>VOLVO</t>
        </is>
      </c>
      <c r="FH2677" s="18" t="inlineStr">
        <is>
          <t>B8RLEA</t>
        </is>
      </c>
      <c r="FI2677" s="18" t="inlineStr">
        <is>
          <t>MARCOPOLO</t>
        </is>
      </c>
      <c r="FJ2677" s="18" t="inlineStr">
        <is>
          <t>GRAN VIALE</t>
        </is>
      </c>
      <c r="FK2677" s="18" t="n">
        <v>2020</v>
      </c>
      <c r="FL2677" s="18" t="inlineStr">
        <is>
          <t>C</t>
        </is>
      </c>
      <c r="FM2677" s="18" t="inlineStr">
        <is>
          <t>Recoleta</t>
        </is>
      </c>
      <c r="FP2677" t="inlineStr">
        <is>
          <t>C</t>
        </is>
      </c>
    </row>
    <row r="2678">
      <c r="FC2678" t="inlineStr">
        <is>
          <t>Diccionario 3</t>
        </is>
      </c>
      <c r="FD2678" s="17" t="inlineStr">
        <is>
          <t>LZPR93</t>
        </is>
      </c>
      <c r="FE2678" s="17" t="inlineStr">
        <is>
          <t>YV3T7U525LA201046</t>
        </is>
      </c>
      <c r="FF2678" s="18" t="n">
        <v>506647</v>
      </c>
      <c r="FG2678" s="18" t="inlineStr">
        <is>
          <t>VOLVO</t>
        </is>
      </c>
      <c r="FH2678" s="18" t="inlineStr">
        <is>
          <t>B8RLEA</t>
        </is>
      </c>
      <c r="FI2678" s="18" t="inlineStr">
        <is>
          <t>MARCOPOLO</t>
        </is>
      </c>
      <c r="FJ2678" s="18" t="inlineStr">
        <is>
          <t>GRAN VIALE</t>
        </is>
      </c>
      <c r="FK2678" s="18" t="n">
        <v>2020</v>
      </c>
      <c r="FL2678" s="18" t="inlineStr">
        <is>
          <t>C</t>
        </is>
      </c>
      <c r="FM2678" s="18" t="inlineStr">
        <is>
          <t>Recoleta</t>
        </is>
      </c>
      <c r="FP2678" t="inlineStr">
        <is>
          <t>C</t>
        </is>
      </c>
    </row>
    <row r="2679">
      <c r="FC2679" t="inlineStr">
        <is>
          <t>Diccionario 3</t>
        </is>
      </c>
      <c r="FD2679" s="17" t="inlineStr">
        <is>
          <t>LZPR94</t>
        </is>
      </c>
      <c r="FE2679" s="17" t="inlineStr">
        <is>
          <t>YV3T7U521LA201156</t>
        </is>
      </c>
      <c r="FF2679" s="18" t="n">
        <v>507078</v>
      </c>
      <c r="FG2679" s="18" t="inlineStr">
        <is>
          <t>VOLVO</t>
        </is>
      </c>
      <c r="FH2679" s="18" t="inlineStr">
        <is>
          <t>B8RLEA</t>
        </is>
      </c>
      <c r="FI2679" s="18" t="inlineStr">
        <is>
          <t>MARCOPOLO</t>
        </is>
      </c>
      <c r="FJ2679" s="18" t="inlineStr">
        <is>
          <t>GRAN VIALE</t>
        </is>
      </c>
      <c r="FK2679" s="18" t="n">
        <v>2020</v>
      </c>
      <c r="FL2679" s="18" t="inlineStr">
        <is>
          <t>C</t>
        </is>
      </c>
      <c r="FM2679" s="18" t="inlineStr">
        <is>
          <t>Recoleta</t>
        </is>
      </c>
      <c r="FP2679" t="inlineStr">
        <is>
          <t>C</t>
        </is>
      </c>
    </row>
    <row r="2680">
      <c r="FC2680" t="inlineStr">
        <is>
          <t>Diccionario 3</t>
        </is>
      </c>
      <c r="FD2680" s="17" t="inlineStr">
        <is>
          <t>LZPR95</t>
        </is>
      </c>
      <c r="FE2680" s="17" t="inlineStr">
        <is>
          <t>YV3T7U521LA201058</t>
        </is>
      </c>
      <c r="FF2680" s="18" t="n">
        <v>506749</v>
      </c>
      <c r="FG2680" s="18" t="inlineStr">
        <is>
          <t>VOLVO</t>
        </is>
      </c>
      <c r="FH2680" s="18" t="inlineStr">
        <is>
          <t>B8RLEA</t>
        </is>
      </c>
      <c r="FI2680" s="18" t="inlineStr">
        <is>
          <t>MARCOPOLO</t>
        </is>
      </c>
      <c r="FJ2680" s="18" t="inlineStr">
        <is>
          <t>GRAN VIALE</t>
        </is>
      </c>
      <c r="FK2680" s="18" t="n">
        <v>2020</v>
      </c>
      <c r="FL2680" s="18" t="inlineStr">
        <is>
          <t>C</t>
        </is>
      </c>
      <c r="FM2680" s="18" t="inlineStr">
        <is>
          <t>Recoleta</t>
        </is>
      </c>
      <c r="FP2680" t="inlineStr">
        <is>
          <t>C</t>
        </is>
      </c>
    </row>
    <row r="2681">
      <c r="FC2681" t="inlineStr">
        <is>
          <t>Diccionario 3</t>
        </is>
      </c>
      <c r="FD2681" s="17" t="inlineStr">
        <is>
          <t>LZPR96</t>
        </is>
      </c>
      <c r="FE2681" s="17" t="inlineStr">
        <is>
          <t>YV3T7U528LA201073</t>
        </is>
      </c>
      <c r="FF2681" s="18" t="n">
        <v>507040</v>
      </c>
      <c r="FG2681" s="18" t="inlineStr">
        <is>
          <t>VOLVO</t>
        </is>
      </c>
      <c r="FH2681" s="18" t="inlineStr">
        <is>
          <t>B8RLEA</t>
        </is>
      </c>
      <c r="FI2681" s="18" t="inlineStr">
        <is>
          <t>MARCOPOLO</t>
        </is>
      </c>
      <c r="FJ2681" s="18" t="inlineStr">
        <is>
          <t>GRAN VIALE</t>
        </is>
      </c>
      <c r="FK2681" s="18" t="n">
        <v>2020</v>
      </c>
      <c r="FL2681" s="18" t="inlineStr">
        <is>
          <t>C</t>
        </is>
      </c>
      <c r="FM2681" s="18" t="inlineStr">
        <is>
          <t>Recoleta</t>
        </is>
      </c>
      <c r="FP2681" t="inlineStr">
        <is>
          <t>C</t>
        </is>
      </c>
    </row>
    <row r="2682">
      <c r="FC2682" t="inlineStr">
        <is>
          <t>Diccionario 3</t>
        </is>
      </c>
      <c r="FD2682" s="17" t="inlineStr">
        <is>
          <t>LZPR97</t>
        </is>
      </c>
      <c r="FE2682" s="17" t="inlineStr">
        <is>
          <t>YV3T7U524LA201071</t>
        </is>
      </c>
      <c r="FF2682" s="18" t="n">
        <v>506999</v>
      </c>
      <c r="FG2682" s="18" t="inlineStr">
        <is>
          <t>VOLVO</t>
        </is>
      </c>
      <c r="FH2682" s="18" t="inlineStr">
        <is>
          <t>B8RLEA</t>
        </is>
      </c>
      <c r="FI2682" s="18" t="inlineStr">
        <is>
          <t>MARCOPOLO</t>
        </is>
      </c>
      <c r="FJ2682" s="18" t="inlineStr">
        <is>
          <t>GRAN VIALE</t>
        </is>
      </c>
      <c r="FK2682" s="18" t="n">
        <v>2020</v>
      </c>
      <c r="FL2682" s="18" t="inlineStr">
        <is>
          <t>C</t>
        </is>
      </c>
      <c r="FM2682" s="18" t="inlineStr">
        <is>
          <t>Recoleta</t>
        </is>
      </c>
      <c r="FP2682" t="inlineStr">
        <is>
          <t>C</t>
        </is>
      </c>
    </row>
    <row r="2683">
      <c r="FC2683" t="inlineStr">
        <is>
          <t>Diccionario 3</t>
        </is>
      </c>
      <c r="FD2683" s="17" t="inlineStr">
        <is>
          <t>LZPR98</t>
        </is>
      </c>
      <c r="FE2683" s="17" t="inlineStr">
        <is>
          <t>YV3T7U529LA201048</t>
        </is>
      </c>
      <c r="FF2683" s="18" t="n">
        <v>506686</v>
      </c>
      <c r="FG2683" s="18" t="inlineStr">
        <is>
          <t>VOLVO</t>
        </is>
      </c>
      <c r="FH2683" s="18" t="inlineStr">
        <is>
          <t>B8RLEA</t>
        </is>
      </c>
      <c r="FI2683" s="18" t="inlineStr">
        <is>
          <t>MARCOPOLO</t>
        </is>
      </c>
      <c r="FJ2683" s="18" t="inlineStr">
        <is>
          <t>GRAN VIALE</t>
        </is>
      </c>
      <c r="FK2683" s="18" t="n">
        <v>2020</v>
      </c>
      <c r="FL2683" s="18" t="inlineStr">
        <is>
          <t>C</t>
        </is>
      </c>
      <c r="FM2683" s="18" t="inlineStr">
        <is>
          <t>Recoleta</t>
        </is>
      </c>
      <c r="FP2683" t="inlineStr">
        <is>
          <t>C</t>
        </is>
      </c>
    </row>
    <row r="2684">
      <c r="FC2684" t="inlineStr">
        <is>
          <t>Diccionario 3</t>
        </is>
      </c>
      <c r="FD2684" s="17" t="inlineStr">
        <is>
          <t>LZPR99</t>
        </is>
      </c>
      <c r="FE2684" s="17" t="inlineStr">
        <is>
          <t>YV3T7U52XLA201155</t>
        </is>
      </c>
      <c r="FF2684" s="18" t="n">
        <v>507117</v>
      </c>
      <c r="FG2684" s="18" t="inlineStr">
        <is>
          <t>VOLVO</t>
        </is>
      </c>
      <c r="FH2684" s="18" t="inlineStr">
        <is>
          <t>B8RLEA</t>
        </is>
      </c>
      <c r="FI2684" s="18" t="inlineStr">
        <is>
          <t>MARCOPOLO</t>
        </is>
      </c>
      <c r="FJ2684" s="18" t="inlineStr">
        <is>
          <t>GRAN VIALE</t>
        </is>
      </c>
      <c r="FK2684" s="18" t="n">
        <v>2020</v>
      </c>
      <c r="FL2684" s="18" t="inlineStr">
        <is>
          <t>C</t>
        </is>
      </c>
      <c r="FM2684" s="18" t="inlineStr">
        <is>
          <t>Recoleta</t>
        </is>
      </c>
      <c r="FP2684" t="inlineStr">
        <is>
          <t>C</t>
        </is>
      </c>
    </row>
    <row r="2685">
      <c r="FC2685" t="inlineStr">
        <is>
          <t>Diccionario 3</t>
        </is>
      </c>
      <c r="FD2685" s="17" t="inlineStr">
        <is>
          <t>LZPS10</t>
        </is>
      </c>
      <c r="FE2685" s="17" t="inlineStr">
        <is>
          <t>YV3T7U527LA201100</t>
        </is>
      </c>
      <c r="FF2685" s="18" t="n">
        <v>507055</v>
      </c>
      <c r="FG2685" s="18" t="inlineStr">
        <is>
          <t>VOLVO</t>
        </is>
      </c>
      <c r="FH2685" s="18" t="inlineStr">
        <is>
          <t>B8RLEA</t>
        </is>
      </c>
      <c r="FI2685" s="18" t="inlineStr">
        <is>
          <t>MARCOPOLO</t>
        </is>
      </c>
      <c r="FJ2685" s="18" t="inlineStr">
        <is>
          <t>GRAN VIALE</t>
        </is>
      </c>
      <c r="FK2685" s="18" t="n">
        <v>2020</v>
      </c>
      <c r="FL2685" s="18" t="inlineStr">
        <is>
          <t>C</t>
        </is>
      </c>
      <c r="FM2685" s="18" t="inlineStr">
        <is>
          <t>Recoleta</t>
        </is>
      </c>
      <c r="FP2685" t="inlineStr">
        <is>
          <t>C</t>
        </is>
      </c>
    </row>
    <row r="2686">
      <c r="FC2686" t="inlineStr">
        <is>
          <t>Diccionario 3</t>
        </is>
      </c>
      <c r="FD2686" s="17" t="inlineStr">
        <is>
          <t>LZPS11</t>
        </is>
      </c>
      <c r="FE2686" s="17" t="inlineStr">
        <is>
          <t>YV3T7U521LA201142</t>
        </is>
      </c>
      <c r="FF2686" s="18" t="n">
        <v>507102</v>
      </c>
      <c r="FG2686" s="18" t="inlineStr">
        <is>
          <t>VOLVO</t>
        </is>
      </c>
      <c r="FH2686" s="18" t="inlineStr">
        <is>
          <t>B8RLEA</t>
        </is>
      </c>
      <c r="FI2686" s="18" t="inlineStr">
        <is>
          <t>MARCOPOLO</t>
        </is>
      </c>
      <c r="FJ2686" s="18" t="inlineStr">
        <is>
          <t>GRAN VIALE</t>
        </is>
      </c>
      <c r="FK2686" s="18" t="n">
        <v>2020</v>
      </c>
      <c r="FL2686" s="18" t="inlineStr">
        <is>
          <t>C</t>
        </is>
      </c>
      <c r="FM2686" s="18" t="inlineStr">
        <is>
          <t>Recoleta</t>
        </is>
      </c>
      <c r="FP2686" t="inlineStr">
        <is>
          <t>C</t>
        </is>
      </c>
    </row>
    <row r="2687">
      <c r="FC2687" t="inlineStr">
        <is>
          <t>Diccionario 3</t>
        </is>
      </c>
      <c r="FD2687" s="17" t="inlineStr">
        <is>
          <t>LZPS12</t>
        </is>
      </c>
      <c r="FE2687" s="17" t="inlineStr">
        <is>
          <t>YV3T7U52XLA201141</t>
        </is>
      </c>
      <c r="FF2687" s="18" t="n">
        <v>507075</v>
      </c>
      <c r="FG2687" s="18" t="inlineStr">
        <is>
          <t>VOLVO</t>
        </is>
      </c>
      <c r="FH2687" s="18" t="inlineStr">
        <is>
          <t>B8RLEA</t>
        </is>
      </c>
      <c r="FI2687" s="18" t="inlineStr">
        <is>
          <t>MARCOPOLO</t>
        </is>
      </c>
      <c r="FJ2687" s="18" t="inlineStr">
        <is>
          <t>GRAN VIALE</t>
        </is>
      </c>
      <c r="FK2687" s="18" t="n">
        <v>2020</v>
      </c>
      <c r="FL2687" s="18" t="inlineStr">
        <is>
          <t>C</t>
        </is>
      </c>
      <c r="FM2687" s="18" t="inlineStr">
        <is>
          <t>Recoleta</t>
        </is>
      </c>
      <c r="FP2687" t="inlineStr">
        <is>
          <t>C</t>
        </is>
      </c>
    </row>
    <row r="2688">
      <c r="FC2688" t="inlineStr">
        <is>
          <t>Diccionario 3</t>
        </is>
      </c>
      <c r="FD2688" s="17" t="inlineStr">
        <is>
          <t>LZPS13</t>
        </is>
      </c>
      <c r="FE2688" s="17" t="inlineStr">
        <is>
          <t>YV3T7U526LA201153</t>
        </is>
      </c>
      <c r="FF2688" s="18" t="n">
        <v>507106</v>
      </c>
      <c r="FG2688" s="18" t="inlineStr">
        <is>
          <t>VOLVO</t>
        </is>
      </c>
      <c r="FH2688" s="18" t="inlineStr">
        <is>
          <t>B8RLEA</t>
        </is>
      </c>
      <c r="FI2688" s="18" t="inlineStr">
        <is>
          <t>MARCOPOLO</t>
        </is>
      </c>
      <c r="FJ2688" s="18" t="inlineStr">
        <is>
          <t>GRAN VIALE</t>
        </is>
      </c>
      <c r="FK2688" s="18" t="n">
        <v>2020</v>
      </c>
      <c r="FL2688" s="18" t="inlineStr">
        <is>
          <t>C</t>
        </is>
      </c>
      <c r="FM2688" s="18" t="inlineStr">
        <is>
          <t>Recoleta</t>
        </is>
      </c>
      <c r="FP2688" t="inlineStr">
        <is>
          <t>C</t>
        </is>
      </c>
    </row>
    <row r="2689">
      <c r="FC2689" t="inlineStr">
        <is>
          <t>Diccionario 3</t>
        </is>
      </c>
      <c r="FD2689" s="17" t="inlineStr">
        <is>
          <t>LZPS14</t>
        </is>
      </c>
      <c r="FE2689" s="17" t="inlineStr">
        <is>
          <t>YV3T7U529LA201034</t>
        </is>
      </c>
      <c r="FF2689" s="18" t="n">
        <v>506644</v>
      </c>
      <c r="FG2689" s="18" t="inlineStr">
        <is>
          <t>VOLVO</t>
        </is>
      </c>
      <c r="FH2689" s="18" t="inlineStr">
        <is>
          <t>B8RLEA</t>
        </is>
      </c>
      <c r="FI2689" s="18" t="inlineStr">
        <is>
          <t>MARCOPOLO</t>
        </is>
      </c>
      <c r="FJ2689" s="18" t="inlineStr">
        <is>
          <t>GRAN VIALE</t>
        </is>
      </c>
      <c r="FK2689" s="18" t="n">
        <v>2020</v>
      </c>
      <c r="FL2689" s="18" t="inlineStr">
        <is>
          <t>C</t>
        </is>
      </c>
      <c r="FM2689" s="18" t="inlineStr">
        <is>
          <t>Recoleta</t>
        </is>
      </c>
      <c r="FP2689" t="inlineStr">
        <is>
          <t>C</t>
        </is>
      </c>
    </row>
    <row r="2690">
      <c r="FC2690" t="inlineStr">
        <is>
          <t>Diccionario 3</t>
        </is>
      </c>
      <c r="FD2690" s="17" t="inlineStr">
        <is>
          <t>LZPS15</t>
        </is>
      </c>
      <c r="FE2690" s="17" t="inlineStr">
        <is>
          <t>YV3T7U523LA201045</t>
        </is>
      </c>
      <c r="FF2690" s="18" t="n">
        <v>506671</v>
      </c>
      <c r="FG2690" s="18" t="inlineStr">
        <is>
          <t>VOLVO</t>
        </is>
      </c>
      <c r="FH2690" s="18" t="inlineStr">
        <is>
          <t>B8RLEA</t>
        </is>
      </c>
      <c r="FI2690" s="18" t="inlineStr">
        <is>
          <t>MARCOPOLO</t>
        </is>
      </c>
      <c r="FJ2690" s="18" t="inlineStr">
        <is>
          <t>GRAN VIALE</t>
        </is>
      </c>
      <c r="FK2690" s="18" t="n">
        <v>2020</v>
      </c>
      <c r="FL2690" s="18" t="inlineStr">
        <is>
          <t>C</t>
        </is>
      </c>
      <c r="FM2690" s="18" t="inlineStr">
        <is>
          <t>Recoleta</t>
        </is>
      </c>
      <c r="FP2690" t="inlineStr">
        <is>
          <t>C</t>
        </is>
      </c>
    </row>
    <row r="2691">
      <c r="FC2691" t="inlineStr">
        <is>
          <t>Diccionario 3</t>
        </is>
      </c>
      <c r="FD2691" s="17" t="inlineStr">
        <is>
          <t>LZPS16</t>
        </is>
      </c>
      <c r="FE2691" s="17" t="inlineStr">
        <is>
          <t>YV3T7U52XLA201074</t>
        </is>
      </c>
      <c r="FF2691" s="18" t="n">
        <v>507033</v>
      </c>
      <c r="FG2691" s="18" t="inlineStr">
        <is>
          <t>VOLVO</t>
        </is>
      </c>
      <c r="FH2691" s="18" t="inlineStr">
        <is>
          <t>B8RLEA</t>
        </is>
      </c>
      <c r="FI2691" s="18" t="inlineStr">
        <is>
          <t>MARCOPOLO</t>
        </is>
      </c>
      <c r="FJ2691" s="18" t="inlineStr">
        <is>
          <t>GRAN VIALE</t>
        </is>
      </c>
      <c r="FK2691" s="18" t="n">
        <v>2020</v>
      </c>
      <c r="FL2691" s="18" t="inlineStr">
        <is>
          <t>C</t>
        </is>
      </c>
      <c r="FM2691" s="18" t="inlineStr">
        <is>
          <t>Recoleta</t>
        </is>
      </c>
      <c r="FP2691" t="inlineStr">
        <is>
          <t>C</t>
        </is>
      </c>
    </row>
    <row r="2692">
      <c r="FC2692" t="inlineStr">
        <is>
          <t>Diccionario 3</t>
        </is>
      </c>
      <c r="FD2692" s="17" t="inlineStr">
        <is>
          <t>LZPS17</t>
        </is>
      </c>
      <c r="FE2692" s="17" t="inlineStr">
        <is>
          <t>YV3T7U526LA201072</t>
        </is>
      </c>
      <c r="FF2692" s="18" t="n">
        <v>506988</v>
      </c>
      <c r="FG2692" s="18" t="inlineStr">
        <is>
          <t>VOLVO</t>
        </is>
      </c>
      <c r="FH2692" s="18" t="inlineStr">
        <is>
          <t>B8RLEA</t>
        </is>
      </c>
      <c r="FI2692" s="18" t="inlineStr">
        <is>
          <t>MARCOPOLO</t>
        </is>
      </c>
      <c r="FJ2692" s="18" t="inlineStr">
        <is>
          <t>GRAN VIALE</t>
        </is>
      </c>
      <c r="FK2692" s="18" t="n">
        <v>2020</v>
      </c>
      <c r="FL2692" s="18" t="inlineStr">
        <is>
          <t>C</t>
        </is>
      </c>
      <c r="FM2692" s="18" t="inlineStr">
        <is>
          <t>Recoleta</t>
        </is>
      </c>
      <c r="FP2692" t="inlineStr">
        <is>
          <t>C</t>
        </is>
      </c>
    </row>
    <row r="2693">
      <c r="FC2693" t="inlineStr">
        <is>
          <t>Diccionario 3</t>
        </is>
      </c>
      <c r="FD2693" s="17" t="inlineStr">
        <is>
          <t>LZPS18</t>
        </is>
      </c>
      <c r="FE2693" s="17" t="inlineStr">
        <is>
          <t>YV3T7U520LA201181</t>
        </is>
      </c>
      <c r="FF2693" s="18" t="n">
        <v>506841</v>
      </c>
      <c r="FG2693" s="18" t="inlineStr">
        <is>
          <t>VOLVO</t>
        </is>
      </c>
      <c r="FH2693" s="18" t="inlineStr">
        <is>
          <t>B8RLEA</t>
        </is>
      </c>
      <c r="FI2693" s="18" t="inlineStr">
        <is>
          <t>MARCOPOLO</t>
        </is>
      </c>
      <c r="FJ2693" s="18" t="inlineStr">
        <is>
          <t>GRAN VIALE</t>
        </is>
      </c>
      <c r="FK2693" s="18" t="n">
        <v>2020</v>
      </c>
      <c r="FL2693" s="18" t="inlineStr">
        <is>
          <t>C</t>
        </is>
      </c>
      <c r="FM2693" s="18" t="inlineStr">
        <is>
          <t>Santa Rosa</t>
        </is>
      </c>
      <c r="FP2693" t="inlineStr">
        <is>
          <t>C</t>
        </is>
      </c>
    </row>
    <row r="2694">
      <c r="FC2694" t="inlineStr">
        <is>
          <t>Diccionario 3</t>
        </is>
      </c>
      <c r="FD2694" s="17" t="inlineStr">
        <is>
          <t>LZPS19</t>
        </is>
      </c>
      <c r="FE2694" s="17" t="inlineStr">
        <is>
          <t>YV3T7U522LA201098</t>
        </is>
      </c>
      <c r="FF2694" s="18" t="n">
        <v>507058</v>
      </c>
      <c r="FG2694" s="18" t="inlineStr">
        <is>
          <t>VOLVO</t>
        </is>
      </c>
      <c r="FH2694" s="18" t="inlineStr">
        <is>
          <t>B8RLEA</t>
        </is>
      </c>
      <c r="FI2694" s="18" t="inlineStr">
        <is>
          <t>MARCOPOLO</t>
        </is>
      </c>
      <c r="FJ2694" s="18" t="inlineStr">
        <is>
          <t>GRAN VIALE</t>
        </is>
      </c>
      <c r="FK2694" s="18" t="n">
        <v>2020</v>
      </c>
      <c r="FL2694" s="18" t="inlineStr">
        <is>
          <t>C</t>
        </is>
      </c>
      <c r="FM2694" s="18" t="inlineStr">
        <is>
          <t>Recoleta</t>
        </is>
      </c>
      <c r="FP2694" t="inlineStr">
        <is>
          <t>C</t>
        </is>
      </c>
    </row>
    <row r="2695">
      <c r="FC2695" t="inlineStr">
        <is>
          <t>Diccionario 3</t>
        </is>
      </c>
      <c r="FD2695" s="17" t="inlineStr">
        <is>
          <t>LZPS20</t>
        </is>
      </c>
      <c r="FE2695" s="17" t="inlineStr">
        <is>
          <t>YV3T7U52XLA201060</t>
        </is>
      </c>
      <c r="FF2695" s="18" t="n">
        <v>506731</v>
      </c>
      <c r="FG2695" s="18" t="inlineStr">
        <is>
          <t>VOLVO</t>
        </is>
      </c>
      <c r="FH2695" s="18" t="inlineStr">
        <is>
          <t>B8RLEA</t>
        </is>
      </c>
      <c r="FI2695" s="18" t="inlineStr">
        <is>
          <t>MARCOPOLO</t>
        </is>
      </c>
      <c r="FJ2695" s="18" t="inlineStr">
        <is>
          <t>GRAN VIALE</t>
        </is>
      </c>
      <c r="FK2695" s="18" t="n">
        <v>2020</v>
      </c>
      <c r="FL2695" s="18" t="inlineStr">
        <is>
          <t>C</t>
        </is>
      </c>
      <c r="FM2695" s="18" t="inlineStr">
        <is>
          <t>Santa Rosa</t>
        </is>
      </c>
      <c r="FP2695" t="inlineStr">
        <is>
          <t>C</t>
        </is>
      </c>
    </row>
    <row r="2696">
      <c r="FC2696" t="inlineStr">
        <is>
          <t>Diccionario 3</t>
        </is>
      </c>
      <c r="FD2696" s="17" t="inlineStr">
        <is>
          <t>LZPS21</t>
        </is>
      </c>
      <c r="FE2696" s="17" t="inlineStr">
        <is>
          <t>YV3T7U523LA201143</t>
        </is>
      </c>
      <c r="FF2696" s="18" t="n">
        <v>507121</v>
      </c>
      <c r="FG2696" s="18" t="inlineStr">
        <is>
          <t>VOLVO</t>
        </is>
      </c>
      <c r="FH2696" s="18" t="inlineStr">
        <is>
          <t>B8RLEA</t>
        </is>
      </c>
      <c r="FI2696" s="18" t="inlineStr">
        <is>
          <t>MARCOPOLO</t>
        </is>
      </c>
      <c r="FJ2696" s="18" t="inlineStr">
        <is>
          <t>GRAN VIALE</t>
        </is>
      </c>
      <c r="FK2696" s="18" t="n">
        <v>2020</v>
      </c>
      <c r="FL2696" s="18" t="inlineStr">
        <is>
          <t>C</t>
        </is>
      </c>
      <c r="FM2696" s="18" t="inlineStr">
        <is>
          <t>Recoleta</t>
        </is>
      </c>
      <c r="FP2696" t="inlineStr">
        <is>
          <t>C</t>
        </is>
      </c>
    </row>
    <row r="2697">
      <c r="FC2697" t="inlineStr">
        <is>
          <t>Diccionario 3</t>
        </is>
      </c>
      <c r="FD2697" s="17" t="inlineStr">
        <is>
          <t>LZPS22</t>
        </is>
      </c>
      <c r="FE2697" s="17" t="inlineStr">
        <is>
          <t>YV3T7U52XLA201169</t>
        </is>
      </c>
      <c r="FF2697" s="18" t="n">
        <v>507144</v>
      </c>
      <c r="FG2697" s="18" t="inlineStr">
        <is>
          <t>VOLVO</t>
        </is>
      </c>
      <c r="FH2697" s="18" t="inlineStr">
        <is>
          <t>B8RLEA</t>
        </is>
      </c>
      <c r="FI2697" s="18" t="inlineStr">
        <is>
          <t>MARCOPOLO</t>
        </is>
      </c>
      <c r="FJ2697" s="18" t="inlineStr">
        <is>
          <t>GRAN VIALE</t>
        </is>
      </c>
      <c r="FK2697" s="18" t="n">
        <v>2020</v>
      </c>
      <c r="FL2697" s="18" t="inlineStr">
        <is>
          <t>C</t>
        </is>
      </c>
      <c r="FM2697" s="18" t="inlineStr">
        <is>
          <t>Santa Rosa</t>
        </is>
      </c>
      <c r="FP2697" t="inlineStr">
        <is>
          <t>C</t>
        </is>
      </c>
    </row>
    <row r="2698">
      <c r="FC2698" t="inlineStr">
        <is>
          <t>Diccionario 3</t>
        </is>
      </c>
      <c r="FD2698" s="17" t="inlineStr">
        <is>
          <t>LZPS23</t>
        </is>
      </c>
      <c r="FE2698" s="17" t="inlineStr">
        <is>
          <t>YV3T7U524LA201099</t>
        </is>
      </c>
      <c r="FF2698" s="18" t="n">
        <v>507047</v>
      </c>
      <c r="FG2698" s="18" t="inlineStr">
        <is>
          <t>VOLVO</t>
        </is>
      </c>
      <c r="FH2698" s="18" t="inlineStr">
        <is>
          <t>B8RLEA</t>
        </is>
      </c>
      <c r="FI2698" s="18" t="inlineStr">
        <is>
          <t>MARCOPOLO</t>
        </is>
      </c>
      <c r="FJ2698" s="18" t="inlineStr">
        <is>
          <t>GRAN VIALE</t>
        </is>
      </c>
      <c r="FK2698" s="18" t="n">
        <v>2020</v>
      </c>
      <c r="FL2698" s="18" t="inlineStr">
        <is>
          <t>C</t>
        </is>
      </c>
      <c r="FM2698" s="18" t="inlineStr">
        <is>
          <t>Recoleta</t>
        </is>
      </c>
      <c r="FP2698" t="inlineStr">
        <is>
          <t>C</t>
        </is>
      </c>
    </row>
    <row r="2699">
      <c r="FC2699" t="inlineStr">
        <is>
          <t>Diccionario 3</t>
        </is>
      </c>
      <c r="FD2699" s="17" t="inlineStr">
        <is>
          <t>LZPS24</t>
        </is>
      </c>
      <c r="FE2699" s="17" t="inlineStr">
        <is>
          <t>YV3T7U52XLA201270</t>
        </is>
      </c>
      <c r="FF2699" s="18" t="n">
        <v>507680</v>
      </c>
      <c r="FG2699" s="18" t="inlineStr">
        <is>
          <t>VOLVO</t>
        </is>
      </c>
      <c r="FH2699" s="18" t="inlineStr">
        <is>
          <t>B8RLEA</t>
        </is>
      </c>
      <c r="FI2699" s="18" t="inlineStr">
        <is>
          <t>MARCOPOLO</t>
        </is>
      </c>
      <c r="FJ2699" s="18" t="inlineStr">
        <is>
          <t>GRAN VIALE</t>
        </is>
      </c>
      <c r="FK2699" s="18" t="n">
        <v>2020</v>
      </c>
      <c r="FL2699" s="18" t="inlineStr">
        <is>
          <t>C</t>
        </is>
      </c>
      <c r="FM2699" s="18" t="inlineStr">
        <is>
          <t>Santa Rosa</t>
        </is>
      </c>
      <c r="FP2699" t="inlineStr">
        <is>
          <t>C</t>
        </is>
      </c>
    </row>
    <row r="2700">
      <c r="FC2700" t="inlineStr">
        <is>
          <t>Diccionario 3</t>
        </is>
      </c>
      <c r="FD2700" s="17" t="inlineStr">
        <is>
          <t>LZPS25</t>
        </is>
      </c>
      <c r="FE2700" s="17" t="inlineStr">
        <is>
          <t>YV3T7U521LA201061</t>
        </is>
      </c>
      <c r="FF2700" s="18" t="n">
        <v>506696</v>
      </c>
      <c r="FG2700" s="18" t="inlineStr">
        <is>
          <t>VOLVO</t>
        </is>
      </c>
      <c r="FH2700" s="18" t="inlineStr">
        <is>
          <t>B8RLEA</t>
        </is>
      </c>
      <c r="FI2700" s="18" t="inlineStr">
        <is>
          <t>MARCOPOLO</t>
        </is>
      </c>
      <c r="FJ2700" s="18" t="inlineStr">
        <is>
          <t>GRAN VIALE</t>
        </is>
      </c>
      <c r="FK2700" s="18" t="n">
        <v>2020</v>
      </c>
      <c r="FL2700" s="18" t="inlineStr">
        <is>
          <t>C</t>
        </is>
      </c>
      <c r="FM2700" s="18" t="inlineStr">
        <is>
          <t>Recoleta</t>
        </is>
      </c>
      <c r="FP2700" t="inlineStr">
        <is>
          <t>C</t>
        </is>
      </c>
    </row>
    <row r="2701">
      <c r="FC2701" t="inlineStr">
        <is>
          <t>Diccionario 3</t>
        </is>
      </c>
      <c r="FD2701" s="17" t="inlineStr">
        <is>
          <t>LZPT38</t>
        </is>
      </c>
      <c r="FE2701" s="17" t="inlineStr">
        <is>
          <t>YV3T7U526LA201184</t>
        </is>
      </c>
      <c r="FF2701" s="18" t="n">
        <v>506823</v>
      </c>
      <c r="FG2701" s="18" t="inlineStr">
        <is>
          <t>VOLVO</t>
        </is>
      </c>
      <c r="FH2701" s="18" t="inlineStr">
        <is>
          <t>B8RLEA</t>
        </is>
      </c>
      <c r="FI2701" s="18" t="inlineStr">
        <is>
          <t>MARCOPOLO</t>
        </is>
      </c>
      <c r="FJ2701" s="18" t="inlineStr">
        <is>
          <t>GRAN VIALE</t>
        </is>
      </c>
      <c r="FK2701" s="18" t="n">
        <v>2020</v>
      </c>
      <c r="FL2701" s="18" t="inlineStr">
        <is>
          <t>C</t>
        </is>
      </c>
      <c r="FM2701" s="18" t="inlineStr">
        <is>
          <t>Santa Rosa</t>
        </is>
      </c>
      <c r="FP2701" t="inlineStr">
        <is>
          <t>C</t>
        </is>
      </c>
    </row>
    <row r="2702">
      <c r="FC2702" t="inlineStr">
        <is>
          <t>Diccionario 3</t>
        </is>
      </c>
      <c r="FD2702" s="17" t="inlineStr">
        <is>
          <t>LZPT39</t>
        </is>
      </c>
      <c r="FE2702" s="17" t="inlineStr">
        <is>
          <t>YV3T7U524LA201183</t>
        </is>
      </c>
      <c r="FF2702" s="18" t="n">
        <v>506866</v>
      </c>
      <c r="FG2702" s="18" t="inlineStr">
        <is>
          <t>VOLVO</t>
        </is>
      </c>
      <c r="FH2702" s="18" t="inlineStr">
        <is>
          <t>B8RLEA</t>
        </is>
      </c>
      <c r="FI2702" s="18" t="inlineStr">
        <is>
          <t>MARCOPOLO</t>
        </is>
      </c>
      <c r="FJ2702" s="18" t="inlineStr">
        <is>
          <t>GRAN VIALE</t>
        </is>
      </c>
      <c r="FK2702" s="18" t="n">
        <v>2020</v>
      </c>
      <c r="FL2702" s="18" t="inlineStr">
        <is>
          <t>C</t>
        </is>
      </c>
      <c r="FM2702" s="18" t="inlineStr">
        <is>
          <t>Santa Rosa</t>
        </is>
      </c>
      <c r="FP2702" t="inlineStr">
        <is>
          <t>C</t>
        </is>
      </c>
    </row>
    <row r="2703">
      <c r="FC2703" t="inlineStr">
        <is>
          <t>Diccionario 3</t>
        </is>
      </c>
      <c r="FD2703" s="17" t="inlineStr">
        <is>
          <t>LZPT40</t>
        </is>
      </c>
      <c r="FE2703" s="17" t="inlineStr">
        <is>
          <t>YV3T7U523LA201157</t>
        </is>
      </c>
      <c r="FF2703" s="18" t="n">
        <v>507134</v>
      </c>
      <c r="FG2703" s="18" t="inlineStr">
        <is>
          <t>VOLVO</t>
        </is>
      </c>
      <c r="FH2703" s="18" t="inlineStr">
        <is>
          <t>B8RLEA</t>
        </is>
      </c>
      <c r="FI2703" s="18" t="inlineStr">
        <is>
          <t>MARCOPOLO</t>
        </is>
      </c>
      <c r="FJ2703" s="18" t="inlineStr">
        <is>
          <t>GRAN VIALE</t>
        </is>
      </c>
      <c r="FK2703" s="18" t="n">
        <v>2020</v>
      </c>
      <c r="FL2703" s="18" t="inlineStr">
        <is>
          <t>C</t>
        </is>
      </c>
      <c r="FM2703" s="18" t="inlineStr">
        <is>
          <t>Santa Rosa</t>
        </is>
      </c>
      <c r="FP2703" t="inlineStr">
        <is>
          <t>C</t>
        </is>
      </c>
    </row>
    <row r="2704">
      <c r="FC2704" t="inlineStr">
        <is>
          <t>Diccionario 3</t>
        </is>
      </c>
      <c r="FD2704" s="17" t="inlineStr">
        <is>
          <t>LZPT41</t>
        </is>
      </c>
      <c r="FE2704" s="17" t="inlineStr">
        <is>
          <t>YV3T7U526LA201170</t>
        </is>
      </c>
      <c r="FF2704" s="18" t="n">
        <v>507160</v>
      </c>
      <c r="FG2704" s="18" t="inlineStr">
        <is>
          <t>VOLVO</t>
        </is>
      </c>
      <c r="FH2704" s="18" t="inlineStr">
        <is>
          <t>B8RLEA</t>
        </is>
      </c>
      <c r="FI2704" s="18" t="inlineStr">
        <is>
          <t>MARCOPOLO</t>
        </is>
      </c>
      <c r="FJ2704" s="18" t="inlineStr">
        <is>
          <t>GRAN VIALE</t>
        </is>
      </c>
      <c r="FK2704" s="18" t="n">
        <v>2020</v>
      </c>
      <c r="FL2704" s="18" t="inlineStr">
        <is>
          <t>C</t>
        </is>
      </c>
      <c r="FM2704" s="18" t="inlineStr">
        <is>
          <t>Santa Rosa</t>
        </is>
      </c>
      <c r="FP2704" t="inlineStr">
        <is>
          <t>C</t>
        </is>
      </c>
    </row>
    <row r="2705">
      <c r="FC2705" t="inlineStr">
        <is>
          <t>Diccionario 3</t>
        </is>
      </c>
      <c r="FD2705" s="17" t="inlineStr">
        <is>
          <t>LZPT42</t>
        </is>
      </c>
      <c r="FE2705" s="17" t="inlineStr">
        <is>
          <t>YV3T7U528LA201140</t>
        </is>
      </c>
      <c r="FF2705" s="18" t="n">
        <v>507108</v>
      </c>
      <c r="FG2705" s="18" t="inlineStr">
        <is>
          <t>VOLVO</t>
        </is>
      </c>
      <c r="FH2705" s="18" t="inlineStr">
        <is>
          <t>B8RLEA</t>
        </is>
      </c>
      <c r="FI2705" s="18" t="inlineStr">
        <is>
          <t>MARCOPOLO</t>
        </is>
      </c>
      <c r="FJ2705" s="18" t="inlineStr">
        <is>
          <t>GRAN VIALE</t>
        </is>
      </c>
      <c r="FK2705" s="18" t="n">
        <v>2020</v>
      </c>
      <c r="FL2705" s="18" t="inlineStr">
        <is>
          <t>C</t>
        </is>
      </c>
      <c r="FM2705" s="18" t="inlineStr">
        <is>
          <t>Santa Rosa</t>
        </is>
      </c>
      <c r="FP2705" t="inlineStr">
        <is>
          <t>C</t>
        </is>
      </c>
    </row>
    <row r="2706">
      <c r="FC2706" t="inlineStr">
        <is>
          <t>Diccionario 3</t>
        </is>
      </c>
      <c r="FD2706" s="17" t="inlineStr">
        <is>
          <t>LZPT43</t>
        </is>
      </c>
      <c r="FE2706" s="17" t="inlineStr">
        <is>
          <t>YV3T7U521LA201075</t>
        </is>
      </c>
      <c r="FF2706" s="18" t="n">
        <v>507057</v>
      </c>
      <c r="FG2706" s="18" t="inlineStr">
        <is>
          <t>VOLVO</t>
        </is>
      </c>
      <c r="FH2706" s="18" t="inlineStr">
        <is>
          <t>B8RLEA</t>
        </is>
      </c>
      <c r="FI2706" s="18" t="inlineStr">
        <is>
          <t>MARCOPOLO</t>
        </is>
      </c>
      <c r="FJ2706" s="18" t="inlineStr">
        <is>
          <t>GRAN VIALE</t>
        </is>
      </c>
      <c r="FK2706" s="18" t="n">
        <v>2020</v>
      </c>
      <c r="FL2706" s="18" t="inlineStr">
        <is>
          <t>C</t>
        </is>
      </c>
      <c r="FM2706" s="18" t="inlineStr">
        <is>
          <t>Recoleta</t>
        </is>
      </c>
      <c r="FP2706" t="inlineStr">
        <is>
          <t>C</t>
        </is>
      </c>
    </row>
    <row r="2707">
      <c r="FC2707" t="inlineStr">
        <is>
          <t>Diccionario 3</t>
        </is>
      </c>
      <c r="FD2707" s="17" t="inlineStr">
        <is>
          <t>LZPT44</t>
        </is>
      </c>
      <c r="FE2707" s="17" t="inlineStr">
        <is>
          <t>YV3T7U529LA201101</t>
        </is>
      </c>
      <c r="FF2707" s="18" t="n">
        <v>507062</v>
      </c>
      <c r="FG2707" s="18" t="inlineStr">
        <is>
          <t>VOLVO</t>
        </is>
      </c>
      <c r="FH2707" s="18" t="inlineStr">
        <is>
          <t>B8RLEA</t>
        </is>
      </c>
      <c r="FI2707" s="18" t="inlineStr">
        <is>
          <t>MARCOPOLO</t>
        </is>
      </c>
      <c r="FJ2707" s="18" t="inlineStr">
        <is>
          <t>GRAN VIALE</t>
        </is>
      </c>
      <c r="FK2707" s="18" t="n">
        <v>2020</v>
      </c>
      <c r="FL2707" s="18" t="inlineStr">
        <is>
          <t>C</t>
        </is>
      </c>
      <c r="FM2707" s="18" t="inlineStr">
        <is>
          <t>Recoleta</t>
        </is>
      </c>
      <c r="FP2707" t="inlineStr">
        <is>
          <t>C</t>
        </is>
      </c>
    </row>
    <row r="2708">
      <c r="FC2708" t="inlineStr">
        <is>
          <t>Diccionario 3</t>
        </is>
      </c>
      <c r="FD2708" s="17" t="inlineStr">
        <is>
          <t>LZPT45</t>
        </is>
      </c>
      <c r="FE2708" s="17" t="inlineStr">
        <is>
          <t>YV3T7U526LA201850</t>
        </is>
      </c>
      <c r="FF2708" s="18" t="n">
        <v>507971</v>
      </c>
      <c r="FG2708" s="18" t="inlineStr">
        <is>
          <t>VOLVO</t>
        </is>
      </c>
      <c r="FH2708" s="18" t="inlineStr">
        <is>
          <t>B8RLEA</t>
        </is>
      </c>
      <c r="FI2708" s="18" t="inlineStr">
        <is>
          <t>MARCOPOLO</t>
        </is>
      </c>
      <c r="FJ2708" s="18" t="inlineStr">
        <is>
          <t>GRAN VIALE</t>
        </is>
      </c>
      <c r="FK2708" s="18" t="n">
        <v>2020</v>
      </c>
      <c r="FL2708" s="18" t="inlineStr">
        <is>
          <t>C</t>
        </is>
      </c>
      <c r="FM2708" s="18" t="inlineStr">
        <is>
          <t>Santa Rosa</t>
        </is>
      </c>
      <c r="FP2708" t="inlineStr">
        <is>
          <t>C</t>
        </is>
      </c>
    </row>
    <row r="2709">
      <c r="FC2709" t="inlineStr">
        <is>
          <t>Diccionario 3</t>
        </is>
      </c>
      <c r="FD2709" s="17" t="inlineStr">
        <is>
          <t>LZPT46</t>
        </is>
      </c>
      <c r="FE2709" s="17" t="inlineStr">
        <is>
          <t>YV3T7U527LA201713</t>
        </is>
      </c>
      <c r="FF2709" s="18" t="n">
        <v>508481</v>
      </c>
      <c r="FG2709" s="18" t="inlineStr">
        <is>
          <t>VOLVO</t>
        </is>
      </c>
      <c r="FH2709" s="18" t="inlineStr">
        <is>
          <t>B8RLEA</t>
        </is>
      </c>
      <c r="FI2709" s="18" t="inlineStr">
        <is>
          <t>MARCOPOLO</t>
        </is>
      </c>
      <c r="FJ2709" s="18" t="inlineStr">
        <is>
          <t>GRAN VIALE</t>
        </is>
      </c>
      <c r="FK2709" s="18" t="n">
        <v>2020</v>
      </c>
      <c r="FL2709" s="18" t="inlineStr">
        <is>
          <t>C</t>
        </is>
      </c>
      <c r="FM2709" s="18" t="inlineStr">
        <is>
          <t>Recoleta</t>
        </is>
      </c>
      <c r="FP2709" t="inlineStr">
        <is>
          <t>C</t>
        </is>
      </c>
    </row>
    <row r="2710">
      <c r="FC2710" t="inlineStr">
        <is>
          <t>Diccionario 3</t>
        </is>
      </c>
      <c r="FD2710" s="17" t="inlineStr">
        <is>
          <t>LZPT47</t>
        </is>
      </c>
      <c r="FE2710" s="17" t="inlineStr">
        <is>
          <t>YV3T7U524LA201801</t>
        </is>
      </c>
      <c r="FF2710" s="18" t="n">
        <v>509156</v>
      </c>
      <c r="FG2710" s="18" t="inlineStr">
        <is>
          <t>VOLVO</t>
        </is>
      </c>
      <c r="FH2710" s="18" t="inlineStr">
        <is>
          <t>B8RLEA</t>
        </is>
      </c>
      <c r="FI2710" s="18" t="inlineStr">
        <is>
          <t>MARCOPOLO</t>
        </is>
      </c>
      <c r="FJ2710" s="18" t="inlineStr">
        <is>
          <t>GRAN VIALE</t>
        </is>
      </c>
      <c r="FK2710" s="18" t="n">
        <v>2020</v>
      </c>
      <c r="FL2710" s="18" t="inlineStr">
        <is>
          <t>C</t>
        </is>
      </c>
      <c r="FM2710" s="18" t="inlineStr">
        <is>
          <t>Recoleta</t>
        </is>
      </c>
      <c r="FP2710" t="inlineStr">
        <is>
          <t>C</t>
        </is>
      </c>
    </row>
    <row r="2711">
      <c r="FC2711" t="inlineStr">
        <is>
          <t>Diccionario 3</t>
        </is>
      </c>
      <c r="FD2711" s="17" t="inlineStr">
        <is>
          <t>LZPT48</t>
        </is>
      </c>
      <c r="FE2711" s="17" t="inlineStr">
        <is>
          <t>YV3T7U529LA201812</t>
        </is>
      </c>
      <c r="FF2711" s="18" t="n">
        <v>509224</v>
      </c>
      <c r="FG2711" s="18" t="inlineStr">
        <is>
          <t>VOLVO</t>
        </is>
      </c>
      <c r="FH2711" s="18" t="inlineStr">
        <is>
          <t>B8RLEA</t>
        </is>
      </c>
      <c r="FI2711" s="18" t="inlineStr">
        <is>
          <t>MARCOPOLO</t>
        </is>
      </c>
      <c r="FJ2711" s="18" t="inlineStr">
        <is>
          <t>GRAN VIALE</t>
        </is>
      </c>
      <c r="FK2711" s="18" t="n">
        <v>2020</v>
      </c>
      <c r="FL2711" s="18" t="inlineStr">
        <is>
          <t>C</t>
        </is>
      </c>
      <c r="FM2711" s="18" t="inlineStr">
        <is>
          <t>Recoleta</t>
        </is>
      </c>
      <c r="FP2711" t="inlineStr">
        <is>
          <t>C</t>
        </is>
      </c>
    </row>
    <row r="2712">
      <c r="FC2712" t="inlineStr">
        <is>
          <t>Diccionario 3</t>
        </is>
      </c>
      <c r="FD2712" s="17" t="inlineStr">
        <is>
          <t>LZPT49</t>
        </is>
      </c>
      <c r="FE2712" s="17" t="inlineStr">
        <is>
          <t>YV3T7U520LA201813</t>
        </is>
      </c>
      <c r="FF2712" s="18" t="n">
        <v>509231</v>
      </c>
      <c r="FG2712" s="18" t="inlineStr">
        <is>
          <t>VOLVO</t>
        </is>
      </c>
      <c r="FH2712" s="18" t="inlineStr">
        <is>
          <t>B8RLEA</t>
        </is>
      </c>
      <c r="FI2712" s="18" t="inlineStr">
        <is>
          <t>MARCOPOLO</t>
        </is>
      </c>
      <c r="FJ2712" s="18" t="inlineStr">
        <is>
          <t>GRAN VIALE</t>
        </is>
      </c>
      <c r="FK2712" s="18" t="n">
        <v>2020</v>
      </c>
      <c r="FL2712" s="18" t="inlineStr">
        <is>
          <t>C</t>
        </is>
      </c>
      <c r="FM2712" s="18" t="inlineStr">
        <is>
          <t>Santa Rosa</t>
        </is>
      </c>
      <c r="FP2712" t="inlineStr">
        <is>
          <t>C</t>
        </is>
      </c>
    </row>
    <row r="2713">
      <c r="FC2713" t="inlineStr">
        <is>
          <t>Diccionario 3</t>
        </is>
      </c>
      <c r="FD2713" s="17" t="inlineStr">
        <is>
          <t>LZPT50</t>
        </is>
      </c>
      <c r="FE2713" s="17" t="inlineStr">
        <is>
          <t>YV3T7U522LA201814</t>
        </is>
      </c>
      <c r="FF2713" s="18" t="n">
        <v>509235</v>
      </c>
      <c r="FG2713" s="18" t="inlineStr">
        <is>
          <t>VOLVO</t>
        </is>
      </c>
      <c r="FH2713" s="18" t="inlineStr">
        <is>
          <t>B8RLEA</t>
        </is>
      </c>
      <c r="FI2713" s="18" t="inlineStr">
        <is>
          <t>MARCOPOLO</t>
        </is>
      </c>
      <c r="FJ2713" s="18" t="inlineStr">
        <is>
          <t>GRAN VIALE</t>
        </is>
      </c>
      <c r="FK2713" s="18" t="n">
        <v>2020</v>
      </c>
      <c r="FL2713" s="18" t="inlineStr">
        <is>
          <t>C</t>
        </is>
      </c>
      <c r="FM2713" s="18" t="inlineStr">
        <is>
          <t>Recoleta</t>
        </is>
      </c>
      <c r="FP2713" t="inlineStr">
        <is>
          <t>C</t>
        </is>
      </c>
    </row>
    <row r="2714">
      <c r="FC2714" t="inlineStr">
        <is>
          <t>Diccionario 3</t>
        </is>
      </c>
      <c r="FD2714" s="17" t="inlineStr">
        <is>
          <t>LZPT51</t>
        </is>
      </c>
      <c r="FE2714" s="17" t="inlineStr">
        <is>
          <t>YV3T7U52XLA201849</t>
        </is>
      </c>
      <c r="FF2714" s="18" t="n">
        <v>507983</v>
      </c>
      <c r="FG2714" s="18" t="inlineStr">
        <is>
          <t>VOLVO</t>
        </is>
      </c>
      <c r="FH2714" s="18" t="inlineStr">
        <is>
          <t>B8RLEA</t>
        </is>
      </c>
      <c r="FI2714" s="18" t="inlineStr">
        <is>
          <t>MARCOPOLO</t>
        </is>
      </c>
      <c r="FJ2714" s="18" t="inlineStr">
        <is>
          <t>GRAN VIALE</t>
        </is>
      </c>
      <c r="FK2714" s="18" t="n">
        <v>2020</v>
      </c>
      <c r="FL2714" s="18" t="inlineStr">
        <is>
          <t>C</t>
        </is>
      </c>
      <c r="FM2714" s="18" t="inlineStr">
        <is>
          <t>Santa Rosa</t>
        </is>
      </c>
      <c r="FP2714" t="inlineStr">
        <is>
          <t>C</t>
        </is>
      </c>
    </row>
    <row r="2715">
      <c r="FC2715" t="inlineStr">
        <is>
          <t>Diccionario 3</t>
        </is>
      </c>
      <c r="FD2715" s="17" t="inlineStr">
        <is>
          <t>LZPT52</t>
        </is>
      </c>
      <c r="FE2715" s="17" t="inlineStr">
        <is>
          <t>YV3T7U527LA201811</t>
        </is>
      </c>
      <c r="FF2715" s="18" t="n">
        <v>509204</v>
      </c>
      <c r="FG2715" s="18" t="inlineStr">
        <is>
          <t>VOLVO</t>
        </is>
      </c>
      <c r="FH2715" s="18" t="inlineStr">
        <is>
          <t>B8RLEA</t>
        </is>
      </c>
      <c r="FI2715" s="18" t="inlineStr">
        <is>
          <t>MARCOPOLO</t>
        </is>
      </c>
      <c r="FJ2715" s="18" t="inlineStr">
        <is>
          <t>GRAN VIALE</t>
        </is>
      </c>
      <c r="FK2715" s="18" t="n">
        <v>2020</v>
      </c>
      <c r="FL2715" s="18" t="inlineStr">
        <is>
          <t>C</t>
        </is>
      </c>
      <c r="FM2715" s="18" t="inlineStr">
        <is>
          <t>Recoleta</t>
        </is>
      </c>
      <c r="FP2715" t="inlineStr">
        <is>
          <t>C</t>
        </is>
      </c>
    </row>
    <row r="2716">
      <c r="FC2716" t="inlineStr">
        <is>
          <t>Diccionario 3</t>
        </is>
      </c>
      <c r="FD2716" s="17" t="inlineStr">
        <is>
          <t>LZPT53</t>
        </is>
      </c>
      <c r="FE2716" s="17" t="inlineStr">
        <is>
          <t>YV3T7U526LA201475</t>
        </is>
      </c>
      <c r="FF2716" s="18" t="n">
        <v>507876</v>
      </c>
      <c r="FG2716" s="18" t="inlineStr">
        <is>
          <t>VOLVO</t>
        </is>
      </c>
      <c r="FH2716" s="18" t="inlineStr">
        <is>
          <t>B8RLEA</t>
        </is>
      </c>
      <c r="FI2716" s="18" t="inlineStr">
        <is>
          <t>MARCOPOLO</t>
        </is>
      </c>
      <c r="FJ2716" s="18" t="inlineStr">
        <is>
          <t>GRAN VIALE</t>
        </is>
      </c>
      <c r="FK2716" s="18" t="n">
        <v>2020</v>
      </c>
      <c r="FL2716" s="18" t="inlineStr">
        <is>
          <t>C</t>
        </is>
      </c>
      <c r="FM2716" s="18" t="inlineStr">
        <is>
          <t>Santa Rosa</t>
        </is>
      </c>
      <c r="FP2716" t="inlineStr">
        <is>
          <t>C</t>
        </is>
      </c>
    </row>
    <row r="2717">
      <c r="FC2717" t="inlineStr">
        <is>
          <t>Diccionario 3</t>
        </is>
      </c>
      <c r="FD2717" s="17" t="inlineStr">
        <is>
          <t>LZPT54</t>
        </is>
      </c>
      <c r="FE2717" s="17" t="inlineStr">
        <is>
          <t>YV3T7U525LA201404</t>
        </is>
      </c>
      <c r="FF2717" s="18" t="n">
        <v>507532</v>
      </c>
      <c r="FG2717" s="18" t="inlineStr">
        <is>
          <t>VOLVO</t>
        </is>
      </c>
      <c r="FH2717" s="18" t="inlineStr">
        <is>
          <t>B8RLEA</t>
        </is>
      </c>
      <c r="FI2717" s="18" t="inlineStr">
        <is>
          <t>MARCOPOLO</t>
        </is>
      </c>
      <c r="FJ2717" s="18" t="inlineStr">
        <is>
          <t>GRAN VIALE</t>
        </is>
      </c>
      <c r="FK2717" s="18" t="n">
        <v>2020</v>
      </c>
      <c r="FL2717" s="18" t="inlineStr">
        <is>
          <t>C</t>
        </is>
      </c>
      <c r="FM2717" s="18" t="inlineStr">
        <is>
          <t>Santa Rosa</t>
        </is>
      </c>
      <c r="FP2717" t="inlineStr">
        <is>
          <t>C</t>
        </is>
      </c>
    </row>
    <row r="2718">
      <c r="FC2718" t="inlineStr">
        <is>
          <t>Diccionario 3</t>
        </is>
      </c>
      <c r="FD2718" s="17" t="inlineStr">
        <is>
          <t>LZPT55</t>
        </is>
      </c>
      <c r="FE2718" s="17" t="inlineStr">
        <is>
          <t>YV3T7U524LA201460</t>
        </is>
      </c>
      <c r="FF2718" s="18" t="n">
        <v>508062</v>
      </c>
      <c r="FG2718" s="18" t="inlineStr">
        <is>
          <t>VOLVO</t>
        </is>
      </c>
      <c r="FH2718" s="18" t="inlineStr">
        <is>
          <t>B8RLEA</t>
        </is>
      </c>
      <c r="FI2718" s="18" t="inlineStr">
        <is>
          <t>MARCOPOLO</t>
        </is>
      </c>
      <c r="FJ2718" s="18" t="inlineStr">
        <is>
          <t>GRAN VIALE</t>
        </is>
      </c>
      <c r="FK2718" s="18" t="n">
        <v>2020</v>
      </c>
      <c r="FL2718" s="18" t="inlineStr">
        <is>
          <t>C</t>
        </is>
      </c>
      <c r="FM2718" s="18" t="inlineStr">
        <is>
          <t>Santa Rosa</t>
        </is>
      </c>
      <c r="FP2718" t="inlineStr">
        <is>
          <t>C</t>
        </is>
      </c>
    </row>
    <row r="2719">
      <c r="FC2719" t="inlineStr">
        <is>
          <t>Diccionario 3</t>
        </is>
      </c>
      <c r="FD2719" s="17" t="inlineStr">
        <is>
          <t>LZPT56</t>
        </is>
      </c>
      <c r="FE2719" s="17" t="inlineStr">
        <is>
          <t>YV3T7U526LA201346</t>
        </is>
      </c>
      <c r="FF2719" s="18" t="n">
        <v>507705</v>
      </c>
      <c r="FG2719" s="18" t="inlineStr">
        <is>
          <t>VOLVO</t>
        </is>
      </c>
      <c r="FH2719" s="18" t="inlineStr">
        <is>
          <t>B8RLEA</t>
        </is>
      </c>
      <c r="FI2719" s="18" t="inlineStr">
        <is>
          <t>MARCOPOLO</t>
        </is>
      </c>
      <c r="FJ2719" s="18" t="inlineStr">
        <is>
          <t>GRAN VIALE</t>
        </is>
      </c>
      <c r="FK2719" s="18" t="n">
        <v>2020</v>
      </c>
      <c r="FL2719" s="18" t="inlineStr">
        <is>
          <t>C</t>
        </is>
      </c>
      <c r="FM2719" s="18" t="inlineStr">
        <is>
          <t>Santa Rosa</t>
        </is>
      </c>
      <c r="FP2719" t="inlineStr">
        <is>
          <t>C</t>
        </is>
      </c>
    </row>
    <row r="2720">
      <c r="FC2720" t="inlineStr">
        <is>
          <t>Diccionario 3</t>
        </is>
      </c>
      <c r="FD2720" s="17" t="inlineStr">
        <is>
          <t>LZPT57</t>
        </is>
      </c>
      <c r="FE2720" s="17" t="inlineStr">
        <is>
          <t>YV3T7U520LA201388</t>
        </is>
      </c>
      <c r="FF2720" s="18" t="n">
        <v>507636</v>
      </c>
      <c r="FG2720" s="18" t="inlineStr">
        <is>
          <t>VOLVO</t>
        </is>
      </c>
      <c r="FH2720" s="18" t="inlineStr">
        <is>
          <t>B8RLEA</t>
        </is>
      </c>
      <c r="FI2720" s="18" t="inlineStr">
        <is>
          <t>MARCOPOLO</t>
        </is>
      </c>
      <c r="FJ2720" s="18" t="inlineStr">
        <is>
          <t>GRAN VIALE</t>
        </is>
      </c>
      <c r="FK2720" s="18" t="n">
        <v>2020</v>
      </c>
      <c r="FL2720" s="18" t="inlineStr">
        <is>
          <t>C</t>
        </is>
      </c>
      <c r="FM2720" s="18" t="inlineStr">
        <is>
          <t>Santa Rosa</t>
        </is>
      </c>
      <c r="FP2720" t="inlineStr">
        <is>
          <t>C</t>
        </is>
      </c>
    </row>
    <row r="2721">
      <c r="FC2721" t="inlineStr">
        <is>
          <t>Diccionario 3</t>
        </is>
      </c>
      <c r="FD2721" s="17" t="inlineStr">
        <is>
          <t>LZPT58</t>
        </is>
      </c>
      <c r="FE2721" s="17" t="inlineStr">
        <is>
          <t>YV3T7U528LA201459</t>
        </is>
      </c>
      <c r="FF2721" s="18" t="n">
        <v>508054</v>
      </c>
      <c r="FG2721" s="18" t="inlineStr">
        <is>
          <t>VOLVO</t>
        </is>
      </c>
      <c r="FH2721" s="18" t="inlineStr">
        <is>
          <t>B8RLEA</t>
        </is>
      </c>
      <c r="FI2721" s="18" t="inlineStr">
        <is>
          <t>MARCOPOLO</t>
        </is>
      </c>
      <c r="FJ2721" s="18" t="inlineStr">
        <is>
          <t>GRAN VIALE</t>
        </is>
      </c>
      <c r="FK2721" s="18" t="n">
        <v>2020</v>
      </c>
      <c r="FL2721" s="18" t="inlineStr">
        <is>
          <t>C</t>
        </is>
      </c>
      <c r="FM2721" s="18" t="inlineStr">
        <is>
          <t>Santa Rosa</t>
        </is>
      </c>
      <c r="FP2721" t="inlineStr">
        <is>
          <t>C</t>
        </is>
      </c>
    </row>
    <row r="2722">
      <c r="FC2722" t="inlineStr">
        <is>
          <t>Diccionario 3</t>
        </is>
      </c>
      <c r="FD2722" s="17" t="inlineStr">
        <is>
          <t>LZPT59</t>
        </is>
      </c>
      <c r="FE2722" s="17" t="inlineStr">
        <is>
          <t>YV3T7U522LA201456</t>
        </is>
      </c>
      <c r="FF2722" s="18" t="n">
        <v>508070</v>
      </c>
      <c r="FG2722" s="18" t="inlineStr">
        <is>
          <t>VOLVO</t>
        </is>
      </c>
      <c r="FH2722" s="18" t="inlineStr">
        <is>
          <t>B8RLEA</t>
        </is>
      </c>
      <c r="FI2722" s="18" t="inlineStr">
        <is>
          <t>MARCOPOLO</t>
        </is>
      </c>
      <c r="FJ2722" s="18" t="inlineStr">
        <is>
          <t>GRAN VIALE</t>
        </is>
      </c>
      <c r="FK2722" s="18" t="n">
        <v>2020</v>
      </c>
      <c r="FL2722" s="18" t="inlineStr">
        <is>
          <t>C</t>
        </is>
      </c>
      <c r="FM2722" s="18" t="inlineStr">
        <is>
          <t>Santa Rosa</t>
        </is>
      </c>
      <c r="FP2722" t="inlineStr">
        <is>
          <t>C</t>
        </is>
      </c>
    </row>
    <row r="2723">
      <c r="FC2723" t="inlineStr">
        <is>
          <t>Diccionario 3</t>
        </is>
      </c>
      <c r="FD2723" s="17" t="inlineStr">
        <is>
          <t>LZPT60</t>
        </is>
      </c>
      <c r="FE2723" s="17" t="inlineStr">
        <is>
          <t>YV3T7U522LA201408</t>
        </is>
      </c>
      <c r="FF2723" s="18" t="n">
        <v>507800</v>
      </c>
      <c r="FG2723" s="18" t="inlineStr">
        <is>
          <t>VOLVO</t>
        </is>
      </c>
      <c r="FH2723" s="18" t="inlineStr">
        <is>
          <t>B8RLEA</t>
        </is>
      </c>
      <c r="FI2723" s="18" t="inlineStr">
        <is>
          <t>MARCOPOLO</t>
        </is>
      </c>
      <c r="FJ2723" s="18" t="inlineStr">
        <is>
          <t>GRAN VIALE</t>
        </is>
      </c>
      <c r="FK2723" s="18" t="n">
        <v>2020</v>
      </c>
      <c r="FL2723" s="18" t="inlineStr">
        <is>
          <t>C</t>
        </is>
      </c>
      <c r="FM2723" s="18" t="inlineStr">
        <is>
          <t>Santa Rosa</t>
        </is>
      </c>
      <c r="FP2723" t="inlineStr">
        <is>
          <t>C</t>
        </is>
      </c>
    </row>
    <row r="2724">
      <c r="FC2724" t="inlineStr">
        <is>
          <t>Diccionario 3</t>
        </is>
      </c>
      <c r="FD2724" s="17" t="inlineStr">
        <is>
          <t>LZPT61</t>
        </is>
      </c>
      <c r="FE2724" s="17" t="inlineStr">
        <is>
          <t>YV3T7U520LA201472</t>
        </is>
      </c>
      <c r="FF2724" s="18" t="n">
        <v>508092</v>
      </c>
      <c r="FG2724" s="18" t="inlineStr">
        <is>
          <t>VOLVO</t>
        </is>
      </c>
      <c r="FH2724" s="18" t="inlineStr">
        <is>
          <t>B8RLEA</t>
        </is>
      </c>
      <c r="FI2724" s="18" t="inlineStr">
        <is>
          <t>MARCOPOLO</t>
        </is>
      </c>
      <c r="FJ2724" s="18" t="inlineStr">
        <is>
          <t>GRAN VIALE</t>
        </is>
      </c>
      <c r="FK2724" s="18" t="n">
        <v>2020</v>
      </c>
      <c r="FL2724" s="18" t="inlineStr">
        <is>
          <t>C</t>
        </is>
      </c>
      <c r="FM2724" s="18" t="inlineStr">
        <is>
          <t>Santa Rosa</t>
        </is>
      </c>
      <c r="FP2724" t="inlineStr">
        <is>
          <t>C</t>
        </is>
      </c>
    </row>
    <row r="2725">
      <c r="FC2725" t="inlineStr">
        <is>
          <t>Diccionario 3</t>
        </is>
      </c>
      <c r="FD2725" s="17" t="inlineStr">
        <is>
          <t>LZPT62</t>
        </is>
      </c>
      <c r="FE2725" s="17" t="inlineStr">
        <is>
          <t>YV3T7U524LA201474</t>
        </is>
      </c>
      <c r="FF2725" s="18" t="n">
        <v>507827</v>
      </c>
      <c r="FG2725" s="18" t="inlineStr">
        <is>
          <t>VOLVO</t>
        </is>
      </c>
      <c r="FH2725" s="18" t="inlineStr">
        <is>
          <t>B8RLEA</t>
        </is>
      </c>
      <c r="FI2725" s="18" t="inlineStr">
        <is>
          <t>MARCOPOLO</t>
        </is>
      </c>
      <c r="FJ2725" s="18" t="inlineStr">
        <is>
          <t>GRAN VIALE</t>
        </is>
      </c>
      <c r="FK2725" s="18" t="n">
        <v>2020</v>
      </c>
      <c r="FL2725" s="18" t="inlineStr">
        <is>
          <t>C</t>
        </is>
      </c>
      <c r="FM2725" s="18" t="inlineStr">
        <is>
          <t>Santa Rosa</t>
        </is>
      </c>
      <c r="FP2725" t="inlineStr">
        <is>
          <t>C</t>
        </is>
      </c>
    </row>
    <row r="2726">
      <c r="FC2726" t="inlineStr">
        <is>
          <t>Diccionario 3</t>
        </is>
      </c>
      <c r="FD2726" s="17" t="inlineStr">
        <is>
          <t>LZPT63</t>
        </is>
      </c>
      <c r="FE2726" s="17" t="inlineStr">
        <is>
          <t>YV3T7U526LA201458</t>
        </is>
      </c>
      <c r="FF2726" s="18" t="n">
        <v>508067</v>
      </c>
      <c r="FG2726" s="18" t="inlineStr">
        <is>
          <t>VOLVO</t>
        </is>
      </c>
      <c r="FH2726" s="18" t="inlineStr">
        <is>
          <t>B8RLEA</t>
        </is>
      </c>
      <c r="FI2726" s="18" t="inlineStr">
        <is>
          <t>MARCOPOLO</t>
        </is>
      </c>
      <c r="FJ2726" s="18" t="inlineStr">
        <is>
          <t>GRAN VIALE</t>
        </is>
      </c>
      <c r="FK2726" s="18" t="n">
        <v>2020</v>
      </c>
      <c r="FL2726" s="18" t="inlineStr">
        <is>
          <t>C</t>
        </is>
      </c>
      <c r="FM2726" s="18" t="inlineStr">
        <is>
          <t>Santa Rosa</t>
        </is>
      </c>
      <c r="FP2726" t="inlineStr">
        <is>
          <t>C</t>
        </is>
      </c>
    </row>
    <row r="2727">
      <c r="FC2727" t="inlineStr">
        <is>
          <t>Diccionario 3</t>
        </is>
      </c>
      <c r="FD2727" s="17" t="inlineStr">
        <is>
          <t>LZPT64</t>
        </is>
      </c>
      <c r="FE2727" s="17" t="inlineStr">
        <is>
          <t>YV3T7U522LA201473</t>
        </is>
      </c>
      <c r="FF2727" s="18" t="n">
        <v>507830</v>
      </c>
      <c r="FG2727" s="18" t="inlineStr">
        <is>
          <t>VOLVO</t>
        </is>
      </c>
      <c r="FH2727" s="18" t="inlineStr">
        <is>
          <t>B8RLEA</t>
        </is>
      </c>
      <c r="FI2727" s="18" t="inlineStr">
        <is>
          <t>MARCOPOLO</t>
        </is>
      </c>
      <c r="FJ2727" s="18" t="inlineStr">
        <is>
          <t>GRAN VIALE</t>
        </is>
      </c>
      <c r="FK2727" s="18" t="n">
        <v>2020</v>
      </c>
      <c r="FL2727" s="18" t="inlineStr">
        <is>
          <t>C</t>
        </is>
      </c>
      <c r="FM2727" s="18" t="inlineStr">
        <is>
          <t>Santa Rosa</t>
        </is>
      </c>
      <c r="FP2727" t="inlineStr">
        <is>
          <t>C</t>
        </is>
      </c>
    </row>
    <row r="2728">
      <c r="FC2728" t="inlineStr">
        <is>
          <t>Diccionario 3</t>
        </is>
      </c>
      <c r="FD2728" s="17" t="inlineStr">
        <is>
          <t>LZPT65</t>
        </is>
      </c>
      <c r="FE2728" s="17" t="inlineStr">
        <is>
          <t>YV3T7U521LA201495</t>
        </is>
      </c>
      <c r="FF2728" s="18" t="n">
        <v>507813</v>
      </c>
      <c r="FG2728" s="18" t="inlineStr">
        <is>
          <t>VOLVO</t>
        </is>
      </c>
      <c r="FH2728" s="18" t="inlineStr">
        <is>
          <t>B8RLEA</t>
        </is>
      </c>
      <c r="FI2728" s="18" t="inlineStr">
        <is>
          <t>MARCOPOLO</t>
        </is>
      </c>
      <c r="FJ2728" s="18" t="inlineStr">
        <is>
          <t>GRAN VIALE</t>
        </is>
      </c>
      <c r="FK2728" s="18" t="n">
        <v>2020</v>
      </c>
      <c r="FL2728" s="18" t="inlineStr">
        <is>
          <t>C</t>
        </is>
      </c>
      <c r="FM2728" s="18" t="inlineStr">
        <is>
          <t>Santa Rosa</t>
        </is>
      </c>
      <c r="FP2728" t="inlineStr">
        <is>
          <t>C</t>
        </is>
      </c>
    </row>
    <row r="2729">
      <c r="FC2729" t="inlineStr">
        <is>
          <t>Diccionario 3</t>
        </is>
      </c>
      <c r="FD2729" s="17" t="inlineStr">
        <is>
          <t>LZPT66</t>
        </is>
      </c>
      <c r="FE2729" s="17" t="inlineStr">
        <is>
          <t>YV3T7U525LA201497</t>
        </is>
      </c>
      <c r="FF2729" s="18" t="n">
        <v>507862</v>
      </c>
      <c r="FG2729" s="18" t="inlineStr">
        <is>
          <t>VOLVO</t>
        </is>
      </c>
      <c r="FH2729" s="18" t="inlineStr">
        <is>
          <t>B8RLEA</t>
        </is>
      </c>
      <c r="FI2729" s="18" t="inlineStr">
        <is>
          <t>MARCOPOLO</t>
        </is>
      </c>
      <c r="FJ2729" s="18" t="inlineStr">
        <is>
          <t>GRAN VIALE</t>
        </is>
      </c>
      <c r="FK2729" s="18" t="n">
        <v>2020</v>
      </c>
      <c r="FL2729" s="18" t="inlineStr">
        <is>
          <t>C</t>
        </is>
      </c>
      <c r="FM2729" s="18" t="inlineStr">
        <is>
          <t>Santa Rosa</t>
        </is>
      </c>
      <c r="FP2729" t="inlineStr">
        <is>
          <t>C</t>
        </is>
      </c>
    </row>
    <row r="2730">
      <c r="FC2730" t="inlineStr">
        <is>
          <t>Diccionario 3</t>
        </is>
      </c>
      <c r="FD2730" s="17" t="inlineStr">
        <is>
          <t>LZPT67</t>
        </is>
      </c>
      <c r="FE2730" s="17" t="inlineStr">
        <is>
          <t>YV3T7U52XLA201320</t>
        </is>
      </c>
      <c r="FF2730" s="18" t="n">
        <v>507688</v>
      </c>
      <c r="FG2730" s="18" t="inlineStr">
        <is>
          <t>VOLVO</t>
        </is>
      </c>
      <c r="FH2730" s="18" t="inlineStr">
        <is>
          <t>B8RLEA</t>
        </is>
      </c>
      <c r="FI2730" s="18" t="inlineStr">
        <is>
          <t>MARCOPOLO</t>
        </is>
      </c>
      <c r="FJ2730" s="18" t="inlineStr">
        <is>
          <t>GRAN VIALE</t>
        </is>
      </c>
      <c r="FK2730" s="18" t="n">
        <v>2020</v>
      </c>
      <c r="FL2730" s="18" t="inlineStr">
        <is>
          <t>C</t>
        </is>
      </c>
      <c r="FM2730" s="18" t="inlineStr">
        <is>
          <t>Santa Rosa</t>
        </is>
      </c>
      <c r="FP2730" t="inlineStr">
        <is>
          <t>C</t>
        </is>
      </c>
    </row>
    <row r="2731">
      <c r="FC2731" t="inlineStr">
        <is>
          <t>Diccionario 3</t>
        </is>
      </c>
      <c r="FD2731" s="17" t="inlineStr">
        <is>
          <t>LZPT69</t>
        </is>
      </c>
      <c r="FE2731" s="17" t="inlineStr">
        <is>
          <t>YV3T7U521LA201402</t>
        </is>
      </c>
      <c r="FF2731" s="18" t="n">
        <v>507514</v>
      </c>
      <c r="FG2731" s="18" t="inlineStr">
        <is>
          <t>VOLVO</t>
        </is>
      </c>
      <c r="FH2731" s="18" t="inlineStr">
        <is>
          <t>B8RLEA</t>
        </is>
      </c>
      <c r="FI2731" s="18" t="inlineStr">
        <is>
          <t>MARCOPOLO</t>
        </is>
      </c>
      <c r="FJ2731" s="18" t="inlineStr">
        <is>
          <t>GRAN VIALE</t>
        </is>
      </c>
      <c r="FK2731" s="18" t="n">
        <v>2020</v>
      </c>
      <c r="FL2731" s="18" t="inlineStr">
        <is>
          <t>C</t>
        </is>
      </c>
      <c r="FM2731" s="18" t="inlineStr">
        <is>
          <t>Santa Rosa</t>
        </is>
      </c>
      <c r="FP2731" t="inlineStr">
        <is>
          <t>C</t>
        </is>
      </c>
    </row>
    <row r="2732">
      <c r="FC2732" t="inlineStr">
        <is>
          <t>Diccionario 3</t>
        </is>
      </c>
      <c r="FD2732" s="17" t="inlineStr">
        <is>
          <t>LZPT70</t>
        </is>
      </c>
      <c r="FE2732" s="17" t="inlineStr">
        <is>
          <t>YV3T7U526LA201461</t>
        </is>
      </c>
      <c r="FF2732" s="18" t="n">
        <v>508059</v>
      </c>
      <c r="FG2732" s="18" t="inlineStr">
        <is>
          <t>VOLVO</t>
        </is>
      </c>
      <c r="FH2732" s="18" t="inlineStr">
        <is>
          <t>B8RLEA</t>
        </is>
      </c>
      <c r="FI2732" s="18" t="inlineStr">
        <is>
          <t>MARCOPOLO</t>
        </is>
      </c>
      <c r="FJ2732" s="18" t="inlineStr">
        <is>
          <t>GRAN VIALE</t>
        </is>
      </c>
      <c r="FK2732" s="18" t="n">
        <v>2020</v>
      </c>
      <c r="FL2732" s="18" t="inlineStr">
        <is>
          <t>C</t>
        </is>
      </c>
      <c r="FM2732" s="18" t="inlineStr">
        <is>
          <t>Santa Rosa</t>
        </is>
      </c>
      <c r="FP2732" t="inlineStr">
        <is>
          <t>C</t>
        </is>
      </c>
    </row>
    <row r="2733">
      <c r="FC2733" t="inlineStr">
        <is>
          <t>Diccionario 3</t>
        </is>
      </c>
      <c r="FD2733" s="17" t="inlineStr">
        <is>
          <t>LZPT71</t>
        </is>
      </c>
      <c r="FE2733" s="17" t="inlineStr">
        <is>
          <t>YV3T7U522LA201392</t>
        </is>
      </c>
      <c r="FF2733" s="18" t="n">
        <v>507493</v>
      </c>
      <c r="FG2733" s="18" t="inlineStr">
        <is>
          <t>VOLVO</t>
        </is>
      </c>
      <c r="FH2733" s="18" t="inlineStr">
        <is>
          <t>B8RLEA</t>
        </is>
      </c>
      <c r="FI2733" s="18" t="inlineStr">
        <is>
          <t>MARCOPOLO</t>
        </is>
      </c>
      <c r="FJ2733" s="18" t="inlineStr">
        <is>
          <t>GRAN VIALE</t>
        </is>
      </c>
      <c r="FK2733" s="18" t="n">
        <v>2020</v>
      </c>
      <c r="FL2733" s="18" t="inlineStr">
        <is>
          <t>C</t>
        </is>
      </c>
      <c r="FM2733" s="18" t="inlineStr">
        <is>
          <t>Santa Rosa</t>
        </is>
      </c>
      <c r="FP2733" t="inlineStr">
        <is>
          <t>C</t>
        </is>
      </c>
    </row>
    <row r="2734">
      <c r="FC2734" t="inlineStr">
        <is>
          <t>Diccionario 3</t>
        </is>
      </c>
      <c r="FD2734" s="17" t="inlineStr">
        <is>
          <t>LZPT72</t>
        </is>
      </c>
      <c r="FE2734" s="17" t="inlineStr">
        <is>
          <t>YV3T7U524LA201457</t>
        </is>
      </c>
      <c r="FF2734" s="18" t="n">
        <v>508050</v>
      </c>
      <c r="FG2734" s="18" t="inlineStr">
        <is>
          <t>VOLVO</t>
        </is>
      </c>
      <c r="FH2734" s="18" t="inlineStr">
        <is>
          <t>B8RLEA</t>
        </is>
      </c>
      <c r="FI2734" s="18" t="inlineStr">
        <is>
          <t>MARCOPOLO</t>
        </is>
      </c>
      <c r="FJ2734" s="18" t="inlineStr">
        <is>
          <t>GRAN VIALE</t>
        </is>
      </c>
      <c r="FK2734" s="18" t="n">
        <v>2020</v>
      </c>
      <c r="FL2734" s="18" t="inlineStr">
        <is>
          <t>C</t>
        </is>
      </c>
      <c r="FM2734" s="18" t="inlineStr">
        <is>
          <t>Santa Rosa</t>
        </is>
      </c>
      <c r="FP2734" t="inlineStr">
        <is>
          <t>C</t>
        </is>
      </c>
    </row>
    <row r="2735">
      <c r="FC2735" t="inlineStr">
        <is>
          <t>Diccionario 3</t>
        </is>
      </c>
      <c r="FD2735" s="17" t="inlineStr">
        <is>
          <t>LZPT73</t>
        </is>
      </c>
      <c r="FE2735" s="17" t="inlineStr">
        <is>
          <t>YV3T7U522LA201389</t>
        </is>
      </c>
      <c r="FF2735" s="18" t="n">
        <v>507531</v>
      </c>
      <c r="FG2735" s="18" t="inlineStr">
        <is>
          <t>VOLVO</t>
        </is>
      </c>
      <c r="FH2735" s="18" t="inlineStr">
        <is>
          <t>B8RLEA</t>
        </is>
      </c>
      <c r="FI2735" s="18" t="inlineStr">
        <is>
          <t>MARCOPOLO</t>
        </is>
      </c>
      <c r="FJ2735" s="18" t="inlineStr">
        <is>
          <t>GRAN VIALE</t>
        </is>
      </c>
      <c r="FK2735" s="18" t="n">
        <v>2020</v>
      </c>
      <c r="FL2735" s="18" t="inlineStr">
        <is>
          <t>C</t>
        </is>
      </c>
      <c r="FM2735" s="18" t="inlineStr">
        <is>
          <t>Santa Rosa</t>
        </is>
      </c>
      <c r="FP2735" t="inlineStr">
        <is>
          <t>C</t>
        </is>
      </c>
    </row>
    <row r="2736">
      <c r="FC2736" t="inlineStr">
        <is>
          <t>Diccionario 3</t>
        </is>
      </c>
      <c r="FD2736" s="17" t="inlineStr">
        <is>
          <t>LZPT74</t>
        </is>
      </c>
      <c r="FE2736" s="17" t="inlineStr">
        <is>
          <t>YV3T7U524LA201345</t>
        </is>
      </c>
      <c r="FF2736" s="18" t="n">
        <v>507748</v>
      </c>
      <c r="FG2736" s="18" t="inlineStr">
        <is>
          <t>VOLVO</t>
        </is>
      </c>
      <c r="FH2736" s="18" t="inlineStr">
        <is>
          <t>B8RLEA</t>
        </is>
      </c>
      <c r="FI2736" s="18" t="inlineStr">
        <is>
          <t>MARCOPOLO</t>
        </is>
      </c>
      <c r="FJ2736" s="18" t="inlineStr">
        <is>
          <t>GRAN VIALE</t>
        </is>
      </c>
      <c r="FK2736" s="18" t="n">
        <v>2020</v>
      </c>
      <c r="FL2736" s="18" t="inlineStr">
        <is>
          <t>C</t>
        </is>
      </c>
      <c r="FM2736" s="18" t="inlineStr">
        <is>
          <t>Santa Rosa</t>
        </is>
      </c>
      <c r="FP2736" t="inlineStr">
        <is>
          <t>C</t>
        </is>
      </c>
    </row>
    <row r="2737">
      <c r="FC2737" t="inlineStr">
        <is>
          <t>Diccionario 3</t>
        </is>
      </c>
      <c r="FD2737" s="17" t="inlineStr">
        <is>
          <t>LZPT75</t>
        </is>
      </c>
      <c r="FE2737" s="17" t="inlineStr">
        <is>
          <t>YV3T7U529LA201471</t>
        </is>
      </c>
      <c r="FF2737" s="18" t="n">
        <v>508084</v>
      </c>
      <c r="FG2737" s="18" t="inlineStr">
        <is>
          <t>VOLVO</t>
        </is>
      </c>
      <c r="FH2737" s="18" t="inlineStr">
        <is>
          <t>B8RLEA</t>
        </is>
      </c>
      <c r="FI2737" s="18" t="inlineStr">
        <is>
          <t>MARCOPOLO</t>
        </is>
      </c>
      <c r="FJ2737" s="18" t="inlineStr">
        <is>
          <t>GRAN VIALE</t>
        </is>
      </c>
      <c r="FK2737" s="18" t="n">
        <v>2020</v>
      </c>
      <c r="FL2737" s="18" t="inlineStr">
        <is>
          <t>C</t>
        </is>
      </c>
      <c r="FM2737" s="18" t="inlineStr">
        <is>
          <t>Santa Rosa</t>
        </is>
      </c>
      <c r="FP2737" t="inlineStr">
        <is>
          <t>C</t>
        </is>
      </c>
    </row>
    <row r="2738">
      <c r="FC2738" t="inlineStr">
        <is>
          <t>Diccionario 3</t>
        </is>
      </c>
      <c r="FD2738" s="17" t="inlineStr">
        <is>
          <t>LZPT76</t>
        </is>
      </c>
      <c r="FE2738" s="17" t="inlineStr">
        <is>
          <t>YV3T7U529LA201406</t>
        </is>
      </c>
      <c r="FF2738" s="18" t="n">
        <v>507795</v>
      </c>
      <c r="FG2738" s="18" t="inlineStr">
        <is>
          <t>VOLVO</t>
        </is>
      </c>
      <c r="FH2738" s="18" t="inlineStr">
        <is>
          <t>B8RLEA</t>
        </is>
      </c>
      <c r="FI2738" s="18" t="inlineStr">
        <is>
          <t>MARCOPOLO</t>
        </is>
      </c>
      <c r="FJ2738" s="18" t="inlineStr">
        <is>
          <t>GRAN VIALE</t>
        </is>
      </c>
      <c r="FK2738" s="18" t="n">
        <v>2020</v>
      </c>
      <c r="FL2738" s="18" t="inlineStr">
        <is>
          <t>C</t>
        </is>
      </c>
      <c r="FM2738" s="18" t="inlineStr">
        <is>
          <t>Santa Rosa</t>
        </is>
      </c>
      <c r="FP2738" t="inlineStr">
        <is>
          <t>C</t>
        </is>
      </c>
    </row>
    <row r="2739">
      <c r="FC2739" t="inlineStr">
        <is>
          <t>Diccionario 3</t>
        </is>
      </c>
      <c r="FD2739" s="17" t="inlineStr">
        <is>
          <t>LZPT77</t>
        </is>
      </c>
      <c r="FE2739" s="17" t="inlineStr">
        <is>
          <t>YV3T7U524LA201393</t>
        </is>
      </c>
      <c r="FF2739" s="18" t="n">
        <v>507522</v>
      </c>
      <c r="FG2739" s="18" t="inlineStr">
        <is>
          <t>VOLVO</t>
        </is>
      </c>
      <c r="FH2739" s="18" t="inlineStr">
        <is>
          <t>B8RLEA</t>
        </is>
      </c>
      <c r="FI2739" s="18" t="inlineStr">
        <is>
          <t>MARCOPOLO</t>
        </is>
      </c>
      <c r="FJ2739" s="18" t="inlineStr">
        <is>
          <t>GRAN VIALE</t>
        </is>
      </c>
      <c r="FK2739" s="18" t="n">
        <v>2020</v>
      </c>
      <c r="FL2739" s="18" t="inlineStr">
        <is>
          <t>C</t>
        </is>
      </c>
      <c r="FM2739" s="18" t="inlineStr">
        <is>
          <t>Santa Rosa</t>
        </is>
      </c>
      <c r="FP2739" t="inlineStr">
        <is>
          <t>C</t>
        </is>
      </c>
    </row>
    <row r="2740">
      <c r="FC2740" t="inlineStr">
        <is>
          <t>Diccionario 3</t>
        </is>
      </c>
      <c r="FD2740" s="17" t="inlineStr">
        <is>
          <t>LZPV98</t>
        </is>
      </c>
      <c r="FE2740" s="17" t="inlineStr">
        <is>
          <t>YV3T7U527LA201047</t>
        </is>
      </c>
      <c r="FF2740" s="18" t="n">
        <v>506628</v>
      </c>
      <c r="FG2740" s="18" t="inlineStr">
        <is>
          <t>VOLVO</t>
        </is>
      </c>
      <c r="FH2740" s="18" t="inlineStr">
        <is>
          <t>B8RLEA</t>
        </is>
      </c>
      <c r="FI2740" s="18" t="inlineStr">
        <is>
          <t>MARCOPOLO</t>
        </is>
      </c>
      <c r="FJ2740" s="18" t="inlineStr">
        <is>
          <t>GRAN VIALE</t>
        </is>
      </c>
      <c r="FK2740" s="18" t="n">
        <v>2020</v>
      </c>
      <c r="FL2740" s="18" t="inlineStr">
        <is>
          <t>C</t>
        </is>
      </c>
      <c r="FM2740" s="18" t="inlineStr">
        <is>
          <t>Recoleta</t>
        </is>
      </c>
      <c r="FP2740" t="inlineStr">
        <is>
          <t>C</t>
        </is>
      </c>
    </row>
    <row r="2741">
      <c r="FC2741" t="inlineStr">
        <is>
          <t>Diccionario 3</t>
        </is>
      </c>
      <c r="FD2741" s="17" t="inlineStr">
        <is>
          <t>LZPV99</t>
        </is>
      </c>
      <c r="FE2741" s="17" t="inlineStr">
        <is>
          <t>YV3T7U528LA201347</t>
        </is>
      </c>
      <c r="FF2741" s="18" t="n">
        <v>507710</v>
      </c>
      <c r="FG2741" s="18" t="inlineStr">
        <is>
          <t>VOLVO</t>
        </is>
      </c>
      <c r="FH2741" s="18" t="inlineStr">
        <is>
          <t>B8RLEA</t>
        </is>
      </c>
      <c r="FI2741" s="18" t="inlineStr">
        <is>
          <t>MARCOPOLO</t>
        </is>
      </c>
      <c r="FJ2741" s="18" t="inlineStr">
        <is>
          <t>GRAN VIALE</t>
        </is>
      </c>
      <c r="FK2741" s="18" t="n">
        <v>2020</v>
      </c>
      <c r="FL2741" s="18" t="inlineStr">
        <is>
          <t>C</t>
        </is>
      </c>
      <c r="FM2741" s="18" t="inlineStr">
        <is>
          <t>Santa Rosa</t>
        </is>
      </c>
      <c r="FP2741" t="inlineStr">
        <is>
          <t>C</t>
        </is>
      </c>
    </row>
    <row r="2742">
      <c r="FC2742" t="inlineStr">
        <is>
          <t>Diccionario 3</t>
        </is>
      </c>
      <c r="FD2742" s="17" t="inlineStr">
        <is>
          <t>LZPW10</t>
        </is>
      </c>
      <c r="FE2742" s="17" t="inlineStr">
        <is>
          <t>YV3T7U529LA201390</t>
        </is>
      </c>
      <c r="FF2742" s="18" t="n">
        <v>507489</v>
      </c>
      <c r="FG2742" s="18" t="inlineStr">
        <is>
          <t>VOLVO</t>
        </is>
      </c>
      <c r="FH2742" s="18" t="inlineStr">
        <is>
          <t>B8RLEA</t>
        </is>
      </c>
      <c r="FI2742" s="18" t="inlineStr">
        <is>
          <t>MARCOPOLO</t>
        </is>
      </c>
      <c r="FJ2742" s="18" t="inlineStr">
        <is>
          <t>GRAN VIALE</t>
        </is>
      </c>
      <c r="FK2742" s="18" t="n">
        <v>2020</v>
      </c>
      <c r="FL2742" s="18" t="inlineStr">
        <is>
          <t>C</t>
        </is>
      </c>
      <c r="FM2742" s="18" t="inlineStr">
        <is>
          <t>Santa Rosa</t>
        </is>
      </c>
      <c r="FP2742" t="inlineStr">
        <is>
          <t>C</t>
        </is>
      </c>
    </row>
    <row r="2743">
      <c r="FC2743" t="inlineStr">
        <is>
          <t>Diccionario 3</t>
        </is>
      </c>
      <c r="FD2743" s="17" t="inlineStr">
        <is>
          <t>LZPW11</t>
        </is>
      </c>
      <c r="FE2743" s="17" t="inlineStr">
        <is>
          <t>YV3T7U520LA201407</t>
        </is>
      </c>
      <c r="FF2743" s="18" t="n">
        <v>507762</v>
      </c>
      <c r="FG2743" s="18" t="inlineStr">
        <is>
          <t>VOLVO</t>
        </is>
      </c>
      <c r="FH2743" s="18" t="inlineStr">
        <is>
          <t>B8RLEA</t>
        </is>
      </c>
      <c r="FI2743" s="18" t="inlineStr">
        <is>
          <t>MARCOPOLO</t>
        </is>
      </c>
      <c r="FJ2743" s="18" t="inlineStr">
        <is>
          <t>GRAN VIALE</t>
        </is>
      </c>
      <c r="FK2743" s="18" t="n">
        <v>2020</v>
      </c>
      <c r="FL2743" s="18" t="inlineStr">
        <is>
          <t>C</t>
        </is>
      </c>
      <c r="FM2743" s="18" t="inlineStr">
        <is>
          <t>Santa Rosa</t>
        </is>
      </c>
      <c r="FP2743" t="inlineStr">
        <is>
          <t>C</t>
        </is>
      </c>
    </row>
    <row r="2744">
      <c r="FC2744" t="inlineStr">
        <is>
          <t>Diccionario 3</t>
        </is>
      </c>
      <c r="FD2744" s="17" t="inlineStr">
        <is>
          <t>LZPW12</t>
        </is>
      </c>
      <c r="FE2744" s="17" t="inlineStr">
        <is>
          <t>YV3T7U523LA201496</t>
        </is>
      </c>
      <c r="FF2744" s="18" t="n">
        <v>507817</v>
      </c>
      <c r="FG2744" s="18" t="inlineStr">
        <is>
          <t>VOLVO</t>
        </is>
      </c>
      <c r="FH2744" s="18" t="inlineStr">
        <is>
          <t>B8RLEA</t>
        </is>
      </c>
      <c r="FI2744" s="18" t="inlineStr">
        <is>
          <t>MARCOPOLO</t>
        </is>
      </c>
      <c r="FJ2744" s="18" t="inlineStr">
        <is>
          <t>GRAN VIALE</t>
        </is>
      </c>
      <c r="FK2744" s="18" t="n">
        <v>2020</v>
      </c>
      <c r="FL2744" s="18" t="inlineStr">
        <is>
          <t>C</t>
        </is>
      </c>
      <c r="FM2744" s="18" t="inlineStr">
        <is>
          <t>Santa Rosa</t>
        </is>
      </c>
      <c r="FP2744" t="inlineStr">
        <is>
          <t>C</t>
        </is>
      </c>
    </row>
    <row r="2745">
      <c r="FC2745" t="inlineStr">
        <is>
          <t>Diccionario 3</t>
        </is>
      </c>
      <c r="FD2745" s="17" t="inlineStr">
        <is>
          <t>LZPW13</t>
        </is>
      </c>
      <c r="FE2745" s="17" t="inlineStr">
        <is>
          <t>YV3T7U526LA201816</t>
        </is>
      </c>
      <c r="FF2745" s="18" t="n">
        <v>509236</v>
      </c>
      <c r="FG2745" s="18" t="inlineStr">
        <is>
          <t>VOLVO</t>
        </is>
      </c>
      <c r="FH2745" s="18" t="inlineStr">
        <is>
          <t>B8RLEA</t>
        </is>
      </c>
      <c r="FI2745" s="18" t="inlineStr">
        <is>
          <t>MARCOPOLO</t>
        </is>
      </c>
      <c r="FJ2745" s="18" t="inlineStr">
        <is>
          <t>GRAN VIALE</t>
        </is>
      </c>
      <c r="FK2745" s="18" t="n">
        <v>2020</v>
      </c>
      <c r="FL2745" s="18" t="inlineStr">
        <is>
          <t>C</t>
        </is>
      </c>
      <c r="FM2745" s="18" t="inlineStr">
        <is>
          <t>Santa Rosa</t>
        </is>
      </c>
      <c r="FP2745" t="inlineStr">
        <is>
          <t>C</t>
        </is>
      </c>
    </row>
    <row r="2746">
      <c r="FC2746" t="inlineStr">
        <is>
          <t>Diccionario 3</t>
        </is>
      </c>
      <c r="FD2746" s="17" t="inlineStr">
        <is>
          <t>LZPW14</t>
        </is>
      </c>
      <c r="FE2746" s="17" t="inlineStr">
        <is>
          <t>YV3T7U528LA201154</t>
        </is>
      </c>
      <c r="FF2746" s="18" t="n">
        <v>507070</v>
      </c>
      <c r="FG2746" s="18" t="inlineStr">
        <is>
          <t>VOLVO</t>
        </is>
      </c>
      <c r="FH2746" s="18" t="inlineStr">
        <is>
          <t>B8RLEA</t>
        </is>
      </c>
      <c r="FI2746" s="18" t="inlineStr">
        <is>
          <t>MARCOPOLO</t>
        </is>
      </c>
      <c r="FJ2746" s="18" t="inlineStr">
        <is>
          <t>GRAN VIALE</t>
        </is>
      </c>
      <c r="FK2746" s="18" t="n">
        <v>2020</v>
      </c>
      <c r="FL2746" s="18" t="inlineStr">
        <is>
          <t>C</t>
        </is>
      </c>
      <c r="FM2746" s="18" t="inlineStr">
        <is>
          <t>Recoleta</t>
        </is>
      </c>
      <c r="FP2746" t="inlineStr">
        <is>
          <t>C</t>
        </is>
      </c>
    </row>
    <row r="2747">
      <c r="FC2747" t="inlineStr">
        <is>
          <t>Diccionario 3</t>
        </is>
      </c>
      <c r="FD2747" s="17" t="inlineStr">
        <is>
          <t>LZPW15</t>
        </is>
      </c>
      <c r="FE2747" s="17" t="inlineStr">
        <is>
          <t>YV3T7U521LA201318</t>
        </is>
      </c>
      <c r="FF2747" s="18" t="n">
        <v>507658</v>
      </c>
      <c r="FG2747" s="18" t="inlineStr">
        <is>
          <t>VOLVO</t>
        </is>
      </c>
      <c r="FH2747" s="18" t="inlineStr">
        <is>
          <t>B8RLEA</t>
        </is>
      </c>
      <c r="FI2747" s="18" t="inlineStr">
        <is>
          <t>MARCOPOLO</t>
        </is>
      </c>
      <c r="FJ2747" s="18" t="inlineStr">
        <is>
          <t>GRAN VIALE</t>
        </is>
      </c>
      <c r="FK2747" s="18" t="n">
        <v>2020</v>
      </c>
      <c r="FL2747" s="18" t="inlineStr">
        <is>
          <t>C</t>
        </is>
      </c>
      <c r="FM2747" s="18" t="inlineStr">
        <is>
          <t>Santa Rosa</t>
        </is>
      </c>
      <c r="FP2747" t="inlineStr">
        <is>
          <t>C</t>
        </is>
      </c>
    </row>
    <row r="2748">
      <c r="FC2748" t="inlineStr">
        <is>
          <t>Diccionario 3</t>
        </is>
      </c>
      <c r="FD2748" s="17" t="inlineStr">
        <is>
          <t>LZPW16</t>
        </is>
      </c>
      <c r="FE2748" s="17" t="inlineStr">
        <is>
          <t>YV3T7U523LA201319</t>
        </is>
      </c>
      <c r="FF2748" s="18" t="n">
        <v>507679</v>
      </c>
      <c r="FG2748" s="18" t="inlineStr">
        <is>
          <t>VOLVO</t>
        </is>
      </c>
      <c r="FH2748" s="18" t="inlineStr">
        <is>
          <t>B8RLEA</t>
        </is>
      </c>
      <c r="FI2748" s="18" t="inlineStr">
        <is>
          <t>MARCOPOLO</t>
        </is>
      </c>
      <c r="FJ2748" s="18" t="inlineStr">
        <is>
          <t>GRAN VIALE</t>
        </is>
      </c>
      <c r="FK2748" s="18" t="n">
        <v>2020</v>
      </c>
      <c r="FL2748" s="18" t="inlineStr">
        <is>
          <t>C</t>
        </is>
      </c>
      <c r="FM2748" s="18" t="inlineStr">
        <is>
          <t>Santa Rosa</t>
        </is>
      </c>
      <c r="FP2748" t="inlineStr">
        <is>
          <t>C</t>
        </is>
      </c>
    </row>
    <row r="2749">
      <c r="FC2749" t="inlineStr">
        <is>
          <t>Diccionario 3</t>
        </is>
      </c>
      <c r="FD2749" s="17" t="inlineStr">
        <is>
          <t>LZPW17</t>
        </is>
      </c>
      <c r="FE2749" s="17" t="inlineStr">
        <is>
          <t>YV3T7U521LA201321</t>
        </is>
      </c>
      <c r="FF2749" s="18" t="n">
        <v>507655</v>
      </c>
      <c r="FG2749" s="18" t="inlineStr">
        <is>
          <t>VOLVO</t>
        </is>
      </c>
      <c r="FH2749" s="18" t="inlineStr">
        <is>
          <t>B8RLEA</t>
        </is>
      </c>
      <c r="FI2749" s="18" t="inlineStr">
        <is>
          <t>MARCOPOLO</t>
        </is>
      </c>
      <c r="FJ2749" s="18" t="inlineStr">
        <is>
          <t>GRAN VIALE</t>
        </is>
      </c>
      <c r="FK2749" s="18" t="n">
        <v>2020</v>
      </c>
      <c r="FL2749" s="18" t="inlineStr">
        <is>
          <t>C</t>
        </is>
      </c>
      <c r="FM2749" s="18" t="inlineStr">
        <is>
          <t>Santa Rosa</t>
        </is>
      </c>
      <c r="FP2749" t="inlineStr">
        <is>
          <t>C</t>
        </is>
      </c>
    </row>
    <row r="2750">
      <c r="FC2750" t="inlineStr">
        <is>
          <t>Diccionario 3</t>
        </is>
      </c>
      <c r="FD2750" s="17" t="inlineStr">
        <is>
          <t>LZPW18</t>
        </is>
      </c>
      <c r="FE2750" s="17" t="inlineStr">
        <is>
          <t>YV3T7U52XLA201348</t>
        </is>
      </c>
      <c r="FF2750" s="18" t="n">
        <v>507719</v>
      </c>
      <c r="FG2750" s="18" t="inlineStr">
        <is>
          <t>VOLVO</t>
        </is>
      </c>
      <c r="FH2750" s="18" t="inlineStr">
        <is>
          <t>B8RLEA</t>
        </is>
      </c>
      <c r="FI2750" s="18" t="inlineStr">
        <is>
          <t>MARCOPOLO</t>
        </is>
      </c>
      <c r="FJ2750" s="18" t="inlineStr">
        <is>
          <t>GRAN VIALE</t>
        </is>
      </c>
      <c r="FK2750" s="18" t="n">
        <v>2020</v>
      </c>
      <c r="FL2750" s="18" t="inlineStr">
        <is>
          <t>C</t>
        </is>
      </c>
      <c r="FM2750" s="18" t="inlineStr">
        <is>
          <t>Santa Rosa</t>
        </is>
      </c>
      <c r="FP2750" t="inlineStr">
        <is>
          <t>C</t>
        </is>
      </c>
    </row>
    <row r="2751">
      <c r="FC2751" t="inlineStr">
        <is>
          <t>Diccionario 3</t>
        </is>
      </c>
      <c r="FD2751" s="17" t="inlineStr">
        <is>
          <t>LZPW19</t>
        </is>
      </c>
      <c r="FE2751" s="17" t="inlineStr">
        <is>
          <t>YV3T7U527LA201405</t>
        </is>
      </c>
      <c r="FF2751" s="18" t="n">
        <v>507775</v>
      </c>
      <c r="FG2751" s="18" t="inlineStr">
        <is>
          <t>VOLVO</t>
        </is>
      </c>
      <c r="FH2751" s="18" t="inlineStr">
        <is>
          <t>B8RLEA</t>
        </is>
      </c>
      <c r="FI2751" s="18" t="inlineStr">
        <is>
          <t>MARCOPOLO</t>
        </is>
      </c>
      <c r="FJ2751" s="18" t="inlineStr">
        <is>
          <t>GRAN VIALE</t>
        </is>
      </c>
      <c r="FK2751" s="18" t="n">
        <v>2020</v>
      </c>
      <c r="FL2751" s="18" t="inlineStr">
        <is>
          <t>C</t>
        </is>
      </c>
      <c r="FM2751" s="18" t="inlineStr">
        <is>
          <t>Santa Rosa</t>
        </is>
      </c>
      <c r="FP2751" t="inlineStr">
        <is>
          <t>C</t>
        </is>
      </c>
    </row>
    <row r="2752">
      <c r="FC2752" t="inlineStr">
        <is>
          <t>Diccionario 3</t>
        </is>
      </c>
      <c r="FD2752" s="17" t="inlineStr">
        <is>
          <t>LZPW20</t>
        </is>
      </c>
      <c r="FE2752" s="17" t="inlineStr">
        <is>
          <t>YV3T7U521LA198727</t>
        </is>
      </c>
      <c r="FF2752" s="18" t="n">
        <v>508214</v>
      </c>
      <c r="FG2752" s="18" t="inlineStr">
        <is>
          <t>VOLVO</t>
        </is>
      </c>
      <c r="FH2752" s="18" t="inlineStr">
        <is>
          <t>B8RLEA</t>
        </is>
      </c>
      <c r="FI2752" s="18" t="inlineStr">
        <is>
          <t>MARCOPOLO</t>
        </is>
      </c>
      <c r="FJ2752" s="18" t="inlineStr">
        <is>
          <t>GRAN VIALE</t>
        </is>
      </c>
      <c r="FK2752" s="18" t="n">
        <v>2020</v>
      </c>
      <c r="FL2752" s="18" t="inlineStr">
        <is>
          <t>C</t>
        </is>
      </c>
      <c r="FM2752" s="18" t="inlineStr">
        <is>
          <t>Santa Rosa</t>
        </is>
      </c>
      <c r="FP2752" t="inlineStr">
        <is>
          <t>C</t>
        </is>
      </c>
    </row>
    <row r="2753">
      <c r="FC2753" t="inlineStr">
        <is>
          <t>Diccionario 3</t>
        </is>
      </c>
      <c r="FD2753" s="17" t="inlineStr">
        <is>
          <t>LZPW21</t>
        </is>
      </c>
      <c r="FE2753" s="17" t="inlineStr">
        <is>
          <t>YV3T7U528LA201669</t>
        </is>
      </c>
      <c r="FF2753" s="18" t="n">
        <v>508621</v>
      </c>
      <c r="FG2753" s="18" t="inlineStr">
        <is>
          <t>VOLVO</t>
        </is>
      </c>
      <c r="FH2753" s="18" t="inlineStr">
        <is>
          <t>B8RLEA</t>
        </is>
      </c>
      <c r="FI2753" s="18" t="inlineStr">
        <is>
          <t>MARCOPOLO</t>
        </is>
      </c>
      <c r="FJ2753" s="18" t="inlineStr">
        <is>
          <t>GRAN VIALE</t>
        </is>
      </c>
      <c r="FK2753" s="18" t="n">
        <v>2020</v>
      </c>
      <c r="FL2753" s="18" t="inlineStr">
        <is>
          <t>C</t>
        </is>
      </c>
      <c r="FM2753" s="18" t="inlineStr">
        <is>
          <t>Santa Rosa</t>
        </is>
      </c>
      <c r="FP2753" t="inlineStr">
        <is>
          <t>C</t>
        </is>
      </c>
    </row>
    <row r="2754">
      <c r="FC2754" t="inlineStr">
        <is>
          <t>Diccionario 3</t>
        </is>
      </c>
      <c r="FD2754" s="17" t="inlineStr">
        <is>
          <t>LZPW22</t>
        </is>
      </c>
      <c r="FE2754" s="17" t="inlineStr">
        <is>
          <t>YV3T7U520LA201391</t>
        </is>
      </c>
      <c r="FF2754" s="18" t="n">
        <v>507509</v>
      </c>
      <c r="FG2754" s="18" t="inlineStr">
        <is>
          <t>VOLVO</t>
        </is>
      </c>
      <c r="FH2754" s="18" t="inlineStr">
        <is>
          <t>B8RLEA</t>
        </is>
      </c>
      <c r="FI2754" s="18" t="inlineStr">
        <is>
          <t>MARCOPOLO</t>
        </is>
      </c>
      <c r="FJ2754" s="18" t="inlineStr">
        <is>
          <t>GRAN VIALE</t>
        </is>
      </c>
      <c r="FK2754" s="18" t="n">
        <v>2020</v>
      </c>
      <c r="FL2754" s="18" t="inlineStr">
        <is>
          <t>C</t>
        </is>
      </c>
      <c r="FM2754" s="18" t="inlineStr">
        <is>
          <t>Santa Rosa</t>
        </is>
      </c>
      <c r="FP2754" t="inlineStr">
        <is>
          <t>C</t>
        </is>
      </c>
    </row>
    <row r="2755">
      <c r="FC2755" t="inlineStr">
        <is>
          <t>Diccionario 3</t>
        </is>
      </c>
      <c r="FD2755" s="17" t="inlineStr">
        <is>
          <t>LZRB82</t>
        </is>
      </c>
      <c r="FE2755" s="17" t="inlineStr">
        <is>
          <t>YV3T7U520LA201097</t>
        </is>
      </c>
      <c r="FF2755" s="18" t="n">
        <v>507017</v>
      </c>
      <c r="FG2755" s="18" t="inlineStr">
        <is>
          <t>VOLVO</t>
        </is>
      </c>
      <c r="FH2755" s="18" t="inlineStr">
        <is>
          <t>B8RLEA</t>
        </is>
      </c>
      <c r="FI2755" s="18" t="inlineStr">
        <is>
          <t>MARCOPOLO</t>
        </is>
      </c>
      <c r="FJ2755" s="18" t="inlineStr">
        <is>
          <t>GRAN VIALE</t>
        </is>
      </c>
      <c r="FK2755" s="18" t="n">
        <v>2020</v>
      </c>
      <c r="FL2755" s="18" t="inlineStr">
        <is>
          <t>C</t>
        </is>
      </c>
      <c r="FM2755" s="18" t="inlineStr">
        <is>
          <t>Recoleta</t>
        </is>
      </c>
      <c r="FP2755" t="inlineStr">
        <is>
          <t>C</t>
        </is>
      </c>
    </row>
    <row r="2756">
      <c r="FC2756" t="inlineStr">
        <is>
          <t>Diccionario 3</t>
        </is>
      </c>
      <c r="FD2756" s="17" t="inlineStr">
        <is>
          <t>LZRB83</t>
        </is>
      </c>
      <c r="FE2756" s="17" t="inlineStr">
        <is>
          <t>YV3T7U528LA201476</t>
        </is>
      </c>
      <c r="FF2756" s="18" t="n">
        <v>507871</v>
      </c>
      <c r="FG2756" s="18" t="inlineStr">
        <is>
          <t>VOLVO</t>
        </is>
      </c>
      <c r="FH2756" s="18" t="inlineStr">
        <is>
          <t>B8RLEA</t>
        </is>
      </c>
      <c r="FI2756" s="18" t="inlineStr">
        <is>
          <t>MARCOPOLO</t>
        </is>
      </c>
      <c r="FJ2756" s="18" t="inlineStr">
        <is>
          <t>GRAN VIALE</t>
        </is>
      </c>
      <c r="FK2756" s="18" t="n">
        <v>2020</v>
      </c>
      <c r="FL2756" s="18" t="inlineStr">
        <is>
          <t>C</t>
        </is>
      </c>
      <c r="FM2756" s="18" t="inlineStr">
        <is>
          <t>Santa Rosa</t>
        </is>
      </c>
      <c r="FP2756" t="inlineStr">
        <is>
          <t>C</t>
        </is>
      </c>
    </row>
    <row r="2757">
      <c r="FC2757" t="inlineStr">
        <is>
          <t>Diccionario 3</t>
        </is>
      </c>
      <c r="FD2757" s="17" t="inlineStr">
        <is>
          <t>LZRB84</t>
        </is>
      </c>
      <c r="FE2757" s="17" t="inlineStr">
        <is>
          <t>YV3T7U524LA201815</t>
        </is>
      </c>
      <c r="FF2757" s="18" t="n">
        <v>509217</v>
      </c>
      <c r="FG2757" s="18" t="inlineStr">
        <is>
          <t>VOLVO</t>
        </is>
      </c>
      <c r="FH2757" s="18" t="inlineStr">
        <is>
          <t>B8RLEA</t>
        </is>
      </c>
      <c r="FI2757" s="18" t="inlineStr">
        <is>
          <t>MARCOPOLO</t>
        </is>
      </c>
      <c r="FJ2757" s="18" t="inlineStr">
        <is>
          <t>GRAN VIALE</t>
        </is>
      </c>
      <c r="FK2757" s="18" t="n">
        <v>2020</v>
      </c>
      <c r="FL2757" s="18" t="inlineStr">
        <is>
          <t>C</t>
        </is>
      </c>
      <c r="FM2757" s="18" t="inlineStr">
        <is>
          <t>Santa Rosa</t>
        </is>
      </c>
      <c r="FP2757" t="inlineStr">
        <is>
          <t>C</t>
        </is>
      </c>
    </row>
    <row r="2758">
      <c r="FC2758" t="inlineStr">
        <is>
          <t>Diccionario 3</t>
        </is>
      </c>
      <c r="FD2758" s="17" t="inlineStr">
        <is>
          <t>LZRB85</t>
        </is>
      </c>
      <c r="FE2758" s="17" t="inlineStr">
        <is>
          <t>YV3T7U522LA201666</t>
        </is>
      </c>
      <c r="FF2758" s="18" t="n">
        <v>508593</v>
      </c>
      <c r="FG2758" s="18" t="inlineStr">
        <is>
          <t>VOLVO</t>
        </is>
      </c>
      <c r="FH2758" s="18" t="inlineStr">
        <is>
          <t>B8RLEA</t>
        </is>
      </c>
      <c r="FI2758" s="18" t="inlineStr">
        <is>
          <t>MARCOPOLO</t>
        </is>
      </c>
      <c r="FJ2758" s="18" t="inlineStr">
        <is>
          <t>GRAN VIALE</t>
        </is>
      </c>
      <c r="FK2758" s="18" t="n">
        <v>2020</v>
      </c>
      <c r="FL2758" s="18" t="inlineStr">
        <is>
          <t>C</t>
        </is>
      </c>
      <c r="FM2758" s="18" t="inlineStr">
        <is>
          <t>Santa Rosa</t>
        </is>
      </c>
      <c r="FP2758" t="inlineStr">
        <is>
          <t>C</t>
        </is>
      </c>
    </row>
    <row r="2759">
      <c r="FC2759" t="inlineStr">
        <is>
          <t>Diccionario 3</t>
        </is>
      </c>
      <c r="FD2759" s="17" t="inlineStr">
        <is>
          <t>LZRB86</t>
        </is>
      </c>
      <c r="FE2759" s="17" t="inlineStr">
        <is>
          <t>YV3T7U529LA201924</t>
        </is>
      </c>
      <c r="FF2759" s="18" t="n">
        <v>509325</v>
      </c>
      <c r="FG2759" s="18" t="inlineStr">
        <is>
          <t>VOLVO</t>
        </is>
      </c>
      <c r="FH2759" s="18" t="inlineStr">
        <is>
          <t>B8RLEA</t>
        </is>
      </c>
      <c r="FI2759" s="18" t="inlineStr">
        <is>
          <t>MARCOPOLO</t>
        </is>
      </c>
      <c r="FJ2759" s="18" t="inlineStr">
        <is>
          <t>GRAN VIALE</t>
        </is>
      </c>
      <c r="FK2759" s="18" t="n">
        <v>2020</v>
      </c>
      <c r="FL2759" s="18" t="inlineStr">
        <is>
          <t>C</t>
        </is>
      </c>
      <c r="FM2759" s="18" t="inlineStr">
        <is>
          <t>Santa Rosa</t>
        </is>
      </c>
      <c r="FP2759" t="inlineStr">
        <is>
          <t>C</t>
        </is>
      </c>
    </row>
    <row r="2760">
      <c r="FC2760" t="inlineStr">
        <is>
          <t>Diccionario 3</t>
        </is>
      </c>
      <c r="FD2760" s="17" t="inlineStr">
        <is>
          <t>LZRB87</t>
        </is>
      </c>
      <c r="FE2760" s="17" t="inlineStr">
        <is>
          <t>YV3T7U521LA201903</t>
        </is>
      </c>
      <c r="FF2760" s="18" t="n">
        <v>509608</v>
      </c>
      <c r="FG2760" s="18" t="inlineStr">
        <is>
          <t>VOLVO</t>
        </is>
      </c>
      <c r="FH2760" s="18" t="inlineStr">
        <is>
          <t>B8RLEA</t>
        </is>
      </c>
      <c r="FI2760" s="18" t="inlineStr">
        <is>
          <t>MARCOPOLO</t>
        </is>
      </c>
      <c r="FJ2760" s="18" t="inlineStr">
        <is>
          <t>GRAN VIALE</t>
        </is>
      </c>
      <c r="FK2760" s="18" t="n">
        <v>2020</v>
      </c>
      <c r="FL2760" s="18" t="inlineStr">
        <is>
          <t>C</t>
        </is>
      </c>
      <c r="FM2760" s="18" t="inlineStr">
        <is>
          <t>Santa Rosa</t>
        </is>
      </c>
      <c r="FP2760" t="inlineStr">
        <is>
          <t>C</t>
        </is>
      </c>
    </row>
    <row r="2761">
      <c r="FC2761" t="inlineStr">
        <is>
          <t>Diccionario 3</t>
        </is>
      </c>
      <c r="FD2761" s="17" t="inlineStr">
        <is>
          <t>LZRB88</t>
        </is>
      </c>
      <c r="FE2761" s="17" t="inlineStr">
        <is>
          <t>YV3T7U523LA201921</t>
        </is>
      </c>
      <c r="FF2761" s="18" t="n">
        <v>509543</v>
      </c>
      <c r="FG2761" s="18" t="inlineStr">
        <is>
          <t>VOLVO</t>
        </is>
      </c>
      <c r="FH2761" s="18" t="inlineStr">
        <is>
          <t>B8RLEA</t>
        </is>
      </c>
      <c r="FI2761" s="18" t="inlineStr">
        <is>
          <t>MARCOPOLO</t>
        </is>
      </c>
      <c r="FJ2761" s="18" t="inlineStr">
        <is>
          <t>GRAN VIALE</t>
        </is>
      </c>
      <c r="FK2761" s="18" t="n">
        <v>2020</v>
      </c>
      <c r="FL2761" s="18" t="inlineStr">
        <is>
          <t>C</t>
        </is>
      </c>
      <c r="FM2761" s="18" t="inlineStr">
        <is>
          <t>Santa Rosa</t>
        </is>
      </c>
      <c r="FP2761" t="inlineStr">
        <is>
          <t>C</t>
        </is>
      </c>
    </row>
    <row r="2762">
      <c r="FC2762" t="inlineStr">
        <is>
          <t>Diccionario 3</t>
        </is>
      </c>
      <c r="FD2762" s="17" t="inlineStr">
        <is>
          <t>SFVZ29</t>
        </is>
      </c>
      <c r="FE2762" s="17" t="inlineStr">
        <is>
          <t>LVCB4L4DXMM003870</t>
        </is>
      </c>
      <c r="FF2762" s="18" t="inlineStr">
        <is>
          <t>M221100546</t>
        </is>
      </c>
      <c r="FG2762" s="18" t="inlineStr">
        <is>
          <t>FOTON</t>
        </is>
      </c>
      <c r="FH2762" s="18" t="inlineStr">
        <is>
          <t>EBUS U12 SC</t>
        </is>
      </c>
      <c r="FI2762" s="18" t="inlineStr">
        <is>
          <t>FOTON</t>
        </is>
      </c>
      <c r="FJ2762" s="18" t="inlineStr">
        <is>
          <t>EBUS U12 SC</t>
        </is>
      </c>
      <c r="FK2762" s="18" t="n">
        <v>2022</v>
      </c>
      <c r="FL2762" s="18" t="inlineStr">
        <is>
          <t>B</t>
        </is>
      </c>
      <c r="FM2762" s="18" t="inlineStr">
        <is>
          <t>Ducaud</t>
        </is>
      </c>
      <c r="FP2762" t="inlineStr">
        <is>
          <t>B</t>
        </is>
      </c>
    </row>
    <row r="2763">
      <c r="FC2763" t="inlineStr">
        <is>
          <t>Diccionario 3</t>
        </is>
      </c>
      <c r="FD2763" s="17" t="inlineStr">
        <is>
          <t>SFVZ39</t>
        </is>
      </c>
      <c r="FE2763" s="17" t="inlineStr">
        <is>
          <t>LVCB4L4D5MM003646</t>
        </is>
      </c>
      <c r="FF2763" s="18" t="inlineStr">
        <is>
          <t>M221100541</t>
        </is>
      </c>
      <c r="FG2763" s="18" t="inlineStr">
        <is>
          <t>FOTON</t>
        </is>
      </c>
      <c r="FH2763" s="18" t="inlineStr">
        <is>
          <t>EBUS U12 SC</t>
        </is>
      </c>
      <c r="FI2763" s="18" t="inlineStr">
        <is>
          <t>FOTON</t>
        </is>
      </c>
      <c r="FJ2763" s="18" t="inlineStr">
        <is>
          <t>EBUS U12 SC</t>
        </is>
      </c>
      <c r="FK2763" s="18" t="n">
        <v>2022</v>
      </c>
      <c r="FL2763" s="18" t="inlineStr">
        <is>
          <t>B</t>
        </is>
      </c>
      <c r="FM2763" s="18" t="inlineStr">
        <is>
          <t>Ducaud</t>
        </is>
      </c>
      <c r="FP2763" t="inlineStr">
        <is>
          <t>B</t>
        </is>
      </c>
    </row>
    <row r="2764">
      <c r="FC2764" t="inlineStr">
        <is>
          <t>Diccionario 3</t>
        </is>
      </c>
      <c r="FD2764" s="17" t="inlineStr">
        <is>
          <t>SFVZ40</t>
        </is>
      </c>
      <c r="FE2764" s="17" t="inlineStr">
        <is>
          <t>LVCB4L4D3MM003872</t>
        </is>
      </c>
      <c r="FF2764" s="18" t="inlineStr">
        <is>
          <t>M221100304</t>
        </is>
      </c>
      <c r="FG2764" s="18" t="inlineStr">
        <is>
          <t>FOTON</t>
        </is>
      </c>
      <c r="FH2764" s="18" t="inlineStr">
        <is>
          <t>EBUS U12 SC</t>
        </is>
      </c>
      <c r="FI2764" s="18" t="inlineStr">
        <is>
          <t>FOTON</t>
        </is>
      </c>
      <c r="FJ2764" s="18" t="inlineStr">
        <is>
          <t>EBUS U12 SC</t>
        </is>
      </c>
      <c r="FK2764" s="18" t="n">
        <v>2022</v>
      </c>
      <c r="FL2764" s="18" t="inlineStr">
        <is>
          <t>B</t>
        </is>
      </c>
      <c r="FM2764" s="18" t="inlineStr">
        <is>
          <t>Santa Rosa</t>
        </is>
      </c>
      <c r="FP2764" t="inlineStr">
        <is>
          <t>B</t>
        </is>
      </c>
    </row>
    <row r="2765">
      <c r="FC2765" t="inlineStr">
        <is>
          <t>Diccionario 3</t>
        </is>
      </c>
      <c r="FD2765" s="17" t="inlineStr">
        <is>
          <t>SFVZ44</t>
        </is>
      </c>
      <c r="FE2765" s="17" t="inlineStr">
        <is>
          <t>LVCB4L4D9MM003875</t>
        </is>
      </c>
      <c r="FF2765" s="18" t="inlineStr">
        <is>
          <t>M221100438</t>
        </is>
      </c>
      <c r="FG2765" s="18" t="inlineStr">
        <is>
          <t>FOTON</t>
        </is>
      </c>
      <c r="FH2765" s="18" t="inlineStr">
        <is>
          <t>EBUS U12 SC</t>
        </is>
      </c>
      <c r="FI2765" s="18" t="inlineStr">
        <is>
          <t>FOTON</t>
        </is>
      </c>
      <c r="FJ2765" s="18" t="inlineStr">
        <is>
          <t>EBUS U12 SC</t>
        </is>
      </c>
      <c r="FK2765" s="18" t="n">
        <v>2022</v>
      </c>
      <c r="FL2765" s="18" t="inlineStr">
        <is>
          <t>B</t>
        </is>
      </c>
      <c r="FM2765" s="18" t="inlineStr">
        <is>
          <t>Santa Rosa</t>
        </is>
      </c>
      <c r="FP2765" t="inlineStr">
        <is>
          <t>B</t>
        </is>
      </c>
    </row>
    <row r="2766">
      <c r="FC2766" t="inlineStr">
        <is>
          <t>Diccionario 3</t>
        </is>
      </c>
      <c r="FD2766" s="17" t="inlineStr">
        <is>
          <t>SFVZ49</t>
        </is>
      </c>
      <c r="FE2766" s="17" t="inlineStr">
        <is>
          <t>LVCB4L4D0MM003876</t>
        </is>
      </c>
      <c r="FF2766" s="18" t="inlineStr">
        <is>
          <t>M221100544</t>
        </is>
      </c>
      <c r="FG2766" s="18" t="inlineStr">
        <is>
          <t>FOTON</t>
        </is>
      </c>
      <c r="FH2766" s="18" t="inlineStr">
        <is>
          <t>EBUS U12 SC</t>
        </is>
      </c>
      <c r="FI2766" s="18" t="inlineStr">
        <is>
          <t>FOTON</t>
        </is>
      </c>
      <c r="FJ2766" s="18" t="inlineStr">
        <is>
          <t>EBUS U12 SC</t>
        </is>
      </c>
      <c r="FK2766" s="18" t="n">
        <v>2022</v>
      </c>
      <c r="FL2766" s="18" t="inlineStr">
        <is>
          <t>B</t>
        </is>
      </c>
      <c r="FM2766" s="18" t="inlineStr">
        <is>
          <t>Santa Rosa</t>
        </is>
      </c>
      <c r="FP2766" t="inlineStr">
        <is>
          <t>B</t>
        </is>
      </c>
    </row>
    <row r="2767">
      <c r="FC2767" t="inlineStr">
        <is>
          <t>Diccionario 3</t>
        </is>
      </c>
      <c r="FD2767" s="17" t="inlineStr">
        <is>
          <t>SFVZ56</t>
        </is>
      </c>
      <c r="FE2767" s="17" t="inlineStr">
        <is>
          <t>LVCB4L4D2MM003877</t>
        </is>
      </c>
      <c r="FF2767" s="18" t="inlineStr">
        <is>
          <t>M221100558</t>
        </is>
      </c>
      <c r="FG2767" s="18" t="inlineStr">
        <is>
          <t>FOTON</t>
        </is>
      </c>
      <c r="FH2767" s="18" t="inlineStr">
        <is>
          <t>EBUS U12 SC</t>
        </is>
      </c>
      <c r="FI2767" s="18" t="inlineStr">
        <is>
          <t>FOTON</t>
        </is>
      </c>
      <c r="FJ2767" s="18" t="inlineStr">
        <is>
          <t>EBUS U12 SC</t>
        </is>
      </c>
      <c r="FK2767" s="18" t="n">
        <v>2022</v>
      </c>
      <c r="FL2767" s="18" t="inlineStr">
        <is>
          <t>B</t>
        </is>
      </c>
      <c r="FM2767" s="18" t="inlineStr">
        <is>
          <t>Santa Rosa</t>
        </is>
      </c>
      <c r="FP2767" t="inlineStr">
        <is>
          <t>B</t>
        </is>
      </c>
    </row>
    <row r="2768">
      <c r="FC2768" t="inlineStr">
        <is>
          <t>Diccionario 3</t>
        </is>
      </c>
      <c r="FD2768" s="17" t="inlineStr">
        <is>
          <t>SFVZ60</t>
        </is>
      </c>
      <c r="FE2768" s="17" t="inlineStr">
        <is>
          <t>LVCB4L4D6MM003879</t>
        </is>
      </c>
      <c r="FF2768" s="18" t="inlineStr">
        <is>
          <t>M221110022</t>
        </is>
      </c>
      <c r="FG2768" s="18" t="inlineStr">
        <is>
          <t>FOTON</t>
        </is>
      </c>
      <c r="FH2768" s="18" t="inlineStr">
        <is>
          <t>EBUS U12 SC</t>
        </is>
      </c>
      <c r="FI2768" s="18" t="inlineStr">
        <is>
          <t>FOTON</t>
        </is>
      </c>
      <c r="FJ2768" s="18" t="inlineStr">
        <is>
          <t>EBUS U12 SC</t>
        </is>
      </c>
      <c r="FK2768" s="18" t="n">
        <v>2022</v>
      </c>
      <c r="FL2768" s="18" t="inlineStr">
        <is>
          <t>B</t>
        </is>
      </c>
      <c r="FM2768" s="18" t="inlineStr">
        <is>
          <t>Lo Blanco</t>
        </is>
      </c>
      <c r="FP2768" t="inlineStr">
        <is>
          <t>B</t>
        </is>
      </c>
    </row>
    <row r="2769">
      <c r="FC2769" t="inlineStr">
        <is>
          <t>Diccionario 3</t>
        </is>
      </c>
      <c r="FD2769" s="17" t="inlineStr">
        <is>
          <t>SFVZ63</t>
        </is>
      </c>
      <c r="FE2769" s="17" t="inlineStr">
        <is>
          <t>LVCB4L4D2MM003880</t>
        </is>
      </c>
      <c r="FF2769" s="18" t="inlineStr">
        <is>
          <t>M221100408</t>
        </is>
      </c>
      <c r="FG2769" s="18" t="inlineStr">
        <is>
          <t>FOTON</t>
        </is>
      </c>
      <c r="FH2769" s="18" t="inlineStr">
        <is>
          <t>EBUS U12 SC</t>
        </is>
      </c>
      <c r="FI2769" s="18" t="inlineStr">
        <is>
          <t>FOTON</t>
        </is>
      </c>
      <c r="FJ2769" s="18" t="inlineStr">
        <is>
          <t>EBUS U12 SC</t>
        </is>
      </c>
      <c r="FK2769" s="18" t="n">
        <v>2022</v>
      </c>
      <c r="FL2769" s="18" t="inlineStr">
        <is>
          <t>B</t>
        </is>
      </c>
      <c r="FM2769" s="18" t="inlineStr">
        <is>
          <t>Santa Rosa</t>
        </is>
      </c>
      <c r="FP2769" t="inlineStr">
        <is>
          <t>B</t>
        </is>
      </c>
    </row>
    <row r="2770">
      <c r="FC2770" t="inlineStr">
        <is>
          <t>Diccionario 3</t>
        </is>
      </c>
      <c r="FD2770" s="17" t="inlineStr">
        <is>
          <t>SFVZ67</t>
        </is>
      </c>
      <c r="FE2770" s="17" t="inlineStr">
        <is>
          <t>LVCB4L4D4MM003881</t>
        </is>
      </c>
      <c r="FF2770" s="18" t="inlineStr">
        <is>
          <t>M221110108</t>
        </is>
      </c>
      <c r="FG2770" s="18" t="inlineStr">
        <is>
          <t>FOTON</t>
        </is>
      </c>
      <c r="FH2770" s="18" t="inlineStr">
        <is>
          <t>EBUS U12 SC</t>
        </is>
      </c>
      <c r="FI2770" s="18" t="inlineStr">
        <is>
          <t>FOTON</t>
        </is>
      </c>
      <c r="FJ2770" s="18" t="inlineStr">
        <is>
          <t>EBUS U12 SC</t>
        </is>
      </c>
      <c r="FK2770" s="18" t="n">
        <v>2022</v>
      </c>
      <c r="FL2770" s="18" t="inlineStr">
        <is>
          <t>B</t>
        </is>
      </c>
      <c r="FM2770" s="18" t="inlineStr">
        <is>
          <t>Santa Rosa</t>
        </is>
      </c>
      <c r="FP2770" t="inlineStr">
        <is>
          <t>B</t>
        </is>
      </c>
    </row>
    <row r="2771">
      <c r="FC2771" t="inlineStr">
        <is>
          <t>Diccionario 3</t>
        </is>
      </c>
      <c r="FD2771" s="17" t="inlineStr">
        <is>
          <t>SFVZ70</t>
        </is>
      </c>
      <c r="FE2771" s="17" t="inlineStr">
        <is>
          <t>LVCB4L4D6MM003882</t>
        </is>
      </c>
      <c r="FF2771" s="18" t="inlineStr">
        <is>
          <t>M221100437</t>
        </is>
      </c>
      <c r="FG2771" s="18" t="inlineStr">
        <is>
          <t>FOTON</t>
        </is>
      </c>
      <c r="FH2771" s="18" t="inlineStr">
        <is>
          <t>EBUS U12 SC</t>
        </is>
      </c>
      <c r="FI2771" s="18" t="inlineStr">
        <is>
          <t>FOTON</t>
        </is>
      </c>
      <c r="FJ2771" s="18" t="inlineStr">
        <is>
          <t>EBUS U12 SC</t>
        </is>
      </c>
      <c r="FK2771" s="18" t="n">
        <v>2022</v>
      </c>
      <c r="FL2771" s="18" t="inlineStr">
        <is>
          <t>B</t>
        </is>
      </c>
      <c r="FM2771" s="18" t="inlineStr">
        <is>
          <t>Santa Rosa</t>
        </is>
      </c>
      <c r="FP2771" t="inlineStr">
        <is>
          <t>B</t>
        </is>
      </c>
    </row>
    <row r="2772">
      <c r="FC2772" t="inlineStr">
        <is>
          <t>Diccionario 3</t>
        </is>
      </c>
      <c r="FD2772" s="17" t="inlineStr">
        <is>
          <t>SFVZ80</t>
        </is>
      </c>
      <c r="FE2772" s="17" t="inlineStr">
        <is>
          <t>LVCB4L4D8MM003883</t>
        </is>
      </c>
      <c r="FF2772" s="18" t="inlineStr">
        <is>
          <t>M221100477</t>
        </is>
      </c>
      <c r="FG2772" s="18" t="inlineStr">
        <is>
          <t>FOTON</t>
        </is>
      </c>
      <c r="FH2772" s="18" t="inlineStr">
        <is>
          <t>EBUS U12 SC</t>
        </is>
      </c>
      <c r="FI2772" s="18" t="inlineStr">
        <is>
          <t>FOTON</t>
        </is>
      </c>
      <c r="FJ2772" s="18" t="inlineStr">
        <is>
          <t>EBUS U12 SC</t>
        </is>
      </c>
      <c r="FK2772" s="18" t="n">
        <v>2022</v>
      </c>
      <c r="FL2772" s="18" t="inlineStr">
        <is>
          <t>B</t>
        </is>
      </c>
      <c r="FM2772" s="18" t="inlineStr">
        <is>
          <t>Santa Rosa</t>
        </is>
      </c>
      <c r="FP2772" t="inlineStr">
        <is>
          <t>B</t>
        </is>
      </c>
    </row>
    <row r="2773">
      <c r="FC2773" t="inlineStr">
        <is>
          <t>Diccionario 3</t>
        </is>
      </c>
      <c r="FD2773" s="17" t="inlineStr">
        <is>
          <t>SFVZ81</t>
        </is>
      </c>
      <c r="FE2773" s="17" t="inlineStr">
        <is>
          <t>LVCB4L4D1MM003885</t>
        </is>
      </c>
      <c r="FF2773" s="18" t="inlineStr">
        <is>
          <t>M221100475</t>
        </is>
      </c>
      <c r="FG2773" s="18" t="inlineStr">
        <is>
          <t>FOTON</t>
        </is>
      </c>
      <c r="FH2773" s="18" t="inlineStr">
        <is>
          <t>EBUS U12 SC</t>
        </is>
      </c>
      <c r="FI2773" s="18" t="inlineStr">
        <is>
          <t>FOTON</t>
        </is>
      </c>
      <c r="FJ2773" s="18" t="inlineStr">
        <is>
          <t>EBUS U12 SC</t>
        </is>
      </c>
      <c r="FK2773" s="18" t="n">
        <v>2022</v>
      </c>
      <c r="FL2773" s="18" t="inlineStr">
        <is>
          <t>B</t>
        </is>
      </c>
      <c r="FM2773" s="18" t="inlineStr">
        <is>
          <t>Santa Rosa</t>
        </is>
      </c>
      <c r="FP2773" t="inlineStr">
        <is>
          <t>B</t>
        </is>
      </c>
    </row>
    <row r="2774">
      <c r="FC2774" t="inlineStr">
        <is>
          <t>Diccionario 3</t>
        </is>
      </c>
      <c r="FD2774" s="17" t="inlineStr">
        <is>
          <t>SFVZ85</t>
        </is>
      </c>
      <c r="FE2774" s="17" t="inlineStr">
        <is>
          <t>LVCB4L4D3MM003886</t>
        </is>
      </c>
      <c r="FF2774" s="18" t="inlineStr">
        <is>
          <t>M221100543</t>
        </is>
      </c>
      <c r="FG2774" s="18" t="inlineStr">
        <is>
          <t>FOTON</t>
        </is>
      </c>
      <c r="FH2774" s="18" t="inlineStr">
        <is>
          <t>EBUS U12 SC</t>
        </is>
      </c>
      <c r="FI2774" s="18" t="inlineStr">
        <is>
          <t>FOTON</t>
        </is>
      </c>
      <c r="FJ2774" s="18" t="inlineStr">
        <is>
          <t>EBUS U12 SC</t>
        </is>
      </c>
      <c r="FK2774" s="18" t="n">
        <v>2022</v>
      </c>
      <c r="FL2774" s="18" t="inlineStr">
        <is>
          <t>B</t>
        </is>
      </c>
      <c r="FM2774" s="18" t="inlineStr">
        <is>
          <t>Santa Rosa</t>
        </is>
      </c>
      <c r="FP2774" t="inlineStr">
        <is>
          <t>B</t>
        </is>
      </c>
    </row>
    <row r="2775">
      <c r="FC2775" t="inlineStr">
        <is>
          <t>Diccionario 3</t>
        </is>
      </c>
      <c r="FD2775" s="17" t="inlineStr">
        <is>
          <t>SFVZ86</t>
        </is>
      </c>
      <c r="FE2775" s="17" t="inlineStr">
        <is>
          <t>LVCB4L4D5MM003887</t>
        </is>
      </c>
      <c r="FF2775" s="18" t="inlineStr">
        <is>
          <t>M221110021</t>
        </is>
      </c>
      <c r="FG2775" s="18" t="inlineStr">
        <is>
          <t>FOTON</t>
        </is>
      </c>
      <c r="FH2775" s="18" t="inlineStr">
        <is>
          <t>EBUS U12 SC</t>
        </is>
      </c>
      <c r="FI2775" s="18" t="inlineStr">
        <is>
          <t>FOTON</t>
        </is>
      </c>
      <c r="FJ2775" s="18" t="inlineStr">
        <is>
          <t>EBUS U12 SC</t>
        </is>
      </c>
      <c r="FK2775" s="18" t="n">
        <v>2022</v>
      </c>
      <c r="FL2775" s="18" t="inlineStr">
        <is>
          <t>B</t>
        </is>
      </c>
      <c r="FM2775" s="18" t="inlineStr">
        <is>
          <t>Santa Rosa</t>
        </is>
      </c>
      <c r="FP2775" t="inlineStr">
        <is>
          <t>B</t>
        </is>
      </c>
    </row>
    <row r="2776">
      <c r="FC2776" t="inlineStr">
        <is>
          <t>Diccionario 3</t>
        </is>
      </c>
      <c r="FD2776" s="17" t="inlineStr">
        <is>
          <t>SFVZ87</t>
        </is>
      </c>
      <c r="FE2776" s="17" t="inlineStr">
        <is>
          <t>LVCB4L4D7MM003888</t>
        </is>
      </c>
      <c r="FF2776" s="18" t="inlineStr">
        <is>
          <t>M221100297</t>
        </is>
      </c>
      <c r="FG2776" s="18" t="inlineStr">
        <is>
          <t>FOTON</t>
        </is>
      </c>
      <c r="FH2776" s="18" t="inlineStr">
        <is>
          <t>EBUS U12 SC</t>
        </is>
      </c>
      <c r="FI2776" s="18" t="inlineStr">
        <is>
          <t>FOTON</t>
        </is>
      </c>
      <c r="FJ2776" s="18" t="inlineStr">
        <is>
          <t>EBUS U12 SC</t>
        </is>
      </c>
      <c r="FK2776" s="18" t="n">
        <v>2022</v>
      </c>
      <c r="FL2776" s="18" t="inlineStr">
        <is>
          <t>B</t>
        </is>
      </c>
      <c r="FM2776" s="18" t="inlineStr">
        <is>
          <t>Lo Blanco</t>
        </is>
      </c>
      <c r="FP2776" t="inlineStr">
        <is>
          <t>B</t>
        </is>
      </c>
    </row>
    <row r="2777">
      <c r="FC2777" t="inlineStr">
        <is>
          <t>Diccionario 3</t>
        </is>
      </c>
      <c r="FD2777" s="17" t="inlineStr">
        <is>
          <t>SFVZ94</t>
        </is>
      </c>
      <c r="FE2777" s="17" t="inlineStr">
        <is>
          <t>LVCB4L4D9MM003889</t>
        </is>
      </c>
      <c r="FF2777" s="18" t="inlineStr">
        <is>
          <t>M221100396</t>
        </is>
      </c>
      <c r="FG2777" s="18" t="inlineStr">
        <is>
          <t>FOTON</t>
        </is>
      </c>
      <c r="FH2777" s="18" t="inlineStr">
        <is>
          <t>EBUS U12 SC</t>
        </is>
      </c>
      <c r="FI2777" s="18" t="inlineStr">
        <is>
          <t>FOTON</t>
        </is>
      </c>
      <c r="FJ2777" s="18" t="inlineStr">
        <is>
          <t>EBUS U12 SC</t>
        </is>
      </c>
      <c r="FK2777" s="18" t="n">
        <v>2022</v>
      </c>
      <c r="FL2777" s="18" t="inlineStr">
        <is>
          <t>B</t>
        </is>
      </c>
      <c r="FM2777" s="18" t="inlineStr">
        <is>
          <t>Recoleta</t>
        </is>
      </c>
      <c r="FP2777" t="inlineStr">
        <is>
          <t>B</t>
        </is>
      </c>
    </row>
    <row r="2778">
      <c r="FC2778" t="inlineStr">
        <is>
          <t>Diccionario 3</t>
        </is>
      </c>
      <c r="FD2778" s="17" t="inlineStr">
        <is>
          <t>SFVZ96</t>
        </is>
      </c>
      <c r="FE2778" s="17" t="inlineStr">
        <is>
          <t>LVCB4L4D5MM003890</t>
        </is>
      </c>
      <c r="FF2778" s="18" t="inlineStr">
        <is>
          <t>M221100305</t>
        </is>
      </c>
      <c r="FG2778" s="18" t="inlineStr">
        <is>
          <t>FOTON</t>
        </is>
      </c>
      <c r="FH2778" s="18" t="inlineStr">
        <is>
          <t>EBUS U12 SC</t>
        </is>
      </c>
      <c r="FI2778" s="18" t="inlineStr">
        <is>
          <t>FOTON</t>
        </is>
      </c>
      <c r="FJ2778" s="18" t="inlineStr">
        <is>
          <t>EBUS U12 SC</t>
        </is>
      </c>
      <c r="FK2778" s="18" t="n">
        <v>2022</v>
      </c>
      <c r="FL2778" s="18" t="inlineStr">
        <is>
          <t>B</t>
        </is>
      </c>
      <c r="FM2778" s="18" t="inlineStr">
        <is>
          <t>Santa Rosa</t>
        </is>
      </c>
      <c r="FP2778" t="inlineStr">
        <is>
          <t>B</t>
        </is>
      </c>
    </row>
    <row r="2779">
      <c r="FC2779" t="inlineStr">
        <is>
          <t>Diccionario 3</t>
        </is>
      </c>
      <c r="FD2779" s="17" t="inlineStr">
        <is>
          <t>SFWB10</t>
        </is>
      </c>
      <c r="FE2779" s="17" t="inlineStr">
        <is>
          <t>LVCB4L4D9MM003892</t>
        </is>
      </c>
      <c r="FF2779" s="18" t="inlineStr">
        <is>
          <t>M221110101</t>
        </is>
      </c>
      <c r="FG2779" s="18" t="inlineStr">
        <is>
          <t>FOTON</t>
        </is>
      </c>
      <c r="FH2779" s="18" t="inlineStr">
        <is>
          <t>EBUS U12 SC</t>
        </is>
      </c>
      <c r="FI2779" s="18" t="inlineStr">
        <is>
          <t>FOTON</t>
        </is>
      </c>
      <c r="FJ2779" s="18" t="inlineStr">
        <is>
          <t>EBUS U12 SC</t>
        </is>
      </c>
      <c r="FK2779" s="18" t="n">
        <v>2022</v>
      </c>
      <c r="FL2779" s="18" t="inlineStr">
        <is>
          <t>B</t>
        </is>
      </c>
      <c r="FM2779" s="18" t="inlineStr">
        <is>
          <t>Recoleta</t>
        </is>
      </c>
      <c r="FP2779" t="inlineStr">
        <is>
          <t>B</t>
        </is>
      </c>
    </row>
    <row r="2780">
      <c r="FC2780" t="inlineStr">
        <is>
          <t>Diccionario 3</t>
        </is>
      </c>
      <c r="FD2780" s="17" t="inlineStr">
        <is>
          <t>SFWB14</t>
        </is>
      </c>
      <c r="FE2780" s="17" t="inlineStr">
        <is>
          <t>LVCB4L4D0MM003893</t>
        </is>
      </c>
      <c r="FF2780" s="18" t="inlineStr">
        <is>
          <t>M221100547</t>
        </is>
      </c>
      <c r="FG2780" s="18" t="inlineStr">
        <is>
          <t>FOTON</t>
        </is>
      </c>
      <c r="FH2780" s="18" t="inlineStr">
        <is>
          <t>EBUS U12 SC</t>
        </is>
      </c>
      <c r="FI2780" s="18" t="inlineStr">
        <is>
          <t>FOTON</t>
        </is>
      </c>
      <c r="FJ2780" s="18" t="inlineStr">
        <is>
          <t>EBUS U12 SC</t>
        </is>
      </c>
      <c r="FK2780" s="18" t="n">
        <v>2022</v>
      </c>
      <c r="FL2780" s="18" t="inlineStr">
        <is>
          <t>B</t>
        </is>
      </c>
      <c r="FM2780" s="18" t="inlineStr">
        <is>
          <t>Santa Rosa</t>
        </is>
      </c>
      <c r="FP2780" t="inlineStr">
        <is>
          <t>B</t>
        </is>
      </c>
    </row>
    <row r="2781">
      <c r="FC2781" t="inlineStr">
        <is>
          <t>Diccionario 3</t>
        </is>
      </c>
      <c r="FD2781" s="17" t="inlineStr">
        <is>
          <t>SFWB16</t>
        </is>
      </c>
      <c r="FE2781" s="17" t="inlineStr">
        <is>
          <t>LVCB4L4D4MM003895</t>
        </is>
      </c>
      <c r="FF2781" s="18" t="inlineStr">
        <is>
          <t>M221100515</t>
        </is>
      </c>
      <c r="FG2781" s="18" t="inlineStr">
        <is>
          <t>FOTON</t>
        </is>
      </c>
      <c r="FH2781" s="18" t="inlineStr">
        <is>
          <t>EBUS U12 SC</t>
        </is>
      </c>
      <c r="FI2781" s="18" t="inlineStr">
        <is>
          <t>FOTON</t>
        </is>
      </c>
      <c r="FJ2781" s="18" t="inlineStr">
        <is>
          <t>EBUS U12 SC</t>
        </is>
      </c>
      <c r="FK2781" s="18" t="n">
        <v>2022</v>
      </c>
      <c r="FL2781" s="18" t="inlineStr">
        <is>
          <t>B</t>
        </is>
      </c>
      <c r="FM2781" s="18" t="inlineStr">
        <is>
          <t>Recoleta</t>
        </is>
      </c>
      <c r="FP2781" t="inlineStr">
        <is>
          <t>B</t>
        </is>
      </c>
    </row>
    <row r="2782">
      <c r="FC2782" t="inlineStr">
        <is>
          <t>Diccionario 3</t>
        </is>
      </c>
      <c r="FD2782" s="17" t="inlineStr">
        <is>
          <t>SFWB21</t>
        </is>
      </c>
      <c r="FE2782" s="17" t="inlineStr">
        <is>
          <t>LVCB4L4DXMM003898</t>
        </is>
      </c>
      <c r="FF2782" s="18" t="inlineStr">
        <is>
          <t>M221110024</t>
        </is>
      </c>
      <c r="FG2782" s="18" t="inlineStr">
        <is>
          <t>FOTON</t>
        </is>
      </c>
      <c r="FH2782" s="18" t="inlineStr">
        <is>
          <t>EBUS U12 SC</t>
        </is>
      </c>
      <c r="FI2782" s="18" t="inlineStr">
        <is>
          <t>FOTON</t>
        </is>
      </c>
      <c r="FJ2782" s="18" t="inlineStr">
        <is>
          <t>EBUS U12 SC</t>
        </is>
      </c>
      <c r="FK2782" s="18" t="n">
        <v>2022</v>
      </c>
      <c r="FL2782" s="18" t="inlineStr">
        <is>
          <t>B</t>
        </is>
      </c>
      <c r="FM2782" s="18" t="inlineStr">
        <is>
          <t>Santa Rosa</t>
        </is>
      </c>
      <c r="FP2782" t="inlineStr">
        <is>
          <t>B</t>
        </is>
      </c>
    </row>
    <row r="2783">
      <c r="FC2783" t="inlineStr">
        <is>
          <t>Diccionario 3</t>
        </is>
      </c>
      <c r="FD2783" s="17" t="inlineStr">
        <is>
          <t>SFWB24</t>
        </is>
      </c>
      <c r="FE2783" s="17" t="inlineStr">
        <is>
          <t>LVCB4L4D1MM003899</t>
        </is>
      </c>
      <c r="FF2783" s="18" t="inlineStr">
        <is>
          <t>M221100443</t>
        </is>
      </c>
      <c r="FG2783" s="18" t="inlineStr">
        <is>
          <t>FOTON</t>
        </is>
      </c>
      <c r="FH2783" s="18" t="inlineStr">
        <is>
          <t>EBUS U12 SC</t>
        </is>
      </c>
      <c r="FI2783" s="18" t="inlineStr">
        <is>
          <t>FOTON</t>
        </is>
      </c>
      <c r="FJ2783" s="18" t="inlineStr">
        <is>
          <t>EBUS U12 SC</t>
        </is>
      </c>
      <c r="FK2783" s="18" t="n">
        <v>2022</v>
      </c>
      <c r="FL2783" s="18" t="inlineStr">
        <is>
          <t>B</t>
        </is>
      </c>
      <c r="FM2783" s="18" t="inlineStr">
        <is>
          <t>Santa Rosa</t>
        </is>
      </c>
      <c r="FP2783" t="inlineStr">
        <is>
          <t>B</t>
        </is>
      </c>
    </row>
    <row r="2784">
      <c r="FC2784" t="inlineStr">
        <is>
          <t>Diccionario 3</t>
        </is>
      </c>
      <c r="FD2784" s="17" t="inlineStr">
        <is>
          <t>SFWB28</t>
        </is>
      </c>
      <c r="FE2784" s="17" t="inlineStr">
        <is>
          <t>LVCB4L4D8MM003902</t>
        </is>
      </c>
      <c r="FF2784" s="18" t="inlineStr">
        <is>
          <t>M221100309</t>
        </is>
      </c>
      <c r="FG2784" s="18" t="inlineStr">
        <is>
          <t>FOTON</t>
        </is>
      </c>
      <c r="FH2784" s="18" t="inlineStr">
        <is>
          <t>EBUS U12 SC</t>
        </is>
      </c>
      <c r="FI2784" s="18" t="inlineStr">
        <is>
          <t>FOTON</t>
        </is>
      </c>
      <c r="FJ2784" s="18" t="inlineStr">
        <is>
          <t>EBUS U12 SC</t>
        </is>
      </c>
      <c r="FK2784" s="18" t="n">
        <v>2022</v>
      </c>
      <c r="FL2784" s="18" t="inlineStr">
        <is>
          <t>B</t>
        </is>
      </c>
      <c r="FM2784" s="18" t="inlineStr">
        <is>
          <t>Santa Rosa</t>
        </is>
      </c>
      <c r="FP2784" t="inlineStr">
        <is>
          <t>B</t>
        </is>
      </c>
    </row>
    <row r="2785">
      <c r="FC2785" t="inlineStr">
        <is>
          <t>Diccionario 3</t>
        </is>
      </c>
      <c r="FD2785" s="17" t="inlineStr">
        <is>
          <t>SFWB29</t>
        </is>
      </c>
      <c r="FE2785" s="17" t="inlineStr">
        <is>
          <t>LVCB4L4DXMM003903</t>
        </is>
      </c>
      <c r="FF2785" s="18" t="inlineStr">
        <is>
          <t>M221110578</t>
        </is>
      </c>
      <c r="FG2785" s="18" t="inlineStr">
        <is>
          <t>FOTON</t>
        </is>
      </c>
      <c r="FH2785" s="18" t="inlineStr">
        <is>
          <t>EBUS U12 SC</t>
        </is>
      </c>
      <c r="FI2785" s="18" t="inlineStr">
        <is>
          <t>FOTON</t>
        </is>
      </c>
      <c r="FJ2785" s="18" t="inlineStr">
        <is>
          <t>EBUS U12 SC</t>
        </is>
      </c>
      <c r="FK2785" s="18" t="n">
        <v>2022</v>
      </c>
      <c r="FL2785" s="18" t="inlineStr">
        <is>
          <t>B</t>
        </is>
      </c>
      <c r="FM2785" s="18" t="inlineStr">
        <is>
          <t>Santa Rosa</t>
        </is>
      </c>
      <c r="FP2785" t="inlineStr">
        <is>
          <t>B</t>
        </is>
      </c>
    </row>
    <row r="2786">
      <c r="FC2786" t="inlineStr">
        <is>
          <t>Diccionario 3</t>
        </is>
      </c>
      <c r="FD2786" s="17" t="inlineStr">
        <is>
          <t>SFWB31</t>
        </is>
      </c>
      <c r="FE2786" s="17" t="inlineStr">
        <is>
          <t>LVCB4L4D3MM003905</t>
        </is>
      </c>
      <c r="FF2786" s="18" t="inlineStr">
        <is>
          <t>M221100400</t>
        </is>
      </c>
      <c r="FG2786" s="18" t="inlineStr">
        <is>
          <t>FOTON</t>
        </is>
      </c>
      <c r="FH2786" s="18" t="inlineStr">
        <is>
          <t>EBUS U12 SC</t>
        </is>
      </c>
      <c r="FI2786" s="18" t="inlineStr">
        <is>
          <t>FOTON</t>
        </is>
      </c>
      <c r="FJ2786" s="18" t="inlineStr">
        <is>
          <t>EBUS U12 SC</t>
        </is>
      </c>
      <c r="FK2786" s="18" t="n">
        <v>2022</v>
      </c>
      <c r="FL2786" s="18" t="inlineStr">
        <is>
          <t>B</t>
        </is>
      </c>
      <c r="FM2786" s="18" t="inlineStr">
        <is>
          <t>Recoleta</t>
        </is>
      </c>
      <c r="FP2786" t="inlineStr">
        <is>
          <t>B</t>
        </is>
      </c>
    </row>
    <row r="2787">
      <c r="FC2787" t="inlineStr">
        <is>
          <t>Diccionario 3</t>
        </is>
      </c>
      <c r="FD2787" s="17" t="inlineStr">
        <is>
          <t>SFWB33</t>
        </is>
      </c>
      <c r="FE2787" s="17" t="inlineStr">
        <is>
          <t>LVCB4L4D5MM003906</t>
        </is>
      </c>
      <c r="FF2787" s="18" t="inlineStr">
        <is>
          <t>M221100516</t>
        </is>
      </c>
      <c r="FG2787" s="18" t="inlineStr">
        <is>
          <t>FOTON</t>
        </is>
      </c>
      <c r="FH2787" s="18" t="inlineStr">
        <is>
          <t>EBUS U12 SC</t>
        </is>
      </c>
      <c r="FI2787" s="18" t="inlineStr">
        <is>
          <t>FOTON</t>
        </is>
      </c>
      <c r="FJ2787" s="18" t="inlineStr">
        <is>
          <t>EBUS U12 SC</t>
        </is>
      </c>
      <c r="FK2787" s="18" t="n">
        <v>2022</v>
      </c>
      <c r="FL2787" s="18" t="inlineStr">
        <is>
          <t>B</t>
        </is>
      </c>
      <c r="FM2787" s="18" t="inlineStr">
        <is>
          <t>Santa Rosa</t>
        </is>
      </c>
      <c r="FP2787" t="inlineStr">
        <is>
          <t>B</t>
        </is>
      </c>
    </row>
    <row r="2788">
      <c r="FC2788" t="inlineStr">
        <is>
          <t>Diccionario 3</t>
        </is>
      </c>
      <c r="FD2788" s="17" t="inlineStr">
        <is>
          <t>SFWB35</t>
        </is>
      </c>
      <c r="FE2788" s="17" t="inlineStr">
        <is>
          <t>LVCB4L4D7MM003907</t>
        </is>
      </c>
      <c r="FF2788" s="18" t="inlineStr">
        <is>
          <t>M221100306</t>
        </is>
      </c>
      <c r="FG2788" s="18" t="inlineStr">
        <is>
          <t>FOTON</t>
        </is>
      </c>
      <c r="FH2788" s="18" t="inlineStr">
        <is>
          <t>EBUS U12 SC</t>
        </is>
      </c>
      <c r="FI2788" s="18" t="inlineStr">
        <is>
          <t>FOTON</t>
        </is>
      </c>
      <c r="FJ2788" s="18" t="inlineStr">
        <is>
          <t>EBUS U12 SC</t>
        </is>
      </c>
      <c r="FK2788" s="18" t="n">
        <v>2022</v>
      </c>
      <c r="FL2788" s="18" t="inlineStr">
        <is>
          <t>B</t>
        </is>
      </c>
      <c r="FM2788" s="18" t="inlineStr">
        <is>
          <t>Recoleta</t>
        </is>
      </c>
      <c r="FP2788" t="inlineStr">
        <is>
          <t>B</t>
        </is>
      </c>
    </row>
    <row r="2789">
      <c r="FC2789" t="inlineStr">
        <is>
          <t>Diccionario 3</t>
        </is>
      </c>
      <c r="FD2789" s="17" t="inlineStr">
        <is>
          <t>SFWB42</t>
        </is>
      </c>
      <c r="FE2789" s="17" t="inlineStr">
        <is>
          <t>LVCB4L4D0MM003909</t>
        </is>
      </c>
      <c r="FF2789" s="18" t="inlineStr">
        <is>
          <t>M221110025</t>
        </is>
      </c>
      <c r="FG2789" s="18" t="inlineStr">
        <is>
          <t>FOTON</t>
        </is>
      </c>
      <c r="FH2789" s="18" t="inlineStr">
        <is>
          <t>EBUS U12 SC</t>
        </is>
      </c>
      <c r="FI2789" s="18" t="inlineStr">
        <is>
          <t>FOTON</t>
        </is>
      </c>
      <c r="FJ2789" s="18" t="inlineStr">
        <is>
          <t>EBUS U12 SC</t>
        </is>
      </c>
      <c r="FK2789" s="18" t="n">
        <v>2022</v>
      </c>
      <c r="FL2789" s="18" t="inlineStr">
        <is>
          <t>B</t>
        </is>
      </c>
      <c r="FM2789" s="18" t="inlineStr">
        <is>
          <t>Santa Rosa</t>
        </is>
      </c>
      <c r="FP2789" t="inlineStr">
        <is>
          <t>B</t>
        </is>
      </c>
    </row>
    <row r="2790">
      <c r="FC2790" t="inlineStr">
        <is>
          <t>Diccionario 3</t>
        </is>
      </c>
      <c r="FD2790" s="17" t="inlineStr">
        <is>
          <t>SFWB44</t>
        </is>
      </c>
      <c r="FE2790" s="17" t="inlineStr">
        <is>
          <t>LVCB4L4D9MM003911</t>
        </is>
      </c>
      <c r="FF2790" s="18" t="inlineStr">
        <is>
          <t>M221100549</t>
        </is>
      </c>
      <c r="FG2790" s="18" t="inlineStr">
        <is>
          <t>FOTON</t>
        </is>
      </c>
      <c r="FH2790" s="18" t="inlineStr">
        <is>
          <t>EBUS U12 SC</t>
        </is>
      </c>
      <c r="FI2790" s="18" t="inlineStr">
        <is>
          <t>FOTON</t>
        </is>
      </c>
      <c r="FJ2790" s="18" t="inlineStr">
        <is>
          <t>EBUS U12 SC</t>
        </is>
      </c>
      <c r="FK2790" s="18" t="n">
        <v>2022</v>
      </c>
      <c r="FL2790" s="18" t="inlineStr">
        <is>
          <t>B</t>
        </is>
      </c>
      <c r="FM2790" s="18" t="inlineStr">
        <is>
          <t>Santa Rosa</t>
        </is>
      </c>
      <c r="FP2790" t="inlineStr">
        <is>
          <t>B</t>
        </is>
      </c>
    </row>
    <row r="2791">
      <c r="FC2791" t="inlineStr">
        <is>
          <t>Diccionario 3</t>
        </is>
      </c>
      <c r="FD2791" s="17" t="inlineStr">
        <is>
          <t>SFWB46</t>
        </is>
      </c>
      <c r="FE2791" s="17" t="inlineStr">
        <is>
          <t>LVCB4L4D3MM003631</t>
        </is>
      </c>
      <c r="FF2791" s="18" t="inlineStr">
        <is>
          <t>M221100523</t>
        </is>
      </c>
      <c r="FG2791" s="18" t="inlineStr">
        <is>
          <t>FOTON</t>
        </is>
      </c>
      <c r="FH2791" s="18" t="inlineStr">
        <is>
          <t>EBUS U12 SC</t>
        </is>
      </c>
      <c r="FI2791" s="18" t="inlineStr">
        <is>
          <t>FOTON</t>
        </is>
      </c>
      <c r="FJ2791" s="18" t="inlineStr">
        <is>
          <t>EBUS U12 SC</t>
        </is>
      </c>
      <c r="FK2791" s="18" t="n">
        <v>2022</v>
      </c>
      <c r="FL2791" s="18" t="inlineStr">
        <is>
          <t>B</t>
        </is>
      </c>
      <c r="FM2791" s="18" t="inlineStr">
        <is>
          <t>Santa Rosa</t>
        </is>
      </c>
      <c r="FP2791" t="inlineStr">
        <is>
          <t>B</t>
        </is>
      </c>
    </row>
    <row r="2792">
      <c r="FC2792" t="inlineStr">
        <is>
          <t>Diccionario 3</t>
        </is>
      </c>
      <c r="FD2792" s="17" t="inlineStr">
        <is>
          <t>SFWB48</t>
        </is>
      </c>
      <c r="FE2792" s="17" t="inlineStr">
        <is>
          <t>LVCB4L4D8MM003916</t>
        </is>
      </c>
      <c r="FF2792" s="18" t="inlineStr">
        <is>
          <t>M221100441</t>
        </is>
      </c>
      <c r="FG2792" s="18" t="inlineStr">
        <is>
          <t>FOTON</t>
        </is>
      </c>
      <c r="FH2792" s="18" t="inlineStr">
        <is>
          <t>EBUS U12 SC</t>
        </is>
      </c>
      <c r="FI2792" s="18" t="inlineStr">
        <is>
          <t>FOTON</t>
        </is>
      </c>
      <c r="FJ2792" s="18" t="inlineStr">
        <is>
          <t>EBUS U12 SC</t>
        </is>
      </c>
      <c r="FK2792" s="18" t="n">
        <v>2022</v>
      </c>
      <c r="FL2792" s="18" t="inlineStr">
        <is>
          <t>B</t>
        </is>
      </c>
      <c r="FM2792" s="18" t="inlineStr">
        <is>
          <t>Santa Rosa</t>
        </is>
      </c>
      <c r="FP2792" t="inlineStr">
        <is>
          <t>B</t>
        </is>
      </c>
    </row>
    <row r="2793">
      <c r="FC2793" t="inlineStr">
        <is>
          <t>Diccionario 3</t>
        </is>
      </c>
      <c r="FD2793" s="17" t="inlineStr">
        <is>
          <t>SFWB50</t>
        </is>
      </c>
      <c r="FE2793" s="17" t="inlineStr">
        <is>
          <t>LVCB4L4D3MM003919</t>
        </is>
      </c>
      <c r="FF2793" s="18" t="inlineStr">
        <is>
          <t>M221110656</t>
        </is>
      </c>
      <c r="FG2793" s="18" t="inlineStr">
        <is>
          <t>FOTON</t>
        </is>
      </c>
      <c r="FH2793" s="18" t="inlineStr">
        <is>
          <t>EBUS U12 SC</t>
        </is>
      </c>
      <c r="FI2793" s="18" t="inlineStr">
        <is>
          <t>FOTON</t>
        </is>
      </c>
      <c r="FJ2793" s="18" t="inlineStr">
        <is>
          <t>EBUS U12 SC</t>
        </is>
      </c>
      <c r="FK2793" s="18" t="n">
        <v>2022</v>
      </c>
      <c r="FL2793" s="18" t="inlineStr">
        <is>
          <t>B</t>
        </is>
      </c>
      <c r="FM2793" s="18" t="inlineStr">
        <is>
          <t>Recoleta</t>
        </is>
      </c>
      <c r="FP2793" t="inlineStr">
        <is>
          <t>B</t>
        </is>
      </c>
    </row>
    <row r="2794">
      <c r="FC2794" t="inlineStr">
        <is>
          <t>Diccionario 3</t>
        </is>
      </c>
      <c r="FD2794" s="17" t="inlineStr">
        <is>
          <t>SFWB51</t>
        </is>
      </c>
      <c r="FE2794" s="17" t="inlineStr">
        <is>
          <t>LVCB4L4D1MM003921</t>
        </is>
      </c>
      <c r="FF2794" s="18" t="inlineStr">
        <is>
          <t>M221100522</t>
        </is>
      </c>
      <c r="FG2794" s="18" t="inlineStr">
        <is>
          <t>FOTON</t>
        </is>
      </c>
      <c r="FH2794" s="18" t="inlineStr">
        <is>
          <t>EBUS U12 SC</t>
        </is>
      </c>
      <c r="FI2794" s="18" t="inlineStr">
        <is>
          <t>FOTON</t>
        </is>
      </c>
      <c r="FJ2794" s="18" t="inlineStr">
        <is>
          <t>EBUS U12 SC</t>
        </is>
      </c>
      <c r="FK2794" s="18" t="n">
        <v>2022</v>
      </c>
      <c r="FL2794" s="18" t="inlineStr">
        <is>
          <t>B</t>
        </is>
      </c>
      <c r="FM2794" s="18" t="inlineStr">
        <is>
          <t>Santa Rosa</t>
        </is>
      </c>
      <c r="FP2794" t="inlineStr">
        <is>
          <t>B</t>
        </is>
      </c>
    </row>
    <row r="2795">
      <c r="FC2795" t="inlineStr">
        <is>
          <t>Diccionario 3</t>
        </is>
      </c>
      <c r="FD2795" s="17" t="inlineStr">
        <is>
          <t>SFWB58</t>
        </is>
      </c>
      <c r="FE2795" s="17" t="inlineStr">
        <is>
          <t>LVCB4L4D3MM003922</t>
        </is>
      </c>
      <c r="FF2795" s="18" t="inlineStr">
        <is>
          <t>M221100487</t>
        </is>
      </c>
      <c r="FG2795" s="18" t="inlineStr">
        <is>
          <t>FOTON</t>
        </is>
      </c>
      <c r="FH2795" s="18" t="inlineStr">
        <is>
          <t>EBUS U12 SC</t>
        </is>
      </c>
      <c r="FI2795" s="18" t="inlineStr">
        <is>
          <t>FOTON</t>
        </is>
      </c>
      <c r="FJ2795" s="18" t="inlineStr">
        <is>
          <t>EBUS U12 SC</t>
        </is>
      </c>
      <c r="FK2795" s="18" t="n">
        <v>2022</v>
      </c>
      <c r="FL2795" s="18" t="inlineStr">
        <is>
          <t>B</t>
        </is>
      </c>
      <c r="FM2795" s="18" t="inlineStr">
        <is>
          <t>Recoleta</t>
        </is>
      </c>
      <c r="FP2795" t="inlineStr">
        <is>
          <t>B</t>
        </is>
      </c>
    </row>
    <row r="2796">
      <c r="FC2796" t="inlineStr">
        <is>
          <t>Diccionario 3</t>
        </is>
      </c>
      <c r="FD2796" s="17" t="inlineStr">
        <is>
          <t>SFWB61</t>
        </is>
      </c>
      <c r="FE2796" s="17" t="inlineStr">
        <is>
          <t>LVCB4L4D2MM003927</t>
        </is>
      </c>
      <c r="FF2796" s="18" t="inlineStr">
        <is>
          <t>M221100560</t>
        </is>
      </c>
      <c r="FG2796" s="18" t="inlineStr">
        <is>
          <t>FOTON</t>
        </is>
      </c>
      <c r="FH2796" s="18" t="inlineStr">
        <is>
          <t>EBUS U12 SC</t>
        </is>
      </c>
      <c r="FI2796" s="18" t="inlineStr">
        <is>
          <t>FOTON</t>
        </is>
      </c>
      <c r="FJ2796" s="18" t="inlineStr">
        <is>
          <t>EBUS U12 SC</t>
        </is>
      </c>
      <c r="FK2796" s="18" t="n">
        <v>2022</v>
      </c>
      <c r="FL2796" s="18" t="inlineStr">
        <is>
          <t>B</t>
        </is>
      </c>
      <c r="FM2796" s="18" t="inlineStr">
        <is>
          <t>Santa Rosa</t>
        </is>
      </c>
      <c r="FP2796" t="inlineStr">
        <is>
          <t>B</t>
        </is>
      </c>
    </row>
    <row r="2797">
      <c r="FC2797" t="inlineStr">
        <is>
          <t>Diccionario 3</t>
        </is>
      </c>
      <c r="FD2797" s="17" t="inlineStr">
        <is>
          <t>SFWB64</t>
        </is>
      </c>
      <c r="FE2797" s="17" t="inlineStr">
        <is>
          <t>LVCB4L4D4MM003928</t>
        </is>
      </c>
      <c r="FF2797" s="18" t="inlineStr">
        <is>
          <t>M221110528</t>
        </is>
      </c>
      <c r="FG2797" s="18" t="inlineStr">
        <is>
          <t>FOTON</t>
        </is>
      </c>
      <c r="FH2797" s="18" t="inlineStr">
        <is>
          <t>EBUS U12 SC</t>
        </is>
      </c>
      <c r="FI2797" s="18" t="inlineStr">
        <is>
          <t>FOTON</t>
        </is>
      </c>
      <c r="FJ2797" s="18" t="inlineStr">
        <is>
          <t>EBUS U12 SC</t>
        </is>
      </c>
      <c r="FK2797" s="18" t="n">
        <v>2022</v>
      </c>
      <c r="FL2797" s="18" t="inlineStr">
        <is>
          <t>B</t>
        </is>
      </c>
      <c r="FM2797" s="18" t="inlineStr">
        <is>
          <t>Santa Rosa</t>
        </is>
      </c>
      <c r="FP2797" t="inlineStr">
        <is>
          <t>B</t>
        </is>
      </c>
    </row>
    <row r="2798">
      <c r="FC2798" t="inlineStr">
        <is>
          <t>Diccionario 3</t>
        </is>
      </c>
      <c r="FD2798" s="17" t="inlineStr">
        <is>
          <t>SFWB68</t>
        </is>
      </c>
      <c r="FE2798" s="17" t="inlineStr">
        <is>
          <t>LVCB4L4D6MM003929</t>
        </is>
      </c>
      <c r="FF2798" s="18" t="inlineStr">
        <is>
          <t>M221100439</t>
        </is>
      </c>
      <c r="FG2798" s="18" t="inlineStr">
        <is>
          <t>FOTON</t>
        </is>
      </c>
      <c r="FH2798" s="18" t="inlineStr">
        <is>
          <t>EBUS U12 SC</t>
        </is>
      </c>
      <c r="FI2798" s="18" t="inlineStr">
        <is>
          <t>FOTON</t>
        </is>
      </c>
      <c r="FJ2798" s="18" t="inlineStr">
        <is>
          <t>EBUS U12 SC</t>
        </is>
      </c>
      <c r="FK2798" s="18" t="n">
        <v>2022</v>
      </c>
      <c r="FL2798" s="18" t="inlineStr">
        <is>
          <t>B</t>
        </is>
      </c>
      <c r="FM2798" s="18" t="inlineStr">
        <is>
          <t>Recoleta</t>
        </is>
      </c>
      <c r="FP2798" t="inlineStr">
        <is>
          <t>B</t>
        </is>
      </c>
    </row>
    <row r="2799">
      <c r="FC2799" t="inlineStr">
        <is>
          <t>Diccionario 3</t>
        </is>
      </c>
      <c r="FD2799" s="17" t="inlineStr">
        <is>
          <t>SFWB72</t>
        </is>
      </c>
      <c r="FE2799" s="17" t="inlineStr">
        <is>
          <t>LVCB4L4D2MM003930</t>
        </is>
      </c>
      <c r="FF2799" s="18" t="inlineStr">
        <is>
          <t>M221100374</t>
        </is>
      </c>
      <c r="FG2799" s="18" t="inlineStr">
        <is>
          <t>FOTON</t>
        </is>
      </c>
      <c r="FH2799" s="18" t="inlineStr">
        <is>
          <t>EBUS U12 SC</t>
        </is>
      </c>
      <c r="FI2799" s="18" t="inlineStr">
        <is>
          <t>FOTON</t>
        </is>
      </c>
      <c r="FJ2799" s="18" t="inlineStr">
        <is>
          <t>EBUS U12 SC</t>
        </is>
      </c>
      <c r="FK2799" s="18" t="n">
        <v>2022</v>
      </c>
      <c r="FL2799" s="18" t="inlineStr">
        <is>
          <t>B</t>
        </is>
      </c>
      <c r="FM2799" s="18" t="inlineStr">
        <is>
          <t>Santa Rosa</t>
        </is>
      </c>
      <c r="FP2799" t="inlineStr">
        <is>
          <t>B</t>
        </is>
      </c>
    </row>
    <row r="2800">
      <c r="FC2800" t="inlineStr">
        <is>
          <t>Diccionario 3</t>
        </is>
      </c>
      <c r="FD2800" s="17" t="inlineStr">
        <is>
          <t>SFWB73</t>
        </is>
      </c>
      <c r="FE2800" s="17" t="inlineStr">
        <is>
          <t>LVCB4L4D4MM003931</t>
        </is>
      </c>
      <c r="FF2800" s="18" t="inlineStr">
        <is>
          <t>M221100407</t>
        </is>
      </c>
      <c r="FG2800" s="18" t="inlineStr">
        <is>
          <t>FOTON</t>
        </is>
      </c>
      <c r="FH2800" s="18" t="inlineStr">
        <is>
          <t>EBUS U12 SC</t>
        </is>
      </c>
      <c r="FI2800" s="18" t="inlineStr">
        <is>
          <t>FOTON</t>
        </is>
      </c>
      <c r="FJ2800" s="18" t="inlineStr">
        <is>
          <t>EBUS U12 SC</t>
        </is>
      </c>
      <c r="FK2800" s="18" t="n">
        <v>2022</v>
      </c>
      <c r="FL2800" s="18" t="inlineStr">
        <is>
          <t>B</t>
        </is>
      </c>
      <c r="FM2800" s="18" t="inlineStr">
        <is>
          <t>Santa Rosa</t>
        </is>
      </c>
      <c r="FP2800" t="inlineStr">
        <is>
          <t>B</t>
        </is>
      </c>
    </row>
    <row r="2801">
      <c r="FC2801" t="inlineStr">
        <is>
          <t>Diccionario 3</t>
        </is>
      </c>
      <c r="FD2801" s="17" t="inlineStr">
        <is>
          <t>SFWB75</t>
        </is>
      </c>
      <c r="FE2801" s="17" t="inlineStr">
        <is>
          <t>LVCB4L4D8MM003933</t>
        </is>
      </c>
      <c r="FF2801" s="18" t="inlineStr">
        <is>
          <t>M221110652</t>
        </is>
      </c>
      <c r="FG2801" s="18" t="inlineStr">
        <is>
          <t>FOTON</t>
        </is>
      </c>
      <c r="FH2801" s="18" t="inlineStr">
        <is>
          <t>EBUS U12 SC</t>
        </is>
      </c>
      <c r="FI2801" s="18" t="inlineStr">
        <is>
          <t>FOTON</t>
        </is>
      </c>
      <c r="FJ2801" s="18" t="inlineStr">
        <is>
          <t>EBUS U12 SC</t>
        </is>
      </c>
      <c r="FK2801" s="18" t="n">
        <v>2022</v>
      </c>
      <c r="FL2801" s="18" t="inlineStr">
        <is>
          <t>B</t>
        </is>
      </c>
      <c r="FM2801" s="18" t="inlineStr">
        <is>
          <t>Santa Rosa</t>
        </is>
      </c>
      <c r="FP2801" t="inlineStr">
        <is>
          <t>B</t>
        </is>
      </c>
    </row>
    <row r="2802">
      <c r="FC2802" t="inlineStr">
        <is>
          <t>Diccionario 3</t>
        </is>
      </c>
      <c r="FD2802" s="17" t="inlineStr">
        <is>
          <t>SFWB76</t>
        </is>
      </c>
      <c r="FE2802" s="17" t="inlineStr">
        <is>
          <t>LVCB4L4D3MM003936</t>
        </is>
      </c>
      <c r="FF2802" s="18" t="inlineStr">
        <is>
          <t>M221110487</t>
        </is>
      </c>
      <c r="FG2802" s="18" t="inlineStr">
        <is>
          <t>FOTON</t>
        </is>
      </c>
      <c r="FH2802" s="18" t="inlineStr">
        <is>
          <t>EBUS U12 SC</t>
        </is>
      </c>
      <c r="FI2802" s="18" t="inlineStr">
        <is>
          <t>FOTON</t>
        </is>
      </c>
      <c r="FJ2802" s="18" t="inlineStr">
        <is>
          <t>EBUS U12 SC</t>
        </is>
      </c>
      <c r="FK2802" s="18" t="n">
        <v>2022</v>
      </c>
      <c r="FL2802" s="18" t="inlineStr">
        <is>
          <t>B</t>
        </is>
      </c>
      <c r="FM2802" s="18" t="inlineStr">
        <is>
          <t>Santa Rosa</t>
        </is>
      </c>
      <c r="FP2802" t="inlineStr">
        <is>
          <t>B</t>
        </is>
      </c>
    </row>
    <row r="2803">
      <c r="FC2803" t="inlineStr">
        <is>
          <t>Diccionario 3</t>
        </is>
      </c>
      <c r="FD2803" s="17" t="inlineStr">
        <is>
          <t>SFWB77</t>
        </is>
      </c>
      <c r="FE2803" s="17" t="inlineStr">
        <is>
          <t>LVCB4L4D5MM003937</t>
        </is>
      </c>
      <c r="FF2803" s="18" t="inlineStr">
        <is>
          <t>M221120003</t>
        </is>
      </c>
      <c r="FG2803" s="18" t="inlineStr">
        <is>
          <t>FOTON</t>
        </is>
      </c>
      <c r="FH2803" s="18" t="inlineStr">
        <is>
          <t>EBUS U12 SC</t>
        </is>
      </c>
      <c r="FI2803" s="18" t="inlineStr">
        <is>
          <t>FOTON</t>
        </is>
      </c>
      <c r="FJ2803" s="18" t="inlineStr">
        <is>
          <t>EBUS U12 SC</t>
        </is>
      </c>
      <c r="FK2803" s="18" t="n">
        <v>2022</v>
      </c>
      <c r="FL2803" s="18" t="inlineStr">
        <is>
          <t>B</t>
        </is>
      </c>
      <c r="FM2803" s="18" t="inlineStr">
        <is>
          <t>Santa Rosa</t>
        </is>
      </c>
      <c r="FP2803" t="inlineStr">
        <is>
          <t>B</t>
        </is>
      </c>
    </row>
    <row r="2804">
      <c r="FC2804" t="inlineStr">
        <is>
          <t>Diccionario 3</t>
        </is>
      </c>
      <c r="FD2804" s="17" t="inlineStr">
        <is>
          <t>SFWB82</t>
        </is>
      </c>
      <c r="FE2804" s="17" t="inlineStr">
        <is>
          <t>LVCB4L4D7MM003938</t>
        </is>
      </c>
      <c r="FF2804" s="18" t="inlineStr">
        <is>
          <t>M221100406</t>
        </is>
      </c>
      <c r="FG2804" s="18" t="inlineStr">
        <is>
          <t>FOTON</t>
        </is>
      </c>
      <c r="FH2804" s="18" t="inlineStr">
        <is>
          <t>EBUS U12 SC</t>
        </is>
      </c>
      <c r="FI2804" s="18" t="inlineStr">
        <is>
          <t>FOTON</t>
        </is>
      </c>
      <c r="FJ2804" s="18" t="inlineStr">
        <is>
          <t>EBUS U12 SC</t>
        </is>
      </c>
      <c r="FK2804" s="18" t="n">
        <v>2022</v>
      </c>
      <c r="FL2804" s="18" t="inlineStr">
        <is>
          <t>B</t>
        </is>
      </c>
      <c r="FM2804" s="18" t="inlineStr">
        <is>
          <t>Santa Rosa</t>
        </is>
      </c>
      <c r="FP2804" t="inlineStr">
        <is>
          <t>B</t>
        </is>
      </c>
    </row>
    <row r="2805">
      <c r="FC2805" t="inlineStr">
        <is>
          <t>Diccionario 3</t>
        </is>
      </c>
      <c r="FD2805" s="17" t="inlineStr">
        <is>
          <t>SFWB84</t>
        </is>
      </c>
      <c r="FE2805" s="17" t="inlineStr">
        <is>
          <t>LVCB4L4D9MM003939</t>
        </is>
      </c>
      <c r="FF2805" s="18" t="inlineStr">
        <is>
          <t>M221100435</t>
        </is>
      </c>
      <c r="FG2805" s="18" t="inlineStr">
        <is>
          <t>FOTON</t>
        </is>
      </c>
      <c r="FH2805" s="18" t="inlineStr">
        <is>
          <t>EBUS U12 SC</t>
        </is>
      </c>
      <c r="FI2805" s="18" t="inlineStr">
        <is>
          <t>FOTON</t>
        </is>
      </c>
      <c r="FJ2805" s="18" t="inlineStr">
        <is>
          <t>EBUS U12 SC</t>
        </is>
      </c>
      <c r="FK2805" s="18" t="n">
        <v>2022</v>
      </c>
      <c r="FL2805" s="18" t="inlineStr">
        <is>
          <t>B</t>
        </is>
      </c>
      <c r="FM2805" s="18" t="inlineStr">
        <is>
          <t>Recoleta</t>
        </is>
      </c>
      <c r="FP2805" t="inlineStr">
        <is>
          <t>B</t>
        </is>
      </c>
    </row>
    <row r="2806">
      <c r="FC2806" t="inlineStr">
        <is>
          <t>Diccionario 3</t>
        </is>
      </c>
      <c r="FD2806" s="17" t="inlineStr">
        <is>
          <t>SFWB85</t>
        </is>
      </c>
      <c r="FE2806" s="17" t="inlineStr">
        <is>
          <t>LVCB4L4D5MM003940</t>
        </is>
      </c>
      <c r="FF2806" s="18" t="inlineStr">
        <is>
          <t>M221100409</t>
        </is>
      </c>
      <c r="FG2806" s="18" t="inlineStr">
        <is>
          <t>FOTON</t>
        </is>
      </c>
      <c r="FH2806" s="18" t="inlineStr">
        <is>
          <t>EBUS U12 SC</t>
        </is>
      </c>
      <c r="FI2806" s="18" t="inlineStr">
        <is>
          <t>FOTON</t>
        </is>
      </c>
      <c r="FJ2806" s="18" t="inlineStr">
        <is>
          <t>EBUS U12 SC</t>
        </is>
      </c>
      <c r="FK2806" s="18" t="n">
        <v>2022</v>
      </c>
      <c r="FL2806" s="18" t="inlineStr">
        <is>
          <t>B</t>
        </is>
      </c>
      <c r="FM2806" s="18" t="inlineStr">
        <is>
          <t>Santa Rosa</t>
        </is>
      </c>
      <c r="FP2806" t="inlineStr">
        <is>
          <t>B</t>
        </is>
      </c>
    </row>
    <row r="2807">
      <c r="FC2807" t="inlineStr">
        <is>
          <t>Diccionario 3</t>
        </is>
      </c>
      <c r="FD2807" s="17" t="inlineStr">
        <is>
          <t>SFWB87</t>
        </is>
      </c>
      <c r="FE2807" s="17" t="inlineStr">
        <is>
          <t>LVCB4L4D7MM003941</t>
        </is>
      </c>
      <c r="FF2807" s="18" t="inlineStr">
        <is>
          <t>M221110529</t>
        </is>
      </c>
      <c r="FG2807" s="18" t="inlineStr">
        <is>
          <t>FOTON</t>
        </is>
      </c>
      <c r="FH2807" s="18" t="inlineStr">
        <is>
          <t>EBUS U12 SC</t>
        </is>
      </c>
      <c r="FI2807" s="18" t="inlineStr">
        <is>
          <t>FOTON</t>
        </is>
      </c>
      <c r="FJ2807" s="18" t="inlineStr">
        <is>
          <t>EBUS U12 SC</t>
        </is>
      </c>
      <c r="FK2807" s="18" t="n">
        <v>2022</v>
      </c>
      <c r="FL2807" s="18" t="inlineStr">
        <is>
          <t>B</t>
        </is>
      </c>
      <c r="FM2807" s="18" t="inlineStr">
        <is>
          <t>Santa Rosa</t>
        </is>
      </c>
      <c r="FP2807" t="inlineStr">
        <is>
          <t>B</t>
        </is>
      </c>
    </row>
    <row r="2808">
      <c r="FC2808" t="inlineStr">
        <is>
          <t>Diccionario 3</t>
        </is>
      </c>
      <c r="FD2808" s="17" t="inlineStr">
        <is>
          <t>SFWB89</t>
        </is>
      </c>
      <c r="FE2808" s="17" t="inlineStr">
        <is>
          <t>LVCB4L4D0MM003943</t>
        </is>
      </c>
      <c r="FF2808" s="18" t="inlineStr">
        <is>
          <t>M221100548</t>
        </is>
      </c>
      <c r="FG2808" s="18" t="inlineStr">
        <is>
          <t>FOTON</t>
        </is>
      </c>
      <c r="FH2808" s="18" t="inlineStr">
        <is>
          <t>EBUS U12 SC</t>
        </is>
      </c>
      <c r="FI2808" s="18" t="inlineStr">
        <is>
          <t>FOTON</t>
        </is>
      </c>
      <c r="FJ2808" s="18" t="inlineStr">
        <is>
          <t>EBUS U12 SC</t>
        </is>
      </c>
      <c r="FK2808" s="18" t="n">
        <v>2022</v>
      </c>
      <c r="FL2808" s="18" t="inlineStr">
        <is>
          <t>B</t>
        </is>
      </c>
      <c r="FM2808" s="18" t="inlineStr">
        <is>
          <t>Recoleta</t>
        </is>
      </c>
      <c r="FP2808" t="inlineStr">
        <is>
          <t>B</t>
        </is>
      </c>
    </row>
    <row r="2809">
      <c r="FC2809" t="inlineStr">
        <is>
          <t>Diccionario 3</t>
        </is>
      </c>
      <c r="FD2809" s="17" t="inlineStr">
        <is>
          <t>SFWB90</t>
        </is>
      </c>
      <c r="FE2809" s="17" t="inlineStr">
        <is>
          <t>LVCB4L4D8MM003947</t>
        </is>
      </c>
      <c r="FF2809" s="18" t="inlineStr">
        <is>
          <t>M221110648</t>
        </is>
      </c>
      <c r="FG2809" s="18" t="inlineStr">
        <is>
          <t>FOTON</t>
        </is>
      </c>
      <c r="FH2809" s="18" t="inlineStr">
        <is>
          <t>EBUS U12 SC</t>
        </is>
      </c>
      <c r="FI2809" s="18" t="inlineStr">
        <is>
          <t>FOTON</t>
        </is>
      </c>
      <c r="FJ2809" s="18" t="inlineStr">
        <is>
          <t>EBUS U12 SC</t>
        </is>
      </c>
      <c r="FK2809" s="18" t="n">
        <v>2022</v>
      </c>
      <c r="FL2809" s="18" t="inlineStr">
        <is>
          <t>B</t>
        </is>
      </c>
      <c r="FM2809" s="18" t="inlineStr">
        <is>
          <t>Santa Rosa</t>
        </is>
      </c>
      <c r="FP2809" t="inlineStr">
        <is>
          <t>B</t>
        </is>
      </c>
    </row>
    <row r="2810">
      <c r="FC2810" t="inlineStr">
        <is>
          <t>Diccionario 3</t>
        </is>
      </c>
      <c r="FD2810" s="17" t="inlineStr">
        <is>
          <t>SFWB95</t>
        </is>
      </c>
      <c r="FE2810" s="17" t="inlineStr">
        <is>
          <t>LVCB4L4D8MM003950</t>
        </is>
      </c>
      <c r="FF2810" s="18" t="inlineStr">
        <is>
          <t>M221100399</t>
        </is>
      </c>
      <c r="FG2810" s="18" t="inlineStr">
        <is>
          <t>FOTON</t>
        </is>
      </c>
      <c r="FH2810" s="18" t="inlineStr">
        <is>
          <t>EBUS U12 SC</t>
        </is>
      </c>
      <c r="FI2810" s="18" t="inlineStr">
        <is>
          <t>FOTON</t>
        </is>
      </c>
      <c r="FJ2810" s="18" t="inlineStr">
        <is>
          <t>EBUS U12 SC</t>
        </is>
      </c>
      <c r="FK2810" s="18" t="n">
        <v>2022</v>
      </c>
      <c r="FL2810" s="18" t="inlineStr">
        <is>
          <t>B</t>
        </is>
      </c>
      <c r="FM2810" s="18" t="inlineStr">
        <is>
          <t>Santa Rosa</t>
        </is>
      </c>
      <c r="FP2810" t="inlineStr">
        <is>
          <t>B</t>
        </is>
      </c>
    </row>
    <row r="2811">
      <c r="FC2811" t="inlineStr">
        <is>
          <t>Diccionario 3</t>
        </is>
      </c>
      <c r="FD2811" s="17" t="inlineStr">
        <is>
          <t>SFWB96</t>
        </is>
      </c>
      <c r="FE2811" s="17" t="inlineStr">
        <is>
          <t>LVCB4L4DXMM003951</t>
        </is>
      </c>
      <c r="FF2811" s="18" t="inlineStr">
        <is>
          <t>M221110650</t>
        </is>
      </c>
      <c r="FG2811" s="18" t="inlineStr">
        <is>
          <t>FOTON</t>
        </is>
      </c>
      <c r="FH2811" s="18" t="inlineStr">
        <is>
          <t>EBUS U12 SC</t>
        </is>
      </c>
      <c r="FI2811" s="18" t="inlineStr">
        <is>
          <t>FOTON</t>
        </is>
      </c>
      <c r="FJ2811" s="18" t="inlineStr">
        <is>
          <t>EBUS U12 SC</t>
        </is>
      </c>
      <c r="FK2811" s="18" t="n">
        <v>2022</v>
      </c>
      <c r="FL2811" s="18" t="inlineStr">
        <is>
          <t>B</t>
        </is>
      </c>
      <c r="FM2811" s="18" t="inlineStr">
        <is>
          <t>Santa Rosa</t>
        </is>
      </c>
      <c r="FP2811" t="inlineStr">
        <is>
          <t>B</t>
        </is>
      </c>
    </row>
    <row r="2812">
      <c r="FC2812" t="inlineStr">
        <is>
          <t>Diccionario 3</t>
        </is>
      </c>
      <c r="FD2812" s="17" t="inlineStr">
        <is>
          <t>SFWB98</t>
        </is>
      </c>
      <c r="FE2812" s="17" t="inlineStr">
        <is>
          <t>LVCB4L4D1MM003952</t>
        </is>
      </c>
      <c r="FF2812" s="18" t="inlineStr">
        <is>
          <t>M221100302</t>
        </is>
      </c>
      <c r="FG2812" s="18" t="inlineStr">
        <is>
          <t>FOTON</t>
        </is>
      </c>
      <c r="FH2812" s="18" t="inlineStr">
        <is>
          <t>EBUS U12 SC</t>
        </is>
      </c>
      <c r="FI2812" s="18" t="inlineStr">
        <is>
          <t>FOTON</t>
        </is>
      </c>
      <c r="FJ2812" s="18" t="inlineStr">
        <is>
          <t>EBUS U12 SC</t>
        </is>
      </c>
      <c r="FK2812" s="18" t="n">
        <v>2022</v>
      </c>
      <c r="FL2812" s="18" t="inlineStr">
        <is>
          <t>B</t>
        </is>
      </c>
      <c r="FM2812" s="18" t="inlineStr">
        <is>
          <t>Santa Rosa</t>
        </is>
      </c>
      <c r="FP2812" t="inlineStr">
        <is>
          <t>B</t>
        </is>
      </c>
    </row>
    <row r="2813">
      <c r="FC2813" t="inlineStr">
        <is>
          <t>Diccionario 3</t>
        </is>
      </c>
      <c r="FD2813" s="17" t="inlineStr">
        <is>
          <t>SFWZ10</t>
        </is>
      </c>
      <c r="FE2813" s="17" t="inlineStr">
        <is>
          <t>LVCB4L4D3MM003953</t>
        </is>
      </c>
      <c r="FF2813" s="18" t="inlineStr">
        <is>
          <t>M221100373</t>
        </is>
      </c>
      <c r="FG2813" s="18" t="inlineStr">
        <is>
          <t>FOTON</t>
        </is>
      </c>
      <c r="FH2813" s="18" t="inlineStr">
        <is>
          <t>EBUS U12 SC</t>
        </is>
      </c>
      <c r="FI2813" s="18" t="inlineStr">
        <is>
          <t>FOTON</t>
        </is>
      </c>
      <c r="FJ2813" s="18" t="inlineStr">
        <is>
          <t>EBUS U12 SC</t>
        </is>
      </c>
      <c r="FK2813" s="18" t="n">
        <v>2022</v>
      </c>
      <c r="FL2813" s="18" t="inlineStr">
        <is>
          <t>B</t>
        </is>
      </c>
      <c r="FM2813" s="18" t="inlineStr">
        <is>
          <t>Santa Rosa</t>
        </is>
      </c>
      <c r="FP2813" t="inlineStr">
        <is>
          <t>B</t>
        </is>
      </c>
    </row>
    <row r="2814">
      <c r="FC2814" t="inlineStr">
        <is>
          <t>Diccionario 3</t>
        </is>
      </c>
      <c r="FD2814" s="17" t="inlineStr">
        <is>
          <t>SFWZ13</t>
        </is>
      </c>
      <c r="FE2814" s="17" t="inlineStr">
        <is>
          <t>LVCB4L4D7MM003955</t>
        </is>
      </c>
      <c r="FF2814" s="18" t="inlineStr">
        <is>
          <t>M221100404</t>
        </is>
      </c>
      <c r="FG2814" s="18" t="inlineStr">
        <is>
          <t>FOTON</t>
        </is>
      </c>
      <c r="FH2814" s="18" t="inlineStr">
        <is>
          <t>EBUS U12 SC</t>
        </is>
      </c>
      <c r="FI2814" s="18" t="inlineStr">
        <is>
          <t>FOTON</t>
        </is>
      </c>
      <c r="FJ2814" s="18" t="inlineStr">
        <is>
          <t>EBUS U12 SC</t>
        </is>
      </c>
      <c r="FK2814" s="18" t="n">
        <v>2022</v>
      </c>
      <c r="FL2814" s="18" t="inlineStr">
        <is>
          <t>B</t>
        </is>
      </c>
      <c r="FM2814" s="18" t="inlineStr">
        <is>
          <t>Santa Rosa</t>
        </is>
      </c>
      <c r="FP2814" t="inlineStr">
        <is>
          <t>B</t>
        </is>
      </c>
    </row>
    <row r="2815">
      <c r="FC2815" t="inlineStr">
        <is>
          <t>Diccionario 3</t>
        </is>
      </c>
      <c r="FD2815" s="17" t="inlineStr">
        <is>
          <t>SFWZ14</t>
        </is>
      </c>
      <c r="FE2815" s="17" t="inlineStr">
        <is>
          <t>LVCB4L4D2MM003958</t>
        </is>
      </c>
      <c r="FF2815" s="18" t="inlineStr">
        <is>
          <t>M221100512</t>
        </is>
      </c>
      <c r="FG2815" s="18" t="inlineStr">
        <is>
          <t>FOTON</t>
        </is>
      </c>
      <c r="FH2815" s="18" t="inlineStr">
        <is>
          <t>EBUS U12 SC</t>
        </is>
      </c>
      <c r="FI2815" s="18" t="inlineStr">
        <is>
          <t>FOTON</t>
        </is>
      </c>
      <c r="FJ2815" s="18" t="inlineStr">
        <is>
          <t>EBUS U12 SC</t>
        </is>
      </c>
      <c r="FK2815" s="18" t="n">
        <v>2022</v>
      </c>
      <c r="FL2815" s="18" t="inlineStr">
        <is>
          <t>B</t>
        </is>
      </c>
      <c r="FM2815" s="18" t="inlineStr">
        <is>
          <t>Santa Rosa</t>
        </is>
      </c>
      <c r="FP2815" t="inlineStr">
        <is>
          <t>B</t>
        </is>
      </c>
    </row>
    <row r="2816">
      <c r="FC2816" t="inlineStr">
        <is>
          <t>Diccionario 3</t>
        </is>
      </c>
      <c r="FD2816" s="17" t="inlineStr">
        <is>
          <t>SFWZ16</t>
        </is>
      </c>
      <c r="FE2816" s="17" t="inlineStr">
        <is>
          <t>LVCB4L4D0MM003960</t>
        </is>
      </c>
      <c r="FF2816" s="18" t="inlineStr">
        <is>
          <t>M221110581</t>
        </is>
      </c>
      <c r="FG2816" s="18" t="inlineStr">
        <is>
          <t>FOTON</t>
        </is>
      </c>
      <c r="FH2816" s="18" t="inlineStr">
        <is>
          <t>EBUS U12 SC</t>
        </is>
      </c>
      <c r="FI2816" s="18" t="inlineStr">
        <is>
          <t>FOTON</t>
        </is>
      </c>
      <c r="FJ2816" s="18" t="inlineStr">
        <is>
          <t>EBUS U12 SC</t>
        </is>
      </c>
      <c r="FK2816" s="18" t="n">
        <v>2022</v>
      </c>
      <c r="FL2816" s="18" t="inlineStr">
        <is>
          <t>B</t>
        </is>
      </c>
      <c r="FM2816" s="18" t="inlineStr">
        <is>
          <t>Recoleta</t>
        </is>
      </c>
      <c r="FP2816" t="inlineStr">
        <is>
          <t>B</t>
        </is>
      </c>
    </row>
    <row r="2817">
      <c r="FC2817" t="inlineStr">
        <is>
          <t>Diccionario 3</t>
        </is>
      </c>
      <c r="FD2817" s="17" t="inlineStr">
        <is>
          <t>SFWZ17</t>
        </is>
      </c>
      <c r="FE2817" s="17" t="inlineStr">
        <is>
          <t>LVCB4L4D2MM003961</t>
        </is>
      </c>
      <c r="FF2817" s="18" t="inlineStr">
        <is>
          <t>M221100478</t>
        </is>
      </c>
      <c r="FG2817" s="18" t="inlineStr">
        <is>
          <t>FOTON</t>
        </is>
      </c>
      <c r="FH2817" s="18" t="inlineStr">
        <is>
          <t>EBUS U12 SC</t>
        </is>
      </c>
      <c r="FI2817" s="18" t="inlineStr">
        <is>
          <t>FOTON</t>
        </is>
      </c>
      <c r="FJ2817" s="18" t="inlineStr">
        <is>
          <t>EBUS U12 SC</t>
        </is>
      </c>
      <c r="FK2817" s="18" t="n">
        <v>2022</v>
      </c>
      <c r="FL2817" s="18" t="inlineStr">
        <is>
          <t>B</t>
        </is>
      </c>
      <c r="FM2817" s="18" t="inlineStr">
        <is>
          <t>Recoleta</t>
        </is>
      </c>
      <c r="FP2817" t="inlineStr">
        <is>
          <t>B</t>
        </is>
      </c>
    </row>
    <row r="2818">
      <c r="FC2818" t="inlineStr">
        <is>
          <t>Diccionario 3</t>
        </is>
      </c>
      <c r="FD2818" s="17" t="inlineStr">
        <is>
          <t>SFWZ18</t>
        </is>
      </c>
      <c r="FE2818" s="17" t="inlineStr">
        <is>
          <t>LVCB4L4D4MM003962</t>
        </is>
      </c>
      <c r="FF2818" s="18" t="inlineStr">
        <is>
          <t>M221100440</t>
        </is>
      </c>
      <c r="FG2818" s="18" t="inlineStr">
        <is>
          <t>FOTON</t>
        </is>
      </c>
      <c r="FH2818" s="18" t="inlineStr">
        <is>
          <t>EBUS U12 SC</t>
        </is>
      </c>
      <c r="FI2818" s="18" t="inlineStr">
        <is>
          <t>FOTON</t>
        </is>
      </c>
      <c r="FJ2818" s="18" t="inlineStr">
        <is>
          <t>EBUS U12 SC</t>
        </is>
      </c>
      <c r="FK2818" s="18" t="n">
        <v>2022</v>
      </c>
      <c r="FL2818" s="18" t="inlineStr">
        <is>
          <t>B</t>
        </is>
      </c>
      <c r="FM2818" s="18" t="inlineStr">
        <is>
          <t>Santa Rosa</t>
        </is>
      </c>
      <c r="FP2818" t="inlineStr">
        <is>
          <t>B</t>
        </is>
      </c>
    </row>
    <row r="2819">
      <c r="FC2819" t="inlineStr">
        <is>
          <t>Diccionario 3</t>
        </is>
      </c>
      <c r="FD2819" s="17" t="inlineStr">
        <is>
          <t>SFWZ20</t>
        </is>
      </c>
      <c r="FE2819" s="17" t="inlineStr">
        <is>
          <t>LVCB4L4D3MM003967</t>
        </is>
      </c>
      <c r="FF2819" s="18" t="inlineStr">
        <is>
          <t>M221110579</t>
        </is>
      </c>
      <c r="FG2819" s="18" t="inlineStr">
        <is>
          <t>FOTON</t>
        </is>
      </c>
      <c r="FH2819" s="18" t="inlineStr">
        <is>
          <t>EBUS U12 SC</t>
        </is>
      </c>
      <c r="FI2819" s="18" t="inlineStr">
        <is>
          <t>FOTON</t>
        </is>
      </c>
      <c r="FJ2819" s="18" t="inlineStr">
        <is>
          <t>EBUS U12 SC</t>
        </is>
      </c>
      <c r="FK2819" s="18" t="n">
        <v>2022</v>
      </c>
      <c r="FL2819" s="18" t="inlineStr">
        <is>
          <t>B</t>
        </is>
      </c>
      <c r="FM2819" s="18" t="inlineStr">
        <is>
          <t>Santa Rosa</t>
        </is>
      </c>
      <c r="FP2819" t="inlineStr">
        <is>
          <t>B</t>
        </is>
      </c>
    </row>
    <row r="2820">
      <c r="FC2820" t="inlineStr">
        <is>
          <t>Diccionario 3</t>
        </is>
      </c>
      <c r="FD2820" s="17" t="inlineStr">
        <is>
          <t>SFWZ21</t>
        </is>
      </c>
      <c r="FE2820" s="17" t="inlineStr">
        <is>
          <t>LVCB4L4D5MM003968</t>
        </is>
      </c>
      <c r="FF2820" s="18" t="inlineStr">
        <is>
          <t>M221110110</t>
        </is>
      </c>
      <c r="FG2820" s="18" t="inlineStr">
        <is>
          <t>FOTON</t>
        </is>
      </c>
      <c r="FH2820" s="18" t="inlineStr">
        <is>
          <t>EBUS U12 SC</t>
        </is>
      </c>
      <c r="FI2820" s="18" t="inlineStr">
        <is>
          <t>FOTON</t>
        </is>
      </c>
      <c r="FJ2820" s="18" t="inlineStr">
        <is>
          <t>EBUS U12 SC</t>
        </is>
      </c>
      <c r="FK2820" s="18" t="n">
        <v>2022</v>
      </c>
      <c r="FL2820" s="18" t="inlineStr">
        <is>
          <t>B</t>
        </is>
      </c>
      <c r="FM2820" s="18" t="inlineStr">
        <is>
          <t>Santa Rosa</t>
        </is>
      </c>
      <c r="FP2820" t="inlineStr">
        <is>
          <t>B</t>
        </is>
      </c>
    </row>
    <row r="2821">
      <c r="FC2821" t="inlineStr">
        <is>
          <t>Diccionario 3</t>
        </is>
      </c>
      <c r="FD2821" s="17" t="inlineStr">
        <is>
          <t>SFWZ23</t>
        </is>
      </c>
      <c r="FE2821" s="17" t="inlineStr">
        <is>
          <t>LVCB4L4D7MM003969</t>
        </is>
      </c>
      <c r="FF2821" s="18" t="inlineStr">
        <is>
          <t>M221100513</t>
        </is>
      </c>
      <c r="FG2821" s="18" t="inlineStr">
        <is>
          <t>FOTON</t>
        </is>
      </c>
      <c r="FH2821" s="18" t="inlineStr">
        <is>
          <t>EBUS U12 SC</t>
        </is>
      </c>
      <c r="FI2821" s="18" t="inlineStr">
        <is>
          <t>FOTON</t>
        </is>
      </c>
      <c r="FJ2821" s="18" t="inlineStr">
        <is>
          <t>EBUS U12 SC</t>
        </is>
      </c>
      <c r="FK2821" s="18" t="n">
        <v>2022</v>
      </c>
      <c r="FL2821" s="18" t="inlineStr">
        <is>
          <t>B</t>
        </is>
      </c>
      <c r="FM2821" s="18" t="inlineStr">
        <is>
          <t>Santa Rosa</t>
        </is>
      </c>
      <c r="FP2821" t="inlineStr">
        <is>
          <t>B</t>
        </is>
      </c>
    </row>
    <row r="2822">
      <c r="FC2822" t="inlineStr">
        <is>
          <t>Diccionario 3</t>
        </is>
      </c>
      <c r="FD2822" s="17" t="inlineStr">
        <is>
          <t>SFWZ25</t>
        </is>
      </c>
      <c r="FE2822" s="17" t="inlineStr">
        <is>
          <t>LVCB4L4D3MM003970</t>
        </is>
      </c>
      <c r="FF2822" s="18" t="inlineStr">
        <is>
          <t>M221110654</t>
        </is>
      </c>
      <c r="FG2822" s="18" t="inlineStr">
        <is>
          <t>FOTON</t>
        </is>
      </c>
      <c r="FH2822" s="18" t="inlineStr">
        <is>
          <t>EBUS U12 SC</t>
        </is>
      </c>
      <c r="FI2822" s="18" t="inlineStr">
        <is>
          <t>FOTON</t>
        </is>
      </c>
      <c r="FJ2822" s="18" t="inlineStr">
        <is>
          <t>EBUS U12 SC</t>
        </is>
      </c>
      <c r="FK2822" s="18" t="n">
        <v>2022</v>
      </c>
      <c r="FL2822" s="18" t="inlineStr">
        <is>
          <t>B</t>
        </is>
      </c>
      <c r="FM2822" s="18" t="inlineStr">
        <is>
          <t>Santa Rosa</t>
        </is>
      </c>
      <c r="FP2822" t="inlineStr">
        <is>
          <t>B</t>
        </is>
      </c>
    </row>
    <row r="2823">
      <c r="FC2823" t="inlineStr">
        <is>
          <t>Diccionario 3</t>
        </is>
      </c>
      <c r="FD2823" s="17" t="inlineStr">
        <is>
          <t>SFWZ26</t>
        </is>
      </c>
      <c r="FE2823" s="17" t="inlineStr">
        <is>
          <t>LVCB4L4D5MM003971</t>
        </is>
      </c>
      <c r="FF2823" s="18" t="inlineStr">
        <is>
          <t>M221100476</t>
        </is>
      </c>
      <c r="FG2823" s="18" t="inlineStr">
        <is>
          <t>FOTON</t>
        </is>
      </c>
      <c r="FH2823" s="18" t="inlineStr">
        <is>
          <t>EBUS U12 SC</t>
        </is>
      </c>
      <c r="FI2823" s="18" t="inlineStr">
        <is>
          <t>FOTON</t>
        </is>
      </c>
      <c r="FJ2823" s="18" t="inlineStr">
        <is>
          <t>EBUS U12 SC</t>
        </is>
      </c>
      <c r="FK2823" s="18" t="n">
        <v>2022</v>
      </c>
      <c r="FL2823" s="18" t="inlineStr">
        <is>
          <t>B</t>
        </is>
      </c>
      <c r="FM2823" s="18" t="inlineStr">
        <is>
          <t>Santa Rosa</t>
        </is>
      </c>
      <c r="FP2823" t="inlineStr">
        <is>
          <t>B</t>
        </is>
      </c>
    </row>
    <row r="2824">
      <c r="FC2824" t="inlineStr">
        <is>
          <t>Diccionario 3</t>
        </is>
      </c>
      <c r="FD2824" s="17" t="inlineStr">
        <is>
          <t>SFWZ27</t>
        </is>
      </c>
      <c r="FE2824" s="17" t="inlineStr">
        <is>
          <t>LVCB4L4D9MM003973</t>
        </is>
      </c>
      <c r="FF2824" s="18" t="inlineStr">
        <is>
          <t>M221100410</t>
        </is>
      </c>
      <c r="FG2824" s="18" t="inlineStr">
        <is>
          <t>FOTON</t>
        </is>
      </c>
      <c r="FH2824" s="18" t="inlineStr">
        <is>
          <t>EBUS U12 SC</t>
        </is>
      </c>
      <c r="FI2824" s="18" t="inlineStr">
        <is>
          <t>FOTON</t>
        </is>
      </c>
      <c r="FJ2824" s="18" t="inlineStr">
        <is>
          <t>EBUS U12 SC</t>
        </is>
      </c>
      <c r="FK2824" s="18" t="n">
        <v>2022</v>
      </c>
      <c r="FL2824" s="18" t="inlineStr">
        <is>
          <t>B</t>
        </is>
      </c>
      <c r="FM2824" s="18" t="inlineStr">
        <is>
          <t>Recoleta</t>
        </is>
      </c>
      <c r="FP2824" t="inlineStr">
        <is>
          <t>B</t>
        </is>
      </c>
    </row>
    <row r="2825">
      <c r="FC2825" t="inlineStr">
        <is>
          <t>Diccionario 3</t>
        </is>
      </c>
      <c r="FD2825" s="17" t="inlineStr">
        <is>
          <t>SFWZ29</t>
        </is>
      </c>
      <c r="FE2825" s="17" t="inlineStr">
        <is>
          <t>LVCB4L4D4MM003976</t>
        </is>
      </c>
      <c r="FF2825" s="18" t="inlineStr">
        <is>
          <t>M221120001</t>
        </is>
      </c>
      <c r="FG2825" s="18" t="inlineStr">
        <is>
          <t>FOTON</t>
        </is>
      </c>
      <c r="FH2825" s="18" t="inlineStr">
        <is>
          <t>EBUS U12 SC</t>
        </is>
      </c>
      <c r="FI2825" s="18" t="inlineStr">
        <is>
          <t>FOTON</t>
        </is>
      </c>
      <c r="FJ2825" s="18" t="inlineStr">
        <is>
          <t>EBUS U12 SC</t>
        </is>
      </c>
      <c r="FK2825" s="18" t="n">
        <v>2022</v>
      </c>
      <c r="FL2825" s="18" t="inlineStr">
        <is>
          <t>B</t>
        </is>
      </c>
      <c r="FM2825" s="18" t="inlineStr">
        <is>
          <t>Recoleta</t>
        </is>
      </c>
      <c r="FP2825" t="inlineStr">
        <is>
          <t>B</t>
        </is>
      </c>
    </row>
    <row r="2826">
      <c r="FC2826" t="inlineStr">
        <is>
          <t>Diccionario 3</t>
        </is>
      </c>
      <c r="FD2826" s="17" t="inlineStr">
        <is>
          <t>SFWZ31</t>
        </is>
      </c>
      <c r="FE2826" s="17" t="inlineStr">
        <is>
          <t>LVCB4L4D6MM003977</t>
        </is>
      </c>
      <c r="FF2826" s="18" t="inlineStr">
        <is>
          <t>M221110536</t>
        </is>
      </c>
      <c r="FG2826" s="18" t="inlineStr">
        <is>
          <t>FOTON</t>
        </is>
      </c>
      <c r="FH2826" s="18" t="inlineStr">
        <is>
          <t>EBUS U12 SC</t>
        </is>
      </c>
      <c r="FI2826" s="18" t="inlineStr">
        <is>
          <t>FOTON</t>
        </is>
      </c>
      <c r="FJ2826" s="18" t="inlineStr">
        <is>
          <t>EBUS U12 SC</t>
        </is>
      </c>
      <c r="FK2826" s="18" t="n">
        <v>2022</v>
      </c>
      <c r="FL2826" s="18" t="inlineStr">
        <is>
          <t>B</t>
        </is>
      </c>
      <c r="FM2826" s="18" t="inlineStr">
        <is>
          <t>Recoleta</t>
        </is>
      </c>
      <c r="FP2826" t="inlineStr">
        <is>
          <t>B</t>
        </is>
      </c>
    </row>
    <row r="2827">
      <c r="FC2827" t="inlineStr">
        <is>
          <t>Diccionario 3</t>
        </is>
      </c>
      <c r="FD2827" s="17" t="inlineStr">
        <is>
          <t>SFWZ32</t>
        </is>
      </c>
      <c r="FE2827" s="17" t="inlineStr">
        <is>
          <t>LVCB4L4DXMM003979</t>
        </is>
      </c>
      <c r="FF2827" s="18" t="inlineStr">
        <is>
          <t>M221110535</t>
        </is>
      </c>
      <c r="FG2827" s="18" t="inlineStr">
        <is>
          <t>FOTON</t>
        </is>
      </c>
      <c r="FH2827" s="18" t="inlineStr">
        <is>
          <t>EBUS U12 SC</t>
        </is>
      </c>
      <c r="FI2827" s="18" t="inlineStr">
        <is>
          <t>FOTON</t>
        </is>
      </c>
      <c r="FJ2827" s="18" t="inlineStr">
        <is>
          <t>EBUS U12 SC</t>
        </is>
      </c>
      <c r="FK2827" s="18" t="n">
        <v>2022</v>
      </c>
      <c r="FL2827" s="18" t="inlineStr">
        <is>
          <t>B</t>
        </is>
      </c>
      <c r="FM2827" s="18" t="inlineStr">
        <is>
          <t>Santa Rosa</t>
        </is>
      </c>
      <c r="FP2827" t="inlineStr">
        <is>
          <t>B</t>
        </is>
      </c>
    </row>
    <row r="2828">
      <c r="FC2828" t="inlineStr">
        <is>
          <t>Diccionario 3</t>
        </is>
      </c>
      <c r="FD2828" s="17" t="inlineStr">
        <is>
          <t>SFWZ33</t>
        </is>
      </c>
      <c r="FE2828" s="17" t="inlineStr">
        <is>
          <t>LVCB4L4D8MM003981</t>
        </is>
      </c>
      <c r="FF2828" s="18" t="inlineStr">
        <is>
          <t>M221100514</t>
        </is>
      </c>
      <c r="FG2828" s="18" t="inlineStr">
        <is>
          <t>FOTON</t>
        </is>
      </c>
      <c r="FH2828" s="18" t="inlineStr">
        <is>
          <t>EBUS U12 SC</t>
        </is>
      </c>
      <c r="FI2828" s="18" t="inlineStr">
        <is>
          <t>FOTON</t>
        </is>
      </c>
      <c r="FJ2828" s="18" t="inlineStr">
        <is>
          <t>EBUS U12 SC</t>
        </is>
      </c>
      <c r="FK2828" s="18" t="n">
        <v>2022</v>
      </c>
      <c r="FL2828" s="18" t="inlineStr">
        <is>
          <t>B</t>
        </is>
      </c>
      <c r="FM2828" s="18" t="inlineStr">
        <is>
          <t>Recoleta</t>
        </is>
      </c>
      <c r="FP2828" t="inlineStr">
        <is>
          <t>B</t>
        </is>
      </c>
    </row>
    <row r="2829">
      <c r="FC2829" t="inlineStr">
        <is>
          <t>Diccionario 3</t>
        </is>
      </c>
      <c r="FD2829" s="17" t="inlineStr">
        <is>
          <t>SFWZ34</t>
        </is>
      </c>
      <c r="FE2829" s="17" t="inlineStr">
        <is>
          <t>LVCB4L4DXMM003982</t>
        </is>
      </c>
      <c r="FF2829" s="18" t="inlineStr">
        <is>
          <t>M221110115</t>
        </is>
      </c>
      <c r="FG2829" s="18" t="inlineStr">
        <is>
          <t>FOTON</t>
        </is>
      </c>
      <c r="FH2829" s="18" t="inlineStr">
        <is>
          <t>EBUS U12 SC</t>
        </is>
      </c>
      <c r="FI2829" s="18" t="inlineStr">
        <is>
          <t>FOTON</t>
        </is>
      </c>
      <c r="FJ2829" s="18" t="inlineStr">
        <is>
          <t>EBUS U12 SC</t>
        </is>
      </c>
      <c r="FK2829" s="18" t="n">
        <v>2022</v>
      </c>
      <c r="FL2829" s="18" t="inlineStr">
        <is>
          <t>B</t>
        </is>
      </c>
      <c r="FM2829" s="18" t="inlineStr">
        <is>
          <t>Santa Rosa</t>
        </is>
      </c>
      <c r="FP2829" t="inlineStr">
        <is>
          <t>B</t>
        </is>
      </c>
    </row>
    <row r="2830">
      <c r="FC2830" t="inlineStr">
        <is>
          <t>Diccionario 3</t>
        </is>
      </c>
      <c r="FD2830" s="17" t="inlineStr">
        <is>
          <t>SFWZ36</t>
        </is>
      </c>
      <c r="FE2830" s="17" t="inlineStr">
        <is>
          <t>LVCB4L4D5MM003985</t>
        </is>
      </c>
      <c r="FF2830" s="18" t="inlineStr">
        <is>
          <t>M221100525</t>
        </is>
      </c>
      <c r="FG2830" s="18" t="inlineStr">
        <is>
          <t>FOTON</t>
        </is>
      </c>
      <c r="FH2830" s="18" t="inlineStr">
        <is>
          <t>EBUS U12 SC</t>
        </is>
      </c>
      <c r="FI2830" s="18" t="inlineStr">
        <is>
          <t>FOTON</t>
        </is>
      </c>
      <c r="FJ2830" s="18" t="inlineStr">
        <is>
          <t>EBUS U12 SC</t>
        </is>
      </c>
      <c r="FK2830" s="18" t="n">
        <v>2022</v>
      </c>
      <c r="FL2830" s="18" t="inlineStr">
        <is>
          <t>B</t>
        </is>
      </c>
      <c r="FM2830" s="18" t="inlineStr">
        <is>
          <t>Santa Rosa</t>
        </is>
      </c>
      <c r="FP2830" t="inlineStr">
        <is>
          <t>B</t>
        </is>
      </c>
    </row>
    <row r="2831">
      <c r="FC2831" t="inlineStr">
        <is>
          <t>Diccionario 3</t>
        </is>
      </c>
      <c r="FD2831" s="17" t="inlineStr">
        <is>
          <t>SFWZ37</t>
        </is>
      </c>
      <c r="FE2831" s="17" t="inlineStr">
        <is>
          <t>LVCB4L4D8NM002640</t>
        </is>
      </c>
      <c r="FF2831" s="18" t="inlineStr">
        <is>
          <t>M221100490</t>
        </is>
      </c>
      <c r="FG2831" s="18" t="inlineStr">
        <is>
          <t>FOTON</t>
        </is>
      </c>
      <c r="FH2831" s="18" t="inlineStr">
        <is>
          <t>EBUS U12 SC</t>
        </is>
      </c>
      <c r="FI2831" s="18" t="inlineStr">
        <is>
          <t>FOTON</t>
        </is>
      </c>
      <c r="FJ2831" s="18" t="inlineStr">
        <is>
          <t>EBUS U12 SC</t>
        </is>
      </c>
      <c r="FK2831" s="18" t="n">
        <v>2022</v>
      </c>
      <c r="FL2831" s="18" t="inlineStr">
        <is>
          <t>B</t>
        </is>
      </c>
      <c r="FM2831" s="18" t="inlineStr">
        <is>
          <t>Recoleta</t>
        </is>
      </c>
      <c r="FP2831" t="inlineStr">
        <is>
          <t>B</t>
        </is>
      </c>
    </row>
    <row r="2832">
      <c r="FC2832" t="inlineStr">
        <is>
          <t>Diccionario 3</t>
        </is>
      </c>
      <c r="FD2832" s="17" t="inlineStr">
        <is>
          <t>SFWZ38</t>
        </is>
      </c>
      <c r="FE2832" s="17" t="inlineStr">
        <is>
          <t>LVCB4L4D7MM003986</t>
        </is>
      </c>
      <c r="FF2832" s="18" t="inlineStr">
        <is>
          <t>M221120002</t>
        </is>
      </c>
      <c r="FG2832" s="18" t="inlineStr">
        <is>
          <t>FOTON</t>
        </is>
      </c>
      <c r="FH2832" s="18" t="inlineStr">
        <is>
          <t>EBUS U12 SC</t>
        </is>
      </c>
      <c r="FI2832" s="18" t="inlineStr">
        <is>
          <t>FOTON</t>
        </is>
      </c>
      <c r="FJ2832" s="18" t="inlineStr">
        <is>
          <t>EBUS U12 SC</t>
        </is>
      </c>
      <c r="FK2832" s="18" t="n">
        <v>2022</v>
      </c>
      <c r="FL2832" s="18" t="inlineStr">
        <is>
          <t>B</t>
        </is>
      </c>
      <c r="FM2832" s="18" t="inlineStr">
        <is>
          <t>Santa Rosa</t>
        </is>
      </c>
      <c r="FP2832" t="inlineStr">
        <is>
          <t>B</t>
        </is>
      </c>
    </row>
    <row r="2833">
      <c r="FC2833" t="inlineStr">
        <is>
          <t>Diccionario 3</t>
        </is>
      </c>
      <c r="FD2833" s="17" t="inlineStr">
        <is>
          <t>SFWZ39</t>
        </is>
      </c>
      <c r="FE2833" s="17" t="inlineStr">
        <is>
          <t>LVCB4L4D9MM003987</t>
        </is>
      </c>
      <c r="FF2833" s="18" t="inlineStr">
        <is>
          <t>M221110655</t>
        </is>
      </c>
      <c r="FG2833" s="18" t="inlineStr">
        <is>
          <t>FOTON</t>
        </is>
      </c>
      <c r="FH2833" s="18" t="inlineStr">
        <is>
          <t>EBUS U12 SC</t>
        </is>
      </c>
      <c r="FI2833" s="18" t="inlineStr">
        <is>
          <t>FOTON</t>
        </is>
      </c>
      <c r="FJ2833" s="18" t="inlineStr">
        <is>
          <t>EBUS U12 SC</t>
        </is>
      </c>
      <c r="FK2833" s="18" t="n">
        <v>2022</v>
      </c>
      <c r="FL2833" s="18" t="inlineStr">
        <is>
          <t>B</t>
        </is>
      </c>
      <c r="FM2833" s="18" t="inlineStr">
        <is>
          <t>Recoleta</t>
        </is>
      </c>
      <c r="FP2833" t="inlineStr">
        <is>
          <t>B</t>
        </is>
      </c>
    </row>
    <row r="2834">
      <c r="FC2834" t="inlineStr">
        <is>
          <t>Diccionario 3</t>
        </is>
      </c>
      <c r="FD2834" s="25" t="inlineStr">
        <is>
          <t>SFWZ40</t>
        </is>
      </c>
      <c r="FE2834" s="17" t="inlineStr">
        <is>
          <t>LVCB4L4D7NM002631</t>
        </is>
      </c>
      <c r="FF2834" s="18" t="inlineStr">
        <is>
          <t>M221110657</t>
        </is>
      </c>
      <c r="FG2834" s="18" t="inlineStr">
        <is>
          <t>FOTON</t>
        </is>
      </c>
      <c r="FH2834" s="18" t="inlineStr">
        <is>
          <t>EBUS U12 SC</t>
        </is>
      </c>
      <c r="FI2834" s="18" t="inlineStr">
        <is>
          <t>FOTON</t>
        </is>
      </c>
      <c r="FJ2834" s="18" t="inlineStr">
        <is>
          <t>EBUS U12 SC</t>
        </is>
      </c>
      <c r="FK2834" s="18" t="n">
        <v>2022</v>
      </c>
      <c r="FL2834" s="18" t="inlineStr">
        <is>
          <t>B</t>
        </is>
      </c>
      <c r="FM2834" s="18" t="inlineStr">
        <is>
          <t>Santa Rosa</t>
        </is>
      </c>
      <c r="FP2834" t="inlineStr">
        <is>
          <t>B</t>
        </is>
      </c>
    </row>
    <row r="2835">
      <c r="FC2835" t="inlineStr">
        <is>
          <t>Diccionario 3</t>
        </is>
      </c>
      <c r="FD2835" s="25" t="inlineStr">
        <is>
          <t>SFWZ42</t>
        </is>
      </c>
      <c r="FE2835" s="17" t="inlineStr">
        <is>
          <t>LVCB4L4D9NM002632</t>
        </is>
      </c>
      <c r="FF2835" s="18" t="inlineStr">
        <is>
          <t>M221100550</t>
        </is>
      </c>
      <c r="FG2835" s="18" t="inlineStr">
        <is>
          <t>FOTON</t>
        </is>
      </c>
      <c r="FH2835" s="18" t="inlineStr">
        <is>
          <t>EBUS U12 SC</t>
        </is>
      </c>
      <c r="FI2835" s="18" t="inlineStr">
        <is>
          <t>FOTON</t>
        </is>
      </c>
      <c r="FJ2835" s="18" t="inlineStr">
        <is>
          <t>EBUS U12 SC</t>
        </is>
      </c>
      <c r="FK2835" s="18" t="n">
        <v>2022</v>
      </c>
      <c r="FL2835" s="18" t="inlineStr">
        <is>
          <t>B</t>
        </is>
      </c>
      <c r="FM2835" s="18" t="inlineStr">
        <is>
          <t>Recoleta</t>
        </is>
      </c>
      <c r="FP2835" t="inlineStr">
        <is>
          <t>B</t>
        </is>
      </c>
    </row>
    <row r="2836">
      <c r="FC2836" t="inlineStr">
        <is>
          <t>Diccionario 3</t>
        </is>
      </c>
      <c r="FD2836" s="25" t="inlineStr">
        <is>
          <t>SFWZ45</t>
        </is>
      </c>
      <c r="FE2836" s="17" t="inlineStr">
        <is>
          <t>LVCB4L4D0NM002633</t>
        </is>
      </c>
      <c r="FF2836" s="18" t="inlineStr">
        <is>
          <t>M221110538</t>
        </is>
      </c>
      <c r="FG2836" s="18" t="inlineStr">
        <is>
          <t>FOTON</t>
        </is>
      </c>
      <c r="FH2836" s="18" t="inlineStr">
        <is>
          <t>EBUS U12 SC</t>
        </is>
      </c>
      <c r="FI2836" s="18" t="inlineStr">
        <is>
          <t>FOTON</t>
        </is>
      </c>
      <c r="FJ2836" s="18" t="inlineStr">
        <is>
          <t>EBUS U12 SC</t>
        </is>
      </c>
      <c r="FK2836" s="18" t="n">
        <v>2022</v>
      </c>
      <c r="FL2836" s="18" t="inlineStr">
        <is>
          <t>B</t>
        </is>
      </c>
      <c r="FM2836" s="18" t="inlineStr">
        <is>
          <t>Santa Rosa</t>
        </is>
      </c>
      <c r="FP2836" t="inlineStr">
        <is>
          <t>B</t>
        </is>
      </c>
    </row>
    <row r="2837">
      <c r="FC2837" t="inlineStr">
        <is>
          <t>Diccionario 3</t>
        </is>
      </c>
      <c r="FD2837" s="25" t="inlineStr">
        <is>
          <t>SFWZ48</t>
        </is>
      </c>
      <c r="FE2837" s="17" t="inlineStr">
        <is>
          <t>LVCB4L4D4NM002635</t>
        </is>
      </c>
      <c r="FF2837" s="18" t="inlineStr">
        <is>
          <t>M221110653</t>
        </is>
      </c>
      <c r="FG2837" s="18" t="inlineStr">
        <is>
          <t>FOTON</t>
        </is>
      </c>
      <c r="FH2837" s="18" t="inlineStr">
        <is>
          <t>EBUS U12 SC</t>
        </is>
      </c>
      <c r="FI2837" s="18" t="inlineStr">
        <is>
          <t>FOTON</t>
        </is>
      </c>
      <c r="FJ2837" s="18" t="inlineStr">
        <is>
          <t>EBUS U12 SC</t>
        </is>
      </c>
      <c r="FK2837" s="18" t="n">
        <v>2022</v>
      </c>
      <c r="FL2837" s="18" t="inlineStr">
        <is>
          <t>B</t>
        </is>
      </c>
      <c r="FM2837" s="18" t="inlineStr">
        <is>
          <t>Recoleta</t>
        </is>
      </c>
      <c r="FP2837" t="inlineStr">
        <is>
          <t>B</t>
        </is>
      </c>
    </row>
    <row r="2838">
      <c r="FC2838" t="inlineStr">
        <is>
          <t>Diccionario 3</t>
        </is>
      </c>
      <c r="FD2838" s="25" t="inlineStr">
        <is>
          <t>SFWZ49</t>
        </is>
      </c>
      <c r="FE2838" s="17" t="inlineStr">
        <is>
          <t>LVCB4L4D6NM002636</t>
        </is>
      </c>
      <c r="FF2838" s="18" t="inlineStr">
        <is>
          <t>M221110109</t>
        </is>
      </c>
      <c r="FG2838" s="18" t="inlineStr">
        <is>
          <t>FOTON</t>
        </is>
      </c>
      <c r="FH2838" s="18" t="inlineStr">
        <is>
          <t>EBUS U12 SC</t>
        </is>
      </c>
      <c r="FI2838" s="18" t="inlineStr">
        <is>
          <t>FOTON</t>
        </is>
      </c>
      <c r="FJ2838" s="18" t="inlineStr">
        <is>
          <t>EBUS U12 SC</t>
        </is>
      </c>
      <c r="FK2838" s="18" t="n">
        <v>2022</v>
      </c>
      <c r="FL2838" s="18" t="inlineStr">
        <is>
          <t>B</t>
        </is>
      </c>
      <c r="FM2838" s="18" t="inlineStr">
        <is>
          <t>Recoleta</t>
        </is>
      </c>
      <c r="FP2838" t="inlineStr">
        <is>
          <t>B</t>
        </is>
      </c>
    </row>
    <row r="2839">
      <c r="FC2839" t="inlineStr">
        <is>
          <t>Diccionario 3</t>
        </is>
      </c>
      <c r="FD2839" s="25" t="inlineStr">
        <is>
          <t>SFWZ50</t>
        </is>
      </c>
      <c r="FE2839" s="17" t="inlineStr">
        <is>
          <t>LVCB4L4D8NM002637</t>
        </is>
      </c>
      <c r="FF2839" s="18" t="inlineStr">
        <is>
          <t>M221100545</t>
        </is>
      </c>
      <c r="FG2839" s="18" t="inlineStr">
        <is>
          <t>FOTON</t>
        </is>
      </c>
      <c r="FH2839" s="18" t="inlineStr">
        <is>
          <t>EBUS U12 SC</t>
        </is>
      </c>
      <c r="FI2839" s="18" t="inlineStr">
        <is>
          <t>FOTON</t>
        </is>
      </c>
      <c r="FJ2839" s="18" t="inlineStr">
        <is>
          <t>EBUS U12 SC</t>
        </is>
      </c>
      <c r="FK2839" s="18" t="n">
        <v>2022</v>
      </c>
      <c r="FL2839" s="18" t="inlineStr">
        <is>
          <t>B</t>
        </is>
      </c>
      <c r="FM2839" s="18" t="inlineStr">
        <is>
          <t>Recoleta</t>
        </is>
      </c>
      <c r="FP2839" t="inlineStr">
        <is>
          <t>B</t>
        </is>
      </c>
    </row>
    <row r="2840">
      <c r="FC2840" t="inlineStr">
        <is>
          <t>Diccionario 3</t>
        </is>
      </c>
      <c r="FD2840" s="25" t="inlineStr">
        <is>
          <t>SFWZ52</t>
        </is>
      </c>
      <c r="FE2840" s="17" t="inlineStr">
        <is>
          <t>LVCB4L4DXNM002638</t>
        </is>
      </c>
      <c r="FF2840" s="18" t="inlineStr">
        <is>
          <t>M221110095</t>
        </is>
      </c>
      <c r="FG2840" s="18" t="inlineStr">
        <is>
          <t>FOTON</t>
        </is>
      </c>
      <c r="FH2840" s="18" t="inlineStr">
        <is>
          <t>EBUS U12 SC</t>
        </is>
      </c>
      <c r="FI2840" s="18" t="inlineStr">
        <is>
          <t>FOTON</t>
        </is>
      </c>
      <c r="FJ2840" s="18" t="inlineStr">
        <is>
          <t>EBUS U12 SC</t>
        </is>
      </c>
      <c r="FK2840" s="18" t="n">
        <v>2022</v>
      </c>
      <c r="FL2840" s="18" t="inlineStr">
        <is>
          <t>B</t>
        </is>
      </c>
      <c r="FM2840" s="18" t="inlineStr">
        <is>
          <t>Recoleta</t>
        </is>
      </c>
      <c r="FP2840" t="inlineStr">
        <is>
          <t>B</t>
        </is>
      </c>
    </row>
    <row r="2841">
      <c r="FC2841" t="inlineStr">
        <is>
          <t>Diccionario 3</t>
        </is>
      </c>
      <c r="FD2841" s="25" t="inlineStr">
        <is>
          <t>SFWZ53</t>
        </is>
      </c>
      <c r="FE2841" s="17" t="inlineStr">
        <is>
          <t>LVCB4L4D1NM002639</t>
        </is>
      </c>
      <c r="FF2841" s="18" t="inlineStr">
        <is>
          <t>M221110580</t>
        </is>
      </c>
      <c r="FG2841" s="18" t="inlineStr">
        <is>
          <t>FOTON</t>
        </is>
      </c>
      <c r="FH2841" s="18" t="inlineStr">
        <is>
          <t>EBUS U12 SC</t>
        </is>
      </c>
      <c r="FI2841" s="18" t="inlineStr">
        <is>
          <t>FOTON</t>
        </is>
      </c>
      <c r="FJ2841" s="18" t="inlineStr">
        <is>
          <t>EBUS U12 SC</t>
        </is>
      </c>
      <c r="FK2841" s="18" t="n">
        <v>2022</v>
      </c>
      <c r="FL2841" s="18" t="inlineStr">
        <is>
          <t>B</t>
        </is>
      </c>
      <c r="FM2841" s="18" t="inlineStr">
        <is>
          <t>Recoleta</t>
        </is>
      </c>
      <c r="FP2841" t="inlineStr">
        <is>
          <t>B</t>
        </is>
      </c>
    </row>
    <row r="2842">
      <c r="FC2842" t="inlineStr">
        <is>
          <t>Diccionario 3</t>
        </is>
      </c>
      <c r="FD2842" s="25" t="inlineStr">
        <is>
          <t>SFWZ54</t>
        </is>
      </c>
      <c r="FE2842" s="17" t="inlineStr">
        <is>
          <t>LVCB4L4DXNM002641</t>
        </is>
      </c>
      <c r="FF2842" s="18" t="inlineStr">
        <is>
          <t>M221100298</t>
        </is>
      </c>
      <c r="FG2842" s="18" t="inlineStr">
        <is>
          <t>FOTON</t>
        </is>
      </c>
      <c r="FH2842" s="18" t="inlineStr">
        <is>
          <t>EBUS U12 SC</t>
        </is>
      </c>
      <c r="FI2842" s="18" t="inlineStr">
        <is>
          <t>FOTON</t>
        </is>
      </c>
      <c r="FJ2842" s="18" t="inlineStr">
        <is>
          <t>EBUS U12 SC</t>
        </is>
      </c>
      <c r="FK2842" s="18" t="n">
        <v>2022</v>
      </c>
      <c r="FL2842" s="18" t="inlineStr">
        <is>
          <t>B</t>
        </is>
      </c>
      <c r="FM2842" s="18" t="inlineStr">
        <is>
          <t>Recoleta</t>
        </is>
      </c>
      <c r="FP2842" t="inlineStr">
        <is>
          <t>B</t>
        </is>
      </c>
    </row>
    <row r="2843">
      <c r="FC2843" t="inlineStr">
        <is>
          <t>Diccionario 3</t>
        </is>
      </c>
      <c r="FD2843" s="25" t="inlineStr">
        <is>
          <t>SFWZ55</t>
        </is>
      </c>
      <c r="FE2843" s="17" t="inlineStr">
        <is>
          <t>LVCB4L4D1NM002642</t>
        </is>
      </c>
      <c r="FF2843" s="18" t="inlineStr">
        <is>
          <t>M221100436</t>
        </is>
      </c>
      <c r="FG2843" s="18" t="inlineStr">
        <is>
          <t>FOTON</t>
        </is>
      </c>
      <c r="FH2843" s="18" t="inlineStr">
        <is>
          <t>EBUS U12 SC</t>
        </is>
      </c>
      <c r="FI2843" s="18" t="inlineStr">
        <is>
          <t>FOTON</t>
        </is>
      </c>
      <c r="FJ2843" s="18" t="inlineStr">
        <is>
          <t>EBUS U12 SC</t>
        </is>
      </c>
      <c r="FK2843" s="18" t="n">
        <v>2022</v>
      </c>
      <c r="FL2843" s="18" t="inlineStr">
        <is>
          <t>B</t>
        </is>
      </c>
      <c r="FM2843" s="18" t="inlineStr">
        <is>
          <t>Recoleta</t>
        </is>
      </c>
      <c r="FP2843" t="inlineStr">
        <is>
          <t>B</t>
        </is>
      </c>
    </row>
    <row r="2844">
      <c r="FC2844" t="inlineStr">
        <is>
          <t>Diccionario 3</t>
        </is>
      </c>
      <c r="FD2844" s="25" t="inlineStr">
        <is>
          <t>SFWZ56</t>
        </is>
      </c>
      <c r="FE2844" s="17" t="inlineStr">
        <is>
          <t>LVCB4L4D3NM002643</t>
        </is>
      </c>
      <c r="FF2844" s="18" t="inlineStr">
        <is>
          <t>M221100488</t>
        </is>
      </c>
      <c r="FG2844" s="18" t="inlineStr">
        <is>
          <t>FOTON</t>
        </is>
      </c>
      <c r="FH2844" s="18" t="inlineStr">
        <is>
          <t>EBUS U12 SC</t>
        </is>
      </c>
      <c r="FI2844" s="18" t="inlineStr">
        <is>
          <t>FOTON</t>
        </is>
      </c>
      <c r="FJ2844" s="18" t="inlineStr">
        <is>
          <t>EBUS U12 SC</t>
        </is>
      </c>
      <c r="FK2844" s="18" t="n">
        <v>2022</v>
      </c>
      <c r="FL2844" s="18" t="inlineStr">
        <is>
          <t>B</t>
        </is>
      </c>
      <c r="FM2844" s="18" t="inlineStr">
        <is>
          <t>Recoleta</t>
        </is>
      </c>
      <c r="FP2844" t="inlineStr">
        <is>
          <t>B</t>
        </is>
      </c>
    </row>
    <row r="2845">
      <c r="FC2845" t="inlineStr">
        <is>
          <t>Diccionario 3</t>
        </is>
      </c>
      <c r="FD2845" s="25" t="inlineStr">
        <is>
          <t>SFWZ58</t>
        </is>
      </c>
      <c r="FE2845" s="17" t="inlineStr">
        <is>
          <t>LVCB4L4D7NM002645</t>
        </is>
      </c>
      <c r="FF2845" s="18" t="inlineStr">
        <is>
          <t>M221100401</t>
        </is>
      </c>
      <c r="FG2845" s="18" t="inlineStr">
        <is>
          <t>FOTON</t>
        </is>
      </c>
      <c r="FH2845" s="18" t="inlineStr">
        <is>
          <t>EBUS U12 SC</t>
        </is>
      </c>
      <c r="FI2845" s="18" t="inlineStr">
        <is>
          <t>FOTON</t>
        </is>
      </c>
      <c r="FJ2845" s="18" t="inlineStr">
        <is>
          <t>EBUS U12 SC</t>
        </is>
      </c>
      <c r="FK2845" s="18" t="n">
        <v>2022</v>
      </c>
      <c r="FL2845" s="18" t="inlineStr">
        <is>
          <t>B</t>
        </is>
      </c>
      <c r="FM2845" s="18" t="inlineStr">
        <is>
          <t>Santa Rosa</t>
        </is>
      </c>
      <c r="FP2845" t="inlineStr">
        <is>
          <t>B</t>
        </is>
      </c>
    </row>
    <row r="2846">
      <c r="FC2846" t="inlineStr">
        <is>
          <t>Diccionario 3</t>
        </is>
      </c>
      <c r="FD2846" s="25" t="inlineStr">
        <is>
          <t>SFWZ59</t>
        </is>
      </c>
      <c r="FE2846" s="17" t="inlineStr">
        <is>
          <t>LVCB4L4D9NM002646</t>
        </is>
      </c>
      <c r="FF2846" s="18" t="inlineStr">
        <is>
          <t>M221110103</t>
        </is>
      </c>
      <c r="FG2846" s="18" t="inlineStr">
        <is>
          <t>FOTON</t>
        </is>
      </c>
      <c r="FH2846" s="18" t="inlineStr">
        <is>
          <t>EBUS U12 SC</t>
        </is>
      </c>
      <c r="FI2846" s="18" t="inlineStr">
        <is>
          <t>FOTON</t>
        </is>
      </c>
      <c r="FJ2846" s="18" t="inlineStr">
        <is>
          <t>EBUS U12 SC</t>
        </is>
      </c>
      <c r="FK2846" s="18" t="n">
        <v>2022</v>
      </c>
      <c r="FL2846" s="18" t="inlineStr">
        <is>
          <t>B</t>
        </is>
      </c>
      <c r="FM2846" s="18" t="inlineStr">
        <is>
          <t>Recoleta</t>
        </is>
      </c>
      <c r="FP2846" t="inlineStr">
        <is>
          <t>B</t>
        </is>
      </c>
    </row>
    <row r="2847">
      <c r="FC2847" t="inlineStr">
        <is>
          <t>Diccionario 3</t>
        </is>
      </c>
      <c r="FD2847" s="25" t="inlineStr">
        <is>
          <t>SFWZ61</t>
        </is>
      </c>
      <c r="FE2847" s="17" t="inlineStr">
        <is>
          <t>LVCB4L4D0NM002647</t>
        </is>
      </c>
      <c r="FF2847" s="18" t="inlineStr">
        <is>
          <t>M221100524</t>
        </is>
      </c>
      <c r="FG2847" s="18" t="inlineStr">
        <is>
          <t>FOTON</t>
        </is>
      </c>
      <c r="FH2847" s="18" t="inlineStr">
        <is>
          <t>EBUS U12 SC</t>
        </is>
      </c>
      <c r="FI2847" s="18" t="inlineStr">
        <is>
          <t>FOTON</t>
        </is>
      </c>
      <c r="FJ2847" s="18" t="inlineStr">
        <is>
          <t>EBUS U12 SC</t>
        </is>
      </c>
      <c r="FK2847" s="18" t="n">
        <v>2022</v>
      </c>
      <c r="FL2847" s="18" t="inlineStr">
        <is>
          <t>B</t>
        </is>
      </c>
      <c r="FM2847" s="18" t="inlineStr">
        <is>
          <t>Recoleta</t>
        </is>
      </c>
      <c r="FP2847" t="inlineStr">
        <is>
          <t>B</t>
        </is>
      </c>
    </row>
    <row r="2848">
      <c r="FC2848" t="inlineStr">
        <is>
          <t>Diccionario 3</t>
        </is>
      </c>
      <c r="FD2848" s="25" t="inlineStr">
        <is>
          <t>SFWZ62</t>
        </is>
      </c>
      <c r="FE2848" s="17" t="inlineStr">
        <is>
          <t>LVCB4L4D2NM002648</t>
        </is>
      </c>
      <c r="FF2848" s="18" t="inlineStr">
        <is>
          <t>M221100442</t>
        </is>
      </c>
      <c r="FG2848" s="18" t="inlineStr">
        <is>
          <t>FOTON</t>
        </is>
      </c>
      <c r="FH2848" s="18" t="inlineStr">
        <is>
          <t>EBUS U12 SC</t>
        </is>
      </c>
      <c r="FI2848" s="18" t="inlineStr">
        <is>
          <t>FOTON</t>
        </is>
      </c>
      <c r="FJ2848" s="18" t="inlineStr">
        <is>
          <t>EBUS U12 SC</t>
        </is>
      </c>
      <c r="FK2848" s="18" t="n">
        <v>2022</v>
      </c>
      <c r="FL2848" s="18" t="inlineStr">
        <is>
          <t>B</t>
        </is>
      </c>
      <c r="FM2848" s="18" t="inlineStr">
        <is>
          <t>Recoleta</t>
        </is>
      </c>
      <c r="FP2848" t="inlineStr">
        <is>
          <t>B</t>
        </is>
      </c>
    </row>
    <row r="2849">
      <c r="FC2849" t="inlineStr">
        <is>
          <t>Diccionario 3</t>
        </is>
      </c>
      <c r="FD2849" s="17" t="inlineStr">
        <is>
          <t>SFWZ63</t>
        </is>
      </c>
      <c r="FE2849" s="17" t="inlineStr">
        <is>
          <t>LVCB4L4D4NM002649</t>
        </is>
      </c>
      <c r="FF2849" s="18" t="inlineStr">
        <is>
          <t>M221100412</t>
        </is>
      </c>
      <c r="FG2849" s="18" t="inlineStr">
        <is>
          <t>FOTON</t>
        </is>
      </c>
      <c r="FH2849" s="18" t="inlineStr">
        <is>
          <t>EBUS U12 SC</t>
        </is>
      </c>
      <c r="FI2849" s="18" t="inlineStr">
        <is>
          <t>FOTON</t>
        </is>
      </c>
      <c r="FJ2849" s="18" t="inlineStr">
        <is>
          <t>EBUS U12 SC</t>
        </is>
      </c>
      <c r="FK2849" s="18" t="n">
        <v>2022</v>
      </c>
      <c r="FL2849" s="18" t="inlineStr">
        <is>
          <t>B</t>
        </is>
      </c>
      <c r="FM2849" s="18" t="inlineStr">
        <is>
          <t>Santa Rosa</t>
        </is>
      </c>
      <c r="FP2849" t="inlineStr">
        <is>
          <t>B</t>
        </is>
      </c>
    </row>
    <row r="2850">
      <c r="FC2850" t="inlineStr">
        <is>
          <t>Diccionario 3</t>
        </is>
      </c>
      <c r="FD2850" s="17" t="inlineStr">
        <is>
          <t>SFWZ64</t>
        </is>
      </c>
      <c r="FE2850" s="17" t="inlineStr">
        <is>
          <t>LVCB4L4D0NM002650</t>
        </is>
      </c>
      <c r="FF2850" s="18" t="inlineStr">
        <is>
          <t>M221110537</t>
        </is>
      </c>
      <c r="FG2850" s="18" t="inlineStr">
        <is>
          <t>FOTON</t>
        </is>
      </c>
      <c r="FH2850" s="18" t="inlineStr">
        <is>
          <t>EBUS U12 SC</t>
        </is>
      </c>
      <c r="FI2850" s="18" t="inlineStr">
        <is>
          <t>FOTON</t>
        </is>
      </c>
      <c r="FJ2850" s="18" t="inlineStr">
        <is>
          <t>EBUS U12 SC</t>
        </is>
      </c>
      <c r="FK2850" s="18" t="n">
        <v>2022</v>
      </c>
      <c r="FL2850" s="18" t="inlineStr">
        <is>
          <t>B</t>
        </is>
      </c>
      <c r="FM2850" s="18" t="inlineStr">
        <is>
          <t>Recoleta</t>
        </is>
      </c>
      <c r="FP2850" t="inlineStr">
        <is>
          <t>B</t>
        </is>
      </c>
    </row>
    <row r="2851">
      <c r="FC2851" t="inlineStr">
        <is>
          <t>Diccionario 3</t>
        </is>
      </c>
      <c r="FD2851" s="17" t="inlineStr">
        <is>
          <t>SFWZ65</t>
        </is>
      </c>
      <c r="FE2851" s="17" t="inlineStr">
        <is>
          <t>LVCB4L4D2NM002651</t>
        </is>
      </c>
      <c r="FF2851" s="18" t="inlineStr">
        <is>
          <t>M221100486</t>
        </is>
      </c>
      <c r="FG2851" s="18" t="inlineStr">
        <is>
          <t>FOTON</t>
        </is>
      </c>
      <c r="FH2851" s="18" t="inlineStr">
        <is>
          <t>EBUS U12 SC</t>
        </is>
      </c>
      <c r="FI2851" s="18" t="inlineStr">
        <is>
          <t>FOTON</t>
        </is>
      </c>
      <c r="FJ2851" s="18" t="inlineStr">
        <is>
          <t>EBUS U12 SC</t>
        </is>
      </c>
      <c r="FK2851" s="18" t="n">
        <v>2022</v>
      </c>
      <c r="FL2851" s="18" t="inlineStr">
        <is>
          <t>B</t>
        </is>
      </c>
      <c r="FM2851" s="18" t="inlineStr">
        <is>
          <t>Recoleta</t>
        </is>
      </c>
      <c r="FP2851" t="inlineStr">
        <is>
          <t>B</t>
        </is>
      </c>
    </row>
    <row r="2852">
      <c r="FC2852" t="inlineStr">
        <is>
          <t>Diccionario 3</t>
        </is>
      </c>
      <c r="FD2852" s="17" t="inlineStr">
        <is>
          <t>SFWZ66</t>
        </is>
      </c>
      <c r="FE2852" s="17" t="inlineStr">
        <is>
          <t>LVCB4L4D4NM002652</t>
        </is>
      </c>
      <c r="FF2852" s="18" t="inlineStr">
        <is>
          <t>M221110530</t>
        </is>
      </c>
      <c r="FG2852" s="18" t="inlineStr">
        <is>
          <t>FOTON</t>
        </is>
      </c>
      <c r="FH2852" s="18" t="inlineStr">
        <is>
          <t>EBUS U12 SC</t>
        </is>
      </c>
      <c r="FI2852" s="18" t="inlineStr">
        <is>
          <t>FOTON</t>
        </is>
      </c>
      <c r="FJ2852" s="18" t="inlineStr">
        <is>
          <t>EBUS U12 SC</t>
        </is>
      </c>
      <c r="FK2852" s="18" t="n">
        <v>2022</v>
      </c>
      <c r="FL2852" s="18" t="inlineStr">
        <is>
          <t>B</t>
        </is>
      </c>
      <c r="FM2852" s="18" t="inlineStr">
        <is>
          <t>Recoleta</t>
        </is>
      </c>
      <c r="FP2852" t="inlineStr">
        <is>
          <t>B</t>
        </is>
      </c>
    </row>
    <row r="2853">
      <c r="FC2853" t="inlineStr">
        <is>
          <t>Diccionario 3</t>
        </is>
      </c>
      <c r="FD2853" s="17" t="inlineStr">
        <is>
          <t>SFWZ67</t>
        </is>
      </c>
      <c r="FE2853" s="17" t="inlineStr">
        <is>
          <t>LVCB4L4D6NM002653</t>
        </is>
      </c>
      <c r="FF2853" s="18" t="inlineStr">
        <is>
          <t>M221100474</t>
        </is>
      </c>
      <c r="FG2853" s="18" t="inlineStr">
        <is>
          <t>FOTON</t>
        </is>
      </c>
      <c r="FH2853" s="18" t="inlineStr">
        <is>
          <t>EBUS U12 SC</t>
        </is>
      </c>
      <c r="FI2853" s="18" t="inlineStr">
        <is>
          <t>FOTON</t>
        </is>
      </c>
      <c r="FJ2853" s="18" t="inlineStr">
        <is>
          <t>EBUS U12 SC</t>
        </is>
      </c>
      <c r="FK2853" s="18" t="n">
        <v>2022</v>
      </c>
      <c r="FL2853" s="18" t="inlineStr">
        <is>
          <t>B</t>
        </is>
      </c>
      <c r="FM2853" s="18" t="inlineStr">
        <is>
          <t>Santa Rosa</t>
        </is>
      </c>
      <c r="FP2853" t="inlineStr">
        <is>
          <t>B</t>
        </is>
      </c>
    </row>
    <row r="2854">
      <c r="FC2854" t="inlineStr">
        <is>
          <t>Diccionario 3</t>
        </is>
      </c>
      <c r="FD2854" s="17" t="inlineStr">
        <is>
          <t>SFWZ68</t>
        </is>
      </c>
      <c r="FE2854" s="17" t="inlineStr">
        <is>
          <t>LVCB4L4DXNM002655</t>
        </is>
      </c>
      <c r="FF2854" s="18" t="inlineStr">
        <is>
          <t>M221100411</t>
        </is>
      </c>
      <c r="FG2854" s="18" t="inlineStr">
        <is>
          <t>FOTON</t>
        </is>
      </c>
      <c r="FH2854" s="18" t="inlineStr">
        <is>
          <t>EBUS U12 SC</t>
        </is>
      </c>
      <c r="FI2854" s="18" t="inlineStr">
        <is>
          <t>FOTON</t>
        </is>
      </c>
      <c r="FJ2854" s="18" t="inlineStr">
        <is>
          <t>EBUS U12 SC</t>
        </is>
      </c>
      <c r="FK2854" s="18" t="n">
        <v>2022</v>
      </c>
      <c r="FL2854" s="18" t="inlineStr">
        <is>
          <t>B</t>
        </is>
      </c>
      <c r="FM2854" s="18" t="inlineStr">
        <is>
          <t>Santa Rosa</t>
        </is>
      </c>
      <c r="FP2854" t="inlineStr">
        <is>
          <t>B</t>
        </is>
      </c>
    </row>
    <row r="2855">
      <c r="FC2855" t="inlineStr">
        <is>
          <t>Diccionario 3</t>
        </is>
      </c>
      <c r="FD2855" s="17" t="inlineStr">
        <is>
          <t>SFWZ69</t>
        </is>
      </c>
      <c r="FE2855" s="17" t="inlineStr">
        <is>
          <t>LVCB4L4D1NM002656</t>
        </is>
      </c>
      <c r="FF2855" s="18" t="inlineStr">
        <is>
          <t>M221100301</t>
        </is>
      </c>
      <c r="FG2855" s="18" t="inlineStr">
        <is>
          <t>FOTON</t>
        </is>
      </c>
      <c r="FH2855" s="18" t="inlineStr">
        <is>
          <t>EBUS U12 SC</t>
        </is>
      </c>
      <c r="FI2855" s="18" t="inlineStr">
        <is>
          <t>FOTON</t>
        </is>
      </c>
      <c r="FJ2855" s="18" t="inlineStr">
        <is>
          <t>EBUS U12 SC</t>
        </is>
      </c>
      <c r="FK2855" s="18" t="n">
        <v>2022</v>
      </c>
      <c r="FL2855" s="18" t="inlineStr">
        <is>
          <t>B</t>
        </is>
      </c>
      <c r="FM2855" s="18" t="inlineStr">
        <is>
          <t>Recoleta</t>
        </is>
      </c>
      <c r="FP2855" t="inlineStr">
        <is>
          <t>B</t>
        </is>
      </c>
    </row>
    <row r="2856">
      <c r="FC2856" t="inlineStr">
        <is>
          <t>Diccionario 3</t>
        </is>
      </c>
      <c r="FD2856" s="17" t="inlineStr">
        <is>
          <t>SFWZ70</t>
        </is>
      </c>
      <c r="FE2856" s="17" t="inlineStr">
        <is>
          <t>LVCB4L4D3NM002657</t>
        </is>
      </c>
      <c r="FF2856" s="18" t="inlineStr">
        <is>
          <t>M221110532</t>
        </is>
      </c>
      <c r="FG2856" s="18" t="inlineStr">
        <is>
          <t>FOTON</t>
        </is>
      </c>
      <c r="FH2856" s="18" t="inlineStr">
        <is>
          <t>EBUS U12 SC</t>
        </is>
      </c>
      <c r="FI2856" s="18" t="inlineStr">
        <is>
          <t>FOTON</t>
        </is>
      </c>
      <c r="FJ2856" s="18" t="inlineStr">
        <is>
          <t>EBUS U12 SC</t>
        </is>
      </c>
      <c r="FK2856" s="18" t="n">
        <v>2022</v>
      </c>
      <c r="FL2856" s="18" t="inlineStr">
        <is>
          <t>B</t>
        </is>
      </c>
      <c r="FM2856" s="18" t="inlineStr">
        <is>
          <t>Santa Rosa</t>
        </is>
      </c>
      <c r="FP2856" t="inlineStr">
        <is>
          <t>B</t>
        </is>
      </c>
    </row>
    <row r="2857">
      <c r="FC2857" t="inlineStr">
        <is>
          <t>Diccionario 3</t>
        </is>
      </c>
      <c r="FD2857" s="17" t="inlineStr">
        <is>
          <t>SFWZ73</t>
        </is>
      </c>
      <c r="FE2857" s="17" t="inlineStr">
        <is>
          <t>LVCB4L4D5NM002658</t>
        </is>
      </c>
      <c r="FF2857" s="18" t="inlineStr">
        <is>
          <t>M221100527</t>
        </is>
      </c>
      <c r="FG2857" s="18" t="inlineStr">
        <is>
          <t>FOTON</t>
        </is>
      </c>
      <c r="FH2857" s="18" t="inlineStr">
        <is>
          <t>EBUS U12 SC</t>
        </is>
      </c>
      <c r="FI2857" s="18" t="inlineStr">
        <is>
          <t>FOTON</t>
        </is>
      </c>
      <c r="FJ2857" s="18" t="inlineStr">
        <is>
          <t>EBUS U12 SC</t>
        </is>
      </c>
      <c r="FK2857" s="18" t="n">
        <v>2022</v>
      </c>
      <c r="FL2857" s="18" t="inlineStr">
        <is>
          <t>B</t>
        </is>
      </c>
      <c r="FM2857" s="18" t="inlineStr">
        <is>
          <t>Recoleta</t>
        </is>
      </c>
      <c r="FP2857" t="inlineStr">
        <is>
          <t>B</t>
        </is>
      </c>
    </row>
    <row r="2858">
      <c r="FC2858" t="inlineStr">
        <is>
          <t>Diccionario 3</t>
        </is>
      </c>
      <c r="FD2858" s="17" t="inlineStr">
        <is>
          <t>SFWZ74</t>
        </is>
      </c>
      <c r="FE2858" s="17" t="inlineStr">
        <is>
          <t>LVCB4L4D7NM002659</t>
        </is>
      </c>
      <c r="FF2858" s="18" t="inlineStr">
        <is>
          <t>M221100403</t>
        </is>
      </c>
      <c r="FG2858" s="18" t="inlineStr">
        <is>
          <t>FOTON</t>
        </is>
      </c>
      <c r="FH2858" s="18" t="inlineStr">
        <is>
          <t>EBUS U12 SC</t>
        </is>
      </c>
      <c r="FI2858" s="18" t="inlineStr">
        <is>
          <t>FOTON</t>
        </is>
      </c>
      <c r="FJ2858" s="18" t="inlineStr">
        <is>
          <t>EBUS U12 SC</t>
        </is>
      </c>
      <c r="FK2858" s="18" t="n">
        <v>2022</v>
      </c>
      <c r="FL2858" s="18" t="inlineStr">
        <is>
          <t>B</t>
        </is>
      </c>
      <c r="FM2858" s="18" t="inlineStr">
        <is>
          <t>Santa Rosa</t>
        </is>
      </c>
      <c r="FP2858" t="inlineStr">
        <is>
          <t>B</t>
        </is>
      </c>
    </row>
    <row r="2859">
      <c r="FC2859" t="inlineStr">
        <is>
          <t>Diccionario 3</t>
        </is>
      </c>
      <c r="FD2859" s="17" t="inlineStr">
        <is>
          <t>SFWZ75</t>
        </is>
      </c>
      <c r="FE2859" s="17" t="inlineStr">
        <is>
          <t>LVCB4L4D3NM002660</t>
        </is>
      </c>
      <c r="FF2859" s="18" t="inlineStr">
        <is>
          <t>M221100542</t>
        </is>
      </c>
      <c r="FG2859" s="18" t="inlineStr">
        <is>
          <t>FOTON</t>
        </is>
      </c>
      <c r="FH2859" s="18" t="inlineStr">
        <is>
          <t>EBUS U12 SC</t>
        </is>
      </c>
      <c r="FI2859" s="18" t="inlineStr">
        <is>
          <t>FOTON</t>
        </is>
      </c>
      <c r="FJ2859" s="18" t="inlineStr">
        <is>
          <t>EBUS U12 SC</t>
        </is>
      </c>
      <c r="FK2859" s="18" t="n">
        <v>2022</v>
      </c>
      <c r="FL2859" s="18" t="inlineStr">
        <is>
          <t>B</t>
        </is>
      </c>
      <c r="FM2859" s="18" t="inlineStr">
        <is>
          <t>Santa Rosa</t>
        </is>
      </c>
      <c r="FP2859" t="inlineStr">
        <is>
          <t>B</t>
        </is>
      </c>
    </row>
    <row r="2860">
      <c r="FC2860" t="inlineStr">
        <is>
          <t>Diccionario 3</t>
        </is>
      </c>
      <c r="FD2860" s="17" t="inlineStr">
        <is>
          <t>SFWZ76</t>
        </is>
      </c>
      <c r="FE2860" s="17" t="inlineStr">
        <is>
          <t>LVCB4L4D5NM002661</t>
        </is>
      </c>
      <c r="FF2860" s="18" t="inlineStr">
        <is>
          <t>M221110527</t>
        </is>
      </c>
      <c r="FG2860" s="18" t="inlineStr">
        <is>
          <t>FOTON</t>
        </is>
      </c>
      <c r="FH2860" s="18" t="inlineStr">
        <is>
          <t>EBUS U12 SC</t>
        </is>
      </c>
      <c r="FI2860" s="18" t="inlineStr">
        <is>
          <t>FOTON</t>
        </is>
      </c>
      <c r="FJ2860" s="18" t="inlineStr">
        <is>
          <t>EBUS U12 SC</t>
        </is>
      </c>
      <c r="FK2860" s="18" t="n">
        <v>2022</v>
      </c>
      <c r="FL2860" s="18" t="inlineStr">
        <is>
          <t>B</t>
        </is>
      </c>
      <c r="FM2860" s="18" t="inlineStr">
        <is>
          <t>Santa Rosa</t>
        </is>
      </c>
      <c r="FP2860" t="inlineStr">
        <is>
          <t>B</t>
        </is>
      </c>
    </row>
    <row r="2861">
      <c r="FC2861" t="inlineStr">
        <is>
          <t>Diccionario 3</t>
        </is>
      </c>
      <c r="FD2861" s="17" t="inlineStr">
        <is>
          <t>SFWZ77</t>
        </is>
      </c>
      <c r="FE2861" s="17" t="inlineStr">
        <is>
          <t>LVCB4L4D7NM002662</t>
        </is>
      </c>
      <c r="FF2861" s="18" t="inlineStr">
        <is>
          <t>M221100402</t>
        </is>
      </c>
      <c r="FG2861" s="18" t="inlineStr">
        <is>
          <t>FOTON</t>
        </is>
      </c>
      <c r="FH2861" s="18" t="inlineStr">
        <is>
          <t>EBUS U12 SC</t>
        </is>
      </c>
      <c r="FI2861" s="18" t="inlineStr">
        <is>
          <t>FOTON</t>
        </is>
      </c>
      <c r="FJ2861" s="18" t="inlineStr">
        <is>
          <t>EBUS U12 SC</t>
        </is>
      </c>
      <c r="FK2861" s="18" t="n">
        <v>2022</v>
      </c>
      <c r="FL2861" s="18" t="inlineStr">
        <is>
          <t>B</t>
        </is>
      </c>
      <c r="FM2861" s="18" t="inlineStr">
        <is>
          <t>Santa Rosa</t>
        </is>
      </c>
      <c r="FP2861" t="inlineStr">
        <is>
          <t>B</t>
        </is>
      </c>
    </row>
    <row r="2862">
      <c r="FC2862" t="inlineStr">
        <is>
          <t>Diccionario 3</t>
        </is>
      </c>
      <c r="FD2862" s="17" t="inlineStr">
        <is>
          <t>SFWZ78</t>
        </is>
      </c>
      <c r="FE2862" s="17" t="inlineStr">
        <is>
          <t>LVCB4L4D9NM002663</t>
        </is>
      </c>
      <c r="FF2862" s="18" t="inlineStr">
        <is>
          <t>M221110019</t>
        </is>
      </c>
      <c r="FG2862" s="18" t="inlineStr">
        <is>
          <t>FOTON</t>
        </is>
      </c>
      <c r="FH2862" s="18" t="inlineStr">
        <is>
          <t>EBUS U12 SC</t>
        </is>
      </c>
      <c r="FI2862" s="18" t="inlineStr">
        <is>
          <t>FOTON</t>
        </is>
      </c>
      <c r="FJ2862" s="18" t="inlineStr">
        <is>
          <t>EBUS U12 SC</t>
        </is>
      </c>
      <c r="FK2862" s="18" t="n">
        <v>2022</v>
      </c>
      <c r="FL2862" s="18" t="inlineStr">
        <is>
          <t>B</t>
        </is>
      </c>
      <c r="FM2862" s="18" t="inlineStr">
        <is>
          <t>Santa Rosa</t>
        </is>
      </c>
      <c r="FP2862" t="inlineStr">
        <is>
          <t>B</t>
        </is>
      </c>
    </row>
    <row r="2863">
      <c r="FC2863" t="inlineStr">
        <is>
          <t>Diccionario 3</t>
        </is>
      </c>
      <c r="FD2863" s="17" t="inlineStr">
        <is>
          <t>SFWZ80</t>
        </is>
      </c>
      <c r="FE2863" s="17" t="inlineStr">
        <is>
          <t>LVCB4L4D2NM002665</t>
        </is>
      </c>
      <c r="FF2863" s="18" t="inlineStr">
        <is>
          <t>M221100489</t>
        </is>
      </c>
      <c r="FG2863" s="18" t="inlineStr">
        <is>
          <t>FOTON</t>
        </is>
      </c>
      <c r="FH2863" s="18" t="inlineStr">
        <is>
          <t>EBUS U12 SC</t>
        </is>
      </c>
      <c r="FI2863" s="18" t="inlineStr">
        <is>
          <t>FOTON</t>
        </is>
      </c>
      <c r="FJ2863" s="18" t="inlineStr">
        <is>
          <t>EBUS U12 SC</t>
        </is>
      </c>
      <c r="FK2863" s="18" t="n">
        <v>2022</v>
      </c>
      <c r="FL2863" s="18" t="inlineStr">
        <is>
          <t>B</t>
        </is>
      </c>
      <c r="FM2863" s="18" t="inlineStr">
        <is>
          <t>Recoleta</t>
        </is>
      </c>
      <c r="FP2863" t="inlineStr">
        <is>
          <t>B</t>
        </is>
      </c>
    </row>
    <row r="2864">
      <c r="FC2864" t="inlineStr">
        <is>
          <t>Diccionario 3</t>
        </is>
      </c>
      <c r="FD2864" s="17" t="inlineStr">
        <is>
          <t>SFWZ81</t>
        </is>
      </c>
      <c r="FE2864" s="17" t="inlineStr">
        <is>
          <t>LVCB4L4D4NM002666</t>
        </is>
      </c>
      <c r="FF2864" s="18" t="inlineStr">
        <is>
          <t>M221110651</t>
        </is>
      </c>
      <c r="FG2864" s="18" t="inlineStr">
        <is>
          <t>FOTON</t>
        </is>
      </c>
      <c r="FH2864" s="18" t="inlineStr">
        <is>
          <t>EBUS U12 SC</t>
        </is>
      </c>
      <c r="FI2864" s="18" t="inlineStr">
        <is>
          <t>FOTON</t>
        </is>
      </c>
      <c r="FJ2864" s="18" t="inlineStr">
        <is>
          <t>EBUS U12 SC</t>
        </is>
      </c>
      <c r="FK2864" s="18" t="n">
        <v>2022</v>
      </c>
      <c r="FL2864" s="18" t="inlineStr">
        <is>
          <t>B</t>
        </is>
      </c>
      <c r="FM2864" s="18" t="inlineStr">
        <is>
          <t>Recoleta</t>
        </is>
      </c>
      <c r="FP2864" t="inlineStr">
        <is>
          <t>B</t>
        </is>
      </c>
    </row>
    <row r="2865">
      <c r="FC2865" t="inlineStr">
        <is>
          <t>Diccionario 3</t>
        </is>
      </c>
      <c r="FD2865" s="17" t="inlineStr">
        <is>
          <t>SFWZ82</t>
        </is>
      </c>
      <c r="FE2865" s="17" t="inlineStr">
        <is>
          <t>LVCB4L4D6NM002667</t>
        </is>
      </c>
      <c r="FF2865" s="18" t="inlineStr">
        <is>
          <t>M221100405</t>
        </is>
      </c>
      <c r="FG2865" s="18" t="inlineStr">
        <is>
          <t>FOTON</t>
        </is>
      </c>
      <c r="FH2865" s="18" t="inlineStr">
        <is>
          <t>EBUS U12 SC</t>
        </is>
      </c>
      <c r="FI2865" s="18" t="inlineStr">
        <is>
          <t>FOTON</t>
        </is>
      </c>
      <c r="FJ2865" s="18" t="inlineStr">
        <is>
          <t>EBUS U12 SC</t>
        </is>
      </c>
      <c r="FK2865" s="18" t="n">
        <v>2022</v>
      </c>
      <c r="FL2865" s="18" t="inlineStr">
        <is>
          <t>B</t>
        </is>
      </c>
      <c r="FM2865" s="18" t="inlineStr">
        <is>
          <t>Recoleta</t>
        </is>
      </c>
      <c r="FP2865" t="inlineStr">
        <is>
          <t>B</t>
        </is>
      </c>
    </row>
    <row r="2866">
      <c r="FC2866" t="inlineStr">
        <is>
          <t>Diccionario 3</t>
        </is>
      </c>
      <c r="FD2866" s="17" t="inlineStr">
        <is>
          <t>SFWZ83</t>
        </is>
      </c>
      <c r="FE2866" s="17" t="inlineStr">
        <is>
          <t>LVCB4L4D8NM002668</t>
        </is>
      </c>
      <c r="FF2866" s="18" t="inlineStr">
        <is>
          <t>M221100526</t>
        </is>
      </c>
      <c r="FG2866" s="18" t="inlineStr">
        <is>
          <t>FOTON</t>
        </is>
      </c>
      <c r="FH2866" s="18" t="inlineStr">
        <is>
          <t>EBUS U12 SC</t>
        </is>
      </c>
      <c r="FI2866" s="18" t="inlineStr">
        <is>
          <t>FOTON</t>
        </is>
      </c>
      <c r="FJ2866" s="18" t="inlineStr">
        <is>
          <t>EBUS U12 SC</t>
        </is>
      </c>
      <c r="FK2866" s="18" t="n">
        <v>2022</v>
      </c>
      <c r="FL2866" s="18" t="inlineStr">
        <is>
          <t>B</t>
        </is>
      </c>
      <c r="FM2866" s="18" t="inlineStr">
        <is>
          <t>Recoleta</t>
        </is>
      </c>
      <c r="FP2866" t="inlineStr">
        <is>
          <t>B</t>
        </is>
      </c>
    </row>
    <row r="2867">
      <c r="FC2867" t="inlineStr">
        <is>
          <t>Diccionario 3</t>
        </is>
      </c>
      <c r="FD2867" s="17" t="inlineStr">
        <is>
          <t>SFWZ85</t>
        </is>
      </c>
      <c r="FE2867" s="17" t="inlineStr">
        <is>
          <t>LVCB4L4DXNM002669</t>
        </is>
      </c>
      <c r="FF2867" s="18" t="inlineStr">
        <is>
          <t>M221110534</t>
        </is>
      </c>
      <c r="FG2867" s="18" t="inlineStr">
        <is>
          <t>FOTON</t>
        </is>
      </c>
      <c r="FH2867" s="18" t="inlineStr">
        <is>
          <t>EBUS U12 SC</t>
        </is>
      </c>
      <c r="FI2867" s="18" t="inlineStr">
        <is>
          <t>FOTON</t>
        </is>
      </c>
      <c r="FJ2867" s="18" t="inlineStr">
        <is>
          <t>EBUS U12 SC</t>
        </is>
      </c>
      <c r="FK2867" s="18" t="n">
        <v>2022</v>
      </c>
      <c r="FL2867" s="18" t="inlineStr">
        <is>
          <t>B</t>
        </is>
      </c>
      <c r="FM2867" s="18" t="inlineStr">
        <is>
          <t>Santa Rosa</t>
        </is>
      </c>
      <c r="FP2867" t="inlineStr">
        <is>
          <t>B</t>
        </is>
      </c>
    </row>
    <row r="2868">
      <c r="FC2868" t="inlineStr">
        <is>
          <t>Diccionario 3</t>
        </is>
      </c>
      <c r="FD2868" s="17" t="inlineStr">
        <is>
          <t>SXKV97</t>
        </is>
      </c>
      <c r="FE2868" s="17" t="inlineStr">
        <is>
          <t>YV3T7U520RA212108</t>
        </is>
      </c>
      <c r="FF2868" s="18" t="n">
        <v>593521</v>
      </c>
      <c r="FG2868" s="18" t="inlineStr">
        <is>
          <t>VOLVO</t>
        </is>
      </c>
      <c r="FH2868" s="18" t="inlineStr">
        <is>
          <t>B8RLEA</t>
        </is>
      </c>
      <c r="FI2868" s="18" t="inlineStr">
        <is>
          <t>MARCOPOLO</t>
        </is>
      </c>
      <c r="FJ2868" s="18" t="inlineStr">
        <is>
          <t>GRAN VIALE</t>
        </is>
      </c>
      <c r="FK2868" s="18" t="n">
        <v>2023</v>
      </c>
      <c r="FL2868" s="18" t="inlineStr">
        <is>
          <t>C</t>
        </is>
      </c>
      <c r="FM2868" s="18" t="inlineStr">
        <is>
          <t>Santa Rosa</t>
        </is>
      </c>
      <c r="FP2868" t="inlineStr">
        <is>
          <t>C</t>
        </is>
      </c>
    </row>
    <row r="2869">
      <c r="FC2869" t="inlineStr">
        <is>
          <t>Diccionario 3</t>
        </is>
      </c>
      <c r="FD2869" s="17" t="inlineStr">
        <is>
          <t>SXKV98</t>
        </is>
      </c>
      <c r="FE2869" s="17" t="inlineStr">
        <is>
          <t>YV3T7U522RA212112</t>
        </is>
      </c>
      <c r="FF2869" s="18" t="n">
        <v>593751</v>
      </c>
      <c r="FG2869" s="18" t="inlineStr">
        <is>
          <t>VOLVO</t>
        </is>
      </c>
      <c r="FH2869" s="18" t="inlineStr">
        <is>
          <t>B8RLEA</t>
        </is>
      </c>
      <c r="FI2869" s="18" t="inlineStr">
        <is>
          <t>MARCOPOLO</t>
        </is>
      </c>
      <c r="FJ2869" s="18" t="inlineStr">
        <is>
          <t>GRAN VIALE</t>
        </is>
      </c>
      <c r="FK2869" s="18" t="n">
        <v>2023</v>
      </c>
      <c r="FL2869" s="18" t="inlineStr">
        <is>
          <t>C</t>
        </is>
      </c>
      <c r="FM2869" s="18" t="inlineStr">
        <is>
          <t>Santa Rosa</t>
        </is>
      </c>
      <c r="FP2869" t="inlineStr">
        <is>
          <t>C</t>
        </is>
      </c>
    </row>
    <row r="2870">
      <c r="FC2870" t="inlineStr">
        <is>
          <t>Diccionario 3</t>
        </is>
      </c>
      <c r="FD2870" s="17" t="inlineStr">
        <is>
          <t>SXKV99</t>
        </is>
      </c>
      <c r="FE2870" s="17" t="inlineStr">
        <is>
          <t>YV3T7U525RA212217</t>
        </is>
      </c>
      <c r="FF2870" s="18" t="n">
        <v>595002</v>
      </c>
      <c r="FG2870" s="18" t="inlineStr">
        <is>
          <t>VOLVO</t>
        </is>
      </c>
      <c r="FH2870" s="18" t="inlineStr">
        <is>
          <t>B8RLEA</t>
        </is>
      </c>
      <c r="FI2870" s="18" t="inlineStr">
        <is>
          <t>MARCOPOLO</t>
        </is>
      </c>
      <c r="FJ2870" s="18" t="inlineStr">
        <is>
          <t>GRAN VIALE</t>
        </is>
      </c>
      <c r="FK2870" s="18" t="n">
        <v>2023</v>
      </c>
      <c r="FL2870" s="18" t="inlineStr">
        <is>
          <t>C</t>
        </is>
      </c>
      <c r="FM2870" s="18" t="inlineStr">
        <is>
          <t>Santa Rosa</t>
        </is>
      </c>
      <c r="FP2870" t="inlineStr">
        <is>
          <t>C</t>
        </is>
      </c>
    </row>
    <row r="2871">
      <c r="FC2871" t="inlineStr">
        <is>
          <t>Diccionario 3</t>
        </is>
      </c>
      <c r="FD2871" s="17" t="inlineStr">
        <is>
          <t>TBZB24</t>
        </is>
      </c>
      <c r="FE2871" s="17" t="inlineStr">
        <is>
          <t>YV3T7U523RA212314</t>
        </is>
      </c>
      <c r="FF2871" s="18" t="n">
        <v>598537</v>
      </c>
      <c r="FG2871" s="18" t="inlineStr">
        <is>
          <t>VOLVO</t>
        </is>
      </c>
      <c r="FH2871" s="18" t="inlineStr">
        <is>
          <t>B8RLEA</t>
        </is>
      </c>
      <c r="FI2871" s="18" t="inlineStr">
        <is>
          <t>MARCOPOLO</t>
        </is>
      </c>
      <c r="FJ2871" s="18" t="inlineStr">
        <is>
          <t>GRAN VIALE</t>
        </is>
      </c>
      <c r="FK2871" s="18" t="n">
        <v>2023</v>
      </c>
      <c r="FL2871" s="18" t="inlineStr">
        <is>
          <t>C</t>
        </is>
      </c>
      <c r="FM2871" s="18" t="inlineStr">
        <is>
          <t>Santa Rosa</t>
        </is>
      </c>
      <c r="FP2871" t="inlineStr">
        <is>
          <t>C</t>
        </is>
      </c>
    </row>
    <row r="2872">
      <c r="FC2872" t="inlineStr">
        <is>
          <t>Diccionario 3</t>
        </is>
      </c>
      <c r="FD2872" s="17" t="inlineStr">
        <is>
          <t>VLSZ25</t>
        </is>
      </c>
      <c r="FE2872" s="17" t="inlineStr">
        <is>
          <t>LDYECS315S0045859</t>
        </is>
      </c>
      <c r="FF2872" s="18" t="inlineStr">
        <is>
          <t>MDN35025030200</t>
        </is>
      </c>
      <c r="FG2872" s="18" t="inlineStr">
        <is>
          <t>Zhong Thong</t>
        </is>
      </c>
      <c r="FH2872" s="18" t="inlineStr">
        <is>
          <t>Lck6122evg</t>
        </is>
      </c>
      <c r="FI2872" s="18" t="inlineStr">
        <is>
          <t>Zhong Thong</t>
        </is>
      </c>
      <c r="FJ2872" s="18" t="inlineStr">
        <is>
          <t>Lck6122evg</t>
        </is>
      </c>
      <c r="FK2872" s="18" t="n">
        <v>2026</v>
      </c>
      <c r="FL2872" s="18" t="inlineStr">
        <is>
          <t>B</t>
        </is>
      </c>
      <c r="FM2872" s="18" t="inlineStr">
        <is>
          <t>Las Acacias</t>
        </is>
      </c>
      <c r="FP2872" t="inlineStr">
        <is>
          <t>B</t>
        </is>
      </c>
    </row>
    <row r="2873">
      <c r="FC2873" t="inlineStr">
        <is>
          <t>Diccionario 3</t>
        </is>
      </c>
      <c r="FD2873" s="17" t="inlineStr">
        <is>
          <t>VLSZ26</t>
        </is>
      </c>
      <c r="FE2873" s="17" t="inlineStr">
        <is>
          <t>LDYECS313S0045858</t>
        </is>
      </c>
      <c r="FF2873" s="18" t="inlineStr">
        <is>
          <t>MDN35025030201</t>
        </is>
      </c>
      <c r="FG2873" s="18" t="inlineStr">
        <is>
          <t>Zhong Thong</t>
        </is>
      </c>
      <c r="FH2873" s="18" t="inlineStr">
        <is>
          <t>Lck6122evg</t>
        </is>
      </c>
      <c r="FI2873" s="18" t="inlineStr">
        <is>
          <t>Zhong Thong</t>
        </is>
      </c>
      <c r="FJ2873" s="18" t="inlineStr">
        <is>
          <t>Lck6122evg</t>
        </is>
      </c>
      <c r="FK2873" s="18" t="n">
        <v>2026</v>
      </c>
      <c r="FL2873" s="18" t="inlineStr">
        <is>
          <t>B</t>
        </is>
      </c>
      <c r="FM2873" s="18" t="inlineStr">
        <is>
          <t>Las Acacias</t>
        </is>
      </c>
      <c r="FP2873" t="inlineStr">
        <is>
          <t>B</t>
        </is>
      </c>
    </row>
    <row r="2874">
      <c r="FC2874" t="inlineStr">
        <is>
          <t>Diccionario 3</t>
        </is>
      </c>
      <c r="FD2874" s="17" t="inlineStr">
        <is>
          <t>VLSZ46</t>
        </is>
      </c>
      <c r="FE2874" s="17" t="inlineStr">
        <is>
          <t>LDYECS313S0045777</t>
        </is>
      </c>
      <c r="FF2874" s="18" t="inlineStr">
        <is>
          <t>MDN35025030141</t>
        </is>
      </c>
      <c r="FG2874" s="18" t="inlineStr">
        <is>
          <t>Zhong Thong</t>
        </is>
      </c>
      <c r="FH2874" s="18" t="inlineStr">
        <is>
          <t>Lck6122evg</t>
        </is>
      </c>
      <c r="FI2874" s="18" t="inlineStr">
        <is>
          <t>Zhong Thong</t>
        </is>
      </c>
      <c r="FJ2874" s="18" t="inlineStr">
        <is>
          <t>Lck6122evg</t>
        </is>
      </c>
      <c r="FK2874" s="18" t="n">
        <v>2026</v>
      </c>
      <c r="FL2874" s="18" t="inlineStr">
        <is>
          <t>B</t>
        </is>
      </c>
      <c r="FM2874" s="18" t="inlineStr">
        <is>
          <t>Las Acacias</t>
        </is>
      </c>
      <c r="FP2874" t="inlineStr">
        <is>
          <t>B</t>
        </is>
      </c>
    </row>
    <row r="2875">
      <c r="FC2875" t="inlineStr">
        <is>
          <t>Diccionario 3</t>
        </is>
      </c>
      <c r="FD2875" s="17" t="inlineStr">
        <is>
          <t>VLSZ52</t>
        </is>
      </c>
      <c r="FE2875" s="17" t="inlineStr">
        <is>
          <t>LDYECS314S0045772</t>
        </is>
      </c>
      <c r="FF2875" s="18" t="inlineStr">
        <is>
          <t>MDN35025030143</t>
        </is>
      </c>
      <c r="FG2875" s="18" t="inlineStr">
        <is>
          <t>Zhong Thong</t>
        </is>
      </c>
      <c r="FH2875" s="18" t="inlineStr">
        <is>
          <t>Lck6122evg</t>
        </is>
      </c>
      <c r="FI2875" s="18" t="inlineStr">
        <is>
          <t>Zhong Thong</t>
        </is>
      </c>
      <c r="FJ2875" s="18" t="inlineStr">
        <is>
          <t>Lck6122evg</t>
        </is>
      </c>
      <c r="FK2875" s="18" t="n">
        <v>2026</v>
      </c>
      <c r="FL2875" s="18" t="inlineStr">
        <is>
          <t>B</t>
        </is>
      </c>
      <c r="FM2875" s="18" t="inlineStr">
        <is>
          <t>Las Acacias</t>
        </is>
      </c>
      <c r="FP2875" t="inlineStr">
        <is>
          <t>B</t>
        </is>
      </c>
    </row>
    <row r="2876">
      <c r="FC2876" t="inlineStr">
        <is>
          <t>Diccionario 3</t>
        </is>
      </c>
      <c r="FD2876" s="17" t="inlineStr">
        <is>
          <t>VLSZ54</t>
        </is>
      </c>
      <c r="FE2876" s="17" t="inlineStr">
        <is>
          <t>LDYECS318S0045869</t>
        </is>
      </c>
      <c r="FF2876" s="18" t="inlineStr">
        <is>
          <t>MDN35025030203</t>
        </is>
      </c>
      <c r="FG2876" s="18" t="inlineStr">
        <is>
          <t>Zhong Thong</t>
        </is>
      </c>
      <c r="FH2876" s="18" t="inlineStr">
        <is>
          <t>Lck6122evg</t>
        </is>
      </c>
      <c r="FI2876" s="18" t="inlineStr">
        <is>
          <t>Zhong Thong</t>
        </is>
      </c>
      <c r="FJ2876" s="18" t="inlineStr">
        <is>
          <t>Lck6122evg</t>
        </is>
      </c>
      <c r="FK2876" s="18" t="n">
        <v>2026</v>
      </c>
      <c r="FL2876" s="18" t="inlineStr">
        <is>
          <t>B</t>
        </is>
      </c>
      <c r="FM2876" s="18" t="inlineStr">
        <is>
          <t>Las Acacias</t>
        </is>
      </c>
      <c r="FP2876" t="inlineStr">
        <is>
          <t>B</t>
        </is>
      </c>
    </row>
    <row r="2877">
      <c r="FC2877" t="inlineStr">
        <is>
          <t>Diccionario 3</t>
        </is>
      </c>
      <c r="FD2877" s="17" t="inlineStr">
        <is>
          <t>VLSZ65</t>
        </is>
      </c>
      <c r="FE2877" s="17" t="inlineStr">
        <is>
          <t>LDYECS311S0045860</t>
        </is>
      </c>
      <c r="FF2877" s="18" t="inlineStr">
        <is>
          <t>MDN35025030275</t>
        </is>
      </c>
      <c r="FG2877" s="18" t="inlineStr">
        <is>
          <t>Zhong Thong</t>
        </is>
      </c>
      <c r="FH2877" s="18" t="inlineStr">
        <is>
          <t>Lck6122evg</t>
        </is>
      </c>
      <c r="FI2877" s="18" t="inlineStr">
        <is>
          <t>Zhong Thong</t>
        </is>
      </c>
      <c r="FJ2877" s="18" t="inlineStr">
        <is>
          <t>Lck6122evg</t>
        </is>
      </c>
      <c r="FK2877" s="18" t="n">
        <v>2026</v>
      </c>
      <c r="FL2877" s="18" t="inlineStr">
        <is>
          <t>B</t>
        </is>
      </c>
      <c r="FM2877" s="18" t="inlineStr">
        <is>
          <t>Las Acacias</t>
        </is>
      </c>
      <c r="FP2877" t="inlineStr">
        <is>
          <t>B</t>
        </is>
      </c>
    </row>
    <row r="2878">
      <c r="FC2878" t="inlineStr">
        <is>
          <t>Diccionario 3</t>
        </is>
      </c>
      <c r="FD2878" s="17" t="inlineStr">
        <is>
          <t>VLSZ68</t>
        </is>
      </c>
      <c r="FE2878" s="17" t="inlineStr">
        <is>
          <t>LDYECS316S0045868</t>
        </is>
      </c>
      <c r="FF2878" s="18" t="inlineStr">
        <is>
          <t>MDN35025030262</t>
        </is>
      </c>
      <c r="FG2878" s="18" t="inlineStr">
        <is>
          <t>Zhong Thong</t>
        </is>
      </c>
      <c r="FH2878" s="18" t="inlineStr">
        <is>
          <t>Lck6122evg</t>
        </is>
      </c>
      <c r="FI2878" s="18" t="inlineStr">
        <is>
          <t>Zhong Thong</t>
        </is>
      </c>
      <c r="FJ2878" s="18" t="inlineStr">
        <is>
          <t>Lck6122evg</t>
        </is>
      </c>
      <c r="FK2878" s="18" t="n">
        <v>2026</v>
      </c>
      <c r="FL2878" s="18" t="inlineStr">
        <is>
          <t>B</t>
        </is>
      </c>
      <c r="FM2878" s="18" t="inlineStr">
        <is>
          <t>Las Acacias</t>
        </is>
      </c>
      <c r="FP2878" t="inlineStr">
        <is>
          <t>B</t>
        </is>
      </c>
    </row>
    <row r="2879">
      <c r="FC2879" t="inlineStr">
        <is>
          <t>Diccionario 3</t>
        </is>
      </c>
      <c r="FD2879" s="17" t="inlineStr">
        <is>
          <t>VLSZ75</t>
        </is>
      </c>
      <c r="FE2879" s="17" t="inlineStr">
        <is>
          <t>LDYECS312S0045785</t>
        </is>
      </c>
      <c r="FF2879" s="18" t="inlineStr">
        <is>
          <t>MDN35025030159</t>
        </is>
      </c>
      <c r="FG2879" s="18" t="inlineStr">
        <is>
          <t>Zhong Thong</t>
        </is>
      </c>
      <c r="FH2879" s="18" t="inlineStr">
        <is>
          <t>Lck6122evg</t>
        </is>
      </c>
      <c r="FI2879" s="18" t="inlineStr">
        <is>
          <t>Zhong Thong</t>
        </is>
      </c>
      <c r="FJ2879" s="18" t="inlineStr">
        <is>
          <t>Lck6122evg</t>
        </is>
      </c>
      <c r="FK2879" s="18" t="n">
        <v>2026</v>
      </c>
      <c r="FL2879" s="18" t="inlineStr">
        <is>
          <t>B</t>
        </is>
      </c>
      <c r="FM2879" s="18" t="inlineStr">
        <is>
          <t>Las Acacias</t>
        </is>
      </c>
      <c r="FP2879" t="inlineStr">
        <is>
          <t>B</t>
        </is>
      </c>
    </row>
    <row r="2880">
      <c r="FC2880" t="inlineStr">
        <is>
          <t>Diccionario 3</t>
        </is>
      </c>
      <c r="FD2880" s="17" t="inlineStr">
        <is>
          <t>VLTB15</t>
        </is>
      </c>
      <c r="FE2880" s="17" t="inlineStr">
        <is>
          <t>LDYECS31XS0045873</t>
        </is>
      </c>
      <c r="FF2880" s="18" t="inlineStr">
        <is>
          <t>MDN35025030290</t>
        </is>
      </c>
      <c r="FG2880" s="18" t="inlineStr">
        <is>
          <t>Zhong Thong</t>
        </is>
      </c>
      <c r="FH2880" s="18" t="inlineStr">
        <is>
          <t>Lck6122evg</t>
        </is>
      </c>
      <c r="FI2880" s="18" t="inlineStr">
        <is>
          <t>Zhong Thong</t>
        </is>
      </c>
      <c r="FJ2880" s="18" t="inlineStr">
        <is>
          <t>Lck6122evg</t>
        </is>
      </c>
      <c r="FK2880" s="18" t="n">
        <v>2026</v>
      </c>
      <c r="FL2880" s="18" t="inlineStr">
        <is>
          <t>B</t>
        </is>
      </c>
      <c r="FM2880" s="18" t="inlineStr">
        <is>
          <t>Las Acacias</t>
        </is>
      </c>
      <c r="FP2880" t="inlineStr">
        <is>
          <t>B</t>
        </is>
      </c>
    </row>
    <row r="2881">
      <c r="FC2881" t="inlineStr">
        <is>
          <t>Diccionario 3</t>
        </is>
      </c>
      <c r="FD2881" s="17" t="inlineStr">
        <is>
          <t>VLTB35</t>
        </is>
      </c>
      <c r="FE2881" s="17" t="inlineStr">
        <is>
          <t>LDYECS319S0045783</t>
        </is>
      </c>
      <c r="FF2881" s="18" t="inlineStr">
        <is>
          <t>MDN35025030314</t>
        </is>
      </c>
      <c r="FG2881" s="18" t="inlineStr">
        <is>
          <t>Zhong Thong</t>
        </is>
      </c>
      <c r="FH2881" s="18" t="inlineStr">
        <is>
          <t>Lck6122evg</t>
        </is>
      </c>
      <c r="FI2881" s="18" t="inlineStr">
        <is>
          <t>Zhong Thong</t>
        </is>
      </c>
      <c r="FJ2881" s="18" t="inlineStr">
        <is>
          <t>Lck6122evg</t>
        </is>
      </c>
      <c r="FK2881" s="18" t="n">
        <v>2026</v>
      </c>
      <c r="FL2881" s="18" t="inlineStr">
        <is>
          <t>B</t>
        </is>
      </c>
      <c r="FM2881" s="18" t="inlineStr">
        <is>
          <t>Las Acacias</t>
        </is>
      </c>
      <c r="FP2881" t="inlineStr">
        <is>
          <t>B</t>
        </is>
      </c>
    </row>
    <row r="2882">
      <c r="FC2882" t="inlineStr">
        <is>
          <t>Diccionario 3</t>
        </is>
      </c>
      <c r="FD2882" s="17" t="inlineStr">
        <is>
          <t>VLTB43</t>
        </is>
      </c>
      <c r="FE2882" s="17" t="inlineStr">
        <is>
          <t>LDYECS315S0045778</t>
        </is>
      </c>
      <c r="FF2882" s="18" t="inlineStr">
        <is>
          <t>MDN35025030280</t>
        </is>
      </c>
      <c r="FG2882" s="18" t="inlineStr">
        <is>
          <t>Zhong Thong</t>
        </is>
      </c>
      <c r="FH2882" s="18" t="inlineStr">
        <is>
          <t>Lck6122evg</t>
        </is>
      </c>
      <c r="FI2882" s="18" t="inlineStr">
        <is>
          <t>Zhong Thong</t>
        </is>
      </c>
      <c r="FJ2882" s="18" t="inlineStr">
        <is>
          <t>Lck6122evg</t>
        </is>
      </c>
      <c r="FK2882" s="18" t="n">
        <v>2026</v>
      </c>
      <c r="FL2882" s="18" t="inlineStr">
        <is>
          <t>B</t>
        </is>
      </c>
      <c r="FM2882" s="18" t="inlineStr">
        <is>
          <t>Las Acacias</t>
        </is>
      </c>
      <c r="FP2882" t="inlineStr">
        <is>
          <t>B</t>
        </is>
      </c>
    </row>
    <row r="2883">
      <c r="FC2883" t="inlineStr">
        <is>
          <t>Diccionario 3</t>
        </is>
      </c>
      <c r="FD2883" s="17" t="inlineStr">
        <is>
          <t>VLTB85</t>
        </is>
      </c>
      <c r="FE2883" s="17" t="inlineStr">
        <is>
          <t>LDYECS316S0045787</t>
        </is>
      </c>
      <c r="FF2883" s="18" t="inlineStr">
        <is>
          <t>MDN35025030176</t>
        </is>
      </c>
      <c r="FG2883" s="18" t="inlineStr">
        <is>
          <t>Zhong Thong</t>
        </is>
      </c>
      <c r="FH2883" s="18" t="inlineStr">
        <is>
          <t>Lck6122evg</t>
        </is>
      </c>
      <c r="FI2883" s="18" t="inlineStr">
        <is>
          <t>Zhong Thong</t>
        </is>
      </c>
      <c r="FJ2883" s="18" t="inlineStr">
        <is>
          <t>Lck6122evg</t>
        </is>
      </c>
      <c r="FK2883" s="18" t="n">
        <v>2026</v>
      </c>
      <c r="FL2883" s="18" t="inlineStr">
        <is>
          <t>B</t>
        </is>
      </c>
      <c r="FM2883" s="18" t="inlineStr">
        <is>
          <t>Las Acacias</t>
        </is>
      </c>
      <c r="FP2883" t="inlineStr">
        <is>
          <t>B</t>
        </is>
      </c>
    </row>
    <row r="2884">
      <c r="FC2884" t="inlineStr">
        <is>
          <t>Diccionario 3</t>
        </is>
      </c>
      <c r="FD2884" s="17" t="inlineStr">
        <is>
          <t>VLTB93</t>
        </is>
      </c>
      <c r="FE2884" s="17" t="inlineStr">
        <is>
          <t>LDYECS313S0045780</t>
        </is>
      </c>
      <c r="FF2884" s="18" t="inlineStr">
        <is>
          <t>MDN35025030190</t>
        </is>
      </c>
      <c r="FG2884" s="18" t="inlineStr">
        <is>
          <t>Zhong Thong</t>
        </is>
      </c>
      <c r="FH2884" s="18" t="inlineStr">
        <is>
          <t>Lck6122evg</t>
        </is>
      </c>
      <c r="FI2884" s="18" t="inlineStr">
        <is>
          <t>Zhong Thong</t>
        </is>
      </c>
      <c r="FJ2884" s="18" t="inlineStr">
        <is>
          <t>Lck6122evg</t>
        </is>
      </c>
      <c r="FK2884" s="18" t="n">
        <v>2026</v>
      </c>
      <c r="FL2884" s="18" t="inlineStr">
        <is>
          <t>B</t>
        </is>
      </c>
      <c r="FM2884" s="18" t="inlineStr">
        <is>
          <t>Las Acacias</t>
        </is>
      </c>
      <c r="FP2884" t="inlineStr">
        <is>
          <t>B</t>
        </is>
      </c>
    </row>
    <row r="2885">
      <c r="FC2885" t="inlineStr">
        <is>
          <t>Diccionario 3</t>
        </is>
      </c>
      <c r="FD2885" s="17" t="inlineStr">
        <is>
          <t>VLTB94</t>
        </is>
      </c>
      <c r="FE2885" s="17" t="inlineStr">
        <is>
          <t>LDYECS311S0045776</t>
        </is>
      </c>
      <c r="FF2885" s="18" t="inlineStr">
        <is>
          <t>MDN35025030167</t>
        </is>
      </c>
      <c r="FG2885" s="18" t="inlineStr">
        <is>
          <t>Zhong Thong</t>
        </is>
      </c>
      <c r="FH2885" s="18" t="inlineStr">
        <is>
          <t>Lck6122evg</t>
        </is>
      </c>
      <c r="FI2885" s="18" t="inlineStr">
        <is>
          <t>Zhong Thong</t>
        </is>
      </c>
      <c r="FJ2885" s="18" t="inlineStr">
        <is>
          <t>Lck6122evg</t>
        </is>
      </c>
      <c r="FK2885" s="18" t="n">
        <v>2026</v>
      </c>
      <c r="FL2885" s="18" t="inlineStr">
        <is>
          <t>B</t>
        </is>
      </c>
      <c r="FM2885" s="18" t="inlineStr">
        <is>
          <t>Las Acacias</t>
        </is>
      </c>
      <c r="FP2885" t="inlineStr">
        <is>
          <t>B</t>
        </is>
      </c>
    </row>
    <row r="2886">
      <c r="FC2886" t="inlineStr">
        <is>
          <t>Diccionario 3</t>
        </is>
      </c>
      <c r="FD2886" s="17" t="inlineStr">
        <is>
          <t>VLTC16</t>
        </is>
      </c>
      <c r="FE2886" s="17" t="inlineStr">
        <is>
          <t>LDYECS317S0045782</t>
        </is>
      </c>
      <c r="FF2886" s="18" t="inlineStr">
        <is>
          <t>MDN35025030212</t>
        </is>
      </c>
      <c r="FG2886" s="18" t="inlineStr">
        <is>
          <t>Zhong Thong</t>
        </is>
      </c>
      <c r="FH2886" s="18" t="inlineStr">
        <is>
          <t>Lck6122evg</t>
        </is>
      </c>
      <c r="FI2886" s="18" t="inlineStr">
        <is>
          <t>Zhong Thong</t>
        </is>
      </c>
      <c r="FJ2886" s="18" t="inlineStr">
        <is>
          <t>Lck6122evg</t>
        </is>
      </c>
      <c r="FK2886" s="18" t="n">
        <v>2026</v>
      </c>
      <c r="FL2886" s="18" t="inlineStr">
        <is>
          <t>B</t>
        </is>
      </c>
      <c r="FM2886" s="18" t="inlineStr">
        <is>
          <t>Las Acacias</t>
        </is>
      </c>
      <c r="FP2886" t="inlineStr">
        <is>
          <t>B</t>
        </is>
      </c>
    </row>
    <row r="2887">
      <c r="FC2887" t="inlineStr">
        <is>
          <t>Diccionario 3</t>
        </is>
      </c>
      <c r="FD2887" s="17" t="inlineStr">
        <is>
          <t>VLTC17</t>
        </is>
      </c>
      <c r="FE2887" s="17" t="inlineStr">
        <is>
          <t>LDYECS316S0045885</t>
        </is>
      </c>
      <c r="FF2887" s="18" t="inlineStr">
        <is>
          <t>MDN35025030187</t>
        </is>
      </c>
      <c r="FG2887" s="18" t="inlineStr">
        <is>
          <t>Zhong Thong</t>
        </is>
      </c>
      <c r="FH2887" s="18" t="inlineStr">
        <is>
          <t>Lck6122evg</t>
        </is>
      </c>
      <c r="FI2887" s="18" t="inlineStr">
        <is>
          <t>Zhong Thong</t>
        </is>
      </c>
      <c r="FJ2887" s="18" t="inlineStr">
        <is>
          <t>Lck6122evg</t>
        </is>
      </c>
      <c r="FK2887" s="18" t="n">
        <v>2026</v>
      </c>
      <c r="FL2887" s="18" t="inlineStr">
        <is>
          <t>B</t>
        </is>
      </c>
      <c r="FM2887" s="18" t="inlineStr">
        <is>
          <t>Las Acacias</t>
        </is>
      </c>
      <c r="FP2887" t="inlineStr">
        <is>
          <t>B</t>
        </is>
      </c>
    </row>
    <row r="2888">
      <c r="FC2888" t="inlineStr">
        <is>
          <t>Diccionario 3</t>
        </is>
      </c>
      <c r="FD2888" s="17" t="inlineStr">
        <is>
          <t>VLTC21</t>
        </is>
      </c>
      <c r="FE2888" s="17" t="inlineStr">
        <is>
          <t>LDYECS311S0045745</t>
        </is>
      </c>
      <c r="FF2888" s="18" t="inlineStr">
        <is>
          <t>MDN35025030007</t>
        </is>
      </c>
      <c r="FG2888" s="18" t="inlineStr">
        <is>
          <t>Zhong Thong</t>
        </is>
      </c>
      <c r="FH2888" s="18" t="inlineStr">
        <is>
          <t>Lck6122evg</t>
        </is>
      </c>
      <c r="FI2888" s="18" t="inlineStr">
        <is>
          <t>Zhong Thong</t>
        </is>
      </c>
      <c r="FJ2888" s="18" t="inlineStr">
        <is>
          <t>Lck6122evg</t>
        </is>
      </c>
      <c r="FK2888" s="18" t="n">
        <v>2026</v>
      </c>
      <c r="FL2888" s="18" t="inlineStr">
        <is>
          <t>B</t>
        </is>
      </c>
      <c r="FM2888" s="18" t="inlineStr">
        <is>
          <t>Las Acacias</t>
        </is>
      </c>
      <c r="FP2888" t="inlineStr">
        <is>
          <t>B</t>
        </is>
      </c>
    </row>
    <row r="2889">
      <c r="FC2889" t="inlineStr">
        <is>
          <t>Diccionario 3</t>
        </is>
      </c>
      <c r="FD2889" s="17" t="inlineStr">
        <is>
          <t>VLTC23</t>
        </is>
      </c>
      <c r="FE2889" s="17" t="inlineStr">
        <is>
          <t>LDYECS31XS0045789</t>
        </is>
      </c>
      <c r="FF2889" s="18" t="inlineStr">
        <is>
          <t>MDN35025030164</t>
        </is>
      </c>
      <c r="FG2889" s="18" t="inlineStr">
        <is>
          <t>Zhong Thong</t>
        </is>
      </c>
      <c r="FH2889" s="18" t="inlineStr">
        <is>
          <t>Lck6122evg</t>
        </is>
      </c>
      <c r="FI2889" s="18" t="inlineStr">
        <is>
          <t>Zhong Thong</t>
        </is>
      </c>
      <c r="FJ2889" s="18" t="inlineStr">
        <is>
          <t>Lck6122evg</t>
        </is>
      </c>
      <c r="FK2889" s="18" t="n">
        <v>2026</v>
      </c>
      <c r="FL2889" s="18" t="inlineStr">
        <is>
          <t>B</t>
        </is>
      </c>
      <c r="FM2889" s="18" t="inlineStr">
        <is>
          <t>Las Acacias</t>
        </is>
      </c>
      <c r="FP2889" t="inlineStr">
        <is>
          <t>B</t>
        </is>
      </c>
    </row>
    <row r="2890">
      <c r="FC2890" t="inlineStr">
        <is>
          <t>Diccionario 3</t>
        </is>
      </c>
      <c r="FD2890" s="17" t="inlineStr">
        <is>
          <t>VLTC32</t>
        </is>
      </c>
      <c r="FE2890" s="17" t="inlineStr">
        <is>
          <t>LDYECS311S0045888</t>
        </is>
      </c>
      <c r="FF2890" s="18" t="inlineStr">
        <is>
          <t>MDN35025010010</t>
        </is>
      </c>
      <c r="FG2890" s="18" t="inlineStr">
        <is>
          <t>Zhong Thong</t>
        </is>
      </c>
      <c r="FH2890" s="18" t="inlineStr">
        <is>
          <t>Lck6122evg</t>
        </is>
      </c>
      <c r="FI2890" s="18" t="inlineStr">
        <is>
          <t>Zhong Thong</t>
        </is>
      </c>
      <c r="FJ2890" s="18" t="inlineStr">
        <is>
          <t>Lck6122evg</t>
        </is>
      </c>
      <c r="FK2890" s="18" t="n">
        <v>2026</v>
      </c>
      <c r="FL2890" s="18" t="inlineStr">
        <is>
          <t>B</t>
        </is>
      </c>
      <c r="FM2890" s="18" t="inlineStr">
        <is>
          <t>Las Acacias</t>
        </is>
      </c>
      <c r="FP2890" t="inlineStr">
        <is>
          <t>B</t>
        </is>
      </c>
    </row>
    <row r="2891">
      <c r="FC2891" t="inlineStr">
        <is>
          <t>Diccionario 3</t>
        </is>
      </c>
      <c r="FD2891" s="17" t="inlineStr">
        <is>
          <t>VLTC33</t>
        </is>
      </c>
      <c r="FE2891" s="17" t="inlineStr">
        <is>
          <t>LDYECS312S0045883</t>
        </is>
      </c>
      <c r="FF2891" s="18" t="inlineStr">
        <is>
          <t>MDN35025010007</t>
        </is>
      </c>
      <c r="FG2891" s="18" t="inlineStr">
        <is>
          <t>Zhong Thong</t>
        </is>
      </c>
      <c r="FH2891" s="18" t="inlineStr">
        <is>
          <t>Lck6122evg</t>
        </is>
      </c>
      <c r="FI2891" s="18" t="inlineStr">
        <is>
          <t>Zhong Thong</t>
        </is>
      </c>
      <c r="FJ2891" s="18" t="inlineStr">
        <is>
          <t>Lck6122evg</t>
        </is>
      </c>
      <c r="FK2891" s="18" t="n">
        <v>2026</v>
      </c>
      <c r="FL2891" s="18" t="inlineStr">
        <is>
          <t>B</t>
        </is>
      </c>
      <c r="FM2891" s="18" t="inlineStr">
        <is>
          <t>Las Acacias</t>
        </is>
      </c>
      <c r="FP2891" t="inlineStr">
        <is>
          <t>B</t>
        </is>
      </c>
    </row>
    <row r="2892">
      <c r="FC2892" t="inlineStr">
        <is>
          <t>Diccionario 3</t>
        </is>
      </c>
      <c r="FD2892" s="17" t="inlineStr">
        <is>
          <t>VLTC34</t>
        </is>
      </c>
      <c r="FE2892" s="17" t="inlineStr">
        <is>
          <t>LDYECS315S0045876</t>
        </is>
      </c>
      <c r="FF2892" s="18" t="inlineStr">
        <is>
          <t>MDN35025030057</t>
        </is>
      </c>
      <c r="FG2892" s="18" t="inlineStr">
        <is>
          <t>Zhong Thong</t>
        </is>
      </c>
      <c r="FH2892" s="18" t="inlineStr">
        <is>
          <t>Lck6122evg</t>
        </is>
      </c>
      <c r="FI2892" s="18" t="inlineStr">
        <is>
          <t>Zhong Thong</t>
        </is>
      </c>
      <c r="FJ2892" s="18" t="inlineStr">
        <is>
          <t>Lck6122evg</t>
        </is>
      </c>
      <c r="FK2892" s="18" t="n">
        <v>2026</v>
      </c>
      <c r="FL2892" s="18" t="inlineStr">
        <is>
          <t>B</t>
        </is>
      </c>
      <c r="FM2892" s="18" t="inlineStr">
        <is>
          <t>Las Acacias</t>
        </is>
      </c>
      <c r="FP2892" t="inlineStr">
        <is>
          <t>B</t>
        </is>
      </c>
    </row>
    <row r="2893">
      <c r="FC2893" t="inlineStr">
        <is>
          <t>Diccionario 3</t>
        </is>
      </c>
      <c r="FD2893" s="17" t="inlineStr">
        <is>
          <t>VLTC35</t>
        </is>
      </c>
      <c r="FE2893" s="17" t="inlineStr">
        <is>
          <t>LDYECS319S0045881</t>
        </is>
      </c>
      <c r="FF2893" s="18" t="inlineStr">
        <is>
          <t>MDN35025030161</t>
        </is>
      </c>
      <c r="FG2893" s="18" t="inlineStr">
        <is>
          <t>Zhong Thong</t>
        </is>
      </c>
      <c r="FH2893" s="18" t="inlineStr">
        <is>
          <t>Lck6122evg</t>
        </is>
      </c>
      <c r="FI2893" s="18" t="inlineStr">
        <is>
          <t>Zhong Thong</t>
        </is>
      </c>
      <c r="FJ2893" s="18" t="inlineStr">
        <is>
          <t>Lck6122evg</t>
        </is>
      </c>
      <c r="FK2893" s="18" t="n">
        <v>2026</v>
      </c>
      <c r="FL2893" s="18" t="inlineStr">
        <is>
          <t>B</t>
        </is>
      </c>
      <c r="FM2893" s="18" t="inlineStr">
        <is>
          <t>Las Acacias</t>
        </is>
      </c>
      <c r="FP2893" t="inlineStr">
        <is>
          <t>B</t>
        </is>
      </c>
    </row>
    <row r="2894">
      <c r="FC2894" t="inlineStr">
        <is>
          <t>Diccionario 3</t>
        </is>
      </c>
      <c r="FD2894" s="17" t="inlineStr">
        <is>
          <t>VLTC36</t>
        </is>
      </c>
      <c r="FE2894" s="17" t="inlineStr">
        <is>
          <t>LDYECS318S0045788</t>
        </is>
      </c>
      <c r="FF2894" s="18" t="inlineStr">
        <is>
          <t>MDN35025030139</t>
        </is>
      </c>
      <c r="FG2894" s="18" t="inlineStr">
        <is>
          <t>Zhong Thong</t>
        </is>
      </c>
      <c r="FH2894" s="18" t="inlineStr">
        <is>
          <t>Lck6122evg</t>
        </is>
      </c>
      <c r="FI2894" s="18" t="inlineStr">
        <is>
          <t>Zhong Thong</t>
        </is>
      </c>
      <c r="FJ2894" s="18" t="inlineStr">
        <is>
          <t>Lck6122evg</t>
        </is>
      </c>
      <c r="FK2894" s="18" t="n">
        <v>2026</v>
      </c>
      <c r="FL2894" s="18" t="inlineStr">
        <is>
          <t>B</t>
        </is>
      </c>
      <c r="FM2894" s="18" t="inlineStr">
        <is>
          <t>Las Acacias</t>
        </is>
      </c>
      <c r="FP2894" t="inlineStr">
        <is>
          <t>B</t>
        </is>
      </c>
    </row>
    <row r="2895">
      <c r="FC2895" t="inlineStr">
        <is>
          <t>Diccionario 3</t>
        </is>
      </c>
      <c r="FD2895" s="17" t="inlineStr">
        <is>
          <t>VLTC37</t>
        </is>
      </c>
      <c r="FE2895" s="17" t="inlineStr">
        <is>
          <t>LDYECS317S0045877</t>
        </is>
      </c>
      <c r="FF2895" s="18" t="inlineStr">
        <is>
          <t>MDN35025030162</t>
        </is>
      </c>
      <c r="FG2895" s="18" t="inlineStr">
        <is>
          <t>Zhong Thong</t>
        </is>
      </c>
      <c r="FH2895" s="18" t="inlineStr">
        <is>
          <t>Lck6122evg</t>
        </is>
      </c>
      <c r="FI2895" s="18" t="inlineStr">
        <is>
          <t>Zhong Thong</t>
        </is>
      </c>
      <c r="FJ2895" s="18" t="inlineStr">
        <is>
          <t>Lck6122evg</t>
        </is>
      </c>
      <c r="FK2895" s="18" t="n">
        <v>2026</v>
      </c>
      <c r="FL2895" s="18" t="inlineStr">
        <is>
          <t>B</t>
        </is>
      </c>
      <c r="FM2895" s="18" t="inlineStr">
        <is>
          <t>Las Acacias</t>
        </is>
      </c>
      <c r="FP2895" t="inlineStr">
        <is>
          <t>B</t>
        </is>
      </c>
    </row>
    <row r="2896">
      <c r="FC2896" t="inlineStr">
        <is>
          <t>Diccionario 3</t>
        </is>
      </c>
      <c r="FD2896" s="17" t="inlineStr">
        <is>
          <t>VLTC43</t>
        </is>
      </c>
      <c r="FE2896" s="17" t="inlineStr">
        <is>
          <t>LDYECS313S0045875</t>
        </is>
      </c>
      <c r="FF2896" s="18" t="inlineStr">
        <is>
          <t>MDN35025030129</t>
        </is>
      </c>
      <c r="FG2896" s="18" t="inlineStr">
        <is>
          <t>Zhong Thong</t>
        </is>
      </c>
      <c r="FH2896" s="18" t="inlineStr">
        <is>
          <t>Lck6122evg</t>
        </is>
      </c>
      <c r="FI2896" s="18" t="inlineStr">
        <is>
          <t>Zhong Thong</t>
        </is>
      </c>
      <c r="FJ2896" s="18" t="inlineStr">
        <is>
          <t>Lck6122evg</t>
        </is>
      </c>
      <c r="FK2896" s="18" t="n">
        <v>2026</v>
      </c>
      <c r="FL2896" s="18" t="inlineStr">
        <is>
          <t>B</t>
        </is>
      </c>
      <c r="FM2896" s="18" t="inlineStr">
        <is>
          <t>Las Acacias</t>
        </is>
      </c>
      <c r="FP2896" t="inlineStr">
        <is>
          <t>B</t>
        </is>
      </c>
    </row>
    <row r="2897">
      <c r="FC2897" t="inlineStr">
        <is>
          <t>Diccionario 3</t>
        </is>
      </c>
      <c r="FD2897" s="17" t="inlineStr">
        <is>
          <t>VLTC44</t>
        </is>
      </c>
      <c r="FE2897" s="17" t="inlineStr">
        <is>
          <t>LDYECS314S0045884</t>
        </is>
      </c>
      <c r="FF2897" s="18" t="inlineStr">
        <is>
          <t>MDN35025030150</t>
        </is>
      </c>
      <c r="FG2897" s="18" t="inlineStr">
        <is>
          <t>Zhong Thong</t>
        </is>
      </c>
      <c r="FH2897" s="18" t="inlineStr">
        <is>
          <t>Lck6122evg</t>
        </is>
      </c>
      <c r="FI2897" s="18" t="inlineStr">
        <is>
          <t>Zhong Thong</t>
        </is>
      </c>
      <c r="FJ2897" s="18" t="inlineStr">
        <is>
          <t>Lck6122evg</t>
        </is>
      </c>
      <c r="FK2897" s="18" t="n">
        <v>2026</v>
      </c>
      <c r="FL2897" s="18" t="inlineStr">
        <is>
          <t>B</t>
        </is>
      </c>
      <c r="FM2897" s="18" t="inlineStr">
        <is>
          <t>Las Acacias</t>
        </is>
      </c>
      <c r="FP2897" t="inlineStr">
        <is>
          <t>B</t>
        </is>
      </c>
    </row>
    <row r="2898">
      <c r="FC2898" t="inlineStr">
        <is>
          <t>Diccionario 3</t>
        </is>
      </c>
      <c r="FD2898" s="17" t="inlineStr">
        <is>
          <t>VLTC45</t>
        </is>
      </c>
      <c r="FE2898" s="17" t="inlineStr">
        <is>
          <t>LDYECS310S0045879</t>
        </is>
      </c>
      <c r="FF2898" s="18" t="inlineStr">
        <is>
          <t>MDN35025030061</t>
        </is>
      </c>
      <c r="FG2898" s="18" t="inlineStr">
        <is>
          <t>Zhong Thong</t>
        </is>
      </c>
      <c r="FH2898" s="18" t="inlineStr">
        <is>
          <t>Lck6122evg</t>
        </is>
      </c>
      <c r="FI2898" s="18" t="inlineStr">
        <is>
          <t>Zhong Thong</t>
        </is>
      </c>
      <c r="FJ2898" s="18" t="inlineStr">
        <is>
          <t>Lck6122evg</t>
        </is>
      </c>
      <c r="FK2898" s="18" t="n">
        <v>2026</v>
      </c>
      <c r="FL2898" s="18" t="inlineStr">
        <is>
          <t>B</t>
        </is>
      </c>
      <c r="FM2898" s="18" t="inlineStr">
        <is>
          <t>Las Acacias</t>
        </is>
      </c>
      <c r="FP2898" t="inlineStr">
        <is>
          <t>B</t>
        </is>
      </c>
    </row>
    <row r="2899">
      <c r="FC2899" t="inlineStr">
        <is>
          <t>Diccionario 3</t>
        </is>
      </c>
      <c r="FD2899" s="17" t="inlineStr">
        <is>
          <t>VLTC53</t>
        </is>
      </c>
      <c r="FE2899" s="17" t="inlineStr">
        <is>
          <t>LDYECS317S0045880</t>
        </is>
      </c>
      <c r="FF2899" s="18" t="inlineStr">
        <is>
          <t>MDN35025030304</t>
        </is>
      </c>
      <c r="FG2899" s="18" t="inlineStr">
        <is>
          <t>Zhong Thong</t>
        </is>
      </c>
      <c r="FH2899" s="18" t="inlineStr">
        <is>
          <t>Lck6122evg</t>
        </is>
      </c>
      <c r="FI2899" s="18" t="inlineStr">
        <is>
          <t>Zhong Thong</t>
        </is>
      </c>
      <c r="FJ2899" s="18" t="inlineStr">
        <is>
          <t>Lck6122evg</t>
        </is>
      </c>
      <c r="FK2899" s="18" t="n">
        <v>2026</v>
      </c>
      <c r="FL2899" s="18" t="inlineStr">
        <is>
          <t>B</t>
        </is>
      </c>
      <c r="FM2899" s="18" t="inlineStr">
        <is>
          <t>Las Acacias</t>
        </is>
      </c>
      <c r="FP2899" t="inlineStr">
        <is>
          <t>B</t>
        </is>
      </c>
    </row>
    <row r="2900">
      <c r="FC2900" t="inlineStr">
        <is>
          <t>Diccionario 3</t>
        </is>
      </c>
      <c r="FD2900" s="17" t="inlineStr">
        <is>
          <t>VLTC62</t>
        </is>
      </c>
      <c r="FE2900" s="17" t="inlineStr">
        <is>
          <t>LDYECS319S0045878</t>
        </is>
      </c>
      <c r="FF2900" s="18" t="inlineStr">
        <is>
          <t>MDN35025030083</t>
        </is>
      </c>
      <c r="FG2900" s="18" t="inlineStr">
        <is>
          <t>Zhong Thong</t>
        </is>
      </c>
      <c r="FH2900" s="18" t="inlineStr">
        <is>
          <t>Lck6122evg</t>
        </is>
      </c>
      <c r="FI2900" s="18" t="inlineStr">
        <is>
          <t>Zhong Thong</t>
        </is>
      </c>
      <c r="FJ2900" s="18" t="inlineStr">
        <is>
          <t>Lck6122evg</t>
        </is>
      </c>
      <c r="FK2900" s="18" t="n">
        <v>2026</v>
      </c>
      <c r="FL2900" s="18" t="inlineStr">
        <is>
          <t>B</t>
        </is>
      </c>
      <c r="FM2900" s="18" t="inlineStr">
        <is>
          <t>Las Acacias</t>
        </is>
      </c>
      <c r="FP2900" t="inlineStr">
        <is>
          <t>B</t>
        </is>
      </c>
    </row>
    <row r="2901">
      <c r="FC2901" t="inlineStr">
        <is>
          <t>Diccionario 3</t>
        </is>
      </c>
      <c r="FD2901" s="17" t="inlineStr">
        <is>
          <t>VLTC92</t>
        </is>
      </c>
      <c r="FE2901" s="17" t="inlineStr">
        <is>
          <t>LDYECS310S0045882</t>
        </is>
      </c>
      <c r="FF2901" s="18" t="inlineStr">
        <is>
          <t>MDN35025030289</t>
        </is>
      </c>
      <c r="FG2901" s="18" t="inlineStr">
        <is>
          <t>Zhong Thong</t>
        </is>
      </c>
      <c r="FH2901" s="18" t="inlineStr">
        <is>
          <t>Lck6122evg</t>
        </is>
      </c>
      <c r="FI2901" s="18" t="inlineStr">
        <is>
          <t>Zhong Thong</t>
        </is>
      </c>
      <c r="FJ2901" s="18" t="inlineStr">
        <is>
          <t>Lck6122evg</t>
        </is>
      </c>
      <c r="FK2901" s="18" t="n">
        <v>2026</v>
      </c>
      <c r="FL2901" s="18" t="inlineStr">
        <is>
          <t>B</t>
        </is>
      </c>
      <c r="FM2901" s="18" t="inlineStr">
        <is>
          <t>Las Acacias</t>
        </is>
      </c>
      <c r="FP2901" t="inlineStr">
        <is>
          <t>B</t>
        </is>
      </c>
    </row>
    <row r="2902">
      <c r="FC2902" t="inlineStr">
        <is>
          <t>Diccionario 3</t>
        </is>
      </c>
      <c r="FD2902" s="17" t="inlineStr">
        <is>
          <t>VPBC75</t>
        </is>
      </c>
      <c r="FE2902" s="17" t="inlineStr">
        <is>
          <t>LDYECS316S0045899</t>
        </is>
      </c>
      <c r="FF2902" s="18" t="inlineStr">
        <is>
          <t>MDN35025030166</t>
        </is>
      </c>
      <c r="FG2902" s="18" t="inlineStr">
        <is>
          <t>Zhong Thong</t>
        </is>
      </c>
      <c r="FH2902" s="18" t="inlineStr">
        <is>
          <t>Lck6122evg</t>
        </is>
      </c>
      <c r="FI2902" s="18" t="inlineStr">
        <is>
          <t>Zhong Thong</t>
        </is>
      </c>
      <c r="FJ2902" s="18" t="inlineStr">
        <is>
          <t>Lck6122evg</t>
        </is>
      </c>
      <c r="FK2902" s="18" t="n">
        <v>2026</v>
      </c>
      <c r="FL2902" s="18" t="inlineStr">
        <is>
          <t>B</t>
        </is>
      </c>
      <c r="FM2902" s="18" t="inlineStr">
        <is>
          <t>Las Acacias</t>
        </is>
      </c>
      <c r="FP2902" t="inlineStr">
        <is>
          <t>B</t>
        </is>
      </c>
    </row>
    <row r="2903">
      <c r="FC2903" t="inlineStr">
        <is>
          <t>Diccionario 3</t>
        </is>
      </c>
      <c r="FD2903" s="17" t="inlineStr">
        <is>
          <t>VPBD15</t>
        </is>
      </c>
      <c r="FE2903" s="17" t="inlineStr">
        <is>
          <t>LDYECS311S0045891</t>
        </is>
      </c>
      <c r="FF2903" s="18" t="inlineStr">
        <is>
          <t>MDN35025030095</t>
        </is>
      </c>
      <c r="FG2903" s="18" t="inlineStr">
        <is>
          <t>Zhong Thong</t>
        </is>
      </c>
      <c r="FH2903" s="18" t="inlineStr">
        <is>
          <t>Lck6122evg</t>
        </is>
      </c>
      <c r="FI2903" s="18" t="inlineStr">
        <is>
          <t>Zhong Thong</t>
        </is>
      </c>
      <c r="FJ2903" s="18" t="inlineStr">
        <is>
          <t>Lck6122evg</t>
        </is>
      </c>
      <c r="FK2903" s="18" t="n">
        <v>2026</v>
      </c>
      <c r="FL2903" s="18" t="inlineStr">
        <is>
          <t>B</t>
        </is>
      </c>
      <c r="FM2903" s="18" t="inlineStr">
        <is>
          <t>Las Acacias</t>
        </is>
      </c>
      <c r="FP2903" t="inlineStr">
        <is>
          <t>B</t>
        </is>
      </c>
    </row>
    <row r="2904">
      <c r="FC2904" t="inlineStr">
        <is>
          <t>Diccionario 3</t>
        </is>
      </c>
      <c r="FD2904" s="17" t="inlineStr">
        <is>
          <t>VPBD25</t>
        </is>
      </c>
      <c r="FE2904" s="17" t="inlineStr">
        <is>
          <t>LDYECS312S0045897</t>
        </is>
      </c>
      <c r="FF2904" s="18" t="inlineStr">
        <is>
          <t>MDN35025030274</t>
        </is>
      </c>
      <c r="FG2904" s="18" t="inlineStr">
        <is>
          <t>Zhong Thong</t>
        </is>
      </c>
      <c r="FH2904" s="18" t="inlineStr">
        <is>
          <t>Lck6122evg</t>
        </is>
      </c>
      <c r="FI2904" s="18" t="inlineStr">
        <is>
          <t>Zhong Thong</t>
        </is>
      </c>
      <c r="FJ2904" s="18" t="inlineStr">
        <is>
          <t>Lck6122evg</t>
        </is>
      </c>
      <c r="FK2904" s="18" t="n">
        <v>2026</v>
      </c>
      <c r="FL2904" s="18" t="inlineStr">
        <is>
          <t>B</t>
        </is>
      </c>
      <c r="FM2904" s="18" t="inlineStr">
        <is>
          <t>Las Acacias</t>
        </is>
      </c>
      <c r="FP2904" t="inlineStr">
        <is>
          <t>B</t>
        </is>
      </c>
    </row>
    <row r="2905">
      <c r="FC2905" t="inlineStr">
        <is>
          <t>Diccionario 3</t>
        </is>
      </c>
      <c r="FD2905" s="17" t="inlineStr">
        <is>
          <t>VPBD64</t>
        </is>
      </c>
      <c r="FE2905" s="17" t="inlineStr">
        <is>
          <t>LDYECS313S0045892</t>
        </is>
      </c>
      <c r="FF2905" s="18" t="inlineStr">
        <is>
          <t>MDN35025010003</t>
        </is>
      </c>
      <c r="FG2905" s="18" t="inlineStr">
        <is>
          <t>Zhong Thong</t>
        </is>
      </c>
      <c r="FH2905" s="18" t="inlineStr">
        <is>
          <t>Lck6122evg</t>
        </is>
      </c>
      <c r="FI2905" s="18" t="inlineStr">
        <is>
          <t>Zhong Thong</t>
        </is>
      </c>
      <c r="FJ2905" s="18" t="inlineStr">
        <is>
          <t>Lck6122evg</t>
        </is>
      </c>
      <c r="FK2905" s="18" t="n">
        <v>2026</v>
      </c>
      <c r="FL2905" s="18" t="inlineStr">
        <is>
          <t>B</t>
        </is>
      </c>
      <c r="FM2905" s="18" t="inlineStr">
        <is>
          <t>Las Acacias</t>
        </is>
      </c>
      <c r="FP2905" t="inlineStr">
        <is>
          <t>B</t>
        </is>
      </c>
    </row>
    <row r="2906">
      <c r="FC2906" t="inlineStr">
        <is>
          <t>Diccionario 3</t>
        </is>
      </c>
      <c r="FD2906" s="17" t="inlineStr">
        <is>
          <t>VPBD84</t>
        </is>
      </c>
      <c r="FE2906" s="17" t="inlineStr">
        <is>
          <t>LDYECS319S0045900</t>
        </is>
      </c>
      <c r="FF2906" s="18" t="inlineStr">
        <is>
          <t>MDN35025030309</t>
        </is>
      </c>
      <c r="FG2906" s="18" t="inlineStr">
        <is>
          <t>Zhong Thong</t>
        </is>
      </c>
      <c r="FH2906" s="18" t="inlineStr">
        <is>
          <t>Lck6122evg</t>
        </is>
      </c>
      <c r="FI2906" s="18" t="inlineStr">
        <is>
          <t>Zhong Thong</t>
        </is>
      </c>
      <c r="FJ2906" s="18" t="inlineStr">
        <is>
          <t>Lck6122evg</t>
        </is>
      </c>
      <c r="FK2906" s="18" t="n">
        <v>2026</v>
      </c>
      <c r="FL2906" s="18" t="inlineStr">
        <is>
          <t>B</t>
        </is>
      </c>
      <c r="FM2906" s="18" t="inlineStr">
        <is>
          <t>Las Acacias</t>
        </is>
      </c>
      <c r="FP2906" t="inlineStr">
        <is>
          <t>B</t>
        </is>
      </c>
    </row>
    <row r="2907">
      <c r="FC2907" t="inlineStr">
        <is>
          <t>Diccionario 3</t>
        </is>
      </c>
      <c r="FD2907" s="17" t="inlineStr">
        <is>
          <t>VPBF11</t>
        </is>
      </c>
      <c r="FE2907" s="17" t="inlineStr">
        <is>
          <t>LDYECS310S0045901</t>
        </is>
      </c>
      <c r="FF2907" s="18" t="inlineStr">
        <is>
          <t>MDN35025030140</t>
        </is>
      </c>
      <c r="FG2907" s="18" t="inlineStr">
        <is>
          <t>Zhong Thong</t>
        </is>
      </c>
      <c r="FH2907" s="18" t="inlineStr">
        <is>
          <t>Lck6122evg</t>
        </is>
      </c>
      <c r="FI2907" s="18" t="inlineStr">
        <is>
          <t>Zhong Thong</t>
        </is>
      </c>
      <c r="FJ2907" s="18" t="inlineStr">
        <is>
          <t>Lck6122evg</t>
        </is>
      </c>
      <c r="FK2907" s="18" t="n">
        <v>2026</v>
      </c>
      <c r="FL2907" s="18" t="inlineStr">
        <is>
          <t>B</t>
        </is>
      </c>
      <c r="FM2907" s="18" t="inlineStr">
        <is>
          <t>Las Acacias</t>
        </is>
      </c>
      <c r="FP2907" t="inlineStr">
        <is>
          <t>B</t>
        </is>
      </c>
    </row>
    <row r="2908">
      <c r="FC2908" t="inlineStr">
        <is>
          <t>Diccionario 3</t>
        </is>
      </c>
      <c r="FD2908" s="17" t="inlineStr">
        <is>
          <t>VPBF13</t>
        </is>
      </c>
      <c r="FE2908" s="17" t="inlineStr">
        <is>
          <t>LDYECS317S0045894</t>
        </is>
      </c>
      <c r="FF2908" s="18" t="inlineStr">
        <is>
          <t>MDN35025010015</t>
        </is>
      </c>
      <c r="FG2908" s="18" t="inlineStr">
        <is>
          <t>Zhong Thong</t>
        </is>
      </c>
      <c r="FH2908" s="18" t="inlineStr">
        <is>
          <t>Lck6122evg</t>
        </is>
      </c>
      <c r="FI2908" s="18" t="inlineStr">
        <is>
          <t>Zhong Thong</t>
        </is>
      </c>
      <c r="FJ2908" s="18" t="inlineStr">
        <is>
          <t>Lck6122evg</t>
        </is>
      </c>
      <c r="FK2908" s="18" t="n">
        <v>2026</v>
      </c>
      <c r="FL2908" s="18" t="inlineStr">
        <is>
          <t>B</t>
        </is>
      </c>
      <c r="FM2908" s="18" t="inlineStr">
        <is>
          <t>Las Acacias</t>
        </is>
      </c>
      <c r="FP2908" t="inlineStr">
        <is>
          <t>B</t>
        </is>
      </c>
    </row>
    <row r="2909">
      <c r="FC2909" t="inlineStr">
        <is>
          <t>Diccionario 3</t>
        </is>
      </c>
      <c r="FD2909" s="17" t="inlineStr">
        <is>
          <t>VPBF14</t>
        </is>
      </c>
      <c r="FE2909" s="17" t="inlineStr">
        <is>
          <t>LDYECS310S0045896</t>
        </is>
      </c>
      <c r="FF2909" s="18" t="inlineStr">
        <is>
          <t>MDN35025030169</t>
        </is>
      </c>
      <c r="FG2909" s="18" t="inlineStr">
        <is>
          <t>Zhong Thong</t>
        </is>
      </c>
      <c r="FH2909" s="18" t="inlineStr">
        <is>
          <t>Lck6122evg</t>
        </is>
      </c>
      <c r="FI2909" s="18" t="inlineStr">
        <is>
          <t>Zhong Thong</t>
        </is>
      </c>
      <c r="FJ2909" s="18" t="inlineStr">
        <is>
          <t>Lck6122evg</t>
        </is>
      </c>
      <c r="FK2909" s="18" t="n">
        <v>2026</v>
      </c>
      <c r="FL2909" s="18" t="inlineStr">
        <is>
          <t>B</t>
        </is>
      </c>
      <c r="FM2909" s="18" t="inlineStr">
        <is>
          <t>Las Acacias</t>
        </is>
      </c>
      <c r="FP2909" t="inlineStr">
        <is>
          <t>B</t>
        </is>
      </c>
    </row>
    <row r="2910">
      <c r="FC2910" t="inlineStr">
        <is>
          <t>Diccionario 3</t>
        </is>
      </c>
      <c r="FD2910" s="17" t="inlineStr">
        <is>
          <t>VPBF41</t>
        </is>
      </c>
      <c r="FE2910" s="17" t="inlineStr">
        <is>
          <t>LDYECS319S0045895</t>
        </is>
      </c>
      <c r="FF2910" s="18" t="inlineStr">
        <is>
          <t>MDN35025030282</t>
        </is>
      </c>
      <c r="FG2910" s="18" t="inlineStr">
        <is>
          <t>Zhong Thong</t>
        </is>
      </c>
      <c r="FH2910" s="18" t="inlineStr">
        <is>
          <t>Lck6122evg</t>
        </is>
      </c>
      <c r="FI2910" s="18" t="inlineStr">
        <is>
          <t>Zhong Thong</t>
        </is>
      </c>
      <c r="FJ2910" s="18" t="inlineStr">
        <is>
          <t>Lck6122evg</t>
        </is>
      </c>
      <c r="FK2910" s="18" t="n">
        <v>2026</v>
      </c>
      <c r="FL2910" s="18" t="inlineStr">
        <is>
          <t>B</t>
        </is>
      </c>
      <c r="FM2910" s="18" t="inlineStr">
        <is>
          <t>Las Acacias</t>
        </is>
      </c>
      <c r="FP2910" t="inlineStr">
        <is>
          <t>B</t>
        </is>
      </c>
    </row>
    <row r="2911">
      <c r="FC2911" t="inlineStr">
        <is>
          <t>Diccionario 3</t>
        </is>
      </c>
      <c r="FD2911" s="17" t="inlineStr">
        <is>
          <t>VPBF51</t>
        </is>
      </c>
      <c r="FE2911" s="17" t="inlineStr">
        <is>
          <t>LDYECS313S0045889</t>
        </is>
      </c>
      <c r="FF2911" s="18" t="inlineStr">
        <is>
          <t>MDN35025010009</t>
        </is>
      </c>
      <c r="FG2911" s="18" t="inlineStr">
        <is>
          <t>Zhong Thong</t>
        </is>
      </c>
      <c r="FH2911" s="18" t="inlineStr">
        <is>
          <t>Lck6122evg</t>
        </is>
      </c>
      <c r="FI2911" s="18" t="inlineStr">
        <is>
          <t>Zhong Thong</t>
        </is>
      </c>
      <c r="FJ2911" s="18" t="inlineStr">
        <is>
          <t>Lck6122evg</t>
        </is>
      </c>
      <c r="FK2911" s="18" t="n">
        <v>2026</v>
      </c>
      <c r="FL2911" s="18" t="inlineStr">
        <is>
          <t>B</t>
        </is>
      </c>
      <c r="FM2911" s="18" t="inlineStr">
        <is>
          <t>Las Acacias</t>
        </is>
      </c>
      <c r="FP2911" t="inlineStr">
        <is>
          <t>B</t>
        </is>
      </c>
    </row>
    <row r="2912">
      <c r="FC2912" t="inlineStr">
        <is>
          <t>Diccionario 3</t>
        </is>
      </c>
      <c r="FD2912" s="17" t="inlineStr">
        <is>
          <t>VPBF63</t>
        </is>
      </c>
      <c r="FE2912" s="17" t="inlineStr">
        <is>
          <t>LDYECS314S0045898</t>
        </is>
      </c>
      <c r="FF2912" s="18" t="inlineStr">
        <is>
          <t>MDN35025030165</t>
        </is>
      </c>
      <c r="FG2912" s="18" t="inlineStr">
        <is>
          <t>Zhong Thong</t>
        </is>
      </c>
      <c r="FH2912" s="18" t="inlineStr">
        <is>
          <t>Lck6122evg</t>
        </is>
      </c>
      <c r="FI2912" s="18" t="inlineStr">
        <is>
          <t>Zhong Thong</t>
        </is>
      </c>
      <c r="FJ2912" s="18" t="inlineStr">
        <is>
          <t>Lck6122evg</t>
        </is>
      </c>
      <c r="FK2912" s="18" t="n">
        <v>2026</v>
      </c>
      <c r="FL2912" s="18" t="inlineStr">
        <is>
          <t>B</t>
        </is>
      </c>
      <c r="FM2912" s="18" t="inlineStr">
        <is>
          <t>Las Acacias</t>
        </is>
      </c>
      <c r="FP2912" t="inlineStr">
        <is>
          <t>B</t>
        </is>
      </c>
    </row>
    <row r="2913">
      <c r="FC2913" t="inlineStr">
        <is>
          <t>Diccionario 3</t>
        </is>
      </c>
      <c r="FD2913" s="17" t="inlineStr">
        <is>
          <t>VPBF71</t>
        </is>
      </c>
      <c r="FE2913" s="17" t="inlineStr">
        <is>
          <t>LDYECS318S0045886</t>
        </is>
      </c>
      <c r="FF2913" s="18" t="inlineStr">
        <is>
          <t>MDN35025010011</t>
        </is>
      </c>
      <c r="FG2913" s="18" t="inlineStr">
        <is>
          <t>Zhong Thong</t>
        </is>
      </c>
      <c r="FH2913" s="18" t="inlineStr">
        <is>
          <t>Lck6122evg</t>
        </is>
      </c>
      <c r="FI2913" s="18" t="inlineStr">
        <is>
          <t>Zhong Thong</t>
        </is>
      </c>
      <c r="FJ2913" s="18" t="inlineStr">
        <is>
          <t>Lck6122evg</t>
        </is>
      </c>
      <c r="FK2913" s="18" t="n">
        <v>2026</v>
      </c>
      <c r="FL2913" s="18" t="inlineStr">
        <is>
          <t>B</t>
        </is>
      </c>
      <c r="FM2913" s="18" t="inlineStr">
        <is>
          <t>Las Acacias</t>
        </is>
      </c>
      <c r="FP2913" t="inlineStr">
        <is>
          <t>B</t>
        </is>
      </c>
    </row>
    <row r="2914">
      <c r="FC2914" t="inlineStr">
        <is>
          <t>Diccionario 3</t>
        </is>
      </c>
      <c r="FD2914" s="17" t="inlineStr">
        <is>
          <t>VPBF93</t>
        </is>
      </c>
      <c r="FE2914" s="17" t="inlineStr">
        <is>
          <t>LDYECS310S0040231</t>
        </is>
      </c>
      <c r="FF2914" s="18" t="inlineStr">
        <is>
          <t>MDN35024090002</t>
        </is>
      </c>
      <c r="FG2914" s="18" t="inlineStr">
        <is>
          <t>Zhong Thong</t>
        </is>
      </c>
      <c r="FH2914" s="18" t="inlineStr">
        <is>
          <t>Lck6122evg</t>
        </is>
      </c>
      <c r="FI2914" s="18" t="inlineStr">
        <is>
          <t>Zhong Thong</t>
        </is>
      </c>
      <c r="FJ2914" s="18" t="inlineStr">
        <is>
          <t>Lck6122evg</t>
        </is>
      </c>
      <c r="FK2914" s="18" t="n">
        <v>2026</v>
      </c>
      <c r="FL2914" s="18" t="inlineStr">
        <is>
          <t>B</t>
        </is>
      </c>
      <c r="FM2914" s="18" t="inlineStr">
        <is>
          <t>Las Acacias</t>
        </is>
      </c>
      <c r="FP2914" t="inlineStr">
        <is>
          <t>B</t>
        </is>
      </c>
    </row>
    <row r="2915">
      <c r="FC2915" t="inlineStr">
        <is>
          <t>Diccionario 3</t>
        </is>
      </c>
      <c r="FD2915" s="17" t="inlineStr">
        <is>
          <t>VPBG88</t>
        </is>
      </c>
      <c r="FE2915" s="17" t="inlineStr">
        <is>
          <t>LDYECS315S0045893</t>
        </is>
      </c>
      <c r="FF2915" s="18" t="inlineStr">
        <is>
          <t>MDN35025010002</t>
        </is>
      </c>
      <c r="FG2915" s="18" t="inlineStr">
        <is>
          <t>Zhong Thong</t>
        </is>
      </c>
      <c r="FH2915" s="18" t="inlineStr">
        <is>
          <t>Lck6122evg</t>
        </is>
      </c>
      <c r="FI2915" s="18" t="inlineStr">
        <is>
          <t>Zhong Thong</t>
        </is>
      </c>
      <c r="FJ2915" s="18" t="inlineStr">
        <is>
          <t>Lck6122evg</t>
        </is>
      </c>
      <c r="FK2915" s="18" t="n">
        <v>2026</v>
      </c>
      <c r="FL2915" s="18" t="inlineStr">
        <is>
          <t>B</t>
        </is>
      </c>
      <c r="FM2915" s="18" t="inlineStr">
        <is>
          <t>Las Acacias</t>
        </is>
      </c>
      <c r="FP2915" t="inlineStr">
        <is>
          <t>B</t>
        </is>
      </c>
    </row>
    <row r="2916">
      <c r="FC2916" t="inlineStr">
        <is>
          <t>Diccionario 3</t>
        </is>
      </c>
      <c r="FD2916" s="17" t="inlineStr">
        <is>
          <t>VPBK91</t>
        </is>
      </c>
      <c r="FE2916" s="17" t="inlineStr">
        <is>
          <t>LDYECS31XS0045890</t>
        </is>
      </c>
      <c r="FF2916" s="18" t="inlineStr">
        <is>
          <t>MDN35025030147</t>
        </is>
      </c>
      <c r="FG2916" s="18" t="inlineStr">
        <is>
          <t>Zhong Thong</t>
        </is>
      </c>
      <c r="FH2916" s="18" t="inlineStr">
        <is>
          <t>Lck6122evg</t>
        </is>
      </c>
      <c r="FI2916" s="18" t="inlineStr">
        <is>
          <t>Zhong Thong</t>
        </is>
      </c>
      <c r="FJ2916" s="18" t="inlineStr">
        <is>
          <t>Lck6122evg</t>
        </is>
      </c>
      <c r="FK2916" s="18" t="n">
        <v>2026</v>
      </c>
      <c r="FL2916" s="18" t="inlineStr">
        <is>
          <t>B</t>
        </is>
      </c>
      <c r="FM2916" s="18" t="inlineStr">
        <is>
          <t>Las Acacias</t>
        </is>
      </c>
      <c r="FP2916" t="inlineStr">
        <is>
          <t>B</t>
        </is>
      </c>
    </row>
    <row r="2917">
      <c r="FC2917" t="inlineStr">
        <is>
          <t>-</t>
        </is>
      </c>
      <c r="FD2917" s="13" t="inlineStr">
        <is>
          <t>Forma</t>
        </is>
      </c>
      <c r="FE2917" s="13" t="inlineStr">
        <is>
          <t>N° Chasis</t>
        </is>
      </c>
      <c r="FF2917" s="13" t="inlineStr">
        <is>
          <t>N Motor</t>
        </is>
      </c>
      <c r="FG2917" s="13" t="inlineStr">
        <is>
          <t>Marca chasis</t>
        </is>
      </c>
      <c r="FH2917" s="13" t="inlineStr">
        <is>
          <t>Modelo Chasis</t>
        </is>
      </c>
      <c r="FI2917" s="13" t="inlineStr">
        <is>
          <t>Marca Carrocería</t>
        </is>
      </c>
      <c r="FJ2917" s="13" t="inlineStr">
        <is>
          <t>Modelo Carrocería</t>
        </is>
      </c>
      <c r="FK2917" s="13" t="inlineStr">
        <is>
          <t>Año</t>
        </is>
      </c>
      <c r="FL2917" s="13" t="inlineStr">
        <is>
          <t>Tipo de Bus</t>
        </is>
      </c>
      <c r="FM2917" s="13" t="inlineStr">
        <is>
          <t>Nombre Terminal Asignado</t>
        </is>
      </c>
      <c r="FN2917" s="13" t="inlineStr">
        <is>
          <t xml:space="preserve">Dirección Terminal </t>
        </is>
      </c>
      <c r="FO2917" s="13" t="inlineStr">
        <is>
          <t xml:space="preserve">Comuna </t>
        </is>
      </c>
    </row>
    <row r="2918">
      <c r="FC2918" t="inlineStr">
        <is>
          <t>Diccionario 4</t>
        </is>
      </c>
      <c r="FD2918" s="15" t="inlineStr">
        <is>
          <t>GCBB-15|</t>
        </is>
      </c>
      <c r="FE2918" s="15" t="inlineStr">
        <is>
          <t>De Baja</t>
        </is>
      </c>
      <c r="FF2918" s="15" t="inlineStr">
        <is>
          <t>De Baja</t>
        </is>
      </c>
      <c r="FG2918" s="15" t="inlineStr">
        <is>
          <t>De Baja</t>
        </is>
      </c>
      <c r="FH2918" s="15" t="inlineStr">
        <is>
          <t>De Baja</t>
        </is>
      </c>
      <c r="FI2918" s="15" t="inlineStr">
        <is>
          <t>De Baja</t>
        </is>
      </c>
      <c r="FJ2918" s="15" t="inlineStr">
        <is>
          <t>De Baja</t>
        </is>
      </c>
      <c r="FK2918" s="15" t="inlineStr">
        <is>
          <t>De Baja</t>
        </is>
      </c>
      <c r="FL2918" s="15" t="inlineStr">
        <is>
          <t>De Baja</t>
        </is>
      </c>
      <c r="FM2918" s="15" t="inlineStr">
        <is>
          <t>De Baja</t>
        </is>
      </c>
      <c r="FN2918" s="15" t="inlineStr">
        <is>
          <t>De Baja</t>
        </is>
      </c>
      <c r="FO2918" s="15" t="inlineStr">
        <is>
          <t>De Baja</t>
        </is>
      </c>
    </row>
    <row r="2919">
      <c r="FC2919" t="inlineStr">
        <is>
          <t>Diccionario 4</t>
        </is>
      </c>
      <c r="FD2919" s="15" t="inlineStr">
        <is>
          <t>1000 / FLXZ-94|</t>
        </is>
      </c>
      <c r="FE2919" s="15" t="inlineStr">
        <is>
          <t>D8478292K2PL</t>
        </is>
      </c>
      <c r="FF2919" s="15" t="inlineStr">
        <is>
          <t>YV3T7U524KA195142</t>
        </is>
      </c>
      <c r="FG2919" s="15" t="inlineStr">
        <is>
          <t>Volvo</t>
        </is>
      </c>
      <c r="FH2919" s="15" t="inlineStr">
        <is>
          <t>B8R</t>
        </is>
      </c>
      <c r="FI2919" s="15" t="inlineStr">
        <is>
          <t>MARCOPOLO</t>
        </is>
      </c>
      <c r="FJ2919" s="15" t="inlineStr">
        <is>
          <t>TORINO</t>
        </is>
      </c>
      <c r="FK2919" s="15" t="n">
        <v>2019</v>
      </c>
      <c r="FL2919" s="15" t="inlineStr">
        <is>
          <t>B2PAL</t>
        </is>
      </c>
      <c r="FM2919" s="15" t="inlineStr">
        <is>
          <t>LOS LIBERTADORES</t>
        </is>
      </c>
      <c r="FN2919" s="15" t="inlineStr">
        <is>
          <t>Los Liberadores 6450, Lote 4A</t>
        </is>
      </c>
      <c r="FO2919" s="15" t="inlineStr">
        <is>
          <t>Huechuraba</t>
        </is>
      </c>
      <c r="FP2919" t="inlineStr">
        <is>
          <t>B</t>
        </is>
      </c>
    </row>
    <row r="2920">
      <c r="FC2920" t="inlineStr">
        <is>
          <t>Diccionario 4</t>
        </is>
      </c>
      <c r="FD2920" s="15" t="inlineStr">
        <is>
          <t>1096 / GCBB-13|</t>
        </is>
      </c>
      <c r="FE2920" s="15" t="inlineStr">
        <is>
          <t>D8482685K2PL</t>
        </is>
      </c>
      <c r="FF2920" s="15" t="inlineStr">
        <is>
          <t>YV3T7U521KA195230</t>
        </is>
      </c>
      <c r="FG2920" s="15" t="inlineStr">
        <is>
          <t>Volvo</t>
        </is>
      </c>
      <c r="FH2920" s="15" t="inlineStr">
        <is>
          <t>B8R</t>
        </is>
      </c>
      <c r="FI2920" s="15" t="inlineStr">
        <is>
          <t>MARCOPOLO</t>
        </is>
      </c>
      <c r="FJ2920" s="15" t="inlineStr">
        <is>
          <t>TORINO</t>
        </is>
      </c>
      <c r="FK2920" s="15" t="n">
        <v>2019</v>
      </c>
      <c r="FL2920" s="15" t="inlineStr">
        <is>
          <t>B2PAL</t>
        </is>
      </c>
      <c r="FM2920" s="15" t="inlineStr">
        <is>
          <t>LOS LIBERTADORES</t>
        </is>
      </c>
      <c r="FN2920" s="15" t="inlineStr">
        <is>
          <t>Los Liberadores 6450, Lote 4A</t>
        </is>
      </c>
      <c r="FO2920" s="15" t="inlineStr">
        <is>
          <t>Huechuraba</t>
        </is>
      </c>
      <c r="FP2920" t="inlineStr">
        <is>
          <t>B</t>
        </is>
      </c>
    </row>
    <row r="2921">
      <c r="FC2921" t="inlineStr">
        <is>
          <t>Diccionario 4</t>
        </is>
      </c>
      <c r="FD2921" s="15" t="inlineStr">
        <is>
          <t>1002 / GCBC-16|</t>
        </is>
      </c>
      <c r="FE2921" s="15" t="inlineStr">
        <is>
          <t>D8483833K2PL</t>
        </is>
      </c>
      <c r="FF2921" s="15" t="inlineStr">
        <is>
          <t>YV3T7U520KA195641</t>
        </is>
      </c>
      <c r="FG2921" s="15" t="inlineStr">
        <is>
          <t>Volvo</t>
        </is>
      </c>
      <c r="FH2921" s="15" t="inlineStr">
        <is>
          <t>B8R</t>
        </is>
      </c>
      <c r="FI2921" s="15" t="inlineStr">
        <is>
          <t>MARCOPOLO</t>
        </is>
      </c>
      <c r="FJ2921" s="15" t="inlineStr">
        <is>
          <t>TORINO</t>
        </is>
      </c>
      <c r="FK2921" s="15" t="n">
        <v>2019</v>
      </c>
      <c r="FL2921" s="15" t="inlineStr">
        <is>
          <t>B2PAL</t>
        </is>
      </c>
      <c r="FM2921" s="15" t="inlineStr">
        <is>
          <t>LOS LIBERTADORES</t>
        </is>
      </c>
      <c r="FN2921" s="15" t="inlineStr">
        <is>
          <t>Los Liberadores 6450, Lote 4A</t>
        </is>
      </c>
      <c r="FO2921" s="15" t="inlineStr">
        <is>
          <t>Huechuraba</t>
        </is>
      </c>
      <c r="FP2921" t="inlineStr">
        <is>
          <t>B</t>
        </is>
      </c>
    </row>
    <row r="2922">
      <c r="FC2922" t="inlineStr">
        <is>
          <t>Diccionario 4</t>
        </is>
      </c>
      <c r="FD2922" s="15" t="inlineStr">
        <is>
          <t>1003 / GCBC-17|</t>
        </is>
      </c>
      <c r="FE2922" s="15" t="inlineStr">
        <is>
          <t>D8483530K2PL</t>
        </is>
      </c>
      <c r="FF2922" s="15" t="inlineStr">
        <is>
          <t>YV3T7U522KA195642</t>
        </is>
      </c>
      <c r="FG2922" s="15" t="inlineStr">
        <is>
          <t>Volvo</t>
        </is>
      </c>
      <c r="FH2922" s="15" t="inlineStr">
        <is>
          <t>B8R</t>
        </is>
      </c>
      <c r="FI2922" s="15" t="inlineStr">
        <is>
          <t>MARCOPOLO</t>
        </is>
      </c>
      <c r="FJ2922" s="15" t="inlineStr">
        <is>
          <t>TORINO</t>
        </is>
      </c>
      <c r="FK2922" s="15" t="n">
        <v>2019</v>
      </c>
      <c r="FL2922" s="15" t="inlineStr">
        <is>
          <t>B2PAL</t>
        </is>
      </c>
      <c r="FM2922" s="15" t="inlineStr">
        <is>
          <t>LOS LIBERTADORES</t>
        </is>
      </c>
      <c r="FN2922" s="15" t="inlineStr">
        <is>
          <t>Los Liberadores 6450, Lote 4A</t>
        </is>
      </c>
      <c r="FO2922" s="15" t="inlineStr">
        <is>
          <t>Huechuraba</t>
        </is>
      </c>
      <c r="FP2922" t="inlineStr">
        <is>
          <t>B</t>
        </is>
      </c>
    </row>
    <row r="2923">
      <c r="FC2923" t="inlineStr">
        <is>
          <t>Diccionario 4</t>
        </is>
      </c>
      <c r="FD2923" s="15" t="inlineStr">
        <is>
          <t>1004 / GCBC-18|</t>
        </is>
      </c>
      <c r="FE2923" s="15" t="inlineStr">
        <is>
          <t>D8483789K2PL</t>
        </is>
      </c>
      <c r="FF2923" s="15" t="inlineStr">
        <is>
          <t>YV3T7U524KA195643</t>
        </is>
      </c>
      <c r="FG2923" s="15" t="inlineStr">
        <is>
          <t>Volvo</t>
        </is>
      </c>
      <c r="FH2923" s="15" t="inlineStr">
        <is>
          <t>B8R</t>
        </is>
      </c>
      <c r="FI2923" s="15" t="inlineStr">
        <is>
          <t>MARCOPOLO</t>
        </is>
      </c>
      <c r="FJ2923" s="15" t="inlineStr">
        <is>
          <t>TORINO</t>
        </is>
      </c>
      <c r="FK2923" s="15" t="n">
        <v>2019</v>
      </c>
      <c r="FL2923" s="15" t="inlineStr">
        <is>
          <t>B2PAL</t>
        </is>
      </c>
      <c r="FM2923" s="15" t="inlineStr">
        <is>
          <t>SAN JOSE</t>
        </is>
      </c>
      <c r="FN2923" s="15" t="inlineStr">
        <is>
          <t>San José 030 (José Besa 669)</t>
        </is>
      </c>
      <c r="FO2923" s="15" t="inlineStr">
        <is>
          <t>San Bernardo</t>
        </is>
      </c>
      <c r="FP2923" t="inlineStr">
        <is>
          <t>B</t>
        </is>
      </c>
    </row>
    <row r="2924">
      <c r="FC2924" t="inlineStr">
        <is>
          <t>Diccionario 4</t>
        </is>
      </c>
      <c r="FD2924" s="15" t="inlineStr">
        <is>
          <t>1005 / GCBC-19|</t>
        </is>
      </c>
      <c r="FE2924" s="15" t="inlineStr">
        <is>
          <t>D8484480K2PL</t>
        </is>
      </c>
      <c r="FF2924" s="15" t="inlineStr">
        <is>
          <t>YV3T7U524KA195688</t>
        </is>
      </c>
      <c r="FG2924" s="15" t="inlineStr">
        <is>
          <t>Volvo</t>
        </is>
      </c>
      <c r="FH2924" s="15" t="inlineStr">
        <is>
          <t>B8R</t>
        </is>
      </c>
      <c r="FI2924" s="15" t="inlineStr">
        <is>
          <t>MARCOPOLO</t>
        </is>
      </c>
      <c r="FJ2924" s="15" t="inlineStr">
        <is>
          <t>TORINO</t>
        </is>
      </c>
      <c r="FK2924" s="15" t="n">
        <v>2019</v>
      </c>
      <c r="FL2924" s="15" t="inlineStr">
        <is>
          <t>B2PAL</t>
        </is>
      </c>
      <c r="FM2924" s="15" t="inlineStr">
        <is>
          <t>SAN JOSE</t>
        </is>
      </c>
      <c r="FN2924" s="15" t="inlineStr">
        <is>
          <t>San José 030 (José Besa 669)</t>
        </is>
      </c>
      <c r="FO2924" s="15" t="inlineStr">
        <is>
          <t>San Bernardo</t>
        </is>
      </c>
      <c r="FP2924" t="inlineStr">
        <is>
          <t>B</t>
        </is>
      </c>
    </row>
    <row r="2925">
      <c r="FC2925" t="inlineStr">
        <is>
          <t>Diccionario 4</t>
        </is>
      </c>
      <c r="FD2925" s="15" t="inlineStr">
        <is>
          <t>1006 / GCBC-20|</t>
        </is>
      </c>
      <c r="FE2925" s="15" t="inlineStr">
        <is>
          <t>D8484637K2PL</t>
        </is>
      </c>
      <c r="FF2925" s="15" t="inlineStr">
        <is>
          <t>YV3T7U528KA195712</t>
        </is>
      </c>
      <c r="FG2925" s="15" t="inlineStr">
        <is>
          <t>Volvo</t>
        </is>
      </c>
      <c r="FH2925" s="15" t="inlineStr">
        <is>
          <t>B8R</t>
        </is>
      </c>
      <c r="FI2925" s="15" t="inlineStr">
        <is>
          <t>MARCOPOLO</t>
        </is>
      </c>
      <c r="FJ2925" s="15" t="inlineStr">
        <is>
          <t>TORINO</t>
        </is>
      </c>
      <c r="FK2925" s="15" t="n">
        <v>2019</v>
      </c>
      <c r="FL2925" s="15" t="inlineStr">
        <is>
          <t>B2PAL</t>
        </is>
      </c>
      <c r="FM2925" s="15" t="inlineStr">
        <is>
          <t>SAN JOSE</t>
        </is>
      </c>
      <c r="FN2925" s="15" t="inlineStr">
        <is>
          <t>San José 030 (José Besa 669)</t>
        </is>
      </c>
      <c r="FO2925" s="15" t="inlineStr">
        <is>
          <t>San Bernardo</t>
        </is>
      </c>
      <c r="FP2925" t="inlineStr">
        <is>
          <t>B</t>
        </is>
      </c>
    </row>
    <row r="2926">
      <c r="FC2926" t="inlineStr">
        <is>
          <t>Diccionario 4</t>
        </is>
      </c>
      <c r="FD2926" s="15" t="inlineStr">
        <is>
          <t>1007 / GCBC-21|</t>
        </is>
      </c>
      <c r="FE2926" s="15" t="inlineStr">
        <is>
          <t>D8484676K2PL</t>
        </is>
      </c>
      <c r="FF2926" s="15" t="inlineStr">
        <is>
          <t>YV3T7U52XKA195713</t>
        </is>
      </c>
      <c r="FG2926" s="15" t="inlineStr">
        <is>
          <t>Volvo</t>
        </is>
      </c>
      <c r="FH2926" s="15" t="inlineStr">
        <is>
          <t>B8R</t>
        </is>
      </c>
      <c r="FI2926" s="15" t="inlineStr">
        <is>
          <t>MARCOPOLO</t>
        </is>
      </c>
      <c r="FJ2926" s="15" t="inlineStr">
        <is>
          <t>TORINO</t>
        </is>
      </c>
      <c r="FK2926" s="15" t="n">
        <v>2019</v>
      </c>
      <c r="FL2926" s="15" t="inlineStr">
        <is>
          <t>B2PAL</t>
        </is>
      </c>
      <c r="FM2926" s="15" t="inlineStr">
        <is>
          <t>LOS LIBERTADORES</t>
        </is>
      </c>
      <c r="FN2926" s="15" t="inlineStr">
        <is>
          <t>Los Liberadores 6450, Lote 4A</t>
        </is>
      </c>
      <c r="FO2926" s="15" t="inlineStr">
        <is>
          <t>Huechuraba</t>
        </is>
      </c>
      <c r="FP2926" t="inlineStr">
        <is>
          <t>B</t>
        </is>
      </c>
    </row>
    <row r="2927">
      <c r="FC2927" t="inlineStr">
        <is>
          <t>Diccionario 4</t>
        </is>
      </c>
      <c r="FD2927" s="15" t="inlineStr">
        <is>
          <t>1008 / GCBC-22|</t>
        </is>
      </c>
      <c r="FE2927" s="15" t="inlineStr">
        <is>
          <t>D8484733K2PL</t>
        </is>
      </c>
      <c r="FF2927" s="15" t="inlineStr">
        <is>
          <t>YV3T7U526KA195742</t>
        </is>
      </c>
      <c r="FG2927" s="15" t="inlineStr">
        <is>
          <t>Volvo</t>
        </is>
      </c>
      <c r="FH2927" s="15" t="inlineStr">
        <is>
          <t>B8R</t>
        </is>
      </c>
      <c r="FI2927" s="15" t="inlineStr">
        <is>
          <t>MARCOPOLO</t>
        </is>
      </c>
      <c r="FJ2927" s="15" t="inlineStr">
        <is>
          <t>TORINO</t>
        </is>
      </c>
      <c r="FK2927" s="15" t="n">
        <v>2019</v>
      </c>
      <c r="FL2927" s="15" t="inlineStr">
        <is>
          <t>B2PAL</t>
        </is>
      </c>
      <c r="FM2927" s="15" t="inlineStr">
        <is>
          <t>LOS LIBERTADORES</t>
        </is>
      </c>
      <c r="FN2927" s="15" t="inlineStr">
        <is>
          <t>Los Liberadores 6450, Lote 4A</t>
        </is>
      </c>
      <c r="FO2927" s="15" t="inlineStr">
        <is>
          <t>Huechuraba</t>
        </is>
      </c>
      <c r="FP2927" t="inlineStr">
        <is>
          <t>B</t>
        </is>
      </c>
    </row>
    <row r="2928">
      <c r="FC2928" t="inlineStr">
        <is>
          <t>Diccionario 4</t>
        </is>
      </c>
      <c r="FD2928" s="15" t="inlineStr">
        <is>
          <t>1009 / GCBC-23|</t>
        </is>
      </c>
      <c r="FE2928" s="15" t="inlineStr">
        <is>
          <t>D8481621K2PL</t>
        </is>
      </c>
      <c r="FF2928" s="15" t="inlineStr">
        <is>
          <t>YV3T7U528KA195175</t>
        </is>
      </c>
      <c r="FG2928" s="15" t="inlineStr">
        <is>
          <t>Volvo</t>
        </is>
      </c>
      <c r="FH2928" s="15" t="inlineStr">
        <is>
          <t>B8R</t>
        </is>
      </c>
      <c r="FI2928" s="15" t="inlineStr">
        <is>
          <t>MARCOPOLO</t>
        </is>
      </c>
      <c r="FJ2928" s="15" t="inlineStr">
        <is>
          <t>TORINO</t>
        </is>
      </c>
      <c r="FK2928" s="15" t="n">
        <v>2019</v>
      </c>
      <c r="FL2928" s="15" t="inlineStr">
        <is>
          <t>B2PAL</t>
        </is>
      </c>
      <c r="FM2928" s="15" t="inlineStr">
        <is>
          <t>LOS LIBERTADORES</t>
        </is>
      </c>
      <c r="FN2928" s="15" t="inlineStr">
        <is>
          <t>Los Liberadores 6450, Lote 4A</t>
        </is>
      </c>
      <c r="FO2928" s="15" t="inlineStr">
        <is>
          <t>Huechuraba</t>
        </is>
      </c>
      <c r="FP2928" t="inlineStr">
        <is>
          <t>B</t>
        </is>
      </c>
    </row>
    <row r="2929">
      <c r="FC2929" t="inlineStr">
        <is>
          <t>Diccionario 4</t>
        </is>
      </c>
      <c r="FD2929" s="15" t="inlineStr">
        <is>
          <t>1010 / GCBB-16|</t>
        </is>
      </c>
      <c r="FE2929" s="15" t="inlineStr">
        <is>
          <t>D8482769K2PL</t>
        </is>
      </c>
      <c r="FF2929" s="15" t="inlineStr">
        <is>
          <t>YV3T7U522KA195303</t>
        </is>
      </c>
      <c r="FG2929" s="15" t="inlineStr">
        <is>
          <t>Volvo</t>
        </is>
      </c>
      <c r="FH2929" s="15" t="inlineStr">
        <is>
          <t>B8R</t>
        </is>
      </c>
      <c r="FI2929" s="15" t="inlineStr">
        <is>
          <t>MARCOPOLO</t>
        </is>
      </c>
      <c r="FJ2929" s="15" t="inlineStr">
        <is>
          <t>TORINO</t>
        </is>
      </c>
      <c r="FK2929" s="15" t="n">
        <v>2019</v>
      </c>
      <c r="FL2929" s="15" t="inlineStr">
        <is>
          <t>B2PAL</t>
        </is>
      </c>
      <c r="FM2929" s="15" t="inlineStr">
        <is>
          <t>LOS LIBERTADORES</t>
        </is>
      </c>
      <c r="FN2929" s="15" t="inlineStr">
        <is>
          <t>Los Liberadores 6450, Lote 4A</t>
        </is>
      </c>
      <c r="FO2929" s="15" t="inlineStr">
        <is>
          <t>Huechuraba</t>
        </is>
      </c>
      <c r="FP2929" t="inlineStr">
        <is>
          <t>B</t>
        </is>
      </c>
    </row>
    <row r="2930">
      <c r="FC2930" t="inlineStr">
        <is>
          <t>Diccionario 4</t>
        </is>
      </c>
      <c r="FD2930" s="15" t="inlineStr">
        <is>
          <t>1011 / GCBB-17|</t>
        </is>
      </c>
      <c r="FE2930" s="15" t="inlineStr">
        <is>
          <t>D8478205K2PL</t>
        </is>
      </c>
      <c r="FF2930" s="15" t="inlineStr">
        <is>
          <t>YV3T7U520KA195140</t>
        </is>
      </c>
      <c r="FG2930" s="15" t="inlineStr">
        <is>
          <t>Volvo</t>
        </is>
      </c>
      <c r="FH2930" s="15" t="inlineStr">
        <is>
          <t>B8R</t>
        </is>
      </c>
      <c r="FI2930" s="15" t="inlineStr">
        <is>
          <t>MARCOPOLO</t>
        </is>
      </c>
      <c r="FJ2930" s="15" t="inlineStr">
        <is>
          <t>TORINO</t>
        </is>
      </c>
      <c r="FK2930" s="15" t="n">
        <v>2019</v>
      </c>
      <c r="FL2930" s="15" t="inlineStr">
        <is>
          <t>B2PAL</t>
        </is>
      </c>
      <c r="FM2930" s="15" t="inlineStr">
        <is>
          <t>LOS LIBERTADORES</t>
        </is>
      </c>
      <c r="FN2930" s="15" t="inlineStr">
        <is>
          <t>Los Liberadores 6450, Lote 4A</t>
        </is>
      </c>
      <c r="FO2930" s="15" t="inlineStr">
        <is>
          <t>Huechuraba</t>
        </is>
      </c>
      <c r="FP2930" t="inlineStr">
        <is>
          <t>B</t>
        </is>
      </c>
    </row>
    <row r="2931">
      <c r="FC2931" t="inlineStr">
        <is>
          <t>Diccionario 4</t>
        </is>
      </c>
      <c r="FD2931" s="15" t="inlineStr">
        <is>
          <t>1012 / GCBB-18|</t>
        </is>
      </c>
      <c r="FE2931" s="15" t="inlineStr">
        <is>
          <t>D8481556K2PL</t>
        </is>
      </c>
      <c r="FF2931" s="15" t="inlineStr">
        <is>
          <t>YV3T7U521KA195177</t>
        </is>
      </c>
      <c r="FG2931" s="15" t="inlineStr">
        <is>
          <t>Volvo</t>
        </is>
      </c>
      <c r="FH2931" s="15" t="inlineStr">
        <is>
          <t>B8R</t>
        </is>
      </c>
      <c r="FI2931" s="15" t="inlineStr">
        <is>
          <t>MARCOPOLO</t>
        </is>
      </c>
      <c r="FJ2931" s="15" t="inlineStr">
        <is>
          <t>TORINO</t>
        </is>
      </c>
      <c r="FK2931" s="15" t="n">
        <v>2019</v>
      </c>
      <c r="FL2931" s="15" t="inlineStr">
        <is>
          <t>B2PAL</t>
        </is>
      </c>
      <c r="FM2931" s="15" t="inlineStr">
        <is>
          <t>SAN JOSE</t>
        </is>
      </c>
      <c r="FN2931" s="15" t="inlineStr">
        <is>
          <t>San José 030 (José Besa 669)</t>
        </is>
      </c>
      <c r="FO2931" s="15" t="inlineStr">
        <is>
          <t>San Bernardo</t>
        </is>
      </c>
      <c r="FP2931" t="inlineStr">
        <is>
          <t>B</t>
        </is>
      </c>
    </row>
    <row r="2932">
      <c r="FC2932" t="inlineStr">
        <is>
          <t>Diccionario 4</t>
        </is>
      </c>
      <c r="FD2932" s="15" t="inlineStr">
        <is>
          <t>1013 / GCBB-19|</t>
        </is>
      </c>
      <c r="FE2932" s="15" t="inlineStr">
        <is>
          <t>D8482482K2PL</t>
        </is>
      </c>
      <c r="FF2932" s="15" t="inlineStr">
        <is>
          <t>YV3T7U523KA195326</t>
        </is>
      </c>
      <c r="FG2932" s="15" t="inlineStr">
        <is>
          <t>Volvo</t>
        </is>
      </c>
      <c r="FH2932" s="15" t="inlineStr">
        <is>
          <t>B8R</t>
        </is>
      </c>
      <c r="FI2932" s="15" t="inlineStr">
        <is>
          <t>MARCOPOLO</t>
        </is>
      </c>
      <c r="FJ2932" s="15" t="inlineStr">
        <is>
          <t>TORINO</t>
        </is>
      </c>
      <c r="FK2932" s="15" t="n">
        <v>2019</v>
      </c>
      <c r="FL2932" s="15" t="inlineStr">
        <is>
          <t>B2PAL</t>
        </is>
      </c>
      <c r="FM2932" s="15" t="inlineStr">
        <is>
          <t>LOS LIBERTADORES</t>
        </is>
      </c>
      <c r="FN2932" s="15" t="inlineStr">
        <is>
          <t>Los Liberadores 6450, Lote 4A</t>
        </is>
      </c>
      <c r="FO2932" s="15" t="inlineStr">
        <is>
          <t>Huechuraba</t>
        </is>
      </c>
      <c r="FP2932" t="inlineStr">
        <is>
          <t>B</t>
        </is>
      </c>
    </row>
    <row r="2933">
      <c r="FC2933" t="inlineStr">
        <is>
          <t>Diccionario 4</t>
        </is>
      </c>
      <c r="FD2933" s="15" t="inlineStr">
        <is>
          <t>1014 / GCBB-20|</t>
        </is>
      </c>
      <c r="FE2933" s="15" t="inlineStr">
        <is>
          <t>D8482478K2PL</t>
        </is>
      </c>
      <c r="FF2933" s="15" t="inlineStr">
        <is>
          <t>YV3T7U525KA195327</t>
        </is>
      </c>
      <c r="FG2933" s="15" t="inlineStr">
        <is>
          <t>Volvo</t>
        </is>
      </c>
      <c r="FH2933" s="15" t="inlineStr">
        <is>
          <t>B8R</t>
        </is>
      </c>
      <c r="FI2933" s="15" t="inlineStr">
        <is>
          <t>MARCOPOLO</t>
        </is>
      </c>
      <c r="FJ2933" s="15" t="inlineStr">
        <is>
          <t>TORINO</t>
        </is>
      </c>
      <c r="FK2933" s="15" t="n">
        <v>2019</v>
      </c>
      <c r="FL2933" s="15" t="inlineStr">
        <is>
          <t>B2PAL</t>
        </is>
      </c>
      <c r="FM2933" s="15" t="inlineStr">
        <is>
          <t>LOS LIBERTADORES</t>
        </is>
      </c>
      <c r="FN2933" s="15" t="inlineStr">
        <is>
          <t>Los Liberadores 6450, Lote 4A</t>
        </is>
      </c>
      <c r="FO2933" s="15" t="inlineStr">
        <is>
          <t>Huechuraba</t>
        </is>
      </c>
      <c r="FP2933" t="inlineStr">
        <is>
          <t>B</t>
        </is>
      </c>
    </row>
    <row r="2934">
      <c r="FC2934" t="inlineStr">
        <is>
          <t>Diccionario 4</t>
        </is>
      </c>
      <c r="FD2934" s="15" t="inlineStr">
        <is>
          <t>1015 / GCBB-21|</t>
        </is>
      </c>
      <c r="FE2934" s="15" t="inlineStr">
        <is>
          <t>D8482400K2PL</t>
        </is>
      </c>
      <c r="FF2934" s="15" t="inlineStr">
        <is>
          <t>YV3T7U527KA195328</t>
        </is>
      </c>
      <c r="FG2934" s="15" t="inlineStr">
        <is>
          <t>Volvo</t>
        </is>
      </c>
      <c r="FH2934" s="15" t="inlineStr">
        <is>
          <t>B8R</t>
        </is>
      </c>
      <c r="FI2934" s="15" t="inlineStr">
        <is>
          <t>MARCOPOLO</t>
        </is>
      </c>
      <c r="FJ2934" s="15" t="inlineStr">
        <is>
          <t>TORINO</t>
        </is>
      </c>
      <c r="FK2934" s="15" t="n">
        <v>2019</v>
      </c>
      <c r="FL2934" s="15" t="inlineStr">
        <is>
          <t>B2PAL</t>
        </is>
      </c>
      <c r="FM2934" s="15" t="inlineStr">
        <is>
          <t>LOS LIBERTADORES</t>
        </is>
      </c>
      <c r="FN2934" s="15" t="inlineStr">
        <is>
          <t>Los Liberadores 6450, Lote 4A</t>
        </is>
      </c>
      <c r="FO2934" s="15" t="inlineStr">
        <is>
          <t>Huechuraba</t>
        </is>
      </c>
      <c r="FP2934" t="inlineStr">
        <is>
          <t>B</t>
        </is>
      </c>
    </row>
    <row r="2935">
      <c r="FC2935" t="inlineStr">
        <is>
          <t>Diccionario 4</t>
        </is>
      </c>
      <c r="FD2935" s="15" t="inlineStr">
        <is>
          <t>1016 / GCBB-22|</t>
        </is>
      </c>
      <c r="FE2935" s="15" t="inlineStr">
        <is>
          <t>D8482554K2PL</t>
        </is>
      </c>
      <c r="FF2935" s="15" t="inlineStr">
        <is>
          <t>YV3T7U520KA195350</t>
        </is>
      </c>
      <c r="FG2935" s="15" t="inlineStr">
        <is>
          <t>Volvo</t>
        </is>
      </c>
      <c r="FH2935" s="15" t="inlineStr">
        <is>
          <t>B8R</t>
        </is>
      </c>
      <c r="FI2935" s="15" t="inlineStr">
        <is>
          <t>MARCOPOLO</t>
        </is>
      </c>
      <c r="FJ2935" s="15" t="inlineStr">
        <is>
          <t>TORINO</t>
        </is>
      </c>
      <c r="FK2935" s="15" t="n">
        <v>2019</v>
      </c>
      <c r="FL2935" s="15" t="inlineStr">
        <is>
          <t>B2PAL</t>
        </is>
      </c>
      <c r="FM2935" s="15" t="inlineStr">
        <is>
          <t>LOS LIBERTADORES</t>
        </is>
      </c>
      <c r="FN2935" s="15" t="inlineStr">
        <is>
          <t>Los Liberadores 6450, Lote 4A</t>
        </is>
      </c>
      <c r="FO2935" s="15" t="inlineStr">
        <is>
          <t>Huechuraba</t>
        </is>
      </c>
      <c r="FP2935" t="inlineStr">
        <is>
          <t>B</t>
        </is>
      </c>
    </row>
    <row r="2936">
      <c r="FC2936" t="inlineStr">
        <is>
          <t>Diccionario 4</t>
        </is>
      </c>
      <c r="FD2936" s="15" t="inlineStr">
        <is>
          <t>1017 / GCBB-23|</t>
        </is>
      </c>
      <c r="FE2936" s="15" t="inlineStr">
        <is>
          <t>D8482519K2PL</t>
        </is>
      </c>
      <c r="FF2936" s="15" t="inlineStr">
        <is>
          <t>YV3T7U522KA195351</t>
        </is>
      </c>
      <c r="FG2936" s="15" t="inlineStr">
        <is>
          <t>Volvo</t>
        </is>
      </c>
      <c r="FH2936" s="15" t="inlineStr">
        <is>
          <t>B8R</t>
        </is>
      </c>
      <c r="FI2936" s="15" t="inlineStr">
        <is>
          <t>MARCOPOLO</t>
        </is>
      </c>
      <c r="FJ2936" s="15" t="inlineStr">
        <is>
          <t>TORINO</t>
        </is>
      </c>
      <c r="FK2936" s="15" t="n">
        <v>2019</v>
      </c>
      <c r="FL2936" s="15" t="inlineStr">
        <is>
          <t>B2PAL</t>
        </is>
      </c>
      <c r="FM2936" s="15" t="inlineStr">
        <is>
          <t>LOS LIBERTADORES</t>
        </is>
      </c>
      <c r="FN2936" s="15" t="inlineStr">
        <is>
          <t>Los Liberadores 6450, Lote 4A</t>
        </is>
      </c>
      <c r="FO2936" s="15" t="inlineStr">
        <is>
          <t>Huechuraba</t>
        </is>
      </c>
      <c r="FP2936" t="inlineStr">
        <is>
          <t>B</t>
        </is>
      </c>
    </row>
    <row r="2937">
      <c r="FC2937" t="inlineStr">
        <is>
          <t>Diccionario 4</t>
        </is>
      </c>
      <c r="FD2937" s="15" t="inlineStr">
        <is>
          <t>1018 / GCBB-24|</t>
        </is>
      </c>
      <c r="FE2937" s="15" t="inlineStr">
        <is>
          <t>D8482509K2PL</t>
        </is>
      </c>
      <c r="FF2937" s="15" t="inlineStr">
        <is>
          <t>YV3T7U524KA195352</t>
        </is>
      </c>
      <c r="FG2937" s="15" t="inlineStr">
        <is>
          <t>Volvo</t>
        </is>
      </c>
      <c r="FH2937" s="15" t="inlineStr">
        <is>
          <t>B8R</t>
        </is>
      </c>
      <c r="FI2937" s="15" t="inlineStr">
        <is>
          <t>MARCOPOLO</t>
        </is>
      </c>
      <c r="FJ2937" s="15" t="inlineStr">
        <is>
          <t>TORINO</t>
        </is>
      </c>
      <c r="FK2937" s="15" t="n">
        <v>2019</v>
      </c>
      <c r="FL2937" s="15" t="inlineStr">
        <is>
          <t>B2PAL</t>
        </is>
      </c>
      <c r="FM2937" s="15" t="inlineStr">
        <is>
          <t>LOS LIBERTADORES</t>
        </is>
      </c>
      <c r="FN2937" s="15" t="inlineStr">
        <is>
          <t>Los Liberadores 6450, Lote 4A</t>
        </is>
      </c>
      <c r="FO2937" s="15" t="inlineStr">
        <is>
          <t>Huechuraba</t>
        </is>
      </c>
      <c r="FP2937" t="inlineStr">
        <is>
          <t>B</t>
        </is>
      </c>
    </row>
    <row r="2938">
      <c r="FC2938" t="inlineStr">
        <is>
          <t>Diccionario 4</t>
        </is>
      </c>
      <c r="FD2938" s="15" t="inlineStr">
        <is>
          <t>1019 / FLXZ-96|</t>
        </is>
      </c>
      <c r="FE2938" s="15" t="inlineStr">
        <is>
          <t>D8478282K2PL</t>
        </is>
      </c>
      <c r="FF2938" s="15" t="inlineStr">
        <is>
          <t>YV3T7U526KA195143</t>
        </is>
      </c>
      <c r="FG2938" s="15" t="inlineStr">
        <is>
          <t>Volvo</t>
        </is>
      </c>
      <c r="FH2938" s="15" t="inlineStr">
        <is>
          <t>B8R</t>
        </is>
      </c>
      <c r="FI2938" s="15" t="inlineStr">
        <is>
          <t>MARCOPOLO</t>
        </is>
      </c>
      <c r="FJ2938" s="15" t="inlineStr">
        <is>
          <t>TORINO</t>
        </is>
      </c>
      <c r="FK2938" s="15" t="n">
        <v>2019</v>
      </c>
      <c r="FL2938" s="15" t="inlineStr">
        <is>
          <t>B2PAL</t>
        </is>
      </c>
      <c r="FM2938" s="15" t="inlineStr">
        <is>
          <t>LOS LIBERTADORES</t>
        </is>
      </c>
      <c r="FN2938" s="15" t="inlineStr">
        <is>
          <t>Los Liberadores 6450, Lote 4A</t>
        </is>
      </c>
      <c r="FO2938" s="15" t="inlineStr">
        <is>
          <t>Huechuraba</t>
        </is>
      </c>
      <c r="FP2938" t="inlineStr">
        <is>
          <t>B</t>
        </is>
      </c>
    </row>
    <row r="2939">
      <c r="FC2939" t="inlineStr">
        <is>
          <t>Diccionario 4</t>
        </is>
      </c>
      <c r="FD2939" s="15" t="inlineStr">
        <is>
          <t>1020 / GCBB-25|</t>
        </is>
      </c>
      <c r="FE2939" s="15" t="inlineStr">
        <is>
          <t>D8482576K2PL</t>
        </is>
      </c>
      <c r="FF2939" s="15" t="inlineStr">
        <is>
          <t>YV3T7U523KA195357</t>
        </is>
      </c>
      <c r="FG2939" s="15" t="inlineStr">
        <is>
          <t>Volvo</t>
        </is>
      </c>
      <c r="FH2939" s="15" t="inlineStr">
        <is>
          <t>B8R</t>
        </is>
      </c>
      <c r="FI2939" s="15" t="inlineStr">
        <is>
          <t>MARCOPOLO</t>
        </is>
      </c>
      <c r="FJ2939" s="15" t="inlineStr">
        <is>
          <t>TORINO</t>
        </is>
      </c>
      <c r="FK2939" s="15" t="n">
        <v>2019</v>
      </c>
      <c r="FL2939" s="15" t="inlineStr">
        <is>
          <t>B2PAL</t>
        </is>
      </c>
      <c r="FM2939" s="15" t="inlineStr">
        <is>
          <t>LOS LIBERTADORES</t>
        </is>
      </c>
      <c r="FN2939" s="15" t="inlineStr">
        <is>
          <t>Los Liberadores 6450, Lote 4A</t>
        </is>
      </c>
      <c r="FO2939" s="15" t="inlineStr">
        <is>
          <t>Huechuraba</t>
        </is>
      </c>
      <c r="FP2939" t="inlineStr">
        <is>
          <t>B</t>
        </is>
      </c>
    </row>
    <row r="2940">
      <c r="FC2940" t="inlineStr">
        <is>
          <t>Diccionario 4</t>
        </is>
      </c>
      <c r="FD2940" s="15" t="inlineStr">
        <is>
          <t>1021 / GCBB-26|</t>
        </is>
      </c>
      <c r="FE2940" s="15" t="inlineStr">
        <is>
          <t>D8482502K2PL</t>
        </is>
      </c>
      <c r="FF2940" s="15" t="inlineStr">
        <is>
          <t>YV3T7U523KA195360</t>
        </is>
      </c>
      <c r="FG2940" s="15" t="inlineStr">
        <is>
          <t>Volvo</t>
        </is>
      </c>
      <c r="FH2940" s="15" t="inlineStr">
        <is>
          <t>B8R</t>
        </is>
      </c>
      <c r="FI2940" s="15" t="inlineStr">
        <is>
          <t>MARCOPOLO</t>
        </is>
      </c>
      <c r="FJ2940" s="15" t="inlineStr">
        <is>
          <t>TORINO</t>
        </is>
      </c>
      <c r="FK2940" s="15" t="n">
        <v>2019</v>
      </c>
      <c r="FL2940" s="15" t="inlineStr">
        <is>
          <t>B2PAL</t>
        </is>
      </c>
      <c r="FM2940" s="15" t="inlineStr">
        <is>
          <t>LOS LIBERTADORES</t>
        </is>
      </c>
      <c r="FN2940" s="15" t="inlineStr">
        <is>
          <t>Los Liberadores 6450, Lote 4A</t>
        </is>
      </c>
      <c r="FO2940" s="15" t="inlineStr">
        <is>
          <t>Huechuraba</t>
        </is>
      </c>
      <c r="FP2940" t="inlineStr">
        <is>
          <t>B</t>
        </is>
      </c>
    </row>
    <row r="2941">
      <c r="FC2941" t="inlineStr">
        <is>
          <t>Diccionario 4</t>
        </is>
      </c>
      <c r="FD2941" s="15" t="inlineStr">
        <is>
          <t>1022 / GCBB-27|</t>
        </is>
      </c>
      <c r="FE2941" s="15" t="inlineStr">
        <is>
          <t>D8482597K2PL</t>
        </is>
      </c>
      <c r="FF2941" s="15" t="inlineStr">
        <is>
          <t>YV3T7U525KA195361</t>
        </is>
      </c>
      <c r="FG2941" s="15" t="inlineStr">
        <is>
          <t>Volvo</t>
        </is>
      </c>
      <c r="FH2941" s="15" t="inlineStr">
        <is>
          <t>B8R</t>
        </is>
      </c>
      <c r="FI2941" s="15" t="inlineStr">
        <is>
          <t>MARCOPOLO</t>
        </is>
      </c>
      <c r="FJ2941" s="15" t="inlineStr">
        <is>
          <t>TORINO</t>
        </is>
      </c>
      <c r="FK2941" s="15" t="n">
        <v>2019</v>
      </c>
      <c r="FL2941" s="15" t="inlineStr">
        <is>
          <t>B2PAL</t>
        </is>
      </c>
      <c r="FM2941" s="15" t="inlineStr">
        <is>
          <t>LOS LIBERTADORES</t>
        </is>
      </c>
      <c r="FN2941" s="15" t="inlineStr">
        <is>
          <t>Los Liberadores 6450, Lote 4A</t>
        </is>
      </c>
      <c r="FO2941" s="15" t="inlineStr">
        <is>
          <t>Huechuraba</t>
        </is>
      </c>
      <c r="FP2941" t="inlineStr">
        <is>
          <t>B</t>
        </is>
      </c>
    </row>
    <row r="2942">
      <c r="FC2942" t="inlineStr">
        <is>
          <t>Diccionario 4</t>
        </is>
      </c>
      <c r="FD2942" s="15" t="inlineStr">
        <is>
          <t>1023 / GCBB-28|</t>
        </is>
      </c>
      <c r="FE2942" s="15" t="inlineStr">
        <is>
          <t>D8481798K2PL</t>
        </is>
      </c>
      <c r="FF2942" s="15" t="inlineStr">
        <is>
          <t>YV3T7U527KA195460</t>
        </is>
      </c>
      <c r="FG2942" s="15" t="inlineStr">
        <is>
          <t>Volvo</t>
        </is>
      </c>
      <c r="FH2942" s="15" t="inlineStr">
        <is>
          <t>B8R</t>
        </is>
      </c>
      <c r="FI2942" s="15" t="inlineStr">
        <is>
          <t>MARCOPOLO</t>
        </is>
      </c>
      <c r="FJ2942" s="15" t="inlineStr">
        <is>
          <t>TORINO</t>
        </is>
      </c>
      <c r="FK2942" s="15" t="n">
        <v>2019</v>
      </c>
      <c r="FL2942" s="15" t="inlineStr">
        <is>
          <t>B2PAL</t>
        </is>
      </c>
      <c r="FM2942" s="15" t="inlineStr">
        <is>
          <t>LOS LIBERTADORES</t>
        </is>
      </c>
      <c r="FN2942" s="15" t="inlineStr">
        <is>
          <t>Los Liberadores 6450, Lote 4A</t>
        </is>
      </c>
      <c r="FO2942" s="15" t="inlineStr">
        <is>
          <t>Huechuraba</t>
        </is>
      </c>
      <c r="FP2942" t="inlineStr">
        <is>
          <t>B</t>
        </is>
      </c>
    </row>
    <row r="2943">
      <c r="FC2943" t="inlineStr">
        <is>
          <t>Diccionario 4</t>
        </is>
      </c>
      <c r="FD2943" s="15" t="inlineStr">
        <is>
          <t>1024 / GCBB-29|</t>
        </is>
      </c>
      <c r="FE2943" s="15" t="inlineStr">
        <is>
          <t>D8481794K2PL</t>
        </is>
      </c>
      <c r="FF2943" s="15" t="inlineStr">
        <is>
          <t>YV3T7U529KA195461</t>
        </is>
      </c>
      <c r="FG2943" s="15" t="inlineStr">
        <is>
          <t>Volvo</t>
        </is>
      </c>
      <c r="FH2943" s="15" t="inlineStr">
        <is>
          <t>B8R</t>
        </is>
      </c>
      <c r="FI2943" s="15" t="inlineStr">
        <is>
          <t>MARCOPOLO</t>
        </is>
      </c>
      <c r="FJ2943" s="15" t="inlineStr">
        <is>
          <t>TORINO</t>
        </is>
      </c>
      <c r="FK2943" s="15" t="n">
        <v>2019</v>
      </c>
      <c r="FL2943" s="15" t="inlineStr">
        <is>
          <t>B2PAL</t>
        </is>
      </c>
      <c r="FM2943" s="15" t="inlineStr">
        <is>
          <t>LOS LIBERTADORES</t>
        </is>
      </c>
      <c r="FN2943" s="15" t="inlineStr">
        <is>
          <t>Los Liberadores 6450, Lote 4A</t>
        </is>
      </c>
      <c r="FO2943" s="15" t="inlineStr">
        <is>
          <t>Huechuraba</t>
        </is>
      </c>
      <c r="FP2943" t="inlineStr">
        <is>
          <t>B</t>
        </is>
      </c>
    </row>
    <row r="2944">
      <c r="FC2944" t="inlineStr">
        <is>
          <t>Diccionario 4</t>
        </is>
      </c>
      <c r="FD2944" s="15" t="inlineStr">
        <is>
          <t>1025 / GCBB-30|</t>
        </is>
      </c>
      <c r="FE2944" s="15" t="inlineStr">
        <is>
          <t>D8483045K2PL</t>
        </is>
      </c>
      <c r="FF2944" s="15" t="inlineStr">
        <is>
          <t>YV3T7U520KA195462</t>
        </is>
      </c>
      <c r="FG2944" s="15" t="inlineStr">
        <is>
          <t>Volvo</t>
        </is>
      </c>
      <c r="FH2944" s="15" t="inlineStr">
        <is>
          <t>B8R</t>
        </is>
      </c>
      <c r="FI2944" s="15" t="inlineStr">
        <is>
          <t>MARCOPOLO</t>
        </is>
      </c>
      <c r="FJ2944" s="15" t="inlineStr">
        <is>
          <t>TORINO</t>
        </is>
      </c>
      <c r="FK2944" s="15" t="n">
        <v>2019</v>
      </c>
      <c r="FL2944" s="15" t="inlineStr">
        <is>
          <t>B2PAL</t>
        </is>
      </c>
      <c r="FM2944" s="15" t="inlineStr">
        <is>
          <t>LOS LIBERTADORES</t>
        </is>
      </c>
      <c r="FN2944" s="15" t="inlineStr">
        <is>
          <t>Los Liberadores 6450, Lote 4A</t>
        </is>
      </c>
      <c r="FO2944" s="15" t="inlineStr">
        <is>
          <t>Huechuraba</t>
        </is>
      </c>
      <c r="FP2944" t="inlineStr">
        <is>
          <t>B</t>
        </is>
      </c>
    </row>
    <row r="2945">
      <c r="FC2945" t="inlineStr">
        <is>
          <t>Diccionario 4</t>
        </is>
      </c>
      <c r="FD2945" s="15" t="inlineStr">
        <is>
          <t>1026 / GCBB-31|</t>
        </is>
      </c>
      <c r="FE2945" s="15" t="inlineStr">
        <is>
          <t>D8483063K2PL</t>
        </is>
      </c>
      <c r="FF2945" s="15" t="inlineStr">
        <is>
          <t>YV3T7U522KA195463</t>
        </is>
      </c>
      <c r="FG2945" s="15" t="inlineStr">
        <is>
          <t>Volvo</t>
        </is>
      </c>
      <c r="FH2945" s="15" t="inlineStr">
        <is>
          <t>B8R</t>
        </is>
      </c>
      <c r="FI2945" s="15" t="inlineStr">
        <is>
          <t>MARCOPOLO</t>
        </is>
      </c>
      <c r="FJ2945" s="15" t="inlineStr">
        <is>
          <t>TORINO</t>
        </is>
      </c>
      <c r="FK2945" s="15" t="n">
        <v>2019</v>
      </c>
      <c r="FL2945" s="15" t="inlineStr">
        <is>
          <t>B2PAL</t>
        </is>
      </c>
      <c r="FM2945" s="15" t="inlineStr">
        <is>
          <t>LOS LIBERTADORES</t>
        </is>
      </c>
      <c r="FN2945" s="15" t="inlineStr">
        <is>
          <t>Los Liberadores 6450, Lote 4A</t>
        </is>
      </c>
      <c r="FO2945" s="15" t="inlineStr">
        <is>
          <t>Huechuraba</t>
        </is>
      </c>
      <c r="FP2945" t="inlineStr">
        <is>
          <t>B</t>
        </is>
      </c>
    </row>
    <row r="2946">
      <c r="FC2946" t="inlineStr">
        <is>
          <t>Diccionario 4</t>
        </is>
      </c>
      <c r="FD2946" s="15" t="inlineStr">
        <is>
          <t>1027 / GCBB-32|</t>
        </is>
      </c>
      <c r="FE2946" s="15" t="inlineStr">
        <is>
          <t>D8483109K2PL</t>
        </is>
      </c>
      <c r="FF2946" s="15" t="inlineStr">
        <is>
          <t>YV3T7U523KA195486</t>
        </is>
      </c>
      <c r="FG2946" s="15" t="inlineStr">
        <is>
          <t>Volvo</t>
        </is>
      </c>
      <c r="FH2946" s="15" t="inlineStr">
        <is>
          <t>B8R</t>
        </is>
      </c>
      <c r="FI2946" s="15" t="inlineStr">
        <is>
          <t>MARCOPOLO</t>
        </is>
      </c>
      <c r="FJ2946" s="15" t="inlineStr">
        <is>
          <t>TORINO</t>
        </is>
      </c>
      <c r="FK2946" s="15" t="n">
        <v>2019</v>
      </c>
      <c r="FL2946" s="15" t="inlineStr">
        <is>
          <t>B2PAL</t>
        </is>
      </c>
      <c r="FM2946" s="15" t="inlineStr">
        <is>
          <t>LOS LIBERTADORES</t>
        </is>
      </c>
      <c r="FN2946" s="15" t="inlineStr">
        <is>
          <t>Los Liberadores 6450, Lote 4A</t>
        </is>
      </c>
      <c r="FO2946" s="15" t="inlineStr">
        <is>
          <t>Huechuraba</t>
        </is>
      </c>
      <c r="FP2946" t="inlineStr">
        <is>
          <t>B</t>
        </is>
      </c>
    </row>
    <row r="2947">
      <c r="FC2947" t="inlineStr">
        <is>
          <t>Diccionario 4</t>
        </is>
      </c>
      <c r="FD2947" s="15" t="inlineStr">
        <is>
          <t>GCBC-33|</t>
        </is>
      </c>
      <c r="FE2947" s="15" t="inlineStr">
        <is>
          <t>D8483197K2PL</t>
        </is>
      </c>
      <c r="FF2947" s="15" t="inlineStr">
        <is>
          <t>YV3T7U526KA195532</t>
        </is>
      </c>
      <c r="FG2947" s="15" t="inlineStr">
        <is>
          <t>Volvo</t>
        </is>
      </c>
      <c r="FH2947" s="15" t="inlineStr">
        <is>
          <t>B8R</t>
        </is>
      </c>
      <c r="FI2947" s="15" t="inlineStr">
        <is>
          <t>MARCOPOLO</t>
        </is>
      </c>
      <c r="FJ2947" s="15" t="inlineStr">
        <is>
          <t>TORINO</t>
        </is>
      </c>
      <c r="FK2947" s="15" t="n">
        <v>2019</v>
      </c>
      <c r="FL2947" s="15" t="inlineStr">
        <is>
          <t>B2PAL</t>
        </is>
      </c>
      <c r="FM2947" s="15" t="inlineStr">
        <is>
          <t>LOS LIBERTADORES</t>
        </is>
      </c>
      <c r="FN2947" s="15" t="inlineStr">
        <is>
          <t>Los Liberadores 6450, Lote 4A</t>
        </is>
      </c>
      <c r="FO2947" s="15" t="inlineStr">
        <is>
          <t>Huechuraba</t>
        </is>
      </c>
      <c r="FP2947" t="inlineStr">
        <is>
          <t>B</t>
        </is>
      </c>
    </row>
    <row r="2948">
      <c r="FC2948" t="inlineStr">
        <is>
          <t>Diccionario 4</t>
        </is>
      </c>
      <c r="FD2948" s="15" t="inlineStr">
        <is>
          <t>1029 / GCBB-34|</t>
        </is>
      </c>
      <c r="FE2948" s="15" t="inlineStr">
        <is>
          <t>D8483194K2PL</t>
        </is>
      </c>
      <c r="FF2948" s="15" t="inlineStr">
        <is>
          <t>YV3T7U528KA195533</t>
        </is>
      </c>
      <c r="FG2948" s="15" t="inlineStr">
        <is>
          <t>Volvo</t>
        </is>
      </c>
      <c r="FH2948" s="15" t="inlineStr">
        <is>
          <t>B8R</t>
        </is>
      </c>
      <c r="FI2948" s="15" t="inlineStr">
        <is>
          <t>MARCOPOLO</t>
        </is>
      </c>
      <c r="FJ2948" s="15" t="inlineStr">
        <is>
          <t>TORINO</t>
        </is>
      </c>
      <c r="FK2948" s="15" t="n">
        <v>2019</v>
      </c>
      <c r="FL2948" s="15" t="inlineStr">
        <is>
          <t>B2PAL</t>
        </is>
      </c>
      <c r="FM2948" s="15" t="inlineStr">
        <is>
          <t>LOS LIBERTADORES</t>
        </is>
      </c>
      <c r="FN2948" s="15" t="inlineStr">
        <is>
          <t>Los Liberadores 6450, Lote 4A</t>
        </is>
      </c>
      <c r="FO2948" s="15" t="inlineStr">
        <is>
          <t>Huechuraba</t>
        </is>
      </c>
      <c r="FP2948" t="inlineStr">
        <is>
          <t>B</t>
        </is>
      </c>
    </row>
    <row r="2949">
      <c r="FC2949" t="inlineStr">
        <is>
          <t>Diccionario 4</t>
        </is>
      </c>
      <c r="FD2949" s="15" t="inlineStr">
        <is>
          <t>1030 / FLXZ-97|</t>
        </is>
      </c>
      <c r="FE2949" s="15" t="inlineStr">
        <is>
          <t>D8478297K2PL</t>
        </is>
      </c>
      <c r="FF2949" s="15" t="inlineStr">
        <is>
          <t>YV3T7U528KA195144</t>
        </is>
      </c>
      <c r="FG2949" s="15" t="inlineStr">
        <is>
          <t>Volvo</t>
        </is>
      </c>
      <c r="FH2949" s="15" t="inlineStr">
        <is>
          <t>B8R</t>
        </is>
      </c>
      <c r="FI2949" s="15" t="inlineStr">
        <is>
          <t>MARCOPOLO</t>
        </is>
      </c>
      <c r="FJ2949" s="15" t="inlineStr">
        <is>
          <t>TORINO</t>
        </is>
      </c>
      <c r="FK2949" s="15" t="n">
        <v>2019</v>
      </c>
      <c r="FL2949" s="15" t="inlineStr">
        <is>
          <t>B2PAL</t>
        </is>
      </c>
      <c r="FM2949" s="15" t="inlineStr">
        <is>
          <t>LOS LIBERTADORES</t>
        </is>
      </c>
      <c r="FN2949" s="15" t="inlineStr">
        <is>
          <t>Los Liberadores 6450, Lote 4A</t>
        </is>
      </c>
      <c r="FO2949" s="15" t="inlineStr">
        <is>
          <t>Huechuraba</t>
        </is>
      </c>
      <c r="FP2949" t="inlineStr">
        <is>
          <t>B</t>
        </is>
      </c>
    </row>
    <row r="2950">
      <c r="FC2950" t="inlineStr">
        <is>
          <t>Diccionario 4</t>
        </is>
      </c>
      <c r="FD2950" s="15" t="inlineStr">
        <is>
          <t>1031 / GCBB-35|</t>
        </is>
      </c>
      <c r="FE2950" s="15" t="inlineStr">
        <is>
          <t>D8483221K2PL</t>
        </is>
      </c>
      <c r="FF2950" s="15" t="inlineStr">
        <is>
          <t>YV3T7U521KA195535</t>
        </is>
      </c>
      <c r="FG2950" s="15" t="inlineStr">
        <is>
          <t>Volvo</t>
        </is>
      </c>
      <c r="FH2950" s="15" t="inlineStr">
        <is>
          <t>B8R</t>
        </is>
      </c>
      <c r="FI2950" s="15" t="inlineStr">
        <is>
          <t>MARCOPOLO</t>
        </is>
      </c>
      <c r="FJ2950" s="15" t="inlineStr">
        <is>
          <t>TORINO</t>
        </is>
      </c>
      <c r="FK2950" s="15" t="n">
        <v>2019</v>
      </c>
      <c r="FL2950" s="15" t="inlineStr">
        <is>
          <t>B2PAL</t>
        </is>
      </c>
      <c r="FM2950" s="15" t="inlineStr">
        <is>
          <t>LOS LIBERTADORES</t>
        </is>
      </c>
      <c r="FN2950" s="15" t="inlineStr">
        <is>
          <t>Los Liberadores 6450, Lote 4A</t>
        </is>
      </c>
      <c r="FO2950" s="15" t="inlineStr">
        <is>
          <t>Huechuraba</t>
        </is>
      </c>
      <c r="FP2950" t="inlineStr">
        <is>
          <t>B</t>
        </is>
      </c>
    </row>
    <row r="2951">
      <c r="FC2951" t="inlineStr">
        <is>
          <t>Diccionario 4</t>
        </is>
      </c>
      <c r="FD2951" s="15" t="inlineStr">
        <is>
          <t>1032 / GCBB-36|</t>
        </is>
      </c>
      <c r="FE2951" s="15" t="inlineStr">
        <is>
          <t>D89303077</t>
        </is>
      </c>
      <c r="FF2951" s="15" t="inlineStr">
        <is>
          <t>YV3T7U523KA195553</t>
        </is>
      </c>
      <c r="FG2951" s="15" t="inlineStr">
        <is>
          <t>Volvo</t>
        </is>
      </c>
      <c r="FH2951" s="15" t="inlineStr">
        <is>
          <t>B8R</t>
        </is>
      </c>
      <c r="FI2951" s="15" t="inlineStr">
        <is>
          <t>MARCOPOLO</t>
        </is>
      </c>
      <c r="FJ2951" s="15" t="inlineStr">
        <is>
          <t>TORINO</t>
        </is>
      </c>
      <c r="FK2951" s="15" t="n">
        <v>2019</v>
      </c>
      <c r="FL2951" s="15" t="inlineStr">
        <is>
          <t>B2PAL</t>
        </is>
      </c>
      <c r="FM2951" s="15" t="inlineStr">
        <is>
          <t>LOS LIBERTADORES</t>
        </is>
      </c>
      <c r="FN2951" s="15" t="inlineStr">
        <is>
          <t>Los Liberadores 6450, Lote 4A</t>
        </is>
      </c>
      <c r="FO2951" s="15" t="inlineStr">
        <is>
          <t>Huechuraba</t>
        </is>
      </c>
      <c r="FP2951" t="inlineStr">
        <is>
          <t>B</t>
        </is>
      </c>
    </row>
    <row r="2952">
      <c r="FC2952" t="inlineStr">
        <is>
          <t>Diccionario 4</t>
        </is>
      </c>
      <c r="FD2952" s="15" t="inlineStr">
        <is>
          <t>1033 / GCBB-37|</t>
        </is>
      </c>
      <c r="FE2952" s="15" t="inlineStr">
        <is>
          <t>D8483453K2PL</t>
        </is>
      </c>
      <c r="FF2952" s="15" t="inlineStr">
        <is>
          <t>YV3T7U527KA195572</t>
        </is>
      </c>
      <c r="FG2952" s="15" t="inlineStr">
        <is>
          <t>Volvo</t>
        </is>
      </c>
      <c r="FH2952" s="15" t="inlineStr">
        <is>
          <t>B8R</t>
        </is>
      </c>
      <c r="FI2952" s="15" t="inlineStr">
        <is>
          <t>MARCOPOLO</t>
        </is>
      </c>
      <c r="FJ2952" s="15" t="inlineStr">
        <is>
          <t>TORINO</t>
        </is>
      </c>
      <c r="FK2952" s="15" t="n">
        <v>2019</v>
      </c>
      <c r="FL2952" s="15" t="inlineStr">
        <is>
          <t>B2PAL</t>
        </is>
      </c>
      <c r="FM2952" s="15" t="inlineStr">
        <is>
          <t>LOS LIBERTADORES</t>
        </is>
      </c>
      <c r="FN2952" s="15" t="inlineStr">
        <is>
          <t>Los Liberadores 6450, Lote 4A</t>
        </is>
      </c>
      <c r="FO2952" s="15" t="inlineStr">
        <is>
          <t>Huechuraba</t>
        </is>
      </c>
      <c r="FP2952" t="inlineStr">
        <is>
          <t>B</t>
        </is>
      </c>
    </row>
    <row r="2953">
      <c r="FC2953" t="inlineStr">
        <is>
          <t>Diccionario 4</t>
        </is>
      </c>
      <c r="FD2953" s="15" t="inlineStr">
        <is>
          <t>1034 / GCBB-38|</t>
        </is>
      </c>
      <c r="FE2953" s="15" t="inlineStr">
        <is>
          <t>D8483890K2PL</t>
        </is>
      </c>
      <c r="FF2953" s="15" t="inlineStr">
        <is>
          <t>YV3T7U520KA195574</t>
        </is>
      </c>
      <c r="FG2953" s="15" t="inlineStr">
        <is>
          <t>Volvo</t>
        </is>
      </c>
      <c r="FH2953" s="15" t="inlineStr">
        <is>
          <t>B8R</t>
        </is>
      </c>
      <c r="FI2953" s="15" t="inlineStr">
        <is>
          <t>MARCOPOLO</t>
        </is>
      </c>
      <c r="FJ2953" s="15" t="inlineStr">
        <is>
          <t>TORINO</t>
        </is>
      </c>
      <c r="FK2953" s="15" t="n">
        <v>2019</v>
      </c>
      <c r="FL2953" s="15" t="inlineStr">
        <is>
          <t>B2PAL</t>
        </is>
      </c>
      <c r="FM2953" s="15" t="inlineStr">
        <is>
          <t>LOS LIBERTADORES</t>
        </is>
      </c>
      <c r="FN2953" s="15" t="inlineStr">
        <is>
          <t>Los Liberadores 6450, Lote 4A</t>
        </is>
      </c>
      <c r="FO2953" s="15" t="inlineStr">
        <is>
          <t>Huechuraba</t>
        </is>
      </c>
      <c r="FP2953" t="inlineStr">
        <is>
          <t>B</t>
        </is>
      </c>
    </row>
    <row r="2954">
      <c r="FC2954" t="inlineStr">
        <is>
          <t>Diccionario 4</t>
        </is>
      </c>
      <c r="FD2954" s="15" t="inlineStr">
        <is>
          <t>1035 / GCBB-39|</t>
        </is>
      </c>
      <c r="FE2954" s="15" t="inlineStr">
        <is>
          <t>D8478276K2PL</t>
        </is>
      </c>
      <c r="FF2954" s="15" t="inlineStr">
        <is>
          <t>YV3T7U522KA195141</t>
        </is>
      </c>
      <c r="FG2954" s="15" t="inlineStr">
        <is>
          <t>Volvo</t>
        </is>
      </c>
      <c r="FH2954" s="15" t="inlineStr">
        <is>
          <t>B8R</t>
        </is>
      </c>
      <c r="FI2954" s="15" t="inlineStr">
        <is>
          <t>MARCOPOLO</t>
        </is>
      </c>
      <c r="FJ2954" s="15" t="inlineStr">
        <is>
          <t>TORINO</t>
        </is>
      </c>
      <c r="FK2954" s="15" t="n">
        <v>2019</v>
      </c>
      <c r="FL2954" s="15" t="inlineStr">
        <is>
          <t>B2PAL</t>
        </is>
      </c>
      <c r="FM2954" s="15" t="inlineStr">
        <is>
          <t>LOS LIBERTADORES</t>
        </is>
      </c>
      <c r="FN2954" s="15" t="inlineStr">
        <is>
          <t>Los Liberadores 6450, Lote 4A</t>
        </is>
      </c>
      <c r="FO2954" s="15" t="inlineStr">
        <is>
          <t>Huechuraba</t>
        </is>
      </c>
      <c r="FP2954" t="inlineStr">
        <is>
          <t>B</t>
        </is>
      </c>
    </row>
    <row r="2955">
      <c r="FC2955" t="inlineStr">
        <is>
          <t>Diccionario 4</t>
        </is>
      </c>
      <c r="FD2955" s="15" t="inlineStr">
        <is>
          <t>1036 / GCBB-40|</t>
        </is>
      </c>
      <c r="FE2955" s="15" t="inlineStr">
        <is>
          <t>D8481604K2PL</t>
        </is>
      </c>
      <c r="FF2955" s="15" t="inlineStr">
        <is>
          <t>YV3T7U52XKA195145</t>
        </is>
      </c>
      <c r="FG2955" s="15" t="inlineStr">
        <is>
          <t>Volvo</t>
        </is>
      </c>
      <c r="FH2955" s="15" t="inlineStr">
        <is>
          <t>B8R</t>
        </is>
      </c>
      <c r="FI2955" s="15" t="inlineStr">
        <is>
          <t>MARCOPOLO</t>
        </is>
      </c>
      <c r="FJ2955" s="15" t="inlineStr">
        <is>
          <t>TORINO</t>
        </is>
      </c>
      <c r="FK2955" s="15" t="n">
        <v>2019</v>
      </c>
      <c r="FL2955" s="15" t="inlineStr">
        <is>
          <t>B2PAL</t>
        </is>
      </c>
      <c r="FM2955" s="15" t="inlineStr">
        <is>
          <t>LOS LIBERTADORES</t>
        </is>
      </c>
      <c r="FN2955" s="15" t="inlineStr">
        <is>
          <t>Los Liberadores 6450, Lote 4A</t>
        </is>
      </c>
      <c r="FO2955" s="15" t="inlineStr">
        <is>
          <t>Huechuraba</t>
        </is>
      </c>
      <c r="FP2955" t="inlineStr">
        <is>
          <t>B</t>
        </is>
      </c>
    </row>
    <row r="2956">
      <c r="FC2956" t="inlineStr">
        <is>
          <t>Diccionario 4</t>
        </is>
      </c>
      <c r="FD2956" s="15" t="inlineStr">
        <is>
          <t>1037 / GCBB-41|</t>
        </is>
      </c>
      <c r="FE2956" s="15" t="inlineStr">
        <is>
          <t>D8481609K2PL</t>
        </is>
      </c>
      <c r="FF2956" s="15" t="inlineStr">
        <is>
          <t>YV3T7U521KA195146</t>
        </is>
      </c>
      <c r="FG2956" s="15" t="inlineStr">
        <is>
          <t>Volvo</t>
        </is>
      </c>
      <c r="FH2956" s="15" t="inlineStr">
        <is>
          <t>B8R</t>
        </is>
      </c>
      <c r="FI2956" s="15" t="inlineStr">
        <is>
          <t>MARCOPOLO</t>
        </is>
      </c>
      <c r="FJ2956" s="15" t="inlineStr">
        <is>
          <t>TORINO</t>
        </is>
      </c>
      <c r="FK2956" s="15" t="n">
        <v>2019</v>
      </c>
      <c r="FL2956" s="15" t="inlineStr">
        <is>
          <t>B2PAL</t>
        </is>
      </c>
      <c r="FM2956" s="15" t="inlineStr">
        <is>
          <t>LOS LIBERTADORES</t>
        </is>
      </c>
      <c r="FN2956" s="15" t="inlineStr">
        <is>
          <t>Los Liberadores 6450, Lote 4A</t>
        </is>
      </c>
      <c r="FO2956" s="15" t="inlineStr">
        <is>
          <t>Huechuraba</t>
        </is>
      </c>
      <c r="FP2956" t="inlineStr">
        <is>
          <t>B</t>
        </is>
      </c>
    </row>
    <row r="2957">
      <c r="FC2957" t="inlineStr">
        <is>
          <t>Diccionario 4</t>
        </is>
      </c>
      <c r="FD2957" s="15" t="inlineStr">
        <is>
          <t>1038 / GCBB-42|</t>
        </is>
      </c>
      <c r="FE2957" s="15" t="inlineStr">
        <is>
          <t>D8478221K2PL</t>
        </is>
      </c>
      <c r="FF2957" s="15" t="inlineStr">
        <is>
          <t>YV3T7U523KA195147</t>
        </is>
      </c>
      <c r="FG2957" s="15" t="inlineStr">
        <is>
          <t>Volvo</t>
        </is>
      </c>
      <c r="FH2957" s="15" t="inlineStr">
        <is>
          <t>B8R</t>
        </is>
      </c>
      <c r="FI2957" s="15" t="inlineStr">
        <is>
          <t>MARCOPOLO</t>
        </is>
      </c>
      <c r="FJ2957" s="15" t="inlineStr">
        <is>
          <t>TORINO</t>
        </is>
      </c>
      <c r="FK2957" s="15" t="n">
        <v>2019</v>
      </c>
      <c r="FL2957" s="15" t="inlineStr">
        <is>
          <t>B2PAL</t>
        </is>
      </c>
      <c r="FM2957" s="15" t="inlineStr">
        <is>
          <t>LOS LIBERTADORES</t>
        </is>
      </c>
      <c r="FN2957" s="15" t="inlineStr">
        <is>
          <t>Los Liberadores 6450, Lote 4A</t>
        </is>
      </c>
      <c r="FO2957" s="15" t="inlineStr">
        <is>
          <t>Huechuraba</t>
        </is>
      </c>
      <c r="FP2957" t="inlineStr">
        <is>
          <t>B</t>
        </is>
      </c>
    </row>
    <row r="2958">
      <c r="FC2958" t="inlineStr">
        <is>
          <t>Diccionario 4</t>
        </is>
      </c>
      <c r="FD2958" s="15" t="inlineStr">
        <is>
          <t>1039 / GCBB-43|</t>
        </is>
      </c>
      <c r="FE2958" s="15" t="inlineStr">
        <is>
          <t>D8478290K2PL</t>
        </is>
      </c>
      <c r="FF2958" s="15" t="inlineStr">
        <is>
          <t>YV3T7U525KA195148</t>
        </is>
      </c>
      <c r="FG2958" s="15" t="inlineStr">
        <is>
          <t>Volvo</t>
        </is>
      </c>
      <c r="FH2958" s="15" t="inlineStr">
        <is>
          <t>B8R</t>
        </is>
      </c>
      <c r="FI2958" s="15" t="inlineStr">
        <is>
          <t>MARCOPOLO</t>
        </is>
      </c>
      <c r="FJ2958" s="15" t="inlineStr">
        <is>
          <t>TORINO</t>
        </is>
      </c>
      <c r="FK2958" s="15" t="n">
        <v>2019</v>
      </c>
      <c r="FL2958" s="15" t="inlineStr">
        <is>
          <t>B2PAL</t>
        </is>
      </c>
      <c r="FM2958" s="15" t="inlineStr">
        <is>
          <t>LOS LIBERTADORES</t>
        </is>
      </c>
      <c r="FN2958" s="15" t="inlineStr">
        <is>
          <t>Los Liberadores 6450, Lote 4A</t>
        </is>
      </c>
      <c r="FO2958" s="15" t="inlineStr">
        <is>
          <t>Huechuraba</t>
        </is>
      </c>
      <c r="FP2958" t="inlineStr">
        <is>
          <t>B</t>
        </is>
      </c>
    </row>
    <row r="2959">
      <c r="FC2959" t="inlineStr">
        <is>
          <t>Diccionario 4</t>
        </is>
      </c>
      <c r="FD2959" s="15" t="inlineStr">
        <is>
          <t>1040 / GCBB-44|</t>
        </is>
      </c>
      <c r="FE2959" s="15" t="inlineStr">
        <is>
          <t>D8481517K2PL</t>
        </is>
      </c>
      <c r="FF2959" s="15" t="inlineStr">
        <is>
          <t>YV3T7U520KA195171</t>
        </is>
      </c>
      <c r="FG2959" s="15" t="inlineStr">
        <is>
          <t>Volvo</t>
        </is>
      </c>
      <c r="FH2959" s="15" t="inlineStr">
        <is>
          <t>B8R</t>
        </is>
      </c>
      <c r="FI2959" s="15" t="inlineStr">
        <is>
          <t>MARCOPOLO</t>
        </is>
      </c>
      <c r="FJ2959" s="15" t="inlineStr">
        <is>
          <t>TORINO</t>
        </is>
      </c>
      <c r="FK2959" s="15" t="n">
        <v>2019</v>
      </c>
      <c r="FL2959" s="15" t="inlineStr">
        <is>
          <t>B2PAL</t>
        </is>
      </c>
      <c r="FM2959" s="15" t="inlineStr">
        <is>
          <t>LOS LIBERTADORES</t>
        </is>
      </c>
      <c r="FN2959" s="15" t="inlineStr">
        <is>
          <t>Los Liberadores 6450, Lote 4A</t>
        </is>
      </c>
      <c r="FO2959" s="15" t="inlineStr">
        <is>
          <t>Huechuraba</t>
        </is>
      </c>
      <c r="FP2959" t="inlineStr">
        <is>
          <t>B</t>
        </is>
      </c>
    </row>
    <row r="2960">
      <c r="FC2960" t="inlineStr">
        <is>
          <t>Diccionario 4</t>
        </is>
      </c>
      <c r="FD2960" s="15" t="inlineStr">
        <is>
          <t>1041 / FLXZ-98|</t>
        </is>
      </c>
      <c r="FE2960" s="15" t="inlineStr">
        <is>
          <t>D8481625K2PL</t>
        </is>
      </c>
      <c r="FF2960" s="15" t="inlineStr">
        <is>
          <t>YV3T7U526KA195174</t>
        </is>
      </c>
      <c r="FG2960" s="15" t="inlineStr">
        <is>
          <t>Volvo</t>
        </is>
      </c>
      <c r="FH2960" s="15" t="inlineStr">
        <is>
          <t>B8R</t>
        </is>
      </c>
      <c r="FI2960" s="15" t="inlineStr">
        <is>
          <t>MARCOPOLO</t>
        </is>
      </c>
      <c r="FJ2960" s="15" t="inlineStr">
        <is>
          <t>TORINO</t>
        </is>
      </c>
      <c r="FK2960" s="15" t="n">
        <v>2019</v>
      </c>
      <c r="FL2960" s="15" t="inlineStr">
        <is>
          <t>B2PAL</t>
        </is>
      </c>
      <c r="FM2960" s="15" t="inlineStr">
        <is>
          <t>LOS LIBERTADORES</t>
        </is>
      </c>
      <c r="FN2960" s="15" t="inlineStr">
        <is>
          <t>Los Liberadores 6450, Lote 4A</t>
        </is>
      </c>
      <c r="FO2960" s="15" t="inlineStr">
        <is>
          <t>Huechuraba</t>
        </is>
      </c>
      <c r="FP2960" t="inlineStr">
        <is>
          <t>B</t>
        </is>
      </c>
    </row>
    <row r="2961">
      <c r="FC2961" t="inlineStr">
        <is>
          <t>Diccionario 4</t>
        </is>
      </c>
      <c r="FD2961" s="15" t="inlineStr">
        <is>
          <t>1042 / GCBB-45|</t>
        </is>
      </c>
      <c r="FE2961" s="15" t="inlineStr">
        <is>
          <t>D8481615K2PL</t>
        </is>
      </c>
      <c r="FF2961" s="15" t="inlineStr">
        <is>
          <t>YV3T7U524KA195173</t>
        </is>
      </c>
      <c r="FG2961" s="15" t="inlineStr">
        <is>
          <t>Volvo</t>
        </is>
      </c>
      <c r="FH2961" s="15" t="inlineStr">
        <is>
          <t>B8R</t>
        </is>
      </c>
      <c r="FI2961" s="15" t="inlineStr">
        <is>
          <t>MARCOPOLO</t>
        </is>
      </c>
      <c r="FJ2961" s="15" t="inlineStr">
        <is>
          <t>TORINO</t>
        </is>
      </c>
      <c r="FK2961" s="15" t="n">
        <v>2019</v>
      </c>
      <c r="FL2961" s="15" t="inlineStr">
        <is>
          <t>B2PAL</t>
        </is>
      </c>
      <c r="FM2961" s="15" t="inlineStr">
        <is>
          <t>LOS LIBERTADORES</t>
        </is>
      </c>
      <c r="FN2961" s="15" t="inlineStr">
        <is>
          <t>Los Liberadores 6450, Lote 4A</t>
        </is>
      </c>
      <c r="FO2961" s="15" t="inlineStr">
        <is>
          <t>Huechuraba</t>
        </is>
      </c>
      <c r="FP2961" t="inlineStr">
        <is>
          <t>B</t>
        </is>
      </c>
    </row>
    <row r="2962">
      <c r="FC2962" t="inlineStr">
        <is>
          <t>Diccionario 4</t>
        </is>
      </c>
      <c r="FD2962" s="15" t="inlineStr">
        <is>
          <t>1043 / GCBB-46|</t>
        </is>
      </c>
      <c r="FE2962" s="15" t="inlineStr">
        <is>
          <t>D8481618K2PL</t>
        </is>
      </c>
      <c r="FF2962" s="15" t="inlineStr">
        <is>
          <t>YV3T7U52XKA195176</t>
        </is>
      </c>
      <c r="FG2962" s="15" t="inlineStr">
        <is>
          <t>Volvo</t>
        </is>
      </c>
      <c r="FH2962" s="15" t="inlineStr">
        <is>
          <t>B8R</t>
        </is>
      </c>
      <c r="FI2962" s="15" t="inlineStr">
        <is>
          <t>MARCOPOLO</t>
        </is>
      </c>
      <c r="FJ2962" s="15" t="inlineStr">
        <is>
          <t>TORINO</t>
        </is>
      </c>
      <c r="FK2962" s="15" t="n">
        <v>2019</v>
      </c>
      <c r="FL2962" s="15" t="inlineStr">
        <is>
          <t>B2PAL</t>
        </is>
      </c>
      <c r="FM2962" s="15" t="inlineStr">
        <is>
          <t>LOS LIBERTADORES</t>
        </is>
      </c>
      <c r="FN2962" s="15" t="inlineStr">
        <is>
          <t>Los Liberadores 6450, Lote 4A</t>
        </is>
      </c>
      <c r="FO2962" s="15" t="inlineStr">
        <is>
          <t>Huechuraba</t>
        </is>
      </c>
      <c r="FP2962" t="inlineStr">
        <is>
          <t>B</t>
        </is>
      </c>
    </row>
    <row r="2963">
      <c r="FC2963" t="inlineStr">
        <is>
          <t>Diccionario 4</t>
        </is>
      </c>
      <c r="FD2963" s="15" t="inlineStr">
        <is>
          <t>1044 / GCBB-47|</t>
        </is>
      </c>
      <c r="FE2963" s="15" t="inlineStr">
        <is>
          <t>D8481639K2PL</t>
        </is>
      </c>
      <c r="FF2963" s="15" t="inlineStr">
        <is>
          <t>YV3T7U523KA195178</t>
        </is>
      </c>
      <c r="FG2963" s="15" t="inlineStr">
        <is>
          <t>Volvo</t>
        </is>
      </c>
      <c r="FH2963" s="15" t="inlineStr">
        <is>
          <t>B8R</t>
        </is>
      </c>
      <c r="FI2963" s="15" t="inlineStr">
        <is>
          <t>MARCOPOLO</t>
        </is>
      </c>
      <c r="FJ2963" s="15" t="inlineStr">
        <is>
          <t>TORINO</t>
        </is>
      </c>
      <c r="FK2963" s="15" t="n">
        <v>2019</v>
      </c>
      <c r="FL2963" s="15" t="inlineStr">
        <is>
          <t>B2PAL</t>
        </is>
      </c>
      <c r="FM2963" s="15" t="inlineStr">
        <is>
          <t>LOS LIBERTADORES</t>
        </is>
      </c>
      <c r="FN2963" s="15" t="inlineStr">
        <is>
          <t>Los Liberadores 6450, Lote 4A</t>
        </is>
      </c>
      <c r="FO2963" s="15" t="inlineStr">
        <is>
          <t>Huechuraba</t>
        </is>
      </c>
      <c r="FP2963" t="inlineStr">
        <is>
          <t>B</t>
        </is>
      </c>
    </row>
    <row r="2964">
      <c r="FC2964" t="inlineStr">
        <is>
          <t>Diccionario 4</t>
        </is>
      </c>
      <c r="FD2964" s="15" t="inlineStr">
        <is>
          <t>1045 / GCBB-48|</t>
        </is>
      </c>
      <c r="FE2964" s="15" t="inlineStr">
        <is>
          <t>D8481597K2PL</t>
        </is>
      </c>
      <c r="FF2964" s="15" t="inlineStr">
        <is>
          <t>YV3T7U523KA195181</t>
        </is>
      </c>
      <c r="FG2964" s="15" t="inlineStr">
        <is>
          <t>Volvo</t>
        </is>
      </c>
      <c r="FH2964" s="15" t="inlineStr">
        <is>
          <t>B8R</t>
        </is>
      </c>
      <c r="FI2964" s="15" t="inlineStr">
        <is>
          <t>MARCOPOLO</t>
        </is>
      </c>
      <c r="FJ2964" s="15" t="inlineStr">
        <is>
          <t>TORINO</t>
        </is>
      </c>
      <c r="FK2964" s="15" t="n">
        <v>2019</v>
      </c>
      <c r="FL2964" s="15" t="inlineStr">
        <is>
          <t>B2PAL</t>
        </is>
      </c>
      <c r="FM2964" s="15" t="inlineStr">
        <is>
          <t>LOS LIBERTADORES</t>
        </is>
      </c>
      <c r="FN2964" s="15" t="inlineStr">
        <is>
          <t>Los Liberadores 6450, Lote 4A</t>
        </is>
      </c>
      <c r="FO2964" s="15" t="inlineStr">
        <is>
          <t>Huechuraba</t>
        </is>
      </c>
      <c r="FP2964" t="inlineStr">
        <is>
          <t>B</t>
        </is>
      </c>
    </row>
    <row r="2965">
      <c r="FC2965" t="inlineStr">
        <is>
          <t>Diccionario 4</t>
        </is>
      </c>
      <c r="FD2965" s="15" t="inlineStr">
        <is>
          <t>1046 / GCBB-49|</t>
        </is>
      </c>
      <c r="FE2965" s="15" t="inlineStr">
        <is>
          <t>D8481673K2PL</t>
        </is>
      </c>
      <c r="FF2965" s="15" t="inlineStr">
        <is>
          <t>YV3T7U524KA195190</t>
        </is>
      </c>
      <c r="FG2965" s="15" t="inlineStr">
        <is>
          <t>Volvo</t>
        </is>
      </c>
      <c r="FH2965" s="15" t="inlineStr">
        <is>
          <t>B8R</t>
        </is>
      </c>
      <c r="FI2965" s="15" t="inlineStr">
        <is>
          <t>MARCOPOLO</t>
        </is>
      </c>
      <c r="FJ2965" s="15" t="inlineStr">
        <is>
          <t>TORINO</t>
        </is>
      </c>
      <c r="FK2965" s="15" t="n">
        <v>2019</v>
      </c>
      <c r="FL2965" s="15" t="inlineStr">
        <is>
          <t>B2PAL</t>
        </is>
      </c>
      <c r="FM2965" s="15" t="inlineStr">
        <is>
          <t>LOS LIBERTADORES</t>
        </is>
      </c>
      <c r="FN2965" s="15" t="inlineStr">
        <is>
          <t>Los Liberadores 6450, Lote 4A</t>
        </is>
      </c>
      <c r="FO2965" s="15" t="inlineStr">
        <is>
          <t>Huechuraba</t>
        </is>
      </c>
      <c r="FP2965" t="inlineStr">
        <is>
          <t>B</t>
        </is>
      </c>
    </row>
    <row r="2966">
      <c r="FC2966" t="inlineStr">
        <is>
          <t>Diccionario 4</t>
        </is>
      </c>
      <c r="FD2966" s="15" t="inlineStr">
        <is>
          <t>1047 / GCBB-50|</t>
        </is>
      </c>
      <c r="FE2966" s="15" t="inlineStr">
        <is>
          <t>D8481885K2PL</t>
        </is>
      </c>
      <c r="FF2966" s="15" t="inlineStr">
        <is>
          <t>YV3T7U526KA195191</t>
        </is>
      </c>
      <c r="FG2966" s="15" t="inlineStr">
        <is>
          <t>Volvo</t>
        </is>
      </c>
      <c r="FH2966" s="15" t="inlineStr">
        <is>
          <t>B8R</t>
        </is>
      </c>
      <c r="FI2966" s="15" t="inlineStr">
        <is>
          <t>MARCOPOLO</t>
        </is>
      </c>
      <c r="FJ2966" s="15" t="inlineStr">
        <is>
          <t>TORINO</t>
        </is>
      </c>
      <c r="FK2966" s="15" t="n">
        <v>2019</v>
      </c>
      <c r="FL2966" s="15" t="inlineStr">
        <is>
          <t>B2PAL</t>
        </is>
      </c>
      <c r="FM2966" s="15" t="inlineStr">
        <is>
          <t>LOS LIBERTADORES</t>
        </is>
      </c>
      <c r="FN2966" s="15" t="inlineStr">
        <is>
          <t>Los Liberadores 6450, Lote 4A</t>
        </is>
      </c>
      <c r="FO2966" s="15" t="inlineStr">
        <is>
          <t>Huechuraba</t>
        </is>
      </c>
      <c r="FP2966" t="inlineStr">
        <is>
          <t>B</t>
        </is>
      </c>
    </row>
    <row r="2967">
      <c r="FC2967" t="inlineStr">
        <is>
          <t>Diccionario 4</t>
        </is>
      </c>
      <c r="FD2967" s="15" t="inlineStr">
        <is>
          <t>1048 / GCBB-51|</t>
        </is>
      </c>
      <c r="FE2967" s="15" t="inlineStr">
        <is>
          <t>D8481866K2PL</t>
        </is>
      </c>
      <c r="FF2967" s="15" t="inlineStr">
        <is>
          <t>YV3T7U528KA195192</t>
        </is>
      </c>
      <c r="FG2967" s="15" t="inlineStr">
        <is>
          <t>Volvo</t>
        </is>
      </c>
      <c r="FH2967" s="15" t="inlineStr">
        <is>
          <t>B8R</t>
        </is>
      </c>
      <c r="FI2967" s="15" t="inlineStr">
        <is>
          <t>MARCOPOLO</t>
        </is>
      </c>
      <c r="FJ2967" s="15" t="inlineStr">
        <is>
          <t>TORINO</t>
        </is>
      </c>
      <c r="FK2967" s="15" t="n">
        <v>2019</v>
      </c>
      <c r="FL2967" s="15" t="inlineStr">
        <is>
          <t>B2PAL</t>
        </is>
      </c>
      <c r="FM2967" s="15" t="inlineStr">
        <is>
          <t>LOS LIBERTADORES</t>
        </is>
      </c>
      <c r="FN2967" s="15" t="inlineStr">
        <is>
          <t>Los Liberadores 6450, Lote 4A</t>
        </is>
      </c>
      <c r="FO2967" s="15" t="inlineStr">
        <is>
          <t>Huechuraba</t>
        </is>
      </c>
      <c r="FP2967" t="inlineStr">
        <is>
          <t>B</t>
        </is>
      </c>
    </row>
    <row r="2968">
      <c r="FC2968" t="inlineStr">
        <is>
          <t>Diccionario 4</t>
        </is>
      </c>
      <c r="FD2968" s="15" t="inlineStr">
        <is>
          <t>1049 / GCBB-52|</t>
        </is>
      </c>
      <c r="FE2968" s="15" t="inlineStr">
        <is>
          <t>D8481887K2PL</t>
        </is>
      </c>
      <c r="FF2968" s="15" t="inlineStr">
        <is>
          <t>YV3T7U52XKA195193</t>
        </is>
      </c>
      <c r="FG2968" s="15" t="inlineStr">
        <is>
          <t>Volvo</t>
        </is>
      </c>
      <c r="FH2968" s="15" t="inlineStr">
        <is>
          <t>B8R</t>
        </is>
      </c>
      <c r="FI2968" s="15" t="inlineStr">
        <is>
          <t>MARCOPOLO</t>
        </is>
      </c>
      <c r="FJ2968" s="15" t="inlineStr">
        <is>
          <t>TORINO</t>
        </is>
      </c>
      <c r="FK2968" s="15" t="n">
        <v>2019</v>
      </c>
      <c r="FL2968" s="15" t="inlineStr">
        <is>
          <t>B2PAL</t>
        </is>
      </c>
      <c r="FM2968" s="15" t="inlineStr">
        <is>
          <t>LOS LIBERTADORES</t>
        </is>
      </c>
      <c r="FN2968" s="15" t="inlineStr">
        <is>
          <t>Los Liberadores 6450, Lote 4A</t>
        </is>
      </c>
      <c r="FO2968" s="15" t="inlineStr">
        <is>
          <t>Huechuraba</t>
        </is>
      </c>
      <c r="FP2968" t="inlineStr">
        <is>
          <t>B</t>
        </is>
      </c>
    </row>
    <row r="2969">
      <c r="FC2969" t="inlineStr">
        <is>
          <t>Diccionario 4</t>
        </is>
      </c>
      <c r="FD2969" s="15" t="inlineStr">
        <is>
          <t>1050 / GCBB-53|</t>
        </is>
      </c>
      <c r="FE2969" s="15" t="inlineStr">
        <is>
          <t>D8481478K2PL</t>
        </is>
      </c>
      <c r="FF2969" s="15" t="inlineStr">
        <is>
          <t>YV3T7U527KA195197</t>
        </is>
      </c>
      <c r="FG2969" s="15" t="inlineStr">
        <is>
          <t>Volvo</t>
        </is>
      </c>
      <c r="FH2969" s="15" t="inlineStr">
        <is>
          <t>B8R</t>
        </is>
      </c>
      <c r="FI2969" s="15" t="inlineStr">
        <is>
          <t>MARCOPOLO</t>
        </is>
      </c>
      <c r="FJ2969" s="15" t="inlineStr">
        <is>
          <t>TORINO</t>
        </is>
      </c>
      <c r="FK2969" s="15" t="n">
        <v>2019</v>
      </c>
      <c r="FL2969" s="15" t="inlineStr">
        <is>
          <t>B2PAL</t>
        </is>
      </c>
      <c r="FM2969" s="15" t="inlineStr">
        <is>
          <t>LOS LIBERTADORES</t>
        </is>
      </c>
      <c r="FN2969" s="15" t="inlineStr">
        <is>
          <t>Los Liberadores 6450, Lote 4A</t>
        </is>
      </c>
      <c r="FO2969" s="15" t="inlineStr">
        <is>
          <t>Huechuraba</t>
        </is>
      </c>
      <c r="FP2969" t="inlineStr">
        <is>
          <t>B</t>
        </is>
      </c>
    </row>
    <row r="2970">
      <c r="FC2970" t="inlineStr">
        <is>
          <t>Diccionario 4</t>
        </is>
      </c>
      <c r="FD2970" s="15" t="inlineStr">
        <is>
          <t>1051 / GCBB-54|</t>
        </is>
      </c>
      <c r="FE2970" s="15" t="inlineStr">
        <is>
          <t>D8481635K2PL</t>
        </is>
      </c>
      <c r="FF2970" s="15" t="inlineStr">
        <is>
          <t>YV3T7U529KA195198</t>
        </is>
      </c>
      <c r="FG2970" s="15" t="inlineStr">
        <is>
          <t>Volvo</t>
        </is>
      </c>
      <c r="FH2970" s="15" t="inlineStr">
        <is>
          <t>B8R</t>
        </is>
      </c>
      <c r="FI2970" s="15" t="inlineStr">
        <is>
          <t>MARCOPOLO</t>
        </is>
      </c>
      <c r="FJ2970" s="15" t="inlineStr">
        <is>
          <t>TORINO</t>
        </is>
      </c>
      <c r="FK2970" s="15" t="n">
        <v>2019</v>
      </c>
      <c r="FL2970" s="15" t="inlineStr">
        <is>
          <t>B2PAL</t>
        </is>
      </c>
      <c r="FM2970" s="15" t="inlineStr">
        <is>
          <t>LOS LIBERTADORES</t>
        </is>
      </c>
      <c r="FN2970" s="15" t="inlineStr">
        <is>
          <t>Los Liberadores 6450, Lote 4A</t>
        </is>
      </c>
      <c r="FO2970" s="15" t="inlineStr">
        <is>
          <t>Huechuraba</t>
        </is>
      </c>
      <c r="FP2970" t="inlineStr">
        <is>
          <t>B</t>
        </is>
      </c>
    </row>
    <row r="2971">
      <c r="FC2971" t="inlineStr">
        <is>
          <t>Diccionario 4</t>
        </is>
      </c>
      <c r="FD2971" s="15" t="inlineStr">
        <is>
          <t>1052 / FLXZ-99|</t>
        </is>
      </c>
      <c r="FE2971" s="15" t="inlineStr">
        <is>
          <t>D8481607K2PL</t>
        </is>
      </c>
      <c r="FF2971" s="15" t="inlineStr">
        <is>
          <t>YV3T7U521KA195180</t>
        </is>
      </c>
      <c r="FG2971" s="15" t="inlineStr">
        <is>
          <t>Volvo</t>
        </is>
      </c>
      <c r="FH2971" s="15" t="inlineStr">
        <is>
          <t>B8R</t>
        </is>
      </c>
      <c r="FI2971" s="15" t="inlineStr">
        <is>
          <t>MARCOPOLO</t>
        </is>
      </c>
      <c r="FJ2971" s="15" t="inlineStr">
        <is>
          <t>TORINO</t>
        </is>
      </c>
      <c r="FK2971" s="15" t="n">
        <v>2019</v>
      </c>
      <c r="FL2971" s="15" t="inlineStr">
        <is>
          <t>B2PAL</t>
        </is>
      </c>
      <c r="FM2971" s="15" t="inlineStr">
        <is>
          <t>LOS LIBERTADORES</t>
        </is>
      </c>
      <c r="FN2971" s="15" t="inlineStr">
        <is>
          <t>Los Liberadores 6450, Lote 4A</t>
        </is>
      </c>
      <c r="FO2971" s="15" t="inlineStr">
        <is>
          <t>Huechuraba</t>
        </is>
      </c>
      <c r="FP2971" t="inlineStr">
        <is>
          <t>B</t>
        </is>
      </c>
    </row>
    <row r="2972">
      <c r="FC2972" t="inlineStr">
        <is>
          <t>Diccionario 4</t>
        </is>
      </c>
      <c r="FD2972" s="15" t="inlineStr">
        <is>
          <t>1053 / GCBB-55|</t>
        </is>
      </c>
      <c r="FE2972" s="15" t="inlineStr">
        <is>
          <t>D8481488K2PL</t>
        </is>
      </c>
      <c r="FF2972" s="15" t="inlineStr">
        <is>
          <t>YV3T7U525KA195229</t>
        </is>
      </c>
      <c r="FG2972" s="15" t="inlineStr">
        <is>
          <t>Volvo</t>
        </is>
      </c>
      <c r="FH2972" s="15" t="inlineStr">
        <is>
          <t>B8R</t>
        </is>
      </c>
      <c r="FI2972" s="15" t="inlineStr">
        <is>
          <t>MARCOPOLO</t>
        </is>
      </c>
      <c r="FJ2972" s="15" t="inlineStr">
        <is>
          <t>TORINO</t>
        </is>
      </c>
      <c r="FK2972" s="15" t="n">
        <v>2019</v>
      </c>
      <c r="FL2972" s="15" t="inlineStr">
        <is>
          <t>B2PAL</t>
        </is>
      </c>
      <c r="FM2972" s="15" t="inlineStr">
        <is>
          <t>LOS LIBERTADORES</t>
        </is>
      </c>
      <c r="FN2972" s="15" t="inlineStr">
        <is>
          <t>Los Liberadores 6450, Lote 4A</t>
        </is>
      </c>
      <c r="FO2972" s="15" t="inlineStr">
        <is>
          <t>Huechuraba</t>
        </is>
      </c>
      <c r="FP2972" t="inlineStr">
        <is>
          <t>B</t>
        </is>
      </c>
    </row>
    <row r="2973">
      <c r="FC2973" t="inlineStr">
        <is>
          <t>Diccionario 4</t>
        </is>
      </c>
      <c r="FD2973" s="15" t="inlineStr">
        <is>
          <t>1054 / GCBB-56|</t>
        </is>
      </c>
      <c r="FE2973" s="15" t="inlineStr">
        <is>
          <t>D8482670K2PL</t>
        </is>
      </c>
      <c r="FF2973" s="15" t="inlineStr">
        <is>
          <t>YV3T7U523KA195231</t>
        </is>
      </c>
      <c r="FG2973" s="15" t="inlineStr">
        <is>
          <t>Volvo</t>
        </is>
      </c>
      <c r="FH2973" s="15" t="inlineStr">
        <is>
          <t>B8R</t>
        </is>
      </c>
      <c r="FI2973" s="15" t="inlineStr">
        <is>
          <t>MARCOPOLO</t>
        </is>
      </c>
      <c r="FJ2973" s="15" t="inlineStr">
        <is>
          <t>TORINO</t>
        </is>
      </c>
      <c r="FK2973" s="15" t="n">
        <v>2019</v>
      </c>
      <c r="FL2973" s="15" t="inlineStr">
        <is>
          <t>B2PAL</t>
        </is>
      </c>
      <c r="FM2973" s="15" t="inlineStr">
        <is>
          <t>LOS LIBERTADORES</t>
        </is>
      </c>
      <c r="FN2973" s="15" t="inlineStr">
        <is>
          <t>Los Liberadores 6450, Lote 4A</t>
        </is>
      </c>
      <c r="FO2973" s="15" t="inlineStr">
        <is>
          <t>Huechuraba</t>
        </is>
      </c>
      <c r="FP2973" t="inlineStr">
        <is>
          <t>B</t>
        </is>
      </c>
    </row>
    <row r="2974">
      <c r="FC2974" t="inlineStr">
        <is>
          <t>Diccionario 4</t>
        </is>
      </c>
      <c r="FD2974" s="15" t="inlineStr">
        <is>
          <t>1055 / GCBB-57|</t>
        </is>
      </c>
      <c r="FE2974" s="15" t="inlineStr">
        <is>
          <t>D8481984K2PL</t>
        </is>
      </c>
      <c r="FF2974" s="15" t="inlineStr">
        <is>
          <t>YV3T7U524KA195268</t>
        </is>
      </c>
      <c r="FG2974" s="15" t="inlineStr">
        <is>
          <t>Volvo</t>
        </is>
      </c>
      <c r="FH2974" s="15" t="inlineStr">
        <is>
          <t>B8R</t>
        </is>
      </c>
      <c r="FI2974" s="15" t="inlineStr">
        <is>
          <t>MARCOPOLO</t>
        </is>
      </c>
      <c r="FJ2974" s="15" t="inlineStr">
        <is>
          <t>TORINO</t>
        </is>
      </c>
      <c r="FK2974" s="15" t="n">
        <v>2019</v>
      </c>
      <c r="FL2974" s="15" t="inlineStr">
        <is>
          <t>B2PAL</t>
        </is>
      </c>
      <c r="FM2974" s="15" t="inlineStr">
        <is>
          <t>LOS LIBERTADORES</t>
        </is>
      </c>
      <c r="FN2974" s="15" t="inlineStr">
        <is>
          <t>Los Liberadores 6450, Lote 4A</t>
        </is>
      </c>
      <c r="FO2974" s="15" t="inlineStr">
        <is>
          <t>Huechuraba</t>
        </is>
      </c>
      <c r="FP2974" t="inlineStr">
        <is>
          <t>B</t>
        </is>
      </c>
    </row>
    <row r="2975">
      <c r="FC2975" t="inlineStr">
        <is>
          <t>Diccionario 4</t>
        </is>
      </c>
      <c r="FD2975" s="15" t="inlineStr">
        <is>
          <t>1056 / GCBB-58|</t>
        </is>
      </c>
      <c r="FE2975" s="15" t="inlineStr">
        <is>
          <t>D8481907K2PL</t>
        </is>
      </c>
      <c r="FF2975" s="15" t="inlineStr">
        <is>
          <t>YV3T7U526KA195269</t>
        </is>
      </c>
      <c r="FG2975" s="15" t="inlineStr">
        <is>
          <t>Volvo</t>
        </is>
      </c>
      <c r="FH2975" s="15" t="inlineStr">
        <is>
          <t>B8R</t>
        </is>
      </c>
      <c r="FI2975" s="15" t="inlineStr">
        <is>
          <t>MARCOPOLO</t>
        </is>
      </c>
      <c r="FJ2975" s="15" t="inlineStr">
        <is>
          <t>TORINO</t>
        </is>
      </c>
      <c r="FK2975" s="15" t="n">
        <v>2019</v>
      </c>
      <c r="FL2975" s="15" t="inlineStr">
        <is>
          <t>B2PAL</t>
        </is>
      </c>
      <c r="FM2975" s="15" t="inlineStr">
        <is>
          <t>LOS LIBERTADORES</t>
        </is>
      </c>
      <c r="FN2975" s="15" t="inlineStr">
        <is>
          <t>Los Liberadores 6450, Lote 4A</t>
        </is>
      </c>
      <c r="FO2975" s="15" t="inlineStr">
        <is>
          <t>Huechuraba</t>
        </is>
      </c>
      <c r="FP2975" t="inlineStr">
        <is>
          <t>B</t>
        </is>
      </c>
    </row>
    <row r="2976">
      <c r="FC2976" t="inlineStr">
        <is>
          <t>Diccionario 4</t>
        </is>
      </c>
      <c r="FD2976" s="15" t="inlineStr">
        <is>
          <t>1057 / GCBB-59|</t>
        </is>
      </c>
      <c r="FE2976" s="15" t="inlineStr">
        <is>
          <t>D8481955K2PL</t>
        </is>
      </c>
      <c r="FF2976" s="15" t="inlineStr">
        <is>
          <t>YV3T7U522KA195270</t>
        </is>
      </c>
      <c r="FG2976" s="15" t="inlineStr">
        <is>
          <t>Volvo</t>
        </is>
      </c>
      <c r="FH2976" s="15" t="inlineStr">
        <is>
          <t>B8R</t>
        </is>
      </c>
      <c r="FI2976" s="15" t="inlineStr">
        <is>
          <t>MARCOPOLO</t>
        </is>
      </c>
      <c r="FJ2976" s="15" t="inlineStr">
        <is>
          <t>TORINO</t>
        </is>
      </c>
      <c r="FK2976" s="15" t="n">
        <v>2019</v>
      </c>
      <c r="FL2976" s="15" t="inlineStr">
        <is>
          <t>B2PAL</t>
        </is>
      </c>
      <c r="FM2976" s="15" t="inlineStr">
        <is>
          <t>LOS LIBERTADORES</t>
        </is>
      </c>
      <c r="FN2976" s="15" t="inlineStr">
        <is>
          <t>Los Liberadores 6450, Lote 4A</t>
        </is>
      </c>
      <c r="FO2976" s="15" t="inlineStr">
        <is>
          <t>Huechuraba</t>
        </is>
      </c>
      <c r="FP2976" t="inlineStr">
        <is>
          <t>B</t>
        </is>
      </c>
    </row>
    <row r="2977">
      <c r="FC2977" t="inlineStr">
        <is>
          <t>Diccionario 4</t>
        </is>
      </c>
      <c r="FD2977" s="15" t="inlineStr">
        <is>
          <t>1058 / GCBB-60|</t>
        </is>
      </c>
      <c r="FE2977" s="15" t="inlineStr">
        <is>
          <t>D8482733K2PL</t>
        </is>
      </c>
      <c r="FF2977" s="15" t="inlineStr">
        <is>
          <t>YV3T7U524KA195299</t>
        </is>
      </c>
      <c r="FG2977" s="15" t="inlineStr">
        <is>
          <t>Volvo</t>
        </is>
      </c>
      <c r="FH2977" s="15" t="inlineStr">
        <is>
          <t>B8R</t>
        </is>
      </c>
      <c r="FI2977" s="15" t="inlineStr">
        <is>
          <t>MARCOPOLO</t>
        </is>
      </c>
      <c r="FJ2977" s="15" t="inlineStr">
        <is>
          <t>TORINO</t>
        </is>
      </c>
      <c r="FK2977" s="15" t="n">
        <v>2019</v>
      </c>
      <c r="FL2977" s="15" t="inlineStr">
        <is>
          <t>B2PAL</t>
        </is>
      </c>
      <c r="FM2977" s="15" t="inlineStr">
        <is>
          <t>LOS LIBERTADORES</t>
        </is>
      </c>
      <c r="FN2977" s="15" t="inlineStr">
        <is>
          <t>Los Liberadores 6450, Lote 4A</t>
        </is>
      </c>
      <c r="FO2977" s="15" t="inlineStr">
        <is>
          <t>Huechuraba</t>
        </is>
      </c>
      <c r="FP2977" t="inlineStr">
        <is>
          <t>B</t>
        </is>
      </c>
    </row>
    <row r="2978">
      <c r="FC2978" t="inlineStr">
        <is>
          <t>Diccionario 4</t>
        </is>
      </c>
      <c r="FD2978" s="15" t="inlineStr">
        <is>
          <t>1059 / GCBB-61|</t>
        </is>
      </c>
      <c r="FE2978" s="15" t="inlineStr">
        <is>
          <t>D8482727K2PL</t>
        </is>
      </c>
      <c r="FF2978" s="15" t="inlineStr">
        <is>
          <t>YV3T7U527KA195300</t>
        </is>
      </c>
      <c r="FG2978" s="15" t="inlineStr">
        <is>
          <t>Volvo</t>
        </is>
      </c>
      <c r="FH2978" s="15" t="inlineStr">
        <is>
          <t>B8R</t>
        </is>
      </c>
      <c r="FI2978" s="15" t="inlineStr">
        <is>
          <t>MARCOPOLO</t>
        </is>
      </c>
      <c r="FJ2978" s="15" t="inlineStr">
        <is>
          <t>TORINO</t>
        </is>
      </c>
      <c r="FK2978" s="15" t="n">
        <v>2019</v>
      </c>
      <c r="FL2978" s="15" t="inlineStr">
        <is>
          <t>B2PAL</t>
        </is>
      </c>
      <c r="FM2978" s="15" t="inlineStr">
        <is>
          <t>LOS LIBERTADORES</t>
        </is>
      </c>
      <c r="FN2978" s="15" t="inlineStr">
        <is>
          <t>Los Liberadores 6450, Lote 4A</t>
        </is>
      </c>
      <c r="FO2978" s="15" t="inlineStr">
        <is>
          <t>Huechuraba</t>
        </is>
      </c>
      <c r="FP2978" t="inlineStr">
        <is>
          <t>B</t>
        </is>
      </c>
    </row>
    <row r="2979">
      <c r="FC2979" t="inlineStr">
        <is>
          <t>Diccionario 4</t>
        </is>
      </c>
      <c r="FD2979" s="15" t="inlineStr">
        <is>
          <t>1060 / GCBB-62|</t>
        </is>
      </c>
      <c r="FE2979" s="15" t="inlineStr">
        <is>
          <t>D8482362K2PL</t>
        </is>
      </c>
      <c r="FF2979" s="15" t="inlineStr">
        <is>
          <t>YV3T7U526KA195286</t>
        </is>
      </c>
      <c r="FG2979" s="15" t="inlineStr">
        <is>
          <t>Volvo</t>
        </is>
      </c>
      <c r="FH2979" s="15" t="inlineStr">
        <is>
          <t>B8R</t>
        </is>
      </c>
      <c r="FI2979" s="15" t="inlineStr">
        <is>
          <t>MARCOPOLO</t>
        </is>
      </c>
      <c r="FJ2979" s="15" t="inlineStr">
        <is>
          <t>TORINO</t>
        </is>
      </c>
      <c r="FK2979" s="15" t="n">
        <v>2019</v>
      </c>
      <c r="FL2979" s="15" t="inlineStr">
        <is>
          <t>B2PAL</t>
        </is>
      </c>
      <c r="FM2979" s="15" t="inlineStr">
        <is>
          <t>LOS LIBERTADORES</t>
        </is>
      </c>
      <c r="FN2979" s="15" t="inlineStr">
        <is>
          <t>Los Liberadores 6450, Lote 4A</t>
        </is>
      </c>
      <c r="FO2979" s="15" t="inlineStr">
        <is>
          <t>Huechuraba</t>
        </is>
      </c>
      <c r="FP2979" t="inlineStr">
        <is>
          <t>B</t>
        </is>
      </c>
    </row>
    <row r="2980">
      <c r="FC2980" t="inlineStr">
        <is>
          <t>Diccionario 4</t>
        </is>
      </c>
      <c r="FD2980" s="15" t="inlineStr">
        <is>
          <t>1061 / GCBB-63|</t>
        </is>
      </c>
      <c r="FE2980" s="15" t="inlineStr">
        <is>
          <t>D8482765K2PL</t>
        </is>
      </c>
      <c r="FF2980" s="15" t="inlineStr">
        <is>
          <t>YV3T7U520KA195302</t>
        </is>
      </c>
      <c r="FG2980" s="15" t="inlineStr">
        <is>
          <t>Volvo</t>
        </is>
      </c>
      <c r="FH2980" s="15" t="inlineStr">
        <is>
          <t>B8R</t>
        </is>
      </c>
      <c r="FI2980" s="15" t="inlineStr">
        <is>
          <t>MARCOPOLO</t>
        </is>
      </c>
      <c r="FJ2980" s="15" t="inlineStr">
        <is>
          <t>TORINO</t>
        </is>
      </c>
      <c r="FK2980" s="15" t="n">
        <v>2019</v>
      </c>
      <c r="FL2980" s="15" t="inlineStr">
        <is>
          <t>B2PAL</t>
        </is>
      </c>
      <c r="FM2980" s="15" t="inlineStr">
        <is>
          <t>LOS LIBERTADORES</t>
        </is>
      </c>
      <c r="FN2980" s="15" t="inlineStr">
        <is>
          <t>Los Liberadores 6450, Lote 4A</t>
        </is>
      </c>
      <c r="FO2980" s="15" t="inlineStr">
        <is>
          <t>Huechuraba</t>
        </is>
      </c>
      <c r="FP2980" t="inlineStr">
        <is>
          <t>B</t>
        </is>
      </c>
    </row>
    <row r="2981">
      <c r="FC2981" t="inlineStr">
        <is>
          <t>Diccionario 4</t>
        </is>
      </c>
      <c r="FD2981" s="15" t="inlineStr">
        <is>
          <t>1062 / GCBB-64|</t>
        </is>
      </c>
      <c r="FE2981" s="15" t="inlineStr">
        <is>
          <t>D8482772K2PL</t>
        </is>
      </c>
      <c r="FF2981" s="15" t="inlineStr">
        <is>
          <t>YV3T7U526KA195305</t>
        </is>
      </c>
      <c r="FG2981" s="15" t="inlineStr">
        <is>
          <t>Volvo</t>
        </is>
      </c>
      <c r="FH2981" s="15" t="inlineStr">
        <is>
          <t>B8R</t>
        </is>
      </c>
      <c r="FI2981" s="15" t="inlineStr">
        <is>
          <t>MARCOPOLO</t>
        </is>
      </c>
      <c r="FJ2981" s="15" t="inlineStr">
        <is>
          <t>TORINO</t>
        </is>
      </c>
      <c r="FK2981" s="15" t="n">
        <v>2019</v>
      </c>
      <c r="FL2981" s="15" t="inlineStr">
        <is>
          <t>B2PAL</t>
        </is>
      </c>
      <c r="FM2981" s="15" t="inlineStr">
        <is>
          <t>LOS LIBERTADORES</t>
        </is>
      </c>
      <c r="FN2981" s="15" t="inlineStr">
        <is>
          <t>Los Liberadores 6450, Lote 4A</t>
        </is>
      </c>
      <c r="FO2981" s="15" t="inlineStr">
        <is>
          <t>Huechuraba</t>
        </is>
      </c>
      <c r="FP2981" t="inlineStr">
        <is>
          <t>B</t>
        </is>
      </c>
    </row>
    <row r="2982">
      <c r="FC2982" t="inlineStr">
        <is>
          <t>Diccionario 4</t>
        </is>
      </c>
      <c r="FD2982" s="15" t="inlineStr">
        <is>
          <t>1063 / GCBB-10|</t>
        </is>
      </c>
      <c r="FE2982" s="15" t="inlineStr">
        <is>
          <t>D8481853K2PL</t>
        </is>
      </c>
      <c r="FF2982" s="15" t="inlineStr">
        <is>
          <t>YV3T7U523KA195195</t>
        </is>
      </c>
      <c r="FG2982" s="15" t="inlineStr">
        <is>
          <t>Volvo</t>
        </is>
      </c>
      <c r="FH2982" s="15" t="inlineStr">
        <is>
          <t>B8R</t>
        </is>
      </c>
      <c r="FI2982" s="15" t="inlineStr">
        <is>
          <t>MARCOPOLO</t>
        </is>
      </c>
      <c r="FJ2982" s="15" t="inlineStr">
        <is>
          <t>TORINO</t>
        </is>
      </c>
      <c r="FK2982" s="15" t="n">
        <v>2019</v>
      </c>
      <c r="FL2982" s="15" t="inlineStr">
        <is>
          <t>B2PAL</t>
        </is>
      </c>
      <c r="FM2982" s="15" t="inlineStr">
        <is>
          <t>LOS LIBERTADORES</t>
        </is>
      </c>
      <c r="FN2982" s="15" t="inlineStr">
        <is>
          <t>Los Liberadores 6450, Lote 4A</t>
        </is>
      </c>
      <c r="FO2982" s="15" t="inlineStr">
        <is>
          <t>Huechuraba</t>
        </is>
      </c>
      <c r="FP2982" t="inlineStr">
        <is>
          <t>B</t>
        </is>
      </c>
    </row>
    <row r="2983">
      <c r="FC2983" t="inlineStr">
        <is>
          <t>Diccionario 4</t>
        </is>
      </c>
      <c r="FD2983" s="15" t="inlineStr">
        <is>
          <t>1064 / GCBB-65|</t>
        </is>
      </c>
      <c r="FE2983" s="15" t="inlineStr">
        <is>
          <t>D8482473K2PL</t>
        </is>
      </c>
      <c r="FF2983" s="15" t="inlineStr">
        <is>
          <t>YV3T7U520KA195316</t>
        </is>
      </c>
      <c r="FG2983" s="15" t="inlineStr">
        <is>
          <t>Volvo</t>
        </is>
      </c>
      <c r="FH2983" s="15" t="inlineStr">
        <is>
          <t>B8R</t>
        </is>
      </c>
      <c r="FI2983" s="15" t="inlineStr">
        <is>
          <t>MARCOPOLO</t>
        </is>
      </c>
      <c r="FJ2983" s="15" t="inlineStr">
        <is>
          <t>TORINO</t>
        </is>
      </c>
      <c r="FK2983" s="15" t="n">
        <v>2019</v>
      </c>
      <c r="FL2983" s="15" t="inlineStr">
        <is>
          <t>B2PAL</t>
        </is>
      </c>
      <c r="FM2983" s="15" t="inlineStr">
        <is>
          <t>LOS LIBERTADORES</t>
        </is>
      </c>
      <c r="FN2983" s="15" t="inlineStr">
        <is>
          <t>Los Liberadores 6450, Lote 4A</t>
        </is>
      </c>
      <c r="FO2983" s="15" t="inlineStr">
        <is>
          <t>Huechuraba</t>
        </is>
      </c>
      <c r="FP2983" t="inlineStr">
        <is>
          <t>B</t>
        </is>
      </c>
    </row>
    <row r="2984">
      <c r="FC2984" t="inlineStr">
        <is>
          <t>Diccionario 4</t>
        </is>
      </c>
      <c r="FD2984" s="15" t="inlineStr">
        <is>
          <t>1065 / GCBB-66|</t>
        </is>
      </c>
      <c r="FE2984" s="15" t="inlineStr">
        <is>
          <t>D8484011K2PL</t>
        </is>
      </c>
      <c r="FF2984" s="15" t="inlineStr">
        <is>
          <t>YV3T7U522KA195592</t>
        </is>
      </c>
      <c r="FG2984" s="15" t="inlineStr">
        <is>
          <t>Volvo</t>
        </is>
      </c>
      <c r="FH2984" s="15" t="inlineStr">
        <is>
          <t>B8R</t>
        </is>
      </c>
      <c r="FI2984" s="15" t="inlineStr">
        <is>
          <t>MARCOPOLO</t>
        </is>
      </c>
      <c r="FJ2984" s="15" t="inlineStr">
        <is>
          <t>TORINO</t>
        </is>
      </c>
      <c r="FK2984" s="15" t="n">
        <v>2019</v>
      </c>
      <c r="FL2984" s="15" t="inlineStr">
        <is>
          <t>B2PAL</t>
        </is>
      </c>
      <c r="FM2984" s="15" t="inlineStr">
        <is>
          <t>LOS LIBERTADORES</t>
        </is>
      </c>
      <c r="FN2984" s="15" t="inlineStr">
        <is>
          <t>Los Liberadores 6450, Lote 4A</t>
        </is>
      </c>
      <c r="FO2984" s="15" t="inlineStr">
        <is>
          <t>Huechuraba</t>
        </is>
      </c>
      <c r="FP2984" t="inlineStr">
        <is>
          <t>B</t>
        </is>
      </c>
    </row>
    <row r="2985">
      <c r="FC2985" t="inlineStr">
        <is>
          <t>Diccionario 4</t>
        </is>
      </c>
      <c r="FD2985" s="15" t="inlineStr">
        <is>
          <t>1066 / GCBB-67|</t>
        </is>
      </c>
      <c r="FE2985" s="15" t="inlineStr">
        <is>
          <t>D8483863K2PL</t>
        </is>
      </c>
      <c r="FF2985" s="15" t="inlineStr">
        <is>
          <t>YV3T7U526KA195594</t>
        </is>
      </c>
      <c r="FG2985" s="15" t="inlineStr">
        <is>
          <t>Volvo</t>
        </is>
      </c>
      <c r="FH2985" s="15" t="inlineStr">
        <is>
          <t>B8R</t>
        </is>
      </c>
      <c r="FI2985" s="15" t="inlineStr">
        <is>
          <t>MARCOPOLO</t>
        </is>
      </c>
      <c r="FJ2985" s="15" t="inlineStr">
        <is>
          <t>TORINO</t>
        </is>
      </c>
      <c r="FK2985" s="15" t="n">
        <v>2019</v>
      </c>
      <c r="FL2985" s="15" t="inlineStr">
        <is>
          <t>B2PAL</t>
        </is>
      </c>
      <c r="FM2985" s="15" t="inlineStr">
        <is>
          <t>LOS LIBERTADORES</t>
        </is>
      </c>
      <c r="FN2985" s="15" t="inlineStr">
        <is>
          <t>Los Liberadores 6450, Lote 4A</t>
        </is>
      </c>
      <c r="FO2985" s="15" t="inlineStr">
        <is>
          <t>Huechuraba</t>
        </is>
      </c>
      <c r="FP2985" t="inlineStr">
        <is>
          <t>B</t>
        </is>
      </c>
    </row>
    <row r="2986">
      <c r="FC2986" t="inlineStr">
        <is>
          <t>Diccionario 4</t>
        </is>
      </c>
      <c r="FD2986" s="15" t="inlineStr">
        <is>
          <t>1067 / GCBB-68|</t>
        </is>
      </c>
      <c r="FE2986" s="15" t="inlineStr">
        <is>
          <t>D8452415K2PL</t>
        </is>
      </c>
      <c r="FF2986" s="15" t="inlineStr">
        <is>
          <t>YV3T7U529JA189190</t>
        </is>
      </c>
      <c r="FG2986" s="15" t="inlineStr">
        <is>
          <t>Volvo</t>
        </is>
      </c>
      <c r="FH2986" s="15" t="inlineStr">
        <is>
          <t>B8R</t>
        </is>
      </c>
      <c r="FI2986" s="15" t="inlineStr">
        <is>
          <t>MARCOPOLO</t>
        </is>
      </c>
      <c r="FJ2986" s="15" t="inlineStr">
        <is>
          <t>TORINO</t>
        </is>
      </c>
      <c r="FK2986" s="15" t="n">
        <v>2019</v>
      </c>
      <c r="FL2986" s="15" t="inlineStr">
        <is>
          <t>B2PAL</t>
        </is>
      </c>
      <c r="FM2986" s="15" t="inlineStr">
        <is>
          <t>SAN JOSE</t>
        </is>
      </c>
      <c r="FN2986" s="15" t="inlineStr">
        <is>
          <t>San José 030 (José Besa 669)</t>
        </is>
      </c>
      <c r="FO2986" s="15" t="inlineStr">
        <is>
          <t>San Bernardo</t>
        </is>
      </c>
      <c r="FP2986" t="inlineStr">
        <is>
          <t>B</t>
        </is>
      </c>
    </row>
    <row r="2987">
      <c r="FC2987" t="inlineStr">
        <is>
          <t>Diccionario 4</t>
        </is>
      </c>
      <c r="FD2987" s="15" t="inlineStr">
        <is>
          <t>1068 / GCBB-69|</t>
        </is>
      </c>
      <c r="FE2987" s="15" t="inlineStr">
        <is>
          <t>D8481542K2PL</t>
        </is>
      </c>
      <c r="FF2987" s="15" t="inlineStr">
        <is>
          <t>YV3T7U522KA195172</t>
        </is>
      </c>
      <c r="FG2987" s="15" t="inlineStr">
        <is>
          <t>Volvo</t>
        </is>
      </c>
      <c r="FH2987" s="15" t="inlineStr">
        <is>
          <t>B8R</t>
        </is>
      </c>
      <c r="FI2987" s="15" t="inlineStr">
        <is>
          <t>MARCOPOLO</t>
        </is>
      </c>
      <c r="FJ2987" s="15" t="inlineStr">
        <is>
          <t>TORINO</t>
        </is>
      </c>
      <c r="FK2987" s="15" t="n">
        <v>2019</v>
      </c>
      <c r="FL2987" s="15" t="inlineStr">
        <is>
          <t>B2PAL</t>
        </is>
      </c>
      <c r="FM2987" s="15" t="inlineStr">
        <is>
          <t>LOS LIBERTADORES</t>
        </is>
      </c>
      <c r="FN2987" s="15" t="inlineStr">
        <is>
          <t>Los Liberadores 6450, Lote 4A</t>
        </is>
      </c>
      <c r="FO2987" s="15" t="inlineStr">
        <is>
          <t>Huechuraba</t>
        </is>
      </c>
      <c r="FP2987" t="inlineStr">
        <is>
          <t>B</t>
        </is>
      </c>
    </row>
    <row r="2988">
      <c r="FC2988" t="inlineStr">
        <is>
          <t>Diccionario 4</t>
        </is>
      </c>
      <c r="FD2988" s="15" t="inlineStr">
        <is>
          <t>1069 / GCBB-70|</t>
        </is>
      </c>
      <c r="FE2988" s="15" t="inlineStr">
        <is>
          <t>D8482361K2PL</t>
        </is>
      </c>
      <c r="FF2988" s="15" t="inlineStr">
        <is>
          <t>YV3T7U528KA195287</t>
        </is>
      </c>
      <c r="FG2988" s="15" t="inlineStr">
        <is>
          <t>Volvo</t>
        </is>
      </c>
      <c r="FH2988" s="15" t="inlineStr">
        <is>
          <t>B8R</t>
        </is>
      </c>
      <c r="FI2988" s="15" t="inlineStr">
        <is>
          <t>MARCOPOLO</t>
        </is>
      </c>
      <c r="FJ2988" s="15" t="inlineStr">
        <is>
          <t>TORINO</t>
        </is>
      </c>
      <c r="FK2988" s="15" t="n">
        <v>2019</v>
      </c>
      <c r="FL2988" s="15" t="inlineStr">
        <is>
          <t>B2PAL</t>
        </is>
      </c>
      <c r="FM2988" s="15" t="inlineStr">
        <is>
          <t>LOS LIBERTADORES</t>
        </is>
      </c>
      <c r="FN2988" s="15" t="inlineStr">
        <is>
          <t>Los Liberadores 6450, Lote 4A</t>
        </is>
      </c>
      <c r="FO2988" s="15" t="inlineStr">
        <is>
          <t>Huechuraba</t>
        </is>
      </c>
      <c r="FP2988" t="inlineStr">
        <is>
          <t>B</t>
        </is>
      </c>
    </row>
    <row r="2989">
      <c r="FC2989" t="inlineStr">
        <is>
          <t>Diccionario 4</t>
        </is>
      </c>
      <c r="FD2989" s="15" t="inlineStr">
        <is>
          <t>1070 / GCBB-71|</t>
        </is>
      </c>
      <c r="FE2989" s="15" t="inlineStr">
        <is>
          <t>D8482775K2PL</t>
        </is>
      </c>
      <c r="FF2989" s="15" t="inlineStr">
        <is>
          <t>YV3T7U528KA195306</t>
        </is>
      </c>
      <c r="FG2989" s="15" t="inlineStr">
        <is>
          <t>Volvo</t>
        </is>
      </c>
      <c r="FH2989" s="15" t="inlineStr">
        <is>
          <t>B8R</t>
        </is>
      </c>
      <c r="FI2989" s="15" t="inlineStr">
        <is>
          <t>MARCOPOLO</t>
        </is>
      </c>
      <c r="FJ2989" s="15" t="inlineStr">
        <is>
          <t>TORINO</t>
        </is>
      </c>
      <c r="FK2989" s="15" t="n">
        <v>2019</v>
      </c>
      <c r="FL2989" s="15" t="inlineStr">
        <is>
          <t>B2PAL</t>
        </is>
      </c>
      <c r="FM2989" s="15" t="inlineStr">
        <is>
          <t>LOS LIBERTADORES</t>
        </is>
      </c>
      <c r="FN2989" s="15" t="inlineStr">
        <is>
          <t>Los Liberadores 6450, Lote 4A</t>
        </is>
      </c>
      <c r="FO2989" s="15" t="inlineStr">
        <is>
          <t>Huechuraba</t>
        </is>
      </c>
      <c r="FP2989" t="inlineStr">
        <is>
          <t>B</t>
        </is>
      </c>
    </row>
    <row r="2990">
      <c r="FC2990" t="inlineStr">
        <is>
          <t>Diccionario 4</t>
        </is>
      </c>
      <c r="FD2990" s="15" t="inlineStr">
        <is>
          <t>1071 / GCBB-72|</t>
        </is>
      </c>
      <c r="FE2990" s="15" t="inlineStr">
        <is>
          <t>D8482721K2PL</t>
        </is>
      </c>
      <c r="FF2990" s="15" t="inlineStr">
        <is>
          <t>YV3T7U52XKA195307</t>
        </is>
      </c>
      <c r="FG2990" s="15" t="inlineStr">
        <is>
          <t>Volvo</t>
        </is>
      </c>
      <c r="FH2990" s="15" t="inlineStr">
        <is>
          <t>B8R</t>
        </is>
      </c>
      <c r="FI2990" s="15" t="inlineStr">
        <is>
          <t>MARCOPOLO</t>
        </is>
      </c>
      <c r="FJ2990" s="15" t="inlineStr">
        <is>
          <t>TORINO</t>
        </is>
      </c>
      <c r="FK2990" s="15" t="n">
        <v>2019</v>
      </c>
      <c r="FL2990" s="15" t="inlineStr">
        <is>
          <t>B2PAL</t>
        </is>
      </c>
      <c r="FM2990" s="15" t="inlineStr">
        <is>
          <t>LOS LIBERTADORES</t>
        </is>
      </c>
      <c r="FN2990" s="15" t="inlineStr">
        <is>
          <t>Los Liberadores 6450, Lote 4A</t>
        </is>
      </c>
      <c r="FO2990" s="15" t="inlineStr">
        <is>
          <t>Huechuraba</t>
        </is>
      </c>
      <c r="FP2990" t="inlineStr">
        <is>
          <t>B</t>
        </is>
      </c>
    </row>
    <row r="2991">
      <c r="FC2991" t="inlineStr">
        <is>
          <t>Diccionario 4</t>
        </is>
      </c>
      <c r="FD2991" s="15" t="inlineStr">
        <is>
          <t>1072 / GCBB-73|</t>
        </is>
      </c>
      <c r="FE2991" s="15" t="inlineStr">
        <is>
          <t>D8482748K2PL</t>
        </is>
      </c>
      <c r="FF2991" s="15" t="inlineStr">
        <is>
          <t>YV3T7U521KA195308</t>
        </is>
      </c>
      <c r="FG2991" s="15" t="inlineStr">
        <is>
          <t>Volvo</t>
        </is>
      </c>
      <c r="FH2991" s="15" t="inlineStr">
        <is>
          <t>B8R</t>
        </is>
      </c>
      <c r="FI2991" s="15" t="inlineStr">
        <is>
          <t>MARCOPOLO</t>
        </is>
      </c>
      <c r="FJ2991" s="15" t="inlineStr">
        <is>
          <t>TORINO</t>
        </is>
      </c>
      <c r="FK2991" s="15" t="n">
        <v>2019</v>
      </c>
      <c r="FL2991" s="15" t="inlineStr">
        <is>
          <t>B2PAL</t>
        </is>
      </c>
      <c r="FM2991" s="15" t="inlineStr">
        <is>
          <t>SAN JOSE</t>
        </is>
      </c>
      <c r="FN2991" s="15" t="inlineStr">
        <is>
          <t>San José 030 (José Besa 669)</t>
        </is>
      </c>
      <c r="FO2991" s="15" t="inlineStr">
        <is>
          <t>San Bernardo</t>
        </is>
      </c>
      <c r="FP2991" t="inlineStr">
        <is>
          <t>B</t>
        </is>
      </c>
    </row>
    <row r="2992">
      <c r="FC2992" t="inlineStr">
        <is>
          <t>Diccionario 4</t>
        </is>
      </c>
      <c r="FD2992" s="15" t="inlineStr">
        <is>
          <t>1073 / GCBB-74|</t>
        </is>
      </c>
      <c r="FE2992" s="15" t="inlineStr">
        <is>
          <t>D8482485K2PL</t>
        </is>
      </c>
      <c r="FF2992" s="15" t="inlineStr">
        <is>
          <t>YV3T7U522KA195317</t>
        </is>
      </c>
      <c r="FG2992" s="15" t="inlineStr">
        <is>
          <t>Volvo</t>
        </is>
      </c>
      <c r="FH2992" s="15" t="inlineStr">
        <is>
          <t>B8R</t>
        </is>
      </c>
      <c r="FI2992" s="15" t="inlineStr">
        <is>
          <t>MARCOPOLO</t>
        </is>
      </c>
      <c r="FJ2992" s="15" t="inlineStr">
        <is>
          <t>TORINO</t>
        </is>
      </c>
      <c r="FK2992" s="15" t="n">
        <v>2019</v>
      </c>
      <c r="FL2992" s="15" t="inlineStr">
        <is>
          <t>B2PAL</t>
        </is>
      </c>
      <c r="FM2992" s="15" t="inlineStr">
        <is>
          <t>LOS LIBERTADORES</t>
        </is>
      </c>
      <c r="FN2992" s="15" t="inlineStr">
        <is>
          <t>Los Liberadores 6450, Lote 4A</t>
        </is>
      </c>
      <c r="FO2992" s="15" t="inlineStr">
        <is>
          <t>Huechuraba</t>
        </is>
      </c>
      <c r="FP2992" t="inlineStr">
        <is>
          <t>B</t>
        </is>
      </c>
    </row>
    <row r="2993">
      <c r="FC2993" t="inlineStr">
        <is>
          <t>Diccionario 4</t>
        </is>
      </c>
      <c r="FD2993" s="15" t="inlineStr">
        <is>
          <t>1074 / GCBB-11|</t>
        </is>
      </c>
      <c r="FE2993" s="15" t="inlineStr">
        <is>
          <t>D8481452K2PL</t>
        </is>
      </c>
      <c r="FF2993" s="15" t="inlineStr">
        <is>
          <t>YV3T7U525KA195196</t>
        </is>
      </c>
      <c r="FG2993" s="15" t="inlineStr">
        <is>
          <t>Volvo</t>
        </is>
      </c>
      <c r="FH2993" s="15" t="inlineStr">
        <is>
          <t>B8R</t>
        </is>
      </c>
      <c r="FI2993" s="15" t="inlineStr">
        <is>
          <t>MARCOPOLO</t>
        </is>
      </c>
      <c r="FJ2993" s="15" t="inlineStr">
        <is>
          <t>TORINO</t>
        </is>
      </c>
      <c r="FK2993" s="15" t="n">
        <v>2019</v>
      </c>
      <c r="FL2993" s="15" t="inlineStr">
        <is>
          <t>B2PAL</t>
        </is>
      </c>
      <c r="FM2993" s="15" t="inlineStr">
        <is>
          <t>LOS LIBERTADORES</t>
        </is>
      </c>
      <c r="FN2993" s="15" t="inlineStr">
        <is>
          <t>Los Liberadores 6450, Lote 4A</t>
        </is>
      </c>
      <c r="FO2993" s="15" t="inlineStr">
        <is>
          <t>Huechuraba</t>
        </is>
      </c>
      <c r="FP2993" t="inlineStr">
        <is>
          <t>B</t>
        </is>
      </c>
    </row>
    <row r="2994">
      <c r="FC2994" t="inlineStr">
        <is>
          <t>Diccionario 4</t>
        </is>
      </c>
      <c r="FD2994" s="15" t="inlineStr">
        <is>
          <t>1075 / GCBB-75|</t>
        </is>
      </c>
      <c r="FE2994" s="15" t="inlineStr">
        <is>
          <t>D8482455K2PL</t>
        </is>
      </c>
      <c r="FF2994" s="15" t="inlineStr">
        <is>
          <t>YV3T7U524KA195318</t>
        </is>
      </c>
      <c r="FG2994" s="15" t="inlineStr">
        <is>
          <t>Volvo</t>
        </is>
      </c>
      <c r="FH2994" s="15" t="inlineStr">
        <is>
          <t>B8R</t>
        </is>
      </c>
      <c r="FI2994" s="15" t="inlineStr">
        <is>
          <t>MARCOPOLO</t>
        </is>
      </c>
      <c r="FJ2994" s="15" t="inlineStr">
        <is>
          <t>TORINO</t>
        </is>
      </c>
      <c r="FK2994" s="15" t="n">
        <v>2019</v>
      </c>
      <c r="FL2994" s="15" t="inlineStr">
        <is>
          <t>B2PAL</t>
        </is>
      </c>
      <c r="FM2994" s="15" t="inlineStr">
        <is>
          <t>LOS LIBERTADORES</t>
        </is>
      </c>
      <c r="FN2994" s="15" t="inlineStr">
        <is>
          <t>Los Liberadores 6450, Lote 4A</t>
        </is>
      </c>
      <c r="FO2994" s="15" t="inlineStr">
        <is>
          <t>Huechuraba</t>
        </is>
      </c>
      <c r="FP2994" t="inlineStr">
        <is>
          <t>B</t>
        </is>
      </c>
    </row>
    <row r="2995">
      <c r="FC2995" t="inlineStr">
        <is>
          <t>Diccionario 4</t>
        </is>
      </c>
      <c r="FD2995" s="15" t="inlineStr">
        <is>
          <t>1076 / GCBB-76|</t>
        </is>
      </c>
      <c r="FE2995" s="15" t="inlineStr">
        <is>
          <t>D8482471K2PL</t>
        </is>
      </c>
      <c r="FF2995" s="15" t="inlineStr">
        <is>
          <t>YV3T7U526KA195319</t>
        </is>
      </c>
      <c r="FG2995" s="15" t="inlineStr">
        <is>
          <t>Volvo</t>
        </is>
      </c>
      <c r="FH2995" s="15" t="inlineStr">
        <is>
          <t>B8R</t>
        </is>
      </c>
      <c r="FI2995" s="15" t="inlineStr">
        <is>
          <t>MARCOPOLO</t>
        </is>
      </c>
      <c r="FJ2995" s="15" t="inlineStr">
        <is>
          <t>TORINO</t>
        </is>
      </c>
      <c r="FK2995" s="15" t="n">
        <v>2019</v>
      </c>
      <c r="FL2995" s="15" t="inlineStr">
        <is>
          <t>B2PAL</t>
        </is>
      </c>
      <c r="FM2995" s="15" t="inlineStr">
        <is>
          <t>SAN JOSE</t>
        </is>
      </c>
      <c r="FN2995" s="15" t="inlineStr">
        <is>
          <t>San José 030 (José Besa 669)</t>
        </is>
      </c>
      <c r="FO2995" s="15" t="inlineStr">
        <is>
          <t>San Bernardo</t>
        </is>
      </c>
      <c r="FP2995" t="inlineStr">
        <is>
          <t>B</t>
        </is>
      </c>
    </row>
    <row r="2996">
      <c r="FC2996" t="inlineStr">
        <is>
          <t>Diccionario 4</t>
        </is>
      </c>
      <c r="FD2996" s="15" t="inlineStr">
        <is>
          <t>1077 / GCBB-77|</t>
        </is>
      </c>
      <c r="FE2996" s="15" t="inlineStr">
        <is>
          <t>D8482458K2PL</t>
        </is>
      </c>
      <c r="FF2996" s="15" t="inlineStr">
        <is>
          <t>YV3T7U522KA195320</t>
        </is>
      </c>
      <c r="FG2996" s="15" t="inlineStr">
        <is>
          <t>Volvo</t>
        </is>
      </c>
      <c r="FH2996" s="15" t="inlineStr">
        <is>
          <t>B8R</t>
        </is>
      </c>
      <c r="FI2996" s="15" t="inlineStr">
        <is>
          <t>MARCOPOLO</t>
        </is>
      </c>
      <c r="FJ2996" s="15" t="inlineStr">
        <is>
          <t>TORINO</t>
        </is>
      </c>
      <c r="FK2996" s="15" t="n">
        <v>2019</v>
      </c>
      <c r="FL2996" s="15" t="inlineStr">
        <is>
          <t>B2PAL</t>
        </is>
      </c>
      <c r="FM2996" s="15" t="inlineStr">
        <is>
          <t>LOS LIBERTADORES</t>
        </is>
      </c>
      <c r="FN2996" s="15" t="inlineStr">
        <is>
          <t>Los Liberadores 6450, Lote 4A</t>
        </is>
      </c>
      <c r="FO2996" s="15" t="inlineStr">
        <is>
          <t>Huechuraba</t>
        </is>
      </c>
      <c r="FP2996" t="inlineStr">
        <is>
          <t>B</t>
        </is>
      </c>
    </row>
    <row r="2997">
      <c r="FC2997" t="inlineStr">
        <is>
          <t>Diccionario 4</t>
        </is>
      </c>
      <c r="FD2997" s="15" t="inlineStr">
        <is>
          <t>1078 / GCBB-78|</t>
        </is>
      </c>
      <c r="FE2997" s="15" t="inlineStr">
        <is>
          <t>D8482397K2PL</t>
        </is>
      </c>
      <c r="FF2997" s="15" t="inlineStr">
        <is>
          <t>YV3T7U524KA195321</t>
        </is>
      </c>
      <c r="FG2997" s="15" t="inlineStr">
        <is>
          <t>Volvo</t>
        </is>
      </c>
      <c r="FH2997" s="15" t="inlineStr">
        <is>
          <t>B8R</t>
        </is>
      </c>
      <c r="FI2997" s="15" t="inlineStr">
        <is>
          <t>MARCOPOLO</t>
        </is>
      </c>
      <c r="FJ2997" s="15" t="inlineStr">
        <is>
          <t>TORINO</t>
        </is>
      </c>
      <c r="FK2997" s="15" t="n">
        <v>2019</v>
      </c>
      <c r="FL2997" s="15" t="inlineStr">
        <is>
          <t>B2PAL</t>
        </is>
      </c>
      <c r="FM2997" s="15" t="inlineStr">
        <is>
          <t>LOS LIBERTADORES</t>
        </is>
      </c>
      <c r="FN2997" s="15" t="inlineStr">
        <is>
          <t>Los Liberadores 6450, Lote 4A</t>
        </is>
      </c>
      <c r="FO2997" s="15" t="inlineStr">
        <is>
          <t>Huechuraba</t>
        </is>
      </c>
      <c r="FP2997" t="inlineStr">
        <is>
          <t>B</t>
        </is>
      </c>
    </row>
    <row r="2998">
      <c r="FC2998" t="inlineStr">
        <is>
          <t>Diccionario 4</t>
        </is>
      </c>
      <c r="FD2998" s="15" t="inlineStr">
        <is>
          <t>1079 / GCBB-79|</t>
        </is>
      </c>
      <c r="FE2998" s="15" t="inlineStr">
        <is>
          <t>D8482405K2PL</t>
        </is>
      </c>
      <c r="FF2998" s="15" t="inlineStr">
        <is>
          <t>YV3T7U526KA195322</t>
        </is>
      </c>
      <c r="FG2998" s="15" t="inlineStr">
        <is>
          <t>Volvo</t>
        </is>
      </c>
      <c r="FH2998" s="15" t="inlineStr">
        <is>
          <t>B8R</t>
        </is>
      </c>
      <c r="FI2998" s="15" t="inlineStr">
        <is>
          <t>MARCOPOLO</t>
        </is>
      </c>
      <c r="FJ2998" s="15" t="inlineStr">
        <is>
          <t>TORINO</t>
        </is>
      </c>
      <c r="FK2998" s="15" t="n">
        <v>2019</v>
      </c>
      <c r="FL2998" s="15" t="inlineStr">
        <is>
          <t>B2PAL</t>
        </is>
      </c>
      <c r="FM2998" s="15" t="inlineStr">
        <is>
          <t>SAN JOSE</t>
        </is>
      </c>
      <c r="FN2998" s="15" t="inlineStr">
        <is>
          <t>San José 030 (José Besa 669)</t>
        </is>
      </c>
      <c r="FO2998" s="15" t="inlineStr">
        <is>
          <t>San Bernardo</t>
        </is>
      </c>
      <c r="FP2998" t="inlineStr">
        <is>
          <t>B</t>
        </is>
      </c>
    </row>
    <row r="2999">
      <c r="FC2999" t="inlineStr">
        <is>
          <t>Diccionario 4</t>
        </is>
      </c>
      <c r="FD2999" s="15" t="inlineStr">
        <is>
          <t>1080 / GCBB-80|</t>
        </is>
      </c>
      <c r="FE2999" s="15" t="inlineStr">
        <is>
          <t>D8482402K2PL</t>
        </is>
      </c>
      <c r="FF2999" s="15" t="inlineStr">
        <is>
          <t>YV3T7U528KA195323</t>
        </is>
      </c>
      <c r="FG2999" s="15" t="inlineStr">
        <is>
          <t>Volvo</t>
        </is>
      </c>
      <c r="FH2999" s="15" t="inlineStr">
        <is>
          <t>B8R</t>
        </is>
      </c>
      <c r="FI2999" s="15" t="inlineStr">
        <is>
          <t>MARCOPOLO</t>
        </is>
      </c>
      <c r="FJ2999" s="15" t="inlineStr">
        <is>
          <t>TORINO</t>
        </is>
      </c>
      <c r="FK2999" s="15" t="n">
        <v>2019</v>
      </c>
      <c r="FL2999" s="15" t="inlineStr">
        <is>
          <t>B2PAL</t>
        </is>
      </c>
      <c r="FM2999" s="15" t="inlineStr">
        <is>
          <t>SAN JOSE</t>
        </is>
      </c>
      <c r="FN2999" s="15" t="inlineStr">
        <is>
          <t>San José 030 (José Besa 669)</t>
        </is>
      </c>
      <c r="FO2999" s="15" t="inlineStr">
        <is>
          <t>San Bernardo</t>
        </is>
      </c>
      <c r="FP2999" t="inlineStr">
        <is>
          <t>B</t>
        </is>
      </c>
    </row>
    <row r="3000">
      <c r="FC3000" t="inlineStr">
        <is>
          <t>Diccionario 4</t>
        </is>
      </c>
      <c r="FD3000" s="15" t="inlineStr">
        <is>
          <t>1081 / GCBB-81|</t>
        </is>
      </c>
      <c r="FE3000" s="15" t="inlineStr">
        <is>
          <t>D8482422K2PL</t>
        </is>
      </c>
      <c r="FF3000" s="15" t="inlineStr">
        <is>
          <t>YV3T7U521KA195325</t>
        </is>
      </c>
      <c r="FG3000" s="15" t="inlineStr">
        <is>
          <t>Volvo</t>
        </is>
      </c>
      <c r="FH3000" s="15" t="inlineStr">
        <is>
          <t>B8R</t>
        </is>
      </c>
      <c r="FI3000" s="15" t="inlineStr">
        <is>
          <t>MARCOPOLO</t>
        </is>
      </c>
      <c r="FJ3000" s="15" t="inlineStr">
        <is>
          <t>TORINO</t>
        </is>
      </c>
      <c r="FK3000" s="15" t="n">
        <v>2019</v>
      </c>
      <c r="FL3000" s="15" t="inlineStr">
        <is>
          <t>B2PAL</t>
        </is>
      </c>
      <c r="FM3000" s="15" t="inlineStr">
        <is>
          <t>SAN JOSE</t>
        </is>
      </c>
      <c r="FN3000" s="15" t="inlineStr">
        <is>
          <t>San José 030 (José Besa 669)</t>
        </is>
      </c>
      <c r="FO3000" s="15" t="inlineStr">
        <is>
          <t>San Bernardo</t>
        </is>
      </c>
      <c r="FP3000" t="inlineStr">
        <is>
          <t>B</t>
        </is>
      </c>
    </row>
    <row r="3001">
      <c r="FC3001" t="inlineStr">
        <is>
          <t>Diccionario 4</t>
        </is>
      </c>
      <c r="FD3001" s="15" t="inlineStr">
        <is>
          <t>1082 / GCBB-82|</t>
        </is>
      </c>
      <c r="FE3001" s="15" t="inlineStr">
        <is>
          <t>D8482534K2PL</t>
        </is>
      </c>
      <c r="FF3001" s="15" t="inlineStr">
        <is>
          <t>YV3T7U527KA195359</t>
        </is>
      </c>
      <c r="FG3001" s="15" t="inlineStr">
        <is>
          <t>Volvo</t>
        </is>
      </c>
      <c r="FH3001" s="15" t="inlineStr">
        <is>
          <t>B8R</t>
        </is>
      </c>
      <c r="FI3001" s="15" t="inlineStr">
        <is>
          <t>MARCOPOLO</t>
        </is>
      </c>
      <c r="FJ3001" s="15" t="inlineStr">
        <is>
          <t>TORINO</t>
        </is>
      </c>
      <c r="FK3001" s="15" t="n">
        <v>2019</v>
      </c>
      <c r="FL3001" s="15" t="inlineStr">
        <is>
          <t>B2PAL</t>
        </is>
      </c>
      <c r="FM3001" s="15" t="inlineStr">
        <is>
          <t>SAN JOSE</t>
        </is>
      </c>
      <c r="FN3001" s="15" t="inlineStr">
        <is>
          <t>San José 030 (José Besa 669)</t>
        </is>
      </c>
      <c r="FO3001" s="15" t="inlineStr">
        <is>
          <t>San Bernardo</t>
        </is>
      </c>
      <c r="FP3001" t="inlineStr">
        <is>
          <t>B</t>
        </is>
      </c>
    </row>
    <row r="3002">
      <c r="FC3002" t="inlineStr">
        <is>
          <t>Diccionario 4</t>
        </is>
      </c>
      <c r="FD3002" s="15" t="inlineStr">
        <is>
          <t>1083 / GCBB-83|</t>
        </is>
      </c>
      <c r="FE3002" s="15" t="inlineStr">
        <is>
          <t>D8482872K2PL</t>
        </is>
      </c>
      <c r="FF3002" s="15" t="inlineStr">
        <is>
          <t>YV3T7U52XKA195405</t>
        </is>
      </c>
      <c r="FG3002" s="15" t="inlineStr">
        <is>
          <t>Volvo</t>
        </is>
      </c>
      <c r="FH3002" s="15" t="inlineStr">
        <is>
          <t>B8R</t>
        </is>
      </c>
      <c r="FI3002" s="15" t="inlineStr">
        <is>
          <t>MARCOPOLO</t>
        </is>
      </c>
      <c r="FJ3002" s="15" t="inlineStr">
        <is>
          <t>TORINO</t>
        </is>
      </c>
      <c r="FK3002" s="15" t="n">
        <v>2019</v>
      </c>
      <c r="FL3002" s="15" t="inlineStr">
        <is>
          <t>B2PAL</t>
        </is>
      </c>
      <c r="FM3002" s="15" t="inlineStr">
        <is>
          <t>LOS LIBERTADORES</t>
        </is>
      </c>
      <c r="FN3002" s="15" t="inlineStr">
        <is>
          <t>Los Liberadores 6450, Lote 4A</t>
        </is>
      </c>
      <c r="FO3002" s="15" t="inlineStr">
        <is>
          <t>Huechuraba</t>
        </is>
      </c>
      <c r="FP3002" t="inlineStr">
        <is>
          <t>B</t>
        </is>
      </c>
    </row>
    <row r="3003">
      <c r="FC3003" t="inlineStr">
        <is>
          <t>Diccionario 4</t>
        </is>
      </c>
      <c r="FD3003" s="15" t="inlineStr">
        <is>
          <t>1084 / GCBB-84|</t>
        </is>
      </c>
      <c r="FE3003" s="15" t="inlineStr">
        <is>
          <t>D8482892K2PL</t>
        </is>
      </c>
      <c r="FF3003" s="15" t="inlineStr">
        <is>
          <t>YV3T7U521KA195406</t>
        </is>
      </c>
      <c r="FG3003" s="15" t="inlineStr">
        <is>
          <t>Volvo</t>
        </is>
      </c>
      <c r="FH3003" s="15" t="inlineStr">
        <is>
          <t>B8R</t>
        </is>
      </c>
      <c r="FI3003" s="15" t="inlineStr">
        <is>
          <t>MARCOPOLO</t>
        </is>
      </c>
      <c r="FJ3003" s="15" t="inlineStr">
        <is>
          <t>TORINO</t>
        </is>
      </c>
      <c r="FK3003" s="15" t="n">
        <v>2019</v>
      </c>
      <c r="FL3003" s="15" t="inlineStr">
        <is>
          <t>B2PAL</t>
        </is>
      </c>
      <c r="FM3003" s="15" t="inlineStr">
        <is>
          <t>SAN JOSE</t>
        </is>
      </c>
      <c r="FN3003" s="15" t="inlineStr">
        <is>
          <t>San José 030 (José Besa 669)</t>
        </is>
      </c>
      <c r="FO3003" s="15" t="inlineStr">
        <is>
          <t>San Bernardo</t>
        </is>
      </c>
      <c r="FP3003" t="inlineStr">
        <is>
          <t>B</t>
        </is>
      </c>
    </row>
    <row r="3004">
      <c r="FC3004" t="inlineStr">
        <is>
          <t>Diccionario 4</t>
        </is>
      </c>
      <c r="FD3004" s="15" t="inlineStr">
        <is>
          <t>1085 / GCBB-12|</t>
        </is>
      </c>
      <c r="FE3004" s="15" t="inlineStr">
        <is>
          <t>D8481676K2PL</t>
        </is>
      </c>
      <c r="FF3004" s="15" t="inlineStr">
        <is>
          <t>YV3T7U520KA195199</t>
        </is>
      </c>
      <c r="FG3004" s="15" t="inlineStr">
        <is>
          <t>Volvo</t>
        </is>
      </c>
      <c r="FH3004" s="15" t="inlineStr">
        <is>
          <t>B8R</t>
        </is>
      </c>
      <c r="FI3004" s="15" t="inlineStr">
        <is>
          <t>MARCOPOLO</t>
        </is>
      </c>
      <c r="FJ3004" s="15" t="inlineStr">
        <is>
          <t>TORINO</t>
        </is>
      </c>
      <c r="FK3004" s="15" t="n">
        <v>2019</v>
      </c>
      <c r="FL3004" s="15" t="inlineStr">
        <is>
          <t>B2PAL</t>
        </is>
      </c>
      <c r="FM3004" s="15" t="inlineStr">
        <is>
          <t>LOS LIBERTADORES</t>
        </is>
      </c>
      <c r="FN3004" s="15" t="inlineStr">
        <is>
          <t>Los Liberadores 6450, Lote 4A</t>
        </is>
      </c>
      <c r="FO3004" s="15" t="inlineStr">
        <is>
          <t>Huechuraba</t>
        </is>
      </c>
      <c r="FP3004" t="inlineStr">
        <is>
          <t>B</t>
        </is>
      </c>
    </row>
    <row r="3005">
      <c r="FC3005" t="inlineStr">
        <is>
          <t>Diccionario 4</t>
        </is>
      </c>
      <c r="FD3005" s="15" t="inlineStr">
        <is>
          <t>1086 / GCBB-85|</t>
        </is>
      </c>
      <c r="FE3005" s="15" t="inlineStr">
        <is>
          <t>D8481773K2PL</t>
        </is>
      </c>
      <c r="FF3005" s="15" t="inlineStr">
        <is>
          <t>YV3T7U522KA195429</t>
        </is>
      </c>
      <c r="FG3005" s="15" t="inlineStr">
        <is>
          <t>Volvo</t>
        </is>
      </c>
      <c r="FH3005" s="15" t="inlineStr">
        <is>
          <t>B8R</t>
        </is>
      </c>
      <c r="FI3005" s="15" t="inlineStr">
        <is>
          <t>MARCOPOLO</t>
        </is>
      </c>
      <c r="FJ3005" s="15" t="inlineStr">
        <is>
          <t>TORINO</t>
        </is>
      </c>
      <c r="FK3005" s="15" t="n">
        <v>2019</v>
      </c>
      <c r="FL3005" s="15" t="inlineStr">
        <is>
          <t>B2PAL</t>
        </is>
      </c>
      <c r="FM3005" s="15" t="inlineStr">
        <is>
          <t>LOS LIBERTADORES</t>
        </is>
      </c>
      <c r="FN3005" s="15" t="inlineStr">
        <is>
          <t>Los Liberadores 6450, Lote 4A</t>
        </is>
      </c>
      <c r="FO3005" s="15" t="inlineStr">
        <is>
          <t>Huechuraba</t>
        </is>
      </c>
      <c r="FP3005" t="inlineStr">
        <is>
          <t>B</t>
        </is>
      </c>
    </row>
    <row r="3006">
      <c r="FC3006" t="inlineStr">
        <is>
          <t>Diccionario 4</t>
        </is>
      </c>
      <c r="FD3006" s="15" t="inlineStr">
        <is>
          <t>1087 / GCBB-86|</t>
        </is>
      </c>
      <c r="FE3006" s="15" t="inlineStr">
        <is>
          <t>D8483496K2PL</t>
        </is>
      </c>
      <c r="FF3006" s="15" t="inlineStr">
        <is>
          <t>YV3T7U52XKA195551</t>
        </is>
      </c>
      <c r="FG3006" s="15" t="inlineStr">
        <is>
          <t>Volvo</t>
        </is>
      </c>
      <c r="FH3006" s="15" t="inlineStr">
        <is>
          <t>B8R</t>
        </is>
      </c>
      <c r="FI3006" s="15" t="inlineStr">
        <is>
          <t>MARCOPOLO</t>
        </is>
      </c>
      <c r="FJ3006" s="15" t="inlineStr">
        <is>
          <t>TORINO</t>
        </is>
      </c>
      <c r="FK3006" s="15" t="n">
        <v>2019</v>
      </c>
      <c r="FL3006" s="15" t="inlineStr">
        <is>
          <t>B2PAL</t>
        </is>
      </c>
      <c r="FM3006" s="15" t="inlineStr">
        <is>
          <t>SAN JOSE</t>
        </is>
      </c>
      <c r="FN3006" s="15" t="inlineStr">
        <is>
          <t>San José 030 (José Besa 669)</t>
        </is>
      </c>
      <c r="FO3006" s="15" t="inlineStr">
        <is>
          <t>San Bernardo</t>
        </is>
      </c>
      <c r="FP3006" t="inlineStr">
        <is>
          <t>B</t>
        </is>
      </c>
    </row>
    <row r="3007">
      <c r="FC3007" t="inlineStr">
        <is>
          <t>Diccionario 4</t>
        </is>
      </c>
      <c r="FD3007" s="15" t="inlineStr">
        <is>
          <t>1088 / GCBB-87|</t>
        </is>
      </c>
      <c r="FE3007" s="15" t="inlineStr">
        <is>
          <t>D8483527K2PL</t>
        </is>
      </c>
      <c r="FF3007" s="15" t="inlineStr">
        <is>
          <t>YV3T7U521KA195552</t>
        </is>
      </c>
      <c r="FG3007" s="15" t="inlineStr">
        <is>
          <t>Volvo</t>
        </is>
      </c>
      <c r="FH3007" s="15" t="inlineStr">
        <is>
          <t>B8R</t>
        </is>
      </c>
      <c r="FI3007" s="15" t="inlineStr">
        <is>
          <t>MARCOPOLO</t>
        </is>
      </c>
      <c r="FJ3007" s="15" t="inlineStr">
        <is>
          <t>TORINO</t>
        </is>
      </c>
      <c r="FK3007" s="15" t="n">
        <v>2019</v>
      </c>
      <c r="FL3007" s="15" t="inlineStr">
        <is>
          <t>B2PAL</t>
        </is>
      </c>
      <c r="FM3007" s="15" t="inlineStr">
        <is>
          <t>SAN JOSE</t>
        </is>
      </c>
      <c r="FN3007" s="15" t="inlineStr">
        <is>
          <t>San José 030 (José Besa 669)</t>
        </is>
      </c>
      <c r="FO3007" s="15" t="inlineStr">
        <is>
          <t>San Bernardo</t>
        </is>
      </c>
      <c r="FP3007" t="inlineStr">
        <is>
          <t>B</t>
        </is>
      </c>
    </row>
    <row r="3008">
      <c r="FC3008" t="inlineStr">
        <is>
          <t>Diccionario 4</t>
        </is>
      </c>
      <c r="FD3008" s="15" t="inlineStr">
        <is>
          <t>1089 / GCBB-88|</t>
        </is>
      </c>
      <c r="FE3008" s="15" t="inlineStr">
        <is>
          <t>D8483438K2PL</t>
        </is>
      </c>
      <c r="FF3008" s="15" t="inlineStr">
        <is>
          <t>YV3T7U525KA195554</t>
        </is>
      </c>
      <c r="FG3008" s="15" t="inlineStr">
        <is>
          <t>Volvo</t>
        </is>
      </c>
      <c r="FH3008" s="15" t="inlineStr">
        <is>
          <t>B8R</t>
        </is>
      </c>
      <c r="FI3008" s="15" t="inlineStr">
        <is>
          <t>MARCOPOLO</t>
        </is>
      </c>
      <c r="FJ3008" s="15" t="inlineStr">
        <is>
          <t>TORINO</t>
        </is>
      </c>
      <c r="FK3008" s="15" t="n">
        <v>2019</v>
      </c>
      <c r="FL3008" s="15" t="inlineStr">
        <is>
          <t>B2PAL</t>
        </is>
      </c>
      <c r="FM3008" s="15" t="inlineStr">
        <is>
          <t>SAN JOSE</t>
        </is>
      </c>
      <c r="FN3008" s="15" t="inlineStr">
        <is>
          <t>San José 030 (José Besa 669)</t>
        </is>
      </c>
      <c r="FO3008" s="15" t="inlineStr">
        <is>
          <t>San Bernardo</t>
        </is>
      </c>
      <c r="FP3008" t="inlineStr">
        <is>
          <t>B</t>
        </is>
      </c>
    </row>
    <row r="3009">
      <c r="FC3009" t="inlineStr">
        <is>
          <t>Diccionario 4</t>
        </is>
      </c>
      <c r="FD3009" s="15" t="inlineStr">
        <is>
          <t>1090 / GCBB-89|</t>
        </is>
      </c>
      <c r="FE3009" s="15" t="inlineStr">
        <is>
          <t>D8484688K2PL</t>
        </is>
      </c>
      <c r="FF3009" s="15" t="inlineStr">
        <is>
          <t>YV3T7U521KA195714</t>
        </is>
      </c>
      <c r="FG3009" s="15" t="inlineStr">
        <is>
          <t>Volvo</t>
        </is>
      </c>
      <c r="FH3009" s="15" t="inlineStr">
        <is>
          <t>B8R</t>
        </is>
      </c>
      <c r="FI3009" s="15" t="inlineStr">
        <is>
          <t>MARCOPOLO</t>
        </is>
      </c>
      <c r="FJ3009" s="15" t="inlineStr">
        <is>
          <t>TORINO</t>
        </is>
      </c>
      <c r="FK3009" s="15" t="n">
        <v>2019</v>
      </c>
      <c r="FL3009" s="15" t="inlineStr">
        <is>
          <t>B2PAL</t>
        </is>
      </c>
      <c r="FM3009" s="15" t="inlineStr">
        <is>
          <t>SAN JOSE</t>
        </is>
      </c>
      <c r="FN3009" s="15" t="inlineStr">
        <is>
          <t>San José 030 (José Besa 669)</t>
        </is>
      </c>
      <c r="FO3009" s="15" t="inlineStr">
        <is>
          <t>San Bernardo</t>
        </is>
      </c>
      <c r="FP3009" t="inlineStr">
        <is>
          <t>B</t>
        </is>
      </c>
    </row>
    <row r="3010">
      <c r="FC3010" t="inlineStr">
        <is>
          <t>Diccionario 4</t>
        </is>
      </c>
      <c r="FD3010" s="15" t="inlineStr">
        <is>
          <t>1091 / GCBB-91|</t>
        </is>
      </c>
      <c r="FE3010" s="15" t="inlineStr">
        <is>
          <t>D8482515K2PL</t>
        </is>
      </c>
      <c r="FF3010" s="15" t="inlineStr">
        <is>
          <t>YV3T7U524KA195349</t>
        </is>
      </c>
      <c r="FG3010" s="15" t="inlineStr">
        <is>
          <t>Volvo</t>
        </is>
      </c>
      <c r="FH3010" s="15" t="inlineStr">
        <is>
          <t>B8R</t>
        </is>
      </c>
      <c r="FI3010" s="15" t="inlineStr">
        <is>
          <t>MARCOPOLO</t>
        </is>
      </c>
      <c r="FJ3010" s="15" t="inlineStr">
        <is>
          <t>TORINO</t>
        </is>
      </c>
      <c r="FK3010" s="15" t="n">
        <v>2019</v>
      </c>
      <c r="FL3010" s="15" t="inlineStr">
        <is>
          <t>B2PAL</t>
        </is>
      </c>
      <c r="FM3010" s="15" t="inlineStr">
        <is>
          <t>LOS LIBERTADORES</t>
        </is>
      </c>
      <c r="FN3010" s="15" t="inlineStr">
        <is>
          <t>Los Liberadores 6450, Lote 4A</t>
        </is>
      </c>
      <c r="FO3010" s="15" t="inlineStr">
        <is>
          <t>Huechuraba</t>
        </is>
      </c>
      <c r="FP3010" t="inlineStr">
        <is>
          <t>B</t>
        </is>
      </c>
    </row>
    <row r="3011">
      <c r="FC3011" t="inlineStr">
        <is>
          <t>Diccionario 4</t>
        </is>
      </c>
      <c r="FD3011" s="15" t="inlineStr">
        <is>
          <t>1092 / GCBB-92|</t>
        </is>
      </c>
      <c r="FE3011" s="15" t="inlineStr">
        <is>
          <t>D8482526K2PL</t>
        </is>
      </c>
      <c r="FF3011" s="15" t="inlineStr">
        <is>
          <t>YV3T7U526KA195353</t>
        </is>
      </c>
      <c r="FG3011" s="15" t="inlineStr">
        <is>
          <t>Volvo</t>
        </is>
      </c>
      <c r="FH3011" s="15" t="inlineStr">
        <is>
          <t>B8R</t>
        </is>
      </c>
      <c r="FI3011" s="15" t="inlineStr">
        <is>
          <t>MARCOPOLO</t>
        </is>
      </c>
      <c r="FJ3011" s="15" t="inlineStr">
        <is>
          <t>TORINO</t>
        </is>
      </c>
      <c r="FK3011" s="15" t="n">
        <v>2019</v>
      </c>
      <c r="FL3011" s="15" t="inlineStr">
        <is>
          <t>B2PAL</t>
        </is>
      </c>
      <c r="FM3011" s="15" t="inlineStr">
        <is>
          <t>SAN JOSE</t>
        </is>
      </c>
      <c r="FN3011" s="15" t="inlineStr">
        <is>
          <t>San José 030 (José Besa 669)</t>
        </is>
      </c>
      <c r="FO3011" s="15" t="inlineStr">
        <is>
          <t>San Bernardo</t>
        </is>
      </c>
      <c r="FP3011" t="inlineStr">
        <is>
          <t>B</t>
        </is>
      </c>
    </row>
    <row r="3012">
      <c r="FC3012" t="inlineStr">
        <is>
          <t>Diccionario 4</t>
        </is>
      </c>
      <c r="FD3012" s="15" t="inlineStr">
        <is>
          <t>1093 / GCBB-93|</t>
        </is>
      </c>
      <c r="FE3012" s="15" t="inlineStr">
        <is>
          <t>D8482598K2PL</t>
        </is>
      </c>
      <c r="FF3012" s="15" t="inlineStr">
        <is>
          <t>YV3T7U52XKA195355</t>
        </is>
      </c>
      <c r="FG3012" s="15" t="inlineStr">
        <is>
          <t>Volvo</t>
        </is>
      </c>
      <c r="FH3012" s="15" t="inlineStr">
        <is>
          <t>B8R</t>
        </is>
      </c>
      <c r="FI3012" s="15" t="inlineStr">
        <is>
          <t>MARCOPOLO</t>
        </is>
      </c>
      <c r="FJ3012" s="15" t="inlineStr">
        <is>
          <t>TORINO</t>
        </is>
      </c>
      <c r="FK3012" s="15" t="n">
        <v>2019</v>
      </c>
      <c r="FL3012" s="15" t="inlineStr">
        <is>
          <t>B2PAL</t>
        </is>
      </c>
      <c r="FM3012" s="15" t="inlineStr">
        <is>
          <t>SAN JOSE</t>
        </is>
      </c>
      <c r="FN3012" s="15" t="inlineStr">
        <is>
          <t>San José 030 (José Besa 669)</t>
        </is>
      </c>
      <c r="FO3012" s="15" t="inlineStr">
        <is>
          <t>San Bernardo</t>
        </is>
      </c>
      <c r="FP3012" t="inlineStr">
        <is>
          <t>B</t>
        </is>
      </c>
    </row>
    <row r="3013">
      <c r="FC3013" t="inlineStr">
        <is>
          <t>Diccionario 4</t>
        </is>
      </c>
      <c r="FD3013" s="15" t="inlineStr">
        <is>
          <t>1094 / GCBB-94|</t>
        </is>
      </c>
      <c r="FE3013" s="15" t="inlineStr">
        <is>
          <t>D8483001K2PL</t>
        </is>
      </c>
      <c r="FF3013" s="15" t="inlineStr">
        <is>
          <t>YV3T7U526KA195403</t>
        </is>
      </c>
      <c r="FG3013" s="15" t="inlineStr">
        <is>
          <t>Volvo</t>
        </is>
      </c>
      <c r="FH3013" s="15" t="inlineStr">
        <is>
          <t>B8R</t>
        </is>
      </c>
      <c r="FI3013" s="15" t="inlineStr">
        <is>
          <t>MARCOPOLO</t>
        </is>
      </c>
      <c r="FJ3013" s="15" t="inlineStr">
        <is>
          <t>TORINO</t>
        </is>
      </c>
      <c r="FK3013" s="15" t="n">
        <v>2019</v>
      </c>
      <c r="FL3013" s="15" t="inlineStr">
        <is>
          <t>B2PAL</t>
        </is>
      </c>
      <c r="FM3013" s="15" t="inlineStr">
        <is>
          <t>LOS LIBERTADORES</t>
        </is>
      </c>
      <c r="FN3013" s="15" t="inlineStr">
        <is>
          <t>Los Liberadores 6450, Lote 4A</t>
        </is>
      </c>
      <c r="FO3013" s="15" t="inlineStr">
        <is>
          <t>Huechuraba</t>
        </is>
      </c>
      <c r="FP3013" t="inlineStr">
        <is>
          <t>B</t>
        </is>
      </c>
    </row>
    <row r="3014">
      <c r="FC3014" t="inlineStr">
        <is>
          <t>Diccionario 4</t>
        </is>
      </c>
      <c r="FD3014" s="15" t="inlineStr">
        <is>
          <t>1095 / GCBB-95|</t>
        </is>
      </c>
      <c r="FE3014" s="15" t="inlineStr">
        <is>
          <t>D8483444K2PL</t>
        </is>
      </c>
      <c r="FF3014" s="15" t="inlineStr">
        <is>
          <t>YV3T7U528KA195404</t>
        </is>
      </c>
      <c r="FG3014" s="15" t="inlineStr">
        <is>
          <t>Volvo</t>
        </is>
      </c>
      <c r="FH3014" s="15" t="inlineStr">
        <is>
          <t>B8R</t>
        </is>
      </c>
      <c r="FI3014" s="15" t="inlineStr">
        <is>
          <t>MARCOPOLO</t>
        </is>
      </c>
      <c r="FJ3014" s="15" t="inlineStr">
        <is>
          <t>TORINO</t>
        </is>
      </c>
      <c r="FK3014" s="15" t="n">
        <v>2019</v>
      </c>
      <c r="FL3014" s="15" t="inlineStr">
        <is>
          <t>B2PAL</t>
        </is>
      </c>
      <c r="FM3014" s="15" t="inlineStr">
        <is>
          <t>SAN JOSE</t>
        </is>
      </c>
      <c r="FN3014" s="15" t="inlineStr">
        <is>
          <t>San José 030 (José Besa 669)</t>
        </is>
      </c>
      <c r="FO3014" s="15" t="inlineStr">
        <is>
          <t>San Bernardo</t>
        </is>
      </c>
      <c r="FP3014" t="inlineStr">
        <is>
          <t>B</t>
        </is>
      </c>
    </row>
    <row r="3015">
      <c r="FC3015" t="inlineStr">
        <is>
          <t>Diccionario 4</t>
        </is>
      </c>
      <c r="FD3015" s="15" t="inlineStr">
        <is>
          <t>1096 / GCBB-13|</t>
        </is>
      </c>
      <c r="FE3015" s="15" t="inlineStr">
        <is>
          <t>D8481462K2PL</t>
        </is>
      </c>
      <c r="FF3015" s="15" t="inlineStr">
        <is>
          <t>YV3T7U523KA195200</t>
        </is>
      </c>
      <c r="FG3015" s="15" t="inlineStr">
        <is>
          <t>Volvo</t>
        </is>
      </c>
      <c r="FH3015" s="15" t="inlineStr">
        <is>
          <t>B8R</t>
        </is>
      </c>
      <c r="FI3015" s="15" t="inlineStr">
        <is>
          <t>MARCOPOLO</t>
        </is>
      </c>
      <c r="FJ3015" s="15" t="inlineStr">
        <is>
          <t>TORINO</t>
        </is>
      </c>
      <c r="FK3015" s="15" t="n">
        <v>2019</v>
      </c>
      <c r="FL3015" s="15" t="inlineStr">
        <is>
          <t>B2PAL</t>
        </is>
      </c>
      <c r="FM3015" s="15" t="inlineStr">
        <is>
          <t>LOS LIBERTADORES</t>
        </is>
      </c>
      <c r="FN3015" s="15" t="inlineStr">
        <is>
          <t>Los Liberadores 6450, Lote 4A</t>
        </is>
      </c>
      <c r="FO3015" s="15" t="inlineStr">
        <is>
          <t>Huechuraba</t>
        </is>
      </c>
      <c r="FP3015" t="inlineStr">
        <is>
          <t>B</t>
        </is>
      </c>
    </row>
    <row r="3016">
      <c r="FC3016" t="inlineStr">
        <is>
          <t>Diccionario 4</t>
        </is>
      </c>
      <c r="FD3016" s="15" t="inlineStr">
        <is>
          <t>1097 / GCBB-96|</t>
        </is>
      </c>
      <c r="FE3016" s="15" t="inlineStr">
        <is>
          <t>D8481807K2PL</t>
        </is>
      </c>
      <c r="FF3016" s="15" t="inlineStr">
        <is>
          <t>YV3T7U520KA195428</t>
        </is>
      </c>
      <c r="FG3016" s="15" t="inlineStr">
        <is>
          <t>Volvo</t>
        </is>
      </c>
      <c r="FH3016" s="15" t="inlineStr">
        <is>
          <t>B8R</t>
        </is>
      </c>
      <c r="FI3016" s="15" t="inlineStr">
        <is>
          <t>MARCOPOLO</t>
        </is>
      </c>
      <c r="FJ3016" s="15" t="inlineStr">
        <is>
          <t>TORINO</t>
        </is>
      </c>
      <c r="FK3016" s="15" t="n">
        <v>2019</v>
      </c>
      <c r="FL3016" s="15" t="inlineStr">
        <is>
          <t>B2PAL</t>
        </is>
      </c>
      <c r="FM3016" s="15" t="inlineStr">
        <is>
          <t>SAN JOSE</t>
        </is>
      </c>
      <c r="FN3016" s="15" t="inlineStr">
        <is>
          <t>San José 030 (José Besa 669)</t>
        </is>
      </c>
      <c r="FO3016" s="15" t="inlineStr">
        <is>
          <t>San Bernardo</t>
        </is>
      </c>
      <c r="FP3016" t="inlineStr">
        <is>
          <t>B</t>
        </is>
      </c>
    </row>
    <row r="3017">
      <c r="FC3017" t="inlineStr">
        <is>
          <t>Diccionario 4</t>
        </is>
      </c>
      <c r="FD3017" s="15" t="inlineStr">
        <is>
          <t>1098 / GCBB-97|</t>
        </is>
      </c>
      <c r="FE3017" s="15" t="inlineStr">
        <is>
          <t>D8481802K2PL</t>
        </is>
      </c>
      <c r="FF3017" s="15" t="inlineStr">
        <is>
          <t>YV3T7U529KA195430</t>
        </is>
      </c>
      <c r="FG3017" s="15" t="inlineStr">
        <is>
          <t>Volvo</t>
        </is>
      </c>
      <c r="FH3017" s="15" t="inlineStr">
        <is>
          <t>B8R</t>
        </is>
      </c>
      <c r="FI3017" s="15" t="inlineStr">
        <is>
          <t>MARCOPOLO</t>
        </is>
      </c>
      <c r="FJ3017" s="15" t="inlineStr">
        <is>
          <t>TORINO</t>
        </is>
      </c>
      <c r="FK3017" s="15" t="n">
        <v>2019</v>
      </c>
      <c r="FL3017" s="15" t="inlineStr">
        <is>
          <t>B2PAL</t>
        </is>
      </c>
      <c r="FM3017" s="15" t="inlineStr">
        <is>
          <t>SAN JOSE</t>
        </is>
      </c>
      <c r="FN3017" s="15" t="inlineStr">
        <is>
          <t>San José 030 (José Besa 669)</t>
        </is>
      </c>
      <c r="FO3017" s="15" t="inlineStr">
        <is>
          <t>San Bernardo</t>
        </is>
      </c>
      <c r="FP3017" t="inlineStr">
        <is>
          <t>B</t>
        </is>
      </c>
    </row>
    <row r="3018">
      <c r="FC3018" t="inlineStr">
        <is>
          <t>Diccionario 4</t>
        </is>
      </c>
      <c r="FD3018" s="15" t="inlineStr">
        <is>
          <t>1099 / GCBB-98|</t>
        </is>
      </c>
      <c r="FE3018" s="15" t="inlineStr">
        <is>
          <t>D8481788K2PL</t>
        </is>
      </c>
      <c r="FF3018" s="15" t="inlineStr">
        <is>
          <t>YV3T7U520KA195431</t>
        </is>
      </c>
      <c r="FG3018" s="15" t="inlineStr">
        <is>
          <t>Volvo</t>
        </is>
      </c>
      <c r="FH3018" s="15" t="inlineStr">
        <is>
          <t>B8R</t>
        </is>
      </c>
      <c r="FI3018" s="15" t="inlineStr">
        <is>
          <t>MARCOPOLO</t>
        </is>
      </c>
      <c r="FJ3018" s="15" t="inlineStr">
        <is>
          <t>TORINO</t>
        </is>
      </c>
      <c r="FK3018" s="15" t="n">
        <v>2019</v>
      </c>
      <c r="FL3018" s="15" t="inlineStr">
        <is>
          <t>B2PAL</t>
        </is>
      </c>
      <c r="FM3018" s="15" t="inlineStr">
        <is>
          <t>SAN JOSE</t>
        </is>
      </c>
      <c r="FN3018" s="15" t="inlineStr">
        <is>
          <t>San José 030 (José Besa 669)</t>
        </is>
      </c>
      <c r="FO3018" s="15" t="inlineStr">
        <is>
          <t>San Bernardo</t>
        </is>
      </c>
      <c r="FP3018" t="inlineStr">
        <is>
          <t>B</t>
        </is>
      </c>
    </row>
    <row r="3019">
      <c r="FC3019" t="inlineStr">
        <is>
          <t>Diccionario 4</t>
        </is>
      </c>
      <c r="FD3019" s="15" t="inlineStr">
        <is>
          <t>1028 / GCBB-33|</t>
        </is>
      </c>
      <c r="FE3019" s="15" t="inlineStr">
        <is>
          <t>D8483123K2PL</t>
        </is>
      </c>
      <c r="FF3019" s="15" t="inlineStr">
        <is>
          <t>YV3T7U525KA195487</t>
        </is>
      </c>
      <c r="FG3019" s="15" t="inlineStr">
        <is>
          <t>Volvo</t>
        </is>
      </c>
      <c r="FH3019" s="15" t="inlineStr">
        <is>
          <t>B8R</t>
        </is>
      </c>
      <c r="FI3019" s="15" t="inlineStr">
        <is>
          <t>MARCOPOLO</t>
        </is>
      </c>
      <c r="FJ3019" s="15" t="inlineStr">
        <is>
          <t>TORINO</t>
        </is>
      </c>
      <c r="FK3019" s="15" t="n">
        <v>2019</v>
      </c>
      <c r="FL3019" s="15" t="inlineStr">
        <is>
          <t>B2PAL</t>
        </is>
      </c>
      <c r="FM3019" s="15" t="inlineStr">
        <is>
          <t>SAN JOSE</t>
        </is>
      </c>
      <c r="FN3019" s="15" t="inlineStr">
        <is>
          <t>San José 030 (José Besa 669)</t>
        </is>
      </c>
      <c r="FO3019" s="15" t="inlineStr">
        <is>
          <t>San Bernardo</t>
        </is>
      </c>
      <c r="FP3019" t="inlineStr">
        <is>
          <t>B</t>
        </is>
      </c>
    </row>
    <row r="3020">
      <c r="FC3020" t="inlineStr">
        <is>
          <t>Diccionario 4</t>
        </is>
      </c>
      <c r="FD3020" s="15" t="inlineStr">
        <is>
          <t>1101 / GCBC-10|</t>
        </is>
      </c>
      <c r="FE3020" s="15" t="inlineStr">
        <is>
          <t>D8483090K2PL</t>
        </is>
      </c>
      <c r="FF3020" s="15" t="inlineStr">
        <is>
          <t>YV3T7U527KA195488</t>
        </is>
      </c>
      <c r="FG3020" s="15" t="inlineStr">
        <is>
          <t>Volvo</t>
        </is>
      </c>
      <c r="FH3020" s="15" t="inlineStr">
        <is>
          <t>B8R</t>
        </is>
      </c>
      <c r="FI3020" s="15" t="inlineStr">
        <is>
          <t>MARCOPOLO</t>
        </is>
      </c>
      <c r="FJ3020" s="15" t="inlineStr">
        <is>
          <t>TORINO</t>
        </is>
      </c>
      <c r="FK3020" s="15" t="n">
        <v>2019</v>
      </c>
      <c r="FL3020" s="15" t="inlineStr">
        <is>
          <t>B2PAL</t>
        </is>
      </c>
      <c r="FM3020" s="15" t="inlineStr">
        <is>
          <t>SAN JOSE</t>
        </is>
      </c>
      <c r="FN3020" s="15" t="inlineStr">
        <is>
          <t>San José 030 (José Besa 669)</t>
        </is>
      </c>
      <c r="FO3020" s="15" t="inlineStr">
        <is>
          <t>San Bernardo</t>
        </is>
      </c>
      <c r="FP3020" t="inlineStr">
        <is>
          <t>B</t>
        </is>
      </c>
    </row>
    <row r="3021">
      <c r="FC3021" t="inlineStr">
        <is>
          <t>Diccionario 4</t>
        </is>
      </c>
      <c r="FD3021" s="15" t="inlineStr">
        <is>
          <t>1102 / GCBC-11|</t>
        </is>
      </c>
      <c r="FE3021" s="15" t="inlineStr">
        <is>
          <t>D8483468K2PL</t>
        </is>
      </c>
      <c r="FF3021" s="15" t="inlineStr">
        <is>
          <t>YV3T7U525KA195571</t>
        </is>
      </c>
      <c r="FG3021" s="15" t="inlineStr">
        <is>
          <t>Volvo</t>
        </is>
      </c>
      <c r="FH3021" s="15" t="inlineStr">
        <is>
          <t>B8R</t>
        </is>
      </c>
      <c r="FI3021" s="15" t="inlineStr">
        <is>
          <t>MARCOPOLO</t>
        </is>
      </c>
      <c r="FJ3021" s="15" t="inlineStr">
        <is>
          <t>TORINO</t>
        </is>
      </c>
      <c r="FK3021" s="15" t="n">
        <v>2019</v>
      </c>
      <c r="FL3021" s="15" t="inlineStr">
        <is>
          <t>B2PAL</t>
        </is>
      </c>
      <c r="FM3021" s="15" t="inlineStr">
        <is>
          <t>SAN JOSE</t>
        </is>
      </c>
      <c r="FN3021" s="15" t="inlineStr">
        <is>
          <t>San José 030 (José Besa 669)</t>
        </is>
      </c>
      <c r="FO3021" s="15" t="inlineStr">
        <is>
          <t>San Bernardo</t>
        </is>
      </c>
      <c r="FP3021" t="inlineStr">
        <is>
          <t>B</t>
        </is>
      </c>
    </row>
    <row r="3022">
      <c r="FC3022" t="inlineStr">
        <is>
          <t>Diccionario 4</t>
        </is>
      </c>
      <c r="FD3022" s="15" t="inlineStr">
        <is>
          <t>1103 / GCBC-12|</t>
        </is>
      </c>
      <c r="FE3022" s="15" t="inlineStr">
        <is>
          <t>D8483819K2PL</t>
        </is>
      </c>
      <c r="FF3022" s="15" t="inlineStr">
        <is>
          <t>YV3T7U520KA195686</t>
        </is>
      </c>
      <c r="FG3022" s="15" t="inlineStr">
        <is>
          <t>Volvo</t>
        </is>
      </c>
      <c r="FH3022" s="15" t="inlineStr">
        <is>
          <t>B8R</t>
        </is>
      </c>
      <c r="FI3022" s="15" t="inlineStr">
        <is>
          <t>MARCOPOLO</t>
        </is>
      </c>
      <c r="FJ3022" s="15" t="inlineStr">
        <is>
          <t>TORINO</t>
        </is>
      </c>
      <c r="FK3022" s="15" t="n">
        <v>2019</v>
      </c>
      <c r="FL3022" s="15" t="inlineStr">
        <is>
          <t>B2PAL</t>
        </is>
      </c>
      <c r="FM3022" s="15" t="inlineStr">
        <is>
          <t>SAN JOSE</t>
        </is>
      </c>
      <c r="FN3022" s="15" t="inlineStr">
        <is>
          <t>San José 030 (José Besa 669)</t>
        </is>
      </c>
      <c r="FO3022" s="15" t="inlineStr">
        <is>
          <t>San Bernardo</t>
        </is>
      </c>
      <c r="FP3022" t="inlineStr">
        <is>
          <t>B</t>
        </is>
      </c>
    </row>
    <row r="3023">
      <c r="FC3023" t="inlineStr">
        <is>
          <t>Diccionario 4</t>
        </is>
      </c>
      <c r="FD3023" s="15" t="inlineStr">
        <is>
          <t>1104 / GCBC-13|</t>
        </is>
      </c>
      <c r="FE3023" s="15" t="inlineStr">
        <is>
          <t>D8481869K2PL</t>
        </is>
      </c>
      <c r="FF3023" s="15" t="inlineStr">
        <is>
          <t>YV3T7U521KA195194</t>
        </is>
      </c>
      <c r="FG3023" s="15" t="inlineStr">
        <is>
          <t>Volvo</t>
        </is>
      </c>
      <c r="FH3023" s="15" t="inlineStr">
        <is>
          <t>B8R</t>
        </is>
      </c>
      <c r="FI3023" s="15" t="inlineStr">
        <is>
          <t>MARCOPOLO</t>
        </is>
      </c>
      <c r="FJ3023" s="15" t="inlineStr">
        <is>
          <t>TORINO</t>
        </is>
      </c>
      <c r="FK3023" s="15" t="n">
        <v>2019</v>
      </c>
      <c r="FL3023" s="15" t="inlineStr">
        <is>
          <t>B2PAL</t>
        </is>
      </c>
      <c r="FM3023" s="15" t="inlineStr">
        <is>
          <t>SAN JOSE</t>
        </is>
      </c>
      <c r="FN3023" s="15" t="inlineStr">
        <is>
          <t>San José 030 (José Besa 669)</t>
        </is>
      </c>
      <c r="FO3023" s="15" t="inlineStr">
        <is>
          <t>San Bernardo</t>
        </is>
      </c>
      <c r="FP3023" t="inlineStr">
        <is>
          <t>B</t>
        </is>
      </c>
    </row>
    <row r="3024">
      <c r="FC3024" t="inlineStr">
        <is>
          <t>Diccionario 4</t>
        </is>
      </c>
      <c r="FD3024" s="15" t="inlineStr">
        <is>
          <t>1105 / GCBC-14|</t>
        </is>
      </c>
      <c r="FE3024" s="15" t="inlineStr">
        <is>
          <t>D8483079K2PL</t>
        </is>
      </c>
      <c r="FF3024" s="15" t="inlineStr">
        <is>
          <t>YV3T7U529KA195489</t>
        </is>
      </c>
      <c r="FG3024" s="15" t="inlineStr">
        <is>
          <t>Volvo</t>
        </is>
      </c>
      <c r="FH3024" s="15" t="inlineStr">
        <is>
          <t>B8R</t>
        </is>
      </c>
      <c r="FI3024" s="15" t="inlineStr">
        <is>
          <t>MARCOPOLO</t>
        </is>
      </c>
      <c r="FJ3024" s="15" t="inlineStr">
        <is>
          <t>TORINO</t>
        </is>
      </c>
      <c r="FK3024" s="15" t="n">
        <v>2019</v>
      </c>
      <c r="FL3024" s="15" t="inlineStr">
        <is>
          <t>B2PAL</t>
        </is>
      </c>
      <c r="FM3024" s="15" t="inlineStr">
        <is>
          <t>SAN JOSE</t>
        </is>
      </c>
      <c r="FN3024" s="15" t="inlineStr">
        <is>
          <t>San José 030 (José Besa 669)</t>
        </is>
      </c>
      <c r="FO3024" s="15" t="inlineStr">
        <is>
          <t>San Bernardo</t>
        </is>
      </c>
      <c r="FP3024" t="inlineStr">
        <is>
          <t>B</t>
        </is>
      </c>
    </row>
    <row r="3025">
      <c r="FC3025" t="inlineStr">
        <is>
          <t>Diccionario 4</t>
        </is>
      </c>
      <c r="FD3025" s="15" t="inlineStr">
        <is>
          <t>1106 / GCBC-15|</t>
        </is>
      </c>
      <c r="FE3025" s="15" t="inlineStr">
        <is>
          <t>D8483914K2PL</t>
        </is>
      </c>
      <c r="FF3025" s="15" t="inlineStr">
        <is>
          <t>YV3T7U524KA195593</t>
        </is>
      </c>
      <c r="FG3025" s="15" t="inlineStr">
        <is>
          <t>Volvo</t>
        </is>
      </c>
      <c r="FH3025" s="15" t="inlineStr">
        <is>
          <t>B8R</t>
        </is>
      </c>
      <c r="FI3025" s="15" t="inlineStr">
        <is>
          <t>MARCOPOLO</t>
        </is>
      </c>
      <c r="FJ3025" s="15" t="inlineStr">
        <is>
          <t>TORINO</t>
        </is>
      </c>
      <c r="FK3025" s="15" t="n">
        <v>2019</v>
      </c>
      <c r="FL3025" s="15" t="inlineStr">
        <is>
          <t>B2PAL</t>
        </is>
      </c>
      <c r="FM3025" s="15" t="inlineStr">
        <is>
          <t>SAN JOSE</t>
        </is>
      </c>
      <c r="FN3025" s="15" t="inlineStr">
        <is>
          <t>San José 030 (José Besa 669)</t>
        </is>
      </c>
      <c r="FO3025" s="15" t="inlineStr">
        <is>
          <t>San Bernardo</t>
        </is>
      </c>
      <c r="FP3025" t="inlineStr">
        <is>
          <t>B</t>
        </is>
      </c>
    </row>
    <row r="3026">
      <c r="FC3026" t="inlineStr">
        <is>
          <t>Diccionario 4</t>
        </is>
      </c>
      <c r="FD3026" s="15" t="inlineStr">
        <is>
          <t>1107 / VFHJ-88|</t>
        </is>
      </c>
      <c r="FE3026" s="15" t="inlineStr">
        <is>
          <t>LDYECS31XS0043931</t>
        </is>
      </c>
      <c r="FF3026" s="15" t="inlineStr">
        <is>
          <t>MDN35025010058</t>
        </is>
      </c>
      <c r="FG3026" s="15" t="inlineStr">
        <is>
          <t>Zhong Tong</t>
        </is>
      </c>
      <c r="FH3026" s="15" t="inlineStr">
        <is>
          <t>Lck6122evg</t>
        </is>
      </c>
      <c r="FI3026" s="15" t="inlineStr">
        <is>
          <t>ZHONGTONG</t>
        </is>
      </c>
      <c r="FJ3026" s="15" t="inlineStr">
        <is>
          <t>LCK6122EVG</t>
        </is>
      </c>
      <c r="FK3026" s="15" t="n">
        <v>2025</v>
      </c>
      <c r="FL3026" s="15" t="inlineStr">
        <is>
          <t>B</t>
        </is>
      </c>
      <c r="FM3026" s="15" t="inlineStr">
        <is>
          <t>SAN JOSE</t>
        </is>
      </c>
      <c r="FN3026" s="15" t="inlineStr">
        <is>
          <t>San José 030 (José Besa 669)</t>
        </is>
      </c>
      <c r="FO3026" s="15" t="inlineStr">
        <is>
          <t>San Bernardo</t>
        </is>
      </c>
      <c r="FP3026" t="inlineStr">
        <is>
          <t>B</t>
        </is>
      </c>
    </row>
    <row r="3027">
      <c r="FC3027" t="inlineStr">
        <is>
          <t>Diccionario 4</t>
        </is>
      </c>
      <c r="FD3027" s="15" t="inlineStr">
        <is>
          <t>1108 / VFHL-33|</t>
        </is>
      </c>
      <c r="FE3027" s="15" t="inlineStr">
        <is>
          <t>LDYECS315S0043917</t>
        </is>
      </c>
      <c r="FF3027" s="15" t="inlineStr">
        <is>
          <t>MDN35025010105</t>
        </is>
      </c>
      <c r="FG3027" s="15" t="inlineStr">
        <is>
          <t>Zhong Tong</t>
        </is>
      </c>
      <c r="FH3027" s="15" t="inlineStr">
        <is>
          <t>Lck6122evg</t>
        </is>
      </c>
      <c r="FI3027" s="15" t="inlineStr">
        <is>
          <t>ZHONGTONG</t>
        </is>
      </c>
      <c r="FJ3027" s="15" t="inlineStr">
        <is>
          <t>LCK6122EVG</t>
        </is>
      </c>
      <c r="FK3027" s="15" t="n">
        <v>2025</v>
      </c>
      <c r="FL3027" s="15" t="inlineStr">
        <is>
          <t>B</t>
        </is>
      </c>
      <c r="FM3027" s="15" t="inlineStr">
        <is>
          <t>SAN JOSE</t>
        </is>
      </c>
      <c r="FN3027" s="15" t="inlineStr">
        <is>
          <t>San José 030 (José Besa 669)</t>
        </is>
      </c>
      <c r="FO3027" s="15" t="inlineStr">
        <is>
          <t>San Bernardo</t>
        </is>
      </c>
      <c r="FP3027" t="inlineStr">
        <is>
          <t>B</t>
        </is>
      </c>
    </row>
    <row r="3028">
      <c r="FC3028" t="inlineStr">
        <is>
          <t>Diccionario 4</t>
        </is>
      </c>
      <c r="FD3028" s="15" t="inlineStr">
        <is>
          <t>1109 / VFHL-39|</t>
        </is>
      </c>
      <c r="FE3028" s="15" t="inlineStr">
        <is>
          <t>LDYECS319S0043970</t>
        </is>
      </c>
      <c r="FF3028" s="15" t="inlineStr">
        <is>
          <t>MDN35025010061</t>
        </is>
      </c>
      <c r="FG3028" s="15" t="inlineStr">
        <is>
          <t>Zhong Tong</t>
        </is>
      </c>
      <c r="FH3028" s="15" t="inlineStr">
        <is>
          <t>Lck6122evg</t>
        </is>
      </c>
      <c r="FI3028" s="15" t="inlineStr">
        <is>
          <t>ZHONGTONG</t>
        </is>
      </c>
      <c r="FJ3028" s="15" t="inlineStr">
        <is>
          <t>LCK6122EVG</t>
        </is>
      </c>
      <c r="FK3028" s="15" t="n">
        <v>2025</v>
      </c>
      <c r="FL3028" s="15" t="inlineStr">
        <is>
          <t>B</t>
        </is>
      </c>
      <c r="FM3028" s="15" t="inlineStr">
        <is>
          <t>SAN JOSE</t>
        </is>
      </c>
      <c r="FN3028" s="15" t="inlineStr">
        <is>
          <t>San José 030 (José Besa 669)</t>
        </is>
      </c>
      <c r="FO3028" s="15" t="inlineStr">
        <is>
          <t>San Bernardo</t>
        </is>
      </c>
      <c r="FP3028" t="inlineStr">
        <is>
          <t>B</t>
        </is>
      </c>
    </row>
    <row r="3029">
      <c r="FC3029" t="inlineStr">
        <is>
          <t>Diccionario 4</t>
        </is>
      </c>
      <c r="FD3029" s="15" t="inlineStr">
        <is>
          <t>1110 / VFHL-46|</t>
        </is>
      </c>
      <c r="FE3029" s="15" t="inlineStr">
        <is>
          <t>LDYECS318S0043930</t>
        </is>
      </c>
      <c r="FF3029" s="15" t="inlineStr">
        <is>
          <t>MDN35025010059</t>
        </is>
      </c>
      <c r="FG3029" s="15" t="inlineStr">
        <is>
          <t>Zhong Tong</t>
        </is>
      </c>
      <c r="FH3029" s="15" t="inlineStr">
        <is>
          <t>Lck6122evg</t>
        </is>
      </c>
      <c r="FI3029" s="15" t="inlineStr">
        <is>
          <t>ZHONGTONG</t>
        </is>
      </c>
      <c r="FJ3029" s="15" t="inlineStr">
        <is>
          <t>LCK6122EVG</t>
        </is>
      </c>
      <c r="FK3029" s="15" t="n">
        <v>2025</v>
      </c>
      <c r="FL3029" s="15" t="inlineStr">
        <is>
          <t>B</t>
        </is>
      </c>
      <c r="FM3029" s="15" t="inlineStr">
        <is>
          <t>SAN JOSE</t>
        </is>
      </c>
      <c r="FN3029" s="15" t="inlineStr">
        <is>
          <t>San José 030 (José Besa 669)</t>
        </is>
      </c>
      <c r="FO3029" s="15" t="inlineStr">
        <is>
          <t>San Bernardo</t>
        </is>
      </c>
      <c r="FP3029" t="inlineStr">
        <is>
          <t>B</t>
        </is>
      </c>
    </row>
    <row r="3030">
      <c r="FC3030" t="inlineStr">
        <is>
          <t>Diccionario 4</t>
        </is>
      </c>
      <c r="FD3030" s="15" t="inlineStr">
        <is>
          <t>1111 / VFHL-56|</t>
        </is>
      </c>
      <c r="FE3030" s="15" t="inlineStr">
        <is>
          <t>LDYECS319S0043919</t>
        </is>
      </c>
      <c r="FF3030" s="15" t="inlineStr">
        <is>
          <t>MDN35025010112</t>
        </is>
      </c>
      <c r="FG3030" s="15" t="inlineStr">
        <is>
          <t>Zhong Tong</t>
        </is>
      </c>
      <c r="FH3030" s="15" t="inlineStr">
        <is>
          <t>Lck6122evg</t>
        </is>
      </c>
      <c r="FI3030" s="15" t="inlineStr">
        <is>
          <t>ZHONGTONG</t>
        </is>
      </c>
      <c r="FJ3030" s="15" t="inlineStr">
        <is>
          <t>LCK6122EVG</t>
        </is>
      </c>
      <c r="FK3030" s="15" t="n">
        <v>2025</v>
      </c>
      <c r="FL3030" s="15" t="inlineStr">
        <is>
          <t>B</t>
        </is>
      </c>
      <c r="FM3030" s="15" t="inlineStr">
        <is>
          <t>SAN JOSE</t>
        </is>
      </c>
      <c r="FN3030" s="15" t="inlineStr">
        <is>
          <t>San José 030 (José Besa 669)</t>
        </is>
      </c>
      <c r="FO3030" s="15" t="inlineStr">
        <is>
          <t>San Bernardo</t>
        </is>
      </c>
      <c r="FP3030" t="inlineStr">
        <is>
          <t>B</t>
        </is>
      </c>
    </row>
    <row r="3031">
      <c r="FC3031" t="inlineStr">
        <is>
          <t>Diccionario 4</t>
        </is>
      </c>
      <c r="FD3031" s="15" t="inlineStr">
        <is>
          <t>1112 / VFHG-99|</t>
        </is>
      </c>
      <c r="FE3031" s="15" t="inlineStr">
        <is>
          <t>LDYECS314S0043908</t>
        </is>
      </c>
      <c r="FF3031" s="15" t="inlineStr">
        <is>
          <t>MDN35025010130</t>
        </is>
      </c>
      <c r="FG3031" s="15" t="inlineStr">
        <is>
          <t>Zhong Tong</t>
        </is>
      </c>
      <c r="FH3031" s="15" t="inlineStr">
        <is>
          <t>Lck6122evg</t>
        </is>
      </c>
      <c r="FI3031" s="15" t="inlineStr">
        <is>
          <t>ZHONGTONG</t>
        </is>
      </c>
      <c r="FJ3031" s="15" t="inlineStr">
        <is>
          <t>LCK6122EVG</t>
        </is>
      </c>
      <c r="FK3031" s="15" t="n">
        <v>2025</v>
      </c>
      <c r="FL3031" s="15" t="inlineStr">
        <is>
          <t>B</t>
        </is>
      </c>
      <c r="FM3031" s="15" t="inlineStr">
        <is>
          <t>SAN JOSE</t>
        </is>
      </c>
      <c r="FN3031" s="15" t="inlineStr">
        <is>
          <t>San José 030 (José Besa 669)</t>
        </is>
      </c>
      <c r="FO3031" s="15" t="inlineStr">
        <is>
          <t>San Bernardo</t>
        </is>
      </c>
      <c r="FP3031" t="inlineStr">
        <is>
          <t>B</t>
        </is>
      </c>
    </row>
    <row r="3032">
      <c r="FC3032" t="inlineStr">
        <is>
          <t>Diccionario 4</t>
        </is>
      </c>
      <c r="FD3032" s="15" t="inlineStr">
        <is>
          <t>1113 / VFHH-49|</t>
        </is>
      </c>
      <c r="FE3032" s="15" t="inlineStr">
        <is>
          <t>LDYECS312S0043924</t>
        </is>
      </c>
      <c r="FF3032" s="15" t="inlineStr">
        <is>
          <t>MDN35025010050</t>
        </is>
      </c>
      <c r="FG3032" s="15" t="inlineStr">
        <is>
          <t>Zhong Tong</t>
        </is>
      </c>
      <c r="FH3032" s="15" t="inlineStr">
        <is>
          <t>Lck6122evg</t>
        </is>
      </c>
      <c r="FI3032" s="15" t="inlineStr">
        <is>
          <t>ZHONGTONG</t>
        </is>
      </c>
      <c r="FJ3032" s="15" t="inlineStr">
        <is>
          <t>LCK6122EVG</t>
        </is>
      </c>
      <c r="FK3032" s="15" t="n">
        <v>2025</v>
      </c>
      <c r="FL3032" s="15" t="inlineStr">
        <is>
          <t>B</t>
        </is>
      </c>
      <c r="FM3032" s="15" t="inlineStr">
        <is>
          <t>SAN JOSE</t>
        </is>
      </c>
      <c r="FN3032" s="15" t="inlineStr">
        <is>
          <t>San José 030 (José Besa 669)</t>
        </is>
      </c>
      <c r="FO3032" s="15" t="inlineStr">
        <is>
          <t>San Bernardo</t>
        </is>
      </c>
      <c r="FP3032" t="inlineStr">
        <is>
          <t>B</t>
        </is>
      </c>
    </row>
    <row r="3033">
      <c r="FC3033" t="inlineStr">
        <is>
          <t>Diccionario 4</t>
        </is>
      </c>
      <c r="FD3033" s="15" t="inlineStr">
        <is>
          <t>1114 / VFHH-65|</t>
        </is>
      </c>
      <c r="FE3033" s="15" t="inlineStr">
        <is>
          <t>LDYECS311S0043946</t>
        </is>
      </c>
      <c r="FF3033" s="15" t="inlineStr">
        <is>
          <t>MDN35025010056</t>
        </is>
      </c>
      <c r="FG3033" s="15" t="inlineStr">
        <is>
          <t>Zhong Tong</t>
        </is>
      </c>
      <c r="FH3033" s="15" t="inlineStr">
        <is>
          <t>Lck6122evg</t>
        </is>
      </c>
      <c r="FI3033" s="15" t="inlineStr">
        <is>
          <t>ZHONGTONG</t>
        </is>
      </c>
      <c r="FJ3033" s="15" t="inlineStr">
        <is>
          <t>LCK6122EVG</t>
        </is>
      </c>
      <c r="FK3033" s="15" t="n">
        <v>2025</v>
      </c>
      <c r="FL3033" s="15" t="inlineStr">
        <is>
          <t>B</t>
        </is>
      </c>
      <c r="FM3033" s="15" t="inlineStr">
        <is>
          <t>SAN JOSE</t>
        </is>
      </c>
      <c r="FN3033" s="15" t="inlineStr">
        <is>
          <t>San José 030 (José Besa 669)</t>
        </is>
      </c>
      <c r="FO3033" s="15" t="inlineStr">
        <is>
          <t>San Bernardo</t>
        </is>
      </c>
      <c r="FP3033" t="inlineStr">
        <is>
          <t>B</t>
        </is>
      </c>
    </row>
    <row r="3034">
      <c r="FC3034" t="inlineStr">
        <is>
          <t>Diccionario 4</t>
        </is>
      </c>
      <c r="FD3034" s="15" t="inlineStr">
        <is>
          <t>1115 / VFHJ-21|</t>
        </is>
      </c>
      <c r="FE3034" s="15" t="inlineStr">
        <is>
          <t>LDYECS318S0043913</t>
        </is>
      </c>
      <c r="FF3034" s="15" t="inlineStr">
        <is>
          <t>MDN35025010045</t>
        </is>
      </c>
      <c r="FG3034" s="15" t="inlineStr">
        <is>
          <t>Zhong Tong</t>
        </is>
      </c>
      <c r="FH3034" s="15" t="inlineStr">
        <is>
          <t>Lck6122evg</t>
        </is>
      </c>
      <c r="FI3034" s="15" t="inlineStr">
        <is>
          <t>ZHONGTONG</t>
        </is>
      </c>
      <c r="FJ3034" s="15" t="inlineStr">
        <is>
          <t>LCK6122EVG</t>
        </is>
      </c>
      <c r="FK3034" s="15" t="n">
        <v>2025</v>
      </c>
      <c r="FL3034" s="15" t="inlineStr">
        <is>
          <t>B</t>
        </is>
      </c>
      <c r="FM3034" s="15" t="inlineStr">
        <is>
          <t>SAN JOSE</t>
        </is>
      </c>
      <c r="FN3034" s="15" t="inlineStr">
        <is>
          <t>San José 030 (José Besa 669)</t>
        </is>
      </c>
      <c r="FO3034" s="15" t="inlineStr">
        <is>
          <t>San Bernardo</t>
        </is>
      </c>
      <c r="FP3034" t="inlineStr">
        <is>
          <t>B</t>
        </is>
      </c>
    </row>
    <row r="3035">
      <c r="FC3035" t="inlineStr">
        <is>
          <t>Diccionario 4</t>
        </is>
      </c>
      <c r="FD3035" s="15" t="inlineStr">
        <is>
          <t>1116 / VFHJ-43|</t>
        </is>
      </c>
      <c r="FE3035" s="15" t="inlineStr">
        <is>
          <t>LDYECS31XS0043895</t>
        </is>
      </c>
      <c r="FF3035" s="15" t="inlineStr">
        <is>
          <t>MDN35025010235</t>
        </is>
      </c>
      <c r="FG3035" s="15" t="inlineStr">
        <is>
          <t>Zhong Tong</t>
        </is>
      </c>
      <c r="FH3035" s="15" t="inlineStr">
        <is>
          <t>Lck6122evg</t>
        </is>
      </c>
      <c r="FI3035" s="15" t="inlineStr">
        <is>
          <t>ZHONGTONG</t>
        </is>
      </c>
      <c r="FJ3035" s="15" t="inlineStr">
        <is>
          <t>LCK6122EVG</t>
        </is>
      </c>
      <c r="FK3035" s="15" t="n">
        <v>2025</v>
      </c>
      <c r="FL3035" s="15" t="inlineStr">
        <is>
          <t>B</t>
        </is>
      </c>
      <c r="FM3035" s="15" t="inlineStr">
        <is>
          <t>SAN JOSE</t>
        </is>
      </c>
      <c r="FN3035" s="15" t="inlineStr">
        <is>
          <t>San José 030 (José Besa 669)</t>
        </is>
      </c>
      <c r="FO3035" s="15" t="inlineStr">
        <is>
          <t>San Bernardo</t>
        </is>
      </c>
      <c r="FP3035" t="inlineStr">
        <is>
          <t>B</t>
        </is>
      </c>
    </row>
    <row r="3036">
      <c r="FC3036" t="inlineStr">
        <is>
          <t>Diccionario 4</t>
        </is>
      </c>
      <c r="FD3036" s="15" t="inlineStr">
        <is>
          <t>1117 / VFHJ-59|</t>
        </is>
      </c>
      <c r="FE3036" s="15" t="inlineStr">
        <is>
          <t>LDYECS317S0043935</t>
        </is>
      </c>
      <c r="FF3036" s="15" t="inlineStr">
        <is>
          <t>MDN35025010210</t>
        </is>
      </c>
      <c r="FG3036" s="15" t="inlineStr">
        <is>
          <t>Zhong Tong</t>
        </is>
      </c>
      <c r="FH3036" s="15" t="inlineStr">
        <is>
          <t>Lck6122evg</t>
        </is>
      </c>
      <c r="FI3036" s="15" t="inlineStr">
        <is>
          <t>ZHONGTONG</t>
        </is>
      </c>
      <c r="FJ3036" s="15" t="inlineStr">
        <is>
          <t>LCK6122EVG</t>
        </is>
      </c>
      <c r="FK3036" s="15" t="n">
        <v>2025</v>
      </c>
      <c r="FL3036" s="15" t="inlineStr">
        <is>
          <t>B</t>
        </is>
      </c>
      <c r="FM3036" s="15" t="inlineStr">
        <is>
          <t>SAN JOSE</t>
        </is>
      </c>
      <c r="FN3036" s="15" t="inlineStr">
        <is>
          <t>San José 030 (José Besa 669)</t>
        </is>
      </c>
      <c r="FO3036" s="15" t="inlineStr">
        <is>
          <t>San Bernardo</t>
        </is>
      </c>
      <c r="FP3036" t="inlineStr">
        <is>
          <t>B</t>
        </is>
      </c>
    </row>
    <row r="3037">
      <c r="FC3037" t="inlineStr">
        <is>
          <t>Diccionario 4</t>
        </is>
      </c>
      <c r="FD3037" s="15" t="inlineStr">
        <is>
          <t>1118 / VFHJ-92|</t>
        </is>
      </c>
      <c r="FE3037" s="15" t="inlineStr">
        <is>
          <t>LDYECS316S0043926</t>
        </is>
      </c>
      <c r="FF3037" s="15" t="inlineStr">
        <is>
          <t>MDN35025010044</t>
        </is>
      </c>
      <c r="FG3037" s="15" t="inlineStr">
        <is>
          <t>Zhong Tong</t>
        </is>
      </c>
      <c r="FH3037" s="15" t="inlineStr">
        <is>
          <t>Lck6122evg</t>
        </is>
      </c>
      <c r="FI3037" s="15" t="inlineStr">
        <is>
          <t>ZHONGTONG</t>
        </is>
      </c>
      <c r="FJ3037" s="15" t="inlineStr">
        <is>
          <t>LCK6122EVG</t>
        </is>
      </c>
      <c r="FK3037" s="15" t="n">
        <v>2025</v>
      </c>
      <c r="FL3037" s="15" t="inlineStr">
        <is>
          <t>B</t>
        </is>
      </c>
      <c r="FM3037" s="15" t="inlineStr">
        <is>
          <t>SAN JOSE</t>
        </is>
      </c>
      <c r="FN3037" s="15" t="inlineStr">
        <is>
          <t>San José 030 (José Besa 669)</t>
        </is>
      </c>
      <c r="FO3037" s="15" t="inlineStr">
        <is>
          <t>San Bernardo</t>
        </is>
      </c>
      <c r="FP3037" t="inlineStr">
        <is>
          <t>B</t>
        </is>
      </c>
    </row>
    <row r="3038">
      <c r="FC3038" t="inlineStr">
        <is>
          <t>Diccionario 4</t>
        </is>
      </c>
      <c r="FD3038" s="15" t="inlineStr">
        <is>
          <t>1119 / VFHJ-69|</t>
        </is>
      </c>
      <c r="FE3038" s="15" t="inlineStr">
        <is>
          <t>LDYECS31XS0043914</t>
        </is>
      </c>
      <c r="FF3038" s="15" t="inlineStr">
        <is>
          <t>MDN35025010074</t>
        </is>
      </c>
      <c r="FG3038" s="15" t="inlineStr">
        <is>
          <t>Zhong Tong</t>
        </is>
      </c>
      <c r="FH3038" s="15" t="inlineStr">
        <is>
          <t>Lck6122evg</t>
        </is>
      </c>
      <c r="FI3038" s="15" t="inlineStr">
        <is>
          <t>ZHONGTONG</t>
        </is>
      </c>
      <c r="FJ3038" s="15" t="inlineStr">
        <is>
          <t>LCK6122EVG</t>
        </is>
      </c>
      <c r="FK3038" s="15" t="n">
        <v>2025</v>
      </c>
      <c r="FL3038" s="15" t="inlineStr">
        <is>
          <t>B</t>
        </is>
      </c>
      <c r="FM3038" s="15" t="inlineStr">
        <is>
          <t>SAN JOSE</t>
        </is>
      </c>
      <c r="FN3038" s="15" t="inlineStr">
        <is>
          <t>San José 030 (José Besa 669)</t>
        </is>
      </c>
      <c r="FO3038" s="15" t="inlineStr">
        <is>
          <t>San Bernardo</t>
        </is>
      </c>
      <c r="FP3038" t="inlineStr">
        <is>
          <t>B</t>
        </is>
      </c>
    </row>
    <row r="3039">
      <c r="FC3039" t="inlineStr">
        <is>
          <t>Diccionario 4</t>
        </is>
      </c>
      <c r="FD3039" s="15" t="inlineStr">
        <is>
          <t>1120 / VFHJ-77|</t>
        </is>
      </c>
      <c r="FE3039" s="15" t="inlineStr">
        <is>
          <t>LDYECS310S0043906</t>
        </is>
      </c>
      <c r="FF3039" s="15" t="inlineStr">
        <is>
          <t>MDN35025010080</t>
        </is>
      </c>
      <c r="FG3039" s="15" t="inlineStr">
        <is>
          <t>Zhong Tong</t>
        </is>
      </c>
      <c r="FH3039" s="15" t="inlineStr">
        <is>
          <t>Lck6122evg</t>
        </is>
      </c>
      <c r="FI3039" s="15" t="inlineStr">
        <is>
          <t>ZHONGTONG</t>
        </is>
      </c>
      <c r="FJ3039" s="15" t="inlineStr">
        <is>
          <t>LCK6122EVG</t>
        </is>
      </c>
      <c r="FK3039" s="15" t="n">
        <v>2025</v>
      </c>
      <c r="FL3039" s="15" t="inlineStr">
        <is>
          <t>B</t>
        </is>
      </c>
      <c r="FM3039" s="15" t="inlineStr">
        <is>
          <t>SAN JOSE</t>
        </is>
      </c>
      <c r="FN3039" s="15" t="inlineStr">
        <is>
          <t>San José 030 (José Besa 669)</t>
        </is>
      </c>
      <c r="FO3039" s="15" t="inlineStr">
        <is>
          <t>San Bernardo</t>
        </is>
      </c>
      <c r="FP3039" t="inlineStr">
        <is>
          <t>B</t>
        </is>
      </c>
    </row>
    <row r="3040">
      <c r="FC3040" t="inlineStr">
        <is>
          <t>Diccionario 4</t>
        </is>
      </c>
      <c r="FD3040" s="15" t="inlineStr">
        <is>
          <t>1121 / VFHL-62|</t>
        </is>
      </c>
      <c r="FE3040" s="15" t="inlineStr">
        <is>
          <t>LDYECS31XS0043928</t>
        </is>
      </c>
      <c r="FF3040" s="15" t="inlineStr">
        <is>
          <t>MDN35025010051</t>
        </is>
      </c>
      <c r="FG3040" s="15" t="inlineStr">
        <is>
          <t>Zhong Tong</t>
        </is>
      </c>
      <c r="FH3040" s="15" t="inlineStr">
        <is>
          <t>Lck6122evg</t>
        </is>
      </c>
      <c r="FI3040" s="15" t="inlineStr">
        <is>
          <t>ZHONGTONG</t>
        </is>
      </c>
      <c r="FJ3040" s="15" t="inlineStr">
        <is>
          <t>LCK6122EVG</t>
        </is>
      </c>
      <c r="FK3040" s="15" t="n">
        <v>2025</v>
      </c>
      <c r="FL3040" s="15" t="inlineStr">
        <is>
          <t>B</t>
        </is>
      </c>
      <c r="FM3040" s="15" t="inlineStr">
        <is>
          <t>SAN JOSE</t>
        </is>
      </c>
      <c r="FN3040" s="15" t="inlineStr">
        <is>
          <t>San José 030 (José Besa 669)</t>
        </is>
      </c>
      <c r="FO3040" s="15" t="inlineStr">
        <is>
          <t>San Bernardo</t>
        </is>
      </c>
      <c r="FP3040" t="inlineStr">
        <is>
          <t>B</t>
        </is>
      </c>
    </row>
    <row r="3041">
      <c r="FC3041" t="inlineStr">
        <is>
          <t>Diccionario 4</t>
        </is>
      </c>
      <c r="FD3041" s="15" t="inlineStr">
        <is>
          <t>1122 / VFHL-66|</t>
        </is>
      </c>
      <c r="FE3041" s="15" t="inlineStr">
        <is>
          <t>LDYECS315S0043934</t>
        </is>
      </c>
      <c r="FF3041" s="15" t="inlineStr">
        <is>
          <t>MDN35025010214</t>
        </is>
      </c>
      <c r="FG3041" s="15" t="inlineStr">
        <is>
          <t>Zhong Tong</t>
        </is>
      </c>
      <c r="FH3041" s="15" t="inlineStr">
        <is>
          <t>Lck6122evg</t>
        </is>
      </c>
      <c r="FI3041" s="15" t="inlineStr">
        <is>
          <t>ZHONGTONG</t>
        </is>
      </c>
      <c r="FJ3041" s="15" t="inlineStr">
        <is>
          <t>LCK6122EVG</t>
        </is>
      </c>
      <c r="FK3041" s="15" t="n">
        <v>2025</v>
      </c>
      <c r="FL3041" s="15" t="inlineStr">
        <is>
          <t>B</t>
        </is>
      </c>
      <c r="FM3041" s="15" t="inlineStr">
        <is>
          <t>CERRILLOS</t>
        </is>
      </c>
      <c r="FN3041" s="15" t="inlineStr">
        <is>
          <t>Calle Uno 7371</t>
        </is>
      </c>
      <c r="FO3041" s="15" t="inlineStr">
        <is>
          <t>Huechuraba</t>
        </is>
      </c>
      <c r="FP3041" t="inlineStr">
        <is>
          <t>B</t>
        </is>
      </c>
    </row>
    <row r="3042">
      <c r="FC3042" t="inlineStr">
        <is>
          <t>Diccionario 4</t>
        </is>
      </c>
      <c r="FD3042" s="15" t="inlineStr">
        <is>
          <t>1123 / VFHL-81|</t>
        </is>
      </c>
      <c r="FE3042" s="15" t="inlineStr">
        <is>
          <t>LDYECS317S0043983</t>
        </is>
      </c>
      <c r="FF3042" s="15" t="inlineStr">
        <is>
          <t>MDN35025020100</t>
        </is>
      </c>
      <c r="FG3042" s="15" t="inlineStr">
        <is>
          <t>Zhong Tong</t>
        </is>
      </c>
      <c r="FH3042" s="15" t="inlineStr">
        <is>
          <t>Lck6122evg</t>
        </is>
      </c>
      <c r="FI3042" s="15" t="inlineStr">
        <is>
          <t>ZHONGTONG</t>
        </is>
      </c>
      <c r="FJ3042" s="15" t="inlineStr">
        <is>
          <t>LCK6122EVG</t>
        </is>
      </c>
      <c r="FK3042" s="15" t="n">
        <v>2025</v>
      </c>
      <c r="FL3042" s="15" t="inlineStr">
        <is>
          <t>B</t>
        </is>
      </c>
      <c r="FM3042" s="15" t="inlineStr">
        <is>
          <t>LOS LIBERTADORES</t>
        </is>
      </c>
      <c r="FN3042" s="15" t="inlineStr">
        <is>
          <t>Los Liberadores 6450, Lote 4A</t>
        </is>
      </c>
      <c r="FO3042" s="15" t="inlineStr">
        <is>
          <t>Huechuraba</t>
        </is>
      </c>
      <c r="FP3042" t="inlineStr">
        <is>
          <t>B</t>
        </is>
      </c>
    </row>
    <row r="3043">
      <c r="FC3043" t="inlineStr">
        <is>
          <t>Diccionario 4</t>
        </is>
      </c>
      <c r="FD3043" s="15" t="inlineStr">
        <is>
          <t>1124 / VFHS-85|</t>
        </is>
      </c>
      <c r="FE3043" s="15" t="inlineStr">
        <is>
          <t>LDYECS315S0043979</t>
        </is>
      </c>
      <c r="FF3043" s="15" t="inlineStr">
        <is>
          <t>MDN35025020094</t>
        </is>
      </c>
      <c r="FG3043" s="15" t="inlineStr">
        <is>
          <t>Zhong Tong</t>
        </is>
      </c>
      <c r="FH3043" s="15" t="inlineStr">
        <is>
          <t>Lck6122evg</t>
        </is>
      </c>
      <c r="FI3043" s="15" t="inlineStr">
        <is>
          <t>ZHONGTONG</t>
        </is>
      </c>
      <c r="FJ3043" s="15" t="inlineStr">
        <is>
          <t>LCK6122EVG</t>
        </is>
      </c>
      <c r="FK3043" s="15" t="n">
        <v>2025</v>
      </c>
      <c r="FL3043" s="15" t="inlineStr">
        <is>
          <t>B</t>
        </is>
      </c>
      <c r="FM3043" s="15" t="inlineStr">
        <is>
          <t>LOS LIBERTADORES</t>
        </is>
      </c>
      <c r="FN3043" s="15" t="inlineStr">
        <is>
          <t>Los Liberadores 6450, Lote 4A</t>
        </is>
      </c>
      <c r="FO3043" s="15" t="inlineStr">
        <is>
          <t>Huechuraba</t>
        </is>
      </c>
      <c r="FP3043" t="inlineStr">
        <is>
          <t>B</t>
        </is>
      </c>
    </row>
    <row r="3044">
      <c r="FC3044" t="inlineStr">
        <is>
          <t>Diccionario 4</t>
        </is>
      </c>
      <c r="FD3044" s="15" t="inlineStr">
        <is>
          <t>1125 / VFHS-95|</t>
        </is>
      </c>
      <c r="FE3044" s="15" t="inlineStr">
        <is>
          <t>LDYECS314S0043956</t>
        </is>
      </c>
      <c r="FF3044" s="15" t="inlineStr">
        <is>
          <t>MDN35025020090</t>
        </is>
      </c>
      <c r="FG3044" s="15" t="inlineStr">
        <is>
          <t>Zhong Tong</t>
        </is>
      </c>
      <c r="FH3044" s="15" t="inlineStr">
        <is>
          <t>Lck6122evg</t>
        </is>
      </c>
      <c r="FI3044" s="15" t="inlineStr">
        <is>
          <t>ZHONGTONG</t>
        </is>
      </c>
      <c r="FJ3044" s="15" t="inlineStr">
        <is>
          <t>LCK6122EVG</t>
        </is>
      </c>
      <c r="FK3044" s="15" t="n">
        <v>2025</v>
      </c>
      <c r="FL3044" s="15" t="inlineStr">
        <is>
          <t>B</t>
        </is>
      </c>
      <c r="FM3044" s="15" t="inlineStr">
        <is>
          <t>LOS LIBERTADORES</t>
        </is>
      </c>
      <c r="FN3044" s="15" t="inlineStr">
        <is>
          <t>Los Liberadores 6450, Lote 4A</t>
        </is>
      </c>
      <c r="FO3044" s="15" t="inlineStr">
        <is>
          <t>Huechuraba</t>
        </is>
      </c>
      <c r="FP3044" t="inlineStr">
        <is>
          <t>B</t>
        </is>
      </c>
    </row>
    <row r="3045">
      <c r="FC3045" t="inlineStr">
        <is>
          <t>Diccionario 4</t>
        </is>
      </c>
      <c r="FD3045" s="15" t="inlineStr">
        <is>
          <t>1126 / VFHS-98|</t>
        </is>
      </c>
      <c r="FE3045" s="15" t="inlineStr">
        <is>
          <t>LDYECS316S0043957</t>
        </is>
      </c>
      <c r="FF3045" s="15" t="inlineStr">
        <is>
          <t>MDN35025020069</t>
        </is>
      </c>
      <c r="FG3045" s="15" t="inlineStr">
        <is>
          <t>Zhong Tong</t>
        </is>
      </c>
      <c r="FH3045" s="15" t="inlineStr">
        <is>
          <t>Lck6122evg</t>
        </is>
      </c>
      <c r="FI3045" s="15" t="inlineStr">
        <is>
          <t>ZHONGTONG</t>
        </is>
      </c>
      <c r="FJ3045" s="15" t="inlineStr">
        <is>
          <t>LCK6122EVG</t>
        </is>
      </c>
      <c r="FK3045" s="15" t="n">
        <v>2025</v>
      </c>
      <c r="FL3045" s="15" t="inlineStr">
        <is>
          <t>B</t>
        </is>
      </c>
      <c r="FM3045" s="15" t="inlineStr">
        <is>
          <t>SAN JOSE</t>
        </is>
      </c>
      <c r="FN3045" s="15" t="inlineStr">
        <is>
          <t>San José 030 (José Besa 669)</t>
        </is>
      </c>
      <c r="FO3045" s="15" t="inlineStr">
        <is>
          <t>San Bernardo</t>
        </is>
      </c>
      <c r="FP3045" t="inlineStr">
        <is>
          <t>B</t>
        </is>
      </c>
    </row>
    <row r="3046">
      <c r="FC3046" t="inlineStr">
        <is>
          <t>Diccionario 4</t>
        </is>
      </c>
      <c r="FD3046" s="15" t="inlineStr">
        <is>
          <t>1127 / VFHT-45|</t>
        </is>
      </c>
      <c r="FE3046" s="15" t="inlineStr">
        <is>
          <t>LDYECS319S0043953</t>
        </is>
      </c>
      <c r="FF3046" s="15" t="inlineStr">
        <is>
          <t>MDN35025020052</t>
        </is>
      </c>
      <c r="FG3046" s="15" t="inlineStr">
        <is>
          <t>Zhong Tong</t>
        </is>
      </c>
      <c r="FH3046" s="15" t="inlineStr">
        <is>
          <t>Lck6122evg</t>
        </is>
      </c>
      <c r="FI3046" s="15" t="inlineStr">
        <is>
          <t>ZHONGTONG</t>
        </is>
      </c>
      <c r="FJ3046" s="15" t="inlineStr">
        <is>
          <t>LCK6122EVG</t>
        </is>
      </c>
      <c r="FK3046" s="15" t="n">
        <v>2025</v>
      </c>
      <c r="FL3046" s="15" t="inlineStr">
        <is>
          <t>B</t>
        </is>
      </c>
      <c r="FM3046" s="15" t="inlineStr">
        <is>
          <t>SAN JOSE</t>
        </is>
      </c>
      <c r="FN3046" s="15" t="inlineStr">
        <is>
          <t>San José 030 (José Besa 669)</t>
        </is>
      </c>
      <c r="FO3046" s="15" t="inlineStr">
        <is>
          <t>San Bernardo</t>
        </is>
      </c>
      <c r="FP3046" t="inlineStr">
        <is>
          <t>B</t>
        </is>
      </c>
    </row>
    <row r="3047">
      <c r="FC3047" t="inlineStr">
        <is>
          <t>Diccionario 4</t>
        </is>
      </c>
      <c r="FD3047" s="15" t="inlineStr">
        <is>
          <t>1128 / VFHT-55|</t>
        </is>
      </c>
      <c r="FE3047" s="15" t="inlineStr">
        <is>
          <t>LDYECS310S0043954</t>
        </is>
      </c>
      <c r="FF3047" s="15" t="inlineStr">
        <is>
          <t>MDN35025020088</t>
        </is>
      </c>
      <c r="FG3047" s="15" t="inlineStr">
        <is>
          <t>Zhong Tong</t>
        </is>
      </c>
      <c r="FH3047" s="15" t="inlineStr">
        <is>
          <t>Lck6122evg</t>
        </is>
      </c>
      <c r="FI3047" s="15" t="inlineStr">
        <is>
          <t>ZHONGTONG</t>
        </is>
      </c>
      <c r="FJ3047" s="15" t="inlineStr">
        <is>
          <t>LCK6122EVG</t>
        </is>
      </c>
      <c r="FK3047" s="15" t="n">
        <v>2025</v>
      </c>
      <c r="FL3047" s="15" t="inlineStr">
        <is>
          <t>B</t>
        </is>
      </c>
      <c r="FM3047" s="15" t="inlineStr">
        <is>
          <t>SAN JOSE</t>
        </is>
      </c>
      <c r="FN3047" s="15" t="inlineStr">
        <is>
          <t>San José 030 (José Besa 669)</t>
        </is>
      </c>
      <c r="FO3047" s="15" t="inlineStr">
        <is>
          <t>San Bernardo</t>
        </is>
      </c>
      <c r="FP3047" t="inlineStr">
        <is>
          <t>B</t>
        </is>
      </c>
    </row>
    <row r="3048">
      <c r="FC3048" t="inlineStr">
        <is>
          <t>Diccionario 4</t>
        </is>
      </c>
      <c r="FD3048" s="15" t="inlineStr">
        <is>
          <t>1129 / VFHK-16|</t>
        </is>
      </c>
      <c r="FE3048" s="15" t="inlineStr">
        <is>
          <t>LDYECS311S0043915</t>
        </is>
      </c>
      <c r="FF3048" s="15" t="inlineStr">
        <is>
          <t>MDN35025010066</t>
        </is>
      </c>
      <c r="FG3048" s="15" t="inlineStr">
        <is>
          <t>Zhong Tong</t>
        </is>
      </c>
      <c r="FH3048" s="15" t="inlineStr">
        <is>
          <t>Lck6122evg</t>
        </is>
      </c>
      <c r="FI3048" s="15" t="inlineStr">
        <is>
          <t>ZHONGTONG</t>
        </is>
      </c>
      <c r="FJ3048" s="15" t="inlineStr">
        <is>
          <t>LCK6122EVG</t>
        </is>
      </c>
      <c r="FK3048" s="15" t="n">
        <v>2025</v>
      </c>
      <c r="FL3048" s="15" t="inlineStr">
        <is>
          <t>B</t>
        </is>
      </c>
      <c r="FM3048" s="15" t="inlineStr">
        <is>
          <t>SAN JOSE</t>
        </is>
      </c>
      <c r="FN3048" s="15" t="inlineStr">
        <is>
          <t>San José 030 (José Besa 669)</t>
        </is>
      </c>
      <c r="FO3048" s="15" t="inlineStr">
        <is>
          <t>San Bernardo</t>
        </is>
      </c>
      <c r="FP3048" t="inlineStr">
        <is>
          <t>B</t>
        </is>
      </c>
    </row>
    <row r="3049">
      <c r="FC3049" t="inlineStr">
        <is>
          <t>Diccionario 4</t>
        </is>
      </c>
      <c r="FD3049" s="15" t="inlineStr">
        <is>
          <t>1130 / VFHT-73|</t>
        </is>
      </c>
      <c r="FE3049" s="15" t="inlineStr">
        <is>
          <t>LDYECS319S0043984</t>
        </is>
      </c>
      <c r="FF3049" s="15" t="inlineStr">
        <is>
          <t>MDN35025020097</t>
        </is>
      </c>
      <c r="FG3049" s="15" t="inlineStr">
        <is>
          <t>Zhong Tong</t>
        </is>
      </c>
      <c r="FH3049" s="15" t="inlineStr">
        <is>
          <t>Lck6122evg</t>
        </is>
      </c>
      <c r="FI3049" s="15" t="inlineStr">
        <is>
          <t>ZHONGTONG</t>
        </is>
      </c>
      <c r="FJ3049" s="15" t="inlineStr">
        <is>
          <t>LCK6122EVG</t>
        </is>
      </c>
      <c r="FK3049" s="15" t="n">
        <v>2025</v>
      </c>
      <c r="FL3049" s="15" t="inlineStr">
        <is>
          <t>B</t>
        </is>
      </c>
      <c r="FM3049" s="15" t="inlineStr">
        <is>
          <t>CERRILLOS</t>
        </is>
      </c>
      <c r="FN3049" s="15" t="inlineStr">
        <is>
          <t>Calle Uno 7371</t>
        </is>
      </c>
      <c r="FO3049" s="15" t="inlineStr">
        <is>
          <t>Cerrillos</t>
        </is>
      </c>
      <c r="FP3049" t="inlineStr">
        <is>
          <t>B</t>
        </is>
      </c>
    </row>
    <row r="3050">
      <c r="FC3050" t="inlineStr">
        <is>
          <t>Diccionario 4</t>
        </is>
      </c>
      <c r="FD3050" s="15" t="inlineStr">
        <is>
          <t>1131 / VFHT-80|</t>
        </is>
      </c>
      <c r="FE3050" s="15" t="inlineStr">
        <is>
          <t>LDYECS314S0043987</t>
        </is>
      </c>
      <c r="FF3050" s="15" t="inlineStr">
        <is>
          <t>MDN35025020056</t>
        </is>
      </c>
      <c r="FG3050" s="15" t="inlineStr">
        <is>
          <t>Zhong Tong</t>
        </is>
      </c>
      <c r="FH3050" s="15" t="inlineStr">
        <is>
          <t>Lck6122evg</t>
        </is>
      </c>
      <c r="FI3050" s="15" t="inlineStr">
        <is>
          <t>ZHONGTONG</t>
        </is>
      </c>
      <c r="FJ3050" s="15" t="inlineStr">
        <is>
          <t>LCK6122EVG</t>
        </is>
      </c>
      <c r="FK3050" s="15" t="n">
        <v>2025</v>
      </c>
      <c r="FL3050" s="15" t="inlineStr">
        <is>
          <t>B</t>
        </is>
      </c>
      <c r="FM3050" s="15" t="inlineStr">
        <is>
          <t>LOS LIBERTADORES</t>
        </is>
      </c>
      <c r="FN3050" s="15" t="inlineStr">
        <is>
          <t>Los Liberadores 6450, Lote 4A</t>
        </is>
      </c>
      <c r="FO3050" s="15" t="inlineStr">
        <is>
          <t>Huechuraba</t>
        </is>
      </c>
      <c r="FP3050" t="inlineStr">
        <is>
          <t>B</t>
        </is>
      </c>
    </row>
    <row r="3051">
      <c r="FC3051" t="inlineStr">
        <is>
          <t>Diccionario 4</t>
        </is>
      </c>
      <c r="FD3051" s="15" t="inlineStr">
        <is>
          <t>1132 / VFHT-81|</t>
        </is>
      </c>
      <c r="FE3051" s="15" t="inlineStr">
        <is>
          <t>LDYECS314S0043973</t>
        </is>
      </c>
      <c r="FF3051" s="15" t="inlineStr">
        <is>
          <t>MDN35025020087</t>
        </is>
      </c>
      <c r="FG3051" s="15" t="inlineStr">
        <is>
          <t>Zhong Tong</t>
        </is>
      </c>
      <c r="FH3051" s="15" t="inlineStr">
        <is>
          <t>Lck6122evg</t>
        </is>
      </c>
      <c r="FI3051" s="15" t="inlineStr">
        <is>
          <t>ZHONGTONG</t>
        </is>
      </c>
      <c r="FJ3051" s="15" t="inlineStr">
        <is>
          <t>LCK6122EVG</t>
        </is>
      </c>
      <c r="FK3051" s="15" t="n">
        <v>2025</v>
      </c>
      <c r="FL3051" s="15" t="inlineStr">
        <is>
          <t>B</t>
        </is>
      </c>
      <c r="FM3051" s="15" t="inlineStr">
        <is>
          <t>LOS LIBERTADORES</t>
        </is>
      </c>
      <c r="FN3051" s="15" t="inlineStr">
        <is>
          <t>Los Liberadores 6450, Lote 4A</t>
        </is>
      </c>
      <c r="FO3051" s="15" t="inlineStr">
        <is>
          <t>Huechuraba</t>
        </is>
      </c>
      <c r="FP3051" t="inlineStr">
        <is>
          <t>B</t>
        </is>
      </c>
    </row>
    <row r="3052">
      <c r="FC3052" t="inlineStr">
        <is>
          <t>Diccionario 4</t>
        </is>
      </c>
      <c r="FD3052" s="15" t="inlineStr">
        <is>
          <t>1133 / VFHV-57|</t>
        </is>
      </c>
      <c r="FE3052" s="15" t="inlineStr">
        <is>
          <t>LDYECS316S0043974</t>
        </is>
      </c>
      <c r="FF3052" s="15" t="inlineStr">
        <is>
          <t>MDN35025020079</t>
        </is>
      </c>
      <c r="FG3052" s="15" t="inlineStr">
        <is>
          <t>Zhong Tong</t>
        </is>
      </c>
      <c r="FH3052" s="15" t="inlineStr">
        <is>
          <t>Lck6122evg</t>
        </is>
      </c>
      <c r="FI3052" s="15" t="inlineStr">
        <is>
          <t>ZHONGTONG</t>
        </is>
      </c>
      <c r="FJ3052" s="15" t="inlineStr">
        <is>
          <t>LCK6122EVG</t>
        </is>
      </c>
      <c r="FK3052" s="15" t="n">
        <v>2025</v>
      </c>
      <c r="FL3052" s="15" t="inlineStr">
        <is>
          <t>B</t>
        </is>
      </c>
      <c r="FM3052" s="15" t="inlineStr">
        <is>
          <t>LOS LIBERTADORES</t>
        </is>
      </c>
      <c r="FN3052" s="15" t="inlineStr">
        <is>
          <t>Los Liberadores 6450, Lote 4A</t>
        </is>
      </c>
      <c r="FO3052" s="15" t="inlineStr">
        <is>
          <t>Huechuraba</t>
        </is>
      </c>
      <c r="FP3052" t="inlineStr">
        <is>
          <t>B</t>
        </is>
      </c>
    </row>
    <row r="3053">
      <c r="FC3053" t="inlineStr">
        <is>
          <t>Diccionario 4</t>
        </is>
      </c>
      <c r="FD3053" s="15" t="inlineStr">
        <is>
          <t>1134 / VFHV-67|</t>
        </is>
      </c>
      <c r="FE3053" s="15" t="inlineStr">
        <is>
          <t>LDYECS311S0043980</t>
        </is>
      </c>
      <c r="FF3053" s="15" t="inlineStr">
        <is>
          <t>MDN35025020095</t>
        </is>
      </c>
      <c r="FG3053" s="15" t="inlineStr">
        <is>
          <t>Zhong Tong</t>
        </is>
      </c>
      <c r="FH3053" s="15" t="inlineStr">
        <is>
          <t>Lck6122evg</t>
        </is>
      </c>
      <c r="FI3053" s="15" t="inlineStr">
        <is>
          <t>ZHONGTONG</t>
        </is>
      </c>
      <c r="FJ3053" s="15" t="inlineStr">
        <is>
          <t>LCK6122EVG</t>
        </is>
      </c>
      <c r="FK3053" s="15" t="n">
        <v>2025</v>
      </c>
      <c r="FL3053" s="15" t="inlineStr">
        <is>
          <t>B</t>
        </is>
      </c>
      <c r="FM3053" s="15" t="inlineStr">
        <is>
          <t>LOS LIBERTADORES</t>
        </is>
      </c>
      <c r="FN3053" s="15" t="inlineStr">
        <is>
          <t>Los Liberadores 6450, Lote 4A</t>
        </is>
      </c>
      <c r="FO3053" s="15" t="inlineStr">
        <is>
          <t>Huechuraba</t>
        </is>
      </c>
      <c r="FP3053" t="inlineStr">
        <is>
          <t>B</t>
        </is>
      </c>
    </row>
    <row r="3054">
      <c r="FC3054" t="inlineStr">
        <is>
          <t>Diccionario 4</t>
        </is>
      </c>
      <c r="FD3054" s="15" t="inlineStr">
        <is>
          <t>1135 / VFHV-82|</t>
        </is>
      </c>
      <c r="FE3054" s="15" t="inlineStr">
        <is>
          <t>LDYECS319S0044004</t>
        </is>
      </c>
      <c r="FF3054" s="15" t="inlineStr">
        <is>
          <t>MDN35025020057</t>
        </is>
      </c>
      <c r="FG3054" s="15" t="inlineStr">
        <is>
          <t>Zhong Tong</t>
        </is>
      </c>
      <c r="FH3054" s="15" t="inlineStr">
        <is>
          <t>Lck6122evg</t>
        </is>
      </c>
      <c r="FI3054" s="15" t="inlineStr">
        <is>
          <t>ZHONGTONG</t>
        </is>
      </c>
      <c r="FJ3054" s="15" t="inlineStr">
        <is>
          <t>LCK6122EVG</t>
        </is>
      </c>
      <c r="FK3054" s="15" t="n">
        <v>2025</v>
      </c>
      <c r="FL3054" s="15" t="inlineStr">
        <is>
          <t>B</t>
        </is>
      </c>
      <c r="FM3054" s="15" t="inlineStr">
        <is>
          <t>LOS LIBERTADORES</t>
        </is>
      </c>
      <c r="FN3054" s="15" t="inlineStr">
        <is>
          <t>Los Liberadores 6450, Lote 4A</t>
        </is>
      </c>
      <c r="FO3054" s="15" t="inlineStr">
        <is>
          <t>Huechuraba</t>
        </is>
      </c>
      <c r="FP3054" t="inlineStr">
        <is>
          <t>B</t>
        </is>
      </c>
    </row>
    <row r="3055">
      <c r="FC3055" t="inlineStr">
        <is>
          <t>Diccionario 4</t>
        </is>
      </c>
      <c r="FD3055" s="15" t="inlineStr">
        <is>
          <t>1136 / VFHV-87|</t>
        </is>
      </c>
      <c r="FE3055" s="15" t="inlineStr">
        <is>
          <t>LDYECS312S0043955</t>
        </is>
      </c>
      <c r="FF3055" s="15" t="inlineStr">
        <is>
          <t>MDN35025020084</t>
        </is>
      </c>
      <c r="FG3055" s="15" t="inlineStr">
        <is>
          <t>Zhong Tong</t>
        </is>
      </c>
      <c r="FH3055" s="15" t="inlineStr">
        <is>
          <t>Lck6122evg</t>
        </is>
      </c>
      <c r="FI3055" s="15" t="inlineStr">
        <is>
          <t>ZHONGTONG</t>
        </is>
      </c>
      <c r="FJ3055" s="15" t="inlineStr">
        <is>
          <t>LCK6122EVG</t>
        </is>
      </c>
      <c r="FK3055" s="15" t="n">
        <v>2025</v>
      </c>
      <c r="FL3055" s="15" t="inlineStr">
        <is>
          <t>B</t>
        </is>
      </c>
      <c r="FM3055" s="15" t="inlineStr">
        <is>
          <t>LOS LIBERTADORES</t>
        </is>
      </c>
      <c r="FN3055" s="15" t="inlineStr">
        <is>
          <t>Los Liberadores 6450, Lote 4A</t>
        </is>
      </c>
      <c r="FO3055" s="15" t="inlineStr">
        <is>
          <t>Huechuraba</t>
        </is>
      </c>
      <c r="FP3055" t="inlineStr">
        <is>
          <t>B</t>
        </is>
      </c>
    </row>
    <row r="3056">
      <c r="FC3056" t="inlineStr">
        <is>
          <t>Diccionario 4</t>
        </is>
      </c>
      <c r="FD3056" s="15" t="inlineStr">
        <is>
          <t>1137 / VFHW-46|</t>
        </is>
      </c>
      <c r="FE3056" s="15" t="inlineStr">
        <is>
          <t>LDYECS318S0043989</t>
        </is>
      </c>
      <c r="FF3056" s="15" t="inlineStr">
        <is>
          <t>MDN35025020060</t>
        </is>
      </c>
      <c r="FG3056" s="15" t="inlineStr">
        <is>
          <t>Zhong Tong</t>
        </is>
      </c>
      <c r="FH3056" s="15" t="inlineStr">
        <is>
          <t>Lck6122evg</t>
        </is>
      </c>
      <c r="FI3056" s="15" t="inlineStr">
        <is>
          <t>ZHONGTONG</t>
        </is>
      </c>
      <c r="FJ3056" s="15" t="inlineStr">
        <is>
          <t>LCK6122EVG</t>
        </is>
      </c>
      <c r="FK3056" s="15" t="n">
        <v>2025</v>
      </c>
      <c r="FL3056" s="15" t="inlineStr">
        <is>
          <t>B</t>
        </is>
      </c>
      <c r="FM3056" s="15" t="inlineStr">
        <is>
          <t>LOS LIBERTADORES</t>
        </is>
      </c>
      <c r="FN3056" s="15" t="inlineStr">
        <is>
          <t>Los Liberadores 6450, Lote 4A</t>
        </is>
      </c>
      <c r="FO3056" s="15" t="inlineStr">
        <is>
          <t>Huechuraba</t>
        </is>
      </c>
      <c r="FP3056" t="inlineStr">
        <is>
          <t>B</t>
        </is>
      </c>
    </row>
    <row r="3057">
      <c r="FC3057" t="inlineStr">
        <is>
          <t>Diccionario 4</t>
        </is>
      </c>
      <c r="FD3057" s="15" t="inlineStr">
        <is>
          <t>1138 / VFHW-51|</t>
        </is>
      </c>
      <c r="FE3057" s="15" t="inlineStr">
        <is>
          <t>LDYECS311S0043977</t>
        </is>
      </c>
      <c r="FF3057" s="15" t="inlineStr">
        <is>
          <t>MDN35025020058</t>
        </is>
      </c>
      <c r="FG3057" s="15" t="inlineStr">
        <is>
          <t>Zhong Tong</t>
        </is>
      </c>
      <c r="FH3057" s="15" t="inlineStr">
        <is>
          <t>Lck6122evg</t>
        </is>
      </c>
      <c r="FI3057" s="15" t="inlineStr">
        <is>
          <t>ZHONGTONG</t>
        </is>
      </c>
      <c r="FJ3057" s="15" t="inlineStr">
        <is>
          <t>LCK6122EVG</t>
        </is>
      </c>
      <c r="FK3057" s="15" t="n">
        <v>2025</v>
      </c>
      <c r="FL3057" s="15" t="inlineStr">
        <is>
          <t>B</t>
        </is>
      </c>
      <c r="FM3057" s="15" t="inlineStr">
        <is>
          <t>LOS LIBERTADORES</t>
        </is>
      </c>
      <c r="FN3057" s="15" t="inlineStr">
        <is>
          <t>Los Liberadores 6450, Lote 4A</t>
        </is>
      </c>
      <c r="FO3057" s="15" t="inlineStr">
        <is>
          <t>Huechuraba</t>
        </is>
      </c>
      <c r="FP3057" t="inlineStr">
        <is>
          <t>B</t>
        </is>
      </c>
    </row>
    <row r="3058">
      <c r="FC3058" t="inlineStr">
        <is>
          <t>Diccionario 4</t>
        </is>
      </c>
      <c r="FD3058" s="15" t="inlineStr">
        <is>
          <t>1139 / VFHW-63|</t>
        </is>
      </c>
      <c r="FE3058" s="15" t="inlineStr">
        <is>
          <t>LDYECS318S0043975</t>
        </is>
      </c>
      <c r="FF3058" s="15" t="inlineStr">
        <is>
          <t>MDN35025020063</t>
        </is>
      </c>
      <c r="FG3058" s="15" t="inlineStr">
        <is>
          <t>Zhong Tong</t>
        </is>
      </c>
      <c r="FH3058" s="15" t="inlineStr">
        <is>
          <t>Lck6122evg</t>
        </is>
      </c>
      <c r="FI3058" s="15" t="inlineStr">
        <is>
          <t>ZHONGTONG</t>
        </is>
      </c>
      <c r="FJ3058" s="15" t="inlineStr">
        <is>
          <t>LCK6122EVG</t>
        </is>
      </c>
      <c r="FK3058" s="15" t="n">
        <v>2025</v>
      </c>
      <c r="FL3058" s="15" t="inlineStr">
        <is>
          <t>B</t>
        </is>
      </c>
      <c r="FM3058" s="15" t="inlineStr">
        <is>
          <t>LOS LIBERTADORES</t>
        </is>
      </c>
      <c r="FN3058" s="15" t="inlineStr">
        <is>
          <t>Los Liberadores 6450, Lote 4A</t>
        </is>
      </c>
      <c r="FO3058" s="15" t="inlineStr">
        <is>
          <t>Huechuraba</t>
        </is>
      </c>
      <c r="FP3058" t="inlineStr">
        <is>
          <t>B</t>
        </is>
      </c>
    </row>
    <row r="3059">
      <c r="FC3059" t="inlineStr">
        <is>
          <t>Diccionario 4</t>
        </is>
      </c>
      <c r="FD3059" s="15" t="inlineStr">
        <is>
          <t>1140 / VFHK-27|</t>
        </is>
      </c>
      <c r="FE3059" s="15" t="inlineStr">
        <is>
          <t>LDYECS312S0043910</t>
        </is>
      </c>
      <c r="FF3059" s="15" t="inlineStr">
        <is>
          <t>MDN35025010079</t>
        </is>
      </c>
      <c r="FG3059" s="15" t="inlineStr">
        <is>
          <t>Zhong Tong</t>
        </is>
      </c>
      <c r="FH3059" s="15" t="inlineStr">
        <is>
          <t>Lck6122evg</t>
        </is>
      </c>
      <c r="FI3059" s="15" t="inlineStr">
        <is>
          <t>ZHONGTONG</t>
        </is>
      </c>
      <c r="FJ3059" s="15" t="inlineStr">
        <is>
          <t>LCK6122EVG</t>
        </is>
      </c>
      <c r="FK3059" s="15" t="n">
        <v>2025</v>
      </c>
      <c r="FL3059" s="15" t="inlineStr">
        <is>
          <t>B</t>
        </is>
      </c>
      <c r="FM3059" s="15" t="inlineStr">
        <is>
          <t>SAN JOSE</t>
        </is>
      </c>
      <c r="FN3059" s="15" t="inlineStr">
        <is>
          <t>San José 030 (José Besa 669)</t>
        </is>
      </c>
      <c r="FO3059" s="15" t="inlineStr">
        <is>
          <t>San Bernardo</t>
        </is>
      </c>
      <c r="FP3059" t="inlineStr">
        <is>
          <t>B</t>
        </is>
      </c>
    </row>
    <row r="3060">
      <c r="FC3060" t="inlineStr">
        <is>
          <t>Diccionario 4</t>
        </is>
      </c>
      <c r="FD3060" s="15" t="inlineStr">
        <is>
          <t>1141 / VFPB-70|</t>
        </is>
      </c>
      <c r="FE3060" s="15" t="inlineStr">
        <is>
          <t>LDYECS316S0043991</t>
        </is>
      </c>
      <c r="FF3060" s="15" t="inlineStr">
        <is>
          <t>MDN35025020122</t>
        </is>
      </c>
      <c r="FG3060" s="15" t="inlineStr">
        <is>
          <t>Zhong Tong</t>
        </is>
      </c>
      <c r="FH3060" s="15" t="inlineStr">
        <is>
          <t>Lck6122evg</t>
        </is>
      </c>
      <c r="FI3060" s="15" t="inlineStr">
        <is>
          <t>ZHONGTONG</t>
        </is>
      </c>
      <c r="FJ3060" s="15" t="inlineStr">
        <is>
          <t>LCK6122EVG</t>
        </is>
      </c>
      <c r="FK3060" s="15" t="n">
        <v>2025</v>
      </c>
      <c r="FL3060" s="15" t="inlineStr">
        <is>
          <t>B</t>
        </is>
      </c>
      <c r="FM3060" s="15" t="inlineStr">
        <is>
          <t>LOS LIBERTADORES</t>
        </is>
      </c>
      <c r="FN3060" s="15" t="inlineStr">
        <is>
          <t>Los Liberadores 6450, Lote 4A</t>
        </is>
      </c>
      <c r="FO3060" s="15" t="inlineStr">
        <is>
          <t>Huechuraba</t>
        </is>
      </c>
      <c r="FP3060" t="inlineStr">
        <is>
          <t>B</t>
        </is>
      </c>
    </row>
    <row r="3061">
      <c r="FC3061" t="inlineStr">
        <is>
          <t>Diccionario 4</t>
        </is>
      </c>
      <c r="FD3061" s="15" t="inlineStr">
        <is>
          <t>1142 / VFPC-10|</t>
        </is>
      </c>
      <c r="FE3061" s="15" t="inlineStr">
        <is>
          <t>LDYECS317S0044115</t>
        </is>
      </c>
      <c r="FF3061" s="15" t="inlineStr">
        <is>
          <t>MDN35025010018</t>
        </is>
      </c>
      <c r="FG3061" s="15" t="inlineStr">
        <is>
          <t>Zhong Tong</t>
        </is>
      </c>
      <c r="FH3061" s="15" t="inlineStr">
        <is>
          <t>Lck6122evg</t>
        </is>
      </c>
      <c r="FI3061" s="15" t="inlineStr">
        <is>
          <t>ZHONGTONG</t>
        </is>
      </c>
      <c r="FJ3061" s="15" t="inlineStr">
        <is>
          <t>LCK6122EVG</t>
        </is>
      </c>
      <c r="FK3061" s="15" t="n">
        <v>2025</v>
      </c>
      <c r="FL3061" s="15" t="inlineStr">
        <is>
          <t>B</t>
        </is>
      </c>
      <c r="FM3061" s="15" t="inlineStr">
        <is>
          <t>LOS LIBERTADORES</t>
        </is>
      </c>
      <c r="FN3061" s="15" t="inlineStr">
        <is>
          <t>Los Liberadores 6450, Lote 4A</t>
        </is>
      </c>
      <c r="FO3061" s="15" t="inlineStr">
        <is>
          <t>Huechuraba</t>
        </is>
      </c>
      <c r="FP3061" t="inlineStr">
        <is>
          <t>B</t>
        </is>
      </c>
    </row>
    <row r="3062">
      <c r="FC3062" t="inlineStr">
        <is>
          <t>Diccionario 4</t>
        </is>
      </c>
      <c r="FD3062" s="15" t="inlineStr">
        <is>
          <t>1143 / VFPC-31|</t>
        </is>
      </c>
      <c r="FE3062" s="15" t="inlineStr">
        <is>
          <t>LDYECS315S0043996</t>
        </is>
      </c>
      <c r="FF3062" s="15" t="inlineStr">
        <is>
          <t>MDN35025020055</t>
        </is>
      </c>
      <c r="FG3062" s="15" t="inlineStr">
        <is>
          <t>Zhong Tong</t>
        </is>
      </c>
      <c r="FH3062" s="15" t="inlineStr">
        <is>
          <t>Lck6122evg</t>
        </is>
      </c>
      <c r="FI3062" s="15" t="inlineStr">
        <is>
          <t>ZHONGTONG</t>
        </is>
      </c>
      <c r="FJ3062" s="15" t="inlineStr">
        <is>
          <t>LCK6122EVG</t>
        </is>
      </c>
      <c r="FK3062" s="15" t="n">
        <v>2025</v>
      </c>
      <c r="FL3062" s="15" t="inlineStr">
        <is>
          <t>B</t>
        </is>
      </c>
      <c r="FM3062" s="15" t="inlineStr">
        <is>
          <t>LOS LIBERTADORES</t>
        </is>
      </c>
      <c r="FN3062" s="15" t="inlineStr">
        <is>
          <t>Los Liberadores 6450, Lote 4A</t>
        </is>
      </c>
      <c r="FO3062" s="15" t="inlineStr">
        <is>
          <t>Huechuraba</t>
        </is>
      </c>
      <c r="FP3062" t="inlineStr">
        <is>
          <t>B</t>
        </is>
      </c>
    </row>
    <row r="3063">
      <c r="FC3063" t="inlineStr">
        <is>
          <t>Diccionario 4</t>
        </is>
      </c>
      <c r="FD3063" s="15" t="inlineStr">
        <is>
          <t>1144 / VFPC-80|</t>
        </is>
      </c>
      <c r="FE3063" s="15" t="inlineStr">
        <is>
          <t>LDYECS313S0043978</t>
        </is>
      </c>
      <c r="FF3063" s="15" t="inlineStr">
        <is>
          <t>MDN35025020093</t>
        </is>
      </c>
      <c r="FG3063" s="15" t="inlineStr">
        <is>
          <t>Zhong Tong</t>
        </is>
      </c>
      <c r="FH3063" s="15" t="inlineStr">
        <is>
          <t>Lck6122evg</t>
        </is>
      </c>
      <c r="FI3063" s="15" t="inlineStr">
        <is>
          <t>ZHONGTONG</t>
        </is>
      </c>
      <c r="FJ3063" s="15" t="inlineStr">
        <is>
          <t>LCK6122EVG</t>
        </is>
      </c>
      <c r="FK3063" s="15" t="n">
        <v>2025</v>
      </c>
      <c r="FL3063" s="15" t="inlineStr">
        <is>
          <t>B</t>
        </is>
      </c>
      <c r="FM3063" s="15" t="inlineStr">
        <is>
          <t>LOS LIBERTADORES</t>
        </is>
      </c>
      <c r="FN3063" s="15" t="inlineStr">
        <is>
          <t>Los Liberadores 6450, Lote 4A</t>
        </is>
      </c>
      <c r="FO3063" s="15" t="inlineStr">
        <is>
          <t>Huechuraba</t>
        </is>
      </c>
      <c r="FP3063" t="inlineStr">
        <is>
          <t>B</t>
        </is>
      </c>
    </row>
    <row r="3064">
      <c r="FC3064" t="inlineStr">
        <is>
          <t>Diccionario 4</t>
        </is>
      </c>
      <c r="FD3064" s="15" t="inlineStr">
        <is>
          <t>1145 / VFPC-51|</t>
        </is>
      </c>
      <c r="FE3064" s="15" t="inlineStr">
        <is>
          <t>LDYECS31XS0044027</t>
        </is>
      </c>
      <c r="FF3064" s="15" t="inlineStr">
        <is>
          <t>MDN35025020112</t>
        </is>
      </c>
      <c r="FG3064" s="15" t="inlineStr">
        <is>
          <t>Zhong Tong</t>
        </is>
      </c>
      <c r="FH3064" s="15" t="inlineStr">
        <is>
          <t>Lck6122evg</t>
        </is>
      </c>
      <c r="FI3064" s="15" t="inlineStr">
        <is>
          <t>ZHONGTONG</t>
        </is>
      </c>
      <c r="FJ3064" s="15" t="inlineStr">
        <is>
          <t>LCK6122EVG</t>
        </is>
      </c>
      <c r="FK3064" s="15" t="n">
        <v>2025</v>
      </c>
      <c r="FL3064" s="15" t="inlineStr">
        <is>
          <t>B</t>
        </is>
      </c>
      <c r="FM3064" s="15" t="inlineStr">
        <is>
          <t>LOS LIBERTADORES</t>
        </is>
      </c>
      <c r="FN3064" s="15" t="inlineStr">
        <is>
          <t>Los Liberadores 6450, Lote 4A</t>
        </is>
      </c>
      <c r="FO3064" s="15" t="inlineStr">
        <is>
          <t>Huechuraba</t>
        </is>
      </c>
      <c r="FP3064" t="inlineStr">
        <is>
          <t>B</t>
        </is>
      </c>
    </row>
    <row r="3065">
      <c r="FC3065" t="inlineStr">
        <is>
          <t>Diccionario 4</t>
        </is>
      </c>
      <c r="FD3065" s="15" t="inlineStr">
        <is>
          <t>1146 / VFPD-84|</t>
        </is>
      </c>
      <c r="FE3065" s="15" t="inlineStr">
        <is>
          <t>LDYECS315S0043982</t>
        </is>
      </c>
      <c r="FF3065" s="15" t="inlineStr">
        <is>
          <t>MDN35025020067</t>
        </is>
      </c>
      <c r="FG3065" s="15" t="inlineStr">
        <is>
          <t>Zhong Tong</t>
        </is>
      </c>
      <c r="FH3065" s="15" t="inlineStr">
        <is>
          <t>Lck6122evg</t>
        </is>
      </c>
      <c r="FI3065" s="15" t="inlineStr">
        <is>
          <t>ZHONGTONG</t>
        </is>
      </c>
      <c r="FJ3065" s="15" t="inlineStr">
        <is>
          <t>LCK6122EVG</t>
        </is>
      </c>
      <c r="FK3065" s="15" t="n">
        <v>2025</v>
      </c>
      <c r="FL3065" s="15" t="inlineStr">
        <is>
          <t>B</t>
        </is>
      </c>
      <c r="FM3065" s="15" t="inlineStr">
        <is>
          <t>LOS LIBERTADORES</t>
        </is>
      </c>
      <c r="FN3065" s="15" t="inlineStr">
        <is>
          <t>Los Liberadores 6450, Lote 4A</t>
        </is>
      </c>
      <c r="FO3065" s="15" t="inlineStr">
        <is>
          <t>Huechuraba</t>
        </is>
      </c>
      <c r="FP3065" t="inlineStr">
        <is>
          <t>B</t>
        </is>
      </c>
    </row>
    <row r="3066">
      <c r="FC3066" t="inlineStr">
        <is>
          <t>Diccionario 4</t>
        </is>
      </c>
      <c r="FD3066" s="15" t="inlineStr">
        <is>
          <t>1147 / VFPD-94|</t>
        </is>
      </c>
      <c r="FE3066" s="15" t="inlineStr">
        <is>
          <t>LDYECS317S0043997</t>
        </is>
      </c>
      <c r="FF3066" s="15" t="inlineStr">
        <is>
          <t>MDN35025020022</t>
        </is>
      </c>
      <c r="FG3066" s="15" t="inlineStr">
        <is>
          <t>Zhong Tong</t>
        </is>
      </c>
      <c r="FH3066" s="15" t="inlineStr">
        <is>
          <t>Lck6122evg</t>
        </is>
      </c>
      <c r="FI3066" s="15" t="inlineStr">
        <is>
          <t>ZHONGTONG</t>
        </is>
      </c>
      <c r="FJ3066" s="15" t="inlineStr">
        <is>
          <t>LCK6122EVG</t>
        </is>
      </c>
      <c r="FK3066" s="15" t="n">
        <v>2025</v>
      </c>
      <c r="FL3066" s="15" t="inlineStr">
        <is>
          <t>B</t>
        </is>
      </c>
      <c r="FM3066" s="15" t="inlineStr">
        <is>
          <t>LOS LIBERTADORES</t>
        </is>
      </c>
      <c r="FN3066" s="15" t="inlineStr">
        <is>
          <t>Los Liberadores 6450, Lote 4A</t>
        </is>
      </c>
      <c r="FO3066" s="15" t="inlineStr">
        <is>
          <t>Huechuraba</t>
        </is>
      </c>
      <c r="FP3066" t="inlineStr">
        <is>
          <t>B</t>
        </is>
      </c>
    </row>
    <row r="3067">
      <c r="FC3067" t="inlineStr">
        <is>
          <t>Diccionario 4</t>
        </is>
      </c>
      <c r="FD3067" s="15" t="inlineStr">
        <is>
          <t>1148 / VFHL-60|</t>
        </is>
      </c>
      <c r="FE3067" s="15" t="inlineStr">
        <is>
          <t>LDYECS314S0043911</t>
        </is>
      </c>
      <c r="FF3067" s="15" t="inlineStr">
        <is>
          <t>MDN35025010115</t>
        </is>
      </c>
      <c r="FG3067" s="15" t="inlineStr">
        <is>
          <t>Zhong Tong</t>
        </is>
      </c>
      <c r="FH3067" s="15" t="inlineStr">
        <is>
          <t>Lck6122evg</t>
        </is>
      </c>
      <c r="FI3067" s="15" t="inlineStr">
        <is>
          <t>ZHONGTONG</t>
        </is>
      </c>
      <c r="FJ3067" s="15" t="inlineStr">
        <is>
          <t>LCK6122EVG</t>
        </is>
      </c>
      <c r="FK3067" s="15" t="n">
        <v>2025</v>
      </c>
      <c r="FL3067" s="15" t="inlineStr">
        <is>
          <t>B</t>
        </is>
      </c>
      <c r="FM3067" s="15" t="inlineStr">
        <is>
          <t>LOS LIBERTADORES</t>
        </is>
      </c>
      <c r="FN3067" s="15" t="inlineStr">
        <is>
          <t>Los Liberadores 6450, Lote 4A</t>
        </is>
      </c>
      <c r="FO3067" s="15" t="inlineStr">
        <is>
          <t>Huechuraba</t>
        </is>
      </c>
      <c r="FP3067" t="inlineStr">
        <is>
          <t>B</t>
        </is>
      </c>
    </row>
    <row r="3068">
      <c r="FC3068" t="inlineStr">
        <is>
          <t>Diccionario 4</t>
        </is>
      </c>
      <c r="FD3068" s="15" t="inlineStr">
        <is>
          <t>1149 / VFHK-31|</t>
        </is>
      </c>
      <c r="FE3068" s="15" t="inlineStr">
        <is>
          <t>LDYECS314S0043925</t>
        </is>
      </c>
      <c r="FF3068" s="15" t="inlineStr">
        <is>
          <t>MDN35025010120</t>
        </is>
      </c>
      <c r="FG3068" s="15" t="inlineStr">
        <is>
          <t>Zhong Tong</t>
        </is>
      </c>
      <c r="FH3068" s="15" t="inlineStr">
        <is>
          <t>Lck6122evg</t>
        </is>
      </c>
      <c r="FI3068" s="15" t="inlineStr">
        <is>
          <t>ZHONGTONG</t>
        </is>
      </c>
      <c r="FJ3068" s="15" t="inlineStr">
        <is>
          <t>LCK6122EVG</t>
        </is>
      </c>
      <c r="FK3068" s="15" t="n">
        <v>2025</v>
      </c>
      <c r="FL3068" s="15" t="inlineStr">
        <is>
          <t>B</t>
        </is>
      </c>
      <c r="FM3068" s="15" t="inlineStr">
        <is>
          <t>SAN JOSE</t>
        </is>
      </c>
      <c r="FN3068" s="15" t="inlineStr">
        <is>
          <t>San José 030 (José Besa 669)</t>
        </is>
      </c>
      <c r="FO3068" s="15" t="inlineStr">
        <is>
          <t>San Bernardo</t>
        </is>
      </c>
      <c r="FP3068" t="inlineStr">
        <is>
          <t>B</t>
        </is>
      </c>
    </row>
    <row r="3069">
      <c r="FC3069" t="inlineStr">
        <is>
          <t>Diccionario 4</t>
        </is>
      </c>
      <c r="FD3069" s="15" t="inlineStr">
        <is>
          <t>1150 / VFHK-58|</t>
        </is>
      </c>
      <c r="FE3069" s="15" t="inlineStr">
        <is>
          <t>LDYECS315S0043898</t>
        </is>
      </c>
      <c r="FF3069" s="15" t="inlineStr">
        <is>
          <t>MDN35025010184</t>
        </is>
      </c>
      <c r="FG3069" s="15" t="inlineStr">
        <is>
          <t>Zhong Tong</t>
        </is>
      </c>
      <c r="FH3069" s="15" t="inlineStr">
        <is>
          <t>Lck6122evg</t>
        </is>
      </c>
      <c r="FI3069" s="15" t="inlineStr">
        <is>
          <t>ZHONGTONG</t>
        </is>
      </c>
      <c r="FJ3069" s="15" t="inlineStr">
        <is>
          <t>LCK6122EVG</t>
        </is>
      </c>
      <c r="FK3069" s="15" t="n">
        <v>2025</v>
      </c>
      <c r="FL3069" s="15" t="inlineStr">
        <is>
          <t>B</t>
        </is>
      </c>
      <c r="FM3069" s="15" t="inlineStr">
        <is>
          <t>SAN JOSE</t>
        </is>
      </c>
      <c r="FN3069" s="15" t="inlineStr">
        <is>
          <t>San José 030 (José Besa 669)</t>
        </is>
      </c>
      <c r="FO3069" s="15" t="inlineStr">
        <is>
          <t>San Bernardo</t>
        </is>
      </c>
      <c r="FP3069" t="inlineStr">
        <is>
          <t>B</t>
        </is>
      </c>
    </row>
    <row r="3070">
      <c r="FC3070" t="inlineStr">
        <is>
          <t>Diccionario 4</t>
        </is>
      </c>
      <c r="FD3070" s="15" t="inlineStr">
        <is>
          <t>1151 / VFHK-69|</t>
        </is>
      </c>
      <c r="FE3070" s="15" t="inlineStr">
        <is>
          <t>LDYECS316S0043909</t>
        </is>
      </c>
      <c r="FF3070" s="15" t="inlineStr">
        <is>
          <t>MDN35025010068</t>
        </is>
      </c>
      <c r="FG3070" s="15" t="inlineStr">
        <is>
          <t>Zhong Tong</t>
        </is>
      </c>
      <c r="FH3070" s="15" t="inlineStr">
        <is>
          <t>Lck6122evg</t>
        </is>
      </c>
      <c r="FI3070" s="15" t="inlineStr">
        <is>
          <t>ZHONGTONG</t>
        </is>
      </c>
      <c r="FJ3070" s="15" t="inlineStr">
        <is>
          <t>LCK6122EVG</t>
        </is>
      </c>
      <c r="FK3070" s="15" t="n">
        <v>2025</v>
      </c>
      <c r="FL3070" s="15" t="inlineStr">
        <is>
          <t>B</t>
        </is>
      </c>
      <c r="FM3070" s="15" t="inlineStr">
        <is>
          <t>SAN JOSE</t>
        </is>
      </c>
      <c r="FN3070" s="15" t="inlineStr">
        <is>
          <t>San José 030 (José Besa 669)</t>
        </is>
      </c>
      <c r="FO3070" s="15" t="inlineStr">
        <is>
          <t>San Bernardo</t>
        </is>
      </c>
      <c r="FP3070" t="inlineStr">
        <is>
          <t>B</t>
        </is>
      </c>
    </row>
    <row r="3071">
      <c r="FC3071" t="inlineStr">
        <is>
          <t>Diccionario 4</t>
        </is>
      </c>
      <c r="FD3071" s="15" t="inlineStr">
        <is>
          <t>1152 / VFHK-89|</t>
        </is>
      </c>
      <c r="FE3071" s="15" t="inlineStr">
        <is>
          <t>LDYECS316S0043943</t>
        </is>
      </c>
      <c r="FF3071" s="15" t="inlineStr">
        <is>
          <t>MDN35025010049</t>
        </is>
      </c>
      <c r="FG3071" s="15" t="inlineStr">
        <is>
          <t>Zhong Tong</t>
        </is>
      </c>
      <c r="FH3071" s="15" t="inlineStr">
        <is>
          <t>Lck6122evg</t>
        </is>
      </c>
      <c r="FI3071" s="15" t="inlineStr">
        <is>
          <t>ZHONGTONG</t>
        </is>
      </c>
      <c r="FJ3071" s="15" t="inlineStr">
        <is>
          <t>LCK6122EVG</t>
        </is>
      </c>
      <c r="FK3071" s="15" t="n">
        <v>2025</v>
      </c>
      <c r="FL3071" s="15" t="inlineStr">
        <is>
          <t>B</t>
        </is>
      </c>
      <c r="FM3071" s="15" t="inlineStr">
        <is>
          <t>CERRILLOS</t>
        </is>
      </c>
      <c r="FN3071" s="15" t="inlineStr">
        <is>
          <t>Calle Uno 7371</t>
        </is>
      </c>
      <c r="FO3071" s="15" t="inlineStr">
        <is>
          <t>Estacion Central</t>
        </is>
      </c>
      <c r="FP3071" t="inlineStr">
        <is>
          <t>B</t>
        </is>
      </c>
    </row>
    <row r="3072">
      <c r="FC3072" t="inlineStr">
        <is>
          <t>Diccionario 4</t>
        </is>
      </c>
      <c r="FD3072" s="15" t="inlineStr">
        <is>
          <t>1153 / VFHK-96|</t>
        </is>
      </c>
      <c r="FE3072" s="15" t="inlineStr">
        <is>
          <t>LDYECS319S0043905</t>
        </is>
      </c>
      <c r="FF3072" s="15" t="inlineStr">
        <is>
          <t>MDN35025010108</t>
        </is>
      </c>
      <c r="FG3072" s="15" t="inlineStr">
        <is>
          <t>Zhong Tong</t>
        </is>
      </c>
      <c r="FH3072" s="15" t="inlineStr">
        <is>
          <t>Lck6122evg</t>
        </is>
      </c>
      <c r="FI3072" s="15" t="inlineStr">
        <is>
          <t>ZHONGTONG</t>
        </is>
      </c>
      <c r="FJ3072" s="15" t="inlineStr">
        <is>
          <t>LCK6122EVG</t>
        </is>
      </c>
      <c r="FK3072" s="15" t="n">
        <v>2025</v>
      </c>
      <c r="FL3072" s="15" t="inlineStr">
        <is>
          <t>B</t>
        </is>
      </c>
      <c r="FM3072" s="15" t="inlineStr">
        <is>
          <t>SAN ALFONSO</t>
        </is>
      </c>
      <c r="FN3072" s="15" t="inlineStr">
        <is>
          <t>San Alfonso 2141 (Ramón Subercaseaux 3060)</t>
        </is>
      </c>
      <c r="FO3072" s="15" t="inlineStr">
        <is>
          <t>Estacion Central</t>
        </is>
      </c>
      <c r="FP3072" t="inlineStr">
        <is>
          <t>B</t>
        </is>
      </c>
    </row>
    <row r="3073">
      <c r="FC3073" t="inlineStr">
        <is>
          <t>Diccionario 4</t>
        </is>
      </c>
      <c r="FD3073" s="15" t="inlineStr">
        <is>
          <t>1225 / GCBF-42|</t>
        </is>
      </c>
      <c r="FE3073" s="15" t="inlineStr">
        <is>
          <t>YV3T7U520JA189191</t>
        </is>
      </c>
      <c r="FF3073" s="15" t="n">
        <v>451887</v>
      </c>
      <c r="FG3073" s="15" t="inlineStr">
        <is>
          <t>Volvo</t>
        </is>
      </c>
      <c r="FH3073" s="15" t="inlineStr">
        <is>
          <t>B8RLEA</t>
        </is>
      </c>
      <c r="FI3073" s="15" t="inlineStr">
        <is>
          <t>MARCOPOLO</t>
        </is>
      </c>
      <c r="FJ3073" s="15" t="inlineStr">
        <is>
          <t>TORINO</t>
        </is>
      </c>
      <c r="FK3073" s="15" t="n">
        <v>2020</v>
      </c>
      <c r="FL3073" s="15" t="inlineStr">
        <is>
          <t>C</t>
        </is>
      </c>
      <c r="FM3073" s="15" t="inlineStr">
        <is>
          <t>SAN ALFONSO</t>
        </is>
      </c>
      <c r="FN3073" s="15" t="inlineStr">
        <is>
          <t>San Alfonso 2141 (Ramón Subercaseaux 3060)</t>
        </is>
      </c>
      <c r="FO3073" s="15" t="inlineStr">
        <is>
          <t>Estacion Central</t>
        </is>
      </c>
      <c r="FP3073" t="inlineStr">
        <is>
          <t>C</t>
        </is>
      </c>
    </row>
    <row r="3074">
      <c r="FC3074" t="inlineStr">
        <is>
          <t>Diccionario 4</t>
        </is>
      </c>
      <c r="FD3074" s="15" t="inlineStr">
        <is>
          <t>1154 / LZRB-89|</t>
        </is>
      </c>
      <c r="FE3074" s="15" t="inlineStr">
        <is>
          <t>YV3T7U523LA201711</t>
        </is>
      </c>
      <c r="FF3074" s="15" t="n">
        <v>508408</v>
      </c>
      <c r="FG3074" s="15" t="inlineStr">
        <is>
          <t>Volvo</t>
        </is>
      </c>
      <c r="FH3074" s="15" t="inlineStr">
        <is>
          <t>B8RLEA</t>
        </is>
      </c>
      <c r="FI3074" s="15" t="inlineStr">
        <is>
          <t>MARCOPOLO</t>
        </is>
      </c>
      <c r="FJ3074" s="15" t="inlineStr">
        <is>
          <t>GRAN VIALE</t>
        </is>
      </c>
      <c r="FK3074" s="15" t="n">
        <v>2020</v>
      </c>
      <c r="FL3074" s="15" t="inlineStr">
        <is>
          <t>C</t>
        </is>
      </c>
      <c r="FM3074" s="15" t="inlineStr">
        <is>
          <t>PIE ANDINO</t>
        </is>
      </c>
      <c r="FN3074" s="15" t="inlineStr">
        <is>
          <t>Pie Andino 31 (Pie Andino 383)</t>
        </is>
      </c>
      <c r="FO3074" s="15" t="inlineStr">
        <is>
          <t>Puente Alto</t>
        </is>
      </c>
      <c r="FP3074" t="inlineStr">
        <is>
          <t>C</t>
        </is>
      </c>
    </row>
    <row r="3075">
      <c r="FC3075" t="inlineStr">
        <is>
          <t>Diccionario 4</t>
        </is>
      </c>
      <c r="FD3075" s="15" t="inlineStr">
        <is>
          <t>1155 / LZRB-90|</t>
        </is>
      </c>
      <c r="FE3075" s="15" t="inlineStr">
        <is>
          <t>YV3T7U527LA201923</t>
        </is>
      </c>
      <c r="FF3075" s="15" t="n">
        <v>509327</v>
      </c>
      <c r="FG3075" s="15" t="inlineStr">
        <is>
          <t>Volvo</t>
        </is>
      </c>
      <c r="FH3075" s="15" t="inlineStr">
        <is>
          <t>B8RLEA</t>
        </is>
      </c>
      <c r="FI3075" s="15" t="inlineStr">
        <is>
          <t>MARCOPOLO</t>
        </is>
      </c>
      <c r="FJ3075" s="15" t="inlineStr">
        <is>
          <t>GRAN VIALE</t>
        </is>
      </c>
      <c r="FK3075" s="15" t="n">
        <v>2020</v>
      </c>
      <c r="FL3075" s="15" t="inlineStr">
        <is>
          <t>C</t>
        </is>
      </c>
      <c r="FM3075" s="15" t="inlineStr">
        <is>
          <t>PIE ANDINO</t>
        </is>
      </c>
      <c r="FN3075" s="15" t="inlineStr">
        <is>
          <t>Pie Andino 31 (Pie Andino 383)</t>
        </is>
      </c>
      <c r="FO3075" s="15" t="inlineStr">
        <is>
          <t>Puente Alto</t>
        </is>
      </c>
      <c r="FP3075" t="inlineStr">
        <is>
          <t>C</t>
        </is>
      </c>
    </row>
    <row r="3076">
      <c r="FC3076" t="inlineStr">
        <is>
          <t>Diccionario 4</t>
        </is>
      </c>
      <c r="FD3076" s="15" t="inlineStr">
        <is>
          <t>1156 / LZRB-91|</t>
        </is>
      </c>
      <c r="FE3076" s="15" t="inlineStr">
        <is>
          <t>YV3T7U525LA201709</t>
        </is>
      </c>
      <c r="FF3076" s="15" t="n">
        <v>508437</v>
      </c>
      <c r="FG3076" s="15" t="inlineStr">
        <is>
          <t>Volvo</t>
        </is>
      </c>
      <c r="FH3076" s="15" t="inlineStr">
        <is>
          <t>B8RLEA</t>
        </is>
      </c>
      <c r="FI3076" s="15" t="inlineStr">
        <is>
          <t>MARCOPOLO</t>
        </is>
      </c>
      <c r="FJ3076" s="15" t="inlineStr">
        <is>
          <t>GRAN VIALE</t>
        </is>
      </c>
      <c r="FK3076" s="15" t="n">
        <v>2020</v>
      </c>
      <c r="FL3076" s="15" t="inlineStr">
        <is>
          <t>C</t>
        </is>
      </c>
      <c r="FM3076" s="15" t="inlineStr">
        <is>
          <t>PIE ANDINO</t>
        </is>
      </c>
      <c r="FN3076" s="15" t="inlineStr">
        <is>
          <t>Pie Andino 31 (Pie Andino 383)</t>
        </is>
      </c>
      <c r="FO3076" s="15" t="inlineStr">
        <is>
          <t>Puente Alto</t>
        </is>
      </c>
      <c r="FP3076" t="inlineStr">
        <is>
          <t>C</t>
        </is>
      </c>
    </row>
    <row r="3077">
      <c r="FC3077" t="inlineStr">
        <is>
          <t>Diccionario 4</t>
        </is>
      </c>
      <c r="FD3077" s="15" t="inlineStr">
        <is>
          <t>1157 / LZRB-92|</t>
        </is>
      </c>
      <c r="FE3077" s="15" t="inlineStr">
        <is>
          <t>YV3T7U520LA201665</t>
        </is>
      </c>
      <c r="FF3077" s="15" t="n">
        <v>508572</v>
      </c>
      <c r="FG3077" s="15" t="inlineStr">
        <is>
          <t>Volvo</t>
        </is>
      </c>
      <c r="FH3077" s="15" t="inlineStr">
        <is>
          <t>B8RLEA</t>
        </is>
      </c>
      <c r="FI3077" s="15" t="inlineStr">
        <is>
          <t>MARCOPOLO</t>
        </is>
      </c>
      <c r="FJ3077" s="15" t="inlineStr">
        <is>
          <t>GRAN VIALE</t>
        </is>
      </c>
      <c r="FK3077" s="15" t="n">
        <v>2020</v>
      </c>
      <c r="FL3077" s="15" t="inlineStr">
        <is>
          <t>C</t>
        </is>
      </c>
      <c r="FM3077" s="15" t="inlineStr">
        <is>
          <t>PIE ANDINO</t>
        </is>
      </c>
      <c r="FN3077" s="15" t="inlineStr">
        <is>
          <t>Pie Andino 31 (Pie Andino 383)</t>
        </is>
      </c>
      <c r="FO3077" s="15" t="inlineStr">
        <is>
          <t>Puente Alto</t>
        </is>
      </c>
      <c r="FP3077" t="inlineStr">
        <is>
          <t>C</t>
        </is>
      </c>
    </row>
    <row r="3078">
      <c r="FC3078" t="inlineStr">
        <is>
          <t>Diccionario 4</t>
        </is>
      </c>
      <c r="FD3078" s="15" t="inlineStr">
        <is>
          <t>1158 / LZRB-93|</t>
        </is>
      </c>
      <c r="FE3078" s="15" t="inlineStr">
        <is>
          <t>YV3T7U521LA201710</t>
        </is>
      </c>
      <c r="FF3078" s="15" t="n">
        <v>508361</v>
      </c>
      <c r="FG3078" s="15" t="inlineStr">
        <is>
          <t>Volvo</t>
        </is>
      </c>
      <c r="FH3078" s="15" t="inlineStr">
        <is>
          <t>B8RLEA</t>
        </is>
      </c>
      <c r="FI3078" s="15" t="inlineStr">
        <is>
          <t>MARCOPOLO</t>
        </is>
      </c>
      <c r="FJ3078" s="15" t="inlineStr">
        <is>
          <t>GRAN VIALE</t>
        </is>
      </c>
      <c r="FK3078" s="15" t="n">
        <v>2020</v>
      </c>
      <c r="FL3078" s="15" t="inlineStr">
        <is>
          <t>C</t>
        </is>
      </c>
      <c r="FM3078" s="15" t="inlineStr">
        <is>
          <t>PIE ANDINO</t>
        </is>
      </c>
      <c r="FN3078" s="15" t="inlineStr">
        <is>
          <t>Pie Andino 31 (Pie Andino 383)</t>
        </is>
      </c>
      <c r="FO3078" s="15" t="inlineStr">
        <is>
          <t>Puente Alto</t>
        </is>
      </c>
      <c r="FP3078" t="inlineStr">
        <is>
          <t>C</t>
        </is>
      </c>
    </row>
    <row r="3079">
      <c r="FC3079" t="inlineStr">
        <is>
          <t>Diccionario 4</t>
        </is>
      </c>
      <c r="FD3079" s="15" t="inlineStr">
        <is>
          <t>1159 / LZRB-94|</t>
        </is>
      </c>
      <c r="FE3079" s="15" t="inlineStr">
        <is>
          <t>YV3T7U526LA201699</t>
        </is>
      </c>
      <c r="FF3079" s="15" t="n">
        <v>508380</v>
      </c>
      <c r="FG3079" s="15" t="inlineStr">
        <is>
          <t>Volvo</t>
        </is>
      </c>
      <c r="FH3079" s="15" t="inlineStr">
        <is>
          <t>B8RLEA</t>
        </is>
      </c>
      <c r="FI3079" s="15" t="inlineStr">
        <is>
          <t>MARCOPOLO</t>
        </is>
      </c>
      <c r="FJ3079" s="15" t="inlineStr">
        <is>
          <t>GRAN VIALE</t>
        </is>
      </c>
      <c r="FK3079" s="15" t="n">
        <v>2020</v>
      </c>
      <c r="FL3079" s="15" t="inlineStr">
        <is>
          <t>C</t>
        </is>
      </c>
      <c r="FM3079" s="15" t="inlineStr">
        <is>
          <t>PIE ANDINO</t>
        </is>
      </c>
      <c r="FN3079" s="15" t="inlineStr">
        <is>
          <t>Pie Andino 31 (Pie Andino 383)</t>
        </is>
      </c>
      <c r="FO3079" s="15" t="inlineStr">
        <is>
          <t>Puente Alto</t>
        </is>
      </c>
      <c r="FP3079" t="inlineStr">
        <is>
          <t>C</t>
        </is>
      </c>
    </row>
    <row r="3080">
      <c r="FC3080" t="inlineStr">
        <is>
          <t>Diccionario 4</t>
        </is>
      </c>
      <c r="FD3080" s="15" t="inlineStr">
        <is>
          <t>1160 / LZRB-95|</t>
        </is>
      </c>
      <c r="FE3080" s="15" t="inlineStr">
        <is>
          <t>YV3T7U522LA201697</t>
        </is>
      </c>
      <c r="FF3080" s="15" t="n">
        <v>508444</v>
      </c>
      <c r="FG3080" s="15" t="inlineStr">
        <is>
          <t>Volvo</t>
        </is>
      </c>
      <c r="FH3080" s="15" t="inlineStr">
        <is>
          <t>B8RLEA</t>
        </is>
      </c>
      <c r="FI3080" s="15" t="inlineStr">
        <is>
          <t>MARCOPOLO</t>
        </is>
      </c>
      <c r="FJ3080" s="15" t="inlineStr">
        <is>
          <t>GRAN VIALE</t>
        </is>
      </c>
      <c r="FK3080" s="15" t="n">
        <v>2020</v>
      </c>
      <c r="FL3080" s="15" t="inlineStr">
        <is>
          <t>C</t>
        </is>
      </c>
      <c r="FM3080" s="15" t="inlineStr">
        <is>
          <t>PIE ANDINO</t>
        </is>
      </c>
      <c r="FN3080" s="15" t="inlineStr">
        <is>
          <t>Pie Andino 31 (Pie Andino 383)</t>
        </is>
      </c>
      <c r="FO3080" s="15" t="inlineStr">
        <is>
          <t>Puente Alto</t>
        </is>
      </c>
      <c r="FP3080" t="inlineStr">
        <is>
          <t>C</t>
        </is>
      </c>
    </row>
    <row r="3081">
      <c r="FC3081" t="inlineStr">
        <is>
          <t>Diccionario 4</t>
        </is>
      </c>
      <c r="FD3081" s="15" t="inlineStr">
        <is>
          <t>1161 / LZRB-96|</t>
        </is>
      </c>
      <c r="FE3081" s="15" t="inlineStr">
        <is>
          <t>YV3T7U524LA201698</t>
        </is>
      </c>
      <c r="FF3081" s="15" t="n">
        <v>508467</v>
      </c>
      <c r="FG3081" s="15" t="inlineStr">
        <is>
          <t>Volvo</t>
        </is>
      </c>
      <c r="FH3081" s="15" t="inlineStr">
        <is>
          <t>B8RLEA</t>
        </is>
      </c>
      <c r="FI3081" s="15" t="inlineStr">
        <is>
          <t>MARCOPOLO</t>
        </is>
      </c>
      <c r="FJ3081" s="15" t="inlineStr">
        <is>
          <t>GRAN VIALE</t>
        </is>
      </c>
      <c r="FK3081" s="15" t="n">
        <v>2020</v>
      </c>
      <c r="FL3081" s="15" t="inlineStr">
        <is>
          <t>C</t>
        </is>
      </c>
      <c r="FM3081" s="15" t="inlineStr">
        <is>
          <t>PIE ANDINO</t>
        </is>
      </c>
      <c r="FN3081" s="15" t="inlineStr">
        <is>
          <t>Pie Andino 31 (Pie Andino 383)</t>
        </is>
      </c>
      <c r="FO3081" s="15" t="inlineStr">
        <is>
          <t>Puente Alto</t>
        </is>
      </c>
      <c r="FP3081" t="inlineStr">
        <is>
          <t>C</t>
        </is>
      </c>
    </row>
    <row r="3082">
      <c r="FC3082" t="inlineStr">
        <is>
          <t>Diccionario 4</t>
        </is>
      </c>
      <c r="FD3082" s="15" t="inlineStr">
        <is>
          <t>1162 / LZRD-61|</t>
        </is>
      </c>
      <c r="FE3082" s="15" t="inlineStr">
        <is>
          <t>YV3T7U523LA198728</t>
        </is>
      </c>
      <c r="FF3082" s="15" t="n">
        <v>508196</v>
      </c>
      <c r="FG3082" s="15" t="inlineStr">
        <is>
          <t>Volvo</t>
        </is>
      </c>
      <c r="FH3082" s="15" t="inlineStr">
        <is>
          <t>B8RLEA</t>
        </is>
      </c>
      <c r="FI3082" s="15" t="inlineStr">
        <is>
          <t>MARCOPOLO</t>
        </is>
      </c>
      <c r="FJ3082" s="15" t="inlineStr">
        <is>
          <t>GRAN VIALE</t>
        </is>
      </c>
      <c r="FK3082" s="15" t="n">
        <v>2020</v>
      </c>
      <c r="FL3082" s="15" t="inlineStr">
        <is>
          <t>C</t>
        </is>
      </c>
      <c r="FM3082" s="15" t="inlineStr">
        <is>
          <t>PIE ANDINO</t>
        </is>
      </c>
      <c r="FN3082" s="15" t="inlineStr">
        <is>
          <t>Pie Andino 31 (Pie Andino 383)</t>
        </is>
      </c>
      <c r="FO3082" s="15" t="inlineStr">
        <is>
          <t>Puente Alto</t>
        </is>
      </c>
      <c r="FP3082" t="inlineStr">
        <is>
          <t>C</t>
        </is>
      </c>
    </row>
    <row r="3083">
      <c r="FC3083" t="inlineStr">
        <is>
          <t>Diccionario 4</t>
        </is>
      </c>
      <c r="FD3083" s="15" t="inlineStr">
        <is>
          <t>1163 / LZRD-62|</t>
        </is>
      </c>
      <c r="FE3083" s="15" t="inlineStr">
        <is>
          <t>YV3T7U526LA201623</t>
        </is>
      </c>
      <c r="FF3083" s="15" t="n">
        <v>508277</v>
      </c>
      <c r="FG3083" s="15" t="inlineStr">
        <is>
          <t>Volvo</t>
        </is>
      </c>
      <c r="FH3083" s="15" t="inlineStr">
        <is>
          <t>B8RLEA</t>
        </is>
      </c>
      <c r="FI3083" s="15" t="inlineStr">
        <is>
          <t>MARCOPOLO</t>
        </is>
      </c>
      <c r="FJ3083" s="15" t="inlineStr">
        <is>
          <t>GRAN VIALE</t>
        </is>
      </c>
      <c r="FK3083" s="15" t="n">
        <v>2020</v>
      </c>
      <c r="FL3083" s="15" t="inlineStr">
        <is>
          <t>C</t>
        </is>
      </c>
      <c r="FM3083" s="15" t="inlineStr">
        <is>
          <t>PIE ANDINO</t>
        </is>
      </c>
      <c r="FN3083" s="15" t="inlineStr">
        <is>
          <t>Pie Andino 31 (Pie Andino 383)</t>
        </is>
      </c>
      <c r="FO3083" s="15" t="inlineStr">
        <is>
          <t>Puente Alto</t>
        </is>
      </c>
      <c r="FP3083" t="inlineStr">
        <is>
          <t>C</t>
        </is>
      </c>
    </row>
    <row r="3084">
      <c r="FC3084" t="inlineStr">
        <is>
          <t>Diccionario 4</t>
        </is>
      </c>
      <c r="FD3084" s="15" t="inlineStr">
        <is>
          <t>1164 / LZRD-63|</t>
        </is>
      </c>
      <c r="FE3084" s="15" t="inlineStr">
        <is>
          <t>YV3T7U52XLA198726</t>
        </is>
      </c>
      <c r="FF3084" s="15" t="n">
        <v>508208</v>
      </c>
      <c r="FG3084" s="15" t="inlineStr">
        <is>
          <t>Volvo</t>
        </is>
      </c>
      <c r="FH3084" s="15" t="inlineStr">
        <is>
          <t>B8RLEA</t>
        </is>
      </c>
      <c r="FI3084" s="15" t="inlineStr">
        <is>
          <t>MARCOPOLO</t>
        </is>
      </c>
      <c r="FJ3084" s="15" t="inlineStr">
        <is>
          <t>GRAN VIALE</t>
        </is>
      </c>
      <c r="FK3084" s="15" t="n">
        <v>2020</v>
      </c>
      <c r="FL3084" s="15" t="inlineStr">
        <is>
          <t>C</t>
        </is>
      </c>
      <c r="FM3084" s="15" t="inlineStr">
        <is>
          <t>PIE ANDINO</t>
        </is>
      </c>
      <c r="FN3084" s="15" t="inlineStr">
        <is>
          <t>Pie Andino 31 (Pie Andino 383)</t>
        </is>
      </c>
      <c r="FO3084" s="15" t="inlineStr">
        <is>
          <t>Puente Alto</t>
        </is>
      </c>
      <c r="FP3084" t="inlineStr">
        <is>
          <t>C</t>
        </is>
      </c>
    </row>
    <row r="3085">
      <c r="FC3085" t="inlineStr">
        <is>
          <t>Diccionario 4</t>
        </is>
      </c>
      <c r="FD3085" s="15" t="inlineStr">
        <is>
          <t>1165 / LZRD-64|</t>
        </is>
      </c>
      <c r="FE3085" s="15" t="inlineStr">
        <is>
          <t>YV3T7U526LA198724</t>
        </is>
      </c>
      <c r="FF3085" s="15" t="n">
        <v>508167</v>
      </c>
      <c r="FG3085" s="15" t="inlineStr">
        <is>
          <t>Volvo</t>
        </is>
      </c>
      <c r="FH3085" s="15" t="inlineStr">
        <is>
          <t>B8RLEA</t>
        </is>
      </c>
      <c r="FI3085" s="15" t="inlineStr">
        <is>
          <t>MARCOPOLO</t>
        </is>
      </c>
      <c r="FJ3085" s="15" t="inlineStr">
        <is>
          <t>GRAN VIALE</t>
        </is>
      </c>
      <c r="FK3085" s="15" t="n">
        <v>2020</v>
      </c>
      <c r="FL3085" s="15" t="inlineStr">
        <is>
          <t>C</t>
        </is>
      </c>
      <c r="FM3085" s="15" t="inlineStr">
        <is>
          <t>PIE ANDINO</t>
        </is>
      </c>
      <c r="FN3085" s="15" t="inlineStr">
        <is>
          <t>Pie Andino 31 (Pie Andino 383)</t>
        </is>
      </c>
      <c r="FO3085" s="15" t="inlineStr">
        <is>
          <t>Puente Alto</t>
        </is>
      </c>
      <c r="FP3085" t="inlineStr">
        <is>
          <t>C</t>
        </is>
      </c>
    </row>
    <row r="3086">
      <c r="FC3086" t="inlineStr">
        <is>
          <t>Diccionario 4</t>
        </is>
      </c>
      <c r="FD3086" s="15" t="inlineStr">
        <is>
          <t>1166 / LZRD-65|</t>
        </is>
      </c>
      <c r="FE3086" s="15" t="inlineStr">
        <is>
          <t>YV3T7U521LA201500</t>
        </is>
      </c>
      <c r="FF3086" s="15" t="n">
        <v>507859</v>
      </c>
      <c r="FG3086" s="15" t="inlineStr">
        <is>
          <t>Volvo</t>
        </is>
      </c>
      <c r="FH3086" s="15" t="inlineStr">
        <is>
          <t>B8RLEA</t>
        </is>
      </c>
      <c r="FI3086" s="15" t="inlineStr">
        <is>
          <t>MARCOPOLO</t>
        </is>
      </c>
      <c r="FJ3086" s="15" t="inlineStr">
        <is>
          <t>GRAN VIALE</t>
        </is>
      </c>
      <c r="FK3086" s="15" t="n">
        <v>2020</v>
      </c>
      <c r="FL3086" s="15" t="inlineStr">
        <is>
          <t>C</t>
        </is>
      </c>
      <c r="FM3086" s="15" t="inlineStr">
        <is>
          <t>PIE ANDINO</t>
        </is>
      </c>
      <c r="FN3086" s="15" t="inlineStr">
        <is>
          <t>Pie Andino 31 (Pie Andino 383)</t>
        </is>
      </c>
      <c r="FO3086" s="15" t="inlineStr">
        <is>
          <t>Puente Alto</t>
        </is>
      </c>
      <c r="FP3086" t="inlineStr">
        <is>
          <t>C</t>
        </is>
      </c>
    </row>
    <row r="3087">
      <c r="FC3087" t="inlineStr">
        <is>
          <t>Diccionario 4</t>
        </is>
      </c>
      <c r="FD3087" s="15" t="inlineStr">
        <is>
          <t>1167 / LZRD-66|</t>
        </is>
      </c>
      <c r="FE3087" s="15" t="inlineStr">
        <is>
          <t>YV3T7U522LA198722</t>
        </is>
      </c>
      <c r="FF3087" s="15" t="n">
        <v>508172</v>
      </c>
      <c r="FG3087" s="15" t="inlineStr">
        <is>
          <t>Volvo</t>
        </is>
      </c>
      <c r="FH3087" s="15" t="inlineStr">
        <is>
          <t>B8RLEA</t>
        </is>
      </c>
      <c r="FI3087" s="15" t="inlineStr">
        <is>
          <t>MARCOPOLO</t>
        </is>
      </c>
      <c r="FJ3087" s="15" t="inlineStr">
        <is>
          <t>GRAN VIALE</t>
        </is>
      </c>
      <c r="FK3087" s="15" t="n">
        <v>2020</v>
      </c>
      <c r="FL3087" s="15" t="inlineStr">
        <is>
          <t>C</t>
        </is>
      </c>
      <c r="FM3087" s="15" t="inlineStr">
        <is>
          <t>PIE ANDINO</t>
        </is>
      </c>
      <c r="FN3087" s="15" t="inlineStr">
        <is>
          <t>Pie Andino 31 (Pie Andino 383)</t>
        </is>
      </c>
      <c r="FO3087" s="15" t="inlineStr">
        <is>
          <t>Puente Alto</t>
        </is>
      </c>
      <c r="FP3087" t="inlineStr">
        <is>
          <t>C</t>
        </is>
      </c>
    </row>
    <row r="3088">
      <c r="FC3088" t="inlineStr">
        <is>
          <t>Diccionario 4</t>
        </is>
      </c>
      <c r="FD3088" s="15" t="inlineStr">
        <is>
          <t>1226 / LZRD-67|</t>
        </is>
      </c>
      <c r="FE3088" s="15" t="inlineStr">
        <is>
          <t>YV3T7U520LA201696</t>
        </is>
      </c>
      <c r="FF3088" s="15" t="n">
        <v>508690</v>
      </c>
      <c r="FG3088" s="15" t="inlineStr">
        <is>
          <t>Volvo</t>
        </is>
      </c>
      <c r="FH3088" s="15" t="inlineStr">
        <is>
          <t>B8RLEA</t>
        </is>
      </c>
      <c r="FI3088" s="15" t="inlineStr">
        <is>
          <t>MARCOPOLO</t>
        </is>
      </c>
      <c r="FJ3088" s="15" t="inlineStr">
        <is>
          <t>GRAN VIALE</t>
        </is>
      </c>
      <c r="FK3088" s="15" t="n">
        <v>2020</v>
      </c>
      <c r="FL3088" s="15" t="inlineStr">
        <is>
          <t>C</t>
        </is>
      </c>
      <c r="FM3088" s="15" t="inlineStr">
        <is>
          <t>SAN ALFONSO</t>
        </is>
      </c>
      <c r="FN3088" s="15" t="inlineStr">
        <is>
          <t>San Alfonso 2141 (Ramón Subercaseaux 3060)</t>
        </is>
      </c>
      <c r="FO3088" s="15" t="inlineStr">
        <is>
          <t>Estacion Central</t>
        </is>
      </c>
      <c r="FP3088" t="inlineStr">
        <is>
          <t>C</t>
        </is>
      </c>
    </row>
    <row r="3089">
      <c r="FC3089" t="inlineStr">
        <is>
          <t>Diccionario 4</t>
        </is>
      </c>
      <c r="FD3089" s="15" t="inlineStr">
        <is>
          <t>1168 / LZRD-68|</t>
        </is>
      </c>
      <c r="FE3089" s="15" t="inlineStr">
        <is>
          <t>YV3T7U52XLA201608</t>
        </is>
      </c>
      <c r="FF3089" s="15" t="n">
        <v>508223</v>
      </c>
      <c r="FG3089" s="15" t="inlineStr">
        <is>
          <t>Volvo</t>
        </is>
      </c>
      <c r="FH3089" s="15" t="inlineStr">
        <is>
          <t>B8RLEA</t>
        </is>
      </c>
      <c r="FI3089" s="15" t="inlineStr">
        <is>
          <t>MARCOPOLO</t>
        </is>
      </c>
      <c r="FJ3089" s="15" t="inlineStr">
        <is>
          <t>GRAN VIALE</t>
        </is>
      </c>
      <c r="FK3089" s="15" t="n">
        <v>2020</v>
      </c>
      <c r="FL3089" s="15" t="inlineStr">
        <is>
          <t>C</t>
        </is>
      </c>
      <c r="FM3089" s="15" t="inlineStr">
        <is>
          <t>PIE ANDINO</t>
        </is>
      </c>
      <c r="FN3089" s="15" t="inlineStr">
        <is>
          <t>Pie Andino 31 (Pie Andino 383)</t>
        </is>
      </c>
      <c r="FO3089" s="15" t="inlineStr">
        <is>
          <t>Puente Alto</t>
        </is>
      </c>
      <c r="FP3089" t="inlineStr">
        <is>
          <t>C</t>
        </is>
      </c>
    </row>
    <row r="3090">
      <c r="FC3090" t="inlineStr">
        <is>
          <t>Diccionario 4</t>
        </is>
      </c>
      <c r="FD3090" s="15" t="inlineStr">
        <is>
          <t>1169 / LZRD-69|</t>
        </is>
      </c>
      <c r="FE3090" s="15" t="inlineStr">
        <is>
          <t>YV3T7U521LA201545</t>
        </is>
      </c>
      <c r="FF3090" s="15" t="n">
        <v>508144</v>
      </c>
      <c r="FG3090" s="15" t="inlineStr">
        <is>
          <t>Volvo</t>
        </is>
      </c>
      <c r="FH3090" s="15" t="inlineStr">
        <is>
          <t>B8RLEA</t>
        </is>
      </c>
      <c r="FI3090" s="15" t="inlineStr">
        <is>
          <t>MARCOPOLO</t>
        </is>
      </c>
      <c r="FJ3090" s="15" t="inlineStr">
        <is>
          <t>GRAN VIALE</t>
        </is>
      </c>
      <c r="FK3090" s="15" t="n">
        <v>2020</v>
      </c>
      <c r="FL3090" s="15" t="inlineStr">
        <is>
          <t>C</t>
        </is>
      </c>
      <c r="FM3090" s="15" t="inlineStr">
        <is>
          <t>PIE ANDINO</t>
        </is>
      </c>
      <c r="FN3090" s="15" t="inlineStr">
        <is>
          <t>Pie Andino 31 (Pie Andino 383)</t>
        </is>
      </c>
      <c r="FO3090" s="15" t="inlineStr">
        <is>
          <t>Puente Alto</t>
        </is>
      </c>
      <c r="FP3090" t="inlineStr">
        <is>
          <t>C</t>
        </is>
      </c>
    </row>
    <row r="3091">
      <c r="FC3091" t="inlineStr">
        <is>
          <t>Diccionario 4</t>
        </is>
      </c>
      <c r="FD3091" s="15" t="inlineStr">
        <is>
          <t>1170 / LZRD-70|</t>
        </is>
      </c>
      <c r="FE3091" s="15" t="inlineStr">
        <is>
          <t>YV3T7U528LA201543</t>
        </is>
      </c>
      <c r="FF3091" s="15" t="n">
        <v>508132</v>
      </c>
      <c r="FG3091" s="15" t="inlineStr">
        <is>
          <t>Volvo</t>
        </is>
      </c>
      <c r="FH3091" s="15" t="inlineStr">
        <is>
          <t>B8RLEA</t>
        </is>
      </c>
      <c r="FI3091" s="15" t="inlineStr">
        <is>
          <t>MARCOPOLO</t>
        </is>
      </c>
      <c r="FJ3091" s="15" t="inlineStr">
        <is>
          <t>GRAN VIALE</t>
        </is>
      </c>
      <c r="FK3091" s="15" t="n">
        <v>2020</v>
      </c>
      <c r="FL3091" s="15" t="inlineStr">
        <is>
          <t>C</t>
        </is>
      </c>
      <c r="FM3091" s="15" t="inlineStr">
        <is>
          <t>PIE ANDINO</t>
        </is>
      </c>
      <c r="FN3091" s="15" t="inlineStr">
        <is>
          <t>Pie Andino 31 (Pie Andino 383)</t>
        </is>
      </c>
      <c r="FO3091" s="15" t="inlineStr">
        <is>
          <t>Puente Alto</t>
        </is>
      </c>
      <c r="FP3091" t="inlineStr">
        <is>
          <t>C</t>
        </is>
      </c>
    </row>
    <row r="3092">
      <c r="FC3092" t="inlineStr">
        <is>
          <t>Diccionario 4</t>
        </is>
      </c>
      <c r="FD3092" s="15" t="inlineStr">
        <is>
          <t>1171 / LZRD-71|</t>
        </is>
      </c>
      <c r="FE3092" s="15" t="inlineStr">
        <is>
          <t>YV3T7U528LA201624</t>
        </is>
      </c>
      <c r="FF3092" s="15" t="n">
        <v>508345</v>
      </c>
      <c r="FG3092" s="15" t="inlineStr">
        <is>
          <t>Volvo</t>
        </is>
      </c>
      <c r="FH3092" s="15" t="inlineStr">
        <is>
          <t>B8RLEA</t>
        </is>
      </c>
      <c r="FI3092" s="15" t="inlineStr">
        <is>
          <t>MARCOPOLO</t>
        </is>
      </c>
      <c r="FJ3092" s="15" t="inlineStr">
        <is>
          <t>GRAN VIALE</t>
        </is>
      </c>
      <c r="FK3092" s="15" t="n">
        <v>2020</v>
      </c>
      <c r="FL3092" s="15" t="inlineStr">
        <is>
          <t>C</t>
        </is>
      </c>
      <c r="FM3092" s="15" t="inlineStr">
        <is>
          <t>PIE ANDINO</t>
        </is>
      </c>
      <c r="FN3092" s="15" t="inlineStr">
        <is>
          <t>Pie Andino 31 (Pie Andino 383)</t>
        </is>
      </c>
      <c r="FO3092" s="15" t="inlineStr">
        <is>
          <t>Puente Alto</t>
        </is>
      </c>
      <c r="FP3092" t="inlineStr">
        <is>
          <t>C</t>
        </is>
      </c>
    </row>
    <row r="3093">
      <c r="FC3093" t="inlineStr">
        <is>
          <t>Diccionario 4</t>
        </is>
      </c>
      <c r="FD3093" s="15" t="inlineStr">
        <is>
          <t>1172 / LZRD-72|</t>
        </is>
      </c>
      <c r="FE3093" s="15" t="inlineStr">
        <is>
          <t>YV3T7U525LA198729</t>
        </is>
      </c>
      <c r="FF3093" s="15" t="n">
        <v>508201</v>
      </c>
      <c r="FG3093" s="15" t="inlineStr">
        <is>
          <t>Volvo</t>
        </is>
      </c>
      <c r="FH3093" s="15" t="inlineStr">
        <is>
          <t>B8RLEA</t>
        </is>
      </c>
      <c r="FI3093" s="15" t="inlineStr">
        <is>
          <t>MARCOPOLO</t>
        </is>
      </c>
      <c r="FJ3093" s="15" t="inlineStr">
        <is>
          <t>GRAN VIALE</t>
        </is>
      </c>
      <c r="FK3093" s="15" t="n">
        <v>2020</v>
      </c>
      <c r="FL3093" s="15" t="inlineStr">
        <is>
          <t>C</t>
        </is>
      </c>
      <c r="FM3093" s="15" t="inlineStr">
        <is>
          <t>PIE ANDINO</t>
        </is>
      </c>
      <c r="FN3093" s="15" t="inlineStr">
        <is>
          <t>Pie Andino 31 (Pie Andino 383)</t>
        </is>
      </c>
      <c r="FO3093" s="15" t="inlineStr">
        <is>
          <t>Puente Alto</t>
        </is>
      </c>
      <c r="FP3093" t="inlineStr">
        <is>
          <t>C</t>
        </is>
      </c>
    </row>
    <row r="3094">
      <c r="FC3094" t="inlineStr">
        <is>
          <t>Diccionario 4</t>
        </is>
      </c>
      <c r="FD3094" s="15" t="inlineStr">
        <is>
          <t>1173 / LZRD-73|</t>
        </is>
      </c>
      <c r="FE3094" s="15" t="inlineStr">
        <is>
          <t>YV3T7U526LA201542</t>
        </is>
      </c>
      <c r="FF3094" s="15" t="n">
        <v>508119</v>
      </c>
      <c r="FG3094" s="15" t="inlineStr">
        <is>
          <t>Volvo</t>
        </is>
      </c>
      <c r="FH3094" s="15" t="inlineStr">
        <is>
          <t>B8RLEA</t>
        </is>
      </c>
      <c r="FI3094" s="15" t="inlineStr">
        <is>
          <t>MARCOPOLO</t>
        </is>
      </c>
      <c r="FJ3094" s="15" t="inlineStr">
        <is>
          <t>GRAN VIALE</t>
        </is>
      </c>
      <c r="FK3094" s="15" t="n">
        <v>2020</v>
      </c>
      <c r="FL3094" s="15" t="inlineStr">
        <is>
          <t>C</t>
        </is>
      </c>
      <c r="FM3094" s="15" t="inlineStr">
        <is>
          <t>PIE ANDINO</t>
        </is>
      </c>
      <c r="FN3094" s="15" t="inlineStr">
        <is>
          <t>Pie Andino 31 (Pie Andino 383)</t>
        </is>
      </c>
      <c r="FO3094" s="15" t="inlineStr">
        <is>
          <t>Puente Alto</t>
        </is>
      </c>
      <c r="FP3094" t="inlineStr">
        <is>
          <t>C</t>
        </is>
      </c>
    </row>
    <row r="3095">
      <c r="FC3095" t="inlineStr">
        <is>
          <t>Diccionario 4</t>
        </is>
      </c>
      <c r="FD3095" s="15" t="inlineStr">
        <is>
          <t>1174 / LZRD-74|</t>
        </is>
      </c>
      <c r="FE3095" s="15" t="inlineStr">
        <is>
          <t>YV3T7U524LA201622</t>
        </is>
      </c>
      <c r="FF3095" s="15" t="n">
        <v>508282</v>
      </c>
      <c r="FG3095" s="15" t="inlineStr">
        <is>
          <t>Volvo</t>
        </is>
      </c>
      <c r="FH3095" s="15" t="inlineStr">
        <is>
          <t>B8RLEA</t>
        </is>
      </c>
      <c r="FI3095" s="15" t="inlineStr">
        <is>
          <t>MARCOPOLO</t>
        </is>
      </c>
      <c r="FJ3095" s="15" t="inlineStr">
        <is>
          <t>GRAN VIALE</t>
        </is>
      </c>
      <c r="FK3095" s="15" t="n">
        <v>2020</v>
      </c>
      <c r="FL3095" s="15" t="inlineStr">
        <is>
          <t>C</t>
        </is>
      </c>
      <c r="FM3095" s="15" t="inlineStr">
        <is>
          <t>PIE ANDINO</t>
        </is>
      </c>
      <c r="FN3095" s="15" t="inlineStr">
        <is>
          <t>Pie Andino 31 (Pie Andino 383)</t>
        </is>
      </c>
      <c r="FO3095" s="15" t="inlineStr">
        <is>
          <t>Puente Alto</t>
        </is>
      </c>
      <c r="FP3095" t="inlineStr">
        <is>
          <t>C</t>
        </is>
      </c>
    </row>
    <row r="3096">
      <c r="FC3096" t="inlineStr">
        <is>
          <t>Diccionario 4</t>
        </is>
      </c>
      <c r="FD3096" s="15" t="inlineStr">
        <is>
          <t>1227 / LZRD-75|</t>
        </is>
      </c>
      <c r="FE3096" s="15" t="inlineStr">
        <is>
          <t>YV3T7U52XLA201544</t>
        </is>
      </c>
      <c r="FF3096" s="15" t="n">
        <v>508121</v>
      </c>
      <c r="FG3096" s="15" t="inlineStr">
        <is>
          <t>Volvo</t>
        </is>
      </c>
      <c r="FH3096" s="15" t="inlineStr">
        <is>
          <t>B8RLEA</t>
        </is>
      </c>
      <c r="FI3096" s="15" t="inlineStr">
        <is>
          <t>MARCOPOLO</t>
        </is>
      </c>
      <c r="FJ3096" s="15" t="inlineStr">
        <is>
          <t>GRAN VIALE</t>
        </is>
      </c>
      <c r="FK3096" s="15" t="n">
        <v>2020</v>
      </c>
      <c r="FL3096" s="15" t="inlineStr">
        <is>
          <t>C</t>
        </is>
      </c>
      <c r="FM3096" s="15" t="inlineStr">
        <is>
          <t>SAN ALFONSO</t>
        </is>
      </c>
      <c r="FN3096" s="15" t="inlineStr">
        <is>
          <t>San Alfonso 2141 (Ramón Subercaseaux 3060)</t>
        </is>
      </c>
      <c r="FO3096" s="15" t="inlineStr">
        <is>
          <t>Estacion Central</t>
        </is>
      </c>
      <c r="FP3096" t="inlineStr">
        <is>
          <t>C</t>
        </is>
      </c>
    </row>
    <row r="3097">
      <c r="FC3097" t="inlineStr">
        <is>
          <t>Diccionario 4</t>
        </is>
      </c>
      <c r="FD3097" s="15" t="inlineStr">
        <is>
          <t>1228 / LZRD-76|</t>
        </is>
      </c>
      <c r="FE3097" s="15" t="inlineStr">
        <is>
          <t>YV3T7U528LA198725</t>
        </is>
      </c>
      <c r="FF3097" s="15" t="n">
        <v>508224</v>
      </c>
      <c r="FG3097" s="15" t="inlineStr">
        <is>
          <t>Volvo</t>
        </is>
      </c>
      <c r="FH3097" s="15" t="inlineStr">
        <is>
          <t>B8RLEA</t>
        </is>
      </c>
      <c r="FI3097" s="15" t="inlineStr">
        <is>
          <t>MARCOPOLO</t>
        </is>
      </c>
      <c r="FJ3097" s="15" t="inlineStr">
        <is>
          <t>GRAN VIALE</t>
        </is>
      </c>
      <c r="FK3097" s="15" t="n">
        <v>2020</v>
      </c>
      <c r="FL3097" s="15" t="inlineStr">
        <is>
          <t>C</t>
        </is>
      </c>
      <c r="FM3097" s="15" t="inlineStr">
        <is>
          <t>SAN ALFONSO</t>
        </is>
      </c>
      <c r="FN3097" s="15" t="inlineStr">
        <is>
          <t>San Alfonso 2141 (Ramón Subercaseaux 3060)</t>
        </is>
      </c>
      <c r="FO3097" s="15" t="inlineStr">
        <is>
          <t>Estacion Central</t>
        </is>
      </c>
      <c r="FP3097" t="inlineStr">
        <is>
          <t>C</t>
        </is>
      </c>
    </row>
    <row r="3098">
      <c r="FC3098" t="inlineStr">
        <is>
          <t>Diccionario 4</t>
        </is>
      </c>
      <c r="FD3098" s="15" t="inlineStr">
        <is>
          <t>1175 / LZRD-77|</t>
        </is>
      </c>
      <c r="FE3098" s="15" t="inlineStr">
        <is>
          <t>YV3T7U524LA201667</t>
        </is>
      </c>
      <c r="FF3098" s="15" t="n">
        <v>508615</v>
      </c>
      <c r="FG3098" s="15" t="inlineStr">
        <is>
          <t>Volvo</t>
        </is>
      </c>
      <c r="FH3098" s="15" t="inlineStr">
        <is>
          <t>B8RLEA</t>
        </is>
      </c>
      <c r="FI3098" s="15" t="inlineStr">
        <is>
          <t>MARCOPOLO</t>
        </is>
      </c>
      <c r="FJ3098" s="15" t="inlineStr">
        <is>
          <t>GRAN VIALE</t>
        </is>
      </c>
      <c r="FK3098" s="15" t="n">
        <v>2020</v>
      </c>
      <c r="FL3098" s="15" t="inlineStr">
        <is>
          <t>C</t>
        </is>
      </c>
      <c r="FM3098" s="15" t="inlineStr">
        <is>
          <t>PIE ANDINO</t>
        </is>
      </c>
      <c r="FN3098" s="15" t="inlineStr">
        <is>
          <t>Pie Andino 31 (Pie Andino 383)</t>
        </is>
      </c>
      <c r="FO3098" s="15" t="inlineStr">
        <is>
          <t>Puente Alto</t>
        </is>
      </c>
      <c r="FP3098" t="inlineStr">
        <is>
          <t>C</t>
        </is>
      </c>
    </row>
    <row r="3099">
      <c r="FC3099" t="inlineStr">
        <is>
          <t>Diccionario 4</t>
        </is>
      </c>
      <c r="FD3099" s="15" t="inlineStr">
        <is>
          <t>1229 / LZRD-78|</t>
        </is>
      </c>
      <c r="FE3099" s="15" t="inlineStr">
        <is>
          <t>YV3T7U524LA201670</t>
        </is>
      </c>
      <c r="FF3099" s="15" t="n">
        <v>508569</v>
      </c>
      <c r="FG3099" s="15" t="inlineStr">
        <is>
          <t>Volvo</t>
        </is>
      </c>
      <c r="FH3099" s="15" t="inlineStr">
        <is>
          <t>B8RLEA</t>
        </is>
      </c>
      <c r="FI3099" s="15" t="inlineStr">
        <is>
          <t>MARCOPOLO</t>
        </is>
      </c>
      <c r="FJ3099" s="15" t="inlineStr">
        <is>
          <t>GRAN VIALE</t>
        </is>
      </c>
      <c r="FK3099" s="15" t="n">
        <v>2020</v>
      </c>
      <c r="FL3099" s="15" t="inlineStr">
        <is>
          <t>C</t>
        </is>
      </c>
      <c r="FM3099" s="15" t="inlineStr">
        <is>
          <t>SAN ALFONSO</t>
        </is>
      </c>
      <c r="FN3099" s="15" t="inlineStr">
        <is>
          <t>San Alfonso 2141 (Ramón Subercaseaux 3060)</t>
        </is>
      </c>
      <c r="FO3099" s="15" t="inlineStr">
        <is>
          <t>Estacion Central</t>
        </is>
      </c>
      <c r="FP3099" t="inlineStr">
        <is>
          <t>C</t>
        </is>
      </c>
    </row>
    <row r="3100">
      <c r="FC3100" t="inlineStr">
        <is>
          <t>Diccionario 4</t>
        </is>
      </c>
      <c r="FD3100" s="15" t="inlineStr">
        <is>
          <t>1176 / LZRD-79|</t>
        </is>
      </c>
      <c r="FE3100" s="15" t="inlineStr">
        <is>
          <t>YV3T7U52XLA201625</t>
        </is>
      </c>
      <c r="FF3100" s="15" t="n">
        <v>508297</v>
      </c>
      <c r="FG3100" s="15" t="inlineStr">
        <is>
          <t>Volvo</t>
        </is>
      </c>
      <c r="FH3100" s="15" t="inlineStr">
        <is>
          <t>B8RLEA</t>
        </is>
      </c>
      <c r="FI3100" s="15" t="inlineStr">
        <is>
          <t>MARCOPOLO</t>
        </is>
      </c>
      <c r="FJ3100" s="15" t="inlineStr">
        <is>
          <t>GRAN VIALE</t>
        </is>
      </c>
      <c r="FK3100" s="15" t="n">
        <v>2020</v>
      </c>
      <c r="FL3100" s="15" t="inlineStr">
        <is>
          <t>C</t>
        </is>
      </c>
      <c r="FM3100" s="15" t="inlineStr">
        <is>
          <t>PIE ANDINO</t>
        </is>
      </c>
      <c r="FN3100" s="15" t="inlineStr">
        <is>
          <t>Pie Andino 31 (Pie Andino 383)</t>
        </is>
      </c>
      <c r="FO3100" s="15" t="inlineStr">
        <is>
          <t>Puente Alto</t>
        </is>
      </c>
      <c r="FP3100" t="inlineStr">
        <is>
          <t>C</t>
        </is>
      </c>
    </row>
    <row r="3101">
      <c r="FC3101" t="inlineStr">
        <is>
          <t>Diccionario 4</t>
        </is>
      </c>
      <c r="FD3101" s="15" t="inlineStr">
        <is>
          <t>1177 / LZRD-80|</t>
        </is>
      </c>
      <c r="FE3101" s="15" t="inlineStr">
        <is>
          <t>YV3T7U520LA201620</t>
        </is>
      </c>
      <c r="FF3101" s="15" t="n">
        <v>508303</v>
      </c>
      <c r="FG3101" s="15" t="inlineStr">
        <is>
          <t>Volvo</t>
        </is>
      </c>
      <c r="FH3101" s="15" t="inlineStr">
        <is>
          <t>B8RLEA</t>
        </is>
      </c>
      <c r="FI3101" s="15" t="inlineStr">
        <is>
          <t>MARCOPOLO</t>
        </is>
      </c>
      <c r="FJ3101" s="15" t="inlineStr">
        <is>
          <t>GRAN VIALE</t>
        </is>
      </c>
      <c r="FK3101" s="15" t="n">
        <v>2020</v>
      </c>
      <c r="FL3101" s="15" t="inlineStr">
        <is>
          <t>C</t>
        </is>
      </c>
      <c r="FM3101" s="15" t="inlineStr">
        <is>
          <t>PIE ANDINO</t>
        </is>
      </c>
      <c r="FN3101" s="15" t="inlineStr">
        <is>
          <t>Pie Andino 31 (Pie Andino 383)</t>
        </is>
      </c>
      <c r="FO3101" s="15" t="inlineStr">
        <is>
          <t>Puente Alto</t>
        </is>
      </c>
      <c r="FP3101" t="inlineStr">
        <is>
          <t>C</t>
        </is>
      </c>
    </row>
    <row r="3102">
      <c r="FC3102" t="inlineStr">
        <is>
          <t>Diccionario 4</t>
        </is>
      </c>
      <c r="FD3102" s="15" t="inlineStr">
        <is>
          <t>1178 / LZRD-81|</t>
        </is>
      </c>
      <c r="FE3102" s="15" t="inlineStr">
        <is>
          <t>YV3T7U526LA201606</t>
        </is>
      </c>
      <c r="FF3102" s="15" t="n">
        <v>508235</v>
      </c>
      <c r="FG3102" s="15" t="inlineStr">
        <is>
          <t>Volvo</t>
        </is>
      </c>
      <c r="FH3102" s="15" t="inlineStr">
        <is>
          <t>B8RLEA</t>
        </is>
      </c>
      <c r="FI3102" s="15" t="inlineStr">
        <is>
          <t>MARCOPOLO</t>
        </is>
      </c>
      <c r="FJ3102" s="15" t="inlineStr">
        <is>
          <t>GRAN VIALE</t>
        </is>
      </c>
      <c r="FK3102" s="15" t="n">
        <v>2020</v>
      </c>
      <c r="FL3102" s="15" t="inlineStr">
        <is>
          <t>C</t>
        </is>
      </c>
      <c r="FM3102" s="15" t="inlineStr">
        <is>
          <t>PIE ANDINO</t>
        </is>
      </c>
      <c r="FN3102" s="15" t="inlineStr">
        <is>
          <t>Pie Andino 31 (Pie Andino 383)</t>
        </is>
      </c>
      <c r="FO3102" s="15" t="inlineStr">
        <is>
          <t>Puente Alto</t>
        </is>
      </c>
      <c r="FP3102" t="inlineStr">
        <is>
          <t>C</t>
        </is>
      </c>
    </row>
    <row r="3103">
      <c r="FC3103" t="inlineStr">
        <is>
          <t>Diccionario 4</t>
        </is>
      </c>
      <c r="FD3103" s="15" t="inlineStr">
        <is>
          <t>1179 / LZRD-82|</t>
        </is>
      </c>
      <c r="FE3103" s="15" t="inlineStr">
        <is>
          <t>YV3T7U527LA201498</t>
        </is>
      </c>
      <c r="FF3103" s="15" t="n">
        <v>507854</v>
      </c>
      <c r="FG3103" s="15" t="inlineStr">
        <is>
          <t>Volvo</t>
        </is>
      </c>
      <c r="FH3103" s="15" t="inlineStr">
        <is>
          <t>B8RLEA</t>
        </is>
      </c>
      <c r="FI3103" s="15" t="inlineStr">
        <is>
          <t>MARCOPOLO</t>
        </is>
      </c>
      <c r="FJ3103" s="15" t="inlineStr">
        <is>
          <t>GRAN VIALE</t>
        </is>
      </c>
      <c r="FK3103" s="15" t="n">
        <v>2020</v>
      </c>
      <c r="FL3103" s="15" t="inlineStr">
        <is>
          <t>C</t>
        </is>
      </c>
      <c r="FM3103" s="15" t="inlineStr">
        <is>
          <t>PIE ANDINO</t>
        </is>
      </c>
      <c r="FN3103" s="15" t="inlineStr">
        <is>
          <t>Pie Andino 31 (Pie Andino 383)</t>
        </is>
      </c>
      <c r="FO3103" s="15" t="inlineStr">
        <is>
          <t>Puente Alto</t>
        </is>
      </c>
      <c r="FP3103" t="inlineStr">
        <is>
          <t>C</t>
        </is>
      </c>
    </row>
    <row r="3104">
      <c r="FC3104" t="inlineStr">
        <is>
          <t>Diccionario 4</t>
        </is>
      </c>
      <c r="FD3104" s="15" t="inlineStr">
        <is>
          <t>1230 / LZRD-83|</t>
        </is>
      </c>
      <c r="FE3104" s="15" t="inlineStr">
        <is>
          <t>YV3T7U522LA201540</t>
        </is>
      </c>
      <c r="FF3104" s="15" t="n">
        <v>507955</v>
      </c>
      <c r="FG3104" s="15" t="inlineStr">
        <is>
          <t>Volvo</t>
        </is>
      </c>
      <c r="FH3104" s="15" t="inlineStr">
        <is>
          <t>B8RLEA</t>
        </is>
      </c>
      <c r="FI3104" s="15" t="inlineStr">
        <is>
          <t>MARCOPOLO</t>
        </is>
      </c>
      <c r="FJ3104" s="15" t="inlineStr">
        <is>
          <t>GRAN VIALE</t>
        </is>
      </c>
      <c r="FK3104" s="15" t="n">
        <v>2020</v>
      </c>
      <c r="FL3104" s="15" t="inlineStr">
        <is>
          <t>C</t>
        </is>
      </c>
      <c r="FM3104" s="15" t="inlineStr">
        <is>
          <t>SAN ALFONSO</t>
        </is>
      </c>
      <c r="FN3104" s="15" t="inlineStr">
        <is>
          <t>San Alfonso 2141 (Ramón Subercaseaux 3060)</t>
        </is>
      </c>
      <c r="FO3104" s="15" t="inlineStr">
        <is>
          <t>Estacion Central</t>
        </is>
      </c>
      <c r="FP3104" t="inlineStr">
        <is>
          <t>C</t>
        </is>
      </c>
    </row>
    <row r="3105">
      <c r="FC3105" t="inlineStr">
        <is>
          <t>Diccionario 4</t>
        </is>
      </c>
      <c r="FD3105" s="15" t="inlineStr">
        <is>
          <t>1180 / LZRD-84|</t>
        </is>
      </c>
      <c r="FE3105" s="15" t="inlineStr">
        <is>
          <t>YV3T7U526LA201668</t>
        </is>
      </c>
      <c r="FF3105" s="15" t="n">
        <v>508633</v>
      </c>
      <c r="FG3105" s="15" t="inlineStr">
        <is>
          <t>Volvo</t>
        </is>
      </c>
      <c r="FH3105" s="15" t="inlineStr">
        <is>
          <t>B8RLEA</t>
        </is>
      </c>
      <c r="FI3105" s="15" t="inlineStr">
        <is>
          <t>MARCOPOLO</t>
        </is>
      </c>
      <c r="FJ3105" s="15" t="inlineStr">
        <is>
          <t>GRAN VIALE</t>
        </is>
      </c>
      <c r="FK3105" s="15" t="n">
        <v>2020</v>
      </c>
      <c r="FL3105" s="15" t="inlineStr">
        <is>
          <t>C</t>
        </is>
      </c>
      <c r="FM3105" s="15" t="inlineStr">
        <is>
          <t>PIE ANDINO</t>
        </is>
      </c>
      <c r="FN3105" s="15" t="inlineStr">
        <is>
          <t>Pie Andino 31 (Pie Andino 383)</t>
        </is>
      </c>
      <c r="FO3105" s="15" t="inlineStr">
        <is>
          <t>Puente Alto</t>
        </is>
      </c>
      <c r="FP3105" t="inlineStr">
        <is>
          <t>C</t>
        </is>
      </c>
    </row>
    <row r="3106">
      <c r="FC3106" t="inlineStr">
        <is>
          <t>Diccionario 4</t>
        </is>
      </c>
      <c r="FD3106" s="15" t="inlineStr">
        <is>
          <t>1181 / LZRD-85|</t>
        </is>
      </c>
      <c r="FE3106" s="15" t="inlineStr">
        <is>
          <t>YV3T7U529LA201695</t>
        </is>
      </c>
      <c r="FF3106" s="15" t="n">
        <v>508651</v>
      </c>
      <c r="FG3106" s="15" t="inlineStr">
        <is>
          <t>Volvo</t>
        </is>
      </c>
      <c r="FH3106" s="15" t="inlineStr">
        <is>
          <t>B8RLEA</t>
        </is>
      </c>
      <c r="FI3106" s="15" t="inlineStr">
        <is>
          <t>MARCOPOLO</t>
        </is>
      </c>
      <c r="FJ3106" s="15" t="inlineStr">
        <is>
          <t>GRAN VIALE</t>
        </is>
      </c>
      <c r="FK3106" s="15" t="n">
        <v>2020</v>
      </c>
      <c r="FL3106" s="15" t="inlineStr">
        <is>
          <t>C</t>
        </is>
      </c>
      <c r="FM3106" s="15" t="inlineStr">
        <is>
          <t>PIE ANDINO</t>
        </is>
      </c>
      <c r="FN3106" s="15" t="inlineStr">
        <is>
          <t>Pie Andino 31 (Pie Andino 383)</t>
        </is>
      </c>
      <c r="FO3106" s="15" t="inlineStr">
        <is>
          <t>Puente Alto</t>
        </is>
      </c>
      <c r="FP3106" t="inlineStr">
        <is>
          <t>C</t>
        </is>
      </c>
    </row>
    <row r="3107">
      <c r="FC3107" t="inlineStr">
        <is>
          <t>Diccionario 4</t>
        </is>
      </c>
      <c r="FD3107" s="15" t="inlineStr">
        <is>
          <t>1182 / LZRD-86|</t>
        </is>
      </c>
      <c r="FE3107" s="15" t="inlineStr">
        <is>
          <t>YV3T7U521LA201609</t>
        </is>
      </c>
      <c r="FF3107" s="15" t="n">
        <v>508236</v>
      </c>
      <c r="FG3107" s="15" t="inlineStr">
        <is>
          <t>Volvo</t>
        </is>
      </c>
      <c r="FH3107" s="15" t="inlineStr">
        <is>
          <t>B8RLEA</t>
        </is>
      </c>
      <c r="FI3107" s="15" t="inlineStr">
        <is>
          <t>MARCOPOLO</t>
        </is>
      </c>
      <c r="FJ3107" s="15" t="inlineStr">
        <is>
          <t>GRAN VIALE</t>
        </is>
      </c>
      <c r="FK3107" s="15" t="n">
        <v>2020</v>
      </c>
      <c r="FL3107" s="15" t="inlineStr">
        <is>
          <t>C</t>
        </is>
      </c>
      <c r="FM3107" s="15" t="inlineStr">
        <is>
          <t>PIE ANDINO</t>
        </is>
      </c>
      <c r="FN3107" s="15" t="inlineStr">
        <is>
          <t>Pie Andino 31 (Pie Andino 383)</t>
        </is>
      </c>
      <c r="FO3107" s="15" t="inlineStr">
        <is>
          <t>Puente Alto</t>
        </is>
      </c>
      <c r="FP3107" t="inlineStr">
        <is>
          <t>C</t>
        </is>
      </c>
    </row>
    <row r="3108">
      <c r="FC3108" t="inlineStr">
        <is>
          <t>Diccionario 4</t>
        </is>
      </c>
      <c r="FD3108" s="15" t="inlineStr">
        <is>
          <t>1183 / LZRD-87|</t>
        </is>
      </c>
      <c r="FE3108" s="15" t="inlineStr">
        <is>
          <t>YV3T7U522LA201621</t>
        </is>
      </c>
      <c r="FF3108" s="15" t="n">
        <v>508307</v>
      </c>
      <c r="FG3108" s="15" t="inlineStr">
        <is>
          <t>Volvo</t>
        </is>
      </c>
      <c r="FH3108" s="15" t="inlineStr">
        <is>
          <t>B8RLEA</t>
        </is>
      </c>
      <c r="FI3108" s="15" t="inlineStr">
        <is>
          <t>MARCOPOLO</t>
        </is>
      </c>
      <c r="FJ3108" s="15" t="inlineStr">
        <is>
          <t>GRAN VIALE</t>
        </is>
      </c>
      <c r="FK3108" s="15" t="n">
        <v>2020</v>
      </c>
      <c r="FL3108" s="15" t="inlineStr">
        <is>
          <t>C</t>
        </is>
      </c>
      <c r="FM3108" s="15" t="inlineStr">
        <is>
          <t>PIE ANDINO</t>
        </is>
      </c>
      <c r="FN3108" s="15" t="inlineStr">
        <is>
          <t>Pie Andino 31 (Pie Andino 383)</t>
        </is>
      </c>
      <c r="FO3108" s="15" t="inlineStr">
        <is>
          <t>Puente Alto</t>
        </is>
      </c>
      <c r="FP3108" t="inlineStr">
        <is>
          <t>C</t>
        </is>
      </c>
    </row>
    <row r="3109">
      <c r="FC3109" t="inlineStr">
        <is>
          <t>Diccionario 4</t>
        </is>
      </c>
      <c r="FD3109" s="15" t="inlineStr">
        <is>
          <t>1231 / LZRD-88|</t>
        </is>
      </c>
      <c r="FE3109" s="15" t="inlineStr">
        <is>
          <t>YV3T7U528LA201607</t>
        </is>
      </c>
      <c r="FF3109" s="15" t="n">
        <v>508215</v>
      </c>
      <c r="FG3109" s="15" t="inlineStr">
        <is>
          <t>Volvo</t>
        </is>
      </c>
      <c r="FH3109" s="15" t="inlineStr">
        <is>
          <t>B8RLEA</t>
        </is>
      </c>
      <c r="FI3109" s="15" t="inlineStr">
        <is>
          <t>MARCOPOLO</t>
        </is>
      </c>
      <c r="FJ3109" s="15" t="inlineStr">
        <is>
          <t>GRAN VIALE</t>
        </is>
      </c>
      <c r="FK3109" s="15" t="n">
        <v>2020</v>
      </c>
      <c r="FL3109" s="15" t="inlineStr">
        <is>
          <t>C</t>
        </is>
      </c>
      <c r="FM3109" s="15" t="inlineStr">
        <is>
          <t>SAN ALFONSO</t>
        </is>
      </c>
      <c r="FN3109" s="15" t="inlineStr">
        <is>
          <t>San Alfonso 2141 (Ramón Subercaseaux 3060)</t>
        </is>
      </c>
      <c r="FO3109" s="15" t="inlineStr">
        <is>
          <t>Estacion Central</t>
        </is>
      </c>
      <c r="FP3109" t="inlineStr">
        <is>
          <t>C</t>
        </is>
      </c>
    </row>
    <row r="3110">
      <c r="FC3110" t="inlineStr">
        <is>
          <t>Diccionario 4</t>
        </is>
      </c>
      <c r="FD3110" s="15" t="inlineStr">
        <is>
          <t>1184 / LZRD-89|</t>
        </is>
      </c>
      <c r="FE3110" s="15" t="inlineStr">
        <is>
          <t>YV3T7U527LA201694</t>
        </is>
      </c>
      <c r="FF3110" s="15" t="n">
        <v>508655</v>
      </c>
      <c r="FG3110" s="15" t="inlineStr">
        <is>
          <t>Volvo</t>
        </is>
      </c>
      <c r="FH3110" s="15" t="inlineStr">
        <is>
          <t>B8RLEA</t>
        </is>
      </c>
      <c r="FI3110" s="15" t="inlineStr">
        <is>
          <t>MARCOPOLO</t>
        </is>
      </c>
      <c r="FJ3110" s="15" t="inlineStr">
        <is>
          <t>GRAN VIALE</t>
        </is>
      </c>
      <c r="FK3110" s="15" t="n">
        <v>2020</v>
      </c>
      <c r="FL3110" s="15" t="inlineStr">
        <is>
          <t>C</t>
        </is>
      </c>
      <c r="FM3110" s="15" t="inlineStr">
        <is>
          <t>PIE ANDINO</t>
        </is>
      </c>
      <c r="FN3110" s="15" t="inlineStr">
        <is>
          <t>Pie Andino 31 (Pie Andino 383)</t>
        </is>
      </c>
      <c r="FO3110" s="15" t="inlineStr">
        <is>
          <t>Puente Alto</t>
        </is>
      </c>
      <c r="FP3110" t="inlineStr">
        <is>
          <t>C</t>
        </is>
      </c>
    </row>
    <row r="3111">
      <c r="FC3111" t="inlineStr">
        <is>
          <t>Diccionario 4</t>
        </is>
      </c>
      <c r="FD3111" s="15" t="inlineStr">
        <is>
          <t>1185 / LZRD-90|</t>
        </is>
      </c>
      <c r="FE3111" s="15" t="inlineStr">
        <is>
          <t>YV3T7U528LA201610</t>
        </is>
      </c>
      <c r="FF3111" s="15" t="n">
        <v>508198</v>
      </c>
      <c r="FG3111" s="15" t="inlineStr">
        <is>
          <t>Volvo</t>
        </is>
      </c>
      <c r="FH3111" s="15" t="inlineStr">
        <is>
          <t>B8RLEA</t>
        </is>
      </c>
      <c r="FI3111" s="15" t="inlineStr">
        <is>
          <t>MARCOPOLO</t>
        </is>
      </c>
      <c r="FJ3111" s="15" t="inlineStr">
        <is>
          <t>GRAN VIALE</t>
        </is>
      </c>
      <c r="FK3111" s="15" t="n">
        <v>2020</v>
      </c>
      <c r="FL3111" s="15" t="inlineStr">
        <is>
          <t>C</t>
        </is>
      </c>
      <c r="FM3111" s="15" t="inlineStr">
        <is>
          <t>PIE ANDINO</t>
        </is>
      </c>
      <c r="FN3111" s="15" t="inlineStr">
        <is>
          <t>Pie Andino 31 (Pie Andino 383)</t>
        </is>
      </c>
      <c r="FO3111" s="15" t="inlineStr">
        <is>
          <t>Puente Alto</t>
        </is>
      </c>
      <c r="FP3111" t="inlineStr">
        <is>
          <t>C</t>
        </is>
      </c>
    </row>
    <row r="3112">
      <c r="FC3112" t="inlineStr">
        <is>
          <t>Diccionario 4</t>
        </is>
      </c>
      <c r="FD3112" s="15" t="inlineStr">
        <is>
          <t>1232 / LZRD-91|</t>
        </is>
      </c>
      <c r="FE3112" s="15" t="inlineStr">
        <is>
          <t>YV3T7U525LA201922</t>
        </is>
      </c>
      <c r="FF3112" s="15" t="n">
        <v>509348</v>
      </c>
      <c r="FG3112" s="15" t="inlineStr">
        <is>
          <t>Volvo</t>
        </is>
      </c>
      <c r="FH3112" s="15" t="inlineStr">
        <is>
          <t>B8RLEA</t>
        </is>
      </c>
      <c r="FI3112" s="15" t="inlineStr">
        <is>
          <t>MARCOPOLO</t>
        </is>
      </c>
      <c r="FJ3112" s="15" t="inlineStr">
        <is>
          <t>GRAN VIALE</t>
        </is>
      </c>
      <c r="FK3112" s="15" t="n">
        <v>2020</v>
      </c>
      <c r="FL3112" s="15" t="inlineStr">
        <is>
          <t>C</t>
        </is>
      </c>
      <c r="FM3112" s="15" t="inlineStr">
        <is>
          <t>SAN ALFONSO</t>
        </is>
      </c>
      <c r="FN3112" s="15" t="inlineStr">
        <is>
          <t>San Alfonso 2141 (Ramón Subercaseaux 3060)</t>
        </is>
      </c>
      <c r="FO3112" s="15" t="inlineStr">
        <is>
          <t>Estacion Central</t>
        </is>
      </c>
      <c r="FP3112" t="inlineStr">
        <is>
          <t>C</t>
        </is>
      </c>
    </row>
    <row r="3113">
      <c r="FC3113" t="inlineStr">
        <is>
          <t>Diccionario 4</t>
        </is>
      </c>
      <c r="FD3113" s="15" t="inlineStr">
        <is>
          <t>1233 / LZRD-92|</t>
        </is>
      </c>
      <c r="FE3113" s="15" t="inlineStr">
        <is>
          <t>YV3T7U527LA201906</t>
        </is>
      </c>
      <c r="FF3113" s="15" t="n">
        <v>509467</v>
      </c>
      <c r="FG3113" s="15" t="inlineStr">
        <is>
          <t>Volvo</t>
        </is>
      </c>
      <c r="FH3113" s="15" t="inlineStr">
        <is>
          <t>B8RLEA</t>
        </is>
      </c>
      <c r="FI3113" s="15" t="inlineStr">
        <is>
          <t>MARCOPOLO</t>
        </is>
      </c>
      <c r="FJ3113" s="15" t="inlineStr">
        <is>
          <t>GRAN VIALE</t>
        </is>
      </c>
      <c r="FK3113" s="15" t="n">
        <v>2020</v>
      </c>
      <c r="FL3113" s="15" t="inlineStr">
        <is>
          <t>C</t>
        </is>
      </c>
      <c r="FM3113" s="15" t="inlineStr">
        <is>
          <t>SAN ALFONSO</t>
        </is>
      </c>
      <c r="FN3113" s="15" t="inlineStr">
        <is>
          <t>San Alfonso 2141 (Ramón Subercaseaux 3060)</t>
        </is>
      </c>
      <c r="FO3113" s="15" t="inlineStr">
        <is>
          <t>Estacion Central</t>
        </is>
      </c>
      <c r="FP3113" t="inlineStr">
        <is>
          <t>C</t>
        </is>
      </c>
    </row>
    <row r="3114">
      <c r="FC3114" t="inlineStr">
        <is>
          <t>Diccionario 4</t>
        </is>
      </c>
      <c r="FD3114" s="15" t="inlineStr">
        <is>
          <t>1162 / LZRD-61|</t>
        </is>
      </c>
      <c r="FE3114" s="15" t="inlineStr">
        <is>
          <t>YV3T7U528LA201848</t>
        </is>
      </c>
      <c r="FF3114" s="15" t="n">
        <v>507981</v>
      </c>
      <c r="FG3114" s="15" t="inlineStr">
        <is>
          <t>Volvo</t>
        </is>
      </c>
      <c r="FH3114" s="15" t="inlineStr">
        <is>
          <t>B8RLEA</t>
        </is>
      </c>
      <c r="FI3114" s="15" t="inlineStr">
        <is>
          <t>MARCOPOLO</t>
        </is>
      </c>
      <c r="FJ3114" s="15" t="inlineStr">
        <is>
          <t>GRAN VIALE</t>
        </is>
      </c>
      <c r="FK3114" s="15" t="n">
        <v>2020</v>
      </c>
      <c r="FL3114" s="15" t="inlineStr">
        <is>
          <t>C</t>
        </is>
      </c>
      <c r="FM3114" s="15" t="inlineStr">
        <is>
          <t>PIE ANDINO</t>
        </is>
      </c>
      <c r="FN3114" s="15" t="inlineStr">
        <is>
          <t>Pie Andino 31 (Pie Andino 383)</t>
        </is>
      </c>
      <c r="FO3114" s="15" t="inlineStr">
        <is>
          <t>Puente Alto</t>
        </is>
      </c>
      <c r="FP3114" t="inlineStr">
        <is>
          <t>C</t>
        </is>
      </c>
    </row>
    <row r="3115">
      <c r="FC3115" t="inlineStr">
        <is>
          <t>Diccionario 4</t>
        </is>
      </c>
      <c r="FD3115" s="15" t="inlineStr">
        <is>
          <t>1187 / LZRD-94|</t>
        </is>
      </c>
      <c r="FE3115" s="15" t="inlineStr">
        <is>
          <t>YV3T7U523LA201708</t>
        </is>
      </c>
      <c r="FF3115" s="15" t="n">
        <v>508404</v>
      </c>
      <c r="FG3115" s="15" t="inlineStr">
        <is>
          <t>Volvo</t>
        </is>
      </c>
      <c r="FH3115" s="15" t="inlineStr">
        <is>
          <t>B8RLEA</t>
        </is>
      </c>
      <c r="FI3115" s="15" t="inlineStr">
        <is>
          <t>MARCOPOLO</t>
        </is>
      </c>
      <c r="FJ3115" s="15" t="inlineStr">
        <is>
          <t>GRAN VIALE</t>
        </is>
      </c>
      <c r="FK3115" s="15" t="n">
        <v>2020</v>
      </c>
      <c r="FL3115" s="15" t="inlineStr">
        <is>
          <t>C</t>
        </is>
      </c>
      <c r="FM3115" s="15" t="inlineStr">
        <is>
          <t>PIE ANDINO</t>
        </is>
      </c>
      <c r="FN3115" s="15" t="inlineStr">
        <is>
          <t>Pie Andino 31 (Pie Andino 383)</t>
        </is>
      </c>
      <c r="FO3115" s="15" t="inlineStr">
        <is>
          <t>Puente Alto</t>
        </is>
      </c>
      <c r="FP3115" t="inlineStr">
        <is>
          <t>C</t>
        </is>
      </c>
    </row>
    <row r="3116">
      <c r="FC3116" t="inlineStr">
        <is>
          <t>Diccionario 4</t>
        </is>
      </c>
      <c r="FD3116" s="15" t="inlineStr">
        <is>
          <t>1188 / LZRD-95|</t>
        </is>
      </c>
      <c r="FE3116" s="15" t="inlineStr">
        <is>
          <t>YV3T7U525LA201905</t>
        </is>
      </c>
      <c r="FF3116" s="15" t="n">
        <v>509585</v>
      </c>
      <c r="FG3116" s="15" t="inlineStr">
        <is>
          <t>Volvo</t>
        </is>
      </c>
      <c r="FH3116" s="15" t="inlineStr">
        <is>
          <t>B8RLEA</t>
        </is>
      </c>
      <c r="FI3116" s="15" t="inlineStr">
        <is>
          <t>MARCOPOLO</t>
        </is>
      </c>
      <c r="FJ3116" s="15" t="inlineStr">
        <is>
          <t>GRAN VIALE</t>
        </is>
      </c>
      <c r="FK3116" s="15" t="n">
        <v>2020</v>
      </c>
      <c r="FL3116" s="15" t="inlineStr">
        <is>
          <t>C</t>
        </is>
      </c>
      <c r="FM3116" s="15" t="inlineStr">
        <is>
          <t>PIE ANDINO</t>
        </is>
      </c>
      <c r="FN3116" s="15" t="inlineStr">
        <is>
          <t>Pie Andino 31 (Pie Andino 383)</t>
        </is>
      </c>
      <c r="FO3116" s="15" t="inlineStr">
        <is>
          <t>Puente Alto</t>
        </is>
      </c>
      <c r="FP3116" t="inlineStr">
        <is>
          <t>C</t>
        </is>
      </c>
    </row>
    <row r="3117">
      <c r="FC3117" t="inlineStr">
        <is>
          <t>Diccionario 4</t>
        </is>
      </c>
      <c r="FD3117" s="15" t="inlineStr">
        <is>
          <t>1189 / LZRD-96|</t>
        </is>
      </c>
      <c r="FE3117" s="15" t="inlineStr">
        <is>
          <t>YV3T7U520LA201908</t>
        </is>
      </c>
      <c r="FF3117" s="15" t="n">
        <v>509583</v>
      </c>
      <c r="FG3117" s="15" t="inlineStr">
        <is>
          <t>Volvo</t>
        </is>
      </c>
      <c r="FH3117" s="15" t="inlineStr">
        <is>
          <t>B8RLEA</t>
        </is>
      </c>
      <c r="FI3117" s="15" t="inlineStr">
        <is>
          <t>MARCOPOLO</t>
        </is>
      </c>
      <c r="FJ3117" s="15" t="inlineStr">
        <is>
          <t>GRAN VIALE</t>
        </is>
      </c>
      <c r="FK3117" s="15" t="n">
        <v>2020</v>
      </c>
      <c r="FL3117" s="15" t="inlineStr">
        <is>
          <t>C</t>
        </is>
      </c>
      <c r="FM3117" s="15" t="inlineStr">
        <is>
          <t>PIE ANDINO</t>
        </is>
      </c>
      <c r="FN3117" s="15" t="inlineStr">
        <is>
          <t>Pie Andino 31 (Pie Andino 383)</t>
        </is>
      </c>
      <c r="FO3117" s="15" t="inlineStr">
        <is>
          <t>Puente Alto</t>
        </is>
      </c>
      <c r="FP3117" t="inlineStr">
        <is>
          <t>C</t>
        </is>
      </c>
    </row>
    <row r="3118">
      <c r="FC3118" t="inlineStr">
        <is>
          <t>Diccionario 4</t>
        </is>
      </c>
      <c r="FD3118" s="15" t="inlineStr">
        <is>
          <t>1190 / LZRD-97|</t>
        </is>
      </c>
      <c r="FE3118" s="15" t="inlineStr">
        <is>
          <t>YV3T7U529LA201907</t>
        </is>
      </c>
      <c r="FF3118" s="15" t="n">
        <v>509444</v>
      </c>
      <c r="FG3118" s="15" t="inlineStr">
        <is>
          <t>Volvo</t>
        </is>
      </c>
      <c r="FH3118" s="15" t="inlineStr">
        <is>
          <t>B8RLEA</t>
        </is>
      </c>
      <c r="FI3118" s="15" t="inlineStr">
        <is>
          <t>MARCOPOLO</t>
        </is>
      </c>
      <c r="FJ3118" s="15" t="inlineStr">
        <is>
          <t>GRAN VIALE</t>
        </is>
      </c>
      <c r="FK3118" s="15" t="n">
        <v>2020</v>
      </c>
      <c r="FL3118" s="15" t="inlineStr">
        <is>
          <t>C</t>
        </is>
      </c>
      <c r="FM3118" s="15" t="inlineStr">
        <is>
          <t>PIE ANDINO</t>
        </is>
      </c>
      <c r="FN3118" s="15" t="inlineStr">
        <is>
          <t>Pie Andino 31 (Pie Andino 383)</t>
        </is>
      </c>
      <c r="FO3118" s="15" t="inlineStr">
        <is>
          <t>Puente Alto</t>
        </is>
      </c>
      <c r="FP3118" t="inlineStr">
        <is>
          <t>C</t>
        </is>
      </c>
    </row>
    <row r="3119">
      <c r="FC3119" t="inlineStr">
        <is>
          <t>Diccionario 4</t>
        </is>
      </c>
      <c r="FD3119" s="15" t="inlineStr">
        <is>
          <t>1191 / LZRD-98|</t>
        </is>
      </c>
      <c r="FE3119" s="15" t="inlineStr">
        <is>
          <t>YV3T7U526LA201802</t>
        </is>
      </c>
      <c r="FF3119" s="15" t="n">
        <v>509171</v>
      </c>
      <c r="FG3119" s="15" t="inlineStr">
        <is>
          <t>Volvo</t>
        </is>
      </c>
      <c r="FH3119" s="15" t="inlineStr">
        <is>
          <t>B8RLEA</t>
        </is>
      </c>
      <c r="FI3119" s="15" t="inlineStr">
        <is>
          <t>MARCOPOLO</t>
        </is>
      </c>
      <c r="FJ3119" s="15" t="inlineStr">
        <is>
          <t>GRAN VIALE</t>
        </is>
      </c>
      <c r="FK3119" s="15" t="n">
        <v>2020</v>
      </c>
      <c r="FL3119" s="15" t="inlineStr">
        <is>
          <t>C</t>
        </is>
      </c>
      <c r="FM3119" s="15" t="inlineStr">
        <is>
          <t>PIE ANDINO</t>
        </is>
      </c>
      <c r="FN3119" s="15" t="inlineStr">
        <is>
          <t>Pie Andino 31 (Pie Andino 383)</t>
        </is>
      </c>
      <c r="FO3119" s="15" t="inlineStr">
        <is>
          <t>Puente Alto</t>
        </is>
      </c>
      <c r="FP3119" t="inlineStr">
        <is>
          <t>C</t>
        </is>
      </c>
    </row>
    <row r="3120">
      <c r="FC3120" t="inlineStr">
        <is>
          <t>Diccionario 4</t>
        </is>
      </c>
      <c r="FD3120" s="15" t="inlineStr">
        <is>
          <t>1192 / LZRD-99|</t>
        </is>
      </c>
      <c r="FE3120" s="15" t="inlineStr">
        <is>
          <t>YV3T7U523LA201904</t>
        </is>
      </c>
      <c r="FF3120" s="15" t="n">
        <v>509572</v>
      </c>
      <c r="FG3120" s="15" t="inlineStr">
        <is>
          <t>Volvo</t>
        </is>
      </c>
      <c r="FH3120" s="15" t="inlineStr">
        <is>
          <t>B8RLEA</t>
        </is>
      </c>
      <c r="FI3120" s="15" t="inlineStr">
        <is>
          <t>MARCOPOLO</t>
        </is>
      </c>
      <c r="FJ3120" s="15" t="inlineStr">
        <is>
          <t>GRAN VIALE</t>
        </is>
      </c>
      <c r="FK3120" s="15" t="n">
        <v>2020</v>
      </c>
      <c r="FL3120" s="15" t="inlineStr">
        <is>
          <t>C</t>
        </is>
      </c>
      <c r="FM3120" s="15" t="inlineStr">
        <is>
          <t>PIE ANDINO</t>
        </is>
      </c>
      <c r="FN3120" s="15" t="inlineStr">
        <is>
          <t>Pie Andino 31 (Pie Andino 383)</t>
        </is>
      </c>
      <c r="FO3120" s="15" t="inlineStr">
        <is>
          <t>Puente Alto</t>
        </is>
      </c>
      <c r="FP3120" t="inlineStr">
        <is>
          <t>C</t>
        </is>
      </c>
    </row>
    <row r="3121">
      <c r="FC3121" t="inlineStr">
        <is>
          <t>Diccionario 4</t>
        </is>
      </c>
      <c r="FD3121" s="15" t="inlineStr">
        <is>
          <t>1193 / LZRF-10|</t>
        </is>
      </c>
      <c r="FE3121" s="15" t="inlineStr">
        <is>
          <t>YV3T7U525LA201712</t>
        </is>
      </c>
      <c r="FF3121" s="15" t="n">
        <v>508475</v>
      </c>
      <c r="FG3121" s="15" t="inlineStr">
        <is>
          <t>Volvo</t>
        </is>
      </c>
      <c r="FH3121" s="15" t="inlineStr">
        <is>
          <t>B8RLEA</t>
        </is>
      </c>
      <c r="FI3121" s="15" t="inlineStr">
        <is>
          <t>MARCOPOLO</t>
        </is>
      </c>
      <c r="FJ3121" s="15" t="inlineStr">
        <is>
          <t>GRAN VIALE</t>
        </is>
      </c>
      <c r="FK3121" s="15" t="n">
        <v>2020</v>
      </c>
      <c r="FL3121" s="15" t="inlineStr">
        <is>
          <t>C</t>
        </is>
      </c>
      <c r="FM3121" s="15" t="inlineStr">
        <is>
          <t>PIE ANDINO</t>
        </is>
      </c>
      <c r="FN3121" s="15" t="inlineStr">
        <is>
          <t>Pie Andino 31 (Pie Andino 383)</t>
        </is>
      </c>
      <c r="FO3121" s="15" t="inlineStr">
        <is>
          <t>Puente Alto</t>
        </is>
      </c>
      <c r="FP3121" t="inlineStr">
        <is>
          <t>C</t>
        </is>
      </c>
    </row>
    <row r="3122">
      <c r="FC3122" t="inlineStr">
        <is>
          <t>Diccionario 4</t>
        </is>
      </c>
      <c r="FD3122" s="15" t="inlineStr">
        <is>
          <t>1194 / LZRF-11|</t>
        </is>
      </c>
      <c r="FE3122" s="15" t="inlineStr">
        <is>
          <t>YV3T7U526LA201847</t>
        </is>
      </c>
      <c r="FF3122" s="15" t="n">
        <v>507974</v>
      </c>
      <c r="FG3122" s="15" t="inlineStr">
        <is>
          <t>Volvo</t>
        </is>
      </c>
      <c r="FH3122" s="15" t="inlineStr">
        <is>
          <t>B8RLEA</t>
        </is>
      </c>
      <c r="FI3122" s="15" t="inlineStr">
        <is>
          <t>MARCOPOLO</t>
        </is>
      </c>
      <c r="FJ3122" s="15" t="inlineStr">
        <is>
          <t>GRAN VIALE</t>
        </is>
      </c>
      <c r="FK3122" s="15" t="n">
        <v>2020</v>
      </c>
      <c r="FL3122" s="15" t="inlineStr">
        <is>
          <t>C</t>
        </is>
      </c>
      <c r="FM3122" s="15" t="inlineStr">
        <is>
          <t>PIE ANDINO</t>
        </is>
      </c>
      <c r="FN3122" s="15" t="inlineStr">
        <is>
          <t>Pie Andino 31 (Pie Andino 383)</t>
        </is>
      </c>
      <c r="FO3122" s="15" t="inlineStr">
        <is>
          <t>Puente Alto</t>
        </is>
      </c>
      <c r="FP3122" t="inlineStr">
        <is>
          <t>C</t>
        </is>
      </c>
    </row>
    <row r="3123">
      <c r="FC3123" t="inlineStr">
        <is>
          <t>Diccionario 4</t>
        </is>
      </c>
      <c r="FD3123" s="15" t="inlineStr">
        <is>
          <t>1195 / LZRF-12|</t>
        </is>
      </c>
      <c r="FE3123" s="15" t="inlineStr">
        <is>
          <t>YV3T7U528LA201851</t>
        </is>
      </c>
      <c r="FF3123" s="15" t="n">
        <v>508008</v>
      </c>
      <c r="FG3123" s="15" t="inlineStr">
        <is>
          <t>Volvo</t>
        </is>
      </c>
      <c r="FH3123" s="15" t="inlineStr">
        <is>
          <t>B8RLEA</t>
        </is>
      </c>
      <c r="FI3123" s="15" t="inlineStr">
        <is>
          <t>MARCOPOLO</t>
        </is>
      </c>
      <c r="FJ3123" s="15" t="inlineStr">
        <is>
          <t>GRAN VIALE</t>
        </is>
      </c>
      <c r="FK3123" s="15" t="n">
        <v>2020</v>
      </c>
      <c r="FL3123" s="15" t="inlineStr">
        <is>
          <t>C</t>
        </is>
      </c>
      <c r="FM3123" s="15" t="inlineStr">
        <is>
          <t>PIE ANDINO</t>
        </is>
      </c>
      <c r="FN3123" s="15" t="inlineStr">
        <is>
          <t>Pie Andino 31 (Pie Andino 383)</t>
        </is>
      </c>
      <c r="FO3123" s="15" t="inlineStr">
        <is>
          <t>Puente Alto</t>
        </is>
      </c>
      <c r="FP3123" t="inlineStr">
        <is>
          <t>C</t>
        </is>
      </c>
    </row>
    <row r="3124">
      <c r="FC3124" t="inlineStr">
        <is>
          <t>Diccionario 4</t>
        </is>
      </c>
      <c r="FD3124" s="15" t="inlineStr">
        <is>
          <t>1196 / LZRF-13|</t>
        </is>
      </c>
      <c r="FE3124" s="15" t="inlineStr">
        <is>
          <t>YV3T7U529LA201499</t>
        </is>
      </c>
      <c r="FF3124" s="15" t="n">
        <v>507878</v>
      </c>
      <c r="FG3124" s="15" t="inlineStr">
        <is>
          <t>Volvo</t>
        </is>
      </c>
      <c r="FH3124" s="15" t="inlineStr">
        <is>
          <t>B8RLEA</t>
        </is>
      </c>
      <c r="FI3124" s="15" t="inlineStr">
        <is>
          <t>MARCOPOLO</t>
        </is>
      </c>
      <c r="FJ3124" s="15" t="inlineStr">
        <is>
          <t>GRAN VIALE</t>
        </is>
      </c>
      <c r="FK3124" s="15" t="n">
        <v>2020</v>
      </c>
      <c r="FL3124" s="15" t="inlineStr">
        <is>
          <t>C</t>
        </is>
      </c>
      <c r="FM3124" s="15" t="inlineStr">
        <is>
          <t>PIE ANDINO</t>
        </is>
      </c>
      <c r="FN3124" s="15" t="inlineStr">
        <is>
          <t>Pie Andino 31 (Pie Andino 383)</t>
        </is>
      </c>
      <c r="FO3124" s="15" t="inlineStr">
        <is>
          <t>Puente Alto</t>
        </is>
      </c>
      <c r="FP3124" t="inlineStr">
        <is>
          <t>C</t>
        </is>
      </c>
    </row>
    <row r="3125">
      <c r="FC3125" t="inlineStr">
        <is>
          <t>Diccionario 4</t>
        </is>
      </c>
      <c r="FD3125" s="15" t="inlineStr">
        <is>
          <t>1197 / LZRF-14|</t>
        </is>
      </c>
      <c r="FE3125" s="15" t="inlineStr">
        <is>
          <t>YV3T7U524LA201541</t>
        </is>
      </c>
      <c r="FF3125" s="15" t="n">
        <v>507933</v>
      </c>
      <c r="FG3125" s="15" t="inlineStr">
        <is>
          <t>Volvo</t>
        </is>
      </c>
      <c r="FH3125" s="15" t="inlineStr">
        <is>
          <t>B8RLEA</t>
        </is>
      </c>
      <c r="FI3125" s="15" t="inlineStr">
        <is>
          <t>MARCOPOLO</t>
        </is>
      </c>
      <c r="FJ3125" s="15" t="inlineStr">
        <is>
          <t>GRAN VIALE</t>
        </is>
      </c>
      <c r="FK3125" s="15" t="n">
        <v>2020</v>
      </c>
      <c r="FL3125" s="15" t="inlineStr">
        <is>
          <t>C</t>
        </is>
      </c>
      <c r="FM3125" s="15" t="inlineStr">
        <is>
          <t>PIE ANDINO</t>
        </is>
      </c>
      <c r="FN3125" s="15" t="inlineStr">
        <is>
          <t>Pie Andino 31 (Pie Andino 383)</t>
        </is>
      </c>
      <c r="FO3125" s="15" t="inlineStr">
        <is>
          <t>Puente Alto</t>
        </is>
      </c>
      <c r="FP3125" t="inlineStr">
        <is>
          <t>C</t>
        </is>
      </c>
    </row>
    <row r="3126">
      <c r="FC3126" t="inlineStr">
        <is>
          <t>Diccionario 4</t>
        </is>
      </c>
      <c r="FD3126" s="15" t="inlineStr">
        <is>
          <t>1198 / LZRF-15|</t>
        </is>
      </c>
      <c r="FE3126" s="15" t="inlineStr">
        <is>
          <t>YV3T7U524LA198723</t>
        </is>
      </c>
      <c r="FF3126" s="15" t="n">
        <v>508173</v>
      </c>
      <c r="FG3126" s="15" t="inlineStr">
        <is>
          <t>Volvo</t>
        </is>
      </c>
      <c r="FH3126" s="15" t="inlineStr">
        <is>
          <t>B8RLEA</t>
        </is>
      </c>
      <c r="FI3126" s="15" t="inlineStr">
        <is>
          <t>MARCOPOLO</t>
        </is>
      </c>
      <c r="FJ3126" s="15" t="inlineStr">
        <is>
          <t>GRAN VIALE</t>
        </is>
      </c>
      <c r="FK3126" s="15" t="n">
        <v>2020</v>
      </c>
      <c r="FL3126" s="15" t="inlineStr">
        <is>
          <t>C</t>
        </is>
      </c>
      <c r="FM3126" s="15" t="inlineStr">
        <is>
          <t>PIE ANDINO</t>
        </is>
      </c>
      <c r="FN3126" s="15" t="inlineStr">
        <is>
          <t>Pie Andino 31 (Pie Andino 383)</t>
        </is>
      </c>
      <c r="FO3126" s="15" t="inlineStr">
        <is>
          <t>Puente Alto</t>
        </is>
      </c>
      <c r="FP3126" t="inlineStr">
        <is>
          <t>C</t>
        </is>
      </c>
    </row>
    <row r="3127">
      <c r="FC3127" t="inlineStr">
        <is>
          <t>Diccionario 4</t>
        </is>
      </c>
      <c r="FD3127" s="15" t="inlineStr">
        <is>
          <t>1199 / RJXT-26|</t>
        </is>
      </c>
      <c r="FE3127" s="15" t="inlineStr">
        <is>
          <t>YV3T7U528KA194902</t>
        </is>
      </c>
      <c r="FF3127" s="15" t="n">
        <v>480074</v>
      </c>
      <c r="FG3127" s="15" t="inlineStr">
        <is>
          <t>Volvo</t>
        </is>
      </c>
      <c r="FH3127" s="15" t="inlineStr">
        <is>
          <t>B8RLEA</t>
        </is>
      </c>
      <c r="FI3127" s="15" t="inlineStr">
        <is>
          <t>MARCOPOLO</t>
        </is>
      </c>
      <c r="FJ3127" s="15" t="inlineStr">
        <is>
          <t>MONDEGO II</t>
        </is>
      </c>
      <c r="FK3127" s="15" t="n">
        <v>2021</v>
      </c>
      <c r="FL3127" s="15" t="inlineStr">
        <is>
          <t>C</t>
        </is>
      </c>
      <c r="FM3127" s="15" t="inlineStr">
        <is>
          <t>PIE ANDINO</t>
        </is>
      </c>
      <c r="FN3127" s="15" t="inlineStr">
        <is>
          <t>Pie Andino 31 (Pie Andino 383)</t>
        </is>
      </c>
      <c r="FO3127" s="15" t="inlineStr">
        <is>
          <t>Puente Alto</t>
        </is>
      </c>
      <c r="FP3127" t="inlineStr">
        <is>
          <t>C</t>
        </is>
      </c>
    </row>
    <row r="3128">
      <c r="FC3128" t="inlineStr">
        <is>
          <t>Diccionario 4</t>
        </is>
      </c>
      <c r="FD3128" s="15" t="inlineStr">
        <is>
          <t>1200 / RWTP-78|</t>
        </is>
      </c>
      <c r="FE3128" s="15" t="inlineStr">
        <is>
          <t>YV3T7U52XNA207976</t>
        </is>
      </c>
      <c r="FF3128" s="15" t="n">
        <v>552632</v>
      </c>
      <c r="FG3128" s="15" t="inlineStr">
        <is>
          <t>Volvo</t>
        </is>
      </c>
      <c r="FH3128" s="15" t="inlineStr">
        <is>
          <t>B8RLEA</t>
        </is>
      </c>
      <c r="FI3128" s="15" t="inlineStr">
        <is>
          <t>MARCOPOLO</t>
        </is>
      </c>
      <c r="FJ3128" s="15" t="inlineStr">
        <is>
          <t>GRAN VIALE</t>
        </is>
      </c>
      <c r="FK3128" s="15" t="n">
        <v>2022</v>
      </c>
      <c r="FL3128" s="15" t="inlineStr">
        <is>
          <t>C</t>
        </is>
      </c>
      <c r="FM3128" s="15" t="inlineStr">
        <is>
          <t>PIE ANDINO</t>
        </is>
      </c>
      <c r="FN3128" s="15" t="inlineStr">
        <is>
          <t>Pie Andino 31 (Pie Andino 383)</t>
        </is>
      </c>
      <c r="FO3128" s="15" t="inlineStr">
        <is>
          <t>Puente Alto</t>
        </is>
      </c>
      <c r="FP3128" t="inlineStr">
        <is>
          <t>C</t>
        </is>
      </c>
    </row>
    <row r="3129">
      <c r="FC3129" t="inlineStr">
        <is>
          <t>Diccionario 4</t>
        </is>
      </c>
      <c r="FD3129" s="15" t="inlineStr">
        <is>
          <t>1234 / RWTP-79|</t>
        </is>
      </c>
      <c r="FE3129" s="15" t="inlineStr">
        <is>
          <t>YV3T7U52XNA207895</t>
        </is>
      </c>
      <c r="FF3129" s="15" t="n">
        <v>552649</v>
      </c>
      <c r="FG3129" s="15" t="inlineStr">
        <is>
          <t>Volvo</t>
        </is>
      </c>
      <c r="FH3129" s="15" t="inlineStr">
        <is>
          <t>B8RLEA</t>
        </is>
      </c>
      <c r="FI3129" s="15" t="inlineStr">
        <is>
          <t>MARCOPOLO</t>
        </is>
      </c>
      <c r="FJ3129" s="15" t="inlineStr">
        <is>
          <t>GRAN VIALE</t>
        </is>
      </c>
      <c r="FK3129" s="15" t="n">
        <v>2022</v>
      </c>
      <c r="FL3129" s="15" t="inlineStr">
        <is>
          <t>C</t>
        </is>
      </c>
      <c r="FM3129" s="15" t="inlineStr">
        <is>
          <t>SAN ALFONSO</t>
        </is>
      </c>
      <c r="FN3129" s="15" t="inlineStr">
        <is>
          <t>San Alfonso 2141 (Ramón Subercaseaux 3060)</t>
        </is>
      </c>
      <c r="FO3129" s="15" t="inlineStr">
        <is>
          <t>Estacion Central</t>
        </is>
      </c>
      <c r="FP3129" t="inlineStr">
        <is>
          <t>C</t>
        </is>
      </c>
    </row>
    <row r="3130">
      <c r="FC3130" t="inlineStr">
        <is>
          <t>Diccionario 4</t>
        </is>
      </c>
      <c r="FD3130" s="15" t="inlineStr">
        <is>
          <t>1235 / RWTP-80|</t>
        </is>
      </c>
      <c r="FE3130" s="15" t="inlineStr">
        <is>
          <t>YV3T7U528NA207894</t>
        </is>
      </c>
      <c r="FF3130" s="15" t="n">
        <v>552624</v>
      </c>
      <c r="FG3130" s="15" t="inlineStr">
        <is>
          <t>Volvo</t>
        </is>
      </c>
      <c r="FH3130" s="15" t="inlineStr">
        <is>
          <t>B8RLEA</t>
        </is>
      </c>
      <c r="FI3130" s="15" t="inlineStr">
        <is>
          <t>MARCOPOLO</t>
        </is>
      </c>
      <c r="FJ3130" s="15" t="inlineStr">
        <is>
          <t>GRAN VIALE</t>
        </is>
      </c>
      <c r="FK3130" s="15" t="n">
        <v>2022</v>
      </c>
      <c r="FL3130" s="15" t="inlineStr">
        <is>
          <t>C</t>
        </is>
      </c>
      <c r="FM3130" s="15" t="inlineStr">
        <is>
          <t>SAN ALFONSO</t>
        </is>
      </c>
      <c r="FN3130" s="15" t="inlineStr">
        <is>
          <t>San Alfonso 2141 (Ramón Subercaseaux 3060)</t>
        </is>
      </c>
      <c r="FO3130" s="15" t="inlineStr">
        <is>
          <t>Estacion Central</t>
        </is>
      </c>
      <c r="FP3130" t="inlineStr">
        <is>
          <t>C</t>
        </is>
      </c>
    </row>
    <row r="3131">
      <c r="FC3131" t="inlineStr">
        <is>
          <t>Diccionario 4</t>
        </is>
      </c>
      <c r="FD3131" s="15" t="inlineStr">
        <is>
          <t>1236 / RWTP-81|</t>
        </is>
      </c>
      <c r="FE3131" s="15" t="inlineStr">
        <is>
          <t>YV3T7U526NA207893</t>
        </is>
      </c>
      <c r="FF3131" s="15" t="n">
        <v>552338</v>
      </c>
      <c r="FG3131" s="15" t="inlineStr">
        <is>
          <t>Volvo</t>
        </is>
      </c>
      <c r="FH3131" s="15" t="inlineStr">
        <is>
          <t>B8RLEA</t>
        </is>
      </c>
      <c r="FI3131" s="15" t="inlineStr">
        <is>
          <t>MARCOPOLO</t>
        </is>
      </c>
      <c r="FJ3131" s="15" t="inlineStr">
        <is>
          <t>GRAN VIALE</t>
        </is>
      </c>
      <c r="FK3131" s="15" t="n">
        <v>2022</v>
      </c>
      <c r="FL3131" s="15" t="inlineStr">
        <is>
          <t>C</t>
        </is>
      </c>
      <c r="FM3131" s="15" t="inlineStr">
        <is>
          <t>SAN ALFONSO</t>
        </is>
      </c>
      <c r="FN3131" s="15" t="inlineStr">
        <is>
          <t>San Alfonso 2141 (Ramón Subercaseaux 3060)</t>
        </is>
      </c>
      <c r="FO3131" s="15" t="inlineStr">
        <is>
          <t>Estacion Central</t>
        </is>
      </c>
      <c r="FP3131" t="inlineStr">
        <is>
          <t>C</t>
        </is>
      </c>
    </row>
    <row r="3132">
      <c r="FC3132" t="inlineStr">
        <is>
          <t>Diccionario 4</t>
        </is>
      </c>
      <c r="FD3132" s="15" t="inlineStr">
        <is>
          <t>1237 / RWTP-82|</t>
        </is>
      </c>
      <c r="FE3132" s="15" t="inlineStr">
        <is>
          <t>YV3T7U525NA207884</t>
        </is>
      </c>
      <c r="FF3132" s="15" t="n">
        <v>552333</v>
      </c>
      <c r="FG3132" s="15" t="inlineStr">
        <is>
          <t>Volvo</t>
        </is>
      </c>
      <c r="FH3132" s="15" t="inlineStr">
        <is>
          <t>B8RLEA</t>
        </is>
      </c>
      <c r="FI3132" s="15" t="inlineStr">
        <is>
          <t>MARCOPOLO</t>
        </is>
      </c>
      <c r="FJ3132" s="15" t="inlineStr">
        <is>
          <t>GRAN VIALE</t>
        </is>
      </c>
      <c r="FK3132" s="15" t="n">
        <v>2022</v>
      </c>
      <c r="FL3132" s="15" t="inlineStr">
        <is>
          <t>C</t>
        </is>
      </c>
      <c r="FM3132" s="15" t="inlineStr">
        <is>
          <t>SAN ALFONSO</t>
        </is>
      </c>
      <c r="FN3132" s="15" t="inlineStr">
        <is>
          <t>San Alfonso 2141 (Ramón Subercaseaux 3060)</t>
        </is>
      </c>
      <c r="FO3132" s="15" t="inlineStr">
        <is>
          <t>Estacion Central</t>
        </is>
      </c>
      <c r="FP3132" t="inlineStr">
        <is>
          <t>C</t>
        </is>
      </c>
    </row>
    <row r="3133">
      <c r="FC3133" t="inlineStr">
        <is>
          <t>Diccionario 4</t>
        </is>
      </c>
      <c r="FD3133" s="15" t="inlineStr">
        <is>
          <t>1201 / RWTP-83|</t>
        </is>
      </c>
      <c r="FE3133" s="15" t="inlineStr">
        <is>
          <t>YV3T7U523NA207995</t>
        </is>
      </c>
      <c r="FF3133" s="15" t="n">
        <v>552881</v>
      </c>
      <c r="FG3133" s="15" t="inlineStr">
        <is>
          <t>Volvo</t>
        </is>
      </c>
      <c r="FH3133" s="15" t="inlineStr">
        <is>
          <t>B8RLEA</t>
        </is>
      </c>
      <c r="FI3133" s="15" t="inlineStr">
        <is>
          <t>MARCOPOLO</t>
        </is>
      </c>
      <c r="FJ3133" s="15" t="inlineStr">
        <is>
          <t>GRAN VIALE</t>
        </is>
      </c>
      <c r="FK3133" s="15" t="n">
        <v>2022</v>
      </c>
      <c r="FL3133" s="15" t="inlineStr">
        <is>
          <t>C</t>
        </is>
      </c>
      <c r="FM3133" s="15" t="inlineStr">
        <is>
          <t>PIE ANDINO</t>
        </is>
      </c>
      <c r="FN3133" s="15" t="inlineStr">
        <is>
          <t>Pie Andino 31 (Pie Andino 383)</t>
        </is>
      </c>
      <c r="FO3133" s="15" t="inlineStr">
        <is>
          <t>Puente Alto</t>
        </is>
      </c>
      <c r="FP3133" t="inlineStr">
        <is>
          <t>C</t>
        </is>
      </c>
    </row>
    <row r="3134">
      <c r="FC3134" t="inlineStr">
        <is>
          <t>Diccionario 4</t>
        </is>
      </c>
      <c r="FD3134" s="15" t="inlineStr">
        <is>
          <t>1238 / RWTP-84|</t>
        </is>
      </c>
      <c r="FE3134" s="15" t="inlineStr">
        <is>
          <t>YV3T7U521NA207834</t>
        </is>
      </c>
      <c r="FF3134" s="15" t="n">
        <v>550630</v>
      </c>
      <c r="FG3134" s="15" t="inlineStr">
        <is>
          <t>Volvo</t>
        </is>
      </c>
      <c r="FH3134" s="15" t="inlineStr">
        <is>
          <t>B8RLEA</t>
        </is>
      </c>
      <c r="FI3134" s="15" t="inlineStr">
        <is>
          <t>MARCOPOLO</t>
        </is>
      </c>
      <c r="FJ3134" s="15" t="inlineStr">
        <is>
          <t>GRAN VIALE</t>
        </is>
      </c>
      <c r="FK3134" s="15" t="n">
        <v>2022</v>
      </c>
      <c r="FL3134" s="15" t="inlineStr">
        <is>
          <t>C</t>
        </is>
      </c>
      <c r="FM3134" s="15" t="inlineStr">
        <is>
          <t>SAN ALFONSO</t>
        </is>
      </c>
      <c r="FN3134" s="15" t="inlineStr">
        <is>
          <t>San Alfonso 2141 (Ramón Subercaseaux 3060)</t>
        </is>
      </c>
      <c r="FO3134" s="15" t="inlineStr">
        <is>
          <t>Estacion Central</t>
        </is>
      </c>
      <c r="FP3134" t="inlineStr">
        <is>
          <t>C</t>
        </is>
      </c>
    </row>
    <row r="3135">
      <c r="FC3135" t="inlineStr">
        <is>
          <t>Diccionario 4</t>
        </is>
      </c>
      <c r="FD3135" s="15" t="inlineStr">
        <is>
          <t>1202 / RWTP-85|</t>
        </is>
      </c>
      <c r="FE3135" s="15" t="inlineStr">
        <is>
          <t>YV3T7U529NA207967</t>
        </is>
      </c>
      <c r="FF3135" s="15" t="n">
        <v>552303</v>
      </c>
      <c r="FG3135" s="15" t="inlineStr">
        <is>
          <t>Volvo</t>
        </is>
      </c>
      <c r="FH3135" s="15" t="inlineStr">
        <is>
          <t>B8RLEA</t>
        </is>
      </c>
      <c r="FI3135" s="15" t="inlineStr">
        <is>
          <t>MARCOPOLO</t>
        </is>
      </c>
      <c r="FJ3135" s="15" t="inlineStr">
        <is>
          <t>GRAN VIALE</t>
        </is>
      </c>
      <c r="FK3135" s="15" t="n">
        <v>2022</v>
      </c>
      <c r="FL3135" s="15" t="inlineStr">
        <is>
          <t>C</t>
        </is>
      </c>
      <c r="FM3135" s="15" t="inlineStr">
        <is>
          <t>PIE ANDINO</t>
        </is>
      </c>
      <c r="FN3135" s="15" t="inlineStr">
        <is>
          <t>Pie Andino 31 (Pie Andino 383)</t>
        </is>
      </c>
      <c r="FO3135" s="15" t="inlineStr">
        <is>
          <t>Puente Alto</t>
        </is>
      </c>
      <c r="FP3135" t="inlineStr">
        <is>
          <t>C</t>
        </is>
      </c>
    </row>
    <row r="3136">
      <c r="FC3136" t="inlineStr">
        <is>
          <t>Diccionario 4</t>
        </is>
      </c>
      <c r="FD3136" s="15" t="inlineStr">
        <is>
          <t>1203 / RWTP-86|</t>
        </is>
      </c>
      <c r="FE3136" s="15" t="inlineStr">
        <is>
          <t>YV3T7U528NA207930</t>
        </is>
      </c>
      <c r="FF3136" s="15" t="n">
        <v>551701</v>
      </c>
      <c r="FG3136" s="15" t="inlineStr">
        <is>
          <t>Volvo</t>
        </is>
      </c>
      <c r="FH3136" s="15" t="inlineStr">
        <is>
          <t>B8RLEA</t>
        </is>
      </c>
      <c r="FI3136" s="15" t="inlineStr">
        <is>
          <t>MARCOPOLO</t>
        </is>
      </c>
      <c r="FJ3136" s="15" t="inlineStr">
        <is>
          <t>GRAN VIALE</t>
        </is>
      </c>
      <c r="FK3136" s="15" t="n">
        <v>2022</v>
      </c>
      <c r="FL3136" s="15" t="inlineStr">
        <is>
          <t>C</t>
        </is>
      </c>
      <c r="FM3136" s="15" t="inlineStr">
        <is>
          <t>PIE ANDINO</t>
        </is>
      </c>
      <c r="FN3136" s="15" t="inlineStr">
        <is>
          <t>Pie Andino 31 (Pie Andino 383)</t>
        </is>
      </c>
      <c r="FO3136" s="15" t="inlineStr">
        <is>
          <t>Puente Alto</t>
        </is>
      </c>
      <c r="FP3136" t="inlineStr">
        <is>
          <t>C</t>
        </is>
      </c>
    </row>
    <row r="3137">
      <c r="FC3137" t="inlineStr">
        <is>
          <t>Diccionario 4</t>
        </is>
      </c>
      <c r="FD3137" s="15" t="inlineStr">
        <is>
          <t>1239 / RWTP-87|</t>
        </is>
      </c>
      <c r="FE3137" s="15" t="inlineStr">
        <is>
          <t>YV3T7U522NA207891</t>
        </is>
      </c>
      <c r="FF3137" s="15" t="n">
        <v>552373</v>
      </c>
      <c r="FG3137" s="15" t="inlineStr">
        <is>
          <t>Volvo</t>
        </is>
      </c>
      <c r="FH3137" s="15" t="inlineStr">
        <is>
          <t>B8RLEA</t>
        </is>
      </c>
      <c r="FI3137" s="15" t="inlineStr">
        <is>
          <t>MARCOPOLO</t>
        </is>
      </c>
      <c r="FJ3137" s="15" t="inlineStr">
        <is>
          <t>GRAN VIALE</t>
        </is>
      </c>
      <c r="FK3137" s="15" t="n">
        <v>2022</v>
      </c>
      <c r="FL3137" s="15" t="inlineStr">
        <is>
          <t>C</t>
        </is>
      </c>
      <c r="FM3137" s="15" t="inlineStr">
        <is>
          <t>SAN ALFONSO</t>
        </is>
      </c>
      <c r="FN3137" s="15" t="inlineStr">
        <is>
          <t>San Alfonso 2141 (Ramón Subercaseaux 3060)</t>
        </is>
      </c>
      <c r="FO3137" s="15" t="inlineStr">
        <is>
          <t>Estacion Central</t>
        </is>
      </c>
      <c r="FP3137" t="inlineStr">
        <is>
          <t>C</t>
        </is>
      </c>
    </row>
    <row r="3138">
      <c r="FC3138" t="inlineStr">
        <is>
          <t>Diccionario 4</t>
        </is>
      </c>
      <c r="FD3138" s="15" t="inlineStr">
        <is>
          <t>1240 / RWTP-88|</t>
        </is>
      </c>
      <c r="FE3138" s="15" t="inlineStr">
        <is>
          <t>YV3T7U52XNA207881</t>
        </is>
      </c>
      <c r="FF3138" s="15" t="n">
        <v>552573</v>
      </c>
      <c r="FG3138" s="15" t="inlineStr">
        <is>
          <t>Volvo</t>
        </is>
      </c>
      <c r="FH3138" s="15" t="inlineStr">
        <is>
          <t>B8RLEA</t>
        </is>
      </c>
      <c r="FI3138" s="15" t="inlineStr">
        <is>
          <t>MARCOPOLO</t>
        </is>
      </c>
      <c r="FJ3138" s="15" t="inlineStr">
        <is>
          <t>GRAN VIALE</t>
        </is>
      </c>
      <c r="FK3138" s="15" t="n">
        <v>2022</v>
      </c>
      <c r="FL3138" s="15" t="inlineStr">
        <is>
          <t>C</t>
        </is>
      </c>
      <c r="FM3138" s="15" t="inlineStr">
        <is>
          <t>SAN ALFONSO</t>
        </is>
      </c>
      <c r="FN3138" s="15" t="inlineStr">
        <is>
          <t>San Alfonso 2141 (Ramón Subercaseaux 3060)</t>
        </is>
      </c>
      <c r="FO3138" s="15" t="inlineStr">
        <is>
          <t>Estacion Central</t>
        </is>
      </c>
      <c r="FP3138" t="inlineStr">
        <is>
          <t>C</t>
        </is>
      </c>
    </row>
    <row r="3139">
      <c r="FC3139" t="inlineStr">
        <is>
          <t>Diccionario 4</t>
        </is>
      </c>
      <c r="FD3139" s="15" t="inlineStr">
        <is>
          <t>1241 / RWTP-89|</t>
        </is>
      </c>
      <c r="FE3139" s="15" t="inlineStr">
        <is>
          <t>YV3T7U527NA207837</t>
        </is>
      </c>
      <c r="FF3139" s="15" t="n">
        <v>550568</v>
      </c>
      <c r="FG3139" s="15" t="inlineStr">
        <is>
          <t>Volvo</t>
        </is>
      </c>
      <c r="FH3139" s="15" t="inlineStr">
        <is>
          <t>B8RLEA</t>
        </is>
      </c>
      <c r="FI3139" s="15" t="inlineStr">
        <is>
          <t>MARCOPOLO</t>
        </is>
      </c>
      <c r="FJ3139" s="15" t="inlineStr">
        <is>
          <t>GRAN VIALE</t>
        </is>
      </c>
      <c r="FK3139" s="15" t="n">
        <v>2022</v>
      </c>
      <c r="FL3139" s="15" t="inlineStr">
        <is>
          <t>C</t>
        </is>
      </c>
      <c r="FM3139" s="15" t="inlineStr">
        <is>
          <t>SAN ALFONSO</t>
        </is>
      </c>
      <c r="FN3139" s="15" t="inlineStr">
        <is>
          <t>San Alfonso 2141 (Ramón Subercaseaux 3060)</t>
        </is>
      </c>
      <c r="FO3139" s="15" t="inlineStr">
        <is>
          <t>Estacion Central</t>
        </is>
      </c>
      <c r="FP3139" t="inlineStr">
        <is>
          <t>C</t>
        </is>
      </c>
    </row>
    <row r="3140">
      <c r="FC3140" t="inlineStr">
        <is>
          <t>Diccionario 4</t>
        </is>
      </c>
      <c r="FD3140" s="15" t="inlineStr">
        <is>
          <t>1204 / RWTP-90|</t>
        </is>
      </c>
      <c r="FE3140" s="15" t="inlineStr">
        <is>
          <t>YV3T7U527NA207935</t>
        </is>
      </c>
      <c r="FF3140" s="15" t="n">
        <v>551734</v>
      </c>
      <c r="FG3140" s="15" t="inlineStr">
        <is>
          <t>Volvo</t>
        </is>
      </c>
      <c r="FH3140" s="15" t="inlineStr">
        <is>
          <t>B8RLEA</t>
        </is>
      </c>
      <c r="FI3140" s="15" t="inlineStr">
        <is>
          <t>MARCOPOLO</t>
        </is>
      </c>
      <c r="FJ3140" s="15" t="inlineStr">
        <is>
          <t>GRAN VIALE</t>
        </is>
      </c>
      <c r="FK3140" s="15" t="n">
        <v>2022</v>
      </c>
      <c r="FL3140" s="15" t="inlineStr">
        <is>
          <t>C</t>
        </is>
      </c>
      <c r="FM3140" s="15" t="inlineStr">
        <is>
          <t>PIE ANDINO</t>
        </is>
      </c>
      <c r="FN3140" s="15" t="inlineStr">
        <is>
          <t>Pie Andino 31 (Pie Andino 383)</t>
        </is>
      </c>
      <c r="FO3140" s="15" t="inlineStr">
        <is>
          <t>Puente Alto</t>
        </is>
      </c>
      <c r="FP3140" t="inlineStr">
        <is>
          <t>C</t>
        </is>
      </c>
    </row>
    <row r="3141">
      <c r="FC3141" t="inlineStr">
        <is>
          <t>Diccionario 4</t>
        </is>
      </c>
      <c r="FD3141" s="15" t="inlineStr">
        <is>
          <t>1242 / RWTP-91|</t>
        </is>
      </c>
      <c r="FE3141" s="15" t="inlineStr">
        <is>
          <t>YV3T7U524NA207892</t>
        </is>
      </c>
      <c r="FF3141" s="15" t="n">
        <v>552393</v>
      </c>
      <c r="FG3141" s="15" t="inlineStr">
        <is>
          <t>Volvo</t>
        </is>
      </c>
      <c r="FH3141" s="15" t="inlineStr">
        <is>
          <t>B8RLEA</t>
        </is>
      </c>
      <c r="FI3141" s="15" t="inlineStr">
        <is>
          <t>MARCOPOLO</t>
        </is>
      </c>
      <c r="FJ3141" s="15" t="inlineStr">
        <is>
          <t>GRAN VIALE</t>
        </is>
      </c>
      <c r="FK3141" s="15" t="n">
        <v>2022</v>
      </c>
      <c r="FL3141" s="15" t="inlineStr">
        <is>
          <t>C</t>
        </is>
      </c>
      <c r="FM3141" s="15" t="inlineStr">
        <is>
          <t>SAN ALFONSO</t>
        </is>
      </c>
      <c r="FN3141" s="15" t="inlineStr">
        <is>
          <t>San Alfonso 2141 (Ramón Subercaseaux 3060)</t>
        </is>
      </c>
      <c r="FO3141" s="15" t="inlineStr">
        <is>
          <t>Estacion Central</t>
        </is>
      </c>
      <c r="FP3141" t="inlineStr">
        <is>
          <t>C</t>
        </is>
      </c>
    </row>
    <row r="3142">
      <c r="FC3142" t="inlineStr">
        <is>
          <t>Diccionario 4</t>
        </is>
      </c>
      <c r="FD3142" s="15" t="inlineStr">
        <is>
          <t>1243 / RWTP-92|</t>
        </is>
      </c>
      <c r="FE3142" s="15" t="inlineStr">
        <is>
          <t>YV3T7U523NA207835</t>
        </is>
      </c>
      <c r="FF3142" s="15" t="n">
        <v>550593</v>
      </c>
      <c r="FG3142" s="15" t="inlineStr">
        <is>
          <t>Volvo</t>
        </is>
      </c>
      <c r="FH3142" s="15" t="inlineStr">
        <is>
          <t>B8RLEA</t>
        </is>
      </c>
      <c r="FI3142" s="15" t="inlineStr">
        <is>
          <t>MARCOPOLO</t>
        </is>
      </c>
      <c r="FJ3142" s="15" t="inlineStr">
        <is>
          <t>GRAN VIALE</t>
        </is>
      </c>
      <c r="FK3142" s="15" t="n">
        <v>2022</v>
      </c>
      <c r="FL3142" s="15" t="inlineStr">
        <is>
          <t>C</t>
        </is>
      </c>
      <c r="FM3142" s="15" t="inlineStr">
        <is>
          <t>SAN ALFONSO</t>
        </is>
      </c>
      <c r="FN3142" s="15" t="inlineStr">
        <is>
          <t>San Alfonso 2141 (Ramón Subercaseaux 3060)</t>
        </is>
      </c>
      <c r="FO3142" s="15" t="inlineStr">
        <is>
          <t>Estacion Central</t>
        </is>
      </c>
      <c r="FP3142" t="inlineStr">
        <is>
          <t>C</t>
        </is>
      </c>
    </row>
    <row r="3143">
      <c r="FC3143" t="inlineStr">
        <is>
          <t>Diccionario 4</t>
        </is>
      </c>
      <c r="FD3143" s="15" t="inlineStr">
        <is>
          <t>1244 / RWTP-93|</t>
        </is>
      </c>
      <c r="FE3143" s="15" t="inlineStr">
        <is>
          <t>YV3T7U52XNA207833</t>
        </is>
      </c>
      <c r="FF3143" s="15" t="n">
        <v>550451</v>
      </c>
      <c r="FG3143" s="15" t="inlineStr">
        <is>
          <t>Volvo</t>
        </is>
      </c>
      <c r="FH3143" s="15" t="inlineStr">
        <is>
          <t>B8RLEA</t>
        </is>
      </c>
      <c r="FI3143" s="15" t="inlineStr">
        <is>
          <t>MARCOPOLO</t>
        </is>
      </c>
      <c r="FJ3143" s="15" t="inlineStr">
        <is>
          <t>GRAN VIALE</t>
        </is>
      </c>
      <c r="FK3143" s="15" t="n">
        <v>2022</v>
      </c>
      <c r="FL3143" s="15" t="inlineStr">
        <is>
          <t>C</t>
        </is>
      </c>
      <c r="FM3143" s="15" t="inlineStr">
        <is>
          <t>SAN ALFONSO</t>
        </is>
      </c>
      <c r="FN3143" s="15" t="inlineStr">
        <is>
          <t>San Alfonso 2141 (Ramón Subercaseaux 3060)</t>
        </is>
      </c>
      <c r="FO3143" s="15" t="inlineStr">
        <is>
          <t>Estacion Central</t>
        </is>
      </c>
      <c r="FP3143" t="inlineStr">
        <is>
          <t>C</t>
        </is>
      </c>
    </row>
    <row r="3144">
      <c r="FC3144" t="inlineStr">
        <is>
          <t>Diccionario 4</t>
        </is>
      </c>
      <c r="FD3144" s="15" t="inlineStr">
        <is>
          <t>1205 / RWTP-94|</t>
        </is>
      </c>
      <c r="FE3144" s="15" t="inlineStr">
        <is>
          <t>YV3T7U520NA207937</t>
        </is>
      </c>
      <c r="FF3144" s="15" t="n">
        <v>551900</v>
      </c>
      <c r="FG3144" s="15" t="inlineStr">
        <is>
          <t>Volvo</t>
        </is>
      </c>
      <c r="FH3144" s="15" t="inlineStr">
        <is>
          <t>B8RLEA</t>
        </is>
      </c>
      <c r="FI3144" s="15" t="inlineStr">
        <is>
          <t>MARCOPOLO</t>
        </is>
      </c>
      <c r="FJ3144" s="15" t="inlineStr">
        <is>
          <t>GRAN VIALE</t>
        </is>
      </c>
      <c r="FK3144" s="15" t="n">
        <v>2022</v>
      </c>
      <c r="FL3144" s="15" t="inlineStr">
        <is>
          <t>C</t>
        </is>
      </c>
      <c r="FM3144" s="15" t="inlineStr">
        <is>
          <t>PIE ANDINO</t>
        </is>
      </c>
      <c r="FN3144" s="15" t="inlineStr">
        <is>
          <t>Pie Andino 31 (Pie Andino 383)</t>
        </is>
      </c>
      <c r="FO3144" s="15" t="inlineStr">
        <is>
          <t>Puente Alto</t>
        </is>
      </c>
      <c r="FP3144" t="inlineStr">
        <is>
          <t>C</t>
        </is>
      </c>
    </row>
    <row r="3145">
      <c r="FC3145" t="inlineStr">
        <is>
          <t>Diccionario 4</t>
        </is>
      </c>
      <c r="FD3145" s="15" t="inlineStr">
        <is>
          <t>1206 / RWTP-95|</t>
        </is>
      </c>
      <c r="FE3145" s="15" t="inlineStr">
        <is>
          <t>YV3T7U523NA207978</t>
        </is>
      </c>
      <c r="FF3145" s="15" t="n">
        <v>553953</v>
      </c>
      <c r="FG3145" s="15" t="inlineStr">
        <is>
          <t>Volvo</t>
        </is>
      </c>
      <c r="FH3145" s="15" t="inlineStr">
        <is>
          <t>B8RLEA</t>
        </is>
      </c>
      <c r="FI3145" s="15" t="inlineStr">
        <is>
          <t>MARCOPOLO</t>
        </is>
      </c>
      <c r="FJ3145" s="15" t="inlineStr">
        <is>
          <t>GRAN VIALE</t>
        </is>
      </c>
      <c r="FK3145" s="15" t="n">
        <v>2022</v>
      </c>
      <c r="FL3145" s="15" t="inlineStr">
        <is>
          <t>C</t>
        </is>
      </c>
      <c r="FM3145" s="15" t="inlineStr">
        <is>
          <t>PIE ANDINO</t>
        </is>
      </c>
      <c r="FN3145" s="15" t="inlineStr">
        <is>
          <t>Pie Andino 31 (Pie Andino 383)</t>
        </is>
      </c>
      <c r="FO3145" s="15" t="inlineStr">
        <is>
          <t>Puente Alto</t>
        </is>
      </c>
      <c r="FP3145" t="inlineStr">
        <is>
          <t>C</t>
        </is>
      </c>
    </row>
    <row r="3146">
      <c r="FC3146" t="inlineStr">
        <is>
          <t>Diccionario 4</t>
        </is>
      </c>
      <c r="FD3146" s="15" t="inlineStr">
        <is>
          <t>1207 / RWTP-96|</t>
        </is>
      </c>
      <c r="FE3146" s="15" t="inlineStr">
        <is>
          <t>YV3T7U525NA207934</t>
        </is>
      </c>
      <c r="FF3146" s="15" t="n">
        <v>551716</v>
      </c>
      <c r="FG3146" s="15" t="inlineStr">
        <is>
          <t>Volvo</t>
        </is>
      </c>
      <c r="FH3146" s="15" t="inlineStr">
        <is>
          <t>B8RLEA</t>
        </is>
      </c>
      <c r="FI3146" s="15" t="inlineStr">
        <is>
          <t>MARCOPOLO</t>
        </is>
      </c>
      <c r="FJ3146" s="15" t="inlineStr">
        <is>
          <t>GRAN VIALE</t>
        </is>
      </c>
      <c r="FK3146" s="15" t="n">
        <v>2022</v>
      </c>
      <c r="FL3146" s="15" t="inlineStr">
        <is>
          <t>C</t>
        </is>
      </c>
      <c r="FM3146" s="15" t="inlineStr">
        <is>
          <t>PIE ANDINO</t>
        </is>
      </c>
      <c r="FN3146" s="15" t="inlineStr">
        <is>
          <t>Pie Andino 31 (Pie Andino 383)</t>
        </is>
      </c>
      <c r="FO3146" s="15" t="inlineStr">
        <is>
          <t>Puente Alto</t>
        </is>
      </c>
      <c r="FP3146" t="inlineStr">
        <is>
          <t>C</t>
        </is>
      </c>
    </row>
    <row r="3147">
      <c r="FC3147" t="inlineStr">
        <is>
          <t>Diccionario 4</t>
        </is>
      </c>
      <c r="FD3147" s="15" t="inlineStr">
        <is>
          <t>1208 / RWTP-97|</t>
        </is>
      </c>
      <c r="FE3147" s="15" t="inlineStr">
        <is>
          <t>YV3T7U523NA207933</t>
        </is>
      </c>
      <c r="FF3147" s="15" t="n">
        <v>551695</v>
      </c>
      <c r="FG3147" s="15" t="inlineStr">
        <is>
          <t>Volvo</t>
        </is>
      </c>
      <c r="FH3147" s="15" t="inlineStr">
        <is>
          <t>B8RLEA</t>
        </is>
      </c>
      <c r="FI3147" s="15" t="inlineStr">
        <is>
          <t>MARCOPOLO</t>
        </is>
      </c>
      <c r="FJ3147" s="15" t="inlineStr">
        <is>
          <t>GRAN VIALE</t>
        </is>
      </c>
      <c r="FK3147" s="15" t="n">
        <v>2022</v>
      </c>
      <c r="FL3147" s="15" t="inlineStr">
        <is>
          <t>C</t>
        </is>
      </c>
      <c r="FM3147" s="15" t="inlineStr">
        <is>
          <t>PIE ANDINO</t>
        </is>
      </c>
      <c r="FN3147" s="15" t="inlineStr">
        <is>
          <t>Pie Andino 31 (Pie Andino 383)</t>
        </is>
      </c>
      <c r="FO3147" s="15" t="inlineStr">
        <is>
          <t>Puente Alto</t>
        </is>
      </c>
      <c r="FP3147" t="inlineStr">
        <is>
          <t>C</t>
        </is>
      </c>
    </row>
    <row r="3148">
      <c r="FC3148" t="inlineStr">
        <is>
          <t>Diccionario 4</t>
        </is>
      </c>
      <c r="FD3148" s="15" t="inlineStr">
        <is>
          <t>1209 / RWTP-98|</t>
        </is>
      </c>
      <c r="FE3148" s="15" t="inlineStr">
        <is>
          <t>YV3T7U521NA207932</t>
        </is>
      </c>
      <c r="FF3148" s="15" t="n">
        <v>551682</v>
      </c>
      <c r="FG3148" s="15" t="inlineStr">
        <is>
          <t>Volvo</t>
        </is>
      </c>
      <c r="FH3148" s="15" t="inlineStr">
        <is>
          <t>B8RLEA</t>
        </is>
      </c>
      <c r="FI3148" s="15" t="inlineStr">
        <is>
          <t>MARCOPOLO</t>
        </is>
      </c>
      <c r="FJ3148" s="15" t="inlineStr">
        <is>
          <t>GRAN VIALE</t>
        </is>
      </c>
      <c r="FK3148" s="15" t="n">
        <v>2022</v>
      </c>
      <c r="FL3148" s="15" t="inlineStr">
        <is>
          <t>C</t>
        </is>
      </c>
      <c r="FM3148" s="15" t="inlineStr">
        <is>
          <t>PIE ANDINO</t>
        </is>
      </c>
      <c r="FN3148" s="15" t="inlineStr">
        <is>
          <t>Pie Andino 31 (Pie Andino 383)</t>
        </is>
      </c>
      <c r="FO3148" s="15" t="inlineStr">
        <is>
          <t>Puente Alto</t>
        </is>
      </c>
      <c r="FP3148" t="inlineStr">
        <is>
          <t>C</t>
        </is>
      </c>
    </row>
    <row r="3149">
      <c r="FC3149" t="inlineStr">
        <is>
          <t>Diccionario 4</t>
        </is>
      </c>
      <c r="FD3149" s="15" t="inlineStr">
        <is>
          <t>1210 / RWTP-99|</t>
        </is>
      </c>
      <c r="FE3149" s="15" t="inlineStr">
        <is>
          <t>YV3T7U52XNA207931</t>
        </is>
      </c>
      <c r="FF3149" s="15" t="n">
        <v>551698</v>
      </c>
      <c r="FG3149" s="15" t="inlineStr">
        <is>
          <t>Volvo</t>
        </is>
      </c>
      <c r="FH3149" s="15" t="inlineStr">
        <is>
          <t>B8RLEA</t>
        </is>
      </c>
      <c r="FI3149" s="15" t="inlineStr">
        <is>
          <t>MARCOPOLO</t>
        </is>
      </c>
      <c r="FJ3149" s="15" t="inlineStr">
        <is>
          <t>GRAN VIALE</t>
        </is>
      </c>
      <c r="FK3149" s="15" t="n">
        <v>2022</v>
      </c>
      <c r="FL3149" s="15" t="inlineStr">
        <is>
          <t>C</t>
        </is>
      </c>
      <c r="FM3149" s="15" t="inlineStr">
        <is>
          <t>PIE ANDINO</t>
        </is>
      </c>
      <c r="FN3149" s="15" t="inlineStr">
        <is>
          <t>Pie Andino 31 (Pie Andino 383)</t>
        </is>
      </c>
      <c r="FO3149" s="15" t="inlineStr">
        <is>
          <t>Puente Alto</t>
        </is>
      </c>
      <c r="FP3149" t="inlineStr">
        <is>
          <t>C</t>
        </is>
      </c>
    </row>
    <row r="3150">
      <c r="FC3150" t="inlineStr">
        <is>
          <t>Diccionario 4</t>
        </is>
      </c>
      <c r="FD3150" s="15" t="inlineStr">
        <is>
          <t>1245 / RWTR-10|</t>
        </is>
      </c>
      <c r="FE3150" s="15" t="inlineStr">
        <is>
          <t>YV3T7U52XNA207928</t>
        </is>
      </c>
      <c r="FF3150" s="15" t="n">
        <v>551645</v>
      </c>
      <c r="FG3150" s="15" t="inlineStr">
        <is>
          <t>Volvo</t>
        </is>
      </c>
      <c r="FH3150" s="15" t="inlineStr">
        <is>
          <t>B8RLEA</t>
        </is>
      </c>
      <c r="FI3150" s="15" t="inlineStr">
        <is>
          <t>MARCOPOLO</t>
        </is>
      </c>
      <c r="FJ3150" s="15" t="inlineStr">
        <is>
          <t>GRAN VIALE</t>
        </is>
      </c>
      <c r="FK3150" s="15" t="n">
        <v>2022</v>
      </c>
      <c r="FL3150" s="15" t="inlineStr">
        <is>
          <t>C</t>
        </is>
      </c>
      <c r="FM3150" s="15" t="inlineStr">
        <is>
          <t>SAN ALFONSO</t>
        </is>
      </c>
      <c r="FN3150" s="15" t="inlineStr">
        <is>
          <t>San Alfonso 2141 (Ramón Subercaseaux 3060)</t>
        </is>
      </c>
      <c r="FO3150" s="15" t="inlineStr">
        <is>
          <t>Estacion Central</t>
        </is>
      </c>
      <c r="FP3150" t="inlineStr">
        <is>
          <t>C</t>
        </is>
      </c>
    </row>
    <row r="3151">
      <c r="FC3151" t="inlineStr">
        <is>
          <t>Diccionario 4</t>
        </is>
      </c>
      <c r="FD3151" s="15" t="inlineStr">
        <is>
          <t>1246 / RWTR-11|</t>
        </is>
      </c>
      <c r="FE3151" s="15" t="inlineStr">
        <is>
          <t>YV3T7U528NA207927</t>
        </is>
      </c>
      <c r="FF3151" s="15" t="n">
        <v>551661</v>
      </c>
      <c r="FG3151" s="15" t="inlineStr">
        <is>
          <t>Volvo</t>
        </is>
      </c>
      <c r="FH3151" s="15" t="inlineStr">
        <is>
          <t>B8RLEA</t>
        </is>
      </c>
      <c r="FI3151" s="15" t="inlineStr">
        <is>
          <t>MARCOPOLO</t>
        </is>
      </c>
      <c r="FJ3151" s="15" t="inlineStr">
        <is>
          <t>GRAN VIALE</t>
        </is>
      </c>
      <c r="FK3151" s="15" t="n">
        <v>2022</v>
      </c>
      <c r="FL3151" s="15" t="inlineStr">
        <is>
          <t>C</t>
        </is>
      </c>
      <c r="FM3151" s="15" t="inlineStr">
        <is>
          <t>SAN ALFONSO</t>
        </is>
      </c>
      <c r="FN3151" s="15" t="inlineStr">
        <is>
          <t>San Alfonso 2141 (Ramón Subercaseaux 3060)</t>
        </is>
      </c>
      <c r="FO3151" s="15" t="inlineStr">
        <is>
          <t>Estacion Central</t>
        </is>
      </c>
      <c r="FP3151" t="inlineStr">
        <is>
          <t>C</t>
        </is>
      </c>
    </row>
    <row r="3152">
      <c r="FC3152" t="inlineStr">
        <is>
          <t>Diccionario 4</t>
        </is>
      </c>
      <c r="FD3152" s="15" t="inlineStr">
        <is>
          <t>1211 / RYJG-90|</t>
        </is>
      </c>
      <c r="FE3152" s="15" t="inlineStr">
        <is>
          <t>YV3T7U521NA208143</t>
        </is>
      </c>
      <c r="FF3152" s="15" t="n">
        <v>554610</v>
      </c>
      <c r="FG3152" s="15" t="inlineStr">
        <is>
          <t>Volvo</t>
        </is>
      </c>
      <c r="FH3152" s="15" t="inlineStr">
        <is>
          <t>B8RLEA</t>
        </is>
      </c>
      <c r="FI3152" s="15" t="inlineStr">
        <is>
          <t>MARCOPOLO</t>
        </is>
      </c>
      <c r="FJ3152" s="15" t="inlineStr">
        <is>
          <t>GRAN VIALE</t>
        </is>
      </c>
      <c r="FK3152" s="15" t="n">
        <v>2022</v>
      </c>
      <c r="FL3152" s="15" t="inlineStr">
        <is>
          <t>C</t>
        </is>
      </c>
      <c r="FM3152" s="15" t="inlineStr">
        <is>
          <t>PIE ANDINO</t>
        </is>
      </c>
      <c r="FN3152" s="15" t="inlineStr">
        <is>
          <t>Pie Andino 31 (Pie Andino 383)</t>
        </is>
      </c>
      <c r="FO3152" s="15" t="inlineStr">
        <is>
          <t>Puente Alto</t>
        </is>
      </c>
      <c r="FP3152" t="inlineStr">
        <is>
          <t>C</t>
        </is>
      </c>
    </row>
    <row r="3153">
      <c r="FC3153" t="inlineStr">
        <is>
          <t>Diccionario 4</t>
        </is>
      </c>
      <c r="FD3153" s="15" t="inlineStr">
        <is>
          <t>1212 / RYJG-91|</t>
        </is>
      </c>
      <c r="FE3153" s="15" t="inlineStr">
        <is>
          <t>YV3T7U523NA208144</t>
        </is>
      </c>
      <c r="FF3153" s="15" t="n">
        <v>554682</v>
      </c>
      <c r="FG3153" s="15" t="inlineStr">
        <is>
          <t>Volvo</t>
        </is>
      </c>
      <c r="FH3153" s="15" t="inlineStr">
        <is>
          <t>B8RLEA</t>
        </is>
      </c>
      <c r="FI3153" s="15" t="inlineStr">
        <is>
          <t>MARCOPOLO</t>
        </is>
      </c>
      <c r="FJ3153" s="15" t="inlineStr">
        <is>
          <t>GRAN VIALE</t>
        </is>
      </c>
      <c r="FK3153" s="15" t="n">
        <v>2022</v>
      </c>
      <c r="FL3153" s="15" t="inlineStr">
        <is>
          <t>C</t>
        </is>
      </c>
      <c r="FM3153" s="15" t="inlineStr">
        <is>
          <t>PIE ANDINO</t>
        </is>
      </c>
      <c r="FN3153" s="15" t="inlineStr">
        <is>
          <t>Pie Andino 31 (Pie Andino 383)</t>
        </is>
      </c>
      <c r="FO3153" s="15" t="inlineStr">
        <is>
          <t>Puente Alto</t>
        </is>
      </c>
      <c r="FP3153" t="inlineStr">
        <is>
          <t>C</t>
        </is>
      </c>
    </row>
    <row r="3154">
      <c r="FC3154" t="inlineStr">
        <is>
          <t>Diccionario 4</t>
        </is>
      </c>
      <c r="FD3154" s="15" t="inlineStr">
        <is>
          <t>1213 / RYJG-92|</t>
        </is>
      </c>
      <c r="FE3154" s="15" t="inlineStr">
        <is>
          <t>YV3T7U522NA208152</t>
        </is>
      </c>
      <c r="FF3154" s="15" t="n">
        <v>554694</v>
      </c>
      <c r="FG3154" s="15" t="inlineStr">
        <is>
          <t>Volvo</t>
        </is>
      </c>
      <c r="FH3154" s="15" t="inlineStr">
        <is>
          <t>B8RLEA</t>
        </is>
      </c>
      <c r="FI3154" s="15" t="inlineStr">
        <is>
          <t>MARCOPOLO</t>
        </is>
      </c>
      <c r="FJ3154" s="15" t="inlineStr">
        <is>
          <t>GRAN VIALE</t>
        </is>
      </c>
      <c r="FK3154" s="15" t="n">
        <v>2022</v>
      </c>
      <c r="FL3154" s="15" t="inlineStr">
        <is>
          <t>C</t>
        </is>
      </c>
      <c r="FM3154" s="15" t="inlineStr">
        <is>
          <t>SAN ALFONSO</t>
        </is>
      </c>
      <c r="FN3154" s="15" t="inlineStr">
        <is>
          <t>San Alfonso 2141 (Ramón Subercaseaux 3060)</t>
        </is>
      </c>
      <c r="FO3154" s="15" t="inlineStr">
        <is>
          <t>Estacion Central</t>
        </is>
      </c>
      <c r="FP3154" t="inlineStr">
        <is>
          <t>C</t>
        </is>
      </c>
    </row>
    <row r="3155">
      <c r="FC3155" t="inlineStr">
        <is>
          <t>Diccionario 4</t>
        </is>
      </c>
      <c r="FD3155" s="15" t="inlineStr">
        <is>
          <t>1214 / RYJG-93|</t>
        </is>
      </c>
      <c r="FE3155" s="15" t="inlineStr">
        <is>
          <t>YV3T7U527NA208163</t>
        </is>
      </c>
      <c r="FF3155" s="15" t="n">
        <v>555374</v>
      </c>
      <c r="FG3155" s="15" t="inlineStr">
        <is>
          <t>Volvo</t>
        </is>
      </c>
      <c r="FH3155" s="15" t="inlineStr">
        <is>
          <t>B8RLEA</t>
        </is>
      </c>
      <c r="FI3155" s="15" t="inlineStr">
        <is>
          <t>MARCOPOLO</t>
        </is>
      </c>
      <c r="FJ3155" s="15" t="inlineStr">
        <is>
          <t>GRAN VIALE</t>
        </is>
      </c>
      <c r="FK3155" s="15" t="n">
        <v>2022</v>
      </c>
      <c r="FL3155" s="15" t="inlineStr">
        <is>
          <t>C</t>
        </is>
      </c>
      <c r="FM3155" s="15" t="inlineStr">
        <is>
          <t>SAN ALFONSO</t>
        </is>
      </c>
      <c r="FN3155" s="15" t="inlineStr">
        <is>
          <t>San Alfonso 2141 (Ramón Subercaseaux 3060)</t>
        </is>
      </c>
      <c r="FO3155" s="15" t="inlineStr">
        <is>
          <t>Estacion Central</t>
        </is>
      </c>
      <c r="FP3155" t="inlineStr">
        <is>
          <t>C</t>
        </is>
      </c>
    </row>
    <row r="3156">
      <c r="FC3156" t="inlineStr">
        <is>
          <t>Diccionario 4</t>
        </is>
      </c>
      <c r="FD3156" s="15" t="inlineStr">
        <is>
          <t>1215 / RYJG-94|</t>
        </is>
      </c>
      <c r="FE3156" s="15" t="inlineStr">
        <is>
          <t>YV3T7U528NA208169</t>
        </is>
      </c>
      <c r="FF3156" s="15" t="n">
        <v>555138</v>
      </c>
      <c r="FG3156" s="15" t="inlineStr">
        <is>
          <t>Volvo</t>
        </is>
      </c>
      <c r="FH3156" s="15" t="inlineStr">
        <is>
          <t>B8RLEA</t>
        </is>
      </c>
      <c r="FI3156" s="15" t="inlineStr">
        <is>
          <t>MARCOPOLO</t>
        </is>
      </c>
      <c r="FJ3156" s="15" t="inlineStr">
        <is>
          <t>GRAN VIALE</t>
        </is>
      </c>
      <c r="FK3156" s="15" t="n">
        <v>2022</v>
      </c>
      <c r="FL3156" s="15" t="inlineStr">
        <is>
          <t>C</t>
        </is>
      </c>
      <c r="FM3156" s="15" t="inlineStr">
        <is>
          <t>SAN ALFONSO</t>
        </is>
      </c>
      <c r="FN3156" s="15" t="inlineStr">
        <is>
          <t>San Alfonso 2141 (Ramón Subercaseaux 3060)</t>
        </is>
      </c>
      <c r="FO3156" s="15" t="inlineStr">
        <is>
          <t>Estacion Central</t>
        </is>
      </c>
      <c r="FP3156" t="inlineStr">
        <is>
          <t>C</t>
        </is>
      </c>
    </row>
    <row r="3157">
      <c r="FC3157" t="inlineStr">
        <is>
          <t>Diccionario 4</t>
        </is>
      </c>
      <c r="FD3157" s="15" t="inlineStr">
        <is>
          <t>1216 / RYJG-95|</t>
        </is>
      </c>
      <c r="FE3157" s="15" t="inlineStr">
        <is>
          <t>YV3T7U525NA208193</t>
        </is>
      </c>
      <c r="FF3157" s="15" t="n">
        <v>555050</v>
      </c>
      <c r="FG3157" s="15" t="inlineStr">
        <is>
          <t>Volvo</t>
        </is>
      </c>
      <c r="FH3157" s="15" t="inlineStr">
        <is>
          <t>B8RLEA</t>
        </is>
      </c>
      <c r="FI3157" s="15" t="inlineStr">
        <is>
          <t>MARCOPOLO</t>
        </is>
      </c>
      <c r="FJ3157" s="15" t="inlineStr">
        <is>
          <t>GRAN VIALE</t>
        </is>
      </c>
      <c r="FK3157" s="15" t="n">
        <v>2022</v>
      </c>
      <c r="FL3157" s="15" t="inlineStr">
        <is>
          <t>C</t>
        </is>
      </c>
      <c r="FM3157" s="15" t="inlineStr">
        <is>
          <t>SAN ALFONSO</t>
        </is>
      </c>
      <c r="FN3157" s="15" t="inlineStr">
        <is>
          <t>San Alfonso 2141 (Ramón Subercaseaux 3060)</t>
        </is>
      </c>
      <c r="FO3157" s="15" t="inlineStr">
        <is>
          <t>Estacion Central</t>
        </is>
      </c>
      <c r="FP3157" t="inlineStr">
        <is>
          <t>C</t>
        </is>
      </c>
    </row>
    <row r="3158">
      <c r="FC3158" t="inlineStr">
        <is>
          <t>Diccionario 4</t>
        </is>
      </c>
      <c r="FD3158" s="15" t="inlineStr">
        <is>
          <t>1217 / SXKV-87|</t>
        </is>
      </c>
      <c r="FE3158" s="15" t="inlineStr">
        <is>
          <t>YV3T7U529RA212110</t>
        </is>
      </c>
      <c r="FF3158" s="15" t="n">
        <v>593684</v>
      </c>
      <c r="FG3158" s="15" t="inlineStr">
        <is>
          <t>Volvo</t>
        </is>
      </c>
      <c r="FH3158" s="15" t="inlineStr">
        <is>
          <t>B8RLEA</t>
        </is>
      </c>
      <c r="FI3158" s="15" t="inlineStr">
        <is>
          <t>MARCOPOLO</t>
        </is>
      </c>
      <c r="FJ3158" s="15" t="inlineStr">
        <is>
          <t>GRAN VIALE</t>
        </is>
      </c>
      <c r="FK3158" s="15" t="n">
        <v>2023</v>
      </c>
      <c r="FL3158" s="15" t="inlineStr">
        <is>
          <t>C</t>
        </is>
      </c>
      <c r="FM3158" s="15" t="inlineStr">
        <is>
          <t>SAN ALFONSO</t>
        </is>
      </c>
      <c r="FN3158" s="15" t="inlineStr">
        <is>
          <t>San Alfonso 2141 (Ramón Subercaseaux 3060)</t>
        </is>
      </c>
      <c r="FO3158" s="15" t="inlineStr">
        <is>
          <t>Estacion Central</t>
        </is>
      </c>
      <c r="FP3158" t="inlineStr">
        <is>
          <t>C</t>
        </is>
      </c>
    </row>
    <row r="3159">
      <c r="FC3159" t="inlineStr">
        <is>
          <t>Diccionario 4</t>
        </is>
      </c>
      <c r="FD3159" s="15" t="inlineStr">
        <is>
          <t>1218 / SXKV-88|</t>
        </is>
      </c>
      <c r="FE3159" s="15" t="inlineStr">
        <is>
          <t>YV3T7U522RA212109</t>
        </is>
      </c>
      <c r="FF3159" s="15" t="n">
        <v>593717</v>
      </c>
      <c r="FG3159" s="15" t="inlineStr">
        <is>
          <t>Volvo</t>
        </is>
      </c>
      <c r="FH3159" s="15" t="inlineStr">
        <is>
          <t>B8RLEA</t>
        </is>
      </c>
      <c r="FI3159" s="15" t="inlineStr">
        <is>
          <t>MARCOPOLO</t>
        </is>
      </c>
      <c r="FJ3159" s="15" t="inlineStr">
        <is>
          <t>GRAN VIALE</t>
        </is>
      </c>
      <c r="FK3159" s="15" t="n">
        <v>2023</v>
      </c>
      <c r="FL3159" s="15" t="inlineStr">
        <is>
          <t>C</t>
        </is>
      </c>
      <c r="FM3159" s="15" t="inlineStr">
        <is>
          <t>SAN ALFONSO</t>
        </is>
      </c>
      <c r="FN3159" s="15" t="inlineStr">
        <is>
          <t>San Alfonso 2141 (Ramón Subercaseaux 3060)</t>
        </is>
      </c>
      <c r="FO3159" s="15" t="inlineStr">
        <is>
          <t>Estacion Central</t>
        </is>
      </c>
      <c r="FP3159" t="inlineStr">
        <is>
          <t>C</t>
        </is>
      </c>
    </row>
    <row r="3160">
      <c r="FC3160" t="inlineStr">
        <is>
          <t>Diccionario 4</t>
        </is>
      </c>
      <c r="FD3160" s="15" t="inlineStr">
        <is>
          <t>1247 / SXKV-89|</t>
        </is>
      </c>
      <c r="FE3160" s="15" t="inlineStr">
        <is>
          <t>YV3T7U521RA211954</t>
        </is>
      </c>
      <c r="FF3160" s="15" t="n">
        <v>592427</v>
      </c>
      <c r="FG3160" s="15" t="inlineStr">
        <is>
          <t>Volvo</t>
        </is>
      </c>
      <c r="FH3160" s="15" t="inlineStr">
        <is>
          <t>B8RLEA</t>
        </is>
      </c>
      <c r="FI3160" s="15" t="inlineStr">
        <is>
          <t>MARCOPOLO</t>
        </is>
      </c>
      <c r="FJ3160" s="15" t="inlineStr">
        <is>
          <t>GRAN VIALE</t>
        </is>
      </c>
      <c r="FK3160" s="15" t="n">
        <v>2023</v>
      </c>
      <c r="FL3160" s="15" t="inlineStr">
        <is>
          <t>C</t>
        </is>
      </c>
      <c r="FM3160" s="15" t="inlineStr">
        <is>
          <t>SAN ALFONSO</t>
        </is>
      </c>
      <c r="FN3160" s="15" t="inlineStr">
        <is>
          <t>San Alfonso 2141 (Ramón Subercaseaux 3060)</t>
        </is>
      </c>
      <c r="FO3160" s="15" t="inlineStr">
        <is>
          <t>Estacion Central</t>
        </is>
      </c>
      <c r="FP3160" t="inlineStr">
        <is>
          <t>C</t>
        </is>
      </c>
    </row>
    <row r="3161">
      <c r="FC3161" t="inlineStr">
        <is>
          <t>Diccionario 4</t>
        </is>
      </c>
      <c r="FD3161" s="15" t="inlineStr">
        <is>
          <t>1248 / SXKV-90|</t>
        </is>
      </c>
      <c r="FE3161" s="15" t="inlineStr">
        <is>
          <t>YV3T7U527RA211988</t>
        </is>
      </c>
      <c r="FF3161" s="15" t="n">
        <v>593907</v>
      </c>
      <c r="FG3161" s="15" t="inlineStr">
        <is>
          <t>Volvo</t>
        </is>
      </c>
      <c r="FH3161" s="15" t="inlineStr">
        <is>
          <t>B8RLEA</t>
        </is>
      </c>
      <c r="FI3161" s="15" t="inlineStr">
        <is>
          <t>MARCOPOLO</t>
        </is>
      </c>
      <c r="FJ3161" s="15" t="inlineStr">
        <is>
          <t>GRAN VIALE</t>
        </is>
      </c>
      <c r="FK3161" s="15" t="n">
        <v>2023</v>
      </c>
      <c r="FL3161" s="15" t="inlineStr">
        <is>
          <t>C</t>
        </is>
      </c>
      <c r="FM3161" s="15" t="inlineStr">
        <is>
          <t>SAN ALFONSO</t>
        </is>
      </c>
      <c r="FN3161" s="15" t="inlineStr">
        <is>
          <t>San Alfonso 2141 (Ramón Subercaseaux 3060)</t>
        </is>
      </c>
      <c r="FO3161" s="15" t="inlineStr">
        <is>
          <t>Estacion Central</t>
        </is>
      </c>
      <c r="FP3161" t="inlineStr">
        <is>
          <t>C</t>
        </is>
      </c>
    </row>
    <row r="3162">
      <c r="FC3162" t="inlineStr">
        <is>
          <t>Diccionario 4</t>
        </is>
      </c>
      <c r="FD3162" s="15" t="inlineStr">
        <is>
          <t>1219 / SXKV-91|</t>
        </is>
      </c>
      <c r="FE3162" s="15" t="inlineStr">
        <is>
          <t>YV3T7U529RA211989</t>
        </is>
      </c>
      <c r="FF3162" s="15" t="n">
        <v>593887</v>
      </c>
      <c r="FG3162" s="15" t="inlineStr">
        <is>
          <t>Volvo</t>
        </is>
      </c>
      <c r="FH3162" s="15" t="inlineStr">
        <is>
          <t>B8RLEA</t>
        </is>
      </c>
      <c r="FI3162" s="15" t="inlineStr">
        <is>
          <t>MARCOPOLO</t>
        </is>
      </c>
      <c r="FJ3162" s="15" t="inlineStr">
        <is>
          <t>GRAN VIALE</t>
        </is>
      </c>
      <c r="FK3162" s="15" t="n">
        <v>2023</v>
      </c>
      <c r="FL3162" s="15" t="inlineStr">
        <is>
          <t>C</t>
        </is>
      </c>
      <c r="FM3162" s="15" t="inlineStr">
        <is>
          <t>SAN ALFONSO</t>
        </is>
      </c>
      <c r="FN3162" s="15" t="inlineStr">
        <is>
          <t>San Alfonso 2141 (Ramón Subercaseaux 3060)</t>
        </is>
      </c>
      <c r="FO3162" s="15" t="inlineStr">
        <is>
          <t>Estacion Central</t>
        </is>
      </c>
      <c r="FP3162" t="inlineStr">
        <is>
          <t>C</t>
        </is>
      </c>
    </row>
    <row r="3163">
      <c r="FC3163" t="inlineStr">
        <is>
          <t>Diccionario 4</t>
        </is>
      </c>
      <c r="FD3163" s="15" t="inlineStr">
        <is>
          <t>1220 / SXKV-92|</t>
        </is>
      </c>
      <c r="FE3163" s="15" t="inlineStr">
        <is>
          <t>YV3T7U525RA211990</t>
        </is>
      </c>
      <c r="FF3163" s="15" t="n">
        <v>593899</v>
      </c>
      <c r="FG3163" s="15" t="inlineStr">
        <is>
          <t>Volvo</t>
        </is>
      </c>
      <c r="FH3163" s="15" t="inlineStr">
        <is>
          <t>B8RLEA</t>
        </is>
      </c>
      <c r="FI3163" s="15" t="inlineStr">
        <is>
          <t>MARCOPOLO</t>
        </is>
      </c>
      <c r="FJ3163" s="15" t="inlineStr">
        <is>
          <t>GRAN VIALE</t>
        </is>
      </c>
      <c r="FK3163" s="15" t="n">
        <v>2023</v>
      </c>
      <c r="FL3163" s="15" t="inlineStr">
        <is>
          <t>C</t>
        </is>
      </c>
      <c r="FM3163" s="15" t="inlineStr">
        <is>
          <t>SAN ALFONSO</t>
        </is>
      </c>
      <c r="FN3163" s="15" t="inlineStr">
        <is>
          <t>San Alfonso 2141 (Ramón Subercaseaux 3060)</t>
        </is>
      </c>
      <c r="FO3163" s="15" t="inlineStr">
        <is>
          <t>Estacion Central</t>
        </is>
      </c>
      <c r="FP3163" t="inlineStr">
        <is>
          <t>C</t>
        </is>
      </c>
    </row>
    <row r="3164">
      <c r="FC3164" t="inlineStr">
        <is>
          <t>Diccionario 4</t>
        </is>
      </c>
      <c r="FD3164" s="15" t="inlineStr">
        <is>
          <t>1221 / SXKV-93|</t>
        </is>
      </c>
      <c r="FE3164" s="15" t="inlineStr">
        <is>
          <t>YV3T7U527RA211991</t>
        </is>
      </c>
      <c r="FF3164" s="15" t="n">
        <v>593420</v>
      </c>
      <c r="FG3164" s="15" t="inlineStr">
        <is>
          <t>Volvo</t>
        </is>
      </c>
      <c r="FH3164" s="15" t="inlineStr">
        <is>
          <t>B8RLEA</t>
        </is>
      </c>
      <c r="FI3164" s="15" t="inlineStr">
        <is>
          <t>MARCOPOLO</t>
        </is>
      </c>
      <c r="FJ3164" s="15" t="inlineStr">
        <is>
          <t>GRAN VIALE</t>
        </is>
      </c>
      <c r="FK3164" s="15" t="n">
        <v>2023</v>
      </c>
      <c r="FL3164" s="15" t="inlineStr">
        <is>
          <t>C</t>
        </is>
      </c>
      <c r="FM3164" s="15" t="inlineStr">
        <is>
          <t>SAN ALFONSO</t>
        </is>
      </c>
      <c r="FN3164" s="15" t="inlineStr">
        <is>
          <t>San Alfonso 2141 (Ramón Subercaseaux 3060)</t>
        </is>
      </c>
      <c r="FO3164" s="15" t="inlineStr">
        <is>
          <t>Estacion Central</t>
        </is>
      </c>
      <c r="FP3164" t="inlineStr">
        <is>
          <t>C</t>
        </is>
      </c>
    </row>
    <row r="3165">
      <c r="FC3165" t="inlineStr">
        <is>
          <t>Diccionario 4</t>
        </is>
      </c>
      <c r="FD3165" s="15" t="inlineStr">
        <is>
          <t>1222 / SXKV-94|</t>
        </is>
      </c>
      <c r="FE3165" s="15" t="inlineStr">
        <is>
          <t>YV3T7U529RA211992</t>
        </is>
      </c>
      <c r="FF3165" s="15" t="n">
        <v>593506</v>
      </c>
      <c r="FG3165" s="15" t="inlineStr">
        <is>
          <t>Volvo</t>
        </is>
      </c>
      <c r="FH3165" s="15" t="inlineStr">
        <is>
          <t>B8RLEA</t>
        </is>
      </c>
      <c r="FI3165" s="15" t="inlineStr">
        <is>
          <t>MARCOPOLO</t>
        </is>
      </c>
      <c r="FJ3165" s="15" t="inlineStr">
        <is>
          <t>GRAN VIALE</t>
        </is>
      </c>
      <c r="FK3165" s="15" t="n">
        <v>2023</v>
      </c>
      <c r="FL3165" s="15" t="inlineStr">
        <is>
          <t>C</t>
        </is>
      </c>
      <c r="FM3165" s="15" t="inlineStr">
        <is>
          <t>SAN ALFONSO</t>
        </is>
      </c>
      <c r="FN3165" s="15" t="inlineStr">
        <is>
          <t>San Alfonso 2141 (Ramón Subercaseaux 3060)</t>
        </is>
      </c>
      <c r="FO3165" s="15" t="inlineStr">
        <is>
          <t>Estacion Central</t>
        </is>
      </c>
      <c r="FP3165" t="inlineStr">
        <is>
          <t>C</t>
        </is>
      </c>
    </row>
    <row r="3166">
      <c r="FC3166" t="inlineStr">
        <is>
          <t>Diccionario 4</t>
        </is>
      </c>
      <c r="FD3166" s="15" t="inlineStr">
        <is>
          <t>1223 / SXKV-95|</t>
        </is>
      </c>
      <c r="FE3166" s="15" t="inlineStr">
        <is>
          <t>YV3T7U520RA211993</t>
        </is>
      </c>
      <c r="FF3166" s="15" t="n">
        <v>593418</v>
      </c>
      <c r="FG3166" s="15" t="inlineStr">
        <is>
          <t>Volvo</t>
        </is>
      </c>
      <c r="FH3166" s="15" t="inlineStr">
        <is>
          <t>B8RLEA</t>
        </is>
      </c>
      <c r="FI3166" s="15" t="inlineStr">
        <is>
          <t>MARCOPOLO</t>
        </is>
      </c>
      <c r="FJ3166" s="15" t="inlineStr">
        <is>
          <t>GRAN VIALE</t>
        </is>
      </c>
      <c r="FK3166" s="15" t="n">
        <v>2023</v>
      </c>
      <c r="FL3166" s="15" t="inlineStr">
        <is>
          <t>C</t>
        </is>
      </c>
      <c r="FM3166" s="15" t="inlineStr">
        <is>
          <t>SAN ALFONSO</t>
        </is>
      </c>
      <c r="FN3166" s="15" t="inlineStr">
        <is>
          <t>San Alfonso 2141 (Ramón Subercaseaux 3060)</t>
        </is>
      </c>
      <c r="FO3166" s="15" t="inlineStr">
        <is>
          <t>Estacion Central</t>
        </is>
      </c>
      <c r="FP3166" t="inlineStr">
        <is>
          <t>C</t>
        </is>
      </c>
    </row>
    <row r="3167">
      <c r="FC3167" t="inlineStr">
        <is>
          <t>Diccionario 4</t>
        </is>
      </c>
      <c r="FD3167" s="15" t="inlineStr">
        <is>
          <t>1224 / SXKV-96|</t>
        </is>
      </c>
      <c r="FE3167" s="15" t="inlineStr">
        <is>
          <t>YV3T7U529RA212107</t>
        </is>
      </c>
      <c r="FF3167" s="15" t="n">
        <v>593145</v>
      </c>
      <c r="FG3167" s="15" t="inlineStr">
        <is>
          <t>Volvo</t>
        </is>
      </c>
      <c r="FH3167" s="15" t="inlineStr">
        <is>
          <t>B8RLEA</t>
        </is>
      </c>
      <c r="FI3167" s="15" t="inlineStr">
        <is>
          <t>MARCOPOLO</t>
        </is>
      </c>
      <c r="FJ3167" s="15" t="inlineStr">
        <is>
          <t>GRAN VIALE</t>
        </is>
      </c>
      <c r="FK3167" s="15" t="n">
        <v>2023</v>
      </c>
      <c r="FL3167" s="15" t="inlineStr">
        <is>
          <t>C</t>
        </is>
      </c>
      <c r="FM3167" s="15" t="inlineStr">
        <is>
          <t>SAN ALFONSO</t>
        </is>
      </c>
      <c r="FN3167" s="15" t="inlineStr">
        <is>
          <t>San Alfonso 2141 (Ramón Subercaseaux 3060)</t>
        </is>
      </c>
      <c r="FO3167" s="15" t="inlineStr">
        <is>
          <t>Estacion Central</t>
        </is>
      </c>
      <c r="FP3167" t="inlineStr">
        <is>
          <t>C</t>
        </is>
      </c>
    </row>
    <row r="3168">
      <c r="FC3168" t="inlineStr">
        <is>
          <t>Diccionario 4</t>
        </is>
      </c>
      <c r="FD3168" s="15" t="inlineStr">
        <is>
          <t>1251 / VFPB-75|</t>
        </is>
      </c>
      <c r="FE3168" s="15" t="inlineStr">
        <is>
          <t>MDN35025020059</t>
        </is>
      </c>
      <c r="FF3168" s="15" t="inlineStr">
        <is>
          <t>LDYECS312S0043986</t>
        </is>
      </c>
      <c r="FG3168" s="15" t="inlineStr">
        <is>
          <t>Zhong Tong</t>
        </is>
      </c>
      <c r="FH3168" s="15" t="inlineStr">
        <is>
          <t>Lck6122evg</t>
        </is>
      </c>
      <c r="FI3168" s="15" t="inlineStr">
        <is>
          <t>ZHONGTONG</t>
        </is>
      </c>
      <c r="FJ3168" s="15" t="inlineStr">
        <is>
          <t>LCK6122EVG</t>
        </is>
      </c>
      <c r="FK3168" s="15" t="n">
        <v>2025</v>
      </c>
      <c r="FL3168" s="15" t="inlineStr">
        <is>
          <t>B</t>
        </is>
      </c>
      <c r="FM3168" s="15" t="inlineStr">
        <is>
          <t>CERRILLOS</t>
        </is>
      </c>
      <c r="FN3168" s="15" t="inlineStr">
        <is>
          <t>Calle Uno 7371</t>
        </is>
      </c>
      <c r="FO3168" s="15" t="inlineStr">
        <is>
          <t>Cerrillos</t>
        </is>
      </c>
      <c r="FP3168" t="inlineStr">
        <is>
          <t>B</t>
        </is>
      </c>
    </row>
    <row r="3169">
      <c r="FC3169" t="inlineStr">
        <is>
          <t>Diccionario 4</t>
        </is>
      </c>
      <c r="FD3169" s="15" t="inlineStr">
        <is>
          <t>1252 / VFPB-85|</t>
        </is>
      </c>
      <c r="FE3169" s="15" t="inlineStr">
        <is>
          <t>MDN35025020068</t>
        </is>
      </c>
      <c r="FF3169" s="15" t="inlineStr">
        <is>
          <t>LDYECS318S0044009</t>
        </is>
      </c>
      <c r="FG3169" s="15" t="inlineStr">
        <is>
          <t>Zhong Tong</t>
        </is>
      </c>
      <c r="FH3169" s="15" t="inlineStr">
        <is>
          <t>Lck6122evg</t>
        </is>
      </c>
      <c r="FI3169" s="15" t="inlineStr">
        <is>
          <t>ZHONGTONG</t>
        </is>
      </c>
      <c r="FJ3169" s="15" t="inlineStr">
        <is>
          <t>LCK6122EVG</t>
        </is>
      </c>
      <c r="FK3169" s="15" t="n">
        <v>2025</v>
      </c>
      <c r="FL3169" s="15" t="inlineStr">
        <is>
          <t>B</t>
        </is>
      </c>
      <c r="FM3169" s="15" t="inlineStr">
        <is>
          <t>PIE ANDINO</t>
        </is>
      </c>
      <c r="FN3169" s="15" t="inlineStr">
        <is>
          <t>Pie Andino 31 (Pie Andino 383)</t>
        </is>
      </c>
      <c r="FO3169" s="15" t="inlineStr">
        <is>
          <t>Puente Alto</t>
        </is>
      </c>
      <c r="FP3169" t="inlineStr">
        <is>
          <t>B</t>
        </is>
      </c>
    </row>
    <row r="3170">
      <c r="FC3170" t="inlineStr">
        <is>
          <t>Diccionario 4</t>
        </is>
      </c>
      <c r="FD3170" s="15" t="inlineStr">
        <is>
          <t>1253 / VFPC-59|</t>
        </is>
      </c>
      <c r="FE3170" s="15" t="inlineStr">
        <is>
          <t>MDN35025020104</t>
        </is>
      </c>
      <c r="FF3170" s="15" t="inlineStr">
        <is>
          <t>LDYECS315S0044016</t>
        </is>
      </c>
      <c r="FG3170" s="15" t="inlineStr">
        <is>
          <t>Zhong Tong</t>
        </is>
      </c>
      <c r="FH3170" s="15" t="inlineStr">
        <is>
          <t>Lck6122evg</t>
        </is>
      </c>
      <c r="FI3170" s="15" t="inlineStr">
        <is>
          <t>ZHONGTONG</t>
        </is>
      </c>
      <c r="FJ3170" s="15" t="inlineStr">
        <is>
          <t>LCK6122EVG</t>
        </is>
      </c>
      <c r="FK3170" s="15" t="n">
        <v>2025</v>
      </c>
      <c r="FL3170" s="15" t="inlineStr">
        <is>
          <t>B</t>
        </is>
      </c>
      <c r="FM3170" s="15" t="inlineStr">
        <is>
          <t>SAN ALFONSO</t>
        </is>
      </c>
      <c r="FN3170" s="15" t="inlineStr">
        <is>
          <t>San Alfonso 2141 (Ramón Subercaseaux 3060)</t>
        </is>
      </c>
      <c r="FO3170" s="15" t="inlineStr">
        <is>
          <t>Estacion Central</t>
        </is>
      </c>
      <c r="FP3170" t="inlineStr">
        <is>
          <t>B</t>
        </is>
      </c>
    </row>
    <row r="3171">
      <c r="FC3171" t="inlineStr">
        <is>
          <t>Diccionario 4</t>
        </is>
      </c>
      <c r="FD3171" s="15" t="inlineStr">
        <is>
          <t>1254 / VFPC-66|</t>
        </is>
      </c>
      <c r="FE3171" s="15" t="inlineStr">
        <is>
          <t>MDN35025020124</t>
        </is>
      </c>
      <c r="FF3171" s="15" t="inlineStr">
        <is>
          <t>LDYECS311S0044014</t>
        </is>
      </c>
      <c r="FG3171" s="15" t="inlineStr">
        <is>
          <t>Zhong Tong</t>
        </is>
      </c>
      <c r="FH3171" s="15" t="inlineStr">
        <is>
          <t>Lck6122evg</t>
        </is>
      </c>
      <c r="FI3171" s="15" t="inlineStr">
        <is>
          <t>ZHONGTONG</t>
        </is>
      </c>
      <c r="FJ3171" s="15" t="inlineStr">
        <is>
          <t>LCK6122EVG</t>
        </is>
      </c>
      <c r="FK3171" s="15" t="n">
        <v>2025</v>
      </c>
      <c r="FL3171" s="15" t="inlineStr">
        <is>
          <t>B</t>
        </is>
      </c>
      <c r="FM3171" s="15" t="inlineStr">
        <is>
          <t>SAN ALFONSO</t>
        </is>
      </c>
      <c r="FN3171" s="15" t="inlineStr">
        <is>
          <t>San Alfonso 2141 (Ramón Subercaseaux 3060)</t>
        </is>
      </c>
      <c r="FO3171" s="15" t="inlineStr">
        <is>
          <t>Estacion Central</t>
        </is>
      </c>
      <c r="FP3171" t="inlineStr">
        <is>
          <t>B</t>
        </is>
      </c>
    </row>
    <row r="3172">
      <c r="FC3172" t="inlineStr">
        <is>
          <t>Diccionario 4</t>
        </is>
      </c>
      <c r="FD3172" s="15" t="inlineStr">
        <is>
          <t>1255 / VFPC-69|</t>
        </is>
      </c>
      <c r="FE3172" s="15" t="inlineStr">
        <is>
          <t>MDN35025020027</t>
        </is>
      </c>
      <c r="FF3172" s="15" t="inlineStr">
        <is>
          <t>LDYECS317S0044003</t>
        </is>
      </c>
      <c r="FG3172" s="15" t="inlineStr">
        <is>
          <t>Zhong Tong</t>
        </is>
      </c>
      <c r="FH3172" s="15" t="inlineStr">
        <is>
          <t>Lck6122evg</t>
        </is>
      </c>
      <c r="FI3172" s="15" t="inlineStr">
        <is>
          <t>ZHONGTONG</t>
        </is>
      </c>
      <c r="FJ3172" s="15" t="inlineStr">
        <is>
          <t>LCK6122EVG</t>
        </is>
      </c>
      <c r="FK3172" s="15" t="n">
        <v>2025</v>
      </c>
      <c r="FL3172" s="15" t="inlineStr">
        <is>
          <t>B</t>
        </is>
      </c>
      <c r="FM3172" s="15" t="inlineStr">
        <is>
          <t>PIE ANDINO</t>
        </is>
      </c>
      <c r="FN3172" s="15" t="inlineStr">
        <is>
          <t>Pie Andino 31 (Pie Andino 383)</t>
        </is>
      </c>
      <c r="FO3172" s="15" t="inlineStr">
        <is>
          <t>Puente Alto</t>
        </is>
      </c>
      <c r="FP3172" t="inlineStr">
        <is>
          <t>B</t>
        </is>
      </c>
    </row>
    <row r="3173">
      <c r="FC3173" t="inlineStr">
        <is>
          <t>Diccionario 4</t>
        </is>
      </c>
      <c r="FD3173" s="15" t="inlineStr">
        <is>
          <t>1256 / VFPD-10|</t>
        </is>
      </c>
      <c r="FE3173" s="15" t="inlineStr">
        <is>
          <t>MDN35025020086</t>
        </is>
      </c>
      <c r="FF3173" s="15" t="inlineStr">
        <is>
          <t>LDYECS31XS0043976</t>
        </is>
      </c>
      <c r="FG3173" s="15" t="inlineStr">
        <is>
          <t>Zhong Tong</t>
        </is>
      </c>
      <c r="FH3173" s="15" t="inlineStr">
        <is>
          <t>Lck6122evg</t>
        </is>
      </c>
      <c r="FI3173" s="15" t="inlineStr">
        <is>
          <t>ZHONGTONG</t>
        </is>
      </c>
      <c r="FJ3173" s="15" t="inlineStr">
        <is>
          <t>LCK6122EVG</t>
        </is>
      </c>
      <c r="FK3173" s="15" t="n">
        <v>2025</v>
      </c>
      <c r="FL3173" s="15" t="inlineStr">
        <is>
          <t>B</t>
        </is>
      </c>
      <c r="FM3173" s="15" t="inlineStr">
        <is>
          <t>CERRILLOS</t>
        </is>
      </c>
      <c r="FN3173" s="15" t="inlineStr">
        <is>
          <t>Calle Uno 7371</t>
        </is>
      </c>
      <c r="FO3173" s="15" t="inlineStr">
        <is>
          <t>Cerrillos</t>
        </is>
      </c>
      <c r="FP3173" t="inlineStr">
        <is>
          <t>B</t>
        </is>
      </c>
    </row>
    <row r="3174">
      <c r="FC3174" t="inlineStr">
        <is>
          <t>Diccionario 4</t>
        </is>
      </c>
      <c r="FD3174" s="15" t="inlineStr">
        <is>
          <t>1257 / VFPD-41|</t>
        </is>
      </c>
      <c r="FE3174" s="15" t="inlineStr">
        <is>
          <t>MDN35025020119</t>
        </is>
      </c>
      <c r="FF3174" s="15" t="inlineStr">
        <is>
          <t>LDYECS313S0043981</t>
        </is>
      </c>
      <c r="FG3174" s="15" t="inlineStr">
        <is>
          <t>Zhong Tong</t>
        </is>
      </c>
      <c r="FH3174" s="15" t="inlineStr">
        <is>
          <t>Lck6122evg</t>
        </is>
      </c>
      <c r="FI3174" s="15" t="inlineStr">
        <is>
          <t>ZHONGTONG</t>
        </is>
      </c>
      <c r="FJ3174" s="15" t="inlineStr">
        <is>
          <t>LCK6122EVG</t>
        </is>
      </c>
      <c r="FK3174" s="15" t="n">
        <v>2025</v>
      </c>
      <c r="FL3174" s="15" t="inlineStr">
        <is>
          <t>B</t>
        </is>
      </c>
      <c r="FM3174" s="15" t="inlineStr">
        <is>
          <t>PIE ANDINO</t>
        </is>
      </c>
      <c r="FN3174" s="15" t="inlineStr">
        <is>
          <t>Pie Andino 31 (Pie Andino 383)</t>
        </is>
      </c>
      <c r="FO3174" s="15" t="inlineStr">
        <is>
          <t>Puente Alto</t>
        </is>
      </c>
      <c r="FP3174" t="inlineStr">
        <is>
          <t>B</t>
        </is>
      </c>
    </row>
    <row r="3175">
      <c r="FC3175" t="inlineStr">
        <is>
          <t>Diccionario 4</t>
        </is>
      </c>
      <c r="FD3175" s="15" t="inlineStr">
        <is>
          <t>1258 / VFPD-51|</t>
        </is>
      </c>
      <c r="FE3175" s="15" t="inlineStr">
        <is>
          <t>MDN35025020092</t>
        </is>
      </c>
      <c r="FF3175" s="15" t="inlineStr">
        <is>
          <t>LDYECS319S0043998</t>
        </is>
      </c>
      <c r="FG3175" s="15" t="inlineStr">
        <is>
          <t>Zhong Tong</t>
        </is>
      </c>
      <c r="FH3175" s="15" t="inlineStr">
        <is>
          <t>Lck6122evg</t>
        </is>
      </c>
      <c r="FI3175" s="15" t="inlineStr">
        <is>
          <t>ZHONGTONG</t>
        </is>
      </c>
      <c r="FJ3175" s="15" t="inlineStr">
        <is>
          <t>LCK6122EVG</t>
        </is>
      </c>
      <c r="FK3175" s="15" t="n">
        <v>2025</v>
      </c>
      <c r="FL3175" s="15" t="inlineStr">
        <is>
          <t>B</t>
        </is>
      </c>
      <c r="FM3175" s="15" t="inlineStr">
        <is>
          <t>CERRILLOS</t>
        </is>
      </c>
      <c r="FN3175" s="15" t="inlineStr">
        <is>
          <t>Calle Uno 7371</t>
        </is>
      </c>
      <c r="FO3175" s="15" t="inlineStr">
        <is>
          <t>Cerrillos</t>
        </is>
      </c>
      <c r="FP3175" t="inlineStr">
        <is>
          <t>B</t>
        </is>
      </c>
    </row>
    <row r="3176">
      <c r="FC3176" t="inlineStr">
        <is>
          <t>Diccionario 4</t>
        </is>
      </c>
      <c r="FD3176" s="15" t="inlineStr">
        <is>
          <t>1259 / VFPD-61|</t>
        </is>
      </c>
      <c r="FE3176" s="15" t="inlineStr">
        <is>
          <t>MDN35025020153</t>
        </is>
      </c>
      <c r="FF3176" s="15" t="inlineStr">
        <is>
          <t>LDYECS310S0043999</t>
        </is>
      </c>
      <c r="FG3176" s="15" t="inlineStr">
        <is>
          <t>Zhong Tong</t>
        </is>
      </c>
      <c r="FH3176" s="15" t="inlineStr">
        <is>
          <t>Lck6122evg</t>
        </is>
      </c>
      <c r="FI3176" s="15" t="inlineStr">
        <is>
          <t>ZHONGTONG</t>
        </is>
      </c>
      <c r="FJ3176" s="15" t="inlineStr">
        <is>
          <t>LCK6122EVG</t>
        </is>
      </c>
      <c r="FK3176" s="15" t="n">
        <v>2025</v>
      </c>
      <c r="FL3176" s="15" t="inlineStr">
        <is>
          <t>B</t>
        </is>
      </c>
      <c r="FM3176" s="15" t="inlineStr">
        <is>
          <t>CERRILLOS</t>
        </is>
      </c>
      <c r="FN3176" s="15" t="inlineStr">
        <is>
          <t>Calle Uno 7371</t>
        </is>
      </c>
      <c r="FO3176" s="15" t="inlineStr">
        <is>
          <t>Cerrillos</t>
        </is>
      </c>
      <c r="FP3176" t="inlineStr">
        <is>
          <t>B</t>
        </is>
      </c>
    </row>
    <row r="3177">
      <c r="FC3177" t="inlineStr">
        <is>
          <t>Diccionario 4</t>
        </is>
      </c>
      <c r="FD3177" s="15" t="inlineStr">
        <is>
          <t>1260 / VFPD-71|</t>
        </is>
      </c>
      <c r="FE3177" s="15" t="inlineStr">
        <is>
          <t>MDN35025010097</t>
        </is>
      </c>
      <c r="FF3177" s="15" t="inlineStr">
        <is>
          <t>LDYECS318S0044110</t>
        </is>
      </c>
      <c r="FG3177" s="15" t="inlineStr">
        <is>
          <t>Zhong Tong</t>
        </is>
      </c>
      <c r="FH3177" s="15" t="inlineStr">
        <is>
          <t>Lck6122evg</t>
        </is>
      </c>
      <c r="FI3177" s="15" t="inlineStr">
        <is>
          <t>ZHONGTONG</t>
        </is>
      </c>
      <c r="FJ3177" s="15" t="inlineStr">
        <is>
          <t>LCK6122EVG</t>
        </is>
      </c>
      <c r="FK3177" s="15" t="n">
        <v>2025</v>
      </c>
      <c r="FL3177" s="15" t="inlineStr">
        <is>
          <t>B</t>
        </is>
      </c>
      <c r="FM3177" s="15" t="inlineStr">
        <is>
          <t>CERRILLOS</t>
        </is>
      </c>
      <c r="FN3177" s="15" t="inlineStr">
        <is>
          <t>Calle Uno 7371</t>
        </is>
      </c>
      <c r="FO3177" s="15" t="inlineStr">
        <is>
          <t>Cerrillos</t>
        </is>
      </c>
      <c r="FP3177" t="inlineStr">
        <is>
          <t>B</t>
        </is>
      </c>
    </row>
    <row r="3178">
      <c r="FC3178" t="inlineStr">
        <is>
          <t>Diccionario 4</t>
        </is>
      </c>
      <c r="FD3178" s="15" t="inlineStr">
        <is>
          <t>1261 / VFPD-81|</t>
        </is>
      </c>
      <c r="FE3178" s="15" t="inlineStr">
        <is>
          <t>MDN35025020026</t>
        </is>
      </c>
      <c r="FF3178" s="15" t="inlineStr">
        <is>
          <t>LDYECS31XS0043993</t>
        </is>
      </c>
      <c r="FG3178" s="15" t="inlineStr">
        <is>
          <t>Zhong Tong</t>
        </is>
      </c>
      <c r="FH3178" s="15" t="inlineStr">
        <is>
          <t>Lck6122evg</t>
        </is>
      </c>
      <c r="FI3178" s="15" t="inlineStr">
        <is>
          <t>ZHONGTONG</t>
        </is>
      </c>
      <c r="FJ3178" s="15" t="inlineStr">
        <is>
          <t>LCK6122EVG</t>
        </is>
      </c>
      <c r="FK3178" s="15" t="n">
        <v>2025</v>
      </c>
      <c r="FL3178" s="15" t="inlineStr">
        <is>
          <t>B</t>
        </is>
      </c>
      <c r="FM3178" s="15" t="inlineStr">
        <is>
          <t>CERRILLOS</t>
        </is>
      </c>
      <c r="FN3178" s="15" t="inlineStr">
        <is>
          <t>Calle Uno 7371</t>
        </is>
      </c>
      <c r="FO3178" s="15" t="inlineStr">
        <is>
          <t>Cerrillos</t>
        </is>
      </c>
      <c r="FP3178" t="inlineStr">
        <is>
          <t>B</t>
        </is>
      </c>
    </row>
    <row r="3179">
      <c r="FC3179" t="inlineStr">
        <is>
          <t>Diccionario 4</t>
        </is>
      </c>
      <c r="FD3179" s="15" t="inlineStr">
        <is>
          <t>1262 / VFPF-21|</t>
        </is>
      </c>
      <c r="FE3179" s="15" t="inlineStr">
        <is>
          <t>MDN35025020048</t>
        </is>
      </c>
      <c r="FF3179" s="15" t="inlineStr">
        <is>
          <t>LDYECS316S0043988</t>
        </is>
      </c>
      <c r="FG3179" s="15" t="inlineStr">
        <is>
          <t>Zhong Tong</t>
        </is>
      </c>
      <c r="FH3179" s="15" t="inlineStr">
        <is>
          <t>Lck6122evg</t>
        </is>
      </c>
      <c r="FI3179" s="15" t="inlineStr">
        <is>
          <t>ZHONGTONG</t>
        </is>
      </c>
      <c r="FJ3179" s="15" t="inlineStr">
        <is>
          <t>LCK6122EVG</t>
        </is>
      </c>
      <c r="FK3179" s="15" t="n">
        <v>2025</v>
      </c>
      <c r="FL3179" s="15" t="inlineStr">
        <is>
          <t>B</t>
        </is>
      </c>
      <c r="FM3179" s="15" t="inlineStr">
        <is>
          <t>PIE ANDINO</t>
        </is>
      </c>
      <c r="FN3179" s="15" t="inlineStr">
        <is>
          <t>Pie Andino 31 (Pie Andino 383)</t>
        </is>
      </c>
      <c r="FO3179" s="15" t="inlineStr">
        <is>
          <t>Puente Alto</t>
        </is>
      </c>
      <c r="FP3179" t="inlineStr">
        <is>
          <t>B</t>
        </is>
      </c>
    </row>
    <row r="3180">
      <c r="FC3180" t="inlineStr">
        <is>
          <t>Diccionario 4</t>
        </is>
      </c>
      <c r="FD3180" s="15" t="inlineStr">
        <is>
          <t>1263 / VFPF-31|</t>
        </is>
      </c>
      <c r="FE3180" s="15" t="inlineStr">
        <is>
          <t>MDN35025020053</t>
        </is>
      </c>
      <c r="FF3180" s="15" t="inlineStr">
        <is>
          <t>LDYECS310S0043985</t>
        </is>
      </c>
      <c r="FG3180" s="15" t="inlineStr">
        <is>
          <t>Zhong Tong</t>
        </is>
      </c>
      <c r="FH3180" s="15" t="inlineStr">
        <is>
          <t>Lck6122evg</t>
        </is>
      </c>
      <c r="FI3180" s="15" t="inlineStr">
        <is>
          <t>ZHONGTONG</t>
        </is>
      </c>
      <c r="FJ3180" s="15" t="inlineStr">
        <is>
          <t>LCK6122EVG</t>
        </is>
      </c>
      <c r="FK3180" s="15" t="n">
        <v>2025</v>
      </c>
      <c r="FL3180" s="15" t="inlineStr">
        <is>
          <t>B</t>
        </is>
      </c>
      <c r="FM3180" s="15" t="inlineStr">
        <is>
          <t>CERRILLOS</t>
        </is>
      </c>
      <c r="FN3180" s="15" t="inlineStr">
        <is>
          <t>Calle Uno 7371</t>
        </is>
      </c>
      <c r="FO3180" s="15" t="inlineStr">
        <is>
          <t>Cerrillos</t>
        </is>
      </c>
      <c r="FP3180" t="inlineStr">
        <is>
          <t>B</t>
        </is>
      </c>
    </row>
    <row r="3181">
      <c r="FC3181" t="inlineStr">
        <is>
          <t>Diccionario 4</t>
        </is>
      </c>
      <c r="FD3181" s="15" t="inlineStr">
        <is>
          <t>1264 / VFPF-51|</t>
        </is>
      </c>
      <c r="FE3181" s="15" t="inlineStr">
        <is>
          <t>MDN35025020080</t>
        </is>
      </c>
      <c r="FF3181" s="15" t="inlineStr">
        <is>
          <t>LDYECS314S0043990</t>
        </is>
      </c>
      <c r="FG3181" s="15" t="inlineStr">
        <is>
          <t>Zhong Tong</t>
        </is>
      </c>
      <c r="FH3181" s="15" t="inlineStr">
        <is>
          <t>Lck6122evg</t>
        </is>
      </c>
      <c r="FI3181" s="15" t="inlineStr">
        <is>
          <t>ZHONGTONG</t>
        </is>
      </c>
      <c r="FJ3181" s="15" t="inlineStr">
        <is>
          <t>LCK6122EVG</t>
        </is>
      </c>
      <c r="FK3181" s="15" t="n">
        <v>2025</v>
      </c>
      <c r="FL3181" s="15" t="inlineStr">
        <is>
          <t>B</t>
        </is>
      </c>
      <c r="FM3181" s="15" t="inlineStr">
        <is>
          <t>CERRILLOS</t>
        </is>
      </c>
      <c r="FN3181" s="15" t="inlineStr">
        <is>
          <t>Calle Uno 7371</t>
        </is>
      </c>
      <c r="FO3181" s="15" t="inlineStr">
        <is>
          <t>Cerrillos</t>
        </is>
      </c>
      <c r="FP3181" t="inlineStr">
        <is>
          <t>B</t>
        </is>
      </c>
    </row>
    <row r="3182">
      <c r="FC3182" t="inlineStr">
        <is>
          <t>Diccionario 4</t>
        </is>
      </c>
      <c r="FD3182" s="15" t="inlineStr">
        <is>
          <t>1265 / VFPF-54|</t>
        </is>
      </c>
      <c r="FE3182" s="15" t="inlineStr">
        <is>
          <t>MDN35025020046</t>
        </is>
      </c>
      <c r="FF3182" s="15" t="inlineStr">
        <is>
          <t>LDYECS311S0043994</t>
        </is>
      </c>
      <c r="FG3182" s="15" t="inlineStr">
        <is>
          <t>Zhong Tong</t>
        </is>
      </c>
      <c r="FH3182" s="15" t="inlineStr">
        <is>
          <t>Lck6122evg</t>
        </is>
      </c>
      <c r="FI3182" s="15" t="inlineStr">
        <is>
          <t>ZHONGTONG</t>
        </is>
      </c>
      <c r="FJ3182" s="15" t="inlineStr">
        <is>
          <t>LCK6122EVG</t>
        </is>
      </c>
      <c r="FK3182" s="15" t="n">
        <v>2025</v>
      </c>
      <c r="FL3182" s="15" t="inlineStr">
        <is>
          <t>B</t>
        </is>
      </c>
      <c r="FM3182" s="15" t="inlineStr">
        <is>
          <t>PIE ANDINO</t>
        </is>
      </c>
      <c r="FN3182" s="15" t="inlineStr">
        <is>
          <t>Pie Andino 31 (Pie Andino 383)</t>
        </is>
      </c>
      <c r="FO3182" s="15" t="inlineStr">
        <is>
          <t>Puente Alto</t>
        </is>
      </c>
      <c r="FP3182" t="inlineStr">
        <is>
          <t>B</t>
        </is>
      </c>
    </row>
    <row r="3183">
      <c r="FC3183" t="inlineStr">
        <is>
          <t>Diccionario 4</t>
        </is>
      </c>
      <c r="FD3183" s="15" t="inlineStr">
        <is>
          <t>1266 / VFPF-61|</t>
        </is>
      </c>
      <c r="FE3183" s="15" t="inlineStr">
        <is>
          <t>MDN35025020061</t>
        </is>
      </c>
      <c r="FF3183" s="15" t="inlineStr">
        <is>
          <t>LDYECS318S0043992</t>
        </is>
      </c>
      <c r="FG3183" s="15" t="inlineStr">
        <is>
          <t>Zhong Tong</t>
        </is>
      </c>
      <c r="FH3183" s="15" t="inlineStr">
        <is>
          <t>Lck6122evg</t>
        </is>
      </c>
      <c r="FI3183" s="15" t="inlineStr">
        <is>
          <t>ZHONGTONG</t>
        </is>
      </c>
      <c r="FJ3183" s="15" t="inlineStr">
        <is>
          <t>LCK6122EVG</t>
        </is>
      </c>
      <c r="FK3183" s="15" t="n">
        <v>2025</v>
      </c>
      <c r="FL3183" s="15" t="inlineStr">
        <is>
          <t>B</t>
        </is>
      </c>
      <c r="FM3183" s="15" t="inlineStr">
        <is>
          <t>SAN ALFONSO</t>
        </is>
      </c>
      <c r="FN3183" s="15" t="inlineStr">
        <is>
          <t>San Alfonso 2141 (Ramón Subercaseaux 3060)</t>
        </is>
      </c>
      <c r="FO3183" s="15" t="inlineStr">
        <is>
          <t>Estacion Central</t>
        </is>
      </c>
      <c r="FP3183" t="inlineStr">
        <is>
          <t>B</t>
        </is>
      </c>
    </row>
    <row r="3184">
      <c r="FC3184" t="inlineStr">
        <is>
          <t>Diccionario 4</t>
        </is>
      </c>
      <c r="FD3184" s="15" t="inlineStr">
        <is>
          <t>1267 / VFPG-48|</t>
        </is>
      </c>
      <c r="FE3184" s="15" t="inlineStr">
        <is>
          <t>MDN35025020044</t>
        </is>
      </c>
      <c r="FF3184" s="15" t="inlineStr">
        <is>
          <t>LDYECS31XS0044058</t>
        </is>
      </c>
      <c r="FG3184" s="15" t="inlineStr">
        <is>
          <t>Zhong Tong</t>
        </is>
      </c>
      <c r="FH3184" s="15" t="inlineStr">
        <is>
          <t>Lck6122evg</t>
        </is>
      </c>
      <c r="FI3184" s="15" t="inlineStr">
        <is>
          <t>ZHONGTONG</t>
        </is>
      </c>
      <c r="FJ3184" s="15" t="inlineStr">
        <is>
          <t>LCK6122EVG</t>
        </is>
      </c>
      <c r="FK3184" s="15" t="n">
        <v>2025</v>
      </c>
      <c r="FL3184" s="15" t="inlineStr">
        <is>
          <t>B</t>
        </is>
      </c>
      <c r="FM3184" s="15" t="inlineStr">
        <is>
          <t>CERRILLOS</t>
        </is>
      </c>
      <c r="FN3184" s="15" t="inlineStr">
        <is>
          <t>Calle Uno 7371</t>
        </is>
      </c>
      <c r="FO3184" s="15" t="inlineStr">
        <is>
          <t>Cerrillos</t>
        </is>
      </c>
      <c r="FP3184" t="inlineStr">
        <is>
          <t>B</t>
        </is>
      </c>
    </row>
    <row r="3185">
      <c r="FC3185" t="inlineStr">
        <is>
          <t>Diccionario 4</t>
        </is>
      </c>
      <c r="FD3185" s="15" t="inlineStr">
        <is>
          <t>1268 / VFPG-58|</t>
        </is>
      </c>
      <c r="FE3185" s="15" t="inlineStr">
        <is>
          <t>MDN35025020113</t>
        </is>
      </c>
      <c r="FF3185" s="15" t="inlineStr">
        <is>
          <t>LDYECS318S0044012</t>
        </is>
      </c>
      <c r="FG3185" s="15" t="inlineStr">
        <is>
          <t>Zhong Tong</t>
        </is>
      </c>
      <c r="FH3185" s="15" t="inlineStr">
        <is>
          <t>Lck6122evg</t>
        </is>
      </c>
      <c r="FI3185" s="15" t="inlineStr">
        <is>
          <t>ZHONGTONG</t>
        </is>
      </c>
      <c r="FJ3185" s="15" t="inlineStr">
        <is>
          <t>LCK6122EVG</t>
        </is>
      </c>
      <c r="FK3185" s="15" t="n">
        <v>2025</v>
      </c>
      <c r="FL3185" s="15" t="inlineStr">
        <is>
          <t>B</t>
        </is>
      </c>
      <c r="FM3185" s="15" t="inlineStr">
        <is>
          <t>CERRILLOS</t>
        </is>
      </c>
      <c r="FN3185" s="15" t="inlineStr">
        <is>
          <t>Calle Uno 7371</t>
        </is>
      </c>
      <c r="FO3185" s="15" t="inlineStr">
        <is>
          <t>Cerrillos</t>
        </is>
      </c>
      <c r="FP3185" t="inlineStr">
        <is>
          <t>B</t>
        </is>
      </c>
    </row>
    <row r="3186">
      <c r="FC3186" t="inlineStr">
        <is>
          <t>Diccionario 4</t>
        </is>
      </c>
      <c r="FD3186" s="15" t="inlineStr">
        <is>
          <t>1269 / VFPG-91|</t>
        </is>
      </c>
      <c r="FE3186" s="15" t="inlineStr">
        <is>
          <t>MDN35025020051</t>
        </is>
      </c>
      <c r="FF3186" s="15" t="inlineStr">
        <is>
          <t>LDYECS310S0044019</t>
        </is>
      </c>
      <c r="FG3186" s="15" t="inlineStr">
        <is>
          <t>Zhong Tong</t>
        </is>
      </c>
      <c r="FH3186" s="15" t="inlineStr">
        <is>
          <t>Lck6122evg</t>
        </is>
      </c>
      <c r="FI3186" s="15" t="inlineStr">
        <is>
          <t>ZHONGTONG</t>
        </is>
      </c>
      <c r="FJ3186" s="15" t="inlineStr">
        <is>
          <t>LCK6122EVG</t>
        </is>
      </c>
      <c r="FK3186" s="15" t="n">
        <v>2025</v>
      </c>
      <c r="FL3186" s="15" t="inlineStr">
        <is>
          <t>B</t>
        </is>
      </c>
      <c r="FM3186" s="15" t="inlineStr">
        <is>
          <t>PIE ANDINO</t>
        </is>
      </c>
      <c r="FN3186" s="15" t="inlineStr">
        <is>
          <t>Pie Andino 31 (Pie Andino 383)</t>
        </is>
      </c>
      <c r="FO3186" s="15" t="inlineStr">
        <is>
          <t>Puente Alto</t>
        </is>
      </c>
      <c r="FP3186" t="inlineStr">
        <is>
          <t>B</t>
        </is>
      </c>
    </row>
    <row r="3187">
      <c r="FC3187" t="inlineStr">
        <is>
          <t>Diccionario 4</t>
        </is>
      </c>
      <c r="FD3187" s="15" t="inlineStr">
        <is>
          <t>1270 / VFPH-21|</t>
        </is>
      </c>
      <c r="FE3187" s="15" t="inlineStr">
        <is>
          <t>MDN35025020130</t>
        </is>
      </c>
      <c r="FF3187" s="15" t="inlineStr">
        <is>
          <t>LDYECS319S0044021</t>
        </is>
      </c>
      <c r="FG3187" s="15" t="inlineStr">
        <is>
          <t>Zhong Tong</t>
        </is>
      </c>
      <c r="FH3187" s="15" t="inlineStr">
        <is>
          <t>Lck6122evg</t>
        </is>
      </c>
      <c r="FI3187" s="15" t="inlineStr">
        <is>
          <t>ZHONGTONG</t>
        </is>
      </c>
      <c r="FJ3187" s="15" t="inlineStr">
        <is>
          <t>LCK6122EVG</t>
        </is>
      </c>
      <c r="FK3187" s="15" t="n">
        <v>2025</v>
      </c>
      <c r="FL3187" s="15" t="inlineStr">
        <is>
          <t>B</t>
        </is>
      </c>
      <c r="FM3187" s="15" t="inlineStr">
        <is>
          <t>PIE ANDINO</t>
        </is>
      </c>
      <c r="FN3187" s="15" t="inlineStr">
        <is>
          <t>Pie Andino 31 (Pie Andino 383)</t>
        </is>
      </c>
      <c r="FO3187" s="15" t="inlineStr">
        <is>
          <t>Puente Alto</t>
        </is>
      </c>
      <c r="FP3187" t="inlineStr">
        <is>
          <t>B</t>
        </is>
      </c>
    </row>
    <row r="3188">
      <c r="FC3188" t="inlineStr">
        <is>
          <t>Diccionario 4</t>
        </is>
      </c>
      <c r="FD3188" s="15" t="inlineStr">
        <is>
          <t>1271 / VFPH-35|</t>
        </is>
      </c>
      <c r="FE3188" s="15" t="inlineStr">
        <is>
          <t>MDN35025020025</t>
        </is>
      </c>
      <c r="FF3188" s="15" t="inlineStr">
        <is>
          <t>LDYECS313S0044001</t>
        </is>
      </c>
      <c r="FG3188" s="15" t="inlineStr">
        <is>
          <t>Zhong Tong</t>
        </is>
      </c>
      <c r="FH3188" s="15" t="inlineStr">
        <is>
          <t>Lck6122evg</t>
        </is>
      </c>
      <c r="FI3188" s="15" t="inlineStr">
        <is>
          <t>ZHONGTONG</t>
        </is>
      </c>
      <c r="FJ3188" s="15" t="inlineStr">
        <is>
          <t>LCK6122EVG</t>
        </is>
      </c>
      <c r="FK3188" s="15" t="n">
        <v>2025</v>
      </c>
      <c r="FL3188" s="15" t="inlineStr">
        <is>
          <t>B</t>
        </is>
      </c>
      <c r="FM3188" s="15" t="inlineStr">
        <is>
          <t>CERRILLOS</t>
        </is>
      </c>
      <c r="FN3188" s="15" t="inlineStr">
        <is>
          <t>Calle Uno 7371</t>
        </is>
      </c>
      <c r="FO3188" s="15" t="inlineStr">
        <is>
          <t>Cerrillos</t>
        </is>
      </c>
      <c r="FP3188" t="inlineStr">
        <is>
          <t>B</t>
        </is>
      </c>
    </row>
    <row r="3189">
      <c r="FC3189" t="inlineStr">
        <is>
          <t>Diccionario 4</t>
        </is>
      </c>
      <c r="FD3189" s="15" t="inlineStr">
        <is>
          <t>1272 / VFPH-51|</t>
        </is>
      </c>
      <c r="FE3189" s="15" t="inlineStr">
        <is>
          <t>MDN35025020054</t>
        </is>
      </c>
      <c r="FF3189" s="15" t="inlineStr">
        <is>
          <t>LDYECS311S0044000</t>
        </is>
      </c>
      <c r="FG3189" s="15" t="inlineStr">
        <is>
          <t>Zhong Tong</t>
        </is>
      </c>
      <c r="FH3189" s="15" t="inlineStr">
        <is>
          <t>Lck6122evg</t>
        </is>
      </c>
      <c r="FI3189" s="15" t="inlineStr">
        <is>
          <t>ZHONGTONG</t>
        </is>
      </c>
      <c r="FJ3189" s="15" t="inlineStr">
        <is>
          <t>LCK6122EVG</t>
        </is>
      </c>
      <c r="FK3189" s="15" t="n">
        <v>2025</v>
      </c>
      <c r="FL3189" s="15" t="inlineStr">
        <is>
          <t>B</t>
        </is>
      </c>
      <c r="FM3189" s="15" t="inlineStr">
        <is>
          <t>PIE ANDINO</t>
        </is>
      </c>
      <c r="FN3189" s="15" t="inlineStr">
        <is>
          <t>Pie Andino 31 (Pie Andino 383)</t>
        </is>
      </c>
      <c r="FO3189" s="15" t="inlineStr">
        <is>
          <t>Puente Alto</t>
        </is>
      </c>
      <c r="FP3189" t="inlineStr">
        <is>
          <t>B</t>
        </is>
      </c>
    </row>
    <row r="3190">
      <c r="FC3190" t="inlineStr">
        <is>
          <t>Diccionario 4</t>
        </is>
      </c>
      <c r="FD3190" s="15" t="inlineStr">
        <is>
          <t>1273 / VFPH-66|</t>
        </is>
      </c>
      <c r="FE3190" s="15" t="inlineStr">
        <is>
          <t>MDN35025020154</t>
        </is>
      </c>
      <c r="FF3190" s="15" t="inlineStr">
        <is>
          <t>LDYECS315S0044002</t>
        </is>
      </c>
      <c r="FG3190" s="15" t="inlineStr">
        <is>
          <t>Zhong Tong</t>
        </is>
      </c>
      <c r="FH3190" s="15" t="inlineStr">
        <is>
          <t>Lck6122evg</t>
        </is>
      </c>
      <c r="FI3190" s="15" t="inlineStr">
        <is>
          <t>ZHONGTONG</t>
        </is>
      </c>
      <c r="FJ3190" s="15" t="inlineStr">
        <is>
          <t>LCK6122EVG</t>
        </is>
      </c>
      <c r="FK3190" s="15" t="n">
        <v>2025</v>
      </c>
      <c r="FL3190" s="15" t="inlineStr">
        <is>
          <t>B</t>
        </is>
      </c>
      <c r="FM3190" s="15" t="inlineStr">
        <is>
          <t>CERRILLOS</t>
        </is>
      </c>
      <c r="FN3190" s="15" t="inlineStr">
        <is>
          <t>Calle Uno 7371</t>
        </is>
      </c>
      <c r="FO3190" s="15" t="inlineStr">
        <is>
          <t>Cerrillos</t>
        </is>
      </c>
      <c r="FP3190" t="inlineStr">
        <is>
          <t>B</t>
        </is>
      </c>
    </row>
    <row r="3191">
      <c r="FC3191" t="inlineStr">
        <is>
          <t>Diccionario 4</t>
        </is>
      </c>
      <c r="FD3191" s="15" t="inlineStr">
        <is>
          <t>1274 / VFPH-79|</t>
        </is>
      </c>
      <c r="FE3191" s="15" t="inlineStr">
        <is>
          <t>MDN35025020121</t>
        </is>
      </c>
      <c r="FF3191" s="15" t="inlineStr">
        <is>
          <t>LDYECS314S0044007</t>
        </is>
      </c>
      <c r="FG3191" s="15" t="inlineStr">
        <is>
          <t>Zhong Tong</t>
        </is>
      </c>
      <c r="FH3191" s="15" t="inlineStr">
        <is>
          <t>Lck6122evg</t>
        </is>
      </c>
      <c r="FI3191" s="15" t="inlineStr">
        <is>
          <t>ZHONGTONG</t>
        </is>
      </c>
      <c r="FJ3191" s="15" t="inlineStr">
        <is>
          <t>LCK6122EVG</t>
        </is>
      </c>
      <c r="FK3191" s="15" t="n">
        <v>2025</v>
      </c>
      <c r="FL3191" s="15" t="inlineStr">
        <is>
          <t>B</t>
        </is>
      </c>
      <c r="FM3191" s="15" t="inlineStr">
        <is>
          <t>PIE ANDINO</t>
        </is>
      </c>
      <c r="FN3191" s="15" t="inlineStr">
        <is>
          <t>Pie Andino 31 (Pie Andino 383)</t>
        </is>
      </c>
      <c r="FO3191" s="15" t="inlineStr">
        <is>
          <t>Puente Alto</t>
        </is>
      </c>
      <c r="FP3191" t="inlineStr">
        <is>
          <t>B</t>
        </is>
      </c>
    </row>
    <row r="3192">
      <c r="FC3192" t="inlineStr">
        <is>
          <t>Diccionario 4</t>
        </is>
      </c>
      <c r="FD3192" s="15" t="inlineStr">
        <is>
          <t>1275 / VFPH-81|</t>
        </is>
      </c>
      <c r="FE3192" s="15" t="inlineStr">
        <is>
          <t>MDN35025020096</t>
        </is>
      </c>
      <c r="FF3192" s="15" t="inlineStr">
        <is>
          <t>LDYECS318S0044060</t>
        </is>
      </c>
      <c r="FG3192" s="15" t="inlineStr">
        <is>
          <t>Zhong Tong</t>
        </is>
      </c>
      <c r="FH3192" s="15" t="inlineStr">
        <is>
          <t>Lck6122evg</t>
        </is>
      </c>
      <c r="FI3192" s="15" t="inlineStr">
        <is>
          <t>ZHONGTONG</t>
        </is>
      </c>
      <c r="FJ3192" s="15" t="inlineStr">
        <is>
          <t>LCK6122EVG</t>
        </is>
      </c>
      <c r="FK3192" s="15" t="n">
        <v>2025</v>
      </c>
      <c r="FL3192" s="15" t="inlineStr">
        <is>
          <t>B</t>
        </is>
      </c>
      <c r="FM3192" s="15" t="inlineStr">
        <is>
          <t>PIE ANDINO</t>
        </is>
      </c>
      <c r="FN3192" s="15" t="inlineStr">
        <is>
          <t>Pie Andino 31 (Pie Andino 383)</t>
        </is>
      </c>
      <c r="FO3192" s="15" t="inlineStr">
        <is>
          <t>Puente Alto</t>
        </is>
      </c>
      <c r="FP3192" t="inlineStr">
        <is>
          <t>B</t>
        </is>
      </c>
    </row>
    <row r="3193">
      <c r="FC3193" t="inlineStr">
        <is>
          <t>Diccionario 4</t>
        </is>
      </c>
      <c r="FD3193" s="15" t="inlineStr">
        <is>
          <t>1276 / VFPH-91|</t>
        </is>
      </c>
      <c r="FE3193" s="15" t="inlineStr">
        <is>
          <t>MDN35025020045</t>
        </is>
      </c>
      <c r="FF3193" s="15" t="inlineStr">
        <is>
          <t>LDYECS312S0044023</t>
        </is>
      </c>
      <c r="FG3193" s="15" t="inlineStr">
        <is>
          <t>Zhong Tong</t>
        </is>
      </c>
      <c r="FH3193" s="15" t="inlineStr">
        <is>
          <t>Lck6122evg</t>
        </is>
      </c>
      <c r="FI3193" s="15" t="inlineStr">
        <is>
          <t>ZHONGTONG</t>
        </is>
      </c>
      <c r="FJ3193" s="15" t="inlineStr">
        <is>
          <t>LCK6122EVG</t>
        </is>
      </c>
      <c r="FK3193" s="15" t="n">
        <v>2025</v>
      </c>
      <c r="FL3193" s="15" t="inlineStr">
        <is>
          <t>B</t>
        </is>
      </c>
      <c r="FM3193" s="15" t="inlineStr">
        <is>
          <t>PIE ANDINO</t>
        </is>
      </c>
      <c r="FN3193" s="15" t="inlineStr">
        <is>
          <t>Pie Andino 31 (Pie Andino 383)</t>
        </is>
      </c>
      <c r="FO3193" s="15" t="inlineStr">
        <is>
          <t>Puente Alto</t>
        </is>
      </c>
      <c r="FP3193" t="inlineStr">
        <is>
          <t>B</t>
        </is>
      </c>
    </row>
    <row r="3194">
      <c r="FC3194" t="inlineStr">
        <is>
          <t>Diccionario 4</t>
        </is>
      </c>
      <c r="FD3194" s="15" t="inlineStr">
        <is>
          <t>1277 / VFPH-98|</t>
        </is>
      </c>
      <c r="FE3194" s="15" t="inlineStr">
        <is>
          <t>MDN35025020128</t>
        </is>
      </c>
      <c r="FF3194" s="15" t="inlineStr">
        <is>
          <t>LDYECS31XS0044030</t>
        </is>
      </c>
      <c r="FG3194" s="15" t="inlineStr">
        <is>
          <t>Zhong Tong</t>
        </is>
      </c>
      <c r="FH3194" s="15" t="inlineStr">
        <is>
          <t>Lck6122evg</t>
        </is>
      </c>
      <c r="FI3194" s="15" t="inlineStr">
        <is>
          <t>ZHONGTONG</t>
        </is>
      </c>
      <c r="FJ3194" s="15" t="inlineStr">
        <is>
          <t>LCK6122EVG</t>
        </is>
      </c>
      <c r="FK3194" s="15" t="n">
        <v>2025</v>
      </c>
      <c r="FL3194" s="15" t="inlineStr">
        <is>
          <t>B</t>
        </is>
      </c>
      <c r="FM3194" s="15" t="inlineStr">
        <is>
          <t>SAN ALFONSO</t>
        </is>
      </c>
      <c r="FN3194" s="15" t="inlineStr">
        <is>
          <t>San Alfonso 2141 (Ramón Subercaseaux 3060)</t>
        </is>
      </c>
      <c r="FO3194" s="15" t="inlineStr">
        <is>
          <t>Estacion Central</t>
        </is>
      </c>
      <c r="FP3194" t="inlineStr">
        <is>
          <t>B</t>
        </is>
      </c>
    </row>
    <row r="3195">
      <c r="FC3195" t="inlineStr">
        <is>
          <t>Diccionario 4</t>
        </is>
      </c>
      <c r="FD3195" s="15" t="inlineStr">
        <is>
          <t>1278 / VFPJ-11|</t>
        </is>
      </c>
      <c r="FE3195" s="15" t="inlineStr">
        <is>
          <t>MDN35025010019</t>
        </is>
      </c>
      <c r="FF3195" s="15" t="inlineStr">
        <is>
          <t>LDYECS319S0044116</t>
        </is>
      </c>
      <c r="FG3195" s="15" t="inlineStr">
        <is>
          <t>Zhong Tong</t>
        </is>
      </c>
      <c r="FH3195" s="15" t="inlineStr">
        <is>
          <t>Lck6122evg</t>
        </is>
      </c>
      <c r="FI3195" s="15" t="inlineStr">
        <is>
          <t>ZHONGTONG</t>
        </is>
      </c>
      <c r="FJ3195" s="15" t="inlineStr">
        <is>
          <t>LCK6122EVG</t>
        </is>
      </c>
      <c r="FK3195" s="15" t="n">
        <v>2025</v>
      </c>
      <c r="FL3195" s="15" t="inlineStr">
        <is>
          <t>B</t>
        </is>
      </c>
      <c r="FM3195" s="15" t="inlineStr">
        <is>
          <t>CERRILLOS</t>
        </is>
      </c>
      <c r="FN3195" s="15" t="inlineStr">
        <is>
          <t>Calle Uno 7371</t>
        </is>
      </c>
      <c r="FO3195" s="15" t="inlineStr">
        <is>
          <t>Cerrillos</t>
        </is>
      </c>
      <c r="FP3195" t="inlineStr">
        <is>
          <t>B</t>
        </is>
      </c>
    </row>
    <row r="3196">
      <c r="FC3196" t="inlineStr">
        <is>
          <t>Diccionario 4</t>
        </is>
      </c>
      <c r="FD3196" s="15" t="inlineStr">
        <is>
          <t>1279 / VFPJ-25|</t>
        </is>
      </c>
      <c r="FE3196" s="15" t="inlineStr">
        <is>
          <t>MDN35025020127</t>
        </is>
      </c>
      <c r="FF3196" s="15" t="inlineStr">
        <is>
          <t>LDYECS313S0044029</t>
        </is>
      </c>
      <c r="FG3196" s="15" t="inlineStr">
        <is>
          <t>Zhong Tong</t>
        </is>
      </c>
      <c r="FH3196" s="15" t="inlineStr">
        <is>
          <t>Lck6122evg</t>
        </is>
      </c>
      <c r="FI3196" s="15" t="inlineStr">
        <is>
          <t>ZHONGTONG</t>
        </is>
      </c>
      <c r="FJ3196" s="15" t="inlineStr">
        <is>
          <t>LCK6122EVG</t>
        </is>
      </c>
      <c r="FK3196" s="15" t="n">
        <v>2025</v>
      </c>
      <c r="FL3196" s="15" t="inlineStr">
        <is>
          <t>B</t>
        </is>
      </c>
      <c r="FM3196" s="15" t="inlineStr">
        <is>
          <t>PIE ANDINO</t>
        </is>
      </c>
      <c r="FN3196" s="15" t="inlineStr">
        <is>
          <t>Pie Andino 31 (Pie Andino 383)</t>
        </is>
      </c>
      <c r="FO3196" s="15" t="inlineStr">
        <is>
          <t>Puente Alto</t>
        </is>
      </c>
      <c r="FP3196" t="inlineStr">
        <is>
          <t>B</t>
        </is>
      </c>
    </row>
    <row r="3197">
      <c r="FC3197" t="inlineStr">
        <is>
          <t>Diccionario 4</t>
        </is>
      </c>
      <c r="FD3197" s="15" t="inlineStr">
        <is>
          <t>1280 / VFPJ-28|</t>
        </is>
      </c>
      <c r="FE3197" s="15" t="inlineStr">
        <is>
          <t>MDN35025020123</t>
        </is>
      </c>
      <c r="FF3197" s="15" t="inlineStr">
        <is>
          <t>LDYECS314S0044010</t>
        </is>
      </c>
      <c r="FG3197" s="15" t="inlineStr">
        <is>
          <t>Zhong Tong</t>
        </is>
      </c>
      <c r="FH3197" s="15" t="inlineStr">
        <is>
          <t>Lck6122evg</t>
        </is>
      </c>
      <c r="FI3197" s="15" t="inlineStr">
        <is>
          <t>ZHONGTONG</t>
        </is>
      </c>
      <c r="FJ3197" s="15" t="inlineStr">
        <is>
          <t>LCK6122EVG</t>
        </is>
      </c>
      <c r="FK3197" s="15" t="n">
        <v>2025</v>
      </c>
      <c r="FL3197" s="15" t="inlineStr">
        <is>
          <t>B</t>
        </is>
      </c>
      <c r="FM3197" s="15" t="inlineStr">
        <is>
          <t>PIE ANDINO</t>
        </is>
      </c>
      <c r="FN3197" s="15" t="inlineStr">
        <is>
          <t>Pie Andino 31 (Pie Andino 383)</t>
        </is>
      </c>
      <c r="FO3197" s="15" t="inlineStr">
        <is>
          <t>Puente Alto</t>
        </is>
      </c>
      <c r="FP3197" t="inlineStr">
        <is>
          <t>B</t>
        </is>
      </c>
    </row>
    <row r="3198">
      <c r="FC3198" t="inlineStr">
        <is>
          <t>Diccionario 4</t>
        </is>
      </c>
      <c r="FD3198" s="15" t="inlineStr">
        <is>
          <t>1281 / VFPJ-31|</t>
        </is>
      </c>
      <c r="FE3198" s="15" t="inlineStr">
        <is>
          <t>MDN35025020070</t>
        </is>
      </c>
      <c r="FF3198" s="15" t="inlineStr">
        <is>
          <t>LDYECS313S0043995</t>
        </is>
      </c>
      <c r="FG3198" s="15" t="inlineStr">
        <is>
          <t>Zhong Tong</t>
        </is>
      </c>
      <c r="FH3198" s="15" t="inlineStr">
        <is>
          <t>Lck6122evg</t>
        </is>
      </c>
      <c r="FI3198" s="15" t="inlineStr">
        <is>
          <t>ZHONGTONG</t>
        </is>
      </c>
      <c r="FJ3198" s="15" t="inlineStr">
        <is>
          <t>LCK6122EVG</t>
        </is>
      </c>
      <c r="FK3198" s="15" t="n">
        <v>2025</v>
      </c>
      <c r="FL3198" s="15" t="inlineStr">
        <is>
          <t>B</t>
        </is>
      </c>
      <c r="FM3198" s="15" t="inlineStr">
        <is>
          <t>CERRILLOS</t>
        </is>
      </c>
      <c r="FN3198" s="15" t="inlineStr">
        <is>
          <t>Calle Uno 7371</t>
        </is>
      </c>
      <c r="FO3198" s="15" t="inlineStr">
        <is>
          <t>Cerrillos</t>
        </is>
      </c>
      <c r="FP3198" t="inlineStr">
        <is>
          <t>B</t>
        </is>
      </c>
    </row>
    <row r="3199">
      <c r="FC3199" t="inlineStr">
        <is>
          <t>Diccionario 4</t>
        </is>
      </c>
      <c r="FD3199" s="15" t="inlineStr">
        <is>
          <t>1282 / VFPJ-51|</t>
        </is>
      </c>
      <c r="FE3199" s="15" t="inlineStr">
        <is>
          <t>MDN35025020109</t>
        </is>
      </c>
      <c r="FF3199" s="15" t="inlineStr">
        <is>
          <t>LDYECS314S0044024</t>
        </is>
      </c>
      <c r="FG3199" s="15" t="inlineStr">
        <is>
          <t>Zhong Tong</t>
        </is>
      </c>
      <c r="FH3199" s="15" t="inlineStr">
        <is>
          <t>Lck6122evg</t>
        </is>
      </c>
      <c r="FI3199" s="15" t="inlineStr">
        <is>
          <t>ZHONGTONG</t>
        </is>
      </c>
      <c r="FJ3199" s="15" t="inlineStr">
        <is>
          <t>LCK6122EVG</t>
        </is>
      </c>
      <c r="FK3199" s="15" t="n">
        <v>2025</v>
      </c>
      <c r="FL3199" s="15" t="inlineStr">
        <is>
          <t>B</t>
        </is>
      </c>
      <c r="FM3199" s="15" t="inlineStr">
        <is>
          <t>PIE ANDINO</t>
        </is>
      </c>
      <c r="FN3199" s="15" t="inlineStr">
        <is>
          <t>Pie Andino 31 (Pie Andino 383)</t>
        </is>
      </c>
      <c r="FO3199" s="15" t="inlineStr">
        <is>
          <t>Puente Alto</t>
        </is>
      </c>
      <c r="FP3199" t="inlineStr">
        <is>
          <t>B</t>
        </is>
      </c>
    </row>
    <row r="3200">
      <c r="FC3200" t="inlineStr">
        <is>
          <t>Diccionario 4</t>
        </is>
      </c>
      <c r="FD3200" s="15" t="inlineStr">
        <is>
          <t>1283 / VFPJ-53|</t>
        </is>
      </c>
      <c r="FE3200" s="15" t="inlineStr">
        <is>
          <t>MDN35025020024</t>
        </is>
      </c>
      <c r="FF3200" s="15" t="inlineStr">
        <is>
          <t>LDYECS318S0044026</t>
        </is>
      </c>
      <c r="FG3200" s="15" t="inlineStr">
        <is>
          <t>Zhong Tong</t>
        </is>
      </c>
      <c r="FH3200" s="15" t="inlineStr">
        <is>
          <t>Lck6122evg</t>
        </is>
      </c>
      <c r="FI3200" s="15" t="inlineStr">
        <is>
          <t>ZHONGTONG</t>
        </is>
      </c>
      <c r="FJ3200" s="15" t="inlineStr">
        <is>
          <t>LCK6122EVG</t>
        </is>
      </c>
      <c r="FK3200" s="15" t="n">
        <v>2025</v>
      </c>
      <c r="FL3200" s="15" t="inlineStr">
        <is>
          <t>B</t>
        </is>
      </c>
      <c r="FM3200" s="15" t="inlineStr">
        <is>
          <t>CERRILLOS</t>
        </is>
      </c>
      <c r="FN3200" s="15" t="inlineStr">
        <is>
          <t>Calle Uno 7371</t>
        </is>
      </c>
      <c r="FO3200" s="15" t="inlineStr">
        <is>
          <t>Cerrillos</t>
        </is>
      </c>
      <c r="FP3200" t="inlineStr">
        <is>
          <t>B</t>
        </is>
      </c>
    </row>
    <row r="3201">
      <c r="FC3201" t="inlineStr">
        <is>
          <t>Diccionario 4</t>
        </is>
      </c>
      <c r="FD3201" s="15" t="inlineStr">
        <is>
          <t>1284 / VFPJ-61|</t>
        </is>
      </c>
      <c r="FE3201" s="15" t="inlineStr">
        <is>
          <t>MDN35025020049</t>
        </is>
      </c>
      <c r="FF3201" s="15" t="inlineStr">
        <is>
          <t>LDYECS310S0044005</t>
        </is>
      </c>
      <c r="FG3201" s="15" t="inlineStr">
        <is>
          <t>Zhong Tong</t>
        </is>
      </c>
      <c r="FH3201" s="15" t="inlineStr">
        <is>
          <t>Lck6122evg</t>
        </is>
      </c>
      <c r="FI3201" s="15" t="inlineStr">
        <is>
          <t>ZHONGTONG</t>
        </is>
      </c>
      <c r="FJ3201" s="15" t="inlineStr">
        <is>
          <t>LCK6122EVG</t>
        </is>
      </c>
      <c r="FK3201" s="15" t="n">
        <v>2025</v>
      </c>
      <c r="FL3201" s="15" t="inlineStr">
        <is>
          <t>B</t>
        </is>
      </c>
      <c r="FM3201" s="15" t="inlineStr">
        <is>
          <t>PIE ANDINO</t>
        </is>
      </c>
      <c r="FN3201" s="15" t="inlineStr">
        <is>
          <t>Pie Andino 31 (Pie Andino 383)</t>
        </is>
      </c>
      <c r="FO3201" s="15" t="inlineStr">
        <is>
          <t>Puente Alto</t>
        </is>
      </c>
      <c r="FP3201" t="inlineStr">
        <is>
          <t>B</t>
        </is>
      </c>
    </row>
    <row r="3202">
      <c r="FC3202" t="inlineStr">
        <is>
          <t>Diccionario 4</t>
        </is>
      </c>
      <c r="FD3202" s="15" t="inlineStr">
        <is>
          <t>1285 / VFPJ-66|</t>
        </is>
      </c>
      <c r="FE3202" s="15" t="inlineStr">
        <is>
          <t>MDN35025020108</t>
        </is>
      </c>
      <c r="FF3202" s="15" t="inlineStr">
        <is>
          <t>LDYECS31XS0044061</t>
        </is>
      </c>
      <c r="FG3202" s="15" t="inlineStr">
        <is>
          <t>Zhong Tong</t>
        </is>
      </c>
      <c r="FH3202" s="15" t="inlineStr">
        <is>
          <t>Lck6122evg</t>
        </is>
      </c>
      <c r="FI3202" s="15" t="inlineStr">
        <is>
          <t>ZHONGTONG</t>
        </is>
      </c>
      <c r="FJ3202" s="15" t="inlineStr">
        <is>
          <t>LCK6122EVG</t>
        </is>
      </c>
      <c r="FK3202" s="15" t="n">
        <v>2025</v>
      </c>
      <c r="FL3202" s="15" t="inlineStr">
        <is>
          <t>B</t>
        </is>
      </c>
      <c r="FM3202" s="15" t="inlineStr">
        <is>
          <t>CERRILLOS</t>
        </is>
      </c>
      <c r="FN3202" s="15" t="inlineStr">
        <is>
          <t>Calle Uno 7371</t>
        </is>
      </c>
      <c r="FO3202" s="15" t="inlineStr">
        <is>
          <t>Cerrillos</t>
        </is>
      </c>
      <c r="FP3202" t="inlineStr">
        <is>
          <t>B</t>
        </is>
      </c>
    </row>
    <row r="3203">
      <c r="FC3203" t="inlineStr">
        <is>
          <t>Diccionario 4</t>
        </is>
      </c>
      <c r="FD3203" s="15" t="inlineStr">
        <is>
          <t>1286 / VFPJ-68|</t>
        </is>
      </c>
      <c r="FE3203" s="15" t="inlineStr">
        <is>
          <t>MDN35025020064</t>
        </is>
      </c>
      <c r="FF3203" s="15" t="inlineStr">
        <is>
          <t>LDYECS316S0044008</t>
        </is>
      </c>
      <c r="FG3203" s="15" t="inlineStr">
        <is>
          <t>Zhong Tong</t>
        </is>
      </c>
      <c r="FH3203" s="15" t="inlineStr">
        <is>
          <t>Lck6122evg</t>
        </is>
      </c>
      <c r="FI3203" s="15" t="inlineStr">
        <is>
          <t>ZHONGTONG</t>
        </is>
      </c>
      <c r="FJ3203" s="15" t="inlineStr">
        <is>
          <t>LCK6122EVG</t>
        </is>
      </c>
      <c r="FK3203" s="15" t="n">
        <v>2025</v>
      </c>
      <c r="FL3203" s="15" t="inlineStr">
        <is>
          <t>B</t>
        </is>
      </c>
      <c r="FM3203" s="15" t="inlineStr">
        <is>
          <t>PIE ANDINO</t>
        </is>
      </c>
      <c r="FN3203" s="15" t="inlineStr">
        <is>
          <t>Pie Andino 31 (Pie Andino 383)</t>
        </is>
      </c>
      <c r="FO3203" s="15" t="inlineStr">
        <is>
          <t>Puente Alto</t>
        </is>
      </c>
      <c r="FP3203" t="inlineStr">
        <is>
          <t>B</t>
        </is>
      </c>
    </row>
    <row r="3204">
      <c r="FC3204" t="inlineStr">
        <is>
          <t>Diccionario 4</t>
        </is>
      </c>
      <c r="FD3204" s="15" t="inlineStr">
        <is>
          <t>1287 / VFPJ-71|</t>
        </is>
      </c>
      <c r="FE3204" s="15" t="inlineStr">
        <is>
          <t>MDN35025020103</t>
        </is>
      </c>
      <c r="FF3204" s="15" t="inlineStr">
        <is>
          <t>LDYECS313S0044015</t>
        </is>
      </c>
      <c r="FG3204" s="15" t="inlineStr">
        <is>
          <t>Zhong Tong</t>
        </is>
      </c>
      <c r="FH3204" s="15" t="inlineStr">
        <is>
          <t>Lck6122evg</t>
        </is>
      </c>
      <c r="FI3204" s="15" t="inlineStr">
        <is>
          <t>ZHONGTONG</t>
        </is>
      </c>
      <c r="FJ3204" s="15" t="inlineStr">
        <is>
          <t>LCK6122EVG</t>
        </is>
      </c>
      <c r="FK3204" s="15" t="n">
        <v>2025</v>
      </c>
      <c r="FL3204" s="15" t="inlineStr">
        <is>
          <t>B</t>
        </is>
      </c>
      <c r="FM3204" s="15" t="inlineStr">
        <is>
          <t>CERRILLOS</t>
        </is>
      </c>
      <c r="FN3204" s="15" t="inlineStr">
        <is>
          <t>Calle Uno 7371</t>
        </is>
      </c>
      <c r="FO3204" s="15" t="inlineStr">
        <is>
          <t>Cerrillos</t>
        </is>
      </c>
      <c r="FP3204" t="inlineStr">
        <is>
          <t>B</t>
        </is>
      </c>
    </row>
    <row r="3205">
      <c r="FC3205" t="inlineStr">
        <is>
          <t>Diccionario 4</t>
        </is>
      </c>
      <c r="FD3205" s="15" t="inlineStr">
        <is>
          <t>1288 / VFPJ-77|</t>
        </is>
      </c>
      <c r="FE3205" s="15" t="inlineStr">
        <is>
          <t>MDN35025020131</t>
        </is>
      </c>
      <c r="FF3205" s="15" t="inlineStr">
        <is>
          <t>LDYECS317S0044017</t>
        </is>
      </c>
      <c r="FG3205" s="15" t="inlineStr">
        <is>
          <t>Zhong Tong</t>
        </is>
      </c>
      <c r="FH3205" s="15" t="inlineStr">
        <is>
          <t>Lck6122evg</t>
        </is>
      </c>
      <c r="FI3205" s="15" t="inlineStr">
        <is>
          <t>ZHONGTONG</t>
        </is>
      </c>
      <c r="FJ3205" s="15" t="inlineStr">
        <is>
          <t>LCK6122EVG</t>
        </is>
      </c>
      <c r="FK3205" s="15" t="n">
        <v>2025</v>
      </c>
      <c r="FL3205" s="15" t="inlineStr">
        <is>
          <t>B</t>
        </is>
      </c>
      <c r="FM3205" s="15" t="inlineStr">
        <is>
          <t>PIE ANDINO</t>
        </is>
      </c>
      <c r="FN3205" s="15" t="inlineStr">
        <is>
          <t>Pie Andino 31 (Pie Andino 383)</t>
        </is>
      </c>
      <c r="FO3205" s="15" t="inlineStr">
        <is>
          <t>Puente Alto</t>
        </is>
      </c>
      <c r="FP3205" t="inlineStr">
        <is>
          <t>B</t>
        </is>
      </c>
    </row>
    <row r="3206">
      <c r="FC3206" t="inlineStr">
        <is>
          <t>Diccionario 4</t>
        </is>
      </c>
      <c r="FD3206" s="15" t="inlineStr">
        <is>
          <t>1289 / VFPK-64|</t>
        </is>
      </c>
      <c r="FE3206" s="15" t="inlineStr">
        <is>
          <t>MDN35025020115</t>
        </is>
      </c>
      <c r="FF3206" s="15" t="inlineStr">
        <is>
          <t>LDYECS319S0044018</t>
        </is>
      </c>
      <c r="FG3206" s="15" t="inlineStr">
        <is>
          <t>Zhong Tong</t>
        </is>
      </c>
      <c r="FH3206" s="15" t="inlineStr">
        <is>
          <t>Lck6122evg</t>
        </is>
      </c>
      <c r="FI3206" s="15" t="inlineStr">
        <is>
          <t>ZHONGTONG</t>
        </is>
      </c>
      <c r="FJ3206" s="15" t="inlineStr">
        <is>
          <t>LCK6122EVG</t>
        </is>
      </c>
      <c r="FK3206" s="15" t="n">
        <v>2025</v>
      </c>
      <c r="FL3206" s="15" t="inlineStr">
        <is>
          <t>B</t>
        </is>
      </c>
      <c r="FM3206" s="15" t="inlineStr">
        <is>
          <t>CERRILLOS</t>
        </is>
      </c>
      <c r="FN3206" s="15" t="inlineStr">
        <is>
          <t>Calle Uno 7371</t>
        </is>
      </c>
      <c r="FO3206" s="15" t="inlineStr">
        <is>
          <t>Cerrillos</t>
        </is>
      </c>
      <c r="FP3206" t="inlineStr">
        <is>
          <t>B</t>
        </is>
      </c>
    </row>
    <row r="3207">
      <c r="FC3207" t="inlineStr">
        <is>
          <t>Diccionario 4</t>
        </is>
      </c>
      <c r="FD3207" s="15" t="inlineStr">
        <is>
          <t>1290 / VFPK-81|</t>
        </is>
      </c>
      <c r="FE3207" s="15" t="inlineStr">
        <is>
          <t>MDN35025020019</t>
        </is>
      </c>
      <c r="FF3207" s="15" t="inlineStr">
        <is>
          <t>LDYECS313S0044094</t>
        </is>
      </c>
      <c r="FG3207" s="15" t="inlineStr">
        <is>
          <t>Zhong Tong</t>
        </is>
      </c>
      <c r="FH3207" s="15" t="inlineStr">
        <is>
          <t>Lck6122evg</t>
        </is>
      </c>
      <c r="FI3207" s="15" t="inlineStr">
        <is>
          <t>ZHONGTONG</t>
        </is>
      </c>
      <c r="FJ3207" s="15" t="inlineStr">
        <is>
          <t>LCK6122EVG</t>
        </is>
      </c>
      <c r="FK3207" s="15" t="n">
        <v>2025</v>
      </c>
      <c r="FL3207" s="15" t="inlineStr">
        <is>
          <t>B</t>
        </is>
      </c>
      <c r="FM3207" s="15" t="inlineStr">
        <is>
          <t>PIE ANDINO</t>
        </is>
      </c>
      <c r="FN3207" s="15" t="inlineStr">
        <is>
          <t>Pie Andino 31 (Pie Andino 383)</t>
        </is>
      </c>
      <c r="FO3207" s="15" t="inlineStr">
        <is>
          <t>Puente Alto</t>
        </is>
      </c>
      <c r="FP3207" t="inlineStr">
        <is>
          <t>B</t>
        </is>
      </c>
    </row>
    <row r="3208">
      <c r="FC3208" t="inlineStr">
        <is>
          <t>Diccionario 4</t>
        </is>
      </c>
      <c r="FD3208" s="15" t="inlineStr">
        <is>
          <t>1291 / VFPK-91|</t>
        </is>
      </c>
      <c r="FE3208" s="15" t="inlineStr">
        <is>
          <t>MDN35025010038</t>
        </is>
      </c>
      <c r="FF3208" s="15" t="inlineStr">
        <is>
          <t>LDYECS315S0044114</t>
        </is>
      </c>
      <c r="FG3208" s="15" t="inlineStr">
        <is>
          <t>Zhong Tong</t>
        </is>
      </c>
      <c r="FH3208" s="15" t="inlineStr">
        <is>
          <t>Lck6122evg</t>
        </is>
      </c>
      <c r="FI3208" s="15" t="inlineStr">
        <is>
          <t>ZHONGTONG</t>
        </is>
      </c>
      <c r="FJ3208" s="15" t="inlineStr">
        <is>
          <t>LCK6122EVG</t>
        </is>
      </c>
      <c r="FK3208" s="15" t="n">
        <v>2025</v>
      </c>
      <c r="FL3208" s="15" t="inlineStr">
        <is>
          <t>B</t>
        </is>
      </c>
      <c r="FM3208" s="15" t="inlineStr">
        <is>
          <t>PIE ANDINO</t>
        </is>
      </c>
      <c r="FN3208" s="15" t="inlineStr">
        <is>
          <t>Pie Andino 31 (Pie Andino 383)</t>
        </is>
      </c>
      <c r="FO3208" s="15" t="inlineStr">
        <is>
          <t>Puente Alto</t>
        </is>
      </c>
      <c r="FP3208" t="inlineStr">
        <is>
          <t>B</t>
        </is>
      </c>
    </row>
    <row r="3209">
      <c r="FC3209" t="inlineStr">
        <is>
          <t>Diccionario 4</t>
        </is>
      </c>
      <c r="FD3209" s="15" t="inlineStr">
        <is>
          <t>1292 / VFPL-11|</t>
        </is>
      </c>
      <c r="FE3209" s="15" t="inlineStr">
        <is>
          <t>MDN35025020028</t>
        </is>
      </c>
      <c r="FF3209" s="15" t="inlineStr">
        <is>
          <t>LDYECS314S0044041</t>
        </is>
      </c>
      <c r="FG3209" s="15" t="inlineStr">
        <is>
          <t>Zhong Tong</t>
        </is>
      </c>
      <c r="FH3209" s="15" t="inlineStr">
        <is>
          <t>Lck6122evg</t>
        </is>
      </c>
      <c r="FI3209" s="15" t="inlineStr">
        <is>
          <t>ZHONGTONG</t>
        </is>
      </c>
      <c r="FJ3209" s="15" t="inlineStr">
        <is>
          <t>LCK6122EVG</t>
        </is>
      </c>
      <c r="FK3209" s="15" t="n">
        <v>2025</v>
      </c>
      <c r="FL3209" s="15" t="inlineStr">
        <is>
          <t>B</t>
        </is>
      </c>
      <c r="FM3209" s="15" t="inlineStr">
        <is>
          <t>PIE ANDINO</t>
        </is>
      </c>
      <c r="FN3209" s="15" t="inlineStr">
        <is>
          <t>Pie Andino 31 (Pie Andino 383)</t>
        </is>
      </c>
      <c r="FO3209" s="15" t="inlineStr">
        <is>
          <t>Puente Alto</t>
        </is>
      </c>
      <c r="FP3209" t="inlineStr">
        <is>
          <t>B</t>
        </is>
      </c>
    </row>
    <row r="3210">
      <c r="FC3210" t="inlineStr">
        <is>
          <t>Diccionario 4</t>
        </is>
      </c>
      <c r="FD3210" s="15" t="inlineStr">
        <is>
          <t>1293 / VFPL-15|</t>
        </is>
      </c>
      <c r="FE3210" s="15" t="inlineStr">
        <is>
          <t>MDN35025020111</t>
        </is>
      </c>
      <c r="FF3210" s="15" t="inlineStr">
        <is>
          <t>LDYECS31XS0044013</t>
        </is>
      </c>
      <c r="FG3210" s="15" t="inlineStr">
        <is>
          <t>Zhong Tong</t>
        </is>
      </c>
      <c r="FH3210" s="15" t="inlineStr">
        <is>
          <t>Lck6122evg</t>
        </is>
      </c>
      <c r="FI3210" s="15" t="inlineStr">
        <is>
          <t>ZHONGTONG</t>
        </is>
      </c>
      <c r="FJ3210" s="15" t="inlineStr">
        <is>
          <t>LCK6122EVG</t>
        </is>
      </c>
      <c r="FK3210" s="15" t="n">
        <v>2025</v>
      </c>
      <c r="FL3210" s="15" t="inlineStr">
        <is>
          <t>B</t>
        </is>
      </c>
      <c r="FM3210" s="15" t="inlineStr">
        <is>
          <t>PIE ANDINO</t>
        </is>
      </c>
      <c r="FN3210" s="15" t="inlineStr">
        <is>
          <t>Pie Andino 31 (Pie Andino 383)</t>
        </is>
      </c>
      <c r="FO3210" s="15" t="inlineStr">
        <is>
          <t>Puente Alto</t>
        </is>
      </c>
      <c r="FP3210" t="inlineStr">
        <is>
          <t>B</t>
        </is>
      </c>
    </row>
    <row r="3211">
      <c r="FC3211" t="inlineStr">
        <is>
          <t>Diccionario 4</t>
        </is>
      </c>
      <c r="FD3211" s="15" t="inlineStr">
        <is>
          <t>1294 / VFPL-21|</t>
        </is>
      </c>
      <c r="FE3211" s="15" t="inlineStr">
        <is>
          <t>MDN35025020125</t>
        </is>
      </c>
      <c r="FF3211" s="15" t="inlineStr">
        <is>
          <t>LDYECS313S0044032</t>
        </is>
      </c>
      <c r="FG3211" s="15" t="inlineStr">
        <is>
          <t>Zhong Tong</t>
        </is>
      </c>
      <c r="FH3211" s="15" t="inlineStr">
        <is>
          <t>Lck6122evg</t>
        </is>
      </c>
      <c r="FI3211" s="15" t="inlineStr">
        <is>
          <t>ZHONGTONG</t>
        </is>
      </c>
      <c r="FJ3211" s="15" t="inlineStr">
        <is>
          <t>LCK6122EVG</t>
        </is>
      </c>
      <c r="FK3211" s="15" t="n">
        <v>2025</v>
      </c>
      <c r="FL3211" s="15" t="inlineStr">
        <is>
          <t>B</t>
        </is>
      </c>
      <c r="FM3211" s="15" t="inlineStr">
        <is>
          <t>PIE ANDINO</t>
        </is>
      </c>
      <c r="FN3211" s="15" t="inlineStr">
        <is>
          <t>Pie Andino 31 (Pie Andino 383)</t>
        </is>
      </c>
      <c r="FO3211" s="15" t="inlineStr">
        <is>
          <t>Puente Alto</t>
        </is>
      </c>
      <c r="FP3211" t="inlineStr">
        <is>
          <t>B</t>
        </is>
      </c>
    </row>
    <row r="3212">
      <c r="FC3212" t="inlineStr">
        <is>
          <t>Diccionario 4</t>
        </is>
      </c>
      <c r="FD3212" s="15" t="inlineStr">
        <is>
          <t>1295 / VFPL-31|</t>
        </is>
      </c>
      <c r="FE3212" s="15" t="inlineStr">
        <is>
          <t>MDN35025020117</t>
        </is>
      </c>
      <c r="FF3212" s="15" t="inlineStr">
        <is>
          <t>LDYECS310S0044022</t>
        </is>
      </c>
      <c r="FG3212" s="15" t="inlineStr">
        <is>
          <t>Zhong Tong</t>
        </is>
      </c>
      <c r="FH3212" s="15" t="inlineStr">
        <is>
          <t>Lck6122evg</t>
        </is>
      </c>
      <c r="FI3212" s="15" t="inlineStr">
        <is>
          <t>ZHONGTONG</t>
        </is>
      </c>
      <c r="FJ3212" s="15" t="inlineStr">
        <is>
          <t>LCK6122EVG</t>
        </is>
      </c>
      <c r="FK3212" s="15" t="n">
        <v>2025</v>
      </c>
      <c r="FL3212" s="15" t="inlineStr">
        <is>
          <t>B</t>
        </is>
      </c>
      <c r="FM3212" s="15" t="inlineStr">
        <is>
          <t>PIE ANDINO</t>
        </is>
      </c>
      <c r="FN3212" s="15" t="inlineStr">
        <is>
          <t>Pie Andino 31 (Pie Andino 383)</t>
        </is>
      </c>
      <c r="FO3212" s="15" t="inlineStr">
        <is>
          <t>Puente Alto</t>
        </is>
      </c>
      <c r="FP3212" t="inlineStr">
        <is>
          <t>B</t>
        </is>
      </c>
    </row>
    <row r="3213">
      <c r="FC3213" t="inlineStr">
        <is>
          <t>Diccionario 4</t>
        </is>
      </c>
      <c r="FD3213" s="15" t="inlineStr">
        <is>
          <t>1296 / VFPL-35|</t>
        </is>
      </c>
      <c r="FE3213" s="15" t="inlineStr">
        <is>
          <t>MDN35025020006</t>
        </is>
      </c>
      <c r="FF3213" s="15" t="inlineStr">
        <is>
          <t>LDYECS316S0044073</t>
        </is>
      </c>
      <c r="FG3213" s="15" t="inlineStr">
        <is>
          <t>Zhong Tong</t>
        </is>
      </c>
      <c r="FH3213" s="15" t="inlineStr">
        <is>
          <t>Lck6122evg</t>
        </is>
      </c>
      <c r="FI3213" s="15" t="inlineStr">
        <is>
          <t>ZHONGTONG</t>
        </is>
      </c>
      <c r="FJ3213" s="15" t="inlineStr">
        <is>
          <t>LCK6122EVG</t>
        </is>
      </c>
      <c r="FK3213" s="15" t="n">
        <v>2025</v>
      </c>
      <c r="FL3213" s="15" t="inlineStr">
        <is>
          <t>B</t>
        </is>
      </c>
      <c r="FM3213" s="15" t="inlineStr">
        <is>
          <t>PIE ANDINO</t>
        </is>
      </c>
      <c r="FN3213" s="15" t="inlineStr">
        <is>
          <t>Pie Andino 31 (Pie Andino 383)</t>
        </is>
      </c>
      <c r="FO3213" s="15" t="inlineStr">
        <is>
          <t>Puente Alto</t>
        </is>
      </c>
      <c r="FP3213" t="inlineStr">
        <is>
          <t>B</t>
        </is>
      </c>
    </row>
    <row r="3214">
      <c r="FC3214" t="inlineStr">
        <is>
          <t>Diccionario 4</t>
        </is>
      </c>
      <c r="FD3214" s="15" t="inlineStr">
        <is>
          <t>1297 / VFPL-41|</t>
        </is>
      </c>
      <c r="FE3214" s="15" t="inlineStr">
        <is>
          <t>MDN35025020062</t>
        </is>
      </c>
      <c r="FF3214" s="15" t="inlineStr">
        <is>
          <t>LDYECS312S0044006</t>
        </is>
      </c>
      <c r="FG3214" s="15" t="inlineStr">
        <is>
          <t>Zhong Tong</t>
        </is>
      </c>
      <c r="FH3214" s="15" t="inlineStr">
        <is>
          <t>Lck6122evg</t>
        </is>
      </c>
      <c r="FI3214" s="15" t="inlineStr">
        <is>
          <t>ZHONGTONG</t>
        </is>
      </c>
      <c r="FJ3214" s="15" t="inlineStr">
        <is>
          <t>LCK6122EVG</t>
        </is>
      </c>
      <c r="FK3214" s="15" t="n">
        <v>2025</v>
      </c>
      <c r="FL3214" s="15" t="inlineStr">
        <is>
          <t>B</t>
        </is>
      </c>
      <c r="FM3214" s="15" t="inlineStr">
        <is>
          <t>SAN ALFONSO</t>
        </is>
      </c>
      <c r="FN3214" s="15" t="inlineStr">
        <is>
          <t>San Alfonso 2141 (Ramón Subercaseaux 3060)</t>
        </is>
      </c>
      <c r="FO3214" s="15" t="inlineStr">
        <is>
          <t>Estacion Central</t>
        </is>
      </c>
      <c r="FP3214" t="inlineStr">
        <is>
          <t>B</t>
        </is>
      </c>
    </row>
    <row r="3215">
      <c r="FC3215" t="inlineStr">
        <is>
          <t>Diccionario 4</t>
        </is>
      </c>
      <c r="FD3215" s="15" t="inlineStr">
        <is>
          <t>1298 / VFPL-46|</t>
        </is>
      </c>
      <c r="FE3215" s="15" t="inlineStr">
        <is>
          <t>MDN35025020116</t>
        </is>
      </c>
      <c r="FF3215" s="15" t="inlineStr">
        <is>
          <t>LDYECS317S0044020</t>
        </is>
      </c>
      <c r="FG3215" s="15" t="inlineStr">
        <is>
          <t>Zhong Tong</t>
        </is>
      </c>
      <c r="FH3215" s="15" t="inlineStr">
        <is>
          <t>Lck6122evg</t>
        </is>
      </c>
      <c r="FI3215" s="15" t="inlineStr">
        <is>
          <t>ZHONGTONG</t>
        </is>
      </c>
      <c r="FJ3215" s="15" t="inlineStr">
        <is>
          <t>LCK6122EVG</t>
        </is>
      </c>
      <c r="FK3215" s="15" t="n">
        <v>2025</v>
      </c>
      <c r="FL3215" s="15" t="inlineStr">
        <is>
          <t>B</t>
        </is>
      </c>
      <c r="FM3215" s="15" t="inlineStr">
        <is>
          <t>SAN ALFONSO</t>
        </is>
      </c>
      <c r="FN3215" s="15" t="inlineStr">
        <is>
          <t>San Alfonso 2141 (Ramón Subercaseaux 3060)</t>
        </is>
      </c>
      <c r="FO3215" s="15" t="inlineStr">
        <is>
          <t>Estacion Central</t>
        </is>
      </c>
      <c r="FP3215" t="inlineStr">
        <is>
          <t>B</t>
        </is>
      </c>
    </row>
    <row r="3216">
      <c r="FC3216" t="inlineStr">
        <is>
          <t>Diccionario 4</t>
        </is>
      </c>
      <c r="FD3216" s="15" t="inlineStr">
        <is>
          <t>1299 / VFPL-57|</t>
        </is>
      </c>
      <c r="FE3216" s="15" t="inlineStr">
        <is>
          <t>MDN35025020106</t>
        </is>
      </c>
      <c r="FF3216" s="15" t="inlineStr">
        <is>
          <t>LDYECS316S0044025</t>
        </is>
      </c>
      <c r="FG3216" s="15" t="inlineStr">
        <is>
          <t>Zhong Tong</t>
        </is>
      </c>
      <c r="FH3216" s="15" t="inlineStr">
        <is>
          <t>Lck6122evg</t>
        </is>
      </c>
      <c r="FI3216" s="15" t="inlineStr">
        <is>
          <t>ZHONGTONG</t>
        </is>
      </c>
      <c r="FJ3216" s="15" t="inlineStr">
        <is>
          <t>LCK6122EVG</t>
        </is>
      </c>
      <c r="FK3216" s="15" t="n">
        <v>2025</v>
      </c>
      <c r="FL3216" s="15" t="inlineStr">
        <is>
          <t>B</t>
        </is>
      </c>
      <c r="FM3216" s="15" t="inlineStr">
        <is>
          <t>CERRILLOS</t>
        </is>
      </c>
      <c r="FN3216" s="15" t="inlineStr">
        <is>
          <t>Calle Uno 7371</t>
        </is>
      </c>
      <c r="FO3216" s="15" t="inlineStr">
        <is>
          <t>Cerrillos</t>
        </is>
      </c>
      <c r="FP3216" t="inlineStr">
        <is>
          <t>B</t>
        </is>
      </c>
    </row>
    <row r="3217">
      <c r="FC3217" t="inlineStr">
        <is>
          <t>Diccionario 4</t>
        </is>
      </c>
      <c r="FD3217" s="15" t="inlineStr">
        <is>
          <t>1300 / VFPL-61|</t>
        </is>
      </c>
      <c r="FE3217" s="15" t="inlineStr">
        <is>
          <t>MDN35025020110</t>
        </is>
      </c>
      <c r="FF3217" s="15" t="inlineStr">
        <is>
          <t>LDYECS317S0044034</t>
        </is>
      </c>
      <c r="FG3217" s="15" t="inlineStr">
        <is>
          <t>Zhong Tong</t>
        </is>
      </c>
      <c r="FH3217" s="15" t="inlineStr">
        <is>
          <t>Lck6122evg</t>
        </is>
      </c>
      <c r="FI3217" s="15" t="inlineStr">
        <is>
          <t>ZHONGTONG</t>
        </is>
      </c>
      <c r="FJ3217" s="15" t="inlineStr">
        <is>
          <t>LCK6122EVG</t>
        </is>
      </c>
      <c r="FK3217" s="15" t="n">
        <v>2025</v>
      </c>
      <c r="FL3217" s="15" t="inlineStr">
        <is>
          <t>B</t>
        </is>
      </c>
      <c r="FM3217" s="15" t="inlineStr">
        <is>
          <t>CERRILLOS</t>
        </is>
      </c>
      <c r="FN3217" s="15" t="inlineStr">
        <is>
          <t>Calle Uno 7371</t>
        </is>
      </c>
      <c r="FO3217" s="15" t="inlineStr">
        <is>
          <t>Cerrillos</t>
        </is>
      </c>
      <c r="FP3217" t="inlineStr">
        <is>
          <t>B</t>
        </is>
      </c>
    </row>
    <row r="3218">
      <c r="FC3218" t="inlineStr">
        <is>
          <t>Diccionario 4</t>
        </is>
      </c>
      <c r="FD3218" s="15" t="inlineStr">
        <is>
          <t>1301 / VFPL-63|</t>
        </is>
      </c>
      <c r="FE3218" s="15" t="inlineStr">
        <is>
          <t>MDN35025020035</t>
        </is>
      </c>
      <c r="FF3218" s="15" t="inlineStr">
        <is>
          <t>LDYECS319S0044052</t>
        </is>
      </c>
      <c r="FG3218" s="15" t="inlineStr">
        <is>
          <t>Zhong Tong</t>
        </is>
      </c>
      <c r="FH3218" s="15" t="inlineStr">
        <is>
          <t>Lck6122evg</t>
        </is>
      </c>
      <c r="FI3218" s="15" t="inlineStr">
        <is>
          <t>ZHONGTONG</t>
        </is>
      </c>
      <c r="FJ3218" s="15" t="inlineStr">
        <is>
          <t>LCK6122EVG</t>
        </is>
      </c>
      <c r="FK3218" s="15" t="n">
        <v>2025</v>
      </c>
      <c r="FL3218" s="15" t="inlineStr">
        <is>
          <t>B</t>
        </is>
      </c>
      <c r="FM3218" s="15" t="inlineStr">
        <is>
          <t>CERRILLOS</t>
        </is>
      </c>
      <c r="FN3218" s="15" t="inlineStr">
        <is>
          <t>Calle Uno 7371</t>
        </is>
      </c>
      <c r="FO3218" s="15" t="inlineStr">
        <is>
          <t>Cerrillos</t>
        </is>
      </c>
      <c r="FP3218" t="inlineStr">
        <is>
          <t>B</t>
        </is>
      </c>
    </row>
    <row r="3219">
      <c r="FC3219" t="inlineStr">
        <is>
          <t>Diccionario 4</t>
        </is>
      </c>
      <c r="FD3219" s="15" t="inlineStr">
        <is>
          <t>1302 / VFPL-71|</t>
        </is>
      </c>
      <c r="FE3219" s="15" t="inlineStr">
        <is>
          <t>MDN35025020077</t>
        </is>
      </c>
      <c r="FF3219" s="15" t="inlineStr">
        <is>
          <t>LDYECS312S0044037</t>
        </is>
      </c>
      <c r="FG3219" s="15" t="inlineStr">
        <is>
          <t>Zhong Tong</t>
        </is>
      </c>
      <c r="FH3219" s="15" t="inlineStr">
        <is>
          <t>Lck6122evg</t>
        </is>
      </c>
      <c r="FI3219" s="15" t="inlineStr">
        <is>
          <t>ZHONGTONG</t>
        </is>
      </c>
      <c r="FJ3219" s="15" t="inlineStr">
        <is>
          <t>LCK6122EVG</t>
        </is>
      </c>
      <c r="FK3219" s="15" t="n">
        <v>2025</v>
      </c>
      <c r="FL3219" s="15" t="inlineStr">
        <is>
          <t>B</t>
        </is>
      </c>
      <c r="FM3219" s="15" t="inlineStr">
        <is>
          <t>CERRILLOS</t>
        </is>
      </c>
      <c r="FN3219" s="15" t="inlineStr">
        <is>
          <t>Calle Uno 7371</t>
        </is>
      </c>
      <c r="FO3219" s="15" t="inlineStr">
        <is>
          <t>Cerrillos</t>
        </is>
      </c>
      <c r="FP3219" t="inlineStr">
        <is>
          <t>B</t>
        </is>
      </c>
    </row>
    <row r="3220">
      <c r="FC3220" t="inlineStr">
        <is>
          <t>Diccionario 4</t>
        </is>
      </c>
      <c r="FD3220" s="15" t="inlineStr">
        <is>
          <t>1303 / VFPL-73|</t>
        </is>
      </c>
      <c r="FE3220" s="15" t="inlineStr">
        <is>
          <t>MDN35025020033</t>
        </is>
      </c>
      <c r="FF3220" s="15" t="inlineStr">
        <is>
          <t>LDYECS318S0044088</t>
        </is>
      </c>
      <c r="FG3220" s="15" t="inlineStr">
        <is>
          <t>Zhong Tong</t>
        </is>
      </c>
      <c r="FH3220" s="15" t="inlineStr">
        <is>
          <t>Lck6122evg</t>
        </is>
      </c>
      <c r="FI3220" s="15" t="inlineStr">
        <is>
          <t>ZHONGTONG</t>
        </is>
      </c>
      <c r="FJ3220" s="15" t="inlineStr">
        <is>
          <t>LCK6122EVG</t>
        </is>
      </c>
      <c r="FK3220" s="15" t="n">
        <v>2025</v>
      </c>
      <c r="FL3220" s="15" t="inlineStr">
        <is>
          <t>B</t>
        </is>
      </c>
      <c r="FM3220" s="15" t="inlineStr">
        <is>
          <t>PIE ANDINO</t>
        </is>
      </c>
      <c r="FN3220" s="15" t="inlineStr">
        <is>
          <t>Pie Andino 31 (Pie Andino 383)</t>
        </is>
      </c>
      <c r="FO3220" s="15" t="inlineStr">
        <is>
          <t>Puente Alto</t>
        </is>
      </c>
      <c r="FP3220" t="inlineStr">
        <is>
          <t>B</t>
        </is>
      </c>
    </row>
    <row r="3221">
      <c r="FC3221" t="inlineStr">
        <is>
          <t>Diccionario 4</t>
        </is>
      </c>
      <c r="FD3221" s="15" t="inlineStr">
        <is>
          <t>1304 / VFPL-74|</t>
        </is>
      </c>
      <c r="FE3221" s="15" t="inlineStr">
        <is>
          <t>MDN35025010021</t>
        </is>
      </c>
      <c r="FF3221" s="15" t="inlineStr">
        <is>
          <t>LDYECS313S0044113</t>
        </is>
      </c>
      <c r="FG3221" s="15" t="inlineStr">
        <is>
          <t>Zhong Tong</t>
        </is>
      </c>
      <c r="FH3221" s="15" t="inlineStr">
        <is>
          <t>Lck6122evg</t>
        </is>
      </c>
      <c r="FI3221" s="15" t="inlineStr">
        <is>
          <t>ZHONGTONG</t>
        </is>
      </c>
      <c r="FJ3221" s="15" t="inlineStr">
        <is>
          <t>LCK6122EVG</t>
        </is>
      </c>
      <c r="FK3221" s="15" t="n">
        <v>2025</v>
      </c>
      <c r="FL3221" s="15" t="inlineStr">
        <is>
          <t>B</t>
        </is>
      </c>
      <c r="FM3221" s="15" t="inlineStr">
        <is>
          <t>CERRILLOS</t>
        </is>
      </c>
      <c r="FN3221" s="15" t="inlineStr">
        <is>
          <t>Calle Uno 7371</t>
        </is>
      </c>
      <c r="FO3221" s="15" t="inlineStr">
        <is>
          <t>Cerrillos</t>
        </is>
      </c>
      <c r="FP3221" t="inlineStr">
        <is>
          <t>B</t>
        </is>
      </c>
    </row>
    <row r="3222">
      <c r="FC3222" t="inlineStr">
        <is>
          <t>Diccionario 4</t>
        </is>
      </c>
      <c r="FD3222" s="15" t="inlineStr">
        <is>
          <t>1305 / VFPL-81|</t>
        </is>
      </c>
      <c r="FE3222" s="15" t="inlineStr">
        <is>
          <t>MDN35025020120</t>
        </is>
      </c>
      <c r="FF3222" s="15" t="inlineStr">
        <is>
          <t>LDYECS316S0044011</t>
        </is>
      </c>
      <c r="FG3222" s="15" t="inlineStr">
        <is>
          <t>Zhong Tong</t>
        </is>
      </c>
      <c r="FH3222" s="15" t="inlineStr">
        <is>
          <t>Lck6122evg</t>
        </is>
      </c>
      <c r="FI3222" s="15" t="inlineStr">
        <is>
          <t>ZHONGTONG</t>
        </is>
      </c>
      <c r="FJ3222" s="15" t="inlineStr">
        <is>
          <t>LCK6122EVG</t>
        </is>
      </c>
      <c r="FK3222" s="15" t="n">
        <v>2025</v>
      </c>
      <c r="FL3222" s="15" t="inlineStr">
        <is>
          <t>B</t>
        </is>
      </c>
      <c r="FM3222" s="15" t="inlineStr">
        <is>
          <t>CERRILLOS</t>
        </is>
      </c>
      <c r="FN3222" s="15" t="inlineStr">
        <is>
          <t>Calle Uno 7371</t>
        </is>
      </c>
      <c r="FO3222" s="15" t="inlineStr">
        <is>
          <t>Cerrillos</t>
        </is>
      </c>
      <c r="FP3222" t="inlineStr">
        <is>
          <t>B</t>
        </is>
      </c>
    </row>
    <row r="3223">
      <c r="FC3223" t="inlineStr">
        <is>
          <t>Diccionario 4</t>
        </is>
      </c>
      <c r="FD3223" s="15" t="inlineStr">
        <is>
          <t>1306 / VFPL-87|</t>
        </is>
      </c>
      <c r="FE3223" s="15" t="inlineStr">
        <is>
          <t>MDN35025020101</t>
        </is>
      </c>
      <c r="FF3223" s="15" t="inlineStr">
        <is>
          <t>LDYECS315S0044047</t>
        </is>
      </c>
      <c r="FG3223" s="15" t="inlineStr">
        <is>
          <t>Zhong Tong</t>
        </is>
      </c>
      <c r="FH3223" s="15" t="inlineStr">
        <is>
          <t>Lck6122evg</t>
        </is>
      </c>
      <c r="FI3223" s="15" t="inlineStr">
        <is>
          <t>ZHONGTONG</t>
        </is>
      </c>
      <c r="FJ3223" s="15" t="inlineStr">
        <is>
          <t>LCK6122EVG</t>
        </is>
      </c>
      <c r="FK3223" s="15" t="n">
        <v>2025</v>
      </c>
      <c r="FL3223" s="15" t="inlineStr">
        <is>
          <t>B</t>
        </is>
      </c>
      <c r="FM3223" s="15" t="inlineStr">
        <is>
          <t>CERRILLOS</t>
        </is>
      </c>
      <c r="FN3223" s="15" t="inlineStr">
        <is>
          <t>Calle Uno 7371</t>
        </is>
      </c>
      <c r="FO3223" s="15" t="inlineStr">
        <is>
          <t>Cerrillos</t>
        </is>
      </c>
      <c r="FP3223" t="inlineStr">
        <is>
          <t>B</t>
        </is>
      </c>
    </row>
    <row r="3224">
      <c r="FC3224" t="inlineStr">
        <is>
          <t>Diccionario 4</t>
        </is>
      </c>
      <c r="FD3224" s="15" t="inlineStr">
        <is>
          <t>1307 / VFPL-88|</t>
        </is>
      </c>
      <c r="FE3224" s="15" t="inlineStr">
        <is>
          <t>MDN35025020071</t>
        </is>
      </c>
      <c r="FF3224" s="15" t="inlineStr">
        <is>
          <t>LDYECS316S0044039</t>
        </is>
      </c>
      <c r="FG3224" s="15" t="inlineStr">
        <is>
          <t>Zhong Tong</t>
        </is>
      </c>
      <c r="FH3224" s="15" t="inlineStr">
        <is>
          <t>Lck6122evg</t>
        </is>
      </c>
      <c r="FI3224" s="15" t="inlineStr">
        <is>
          <t>ZHONGTONG</t>
        </is>
      </c>
      <c r="FJ3224" s="15" t="inlineStr">
        <is>
          <t>LCK6122EVG</t>
        </is>
      </c>
      <c r="FK3224" s="15" t="n">
        <v>2025</v>
      </c>
      <c r="FL3224" s="15" t="inlineStr">
        <is>
          <t>B</t>
        </is>
      </c>
      <c r="FM3224" s="15" t="inlineStr">
        <is>
          <t>PIE ANDINO</t>
        </is>
      </c>
      <c r="FN3224" s="15" t="inlineStr">
        <is>
          <t>Pie Andino 31 (Pie Andino 383)</t>
        </is>
      </c>
      <c r="FO3224" s="15" t="inlineStr">
        <is>
          <t>Puente Alto</t>
        </is>
      </c>
      <c r="FP3224" t="inlineStr">
        <is>
          <t>B</t>
        </is>
      </c>
    </row>
    <row r="3225">
      <c r="FC3225" t="inlineStr">
        <is>
          <t>Diccionario 4</t>
        </is>
      </c>
      <c r="FD3225" s="15" t="inlineStr">
        <is>
          <t>1308 / VFPL-92|</t>
        </is>
      </c>
      <c r="FE3225" s="15" t="inlineStr">
        <is>
          <t>MDN35025010192</t>
        </is>
      </c>
      <c r="FF3225" s="15" t="inlineStr">
        <is>
          <t>LDYECS312S0044054</t>
        </is>
      </c>
      <c r="FG3225" s="15" t="inlineStr">
        <is>
          <t>Zhong Tong</t>
        </is>
      </c>
      <c r="FH3225" s="15" t="inlineStr">
        <is>
          <t>Lck6122evg</t>
        </is>
      </c>
      <c r="FI3225" s="15" t="inlineStr">
        <is>
          <t>ZHONGTONG</t>
        </is>
      </c>
      <c r="FJ3225" s="15" t="inlineStr">
        <is>
          <t>LCK6122EVG</t>
        </is>
      </c>
      <c r="FK3225" s="15" t="n">
        <v>2025</v>
      </c>
      <c r="FL3225" s="15" t="inlineStr">
        <is>
          <t>B</t>
        </is>
      </c>
      <c r="FM3225" s="15" t="inlineStr">
        <is>
          <t>PIE ANDINO</t>
        </is>
      </c>
      <c r="FN3225" s="15" t="inlineStr">
        <is>
          <t>Pie Andino 31 (Pie Andino 383)</t>
        </is>
      </c>
      <c r="FO3225" s="15" t="inlineStr">
        <is>
          <t>Puente Alto</t>
        </is>
      </c>
      <c r="FP3225" t="inlineStr">
        <is>
          <t>B</t>
        </is>
      </c>
    </row>
    <row r="3226">
      <c r="FC3226" t="inlineStr">
        <is>
          <t>Diccionario 4</t>
        </is>
      </c>
      <c r="FD3226" s="15" t="inlineStr">
        <is>
          <t>1309 / VFPP-11|</t>
        </is>
      </c>
      <c r="FE3226" s="15" t="inlineStr">
        <is>
          <t>MDN35025010191</t>
        </is>
      </c>
      <c r="FF3226" s="15" t="inlineStr">
        <is>
          <t>LDYECS316S0044056</t>
        </is>
      </c>
      <c r="FG3226" s="15" t="inlineStr">
        <is>
          <t>Zhong Tong</t>
        </is>
      </c>
      <c r="FH3226" s="15" t="inlineStr">
        <is>
          <t>Lck6122evg</t>
        </is>
      </c>
      <c r="FI3226" s="15" t="inlineStr">
        <is>
          <t>ZHONGTONG</t>
        </is>
      </c>
      <c r="FJ3226" s="15" t="inlineStr">
        <is>
          <t>LCK6122EVG</t>
        </is>
      </c>
      <c r="FK3226" s="15" t="n">
        <v>2025</v>
      </c>
      <c r="FL3226" s="15" t="inlineStr">
        <is>
          <t>B</t>
        </is>
      </c>
      <c r="FM3226" s="15" t="inlineStr">
        <is>
          <t>PIE ANDINO</t>
        </is>
      </c>
      <c r="FN3226" s="15" t="inlineStr">
        <is>
          <t>Pie Andino 31 (Pie Andino 383)</t>
        </is>
      </c>
      <c r="FO3226" s="15" t="inlineStr">
        <is>
          <t>Puente Alto</t>
        </is>
      </c>
      <c r="FP3226" t="inlineStr">
        <is>
          <t>B</t>
        </is>
      </c>
    </row>
    <row r="3227">
      <c r="FC3227" t="inlineStr">
        <is>
          <t>Diccionario 4</t>
        </is>
      </c>
      <c r="FD3227" s="15" t="inlineStr">
        <is>
          <t>1310 / VFPS-39|</t>
        </is>
      </c>
      <c r="FE3227" s="15" t="inlineStr">
        <is>
          <t>MDN35025010217</t>
        </is>
      </c>
      <c r="FF3227" s="15" t="inlineStr">
        <is>
          <t>LDYECS319S0044083</t>
        </is>
      </c>
      <c r="FG3227" s="15" t="inlineStr">
        <is>
          <t>Zhong Tong</t>
        </is>
      </c>
      <c r="FH3227" s="15" t="inlineStr">
        <is>
          <t>Lck6122evg</t>
        </is>
      </c>
      <c r="FI3227" s="15" t="inlineStr">
        <is>
          <t>ZHONGTONG</t>
        </is>
      </c>
      <c r="FJ3227" s="15" t="inlineStr">
        <is>
          <t>LCK6122EVG</t>
        </is>
      </c>
      <c r="FK3227" s="15" t="n">
        <v>2025</v>
      </c>
      <c r="FL3227" s="15" t="inlineStr">
        <is>
          <t>B</t>
        </is>
      </c>
      <c r="FM3227" s="15" t="inlineStr">
        <is>
          <t>CERRILLOS</t>
        </is>
      </c>
      <c r="FN3227" s="15" t="inlineStr">
        <is>
          <t>Calle Uno 7371</t>
        </is>
      </c>
      <c r="FO3227" s="15" t="inlineStr">
        <is>
          <t>Cerrillos</t>
        </is>
      </c>
      <c r="FP3227" t="inlineStr">
        <is>
          <t>B</t>
        </is>
      </c>
    </row>
    <row r="3228">
      <c r="FC3228" t="inlineStr">
        <is>
          <t>Diccionario 4</t>
        </is>
      </c>
      <c r="FD3228" s="15" t="inlineStr">
        <is>
          <t>1311 / VFPS-47|</t>
        </is>
      </c>
      <c r="FE3228" s="15" t="inlineStr">
        <is>
          <t>MDN35025020132</t>
        </is>
      </c>
      <c r="FF3228" s="15" t="inlineStr">
        <is>
          <t>LDYECS318S0044057</t>
        </is>
      </c>
      <c r="FG3228" s="15" t="inlineStr">
        <is>
          <t>Zhong Tong</t>
        </is>
      </c>
      <c r="FH3228" s="15" t="inlineStr">
        <is>
          <t>Lck6122evg</t>
        </is>
      </c>
      <c r="FI3228" s="15" t="inlineStr">
        <is>
          <t>ZHONGTONG</t>
        </is>
      </c>
      <c r="FJ3228" s="15" t="inlineStr">
        <is>
          <t>LCK6122EVG</t>
        </is>
      </c>
      <c r="FK3228" s="15" t="n">
        <v>2025</v>
      </c>
      <c r="FL3228" s="15" t="inlineStr">
        <is>
          <t>B</t>
        </is>
      </c>
      <c r="FM3228" s="15" t="inlineStr">
        <is>
          <t>CERRILLOS</t>
        </is>
      </c>
      <c r="FN3228" s="15" t="inlineStr">
        <is>
          <t>Calle Uno 7371</t>
        </is>
      </c>
      <c r="FO3228" s="15" t="inlineStr">
        <is>
          <t>Cerrillos</t>
        </is>
      </c>
      <c r="FP3228" t="inlineStr">
        <is>
          <t>B</t>
        </is>
      </c>
    </row>
    <row r="3229">
      <c r="FC3229" t="inlineStr">
        <is>
          <t>Diccionario 4</t>
        </is>
      </c>
      <c r="FD3229" s="15" t="inlineStr">
        <is>
          <t>1312 / VFPS-48|</t>
        </is>
      </c>
      <c r="FE3229" s="15" t="inlineStr">
        <is>
          <t>MDN35025020073</t>
        </is>
      </c>
      <c r="FF3229" s="15" t="inlineStr">
        <is>
          <t>LDYECS315S0044050</t>
        </is>
      </c>
      <c r="FG3229" s="15" t="inlineStr">
        <is>
          <t>Zhong Tong</t>
        </is>
      </c>
      <c r="FH3229" s="15" t="inlineStr">
        <is>
          <t>Lck6122evg</t>
        </is>
      </c>
      <c r="FI3229" s="15" t="inlineStr">
        <is>
          <t>ZHONGTONG</t>
        </is>
      </c>
      <c r="FJ3229" s="15" t="inlineStr">
        <is>
          <t>LCK6122EVG</t>
        </is>
      </c>
      <c r="FK3229" s="15" t="n">
        <v>2025</v>
      </c>
      <c r="FL3229" s="15" t="inlineStr">
        <is>
          <t>B</t>
        </is>
      </c>
      <c r="FM3229" s="15" t="inlineStr">
        <is>
          <t>PIE ANDINO</t>
        </is>
      </c>
      <c r="FN3229" s="15" t="inlineStr">
        <is>
          <t>Pie Andino 31 (Pie Andino 383)</t>
        </is>
      </c>
      <c r="FO3229" s="15" t="inlineStr">
        <is>
          <t>Puente Alto</t>
        </is>
      </c>
      <c r="FP3229" t="inlineStr">
        <is>
          <t>B</t>
        </is>
      </c>
    </row>
    <row r="3230">
      <c r="FC3230" t="inlineStr">
        <is>
          <t>Diccionario 4</t>
        </is>
      </c>
      <c r="FD3230" s="15" t="inlineStr">
        <is>
          <t>1313 / VFPS-56|</t>
        </is>
      </c>
      <c r="FE3230" s="15" t="inlineStr">
        <is>
          <t>MDN35025010190</t>
        </is>
      </c>
      <c r="FF3230" s="15" t="inlineStr">
        <is>
          <t>LDYECS310S0044084</t>
        </is>
      </c>
      <c r="FG3230" s="15" t="inlineStr">
        <is>
          <t>Zhong Tong</t>
        </is>
      </c>
      <c r="FH3230" s="15" t="inlineStr">
        <is>
          <t>Lck6122evg</t>
        </is>
      </c>
      <c r="FI3230" s="15" t="inlineStr">
        <is>
          <t>ZHONGTONG</t>
        </is>
      </c>
      <c r="FJ3230" s="15" t="inlineStr">
        <is>
          <t>LCK6122EVG</t>
        </is>
      </c>
      <c r="FK3230" s="15" t="n">
        <v>2025</v>
      </c>
      <c r="FL3230" s="15" t="inlineStr">
        <is>
          <t>B</t>
        </is>
      </c>
      <c r="FM3230" s="15" t="inlineStr">
        <is>
          <t>PIE ANDINO</t>
        </is>
      </c>
      <c r="FN3230" s="15" t="inlineStr">
        <is>
          <t>Pie Andino 31 (Pie Andino 383)</t>
        </is>
      </c>
      <c r="FO3230" s="15" t="inlineStr">
        <is>
          <t>Puente Alto</t>
        </is>
      </c>
      <c r="FP3230" t="inlineStr">
        <is>
          <t>B</t>
        </is>
      </c>
    </row>
    <row r="3231">
      <c r="FC3231" t="inlineStr">
        <is>
          <t>Diccionario 4</t>
        </is>
      </c>
      <c r="FD3231" s="15" t="inlineStr">
        <is>
          <t>1314 / VFPS-65|</t>
        </is>
      </c>
      <c r="FE3231" s="15" t="inlineStr">
        <is>
          <t>MDN35025020029</t>
        </is>
      </c>
      <c r="FF3231" s="15" t="inlineStr">
        <is>
          <t>LDYECS311S0044045</t>
        </is>
      </c>
      <c r="FG3231" s="15" t="inlineStr">
        <is>
          <t>Zhong Tong</t>
        </is>
      </c>
      <c r="FH3231" s="15" t="inlineStr">
        <is>
          <t>Lck6122evg</t>
        </is>
      </c>
      <c r="FI3231" s="15" t="inlineStr">
        <is>
          <t>ZHONGTONG</t>
        </is>
      </c>
      <c r="FJ3231" s="15" t="inlineStr">
        <is>
          <t>LCK6122EVG</t>
        </is>
      </c>
      <c r="FK3231" s="15" t="n">
        <v>2025</v>
      </c>
      <c r="FL3231" s="15" t="inlineStr">
        <is>
          <t>B</t>
        </is>
      </c>
      <c r="FM3231" s="15" t="inlineStr">
        <is>
          <t>CERRILLOS</t>
        </is>
      </c>
      <c r="FN3231" s="15" t="inlineStr">
        <is>
          <t>Calle Uno 7371</t>
        </is>
      </c>
      <c r="FO3231" s="15" t="inlineStr">
        <is>
          <t>Cerrillos</t>
        </is>
      </c>
      <c r="FP3231" t="inlineStr">
        <is>
          <t>B</t>
        </is>
      </c>
    </row>
    <row r="3232">
      <c r="FC3232" t="inlineStr">
        <is>
          <t>Diccionario 4</t>
        </is>
      </c>
      <c r="FD3232" s="15" t="inlineStr">
        <is>
          <t>1315 / VFPS-69|</t>
        </is>
      </c>
      <c r="FE3232" s="15" t="inlineStr">
        <is>
          <t>MDN35025010198</t>
        </is>
      </c>
      <c r="FF3232" s="15" t="inlineStr">
        <is>
          <t>LDYECS314S0044038</t>
        </is>
      </c>
      <c r="FG3232" s="15" t="inlineStr">
        <is>
          <t>Zhong Tong</t>
        </is>
      </c>
      <c r="FH3232" s="15" t="inlineStr">
        <is>
          <t>Lck6122evg</t>
        </is>
      </c>
      <c r="FI3232" s="15" t="inlineStr">
        <is>
          <t>ZHONGTONG</t>
        </is>
      </c>
      <c r="FJ3232" s="15" t="inlineStr">
        <is>
          <t>LCK6122EVG</t>
        </is>
      </c>
      <c r="FK3232" s="15" t="n">
        <v>2025</v>
      </c>
      <c r="FL3232" s="15" t="inlineStr">
        <is>
          <t>B</t>
        </is>
      </c>
      <c r="FM3232" s="15" t="inlineStr">
        <is>
          <t>CERRILLOS</t>
        </is>
      </c>
      <c r="FN3232" s="15" t="inlineStr">
        <is>
          <t>Calle Uno 7371</t>
        </is>
      </c>
      <c r="FO3232" s="15" t="inlineStr">
        <is>
          <t>Cerrillos</t>
        </is>
      </c>
      <c r="FP3232" t="inlineStr">
        <is>
          <t>B</t>
        </is>
      </c>
    </row>
    <row r="3233">
      <c r="FC3233" t="inlineStr">
        <is>
          <t>Diccionario 4</t>
        </is>
      </c>
      <c r="FD3233" s="15" t="inlineStr">
        <is>
          <t>1316 / VFPS-74|</t>
        </is>
      </c>
      <c r="FE3233" s="15" t="inlineStr">
        <is>
          <t>MDN35025020050</t>
        </is>
      </c>
      <c r="FF3233" s="15" t="inlineStr">
        <is>
          <t>LDYECS311S0044028</t>
        </is>
      </c>
      <c r="FG3233" s="15" t="inlineStr">
        <is>
          <t>Zhong Tong</t>
        </is>
      </c>
      <c r="FH3233" s="15" t="inlineStr">
        <is>
          <t>Lck6122evg</t>
        </is>
      </c>
      <c r="FI3233" s="15" t="inlineStr">
        <is>
          <t>ZHONGTONG</t>
        </is>
      </c>
      <c r="FJ3233" s="15" t="inlineStr">
        <is>
          <t>LCK6122EVG</t>
        </is>
      </c>
      <c r="FK3233" s="15" t="n">
        <v>2025</v>
      </c>
      <c r="FL3233" s="15" t="inlineStr">
        <is>
          <t>B</t>
        </is>
      </c>
      <c r="FM3233" s="15" t="inlineStr">
        <is>
          <t>PIE ANDINO</t>
        </is>
      </c>
      <c r="FN3233" s="15" t="inlineStr">
        <is>
          <t>Pie Andino 31 (Pie Andino 383)</t>
        </is>
      </c>
      <c r="FO3233" s="15" t="inlineStr">
        <is>
          <t>Puente Alto</t>
        </is>
      </c>
      <c r="FP3233" t="inlineStr">
        <is>
          <t>B</t>
        </is>
      </c>
    </row>
    <row r="3234">
      <c r="FC3234" t="inlineStr">
        <is>
          <t>Diccionario 4</t>
        </is>
      </c>
      <c r="FD3234" s="15" t="inlineStr">
        <is>
          <t>1317 / VFPS-78|</t>
        </is>
      </c>
      <c r="FE3234" s="15" t="inlineStr">
        <is>
          <t>MDN35025020099</t>
        </is>
      </c>
      <c r="FF3234" s="15" t="inlineStr">
        <is>
          <t>LDYECS311S0044031</t>
        </is>
      </c>
      <c r="FG3234" s="15" t="inlineStr">
        <is>
          <t>Zhong Tong</t>
        </is>
      </c>
      <c r="FH3234" s="15" t="inlineStr">
        <is>
          <t>Lck6122evg</t>
        </is>
      </c>
      <c r="FI3234" s="15" t="inlineStr">
        <is>
          <t>ZHONGTONG</t>
        </is>
      </c>
      <c r="FJ3234" s="15" t="inlineStr">
        <is>
          <t>LCK6122EVG</t>
        </is>
      </c>
      <c r="FK3234" s="15" t="n">
        <v>2025</v>
      </c>
      <c r="FL3234" s="15" t="inlineStr">
        <is>
          <t>B</t>
        </is>
      </c>
      <c r="FM3234" s="15" t="inlineStr">
        <is>
          <t>PIE ANDINO</t>
        </is>
      </c>
      <c r="FN3234" s="15" t="inlineStr">
        <is>
          <t>Pie Andino 31 (Pie Andino 383)</t>
        </is>
      </c>
      <c r="FO3234" s="15" t="inlineStr">
        <is>
          <t>Puente Alto</t>
        </is>
      </c>
      <c r="FP3234" t="inlineStr">
        <is>
          <t>B</t>
        </is>
      </c>
    </row>
    <row r="3235">
      <c r="FC3235" t="inlineStr">
        <is>
          <t>Diccionario 4</t>
        </is>
      </c>
      <c r="FD3235" s="15" t="inlineStr">
        <is>
          <t>1318 / VFPS-85|</t>
        </is>
      </c>
      <c r="FE3235" s="15" t="inlineStr">
        <is>
          <t>MDN35025010246</t>
        </is>
      </c>
      <c r="FF3235" s="15" t="inlineStr">
        <is>
          <t>LDYECS314S0044055</t>
        </is>
      </c>
      <c r="FG3235" s="15" t="inlineStr">
        <is>
          <t>Zhong Tong</t>
        </is>
      </c>
      <c r="FH3235" s="15" t="inlineStr">
        <is>
          <t>Lck6122evg</t>
        </is>
      </c>
      <c r="FI3235" s="15" t="inlineStr">
        <is>
          <t>ZHONGTONG</t>
        </is>
      </c>
      <c r="FJ3235" s="15" t="inlineStr">
        <is>
          <t>LCK6122EVG</t>
        </is>
      </c>
      <c r="FK3235" s="15" t="n">
        <v>2025</v>
      </c>
      <c r="FL3235" s="15" t="inlineStr">
        <is>
          <t>B</t>
        </is>
      </c>
      <c r="FM3235" s="15" t="inlineStr">
        <is>
          <t>PIE ANDINO</t>
        </is>
      </c>
      <c r="FN3235" s="15" t="inlineStr">
        <is>
          <t>Pie Andino 31 (Pie Andino 383)</t>
        </is>
      </c>
      <c r="FO3235" s="15" t="inlineStr">
        <is>
          <t>Puente Alto</t>
        </is>
      </c>
      <c r="FP3235" t="inlineStr">
        <is>
          <t>B</t>
        </is>
      </c>
    </row>
    <row r="3236">
      <c r="FC3236" t="inlineStr">
        <is>
          <t>Diccionario 4</t>
        </is>
      </c>
      <c r="FD3236" s="15" t="inlineStr">
        <is>
          <t>1319 / VFPS-86|</t>
        </is>
      </c>
      <c r="FE3236" s="15" t="inlineStr">
        <is>
          <t>MDN35025020047</t>
        </is>
      </c>
      <c r="FF3236" s="15" t="inlineStr">
        <is>
          <t>LDYECS310S0044036</t>
        </is>
      </c>
      <c r="FG3236" s="15" t="inlineStr">
        <is>
          <t>Zhong Tong</t>
        </is>
      </c>
      <c r="FH3236" s="15" t="inlineStr">
        <is>
          <t>Lck6122evg</t>
        </is>
      </c>
      <c r="FI3236" s="15" t="inlineStr">
        <is>
          <t>ZHONGTONG</t>
        </is>
      </c>
      <c r="FJ3236" s="15" t="inlineStr">
        <is>
          <t>LCK6122EVG</t>
        </is>
      </c>
      <c r="FK3236" s="15" t="n">
        <v>2025</v>
      </c>
      <c r="FL3236" s="15" t="inlineStr">
        <is>
          <t>B</t>
        </is>
      </c>
      <c r="FM3236" s="15" t="inlineStr">
        <is>
          <t>PIE ANDINO</t>
        </is>
      </c>
      <c r="FN3236" s="15" t="inlineStr">
        <is>
          <t>Pie Andino 31 (Pie Andino 383)</t>
        </is>
      </c>
      <c r="FO3236" s="15" t="inlineStr">
        <is>
          <t>Puente Alto</t>
        </is>
      </c>
      <c r="FP3236" t="inlineStr">
        <is>
          <t>B</t>
        </is>
      </c>
    </row>
    <row r="3237">
      <c r="FC3237" t="inlineStr">
        <is>
          <t>Diccionario 4</t>
        </is>
      </c>
      <c r="FD3237" s="15" t="inlineStr">
        <is>
          <t>1320 / VFPS-87|</t>
        </is>
      </c>
      <c r="FE3237" s="15" t="inlineStr">
        <is>
          <t>MDN35025020114</t>
        </is>
      </c>
      <c r="FF3237" s="15" t="inlineStr">
        <is>
          <t>LDYECS315S0044033</t>
        </is>
      </c>
      <c r="FG3237" s="15" t="inlineStr">
        <is>
          <t>Zhong Tong</t>
        </is>
      </c>
      <c r="FH3237" s="15" t="inlineStr">
        <is>
          <t>Lck6122evg</t>
        </is>
      </c>
      <c r="FI3237" s="15" t="inlineStr">
        <is>
          <t>ZHONGTONG</t>
        </is>
      </c>
      <c r="FJ3237" s="15" t="inlineStr">
        <is>
          <t>LCK6122EVG</t>
        </is>
      </c>
      <c r="FK3237" s="15" t="n">
        <v>2025</v>
      </c>
      <c r="FL3237" s="15" t="inlineStr">
        <is>
          <t>B</t>
        </is>
      </c>
      <c r="FM3237" s="15" t="inlineStr">
        <is>
          <t>CERRILLOS</t>
        </is>
      </c>
      <c r="FN3237" s="15" t="inlineStr">
        <is>
          <t>Calle Uno 7371</t>
        </is>
      </c>
      <c r="FO3237" s="15" t="inlineStr">
        <is>
          <t>Cerrillos</t>
        </is>
      </c>
      <c r="FP3237" t="inlineStr">
        <is>
          <t>B</t>
        </is>
      </c>
    </row>
    <row r="3238">
      <c r="FC3238" t="inlineStr">
        <is>
          <t>Diccionario 4</t>
        </is>
      </c>
      <c r="FD3238" s="15" t="inlineStr">
        <is>
          <t>1321 / VFPS-89|</t>
        </is>
      </c>
      <c r="FE3238" s="15" t="inlineStr">
        <is>
          <t>MDN35025020031</t>
        </is>
      </c>
      <c r="FF3238" s="15" t="inlineStr">
        <is>
          <t>LDYECS319S0044049</t>
        </is>
      </c>
      <c r="FG3238" s="15" t="inlineStr">
        <is>
          <t>Zhong Tong</t>
        </is>
      </c>
      <c r="FH3238" s="15" t="inlineStr">
        <is>
          <t>Lck6122evg</t>
        </is>
      </c>
      <c r="FI3238" s="15" t="inlineStr">
        <is>
          <t>ZHONGTONG</t>
        </is>
      </c>
      <c r="FJ3238" s="15" t="inlineStr">
        <is>
          <t>LCK6122EVG</t>
        </is>
      </c>
      <c r="FK3238" s="15" t="n">
        <v>2025</v>
      </c>
      <c r="FL3238" s="15" t="inlineStr">
        <is>
          <t>B</t>
        </is>
      </c>
      <c r="FM3238" s="15" t="inlineStr">
        <is>
          <t>PIE ANDINO</t>
        </is>
      </c>
      <c r="FN3238" s="15" t="inlineStr">
        <is>
          <t>Pie Andino 31 (Pie Andino 383)</t>
        </is>
      </c>
      <c r="FO3238" s="15" t="inlineStr">
        <is>
          <t>Puente Alto</t>
        </is>
      </c>
      <c r="FP3238" t="inlineStr">
        <is>
          <t>B</t>
        </is>
      </c>
    </row>
    <row r="3239">
      <c r="FC3239" t="inlineStr">
        <is>
          <t>Diccionario 4</t>
        </is>
      </c>
      <c r="FD3239" s="15" t="inlineStr">
        <is>
          <t>1322 / VFPS-94|</t>
        </is>
      </c>
      <c r="FE3239" s="15" t="inlineStr">
        <is>
          <t>MDN35025020072</t>
        </is>
      </c>
      <c r="FF3239" s="15" t="inlineStr">
        <is>
          <t>LDYECS317S0044051</t>
        </is>
      </c>
      <c r="FG3239" s="15" t="inlineStr">
        <is>
          <t>Zhong Tong</t>
        </is>
      </c>
      <c r="FH3239" s="15" t="inlineStr">
        <is>
          <t>Lck6122evg</t>
        </is>
      </c>
      <c r="FI3239" s="15" t="inlineStr">
        <is>
          <t>ZHONGTONG</t>
        </is>
      </c>
      <c r="FJ3239" s="15" t="inlineStr">
        <is>
          <t>LCK6122EVG</t>
        </is>
      </c>
      <c r="FK3239" s="15" t="n">
        <v>2025</v>
      </c>
      <c r="FL3239" s="15" t="inlineStr">
        <is>
          <t>B</t>
        </is>
      </c>
      <c r="FM3239" s="15" t="inlineStr">
        <is>
          <t>PIE ANDINO</t>
        </is>
      </c>
      <c r="FN3239" s="15" t="inlineStr">
        <is>
          <t>Pie Andino 31 (Pie Andino 383)</t>
        </is>
      </c>
      <c r="FO3239" s="15" t="inlineStr">
        <is>
          <t>Puente Alto</t>
        </is>
      </c>
      <c r="FP3239" t="inlineStr">
        <is>
          <t>B</t>
        </is>
      </c>
    </row>
    <row r="3240">
      <c r="FC3240" t="inlineStr">
        <is>
          <t>Diccionario 4</t>
        </is>
      </c>
      <c r="FD3240" s="15" t="inlineStr">
        <is>
          <t>1323 / VFPS-99|</t>
        </is>
      </c>
      <c r="FE3240" s="15" t="inlineStr">
        <is>
          <t>MDN35025020042</t>
        </is>
      </c>
      <c r="FF3240" s="15" t="inlineStr">
        <is>
          <t>LDYECS315S0044078</t>
        </is>
      </c>
      <c r="FG3240" s="15" t="inlineStr">
        <is>
          <t>Zhong Tong</t>
        </is>
      </c>
      <c r="FH3240" s="15" t="inlineStr">
        <is>
          <t>Lck6122evg</t>
        </is>
      </c>
      <c r="FI3240" s="15" t="inlineStr">
        <is>
          <t>ZHONGTONG</t>
        </is>
      </c>
      <c r="FJ3240" s="15" t="inlineStr">
        <is>
          <t>LCK6122EVG</t>
        </is>
      </c>
      <c r="FK3240" s="15" t="n">
        <v>2025</v>
      </c>
      <c r="FL3240" s="15" t="inlineStr">
        <is>
          <t>B</t>
        </is>
      </c>
      <c r="FM3240" s="15" t="inlineStr">
        <is>
          <t>PIE ANDINO</t>
        </is>
      </c>
      <c r="FN3240" s="15" t="inlineStr">
        <is>
          <t>Pie Andino 31 (Pie Andino 383)</t>
        </is>
      </c>
      <c r="FO3240" s="15" t="inlineStr">
        <is>
          <t>Puente Alto</t>
        </is>
      </c>
      <c r="FP3240" t="inlineStr">
        <is>
          <t>B</t>
        </is>
      </c>
      <c r="FQ3240" t="inlineStr">
        <is>
          <t>SFWZ-49</t>
        </is>
      </c>
    </row>
    <row r="3241">
      <c r="FC3241" t="inlineStr">
        <is>
          <t>Diccionario 4</t>
        </is>
      </c>
      <c r="FD3241" s="15" t="inlineStr">
        <is>
          <t>1324 / VFPT-23|</t>
        </is>
      </c>
      <c r="FE3241" s="15" t="inlineStr">
        <is>
          <t>MDN35025020105</t>
        </is>
      </c>
      <c r="FF3241" s="15" t="inlineStr">
        <is>
          <t>LDYECS312S0044040</t>
        </is>
      </c>
      <c r="FG3241" s="15" t="inlineStr">
        <is>
          <t>Zhong Tong</t>
        </is>
      </c>
      <c r="FH3241" s="15" t="inlineStr">
        <is>
          <t>Lck6122evg</t>
        </is>
      </c>
      <c r="FI3241" s="15" t="inlineStr">
        <is>
          <t>ZHONGTONG</t>
        </is>
      </c>
      <c r="FJ3241" s="15" t="inlineStr">
        <is>
          <t>LCK6122EVG</t>
        </is>
      </c>
      <c r="FK3241" s="15" t="n">
        <v>2025</v>
      </c>
      <c r="FL3241" s="15" t="inlineStr">
        <is>
          <t>B</t>
        </is>
      </c>
      <c r="FM3241" s="15" t="inlineStr">
        <is>
          <t>SAN ALFONSO</t>
        </is>
      </c>
      <c r="FN3241" s="15" t="inlineStr">
        <is>
          <t>San Alfonso 2141 (Ramón Subercaseaux 3060)</t>
        </is>
      </c>
      <c r="FO3241" s="15" t="inlineStr">
        <is>
          <t>Estacion Central</t>
        </is>
      </c>
      <c r="FP3241" t="inlineStr">
        <is>
          <t>B</t>
        </is>
      </c>
    </row>
    <row r="3242">
      <c r="FC3242" t="inlineStr">
        <is>
          <t>Diccionario 4</t>
        </is>
      </c>
      <c r="FD3242" s="15" t="inlineStr">
        <is>
          <t>1325 / VFPT-27|</t>
        </is>
      </c>
      <c r="FE3242" s="15" t="inlineStr">
        <is>
          <t>MDN35025020129</t>
        </is>
      </c>
      <c r="FF3242" s="15" t="inlineStr">
        <is>
          <t>LDYECS319S0044035</t>
        </is>
      </c>
      <c r="FG3242" s="15" t="inlineStr">
        <is>
          <t>Zhong Tong</t>
        </is>
      </c>
      <c r="FH3242" s="15" t="inlineStr">
        <is>
          <t>Lck6122evg</t>
        </is>
      </c>
      <c r="FI3242" s="15" t="inlineStr">
        <is>
          <t>ZHONGTONG</t>
        </is>
      </c>
      <c r="FJ3242" s="15" t="inlineStr">
        <is>
          <t>LCK6122EVG</t>
        </is>
      </c>
      <c r="FK3242" s="15" t="n">
        <v>2025</v>
      </c>
      <c r="FL3242" s="15" t="inlineStr">
        <is>
          <t>B</t>
        </is>
      </c>
      <c r="FM3242" s="15" t="inlineStr">
        <is>
          <t>SAN ALFONSO</t>
        </is>
      </c>
      <c r="FN3242" s="15" t="inlineStr">
        <is>
          <t>San Alfonso 2141 (Ramón Subercaseaux 3060)</t>
        </is>
      </c>
      <c r="FO3242" s="15" t="inlineStr">
        <is>
          <t>Estacion Central</t>
        </is>
      </c>
      <c r="FP3242" t="inlineStr">
        <is>
          <t>B</t>
        </is>
      </c>
    </row>
    <row r="3243">
      <c r="FC3243" t="inlineStr">
        <is>
          <t>Diccionario 4</t>
        </is>
      </c>
      <c r="FD3243" s="15" t="inlineStr">
        <is>
          <t>1326 / VFPT-47|</t>
        </is>
      </c>
      <c r="FE3243" s="15" t="inlineStr">
        <is>
          <t>MDN35025020107</t>
        </is>
      </c>
      <c r="FF3243" s="15" t="inlineStr">
        <is>
          <t>LDYECS313S0044063</t>
        </is>
      </c>
      <c r="FG3243" s="15" t="inlineStr">
        <is>
          <t>Zhong Tong</t>
        </is>
      </c>
      <c r="FH3243" s="15" t="inlineStr">
        <is>
          <t>Lck6122evg</t>
        </is>
      </c>
      <c r="FI3243" s="15" t="inlineStr">
        <is>
          <t>ZHONGTONG</t>
        </is>
      </c>
      <c r="FJ3243" s="15" t="inlineStr">
        <is>
          <t>LCK6122EVG</t>
        </is>
      </c>
      <c r="FK3243" s="15" t="n">
        <v>2025</v>
      </c>
      <c r="FL3243" s="15" t="inlineStr">
        <is>
          <t>B</t>
        </is>
      </c>
      <c r="FM3243" s="15" t="inlineStr">
        <is>
          <t>PIE ANDINO</t>
        </is>
      </c>
      <c r="FN3243" s="15" t="inlineStr">
        <is>
          <t>Pie Andino 31 (Pie Andino 383)</t>
        </is>
      </c>
      <c r="FO3243" s="15" t="inlineStr">
        <is>
          <t>Puente Alto</t>
        </is>
      </c>
      <c r="FP3243" t="inlineStr">
        <is>
          <t>B</t>
        </is>
      </c>
    </row>
    <row r="3244">
      <c r="FC3244" t="inlineStr">
        <is>
          <t>Diccionario 4</t>
        </is>
      </c>
      <c r="FD3244" s="15" t="inlineStr">
        <is>
          <t>1327 / VFPT-63|</t>
        </is>
      </c>
      <c r="FE3244" s="15" t="inlineStr">
        <is>
          <t>MDN35025010243</t>
        </is>
      </c>
      <c r="FF3244" s="15" t="inlineStr">
        <is>
          <t>LDYECS310S0044053</t>
        </is>
      </c>
      <c r="FG3244" s="15" t="inlineStr">
        <is>
          <t>Zhong Tong</t>
        </is>
      </c>
      <c r="FH3244" s="15" t="inlineStr">
        <is>
          <t>Lck6122evg</t>
        </is>
      </c>
      <c r="FI3244" s="15" t="inlineStr">
        <is>
          <t>ZHONGTONG</t>
        </is>
      </c>
      <c r="FJ3244" s="15" t="inlineStr">
        <is>
          <t>LCK6122EVG</t>
        </is>
      </c>
      <c r="FK3244" s="15" t="n">
        <v>2025</v>
      </c>
      <c r="FL3244" s="15" t="inlineStr">
        <is>
          <t>B</t>
        </is>
      </c>
      <c r="FM3244" s="15" t="inlineStr">
        <is>
          <t>PIE ANDINO</t>
        </is>
      </c>
      <c r="FN3244" s="15" t="inlineStr">
        <is>
          <t>Pie Andino 31 (Pie Andino 383)</t>
        </is>
      </c>
      <c r="FO3244" s="15" t="inlineStr">
        <is>
          <t>Puente Alto</t>
        </is>
      </c>
      <c r="FP3244" t="inlineStr">
        <is>
          <t>B</t>
        </is>
      </c>
    </row>
    <row r="3245">
      <c r="FC3245" t="inlineStr">
        <is>
          <t>Diccionario 4</t>
        </is>
      </c>
      <c r="FD3245" s="15" t="inlineStr">
        <is>
          <t>1328 / VFPT-64|</t>
        </is>
      </c>
      <c r="FE3245" s="15" t="inlineStr">
        <is>
          <t>MDN35025020034</t>
        </is>
      </c>
      <c r="FF3245" s="15" t="inlineStr">
        <is>
          <t>LDYECS315S0044064</t>
        </is>
      </c>
      <c r="FG3245" s="15" t="inlineStr">
        <is>
          <t>Zhong Tong</t>
        </is>
      </c>
      <c r="FH3245" s="15" t="inlineStr">
        <is>
          <t>Lck6122evg</t>
        </is>
      </c>
      <c r="FI3245" s="15" t="inlineStr">
        <is>
          <t>ZHONGTONG</t>
        </is>
      </c>
      <c r="FJ3245" s="15" t="inlineStr">
        <is>
          <t>LCK6122EVG</t>
        </is>
      </c>
      <c r="FK3245" s="15" t="n">
        <v>2025</v>
      </c>
      <c r="FL3245" s="15" t="inlineStr">
        <is>
          <t>B</t>
        </is>
      </c>
      <c r="FM3245" s="15" t="inlineStr">
        <is>
          <t>PIE ANDINO</t>
        </is>
      </c>
      <c r="FN3245" s="15" t="inlineStr">
        <is>
          <t>Pie Andino 31 (Pie Andino 383)</t>
        </is>
      </c>
      <c r="FO3245" s="15" t="inlineStr">
        <is>
          <t>Puente Alto</t>
        </is>
      </c>
      <c r="FP3245" t="inlineStr">
        <is>
          <t>B</t>
        </is>
      </c>
    </row>
    <row r="3246">
      <c r="FC3246" t="inlineStr">
        <is>
          <t>Diccionario 4</t>
        </is>
      </c>
      <c r="FD3246" s="15" t="inlineStr">
        <is>
          <t>1329 / VFPT-65|</t>
        </is>
      </c>
      <c r="FE3246" s="15" t="inlineStr">
        <is>
          <t>MDN35025010187</t>
        </is>
      </c>
      <c r="FF3246" s="15" t="inlineStr">
        <is>
          <t>LDYECS318S0044043</t>
        </is>
      </c>
      <c r="FG3246" s="15" t="inlineStr">
        <is>
          <t>Zhong Tong</t>
        </is>
      </c>
      <c r="FH3246" s="15" t="inlineStr">
        <is>
          <t>Lck6122evg</t>
        </is>
      </c>
      <c r="FI3246" s="15" t="inlineStr">
        <is>
          <t>ZHONGTONG</t>
        </is>
      </c>
      <c r="FJ3246" s="15" t="inlineStr">
        <is>
          <t>LCK6122EVG</t>
        </is>
      </c>
      <c r="FK3246" s="15" t="n">
        <v>2025</v>
      </c>
      <c r="FL3246" s="15" t="inlineStr">
        <is>
          <t>B</t>
        </is>
      </c>
      <c r="FM3246" s="15" t="inlineStr">
        <is>
          <t>PIE ANDINO</t>
        </is>
      </c>
      <c r="FN3246" s="15" t="inlineStr">
        <is>
          <t>Pie Andino 31 (Pie Andino 383)</t>
        </is>
      </c>
      <c r="FO3246" s="15" t="inlineStr">
        <is>
          <t>Puente Alto</t>
        </is>
      </c>
      <c r="FP3246" t="inlineStr">
        <is>
          <t>B</t>
        </is>
      </c>
    </row>
    <row r="3247">
      <c r="FC3247" t="inlineStr">
        <is>
          <t>Diccionario 4</t>
        </is>
      </c>
      <c r="FD3247" s="15" t="inlineStr">
        <is>
          <t>1330 / VFPV-53|</t>
        </is>
      </c>
      <c r="FE3247" s="15" t="inlineStr">
        <is>
          <t>MDN35025010199</t>
        </is>
      </c>
      <c r="FF3247" s="15" t="inlineStr">
        <is>
          <t>LDYECS316S0044042</t>
        </is>
      </c>
      <c r="FG3247" s="15" t="inlineStr">
        <is>
          <t>Zhong Tong</t>
        </is>
      </c>
      <c r="FH3247" s="15" t="inlineStr">
        <is>
          <t>Lck6122evg</t>
        </is>
      </c>
      <c r="FI3247" s="15" t="inlineStr">
        <is>
          <t>ZHONGTONG</t>
        </is>
      </c>
      <c r="FJ3247" s="15" t="inlineStr">
        <is>
          <t>LCK6122EVG</t>
        </is>
      </c>
      <c r="FK3247" s="15" t="n">
        <v>2025</v>
      </c>
      <c r="FL3247" s="15" t="inlineStr">
        <is>
          <t>B</t>
        </is>
      </c>
      <c r="FM3247" s="15" t="inlineStr">
        <is>
          <t>PIE ANDINO</t>
        </is>
      </c>
      <c r="FN3247" s="15" t="inlineStr">
        <is>
          <t>Pie Andino 31 (Pie Andino 383)</t>
        </is>
      </c>
      <c r="FO3247" s="15" t="inlineStr">
        <is>
          <t>Puente Alto</t>
        </is>
      </c>
      <c r="FP3247" t="inlineStr">
        <is>
          <t>B</t>
        </is>
      </c>
    </row>
    <row r="3248">
      <c r="FC3248" t="inlineStr">
        <is>
          <t>Diccionario 4</t>
        </is>
      </c>
      <c r="FD3248" s="15" t="inlineStr">
        <is>
          <t>1331 / VFPV-63|</t>
        </is>
      </c>
      <c r="FE3248" s="15" t="inlineStr">
        <is>
          <t>MDN35025020089</t>
        </is>
      </c>
      <c r="FF3248" s="15" t="inlineStr">
        <is>
          <t>LDYECS317S0044048</t>
        </is>
      </c>
      <c r="FG3248" s="15" t="inlineStr">
        <is>
          <t>Zhong Tong</t>
        </is>
      </c>
      <c r="FH3248" s="15" t="inlineStr">
        <is>
          <t>Lck6122evg</t>
        </is>
      </c>
      <c r="FI3248" s="15" t="inlineStr">
        <is>
          <t>ZHONGTONG</t>
        </is>
      </c>
      <c r="FJ3248" s="15" t="inlineStr">
        <is>
          <t>LCK6122EVG</t>
        </is>
      </c>
      <c r="FK3248" s="15" t="n">
        <v>2025</v>
      </c>
      <c r="FL3248" s="15" t="inlineStr">
        <is>
          <t>B</t>
        </is>
      </c>
      <c r="FM3248" s="15" t="inlineStr">
        <is>
          <t>SAN ALFONSO</t>
        </is>
      </c>
      <c r="FN3248" s="15" t="inlineStr">
        <is>
          <t>San Alfonso 2141 (Ramón Subercaseaux 3060)</t>
        </is>
      </c>
      <c r="FO3248" s="15" t="inlineStr">
        <is>
          <t>Estacion Central</t>
        </is>
      </c>
      <c r="FP3248" t="inlineStr">
        <is>
          <t>B</t>
        </is>
      </c>
    </row>
    <row r="3249">
      <c r="FC3249" t="inlineStr">
        <is>
          <t>Diccionario 4</t>
        </is>
      </c>
      <c r="FD3249" s="15" t="inlineStr">
        <is>
          <t>1332 / VFPV-73|</t>
        </is>
      </c>
      <c r="FE3249" s="15" t="inlineStr">
        <is>
          <t>MDN35025020078</t>
        </is>
      </c>
      <c r="FF3249" s="15" t="inlineStr">
        <is>
          <t>LDYECS311S0044062</t>
        </is>
      </c>
      <c r="FG3249" s="15" t="inlineStr">
        <is>
          <t>Zhong Tong</t>
        </is>
      </c>
      <c r="FH3249" s="15" t="inlineStr">
        <is>
          <t>Lck6122evg</t>
        </is>
      </c>
      <c r="FI3249" s="15" t="inlineStr">
        <is>
          <t>ZHONGTONG</t>
        </is>
      </c>
      <c r="FJ3249" s="15" t="inlineStr">
        <is>
          <t>LCK6122EVG</t>
        </is>
      </c>
      <c r="FK3249" s="15" t="n">
        <v>2025</v>
      </c>
      <c r="FL3249" s="15" t="inlineStr">
        <is>
          <t>B</t>
        </is>
      </c>
      <c r="FM3249" s="15" t="inlineStr">
        <is>
          <t>SAN ALFONSO</t>
        </is>
      </c>
      <c r="FN3249" s="15" t="inlineStr">
        <is>
          <t>San Alfonso 2141 (Ramón Subercaseaux 3060)</t>
        </is>
      </c>
      <c r="FO3249" s="15" t="inlineStr">
        <is>
          <t>Estacion Central</t>
        </is>
      </c>
      <c r="FP3249" t="inlineStr">
        <is>
          <t>B</t>
        </is>
      </c>
    </row>
    <row r="3250">
      <c r="FC3250" t="inlineStr">
        <is>
          <t>Diccionario 4</t>
        </is>
      </c>
      <c r="FD3250" s="15" t="inlineStr">
        <is>
          <t>1333 / VFPV-83|</t>
        </is>
      </c>
      <c r="FE3250" s="15" t="inlineStr">
        <is>
          <t>MDN35025020036</t>
        </is>
      </c>
      <c r="FF3250" s="15" t="inlineStr">
        <is>
          <t>LDYECS319S0044066</t>
        </is>
      </c>
      <c r="FG3250" s="15" t="inlineStr">
        <is>
          <t>Zhong Tong</t>
        </is>
      </c>
      <c r="FH3250" s="15" t="inlineStr">
        <is>
          <t>Lck6122evg</t>
        </is>
      </c>
      <c r="FI3250" s="15" t="inlineStr">
        <is>
          <t>ZHONGTONG</t>
        </is>
      </c>
      <c r="FJ3250" s="15" t="inlineStr">
        <is>
          <t>LCK6122EVG</t>
        </is>
      </c>
      <c r="FK3250" s="15" t="n">
        <v>2025</v>
      </c>
      <c r="FL3250" s="15" t="inlineStr">
        <is>
          <t>B</t>
        </is>
      </c>
      <c r="FM3250" s="15" t="inlineStr">
        <is>
          <t>PIE ANDINO</t>
        </is>
      </c>
      <c r="FN3250" s="15" t="inlineStr">
        <is>
          <t>Pie Andino 31 (Pie Andino 383)</t>
        </is>
      </c>
      <c r="FO3250" s="15" t="inlineStr">
        <is>
          <t>Puente Alto</t>
        </is>
      </c>
      <c r="FP3250" t="inlineStr">
        <is>
          <t>B</t>
        </is>
      </c>
    </row>
    <row r="3251">
      <c r="FC3251" t="inlineStr">
        <is>
          <t>Diccionario 4</t>
        </is>
      </c>
      <c r="FD3251" s="15" t="inlineStr">
        <is>
          <t>1334 / VFPV-93|</t>
        </is>
      </c>
      <c r="FE3251" s="15" t="inlineStr">
        <is>
          <t>MDN35025020126</t>
        </is>
      </c>
      <c r="FF3251" s="15" t="inlineStr">
        <is>
          <t>LDYECS318S0044074</t>
        </is>
      </c>
      <c r="FG3251" s="15" t="inlineStr">
        <is>
          <t>Zhong Tong</t>
        </is>
      </c>
      <c r="FH3251" s="15" t="inlineStr">
        <is>
          <t>Lck6122evg</t>
        </is>
      </c>
      <c r="FI3251" s="15" t="inlineStr">
        <is>
          <t>ZHONGTONG</t>
        </is>
      </c>
      <c r="FJ3251" s="15" t="inlineStr">
        <is>
          <t>LCK6122EVG</t>
        </is>
      </c>
      <c r="FK3251" s="15" t="n">
        <v>2025</v>
      </c>
      <c r="FL3251" s="15" t="inlineStr">
        <is>
          <t>B</t>
        </is>
      </c>
      <c r="FM3251" s="15" t="inlineStr">
        <is>
          <t>PIE ANDINO</t>
        </is>
      </c>
      <c r="FN3251" s="15" t="inlineStr">
        <is>
          <t>Pie Andino 31 (Pie Andino 383)</t>
        </is>
      </c>
      <c r="FO3251" s="15" t="inlineStr">
        <is>
          <t>Puente Alto</t>
        </is>
      </c>
      <c r="FP3251" t="inlineStr">
        <is>
          <t>B</t>
        </is>
      </c>
    </row>
    <row r="3252">
      <c r="FC3252" t="inlineStr">
        <is>
          <t>Diccionario 4</t>
        </is>
      </c>
      <c r="FD3252" s="15" t="inlineStr">
        <is>
          <t>1335 / VFPW-13|</t>
        </is>
      </c>
      <c r="FE3252" s="15" t="inlineStr">
        <is>
          <t>MDN35025010041</t>
        </is>
      </c>
      <c r="FF3252" s="15" t="inlineStr">
        <is>
          <t>LDYECS315S0043819</t>
        </is>
      </c>
      <c r="FG3252" s="15" t="inlineStr">
        <is>
          <t>Zhong Tong</t>
        </is>
      </c>
      <c r="FH3252" s="15" t="inlineStr">
        <is>
          <t>Lck6122evg</t>
        </is>
      </c>
      <c r="FI3252" s="15" t="inlineStr">
        <is>
          <t>ZHONGTONG</t>
        </is>
      </c>
      <c r="FJ3252" s="15" t="inlineStr">
        <is>
          <t>LCK6122EVG</t>
        </is>
      </c>
      <c r="FK3252" s="15" t="n">
        <v>2025</v>
      </c>
      <c r="FL3252" s="15" t="inlineStr">
        <is>
          <t>B</t>
        </is>
      </c>
      <c r="FM3252" s="15" t="inlineStr">
        <is>
          <t>SAN ALFONSO</t>
        </is>
      </c>
      <c r="FN3252" s="15" t="inlineStr">
        <is>
          <t>San Alfonso 2141 (Ramón Subercaseaux 3060)</t>
        </is>
      </c>
      <c r="FO3252" s="15" t="inlineStr">
        <is>
          <t>Estacion Central</t>
        </is>
      </c>
      <c r="FP3252" t="inlineStr">
        <is>
          <t>B</t>
        </is>
      </c>
    </row>
    <row r="3253">
      <c r="FC3253" t="inlineStr">
        <is>
          <t>Diccionario 4</t>
        </is>
      </c>
      <c r="FD3253" s="15" t="inlineStr">
        <is>
          <t>1336 / VFPW-23|</t>
        </is>
      </c>
      <c r="FE3253" s="15" t="inlineStr">
        <is>
          <t>MDN35025020021</t>
        </is>
      </c>
      <c r="FF3253" s="15" t="inlineStr">
        <is>
          <t>LDYECS316S0044106</t>
        </is>
      </c>
      <c r="FG3253" s="15" t="inlineStr">
        <is>
          <t>Zhong Tong</t>
        </is>
      </c>
      <c r="FH3253" s="15" t="inlineStr">
        <is>
          <t>Lck6122evg</t>
        </is>
      </c>
      <c r="FI3253" s="15" t="inlineStr">
        <is>
          <t>ZHONGTONG</t>
        </is>
      </c>
      <c r="FJ3253" s="15" t="inlineStr">
        <is>
          <t>LCK6122EVG</t>
        </is>
      </c>
      <c r="FK3253" s="15" t="n">
        <v>2025</v>
      </c>
      <c r="FL3253" s="15" t="inlineStr">
        <is>
          <t>B</t>
        </is>
      </c>
      <c r="FM3253" s="15" t="inlineStr">
        <is>
          <t>SAN ALFONSO</t>
        </is>
      </c>
      <c r="FN3253" s="15" t="inlineStr">
        <is>
          <t>San Alfonso 2141 (Ramón Subercaseaux 3060)</t>
        </is>
      </c>
      <c r="FO3253" s="15" t="inlineStr">
        <is>
          <t>Estacion Central</t>
        </is>
      </c>
      <c r="FP3253" t="inlineStr">
        <is>
          <t>B</t>
        </is>
      </c>
    </row>
    <row r="3254">
      <c r="FC3254" t="inlineStr">
        <is>
          <t>Diccionario 4</t>
        </is>
      </c>
      <c r="FD3254" s="15" t="inlineStr">
        <is>
          <t>1337 / VFPW-33|</t>
        </is>
      </c>
      <c r="FE3254" s="15" t="inlineStr">
        <is>
          <t>MDN35025020102</t>
        </is>
      </c>
      <c r="FF3254" s="15" t="inlineStr">
        <is>
          <t>LDYECS31XS0044044</t>
        </is>
      </c>
      <c r="FG3254" s="15" t="inlineStr">
        <is>
          <t>Zhong Tong</t>
        </is>
      </c>
      <c r="FH3254" s="15" t="inlineStr">
        <is>
          <t>Lck6122evg</t>
        </is>
      </c>
      <c r="FI3254" s="15" t="inlineStr">
        <is>
          <t>ZHONGTONG</t>
        </is>
      </c>
      <c r="FJ3254" s="15" t="inlineStr">
        <is>
          <t>LCK6122EVG</t>
        </is>
      </c>
      <c r="FK3254" s="15" t="n">
        <v>2025</v>
      </c>
      <c r="FL3254" s="15" t="inlineStr">
        <is>
          <t>B</t>
        </is>
      </c>
      <c r="FM3254" s="15" t="inlineStr">
        <is>
          <t>SAN ALFONSO</t>
        </is>
      </c>
      <c r="FN3254" s="15" t="inlineStr">
        <is>
          <t>San Alfonso 2141 (Ramón Subercaseaux 3060)</t>
        </is>
      </c>
      <c r="FO3254" s="15" t="inlineStr">
        <is>
          <t>Estacion Central</t>
        </is>
      </c>
      <c r="FP3254" t="inlineStr">
        <is>
          <t>B</t>
        </is>
      </c>
    </row>
    <row r="3255">
      <c r="FC3255" t="inlineStr">
        <is>
          <t>Diccionario 4</t>
        </is>
      </c>
      <c r="FD3255" s="15" t="inlineStr">
        <is>
          <t>1338 / VFPW-63|</t>
        </is>
      </c>
      <c r="FE3255" s="15" t="inlineStr">
        <is>
          <t>MDN35025020003</t>
        </is>
      </c>
      <c r="FF3255" s="15" t="inlineStr">
        <is>
          <t>LDYECS314S0044069</t>
        </is>
      </c>
      <c r="FG3255" s="15" t="inlineStr">
        <is>
          <t>Zhong Tong</t>
        </is>
      </c>
      <c r="FH3255" s="15" t="inlineStr">
        <is>
          <t>Lck6122evg</t>
        </is>
      </c>
      <c r="FI3255" s="15" t="inlineStr">
        <is>
          <t>ZHONGTONG</t>
        </is>
      </c>
      <c r="FJ3255" s="15" t="inlineStr">
        <is>
          <t>LCK6122EVG</t>
        </is>
      </c>
      <c r="FK3255" s="15" t="n">
        <v>2025</v>
      </c>
      <c r="FL3255" s="15" t="inlineStr">
        <is>
          <t>B</t>
        </is>
      </c>
      <c r="FM3255" s="15" t="inlineStr">
        <is>
          <t>PIE ANDINO</t>
        </is>
      </c>
      <c r="FN3255" s="15" t="inlineStr">
        <is>
          <t>Pie Andino 31 (Pie Andino 383)</t>
        </is>
      </c>
      <c r="FO3255" s="15" t="inlineStr">
        <is>
          <t>Puente Alto</t>
        </is>
      </c>
      <c r="FP3255" t="inlineStr">
        <is>
          <t>B</t>
        </is>
      </c>
    </row>
    <row r="3256">
      <c r="FC3256" t="inlineStr">
        <is>
          <t>Diccionario 4</t>
        </is>
      </c>
      <c r="FD3256" s="15" t="inlineStr">
        <is>
          <t>1339 / VFPW-73|</t>
        </is>
      </c>
      <c r="FE3256" s="15" t="inlineStr">
        <is>
          <t>MDN35025020091</t>
        </is>
      </c>
      <c r="FF3256" s="15" t="inlineStr">
        <is>
          <t>LDYECS313S0044046</t>
        </is>
      </c>
      <c r="FG3256" s="15" t="inlineStr">
        <is>
          <t>Zhong Tong</t>
        </is>
      </c>
      <c r="FH3256" s="15" t="inlineStr">
        <is>
          <t>Lck6122evg</t>
        </is>
      </c>
      <c r="FI3256" s="15" t="inlineStr">
        <is>
          <t>ZHONGTONG</t>
        </is>
      </c>
      <c r="FJ3256" s="15" t="inlineStr">
        <is>
          <t>LCK6122EVG</t>
        </is>
      </c>
      <c r="FK3256" s="15" t="n">
        <v>2025</v>
      </c>
      <c r="FL3256" s="15" t="inlineStr">
        <is>
          <t>B</t>
        </is>
      </c>
      <c r="FM3256" s="15" t="inlineStr">
        <is>
          <t>SAN ALFONSO</t>
        </is>
      </c>
      <c r="FN3256" s="15" t="inlineStr">
        <is>
          <t>San Alfonso 2141 (Ramón Subercaseaux 3060)</t>
        </is>
      </c>
      <c r="FO3256" s="15" t="inlineStr">
        <is>
          <t>Estacion Central</t>
        </is>
      </c>
      <c r="FP3256" t="inlineStr">
        <is>
          <t>B</t>
        </is>
      </c>
    </row>
    <row r="3257">
      <c r="FC3257" t="inlineStr">
        <is>
          <t>Diccionario 4</t>
        </is>
      </c>
      <c r="FD3257" s="15" t="inlineStr">
        <is>
          <t>1340 / VFPX-13|</t>
        </is>
      </c>
      <c r="FE3257" s="15" t="inlineStr">
        <is>
          <t>MDN35025020039</t>
        </is>
      </c>
      <c r="FF3257" s="15" t="inlineStr">
        <is>
          <t>LDYECS312S0044071</t>
        </is>
      </c>
      <c r="FG3257" s="15" t="inlineStr">
        <is>
          <t>Zhong Tong</t>
        </is>
      </c>
      <c r="FH3257" s="15" t="inlineStr">
        <is>
          <t>Lck6122evg</t>
        </is>
      </c>
      <c r="FI3257" s="15" t="inlineStr">
        <is>
          <t>ZHONGTONG</t>
        </is>
      </c>
      <c r="FJ3257" s="15" t="inlineStr">
        <is>
          <t>LCK6122EVG</t>
        </is>
      </c>
      <c r="FK3257" s="15" t="n">
        <v>2025</v>
      </c>
      <c r="FL3257" s="15" t="inlineStr">
        <is>
          <t>B</t>
        </is>
      </c>
      <c r="FM3257" s="15" t="inlineStr">
        <is>
          <t>SAN ALFONSO</t>
        </is>
      </c>
      <c r="FN3257" s="15" t="inlineStr">
        <is>
          <t>San Alfonso 2141 (Ramón Subercaseaux 3060)</t>
        </is>
      </c>
      <c r="FO3257" s="15" t="inlineStr">
        <is>
          <t>Estacion Central</t>
        </is>
      </c>
      <c r="FP3257" t="inlineStr">
        <is>
          <t>B</t>
        </is>
      </c>
    </row>
    <row r="3258">
      <c r="FC3258" t="inlineStr">
        <is>
          <t>Diccionario 4</t>
        </is>
      </c>
      <c r="FD3258" s="15" t="inlineStr">
        <is>
          <t>1341 / VFPX-33|</t>
        </is>
      </c>
      <c r="FE3258" s="15" t="inlineStr">
        <is>
          <t>MDN35025020085</t>
        </is>
      </c>
      <c r="FF3258" s="15" t="inlineStr">
        <is>
          <t>LDYECS311S0044076</t>
        </is>
      </c>
      <c r="FG3258" s="15" t="inlineStr">
        <is>
          <t>Zhong Tong</t>
        </is>
      </c>
      <c r="FH3258" s="15" t="inlineStr">
        <is>
          <t>Lck6122evg</t>
        </is>
      </c>
      <c r="FI3258" s="15" t="inlineStr">
        <is>
          <t>ZHONGTONG</t>
        </is>
      </c>
      <c r="FJ3258" s="15" t="inlineStr">
        <is>
          <t>LCK6122EVG</t>
        </is>
      </c>
      <c r="FK3258" s="15" t="n">
        <v>2025</v>
      </c>
      <c r="FL3258" s="15" t="inlineStr">
        <is>
          <t>B</t>
        </is>
      </c>
      <c r="FM3258" s="15" t="inlineStr">
        <is>
          <t>SAN ALFONSO</t>
        </is>
      </c>
      <c r="FN3258" s="15" t="inlineStr">
        <is>
          <t>San Alfonso 2141 (Ramón Subercaseaux 3060)</t>
        </is>
      </c>
      <c r="FO3258" s="15" t="inlineStr">
        <is>
          <t>Estacion Central</t>
        </is>
      </c>
      <c r="FP3258" t="inlineStr">
        <is>
          <t>B</t>
        </is>
      </c>
    </row>
    <row r="3259">
      <c r="FC3259" t="inlineStr">
        <is>
          <t>Diccionario 4</t>
        </is>
      </c>
      <c r="FD3259" s="15" t="inlineStr">
        <is>
          <t>1342 / VFPX-53|</t>
        </is>
      </c>
      <c r="FE3259" s="15" t="inlineStr">
        <is>
          <t>MDN35025010194</t>
        </is>
      </c>
      <c r="FF3259" s="15" t="inlineStr">
        <is>
          <t>LDYECS311S0044059</t>
        </is>
      </c>
      <c r="FG3259" s="15" t="inlineStr">
        <is>
          <t>Zhong Tong</t>
        </is>
      </c>
      <c r="FH3259" s="15" t="inlineStr">
        <is>
          <t>Lck6122evg</t>
        </is>
      </c>
      <c r="FI3259" s="15" t="inlineStr">
        <is>
          <t>ZHONGTONG</t>
        </is>
      </c>
      <c r="FJ3259" s="15" t="inlineStr">
        <is>
          <t>LCK6122EVG</t>
        </is>
      </c>
      <c r="FK3259" s="15" t="n">
        <v>2025</v>
      </c>
      <c r="FL3259" s="15" t="inlineStr">
        <is>
          <t>B</t>
        </is>
      </c>
      <c r="FM3259" s="15" t="inlineStr">
        <is>
          <t>PIE ANDINO</t>
        </is>
      </c>
      <c r="FN3259" s="15" t="inlineStr">
        <is>
          <t>Pie Andino 31 (Pie Andino 383)</t>
        </is>
      </c>
      <c r="FO3259" s="15" t="inlineStr">
        <is>
          <t>Puente Alto</t>
        </is>
      </c>
      <c r="FP3259" t="inlineStr">
        <is>
          <t>B</t>
        </is>
      </c>
    </row>
    <row r="3260">
      <c r="FC3260" t="inlineStr">
        <is>
          <t>Diccionario 4</t>
        </is>
      </c>
      <c r="FD3260" s="15" t="inlineStr">
        <is>
          <t>1343 / VFPX-63|</t>
        </is>
      </c>
      <c r="FE3260" s="15" t="inlineStr">
        <is>
          <t>MDN35025010098</t>
        </is>
      </c>
      <c r="FF3260" s="15" t="inlineStr">
        <is>
          <t>LDYECS31XS0044111</t>
        </is>
      </c>
      <c r="FG3260" s="15" t="inlineStr">
        <is>
          <t>Zhong Tong</t>
        </is>
      </c>
      <c r="FH3260" s="15" t="inlineStr">
        <is>
          <t>Lck6122evg</t>
        </is>
      </c>
      <c r="FI3260" s="15" t="inlineStr">
        <is>
          <t>ZHONGTONG</t>
        </is>
      </c>
      <c r="FJ3260" s="15" t="inlineStr">
        <is>
          <t>LCK6122EVG</t>
        </is>
      </c>
      <c r="FK3260" s="15" t="n">
        <v>2025</v>
      </c>
      <c r="FL3260" s="15" t="inlineStr">
        <is>
          <t>B</t>
        </is>
      </c>
      <c r="FM3260" s="15" t="inlineStr">
        <is>
          <t>PIE ANDINO</t>
        </is>
      </c>
      <c r="FN3260" s="15" t="inlineStr">
        <is>
          <t>Pie Andino 31 (Pie Andino 383)</t>
        </is>
      </c>
      <c r="FO3260" s="15" t="inlineStr">
        <is>
          <t>Puente Alto</t>
        </is>
      </c>
      <c r="FP3260" t="inlineStr">
        <is>
          <t>B</t>
        </is>
      </c>
    </row>
    <row r="3261">
      <c r="FC3261" t="inlineStr">
        <is>
          <t>Diccionario 4</t>
        </is>
      </c>
      <c r="FD3261" s="15" t="inlineStr">
        <is>
          <t>1344 / VFPX-83|</t>
        </is>
      </c>
      <c r="FE3261" s="15" t="inlineStr">
        <is>
          <t>MDN35025020037</t>
        </is>
      </c>
      <c r="FF3261" s="15" t="inlineStr">
        <is>
          <t>LDYECS310S0044070</t>
        </is>
      </c>
      <c r="FG3261" s="15" t="inlineStr">
        <is>
          <t>Zhong Tong</t>
        </is>
      </c>
      <c r="FH3261" s="15" t="inlineStr">
        <is>
          <t>Lck6122evg</t>
        </is>
      </c>
      <c r="FI3261" s="15" t="inlineStr">
        <is>
          <t>ZHONGTONG</t>
        </is>
      </c>
      <c r="FJ3261" s="15" t="inlineStr">
        <is>
          <t>LCK6122EVG</t>
        </is>
      </c>
      <c r="FK3261" s="15" t="n">
        <v>2025</v>
      </c>
      <c r="FL3261" s="15" t="inlineStr">
        <is>
          <t>B</t>
        </is>
      </c>
      <c r="FM3261" s="15" t="inlineStr">
        <is>
          <t>PIE ANDINO</t>
        </is>
      </c>
      <c r="FN3261" s="15" t="inlineStr">
        <is>
          <t>Pie Andino 31 (Pie Andino 383)</t>
        </is>
      </c>
      <c r="FO3261" s="15" t="inlineStr">
        <is>
          <t>Puente Alto</t>
        </is>
      </c>
      <c r="FP3261" t="inlineStr">
        <is>
          <t>B</t>
        </is>
      </c>
    </row>
    <row r="3262">
      <c r="FC3262" t="inlineStr">
        <is>
          <t>Diccionario 4</t>
        </is>
      </c>
      <c r="FD3262" s="15" t="inlineStr">
        <is>
          <t>1345 / VFPX-93|</t>
        </is>
      </c>
      <c r="FE3262" s="15" t="inlineStr">
        <is>
          <t>MDN35025020023</t>
        </is>
      </c>
      <c r="FF3262" s="15" t="inlineStr">
        <is>
          <t>LDYECS310S0044067</t>
        </is>
      </c>
      <c r="FG3262" s="15" t="inlineStr">
        <is>
          <t>Zhong Tong</t>
        </is>
      </c>
      <c r="FH3262" s="15" t="inlineStr">
        <is>
          <t>Lck6122evg</t>
        </is>
      </c>
      <c r="FI3262" s="15" t="inlineStr">
        <is>
          <t>ZHONGTONG</t>
        </is>
      </c>
      <c r="FJ3262" s="15" t="inlineStr">
        <is>
          <t>LCK6122EVG</t>
        </is>
      </c>
      <c r="FK3262" s="15" t="n">
        <v>2025</v>
      </c>
      <c r="FL3262" s="15" t="inlineStr">
        <is>
          <t>B</t>
        </is>
      </c>
      <c r="FM3262" s="15" t="inlineStr">
        <is>
          <t>PIE ANDINO</t>
        </is>
      </c>
      <c r="FN3262" s="15" t="inlineStr">
        <is>
          <t>Pie Andino 31 (Pie Andino 383)</t>
        </is>
      </c>
      <c r="FO3262" s="15" t="inlineStr">
        <is>
          <t>Puente Alto</t>
        </is>
      </c>
      <c r="FP3262" t="inlineStr">
        <is>
          <t>B</t>
        </is>
      </c>
    </row>
    <row r="3263">
      <c r="FC3263" t="inlineStr">
        <is>
          <t>Diccionario 4</t>
        </is>
      </c>
      <c r="FD3263" s="15" t="inlineStr">
        <is>
          <t>1346 / VFPY-13|</t>
        </is>
      </c>
      <c r="FE3263" s="15" t="inlineStr">
        <is>
          <t>MDN35025010218</t>
        </is>
      </c>
      <c r="FF3263" s="15" t="inlineStr">
        <is>
          <t>LDYECS316S0044087</t>
        </is>
      </c>
      <c r="FG3263" s="15" t="inlineStr">
        <is>
          <t>Zhong Tong</t>
        </is>
      </c>
      <c r="FH3263" s="15" t="inlineStr">
        <is>
          <t>Lck6122evg</t>
        </is>
      </c>
      <c r="FI3263" s="15" t="inlineStr">
        <is>
          <t>ZHONGTONG</t>
        </is>
      </c>
      <c r="FJ3263" s="15" t="inlineStr">
        <is>
          <t>LCK6122EVG</t>
        </is>
      </c>
      <c r="FK3263" s="15" t="n">
        <v>2025</v>
      </c>
      <c r="FL3263" s="15" t="inlineStr">
        <is>
          <t>B</t>
        </is>
      </c>
      <c r="FM3263" s="15" t="inlineStr">
        <is>
          <t>SAN ALFONSO</t>
        </is>
      </c>
      <c r="FN3263" s="15" t="inlineStr">
        <is>
          <t>San Alfonso 2141 (Ramón Subercaseaux 3060)</t>
        </is>
      </c>
      <c r="FO3263" s="15" t="inlineStr">
        <is>
          <t>Estacion Central</t>
        </is>
      </c>
      <c r="FP3263" t="inlineStr">
        <is>
          <t>B</t>
        </is>
      </c>
    </row>
    <row r="3264">
      <c r="FC3264" t="inlineStr">
        <is>
          <t>Diccionario 4</t>
        </is>
      </c>
      <c r="FD3264" s="15" t="inlineStr">
        <is>
          <t>1347 / VFPY-23|</t>
        </is>
      </c>
      <c r="FE3264" s="15" t="inlineStr">
        <is>
          <t>MDN35025020098</t>
        </is>
      </c>
      <c r="FF3264" s="15" t="inlineStr">
        <is>
          <t>LDYECS315S0044095</t>
        </is>
      </c>
      <c r="FG3264" s="15" t="inlineStr">
        <is>
          <t>Zhong Tong</t>
        </is>
      </c>
      <c r="FH3264" s="15" t="inlineStr">
        <is>
          <t>Lck6122evg</t>
        </is>
      </c>
      <c r="FI3264" s="15" t="inlineStr">
        <is>
          <t>ZHONGTONG</t>
        </is>
      </c>
      <c r="FJ3264" s="15" t="inlineStr">
        <is>
          <t>LCK6122EVG</t>
        </is>
      </c>
      <c r="FK3264" s="15" t="n">
        <v>2025</v>
      </c>
      <c r="FL3264" s="15" t="inlineStr">
        <is>
          <t>B</t>
        </is>
      </c>
      <c r="FM3264" s="15" t="inlineStr">
        <is>
          <t>PIE ANDINO</t>
        </is>
      </c>
      <c r="FN3264" s="15" t="inlineStr">
        <is>
          <t>Pie Andino 31 (Pie Andino 383)</t>
        </is>
      </c>
      <c r="FO3264" s="15" t="inlineStr">
        <is>
          <t>Puente Alto</t>
        </is>
      </c>
      <c r="FP3264" t="inlineStr">
        <is>
          <t>B</t>
        </is>
      </c>
    </row>
    <row r="3265">
      <c r="FC3265" t="inlineStr">
        <is>
          <t>Diccionario 4</t>
        </is>
      </c>
      <c r="FD3265" s="15" t="inlineStr">
        <is>
          <t>1348 / VFPY-33|</t>
        </is>
      </c>
      <c r="FE3265" s="15" t="inlineStr">
        <is>
          <t>MDN35025020038</t>
        </is>
      </c>
      <c r="FF3265" s="15" t="inlineStr">
        <is>
          <t>LDYECS317S0044065</t>
        </is>
      </c>
      <c r="FG3265" s="15" t="inlineStr">
        <is>
          <t>Zhong Tong</t>
        </is>
      </c>
      <c r="FH3265" s="15" t="inlineStr">
        <is>
          <t>Lck6122evg</t>
        </is>
      </c>
      <c r="FI3265" s="15" t="inlineStr">
        <is>
          <t>ZHONGTONG</t>
        </is>
      </c>
      <c r="FJ3265" s="15" t="inlineStr">
        <is>
          <t>LCK6122EVG</t>
        </is>
      </c>
      <c r="FK3265" s="15" t="n">
        <v>2025</v>
      </c>
      <c r="FL3265" s="15" t="inlineStr">
        <is>
          <t>B</t>
        </is>
      </c>
      <c r="FM3265" s="15" t="inlineStr">
        <is>
          <t>PIE ANDINO</t>
        </is>
      </c>
      <c r="FN3265" s="15" t="inlineStr">
        <is>
          <t>Pie Andino 31 (Pie Andino 383)</t>
        </is>
      </c>
      <c r="FO3265" s="15" t="inlineStr">
        <is>
          <t>Puente Alto</t>
        </is>
      </c>
      <c r="FP3265" t="inlineStr">
        <is>
          <t>B</t>
        </is>
      </c>
    </row>
    <row r="3266">
      <c r="FC3266" t="inlineStr">
        <is>
          <t>Diccionario 4</t>
        </is>
      </c>
      <c r="FD3266" s="15" t="inlineStr">
        <is>
          <t>1349 / VFPY-43|</t>
        </is>
      </c>
      <c r="FE3266" s="15" t="inlineStr">
        <is>
          <t>MDN35025010188</t>
        </is>
      </c>
      <c r="FF3266" s="15" t="inlineStr">
        <is>
          <t>LDYECS314S0044072</t>
        </is>
      </c>
      <c r="FG3266" s="15" t="inlineStr">
        <is>
          <t>Zhong Tong</t>
        </is>
      </c>
      <c r="FH3266" s="15" t="inlineStr">
        <is>
          <t>Lck6122evg</t>
        </is>
      </c>
      <c r="FI3266" s="15" t="inlineStr">
        <is>
          <t>ZHONGTONG</t>
        </is>
      </c>
      <c r="FJ3266" s="15" t="inlineStr">
        <is>
          <t>LCK6122EVG</t>
        </is>
      </c>
      <c r="FK3266" s="15" t="n">
        <v>2025</v>
      </c>
      <c r="FL3266" s="15" t="inlineStr">
        <is>
          <t>B</t>
        </is>
      </c>
      <c r="FM3266" s="15" t="inlineStr">
        <is>
          <t>SAN ALFONSO</t>
        </is>
      </c>
      <c r="FN3266" s="15" t="inlineStr">
        <is>
          <t>San Alfonso 2141 (Ramón Subercaseaux 3060)</t>
        </is>
      </c>
      <c r="FO3266" s="15" t="inlineStr">
        <is>
          <t>Estacion Central</t>
        </is>
      </c>
      <c r="FP3266" t="inlineStr">
        <is>
          <t>B</t>
        </is>
      </c>
    </row>
    <row r="3267">
      <c r="FC3267" t="inlineStr">
        <is>
          <t>Diccionario 4</t>
        </is>
      </c>
      <c r="FD3267" s="15" t="inlineStr">
        <is>
          <t>1350 / VFPZ-27|</t>
        </is>
      </c>
      <c r="FE3267" s="15" t="inlineStr">
        <is>
          <t>MDN35025010203</t>
        </is>
      </c>
      <c r="FF3267" s="15" t="inlineStr">
        <is>
          <t>LDYECS311S0044109</t>
        </is>
      </c>
      <c r="FG3267" s="15" t="inlineStr">
        <is>
          <t>Zhong Tong</t>
        </is>
      </c>
      <c r="FH3267" s="15" t="inlineStr">
        <is>
          <t>Lck6122evg</t>
        </is>
      </c>
      <c r="FI3267" s="15" t="inlineStr">
        <is>
          <t>ZHONGTONG</t>
        </is>
      </c>
      <c r="FJ3267" s="15" t="inlineStr">
        <is>
          <t>LCK6122EVG</t>
        </is>
      </c>
      <c r="FK3267" s="15" t="n">
        <v>2025</v>
      </c>
      <c r="FL3267" s="15" t="inlineStr">
        <is>
          <t>B</t>
        </is>
      </c>
      <c r="FM3267" s="15" t="inlineStr">
        <is>
          <t>SAN ALFONSO</t>
        </is>
      </c>
      <c r="FN3267" s="15" t="inlineStr">
        <is>
          <t>San Alfonso 2141 (Ramón Subercaseaux 3060)</t>
        </is>
      </c>
      <c r="FO3267" s="15" t="inlineStr">
        <is>
          <t>Estacion Central</t>
        </is>
      </c>
      <c r="FP3267" t="inlineStr">
        <is>
          <t>B</t>
        </is>
      </c>
    </row>
    <row r="3268">
      <c r="FC3268" t="inlineStr">
        <is>
          <t>Diccionario 4</t>
        </is>
      </c>
      <c r="FD3268" s="15" t="inlineStr">
        <is>
          <t>1351 / VFPZ-38|</t>
        </is>
      </c>
      <c r="FE3268" s="15" t="inlineStr">
        <is>
          <t>MDN35025010193</t>
        </is>
      </c>
      <c r="FF3268" s="15" t="inlineStr">
        <is>
          <t>LDYECS312S0044068</t>
        </is>
      </c>
      <c r="FG3268" s="15" t="inlineStr">
        <is>
          <t>Zhong Tong</t>
        </is>
      </c>
      <c r="FH3268" s="15" t="inlineStr">
        <is>
          <t>Lck6122evg</t>
        </is>
      </c>
      <c r="FI3268" s="15" t="inlineStr">
        <is>
          <t>ZHONGTONG</t>
        </is>
      </c>
      <c r="FJ3268" s="15" t="inlineStr">
        <is>
          <t>LCK6122EVG</t>
        </is>
      </c>
      <c r="FK3268" s="15" t="n">
        <v>2025</v>
      </c>
      <c r="FL3268" s="15" t="inlineStr">
        <is>
          <t>B</t>
        </is>
      </c>
      <c r="FM3268" s="15" t="inlineStr">
        <is>
          <t>SAN ALFONSO</t>
        </is>
      </c>
      <c r="FN3268" s="15" t="inlineStr">
        <is>
          <t>San Alfonso 2141 (Ramón Subercaseaux 3060)</t>
        </is>
      </c>
      <c r="FO3268" s="15" t="inlineStr">
        <is>
          <t>Estacion Central</t>
        </is>
      </c>
      <c r="FP3268" t="inlineStr">
        <is>
          <t>B</t>
        </is>
      </c>
    </row>
    <row r="3269">
      <c r="FC3269" t="inlineStr">
        <is>
          <t>Diccionario 4</t>
        </is>
      </c>
      <c r="FD3269" s="15" t="inlineStr">
        <is>
          <t>1352 / VFPZ-39|</t>
        </is>
      </c>
      <c r="FE3269" s="15" t="inlineStr">
        <is>
          <t>MDN35025020011</t>
        </is>
      </c>
      <c r="FF3269" s="15" t="inlineStr">
        <is>
          <t>LDYECS316S0044090</t>
        </is>
      </c>
      <c r="FG3269" s="15" t="inlineStr">
        <is>
          <t>Zhong Tong</t>
        </is>
      </c>
      <c r="FH3269" s="15" t="inlineStr">
        <is>
          <t>Lck6122evg</t>
        </is>
      </c>
      <c r="FI3269" s="15" t="inlineStr">
        <is>
          <t>ZHONGTONG</t>
        </is>
      </c>
      <c r="FJ3269" s="15" t="inlineStr">
        <is>
          <t>LCK6122EVG</t>
        </is>
      </c>
      <c r="FK3269" s="15" t="n">
        <v>2025</v>
      </c>
      <c r="FL3269" s="15" t="inlineStr">
        <is>
          <t>B</t>
        </is>
      </c>
      <c r="FM3269" s="15" t="inlineStr">
        <is>
          <t>SAN ALFONSO</t>
        </is>
      </c>
      <c r="FN3269" s="15" t="inlineStr">
        <is>
          <t>San Alfonso 2141 (Ramón Subercaseaux 3060)</t>
        </is>
      </c>
      <c r="FO3269" s="15" t="inlineStr">
        <is>
          <t>Estacion Central</t>
        </is>
      </c>
      <c r="FP3269" t="inlineStr">
        <is>
          <t>B</t>
        </is>
      </c>
    </row>
    <row r="3270">
      <c r="FC3270" t="inlineStr">
        <is>
          <t>Diccionario 4</t>
        </is>
      </c>
      <c r="FD3270" s="15" t="inlineStr">
        <is>
          <t>1353 / VFPZ-55|</t>
        </is>
      </c>
      <c r="FE3270" s="15" t="inlineStr">
        <is>
          <t>MDN35025010208</t>
        </is>
      </c>
      <c r="FF3270" s="15" t="inlineStr">
        <is>
          <t>LDYECS317S0044082</t>
        </is>
      </c>
      <c r="FG3270" s="15" t="inlineStr">
        <is>
          <t>Zhong Tong</t>
        </is>
      </c>
      <c r="FH3270" s="15" t="inlineStr">
        <is>
          <t>Lck6122evg</t>
        </is>
      </c>
      <c r="FI3270" s="15" t="inlineStr">
        <is>
          <t>ZHONGTONG</t>
        </is>
      </c>
      <c r="FJ3270" s="15" t="inlineStr">
        <is>
          <t>LCK6122EVG</t>
        </is>
      </c>
      <c r="FK3270" s="15" t="n">
        <v>2025</v>
      </c>
      <c r="FL3270" s="15" t="inlineStr">
        <is>
          <t>B</t>
        </is>
      </c>
      <c r="FM3270" s="15" t="inlineStr">
        <is>
          <t>SAN ALFONSO</t>
        </is>
      </c>
      <c r="FN3270" s="15" t="inlineStr">
        <is>
          <t>San Alfonso 2141 (Ramón Subercaseaux 3060)</t>
        </is>
      </c>
      <c r="FO3270" s="15" t="inlineStr">
        <is>
          <t>Estacion Central</t>
        </is>
      </c>
      <c r="FP3270" t="inlineStr">
        <is>
          <t>B</t>
        </is>
      </c>
    </row>
    <row r="3271">
      <c r="FC3271" t="inlineStr">
        <is>
          <t>Diccionario 4</t>
        </is>
      </c>
      <c r="FD3271" s="15" t="inlineStr">
        <is>
          <t>1354 / VFPZ-56|</t>
        </is>
      </c>
      <c r="FE3271" s="15" t="inlineStr">
        <is>
          <t>MDN35025020043</t>
        </is>
      </c>
      <c r="FF3271" s="15" t="inlineStr">
        <is>
          <t>LDYECS31XS0044075</t>
        </is>
      </c>
      <c r="FG3271" s="15" t="inlineStr">
        <is>
          <t>Zhong Tong</t>
        </is>
      </c>
      <c r="FH3271" s="15" t="inlineStr">
        <is>
          <t>Lck6122evg</t>
        </is>
      </c>
      <c r="FI3271" s="15" t="inlineStr">
        <is>
          <t>ZHONGTONG</t>
        </is>
      </c>
      <c r="FJ3271" s="15" t="inlineStr">
        <is>
          <t>LCK6122EVG</t>
        </is>
      </c>
      <c r="FK3271" s="15" t="n">
        <v>2025</v>
      </c>
      <c r="FL3271" s="15" t="inlineStr">
        <is>
          <t>B</t>
        </is>
      </c>
      <c r="FM3271" s="15" t="inlineStr">
        <is>
          <t>PIE ANDINO</t>
        </is>
      </c>
      <c r="FN3271" s="15" t="inlineStr">
        <is>
          <t>Pie Andino 31 (Pie Andino 383)</t>
        </is>
      </c>
      <c r="FO3271" s="15" t="inlineStr">
        <is>
          <t>Puente Alto</t>
        </is>
      </c>
      <c r="FP3271" t="inlineStr">
        <is>
          <t>B</t>
        </is>
      </c>
    </row>
    <row r="3272">
      <c r="FC3272" t="inlineStr">
        <is>
          <t>Diccionario 4</t>
        </is>
      </c>
      <c r="FD3272" s="15" t="inlineStr">
        <is>
          <t>1355 / VFPZ-74|</t>
        </is>
      </c>
      <c r="FE3272" s="15" t="inlineStr">
        <is>
          <t>MDN35025020017</t>
        </is>
      </c>
      <c r="FF3272" s="15" t="inlineStr">
        <is>
          <t>LDYECS312S0044085</t>
        </is>
      </c>
      <c r="FG3272" s="15" t="inlineStr">
        <is>
          <t>Zhong Tong</t>
        </is>
      </c>
      <c r="FH3272" s="15" t="inlineStr">
        <is>
          <t>Lck6122evg</t>
        </is>
      </c>
      <c r="FI3272" s="15" t="inlineStr">
        <is>
          <t>ZHONGTONG</t>
        </is>
      </c>
      <c r="FJ3272" s="15" t="inlineStr">
        <is>
          <t>LCK6122EVG</t>
        </is>
      </c>
      <c r="FK3272" s="15" t="n">
        <v>2025</v>
      </c>
      <c r="FL3272" s="15" t="inlineStr">
        <is>
          <t>B</t>
        </is>
      </c>
      <c r="FM3272" s="15" t="inlineStr">
        <is>
          <t>PIE ANDINO</t>
        </is>
      </c>
      <c r="FN3272" s="15" t="inlineStr">
        <is>
          <t>Pie Andino 31 (Pie Andino 383)</t>
        </is>
      </c>
      <c r="FO3272" s="15" t="inlineStr">
        <is>
          <t>Puente Alto</t>
        </is>
      </c>
      <c r="FP3272" t="inlineStr">
        <is>
          <t>B</t>
        </is>
      </c>
    </row>
    <row r="3273">
      <c r="FC3273" t="inlineStr">
        <is>
          <t>Diccionario 4</t>
        </is>
      </c>
      <c r="FD3273" s="15" t="inlineStr">
        <is>
          <t>1356 / VFPZ-78|</t>
        </is>
      </c>
      <c r="FE3273" s="15" t="inlineStr">
        <is>
          <t>MDN35025020001</t>
        </is>
      </c>
      <c r="FF3273" s="15" t="inlineStr">
        <is>
          <t>LDYECS313S0044077</t>
        </is>
      </c>
      <c r="FG3273" s="15" t="inlineStr">
        <is>
          <t>Zhong Tong</t>
        </is>
      </c>
      <c r="FH3273" s="15" t="inlineStr">
        <is>
          <t>Lck6122evg</t>
        </is>
      </c>
      <c r="FI3273" s="15" t="inlineStr">
        <is>
          <t>ZHONGTONG</t>
        </is>
      </c>
      <c r="FJ3273" s="15" t="inlineStr">
        <is>
          <t>LCK6122EVG</t>
        </is>
      </c>
      <c r="FK3273" s="15" t="n">
        <v>2025</v>
      </c>
      <c r="FL3273" s="15" t="inlineStr">
        <is>
          <t>B</t>
        </is>
      </c>
      <c r="FM3273" s="15" t="inlineStr">
        <is>
          <t>PIE ANDINO</t>
        </is>
      </c>
      <c r="FN3273" s="15" t="inlineStr">
        <is>
          <t>Pie Andino 31 (Pie Andino 383)</t>
        </is>
      </c>
      <c r="FO3273" s="15" t="inlineStr">
        <is>
          <t>Puente Alto</t>
        </is>
      </c>
      <c r="FP3273" t="inlineStr">
        <is>
          <t>B</t>
        </is>
      </c>
    </row>
    <row r="3274">
      <c r="FC3274" t="inlineStr">
        <is>
          <t>Diccionario 4</t>
        </is>
      </c>
      <c r="FD3274" s="15" t="inlineStr">
        <is>
          <t>1357 / VFPZ-88|</t>
        </is>
      </c>
      <c r="FE3274" s="15" t="inlineStr">
        <is>
          <t>MDN35025010028</t>
        </is>
      </c>
      <c r="FF3274" s="15" t="inlineStr">
        <is>
          <t>LDYECS311S0044112</t>
        </is>
      </c>
      <c r="FG3274" s="15" t="inlineStr">
        <is>
          <t>Zhong Tong</t>
        </is>
      </c>
      <c r="FH3274" s="15" t="inlineStr">
        <is>
          <t>Lck6122evg</t>
        </is>
      </c>
      <c r="FI3274" s="15" t="inlineStr">
        <is>
          <t>ZHONGTONG</t>
        </is>
      </c>
      <c r="FJ3274" s="15" t="inlineStr">
        <is>
          <t>LCK6122EVG</t>
        </is>
      </c>
      <c r="FK3274" s="15" t="n">
        <v>2025</v>
      </c>
      <c r="FL3274" s="15" t="inlineStr">
        <is>
          <t>B</t>
        </is>
      </c>
      <c r="FM3274" s="15" t="inlineStr">
        <is>
          <t>SAN ALFONSO</t>
        </is>
      </c>
      <c r="FN3274" s="15" t="inlineStr">
        <is>
          <t>San Alfonso 2141 (Ramón Subercaseaux 3060)</t>
        </is>
      </c>
      <c r="FO3274" s="15" t="inlineStr">
        <is>
          <t>Estacion Central</t>
        </is>
      </c>
      <c r="FP3274" t="inlineStr">
        <is>
          <t>B</t>
        </is>
      </c>
    </row>
    <row r="3275">
      <c r="FC3275" t="inlineStr">
        <is>
          <t>Diccionario 4</t>
        </is>
      </c>
      <c r="FD3275" s="15" t="inlineStr">
        <is>
          <t>1358 / VFPZ-89|</t>
        </is>
      </c>
      <c r="FE3275" s="15" t="inlineStr">
        <is>
          <t>MDN35025020032</t>
        </is>
      </c>
      <c r="FF3275" s="15" t="inlineStr">
        <is>
          <t>LDYECS319S0044102</t>
        </is>
      </c>
      <c r="FG3275" s="15" t="inlineStr">
        <is>
          <t>Zhong Tong</t>
        </is>
      </c>
      <c r="FH3275" s="15" t="inlineStr">
        <is>
          <t>Lck6122evg</t>
        </is>
      </c>
      <c r="FI3275" s="15" t="inlineStr">
        <is>
          <t>ZHONGTONG</t>
        </is>
      </c>
      <c r="FJ3275" s="15" t="inlineStr">
        <is>
          <t>LCK6122EVG</t>
        </is>
      </c>
      <c r="FK3275" s="15" t="n">
        <v>2025</v>
      </c>
      <c r="FL3275" s="15" t="inlineStr">
        <is>
          <t>B</t>
        </is>
      </c>
      <c r="FM3275" s="15" t="inlineStr">
        <is>
          <t>SAN ALFONSO</t>
        </is>
      </c>
      <c r="FN3275" s="15" t="inlineStr">
        <is>
          <t>San Alfonso 2141 (Ramón Subercaseaux 3060)</t>
        </is>
      </c>
      <c r="FO3275" s="15" t="inlineStr">
        <is>
          <t>Estacion Central</t>
        </is>
      </c>
      <c r="FP3275" t="inlineStr">
        <is>
          <t>B</t>
        </is>
      </c>
    </row>
    <row r="3276">
      <c r="FC3276" t="inlineStr">
        <is>
          <t>Diccionario 4</t>
        </is>
      </c>
      <c r="FD3276" s="15" t="inlineStr">
        <is>
          <t>1359 / VFPZ-92|</t>
        </is>
      </c>
      <c r="FE3276" s="15" t="inlineStr">
        <is>
          <t>MDN35025020030</t>
        </is>
      </c>
      <c r="FF3276" s="15" t="inlineStr">
        <is>
          <t>LDYECS31XS0044089</t>
        </is>
      </c>
      <c r="FG3276" s="15" t="inlineStr">
        <is>
          <t>Zhong Tong</t>
        </is>
      </c>
      <c r="FH3276" s="15" t="inlineStr">
        <is>
          <t>Lck6122evg</t>
        </is>
      </c>
      <c r="FI3276" s="15" t="inlineStr">
        <is>
          <t>ZHONGTONG</t>
        </is>
      </c>
      <c r="FJ3276" s="15" t="inlineStr">
        <is>
          <t>LCK6122EVG</t>
        </is>
      </c>
      <c r="FK3276" s="15" t="n">
        <v>2025</v>
      </c>
      <c r="FL3276" s="15" t="inlineStr">
        <is>
          <t>B</t>
        </is>
      </c>
      <c r="FM3276" s="15" t="inlineStr">
        <is>
          <t>SAN ALFONSO</t>
        </is>
      </c>
      <c r="FN3276" s="15" t="inlineStr">
        <is>
          <t>San Alfonso 2141 (Ramón Subercaseaux 3060)</t>
        </is>
      </c>
      <c r="FO3276" s="15" t="inlineStr">
        <is>
          <t>Estacion Central</t>
        </is>
      </c>
      <c r="FP3276" t="inlineStr">
        <is>
          <t>B</t>
        </is>
      </c>
    </row>
    <row r="3277">
      <c r="FC3277" t="inlineStr">
        <is>
          <t>Diccionario 4</t>
        </is>
      </c>
      <c r="FD3277" s="15" t="inlineStr">
        <is>
          <t>1360 / VFPZ-97|</t>
        </is>
      </c>
      <c r="FE3277" s="15" t="inlineStr">
        <is>
          <t>MDN35025010247</t>
        </is>
      </c>
      <c r="FF3277" s="15" t="inlineStr">
        <is>
          <t>LDYECS312S0044104</t>
        </is>
      </c>
      <c r="FG3277" s="15" t="inlineStr">
        <is>
          <t>Zhong Tong</t>
        </is>
      </c>
      <c r="FH3277" s="15" t="inlineStr">
        <is>
          <t>Lck6122evg</t>
        </is>
      </c>
      <c r="FI3277" s="15" t="inlineStr">
        <is>
          <t>ZHONGTONG</t>
        </is>
      </c>
      <c r="FJ3277" s="15" t="inlineStr">
        <is>
          <t>LCK6122EVG</t>
        </is>
      </c>
      <c r="FK3277" s="15" t="n">
        <v>2025</v>
      </c>
      <c r="FL3277" s="15" t="inlineStr">
        <is>
          <t>B</t>
        </is>
      </c>
      <c r="FM3277" s="15" t="inlineStr">
        <is>
          <t>SAN ALFONSO</t>
        </is>
      </c>
      <c r="FN3277" s="15" t="inlineStr">
        <is>
          <t>San Alfonso 2141 (Ramón Subercaseaux 3060)</t>
        </is>
      </c>
      <c r="FO3277" s="15" t="inlineStr">
        <is>
          <t>Estacion Central</t>
        </is>
      </c>
      <c r="FP3277" t="inlineStr">
        <is>
          <t>B</t>
        </is>
      </c>
    </row>
    <row r="3278">
      <c r="FC3278" t="inlineStr">
        <is>
          <t>Diccionario 4</t>
        </is>
      </c>
      <c r="FD3278" s="15" t="inlineStr">
        <is>
          <t>1361 / VFPZ-98|</t>
        </is>
      </c>
      <c r="FE3278" s="15" t="inlineStr">
        <is>
          <t>MDN35025010213</t>
        </is>
      </c>
      <c r="FF3278" s="15" t="inlineStr">
        <is>
          <t>LDYECS315S0044081</t>
        </is>
      </c>
      <c r="FG3278" s="15" t="inlineStr">
        <is>
          <t>Zhong Tong</t>
        </is>
      </c>
      <c r="FH3278" s="15" t="inlineStr">
        <is>
          <t>Lck6122evg</t>
        </is>
      </c>
      <c r="FI3278" s="15" t="inlineStr">
        <is>
          <t>ZHONGTONG</t>
        </is>
      </c>
      <c r="FJ3278" s="15" t="inlineStr">
        <is>
          <t>LCK6122EVG</t>
        </is>
      </c>
      <c r="FK3278" s="15" t="n">
        <v>2025</v>
      </c>
      <c r="FL3278" s="15" t="inlineStr">
        <is>
          <t>B</t>
        </is>
      </c>
      <c r="FM3278" s="15" t="inlineStr">
        <is>
          <t>SAN ALFONSO</t>
        </is>
      </c>
      <c r="FN3278" s="15" t="inlineStr">
        <is>
          <t>San Alfonso 2141 (Ramón Subercaseaux 3060)</t>
        </is>
      </c>
      <c r="FO3278" s="15" t="inlineStr">
        <is>
          <t>Estacion Central</t>
        </is>
      </c>
      <c r="FP3278" t="inlineStr">
        <is>
          <t>B</t>
        </is>
      </c>
    </row>
    <row r="3279">
      <c r="FC3279" t="inlineStr">
        <is>
          <t>Diccionario 4</t>
        </is>
      </c>
      <c r="FD3279" s="15" t="inlineStr">
        <is>
          <t>1362 / VFRB-13|</t>
        </is>
      </c>
      <c r="FE3279" s="15" t="inlineStr">
        <is>
          <t>MDN35025010226</t>
        </is>
      </c>
      <c r="FF3279" s="15" t="inlineStr">
        <is>
          <t>LDYECS313S0044080</t>
        </is>
      </c>
      <c r="FG3279" s="15" t="inlineStr">
        <is>
          <t>Zhong Tong</t>
        </is>
      </c>
      <c r="FH3279" s="15" t="inlineStr">
        <is>
          <t>Lck6122evg</t>
        </is>
      </c>
      <c r="FI3279" s="15" t="inlineStr">
        <is>
          <t>ZHONGTONG</t>
        </is>
      </c>
      <c r="FJ3279" s="15" t="inlineStr">
        <is>
          <t>LCK6122EVG</t>
        </is>
      </c>
      <c r="FK3279" s="15" t="n">
        <v>2025</v>
      </c>
      <c r="FL3279" s="15" t="inlineStr">
        <is>
          <t>B</t>
        </is>
      </c>
      <c r="FM3279" s="15" t="inlineStr">
        <is>
          <t>PIE ANDINO</t>
        </is>
      </c>
      <c r="FN3279" s="15" t="inlineStr">
        <is>
          <t>Pie Andino 31 (Pie Andino 383)</t>
        </is>
      </c>
      <c r="FO3279" s="15" t="inlineStr">
        <is>
          <t>Puente Alto</t>
        </is>
      </c>
      <c r="FP3279" t="inlineStr">
        <is>
          <t>B</t>
        </is>
      </c>
    </row>
    <row r="3280">
      <c r="FC3280" t="inlineStr">
        <is>
          <t>Diccionario 4</t>
        </is>
      </c>
      <c r="FD3280" s="15" t="inlineStr">
        <is>
          <t>1363 / VFRB-15|</t>
        </is>
      </c>
      <c r="FE3280" s="15" t="inlineStr">
        <is>
          <t>MDN35025010225</t>
        </is>
      </c>
      <c r="FF3280" s="15" t="inlineStr">
        <is>
          <t>LDYECS317S0044079</t>
        </is>
      </c>
      <c r="FG3280" s="15" t="inlineStr">
        <is>
          <t>Zhong Tong</t>
        </is>
      </c>
      <c r="FH3280" s="15" t="inlineStr">
        <is>
          <t>Lck6122evg</t>
        </is>
      </c>
      <c r="FI3280" s="15" t="inlineStr">
        <is>
          <t>ZHONGTONG</t>
        </is>
      </c>
      <c r="FJ3280" s="15" t="inlineStr">
        <is>
          <t>LCK6122EVG</t>
        </is>
      </c>
      <c r="FK3280" s="15" t="n">
        <v>2025</v>
      </c>
      <c r="FL3280" s="15" t="inlineStr">
        <is>
          <t>B</t>
        </is>
      </c>
      <c r="FM3280" s="15" t="inlineStr">
        <is>
          <t>SAN ALFONSO</t>
        </is>
      </c>
      <c r="FN3280" s="15" t="inlineStr">
        <is>
          <t>San Alfonso 2141 (Ramón Subercaseaux 3060)</t>
        </is>
      </c>
      <c r="FO3280" s="15" t="inlineStr">
        <is>
          <t>Estacion Central</t>
        </is>
      </c>
      <c r="FP3280" t="inlineStr">
        <is>
          <t>B</t>
        </is>
      </c>
    </row>
    <row r="3281">
      <c r="FC3281" t="inlineStr">
        <is>
          <t>Diccionario 4</t>
        </is>
      </c>
      <c r="FD3281" s="15" t="inlineStr">
        <is>
          <t>1364 / VFRB-54|</t>
        </is>
      </c>
      <c r="FE3281" s="15" t="inlineStr">
        <is>
          <t>MDN35025010204</t>
        </is>
      </c>
      <c r="FF3281" s="15" t="inlineStr">
        <is>
          <t>LDYECS31XS0044108</t>
        </is>
      </c>
      <c r="FG3281" s="15" t="inlineStr">
        <is>
          <t>Zhong Tong</t>
        </is>
      </c>
      <c r="FH3281" s="15" t="inlineStr">
        <is>
          <t>Lck6122evg</t>
        </is>
      </c>
      <c r="FI3281" s="15" t="inlineStr">
        <is>
          <t>ZHONGTONG</t>
        </is>
      </c>
      <c r="FJ3281" s="15" t="inlineStr">
        <is>
          <t>LCK6122EVG</t>
        </is>
      </c>
      <c r="FK3281" s="15" t="n">
        <v>2025</v>
      </c>
      <c r="FL3281" s="15" t="inlineStr">
        <is>
          <t>B</t>
        </is>
      </c>
      <c r="FM3281" s="15" t="inlineStr">
        <is>
          <t>SAN ALFONSO</t>
        </is>
      </c>
      <c r="FN3281" s="15" t="inlineStr">
        <is>
          <t>San Alfonso 2141 (Ramón Subercaseaux 3060)</t>
        </is>
      </c>
      <c r="FO3281" s="15" t="inlineStr">
        <is>
          <t>Estacion Central</t>
        </is>
      </c>
      <c r="FP3281" t="inlineStr">
        <is>
          <t>B</t>
        </is>
      </c>
    </row>
    <row r="3282">
      <c r="FC3282" t="inlineStr">
        <is>
          <t>Diccionario 4</t>
        </is>
      </c>
      <c r="FD3282" s="15" t="inlineStr">
        <is>
          <t>1365 / VFRB-56|</t>
        </is>
      </c>
      <c r="FE3282" s="15" t="inlineStr">
        <is>
          <t>MDN35025020040</t>
        </is>
      </c>
      <c r="FF3282" s="15" t="inlineStr">
        <is>
          <t>LDYECS314S0044086</t>
        </is>
      </c>
      <c r="FG3282" s="15" t="inlineStr">
        <is>
          <t>Zhong Tong</t>
        </is>
      </c>
      <c r="FH3282" s="15" t="inlineStr">
        <is>
          <t>Lck6122evg</t>
        </is>
      </c>
      <c r="FI3282" s="15" t="inlineStr">
        <is>
          <t>ZHONGTONG</t>
        </is>
      </c>
      <c r="FJ3282" s="15" t="inlineStr">
        <is>
          <t>LCK6122EVG</t>
        </is>
      </c>
      <c r="FK3282" s="15" t="n">
        <v>2025</v>
      </c>
      <c r="FL3282" s="15" t="inlineStr">
        <is>
          <t>B</t>
        </is>
      </c>
      <c r="FM3282" s="15" t="inlineStr">
        <is>
          <t>PIE ANDINO</t>
        </is>
      </c>
      <c r="FN3282" s="15" t="inlineStr">
        <is>
          <t>Pie Andino 31 (Pie Andino 383)</t>
        </is>
      </c>
      <c r="FO3282" s="15" t="inlineStr">
        <is>
          <t>Puente Alto</t>
        </is>
      </c>
      <c r="FP3282" t="inlineStr">
        <is>
          <t>B</t>
        </is>
      </c>
    </row>
    <row r="3283">
      <c r="FC3283" t="inlineStr">
        <is>
          <t>Diccionario 4</t>
        </is>
      </c>
      <c r="FD3283" s="15" t="inlineStr">
        <is>
          <t>1366 / VFRB-63|</t>
        </is>
      </c>
      <c r="FE3283" s="15" t="inlineStr">
        <is>
          <t>MDN35025020018</t>
        </is>
      </c>
      <c r="FF3283" s="15" t="inlineStr">
        <is>
          <t>LDYECS315S0044100</t>
        </is>
      </c>
      <c r="FG3283" s="15" t="inlineStr">
        <is>
          <t>Zhong Tong</t>
        </is>
      </c>
      <c r="FH3283" s="15" t="inlineStr">
        <is>
          <t>Lck6122evg</t>
        </is>
      </c>
      <c r="FI3283" s="15" t="inlineStr">
        <is>
          <t>ZHONGTONG</t>
        </is>
      </c>
      <c r="FJ3283" s="15" t="inlineStr">
        <is>
          <t>LCK6122EVG</t>
        </is>
      </c>
      <c r="FK3283" s="15" t="n">
        <v>2025</v>
      </c>
      <c r="FL3283" s="15" t="inlineStr">
        <is>
          <t>B</t>
        </is>
      </c>
      <c r="FM3283" s="15" t="inlineStr">
        <is>
          <t>SAN ALFONSO</t>
        </is>
      </c>
      <c r="FN3283" s="15" t="inlineStr">
        <is>
          <t>San Alfonso 2141 (Ramón Subercaseaux 3060)</t>
        </is>
      </c>
      <c r="FO3283" s="15" t="inlineStr">
        <is>
          <t>Estacion Central</t>
        </is>
      </c>
      <c r="FP3283" t="inlineStr">
        <is>
          <t>B</t>
        </is>
      </c>
    </row>
    <row r="3284">
      <c r="FC3284" t="inlineStr">
        <is>
          <t>Diccionario 4</t>
        </is>
      </c>
      <c r="FD3284" s="15" t="inlineStr">
        <is>
          <t>1367 / VFRB-67|</t>
        </is>
      </c>
      <c r="FE3284" s="15" t="inlineStr">
        <is>
          <t>MDN35025010216</t>
        </is>
      </c>
      <c r="FF3284" s="15" t="inlineStr">
        <is>
          <t>LDYECS318S0044107</t>
        </is>
      </c>
      <c r="FG3284" s="15" t="inlineStr">
        <is>
          <t>Zhong Tong</t>
        </is>
      </c>
      <c r="FH3284" s="15" t="inlineStr">
        <is>
          <t>Lck6122evg</t>
        </is>
      </c>
      <c r="FI3284" s="15" t="inlineStr">
        <is>
          <t>ZHONGTONG</t>
        </is>
      </c>
      <c r="FJ3284" s="15" t="inlineStr">
        <is>
          <t>LCK6122EVG</t>
        </is>
      </c>
      <c r="FK3284" s="15" t="n">
        <v>2025</v>
      </c>
      <c r="FL3284" s="15" t="inlineStr">
        <is>
          <t>B</t>
        </is>
      </c>
      <c r="FM3284" s="15" t="inlineStr">
        <is>
          <t>SAN ALFONSO</t>
        </is>
      </c>
      <c r="FN3284" s="15" t="inlineStr">
        <is>
          <t>San Alfonso 2141 (Ramón Subercaseaux 3060)</t>
        </is>
      </c>
      <c r="FO3284" s="15" t="inlineStr">
        <is>
          <t>Estacion Central</t>
        </is>
      </c>
      <c r="FP3284" t="inlineStr">
        <is>
          <t>B</t>
        </is>
      </c>
    </row>
    <row r="3285">
      <c r="FC3285" t="inlineStr">
        <is>
          <t>Diccionario 4</t>
        </is>
      </c>
      <c r="FD3285" s="15" t="inlineStr">
        <is>
          <t>1368 / VFRB-68|</t>
        </is>
      </c>
      <c r="FE3285" s="15" t="inlineStr">
        <is>
          <t>MDN35025010249</t>
        </is>
      </c>
      <c r="FF3285" s="15" t="inlineStr">
        <is>
          <t>LDYECS31XS0044092</t>
        </is>
      </c>
      <c r="FG3285" s="15" t="inlineStr">
        <is>
          <t>Zhong Tong</t>
        </is>
      </c>
      <c r="FH3285" s="15" t="inlineStr">
        <is>
          <t>Lck6122evg</t>
        </is>
      </c>
      <c r="FI3285" s="15" t="inlineStr">
        <is>
          <t>ZHONGTONG</t>
        </is>
      </c>
      <c r="FJ3285" s="15" t="inlineStr">
        <is>
          <t>LCK6122EVG</t>
        </is>
      </c>
      <c r="FK3285" s="15" t="n">
        <v>2025</v>
      </c>
      <c r="FL3285" s="15" t="inlineStr">
        <is>
          <t>B</t>
        </is>
      </c>
      <c r="FM3285" s="15" t="inlineStr">
        <is>
          <t>PIE ANDINO</t>
        </is>
      </c>
      <c r="FN3285" s="15" t="inlineStr">
        <is>
          <t>Pie Andino 31 (Pie Andino 383)</t>
        </is>
      </c>
      <c r="FO3285" s="15" t="inlineStr">
        <is>
          <t>Puente Alto</t>
        </is>
      </c>
      <c r="FP3285" t="inlineStr">
        <is>
          <t>B</t>
        </is>
      </c>
    </row>
    <row r="3286">
      <c r="FC3286" t="inlineStr">
        <is>
          <t>Diccionario 4</t>
        </is>
      </c>
      <c r="FD3286" s="15" t="inlineStr">
        <is>
          <t>1369 / VFRB-81|</t>
        </is>
      </c>
      <c r="FE3286" s="15" t="inlineStr">
        <is>
          <t>MDN35025020118</t>
        </is>
      </c>
      <c r="FF3286" s="15" t="inlineStr">
        <is>
          <t>LDYECS317S0044096</t>
        </is>
      </c>
      <c r="FG3286" s="15" t="inlineStr">
        <is>
          <t>Zhong Tong</t>
        </is>
      </c>
      <c r="FH3286" s="15" t="inlineStr">
        <is>
          <t>Lck6122evg</t>
        </is>
      </c>
      <c r="FI3286" s="15" t="inlineStr">
        <is>
          <t>ZHONGTONG</t>
        </is>
      </c>
      <c r="FJ3286" s="15" t="inlineStr">
        <is>
          <t>LCK6122EVG</t>
        </is>
      </c>
      <c r="FK3286" s="15" t="n">
        <v>2025</v>
      </c>
      <c r="FL3286" s="15" t="inlineStr">
        <is>
          <t>B</t>
        </is>
      </c>
      <c r="FM3286" s="15" t="inlineStr">
        <is>
          <t>SAN ALFONSO</t>
        </is>
      </c>
      <c r="FN3286" s="15" t="inlineStr">
        <is>
          <t>San Alfonso 2141 (Ramón Subercaseaux 3060)</t>
        </is>
      </c>
      <c r="FO3286" s="15" t="inlineStr">
        <is>
          <t>Estacion Central</t>
        </is>
      </c>
      <c r="FP3286" t="inlineStr">
        <is>
          <t>B</t>
        </is>
      </c>
    </row>
    <row r="3287">
      <c r="FC3287" t="inlineStr">
        <is>
          <t>Diccionario 4</t>
        </is>
      </c>
      <c r="FD3287" s="15" t="inlineStr">
        <is>
          <t>1370 / VFRC-75|</t>
        </is>
      </c>
      <c r="FE3287" s="15" t="inlineStr">
        <is>
          <t>MDN35025010242</t>
        </is>
      </c>
      <c r="FF3287" s="15" t="inlineStr">
        <is>
          <t>LDYECS317S0044101</t>
        </is>
      </c>
      <c r="FG3287" s="15" t="inlineStr">
        <is>
          <t>Zhong Tong</t>
        </is>
      </c>
      <c r="FH3287" s="15" t="inlineStr">
        <is>
          <t>Lck6122evg</t>
        </is>
      </c>
      <c r="FI3287" s="15" t="inlineStr">
        <is>
          <t>ZHONGTONG</t>
        </is>
      </c>
      <c r="FJ3287" s="15" t="inlineStr">
        <is>
          <t>LCK6122EVG</t>
        </is>
      </c>
      <c r="FK3287" s="15" t="n">
        <v>2025</v>
      </c>
      <c r="FL3287" s="15" t="inlineStr">
        <is>
          <t>B</t>
        </is>
      </c>
      <c r="FM3287" s="15" t="inlineStr">
        <is>
          <t>SAN ALFONSO</t>
        </is>
      </c>
      <c r="FN3287" s="15" t="inlineStr">
        <is>
          <t>San Alfonso 2141 (Ramón Subercaseaux 3060)</t>
        </is>
      </c>
      <c r="FO3287" s="15" t="inlineStr">
        <is>
          <t>Estacion Central</t>
        </is>
      </c>
      <c r="FP3287" t="inlineStr">
        <is>
          <t>B</t>
        </is>
      </c>
    </row>
    <row r="3288">
      <c r="FC3288" t="inlineStr">
        <is>
          <t>Diccionario 4</t>
        </is>
      </c>
      <c r="FD3288" s="15" t="inlineStr">
        <is>
          <t>1371 / VFRD-35|</t>
        </is>
      </c>
      <c r="FE3288" s="15" t="inlineStr">
        <is>
          <t>MDN35025020008</t>
        </is>
      </c>
      <c r="FF3288" s="15" t="inlineStr">
        <is>
          <t>LDYECS310S0044103</t>
        </is>
      </c>
      <c r="FG3288" s="15" t="inlineStr">
        <is>
          <t>Zhong Tong</t>
        </is>
      </c>
      <c r="FH3288" s="15" t="inlineStr">
        <is>
          <t>Lck6122evg</t>
        </is>
      </c>
      <c r="FI3288" s="15" t="inlineStr">
        <is>
          <t>ZHONGTONG</t>
        </is>
      </c>
      <c r="FJ3288" s="15" t="inlineStr">
        <is>
          <t>LCK6122EVG</t>
        </is>
      </c>
      <c r="FK3288" s="15" t="n">
        <v>2025</v>
      </c>
      <c r="FL3288" s="15" t="inlineStr">
        <is>
          <t>B</t>
        </is>
      </c>
      <c r="FM3288" s="15" t="inlineStr">
        <is>
          <t>PIE ANDINO</t>
        </is>
      </c>
      <c r="FN3288" s="15" t="inlineStr">
        <is>
          <t>Pie Andino 31 (Pie Andino 383)</t>
        </is>
      </c>
      <c r="FO3288" s="15" t="inlineStr">
        <is>
          <t>Puente Alto</t>
        </is>
      </c>
      <c r="FP3288" t="inlineStr">
        <is>
          <t>B</t>
        </is>
      </c>
    </row>
    <row r="3289">
      <c r="FC3289" t="inlineStr">
        <is>
          <t>Diccionario 4</t>
        </is>
      </c>
      <c r="FD3289" s="15" t="inlineStr">
        <is>
          <t>1372 / VFRD-45|</t>
        </is>
      </c>
      <c r="FE3289" s="15" t="inlineStr">
        <is>
          <t>MDN35025020020</t>
        </is>
      </c>
      <c r="FF3289" s="15" t="inlineStr">
        <is>
          <t>LDYECS310S0044098</t>
        </is>
      </c>
      <c r="FG3289" s="15" t="inlineStr">
        <is>
          <t>Zhong Tong</t>
        </is>
      </c>
      <c r="FH3289" s="15" t="inlineStr">
        <is>
          <t>Lck6122evg</t>
        </is>
      </c>
      <c r="FI3289" s="15" t="inlineStr">
        <is>
          <t>ZHONGTONG</t>
        </is>
      </c>
      <c r="FJ3289" s="15" t="inlineStr">
        <is>
          <t>LCK6122EVG</t>
        </is>
      </c>
      <c r="FK3289" s="15" t="n">
        <v>2025</v>
      </c>
      <c r="FL3289" s="15" t="inlineStr">
        <is>
          <t>B</t>
        </is>
      </c>
      <c r="FM3289" s="15" t="inlineStr">
        <is>
          <t>SAN ALFONSO</t>
        </is>
      </c>
      <c r="FN3289" s="15" t="inlineStr">
        <is>
          <t>San Alfonso 2141 (Ramón Subercaseaux 3060)</t>
        </is>
      </c>
      <c r="FO3289" s="15" t="inlineStr">
        <is>
          <t>Estacion Central</t>
        </is>
      </c>
      <c r="FP3289" t="inlineStr">
        <is>
          <t>B</t>
        </is>
      </c>
    </row>
    <row r="3290">
      <c r="FC3290" t="inlineStr">
        <is>
          <t>Diccionario 4</t>
        </is>
      </c>
      <c r="FD3290" s="15" t="inlineStr">
        <is>
          <t>1373 / VFRD-55|</t>
        </is>
      </c>
      <c r="FE3290" s="15" t="inlineStr">
        <is>
          <t>MDN35025010252</t>
        </is>
      </c>
      <c r="FF3290" s="15" t="inlineStr">
        <is>
          <t>LDYECS311S0044093</t>
        </is>
      </c>
      <c r="FG3290" s="15" t="inlineStr">
        <is>
          <t>Zhong Tong</t>
        </is>
      </c>
      <c r="FH3290" s="15" t="inlineStr">
        <is>
          <t>Lck6122evg</t>
        </is>
      </c>
      <c r="FI3290" s="15" t="inlineStr">
        <is>
          <t>ZHONGTONG</t>
        </is>
      </c>
      <c r="FJ3290" s="15" t="inlineStr">
        <is>
          <t>LCK6122EVG</t>
        </is>
      </c>
      <c r="FK3290" s="15" t="n">
        <v>2025</v>
      </c>
      <c r="FL3290" s="15" t="inlineStr">
        <is>
          <t>B</t>
        </is>
      </c>
      <c r="FM3290" s="15" t="inlineStr">
        <is>
          <t>PIE ANDINO</t>
        </is>
      </c>
      <c r="FN3290" s="15" t="inlineStr">
        <is>
          <t>Pie Andino 31 (Pie Andino 383)</t>
        </is>
      </c>
      <c r="FO3290" s="15" t="inlineStr">
        <is>
          <t>Puente Alto</t>
        </is>
      </c>
      <c r="FP3290" t="inlineStr">
        <is>
          <t>B</t>
        </is>
      </c>
    </row>
    <row r="3291">
      <c r="FC3291" t="inlineStr">
        <is>
          <t>Diccionario 4</t>
        </is>
      </c>
      <c r="FD3291" s="15" t="inlineStr">
        <is>
          <t>1374 / VFRD-65|</t>
        </is>
      </c>
      <c r="FE3291" s="15" t="inlineStr">
        <is>
          <t>MDN35025020014</t>
        </is>
      </c>
      <c r="FF3291" s="15" t="inlineStr">
        <is>
          <t>LDYECS318S0044091</t>
        </is>
      </c>
      <c r="FG3291" s="15" t="inlineStr">
        <is>
          <t>Zhong Tong</t>
        </is>
      </c>
      <c r="FH3291" s="15" t="inlineStr">
        <is>
          <t>Lck6122evg</t>
        </is>
      </c>
      <c r="FI3291" s="15" t="inlineStr">
        <is>
          <t>ZHONGTONG</t>
        </is>
      </c>
      <c r="FJ3291" s="15" t="inlineStr">
        <is>
          <t>LCK6122EVG</t>
        </is>
      </c>
      <c r="FK3291" s="15" t="n">
        <v>2025</v>
      </c>
      <c r="FL3291" s="15" t="inlineStr">
        <is>
          <t>B</t>
        </is>
      </c>
      <c r="FM3291" s="15" t="inlineStr">
        <is>
          <t>PIE ANDINO</t>
        </is>
      </c>
      <c r="FN3291" s="15" t="inlineStr">
        <is>
          <t>Pie Andino 31 (Pie Andino 383)</t>
        </is>
      </c>
      <c r="FO3291" s="15" t="inlineStr">
        <is>
          <t>Puente Alto</t>
        </is>
      </c>
      <c r="FP3291" t="inlineStr">
        <is>
          <t>B</t>
        </is>
      </c>
    </row>
    <row r="3292">
      <c r="FC3292" t="inlineStr">
        <is>
          <t>Diccionario 4</t>
        </is>
      </c>
      <c r="FD3292" s="15" t="inlineStr">
        <is>
          <t>1375 / VFRD-75|</t>
        </is>
      </c>
      <c r="FE3292" s="15" t="inlineStr">
        <is>
          <t>MDN35025020004</t>
        </is>
      </c>
      <c r="FF3292" s="15" t="inlineStr">
        <is>
          <t>LDYECS314S0044105</t>
        </is>
      </c>
      <c r="FG3292" s="15" t="inlineStr">
        <is>
          <t>Zhong Tong</t>
        </is>
      </c>
      <c r="FH3292" s="15" t="inlineStr">
        <is>
          <t>Lck6122evg</t>
        </is>
      </c>
      <c r="FI3292" s="15" t="inlineStr">
        <is>
          <t>ZHONGTONG</t>
        </is>
      </c>
      <c r="FJ3292" s="15" t="inlineStr">
        <is>
          <t>LCK6122EVG</t>
        </is>
      </c>
      <c r="FK3292" s="15" t="n">
        <v>2025</v>
      </c>
      <c r="FL3292" s="15" t="inlineStr">
        <is>
          <t>B</t>
        </is>
      </c>
      <c r="FM3292" s="15" t="inlineStr">
        <is>
          <t>SAN ALFONSO</t>
        </is>
      </c>
      <c r="FN3292" s="15" t="inlineStr">
        <is>
          <t>San Alfonso 2141 (Ramón Subercaseaux 3060)</t>
        </is>
      </c>
      <c r="FO3292" s="15" t="inlineStr">
        <is>
          <t>Estacion Central</t>
        </is>
      </c>
      <c r="FP3292" t="inlineStr">
        <is>
          <t>B</t>
        </is>
      </c>
    </row>
    <row r="3293">
      <c r="FC3293" t="inlineStr">
        <is>
          <t>Diccionario 4</t>
        </is>
      </c>
      <c r="FD3293" s="15" t="inlineStr">
        <is>
          <t>1376 / VFRD-85|</t>
        </is>
      </c>
      <c r="FE3293" s="15" t="inlineStr">
        <is>
          <t>MDN35025010245</t>
        </is>
      </c>
      <c r="FF3293" s="15" t="inlineStr">
        <is>
          <t>LDYECS312S0044099</t>
        </is>
      </c>
      <c r="FG3293" s="15" t="inlineStr">
        <is>
          <t>Zhong Tong</t>
        </is>
      </c>
      <c r="FH3293" s="15" t="inlineStr">
        <is>
          <t>Lck6122evg</t>
        </is>
      </c>
      <c r="FI3293" s="15" t="inlineStr">
        <is>
          <t>ZHONGTONG</t>
        </is>
      </c>
      <c r="FJ3293" s="15" t="inlineStr">
        <is>
          <t>LCK6122EVG</t>
        </is>
      </c>
      <c r="FK3293" s="15" t="n">
        <v>2025</v>
      </c>
      <c r="FL3293" s="15" t="inlineStr">
        <is>
          <t>B</t>
        </is>
      </c>
      <c r="FM3293" s="15" t="inlineStr">
        <is>
          <t>PIE ANDINO</t>
        </is>
      </c>
      <c r="FN3293" s="15" t="inlineStr">
        <is>
          <t>Pie Andino 31 (Pie Andino 383)</t>
        </is>
      </c>
      <c r="FO3293" s="15" t="inlineStr">
        <is>
          <t>Puente Alto</t>
        </is>
      </c>
      <c r="FP3293" t="inlineStr">
        <is>
          <t>B</t>
        </is>
      </c>
    </row>
    <row r="3294">
      <c r="FC3294" t="inlineStr">
        <is>
          <t>Diccionario 4</t>
        </is>
      </c>
      <c r="FD3294" s="15" t="inlineStr">
        <is>
          <t>1377 / VFRD-95|</t>
        </is>
      </c>
      <c r="FE3294" s="15" t="inlineStr">
        <is>
          <t>MDN35025010043</t>
        </is>
      </c>
      <c r="FF3294" s="15" t="inlineStr">
        <is>
          <t>LDYECS316S0043831</t>
        </is>
      </c>
      <c r="FG3294" s="15" t="inlineStr">
        <is>
          <t>Zhong Tong</t>
        </is>
      </c>
      <c r="FH3294" s="15" t="inlineStr">
        <is>
          <t>Lck6122evg</t>
        </is>
      </c>
      <c r="FI3294" s="15" t="inlineStr">
        <is>
          <t>ZHONGTONG</t>
        </is>
      </c>
      <c r="FJ3294" s="15" t="inlineStr">
        <is>
          <t>LCK6122EVG</t>
        </is>
      </c>
      <c r="FK3294" s="15" t="n">
        <v>2025</v>
      </c>
      <c r="FL3294" s="15" t="inlineStr">
        <is>
          <t>B</t>
        </is>
      </c>
      <c r="FM3294" s="15" t="inlineStr">
        <is>
          <t>PIE ANDINO</t>
        </is>
      </c>
      <c r="FN3294" s="15" t="inlineStr">
        <is>
          <t>Pie Andino 31 (Pie Andino 383)</t>
        </is>
      </c>
      <c r="FO3294" s="15" t="inlineStr">
        <is>
          <t>Puente Alto</t>
        </is>
      </c>
      <c r="FP3294" t="inlineStr">
        <is>
          <t>B</t>
        </is>
      </c>
    </row>
    <row r="3295">
      <c r="FC3295" t="inlineStr">
        <is>
          <t>Diccionario 4</t>
        </is>
      </c>
      <c r="FD3295" s="15" t="inlineStr">
        <is>
          <t>1378 / VFRF-15|</t>
        </is>
      </c>
      <c r="FE3295" s="15" t="inlineStr">
        <is>
          <t>MDN35025010020</t>
        </is>
      </c>
      <c r="FF3295" s="15" t="inlineStr">
        <is>
          <t>LDYECS31XS0043833</t>
        </is>
      </c>
      <c r="FG3295" s="15" t="inlineStr">
        <is>
          <t>Zhong Tong</t>
        </is>
      </c>
      <c r="FH3295" s="15" t="inlineStr">
        <is>
          <t>Lck6122evg</t>
        </is>
      </c>
      <c r="FI3295" s="15" t="inlineStr">
        <is>
          <t>ZHONGTONG</t>
        </is>
      </c>
      <c r="FJ3295" s="15" t="inlineStr">
        <is>
          <t>LCK6122EVG</t>
        </is>
      </c>
      <c r="FK3295" s="15" t="n">
        <v>2025</v>
      </c>
      <c r="FL3295" s="15" t="inlineStr">
        <is>
          <t>B</t>
        </is>
      </c>
      <c r="FM3295" s="15" t="inlineStr">
        <is>
          <t>CERRILLOS</t>
        </is>
      </c>
      <c r="FN3295" s="15" t="inlineStr">
        <is>
          <t>Calle Uno 7371</t>
        </is>
      </c>
      <c r="FO3295" s="15" t="inlineStr">
        <is>
          <t>Cerrillos</t>
        </is>
      </c>
      <c r="FP3295" t="inlineStr">
        <is>
          <t>B</t>
        </is>
      </c>
    </row>
    <row r="3296">
      <c r="FC3296" t="inlineStr">
        <is>
          <t>Diccionario 4</t>
        </is>
      </c>
      <c r="FD3296" s="15" t="inlineStr">
        <is>
          <t>1379 / VFRF-35|</t>
        </is>
      </c>
      <c r="FE3296" s="15" t="inlineStr">
        <is>
          <t>MDN35025010239</t>
        </is>
      </c>
      <c r="FF3296" s="15" t="inlineStr">
        <is>
          <t>LDYECS311S0043834</t>
        </is>
      </c>
      <c r="FG3296" s="15" t="inlineStr">
        <is>
          <t>Zhong Tong</t>
        </is>
      </c>
      <c r="FH3296" s="15" t="inlineStr">
        <is>
          <t>Lck6122evg</t>
        </is>
      </c>
      <c r="FI3296" s="15" t="inlineStr">
        <is>
          <t>ZHONGTONG</t>
        </is>
      </c>
      <c r="FJ3296" s="15" t="inlineStr">
        <is>
          <t>LCK6122EVG</t>
        </is>
      </c>
      <c r="FK3296" s="15" t="n">
        <v>2025</v>
      </c>
      <c r="FL3296" s="15" t="inlineStr">
        <is>
          <t>B</t>
        </is>
      </c>
      <c r="FM3296" s="15" t="inlineStr">
        <is>
          <t>PIE ANDINO</t>
        </is>
      </c>
      <c r="FN3296" s="15" t="inlineStr">
        <is>
          <t>Pie Andino 31 (Pie Andino 383)</t>
        </is>
      </c>
      <c r="FO3296" s="15" t="inlineStr">
        <is>
          <t>Puente Alto</t>
        </is>
      </c>
      <c r="FP3296" t="inlineStr">
        <is>
          <t>B</t>
        </is>
      </c>
    </row>
    <row r="3297">
      <c r="FC3297" t="inlineStr">
        <is>
          <t>Diccionario 4</t>
        </is>
      </c>
      <c r="FD3297" s="15" t="inlineStr">
        <is>
          <t>1380 / VFRF-55|</t>
        </is>
      </c>
      <c r="FE3297" s="15" t="inlineStr">
        <is>
          <t>MDN35025010027</t>
        </is>
      </c>
      <c r="FF3297" s="15" t="inlineStr">
        <is>
          <t>LDYECS314S0043830</t>
        </is>
      </c>
      <c r="FG3297" s="15" t="inlineStr">
        <is>
          <t>Zhong Tong</t>
        </is>
      </c>
      <c r="FH3297" s="15" t="inlineStr">
        <is>
          <t>Lck6122evg</t>
        </is>
      </c>
      <c r="FI3297" s="15" t="inlineStr">
        <is>
          <t>ZHONGTONG</t>
        </is>
      </c>
      <c r="FJ3297" s="15" t="inlineStr">
        <is>
          <t>LCK6122EVG</t>
        </is>
      </c>
      <c r="FK3297" s="15" t="n">
        <v>2025</v>
      </c>
      <c r="FL3297" s="15" t="inlineStr">
        <is>
          <t>B</t>
        </is>
      </c>
      <c r="FM3297" s="15" t="inlineStr">
        <is>
          <t>CERRILLOS</t>
        </is>
      </c>
      <c r="FN3297" s="15" t="inlineStr">
        <is>
          <t>Calle Uno 7371</t>
        </is>
      </c>
      <c r="FO3297" s="15" t="inlineStr">
        <is>
          <t>Cerrillos</t>
        </is>
      </c>
      <c r="FP3297" t="inlineStr">
        <is>
          <t>B</t>
        </is>
      </c>
    </row>
    <row r="3298">
      <c r="FC3298" t="inlineStr">
        <is>
          <t>Diccionario 4</t>
        </is>
      </c>
      <c r="FD3298" s="15" t="inlineStr">
        <is>
          <t>1381 / VFRF-65|</t>
        </is>
      </c>
      <c r="FE3298" s="15" t="inlineStr">
        <is>
          <t>MDN35025010024</t>
        </is>
      </c>
      <c r="FF3298" s="15" t="inlineStr">
        <is>
          <t>LDYECS319S0043824</t>
        </is>
      </c>
      <c r="FG3298" s="15" t="inlineStr">
        <is>
          <t>Zhong Tong</t>
        </is>
      </c>
      <c r="FH3298" s="15" t="inlineStr">
        <is>
          <t>Lck6122evg</t>
        </is>
      </c>
      <c r="FI3298" s="15" t="inlineStr">
        <is>
          <t>ZHONGTONG</t>
        </is>
      </c>
      <c r="FJ3298" s="15" t="inlineStr">
        <is>
          <t>LCK6122EVG</t>
        </is>
      </c>
      <c r="FK3298" s="15" t="n">
        <v>2025</v>
      </c>
      <c r="FL3298" s="15" t="inlineStr">
        <is>
          <t>B</t>
        </is>
      </c>
      <c r="FM3298" s="15" t="inlineStr">
        <is>
          <t>PIE ANDINO</t>
        </is>
      </c>
      <c r="FN3298" s="15" t="inlineStr">
        <is>
          <t>Pie Andino 31 (Pie Andino 383)</t>
        </is>
      </c>
      <c r="FO3298" s="15" t="inlineStr">
        <is>
          <t>Puente Alto</t>
        </is>
      </c>
      <c r="FP3298" t="inlineStr">
        <is>
          <t>B</t>
        </is>
      </c>
    </row>
    <row r="3299">
      <c r="FC3299" t="inlineStr">
        <is>
          <t>Diccionario 4</t>
        </is>
      </c>
      <c r="FD3299" s="15" t="inlineStr">
        <is>
          <t>1382 / VFRF-75|</t>
        </is>
      </c>
      <c r="FE3299" s="15" t="inlineStr">
        <is>
          <t>MDN35025010042</t>
        </is>
      </c>
      <c r="FF3299" s="15" t="inlineStr">
        <is>
          <t>LDYECS317S0043823</t>
        </is>
      </c>
      <c r="FG3299" s="15" t="inlineStr">
        <is>
          <t>Zhong Tong</t>
        </is>
      </c>
      <c r="FH3299" s="15" t="inlineStr">
        <is>
          <t>Lck6122evg</t>
        </is>
      </c>
      <c r="FI3299" s="15" t="inlineStr">
        <is>
          <t>ZHONGTONG</t>
        </is>
      </c>
      <c r="FJ3299" s="15" t="inlineStr">
        <is>
          <t>LCK6122EVG</t>
        </is>
      </c>
      <c r="FK3299" s="15" t="n">
        <v>2025</v>
      </c>
      <c r="FL3299" s="15" t="inlineStr">
        <is>
          <t>B</t>
        </is>
      </c>
      <c r="FM3299" s="15" t="inlineStr">
        <is>
          <t>PIE ANDINO</t>
        </is>
      </c>
      <c r="FN3299" s="15" t="inlineStr">
        <is>
          <t>Pie Andino 31 (Pie Andino 383)</t>
        </is>
      </c>
      <c r="FO3299" s="15" t="inlineStr">
        <is>
          <t>Puente Alto</t>
        </is>
      </c>
      <c r="FP3299" t="inlineStr">
        <is>
          <t>B</t>
        </is>
      </c>
    </row>
    <row r="3300">
      <c r="FC3300" t="inlineStr">
        <is>
          <t>Diccionario 4</t>
        </is>
      </c>
      <c r="FD3300" s="15" t="inlineStr">
        <is>
          <t>1383 / VFRF-85|</t>
        </is>
      </c>
      <c r="FE3300" s="15" t="inlineStr">
        <is>
          <t>MDN35025010034</t>
        </is>
      </c>
      <c r="FF3300" s="15" t="inlineStr">
        <is>
          <t>LDYECS310S0043839</t>
        </is>
      </c>
      <c r="FG3300" s="15" t="inlineStr">
        <is>
          <t>Zhong Tong</t>
        </is>
      </c>
      <c r="FH3300" s="15" t="inlineStr">
        <is>
          <t>Lck6122evg</t>
        </is>
      </c>
      <c r="FI3300" s="15" t="inlineStr">
        <is>
          <t>ZHONGTONG</t>
        </is>
      </c>
      <c r="FJ3300" s="15" t="inlineStr">
        <is>
          <t>LCK6122EVG</t>
        </is>
      </c>
      <c r="FK3300" s="15" t="n">
        <v>2025</v>
      </c>
      <c r="FL3300" s="15" t="inlineStr">
        <is>
          <t>B</t>
        </is>
      </c>
      <c r="FM3300" s="15" t="inlineStr">
        <is>
          <t>PIE ANDINO</t>
        </is>
      </c>
      <c r="FN3300" s="15" t="inlineStr">
        <is>
          <t>Pie Andino 31 (Pie Andino 383)</t>
        </is>
      </c>
      <c r="FO3300" s="15" t="inlineStr">
        <is>
          <t>Puente Alto</t>
        </is>
      </c>
      <c r="FP3300" t="inlineStr">
        <is>
          <t>B</t>
        </is>
      </c>
    </row>
    <row r="3301">
      <c r="FC3301" t="inlineStr">
        <is>
          <t>Diccionario 4</t>
        </is>
      </c>
      <c r="FD3301" s="15" t="inlineStr">
        <is>
          <t>1384 / VFRF-95|</t>
        </is>
      </c>
      <c r="FE3301" s="15" t="inlineStr">
        <is>
          <t>MDN35025020016</t>
        </is>
      </c>
      <c r="FF3301" s="15" t="inlineStr">
        <is>
          <t>LDYECS311S0043820</t>
        </is>
      </c>
      <c r="FG3301" s="15" t="inlineStr">
        <is>
          <t>Zhong Tong</t>
        </is>
      </c>
      <c r="FH3301" s="15" t="inlineStr">
        <is>
          <t>Lck6122evg</t>
        </is>
      </c>
      <c r="FI3301" s="15" t="inlineStr">
        <is>
          <t>ZHONGTONG</t>
        </is>
      </c>
      <c r="FJ3301" s="15" t="inlineStr">
        <is>
          <t>LCK6122EVG</t>
        </is>
      </c>
      <c r="FK3301" s="15" t="n">
        <v>2025</v>
      </c>
      <c r="FL3301" s="15" t="inlineStr">
        <is>
          <t>B</t>
        </is>
      </c>
      <c r="FM3301" s="15" t="inlineStr">
        <is>
          <t>PIE ANDINO</t>
        </is>
      </c>
      <c r="FN3301" s="15" t="inlineStr">
        <is>
          <t>Pie Andino 31 (Pie Andino 383)</t>
        </is>
      </c>
      <c r="FO3301" s="15" t="inlineStr">
        <is>
          <t>Puente Alto</t>
        </is>
      </c>
      <c r="FP3301" t="inlineStr">
        <is>
          <t>B</t>
        </is>
      </c>
    </row>
    <row r="3302">
      <c r="FC3302" t="inlineStr">
        <is>
          <t>Diccionario 4</t>
        </is>
      </c>
      <c r="FD3302" s="15" t="inlineStr">
        <is>
          <t>1385 / VFRG-15|</t>
        </is>
      </c>
      <c r="FE3302" s="15" t="inlineStr">
        <is>
          <t>MDN35025010090</t>
        </is>
      </c>
      <c r="FF3302" s="15" t="inlineStr">
        <is>
          <t>LDYECS315S0043822</t>
        </is>
      </c>
      <c r="FG3302" s="15" t="inlineStr">
        <is>
          <t>Zhong Tong</t>
        </is>
      </c>
      <c r="FH3302" s="15" t="inlineStr">
        <is>
          <t>Lck6122evg</t>
        </is>
      </c>
      <c r="FI3302" s="15" t="inlineStr">
        <is>
          <t>ZHONGTONG</t>
        </is>
      </c>
      <c r="FJ3302" s="15" t="inlineStr">
        <is>
          <t>LCK6122EVG</t>
        </is>
      </c>
      <c r="FK3302" s="15" t="n">
        <v>2025</v>
      </c>
      <c r="FL3302" s="15" t="inlineStr">
        <is>
          <t>B</t>
        </is>
      </c>
      <c r="FM3302" s="15" t="inlineStr">
        <is>
          <t>CERRILLOS</t>
        </is>
      </c>
      <c r="FN3302" s="15" t="inlineStr">
        <is>
          <t>Calle Uno 7371</t>
        </is>
      </c>
      <c r="FO3302" s="15" t="inlineStr">
        <is>
          <t>Cerrillos</t>
        </is>
      </c>
      <c r="FP3302" t="inlineStr">
        <is>
          <t>B</t>
        </is>
      </c>
    </row>
    <row r="3303">
      <c r="FC3303" t="inlineStr">
        <is>
          <t>Diccionario 4</t>
        </is>
      </c>
      <c r="FD3303" s="15" t="inlineStr">
        <is>
          <t>1386 / VFRG-25|</t>
        </is>
      </c>
      <c r="FE3303" s="15" t="inlineStr">
        <is>
          <t>MDN35025020041</t>
        </is>
      </c>
      <c r="FF3303" s="15" t="inlineStr">
        <is>
          <t>LDYECS319S0044097</t>
        </is>
      </c>
      <c r="FG3303" s="15" t="inlineStr">
        <is>
          <t>Zhong Tong</t>
        </is>
      </c>
      <c r="FH3303" s="15" t="inlineStr">
        <is>
          <t>Lck6122evg</t>
        </is>
      </c>
      <c r="FI3303" s="15" t="inlineStr">
        <is>
          <t>ZHONGTONG</t>
        </is>
      </c>
      <c r="FJ3303" s="15" t="inlineStr">
        <is>
          <t>LCK6122EVG</t>
        </is>
      </c>
      <c r="FK3303" s="15" t="n">
        <v>2025</v>
      </c>
      <c r="FL3303" s="15" t="inlineStr">
        <is>
          <t>B</t>
        </is>
      </c>
      <c r="FM3303" s="15" t="inlineStr">
        <is>
          <t>PIE ANDINO</t>
        </is>
      </c>
      <c r="FN3303" s="15" t="inlineStr">
        <is>
          <t>Pie Andino 31 (Pie Andino 383)</t>
        </is>
      </c>
      <c r="FO3303" s="15" t="inlineStr">
        <is>
          <t>Puente Alto</t>
        </is>
      </c>
      <c r="FP3303" t="inlineStr">
        <is>
          <t>B</t>
        </is>
      </c>
    </row>
    <row r="3304">
      <c r="FC3304" t="inlineStr">
        <is>
          <t>Diccionario 4</t>
        </is>
      </c>
      <c r="FD3304" s="15" t="inlineStr">
        <is>
          <t>1387 / VFRG-35|</t>
        </is>
      </c>
      <c r="FE3304" s="15" t="inlineStr">
        <is>
          <t>MDN35025010093</t>
        </is>
      </c>
      <c r="FF3304" s="15" t="inlineStr">
        <is>
          <t>LDYECS318S0043846</t>
        </is>
      </c>
      <c r="FG3304" s="15" t="inlineStr">
        <is>
          <t>Zhong Tong</t>
        </is>
      </c>
      <c r="FH3304" s="15" t="inlineStr">
        <is>
          <t>Lck6122evg</t>
        </is>
      </c>
      <c r="FI3304" s="15" t="inlineStr">
        <is>
          <t>ZHONGTONG</t>
        </is>
      </c>
      <c r="FJ3304" s="15" t="inlineStr">
        <is>
          <t>LCK6122EVG</t>
        </is>
      </c>
      <c r="FK3304" s="15" t="n">
        <v>2025</v>
      </c>
      <c r="FL3304" s="15" t="inlineStr">
        <is>
          <t>B</t>
        </is>
      </c>
      <c r="FM3304" s="15" t="inlineStr">
        <is>
          <t>PIE ANDINO</t>
        </is>
      </c>
      <c r="FN3304" s="15" t="inlineStr">
        <is>
          <t>Pie Andino 31 (Pie Andino 383)</t>
        </is>
      </c>
      <c r="FO3304" s="15" t="inlineStr">
        <is>
          <t>Puente Alto</t>
        </is>
      </c>
      <c r="FP3304" t="inlineStr">
        <is>
          <t>B</t>
        </is>
      </c>
    </row>
    <row r="3305">
      <c r="FC3305" t="inlineStr">
        <is>
          <t>Diccionario 4</t>
        </is>
      </c>
      <c r="FD3305" s="15" t="inlineStr">
        <is>
          <t>1388 / VFRG-45|</t>
        </is>
      </c>
      <c r="FE3305" s="15" t="inlineStr">
        <is>
          <t>MDN35025010087</t>
        </is>
      </c>
      <c r="FF3305" s="15" t="inlineStr">
        <is>
          <t>LDYECS318S0043829</t>
        </is>
      </c>
      <c r="FG3305" s="15" t="inlineStr">
        <is>
          <t>Zhong Tong</t>
        </is>
      </c>
      <c r="FH3305" s="15" t="inlineStr">
        <is>
          <t>Lck6122evg</t>
        </is>
      </c>
      <c r="FI3305" s="15" t="inlineStr">
        <is>
          <t>ZHONGTONG</t>
        </is>
      </c>
      <c r="FJ3305" s="15" t="inlineStr">
        <is>
          <t>LCK6122EVG</t>
        </is>
      </c>
      <c r="FK3305" s="15" t="n">
        <v>2025</v>
      </c>
      <c r="FL3305" s="15" t="inlineStr">
        <is>
          <t>B</t>
        </is>
      </c>
      <c r="FM3305" s="15" t="inlineStr">
        <is>
          <t>PIE ANDINO</t>
        </is>
      </c>
      <c r="FN3305" s="15" t="inlineStr">
        <is>
          <t>Pie Andino 31 (Pie Andino 383)</t>
        </is>
      </c>
      <c r="FO3305" s="15" t="inlineStr">
        <is>
          <t>Puente Alto</t>
        </is>
      </c>
      <c r="FP3305" t="inlineStr">
        <is>
          <t>B</t>
        </is>
      </c>
    </row>
    <row r="3306">
      <c r="FC3306" t="inlineStr">
        <is>
          <t>Diccionario 4</t>
        </is>
      </c>
      <c r="FD3306" s="15" t="inlineStr">
        <is>
          <t>1389 / VGBS-15|</t>
        </is>
      </c>
      <c r="FE3306" s="15" t="inlineStr">
        <is>
          <t>MDN35025010031</t>
        </is>
      </c>
      <c r="FF3306" s="15" t="inlineStr">
        <is>
          <t>LDYECS318S0043832</t>
        </is>
      </c>
      <c r="FG3306" s="15" t="inlineStr">
        <is>
          <t>Zhong Tong</t>
        </is>
      </c>
      <c r="FH3306" s="15" t="inlineStr">
        <is>
          <t>Lck6122evg</t>
        </is>
      </c>
      <c r="FI3306" s="15" t="inlineStr">
        <is>
          <t>ZHONGTONG</t>
        </is>
      </c>
      <c r="FJ3306" s="15" t="inlineStr">
        <is>
          <t>LCK6122EVG</t>
        </is>
      </c>
      <c r="FK3306" s="15" t="n">
        <v>2025</v>
      </c>
      <c r="FL3306" s="15" t="inlineStr">
        <is>
          <t>B</t>
        </is>
      </c>
      <c r="FM3306" s="15" t="inlineStr">
        <is>
          <t>SAN ALFONSO</t>
        </is>
      </c>
      <c r="FN3306" s="15" t="inlineStr">
        <is>
          <t>San Alfonso 2141 (Ramón Subercaseaux 3060)</t>
        </is>
      </c>
      <c r="FO3306" s="15" t="inlineStr">
        <is>
          <t>Estacion Central</t>
        </is>
      </c>
      <c r="FP3306" t="inlineStr">
        <is>
          <t>B</t>
        </is>
      </c>
    </row>
    <row r="3307">
      <c r="FC3307" t="inlineStr">
        <is>
          <t>Diccionario 4</t>
        </is>
      </c>
      <c r="FD3307" s="15" t="inlineStr">
        <is>
          <t>1390 / VGBV-29|</t>
        </is>
      </c>
      <c r="FE3307" s="15" t="inlineStr">
        <is>
          <t>MDN35025010251</t>
        </is>
      </c>
      <c r="FF3307" s="15" t="inlineStr">
        <is>
          <t>LDYECS314S0043844</t>
        </is>
      </c>
      <c r="FG3307" s="15" t="inlineStr">
        <is>
          <t>Zhong Tong</t>
        </is>
      </c>
      <c r="FH3307" s="15" t="inlineStr">
        <is>
          <t>Lck6122evg</t>
        </is>
      </c>
      <c r="FI3307" s="15" t="inlineStr">
        <is>
          <t>ZHONGTONG</t>
        </is>
      </c>
      <c r="FJ3307" s="15" t="inlineStr">
        <is>
          <t>LCK6122EVG</t>
        </is>
      </c>
      <c r="FK3307" s="15" t="n">
        <v>2025</v>
      </c>
      <c r="FL3307" s="15" t="inlineStr">
        <is>
          <t>B</t>
        </is>
      </c>
      <c r="FM3307" s="15" t="inlineStr">
        <is>
          <t>SAN ALFONSO</t>
        </is>
      </c>
      <c r="FN3307" s="15" t="inlineStr">
        <is>
          <t>San Alfonso 2141 (Ramón Subercaseaux 3060)</t>
        </is>
      </c>
      <c r="FO3307" s="15" t="inlineStr">
        <is>
          <t>Estacion Central</t>
        </is>
      </c>
      <c r="FP3307" t="inlineStr">
        <is>
          <t>B</t>
        </is>
      </c>
    </row>
    <row r="3308">
      <c r="FC3308" t="inlineStr">
        <is>
          <t>Diccionario 4</t>
        </is>
      </c>
      <c r="FD3308" s="15" t="inlineStr">
        <is>
          <t>1391 / VGBV-35|</t>
        </is>
      </c>
      <c r="FE3308" s="15" t="inlineStr">
        <is>
          <t>MDN35025010092</t>
        </is>
      </c>
      <c r="FF3308" s="15" t="inlineStr">
        <is>
          <t>LDYECS316S0043828</t>
        </is>
      </c>
      <c r="FG3308" s="15" t="inlineStr">
        <is>
          <t>Zhong Tong</t>
        </is>
      </c>
      <c r="FH3308" s="15" t="inlineStr">
        <is>
          <t>Lck6122evg</t>
        </is>
      </c>
      <c r="FI3308" s="15" t="inlineStr">
        <is>
          <t>ZHONGTONG</t>
        </is>
      </c>
      <c r="FJ3308" s="15" t="inlineStr">
        <is>
          <t>LCK6122EVG</t>
        </is>
      </c>
      <c r="FK3308" s="15" t="n">
        <v>2025</v>
      </c>
      <c r="FL3308" s="15" t="inlineStr">
        <is>
          <t>B</t>
        </is>
      </c>
      <c r="FM3308" s="15" t="inlineStr">
        <is>
          <t>SAN ALFONSO</t>
        </is>
      </c>
      <c r="FN3308" s="15" t="inlineStr">
        <is>
          <t>San Alfonso 2141 (Ramón Subercaseaux 3060)</t>
        </is>
      </c>
      <c r="FO3308" s="15" t="inlineStr">
        <is>
          <t>Estacion Central</t>
        </is>
      </c>
      <c r="FP3308" t="inlineStr">
        <is>
          <t>B</t>
        </is>
      </c>
    </row>
    <row r="3309">
      <c r="FC3309" t="inlineStr">
        <is>
          <t>Diccionario 4</t>
        </is>
      </c>
      <c r="FD3309" s="15" t="inlineStr">
        <is>
          <t>1392 / VGBV-36|</t>
        </is>
      </c>
      <c r="FE3309" s="15" t="inlineStr">
        <is>
          <t>MDN35025010241</t>
        </is>
      </c>
      <c r="FF3309" s="15" t="inlineStr">
        <is>
          <t>LDYECS312S0043843</t>
        </is>
      </c>
      <c r="FG3309" s="15" t="inlineStr">
        <is>
          <t>Zhong Tong</t>
        </is>
      </c>
      <c r="FH3309" s="15" t="inlineStr">
        <is>
          <t>Lck6122evg</t>
        </is>
      </c>
      <c r="FI3309" s="15" t="inlineStr">
        <is>
          <t>ZHONGTONG</t>
        </is>
      </c>
      <c r="FJ3309" s="15" t="inlineStr">
        <is>
          <t>LCK6122EVG</t>
        </is>
      </c>
      <c r="FK3309" s="15" t="n">
        <v>2025</v>
      </c>
      <c r="FL3309" s="15" t="inlineStr">
        <is>
          <t>B</t>
        </is>
      </c>
      <c r="FM3309" s="15" t="inlineStr">
        <is>
          <t>PIE ANDINO</t>
        </is>
      </c>
      <c r="FN3309" s="15" t="inlineStr">
        <is>
          <t>Pie Andino 31 (Pie Andino 383)</t>
        </is>
      </c>
      <c r="FO3309" s="15" t="inlineStr">
        <is>
          <t>Puente Alto</t>
        </is>
      </c>
      <c r="FP3309" t="inlineStr">
        <is>
          <t>B</t>
        </is>
      </c>
    </row>
    <row r="3310">
      <c r="FC3310" t="inlineStr">
        <is>
          <t>Diccionario 4</t>
        </is>
      </c>
      <c r="FD3310" s="15" t="inlineStr">
        <is>
          <t>1393 / VGBV-41|</t>
        </is>
      </c>
      <c r="FE3310" s="15" t="inlineStr">
        <is>
          <t>MDN35025010100</t>
        </is>
      </c>
      <c r="FF3310" s="15" t="inlineStr">
        <is>
          <t>LDYECS319S0043841</t>
        </is>
      </c>
      <c r="FG3310" s="15" t="inlineStr">
        <is>
          <t>Zhong Tong</t>
        </is>
      </c>
      <c r="FH3310" s="15" t="inlineStr">
        <is>
          <t>Lck6122evg</t>
        </is>
      </c>
      <c r="FI3310" s="15" t="inlineStr">
        <is>
          <t>ZHONGTONG</t>
        </is>
      </c>
      <c r="FJ3310" s="15" t="inlineStr">
        <is>
          <t>LCK6122EVG</t>
        </is>
      </c>
      <c r="FK3310" s="15" t="n">
        <v>2025</v>
      </c>
      <c r="FL3310" s="15" t="inlineStr">
        <is>
          <t>B</t>
        </is>
      </c>
      <c r="FM3310" s="15" t="inlineStr">
        <is>
          <t>CERRILLOS</t>
        </is>
      </c>
      <c r="FN3310" s="15" t="inlineStr">
        <is>
          <t>Calle Uno 7371</t>
        </is>
      </c>
      <c r="FO3310" s="15" t="inlineStr">
        <is>
          <t>Cerrillos</t>
        </is>
      </c>
      <c r="FP3310" t="inlineStr">
        <is>
          <t>B</t>
        </is>
      </c>
    </row>
    <row r="3311">
      <c r="FC3311" t="inlineStr">
        <is>
          <t>Diccionario 4</t>
        </is>
      </c>
      <c r="FD3311" s="15" t="inlineStr">
        <is>
          <t>1394 / VGBV-51|</t>
        </is>
      </c>
      <c r="FE3311" s="15" t="inlineStr">
        <is>
          <t>MDN35025010022</t>
        </is>
      </c>
      <c r="FF3311" s="15" t="inlineStr">
        <is>
          <t>LDYECS312S0043826</t>
        </is>
      </c>
      <c r="FG3311" s="15" t="inlineStr">
        <is>
          <t>Zhong Tong</t>
        </is>
      </c>
      <c r="FH3311" s="15" t="inlineStr">
        <is>
          <t>Lck6122evg</t>
        </is>
      </c>
      <c r="FI3311" s="15" t="inlineStr">
        <is>
          <t>ZHONGTONG</t>
        </is>
      </c>
      <c r="FJ3311" s="15" t="inlineStr">
        <is>
          <t>LCK6122EVG</t>
        </is>
      </c>
      <c r="FK3311" s="15" t="n">
        <v>2025</v>
      </c>
      <c r="FL3311" s="15" t="inlineStr">
        <is>
          <t>B</t>
        </is>
      </c>
      <c r="FM3311" s="15" t="inlineStr">
        <is>
          <t>SAN ALFONSO</t>
        </is>
      </c>
      <c r="FN3311" s="15" t="inlineStr">
        <is>
          <t>San Alfonso 2141 (Ramón Subercaseaux 3060)</t>
        </is>
      </c>
      <c r="FO3311" s="15" t="inlineStr">
        <is>
          <t>Estacion Central</t>
        </is>
      </c>
      <c r="FP3311" t="inlineStr">
        <is>
          <t>B</t>
        </is>
      </c>
    </row>
    <row r="3312">
      <c r="FC3312" t="inlineStr">
        <is>
          <t>Diccionario 4</t>
        </is>
      </c>
      <c r="FD3312" s="15" t="inlineStr">
        <is>
          <t>1395 / VGBV-55|</t>
        </is>
      </c>
      <c r="FE3312" s="15" t="inlineStr">
        <is>
          <t>MDN35025010032</t>
        </is>
      </c>
      <c r="FF3312" s="15" t="inlineStr">
        <is>
          <t>LDYECS315S0043836</t>
        </is>
      </c>
      <c r="FG3312" s="15" t="inlineStr">
        <is>
          <t>Zhong Tong</t>
        </is>
      </c>
      <c r="FH3312" s="15" t="inlineStr">
        <is>
          <t>Lck6122evg</t>
        </is>
      </c>
      <c r="FI3312" s="15" t="inlineStr">
        <is>
          <t>ZHONGTONG</t>
        </is>
      </c>
      <c r="FJ3312" s="15" t="inlineStr">
        <is>
          <t>LCK6122EVG</t>
        </is>
      </c>
      <c r="FK3312" s="15" t="n">
        <v>2025</v>
      </c>
      <c r="FL3312" s="15" t="inlineStr">
        <is>
          <t>B</t>
        </is>
      </c>
      <c r="FM3312" s="15" t="inlineStr">
        <is>
          <t>PIE ANDINO</t>
        </is>
      </c>
      <c r="FN3312" s="15" t="inlineStr">
        <is>
          <t>Pie Andino 31 (Pie Andino 383)</t>
        </is>
      </c>
      <c r="FO3312" s="15" t="inlineStr">
        <is>
          <t>Puente Alto</t>
        </is>
      </c>
      <c r="FP3312" t="inlineStr">
        <is>
          <t>B</t>
        </is>
      </c>
    </row>
    <row r="3313">
      <c r="FC3313" t="inlineStr">
        <is>
          <t>Diccionario 4</t>
        </is>
      </c>
      <c r="FD3313" s="15" t="inlineStr">
        <is>
          <t>1396 / VGBV-69|</t>
        </is>
      </c>
      <c r="FE3313" s="15" t="inlineStr">
        <is>
          <t>MDN35025010096</t>
        </is>
      </c>
      <c r="FF3313" s="15" t="inlineStr">
        <is>
          <t>LDYECS310S0043825</t>
        </is>
      </c>
      <c r="FG3313" s="15" t="inlineStr">
        <is>
          <t>Zhong Tong</t>
        </is>
      </c>
      <c r="FH3313" s="15" t="inlineStr">
        <is>
          <t>Lck6122evg</t>
        </is>
      </c>
      <c r="FI3313" s="15" t="inlineStr">
        <is>
          <t>ZHONGTONG</t>
        </is>
      </c>
      <c r="FJ3313" s="15" t="inlineStr">
        <is>
          <t>LCK6122EVG</t>
        </is>
      </c>
      <c r="FK3313" s="15" t="n">
        <v>2025</v>
      </c>
      <c r="FL3313" s="15" t="inlineStr">
        <is>
          <t>B</t>
        </is>
      </c>
      <c r="FM3313" s="15" t="inlineStr">
        <is>
          <t>SAN ALFONSO</t>
        </is>
      </c>
      <c r="FN3313" s="15" t="inlineStr">
        <is>
          <t>San Alfonso 2141 (Ramón Subercaseaux 3060)</t>
        </is>
      </c>
      <c r="FO3313" s="15" t="inlineStr">
        <is>
          <t>Estacion Central</t>
        </is>
      </c>
      <c r="FP3313" t="inlineStr">
        <is>
          <t>B</t>
        </is>
      </c>
    </row>
    <row r="3314">
      <c r="FC3314" t="inlineStr">
        <is>
          <t>Diccionario 4</t>
        </is>
      </c>
      <c r="FD3314" s="15" t="inlineStr">
        <is>
          <t>1397 / VGBV-79|</t>
        </is>
      </c>
      <c r="FE3314" s="15" t="inlineStr">
        <is>
          <t>MDN35025010133</t>
        </is>
      </c>
      <c r="FF3314" s="15" t="inlineStr">
        <is>
          <t>LDYECS310S0043842</t>
        </is>
      </c>
      <c r="FG3314" s="15" t="inlineStr">
        <is>
          <t>Zhong Tong</t>
        </is>
      </c>
      <c r="FH3314" s="15" t="inlineStr">
        <is>
          <t>Lck6122evg</t>
        </is>
      </c>
      <c r="FI3314" s="15" t="inlineStr">
        <is>
          <t>ZHONGTONG</t>
        </is>
      </c>
      <c r="FJ3314" s="15" t="inlineStr">
        <is>
          <t>LCK6122EVG</t>
        </is>
      </c>
      <c r="FK3314" s="15" t="n">
        <v>2025</v>
      </c>
      <c r="FL3314" s="15" t="inlineStr">
        <is>
          <t>B</t>
        </is>
      </c>
      <c r="FM3314" s="15" t="inlineStr">
        <is>
          <t>SAN ALFONSO</t>
        </is>
      </c>
      <c r="FN3314" s="15" t="inlineStr">
        <is>
          <t>San Alfonso 2141 (Ramón Subercaseaux 3060)</t>
        </is>
      </c>
      <c r="FO3314" s="15" t="inlineStr">
        <is>
          <t>Estacion Central</t>
        </is>
      </c>
      <c r="FP3314" t="inlineStr">
        <is>
          <t>B</t>
        </is>
      </c>
    </row>
    <row r="3315">
      <c r="FC3315" t="inlineStr">
        <is>
          <t>Diccionario 4</t>
        </is>
      </c>
      <c r="FD3315" s="15" t="inlineStr">
        <is>
          <t>1398 / VGBV-99|</t>
        </is>
      </c>
      <c r="FE3315" s="15" t="inlineStr">
        <is>
          <t>MDN35025020065</t>
        </is>
      </c>
      <c r="FF3315" s="15" t="inlineStr">
        <is>
          <t>LDYECS317S0043854</t>
        </is>
      </c>
      <c r="FG3315" s="15" t="inlineStr">
        <is>
          <t>Zhong Tong</t>
        </is>
      </c>
      <c r="FH3315" s="15" t="inlineStr">
        <is>
          <t>Lck6122evg</t>
        </is>
      </c>
      <c r="FI3315" s="15" t="inlineStr">
        <is>
          <t>ZHONGTONG</t>
        </is>
      </c>
      <c r="FJ3315" s="15" t="inlineStr">
        <is>
          <t>LCK6122EVG</t>
        </is>
      </c>
      <c r="FK3315" s="15" t="n">
        <v>2025</v>
      </c>
      <c r="FL3315" s="15" t="inlineStr">
        <is>
          <t>B</t>
        </is>
      </c>
      <c r="FM3315" s="15" t="inlineStr">
        <is>
          <t>PIE ANDINO</t>
        </is>
      </c>
      <c r="FN3315" s="15" t="inlineStr">
        <is>
          <t>Pie Andino 31 (Pie Andino 383)</t>
        </is>
      </c>
      <c r="FO3315" s="15" t="inlineStr">
        <is>
          <t>Puente Alto</t>
        </is>
      </c>
      <c r="FP3315" t="inlineStr">
        <is>
          <t>B</t>
        </is>
      </c>
    </row>
    <row r="3316">
      <c r="FC3316" t="inlineStr">
        <is>
          <t>Diccionario 4</t>
        </is>
      </c>
      <c r="FD3316" s="15" t="inlineStr">
        <is>
          <t>1399 / VGBW-19|</t>
        </is>
      </c>
      <c r="FE3316" s="15" t="inlineStr">
        <is>
          <t>MDN35025020066</t>
        </is>
      </c>
      <c r="FF3316" s="15" t="inlineStr">
        <is>
          <t>LDYECS313S0043849</t>
        </is>
      </c>
      <c r="FG3316" s="15" t="inlineStr">
        <is>
          <t>Zhong Tong</t>
        </is>
      </c>
      <c r="FH3316" s="15" t="inlineStr">
        <is>
          <t>Lck6122evg</t>
        </is>
      </c>
      <c r="FI3316" s="15" t="inlineStr">
        <is>
          <t>ZHONGTONG</t>
        </is>
      </c>
      <c r="FJ3316" s="15" t="inlineStr">
        <is>
          <t>LCK6122EVG</t>
        </is>
      </c>
      <c r="FK3316" s="15" t="n">
        <v>2025</v>
      </c>
      <c r="FL3316" s="15" t="inlineStr">
        <is>
          <t>B</t>
        </is>
      </c>
      <c r="FM3316" s="15" t="inlineStr">
        <is>
          <t>PIE ANDINO</t>
        </is>
      </c>
      <c r="FN3316" s="15" t="inlineStr">
        <is>
          <t>Pie Andino 31 (Pie Andino 383)</t>
        </is>
      </c>
      <c r="FO3316" s="15" t="inlineStr">
        <is>
          <t>Puente Alto</t>
        </is>
      </c>
      <c r="FP3316" t="inlineStr">
        <is>
          <t>B</t>
        </is>
      </c>
    </row>
    <row r="3317">
      <c r="FC3317" t="inlineStr">
        <is>
          <t>Diccionario 4</t>
        </is>
      </c>
      <c r="FD3317" s="15" t="inlineStr">
        <is>
          <t>1400 / VGBW-29|</t>
        </is>
      </c>
      <c r="FE3317" s="15" t="inlineStr">
        <is>
          <t>MDN35025010238</t>
        </is>
      </c>
      <c r="FF3317" s="15" t="inlineStr">
        <is>
          <t>LDYECS311S0043848</t>
        </is>
      </c>
      <c r="FG3317" s="15" t="inlineStr">
        <is>
          <t>Zhong Tong</t>
        </is>
      </c>
      <c r="FH3317" s="15" t="inlineStr">
        <is>
          <t>Lck6122evg</t>
        </is>
      </c>
      <c r="FI3317" s="15" t="inlineStr">
        <is>
          <t>ZHONGTONG</t>
        </is>
      </c>
      <c r="FJ3317" s="15" t="inlineStr">
        <is>
          <t>LCK6122EVG</t>
        </is>
      </c>
      <c r="FK3317" s="15" t="n">
        <v>2025</v>
      </c>
      <c r="FL3317" s="15" t="inlineStr">
        <is>
          <t>B</t>
        </is>
      </c>
      <c r="FM3317" s="15" t="inlineStr">
        <is>
          <t>PIE ANDINO</t>
        </is>
      </c>
      <c r="FN3317" s="15" t="inlineStr">
        <is>
          <t>Pie Andino 31 (Pie Andino 383)</t>
        </is>
      </c>
      <c r="FO3317" s="15" t="inlineStr">
        <is>
          <t>Puente Alto</t>
        </is>
      </c>
      <c r="FP3317" t="inlineStr">
        <is>
          <t>B</t>
        </is>
      </c>
    </row>
    <row r="3318">
      <c r="FC3318" t="inlineStr">
        <is>
          <t>Diccionario 4</t>
        </is>
      </c>
      <c r="FD3318" s="15" t="inlineStr">
        <is>
          <t>1401 / VGBW-39|</t>
        </is>
      </c>
      <c r="FE3318" s="15" t="inlineStr">
        <is>
          <t>MDN35025010109</t>
        </is>
      </c>
      <c r="FF3318" s="15" t="inlineStr">
        <is>
          <t>LDYECS31XS0043847</t>
        </is>
      </c>
      <c r="FG3318" s="15" t="inlineStr">
        <is>
          <t>Zhong Tong</t>
        </is>
      </c>
      <c r="FH3318" s="15" t="inlineStr">
        <is>
          <t>Lck6122evg</t>
        </is>
      </c>
      <c r="FI3318" s="15" t="inlineStr">
        <is>
          <t>ZHONGTONG</t>
        </is>
      </c>
      <c r="FJ3318" s="15" t="inlineStr">
        <is>
          <t>LCK6122EVG</t>
        </is>
      </c>
      <c r="FK3318" s="15" t="n">
        <v>2025</v>
      </c>
      <c r="FL3318" s="15" t="inlineStr">
        <is>
          <t>B</t>
        </is>
      </c>
      <c r="FM3318" s="15" t="inlineStr">
        <is>
          <t>SAN ALFONSO</t>
        </is>
      </c>
      <c r="FN3318" s="15" t="inlineStr">
        <is>
          <t>San Alfonso 2141 (Ramón Subercaseaux 3060)</t>
        </is>
      </c>
      <c r="FO3318" s="15" t="inlineStr">
        <is>
          <t>Estacion Central</t>
        </is>
      </c>
      <c r="FP3318" t="inlineStr">
        <is>
          <t>B</t>
        </is>
      </c>
    </row>
    <row r="3319">
      <c r="FC3319" t="inlineStr">
        <is>
          <t>Diccionario 4</t>
        </is>
      </c>
      <c r="FD3319" s="15" t="inlineStr">
        <is>
          <t>1402 / VGBW-48|</t>
        </is>
      </c>
      <c r="FE3319" s="15" t="inlineStr">
        <is>
          <t>MDN35025010035</t>
        </is>
      </c>
      <c r="FF3319" s="15" t="inlineStr">
        <is>
          <t>LDYECS314S0043827</t>
        </is>
      </c>
      <c r="FG3319" s="15" t="inlineStr">
        <is>
          <t>Zhong Tong</t>
        </is>
      </c>
      <c r="FH3319" s="15" t="inlineStr">
        <is>
          <t>Lck6122evg</t>
        </is>
      </c>
      <c r="FI3319" s="15" t="inlineStr">
        <is>
          <t>ZHONGTONG</t>
        </is>
      </c>
      <c r="FJ3319" s="15" t="inlineStr">
        <is>
          <t>LCK6122EVG</t>
        </is>
      </c>
      <c r="FK3319" s="15" t="n">
        <v>2025</v>
      </c>
      <c r="FL3319" s="15" t="inlineStr">
        <is>
          <t>B</t>
        </is>
      </c>
      <c r="FM3319" s="15" t="inlineStr">
        <is>
          <t>PIE ANDINO</t>
        </is>
      </c>
      <c r="FN3319" s="15" t="inlineStr">
        <is>
          <t>Pie Andino 31 (Pie Andino 383)</t>
        </is>
      </c>
      <c r="FO3319" s="15" t="inlineStr">
        <is>
          <t>Puente Alto</t>
        </is>
      </c>
      <c r="FP3319" t="inlineStr">
        <is>
          <t>B</t>
        </is>
      </c>
    </row>
    <row r="3320">
      <c r="FC3320" t="inlineStr">
        <is>
          <t>Diccionario 4</t>
        </is>
      </c>
      <c r="FD3320" s="15" t="inlineStr">
        <is>
          <t>1403 / VGBW-58|</t>
        </is>
      </c>
      <c r="FE3320" s="15" t="inlineStr">
        <is>
          <t>MDN35025010026</t>
        </is>
      </c>
      <c r="FF3320" s="15" t="inlineStr">
        <is>
          <t>LDYECS313S0043835</t>
        </is>
      </c>
      <c r="FG3320" s="15" t="inlineStr">
        <is>
          <t>Zhong Tong</t>
        </is>
      </c>
      <c r="FH3320" s="15" t="inlineStr">
        <is>
          <t>Lck6122evg</t>
        </is>
      </c>
      <c r="FI3320" s="15" t="inlineStr">
        <is>
          <t>ZHONGTONG</t>
        </is>
      </c>
      <c r="FJ3320" s="15" t="inlineStr">
        <is>
          <t>LCK6122EVG</t>
        </is>
      </c>
      <c r="FK3320" s="15" t="n">
        <v>2025</v>
      </c>
      <c r="FL3320" s="15" t="inlineStr">
        <is>
          <t>B</t>
        </is>
      </c>
      <c r="FM3320" s="15" t="inlineStr">
        <is>
          <t>PIE ANDINO</t>
        </is>
      </c>
      <c r="FN3320" s="15" t="inlineStr">
        <is>
          <t>Pie Andino 31 (Pie Andino 383)</t>
        </is>
      </c>
      <c r="FO3320" s="15" t="inlineStr">
        <is>
          <t>Puente Alto</t>
        </is>
      </c>
      <c r="FP3320" t="inlineStr">
        <is>
          <t>B</t>
        </is>
      </c>
    </row>
    <row r="3321">
      <c r="FC3321" t="inlineStr">
        <is>
          <t>Diccionario 4</t>
        </is>
      </c>
      <c r="FD3321" s="15" t="inlineStr">
        <is>
          <t>1404 / VGBW-68|</t>
        </is>
      </c>
      <c r="FE3321" s="15" t="inlineStr">
        <is>
          <t>MDN35025020082</t>
        </is>
      </c>
      <c r="FF3321" s="15" t="inlineStr">
        <is>
          <t>LDYECS315S0043853</t>
        </is>
      </c>
      <c r="FG3321" s="15" t="inlineStr">
        <is>
          <t>Zhong Tong</t>
        </is>
      </c>
      <c r="FH3321" s="15" t="inlineStr">
        <is>
          <t>Lck6122evg</t>
        </is>
      </c>
      <c r="FI3321" s="15" t="inlineStr">
        <is>
          <t>ZHONGTONG</t>
        </is>
      </c>
      <c r="FJ3321" s="15" t="inlineStr">
        <is>
          <t>LCK6122EVG</t>
        </is>
      </c>
      <c r="FK3321" s="15" t="n">
        <v>2025</v>
      </c>
      <c r="FL3321" s="15" t="inlineStr">
        <is>
          <t>B</t>
        </is>
      </c>
      <c r="FM3321" s="15" t="inlineStr">
        <is>
          <t>CERRILLOS</t>
        </is>
      </c>
      <c r="FN3321" s="15" t="inlineStr">
        <is>
          <t>Calle Uno 7371</t>
        </is>
      </c>
      <c r="FO3321" s="15" t="inlineStr">
        <is>
          <t>Cerrillos</t>
        </is>
      </c>
      <c r="FP3321" t="inlineStr">
        <is>
          <t>B</t>
        </is>
      </c>
    </row>
    <row r="3322">
      <c r="FC3322" t="inlineStr">
        <is>
          <t>Diccionario 4</t>
        </is>
      </c>
      <c r="FD3322" s="15" t="inlineStr">
        <is>
          <t>1405 / VGBW-98|</t>
        </is>
      </c>
      <c r="FE3322" s="15" t="inlineStr">
        <is>
          <t>MDN35025010099</t>
        </is>
      </c>
      <c r="FF3322" s="15" t="inlineStr">
        <is>
          <t>LDYECS317S0043837</t>
        </is>
      </c>
      <c r="FG3322" s="15" t="inlineStr">
        <is>
          <t>Zhong Tong</t>
        </is>
      </c>
      <c r="FH3322" s="15" t="inlineStr">
        <is>
          <t>Lck6122evg</t>
        </is>
      </c>
      <c r="FI3322" s="15" t="inlineStr">
        <is>
          <t>ZHONGTONG</t>
        </is>
      </c>
      <c r="FJ3322" s="15" t="inlineStr">
        <is>
          <t>LCK6122EVG</t>
        </is>
      </c>
      <c r="FK3322" s="15" t="n">
        <v>2025</v>
      </c>
      <c r="FL3322" s="15" t="inlineStr">
        <is>
          <t>B</t>
        </is>
      </c>
      <c r="FM3322" s="15" t="inlineStr">
        <is>
          <t>SAN ALFONSO</t>
        </is>
      </c>
      <c r="FN3322" s="15" t="inlineStr">
        <is>
          <t>San Alfonso 2141 (Ramón Subercaseaux 3060)</t>
        </is>
      </c>
      <c r="FO3322" s="15" t="inlineStr">
        <is>
          <t>Estacion Central</t>
        </is>
      </c>
      <c r="FP3322" t="inlineStr">
        <is>
          <t>B</t>
        </is>
      </c>
    </row>
    <row r="3323">
      <c r="FC3323" t="inlineStr">
        <is>
          <t>Diccionario 4</t>
        </is>
      </c>
      <c r="FD3323" s="15" t="inlineStr">
        <is>
          <t>1406 / VGBW-99|</t>
        </is>
      </c>
      <c r="FE3323" s="15" t="inlineStr">
        <is>
          <t>MDN35025020081</t>
        </is>
      </c>
      <c r="FF3323" s="15" t="inlineStr">
        <is>
          <t>LDYECS313S0043852</t>
        </is>
      </c>
      <c r="FG3323" s="15" t="inlineStr">
        <is>
          <t>Zhong Tong</t>
        </is>
      </c>
      <c r="FH3323" s="15" t="inlineStr">
        <is>
          <t>Lck6122evg</t>
        </is>
      </c>
      <c r="FI3323" s="15" t="inlineStr">
        <is>
          <t>ZHONGTONG</t>
        </is>
      </c>
      <c r="FJ3323" s="15" t="inlineStr">
        <is>
          <t>LCK6122EVG</t>
        </is>
      </c>
      <c r="FK3323" s="15" t="n">
        <v>2025</v>
      </c>
      <c r="FL3323" s="15" t="inlineStr">
        <is>
          <t>B</t>
        </is>
      </c>
      <c r="FM3323" s="15" t="inlineStr">
        <is>
          <t>SAN ALFONSO</t>
        </is>
      </c>
      <c r="FN3323" s="15" t="inlineStr">
        <is>
          <t>San Alfonso 2141 (Ramón Subercaseaux 3060)</t>
        </is>
      </c>
      <c r="FO3323" s="15" t="inlineStr">
        <is>
          <t>Estacion Central</t>
        </is>
      </c>
      <c r="FP3323" t="inlineStr">
        <is>
          <t>B</t>
        </is>
      </c>
    </row>
    <row r="3324">
      <c r="FC3324" t="inlineStr">
        <is>
          <t>Diccionario 4</t>
        </is>
      </c>
      <c r="FD3324" s="15" t="inlineStr">
        <is>
          <t>1407 / VGBX-29|</t>
        </is>
      </c>
      <c r="FE3324" s="15" t="inlineStr">
        <is>
          <t>MDN35025010250</t>
        </is>
      </c>
      <c r="FF3324" s="15" t="inlineStr">
        <is>
          <t>LDYECS316S0043845</t>
        </is>
      </c>
      <c r="FG3324" s="15" t="inlineStr">
        <is>
          <t>Zhong Tong</t>
        </is>
      </c>
      <c r="FH3324" s="15" t="inlineStr">
        <is>
          <t>Lck6122evg</t>
        </is>
      </c>
      <c r="FI3324" s="15" t="inlineStr">
        <is>
          <t>ZHONGTONG</t>
        </is>
      </c>
      <c r="FJ3324" s="15" t="inlineStr">
        <is>
          <t>LCK6122EVG</t>
        </is>
      </c>
      <c r="FK3324" s="15" t="n">
        <v>2025</v>
      </c>
      <c r="FL3324" s="15" t="inlineStr">
        <is>
          <t>B</t>
        </is>
      </c>
      <c r="FM3324" s="15" t="inlineStr">
        <is>
          <t>PIE ANDINO</t>
        </is>
      </c>
      <c r="FN3324" s="15" t="inlineStr">
        <is>
          <t>Pie Andino 31 (Pie Andino 383)</t>
        </is>
      </c>
      <c r="FO3324" s="15" t="inlineStr">
        <is>
          <t>Puente Alto</t>
        </is>
      </c>
      <c r="FP3324" t="inlineStr">
        <is>
          <t>B</t>
        </is>
      </c>
    </row>
    <row r="3325">
      <c r="FC3325" t="inlineStr">
        <is>
          <t>Diccionario 4</t>
        </is>
      </c>
      <c r="FD3325" s="15" t="inlineStr">
        <is>
          <t>1408 / VGBX-48|</t>
        </is>
      </c>
      <c r="FE3325" s="15" t="inlineStr">
        <is>
          <t>MDN35025010138</t>
        </is>
      </c>
      <c r="FF3325" s="15" t="inlineStr">
        <is>
          <t>LDYECS31XS0043850</t>
        </is>
      </c>
      <c r="FG3325" s="15" t="inlineStr">
        <is>
          <t>Zhong Tong</t>
        </is>
      </c>
      <c r="FH3325" s="15" t="inlineStr">
        <is>
          <t>Lck6122evg</t>
        </is>
      </c>
      <c r="FI3325" s="15" t="inlineStr">
        <is>
          <t>ZHONGTONG</t>
        </is>
      </c>
      <c r="FJ3325" s="15" t="inlineStr">
        <is>
          <t>LCK6122EVG</t>
        </is>
      </c>
      <c r="FK3325" s="15" t="n">
        <v>2025</v>
      </c>
      <c r="FL3325" s="15" t="inlineStr">
        <is>
          <t>B</t>
        </is>
      </c>
      <c r="FM3325" s="15" t="inlineStr">
        <is>
          <t>PIE ANDINO</t>
        </is>
      </c>
      <c r="FN3325" s="15" t="inlineStr">
        <is>
          <t>Pie Andino 31 (Pie Andino 383)</t>
        </is>
      </c>
      <c r="FO3325" s="15" t="inlineStr">
        <is>
          <t>Puente Alto</t>
        </is>
      </c>
      <c r="FP3325" t="inlineStr">
        <is>
          <t>B</t>
        </is>
      </c>
    </row>
    <row r="3326">
      <c r="FC3326" t="inlineStr">
        <is>
          <t>Diccionario 4</t>
        </is>
      </c>
      <c r="FD3326" s="15" t="inlineStr">
        <is>
          <t>1409 / VGBX-49|</t>
        </is>
      </c>
      <c r="FE3326" s="15" t="inlineStr">
        <is>
          <t>MDN35025020236</t>
        </is>
      </c>
      <c r="FF3326" s="15" t="inlineStr">
        <is>
          <t>LDYECS310S0043856</t>
        </is>
      </c>
      <c r="FG3326" s="15" t="inlineStr">
        <is>
          <t>Zhong Tong</t>
        </is>
      </c>
      <c r="FH3326" s="15" t="inlineStr">
        <is>
          <t>Lck6122evg</t>
        </is>
      </c>
      <c r="FI3326" s="15" t="inlineStr">
        <is>
          <t>ZHONGTONG</t>
        </is>
      </c>
      <c r="FJ3326" s="15" t="inlineStr">
        <is>
          <t>LCK6122EVG</t>
        </is>
      </c>
      <c r="FK3326" s="15" t="n">
        <v>2025</v>
      </c>
      <c r="FL3326" s="15" t="inlineStr">
        <is>
          <t>B</t>
        </is>
      </c>
      <c r="FM3326" s="15" t="inlineStr">
        <is>
          <t>PIE ANDINO</t>
        </is>
      </c>
      <c r="FN3326" s="15" t="inlineStr">
        <is>
          <t>Pie Andino 31 (Pie Andino 383)</t>
        </is>
      </c>
      <c r="FO3326" s="15" t="inlineStr">
        <is>
          <t>Puente Alto</t>
        </is>
      </c>
      <c r="FP3326" t="inlineStr">
        <is>
          <t>B</t>
        </is>
      </c>
    </row>
    <row r="3327">
      <c r="FC3327" t="inlineStr">
        <is>
          <t>Diccionario 4</t>
        </is>
      </c>
      <c r="FD3327" s="15" t="inlineStr">
        <is>
          <t>1410 / VGBX-58|</t>
        </is>
      </c>
      <c r="FE3327" s="15" t="inlineStr">
        <is>
          <t>MDN35025010240</t>
        </is>
      </c>
      <c r="FF3327" s="15" t="inlineStr">
        <is>
          <t>LDYECS317S0043840</t>
        </is>
      </c>
      <c r="FG3327" s="15" t="inlineStr">
        <is>
          <t>Zhong Tong</t>
        </is>
      </c>
      <c r="FH3327" s="15" t="inlineStr">
        <is>
          <t>Lck6122evg</t>
        </is>
      </c>
      <c r="FI3327" s="15" t="inlineStr">
        <is>
          <t>ZHONGTONG</t>
        </is>
      </c>
      <c r="FJ3327" s="15" t="inlineStr">
        <is>
          <t>LCK6122EVG</t>
        </is>
      </c>
      <c r="FK3327" s="15" t="n">
        <v>2025</v>
      </c>
      <c r="FL3327" s="15" t="inlineStr">
        <is>
          <t>B</t>
        </is>
      </c>
      <c r="FM3327" s="15" t="inlineStr">
        <is>
          <t>PIE ANDINO</t>
        </is>
      </c>
      <c r="FN3327" s="15" t="inlineStr">
        <is>
          <t>Pie Andino 31 (Pie Andino 383)</t>
        </is>
      </c>
      <c r="FO3327" s="15" t="inlineStr">
        <is>
          <t>Puente Alto</t>
        </is>
      </c>
      <c r="FP3327" t="inlineStr">
        <is>
          <t>B</t>
        </is>
      </c>
    </row>
    <row r="3328">
      <c r="FC3328" t="inlineStr">
        <is>
          <t>Diccionario 4</t>
        </is>
      </c>
      <c r="FD3328" s="15" t="inlineStr">
        <is>
          <t>1411 / VGBX-59|</t>
        </is>
      </c>
      <c r="FE3328" s="15" t="inlineStr">
        <is>
          <t>MDN35025010141</t>
        </is>
      </c>
      <c r="FF3328" s="15" t="inlineStr">
        <is>
          <t>LDYECS319S0043855</t>
        </is>
      </c>
      <c r="FG3328" s="15" t="inlineStr">
        <is>
          <t>Zhong Tong</t>
        </is>
      </c>
      <c r="FH3328" s="15" t="inlineStr">
        <is>
          <t>Lck6122evg</t>
        </is>
      </c>
      <c r="FI3328" s="15" t="inlineStr">
        <is>
          <t>ZHONGTONG</t>
        </is>
      </c>
      <c r="FJ3328" s="15" t="inlineStr">
        <is>
          <t>LCK6122EVG</t>
        </is>
      </c>
      <c r="FK3328" s="15" t="n">
        <v>2025</v>
      </c>
      <c r="FL3328" s="15" t="inlineStr">
        <is>
          <t>B</t>
        </is>
      </c>
      <c r="FM3328" s="15" t="inlineStr">
        <is>
          <t>LOS LIBERTADORES</t>
        </is>
      </c>
      <c r="FN3328" s="15" t="inlineStr">
        <is>
          <t>Los Liberadores 6450, Lote 4A</t>
        </is>
      </c>
      <c r="FO3328" s="15" t="inlineStr">
        <is>
          <t>Huechuraba</t>
        </is>
      </c>
      <c r="FP3328" t="inlineStr">
        <is>
          <t>B</t>
        </is>
      </c>
    </row>
    <row r="3329">
      <c r="FC3329" t="inlineStr">
        <is>
          <t>Diccionario 4</t>
        </is>
      </c>
      <c r="FD3329" s="15" t="inlineStr">
        <is>
          <t>1412 / VGBX-78|</t>
        </is>
      </c>
      <c r="FE3329" s="15" t="inlineStr">
        <is>
          <t>MDN35025010088</t>
        </is>
      </c>
      <c r="FF3329" s="15" t="inlineStr">
        <is>
          <t>LDYECS319S0043838</t>
        </is>
      </c>
      <c r="FG3329" s="15" t="inlineStr">
        <is>
          <t>Zhong Tong</t>
        </is>
      </c>
      <c r="FH3329" s="15" t="inlineStr">
        <is>
          <t>Lck6122evg</t>
        </is>
      </c>
      <c r="FI3329" s="15" t="inlineStr">
        <is>
          <t>ZHONGTONG</t>
        </is>
      </c>
      <c r="FJ3329" s="15" t="inlineStr">
        <is>
          <t>LCK6122EVG</t>
        </is>
      </c>
      <c r="FK3329" s="15" t="n">
        <v>2025</v>
      </c>
      <c r="FL3329" s="15" t="inlineStr">
        <is>
          <t>B</t>
        </is>
      </c>
      <c r="FM3329" s="15" t="inlineStr">
        <is>
          <t>LOS LIBERTADORES</t>
        </is>
      </c>
      <c r="FN3329" s="15" t="inlineStr">
        <is>
          <t>Los Liberadores 6450, Lote 4A</t>
        </is>
      </c>
      <c r="FO3329" s="15" t="inlineStr">
        <is>
          <t>Huechuraba</t>
        </is>
      </c>
      <c r="FP3329" t="inlineStr">
        <is>
          <t>B</t>
        </is>
      </c>
    </row>
    <row r="3330">
      <c r="FC3330" t="inlineStr">
        <is>
          <t>Diccionario 4</t>
        </is>
      </c>
      <c r="FD3330" s="15" t="inlineStr">
        <is>
          <t>1413 / VGCB-39|</t>
        </is>
      </c>
      <c r="FE3330" s="15" t="inlineStr">
        <is>
          <t>MDN35025010137</t>
        </is>
      </c>
      <c r="FF3330" s="15" t="inlineStr">
        <is>
          <t>LDYECS311S0043851</t>
        </is>
      </c>
      <c r="FG3330" s="15" t="inlineStr">
        <is>
          <t>Zhong Tong</t>
        </is>
      </c>
      <c r="FH3330" s="15" t="inlineStr">
        <is>
          <t>Lck6122evg</t>
        </is>
      </c>
      <c r="FI3330" s="15" t="inlineStr">
        <is>
          <t>ZHONGTONG</t>
        </is>
      </c>
      <c r="FJ3330" s="15" t="inlineStr">
        <is>
          <t>LCK6122EVG</t>
        </is>
      </c>
      <c r="FK3330" s="15" t="n">
        <v>2025</v>
      </c>
      <c r="FL3330" s="15" t="inlineStr">
        <is>
          <t>B</t>
        </is>
      </c>
      <c r="FM3330" s="15" t="inlineStr">
        <is>
          <t>LOS LIBERTADORES</t>
        </is>
      </c>
      <c r="FN3330" s="15" t="inlineStr">
        <is>
          <t>Los Liberadores 6450, Lote 4A</t>
        </is>
      </c>
      <c r="FO3330" s="15" t="inlineStr">
        <is>
          <t>Huechuraba</t>
        </is>
      </c>
      <c r="FP3330" t="inlineStr">
        <is>
          <t>B</t>
        </is>
      </c>
    </row>
    <row r="3331">
      <c r="FC3331" t="inlineStr">
        <is>
          <t>Diccionario 4</t>
        </is>
      </c>
      <c r="FD3331" s="15" t="inlineStr">
        <is>
          <t>1414 / VGCB-59|</t>
        </is>
      </c>
      <c r="FE3331" s="15" t="inlineStr">
        <is>
          <t>MDN35025010142</t>
        </is>
      </c>
      <c r="FF3331" s="15" t="inlineStr">
        <is>
          <t>LDYECS312S0043857</t>
        </is>
      </c>
      <c r="FG3331" s="15" t="inlineStr">
        <is>
          <t>Zhong Tong</t>
        </is>
      </c>
      <c r="FH3331" s="15" t="inlineStr">
        <is>
          <t>Lck6122evg</t>
        </is>
      </c>
      <c r="FI3331" s="15" t="inlineStr">
        <is>
          <t>ZHONGTONG</t>
        </is>
      </c>
      <c r="FJ3331" s="15" t="inlineStr">
        <is>
          <t>LCK6122EVG</t>
        </is>
      </c>
      <c r="FK3331" s="15" t="n">
        <v>2025</v>
      </c>
      <c r="FL3331" s="15" t="inlineStr">
        <is>
          <t>B</t>
        </is>
      </c>
      <c r="FM3331" s="15" t="inlineStr">
        <is>
          <t>CERRILLOS</t>
        </is>
      </c>
      <c r="FN3331" s="15" t="inlineStr">
        <is>
          <t>Calle Uno 7371</t>
        </is>
      </c>
      <c r="FO3331" s="15" t="inlineStr">
        <is>
          <t>Cerrillos</t>
        </is>
      </c>
      <c r="FP3331" t="inlineStr">
        <is>
          <t>B</t>
        </is>
      </c>
    </row>
    <row r="3332">
      <c r="FC3332" t="inlineStr">
        <is>
          <t>Diccionario 4</t>
        </is>
      </c>
      <c r="FD3332" s="15" t="inlineStr">
        <is>
          <t>1415 / VGKX-42|</t>
        </is>
      </c>
      <c r="FE3332" s="15" t="inlineStr">
        <is>
          <t>MDN35025030025</t>
        </is>
      </c>
      <c r="FF3332" s="15" t="inlineStr">
        <is>
          <t>LDYECS317S0044373</t>
        </is>
      </c>
      <c r="FG3332" s="15" t="inlineStr">
        <is>
          <t>Zhong Tong</t>
        </is>
      </c>
      <c r="FH3332" s="15" t="inlineStr">
        <is>
          <t>Lck6122evg</t>
        </is>
      </c>
      <c r="FI3332" s="15" t="inlineStr">
        <is>
          <t>ZHONGTONG</t>
        </is>
      </c>
      <c r="FJ3332" s="15" t="inlineStr">
        <is>
          <t>LCK6122EVG</t>
        </is>
      </c>
      <c r="FK3332" s="15" t="n">
        <v>2025</v>
      </c>
      <c r="FL3332" s="15" t="inlineStr">
        <is>
          <t>B</t>
        </is>
      </c>
      <c r="FM3332" s="15" t="inlineStr">
        <is>
          <t>PIE ANDINO</t>
        </is>
      </c>
      <c r="FN3332" s="15" t="inlineStr">
        <is>
          <t>Pie Andino 31 (Pie Andino 383)</t>
        </is>
      </c>
      <c r="FO3332" s="15" t="inlineStr">
        <is>
          <t>Puente Alto</t>
        </is>
      </c>
      <c r="FP3332" t="inlineStr">
        <is>
          <t>B</t>
        </is>
      </c>
    </row>
    <row r="3333">
      <c r="FC3333" t="inlineStr">
        <is>
          <t>Diccionario 4</t>
        </is>
      </c>
      <c r="FD3333" s="15" t="inlineStr">
        <is>
          <t>1416 / VGKX-52|</t>
        </is>
      </c>
      <c r="FE3333" s="15" t="inlineStr">
        <is>
          <t>MDN35025030153</t>
        </is>
      </c>
      <c r="FF3333" s="15" t="inlineStr">
        <is>
          <t>LDYECS310S0044327</t>
        </is>
      </c>
      <c r="FG3333" s="15" t="inlineStr">
        <is>
          <t>Zhong Tong</t>
        </is>
      </c>
      <c r="FH3333" s="15" t="inlineStr">
        <is>
          <t>Lck6122evg</t>
        </is>
      </c>
      <c r="FI3333" s="15" t="inlineStr">
        <is>
          <t>ZHONGTONG</t>
        </is>
      </c>
      <c r="FJ3333" s="15" t="inlineStr">
        <is>
          <t>LCK6122EVG</t>
        </is>
      </c>
      <c r="FK3333" s="15" t="n">
        <v>2025</v>
      </c>
      <c r="FL3333" s="15" t="inlineStr">
        <is>
          <t>B</t>
        </is>
      </c>
      <c r="FM3333" s="15" t="inlineStr">
        <is>
          <t>SAN ALFONSO</t>
        </is>
      </c>
      <c r="FN3333" s="15" t="inlineStr">
        <is>
          <t>San Alfonso 2141 (Ramón Subercaseaux 3060)</t>
        </is>
      </c>
      <c r="FO3333" s="15" t="inlineStr">
        <is>
          <t>Estacion Central</t>
        </is>
      </c>
      <c r="FP3333" t="inlineStr">
        <is>
          <t>B</t>
        </is>
      </c>
    </row>
    <row r="3334">
      <c r="FC3334" t="inlineStr">
        <is>
          <t>Diccionario 4</t>
        </is>
      </c>
      <c r="FD3334" s="15" t="inlineStr">
        <is>
          <t>1417 / VGKX-62|</t>
        </is>
      </c>
      <c r="FE3334" s="15" t="inlineStr">
        <is>
          <t>MDN35025030021</t>
        </is>
      </c>
      <c r="FF3334" s="15" t="inlineStr">
        <is>
          <t>LDYECS31XS0044304</t>
        </is>
      </c>
      <c r="FG3334" s="15" t="inlineStr">
        <is>
          <t>Zhong Tong</t>
        </is>
      </c>
      <c r="FH3334" s="15" t="inlineStr">
        <is>
          <t>Lck6122evg</t>
        </is>
      </c>
      <c r="FI3334" s="15" t="inlineStr">
        <is>
          <t>ZHONGTONG</t>
        </is>
      </c>
      <c r="FJ3334" s="15" t="inlineStr">
        <is>
          <t>LCK6122EVG</t>
        </is>
      </c>
      <c r="FK3334" s="15" t="n">
        <v>2025</v>
      </c>
      <c r="FL3334" s="15" t="inlineStr">
        <is>
          <t>B</t>
        </is>
      </c>
      <c r="FM3334" s="15" t="inlineStr">
        <is>
          <t>CERRILLOS</t>
        </is>
      </c>
      <c r="FN3334" s="15" t="inlineStr">
        <is>
          <t>Calle Uno 7371</t>
        </is>
      </c>
      <c r="FO3334" s="15" t="inlineStr">
        <is>
          <t>Cerrillos</t>
        </is>
      </c>
      <c r="FP3334" t="inlineStr">
        <is>
          <t>B</t>
        </is>
      </c>
    </row>
    <row r="3335">
      <c r="FC3335" t="inlineStr">
        <is>
          <t>Diccionario 4</t>
        </is>
      </c>
      <c r="FD3335" s="15" t="inlineStr">
        <is>
          <t>1418 / VGKX-82|</t>
        </is>
      </c>
      <c r="FE3335" s="15" t="inlineStr">
        <is>
          <t>MDN35025030136</t>
        </is>
      </c>
      <c r="FF3335" s="15" t="inlineStr">
        <is>
          <t>LDYECS315S0044324</t>
        </is>
      </c>
      <c r="FG3335" s="15" t="inlineStr">
        <is>
          <t>Zhong Tong</t>
        </is>
      </c>
      <c r="FH3335" s="15" t="inlineStr">
        <is>
          <t>Lck6122evg</t>
        </is>
      </c>
      <c r="FI3335" s="15" t="inlineStr">
        <is>
          <t>ZHONGTONG</t>
        </is>
      </c>
      <c r="FJ3335" s="15" t="inlineStr">
        <is>
          <t>LCK6122EVG</t>
        </is>
      </c>
      <c r="FK3335" s="15" t="n">
        <v>2025</v>
      </c>
      <c r="FL3335" s="15" t="inlineStr">
        <is>
          <t>B</t>
        </is>
      </c>
      <c r="FM3335" s="15" t="inlineStr">
        <is>
          <t>PIE ANDINO</t>
        </is>
      </c>
      <c r="FN3335" s="15" t="inlineStr">
        <is>
          <t>Pie Andino 31 (Pie Andino 383)</t>
        </is>
      </c>
      <c r="FO3335" s="15" t="inlineStr">
        <is>
          <t>Puente Alto</t>
        </is>
      </c>
      <c r="FP3335" t="inlineStr">
        <is>
          <t>B</t>
        </is>
      </c>
    </row>
    <row r="3336">
      <c r="FC3336" t="inlineStr">
        <is>
          <t>Diccionario 4</t>
        </is>
      </c>
      <c r="FD3336" s="15" t="inlineStr">
        <is>
          <t>1419 / VGKY-12|</t>
        </is>
      </c>
      <c r="FE3336" s="15" t="inlineStr">
        <is>
          <t>MDN35025030073</t>
        </is>
      </c>
      <c r="FF3336" s="15" t="inlineStr">
        <is>
          <t>LDYECS311S0044305</t>
        </is>
      </c>
      <c r="FG3336" s="15" t="inlineStr">
        <is>
          <t>Zhong Tong</t>
        </is>
      </c>
      <c r="FH3336" s="15" t="inlineStr">
        <is>
          <t>Lck6122evg</t>
        </is>
      </c>
      <c r="FI3336" s="15" t="inlineStr">
        <is>
          <t>ZHONGTONG</t>
        </is>
      </c>
      <c r="FJ3336" s="15" t="inlineStr">
        <is>
          <t>LCK6122EVG</t>
        </is>
      </c>
      <c r="FK3336" s="15" t="n">
        <v>2025</v>
      </c>
      <c r="FL3336" s="15" t="inlineStr">
        <is>
          <t>B</t>
        </is>
      </c>
      <c r="FM3336" s="15" t="inlineStr">
        <is>
          <t>CERRILLOS</t>
        </is>
      </c>
      <c r="FN3336" s="15" t="inlineStr">
        <is>
          <t>Calle Uno 7371</t>
        </is>
      </c>
      <c r="FO3336" s="15" t="inlineStr">
        <is>
          <t>Cerrillos</t>
        </is>
      </c>
      <c r="FP3336" t="inlineStr">
        <is>
          <t>B</t>
        </is>
      </c>
    </row>
    <row r="3337">
      <c r="FC3337" t="inlineStr">
        <is>
          <t>Diccionario 4</t>
        </is>
      </c>
      <c r="FD3337" s="15" t="inlineStr">
        <is>
          <t>1420 / VGKY-22|</t>
        </is>
      </c>
      <c r="FE3337" s="15" t="inlineStr">
        <is>
          <t>MDN35025030018</t>
        </is>
      </c>
      <c r="FF3337" s="15" t="inlineStr">
        <is>
          <t>LDYECS31XS0044383</t>
        </is>
      </c>
      <c r="FG3337" s="15" t="inlineStr">
        <is>
          <t>Zhong Tong</t>
        </is>
      </c>
      <c r="FH3337" s="15" t="inlineStr">
        <is>
          <t>Lck6122evg</t>
        </is>
      </c>
      <c r="FI3337" s="15" t="inlineStr">
        <is>
          <t>ZHONGTONG</t>
        </is>
      </c>
      <c r="FJ3337" s="15" t="inlineStr">
        <is>
          <t>LCK6122EVG</t>
        </is>
      </c>
      <c r="FK3337" s="15" t="n">
        <v>2025</v>
      </c>
      <c r="FL3337" s="15" t="inlineStr">
        <is>
          <t>B</t>
        </is>
      </c>
      <c r="FM3337" s="15" t="inlineStr">
        <is>
          <t>PIE ANDINO</t>
        </is>
      </c>
      <c r="FN3337" s="15" t="inlineStr">
        <is>
          <t>Pie Andino 31 (Pie Andino 383)</t>
        </is>
      </c>
      <c r="FO3337" s="15" t="inlineStr">
        <is>
          <t>Puente Alto</t>
        </is>
      </c>
      <c r="FP3337" t="inlineStr">
        <is>
          <t>B</t>
        </is>
      </c>
    </row>
    <row r="3338">
      <c r="FC3338" t="inlineStr">
        <is>
          <t>Diccionario 4</t>
        </is>
      </c>
      <c r="FD3338" s="15" t="inlineStr">
        <is>
          <t>1421 / VGKY-42|</t>
        </is>
      </c>
      <c r="FE3338" s="15" t="inlineStr">
        <is>
          <t>MDN35025010127</t>
        </is>
      </c>
      <c r="FF3338" s="15" t="inlineStr">
        <is>
          <t>LDYECS319S0044388</t>
        </is>
      </c>
      <c r="FG3338" s="15" t="inlineStr">
        <is>
          <t>Zhong Tong</t>
        </is>
      </c>
      <c r="FH3338" s="15" t="inlineStr">
        <is>
          <t>Lck6122evg</t>
        </is>
      </c>
      <c r="FI3338" s="15" t="inlineStr">
        <is>
          <t>ZHONGTONG</t>
        </is>
      </c>
      <c r="FJ3338" s="15" t="inlineStr">
        <is>
          <t>LCK6122EVG</t>
        </is>
      </c>
      <c r="FK3338" s="15" t="n">
        <v>2025</v>
      </c>
      <c r="FL3338" s="15" t="inlineStr">
        <is>
          <t>B</t>
        </is>
      </c>
      <c r="FM3338" s="15" t="inlineStr">
        <is>
          <t>PIE ANDINO</t>
        </is>
      </c>
      <c r="FN3338" s="15" t="inlineStr">
        <is>
          <t>Pie Andino 31 (Pie Andino 383)</t>
        </is>
      </c>
      <c r="FO3338" s="15" t="inlineStr">
        <is>
          <t>Puente Alto</t>
        </is>
      </c>
      <c r="FP3338" t="inlineStr">
        <is>
          <t>B</t>
        </is>
      </c>
    </row>
    <row r="3339">
      <c r="FC3339" t="inlineStr">
        <is>
          <t>Diccionario 4</t>
        </is>
      </c>
      <c r="FD3339" s="15" t="inlineStr">
        <is>
          <t>1422 / VGKY-72|</t>
        </is>
      </c>
      <c r="FE3339" s="15" t="inlineStr">
        <is>
          <t>MDN35025030199</t>
        </is>
      </c>
      <c r="FF3339" s="15" t="inlineStr">
        <is>
          <t>LDYECS317S0044325</t>
        </is>
      </c>
      <c r="FG3339" s="15" t="inlineStr">
        <is>
          <t>Zhong Tong</t>
        </is>
      </c>
      <c r="FH3339" s="15" t="inlineStr">
        <is>
          <t>Lck6122evg</t>
        </is>
      </c>
      <c r="FI3339" s="15" t="inlineStr">
        <is>
          <t>ZHONGTONG</t>
        </is>
      </c>
      <c r="FJ3339" s="15" t="inlineStr">
        <is>
          <t>LCK6122EVG</t>
        </is>
      </c>
      <c r="FK3339" s="15" t="n">
        <v>2025</v>
      </c>
      <c r="FL3339" s="15" t="inlineStr">
        <is>
          <t>B</t>
        </is>
      </c>
      <c r="FM3339" s="15" t="inlineStr">
        <is>
          <t>PIE ANDINO</t>
        </is>
      </c>
      <c r="FN3339" s="15" t="inlineStr">
        <is>
          <t>Pie Andino 31 (Pie Andino 383)</t>
        </is>
      </c>
      <c r="FO3339" s="15" t="inlineStr">
        <is>
          <t>Puente Alto</t>
        </is>
      </c>
      <c r="FP3339" t="inlineStr">
        <is>
          <t>B</t>
        </is>
      </c>
    </row>
    <row r="3340">
      <c r="FC3340" t="inlineStr">
        <is>
          <t>Diccionario 4</t>
        </is>
      </c>
      <c r="FD3340" s="15" t="inlineStr">
        <is>
          <t>1423 / VGKY-82|</t>
        </is>
      </c>
      <c r="FE3340" s="15" t="inlineStr">
        <is>
          <t>MDN35025030042</t>
        </is>
      </c>
      <c r="FF3340" s="15" t="inlineStr">
        <is>
          <t>LDYECS318S0044379</t>
        </is>
      </c>
      <c r="FG3340" s="15" t="inlineStr">
        <is>
          <t>Zhong Tong</t>
        </is>
      </c>
      <c r="FH3340" s="15" t="inlineStr">
        <is>
          <t>Lck6122evg</t>
        </is>
      </c>
      <c r="FI3340" s="15" t="inlineStr">
        <is>
          <t>ZHONGTONG</t>
        </is>
      </c>
      <c r="FJ3340" s="15" t="inlineStr">
        <is>
          <t>LCK6122EVG</t>
        </is>
      </c>
      <c r="FK3340" s="15" t="n">
        <v>2025</v>
      </c>
      <c r="FL3340" s="15" t="inlineStr">
        <is>
          <t>B</t>
        </is>
      </c>
      <c r="FM3340" s="15" t="inlineStr">
        <is>
          <t>PIE ANDINO</t>
        </is>
      </c>
      <c r="FN3340" s="15" t="inlineStr">
        <is>
          <t>Pie Andino 31 (Pie Andino 383)</t>
        </is>
      </c>
      <c r="FO3340" s="15" t="inlineStr">
        <is>
          <t>Puente Alto</t>
        </is>
      </c>
      <c r="FP3340" t="inlineStr">
        <is>
          <t>B</t>
        </is>
      </c>
    </row>
    <row r="3341">
      <c r="FC3341" t="inlineStr">
        <is>
          <t>Diccionario 4</t>
        </is>
      </c>
      <c r="FD3341" s="15" t="inlineStr">
        <is>
          <t>1424 / VGKZ-62|</t>
        </is>
      </c>
      <c r="FE3341" s="15" t="inlineStr">
        <is>
          <t>MDN35025030041</t>
        </is>
      </c>
      <c r="FF3341" s="15" t="inlineStr">
        <is>
          <t>LDYECS313S0044385</t>
        </is>
      </c>
      <c r="FG3341" s="15" t="inlineStr">
        <is>
          <t>Zhong Tong</t>
        </is>
      </c>
      <c r="FH3341" s="15" t="inlineStr">
        <is>
          <t>Lck6122evg</t>
        </is>
      </c>
      <c r="FI3341" s="15" t="inlineStr">
        <is>
          <t>ZHONGTONG</t>
        </is>
      </c>
      <c r="FJ3341" s="15" t="inlineStr">
        <is>
          <t>LCK6122EVG</t>
        </is>
      </c>
      <c r="FK3341" s="15" t="n">
        <v>2025</v>
      </c>
      <c r="FL3341" s="15" t="inlineStr">
        <is>
          <t>B</t>
        </is>
      </c>
      <c r="FM3341" s="15" t="inlineStr">
        <is>
          <t>PIE ANDINO</t>
        </is>
      </c>
      <c r="FN3341" s="15" t="inlineStr">
        <is>
          <t>Pie Andino 31 (Pie Andino 383)</t>
        </is>
      </c>
      <c r="FO3341" s="15" t="inlineStr">
        <is>
          <t>Puente Alto</t>
        </is>
      </c>
      <c r="FP3341" t="inlineStr">
        <is>
          <t>B</t>
        </is>
      </c>
    </row>
    <row r="3342">
      <c r="FC3342" t="inlineStr">
        <is>
          <t>Diccionario 4</t>
        </is>
      </c>
      <c r="FD3342" s="15" t="inlineStr">
        <is>
          <t>1425 / VGKZ-82|</t>
        </is>
      </c>
      <c r="FE3342" s="15" t="inlineStr">
        <is>
          <t>MDN35025030011</t>
        </is>
      </c>
      <c r="FF3342" s="15" t="inlineStr">
        <is>
          <t>LDYECS311S0044384</t>
        </is>
      </c>
      <c r="FG3342" s="15" t="inlineStr">
        <is>
          <t>Zhong Tong</t>
        </is>
      </c>
      <c r="FH3342" s="15" t="inlineStr">
        <is>
          <t>Lck6122evg</t>
        </is>
      </c>
      <c r="FI3342" s="15" t="inlineStr">
        <is>
          <t>ZHONGTONG</t>
        </is>
      </c>
      <c r="FJ3342" s="15" t="inlineStr">
        <is>
          <t>LCK6122EVG</t>
        </is>
      </c>
      <c r="FK3342" s="15" t="n">
        <v>2025</v>
      </c>
      <c r="FL3342" s="15" t="inlineStr">
        <is>
          <t>B</t>
        </is>
      </c>
      <c r="FM3342" s="15" t="inlineStr">
        <is>
          <t>PIE ANDINO</t>
        </is>
      </c>
      <c r="FN3342" s="15" t="inlineStr">
        <is>
          <t>Pie Andino 31 (Pie Andino 383)</t>
        </is>
      </c>
      <c r="FO3342" s="15" t="inlineStr">
        <is>
          <t>Puente Alto</t>
        </is>
      </c>
      <c r="FP3342" t="inlineStr">
        <is>
          <t>B</t>
        </is>
      </c>
    </row>
    <row r="3343">
      <c r="FC3343" t="inlineStr">
        <is>
          <t>Diccionario 4</t>
        </is>
      </c>
      <c r="FD3343" s="15" t="inlineStr">
        <is>
          <t>1426 / VGKZ-92|</t>
        </is>
      </c>
      <c r="FE3343" s="15" t="inlineStr">
        <is>
          <t>MDN35025030056</t>
        </is>
      </c>
      <c r="FF3343" s="15" t="inlineStr">
        <is>
          <t>LDYECS313S0044371</t>
        </is>
      </c>
      <c r="FG3343" s="15" t="inlineStr">
        <is>
          <t>Zhong Tong</t>
        </is>
      </c>
      <c r="FH3343" s="15" t="inlineStr">
        <is>
          <t>Lck6122evg</t>
        </is>
      </c>
      <c r="FI3343" s="15" t="inlineStr">
        <is>
          <t>ZHONGTONG</t>
        </is>
      </c>
      <c r="FJ3343" s="15" t="inlineStr">
        <is>
          <t>LCK6122EVG</t>
        </is>
      </c>
      <c r="FK3343" s="15" t="n">
        <v>2025</v>
      </c>
      <c r="FL3343" s="15" t="inlineStr">
        <is>
          <t>B</t>
        </is>
      </c>
      <c r="FM3343" s="15" t="inlineStr">
        <is>
          <t>PIE ANDINO</t>
        </is>
      </c>
      <c r="FN3343" s="15" t="inlineStr">
        <is>
          <t>Pie Andino 31 (Pie Andino 383)</t>
        </is>
      </c>
      <c r="FO3343" s="15" t="inlineStr">
        <is>
          <t>Puente Alto</t>
        </is>
      </c>
      <c r="FP3343" t="inlineStr">
        <is>
          <t>B</t>
        </is>
      </c>
    </row>
    <row r="3344">
      <c r="FC3344" t="inlineStr">
        <is>
          <t>Diccionario 4</t>
        </is>
      </c>
      <c r="FD3344" s="15" t="inlineStr">
        <is>
          <t>VGLZ-33|</t>
        </is>
      </c>
      <c r="FE3344" s="15" t="inlineStr">
        <is>
          <t>LDYECS834S0045636</t>
        </is>
      </c>
      <c r="FF3344" s="15" t="inlineStr">
        <is>
          <t>MJJ20025010047</t>
        </is>
      </c>
      <c r="FG3344" s="15" t="inlineStr">
        <is>
          <t>Zhong Tong</t>
        </is>
      </c>
      <c r="FH3344" s="15" t="inlineStr">
        <is>
          <t>LCK6850evg</t>
        </is>
      </c>
      <c r="FI3344" s="15" t="inlineStr">
        <is>
          <t>ZHONGTONG</t>
        </is>
      </c>
      <c r="FJ3344" s="15" t="inlineStr">
        <is>
          <t>LCK6850evg</t>
        </is>
      </c>
      <c r="FK3344" s="15" t="n">
        <v>2025</v>
      </c>
      <c r="FL3344" s="15" t="inlineStr">
        <is>
          <t>A</t>
        </is>
      </c>
      <c r="FM3344" s="15" t="inlineStr">
        <is>
          <t>CERRILLOS</t>
        </is>
      </c>
      <c r="FN3344" s="15" t="inlineStr">
        <is>
          <t>Calle Uno 7371</t>
        </is>
      </c>
      <c r="FO3344" s="15" t="inlineStr">
        <is>
          <t>Cerrillos</t>
        </is>
      </c>
      <c r="FP3344" t="inlineStr">
        <is>
          <t>A</t>
        </is>
      </c>
    </row>
    <row r="3345">
      <c r="FC3345" t="inlineStr">
        <is>
          <t>Diccionario 4</t>
        </is>
      </c>
      <c r="FD3345" s="15" t="inlineStr">
        <is>
          <t>VGLZ-43|</t>
        </is>
      </c>
      <c r="FE3345" s="15" t="inlineStr">
        <is>
          <t>LDYECS832S0045635</t>
        </is>
      </c>
      <c r="FF3345" s="15" t="inlineStr">
        <is>
          <t>MJJ20025010001</t>
        </is>
      </c>
      <c r="FG3345" s="15" t="inlineStr">
        <is>
          <t>Zhong Tong</t>
        </is>
      </c>
      <c r="FH3345" s="15" t="inlineStr">
        <is>
          <t>LCK6850evg</t>
        </is>
      </c>
      <c r="FI3345" s="15" t="inlineStr">
        <is>
          <t>ZHONGTONG</t>
        </is>
      </c>
      <c r="FJ3345" s="15" t="inlineStr">
        <is>
          <t>LCK6850evg</t>
        </is>
      </c>
      <c r="FK3345" s="15" t="n">
        <v>2025</v>
      </c>
      <c r="FL3345" s="15" t="inlineStr">
        <is>
          <t>A</t>
        </is>
      </c>
      <c r="FM3345" s="15" t="inlineStr">
        <is>
          <t>CERRILLOS</t>
        </is>
      </c>
      <c r="FN3345" s="15" t="inlineStr">
        <is>
          <t>Calle Uno 7371</t>
        </is>
      </c>
      <c r="FO3345" s="15" t="inlineStr">
        <is>
          <t>Cerrillos</t>
        </is>
      </c>
      <c r="FP3345" t="inlineStr">
        <is>
          <t>A</t>
        </is>
      </c>
    </row>
    <row r="3346">
      <c r="FC3346" t="inlineStr">
        <is>
          <t>Diccionario 4</t>
        </is>
      </c>
      <c r="FD3346" s="15" t="inlineStr">
        <is>
          <t>VGRB-23|</t>
        </is>
      </c>
      <c r="FE3346" s="15" t="inlineStr">
        <is>
          <t>LDYECS836S0045637</t>
        </is>
      </c>
      <c r="FF3346" s="15" t="inlineStr">
        <is>
          <t>MJJ20025010040</t>
        </is>
      </c>
      <c r="FG3346" s="15" t="inlineStr">
        <is>
          <t>Zhong Tong</t>
        </is>
      </c>
      <c r="FH3346" s="15" t="inlineStr">
        <is>
          <t>LCK6850evg</t>
        </is>
      </c>
      <c r="FI3346" s="15" t="inlineStr">
        <is>
          <t>ZHONGTONG</t>
        </is>
      </c>
      <c r="FJ3346" s="15" t="inlineStr">
        <is>
          <t>LCK6850evg</t>
        </is>
      </c>
      <c r="FK3346" s="15" t="n">
        <v>2025</v>
      </c>
      <c r="FL3346" s="15" t="inlineStr">
        <is>
          <t>A</t>
        </is>
      </c>
      <c r="FM3346" s="15" t="inlineStr">
        <is>
          <t>CERRILLOS</t>
        </is>
      </c>
      <c r="FN3346" s="15" t="inlineStr">
        <is>
          <t>Calle Uno 7371</t>
        </is>
      </c>
      <c r="FO3346" s="15" t="inlineStr">
        <is>
          <t>Cerrillos</t>
        </is>
      </c>
      <c r="FP3346" t="inlineStr">
        <is>
          <t>A</t>
        </is>
      </c>
    </row>
    <row r="3347">
      <c r="FC3347" t="inlineStr">
        <is>
          <t>Diccionario 4</t>
        </is>
      </c>
      <c r="FD3347" s="15" t="inlineStr">
        <is>
          <t>VGRB-24|</t>
        </is>
      </c>
      <c r="FE3347" s="15" t="inlineStr">
        <is>
          <t>LDYECS83XS0045611</t>
        </is>
      </c>
      <c r="FF3347" s="15" t="inlineStr">
        <is>
          <t>MJJ20025010028</t>
        </is>
      </c>
      <c r="FG3347" s="15" t="inlineStr">
        <is>
          <t>Zhong Tong</t>
        </is>
      </c>
      <c r="FH3347" s="15" t="inlineStr">
        <is>
          <t>LCK6850evg</t>
        </is>
      </c>
      <c r="FI3347" s="15" t="inlineStr">
        <is>
          <t>ZHONGTONG</t>
        </is>
      </c>
      <c r="FJ3347" s="15" t="inlineStr">
        <is>
          <t>LCK6850evg</t>
        </is>
      </c>
      <c r="FK3347" s="15" t="n">
        <v>2025</v>
      </c>
      <c r="FL3347" s="15" t="inlineStr">
        <is>
          <t>A</t>
        </is>
      </c>
      <c r="FM3347" s="15" t="inlineStr">
        <is>
          <t>CERRILLOS</t>
        </is>
      </c>
      <c r="FN3347" s="15" t="inlineStr">
        <is>
          <t>Calle Uno 7371</t>
        </is>
      </c>
      <c r="FO3347" s="15" t="inlineStr">
        <is>
          <t>Cerrillos</t>
        </is>
      </c>
      <c r="FP3347" t="inlineStr">
        <is>
          <t>A</t>
        </is>
      </c>
    </row>
    <row r="3348">
      <c r="FC3348" t="inlineStr">
        <is>
          <t>Diccionario 4</t>
        </is>
      </c>
      <c r="FD3348" s="15" t="inlineStr">
        <is>
          <t>VGRB-33|</t>
        </is>
      </c>
      <c r="FE3348" s="15" t="inlineStr">
        <is>
          <t>LDYECS833S0045630</t>
        </is>
      </c>
      <c r="FF3348" s="15" t="inlineStr">
        <is>
          <t>MJJ20025010012</t>
        </is>
      </c>
      <c r="FG3348" s="15" t="inlineStr">
        <is>
          <t>Zhong Tong</t>
        </is>
      </c>
      <c r="FH3348" s="15" t="inlineStr">
        <is>
          <t>LCK6850evg</t>
        </is>
      </c>
      <c r="FI3348" s="15" t="inlineStr">
        <is>
          <t>ZHONGTONG</t>
        </is>
      </c>
      <c r="FJ3348" s="15" t="inlineStr">
        <is>
          <t>LCK6850evg</t>
        </is>
      </c>
      <c r="FK3348" s="15" t="n">
        <v>2025</v>
      </c>
      <c r="FL3348" s="15" t="inlineStr">
        <is>
          <t>A</t>
        </is>
      </c>
      <c r="FM3348" s="15" t="inlineStr">
        <is>
          <t>CERRILLOS</t>
        </is>
      </c>
      <c r="FN3348" s="15" t="inlineStr">
        <is>
          <t>Calle Uno 7371</t>
        </is>
      </c>
      <c r="FO3348" s="15" t="inlineStr">
        <is>
          <t>Cerrillos</t>
        </is>
      </c>
      <c r="FP3348" t="inlineStr">
        <is>
          <t>A</t>
        </is>
      </c>
    </row>
    <row r="3349">
      <c r="FC3349" t="inlineStr">
        <is>
          <t>Diccionario 4</t>
        </is>
      </c>
      <c r="FD3349" s="15" t="inlineStr">
        <is>
          <t>VGRB-63|</t>
        </is>
      </c>
      <c r="FE3349" s="15" t="inlineStr">
        <is>
          <t>LDYECS837S0045632</t>
        </is>
      </c>
      <c r="FF3349" s="15" t="inlineStr">
        <is>
          <t>MJJ20025010003</t>
        </is>
      </c>
      <c r="FG3349" s="15" t="inlineStr">
        <is>
          <t>Zhong Tong</t>
        </is>
      </c>
      <c r="FH3349" s="15" t="inlineStr">
        <is>
          <t>LCK6850evg</t>
        </is>
      </c>
      <c r="FI3349" s="15" t="inlineStr">
        <is>
          <t>ZHONGTONG</t>
        </is>
      </c>
      <c r="FJ3349" s="15" t="inlineStr">
        <is>
          <t>LCK6850evg</t>
        </is>
      </c>
      <c r="FK3349" s="15" t="n">
        <v>2025</v>
      </c>
      <c r="FL3349" s="15" t="inlineStr">
        <is>
          <t>A</t>
        </is>
      </c>
      <c r="FM3349" s="15" t="inlineStr">
        <is>
          <t>CERRILLOS</t>
        </is>
      </c>
      <c r="FN3349" s="15" t="inlineStr">
        <is>
          <t>Calle Uno 7371</t>
        </is>
      </c>
      <c r="FO3349" s="15" t="inlineStr">
        <is>
          <t>Cerrillos</t>
        </is>
      </c>
      <c r="FP3349" t="inlineStr">
        <is>
          <t>A</t>
        </is>
      </c>
    </row>
    <row r="3350">
      <c r="FC3350" t="inlineStr">
        <is>
          <t>Diccionario 4</t>
        </is>
      </c>
      <c r="FD3350" s="15" t="inlineStr">
        <is>
          <t>VGRB-73|</t>
        </is>
      </c>
      <c r="FE3350" s="15" t="inlineStr">
        <is>
          <t>LDYECS833S0045627</t>
        </is>
      </c>
      <c r="FF3350" s="15" t="inlineStr">
        <is>
          <t>MJJ20025010013</t>
        </is>
      </c>
      <c r="FG3350" s="15" t="inlineStr">
        <is>
          <t>Zhong Tong</t>
        </is>
      </c>
      <c r="FH3350" s="15" t="inlineStr">
        <is>
          <t>LCK6850evg</t>
        </is>
      </c>
      <c r="FI3350" s="15" t="inlineStr">
        <is>
          <t>ZHONGTONG</t>
        </is>
      </c>
      <c r="FJ3350" s="15" t="inlineStr">
        <is>
          <t>LCK6850evg</t>
        </is>
      </c>
      <c r="FK3350" s="15" t="n">
        <v>2025</v>
      </c>
      <c r="FL3350" s="15" t="inlineStr">
        <is>
          <t>A</t>
        </is>
      </c>
      <c r="FM3350" s="15" t="inlineStr">
        <is>
          <t>CERRILLOS</t>
        </is>
      </c>
      <c r="FN3350" s="15" t="inlineStr">
        <is>
          <t>Calle Uno 7371</t>
        </is>
      </c>
      <c r="FO3350" s="15" t="inlineStr">
        <is>
          <t>Cerrillos</t>
        </is>
      </c>
      <c r="FP3350" t="inlineStr">
        <is>
          <t>A</t>
        </is>
      </c>
    </row>
    <row r="3351">
      <c r="FC3351" t="inlineStr">
        <is>
          <t>Diccionario 4</t>
        </is>
      </c>
      <c r="FD3351" s="15" t="inlineStr">
        <is>
          <t>VGRB-93|</t>
        </is>
      </c>
      <c r="FE3351" s="15" t="inlineStr">
        <is>
          <t>LDYECS839S0045633</t>
        </is>
      </c>
      <c r="FF3351" s="15" t="inlineStr">
        <is>
          <t>MJJ20025010010</t>
        </is>
      </c>
      <c r="FG3351" s="15" t="inlineStr">
        <is>
          <t>Zhong Tong</t>
        </is>
      </c>
      <c r="FH3351" s="15" t="inlineStr">
        <is>
          <t>LCK6850evg</t>
        </is>
      </c>
      <c r="FI3351" s="15" t="inlineStr">
        <is>
          <t>ZHONGTONG</t>
        </is>
      </c>
      <c r="FJ3351" s="15" t="inlineStr">
        <is>
          <t>LCK6850evg</t>
        </is>
      </c>
      <c r="FK3351" s="15" t="n">
        <v>2025</v>
      </c>
      <c r="FL3351" s="15" t="inlineStr">
        <is>
          <t>A</t>
        </is>
      </c>
      <c r="FM3351" s="15" t="inlineStr">
        <is>
          <t>CERRILLOS</t>
        </is>
      </c>
      <c r="FN3351" s="15" t="inlineStr">
        <is>
          <t>Calle Uno 7371</t>
        </is>
      </c>
      <c r="FO3351" s="15" t="inlineStr">
        <is>
          <t>Cerrillos</t>
        </is>
      </c>
      <c r="FP3351" t="inlineStr">
        <is>
          <t>A</t>
        </is>
      </c>
    </row>
    <row r="3352">
      <c r="FC3352" t="inlineStr">
        <is>
          <t>Diccionario 4</t>
        </is>
      </c>
      <c r="FD3352" s="15" t="inlineStr">
        <is>
          <t>VGRC-13|</t>
        </is>
      </c>
      <c r="FE3352" s="15" t="inlineStr">
        <is>
          <t>LDYECS830S0045648</t>
        </is>
      </c>
      <c r="FF3352" s="15" t="inlineStr">
        <is>
          <t>MJJ20025010016</t>
        </is>
      </c>
      <c r="FG3352" s="15" t="inlineStr">
        <is>
          <t>Zhong Tong</t>
        </is>
      </c>
      <c r="FH3352" s="15" t="inlineStr">
        <is>
          <t>LCK6850evg</t>
        </is>
      </c>
      <c r="FI3352" s="15" t="inlineStr">
        <is>
          <t>ZHONGTONG</t>
        </is>
      </c>
      <c r="FJ3352" s="15" t="inlineStr">
        <is>
          <t>LCK6850evg</t>
        </is>
      </c>
      <c r="FK3352" s="15" t="n">
        <v>2025</v>
      </c>
      <c r="FL3352" s="15" t="inlineStr">
        <is>
          <t>A</t>
        </is>
      </c>
      <c r="FM3352" s="15" t="inlineStr">
        <is>
          <t>CERRILLOS</t>
        </is>
      </c>
      <c r="FN3352" s="15" t="inlineStr">
        <is>
          <t>Calle Uno 7371</t>
        </is>
      </c>
      <c r="FO3352" s="15" t="inlineStr">
        <is>
          <t>Cerrillos</t>
        </is>
      </c>
      <c r="FP3352" t="inlineStr">
        <is>
          <t>A</t>
        </is>
      </c>
    </row>
    <row r="3353">
      <c r="FC3353" t="inlineStr">
        <is>
          <t>Diccionario 4</t>
        </is>
      </c>
      <c r="FD3353" s="15" t="inlineStr">
        <is>
          <t>VGRC-23|</t>
        </is>
      </c>
      <c r="FE3353" s="15" t="inlineStr">
        <is>
          <t>LDYECS838S0045624</t>
        </is>
      </c>
      <c r="FF3353" s="15" t="inlineStr">
        <is>
          <t>MJJ20025010023</t>
        </is>
      </c>
      <c r="FG3353" s="15" t="inlineStr">
        <is>
          <t>Zhong Tong</t>
        </is>
      </c>
      <c r="FH3353" s="15" t="inlineStr">
        <is>
          <t>LCK6850evg</t>
        </is>
      </c>
      <c r="FI3353" s="15" t="inlineStr">
        <is>
          <t>ZHONGTONG</t>
        </is>
      </c>
      <c r="FJ3353" s="15" t="inlineStr">
        <is>
          <t>LCK6850evg</t>
        </is>
      </c>
      <c r="FK3353" s="15" t="n">
        <v>2025</v>
      </c>
      <c r="FL3353" s="15" t="inlineStr">
        <is>
          <t>A</t>
        </is>
      </c>
      <c r="FM3353" s="15" t="inlineStr">
        <is>
          <t>CERRILLOS</t>
        </is>
      </c>
      <c r="FN3353" s="15" t="inlineStr">
        <is>
          <t>Calle Uno 7371</t>
        </is>
      </c>
      <c r="FO3353" s="15" t="inlineStr">
        <is>
          <t>Cerrillos</t>
        </is>
      </c>
      <c r="FP3353" t="inlineStr">
        <is>
          <t>A</t>
        </is>
      </c>
    </row>
    <row r="3354">
      <c r="FC3354" t="inlineStr">
        <is>
          <t>Diccionario 4</t>
        </is>
      </c>
      <c r="FD3354" s="15" t="inlineStr">
        <is>
          <t>VGRC-33|</t>
        </is>
      </c>
      <c r="FE3354" s="15" t="inlineStr">
        <is>
          <t>LDYECS835S0045631</t>
        </is>
      </c>
      <c r="FF3354" s="15" t="inlineStr">
        <is>
          <t>MJJ20025010015</t>
        </is>
      </c>
      <c r="FG3354" s="15" t="inlineStr">
        <is>
          <t>Zhong Tong</t>
        </is>
      </c>
      <c r="FH3354" s="15" t="inlineStr">
        <is>
          <t>LCK6850evg</t>
        </is>
      </c>
      <c r="FI3354" s="15" t="inlineStr">
        <is>
          <t>ZHONGTONG</t>
        </is>
      </c>
      <c r="FJ3354" s="15" t="inlineStr">
        <is>
          <t>LCK6850evg</t>
        </is>
      </c>
      <c r="FK3354" s="15" t="n">
        <v>2025</v>
      </c>
      <c r="FL3354" s="15" t="inlineStr">
        <is>
          <t>A</t>
        </is>
      </c>
      <c r="FM3354" s="15" t="inlineStr">
        <is>
          <t>CERRILLOS</t>
        </is>
      </c>
      <c r="FN3354" s="15" t="inlineStr">
        <is>
          <t>Calle Uno 7371</t>
        </is>
      </c>
      <c r="FO3354" s="15" t="inlineStr">
        <is>
          <t>Cerrillos</t>
        </is>
      </c>
      <c r="FP3354" t="inlineStr">
        <is>
          <t>A</t>
        </is>
      </c>
    </row>
    <row r="3355">
      <c r="FC3355" t="inlineStr">
        <is>
          <t>Diccionario 4</t>
        </is>
      </c>
      <c r="FD3355" s="15" t="inlineStr">
        <is>
          <t>VGRC-43|</t>
        </is>
      </c>
      <c r="FE3355" s="15" t="inlineStr">
        <is>
          <t>LDYECS83XS0045639</t>
        </is>
      </c>
      <c r="FF3355" s="15" t="inlineStr">
        <is>
          <t>MJJ20025010020</t>
        </is>
      </c>
      <c r="FG3355" s="15" t="inlineStr">
        <is>
          <t>Zhong Tong</t>
        </is>
      </c>
      <c r="FH3355" s="15" t="inlineStr">
        <is>
          <t>LCK6850evg</t>
        </is>
      </c>
      <c r="FI3355" s="15" t="inlineStr">
        <is>
          <t>ZHONGTONG</t>
        </is>
      </c>
      <c r="FJ3355" s="15" t="inlineStr">
        <is>
          <t>LCK6850evg</t>
        </is>
      </c>
      <c r="FK3355" s="15" t="n">
        <v>2025</v>
      </c>
      <c r="FL3355" s="15" t="inlineStr">
        <is>
          <t>A</t>
        </is>
      </c>
      <c r="FM3355" s="15" t="inlineStr">
        <is>
          <t>CERRILLOS</t>
        </is>
      </c>
      <c r="FN3355" s="15" t="inlineStr">
        <is>
          <t>Calle Uno 7371</t>
        </is>
      </c>
      <c r="FO3355" s="15" t="inlineStr">
        <is>
          <t>Cerrillos</t>
        </is>
      </c>
      <c r="FP3355" t="inlineStr">
        <is>
          <t>A</t>
        </is>
      </c>
    </row>
    <row r="3356">
      <c r="FC3356" t="inlineStr">
        <is>
          <t>Diccionario 4</t>
        </is>
      </c>
      <c r="FD3356" s="15" t="inlineStr">
        <is>
          <t>VGRC-53|</t>
        </is>
      </c>
      <c r="FE3356" s="15" t="inlineStr">
        <is>
          <t>LDYECS831S0045626</t>
        </is>
      </c>
      <c r="FF3356" s="15" t="inlineStr">
        <is>
          <t>MJJ20025010058</t>
        </is>
      </c>
      <c r="FG3356" s="15" t="inlineStr">
        <is>
          <t>Zhong Tong</t>
        </is>
      </c>
      <c r="FH3356" s="15" t="inlineStr">
        <is>
          <t>LCK6850evg</t>
        </is>
      </c>
      <c r="FI3356" s="15" t="inlineStr">
        <is>
          <t>ZHONGTONG</t>
        </is>
      </c>
      <c r="FJ3356" s="15" t="inlineStr">
        <is>
          <t>LCK6850evg</t>
        </is>
      </c>
      <c r="FK3356" s="15" t="n">
        <v>2025</v>
      </c>
      <c r="FL3356" s="15" t="inlineStr">
        <is>
          <t>A</t>
        </is>
      </c>
      <c r="FM3356" s="15" t="inlineStr">
        <is>
          <t>CERRILLOS</t>
        </is>
      </c>
      <c r="FN3356" s="15" t="inlineStr">
        <is>
          <t>Calle Uno 7371</t>
        </is>
      </c>
      <c r="FO3356" s="15" t="inlineStr">
        <is>
          <t>Cerrillos</t>
        </is>
      </c>
      <c r="FP3356" t="inlineStr">
        <is>
          <t>A</t>
        </is>
      </c>
    </row>
    <row r="3357">
      <c r="FC3357" t="inlineStr">
        <is>
          <t>Diccionario 4</t>
        </is>
      </c>
      <c r="FD3357" s="15" t="inlineStr">
        <is>
          <t>VGRC-73|</t>
        </is>
      </c>
      <c r="FE3357" s="15" t="inlineStr">
        <is>
          <t>LDYECS833S0045644</t>
        </is>
      </c>
      <c r="FF3357" s="15" t="inlineStr">
        <is>
          <t>MJJ20025010033</t>
        </is>
      </c>
      <c r="FG3357" s="15" t="inlineStr">
        <is>
          <t>Zhong Tong</t>
        </is>
      </c>
      <c r="FH3357" s="15" t="inlineStr">
        <is>
          <t>LCK6850evg</t>
        </is>
      </c>
      <c r="FI3357" s="15" t="inlineStr">
        <is>
          <t>ZHONGTONG</t>
        </is>
      </c>
      <c r="FJ3357" s="15" t="inlineStr">
        <is>
          <t>LCK6850evg</t>
        </is>
      </c>
      <c r="FK3357" s="15" t="n">
        <v>2025</v>
      </c>
      <c r="FL3357" s="15" t="inlineStr">
        <is>
          <t>A</t>
        </is>
      </c>
      <c r="FM3357" s="15" t="inlineStr">
        <is>
          <t>CERRILLOS</t>
        </is>
      </c>
      <c r="FN3357" s="15" t="inlineStr">
        <is>
          <t>Calle Uno 7371</t>
        </is>
      </c>
      <c r="FO3357" s="15" t="inlineStr">
        <is>
          <t>Cerrillos</t>
        </is>
      </c>
      <c r="FP3357" t="inlineStr">
        <is>
          <t>A</t>
        </is>
      </c>
    </row>
    <row r="3358">
      <c r="FC3358" t="inlineStr">
        <is>
          <t>Diccionario 4</t>
        </is>
      </c>
      <c r="FD3358" s="15" t="inlineStr">
        <is>
          <t>VGRC-83|</t>
        </is>
      </c>
      <c r="FE3358" s="15" t="inlineStr">
        <is>
          <t>LDYECS837S0045646</t>
        </is>
      </c>
      <c r="FF3358" s="15" t="inlineStr">
        <is>
          <t>MJJ20025010007</t>
        </is>
      </c>
      <c r="FG3358" s="15" t="inlineStr">
        <is>
          <t>Zhong Tong</t>
        </is>
      </c>
      <c r="FH3358" s="15" t="inlineStr">
        <is>
          <t>LCK6850evg</t>
        </is>
      </c>
      <c r="FI3358" s="15" t="inlineStr">
        <is>
          <t>ZHONGTONG</t>
        </is>
      </c>
      <c r="FJ3358" s="15" t="inlineStr">
        <is>
          <t>LCK6850evg</t>
        </is>
      </c>
      <c r="FK3358" s="15" t="n">
        <v>2025</v>
      </c>
      <c r="FL3358" s="15" t="inlineStr">
        <is>
          <t>A</t>
        </is>
      </c>
      <c r="FM3358" s="15" t="inlineStr">
        <is>
          <t>CERRILLOS</t>
        </is>
      </c>
      <c r="FN3358" s="15" t="inlineStr">
        <is>
          <t>Calle Uno 7371</t>
        </is>
      </c>
      <c r="FO3358" s="15" t="inlineStr">
        <is>
          <t>Cerrillos</t>
        </is>
      </c>
      <c r="FP3358" t="inlineStr">
        <is>
          <t>A</t>
        </is>
      </c>
    </row>
    <row r="3359">
      <c r="FC3359" t="inlineStr">
        <is>
          <t>Diccionario 4</t>
        </is>
      </c>
      <c r="FD3359" s="15" t="inlineStr">
        <is>
          <t>VGRC-93|</t>
        </is>
      </c>
      <c r="FE3359" s="15" t="inlineStr">
        <is>
          <t>LDYECS836S0045640</t>
        </is>
      </c>
      <c r="FF3359" s="15" t="inlineStr">
        <is>
          <t>MJJ20025010019</t>
        </is>
      </c>
      <c r="FG3359" s="15" t="inlineStr">
        <is>
          <t>Zhong Tong</t>
        </is>
      </c>
      <c r="FH3359" s="15" t="inlineStr">
        <is>
          <t>LCK6850evg</t>
        </is>
      </c>
      <c r="FI3359" s="15" t="inlineStr">
        <is>
          <t>ZHONGTONG</t>
        </is>
      </c>
      <c r="FJ3359" s="15" t="inlineStr">
        <is>
          <t>LCK6850evg</t>
        </is>
      </c>
      <c r="FK3359" s="15" t="n">
        <v>2025</v>
      </c>
      <c r="FL3359" s="15" t="inlineStr">
        <is>
          <t>A</t>
        </is>
      </c>
      <c r="FM3359" s="15" t="inlineStr">
        <is>
          <t>CERRILLOS</t>
        </is>
      </c>
      <c r="FN3359" s="15" t="inlineStr">
        <is>
          <t>Calle Uno 7371</t>
        </is>
      </c>
      <c r="FO3359" s="15" t="inlineStr">
        <is>
          <t>Cerrillos</t>
        </is>
      </c>
      <c r="FP3359" t="inlineStr">
        <is>
          <t>A</t>
        </is>
      </c>
    </row>
    <row r="3360">
      <c r="FC3360" t="inlineStr">
        <is>
          <t>Diccionario 4</t>
        </is>
      </c>
      <c r="FD3360" s="15" t="inlineStr">
        <is>
          <t>VGRD-25|</t>
        </is>
      </c>
      <c r="FE3360" s="15" t="inlineStr">
        <is>
          <t>LDYECS83XS0045625</t>
        </is>
      </c>
      <c r="FF3360" s="15" t="inlineStr">
        <is>
          <t>MJJ20025010014</t>
        </is>
      </c>
      <c r="FG3360" s="15" t="inlineStr">
        <is>
          <t>Zhong Tong</t>
        </is>
      </c>
      <c r="FH3360" s="15" t="inlineStr">
        <is>
          <t>LCK6850evg</t>
        </is>
      </c>
      <c r="FI3360" s="15" t="inlineStr">
        <is>
          <t>ZHONGTONG</t>
        </is>
      </c>
      <c r="FJ3360" s="15" t="inlineStr">
        <is>
          <t>LCK6850evg</t>
        </is>
      </c>
      <c r="FK3360" s="15" t="n">
        <v>2025</v>
      </c>
      <c r="FL3360" s="15" t="inlineStr">
        <is>
          <t>A</t>
        </is>
      </c>
      <c r="FM3360" s="15" t="inlineStr">
        <is>
          <t>CERRILLOS</t>
        </is>
      </c>
      <c r="FN3360" s="15" t="inlineStr">
        <is>
          <t>Calle Uno 7371</t>
        </is>
      </c>
      <c r="FO3360" s="15" t="inlineStr">
        <is>
          <t>Cerrillos</t>
        </is>
      </c>
      <c r="FP3360" t="inlineStr">
        <is>
          <t>A</t>
        </is>
      </c>
    </row>
    <row r="3361">
      <c r="FC3361" t="inlineStr">
        <is>
          <t>Diccionario 4</t>
        </is>
      </c>
      <c r="FD3361" s="15" t="inlineStr">
        <is>
          <t>VGRD-35|</t>
        </is>
      </c>
      <c r="FE3361" s="15" t="inlineStr">
        <is>
          <t>LDYECS832S0045599</t>
        </is>
      </c>
      <c r="FF3361" s="15" t="inlineStr">
        <is>
          <t>MJJ20025010048</t>
        </is>
      </c>
      <c r="FG3361" s="15" t="inlineStr">
        <is>
          <t>Zhong Tong</t>
        </is>
      </c>
      <c r="FH3361" s="15" t="inlineStr">
        <is>
          <t>LCK6850evg</t>
        </is>
      </c>
      <c r="FI3361" s="15" t="inlineStr">
        <is>
          <t>ZHONGTONG</t>
        </is>
      </c>
      <c r="FJ3361" s="15" t="inlineStr">
        <is>
          <t>LCK6850evg</t>
        </is>
      </c>
      <c r="FK3361" s="15" t="n">
        <v>2025</v>
      </c>
      <c r="FL3361" s="15" t="inlineStr">
        <is>
          <t>A</t>
        </is>
      </c>
      <c r="FM3361" s="15" t="inlineStr">
        <is>
          <t>CERRILLOS</t>
        </is>
      </c>
      <c r="FN3361" s="15" t="inlineStr">
        <is>
          <t>Calle Uno 7371</t>
        </is>
      </c>
      <c r="FO3361" s="15" t="inlineStr">
        <is>
          <t>Cerrillos</t>
        </is>
      </c>
      <c r="FP3361" t="inlineStr">
        <is>
          <t>A</t>
        </is>
      </c>
    </row>
    <row r="3362">
      <c r="FC3362" t="inlineStr">
        <is>
          <t>Diccionario 4</t>
        </is>
      </c>
      <c r="FD3362" s="15" t="inlineStr">
        <is>
          <t>VGRD-55|</t>
        </is>
      </c>
      <c r="FE3362" s="15" t="inlineStr">
        <is>
          <t>LDYECS836S0045602</t>
        </is>
      </c>
      <c r="FF3362" s="15" t="inlineStr">
        <is>
          <t>MJJ20025010046</t>
        </is>
      </c>
      <c r="FG3362" s="15" t="inlineStr">
        <is>
          <t>Zhong Tong</t>
        </is>
      </c>
      <c r="FH3362" s="15" t="inlineStr">
        <is>
          <t>LCK6850evg</t>
        </is>
      </c>
      <c r="FI3362" s="15" t="inlineStr">
        <is>
          <t>ZHONGTONG</t>
        </is>
      </c>
      <c r="FJ3362" s="15" t="inlineStr">
        <is>
          <t>LCK6850evg</t>
        </is>
      </c>
      <c r="FK3362" s="15" t="n">
        <v>2025</v>
      </c>
      <c r="FL3362" s="15" t="inlineStr">
        <is>
          <t>A</t>
        </is>
      </c>
      <c r="FM3362" s="15" t="inlineStr">
        <is>
          <t>CERRILLOS</t>
        </is>
      </c>
      <c r="FN3362" s="15" t="inlineStr">
        <is>
          <t>Calle Uno 7371</t>
        </is>
      </c>
      <c r="FO3362" s="15" t="inlineStr">
        <is>
          <t>Cerrillos</t>
        </is>
      </c>
      <c r="FP3362" t="inlineStr">
        <is>
          <t>A</t>
        </is>
      </c>
    </row>
    <row r="3363">
      <c r="FC3363" t="inlineStr">
        <is>
          <t>Diccionario 4</t>
        </is>
      </c>
      <c r="FD3363" s="15" t="inlineStr">
        <is>
          <t>VGRF-45|</t>
        </is>
      </c>
      <c r="FE3363" s="15" t="inlineStr">
        <is>
          <t>LDYECS837S0045629</t>
        </is>
      </c>
      <c r="FF3363" s="15" t="inlineStr">
        <is>
          <t>MJJ20025010011</t>
        </is>
      </c>
      <c r="FG3363" s="15" t="inlineStr">
        <is>
          <t>Zhong Tong</t>
        </is>
      </c>
      <c r="FH3363" s="15" t="inlineStr">
        <is>
          <t>LCK6850evg</t>
        </is>
      </c>
      <c r="FI3363" s="15" t="inlineStr">
        <is>
          <t>ZHONGTONG</t>
        </is>
      </c>
      <c r="FJ3363" s="15" t="inlineStr">
        <is>
          <t>LCK6850evg</t>
        </is>
      </c>
      <c r="FK3363" s="15" t="n">
        <v>2025</v>
      </c>
      <c r="FL3363" s="15" t="inlineStr">
        <is>
          <t>A</t>
        </is>
      </c>
      <c r="FM3363" s="15" t="inlineStr">
        <is>
          <t>CERRILLOS</t>
        </is>
      </c>
      <c r="FN3363" s="15" t="inlineStr">
        <is>
          <t>Calle Uno 7371</t>
        </is>
      </c>
      <c r="FO3363" s="15" t="inlineStr">
        <is>
          <t>Cerrillos</t>
        </is>
      </c>
      <c r="FP3363" t="inlineStr">
        <is>
          <t>A</t>
        </is>
      </c>
    </row>
    <row r="3364">
      <c r="FC3364" t="inlineStr">
        <is>
          <t>Diccionario 4</t>
        </is>
      </c>
      <c r="FD3364" s="15" t="inlineStr">
        <is>
          <t>VGRF-55|</t>
        </is>
      </c>
      <c r="FE3364" s="15" t="inlineStr">
        <is>
          <t>LDYECS839S0045616</t>
        </is>
      </c>
      <c r="FF3364" s="15" t="inlineStr">
        <is>
          <t>MJJ20025010037</t>
        </is>
      </c>
      <c r="FG3364" s="15" t="inlineStr">
        <is>
          <t>Zhong Tong</t>
        </is>
      </c>
      <c r="FH3364" s="15" t="inlineStr">
        <is>
          <t>LCK6850evg</t>
        </is>
      </c>
      <c r="FI3364" s="15" t="inlineStr">
        <is>
          <t>ZHONGTONG</t>
        </is>
      </c>
      <c r="FJ3364" s="15" t="inlineStr">
        <is>
          <t>LCK6850evg</t>
        </is>
      </c>
      <c r="FK3364" s="15" t="n">
        <v>2025</v>
      </c>
      <c r="FL3364" s="15" t="inlineStr">
        <is>
          <t>A</t>
        </is>
      </c>
      <c r="FM3364" s="15" t="inlineStr">
        <is>
          <t>CERRILLOS</t>
        </is>
      </c>
      <c r="FN3364" s="15" t="inlineStr">
        <is>
          <t>Calle Uno 7371</t>
        </is>
      </c>
      <c r="FO3364" s="15" t="inlineStr">
        <is>
          <t>Cerrillos</t>
        </is>
      </c>
      <c r="FP3364" t="inlineStr">
        <is>
          <t>A</t>
        </is>
      </c>
    </row>
    <row r="3365">
      <c r="FC3365" t="inlineStr">
        <is>
          <t>Diccionario 4</t>
        </is>
      </c>
      <c r="FD3365" s="15" t="inlineStr">
        <is>
          <t>VGRF-65|</t>
        </is>
      </c>
      <c r="FE3365" s="15" t="inlineStr">
        <is>
          <t>LDYECS838S0045610</t>
        </is>
      </c>
      <c r="FF3365" s="15" t="inlineStr">
        <is>
          <t>MJJ20025030024</t>
        </is>
      </c>
      <c r="FG3365" s="15" t="inlineStr">
        <is>
          <t>Zhong Tong</t>
        </is>
      </c>
      <c r="FH3365" s="15" t="inlineStr">
        <is>
          <t>LCK6850evg</t>
        </is>
      </c>
      <c r="FI3365" s="15" t="inlineStr">
        <is>
          <t>ZHONGTONG</t>
        </is>
      </c>
      <c r="FJ3365" s="15" t="inlineStr">
        <is>
          <t>LCK6850evg</t>
        </is>
      </c>
      <c r="FK3365" s="15" t="n">
        <v>2025</v>
      </c>
      <c r="FL3365" s="15" t="inlineStr">
        <is>
          <t>A</t>
        </is>
      </c>
      <c r="FM3365" s="15" t="inlineStr">
        <is>
          <t>CERRILLOS</t>
        </is>
      </c>
      <c r="FN3365" s="15" t="inlineStr">
        <is>
          <t>Calle Uno 7371</t>
        </is>
      </c>
      <c r="FO3365" s="15" t="inlineStr">
        <is>
          <t>Cerrillos</t>
        </is>
      </c>
      <c r="FP3365" t="inlineStr">
        <is>
          <t>A</t>
        </is>
      </c>
    </row>
    <row r="3366">
      <c r="FC3366" t="inlineStr">
        <is>
          <t>Diccionario 4</t>
        </is>
      </c>
      <c r="FD3366" s="15" t="inlineStr">
        <is>
          <t>VGRF-75|</t>
        </is>
      </c>
      <c r="FE3366" s="15" t="inlineStr">
        <is>
          <t>LDYECS830S0045620</t>
        </is>
      </c>
      <c r="FF3366" s="15" t="inlineStr">
        <is>
          <t>MJJ20025010025</t>
        </is>
      </c>
      <c r="FG3366" s="15" t="inlineStr">
        <is>
          <t>Zhong Tong</t>
        </is>
      </c>
      <c r="FH3366" s="15" t="inlineStr">
        <is>
          <t>LCK6850evg</t>
        </is>
      </c>
      <c r="FI3366" s="15" t="inlineStr">
        <is>
          <t>ZHONGTONG</t>
        </is>
      </c>
      <c r="FJ3366" s="15" t="inlineStr">
        <is>
          <t>LCK6850evg</t>
        </is>
      </c>
      <c r="FK3366" s="15" t="n">
        <v>2025</v>
      </c>
      <c r="FL3366" s="15" t="inlineStr">
        <is>
          <t>A</t>
        </is>
      </c>
      <c r="FM3366" s="15" t="inlineStr">
        <is>
          <t>CERRILLOS</t>
        </is>
      </c>
      <c r="FN3366" s="15" t="inlineStr">
        <is>
          <t>Calle Uno 7371</t>
        </is>
      </c>
      <c r="FO3366" s="15" t="inlineStr">
        <is>
          <t>Cerrillos</t>
        </is>
      </c>
      <c r="FP3366" t="inlineStr">
        <is>
          <t>A</t>
        </is>
      </c>
    </row>
    <row r="3367">
      <c r="FC3367" t="inlineStr">
        <is>
          <t>Diccionario 4</t>
        </is>
      </c>
      <c r="FD3367" s="15" t="inlineStr">
        <is>
          <t>VGRF-84|</t>
        </is>
      </c>
      <c r="FE3367" s="15" t="inlineStr">
        <is>
          <t>LDYECS832S0045618</t>
        </is>
      </c>
      <c r="FF3367" s="15" t="inlineStr">
        <is>
          <t>MJJ20025010030</t>
        </is>
      </c>
      <c r="FG3367" s="15" t="inlineStr">
        <is>
          <t>Zhong Tong</t>
        </is>
      </c>
      <c r="FH3367" s="15" t="inlineStr">
        <is>
          <t>LCK6850evg</t>
        </is>
      </c>
      <c r="FI3367" s="15" t="inlineStr">
        <is>
          <t>ZHONGTONG</t>
        </is>
      </c>
      <c r="FJ3367" s="15" t="inlineStr">
        <is>
          <t>LCK6850evg</t>
        </is>
      </c>
      <c r="FK3367" s="15" t="n">
        <v>2025</v>
      </c>
      <c r="FL3367" s="15" t="inlineStr">
        <is>
          <t>A</t>
        </is>
      </c>
      <c r="FM3367" s="15" t="inlineStr">
        <is>
          <t>CERRILLOS</t>
        </is>
      </c>
      <c r="FN3367" s="15" t="inlineStr">
        <is>
          <t>Calle Uno 7371</t>
        </is>
      </c>
      <c r="FO3367" s="15" t="inlineStr">
        <is>
          <t>Cerrillos</t>
        </is>
      </c>
      <c r="FP3367" t="inlineStr">
        <is>
          <t>A</t>
        </is>
      </c>
    </row>
    <row r="3368">
      <c r="FC3368" t="inlineStr">
        <is>
          <t>Diccionario 4</t>
        </is>
      </c>
      <c r="FD3368" s="15" t="inlineStr">
        <is>
          <t>VGRF-85|</t>
        </is>
      </c>
      <c r="FE3368" s="15" t="inlineStr">
        <is>
          <t>LDYECS831S0045609</t>
        </is>
      </c>
      <c r="FF3368" s="15" t="inlineStr">
        <is>
          <t>MJJ20025010029</t>
        </is>
      </c>
      <c r="FG3368" s="15" t="inlineStr">
        <is>
          <t>Zhong Tong</t>
        </is>
      </c>
      <c r="FH3368" s="15" t="inlineStr">
        <is>
          <t>LCK6850evg</t>
        </is>
      </c>
      <c r="FI3368" s="15" t="inlineStr">
        <is>
          <t>ZHONGTONG</t>
        </is>
      </c>
      <c r="FJ3368" s="15" t="inlineStr">
        <is>
          <t>LCK6850evg</t>
        </is>
      </c>
      <c r="FK3368" s="15" t="n">
        <v>2025</v>
      </c>
      <c r="FL3368" s="15" t="inlineStr">
        <is>
          <t>A</t>
        </is>
      </c>
      <c r="FM3368" s="15" t="inlineStr">
        <is>
          <t>CERRILLOS</t>
        </is>
      </c>
      <c r="FN3368" s="15" t="inlineStr">
        <is>
          <t>Calle Uno 7371</t>
        </is>
      </c>
      <c r="FO3368" s="15" t="inlineStr">
        <is>
          <t>Cerrillos</t>
        </is>
      </c>
      <c r="FP3368" t="inlineStr">
        <is>
          <t>A</t>
        </is>
      </c>
    </row>
    <row r="3369">
      <c r="FC3369" t="inlineStr">
        <is>
          <t>Diccionario 4</t>
        </is>
      </c>
      <c r="FD3369" s="15" t="inlineStr">
        <is>
          <t>VGRF-94|</t>
        </is>
      </c>
      <c r="FE3369" s="15" t="inlineStr">
        <is>
          <t>LDYECS830S0045634</t>
        </is>
      </c>
      <c r="FF3369" s="15" t="inlineStr">
        <is>
          <t>MJJ20025010004</t>
        </is>
      </c>
      <c r="FG3369" s="15" t="inlineStr">
        <is>
          <t>Zhong Tong</t>
        </is>
      </c>
      <c r="FH3369" s="15" t="inlineStr">
        <is>
          <t>LCK6850evg</t>
        </is>
      </c>
      <c r="FI3369" s="15" t="inlineStr">
        <is>
          <t>ZHONGTONG</t>
        </is>
      </c>
      <c r="FJ3369" s="15" t="inlineStr">
        <is>
          <t>LCK6850evg</t>
        </is>
      </c>
      <c r="FK3369" s="15" t="n">
        <v>2025</v>
      </c>
      <c r="FL3369" s="15" t="inlineStr">
        <is>
          <t>A</t>
        </is>
      </c>
      <c r="FM3369" s="15" t="inlineStr">
        <is>
          <t>CERRILLOS</t>
        </is>
      </c>
      <c r="FN3369" s="15" t="inlineStr">
        <is>
          <t>Calle Uno 7371</t>
        </is>
      </c>
      <c r="FO3369" s="15" t="inlineStr">
        <is>
          <t>Cerrillos</t>
        </is>
      </c>
      <c r="FP3369" t="inlineStr">
        <is>
          <t>A</t>
        </is>
      </c>
    </row>
    <row r="3370">
      <c r="FC3370" t="inlineStr">
        <is>
          <t>Diccionario 4</t>
        </is>
      </c>
      <c r="FD3370" s="15" t="inlineStr">
        <is>
          <t>VGRG-14|</t>
        </is>
      </c>
      <c r="FE3370" s="15" t="inlineStr">
        <is>
          <t>LDYECS834S0045622</t>
        </is>
      </c>
      <c r="FF3370" s="15" t="inlineStr">
        <is>
          <t>MJJ20025030025</t>
        </is>
      </c>
      <c r="FG3370" s="15" t="inlineStr">
        <is>
          <t>Zhong Tong</t>
        </is>
      </c>
      <c r="FH3370" s="15" t="inlineStr">
        <is>
          <t>LCK6850evg</t>
        </is>
      </c>
      <c r="FI3370" s="15" t="inlineStr">
        <is>
          <t>ZHONGTONG</t>
        </is>
      </c>
      <c r="FJ3370" s="15" t="inlineStr">
        <is>
          <t>LCK6850evg</t>
        </is>
      </c>
      <c r="FK3370" s="15" t="n">
        <v>2025</v>
      </c>
      <c r="FL3370" s="15" t="inlineStr">
        <is>
          <t>A</t>
        </is>
      </c>
      <c r="FM3370" s="15" t="inlineStr">
        <is>
          <t>CERRILLOS</t>
        </is>
      </c>
      <c r="FN3370" s="15" t="inlineStr">
        <is>
          <t>Calle Uno 7371</t>
        </is>
      </c>
      <c r="FO3370" s="15" t="inlineStr">
        <is>
          <t>Cerrillos</t>
        </is>
      </c>
      <c r="FP3370" t="inlineStr">
        <is>
          <t>A</t>
        </is>
      </c>
    </row>
    <row r="3371">
      <c r="FC3371" t="inlineStr">
        <is>
          <t>Diccionario 4</t>
        </is>
      </c>
      <c r="FD3371" s="15" t="inlineStr">
        <is>
          <t>VGRG-24|</t>
        </is>
      </c>
      <c r="FE3371" s="15" t="inlineStr">
        <is>
          <t>LDYECS831S0045612</t>
        </is>
      </c>
      <c r="FF3371" s="15" t="inlineStr">
        <is>
          <t>MJJ20025010043</t>
        </is>
      </c>
      <c r="FG3371" s="15" t="inlineStr">
        <is>
          <t>Zhong Tong</t>
        </is>
      </c>
      <c r="FH3371" s="15" t="inlineStr">
        <is>
          <t>LCK6850evg</t>
        </is>
      </c>
      <c r="FI3371" s="15" t="inlineStr">
        <is>
          <t>ZHONGTONG</t>
        </is>
      </c>
      <c r="FJ3371" s="15" t="inlineStr">
        <is>
          <t>LCK6850evg</t>
        </is>
      </c>
      <c r="FK3371" s="15" t="n">
        <v>2025</v>
      </c>
      <c r="FL3371" s="15" t="inlineStr">
        <is>
          <t>A</t>
        </is>
      </c>
      <c r="FM3371" s="15" t="inlineStr">
        <is>
          <t>CERRILLOS</t>
        </is>
      </c>
      <c r="FN3371" s="15" t="inlineStr">
        <is>
          <t>Calle Uno 7371</t>
        </is>
      </c>
      <c r="FO3371" s="15" t="inlineStr">
        <is>
          <t>Cerrillos</t>
        </is>
      </c>
      <c r="FP3371" t="inlineStr">
        <is>
          <t>A</t>
        </is>
      </c>
    </row>
    <row r="3372">
      <c r="FC3372" t="inlineStr">
        <is>
          <t>Diccionario 4</t>
        </is>
      </c>
      <c r="FD3372" s="15" t="inlineStr">
        <is>
          <t>VGRG-34|</t>
        </is>
      </c>
      <c r="FE3372" s="15" t="inlineStr">
        <is>
          <t>LDYECS834S0045619</t>
        </is>
      </c>
      <c r="FF3372" s="15" t="inlineStr">
        <is>
          <t>MJJ2002503018</t>
        </is>
      </c>
      <c r="FG3372" s="15" t="inlineStr">
        <is>
          <t>Zhong Tong</t>
        </is>
      </c>
      <c r="FH3372" s="15" t="inlineStr">
        <is>
          <t>LCK6850evg</t>
        </is>
      </c>
      <c r="FI3372" s="15" t="inlineStr">
        <is>
          <t>ZHONGTONG</t>
        </is>
      </c>
      <c r="FJ3372" s="15" t="inlineStr">
        <is>
          <t>LCK6850evg</t>
        </is>
      </c>
      <c r="FK3372" s="15" t="n">
        <v>2025</v>
      </c>
      <c r="FL3372" s="15" t="inlineStr">
        <is>
          <t>A</t>
        </is>
      </c>
      <c r="FM3372" s="15" t="inlineStr">
        <is>
          <t>CERRILLOS</t>
        </is>
      </c>
      <c r="FN3372" s="15" t="inlineStr">
        <is>
          <t>Calle Uno 7371</t>
        </is>
      </c>
      <c r="FO3372" s="15" t="inlineStr">
        <is>
          <t>Cerrillos</t>
        </is>
      </c>
      <c r="FP3372" t="inlineStr">
        <is>
          <t>A</t>
        </is>
      </c>
    </row>
    <row r="3373">
      <c r="FC3373" t="inlineStr">
        <is>
          <t>Diccionario 4</t>
        </is>
      </c>
      <c r="FD3373" s="15" t="inlineStr">
        <is>
          <t>VGRG-44|</t>
        </is>
      </c>
      <c r="FE3373" s="15" t="inlineStr">
        <is>
          <t>LDYECS83XS0045608</t>
        </is>
      </c>
      <c r="FF3373" s="15" t="inlineStr">
        <is>
          <t>MJJ20025030023</t>
        </is>
      </c>
      <c r="FG3373" s="15" t="inlineStr">
        <is>
          <t>Zhong Tong</t>
        </is>
      </c>
      <c r="FH3373" s="15" t="inlineStr">
        <is>
          <t>LCK6850evg</t>
        </is>
      </c>
      <c r="FI3373" s="15" t="inlineStr">
        <is>
          <t>ZHONGTONG</t>
        </is>
      </c>
      <c r="FJ3373" s="15" t="inlineStr">
        <is>
          <t>LCK6850evg</t>
        </is>
      </c>
      <c r="FK3373" s="15" t="n">
        <v>2025</v>
      </c>
      <c r="FL3373" s="15" t="inlineStr">
        <is>
          <t>A</t>
        </is>
      </c>
      <c r="FM3373" s="15" t="inlineStr">
        <is>
          <t>CERRILLOS</t>
        </is>
      </c>
      <c r="FN3373" s="15" t="inlineStr">
        <is>
          <t>Calle Uno 7371</t>
        </is>
      </c>
      <c r="FO3373" s="15" t="inlineStr">
        <is>
          <t>Cerrillos</t>
        </is>
      </c>
      <c r="FP3373" t="inlineStr">
        <is>
          <t>A</t>
        </is>
      </c>
    </row>
    <row r="3374">
      <c r="FC3374" t="inlineStr">
        <is>
          <t>Diccionario 4</t>
        </is>
      </c>
      <c r="FD3374" s="15" t="inlineStr">
        <is>
          <t>VGRG-45|</t>
        </is>
      </c>
      <c r="FE3374" s="15" t="inlineStr">
        <is>
          <t>LDYECS832S0045649</t>
        </is>
      </c>
      <c r="FF3374" s="15" t="inlineStr">
        <is>
          <t>MJJ20025010008</t>
        </is>
      </c>
      <c r="FG3374" s="15" t="inlineStr">
        <is>
          <t>Zhong Tong</t>
        </is>
      </c>
      <c r="FH3374" s="15" t="inlineStr">
        <is>
          <t>LCK6850evg</t>
        </is>
      </c>
      <c r="FI3374" s="15" t="inlineStr">
        <is>
          <t>ZHONGTONG</t>
        </is>
      </c>
      <c r="FJ3374" s="15" t="inlineStr">
        <is>
          <t>LCK6850evg</t>
        </is>
      </c>
      <c r="FK3374" s="15" t="n">
        <v>2025</v>
      </c>
      <c r="FL3374" s="15" t="inlineStr">
        <is>
          <t>A</t>
        </is>
      </c>
      <c r="FM3374" s="15" t="inlineStr">
        <is>
          <t>CERRILLOS</t>
        </is>
      </c>
      <c r="FN3374" s="15" t="inlineStr">
        <is>
          <t>Calle Uno 7371</t>
        </is>
      </c>
      <c r="FO3374" s="15" t="inlineStr">
        <is>
          <t>Cerrillos</t>
        </is>
      </c>
      <c r="FP3374" t="inlineStr">
        <is>
          <t>A</t>
        </is>
      </c>
    </row>
    <row r="3375">
      <c r="FC3375" t="inlineStr">
        <is>
          <t>Diccionario 4</t>
        </is>
      </c>
      <c r="FD3375" s="15" t="inlineStr">
        <is>
          <t>VGRG-54|</t>
        </is>
      </c>
      <c r="FE3375" s="15" t="inlineStr">
        <is>
          <t>LDYECS836S0045623</t>
        </is>
      </c>
      <c r="FF3375" s="15" t="inlineStr">
        <is>
          <t>MJJ20025010021</t>
        </is>
      </c>
      <c r="FG3375" s="15" t="inlineStr">
        <is>
          <t>Zhong Tong</t>
        </is>
      </c>
      <c r="FH3375" s="15" t="inlineStr">
        <is>
          <t>LCK6850evg</t>
        </is>
      </c>
      <c r="FI3375" s="15" t="inlineStr">
        <is>
          <t>ZHONGTONG</t>
        </is>
      </c>
      <c r="FJ3375" s="15" t="inlineStr">
        <is>
          <t>LCK6850evg</t>
        </is>
      </c>
      <c r="FK3375" s="15" t="n">
        <v>2025</v>
      </c>
      <c r="FL3375" s="15" t="inlineStr">
        <is>
          <t>A</t>
        </is>
      </c>
      <c r="FM3375" s="15" t="inlineStr">
        <is>
          <t>CERRILLOS</t>
        </is>
      </c>
      <c r="FN3375" s="15" t="inlineStr">
        <is>
          <t>Calle Uno 7371</t>
        </is>
      </c>
      <c r="FO3375" s="15" t="inlineStr">
        <is>
          <t>Cerrillos</t>
        </is>
      </c>
      <c r="FP3375" t="inlineStr">
        <is>
          <t>A</t>
        </is>
      </c>
    </row>
    <row r="3376">
      <c r="FC3376" t="inlineStr">
        <is>
          <t>Diccionario 4</t>
        </is>
      </c>
      <c r="FD3376" s="15" t="inlineStr">
        <is>
          <t>VJKD-70|</t>
        </is>
      </c>
      <c r="FE3376" s="17" t="inlineStr">
        <is>
          <t>LDYECS312S0044409</t>
        </is>
      </c>
      <c r="FF3376" s="18" t="inlineStr">
        <is>
          <t>MDN35025030111</t>
        </is>
      </c>
      <c r="FG3376" s="18" t="inlineStr">
        <is>
          <t>Zhong Thong</t>
        </is>
      </c>
      <c r="FH3376" s="18" t="inlineStr">
        <is>
          <t>Lck6122evg</t>
        </is>
      </c>
      <c r="FI3376" s="18" t="inlineStr">
        <is>
          <t>Zhong Thong</t>
        </is>
      </c>
      <c r="FJ3376" s="18" t="inlineStr">
        <is>
          <t>Lck6122evg</t>
        </is>
      </c>
      <c r="FK3376" s="18" t="n">
        <v>2026</v>
      </c>
      <c r="FL3376" s="18" t="inlineStr">
        <is>
          <t>B</t>
        </is>
      </c>
      <c r="FM3376" s="18" t="inlineStr">
        <is>
          <t>Recoleta</t>
        </is>
      </c>
      <c r="FP3376" t="inlineStr">
        <is>
          <t>B</t>
        </is>
      </c>
    </row>
    <row r="3377">
      <c r="FC3377" t="inlineStr">
        <is>
          <t>Diccionario 4</t>
        </is>
      </c>
      <c r="FD3377" s="15" t="inlineStr">
        <is>
          <t>VJKD-85|</t>
        </is>
      </c>
      <c r="FE3377" s="17" t="inlineStr">
        <is>
          <t>LDYECS313S0044323</t>
        </is>
      </c>
      <c r="FF3377" s="18" t="inlineStr">
        <is>
          <t>MDN35025030135</t>
        </is>
      </c>
      <c r="FG3377" s="18" t="inlineStr">
        <is>
          <t>Zhong Thong</t>
        </is>
      </c>
      <c r="FH3377" s="18" t="inlineStr">
        <is>
          <t>Lck6122evg</t>
        </is>
      </c>
      <c r="FI3377" s="18" t="inlineStr">
        <is>
          <t>Zhong Thong</t>
        </is>
      </c>
      <c r="FJ3377" s="18" t="inlineStr">
        <is>
          <t>Lck6122evg</t>
        </is>
      </c>
      <c r="FK3377" s="18" t="n">
        <v>2026</v>
      </c>
      <c r="FL3377" s="18" t="inlineStr">
        <is>
          <t>B</t>
        </is>
      </c>
      <c r="FM3377" s="18" t="inlineStr">
        <is>
          <t>Recoleta</t>
        </is>
      </c>
      <c r="FP3377" t="inlineStr">
        <is>
          <t>B</t>
        </is>
      </c>
    </row>
    <row r="3378">
      <c r="FC3378" t="inlineStr">
        <is>
          <t>Diccionario 4</t>
        </is>
      </c>
      <c r="FD3378" s="15" t="inlineStr">
        <is>
          <t>VJKD-94|</t>
        </is>
      </c>
      <c r="FE3378" s="17" t="inlineStr">
        <is>
          <t>LDYECS310S0044392</t>
        </is>
      </c>
      <c r="FF3378" s="18" t="inlineStr">
        <is>
          <t>MDN35025030180</t>
        </is>
      </c>
      <c r="FG3378" s="18" t="inlineStr">
        <is>
          <t>Zhong Thong</t>
        </is>
      </c>
      <c r="FH3378" s="18" t="inlineStr">
        <is>
          <t>Lck6122evg</t>
        </is>
      </c>
      <c r="FI3378" s="18" t="inlineStr">
        <is>
          <t>Zhong Thong</t>
        </is>
      </c>
      <c r="FJ3378" s="18" t="inlineStr">
        <is>
          <t>Lck6122evg</t>
        </is>
      </c>
      <c r="FK3378" s="18" t="n">
        <v>2026</v>
      </c>
      <c r="FL3378" s="18" t="inlineStr">
        <is>
          <t>B</t>
        </is>
      </c>
      <c r="FM3378" s="18" t="inlineStr">
        <is>
          <t>Recoleta</t>
        </is>
      </c>
      <c r="FP3378" t="inlineStr">
        <is>
          <t>B</t>
        </is>
      </c>
    </row>
    <row r="3379">
      <c r="FC3379" t="inlineStr">
        <is>
          <t>Diccionario 4</t>
        </is>
      </c>
      <c r="FD3379" s="15" t="inlineStr">
        <is>
          <t>VJKF-29|</t>
        </is>
      </c>
      <c r="FE3379" s="17" t="inlineStr">
        <is>
          <t>LDYECS311S0044398</t>
        </is>
      </c>
      <c r="FF3379" s="18" t="inlineStr">
        <is>
          <t>MDN35025030205</t>
        </is>
      </c>
      <c r="FG3379" s="18" t="inlineStr">
        <is>
          <t>Zhong Thong</t>
        </is>
      </c>
      <c r="FH3379" s="18" t="inlineStr">
        <is>
          <t>Lck6122evg</t>
        </is>
      </c>
      <c r="FI3379" s="18" t="inlineStr">
        <is>
          <t>Zhong Thong</t>
        </is>
      </c>
      <c r="FJ3379" s="18" t="inlineStr">
        <is>
          <t>Lck6122evg</t>
        </is>
      </c>
      <c r="FK3379" s="18" t="n">
        <v>2026</v>
      </c>
      <c r="FL3379" s="18" t="inlineStr">
        <is>
          <t>B</t>
        </is>
      </c>
      <c r="FM3379" s="18" t="inlineStr">
        <is>
          <t>Recoleta</t>
        </is>
      </c>
      <c r="FP3379" t="inlineStr">
        <is>
          <t>B</t>
        </is>
      </c>
    </row>
    <row r="3380">
      <c r="FC3380" t="inlineStr">
        <is>
          <t>Diccionario 4</t>
        </is>
      </c>
      <c r="FD3380" s="15" t="inlineStr">
        <is>
          <t>VJKF-44|</t>
        </is>
      </c>
      <c r="FE3380" s="17" t="inlineStr">
        <is>
          <t>LDYECS317S0044339</t>
        </is>
      </c>
      <c r="FF3380" s="18" t="inlineStr">
        <is>
          <t>MDN35025030142</t>
        </is>
      </c>
      <c r="FG3380" s="18" t="inlineStr">
        <is>
          <t>Zhong Thong</t>
        </is>
      </c>
      <c r="FH3380" s="18" t="inlineStr">
        <is>
          <t>Lck6122evg</t>
        </is>
      </c>
      <c r="FI3380" s="18" t="inlineStr">
        <is>
          <t>Zhong Thong</t>
        </is>
      </c>
      <c r="FJ3380" s="18" t="inlineStr">
        <is>
          <t>Lck6122evg</t>
        </is>
      </c>
      <c r="FK3380" s="18" t="n">
        <v>2026</v>
      </c>
      <c r="FL3380" s="18" t="inlineStr">
        <is>
          <t>B</t>
        </is>
      </c>
      <c r="FM3380" s="18" t="inlineStr">
        <is>
          <t>Lo Blanco</t>
        </is>
      </c>
      <c r="FP3380" t="inlineStr">
        <is>
          <t>B</t>
        </is>
      </c>
    </row>
    <row r="3381">
      <c r="FC3381" t="inlineStr">
        <is>
          <t>Diccionario 4</t>
        </is>
      </c>
      <c r="FD3381" s="15" t="inlineStr">
        <is>
          <t>VJKF-46|</t>
        </is>
      </c>
      <c r="FE3381" s="17" t="inlineStr">
        <is>
          <t>LDYECS312S0044331</t>
        </is>
      </c>
      <c r="FF3381" s="18" t="inlineStr">
        <is>
          <t>MDN35025030246</t>
        </is>
      </c>
      <c r="FG3381" s="18" t="inlineStr">
        <is>
          <t>Zhong Thong</t>
        </is>
      </c>
      <c r="FH3381" s="18" t="inlineStr">
        <is>
          <t>Lck6122evg</t>
        </is>
      </c>
      <c r="FI3381" s="18" t="inlineStr">
        <is>
          <t>Zhong Thong</t>
        </is>
      </c>
      <c r="FJ3381" s="18" t="inlineStr">
        <is>
          <t>Lck6122evg</t>
        </is>
      </c>
      <c r="FK3381" s="18" t="n">
        <v>2026</v>
      </c>
      <c r="FL3381" s="18" t="inlineStr">
        <is>
          <t>B</t>
        </is>
      </c>
      <c r="FM3381" s="18" t="inlineStr">
        <is>
          <t>Recoleta</t>
        </is>
      </c>
      <c r="FP3381" t="inlineStr">
        <is>
          <t>B</t>
        </is>
      </c>
    </row>
    <row r="3382">
      <c r="FC3382" t="inlineStr">
        <is>
          <t>Diccionario 4</t>
        </is>
      </c>
      <c r="FD3382" s="15" t="inlineStr">
        <is>
          <t>VJKF-55|</t>
        </is>
      </c>
      <c r="FE3382" s="17" t="inlineStr">
        <is>
          <t>LDYECS319S0044407</t>
        </is>
      </c>
      <c r="FF3382" s="18" t="inlineStr">
        <is>
          <t>MDN35025030112</t>
        </is>
      </c>
      <c r="FG3382" s="18" t="inlineStr">
        <is>
          <t>Zhong Thong</t>
        </is>
      </c>
      <c r="FH3382" s="18" t="inlineStr">
        <is>
          <t>Lck6122evg</t>
        </is>
      </c>
      <c r="FI3382" s="18" t="inlineStr">
        <is>
          <t>Zhong Thong</t>
        </is>
      </c>
      <c r="FJ3382" s="18" t="inlineStr">
        <is>
          <t>Lck6122evg</t>
        </is>
      </c>
      <c r="FK3382" s="18" t="n">
        <v>2026</v>
      </c>
      <c r="FL3382" s="18" t="inlineStr">
        <is>
          <t>B</t>
        </is>
      </c>
      <c r="FM3382" s="18" t="inlineStr">
        <is>
          <t>Recoleta</t>
        </is>
      </c>
      <c r="FP3382" t="inlineStr">
        <is>
          <t>B</t>
        </is>
      </c>
    </row>
    <row r="3383">
      <c r="FC3383" t="inlineStr">
        <is>
          <t>Diccionario 4</t>
        </is>
      </c>
      <c r="FD3383" s="15" t="inlineStr">
        <is>
          <t>VJKF-61|</t>
        </is>
      </c>
      <c r="FE3383" s="17" t="inlineStr">
        <is>
          <t>LDYECS313S0044340</t>
        </is>
      </c>
      <c r="FF3383" s="18" t="inlineStr">
        <is>
          <t>MDN35025010149</t>
        </is>
      </c>
      <c r="FG3383" s="18" t="inlineStr">
        <is>
          <t>Zhong Thong</t>
        </is>
      </c>
      <c r="FH3383" s="18" t="inlineStr">
        <is>
          <t>Lck6122evg</t>
        </is>
      </c>
      <c r="FI3383" s="18" t="inlineStr">
        <is>
          <t>Zhong Thong</t>
        </is>
      </c>
      <c r="FJ3383" s="18" t="inlineStr">
        <is>
          <t>Lck6122evg</t>
        </is>
      </c>
      <c r="FK3383" s="18" t="n">
        <v>2026</v>
      </c>
      <c r="FL3383" s="18" t="inlineStr">
        <is>
          <t>B</t>
        </is>
      </c>
      <c r="FM3383" s="18" t="inlineStr">
        <is>
          <t>Recoleta</t>
        </is>
      </c>
      <c r="FP3383" t="inlineStr">
        <is>
          <t>B</t>
        </is>
      </c>
    </row>
    <row r="3384">
      <c r="FC3384" t="inlineStr">
        <is>
          <t>Diccionario 4</t>
        </is>
      </c>
      <c r="FD3384" s="15" t="inlineStr">
        <is>
          <t>VJKF-66|</t>
        </is>
      </c>
      <c r="FE3384" s="17" t="inlineStr">
        <is>
          <t>LDYECS314S0044332</t>
        </is>
      </c>
      <c r="FF3384" s="18" t="inlineStr">
        <is>
          <t>MDN35025030178</t>
        </is>
      </c>
      <c r="FG3384" s="18" t="inlineStr">
        <is>
          <t>Zhong Thong</t>
        </is>
      </c>
      <c r="FH3384" s="18" t="inlineStr">
        <is>
          <t>Lck6122evg</t>
        </is>
      </c>
      <c r="FI3384" s="18" t="inlineStr">
        <is>
          <t>Zhong Thong</t>
        </is>
      </c>
      <c r="FJ3384" s="18" t="inlineStr">
        <is>
          <t>Lck6122evg</t>
        </is>
      </c>
      <c r="FK3384" s="18" t="n">
        <v>2026</v>
      </c>
      <c r="FL3384" s="18" t="inlineStr">
        <is>
          <t>B</t>
        </is>
      </c>
      <c r="FM3384" s="18" t="inlineStr">
        <is>
          <t>Recoleta</t>
        </is>
      </c>
      <c r="FP3384" t="inlineStr">
        <is>
          <t>B</t>
        </is>
      </c>
    </row>
    <row r="3385">
      <c r="FC3385" t="inlineStr">
        <is>
          <t>Diccionario 4</t>
        </is>
      </c>
      <c r="FD3385" s="15" t="inlineStr">
        <is>
          <t>VJKG-16|</t>
        </is>
      </c>
      <c r="FE3385" s="17" t="inlineStr">
        <is>
          <t>LDYECS313S0044399</t>
        </is>
      </c>
      <c r="FF3385" s="18" t="inlineStr">
        <is>
          <t>MDN35025030198</t>
        </is>
      </c>
      <c r="FG3385" s="18" t="inlineStr">
        <is>
          <t>Zhong Thong</t>
        </is>
      </c>
      <c r="FH3385" s="18" t="inlineStr">
        <is>
          <t>Lck6122evg</t>
        </is>
      </c>
      <c r="FI3385" s="18" t="inlineStr">
        <is>
          <t>Zhong Thong</t>
        </is>
      </c>
      <c r="FJ3385" s="18" t="inlineStr">
        <is>
          <t>Lck6122evg</t>
        </is>
      </c>
      <c r="FK3385" s="18" t="n">
        <v>2026</v>
      </c>
      <c r="FL3385" s="18" t="inlineStr">
        <is>
          <t>B</t>
        </is>
      </c>
      <c r="FM3385" s="18" t="inlineStr">
        <is>
          <t>Recoleta</t>
        </is>
      </c>
      <c r="FP3385" t="inlineStr">
        <is>
          <t>B</t>
        </is>
      </c>
    </row>
    <row r="3386">
      <c r="FC3386" t="inlineStr">
        <is>
          <t>Diccionario 4</t>
        </is>
      </c>
      <c r="FD3386" s="15" t="inlineStr">
        <is>
          <t>VJKG-25|</t>
        </is>
      </c>
      <c r="FE3386" s="17" t="inlineStr">
        <is>
          <t>LDYECS313S0044337</t>
        </is>
      </c>
      <c r="FF3386" s="18" t="inlineStr">
        <is>
          <t>MDN350250138</t>
        </is>
      </c>
      <c r="FG3386" s="18" t="inlineStr">
        <is>
          <t>Zhong Thong</t>
        </is>
      </c>
      <c r="FH3386" s="18" t="inlineStr">
        <is>
          <t>Lck6122evg</t>
        </is>
      </c>
      <c r="FI3386" s="18" t="inlineStr">
        <is>
          <t>Zhong Thong</t>
        </is>
      </c>
      <c r="FJ3386" s="18" t="inlineStr">
        <is>
          <t>Lck6122evg</t>
        </is>
      </c>
      <c r="FK3386" s="18" t="n">
        <v>2026</v>
      </c>
      <c r="FL3386" s="18" t="inlineStr">
        <is>
          <t>B</t>
        </is>
      </c>
      <c r="FM3386" s="18" t="inlineStr">
        <is>
          <t>Recoleta</t>
        </is>
      </c>
      <c r="FP3386" t="inlineStr">
        <is>
          <t>B</t>
        </is>
      </c>
    </row>
    <row r="3387">
      <c r="FC3387" t="inlineStr">
        <is>
          <t>Diccionario 4</t>
        </is>
      </c>
      <c r="FD3387" s="15" t="inlineStr">
        <is>
          <t>VJKG-36|</t>
        </is>
      </c>
      <c r="FE3387" s="17" t="inlineStr">
        <is>
          <t>LDYECS313S0044404</t>
        </is>
      </c>
      <c r="FF3387" s="18" t="inlineStr">
        <is>
          <t>MDN35025030001</t>
        </is>
      </c>
      <c r="FG3387" s="18" t="inlineStr">
        <is>
          <t>Zhong Thong</t>
        </is>
      </c>
      <c r="FH3387" s="18" t="inlineStr">
        <is>
          <t>Lck6122evg</t>
        </is>
      </c>
      <c r="FI3387" s="18" t="inlineStr">
        <is>
          <t>Zhong Thong</t>
        </is>
      </c>
      <c r="FJ3387" s="18" t="inlineStr">
        <is>
          <t>Lck6122evg</t>
        </is>
      </c>
      <c r="FK3387" s="18" t="n">
        <v>2026</v>
      </c>
      <c r="FL3387" s="18" t="inlineStr">
        <is>
          <t>B</t>
        </is>
      </c>
      <c r="FM3387" s="18" t="inlineStr">
        <is>
          <t>Recoleta</t>
        </is>
      </c>
      <c r="FP3387" t="inlineStr">
        <is>
          <t>B</t>
        </is>
      </c>
    </row>
    <row r="3388">
      <c r="FC3388" t="inlineStr">
        <is>
          <t>Diccionario 4</t>
        </is>
      </c>
      <c r="FD3388" s="15" t="inlineStr">
        <is>
          <t>VJKG-37|</t>
        </is>
      </c>
      <c r="FE3388" s="17" t="inlineStr">
        <is>
          <t>LDYECS310S0044408</t>
        </is>
      </c>
      <c r="FF3388" s="18" t="inlineStr">
        <is>
          <t>MDN35025020174</t>
        </is>
      </c>
      <c r="FG3388" s="18" t="inlineStr">
        <is>
          <t>Zhong Thong</t>
        </is>
      </c>
      <c r="FH3388" s="18" t="inlineStr">
        <is>
          <t>Lck6122evg</t>
        </is>
      </c>
      <c r="FI3388" s="18" t="inlineStr">
        <is>
          <t>Zhong Thong</t>
        </is>
      </c>
      <c r="FJ3388" s="18" t="inlineStr">
        <is>
          <t>Lck6122evg</t>
        </is>
      </c>
      <c r="FK3388" s="18" t="n">
        <v>2026</v>
      </c>
      <c r="FL3388" s="18" t="inlineStr">
        <is>
          <t>B</t>
        </is>
      </c>
      <c r="FM3388" s="18" t="inlineStr">
        <is>
          <t>Ducaud</t>
        </is>
      </c>
      <c r="FP3388" t="inlineStr">
        <is>
          <t>B</t>
        </is>
      </c>
    </row>
    <row r="3389">
      <c r="FC3389" t="inlineStr">
        <is>
          <t>Diccionario 4</t>
        </is>
      </c>
      <c r="FD3389" s="15" t="inlineStr">
        <is>
          <t>VJKG-66|</t>
        </is>
      </c>
      <c r="FE3389" s="17" t="inlineStr">
        <is>
          <t>LDYECS315S0044405</t>
        </is>
      </c>
      <c r="FF3389" s="18" t="inlineStr">
        <is>
          <t>MDN35025020253</t>
        </is>
      </c>
      <c r="FG3389" s="18" t="inlineStr">
        <is>
          <t>Zhong Thong</t>
        </is>
      </c>
      <c r="FH3389" s="18" t="inlineStr">
        <is>
          <t>Lck6122evg</t>
        </is>
      </c>
      <c r="FI3389" s="18" t="inlineStr">
        <is>
          <t>Zhong Thong</t>
        </is>
      </c>
      <c r="FJ3389" s="18" t="inlineStr">
        <is>
          <t>Lck6122evg</t>
        </is>
      </c>
      <c r="FK3389" s="18" t="n">
        <v>2026</v>
      </c>
      <c r="FL3389" s="18" t="inlineStr">
        <is>
          <t>B</t>
        </is>
      </c>
      <c r="FM3389" s="18" t="inlineStr">
        <is>
          <t>Ducaud</t>
        </is>
      </c>
      <c r="FP3389" t="inlineStr">
        <is>
          <t>B</t>
        </is>
      </c>
    </row>
    <row r="3390">
      <c r="FC3390" t="inlineStr">
        <is>
          <t>Diccionario 4</t>
        </is>
      </c>
      <c r="FD3390" s="15" t="inlineStr">
        <is>
          <t>VJKG-75|</t>
        </is>
      </c>
      <c r="FE3390" s="17" t="inlineStr">
        <is>
          <t>LDYECS316S0044414</t>
        </is>
      </c>
      <c r="FF3390" s="18" t="inlineStr">
        <is>
          <t>MDN35025020075</t>
        </is>
      </c>
      <c r="FG3390" s="18" t="inlineStr">
        <is>
          <t>Zhong Thong</t>
        </is>
      </c>
      <c r="FH3390" s="18" t="inlineStr">
        <is>
          <t>Lck6122evg</t>
        </is>
      </c>
      <c r="FI3390" s="18" t="inlineStr">
        <is>
          <t>Zhong Thong</t>
        </is>
      </c>
      <c r="FJ3390" s="18" t="inlineStr">
        <is>
          <t>Lck6122evg</t>
        </is>
      </c>
      <c r="FK3390" s="18" t="n">
        <v>2026</v>
      </c>
      <c r="FL3390" s="18" t="inlineStr">
        <is>
          <t>B</t>
        </is>
      </c>
      <c r="FM3390" s="18" t="inlineStr">
        <is>
          <t>Ducaud</t>
        </is>
      </c>
      <c r="FP3390" t="inlineStr">
        <is>
          <t>B</t>
        </is>
      </c>
    </row>
    <row r="3391">
      <c r="FC3391" t="inlineStr">
        <is>
          <t>Diccionario 4</t>
        </is>
      </c>
      <c r="FD3391" s="15" t="inlineStr">
        <is>
          <t>VJKG-85|</t>
        </is>
      </c>
      <c r="FE3391" s="17" t="inlineStr">
        <is>
          <t>LDYECS313S0044239</t>
        </is>
      </c>
      <c r="FF3391" s="18" t="inlineStr">
        <is>
          <t>MDN35025020137</t>
        </is>
      </c>
      <c r="FG3391" s="18" t="inlineStr">
        <is>
          <t>Zhong Thong</t>
        </is>
      </c>
      <c r="FH3391" s="18" t="inlineStr">
        <is>
          <t>Lck6122evg</t>
        </is>
      </c>
      <c r="FI3391" s="18" t="inlineStr">
        <is>
          <t>Zhong Thong</t>
        </is>
      </c>
      <c r="FJ3391" s="18" t="inlineStr">
        <is>
          <t>Lck6122evg</t>
        </is>
      </c>
      <c r="FK3391" s="18" t="n">
        <v>2026</v>
      </c>
      <c r="FL3391" s="18" t="inlineStr">
        <is>
          <t>B</t>
        </is>
      </c>
      <c r="FM3391" s="18" t="inlineStr">
        <is>
          <t>Ducaud</t>
        </is>
      </c>
      <c r="FP3391" t="inlineStr">
        <is>
          <t>B</t>
        </is>
      </c>
    </row>
    <row r="3392">
      <c r="FC3392" t="inlineStr">
        <is>
          <t>Diccionario 4</t>
        </is>
      </c>
      <c r="FD3392" s="15" t="inlineStr">
        <is>
          <t>VJKT-45|</t>
        </is>
      </c>
      <c r="FE3392" s="17" t="inlineStr">
        <is>
          <t>LDYECS316S0044381</t>
        </is>
      </c>
      <c r="FF3392" s="18" t="inlineStr">
        <is>
          <t>MDN35025030006</t>
        </is>
      </c>
      <c r="FG3392" s="18" t="inlineStr">
        <is>
          <t>Zhong Thong</t>
        </is>
      </c>
      <c r="FH3392" s="18" t="inlineStr">
        <is>
          <t>Lck6122evg</t>
        </is>
      </c>
      <c r="FI3392" s="18" t="inlineStr">
        <is>
          <t>Zhong Thong</t>
        </is>
      </c>
      <c r="FJ3392" s="18" t="inlineStr">
        <is>
          <t>Lck6122evg</t>
        </is>
      </c>
      <c r="FK3392" s="18" t="n">
        <v>2026</v>
      </c>
      <c r="FL3392" s="18" t="inlineStr">
        <is>
          <t>B</t>
        </is>
      </c>
      <c r="FM3392" s="18" t="inlineStr">
        <is>
          <t>Ducaud</t>
        </is>
      </c>
      <c r="FP3392" t="inlineStr">
        <is>
          <t>B</t>
        </is>
      </c>
    </row>
    <row r="3393">
      <c r="FC3393" t="inlineStr">
        <is>
          <t>Diccionario 4</t>
        </is>
      </c>
      <c r="FD3393" s="15" t="inlineStr">
        <is>
          <t>VJKT-55|</t>
        </is>
      </c>
      <c r="FE3393" s="17" t="inlineStr">
        <is>
          <t>LDYECS311S0044319</t>
        </is>
      </c>
      <c r="FF3393" s="18" t="inlineStr">
        <is>
          <t>MDN35025010158</t>
        </is>
      </c>
      <c r="FG3393" s="18" t="inlineStr">
        <is>
          <t>Zhong Thong</t>
        </is>
      </c>
      <c r="FH3393" s="18" t="inlineStr">
        <is>
          <t>Lck6122evg</t>
        </is>
      </c>
      <c r="FI3393" s="18" t="inlineStr">
        <is>
          <t>Zhong Thong</t>
        </is>
      </c>
      <c r="FJ3393" s="18" t="inlineStr">
        <is>
          <t>Lck6122evg</t>
        </is>
      </c>
      <c r="FK3393" s="18" t="n">
        <v>2026</v>
      </c>
      <c r="FL3393" s="18" t="inlineStr">
        <is>
          <t>B</t>
        </is>
      </c>
      <c r="FM3393" s="18" t="inlineStr">
        <is>
          <t>Ducaud</t>
        </is>
      </c>
      <c r="FP3393" t="inlineStr">
        <is>
          <t>B</t>
        </is>
      </c>
    </row>
    <row r="3394">
      <c r="FC3394" t="inlineStr">
        <is>
          <t>Diccionario 4</t>
        </is>
      </c>
      <c r="FD3394" s="15" t="inlineStr">
        <is>
          <t>VJKT-63|</t>
        </is>
      </c>
      <c r="FE3394" s="17" t="inlineStr">
        <is>
          <t>LDYECS318S0044334</t>
        </is>
      </c>
      <c r="FF3394" s="18" t="inlineStr">
        <is>
          <t>MDN35025030245</t>
        </is>
      </c>
      <c r="FG3394" s="18" t="inlineStr">
        <is>
          <t>Zhong Thong</t>
        </is>
      </c>
      <c r="FH3394" s="18" t="inlineStr">
        <is>
          <t>Lck6122evg</t>
        </is>
      </c>
      <c r="FI3394" s="18" t="inlineStr">
        <is>
          <t>Zhong Thong</t>
        </is>
      </c>
      <c r="FJ3394" s="18" t="inlineStr">
        <is>
          <t>Lck6122evg</t>
        </is>
      </c>
      <c r="FK3394" s="18" t="n">
        <v>2026</v>
      </c>
      <c r="FL3394" s="18" t="inlineStr">
        <is>
          <t>B</t>
        </is>
      </c>
      <c r="FM3394" s="18" t="inlineStr">
        <is>
          <t>Ducaud</t>
        </is>
      </c>
      <c r="FP3394" t="inlineStr">
        <is>
          <t>B</t>
        </is>
      </c>
    </row>
    <row r="3395">
      <c r="FC3395" t="inlineStr">
        <is>
          <t>Diccionario 4</t>
        </is>
      </c>
      <c r="FD3395" s="15" t="inlineStr">
        <is>
          <t>VJKT-83|</t>
        </is>
      </c>
      <c r="FE3395" s="17" t="inlineStr">
        <is>
          <t>LDYECS312S0044328</t>
        </is>
      </c>
      <c r="FF3395" s="18" t="inlineStr">
        <is>
          <t>MDN35025030204</t>
        </is>
      </c>
      <c r="FG3395" s="18" t="inlineStr">
        <is>
          <t>Zhong Thong</t>
        </is>
      </c>
      <c r="FH3395" s="18" t="inlineStr">
        <is>
          <t>Lck6122evg</t>
        </is>
      </c>
      <c r="FI3395" s="18" t="inlineStr">
        <is>
          <t>Zhong Thong</t>
        </is>
      </c>
      <c r="FJ3395" s="18" t="inlineStr">
        <is>
          <t>Lck6122evg</t>
        </is>
      </c>
      <c r="FK3395" s="18" t="n">
        <v>2026</v>
      </c>
      <c r="FL3395" s="18" t="inlineStr">
        <is>
          <t>B</t>
        </is>
      </c>
      <c r="FM3395" s="18" t="inlineStr">
        <is>
          <t>Recoleta</t>
        </is>
      </c>
      <c r="FP3395" t="inlineStr">
        <is>
          <t>B</t>
        </is>
      </c>
    </row>
    <row r="3396">
      <c r="FC3396" t="inlineStr">
        <is>
          <t>Diccionario 4</t>
        </is>
      </c>
      <c r="FD3396" s="15" t="inlineStr">
        <is>
          <t>VJKT-92|</t>
        </is>
      </c>
      <c r="FE3396" s="17" t="inlineStr">
        <is>
          <t>LDYECS310S0044389</t>
        </is>
      </c>
      <c r="FF3396" s="18" t="inlineStr">
        <is>
          <t>MDN35025010119</t>
        </is>
      </c>
      <c r="FG3396" s="18" t="inlineStr">
        <is>
          <t>Zhong Thong</t>
        </is>
      </c>
      <c r="FH3396" s="18" t="inlineStr">
        <is>
          <t>Lck6122evg</t>
        </is>
      </c>
      <c r="FI3396" s="18" t="inlineStr">
        <is>
          <t>Zhong Thong</t>
        </is>
      </c>
      <c r="FJ3396" s="18" t="inlineStr">
        <is>
          <t>Lck6122evg</t>
        </is>
      </c>
      <c r="FK3396" s="18" t="n">
        <v>2026</v>
      </c>
      <c r="FL3396" s="18" t="inlineStr">
        <is>
          <t>B</t>
        </is>
      </c>
      <c r="FM3396" s="18" t="inlineStr">
        <is>
          <t>Lo Blanco</t>
        </is>
      </c>
      <c r="FP3396" t="inlineStr">
        <is>
          <t>B</t>
        </is>
      </c>
    </row>
    <row r="3397">
      <c r="FC3397" t="inlineStr">
        <is>
          <t>Diccionario 4</t>
        </is>
      </c>
      <c r="FD3397" s="15" t="inlineStr">
        <is>
          <t>VJKV-14|</t>
        </is>
      </c>
      <c r="FE3397" s="17" t="inlineStr">
        <is>
          <t>LDYECS31XS0044321</t>
        </is>
      </c>
      <c r="FF3397" s="18" t="inlineStr">
        <is>
          <t>MDN35025010152</t>
        </is>
      </c>
      <c r="FG3397" s="18" t="inlineStr">
        <is>
          <t>Zhong Thong</t>
        </is>
      </c>
      <c r="FH3397" s="18" t="inlineStr">
        <is>
          <t>Lck6122evg</t>
        </is>
      </c>
      <c r="FI3397" s="18" t="inlineStr">
        <is>
          <t>Zhong Thong</t>
        </is>
      </c>
      <c r="FJ3397" s="18" t="inlineStr">
        <is>
          <t>Lck6122evg</t>
        </is>
      </c>
      <c r="FK3397" s="18" t="n">
        <v>2026</v>
      </c>
      <c r="FL3397" s="18" t="inlineStr">
        <is>
          <t>B</t>
        </is>
      </c>
      <c r="FM3397" s="18" t="inlineStr">
        <is>
          <t>Lo Blanco</t>
        </is>
      </c>
      <c r="FP3397" t="inlineStr">
        <is>
          <t>B</t>
        </is>
      </c>
    </row>
    <row r="3398">
      <c r="FC3398" t="inlineStr">
        <is>
          <t>Diccionario 4</t>
        </is>
      </c>
      <c r="FD3398" s="15" t="inlineStr">
        <is>
          <t>VJKV-58|</t>
        </is>
      </c>
      <c r="FE3398" s="17" t="inlineStr">
        <is>
          <t>LDYECS318S0044396</t>
        </is>
      </c>
      <c r="FF3398" s="18" t="inlineStr">
        <is>
          <t>MDN35025010167</t>
        </is>
      </c>
      <c r="FG3398" s="18" t="inlineStr">
        <is>
          <t>Zhong Thong</t>
        </is>
      </c>
      <c r="FH3398" s="18" t="inlineStr">
        <is>
          <t>Lck6122evg</t>
        </is>
      </c>
      <c r="FI3398" s="18" t="inlineStr">
        <is>
          <t>Zhong Thong</t>
        </is>
      </c>
      <c r="FJ3398" s="18" t="inlineStr">
        <is>
          <t>Lck6122evg</t>
        </is>
      </c>
      <c r="FK3398" s="18" t="n">
        <v>2026</v>
      </c>
      <c r="FL3398" s="18" t="inlineStr">
        <is>
          <t>B</t>
        </is>
      </c>
      <c r="FM3398" s="18" t="inlineStr">
        <is>
          <t>Lo Blanco</t>
        </is>
      </c>
      <c r="FP3398" t="inlineStr">
        <is>
          <t>B</t>
        </is>
      </c>
    </row>
    <row r="3399">
      <c r="FC3399" t="inlineStr">
        <is>
          <t>Diccionario 4</t>
        </is>
      </c>
      <c r="FD3399" s="15" t="inlineStr">
        <is>
          <t>VJKV-78|</t>
        </is>
      </c>
      <c r="FE3399" s="17" t="inlineStr">
        <is>
          <t>LDYECS315S0044341</t>
        </is>
      </c>
      <c r="FF3399" s="18" t="inlineStr">
        <is>
          <t>MDN35025030185</t>
        </is>
      </c>
      <c r="FG3399" s="18" t="inlineStr">
        <is>
          <t>Zhong Thong</t>
        </is>
      </c>
      <c r="FH3399" s="18" t="inlineStr">
        <is>
          <t>Lck6122evg</t>
        </is>
      </c>
      <c r="FI3399" s="18" t="inlineStr">
        <is>
          <t>Zhong Thong</t>
        </is>
      </c>
      <c r="FJ3399" s="18" t="inlineStr">
        <is>
          <t>Lck6122evg</t>
        </is>
      </c>
      <c r="FK3399" s="18" t="n">
        <v>2026</v>
      </c>
      <c r="FL3399" s="18" t="inlineStr">
        <is>
          <t>B</t>
        </is>
      </c>
      <c r="FM3399" s="18" t="inlineStr">
        <is>
          <t>Lo Blanco</t>
        </is>
      </c>
      <c r="FP3399" t="inlineStr">
        <is>
          <t>B</t>
        </is>
      </c>
    </row>
    <row r="3400">
      <c r="FC3400" t="inlineStr">
        <is>
          <t>Diccionario 4</t>
        </is>
      </c>
      <c r="FD3400" s="15" t="inlineStr">
        <is>
          <t>VJKV-88|</t>
        </is>
      </c>
      <c r="FE3400" s="17" t="inlineStr">
        <is>
          <t>LDYECS316S0044333</t>
        </is>
      </c>
      <c r="FF3400" s="18" t="inlineStr">
        <is>
          <t>MDN35025030188</t>
        </is>
      </c>
      <c r="FG3400" s="18" t="inlineStr">
        <is>
          <t>Zhong Thong</t>
        </is>
      </c>
      <c r="FH3400" s="18" t="inlineStr">
        <is>
          <t>Lck6122evg</t>
        </is>
      </c>
      <c r="FI3400" s="18" t="inlineStr">
        <is>
          <t>Zhong Thong</t>
        </is>
      </c>
      <c r="FJ3400" s="18" t="inlineStr">
        <is>
          <t>Lck6122evg</t>
        </is>
      </c>
      <c r="FK3400" s="18" t="n">
        <v>2026</v>
      </c>
      <c r="FL3400" s="18" t="inlineStr">
        <is>
          <t>B</t>
        </is>
      </c>
      <c r="FM3400" s="18" t="inlineStr">
        <is>
          <t>Lo Blanco</t>
        </is>
      </c>
      <c r="FP3400" t="inlineStr">
        <is>
          <t>B</t>
        </is>
      </c>
    </row>
    <row r="3401">
      <c r="FC3401" t="inlineStr">
        <is>
          <t>Diccionario 4</t>
        </is>
      </c>
      <c r="FD3401" s="15" t="inlineStr">
        <is>
          <t>VJKW-68|</t>
        </is>
      </c>
      <c r="FE3401" s="17" t="inlineStr">
        <is>
          <t>LDYECS311S0044417</t>
        </is>
      </c>
      <c r="FF3401" s="18" t="inlineStr">
        <is>
          <t>MDN35025030119</t>
        </is>
      </c>
      <c r="FG3401" s="18" t="inlineStr">
        <is>
          <t>Zhong Thong</t>
        </is>
      </c>
      <c r="FH3401" s="18" t="inlineStr">
        <is>
          <t>Lck6122evg</t>
        </is>
      </c>
      <c r="FI3401" s="18" t="inlineStr">
        <is>
          <t>Zhong Thong</t>
        </is>
      </c>
      <c r="FJ3401" s="18" t="inlineStr">
        <is>
          <t>Lck6122evg</t>
        </is>
      </c>
      <c r="FK3401" s="18" t="n">
        <v>2026</v>
      </c>
      <c r="FL3401" s="18" t="inlineStr">
        <is>
          <t>B</t>
        </is>
      </c>
      <c r="FM3401" s="18" t="inlineStr">
        <is>
          <t>Lo Blanco</t>
        </is>
      </c>
      <c r="FP3401" t="inlineStr">
        <is>
          <t>B</t>
        </is>
      </c>
    </row>
    <row r="3402">
      <c r="FC3402" t="inlineStr">
        <is>
          <t>Diccionario 4</t>
        </is>
      </c>
      <c r="FD3402" s="15" t="inlineStr">
        <is>
          <t>VJKX-18|</t>
        </is>
      </c>
      <c r="FE3402" s="17" t="inlineStr">
        <is>
          <t>LDYECS31XS0044416</t>
        </is>
      </c>
      <c r="FF3402" s="18" t="inlineStr">
        <is>
          <t>MDN35025020083</t>
        </is>
      </c>
      <c r="FG3402" s="18" t="inlineStr">
        <is>
          <t>Zhong Thong</t>
        </is>
      </c>
      <c r="FH3402" s="18" t="inlineStr">
        <is>
          <t>Lck6122evg</t>
        </is>
      </c>
      <c r="FI3402" s="18" t="inlineStr">
        <is>
          <t>Zhong Thong</t>
        </is>
      </c>
      <c r="FJ3402" s="18" t="inlineStr">
        <is>
          <t>Lck6122evg</t>
        </is>
      </c>
      <c r="FK3402" s="18" t="n">
        <v>2026</v>
      </c>
      <c r="FL3402" s="18" t="inlineStr">
        <is>
          <t>B</t>
        </is>
      </c>
      <c r="FM3402" s="18" t="inlineStr">
        <is>
          <t>Lo Blanco</t>
        </is>
      </c>
      <c r="FP3402" t="inlineStr">
        <is>
          <t>B</t>
        </is>
      </c>
    </row>
    <row r="3403">
      <c r="FC3403" t="inlineStr">
        <is>
          <t>Diccionario 4</t>
        </is>
      </c>
      <c r="FD3403" s="15" t="inlineStr">
        <is>
          <t>VJKX-38|</t>
        </is>
      </c>
      <c r="FE3403" s="17" t="inlineStr">
        <is>
          <t>LDYECS318S0044401</t>
        </is>
      </c>
      <c r="FF3403" s="18" t="inlineStr">
        <is>
          <t>MDN35025030148</t>
        </is>
      </c>
      <c r="FG3403" s="18" t="inlineStr">
        <is>
          <t>Zhong Thong</t>
        </is>
      </c>
      <c r="FH3403" s="18" t="inlineStr">
        <is>
          <t>Lck6122evg</t>
        </is>
      </c>
      <c r="FI3403" s="18" t="inlineStr">
        <is>
          <t>Zhong Thong</t>
        </is>
      </c>
      <c r="FJ3403" s="18" t="inlineStr">
        <is>
          <t>Lck6122evg</t>
        </is>
      </c>
      <c r="FK3403" s="18" t="n">
        <v>2026</v>
      </c>
      <c r="FL3403" s="18" t="inlineStr">
        <is>
          <t>B</t>
        </is>
      </c>
      <c r="FM3403" s="18" t="inlineStr">
        <is>
          <t>Lo Blanco</t>
        </is>
      </c>
      <c r="FP3403" t="inlineStr">
        <is>
          <t>B</t>
        </is>
      </c>
    </row>
    <row r="3404">
      <c r="FC3404" t="inlineStr">
        <is>
          <t>Diccionario 4</t>
        </is>
      </c>
      <c r="FD3404" s="15" t="inlineStr">
        <is>
          <t>VJKX-78|</t>
        </is>
      </c>
      <c r="FE3404" s="17" t="inlineStr">
        <is>
          <t>LDYECS31XS0044402</t>
        </is>
      </c>
      <c r="FF3404" s="18" t="inlineStr">
        <is>
          <t>MDN35025030252</t>
        </is>
      </c>
      <c r="FG3404" s="18" t="inlineStr">
        <is>
          <t>Zhong Thong</t>
        </is>
      </c>
      <c r="FH3404" s="18" t="inlineStr">
        <is>
          <t>Lck6122evg</t>
        </is>
      </c>
      <c r="FI3404" s="18" t="inlineStr">
        <is>
          <t>Zhong Thong</t>
        </is>
      </c>
      <c r="FJ3404" s="18" t="inlineStr">
        <is>
          <t>Lck6122evg</t>
        </is>
      </c>
      <c r="FK3404" s="18" t="n">
        <v>2026</v>
      </c>
      <c r="FL3404" s="18" t="inlineStr">
        <is>
          <t>B</t>
        </is>
      </c>
      <c r="FM3404" s="18" t="inlineStr">
        <is>
          <t>Lo Blanco</t>
        </is>
      </c>
      <c r="FP3404" t="inlineStr">
        <is>
          <t>B</t>
        </is>
      </c>
    </row>
    <row r="3405">
      <c r="FC3405" t="inlineStr">
        <is>
          <t>Diccionario 4</t>
        </is>
      </c>
      <c r="FD3405" s="15" t="inlineStr">
        <is>
          <t>VJKY-18|</t>
        </is>
      </c>
      <c r="FE3405" s="17" t="inlineStr">
        <is>
          <t>LDYECS318S0044415</t>
        </is>
      </c>
      <c r="FF3405" s="18" t="inlineStr">
        <is>
          <t>MDN35025030034</t>
        </is>
      </c>
      <c r="FG3405" s="18" t="inlineStr">
        <is>
          <t>Zhong Thong</t>
        </is>
      </c>
      <c r="FH3405" s="18" t="inlineStr">
        <is>
          <t>Lck6122evg</t>
        </is>
      </c>
      <c r="FI3405" s="18" t="inlineStr">
        <is>
          <t>Zhong Thong</t>
        </is>
      </c>
      <c r="FJ3405" s="18" t="inlineStr">
        <is>
          <t>Lck6122evg</t>
        </is>
      </c>
      <c r="FK3405" s="18" t="n">
        <v>2026</v>
      </c>
      <c r="FL3405" s="18" t="inlineStr">
        <is>
          <t>B</t>
        </is>
      </c>
      <c r="FM3405" s="18" t="inlineStr">
        <is>
          <t>Lo Blanco</t>
        </is>
      </c>
      <c r="FP3405" t="inlineStr">
        <is>
          <t>B</t>
        </is>
      </c>
    </row>
    <row r="3406">
      <c r="FC3406" t="inlineStr">
        <is>
          <t>Diccionario 4</t>
        </is>
      </c>
      <c r="FD3406" s="15" t="inlineStr">
        <is>
          <t>VJKY-58|</t>
        </is>
      </c>
      <c r="FE3406" s="17" t="inlineStr">
        <is>
          <t>LDYECS314S0044413</t>
        </is>
      </c>
      <c r="FF3406" s="18" t="inlineStr">
        <is>
          <t>MDN35025030256</t>
        </is>
      </c>
      <c r="FG3406" s="18" t="inlineStr">
        <is>
          <t>Zhong Thong</t>
        </is>
      </c>
      <c r="FH3406" s="18" t="inlineStr">
        <is>
          <t>Lck6122evg</t>
        </is>
      </c>
      <c r="FI3406" s="18" t="inlineStr">
        <is>
          <t>Zhong Thong</t>
        </is>
      </c>
      <c r="FJ3406" s="18" t="inlineStr">
        <is>
          <t>Lck6122evg</t>
        </is>
      </c>
      <c r="FK3406" s="18" t="n">
        <v>2026</v>
      </c>
      <c r="FL3406" s="18" t="inlineStr">
        <is>
          <t>B</t>
        </is>
      </c>
      <c r="FM3406" s="18" t="inlineStr">
        <is>
          <t>Lo Blanco</t>
        </is>
      </c>
      <c r="FP3406" t="inlineStr">
        <is>
          <t>B</t>
        </is>
      </c>
    </row>
    <row r="3407">
      <c r="FC3407" t="inlineStr">
        <is>
          <t>Diccionario 4</t>
        </is>
      </c>
      <c r="FD3407" s="15" t="inlineStr">
        <is>
          <t>VJKZ-38|</t>
        </is>
      </c>
      <c r="FE3407" s="17" t="inlineStr">
        <is>
          <t>LDYECS312S0044412</t>
        </is>
      </c>
      <c r="FF3407" s="18" t="inlineStr">
        <is>
          <t>MDN35025020183</t>
        </is>
      </c>
      <c r="FG3407" s="18" t="inlineStr">
        <is>
          <t>Zhong Thong</t>
        </is>
      </c>
      <c r="FH3407" s="18" t="inlineStr">
        <is>
          <t>Lck6122evg</t>
        </is>
      </c>
      <c r="FI3407" s="18" t="inlineStr">
        <is>
          <t>Zhong Thong</t>
        </is>
      </c>
      <c r="FJ3407" s="18" t="inlineStr">
        <is>
          <t>Lck6122evg</t>
        </is>
      </c>
      <c r="FK3407" s="18" t="n">
        <v>2026</v>
      </c>
      <c r="FL3407" s="18" t="inlineStr">
        <is>
          <t>B</t>
        </is>
      </c>
      <c r="FM3407" s="18" t="inlineStr">
        <is>
          <t>Lo Blanco</t>
        </is>
      </c>
      <c r="FP3407" t="inlineStr">
        <is>
          <t>B</t>
        </is>
      </c>
    </row>
    <row r="3408">
      <c r="FC3408" t="inlineStr">
        <is>
          <t>Diccionario 4</t>
        </is>
      </c>
      <c r="FD3408" s="15" t="inlineStr">
        <is>
          <t>VJKZ-78|</t>
        </is>
      </c>
      <c r="FE3408" s="17" t="inlineStr">
        <is>
          <t>LDYECS315S0044162</t>
        </is>
      </c>
      <c r="FF3408" s="18" t="inlineStr">
        <is>
          <t>MDN35025020184</t>
        </is>
      </c>
      <c r="FG3408" s="18" t="inlineStr">
        <is>
          <t>Zhong Thong</t>
        </is>
      </c>
      <c r="FH3408" s="18" t="inlineStr">
        <is>
          <t>Lck6122evg</t>
        </is>
      </c>
      <c r="FI3408" s="18" t="inlineStr">
        <is>
          <t>Zhong Thong</t>
        </is>
      </c>
      <c r="FJ3408" s="18" t="inlineStr">
        <is>
          <t>Lck6122evg</t>
        </is>
      </c>
      <c r="FK3408" s="18" t="n">
        <v>2026</v>
      </c>
      <c r="FL3408" s="18" t="inlineStr">
        <is>
          <t>B</t>
        </is>
      </c>
      <c r="FM3408" s="18" t="inlineStr">
        <is>
          <t>Lo Blanco</t>
        </is>
      </c>
      <c r="FP3408" t="inlineStr">
        <is>
          <t>B</t>
        </is>
      </c>
    </row>
    <row r="3409">
      <c r="FC3409" t="inlineStr">
        <is>
          <t>Diccionario 4</t>
        </is>
      </c>
      <c r="FD3409" s="15" t="inlineStr">
        <is>
          <t>VJLH-14|</t>
        </is>
      </c>
      <c r="FE3409" s="17" t="inlineStr">
        <is>
          <t>LDYECS311S0044174</t>
        </is>
      </c>
      <c r="FF3409" s="18" t="inlineStr">
        <is>
          <t>MDN35025020232</t>
        </is>
      </c>
      <c r="FG3409" s="18" t="inlineStr">
        <is>
          <t>Zhong Thong</t>
        </is>
      </c>
      <c r="FH3409" s="18" t="inlineStr">
        <is>
          <t>Lck6122evg</t>
        </is>
      </c>
      <c r="FI3409" s="18" t="inlineStr">
        <is>
          <t>Zhong Thong</t>
        </is>
      </c>
      <c r="FJ3409" s="18" t="inlineStr">
        <is>
          <t>Lck6122evg</t>
        </is>
      </c>
      <c r="FK3409" s="18" t="n">
        <v>2026</v>
      </c>
      <c r="FL3409" s="18" t="inlineStr">
        <is>
          <t>B</t>
        </is>
      </c>
      <c r="FM3409" s="18" t="inlineStr">
        <is>
          <t>Ducaud</t>
        </is>
      </c>
      <c r="FP3409" t="inlineStr">
        <is>
          <t>B</t>
        </is>
      </c>
    </row>
    <row r="3410">
      <c r="FC3410" t="inlineStr">
        <is>
          <t>Diccionario 4</t>
        </is>
      </c>
      <c r="FD3410" s="15" t="inlineStr">
        <is>
          <t>VJLH-24|</t>
        </is>
      </c>
      <c r="FE3410" s="17" t="inlineStr">
        <is>
          <t>LDYECS310S0044179</t>
        </is>
      </c>
      <c r="FF3410" s="18" t="inlineStr">
        <is>
          <t>MDN35025020240</t>
        </is>
      </c>
      <c r="FG3410" s="18" t="inlineStr">
        <is>
          <t>Zhong Thong</t>
        </is>
      </c>
      <c r="FH3410" s="18" t="inlineStr">
        <is>
          <t>Lck6122evg</t>
        </is>
      </c>
      <c r="FI3410" s="18" t="inlineStr">
        <is>
          <t>Zhong Thong</t>
        </is>
      </c>
      <c r="FJ3410" s="18" t="inlineStr">
        <is>
          <t>Lck6122evg</t>
        </is>
      </c>
      <c r="FK3410" s="18" t="n">
        <v>2026</v>
      </c>
      <c r="FL3410" s="18" t="inlineStr">
        <is>
          <t>B</t>
        </is>
      </c>
      <c r="FM3410" s="18" t="inlineStr">
        <is>
          <t>Ducaud</t>
        </is>
      </c>
      <c r="FP3410" t="inlineStr">
        <is>
          <t>B</t>
        </is>
      </c>
    </row>
    <row r="3411">
      <c r="FC3411" t="inlineStr">
        <is>
          <t>Diccionario 4</t>
        </is>
      </c>
      <c r="FD3411" s="15" t="inlineStr">
        <is>
          <t>VJLH-33|</t>
        </is>
      </c>
      <c r="FE3411" s="17" t="inlineStr">
        <is>
          <t>LDYECS316S0044171</t>
        </is>
      </c>
      <c r="FF3411" s="18" t="inlineStr">
        <is>
          <t>MDN35025020235</t>
        </is>
      </c>
      <c r="FG3411" s="18" t="inlineStr">
        <is>
          <t>Zhong Thong</t>
        </is>
      </c>
      <c r="FH3411" s="18" t="inlineStr">
        <is>
          <t>Lck6122evg</t>
        </is>
      </c>
      <c r="FI3411" s="18" t="inlineStr">
        <is>
          <t>Zhong Thong</t>
        </is>
      </c>
      <c r="FJ3411" s="18" t="inlineStr">
        <is>
          <t>Lck6122evg</t>
        </is>
      </c>
      <c r="FK3411" s="18" t="n">
        <v>2026</v>
      </c>
      <c r="FL3411" s="18" t="inlineStr">
        <is>
          <t>B</t>
        </is>
      </c>
      <c r="FM3411" s="18" t="inlineStr">
        <is>
          <t>Ducaud</t>
        </is>
      </c>
      <c r="FP3411" t="inlineStr">
        <is>
          <t>B</t>
        </is>
      </c>
    </row>
    <row r="3412">
      <c r="FC3412" t="inlineStr">
        <is>
          <t>Diccionario 4</t>
        </is>
      </c>
      <c r="FD3412" s="15" t="inlineStr">
        <is>
          <t>VJWZ-74|</t>
        </is>
      </c>
      <c r="FE3412" s="17" t="inlineStr">
        <is>
          <t>LDYECS315S0044226</t>
        </is>
      </c>
      <c r="FF3412" s="18" t="inlineStr">
        <is>
          <t>MDN35025020140</t>
        </is>
      </c>
      <c r="FG3412" s="18" t="inlineStr">
        <is>
          <t>Zhong Thong</t>
        </is>
      </c>
      <c r="FH3412" s="18" t="inlineStr">
        <is>
          <t>Lck6122evg</t>
        </is>
      </c>
      <c r="FI3412" s="18" t="inlineStr">
        <is>
          <t>Zhong Thong</t>
        </is>
      </c>
      <c r="FJ3412" s="18" t="inlineStr">
        <is>
          <t>Lck6122evg</t>
        </is>
      </c>
      <c r="FK3412" s="18" t="n">
        <v>2026</v>
      </c>
      <c r="FL3412" s="18" t="inlineStr">
        <is>
          <t>B</t>
        </is>
      </c>
      <c r="FM3412" s="18" t="inlineStr">
        <is>
          <t>Lo Blanco</t>
        </is>
      </c>
      <c r="FP3412" t="inlineStr">
        <is>
          <t>B</t>
        </is>
      </c>
    </row>
    <row r="3413">
      <c r="FC3413" t="inlineStr">
        <is>
          <t>Diccionario 4</t>
        </is>
      </c>
      <c r="FD3413" s="15" t="inlineStr">
        <is>
          <t>VJWZ-95|</t>
        </is>
      </c>
      <c r="FE3413" s="17" t="inlineStr">
        <is>
          <t>LDYECS311S0044241</t>
        </is>
      </c>
      <c r="FF3413" s="18" t="inlineStr">
        <is>
          <t>MDN35025020192</t>
        </is>
      </c>
      <c r="FG3413" s="18" t="inlineStr">
        <is>
          <t>Zhong Thong</t>
        </is>
      </c>
      <c r="FH3413" s="18" t="inlineStr">
        <is>
          <t>Lck6122evg</t>
        </is>
      </c>
      <c r="FI3413" s="18" t="inlineStr">
        <is>
          <t>Zhong Thong</t>
        </is>
      </c>
      <c r="FJ3413" s="18" t="inlineStr">
        <is>
          <t>Lck6122evg</t>
        </is>
      </c>
      <c r="FK3413" s="18" t="n">
        <v>2026</v>
      </c>
      <c r="FL3413" s="18" t="inlineStr">
        <is>
          <t>B</t>
        </is>
      </c>
      <c r="FM3413" s="18" t="inlineStr">
        <is>
          <t>Lo Blanco</t>
        </is>
      </c>
      <c r="FP3413" t="inlineStr">
        <is>
          <t>B</t>
        </is>
      </c>
    </row>
    <row r="3414">
      <c r="FC3414" t="inlineStr">
        <is>
          <t>Diccionario 4</t>
        </is>
      </c>
      <c r="FD3414" s="15" t="inlineStr">
        <is>
          <t>VJXB-27|</t>
        </is>
      </c>
      <c r="FE3414" s="17" t="inlineStr">
        <is>
          <t>LDYECS310S0044148</t>
        </is>
      </c>
      <c r="FF3414" s="18" t="inlineStr">
        <is>
          <t>MDN35025030010</t>
        </is>
      </c>
      <c r="FG3414" s="18" t="inlineStr">
        <is>
          <t>Zhong Thong</t>
        </is>
      </c>
      <c r="FH3414" s="18" t="inlineStr">
        <is>
          <t>Lck6122evg</t>
        </is>
      </c>
      <c r="FI3414" s="18" t="inlineStr">
        <is>
          <t>Zhong Thong</t>
        </is>
      </c>
      <c r="FJ3414" s="18" t="inlineStr">
        <is>
          <t>Lck6122evg</t>
        </is>
      </c>
      <c r="FK3414" s="18" t="n">
        <v>2026</v>
      </c>
      <c r="FL3414" s="18" t="inlineStr">
        <is>
          <t>B</t>
        </is>
      </c>
      <c r="FM3414" s="18" t="inlineStr">
        <is>
          <t>Lo Blanco</t>
        </is>
      </c>
      <c r="FP3414" t="inlineStr">
        <is>
          <t>B</t>
        </is>
      </c>
    </row>
    <row r="3415">
      <c r="FC3415" t="inlineStr">
        <is>
          <t>Diccionario 4</t>
        </is>
      </c>
      <c r="FD3415" s="15" t="inlineStr">
        <is>
          <t>VJXB-56|</t>
        </is>
      </c>
      <c r="FE3415" s="17" t="inlineStr">
        <is>
          <t>LDYECS315S0044159</t>
        </is>
      </c>
      <c r="FF3415" s="18" t="inlineStr">
        <is>
          <t>MDN35025020161</t>
        </is>
      </c>
      <c r="FG3415" s="18" t="inlineStr">
        <is>
          <t>Zhong Thong</t>
        </is>
      </c>
      <c r="FH3415" s="18" t="inlineStr">
        <is>
          <t>Lck6122evg</t>
        </is>
      </c>
      <c r="FI3415" s="18" t="inlineStr">
        <is>
          <t>Zhong Thong</t>
        </is>
      </c>
      <c r="FJ3415" s="18" t="inlineStr">
        <is>
          <t>Lck6122evg</t>
        </is>
      </c>
      <c r="FK3415" s="18" t="n">
        <v>2026</v>
      </c>
      <c r="FL3415" s="18" t="inlineStr">
        <is>
          <t>B</t>
        </is>
      </c>
      <c r="FM3415" s="18" t="inlineStr">
        <is>
          <t>Lo Blanco</t>
        </is>
      </c>
      <c r="FP3415" t="inlineStr">
        <is>
          <t>B</t>
        </is>
      </c>
    </row>
    <row r="3416">
      <c r="FC3416" t="inlineStr">
        <is>
          <t>Diccionario 4</t>
        </is>
      </c>
      <c r="FD3416" s="15" t="inlineStr">
        <is>
          <t>VJXB-87|</t>
        </is>
      </c>
      <c r="FE3416" s="17" t="inlineStr">
        <is>
          <t>LDYECS310S0044232</t>
        </is>
      </c>
      <c r="FF3416" s="18" t="inlineStr">
        <is>
          <t>MDN35025030039</t>
        </is>
      </c>
      <c r="FG3416" s="18" t="inlineStr">
        <is>
          <t>Zhong Thong</t>
        </is>
      </c>
      <c r="FH3416" s="18" t="inlineStr">
        <is>
          <t>Lck6122evg</t>
        </is>
      </c>
      <c r="FI3416" s="18" t="inlineStr">
        <is>
          <t>Zhong Thong</t>
        </is>
      </c>
      <c r="FJ3416" s="18" t="inlineStr">
        <is>
          <t>Lck6122evg</t>
        </is>
      </c>
      <c r="FK3416" s="18" t="n">
        <v>2026</v>
      </c>
      <c r="FL3416" s="18" t="inlineStr">
        <is>
          <t>B</t>
        </is>
      </c>
      <c r="FM3416" s="18" t="inlineStr">
        <is>
          <t>Lo Blanco</t>
        </is>
      </c>
      <c r="FP3416" t="inlineStr">
        <is>
          <t>B</t>
        </is>
      </c>
    </row>
    <row r="3417">
      <c r="FC3417" t="inlineStr">
        <is>
          <t>Diccionario 4</t>
        </is>
      </c>
      <c r="FD3417" s="15" t="inlineStr">
        <is>
          <t>VJXC-26|</t>
        </is>
      </c>
      <c r="FE3417" s="17" t="inlineStr">
        <is>
          <t>LDYECS311S0044157</t>
        </is>
      </c>
      <c r="FF3417" s="18" t="inlineStr">
        <is>
          <t>MDN35025020182</t>
        </is>
      </c>
      <c r="FG3417" s="18" t="inlineStr">
        <is>
          <t>Zhong Thong</t>
        </is>
      </c>
      <c r="FH3417" s="18" t="inlineStr">
        <is>
          <t>Lck6122evg</t>
        </is>
      </c>
      <c r="FI3417" s="18" t="inlineStr">
        <is>
          <t>Zhong Thong</t>
        </is>
      </c>
      <c r="FJ3417" s="18" t="inlineStr">
        <is>
          <t>Lck6122evg</t>
        </is>
      </c>
      <c r="FK3417" s="18" t="n">
        <v>2026</v>
      </c>
      <c r="FL3417" s="18" t="inlineStr">
        <is>
          <t>B</t>
        </is>
      </c>
      <c r="FM3417" s="18" t="inlineStr">
        <is>
          <t>Lo Blanco</t>
        </is>
      </c>
      <c r="FP3417" t="inlineStr">
        <is>
          <t>B</t>
        </is>
      </c>
    </row>
    <row r="3418">
      <c r="FC3418" t="inlineStr">
        <is>
          <t>Diccionario 4</t>
        </is>
      </c>
      <c r="FD3418" s="15" t="inlineStr">
        <is>
          <t>VJXC-42|</t>
        </is>
      </c>
      <c r="FE3418" s="17" t="inlineStr">
        <is>
          <t>LDYECS319S0044150</t>
        </is>
      </c>
      <c r="FF3418" s="18" t="inlineStr">
        <is>
          <t>MDN35025030054</t>
        </is>
      </c>
      <c r="FG3418" s="18" t="inlineStr">
        <is>
          <t>Zhong Thong</t>
        </is>
      </c>
      <c r="FH3418" s="18" t="inlineStr">
        <is>
          <t>Lck6122evg</t>
        </is>
      </c>
      <c r="FI3418" s="18" t="inlineStr">
        <is>
          <t>Zhong Thong</t>
        </is>
      </c>
      <c r="FJ3418" s="18" t="inlineStr">
        <is>
          <t>Lck6122evg</t>
        </is>
      </c>
      <c r="FK3418" s="18" t="n">
        <v>2026</v>
      </c>
      <c r="FL3418" s="18" t="inlineStr">
        <is>
          <t>B</t>
        </is>
      </c>
      <c r="FM3418" s="18" t="inlineStr">
        <is>
          <t>Lo Blanco</t>
        </is>
      </c>
      <c r="FP3418" t="inlineStr">
        <is>
          <t>B</t>
        </is>
      </c>
    </row>
    <row r="3419">
      <c r="FC3419" t="inlineStr">
        <is>
          <t>Diccionario 4</t>
        </is>
      </c>
      <c r="FD3419" s="15" t="inlineStr">
        <is>
          <t>VJXC-53|</t>
        </is>
      </c>
      <c r="FE3419" s="17" t="inlineStr">
        <is>
          <t>LDYECS319S0044164</t>
        </is>
      </c>
      <c r="FF3419" s="18" t="inlineStr">
        <is>
          <t>MDN35025020178</t>
        </is>
      </c>
      <c r="FG3419" s="18" t="inlineStr">
        <is>
          <t>Zhong Thong</t>
        </is>
      </c>
      <c r="FH3419" s="18" t="inlineStr">
        <is>
          <t>Lck6122evg</t>
        </is>
      </c>
      <c r="FI3419" s="18" t="inlineStr">
        <is>
          <t>Zhong Thong</t>
        </is>
      </c>
      <c r="FJ3419" s="18" t="inlineStr">
        <is>
          <t>Lck6122evg</t>
        </is>
      </c>
      <c r="FK3419" s="18" t="n">
        <v>2026</v>
      </c>
      <c r="FL3419" s="18" t="inlineStr">
        <is>
          <t>B</t>
        </is>
      </c>
      <c r="FM3419" s="18" t="inlineStr">
        <is>
          <t>Lo Blanco</t>
        </is>
      </c>
      <c r="FP3419" t="inlineStr">
        <is>
          <t>B</t>
        </is>
      </c>
    </row>
    <row r="3420">
      <c r="FC3420" t="inlineStr">
        <is>
          <t>Diccionario 4</t>
        </is>
      </c>
      <c r="FD3420" s="15" t="inlineStr">
        <is>
          <t>VJXC-75|</t>
        </is>
      </c>
      <c r="FE3420" s="17" t="inlineStr">
        <is>
          <t>LDTECS314S0044234</t>
        </is>
      </c>
      <c r="FF3420" s="18" t="inlineStr">
        <is>
          <t>MDN35025020193</t>
        </is>
      </c>
      <c r="FG3420" s="18" t="inlineStr">
        <is>
          <t>Zhong Thong</t>
        </is>
      </c>
      <c r="FH3420" s="18" t="inlineStr">
        <is>
          <t>Lck6122evg</t>
        </is>
      </c>
      <c r="FI3420" s="18" t="inlineStr">
        <is>
          <t>Zhong Thong</t>
        </is>
      </c>
      <c r="FJ3420" s="18" t="inlineStr">
        <is>
          <t>Lck6122evg</t>
        </is>
      </c>
      <c r="FK3420" s="18" t="n">
        <v>2026</v>
      </c>
      <c r="FL3420" s="18" t="inlineStr">
        <is>
          <t>B</t>
        </is>
      </c>
      <c r="FM3420" s="18" t="inlineStr">
        <is>
          <t>Lo Blanco</t>
        </is>
      </c>
      <c r="FP3420" t="inlineStr">
        <is>
          <t>B</t>
        </is>
      </c>
    </row>
    <row r="3421">
      <c r="FC3421" t="inlineStr">
        <is>
          <t>Diccionario 4</t>
        </is>
      </c>
      <c r="FD3421" s="15" t="inlineStr">
        <is>
          <t>VJXC-91|</t>
        </is>
      </c>
      <c r="FE3421" s="17" t="inlineStr">
        <is>
          <t>LDYECS31XS0044254</t>
        </is>
      </c>
      <c r="FF3421" s="18" t="inlineStr">
        <is>
          <t>MDN35025020258</t>
        </is>
      </c>
      <c r="FG3421" s="18" t="inlineStr">
        <is>
          <t>Zhong Thong</t>
        </is>
      </c>
      <c r="FH3421" s="18" t="inlineStr">
        <is>
          <t>Lck6122evg</t>
        </is>
      </c>
      <c r="FI3421" s="18" t="inlineStr">
        <is>
          <t>Zhong Thong</t>
        </is>
      </c>
      <c r="FJ3421" s="18" t="inlineStr">
        <is>
          <t>Lck6122evg</t>
        </is>
      </c>
      <c r="FK3421" s="18" t="n">
        <v>2026</v>
      </c>
      <c r="FL3421" s="18" t="inlineStr">
        <is>
          <t>B</t>
        </is>
      </c>
      <c r="FM3421" s="18" t="inlineStr">
        <is>
          <t>Lo Blanco</t>
        </is>
      </c>
      <c r="FP3421" t="inlineStr">
        <is>
          <t>B</t>
        </is>
      </c>
    </row>
    <row r="3422">
      <c r="FC3422" t="inlineStr">
        <is>
          <t>Diccionario 4</t>
        </is>
      </c>
      <c r="FD3422" s="15" t="inlineStr">
        <is>
          <t>VJXD-48|</t>
        </is>
      </c>
      <c r="FE3422" s="17" t="inlineStr">
        <is>
          <t>LDYECS313S0044256</t>
        </is>
      </c>
      <c r="FF3422" s="18" t="inlineStr">
        <is>
          <t>MDN35025020180</t>
        </is>
      </c>
      <c r="FG3422" s="18" t="inlineStr">
        <is>
          <t>Zhong Thong</t>
        </is>
      </c>
      <c r="FH3422" s="18" t="inlineStr">
        <is>
          <t>Lck6122evg</t>
        </is>
      </c>
      <c r="FI3422" s="18" t="inlineStr">
        <is>
          <t>Zhong Thong</t>
        </is>
      </c>
      <c r="FJ3422" s="18" t="inlineStr">
        <is>
          <t>Lck6122evg</t>
        </is>
      </c>
      <c r="FK3422" s="18" t="n">
        <v>2026</v>
      </c>
      <c r="FL3422" s="18" t="inlineStr">
        <is>
          <t>B</t>
        </is>
      </c>
      <c r="FM3422" s="18" t="inlineStr">
        <is>
          <t>Ducaud</t>
        </is>
      </c>
      <c r="FP3422" t="inlineStr">
        <is>
          <t>B</t>
        </is>
      </c>
    </row>
    <row r="3423">
      <c r="FC3423" t="inlineStr">
        <is>
          <t>Diccionario 4</t>
        </is>
      </c>
      <c r="FD3423" s="15" t="inlineStr">
        <is>
          <t>VJXD-86|</t>
        </is>
      </c>
      <c r="FE3423" s="17" t="inlineStr">
        <is>
          <t>LDYECS316S0044252</t>
        </is>
      </c>
      <c r="FF3423" s="18" t="inlineStr">
        <is>
          <t>MDN35025020172</t>
        </is>
      </c>
      <c r="FG3423" s="18" t="inlineStr">
        <is>
          <t>Zhong Thong</t>
        </is>
      </c>
      <c r="FH3423" s="18" t="inlineStr">
        <is>
          <t>Lck6122evg</t>
        </is>
      </c>
      <c r="FI3423" s="18" t="inlineStr">
        <is>
          <t>Zhong Thong</t>
        </is>
      </c>
      <c r="FJ3423" s="18" t="inlineStr">
        <is>
          <t>Lck6122evg</t>
        </is>
      </c>
      <c r="FK3423" s="18" t="n">
        <v>2026</v>
      </c>
      <c r="FL3423" s="18" t="inlineStr">
        <is>
          <t>B</t>
        </is>
      </c>
      <c r="FM3423" s="18" t="inlineStr">
        <is>
          <t>Ducaud</t>
        </is>
      </c>
      <c r="FP3423" t="inlineStr">
        <is>
          <t>B</t>
        </is>
      </c>
    </row>
    <row r="3424">
      <c r="FC3424" t="inlineStr">
        <is>
          <t>Diccionario 4</t>
        </is>
      </c>
      <c r="FD3424" s="15" t="inlineStr">
        <is>
          <t>VJXH-88|</t>
        </is>
      </c>
      <c r="FE3424" s="17" t="inlineStr">
        <is>
          <t>LDYECS318S0044253</t>
        </is>
      </c>
      <c r="FF3424" s="18" t="inlineStr">
        <is>
          <t>MDN35025010248</t>
        </is>
      </c>
      <c r="FG3424" s="18" t="inlineStr">
        <is>
          <t>Zhong Thong</t>
        </is>
      </c>
      <c r="FH3424" s="18" t="inlineStr">
        <is>
          <t>Lck6122evg</t>
        </is>
      </c>
      <c r="FI3424" s="18" t="inlineStr">
        <is>
          <t>Zhong Thong</t>
        </is>
      </c>
      <c r="FJ3424" s="18" t="inlineStr">
        <is>
          <t>Lck6122evg</t>
        </is>
      </c>
      <c r="FK3424" s="18" t="n">
        <v>2026</v>
      </c>
      <c r="FL3424" s="18" t="inlineStr">
        <is>
          <t>B</t>
        </is>
      </c>
      <c r="FM3424" s="18" t="inlineStr">
        <is>
          <t>Ducaud</t>
        </is>
      </c>
      <c r="FP3424" t="inlineStr">
        <is>
          <t>B</t>
        </is>
      </c>
    </row>
    <row r="3425">
      <c r="FC3425" t="inlineStr">
        <is>
          <t>Diccionario 4</t>
        </is>
      </c>
      <c r="FD3425" s="15" t="inlineStr">
        <is>
          <t>VJXJ-27|</t>
        </is>
      </c>
      <c r="FE3425" s="17" t="inlineStr">
        <is>
          <t>LDYECS318S0044186</t>
        </is>
      </c>
      <c r="FF3425" s="18" t="inlineStr">
        <is>
          <t>MDN35025020159</t>
        </is>
      </c>
      <c r="FG3425" s="18" t="inlineStr">
        <is>
          <t>Zhong Thong</t>
        </is>
      </c>
      <c r="FH3425" s="18" t="inlineStr">
        <is>
          <t>Lck6122evg</t>
        </is>
      </c>
      <c r="FI3425" s="18" t="inlineStr">
        <is>
          <t>Zhong Thong</t>
        </is>
      </c>
      <c r="FJ3425" s="18" t="inlineStr">
        <is>
          <t>Lck6122evg</t>
        </is>
      </c>
      <c r="FK3425" s="18" t="n">
        <v>2026</v>
      </c>
      <c r="FL3425" s="18" t="inlineStr">
        <is>
          <t>B</t>
        </is>
      </c>
      <c r="FM3425" s="18" t="inlineStr">
        <is>
          <t>Ducaud</t>
        </is>
      </c>
      <c r="FP3425" t="inlineStr">
        <is>
          <t>B</t>
        </is>
      </c>
    </row>
    <row r="3426">
      <c r="FC3426" t="inlineStr">
        <is>
          <t>Diccionario 4</t>
        </is>
      </c>
      <c r="FD3426" s="15" t="inlineStr">
        <is>
          <t>VJXJ-39|</t>
        </is>
      </c>
      <c r="FE3426" s="17" t="inlineStr">
        <is>
          <t>LDYECS310S0044196</t>
        </is>
      </c>
      <c r="FF3426" s="18" t="inlineStr">
        <is>
          <t>MDN35025020243</t>
        </is>
      </c>
      <c r="FG3426" s="18" t="inlineStr">
        <is>
          <t>Zhong Thong</t>
        </is>
      </c>
      <c r="FH3426" s="18" t="inlineStr">
        <is>
          <t>Lck6122evg</t>
        </is>
      </c>
      <c r="FI3426" s="18" t="inlineStr">
        <is>
          <t>Zhong Thong</t>
        </is>
      </c>
      <c r="FJ3426" s="18" t="inlineStr">
        <is>
          <t>Lck6122evg</t>
        </is>
      </c>
      <c r="FK3426" s="18" t="n">
        <v>2026</v>
      </c>
      <c r="FL3426" s="18" t="inlineStr">
        <is>
          <t>B</t>
        </is>
      </c>
      <c r="FM3426" s="18" t="inlineStr">
        <is>
          <t>Ducaud</t>
        </is>
      </c>
      <c r="FP3426" t="inlineStr">
        <is>
          <t>B</t>
        </is>
      </c>
    </row>
    <row r="3427">
      <c r="FC3427" t="inlineStr">
        <is>
          <t>Diccionario 4</t>
        </is>
      </c>
      <c r="FD3427" s="15" t="inlineStr">
        <is>
          <t>VJXJ-44|</t>
        </is>
      </c>
      <c r="FE3427" s="17" t="inlineStr">
        <is>
          <t>LDYECS317S0044308</t>
        </is>
      </c>
      <c r="FF3427" s="18" t="inlineStr">
        <is>
          <t>MDN35025010207</t>
        </is>
      </c>
      <c r="FG3427" s="18" t="inlineStr">
        <is>
          <t>Zhong Thong</t>
        </is>
      </c>
      <c r="FH3427" s="18" t="inlineStr">
        <is>
          <t>Lck6122evg</t>
        </is>
      </c>
      <c r="FI3427" s="18" t="inlineStr">
        <is>
          <t>Zhong Thong</t>
        </is>
      </c>
      <c r="FJ3427" s="18" t="inlineStr">
        <is>
          <t>Lck6122evg</t>
        </is>
      </c>
      <c r="FK3427" s="18" t="n">
        <v>2026</v>
      </c>
      <c r="FL3427" s="18" t="inlineStr">
        <is>
          <t>B</t>
        </is>
      </c>
      <c r="FM3427" s="18" t="inlineStr">
        <is>
          <t>Ducaud</t>
        </is>
      </c>
      <c r="FP3427" t="inlineStr">
        <is>
          <t>B</t>
        </is>
      </c>
    </row>
    <row r="3428">
      <c r="FC3428" t="inlineStr">
        <is>
          <t>Diccionario 4</t>
        </is>
      </c>
      <c r="FD3428" s="15" t="inlineStr">
        <is>
          <t>VJXJ-46|</t>
        </is>
      </c>
      <c r="FE3428" s="17" t="inlineStr">
        <is>
          <t>LDYECS31XS0044366</t>
        </is>
      </c>
      <c r="FF3428" s="18" t="inlineStr">
        <is>
          <t>MDN35025010076</t>
        </is>
      </c>
      <c r="FG3428" s="18" t="inlineStr">
        <is>
          <t>Zhong Thong</t>
        </is>
      </c>
      <c r="FH3428" s="18" t="inlineStr">
        <is>
          <t>Lck6122evg</t>
        </is>
      </c>
      <c r="FI3428" s="18" t="inlineStr">
        <is>
          <t>Zhong Thong</t>
        </is>
      </c>
      <c r="FJ3428" s="18" t="inlineStr">
        <is>
          <t>Lck6122evg</t>
        </is>
      </c>
      <c r="FK3428" s="18" t="n">
        <v>2026</v>
      </c>
      <c r="FL3428" s="18" t="inlineStr">
        <is>
          <t>B</t>
        </is>
      </c>
      <c r="FM3428" s="18" t="inlineStr">
        <is>
          <t>Ducaud</t>
        </is>
      </c>
      <c r="FP3428" t="inlineStr">
        <is>
          <t>B</t>
        </is>
      </c>
    </row>
    <row r="3429">
      <c r="FC3429" t="inlineStr">
        <is>
          <t>Diccionario 4</t>
        </is>
      </c>
      <c r="FD3429" s="15" t="inlineStr">
        <is>
          <t>VJXJ-94|</t>
        </is>
      </c>
      <c r="FE3429" s="17" t="inlineStr">
        <is>
          <t>LDYECS310S0044411</t>
        </is>
      </c>
      <c r="FF3429" s="18" t="inlineStr">
        <is>
          <t>MDN35025010155</t>
        </is>
      </c>
      <c r="FG3429" s="18" t="inlineStr">
        <is>
          <t>Zhong Thong</t>
        </is>
      </c>
      <c r="FH3429" s="18" t="inlineStr">
        <is>
          <t>Lck6122evg</t>
        </is>
      </c>
      <c r="FI3429" s="18" t="inlineStr">
        <is>
          <t>Zhong Thong</t>
        </is>
      </c>
      <c r="FJ3429" s="18" t="inlineStr">
        <is>
          <t>Lck6122evg</t>
        </is>
      </c>
      <c r="FK3429" s="18" t="n">
        <v>2026</v>
      </c>
      <c r="FL3429" s="18" t="inlineStr">
        <is>
          <t>B</t>
        </is>
      </c>
      <c r="FM3429" s="18" t="inlineStr">
        <is>
          <t>Ducaud</t>
        </is>
      </c>
      <c r="FP3429" t="inlineStr">
        <is>
          <t>B</t>
        </is>
      </c>
    </row>
    <row r="3430">
      <c r="FC3430" t="inlineStr">
        <is>
          <t>Diccionario 4</t>
        </is>
      </c>
      <c r="FD3430" s="15" t="inlineStr">
        <is>
          <t>VJXK-14|</t>
        </is>
      </c>
      <c r="FE3430" s="17" t="inlineStr">
        <is>
          <t>LDYECS318S0044382</t>
        </is>
      </c>
      <c r="FF3430" s="18" t="inlineStr">
        <is>
          <t>MDN35025030032</t>
        </is>
      </c>
      <c r="FG3430" s="18" t="inlineStr">
        <is>
          <t>Zhong Thong</t>
        </is>
      </c>
      <c r="FH3430" s="18" t="inlineStr">
        <is>
          <t>Lck6122evg</t>
        </is>
      </c>
      <c r="FI3430" s="18" t="inlineStr">
        <is>
          <t>Zhong Thong</t>
        </is>
      </c>
      <c r="FJ3430" s="18" t="inlineStr">
        <is>
          <t>Lck6122evg</t>
        </is>
      </c>
      <c r="FK3430" s="18" t="n">
        <v>2026</v>
      </c>
      <c r="FL3430" s="18" t="inlineStr">
        <is>
          <t>B</t>
        </is>
      </c>
      <c r="FM3430" s="18" t="inlineStr">
        <is>
          <t>Ducaud</t>
        </is>
      </c>
      <c r="FP3430" t="inlineStr">
        <is>
          <t>B</t>
        </is>
      </c>
    </row>
    <row r="3431">
      <c r="FC3431" t="inlineStr">
        <is>
          <t>Diccionario 4</t>
        </is>
      </c>
      <c r="FD3431" s="15" t="inlineStr">
        <is>
          <t>VJXK-15|</t>
        </is>
      </c>
      <c r="FE3431" s="17" t="inlineStr">
        <is>
          <t>LDYECS316S0044316</t>
        </is>
      </c>
      <c r="FF3431" s="18" t="inlineStr">
        <is>
          <t>MDN35025030023</t>
        </is>
      </c>
      <c r="FG3431" s="18" t="inlineStr">
        <is>
          <t>Zhong Thong</t>
        </is>
      </c>
      <c r="FH3431" s="18" t="inlineStr">
        <is>
          <t>Lck6122evg</t>
        </is>
      </c>
      <c r="FI3431" s="18" t="inlineStr">
        <is>
          <t>Zhong Thong</t>
        </is>
      </c>
      <c r="FJ3431" s="18" t="inlineStr">
        <is>
          <t>Lck6122evg</t>
        </is>
      </c>
      <c r="FK3431" s="18" t="n">
        <v>2026</v>
      </c>
      <c r="FL3431" s="18" t="inlineStr">
        <is>
          <t>B</t>
        </is>
      </c>
      <c r="FM3431" s="18" t="inlineStr">
        <is>
          <t>Ducaud</t>
        </is>
      </c>
      <c r="FP3431" t="inlineStr">
        <is>
          <t>B</t>
        </is>
      </c>
    </row>
    <row r="3432">
      <c r="FC3432" t="inlineStr">
        <is>
          <t>Diccionario 4</t>
        </is>
      </c>
      <c r="FD3432" s="15" t="inlineStr">
        <is>
          <t>VJYH-63|</t>
        </is>
      </c>
      <c r="FE3432" s="17" t="inlineStr">
        <is>
          <t>LDYECS316S0044168</t>
        </is>
      </c>
      <c r="FF3432" s="18" t="inlineStr">
        <is>
          <t>MDN35025020215</t>
        </is>
      </c>
      <c r="FG3432" s="18" t="inlineStr">
        <is>
          <t>Zhong Thong</t>
        </is>
      </c>
      <c r="FH3432" s="18" t="inlineStr">
        <is>
          <t>Lck6122evg</t>
        </is>
      </c>
      <c r="FI3432" s="18" t="inlineStr">
        <is>
          <t>Zhong Thong</t>
        </is>
      </c>
      <c r="FJ3432" s="18" t="inlineStr">
        <is>
          <t>Lck6122evg</t>
        </is>
      </c>
      <c r="FK3432" s="18" t="n">
        <v>2026</v>
      </c>
      <c r="FL3432" s="18" t="inlineStr">
        <is>
          <t>B</t>
        </is>
      </c>
      <c r="FM3432" s="18" t="inlineStr">
        <is>
          <t>Lo Blanco</t>
        </is>
      </c>
      <c r="FP3432" t="inlineStr">
        <is>
          <t>B</t>
        </is>
      </c>
    </row>
    <row r="3433">
      <c r="FC3433" t="inlineStr">
        <is>
          <t>Diccionario 4</t>
        </is>
      </c>
      <c r="FD3433" s="15" t="inlineStr">
        <is>
          <t>VJYJ-15|</t>
        </is>
      </c>
      <c r="FE3433" s="17" t="inlineStr">
        <is>
          <t>LDYECS311S0044160</t>
        </is>
      </c>
      <c r="FF3433" s="18" t="inlineStr">
        <is>
          <t>MDN35025020177</t>
        </is>
      </c>
      <c r="FG3433" s="18" t="inlineStr">
        <is>
          <t>Zhong Thong</t>
        </is>
      </c>
      <c r="FH3433" s="18" t="inlineStr">
        <is>
          <t>Lck6122evg</t>
        </is>
      </c>
      <c r="FI3433" s="18" t="inlineStr">
        <is>
          <t>Zhong Thong</t>
        </is>
      </c>
      <c r="FJ3433" s="18" t="inlineStr">
        <is>
          <t>Lck6122evg</t>
        </is>
      </c>
      <c r="FK3433" s="18" t="n">
        <v>2026</v>
      </c>
      <c r="FL3433" s="18" t="inlineStr">
        <is>
          <t>B</t>
        </is>
      </c>
      <c r="FM3433" s="18" t="inlineStr">
        <is>
          <t>Lo Blanco</t>
        </is>
      </c>
      <c r="FP3433" t="inlineStr">
        <is>
          <t>B</t>
        </is>
      </c>
    </row>
    <row r="3434">
      <c r="FC3434" t="inlineStr">
        <is>
          <t>Diccionario 4</t>
        </is>
      </c>
      <c r="FD3434" s="15" t="inlineStr">
        <is>
          <t>VJYJ-22|</t>
        </is>
      </c>
      <c r="FE3434" s="17" t="inlineStr">
        <is>
          <t>LDYECS310S0044277</t>
        </is>
      </c>
      <c r="FF3434" s="18" t="inlineStr">
        <is>
          <t>MDN35025020175</t>
        </is>
      </c>
      <c r="FG3434" s="18" t="inlineStr">
        <is>
          <t>Zhong Thong</t>
        </is>
      </c>
      <c r="FH3434" s="18" t="inlineStr">
        <is>
          <t>Lck6122evg</t>
        </is>
      </c>
      <c r="FI3434" s="18" t="inlineStr">
        <is>
          <t>Zhong Thong</t>
        </is>
      </c>
      <c r="FJ3434" s="18" t="inlineStr">
        <is>
          <t>Lck6122evg</t>
        </is>
      </c>
      <c r="FK3434" s="18" t="n">
        <v>2026</v>
      </c>
      <c r="FL3434" s="18" t="inlineStr">
        <is>
          <t>B</t>
        </is>
      </c>
      <c r="FM3434" s="18" t="inlineStr">
        <is>
          <t>Ducaud</t>
        </is>
      </c>
      <c r="FP3434" t="inlineStr">
        <is>
          <t>B</t>
        </is>
      </c>
    </row>
    <row r="3435">
      <c r="FC3435" t="inlineStr">
        <is>
          <t>Diccionario 4</t>
        </is>
      </c>
      <c r="FD3435" s="15" t="inlineStr">
        <is>
          <t>VJYJ-35|</t>
        </is>
      </c>
      <c r="FE3435" s="17" t="inlineStr">
        <is>
          <t>LDYECS312S0044166</t>
        </is>
      </c>
      <c r="FF3435" s="18" t="inlineStr">
        <is>
          <t>MDN35025020222</t>
        </is>
      </c>
      <c r="FG3435" s="18" t="inlineStr">
        <is>
          <t>Zhong Thong</t>
        </is>
      </c>
      <c r="FH3435" s="18" t="inlineStr">
        <is>
          <t>Lck6122evg</t>
        </is>
      </c>
      <c r="FI3435" s="18" t="inlineStr">
        <is>
          <t>Zhong Thong</t>
        </is>
      </c>
      <c r="FJ3435" s="18" t="inlineStr">
        <is>
          <t>Lck6122evg</t>
        </is>
      </c>
      <c r="FK3435" s="18" t="n">
        <v>2026</v>
      </c>
      <c r="FL3435" s="18" t="inlineStr">
        <is>
          <t>B</t>
        </is>
      </c>
      <c r="FM3435" s="18" t="inlineStr">
        <is>
          <t>Lo Blanco</t>
        </is>
      </c>
      <c r="FP3435" t="inlineStr">
        <is>
          <t>B</t>
        </is>
      </c>
    </row>
    <row r="3436">
      <c r="FC3436" t="inlineStr">
        <is>
          <t>Diccionario 4</t>
        </is>
      </c>
      <c r="FD3436" s="15" t="inlineStr">
        <is>
          <t>VJYJ-37|</t>
        </is>
      </c>
      <c r="FE3436" s="17" t="inlineStr">
        <is>
          <t>LDYECS314S0044217</t>
        </is>
      </c>
      <c r="FF3436" s="18" t="inlineStr">
        <is>
          <t>MDN35025010179</t>
        </is>
      </c>
      <c r="FG3436" s="18" t="inlineStr">
        <is>
          <t>Zhong Thong</t>
        </is>
      </c>
      <c r="FH3436" s="18" t="inlineStr">
        <is>
          <t>Lck6122evg</t>
        </is>
      </c>
      <c r="FI3436" s="18" t="inlineStr">
        <is>
          <t>Zhong Thong</t>
        </is>
      </c>
      <c r="FJ3436" s="18" t="inlineStr">
        <is>
          <t>Lck6122evg</t>
        </is>
      </c>
      <c r="FK3436" s="18" t="n">
        <v>2026</v>
      </c>
      <c r="FL3436" s="18" t="inlineStr">
        <is>
          <t>B</t>
        </is>
      </c>
      <c r="FM3436" s="18" t="inlineStr">
        <is>
          <t>Ducaud</t>
        </is>
      </c>
      <c r="FP3436" t="inlineStr">
        <is>
          <t>B</t>
        </is>
      </c>
    </row>
    <row r="3437">
      <c r="FC3437" t="inlineStr">
        <is>
          <t>Diccionario 4</t>
        </is>
      </c>
      <c r="FD3437" s="15" t="inlineStr">
        <is>
          <t>VJYJ-44|</t>
        </is>
      </c>
      <c r="FE3437" s="17" t="inlineStr">
        <is>
          <t>LDYECS313S0044273</t>
        </is>
      </c>
      <c r="FF3437" s="18" t="inlineStr">
        <is>
          <t>MDN5025020155</t>
        </is>
      </c>
      <c r="FG3437" s="18" t="inlineStr">
        <is>
          <t>Zhong Thong</t>
        </is>
      </c>
      <c r="FH3437" s="18" t="inlineStr">
        <is>
          <t>Lck6122evg</t>
        </is>
      </c>
      <c r="FI3437" s="18" t="inlineStr">
        <is>
          <t>Zhong Thong</t>
        </is>
      </c>
      <c r="FJ3437" s="18" t="inlineStr">
        <is>
          <t>Lck6122evg</t>
        </is>
      </c>
      <c r="FK3437" s="18" t="n">
        <v>2026</v>
      </c>
      <c r="FL3437" s="18" t="inlineStr">
        <is>
          <t>B</t>
        </is>
      </c>
      <c r="FM3437" s="18" t="inlineStr">
        <is>
          <t>Ducaud</t>
        </is>
      </c>
      <c r="FP3437" t="inlineStr">
        <is>
          <t>B</t>
        </is>
      </c>
    </row>
    <row r="3438">
      <c r="FC3438" t="inlineStr">
        <is>
          <t>Diccionario 4</t>
        </is>
      </c>
      <c r="FD3438" s="15" t="inlineStr">
        <is>
          <t>VJYJ-46|</t>
        </is>
      </c>
      <c r="FE3438" s="17" t="inlineStr">
        <is>
          <t>LDYECS317S0044213</t>
        </is>
      </c>
      <c r="FF3438" s="18" t="inlineStr">
        <is>
          <t>MDN35025030110</t>
        </is>
      </c>
      <c r="FG3438" s="18" t="inlineStr">
        <is>
          <t>Zhong Thong</t>
        </is>
      </c>
      <c r="FH3438" s="18" t="inlineStr">
        <is>
          <t>Lck6122evg</t>
        </is>
      </c>
      <c r="FI3438" s="18" t="inlineStr">
        <is>
          <t>Zhong Thong</t>
        </is>
      </c>
      <c r="FJ3438" s="18" t="inlineStr">
        <is>
          <t>Lck6122evg</t>
        </is>
      </c>
      <c r="FK3438" s="18" t="n">
        <v>2026</v>
      </c>
      <c r="FL3438" s="18" t="inlineStr">
        <is>
          <t>B</t>
        </is>
      </c>
      <c r="FM3438" s="18" t="inlineStr">
        <is>
          <t>Ducaud</t>
        </is>
      </c>
      <c r="FP3438" t="inlineStr">
        <is>
          <t>B</t>
        </is>
      </c>
    </row>
    <row r="3439">
      <c r="FC3439" t="inlineStr">
        <is>
          <t>Diccionario 4</t>
        </is>
      </c>
      <c r="FD3439" s="15" t="inlineStr">
        <is>
          <t>VJYJ-68|</t>
        </is>
      </c>
      <c r="FE3439" s="17" t="inlineStr">
        <is>
          <t>LDYECS311S0044210</t>
        </is>
      </c>
      <c r="FF3439" s="18" t="inlineStr">
        <is>
          <t>MDN35025030109</t>
        </is>
      </c>
      <c r="FG3439" s="18" t="inlineStr">
        <is>
          <t>Zhong Thong</t>
        </is>
      </c>
      <c r="FH3439" s="18" t="inlineStr">
        <is>
          <t>Lck6122evg</t>
        </is>
      </c>
      <c r="FI3439" s="18" t="inlineStr">
        <is>
          <t>Zhong Thong</t>
        </is>
      </c>
      <c r="FJ3439" s="18" t="inlineStr">
        <is>
          <t>Lck6122evg</t>
        </is>
      </c>
      <c r="FK3439" s="18" t="n">
        <v>2026</v>
      </c>
      <c r="FL3439" s="18" t="inlineStr">
        <is>
          <t>B</t>
        </is>
      </c>
      <c r="FM3439" s="18" t="inlineStr">
        <is>
          <t>Ducaud</t>
        </is>
      </c>
      <c r="FP3439" t="inlineStr">
        <is>
          <t>B</t>
        </is>
      </c>
    </row>
    <row r="3440">
      <c r="FC3440" t="inlineStr">
        <is>
          <t>Diccionario 4</t>
        </is>
      </c>
      <c r="FD3440" s="15" t="inlineStr">
        <is>
          <t>VJYJ-75|</t>
        </is>
      </c>
      <c r="FE3440" s="17" t="inlineStr">
        <is>
          <t>LDYECS31XS0044285</t>
        </is>
      </c>
      <c r="FF3440" s="18" t="inlineStr">
        <is>
          <t>MDN35025020245</t>
        </is>
      </c>
      <c r="FG3440" s="18" t="inlineStr">
        <is>
          <t>Zhong Thong</t>
        </is>
      </c>
      <c r="FH3440" s="18" t="inlineStr">
        <is>
          <t>Lck6122evg</t>
        </is>
      </c>
      <c r="FI3440" s="18" t="inlineStr">
        <is>
          <t>Zhong Thong</t>
        </is>
      </c>
      <c r="FJ3440" s="18" t="inlineStr">
        <is>
          <t>Lck6122evg</t>
        </is>
      </c>
      <c r="FK3440" s="18" t="n">
        <v>2026</v>
      </c>
      <c r="FL3440" s="18" t="inlineStr">
        <is>
          <t>B</t>
        </is>
      </c>
      <c r="FM3440" s="18" t="inlineStr">
        <is>
          <t>Ducaud</t>
        </is>
      </c>
      <c r="FP3440" t="inlineStr">
        <is>
          <t>B</t>
        </is>
      </c>
    </row>
    <row r="3441">
      <c r="FC3441" t="inlineStr">
        <is>
          <t>Diccionario 4</t>
        </is>
      </c>
      <c r="FD3441" s="15" t="inlineStr">
        <is>
          <t>VJYJ-84|</t>
        </is>
      </c>
      <c r="FE3441" s="17" t="inlineStr">
        <is>
          <t>LDYECS316S0044218</t>
        </is>
      </c>
      <c r="FF3441" s="18" t="inlineStr">
        <is>
          <t>MDN35025010180</t>
        </is>
      </c>
      <c r="FG3441" s="18" t="inlineStr">
        <is>
          <t>Zhong Thong</t>
        </is>
      </c>
      <c r="FH3441" s="18" t="inlineStr">
        <is>
          <t>Lck6122evg</t>
        </is>
      </c>
      <c r="FI3441" s="18" t="inlineStr">
        <is>
          <t>Zhong Thong</t>
        </is>
      </c>
      <c r="FJ3441" s="18" t="inlineStr">
        <is>
          <t>Lck6122evg</t>
        </is>
      </c>
      <c r="FK3441" s="18" t="n">
        <v>2026</v>
      </c>
      <c r="FL3441" s="18" t="inlineStr">
        <is>
          <t>B</t>
        </is>
      </c>
      <c r="FM3441" s="18" t="inlineStr">
        <is>
          <t>Ducaud</t>
        </is>
      </c>
      <c r="FP3441" t="inlineStr">
        <is>
          <t>B</t>
        </is>
      </c>
    </row>
    <row r="3442">
      <c r="FC3442" t="inlineStr">
        <is>
          <t>Diccionario 4</t>
        </is>
      </c>
      <c r="FD3442" s="15" t="inlineStr">
        <is>
          <t>VJYK-73|</t>
        </is>
      </c>
      <c r="FE3442" s="17" t="inlineStr">
        <is>
          <t>LDYECS315S0044291</t>
        </is>
      </c>
      <c r="FF3442" s="18" t="inlineStr">
        <is>
          <t>MDN35025010116</t>
        </is>
      </c>
      <c r="FG3442" s="18" t="inlineStr">
        <is>
          <t>Zhong Thong</t>
        </is>
      </c>
      <c r="FH3442" s="18" t="inlineStr">
        <is>
          <t>Lck6122evg</t>
        </is>
      </c>
      <c r="FI3442" s="18" t="inlineStr">
        <is>
          <t>Zhong Thong</t>
        </is>
      </c>
      <c r="FJ3442" s="18" t="inlineStr">
        <is>
          <t>Lck6122evg</t>
        </is>
      </c>
      <c r="FK3442" s="18" t="n">
        <v>2026</v>
      </c>
      <c r="FL3442" s="18" t="inlineStr">
        <is>
          <t>B</t>
        </is>
      </c>
      <c r="FM3442" s="18" t="inlineStr">
        <is>
          <t>Ducaud</t>
        </is>
      </c>
      <c r="FP3442" t="inlineStr">
        <is>
          <t>B</t>
        </is>
      </c>
    </row>
    <row r="3443">
      <c r="FC3443" t="inlineStr">
        <is>
          <t>Diccionario 4</t>
        </is>
      </c>
      <c r="FD3443" s="15" t="inlineStr">
        <is>
          <t>VJYK-82|</t>
        </is>
      </c>
      <c r="FE3443" s="17" t="inlineStr">
        <is>
          <t>LDYECS31XS0044335</t>
        </is>
      </c>
      <c r="FF3443" s="18" t="inlineStr">
        <is>
          <t>MDN35025030151</t>
        </is>
      </c>
      <c r="FG3443" s="18" t="inlineStr">
        <is>
          <t>Zhong Thong</t>
        </is>
      </c>
      <c r="FH3443" s="18" t="inlineStr">
        <is>
          <t>Lck6122evg</t>
        </is>
      </c>
      <c r="FI3443" s="18" t="inlineStr">
        <is>
          <t>Zhong Thong</t>
        </is>
      </c>
      <c r="FJ3443" s="18" t="inlineStr">
        <is>
          <t>Lck6122evg</t>
        </is>
      </c>
      <c r="FK3443" s="18" t="n">
        <v>2026</v>
      </c>
      <c r="FL3443" s="18" t="inlineStr">
        <is>
          <t>B</t>
        </is>
      </c>
      <c r="FM3443" s="18" t="inlineStr">
        <is>
          <t>Ducaud</t>
        </is>
      </c>
      <c r="FP3443" t="inlineStr">
        <is>
          <t>B</t>
        </is>
      </c>
    </row>
    <row r="3444">
      <c r="FC3444" t="inlineStr">
        <is>
          <t>Diccionario 4</t>
        </is>
      </c>
      <c r="FD3444" s="15" t="inlineStr">
        <is>
          <t>VJYK-83|</t>
        </is>
      </c>
      <c r="FE3444" s="17" t="inlineStr">
        <is>
          <t>LDYECS317S0044342</t>
        </is>
      </c>
      <c r="FF3444" s="18" t="inlineStr">
        <is>
          <t>MDN35025010144</t>
        </is>
      </c>
      <c r="FG3444" s="18" t="inlineStr">
        <is>
          <t>Zhong Thong</t>
        </is>
      </c>
      <c r="FH3444" s="18" t="inlineStr">
        <is>
          <t>Lck6122evg</t>
        </is>
      </c>
      <c r="FI3444" s="18" t="inlineStr">
        <is>
          <t>Zhong Thong</t>
        </is>
      </c>
      <c r="FJ3444" s="18" t="inlineStr">
        <is>
          <t>Lck6122evg</t>
        </is>
      </c>
      <c r="FK3444" s="18" t="n">
        <v>2026</v>
      </c>
      <c r="FL3444" s="18" t="inlineStr">
        <is>
          <t>B</t>
        </is>
      </c>
      <c r="FM3444" s="18" t="inlineStr">
        <is>
          <t>Ducaud</t>
        </is>
      </c>
      <c r="FP3444" t="inlineStr">
        <is>
          <t>B</t>
        </is>
      </c>
    </row>
    <row r="3445">
      <c r="FC3445" t="inlineStr">
        <is>
          <t>Diccionario 4</t>
        </is>
      </c>
      <c r="FD3445" s="15" t="inlineStr">
        <is>
          <t>VJYK-86|</t>
        </is>
      </c>
      <c r="FE3445" s="17" t="inlineStr">
        <is>
          <t>LDYECS313S0044368</t>
        </is>
      </c>
      <c r="FF3445" s="18" t="inlineStr">
        <is>
          <t>MDN35025010047</t>
        </is>
      </c>
      <c r="FG3445" s="18" t="inlineStr">
        <is>
          <t>Zhong Thong</t>
        </is>
      </c>
      <c r="FH3445" s="18" t="inlineStr">
        <is>
          <t>Lck6122evg</t>
        </is>
      </c>
      <c r="FI3445" s="18" t="inlineStr">
        <is>
          <t>Zhong Thong</t>
        </is>
      </c>
      <c r="FJ3445" s="18" t="inlineStr">
        <is>
          <t>Lck6122evg</t>
        </is>
      </c>
      <c r="FK3445" s="18" t="n">
        <v>2026</v>
      </c>
      <c r="FL3445" s="18" t="inlineStr">
        <is>
          <t>B</t>
        </is>
      </c>
      <c r="FM3445" s="18" t="inlineStr">
        <is>
          <t>Ducaud</t>
        </is>
      </c>
      <c r="FP3445" t="inlineStr">
        <is>
          <t>B</t>
        </is>
      </c>
    </row>
    <row r="3446">
      <c r="FC3446" t="inlineStr">
        <is>
          <t>Diccionario 4</t>
        </is>
      </c>
      <c r="FD3446" s="15" t="inlineStr">
        <is>
          <t>VJYK-89|</t>
        </is>
      </c>
      <c r="FE3446" s="17" t="inlineStr">
        <is>
          <t>LDYECS316S0044364</t>
        </is>
      </c>
      <c r="FF3446" s="18" t="inlineStr">
        <is>
          <t>MDN35025030062</t>
        </is>
      </c>
      <c r="FG3446" s="18" t="inlineStr">
        <is>
          <t>Zhong Thong</t>
        </is>
      </c>
      <c r="FH3446" s="18" t="inlineStr">
        <is>
          <t>Lck6122evg</t>
        </is>
      </c>
      <c r="FI3446" s="18" t="inlineStr">
        <is>
          <t>Zhong Thong</t>
        </is>
      </c>
      <c r="FJ3446" s="18" t="inlineStr">
        <is>
          <t>Lck6122evg</t>
        </is>
      </c>
      <c r="FK3446" s="18" t="n">
        <v>2026</v>
      </c>
      <c r="FL3446" s="18" t="inlineStr">
        <is>
          <t>B</t>
        </is>
      </c>
      <c r="FM3446" s="18" t="inlineStr">
        <is>
          <t>Ducaud</t>
        </is>
      </c>
      <c r="FP3446" t="inlineStr">
        <is>
          <t>B</t>
        </is>
      </c>
    </row>
    <row r="3447">
      <c r="FC3447" t="inlineStr">
        <is>
          <t>Diccionario 4</t>
        </is>
      </c>
      <c r="FD3447" s="15" t="inlineStr">
        <is>
          <t>VJYK-91|</t>
        </is>
      </c>
      <c r="FE3447" s="17" t="inlineStr">
        <is>
          <t>LDYECS312S0044295</t>
        </is>
      </c>
      <c r="FF3447" s="18" t="inlineStr">
        <is>
          <t>MDN35025020211</t>
        </is>
      </c>
      <c r="FG3447" s="18" t="inlineStr">
        <is>
          <t>Zhong Thong</t>
        </is>
      </c>
      <c r="FH3447" s="18" t="inlineStr">
        <is>
          <t>Lck6122evg</t>
        </is>
      </c>
      <c r="FI3447" s="18" t="inlineStr">
        <is>
          <t>Zhong Thong</t>
        </is>
      </c>
      <c r="FJ3447" s="18" t="inlineStr">
        <is>
          <t>Lck6122evg</t>
        </is>
      </c>
      <c r="FK3447" s="18" t="n">
        <v>2026</v>
      </c>
      <c r="FL3447" s="18" t="inlineStr">
        <is>
          <t>B</t>
        </is>
      </c>
      <c r="FM3447" s="18" t="inlineStr">
        <is>
          <t>Ducaud</t>
        </is>
      </c>
      <c r="FP3447" t="inlineStr">
        <is>
          <t>B</t>
        </is>
      </c>
    </row>
    <row r="3448">
      <c r="FC3448" t="inlineStr">
        <is>
          <t>Diccionario 4</t>
        </is>
      </c>
      <c r="FD3448" s="15" t="inlineStr">
        <is>
          <t>VJYK-95|</t>
        </is>
      </c>
      <c r="FE3448" s="17" t="inlineStr">
        <is>
          <t>LDYECS312S0044362</t>
        </is>
      </c>
      <c r="FF3448" s="18" t="inlineStr">
        <is>
          <t>MDN35025010110</t>
        </is>
      </c>
      <c r="FG3448" s="18" t="inlineStr">
        <is>
          <t>Zhong Thong</t>
        </is>
      </c>
      <c r="FH3448" s="18" t="inlineStr">
        <is>
          <t>Lck6122evg</t>
        </is>
      </c>
      <c r="FI3448" s="18" t="inlineStr">
        <is>
          <t>Zhong Thong</t>
        </is>
      </c>
      <c r="FJ3448" s="18" t="inlineStr">
        <is>
          <t>Lck6122evg</t>
        </is>
      </c>
      <c r="FK3448" s="18" t="n">
        <v>2026</v>
      </c>
      <c r="FL3448" s="18" t="inlineStr">
        <is>
          <t>B</t>
        </is>
      </c>
      <c r="FM3448" s="18" t="inlineStr">
        <is>
          <t>Ducaud</t>
        </is>
      </c>
      <c r="FP3448" t="inlineStr">
        <is>
          <t>B</t>
        </is>
      </c>
    </row>
    <row r="3449">
      <c r="FC3449" t="inlineStr">
        <is>
          <t>Diccionario 4</t>
        </is>
      </c>
      <c r="FD3449" s="15" t="inlineStr">
        <is>
          <t>VJYK-97|</t>
        </is>
      </c>
      <c r="FE3449" s="17" t="inlineStr">
        <is>
          <t>LDYECS314S0044380</t>
        </is>
      </c>
      <c r="FF3449" s="18" t="inlineStr">
        <is>
          <t>MDN35025030033</t>
        </is>
      </c>
      <c r="FG3449" s="18" t="inlineStr">
        <is>
          <t>Zhong Thong</t>
        </is>
      </c>
      <c r="FH3449" s="18" t="inlineStr">
        <is>
          <t>Lck6122evg</t>
        </is>
      </c>
      <c r="FI3449" s="18" t="inlineStr">
        <is>
          <t>Zhong Thong</t>
        </is>
      </c>
      <c r="FJ3449" s="18" t="inlineStr">
        <is>
          <t>Lck6122evg</t>
        </is>
      </c>
      <c r="FK3449" s="18" t="n">
        <v>2026</v>
      </c>
      <c r="FL3449" s="18" t="inlineStr">
        <is>
          <t>B</t>
        </is>
      </c>
      <c r="FM3449" s="18" t="inlineStr">
        <is>
          <t>Ducaud</t>
        </is>
      </c>
      <c r="FP3449" t="inlineStr">
        <is>
          <t>B</t>
        </is>
      </c>
    </row>
    <row r="3450">
      <c r="FC3450" t="inlineStr">
        <is>
          <t>Diccionario 4</t>
        </is>
      </c>
      <c r="FD3450" s="15" t="inlineStr">
        <is>
          <t>VJYK-98|</t>
        </is>
      </c>
      <c r="FE3450" s="17" t="inlineStr">
        <is>
          <t>LDYECS312S0044300</t>
        </is>
      </c>
      <c r="FF3450" s="18" t="inlineStr">
        <is>
          <t>MDN350025010178</t>
        </is>
      </c>
      <c r="FG3450" s="18" t="inlineStr">
        <is>
          <t>Zhong Thong</t>
        </is>
      </c>
      <c r="FH3450" s="18" t="inlineStr">
        <is>
          <t>Lck6122evg</t>
        </is>
      </c>
      <c r="FI3450" s="18" t="inlineStr">
        <is>
          <t>Zhong Thong</t>
        </is>
      </c>
      <c r="FJ3450" s="18" t="inlineStr">
        <is>
          <t>Lck6122evg</t>
        </is>
      </c>
      <c r="FK3450" s="18" t="n">
        <v>2026</v>
      </c>
      <c r="FL3450" s="18" t="inlineStr">
        <is>
          <t>B</t>
        </is>
      </c>
      <c r="FM3450" s="18" t="inlineStr">
        <is>
          <t>Ducaud</t>
        </is>
      </c>
      <c r="FP3450" t="inlineStr">
        <is>
          <t>B</t>
        </is>
      </c>
    </row>
    <row r="3451">
      <c r="FC3451" t="inlineStr">
        <is>
          <t>Diccionario 4</t>
        </is>
      </c>
      <c r="FD3451" s="15" t="inlineStr">
        <is>
          <t>VJYL-12|</t>
        </is>
      </c>
      <c r="FE3451" s="17" t="inlineStr">
        <is>
          <t>LDYECS313S0044290</t>
        </is>
      </c>
      <c r="FF3451" s="18" t="inlineStr">
        <is>
          <t>MDN35025020214</t>
        </is>
      </c>
      <c r="FG3451" s="18" t="inlineStr">
        <is>
          <t>Zhong Thong</t>
        </is>
      </c>
      <c r="FH3451" s="18" t="inlineStr">
        <is>
          <t>Lck6122evg</t>
        </is>
      </c>
      <c r="FI3451" s="18" t="inlineStr">
        <is>
          <t>Zhong Thong</t>
        </is>
      </c>
      <c r="FJ3451" s="18" t="inlineStr">
        <is>
          <t>Lck6122evg</t>
        </is>
      </c>
      <c r="FK3451" s="18" t="n">
        <v>2026</v>
      </c>
      <c r="FL3451" s="18" t="inlineStr">
        <is>
          <t>B</t>
        </is>
      </c>
      <c r="FM3451" s="18" t="inlineStr">
        <is>
          <t>Ducaud</t>
        </is>
      </c>
      <c r="FP3451" t="inlineStr">
        <is>
          <t>B</t>
        </is>
      </c>
    </row>
    <row r="3452">
      <c r="FC3452" t="inlineStr">
        <is>
          <t>Diccionario 4</t>
        </is>
      </c>
      <c r="FD3452" s="15" t="inlineStr">
        <is>
          <t>VJYL-17|</t>
        </is>
      </c>
      <c r="FE3452" s="17" t="inlineStr">
        <is>
          <t>LDYECS317S0044356</t>
        </is>
      </c>
      <c r="FF3452" s="18" t="inlineStr">
        <is>
          <t>MDN35025010073</t>
        </is>
      </c>
      <c r="FG3452" s="18" t="inlineStr">
        <is>
          <t>Zhong Thong</t>
        </is>
      </c>
      <c r="FH3452" s="18" t="inlineStr">
        <is>
          <t>Lck6122evg</t>
        </is>
      </c>
      <c r="FI3452" s="18" t="inlineStr">
        <is>
          <t>Zhong Thong</t>
        </is>
      </c>
      <c r="FJ3452" s="18" t="inlineStr">
        <is>
          <t>Lck6122evg</t>
        </is>
      </c>
      <c r="FK3452" s="18" t="n">
        <v>2026</v>
      </c>
      <c r="FL3452" s="18" t="inlineStr">
        <is>
          <t>B</t>
        </is>
      </c>
      <c r="FM3452" s="18" t="inlineStr">
        <is>
          <t>Ducaud</t>
        </is>
      </c>
      <c r="FP3452" t="inlineStr">
        <is>
          <t>B</t>
        </is>
      </c>
    </row>
    <row r="3453">
      <c r="FC3453" t="inlineStr">
        <is>
          <t>Diccionario 4</t>
        </is>
      </c>
      <c r="FD3453" s="15" t="inlineStr">
        <is>
          <t>VJZB-37|</t>
        </is>
      </c>
      <c r="FE3453" s="17" t="inlineStr">
        <is>
          <t>LDYECS31XS0044139</t>
        </is>
      </c>
      <c r="FF3453" s="18" t="inlineStr">
        <is>
          <t>MDN35025030088</t>
        </is>
      </c>
      <c r="FG3453" s="18" t="inlineStr">
        <is>
          <t>Zhong Thong</t>
        </is>
      </c>
      <c r="FH3453" s="18" t="inlineStr">
        <is>
          <t>Lck6122evg</t>
        </is>
      </c>
      <c r="FI3453" s="18" t="inlineStr">
        <is>
          <t>Zhong Thong</t>
        </is>
      </c>
      <c r="FJ3453" s="18" t="inlineStr">
        <is>
          <t>Lck6122evg</t>
        </is>
      </c>
      <c r="FK3453" s="18" t="n">
        <v>2026</v>
      </c>
      <c r="FL3453" s="18" t="inlineStr">
        <is>
          <t>B</t>
        </is>
      </c>
      <c r="FM3453" s="18" t="inlineStr">
        <is>
          <t>Lo Blanco</t>
        </is>
      </c>
      <c r="FP3453" t="inlineStr">
        <is>
          <t>B</t>
        </is>
      </c>
    </row>
    <row r="3454">
      <c r="FC3454" t="inlineStr">
        <is>
          <t>Diccionario 4</t>
        </is>
      </c>
      <c r="FD3454" s="15" t="inlineStr">
        <is>
          <t>VJZB-47|</t>
        </is>
      </c>
      <c r="FE3454" s="17" t="inlineStr">
        <is>
          <t>LDYECS315S0044145</t>
        </is>
      </c>
      <c r="FF3454" s="18" t="inlineStr">
        <is>
          <t>MDN35025030096</t>
        </is>
      </c>
      <c r="FG3454" s="18" t="inlineStr">
        <is>
          <t>Zhong Thong</t>
        </is>
      </c>
      <c r="FH3454" s="18" t="inlineStr">
        <is>
          <t>Lck6122evg</t>
        </is>
      </c>
      <c r="FI3454" s="18" t="inlineStr">
        <is>
          <t>Zhong Thong</t>
        </is>
      </c>
      <c r="FJ3454" s="18" t="inlineStr">
        <is>
          <t>Lck6122evg</t>
        </is>
      </c>
      <c r="FK3454" s="18" t="n">
        <v>2026</v>
      </c>
      <c r="FL3454" s="18" t="inlineStr">
        <is>
          <t>B</t>
        </is>
      </c>
      <c r="FM3454" s="18" t="inlineStr">
        <is>
          <t>Lo Blanco</t>
        </is>
      </c>
      <c r="FP3454" t="inlineStr">
        <is>
          <t>B</t>
        </is>
      </c>
    </row>
    <row r="3455">
      <c r="FC3455" t="inlineStr">
        <is>
          <t>Diccionario 4</t>
        </is>
      </c>
      <c r="FD3455" s="15" t="inlineStr">
        <is>
          <t>VJZB-57|</t>
        </is>
      </c>
      <c r="FE3455" s="17" t="inlineStr">
        <is>
          <t>LDYECS316S0044140</t>
        </is>
      </c>
      <c r="FF3455" s="18" t="inlineStr">
        <is>
          <t>MDN35025030038</t>
        </is>
      </c>
      <c r="FG3455" s="18" t="inlineStr">
        <is>
          <t>Zhong Thong</t>
        </is>
      </c>
      <c r="FH3455" s="18" t="inlineStr">
        <is>
          <t>Lck6122evg</t>
        </is>
      </c>
      <c r="FI3455" s="18" t="inlineStr">
        <is>
          <t>Zhong Thong</t>
        </is>
      </c>
      <c r="FJ3455" s="18" t="inlineStr">
        <is>
          <t>Lck6122evg</t>
        </is>
      </c>
      <c r="FK3455" s="18" t="n">
        <v>2026</v>
      </c>
      <c r="FL3455" s="18" t="inlineStr">
        <is>
          <t>B</t>
        </is>
      </c>
      <c r="FM3455" s="18" t="inlineStr">
        <is>
          <t>Lo Blanco</t>
        </is>
      </c>
      <c r="FP3455" t="inlineStr">
        <is>
          <t>B</t>
        </is>
      </c>
    </row>
    <row r="3456">
      <c r="FC3456" t="inlineStr">
        <is>
          <t>Diccionario 4</t>
        </is>
      </c>
      <c r="FD3456" s="15" t="inlineStr">
        <is>
          <t>VJZB-67|</t>
        </is>
      </c>
      <c r="FE3456" s="17" t="inlineStr">
        <is>
          <t>LDYECS317S0044230</t>
        </is>
      </c>
      <c r="FF3456" s="18" t="inlineStr">
        <is>
          <t>MDN35025020272</t>
        </is>
      </c>
      <c r="FG3456" s="18" t="inlineStr">
        <is>
          <t>Zhong Thong</t>
        </is>
      </c>
      <c r="FH3456" s="18" t="inlineStr">
        <is>
          <t>Lck6122evg</t>
        </is>
      </c>
      <c r="FI3456" s="18" t="inlineStr">
        <is>
          <t>Zhong Thong</t>
        </is>
      </c>
      <c r="FJ3456" s="18" t="inlineStr">
        <is>
          <t>Lck6122evg</t>
        </is>
      </c>
      <c r="FK3456" s="18" t="n">
        <v>2026</v>
      </c>
      <c r="FL3456" s="18" t="inlineStr">
        <is>
          <t>B</t>
        </is>
      </c>
      <c r="FM3456" s="18" t="inlineStr">
        <is>
          <t>Lo Blanco</t>
        </is>
      </c>
      <c r="FP3456" t="inlineStr">
        <is>
          <t>B</t>
        </is>
      </c>
    </row>
    <row r="3457">
      <c r="FC3457" t="inlineStr">
        <is>
          <t>Diccionario 4</t>
        </is>
      </c>
      <c r="FD3457" s="15" t="inlineStr">
        <is>
          <t>VJZB-77|</t>
        </is>
      </c>
      <c r="FE3457" s="17" t="inlineStr">
        <is>
          <t>LDYECS317S0044227</t>
        </is>
      </c>
      <c r="FF3457" s="18" t="inlineStr">
        <is>
          <t>MDN35025020261</t>
        </is>
      </c>
      <c r="FG3457" s="18" t="inlineStr">
        <is>
          <t>Zhong Thong</t>
        </is>
      </c>
      <c r="FH3457" s="18" t="inlineStr">
        <is>
          <t>Lck6122evg</t>
        </is>
      </c>
      <c r="FI3457" s="18" t="inlineStr">
        <is>
          <t>Zhong Thong</t>
        </is>
      </c>
      <c r="FJ3457" s="18" t="inlineStr">
        <is>
          <t>Lck6122evg</t>
        </is>
      </c>
      <c r="FK3457" s="18" t="n">
        <v>2026</v>
      </c>
      <c r="FL3457" s="18" t="inlineStr">
        <is>
          <t>B</t>
        </is>
      </c>
      <c r="FM3457" s="18" t="inlineStr">
        <is>
          <t>Lo Blanco</t>
        </is>
      </c>
      <c r="FP3457" t="inlineStr">
        <is>
          <t>B</t>
        </is>
      </c>
    </row>
    <row r="3458">
      <c r="FC3458" t="inlineStr">
        <is>
          <t>Diccionario 4</t>
        </is>
      </c>
      <c r="FD3458" s="15" t="inlineStr">
        <is>
          <t>VJZB-87|</t>
        </is>
      </c>
      <c r="FE3458" s="17" t="inlineStr">
        <is>
          <t>LDYECS315S0044288</t>
        </is>
      </c>
      <c r="FF3458" s="18" t="inlineStr">
        <is>
          <t>MDN35025020208</t>
        </is>
      </c>
      <c r="FG3458" s="18" t="inlineStr">
        <is>
          <t>Zhong Thong</t>
        </is>
      </c>
      <c r="FH3458" s="18" t="inlineStr">
        <is>
          <t>Lck6122evg</t>
        </is>
      </c>
      <c r="FI3458" s="18" t="inlineStr">
        <is>
          <t>Zhong Thong</t>
        </is>
      </c>
      <c r="FJ3458" s="18" t="inlineStr">
        <is>
          <t>Lck6122evg</t>
        </is>
      </c>
      <c r="FK3458" s="18" t="n">
        <v>2026</v>
      </c>
      <c r="FL3458" s="18" t="inlineStr">
        <is>
          <t>B</t>
        </is>
      </c>
      <c r="FM3458" s="18" t="inlineStr">
        <is>
          <t>Ducaud</t>
        </is>
      </c>
      <c r="FP3458" t="inlineStr">
        <is>
          <t>B</t>
        </is>
      </c>
    </row>
    <row r="3459">
      <c r="FC3459" t="inlineStr">
        <is>
          <t>Diccionario 4</t>
        </is>
      </c>
      <c r="FD3459" s="15" t="inlineStr">
        <is>
          <t>VJZB-97|</t>
        </is>
      </c>
      <c r="FE3459" s="17" t="inlineStr">
        <is>
          <t>LDYECS313S0044192</t>
        </is>
      </c>
      <c r="FF3459" s="18" t="inlineStr">
        <is>
          <t>MDN35025020256</t>
        </is>
      </c>
      <c r="FG3459" s="18" t="inlineStr">
        <is>
          <t>Zhong Thong</t>
        </is>
      </c>
      <c r="FH3459" s="18" t="inlineStr">
        <is>
          <t>Lck6122evg</t>
        </is>
      </c>
      <c r="FI3459" s="18" t="inlineStr">
        <is>
          <t>Zhong Thong</t>
        </is>
      </c>
      <c r="FJ3459" s="18" t="inlineStr">
        <is>
          <t>Lck6122evg</t>
        </is>
      </c>
      <c r="FK3459" s="18" t="n">
        <v>2026</v>
      </c>
      <c r="FL3459" s="18" t="inlineStr">
        <is>
          <t>B</t>
        </is>
      </c>
      <c r="FM3459" s="18" t="inlineStr">
        <is>
          <t>Ducaud</t>
        </is>
      </c>
      <c r="FP3459" t="inlineStr">
        <is>
          <t>B</t>
        </is>
      </c>
    </row>
    <row r="3460">
      <c r="FC3460" t="inlineStr">
        <is>
          <t>Diccionario 4</t>
        </is>
      </c>
      <c r="FD3460" s="15" t="inlineStr">
        <is>
          <t>VJZC-57|</t>
        </is>
      </c>
      <c r="FE3460" s="17" t="inlineStr">
        <is>
          <t>LDYECS315S0044193</t>
        </is>
      </c>
      <c r="FF3460" s="18" t="inlineStr">
        <is>
          <t>MDN35025020248</t>
        </is>
      </c>
      <c r="FG3460" s="18" t="inlineStr">
        <is>
          <t>Zhong Thong</t>
        </is>
      </c>
      <c r="FH3460" s="18" t="inlineStr">
        <is>
          <t>Lck6122evg</t>
        </is>
      </c>
      <c r="FI3460" s="18" t="inlineStr">
        <is>
          <t>Zhong Thong</t>
        </is>
      </c>
      <c r="FJ3460" s="18" t="inlineStr">
        <is>
          <t>Lck6122evg</t>
        </is>
      </c>
      <c r="FK3460" s="18" t="n">
        <v>2026</v>
      </c>
      <c r="FL3460" s="18" t="inlineStr">
        <is>
          <t>B</t>
        </is>
      </c>
      <c r="FM3460" s="18" t="inlineStr">
        <is>
          <t>Ducaud</t>
        </is>
      </c>
      <c r="FP3460" t="inlineStr">
        <is>
          <t>B</t>
        </is>
      </c>
    </row>
    <row r="3461">
      <c r="FC3461" t="inlineStr">
        <is>
          <t>Diccionario 4</t>
        </is>
      </c>
      <c r="FD3461" s="15" t="inlineStr">
        <is>
          <t>VJZH-87|</t>
        </is>
      </c>
      <c r="FE3461" s="17" t="inlineStr">
        <is>
          <t>LDYECS31XS0044271</t>
        </is>
      </c>
      <c r="FF3461" s="18" t="inlineStr">
        <is>
          <t>MDN35025020210</t>
        </is>
      </c>
      <c r="FG3461" s="18" t="inlineStr">
        <is>
          <t>Zhong Thong</t>
        </is>
      </c>
      <c r="FH3461" s="18" t="inlineStr">
        <is>
          <t>Lck6122evg</t>
        </is>
      </c>
      <c r="FI3461" s="18" t="inlineStr">
        <is>
          <t>Zhong Thong</t>
        </is>
      </c>
      <c r="FJ3461" s="18" t="inlineStr">
        <is>
          <t>Lck6122evg</t>
        </is>
      </c>
      <c r="FK3461" s="18" t="n">
        <v>2026</v>
      </c>
      <c r="FL3461" s="18" t="inlineStr">
        <is>
          <t>B</t>
        </is>
      </c>
      <c r="FM3461" s="18" t="inlineStr">
        <is>
          <t>Ducaud</t>
        </is>
      </c>
      <c r="FP3461" t="inlineStr">
        <is>
          <t>B</t>
        </is>
      </c>
    </row>
    <row r="3462">
      <c r="FC3462" t="inlineStr">
        <is>
          <t>Diccionario 4</t>
        </is>
      </c>
      <c r="FD3462" s="15" t="inlineStr">
        <is>
          <t>VJZH-97|</t>
        </is>
      </c>
      <c r="FE3462" s="17" t="inlineStr">
        <is>
          <t>LDYECS31XS0044268</t>
        </is>
      </c>
      <c r="FF3462" s="18" t="inlineStr">
        <is>
          <t>MDN3502520269</t>
        </is>
      </c>
      <c r="FG3462" s="18" t="inlineStr">
        <is>
          <t>Zhong Thong</t>
        </is>
      </c>
      <c r="FH3462" s="18" t="inlineStr">
        <is>
          <t>Lck6122evg</t>
        </is>
      </c>
      <c r="FI3462" s="18" t="inlineStr">
        <is>
          <t>Zhong Thong</t>
        </is>
      </c>
      <c r="FJ3462" s="18" t="inlineStr">
        <is>
          <t>Lck6122evg</t>
        </is>
      </c>
      <c r="FK3462" s="18" t="n">
        <v>2026</v>
      </c>
      <c r="FL3462" s="18" t="inlineStr">
        <is>
          <t>B</t>
        </is>
      </c>
      <c r="FM3462" s="18" t="inlineStr">
        <is>
          <t>Ducaud</t>
        </is>
      </c>
      <c r="FP3462" t="inlineStr">
        <is>
          <t>B</t>
        </is>
      </c>
    </row>
    <row r="3463">
      <c r="FC3463" t="inlineStr">
        <is>
          <t>Diccionario 4</t>
        </is>
      </c>
      <c r="FD3463" s="15" t="inlineStr">
        <is>
          <t>VJZJ-56|</t>
        </is>
      </c>
      <c r="FE3463" s="17" t="inlineStr">
        <is>
          <t>LDYECS319S0044262</t>
        </is>
      </c>
      <c r="FF3463" s="18" t="inlineStr">
        <is>
          <t>MDN35025020247</t>
        </is>
      </c>
      <c r="FG3463" s="18" t="inlineStr">
        <is>
          <t>Zhong Thong</t>
        </is>
      </c>
      <c r="FH3463" s="18" t="inlineStr">
        <is>
          <t>Lck6122evg</t>
        </is>
      </c>
      <c r="FI3463" s="18" t="inlineStr">
        <is>
          <t>Zhong Thong</t>
        </is>
      </c>
      <c r="FJ3463" s="18" t="inlineStr">
        <is>
          <t>Lck6122evg</t>
        </is>
      </c>
      <c r="FK3463" s="18" t="n">
        <v>2026</v>
      </c>
      <c r="FL3463" s="18" t="inlineStr">
        <is>
          <t>B</t>
        </is>
      </c>
      <c r="FM3463" s="18" t="inlineStr">
        <is>
          <t>Ducaud</t>
        </is>
      </c>
      <c r="FP3463" t="inlineStr">
        <is>
          <t>B</t>
        </is>
      </c>
    </row>
    <row r="3464">
      <c r="FC3464" t="inlineStr">
        <is>
          <t>Diccionario 4</t>
        </is>
      </c>
      <c r="FD3464" s="15" t="inlineStr">
        <is>
          <t>VJZJ-66|</t>
        </is>
      </c>
      <c r="FE3464" s="17" t="inlineStr">
        <is>
          <t>LDYECS311S0044269</t>
        </is>
      </c>
      <c r="FF3464" s="18" t="inlineStr">
        <is>
          <t>MDN35025020266</t>
        </is>
      </c>
      <c r="FG3464" s="18" t="inlineStr">
        <is>
          <t>Zhong Thong</t>
        </is>
      </c>
      <c r="FH3464" s="18" t="inlineStr">
        <is>
          <t>Lck6122evg</t>
        </is>
      </c>
      <c r="FI3464" s="18" t="inlineStr">
        <is>
          <t>Zhong Thong</t>
        </is>
      </c>
      <c r="FJ3464" s="18" t="inlineStr">
        <is>
          <t>Lck6122evg</t>
        </is>
      </c>
      <c r="FK3464" s="18" t="n">
        <v>2026</v>
      </c>
      <c r="FL3464" s="18" t="inlineStr">
        <is>
          <t>B</t>
        </is>
      </c>
      <c r="FM3464" s="18" t="inlineStr">
        <is>
          <t>Ducaud</t>
        </is>
      </c>
      <c r="FP3464" t="inlineStr">
        <is>
          <t>B</t>
        </is>
      </c>
    </row>
    <row r="3465">
      <c r="FC3465" t="inlineStr">
        <is>
          <t>Diccionario 4</t>
        </is>
      </c>
      <c r="FD3465" s="15" t="inlineStr">
        <is>
          <t>VKFW-93|</t>
        </is>
      </c>
      <c r="FE3465" s="17" t="inlineStr">
        <is>
          <t>LDYECS311S0044272</t>
        </is>
      </c>
      <c r="FF3465" s="18" t="inlineStr">
        <is>
          <t>MDN35025020270</t>
        </is>
      </c>
      <c r="FG3465" s="18" t="inlineStr">
        <is>
          <t>Zhong Thong</t>
        </is>
      </c>
      <c r="FH3465" s="18" t="inlineStr">
        <is>
          <t>Lck6122evg</t>
        </is>
      </c>
      <c r="FI3465" s="18" t="inlineStr">
        <is>
          <t>Zhong Thong</t>
        </is>
      </c>
      <c r="FJ3465" s="18" t="inlineStr">
        <is>
          <t>Lck6122evg</t>
        </is>
      </c>
      <c r="FK3465" s="18" t="n">
        <v>2026</v>
      </c>
      <c r="FL3465" s="18" t="inlineStr">
        <is>
          <t>B</t>
        </is>
      </c>
      <c r="FM3465" s="18" t="inlineStr">
        <is>
          <t>Ducaud</t>
        </is>
      </c>
      <c r="FP3465" t="inlineStr">
        <is>
          <t>B</t>
        </is>
      </c>
    </row>
    <row r="3466">
      <c r="FC3466" t="inlineStr">
        <is>
          <t>Diccionario 4</t>
        </is>
      </c>
      <c r="FD3466" s="15" t="inlineStr">
        <is>
          <t>VKFX-13|</t>
        </is>
      </c>
      <c r="FE3466" s="17" t="inlineStr">
        <is>
          <t>LDYECS317S0044258</t>
        </is>
      </c>
      <c r="FF3466" s="18" t="inlineStr">
        <is>
          <t>MDN35025020200</t>
        </is>
      </c>
      <c r="FG3466" s="18" t="inlineStr">
        <is>
          <t>Zhong Thong</t>
        </is>
      </c>
      <c r="FH3466" s="18" t="inlineStr">
        <is>
          <t>Lck6122evg</t>
        </is>
      </c>
      <c r="FI3466" s="18" t="inlineStr">
        <is>
          <t>Zhong Thong</t>
        </is>
      </c>
      <c r="FJ3466" s="18" t="inlineStr">
        <is>
          <t>Lck6122evg</t>
        </is>
      </c>
      <c r="FK3466" s="18" t="n">
        <v>2026</v>
      </c>
      <c r="FL3466" s="18" t="inlineStr">
        <is>
          <t>B</t>
        </is>
      </c>
      <c r="FM3466" s="18" t="inlineStr">
        <is>
          <t>Ducaud</t>
        </is>
      </c>
      <c r="FP3466" t="inlineStr">
        <is>
          <t>B</t>
        </is>
      </c>
    </row>
    <row r="3467">
      <c r="FC3467" t="inlineStr">
        <is>
          <t>Diccionario 4</t>
        </is>
      </c>
      <c r="FD3467" s="15" t="inlineStr">
        <is>
          <t>VKFX-33|</t>
        </is>
      </c>
      <c r="FE3467" s="17" t="inlineStr">
        <is>
          <t>LDYECS315S0044274</t>
        </is>
      </c>
      <c r="FF3467" s="18" t="inlineStr">
        <is>
          <t>LDM35025020202</t>
        </is>
      </c>
      <c r="FG3467" s="18" t="inlineStr">
        <is>
          <t>Zhong Thong</t>
        </is>
      </c>
      <c r="FH3467" s="18" t="inlineStr">
        <is>
          <t>Lck6122evg</t>
        </is>
      </c>
      <c r="FI3467" s="18" t="inlineStr">
        <is>
          <t>Zhong Thong</t>
        </is>
      </c>
      <c r="FJ3467" s="18" t="inlineStr">
        <is>
          <t>Lck6122evg</t>
        </is>
      </c>
      <c r="FK3467" s="18" t="n">
        <v>2026</v>
      </c>
      <c r="FL3467" s="18" t="inlineStr">
        <is>
          <t>B</t>
        </is>
      </c>
      <c r="FM3467" s="18" t="inlineStr">
        <is>
          <t>Ducaud</t>
        </is>
      </c>
      <c r="FP3467" t="inlineStr">
        <is>
          <t>B</t>
        </is>
      </c>
    </row>
    <row r="3468">
      <c r="FC3468" t="inlineStr">
        <is>
          <t>Diccionario 4</t>
        </is>
      </c>
      <c r="FD3468" s="15" t="inlineStr">
        <is>
          <t>VKFX-63|</t>
        </is>
      </c>
      <c r="FE3468" s="17" t="inlineStr">
        <is>
          <t>LDYECS314S0044279</t>
        </is>
      </c>
      <c r="FF3468" s="18" t="inlineStr">
        <is>
          <t>MDN35025020206</t>
        </is>
      </c>
      <c r="FG3468" s="18" t="inlineStr">
        <is>
          <t>Zhong Thong</t>
        </is>
      </c>
      <c r="FH3468" s="18" t="inlineStr">
        <is>
          <t>Lck6122evg</t>
        </is>
      </c>
      <c r="FI3468" s="18" t="inlineStr">
        <is>
          <t>Zhong Thong</t>
        </is>
      </c>
      <c r="FJ3468" s="18" t="inlineStr">
        <is>
          <t>Lck6122evg</t>
        </is>
      </c>
      <c r="FK3468" s="18" t="n">
        <v>2026</v>
      </c>
      <c r="FL3468" s="18" t="inlineStr">
        <is>
          <t>B</t>
        </is>
      </c>
      <c r="FM3468" s="18" t="inlineStr">
        <is>
          <t>Ducaud</t>
        </is>
      </c>
      <c r="FP3468" t="inlineStr">
        <is>
          <t>B</t>
        </is>
      </c>
    </row>
    <row r="3469">
      <c r="FC3469" t="inlineStr">
        <is>
          <t>Diccionario 4</t>
        </is>
      </c>
      <c r="FD3469" s="15" t="inlineStr">
        <is>
          <t>VKFX-73|</t>
        </is>
      </c>
      <c r="FE3469" s="17" t="inlineStr">
        <is>
          <t>LDYECS316S0044204</t>
        </is>
      </c>
      <c r="FF3469" s="18" t="inlineStr">
        <is>
          <t>MDN35025020198</t>
        </is>
      </c>
      <c r="FG3469" s="18" t="inlineStr">
        <is>
          <t>Zhong Thong</t>
        </is>
      </c>
      <c r="FH3469" s="18" t="inlineStr">
        <is>
          <t>Lck6122evg</t>
        </is>
      </c>
      <c r="FI3469" s="18" t="inlineStr">
        <is>
          <t>Zhong Thong</t>
        </is>
      </c>
      <c r="FJ3469" s="18" t="inlineStr">
        <is>
          <t>Lck6122evg</t>
        </is>
      </c>
      <c r="FK3469" s="18" t="n">
        <v>2026</v>
      </c>
      <c r="FL3469" s="18" t="inlineStr">
        <is>
          <t>B</t>
        </is>
      </c>
      <c r="FM3469" s="18" t="inlineStr">
        <is>
          <t>Ducaud</t>
        </is>
      </c>
      <c r="FP3469" t="inlineStr">
        <is>
          <t>B</t>
        </is>
      </c>
    </row>
    <row r="3470">
      <c r="FC3470" t="inlineStr">
        <is>
          <t>Diccionario 4</t>
        </is>
      </c>
      <c r="FD3470" s="15" t="inlineStr">
        <is>
          <t>VKFX-93|</t>
        </is>
      </c>
      <c r="FE3470" s="17" t="inlineStr">
        <is>
          <t>LDYECS312S0044359</t>
        </is>
      </c>
      <c r="FF3470" s="18" t="inlineStr">
        <is>
          <t>MDN35025020203</t>
        </is>
      </c>
      <c r="FG3470" s="18" t="inlineStr">
        <is>
          <t>Zhong Thong</t>
        </is>
      </c>
      <c r="FH3470" s="18" t="inlineStr">
        <is>
          <t>Lck6122evg</t>
        </is>
      </c>
      <c r="FI3470" s="18" t="inlineStr">
        <is>
          <t>Zhong Thong</t>
        </is>
      </c>
      <c r="FJ3470" s="18" t="inlineStr">
        <is>
          <t>Lck6122evg</t>
        </is>
      </c>
      <c r="FK3470" s="18" t="n">
        <v>2026</v>
      </c>
      <c r="FL3470" s="18" t="inlineStr">
        <is>
          <t>B</t>
        </is>
      </c>
      <c r="FM3470" s="18" t="inlineStr">
        <is>
          <t>Ducaud</t>
        </is>
      </c>
      <c r="FP3470" t="inlineStr">
        <is>
          <t>B</t>
        </is>
      </c>
    </row>
    <row r="3471">
      <c r="FC3471" t="inlineStr">
        <is>
          <t>Diccionario 4</t>
        </is>
      </c>
      <c r="FD3471" s="15" t="inlineStr">
        <is>
          <t>VKFZ-33|</t>
        </is>
      </c>
      <c r="FE3471" s="17" t="inlineStr">
        <is>
          <t>LDYECS314S0044363</t>
        </is>
      </c>
      <c r="FF3471" s="18" t="inlineStr">
        <is>
          <t>MDN35025010121</t>
        </is>
      </c>
      <c r="FG3471" s="18" t="inlineStr">
        <is>
          <t>Zhong Thong</t>
        </is>
      </c>
      <c r="FH3471" s="18" t="inlineStr">
        <is>
          <t>Lck6122evg</t>
        </is>
      </c>
      <c r="FI3471" s="18" t="inlineStr">
        <is>
          <t>Zhong Thong</t>
        </is>
      </c>
      <c r="FJ3471" s="18" t="inlineStr">
        <is>
          <t>Lck6122evg</t>
        </is>
      </c>
      <c r="FK3471" s="18" t="n">
        <v>2026</v>
      </c>
      <c r="FL3471" s="18" t="inlineStr">
        <is>
          <t>B</t>
        </is>
      </c>
      <c r="FM3471" s="18" t="inlineStr">
        <is>
          <t>Ducaud</t>
        </is>
      </c>
      <c r="FP3471" t="inlineStr">
        <is>
          <t>B</t>
        </is>
      </c>
    </row>
    <row r="3472">
      <c r="FC3472" t="inlineStr">
        <is>
          <t>Diccionario 4</t>
        </is>
      </c>
      <c r="FD3472" s="15" t="inlineStr">
        <is>
          <t>VKFZ-53|</t>
        </is>
      </c>
      <c r="FE3472" s="17" t="inlineStr">
        <is>
          <t>LDYECS315S0044307</t>
        </is>
      </c>
      <c r="FF3472" s="18" t="inlineStr">
        <is>
          <t>MDN35025030028</t>
        </is>
      </c>
      <c r="FG3472" s="18" t="inlineStr">
        <is>
          <t>Zhong Thong</t>
        </is>
      </c>
      <c r="FH3472" s="18" t="inlineStr">
        <is>
          <t>Lck6122evg</t>
        </is>
      </c>
      <c r="FI3472" s="18" t="inlineStr">
        <is>
          <t>Zhong Thong</t>
        </is>
      </c>
      <c r="FJ3472" s="18" t="inlineStr">
        <is>
          <t>Lck6122evg</t>
        </is>
      </c>
      <c r="FK3472" s="18" t="n">
        <v>2026</v>
      </c>
      <c r="FL3472" s="18" t="inlineStr">
        <is>
          <t>B</t>
        </is>
      </c>
      <c r="FM3472" s="18" t="inlineStr">
        <is>
          <t>Ducaud</t>
        </is>
      </c>
      <c r="FP3472" t="inlineStr">
        <is>
          <t>B</t>
        </is>
      </c>
    </row>
    <row r="3473">
      <c r="FC3473" t="inlineStr">
        <is>
          <t>Diccionario 4</t>
        </is>
      </c>
      <c r="FD3473" s="15" t="inlineStr">
        <is>
          <t>VKFZ-93|</t>
        </is>
      </c>
      <c r="FE3473" s="17" t="inlineStr">
        <is>
          <t>LDYECS317S0044311</t>
        </is>
      </c>
      <c r="FF3473" s="18" t="inlineStr">
        <is>
          <t>MDN35025030043</t>
        </is>
      </c>
      <c r="FG3473" s="18" t="inlineStr">
        <is>
          <t>Zhong Thong</t>
        </is>
      </c>
      <c r="FH3473" s="18" t="inlineStr">
        <is>
          <t>Lck6122evg</t>
        </is>
      </c>
      <c r="FI3473" s="18" t="inlineStr">
        <is>
          <t>Zhong Thong</t>
        </is>
      </c>
      <c r="FJ3473" s="18" t="inlineStr">
        <is>
          <t>Lck6122evg</t>
        </is>
      </c>
      <c r="FK3473" s="18" t="n">
        <v>2026</v>
      </c>
      <c r="FL3473" s="18" t="inlineStr">
        <is>
          <t>B</t>
        </is>
      </c>
      <c r="FM3473" s="18" t="inlineStr">
        <is>
          <t>Ducaud</t>
        </is>
      </c>
      <c r="FP3473" t="inlineStr">
        <is>
          <t>B</t>
        </is>
      </c>
    </row>
    <row r="3474">
      <c r="FC3474" t="inlineStr">
        <is>
          <t>Diccionario 4</t>
        </is>
      </c>
      <c r="FD3474" s="15" t="inlineStr">
        <is>
          <t>VKGB-43|</t>
        </is>
      </c>
      <c r="FE3474" s="17" t="inlineStr">
        <is>
          <t>LDYECS31XS44318</t>
        </is>
      </c>
      <c r="FF3474" s="18" t="inlineStr">
        <is>
          <t>MDN35025010176</t>
        </is>
      </c>
      <c r="FG3474" s="18" t="inlineStr">
        <is>
          <t>Zhong Thong</t>
        </is>
      </c>
      <c r="FH3474" s="18" t="inlineStr">
        <is>
          <t>Lck6122evg</t>
        </is>
      </c>
      <c r="FI3474" s="18" t="inlineStr">
        <is>
          <t>Zhong Thong</t>
        </is>
      </c>
      <c r="FJ3474" s="18" t="inlineStr">
        <is>
          <t>Lck6122evg</t>
        </is>
      </c>
      <c r="FK3474" s="18" t="n">
        <v>2026</v>
      </c>
      <c r="FL3474" s="18" t="inlineStr">
        <is>
          <t>B</t>
        </is>
      </c>
      <c r="FM3474" s="18" t="inlineStr">
        <is>
          <t>Ducaud</t>
        </is>
      </c>
      <c r="FP3474" t="inlineStr">
        <is>
          <t>B</t>
        </is>
      </c>
    </row>
    <row r="3475">
      <c r="FC3475" t="inlineStr">
        <is>
          <t>Diccionario 4</t>
        </is>
      </c>
      <c r="FD3475" s="15" t="inlineStr">
        <is>
          <t>VKGB-83|</t>
        </is>
      </c>
      <c r="FE3475" s="17" t="inlineStr">
        <is>
          <t>LDYECS312S0044314</t>
        </is>
      </c>
      <c r="FF3475" s="18" t="inlineStr">
        <is>
          <t>MDN35025030094</t>
        </is>
      </c>
      <c r="FG3475" s="18" t="inlineStr">
        <is>
          <t>Zhong Thong</t>
        </is>
      </c>
      <c r="FH3475" s="18" t="inlineStr">
        <is>
          <t>Lck6122evg</t>
        </is>
      </c>
      <c r="FI3475" s="18" t="inlineStr">
        <is>
          <t>Zhong Thong</t>
        </is>
      </c>
      <c r="FJ3475" s="18" t="inlineStr">
        <is>
          <t>Lck6122evg</t>
        </is>
      </c>
      <c r="FK3475" s="18" t="n">
        <v>2026</v>
      </c>
      <c r="FL3475" s="18" t="inlineStr">
        <is>
          <t>B</t>
        </is>
      </c>
      <c r="FM3475" s="18" t="inlineStr">
        <is>
          <t>Ducaud</t>
        </is>
      </c>
      <c r="FP3475" t="inlineStr">
        <is>
          <t>B</t>
        </is>
      </c>
    </row>
    <row r="3476">
      <c r="FC3476" t="inlineStr">
        <is>
          <t>Diccionario 4</t>
        </is>
      </c>
      <c r="FD3476" s="15" t="inlineStr">
        <is>
          <t>VKGC-23|</t>
        </is>
      </c>
      <c r="FE3476" s="17" t="inlineStr">
        <is>
          <t>LDYECS319S0044391</t>
        </is>
      </c>
      <c r="FF3476" s="18" t="inlineStr">
        <is>
          <t>MDN35025010114</t>
        </is>
      </c>
      <c r="FG3476" s="18" t="inlineStr">
        <is>
          <t>Zhong Thong</t>
        </is>
      </c>
      <c r="FH3476" s="18" t="inlineStr">
        <is>
          <t>Lck6122evg</t>
        </is>
      </c>
      <c r="FI3476" s="18" t="inlineStr">
        <is>
          <t>Zhong Thong</t>
        </is>
      </c>
      <c r="FJ3476" s="18" t="inlineStr">
        <is>
          <t>Lck6122evg</t>
        </is>
      </c>
      <c r="FK3476" s="18" t="n">
        <v>2026</v>
      </c>
      <c r="FL3476" s="18" t="inlineStr">
        <is>
          <t>B</t>
        </is>
      </c>
      <c r="FM3476" s="18" t="inlineStr">
        <is>
          <t>Ducaud</t>
        </is>
      </c>
      <c r="FP3476" t="inlineStr">
        <is>
          <t>B</t>
        </is>
      </c>
    </row>
    <row r="3477">
      <c r="FC3477" t="inlineStr">
        <is>
          <t>Diccionario 4</t>
        </is>
      </c>
      <c r="FD3477" s="15" t="inlineStr">
        <is>
          <t>VKGC-63|</t>
        </is>
      </c>
      <c r="FE3477" s="17" t="inlineStr">
        <is>
          <t>LDYECS317S0044387</t>
        </is>
      </c>
      <c r="FF3477" s="18" t="inlineStr">
        <is>
          <t>MDN35025010083</t>
        </is>
      </c>
      <c r="FG3477" s="18" t="inlineStr">
        <is>
          <t>Zhong Thong</t>
        </is>
      </c>
      <c r="FH3477" s="18" t="inlineStr">
        <is>
          <t>Lck6122evg</t>
        </is>
      </c>
      <c r="FI3477" s="18" t="inlineStr">
        <is>
          <t>Zhong Thong</t>
        </is>
      </c>
      <c r="FJ3477" s="18" t="inlineStr">
        <is>
          <t>Lck6122evg</t>
        </is>
      </c>
      <c r="FK3477" s="18" t="n">
        <v>2026</v>
      </c>
      <c r="FL3477" s="18" t="inlineStr">
        <is>
          <t>B</t>
        </is>
      </c>
      <c r="FM3477" s="18" t="inlineStr">
        <is>
          <t>Ducaud</t>
        </is>
      </c>
      <c r="FP3477" t="inlineStr">
        <is>
          <t>B</t>
        </is>
      </c>
    </row>
    <row r="3478">
      <c r="FC3478" t="inlineStr">
        <is>
          <t>Diccionario 4</t>
        </is>
      </c>
      <c r="FD3478" s="15" t="inlineStr">
        <is>
          <t>VKGC-73|</t>
        </is>
      </c>
      <c r="FE3478" s="17" t="inlineStr">
        <is>
          <t>LDYECS314S0044315</t>
        </is>
      </c>
      <c r="FF3478" s="18" t="inlineStr">
        <is>
          <t>MDN35025010082</t>
        </is>
      </c>
      <c r="FG3478" s="18" t="inlineStr">
        <is>
          <t>Zhong Thong</t>
        </is>
      </c>
      <c r="FH3478" s="18" t="inlineStr">
        <is>
          <t>Lck6122evg</t>
        </is>
      </c>
      <c r="FI3478" s="18" t="inlineStr">
        <is>
          <t>Zhong Thong</t>
        </is>
      </c>
      <c r="FJ3478" s="18" t="inlineStr">
        <is>
          <t>Lck6122evg</t>
        </is>
      </c>
      <c r="FK3478" s="18" t="n">
        <v>2026</v>
      </c>
      <c r="FL3478" s="18" t="inlineStr">
        <is>
          <t>B</t>
        </is>
      </c>
      <c r="FM3478" s="18" t="inlineStr">
        <is>
          <t>Ducaud</t>
        </is>
      </c>
      <c r="FP3478" t="inlineStr">
        <is>
          <t>B</t>
        </is>
      </c>
    </row>
    <row r="3479">
      <c r="FC3479" t="inlineStr">
        <is>
          <t>Diccionario 4</t>
        </is>
      </c>
      <c r="FD3479" s="15" t="inlineStr">
        <is>
          <t>VKGD-33|</t>
        </is>
      </c>
      <c r="FE3479" s="17" t="inlineStr">
        <is>
          <t>LDYECS312S0044393</t>
        </is>
      </c>
      <c r="FF3479" s="18" t="inlineStr">
        <is>
          <t>MDN35025030149</t>
        </is>
      </c>
      <c r="FG3479" s="18" t="inlineStr">
        <is>
          <t>Zhong Thong</t>
        </is>
      </c>
      <c r="FH3479" s="18" t="inlineStr">
        <is>
          <t>Lck6122evg</t>
        </is>
      </c>
      <c r="FI3479" s="18" t="inlineStr">
        <is>
          <t>Zhong Thong</t>
        </is>
      </c>
      <c r="FJ3479" s="18" t="inlineStr">
        <is>
          <t>Lck6122evg</t>
        </is>
      </c>
      <c r="FK3479" s="18" t="n">
        <v>2026</v>
      </c>
      <c r="FL3479" s="18" t="inlineStr">
        <is>
          <t>B</t>
        </is>
      </c>
      <c r="FM3479" s="18" t="inlineStr">
        <is>
          <t>Ducaud</t>
        </is>
      </c>
      <c r="FP3479" t="inlineStr">
        <is>
          <t>B</t>
        </is>
      </c>
    </row>
    <row r="3480">
      <c r="FC3480" t="inlineStr">
        <is>
          <t>Diccionario 4</t>
        </is>
      </c>
      <c r="FD3480" s="15" t="inlineStr">
        <is>
          <t>VKGD-43|</t>
        </is>
      </c>
      <c r="FE3480" s="17" t="inlineStr">
        <is>
          <t>MDYECS315S0044386</t>
        </is>
      </c>
      <c r="FF3480" s="18" t="inlineStr">
        <is>
          <t>MDN35025010084</t>
        </is>
      </c>
      <c r="FG3480" s="18" t="inlineStr">
        <is>
          <t>Zhong Thong</t>
        </is>
      </c>
      <c r="FH3480" s="18" t="inlineStr">
        <is>
          <t>Lck6122evg</t>
        </is>
      </c>
      <c r="FI3480" s="18" t="inlineStr">
        <is>
          <t>Zhong Thong</t>
        </is>
      </c>
      <c r="FJ3480" s="18" t="inlineStr">
        <is>
          <t>Lck6122evg</t>
        </is>
      </c>
      <c r="FK3480" s="18" t="n">
        <v>2026</v>
      </c>
      <c r="FL3480" s="18" t="inlineStr">
        <is>
          <t>B</t>
        </is>
      </c>
      <c r="FM3480" s="18" t="inlineStr">
        <is>
          <t>Ducaud</t>
        </is>
      </c>
      <c r="FP3480" t="inlineStr">
        <is>
          <t>B</t>
        </is>
      </c>
    </row>
    <row r="3481">
      <c r="FC3481" t="inlineStr">
        <is>
          <t>Diccionario 4</t>
        </is>
      </c>
      <c r="FD3481" s="15" t="inlineStr">
        <is>
          <t>VKGF-93|</t>
        </is>
      </c>
      <c r="FE3481" s="17" t="inlineStr">
        <is>
          <t>LDYECS318S0044320</t>
        </is>
      </c>
      <c r="FF3481" s="18" t="inlineStr">
        <is>
          <t>MDN35025010160</t>
        </is>
      </c>
      <c r="FG3481" s="18" t="inlineStr">
        <is>
          <t>Zhong Thong</t>
        </is>
      </c>
      <c r="FH3481" s="18" t="inlineStr">
        <is>
          <t>Lck6122evg</t>
        </is>
      </c>
      <c r="FI3481" s="18" t="inlineStr">
        <is>
          <t>Zhong Thong</t>
        </is>
      </c>
      <c r="FJ3481" s="18" t="inlineStr">
        <is>
          <t>Lck6122evg</t>
        </is>
      </c>
      <c r="FK3481" s="18" t="n">
        <v>2026</v>
      </c>
      <c r="FL3481" s="18" t="inlineStr">
        <is>
          <t>B</t>
        </is>
      </c>
      <c r="FM3481" s="18" t="inlineStr">
        <is>
          <t>Ducaud</t>
        </is>
      </c>
      <c r="FP3481" t="inlineStr">
        <is>
          <t>B</t>
        </is>
      </c>
    </row>
    <row r="3482">
      <c r="FC3482" t="inlineStr">
        <is>
          <t>Diccionario 4</t>
        </is>
      </c>
      <c r="FD3482" s="15" t="inlineStr">
        <is>
          <t>VKGG-13|</t>
        </is>
      </c>
      <c r="FE3482" s="17" t="inlineStr">
        <is>
          <t>LDYECS316S0044395</t>
        </is>
      </c>
      <c r="FF3482" s="18" t="inlineStr">
        <is>
          <t>MDN35025010172</t>
        </is>
      </c>
      <c r="FG3482" s="18" t="inlineStr">
        <is>
          <t>Zhong Thong</t>
        </is>
      </c>
      <c r="FH3482" s="18" t="inlineStr">
        <is>
          <t>Lck6122evg</t>
        </is>
      </c>
      <c r="FI3482" s="18" t="inlineStr">
        <is>
          <t>Zhong Thong</t>
        </is>
      </c>
      <c r="FJ3482" s="18" t="inlineStr">
        <is>
          <t>Lck6122evg</t>
        </is>
      </c>
      <c r="FK3482" s="18" t="n">
        <v>2026</v>
      </c>
      <c r="FL3482" s="18" t="inlineStr">
        <is>
          <t>B</t>
        </is>
      </c>
      <c r="FM3482" s="18" t="inlineStr">
        <is>
          <t>Ducaud</t>
        </is>
      </c>
      <c r="FP3482" t="inlineStr">
        <is>
          <t>B</t>
        </is>
      </c>
    </row>
    <row r="3483">
      <c r="FC3483" t="inlineStr">
        <is>
          <t>Diccionario 4</t>
        </is>
      </c>
      <c r="FD3483" s="15" t="inlineStr">
        <is>
          <t>VKGG-23|</t>
        </is>
      </c>
      <c r="FE3483" s="17" t="inlineStr">
        <is>
          <t>LDYECS314S0044329</t>
        </is>
      </c>
      <c r="FF3483" s="18" t="inlineStr">
        <is>
          <t>MDN35025010145</t>
        </is>
      </c>
      <c r="FG3483" s="18" t="inlineStr">
        <is>
          <t>Zhong Thong</t>
        </is>
      </c>
      <c r="FH3483" s="18" t="inlineStr">
        <is>
          <t>Lck6122evg</t>
        </is>
      </c>
      <c r="FI3483" s="18" t="inlineStr">
        <is>
          <t>Zhong Thong</t>
        </is>
      </c>
      <c r="FJ3483" s="18" t="inlineStr">
        <is>
          <t>Lck6122evg</t>
        </is>
      </c>
      <c r="FK3483" s="18" t="n">
        <v>2026</v>
      </c>
      <c r="FL3483" s="18" t="inlineStr">
        <is>
          <t>B</t>
        </is>
      </c>
      <c r="FM3483" s="18" t="inlineStr">
        <is>
          <t>Ducaud</t>
        </is>
      </c>
      <c r="FP3483" t="inlineStr">
        <is>
          <t>B</t>
        </is>
      </c>
    </row>
    <row r="3484">
      <c r="FC3484" t="inlineStr">
        <is>
          <t>Diccionario 4</t>
        </is>
      </c>
      <c r="FD3484" s="15" t="inlineStr">
        <is>
          <t>VKGG-33|</t>
        </is>
      </c>
      <c r="FE3484" s="17" t="inlineStr">
        <is>
          <t>LDYECS319S0044326</t>
        </is>
      </c>
      <c r="FF3484" s="18" t="inlineStr">
        <is>
          <t>MDN35025030181</t>
        </is>
      </c>
      <c r="FG3484" s="18" t="inlineStr">
        <is>
          <t>Zhong Thong</t>
        </is>
      </c>
      <c r="FH3484" s="18" t="inlineStr">
        <is>
          <t>Lck6122evg</t>
        </is>
      </c>
      <c r="FI3484" s="18" t="inlineStr">
        <is>
          <t>Zhong Thong</t>
        </is>
      </c>
      <c r="FJ3484" s="18" t="inlineStr">
        <is>
          <t>Lck6122evg</t>
        </is>
      </c>
      <c r="FK3484" s="18" t="n">
        <v>2026</v>
      </c>
      <c r="FL3484" s="18" t="inlineStr">
        <is>
          <t>B</t>
        </is>
      </c>
      <c r="FM3484" s="18" t="inlineStr">
        <is>
          <t>Ducaud</t>
        </is>
      </c>
      <c r="FP3484" t="inlineStr">
        <is>
          <t>B</t>
        </is>
      </c>
    </row>
    <row r="3485">
      <c r="FC3485" t="inlineStr">
        <is>
          <t>Diccionario 4</t>
        </is>
      </c>
      <c r="FD3485" s="15" t="inlineStr">
        <is>
          <t>VKGG-53|</t>
        </is>
      </c>
      <c r="FE3485" s="17" t="inlineStr">
        <is>
          <t>LDYECS310S0044330</t>
        </is>
      </c>
      <c r="FF3485" s="18" t="inlineStr">
        <is>
          <t>MDN35025030253</t>
        </is>
      </c>
      <c r="FG3485" s="18" t="inlineStr">
        <is>
          <t>Zhong Thong</t>
        </is>
      </c>
      <c r="FH3485" s="18" t="inlineStr">
        <is>
          <t>Lck6122evg</t>
        </is>
      </c>
      <c r="FI3485" s="18" t="inlineStr">
        <is>
          <t>Zhong Thong</t>
        </is>
      </c>
      <c r="FJ3485" s="18" t="inlineStr">
        <is>
          <t>Lck6122evg</t>
        </is>
      </c>
      <c r="FK3485" s="18" t="n">
        <v>2026</v>
      </c>
      <c r="FL3485" s="18" t="inlineStr">
        <is>
          <t>B</t>
        </is>
      </c>
      <c r="FM3485" s="18" t="inlineStr">
        <is>
          <t>Ducaud</t>
        </is>
      </c>
      <c r="FP3485" t="inlineStr">
        <is>
          <t>B</t>
        </is>
      </c>
    </row>
    <row r="3486">
      <c r="FC3486" t="inlineStr">
        <is>
          <t>Diccionario 4</t>
        </is>
      </c>
      <c r="FD3486" s="15" t="inlineStr">
        <is>
          <t>VKGG-73|</t>
        </is>
      </c>
      <c r="FE3486" s="17" t="inlineStr">
        <is>
          <t>LDYECS319S0044410</t>
        </is>
      </c>
      <c r="FF3486" s="18" t="inlineStr">
        <is>
          <t>MDN35025030046</t>
        </is>
      </c>
      <c r="FG3486" s="18" t="inlineStr">
        <is>
          <t>Zhong Thong</t>
        </is>
      </c>
      <c r="FH3486" s="18" t="inlineStr">
        <is>
          <t>Lck6122evg</t>
        </is>
      </c>
      <c r="FI3486" s="18" t="inlineStr">
        <is>
          <t>Zhong Thong</t>
        </is>
      </c>
      <c r="FJ3486" s="18" t="inlineStr">
        <is>
          <t>Lck6122evg</t>
        </is>
      </c>
      <c r="FK3486" s="18" t="n">
        <v>2026</v>
      </c>
      <c r="FL3486" s="18" t="inlineStr">
        <is>
          <t>B</t>
        </is>
      </c>
      <c r="FM3486" s="18" t="inlineStr">
        <is>
          <t>Ducaud</t>
        </is>
      </c>
      <c r="FP3486" t="inlineStr">
        <is>
          <t>B</t>
        </is>
      </c>
    </row>
    <row r="3487">
      <c r="FC3487" t="inlineStr">
        <is>
          <t>Diccionario 4</t>
        </is>
      </c>
      <c r="FD3487" s="15" t="inlineStr">
        <is>
          <t>VKGG-83|</t>
        </is>
      </c>
      <c r="FE3487" s="17" t="inlineStr">
        <is>
          <t>LDYECS31XS0044397</t>
        </is>
      </c>
      <c r="FF3487" s="18" t="inlineStr">
        <is>
          <t>MDN35025030184</t>
        </is>
      </c>
      <c r="FG3487" s="18" t="inlineStr">
        <is>
          <t>Zhong Thong</t>
        </is>
      </c>
      <c r="FH3487" s="18" t="inlineStr">
        <is>
          <t>Lck6122evg</t>
        </is>
      </c>
      <c r="FI3487" s="18" t="inlineStr">
        <is>
          <t>Zhong Thong</t>
        </is>
      </c>
      <c r="FJ3487" s="18" t="inlineStr">
        <is>
          <t>Lck6122evg</t>
        </is>
      </c>
      <c r="FK3487" s="18" t="n">
        <v>2026</v>
      </c>
      <c r="FL3487" s="18" t="inlineStr">
        <is>
          <t>B</t>
        </is>
      </c>
      <c r="FM3487" s="18" t="inlineStr">
        <is>
          <t>Ducaud</t>
        </is>
      </c>
      <c r="FP3487" t="inlineStr">
        <is>
          <t>B</t>
        </is>
      </c>
    </row>
    <row r="3488">
      <c r="FC3488" t="inlineStr">
        <is>
          <t>Diccionario 4</t>
        </is>
      </c>
      <c r="FD3488" s="15" t="inlineStr">
        <is>
          <t>VKGG-93|</t>
        </is>
      </c>
      <c r="FE3488" s="17" t="inlineStr">
        <is>
          <t>LDYECS316S0044400</t>
        </is>
      </c>
      <c r="FF3488" s="18" t="inlineStr">
        <is>
          <t>MDN35025030146</t>
        </is>
      </c>
      <c r="FG3488" s="18" t="inlineStr">
        <is>
          <t>Zhong Thong</t>
        </is>
      </c>
      <c r="FH3488" s="18" t="inlineStr">
        <is>
          <t>Lck6122evg</t>
        </is>
      </c>
      <c r="FI3488" s="18" t="inlineStr">
        <is>
          <t>Zhong Thong</t>
        </is>
      </c>
      <c r="FJ3488" s="18" t="inlineStr">
        <is>
          <t>Lck6122evg</t>
        </is>
      </c>
      <c r="FK3488" s="18" t="n">
        <v>2026</v>
      </c>
      <c r="FL3488" s="18" t="inlineStr">
        <is>
          <t>B</t>
        </is>
      </c>
      <c r="FM3488" s="18" t="inlineStr">
        <is>
          <t>Ducaud</t>
        </is>
      </c>
      <c r="FP3488" t="inlineStr">
        <is>
          <t>B</t>
        </is>
      </c>
    </row>
    <row r="3489">
      <c r="FC3489" t="inlineStr">
        <is>
          <t>Diccionario 4</t>
        </is>
      </c>
      <c r="FD3489" s="15" t="inlineStr">
        <is>
          <t>VKGH-13|</t>
        </is>
      </c>
      <c r="FE3489" s="17" t="inlineStr">
        <is>
          <t>LDYECS311S0044336</t>
        </is>
      </c>
      <c r="FF3489" s="18" t="inlineStr">
        <is>
          <t>MDN35025030152</t>
        </is>
      </c>
      <c r="FG3489" s="18" t="inlineStr">
        <is>
          <t>Zhong Thong</t>
        </is>
      </c>
      <c r="FH3489" s="18" t="inlineStr">
        <is>
          <t>Lck6122evg</t>
        </is>
      </c>
      <c r="FI3489" s="18" t="inlineStr">
        <is>
          <t>Zhong Thong</t>
        </is>
      </c>
      <c r="FJ3489" s="18" t="inlineStr">
        <is>
          <t>Lck6122evg</t>
        </is>
      </c>
      <c r="FK3489" s="18" t="n">
        <v>2026</v>
      </c>
      <c r="FL3489" s="18" t="inlineStr">
        <is>
          <t>B</t>
        </is>
      </c>
      <c r="FM3489" s="18" t="inlineStr">
        <is>
          <t>Ducaud</t>
        </is>
      </c>
      <c r="FP3489" t="inlineStr">
        <is>
          <t>B</t>
        </is>
      </c>
    </row>
    <row r="3490">
      <c r="FC3490" t="inlineStr">
        <is>
          <t>Diccionario 4</t>
        </is>
      </c>
      <c r="FD3490" s="15" t="inlineStr">
        <is>
          <t>VKGH-23|</t>
        </is>
      </c>
      <c r="FE3490" s="17" t="inlineStr">
        <is>
          <t>LDYECS315S0044338</t>
        </is>
      </c>
      <c r="FF3490" s="18" t="inlineStr">
        <is>
          <t>MDN35025010150</t>
        </is>
      </c>
      <c r="FG3490" s="18" t="inlineStr">
        <is>
          <t>Zhong Thong</t>
        </is>
      </c>
      <c r="FH3490" s="18" t="inlineStr">
        <is>
          <t>Lck6122evg</t>
        </is>
      </c>
      <c r="FI3490" s="18" t="inlineStr">
        <is>
          <t>Zhong Thong</t>
        </is>
      </c>
      <c r="FJ3490" s="18" t="inlineStr">
        <is>
          <t>Lck6122evg</t>
        </is>
      </c>
      <c r="FK3490" s="18" t="n">
        <v>2026</v>
      </c>
      <c r="FL3490" s="18" t="inlineStr">
        <is>
          <t>B</t>
        </is>
      </c>
      <c r="FM3490" s="18" t="inlineStr">
        <is>
          <t>Ducaud</t>
        </is>
      </c>
      <c r="FP3490" t="inlineStr">
        <is>
          <t>B</t>
        </is>
      </c>
    </row>
    <row r="3491">
      <c r="FC3491" t="inlineStr">
        <is>
          <t>Diccionario 4</t>
        </is>
      </c>
      <c r="FD3491" s="15" t="inlineStr">
        <is>
          <t>VKGH-33|</t>
        </is>
      </c>
      <c r="FE3491" s="17" t="inlineStr">
        <is>
          <t>LDYECS311S0044403</t>
        </is>
      </c>
      <c r="FF3491" s="18" t="inlineStr">
        <is>
          <t>MDN35025030154</t>
        </is>
      </c>
      <c r="FG3491" s="18" t="inlineStr">
        <is>
          <t>Zhong Thong</t>
        </is>
      </c>
      <c r="FH3491" s="18" t="inlineStr">
        <is>
          <t>Lck6122evg</t>
        </is>
      </c>
      <c r="FI3491" s="18" t="inlineStr">
        <is>
          <t>Zhong Thong</t>
        </is>
      </c>
      <c r="FJ3491" s="18" t="inlineStr">
        <is>
          <t>Lck6122evg</t>
        </is>
      </c>
      <c r="FK3491" s="18" t="n">
        <v>2026</v>
      </c>
      <c r="FL3491" s="18" t="inlineStr">
        <is>
          <t>B</t>
        </is>
      </c>
      <c r="FM3491" s="18" t="inlineStr">
        <is>
          <t>Ducaud</t>
        </is>
      </c>
      <c r="FP3491" t="inlineStr">
        <is>
          <t>B</t>
        </is>
      </c>
    </row>
    <row r="3492">
      <c r="FC3492" t="inlineStr">
        <is>
          <t>Diccionario 4</t>
        </is>
      </c>
      <c r="FD3492" s="15" t="inlineStr">
        <is>
          <t>VKGL-84|</t>
        </is>
      </c>
      <c r="FE3492" s="17" t="inlineStr">
        <is>
          <t>LDYECS319S0044309</t>
        </is>
      </c>
      <c r="FF3492" s="18" t="inlineStr">
        <is>
          <t>MDN35025030008</t>
        </is>
      </c>
      <c r="FG3492" s="18" t="inlineStr">
        <is>
          <t>Zhong Thong</t>
        </is>
      </c>
      <c r="FH3492" s="18" t="inlineStr">
        <is>
          <t>Lck6122evg</t>
        </is>
      </c>
      <c r="FI3492" s="18" t="inlineStr">
        <is>
          <t>Zhong Thong</t>
        </is>
      </c>
      <c r="FJ3492" s="18" t="inlineStr">
        <is>
          <t>Lck6122evg</t>
        </is>
      </c>
      <c r="FK3492" s="18" t="n">
        <v>2026</v>
      </c>
      <c r="FL3492" s="18" t="inlineStr">
        <is>
          <t>B</t>
        </is>
      </c>
      <c r="FM3492" s="18" t="inlineStr">
        <is>
          <t>Ducaud</t>
        </is>
      </c>
      <c r="FP3492" t="inlineStr">
        <is>
          <t>B</t>
        </is>
      </c>
    </row>
    <row r="3493">
      <c r="FC3493" t="inlineStr">
        <is>
          <t>Diccionario 4</t>
        </is>
      </c>
      <c r="FD3493" s="15" t="inlineStr">
        <is>
          <t>VKGP-35|</t>
        </is>
      </c>
      <c r="FE3493" s="17" t="inlineStr">
        <is>
          <t>LDYECS31XS0044190</t>
        </is>
      </c>
      <c r="FF3493" s="18" t="inlineStr">
        <is>
          <t>MDN35025020179</t>
        </is>
      </c>
      <c r="FG3493" s="18" t="inlineStr">
        <is>
          <t>Zhong Thong</t>
        </is>
      </c>
      <c r="FH3493" s="18" t="inlineStr">
        <is>
          <t>Lck6122evg</t>
        </is>
      </c>
      <c r="FI3493" s="18" t="inlineStr">
        <is>
          <t>Zhong Thong</t>
        </is>
      </c>
      <c r="FJ3493" s="18" t="inlineStr">
        <is>
          <t>Lck6122evg</t>
        </is>
      </c>
      <c r="FK3493" s="18" t="n">
        <v>2026</v>
      </c>
      <c r="FL3493" s="18" t="inlineStr">
        <is>
          <t>B</t>
        </is>
      </c>
      <c r="FM3493" s="18" t="inlineStr">
        <is>
          <t>Ducaud</t>
        </is>
      </c>
      <c r="FP3493" t="inlineStr">
        <is>
          <t>B</t>
        </is>
      </c>
    </row>
    <row r="3494">
      <c r="FC3494" t="inlineStr">
        <is>
          <t>Diccionario 4</t>
        </is>
      </c>
      <c r="FD3494" s="15" t="inlineStr">
        <is>
          <t>VKGP-45|</t>
        </is>
      </c>
      <c r="FE3494" s="17" t="inlineStr">
        <is>
          <t>LDYECS312S0044264</t>
        </is>
      </c>
      <c r="FF3494" s="18" t="inlineStr">
        <is>
          <t>MDN35025030090</t>
        </is>
      </c>
      <c r="FG3494" s="18" t="inlineStr">
        <is>
          <t>Zhong Thong</t>
        </is>
      </c>
      <c r="FH3494" s="18" t="inlineStr">
        <is>
          <t>Lck6122evg</t>
        </is>
      </c>
      <c r="FI3494" s="18" t="inlineStr">
        <is>
          <t>Zhong Thong</t>
        </is>
      </c>
      <c r="FJ3494" s="18" t="inlineStr">
        <is>
          <t>Lck6122evg</t>
        </is>
      </c>
      <c r="FK3494" s="18" t="n">
        <v>2026</v>
      </c>
      <c r="FL3494" s="18" t="inlineStr">
        <is>
          <t>B</t>
        </is>
      </c>
      <c r="FM3494" s="18" t="inlineStr">
        <is>
          <t>Ducaud</t>
        </is>
      </c>
      <c r="FP3494" t="inlineStr">
        <is>
          <t>B</t>
        </is>
      </c>
    </row>
    <row r="3495">
      <c r="FC3495" t="inlineStr">
        <is>
          <t>Diccionario 4</t>
        </is>
      </c>
      <c r="FD3495" s="15" t="inlineStr">
        <is>
          <t>VKGP-55|</t>
        </is>
      </c>
      <c r="FE3495" s="17" t="inlineStr">
        <is>
          <t>LDYECS315S0044355</t>
        </is>
      </c>
      <c r="FF3495" s="18" t="inlineStr">
        <is>
          <t>MDN35025010086</t>
        </is>
      </c>
      <c r="FG3495" s="18" t="inlineStr">
        <is>
          <t>Zhong Thong</t>
        </is>
      </c>
      <c r="FH3495" s="18" t="inlineStr">
        <is>
          <t>Lck6122evg</t>
        </is>
      </c>
      <c r="FI3495" s="18" t="inlineStr">
        <is>
          <t>Zhong Thong</t>
        </is>
      </c>
      <c r="FJ3495" s="18" t="inlineStr">
        <is>
          <t>Lck6122evg</t>
        </is>
      </c>
      <c r="FK3495" s="18" t="n">
        <v>2026</v>
      </c>
      <c r="FL3495" s="18" t="inlineStr">
        <is>
          <t>B</t>
        </is>
      </c>
      <c r="FM3495" s="18" t="inlineStr">
        <is>
          <t>Ducaud</t>
        </is>
      </c>
      <c r="FP3495" t="inlineStr">
        <is>
          <t>B</t>
        </is>
      </c>
    </row>
    <row r="3496">
      <c r="FC3496" t="inlineStr">
        <is>
          <t>Diccionario 4</t>
        </is>
      </c>
      <c r="FD3496" s="15" t="inlineStr">
        <is>
          <t>VKGP-75|</t>
        </is>
      </c>
      <c r="FE3496" s="17" t="inlineStr">
        <is>
          <t>LDYECS311S0044367</t>
        </is>
      </c>
      <c r="FF3496" s="18" t="inlineStr">
        <is>
          <t>MDN35025010046</t>
        </is>
      </c>
      <c r="FG3496" s="18" t="inlineStr">
        <is>
          <t>Zhong Thong</t>
        </is>
      </c>
      <c r="FH3496" s="18" t="inlineStr">
        <is>
          <t>Lck6122evg</t>
        </is>
      </c>
      <c r="FI3496" s="18" t="inlineStr">
        <is>
          <t>Zhong Thong</t>
        </is>
      </c>
      <c r="FJ3496" s="18" t="inlineStr">
        <is>
          <t>Lck6122evg</t>
        </is>
      </c>
      <c r="FK3496" s="18" t="n">
        <v>2026</v>
      </c>
      <c r="FL3496" s="18" t="inlineStr">
        <is>
          <t>B</t>
        </is>
      </c>
      <c r="FM3496" s="18" t="inlineStr">
        <is>
          <t>Ducaud</t>
        </is>
      </c>
      <c r="FP3496" t="inlineStr">
        <is>
          <t>B</t>
        </is>
      </c>
    </row>
    <row r="3497">
      <c r="FC3497" t="inlineStr">
        <is>
          <t>Diccionario 4</t>
        </is>
      </c>
      <c r="FD3497" s="15" t="inlineStr">
        <is>
          <t>VLBP-23|</t>
        </is>
      </c>
      <c r="FE3497" s="17" t="inlineStr">
        <is>
          <t>LDYECS311S0045762</t>
        </is>
      </c>
      <c r="FF3497" s="18" t="inlineStr">
        <is>
          <t>MDN35025030168</t>
        </is>
      </c>
      <c r="FG3497" s="18" t="inlineStr">
        <is>
          <t>Zhong Thong</t>
        </is>
      </c>
      <c r="FH3497" s="18" t="inlineStr">
        <is>
          <t>Lck6122evg</t>
        </is>
      </c>
      <c r="FI3497" s="18" t="inlineStr">
        <is>
          <t>Zhong Thong</t>
        </is>
      </c>
      <c r="FJ3497" s="18" t="inlineStr">
        <is>
          <t>Lck6122evg</t>
        </is>
      </c>
      <c r="FK3497" s="18" t="n">
        <v>2026</v>
      </c>
      <c r="FL3497" s="18" t="inlineStr">
        <is>
          <t>B</t>
        </is>
      </c>
      <c r="FM3497" s="18" t="inlineStr">
        <is>
          <t>Ducaud</t>
        </is>
      </c>
      <c r="FP3497" t="inlineStr">
        <is>
          <t>B</t>
        </is>
      </c>
    </row>
    <row r="3498">
      <c r="FC3498" t="inlineStr">
        <is>
          <t>Diccionario 4</t>
        </is>
      </c>
      <c r="FD3498" s="15" t="inlineStr">
        <is>
          <t>VLBP-73|</t>
        </is>
      </c>
      <c r="FE3498" s="17" t="inlineStr">
        <is>
          <t>LDYECS318S0045760</t>
        </is>
      </c>
      <c r="FF3498" s="18" t="inlineStr">
        <is>
          <t>MDN35025030276</t>
        </is>
      </c>
      <c r="FG3498" s="18" t="inlineStr">
        <is>
          <t>Zhong Thong</t>
        </is>
      </c>
      <c r="FH3498" s="18" t="inlineStr">
        <is>
          <t>Lck6122evg</t>
        </is>
      </c>
      <c r="FI3498" s="18" t="inlineStr">
        <is>
          <t>Zhong Thong</t>
        </is>
      </c>
      <c r="FJ3498" s="18" t="inlineStr">
        <is>
          <t>Lck6122evg</t>
        </is>
      </c>
      <c r="FK3498" s="18" t="n">
        <v>2026</v>
      </c>
      <c r="FL3498" s="18" t="inlineStr">
        <is>
          <t>B</t>
        </is>
      </c>
      <c r="FM3498" s="18" t="inlineStr">
        <is>
          <t>Ducaud</t>
        </is>
      </c>
      <c r="FP3498" t="inlineStr">
        <is>
          <t>B</t>
        </is>
      </c>
    </row>
    <row r="3499">
      <c r="FC3499" t="inlineStr">
        <is>
          <t>Diccionario 4</t>
        </is>
      </c>
      <c r="FD3499" s="15" t="inlineStr">
        <is>
          <t>VLBZ-78|</t>
        </is>
      </c>
      <c r="FE3499" s="17" t="inlineStr">
        <is>
          <t>LDYECS313S0045763</t>
        </is>
      </c>
      <c r="FF3499" s="18" t="inlineStr">
        <is>
          <t>MDN35025030156</t>
        </is>
      </c>
      <c r="FG3499" s="18" t="inlineStr">
        <is>
          <t>Zhong Thong</t>
        </is>
      </c>
      <c r="FH3499" s="18" t="inlineStr">
        <is>
          <t>Lck6122evg</t>
        </is>
      </c>
      <c r="FI3499" s="18" t="inlineStr">
        <is>
          <t>Zhong Thong</t>
        </is>
      </c>
      <c r="FJ3499" s="18" t="inlineStr">
        <is>
          <t>Lck6122evg</t>
        </is>
      </c>
      <c r="FK3499" s="18" t="n">
        <v>2026</v>
      </c>
      <c r="FL3499" s="18" t="inlineStr">
        <is>
          <t>B</t>
        </is>
      </c>
      <c r="FM3499" s="18" t="inlineStr">
        <is>
          <t>Ducaud</t>
        </is>
      </c>
      <c r="FP3499" t="inlineStr">
        <is>
          <t>B</t>
        </is>
      </c>
    </row>
    <row r="3500">
      <c r="FC3500" t="inlineStr">
        <is>
          <t>Diccionario 4</t>
        </is>
      </c>
      <c r="FD3500" s="15" t="inlineStr">
        <is>
          <t>VLBZ-96|</t>
        </is>
      </c>
      <c r="FE3500" s="17" t="inlineStr">
        <is>
          <t>LDYECS314S0044394</t>
        </is>
      </c>
      <c r="FF3500" s="18" t="inlineStr">
        <is>
          <t>MDN35025030249</t>
        </is>
      </c>
      <c r="FG3500" s="18" t="inlineStr">
        <is>
          <t>Zhong Thong</t>
        </is>
      </c>
      <c r="FH3500" s="18" t="inlineStr">
        <is>
          <t>Lck6122evg</t>
        </is>
      </c>
      <c r="FI3500" s="18" t="inlineStr">
        <is>
          <t>Zhong Thong</t>
        </is>
      </c>
      <c r="FJ3500" s="18" t="inlineStr">
        <is>
          <t>Lck6122evg</t>
        </is>
      </c>
      <c r="FK3500" s="18" t="n">
        <v>2026</v>
      </c>
      <c r="FL3500" s="18" t="inlineStr">
        <is>
          <t>B</t>
        </is>
      </c>
      <c r="FM3500" s="18" t="inlineStr">
        <is>
          <t>Ducaud</t>
        </is>
      </c>
      <c r="FP3500" t="inlineStr">
        <is>
          <t>B</t>
        </is>
      </c>
    </row>
    <row r="3501">
      <c r="FC3501" t="inlineStr">
        <is>
          <t>Diccionario 4</t>
        </is>
      </c>
      <c r="FD3501" s="15" t="inlineStr">
        <is>
          <t>VLCB-26|</t>
        </is>
      </c>
      <c r="FE3501" s="17" t="inlineStr">
        <is>
          <t>LDYECS315S0044257</t>
        </is>
      </c>
      <c r="FF3501" s="18" t="inlineStr">
        <is>
          <t>MDN35025020147</t>
        </is>
      </c>
      <c r="FG3501" s="18" t="inlineStr">
        <is>
          <t>Zhong Thong</t>
        </is>
      </c>
      <c r="FH3501" s="18" t="inlineStr">
        <is>
          <t>Lck6122evg</t>
        </is>
      </c>
      <c r="FI3501" s="18" t="inlineStr">
        <is>
          <t>Zhong Thong</t>
        </is>
      </c>
      <c r="FJ3501" s="18" t="inlineStr">
        <is>
          <t>Lck6122evg</t>
        </is>
      </c>
      <c r="FK3501" s="18" t="n">
        <v>2026</v>
      </c>
      <c r="FL3501" s="18" t="inlineStr">
        <is>
          <t>B</t>
        </is>
      </c>
      <c r="FM3501" s="18" t="inlineStr">
        <is>
          <t>Ducaud</t>
        </is>
      </c>
      <c r="FP3501" t="inlineStr">
        <is>
          <t>B</t>
        </is>
      </c>
    </row>
    <row r="3502">
      <c r="FC3502" t="inlineStr">
        <is>
          <t>Diccionario 4</t>
        </is>
      </c>
      <c r="FD3502" s="15" t="inlineStr">
        <is>
          <t>VLCB-56|</t>
        </is>
      </c>
      <c r="FE3502" s="17" t="inlineStr">
        <is>
          <t>LDYECS31XS0045758</t>
        </is>
      </c>
      <c r="FF3502" s="18" t="inlineStr">
        <is>
          <t>MDN35025030172</t>
        </is>
      </c>
      <c r="FG3502" s="18" t="inlineStr">
        <is>
          <t>Zhong Thong</t>
        </is>
      </c>
      <c r="FH3502" s="18" t="inlineStr">
        <is>
          <t>Lck6122evg</t>
        </is>
      </c>
      <c r="FI3502" s="18" t="inlineStr">
        <is>
          <t>Zhong Thong</t>
        </is>
      </c>
      <c r="FJ3502" s="18" t="inlineStr">
        <is>
          <t>Lck6122evg</t>
        </is>
      </c>
      <c r="FK3502" s="18" t="n">
        <v>2026</v>
      </c>
      <c r="FL3502" s="18" t="inlineStr">
        <is>
          <t>B</t>
        </is>
      </c>
      <c r="FM3502" s="18" t="inlineStr">
        <is>
          <t>Ducaud</t>
        </is>
      </c>
      <c r="FP3502" t="inlineStr">
        <is>
          <t>B</t>
        </is>
      </c>
    </row>
    <row r="3503">
      <c r="FC3503" t="inlineStr">
        <is>
          <t>Diccionario 4</t>
        </is>
      </c>
      <c r="FD3503" s="15" t="inlineStr">
        <is>
          <t>VLCC-16|</t>
        </is>
      </c>
      <c r="FE3503" s="17" t="inlineStr">
        <is>
          <t>LDYECS311S0045857</t>
        </is>
      </c>
      <c r="FF3503" s="18" t="inlineStr">
        <is>
          <t>MDN35025030292</t>
        </is>
      </c>
      <c r="FG3503" s="18" t="inlineStr">
        <is>
          <t>Zhong Thong</t>
        </is>
      </c>
      <c r="FH3503" s="18" t="inlineStr">
        <is>
          <t>Lck6122evg</t>
        </is>
      </c>
      <c r="FI3503" s="18" t="inlineStr">
        <is>
          <t>Zhong Thong</t>
        </is>
      </c>
      <c r="FJ3503" s="18" t="inlineStr">
        <is>
          <t>Lck6122evg</t>
        </is>
      </c>
      <c r="FK3503" s="18" t="n">
        <v>2026</v>
      </c>
      <c r="FL3503" s="18" t="inlineStr">
        <is>
          <t>B</t>
        </is>
      </c>
      <c r="FM3503" s="18" t="inlineStr">
        <is>
          <t>Ducaud</t>
        </is>
      </c>
      <c r="FP3503" t="inlineStr">
        <is>
          <t>B</t>
        </is>
      </c>
    </row>
    <row r="3504">
      <c r="FC3504" t="inlineStr">
        <is>
          <t>Diccionario 4</t>
        </is>
      </c>
      <c r="FD3504" s="15" t="inlineStr">
        <is>
          <t>VLCC-36|</t>
        </is>
      </c>
      <c r="FE3504" s="17" t="inlineStr">
        <is>
          <t>LDYECS315S0045764</t>
        </is>
      </c>
      <c r="FF3504" s="18" t="inlineStr">
        <is>
          <t>MDN35025030157</t>
        </is>
      </c>
      <c r="FG3504" s="18" t="inlineStr">
        <is>
          <t>Zhong Thong</t>
        </is>
      </c>
      <c r="FH3504" s="18" t="inlineStr">
        <is>
          <t>Lck6122evg</t>
        </is>
      </c>
      <c r="FI3504" s="18" t="inlineStr">
        <is>
          <t>Zhong Thong</t>
        </is>
      </c>
      <c r="FJ3504" s="18" t="inlineStr">
        <is>
          <t>Lck6122evg</t>
        </is>
      </c>
      <c r="FK3504" s="18" t="n">
        <v>2026</v>
      </c>
      <c r="FL3504" s="18" t="inlineStr">
        <is>
          <t>B</t>
        </is>
      </c>
      <c r="FM3504" s="18" t="inlineStr">
        <is>
          <t>Ducaud</t>
        </is>
      </c>
      <c r="FP3504" t="inlineStr">
        <is>
          <t>B</t>
        </is>
      </c>
    </row>
    <row r="3505">
      <c r="FC3505" t="inlineStr">
        <is>
          <t>Diccionario 4</t>
        </is>
      </c>
      <c r="FD3505" s="15" t="inlineStr">
        <is>
          <t>VLCD-56|</t>
        </is>
      </c>
      <c r="FE3505" s="17" t="inlineStr">
        <is>
          <t>LDYECS315S0045862</t>
        </is>
      </c>
      <c r="FF3505" s="18" t="inlineStr">
        <is>
          <t>MDN35025030216</t>
        </is>
      </c>
      <c r="FG3505" s="18" t="inlineStr">
        <is>
          <t>Zhong Thong</t>
        </is>
      </c>
      <c r="FH3505" s="18" t="inlineStr">
        <is>
          <t>Lck6122evg</t>
        </is>
      </c>
      <c r="FI3505" s="18" t="inlineStr">
        <is>
          <t>Zhong Thong</t>
        </is>
      </c>
      <c r="FJ3505" s="18" t="inlineStr">
        <is>
          <t>Lck6122evg</t>
        </is>
      </c>
      <c r="FK3505" s="18" t="n">
        <v>2026</v>
      </c>
      <c r="FL3505" s="18" t="inlineStr">
        <is>
          <t>B</t>
        </is>
      </c>
      <c r="FM3505" s="18" t="inlineStr">
        <is>
          <t>Ducaud</t>
        </is>
      </c>
      <c r="FP3505" t="inlineStr">
        <is>
          <t>B</t>
        </is>
      </c>
    </row>
    <row r="3506">
      <c r="FC3506" t="inlineStr">
        <is>
          <t>Diccionario 4</t>
        </is>
      </c>
      <c r="FD3506" s="15" t="inlineStr">
        <is>
          <t>VLCD-65|</t>
        </is>
      </c>
      <c r="FE3506" s="17" t="inlineStr">
        <is>
          <t>LDYECS318S0044155</t>
        </is>
      </c>
      <c r="FF3506" s="18" t="inlineStr">
        <is>
          <t>MDN35025020268</t>
        </is>
      </c>
      <c r="FG3506" s="18" t="inlineStr">
        <is>
          <t>Zhong Thong</t>
        </is>
      </c>
      <c r="FH3506" s="18" t="inlineStr">
        <is>
          <t>Lck6122evg</t>
        </is>
      </c>
      <c r="FI3506" s="18" t="inlineStr">
        <is>
          <t>Zhong Thong</t>
        </is>
      </c>
      <c r="FJ3506" s="18" t="inlineStr">
        <is>
          <t>Lck6122evg</t>
        </is>
      </c>
      <c r="FK3506" s="18" t="n">
        <v>2026</v>
      </c>
      <c r="FL3506" s="18" t="inlineStr">
        <is>
          <t>B</t>
        </is>
      </c>
      <c r="FM3506" s="18" t="inlineStr">
        <is>
          <t>Ducaud</t>
        </is>
      </c>
      <c r="FP3506" t="inlineStr">
        <is>
          <t>B</t>
        </is>
      </c>
    </row>
    <row r="3507">
      <c r="FC3507" t="inlineStr">
        <is>
          <t>Diccionario 4</t>
        </is>
      </c>
      <c r="FD3507" s="15" t="inlineStr">
        <is>
          <t>VLCF-18|</t>
        </is>
      </c>
      <c r="FE3507" s="17" t="inlineStr">
        <is>
          <t>LDYECS315S0045781</t>
        </is>
      </c>
      <c r="FF3507" s="18" t="inlineStr">
        <is>
          <t>MDN35025030229</t>
        </is>
      </c>
      <c r="FG3507" s="18" t="inlineStr">
        <is>
          <t>Zhong Thong</t>
        </is>
      </c>
      <c r="FH3507" s="18" t="inlineStr">
        <is>
          <t>Lck6122evg</t>
        </is>
      </c>
      <c r="FI3507" s="18" t="inlineStr">
        <is>
          <t>Zhong Thong</t>
        </is>
      </c>
      <c r="FJ3507" s="18" t="inlineStr">
        <is>
          <t>Lck6122evg</t>
        </is>
      </c>
      <c r="FK3507" s="18" t="n">
        <v>2026</v>
      </c>
      <c r="FL3507" s="18" t="inlineStr">
        <is>
          <t>B</t>
        </is>
      </c>
      <c r="FM3507" s="18" t="inlineStr">
        <is>
          <t>Ducaud</t>
        </is>
      </c>
      <c r="FP3507" t="inlineStr">
        <is>
          <t>B</t>
        </is>
      </c>
    </row>
    <row r="3508">
      <c r="FC3508" t="inlineStr">
        <is>
          <t>Diccionario 4</t>
        </is>
      </c>
      <c r="FD3508" s="15" t="inlineStr">
        <is>
          <t>VLCF-76|</t>
        </is>
      </c>
      <c r="FE3508" s="17" t="inlineStr">
        <is>
          <t>LDYECS317S0045765</t>
        </is>
      </c>
      <c r="FF3508" s="18" t="inlineStr">
        <is>
          <t>MDN35025030272</t>
        </is>
      </c>
      <c r="FG3508" s="18" t="inlineStr">
        <is>
          <t>Zhong Thong</t>
        </is>
      </c>
      <c r="FH3508" s="18" t="inlineStr">
        <is>
          <t>Lck6122evg</t>
        </is>
      </c>
      <c r="FI3508" s="18" t="inlineStr">
        <is>
          <t>Zhong Thong</t>
        </is>
      </c>
      <c r="FJ3508" s="18" t="inlineStr">
        <is>
          <t>Lck6122evg</t>
        </is>
      </c>
      <c r="FK3508" s="18" t="n">
        <v>2026</v>
      </c>
      <c r="FL3508" s="18" t="inlineStr">
        <is>
          <t>B</t>
        </is>
      </c>
      <c r="FM3508" s="18" t="inlineStr">
        <is>
          <t>Ducaud</t>
        </is>
      </c>
      <c r="FP3508" t="inlineStr">
        <is>
          <t>B</t>
        </is>
      </c>
    </row>
    <row r="3509">
      <c r="FC3509" t="inlineStr">
        <is>
          <t>Diccionario 4</t>
        </is>
      </c>
      <c r="FD3509" s="15" t="inlineStr">
        <is>
          <t>VLCG-67|</t>
        </is>
      </c>
      <c r="FE3509" s="17" t="inlineStr">
        <is>
          <t>LDYECS319S0045752</t>
        </is>
      </c>
      <c r="FF3509" s="18" t="inlineStr">
        <is>
          <t>MDN35025030131</t>
        </is>
      </c>
      <c r="FG3509" s="18" t="inlineStr">
        <is>
          <t>Zhong Thong</t>
        </is>
      </c>
      <c r="FH3509" s="18" t="inlineStr">
        <is>
          <t>Lck6122evg</t>
        </is>
      </c>
      <c r="FI3509" s="18" t="inlineStr">
        <is>
          <t>Zhong Thong</t>
        </is>
      </c>
      <c r="FJ3509" s="18" t="inlineStr">
        <is>
          <t>Lck6122evg</t>
        </is>
      </c>
      <c r="FK3509" s="18" t="n">
        <v>2026</v>
      </c>
      <c r="FL3509" s="18" t="inlineStr">
        <is>
          <t>B</t>
        </is>
      </c>
      <c r="FM3509" s="18" t="inlineStr">
        <is>
          <t>Ducaud</t>
        </is>
      </c>
      <c r="FP3509" t="inlineStr">
        <is>
          <t>B</t>
        </is>
      </c>
    </row>
    <row r="3510">
      <c r="FC3510" t="inlineStr">
        <is>
          <t>Diccionario 4</t>
        </is>
      </c>
      <c r="FD3510" s="15" t="inlineStr">
        <is>
          <t>VLCK-37|</t>
        </is>
      </c>
      <c r="FE3510" s="17" t="inlineStr">
        <is>
          <t>LDYECS313S0045861</t>
        </is>
      </c>
      <c r="FF3510" s="18" t="inlineStr">
        <is>
          <t>MDN35025030174</t>
        </is>
      </c>
      <c r="FG3510" s="18" t="inlineStr">
        <is>
          <t>Zhong Thong</t>
        </is>
      </c>
      <c r="FH3510" s="18" t="inlineStr">
        <is>
          <t>Lck6122evg</t>
        </is>
      </c>
      <c r="FI3510" s="18" t="inlineStr">
        <is>
          <t>Zhong Thong</t>
        </is>
      </c>
      <c r="FJ3510" s="18" t="inlineStr">
        <is>
          <t>Lck6122evg</t>
        </is>
      </c>
      <c r="FK3510" s="18" t="n">
        <v>2026</v>
      </c>
      <c r="FL3510" s="18" t="inlineStr">
        <is>
          <t>B</t>
        </is>
      </c>
      <c r="FM3510" s="18" t="inlineStr">
        <is>
          <t>Ducaud</t>
        </is>
      </c>
      <c r="FP3510" t="inlineStr">
        <is>
          <t>B</t>
        </is>
      </c>
    </row>
    <row r="3511">
      <c r="FC3511" t="inlineStr">
        <is>
          <t>Diccionario 4</t>
        </is>
      </c>
      <c r="FD3511" s="15" t="inlineStr">
        <is>
          <t>VLCK-77|</t>
        </is>
      </c>
      <c r="FE3511" s="17" t="inlineStr">
        <is>
          <t>LDYECS316S0045773</t>
        </is>
      </c>
      <c r="FF3511" s="18" t="inlineStr">
        <is>
          <t>MDN35025030170</t>
        </is>
      </c>
      <c r="FG3511" s="18" t="inlineStr">
        <is>
          <t>Zhong Thong</t>
        </is>
      </c>
      <c r="FH3511" s="18" t="inlineStr">
        <is>
          <t>Lck6122evg</t>
        </is>
      </c>
      <c r="FI3511" s="18" t="inlineStr">
        <is>
          <t>Zhong Thong</t>
        </is>
      </c>
      <c r="FJ3511" s="18" t="inlineStr">
        <is>
          <t>Lck6122evg</t>
        </is>
      </c>
      <c r="FK3511" s="18" t="n">
        <v>2026</v>
      </c>
      <c r="FL3511" s="18" t="inlineStr">
        <is>
          <t>B</t>
        </is>
      </c>
      <c r="FM3511" s="18" t="inlineStr">
        <is>
          <t>Ducaud</t>
        </is>
      </c>
      <c r="FP3511" t="inlineStr">
        <is>
          <t>B</t>
        </is>
      </c>
    </row>
    <row r="3512">
      <c r="FC3512" t="inlineStr">
        <is>
          <t>Diccionario 4</t>
        </is>
      </c>
      <c r="FD3512" s="15" t="inlineStr">
        <is>
          <t>VLFG-56|</t>
        </is>
      </c>
      <c r="FE3512" s="17" t="inlineStr">
        <is>
          <t>LDYECS312S0045771</t>
        </is>
      </c>
      <c r="FF3512" s="18" t="inlineStr">
        <is>
          <t>MDN35025030182</t>
        </is>
      </c>
      <c r="FG3512" s="18" t="inlineStr">
        <is>
          <t>Zhong Thong</t>
        </is>
      </c>
      <c r="FH3512" s="18" t="inlineStr">
        <is>
          <t>Lck6122evg</t>
        </is>
      </c>
      <c r="FI3512" s="18" t="inlineStr">
        <is>
          <t>Zhong Thong</t>
        </is>
      </c>
      <c r="FJ3512" s="18" t="inlineStr">
        <is>
          <t>Lck6122evg</t>
        </is>
      </c>
      <c r="FK3512" s="18" t="n">
        <v>2026</v>
      </c>
      <c r="FL3512" s="18" t="inlineStr">
        <is>
          <t>B</t>
        </is>
      </c>
      <c r="FM3512" s="18" t="inlineStr">
        <is>
          <t>Ducaud</t>
        </is>
      </c>
      <c r="FP3512" t="inlineStr">
        <is>
          <t>B</t>
        </is>
      </c>
    </row>
    <row r="3513">
      <c r="FC3513" t="inlineStr">
        <is>
          <t>Diccionario 4</t>
        </is>
      </c>
      <c r="FD3513" s="15" t="inlineStr">
        <is>
          <t>VLFG-69|</t>
        </is>
      </c>
      <c r="FE3513" s="17" t="inlineStr">
        <is>
          <t>LDYECS314S0045870</t>
        </is>
      </c>
      <c r="FF3513" s="18" t="inlineStr">
        <is>
          <t>MDN35025030202</t>
        </is>
      </c>
      <c r="FG3513" s="18" t="inlineStr">
        <is>
          <t>Zhong Thong</t>
        </is>
      </c>
      <c r="FH3513" s="18" t="inlineStr">
        <is>
          <t>Lck6122evg</t>
        </is>
      </c>
      <c r="FI3513" s="18" t="inlineStr">
        <is>
          <t>Zhong Thong</t>
        </is>
      </c>
      <c r="FJ3513" s="18" t="inlineStr">
        <is>
          <t>Lck6122evg</t>
        </is>
      </c>
      <c r="FK3513" s="18" t="n">
        <v>2026</v>
      </c>
      <c r="FL3513" s="18" t="inlineStr">
        <is>
          <t>B</t>
        </is>
      </c>
      <c r="FM3513" s="18" t="inlineStr">
        <is>
          <t>Ducaud</t>
        </is>
      </c>
      <c r="FP3513" t="inlineStr">
        <is>
          <t>B</t>
        </is>
      </c>
    </row>
    <row r="3514">
      <c r="FC3514" t="inlineStr">
        <is>
          <t>Diccionario 4</t>
        </is>
      </c>
      <c r="FD3514" s="15" t="inlineStr">
        <is>
          <t>VLFG-78|</t>
        </is>
      </c>
      <c r="FE3514" s="17" t="inlineStr">
        <is>
          <t>LDYECS312S0045866</t>
        </is>
      </c>
      <c r="FF3514" s="18" t="inlineStr">
        <is>
          <t>MDN35025030296</t>
        </is>
      </c>
      <c r="FG3514" s="18" t="inlineStr">
        <is>
          <t>Zhong Thong</t>
        </is>
      </c>
      <c r="FH3514" s="18" t="inlineStr">
        <is>
          <t>Lck6122evg</t>
        </is>
      </c>
      <c r="FI3514" s="18" t="inlineStr">
        <is>
          <t>Zhong Thong</t>
        </is>
      </c>
      <c r="FJ3514" s="18" t="inlineStr">
        <is>
          <t>Lck6122evg</t>
        </is>
      </c>
      <c r="FK3514" s="18" t="n">
        <v>2026</v>
      </c>
      <c r="FL3514" s="18" t="inlineStr">
        <is>
          <t>B</t>
        </is>
      </c>
      <c r="FM3514" s="18" t="inlineStr">
        <is>
          <t>Ducaud</t>
        </is>
      </c>
      <c r="FP3514" t="inlineStr">
        <is>
          <t>B</t>
        </is>
      </c>
    </row>
    <row r="3515">
      <c r="FC3515" t="inlineStr">
        <is>
          <t>Diccionario 4</t>
        </is>
      </c>
      <c r="FD3515" s="15" t="inlineStr">
        <is>
          <t>VLFG-89|</t>
        </is>
      </c>
      <c r="FE3515" s="17" t="inlineStr">
        <is>
          <t>LDYECS314S0045867</t>
        </is>
      </c>
      <c r="FF3515" s="18" t="inlineStr">
        <is>
          <t>MDN35025030263</t>
        </is>
      </c>
      <c r="FG3515" s="18" t="inlineStr">
        <is>
          <t>Zhong Thong</t>
        </is>
      </c>
      <c r="FH3515" s="18" t="inlineStr">
        <is>
          <t>Lck6122evg</t>
        </is>
      </c>
      <c r="FI3515" s="18" t="inlineStr">
        <is>
          <t>Zhong Thong</t>
        </is>
      </c>
      <c r="FJ3515" s="18" t="inlineStr">
        <is>
          <t>Lck6122evg</t>
        </is>
      </c>
      <c r="FK3515" s="18" t="n">
        <v>2026</v>
      </c>
      <c r="FL3515" s="18" t="inlineStr">
        <is>
          <t>B</t>
        </is>
      </c>
      <c r="FM3515" s="18" t="inlineStr">
        <is>
          <t>Ducaud</t>
        </is>
      </c>
      <c r="FP3515" t="inlineStr">
        <is>
          <t>B</t>
        </is>
      </c>
    </row>
    <row r="3516">
      <c r="FC3516" t="inlineStr">
        <is>
          <t>Diccionario 4</t>
        </is>
      </c>
      <c r="FD3516" s="15" t="inlineStr">
        <is>
          <t>VLFH-16|</t>
        </is>
      </c>
      <c r="FE3516" s="17" t="inlineStr">
        <is>
          <t>LDYECS318S0045872</t>
        </is>
      </c>
      <c r="FF3516" s="18" t="inlineStr">
        <is>
          <t>MDN35025030208</t>
        </is>
      </c>
      <c r="FG3516" s="18" t="inlineStr">
        <is>
          <t>Zhong Thong</t>
        </is>
      </c>
      <c r="FH3516" s="18" t="inlineStr">
        <is>
          <t>Lck6122evg</t>
        </is>
      </c>
      <c r="FI3516" s="18" t="inlineStr">
        <is>
          <t>Zhong Thong</t>
        </is>
      </c>
      <c r="FJ3516" s="18" t="inlineStr">
        <is>
          <t>Lck6122evg</t>
        </is>
      </c>
      <c r="FK3516" s="18" t="n">
        <v>2026</v>
      </c>
      <c r="FL3516" s="18" t="inlineStr">
        <is>
          <t>B</t>
        </is>
      </c>
      <c r="FM3516" s="18" t="inlineStr">
        <is>
          <t>Ducaud</t>
        </is>
      </c>
      <c r="FP3516" t="inlineStr">
        <is>
          <t>B</t>
        </is>
      </c>
    </row>
    <row r="3517">
      <c r="FC3517" t="inlineStr">
        <is>
          <t>Diccionario 4</t>
        </is>
      </c>
      <c r="FD3517" s="15" t="inlineStr">
        <is>
          <t>VLFH-46|</t>
        </is>
      </c>
      <c r="FE3517" s="17" t="inlineStr">
        <is>
          <t>LDYECS310S0045770</t>
        </is>
      </c>
      <c r="FF3517" s="18" t="inlineStr">
        <is>
          <t>MDN35025030277</t>
        </is>
      </c>
      <c r="FG3517" s="18" t="inlineStr">
        <is>
          <t>Zhong Thong</t>
        </is>
      </c>
      <c r="FH3517" s="18" t="inlineStr">
        <is>
          <t>Lck6122evg</t>
        </is>
      </c>
      <c r="FI3517" s="18" t="inlineStr">
        <is>
          <t>Zhong Thong</t>
        </is>
      </c>
      <c r="FJ3517" s="18" t="inlineStr">
        <is>
          <t>Lck6122evg</t>
        </is>
      </c>
      <c r="FK3517" s="18" t="n">
        <v>2026</v>
      </c>
      <c r="FL3517" s="18" t="inlineStr">
        <is>
          <t>B</t>
        </is>
      </c>
      <c r="FM3517" s="18" t="inlineStr">
        <is>
          <t>Ducaud</t>
        </is>
      </c>
      <c r="FP3517" t="inlineStr">
        <is>
          <t>B</t>
        </is>
      </c>
    </row>
    <row r="3518">
      <c r="FC3518" t="inlineStr">
        <is>
          <t>Diccionario 4</t>
        </is>
      </c>
      <c r="FD3518" s="15" t="inlineStr">
        <is>
          <t>VLFH-48|</t>
        </is>
      </c>
      <c r="FE3518" s="17" t="inlineStr">
        <is>
          <t>LDYECS31XS0045713</t>
        </is>
      </c>
      <c r="FF3518" s="18" t="inlineStr">
        <is>
          <t>MDN35025030118</t>
        </is>
      </c>
      <c r="FG3518" s="18" t="inlineStr">
        <is>
          <t>Zhong Thong</t>
        </is>
      </c>
      <c r="FH3518" s="18" t="inlineStr">
        <is>
          <t>Lck6122evg</t>
        </is>
      </c>
      <c r="FI3518" s="18" t="inlineStr">
        <is>
          <t>Zhong Thong</t>
        </is>
      </c>
      <c r="FJ3518" s="18" t="inlineStr">
        <is>
          <t>Lck6122evg</t>
        </is>
      </c>
      <c r="FK3518" s="18" t="n">
        <v>2026</v>
      </c>
      <c r="FL3518" s="18" t="inlineStr">
        <is>
          <t>B</t>
        </is>
      </c>
      <c r="FM3518" s="18" t="inlineStr">
        <is>
          <t>Las Acacias</t>
        </is>
      </c>
      <c r="FP3518" t="inlineStr">
        <is>
          <t>B</t>
        </is>
      </c>
    </row>
    <row r="3519">
      <c r="FC3519" t="inlineStr">
        <is>
          <t>Diccionario 4</t>
        </is>
      </c>
      <c r="FD3519" s="15" t="inlineStr">
        <is>
          <t>VLFH-56|</t>
        </is>
      </c>
      <c r="FE3519" s="17" t="inlineStr">
        <is>
          <t>LDYECS31XS0045808</t>
        </is>
      </c>
      <c r="FF3519" s="18" t="inlineStr">
        <is>
          <t>MDN35025030192</t>
        </is>
      </c>
      <c r="FG3519" s="18" t="inlineStr">
        <is>
          <t>Zhong Thong</t>
        </is>
      </c>
      <c r="FH3519" s="18" t="inlineStr">
        <is>
          <t>Lck6122evg</t>
        </is>
      </c>
      <c r="FI3519" s="18" t="inlineStr">
        <is>
          <t>Zhong Thong</t>
        </is>
      </c>
      <c r="FJ3519" s="18" t="inlineStr">
        <is>
          <t>Lck6122evg</t>
        </is>
      </c>
      <c r="FK3519" s="18" t="n">
        <v>2026</v>
      </c>
      <c r="FL3519" s="18" t="inlineStr">
        <is>
          <t>B</t>
        </is>
      </c>
      <c r="FM3519" s="18" t="inlineStr">
        <is>
          <t>Las Acacias</t>
        </is>
      </c>
      <c r="FP3519" t="inlineStr">
        <is>
          <t>B</t>
        </is>
      </c>
    </row>
    <row r="3520">
      <c r="FC3520" t="inlineStr">
        <is>
          <t>Diccionario 4</t>
        </is>
      </c>
      <c r="FD3520" s="15" t="inlineStr">
        <is>
          <t>VLFH-63|</t>
        </is>
      </c>
      <c r="FE3520" s="17" t="inlineStr">
        <is>
          <t>8LDYECS314S004578</t>
        </is>
      </c>
      <c r="FF3520" s="18" t="inlineStr">
        <is>
          <t>MDN35025030194</t>
        </is>
      </c>
      <c r="FG3520" s="18" t="inlineStr">
        <is>
          <t>Zhong Thong</t>
        </is>
      </c>
      <c r="FH3520" s="18" t="inlineStr">
        <is>
          <t>Lck6122evg</t>
        </is>
      </c>
      <c r="FI3520" s="18" t="inlineStr">
        <is>
          <t>Zhong Thong</t>
        </is>
      </c>
      <c r="FJ3520" s="18" t="inlineStr">
        <is>
          <t>Lck6122evg</t>
        </is>
      </c>
      <c r="FK3520" s="18" t="n">
        <v>2026</v>
      </c>
      <c r="FL3520" s="18" t="inlineStr">
        <is>
          <t>B</t>
        </is>
      </c>
      <c r="FM3520" s="18" t="inlineStr">
        <is>
          <t>Las Acacias</t>
        </is>
      </c>
      <c r="FP3520" t="inlineStr">
        <is>
          <t>B</t>
        </is>
      </c>
    </row>
    <row r="3521">
      <c r="FC3521" t="inlineStr">
        <is>
          <t>Diccionario 4</t>
        </is>
      </c>
      <c r="FD3521" s="15" t="inlineStr">
        <is>
          <t>VLFJ-57|</t>
        </is>
      </c>
      <c r="FE3521" s="17" t="inlineStr">
        <is>
          <t>LDYECS310S0045705</t>
        </is>
      </c>
      <c r="FF3521" s="18" t="inlineStr">
        <is>
          <t>MDN35025030236</t>
        </is>
      </c>
      <c r="FG3521" s="18" t="inlineStr">
        <is>
          <t>Zhong Thong</t>
        </is>
      </c>
      <c r="FH3521" s="18" t="inlineStr">
        <is>
          <t>Lck6122evg</t>
        </is>
      </c>
      <c r="FI3521" s="18" t="inlineStr">
        <is>
          <t>Zhong Thong</t>
        </is>
      </c>
      <c r="FJ3521" s="18" t="inlineStr">
        <is>
          <t>Lck6122evg</t>
        </is>
      </c>
      <c r="FK3521" s="18" t="n">
        <v>2026</v>
      </c>
      <c r="FL3521" s="18" t="inlineStr">
        <is>
          <t>B</t>
        </is>
      </c>
      <c r="FM3521" s="18" t="inlineStr">
        <is>
          <t>Las Acacias</t>
        </is>
      </c>
      <c r="FP3521" t="inlineStr">
        <is>
          <t>B</t>
        </is>
      </c>
    </row>
    <row r="3522">
      <c r="FC3522" t="inlineStr">
        <is>
          <t>Diccionario 4</t>
        </is>
      </c>
      <c r="FD3522" s="15" t="inlineStr">
        <is>
          <t>VLFJ-62|</t>
        </is>
      </c>
      <c r="FE3522" s="17" t="inlineStr">
        <is>
          <t>LDYECS318S0045774</t>
        </is>
      </c>
      <c r="FF3522" s="18" t="inlineStr">
        <is>
          <t>MDN35025030173</t>
        </is>
      </c>
      <c r="FG3522" s="18" t="inlineStr">
        <is>
          <t>Zhong Thong</t>
        </is>
      </c>
      <c r="FH3522" s="18" t="inlineStr">
        <is>
          <t>Lck6122evg</t>
        </is>
      </c>
      <c r="FI3522" s="18" t="inlineStr">
        <is>
          <t>Zhong Thong</t>
        </is>
      </c>
      <c r="FJ3522" s="18" t="inlineStr">
        <is>
          <t>Lck6122evg</t>
        </is>
      </c>
      <c r="FK3522" s="18" t="n">
        <v>2026</v>
      </c>
      <c r="FL3522" s="18" t="inlineStr">
        <is>
          <t>B</t>
        </is>
      </c>
      <c r="FM3522" s="18" t="inlineStr">
        <is>
          <t>Las Acacias</t>
        </is>
      </c>
      <c r="FP3522" t="inlineStr">
        <is>
          <t>B</t>
        </is>
      </c>
    </row>
    <row r="3523">
      <c r="FC3523" t="inlineStr">
        <is>
          <t>Diccionario 4</t>
        </is>
      </c>
      <c r="FD3523" s="15" t="inlineStr">
        <is>
          <t>VLFJ-65|</t>
        </is>
      </c>
      <c r="FE3523" s="17" t="inlineStr">
        <is>
          <t>LDYECS310S0045784</t>
        </is>
      </c>
      <c r="FF3523" s="18" t="inlineStr">
        <is>
          <t>MDN35025030197</t>
        </is>
      </c>
      <c r="FG3523" s="18" t="inlineStr">
        <is>
          <t>Zhong Thong</t>
        </is>
      </c>
      <c r="FH3523" s="18" t="inlineStr">
        <is>
          <t>Lck6122evg</t>
        </is>
      </c>
      <c r="FI3523" s="18" t="inlineStr">
        <is>
          <t>Zhong Thong</t>
        </is>
      </c>
      <c r="FJ3523" s="18" t="inlineStr">
        <is>
          <t>Lck6122evg</t>
        </is>
      </c>
      <c r="FK3523" s="18" t="n">
        <v>2026</v>
      </c>
      <c r="FL3523" s="18" t="inlineStr">
        <is>
          <t>B</t>
        </is>
      </c>
      <c r="FM3523" s="18" t="inlineStr">
        <is>
          <t>Las Acacias</t>
        </is>
      </c>
      <c r="FP3523" t="inlineStr">
        <is>
          <t>B</t>
        </is>
      </c>
    </row>
    <row r="3524">
      <c r="FC3524" t="inlineStr">
        <is>
          <t>Diccionario 4</t>
        </is>
      </c>
      <c r="FD3524" s="15" t="inlineStr">
        <is>
          <t>VLFJ-82|</t>
        </is>
      </c>
      <c r="FE3524" s="17" t="inlineStr">
        <is>
          <t>LDYECS311S0045700</t>
        </is>
      </c>
      <c r="FF3524" s="18" t="inlineStr">
        <is>
          <t>MDN35025030297</t>
        </is>
      </c>
      <c r="FG3524" s="18" t="inlineStr">
        <is>
          <t>Zhong Thong</t>
        </is>
      </c>
      <c r="FH3524" s="18" t="inlineStr">
        <is>
          <t>Lck6122evg</t>
        </is>
      </c>
      <c r="FI3524" s="18" t="inlineStr">
        <is>
          <t>Zhong Thong</t>
        </is>
      </c>
      <c r="FJ3524" s="18" t="inlineStr">
        <is>
          <t>Lck6122evg</t>
        </is>
      </c>
      <c r="FK3524" s="18" t="n">
        <v>2026</v>
      </c>
      <c r="FL3524" s="18" t="inlineStr">
        <is>
          <t>B</t>
        </is>
      </c>
      <c r="FM3524" s="18" t="inlineStr">
        <is>
          <t>Las Acacias</t>
        </is>
      </c>
      <c r="FP3524" t="inlineStr">
        <is>
          <t>B</t>
        </is>
      </c>
    </row>
    <row r="3525">
      <c r="FC3525" t="inlineStr">
        <is>
          <t>Diccionario 4</t>
        </is>
      </c>
      <c r="FD3525" s="15" t="inlineStr">
        <is>
          <t>VLFJ-85|</t>
        </is>
      </c>
      <c r="FE3525" s="17" t="inlineStr">
        <is>
          <t>LDYECS316S0045871</t>
        </is>
      </c>
      <c r="FF3525" s="18" t="inlineStr">
        <is>
          <t>MDN35025030288</t>
        </is>
      </c>
      <c r="FG3525" s="18" t="inlineStr">
        <is>
          <t>Zhong Thong</t>
        </is>
      </c>
      <c r="FH3525" s="18" t="inlineStr">
        <is>
          <t>Lck6122evg</t>
        </is>
      </c>
      <c r="FI3525" s="18" t="inlineStr">
        <is>
          <t>Zhong Thong</t>
        </is>
      </c>
      <c r="FJ3525" s="18" t="inlineStr">
        <is>
          <t>Lck6122evg</t>
        </is>
      </c>
      <c r="FK3525" s="18" t="n">
        <v>2026</v>
      </c>
      <c r="FL3525" s="18" t="inlineStr">
        <is>
          <t>B</t>
        </is>
      </c>
      <c r="FM3525" s="18" t="inlineStr">
        <is>
          <t>Las Acacias</t>
        </is>
      </c>
      <c r="FP3525" t="inlineStr">
        <is>
          <t>B</t>
        </is>
      </c>
    </row>
    <row r="3526">
      <c r="FC3526" t="inlineStr">
        <is>
          <t>Diccionario 4</t>
        </is>
      </c>
      <c r="FD3526" s="15" t="inlineStr">
        <is>
          <t>VLLY-27|</t>
        </is>
      </c>
      <c r="FE3526" s="17" t="inlineStr">
        <is>
          <t>LDYECS312S0045768</t>
        </is>
      </c>
      <c r="FF3526" s="18" t="inlineStr">
        <is>
          <t>MDN35025030284</t>
        </is>
      </c>
      <c r="FG3526" s="18" t="inlineStr">
        <is>
          <t>Zhong Thong</t>
        </is>
      </c>
      <c r="FH3526" s="18" t="inlineStr">
        <is>
          <t>Lck6122evg</t>
        </is>
      </c>
      <c r="FI3526" s="18" t="inlineStr">
        <is>
          <t>Zhong Thong</t>
        </is>
      </c>
      <c r="FJ3526" s="18" t="inlineStr">
        <is>
          <t>Lck6122evg</t>
        </is>
      </c>
      <c r="FK3526" s="18" t="n">
        <v>2026</v>
      </c>
      <c r="FL3526" s="18" t="inlineStr">
        <is>
          <t>B</t>
        </is>
      </c>
      <c r="FM3526" s="18" t="inlineStr">
        <is>
          <t>Las Acacias</t>
        </is>
      </c>
      <c r="FP3526" t="inlineStr">
        <is>
          <t>B</t>
        </is>
      </c>
    </row>
    <row r="3527">
      <c r="FC3527" t="inlineStr">
        <is>
          <t>Diccionario 4</t>
        </is>
      </c>
      <c r="FD3527" s="15" t="inlineStr">
        <is>
          <t>VLPD-24|</t>
        </is>
      </c>
      <c r="FE3527" s="17" t="inlineStr">
        <is>
          <t>LDYECS311S0045874</t>
        </is>
      </c>
      <c r="FF3527" s="18" t="inlineStr">
        <is>
          <t>MDN35025030278</t>
        </is>
      </c>
      <c r="FG3527" s="18" t="inlineStr">
        <is>
          <t>Zhong Thong</t>
        </is>
      </c>
      <c r="FH3527" s="18" t="inlineStr">
        <is>
          <t>Lck6122evg</t>
        </is>
      </c>
      <c r="FI3527" s="18" t="inlineStr">
        <is>
          <t>Zhong Thong</t>
        </is>
      </c>
      <c r="FJ3527" s="18" t="inlineStr">
        <is>
          <t>Lck6122evg</t>
        </is>
      </c>
      <c r="FK3527" s="18" t="n">
        <v>2026</v>
      </c>
      <c r="FL3527" s="18" t="inlineStr">
        <is>
          <t>B</t>
        </is>
      </c>
      <c r="FM3527" s="18" t="inlineStr">
        <is>
          <t>Las Acacias</t>
        </is>
      </c>
      <c r="FP3527" t="inlineStr">
        <is>
          <t>B</t>
        </is>
      </c>
    </row>
    <row r="3528">
      <c r="FC3528" t="inlineStr">
        <is>
          <t>Diccionario 4</t>
        </is>
      </c>
      <c r="FD3528" s="15" t="inlineStr">
        <is>
          <t>VLRS-46|</t>
        </is>
      </c>
      <c r="FE3528" s="17" t="inlineStr">
        <is>
          <t>LDYECS311S0045759</t>
        </is>
      </c>
      <c r="FF3528" s="18" t="inlineStr">
        <is>
          <t>MDN35025030145</t>
        </is>
      </c>
      <c r="FG3528" s="18" t="inlineStr">
        <is>
          <t>Zhong Thong</t>
        </is>
      </c>
      <c r="FH3528" s="18" t="inlineStr">
        <is>
          <t>Lck6122evg</t>
        </is>
      </c>
      <c r="FI3528" s="18" t="inlineStr">
        <is>
          <t>Zhong Thong</t>
        </is>
      </c>
      <c r="FJ3528" s="18" t="inlineStr">
        <is>
          <t>Lck6122evg</t>
        </is>
      </c>
      <c r="FK3528" s="18" t="n">
        <v>2026</v>
      </c>
      <c r="FL3528" s="18" t="inlineStr">
        <is>
          <t>B</t>
        </is>
      </c>
      <c r="FM3528" s="18" t="inlineStr">
        <is>
          <t>Las Acacias</t>
        </is>
      </c>
      <c r="FP3528" t="inlineStr">
        <is>
          <t>B</t>
        </is>
      </c>
    </row>
    <row r="3529">
      <c r="FC3529" t="inlineStr">
        <is>
          <t>Diccionario 4</t>
        </is>
      </c>
      <c r="FD3529" s="15" t="inlineStr">
        <is>
          <t>VLSD-60|</t>
        </is>
      </c>
      <c r="FE3529" s="17" t="inlineStr">
        <is>
          <t>LDYECS839S0045647</t>
        </is>
      </c>
      <c r="FF3529" s="18" t="inlineStr">
        <is>
          <t>MJJ20025010022</t>
        </is>
      </c>
      <c r="FG3529" s="18" t="inlineStr">
        <is>
          <t>Zhong Thong</t>
        </is>
      </c>
      <c r="FH3529" s="18" t="inlineStr">
        <is>
          <t>Lck6850evg</t>
        </is>
      </c>
      <c r="FI3529" s="18" t="inlineStr">
        <is>
          <t>Zhong Thong</t>
        </is>
      </c>
      <c r="FJ3529" s="18" t="inlineStr">
        <is>
          <t>Lck6850evg</t>
        </is>
      </c>
      <c r="FK3529" s="18" t="n">
        <v>2026</v>
      </c>
      <c r="FL3529" s="18" t="inlineStr">
        <is>
          <t>A</t>
        </is>
      </c>
      <c r="FM3529" s="18" t="inlineStr">
        <is>
          <t>Las Acacias</t>
        </is>
      </c>
      <c r="FP3529" t="inlineStr">
        <is>
          <t>A</t>
        </is>
      </c>
    </row>
    <row r="3530">
      <c r="FC3530" t="inlineStr">
        <is>
          <t>Diccionario 4</t>
        </is>
      </c>
      <c r="FD3530" s="15" t="inlineStr">
        <is>
          <t>VLSD-66|</t>
        </is>
      </c>
      <c r="FE3530" s="17" t="inlineStr">
        <is>
          <t>LDYECS83XS0045642</t>
        </is>
      </c>
      <c r="FF3530" s="18" t="inlineStr">
        <is>
          <t>MJJ20025010017</t>
        </is>
      </c>
      <c r="FG3530" s="18" t="inlineStr">
        <is>
          <t>Zhong Thong</t>
        </is>
      </c>
      <c r="FH3530" s="18" t="inlineStr">
        <is>
          <t>Lck6850evg</t>
        </is>
      </c>
      <c r="FI3530" s="18" t="inlineStr">
        <is>
          <t>Zhong Thong</t>
        </is>
      </c>
      <c r="FJ3530" s="18" t="inlineStr">
        <is>
          <t>Lck6850evg</t>
        </is>
      </c>
      <c r="FK3530" s="18" t="n">
        <v>2026</v>
      </c>
      <c r="FL3530" s="18" t="inlineStr">
        <is>
          <t>A</t>
        </is>
      </c>
      <c r="FM3530" s="18" t="inlineStr">
        <is>
          <t>Las Acacias</t>
        </is>
      </c>
      <c r="FP3530" t="inlineStr">
        <is>
          <t>A</t>
        </is>
      </c>
    </row>
    <row r="3531">
      <c r="FC3531" t="inlineStr">
        <is>
          <t>Diccionario 4</t>
        </is>
      </c>
      <c r="FD3531" s="15" t="inlineStr">
        <is>
          <t>VLSD-67|</t>
        </is>
      </c>
      <c r="FE3531" s="17" t="inlineStr">
        <is>
          <t>LDYECS835S0045645</t>
        </is>
      </c>
      <c r="FF3531" s="18" t="inlineStr">
        <is>
          <t>MJJ20025010002</t>
        </is>
      </c>
      <c r="FG3531" s="18" t="inlineStr">
        <is>
          <t>Zhong Thong</t>
        </is>
      </c>
      <c r="FH3531" s="18" t="inlineStr">
        <is>
          <t>Lck6850evg</t>
        </is>
      </c>
      <c r="FI3531" s="18" t="inlineStr">
        <is>
          <t>Zhong Thong</t>
        </is>
      </c>
      <c r="FJ3531" s="18" t="inlineStr">
        <is>
          <t>Lck6850evg</t>
        </is>
      </c>
      <c r="FK3531" s="18" t="n">
        <v>2026</v>
      </c>
      <c r="FL3531" s="18" t="inlineStr">
        <is>
          <t>A</t>
        </is>
      </c>
      <c r="FM3531" s="18" t="inlineStr">
        <is>
          <t>Las Acacias</t>
        </is>
      </c>
      <c r="FP3531" t="inlineStr">
        <is>
          <t>A</t>
        </is>
      </c>
    </row>
    <row r="3532">
      <c r="FC3532" t="inlineStr">
        <is>
          <t>Diccionario 4</t>
        </is>
      </c>
      <c r="FD3532" s="15" t="inlineStr">
        <is>
          <t>VLSD-68|</t>
        </is>
      </c>
      <c r="FE3532" s="17" t="inlineStr">
        <is>
          <t>LDYECS838S0045638</t>
        </is>
      </c>
      <c r="FF3532" s="18" t="inlineStr">
        <is>
          <t>MJJ20025010018</t>
        </is>
      </c>
      <c r="FG3532" s="18" t="inlineStr">
        <is>
          <t>Zhong Thong</t>
        </is>
      </c>
      <c r="FH3532" s="18" t="inlineStr">
        <is>
          <t>Lck6850evg</t>
        </is>
      </c>
      <c r="FI3532" s="18" t="inlineStr">
        <is>
          <t>Zhong Thong</t>
        </is>
      </c>
      <c r="FJ3532" s="18" t="inlineStr">
        <is>
          <t>Lck6850evg</t>
        </is>
      </c>
      <c r="FK3532" s="18" t="n">
        <v>2026</v>
      </c>
      <c r="FL3532" s="18" t="inlineStr">
        <is>
          <t>A</t>
        </is>
      </c>
      <c r="FM3532" s="18" t="inlineStr">
        <is>
          <t>Las Acacias</t>
        </is>
      </c>
      <c r="FP3532" t="inlineStr">
        <is>
          <t>A</t>
        </is>
      </c>
    </row>
    <row r="3533">
      <c r="FC3533" t="inlineStr">
        <is>
          <t>Diccionario 4</t>
        </is>
      </c>
      <c r="FD3533" s="15" t="inlineStr">
        <is>
          <t>VLSD-70|</t>
        </is>
      </c>
      <c r="FE3533" s="17" t="inlineStr">
        <is>
          <t>LDYECS838S0045641</t>
        </is>
      </c>
      <c r="FF3533" s="18" t="inlineStr">
        <is>
          <t>MJJ20025010006</t>
        </is>
      </c>
      <c r="FG3533" s="18" t="inlineStr">
        <is>
          <t>Zhong Thong</t>
        </is>
      </c>
      <c r="FH3533" s="18" t="inlineStr">
        <is>
          <t>Lck6850evg</t>
        </is>
      </c>
      <c r="FI3533" s="18" t="inlineStr">
        <is>
          <t>Zhong Thong</t>
        </is>
      </c>
      <c r="FJ3533" s="18" t="inlineStr">
        <is>
          <t>Lck6850evg</t>
        </is>
      </c>
      <c r="FK3533" s="18" t="n">
        <v>2026</v>
      </c>
      <c r="FL3533" s="18" t="inlineStr">
        <is>
          <t>A</t>
        </is>
      </c>
      <c r="FM3533" s="18" t="inlineStr">
        <is>
          <t>Las Acacias</t>
        </is>
      </c>
      <c r="FP3533" t="inlineStr">
        <is>
          <t>A</t>
        </is>
      </c>
    </row>
    <row r="3534">
      <c r="FC3534" t="inlineStr">
        <is>
          <t>Diccionario 4</t>
        </is>
      </c>
      <c r="FD3534" s="15" t="inlineStr">
        <is>
          <t>VLSD-77|</t>
        </is>
      </c>
      <c r="FE3534" s="17" t="inlineStr">
        <is>
          <t>LDYECS831S0045643</t>
        </is>
      </c>
      <c r="FF3534" s="18" t="inlineStr">
        <is>
          <t>MJJ20025010055</t>
        </is>
      </c>
      <c r="FG3534" s="18" t="inlineStr">
        <is>
          <t>Zhong Thong</t>
        </is>
      </c>
      <c r="FH3534" s="18" t="inlineStr">
        <is>
          <t>Lck6850evg</t>
        </is>
      </c>
      <c r="FI3534" s="18" t="inlineStr">
        <is>
          <t>Zhong Thong</t>
        </is>
      </c>
      <c r="FJ3534" s="18" t="inlineStr">
        <is>
          <t>Lck6850evg</t>
        </is>
      </c>
      <c r="FK3534" s="18" t="n">
        <v>2026</v>
      </c>
      <c r="FL3534" s="18" t="inlineStr">
        <is>
          <t>A</t>
        </is>
      </c>
      <c r="FM3534" s="18" t="inlineStr">
        <is>
          <t>Las Acacias</t>
        </is>
      </c>
      <c r="FP3534" t="inlineStr">
        <is>
          <t>A</t>
        </is>
      </c>
    </row>
    <row r="3535">
      <c r="FC3535" t="inlineStr">
        <is>
          <t>Diccionario 4</t>
        </is>
      </c>
      <c r="FD3535" s="15" t="inlineStr">
        <is>
          <t>VLSJ-88|</t>
        </is>
      </c>
      <c r="FE3535" s="17" t="inlineStr">
        <is>
          <t>LDYECS835S0044527</t>
        </is>
      </c>
      <c r="FF3535" s="18" t="inlineStr">
        <is>
          <t>MJJ20025010038</t>
        </is>
      </c>
      <c r="FG3535" s="18" t="inlineStr">
        <is>
          <t>Zhong Thong</t>
        </is>
      </c>
      <c r="FH3535" s="18" t="inlineStr">
        <is>
          <t>Lck6850evg</t>
        </is>
      </c>
      <c r="FI3535" s="18" t="inlineStr">
        <is>
          <t>Zhong Thong</t>
        </is>
      </c>
      <c r="FJ3535" s="18" t="inlineStr">
        <is>
          <t>Lck6850evg</t>
        </is>
      </c>
      <c r="FK3535" s="18" t="n">
        <v>2026</v>
      </c>
      <c r="FL3535" s="18" t="inlineStr">
        <is>
          <t>A</t>
        </is>
      </c>
      <c r="FM3535" s="18" t="inlineStr">
        <is>
          <t>Las Acacias</t>
        </is>
      </c>
      <c r="FP3535" t="inlineStr">
        <is>
          <t>A</t>
        </is>
      </c>
    </row>
    <row r="3536">
      <c r="FC3536" t="inlineStr">
        <is>
          <t>Diccionario 4</t>
        </is>
      </c>
      <c r="FD3536" s="15" t="inlineStr">
        <is>
          <t>VLSK-17|</t>
        </is>
      </c>
      <c r="FE3536" s="17" t="inlineStr">
        <is>
          <t>LDYECS837S0044528</t>
        </is>
      </c>
      <c r="FF3536" s="18" t="inlineStr">
        <is>
          <t>MJJ20025010031</t>
        </is>
      </c>
      <c r="FG3536" s="18" t="inlineStr">
        <is>
          <t>Zhong Thong</t>
        </is>
      </c>
      <c r="FH3536" s="18" t="inlineStr">
        <is>
          <t>Lck6850evg</t>
        </is>
      </c>
      <c r="FI3536" s="18" t="inlineStr">
        <is>
          <t>Zhong Thong</t>
        </is>
      </c>
      <c r="FJ3536" s="18" t="inlineStr">
        <is>
          <t>Lck6850evg</t>
        </is>
      </c>
      <c r="FK3536" s="18" t="n">
        <v>2026</v>
      </c>
      <c r="FL3536" s="18" t="inlineStr">
        <is>
          <t>A</t>
        </is>
      </c>
      <c r="FM3536" s="18" t="inlineStr">
        <is>
          <t>Las Acacias</t>
        </is>
      </c>
      <c r="FP3536" t="inlineStr">
        <is>
          <t>A</t>
        </is>
      </c>
    </row>
    <row r="3537">
      <c r="FC3537" t="inlineStr">
        <is>
          <t>Diccionario 4</t>
        </is>
      </c>
      <c r="FD3537" s="15" t="inlineStr">
        <is>
          <t>VLSK-18|</t>
        </is>
      </c>
      <c r="FE3537" s="17" t="inlineStr">
        <is>
          <t>LDYECS835S0045614</t>
        </is>
      </c>
      <c r="FF3537" s="18" t="inlineStr">
        <is>
          <t>MJJ20025010009</t>
        </is>
      </c>
      <c r="FG3537" s="18" t="inlineStr">
        <is>
          <t>Zhong Thong</t>
        </is>
      </c>
      <c r="FH3537" s="18" t="inlineStr">
        <is>
          <t>Lck6850evg</t>
        </is>
      </c>
      <c r="FI3537" s="18" t="inlineStr">
        <is>
          <t>Zhong Thong</t>
        </is>
      </c>
      <c r="FJ3537" s="18" t="inlineStr">
        <is>
          <t>Lck6850evg</t>
        </is>
      </c>
      <c r="FK3537" s="18" t="n">
        <v>2026</v>
      </c>
      <c r="FL3537" s="18" t="inlineStr">
        <is>
          <t>A</t>
        </is>
      </c>
      <c r="FM3537" s="18" t="inlineStr">
        <is>
          <t>Las Acacias</t>
        </is>
      </c>
      <c r="FP3537" t="inlineStr">
        <is>
          <t>A</t>
        </is>
      </c>
    </row>
    <row r="3538">
      <c r="FC3538" t="inlineStr">
        <is>
          <t>Diccionario 4</t>
        </is>
      </c>
      <c r="FD3538" s="15" t="inlineStr">
        <is>
          <t>VLSK-19|</t>
        </is>
      </c>
      <c r="FE3538" s="17" t="inlineStr">
        <is>
          <t>LDYECS319S0045797</t>
        </is>
      </c>
      <c r="FF3538" s="18" t="inlineStr">
        <is>
          <t>MDN35025030308</t>
        </is>
      </c>
      <c r="FG3538" s="18" t="inlineStr">
        <is>
          <t>Zhong Thong</t>
        </is>
      </c>
      <c r="FH3538" s="18" t="inlineStr">
        <is>
          <t>Lck6122evg</t>
        </is>
      </c>
      <c r="FI3538" s="18" t="inlineStr">
        <is>
          <t>Zhong Thong</t>
        </is>
      </c>
      <c r="FJ3538" s="18" t="inlineStr">
        <is>
          <t>Lck6122evg</t>
        </is>
      </c>
      <c r="FK3538" s="18" t="n">
        <v>2026</v>
      </c>
      <c r="FL3538" s="18" t="inlineStr">
        <is>
          <t>B</t>
        </is>
      </c>
      <c r="FM3538" s="18" t="inlineStr">
        <is>
          <t>Las Acacias</t>
        </is>
      </c>
      <c r="FP3538" t="inlineStr">
        <is>
          <t>B</t>
        </is>
      </c>
    </row>
    <row r="3539">
      <c r="FC3539" t="inlineStr">
        <is>
          <t>Diccionario 4</t>
        </is>
      </c>
      <c r="FD3539" s="15" t="inlineStr">
        <is>
          <t>VLSK-23|</t>
        </is>
      </c>
      <c r="FE3539" s="17" t="inlineStr">
        <is>
          <t>LDYECS315S0045800</t>
        </is>
      </c>
      <c r="FF3539" s="18" t="inlineStr">
        <is>
          <t>MDN35025030258</t>
        </is>
      </c>
      <c r="FG3539" s="18" t="inlineStr">
        <is>
          <t>Zhong Thong</t>
        </is>
      </c>
      <c r="FH3539" s="18" t="inlineStr">
        <is>
          <t>Lck6122evg</t>
        </is>
      </c>
      <c r="FI3539" s="18" t="inlineStr">
        <is>
          <t>Zhong Thong</t>
        </is>
      </c>
      <c r="FJ3539" s="18" t="inlineStr">
        <is>
          <t>Lck6122evg</t>
        </is>
      </c>
      <c r="FK3539" s="18" t="n">
        <v>2026</v>
      </c>
      <c r="FL3539" s="18" t="inlineStr">
        <is>
          <t>B</t>
        </is>
      </c>
      <c r="FM3539" s="18" t="inlineStr">
        <is>
          <t>Las Acacias</t>
        </is>
      </c>
      <c r="FP3539" t="inlineStr">
        <is>
          <t>B</t>
        </is>
      </c>
    </row>
    <row r="3540">
      <c r="FC3540" t="inlineStr">
        <is>
          <t>Diccionario 4</t>
        </is>
      </c>
      <c r="FD3540" s="15" t="inlineStr">
        <is>
          <t>VLSK-25|</t>
        </is>
      </c>
      <c r="FE3540" s="17" t="inlineStr">
        <is>
          <t>LDYECS315S0045795</t>
        </is>
      </c>
      <c r="FF3540" s="18" t="inlineStr">
        <is>
          <t>MDN35025030264</t>
        </is>
      </c>
      <c r="FG3540" s="18" t="inlineStr">
        <is>
          <t>Zhong Thong</t>
        </is>
      </c>
      <c r="FH3540" s="18" t="inlineStr">
        <is>
          <t>Lck6122evg</t>
        </is>
      </c>
      <c r="FI3540" s="18" t="inlineStr">
        <is>
          <t>Zhong Thong</t>
        </is>
      </c>
      <c r="FJ3540" s="18" t="inlineStr">
        <is>
          <t>Lck6122evg</t>
        </is>
      </c>
      <c r="FK3540" s="18" t="n">
        <v>2026</v>
      </c>
      <c r="FL3540" s="18" t="inlineStr">
        <is>
          <t>B</t>
        </is>
      </c>
      <c r="FM3540" s="18" t="inlineStr">
        <is>
          <t>Las Acacias</t>
        </is>
      </c>
      <c r="FP3540" t="inlineStr">
        <is>
          <t>B</t>
        </is>
      </c>
    </row>
    <row r="3541">
      <c r="FC3541" t="inlineStr">
        <is>
          <t>Diccionario 4</t>
        </is>
      </c>
      <c r="FD3541" s="15" t="inlineStr">
        <is>
          <t>VLSK-26|</t>
        </is>
      </c>
      <c r="FE3541" s="17" t="inlineStr">
        <is>
          <t>LDYECS310S0045722</t>
        </is>
      </c>
      <c r="FF3541" s="18" t="inlineStr">
        <is>
          <t>MDN35025030123</t>
        </is>
      </c>
      <c r="FG3541" s="18" t="inlineStr">
        <is>
          <t>Zhong Thong</t>
        </is>
      </c>
      <c r="FH3541" s="18" t="inlineStr">
        <is>
          <t>Lck6122evg</t>
        </is>
      </c>
      <c r="FI3541" s="18" t="inlineStr">
        <is>
          <t>Zhong Thong</t>
        </is>
      </c>
      <c r="FJ3541" s="18" t="inlineStr">
        <is>
          <t>Lck6122evg</t>
        </is>
      </c>
      <c r="FK3541" s="18" t="n">
        <v>2026</v>
      </c>
      <c r="FL3541" s="18" t="inlineStr">
        <is>
          <t>B</t>
        </is>
      </c>
      <c r="FM3541" s="18" t="inlineStr">
        <is>
          <t>Las Acacias</t>
        </is>
      </c>
      <c r="FP3541" t="inlineStr">
        <is>
          <t>B</t>
        </is>
      </c>
    </row>
    <row r="3542">
      <c r="FC3542" t="inlineStr">
        <is>
          <t>Diccionario 4</t>
        </is>
      </c>
      <c r="FD3542" s="15" t="inlineStr">
        <is>
          <t>VLSK-29|</t>
        </is>
      </c>
      <c r="FE3542" s="17" t="inlineStr">
        <is>
          <t>LDYECS310S0045798</t>
        </is>
      </c>
      <c r="FF3542" s="18" t="inlineStr">
        <is>
          <t>MDN35025030250</t>
        </is>
      </c>
      <c r="FG3542" s="18" t="inlineStr">
        <is>
          <t>Zhong Thong</t>
        </is>
      </c>
      <c r="FH3542" s="18" t="inlineStr">
        <is>
          <t>Lck6122evg</t>
        </is>
      </c>
      <c r="FI3542" s="18" t="inlineStr">
        <is>
          <t>Zhong Thong</t>
        </is>
      </c>
      <c r="FJ3542" s="18" t="inlineStr">
        <is>
          <t>Lck6122evg</t>
        </is>
      </c>
      <c r="FK3542" s="18" t="n">
        <v>2026</v>
      </c>
      <c r="FL3542" s="18" t="inlineStr">
        <is>
          <t>B</t>
        </is>
      </c>
      <c r="FM3542" s="18" t="inlineStr">
        <is>
          <t>Las Acacias</t>
        </is>
      </c>
      <c r="FP3542" t="inlineStr">
        <is>
          <t>B</t>
        </is>
      </c>
    </row>
    <row r="3543">
      <c r="FC3543" t="inlineStr">
        <is>
          <t>Diccionario 4</t>
        </is>
      </c>
      <c r="FD3543" s="15" t="inlineStr">
        <is>
          <t>VLSK-30|</t>
        </is>
      </c>
      <c r="FE3543" s="17" t="inlineStr">
        <is>
          <t>LDYECS313S0045813</t>
        </is>
      </c>
      <c r="FF3543" s="18" t="inlineStr">
        <is>
          <t>MDN35025030268</t>
        </is>
      </c>
      <c r="FG3543" s="18" t="inlineStr">
        <is>
          <t>Zhong Thong</t>
        </is>
      </c>
      <c r="FH3543" s="18" t="inlineStr">
        <is>
          <t>Lck6122evg</t>
        </is>
      </c>
      <c r="FI3543" s="18" t="inlineStr">
        <is>
          <t>Zhong Thong</t>
        </is>
      </c>
      <c r="FJ3543" s="18" t="inlineStr">
        <is>
          <t>Lck6122evg</t>
        </is>
      </c>
      <c r="FK3543" s="18" t="n">
        <v>2026</v>
      </c>
      <c r="FL3543" s="18" t="inlineStr">
        <is>
          <t>B</t>
        </is>
      </c>
      <c r="FM3543" s="18" t="inlineStr">
        <is>
          <t>Las Acacias</t>
        </is>
      </c>
      <c r="FP3543" t="inlineStr">
        <is>
          <t>B</t>
        </is>
      </c>
    </row>
    <row r="3544">
      <c r="FC3544" t="inlineStr">
        <is>
          <t>Diccionario 4</t>
        </is>
      </c>
      <c r="FD3544" s="15" t="inlineStr">
        <is>
          <t>VLSK-39|</t>
        </is>
      </c>
      <c r="FE3544" s="17" t="inlineStr">
        <is>
          <t>LDYECS315S0045814</t>
        </is>
      </c>
      <c r="FF3544" s="18" t="inlineStr">
        <is>
          <t>MDN35025030040</t>
        </is>
      </c>
      <c r="FG3544" s="18" t="inlineStr">
        <is>
          <t>Zhong Thong</t>
        </is>
      </c>
      <c r="FH3544" s="18" t="inlineStr">
        <is>
          <t>Lck6122evg</t>
        </is>
      </c>
      <c r="FI3544" s="18" t="inlineStr">
        <is>
          <t>Zhong Thong</t>
        </is>
      </c>
      <c r="FJ3544" s="18" t="inlineStr">
        <is>
          <t>Lck6122evg</t>
        </is>
      </c>
      <c r="FK3544" s="18" t="n">
        <v>2026</v>
      </c>
      <c r="FL3544" s="18" t="inlineStr">
        <is>
          <t>B</t>
        </is>
      </c>
      <c r="FM3544" s="18" t="inlineStr">
        <is>
          <t>Las Acacias</t>
        </is>
      </c>
      <c r="FP3544" t="inlineStr">
        <is>
          <t>B</t>
        </is>
      </c>
    </row>
    <row r="3545">
      <c r="FC3545" t="inlineStr">
        <is>
          <t>Diccionario 4</t>
        </is>
      </c>
      <c r="FD3545" s="15" t="inlineStr">
        <is>
          <t>VLSK-44|</t>
        </is>
      </c>
      <c r="FE3545" s="17" t="inlineStr">
        <is>
          <t>LDYECS317S0045779</t>
        </is>
      </c>
      <c r="FF3545" s="18" t="inlineStr">
        <is>
          <t>MDN35025030160</t>
        </is>
      </c>
      <c r="FG3545" s="18" t="inlineStr">
        <is>
          <t>Zhong Thong</t>
        </is>
      </c>
      <c r="FH3545" s="18" t="inlineStr">
        <is>
          <t>Lck6122evg</t>
        </is>
      </c>
      <c r="FI3545" s="18" t="inlineStr">
        <is>
          <t>Zhong Thong</t>
        </is>
      </c>
      <c r="FJ3545" s="18" t="inlineStr">
        <is>
          <t>Lck6122evg</t>
        </is>
      </c>
      <c r="FK3545" s="18" t="n">
        <v>2026</v>
      </c>
      <c r="FL3545" s="18" t="inlineStr">
        <is>
          <t>B</t>
        </is>
      </c>
      <c r="FM3545" s="18" t="inlineStr">
        <is>
          <t>Las Acacias</t>
        </is>
      </c>
      <c r="FP3545" t="inlineStr">
        <is>
          <t>B</t>
        </is>
      </c>
    </row>
    <row r="3546">
      <c r="FC3546" t="inlineStr">
        <is>
          <t>Diccionario 4</t>
        </is>
      </c>
      <c r="FD3546" s="15" t="inlineStr">
        <is>
          <t>VLSK-46|</t>
        </is>
      </c>
      <c r="FE3546" s="17" t="inlineStr">
        <is>
          <t>LDYECS311S0045809</t>
        </is>
      </c>
      <c r="FF3546" s="18" t="inlineStr">
        <is>
          <t>MDN35025030257</t>
        </is>
      </c>
      <c r="FG3546" s="18" t="inlineStr">
        <is>
          <t>Zhong Thong</t>
        </is>
      </c>
      <c r="FH3546" s="18" t="inlineStr">
        <is>
          <t>Lck6122evg</t>
        </is>
      </c>
      <c r="FI3546" s="18" t="inlineStr">
        <is>
          <t>Zhong Thong</t>
        </is>
      </c>
      <c r="FJ3546" s="18" t="inlineStr">
        <is>
          <t>Lck6122evg</t>
        </is>
      </c>
      <c r="FK3546" s="18" t="n">
        <v>2026</v>
      </c>
      <c r="FL3546" s="18" t="inlineStr">
        <is>
          <t>B</t>
        </is>
      </c>
      <c r="FM3546" s="18" t="inlineStr">
        <is>
          <t>Las Acacias</t>
        </is>
      </c>
      <c r="FP3546" t="inlineStr">
        <is>
          <t>B</t>
        </is>
      </c>
    </row>
    <row r="3547">
      <c r="FC3547" t="inlineStr">
        <is>
          <t>Diccionario 4</t>
        </is>
      </c>
      <c r="FD3547" s="15" t="inlineStr">
        <is>
          <t>VLSK-53|</t>
        </is>
      </c>
      <c r="FE3547" s="17" t="inlineStr">
        <is>
          <t>LDYECS314S0045724</t>
        </is>
      </c>
      <c r="FF3547" s="18" t="inlineStr">
        <is>
          <t>MDN35025030060</t>
        </is>
      </c>
      <c r="FG3547" s="18" t="inlineStr">
        <is>
          <t>Zhong Thong</t>
        </is>
      </c>
      <c r="FH3547" s="18" t="inlineStr">
        <is>
          <t>Lck6122evg</t>
        </is>
      </c>
      <c r="FI3547" s="18" t="inlineStr">
        <is>
          <t>Zhong Thong</t>
        </is>
      </c>
      <c r="FJ3547" s="18" t="inlineStr">
        <is>
          <t>Lck6122evg</t>
        </is>
      </c>
      <c r="FK3547" s="18" t="n">
        <v>2026</v>
      </c>
      <c r="FL3547" s="18" t="inlineStr">
        <is>
          <t>B</t>
        </is>
      </c>
      <c r="FM3547" s="18" t="inlineStr">
        <is>
          <t>Las Acacias</t>
        </is>
      </c>
      <c r="FP3547" t="inlineStr">
        <is>
          <t>B</t>
        </is>
      </c>
    </row>
    <row r="3548">
      <c r="FC3548" t="inlineStr">
        <is>
          <t>Diccionario 4</t>
        </is>
      </c>
      <c r="FD3548" s="15" t="inlineStr">
        <is>
          <t>VLSK-64|</t>
        </is>
      </c>
      <c r="FE3548" s="17" t="inlineStr">
        <is>
          <t>LDYECS318S0045810</t>
        </is>
      </c>
      <c r="FF3548" s="18" t="inlineStr">
        <is>
          <t>MDN35025030195</t>
        </is>
      </c>
      <c r="FG3548" s="18" t="inlineStr">
        <is>
          <t>Zhong Thong</t>
        </is>
      </c>
      <c r="FH3548" s="18" t="inlineStr">
        <is>
          <t>Lck6122evg</t>
        </is>
      </c>
      <c r="FI3548" s="18" t="inlineStr">
        <is>
          <t>Zhong Thong</t>
        </is>
      </c>
      <c r="FJ3548" s="18" t="inlineStr">
        <is>
          <t>Lck6122evg</t>
        </is>
      </c>
      <c r="FK3548" s="18" t="n">
        <v>2026</v>
      </c>
      <c r="FL3548" s="18" t="inlineStr">
        <is>
          <t>B</t>
        </is>
      </c>
      <c r="FM3548" s="18" t="inlineStr">
        <is>
          <t>Las Acacias</t>
        </is>
      </c>
      <c r="FP3548" t="inlineStr">
        <is>
          <t>B</t>
        </is>
      </c>
    </row>
    <row r="3549">
      <c r="FC3549" t="inlineStr">
        <is>
          <t>Diccionario 4</t>
        </is>
      </c>
      <c r="FD3549" s="15" t="inlineStr">
        <is>
          <t>VLSK-70|</t>
        </is>
      </c>
      <c r="FE3549" s="17" t="inlineStr">
        <is>
          <t>LDYECS31XS0045727</t>
        </is>
      </c>
      <c r="FF3549" s="18" t="inlineStr">
        <is>
          <t>MDN35025030224</t>
        </is>
      </c>
      <c r="FG3549" s="18" t="inlineStr">
        <is>
          <t>Zhong Thong</t>
        </is>
      </c>
      <c r="FH3549" s="18" t="inlineStr">
        <is>
          <t>Lck6122evg</t>
        </is>
      </c>
      <c r="FI3549" s="18" t="inlineStr">
        <is>
          <t>Zhong Thong</t>
        </is>
      </c>
      <c r="FJ3549" s="18" t="inlineStr">
        <is>
          <t>Lck6122evg</t>
        </is>
      </c>
      <c r="FK3549" s="18" t="n">
        <v>2026</v>
      </c>
      <c r="FL3549" s="18" t="inlineStr">
        <is>
          <t>B</t>
        </is>
      </c>
      <c r="FM3549" s="18" t="inlineStr">
        <is>
          <t>Las Acacias</t>
        </is>
      </c>
      <c r="FP3549" t="inlineStr">
        <is>
          <t>B</t>
        </is>
      </c>
    </row>
    <row r="3550">
      <c r="FC3550" t="inlineStr">
        <is>
          <t>Diccionario 4</t>
        </is>
      </c>
      <c r="FD3550" s="15" t="inlineStr">
        <is>
          <t>VLSK-77|</t>
        </is>
      </c>
      <c r="FE3550" s="17" t="inlineStr">
        <is>
          <t>LDYECS31XS0045811</t>
        </is>
      </c>
      <c r="FF3550" s="18" t="inlineStr">
        <is>
          <t>MDN35025030077</t>
        </is>
      </c>
      <c r="FG3550" s="18" t="inlineStr">
        <is>
          <t>Zhong Thong</t>
        </is>
      </c>
      <c r="FH3550" s="18" t="inlineStr">
        <is>
          <t>Lck6122evg</t>
        </is>
      </c>
      <c r="FI3550" s="18" t="inlineStr">
        <is>
          <t>Zhong Thong</t>
        </is>
      </c>
      <c r="FJ3550" s="18" t="inlineStr">
        <is>
          <t>Lck6122evg</t>
        </is>
      </c>
      <c r="FK3550" s="18" t="n">
        <v>2026</v>
      </c>
      <c r="FL3550" s="18" t="inlineStr">
        <is>
          <t>B</t>
        </is>
      </c>
      <c r="FM3550" s="18" t="inlineStr">
        <is>
          <t>Las Acacias</t>
        </is>
      </c>
      <c r="FP3550" t="inlineStr">
        <is>
          <t>B</t>
        </is>
      </c>
    </row>
    <row r="3551">
      <c r="FC3551" t="inlineStr">
        <is>
          <t>Diccionario 4</t>
        </is>
      </c>
      <c r="FD3551" s="15" t="inlineStr">
        <is>
          <t>VLSK-86|</t>
        </is>
      </c>
      <c r="FE3551" s="17" t="inlineStr">
        <is>
          <t>LDYECS314S0045819</t>
        </is>
      </c>
      <c r="FF3551" s="18" t="inlineStr">
        <is>
          <t>MDN35025030081</t>
        </is>
      </c>
      <c r="FG3551" s="18" t="inlineStr">
        <is>
          <t>Zhong Thong</t>
        </is>
      </c>
      <c r="FH3551" s="18" t="inlineStr">
        <is>
          <t>Lck6122evg</t>
        </is>
      </c>
      <c r="FI3551" s="18" t="inlineStr">
        <is>
          <t>Zhong Thong</t>
        </is>
      </c>
      <c r="FJ3551" s="18" t="inlineStr">
        <is>
          <t>Lck6122evg</t>
        </is>
      </c>
      <c r="FK3551" s="18" t="n">
        <v>2026</v>
      </c>
      <c r="FL3551" s="18" t="inlineStr">
        <is>
          <t>B</t>
        </is>
      </c>
      <c r="FM3551" s="18" t="inlineStr">
        <is>
          <t>Las Acacias</t>
        </is>
      </c>
      <c r="FP3551" t="inlineStr">
        <is>
          <t>B</t>
        </is>
      </c>
    </row>
    <row r="3552">
      <c r="FC3552" t="inlineStr">
        <is>
          <t>Diccionario 4</t>
        </is>
      </c>
      <c r="FD3552" s="15" t="inlineStr">
        <is>
          <t>VLSK-93|</t>
        </is>
      </c>
      <c r="FE3552" s="17" t="inlineStr">
        <is>
          <t>LDYECS311S0045728</t>
        </is>
      </c>
      <c r="FF3552" s="18" t="inlineStr">
        <is>
          <t>MDN35025030126</t>
        </is>
      </c>
      <c r="FG3552" s="18" t="inlineStr">
        <is>
          <t>Zhong Thong</t>
        </is>
      </c>
      <c r="FH3552" s="18" t="inlineStr">
        <is>
          <t>Lck6122evg</t>
        </is>
      </c>
      <c r="FI3552" s="18" t="inlineStr">
        <is>
          <t>Zhong Thong</t>
        </is>
      </c>
      <c r="FJ3552" s="18" t="inlineStr">
        <is>
          <t>Lck6122evg</t>
        </is>
      </c>
      <c r="FK3552" s="18" t="n">
        <v>2026</v>
      </c>
      <c r="FL3552" s="18" t="inlineStr">
        <is>
          <t>B</t>
        </is>
      </c>
      <c r="FM3552" s="18" t="inlineStr">
        <is>
          <t>Las Acacias</t>
        </is>
      </c>
      <c r="FP3552" t="inlineStr">
        <is>
          <t>B</t>
        </is>
      </c>
    </row>
    <row r="3553">
      <c r="FC3553" t="inlineStr">
        <is>
          <t>Diccionario 4</t>
        </is>
      </c>
      <c r="FD3553" s="15" t="inlineStr">
        <is>
          <t>VLSK-95|</t>
        </is>
      </c>
      <c r="FE3553" s="17" t="inlineStr">
        <is>
          <t>LDYECS316S0045840</t>
        </is>
      </c>
      <c r="FF3553" s="18" t="inlineStr">
        <is>
          <t>MDN35025030254</t>
        </is>
      </c>
      <c r="FG3553" s="18" t="inlineStr">
        <is>
          <t>Zhong Thong</t>
        </is>
      </c>
      <c r="FH3553" s="18" t="inlineStr">
        <is>
          <t>Lck6122evg</t>
        </is>
      </c>
      <c r="FI3553" s="18" t="inlineStr">
        <is>
          <t>Zhong Thong</t>
        </is>
      </c>
      <c r="FJ3553" s="18" t="inlineStr">
        <is>
          <t>Lck6122evg</t>
        </is>
      </c>
      <c r="FK3553" s="18" t="n">
        <v>2026</v>
      </c>
      <c r="FL3553" s="18" t="inlineStr">
        <is>
          <t>B</t>
        </is>
      </c>
      <c r="FM3553" s="18" t="inlineStr">
        <is>
          <t>Las Acacias</t>
        </is>
      </c>
      <c r="FP3553" t="inlineStr">
        <is>
          <t>B</t>
        </is>
      </c>
    </row>
    <row r="3554">
      <c r="FC3554" t="inlineStr">
        <is>
          <t>Diccionario 4</t>
        </is>
      </c>
      <c r="FD3554" s="15" t="inlineStr">
        <is>
          <t>VLSK-99|</t>
        </is>
      </c>
      <c r="FE3554" s="17" t="inlineStr">
        <is>
          <t>LDYECS314S0045822</t>
        </is>
      </c>
      <c r="FF3554" s="18" t="inlineStr">
        <is>
          <t>MDN35025030089</t>
        </is>
      </c>
      <c r="FG3554" s="18" t="inlineStr">
        <is>
          <t>Zhong Thong</t>
        </is>
      </c>
      <c r="FH3554" s="18" t="inlineStr">
        <is>
          <t>Lck6122evg</t>
        </is>
      </c>
      <c r="FI3554" s="18" t="inlineStr">
        <is>
          <t>Zhong Thong</t>
        </is>
      </c>
      <c r="FJ3554" s="18" t="inlineStr">
        <is>
          <t>Lck6122evg</t>
        </is>
      </c>
      <c r="FK3554" s="18" t="n">
        <v>2026</v>
      </c>
      <c r="FL3554" s="18" t="inlineStr">
        <is>
          <t>B</t>
        </is>
      </c>
      <c r="FM3554" s="18" t="inlineStr">
        <is>
          <t>Las Acacias</t>
        </is>
      </c>
      <c r="FP3554" t="inlineStr">
        <is>
          <t>B</t>
        </is>
      </c>
    </row>
    <row r="3555">
      <c r="FC3555" t="inlineStr">
        <is>
          <t>Diccionario 4</t>
        </is>
      </c>
      <c r="FD3555" s="15" t="inlineStr">
        <is>
          <t>VLSL-10|</t>
        </is>
      </c>
      <c r="FE3555" s="17" t="inlineStr">
        <is>
          <t>LDYECS315S0045828</t>
        </is>
      </c>
      <c r="FF3555" s="18" t="inlineStr">
        <is>
          <t>MDN35025030269</t>
        </is>
      </c>
      <c r="FG3555" s="18" t="inlineStr">
        <is>
          <t>Zhong Thong</t>
        </is>
      </c>
      <c r="FH3555" s="18" t="inlineStr">
        <is>
          <t>Lck6122evg</t>
        </is>
      </c>
      <c r="FI3555" s="18" t="inlineStr">
        <is>
          <t>Zhong Thong</t>
        </is>
      </c>
      <c r="FJ3555" s="18" t="inlineStr">
        <is>
          <t>Lck6122evg</t>
        </is>
      </c>
      <c r="FK3555" s="18" t="n">
        <v>2026</v>
      </c>
      <c r="FL3555" s="18" t="inlineStr">
        <is>
          <t>B</t>
        </is>
      </c>
      <c r="FM3555" s="18" t="inlineStr">
        <is>
          <t>Las Acacias</t>
        </is>
      </c>
      <c r="FP3555" t="inlineStr">
        <is>
          <t>B</t>
        </is>
      </c>
    </row>
    <row r="3556">
      <c r="FC3556" t="inlineStr">
        <is>
          <t>Diccionario 4</t>
        </is>
      </c>
      <c r="FD3556" s="15" t="inlineStr">
        <is>
          <t>VLSL-16|</t>
        </is>
      </c>
      <c r="FE3556" s="17" t="inlineStr">
        <is>
          <t>LDYECS31XS0045825</t>
        </is>
      </c>
      <c r="FF3556" s="18" t="inlineStr">
        <is>
          <t>MDN35025030210</t>
        </is>
      </c>
      <c r="FG3556" s="18" t="inlineStr">
        <is>
          <t>Zhong Thong</t>
        </is>
      </c>
      <c r="FH3556" s="18" t="inlineStr">
        <is>
          <t>Lck6122evg</t>
        </is>
      </c>
      <c r="FI3556" s="18" t="inlineStr">
        <is>
          <t>Zhong Thong</t>
        </is>
      </c>
      <c r="FJ3556" s="18" t="inlineStr">
        <is>
          <t>Lck6122evg</t>
        </is>
      </c>
      <c r="FK3556" s="18" t="n">
        <v>2026</v>
      </c>
      <c r="FL3556" s="18" t="inlineStr">
        <is>
          <t>B</t>
        </is>
      </c>
      <c r="FM3556" s="18" t="inlineStr">
        <is>
          <t>Las Acacias</t>
        </is>
      </c>
      <c r="FP3556" t="inlineStr">
        <is>
          <t>B</t>
        </is>
      </c>
    </row>
    <row r="3557">
      <c r="FC3557" t="inlineStr">
        <is>
          <t>Diccionario 4</t>
        </is>
      </c>
      <c r="FD3557" s="15" t="inlineStr">
        <is>
          <t>VLSL-25|</t>
        </is>
      </c>
      <c r="FE3557" s="17" t="inlineStr">
        <is>
          <t>LDYECS317S0045734</t>
        </is>
      </c>
      <c r="FF3557" s="18" t="inlineStr">
        <is>
          <t>MDN35025030214</t>
        </is>
      </c>
      <c r="FG3557" s="18" t="inlineStr">
        <is>
          <t>Zhong Thong</t>
        </is>
      </c>
      <c r="FH3557" s="18" t="inlineStr">
        <is>
          <t>Lck6122evg</t>
        </is>
      </c>
      <c r="FI3557" s="18" t="inlineStr">
        <is>
          <t>Zhong Thong</t>
        </is>
      </c>
      <c r="FJ3557" s="18" t="inlineStr">
        <is>
          <t>Lck6122evg</t>
        </is>
      </c>
      <c r="FK3557" s="18" t="n">
        <v>2026</v>
      </c>
      <c r="FL3557" s="18" t="inlineStr">
        <is>
          <t>B</t>
        </is>
      </c>
      <c r="FM3557" s="18" t="inlineStr">
        <is>
          <t>Las Acacias</t>
        </is>
      </c>
      <c r="FP3557" t="inlineStr">
        <is>
          <t>B</t>
        </is>
      </c>
    </row>
    <row r="3558">
      <c r="FC3558" t="inlineStr">
        <is>
          <t>Diccionario 4</t>
        </is>
      </c>
      <c r="FD3558" s="15" t="inlineStr">
        <is>
          <t>VLSS-34|</t>
        </is>
      </c>
      <c r="FE3558" s="17" t="inlineStr">
        <is>
          <t>LDYECS311S0045731</t>
        </is>
      </c>
      <c r="FF3558" s="18" t="inlineStr">
        <is>
          <t>MDN35025030130</t>
        </is>
      </c>
      <c r="FG3558" s="18" t="inlineStr">
        <is>
          <t>Zhong Thong</t>
        </is>
      </c>
      <c r="FH3558" s="18" t="inlineStr">
        <is>
          <t>Lck6122evg</t>
        </is>
      </c>
      <c r="FI3558" s="18" t="inlineStr">
        <is>
          <t>Zhong Thong</t>
        </is>
      </c>
      <c r="FJ3558" s="18" t="inlineStr">
        <is>
          <t>Lck6122evg</t>
        </is>
      </c>
      <c r="FK3558" s="18" t="n">
        <v>2026</v>
      </c>
      <c r="FL3558" s="18" t="inlineStr">
        <is>
          <t>B</t>
        </is>
      </c>
      <c r="FM3558" s="18" t="inlineStr">
        <is>
          <t>Las Acacias</t>
        </is>
      </c>
      <c r="FP3558" t="inlineStr">
        <is>
          <t>B</t>
        </is>
      </c>
    </row>
    <row r="3559">
      <c r="FC3559" t="inlineStr">
        <is>
          <t>Diccionario 4</t>
        </is>
      </c>
      <c r="FD3559" s="15" t="inlineStr">
        <is>
          <t>VLSS-37|</t>
        </is>
      </c>
      <c r="FE3559" s="17" t="inlineStr">
        <is>
          <t>LDYECS312S0045835</t>
        </is>
      </c>
      <c r="FF3559" s="18" t="inlineStr">
        <is>
          <t>MDN35025030316</t>
        </is>
      </c>
      <c r="FG3559" s="18" t="inlineStr">
        <is>
          <t>Zhong Thong</t>
        </is>
      </c>
      <c r="FH3559" s="18" t="inlineStr">
        <is>
          <t>Lck6122evg</t>
        </is>
      </c>
      <c r="FI3559" s="18" t="inlineStr">
        <is>
          <t>Zhong Thong</t>
        </is>
      </c>
      <c r="FJ3559" s="18" t="inlineStr">
        <is>
          <t>Lck6122evg</t>
        </is>
      </c>
      <c r="FK3559" s="18" t="n">
        <v>2026</v>
      </c>
      <c r="FL3559" s="18" t="inlineStr">
        <is>
          <t>B</t>
        </is>
      </c>
      <c r="FM3559" s="18" t="inlineStr">
        <is>
          <t>Las Acacias</t>
        </is>
      </c>
      <c r="FP3559" t="inlineStr">
        <is>
          <t>B</t>
        </is>
      </c>
    </row>
    <row r="3560">
      <c r="FC3560" t="inlineStr">
        <is>
          <t>Diccionario 4</t>
        </is>
      </c>
      <c r="FD3560" s="15" t="inlineStr">
        <is>
          <t>VLSS-45|</t>
        </is>
      </c>
      <c r="FE3560" s="17" t="inlineStr">
        <is>
          <t>LDYECS314S0045738</t>
        </is>
      </c>
      <c r="FF3560" s="18" t="inlineStr">
        <is>
          <t>MDN35025030247</t>
        </is>
      </c>
      <c r="FG3560" s="18" t="inlineStr">
        <is>
          <t>Zhong Thong</t>
        </is>
      </c>
      <c r="FH3560" s="18" t="inlineStr">
        <is>
          <t>Lck6122evg</t>
        </is>
      </c>
      <c r="FI3560" s="18" t="inlineStr">
        <is>
          <t>Zhong Thong</t>
        </is>
      </c>
      <c r="FJ3560" s="18" t="inlineStr">
        <is>
          <t>Lck6122evg</t>
        </is>
      </c>
      <c r="FK3560" s="18" t="n">
        <v>2026</v>
      </c>
      <c r="FL3560" s="18" t="inlineStr">
        <is>
          <t>B</t>
        </is>
      </c>
      <c r="FM3560" s="18" t="inlineStr">
        <is>
          <t>Las Acacias</t>
        </is>
      </c>
      <c r="FP3560" t="inlineStr">
        <is>
          <t>B</t>
        </is>
      </c>
    </row>
    <row r="3561">
      <c r="FC3561" t="inlineStr">
        <is>
          <t>Diccionario 4</t>
        </is>
      </c>
      <c r="FD3561" s="15" t="inlineStr">
        <is>
          <t>VLSS-69|</t>
        </is>
      </c>
      <c r="FE3561" s="17" t="inlineStr">
        <is>
          <t>LDYECS318S0045824</t>
        </is>
      </c>
      <c r="FF3561" s="18" t="inlineStr">
        <is>
          <t>MDN35025030189</t>
        </is>
      </c>
      <c r="FG3561" s="18" t="inlineStr">
        <is>
          <t>Zhong Thong</t>
        </is>
      </c>
      <c r="FH3561" s="18" t="inlineStr">
        <is>
          <t>Lck6122evg</t>
        </is>
      </c>
      <c r="FI3561" s="18" t="inlineStr">
        <is>
          <t>Zhong Thong</t>
        </is>
      </c>
      <c r="FJ3561" s="18" t="inlineStr">
        <is>
          <t>Lck6122evg</t>
        </is>
      </c>
      <c r="FK3561" s="18" t="n">
        <v>2026</v>
      </c>
      <c r="FL3561" s="18" t="inlineStr">
        <is>
          <t>B</t>
        </is>
      </c>
      <c r="FM3561" s="18" t="inlineStr">
        <is>
          <t>Las Acacias</t>
        </is>
      </c>
      <c r="FP3561" t="inlineStr">
        <is>
          <t>B</t>
        </is>
      </c>
    </row>
    <row r="3562">
      <c r="FC3562" t="inlineStr">
        <is>
          <t>Diccionario 4</t>
        </is>
      </c>
      <c r="FD3562" s="15" t="inlineStr">
        <is>
          <t>VLSS-88|</t>
        </is>
      </c>
      <c r="FE3562" s="17" t="inlineStr">
        <is>
          <t>LDYECS310S0045851</t>
        </is>
      </c>
      <c r="FF3562" s="18" t="inlineStr">
        <is>
          <t>MDN35025030193</t>
        </is>
      </c>
      <c r="FG3562" s="18" t="inlineStr">
        <is>
          <t>Zhong Thong</t>
        </is>
      </c>
      <c r="FH3562" s="18" t="inlineStr">
        <is>
          <t>Lck6122evg</t>
        </is>
      </c>
      <c r="FI3562" s="18" t="inlineStr">
        <is>
          <t>Zhong Thong</t>
        </is>
      </c>
      <c r="FJ3562" s="18" t="inlineStr">
        <is>
          <t>Lck6122evg</t>
        </is>
      </c>
      <c r="FK3562" s="18" t="n">
        <v>2026</v>
      </c>
      <c r="FL3562" s="18" t="inlineStr">
        <is>
          <t>B</t>
        </is>
      </c>
      <c r="FM3562" s="18" t="inlineStr">
        <is>
          <t>Las Acacias</t>
        </is>
      </c>
      <c r="FP3562" t="inlineStr">
        <is>
          <t>B</t>
        </is>
      </c>
    </row>
    <row r="3563">
      <c r="FC3563" t="inlineStr">
        <is>
          <t>Diccionario 4</t>
        </is>
      </c>
      <c r="FD3563" s="15" t="inlineStr">
        <is>
          <t>VLST-15|</t>
        </is>
      </c>
      <c r="FE3563" s="17" t="inlineStr">
        <is>
          <t>LDYECS319S0045850</t>
        </is>
      </c>
      <c r="FF3563" s="18" t="inlineStr">
        <is>
          <t>MDN35025030244</t>
        </is>
      </c>
      <c r="FG3563" s="18" t="inlineStr">
        <is>
          <t>Zhong Thong</t>
        </is>
      </c>
      <c r="FH3563" s="18" t="inlineStr">
        <is>
          <t>Lck6122evg</t>
        </is>
      </c>
      <c r="FI3563" s="18" t="inlineStr">
        <is>
          <t>Zhong Thong</t>
        </is>
      </c>
      <c r="FJ3563" s="18" t="inlineStr">
        <is>
          <t>Lck6122evg</t>
        </is>
      </c>
      <c r="FK3563" s="18" t="n">
        <v>2026</v>
      </c>
      <c r="FL3563" s="18" t="inlineStr">
        <is>
          <t>B</t>
        </is>
      </c>
      <c r="FM3563" s="18" t="inlineStr">
        <is>
          <t>Las Acacias</t>
        </is>
      </c>
      <c r="FP3563" t="inlineStr">
        <is>
          <t>B</t>
        </is>
      </c>
    </row>
    <row r="3564">
      <c r="FC3564" t="inlineStr">
        <is>
          <t>Diccionario 4</t>
        </is>
      </c>
      <c r="FD3564" s="15" t="inlineStr">
        <is>
          <t>VLST-23|</t>
        </is>
      </c>
      <c r="FE3564" s="17" t="inlineStr">
        <is>
          <t>LDYECS318S0045841</t>
        </is>
      </c>
      <c r="FF3564" s="18" t="inlineStr">
        <is>
          <t>MDN35025030300</t>
        </is>
      </c>
      <c r="FG3564" s="18" t="inlineStr">
        <is>
          <t>Zhong Thong</t>
        </is>
      </c>
      <c r="FH3564" s="18" t="inlineStr">
        <is>
          <t>Lck6122evg</t>
        </is>
      </c>
      <c r="FI3564" s="18" t="inlineStr">
        <is>
          <t>Zhong Thong</t>
        </is>
      </c>
      <c r="FJ3564" s="18" t="inlineStr">
        <is>
          <t>Lck6122evg</t>
        </is>
      </c>
      <c r="FK3564" s="18" t="n">
        <v>2026</v>
      </c>
      <c r="FL3564" s="18" t="inlineStr">
        <is>
          <t>B</t>
        </is>
      </c>
      <c r="FM3564" s="18" t="inlineStr">
        <is>
          <t>Las Acacias</t>
        </is>
      </c>
      <c r="FP3564" t="inlineStr">
        <is>
          <t>B</t>
        </is>
      </c>
    </row>
    <row r="3565">
      <c r="FC3565" t="inlineStr">
        <is>
          <t>Diccionario 4</t>
        </is>
      </c>
      <c r="FD3565" s="15" t="inlineStr">
        <is>
          <t>VLST-92|</t>
        </is>
      </c>
      <c r="FE3565" s="17" t="inlineStr">
        <is>
          <t>LDYECS318S0045838</t>
        </is>
      </c>
      <c r="FF3565" s="18" t="inlineStr">
        <is>
          <t>MDN35025030084</t>
        </is>
      </c>
      <c r="FG3565" s="18" t="inlineStr">
        <is>
          <t>Zhong Thong</t>
        </is>
      </c>
      <c r="FH3565" s="18" t="inlineStr">
        <is>
          <t>Lck6122evg</t>
        </is>
      </c>
      <c r="FI3565" s="18" t="inlineStr">
        <is>
          <t>Zhong Thong</t>
        </is>
      </c>
      <c r="FJ3565" s="18" t="inlineStr">
        <is>
          <t>Lck6122evg</t>
        </is>
      </c>
      <c r="FK3565" s="18" t="n">
        <v>2026</v>
      </c>
      <c r="FL3565" s="18" t="inlineStr">
        <is>
          <t>B</t>
        </is>
      </c>
      <c r="FM3565" s="18" t="inlineStr">
        <is>
          <t>Las Acacias</t>
        </is>
      </c>
      <c r="FP3565" t="inlineStr">
        <is>
          <t>B</t>
        </is>
      </c>
    </row>
    <row r="3566">
      <c r="FC3566" t="inlineStr">
        <is>
          <t>Diccionario 4</t>
        </is>
      </c>
      <c r="FD3566" s="15" t="inlineStr">
        <is>
          <t>VLSV-15|</t>
        </is>
      </c>
      <c r="FE3566" s="17" t="inlineStr">
        <is>
          <t>LDYECS31XS0045744</t>
        </is>
      </c>
      <c r="FF3566" s="18" t="inlineStr">
        <is>
          <t>MDN35025030099</t>
        </is>
      </c>
      <c r="FG3566" s="18" t="inlineStr">
        <is>
          <t>Zhong Thong</t>
        </is>
      </c>
      <c r="FH3566" s="18" t="inlineStr">
        <is>
          <t>Lck6122evg</t>
        </is>
      </c>
      <c r="FI3566" s="18" t="inlineStr">
        <is>
          <t>Zhong Thong</t>
        </is>
      </c>
      <c r="FJ3566" s="18" t="inlineStr">
        <is>
          <t>Lck6122evg</t>
        </is>
      </c>
      <c r="FK3566" s="18" t="n">
        <v>2026</v>
      </c>
      <c r="FL3566" s="18" t="inlineStr">
        <is>
          <t>B</t>
        </is>
      </c>
      <c r="FM3566" s="18" t="inlineStr">
        <is>
          <t>Las Acacias</t>
        </is>
      </c>
      <c r="FP3566" t="inlineStr">
        <is>
          <t>B</t>
        </is>
      </c>
    </row>
    <row r="3567">
      <c r="FC3567" t="inlineStr">
        <is>
          <t>Diccionario 4</t>
        </is>
      </c>
      <c r="FD3567" s="15" t="inlineStr">
        <is>
          <t>VLSV-32|</t>
        </is>
      </c>
      <c r="FE3567" s="17" t="inlineStr">
        <is>
          <t>LDYECS311S0045843</t>
        </is>
      </c>
      <c r="FF3567" s="18" t="inlineStr">
        <is>
          <t>MDN35025030281</t>
        </is>
      </c>
      <c r="FG3567" s="18" t="inlineStr">
        <is>
          <t>Zhong Thong</t>
        </is>
      </c>
      <c r="FH3567" s="18" t="inlineStr">
        <is>
          <t>Lck6122evg</t>
        </is>
      </c>
      <c r="FI3567" s="18" t="inlineStr">
        <is>
          <t>Zhong Thong</t>
        </is>
      </c>
      <c r="FJ3567" s="18" t="inlineStr">
        <is>
          <t>Lck6122evg</t>
        </is>
      </c>
      <c r="FK3567" s="18" t="n">
        <v>2026</v>
      </c>
      <c r="FL3567" s="18" t="inlineStr">
        <is>
          <t>B</t>
        </is>
      </c>
      <c r="FM3567" s="18" t="inlineStr">
        <is>
          <t>Las Acacias</t>
        </is>
      </c>
      <c r="FP3567" t="inlineStr">
        <is>
          <t>B</t>
        </is>
      </c>
    </row>
    <row r="3568">
      <c r="FC3568" t="inlineStr">
        <is>
          <t>Diccionario 4</t>
        </is>
      </c>
      <c r="FD3568" s="15" t="inlineStr">
        <is>
          <t>VLSW-32|</t>
        </is>
      </c>
      <c r="FE3568" s="17" t="inlineStr">
        <is>
          <t>LDYECS31XS0045887</t>
        </is>
      </c>
      <c r="FF3568" s="18" t="inlineStr">
        <is>
          <t>MDN35025010014</t>
        </is>
      </c>
      <c r="FG3568" s="18" t="inlineStr">
        <is>
          <t>Zhong Thong</t>
        </is>
      </c>
      <c r="FH3568" s="18" t="inlineStr">
        <is>
          <t>Lck6122evg</t>
        </is>
      </c>
      <c r="FI3568" s="18" t="inlineStr">
        <is>
          <t>Zhong Thong</t>
        </is>
      </c>
      <c r="FJ3568" s="18" t="inlineStr">
        <is>
          <t>Lck6122evg</t>
        </is>
      </c>
      <c r="FK3568" s="18" t="n">
        <v>2026</v>
      </c>
      <c r="FL3568" s="18" t="inlineStr">
        <is>
          <t>B</t>
        </is>
      </c>
      <c r="FM3568" s="18" t="inlineStr">
        <is>
          <t>Las Acacias</t>
        </is>
      </c>
      <c r="FP3568" t="inlineStr">
        <is>
          <t>B</t>
        </is>
      </c>
    </row>
    <row r="3569">
      <c r="FC3569" t="inlineStr">
        <is>
          <t>Diccionario 4</t>
        </is>
      </c>
      <c r="FD3569" s="15" t="inlineStr">
        <is>
          <t>VLSY-93|</t>
        </is>
      </c>
      <c r="FE3569" s="17" t="inlineStr">
        <is>
          <t>LDYECS314S0045755</t>
        </is>
      </c>
      <c r="FF3569" s="18" t="inlineStr">
        <is>
          <t>MDN35025030243</t>
        </is>
      </c>
      <c r="FG3569" s="18" t="inlineStr">
        <is>
          <t>Zhong Thong</t>
        </is>
      </c>
      <c r="FH3569" s="18" t="inlineStr">
        <is>
          <t>Lck6122evg</t>
        </is>
      </c>
      <c r="FI3569" s="18" t="inlineStr">
        <is>
          <t>Zhong Thong</t>
        </is>
      </c>
      <c r="FJ3569" s="18" t="inlineStr">
        <is>
          <t>Lck6122evg</t>
        </is>
      </c>
      <c r="FK3569" s="18" t="n">
        <v>2026</v>
      </c>
      <c r="FL3569" s="18" t="inlineStr">
        <is>
          <t>B</t>
        </is>
      </c>
      <c r="FM3569" s="18" t="inlineStr">
        <is>
          <t>Las Acacias</t>
        </is>
      </c>
      <c r="FP3569" t="inlineStr">
        <is>
          <t>B</t>
        </is>
      </c>
    </row>
    <row r="3570">
      <c r="FC3570" t="inlineStr">
        <is>
          <t>Diccionario 4</t>
        </is>
      </c>
      <c r="FD3570" s="15" t="inlineStr">
        <is>
          <t>VLSY-95|</t>
        </is>
      </c>
      <c r="FE3570" s="17" t="inlineStr">
        <is>
          <t>LDYECS319S0045847</t>
        </is>
      </c>
      <c r="FF3570" s="18" t="inlineStr">
        <is>
          <t>MDN35025030242</t>
        </is>
      </c>
      <c r="FG3570" s="18" t="inlineStr">
        <is>
          <t>Zhong Thong</t>
        </is>
      </c>
      <c r="FH3570" s="18" t="inlineStr">
        <is>
          <t>Lck6122evg</t>
        </is>
      </c>
      <c r="FI3570" s="18" t="inlineStr">
        <is>
          <t>Zhong Thong</t>
        </is>
      </c>
      <c r="FJ3570" s="18" t="inlineStr">
        <is>
          <t>Lck6122evg</t>
        </is>
      </c>
      <c r="FK3570" s="18" t="n">
        <v>2026</v>
      </c>
      <c r="FL3570" s="18" t="inlineStr">
        <is>
          <t>B</t>
        </is>
      </c>
      <c r="FM3570" s="18" t="inlineStr">
        <is>
          <t>Las Acacias</t>
        </is>
      </c>
      <c r="FP3570" t="inlineStr">
        <is>
          <t>B</t>
        </is>
      </c>
    </row>
    <row r="3571">
      <c r="FC3571" t="inlineStr">
        <is>
          <t>Diccionario 4</t>
        </is>
      </c>
      <c r="FD3571" s="15" t="inlineStr">
        <is>
          <t>VLSY-96|</t>
        </is>
      </c>
      <c r="FE3571" s="17" t="inlineStr">
        <is>
          <t>LDYECS316S0045854</t>
        </is>
      </c>
      <c r="FF3571" s="18" t="inlineStr">
        <is>
          <t>MDN35025030125</t>
        </is>
      </c>
      <c r="FG3571" s="18" t="inlineStr">
        <is>
          <t>Zhong Thong</t>
        </is>
      </c>
      <c r="FH3571" s="18" t="inlineStr">
        <is>
          <t>Lck6122evg</t>
        </is>
      </c>
      <c r="FI3571" s="18" t="inlineStr">
        <is>
          <t>Zhong Thong</t>
        </is>
      </c>
      <c r="FJ3571" s="18" t="inlineStr">
        <is>
          <t>Lck6122evg</t>
        </is>
      </c>
      <c r="FK3571" s="18" t="n">
        <v>2026</v>
      </c>
      <c r="FL3571" s="18" t="inlineStr">
        <is>
          <t>B</t>
        </is>
      </c>
      <c r="FM3571" s="18" t="inlineStr">
        <is>
          <t>Las Acacias</t>
        </is>
      </c>
      <c r="FP3571" t="inlineStr">
        <is>
          <t>B</t>
        </is>
      </c>
    </row>
    <row r="3572">
      <c r="FC3572" t="inlineStr">
        <is>
          <t>Diccionario 4</t>
        </is>
      </c>
      <c r="FD3572" s="15" t="inlineStr">
        <is>
          <t>VLSY-97|</t>
        </is>
      </c>
      <c r="FE3572" s="17" t="inlineStr">
        <is>
          <t>LDYECS318S0045757</t>
        </is>
      </c>
      <c r="FF3572" s="18" t="inlineStr">
        <is>
          <t>MDN35025030175</t>
        </is>
      </c>
      <c r="FG3572" s="18" t="inlineStr">
        <is>
          <t>Zhong Thong</t>
        </is>
      </c>
      <c r="FH3572" s="18" t="inlineStr">
        <is>
          <t>Lck6122evg</t>
        </is>
      </c>
      <c r="FI3572" s="18" t="inlineStr">
        <is>
          <t>Zhong Thong</t>
        </is>
      </c>
      <c r="FJ3572" s="18" t="inlineStr">
        <is>
          <t>Lck6122evg</t>
        </is>
      </c>
      <c r="FK3572" s="18" t="n">
        <v>2026</v>
      </c>
      <c r="FL3572" s="18" t="inlineStr">
        <is>
          <t>B</t>
        </is>
      </c>
      <c r="FM3572" s="18" t="inlineStr">
        <is>
          <t>Las Acacias</t>
        </is>
      </c>
      <c r="FP3572" t="inlineStr">
        <is>
          <t>B</t>
        </is>
      </c>
    </row>
    <row r="3573">
      <c r="FC3573" t="inlineStr">
        <is>
          <t>Diccionario 4</t>
        </is>
      </c>
      <c r="FD3573" s="15" t="inlineStr">
        <is>
          <t>VLSY-98|</t>
        </is>
      </c>
      <c r="FE3573" s="17" t="inlineStr">
        <is>
          <t>LDYECS31XS0045856</t>
        </is>
      </c>
      <c r="FF3573" s="18" t="inlineStr">
        <is>
          <t>MDN35025030127</t>
        </is>
      </c>
      <c r="FG3573" s="18" t="inlineStr">
        <is>
          <t>Zhong Thong</t>
        </is>
      </c>
      <c r="FH3573" s="18" t="inlineStr">
        <is>
          <t>Lck6122evg</t>
        </is>
      </c>
      <c r="FI3573" s="18" t="inlineStr">
        <is>
          <t>Zhong Thong</t>
        </is>
      </c>
      <c r="FJ3573" s="18" t="inlineStr">
        <is>
          <t>Lck6122evg</t>
        </is>
      </c>
      <c r="FK3573" s="18" t="n">
        <v>2026</v>
      </c>
      <c r="FL3573" s="18" t="inlineStr">
        <is>
          <t>B</t>
        </is>
      </c>
      <c r="FM3573" s="18" t="inlineStr">
        <is>
          <t>Las Acacias</t>
        </is>
      </c>
      <c r="FP3573" t="inlineStr">
        <is>
          <t>B</t>
        </is>
      </c>
    </row>
    <row r="3574">
      <c r="FC3574" t="inlineStr">
        <is>
          <t>Diccionario 4</t>
        </is>
      </c>
      <c r="FD3574" s="15" t="inlineStr">
        <is>
          <t>VLSZ-15|</t>
        </is>
      </c>
      <c r="FE3574" s="17" t="inlineStr">
        <is>
          <t>LDYECS312S0045849</t>
        </is>
      </c>
      <c r="FF3574" s="18" t="inlineStr">
        <is>
          <t>MDN35025030294</t>
        </is>
      </c>
      <c r="FG3574" s="18" t="inlineStr">
        <is>
          <t>Zhong Thong</t>
        </is>
      </c>
      <c r="FH3574" s="18" t="inlineStr">
        <is>
          <t>Lck6122evg</t>
        </is>
      </c>
      <c r="FI3574" s="18" t="inlineStr">
        <is>
          <t>Zhong Thong</t>
        </is>
      </c>
      <c r="FJ3574" s="18" t="inlineStr">
        <is>
          <t>Lck6122evg</t>
        </is>
      </c>
      <c r="FK3574" s="18" t="n">
        <v>2026</v>
      </c>
      <c r="FL3574" s="18" t="inlineStr">
        <is>
          <t>B</t>
        </is>
      </c>
      <c r="FM3574" s="18" t="inlineStr">
        <is>
          <t>Las Acacias</t>
        </is>
      </c>
      <c r="FP3574" t="inlineStr">
        <is>
          <t>B</t>
        </is>
      </c>
    </row>
    <row r="3575">
      <c r="FC3575" t="inlineStr">
        <is>
          <t>Diccionario 4</t>
        </is>
      </c>
      <c r="FD3575" s="15" t="inlineStr">
        <is>
          <t>VLSZ-16|</t>
        </is>
      </c>
      <c r="FE3575" s="17" t="inlineStr">
        <is>
          <t>LDYECS312S0045754</t>
        </is>
      </c>
      <c r="FF3575" s="18" t="inlineStr">
        <is>
          <t>MDN35025030177</t>
        </is>
      </c>
      <c r="FG3575" s="18" t="inlineStr">
        <is>
          <t>Zhong Thong</t>
        </is>
      </c>
      <c r="FH3575" s="18" t="inlineStr">
        <is>
          <t>Lck6122evg</t>
        </is>
      </c>
      <c r="FI3575" s="18" t="inlineStr">
        <is>
          <t>Zhong Thong</t>
        </is>
      </c>
      <c r="FJ3575" s="18" t="inlineStr">
        <is>
          <t>Lck6122evg</t>
        </is>
      </c>
      <c r="FK3575" s="18" t="n">
        <v>2026</v>
      </c>
      <c r="FL3575" s="18" t="inlineStr">
        <is>
          <t>B</t>
        </is>
      </c>
      <c r="FM3575" s="18" t="inlineStr">
        <is>
          <t>Las Acacias</t>
        </is>
      </c>
      <c r="FP3575" t="inlineStr">
        <is>
          <t>B</t>
        </is>
      </c>
    </row>
    <row r="3576">
      <c r="FC3576" t="inlineStr">
        <is>
          <t>Diccionario 4</t>
        </is>
      </c>
      <c r="FD3576" s="15" t="inlineStr">
        <is>
          <t>VLSZ-23|</t>
        </is>
      </c>
      <c r="FE3576" s="17" t="inlineStr">
        <is>
          <t>LDYECS310S0045865</t>
        </is>
      </c>
      <c r="FF3576" s="18" t="inlineStr">
        <is>
          <t>MDN35025030267</t>
        </is>
      </c>
      <c r="FG3576" s="18" t="inlineStr">
        <is>
          <t>Zhong Thong</t>
        </is>
      </c>
      <c r="FH3576" s="18" t="inlineStr">
        <is>
          <t>Lck6122evg</t>
        </is>
      </c>
      <c r="FI3576" s="18" t="inlineStr">
        <is>
          <t>Zhong Thong</t>
        </is>
      </c>
      <c r="FJ3576" s="18" t="inlineStr">
        <is>
          <t>Lck6122evg</t>
        </is>
      </c>
      <c r="FK3576" s="18" t="n">
        <v>2026</v>
      </c>
      <c r="FL3576" s="18" t="inlineStr">
        <is>
          <t>B</t>
        </is>
      </c>
      <c r="FM3576" s="18" t="inlineStr">
        <is>
          <t>Las Acacias</t>
        </is>
      </c>
      <c r="FP3576" t="inlineStr">
        <is>
          <t>B</t>
        </is>
      </c>
    </row>
    <row r="3577">
      <c r="FC3577" t="inlineStr">
        <is>
          <t>Diccionario 4</t>
        </is>
      </c>
      <c r="FD3577" s="15" t="inlineStr">
        <is>
          <t>FLXZ-95|</t>
        </is>
      </c>
      <c r="FE3577" s="17" t="inlineStr">
        <is>
          <t>LC9LC30F5JALA6109</t>
        </is>
      </c>
      <c r="FF3577" s="18" t="inlineStr">
        <is>
          <t>G174J60001</t>
        </is>
      </c>
      <c r="FG3577" s="18" t="inlineStr">
        <is>
          <t>KING LONG</t>
        </is>
      </c>
      <c r="FH3577" s="18" t="inlineStr">
        <is>
          <t>XMQ 6127</t>
        </is>
      </c>
      <c r="FI3577" s="18" t="inlineStr">
        <is>
          <t>KING LONG</t>
        </is>
      </c>
      <c r="FJ3577" s="18" t="inlineStr">
        <is>
          <t>XMQ 6127G E TECH</t>
        </is>
      </c>
      <c r="FK3577" s="18" t="n">
        <v>2019</v>
      </c>
      <c r="FL3577" s="18" t="inlineStr">
        <is>
          <t>B</t>
        </is>
      </c>
      <c r="FM3577" s="18" t="inlineStr">
        <is>
          <t>Recoleta</t>
        </is>
      </c>
      <c r="FP3577" t="inlineStr">
        <is>
          <t>B</t>
        </is>
      </c>
    </row>
    <row r="3578">
      <c r="FC3578" t="inlineStr">
        <is>
          <t>Diccionario 4</t>
        </is>
      </c>
      <c r="FD3578" s="15" t="inlineStr">
        <is>
          <t>GCBC-24|</t>
        </is>
      </c>
      <c r="FE3578" s="17" t="inlineStr">
        <is>
          <t>YV3T7U52XKA195288</t>
        </is>
      </c>
      <c r="FF3578" s="18" t="n">
        <v>482342</v>
      </c>
      <c r="FG3578" s="18" t="inlineStr">
        <is>
          <t>VOLVO</t>
        </is>
      </c>
      <c r="FH3578" s="18" t="inlineStr">
        <is>
          <t>B8R</t>
        </is>
      </c>
      <c r="FI3578" s="18" t="inlineStr">
        <is>
          <t>MARCOPOLO</t>
        </is>
      </c>
      <c r="FJ3578" s="18" t="inlineStr">
        <is>
          <t>TORINO</t>
        </is>
      </c>
      <c r="FK3578" s="18" t="n">
        <v>2019</v>
      </c>
      <c r="FL3578" s="18" t="inlineStr">
        <is>
          <t>BPAL</t>
        </is>
      </c>
      <c r="FM3578" s="18" t="inlineStr">
        <is>
          <t>Santa Rosa</t>
        </is>
      </c>
      <c r="FP3578" t="inlineStr">
        <is>
          <t>B</t>
        </is>
      </c>
    </row>
    <row r="3579">
      <c r="FC3579" t="inlineStr">
        <is>
          <t>Diccionario 4</t>
        </is>
      </c>
      <c r="FD3579" s="15" t="inlineStr">
        <is>
          <t>GCBC-25|</t>
        </is>
      </c>
      <c r="FE3579" s="17" t="inlineStr">
        <is>
          <t>YV3T7U520KA195591</t>
        </is>
      </c>
      <c r="FF3579" s="18" t="n">
        <v>483878</v>
      </c>
      <c r="FG3579" s="18" t="inlineStr">
        <is>
          <t>VOLVO</t>
        </is>
      </c>
      <c r="FH3579" s="18" t="inlineStr">
        <is>
          <t>B8R</t>
        </is>
      </c>
      <c r="FI3579" s="18" t="inlineStr">
        <is>
          <t>MARCOPOLO</t>
        </is>
      </c>
      <c r="FJ3579" s="18" t="inlineStr">
        <is>
          <t>TORINO</t>
        </is>
      </c>
      <c r="FK3579" s="18" t="n">
        <v>2019</v>
      </c>
      <c r="FL3579" s="18" t="inlineStr">
        <is>
          <t>BPAL</t>
        </is>
      </c>
      <c r="FM3579" s="18" t="inlineStr">
        <is>
          <t>Recoleta</t>
        </is>
      </c>
      <c r="FP3579" t="inlineStr">
        <is>
          <t>B</t>
        </is>
      </c>
    </row>
    <row r="3580">
      <c r="FC3580" t="inlineStr">
        <is>
          <t>Diccionario 4</t>
        </is>
      </c>
      <c r="FD3580" s="15" t="inlineStr">
        <is>
          <t>GCBC-26|</t>
        </is>
      </c>
      <c r="FE3580" s="17" t="inlineStr">
        <is>
          <t>YV3T7U529KA195640</t>
        </is>
      </c>
      <c r="FF3580" s="18" t="n">
        <v>479849</v>
      </c>
      <c r="FG3580" s="18" t="inlineStr">
        <is>
          <t>VOLVO</t>
        </is>
      </c>
      <c r="FH3580" s="18" t="inlineStr">
        <is>
          <t>B8R</t>
        </is>
      </c>
      <c r="FI3580" s="18" t="inlineStr">
        <is>
          <t>MARCOPOLO</t>
        </is>
      </c>
      <c r="FJ3580" s="18" t="inlineStr">
        <is>
          <t>TORINO</t>
        </is>
      </c>
      <c r="FK3580" s="18" t="n">
        <v>2019</v>
      </c>
      <c r="FL3580" s="18" t="inlineStr">
        <is>
          <t>BPAL</t>
        </is>
      </c>
      <c r="FM3580" s="18" t="inlineStr">
        <is>
          <t>Recoleta</t>
        </is>
      </c>
      <c r="FP3580" t="inlineStr">
        <is>
          <t>B</t>
        </is>
      </c>
    </row>
    <row r="3581">
      <c r="FC3581" t="inlineStr">
        <is>
          <t>Diccionario 4</t>
        </is>
      </c>
      <c r="FD3581" s="15" t="inlineStr">
        <is>
          <t>GCBC-27|</t>
        </is>
      </c>
      <c r="FE3581" s="17" t="inlineStr">
        <is>
          <t>YV3T7U526KA195689</t>
        </is>
      </c>
      <c r="FF3581" s="18" t="n">
        <v>484541</v>
      </c>
      <c r="FG3581" s="18" t="inlineStr">
        <is>
          <t>VOLVO</t>
        </is>
      </c>
      <c r="FH3581" s="18" t="inlineStr">
        <is>
          <t>B8R</t>
        </is>
      </c>
      <c r="FI3581" s="18" t="inlineStr">
        <is>
          <t>MARCOPOLO</t>
        </is>
      </c>
      <c r="FJ3581" s="18" t="inlineStr">
        <is>
          <t>TORINO</t>
        </is>
      </c>
      <c r="FK3581" s="18" t="n">
        <v>2019</v>
      </c>
      <c r="FL3581" s="18" t="inlineStr">
        <is>
          <t>BPAL</t>
        </is>
      </c>
      <c r="FM3581" s="18" t="inlineStr">
        <is>
          <t>Recoleta</t>
        </is>
      </c>
      <c r="FP3581" t="inlineStr">
        <is>
          <t>B</t>
        </is>
      </c>
    </row>
    <row r="3582">
      <c r="FC3582" t="inlineStr">
        <is>
          <t>Diccionario 4</t>
        </is>
      </c>
      <c r="FD3582" s="15" t="inlineStr">
        <is>
          <t>GCBC-28|</t>
        </is>
      </c>
      <c r="FE3582" s="17" t="inlineStr">
        <is>
          <t>YV3T7U528KA195189</t>
        </is>
      </c>
      <c r="FF3582" s="18" t="n">
        <v>481662</v>
      </c>
      <c r="FG3582" s="18" t="inlineStr">
        <is>
          <t>VOLVO</t>
        </is>
      </c>
      <c r="FH3582" s="18" t="inlineStr">
        <is>
          <t>B8R</t>
        </is>
      </c>
      <c r="FI3582" s="18" t="inlineStr">
        <is>
          <t>MARCOPOLO</t>
        </is>
      </c>
      <c r="FJ3582" s="18" t="inlineStr">
        <is>
          <t>TORINO</t>
        </is>
      </c>
      <c r="FK3582" s="18" t="n">
        <v>2019</v>
      </c>
      <c r="FL3582" s="18" t="inlineStr">
        <is>
          <t>BPAL</t>
        </is>
      </c>
      <c r="FM3582" s="18" t="inlineStr">
        <is>
          <t>Santa Rosa</t>
        </is>
      </c>
      <c r="FP3582" t="inlineStr">
        <is>
          <t>B</t>
        </is>
      </c>
    </row>
    <row r="3583">
      <c r="FC3583" t="inlineStr">
        <is>
          <t>Diccionario 4</t>
        </is>
      </c>
      <c r="FD3583" s="15" t="inlineStr">
        <is>
          <t>GCBC-29|</t>
        </is>
      </c>
      <c r="FE3583" s="17" t="inlineStr">
        <is>
          <t>YV3T7U527KA195149</t>
        </is>
      </c>
      <c r="FF3583" s="18" t="n">
        <v>478253</v>
      </c>
      <c r="FG3583" s="18" t="inlineStr">
        <is>
          <t>VOLVO</t>
        </is>
      </c>
      <c r="FH3583" s="18" t="inlineStr">
        <is>
          <t>B8R</t>
        </is>
      </c>
      <c r="FI3583" s="18" t="inlineStr">
        <is>
          <t>MARCOPOLO</t>
        </is>
      </c>
      <c r="FJ3583" s="18" t="inlineStr">
        <is>
          <t>TORINO</t>
        </is>
      </c>
      <c r="FK3583" s="18" t="n">
        <v>2019</v>
      </c>
      <c r="FL3583" s="18" t="inlineStr">
        <is>
          <t>BPAL</t>
        </is>
      </c>
      <c r="FM3583" s="18" t="inlineStr">
        <is>
          <t>Santa Rosa</t>
        </is>
      </c>
      <c r="FP3583" t="inlineStr">
        <is>
          <t>B</t>
        </is>
      </c>
    </row>
    <row r="3584">
      <c r="FC3584" t="inlineStr">
        <is>
          <t>Diccionario 4</t>
        </is>
      </c>
      <c r="FD3584" s="15" t="inlineStr">
        <is>
          <t>GCBC-30|</t>
        </is>
      </c>
      <c r="FE3584" s="17" t="inlineStr">
        <is>
          <t>YV3T7U528KA195354</t>
        </is>
      </c>
      <c r="FF3584" s="18" t="n">
        <v>482584</v>
      </c>
      <c r="FG3584" s="18" t="inlineStr">
        <is>
          <t>VOLVO</t>
        </is>
      </c>
      <c r="FH3584" s="18" t="inlineStr">
        <is>
          <t>B8R</t>
        </is>
      </c>
      <c r="FI3584" s="18" t="inlineStr">
        <is>
          <t>MARCOPOLO</t>
        </is>
      </c>
      <c r="FJ3584" s="18" t="inlineStr">
        <is>
          <t>TORINO</t>
        </is>
      </c>
      <c r="FK3584" s="18" t="n">
        <v>2019</v>
      </c>
      <c r="FL3584" s="18" t="inlineStr">
        <is>
          <t>BPAL</t>
        </is>
      </c>
      <c r="FM3584" s="18" t="inlineStr">
        <is>
          <t>Santa Rosa</t>
        </is>
      </c>
      <c r="FP3584" t="inlineStr">
        <is>
          <t>B</t>
        </is>
      </c>
    </row>
    <row r="3585">
      <c r="FC3585" t="inlineStr">
        <is>
          <t>Diccionario 4</t>
        </is>
      </c>
      <c r="FD3585" s="15" t="inlineStr">
        <is>
          <t>GCBC-31|</t>
        </is>
      </c>
      <c r="FE3585" s="17" t="inlineStr">
        <is>
          <t>YV3T7U525KA195358</t>
        </is>
      </c>
      <c r="FF3585" s="18" t="n">
        <v>482487</v>
      </c>
      <c r="FG3585" s="18" t="inlineStr">
        <is>
          <t>VOLVO</t>
        </is>
      </c>
      <c r="FH3585" s="18" t="inlineStr">
        <is>
          <t>B8R</t>
        </is>
      </c>
      <c r="FI3585" s="18" t="inlineStr">
        <is>
          <t>MARCOPOLO</t>
        </is>
      </c>
      <c r="FJ3585" s="18" t="inlineStr">
        <is>
          <t>TORINO</t>
        </is>
      </c>
      <c r="FK3585" s="18" t="n">
        <v>2019</v>
      </c>
      <c r="FL3585" s="18" t="inlineStr">
        <is>
          <t>BPAL</t>
        </is>
      </c>
      <c r="FM3585" s="18" t="inlineStr">
        <is>
          <t>Santa Rosa</t>
        </is>
      </c>
      <c r="FP3585" t="inlineStr">
        <is>
          <t>B</t>
        </is>
      </c>
    </row>
    <row r="3586">
      <c r="FC3586" t="inlineStr">
        <is>
          <t>Diccionario 4</t>
        </is>
      </c>
      <c r="FD3586" s="15" t="inlineStr">
        <is>
          <t>GCBC-33|</t>
        </is>
      </c>
      <c r="FE3586" s="17" t="inlineStr">
        <is>
          <t>YV3T7U529KA195573</t>
        </is>
      </c>
      <c r="FF3586" s="18" t="n">
        <v>483422</v>
      </c>
      <c r="FG3586" s="18" t="inlineStr">
        <is>
          <t>VOLVO</t>
        </is>
      </c>
      <c r="FH3586" s="18" t="inlineStr">
        <is>
          <t>B8R</t>
        </is>
      </c>
      <c r="FI3586" s="18" t="inlineStr">
        <is>
          <t>MARCOPOLO</t>
        </is>
      </c>
      <c r="FJ3586" s="18" t="inlineStr">
        <is>
          <t>TORINO</t>
        </is>
      </c>
      <c r="FK3586" s="18" t="n">
        <v>2019</v>
      </c>
      <c r="FL3586" s="18" t="inlineStr">
        <is>
          <t>BPAL</t>
        </is>
      </c>
      <c r="FM3586" s="18" t="inlineStr">
        <is>
          <t>Recoleta</t>
        </is>
      </c>
      <c r="FP3586" t="inlineStr">
        <is>
          <t>B</t>
        </is>
      </c>
    </row>
    <row r="3587">
      <c r="FC3587" t="inlineStr">
        <is>
          <t>Diccionario 4</t>
        </is>
      </c>
      <c r="FD3587" s="15" t="inlineStr">
        <is>
          <t>GCBC-34|</t>
        </is>
      </c>
      <c r="FE3587" s="17" t="inlineStr">
        <is>
          <t>YV3T7U526KA195711</t>
        </is>
      </c>
      <c r="FF3587" s="18" t="n">
        <v>484639</v>
      </c>
      <c r="FG3587" s="18" t="inlineStr">
        <is>
          <t>VOLVO</t>
        </is>
      </c>
      <c r="FH3587" s="18" t="inlineStr">
        <is>
          <t>B8R</t>
        </is>
      </c>
      <c r="FI3587" s="18" t="inlineStr">
        <is>
          <t>MARCOPOLO</t>
        </is>
      </c>
      <c r="FJ3587" s="18" t="inlineStr">
        <is>
          <t>TORINO</t>
        </is>
      </c>
      <c r="FK3587" s="18" t="n">
        <v>2019</v>
      </c>
      <c r="FL3587" s="18" t="inlineStr">
        <is>
          <t>BPAL</t>
        </is>
      </c>
      <c r="FM3587" s="18" t="inlineStr">
        <is>
          <t>Recoleta</t>
        </is>
      </c>
      <c r="FP3587" t="inlineStr">
        <is>
          <t>B</t>
        </is>
      </c>
    </row>
    <row r="3588">
      <c r="FC3588" t="inlineStr">
        <is>
          <t>Diccionario 4</t>
        </is>
      </c>
      <c r="FD3588" s="15" t="inlineStr">
        <is>
          <t>GCBC-35|</t>
        </is>
      </c>
      <c r="FE3588" s="17" t="inlineStr">
        <is>
          <t>YV3T7U522KA195687</t>
        </is>
      </c>
      <c r="FF3588" s="18" t="n">
        <v>484547</v>
      </c>
      <c r="FG3588" s="18" t="inlineStr">
        <is>
          <t>VOLVO</t>
        </is>
      </c>
      <c r="FH3588" s="18" t="inlineStr">
        <is>
          <t>B8R</t>
        </is>
      </c>
      <c r="FI3588" s="18" t="inlineStr">
        <is>
          <t>MARCOPOLO</t>
        </is>
      </c>
      <c r="FJ3588" s="18" t="inlineStr">
        <is>
          <t>TORINO</t>
        </is>
      </c>
      <c r="FK3588" s="18" t="n">
        <v>2019</v>
      </c>
      <c r="FL3588" s="18" t="inlineStr">
        <is>
          <t>BPAL</t>
        </is>
      </c>
      <c r="FM3588" s="18" t="inlineStr">
        <is>
          <t>Recoleta</t>
        </is>
      </c>
      <c r="FP3588" t="inlineStr">
        <is>
          <t>B</t>
        </is>
      </c>
    </row>
    <row r="3589">
      <c r="FC3589" t="inlineStr">
        <is>
          <t>Diccionario 4</t>
        </is>
      </c>
      <c r="FD3589" s="15" t="inlineStr">
        <is>
          <t>GCBF-43|</t>
        </is>
      </c>
      <c r="FE3589" s="17" t="inlineStr">
        <is>
          <t>YV3T7U520LA200970</t>
        </is>
      </c>
      <c r="FF3589" s="18" t="n">
        <v>506294</v>
      </c>
      <c r="FG3589" s="18" t="inlineStr">
        <is>
          <t>VOLVO</t>
        </is>
      </c>
      <c r="FH3589" s="18" t="inlineStr">
        <is>
          <t>B8RLEA</t>
        </is>
      </c>
      <c r="FI3589" s="18" t="inlineStr">
        <is>
          <t>MARCOPOLO</t>
        </is>
      </c>
      <c r="FJ3589" s="18" t="inlineStr">
        <is>
          <t>GRAN VIALE</t>
        </is>
      </c>
      <c r="FK3589" s="18" t="n">
        <v>2020</v>
      </c>
      <c r="FL3589" s="18" t="inlineStr">
        <is>
          <t>C</t>
        </is>
      </c>
      <c r="FM3589" s="18" t="inlineStr">
        <is>
          <t>Recoleta</t>
        </is>
      </c>
      <c r="FP3589" t="inlineStr">
        <is>
          <t>C</t>
        </is>
      </c>
    </row>
    <row r="3590">
      <c r="FC3590" t="inlineStr">
        <is>
          <t>Diccionario 4</t>
        </is>
      </c>
      <c r="FD3590" s="15" t="inlineStr">
        <is>
          <t>GCBF-44|</t>
        </is>
      </c>
      <c r="FE3590" s="17" t="inlineStr">
        <is>
          <t>YV3T7U524LA200874</t>
        </is>
      </c>
      <c r="FF3590" s="18" t="n">
        <v>505924</v>
      </c>
      <c r="FG3590" s="18" t="inlineStr">
        <is>
          <t>VOLVO</t>
        </is>
      </c>
      <c r="FH3590" s="18" t="inlineStr">
        <is>
          <t>B8RLEA</t>
        </is>
      </c>
      <c r="FI3590" s="18" t="inlineStr">
        <is>
          <t>MARCOPOLO</t>
        </is>
      </c>
      <c r="FJ3590" s="18" t="inlineStr">
        <is>
          <t>GRAN VIALE</t>
        </is>
      </c>
      <c r="FK3590" s="18" t="n">
        <v>2020</v>
      </c>
      <c r="FL3590" s="18" t="inlineStr">
        <is>
          <t>C</t>
        </is>
      </c>
      <c r="FM3590" s="18" t="inlineStr">
        <is>
          <t>Recoleta</t>
        </is>
      </c>
      <c r="FP3590" t="inlineStr">
        <is>
          <t>C</t>
        </is>
      </c>
    </row>
    <row r="3591">
      <c r="FC3591" t="inlineStr">
        <is>
          <t>Diccionario 4</t>
        </is>
      </c>
      <c r="FD3591" s="15" t="inlineStr">
        <is>
          <t>GCBF-45|</t>
        </is>
      </c>
      <c r="FE3591" s="17" t="inlineStr">
        <is>
          <t>YV3T7U526LA200875</t>
        </is>
      </c>
      <c r="FF3591" s="18" t="n">
        <v>505881</v>
      </c>
      <c r="FG3591" s="18" t="inlineStr">
        <is>
          <t>VOLVO</t>
        </is>
      </c>
      <c r="FH3591" s="18" t="inlineStr">
        <is>
          <t>B8RLEA</t>
        </is>
      </c>
      <c r="FI3591" s="18" t="inlineStr">
        <is>
          <t>MARCOPOLO</t>
        </is>
      </c>
      <c r="FJ3591" s="18" t="inlineStr">
        <is>
          <t>GRAN VIALE</t>
        </is>
      </c>
      <c r="FK3591" s="18" t="n">
        <v>2020</v>
      </c>
      <c r="FL3591" s="18" t="inlineStr">
        <is>
          <t>C</t>
        </is>
      </c>
      <c r="FM3591" s="18" t="inlineStr">
        <is>
          <t>Lo Blanco</t>
        </is>
      </c>
      <c r="FP3591" t="inlineStr">
        <is>
          <t>C</t>
        </is>
      </c>
    </row>
    <row r="3592">
      <c r="FC3592" t="inlineStr">
        <is>
          <t>Diccionario 4</t>
        </is>
      </c>
      <c r="FD3592" s="15" t="inlineStr">
        <is>
          <t>GCBF-46|</t>
        </is>
      </c>
      <c r="FE3592" s="17" t="inlineStr">
        <is>
          <t>YV3T7U528LA200876</t>
        </is>
      </c>
      <c r="FF3592" s="18" t="n">
        <v>505895</v>
      </c>
      <c r="FG3592" s="18" t="inlineStr">
        <is>
          <t>VOLVO</t>
        </is>
      </c>
      <c r="FH3592" s="18" t="inlineStr">
        <is>
          <t>B8RLEA</t>
        </is>
      </c>
      <c r="FI3592" s="18" t="inlineStr">
        <is>
          <t>MARCOPOLO</t>
        </is>
      </c>
      <c r="FJ3592" s="18" t="inlineStr">
        <is>
          <t>GRAN VIALE</t>
        </is>
      </c>
      <c r="FK3592" s="18" t="n">
        <v>2020</v>
      </c>
      <c r="FL3592" s="18" t="inlineStr">
        <is>
          <t>C</t>
        </is>
      </c>
      <c r="FM3592" s="18" t="inlineStr">
        <is>
          <t>Recoleta</t>
        </is>
      </c>
      <c r="FP3592" t="inlineStr">
        <is>
          <t>C</t>
        </is>
      </c>
    </row>
    <row r="3593">
      <c r="FC3593" t="inlineStr">
        <is>
          <t>Diccionario 4</t>
        </is>
      </c>
      <c r="FD3593" s="15" t="inlineStr">
        <is>
          <t>GCBF-47|</t>
        </is>
      </c>
      <c r="FE3593" s="17" t="inlineStr">
        <is>
          <t>YV3T7U520LA200886</t>
        </is>
      </c>
      <c r="FF3593" s="18" t="n">
        <v>506176</v>
      </c>
      <c r="FG3593" s="18" t="inlineStr">
        <is>
          <t>VOLVO</t>
        </is>
      </c>
      <c r="FH3593" s="18" t="inlineStr">
        <is>
          <t>B8RLEA</t>
        </is>
      </c>
      <c r="FI3593" s="18" t="inlineStr">
        <is>
          <t>MARCOPOLO</t>
        </is>
      </c>
      <c r="FJ3593" s="18" t="inlineStr">
        <is>
          <t>GRAN VIALE</t>
        </is>
      </c>
      <c r="FK3593" s="18" t="n">
        <v>2020</v>
      </c>
      <c r="FL3593" s="18" t="inlineStr">
        <is>
          <t>C</t>
        </is>
      </c>
      <c r="FM3593" s="18" t="inlineStr">
        <is>
          <t>Recoleta</t>
        </is>
      </c>
      <c r="FP3593" t="inlineStr">
        <is>
          <t>C</t>
        </is>
      </c>
    </row>
    <row r="3594">
      <c r="FC3594" t="inlineStr">
        <is>
          <t>Diccionario 4</t>
        </is>
      </c>
      <c r="FD3594" s="15" t="inlineStr">
        <is>
          <t>GCBF-48|</t>
        </is>
      </c>
      <c r="FE3594" s="17" t="inlineStr">
        <is>
          <t>YV3T7U522LA200887</t>
        </is>
      </c>
      <c r="FF3594" s="18" t="n">
        <v>506197</v>
      </c>
      <c r="FG3594" s="18" t="inlineStr">
        <is>
          <t>VOLVO</t>
        </is>
      </c>
      <c r="FH3594" s="18" t="inlineStr">
        <is>
          <t>B8RLEA</t>
        </is>
      </c>
      <c r="FI3594" s="18" t="inlineStr">
        <is>
          <t>MARCOPOLO</t>
        </is>
      </c>
      <c r="FJ3594" s="18" t="inlineStr">
        <is>
          <t>GRAN VIALE</t>
        </is>
      </c>
      <c r="FK3594" s="18" t="n">
        <v>2020</v>
      </c>
      <c r="FL3594" s="18" t="inlineStr">
        <is>
          <t>C</t>
        </is>
      </c>
      <c r="FM3594" s="18" t="inlineStr">
        <is>
          <t>Recoleta</t>
        </is>
      </c>
      <c r="FP3594" t="inlineStr">
        <is>
          <t>C</t>
        </is>
      </c>
    </row>
    <row r="3595">
      <c r="FC3595" t="inlineStr">
        <is>
          <t>Diccionario 4</t>
        </is>
      </c>
      <c r="FD3595" s="15" t="inlineStr">
        <is>
          <t>GCBF-49|</t>
        </is>
      </c>
      <c r="FE3595" s="17" t="inlineStr">
        <is>
          <t>YV3T7U526LA200925</t>
        </is>
      </c>
      <c r="FF3595" s="18" t="n">
        <v>506187</v>
      </c>
      <c r="FG3595" s="18" t="inlineStr">
        <is>
          <t>VOLVO</t>
        </is>
      </c>
      <c r="FH3595" s="18" t="inlineStr">
        <is>
          <t>B8RLEA</t>
        </is>
      </c>
      <c r="FI3595" s="18" t="inlineStr">
        <is>
          <t>MARCOPOLO</t>
        </is>
      </c>
      <c r="FJ3595" s="18" t="inlineStr">
        <is>
          <t>GRAN VIALE</t>
        </is>
      </c>
      <c r="FK3595" s="18" t="n">
        <v>2020</v>
      </c>
      <c r="FL3595" s="18" t="inlineStr">
        <is>
          <t>C</t>
        </is>
      </c>
      <c r="FM3595" s="18" t="inlineStr">
        <is>
          <t>Recoleta</t>
        </is>
      </c>
      <c r="FP3595" t="inlineStr">
        <is>
          <t>C</t>
        </is>
      </c>
    </row>
    <row r="3596">
      <c r="FC3596" t="inlineStr">
        <is>
          <t>Diccionario 4</t>
        </is>
      </c>
      <c r="FD3596" s="15" t="inlineStr">
        <is>
          <t>GCBF-50|</t>
        </is>
      </c>
      <c r="FE3596" s="17" t="inlineStr">
        <is>
          <t>YV3T7U527LA200934</t>
        </is>
      </c>
      <c r="FF3596" s="18" t="n">
        <v>506345</v>
      </c>
      <c r="FG3596" s="18" t="inlineStr">
        <is>
          <t>VOLVO</t>
        </is>
      </c>
      <c r="FH3596" s="18" t="inlineStr">
        <is>
          <t>B8RLEA</t>
        </is>
      </c>
      <c r="FI3596" s="18" t="inlineStr">
        <is>
          <t>MARCOPOLO</t>
        </is>
      </c>
      <c r="FJ3596" s="18" t="inlineStr">
        <is>
          <t>GRAN VIALE</t>
        </is>
      </c>
      <c r="FK3596" s="18" t="n">
        <v>2020</v>
      </c>
      <c r="FL3596" s="18" t="inlineStr">
        <is>
          <t>C</t>
        </is>
      </c>
      <c r="FM3596" s="18" t="inlineStr">
        <is>
          <t>Recoleta</t>
        </is>
      </c>
      <c r="FP3596" t="inlineStr">
        <is>
          <t>C</t>
        </is>
      </c>
    </row>
    <row r="3597">
      <c r="FC3597" t="inlineStr">
        <is>
          <t>Diccionario 4</t>
        </is>
      </c>
      <c r="FD3597" s="15" t="inlineStr">
        <is>
          <t>GCBF-51|</t>
        </is>
      </c>
      <c r="FE3597" s="17" t="inlineStr">
        <is>
          <t>YV3T7U529LA200935</t>
        </is>
      </c>
      <c r="FF3597" s="18" t="n">
        <v>506403</v>
      </c>
      <c r="FG3597" s="18" t="inlineStr">
        <is>
          <t>VOLVO</t>
        </is>
      </c>
      <c r="FH3597" s="18" t="inlineStr">
        <is>
          <t>B8RLEA</t>
        </is>
      </c>
      <c r="FI3597" s="18" t="inlineStr">
        <is>
          <t>MARCOPOLO</t>
        </is>
      </c>
      <c r="FJ3597" s="18" t="inlineStr">
        <is>
          <t>GRAN VIALE</t>
        </is>
      </c>
      <c r="FK3597" s="18" t="n">
        <v>2020</v>
      </c>
      <c r="FL3597" s="18" t="inlineStr">
        <is>
          <t>C</t>
        </is>
      </c>
      <c r="FM3597" s="18" t="inlineStr">
        <is>
          <t>Recoleta</t>
        </is>
      </c>
      <c r="FP3597" t="inlineStr">
        <is>
          <t>C</t>
        </is>
      </c>
    </row>
    <row r="3598">
      <c r="FC3598" t="inlineStr">
        <is>
          <t>Diccionario 4</t>
        </is>
      </c>
      <c r="FD3598" s="15" t="inlineStr">
        <is>
          <t>GCBF-52|</t>
        </is>
      </c>
      <c r="FE3598" s="17" t="inlineStr">
        <is>
          <t>YV3T7U520LA200936</t>
        </is>
      </c>
      <c r="FF3598" s="18" t="n">
        <v>506358</v>
      </c>
      <c r="FG3598" s="18" t="inlineStr">
        <is>
          <t>VOLVO</t>
        </is>
      </c>
      <c r="FH3598" s="18" t="inlineStr">
        <is>
          <t>B8RLEA</t>
        </is>
      </c>
      <c r="FI3598" s="18" t="inlineStr">
        <is>
          <t>MARCOPOLO</t>
        </is>
      </c>
      <c r="FJ3598" s="18" t="inlineStr">
        <is>
          <t>GRAN VIALE</t>
        </is>
      </c>
      <c r="FK3598" s="18" t="n">
        <v>2020</v>
      </c>
      <c r="FL3598" s="18" t="inlineStr">
        <is>
          <t>C</t>
        </is>
      </c>
      <c r="FM3598" s="18" t="inlineStr">
        <is>
          <t>Recoleta</t>
        </is>
      </c>
      <c r="FP3598" t="inlineStr">
        <is>
          <t>C</t>
        </is>
      </c>
    </row>
    <row r="3599">
      <c r="FC3599" t="inlineStr">
        <is>
          <t>Diccionario 4</t>
        </is>
      </c>
      <c r="FD3599" s="15" t="inlineStr">
        <is>
          <t>GCBF-53|</t>
        </is>
      </c>
      <c r="FE3599" s="17" t="inlineStr">
        <is>
          <t>YV3T7U524LA200969</t>
        </is>
      </c>
      <c r="FF3599" s="18" t="n">
        <v>506311</v>
      </c>
      <c r="FG3599" s="18" t="inlineStr">
        <is>
          <t>VOLVO</t>
        </is>
      </c>
      <c r="FH3599" s="18" t="inlineStr">
        <is>
          <t>B8RLEA</t>
        </is>
      </c>
      <c r="FI3599" s="18" t="inlineStr">
        <is>
          <t>MARCOPOLO</t>
        </is>
      </c>
      <c r="FJ3599" s="18" t="inlineStr">
        <is>
          <t>GRAN VIALE</t>
        </is>
      </c>
      <c r="FK3599" s="18" t="n">
        <v>2020</v>
      </c>
      <c r="FL3599" s="18" t="inlineStr">
        <is>
          <t>C</t>
        </is>
      </c>
      <c r="FM3599" s="18" t="inlineStr">
        <is>
          <t>Recoleta</t>
        </is>
      </c>
      <c r="FP3599" t="inlineStr">
        <is>
          <t>C</t>
        </is>
      </c>
    </row>
    <row r="3600">
      <c r="FC3600" t="inlineStr">
        <is>
          <t>Diccionario 4</t>
        </is>
      </c>
      <c r="FD3600" s="15" t="inlineStr">
        <is>
          <t>LXWT-82|</t>
        </is>
      </c>
      <c r="FE3600" s="17" t="inlineStr">
        <is>
          <t>YV3T7U524LA200924</t>
        </is>
      </c>
      <c r="FF3600" s="18" t="n">
        <v>506179</v>
      </c>
      <c r="FG3600" s="18" t="inlineStr">
        <is>
          <t>VOLVO</t>
        </is>
      </c>
      <c r="FH3600" s="18" t="inlineStr">
        <is>
          <t>B8RLEA</t>
        </is>
      </c>
      <c r="FI3600" s="18" t="inlineStr">
        <is>
          <t>MARCOPOLO</t>
        </is>
      </c>
      <c r="FJ3600" s="18" t="inlineStr">
        <is>
          <t>GRAN VIALE</t>
        </is>
      </c>
      <c r="FK3600" s="18" t="n">
        <v>2020</v>
      </c>
      <c r="FL3600" s="18" t="inlineStr">
        <is>
          <t>C</t>
        </is>
      </c>
      <c r="FM3600" s="18" t="inlineStr">
        <is>
          <t>Recoleta</t>
        </is>
      </c>
      <c r="FP3600" t="inlineStr">
        <is>
          <t>C</t>
        </is>
      </c>
    </row>
    <row r="3601">
      <c r="FC3601" t="inlineStr">
        <is>
          <t>Diccionario 4</t>
        </is>
      </c>
      <c r="FD3601" s="15" t="inlineStr">
        <is>
          <t>LXWT-83|</t>
        </is>
      </c>
      <c r="FE3601" s="17" t="inlineStr">
        <is>
          <t>YV3T7U522LA200873</t>
        </is>
      </c>
      <c r="FF3601" s="18" t="n">
        <v>505882</v>
      </c>
      <c r="FG3601" s="18" t="inlineStr">
        <is>
          <t>VOLVO</t>
        </is>
      </c>
      <c r="FH3601" s="18" t="inlineStr">
        <is>
          <t>B8RLEA</t>
        </is>
      </c>
      <c r="FI3601" s="18" t="inlineStr">
        <is>
          <t>MARCOPOLO</t>
        </is>
      </c>
      <c r="FJ3601" s="18" t="inlineStr">
        <is>
          <t>GRAN VIALE</t>
        </is>
      </c>
      <c r="FK3601" s="18" t="n">
        <v>2020</v>
      </c>
      <c r="FL3601" s="18" t="inlineStr">
        <is>
          <t>C</t>
        </is>
      </c>
      <c r="FM3601" s="18" t="inlineStr">
        <is>
          <t>Recoleta</t>
        </is>
      </c>
      <c r="FP3601" t="inlineStr">
        <is>
          <t>C</t>
        </is>
      </c>
    </row>
    <row r="3602">
      <c r="FC3602" t="inlineStr">
        <is>
          <t>Diccionario 4</t>
        </is>
      </c>
      <c r="FD3602" s="15" t="inlineStr">
        <is>
          <t>LXWT-84|</t>
        </is>
      </c>
      <c r="FE3602" s="17" t="inlineStr">
        <is>
          <t>YV3T7U520LA198721</t>
        </is>
      </c>
      <c r="FF3602" s="18" t="n">
        <v>500916</v>
      </c>
      <c r="FG3602" s="18" t="inlineStr">
        <is>
          <t>VOLVO</t>
        </is>
      </c>
      <c r="FH3602" s="18" t="inlineStr">
        <is>
          <t>B8RLEA</t>
        </is>
      </c>
      <c r="FI3602" s="18" t="inlineStr">
        <is>
          <t>MARCOPOLO</t>
        </is>
      </c>
      <c r="FJ3602" s="18" t="inlineStr">
        <is>
          <t>GRAN VIALE</t>
        </is>
      </c>
      <c r="FK3602" s="18" t="n">
        <v>2020</v>
      </c>
      <c r="FL3602" s="18" t="inlineStr">
        <is>
          <t>C</t>
        </is>
      </c>
      <c r="FM3602" s="18" t="inlineStr">
        <is>
          <t>Lo Blanco</t>
        </is>
      </c>
      <c r="FP3602" t="inlineStr">
        <is>
          <t>C</t>
        </is>
      </c>
    </row>
    <row r="3603">
      <c r="FC3603" t="inlineStr">
        <is>
          <t>Diccionario 4</t>
        </is>
      </c>
      <c r="FD3603" s="15" t="inlineStr">
        <is>
          <t>LXWT-85|</t>
        </is>
      </c>
      <c r="FE3603" s="17" t="inlineStr">
        <is>
          <t>YV3T7U52XLA200832</t>
        </is>
      </c>
      <c r="FF3603" s="18" t="n">
        <v>505962</v>
      </c>
      <c r="FG3603" s="18" t="inlineStr">
        <is>
          <t>VOLVO</t>
        </is>
      </c>
      <c r="FH3603" s="18" t="inlineStr">
        <is>
          <t>B8RLEA</t>
        </is>
      </c>
      <c r="FI3603" s="18" t="inlineStr">
        <is>
          <t>MARCOPOLO</t>
        </is>
      </c>
      <c r="FJ3603" s="18" t="inlineStr">
        <is>
          <t>GRAN VIALE</t>
        </is>
      </c>
      <c r="FK3603" s="18" t="n">
        <v>2020</v>
      </c>
      <c r="FL3603" s="18" t="inlineStr">
        <is>
          <t>C</t>
        </is>
      </c>
      <c r="FM3603" s="18" t="inlineStr">
        <is>
          <t>Recoleta</t>
        </is>
      </c>
      <c r="FP3603" t="inlineStr">
        <is>
          <t>C</t>
        </is>
      </c>
    </row>
    <row r="3604">
      <c r="FC3604" t="inlineStr">
        <is>
          <t>Diccionario 4</t>
        </is>
      </c>
      <c r="FD3604" s="15" t="inlineStr">
        <is>
          <t>LXWT-86|</t>
        </is>
      </c>
      <c r="FE3604" s="17" t="inlineStr">
        <is>
          <t>YV3T7U52XLA200863</t>
        </is>
      </c>
      <c r="FF3604" s="18" t="n">
        <v>505947</v>
      </c>
      <c r="FG3604" s="18" t="inlineStr">
        <is>
          <t>VOLVO</t>
        </is>
      </c>
      <c r="FH3604" s="18" t="inlineStr">
        <is>
          <t>B8RLEA</t>
        </is>
      </c>
      <c r="FI3604" s="18" t="inlineStr">
        <is>
          <t>MARCOPOLO</t>
        </is>
      </c>
      <c r="FJ3604" s="18" t="inlineStr">
        <is>
          <t>GRAN VIALE</t>
        </is>
      </c>
      <c r="FK3604" s="18" t="n">
        <v>2020</v>
      </c>
      <c r="FL3604" s="18" t="inlineStr">
        <is>
          <t>C</t>
        </is>
      </c>
      <c r="FM3604" s="18" t="inlineStr">
        <is>
          <t>Recoleta</t>
        </is>
      </c>
      <c r="FP3604" t="inlineStr">
        <is>
          <t>C</t>
        </is>
      </c>
    </row>
    <row r="3605">
      <c r="FC3605" t="inlineStr">
        <is>
          <t>Diccionario 4</t>
        </is>
      </c>
      <c r="FD3605" s="15" t="inlineStr">
        <is>
          <t>LXWT-87|</t>
        </is>
      </c>
      <c r="FE3605" s="17" t="inlineStr">
        <is>
          <t>YV3T7U528LA200831</t>
        </is>
      </c>
      <c r="FF3605" s="18" t="n">
        <v>505956</v>
      </c>
      <c r="FG3605" s="18" t="inlineStr">
        <is>
          <t>VOLVO</t>
        </is>
      </c>
      <c r="FH3605" s="18" t="inlineStr">
        <is>
          <t>B8RLEA</t>
        </is>
      </c>
      <c r="FI3605" s="18" t="inlineStr">
        <is>
          <t>MARCOPOLO</t>
        </is>
      </c>
      <c r="FJ3605" s="18" t="inlineStr">
        <is>
          <t>GRAN VIALE</t>
        </is>
      </c>
      <c r="FK3605" s="18" t="n">
        <v>2020</v>
      </c>
      <c r="FL3605" s="18" t="inlineStr">
        <is>
          <t>C</t>
        </is>
      </c>
      <c r="FM3605" s="18" t="inlineStr">
        <is>
          <t>Recoleta</t>
        </is>
      </c>
      <c r="FP3605" t="inlineStr">
        <is>
          <t>C</t>
        </is>
      </c>
    </row>
    <row r="3606">
      <c r="FC3606" t="inlineStr">
        <is>
          <t>Diccionario 4</t>
        </is>
      </c>
      <c r="FD3606" s="15" t="inlineStr">
        <is>
          <t>LXWT-88|</t>
        </is>
      </c>
      <c r="FE3606" s="17" t="inlineStr">
        <is>
          <t>YV3T7U528LA200862</t>
        </is>
      </c>
      <c r="FF3606" s="18" t="n">
        <v>505976</v>
      </c>
      <c r="FG3606" s="18" t="inlineStr">
        <is>
          <t>VOLVO</t>
        </is>
      </c>
      <c r="FH3606" s="18" t="inlineStr">
        <is>
          <t>B8RLEA</t>
        </is>
      </c>
      <c r="FI3606" s="18" t="inlineStr">
        <is>
          <t>MARCOPOLO</t>
        </is>
      </c>
      <c r="FJ3606" s="18" t="inlineStr">
        <is>
          <t>GRAN VIALE</t>
        </is>
      </c>
      <c r="FK3606" s="18" t="n">
        <v>2020</v>
      </c>
      <c r="FL3606" s="18" t="inlineStr">
        <is>
          <t>C</t>
        </is>
      </c>
      <c r="FM3606" s="18" t="inlineStr">
        <is>
          <t>Recoleta</t>
        </is>
      </c>
      <c r="FP3606" t="inlineStr">
        <is>
          <t>C</t>
        </is>
      </c>
    </row>
    <row r="3607">
      <c r="FC3607" t="inlineStr">
        <is>
          <t>Diccionario 4</t>
        </is>
      </c>
      <c r="FD3607" s="15" t="inlineStr">
        <is>
          <t>LXWT-89|</t>
        </is>
      </c>
      <c r="FE3607" s="17" t="inlineStr">
        <is>
          <t>YV3T7U521LA201271</t>
        </is>
      </c>
      <c r="FF3607" s="18" t="n">
        <v>507683</v>
      </c>
      <c r="FG3607" s="18" t="inlineStr">
        <is>
          <t>VOLVO</t>
        </is>
      </c>
      <c r="FH3607" s="18" t="inlineStr">
        <is>
          <t>B8RLEA</t>
        </is>
      </c>
      <c r="FI3607" s="18" t="inlineStr">
        <is>
          <t>MARCOPOLO</t>
        </is>
      </c>
      <c r="FJ3607" s="18" t="inlineStr">
        <is>
          <t>GRAN VIALE</t>
        </is>
      </c>
      <c r="FK3607" s="18" t="n">
        <v>2020</v>
      </c>
      <c r="FL3607" s="18" t="inlineStr">
        <is>
          <t>C</t>
        </is>
      </c>
      <c r="FM3607" s="18" t="inlineStr">
        <is>
          <t>Lo Blanco</t>
        </is>
      </c>
      <c r="FP3607" t="inlineStr">
        <is>
          <t>C</t>
        </is>
      </c>
    </row>
    <row r="3608">
      <c r="FC3608" t="inlineStr">
        <is>
          <t>Diccionario 4</t>
        </is>
      </c>
      <c r="FD3608" s="15" t="inlineStr">
        <is>
          <t>LXWT-90|</t>
        </is>
      </c>
      <c r="FE3608" s="17" t="inlineStr">
        <is>
          <t>YV3T7U525LA201208</t>
        </is>
      </c>
      <c r="FF3608" s="18" t="n">
        <v>507344</v>
      </c>
      <c r="FG3608" s="18" t="inlineStr">
        <is>
          <t>VOLVO</t>
        </is>
      </c>
      <c r="FH3608" s="18" t="inlineStr">
        <is>
          <t>B8RLEA</t>
        </is>
      </c>
      <c r="FI3608" s="18" t="inlineStr">
        <is>
          <t>MARCOPOLO</t>
        </is>
      </c>
      <c r="FJ3608" s="18" t="inlineStr">
        <is>
          <t>GRAN VIALE</t>
        </is>
      </c>
      <c r="FK3608" s="18" t="n">
        <v>2020</v>
      </c>
      <c r="FL3608" s="18" t="inlineStr">
        <is>
          <t>C</t>
        </is>
      </c>
      <c r="FM3608" s="18" t="inlineStr">
        <is>
          <t>Lo Blanco</t>
        </is>
      </c>
      <c r="FP3608" t="inlineStr">
        <is>
          <t>C</t>
        </is>
      </c>
    </row>
    <row r="3609">
      <c r="FC3609" t="inlineStr">
        <is>
          <t>Diccionario 4</t>
        </is>
      </c>
      <c r="FD3609" s="15" t="inlineStr">
        <is>
          <t>LXWT-91|</t>
        </is>
      </c>
      <c r="FE3609" s="17" t="inlineStr">
        <is>
          <t>YV3T7U524LA200888</t>
        </is>
      </c>
      <c r="FF3609" s="18" t="n">
        <v>506177</v>
      </c>
      <c r="FG3609" s="18" t="inlineStr">
        <is>
          <t>VOLVO</t>
        </is>
      </c>
      <c r="FH3609" s="18" t="inlineStr">
        <is>
          <t>B8RLEA</t>
        </is>
      </c>
      <c r="FI3609" s="18" t="inlineStr">
        <is>
          <t>MARCOPOLO</t>
        </is>
      </c>
      <c r="FJ3609" s="18" t="inlineStr">
        <is>
          <t>GRAN VIALE</t>
        </is>
      </c>
      <c r="FK3609" s="18" t="n">
        <v>2020</v>
      </c>
      <c r="FL3609" s="18" t="inlineStr">
        <is>
          <t>C</t>
        </is>
      </c>
      <c r="FM3609" s="18" t="inlineStr">
        <is>
          <t>Recoleta</t>
        </is>
      </c>
      <c r="FP3609" t="inlineStr">
        <is>
          <t>C</t>
        </is>
      </c>
    </row>
    <row r="3610">
      <c r="FC3610" t="inlineStr">
        <is>
          <t>Diccionario 4</t>
        </is>
      </c>
      <c r="FD3610" s="15" t="inlineStr">
        <is>
          <t>LXWT-92|</t>
        </is>
      </c>
      <c r="FE3610" s="17" t="inlineStr">
        <is>
          <t>YV3T7U522LA200923</t>
        </is>
      </c>
      <c r="FF3610" s="18" t="n">
        <v>506195</v>
      </c>
      <c r="FG3610" s="18" t="inlineStr">
        <is>
          <t>VOLVO</t>
        </is>
      </c>
      <c r="FH3610" s="18" t="inlineStr">
        <is>
          <t>B8RLEA</t>
        </is>
      </c>
      <c r="FI3610" s="18" t="inlineStr">
        <is>
          <t>MARCOPOLO</t>
        </is>
      </c>
      <c r="FJ3610" s="18" t="inlineStr">
        <is>
          <t>GRAN VIALE</t>
        </is>
      </c>
      <c r="FK3610" s="18" t="n">
        <v>2020</v>
      </c>
      <c r="FL3610" s="18" t="inlineStr">
        <is>
          <t>C</t>
        </is>
      </c>
      <c r="FM3610" s="18" t="inlineStr">
        <is>
          <t>Lo Blanco</t>
        </is>
      </c>
      <c r="FP3610" t="inlineStr">
        <is>
          <t>C</t>
        </is>
      </c>
    </row>
    <row r="3611">
      <c r="FC3611" t="inlineStr">
        <is>
          <t>Diccionario 4</t>
        </is>
      </c>
      <c r="FD3611" s="15" t="inlineStr">
        <is>
          <t>LXWT-93|</t>
        </is>
      </c>
      <c r="FE3611" s="17" t="inlineStr">
        <is>
          <t>YV3T7U525LA201211</t>
        </is>
      </c>
      <c r="FF3611" s="18" t="n">
        <v>507350</v>
      </c>
      <c r="FG3611" s="18" t="inlineStr">
        <is>
          <t>VOLVO</t>
        </is>
      </c>
      <c r="FH3611" s="18" t="inlineStr">
        <is>
          <t>B8RLEA</t>
        </is>
      </c>
      <c r="FI3611" s="18" t="inlineStr">
        <is>
          <t>MARCOPOLO</t>
        </is>
      </c>
      <c r="FJ3611" s="18" t="inlineStr">
        <is>
          <t>GRAN VIALE</t>
        </is>
      </c>
      <c r="FK3611" s="18" t="n">
        <v>2020</v>
      </c>
      <c r="FL3611" s="18" t="inlineStr">
        <is>
          <t>C</t>
        </is>
      </c>
      <c r="FM3611" s="18" t="inlineStr">
        <is>
          <t>Lo Blanco</t>
        </is>
      </c>
      <c r="FP3611" t="inlineStr">
        <is>
          <t>C</t>
        </is>
      </c>
    </row>
    <row r="3612">
      <c r="FC3612" t="inlineStr">
        <is>
          <t>Diccionario 4</t>
        </is>
      </c>
      <c r="FD3612" s="15" t="inlineStr">
        <is>
          <t>LXWT-94|</t>
        </is>
      </c>
      <c r="FE3612" s="17" t="inlineStr">
        <is>
          <t>YV3T7U52XLA201317</t>
        </is>
      </c>
      <c r="FF3612" s="18" t="n">
        <v>507672</v>
      </c>
      <c r="FG3612" s="18" t="inlineStr">
        <is>
          <t>VOLVO</t>
        </is>
      </c>
      <c r="FH3612" s="18" t="inlineStr">
        <is>
          <t>B8RLEA</t>
        </is>
      </c>
      <c r="FI3612" s="18" t="inlineStr">
        <is>
          <t>MARCOPOLO</t>
        </is>
      </c>
      <c r="FJ3612" s="18" t="inlineStr">
        <is>
          <t>GRAN VIALE</t>
        </is>
      </c>
      <c r="FK3612" s="18" t="n">
        <v>2020</v>
      </c>
      <c r="FL3612" s="18" t="inlineStr">
        <is>
          <t>C</t>
        </is>
      </c>
      <c r="FM3612" s="18" t="inlineStr">
        <is>
          <t>Lo Blanco</t>
        </is>
      </c>
      <c r="FP3612" t="inlineStr">
        <is>
          <t>C</t>
        </is>
      </c>
    </row>
    <row r="3613">
      <c r="FC3613" t="inlineStr">
        <is>
          <t>Diccionario 4</t>
        </is>
      </c>
      <c r="FD3613" s="15" t="inlineStr">
        <is>
          <t>LXWT-95|</t>
        </is>
      </c>
      <c r="FE3613" s="17" t="inlineStr">
        <is>
          <t>YV3T7U523LA201269</t>
        </is>
      </c>
      <c r="FF3613" s="18" t="n">
        <v>507437</v>
      </c>
      <c r="FG3613" s="18" t="inlineStr">
        <is>
          <t>VOLVO</t>
        </is>
      </c>
      <c r="FH3613" s="18" t="inlineStr">
        <is>
          <t>B8RLEA</t>
        </is>
      </c>
      <c r="FI3613" s="18" t="inlineStr">
        <is>
          <t>MARCOPOLO</t>
        </is>
      </c>
      <c r="FJ3613" s="18" t="inlineStr">
        <is>
          <t>GRAN VIALE</t>
        </is>
      </c>
      <c r="FK3613" s="18" t="n">
        <v>2020</v>
      </c>
      <c r="FL3613" s="18" t="inlineStr">
        <is>
          <t>C</t>
        </is>
      </c>
      <c r="FM3613" s="18" t="inlineStr">
        <is>
          <t>Lo Blanco</t>
        </is>
      </c>
      <c r="FP3613" t="inlineStr">
        <is>
          <t>C</t>
        </is>
      </c>
    </row>
    <row r="3614">
      <c r="FC3614" t="inlineStr">
        <is>
          <t>Diccionario 4</t>
        </is>
      </c>
      <c r="FD3614" s="15" t="inlineStr">
        <is>
          <t>LXWT-96|</t>
        </is>
      </c>
      <c r="FE3614" s="17" t="inlineStr">
        <is>
          <t>YV3T7U528LA201252</t>
        </is>
      </c>
      <c r="FF3614" s="18" t="n">
        <v>506904</v>
      </c>
      <c r="FG3614" s="18" t="inlineStr">
        <is>
          <t>VOLVO</t>
        </is>
      </c>
      <c r="FH3614" s="18" t="inlineStr">
        <is>
          <t>B8RLEA</t>
        </is>
      </c>
      <c r="FI3614" s="18" t="inlineStr">
        <is>
          <t>MARCOPOLO</t>
        </is>
      </c>
      <c r="FJ3614" s="18" t="inlineStr">
        <is>
          <t>GRAN VIALE</t>
        </is>
      </c>
      <c r="FK3614" s="18" t="n">
        <v>2020</v>
      </c>
      <c r="FL3614" s="18" t="inlineStr">
        <is>
          <t>C</t>
        </is>
      </c>
      <c r="FM3614" s="18" t="inlineStr">
        <is>
          <t>Lo Blanco</t>
        </is>
      </c>
      <c r="FP3614" t="inlineStr">
        <is>
          <t>C</t>
        </is>
      </c>
    </row>
    <row r="3615">
      <c r="FC3615" t="inlineStr">
        <is>
          <t>Diccionario 4</t>
        </is>
      </c>
      <c r="FD3615" s="15" t="inlineStr">
        <is>
          <t>LXWT-97|</t>
        </is>
      </c>
      <c r="FE3615" s="17" t="inlineStr">
        <is>
          <t>YV3T7U523LA201210</t>
        </is>
      </c>
      <c r="FF3615" s="18" t="n">
        <v>507372</v>
      </c>
      <c r="FG3615" s="18" t="inlineStr">
        <is>
          <t>VOLVO</t>
        </is>
      </c>
      <c r="FH3615" s="18" t="inlineStr">
        <is>
          <t>B8RLEA</t>
        </is>
      </c>
      <c r="FI3615" s="18" t="inlineStr">
        <is>
          <t>MARCOPOLO</t>
        </is>
      </c>
      <c r="FJ3615" s="18" t="inlineStr">
        <is>
          <t>GRAN VIALE</t>
        </is>
      </c>
      <c r="FK3615" s="18" t="n">
        <v>2020</v>
      </c>
      <c r="FL3615" s="18" t="inlineStr">
        <is>
          <t>C</t>
        </is>
      </c>
      <c r="FM3615" s="18" t="inlineStr">
        <is>
          <t>Lo Blanco</t>
        </is>
      </c>
      <c r="FP3615" t="inlineStr">
        <is>
          <t>C</t>
        </is>
      </c>
    </row>
    <row r="3616">
      <c r="FC3616" t="inlineStr">
        <is>
          <t>Diccionario 4</t>
        </is>
      </c>
      <c r="FD3616" s="15" t="inlineStr">
        <is>
          <t>LXWT-98|</t>
        </is>
      </c>
      <c r="FE3616" s="17" t="inlineStr">
        <is>
          <t>YV3T7U522LA201182</t>
        </is>
      </c>
      <c r="FF3616" s="18" t="n">
        <v>506843</v>
      </c>
      <c r="FG3616" s="18" t="inlineStr">
        <is>
          <t>VOLVO</t>
        </is>
      </c>
      <c r="FH3616" s="18" t="inlineStr">
        <is>
          <t>B8RLEA</t>
        </is>
      </c>
      <c r="FI3616" s="18" t="inlineStr">
        <is>
          <t>MARCOPOLO</t>
        </is>
      </c>
      <c r="FJ3616" s="18" t="inlineStr">
        <is>
          <t>GRAN VIALE</t>
        </is>
      </c>
      <c r="FK3616" s="18" t="n">
        <v>2020</v>
      </c>
      <c r="FL3616" s="18" t="inlineStr">
        <is>
          <t>C</t>
        </is>
      </c>
      <c r="FM3616" s="18" t="inlineStr">
        <is>
          <t>Lo Blanco</t>
        </is>
      </c>
      <c r="FP3616" t="inlineStr">
        <is>
          <t>C</t>
        </is>
      </c>
    </row>
    <row r="3617">
      <c r="FC3617" t="inlineStr">
        <is>
          <t>Diccionario 4</t>
        </is>
      </c>
      <c r="FD3617" s="15" t="inlineStr">
        <is>
          <t>LXWT-99|</t>
        </is>
      </c>
      <c r="FE3617" s="17" t="inlineStr">
        <is>
          <t>YV3T7U527LA201212</t>
        </is>
      </c>
      <c r="FF3617" s="18" t="n">
        <v>507397</v>
      </c>
      <c r="FG3617" s="18" t="inlineStr">
        <is>
          <t>VOLVO</t>
        </is>
      </c>
      <c r="FH3617" s="18" t="inlineStr">
        <is>
          <t>B8RLEA</t>
        </is>
      </c>
      <c r="FI3617" s="18" t="inlineStr">
        <is>
          <t>MARCOPOLO</t>
        </is>
      </c>
      <c r="FJ3617" s="18" t="inlineStr">
        <is>
          <t>GRAN VIALE</t>
        </is>
      </c>
      <c r="FK3617" s="18" t="n">
        <v>2020</v>
      </c>
      <c r="FL3617" s="18" t="inlineStr">
        <is>
          <t>C</t>
        </is>
      </c>
      <c r="FM3617" s="18" t="inlineStr">
        <is>
          <t>Lo Blanco</t>
        </is>
      </c>
      <c r="FP3617" t="inlineStr">
        <is>
          <t>C</t>
        </is>
      </c>
    </row>
    <row r="3618">
      <c r="FC3618" t="inlineStr">
        <is>
          <t>Diccionario 4</t>
        </is>
      </c>
      <c r="FD3618" s="15" t="inlineStr">
        <is>
          <t>LZPG-10|</t>
        </is>
      </c>
      <c r="FE3618" s="17" t="inlineStr">
        <is>
          <t>YV3T7U521LA201254</t>
        </is>
      </c>
      <c r="FF3618" s="18" t="n">
        <v>507451</v>
      </c>
      <c r="FG3618" s="18" t="inlineStr">
        <is>
          <t>VOLVO</t>
        </is>
      </c>
      <c r="FH3618" s="18" t="inlineStr">
        <is>
          <t>B8RLEA</t>
        </is>
      </c>
      <c r="FI3618" s="18" t="inlineStr">
        <is>
          <t>MARCOPOLO</t>
        </is>
      </c>
      <c r="FJ3618" s="18" t="inlineStr">
        <is>
          <t>GRAN VIALE</t>
        </is>
      </c>
      <c r="FK3618" s="18" t="n">
        <v>2020</v>
      </c>
      <c r="FL3618" s="18" t="inlineStr">
        <is>
          <t>C</t>
        </is>
      </c>
      <c r="FM3618" s="18" t="inlineStr">
        <is>
          <t>Lo Blanco</t>
        </is>
      </c>
      <c r="FP3618" t="inlineStr">
        <is>
          <t>C</t>
        </is>
      </c>
    </row>
    <row r="3619">
      <c r="FC3619" t="inlineStr">
        <is>
          <t>Diccionario 4</t>
        </is>
      </c>
      <c r="FD3619" s="15" t="inlineStr">
        <is>
          <t>LZPG-11|</t>
        </is>
      </c>
      <c r="FE3619" s="17" t="inlineStr">
        <is>
          <t>YV3T7U523LA201255</t>
        </is>
      </c>
      <c r="FF3619" s="18" t="n">
        <v>507423</v>
      </c>
      <c r="FG3619" s="18" t="inlineStr">
        <is>
          <t>VOLVO</t>
        </is>
      </c>
      <c r="FH3619" s="18" t="inlineStr">
        <is>
          <t>B8RLEA</t>
        </is>
      </c>
      <c r="FI3619" s="18" t="inlineStr">
        <is>
          <t>MARCOPOLO</t>
        </is>
      </c>
      <c r="FJ3619" s="18" t="inlineStr">
        <is>
          <t>GRAN VIALE</t>
        </is>
      </c>
      <c r="FK3619" s="18" t="n">
        <v>2020</v>
      </c>
      <c r="FL3619" s="18" t="inlineStr">
        <is>
          <t>C</t>
        </is>
      </c>
      <c r="FM3619" s="18" t="inlineStr">
        <is>
          <t>Lo Blanco</t>
        </is>
      </c>
      <c r="FP3619" t="inlineStr">
        <is>
          <t>C</t>
        </is>
      </c>
    </row>
    <row r="3620">
      <c r="FC3620" t="inlineStr">
        <is>
          <t>Diccionario 4</t>
        </is>
      </c>
      <c r="FD3620" s="15" t="inlineStr">
        <is>
          <t>LZPG-12|</t>
        </is>
      </c>
      <c r="FE3620" s="17" t="inlineStr">
        <is>
          <t>YV3T7U527LA201257</t>
        </is>
      </c>
      <c r="FF3620" s="18" t="n">
        <v>507427</v>
      </c>
      <c r="FG3620" s="18" t="inlineStr">
        <is>
          <t>VOLVO</t>
        </is>
      </c>
      <c r="FH3620" s="18" t="inlineStr">
        <is>
          <t>B8RLEA</t>
        </is>
      </c>
      <c r="FI3620" s="18" t="inlineStr">
        <is>
          <t>MARCOPOLO</t>
        </is>
      </c>
      <c r="FJ3620" s="18" t="inlineStr">
        <is>
          <t>GRAN VIALE</t>
        </is>
      </c>
      <c r="FK3620" s="18" t="n">
        <v>2020</v>
      </c>
      <c r="FL3620" s="18" t="inlineStr">
        <is>
          <t>C</t>
        </is>
      </c>
      <c r="FM3620" s="18" t="inlineStr">
        <is>
          <t>Lo Blanco</t>
        </is>
      </c>
      <c r="FP3620" t="inlineStr">
        <is>
          <t>C</t>
        </is>
      </c>
    </row>
    <row r="3621">
      <c r="FC3621" t="inlineStr">
        <is>
          <t>Diccionario 4</t>
        </is>
      </c>
      <c r="FD3621" s="15" t="inlineStr">
        <is>
          <t>LZPG-13|</t>
        </is>
      </c>
      <c r="FE3621" s="17" t="inlineStr">
        <is>
          <t>YV3T7U520LA198718</t>
        </is>
      </c>
      <c r="FF3621" s="18" t="n">
        <v>499868</v>
      </c>
      <c r="FG3621" s="18" t="inlineStr">
        <is>
          <t>VOLVO</t>
        </is>
      </c>
      <c r="FH3621" s="18" t="inlineStr">
        <is>
          <t>B8RLEA</t>
        </is>
      </c>
      <c r="FI3621" s="18" t="inlineStr">
        <is>
          <t>MARCOPOLO</t>
        </is>
      </c>
      <c r="FJ3621" s="18" t="inlineStr">
        <is>
          <t>GRAN VIALE</t>
        </is>
      </c>
      <c r="FK3621" s="18" t="n">
        <v>2020</v>
      </c>
      <c r="FL3621" s="18" t="inlineStr">
        <is>
          <t>C</t>
        </is>
      </c>
      <c r="FM3621" s="18" t="inlineStr">
        <is>
          <t>Lo Blanco</t>
        </is>
      </c>
      <c r="FP3621" t="inlineStr">
        <is>
          <t>C</t>
        </is>
      </c>
    </row>
    <row r="3622">
      <c r="FC3622" t="inlineStr">
        <is>
          <t>Diccionario 4</t>
        </is>
      </c>
      <c r="FD3622" s="15" t="inlineStr">
        <is>
          <t>LZPG-14|</t>
        </is>
      </c>
      <c r="FE3622" s="17" t="inlineStr">
        <is>
          <t>YV3T7U522LA198719</t>
        </is>
      </c>
      <c r="FF3622" s="18" t="n">
        <v>499801</v>
      </c>
      <c r="FG3622" s="18" t="inlineStr">
        <is>
          <t>VOLVO</t>
        </is>
      </c>
      <c r="FH3622" s="18" t="inlineStr">
        <is>
          <t>B8RLEA</t>
        </is>
      </c>
      <c r="FI3622" s="18" t="inlineStr">
        <is>
          <t>MARCOPOLO</t>
        </is>
      </c>
      <c r="FJ3622" s="18" t="inlineStr">
        <is>
          <t>GRAN VIALE</t>
        </is>
      </c>
      <c r="FK3622" s="18" t="n">
        <v>2020</v>
      </c>
      <c r="FL3622" s="18" t="inlineStr">
        <is>
          <t>C</t>
        </is>
      </c>
      <c r="FM3622" s="18" t="inlineStr">
        <is>
          <t>Lo Blanco</t>
        </is>
      </c>
      <c r="FP3622" t="inlineStr">
        <is>
          <t>C</t>
        </is>
      </c>
    </row>
    <row r="3623">
      <c r="FC3623" t="inlineStr">
        <is>
          <t>Diccionario 4</t>
        </is>
      </c>
      <c r="FD3623" s="15" t="inlineStr">
        <is>
          <t>LZPG-15|</t>
        </is>
      </c>
      <c r="FE3623" s="17" t="inlineStr">
        <is>
          <t>YV3T7U52XLA200989</t>
        </is>
      </c>
      <c r="FF3623" s="18" t="n">
        <v>506525</v>
      </c>
      <c r="FG3623" s="18" t="inlineStr">
        <is>
          <t>VOLVO</t>
        </is>
      </c>
      <c r="FH3623" s="18" t="inlineStr">
        <is>
          <t>B8RLEA</t>
        </is>
      </c>
      <c r="FI3623" s="18" t="inlineStr">
        <is>
          <t>MARCOPOLO</t>
        </is>
      </c>
      <c r="FJ3623" s="18" t="inlineStr">
        <is>
          <t>GRAN VIALE</t>
        </is>
      </c>
      <c r="FK3623" s="18" t="n">
        <v>2020</v>
      </c>
      <c r="FL3623" s="18" t="inlineStr">
        <is>
          <t>C</t>
        </is>
      </c>
      <c r="FM3623" s="18" t="inlineStr">
        <is>
          <t>Recoleta</t>
        </is>
      </c>
      <c r="FP3623" t="inlineStr">
        <is>
          <t>C</t>
        </is>
      </c>
    </row>
    <row r="3624">
      <c r="FC3624" t="inlineStr">
        <is>
          <t>Diccionario 4</t>
        </is>
      </c>
      <c r="FD3624" s="15" t="inlineStr">
        <is>
          <t>LZPG-16|</t>
        </is>
      </c>
      <c r="FE3624" s="17" t="inlineStr">
        <is>
          <t>YV3T7U529LA198717</t>
        </is>
      </c>
      <c r="FF3624" s="18" t="n">
        <v>501057</v>
      </c>
      <c r="FG3624" s="18" t="inlineStr">
        <is>
          <t>VOLVO</t>
        </is>
      </c>
      <c r="FH3624" s="18" t="inlineStr">
        <is>
          <t>B8RLEA</t>
        </is>
      </c>
      <c r="FI3624" s="18" t="inlineStr">
        <is>
          <t>MARCOPOLO</t>
        </is>
      </c>
      <c r="FJ3624" s="18" t="inlineStr">
        <is>
          <t>GRAN VIALE</t>
        </is>
      </c>
      <c r="FK3624" s="18" t="n">
        <v>2020</v>
      </c>
      <c r="FL3624" s="18" t="inlineStr">
        <is>
          <t>C</t>
        </is>
      </c>
      <c r="FM3624" s="18" t="inlineStr">
        <is>
          <t>Recoleta</t>
        </is>
      </c>
      <c r="FP3624" t="inlineStr">
        <is>
          <t>C</t>
        </is>
      </c>
    </row>
    <row r="3625">
      <c r="FC3625" t="inlineStr">
        <is>
          <t>Diccionario 4</t>
        </is>
      </c>
      <c r="FD3625" s="15" t="inlineStr">
        <is>
          <t>LZPG-17|</t>
        </is>
      </c>
      <c r="FE3625" s="17" t="inlineStr">
        <is>
          <t>YV3T7U529LA198720</t>
        </is>
      </c>
      <c r="FF3625" s="18" t="n">
        <v>500912</v>
      </c>
      <c r="FG3625" s="18" t="inlineStr">
        <is>
          <t>VOLVO</t>
        </is>
      </c>
      <c r="FH3625" s="18" t="inlineStr">
        <is>
          <t>B8RLEA</t>
        </is>
      </c>
      <c r="FI3625" s="18" t="inlineStr">
        <is>
          <t>MARCOPOLO</t>
        </is>
      </c>
      <c r="FJ3625" s="18" t="inlineStr">
        <is>
          <t>GRAN VIALE</t>
        </is>
      </c>
      <c r="FK3625" s="18" t="n">
        <v>2020</v>
      </c>
      <c r="FL3625" s="18" t="inlineStr">
        <is>
          <t>C</t>
        </is>
      </c>
      <c r="FM3625" s="18" t="inlineStr">
        <is>
          <t>Lo Blanco</t>
        </is>
      </c>
      <c r="FP3625" t="inlineStr">
        <is>
          <t>C</t>
        </is>
      </c>
    </row>
    <row r="3626">
      <c r="FC3626" t="inlineStr">
        <is>
          <t>Diccionario 4</t>
        </is>
      </c>
      <c r="FD3626" s="15" t="inlineStr">
        <is>
          <t>LZPG-18|</t>
        </is>
      </c>
      <c r="FE3626" s="17" t="inlineStr">
        <is>
          <t>YV3T7U525LA201256</t>
        </is>
      </c>
      <c r="FF3626" s="18" t="n">
        <v>507442</v>
      </c>
      <c r="FG3626" s="18" t="inlineStr">
        <is>
          <t>VOLVO</t>
        </is>
      </c>
      <c r="FH3626" s="18" t="inlineStr">
        <is>
          <t>B8RLEA</t>
        </is>
      </c>
      <c r="FI3626" s="18" t="inlineStr">
        <is>
          <t>MARCOPOLO</t>
        </is>
      </c>
      <c r="FJ3626" s="18" t="inlineStr">
        <is>
          <t>GRAN VIALE</t>
        </is>
      </c>
      <c r="FK3626" s="18" t="n">
        <v>2020</v>
      </c>
      <c r="FL3626" s="18" t="inlineStr">
        <is>
          <t>C</t>
        </is>
      </c>
      <c r="FM3626" s="18" t="inlineStr">
        <is>
          <t>Lo Blanco</t>
        </is>
      </c>
      <c r="FP3626" t="inlineStr">
        <is>
          <t>C</t>
        </is>
      </c>
    </row>
    <row r="3627">
      <c r="FC3627" t="inlineStr">
        <is>
          <t>Diccionario 4</t>
        </is>
      </c>
      <c r="FD3627" s="15" t="inlineStr">
        <is>
          <t>LZPG-19|</t>
        </is>
      </c>
      <c r="FE3627" s="17" t="inlineStr">
        <is>
          <t>YV3T7U528LA200988</t>
        </is>
      </c>
      <c r="FF3627" s="18" t="n">
        <v>506479</v>
      </c>
      <c r="FG3627" s="18" t="inlineStr">
        <is>
          <t>VOLVO</t>
        </is>
      </c>
      <c r="FH3627" s="18" t="inlineStr">
        <is>
          <t>B8RLEA</t>
        </is>
      </c>
      <c r="FI3627" s="18" t="inlineStr">
        <is>
          <t>MARCOPOLO</t>
        </is>
      </c>
      <c r="FJ3627" s="18" t="inlineStr">
        <is>
          <t>GRAN VIALE</t>
        </is>
      </c>
      <c r="FK3627" s="18" t="n">
        <v>2020</v>
      </c>
      <c r="FL3627" s="18" t="inlineStr">
        <is>
          <t>C</t>
        </is>
      </c>
      <c r="FM3627" s="18" t="inlineStr">
        <is>
          <t>Lo Blanco</t>
        </is>
      </c>
      <c r="FP3627" t="inlineStr">
        <is>
          <t>C</t>
        </is>
      </c>
    </row>
    <row r="3628">
      <c r="FC3628" t="inlineStr">
        <is>
          <t>Diccionario 4</t>
        </is>
      </c>
      <c r="FD3628" s="15" t="inlineStr">
        <is>
          <t>LZPG-20|</t>
        </is>
      </c>
      <c r="FE3628" s="17" t="inlineStr">
        <is>
          <t>YV3T7U525LA201032</t>
        </is>
      </c>
      <c r="FF3628" s="18" t="n">
        <v>506651</v>
      </c>
      <c r="FG3628" s="18" t="inlineStr">
        <is>
          <t>VOLVO</t>
        </is>
      </c>
      <c r="FH3628" s="18" t="inlineStr">
        <is>
          <t>B8RLEA</t>
        </is>
      </c>
      <c r="FI3628" s="18" t="inlineStr">
        <is>
          <t>MARCOPOLO</t>
        </is>
      </c>
      <c r="FJ3628" s="18" t="inlineStr">
        <is>
          <t>GRAN VIALE</t>
        </is>
      </c>
      <c r="FK3628" s="18" t="n">
        <v>2020</v>
      </c>
      <c r="FL3628" s="18" t="inlineStr">
        <is>
          <t>C</t>
        </is>
      </c>
      <c r="FM3628" s="18" t="inlineStr">
        <is>
          <t>Lo Blanco</t>
        </is>
      </c>
      <c r="FP3628" t="inlineStr">
        <is>
          <t>C</t>
        </is>
      </c>
    </row>
    <row r="3629">
      <c r="FC3629" t="inlineStr">
        <is>
          <t>Diccionario 4</t>
        </is>
      </c>
      <c r="FD3629" s="15" t="inlineStr">
        <is>
          <t>LZPG-21|</t>
        </is>
      </c>
      <c r="FE3629" s="17" t="inlineStr">
        <is>
          <t>YV3T7U528LA201266</t>
        </is>
      </c>
      <c r="FF3629" s="18" t="n">
        <v>507458</v>
      </c>
      <c r="FG3629" s="18" t="inlineStr">
        <is>
          <t>VOLVO</t>
        </is>
      </c>
      <c r="FH3629" s="18" t="inlineStr">
        <is>
          <t>B8RLEA</t>
        </is>
      </c>
      <c r="FI3629" s="18" t="inlineStr">
        <is>
          <t>MARCOPOLO</t>
        </is>
      </c>
      <c r="FJ3629" s="18" t="inlineStr">
        <is>
          <t>GRAN VIALE</t>
        </is>
      </c>
      <c r="FK3629" s="18" t="n">
        <v>2020</v>
      </c>
      <c r="FL3629" s="18" t="inlineStr">
        <is>
          <t>C</t>
        </is>
      </c>
      <c r="FM3629" s="18" t="inlineStr">
        <is>
          <t>Lo Blanco</t>
        </is>
      </c>
      <c r="FP3629" t="inlineStr">
        <is>
          <t>C</t>
        </is>
      </c>
    </row>
    <row r="3630">
      <c r="FC3630" t="inlineStr">
        <is>
          <t>Diccionario 4</t>
        </is>
      </c>
      <c r="FD3630" s="15" t="inlineStr">
        <is>
          <t>LZPG-22|</t>
        </is>
      </c>
      <c r="FE3630" s="17" t="inlineStr">
        <is>
          <t>YV3T7U523LA201272</t>
        </is>
      </c>
      <c r="FF3630" s="18" t="n">
        <v>507661</v>
      </c>
      <c r="FG3630" s="18" t="inlineStr">
        <is>
          <t>VOLVO</t>
        </is>
      </c>
      <c r="FH3630" s="18" t="inlineStr">
        <is>
          <t>B8RLEA</t>
        </is>
      </c>
      <c r="FI3630" s="18" t="inlineStr">
        <is>
          <t>MARCOPOLO</t>
        </is>
      </c>
      <c r="FJ3630" s="18" t="inlineStr">
        <is>
          <t>GRAN VIALE</t>
        </is>
      </c>
      <c r="FK3630" s="18" t="n">
        <v>2020</v>
      </c>
      <c r="FL3630" s="18" t="inlineStr">
        <is>
          <t>C</t>
        </is>
      </c>
      <c r="FM3630" s="18" t="inlineStr">
        <is>
          <t>Lo Blanco</t>
        </is>
      </c>
      <c r="FP3630" t="inlineStr">
        <is>
          <t>C</t>
        </is>
      </c>
    </row>
    <row r="3631">
      <c r="FC3631" t="inlineStr">
        <is>
          <t>Diccionario 4</t>
        </is>
      </c>
      <c r="FD3631" s="15" t="inlineStr">
        <is>
          <t>LZPG-23|</t>
        </is>
      </c>
      <c r="FE3631" s="17" t="inlineStr">
        <is>
          <t>YV3T7U526LA200990</t>
        </is>
      </c>
      <c r="FF3631" s="18" t="n">
        <v>506530</v>
      </c>
      <c r="FG3631" s="18" t="inlineStr">
        <is>
          <t>VOLVO</t>
        </is>
      </c>
      <c r="FH3631" s="18" t="inlineStr">
        <is>
          <t>B8RLEA</t>
        </is>
      </c>
      <c r="FI3631" s="18" t="inlineStr">
        <is>
          <t>MARCOPOLO</t>
        </is>
      </c>
      <c r="FJ3631" s="18" t="inlineStr">
        <is>
          <t>GRAN VIALE</t>
        </is>
      </c>
      <c r="FK3631" s="18" t="n">
        <v>2020</v>
      </c>
      <c r="FL3631" s="18" t="inlineStr">
        <is>
          <t>C</t>
        </is>
      </c>
      <c r="FM3631" s="18" t="inlineStr">
        <is>
          <t>Recoleta</t>
        </is>
      </c>
      <c r="FP3631" t="inlineStr">
        <is>
          <t>C</t>
        </is>
      </c>
    </row>
    <row r="3632">
      <c r="FC3632" t="inlineStr">
        <is>
          <t>Diccionario 4</t>
        </is>
      </c>
      <c r="FD3632" s="15" t="inlineStr">
        <is>
          <t>LZPG-24|</t>
        </is>
      </c>
      <c r="FE3632" s="17" t="inlineStr">
        <is>
          <t>YV3T7U528LA200991</t>
        </is>
      </c>
      <c r="FF3632" s="18" t="n">
        <v>506543</v>
      </c>
      <c r="FG3632" s="18" t="inlineStr">
        <is>
          <t>VOLVO</t>
        </is>
      </c>
      <c r="FH3632" s="18" t="inlineStr">
        <is>
          <t>B8RLEA</t>
        </is>
      </c>
      <c r="FI3632" s="18" t="inlineStr">
        <is>
          <t>MARCOPOLO</t>
        </is>
      </c>
      <c r="FJ3632" s="18" t="inlineStr">
        <is>
          <t>GRAN VIALE</t>
        </is>
      </c>
      <c r="FK3632" s="18" t="n">
        <v>2020</v>
      </c>
      <c r="FL3632" s="18" t="inlineStr">
        <is>
          <t>C</t>
        </is>
      </c>
      <c r="FM3632" s="18" t="inlineStr">
        <is>
          <t>Lo Blanco</t>
        </is>
      </c>
      <c r="FP3632" t="inlineStr">
        <is>
          <t>C</t>
        </is>
      </c>
    </row>
    <row r="3633">
      <c r="FC3633" t="inlineStr">
        <is>
          <t>Diccionario 4</t>
        </is>
      </c>
      <c r="FD3633" s="15" t="inlineStr">
        <is>
          <t>LZPG-25|</t>
        </is>
      </c>
      <c r="FE3633" s="17" t="inlineStr">
        <is>
          <t>YV3T7U52XLA201267</t>
        </is>
      </c>
      <c r="FF3633" s="18" t="n">
        <v>507419</v>
      </c>
      <c r="FG3633" s="18" t="inlineStr">
        <is>
          <t>VOLVO</t>
        </is>
      </c>
      <c r="FH3633" s="18" t="inlineStr">
        <is>
          <t>B8RLEA</t>
        </is>
      </c>
      <c r="FI3633" s="18" t="inlineStr">
        <is>
          <t>MARCOPOLO</t>
        </is>
      </c>
      <c r="FJ3633" s="18" t="inlineStr">
        <is>
          <t>GRAN VIALE</t>
        </is>
      </c>
      <c r="FK3633" s="18" t="n">
        <v>2020</v>
      </c>
      <c r="FL3633" s="18" t="inlineStr">
        <is>
          <t>C</t>
        </is>
      </c>
      <c r="FM3633" s="18" t="inlineStr">
        <is>
          <t>Lo Blanco</t>
        </is>
      </c>
      <c r="FP3633" t="inlineStr">
        <is>
          <t>C</t>
        </is>
      </c>
    </row>
    <row r="3634">
      <c r="FC3634" t="inlineStr">
        <is>
          <t>Diccionario 4</t>
        </is>
      </c>
      <c r="FD3634" s="15" t="inlineStr">
        <is>
          <t>LZPG-26|</t>
        </is>
      </c>
      <c r="FE3634" s="17" t="inlineStr">
        <is>
          <t>YV3T7U521LA201268</t>
        </is>
      </c>
      <c r="FF3634" s="18" t="n">
        <v>507446</v>
      </c>
      <c r="FG3634" s="18" t="inlineStr">
        <is>
          <t>VOLVO</t>
        </is>
      </c>
      <c r="FH3634" s="18" t="inlineStr">
        <is>
          <t>B8RLEA</t>
        </is>
      </c>
      <c r="FI3634" s="18" t="inlineStr">
        <is>
          <t>MARCOPOLO</t>
        </is>
      </c>
      <c r="FJ3634" s="18" t="inlineStr">
        <is>
          <t>GRAN VIALE</t>
        </is>
      </c>
      <c r="FK3634" s="18" t="n">
        <v>2020</v>
      </c>
      <c r="FL3634" s="18" t="inlineStr">
        <is>
          <t>C</t>
        </is>
      </c>
      <c r="FM3634" s="18" t="inlineStr">
        <is>
          <t>Lo Blanco</t>
        </is>
      </c>
      <c r="FP3634" t="inlineStr">
        <is>
          <t>C</t>
        </is>
      </c>
    </row>
    <row r="3635">
      <c r="FC3635" t="inlineStr">
        <is>
          <t>Diccionario 4</t>
        </is>
      </c>
      <c r="FD3635" s="15" t="inlineStr">
        <is>
          <t>LZPG-27|</t>
        </is>
      </c>
      <c r="FE3635" s="17" t="inlineStr">
        <is>
          <t>YV3T7U520LA200922</t>
        </is>
      </c>
      <c r="FF3635" s="18" t="n">
        <v>506223</v>
      </c>
      <c r="FG3635" s="18" t="inlineStr">
        <is>
          <t>VOLVO</t>
        </is>
      </c>
      <c r="FH3635" s="18" t="inlineStr">
        <is>
          <t>B8RLEA</t>
        </is>
      </c>
      <c r="FI3635" s="18" t="inlineStr">
        <is>
          <t>MARCOPOLO</t>
        </is>
      </c>
      <c r="FJ3635" s="18" t="inlineStr">
        <is>
          <t>GRAN VIALE</t>
        </is>
      </c>
      <c r="FK3635" s="18" t="n">
        <v>2020</v>
      </c>
      <c r="FL3635" s="18" t="inlineStr">
        <is>
          <t>C</t>
        </is>
      </c>
      <c r="FM3635" s="18" t="inlineStr">
        <is>
          <t>Lo Blanco</t>
        </is>
      </c>
      <c r="FP3635" t="inlineStr">
        <is>
          <t>C</t>
        </is>
      </c>
    </row>
    <row r="3636">
      <c r="FC3636" t="inlineStr">
        <is>
          <t>Diccionario 4</t>
        </is>
      </c>
      <c r="FD3636" s="15" t="inlineStr">
        <is>
          <t>LZPR-78|</t>
        </is>
      </c>
      <c r="FE3636" s="17" t="inlineStr">
        <is>
          <t>YV3T7U52XLA201253</t>
        </is>
      </c>
      <c r="FF3636" s="18" t="n">
        <v>507455</v>
      </c>
      <c r="FG3636" s="18" t="inlineStr">
        <is>
          <t>VOLVO</t>
        </is>
      </c>
      <c r="FH3636" s="18" t="inlineStr">
        <is>
          <t>B8RLEA</t>
        </is>
      </c>
      <c r="FI3636" s="18" t="inlineStr">
        <is>
          <t>MARCOPOLO</t>
        </is>
      </c>
      <c r="FJ3636" s="18" t="inlineStr">
        <is>
          <t>GRAN VIALE</t>
        </is>
      </c>
      <c r="FK3636" s="18" t="n">
        <v>2020</v>
      </c>
      <c r="FL3636" s="18" t="inlineStr">
        <is>
          <t>C</t>
        </is>
      </c>
      <c r="FM3636" s="18" t="inlineStr">
        <is>
          <t>Recoleta</t>
        </is>
      </c>
      <c r="FP3636" t="inlineStr">
        <is>
          <t>C</t>
        </is>
      </c>
    </row>
    <row r="3637">
      <c r="FC3637" t="inlineStr">
        <is>
          <t>Diccionario 4</t>
        </is>
      </c>
      <c r="FD3637" s="15" t="inlineStr">
        <is>
          <t>LZPR-79|</t>
        </is>
      </c>
      <c r="FE3637" s="17" t="inlineStr">
        <is>
          <t>YV3T7U521LA201044</t>
        </is>
      </c>
      <c r="FF3637" s="18" t="n">
        <v>506662</v>
      </c>
      <c r="FG3637" s="18" t="inlineStr">
        <is>
          <t>VOLVO</t>
        </is>
      </c>
      <c r="FH3637" s="18" t="inlineStr">
        <is>
          <t>B8RLEA</t>
        </is>
      </c>
      <c r="FI3637" s="18" t="inlineStr">
        <is>
          <t>MARCOPOLO</t>
        </is>
      </c>
      <c r="FJ3637" s="18" t="inlineStr">
        <is>
          <t>GRAN VIALE</t>
        </is>
      </c>
      <c r="FK3637" s="18" t="n">
        <v>2020</v>
      </c>
      <c r="FL3637" s="18" t="inlineStr">
        <is>
          <t>C</t>
        </is>
      </c>
      <c r="FM3637" s="18" t="inlineStr">
        <is>
          <t>Recoleta</t>
        </is>
      </c>
      <c r="FP3637" t="inlineStr">
        <is>
          <t>C</t>
        </is>
      </c>
    </row>
    <row r="3638">
      <c r="FC3638" t="inlineStr">
        <is>
          <t>Diccionario 4</t>
        </is>
      </c>
      <c r="FD3638" s="15" t="inlineStr">
        <is>
          <t>LZPR-80|</t>
        </is>
      </c>
      <c r="FE3638" s="17" t="inlineStr">
        <is>
          <t>YV3T7U528LA201171</t>
        </is>
      </c>
      <c r="FF3638" s="18" t="n">
        <v>507173</v>
      </c>
      <c r="FG3638" s="18" t="inlineStr">
        <is>
          <t>VOLVO</t>
        </is>
      </c>
      <c r="FH3638" s="18" t="inlineStr">
        <is>
          <t>B8RLEA</t>
        </is>
      </c>
      <c r="FI3638" s="18" t="inlineStr">
        <is>
          <t>MARCOPOLO</t>
        </is>
      </c>
      <c r="FJ3638" s="18" t="inlineStr">
        <is>
          <t>GRAN VIALE</t>
        </is>
      </c>
      <c r="FK3638" s="18" t="n">
        <v>2020</v>
      </c>
      <c r="FL3638" s="18" t="inlineStr">
        <is>
          <t>C</t>
        </is>
      </c>
      <c r="FM3638" s="18" t="inlineStr">
        <is>
          <t>Recoleta</t>
        </is>
      </c>
      <c r="FP3638" t="inlineStr">
        <is>
          <t>C</t>
        </is>
      </c>
    </row>
    <row r="3639">
      <c r="FC3639" t="inlineStr">
        <is>
          <t>Diccionario 4</t>
        </is>
      </c>
      <c r="FD3639" s="15" t="inlineStr">
        <is>
          <t>LZPR-81|</t>
        </is>
      </c>
      <c r="FE3639" s="17" t="inlineStr">
        <is>
          <t>YV3T7U526LA201167</t>
        </is>
      </c>
      <c r="FF3639" s="18" t="n">
        <v>507153</v>
      </c>
      <c r="FG3639" s="18" t="inlineStr">
        <is>
          <t>VOLVO</t>
        </is>
      </c>
      <c r="FH3639" s="18" t="inlineStr">
        <is>
          <t>B8RLEA</t>
        </is>
      </c>
      <c r="FI3639" s="18" t="inlineStr">
        <is>
          <t>MARCOPOLO</t>
        </is>
      </c>
      <c r="FJ3639" s="18" t="inlineStr">
        <is>
          <t>GRAN VIALE</t>
        </is>
      </c>
      <c r="FK3639" s="18" t="n">
        <v>2020</v>
      </c>
      <c r="FL3639" s="18" t="inlineStr">
        <is>
          <t>C</t>
        </is>
      </c>
      <c r="FM3639" s="18" t="inlineStr">
        <is>
          <t>Recoleta</t>
        </is>
      </c>
      <c r="FP3639" t="inlineStr">
        <is>
          <t>C</t>
        </is>
      </c>
    </row>
    <row r="3640">
      <c r="FC3640" t="inlineStr">
        <is>
          <t>Diccionario 4</t>
        </is>
      </c>
      <c r="FD3640" s="15" t="inlineStr">
        <is>
          <t>LZPR-82|</t>
        </is>
      </c>
      <c r="FE3640" s="17" t="inlineStr">
        <is>
          <t>YV3T7U528LA201168</t>
        </is>
      </c>
      <c r="FF3640" s="18" t="n">
        <v>507167</v>
      </c>
      <c r="FG3640" s="18" t="inlineStr">
        <is>
          <t>VOLVO</t>
        </is>
      </c>
      <c r="FH3640" s="18" t="inlineStr">
        <is>
          <t>B8RLEA</t>
        </is>
      </c>
      <c r="FI3640" s="18" t="inlineStr">
        <is>
          <t>MARCOPOLO</t>
        </is>
      </c>
      <c r="FJ3640" s="18" t="inlineStr">
        <is>
          <t>GRAN VIALE</t>
        </is>
      </c>
      <c r="FK3640" s="18" t="n">
        <v>2020</v>
      </c>
      <c r="FL3640" s="18" t="inlineStr">
        <is>
          <t>C</t>
        </is>
      </c>
      <c r="FM3640" s="18" t="inlineStr">
        <is>
          <t>Recoleta</t>
        </is>
      </c>
      <c r="FP3640" t="inlineStr">
        <is>
          <t>C</t>
        </is>
      </c>
    </row>
    <row r="3641">
      <c r="FC3641" t="inlineStr">
        <is>
          <t>Diccionario 4</t>
        </is>
      </c>
      <c r="FD3641" s="15" t="inlineStr">
        <is>
          <t>LZPR-83|</t>
        </is>
      </c>
      <c r="FE3641" s="17" t="inlineStr">
        <is>
          <t>YV3T7U525LA201144</t>
        </is>
      </c>
      <c r="FF3641" s="18" t="n">
        <v>507082</v>
      </c>
      <c r="FG3641" s="18" t="inlineStr">
        <is>
          <t>VOLVO</t>
        </is>
      </c>
      <c r="FH3641" s="18" t="inlineStr">
        <is>
          <t>B8RLEA</t>
        </is>
      </c>
      <c r="FI3641" s="18" t="inlineStr">
        <is>
          <t>MARCOPOLO</t>
        </is>
      </c>
      <c r="FJ3641" s="18" t="inlineStr">
        <is>
          <t>GRAN VIALE</t>
        </is>
      </c>
      <c r="FK3641" s="18" t="n">
        <v>2020</v>
      </c>
      <c r="FL3641" s="18" t="inlineStr">
        <is>
          <t>C</t>
        </is>
      </c>
      <c r="FM3641" s="18" t="inlineStr">
        <is>
          <t>Recoleta</t>
        </is>
      </c>
      <c r="FP3641" t="inlineStr">
        <is>
          <t>C</t>
        </is>
      </c>
    </row>
    <row r="3642">
      <c r="FC3642" t="inlineStr">
        <is>
          <t>Diccionario 4</t>
        </is>
      </c>
      <c r="FD3642" s="15" t="inlineStr">
        <is>
          <t>LZPR-84|</t>
        </is>
      </c>
      <c r="FE3642" s="17" t="inlineStr">
        <is>
          <t>YV3T7U520LA201035</t>
        </is>
      </c>
      <c r="FF3642" s="18" t="n">
        <v>506645</v>
      </c>
      <c r="FG3642" s="18" t="inlineStr">
        <is>
          <t>VOLVO</t>
        </is>
      </c>
      <c r="FH3642" s="18" t="inlineStr">
        <is>
          <t>B8RLEA</t>
        </is>
      </c>
      <c r="FI3642" s="18" t="inlineStr">
        <is>
          <t>MARCOPOLO</t>
        </is>
      </c>
      <c r="FJ3642" s="18" t="inlineStr">
        <is>
          <t>GRAN VIALE</t>
        </is>
      </c>
      <c r="FK3642" s="18" t="n">
        <v>2020</v>
      </c>
      <c r="FL3642" s="18" t="inlineStr">
        <is>
          <t>C</t>
        </is>
      </c>
      <c r="FM3642" s="18" t="inlineStr">
        <is>
          <t>Recoleta</t>
        </is>
      </c>
      <c r="FP3642" t="inlineStr">
        <is>
          <t>C</t>
        </is>
      </c>
    </row>
    <row r="3643">
      <c r="FC3643" t="inlineStr">
        <is>
          <t>Diccionario 4</t>
        </is>
      </c>
      <c r="FD3643" s="15" t="inlineStr">
        <is>
          <t>LZPR-85|</t>
        </is>
      </c>
      <c r="FE3643" s="17" t="inlineStr">
        <is>
          <t>YV3T7U527LA201209</t>
        </is>
      </c>
      <c r="FF3643" s="18" t="n">
        <v>507402</v>
      </c>
      <c r="FG3643" s="18" t="inlineStr">
        <is>
          <t>VOLVO</t>
        </is>
      </c>
      <c r="FH3643" s="18" t="inlineStr">
        <is>
          <t>B8RLEA</t>
        </is>
      </c>
      <c r="FI3643" s="18" t="inlineStr">
        <is>
          <t>MARCOPOLO</t>
        </is>
      </c>
      <c r="FJ3643" s="18" t="inlineStr">
        <is>
          <t>GRAN VIALE</t>
        </is>
      </c>
      <c r="FK3643" s="18" t="n">
        <v>2020</v>
      </c>
      <c r="FL3643" s="18" t="inlineStr">
        <is>
          <t>C</t>
        </is>
      </c>
      <c r="FM3643" s="18" t="inlineStr">
        <is>
          <t>Recoleta</t>
        </is>
      </c>
      <c r="FP3643" t="inlineStr">
        <is>
          <t>C</t>
        </is>
      </c>
    </row>
    <row r="3644">
      <c r="FC3644" t="inlineStr">
        <is>
          <t>Diccionario 4</t>
        </is>
      </c>
      <c r="FD3644" s="15" t="inlineStr">
        <is>
          <t>LZPR-86|</t>
        </is>
      </c>
      <c r="FE3644" s="17" t="inlineStr">
        <is>
          <t>YV3T7U52XLA201186</t>
        </is>
      </c>
      <c r="FF3644" s="18" t="n">
        <v>507277</v>
      </c>
      <c r="FG3644" s="18" t="inlineStr">
        <is>
          <t>VOLVO</t>
        </is>
      </c>
      <c r="FH3644" s="18" t="inlineStr">
        <is>
          <t>B8RLEA</t>
        </is>
      </c>
      <c r="FI3644" s="18" t="inlineStr">
        <is>
          <t>MARCOPOLO</t>
        </is>
      </c>
      <c r="FJ3644" s="18" t="inlineStr">
        <is>
          <t>GRAN VIALE</t>
        </is>
      </c>
      <c r="FK3644" s="18" t="n">
        <v>2020</v>
      </c>
      <c r="FL3644" s="18" t="inlineStr">
        <is>
          <t>C</t>
        </is>
      </c>
      <c r="FM3644" s="18" t="inlineStr">
        <is>
          <t>Recoleta</t>
        </is>
      </c>
      <c r="FP3644" t="inlineStr">
        <is>
          <t>C</t>
        </is>
      </c>
    </row>
    <row r="3645">
      <c r="FC3645" t="inlineStr">
        <is>
          <t>Diccionario 4</t>
        </is>
      </c>
      <c r="FD3645" s="15" t="inlineStr">
        <is>
          <t>LZPR-87|</t>
        </is>
      </c>
      <c r="FE3645" s="17" t="inlineStr">
        <is>
          <t>YV3T7U528LA201185</t>
        </is>
      </c>
      <c r="FF3645" s="18" t="n">
        <v>506865</v>
      </c>
      <c r="FG3645" s="18" t="inlineStr">
        <is>
          <t>VOLVO</t>
        </is>
      </c>
      <c r="FH3645" s="18" t="inlineStr">
        <is>
          <t>B8RLEA</t>
        </is>
      </c>
      <c r="FI3645" s="18" t="inlineStr">
        <is>
          <t>MARCOPOLO</t>
        </is>
      </c>
      <c r="FJ3645" s="18" t="inlineStr">
        <is>
          <t>GRAN VIALE</t>
        </is>
      </c>
      <c r="FK3645" s="18" t="n">
        <v>2020</v>
      </c>
      <c r="FL3645" s="18" t="inlineStr">
        <is>
          <t>C</t>
        </is>
      </c>
      <c r="FM3645" s="18" t="inlineStr">
        <is>
          <t>Recoleta</t>
        </is>
      </c>
      <c r="FP3645" t="inlineStr">
        <is>
          <t>C</t>
        </is>
      </c>
    </row>
    <row r="3646">
      <c r="FC3646" t="inlineStr">
        <is>
          <t>Diccionario 4</t>
        </is>
      </c>
      <c r="FD3646" s="15" t="inlineStr">
        <is>
          <t>LZPR-88|</t>
        </is>
      </c>
      <c r="FE3646" s="17" t="inlineStr">
        <is>
          <t>YV3T7U523LA201059</t>
        </is>
      </c>
      <c r="FF3646" s="18" t="n">
        <v>506732</v>
      </c>
      <c r="FG3646" s="18" t="inlineStr">
        <is>
          <t>VOLVO</t>
        </is>
      </c>
      <c r="FH3646" s="18" t="inlineStr">
        <is>
          <t>B8RLEA</t>
        </is>
      </c>
      <c r="FI3646" s="18" t="inlineStr">
        <is>
          <t>MARCOPOLO</t>
        </is>
      </c>
      <c r="FJ3646" s="18" t="inlineStr">
        <is>
          <t>GRAN VIALE</t>
        </is>
      </c>
      <c r="FK3646" s="18" t="n">
        <v>2020</v>
      </c>
      <c r="FL3646" s="18" t="inlineStr">
        <is>
          <t>C</t>
        </is>
      </c>
      <c r="FM3646" s="18" t="inlineStr">
        <is>
          <t>Recoleta</t>
        </is>
      </c>
      <c r="FP3646" t="inlineStr">
        <is>
          <t>C</t>
        </is>
      </c>
    </row>
    <row r="3647">
      <c r="FC3647" t="inlineStr">
        <is>
          <t>Diccionario 4</t>
        </is>
      </c>
      <c r="FD3647" s="15" t="inlineStr">
        <is>
          <t>LZPR-89|</t>
        </is>
      </c>
      <c r="FE3647" s="17" t="inlineStr">
        <is>
          <t>YV3T7U527LA201033</t>
        </is>
      </c>
      <c r="FF3647" s="18" t="n">
        <v>506661</v>
      </c>
      <c r="FG3647" s="18" t="inlineStr">
        <is>
          <t>VOLVO</t>
        </is>
      </c>
      <c r="FH3647" s="18" t="inlineStr">
        <is>
          <t>B8RLEA</t>
        </is>
      </c>
      <c r="FI3647" s="18" t="inlineStr">
        <is>
          <t>MARCOPOLO</t>
        </is>
      </c>
      <c r="FJ3647" s="18" t="inlineStr">
        <is>
          <t>GRAN VIALE</t>
        </is>
      </c>
      <c r="FK3647" s="18" t="n">
        <v>2020</v>
      </c>
      <c r="FL3647" s="18" t="inlineStr">
        <is>
          <t>C</t>
        </is>
      </c>
      <c r="FM3647" s="18" t="inlineStr">
        <is>
          <t>Recoleta</t>
        </is>
      </c>
      <c r="FP3647" t="inlineStr">
        <is>
          <t>C</t>
        </is>
      </c>
    </row>
    <row r="3648">
      <c r="FC3648" t="inlineStr">
        <is>
          <t>Diccionario 4</t>
        </is>
      </c>
      <c r="FD3648" s="15" t="inlineStr">
        <is>
          <t>LZPR-90|</t>
        </is>
      </c>
      <c r="FE3648" s="17" t="inlineStr">
        <is>
          <t>YV3T7U52XLA200992</t>
        </is>
      </c>
      <c r="FF3648" s="18" t="n">
        <v>506598</v>
      </c>
      <c r="FG3648" s="18" t="inlineStr">
        <is>
          <t>VOLVO</t>
        </is>
      </c>
      <c r="FH3648" s="18" t="inlineStr">
        <is>
          <t>B8RLEA</t>
        </is>
      </c>
      <c r="FI3648" s="18" t="inlineStr">
        <is>
          <t>MARCOPOLO</t>
        </is>
      </c>
      <c r="FJ3648" s="18" t="inlineStr">
        <is>
          <t>GRAN VIALE</t>
        </is>
      </c>
      <c r="FK3648" s="18" t="n">
        <v>2020</v>
      </c>
      <c r="FL3648" s="18" t="inlineStr">
        <is>
          <t>C</t>
        </is>
      </c>
      <c r="FM3648" s="18" t="inlineStr">
        <is>
          <t>Recoleta</t>
        </is>
      </c>
      <c r="FP3648" t="inlineStr">
        <is>
          <t>C</t>
        </is>
      </c>
    </row>
    <row r="3649">
      <c r="FC3649" t="inlineStr">
        <is>
          <t>Diccionario 4</t>
        </is>
      </c>
      <c r="FD3649" s="15" t="inlineStr">
        <is>
          <t>LZPR-92|</t>
        </is>
      </c>
      <c r="FE3649" s="17" t="inlineStr">
        <is>
          <t>YV3T7U522LA200971</t>
        </is>
      </c>
      <c r="FF3649" s="18" t="n">
        <v>506305</v>
      </c>
      <c r="FG3649" s="18" t="inlineStr">
        <is>
          <t>VOLVO</t>
        </is>
      </c>
      <c r="FH3649" s="18" t="inlineStr">
        <is>
          <t>B8RLEA</t>
        </is>
      </c>
      <c r="FI3649" s="18" t="inlineStr">
        <is>
          <t>MARCOPOLO</t>
        </is>
      </c>
      <c r="FJ3649" s="18" t="inlineStr">
        <is>
          <t>GRAN VIALE</t>
        </is>
      </c>
      <c r="FK3649" s="18" t="n">
        <v>2020</v>
      </c>
      <c r="FL3649" s="18" t="inlineStr">
        <is>
          <t>C</t>
        </is>
      </c>
      <c r="FM3649" s="18" t="inlineStr">
        <is>
          <t>Recoleta</t>
        </is>
      </c>
      <c r="FP3649" t="inlineStr">
        <is>
          <t>C</t>
        </is>
      </c>
    </row>
    <row r="3650">
      <c r="FC3650" t="inlineStr">
        <is>
          <t>Diccionario 4</t>
        </is>
      </c>
      <c r="FD3650" s="15" t="inlineStr">
        <is>
          <t>LZPR-93|</t>
        </is>
      </c>
      <c r="FE3650" s="17" t="inlineStr">
        <is>
          <t>YV3T7U525LA201046</t>
        </is>
      </c>
      <c r="FF3650" s="18" t="n">
        <v>506647</v>
      </c>
      <c r="FG3650" s="18" t="inlineStr">
        <is>
          <t>VOLVO</t>
        </is>
      </c>
      <c r="FH3650" s="18" t="inlineStr">
        <is>
          <t>B8RLEA</t>
        </is>
      </c>
      <c r="FI3650" s="18" t="inlineStr">
        <is>
          <t>MARCOPOLO</t>
        </is>
      </c>
      <c r="FJ3650" s="18" t="inlineStr">
        <is>
          <t>GRAN VIALE</t>
        </is>
      </c>
      <c r="FK3650" s="18" t="n">
        <v>2020</v>
      </c>
      <c r="FL3650" s="18" t="inlineStr">
        <is>
          <t>C</t>
        </is>
      </c>
      <c r="FM3650" s="18" t="inlineStr">
        <is>
          <t>Recoleta</t>
        </is>
      </c>
      <c r="FP3650" t="inlineStr">
        <is>
          <t>C</t>
        </is>
      </c>
    </row>
    <row r="3651">
      <c r="FC3651" t="inlineStr">
        <is>
          <t>Diccionario 4</t>
        </is>
      </c>
      <c r="FD3651" s="15" t="inlineStr">
        <is>
          <t>LZPR-94|</t>
        </is>
      </c>
      <c r="FE3651" s="17" t="inlineStr">
        <is>
          <t>YV3T7U521LA201156</t>
        </is>
      </c>
      <c r="FF3651" s="18" t="n">
        <v>507078</v>
      </c>
      <c r="FG3651" s="18" t="inlineStr">
        <is>
          <t>VOLVO</t>
        </is>
      </c>
      <c r="FH3651" s="18" t="inlineStr">
        <is>
          <t>B8RLEA</t>
        </is>
      </c>
      <c r="FI3651" s="18" t="inlineStr">
        <is>
          <t>MARCOPOLO</t>
        </is>
      </c>
      <c r="FJ3651" s="18" t="inlineStr">
        <is>
          <t>GRAN VIALE</t>
        </is>
      </c>
      <c r="FK3651" s="18" t="n">
        <v>2020</v>
      </c>
      <c r="FL3651" s="18" t="inlineStr">
        <is>
          <t>C</t>
        </is>
      </c>
      <c r="FM3651" s="18" t="inlineStr">
        <is>
          <t>Recoleta</t>
        </is>
      </c>
      <c r="FP3651" t="inlineStr">
        <is>
          <t>C</t>
        </is>
      </c>
    </row>
    <row r="3652">
      <c r="FC3652" t="inlineStr">
        <is>
          <t>Diccionario 4</t>
        </is>
      </c>
      <c r="FD3652" s="15" t="inlineStr">
        <is>
          <t>LZPR-95|</t>
        </is>
      </c>
      <c r="FE3652" s="17" t="inlineStr">
        <is>
          <t>YV3T7U521LA201058</t>
        </is>
      </c>
      <c r="FF3652" s="18" t="n">
        <v>506749</v>
      </c>
      <c r="FG3652" s="18" t="inlineStr">
        <is>
          <t>VOLVO</t>
        </is>
      </c>
      <c r="FH3652" s="18" t="inlineStr">
        <is>
          <t>B8RLEA</t>
        </is>
      </c>
      <c r="FI3652" s="18" t="inlineStr">
        <is>
          <t>MARCOPOLO</t>
        </is>
      </c>
      <c r="FJ3652" s="18" t="inlineStr">
        <is>
          <t>GRAN VIALE</t>
        </is>
      </c>
      <c r="FK3652" s="18" t="n">
        <v>2020</v>
      </c>
      <c r="FL3652" s="18" t="inlineStr">
        <is>
          <t>C</t>
        </is>
      </c>
      <c r="FM3652" s="18" t="inlineStr">
        <is>
          <t>Recoleta</t>
        </is>
      </c>
      <c r="FP3652" t="inlineStr">
        <is>
          <t>C</t>
        </is>
      </c>
    </row>
    <row r="3653">
      <c r="FC3653" t="inlineStr">
        <is>
          <t>Diccionario 4</t>
        </is>
      </c>
      <c r="FD3653" s="15" t="inlineStr">
        <is>
          <t>LZPR-96|</t>
        </is>
      </c>
      <c r="FE3653" s="17" t="inlineStr">
        <is>
          <t>YV3T7U528LA201073</t>
        </is>
      </c>
      <c r="FF3653" s="18" t="n">
        <v>507040</v>
      </c>
      <c r="FG3653" s="18" t="inlineStr">
        <is>
          <t>VOLVO</t>
        </is>
      </c>
      <c r="FH3653" s="18" t="inlineStr">
        <is>
          <t>B8RLEA</t>
        </is>
      </c>
      <c r="FI3653" s="18" t="inlineStr">
        <is>
          <t>MARCOPOLO</t>
        </is>
      </c>
      <c r="FJ3653" s="18" t="inlineStr">
        <is>
          <t>GRAN VIALE</t>
        </is>
      </c>
      <c r="FK3653" s="18" t="n">
        <v>2020</v>
      </c>
      <c r="FL3653" s="18" t="inlineStr">
        <is>
          <t>C</t>
        </is>
      </c>
      <c r="FM3653" s="18" t="inlineStr">
        <is>
          <t>Recoleta</t>
        </is>
      </c>
      <c r="FP3653" t="inlineStr">
        <is>
          <t>C</t>
        </is>
      </c>
    </row>
    <row r="3654">
      <c r="FC3654" t="inlineStr">
        <is>
          <t>Diccionario 4</t>
        </is>
      </c>
      <c r="FD3654" s="15" t="inlineStr">
        <is>
          <t>LZPR-97|</t>
        </is>
      </c>
      <c r="FE3654" s="17" t="inlineStr">
        <is>
          <t>YV3T7U524LA201071</t>
        </is>
      </c>
      <c r="FF3654" s="18" t="n">
        <v>506999</v>
      </c>
      <c r="FG3654" s="18" t="inlineStr">
        <is>
          <t>VOLVO</t>
        </is>
      </c>
      <c r="FH3654" s="18" t="inlineStr">
        <is>
          <t>B8RLEA</t>
        </is>
      </c>
      <c r="FI3654" s="18" t="inlineStr">
        <is>
          <t>MARCOPOLO</t>
        </is>
      </c>
      <c r="FJ3654" s="18" t="inlineStr">
        <is>
          <t>GRAN VIALE</t>
        </is>
      </c>
      <c r="FK3654" s="18" t="n">
        <v>2020</v>
      </c>
      <c r="FL3654" s="18" t="inlineStr">
        <is>
          <t>C</t>
        </is>
      </c>
      <c r="FM3654" s="18" t="inlineStr">
        <is>
          <t>Recoleta</t>
        </is>
      </c>
      <c r="FP3654" t="inlineStr">
        <is>
          <t>C</t>
        </is>
      </c>
    </row>
    <row r="3655">
      <c r="FC3655" t="inlineStr">
        <is>
          <t>Diccionario 4</t>
        </is>
      </c>
      <c r="FD3655" s="15" t="inlineStr">
        <is>
          <t>LZPR-98|</t>
        </is>
      </c>
      <c r="FE3655" s="17" t="inlineStr">
        <is>
          <t>YV3T7U529LA201048</t>
        </is>
      </c>
      <c r="FF3655" s="18" t="n">
        <v>506686</v>
      </c>
      <c r="FG3655" s="18" t="inlineStr">
        <is>
          <t>VOLVO</t>
        </is>
      </c>
      <c r="FH3655" s="18" t="inlineStr">
        <is>
          <t>B8RLEA</t>
        </is>
      </c>
      <c r="FI3655" s="18" t="inlineStr">
        <is>
          <t>MARCOPOLO</t>
        </is>
      </c>
      <c r="FJ3655" s="18" t="inlineStr">
        <is>
          <t>GRAN VIALE</t>
        </is>
      </c>
      <c r="FK3655" s="18" t="n">
        <v>2020</v>
      </c>
      <c r="FL3655" s="18" t="inlineStr">
        <is>
          <t>C</t>
        </is>
      </c>
      <c r="FM3655" s="18" t="inlineStr">
        <is>
          <t>Recoleta</t>
        </is>
      </c>
      <c r="FP3655" t="inlineStr">
        <is>
          <t>C</t>
        </is>
      </c>
    </row>
    <row r="3656">
      <c r="FC3656" t="inlineStr">
        <is>
          <t>Diccionario 4</t>
        </is>
      </c>
      <c r="FD3656" s="15" t="inlineStr">
        <is>
          <t>LZPR-99|</t>
        </is>
      </c>
      <c r="FE3656" s="17" t="inlineStr">
        <is>
          <t>YV3T7U52XLA201155</t>
        </is>
      </c>
      <c r="FF3656" s="18" t="n">
        <v>507117</v>
      </c>
      <c r="FG3656" s="18" t="inlineStr">
        <is>
          <t>VOLVO</t>
        </is>
      </c>
      <c r="FH3656" s="18" t="inlineStr">
        <is>
          <t>B8RLEA</t>
        </is>
      </c>
      <c r="FI3656" s="18" t="inlineStr">
        <is>
          <t>MARCOPOLO</t>
        </is>
      </c>
      <c r="FJ3656" s="18" t="inlineStr">
        <is>
          <t>GRAN VIALE</t>
        </is>
      </c>
      <c r="FK3656" s="18" t="n">
        <v>2020</v>
      </c>
      <c r="FL3656" s="18" t="inlineStr">
        <is>
          <t>C</t>
        </is>
      </c>
      <c r="FM3656" s="18" t="inlineStr">
        <is>
          <t>Recoleta</t>
        </is>
      </c>
      <c r="FP3656" t="inlineStr">
        <is>
          <t>C</t>
        </is>
      </c>
    </row>
    <row r="3657">
      <c r="FC3657" t="inlineStr">
        <is>
          <t>Diccionario 4</t>
        </is>
      </c>
      <c r="FD3657" s="15" t="inlineStr">
        <is>
          <t>LZPS-10|</t>
        </is>
      </c>
      <c r="FE3657" s="17" t="inlineStr">
        <is>
          <t>YV3T7U527LA201100</t>
        </is>
      </c>
      <c r="FF3657" s="18" t="n">
        <v>507055</v>
      </c>
      <c r="FG3657" s="18" t="inlineStr">
        <is>
          <t>VOLVO</t>
        </is>
      </c>
      <c r="FH3657" s="18" t="inlineStr">
        <is>
          <t>B8RLEA</t>
        </is>
      </c>
      <c r="FI3657" s="18" t="inlineStr">
        <is>
          <t>MARCOPOLO</t>
        </is>
      </c>
      <c r="FJ3657" s="18" t="inlineStr">
        <is>
          <t>GRAN VIALE</t>
        </is>
      </c>
      <c r="FK3657" s="18" t="n">
        <v>2020</v>
      </c>
      <c r="FL3657" s="18" t="inlineStr">
        <is>
          <t>C</t>
        </is>
      </c>
      <c r="FM3657" s="18" t="inlineStr">
        <is>
          <t>Recoleta</t>
        </is>
      </c>
      <c r="FP3657" t="inlineStr">
        <is>
          <t>C</t>
        </is>
      </c>
    </row>
    <row r="3658">
      <c r="FC3658" t="inlineStr">
        <is>
          <t>Diccionario 4</t>
        </is>
      </c>
      <c r="FD3658" s="15" t="inlineStr">
        <is>
          <t>LZPS-11|</t>
        </is>
      </c>
      <c r="FE3658" s="17" t="inlineStr">
        <is>
          <t>YV3T7U521LA201142</t>
        </is>
      </c>
      <c r="FF3658" s="18" t="n">
        <v>507102</v>
      </c>
      <c r="FG3658" s="18" t="inlineStr">
        <is>
          <t>VOLVO</t>
        </is>
      </c>
      <c r="FH3658" s="18" t="inlineStr">
        <is>
          <t>B8RLEA</t>
        </is>
      </c>
      <c r="FI3658" s="18" t="inlineStr">
        <is>
          <t>MARCOPOLO</t>
        </is>
      </c>
      <c r="FJ3658" s="18" t="inlineStr">
        <is>
          <t>GRAN VIALE</t>
        </is>
      </c>
      <c r="FK3658" s="18" t="n">
        <v>2020</v>
      </c>
      <c r="FL3658" s="18" t="inlineStr">
        <is>
          <t>C</t>
        </is>
      </c>
      <c r="FM3658" s="18" t="inlineStr">
        <is>
          <t>Recoleta</t>
        </is>
      </c>
      <c r="FP3658" t="inlineStr">
        <is>
          <t>C</t>
        </is>
      </c>
    </row>
    <row r="3659">
      <c r="FC3659" t="inlineStr">
        <is>
          <t>Diccionario 4</t>
        </is>
      </c>
      <c r="FD3659" s="15" t="inlineStr">
        <is>
          <t>LZPS-12|</t>
        </is>
      </c>
      <c r="FE3659" s="17" t="inlineStr">
        <is>
          <t>YV3T7U52XLA201141</t>
        </is>
      </c>
      <c r="FF3659" s="18" t="n">
        <v>507075</v>
      </c>
      <c r="FG3659" s="18" t="inlineStr">
        <is>
          <t>VOLVO</t>
        </is>
      </c>
      <c r="FH3659" s="18" t="inlineStr">
        <is>
          <t>B8RLEA</t>
        </is>
      </c>
      <c r="FI3659" s="18" t="inlineStr">
        <is>
          <t>MARCOPOLO</t>
        </is>
      </c>
      <c r="FJ3659" s="18" t="inlineStr">
        <is>
          <t>GRAN VIALE</t>
        </is>
      </c>
      <c r="FK3659" s="18" t="n">
        <v>2020</v>
      </c>
      <c r="FL3659" s="18" t="inlineStr">
        <is>
          <t>C</t>
        </is>
      </c>
      <c r="FM3659" s="18" t="inlineStr">
        <is>
          <t>Recoleta</t>
        </is>
      </c>
      <c r="FP3659" t="inlineStr">
        <is>
          <t>C</t>
        </is>
      </c>
    </row>
    <row r="3660">
      <c r="FC3660" t="inlineStr">
        <is>
          <t>Diccionario 4</t>
        </is>
      </c>
      <c r="FD3660" s="15" t="inlineStr">
        <is>
          <t>LZPS-13|</t>
        </is>
      </c>
      <c r="FE3660" s="17" t="inlineStr">
        <is>
          <t>YV3T7U526LA201153</t>
        </is>
      </c>
      <c r="FF3660" s="18" t="n">
        <v>507106</v>
      </c>
      <c r="FG3660" s="18" t="inlineStr">
        <is>
          <t>VOLVO</t>
        </is>
      </c>
      <c r="FH3660" s="18" t="inlineStr">
        <is>
          <t>B8RLEA</t>
        </is>
      </c>
      <c r="FI3660" s="18" t="inlineStr">
        <is>
          <t>MARCOPOLO</t>
        </is>
      </c>
      <c r="FJ3660" s="18" t="inlineStr">
        <is>
          <t>GRAN VIALE</t>
        </is>
      </c>
      <c r="FK3660" s="18" t="n">
        <v>2020</v>
      </c>
      <c r="FL3660" s="18" t="inlineStr">
        <is>
          <t>C</t>
        </is>
      </c>
      <c r="FM3660" s="18" t="inlineStr">
        <is>
          <t>Recoleta</t>
        </is>
      </c>
      <c r="FP3660" t="inlineStr">
        <is>
          <t>C</t>
        </is>
      </c>
    </row>
    <row r="3661">
      <c r="FC3661" t="inlineStr">
        <is>
          <t>Diccionario 4</t>
        </is>
      </c>
      <c r="FD3661" s="15" t="inlineStr">
        <is>
          <t>LZPS-14|</t>
        </is>
      </c>
      <c r="FE3661" s="17" t="inlineStr">
        <is>
          <t>YV3T7U529LA201034</t>
        </is>
      </c>
      <c r="FF3661" s="18" t="n">
        <v>506644</v>
      </c>
      <c r="FG3661" s="18" t="inlineStr">
        <is>
          <t>VOLVO</t>
        </is>
      </c>
      <c r="FH3661" s="18" t="inlineStr">
        <is>
          <t>B8RLEA</t>
        </is>
      </c>
      <c r="FI3661" s="18" t="inlineStr">
        <is>
          <t>MARCOPOLO</t>
        </is>
      </c>
      <c r="FJ3661" s="18" t="inlineStr">
        <is>
          <t>GRAN VIALE</t>
        </is>
      </c>
      <c r="FK3661" s="18" t="n">
        <v>2020</v>
      </c>
      <c r="FL3661" s="18" t="inlineStr">
        <is>
          <t>C</t>
        </is>
      </c>
      <c r="FM3661" s="18" t="inlineStr">
        <is>
          <t>Recoleta</t>
        </is>
      </c>
      <c r="FP3661" t="inlineStr">
        <is>
          <t>C</t>
        </is>
      </c>
    </row>
    <row r="3662">
      <c r="FC3662" t="inlineStr">
        <is>
          <t>Diccionario 4</t>
        </is>
      </c>
      <c r="FD3662" s="15" t="inlineStr">
        <is>
          <t>LZPS-15|</t>
        </is>
      </c>
      <c r="FE3662" s="17" t="inlineStr">
        <is>
          <t>YV3T7U523LA201045</t>
        </is>
      </c>
      <c r="FF3662" s="18" t="n">
        <v>506671</v>
      </c>
      <c r="FG3662" s="18" t="inlineStr">
        <is>
          <t>VOLVO</t>
        </is>
      </c>
      <c r="FH3662" s="18" t="inlineStr">
        <is>
          <t>B8RLEA</t>
        </is>
      </c>
      <c r="FI3662" s="18" t="inlineStr">
        <is>
          <t>MARCOPOLO</t>
        </is>
      </c>
      <c r="FJ3662" s="18" t="inlineStr">
        <is>
          <t>GRAN VIALE</t>
        </is>
      </c>
      <c r="FK3662" s="18" t="n">
        <v>2020</v>
      </c>
      <c r="FL3662" s="18" t="inlineStr">
        <is>
          <t>C</t>
        </is>
      </c>
      <c r="FM3662" s="18" t="inlineStr">
        <is>
          <t>Recoleta</t>
        </is>
      </c>
      <c r="FP3662" t="inlineStr">
        <is>
          <t>C</t>
        </is>
      </c>
    </row>
    <row r="3663">
      <c r="FC3663" t="inlineStr">
        <is>
          <t>Diccionario 4</t>
        </is>
      </c>
      <c r="FD3663" s="15" t="inlineStr">
        <is>
          <t>LZPS-16|</t>
        </is>
      </c>
      <c r="FE3663" s="17" t="inlineStr">
        <is>
          <t>YV3T7U52XLA201074</t>
        </is>
      </c>
      <c r="FF3663" s="18" t="n">
        <v>507033</v>
      </c>
      <c r="FG3663" s="18" t="inlineStr">
        <is>
          <t>VOLVO</t>
        </is>
      </c>
      <c r="FH3663" s="18" t="inlineStr">
        <is>
          <t>B8RLEA</t>
        </is>
      </c>
      <c r="FI3663" s="18" t="inlineStr">
        <is>
          <t>MARCOPOLO</t>
        </is>
      </c>
      <c r="FJ3663" s="18" t="inlineStr">
        <is>
          <t>GRAN VIALE</t>
        </is>
      </c>
      <c r="FK3663" s="18" t="n">
        <v>2020</v>
      </c>
      <c r="FL3663" s="18" t="inlineStr">
        <is>
          <t>C</t>
        </is>
      </c>
      <c r="FM3663" s="18" t="inlineStr">
        <is>
          <t>Recoleta</t>
        </is>
      </c>
      <c r="FP3663" t="inlineStr">
        <is>
          <t>C</t>
        </is>
      </c>
    </row>
    <row r="3664">
      <c r="FC3664" t="inlineStr">
        <is>
          <t>Diccionario 4</t>
        </is>
      </c>
      <c r="FD3664" s="15" t="inlineStr">
        <is>
          <t>LZPS-17|</t>
        </is>
      </c>
      <c r="FE3664" s="17" t="inlineStr">
        <is>
          <t>YV3T7U526LA201072</t>
        </is>
      </c>
      <c r="FF3664" s="18" t="n">
        <v>506988</v>
      </c>
      <c r="FG3664" s="18" t="inlineStr">
        <is>
          <t>VOLVO</t>
        </is>
      </c>
      <c r="FH3664" s="18" t="inlineStr">
        <is>
          <t>B8RLEA</t>
        </is>
      </c>
      <c r="FI3664" s="18" t="inlineStr">
        <is>
          <t>MARCOPOLO</t>
        </is>
      </c>
      <c r="FJ3664" s="18" t="inlineStr">
        <is>
          <t>GRAN VIALE</t>
        </is>
      </c>
      <c r="FK3664" s="18" t="n">
        <v>2020</v>
      </c>
      <c r="FL3664" s="18" t="inlineStr">
        <is>
          <t>C</t>
        </is>
      </c>
      <c r="FM3664" s="18" t="inlineStr">
        <is>
          <t>Recoleta</t>
        </is>
      </c>
      <c r="FP3664" t="inlineStr">
        <is>
          <t>C</t>
        </is>
      </c>
    </row>
    <row r="3665">
      <c r="FC3665" t="inlineStr">
        <is>
          <t>Diccionario 4</t>
        </is>
      </c>
      <c r="FD3665" s="15" t="inlineStr">
        <is>
          <t>LZPS-18|</t>
        </is>
      </c>
      <c r="FE3665" s="17" t="inlineStr">
        <is>
          <t>YV3T7U520LA201181</t>
        </is>
      </c>
      <c r="FF3665" s="18" t="n">
        <v>506841</v>
      </c>
      <c r="FG3665" s="18" t="inlineStr">
        <is>
          <t>VOLVO</t>
        </is>
      </c>
      <c r="FH3665" s="18" t="inlineStr">
        <is>
          <t>B8RLEA</t>
        </is>
      </c>
      <c r="FI3665" s="18" t="inlineStr">
        <is>
          <t>MARCOPOLO</t>
        </is>
      </c>
      <c r="FJ3665" s="18" t="inlineStr">
        <is>
          <t>GRAN VIALE</t>
        </is>
      </c>
      <c r="FK3665" s="18" t="n">
        <v>2020</v>
      </c>
      <c r="FL3665" s="18" t="inlineStr">
        <is>
          <t>C</t>
        </is>
      </c>
      <c r="FM3665" s="18" t="inlineStr">
        <is>
          <t>Santa Rosa</t>
        </is>
      </c>
      <c r="FP3665" t="inlineStr">
        <is>
          <t>C</t>
        </is>
      </c>
    </row>
    <row r="3666">
      <c r="FC3666" t="inlineStr">
        <is>
          <t>Diccionario 4</t>
        </is>
      </c>
      <c r="FD3666" s="15" t="inlineStr">
        <is>
          <t>LZPS-19|</t>
        </is>
      </c>
      <c r="FE3666" s="17" t="inlineStr">
        <is>
          <t>YV3T7U522LA201098</t>
        </is>
      </c>
      <c r="FF3666" s="18" t="n">
        <v>507058</v>
      </c>
      <c r="FG3666" s="18" t="inlineStr">
        <is>
          <t>VOLVO</t>
        </is>
      </c>
      <c r="FH3666" s="18" t="inlineStr">
        <is>
          <t>B8RLEA</t>
        </is>
      </c>
      <c r="FI3666" s="18" t="inlineStr">
        <is>
          <t>MARCOPOLO</t>
        </is>
      </c>
      <c r="FJ3666" s="18" t="inlineStr">
        <is>
          <t>GRAN VIALE</t>
        </is>
      </c>
      <c r="FK3666" s="18" t="n">
        <v>2020</v>
      </c>
      <c r="FL3666" s="18" t="inlineStr">
        <is>
          <t>C</t>
        </is>
      </c>
      <c r="FM3666" s="18" t="inlineStr">
        <is>
          <t>Recoleta</t>
        </is>
      </c>
      <c r="FP3666" t="inlineStr">
        <is>
          <t>C</t>
        </is>
      </c>
    </row>
    <row r="3667">
      <c r="FC3667" t="inlineStr">
        <is>
          <t>Diccionario 4</t>
        </is>
      </c>
      <c r="FD3667" s="15" t="inlineStr">
        <is>
          <t>LZPS-20|</t>
        </is>
      </c>
      <c r="FE3667" s="17" t="inlineStr">
        <is>
          <t>YV3T7U52XLA201060</t>
        </is>
      </c>
      <c r="FF3667" s="18" t="n">
        <v>506731</v>
      </c>
      <c r="FG3667" s="18" t="inlineStr">
        <is>
          <t>VOLVO</t>
        </is>
      </c>
      <c r="FH3667" s="18" t="inlineStr">
        <is>
          <t>B8RLEA</t>
        </is>
      </c>
      <c r="FI3667" s="18" t="inlineStr">
        <is>
          <t>MARCOPOLO</t>
        </is>
      </c>
      <c r="FJ3667" s="18" t="inlineStr">
        <is>
          <t>GRAN VIALE</t>
        </is>
      </c>
      <c r="FK3667" s="18" t="n">
        <v>2020</v>
      </c>
      <c r="FL3667" s="18" t="inlineStr">
        <is>
          <t>C</t>
        </is>
      </c>
      <c r="FM3667" s="18" t="inlineStr">
        <is>
          <t>Santa Rosa</t>
        </is>
      </c>
      <c r="FP3667" t="inlineStr">
        <is>
          <t>C</t>
        </is>
      </c>
    </row>
    <row r="3668">
      <c r="FC3668" t="inlineStr">
        <is>
          <t>Diccionario 4</t>
        </is>
      </c>
      <c r="FD3668" s="15" t="inlineStr">
        <is>
          <t>LZPS-21|</t>
        </is>
      </c>
      <c r="FE3668" s="17" t="inlineStr">
        <is>
          <t>YV3T7U523LA201143</t>
        </is>
      </c>
      <c r="FF3668" s="18" t="n">
        <v>507121</v>
      </c>
      <c r="FG3668" s="18" t="inlineStr">
        <is>
          <t>VOLVO</t>
        </is>
      </c>
      <c r="FH3668" s="18" t="inlineStr">
        <is>
          <t>B8RLEA</t>
        </is>
      </c>
      <c r="FI3668" s="18" t="inlineStr">
        <is>
          <t>MARCOPOLO</t>
        </is>
      </c>
      <c r="FJ3668" s="18" t="inlineStr">
        <is>
          <t>GRAN VIALE</t>
        </is>
      </c>
      <c r="FK3668" s="18" t="n">
        <v>2020</v>
      </c>
      <c r="FL3668" s="18" t="inlineStr">
        <is>
          <t>C</t>
        </is>
      </c>
      <c r="FM3668" s="18" t="inlineStr">
        <is>
          <t>Recoleta</t>
        </is>
      </c>
      <c r="FP3668" t="inlineStr">
        <is>
          <t>C</t>
        </is>
      </c>
    </row>
    <row r="3669">
      <c r="FC3669" t="inlineStr">
        <is>
          <t>Diccionario 4</t>
        </is>
      </c>
      <c r="FD3669" s="15" t="inlineStr">
        <is>
          <t>LZPS-22|</t>
        </is>
      </c>
      <c r="FE3669" s="17" t="inlineStr">
        <is>
          <t>YV3T7U52XLA201169</t>
        </is>
      </c>
      <c r="FF3669" s="18" t="n">
        <v>507144</v>
      </c>
      <c r="FG3669" s="18" t="inlineStr">
        <is>
          <t>VOLVO</t>
        </is>
      </c>
      <c r="FH3669" s="18" t="inlineStr">
        <is>
          <t>B8RLEA</t>
        </is>
      </c>
      <c r="FI3669" s="18" t="inlineStr">
        <is>
          <t>MARCOPOLO</t>
        </is>
      </c>
      <c r="FJ3669" s="18" t="inlineStr">
        <is>
          <t>GRAN VIALE</t>
        </is>
      </c>
      <c r="FK3669" s="18" t="n">
        <v>2020</v>
      </c>
      <c r="FL3669" s="18" t="inlineStr">
        <is>
          <t>C</t>
        </is>
      </c>
      <c r="FM3669" s="18" t="inlineStr">
        <is>
          <t>Santa Rosa</t>
        </is>
      </c>
      <c r="FP3669" t="inlineStr">
        <is>
          <t>C</t>
        </is>
      </c>
    </row>
    <row r="3670">
      <c r="FC3670" t="inlineStr">
        <is>
          <t>Diccionario 4</t>
        </is>
      </c>
      <c r="FD3670" s="15" t="inlineStr">
        <is>
          <t>LZPS-23|</t>
        </is>
      </c>
      <c r="FE3670" s="17" t="inlineStr">
        <is>
          <t>YV3T7U524LA201099</t>
        </is>
      </c>
      <c r="FF3670" s="18" t="n">
        <v>507047</v>
      </c>
      <c r="FG3670" s="18" t="inlineStr">
        <is>
          <t>VOLVO</t>
        </is>
      </c>
      <c r="FH3670" s="18" t="inlineStr">
        <is>
          <t>B8RLEA</t>
        </is>
      </c>
      <c r="FI3670" s="18" t="inlineStr">
        <is>
          <t>MARCOPOLO</t>
        </is>
      </c>
      <c r="FJ3670" s="18" t="inlineStr">
        <is>
          <t>GRAN VIALE</t>
        </is>
      </c>
      <c r="FK3670" s="18" t="n">
        <v>2020</v>
      </c>
      <c r="FL3670" s="18" t="inlineStr">
        <is>
          <t>C</t>
        </is>
      </c>
      <c r="FM3670" s="18" t="inlineStr">
        <is>
          <t>Recoleta</t>
        </is>
      </c>
      <c r="FP3670" t="inlineStr">
        <is>
          <t>C</t>
        </is>
      </c>
    </row>
    <row r="3671">
      <c r="FC3671" t="inlineStr">
        <is>
          <t>Diccionario 4</t>
        </is>
      </c>
      <c r="FD3671" s="15" t="inlineStr">
        <is>
          <t>LZPS-24|</t>
        </is>
      </c>
      <c r="FE3671" s="17" t="inlineStr">
        <is>
          <t>YV3T7U52XLA201270</t>
        </is>
      </c>
      <c r="FF3671" s="18" t="n">
        <v>507680</v>
      </c>
      <c r="FG3671" s="18" t="inlineStr">
        <is>
          <t>VOLVO</t>
        </is>
      </c>
      <c r="FH3671" s="18" t="inlineStr">
        <is>
          <t>B8RLEA</t>
        </is>
      </c>
      <c r="FI3671" s="18" t="inlineStr">
        <is>
          <t>MARCOPOLO</t>
        </is>
      </c>
      <c r="FJ3671" s="18" t="inlineStr">
        <is>
          <t>GRAN VIALE</t>
        </is>
      </c>
      <c r="FK3671" s="18" t="n">
        <v>2020</v>
      </c>
      <c r="FL3671" s="18" t="inlineStr">
        <is>
          <t>C</t>
        </is>
      </c>
      <c r="FM3671" s="18" t="inlineStr">
        <is>
          <t>Santa Rosa</t>
        </is>
      </c>
      <c r="FP3671" t="inlineStr">
        <is>
          <t>C</t>
        </is>
      </c>
    </row>
    <row r="3672">
      <c r="FC3672" t="inlineStr">
        <is>
          <t>Diccionario 4</t>
        </is>
      </c>
      <c r="FD3672" s="15" t="inlineStr">
        <is>
          <t>LZPS-25|</t>
        </is>
      </c>
      <c r="FE3672" s="17" t="inlineStr">
        <is>
          <t>YV3T7U521LA201061</t>
        </is>
      </c>
      <c r="FF3672" s="18" t="n">
        <v>506696</v>
      </c>
      <c r="FG3672" s="18" t="inlineStr">
        <is>
          <t>VOLVO</t>
        </is>
      </c>
      <c r="FH3672" s="18" t="inlineStr">
        <is>
          <t>B8RLEA</t>
        </is>
      </c>
      <c r="FI3672" s="18" t="inlineStr">
        <is>
          <t>MARCOPOLO</t>
        </is>
      </c>
      <c r="FJ3672" s="18" t="inlineStr">
        <is>
          <t>GRAN VIALE</t>
        </is>
      </c>
      <c r="FK3672" s="18" t="n">
        <v>2020</v>
      </c>
      <c r="FL3672" s="18" t="inlineStr">
        <is>
          <t>C</t>
        </is>
      </c>
      <c r="FM3672" s="18" t="inlineStr">
        <is>
          <t>Recoleta</t>
        </is>
      </c>
      <c r="FP3672" t="inlineStr">
        <is>
          <t>C</t>
        </is>
      </c>
    </row>
    <row r="3673">
      <c r="FC3673" t="inlineStr">
        <is>
          <t>Diccionario 4</t>
        </is>
      </c>
      <c r="FD3673" s="15" t="inlineStr">
        <is>
          <t>LZPT-38|</t>
        </is>
      </c>
      <c r="FE3673" s="17" t="inlineStr">
        <is>
          <t>YV3T7U526LA201184</t>
        </is>
      </c>
      <c r="FF3673" s="18" t="n">
        <v>506823</v>
      </c>
      <c r="FG3673" s="18" t="inlineStr">
        <is>
          <t>VOLVO</t>
        </is>
      </c>
      <c r="FH3673" s="18" t="inlineStr">
        <is>
          <t>B8RLEA</t>
        </is>
      </c>
      <c r="FI3673" s="18" t="inlineStr">
        <is>
          <t>MARCOPOLO</t>
        </is>
      </c>
      <c r="FJ3673" s="18" t="inlineStr">
        <is>
          <t>GRAN VIALE</t>
        </is>
      </c>
      <c r="FK3673" s="18" t="n">
        <v>2020</v>
      </c>
      <c r="FL3673" s="18" t="inlineStr">
        <is>
          <t>C</t>
        </is>
      </c>
      <c r="FM3673" s="18" t="inlineStr">
        <is>
          <t>Santa Rosa</t>
        </is>
      </c>
      <c r="FP3673" t="inlineStr">
        <is>
          <t>C</t>
        </is>
      </c>
    </row>
    <row r="3674">
      <c r="FC3674" t="inlineStr">
        <is>
          <t>Diccionario 4</t>
        </is>
      </c>
      <c r="FD3674" s="15" t="inlineStr">
        <is>
          <t>LZPT-39|</t>
        </is>
      </c>
      <c r="FE3674" s="17" t="inlineStr">
        <is>
          <t>YV3T7U524LA201183</t>
        </is>
      </c>
      <c r="FF3674" s="18" t="n">
        <v>506866</v>
      </c>
      <c r="FG3674" s="18" t="inlineStr">
        <is>
          <t>VOLVO</t>
        </is>
      </c>
      <c r="FH3674" s="18" t="inlineStr">
        <is>
          <t>B8RLEA</t>
        </is>
      </c>
      <c r="FI3674" s="18" t="inlineStr">
        <is>
          <t>MARCOPOLO</t>
        </is>
      </c>
      <c r="FJ3674" s="18" t="inlineStr">
        <is>
          <t>GRAN VIALE</t>
        </is>
      </c>
      <c r="FK3674" s="18" t="n">
        <v>2020</v>
      </c>
      <c r="FL3674" s="18" t="inlineStr">
        <is>
          <t>C</t>
        </is>
      </c>
      <c r="FM3674" s="18" t="inlineStr">
        <is>
          <t>Santa Rosa</t>
        </is>
      </c>
      <c r="FP3674" t="inlineStr">
        <is>
          <t>C</t>
        </is>
      </c>
    </row>
    <row r="3675">
      <c r="FC3675" t="inlineStr">
        <is>
          <t>Diccionario 4</t>
        </is>
      </c>
      <c r="FD3675" s="15" t="inlineStr">
        <is>
          <t>LZPT-40|</t>
        </is>
      </c>
      <c r="FE3675" s="17" t="inlineStr">
        <is>
          <t>YV3T7U523LA201157</t>
        </is>
      </c>
      <c r="FF3675" s="18" t="n">
        <v>507134</v>
      </c>
      <c r="FG3675" s="18" t="inlineStr">
        <is>
          <t>VOLVO</t>
        </is>
      </c>
      <c r="FH3675" s="18" t="inlineStr">
        <is>
          <t>B8RLEA</t>
        </is>
      </c>
      <c r="FI3675" s="18" t="inlineStr">
        <is>
          <t>MARCOPOLO</t>
        </is>
      </c>
      <c r="FJ3675" s="18" t="inlineStr">
        <is>
          <t>GRAN VIALE</t>
        </is>
      </c>
      <c r="FK3675" s="18" t="n">
        <v>2020</v>
      </c>
      <c r="FL3675" s="18" t="inlineStr">
        <is>
          <t>C</t>
        </is>
      </c>
      <c r="FM3675" s="18" t="inlineStr">
        <is>
          <t>Santa Rosa</t>
        </is>
      </c>
      <c r="FP3675" t="inlineStr">
        <is>
          <t>C</t>
        </is>
      </c>
    </row>
    <row r="3676">
      <c r="FC3676" t="inlineStr">
        <is>
          <t>Diccionario 4</t>
        </is>
      </c>
      <c r="FD3676" s="15" t="inlineStr">
        <is>
          <t>LZPT-41|</t>
        </is>
      </c>
      <c r="FE3676" s="17" t="inlineStr">
        <is>
          <t>YV3T7U526LA201170</t>
        </is>
      </c>
      <c r="FF3676" s="18" t="n">
        <v>507160</v>
      </c>
      <c r="FG3676" s="18" t="inlineStr">
        <is>
          <t>VOLVO</t>
        </is>
      </c>
      <c r="FH3676" s="18" t="inlineStr">
        <is>
          <t>B8RLEA</t>
        </is>
      </c>
      <c r="FI3676" s="18" t="inlineStr">
        <is>
          <t>MARCOPOLO</t>
        </is>
      </c>
      <c r="FJ3676" s="18" t="inlineStr">
        <is>
          <t>GRAN VIALE</t>
        </is>
      </c>
      <c r="FK3676" s="18" t="n">
        <v>2020</v>
      </c>
      <c r="FL3676" s="18" t="inlineStr">
        <is>
          <t>C</t>
        </is>
      </c>
      <c r="FM3676" s="18" t="inlineStr">
        <is>
          <t>Santa Rosa</t>
        </is>
      </c>
      <c r="FP3676" t="inlineStr">
        <is>
          <t>C</t>
        </is>
      </c>
    </row>
    <row r="3677">
      <c r="FC3677" t="inlineStr">
        <is>
          <t>Diccionario 4</t>
        </is>
      </c>
      <c r="FD3677" s="15" t="inlineStr">
        <is>
          <t>LZPT-42|</t>
        </is>
      </c>
      <c r="FE3677" s="17" t="inlineStr">
        <is>
          <t>YV3T7U528LA201140</t>
        </is>
      </c>
      <c r="FF3677" s="18" t="n">
        <v>507108</v>
      </c>
      <c r="FG3677" s="18" t="inlineStr">
        <is>
          <t>VOLVO</t>
        </is>
      </c>
      <c r="FH3677" s="18" t="inlineStr">
        <is>
          <t>B8RLEA</t>
        </is>
      </c>
      <c r="FI3677" s="18" t="inlineStr">
        <is>
          <t>MARCOPOLO</t>
        </is>
      </c>
      <c r="FJ3677" s="18" t="inlineStr">
        <is>
          <t>GRAN VIALE</t>
        </is>
      </c>
      <c r="FK3677" s="18" t="n">
        <v>2020</v>
      </c>
      <c r="FL3677" s="18" t="inlineStr">
        <is>
          <t>C</t>
        </is>
      </c>
      <c r="FM3677" s="18" t="inlineStr">
        <is>
          <t>Santa Rosa</t>
        </is>
      </c>
      <c r="FP3677" t="inlineStr">
        <is>
          <t>C</t>
        </is>
      </c>
    </row>
    <row r="3678">
      <c r="FC3678" t="inlineStr">
        <is>
          <t>Diccionario 4</t>
        </is>
      </c>
      <c r="FD3678" s="15" t="inlineStr">
        <is>
          <t>LZPT-43|</t>
        </is>
      </c>
      <c r="FE3678" s="17" t="inlineStr">
        <is>
          <t>YV3T7U521LA201075</t>
        </is>
      </c>
      <c r="FF3678" s="18" t="n">
        <v>507057</v>
      </c>
      <c r="FG3678" s="18" t="inlineStr">
        <is>
          <t>VOLVO</t>
        </is>
      </c>
      <c r="FH3678" s="18" t="inlineStr">
        <is>
          <t>B8RLEA</t>
        </is>
      </c>
      <c r="FI3678" s="18" t="inlineStr">
        <is>
          <t>MARCOPOLO</t>
        </is>
      </c>
      <c r="FJ3678" s="18" t="inlineStr">
        <is>
          <t>GRAN VIALE</t>
        </is>
      </c>
      <c r="FK3678" s="18" t="n">
        <v>2020</v>
      </c>
      <c r="FL3678" s="18" t="inlineStr">
        <is>
          <t>C</t>
        </is>
      </c>
      <c r="FM3678" s="18" t="inlineStr">
        <is>
          <t>Recoleta</t>
        </is>
      </c>
      <c r="FP3678" t="inlineStr">
        <is>
          <t>C</t>
        </is>
      </c>
    </row>
    <row r="3679">
      <c r="FC3679" t="inlineStr">
        <is>
          <t>Diccionario 4</t>
        </is>
      </c>
      <c r="FD3679" s="15" t="inlineStr">
        <is>
          <t>LZPT-44|</t>
        </is>
      </c>
      <c r="FE3679" s="17" t="inlineStr">
        <is>
          <t>YV3T7U529LA201101</t>
        </is>
      </c>
      <c r="FF3679" s="18" t="n">
        <v>507062</v>
      </c>
      <c r="FG3679" s="18" t="inlineStr">
        <is>
          <t>VOLVO</t>
        </is>
      </c>
      <c r="FH3679" s="18" t="inlineStr">
        <is>
          <t>B8RLEA</t>
        </is>
      </c>
      <c r="FI3679" s="18" t="inlineStr">
        <is>
          <t>MARCOPOLO</t>
        </is>
      </c>
      <c r="FJ3679" s="18" t="inlineStr">
        <is>
          <t>GRAN VIALE</t>
        </is>
      </c>
      <c r="FK3679" s="18" t="n">
        <v>2020</v>
      </c>
      <c r="FL3679" s="18" t="inlineStr">
        <is>
          <t>C</t>
        </is>
      </c>
      <c r="FM3679" s="18" t="inlineStr">
        <is>
          <t>Recoleta</t>
        </is>
      </c>
      <c r="FP3679" t="inlineStr">
        <is>
          <t>C</t>
        </is>
      </c>
    </row>
    <row r="3680">
      <c r="FC3680" t="inlineStr">
        <is>
          <t>Diccionario 4</t>
        </is>
      </c>
      <c r="FD3680" s="15" t="inlineStr">
        <is>
          <t>LZPT-45|</t>
        </is>
      </c>
      <c r="FE3680" s="17" t="inlineStr">
        <is>
          <t>YV3T7U526LA201850</t>
        </is>
      </c>
      <c r="FF3680" s="18" t="n">
        <v>507971</v>
      </c>
      <c r="FG3680" s="18" t="inlineStr">
        <is>
          <t>VOLVO</t>
        </is>
      </c>
      <c r="FH3680" s="18" t="inlineStr">
        <is>
          <t>B8RLEA</t>
        </is>
      </c>
      <c r="FI3680" s="18" t="inlineStr">
        <is>
          <t>MARCOPOLO</t>
        </is>
      </c>
      <c r="FJ3680" s="18" t="inlineStr">
        <is>
          <t>GRAN VIALE</t>
        </is>
      </c>
      <c r="FK3680" s="18" t="n">
        <v>2020</v>
      </c>
      <c r="FL3680" s="18" t="inlineStr">
        <is>
          <t>C</t>
        </is>
      </c>
      <c r="FM3680" s="18" t="inlineStr">
        <is>
          <t>Santa Rosa</t>
        </is>
      </c>
      <c r="FP3680" t="inlineStr">
        <is>
          <t>C</t>
        </is>
      </c>
    </row>
    <row r="3681">
      <c r="FC3681" t="inlineStr">
        <is>
          <t>Diccionario 4</t>
        </is>
      </c>
      <c r="FD3681" s="15" t="inlineStr">
        <is>
          <t>LZPT-46|</t>
        </is>
      </c>
      <c r="FE3681" s="17" t="inlineStr">
        <is>
          <t>YV3T7U527LA201713</t>
        </is>
      </c>
      <c r="FF3681" s="18" t="n">
        <v>508481</v>
      </c>
      <c r="FG3681" s="18" t="inlineStr">
        <is>
          <t>VOLVO</t>
        </is>
      </c>
      <c r="FH3681" s="18" t="inlineStr">
        <is>
          <t>B8RLEA</t>
        </is>
      </c>
      <c r="FI3681" s="18" t="inlineStr">
        <is>
          <t>MARCOPOLO</t>
        </is>
      </c>
      <c r="FJ3681" s="18" t="inlineStr">
        <is>
          <t>GRAN VIALE</t>
        </is>
      </c>
      <c r="FK3681" s="18" t="n">
        <v>2020</v>
      </c>
      <c r="FL3681" s="18" t="inlineStr">
        <is>
          <t>C</t>
        </is>
      </c>
      <c r="FM3681" s="18" t="inlineStr">
        <is>
          <t>Recoleta</t>
        </is>
      </c>
      <c r="FP3681" t="inlineStr">
        <is>
          <t>C</t>
        </is>
      </c>
    </row>
    <row r="3682">
      <c r="FC3682" t="inlineStr">
        <is>
          <t>Diccionario 4</t>
        </is>
      </c>
      <c r="FD3682" s="15" t="inlineStr">
        <is>
          <t>LZPT-47|</t>
        </is>
      </c>
      <c r="FE3682" s="17" t="inlineStr">
        <is>
          <t>YV3T7U524LA201801</t>
        </is>
      </c>
      <c r="FF3682" s="18" t="n">
        <v>509156</v>
      </c>
      <c r="FG3682" s="18" t="inlineStr">
        <is>
          <t>VOLVO</t>
        </is>
      </c>
      <c r="FH3682" s="18" t="inlineStr">
        <is>
          <t>B8RLEA</t>
        </is>
      </c>
      <c r="FI3682" s="18" t="inlineStr">
        <is>
          <t>MARCOPOLO</t>
        </is>
      </c>
      <c r="FJ3682" s="18" t="inlineStr">
        <is>
          <t>GRAN VIALE</t>
        </is>
      </c>
      <c r="FK3682" s="18" t="n">
        <v>2020</v>
      </c>
      <c r="FL3682" s="18" t="inlineStr">
        <is>
          <t>C</t>
        </is>
      </c>
      <c r="FM3682" s="18" t="inlineStr">
        <is>
          <t>Recoleta</t>
        </is>
      </c>
      <c r="FP3682" t="inlineStr">
        <is>
          <t>C</t>
        </is>
      </c>
    </row>
    <row r="3683">
      <c r="FC3683" t="inlineStr">
        <is>
          <t>Diccionario 4</t>
        </is>
      </c>
      <c r="FD3683" s="15" t="inlineStr">
        <is>
          <t>LZPT-48|</t>
        </is>
      </c>
      <c r="FE3683" s="17" t="inlineStr">
        <is>
          <t>YV3T7U529LA201812</t>
        </is>
      </c>
      <c r="FF3683" s="18" t="n">
        <v>509224</v>
      </c>
      <c r="FG3683" s="18" t="inlineStr">
        <is>
          <t>VOLVO</t>
        </is>
      </c>
      <c r="FH3683" s="18" t="inlineStr">
        <is>
          <t>B8RLEA</t>
        </is>
      </c>
      <c r="FI3683" s="18" t="inlineStr">
        <is>
          <t>MARCOPOLO</t>
        </is>
      </c>
      <c r="FJ3683" s="18" t="inlineStr">
        <is>
          <t>GRAN VIALE</t>
        </is>
      </c>
      <c r="FK3683" s="18" t="n">
        <v>2020</v>
      </c>
      <c r="FL3683" s="18" t="inlineStr">
        <is>
          <t>C</t>
        </is>
      </c>
      <c r="FM3683" s="18" t="inlineStr">
        <is>
          <t>Recoleta</t>
        </is>
      </c>
      <c r="FP3683" t="inlineStr">
        <is>
          <t>C</t>
        </is>
      </c>
    </row>
    <row r="3684">
      <c r="FC3684" t="inlineStr">
        <is>
          <t>Diccionario 4</t>
        </is>
      </c>
      <c r="FD3684" s="15" t="inlineStr">
        <is>
          <t>LZPT-49|</t>
        </is>
      </c>
      <c r="FE3684" s="17" t="inlineStr">
        <is>
          <t>YV3T7U520LA201813</t>
        </is>
      </c>
      <c r="FF3684" s="18" t="n">
        <v>509231</v>
      </c>
      <c r="FG3684" s="18" t="inlineStr">
        <is>
          <t>VOLVO</t>
        </is>
      </c>
      <c r="FH3684" s="18" t="inlineStr">
        <is>
          <t>B8RLEA</t>
        </is>
      </c>
      <c r="FI3684" s="18" t="inlineStr">
        <is>
          <t>MARCOPOLO</t>
        </is>
      </c>
      <c r="FJ3684" s="18" t="inlineStr">
        <is>
          <t>GRAN VIALE</t>
        </is>
      </c>
      <c r="FK3684" s="18" t="n">
        <v>2020</v>
      </c>
      <c r="FL3684" s="18" t="inlineStr">
        <is>
          <t>C</t>
        </is>
      </c>
      <c r="FM3684" s="18" t="inlineStr">
        <is>
          <t>Santa Rosa</t>
        </is>
      </c>
      <c r="FP3684" t="inlineStr">
        <is>
          <t>C</t>
        </is>
      </c>
    </row>
    <row r="3685">
      <c r="FC3685" t="inlineStr">
        <is>
          <t>Diccionario 4</t>
        </is>
      </c>
      <c r="FD3685" s="15" t="inlineStr">
        <is>
          <t>LZPT-50|</t>
        </is>
      </c>
      <c r="FE3685" s="17" t="inlineStr">
        <is>
          <t>YV3T7U522LA201814</t>
        </is>
      </c>
      <c r="FF3685" s="18" t="n">
        <v>509235</v>
      </c>
      <c r="FG3685" s="18" t="inlineStr">
        <is>
          <t>VOLVO</t>
        </is>
      </c>
      <c r="FH3685" s="18" t="inlineStr">
        <is>
          <t>B8RLEA</t>
        </is>
      </c>
      <c r="FI3685" s="18" t="inlineStr">
        <is>
          <t>MARCOPOLO</t>
        </is>
      </c>
      <c r="FJ3685" s="18" t="inlineStr">
        <is>
          <t>GRAN VIALE</t>
        </is>
      </c>
      <c r="FK3685" s="18" t="n">
        <v>2020</v>
      </c>
      <c r="FL3685" s="18" t="inlineStr">
        <is>
          <t>C</t>
        </is>
      </c>
      <c r="FM3685" s="18" t="inlineStr">
        <is>
          <t>Recoleta</t>
        </is>
      </c>
      <c r="FP3685" t="inlineStr">
        <is>
          <t>C</t>
        </is>
      </c>
    </row>
    <row r="3686">
      <c r="FC3686" t="inlineStr">
        <is>
          <t>Diccionario 4</t>
        </is>
      </c>
      <c r="FD3686" s="15" t="inlineStr">
        <is>
          <t>LZPT-51|</t>
        </is>
      </c>
      <c r="FE3686" s="17" t="inlineStr">
        <is>
          <t>YV3T7U52XLA201849</t>
        </is>
      </c>
      <c r="FF3686" s="18" t="n">
        <v>507983</v>
      </c>
      <c r="FG3686" s="18" t="inlineStr">
        <is>
          <t>VOLVO</t>
        </is>
      </c>
      <c r="FH3686" s="18" t="inlineStr">
        <is>
          <t>B8RLEA</t>
        </is>
      </c>
      <c r="FI3686" s="18" t="inlineStr">
        <is>
          <t>MARCOPOLO</t>
        </is>
      </c>
      <c r="FJ3686" s="18" t="inlineStr">
        <is>
          <t>GRAN VIALE</t>
        </is>
      </c>
      <c r="FK3686" s="18" t="n">
        <v>2020</v>
      </c>
      <c r="FL3686" s="18" t="inlineStr">
        <is>
          <t>C</t>
        </is>
      </c>
      <c r="FM3686" s="18" t="inlineStr">
        <is>
          <t>Santa Rosa</t>
        </is>
      </c>
      <c r="FP3686" t="inlineStr">
        <is>
          <t>C</t>
        </is>
      </c>
    </row>
    <row r="3687">
      <c r="FC3687" t="inlineStr">
        <is>
          <t>Diccionario 4</t>
        </is>
      </c>
      <c r="FD3687" s="15" t="inlineStr">
        <is>
          <t>LZPT-52|</t>
        </is>
      </c>
      <c r="FE3687" s="17" t="inlineStr">
        <is>
          <t>YV3T7U527LA201811</t>
        </is>
      </c>
      <c r="FF3687" s="18" t="n">
        <v>509204</v>
      </c>
      <c r="FG3687" s="18" t="inlineStr">
        <is>
          <t>VOLVO</t>
        </is>
      </c>
      <c r="FH3687" s="18" t="inlineStr">
        <is>
          <t>B8RLEA</t>
        </is>
      </c>
      <c r="FI3687" s="18" t="inlineStr">
        <is>
          <t>MARCOPOLO</t>
        </is>
      </c>
      <c r="FJ3687" s="18" t="inlineStr">
        <is>
          <t>GRAN VIALE</t>
        </is>
      </c>
      <c r="FK3687" s="18" t="n">
        <v>2020</v>
      </c>
      <c r="FL3687" s="18" t="inlineStr">
        <is>
          <t>C</t>
        </is>
      </c>
      <c r="FM3687" s="18" t="inlineStr">
        <is>
          <t>Recoleta</t>
        </is>
      </c>
      <c r="FP3687" t="inlineStr">
        <is>
          <t>C</t>
        </is>
      </c>
    </row>
    <row r="3688">
      <c r="FC3688" t="inlineStr">
        <is>
          <t>Diccionario 4</t>
        </is>
      </c>
      <c r="FD3688" s="15" t="inlineStr">
        <is>
          <t>LZPT-53|</t>
        </is>
      </c>
      <c r="FE3688" s="17" t="inlineStr">
        <is>
          <t>YV3T7U526LA201475</t>
        </is>
      </c>
      <c r="FF3688" s="18" t="n">
        <v>507876</v>
      </c>
      <c r="FG3688" s="18" t="inlineStr">
        <is>
          <t>VOLVO</t>
        </is>
      </c>
      <c r="FH3688" s="18" t="inlineStr">
        <is>
          <t>B8RLEA</t>
        </is>
      </c>
      <c r="FI3688" s="18" t="inlineStr">
        <is>
          <t>MARCOPOLO</t>
        </is>
      </c>
      <c r="FJ3688" s="18" t="inlineStr">
        <is>
          <t>GRAN VIALE</t>
        </is>
      </c>
      <c r="FK3688" s="18" t="n">
        <v>2020</v>
      </c>
      <c r="FL3688" s="18" t="inlineStr">
        <is>
          <t>C</t>
        </is>
      </c>
      <c r="FM3688" s="18" t="inlineStr">
        <is>
          <t>Santa Rosa</t>
        </is>
      </c>
      <c r="FP3688" t="inlineStr">
        <is>
          <t>C</t>
        </is>
      </c>
    </row>
    <row r="3689">
      <c r="FC3689" t="inlineStr">
        <is>
          <t>Diccionario 4</t>
        </is>
      </c>
      <c r="FD3689" s="15" t="inlineStr">
        <is>
          <t>LZPT-54|</t>
        </is>
      </c>
      <c r="FE3689" s="17" t="inlineStr">
        <is>
          <t>YV3T7U525LA201404</t>
        </is>
      </c>
      <c r="FF3689" s="18" t="n">
        <v>507532</v>
      </c>
      <c r="FG3689" s="18" t="inlineStr">
        <is>
          <t>VOLVO</t>
        </is>
      </c>
      <c r="FH3689" s="18" t="inlineStr">
        <is>
          <t>B8RLEA</t>
        </is>
      </c>
      <c r="FI3689" s="18" t="inlineStr">
        <is>
          <t>MARCOPOLO</t>
        </is>
      </c>
      <c r="FJ3689" s="18" t="inlineStr">
        <is>
          <t>GRAN VIALE</t>
        </is>
      </c>
      <c r="FK3689" s="18" t="n">
        <v>2020</v>
      </c>
      <c r="FL3689" s="18" t="inlineStr">
        <is>
          <t>C</t>
        </is>
      </c>
      <c r="FM3689" s="18" t="inlineStr">
        <is>
          <t>Santa Rosa</t>
        </is>
      </c>
      <c r="FP3689" t="inlineStr">
        <is>
          <t>C</t>
        </is>
      </c>
    </row>
    <row r="3690">
      <c r="FC3690" t="inlineStr">
        <is>
          <t>Diccionario 4</t>
        </is>
      </c>
      <c r="FD3690" s="15" t="inlineStr">
        <is>
          <t>LZPT-55|</t>
        </is>
      </c>
      <c r="FE3690" s="17" t="inlineStr">
        <is>
          <t>YV3T7U524LA201460</t>
        </is>
      </c>
      <c r="FF3690" s="18" t="n">
        <v>508062</v>
      </c>
      <c r="FG3690" s="18" t="inlineStr">
        <is>
          <t>VOLVO</t>
        </is>
      </c>
      <c r="FH3690" s="18" t="inlineStr">
        <is>
          <t>B8RLEA</t>
        </is>
      </c>
      <c r="FI3690" s="18" t="inlineStr">
        <is>
          <t>MARCOPOLO</t>
        </is>
      </c>
      <c r="FJ3690" s="18" t="inlineStr">
        <is>
          <t>GRAN VIALE</t>
        </is>
      </c>
      <c r="FK3690" s="18" t="n">
        <v>2020</v>
      </c>
      <c r="FL3690" s="18" t="inlineStr">
        <is>
          <t>C</t>
        </is>
      </c>
      <c r="FM3690" s="18" t="inlineStr">
        <is>
          <t>Santa Rosa</t>
        </is>
      </c>
      <c r="FP3690" t="inlineStr">
        <is>
          <t>C</t>
        </is>
      </c>
    </row>
    <row r="3691">
      <c r="FC3691" t="inlineStr">
        <is>
          <t>Diccionario 4</t>
        </is>
      </c>
      <c r="FD3691" s="15" t="inlineStr">
        <is>
          <t>LZPT-56|</t>
        </is>
      </c>
      <c r="FE3691" s="17" t="inlineStr">
        <is>
          <t>YV3T7U526LA201346</t>
        </is>
      </c>
      <c r="FF3691" s="18" t="n">
        <v>507705</v>
      </c>
      <c r="FG3691" s="18" t="inlineStr">
        <is>
          <t>VOLVO</t>
        </is>
      </c>
      <c r="FH3691" s="18" t="inlineStr">
        <is>
          <t>B8RLEA</t>
        </is>
      </c>
      <c r="FI3691" s="18" t="inlineStr">
        <is>
          <t>MARCOPOLO</t>
        </is>
      </c>
      <c r="FJ3691" s="18" t="inlineStr">
        <is>
          <t>GRAN VIALE</t>
        </is>
      </c>
      <c r="FK3691" s="18" t="n">
        <v>2020</v>
      </c>
      <c r="FL3691" s="18" t="inlineStr">
        <is>
          <t>C</t>
        </is>
      </c>
      <c r="FM3691" s="18" t="inlineStr">
        <is>
          <t>Santa Rosa</t>
        </is>
      </c>
      <c r="FP3691" t="inlineStr">
        <is>
          <t>C</t>
        </is>
      </c>
    </row>
    <row r="3692">
      <c r="FC3692" t="inlineStr">
        <is>
          <t>Diccionario 4</t>
        </is>
      </c>
      <c r="FD3692" s="15" t="inlineStr">
        <is>
          <t>LZPT-57|</t>
        </is>
      </c>
      <c r="FE3692" s="17" t="inlineStr">
        <is>
          <t>YV3T7U520LA201388</t>
        </is>
      </c>
      <c r="FF3692" s="18" t="n">
        <v>507636</v>
      </c>
      <c r="FG3692" s="18" t="inlineStr">
        <is>
          <t>VOLVO</t>
        </is>
      </c>
      <c r="FH3692" s="18" t="inlineStr">
        <is>
          <t>B8RLEA</t>
        </is>
      </c>
      <c r="FI3692" s="18" t="inlineStr">
        <is>
          <t>MARCOPOLO</t>
        </is>
      </c>
      <c r="FJ3692" s="18" t="inlineStr">
        <is>
          <t>GRAN VIALE</t>
        </is>
      </c>
      <c r="FK3692" s="18" t="n">
        <v>2020</v>
      </c>
      <c r="FL3692" s="18" t="inlineStr">
        <is>
          <t>C</t>
        </is>
      </c>
      <c r="FM3692" s="18" t="inlineStr">
        <is>
          <t>Santa Rosa</t>
        </is>
      </c>
      <c r="FP3692" t="inlineStr">
        <is>
          <t>C</t>
        </is>
      </c>
    </row>
    <row r="3693">
      <c r="FC3693" t="inlineStr">
        <is>
          <t>Diccionario 4</t>
        </is>
      </c>
      <c r="FD3693" s="15" t="inlineStr">
        <is>
          <t>LZPT-58|</t>
        </is>
      </c>
      <c r="FE3693" s="17" t="inlineStr">
        <is>
          <t>YV3T7U528LA201459</t>
        </is>
      </c>
      <c r="FF3693" s="18" t="n">
        <v>508054</v>
      </c>
      <c r="FG3693" s="18" t="inlineStr">
        <is>
          <t>VOLVO</t>
        </is>
      </c>
      <c r="FH3693" s="18" t="inlineStr">
        <is>
          <t>B8RLEA</t>
        </is>
      </c>
      <c r="FI3693" s="18" t="inlineStr">
        <is>
          <t>MARCOPOLO</t>
        </is>
      </c>
      <c r="FJ3693" s="18" t="inlineStr">
        <is>
          <t>GRAN VIALE</t>
        </is>
      </c>
      <c r="FK3693" s="18" t="n">
        <v>2020</v>
      </c>
      <c r="FL3693" s="18" t="inlineStr">
        <is>
          <t>C</t>
        </is>
      </c>
      <c r="FM3693" s="18" t="inlineStr">
        <is>
          <t>Santa Rosa</t>
        </is>
      </c>
      <c r="FP3693" t="inlineStr">
        <is>
          <t>C</t>
        </is>
      </c>
    </row>
    <row r="3694">
      <c r="FC3694" t="inlineStr">
        <is>
          <t>Diccionario 4</t>
        </is>
      </c>
      <c r="FD3694" s="15" t="inlineStr">
        <is>
          <t>LZPT-59|</t>
        </is>
      </c>
      <c r="FE3694" s="17" t="inlineStr">
        <is>
          <t>YV3T7U522LA201456</t>
        </is>
      </c>
      <c r="FF3694" s="18" t="n">
        <v>508070</v>
      </c>
      <c r="FG3694" s="18" t="inlineStr">
        <is>
          <t>VOLVO</t>
        </is>
      </c>
      <c r="FH3694" s="18" t="inlineStr">
        <is>
          <t>B8RLEA</t>
        </is>
      </c>
      <c r="FI3694" s="18" t="inlineStr">
        <is>
          <t>MARCOPOLO</t>
        </is>
      </c>
      <c r="FJ3694" s="18" t="inlineStr">
        <is>
          <t>GRAN VIALE</t>
        </is>
      </c>
      <c r="FK3694" s="18" t="n">
        <v>2020</v>
      </c>
      <c r="FL3694" s="18" t="inlineStr">
        <is>
          <t>C</t>
        </is>
      </c>
      <c r="FM3694" s="18" t="inlineStr">
        <is>
          <t>Santa Rosa</t>
        </is>
      </c>
      <c r="FP3694" t="inlineStr">
        <is>
          <t>C</t>
        </is>
      </c>
    </row>
    <row r="3695">
      <c r="FC3695" t="inlineStr">
        <is>
          <t>Diccionario 4</t>
        </is>
      </c>
      <c r="FD3695" s="15" t="inlineStr">
        <is>
          <t>LZPT-60|</t>
        </is>
      </c>
      <c r="FE3695" s="17" t="inlineStr">
        <is>
          <t>YV3T7U522LA201408</t>
        </is>
      </c>
      <c r="FF3695" s="18" t="n">
        <v>507800</v>
      </c>
      <c r="FG3695" s="18" t="inlineStr">
        <is>
          <t>VOLVO</t>
        </is>
      </c>
      <c r="FH3695" s="18" t="inlineStr">
        <is>
          <t>B8RLEA</t>
        </is>
      </c>
      <c r="FI3695" s="18" t="inlineStr">
        <is>
          <t>MARCOPOLO</t>
        </is>
      </c>
      <c r="FJ3695" s="18" t="inlineStr">
        <is>
          <t>GRAN VIALE</t>
        </is>
      </c>
      <c r="FK3695" s="18" t="n">
        <v>2020</v>
      </c>
      <c r="FL3695" s="18" t="inlineStr">
        <is>
          <t>C</t>
        </is>
      </c>
      <c r="FM3695" s="18" t="inlineStr">
        <is>
          <t>Santa Rosa</t>
        </is>
      </c>
      <c r="FP3695" t="inlineStr">
        <is>
          <t>C</t>
        </is>
      </c>
    </row>
    <row r="3696">
      <c r="FC3696" t="inlineStr">
        <is>
          <t>Diccionario 4</t>
        </is>
      </c>
      <c r="FD3696" s="15" t="inlineStr">
        <is>
          <t>LZPT-61|</t>
        </is>
      </c>
      <c r="FE3696" s="17" t="inlineStr">
        <is>
          <t>YV3T7U520LA201472</t>
        </is>
      </c>
      <c r="FF3696" s="18" t="n">
        <v>508092</v>
      </c>
      <c r="FG3696" s="18" t="inlineStr">
        <is>
          <t>VOLVO</t>
        </is>
      </c>
      <c r="FH3696" s="18" t="inlineStr">
        <is>
          <t>B8RLEA</t>
        </is>
      </c>
      <c r="FI3696" s="18" t="inlineStr">
        <is>
          <t>MARCOPOLO</t>
        </is>
      </c>
      <c r="FJ3696" s="18" t="inlineStr">
        <is>
          <t>GRAN VIALE</t>
        </is>
      </c>
      <c r="FK3696" s="18" t="n">
        <v>2020</v>
      </c>
      <c r="FL3696" s="18" t="inlineStr">
        <is>
          <t>C</t>
        </is>
      </c>
      <c r="FM3696" s="18" t="inlineStr">
        <is>
          <t>Santa Rosa</t>
        </is>
      </c>
      <c r="FP3696" t="inlineStr">
        <is>
          <t>C</t>
        </is>
      </c>
    </row>
    <row r="3697">
      <c r="FC3697" t="inlineStr">
        <is>
          <t>Diccionario 4</t>
        </is>
      </c>
      <c r="FD3697" s="15" t="inlineStr">
        <is>
          <t>LZPT-62|</t>
        </is>
      </c>
      <c r="FE3697" s="17" t="inlineStr">
        <is>
          <t>YV3T7U524LA201474</t>
        </is>
      </c>
      <c r="FF3697" s="18" t="n">
        <v>507827</v>
      </c>
      <c r="FG3697" s="18" t="inlineStr">
        <is>
          <t>VOLVO</t>
        </is>
      </c>
      <c r="FH3697" s="18" t="inlineStr">
        <is>
          <t>B8RLEA</t>
        </is>
      </c>
      <c r="FI3697" s="18" t="inlineStr">
        <is>
          <t>MARCOPOLO</t>
        </is>
      </c>
      <c r="FJ3697" s="18" t="inlineStr">
        <is>
          <t>GRAN VIALE</t>
        </is>
      </c>
      <c r="FK3697" s="18" t="n">
        <v>2020</v>
      </c>
      <c r="FL3697" s="18" t="inlineStr">
        <is>
          <t>C</t>
        </is>
      </c>
      <c r="FM3697" s="18" t="inlineStr">
        <is>
          <t>Santa Rosa</t>
        </is>
      </c>
      <c r="FP3697" t="inlineStr">
        <is>
          <t>C</t>
        </is>
      </c>
    </row>
    <row r="3698">
      <c r="FC3698" t="inlineStr">
        <is>
          <t>Diccionario 4</t>
        </is>
      </c>
      <c r="FD3698" s="15" t="inlineStr">
        <is>
          <t>LZPT-63|</t>
        </is>
      </c>
      <c r="FE3698" s="17" t="inlineStr">
        <is>
          <t>YV3T7U526LA201458</t>
        </is>
      </c>
      <c r="FF3698" s="18" t="n">
        <v>508067</v>
      </c>
      <c r="FG3698" s="18" t="inlineStr">
        <is>
          <t>VOLVO</t>
        </is>
      </c>
      <c r="FH3698" s="18" t="inlineStr">
        <is>
          <t>B8RLEA</t>
        </is>
      </c>
      <c r="FI3698" s="18" t="inlineStr">
        <is>
          <t>MARCOPOLO</t>
        </is>
      </c>
      <c r="FJ3698" s="18" t="inlineStr">
        <is>
          <t>GRAN VIALE</t>
        </is>
      </c>
      <c r="FK3698" s="18" t="n">
        <v>2020</v>
      </c>
      <c r="FL3698" s="18" t="inlineStr">
        <is>
          <t>C</t>
        </is>
      </c>
      <c r="FM3698" s="18" t="inlineStr">
        <is>
          <t>Santa Rosa</t>
        </is>
      </c>
      <c r="FP3698" t="inlineStr">
        <is>
          <t>C</t>
        </is>
      </c>
    </row>
    <row r="3699">
      <c r="FC3699" t="inlineStr">
        <is>
          <t>Diccionario 4</t>
        </is>
      </c>
      <c r="FD3699" s="15" t="inlineStr">
        <is>
          <t>LZPT-64|</t>
        </is>
      </c>
      <c r="FE3699" s="17" t="inlineStr">
        <is>
          <t>YV3T7U522LA201473</t>
        </is>
      </c>
      <c r="FF3699" s="18" t="n">
        <v>507830</v>
      </c>
      <c r="FG3699" s="18" t="inlineStr">
        <is>
          <t>VOLVO</t>
        </is>
      </c>
      <c r="FH3699" s="18" t="inlineStr">
        <is>
          <t>B8RLEA</t>
        </is>
      </c>
      <c r="FI3699" s="18" t="inlineStr">
        <is>
          <t>MARCOPOLO</t>
        </is>
      </c>
      <c r="FJ3699" s="18" t="inlineStr">
        <is>
          <t>GRAN VIALE</t>
        </is>
      </c>
      <c r="FK3699" s="18" t="n">
        <v>2020</v>
      </c>
      <c r="FL3699" s="18" t="inlineStr">
        <is>
          <t>C</t>
        </is>
      </c>
      <c r="FM3699" s="18" t="inlineStr">
        <is>
          <t>Santa Rosa</t>
        </is>
      </c>
      <c r="FP3699" t="inlineStr">
        <is>
          <t>C</t>
        </is>
      </c>
    </row>
    <row r="3700">
      <c r="FC3700" t="inlineStr">
        <is>
          <t>Diccionario 4</t>
        </is>
      </c>
      <c r="FD3700" s="15" t="inlineStr">
        <is>
          <t>LZPT-65|</t>
        </is>
      </c>
      <c r="FE3700" s="17" t="inlineStr">
        <is>
          <t>YV3T7U521LA201495</t>
        </is>
      </c>
      <c r="FF3700" s="18" t="n">
        <v>507813</v>
      </c>
      <c r="FG3700" s="18" t="inlineStr">
        <is>
          <t>VOLVO</t>
        </is>
      </c>
      <c r="FH3700" s="18" t="inlineStr">
        <is>
          <t>B8RLEA</t>
        </is>
      </c>
      <c r="FI3700" s="18" t="inlineStr">
        <is>
          <t>MARCOPOLO</t>
        </is>
      </c>
      <c r="FJ3700" s="18" t="inlineStr">
        <is>
          <t>GRAN VIALE</t>
        </is>
      </c>
      <c r="FK3700" s="18" t="n">
        <v>2020</v>
      </c>
      <c r="FL3700" s="18" t="inlineStr">
        <is>
          <t>C</t>
        </is>
      </c>
      <c r="FM3700" s="18" t="inlineStr">
        <is>
          <t>Santa Rosa</t>
        </is>
      </c>
      <c r="FP3700" t="inlineStr">
        <is>
          <t>C</t>
        </is>
      </c>
    </row>
    <row r="3701">
      <c r="FC3701" t="inlineStr">
        <is>
          <t>Diccionario 4</t>
        </is>
      </c>
      <c r="FD3701" s="15" t="inlineStr">
        <is>
          <t>LZPT-66|</t>
        </is>
      </c>
      <c r="FE3701" s="17" t="inlineStr">
        <is>
          <t>YV3T7U525LA201497</t>
        </is>
      </c>
      <c r="FF3701" s="18" t="n">
        <v>507862</v>
      </c>
      <c r="FG3701" s="18" t="inlineStr">
        <is>
          <t>VOLVO</t>
        </is>
      </c>
      <c r="FH3701" s="18" t="inlineStr">
        <is>
          <t>B8RLEA</t>
        </is>
      </c>
      <c r="FI3701" s="18" t="inlineStr">
        <is>
          <t>MARCOPOLO</t>
        </is>
      </c>
      <c r="FJ3701" s="18" t="inlineStr">
        <is>
          <t>GRAN VIALE</t>
        </is>
      </c>
      <c r="FK3701" s="18" t="n">
        <v>2020</v>
      </c>
      <c r="FL3701" s="18" t="inlineStr">
        <is>
          <t>C</t>
        </is>
      </c>
      <c r="FM3701" s="18" t="inlineStr">
        <is>
          <t>Santa Rosa</t>
        </is>
      </c>
      <c r="FP3701" t="inlineStr">
        <is>
          <t>C</t>
        </is>
      </c>
    </row>
    <row r="3702">
      <c r="FC3702" t="inlineStr">
        <is>
          <t>Diccionario 4</t>
        </is>
      </c>
      <c r="FD3702" s="15" t="inlineStr">
        <is>
          <t>LZPT-67|</t>
        </is>
      </c>
      <c r="FE3702" s="17" t="inlineStr">
        <is>
          <t>YV3T7U52XLA201320</t>
        </is>
      </c>
      <c r="FF3702" s="18" t="n">
        <v>507688</v>
      </c>
      <c r="FG3702" s="18" t="inlineStr">
        <is>
          <t>VOLVO</t>
        </is>
      </c>
      <c r="FH3702" s="18" t="inlineStr">
        <is>
          <t>B8RLEA</t>
        </is>
      </c>
      <c r="FI3702" s="18" t="inlineStr">
        <is>
          <t>MARCOPOLO</t>
        </is>
      </c>
      <c r="FJ3702" s="18" t="inlineStr">
        <is>
          <t>GRAN VIALE</t>
        </is>
      </c>
      <c r="FK3702" s="18" t="n">
        <v>2020</v>
      </c>
      <c r="FL3702" s="18" t="inlineStr">
        <is>
          <t>C</t>
        </is>
      </c>
      <c r="FM3702" s="18" t="inlineStr">
        <is>
          <t>Santa Rosa</t>
        </is>
      </c>
      <c r="FP3702" t="inlineStr">
        <is>
          <t>C</t>
        </is>
      </c>
    </row>
    <row r="3703">
      <c r="FC3703" t="inlineStr">
        <is>
          <t>Diccionario 4</t>
        </is>
      </c>
      <c r="FD3703" s="15" t="inlineStr">
        <is>
          <t>LZPT-69|</t>
        </is>
      </c>
      <c r="FE3703" s="17" t="inlineStr">
        <is>
          <t>YV3T7U521LA201402</t>
        </is>
      </c>
      <c r="FF3703" s="18" t="n">
        <v>507514</v>
      </c>
      <c r="FG3703" s="18" t="inlineStr">
        <is>
          <t>VOLVO</t>
        </is>
      </c>
      <c r="FH3703" s="18" t="inlineStr">
        <is>
          <t>B8RLEA</t>
        </is>
      </c>
      <c r="FI3703" s="18" t="inlineStr">
        <is>
          <t>MARCOPOLO</t>
        </is>
      </c>
      <c r="FJ3703" s="18" t="inlineStr">
        <is>
          <t>GRAN VIALE</t>
        </is>
      </c>
      <c r="FK3703" s="18" t="n">
        <v>2020</v>
      </c>
      <c r="FL3703" s="18" t="inlineStr">
        <is>
          <t>C</t>
        </is>
      </c>
      <c r="FM3703" s="18" t="inlineStr">
        <is>
          <t>Santa Rosa</t>
        </is>
      </c>
      <c r="FP3703" t="inlineStr">
        <is>
          <t>C</t>
        </is>
      </c>
    </row>
    <row r="3704">
      <c r="FC3704" t="inlineStr">
        <is>
          <t>Diccionario 4</t>
        </is>
      </c>
      <c r="FD3704" s="15" t="inlineStr">
        <is>
          <t>LZPT-70|</t>
        </is>
      </c>
      <c r="FE3704" s="17" t="inlineStr">
        <is>
          <t>YV3T7U526LA201461</t>
        </is>
      </c>
      <c r="FF3704" s="18" t="n">
        <v>508059</v>
      </c>
      <c r="FG3704" s="18" t="inlineStr">
        <is>
          <t>VOLVO</t>
        </is>
      </c>
      <c r="FH3704" s="18" t="inlineStr">
        <is>
          <t>B8RLEA</t>
        </is>
      </c>
      <c r="FI3704" s="18" t="inlineStr">
        <is>
          <t>MARCOPOLO</t>
        </is>
      </c>
      <c r="FJ3704" s="18" t="inlineStr">
        <is>
          <t>GRAN VIALE</t>
        </is>
      </c>
      <c r="FK3704" s="18" t="n">
        <v>2020</v>
      </c>
      <c r="FL3704" s="18" t="inlineStr">
        <is>
          <t>C</t>
        </is>
      </c>
      <c r="FM3704" s="18" t="inlineStr">
        <is>
          <t>Santa Rosa</t>
        </is>
      </c>
      <c r="FP3704" t="inlineStr">
        <is>
          <t>C</t>
        </is>
      </c>
    </row>
    <row r="3705">
      <c r="FC3705" t="inlineStr">
        <is>
          <t>Diccionario 4</t>
        </is>
      </c>
      <c r="FD3705" s="15" t="inlineStr">
        <is>
          <t>LZPT-71|</t>
        </is>
      </c>
      <c r="FE3705" s="17" t="inlineStr">
        <is>
          <t>YV3T7U522LA201392</t>
        </is>
      </c>
      <c r="FF3705" s="18" t="n">
        <v>507493</v>
      </c>
      <c r="FG3705" s="18" t="inlineStr">
        <is>
          <t>VOLVO</t>
        </is>
      </c>
      <c r="FH3705" s="18" t="inlineStr">
        <is>
          <t>B8RLEA</t>
        </is>
      </c>
      <c r="FI3705" s="18" t="inlineStr">
        <is>
          <t>MARCOPOLO</t>
        </is>
      </c>
      <c r="FJ3705" s="18" t="inlineStr">
        <is>
          <t>GRAN VIALE</t>
        </is>
      </c>
      <c r="FK3705" s="18" t="n">
        <v>2020</v>
      </c>
      <c r="FL3705" s="18" t="inlineStr">
        <is>
          <t>C</t>
        </is>
      </c>
      <c r="FM3705" s="18" t="inlineStr">
        <is>
          <t>Santa Rosa</t>
        </is>
      </c>
      <c r="FP3705" t="inlineStr">
        <is>
          <t>C</t>
        </is>
      </c>
    </row>
    <row r="3706">
      <c r="FC3706" t="inlineStr">
        <is>
          <t>Diccionario 4</t>
        </is>
      </c>
      <c r="FD3706" s="15" t="inlineStr">
        <is>
          <t>LZPT-72|</t>
        </is>
      </c>
      <c r="FE3706" s="17" t="inlineStr">
        <is>
          <t>YV3T7U524LA201457</t>
        </is>
      </c>
      <c r="FF3706" s="18" t="n">
        <v>508050</v>
      </c>
      <c r="FG3706" s="18" t="inlineStr">
        <is>
          <t>VOLVO</t>
        </is>
      </c>
      <c r="FH3706" s="18" t="inlineStr">
        <is>
          <t>B8RLEA</t>
        </is>
      </c>
      <c r="FI3706" s="18" t="inlineStr">
        <is>
          <t>MARCOPOLO</t>
        </is>
      </c>
      <c r="FJ3706" s="18" t="inlineStr">
        <is>
          <t>GRAN VIALE</t>
        </is>
      </c>
      <c r="FK3706" s="18" t="n">
        <v>2020</v>
      </c>
      <c r="FL3706" s="18" t="inlineStr">
        <is>
          <t>C</t>
        </is>
      </c>
      <c r="FM3706" s="18" t="inlineStr">
        <is>
          <t>Santa Rosa</t>
        </is>
      </c>
      <c r="FP3706" t="inlineStr">
        <is>
          <t>C</t>
        </is>
      </c>
    </row>
    <row r="3707">
      <c r="FC3707" t="inlineStr">
        <is>
          <t>Diccionario 4</t>
        </is>
      </c>
      <c r="FD3707" s="15" t="inlineStr">
        <is>
          <t>LZPT-73|</t>
        </is>
      </c>
      <c r="FE3707" s="17" t="inlineStr">
        <is>
          <t>YV3T7U522LA201389</t>
        </is>
      </c>
      <c r="FF3707" s="18" t="n">
        <v>507531</v>
      </c>
      <c r="FG3707" s="18" t="inlineStr">
        <is>
          <t>VOLVO</t>
        </is>
      </c>
      <c r="FH3707" s="18" t="inlineStr">
        <is>
          <t>B8RLEA</t>
        </is>
      </c>
      <c r="FI3707" s="18" t="inlineStr">
        <is>
          <t>MARCOPOLO</t>
        </is>
      </c>
      <c r="FJ3707" s="18" t="inlineStr">
        <is>
          <t>GRAN VIALE</t>
        </is>
      </c>
      <c r="FK3707" s="18" t="n">
        <v>2020</v>
      </c>
      <c r="FL3707" s="18" t="inlineStr">
        <is>
          <t>C</t>
        </is>
      </c>
      <c r="FM3707" s="18" t="inlineStr">
        <is>
          <t>Santa Rosa</t>
        </is>
      </c>
      <c r="FP3707" t="inlineStr">
        <is>
          <t>C</t>
        </is>
      </c>
    </row>
    <row r="3708">
      <c r="FC3708" t="inlineStr">
        <is>
          <t>Diccionario 4</t>
        </is>
      </c>
      <c r="FD3708" s="15" t="inlineStr">
        <is>
          <t>LZPT-74|</t>
        </is>
      </c>
      <c r="FE3708" s="17" t="inlineStr">
        <is>
          <t>YV3T7U524LA201345</t>
        </is>
      </c>
      <c r="FF3708" s="18" t="n">
        <v>507748</v>
      </c>
      <c r="FG3708" s="18" t="inlineStr">
        <is>
          <t>VOLVO</t>
        </is>
      </c>
      <c r="FH3708" s="18" t="inlineStr">
        <is>
          <t>B8RLEA</t>
        </is>
      </c>
      <c r="FI3708" s="18" t="inlineStr">
        <is>
          <t>MARCOPOLO</t>
        </is>
      </c>
      <c r="FJ3708" s="18" t="inlineStr">
        <is>
          <t>GRAN VIALE</t>
        </is>
      </c>
      <c r="FK3708" s="18" t="n">
        <v>2020</v>
      </c>
      <c r="FL3708" s="18" t="inlineStr">
        <is>
          <t>C</t>
        </is>
      </c>
      <c r="FM3708" s="18" t="inlineStr">
        <is>
          <t>Santa Rosa</t>
        </is>
      </c>
      <c r="FP3708" t="inlineStr">
        <is>
          <t>C</t>
        </is>
      </c>
    </row>
    <row r="3709">
      <c r="FC3709" t="inlineStr">
        <is>
          <t>Diccionario 4</t>
        </is>
      </c>
      <c r="FD3709" s="15" t="inlineStr">
        <is>
          <t>LZPT-75|</t>
        </is>
      </c>
      <c r="FE3709" s="17" t="inlineStr">
        <is>
          <t>YV3T7U529LA201471</t>
        </is>
      </c>
      <c r="FF3709" s="18" t="n">
        <v>508084</v>
      </c>
      <c r="FG3709" s="18" t="inlineStr">
        <is>
          <t>VOLVO</t>
        </is>
      </c>
      <c r="FH3709" s="18" t="inlineStr">
        <is>
          <t>B8RLEA</t>
        </is>
      </c>
      <c r="FI3709" s="18" t="inlineStr">
        <is>
          <t>MARCOPOLO</t>
        </is>
      </c>
      <c r="FJ3709" s="18" t="inlineStr">
        <is>
          <t>GRAN VIALE</t>
        </is>
      </c>
      <c r="FK3709" s="18" t="n">
        <v>2020</v>
      </c>
      <c r="FL3709" s="18" t="inlineStr">
        <is>
          <t>C</t>
        </is>
      </c>
      <c r="FM3709" s="18" t="inlineStr">
        <is>
          <t>Santa Rosa</t>
        </is>
      </c>
      <c r="FP3709" t="inlineStr">
        <is>
          <t>C</t>
        </is>
      </c>
    </row>
    <row r="3710">
      <c r="FC3710" t="inlineStr">
        <is>
          <t>Diccionario 4</t>
        </is>
      </c>
      <c r="FD3710" s="15" t="inlineStr">
        <is>
          <t>LZPT-76|</t>
        </is>
      </c>
      <c r="FE3710" s="17" t="inlineStr">
        <is>
          <t>YV3T7U529LA201406</t>
        </is>
      </c>
      <c r="FF3710" s="18" t="n">
        <v>507795</v>
      </c>
      <c r="FG3710" s="18" t="inlineStr">
        <is>
          <t>VOLVO</t>
        </is>
      </c>
      <c r="FH3710" s="18" t="inlineStr">
        <is>
          <t>B8RLEA</t>
        </is>
      </c>
      <c r="FI3710" s="18" t="inlineStr">
        <is>
          <t>MARCOPOLO</t>
        </is>
      </c>
      <c r="FJ3710" s="18" t="inlineStr">
        <is>
          <t>GRAN VIALE</t>
        </is>
      </c>
      <c r="FK3710" s="18" t="n">
        <v>2020</v>
      </c>
      <c r="FL3710" s="18" t="inlineStr">
        <is>
          <t>C</t>
        </is>
      </c>
      <c r="FM3710" s="18" t="inlineStr">
        <is>
          <t>Santa Rosa</t>
        </is>
      </c>
      <c r="FP3710" t="inlineStr">
        <is>
          <t>C</t>
        </is>
      </c>
    </row>
    <row r="3711">
      <c r="FC3711" t="inlineStr">
        <is>
          <t>Diccionario 4</t>
        </is>
      </c>
      <c r="FD3711" s="15" t="inlineStr">
        <is>
          <t>LZPT-77|</t>
        </is>
      </c>
      <c r="FE3711" s="17" t="inlineStr">
        <is>
          <t>YV3T7U524LA201393</t>
        </is>
      </c>
      <c r="FF3711" s="18" t="n">
        <v>507522</v>
      </c>
      <c r="FG3711" s="18" t="inlineStr">
        <is>
          <t>VOLVO</t>
        </is>
      </c>
      <c r="FH3711" s="18" t="inlineStr">
        <is>
          <t>B8RLEA</t>
        </is>
      </c>
      <c r="FI3711" s="18" t="inlineStr">
        <is>
          <t>MARCOPOLO</t>
        </is>
      </c>
      <c r="FJ3711" s="18" t="inlineStr">
        <is>
          <t>GRAN VIALE</t>
        </is>
      </c>
      <c r="FK3711" s="18" t="n">
        <v>2020</v>
      </c>
      <c r="FL3711" s="18" t="inlineStr">
        <is>
          <t>C</t>
        </is>
      </c>
      <c r="FM3711" s="18" t="inlineStr">
        <is>
          <t>Santa Rosa</t>
        </is>
      </c>
      <c r="FP3711" t="inlineStr">
        <is>
          <t>C</t>
        </is>
      </c>
    </row>
    <row r="3712">
      <c r="FC3712" t="inlineStr">
        <is>
          <t>Diccionario 4</t>
        </is>
      </c>
      <c r="FD3712" s="15" t="inlineStr">
        <is>
          <t>LZPV-98|</t>
        </is>
      </c>
      <c r="FE3712" s="17" t="inlineStr">
        <is>
          <t>YV3T7U527LA201047</t>
        </is>
      </c>
      <c r="FF3712" s="18" t="n">
        <v>506628</v>
      </c>
      <c r="FG3712" s="18" t="inlineStr">
        <is>
          <t>VOLVO</t>
        </is>
      </c>
      <c r="FH3712" s="18" t="inlineStr">
        <is>
          <t>B8RLEA</t>
        </is>
      </c>
      <c r="FI3712" s="18" t="inlineStr">
        <is>
          <t>MARCOPOLO</t>
        </is>
      </c>
      <c r="FJ3712" s="18" t="inlineStr">
        <is>
          <t>GRAN VIALE</t>
        </is>
      </c>
      <c r="FK3712" s="18" t="n">
        <v>2020</v>
      </c>
      <c r="FL3712" s="18" t="inlineStr">
        <is>
          <t>C</t>
        </is>
      </c>
      <c r="FM3712" s="18" t="inlineStr">
        <is>
          <t>Recoleta</t>
        </is>
      </c>
      <c r="FP3712" t="inlineStr">
        <is>
          <t>C</t>
        </is>
      </c>
    </row>
    <row r="3713">
      <c r="FC3713" t="inlineStr">
        <is>
          <t>Diccionario 4</t>
        </is>
      </c>
      <c r="FD3713" s="15" t="inlineStr">
        <is>
          <t>LZPV-99|</t>
        </is>
      </c>
      <c r="FE3713" s="17" t="inlineStr">
        <is>
          <t>YV3T7U528LA201347</t>
        </is>
      </c>
      <c r="FF3713" s="18" t="n">
        <v>507710</v>
      </c>
      <c r="FG3713" s="18" t="inlineStr">
        <is>
          <t>VOLVO</t>
        </is>
      </c>
      <c r="FH3713" s="18" t="inlineStr">
        <is>
          <t>B8RLEA</t>
        </is>
      </c>
      <c r="FI3713" s="18" t="inlineStr">
        <is>
          <t>MARCOPOLO</t>
        </is>
      </c>
      <c r="FJ3713" s="18" t="inlineStr">
        <is>
          <t>GRAN VIALE</t>
        </is>
      </c>
      <c r="FK3713" s="18" t="n">
        <v>2020</v>
      </c>
      <c r="FL3713" s="18" t="inlineStr">
        <is>
          <t>C</t>
        </is>
      </c>
      <c r="FM3713" s="18" t="inlineStr">
        <is>
          <t>Santa Rosa</t>
        </is>
      </c>
      <c r="FP3713" t="inlineStr">
        <is>
          <t>C</t>
        </is>
      </c>
    </row>
    <row r="3714">
      <c r="FC3714" t="inlineStr">
        <is>
          <t>Diccionario 4</t>
        </is>
      </c>
      <c r="FD3714" s="15" t="inlineStr">
        <is>
          <t>LZPW-10|</t>
        </is>
      </c>
      <c r="FE3714" s="17" t="inlineStr">
        <is>
          <t>YV3T7U529LA201390</t>
        </is>
      </c>
      <c r="FF3714" s="18" t="n">
        <v>507489</v>
      </c>
      <c r="FG3714" s="18" t="inlineStr">
        <is>
          <t>VOLVO</t>
        </is>
      </c>
      <c r="FH3714" s="18" t="inlineStr">
        <is>
          <t>B8RLEA</t>
        </is>
      </c>
      <c r="FI3714" s="18" t="inlineStr">
        <is>
          <t>MARCOPOLO</t>
        </is>
      </c>
      <c r="FJ3714" s="18" t="inlineStr">
        <is>
          <t>GRAN VIALE</t>
        </is>
      </c>
      <c r="FK3714" s="18" t="n">
        <v>2020</v>
      </c>
      <c r="FL3714" s="18" t="inlineStr">
        <is>
          <t>C</t>
        </is>
      </c>
      <c r="FM3714" s="18" t="inlineStr">
        <is>
          <t>Santa Rosa</t>
        </is>
      </c>
      <c r="FP3714" t="inlineStr">
        <is>
          <t>C</t>
        </is>
      </c>
    </row>
    <row r="3715">
      <c r="FC3715" t="inlineStr">
        <is>
          <t>Diccionario 4</t>
        </is>
      </c>
      <c r="FD3715" s="15" t="inlineStr">
        <is>
          <t>LZPW-11|</t>
        </is>
      </c>
      <c r="FE3715" s="17" t="inlineStr">
        <is>
          <t>YV3T7U520LA201407</t>
        </is>
      </c>
      <c r="FF3715" s="18" t="n">
        <v>507762</v>
      </c>
      <c r="FG3715" s="18" t="inlineStr">
        <is>
          <t>VOLVO</t>
        </is>
      </c>
      <c r="FH3715" s="18" t="inlineStr">
        <is>
          <t>B8RLEA</t>
        </is>
      </c>
      <c r="FI3715" s="18" t="inlineStr">
        <is>
          <t>MARCOPOLO</t>
        </is>
      </c>
      <c r="FJ3715" s="18" t="inlineStr">
        <is>
          <t>GRAN VIALE</t>
        </is>
      </c>
      <c r="FK3715" s="18" t="n">
        <v>2020</v>
      </c>
      <c r="FL3715" s="18" t="inlineStr">
        <is>
          <t>C</t>
        </is>
      </c>
      <c r="FM3715" s="18" t="inlineStr">
        <is>
          <t>Santa Rosa</t>
        </is>
      </c>
      <c r="FP3715" t="inlineStr">
        <is>
          <t>C</t>
        </is>
      </c>
    </row>
    <row r="3716">
      <c r="FC3716" t="inlineStr">
        <is>
          <t>Diccionario 4</t>
        </is>
      </c>
      <c r="FD3716" s="15" t="inlineStr">
        <is>
          <t>LZPW-12|</t>
        </is>
      </c>
      <c r="FE3716" s="17" t="inlineStr">
        <is>
          <t>YV3T7U523LA201496</t>
        </is>
      </c>
      <c r="FF3716" s="18" t="n">
        <v>507817</v>
      </c>
      <c r="FG3716" s="18" t="inlineStr">
        <is>
          <t>VOLVO</t>
        </is>
      </c>
      <c r="FH3716" s="18" t="inlineStr">
        <is>
          <t>B8RLEA</t>
        </is>
      </c>
      <c r="FI3716" s="18" t="inlineStr">
        <is>
          <t>MARCOPOLO</t>
        </is>
      </c>
      <c r="FJ3716" s="18" t="inlineStr">
        <is>
          <t>GRAN VIALE</t>
        </is>
      </c>
      <c r="FK3716" s="18" t="n">
        <v>2020</v>
      </c>
      <c r="FL3716" s="18" t="inlineStr">
        <is>
          <t>C</t>
        </is>
      </c>
      <c r="FM3716" s="18" t="inlineStr">
        <is>
          <t>Santa Rosa</t>
        </is>
      </c>
      <c r="FP3716" t="inlineStr">
        <is>
          <t>C</t>
        </is>
      </c>
    </row>
    <row r="3717">
      <c r="FC3717" t="inlineStr">
        <is>
          <t>Diccionario 4</t>
        </is>
      </c>
      <c r="FD3717" s="15" t="inlineStr">
        <is>
          <t>LZPW-13|</t>
        </is>
      </c>
      <c r="FE3717" s="17" t="inlineStr">
        <is>
          <t>YV3T7U526LA201816</t>
        </is>
      </c>
      <c r="FF3717" s="18" t="n">
        <v>509236</v>
      </c>
      <c r="FG3717" s="18" t="inlineStr">
        <is>
          <t>VOLVO</t>
        </is>
      </c>
      <c r="FH3717" s="18" t="inlineStr">
        <is>
          <t>B8RLEA</t>
        </is>
      </c>
      <c r="FI3717" s="18" t="inlineStr">
        <is>
          <t>MARCOPOLO</t>
        </is>
      </c>
      <c r="FJ3717" s="18" t="inlineStr">
        <is>
          <t>GRAN VIALE</t>
        </is>
      </c>
      <c r="FK3717" s="18" t="n">
        <v>2020</v>
      </c>
      <c r="FL3717" s="18" t="inlineStr">
        <is>
          <t>C</t>
        </is>
      </c>
      <c r="FM3717" s="18" t="inlineStr">
        <is>
          <t>Santa Rosa</t>
        </is>
      </c>
      <c r="FP3717" t="inlineStr">
        <is>
          <t>C</t>
        </is>
      </c>
    </row>
    <row r="3718">
      <c r="FC3718" t="inlineStr">
        <is>
          <t>Diccionario 4</t>
        </is>
      </c>
      <c r="FD3718" s="15" t="inlineStr">
        <is>
          <t>LZPW-14|</t>
        </is>
      </c>
      <c r="FE3718" s="17" t="inlineStr">
        <is>
          <t>YV3T7U528LA201154</t>
        </is>
      </c>
      <c r="FF3718" s="18" t="n">
        <v>507070</v>
      </c>
      <c r="FG3718" s="18" t="inlineStr">
        <is>
          <t>VOLVO</t>
        </is>
      </c>
      <c r="FH3718" s="18" t="inlineStr">
        <is>
          <t>B8RLEA</t>
        </is>
      </c>
      <c r="FI3718" s="18" t="inlineStr">
        <is>
          <t>MARCOPOLO</t>
        </is>
      </c>
      <c r="FJ3718" s="18" t="inlineStr">
        <is>
          <t>GRAN VIALE</t>
        </is>
      </c>
      <c r="FK3718" s="18" t="n">
        <v>2020</v>
      </c>
      <c r="FL3718" s="18" t="inlineStr">
        <is>
          <t>C</t>
        </is>
      </c>
      <c r="FM3718" s="18" t="inlineStr">
        <is>
          <t>Recoleta</t>
        </is>
      </c>
      <c r="FP3718" t="inlineStr">
        <is>
          <t>C</t>
        </is>
      </c>
    </row>
    <row r="3719">
      <c r="FC3719" t="inlineStr">
        <is>
          <t>Diccionario 4</t>
        </is>
      </c>
      <c r="FD3719" s="15" t="inlineStr">
        <is>
          <t>LZPW-15|</t>
        </is>
      </c>
      <c r="FE3719" s="17" t="inlineStr">
        <is>
          <t>YV3T7U521LA201318</t>
        </is>
      </c>
      <c r="FF3719" s="18" t="n">
        <v>507658</v>
      </c>
      <c r="FG3719" s="18" t="inlineStr">
        <is>
          <t>VOLVO</t>
        </is>
      </c>
      <c r="FH3719" s="18" t="inlineStr">
        <is>
          <t>B8RLEA</t>
        </is>
      </c>
      <c r="FI3719" s="18" t="inlineStr">
        <is>
          <t>MARCOPOLO</t>
        </is>
      </c>
      <c r="FJ3719" s="18" t="inlineStr">
        <is>
          <t>GRAN VIALE</t>
        </is>
      </c>
      <c r="FK3719" s="18" t="n">
        <v>2020</v>
      </c>
      <c r="FL3719" s="18" t="inlineStr">
        <is>
          <t>C</t>
        </is>
      </c>
      <c r="FM3719" s="18" t="inlineStr">
        <is>
          <t>Santa Rosa</t>
        </is>
      </c>
      <c r="FP3719" t="inlineStr">
        <is>
          <t>C</t>
        </is>
      </c>
    </row>
    <row r="3720">
      <c r="FC3720" t="inlineStr">
        <is>
          <t>Diccionario 4</t>
        </is>
      </c>
      <c r="FD3720" s="15" t="inlineStr">
        <is>
          <t>LZPW-16|</t>
        </is>
      </c>
      <c r="FE3720" s="17" t="inlineStr">
        <is>
          <t>YV3T7U523LA201319</t>
        </is>
      </c>
      <c r="FF3720" s="18" t="n">
        <v>507679</v>
      </c>
      <c r="FG3720" s="18" t="inlineStr">
        <is>
          <t>VOLVO</t>
        </is>
      </c>
      <c r="FH3720" s="18" t="inlineStr">
        <is>
          <t>B8RLEA</t>
        </is>
      </c>
      <c r="FI3720" s="18" t="inlineStr">
        <is>
          <t>MARCOPOLO</t>
        </is>
      </c>
      <c r="FJ3720" s="18" t="inlineStr">
        <is>
          <t>GRAN VIALE</t>
        </is>
      </c>
      <c r="FK3720" s="18" t="n">
        <v>2020</v>
      </c>
      <c r="FL3720" s="18" t="inlineStr">
        <is>
          <t>C</t>
        </is>
      </c>
      <c r="FM3720" s="18" t="inlineStr">
        <is>
          <t>Santa Rosa</t>
        </is>
      </c>
      <c r="FP3720" t="inlineStr">
        <is>
          <t>C</t>
        </is>
      </c>
    </row>
    <row r="3721">
      <c r="FC3721" t="inlineStr">
        <is>
          <t>Diccionario 4</t>
        </is>
      </c>
      <c r="FD3721" s="15" t="inlineStr">
        <is>
          <t>LZPW-17|</t>
        </is>
      </c>
      <c r="FE3721" s="17" t="inlineStr">
        <is>
          <t>YV3T7U521LA201321</t>
        </is>
      </c>
      <c r="FF3721" s="18" t="n">
        <v>507655</v>
      </c>
      <c r="FG3721" s="18" t="inlineStr">
        <is>
          <t>VOLVO</t>
        </is>
      </c>
      <c r="FH3721" s="18" t="inlineStr">
        <is>
          <t>B8RLEA</t>
        </is>
      </c>
      <c r="FI3721" s="18" t="inlineStr">
        <is>
          <t>MARCOPOLO</t>
        </is>
      </c>
      <c r="FJ3721" s="18" t="inlineStr">
        <is>
          <t>GRAN VIALE</t>
        </is>
      </c>
      <c r="FK3721" s="18" t="n">
        <v>2020</v>
      </c>
      <c r="FL3721" s="18" t="inlineStr">
        <is>
          <t>C</t>
        </is>
      </c>
      <c r="FM3721" s="18" t="inlineStr">
        <is>
          <t>Santa Rosa</t>
        </is>
      </c>
      <c r="FP3721" t="inlineStr">
        <is>
          <t>C</t>
        </is>
      </c>
    </row>
    <row r="3722">
      <c r="FC3722" t="inlineStr">
        <is>
          <t>Diccionario 4</t>
        </is>
      </c>
      <c r="FD3722" s="15" t="inlineStr">
        <is>
          <t>LZPW-18|</t>
        </is>
      </c>
      <c r="FE3722" s="17" t="inlineStr">
        <is>
          <t>YV3T7U52XLA201348</t>
        </is>
      </c>
      <c r="FF3722" s="18" t="n">
        <v>507719</v>
      </c>
      <c r="FG3722" s="18" t="inlineStr">
        <is>
          <t>VOLVO</t>
        </is>
      </c>
      <c r="FH3722" s="18" t="inlineStr">
        <is>
          <t>B8RLEA</t>
        </is>
      </c>
      <c r="FI3722" s="18" t="inlineStr">
        <is>
          <t>MARCOPOLO</t>
        </is>
      </c>
      <c r="FJ3722" s="18" t="inlineStr">
        <is>
          <t>GRAN VIALE</t>
        </is>
      </c>
      <c r="FK3722" s="18" t="n">
        <v>2020</v>
      </c>
      <c r="FL3722" s="18" t="inlineStr">
        <is>
          <t>C</t>
        </is>
      </c>
      <c r="FM3722" s="18" t="inlineStr">
        <is>
          <t>Santa Rosa</t>
        </is>
      </c>
      <c r="FP3722" t="inlineStr">
        <is>
          <t>C</t>
        </is>
      </c>
    </row>
    <row r="3723">
      <c r="FC3723" t="inlineStr">
        <is>
          <t>Diccionario 4</t>
        </is>
      </c>
      <c r="FD3723" s="15" t="inlineStr">
        <is>
          <t>LZPW-19|</t>
        </is>
      </c>
      <c r="FE3723" s="17" t="inlineStr">
        <is>
          <t>YV3T7U527LA201405</t>
        </is>
      </c>
      <c r="FF3723" s="18" t="n">
        <v>507775</v>
      </c>
      <c r="FG3723" s="18" t="inlineStr">
        <is>
          <t>VOLVO</t>
        </is>
      </c>
      <c r="FH3723" s="18" t="inlineStr">
        <is>
          <t>B8RLEA</t>
        </is>
      </c>
      <c r="FI3723" s="18" t="inlineStr">
        <is>
          <t>MARCOPOLO</t>
        </is>
      </c>
      <c r="FJ3723" s="18" t="inlineStr">
        <is>
          <t>GRAN VIALE</t>
        </is>
      </c>
      <c r="FK3723" s="18" t="n">
        <v>2020</v>
      </c>
      <c r="FL3723" s="18" t="inlineStr">
        <is>
          <t>C</t>
        </is>
      </c>
      <c r="FM3723" s="18" t="inlineStr">
        <is>
          <t>Santa Rosa</t>
        </is>
      </c>
      <c r="FP3723" t="inlineStr">
        <is>
          <t>C</t>
        </is>
      </c>
    </row>
    <row r="3724">
      <c r="FC3724" t="inlineStr">
        <is>
          <t>Diccionario 4</t>
        </is>
      </c>
      <c r="FD3724" s="15" t="inlineStr">
        <is>
          <t>LZPW-20|</t>
        </is>
      </c>
      <c r="FE3724" s="17" t="inlineStr">
        <is>
          <t>YV3T7U521LA198727</t>
        </is>
      </c>
      <c r="FF3724" s="18" t="n">
        <v>508214</v>
      </c>
      <c r="FG3724" s="18" t="inlineStr">
        <is>
          <t>VOLVO</t>
        </is>
      </c>
      <c r="FH3724" s="18" t="inlineStr">
        <is>
          <t>B8RLEA</t>
        </is>
      </c>
      <c r="FI3724" s="18" t="inlineStr">
        <is>
          <t>MARCOPOLO</t>
        </is>
      </c>
      <c r="FJ3724" s="18" t="inlineStr">
        <is>
          <t>GRAN VIALE</t>
        </is>
      </c>
      <c r="FK3724" s="18" t="n">
        <v>2020</v>
      </c>
      <c r="FL3724" s="18" t="inlineStr">
        <is>
          <t>C</t>
        </is>
      </c>
      <c r="FM3724" s="18" t="inlineStr">
        <is>
          <t>Santa Rosa</t>
        </is>
      </c>
      <c r="FP3724" t="inlineStr">
        <is>
          <t>C</t>
        </is>
      </c>
    </row>
    <row r="3725">
      <c r="FC3725" t="inlineStr">
        <is>
          <t>Diccionario 4</t>
        </is>
      </c>
      <c r="FD3725" s="15" t="inlineStr">
        <is>
          <t>LZPW-21|</t>
        </is>
      </c>
      <c r="FE3725" s="17" t="inlineStr">
        <is>
          <t>YV3T7U528LA201669</t>
        </is>
      </c>
      <c r="FF3725" s="18" t="n">
        <v>508621</v>
      </c>
      <c r="FG3725" s="18" t="inlineStr">
        <is>
          <t>VOLVO</t>
        </is>
      </c>
      <c r="FH3725" s="18" t="inlineStr">
        <is>
          <t>B8RLEA</t>
        </is>
      </c>
      <c r="FI3725" s="18" t="inlineStr">
        <is>
          <t>MARCOPOLO</t>
        </is>
      </c>
      <c r="FJ3725" s="18" t="inlineStr">
        <is>
          <t>GRAN VIALE</t>
        </is>
      </c>
      <c r="FK3725" s="18" t="n">
        <v>2020</v>
      </c>
      <c r="FL3725" s="18" t="inlineStr">
        <is>
          <t>C</t>
        </is>
      </c>
      <c r="FM3725" s="18" t="inlineStr">
        <is>
          <t>Santa Rosa</t>
        </is>
      </c>
      <c r="FP3725" t="inlineStr">
        <is>
          <t>C</t>
        </is>
      </c>
    </row>
    <row r="3726">
      <c r="FC3726" t="inlineStr">
        <is>
          <t>Diccionario 4</t>
        </is>
      </c>
      <c r="FD3726" s="15" t="inlineStr">
        <is>
          <t>LZPW-22|</t>
        </is>
      </c>
      <c r="FE3726" s="17" t="inlineStr">
        <is>
          <t>YV3T7U520LA201391</t>
        </is>
      </c>
      <c r="FF3726" s="18" t="n">
        <v>507509</v>
      </c>
      <c r="FG3726" s="18" t="inlineStr">
        <is>
          <t>VOLVO</t>
        </is>
      </c>
      <c r="FH3726" s="18" t="inlineStr">
        <is>
          <t>B8RLEA</t>
        </is>
      </c>
      <c r="FI3726" s="18" t="inlineStr">
        <is>
          <t>MARCOPOLO</t>
        </is>
      </c>
      <c r="FJ3726" s="18" t="inlineStr">
        <is>
          <t>GRAN VIALE</t>
        </is>
      </c>
      <c r="FK3726" s="18" t="n">
        <v>2020</v>
      </c>
      <c r="FL3726" s="18" t="inlineStr">
        <is>
          <t>C</t>
        </is>
      </c>
      <c r="FM3726" s="18" t="inlineStr">
        <is>
          <t>Santa Rosa</t>
        </is>
      </c>
      <c r="FP3726" t="inlineStr">
        <is>
          <t>C</t>
        </is>
      </c>
    </row>
    <row r="3727">
      <c r="FC3727" t="inlineStr">
        <is>
          <t>Diccionario 4</t>
        </is>
      </c>
      <c r="FD3727" s="15" t="inlineStr">
        <is>
          <t>LZRB-82|</t>
        </is>
      </c>
      <c r="FE3727" s="17" t="inlineStr">
        <is>
          <t>YV3T7U520LA201097</t>
        </is>
      </c>
      <c r="FF3727" s="18" t="n">
        <v>507017</v>
      </c>
      <c r="FG3727" s="18" t="inlineStr">
        <is>
          <t>VOLVO</t>
        </is>
      </c>
      <c r="FH3727" s="18" t="inlineStr">
        <is>
          <t>B8RLEA</t>
        </is>
      </c>
      <c r="FI3727" s="18" t="inlineStr">
        <is>
          <t>MARCOPOLO</t>
        </is>
      </c>
      <c r="FJ3727" s="18" t="inlineStr">
        <is>
          <t>GRAN VIALE</t>
        </is>
      </c>
      <c r="FK3727" s="18" t="n">
        <v>2020</v>
      </c>
      <c r="FL3727" s="18" t="inlineStr">
        <is>
          <t>C</t>
        </is>
      </c>
      <c r="FM3727" s="18" t="inlineStr">
        <is>
          <t>Recoleta</t>
        </is>
      </c>
      <c r="FP3727" t="inlineStr">
        <is>
          <t>C</t>
        </is>
      </c>
    </row>
    <row r="3728">
      <c r="FC3728" t="inlineStr">
        <is>
          <t>Diccionario 4</t>
        </is>
      </c>
      <c r="FD3728" s="15" t="inlineStr">
        <is>
          <t>LZRB-83|</t>
        </is>
      </c>
      <c r="FE3728" s="17" t="inlineStr">
        <is>
          <t>YV3T7U528LA201476</t>
        </is>
      </c>
      <c r="FF3728" s="18" t="n">
        <v>507871</v>
      </c>
      <c r="FG3728" s="18" t="inlineStr">
        <is>
          <t>VOLVO</t>
        </is>
      </c>
      <c r="FH3728" s="18" t="inlineStr">
        <is>
          <t>B8RLEA</t>
        </is>
      </c>
      <c r="FI3728" s="18" t="inlineStr">
        <is>
          <t>MARCOPOLO</t>
        </is>
      </c>
      <c r="FJ3728" s="18" t="inlineStr">
        <is>
          <t>GRAN VIALE</t>
        </is>
      </c>
      <c r="FK3728" s="18" t="n">
        <v>2020</v>
      </c>
      <c r="FL3728" s="18" t="inlineStr">
        <is>
          <t>C</t>
        </is>
      </c>
      <c r="FM3728" s="18" t="inlineStr">
        <is>
          <t>Santa Rosa</t>
        </is>
      </c>
      <c r="FP3728" t="inlineStr">
        <is>
          <t>C</t>
        </is>
      </c>
    </row>
    <row r="3729">
      <c r="FC3729" t="inlineStr">
        <is>
          <t>Diccionario 4</t>
        </is>
      </c>
      <c r="FD3729" s="15" t="inlineStr">
        <is>
          <t>LZRB-84|</t>
        </is>
      </c>
      <c r="FE3729" s="17" t="inlineStr">
        <is>
          <t>YV3T7U524LA201815</t>
        </is>
      </c>
      <c r="FF3729" s="18" t="n">
        <v>509217</v>
      </c>
      <c r="FG3729" s="18" t="inlineStr">
        <is>
          <t>VOLVO</t>
        </is>
      </c>
      <c r="FH3729" s="18" t="inlineStr">
        <is>
          <t>B8RLEA</t>
        </is>
      </c>
      <c r="FI3729" s="18" t="inlineStr">
        <is>
          <t>MARCOPOLO</t>
        </is>
      </c>
      <c r="FJ3729" s="18" t="inlineStr">
        <is>
          <t>GRAN VIALE</t>
        </is>
      </c>
      <c r="FK3729" s="18" t="n">
        <v>2020</v>
      </c>
      <c r="FL3729" s="18" t="inlineStr">
        <is>
          <t>C</t>
        </is>
      </c>
      <c r="FM3729" s="18" t="inlineStr">
        <is>
          <t>Santa Rosa</t>
        </is>
      </c>
      <c r="FP3729" t="inlineStr">
        <is>
          <t>C</t>
        </is>
      </c>
    </row>
    <row r="3730">
      <c r="FC3730" t="inlineStr">
        <is>
          <t>Diccionario 4</t>
        </is>
      </c>
      <c r="FD3730" s="15" t="inlineStr">
        <is>
          <t>LZRB-85|</t>
        </is>
      </c>
      <c r="FE3730" s="17" t="inlineStr">
        <is>
          <t>YV3T7U522LA201666</t>
        </is>
      </c>
      <c r="FF3730" s="18" t="n">
        <v>508593</v>
      </c>
      <c r="FG3730" s="18" t="inlineStr">
        <is>
          <t>VOLVO</t>
        </is>
      </c>
      <c r="FH3730" s="18" t="inlineStr">
        <is>
          <t>B8RLEA</t>
        </is>
      </c>
      <c r="FI3730" s="18" t="inlineStr">
        <is>
          <t>MARCOPOLO</t>
        </is>
      </c>
      <c r="FJ3730" s="18" t="inlineStr">
        <is>
          <t>GRAN VIALE</t>
        </is>
      </c>
      <c r="FK3730" s="18" t="n">
        <v>2020</v>
      </c>
      <c r="FL3730" s="18" t="inlineStr">
        <is>
          <t>C</t>
        </is>
      </c>
      <c r="FM3730" s="18" t="inlineStr">
        <is>
          <t>Santa Rosa</t>
        </is>
      </c>
      <c r="FP3730" t="inlineStr">
        <is>
          <t>C</t>
        </is>
      </c>
    </row>
    <row r="3731">
      <c r="FC3731" t="inlineStr">
        <is>
          <t>Diccionario 4</t>
        </is>
      </c>
      <c r="FD3731" s="15" t="inlineStr">
        <is>
          <t>LZRB-86|</t>
        </is>
      </c>
      <c r="FE3731" s="17" t="inlineStr">
        <is>
          <t>YV3T7U529LA201924</t>
        </is>
      </c>
      <c r="FF3731" s="18" t="n">
        <v>509325</v>
      </c>
      <c r="FG3731" s="18" t="inlineStr">
        <is>
          <t>VOLVO</t>
        </is>
      </c>
      <c r="FH3731" s="18" t="inlineStr">
        <is>
          <t>B8RLEA</t>
        </is>
      </c>
      <c r="FI3731" s="18" t="inlineStr">
        <is>
          <t>MARCOPOLO</t>
        </is>
      </c>
      <c r="FJ3731" s="18" t="inlineStr">
        <is>
          <t>GRAN VIALE</t>
        </is>
      </c>
      <c r="FK3731" s="18" t="n">
        <v>2020</v>
      </c>
      <c r="FL3731" s="18" t="inlineStr">
        <is>
          <t>C</t>
        </is>
      </c>
      <c r="FM3731" s="18" t="inlineStr">
        <is>
          <t>Santa Rosa</t>
        </is>
      </c>
      <c r="FP3731" t="inlineStr">
        <is>
          <t>C</t>
        </is>
      </c>
    </row>
    <row r="3732">
      <c r="FC3732" t="inlineStr">
        <is>
          <t>Diccionario 4</t>
        </is>
      </c>
      <c r="FD3732" s="15" t="inlineStr">
        <is>
          <t>LZRB-87|</t>
        </is>
      </c>
      <c r="FE3732" s="17" t="inlineStr">
        <is>
          <t>YV3T7U521LA201903</t>
        </is>
      </c>
      <c r="FF3732" s="18" t="n">
        <v>509608</v>
      </c>
      <c r="FG3732" s="18" t="inlineStr">
        <is>
          <t>VOLVO</t>
        </is>
      </c>
      <c r="FH3732" s="18" t="inlineStr">
        <is>
          <t>B8RLEA</t>
        </is>
      </c>
      <c r="FI3732" s="18" t="inlineStr">
        <is>
          <t>MARCOPOLO</t>
        </is>
      </c>
      <c r="FJ3732" s="18" t="inlineStr">
        <is>
          <t>GRAN VIALE</t>
        </is>
      </c>
      <c r="FK3732" s="18" t="n">
        <v>2020</v>
      </c>
      <c r="FL3732" s="18" t="inlineStr">
        <is>
          <t>C</t>
        </is>
      </c>
      <c r="FM3732" s="18" t="inlineStr">
        <is>
          <t>Santa Rosa</t>
        </is>
      </c>
      <c r="FP3732" t="inlineStr">
        <is>
          <t>C</t>
        </is>
      </c>
    </row>
    <row r="3733">
      <c r="FC3733" t="inlineStr">
        <is>
          <t>Diccionario 4</t>
        </is>
      </c>
      <c r="FD3733" s="15" t="inlineStr">
        <is>
          <t>LZRB-88|</t>
        </is>
      </c>
      <c r="FE3733" s="17" t="inlineStr">
        <is>
          <t>YV3T7U523LA201921</t>
        </is>
      </c>
      <c r="FF3733" s="18" t="n">
        <v>509543</v>
      </c>
      <c r="FG3733" s="18" t="inlineStr">
        <is>
          <t>VOLVO</t>
        </is>
      </c>
      <c r="FH3733" s="18" t="inlineStr">
        <is>
          <t>B8RLEA</t>
        </is>
      </c>
      <c r="FI3733" s="18" t="inlineStr">
        <is>
          <t>MARCOPOLO</t>
        </is>
      </c>
      <c r="FJ3733" s="18" t="inlineStr">
        <is>
          <t>GRAN VIALE</t>
        </is>
      </c>
      <c r="FK3733" s="18" t="n">
        <v>2020</v>
      </c>
      <c r="FL3733" s="18" t="inlineStr">
        <is>
          <t>C</t>
        </is>
      </c>
      <c r="FM3733" s="18" t="inlineStr">
        <is>
          <t>Santa Rosa</t>
        </is>
      </c>
      <c r="FP3733" t="inlineStr">
        <is>
          <t>C</t>
        </is>
      </c>
    </row>
    <row r="3734">
      <c r="FC3734" t="inlineStr">
        <is>
          <t>Diccionario 4</t>
        </is>
      </c>
      <c r="FD3734" s="15" t="inlineStr">
        <is>
          <t>SFVZ-29|</t>
        </is>
      </c>
      <c r="FE3734" s="17" t="inlineStr">
        <is>
          <t>LVCB4L4DXMM003870</t>
        </is>
      </c>
      <c r="FF3734" s="18" t="inlineStr">
        <is>
          <t>M221100546</t>
        </is>
      </c>
      <c r="FG3734" s="18" t="inlineStr">
        <is>
          <t>FOTON</t>
        </is>
      </c>
      <c r="FH3734" s="18" t="inlineStr">
        <is>
          <t>EBUS U12 SC</t>
        </is>
      </c>
      <c r="FI3734" s="18" t="inlineStr">
        <is>
          <t>FOTON</t>
        </is>
      </c>
      <c r="FJ3734" s="18" t="inlineStr">
        <is>
          <t>EBUS U12 SC</t>
        </is>
      </c>
      <c r="FK3734" s="18" t="n">
        <v>2022</v>
      </c>
      <c r="FL3734" s="18" t="inlineStr">
        <is>
          <t>B</t>
        </is>
      </c>
      <c r="FM3734" s="18" t="inlineStr">
        <is>
          <t>Ducaud</t>
        </is>
      </c>
      <c r="FP3734" t="inlineStr">
        <is>
          <t>B</t>
        </is>
      </c>
    </row>
    <row r="3735">
      <c r="FC3735" t="inlineStr">
        <is>
          <t>Diccionario 4</t>
        </is>
      </c>
      <c r="FD3735" s="15" t="inlineStr">
        <is>
          <t>SFVZ-39|</t>
        </is>
      </c>
      <c r="FE3735" s="17" t="inlineStr">
        <is>
          <t>LVCB4L4D5MM003646</t>
        </is>
      </c>
      <c r="FF3735" s="18" t="inlineStr">
        <is>
          <t>M221100541</t>
        </is>
      </c>
      <c r="FG3735" s="18" t="inlineStr">
        <is>
          <t>FOTON</t>
        </is>
      </c>
      <c r="FH3735" s="18" t="inlineStr">
        <is>
          <t>EBUS U12 SC</t>
        </is>
      </c>
      <c r="FI3735" s="18" t="inlineStr">
        <is>
          <t>FOTON</t>
        </is>
      </c>
      <c r="FJ3735" s="18" t="inlineStr">
        <is>
          <t>EBUS U12 SC</t>
        </is>
      </c>
      <c r="FK3735" s="18" t="n">
        <v>2022</v>
      </c>
      <c r="FL3735" s="18" t="inlineStr">
        <is>
          <t>B</t>
        </is>
      </c>
      <c r="FM3735" s="18" t="inlineStr">
        <is>
          <t>Ducaud</t>
        </is>
      </c>
      <c r="FP3735" t="inlineStr">
        <is>
          <t>B</t>
        </is>
      </c>
    </row>
    <row r="3736">
      <c r="FC3736" t="inlineStr">
        <is>
          <t>Diccionario 4</t>
        </is>
      </c>
      <c r="FD3736" s="15" t="inlineStr">
        <is>
          <t>SFVZ-40|</t>
        </is>
      </c>
      <c r="FE3736" s="17" t="inlineStr">
        <is>
          <t>LVCB4L4D3MM003872</t>
        </is>
      </c>
      <c r="FF3736" s="18" t="inlineStr">
        <is>
          <t>M221100304</t>
        </is>
      </c>
      <c r="FG3736" s="18" t="inlineStr">
        <is>
          <t>FOTON</t>
        </is>
      </c>
      <c r="FH3736" s="18" t="inlineStr">
        <is>
          <t>EBUS U12 SC</t>
        </is>
      </c>
      <c r="FI3736" s="18" t="inlineStr">
        <is>
          <t>FOTON</t>
        </is>
      </c>
      <c r="FJ3736" s="18" t="inlineStr">
        <is>
          <t>EBUS U12 SC</t>
        </is>
      </c>
      <c r="FK3736" s="18" t="n">
        <v>2022</v>
      </c>
      <c r="FL3736" s="18" t="inlineStr">
        <is>
          <t>B</t>
        </is>
      </c>
      <c r="FM3736" s="18" t="inlineStr">
        <is>
          <t>Santa Rosa</t>
        </is>
      </c>
      <c r="FP3736" t="inlineStr">
        <is>
          <t>B</t>
        </is>
      </c>
    </row>
    <row r="3737">
      <c r="FC3737" t="inlineStr">
        <is>
          <t>Diccionario 4</t>
        </is>
      </c>
      <c r="FD3737" s="15" t="inlineStr">
        <is>
          <t>SFVZ-44|</t>
        </is>
      </c>
      <c r="FE3737" s="17" t="inlineStr">
        <is>
          <t>LVCB4L4D9MM003875</t>
        </is>
      </c>
      <c r="FF3737" s="18" t="inlineStr">
        <is>
          <t>M221100438</t>
        </is>
      </c>
      <c r="FG3737" s="18" t="inlineStr">
        <is>
          <t>FOTON</t>
        </is>
      </c>
      <c r="FH3737" s="18" t="inlineStr">
        <is>
          <t>EBUS U12 SC</t>
        </is>
      </c>
      <c r="FI3737" s="18" t="inlineStr">
        <is>
          <t>FOTON</t>
        </is>
      </c>
      <c r="FJ3737" s="18" t="inlineStr">
        <is>
          <t>EBUS U12 SC</t>
        </is>
      </c>
      <c r="FK3737" s="18" t="n">
        <v>2022</v>
      </c>
      <c r="FL3737" s="18" t="inlineStr">
        <is>
          <t>B</t>
        </is>
      </c>
      <c r="FM3737" s="18" t="inlineStr">
        <is>
          <t>Santa Rosa</t>
        </is>
      </c>
      <c r="FP3737" t="inlineStr">
        <is>
          <t>B</t>
        </is>
      </c>
    </row>
    <row r="3738">
      <c r="FC3738" t="inlineStr">
        <is>
          <t>Diccionario 4</t>
        </is>
      </c>
      <c r="FD3738" s="15" t="inlineStr">
        <is>
          <t>SFVZ-49|</t>
        </is>
      </c>
      <c r="FE3738" s="17" t="inlineStr">
        <is>
          <t>LVCB4L4D0MM003876</t>
        </is>
      </c>
      <c r="FF3738" s="18" t="inlineStr">
        <is>
          <t>M221100544</t>
        </is>
      </c>
      <c r="FG3738" s="18" t="inlineStr">
        <is>
          <t>FOTON</t>
        </is>
      </c>
      <c r="FH3738" s="18" t="inlineStr">
        <is>
          <t>EBUS U12 SC</t>
        </is>
      </c>
      <c r="FI3738" s="18" t="inlineStr">
        <is>
          <t>FOTON</t>
        </is>
      </c>
      <c r="FJ3738" s="18" t="inlineStr">
        <is>
          <t>EBUS U12 SC</t>
        </is>
      </c>
      <c r="FK3738" s="18" t="n">
        <v>2022</v>
      </c>
      <c r="FL3738" s="18" t="inlineStr">
        <is>
          <t>B</t>
        </is>
      </c>
      <c r="FM3738" s="18" t="inlineStr">
        <is>
          <t>Santa Rosa</t>
        </is>
      </c>
      <c r="FP3738" t="inlineStr">
        <is>
          <t>B</t>
        </is>
      </c>
    </row>
    <row r="3739">
      <c r="FC3739" t="inlineStr">
        <is>
          <t>Diccionario 4</t>
        </is>
      </c>
      <c r="FD3739" s="15" t="inlineStr">
        <is>
          <t>SFVZ-56|</t>
        </is>
      </c>
      <c r="FE3739" s="17" t="inlineStr">
        <is>
          <t>LVCB4L4D2MM003877</t>
        </is>
      </c>
      <c r="FF3739" s="18" t="inlineStr">
        <is>
          <t>M221100558</t>
        </is>
      </c>
      <c r="FG3739" s="18" t="inlineStr">
        <is>
          <t>FOTON</t>
        </is>
      </c>
      <c r="FH3739" s="18" t="inlineStr">
        <is>
          <t>EBUS U12 SC</t>
        </is>
      </c>
      <c r="FI3739" s="18" t="inlineStr">
        <is>
          <t>FOTON</t>
        </is>
      </c>
      <c r="FJ3739" s="18" t="inlineStr">
        <is>
          <t>EBUS U12 SC</t>
        </is>
      </c>
      <c r="FK3739" s="18" t="n">
        <v>2022</v>
      </c>
      <c r="FL3739" s="18" t="inlineStr">
        <is>
          <t>B</t>
        </is>
      </c>
      <c r="FM3739" s="18" t="inlineStr">
        <is>
          <t>Santa Rosa</t>
        </is>
      </c>
      <c r="FP3739" t="inlineStr">
        <is>
          <t>B</t>
        </is>
      </c>
    </row>
    <row r="3740">
      <c r="FC3740" t="inlineStr">
        <is>
          <t>Diccionario 4</t>
        </is>
      </c>
      <c r="FD3740" s="15" t="inlineStr">
        <is>
          <t>SFVZ-60|</t>
        </is>
      </c>
      <c r="FE3740" s="17" t="inlineStr">
        <is>
          <t>LVCB4L4D6MM003879</t>
        </is>
      </c>
      <c r="FF3740" s="18" t="inlineStr">
        <is>
          <t>M221110022</t>
        </is>
      </c>
      <c r="FG3740" s="18" t="inlineStr">
        <is>
          <t>FOTON</t>
        </is>
      </c>
      <c r="FH3740" s="18" t="inlineStr">
        <is>
          <t>EBUS U12 SC</t>
        </is>
      </c>
      <c r="FI3740" s="18" t="inlineStr">
        <is>
          <t>FOTON</t>
        </is>
      </c>
      <c r="FJ3740" s="18" t="inlineStr">
        <is>
          <t>EBUS U12 SC</t>
        </is>
      </c>
      <c r="FK3740" s="18" t="n">
        <v>2022</v>
      </c>
      <c r="FL3740" s="18" t="inlineStr">
        <is>
          <t>B</t>
        </is>
      </c>
      <c r="FM3740" s="18" t="inlineStr">
        <is>
          <t>Lo Blanco</t>
        </is>
      </c>
      <c r="FP3740" t="inlineStr">
        <is>
          <t>B</t>
        </is>
      </c>
    </row>
    <row r="3741">
      <c r="FC3741" t="inlineStr">
        <is>
          <t>Diccionario 4</t>
        </is>
      </c>
      <c r="FD3741" s="15" t="inlineStr">
        <is>
          <t>SFVZ-63|</t>
        </is>
      </c>
      <c r="FE3741" s="17" t="inlineStr">
        <is>
          <t>LVCB4L4D2MM003880</t>
        </is>
      </c>
      <c r="FF3741" s="18" t="inlineStr">
        <is>
          <t>M221100408</t>
        </is>
      </c>
      <c r="FG3741" s="18" t="inlineStr">
        <is>
          <t>FOTON</t>
        </is>
      </c>
      <c r="FH3741" s="18" t="inlineStr">
        <is>
          <t>EBUS U12 SC</t>
        </is>
      </c>
      <c r="FI3741" s="18" t="inlineStr">
        <is>
          <t>FOTON</t>
        </is>
      </c>
      <c r="FJ3741" s="18" t="inlineStr">
        <is>
          <t>EBUS U12 SC</t>
        </is>
      </c>
      <c r="FK3741" s="18" t="n">
        <v>2022</v>
      </c>
      <c r="FL3741" s="18" t="inlineStr">
        <is>
          <t>B</t>
        </is>
      </c>
      <c r="FM3741" s="18" t="inlineStr">
        <is>
          <t>Santa Rosa</t>
        </is>
      </c>
      <c r="FP3741" t="inlineStr">
        <is>
          <t>B</t>
        </is>
      </c>
    </row>
    <row r="3742">
      <c r="FC3742" t="inlineStr">
        <is>
          <t>Diccionario 4</t>
        </is>
      </c>
      <c r="FD3742" s="15" t="inlineStr">
        <is>
          <t>SFVZ-67|</t>
        </is>
      </c>
      <c r="FE3742" s="17" t="inlineStr">
        <is>
          <t>LVCB4L4D4MM003881</t>
        </is>
      </c>
      <c r="FF3742" s="18" t="inlineStr">
        <is>
          <t>M221110108</t>
        </is>
      </c>
      <c r="FG3742" s="18" t="inlineStr">
        <is>
          <t>FOTON</t>
        </is>
      </c>
      <c r="FH3742" s="18" t="inlineStr">
        <is>
          <t>EBUS U12 SC</t>
        </is>
      </c>
      <c r="FI3742" s="18" t="inlineStr">
        <is>
          <t>FOTON</t>
        </is>
      </c>
      <c r="FJ3742" s="18" t="inlineStr">
        <is>
          <t>EBUS U12 SC</t>
        </is>
      </c>
      <c r="FK3742" s="18" t="n">
        <v>2022</v>
      </c>
      <c r="FL3742" s="18" t="inlineStr">
        <is>
          <t>B</t>
        </is>
      </c>
      <c r="FM3742" s="18" t="inlineStr">
        <is>
          <t>Santa Rosa</t>
        </is>
      </c>
      <c r="FP3742" t="inlineStr">
        <is>
          <t>B</t>
        </is>
      </c>
    </row>
    <row r="3743">
      <c r="FC3743" t="inlineStr">
        <is>
          <t>Diccionario 4</t>
        </is>
      </c>
      <c r="FD3743" s="15" t="inlineStr">
        <is>
          <t>SFVZ-70|</t>
        </is>
      </c>
      <c r="FE3743" s="17" t="inlineStr">
        <is>
          <t>LVCB4L4D6MM003882</t>
        </is>
      </c>
      <c r="FF3743" s="18" t="inlineStr">
        <is>
          <t>M221100437</t>
        </is>
      </c>
      <c r="FG3743" s="18" t="inlineStr">
        <is>
          <t>FOTON</t>
        </is>
      </c>
      <c r="FH3743" s="18" t="inlineStr">
        <is>
          <t>EBUS U12 SC</t>
        </is>
      </c>
      <c r="FI3743" s="18" t="inlineStr">
        <is>
          <t>FOTON</t>
        </is>
      </c>
      <c r="FJ3743" s="18" t="inlineStr">
        <is>
          <t>EBUS U12 SC</t>
        </is>
      </c>
      <c r="FK3743" s="18" t="n">
        <v>2022</v>
      </c>
      <c r="FL3743" s="18" t="inlineStr">
        <is>
          <t>B</t>
        </is>
      </c>
      <c r="FM3743" s="18" t="inlineStr">
        <is>
          <t>Santa Rosa</t>
        </is>
      </c>
      <c r="FP3743" t="inlineStr">
        <is>
          <t>B</t>
        </is>
      </c>
    </row>
    <row r="3744">
      <c r="FC3744" t="inlineStr">
        <is>
          <t>Diccionario 4</t>
        </is>
      </c>
      <c r="FD3744" s="15" t="inlineStr">
        <is>
          <t>SFVZ-80|</t>
        </is>
      </c>
      <c r="FE3744" s="17" t="inlineStr">
        <is>
          <t>LVCB4L4D8MM003883</t>
        </is>
      </c>
      <c r="FF3744" s="18" t="inlineStr">
        <is>
          <t>M221100477</t>
        </is>
      </c>
      <c r="FG3744" s="18" t="inlineStr">
        <is>
          <t>FOTON</t>
        </is>
      </c>
      <c r="FH3744" s="18" t="inlineStr">
        <is>
          <t>EBUS U12 SC</t>
        </is>
      </c>
      <c r="FI3744" s="18" t="inlineStr">
        <is>
          <t>FOTON</t>
        </is>
      </c>
      <c r="FJ3744" s="18" t="inlineStr">
        <is>
          <t>EBUS U12 SC</t>
        </is>
      </c>
      <c r="FK3744" s="18" t="n">
        <v>2022</v>
      </c>
      <c r="FL3744" s="18" t="inlineStr">
        <is>
          <t>B</t>
        </is>
      </c>
      <c r="FM3744" s="18" t="inlineStr">
        <is>
          <t>Santa Rosa</t>
        </is>
      </c>
      <c r="FP3744" t="inlineStr">
        <is>
          <t>B</t>
        </is>
      </c>
    </row>
    <row r="3745">
      <c r="FC3745" t="inlineStr">
        <is>
          <t>Diccionario 4</t>
        </is>
      </c>
      <c r="FD3745" s="15" t="inlineStr">
        <is>
          <t>SFVZ-81|</t>
        </is>
      </c>
      <c r="FE3745" s="17" t="inlineStr">
        <is>
          <t>LVCB4L4D1MM003885</t>
        </is>
      </c>
      <c r="FF3745" s="18" t="inlineStr">
        <is>
          <t>M221100475</t>
        </is>
      </c>
      <c r="FG3745" s="18" t="inlineStr">
        <is>
          <t>FOTON</t>
        </is>
      </c>
      <c r="FH3745" s="18" t="inlineStr">
        <is>
          <t>EBUS U12 SC</t>
        </is>
      </c>
      <c r="FI3745" s="18" t="inlineStr">
        <is>
          <t>FOTON</t>
        </is>
      </c>
      <c r="FJ3745" s="18" t="inlineStr">
        <is>
          <t>EBUS U12 SC</t>
        </is>
      </c>
      <c r="FK3745" s="18" t="n">
        <v>2022</v>
      </c>
      <c r="FL3745" s="18" t="inlineStr">
        <is>
          <t>B</t>
        </is>
      </c>
      <c r="FM3745" s="18" t="inlineStr">
        <is>
          <t>Santa Rosa</t>
        </is>
      </c>
      <c r="FP3745" t="inlineStr">
        <is>
          <t>B</t>
        </is>
      </c>
    </row>
    <row r="3746">
      <c r="FC3746" t="inlineStr">
        <is>
          <t>Diccionario 4</t>
        </is>
      </c>
      <c r="FD3746" s="15" t="inlineStr">
        <is>
          <t>SFVZ-85|</t>
        </is>
      </c>
      <c r="FE3746" s="17" t="inlineStr">
        <is>
          <t>LVCB4L4D3MM003886</t>
        </is>
      </c>
      <c r="FF3746" s="18" t="inlineStr">
        <is>
          <t>M221100543</t>
        </is>
      </c>
      <c r="FG3746" s="18" t="inlineStr">
        <is>
          <t>FOTON</t>
        </is>
      </c>
      <c r="FH3746" s="18" t="inlineStr">
        <is>
          <t>EBUS U12 SC</t>
        </is>
      </c>
      <c r="FI3746" s="18" t="inlineStr">
        <is>
          <t>FOTON</t>
        </is>
      </c>
      <c r="FJ3746" s="18" t="inlineStr">
        <is>
          <t>EBUS U12 SC</t>
        </is>
      </c>
      <c r="FK3746" s="18" t="n">
        <v>2022</v>
      </c>
      <c r="FL3746" s="18" t="inlineStr">
        <is>
          <t>B</t>
        </is>
      </c>
      <c r="FM3746" s="18" t="inlineStr">
        <is>
          <t>Santa Rosa</t>
        </is>
      </c>
      <c r="FP3746" t="inlineStr">
        <is>
          <t>B</t>
        </is>
      </c>
    </row>
    <row r="3747">
      <c r="FC3747" t="inlineStr">
        <is>
          <t>Diccionario 4</t>
        </is>
      </c>
      <c r="FD3747" s="15" t="inlineStr">
        <is>
          <t>SFVZ-86|</t>
        </is>
      </c>
      <c r="FE3747" s="17" t="inlineStr">
        <is>
          <t>LVCB4L4D5MM003887</t>
        </is>
      </c>
      <c r="FF3747" s="18" t="inlineStr">
        <is>
          <t>M221110021</t>
        </is>
      </c>
      <c r="FG3747" s="18" t="inlineStr">
        <is>
          <t>FOTON</t>
        </is>
      </c>
      <c r="FH3747" s="18" t="inlineStr">
        <is>
          <t>EBUS U12 SC</t>
        </is>
      </c>
      <c r="FI3747" s="18" t="inlineStr">
        <is>
          <t>FOTON</t>
        </is>
      </c>
      <c r="FJ3747" s="18" t="inlineStr">
        <is>
          <t>EBUS U12 SC</t>
        </is>
      </c>
      <c r="FK3747" s="18" t="n">
        <v>2022</v>
      </c>
      <c r="FL3747" s="18" t="inlineStr">
        <is>
          <t>B</t>
        </is>
      </c>
      <c r="FM3747" s="18" t="inlineStr">
        <is>
          <t>Santa Rosa</t>
        </is>
      </c>
      <c r="FP3747" t="inlineStr">
        <is>
          <t>B</t>
        </is>
      </c>
    </row>
    <row r="3748">
      <c r="FC3748" t="inlineStr">
        <is>
          <t>Diccionario 4</t>
        </is>
      </c>
      <c r="FD3748" s="15" t="inlineStr">
        <is>
          <t>SFVZ-87|</t>
        </is>
      </c>
      <c r="FE3748" s="17" t="inlineStr">
        <is>
          <t>LVCB4L4D7MM003888</t>
        </is>
      </c>
      <c r="FF3748" s="18" t="inlineStr">
        <is>
          <t>M221100297</t>
        </is>
      </c>
      <c r="FG3748" s="18" t="inlineStr">
        <is>
          <t>FOTON</t>
        </is>
      </c>
      <c r="FH3748" s="18" t="inlineStr">
        <is>
          <t>EBUS U12 SC</t>
        </is>
      </c>
      <c r="FI3748" s="18" t="inlineStr">
        <is>
          <t>FOTON</t>
        </is>
      </c>
      <c r="FJ3748" s="18" t="inlineStr">
        <is>
          <t>EBUS U12 SC</t>
        </is>
      </c>
      <c r="FK3748" s="18" t="n">
        <v>2022</v>
      </c>
      <c r="FL3748" s="18" t="inlineStr">
        <is>
          <t>B</t>
        </is>
      </c>
      <c r="FM3748" s="18" t="inlineStr">
        <is>
          <t>Lo Blanco</t>
        </is>
      </c>
      <c r="FP3748" t="inlineStr">
        <is>
          <t>B</t>
        </is>
      </c>
    </row>
    <row r="3749">
      <c r="FC3749" t="inlineStr">
        <is>
          <t>Diccionario 4</t>
        </is>
      </c>
      <c r="FD3749" s="15" t="inlineStr">
        <is>
          <t>SFVZ-94|</t>
        </is>
      </c>
      <c r="FE3749" s="17" t="inlineStr">
        <is>
          <t>LVCB4L4D9MM003889</t>
        </is>
      </c>
      <c r="FF3749" s="18" t="inlineStr">
        <is>
          <t>M221100396</t>
        </is>
      </c>
      <c r="FG3749" s="18" t="inlineStr">
        <is>
          <t>FOTON</t>
        </is>
      </c>
      <c r="FH3749" s="18" t="inlineStr">
        <is>
          <t>EBUS U12 SC</t>
        </is>
      </c>
      <c r="FI3749" s="18" t="inlineStr">
        <is>
          <t>FOTON</t>
        </is>
      </c>
      <c r="FJ3749" s="18" t="inlineStr">
        <is>
          <t>EBUS U12 SC</t>
        </is>
      </c>
      <c r="FK3749" s="18" t="n">
        <v>2022</v>
      </c>
      <c r="FL3749" s="18" t="inlineStr">
        <is>
          <t>B</t>
        </is>
      </c>
      <c r="FM3749" s="18" t="inlineStr">
        <is>
          <t>Recoleta</t>
        </is>
      </c>
      <c r="FP3749" t="inlineStr">
        <is>
          <t>B</t>
        </is>
      </c>
    </row>
    <row r="3750">
      <c r="FC3750" t="inlineStr">
        <is>
          <t>Diccionario 4</t>
        </is>
      </c>
      <c r="FD3750" s="15" t="inlineStr">
        <is>
          <t>SFVZ-96|</t>
        </is>
      </c>
      <c r="FE3750" s="17" t="inlineStr">
        <is>
          <t>LVCB4L4D5MM003890</t>
        </is>
      </c>
      <c r="FF3750" s="18" t="inlineStr">
        <is>
          <t>M221100305</t>
        </is>
      </c>
      <c r="FG3750" s="18" t="inlineStr">
        <is>
          <t>FOTON</t>
        </is>
      </c>
      <c r="FH3750" s="18" t="inlineStr">
        <is>
          <t>EBUS U12 SC</t>
        </is>
      </c>
      <c r="FI3750" s="18" t="inlineStr">
        <is>
          <t>FOTON</t>
        </is>
      </c>
      <c r="FJ3750" s="18" t="inlineStr">
        <is>
          <t>EBUS U12 SC</t>
        </is>
      </c>
      <c r="FK3750" s="18" t="n">
        <v>2022</v>
      </c>
      <c r="FL3750" s="18" t="inlineStr">
        <is>
          <t>B</t>
        </is>
      </c>
      <c r="FM3750" s="18" t="inlineStr">
        <is>
          <t>Santa Rosa</t>
        </is>
      </c>
      <c r="FP3750" t="inlineStr">
        <is>
          <t>B</t>
        </is>
      </c>
    </row>
    <row r="3751">
      <c r="FC3751" t="inlineStr">
        <is>
          <t>Diccionario 4</t>
        </is>
      </c>
      <c r="FD3751" s="15" t="inlineStr">
        <is>
          <t>SFWB-10|</t>
        </is>
      </c>
      <c r="FE3751" s="17" t="inlineStr">
        <is>
          <t>LVCB4L4D9MM003892</t>
        </is>
      </c>
      <c r="FF3751" s="18" t="inlineStr">
        <is>
          <t>M221110101</t>
        </is>
      </c>
      <c r="FG3751" s="18" t="inlineStr">
        <is>
          <t>FOTON</t>
        </is>
      </c>
      <c r="FH3751" s="18" t="inlineStr">
        <is>
          <t>EBUS U12 SC</t>
        </is>
      </c>
      <c r="FI3751" s="18" t="inlineStr">
        <is>
          <t>FOTON</t>
        </is>
      </c>
      <c r="FJ3751" s="18" t="inlineStr">
        <is>
          <t>EBUS U12 SC</t>
        </is>
      </c>
      <c r="FK3751" s="18" t="n">
        <v>2022</v>
      </c>
      <c r="FL3751" s="18" t="inlineStr">
        <is>
          <t>B</t>
        </is>
      </c>
      <c r="FM3751" s="18" t="inlineStr">
        <is>
          <t>Recoleta</t>
        </is>
      </c>
      <c r="FP3751" t="inlineStr">
        <is>
          <t>B</t>
        </is>
      </c>
    </row>
    <row r="3752">
      <c r="FC3752" t="inlineStr">
        <is>
          <t>Diccionario 4</t>
        </is>
      </c>
      <c r="FD3752" s="15" t="inlineStr">
        <is>
          <t>SFWB-14|</t>
        </is>
      </c>
      <c r="FE3752" s="17" t="inlineStr">
        <is>
          <t>LVCB4L4D0MM003893</t>
        </is>
      </c>
      <c r="FF3752" s="18" t="inlineStr">
        <is>
          <t>M221100547</t>
        </is>
      </c>
      <c r="FG3752" s="18" t="inlineStr">
        <is>
          <t>FOTON</t>
        </is>
      </c>
      <c r="FH3752" s="18" t="inlineStr">
        <is>
          <t>EBUS U12 SC</t>
        </is>
      </c>
      <c r="FI3752" s="18" t="inlineStr">
        <is>
          <t>FOTON</t>
        </is>
      </c>
      <c r="FJ3752" s="18" t="inlineStr">
        <is>
          <t>EBUS U12 SC</t>
        </is>
      </c>
      <c r="FK3752" s="18" t="n">
        <v>2022</v>
      </c>
      <c r="FL3752" s="18" t="inlineStr">
        <is>
          <t>B</t>
        </is>
      </c>
      <c r="FM3752" s="18" t="inlineStr">
        <is>
          <t>Santa Rosa</t>
        </is>
      </c>
      <c r="FP3752" t="inlineStr">
        <is>
          <t>B</t>
        </is>
      </c>
    </row>
    <row r="3753">
      <c r="FC3753" t="inlineStr">
        <is>
          <t>Diccionario 4</t>
        </is>
      </c>
      <c r="FD3753" s="15" t="inlineStr">
        <is>
          <t>SFWB-16|</t>
        </is>
      </c>
      <c r="FE3753" s="17" t="inlineStr">
        <is>
          <t>LVCB4L4D4MM003895</t>
        </is>
      </c>
      <c r="FF3753" s="18" t="inlineStr">
        <is>
          <t>M221100515</t>
        </is>
      </c>
      <c r="FG3753" s="18" t="inlineStr">
        <is>
          <t>FOTON</t>
        </is>
      </c>
      <c r="FH3753" s="18" t="inlineStr">
        <is>
          <t>EBUS U12 SC</t>
        </is>
      </c>
      <c r="FI3753" s="18" t="inlineStr">
        <is>
          <t>FOTON</t>
        </is>
      </c>
      <c r="FJ3753" s="18" t="inlineStr">
        <is>
          <t>EBUS U12 SC</t>
        </is>
      </c>
      <c r="FK3753" s="18" t="n">
        <v>2022</v>
      </c>
      <c r="FL3753" s="18" t="inlineStr">
        <is>
          <t>B</t>
        </is>
      </c>
      <c r="FM3753" s="18" t="inlineStr">
        <is>
          <t>Recoleta</t>
        </is>
      </c>
      <c r="FP3753" t="inlineStr">
        <is>
          <t>B</t>
        </is>
      </c>
    </row>
    <row r="3754">
      <c r="FC3754" t="inlineStr">
        <is>
          <t>Diccionario 4</t>
        </is>
      </c>
      <c r="FD3754" s="15" t="inlineStr">
        <is>
          <t>SFWB-21|</t>
        </is>
      </c>
      <c r="FE3754" s="17" t="inlineStr">
        <is>
          <t>LVCB4L4DXMM003898</t>
        </is>
      </c>
      <c r="FF3754" s="18" t="inlineStr">
        <is>
          <t>M221110024</t>
        </is>
      </c>
      <c r="FG3754" s="18" t="inlineStr">
        <is>
          <t>FOTON</t>
        </is>
      </c>
      <c r="FH3754" s="18" t="inlineStr">
        <is>
          <t>EBUS U12 SC</t>
        </is>
      </c>
      <c r="FI3754" s="18" t="inlineStr">
        <is>
          <t>FOTON</t>
        </is>
      </c>
      <c r="FJ3754" s="18" t="inlineStr">
        <is>
          <t>EBUS U12 SC</t>
        </is>
      </c>
      <c r="FK3754" s="18" t="n">
        <v>2022</v>
      </c>
      <c r="FL3754" s="18" t="inlineStr">
        <is>
          <t>B</t>
        </is>
      </c>
      <c r="FM3754" s="18" t="inlineStr">
        <is>
          <t>Santa Rosa</t>
        </is>
      </c>
      <c r="FP3754" t="inlineStr">
        <is>
          <t>B</t>
        </is>
      </c>
    </row>
    <row r="3755">
      <c r="FC3755" t="inlineStr">
        <is>
          <t>Diccionario 4</t>
        </is>
      </c>
      <c r="FD3755" s="15" t="inlineStr">
        <is>
          <t>SFWB-24|</t>
        </is>
      </c>
      <c r="FE3755" s="17" t="inlineStr">
        <is>
          <t>LVCB4L4D1MM003899</t>
        </is>
      </c>
      <c r="FF3755" s="18" t="inlineStr">
        <is>
          <t>M221100443</t>
        </is>
      </c>
      <c r="FG3755" s="18" t="inlineStr">
        <is>
          <t>FOTON</t>
        </is>
      </c>
      <c r="FH3755" s="18" t="inlineStr">
        <is>
          <t>EBUS U12 SC</t>
        </is>
      </c>
      <c r="FI3755" s="18" t="inlineStr">
        <is>
          <t>FOTON</t>
        </is>
      </c>
      <c r="FJ3755" s="18" t="inlineStr">
        <is>
          <t>EBUS U12 SC</t>
        </is>
      </c>
      <c r="FK3755" s="18" t="n">
        <v>2022</v>
      </c>
      <c r="FL3755" s="18" t="inlineStr">
        <is>
          <t>B</t>
        </is>
      </c>
      <c r="FM3755" s="18" t="inlineStr">
        <is>
          <t>Santa Rosa</t>
        </is>
      </c>
      <c r="FP3755" t="inlineStr">
        <is>
          <t>B</t>
        </is>
      </c>
    </row>
    <row r="3756">
      <c r="FC3756" t="inlineStr">
        <is>
          <t>Diccionario 4</t>
        </is>
      </c>
      <c r="FD3756" s="15" t="inlineStr">
        <is>
          <t>SFWB-28|</t>
        </is>
      </c>
      <c r="FE3756" s="17" t="inlineStr">
        <is>
          <t>LVCB4L4D8MM003902</t>
        </is>
      </c>
      <c r="FF3756" s="18" t="inlineStr">
        <is>
          <t>M221100309</t>
        </is>
      </c>
      <c r="FG3756" s="18" t="inlineStr">
        <is>
          <t>FOTON</t>
        </is>
      </c>
      <c r="FH3756" s="18" t="inlineStr">
        <is>
          <t>EBUS U12 SC</t>
        </is>
      </c>
      <c r="FI3756" s="18" t="inlineStr">
        <is>
          <t>FOTON</t>
        </is>
      </c>
      <c r="FJ3756" s="18" t="inlineStr">
        <is>
          <t>EBUS U12 SC</t>
        </is>
      </c>
      <c r="FK3756" s="18" t="n">
        <v>2022</v>
      </c>
      <c r="FL3756" s="18" t="inlineStr">
        <is>
          <t>B</t>
        </is>
      </c>
      <c r="FM3756" s="18" t="inlineStr">
        <is>
          <t>Santa Rosa</t>
        </is>
      </c>
      <c r="FP3756" t="inlineStr">
        <is>
          <t>B</t>
        </is>
      </c>
    </row>
    <row r="3757">
      <c r="FC3757" t="inlineStr">
        <is>
          <t>Diccionario 4</t>
        </is>
      </c>
      <c r="FD3757" s="15" t="inlineStr">
        <is>
          <t>SFWB-29|</t>
        </is>
      </c>
      <c r="FE3757" s="17" t="inlineStr">
        <is>
          <t>LVCB4L4DXMM003903</t>
        </is>
      </c>
      <c r="FF3757" s="18" t="inlineStr">
        <is>
          <t>M221110578</t>
        </is>
      </c>
      <c r="FG3757" s="18" t="inlineStr">
        <is>
          <t>FOTON</t>
        </is>
      </c>
      <c r="FH3757" s="18" t="inlineStr">
        <is>
          <t>EBUS U12 SC</t>
        </is>
      </c>
      <c r="FI3757" s="18" t="inlineStr">
        <is>
          <t>FOTON</t>
        </is>
      </c>
      <c r="FJ3757" s="18" t="inlineStr">
        <is>
          <t>EBUS U12 SC</t>
        </is>
      </c>
      <c r="FK3757" s="18" t="n">
        <v>2022</v>
      </c>
      <c r="FL3757" s="18" t="inlineStr">
        <is>
          <t>B</t>
        </is>
      </c>
      <c r="FM3757" s="18" t="inlineStr">
        <is>
          <t>Santa Rosa</t>
        </is>
      </c>
      <c r="FP3757" t="inlineStr">
        <is>
          <t>B</t>
        </is>
      </c>
    </row>
    <row r="3758">
      <c r="FC3758" t="inlineStr">
        <is>
          <t>Diccionario 4</t>
        </is>
      </c>
      <c r="FD3758" s="15" t="inlineStr">
        <is>
          <t>SFWB-31|</t>
        </is>
      </c>
      <c r="FE3758" s="17" t="inlineStr">
        <is>
          <t>LVCB4L4D3MM003905</t>
        </is>
      </c>
      <c r="FF3758" s="18" t="inlineStr">
        <is>
          <t>M221100400</t>
        </is>
      </c>
      <c r="FG3758" s="18" t="inlineStr">
        <is>
          <t>FOTON</t>
        </is>
      </c>
      <c r="FH3758" s="18" t="inlineStr">
        <is>
          <t>EBUS U12 SC</t>
        </is>
      </c>
      <c r="FI3758" s="18" t="inlineStr">
        <is>
          <t>FOTON</t>
        </is>
      </c>
      <c r="FJ3758" s="18" t="inlineStr">
        <is>
          <t>EBUS U12 SC</t>
        </is>
      </c>
      <c r="FK3758" s="18" t="n">
        <v>2022</v>
      </c>
      <c r="FL3758" s="18" t="inlineStr">
        <is>
          <t>B</t>
        </is>
      </c>
      <c r="FM3758" s="18" t="inlineStr">
        <is>
          <t>Recoleta</t>
        </is>
      </c>
      <c r="FP3758" t="inlineStr">
        <is>
          <t>B</t>
        </is>
      </c>
    </row>
    <row r="3759">
      <c r="FC3759" t="inlineStr">
        <is>
          <t>Diccionario 4</t>
        </is>
      </c>
      <c r="FD3759" s="15" t="inlineStr">
        <is>
          <t>SFWB-33|</t>
        </is>
      </c>
      <c r="FE3759" s="17" t="inlineStr">
        <is>
          <t>LVCB4L4D5MM003906</t>
        </is>
      </c>
      <c r="FF3759" s="18" t="inlineStr">
        <is>
          <t>M221100516</t>
        </is>
      </c>
      <c r="FG3759" s="18" t="inlineStr">
        <is>
          <t>FOTON</t>
        </is>
      </c>
      <c r="FH3759" s="18" t="inlineStr">
        <is>
          <t>EBUS U12 SC</t>
        </is>
      </c>
      <c r="FI3759" s="18" t="inlineStr">
        <is>
          <t>FOTON</t>
        </is>
      </c>
      <c r="FJ3759" s="18" t="inlineStr">
        <is>
          <t>EBUS U12 SC</t>
        </is>
      </c>
      <c r="FK3759" s="18" t="n">
        <v>2022</v>
      </c>
      <c r="FL3759" s="18" t="inlineStr">
        <is>
          <t>B</t>
        </is>
      </c>
      <c r="FM3759" s="18" t="inlineStr">
        <is>
          <t>Santa Rosa</t>
        </is>
      </c>
      <c r="FP3759" t="inlineStr">
        <is>
          <t>B</t>
        </is>
      </c>
    </row>
    <row r="3760">
      <c r="FC3760" t="inlineStr">
        <is>
          <t>Diccionario 4</t>
        </is>
      </c>
      <c r="FD3760" s="15" t="inlineStr">
        <is>
          <t>SFWB-35|</t>
        </is>
      </c>
      <c r="FE3760" s="17" t="inlineStr">
        <is>
          <t>LVCB4L4D7MM003907</t>
        </is>
      </c>
      <c r="FF3760" s="18" t="inlineStr">
        <is>
          <t>M221100306</t>
        </is>
      </c>
      <c r="FG3760" s="18" t="inlineStr">
        <is>
          <t>FOTON</t>
        </is>
      </c>
      <c r="FH3760" s="18" t="inlineStr">
        <is>
          <t>EBUS U12 SC</t>
        </is>
      </c>
      <c r="FI3760" s="18" t="inlineStr">
        <is>
          <t>FOTON</t>
        </is>
      </c>
      <c r="FJ3760" s="18" t="inlineStr">
        <is>
          <t>EBUS U12 SC</t>
        </is>
      </c>
      <c r="FK3760" s="18" t="n">
        <v>2022</v>
      </c>
      <c r="FL3760" s="18" t="inlineStr">
        <is>
          <t>B</t>
        </is>
      </c>
      <c r="FM3760" s="18" t="inlineStr">
        <is>
          <t>Recoleta</t>
        </is>
      </c>
      <c r="FP3760" t="inlineStr">
        <is>
          <t>B</t>
        </is>
      </c>
    </row>
    <row r="3761">
      <c r="FC3761" t="inlineStr">
        <is>
          <t>Diccionario 4</t>
        </is>
      </c>
      <c r="FD3761" s="15" t="inlineStr">
        <is>
          <t>SFWB-42|</t>
        </is>
      </c>
      <c r="FE3761" s="17" t="inlineStr">
        <is>
          <t>LVCB4L4D0MM003909</t>
        </is>
      </c>
      <c r="FF3761" s="18" t="inlineStr">
        <is>
          <t>M221110025</t>
        </is>
      </c>
      <c r="FG3761" s="18" t="inlineStr">
        <is>
          <t>FOTON</t>
        </is>
      </c>
      <c r="FH3761" s="18" t="inlineStr">
        <is>
          <t>EBUS U12 SC</t>
        </is>
      </c>
      <c r="FI3761" s="18" t="inlineStr">
        <is>
          <t>FOTON</t>
        </is>
      </c>
      <c r="FJ3761" s="18" t="inlineStr">
        <is>
          <t>EBUS U12 SC</t>
        </is>
      </c>
      <c r="FK3761" s="18" t="n">
        <v>2022</v>
      </c>
      <c r="FL3761" s="18" t="inlineStr">
        <is>
          <t>B</t>
        </is>
      </c>
      <c r="FM3761" s="18" t="inlineStr">
        <is>
          <t>Santa Rosa</t>
        </is>
      </c>
      <c r="FP3761" t="inlineStr">
        <is>
          <t>B</t>
        </is>
      </c>
    </row>
    <row r="3762">
      <c r="FC3762" t="inlineStr">
        <is>
          <t>Diccionario 4</t>
        </is>
      </c>
      <c r="FD3762" s="15" t="inlineStr">
        <is>
          <t>SFWB-44|</t>
        </is>
      </c>
      <c r="FE3762" s="17" t="inlineStr">
        <is>
          <t>LVCB4L4D9MM003911</t>
        </is>
      </c>
      <c r="FF3762" s="18" t="inlineStr">
        <is>
          <t>M221100549</t>
        </is>
      </c>
      <c r="FG3762" s="18" t="inlineStr">
        <is>
          <t>FOTON</t>
        </is>
      </c>
      <c r="FH3762" s="18" t="inlineStr">
        <is>
          <t>EBUS U12 SC</t>
        </is>
      </c>
      <c r="FI3762" s="18" t="inlineStr">
        <is>
          <t>FOTON</t>
        </is>
      </c>
      <c r="FJ3762" s="18" t="inlineStr">
        <is>
          <t>EBUS U12 SC</t>
        </is>
      </c>
      <c r="FK3762" s="18" t="n">
        <v>2022</v>
      </c>
      <c r="FL3762" s="18" t="inlineStr">
        <is>
          <t>B</t>
        </is>
      </c>
      <c r="FM3762" s="18" t="inlineStr">
        <is>
          <t>Santa Rosa</t>
        </is>
      </c>
      <c r="FP3762" t="inlineStr">
        <is>
          <t>B</t>
        </is>
      </c>
    </row>
    <row r="3763">
      <c r="FC3763" t="inlineStr">
        <is>
          <t>Diccionario 4</t>
        </is>
      </c>
      <c r="FD3763" s="15" t="inlineStr">
        <is>
          <t>SFWB-46|</t>
        </is>
      </c>
      <c r="FE3763" s="17" t="inlineStr">
        <is>
          <t>LVCB4L4D3MM003631</t>
        </is>
      </c>
      <c r="FF3763" s="18" t="inlineStr">
        <is>
          <t>M221100523</t>
        </is>
      </c>
      <c r="FG3763" s="18" t="inlineStr">
        <is>
          <t>FOTON</t>
        </is>
      </c>
      <c r="FH3763" s="18" t="inlineStr">
        <is>
          <t>EBUS U12 SC</t>
        </is>
      </c>
      <c r="FI3763" s="18" t="inlineStr">
        <is>
          <t>FOTON</t>
        </is>
      </c>
      <c r="FJ3763" s="18" t="inlineStr">
        <is>
          <t>EBUS U12 SC</t>
        </is>
      </c>
      <c r="FK3763" s="18" t="n">
        <v>2022</v>
      </c>
      <c r="FL3763" s="18" t="inlineStr">
        <is>
          <t>B</t>
        </is>
      </c>
      <c r="FM3763" s="18" t="inlineStr">
        <is>
          <t>Santa Rosa</t>
        </is>
      </c>
      <c r="FP3763" t="inlineStr">
        <is>
          <t>B</t>
        </is>
      </c>
    </row>
    <row r="3764">
      <c r="FC3764" t="inlineStr">
        <is>
          <t>Diccionario 4</t>
        </is>
      </c>
      <c r="FD3764" s="15" t="inlineStr">
        <is>
          <t>SFWB-48|</t>
        </is>
      </c>
      <c r="FE3764" s="17" t="inlineStr">
        <is>
          <t>LVCB4L4D8MM003916</t>
        </is>
      </c>
      <c r="FF3764" s="18" t="inlineStr">
        <is>
          <t>M221100441</t>
        </is>
      </c>
      <c r="FG3764" s="18" t="inlineStr">
        <is>
          <t>FOTON</t>
        </is>
      </c>
      <c r="FH3764" s="18" t="inlineStr">
        <is>
          <t>EBUS U12 SC</t>
        </is>
      </c>
      <c r="FI3764" s="18" t="inlineStr">
        <is>
          <t>FOTON</t>
        </is>
      </c>
      <c r="FJ3764" s="18" t="inlineStr">
        <is>
          <t>EBUS U12 SC</t>
        </is>
      </c>
      <c r="FK3764" s="18" t="n">
        <v>2022</v>
      </c>
      <c r="FL3764" s="18" t="inlineStr">
        <is>
          <t>B</t>
        </is>
      </c>
      <c r="FM3764" s="18" t="inlineStr">
        <is>
          <t>Santa Rosa</t>
        </is>
      </c>
      <c r="FP3764" t="inlineStr">
        <is>
          <t>B</t>
        </is>
      </c>
    </row>
    <row r="3765">
      <c r="FC3765" t="inlineStr">
        <is>
          <t>Diccionario 4</t>
        </is>
      </c>
      <c r="FD3765" s="15" t="inlineStr">
        <is>
          <t>SFWB-50|</t>
        </is>
      </c>
      <c r="FE3765" s="17" t="inlineStr">
        <is>
          <t>LVCB4L4D3MM003919</t>
        </is>
      </c>
      <c r="FF3765" s="18" t="inlineStr">
        <is>
          <t>M221110656</t>
        </is>
      </c>
      <c r="FG3765" s="18" t="inlineStr">
        <is>
          <t>FOTON</t>
        </is>
      </c>
      <c r="FH3765" s="18" t="inlineStr">
        <is>
          <t>EBUS U12 SC</t>
        </is>
      </c>
      <c r="FI3765" s="18" t="inlineStr">
        <is>
          <t>FOTON</t>
        </is>
      </c>
      <c r="FJ3765" s="18" t="inlineStr">
        <is>
          <t>EBUS U12 SC</t>
        </is>
      </c>
      <c r="FK3765" s="18" t="n">
        <v>2022</v>
      </c>
      <c r="FL3765" s="18" t="inlineStr">
        <is>
          <t>B</t>
        </is>
      </c>
      <c r="FM3765" s="18" t="inlineStr">
        <is>
          <t>Recoleta</t>
        </is>
      </c>
      <c r="FP3765" t="inlineStr">
        <is>
          <t>B</t>
        </is>
      </c>
    </row>
    <row r="3766">
      <c r="FC3766" t="inlineStr">
        <is>
          <t>Diccionario 4</t>
        </is>
      </c>
      <c r="FD3766" s="15" t="inlineStr">
        <is>
          <t>SFWB-51|</t>
        </is>
      </c>
      <c r="FE3766" s="17" t="inlineStr">
        <is>
          <t>LVCB4L4D1MM003921</t>
        </is>
      </c>
      <c r="FF3766" s="18" t="inlineStr">
        <is>
          <t>M221100522</t>
        </is>
      </c>
      <c r="FG3766" s="18" t="inlineStr">
        <is>
          <t>FOTON</t>
        </is>
      </c>
      <c r="FH3766" s="18" t="inlineStr">
        <is>
          <t>EBUS U12 SC</t>
        </is>
      </c>
      <c r="FI3766" s="18" t="inlineStr">
        <is>
          <t>FOTON</t>
        </is>
      </c>
      <c r="FJ3766" s="18" t="inlineStr">
        <is>
          <t>EBUS U12 SC</t>
        </is>
      </c>
      <c r="FK3766" s="18" t="n">
        <v>2022</v>
      </c>
      <c r="FL3766" s="18" t="inlineStr">
        <is>
          <t>B</t>
        </is>
      </c>
      <c r="FM3766" s="18" t="inlineStr">
        <is>
          <t>Santa Rosa</t>
        </is>
      </c>
      <c r="FP3766" t="inlineStr">
        <is>
          <t>B</t>
        </is>
      </c>
    </row>
    <row r="3767">
      <c r="FC3767" t="inlineStr">
        <is>
          <t>Diccionario 4</t>
        </is>
      </c>
      <c r="FD3767" s="15" t="inlineStr">
        <is>
          <t>SFWB-58|</t>
        </is>
      </c>
      <c r="FE3767" s="17" t="inlineStr">
        <is>
          <t>LVCB4L4D3MM003922</t>
        </is>
      </c>
      <c r="FF3767" s="18" t="inlineStr">
        <is>
          <t>M221100487</t>
        </is>
      </c>
      <c r="FG3767" s="18" t="inlineStr">
        <is>
          <t>FOTON</t>
        </is>
      </c>
      <c r="FH3767" s="18" t="inlineStr">
        <is>
          <t>EBUS U12 SC</t>
        </is>
      </c>
      <c r="FI3767" s="18" t="inlineStr">
        <is>
          <t>FOTON</t>
        </is>
      </c>
      <c r="FJ3767" s="18" t="inlineStr">
        <is>
          <t>EBUS U12 SC</t>
        </is>
      </c>
      <c r="FK3767" s="18" t="n">
        <v>2022</v>
      </c>
      <c r="FL3767" s="18" t="inlineStr">
        <is>
          <t>B</t>
        </is>
      </c>
      <c r="FM3767" s="18" t="inlineStr">
        <is>
          <t>Recoleta</t>
        </is>
      </c>
      <c r="FP3767" t="inlineStr">
        <is>
          <t>B</t>
        </is>
      </c>
    </row>
    <row r="3768">
      <c r="FC3768" t="inlineStr">
        <is>
          <t>Diccionario 4</t>
        </is>
      </c>
      <c r="FD3768" s="15" t="inlineStr">
        <is>
          <t>SFWB-61|</t>
        </is>
      </c>
      <c r="FE3768" s="17" t="inlineStr">
        <is>
          <t>LVCB4L4D2MM003927</t>
        </is>
      </c>
      <c r="FF3768" s="18" t="inlineStr">
        <is>
          <t>M221100560</t>
        </is>
      </c>
      <c r="FG3768" s="18" t="inlineStr">
        <is>
          <t>FOTON</t>
        </is>
      </c>
      <c r="FH3768" s="18" t="inlineStr">
        <is>
          <t>EBUS U12 SC</t>
        </is>
      </c>
      <c r="FI3768" s="18" t="inlineStr">
        <is>
          <t>FOTON</t>
        </is>
      </c>
      <c r="FJ3768" s="18" t="inlineStr">
        <is>
          <t>EBUS U12 SC</t>
        </is>
      </c>
      <c r="FK3768" s="18" t="n">
        <v>2022</v>
      </c>
      <c r="FL3768" s="18" t="inlineStr">
        <is>
          <t>B</t>
        </is>
      </c>
      <c r="FM3768" s="18" t="inlineStr">
        <is>
          <t>Santa Rosa</t>
        </is>
      </c>
      <c r="FP3768" t="inlineStr">
        <is>
          <t>B</t>
        </is>
      </c>
    </row>
    <row r="3769">
      <c r="FC3769" t="inlineStr">
        <is>
          <t>Diccionario 4</t>
        </is>
      </c>
      <c r="FD3769" s="15" t="inlineStr">
        <is>
          <t>SFWB-64|</t>
        </is>
      </c>
      <c r="FE3769" s="17" t="inlineStr">
        <is>
          <t>LVCB4L4D4MM003928</t>
        </is>
      </c>
      <c r="FF3769" s="18" t="inlineStr">
        <is>
          <t>M221110528</t>
        </is>
      </c>
      <c r="FG3769" s="18" t="inlineStr">
        <is>
          <t>FOTON</t>
        </is>
      </c>
      <c r="FH3769" s="18" t="inlineStr">
        <is>
          <t>EBUS U12 SC</t>
        </is>
      </c>
      <c r="FI3769" s="18" t="inlineStr">
        <is>
          <t>FOTON</t>
        </is>
      </c>
      <c r="FJ3769" s="18" t="inlineStr">
        <is>
          <t>EBUS U12 SC</t>
        </is>
      </c>
      <c r="FK3769" s="18" t="n">
        <v>2022</v>
      </c>
      <c r="FL3769" s="18" t="inlineStr">
        <is>
          <t>B</t>
        </is>
      </c>
      <c r="FM3769" s="18" t="inlineStr">
        <is>
          <t>Santa Rosa</t>
        </is>
      </c>
      <c r="FP3769" t="inlineStr">
        <is>
          <t>B</t>
        </is>
      </c>
    </row>
    <row r="3770">
      <c r="FC3770" t="inlineStr">
        <is>
          <t>Diccionario 4</t>
        </is>
      </c>
      <c r="FD3770" s="15" t="inlineStr">
        <is>
          <t>SFWB-68|</t>
        </is>
      </c>
      <c r="FE3770" s="17" t="inlineStr">
        <is>
          <t>LVCB4L4D6MM003929</t>
        </is>
      </c>
      <c r="FF3770" s="18" t="inlineStr">
        <is>
          <t>M221100439</t>
        </is>
      </c>
      <c r="FG3770" s="18" t="inlineStr">
        <is>
          <t>FOTON</t>
        </is>
      </c>
      <c r="FH3770" s="18" t="inlineStr">
        <is>
          <t>EBUS U12 SC</t>
        </is>
      </c>
      <c r="FI3770" s="18" t="inlineStr">
        <is>
          <t>FOTON</t>
        </is>
      </c>
      <c r="FJ3770" s="18" t="inlineStr">
        <is>
          <t>EBUS U12 SC</t>
        </is>
      </c>
      <c r="FK3770" s="18" t="n">
        <v>2022</v>
      </c>
      <c r="FL3770" s="18" t="inlineStr">
        <is>
          <t>B</t>
        </is>
      </c>
      <c r="FM3770" s="18" t="inlineStr">
        <is>
          <t>Recoleta</t>
        </is>
      </c>
      <c r="FP3770" t="inlineStr">
        <is>
          <t>B</t>
        </is>
      </c>
    </row>
    <row r="3771">
      <c r="FC3771" t="inlineStr">
        <is>
          <t>Diccionario 4</t>
        </is>
      </c>
      <c r="FD3771" s="15" t="inlineStr">
        <is>
          <t>SFWB-72|</t>
        </is>
      </c>
      <c r="FE3771" s="17" t="inlineStr">
        <is>
          <t>LVCB4L4D2MM003930</t>
        </is>
      </c>
      <c r="FF3771" s="18" t="inlineStr">
        <is>
          <t>M221100374</t>
        </is>
      </c>
      <c r="FG3771" s="18" t="inlineStr">
        <is>
          <t>FOTON</t>
        </is>
      </c>
      <c r="FH3771" s="18" t="inlineStr">
        <is>
          <t>EBUS U12 SC</t>
        </is>
      </c>
      <c r="FI3771" s="18" t="inlineStr">
        <is>
          <t>FOTON</t>
        </is>
      </c>
      <c r="FJ3771" s="18" t="inlineStr">
        <is>
          <t>EBUS U12 SC</t>
        </is>
      </c>
      <c r="FK3771" s="18" t="n">
        <v>2022</v>
      </c>
      <c r="FL3771" s="18" t="inlineStr">
        <is>
          <t>B</t>
        </is>
      </c>
      <c r="FM3771" s="18" t="inlineStr">
        <is>
          <t>Santa Rosa</t>
        </is>
      </c>
      <c r="FP3771" t="inlineStr">
        <is>
          <t>B</t>
        </is>
      </c>
    </row>
    <row r="3772">
      <c r="FC3772" t="inlineStr">
        <is>
          <t>Diccionario 4</t>
        </is>
      </c>
      <c r="FD3772" s="15" t="inlineStr">
        <is>
          <t>SFWB-73|</t>
        </is>
      </c>
      <c r="FE3772" s="17" t="inlineStr">
        <is>
          <t>LVCB4L4D4MM003931</t>
        </is>
      </c>
      <c r="FF3772" s="18" t="inlineStr">
        <is>
          <t>M221100407</t>
        </is>
      </c>
      <c r="FG3772" s="18" t="inlineStr">
        <is>
          <t>FOTON</t>
        </is>
      </c>
      <c r="FH3772" s="18" t="inlineStr">
        <is>
          <t>EBUS U12 SC</t>
        </is>
      </c>
      <c r="FI3772" s="18" t="inlineStr">
        <is>
          <t>FOTON</t>
        </is>
      </c>
      <c r="FJ3772" s="18" t="inlineStr">
        <is>
          <t>EBUS U12 SC</t>
        </is>
      </c>
      <c r="FK3772" s="18" t="n">
        <v>2022</v>
      </c>
      <c r="FL3772" s="18" t="inlineStr">
        <is>
          <t>B</t>
        </is>
      </c>
      <c r="FM3772" s="18" t="inlineStr">
        <is>
          <t>Santa Rosa</t>
        </is>
      </c>
      <c r="FP3772" t="inlineStr">
        <is>
          <t>B</t>
        </is>
      </c>
    </row>
    <row r="3773">
      <c r="FC3773" t="inlineStr">
        <is>
          <t>Diccionario 4</t>
        </is>
      </c>
      <c r="FD3773" s="15" t="inlineStr">
        <is>
          <t>SFWB-75|</t>
        </is>
      </c>
      <c r="FE3773" s="17" t="inlineStr">
        <is>
          <t>LVCB4L4D8MM003933</t>
        </is>
      </c>
      <c r="FF3773" s="18" t="inlineStr">
        <is>
          <t>M221110652</t>
        </is>
      </c>
      <c r="FG3773" s="18" t="inlineStr">
        <is>
          <t>FOTON</t>
        </is>
      </c>
      <c r="FH3773" s="18" t="inlineStr">
        <is>
          <t>EBUS U12 SC</t>
        </is>
      </c>
      <c r="FI3773" s="18" t="inlineStr">
        <is>
          <t>FOTON</t>
        </is>
      </c>
      <c r="FJ3773" s="18" t="inlineStr">
        <is>
          <t>EBUS U12 SC</t>
        </is>
      </c>
      <c r="FK3773" s="18" t="n">
        <v>2022</v>
      </c>
      <c r="FL3773" s="18" t="inlineStr">
        <is>
          <t>B</t>
        </is>
      </c>
      <c r="FM3773" s="18" t="inlineStr">
        <is>
          <t>Santa Rosa</t>
        </is>
      </c>
      <c r="FP3773" t="inlineStr">
        <is>
          <t>B</t>
        </is>
      </c>
    </row>
    <row r="3774">
      <c r="FC3774" t="inlineStr">
        <is>
          <t>Diccionario 4</t>
        </is>
      </c>
      <c r="FD3774" s="15" t="inlineStr">
        <is>
          <t>SFWB-76|</t>
        </is>
      </c>
      <c r="FE3774" s="17" t="inlineStr">
        <is>
          <t>LVCB4L4D3MM003936</t>
        </is>
      </c>
      <c r="FF3774" s="18" t="inlineStr">
        <is>
          <t>M221110487</t>
        </is>
      </c>
      <c r="FG3774" s="18" t="inlineStr">
        <is>
          <t>FOTON</t>
        </is>
      </c>
      <c r="FH3774" s="18" t="inlineStr">
        <is>
          <t>EBUS U12 SC</t>
        </is>
      </c>
      <c r="FI3774" s="18" t="inlineStr">
        <is>
          <t>FOTON</t>
        </is>
      </c>
      <c r="FJ3774" s="18" t="inlineStr">
        <is>
          <t>EBUS U12 SC</t>
        </is>
      </c>
      <c r="FK3774" s="18" t="n">
        <v>2022</v>
      </c>
      <c r="FL3774" s="18" t="inlineStr">
        <is>
          <t>B</t>
        </is>
      </c>
      <c r="FM3774" s="18" t="inlineStr">
        <is>
          <t>Santa Rosa</t>
        </is>
      </c>
      <c r="FP3774" t="inlineStr">
        <is>
          <t>B</t>
        </is>
      </c>
    </row>
    <row r="3775">
      <c r="FC3775" t="inlineStr">
        <is>
          <t>Diccionario 4</t>
        </is>
      </c>
      <c r="FD3775" s="15" t="inlineStr">
        <is>
          <t>SFWB-77|</t>
        </is>
      </c>
      <c r="FE3775" s="17" t="inlineStr">
        <is>
          <t>LVCB4L4D5MM003937</t>
        </is>
      </c>
      <c r="FF3775" s="18" t="inlineStr">
        <is>
          <t>M221120003</t>
        </is>
      </c>
      <c r="FG3775" s="18" t="inlineStr">
        <is>
          <t>FOTON</t>
        </is>
      </c>
      <c r="FH3775" s="18" t="inlineStr">
        <is>
          <t>EBUS U12 SC</t>
        </is>
      </c>
      <c r="FI3775" s="18" t="inlineStr">
        <is>
          <t>FOTON</t>
        </is>
      </c>
      <c r="FJ3775" s="18" t="inlineStr">
        <is>
          <t>EBUS U12 SC</t>
        </is>
      </c>
      <c r="FK3775" s="18" t="n">
        <v>2022</v>
      </c>
      <c r="FL3775" s="18" t="inlineStr">
        <is>
          <t>B</t>
        </is>
      </c>
      <c r="FM3775" s="18" t="inlineStr">
        <is>
          <t>Santa Rosa</t>
        </is>
      </c>
      <c r="FP3775" t="inlineStr">
        <is>
          <t>B</t>
        </is>
      </c>
    </row>
    <row r="3776">
      <c r="FC3776" t="inlineStr">
        <is>
          <t>Diccionario 4</t>
        </is>
      </c>
      <c r="FD3776" s="15" t="inlineStr">
        <is>
          <t>SFWB-82|</t>
        </is>
      </c>
      <c r="FE3776" s="17" t="inlineStr">
        <is>
          <t>LVCB4L4D7MM003938</t>
        </is>
      </c>
      <c r="FF3776" s="18" t="inlineStr">
        <is>
          <t>M221100406</t>
        </is>
      </c>
      <c r="FG3776" s="18" t="inlineStr">
        <is>
          <t>FOTON</t>
        </is>
      </c>
      <c r="FH3776" s="18" t="inlineStr">
        <is>
          <t>EBUS U12 SC</t>
        </is>
      </c>
      <c r="FI3776" s="18" t="inlineStr">
        <is>
          <t>FOTON</t>
        </is>
      </c>
      <c r="FJ3776" s="18" t="inlineStr">
        <is>
          <t>EBUS U12 SC</t>
        </is>
      </c>
      <c r="FK3776" s="18" t="n">
        <v>2022</v>
      </c>
      <c r="FL3776" s="18" t="inlineStr">
        <is>
          <t>B</t>
        </is>
      </c>
      <c r="FM3776" s="18" t="inlineStr">
        <is>
          <t>Santa Rosa</t>
        </is>
      </c>
      <c r="FP3776" t="inlineStr">
        <is>
          <t>B</t>
        </is>
      </c>
    </row>
    <row r="3777">
      <c r="FC3777" t="inlineStr">
        <is>
          <t>Diccionario 4</t>
        </is>
      </c>
      <c r="FD3777" s="15" t="inlineStr">
        <is>
          <t>SFWB-84|</t>
        </is>
      </c>
      <c r="FE3777" s="17" t="inlineStr">
        <is>
          <t>LVCB4L4D9MM003939</t>
        </is>
      </c>
      <c r="FF3777" s="18" t="inlineStr">
        <is>
          <t>M221100435</t>
        </is>
      </c>
      <c r="FG3777" s="18" t="inlineStr">
        <is>
          <t>FOTON</t>
        </is>
      </c>
      <c r="FH3777" s="18" t="inlineStr">
        <is>
          <t>EBUS U12 SC</t>
        </is>
      </c>
      <c r="FI3777" s="18" t="inlineStr">
        <is>
          <t>FOTON</t>
        </is>
      </c>
      <c r="FJ3777" s="18" t="inlineStr">
        <is>
          <t>EBUS U12 SC</t>
        </is>
      </c>
      <c r="FK3777" s="18" t="n">
        <v>2022</v>
      </c>
      <c r="FL3777" s="18" t="inlineStr">
        <is>
          <t>B</t>
        </is>
      </c>
      <c r="FM3777" s="18" t="inlineStr">
        <is>
          <t>Recoleta</t>
        </is>
      </c>
      <c r="FP3777" t="inlineStr">
        <is>
          <t>B</t>
        </is>
      </c>
    </row>
    <row r="3778">
      <c r="FC3778" t="inlineStr">
        <is>
          <t>Diccionario 4</t>
        </is>
      </c>
      <c r="FD3778" s="15" t="inlineStr">
        <is>
          <t>SFWB-85|</t>
        </is>
      </c>
      <c r="FE3778" s="17" t="inlineStr">
        <is>
          <t>LVCB4L4D5MM003940</t>
        </is>
      </c>
      <c r="FF3778" s="18" t="inlineStr">
        <is>
          <t>M221100409</t>
        </is>
      </c>
      <c r="FG3778" s="18" t="inlineStr">
        <is>
          <t>FOTON</t>
        </is>
      </c>
      <c r="FH3778" s="18" t="inlineStr">
        <is>
          <t>EBUS U12 SC</t>
        </is>
      </c>
      <c r="FI3778" s="18" t="inlineStr">
        <is>
          <t>FOTON</t>
        </is>
      </c>
      <c r="FJ3778" s="18" t="inlineStr">
        <is>
          <t>EBUS U12 SC</t>
        </is>
      </c>
      <c r="FK3778" s="18" t="n">
        <v>2022</v>
      </c>
      <c r="FL3778" s="18" t="inlineStr">
        <is>
          <t>B</t>
        </is>
      </c>
      <c r="FM3778" s="18" t="inlineStr">
        <is>
          <t>Santa Rosa</t>
        </is>
      </c>
      <c r="FP3778" t="inlineStr">
        <is>
          <t>B</t>
        </is>
      </c>
    </row>
    <row r="3779">
      <c r="FC3779" t="inlineStr">
        <is>
          <t>Diccionario 4</t>
        </is>
      </c>
      <c r="FD3779" s="15" t="inlineStr">
        <is>
          <t>SFWB-87|</t>
        </is>
      </c>
      <c r="FE3779" s="17" t="inlineStr">
        <is>
          <t>LVCB4L4D7MM003941</t>
        </is>
      </c>
      <c r="FF3779" s="18" t="inlineStr">
        <is>
          <t>M221110529</t>
        </is>
      </c>
      <c r="FG3779" s="18" t="inlineStr">
        <is>
          <t>FOTON</t>
        </is>
      </c>
      <c r="FH3779" s="18" t="inlineStr">
        <is>
          <t>EBUS U12 SC</t>
        </is>
      </c>
      <c r="FI3779" s="18" t="inlineStr">
        <is>
          <t>FOTON</t>
        </is>
      </c>
      <c r="FJ3779" s="18" t="inlineStr">
        <is>
          <t>EBUS U12 SC</t>
        </is>
      </c>
      <c r="FK3779" s="18" t="n">
        <v>2022</v>
      </c>
      <c r="FL3779" s="18" t="inlineStr">
        <is>
          <t>B</t>
        </is>
      </c>
      <c r="FM3779" s="18" t="inlineStr">
        <is>
          <t>Santa Rosa</t>
        </is>
      </c>
      <c r="FP3779" t="inlineStr">
        <is>
          <t>B</t>
        </is>
      </c>
    </row>
    <row r="3780">
      <c r="FC3780" t="inlineStr">
        <is>
          <t>Diccionario 4</t>
        </is>
      </c>
      <c r="FD3780" s="15" t="inlineStr">
        <is>
          <t>SFWB-89|</t>
        </is>
      </c>
      <c r="FE3780" s="17" t="inlineStr">
        <is>
          <t>LVCB4L4D0MM003943</t>
        </is>
      </c>
      <c r="FF3780" s="18" t="inlineStr">
        <is>
          <t>M221100548</t>
        </is>
      </c>
      <c r="FG3780" s="18" t="inlineStr">
        <is>
          <t>FOTON</t>
        </is>
      </c>
      <c r="FH3780" s="18" t="inlineStr">
        <is>
          <t>EBUS U12 SC</t>
        </is>
      </c>
      <c r="FI3780" s="18" t="inlineStr">
        <is>
          <t>FOTON</t>
        </is>
      </c>
      <c r="FJ3780" s="18" t="inlineStr">
        <is>
          <t>EBUS U12 SC</t>
        </is>
      </c>
      <c r="FK3780" s="18" t="n">
        <v>2022</v>
      </c>
      <c r="FL3780" s="18" t="inlineStr">
        <is>
          <t>B</t>
        </is>
      </c>
      <c r="FM3780" s="18" t="inlineStr">
        <is>
          <t>Recoleta</t>
        </is>
      </c>
      <c r="FP3780" t="inlineStr">
        <is>
          <t>B</t>
        </is>
      </c>
    </row>
    <row r="3781">
      <c r="FC3781" t="inlineStr">
        <is>
          <t>Diccionario 4</t>
        </is>
      </c>
      <c r="FD3781" s="15" t="inlineStr">
        <is>
          <t>SFWB-90|</t>
        </is>
      </c>
      <c r="FE3781" s="17" t="inlineStr">
        <is>
          <t>LVCB4L4D8MM003947</t>
        </is>
      </c>
      <c r="FF3781" s="18" t="inlineStr">
        <is>
          <t>M221110648</t>
        </is>
      </c>
      <c r="FG3781" s="18" t="inlineStr">
        <is>
          <t>FOTON</t>
        </is>
      </c>
      <c r="FH3781" s="18" t="inlineStr">
        <is>
          <t>EBUS U12 SC</t>
        </is>
      </c>
      <c r="FI3781" s="18" t="inlineStr">
        <is>
          <t>FOTON</t>
        </is>
      </c>
      <c r="FJ3781" s="18" t="inlineStr">
        <is>
          <t>EBUS U12 SC</t>
        </is>
      </c>
      <c r="FK3781" s="18" t="n">
        <v>2022</v>
      </c>
      <c r="FL3781" s="18" t="inlineStr">
        <is>
          <t>B</t>
        </is>
      </c>
      <c r="FM3781" s="18" t="inlineStr">
        <is>
          <t>Santa Rosa</t>
        </is>
      </c>
      <c r="FP3781" t="inlineStr">
        <is>
          <t>B</t>
        </is>
      </c>
    </row>
    <row r="3782">
      <c r="FC3782" t="inlineStr">
        <is>
          <t>Diccionario 4</t>
        </is>
      </c>
      <c r="FD3782" s="15" t="inlineStr">
        <is>
          <t>SFWB-95|</t>
        </is>
      </c>
      <c r="FE3782" s="17" t="inlineStr">
        <is>
          <t>LVCB4L4D8MM003950</t>
        </is>
      </c>
      <c r="FF3782" s="18" t="inlineStr">
        <is>
          <t>M221100399</t>
        </is>
      </c>
      <c r="FG3782" s="18" t="inlineStr">
        <is>
          <t>FOTON</t>
        </is>
      </c>
      <c r="FH3782" s="18" t="inlineStr">
        <is>
          <t>EBUS U12 SC</t>
        </is>
      </c>
      <c r="FI3782" s="18" t="inlineStr">
        <is>
          <t>FOTON</t>
        </is>
      </c>
      <c r="FJ3782" s="18" t="inlineStr">
        <is>
          <t>EBUS U12 SC</t>
        </is>
      </c>
      <c r="FK3782" s="18" t="n">
        <v>2022</v>
      </c>
      <c r="FL3782" s="18" t="inlineStr">
        <is>
          <t>B</t>
        </is>
      </c>
      <c r="FM3782" s="18" t="inlineStr">
        <is>
          <t>Santa Rosa</t>
        </is>
      </c>
      <c r="FP3782" t="inlineStr">
        <is>
          <t>B</t>
        </is>
      </c>
    </row>
    <row r="3783">
      <c r="FC3783" t="inlineStr">
        <is>
          <t>Diccionario 4</t>
        </is>
      </c>
      <c r="FD3783" s="15" t="inlineStr">
        <is>
          <t>SFWB-96|</t>
        </is>
      </c>
      <c r="FE3783" s="17" t="inlineStr">
        <is>
          <t>LVCB4L4DXMM003951</t>
        </is>
      </c>
      <c r="FF3783" s="18" t="inlineStr">
        <is>
          <t>M221110650</t>
        </is>
      </c>
      <c r="FG3783" s="18" t="inlineStr">
        <is>
          <t>FOTON</t>
        </is>
      </c>
      <c r="FH3783" s="18" t="inlineStr">
        <is>
          <t>EBUS U12 SC</t>
        </is>
      </c>
      <c r="FI3783" s="18" t="inlineStr">
        <is>
          <t>FOTON</t>
        </is>
      </c>
      <c r="FJ3783" s="18" t="inlineStr">
        <is>
          <t>EBUS U12 SC</t>
        </is>
      </c>
      <c r="FK3783" s="18" t="n">
        <v>2022</v>
      </c>
      <c r="FL3783" s="18" t="inlineStr">
        <is>
          <t>B</t>
        </is>
      </c>
      <c r="FM3783" s="18" t="inlineStr">
        <is>
          <t>Santa Rosa</t>
        </is>
      </c>
      <c r="FP3783" t="inlineStr">
        <is>
          <t>B</t>
        </is>
      </c>
    </row>
    <row r="3784">
      <c r="FC3784" t="inlineStr">
        <is>
          <t>Diccionario 4</t>
        </is>
      </c>
      <c r="FD3784" s="15" t="inlineStr">
        <is>
          <t>SFWB-98|</t>
        </is>
      </c>
      <c r="FE3784" s="17" t="inlineStr">
        <is>
          <t>LVCB4L4D1MM003952</t>
        </is>
      </c>
      <c r="FF3784" s="18" t="inlineStr">
        <is>
          <t>M221100302</t>
        </is>
      </c>
      <c r="FG3784" s="18" t="inlineStr">
        <is>
          <t>FOTON</t>
        </is>
      </c>
      <c r="FH3784" s="18" t="inlineStr">
        <is>
          <t>EBUS U12 SC</t>
        </is>
      </c>
      <c r="FI3784" s="18" t="inlineStr">
        <is>
          <t>FOTON</t>
        </is>
      </c>
      <c r="FJ3784" s="18" t="inlineStr">
        <is>
          <t>EBUS U12 SC</t>
        </is>
      </c>
      <c r="FK3784" s="18" t="n">
        <v>2022</v>
      </c>
      <c r="FL3784" s="18" t="inlineStr">
        <is>
          <t>B</t>
        </is>
      </c>
      <c r="FM3784" s="18" t="inlineStr">
        <is>
          <t>Santa Rosa</t>
        </is>
      </c>
      <c r="FP3784" t="inlineStr">
        <is>
          <t>B</t>
        </is>
      </c>
    </row>
    <row r="3785">
      <c r="FC3785" t="inlineStr">
        <is>
          <t>Diccionario 4</t>
        </is>
      </c>
      <c r="FD3785" s="15" t="inlineStr">
        <is>
          <t>SFWZ-10|</t>
        </is>
      </c>
      <c r="FE3785" s="17" t="inlineStr">
        <is>
          <t>LVCB4L4D3MM003953</t>
        </is>
      </c>
      <c r="FF3785" s="18" t="inlineStr">
        <is>
          <t>M221100373</t>
        </is>
      </c>
      <c r="FG3785" s="18" t="inlineStr">
        <is>
          <t>FOTON</t>
        </is>
      </c>
      <c r="FH3785" s="18" t="inlineStr">
        <is>
          <t>EBUS U12 SC</t>
        </is>
      </c>
      <c r="FI3785" s="18" t="inlineStr">
        <is>
          <t>FOTON</t>
        </is>
      </c>
      <c r="FJ3785" s="18" t="inlineStr">
        <is>
          <t>EBUS U12 SC</t>
        </is>
      </c>
      <c r="FK3785" s="18" t="n">
        <v>2022</v>
      </c>
      <c r="FL3785" s="18" t="inlineStr">
        <is>
          <t>B</t>
        </is>
      </c>
      <c r="FM3785" s="18" t="inlineStr">
        <is>
          <t>Santa Rosa</t>
        </is>
      </c>
      <c r="FP3785" t="inlineStr">
        <is>
          <t>B</t>
        </is>
      </c>
    </row>
    <row r="3786">
      <c r="FC3786" t="inlineStr">
        <is>
          <t>Diccionario 4</t>
        </is>
      </c>
      <c r="FD3786" s="15" t="inlineStr">
        <is>
          <t>SFWZ-13|</t>
        </is>
      </c>
      <c r="FE3786" s="17" t="inlineStr">
        <is>
          <t>LVCB4L4D7MM003955</t>
        </is>
      </c>
      <c r="FF3786" s="18" t="inlineStr">
        <is>
          <t>M221100404</t>
        </is>
      </c>
      <c r="FG3786" s="18" t="inlineStr">
        <is>
          <t>FOTON</t>
        </is>
      </c>
      <c r="FH3786" s="18" t="inlineStr">
        <is>
          <t>EBUS U12 SC</t>
        </is>
      </c>
      <c r="FI3786" s="18" t="inlineStr">
        <is>
          <t>FOTON</t>
        </is>
      </c>
      <c r="FJ3786" s="18" t="inlineStr">
        <is>
          <t>EBUS U12 SC</t>
        </is>
      </c>
      <c r="FK3786" s="18" t="n">
        <v>2022</v>
      </c>
      <c r="FL3786" s="18" t="inlineStr">
        <is>
          <t>B</t>
        </is>
      </c>
      <c r="FM3786" s="18" t="inlineStr">
        <is>
          <t>Santa Rosa</t>
        </is>
      </c>
      <c r="FP3786" t="inlineStr">
        <is>
          <t>B</t>
        </is>
      </c>
    </row>
    <row r="3787">
      <c r="FC3787" t="inlineStr">
        <is>
          <t>Diccionario 4</t>
        </is>
      </c>
      <c r="FD3787" s="15" t="inlineStr">
        <is>
          <t>SFWZ-14|</t>
        </is>
      </c>
      <c r="FE3787" s="17" t="inlineStr">
        <is>
          <t>LVCB4L4D2MM003958</t>
        </is>
      </c>
      <c r="FF3787" s="18" t="inlineStr">
        <is>
          <t>M221100512</t>
        </is>
      </c>
      <c r="FG3787" s="18" t="inlineStr">
        <is>
          <t>FOTON</t>
        </is>
      </c>
      <c r="FH3787" s="18" t="inlineStr">
        <is>
          <t>EBUS U12 SC</t>
        </is>
      </c>
      <c r="FI3787" s="18" t="inlineStr">
        <is>
          <t>FOTON</t>
        </is>
      </c>
      <c r="FJ3787" s="18" t="inlineStr">
        <is>
          <t>EBUS U12 SC</t>
        </is>
      </c>
      <c r="FK3787" s="18" t="n">
        <v>2022</v>
      </c>
      <c r="FL3787" s="18" t="inlineStr">
        <is>
          <t>B</t>
        </is>
      </c>
      <c r="FM3787" s="18" t="inlineStr">
        <is>
          <t>Santa Rosa</t>
        </is>
      </c>
      <c r="FP3787" t="inlineStr">
        <is>
          <t>B</t>
        </is>
      </c>
    </row>
    <row r="3788">
      <c r="FC3788" t="inlineStr">
        <is>
          <t>Diccionario 4</t>
        </is>
      </c>
      <c r="FD3788" s="15" t="inlineStr">
        <is>
          <t>SFWZ-16|</t>
        </is>
      </c>
      <c r="FE3788" s="17" t="inlineStr">
        <is>
          <t>LVCB4L4D0MM003960</t>
        </is>
      </c>
      <c r="FF3788" s="18" t="inlineStr">
        <is>
          <t>M221110581</t>
        </is>
      </c>
      <c r="FG3788" s="18" t="inlineStr">
        <is>
          <t>FOTON</t>
        </is>
      </c>
      <c r="FH3788" s="18" t="inlineStr">
        <is>
          <t>EBUS U12 SC</t>
        </is>
      </c>
      <c r="FI3788" s="18" t="inlineStr">
        <is>
          <t>FOTON</t>
        </is>
      </c>
      <c r="FJ3788" s="18" t="inlineStr">
        <is>
          <t>EBUS U12 SC</t>
        </is>
      </c>
      <c r="FK3788" s="18" t="n">
        <v>2022</v>
      </c>
      <c r="FL3788" s="18" t="inlineStr">
        <is>
          <t>B</t>
        </is>
      </c>
      <c r="FM3788" s="18" t="inlineStr">
        <is>
          <t>Recoleta</t>
        </is>
      </c>
      <c r="FP3788" t="inlineStr">
        <is>
          <t>B</t>
        </is>
      </c>
    </row>
    <row r="3789">
      <c r="FC3789" t="inlineStr">
        <is>
          <t>Diccionario 4</t>
        </is>
      </c>
      <c r="FD3789" s="15" t="inlineStr">
        <is>
          <t>SFWZ-17|</t>
        </is>
      </c>
      <c r="FE3789" s="17" t="inlineStr">
        <is>
          <t>LVCB4L4D2MM003961</t>
        </is>
      </c>
      <c r="FF3789" s="18" t="inlineStr">
        <is>
          <t>M221100478</t>
        </is>
      </c>
      <c r="FG3789" s="18" t="inlineStr">
        <is>
          <t>FOTON</t>
        </is>
      </c>
      <c r="FH3789" s="18" t="inlineStr">
        <is>
          <t>EBUS U12 SC</t>
        </is>
      </c>
      <c r="FI3789" s="18" t="inlineStr">
        <is>
          <t>FOTON</t>
        </is>
      </c>
      <c r="FJ3789" s="18" t="inlineStr">
        <is>
          <t>EBUS U12 SC</t>
        </is>
      </c>
      <c r="FK3789" s="18" t="n">
        <v>2022</v>
      </c>
      <c r="FL3789" s="18" t="inlineStr">
        <is>
          <t>B</t>
        </is>
      </c>
      <c r="FM3789" s="18" t="inlineStr">
        <is>
          <t>Recoleta</t>
        </is>
      </c>
      <c r="FP3789" t="inlineStr">
        <is>
          <t>B</t>
        </is>
      </c>
    </row>
    <row r="3790">
      <c r="FC3790" t="inlineStr">
        <is>
          <t>Diccionario 4</t>
        </is>
      </c>
      <c r="FD3790" s="15" t="inlineStr">
        <is>
          <t>SFWZ-18|</t>
        </is>
      </c>
      <c r="FE3790" s="17" t="inlineStr">
        <is>
          <t>LVCB4L4D4MM003962</t>
        </is>
      </c>
      <c r="FF3790" s="18" t="inlineStr">
        <is>
          <t>M221100440</t>
        </is>
      </c>
      <c r="FG3790" s="18" t="inlineStr">
        <is>
          <t>FOTON</t>
        </is>
      </c>
      <c r="FH3790" s="18" t="inlineStr">
        <is>
          <t>EBUS U12 SC</t>
        </is>
      </c>
      <c r="FI3790" s="18" t="inlineStr">
        <is>
          <t>FOTON</t>
        </is>
      </c>
      <c r="FJ3790" s="18" t="inlineStr">
        <is>
          <t>EBUS U12 SC</t>
        </is>
      </c>
      <c r="FK3790" s="18" t="n">
        <v>2022</v>
      </c>
      <c r="FL3790" s="18" t="inlineStr">
        <is>
          <t>B</t>
        </is>
      </c>
      <c r="FM3790" s="18" t="inlineStr">
        <is>
          <t>Santa Rosa</t>
        </is>
      </c>
      <c r="FP3790" t="inlineStr">
        <is>
          <t>B</t>
        </is>
      </c>
    </row>
    <row r="3791">
      <c r="FC3791" t="inlineStr">
        <is>
          <t>Diccionario 4</t>
        </is>
      </c>
      <c r="FD3791" s="15" t="inlineStr">
        <is>
          <t>SFWZ-20|</t>
        </is>
      </c>
      <c r="FE3791" s="17" t="inlineStr">
        <is>
          <t>LVCB4L4D3MM003967</t>
        </is>
      </c>
      <c r="FF3791" s="18" t="inlineStr">
        <is>
          <t>M221110579</t>
        </is>
      </c>
      <c r="FG3791" s="18" t="inlineStr">
        <is>
          <t>FOTON</t>
        </is>
      </c>
      <c r="FH3791" s="18" t="inlineStr">
        <is>
          <t>EBUS U12 SC</t>
        </is>
      </c>
      <c r="FI3791" s="18" t="inlineStr">
        <is>
          <t>FOTON</t>
        </is>
      </c>
      <c r="FJ3791" s="18" t="inlineStr">
        <is>
          <t>EBUS U12 SC</t>
        </is>
      </c>
      <c r="FK3791" s="18" t="n">
        <v>2022</v>
      </c>
      <c r="FL3791" s="18" t="inlineStr">
        <is>
          <t>B</t>
        </is>
      </c>
      <c r="FM3791" s="18" t="inlineStr">
        <is>
          <t>Santa Rosa</t>
        </is>
      </c>
      <c r="FP3791" t="inlineStr">
        <is>
          <t>B</t>
        </is>
      </c>
    </row>
    <row r="3792">
      <c r="FC3792" t="inlineStr">
        <is>
          <t>Diccionario 4</t>
        </is>
      </c>
      <c r="FD3792" s="15" t="inlineStr">
        <is>
          <t>SFWZ-21|</t>
        </is>
      </c>
      <c r="FE3792" s="17" t="inlineStr">
        <is>
          <t>LVCB4L4D5MM003968</t>
        </is>
      </c>
      <c r="FF3792" s="18" t="inlineStr">
        <is>
          <t>M221110110</t>
        </is>
      </c>
      <c r="FG3792" s="18" t="inlineStr">
        <is>
          <t>FOTON</t>
        </is>
      </c>
      <c r="FH3792" s="18" t="inlineStr">
        <is>
          <t>EBUS U12 SC</t>
        </is>
      </c>
      <c r="FI3792" s="18" t="inlineStr">
        <is>
          <t>FOTON</t>
        </is>
      </c>
      <c r="FJ3792" s="18" t="inlineStr">
        <is>
          <t>EBUS U12 SC</t>
        </is>
      </c>
      <c r="FK3792" s="18" t="n">
        <v>2022</v>
      </c>
      <c r="FL3792" s="18" t="inlineStr">
        <is>
          <t>B</t>
        </is>
      </c>
      <c r="FM3792" s="18" t="inlineStr">
        <is>
          <t>Santa Rosa</t>
        </is>
      </c>
      <c r="FP3792" t="inlineStr">
        <is>
          <t>B</t>
        </is>
      </c>
    </row>
    <row r="3793">
      <c r="FC3793" t="inlineStr">
        <is>
          <t>Diccionario 4</t>
        </is>
      </c>
      <c r="FD3793" s="15" t="inlineStr">
        <is>
          <t>SFWZ-23|</t>
        </is>
      </c>
      <c r="FE3793" s="17" t="inlineStr">
        <is>
          <t>LVCB4L4D7MM003969</t>
        </is>
      </c>
      <c r="FF3793" s="18" t="inlineStr">
        <is>
          <t>M221100513</t>
        </is>
      </c>
      <c r="FG3793" s="18" t="inlineStr">
        <is>
          <t>FOTON</t>
        </is>
      </c>
      <c r="FH3793" s="18" t="inlineStr">
        <is>
          <t>EBUS U12 SC</t>
        </is>
      </c>
      <c r="FI3793" s="18" t="inlineStr">
        <is>
          <t>FOTON</t>
        </is>
      </c>
      <c r="FJ3793" s="18" t="inlineStr">
        <is>
          <t>EBUS U12 SC</t>
        </is>
      </c>
      <c r="FK3793" s="18" t="n">
        <v>2022</v>
      </c>
      <c r="FL3793" s="18" t="inlineStr">
        <is>
          <t>B</t>
        </is>
      </c>
      <c r="FM3793" s="18" t="inlineStr">
        <is>
          <t>Santa Rosa</t>
        </is>
      </c>
      <c r="FP3793" t="inlineStr">
        <is>
          <t>B</t>
        </is>
      </c>
    </row>
    <row r="3794">
      <c r="FC3794" t="inlineStr">
        <is>
          <t>Diccionario 4</t>
        </is>
      </c>
      <c r="FD3794" s="15" t="inlineStr">
        <is>
          <t>SFWZ-25|</t>
        </is>
      </c>
      <c r="FE3794" s="17" t="inlineStr">
        <is>
          <t>LVCB4L4D3MM003970</t>
        </is>
      </c>
      <c r="FF3794" s="18" t="inlineStr">
        <is>
          <t>M221110654</t>
        </is>
      </c>
      <c r="FG3794" s="18" t="inlineStr">
        <is>
          <t>FOTON</t>
        </is>
      </c>
      <c r="FH3794" s="18" t="inlineStr">
        <is>
          <t>EBUS U12 SC</t>
        </is>
      </c>
      <c r="FI3794" s="18" t="inlineStr">
        <is>
          <t>FOTON</t>
        </is>
      </c>
      <c r="FJ3794" s="18" t="inlineStr">
        <is>
          <t>EBUS U12 SC</t>
        </is>
      </c>
      <c r="FK3794" s="18" t="n">
        <v>2022</v>
      </c>
      <c r="FL3794" s="18" t="inlineStr">
        <is>
          <t>B</t>
        </is>
      </c>
      <c r="FM3794" s="18" t="inlineStr">
        <is>
          <t>Santa Rosa</t>
        </is>
      </c>
      <c r="FP3794" t="inlineStr">
        <is>
          <t>B</t>
        </is>
      </c>
    </row>
    <row r="3795">
      <c r="FC3795" t="inlineStr">
        <is>
          <t>Diccionario 4</t>
        </is>
      </c>
      <c r="FD3795" s="15" t="inlineStr">
        <is>
          <t>SFWZ-26|</t>
        </is>
      </c>
      <c r="FE3795" s="17" t="inlineStr">
        <is>
          <t>LVCB4L4D5MM003971</t>
        </is>
      </c>
      <c r="FF3795" s="18" t="inlineStr">
        <is>
          <t>M221100476</t>
        </is>
      </c>
      <c r="FG3795" s="18" t="inlineStr">
        <is>
          <t>FOTON</t>
        </is>
      </c>
      <c r="FH3795" s="18" t="inlineStr">
        <is>
          <t>EBUS U12 SC</t>
        </is>
      </c>
      <c r="FI3795" s="18" t="inlineStr">
        <is>
          <t>FOTON</t>
        </is>
      </c>
      <c r="FJ3795" s="18" t="inlineStr">
        <is>
          <t>EBUS U12 SC</t>
        </is>
      </c>
      <c r="FK3795" s="18" t="n">
        <v>2022</v>
      </c>
      <c r="FL3795" s="18" t="inlineStr">
        <is>
          <t>B</t>
        </is>
      </c>
      <c r="FM3795" s="18" t="inlineStr">
        <is>
          <t>Santa Rosa</t>
        </is>
      </c>
      <c r="FP3795" t="inlineStr">
        <is>
          <t>B</t>
        </is>
      </c>
    </row>
    <row r="3796">
      <c r="FC3796" t="inlineStr">
        <is>
          <t>Diccionario 4</t>
        </is>
      </c>
      <c r="FD3796" s="15" t="inlineStr">
        <is>
          <t>SFWZ-27|</t>
        </is>
      </c>
      <c r="FE3796" s="17" t="inlineStr">
        <is>
          <t>LVCB4L4D9MM003973</t>
        </is>
      </c>
      <c r="FF3796" s="18" t="inlineStr">
        <is>
          <t>M221100410</t>
        </is>
      </c>
      <c r="FG3796" s="18" t="inlineStr">
        <is>
          <t>FOTON</t>
        </is>
      </c>
      <c r="FH3796" s="18" t="inlineStr">
        <is>
          <t>EBUS U12 SC</t>
        </is>
      </c>
      <c r="FI3796" s="18" t="inlineStr">
        <is>
          <t>FOTON</t>
        </is>
      </c>
      <c r="FJ3796" s="18" t="inlineStr">
        <is>
          <t>EBUS U12 SC</t>
        </is>
      </c>
      <c r="FK3796" s="18" t="n">
        <v>2022</v>
      </c>
      <c r="FL3796" s="18" t="inlineStr">
        <is>
          <t>B</t>
        </is>
      </c>
      <c r="FM3796" s="18" t="inlineStr">
        <is>
          <t>Recoleta</t>
        </is>
      </c>
      <c r="FP3796" t="inlineStr">
        <is>
          <t>B</t>
        </is>
      </c>
    </row>
    <row r="3797">
      <c r="FC3797" t="inlineStr">
        <is>
          <t>Diccionario 4</t>
        </is>
      </c>
      <c r="FD3797" s="15" t="inlineStr">
        <is>
          <t>SFWZ-29|</t>
        </is>
      </c>
      <c r="FE3797" s="17" t="inlineStr">
        <is>
          <t>LVCB4L4D4MM003976</t>
        </is>
      </c>
      <c r="FF3797" s="18" t="inlineStr">
        <is>
          <t>M221120001</t>
        </is>
      </c>
      <c r="FG3797" s="18" t="inlineStr">
        <is>
          <t>FOTON</t>
        </is>
      </c>
      <c r="FH3797" s="18" t="inlineStr">
        <is>
          <t>EBUS U12 SC</t>
        </is>
      </c>
      <c r="FI3797" s="18" t="inlineStr">
        <is>
          <t>FOTON</t>
        </is>
      </c>
      <c r="FJ3797" s="18" t="inlineStr">
        <is>
          <t>EBUS U12 SC</t>
        </is>
      </c>
      <c r="FK3797" s="18" t="n">
        <v>2022</v>
      </c>
      <c r="FL3797" s="18" t="inlineStr">
        <is>
          <t>B</t>
        </is>
      </c>
      <c r="FM3797" s="18" t="inlineStr">
        <is>
          <t>Recoleta</t>
        </is>
      </c>
      <c r="FP3797" t="inlineStr">
        <is>
          <t>B</t>
        </is>
      </c>
    </row>
    <row r="3798">
      <c r="FC3798" t="inlineStr">
        <is>
          <t>Diccionario 4</t>
        </is>
      </c>
      <c r="FD3798" s="15" t="inlineStr">
        <is>
          <t>SFWZ-31|</t>
        </is>
      </c>
      <c r="FE3798" s="17" t="inlineStr">
        <is>
          <t>LVCB4L4D6MM003977</t>
        </is>
      </c>
      <c r="FF3798" s="18" t="inlineStr">
        <is>
          <t>M221110536</t>
        </is>
      </c>
      <c r="FG3798" s="18" t="inlineStr">
        <is>
          <t>FOTON</t>
        </is>
      </c>
      <c r="FH3798" s="18" t="inlineStr">
        <is>
          <t>EBUS U12 SC</t>
        </is>
      </c>
      <c r="FI3798" s="18" t="inlineStr">
        <is>
          <t>FOTON</t>
        </is>
      </c>
      <c r="FJ3798" s="18" t="inlineStr">
        <is>
          <t>EBUS U12 SC</t>
        </is>
      </c>
      <c r="FK3798" s="18" t="n">
        <v>2022</v>
      </c>
      <c r="FL3798" s="18" t="inlineStr">
        <is>
          <t>B</t>
        </is>
      </c>
      <c r="FM3798" s="18" t="inlineStr">
        <is>
          <t>Recoleta</t>
        </is>
      </c>
      <c r="FP3798" t="inlineStr">
        <is>
          <t>B</t>
        </is>
      </c>
    </row>
    <row r="3799">
      <c r="FC3799" t="inlineStr">
        <is>
          <t>Diccionario 4</t>
        </is>
      </c>
      <c r="FD3799" s="15" t="inlineStr">
        <is>
          <t>SFWZ-32|</t>
        </is>
      </c>
      <c r="FE3799" s="17" t="inlineStr">
        <is>
          <t>LVCB4L4DXMM003979</t>
        </is>
      </c>
      <c r="FF3799" s="18" t="inlineStr">
        <is>
          <t>M221110535</t>
        </is>
      </c>
      <c r="FG3799" s="18" t="inlineStr">
        <is>
          <t>FOTON</t>
        </is>
      </c>
      <c r="FH3799" s="18" t="inlineStr">
        <is>
          <t>EBUS U12 SC</t>
        </is>
      </c>
      <c r="FI3799" s="18" t="inlineStr">
        <is>
          <t>FOTON</t>
        </is>
      </c>
      <c r="FJ3799" s="18" t="inlineStr">
        <is>
          <t>EBUS U12 SC</t>
        </is>
      </c>
      <c r="FK3799" s="18" t="n">
        <v>2022</v>
      </c>
      <c r="FL3799" s="18" t="inlineStr">
        <is>
          <t>B</t>
        </is>
      </c>
      <c r="FM3799" s="18" t="inlineStr">
        <is>
          <t>Santa Rosa</t>
        </is>
      </c>
      <c r="FP3799" t="inlineStr">
        <is>
          <t>B</t>
        </is>
      </c>
    </row>
    <row r="3800">
      <c r="FC3800" t="inlineStr">
        <is>
          <t>Diccionario 4</t>
        </is>
      </c>
      <c r="FD3800" s="15" t="inlineStr">
        <is>
          <t>SFWZ-33|</t>
        </is>
      </c>
      <c r="FE3800" s="17" t="inlineStr">
        <is>
          <t>LVCB4L4D8MM003981</t>
        </is>
      </c>
      <c r="FF3800" s="18" t="inlineStr">
        <is>
          <t>M221100514</t>
        </is>
      </c>
      <c r="FG3800" s="18" t="inlineStr">
        <is>
          <t>FOTON</t>
        </is>
      </c>
      <c r="FH3800" s="18" t="inlineStr">
        <is>
          <t>EBUS U12 SC</t>
        </is>
      </c>
      <c r="FI3800" s="18" t="inlineStr">
        <is>
          <t>FOTON</t>
        </is>
      </c>
      <c r="FJ3800" s="18" t="inlineStr">
        <is>
          <t>EBUS U12 SC</t>
        </is>
      </c>
      <c r="FK3800" s="18" t="n">
        <v>2022</v>
      </c>
      <c r="FL3800" s="18" t="inlineStr">
        <is>
          <t>B</t>
        </is>
      </c>
      <c r="FM3800" s="18" t="inlineStr">
        <is>
          <t>Recoleta</t>
        </is>
      </c>
      <c r="FP3800" t="inlineStr">
        <is>
          <t>B</t>
        </is>
      </c>
    </row>
    <row r="3801">
      <c r="FC3801" t="inlineStr">
        <is>
          <t>Diccionario 4</t>
        </is>
      </c>
      <c r="FD3801" s="15" t="inlineStr">
        <is>
          <t>SFWZ-34|</t>
        </is>
      </c>
      <c r="FE3801" s="17" t="inlineStr">
        <is>
          <t>LVCB4L4DXMM003982</t>
        </is>
      </c>
      <c r="FF3801" s="18" t="inlineStr">
        <is>
          <t>M221110115</t>
        </is>
      </c>
      <c r="FG3801" s="18" t="inlineStr">
        <is>
          <t>FOTON</t>
        </is>
      </c>
      <c r="FH3801" s="18" t="inlineStr">
        <is>
          <t>EBUS U12 SC</t>
        </is>
      </c>
      <c r="FI3801" s="18" t="inlineStr">
        <is>
          <t>FOTON</t>
        </is>
      </c>
      <c r="FJ3801" s="18" t="inlineStr">
        <is>
          <t>EBUS U12 SC</t>
        </is>
      </c>
      <c r="FK3801" s="18" t="n">
        <v>2022</v>
      </c>
      <c r="FL3801" s="18" t="inlineStr">
        <is>
          <t>B</t>
        </is>
      </c>
      <c r="FM3801" s="18" t="inlineStr">
        <is>
          <t>Santa Rosa</t>
        </is>
      </c>
      <c r="FP3801" t="inlineStr">
        <is>
          <t>B</t>
        </is>
      </c>
    </row>
    <row r="3802">
      <c r="FC3802" t="inlineStr">
        <is>
          <t>Diccionario 4</t>
        </is>
      </c>
      <c r="FD3802" s="15" t="inlineStr">
        <is>
          <t>SFWZ-36|</t>
        </is>
      </c>
      <c r="FE3802" s="17" t="inlineStr">
        <is>
          <t>LVCB4L4D5MM003985</t>
        </is>
      </c>
      <c r="FF3802" s="18" t="inlineStr">
        <is>
          <t>M221100525</t>
        </is>
      </c>
      <c r="FG3802" s="18" t="inlineStr">
        <is>
          <t>FOTON</t>
        </is>
      </c>
      <c r="FH3802" s="18" t="inlineStr">
        <is>
          <t>EBUS U12 SC</t>
        </is>
      </c>
      <c r="FI3802" s="18" t="inlineStr">
        <is>
          <t>FOTON</t>
        </is>
      </c>
      <c r="FJ3802" s="18" t="inlineStr">
        <is>
          <t>EBUS U12 SC</t>
        </is>
      </c>
      <c r="FK3802" s="18" t="n">
        <v>2022</v>
      </c>
      <c r="FL3802" s="18" t="inlineStr">
        <is>
          <t>B</t>
        </is>
      </c>
      <c r="FM3802" s="18" t="inlineStr">
        <is>
          <t>Santa Rosa</t>
        </is>
      </c>
      <c r="FP3802" t="inlineStr">
        <is>
          <t>B</t>
        </is>
      </c>
    </row>
    <row r="3803">
      <c r="FC3803" t="inlineStr">
        <is>
          <t>Diccionario 4</t>
        </is>
      </c>
      <c r="FD3803" s="15" t="inlineStr">
        <is>
          <t>SFWZ-37|</t>
        </is>
      </c>
      <c r="FE3803" s="17" t="inlineStr">
        <is>
          <t>LVCB4L4D8NM002640</t>
        </is>
      </c>
      <c r="FF3803" s="18" t="inlineStr">
        <is>
          <t>M221100490</t>
        </is>
      </c>
      <c r="FG3803" s="18" t="inlineStr">
        <is>
          <t>FOTON</t>
        </is>
      </c>
      <c r="FH3803" s="18" t="inlineStr">
        <is>
          <t>EBUS U12 SC</t>
        </is>
      </c>
      <c r="FI3803" s="18" t="inlineStr">
        <is>
          <t>FOTON</t>
        </is>
      </c>
      <c r="FJ3803" s="18" t="inlineStr">
        <is>
          <t>EBUS U12 SC</t>
        </is>
      </c>
      <c r="FK3803" s="18" t="n">
        <v>2022</v>
      </c>
      <c r="FL3803" s="18" t="inlineStr">
        <is>
          <t>B</t>
        </is>
      </c>
      <c r="FM3803" s="18" t="inlineStr">
        <is>
          <t>Recoleta</t>
        </is>
      </c>
      <c r="FP3803" t="inlineStr">
        <is>
          <t>B</t>
        </is>
      </c>
    </row>
    <row r="3804">
      <c r="FC3804" t="inlineStr">
        <is>
          <t>Diccionario 4</t>
        </is>
      </c>
      <c r="FD3804" s="15" t="inlineStr">
        <is>
          <t>SFWZ-38|</t>
        </is>
      </c>
      <c r="FE3804" s="17" t="inlineStr">
        <is>
          <t>LVCB4L4D7MM003986</t>
        </is>
      </c>
      <c r="FF3804" s="18" t="inlineStr">
        <is>
          <t>M221120002</t>
        </is>
      </c>
      <c r="FG3804" s="18" t="inlineStr">
        <is>
          <t>FOTON</t>
        </is>
      </c>
      <c r="FH3804" s="18" t="inlineStr">
        <is>
          <t>EBUS U12 SC</t>
        </is>
      </c>
      <c r="FI3804" s="18" t="inlineStr">
        <is>
          <t>FOTON</t>
        </is>
      </c>
      <c r="FJ3804" s="18" t="inlineStr">
        <is>
          <t>EBUS U12 SC</t>
        </is>
      </c>
      <c r="FK3804" s="18" t="n">
        <v>2022</v>
      </c>
      <c r="FL3804" s="18" t="inlineStr">
        <is>
          <t>B</t>
        </is>
      </c>
      <c r="FM3804" s="18" t="inlineStr">
        <is>
          <t>Santa Rosa</t>
        </is>
      </c>
      <c r="FP3804" t="inlineStr">
        <is>
          <t>B</t>
        </is>
      </c>
    </row>
    <row r="3805">
      <c r="FC3805" t="inlineStr">
        <is>
          <t>Diccionario 4</t>
        </is>
      </c>
      <c r="FD3805" s="15" t="inlineStr">
        <is>
          <t>SFWZ-39|</t>
        </is>
      </c>
      <c r="FE3805" s="17" t="inlineStr">
        <is>
          <t>LVCB4L4D9MM003987</t>
        </is>
      </c>
      <c r="FF3805" s="18" t="inlineStr">
        <is>
          <t>M221110655</t>
        </is>
      </c>
      <c r="FG3805" s="18" t="inlineStr">
        <is>
          <t>FOTON</t>
        </is>
      </c>
      <c r="FH3805" s="18" t="inlineStr">
        <is>
          <t>EBUS U12 SC</t>
        </is>
      </c>
      <c r="FI3805" s="18" t="inlineStr">
        <is>
          <t>FOTON</t>
        </is>
      </c>
      <c r="FJ3805" s="18" t="inlineStr">
        <is>
          <t>EBUS U12 SC</t>
        </is>
      </c>
      <c r="FK3805" s="18" t="n">
        <v>2022</v>
      </c>
      <c r="FL3805" s="18" t="inlineStr">
        <is>
          <t>B</t>
        </is>
      </c>
      <c r="FM3805" s="18" t="inlineStr">
        <is>
          <t>Recoleta</t>
        </is>
      </c>
      <c r="FP3805" t="inlineStr">
        <is>
          <t>B</t>
        </is>
      </c>
    </row>
    <row r="3806">
      <c r="FC3806" t="inlineStr">
        <is>
          <t>Diccionario 4</t>
        </is>
      </c>
      <c r="FD3806" s="15" t="inlineStr">
        <is>
          <t>SFWZ-40|</t>
        </is>
      </c>
      <c r="FE3806" s="17" t="inlineStr">
        <is>
          <t>LVCB4L4D7NM002631</t>
        </is>
      </c>
      <c r="FF3806" s="18" t="inlineStr">
        <is>
          <t>M221110657</t>
        </is>
      </c>
      <c r="FG3806" s="18" t="inlineStr">
        <is>
          <t>FOTON</t>
        </is>
      </c>
      <c r="FH3806" s="18" t="inlineStr">
        <is>
          <t>EBUS U12 SC</t>
        </is>
      </c>
      <c r="FI3806" s="18" t="inlineStr">
        <is>
          <t>FOTON</t>
        </is>
      </c>
      <c r="FJ3806" s="18" t="inlineStr">
        <is>
          <t>EBUS U12 SC</t>
        </is>
      </c>
      <c r="FK3806" s="18" t="n">
        <v>2022</v>
      </c>
      <c r="FL3806" s="18" t="inlineStr">
        <is>
          <t>B</t>
        </is>
      </c>
      <c r="FM3806" s="18" t="inlineStr">
        <is>
          <t>Santa Rosa</t>
        </is>
      </c>
      <c r="FP3806" t="inlineStr">
        <is>
          <t>B</t>
        </is>
      </c>
    </row>
    <row r="3807">
      <c r="FC3807" t="inlineStr">
        <is>
          <t>Diccionario 4</t>
        </is>
      </c>
      <c r="FD3807" s="15" t="inlineStr">
        <is>
          <t>SFWZ-42|</t>
        </is>
      </c>
      <c r="FE3807" s="17" t="inlineStr">
        <is>
          <t>LVCB4L4D9NM002632</t>
        </is>
      </c>
      <c r="FF3807" s="18" t="inlineStr">
        <is>
          <t>M221100550</t>
        </is>
      </c>
      <c r="FG3807" s="18" t="inlineStr">
        <is>
          <t>FOTON</t>
        </is>
      </c>
      <c r="FH3807" s="18" t="inlineStr">
        <is>
          <t>EBUS U12 SC</t>
        </is>
      </c>
      <c r="FI3807" s="18" t="inlineStr">
        <is>
          <t>FOTON</t>
        </is>
      </c>
      <c r="FJ3807" s="18" t="inlineStr">
        <is>
          <t>EBUS U12 SC</t>
        </is>
      </c>
      <c r="FK3807" s="18" t="n">
        <v>2022</v>
      </c>
      <c r="FL3807" s="18" t="inlineStr">
        <is>
          <t>B</t>
        </is>
      </c>
      <c r="FM3807" s="18" t="inlineStr">
        <is>
          <t>Recoleta</t>
        </is>
      </c>
      <c r="FP3807" t="inlineStr">
        <is>
          <t>B</t>
        </is>
      </c>
    </row>
    <row r="3808">
      <c r="FC3808" t="inlineStr">
        <is>
          <t>Diccionario 4</t>
        </is>
      </c>
      <c r="FD3808" s="15" t="inlineStr">
        <is>
          <t>SFWZ-45|</t>
        </is>
      </c>
      <c r="FE3808" s="17" t="inlineStr">
        <is>
          <t>LVCB4L4D0NM002633</t>
        </is>
      </c>
      <c r="FF3808" s="18" t="inlineStr">
        <is>
          <t>M221110538</t>
        </is>
      </c>
      <c r="FG3808" s="18" t="inlineStr">
        <is>
          <t>FOTON</t>
        </is>
      </c>
      <c r="FH3808" s="18" t="inlineStr">
        <is>
          <t>EBUS U12 SC</t>
        </is>
      </c>
      <c r="FI3808" s="18" t="inlineStr">
        <is>
          <t>FOTON</t>
        </is>
      </c>
      <c r="FJ3808" s="18" t="inlineStr">
        <is>
          <t>EBUS U12 SC</t>
        </is>
      </c>
      <c r="FK3808" s="18" t="n">
        <v>2022</v>
      </c>
      <c r="FL3808" s="18" t="inlineStr">
        <is>
          <t>B</t>
        </is>
      </c>
      <c r="FM3808" s="18" t="inlineStr">
        <is>
          <t>Santa Rosa</t>
        </is>
      </c>
      <c r="FP3808" t="inlineStr">
        <is>
          <t>B</t>
        </is>
      </c>
    </row>
    <row r="3809">
      <c r="FC3809" t="inlineStr">
        <is>
          <t>Diccionario 4</t>
        </is>
      </c>
      <c r="FD3809" s="15" t="inlineStr">
        <is>
          <t>SFWZ-48|</t>
        </is>
      </c>
      <c r="FE3809" s="17" t="inlineStr">
        <is>
          <t>LVCB4L4D4NM002635</t>
        </is>
      </c>
      <c r="FF3809" s="18" t="inlineStr">
        <is>
          <t>M221110653</t>
        </is>
      </c>
      <c r="FG3809" s="18" t="inlineStr">
        <is>
          <t>FOTON</t>
        </is>
      </c>
      <c r="FH3809" s="18" t="inlineStr">
        <is>
          <t>EBUS U12 SC</t>
        </is>
      </c>
      <c r="FI3809" s="18" t="inlineStr">
        <is>
          <t>FOTON</t>
        </is>
      </c>
      <c r="FJ3809" s="18" t="inlineStr">
        <is>
          <t>EBUS U12 SC</t>
        </is>
      </c>
      <c r="FK3809" s="18" t="n">
        <v>2022</v>
      </c>
      <c r="FL3809" s="18" t="inlineStr">
        <is>
          <t>B</t>
        </is>
      </c>
      <c r="FM3809" s="18" t="inlineStr">
        <is>
          <t>Recoleta</t>
        </is>
      </c>
      <c r="FP3809" t="inlineStr">
        <is>
          <t>B</t>
        </is>
      </c>
    </row>
    <row r="3810">
      <c r="FC3810" t="inlineStr">
        <is>
          <t>Diccionario 4</t>
        </is>
      </c>
      <c r="FD3810" s="15" t="inlineStr">
        <is>
          <t>SFWZ-49|</t>
        </is>
      </c>
      <c r="FE3810" s="17" t="inlineStr">
        <is>
          <t>LVCB4L4D6NM002636</t>
        </is>
      </c>
      <c r="FF3810" s="18" t="inlineStr">
        <is>
          <t>M221110109</t>
        </is>
      </c>
      <c r="FG3810" s="18" t="inlineStr">
        <is>
          <t>FOTON</t>
        </is>
      </c>
      <c r="FH3810" s="18" t="inlineStr">
        <is>
          <t>EBUS U12 SC</t>
        </is>
      </c>
      <c r="FI3810" s="18" t="inlineStr">
        <is>
          <t>FOTON</t>
        </is>
      </c>
      <c r="FJ3810" s="18" t="inlineStr">
        <is>
          <t>EBUS U12 SC</t>
        </is>
      </c>
      <c r="FK3810" s="18" t="n">
        <v>2022</v>
      </c>
      <c r="FL3810" s="18" t="inlineStr">
        <is>
          <t>B</t>
        </is>
      </c>
      <c r="FM3810" s="18" t="inlineStr">
        <is>
          <t>Recoleta</t>
        </is>
      </c>
      <c r="FP3810" t="inlineStr">
        <is>
          <t>B</t>
        </is>
      </c>
    </row>
    <row r="3811">
      <c r="FC3811" t="inlineStr">
        <is>
          <t>Diccionario 4</t>
        </is>
      </c>
      <c r="FD3811" s="15" t="inlineStr">
        <is>
          <t>SFWZ-50|</t>
        </is>
      </c>
      <c r="FE3811" s="17" t="inlineStr">
        <is>
          <t>LVCB4L4D8NM002637</t>
        </is>
      </c>
      <c r="FF3811" s="18" t="inlineStr">
        <is>
          <t>M221100545</t>
        </is>
      </c>
      <c r="FG3811" s="18" t="inlineStr">
        <is>
          <t>FOTON</t>
        </is>
      </c>
      <c r="FH3811" s="18" t="inlineStr">
        <is>
          <t>EBUS U12 SC</t>
        </is>
      </c>
      <c r="FI3811" s="18" t="inlineStr">
        <is>
          <t>FOTON</t>
        </is>
      </c>
      <c r="FJ3811" s="18" t="inlineStr">
        <is>
          <t>EBUS U12 SC</t>
        </is>
      </c>
      <c r="FK3811" s="18" t="n">
        <v>2022</v>
      </c>
      <c r="FL3811" s="18" t="inlineStr">
        <is>
          <t>B</t>
        </is>
      </c>
      <c r="FM3811" s="18" t="inlineStr">
        <is>
          <t>Recoleta</t>
        </is>
      </c>
      <c r="FP3811" t="inlineStr">
        <is>
          <t>B</t>
        </is>
      </c>
    </row>
    <row r="3812">
      <c r="FC3812" t="inlineStr">
        <is>
          <t>Diccionario 4</t>
        </is>
      </c>
      <c r="FD3812" s="15" t="inlineStr">
        <is>
          <t>SFWZ-52|</t>
        </is>
      </c>
      <c r="FE3812" s="17" t="inlineStr">
        <is>
          <t>LVCB4L4DXNM002638</t>
        </is>
      </c>
      <c r="FF3812" s="18" t="inlineStr">
        <is>
          <t>M221110095</t>
        </is>
      </c>
      <c r="FG3812" s="18" t="inlineStr">
        <is>
          <t>FOTON</t>
        </is>
      </c>
      <c r="FH3812" s="18" t="inlineStr">
        <is>
          <t>EBUS U12 SC</t>
        </is>
      </c>
      <c r="FI3812" s="18" t="inlineStr">
        <is>
          <t>FOTON</t>
        </is>
      </c>
      <c r="FJ3812" s="18" t="inlineStr">
        <is>
          <t>EBUS U12 SC</t>
        </is>
      </c>
      <c r="FK3812" s="18" t="n">
        <v>2022</v>
      </c>
      <c r="FL3812" s="18" t="inlineStr">
        <is>
          <t>B</t>
        </is>
      </c>
      <c r="FM3812" s="18" t="inlineStr">
        <is>
          <t>Recoleta</t>
        </is>
      </c>
      <c r="FP3812" t="inlineStr">
        <is>
          <t>B</t>
        </is>
      </c>
    </row>
    <row r="3813">
      <c r="FC3813" t="inlineStr">
        <is>
          <t>Diccionario 4</t>
        </is>
      </c>
      <c r="FD3813" s="15" t="inlineStr">
        <is>
          <t>SFWZ-53|</t>
        </is>
      </c>
      <c r="FE3813" s="17" t="inlineStr">
        <is>
          <t>LVCB4L4D1NM002639</t>
        </is>
      </c>
      <c r="FF3813" s="18" t="inlineStr">
        <is>
          <t>M221110580</t>
        </is>
      </c>
      <c r="FG3813" s="18" t="inlineStr">
        <is>
          <t>FOTON</t>
        </is>
      </c>
      <c r="FH3813" s="18" t="inlineStr">
        <is>
          <t>EBUS U12 SC</t>
        </is>
      </c>
      <c r="FI3813" s="18" t="inlineStr">
        <is>
          <t>FOTON</t>
        </is>
      </c>
      <c r="FJ3813" s="18" t="inlineStr">
        <is>
          <t>EBUS U12 SC</t>
        </is>
      </c>
      <c r="FK3813" s="18" t="n">
        <v>2022</v>
      </c>
      <c r="FL3813" s="18" t="inlineStr">
        <is>
          <t>B</t>
        </is>
      </c>
      <c r="FM3813" s="18" t="inlineStr">
        <is>
          <t>Recoleta</t>
        </is>
      </c>
      <c r="FP3813" t="inlineStr">
        <is>
          <t>B</t>
        </is>
      </c>
    </row>
    <row r="3814">
      <c r="FC3814" t="inlineStr">
        <is>
          <t>Diccionario 4</t>
        </is>
      </c>
      <c r="FD3814" s="15" t="inlineStr">
        <is>
          <t>SFWZ-54|</t>
        </is>
      </c>
      <c r="FE3814" s="17" t="inlineStr">
        <is>
          <t>LVCB4L4DXNM002641</t>
        </is>
      </c>
      <c r="FF3814" s="18" t="inlineStr">
        <is>
          <t>M221100298</t>
        </is>
      </c>
      <c r="FG3814" s="18" t="inlineStr">
        <is>
          <t>FOTON</t>
        </is>
      </c>
      <c r="FH3814" s="18" t="inlineStr">
        <is>
          <t>EBUS U12 SC</t>
        </is>
      </c>
      <c r="FI3814" s="18" t="inlineStr">
        <is>
          <t>FOTON</t>
        </is>
      </c>
      <c r="FJ3814" s="18" t="inlineStr">
        <is>
          <t>EBUS U12 SC</t>
        </is>
      </c>
      <c r="FK3814" s="18" t="n">
        <v>2022</v>
      </c>
      <c r="FL3814" s="18" t="inlineStr">
        <is>
          <t>B</t>
        </is>
      </c>
      <c r="FM3814" s="18" t="inlineStr">
        <is>
          <t>Recoleta</t>
        </is>
      </c>
      <c r="FP3814" t="inlineStr">
        <is>
          <t>B</t>
        </is>
      </c>
    </row>
    <row r="3815">
      <c r="FC3815" t="inlineStr">
        <is>
          <t>Diccionario 4</t>
        </is>
      </c>
      <c r="FD3815" s="15" t="inlineStr">
        <is>
          <t>SFWZ-55|</t>
        </is>
      </c>
      <c r="FE3815" s="17" t="inlineStr">
        <is>
          <t>LVCB4L4D1NM002642</t>
        </is>
      </c>
      <c r="FF3815" s="18" t="inlineStr">
        <is>
          <t>M221100436</t>
        </is>
      </c>
      <c r="FG3815" s="18" t="inlineStr">
        <is>
          <t>FOTON</t>
        </is>
      </c>
      <c r="FH3815" s="18" t="inlineStr">
        <is>
          <t>EBUS U12 SC</t>
        </is>
      </c>
      <c r="FI3815" s="18" t="inlineStr">
        <is>
          <t>FOTON</t>
        </is>
      </c>
      <c r="FJ3815" s="18" t="inlineStr">
        <is>
          <t>EBUS U12 SC</t>
        </is>
      </c>
      <c r="FK3815" s="18" t="n">
        <v>2022</v>
      </c>
      <c r="FL3815" s="18" t="inlineStr">
        <is>
          <t>B</t>
        </is>
      </c>
      <c r="FM3815" s="18" t="inlineStr">
        <is>
          <t>Recoleta</t>
        </is>
      </c>
      <c r="FP3815" t="inlineStr">
        <is>
          <t>B</t>
        </is>
      </c>
    </row>
    <row r="3816">
      <c r="FC3816" t="inlineStr">
        <is>
          <t>Diccionario 4</t>
        </is>
      </c>
      <c r="FD3816" s="15" t="inlineStr">
        <is>
          <t>SFWZ-56|</t>
        </is>
      </c>
      <c r="FE3816" s="17" t="inlineStr">
        <is>
          <t>LVCB4L4D3NM002643</t>
        </is>
      </c>
      <c r="FF3816" s="18" t="inlineStr">
        <is>
          <t>M221100488</t>
        </is>
      </c>
      <c r="FG3816" s="18" t="inlineStr">
        <is>
          <t>FOTON</t>
        </is>
      </c>
      <c r="FH3816" s="18" t="inlineStr">
        <is>
          <t>EBUS U12 SC</t>
        </is>
      </c>
      <c r="FI3816" s="18" t="inlineStr">
        <is>
          <t>FOTON</t>
        </is>
      </c>
      <c r="FJ3816" s="18" t="inlineStr">
        <is>
          <t>EBUS U12 SC</t>
        </is>
      </c>
      <c r="FK3816" s="18" t="n">
        <v>2022</v>
      </c>
      <c r="FL3816" s="18" t="inlineStr">
        <is>
          <t>B</t>
        </is>
      </c>
      <c r="FM3816" s="18" t="inlineStr">
        <is>
          <t>Recoleta</t>
        </is>
      </c>
      <c r="FP3816" t="inlineStr">
        <is>
          <t>B</t>
        </is>
      </c>
    </row>
    <row r="3817">
      <c r="FC3817" t="inlineStr">
        <is>
          <t>Diccionario 4</t>
        </is>
      </c>
      <c r="FD3817" s="15" t="inlineStr">
        <is>
          <t>SFWZ-58|</t>
        </is>
      </c>
      <c r="FE3817" s="17" t="inlineStr">
        <is>
          <t>LVCB4L4D7NM002645</t>
        </is>
      </c>
      <c r="FF3817" s="18" t="inlineStr">
        <is>
          <t>M221100401</t>
        </is>
      </c>
      <c r="FG3817" s="18" t="inlineStr">
        <is>
          <t>FOTON</t>
        </is>
      </c>
      <c r="FH3817" s="18" t="inlineStr">
        <is>
          <t>EBUS U12 SC</t>
        </is>
      </c>
      <c r="FI3817" s="18" t="inlineStr">
        <is>
          <t>FOTON</t>
        </is>
      </c>
      <c r="FJ3817" s="18" t="inlineStr">
        <is>
          <t>EBUS U12 SC</t>
        </is>
      </c>
      <c r="FK3817" s="18" t="n">
        <v>2022</v>
      </c>
      <c r="FL3817" s="18" t="inlineStr">
        <is>
          <t>B</t>
        </is>
      </c>
      <c r="FM3817" s="18" t="inlineStr">
        <is>
          <t>Santa Rosa</t>
        </is>
      </c>
      <c r="FP3817" t="inlineStr">
        <is>
          <t>B</t>
        </is>
      </c>
    </row>
    <row r="3818">
      <c r="FC3818" t="inlineStr">
        <is>
          <t>Diccionario 4</t>
        </is>
      </c>
      <c r="FD3818" s="15" t="inlineStr">
        <is>
          <t>SFWZ-59|</t>
        </is>
      </c>
      <c r="FE3818" s="17" t="inlineStr">
        <is>
          <t>LVCB4L4D9NM002646</t>
        </is>
      </c>
      <c r="FF3818" s="18" t="inlineStr">
        <is>
          <t>M221110103</t>
        </is>
      </c>
      <c r="FG3818" s="18" t="inlineStr">
        <is>
          <t>FOTON</t>
        </is>
      </c>
      <c r="FH3818" s="18" t="inlineStr">
        <is>
          <t>EBUS U12 SC</t>
        </is>
      </c>
      <c r="FI3818" s="18" t="inlineStr">
        <is>
          <t>FOTON</t>
        </is>
      </c>
      <c r="FJ3818" s="18" t="inlineStr">
        <is>
          <t>EBUS U12 SC</t>
        </is>
      </c>
      <c r="FK3818" s="18" t="n">
        <v>2022</v>
      </c>
      <c r="FL3818" s="18" t="inlineStr">
        <is>
          <t>B</t>
        </is>
      </c>
      <c r="FM3818" s="18" t="inlineStr">
        <is>
          <t>Recoleta</t>
        </is>
      </c>
      <c r="FP3818" t="inlineStr">
        <is>
          <t>B</t>
        </is>
      </c>
    </row>
    <row r="3819">
      <c r="FC3819" t="inlineStr">
        <is>
          <t>Diccionario 4</t>
        </is>
      </c>
      <c r="FD3819" s="15" t="inlineStr">
        <is>
          <t>SFWZ-61|</t>
        </is>
      </c>
      <c r="FE3819" s="17" t="inlineStr">
        <is>
          <t>LVCB4L4D0NM002647</t>
        </is>
      </c>
      <c r="FF3819" s="18" t="inlineStr">
        <is>
          <t>M221100524</t>
        </is>
      </c>
      <c r="FG3819" s="18" t="inlineStr">
        <is>
          <t>FOTON</t>
        </is>
      </c>
      <c r="FH3819" s="18" t="inlineStr">
        <is>
          <t>EBUS U12 SC</t>
        </is>
      </c>
      <c r="FI3819" s="18" t="inlineStr">
        <is>
          <t>FOTON</t>
        </is>
      </c>
      <c r="FJ3819" s="18" t="inlineStr">
        <is>
          <t>EBUS U12 SC</t>
        </is>
      </c>
      <c r="FK3819" s="18" t="n">
        <v>2022</v>
      </c>
      <c r="FL3819" s="18" t="inlineStr">
        <is>
          <t>B</t>
        </is>
      </c>
      <c r="FM3819" s="18" t="inlineStr">
        <is>
          <t>Recoleta</t>
        </is>
      </c>
      <c r="FP3819" t="inlineStr">
        <is>
          <t>B</t>
        </is>
      </c>
    </row>
    <row r="3820">
      <c r="FC3820" t="inlineStr">
        <is>
          <t>Diccionario 4</t>
        </is>
      </c>
      <c r="FD3820" s="15" t="inlineStr">
        <is>
          <t>SFWZ-62|</t>
        </is>
      </c>
      <c r="FE3820" s="17" t="inlineStr">
        <is>
          <t>LVCB4L4D2NM002648</t>
        </is>
      </c>
      <c r="FF3820" s="18" t="inlineStr">
        <is>
          <t>M221100442</t>
        </is>
      </c>
      <c r="FG3820" s="18" t="inlineStr">
        <is>
          <t>FOTON</t>
        </is>
      </c>
      <c r="FH3820" s="18" t="inlineStr">
        <is>
          <t>EBUS U12 SC</t>
        </is>
      </c>
      <c r="FI3820" s="18" t="inlineStr">
        <is>
          <t>FOTON</t>
        </is>
      </c>
      <c r="FJ3820" s="18" t="inlineStr">
        <is>
          <t>EBUS U12 SC</t>
        </is>
      </c>
      <c r="FK3820" s="18" t="n">
        <v>2022</v>
      </c>
      <c r="FL3820" s="18" t="inlineStr">
        <is>
          <t>B</t>
        </is>
      </c>
      <c r="FM3820" s="18" t="inlineStr">
        <is>
          <t>Recoleta</t>
        </is>
      </c>
      <c r="FP3820" t="inlineStr">
        <is>
          <t>B</t>
        </is>
      </c>
    </row>
    <row r="3821">
      <c r="FC3821" t="inlineStr">
        <is>
          <t>Diccionario 4</t>
        </is>
      </c>
      <c r="FD3821" s="15" t="inlineStr">
        <is>
          <t>SFWZ-63|</t>
        </is>
      </c>
      <c r="FE3821" s="17" t="inlineStr">
        <is>
          <t>LVCB4L4D4NM002649</t>
        </is>
      </c>
      <c r="FF3821" s="18" t="inlineStr">
        <is>
          <t>M221100412</t>
        </is>
      </c>
      <c r="FG3821" s="18" t="inlineStr">
        <is>
          <t>FOTON</t>
        </is>
      </c>
      <c r="FH3821" s="18" t="inlineStr">
        <is>
          <t>EBUS U12 SC</t>
        </is>
      </c>
      <c r="FI3821" s="18" t="inlineStr">
        <is>
          <t>FOTON</t>
        </is>
      </c>
      <c r="FJ3821" s="18" t="inlineStr">
        <is>
          <t>EBUS U12 SC</t>
        </is>
      </c>
      <c r="FK3821" s="18" t="n">
        <v>2022</v>
      </c>
      <c r="FL3821" s="18" t="inlineStr">
        <is>
          <t>B</t>
        </is>
      </c>
      <c r="FM3821" s="18" t="inlineStr">
        <is>
          <t>Santa Rosa</t>
        </is>
      </c>
      <c r="FP3821" t="inlineStr">
        <is>
          <t>B</t>
        </is>
      </c>
    </row>
    <row r="3822">
      <c r="FC3822" t="inlineStr">
        <is>
          <t>Diccionario 4</t>
        </is>
      </c>
      <c r="FD3822" s="15" t="inlineStr">
        <is>
          <t>SFWZ-64|</t>
        </is>
      </c>
      <c r="FE3822" s="17" t="inlineStr">
        <is>
          <t>LVCB4L4D0NM002650</t>
        </is>
      </c>
      <c r="FF3822" s="18" t="inlineStr">
        <is>
          <t>M221110537</t>
        </is>
      </c>
      <c r="FG3822" s="18" t="inlineStr">
        <is>
          <t>FOTON</t>
        </is>
      </c>
      <c r="FH3822" s="18" t="inlineStr">
        <is>
          <t>EBUS U12 SC</t>
        </is>
      </c>
      <c r="FI3822" s="18" t="inlineStr">
        <is>
          <t>FOTON</t>
        </is>
      </c>
      <c r="FJ3822" s="18" t="inlineStr">
        <is>
          <t>EBUS U12 SC</t>
        </is>
      </c>
      <c r="FK3822" s="18" t="n">
        <v>2022</v>
      </c>
      <c r="FL3822" s="18" t="inlineStr">
        <is>
          <t>B</t>
        </is>
      </c>
      <c r="FM3822" s="18" t="inlineStr">
        <is>
          <t>Recoleta</t>
        </is>
      </c>
      <c r="FP3822" t="inlineStr">
        <is>
          <t>B</t>
        </is>
      </c>
    </row>
    <row r="3823">
      <c r="FC3823" t="inlineStr">
        <is>
          <t>Diccionario 4</t>
        </is>
      </c>
      <c r="FD3823" s="15" t="inlineStr">
        <is>
          <t>SFWZ-65|</t>
        </is>
      </c>
      <c r="FE3823" s="17" t="inlineStr">
        <is>
          <t>LVCB4L4D2NM002651</t>
        </is>
      </c>
      <c r="FF3823" s="18" t="inlineStr">
        <is>
          <t>M221100486</t>
        </is>
      </c>
      <c r="FG3823" s="18" t="inlineStr">
        <is>
          <t>FOTON</t>
        </is>
      </c>
      <c r="FH3823" s="18" t="inlineStr">
        <is>
          <t>EBUS U12 SC</t>
        </is>
      </c>
      <c r="FI3823" s="18" t="inlineStr">
        <is>
          <t>FOTON</t>
        </is>
      </c>
      <c r="FJ3823" s="18" t="inlineStr">
        <is>
          <t>EBUS U12 SC</t>
        </is>
      </c>
      <c r="FK3823" s="18" t="n">
        <v>2022</v>
      </c>
      <c r="FL3823" s="18" t="inlineStr">
        <is>
          <t>B</t>
        </is>
      </c>
      <c r="FM3823" s="18" t="inlineStr">
        <is>
          <t>Recoleta</t>
        </is>
      </c>
      <c r="FP3823" t="inlineStr">
        <is>
          <t>B</t>
        </is>
      </c>
    </row>
    <row r="3824">
      <c r="FC3824" t="inlineStr">
        <is>
          <t>Diccionario 4</t>
        </is>
      </c>
      <c r="FD3824" s="15" t="inlineStr">
        <is>
          <t>SFWZ-66|</t>
        </is>
      </c>
      <c r="FE3824" s="17" t="inlineStr">
        <is>
          <t>LVCB4L4D4NM002652</t>
        </is>
      </c>
      <c r="FF3824" s="18" t="inlineStr">
        <is>
          <t>M221110530</t>
        </is>
      </c>
      <c r="FG3824" s="18" t="inlineStr">
        <is>
          <t>FOTON</t>
        </is>
      </c>
      <c r="FH3824" s="18" t="inlineStr">
        <is>
          <t>EBUS U12 SC</t>
        </is>
      </c>
      <c r="FI3824" s="18" t="inlineStr">
        <is>
          <t>FOTON</t>
        </is>
      </c>
      <c r="FJ3824" s="18" t="inlineStr">
        <is>
          <t>EBUS U12 SC</t>
        </is>
      </c>
      <c r="FK3824" s="18" t="n">
        <v>2022</v>
      </c>
      <c r="FL3824" s="18" t="inlineStr">
        <is>
          <t>B</t>
        </is>
      </c>
      <c r="FM3824" s="18" t="inlineStr">
        <is>
          <t>Recoleta</t>
        </is>
      </c>
      <c r="FP3824" t="inlineStr">
        <is>
          <t>B</t>
        </is>
      </c>
    </row>
    <row r="3825">
      <c r="FC3825" t="inlineStr">
        <is>
          <t>Diccionario 4</t>
        </is>
      </c>
      <c r="FD3825" s="15" t="inlineStr">
        <is>
          <t>SFWZ-67|</t>
        </is>
      </c>
      <c r="FE3825" s="17" t="inlineStr">
        <is>
          <t>LVCB4L4D6NM002653</t>
        </is>
      </c>
      <c r="FF3825" s="18" t="inlineStr">
        <is>
          <t>M221100474</t>
        </is>
      </c>
      <c r="FG3825" s="18" t="inlineStr">
        <is>
          <t>FOTON</t>
        </is>
      </c>
      <c r="FH3825" s="18" t="inlineStr">
        <is>
          <t>EBUS U12 SC</t>
        </is>
      </c>
      <c r="FI3825" s="18" t="inlineStr">
        <is>
          <t>FOTON</t>
        </is>
      </c>
      <c r="FJ3825" s="18" t="inlineStr">
        <is>
          <t>EBUS U12 SC</t>
        </is>
      </c>
      <c r="FK3825" s="18" t="n">
        <v>2022</v>
      </c>
      <c r="FL3825" s="18" t="inlineStr">
        <is>
          <t>B</t>
        </is>
      </c>
      <c r="FM3825" s="18" t="inlineStr">
        <is>
          <t>Santa Rosa</t>
        </is>
      </c>
      <c r="FP3825" t="inlineStr">
        <is>
          <t>B</t>
        </is>
      </c>
    </row>
    <row r="3826">
      <c r="FC3826" t="inlineStr">
        <is>
          <t>Diccionario 4</t>
        </is>
      </c>
      <c r="FD3826" s="15" t="inlineStr">
        <is>
          <t>SFWZ-68|</t>
        </is>
      </c>
      <c r="FE3826" s="17" t="inlineStr">
        <is>
          <t>LVCB4L4DXNM002655</t>
        </is>
      </c>
      <c r="FF3826" s="18" t="inlineStr">
        <is>
          <t>M221100411</t>
        </is>
      </c>
      <c r="FG3826" s="18" t="inlineStr">
        <is>
          <t>FOTON</t>
        </is>
      </c>
      <c r="FH3826" s="18" t="inlineStr">
        <is>
          <t>EBUS U12 SC</t>
        </is>
      </c>
      <c r="FI3826" s="18" t="inlineStr">
        <is>
          <t>FOTON</t>
        </is>
      </c>
      <c r="FJ3826" s="18" t="inlineStr">
        <is>
          <t>EBUS U12 SC</t>
        </is>
      </c>
      <c r="FK3826" s="18" t="n">
        <v>2022</v>
      </c>
      <c r="FL3826" s="18" t="inlineStr">
        <is>
          <t>B</t>
        </is>
      </c>
      <c r="FM3826" s="18" t="inlineStr">
        <is>
          <t>Santa Rosa</t>
        </is>
      </c>
      <c r="FP3826" t="inlineStr">
        <is>
          <t>B</t>
        </is>
      </c>
    </row>
    <row r="3827">
      <c r="FC3827" t="inlineStr">
        <is>
          <t>Diccionario 4</t>
        </is>
      </c>
      <c r="FD3827" s="15" t="inlineStr">
        <is>
          <t>SFWZ-69|</t>
        </is>
      </c>
      <c r="FE3827" s="17" t="inlineStr">
        <is>
          <t>LVCB4L4D1NM002656</t>
        </is>
      </c>
      <c r="FF3827" s="18" t="inlineStr">
        <is>
          <t>M221100301</t>
        </is>
      </c>
      <c r="FG3827" s="18" t="inlineStr">
        <is>
          <t>FOTON</t>
        </is>
      </c>
      <c r="FH3827" s="18" t="inlineStr">
        <is>
          <t>EBUS U12 SC</t>
        </is>
      </c>
      <c r="FI3827" s="18" t="inlineStr">
        <is>
          <t>FOTON</t>
        </is>
      </c>
      <c r="FJ3827" s="18" t="inlineStr">
        <is>
          <t>EBUS U12 SC</t>
        </is>
      </c>
      <c r="FK3827" s="18" t="n">
        <v>2022</v>
      </c>
      <c r="FL3827" s="18" t="inlineStr">
        <is>
          <t>B</t>
        </is>
      </c>
      <c r="FM3827" s="18" t="inlineStr">
        <is>
          <t>Recoleta</t>
        </is>
      </c>
      <c r="FP3827" t="inlineStr">
        <is>
          <t>B</t>
        </is>
      </c>
    </row>
    <row r="3828">
      <c r="FC3828" t="inlineStr">
        <is>
          <t>Diccionario 4</t>
        </is>
      </c>
      <c r="FD3828" s="15" t="inlineStr">
        <is>
          <t>SFWZ-70|</t>
        </is>
      </c>
      <c r="FE3828" s="17" t="inlineStr">
        <is>
          <t>LVCB4L4D3NM002657</t>
        </is>
      </c>
      <c r="FF3828" s="18" t="inlineStr">
        <is>
          <t>M221110532</t>
        </is>
      </c>
      <c r="FG3828" s="18" t="inlineStr">
        <is>
          <t>FOTON</t>
        </is>
      </c>
      <c r="FH3828" s="18" t="inlineStr">
        <is>
          <t>EBUS U12 SC</t>
        </is>
      </c>
      <c r="FI3828" s="18" t="inlineStr">
        <is>
          <t>FOTON</t>
        </is>
      </c>
      <c r="FJ3828" s="18" t="inlineStr">
        <is>
          <t>EBUS U12 SC</t>
        </is>
      </c>
      <c r="FK3828" s="18" t="n">
        <v>2022</v>
      </c>
      <c r="FL3828" s="18" t="inlineStr">
        <is>
          <t>B</t>
        </is>
      </c>
      <c r="FM3828" s="18" t="inlineStr">
        <is>
          <t>Santa Rosa</t>
        </is>
      </c>
      <c r="FP3828" t="inlineStr">
        <is>
          <t>B</t>
        </is>
      </c>
    </row>
    <row r="3829">
      <c r="FC3829" t="inlineStr">
        <is>
          <t>Diccionario 4</t>
        </is>
      </c>
      <c r="FD3829" s="15" t="inlineStr">
        <is>
          <t>SFWZ-73|</t>
        </is>
      </c>
      <c r="FE3829" s="17" t="inlineStr">
        <is>
          <t>LVCB4L4D5NM002658</t>
        </is>
      </c>
      <c r="FF3829" s="18" t="inlineStr">
        <is>
          <t>M221100527</t>
        </is>
      </c>
      <c r="FG3829" s="18" t="inlineStr">
        <is>
          <t>FOTON</t>
        </is>
      </c>
      <c r="FH3829" s="18" t="inlineStr">
        <is>
          <t>EBUS U12 SC</t>
        </is>
      </c>
      <c r="FI3829" s="18" t="inlineStr">
        <is>
          <t>FOTON</t>
        </is>
      </c>
      <c r="FJ3829" s="18" t="inlineStr">
        <is>
          <t>EBUS U12 SC</t>
        </is>
      </c>
      <c r="FK3829" s="18" t="n">
        <v>2022</v>
      </c>
      <c r="FL3829" s="18" t="inlineStr">
        <is>
          <t>B</t>
        </is>
      </c>
      <c r="FM3829" s="18" t="inlineStr">
        <is>
          <t>Recoleta</t>
        </is>
      </c>
      <c r="FP3829" t="inlineStr">
        <is>
          <t>B</t>
        </is>
      </c>
    </row>
    <row r="3830">
      <c r="FC3830" t="inlineStr">
        <is>
          <t>Diccionario 4</t>
        </is>
      </c>
      <c r="FD3830" s="15" t="inlineStr">
        <is>
          <t>SFWZ-74|</t>
        </is>
      </c>
      <c r="FE3830" s="17" t="inlineStr">
        <is>
          <t>LVCB4L4D7NM002659</t>
        </is>
      </c>
      <c r="FF3830" s="18" t="inlineStr">
        <is>
          <t>M221100403</t>
        </is>
      </c>
      <c r="FG3830" s="18" t="inlineStr">
        <is>
          <t>FOTON</t>
        </is>
      </c>
      <c r="FH3830" s="18" t="inlineStr">
        <is>
          <t>EBUS U12 SC</t>
        </is>
      </c>
      <c r="FI3830" s="18" t="inlineStr">
        <is>
          <t>FOTON</t>
        </is>
      </c>
      <c r="FJ3830" s="18" t="inlineStr">
        <is>
          <t>EBUS U12 SC</t>
        </is>
      </c>
      <c r="FK3830" s="18" t="n">
        <v>2022</v>
      </c>
      <c r="FL3830" s="18" t="inlineStr">
        <is>
          <t>B</t>
        </is>
      </c>
      <c r="FM3830" s="18" t="inlineStr">
        <is>
          <t>Santa Rosa</t>
        </is>
      </c>
      <c r="FP3830" t="inlineStr">
        <is>
          <t>B</t>
        </is>
      </c>
    </row>
    <row r="3831">
      <c r="FC3831" t="inlineStr">
        <is>
          <t>Diccionario 4</t>
        </is>
      </c>
      <c r="FD3831" s="15" t="inlineStr">
        <is>
          <t>SFWZ-75|</t>
        </is>
      </c>
      <c r="FE3831" s="17" t="inlineStr">
        <is>
          <t>LVCB4L4D3NM002660</t>
        </is>
      </c>
      <c r="FF3831" s="18" t="inlineStr">
        <is>
          <t>M221100542</t>
        </is>
      </c>
      <c r="FG3831" s="18" t="inlineStr">
        <is>
          <t>FOTON</t>
        </is>
      </c>
      <c r="FH3831" s="18" t="inlineStr">
        <is>
          <t>EBUS U12 SC</t>
        </is>
      </c>
      <c r="FI3831" s="18" t="inlineStr">
        <is>
          <t>FOTON</t>
        </is>
      </c>
      <c r="FJ3831" s="18" t="inlineStr">
        <is>
          <t>EBUS U12 SC</t>
        </is>
      </c>
      <c r="FK3831" s="18" t="n">
        <v>2022</v>
      </c>
      <c r="FL3831" s="18" t="inlineStr">
        <is>
          <t>B</t>
        </is>
      </c>
      <c r="FM3831" s="18" t="inlineStr">
        <is>
          <t>Santa Rosa</t>
        </is>
      </c>
      <c r="FP3831" t="inlineStr">
        <is>
          <t>B</t>
        </is>
      </c>
    </row>
    <row r="3832">
      <c r="FC3832" t="inlineStr">
        <is>
          <t>Diccionario 4</t>
        </is>
      </c>
      <c r="FD3832" s="15" t="inlineStr">
        <is>
          <t>SFWZ-76|</t>
        </is>
      </c>
      <c r="FE3832" s="17" t="inlineStr">
        <is>
          <t>LVCB4L4D5NM002661</t>
        </is>
      </c>
      <c r="FF3832" s="18" t="inlineStr">
        <is>
          <t>M221110527</t>
        </is>
      </c>
      <c r="FG3832" s="18" t="inlineStr">
        <is>
          <t>FOTON</t>
        </is>
      </c>
      <c r="FH3832" s="18" t="inlineStr">
        <is>
          <t>EBUS U12 SC</t>
        </is>
      </c>
      <c r="FI3832" s="18" t="inlineStr">
        <is>
          <t>FOTON</t>
        </is>
      </c>
      <c r="FJ3832" s="18" t="inlineStr">
        <is>
          <t>EBUS U12 SC</t>
        </is>
      </c>
      <c r="FK3832" s="18" t="n">
        <v>2022</v>
      </c>
      <c r="FL3832" s="18" t="inlineStr">
        <is>
          <t>B</t>
        </is>
      </c>
      <c r="FM3832" s="18" t="inlineStr">
        <is>
          <t>Santa Rosa</t>
        </is>
      </c>
      <c r="FP3832" t="inlineStr">
        <is>
          <t>B</t>
        </is>
      </c>
    </row>
    <row r="3833">
      <c r="FC3833" t="inlineStr">
        <is>
          <t>Diccionario 4</t>
        </is>
      </c>
      <c r="FD3833" s="15" t="inlineStr">
        <is>
          <t>SFWZ-77|</t>
        </is>
      </c>
      <c r="FE3833" s="17" t="inlineStr">
        <is>
          <t>LVCB4L4D7NM002662</t>
        </is>
      </c>
      <c r="FF3833" s="18" t="inlineStr">
        <is>
          <t>M221100402</t>
        </is>
      </c>
      <c r="FG3833" s="18" t="inlineStr">
        <is>
          <t>FOTON</t>
        </is>
      </c>
      <c r="FH3833" s="18" t="inlineStr">
        <is>
          <t>EBUS U12 SC</t>
        </is>
      </c>
      <c r="FI3833" s="18" t="inlineStr">
        <is>
          <t>FOTON</t>
        </is>
      </c>
      <c r="FJ3833" s="18" t="inlineStr">
        <is>
          <t>EBUS U12 SC</t>
        </is>
      </c>
      <c r="FK3833" s="18" t="n">
        <v>2022</v>
      </c>
      <c r="FL3833" s="18" t="inlineStr">
        <is>
          <t>B</t>
        </is>
      </c>
      <c r="FM3833" s="18" t="inlineStr">
        <is>
          <t>Santa Rosa</t>
        </is>
      </c>
      <c r="FP3833" t="inlineStr">
        <is>
          <t>B</t>
        </is>
      </c>
    </row>
    <row r="3834">
      <c r="FC3834" t="inlineStr">
        <is>
          <t>Diccionario 4</t>
        </is>
      </c>
      <c r="FD3834" s="15" t="inlineStr">
        <is>
          <t>SFWZ-78|</t>
        </is>
      </c>
      <c r="FE3834" s="17" t="inlineStr">
        <is>
          <t>LVCB4L4D9NM002663</t>
        </is>
      </c>
      <c r="FF3834" s="18" t="inlineStr">
        <is>
          <t>M221110019</t>
        </is>
      </c>
      <c r="FG3834" s="18" t="inlineStr">
        <is>
          <t>FOTON</t>
        </is>
      </c>
      <c r="FH3834" s="18" t="inlineStr">
        <is>
          <t>EBUS U12 SC</t>
        </is>
      </c>
      <c r="FI3834" s="18" t="inlineStr">
        <is>
          <t>FOTON</t>
        </is>
      </c>
      <c r="FJ3834" s="18" t="inlineStr">
        <is>
          <t>EBUS U12 SC</t>
        </is>
      </c>
      <c r="FK3834" s="18" t="n">
        <v>2022</v>
      </c>
      <c r="FL3834" s="18" t="inlineStr">
        <is>
          <t>B</t>
        </is>
      </c>
      <c r="FM3834" s="18" t="inlineStr">
        <is>
          <t>Santa Rosa</t>
        </is>
      </c>
      <c r="FP3834" t="inlineStr">
        <is>
          <t>B</t>
        </is>
      </c>
    </row>
    <row r="3835">
      <c r="FC3835" t="inlineStr">
        <is>
          <t>Diccionario 4</t>
        </is>
      </c>
      <c r="FD3835" s="15" t="inlineStr">
        <is>
          <t>SFWZ-80|</t>
        </is>
      </c>
      <c r="FE3835" s="17" t="inlineStr">
        <is>
          <t>LVCB4L4D2NM002665</t>
        </is>
      </c>
      <c r="FF3835" s="18" t="inlineStr">
        <is>
          <t>M221100489</t>
        </is>
      </c>
      <c r="FG3835" s="18" t="inlineStr">
        <is>
          <t>FOTON</t>
        </is>
      </c>
      <c r="FH3835" s="18" t="inlineStr">
        <is>
          <t>EBUS U12 SC</t>
        </is>
      </c>
      <c r="FI3835" s="18" t="inlineStr">
        <is>
          <t>FOTON</t>
        </is>
      </c>
      <c r="FJ3835" s="18" t="inlineStr">
        <is>
          <t>EBUS U12 SC</t>
        </is>
      </c>
      <c r="FK3835" s="18" t="n">
        <v>2022</v>
      </c>
      <c r="FL3835" s="18" t="inlineStr">
        <is>
          <t>B</t>
        </is>
      </c>
      <c r="FM3835" s="18" t="inlineStr">
        <is>
          <t>Recoleta</t>
        </is>
      </c>
      <c r="FP3835" t="inlineStr">
        <is>
          <t>B</t>
        </is>
      </c>
    </row>
    <row r="3836">
      <c r="FC3836" t="inlineStr">
        <is>
          <t>Diccionario 4</t>
        </is>
      </c>
      <c r="FD3836" s="15" t="inlineStr">
        <is>
          <t>SFWZ-81|</t>
        </is>
      </c>
      <c r="FE3836" s="17" t="inlineStr">
        <is>
          <t>LVCB4L4D4NM002666</t>
        </is>
      </c>
      <c r="FF3836" s="18" t="inlineStr">
        <is>
          <t>M221110651</t>
        </is>
      </c>
      <c r="FG3836" s="18" t="inlineStr">
        <is>
          <t>FOTON</t>
        </is>
      </c>
      <c r="FH3836" s="18" t="inlineStr">
        <is>
          <t>EBUS U12 SC</t>
        </is>
      </c>
      <c r="FI3836" s="18" t="inlineStr">
        <is>
          <t>FOTON</t>
        </is>
      </c>
      <c r="FJ3836" s="18" t="inlineStr">
        <is>
          <t>EBUS U12 SC</t>
        </is>
      </c>
      <c r="FK3836" s="18" t="n">
        <v>2022</v>
      </c>
      <c r="FL3836" s="18" t="inlineStr">
        <is>
          <t>B</t>
        </is>
      </c>
      <c r="FM3836" s="18" t="inlineStr">
        <is>
          <t>Recoleta</t>
        </is>
      </c>
      <c r="FP3836" t="inlineStr">
        <is>
          <t>B</t>
        </is>
      </c>
    </row>
    <row r="3837">
      <c r="FC3837" t="inlineStr">
        <is>
          <t>Diccionario 4</t>
        </is>
      </c>
      <c r="FD3837" s="15" t="inlineStr">
        <is>
          <t>SFWZ-82|</t>
        </is>
      </c>
      <c r="FE3837" s="17" t="inlineStr">
        <is>
          <t>LVCB4L4D6NM002667</t>
        </is>
      </c>
      <c r="FF3837" s="18" t="inlineStr">
        <is>
          <t>M221100405</t>
        </is>
      </c>
      <c r="FG3837" s="18" t="inlineStr">
        <is>
          <t>FOTON</t>
        </is>
      </c>
      <c r="FH3837" s="18" t="inlineStr">
        <is>
          <t>EBUS U12 SC</t>
        </is>
      </c>
      <c r="FI3837" s="18" t="inlineStr">
        <is>
          <t>FOTON</t>
        </is>
      </c>
      <c r="FJ3837" s="18" t="inlineStr">
        <is>
          <t>EBUS U12 SC</t>
        </is>
      </c>
      <c r="FK3837" s="18" t="n">
        <v>2022</v>
      </c>
      <c r="FL3837" s="18" t="inlineStr">
        <is>
          <t>B</t>
        </is>
      </c>
      <c r="FM3837" s="18" t="inlineStr">
        <is>
          <t>Recoleta</t>
        </is>
      </c>
      <c r="FP3837" t="inlineStr">
        <is>
          <t>B</t>
        </is>
      </c>
    </row>
    <row r="3838">
      <c r="FC3838" t="inlineStr">
        <is>
          <t>Diccionario 4</t>
        </is>
      </c>
      <c r="FD3838" s="15" t="inlineStr">
        <is>
          <t>SFWZ-83|</t>
        </is>
      </c>
      <c r="FE3838" s="17" t="inlineStr">
        <is>
          <t>LVCB4L4D8NM002668</t>
        </is>
      </c>
      <c r="FF3838" s="18" t="inlineStr">
        <is>
          <t>M221100526</t>
        </is>
      </c>
      <c r="FG3838" s="18" t="inlineStr">
        <is>
          <t>FOTON</t>
        </is>
      </c>
      <c r="FH3838" s="18" t="inlineStr">
        <is>
          <t>EBUS U12 SC</t>
        </is>
      </c>
      <c r="FI3838" s="18" t="inlineStr">
        <is>
          <t>FOTON</t>
        </is>
      </c>
      <c r="FJ3838" s="18" t="inlineStr">
        <is>
          <t>EBUS U12 SC</t>
        </is>
      </c>
      <c r="FK3838" s="18" t="n">
        <v>2022</v>
      </c>
      <c r="FL3838" s="18" t="inlineStr">
        <is>
          <t>B</t>
        </is>
      </c>
      <c r="FM3838" s="18" t="inlineStr">
        <is>
          <t>Recoleta</t>
        </is>
      </c>
      <c r="FP3838" t="inlineStr">
        <is>
          <t>B</t>
        </is>
      </c>
    </row>
    <row r="3839">
      <c r="FC3839" t="inlineStr">
        <is>
          <t>Diccionario 4</t>
        </is>
      </c>
      <c r="FD3839" s="15" t="inlineStr">
        <is>
          <t>SFWZ-85|</t>
        </is>
      </c>
      <c r="FE3839" s="17" t="inlineStr">
        <is>
          <t>LVCB4L4DXNM002669</t>
        </is>
      </c>
      <c r="FF3839" s="18" t="inlineStr">
        <is>
          <t>M221110534</t>
        </is>
      </c>
      <c r="FG3839" s="18" t="inlineStr">
        <is>
          <t>FOTON</t>
        </is>
      </c>
      <c r="FH3839" s="18" t="inlineStr">
        <is>
          <t>EBUS U12 SC</t>
        </is>
      </c>
      <c r="FI3839" s="18" t="inlineStr">
        <is>
          <t>FOTON</t>
        </is>
      </c>
      <c r="FJ3839" s="18" t="inlineStr">
        <is>
          <t>EBUS U12 SC</t>
        </is>
      </c>
      <c r="FK3839" s="18" t="n">
        <v>2022</v>
      </c>
      <c r="FL3839" s="18" t="inlineStr">
        <is>
          <t>B</t>
        </is>
      </c>
      <c r="FM3839" s="18" t="inlineStr">
        <is>
          <t>Santa Rosa</t>
        </is>
      </c>
      <c r="FP3839" t="inlineStr">
        <is>
          <t>B</t>
        </is>
      </c>
    </row>
    <row r="3840">
      <c r="FC3840" t="inlineStr">
        <is>
          <t>Diccionario 4</t>
        </is>
      </c>
      <c r="FD3840" s="15" t="inlineStr">
        <is>
          <t>SXKV-97|</t>
        </is>
      </c>
      <c r="FE3840" s="17" t="inlineStr">
        <is>
          <t>YV3T7U520RA212108</t>
        </is>
      </c>
      <c r="FF3840" s="18" t="n">
        <v>593521</v>
      </c>
      <c r="FG3840" s="18" t="inlineStr">
        <is>
          <t>VOLVO</t>
        </is>
      </c>
      <c r="FH3840" s="18" t="inlineStr">
        <is>
          <t>B8RLEA</t>
        </is>
      </c>
      <c r="FI3840" s="18" t="inlineStr">
        <is>
          <t>MARCOPOLO</t>
        </is>
      </c>
      <c r="FJ3840" s="18" t="inlineStr">
        <is>
          <t>GRAN VIALE</t>
        </is>
      </c>
      <c r="FK3840" s="18" t="n">
        <v>2023</v>
      </c>
      <c r="FL3840" s="18" t="inlineStr">
        <is>
          <t>C</t>
        </is>
      </c>
      <c r="FM3840" s="18" t="inlineStr">
        <is>
          <t>Santa Rosa</t>
        </is>
      </c>
      <c r="FP3840" t="inlineStr">
        <is>
          <t>C</t>
        </is>
      </c>
    </row>
    <row r="3841">
      <c r="FC3841" t="inlineStr">
        <is>
          <t>Diccionario 4</t>
        </is>
      </c>
      <c r="FD3841" s="15" t="inlineStr">
        <is>
          <t>SXKV-98|</t>
        </is>
      </c>
      <c r="FE3841" s="17" t="inlineStr">
        <is>
          <t>YV3T7U522RA212112</t>
        </is>
      </c>
      <c r="FF3841" s="18" t="n">
        <v>593751</v>
      </c>
      <c r="FG3841" s="18" t="inlineStr">
        <is>
          <t>VOLVO</t>
        </is>
      </c>
      <c r="FH3841" s="18" t="inlineStr">
        <is>
          <t>B8RLEA</t>
        </is>
      </c>
      <c r="FI3841" s="18" t="inlineStr">
        <is>
          <t>MARCOPOLO</t>
        </is>
      </c>
      <c r="FJ3841" s="18" t="inlineStr">
        <is>
          <t>GRAN VIALE</t>
        </is>
      </c>
      <c r="FK3841" s="18" t="n">
        <v>2023</v>
      </c>
      <c r="FL3841" s="18" t="inlineStr">
        <is>
          <t>C</t>
        </is>
      </c>
      <c r="FM3841" s="18" t="inlineStr">
        <is>
          <t>Santa Rosa</t>
        </is>
      </c>
      <c r="FP3841" t="inlineStr">
        <is>
          <t>C</t>
        </is>
      </c>
    </row>
    <row r="3842">
      <c r="FC3842" t="inlineStr">
        <is>
          <t>Diccionario 4</t>
        </is>
      </c>
      <c r="FD3842" s="15" t="inlineStr">
        <is>
          <t>SXKV-99|</t>
        </is>
      </c>
      <c r="FE3842" s="17" t="inlineStr">
        <is>
          <t>YV3T7U525RA212217</t>
        </is>
      </c>
      <c r="FF3842" s="18" t="n">
        <v>595002</v>
      </c>
      <c r="FG3842" s="18" t="inlineStr">
        <is>
          <t>VOLVO</t>
        </is>
      </c>
      <c r="FH3842" s="18" t="inlineStr">
        <is>
          <t>B8RLEA</t>
        </is>
      </c>
      <c r="FI3842" s="18" t="inlineStr">
        <is>
          <t>MARCOPOLO</t>
        </is>
      </c>
      <c r="FJ3842" s="18" t="inlineStr">
        <is>
          <t>GRAN VIALE</t>
        </is>
      </c>
      <c r="FK3842" s="18" t="n">
        <v>2023</v>
      </c>
      <c r="FL3842" s="18" t="inlineStr">
        <is>
          <t>C</t>
        </is>
      </c>
      <c r="FM3842" s="18" t="inlineStr">
        <is>
          <t>Santa Rosa</t>
        </is>
      </c>
      <c r="FP3842" t="inlineStr">
        <is>
          <t>C</t>
        </is>
      </c>
    </row>
    <row r="3843">
      <c r="FC3843" t="inlineStr">
        <is>
          <t>Diccionario 4</t>
        </is>
      </c>
      <c r="FD3843" s="15" t="inlineStr">
        <is>
          <t>TBZB-24|</t>
        </is>
      </c>
      <c r="FE3843" s="17" t="inlineStr">
        <is>
          <t>YV3T7U523RA212314</t>
        </is>
      </c>
      <c r="FF3843" s="18" t="n">
        <v>598537</v>
      </c>
      <c r="FG3843" s="18" t="inlineStr">
        <is>
          <t>VOLVO</t>
        </is>
      </c>
      <c r="FH3843" s="18" t="inlineStr">
        <is>
          <t>B8RLEA</t>
        </is>
      </c>
      <c r="FI3843" s="18" t="inlineStr">
        <is>
          <t>MARCOPOLO</t>
        </is>
      </c>
      <c r="FJ3843" s="18" t="inlineStr">
        <is>
          <t>GRAN VIALE</t>
        </is>
      </c>
      <c r="FK3843" s="18" t="n">
        <v>2023</v>
      </c>
      <c r="FL3843" s="18" t="inlineStr">
        <is>
          <t>C</t>
        </is>
      </c>
      <c r="FM3843" s="18" t="inlineStr">
        <is>
          <t>Santa Rosa</t>
        </is>
      </c>
      <c r="FP3843" t="inlineStr">
        <is>
          <t>C</t>
        </is>
      </c>
    </row>
    <row r="3844">
      <c r="FC3844" t="inlineStr">
        <is>
          <t>Diccionario 4</t>
        </is>
      </c>
      <c r="FD3844" s="15" t="inlineStr">
        <is>
          <t>VLSZ-25|</t>
        </is>
      </c>
      <c r="FE3844" s="17" t="inlineStr">
        <is>
          <t>LDYECS315S0045859</t>
        </is>
      </c>
      <c r="FF3844" s="18" t="inlineStr">
        <is>
          <t>MDN35025030200</t>
        </is>
      </c>
      <c r="FG3844" s="18" t="inlineStr">
        <is>
          <t>Zhong Thong</t>
        </is>
      </c>
      <c r="FH3844" s="18" t="inlineStr">
        <is>
          <t>Lck6122evg</t>
        </is>
      </c>
      <c r="FI3844" s="18" t="inlineStr">
        <is>
          <t>Zhong Thong</t>
        </is>
      </c>
      <c r="FJ3844" s="18" t="inlineStr">
        <is>
          <t>Lck6122evg</t>
        </is>
      </c>
      <c r="FK3844" s="18" t="n">
        <v>2026</v>
      </c>
      <c r="FL3844" s="18" t="inlineStr">
        <is>
          <t>B</t>
        </is>
      </c>
      <c r="FM3844" s="18" t="inlineStr">
        <is>
          <t>Las Acacias</t>
        </is>
      </c>
      <c r="FP3844" t="inlineStr">
        <is>
          <t>B</t>
        </is>
      </c>
    </row>
    <row r="3845">
      <c r="FC3845" t="inlineStr">
        <is>
          <t>Diccionario 4</t>
        </is>
      </c>
      <c r="FD3845" s="15" t="inlineStr">
        <is>
          <t>VLSZ-26|</t>
        </is>
      </c>
      <c r="FE3845" s="17" t="inlineStr">
        <is>
          <t>LDYECS313S0045858</t>
        </is>
      </c>
      <c r="FF3845" s="18" t="inlineStr">
        <is>
          <t>MDN35025030201</t>
        </is>
      </c>
      <c r="FG3845" s="18" t="inlineStr">
        <is>
          <t>Zhong Thong</t>
        </is>
      </c>
      <c r="FH3845" s="18" t="inlineStr">
        <is>
          <t>Lck6122evg</t>
        </is>
      </c>
      <c r="FI3845" s="18" t="inlineStr">
        <is>
          <t>Zhong Thong</t>
        </is>
      </c>
      <c r="FJ3845" s="18" t="inlineStr">
        <is>
          <t>Lck6122evg</t>
        </is>
      </c>
      <c r="FK3845" s="18" t="n">
        <v>2026</v>
      </c>
      <c r="FL3845" s="18" t="inlineStr">
        <is>
          <t>B</t>
        </is>
      </c>
      <c r="FM3845" s="18" t="inlineStr">
        <is>
          <t>Las Acacias</t>
        </is>
      </c>
      <c r="FP3845" t="inlineStr">
        <is>
          <t>B</t>
        </is>
      </c>
    </row>
    <row r="3846">
      <c r="FC3846" t="inlineStr">
        <is>
          <t>Diccionario 4</t>
        </is>
      </c>
      <c r="FD3846" s="15" t="inlineStr">
        <is>
          <t>VLSZ-46|</t>
        </is>
      </c>
      <c r="FE3846" s="17" t="inlineStr">
        <is>
          <t>LDYECS313S0045777</t>
        </is>
      </c>
      <c r="FF3846" s="18" t="inlineStr">
        <is>
          <t>MDN35025030141</t>
        </is>
      </c>
      <c r="FG3846" s="18" t="inlineStr">
        <is>
          <t>Zhong Thong</t>
        </is>
      </c>
      <c r="FH3846" s="18" t="inlineStr">
        <is>
          <t>Lck6122evg</t>
        </is>
      </c>
      <c r="FI3846" s="18" t="inlineStr">
        <is>
          <t>Zhong Thong</t>
        </is>
      </c>
      <c r="FJ3846" s="18" t="inlineStr">
        <is>
          <t>Lck6122evg</t>
        </is>
      </c>
      <c r="FK3846" s="18" t="n">
        <v>2026</v>
      </c>
      <c r="FL3846" s="18" t="inlineStr">
        <is>
          <t>B</t>
        </is>
      </c>
      <c r="FM3846" s="18" t="inlineStr">
        <is>
          <t>Las Acacias</t>
        </is>
      </c>
      <c r="FP3846" t="inlineStr">
        <is>
          <t>B</t>
        </is>
      </c>
    </row>
    <row r="3847">
      <c r="FC3847" t="inlineStr">
        <is>
          <t>Diccionario 4</t>
        </is>
      </c>
      <c r="FD3847" s="15" t="inlineStr">
        <is>
          <t>VLSZ-52|</t>
        </is>
      </c>
      <c r="FE3847" s="17" t="inlineStr">
        <is>
          <t>LDYECS314S0045772</t>
        </is>
      </c>
      <c r="FF3847" s="18" t="inlineStr">
        <is>
          <t>MDN35025030143</t>
        </is>
      </c>
      <c r="FG3847" s="18" t="inlineStr">
        <is>
          <t>Zhong Thong</t>
        </is>
      </c>
      <c r="FH3847" s="18" t="inlineStr">
        <is>
          <t>Lck6122evg</t>
        </is>
      </c>
      <c r="FI3847" s="18" t="inlineStr">
        <is>
          <t>Zhong Thong</t>
        </is>
      </c>
      <c r="FJ3847" s="18" t="inlineStr">
        <is>
          <t>Lck6122evg</t>
        </is>
      </c>
      <c r="FK3847" s="18" t="n">
        <v>2026</v>
      </c>
      <c r="FL3847" s="18" t="inlineStr">
        <is>
          <t>B</t>
        </is>
      </c>
      <c r="FM3847" s="18" t="inlineStr">
        <is>
          <t>Las Acacias</t>
        </is>
      </c>
      <c r="FP3847" t="inlineStr">
        <is>
          <t>B</t>
        </is>
      </c>
    </row>
    <row r="3848">
      <c r="FC3848" t="inlineStr">
        <is>
          <t>Diccionario 4</t>
        </is>
      </c>
      <c r="FD3848" s="15" t="inlineStr">
        <is>
          <t>VLSZ-54|</t>
        </is>
      </c>
      <c r="FE3848" s="17" t="inlineStr">
        <is>
          <t>LDYECS318S0045869</t>
        </is>
      </c>
      <c r="FF3848" s="18" t="inlineStr">
        <is>
          <t>MDN35025030203</t>
        </is>
      </c>
      <c r="FG3848" s="18" t="inlineStr">
        <is>
          <t>Zhong Thong</t>
        </is>
      </c>
      <c r="FH3848" s="18" t="inlineStr">
        <is>
          <t>Lck6122evg</t>
        </is>
      </c>
      <c r="FI3848" s="18" t="inlineStr">
        <is>
          <t>Zhong Thong</t>
        </is>
      </c>
      <c r="FJ3848" s="18" t="inlineStr">
        <is>
          <t>Lck6122evg</t>
        </is>
      </c>
      <c r="FK3848" s="18" t="n">
        <v>2026</v>
      </c>
      <c r="FL3848" s="18" t="inlineStr">
        <is>
          <t>B</t>
        </is>
      </c>
      <c r="FM3848" s="18" t="inlineStr">
        <is>
          <t>Las Acacias</t>
        </is>
      </c>
      <c r="FP3848" t="inlineStr">
        <is>
          <t>B</t>
        </is>
      </c>
    </row>
    <row r="3849">
      <c r="FC3849" t="inlineStr">
        <is>
          <t>Diccionario 4</t>
        </is>
      </c>
      <c r="FD3849" s="15" t="inlineStr">
        <is>
          <t>VLSZ-65|</t>
        </is>
      </c>
      <c r="FE3849" s="17" t="inlineStr">
        <is>
          <t>LDYECS311S0045860</t>
        </is>
      </c>
      <c r="FF3849" s="18" t="inlineStr">
        <is>
          <t>MDN35025030275</t>
        </is>
      </c>
      <c r="FG3849" s="18" t="inlineStr">
        <is>
          <t>Zhong Thong</t>
        </is>
      </c>
      <c r="FH3849" s="18" t="inlineStr">
        <is>
          <t>Lck6122evg</t>
        </is>
      </c>
      <c r="FI3849" s="18" t="inlineStr">
        <is>
          <t>Zhong Thong</t>
        </is>
      </c>
      <c r="FJ3849" s="18" t="inlineStr">
        <is>
          <t>Lck6122evg</t>
        </is>
      </c>
      <c r="FK3849" s="18" t="n">
        <v>2026</v>
      </c>
      <c r="FL3849" s="18" t="inlineStr">
        <is>
          <t>B</t>
        </is>
      </c>
      <c r="FM3849" s="18" t="inlineStr">
        <is>
          <t>Las Acacias</t>
        </is>
      </c>
      <c r="FP3849" t="inlineStr">
        <is>
          <t>B</t>
        </is>
      </c>
    </row>
    <row r="3850">
      <c r="FC3850" t="inlineStr">
        <is>
          <t>Diccionario 4</t>
        </is>
      </c>
      <c r="FD3850" s="15" t="inlineStr">
        <is>
          <t>VLSZ-68|</t>
        </is>
      </c>
      <c r="FE3850" s="17" t="inlineStr">
        <is>
          <t>LDYECS316S0045868</t>
        </is>
      </c>
      <c r="FF3850" s="18" t="inlineStr">
        <is>
          <t>MDN35025030262</t>
        </is>
      </c>
      <c r="FG3850" s="18" t="inlineStr">
        <is>
          <t>Zhong Thong</t>
        </is>
      </c>
      <c r="FH3850" s="18" t="inlineStr">
        <is>
          <t>Lck6122evg</t>
        </is>
      </c>
      <c r="FI3850" s="18" t="inlineStr">
        <is>
          <t>Zhong Thong</t>
        </is>
      </c>
      <c r="FJ3850" s="18" t="inlineStr">
        <is>
          <t>Lck6122evg</t>
        </is>
      </c>
      <c r="FK3850" s="18" t="n">
        <v>2026</v>
      </c>
      <c r="FL3850" s="18" t="inlineStr">
        <is>
          <t>B</t>
        </is>
      </c>
      <c r="FM3850" s="18" t="inlineStr">
        <is>
          <t>Las Acacias</t>
        </is>
      </c>
      <c r="FP3850" t="inlineStr">
        <is>
          <t>B</t>
        </is>
      </c>
    </row>
    <row r="3851">
      <c r="FC3851" t="inlineStr">
        <is>
          <t>Diccionario 4</t>
        </is>
      </c>
      <c r="FD3851" s="15" t="inlineStr">
        <is>
          <t>VLSZ-75|</t>
        </is>
      </c>
      <c r="FE3851" s="17" t="inlineStr">
        <is>
          <t>LDYECS312S0045785</t>
        </is>
      </c>
      <c r="FF3851" s="18" t="inlineStr">
        <is>
          <t>MDN35025030159</t>
        </is>
      </c>
      <c r="FG3851" s="18" t="inlineStr">
        <is>
          <t>Zhong Thong</t>
        </is>
      </c>
      <c r="FH3851" s="18" t="inlineStr">
        <is>
          <t>Lck6122evg</t>
        </is>
      </c>
      <c r="FI3851" s="18" t="inlineStr">
        <is>
          <t>Zhong Thong</t>
        </is>
      </c>
      <c r="FJ3851" s="18" t="inlineStr">
        <is>
          <t>Lck6122evg</t>
        </is>
      </c>
      <c r="FK3851" s="18" t="n">
        <v>2026</v>
      </c>
      <c r="FL3851" s="18" t="inlineStr">
        <is>
          <t>B</t>
        </is>
      </c>
      <c r="FM3851" s="18" t="inlineStr">
        <is>
          <t>Las Acacias</t>
        </is>
      </c>
      <c r="FP3851" t="inlineStr">
        <is>
          <t>B</t>
        </is>
      </c>
    </row>
    <row r="3852">
      <c r="FC3852" t="inlineStr">
        <is>
          <t>Diccionario 4</t>
        </is>
      </c>
      <c r="FD3852" s="15" t="inlineStr">
        <is>
          <t>VLTB-15|</t>
        </is>
      </c>
      <c r="FE3852" s="17" t="inlineStr">
        <is>
          <t>LDYECS31XS0045873</t>
        </is>
      </c>
      <c r="FF3852" s="18" t="inlineStr">
        <is>
          <t>MDN35025030290</t>
        </is>
      </c>
      <c r="FG3852" s="18" t="inlineStr">
        <is>
          <t>Zhong Thong</t>
        </is>
      </c>
      <c r="FH3852" s="18" t="inlineStr">
        <is>
          <t>Lck6122evg</t>
        </is>
      </c>
      <c r="FI3852" s="18" t="inlineStr">
        <is>
          <t>Zhong Thong</t>
        </is>
      </c>
      <c r="FJ3852" s="18" t="inlineStr">
        <is>
          <t>Lck6122evg</t>
        </is>
      </c>
      <c r="FK3852" s="18" t="n">
        <v>2026</v>
      </c>
      <c r="FL3852" s="18" t="inlineStr">
        <is>
          <t>B</t>
        </is>
      </c>
      <c r="FM3852" s="18" t="inlineStr">
        <is>
          <t>Las Acacias</t>
        </is>
      </c>
      <c r="FP3852" t="inlineStr">
        <is>
          <t>B</t>
        </is>
      </c>
    </row>
    <row r="3853">
      <c r="FC3853" t="inlineStr">
        <is>
          <t>Diccionario 4</t>
        </is>
      </c>
      <c r="FD3853" s="15" t="inlineStr">
        <is>
          <t>VLTB-35|</t>
        </is>
      </c>
      <c r="FE3853" s="17" t="inlineStr">
        <is>
          <t>LDYECS319S0045783</t>
        </is>
      </c>
      <c r="FF3853" s="18" t="inlineStr">
        <is>
          <t>MDN35025030314</t>
        </is>
      </c>
      <c r="FG3853" s="18" t="inlineStr">
        <is>
          <t>Zhong Thong</t>
        </is>
      </c>
      <c r="FH3853" s="18" t="inlineStr">
        <is>
          <t>Lck6122evg</t>
        </is>
      </c>
      <c r="FI3853" s="18" t="inlineStr">
        <is>
          <t>Zhong Thong</t>
        </is>
      </c>
      <c r="FJ3853" s="18" t="inlineStr">
        <is>
          <t>Lck6122evg</t>
        </is>
      </c>
      <c r="FK3853" s="18" t="n">
        <v>2026</v>
      </c>
      <c r="FL3853" s="18" t="inlineStr">
        <is>
          <t>B</t>
        </is>
      </c>
      <c r="FM3853" s="18" t="inlineStr">
        <is>
          <t>Las Acacias</t>
        </is>
      </c>
      <c r="FP3853" t="inlineStr">
        <is>
          <t>B</t>
        </is>
      </c>
    </row>
    <row r="3854">
      <c r="FC3854" t="inlineStr">
        <is>
          <t>Diccionario 4</t>
        </is>
      </c>
      <c r="FD3854" s="15" t="inlineStr">
        <is>
          <t>VLTB-43|</t>
        </is>
      </c>
      <c r="FE3854" s="17" t="inlineStr">
        <is>
          <t>LDYECS315S0045778</t>
        </is>
      </c>
      <c r="FF3854" s="18" t="inlineStr">
        <is>
          <t>MDN35025030280</t>
        </is>
      </c>
      <c r="FG3854" s="18" t="inlineStr">
        <is>
          <t>Zhong Thong</t>
        </is>
      </c>
      <c r="FH3854" s="18" t="inlineStr">
        <is>
          <t>Lck6122evg</t>
        </is>
      </c>
      <c r="FI3854" s="18" t="inlineStr">
        <is>
          <t>Zhong Thong</t>
        </is>
      </c>
      <c r="FJ3854" s="18" t="inlineStr">
        <is>
          <t>Lck6122evg</t>
        </is>
      </c>
      <c r="FK3854" s="18" t="n">
        <v>2026</v>
      </c>
      <c r="FL3854" s="18" t="inlineStr">
        <is>
          <t>B</t>
        </is>
      </c>
      <c r="FM3854" s="18" t="inlineStr">
        <is>
          <t>Las Acacias</t>
        </is>
      </c>
      <c r="FP3854" t="inlineStr">
        <is>
          <t>B</t>
        </is>
      </c>
    </row>
    <row r="3855">
      <c r="FC3855" t="inlineStr">
        <is>
          <t>Diccionario 4</t>
        </is>
      </c>
      <c r="FD3855" s="15" t="inlineStr">
        <is>
          <t>VLTB-85|</t>
        </is>
      </c>
      <c r="FE3855" s="17" t="inlineStr">
        <is>
          <t>LDYECS316S0045787</t>
        </is>
      </c>
      <c r="FF3855" s="18" t="inlineStr">
        <is>
          <t>MDN35025030176</t>
        </is>
      </c>
      <c r="FG3855" s="18" t="inlineStr">
        <is>
          <t>Zhong Thong</t>
        </is>
      </c>
      <c r="FH3855" s="18" t="inlineStr">
        <is>
          <t>Lck6122evg</t>
        </is>
      </c>
      <c r="FI3855" s="18" t="inlineStr">
        <is>
          <t>Zhong Thong</t>
        </is>
      </c>
      <c r="FJ3855" s="18" t="inlineStr">
        <is>
          <t>Lck6122evg</t>
        </is>
      </c>
      <c r="FK3855" s="18" t="n">
        <v>2026</v>
      </c>
      <c r="FL3855" s="18" t="inlineStr">
        <is>
          <t>B</t>
        </is>
      </c>
      <c r="FM3855" s="18" t="inlineStr">
        <is>
          <t>Las Acacias</t>
        </is>
      </c>
      <c r="FP3855" t="inlineStr">
        <is>
          <t>B</t>
        </is>
      </c>
    </row>
    <row r="3856">
      <c r="FC3856" t="inlineStr">
        <is>
          <t>Diccionario 4</t>
        </is>
      </c>
      <c r="FD3856" s="15" t="inlineStr">
        <is>
          <t>VLTB-93|</t>
        </is>
      </c>
      <c r="FE3856" s="17" t="inlineStr">
        <is>
          <t>LDYECS313S0045780</t>
        </is>
      </c>
      <c r="FF3856" s="18" t="inlineStr">
        <is>
          <t>MDN35025030190</t>
        </is>
      </c>
      <c r="FG3856" s="18" t="inlineStr">
        <is>
          <t>Zhong Thong</t>
        </is>
      </c>
      <c r="FH3856" s="18" t="inlineStr">
        <is>
          <t>Lck6122evg</t>
        </is>
      </c>
      <c r="FI3856" s="18" t="inlineStr">
        <is>
          <t>Zhong Thong</t>
        </is>
      </c>
      <c r="FJ3856" s="18" t="inlineStr">
        <is>
          <t>Lck6122evg</t>
        </is>
      </c>
      <c r="FK3856" s="18" t="n">
        <v>2026</v>
      </c>
      <c r="FL3856" s="18" t="inlineStr">
        <is>
          <t>B</t>
        </is>
      </c>
      <c r="FM3856" s="18" t="inlineStr">
        <is>
          <t>Las Acacias</t>
        </is>
      </c>
      <c r="FP3856" t="inlineStr">
        <is>
          <t>B</t>
        </is>
      </c>
    </row>
    <row r="3857">
      <c r="FC3857" t="inlineStr">
        <is>
          <t>Diccionario 4</t>
        </is>
      </c>
      <c r="FD3857" s="15" t="inlineStr">
        <is>
          <t>VLTB-94|</t>
        </is>
      </c>
      <c r="FE3857" s="17" t="inlineStr">
        <is>
          <t>LDYECS311S0045776</t>
        </is>
      </c>
      <c r="FF3857" s="18" t="inlineStr">
        <is>
          <t>MDN35025030167</t>
        </is>
      </c>
      <c r="FG3857" s="18" t="inlineStr">
        <is>
          <t>Zhong Thong</t>
        </is>
      </c>
      <c r="FH3857" s="18" t="inlineStr">
        <is>
          <t>Lck6122evg</t>
        </is>
      </c>
      <c r="FI3857" s="18" t="inlineStr">
        <is>
          <t>Zhong Thong</t>
        </is>
      </c>
      <c r="FJ3857" s="18" t="inlineStr">
        <is>
          <t>Lck6122evg</t>
        </is>
      </c>
      <c r="FK3857" s="18" t="n">
        <v>2026</v>
      </c>
      <c r="FL3857" s="18" t="inlineStr">
        <is>
          <t>B</t>
        </is>
      </c>
      <c r="FM3857" s="18" t="inlineStr">
        <is>
          <t>Las Acacias</t>
        </is>
      </c>
      <c r="FP3857" t="inlineStr">
        <is>
          <t>B</t>
        </is>
      </c>
    </row>
    <row r="3858">
      <c r="FC3858" t="inlineStr">
        <is>
          <t>Diccionario 4</t>
        </is>
      </c>
      <c r="FD3858" s="15" t="inlineStr">
        <is>
          <t>VLTC-16|</t>
        </is>
      </c>
      <c r="FE3858" s="17" t="inlineStr">
        <is>
          <t>LDYECS317S0045782</t>
        </is>
      </c>
      <c r="FF3858" s="18" t="inlineStr">
        <is>
          <t>MDN35025030212</t>
        </is>
      </c>
      <c r="FG3858" s="18" t="inlineStr">
        <is>
          <t>Zhong Thong</t>
        </is>
      </c>
      <c r="FH3858" s="18" t="inlineStr">
        <is>
          <t>Lck6122evg</t>
        </is>
      </c>
      <c r="FI3858" s="18" t="inlineStr">
        <is>
          <t>Zhong Thong</t>
        </is>
      </c>
      <c r="FJ3858" s="18" t="inlineStr">
        <is>
          <t>Lck6122evg</t>
        </is>
      </c>
      <c r="FK3858" s="18" t="n">
        <v>2026</v>
      </c>
      <c r="FL3858" s="18" t="inlineStr">
        <is>
          <t>B</t>
        </is>
      </c>
      <c r="FM3858" s="18" t="inlineStr">
        <is>
          <t>Las Acacias</t>
        </is>
      </c>
      <c r="FP3858" t="inlineStr">
        <is>
          <t>B</t>
        </is>
      </c>
    </row>
    <row r="3859">
      <c r="FC3859" t="inlineStr">
        <is>
          <t>Diccionario 4</t>
        </is>
      </c>
      <c r="FD3859" s="15" t="inlineStr">
        <is>
          <t>VLTC-17|</t>
        </is>
      </c>
      <c r="FE3859" s="17" t="inlineStr">
        <is>
          <t>LDYECS316S0045885</t>
        </is>
      </c>
      <c r="FF3859" s="18" t="inlineStr">
        <is>
          <t>MDN35025030187</t>
        </is>
      </c>
      <c r="FG3859" s="18" t="inlineStr">
        <is>
          <t>Zhong Thong</t>
        </is>
      </c>
      <c r="FH3859" s="18" t="inlineStr">
        <is>
          <t>Lck6122evg</t>
        </is>
      </c>
      <c r="FI3859" s="18" t="inlineStr">
        <is>
          <t>Zhong Thong</t>
        </is>
      </c>
      <c r="FJ3859" s="18" t="inlineStr">
        <is>
          <t>Lck6122evg</t>
        </is>
      </c>
      <c r="FK3859" s="18" t="n">
        <v>2026</v>
      </c>
      <c r="FL3859" s="18" t="inlineStr">
        <is>
          <t>B</t>
        </is>
      </c>
      <c r="FM3859" s="18" t="inlineStr">
        <is>
          <t>Las Acacias</t>
        </is>
      </c>
      <c r="FP3859" t="inlineStr">
        <is>
          <t>B</t>
        </is>
      </c>
    </row>
    <row r="3860">
      <c r="FC3860" t="inlineStr">
        <is>
          <t>Diccionario 4</t>
        </is>
      </c>
      <c r="FD3860" s="15" t="inlineStr">
        <is>
          <t>VLTC-21|</t>
        </is>
      </c>
      <c r="FE3860" s="17" t="inlineStr">
        <is>
          <t>LDYECS311S0045745</t>
        </is>
      </c>
      <c r="FF3860" s="18" t="inlineStr">
        <is>
          <t>MDN35025030007</t>
        </is>
      </c>
      <c r="FG3860" s="18" t="inlineStr">
        <is>
          <t>Zhong Thong</t>
        </is>
      </c>
      <c r="FH3860" s="18" t="inlineStr">
        <is>
          <t>Lck6122evg</t>
        </is>
      </c>
      <c r="FI3860" s="18" t="inlineStr">
        <is>
          <t>Zhong Thong</t>
        </is>
      </c>
      <c r="FJ3860" s="18" t="inlineStr">
        <is>
          <t>Lck6122evg</t>
        </is>
      </c>
      <c r="FK3860" s="18" t="n">
        <v>2026</v>
      </c>
      <c r="FL3860" s="18" t="inlineStr">
        <is>
          <t>B</t>
        </is>
      </c>
      <c r="FM3860" s="18" t="inlineStr">
        <is>
          <t>Las Acacias</t>
        </is>
      </c>
      <c r="FP3860" t="inlineStr">
        <is>
          <t>B</t>
        </is>
      </c>
    </row>
    <row r="3861">
      <c r="FC3861" t="inlineStr">
        <is>
          <t>Diccionario 4</t>
        </is>
      </c>
      <c r="FD3861" s="15" t="inlineStr">
        <is>
          <t>VLTC-23|</t>
        </is>
      </c>
      <c r="FE3861" s="17" t="inlineStr">
        <is>
          <t>LDYECS31XS0045789</t>
        </is>
      </c>
      <c r="FF3861" s="18" t="inlineStr">
        <is>
          <t>MDN35025030164</t>
        </is>
      </c>
      <c r="FG3861" s="18" t="inlineStr">
        <is>
          <t>Zhong Thong</t>
        </is>
      </c>
      <c r="FH3861" s="18" t="inlineStr">
        <is>
          <t>Lck6122evg</t>
        </is>
      </c>
      <c r="FI3861" s="18" t="inlineStr">
        <is>
          <t>Zhong Thong</t>
        </is>
      </c>
      <c r="FJ3861" s="18" t="inlineStr">
        <is>
          <t>Lck6122evg</t>
        </is>
      </c>
      <c r="FK3861" s="18" t="n">
        <v>2026</v>
      </c>
      <c r="FL3861" s="18" t="inlineStr">
        <is>
          <t>B</t>
        </is>
      </c>
      <c r="FM3861" s="18" t="inlineStr">
        <is>
          <t>Las Acacias</t>
        </is>
      </c>
      <c r="FP3861" t="inlineStr">
        <is>
          <t>B</t>
        </is>
      </c>
    </row>
    <row r="3862">
      <c r="FC3862" t="inlineStr">
        <is>
          <t>Diccionario 4</t>
        </is>
      </c>
      <c r="FD3862" s="15" t="inlineStr">
        <is>
          <t>VLTC-32|</t>
        </is>
      </c>
      <c r="FE3862" s="17" t="inlineStr">
        <is>
          <t>LDYECS311S0045888</t>
        </is>
      </c>
      <c r="FF3862" s="18" t="inlineStr">
        <is>
          <t>MDN35025010010</t>
        </is>
      </c>
      <c r="FG3862" s="18" t="inlineStr">
        <is>
          <t>Zhong Thong</t>
        </is>
      </c>
      <c r="FH3862" s="18" t="inlineStr">
        <is>
          <t>Lck6122evg</t>
        </is>
      </c>
      <c r="FI3862" s="18" t="inlineStr">
        <is>
          <t>Zhong Thong</t>
        </is>
      </c>
      <c r="FJ3862" s="18" t="inlineStr">
        <is>
          <t>Lck6122evg</t>
        </is>
      </c>
      <c r="FK3862" s="18" t="n">
        <v>2026</v>
      </c>
      <c r="FL3862" s="18" t="inlineStr">
        <is>
          <t>B</t>
        </is>
      </c>
      <c r="FM3862" s="18" t="inlineStr">
        <is>
          <t>Las Acacias</t>
        </is>
      </c>
      <c r="FP3862" t="inlineStr">
        <is>
          <t>B</t>
        </is>
      </c>
    </row>
    <row r="3863">
      <c r="FC3863" t="inlineStr">
        <is>
          <t>Diccionario 4</t>
        </is>
      </c>
      <c r="FD3863" s="15" t="inlineStr">
        <is>
          <t>VLTC-33|</t>
        </is>
      </c>
      <c r="FE3863" s="17" t="inlineStr">
        <is>
          <t>LDYECS312S0045883</t>
        </is>
      </c>
      <c r="FF3863" s="18" t="inlineStr">
        <is>
          <t>MDN35025010007</t>
        </is>
      </c>
      <c r="FG3863" s="18" t="inlineStr">
        <is>
          <t>Zhong Thong</t>
        </is>
      </c>
      <c r="FH3863" s="18" t="inlineStr">
        <is>
          <t>Lck6122evg</t>
        </is>
      </c>
      <c r="FI3863" s="18" t="inlineStr">
        <is>
          <t>Zhong Thong</t>
        </is>
      </c>
      <c r="FJ3863" s="18" t="inlineStr">
        <is>
          <t>Lck6122evg</t>
        </is>
      </c>
      <c r="FK3863" s="18" t="n">
        <v>2026</v>
      </c>
      <c r="FL3863" s="18" t="inlineStr">
        <is>
          <t>B</t>
        </is>
      </c>
      <c r="FM3863" s="18" t="inlineStr">
        <is>
          <t>Las Acacias</t>
        </is>
      </c>
      <c r="FP3863" t="inlineStr">
        <is>
          <t>B</t>
        </is>
      </c>
    </row>
    <row r="3864">
      <c r="FC3864" t="inlineStr">
        <is>
          <t>Diccionario 4</t>
        </is>
      </c>
      <c r="FD3864" s="15" t="inlineStr">
        <is>
          <t>VLTC-34|</t>
        </is>
      </c>
      <c r="FE3864" s="17" t="inlineStr">
        <is>
          <t>LDYECS315S0045876</t>
        </is>
      </c>
      <c r="FF3864" s="18" t="inlineStr">
        <is>
          <t>MDN35025030057</t>
        </is>
      </c>
      <c r="FG3864" s="18" t="inlineStr">
        <is>
          <t>Zhong Thong</t>
        </is>
      </c>
      <c r="FH3864" s="18" t="inlineStr">
        <is>
          <t>Lck6122evg</t>
        </is>
      </c>
      <c r="FI3864" s="18" t="inlineStr">
        <is>
          <t>Zhong Thong</t>
        </is>
      </c>
      <c r="FJ3864" s="18" t="inlineStr">
        <is>
          <t>Lck6122evg</t>
        </is>
      </c>
      <c r="FK3864" s="18" t="n">
        <v>2026</v>
      </c>
      <c r="FL3864" s="18" t="inlineStr">
        <is>
          <t>B</t>
        </is>
      </c>
      <c r="FM3864" s="18" t="inlineStr">
        <is>
          <t>Las Acacias</t>
        </is>
      </c>
      <c r="FP3864" t="inlineStr">
        <is>
          <t>B</t>
        </is>
      </c>
    </row>
    <row r="3865">
      <c r="FC3865" t="inlineStr">
        <is>
          <t>Diccionario 4</t>
        </is>
      </c>
      <c r="FD3865" s="15" t="inlineStr">
        <is>
          <t>VLTC-35|</t>
        </is>
      </c>
      <c r="FE3865" s="17" t="inlineStr">
        <is>
          <t>LDYECS319S0045881</t>
        </is>
      </c>
      <c r="FF3865" s="18" t="inlineStr">
        <is>
          <t>MDN35025030161</t>
        </is>
      </c>
      <c r="FG3865" s="18" t="inlineStr">
        <is>
          <t>Zhong Thong</t>
        </is>
      </c>
      <c r="FH3865" s="18" t="inlineStr">
        <is>
          <t>Lck6122evg</t>
        </is>
      </c>
      <c r="FI3865" s="18" t="inlineStr">
        <is>
          <t>Zhong Thong</t>
        </is>
      </c>
      <c r="FJ3865" s="18" t="inlineStr">
        <is>
          <t>Lck6122evg</t>
        </is>
      </c>
      <c r="FK3865" s="18" t="n">
        <v>2026</v>
      </c>
      <c r="FL3865" s="18" t="inlineStr">
        <is>
          <t>B</t>
        </is>
      </c>
      <c r="FM3865" s="18" t="inlineStr">
        <is>
          <t>Las Acacias</t>
        </is>
      </c>
      <c r="FP3865" t="inlineStr">
        <is>
          <t>B</t>
        </is>
      </c>
    </row>
    <row r="3866">
      <c r="FC3866" t="inlineStr">
        <is>
          <t>Diccionario 4</t>
        </is>
      </c>
      <c r="FD3866" s="15" t="inlineStr">
        <is>
          <t>VLTC-36|</t>
        </is>
      </c>
      <c r="FE3866" s="17" t="inlineStr">
        <is>
          <t>LDYECS318S0045788</t>
        </is>
      </c>
      <c r="FF3866" s="18" t="inlineStr">
        <is>
          <t>MDN35025030139</t>
        </is>
      </c>
      <c r="FG3866" s="18" t="inlineStr">
        <is>
          <t>Zhong Thong</t>
        </is>
      </c>
      <c r="FH3866" s="18" t="inlineStr">
        <is>
          <t>Lck6122evg</t>
        </is>
      </c>
      <c r="FI3866" s="18" t="inlineStr">
        <is>
          <t>Zhong Thong</t>
        </is>
      </c>
      <c r="FJ3866" s="18" t="inlineStr">
        <is>
          <t>Lck6122evg</t>
        </is>
      </c>
      <c r="FK3866" s="18" t="n">
        <v>2026</v>
      </c>
      <c r="FL3866" s="18" t="inlineStr">
        <is>
          <t>B</t>
        </is>
      </c>
      <c r="FM3866" s="18" t="inlineStr">
        <is>
          <t>Las Acacias</t>
        </is>
      </c>
      <c r="FP3866" t="inlineStr">
        <is>
          <t>B</t>
        </is>
      </c>
    </row>
    <row r="3867">
      <c r="FC3867" t="inlineStr">
        <is>
          <t>Diccionario 4</t>
        </is>
      </c>
      <c r="FD3867" s="15" t="inlineStr">
        <is>
          <t>VLTC-37|</t>
        </is>
      </c>
      <c r="FE3867" s="17" t="inlineStr">
        <is>
          <t>LDYECS317S0045877</t>
        </is>
      </c>
      <c r="FF3867" s="18" t="inlineStr">
        <is>
          <t>MDN35025030162</t>
        </is>
      </c>
      <c r="FG3867" s="18" t="inlineStr">
        <is>
          <t>Zhong Thong</t>
        </is>
      </c>
      <c r="FH3867" s="18" t="inlineStr">
        <is>
          <t>Lck6122evg</t>
        </is>
      </c>
      <c r="FI3867" s="18" t="inlineStr">
        <is>
          <t>Zhong Thong</t>
        </is>
      </c>
      <c r="FJ3867" s="18" t="inlineStr">
        <is>
          <t>Lck6122evg</t>
        </is>
      </c>
      <c r="FK3867" s="18" t="n">
        <v>2026</v>
      </c>
      <c r="FL3867" s="18" t="inlineStr">
        <is>
          <t>B</t>
        </is>
      </c>
      <c r="FM3867" s="18" t="inlineStr">
        <is>
          <t>Las Acacias</t>
        </is>
      </c>
      <c r="FP3867" t="inlineStr">
        <is>
          <t>B</t>
        </is>
      </c>
    </row>
    <row r="3868">
      <c r="FC3868" t="inlineStr">
        <is>
          <t>Diccionario 4</t>
        </is>
      </c>
      <c r="FD3868" s="15" t="inlineStr">
        <is>
          <t>VLTC-43|</t>
        </is>
      </c>
      <c r="FE3868" s="17" t="inlineStr">
        <is>
          <t>LDYECS313S0045875</t>
        </is>
      </c>
      <c r="FF3868" s="18" t="inlineStr">
        <is>
          <t>MDN35025030129</t>
        </is>
      </c>
      <c r="FG3868" s="18" t="inlineStr">
        <is>
          <t>Zhong Thong</t>
        </is>
      </c>
      <c r="FH3868" s="18" t="inlineStr">
        <is>
          <t>Lck6122evg</t>
        </is>
      </c>
      <c r="FI3868" s="18" t="inlineStr">
        <is>
          <t>Zhong Thong</t>
        </is>
      </c>
      <c r="FJ3868" s="18" t="inlineStr">
        <is>
          <t>Lck6122evg</t>
        </is>
      </c>
      <c r="FK3868" s="18" t="n">
        <v>2026</v>
      </c>
      <c r="FL3868" s="18" t="inlineStr">
        <is>
          <t>B</t>
        </is>
      </c>
      <c r="FM3868" s="18" t="inlineStr">
        <is>
          <t>Las Acacias</t>
        </is>
      </c>
      <c r="FP3868" t="inlineStr">
        <is>
          <t>B</t>
        </is>
      </c>
    </row>
    <row r="3869">
      <c r="FC3869" t="inlineStr">
        <is>
          <t>Diccionario 4</t>
        </is>
      </c>
      <c r="FD3869" s="15" t="inlineStr">
        <is>
          <t>VLTC-44|</t>
        </is>
      </c>
      <c r="FE3869" s="17" t="inlineStr">
        <is>
          <t>LDYECS314S0045884</t>
        </is>
      </c>
      <c r="FF3869" s="18" t="inlineStr">
        <is>
          <t>MDN35025030150</t>
        </is>
      </c>
      <c r="FG3869" s="18" t="inlineStr">
        <is>
          <t>Zhong Thong</t>
        </is>
      </c>
      <c r="FH3869" s="18" t="inlineStr">
        <is>
          <t>Lck6122evg</t>
        </is>
      </c>
      <c r="FI3869" s="18" t="inlineStr">
        <is>
          <t>Zhong Thong</t>
        </is>
      </c>
      <c r="FJ3869" s="18" t="inlineStr">
        <is>
          <t>Lck6122evg</t>
        </is>
      </c>
      <c r="FK3869" s="18" t="n">
        <v>2026</v>
      </c>
      <c r="FL3869" s="18" t="inlineStr">
        <is>
          <t>B</t>
        </is>
      </c>
      <c r="FM3869" s="18" t="inlineStr">
        <is>
          <t>Las Acacias</t>
        </is>
      </c>
      <c r="FP3869" t="inlineStr">
        <is>
          <t>B</t>
        </is>
      </c>
    </row>
    <row r="3870">
      <c r="FC3870" t="inlineStr">
        <is>
          <t>Diccionario 4</t>
        </is>
      </c>
      <c r="FD3870" s="15" t="inlineStr">
        <is>
          <t>VLTC-45|</t>
        </is>
      </c>
      <c r="FE3870" s="17" t="inlineStr">
        <is>
          <t>LDYECS310S0045879</t>
        </is>
      </c>
      <c r="FF3870" s="18" t="inlineStr">
        <is>
          <t>MDN35025030061</t>
        </is>
      </c>
      <c r="FG3870" s="18" t="inlineStr">
        <is>
          <t>Zhong Thong</t>
        </is>
      </c>
      <c r="FH3870" s="18" t="inlineStr">
        <is>
          <t>Lck6122evg</t>
        </is>
      </c>
      <c r="FI3870" s="18" t="inlineStr">
        <is>
          <t>Zhong Thong</t>
        </is>
      </c>
      <c r="FJ3870" s="18" t="inlineStr">
        <is>
          <t>Lck6122evg</t>
        </is>
      </c>
      <c r="FK3870" s="18" t="n">
        <v>2026</v>
      </c>
      <c r="FL3870" s="18" t="inlineStr">
        <is>
          <t>B</t>
        </is>
      </c>
      <c r="FM3870" s="18" t="inlineStr">
        <is>
          <t>Las Acacias</t>
        </is>
      </c>
      <c r="FP3870" t="inlineStr">
        <is>
          <t>B</t>
        </is>
      </c>
    </row>
    <row r="3871">
      <c r="FC3871" t="inlineStr">
        <is>
          <t>Diccionario 4</t>
        </is>
      </c>
      <c r="FD3871" s="15" t="inlineStr">
        <is>
          <t>VLTC-53|</t>
        </is>
      </c>
      <c r="FE3871" s="17" t="inlineStr">
        <is>
          <t>LDYECS317S0045880</t>
        </is>
      </c>
      <c r="FF3871" s="18" t="inlineStr">
        <is>
          <t>MDN35025030304</t>
        </is>
      </c>
      <c r="FG3871" s="18" t="inlineStr">
        <is>
          <t>Zhong Thong</t>
        </is>
      </c>
      <c r="FH3871" s="18" t="inlineStr">
        <is>
          <t>Lck6122evg</t>
        </is>
      </c>
      <c r="FI3871" s="18" t="inlineStr">
        <is>
          <t>Zhong Thong</t>
        </is>
      </c>
      <c r="FJ3871" s="18" t="inlineStr">
        <is>
          <t>Lck6122evg</t>
        </is>
      </c>
      <c r="FK3871" s="18" t="n">
        <v>2026</v>
      </c>
      <c r="FL3871" s="18" t="inlineStr">
        <is>
          <t>B</t>
        </is>
      </c>
      <c r="FM3871" s="18" t="inlineStr">
        <is>
          <t>Las Acacias</t>
        </is>
      </c>
      <c r="FP3871" t="inlineStr">
        <is>
          <t>B</t>
        </is>
      </c>
    </row>
    <row r="3872">
      <c r="FC3872" t="inlineStr">
        <is>
          <t>Diccionario 4</t>
        </is>
      </c>
      <c r="FD3872" s="15" t="inlineStr">
        <is>
          <t>VLTC-62|</t>
        </is>
      </c>
      <c r="FE3872" s="17" t="inlineStr">
        <is>
          <t>LDYECS319S0045878</t>
        </is>
      </c>
      <c r="FF3872" s="18" t="inlineStr">
        <is>
          <t>MDN35025030083</t>
        </is>
      </c>
      <c r="FG3872" s="18" t="inlineStr">
        <is>
          <t>Zhong Thong</t>
        </is>
      </c>
      <c r="FH3872" s="18" t="inlineStr">
        <is>
          <t>Lck6122evg</t>
        </is>
      </c>
      <c r="FI3872" s="18" t="inlineStr">
        <is>
          <t>Zhong Thong</t>
        </is>
      </c>
      <c r="FJ3872" s="18" t="inlineStr">
        <is>
          <t>Lck6122evg</t>
        </is>
      </c>
      <c r="FK3872" s="18" t="n">
        <v>2026</v>
      </c>
      <c r="FL3872" s="18" t="inlineStr">
        <is>
          <t>B</t>
        </is>
      </c>
      <c r="FM3872" s="18" t="inlineStr">
        <is>
          <t>Las Acacias</t>
        </is>
      </c>
      <c r="FP3872" t="inlineStr">
        <is>
          <t>B</t>
        </is>
      </c>
    </row>
    <row r="3873">
      <c r="FC3873" t="inlineStr">
        <is>
          <t>Diccionario 4</t>
        </is>
      </c>
      <c r="FD3873" s="15" t="inlineStr">
        <is>
          <t>VLTC-92|</t>
        </is>
      </c>
      <c r="FE3873" s="17" t="inlineStr">
        <is>
          <t>LDYECS310S0045882</t>
        </is>
      </c>
      <c r="FF3873" s="18" t="inlineStr">
        <is>
          <t>MDN35025030289</t>
        </is>
      </c>
      <c r="FG3873" s="18" t="inlineStr">
        <is>
          <t>Zhong Thong</t>
        </is>
      </c>
      <c r="FH3873" s="18" t="inlineStr">
        <is>
          <t>Lck6122evg</t>
        </is>
      </c>
      <c r="FI3873" s="18" t="inlineStr">
        <is>
          <t>Zhong Thong</t>
        </is>
      </c>
      <c r="FJ3873" s="18" t="inlineStr">
        <is>
          <t>Lck6122evg</t>
        </is>
      </c>
      <c r="FK3873" s="18" t="n">
        <v>2026</v>
      </c>
      <c r="FL3873" s="18" t="inlineStr">
        <is>
          <t>B</t>
        </is>
      </c>
      <c r="FM3873" s="18" t="inlineStr">
        <is>
          <t>Las Acacias</t>
        </is>
      </c>
      <c r="FP3873" t="inlineStr">
        <is>
          <t>B</t>
        </is>
      </c>
    </row>
    <row r="3874">
      <c r="FC3874" t="inlineStr">
        <is>
          <t>Diccionario 4</t>
        </is>
      </c>
      <c r="FD3874" s="15" t="inlineStr">
        <is>
          <t>VPBC-75|</t>
        </is>
      </c>
      <c r="FE3874" s="17" t="inlineStr">
        <is>
          <t>LDYECS316S0045899</t>
        </is>
      </c>
      <c r="FF3874" s="18" t="inlineStr">
        <is>
          <t>MDN35025030166</t>
        </is>
      </c>
      <c r="FG3874" s="18" t="inlineStr">
        <is>
          <t>Zhong Thong</t>
        </is>
      </c>
      <c r="FH3874" s="18" t="inlineStr">
        <is>
          <t>Lck6122evg</t>
        </is>
      </c>
      <c r="FI3874" s="18" t="inlineStr">
        <is>
          <t>Zhong Thong</t>
        </is>
      </c>
      <c r="FJ3874" s="18" t="inlineStr">
        <is>
          <t>Lck6122evg</t>
        </is>
      </c>
      <c r="FK3874" s="18" t="n">
        <v>2026</v>
      </c>
      <c r="FL3874" s="18" t="inlineStr">
        <is>
          <t>B</t>
        </is>
      </c>
      <c r="FM3874" s="18" t="inlineStr">
        <is>
          <t>Las Acacias</t>
        </is>
      </c>
      <c r="FP3874" t="inlineStr">
        <is>
          <t>B</t>
        </is>
      </c>
    </row>
    <row r="3875">
      <c r="FC3875" t="inlineStr">
        <is>
          <t>Diccionario 4</t>
        </is>
      </c>
      <c r="FD3875" s="15" t="inlineStr">
        <is>
          <t>VPBD-15|</t>
        </is>
      </c>
      <c r="FE3875" s="17" t="inlineStr">
        <is>
          <t>LDYECS311S0045891</t>
        </is>
      </c>
      <c r="FF3875" s="18" t="inlineStr">
        <is>
          <t>MDN35025030095</t>
        </is>
      </c>
      <c r="FG3875" s="18" t="inlineStr">
        <is>
          <t>Zhong Thong</t>
        </is>
      </c>
      <c r="FH3875" s="18" t="inlineStr">
        <is>
          <t>Lck6122evg</t>
        </is>
      </c>
      <c r="FI3875" s="18" t="inlineStr">
        <is>
          <t>Zhong Thong</t>
        </is>
      </c>
      <c r="FJ3875" s="18" t="inlineStr">
        <is>
          <t>Lck6122evg</t>
        </is>
      </c>
      <c r="FK3875" s="18" t="n">
        <v>2026</v>
      </c>
      <c r="FL3875" s="18" t="inlineStr">
        <is>
          <t>B</t>
        </is>
      </c>
      <c r="FM3875" s="18" t="inlineStr">
        <is>
          <t>Las Acacias</t>
        </is>
      </c>
      <c r="FP3875" t="inlineStr">
        <is>
          <t>B</t>
        </is>
      </c>
    </row>
    <row r="3876">
      <c r="FC3876" t="inlineStr">
        <is>
          <t>Diccionario 4</t>
        </is>
      </c>
      <c r="FD3876" s="15" t="inlineStr">
        <is>
          <t>VPBD-25|</t>
        </is>
      </c>
      <c r="FE3876" s="17" t="inlineStr">
        <is>
          <t>LDYECS312S0045897</t>
        </is>
      </c>
      <c r="FF3876" s="18" t="inlineStr">
        <is>
          <t>MDN35025030274</t>
        </is>
      </c>
      <c r="FG3876" s="18" t="inlineStr">
        <is>
          <t>Zhong Thong</t>
        </is>
      </c>
      <c r="FH3876" s="18" t="inlineStr">
        <is>
          <t>Lck6122evg</t>
        </is>
      </c>
      <c r="FI3876" s="18" t="inlineStr">
        <is>
          <t>Zhong Thong</t>
        </is>
      </c>
      <c r="FJ3876" s="18" t="inlineStr">
        <is>
          <t>Lck6122evg</t>
        </is>
      </c>
      <c r="FK3876" s="18" t="n">
        <v>2026</v>
      </c>
      <c r="FL3876" s="18" t="inlineStr">
        <is>
          <t>B</t>
        </is>
      </c>
      <c r="FM3876" s="18" t="inlineStr">
        <is>
          <t>Las Acacias</t>
        </is>
      </c>
      <c r="FP3876" t="inlineStr">
        <is>
          <t>B</t>
        </is>
      </c>
    </row>
    <row r="3877">
      <c r="FC3877" t="inlineStr">
        <is>
          <t>Diccionario 4</t>
        </is>
      </c>
      <c r="FD3877" s="15" t="inlineStr">
        <is>
          <t>VPBD-64|</t>
        </is>
      </c>
      <c r="FE3877" s="17" t="inlineStr">
        <is>
          <t>LDYECS313S0045892</t>
        </is>
      </c>
      <c r="FF3877" s="18" t="inlineStr">
        <is>
          <t>MDN35025010003</t>
        </is>
      </c>
      <c r="FG3877" s="18" t="inlineStr">
        <is>
          <t>Zhong Thong</t>
        </is>
      </c>
      <c r="FH3877" s="18" t="inlineStr">
        <is>
          <t>Lck6122evg</t>
        </is>
      </c>
      <c r="FI3877" s="18" t="inlineStr">
        <is>
          <t>Zhong Thong</t>
        </is>
      </c>
      <c r="FJ3877" s="18" t="inlineStr">
        <is>
          <t>Lck6122evg</t>
        </is>
      </c>
      <c r="FK3877" s="18" t="n">
        <v>2026</v>
      </c>
      <c r="FL3877" s="18" t="inlineStr">
        <is>
          <t>B</t>
        </is>
      </c>
      <c r="FM3877" s="18" t="inlineStr">
        <is>
          <t>Las Acacias</t>
        </is>
      </c>
      <c r="FP3877" t="inlineStr">
        <is>
          <t>B</t>
        </is>
      </c>
    </row>
    <row r="3878">
      <c r="FC3878" t="inlineStr">
        <is>
          <t>Diccionario 4</t>
        </is>
      </c>
      <c r="FD3878" s="15" t="inlineStr">
        <is>
          <t>VPBD-84|</t>
        </is>
      </c>
      <c r="FE3878" s="17" t="inlineStr">
        <is>
          <t>LDYECS319S0045900</t>
        </is>
      </c>
      <c r="FF3878" s="18" t="inlineStr">
        <is>
          <t>MDN35025030309</t>
        </is>
      </c>
      <c r="FG3878" s="18" t="inlineStr">
        <is>
          <t>Zhong Thong</t>
        </is>
      </c>
      <c r="FH3878" s="18" t="inlineStr">
        <is>
          <t>Lck6122evg</t>
        </is>
      </c>
      <c r="FI3878" s="18" t="inlineStr">
        <is>
          <t>Zhong Thong</t>
        </is>
      </c>
      <c r="FJ3878" s="18" t="inlineStr">
        <is>
          <t>Lck6122evg</t>
        </is>
      </c>
      <c r="FK3878" s="18" t="n">
        <v>2026</v>
      </c>
      <c r="FL3878" s="18" t="inlineStr">
        <is>
          <t>B</t>
        </is>
      </c>
      <c r="FM3878" s="18" t="inlineStr">
        <is>
          <t>Las Acacias</t>
        </is>
      </c>
      <c r="FP3878" t="inlineStr">
        <is>
          <t>B</t>
        </is>
      </c>
    </row>
    <row r="3879">
      <c r="FC3879" t="inlineStr">
        <is>
          <t>Diccionario 4</t>
        </is>
      </c>
      <c r="FD3879" s="15" t="inlineStr">
        <is>
          <t>VPBF-11|</t>
        </is>
      </c>
      <c r="FE3879" s="17" t="inlineStr">
        <is>
          <t>LDYECS310S0045901</t>
        </is>
      </c>
      <c r="FF3879" s="18" t="inlineStr">
        <is>
          <t>MDN35025030140</t>
        </is>
      </c>
      <c r="FG3879" s="18" t="inlineStr">
        <is>
          <t>Zhong Thong</t>
        </is>
      </c>
      <c r="FH3879" s="18" t="inlineStr">
        <is>
          <t>Lck6122evg</t>
        </is>
      </c>
      <c r="FI3879" s="18" t="inlineStr">
        <is>
          <t>Zhong Thong</t>
        </is>
      </c>
      <c r="FJ3879" s="18" t="inlineStr">
        <is>
          <t>Lck6122evg</t>
        </is>
      </c>
      <c r="FK3879" s="18" t="n">
        <v>2026</v>
      </c>
      <c r="FL3879" s="18" t="inlineStr">
        <is>
          <t>B</t>
        </is>
      </c>
      <c r="FM3879" s="18" t="inlineStr">
        <is>
          <t>Las Acacias</t>
        </is>
      </c>
      <c r="FP3879" t="inlineStr">
        <is>
          <t>B</t>
        </is>
      </c>
    </row>
    <row r="3880">
      <c r="FC3880" t="inlineStr">
        <is>
          <t>Diccionario 4</t>
        </is>
      </c>
      <c r="FD3880" s="15" t="inlineStr">
        <is>
          <t>VPBF-13|</t>
        </is>
      </c>
      <c r="FE3880" s="17" t="inlineStr">
        <is>
          <t>LDYECS317S0045894</t>
        </is>
      </c>
      <c r="FF3880" s="18" t="inlineStr">
        <is>
          <t>MDN35025010015</t>
        </is>
      </c>
      <c r="FG3880" s="18" t="inlineStr">
        <is>
          <t>Zhong Thong</t>
        </is>
      </c>
      <c r="FH3880" s="18" t="inlineStr">
        <is>
          <t>Lck6122evg</t>
        </is>
      </c>
      <c r="FI3880" s="18" t="inlineStr">
        <is>
          <t>Zhong Thong</t>
        </is>
      </c>
      <c r="FJ3880" s="18" t="inlineStr">
        <is>
          <t>Lck6122evg</t>
        </is>
      </c>
      <c r="FK3880" s="18" t="n">
        <v>2026</v>
      </c>
      <c r="FL3880" s="18" t="inlineStr">
        <is>
          <t>B</t>
        </is>
      </c>
      <c r="FM3880" s="18" t="inlineStr">
        <is>
          <t>Las Acacias</t>
        </is>
      </c>
      <c r="FP3880" t="inlineStr">
        <is>
          <t>B</t>
        </is>
      </c>
    </row>
    <row r="3881">
      <c r="FC3881" t="inlineStr">
        <is>
          <t>Diccionario 4</t>
        </is>
      </c>
      <c r="FD3881" s="15" t="inlineStr">
        <is>
          <t>VPBF-14|</t>
        </is>
      </c>
      <c r="FE3881" s="17" t="inlineStr">
        <is>
          <t>LDYECS310S0045896</t>
        </is>
      </c>
      <c r="FF3881" s="18" t="inlineStr">
        <is>
          <t>MDN35025030169</t>
        </is>
      </c>
      <c r="FG3881" s="18" t="inlineStr">
        <is>
          <t>Zhong Thong</t>
        </is>
      </c>
      <c r="FH3881" s="18" t="inlineStr">
        <is>
          <t>Lck6122evg</t>
        </is>
      </c>
      <c r="FI3881" s="18" t="inlineStr">
        <is>
          <t>Zhong Thong</t>
        </is>
      </c>
      <c r="FJ3881" s="18" t="inlineStr">
        <is>
          <t>Lck6122evg</t>
        </is>
      </c>
      <c r="FK3881" s="18" t="n">
        <v>2026</v>
      </c>
      <c r="FL3881" s="18" t="inlineStr">
        <is>
          <t>B</t>
        </is>
      </c>
      <c r="FM3881" s="18" t="inlineStr">
        <is>
          <t>Las Acacias</t>
        </is>
      </c>
      <c r="FP3881" t="inlineStr">
        <is>
          <t>B</t>
        </is>
      </c>
    </row>
    <row r="3882">
      <c r="FC3882" t="inlineStr">
        <is>
          <t>Diccionario 4</t>
        </is>
      </c>
      <c r="FD3882" s="15" t="inlineStr">
        <is>
          <t>VPBF-41|</t>
        </is>
      </c>
      <c r="FE3882" s="17" t="inlineStr">
        <is>
          <t>LDYECS319S0045895</t>
        </is>
      </c>
      <c r="FF3882" s="18" t="inlineStr">
        <is>
          <t>MDN35025030282</t>
        </is>
      </c>
      <c r="FG3882" s="18" t="inlineStr">
        <is>
          <t>Zhong Thong</t>
        </is>
      </c>
      <c r="FH3882" s="18" t="inlineStr">
        <is>
          <t>Lck6122evg</t>
        </is>
      </c>
      <c r="FI3882" s="18" t="inlineStr">
        <is>
          <t>Zhong Thong</t>
        </is>
      </c>
      <c r="FJ3882" s="18" t="inlineStr">
        <is>
          <t>Lck6122evg</t>
        </is>
      </c>
      <c r="FK3882" s="18" t="n">
        <v>2026</v>
      </c>
      <c r="FL3882" s="18" t="inlineStr">
        <is>
          <t>B</t>
        </is>
      </c>
      <c r="FM3882" s="18" t="inlineStr">
        <is>
          <t>Las Acacias</t>
        </is>
      </c>
      <c r="FP3882" t="inlineStr">
        <is>
          <t>B</t>
        </is>
      </c>
    </row>
    <row r="3883">
      <c r="FC3883" t="inlineStr">
        <is>
          <t>Diccionario 4</t>
        </is>
      </c>
      <c r="FD3883" s="15" t="inlineStr">
        <is>
          <t>VPBF-51|</t>
        </is>
      </c>
      <c r="FE3883" s="17" t="inlineStr">
        <is>
          <t>LDYECS313S0045889</t>
        </is>
      </c>
      <c r="FF3883" s="18" t="inlineStr">
        <is>
          <t>MDN35025010009</t>
        </is>
      </c>
      <c r="FG3883" s="18" t="inlineStr">
        <is>
          <t>Zhong Thong</t>
        </is>
      </c>
      <c r="FH3883" s="18" t="inlineStr">
        <is>
          <t>Lck6122evg</t>
        </is>
      </c>
      <c r="FI3883" s="18" t="inlineStr">
        <is>
          <t>Zhong Thong</t>
        </is>
      </c>
      <c r="FJ3883" s="18" t="inlineStr">
        <is>
          <t>Lck6122evg</t>
        </is>
      </c>
      <c r="FK3883" s="18" t="n">
        <v>2026</v>
      </c>
      <c r="FL3883" s="18" t="inlineStr">
        <is>
          <t>B</t>
        </is>
      </c>
      <c r="FM3883" s="18" t="inlineStr">
        <is>
          <t>Las Acacias</t>
        </is>
      </c>
      <c r="FP3883" t="inlineStr">
        <is>
          <t>B</t>
        </is>
      </c>
    </row>
    <row r="3884">
      <c r="FC3884" t="inlineStr">
        <is>
          <t>Diccionario 4</t>
        </is>
      </c>
      <c r="FD3884" s="15" t="inlineStr">
        <is>
          <t>VPBF-63|</t>
        </is>
      </c>
      <c r="FE3884" s="17" t="inlineStr">
        <is>
          <t>LDYECS314S0045898</t>
        </is>
      </c>
      <c r="FF3884" s="18" t="inlineStr">
        <is>
          <t>MDN35025030165</t>
        </is>
      </c>
      <c r="FG3884" s="18" t="inlineStr">
        <is>
          <t>Zhong Thong</t>
        </is>
      </c>
      <c r="FH3884" s="18" t="inlineStr">
        <is>
          <t>Lck6122evg</t>
        </is>
      </c>
      <c r="FI3884" s="18" t="inlineStr">
        <is>
          <t>Zhong Thong</t>
        </is>
      </c>
      <c r="FJ3884" s="18" t="inlineStr">
        <is>
          <t>Lck6122evg</t>
        </is>
      </c>
      <c r="FK3884" s="18" t="n">
        <v>2026</v>
      </c>
      <c r="FL3884" s="18" t="inlineStr">
        <is>
          <t>B</t>
        </is>
      </c>
      <c r="FM3884" s="18" t="inlineStr">
        <is>
          <t>Las Acacias</t>
        </is>
      </c>
      <c r="FP3884" t="inlineStr">
        <is>
          <t>B</t>
        </is>
      </c>
    </row>
    <row r="3885">
      <c r="FC3885" t="inlineStr">
        <is>
          <t>Diccionario 4</t>
        </is>
      </c>
      <c r="FD3885" s="15" t="inlineStr">
        <is>
          <t>VPBF-71|</t>
        </is>
      </c>
      <c r="FE3885" s="17" t="inlineStr">
        <is>
          <t>LDYECS318S0045886</t>
        </is>
      </c>
      <c r="FF3885" s="18" t="inlineStr">
        <is>
          <t>MDN35025010011</t>
        </is>
      </c>
      <c r="FG3885" s="18" t="inlineStr">
        <is>
          <t>Zhong Thong</t>
        </is>
      </c>
      <c r="FH3885" s="18" t="inlineStr">
        <is>
          <t>Lck6122evg</t>
        </is>
      </c>
      <c r="FI3885" s="18" t="inlineStr">
        <is>
          <t>Zhong Thong</t>
        </is>
      </c>
      <c r="FJ3885" s="18" t="inlineStr">
        <is>
          <t>Lck6122evg</t>
        </is>
      </c>
      <c r="FK3885" s="18" t="n">
        <v>2026</v>
      </c>
      <c r="FL3885" s="18" t="inlineStr">
        <is>
          <t>B</t>
        </is>
      </c>
      <c r="FM3885" s="18" t="inlineStr">
        <is>
          <t>Las Acacias</t>
        </is>
      </c>
      <c r="FP3885" t="inlineStr">
        <is>
          <t>B</t>
        </is>
      </c>
    </row>
    <row r="3886">
      <c r="FC3886" t="inlineStr">
        <is>
          <t>Diccionario 4</t>
        </is>
      </c>
      <c r="FD3886" s="15" t="inlineStr">
        <is>
          <t>VPBF-93|</t>
        </is>
      </c>
      <c r="FE3886" s="17" t="inlineStr">
        <is>
          <t>LDYECS310S0040231</t>
        </is>
      </c>
      <c r="FF3886" s="18" t="inlineStr">
        <is>
          <t>MDN35024090002</t>
        </is>
      </c>
      <c r="FG3886" s="18" t="inlineStr">
        <is>
          <t>Zhong Thong</t>
        </is>
      </c>
      <c r="FH3886" s="18" t="inlineStr">
        <is>
          <t>Lck6122evg</t>
        </is>
      </c>
      <c r="FI3886" s="18" t="inlineStr">
        <is>
          <t>Zhong Thong</t>
        </is>
      </c>
      <c r="FJ3886" s="18" t="inlineStr">
        <is>
          <t>Lck6122evg</t>
        </is>
      </c>
      <c r="FK3886" s="18" t="n">
        <v>2026</v>
      </c>
      <c r="FL3886" s="18" t="inlineStr">
        <is>
          <t>B</t>
        </is>
      </c>
      <c r="FM3886" s="18" t="inlineStr">
        <is>
          <t>Las Acacias</t>
        </is>
      </c>
      <c r="FP3886" t="inlineStr">
        <is>
          <t>B</t>
        </is>
      </c>
    </row>
    <row r="3887">
      <c r="FC3887" t="inlineStr">
        <is>
          <t>Diccionario 4</t>
        </is>
      </c>
      <c r="FD3887" s="15" t="inlineStr">
        <is>
          <t>VPBG-88|</t>
        </is>
      </c>
      <c r="FE3887" s="17" t="inlineStr">
        <is>
          <t>LDYECS315S0045893</t>
        </is>
      </c>
      <c r="FF3887" s="18" t="inlineStr">
        <is>
          <t>MDN35025010002</t>
        </is>
      </c>
      <c r="FG3887" s="18" t="inlineStr">
        <is>
          <t>Zhong Thong</t>
        </is>
      </c>
      <c r="FH3887" s="18" t="inlineStr">
        <is>
          <t>Lck6122evg</t>
        </is>
      </c>
      <c r="FI3887" s="18" t="inlineStr">
        <is>
          <t>Zhong Thong</t>
        </is>
      </c>
      <c r="FJ3887" s="18" t="inlineStr">
        <is>
          <t>Lck6122evg</t>
        </is>
      </c>
      <c r="FK3887" s="18" t="n">
        <v>2026</v>
      </c>
      <c r="FL3887" s="18" t="inlineStr">
        <is>
          <t>B</t>
        </is>
      </c>
      <c r="FM3887" s="18" t="inlineStr">
        <is>
          <t>Las Acacias</t>
        </is>
      </c>
      <c r="FP3887" t="inlineStr">
        <is>
          <t>B</t>
        </is>
      </c>
    </row>
    <row r="3888">
      <c r="FC3888" t="inlineStr">
        <is>
          <t>Diccionario 4</t>
        </is>
      </c>
      <c r="FD3888" s="15" t="inlineStr">
        <is>
          <t>VPBK-91|</t>
        </is>
      </c>
      <c r="FE3888" s="17" t="inlineStr">
        <is>
          <t>LDYECS31XS0045890</t>
        </is>
      </c>
      <c r="FF3888" s="18" t="inlineStr">
        <is>
          <t>MDN35025030147</t>
        </is>
      </c>
      <c r="FG3888" s="18" t="inlineStr">
        <is>
          <t>Zhong Thong</t>
        </is>
      </c>
      <c r="FH3888" s="18" t="inlineStr">
        <is>
          <t>Lck6122evg</t>
        </is>
      </c>
      <c r="FI3888" s="18" t="inlineStr">
        <is>
          <t>Zhong Thong</t>
        </is>
      </c>
      <c r="FJ3888" s="18" t="inlineStr">
        <is>
          <t>Lck6122evg</t>
        </is>
      </c>
      <c r="FK3888" s="18" t="n">
        <v>2026</v>
      </c>
      <c r="FL3888" s="18" t="inlineStr">
        <is>
          <t>B</t>
        </is>
      </c>
      <c r="FM3888" s="18" t="inlineStr">
        <is>
          <t>Las Acacias</t>
        </is>
      </c>
      <c r="FP3888" t="inlineStr">
        <is>
          <t>B</t>
        </is>
      </c>
    </row>
    <row r="3889">
      <c r="FC3889" t="inlineStr">
        <is>
          <t>-</t>
        </is>
      </c>
    </row>
    <row r="3890">
      <c r="FC3890" t="inlineStr">
        <is>
          <t>Diccionario 4</t>
        </is>
      </c>
      <c r="FD3890" s="15" t="inlineStr">
        <is>
          <t>FLXZ-94|</t>
        </is>
      </c>
      <c r="FE3890" s="15" t="inlineStr">
        <is>
          <t>D8478292K2PL</t>
        </is>
      </c>
      <c r="FF3890" s="15" t="inlineStr">
        <is>
          <t>YV3T7U524KA195142</t>
        </is>
      </c>
      <c r="FG3890" s="15" t="inlineStr">
        <is>
          <t>Volvo</t>
        </is>
      </c>
      <c r="FH3890" s="15" t="inlineStr">
        <is>
          <t>B8R</t>
        </is>
      </c>
      <c r="FI3890" s="15" t="inlineStr">
        <is>
          <t>MARCOPOLO</t>
        </is>
      </c>
      <c r="FJ3890" s="15" t="inlineStr">
        <is>
          <t>TORINO</t>
        </is>
      </c>
      <c r="FK3890" s="15" t="n">
        <v>2019</v>
      </c>
      <c r="FL3890" s="15" t="inlineStr">
        <is>
          <t>B2PAL</t>
        </is>
      </c>
      <c r="FM3890" s="15" t="inlineStr">
        <is>
          <t>LOS LIBERTADORES</t>
        </is>
      </c>
      <c r="FN3890" s="15" t="inlineStr">
        <is>
          <t>Los Liberadores 6450, Lote 4A</t>
        </is>
      </c>
      <c r="FO3890" s="15" t="inlineStr">
        <is>
          <t>Huechuraba</t>
        </is>
      </c>
      <c r="FP3890" t="inlineStr">
        <is>
          <t>B</t>
        </is>
      </c>
    </row>
    <row r="3891">
      <c r="FC3891" t="inlineStr">
        <is>
          <t>Diccionario 4</t>
        </is>
      </c>
      <c r="FD3891" s="15" t="inlineStr">
        <is>
          <t>GCBB-13|</t>
        </is>
      </c>
      <c r="FE3891" s="15" t="inlineStr">
        <is>
          <t>D8482685K2PL</t>
        </is>
      </c>
      <c r="FF3891" s="15" t="inlineStr">
        <is>
          <t>YV3T7U521KA195230</t>
        </is>
      </c>
      <c r="FG3891" s="15" t="inlineStr">
        <is>
          <t>Volvo</t>
        </is>
      </c>
      <c r="FH3891" s="15" t="inlineStr">
        <is>
          <t>B8R</t>
        </is>
      </c>
      <c r="FI3891" s="15" t="inlineStr">
        <is>
          <t>MARCOPOLO</t>
        </is>
      </c>
      <c r="FJ3891" s="15" t="inlineStr">
        <is>
          <t>TORINO</t>
        </is>
      </c>
      <c r="FK3891" s="15" t="n">
        <v>2019</v>
      </c>
      <c r="FL3891" s="15" t="inlineStr">
        <is>
          <t>B2PAL</t>
        </is>
      </c>
      <c r="FM3891" s="15" t="inlineStr">
        <is>
          <t>LOS LIBERTADORES</t>
        </is>
      </c>
      <c r="FN3891" s="15" t="inlineStr">
        <is>
          <t>Los Liberadores 6450, Lote 4A</t>
        </is>
      </c>
      <c r="FO3891" s="15" t="inlineStr">
        <is>
          <t>Huechuraba</t>
        </is>
      </c>
      <c r="FP3891" t="inlineStr">
        <is>
          <t>B</t>
        </is>
      </c>
    </row>
    <row r="3892">
      <c r="FC3892" t="inlineStr">
        <is>
          <t>Diccionario 4</t>
        </is>
      </c>
      <c r="FD3892" s="15" t="inlineStr">
        <is>
          <t>GCBC-16|</t>
        </is>
      </c>
      <c r="FE3892" s="15" t="inlineStr">
        <is>
          <t>D8483833K2PL</t>
        </is>
      </c>
      <c r="FF3892" s="15" t="inlineStr">
        <is>
          <t>YV3T7U520KA195641</t>
        </is>
      </c>
      <c r="FG3892" s="15" t="inlineStr">
        <is>
          <t>Volvo</t>
        </is>
      </c>
      <c r="FH3892" s="15" t="inlineStr">
        <is>
          <t>B8R</t>
        </is>
      </c>
      <c r="FI3892" s="15" t="inlineStr">
        <is>
          <t>MARCOPOLO</t>
        </is>
      </c>
      <c r="FJ3892" s="15" t="inlineStr">
        <is>
          <t>TORINO</t>
        </is>
      </c>
      <c r="FK3892" s="15" t="n">
        <v>2019</v>
      </c>
      <c r="FL3892" s="15" t="inlineStr">
        <is>
          <t>B2PAL</t>
        </is>
      </c>
      <c r="FM3892" s="15" t="inlineStr">
        <is>
          <t>LOS LIBERTADORES</t>
        </is>
      </c>
      <c r="FN3892" s="15" t="inlineStr">
        <is>
          <t>Los Liberadores 6450, Lote 4A</t>
        </is>
      </c>
      <c r="FO3892" s="15" t="inlineStr">
        <is>
          <t>Huechuraba</t>
        </is>
      </c>
      <c r="FP3892" t="inlineStr">
        <is>
          <t>B</t>
        </is>
      </c>
    </row>
    <row r="3893">
      <c r="FC3893" t="inlineStr">
        <is>
          <t>Diccionario 4</t>
        </is>
      </c>
      <c r="FD3893" s="15" t="inlineStr">
        <is>
          <t>GCBC-17|</t>
        </is>
      </c>
      <c r="FE3893" s="15" t="inlineStr">
        <is>
          <t>D8483530K2PL</t>
        </is>
      </c>
      <c r="FF3893" s="15" t="inlineStr">
        <is>
          <t>YV3T7U522KA195642</t>
        </is>
      </c>
      <c r="FG3893" s="15" t="inlineStr">
        <is>
          <t>Volvo</t>
        </is>
      </c>
      <c r="FH3893" s="15" t="inlineStr">
        <is>
          <t>B8R</t>
        </is>
      </c>
      <c r="FI3893" s="15" t="inlineStr">
        <is>
          <t>MARCOPOLO</t>
        </is>
      </c>
      <c r="FJ3893" s="15" t="inlineStr">
        <is>
          <t>TORINO</t>
        </is>
      </c>
      <c r="FK3893" s="15" t="n">
        <v>2019</v>
      </c>
      <c r="FL3893" s="15" t="inlineStr">
        <is>
          <t>B2PAL</t>
        </is>
      </c>
      <c r="FM3893" s="15" t="inlineStr">
        <is>
          <t>LOS LIBERTADORES</t>
        </is>
      </c>
      <c r="FN3893" s="15" t="inlineStr">
        <is>
          <t>Los Liberadores 6450, Lote 4A</t>
        </is>
      </c>
      <c r="FO3893" s="15" t="inlineStr">
        <is>
          <t>Huechuraba</t>
        </is>
      </c>
      <c r="FP3893" t="inlineStr">
        <is>
          <t>B</t>
        </is>
      </c>
    </row>
    <row r="3894">
      <c r="FC3894" t="inlineStr">
        <is>
          <t>Diccionario 4</t>
        </is>
      </c>
      <c r="FD3894" s="15" t="inlineStr">
        <is>
          <t>GCBC-18|</t>
        </is>
      </c>
      <c r="FE3894" s="15" t="inlineStr">
        <is>
          <t>D8483789K2PL</t>
        </is>
      </c>
      <c r="FF3894" s="15" t="inlineStr">
        <is>
          <t>YV3T7U524KA195643</t>
        </is>
      </c>
      <c r="FG3894" s="15" t="inlineStr">
        <is>
          <t>Volvo</t>
        </is>
      </c>
      <c r="FH3894" s="15" t="inlineStr">
        <is>
          <t>B8R</t>
        </is>
      </c>
      <c r="FI3894" s="15" t="inlineStr">
        <is>
          <t>MARCOPOLO</t>
        </is>
      </c>
      <c r="FJ3894" s="15" t="inlineStr">
        <is>
          <t>TORINO</t>
        </is>
      </c>
      <c r="FK3894" s="15" t="n">
        <v>2019</v>
      </c>
      <c r="FL3894" s="15" t="inlineStr">
        <is>
          <t>B2PAL</t>
        </is>
      </c>
      <c r="FM3894" s="15" t="inlineStr">
        <is>
          <t>SAN JOSE</t>
        </is>
      </c>
      <c r="FN3894" s="15" t="inlineStr">
        <is>
          <t>San José 030 (José Besa 669)</t>
        </is>
      </c>
      <c r="FO3894" s="15" t="inlineStr">
        <is>
          <t>San Bernardo</t>
        </is>
      </c>
      <c r="FP3894" t="inlineStr">
        <is>
          <t>B</t>
        </is>
      </c>
    </row>
    <row r="3895">
      <c r="FC3895" t="inlineStr">
        <is>
          <t>Diccionario 4</t>
        </is>
      </c>
      <c r="FD3895" s="15" t="inlineStr">
        <is>
          <t>GCBC-19|</t>
        </is>
      </c>
      <c r="FE3895" s="15" t="inlineStr">
        <is>
          <t>D8484480K2PL</t>
        </is>
      </c>
      <c r="FF3895" s="15" t="inlineStr">
        <is>
          <t>YV3T7U524KA195688</t>
        </is>
      </c>
      <c r="FG3895" s="15" t="inlineStr">
        <is>
          <t>Volvo</t>
        </is>
      </c>
      <c r="FH3895" s="15" t="inlineStr">
        <is>
          <t>B8R</t>
        </is>
      </c>
      <c r="FI3895" s="15" t="inlineStr">
        <is>
          <t>MARCOPOLO</t>
        </is>
      </c>
      <c r="FJ3895" s="15" t="inlineStr">
        <is>
          <t>TORINO</t>
        </is>
      </c>
      <c r="FK3895" s="15" t="n">
        <v>2019</v>
      </c>
      <c r="FL3895" s="15" t="inlineStr">
        <is>
          <t>B2PAL</t>
        </is>
      </c>
      <c r="FM3895" s="15" t="inlineStr">
        <is>
          <t>SAN JOSE</t>
        </is>
      </c>
      <c r="FN3895" s="15" t="inlineStr">
        <is>
          <t>San José 030 (José Besa 669)</t>
        </is>
      </c>
      <c r="FO3895" s="15" t="inlineStr">
        <is>
          <t>San Bernardo</t>
        </is>
      </c>
      <c r="FP3895" t="inlineStr">
        <is>
          <t>B</t>
        </is>
      </c>
    </row>
    <row r="3896">
      <c r="FC3896" t="inlineStr">
        <is>
          <t>Diccionario 4</t>
        </is>
      </c>
      <c r="FD3896" s="15" t="inlineStr">
        <is>
          <t>GCBC-20|</t>
        </is>
      </c>
      <c r="FE3896" s="15" t="inlineStr">
        <is>
          <t>D8484637K2PL</t>
        </is>
      </c>
      <c r="FF3896" s="15" t="inlineStr">
        <is>
          <t>YV3T7U528KA195712</t>
        </is>
      </c>
      <c r="FG3896" s="15" t="inlineStr">
        <is>
          <t>Volvo</t>
        </is>
      </c>
      <c r="FH3896" s="15" t="inlineStr">
        <is>
          <t>B8R</t>
        </is>
      </c>
      <c r="FI3896" s="15" t="inlineStr">
        <is>
          <t>MARCOPOLO</t>
        </is>
      </c>
      <c r="FJ3896" s="15" t="inlineStr">
        <is>
          <t>TORINO</t>
        </is>
      </c>
      <c r="FK3896" s="15" t="n">
        <v>2019</v>
      </c>
      <c r="FL3896" s="15" t="inlineStr">
        <is>
          <t>B2PAL</t>
        </is>
      </c>
      <c r="FM3896" s="15" t="inlineStr">
        <is>
          <t>SAN JOSE</t>
        </is>
      </c>
      <c r="FN3896" s="15" t="inlineStr">
        <is>
          <t>San José 030 (José Besa 669)</t>
        </is>
      </c>
      <c r="FO3896" s="15" t="inlineStr">
        <is>
          <t>San Bernardo</t>
        </is>
      </c>
      <c r="FP3896" t="inlineStr">
        <is>
          <t>B</t>
        </is>
      </c>
    </row>
    <row r="3897">
      <c r="FC3897" t="inlineStr">
        <is>
          <t>Diccionario 4</t>
        </is>
      </c>
      <c r="FD3897" s="15" t="inlineStr">
        <is>
          <t>GCBC-21|</t>
        </is>
      </c>
      <c r="FE3897" s="15" t="inlineStr">
        <is>
          <t>D8484676K2PL</t>
        </is>
      </c>
      <c r="FF3897" s="15" t="inlineStr">
        <is>
          <t>YV3T7U52XKA195713</t>
        </is>
      </c>
      <c r="FG3897" s="15" t="inlineStr">
        <is>
          <t>Volvo</t>
        </is>
      </c>
      <c r="FH3897" s="15" t="inlineStr">
        <is>
          <t>B8R</t>
        </is>
      </c>
      <c r="FI3897" s="15" t="inlineStr">
        <is>
          <t>MARCOPOLO</t>
        </is>
      </c>
      <c r="FJ3897" s="15" t="inlineStr">
        <is>
          <t>TORINO</t>
        </is>
      </c>
      <c r="FK3897" s="15" t="n">
        <v>2019</v>
      </c>
      <c r="FL3897" s="15" t="inlineStr">
        <is>
          <t>B2PAL</t>
        </is>
      </c>
      <c r="FM3897" s="15" t="inlineStr">
        <is>
          <t>LOS LIBERTADORES</t>
        </is>
      </c>
      <c r="FN3897" s="15" t="inlineStr">
        <is>
          <t>Los Liberadores 6450, Lote 4A</t>
        </is>
      </c>
      <c r="FO3897" s="15" t="inlineStr">
        <is>
          <t>Huechuraba</t>
        </is>
      </c>
      <c r="FP3897" t="inlineStr">
        <is>
          <t>B</t>
        </is>
      </c>
    </row>
    <row r="3898">
      <c r="FC3898" t="inlineStr">
        <is>
          <t>Diccionario 4</t>
        </is>
      </c>
      <c r="FD3898" s="15" t="inlineStr">
        <is>
          <t>GCBC-22|</t>
        </is>
      </c>
      <c r="FE3898" s="15" t="inlineStr">
        <is>
          <t>D8484733K2PL</t>
        </is>
      </c>
      <c r="FF3898" s="15" t="inlineStr">
        <is>
          <t>YV3T7U526KA195742</t>
        </is>
      </c>
      <c r="FG3898" s="15" t="inlineStr">
        <is>
          <t>Volvo</t>
        </is>
      </c>
      <c r="FH3898" s="15" t="inlineStr">
        <is>
          <t>B8R</t>
        </is>
      </c>
      <c r="FI3898" s="15" t="inlineStr">
        <is>
          <t>MARCOPOLO</t>
        </is>
      </c>
      <c r="FJ3898" s="15" t="inlineStr">
        <is>
          <t>TORINO</t>
        </is>
      </c>
      <c r="FK3898" s="15" t="n">
        <v>2019</v>
      </c>
      <c r="FL3898" s="15" t="inlineStr">
        <is>
          <t>B2PAL</t>
        </is>
      </c>
      <c r="FM3898" s="15" t="inlineStr">
        <is>
          <t>LOS LIBERTADORES</t>
        </is>
      </c>
      <c r="FN3898" s="15" t="inlineStr">
        <is>
          <t>Los Liberadores 6450, Lote 4A</t>
        </is>
      </c>
      <c r="FO3898" s="15" t="inlineStr">
        <is>
          <t>Huechuraba</t>
        </is>
      </c>
      <c r="FP3898" t="inlineStr">
        <is>
          <t>B</t>
        </is>
      </c>
    </row>
    <row r="3899">
      <c r="FC3899" t="inlineStr">
        <is>
          <t>Diccionario 4</t>
        </is>
      </c>
      <c r="FD3899" s="15" t="inlineStr">
        <is>
          <t>GCBC-23|</t>
        </is>
      </c>
      <c r="FE3899" s="15" t="inlineStr">
        <is>
          <t>D8481621K2PL</t>
        </is>
      </c>
      <c r="FF3899" s="15" t="inlineStr">
        <is>
          <t>YV3T7U528KA195175</t>
        </is>
      </c>
      <c r="FG3899" s="15" t="inlineStr">
        <is>
          <t>Volvo</t>
        </is>
      </c>
      <c r="FH3899" s="15" t="inlineStr">
        <is>
          <t>B8R</t>
        </is>
      </c>
      <c r="FI3899" s="15" t="inlineStr">
        <is>
          <t>MARCOPOLO</t>
        </is>
      </c>
      <c r="FJ3899" s="15" t="inlineStr">
        <is>
          <t>TORINO</t>
        </is>
      </c>
      <c r="FK3899" s="15" t="n">
        <v>2019</v>
      </c>
      <c r="FL3899" s="15" t="inlineStr">
        <is>
          <t>B2PAL</t>
        </is>
      </c>
      <c r="FM3899" s="15" t="inlineStr">
        <is>
          <t>LOS LIBERTADORES</t>
        </is>
      </c>
      <c r="FN3899" s="15" t="inlineStr">
        <is>
          <t>Los Liberadores 6450, Lote 4A</t>
        </is>
      </c>
      <c r="FO3899" s="15" t="inlineStr">
        <is>
          <t>Huechuraba</t>
        </is>
      </c>
      <c r="FP3899" t="inlineStr">
        <is>
          <t>B</t>
        </is>
      </c>
    </row>
    <row r="3900">
      <c r="FC3900" t="inlineStr">
        <is>
          <t>Diccionario 4</t>
        </is>
      </c>
      <c r="FD3900" s="15" t="inlineStr">
        <is>
          <t>GCBB-16|</t>
        </is>
      </c>
      <c r="FE3900" s="15" t="inlineStr">
        <is>
          <t>D8482769K2PL</t>
        </is>
      </c>
      <c r="FF3900" s="15" t="inlineStr">
        <is>
          <t>YV3T7U522KA195303</t>
        </is>
      </c>
      <c r="FG3900" s="15" t="inlineStr">
        <is>
          <t>Volvo</t>
        </is>
      </c>
      <c r="FH3900" s="15" t="inlineStr">
        <is>
          <t>B8R</t>
        </is>
      </c>
      <c r="FI3900" s="15" t="inlineStr">
        <is>
          <t>MARCOPOLO</t>
        </is>
      </c>
      <c r="FJ3900" s="15" t="inlineStr">
        <is>
          <t>TORINO</t>
        </is>
      </c>
      <c r="FK3900" s="15" t="n">
        <v>2019</v>
      </c>
      <c r="FL3900" s="15" t="inlineStr">
        <is>
          <t>B2PAL</t>
        </is>
      </c>
      <c r="FM3900" s="15" t="inlineStr">
        <is>
          <t>LOS LIBERTADORES</t>
        </is>
      </c>
      <c r="FN3900" s="15" t="inlineStr">
        <is>
          <t>Los Liberadores 6450, Lote 4A</t>
        </is>
      </c>
      <c r="FO3900" s="15" t="inlineStr">
        <is>
          <t>Huechuraba</t>
        </is>
      </c>
      <c r="FP3900" t="inlineStr">
        <is>
          <t>B</t>
        </is>
      </c>
    </row>
    <row r="3901">
      <c r="FC3901" t="inlineStr">
        <is>
          <t>Diccionario 4</t>
        </is>
      </c>
      <c r="FD3901" s="15" t="inlineStr">
        <is>
          <t>GCBB-17|</t>
        </is>
      </c>
      <c r="FE3901" s="15" t="inlineStr">
        <is>
          <t>D8478205K2PL</t>
        </is>
      </c>
      <c r="FF3901" s="15" t="inlineStr">
        <is>
          <t>YV3T7U520KA195140</t>
        </is>
      </c>
      <c r="FG3901" s="15" t="inlineStr">
        <is>
          <t>Volvo</t>
        </is>
      </c>
      <c r="FH3901" s="15" t="inlineStr">
        <is>
          <t>B8R</t>
        </is>
      </c>
      <c r="FI3901" s="15" t="inlineStr">
        <is>
          <t>MARCOPOLO</t>
        </is>
      </c>
      <c r="FJ3901" s="15" t="inlineStr">
        <is>
          <t>TORINO</t>
        </is>
      </c>
      <c r="FK3901" s="15" t="n">
        <v>2019</v>
      </c>
      <c r="FL3901" s="15" t="inlineStr">
        <is>
          <t>B2PAL</t>
        </is>
      </c>
      <c r="FM3901" s="15" t="inlineStr">
        <is>
          <t>LOS LIBERTADORES</t>
        </is>
      </c>
      <c r="FN3901" s="15" t="inlineStr">
        <is>
          <t>Los Liberadores 6450, Lote 4A</t>
        </is>
      </c>
      <c r="FO3901" s="15" t="inlineStr">
        <is>
          <t>Huechuraba</t>
        </is>
      </c>
      <c r="FP3901" t="inlineStr">
        <is>
          <t>B</t>
        </is>
      </c>
    </row>
    <row r="3902">
      <c r="FC3902" t="inlineStr">
        <is>
          <t>Diccionario 4</t>
        </is>
      </c>
      <c r="FD3902" s="15" t="inlineStr">
        <is>
          <t>GCBB-18|</t>
        </is>
      </c>
      <c r="FE3902" s="15" t="inlineStr">
        <is>
          <t>D8481556K2PL</t>
        </is>
      </c>
      <c r="FF3902" s="15" t="inlineStr">
        <is>
          <t>YV3T7U521KA195177</t>
        </is>
      </c>
      <c r="FG3902" s="15" t="inlineStr">
        <is>
          <t>Volvo</t>
        </is>
      </c>
      <c r="FH3902" s="15" t="inlineStr">
        <is>
          <t>B8R</t>
        </is>
      </c>
      <c r="FI3902" s="15" t="inlineStr">
        <is>
          <t>MARCOPOLO</t>
        </is>
      </c>
      <c r="FJ3902" s="15" t="inlineStr">
        <is>
          <t>TORINO</t>
        </is>
      </c>
      <c r="FK3902" s="15" t="n">
        <v>2019</v>
      </c>
      <c r="FL3902" s="15" t="inlineStr">
        <is>
          <t>B2PAL</t>
        </is>
      </c>
      <c r="FM3902" s="15" t="inlineStr">
        <is>
          <t>SAN JOSE</t>
        </is>
      </c>
      <c r="FN3902" s="15" t="inlineStr">
        <is>
          <t>San José 030 (José Besa 669)</t>
        </is>
      </c>
      <c r="FO3902" s="15" t="inlineStr">
        <is>
          <t>San Bernardo</t>
        </is>
      </c>
      <c r="FP3902" t="inlineStr">
        <is>
          <t>B</t>
        </is>
      </c>
    </row>
    <row r="3903">
      <c r="FC3903" t="inlineStr">
        <is>
          <t>Diccionario 4</t>
        </is>
      </c>
      <c r="FD3903" s="15" t="inlineStr">
        <is>
          <t>GCBB-19|</t>
        </is>
      </c>
      <c r="FE3903" s="15" t="inlineStr">
        <is>
          <t>D8482482K2PL</t>
        </is>
      </c>
      <c r="FF3903" s="15" t="inlineStr">
        <is>
          <t>YV3T7U523KA195326</t>
        </is>
      </c>
      <c r="FG3903" s="15" t="inlineStr">
        <is>
          <t>Volvo</t>
        </is>
      </c>
      <c r="FH3903" s="15" t="inlineStr">
        <is>
          <t>B8R</t>
        </is>
      </c>
      <c r="FI3903" s="15" t="inlineStr">
        <is>
          <t>MARCOPOLO</t>
        </is>
      </c>
      <c r="FJ3903" s="15" t="inlineStr">
        <is>
          <t>TORINO</t>
        </is>
      </c>
      <c r="FK3903" s="15" t="n">
        <v>2019</v>
      </c>
      <c r="FL3903" s="15" t="inlineStr">
        <is>
          <t>B2PAL</t>
        </is>
      </c>
      <c r="FM3903" s="15" t="inlineStr">
        <is>
          <t>LOS LIBERTADORES</t>
        </is>
      </c>
      <c r="FN3903" s="15" t="inlineStr">
        <is>
          <t>Los Liberadores 6450, Lote 4A</t>
        </is>
      </c>
      <c r="FO3903" s="15" t="inlineStr">
        <is>
          <t>Huechuraba</t>
        </is>
      </c>
      <c r="FP3903" t="inlineStr">
        <is>
          <t>B</t>
        </is>
      </c>
    </row>
    <row r="3904">
      <c r="FC3904" t="inlineStr">
        <is>
          <t>Diccionario 4</t>
        </is>
      </c>
      <c r="FD3904" s="15" t="inlineStr">
        <is>
          <t>GCBB-20|</t>
        </is>
      </c>
      <c r="FE3904" s="15" t="inlineStr">
        <is>
          <t>D8482478K2PL</t>
        </is>
      </c>
      <c r="FF3904" s="15" t="inlineStr">
        <is>
          <t>YV3T7U525KA195327</t>
        </is>
      </c>
      <c r="FG3904" s="15" t="inlineStr">
        <is>
          <t>Volvo</t>
        </is>
      </c>
      <c r="FH3904" s="15" t="inlineStr">
        <is>
          <t>B8R</t>
        </is>
      </c>
      <c r="FI3904" s="15" t="inlineStr">
        <is>
          <t>MARCOPOLO</t>
        </is>
      </c>
      <c r="FJ3904" s="15" t="inlineStr">
        <is>
          <t>TORINO</t>
        </is>
      </c>
      <c r="FK3904" s="15" t="n">
        <v>2019</v>
      </c>
      <c r="FL3904" s="15" t="inlineStr">
        <is>
          <t>B2PAL</t>
        </is>
      </c>
      <c r="FM3904" s="15" t="inlineStr">
        <is>
          <t>LOS LIBERTADORES</t>
        </is>
      </c>
      <c r="FN3904" s="15" t="inlineStr">
        <is>
          <t>Los Liberadores 6450, Lote 4A</t>
        </is>
      </c>
      <c r="FO3904" s="15" t="inlineStr">
        <is>
          <t>Huechuraba</t>
        </is>
      </c>
      <c r="FP3904" t="inlineStr">
        <is>
          <t>B</t>
        </is>
      </c>
    </row>
    <row r="3905">
      <c r="FC3905" t="inlineStr">
        <is>
          <t>Diccionario 4</t>
        </is>
      </c>
      <c r="FD3905" s="15" t="inlineStr">
        <is>
          <t>GCBB-21|</t>
        </is>
      </c>
      <c r="FE3905" s="15" t="inlineStr">
        <is>
          <t>D8482400K2PL</t>
        </is>
      </c>
      <c r="FF3905" s="15" t="inlineStr">
        <is>
          <t>YV3T7U527KA195328</t>
        </is>
      </c>
      <c r="FG3905" s="15" t="inlineStr">
        <is>
          <t>Volvo</t>
        </is>
      </c>
      <c r="FH3905" s="15" t="inlineStr">
        <is>
          <t>B8R</t>
        </is>
      </c>
      <c r="FI3905" s="15" t="inlineStr">
        <is>
          <t>MARCOPOLO</t>
        </is>
      </c>
      <c r="FJ3905" s="15" t="inlineStr">
        <is>
          <t>TORINO</t>
        </is>
      </c>
      <c r="FK3905" s="15" t="n">
        <v>2019</v>
      </c>
      <c r="FL3905" s="15" t="inlineStr">
        <is>
          <t>B2PAL</t>
        </is>
      </c>
      <c r="FM3905" s="15" t="inlineStr">
        <is>
          <t>LOS LIBERTADORES</t>
        </is>
      </c>
      <c r="FN3905" s="15" t="inlineStr">
        <is>
          <t>Los Liberadores 6450, Lote 4A</t>
        </is>
      </c>
      <c r="FO3905" s="15" t="inlineStr">
        <is>
          <t>Huechuraba</t>
        </is>
      </c>
      <c r="FP3905" t="inlineStr">
        <is>
          <t>B</t>
        </is>
      </c>
    </row>
    <row r="3906">
      <c r="FC3906" t="inlineStr">
        <is>
          <t>Diccionario 4</t>
        </is>
      </c>
      <c r="FD3906" s="15" t="inlineStr">
        <is>
          <t>GCBB-22|</t>
        </is>
      </c>
      <c r="FE3906" s="15" t="inlineStr">
        <is>
          <t>D8482554K2PL</t>
        </is>
      </c>
      <c r="FF3906" s="15" t="inlineStr">
        <is>
          <t>YV3T7U520KA195350</t>
        </is>
      </c>
      <c r="FG3906" s="15" t="inlineStr">
        <is>
          <t>Volvo</t>
        </is>
      </c>
      <c r="FH3906" s="15" t="inlineStr">
        <is>
          <t>B8R</t>
        </is>
      </c>
      <c r="FI3906" s="15" t="inlineStr">
        <is>
          <t>MARCOPOLO</t>
        </is>
      </c>
      <c r="FJ3906" s="15" t="inlineStr">
        <is>
          <t>TORINO</t>
        </is>
      </c>
      <c r="FK3906" s="15" t="n">
        <v>2019</v>
      </c>
      <c r="FL3906" s="15" t="inlineStr">
        <is>
          <t>B2PAL</t>
        </is>
      </c>
      <c r="FM3906" s="15" t="inlineStr">
        <is>
          <t>LOS LIBERTADORES</t>
        </is>
      </c>
      <c r="FN3906" s="15" t="inlineStr">
        <is>
          <t>Los Liberadores 6450, Lote 4A</t>
        </is>
      </c>
      <c r="FO3906" s="15" t="inlineStr">
        <is>
          <t>Huechuraba</t>
        </is>
      </c>
      <c r="FP3906" t="inlineStr">
        <is>
          <t>B</t>
        </is>
      </c>
    </row>
    <row r="3907">
      <c r="FC3907" t="inlineStr">
        <is>
          <t>Diccionario 4</t>
        </is>
      </c>
      <c r="FD3907" s="15" t="inlineStr">
        <is>
          <t>GCBB-23|</t>
        </is>
      </c>
      <c r="FE3907" s="15" t="inlineStr">
        <is>
          <t>D8482519K2PL</t>
        </is>
      </c>
      <c r="FF3907" s="15" t="inlineStr">
        <is>
          <t>YV3T7U522KA195351</t>
        </is>
      </c>
      <c r="FG3907" s="15" t="inlineStr">
        <is>
          <t>Volvo</t>
        </is>
      </c>
      <c r="FH3907" s="15" t="inlineStr">
        <is>
          <t>B8R</t>
        </is>
      </c>
      <c r="FI3907" s="15" t="inlineStr">
        <is>
          <t>MARCOPOLO</t>
        </is>
      </c>
      <c r="FJ3907" s="15" t="inlineStr">
        <is>
          <t>TORINO</t>
        </is>
      </c>
      <c r="FK3907" s="15" t="n">
        <v>2019</v>
      </c>
      <c r="FL3907" s="15" t="inlineStr">
        <is>
          <t>B2PAL</t>
        </is>
      </c>
      <c r="FM3907" s="15" t="inlineStr">
        <is>
          <t>LOS LIBERTADORES</t>
        </is>
      </c>
      <c r="FN3907" s="15" t="inlineStr">
        <is>
          <t>Los Liberadores 6450, Lote 4A</t>
        </is>
      </c>
      <c r="FO3907" s="15" t="inlineStr">
        <is>
          <t>Huechuraba</t>
        </is>
      </c>
      <c r="FP3907" t="inlineStr">
        <is>
          <t>B</t>
        </is>
      </c>
    </row>
    <row r="3908">
      <c r="FC3908" t="inlineStr">
        <is>
          <t>Diccionario 4</t>
        </is>
      </c>
      <c r="FD3908" s="15" t="inlineStr">
        <is>
          <t>GCBB-24|</t>
        </is>
      </c>
      <c r="FE3908" s="15" t="inlineStr">
        <is>
          <t>D8482509K2PL</t>
        </is>
      </c>
      <c r="FF3908" s="15" t="inlineStr">
        <is>
          <t>YV3T7U524KA195352</t>
        </is>
      </c>
      <c r="FG3908" s="15" t="inlineStr">
        <is>
          <t>Volvo</t>
        </is>
      </c>
      <c r="FH3908" s="15" t="inlineStr">
        <is>
          <t>B8R</t>
        </is>
      </c>
      <c r="FI3908" s="15" t="inlineStr">
        <is>
          <t>MARCOPOLO</t>
        </is>
      </c>
      <c r="FJ3908" s="15" t="inlineStr">
        <is>
          <t>TORINO</t>
        </is>
      </c>
      <c r="FK3908" s="15" t="n">
        <v>2019</v>
      </c>
      <c r="FL3908" s="15" t="inlineStr">
        <is>
          <t>B2PAL</t>
        </is>
      </c>
      <c r="FM3908" s="15" t="inlineStr">
        <is>
          <t>LOS LIBERTADORES</t>
        </is>
      </c>
      <c r="FN3908" s="15" t="inlineStr">
        <is>
          <t>Los Liberadores 6450, Lote 4A</t>
        </is>
      </c>
      <c r="FO3908" s="15" t="inlineStr">
        <is>
          <t>Huechuraba</t>
        </is>
      </c>
      <c r="FP3908" t="inlineStr">
        <is>
          <t>B</t>
        </is>
      </c>
    </row>
    <row r="3909">
      <c r="FC3909" t="inlineStr">
        <is>
          <t>Diccionario 4</t>
        </is>
      </c>
      <c r="FD3909" s="15" t="inlineStr">
        <is>
          <t>FLXZ-96|</t>
        </is>
      </c>
      <c r="FE3909" s="15" t="inlineStr">
        <is>
          <t>D8478282K2PL</t>
        </is>
      </c>
      <c r="FF3909" s="15" t="inlineStr">
        <is>
          <t>YV3T7U526KA195143</t>
        </is>
      </c>
      <c r="FG3909" s="15" t="inlineStr">
        <is>
          <t>Volvo</t>
        </is>
      </c>
      <c r="FH3909" s="15" t="inlineStr">
        <is>
          <t>B8R</t>
        </is>
      </c>
      <c r="FI3909" s="15" t="inlineStr">
        <is>
          <t>MARCOPOLO</t>
        </is>
      </c>
      <c r="FJ3909" s="15" t="inlineStr">
        <is>
          <t>TORINO</t>
        </is>
      </c>
      <c r="FK3909" s="15" t="n">
        <v>2019</v>
      </c>
      <c r="FL3909" s="15" t="inlineStr">
        <is>
          <t>B2PAL</t>
        </is>
      </c>
      <c r="FM3909" s="15" t="inlineStr">
        <is>
          <t>LOS LIBERTADORES</t>
        </is>
      </c>
      <c r="FN3909" s="15" t="inlineStr">
        <is>
          <t>Los Liberadores 6450, Lote 4A</t>
        </is>
      </c>
      <c r="FO3909" s="15" t="inlineStr">
        <is>
          <t>Huechuraba</t>
        </is>
      </c>
      <c r="FP3909" t="inlineStr">
        <is>
          <t>B</t>
        </is>
      </c>
    </row>
    <row r="3910">
      <c r="FC3910" t="inlineStr">
        <is>
          <t>Diccionario 4</t>
        </is>
      </c>
      <c r="FD3910" s="15" t="inlineStr">
        <is>
          <t>GCBB-25|</t>
        </is>
      </c>
      <c r="FE3910" s="15" t="inlineStr">
        <is>
          <t>D8482576K2PL</t>
        </is>
      </c>
      <c r="FF3910" s="15" t="inlineStr">
        <is>
          <t>YV3T7U523KA195357</t>
        </is>
      </c>
      <c r="FG3910" s="15" t="inlineStr">
        <is>
          <t>Volvo</t>
        </is>
      </c>
      <c r="FH3910" s="15" t="inlineStr">
        <is>
          <t>B8R</t>
        </is>
      </c>
      <c r="FI3910" s="15" t="inlineStr">
        <is>
          <t>MARCOPOLO</t>
        </is>
      </c>
      <c r="FJ3910" s="15" t="inlineStr">
        <is>
          <t>TORINO</t>
        </is>
      </c>
      <c r="FK3910" s="15" t="n">
        <v>2019</v>
      </c>
      <c r="FL3910" s="15" t="inlineStr">
        <is>
          <t>B2PAL</t>
        </is>
      </c>
      <c r="FM3910" s="15" t="inlineStr">
        <is>
          <t>LOS LIBERTADORES</t>
        </is>
      </c>
      <c r="FN3910" s="15" t="inlineStr">
        <is>
          <t>Los Liberadores 6450, Lote 4A</t>
        </is>
      </c>
      <c r="FO3910" s="15" t="inlineStr">
        <is>
          <t>Huechuraba</t>
        </is>
      </c>
      <c r="FP3910" t="inlineStr">
        <is>
          <t>B</t>
        </is>
      </c>
    </row>
    <row r="3911">
      <c r="FC3911" t="inlineStr">
        <is>
          <t>Diccionario 4</t>
        </is>
      </c>
      <c r="FD3911" s="15" t="inlineStr">
        <is>
          <t>GCBB-26|</t>
        </is>
      </c>
      <c r="FE3911" s="15" t="inlineStr">
        <is>
          <t>D8482502K2PL</t>
        </is>
      </c>
      <c r="FF3911" s="15" t="inlineStr">
        <is>
          <t>YV3T7U523KA195360</t>
        </is>
      </c>
      <c r="FG3911" s="15" t="inlineStr">
        <is>
          <t>Volvo</t>
        </is>
      </c>
      <c r="FH3911" s="15" t="inlineStr">
        <is>
          <t>B8R</t>
        </is>
      </c>
      <c r="FI3911" s="15" t="inlineStr">
        <is>
          <t>MARCOPOLO</t>
        </is>
      </c>
      <c r="FJ3911" s="15" t="inlineStr">
        <is>
          <t>TORINO</t>
        </is>
      </c>
      <c r="FK3911" s="15" t="n">
        <v>2019</v>
      </c>
      <c r="FL3911" s="15" t="inlineStr">
        <is>
          <t>B2PAL</t>
        </is>
      </c>
      <c r="FM3911" s="15" t="inlineStr">
        <is>
          <t>LOS LIBERTADORES</t>
        </is>
      </c>
      <c r="FN3911" s="15" t="inlineStr">
        <is>
          <t>Los Liberadores 6450, Lote 4A</t>
        </is>
      </c>
      <c r="FO3911" s="15" t="inlineStr">
        <is>
          <t>Huechuraba</t>
        </is>
      </c>
      <c r="FP3911" t="inlineStr">
        <is>
          <t>B</t>
        </is>
      </c>
    </row>
    <row r="3912">
      <c r="FC3912" t="inlineStr">
        <is>
          <t>Diccionario 4</t>
        </is>
      </c>
      <c r="FD3912" s="15" t="inlineStr">
        <is>
          <t>GCBB-27|</t>
        </is>
      </c>
      <c r="FE3912" s="15" t="inlineStr">
        <is>
          <t>D8482597K2PL</t>
        </is>
      </c>
      <c r="FF3912" s="15" t="inlineStr">
        <is>
          <t>YV3T7U525KA195361</t>
        </is>
      </c>
      <c r="FG3912" s="15" t="inlineStr">
        <is>
          <t>Volvo</t>
        </is>
      </c>
      <c r="FH3912" s="15" t="inlineStr">
        <is>
          <t>B8R</t>
        </is>
      </c>
      <c r="FI3912" s="15" t="inlineStr">
        <is>
          <t>MARCOPOLO</t>
        </is>
      </c>
      <c r="FJ3912" s="15" t="inlineStr">
        <is>
          <t>TORINO</t>
        </is>
      </c>
      <c r="FK3912" s="15" t="n">
        <v>2019</v>
      </c>
      <c r="FL3912" s="15" t="inlineStr">
        <is>
          <t>B2PAL</t>
        </is>
      </c>
      <c r="FM3912" s="15" t="inlineStr">
        <is>
          <t>LOS LIBERTADORES</t>
        </is>
      </c>
      <c r="FN3912" s="15" t="inlineStr">
        <is>
          <t>Los Liberadores 6450, Lote 4A</t>
        </is>
      </c>
      <c r="FO3912" s="15" t="inlineStr">
        <is>
          <t>Huechuraba</t>
        </is>
      </c>
      <c r="FP3912" t="inlineStr">
        <is>
          <t>B</t>
        </is>
      </c>
    </row>
    <row r="3913">
      <c r="FC3913" t="inlineStr">
        <is>
          <t>Diccionario 4</t>
        </is>
      </c>
      <c r="FD3913" s="15" t="inlineStr">
        <is>
          <t>GCBB-28|</t>
        </is>
      </c>
      <c r="FE3913" s="15" t="inlineStr">
        <is>
          <t>D8481798K2PL</t>
        </is>
      </c>
      <c r="FF3913" s="15" t="inlineStr">
        <is>
          <t>YV3T7U527KA195460</t>
        </is>
      </c>
      <c r="FG3913" s="15" t="inlineStr">
        <is>
          <t>Volvo</t>
        </is>
      </c>
      <c r="FH3913" s="15" t="inlineStr">
        <is>
          <t>B8R</t>
        </is>
      </c>
      <c r="FI3913" s="15" t="inlineStr">
        <is>
          <t>MARCOPOLO</t>
        </is>
      </c>
      <c r="FJ3913" s="15" t="inlineStr">
        <is>
          <t>TORINO</t>
        </is>
      </c>
      <c r="FK3913" s="15" t="n">
        <v>2019</v>
      </c>
      <c r="FL3913" s="15" t="inlineStr">
        <is>
          <t>B2PAL</t>
        </is>
      </c>
      <c r="FM3913" s="15" t="inlineStr">
        <is>
          <t>LOS LIBERTADORES</t>
        </is>
      </c>
      <c r="FN3913" s="15" t="inlineStr">
        <is>
          <t>Los Liberadores 6450, Lote 4A</t>
        </is>
      </c>
      <c r="FO3913" s="15" t="inlineStr">
        <is>
          <t>Huechuraba</t>
        </is>
      </c>
      <c r="FP3913" t="inlineStr">
        <is>
          <t>B</t>
        </is>
      </c>
    </row>
    <row r="3914">
      <c r="FC3914" t="inlineStr">
        <is>
          <t>Diccionario 4</t>
        </is>
      </c>
      <c r="FD3914" s="15" t="inlineStr">
        <is>
          <t>GCBB-29|</t>
        </is>
      </c>
      <c r="FE3914" s="15" t="inlineStr">
        <is>
          <t>D8481794K2PL</t>
        </is>
      </c>
      <c r="FF3914" s="15" t="inlineStr">
        <is>
          <t>YV3T7U529KA195461</t>
        </is>
      </c>
      <c r="FG3914" s="15" t="inlineStr">
        <is>
          <t>Volvo</t>
        </is>
      </c>
      <c r="FH3914" s="15" t="inlineStr">
        <is>
          <t>B8R</t>
        </is>
      </c>
      <c r="FI3914" s="15" t="inlineStr">
        <is>
          <t>MARCOPOLO</t>
        </is>
      </c>
      <c r="FJ3914" s="15" t="inlineStr">
        <is>
          <t>TORINO</t>
        </is>
      </c>
      <c r="FK3914" s="15" t="n">
        <v>2019</v>
      </c>
      <c r="FL3914" s="15" t="inlineStr">
        <is>
          <t>B2PAL</t>
        </is>
      </c>
      <c r="FM3914" s="15" t="inlineStr">
        <is>
          <t>LOS LIBERTADORES</t>
        </is>
      </c>
      <c r="FN3914" s="15" t="inlineStr">
        <is>
          <t>Los Liberadores 6450, Lote 4A</t>
        </is>
      </c>
      <c r="FO3914" s="15" t="inlineStr">
        <is>
          <t>Huechuraba</t>
        </is>
      </c>
      <c r="FP3914" t="inlineStr">
        <is>
          <t>B</t>
        </is>
      </c>
    </row>
    <row r="3915">
      <c r="FC3915" t="inlineStr">
        <is>
          <t>Diccionario 4</t>
        </is>
      </c>
      <c r="FD3915" s="15" t="inlineStr">
        <is>
          <t>GCBB-30|</t>
        </is>
      </c>
      <c r="FE3915" s="15" t="inlineStr">
        <is>
          <t>D8483045K2PL</t>
        </is>
      </c>
      <c r="FF3915" s="15" t="inlineStr">
        <is>
          <t>YV3T7U520KA195462</t>
        </is>
      </c>
      <c r="FG3915" s="15" t="inlineStr">
        <is>
          <t>Volvo</t>
        </is>
      </c>
      <c r="FH3915" s="15" t="inlineStr">
        <is>
          <t>B8R</t>
        </is>
      </c>
      <c r="FI3915" s="15" t="inlineStr">
        <is>
          <t>MARCOPOLO</t>
        </is>
      </c>
      <c r="FJ3915" s="15" t="inlineStr">
        <is>
          <t>TORINO</t>
        </is>
      </c>
      <c r="FK3915" s="15" t="n">
        <v>2019</v>
      </c>
      <c r="FL3915" s="15" t="inlineStr">
        <is>
          <t>B2PAL</t>
        </is>
      </c>
      <c r="FM3915" s="15" t="inlineStr">
        <is>
          <t>LOS LIBERTADORES</t>
        </is>
      </c>
      <c r="FN3915" s="15" t="inlineStr">
        <is>
          <t>Los Liberadores 6450, Lote 4A</t>
        </is>
      </c>
      <c r="FO3915" s="15" t="inlineStr">
        <is>
          <t>Huechuraba</t>
        </is>
      </c>
      <c r="FP3915" t="inlineStr">
        <is>
          <t>B</t>
        </is>
      </c>
    </row>
    <row r="3916">
      <c r="FC3916" t="inlineStr">
        <is>
          <t>Diccionario 4</t>
        </is>
      </c>
      <c r="FD3916" s="15" t="inlineStr">
        <is>
          <t>GCBB-31|</t>
        </is>
      </c>
      <c r="FE3916" s="15" t="inlineStr">
        <is>
          <t>D8483063K2PL</t>
        </is>
      </c>
      <c r="FF3916" s="15" t="inlineStr">
        <is>
          <t>YV3T7U522KA195463</t>
        </is>
      </c>
      <c r="FG3916" s="15" t="inlineStr">
        <is>
          <t>Volvo</t>
        </is>
      </c>
      <c r="FH3916" s="15" t="inlineStr">
        <is>
          <t>B8R</t>
        </is>
      </c>
      <c r="FI3916" s="15" t="inlineStr">
        <is>
          <t>MARCOPOLO</t>
        </is>
      </c>
      <c r="FJ3916" s="15" t="inlineStr">
        <is>
          <t>TORINO</t>
        </is>
      </c>
      <c r="FK3916" s="15" t="n">
        <v>2019</v>
      </c>
      <c r="FL3916" s="15" t="inlineStr">
        <is>
          <t>B2PAL</t>
        </is>
      </c>
      <c r="FM3916" s="15" t="inlineStr">
        <is>
          <t>LOS LIBERTADORES</t>
        </is>
      </c>
      <c r="FN3916" s="15" t="inlineStr">
        <is>
          <t>Los Liberadores 6450, Lote 4A</t>
        </is>
      </c>
      <c r="FO3916" s="15" t="inlineStr">
        <is>
          <t>Huechuraba</t>
        </is>
      </c>
      <c r="FP3916" t="inlineStr">
        <is>
          <t>B</t>
        </is>
      </c>
    </row>
    <row r="3917">
      <c r="FC3917" t="inlineStr">
        <is>
          <t>Diccionario 4</t>
        </is>
      </c>
      <c r="FD3917" s="15" t="inlineStr">
        <is>
          <t>GCBB-32|</t>
        </is>
      </c>
      <c r="FE3917" s="15" t="inlineStr">
        <is>
          <t>D8483109K2PL</t>
        </is>
      </c>
      <c r="FF3917" s="15" t="inlineStr">
        <is>
          <t>YV3T7U523KA195486</t>
        </is>
      </c>
      <c r="FG3917" s="15" t="inlineStr">
        <is>
          <t>Volvo</t>
        </is>
      </c>
      <c r="FH3917" s="15" t="inlineStr">
        <is>
          <t>B8R</t>
        </is>
      </c>
      <c r="FI3917" s="15" t="inlineStr">
        <is>
          <t>MARCOPOLO</t>
        </is>
      </c>
      <c r="FJ3917" s="15" t="inlineStr">
        <is>
          <t>TORINO</t>
        </is>
      </c>
      <c r="FK3917" s="15" t="n">
        <v>2019</v>
      </c>
      <c r="FL3917" s="15" t="inlineStr">
        <is>
          <t>B2PAL</t>
        </is>
      </c>
      <c r="FM3917" s="15" t="inlineStr">
        <is>
          <t>LOS LIBERTADORES</t>
        </is>
      </c>
      <c r="FN3917" s="15" t="inlineStr">
        <is>
          <t>Los Liberadores 6450, Lote 4A</t>
        </is>
      </c>
      <c r="FO3917" s="15" t="inlineStr">
        <is>
          <t>Huechuraba</t>
        </is>
      </c>
      <c r="FP3917" t="inlineStr">
        <is>
          <t>B</t>
        </is>
      </c>
    </row>
    <row r="3918">
      <c r="FC3918" t="inlineStr">
        <is>
          <t>Diccionario 4</t>
        </is>
      </c>
      <c r="FD3918" s="15" t="inlineStr">
        <is>
          <t>GCBC-33|</t>
        </is>
      </c>
      <c r="FE3918" s="15" t="inlineStr">
        <is>
          <t>D8483197K2PL</t>
        </is>
      </c>
      <c r="FF3918" s="15" t="inlineStr">
        <is>
          <t>YV3T7U526KA195532</t>
        </is>
      </c>
      <c r="FG3918" s="15" t="inlineStr">
        <is>
          <t>Volvo</t>
        </is>
      </c>
      <c r="FH3918" s="15" t="inlineStr">
        <is>
          <t>B8R</t>
        </is>
      </c>
      <c r="FI3918" s="15" t="inlineStr">
        <is>
          <t>MARCOPOLO</t>
        </is>
      </c>
      <c r="FJ3918" s="15" t="inlineStr">
        <is>
          <t>TORINO</t>
        </is>
      </c>
      <c r="FK3918" s="15" t="n">
        <v>2019</v>
      </c>
      <c r="FL3918" s="15" t="inlineStr">
        <is>
          <t>B2PAL</t>
        </is>
      </c>
      <c r="FM3918" s="15" t="inlineStr">
        <is>
          <t>LOS LIBERTADORES</t>
        </is>
      </c>
      <c r="FN3918" s="15" t="inlineStr">
        <is>
          <t>Los Liberadores 6450, Lote 4A</t>
        </is>
      </c>
      <c r="FO3918" s="15" t="inlineStr">
        <is>
          <t>Huechuraba</t>
        </is>
      </c>
      <c r="FP3918" t="inlineStr">
        <is>
          <t>B</t>
        </is>
      </c>
    </row>
    <row r="3919">
      <c r="FC3919" t="inlineStr">
        <is>
          <t>Diccionario 4</t>
        </is>
      </c>
      <c r="FD3919" s="15" t="inlineStr">
        <is>
          <t>GCBB-34|</t>
        </is>
      </c>
      <c r="FE3919" s="15" t="inlineStr">
        <is>
          <t>D8483194K2PL</t>
        </is>
      </c>
      <c r="FF3919" s="15" t="inlineStr">
        <is>
          <t>YV3T7U528KA195533</t>
        </is>
      </c>
      <c r="FG3919" s="15" t="inlineStr">
        <is>
          <t>Volvo</t>
        </is>
      </c>
      <c r="FH3919" s="15" t="inlineStr">
        <is>
          <t>B8R</t>
        </is>
      </c>
      <c r="FI3919" s="15" t="inlineStr">
        <is>
          <t>MARCOPOLO</t>
        </is>
      </c>
      <c r="FJ3919" s="15" t="inlineStr">
        <is>
          <t>TORINO</t>
        </is>
      </c>
      <c r="FK3919" s="15" t="n">
        <v>2019</v>
      </c>
      <c r="FL3919" s="15" t="inlineStr">
        <is>
          <t>B2PAL</t>
        </is>
      </c>
      <c r="FM3919" s="15" t="inlineStr">
        <is>
          <t>LOS LIBERTADORES</t>
        </is>
      </c>
      <c r="FN3919" s="15" t="inlineStr">
        <is>
          <t>Los Liberadores 6450, Lote 4A</t>
        </is>
      </c>
      <c r="FO3919" s="15" t="inlineStr">
        <is>
          <t>Huechuraba</t>
        </is>
      </c>
      <c r="FP3919" t="inlineStr">
        <is>
          <t>B</t>
        </is>
      </c>
    </row>
    <row r="3920">
      <c r="FC3920" t="inlineStr">
        <is>
          <t>Diccionario 4</t>
        </is>
      </c>
      <c r="FD3920" s="15" t="inlineStr">
        <is>
          <t>FLXZ-97|</t>
        </is>
      </c>
      <c r="FE3920" s="15" t="inlineStr">
        <is>
          <t>D8478297K2PL</t>
        </is>
      </c>
      <c r="FF3920" s="15" t="inlineStr">
        <is>
          <t>YV3T7U528KA195144</t>
        </is>
      </c>
      <c r="FG3920" s="15" t="inlineStr">
        <is>
          <t>Volvo</t>
        </is>
      </c>
      <c r="FH3920" s="15" t="inlineStr">
        <is>
          <t>B8R</t>
        </is>
      </c>
      <c r="FI3920" s="15" t="inlineStr">
        <is>
          <t>MARCOPOLO</t>
        </is>
      </c>
      <c r="FJ3920" s="15" t="inlineStr">
        <is>
          <t>TORINO</t>
        </is>
      </c>
      <c r="FK3920" s="15" t="n">
        <v>2019</v>
      </c>
      <c r="FL3920" s="15" t="inlineStr">
        <is>
          <t>B2PAL</t>
        </is>
      </c>
      <c r="FM3920" s="15" t="inlineStr">
        <is>
          <t>LOS LIBERTADORES</t>
        </is>
      </c>
      <c r="FN3920" s="15" t="inlineStr">
        <is>
          <t>Los Liberadores 6450, Lote 4A</t>
        </is>
      </c>
      <c r="FO3920" s="15" t="inlineStr">
        <is>
          <t>Huechuraba</t>
        </is>
      </c>
      <c r="FP3920" t="inlineStr">
        <is>
          <t>B</t>
        </is>
      </c>
    </row>
    <row r="3921">
      <c r="FC3921" t="inlineStr">
        <is>
          <t>Diccionario 4</t>
        </is>
      </c>
      <c r="FD3921" s="15" t="inlineStr">
        <is>
          <t>GCBB-35|</t>
        </is>
      </c>
      <c r="FE3921" s="15" t="inlineStr">
        <is>
          <t>D8483221K2PL</t>
        </is>
      </c>
      <c r="FF3921" s="15" t="inlineStr">
        <is>
          <t>YV3T7U521KA195535</t>
        </is>
      </c>
      <c r="FG3921" s="15" t="inlineStr">
        <is>
          <t>Volvo</t>
        </is>
      </c>
      <c r="FH3921" s="15" t="inlineStr">
        <is>
          <t>B8R</t>
        </is>
      </c>
      <c r="FI3921" s="15" t="inlineStr">
        <is>
          <t>MARCOPOLO</t>
        </is>
      </c>
      <c r="FJ3921" s="15" t="inlineStr">
        <is>
          <t>TORINO</t>
        </is>
      </c>
      <c r="FK3921" s="15" t="n">
        <v>2019</v>
      </c>
      <c r="FL3921" s="15" t="inlineStr">
        <is>
          <t>B2PAL</t>
        </is>
      </c>
      <c r="FM3921" s="15" t="inlineStr">
        <is>
          <t>LOS LIBERTADORES</t>
        </is>
      </c>
      <c r="FN3921" s="15" t="inlineStr">
        <is>
          <t>Los Liberadores 6450, Lote 4A</t>
        </is>
      </c>
      <c r="FO3921" s="15" t="inlineStr">
        <is>
          <t>Huechuraba</t>
        </is>
      </c>
      <c r="FP3921" t="inlineStr">
        <is>
          <t>B</t>
        </is>
      </c>
    </row>
    <row r="3922">
      <c r="FC3922" t="inlineStr">
        <is>
          <t>Diccionario 4</t>
        </is>
      </c>
      <c r="FD3922" s="15" t="inlineStr">
        <is>
          <t>GCBB-36|</t>
        </is>
      </c>
      <c r="FE3922" s="15" t="inlineStr">
        <is>
          <t>D89303077</t>
        </is>
      </c>
      <c r="FF3922" s="15" t="inlineStr">
        <is>
          <t>YV3T7U523KA195553</t>
        </is>
      </c>
      <c r="FG3922" s="15" t="inlineStr">
        <is>
          <t>Volvo</t>
        </is>
      </c>
      <c r="FH3922" s="15" t="inlineStr">
        <is>
          <t>B8R</t>
        </is>
      </c>
      <c r="FI3922" s="15" t="inlineStr">
        <is>
          <t>MARCOPOLO</t>
        </is>
      </c>
      <c r="FJ3922" s="15" t="inlineStr">
        <is>
          <t>TORINO</t>
        </is>
      </c>
      <c r="FK3922" s="15" t="n">
        <v>2019</v>
      </c>
      <c r="FL3922" s="15" t="inlineStr">
        <is>
          <t>B2PAL</t>
        </is>
      </c>
      <c r="FM3922" s="15" t="inlineStr">
        <is>
          <t>LOS LIBERTADORES</t>
        </is>
      </c>
      <c r="FN3922" s="15" t="inlineStr">
        <is>
          <t>Los Liberadores 6450, Lote 4A</t>
        </is>
      </c>
      <c r="FO3922" s="15" t="inlineStr">
        <is>
          <t>Huechuraba</t>
        </is>
      </c>
      <c r="FP3922" t="inlineStr">
        <is>
          <t>B</t>
        </is>
      </c>
    </row>
    <row r="3923">
      <c r="FC3923" t="inlineStr">
        <is>
          <t>Diccionario 4</t>
        </is>
      </c>
      <c r="FD3923" s="15" t="inlineStr">
        <is>
          <t>GCBB-37|</t>
        </is>
      </c>
      <c r="FE3923" s="15" t="inlineStr">
        <is>
          <t>D8483453K2PL</t>
        </is>
      </c>
      <c r="FF3923" s="15" t="inlineStr">
        <is>
          <t>YV3T7U527KA195572</t>
        </is>
      </c>
      <c r="FG3923" s="15" t="inlineStr">
        <is>
          <t>Volvo</t>
        </is>
      </c>
      <c r="FH3923" s="15" t="inlineStr">
        <is>
          <t>B8R</t>
        </is>
      </c>
      <c r="FI3923" s="15" t="inlineStr">
        <is>
          <t>MARCOPOLO</t>
        </is>
      </c>
      <c r="FJ3923" s="15" t="inlineStr">
        <is>
          <t>TORINO</t>
        </is>
      </c>
      <c r="FK3923" s="15" t="n">
        <v>2019</v>
      </c>
      <c r="FL3923" s="15" t="inlineStr">
        <is>
          <t>B2PAL</t>
        </is>
      </c>
      <c r="FM3923" s="15" t="inlineStr">
        <is>
          <t>LOS LIBERTADORES</t>
        </is>
      </c>
      <c r="FN3923" s="15" t="inlineStr">
        <is>
          <t>Los Liberadores 6450, Lote 4A</t>
        </is>
      </c>
      <c r="FO3923" s="15" t="inlineStr">
        <is>
          <t>Huechuraba</t>
        </is>
      </c>
      <c r="FP3923" t="inlineStr">
        <is>
          <t>B</t>
        </is>
      </c>
    </row>
    <row r="3924">
      <c r="FC3924" t="inlineStr">
        <is>
          <t>Diccionario 4</t>
        </is>
      </c>
      <c r="FD3924" s="15" t="inlineStr">
        <is>
          <t>GCBB-38|</t>
        </is>
      </c>
      <c r="FE3924" s="15" t="inlineStr">
        <is>
          <t>D8483890K2PL</t>
        </is>
      </c>
      <c r="FF3924" s="15" t="inlineStr">
        <is>
          <t>YV3T7U520KA195574</t>
        </is>
      </c>
      <c r="FG3924" s="15" t="inlineStr">
        <is>
          <t>Volvo</t>
        </is>
      </c>
      <c r="FH3924" s="15" t="inlineStr">
        <is>
          <t>B8R</t>
        </is>
      </c>
      <c r="FI3924" s="15" t="inlineStr">
        <is>
          <t>MARCOPOLO</t>
        </is>
      </c>
      <c r="FJ3924" s="15" t="inlineStr">
        <is>
          <t>TORINO</t>
        </is>
      </c>
      <c r="FK3924" s="15" t="n">
        <v>2019</v>
      </c>
      <c r="FL3924" s="15" t="inlineStr">
        <is>
          <t>B2PAL</t>
        </is>
      </c>
      <c r="FM3924" s="15" t="inlineStr">
        <is>
          <t>LOS LIBERTADORES</t>
        </is>
      </c>
      <c r="FN3924" s="15" t="inlineStr">
        <is>
          <t>Los Liberadores 6450, Lote 4A</t>
        </is>
      </c>
      <c r="FO3924" s="15" t="inlineStr">
        <is>
          <t>Huechuraba</t>
        </is>
      </c>
      <c r="FP3924" t="inlineStr">
        <is>
          <t>B</t>
        </is>
      </c>
    </row>
    <row r="3925">
      <c r="FC3925" t="inlineStr">
        <is>
          <t>Diccionario 4</t>
        </is>
      </c>
      <c r="FD3925" s="15" t="inlineStr">
        <is>
          <t>GCBB-39|</t>
        </is>
      </c>
      <c r="FE3925" s="15" t="inlineStr">
        <is>
          <t>D8478276K2PL</t>
        </is>
      </c>
      <c r="FF3925" s="15" t="inlineStr">
        <is>
          <t>YV3T7U522KA195141</t>
        </is>
      </c>
      <c r="FG3925" s="15" t="inlineStr">
        <is>
          <t>Volvo</t>
        </is>
      </c>
      <c r="FH3925" s="15" t="inlineStr">
        <is>
          <t>B8R</t>
        </is>
      </c>
      <c r="FI3925" s="15" t="inlineStr">
        <is>
          <t>MARCOPOLO</t>
        </is>
      </c>
      <c r="FJ3925" s="15" t="inlineStr">
        <is>
          <t>TORINO</t>
        </is>
      </c>
      <c r="FK3925" s="15" t="n">
        <v>2019</v>
      </c>
      <c r="FL3925" s="15" t="inlineStr">
        <is>
          <t>B2PAL</t>
        </is>
      </c>
      <c r="FM3925" s="15" t="inlineStr">
        <is>
          <t>LOS LIBERTADORES</t>
        </is>
      </c>
      <c r="FN3925" s="15" t="inlineStr">
        <is>
          <t>Los Liberadores 6450, Lote 4A</t>
        </is>
      </c>
      <c r="FO3925" s="15" t="inlineStr">
        <is>
          <t>Huechuraba</t>
        </is>
      </c>
      <c r="FP3925" t="inlineStr">
        <is>
          <t>B</t>
        </is>
      </c>
    </row>
    <row r="3926">
      <c r="FC3926" t="inlineStr">
        <is>
          <t>Diccionario 4</t>
        </is>
      </c>
      <c r="FD3926" s="15" t="inlineStr">
        <is>
          <t>GCBB-40|</t>
        </is>
      </c>
      <c r="FE3926" s="15" t="inlineStr">
        <is>
          <t>D8481604K2PL</t>
        </is>
      </c>
      <c r="FF3926" s="15" t="inlineStr">
        <is>
          <t>YV3T7U52XKA195145</t>
        </is>
      </c>
      <c r="FG3926" s="15" t="inlineStr">
        <is>
          <t>Volvo</t>
        </is>
      </c>
      <c r="FH3926" s="15" t="inlineStr">
        <is>
          <t>B8R</t>
        </is>
      </c>
      <c r="FI3926" s="15" t="inlineStr">
        <is>
          <t>MARCOPOLO</t>
        </is>
      </c>
      <c r="FJ3926" s="15" t="inlineStr">
        <is>
          <t>TORINO</t>
        </is>
      </c>
      <c r="FK3926" s="15" t="n">
        <v>2019</v>
      </c>
      <c r="FL3926" s="15" t="inlineStr">
        <is>
          <t>B2PAL</t>
        </is>
      </c>
      <c r="FM3926" s="15" t="inlineStr">
        <is>
          <t>LOS LIBERTADORES</t>
        </is>
      </c>
      <c r="FN3926" s="15" t="inlineStr">
        <is>
          <t>Los Liberadores 6450, Lote 4A</t>
        </is>
      </c>
      <c r="FO3926" s="15" t="inlineStr">
        <is>
          <t>Huechuraba</t>
        </is>
      </c>
      <c r="FP3926" t="inlineStr">
        <is>
          <t>B</t>
        </is>
      </c>
    </row>
    <row r="3927">
      <c r="FC3927" t="inlineStr">
        <is>
          <t>Diccionario 4</t>
        </is>
      </c>
      <c r="FD3927" s="15" t="inlineStr">
        <is>
          <t>GCBB-41|</t>
        </is>
      </c>
      <c r="FE3927" s="15" t="inlineStr">
        <is>
          <t>D8481609K2PL</t>
        </is>
      </c>
      <c r="FF3927" s="15" t="inlineStr">
        <is>
          <t>YV3T7U521KA195146</t>
        </is>
      </c>
      <c r="FG3927" s="15" t="inlineStr">
        <is>
          <t>Volvo</t>
        </is>
      </c>
      <c r="FH3927" s="15" t="inlineStr">
        <is>
          <t>B8R</t>
        </is>
      </c>
      <c r="FI3927" s="15" t="inlineStr">
        <is>
          <t>MARCOPOLO</t>
        </is>
      </c>
      <c r="FJ3927" s="15" t="inlineStr">
        <is>
          <t>TORINO</t>
        </is>
      </c>
      <c r="FK3927" s="15" t="n">
        <v>2019</v>
      </c>
      <c r="FL3927" s="15" t="inlineStr">
        <is>
          <t>B2PAL</t>
        </is>
      </c>
      <c r="FM3927" s="15" t="inlineStr">
        <is>
          <t>LOS LIBERTADORES</t>
        </is>
      </c>
      <c r="FN3927" s="15" t="inlineStr">
        <is>
          <t>Los Liberadores 6450, Lote 4A</t>
        </is>
      </c>
      <c r="FO3927" s="15" t="inlineStr">
        <is>
          <t>Huechuraba</t>
        </is>
      </c>
      <c r="FP3927" t="inlineStr">
        <is>
          <t>B</t>
        </is>
      </c>
    </row>
    <row r="3928">
      <c r="FC3928" t="inlineStr">
        <is>
          <t>Diccionario 4</t>
        </is>
      </c>
      <c r="FD3928" s="15" t="inlineStr">
        <is>
          <t>GCBB-42|</t>
        </is>
      </c>
      <c r="FE3928" s="15" t="inlineStr">
        <is>
          <t>D8478221K2PL</t>
        </is>
      </c>
      <c r="FF3928" s="15" t="inlineStr">
        <is>
          <t>YV3T7U523KA195147</t>
        </is>
      </c>
      <c r="FG3928" s="15" t="inlineStr">
        <is>
          <t>Volvo</t>
        </is>
      </c>
      <c r="FH3928" s="15" t="inlineStr">
        <is>
          <t>B8R</t>
        </is>
      </c>
      <c r="FI3928" s="15" t="inlineStr">
        <is>
          <t>MARCOPOLO</t>
        </is>
      </c>
      <c r="FJ3928" s="15" t="inlineStr">
        <is>
          <t>TORINO</t>
        </is>
      </c>
      <c r="FK3928" s="15" t="n">
        <v>2019</v>
      </c>
      <c r="FL3928" s="15" t="inlineStr">
        <is>
          <t>B2PAL</t>
        </is>
      </c>
      <c r="FM3928" s="15" t="inlineStr">
        <is>
          <t>LOS LIBERTADORES</t>
        </is>
      </c>
      <c r="FN3928" s="15" t="inlineStr">
        <is>
          <t>Los Liberadores 6450, Lote 4A</t>
        </is>
      </c>
      <c r="FO3928" s="15" t="inlineStr">
        <is>
          <t>Huechuraba</t>
        </is>
      </c>
      <c r="FP3928" t="inlineStr">
        <is>
          <t>B</t>
        </is>
      </c>
    </row>
    <row r="3929">
      <c r="FC3929" t="inlineStr">
        <is>
          <t>Diccionario 4</t>
        </is>
      </c>
      <c r="FD3929" s="15" t="inlineStr">
        <is>
          <t>GCBB-43|</t>
        </is>
      </c>
      <c r="FE3929" s="15" t="inlineStr">
        <is>
          <t>D8478290K2PL</t>
        </is>
      </c>
      <c r="FF3929" s="15" t="inlineStr">
        <is>
          <t>YV3T7U525KA195148</t>
        </is>
      </c>
      <c r="FG3929" s="15" t="inlineStr">
        <is>
          <t>Volvo</t>
        </is>
      </c>
      <c r="FH3929" s="15" t="inlineStr">
        <is>
          <t>B8R</t>
        </is>
      </c>
      <c r="FI3929" s="15" t="inlineStr">
        <is>
          <t>MARCOPOLO</t>
        </is>
      </c>
      <c r="FJ3929" s="15" t="inlineStr">
        <is>
          <t>TORINO</t>
        </is>
      </c>
      <c r="FK3929" s="15" t="n">
        <v>2019</v>
      </c>
      <c r="FL3929" s="15" t="inlineStr">
        <is>
          <t>B2PAL</t>
        </is>
      </c>
      <c r="FM3929" s="15" t="inlineStr">
        <is>
          <t>LOS LIBERTADORES</t>
        </is>
      </c>
      <c r="FN3929" s="15" t="inlineStr">
        <is>
          <t>Los Liberadores 6450, Lote 4A</t>
        </is>
      </c>
      <c r="FO3929" s="15" t="inlineStr">
        <is>
          <t>Huechuraba</t>
        </is>
      </c>
      <c r="FP3929" t="inlineStr">
        <is>
          <t>B</t>
        </is>
      </c>
    </row>
    <row r="3930">
      <c r="FC3930" t="inlineStr">
        <is>
          <t>Diccionario 4</t>
        </is>
      </c>
      <c r="FD3930" s="15" t="inlineStr">
        <is>
          <t>GCBB-44|</t>
        </is>
      </c>
      <c r="FE3930" s="15" t="inlineStr">
        <is>
          <t>D8481517K2PL</t>
        </is>
      </c>
      <c r="FF3930" s="15" t="inlineStr">
        <is>
          <t>YV3T7U520KA195171</t>
        </is>
      </c>
      <c r="FG3930" s="15" t="inlineStr">
        <is>
          <t>Volvo</t>
        </is>
      </c>
      <c r="FH3930" s="15" t="inlineStr">
        <is>
          <t>B8R</t>
        </is>
      </c>
      <c r="FI3930" s="15" t="inlineStr">
        <is>
          <t>MARCOPOLO</t>
        </is>
      </c>
      <c r="FJ3930" s="15" t="inlineStr">
        <is>
          <t>TORINO</t>
        </is>
      </c>
      <c r="FK3930" s="15" t="n">
        <v>2019</v>
      </c>
      <c r="FL3930" s="15" t="inlineStr">
        <is>
          <t>B2PAL</t>
        </is>
      </c>
      <c r="FM3930" s="15" t="inlineStr">
        <is>
          <t>LOS LIBERTADORES</t>
        </is>
      </c>
      <c r="FN3930" s="15" t="inlineStr">
        <is>
          <t>Los Liberadores 6450, Lote 4A</t>
        </is>
      </c>
      <c r="FO3930" s="15" t="inlineStr">
        <is>
          <t>Huechuraba</t>
        </is>
      </c>
      <c r="FP3930" t="inlineStr">
        <is>
          <t>B</t>
        </is>
      </c>
    </row>
    <row r="3931">
      <c r="FC3931" t="inlineStr">
        <is>
          <t>Diccionario 4</t>
        </is>
      </c>
      <c r="FD3931" s="15" t="inlineStr">
        <is>
          <t>FLXZ-98|</t>
        </is>
      </c>
      <c r="FE3931" s="15" t="inlineStr">
        <is>
          <t>D8481625K2PL</t>
        </is>
      </c>
      <c r="FF3931" s="15" t="inlineStr">
        <is>
          <t>YV3T7U526KA195174</t>
        </is>
      </c>
      <c r="FG3931" s="15" t="inlineStr">
        <is>
          <t>Volvo</t>
        </is>
      </c>
      <c r="FH3931" s="15" t="inlineStr">
        <is>
          <t>B8R</t>
        </is>
      </c>
      <c r="FI3931" s="15" t="inlineStr">
        <is>
          <t>MARCOPOLO</t>
        </is>
      </c>
      <c r="FJ3931" s="15" t="inlineStr">
        <is>
          <t>TORINO</t>
        </is>
      </c>
      <c r="FK3931" s="15" t="n">
        <v>2019</v>
      </c>
      <c r="FL3931" s="15" t="inlineStr">
        <is>
          <t>B2PAL</t>
        </is>
      </c>
      <c r="FM3931" s="15" t="inlineStr">
        <is>
          <t>LOS LIBERTADORES</t>
        </is>
      </c>
      <c r="FN3931" s="15" t="inlineStr">
        <is>
          <t>Los Liberadores 6450, Lote 4A</t>
        </is>
      </c>
      <c r="FO3931" s="15" t="inlineStr">
        <is>
          <t>Huechuraba</t>
        </is>
      </c>
      <c r="FP3931" t="inlineStr">
        <is>
          <t>B</t>
        </is>
      </c>
    </row>
    <row r="3932">
      <c r="FC3932" t="inlineStr">
        <is>
          <t>Diccionario 4</t>
        </is>
      </c>
      <c r="FD3932" s="15" t="inlineStr">
        <is>
          <t>GCBB-45|</t>
        </is>
      </c>
      <c r="FE3932" s="15" t="inlineStr">
        <is>
          <t>D8481615K2PL</t>
        </is>
      </c>
      <c r="FF3932" s="15" t="inlineStr">
        <is>
          <t>YV3T7U524KA195173</t>
        </is>
      </c>
      <c r="FG3932" s="15" t="inlineStr">
        <is>
          <t>Volvo</t>
        </is>
      </c>
      <c r="FH3932" s="15" t="inlineStr">
        <is>
          <t>B8R</t>
        </is>
      </c>
      <c r="FI3932" s="15" t="inlineStr">
        <is>
          <t>MARCOPOLO</t>
        </is>
      </c>
      <c r="FJ3932" s="15" t="inlineStr">
        <is>
          <t>TORINO</t>
        </is>
      </c>
      <c r="FK3932" s="15" t="n">
        <v>2019</v>
      </c>
      <c r="FL3932" s="15" t="inlineStr">
        <is>
          <t>B2PAL</t>
        </is>
      </c>
      <c r="FM3932" s="15" t="inlineStr">
        <is>
          <t>LOS LIBERTADORES</t>
        </is>
      </c>
      <c r="FN3932" s="15" t="inlineStr">
        <is>
          <t>Los Liberadores 6450, Lote 4A</t>
        </is>
      </c>
      <c r="FO3932" s="15" t="inlineStr">
        <is>
          <t>Huechuraba</t>
        </is>
      </c>
      <c r="FP3932" t="inlineStr">
        <is>
          <t>B</t>
        </is>
      </c>
    </row>
    <row r="3933">
      <c r="FC3933" t="inlineStr">
        <is>
          <t>Diccionario 4</t>
        </is>
      </c>
      <c r="FD3933" s="15" t="inlineStr">
        <is>
          <t>GCBB-46|</t>
        </is>
      </c>
      <c r="FE3933" s="15" t="inlineStr">
        <is>
          <t>D8481618K2PL</t>
        </is>
      </c>
      <c r="FF3933" s="15" t="inlineStr">
        <is>
          <t>YV3T7U52XKA195176</t>
        </is>
      </c>
      <c r="FG3933" s="15" t="inlineStr">
        <is>
          <t>Volvo</t>
        </is>
      </c>
      <c r="FH3933" s="15" t="inlineStr">
        <is>
          <t>B8R</t>
        </is>
      </c>
      <c r="FI3933" s="15" t="inlineStr">
        <is>
          <t>MARCOPOLO</t>
        </is>
      </c>
      <c r="FJ3933" s="15" t="inlineStr">
        <is>
          <t>TORINO</t>
        </is>
      </c>
      <c r="FK3933" s="15" t="n">
        <v>2019</v>
      </c>
      <c r="FL3933" s="15" t="inlineStr">
        <is>
          <t>B2PAL</t>
        </is>
      </c>
      <c r="FM3933" s="15" t="inlineStr">
        <is>
          <t>LOS LIBERTADORES</t>
        </is>
      </c>
      <c r="FN3933" s="15" t="inlineStr">
        <is>
          <t>Los Liberadores 6450, Lote 4A</t>
        </is>
      </c>
      <c r="FO3933" s="15" t="inlineStr">
        <is>
          <t>Huechuraba</t>
        </is>
      </c>
      <c r="FP3933" t="inlineStr">
        <is>
          <t>B</t>
        </is>
      </c>
    </row>
    <row r="3934">
      <c r="FC3934" t="inlineStr">
        <is>
          <t>Diccionario 4</t>
        </is>
      </c>
      <c r="FD3934" s="15" t="inlineStr">
        <is>
          <t>GCBB-47|</t>
        </is>
      </c>
      <c r="FE3934" s="15" t="inlineStr">
        <is>
          <t>D8481639K2PL</t>
        </is>
      </c>
      <c r="FF3934" s="15" t="inlineStr">
        <is>
          <t>YV3T7U523KA195178</t>
        </is>
      </c>
      <c r="FG3934" s="15" t="inlineStr">
        <is>
          <t>Volvo</t>
        </is>
      </c>
      <c r="FH3934" s="15" t="inlineStr">
        <is>
          <t>B8R</t>
        </is>
      </c>
      <c r="FI3934" s="15" t="inlineStr">
        <is>
          <t>MARCOPOLO</t>
        </is>
      </c>
      <c r="FJ3934" s="15" t="inlineStr">
        <is>
          <t>TORINO</t>
        </is>
      </c>
      <c r="FK3934" s="15" t="n">
        <v>2019</v>
      </c>
      <c r="FL3934" s="15" t="inlineStr">
        <is>
          <t>B2PAL</t>
        </is>
      </c>
      <c r="FM3934" s="15" t="inlineStr">
        <is>
          <t>LOS LIBERTADORES</t>
        </is>
      </c>
      <c r="FN3934" s="15" t="inlineStr">
        <is>
          <t>Los Liberadores 6450, Lote 4A</t>
        </is>
      </c>
      <c r="FO3934" s="15" t="inlineStr">
        <is>
          <t>Huechuraba</t>
        </is>
      </c>
      <c r="FP3934" t="inlineStr">
        <is>
          <t>B</t>
        </is>
      </c>
    </row>
    <row r="3935">
      <c r="FC3935" t="inlineStr">
        <is>
          <t>Diccionario 4</t>
        </is>
      </c>
      <c r="FD3935" s="15" t="inlineStr">
        <is>
          <t>GCBB-48|</t>
        </is>
      </c>
      <c r="FE3935" s="15" t="inlineStr">
        <is>
          <t>D8481597K2PL</t>
        </is>
      </c>
      <c r="FF3935" s="15" t="inlineStr">
        <is>
          <t>YV3T7U523KA195181</t>
        </is>
      </c>
      <c r="FG3935" s="15" t="inlineStr">
        <is>
          <t>Volvo</t>
        </is>
      </c>
      <c r="FH3935" s="15" t="inlineStr">
        <is>
          <t>B8R</t>
        </is>
      </c>
      <c r="FI3935" s="15" t="inlineStr">
        <is>
          <t>MARCOPOLO</t>
        </is>
      </c>
      <c r="FJ3935" s="15" t="inlineStr">
        <is>
          <t>TORINO</t>
        </is>
      </c>
      <c r="FK3935" s="15" t="n">
        <v>2019</v>
      </c>
      <c r="FL3935" s="15" t="inlineStr">
        <is>
          <t>B2PAL</t>
        </is>
      </c>
      <c r="FM3935" s="15" t="inlineStr">
        <is>
          <t>LOS LIBERTADORES</t>
        </is>
      </c>
      <c r="FN3935" s="15" t="inlineStr">
        <is>
          <t>Los Liberadores 6450, Lote 4A</t>
        </is>
      </c>
      <c r="FO3935" s="15" t="inlineStr">
        <is>
          <t>Huechuraba</t>
        </is>
      </c>
      <c r="FP3935" t="inlineStr">
        <is>
          <t>B</t>
        </is>
      </c>
    </row>
    <row r="3936">
      <c r="FC3936" t="inlineStr">
        <is>
          <t>Diccionario 4</t>
        </is>
      </c>
      <c r="FD3936" s="15" t="inlineStr">
        <is>
          <t>GCBB-49|</t>
        </is>
      </c>
      <c r="FE3936" s="15" t="inlineStr">
        <is>
          <t>D8481673K2PL</t>
        </is>
      </c>
      <c r="FF3936" s="15" t="inlineStr">
        <is>
          <t>YV3T7U524KA195190</t>
        </is>
      </c>
      <c r="FG3936" s="15" t="inlineStr">
        <is>
          <t>Volvo</t>
        </is>
      </c>
      <c r="FH3936" s="15" t="inlineStr">
        <is>
          <t>B8R</t>
        </is>
      </c>
      <c r="FI3936" s="15" t="inlineStr">
        <is>
          <t>MARCOPOLO</t>
        </is>
      </c>
      <c r="FJ3936" s="15" t="inlineStr">
        <is>
          <t>TORINO</t>
        </is>
      </c>
      <c r="FK3936" s="15" t="n">
        <v>2019</v>
      </c>
      <c r="FL3936" s="15" t="inlineStr">
        <is>
          <t>B2PAL</t>
        </is>
      </c>
      <c r="FM3936" s="15" t="inlineStr">
        <is>
          <t>LOS LIBERTADORES</t>
        </is>
      </c>
      <c r="FN3936" s="15" t="inlineStr">
        <is>
          <t>Los Liberadores 6450, Lote 4A</t>
        </is>
      </c>
      <c r="FO3936" s="15" t="inlineStr">
        <is>
          <t>Huechuraba</t>
        </is>
      </c>
      <c r="FP3936" t="inlineStr">
        <is>
          <t>B</t>
        </is>
      </c>
    </row>
    <row r="3937">
      <c r="FC3937" t="inlineStr">
        <is>
          <t>Diccionario 4</t>
        </is>
      </c>
      <c r="FD3937" s="15" t="inlineStr">
        <is>
          <t>GCBB-50|</t>
        </is>
      </c>
      <c r="FE3937" s="15" t="inlineStr">
        <is>
          <t>D8481885K2PL</t>
        </is>
      </c>
      <c r="FF3937" s="15" t="inlineStr">
        <is>
          <t>YV3T7U526KA195191</t>
        </is>
      </c>
      <c r="FG3937" s="15" t="inlineStr">
        <is>
          <t>Volvo</t>
        </is>
      </c>
      <c r="FH3937" s="15" t="inlineStr">
        <is>
          <t>B8R</t>
        </is>
      </c>
      <c r="FI3937" s="15" t="inlineStr">
        <is>
          <t>MARCOPOLO</t>
        </is>
      </c>
      <c r="FJ3937" s="15" t="inlineStr">
        <is>
          <t>TORINO</t>
        </is>
      </c>
      <c r="FK3937" s="15" t="n">
        <v>2019</v>
      </c>
      <c r="FL3937" s="15" t="inlineStr">
        <is>
          <t>B2PAL</t>
        </is>
      </c>
      <c r="FM3937" s="15" t="inlineStr">
        <is>
          <t>LOS LIBERTADORES</t>
        </is>
      </c>
      <c r="FN3937" s="15" t="inlineStr">
        <is>
          <t>Los Liberadores 6450, Lote 4A</t>
        </is>
      </c>
      <c r="FO3937" s="15" t="inlineStr">
        <is>
          <t>Huechuraba</t>
        </is>
      </c>
      <c r="FP3937" t="inlineStr">
        <is>
          <t>B</t>
        </is>
      </c>
    </row>
    <row r="3938">
      <c r="FC3938" t="inlineStr">
        <is>
          <t>Diccionario 4</t>
        </is>
      </c>
      <c r="FD3938" s="15" t="inlineStr">
        <is>
          <t>GCBB-51|</t>
        </is>
      </c>
      <c r="FE3938" s="15" t="inlineStr">
        <is>
          <t>D8481866K2PL</t>
        </is>
      </c>
      <c r="FF3938" s="15" t="inlineStr">
        <is>
          <t>YV3T7U528KA195192</t>
        </is>
      </c>
      <c r="FG3938" s="15" t="inlineStr">
        <is>
          <t>Volvo</t>
        </is>
      </c>
      <c r="FH3938" s="15" t="inlineStr">
        <is>
          <t>B8R</t>
        </is>
      </c>
      <c r="FI3938" s="15" t="inlineStr">
        <is>
          <t>MARCOPOLO</t>
        </is>
      </c>
      <c r="FJ3938" s="15" t="inlineStr">
        <is>
          <t>TORINO</t>
        </is>
      </c>
      <c r="FK3938" s="15" t="n">
        <v>2019</v>
      </c>
      <c r="FL3938" s="15" t="inlineStr">
        <is>
          <t>B2PAL</t>
        </is>
      </c>
      <c r="FM3938" s="15" t="inlineStr">
        <is>
          <t>LOS LIBERTADORES</t>
        </is>
      </c>
      <c r="FN3938" s="15" t="inlineStr">
        <is>
          <t>Los Liberadores 6450, Lote 4A</t>
        </is>
      </c>
      <c r="FO3938" s="15" t="inlineStr">
        <is>
          <t>Huechuraba</t>
        </is>
      </c>
      <c r="FP3938" t="inlineStr">
        <is>
          <t>B</t>
        </is>
      </c>
    </row>
    <row r="3939">
      <c r="FC3939" t="inlineStr">
        <is>
          <t>Diccionario 4</t>
        </is>
      </c>
      <c r="FD3939" s="15" t="inlineStr">
        <is>
          <t>GCBB-52|</t>
        </is>
      </c>
      <c r="FE3939" s="15" t="inlineStr">
        <is>
          <t>D8481887K2PL</t>
        </is>
      </c>
      <c r="FF3939" s="15" t="inlineStr">
        <is>
          <t>YV3T7U52XKA195193</t>
        </is>
      </c>
      <c r="FG3939" s="15" t="inlineStr">
        <is>
          <t>Volvo</t>
        </is>
      </c>
      <c r="FH3939" s="15" t="inlineStr">
        <is>
          <t>B8R</t>
        </is>
      </c>
      <c r="FI3939" s="15" t="inlineStr">
        <is>
          <t>MARCOPOLO</t>
        </is>
      </c>
      <c r="FJ3939" s="15" t="inlineStr">
        <is>
          <t>TORINO</t>
        </is>
      </c>
      <c r="FK3939" s="15" t="n">
        <v>2019</v>
      </c>
      <c r="FL3939" s="15" t="inlineStr">
        <is>
          <t>B2PAL</t>
        </is>
      </c>
      <c r="FM3939" s="15" t="inlineStr">
        <is>
          <t>LOS LIBERTADORES</t>
        </is>
      </c>
      <c r="FN3939" s="15" t="inlineStr">
        <is>
          <t>Los Liberadores 6450, Lote 4A</t>
        </is>
      </c>
      <c r="FO3939" s="15" t="inlineStr">
        <is>
          <t>Huechuraba</t>
        </is>
      </c>
      <c r="FP3939" t="inlineStr">
        <is>
          <t>B</t>
        </is>
      </c>
    </row>
    <row r="3940">
      <c r="FC3940" t="inlineStr">
        <is>
          <t>Diccionario 4</t>
        </is>
      </c>
      <c r="FD3940" s="15" t="inlineStr">
        <is>
          <t>GCBB-53|</t>
        </is>
      </c>
      <c r="FE3940" s="15" t="inlineStr">
        <is>
          <t>D8481478K2PL</t>
        </is>
      </c>
      <c r="FF3940" s="15" t="inlineStr">
        <is>
          <t>YV3T7U527KA195197</t>
        </is>
      </c>
      <c r="FG3940" s="15" t="inlineStr">
        <is>
          <t>Volvo</t>
        </is>
      </c>
      <c r="FH3940" s="15" t="inlineStr">
        <is>
          <t>B8R</t>
        </is>
      </c>
      <c r="FI3940" s="15" t="inlineStr">
        <is>
          <t>MARCOPOLO</t>
        </is>
      </c>
      <c r="FJ3940" s="15" t="inlineStr">
        <is>
          <t>TORINO</t>
        </is>
      </c>
      <c r="FK3940" s="15" t="n">
        <v>2019</v>
      </c>
      <c r="FL3940" s="15" t="inlineStr">
        <is>
          <t>B2PAL</t>
        </is>
      </c>
      <c r="FM3940" s="15" t="inlineStr">
        <is>
          <t>LOS LIBERTADORES</t>
        </is>
      </c>
      <c r="FN3940" s="15" t="inlineStr">
        <is>
          <t>Los Liberadores 6450, Lote 4A</t>
        </is>
      </c>
      <c r="FO3940" s="15" t="inlineStr">
        <is>
          <t>Huechuraba</t>
        </is>
      </c>
      <c r="FP3940" t="inlineStr">
        <is>
          <t>B</t>
        </is>
      </c>
    </row>
    <row r="3941">
      <c r="FC3941" t="inlineStr">
        <is>
          <t>Diccionario 4</t>
        </is>
      </c>
      <c r="FD3941" s="15" t="inlineStr">
        <is>
          <t>GCBB-54|</t>
        </is>
      </c>
      <c r="FE3941" s="15" t="inlineStr">
        <is>
          <t>D8481635K2PL</t>
        </is>
      </c>
      <c r="FF3941" s="15" t="inlineStr">
        <is>
          <t>YV3T7U529KA195198</t>
        </is>
      </c>
      <c r="FG3941" s="15" t="inlineStr">
        <is>
          <t>Volvo</t>
        </is>
      </c>
      <c r="FH3941" s="15" t="inlineStr">
        <is>
          <t>B8R</t>
        </is>
      </c>
      <c r="FI3941" s="15" t="inlineStr">
        <is>
          <t>MARCOPOLO</t>
        </is>
      </c>
      <c r="FJ3941" s="15" t="inlineStr">
        <is>
          <t>TORINO</t>
        </is>
      </c>
      <c r="FK3941" s="15" t="n">
        <v>2019</v>
      </c>
      <c r="FL3941" s="15" t="inlineStr">
        <is>
          <t>B2PAL</t>
        </is>
      </c>
      <c r="FM3941" s="15" t="inlineStr">
        <is>
          <t>LOS LIBERTADORES</t>
        </is>
      </c>
      <c r="FN3941" s="15" t="inlineStr">
        <is>
          <t>Los Liberadores 6450, Lote 4A</t>
        </is>
      </c>
      <c r="FO3941" s="15" t="inlineStr">
        <is>
          <t>Huechuraba</t>
        </is>
      </c>
      <c r="FP3941" t="inlineStr">
        <is>
          <t>B</t>
        </is>
      </c>
    </row>
    <row r="3942">
      <c r="FC3942" t="inlineStr">
        <is>
          <t>Diccionario 4</t>
        </is>
      </c>
      <c r="FD3942" s="15" t="inlineStr">
        <is>
          <t>FLXZ-99|</t>
        </is>
      </c>
      <c r="FE3942" s="15" t="inlineStr">
        <is>
          <t>D8481607K2PL</t>
        </is>
      </c>
      <c r="FF3942" s="15" t="inlineStr">
        <is>
          <t>YV3T7U521KA195180</t>
        </is>
      </c>
      <c r="FG3942" s="15" t="inlineStr">
        <is>
          <t>Volvo</t>
        </is>
      </c>
      <c r="FH3942" s="15" t="inlineStr">
        <is>
          <t>B8R</t>
        </is>
      </c>
      <c r="FI3942" s="15" t="inlineStr">
        <is>
          <t>MARCOPOLO</t>
        </is>
      </c>
      <c r="FJ3942" s="15" t="inlineStr">
        <is>
          <t>TORINO</t>
        </is>
      </c>
      <c r="FK3942" s="15" t="n">
        <v>2019</v>
      </c>
      <c r="FL3942" s="15" t="inlineStr">
        <is>
          <t>B2PAL</t>
        </is>
      </c>
      <c r="FM3942" s="15" t="inlineStr">
        <is>
          <t>LOS LIBERTADORES</t>
        </is>
      </c>
      <c r="FN3942" s="15" t="inlineStr">
        <is>
          <t>Los Liberadores 6450, Lote 4A</t>
        </is>
      </c>
      <c r="FO3942" s="15" t="inlineStr">
        <is>
          <t>Huechuraba</t>
        </is>
      </c>
      <c r="FP3942" t="inlineStr">
        <is>
          <t>B</t>
        </is>
      </c>
    </row>
    <row r="3943">
      <c r="FC3943" t="inlineStr">
        <is>
          <t>Diccionario 4</t>
        </is>
      </c>
      <c r="FD3943" s="15" t="inlineStr">
        <is>
          <t>GCBB-55|</t>
        </is>
      </c>
      <c r="FE3943" s="15" t="inlineStr">
        <is>
          <t>D8481488K2PL</t>
        </is>
      </c>
      <c r="FF3943" s="15" t="inlineStr">
        <is>
          <t>YV3T7U525KA195229</t>
        </is>
      </c>
      <c r="FG3943" s="15" t="inlineStr">
        <is>
          <t>Volvo</t>
        </is>
      </c>
      <c r="FH3943" s="15" t="inlineStr">
        <is>
          <t>B8R</t>
        </is>
      </c>
      <c r="FI3943" s="15" t="inlineStr">
        <is>
          <t>MARCOPOLO</t>
        </is>
      </c>
      <c r="FJ3943" s="15" t="inlineStr">
        <is>
          <t>TORINO</t>
        </is>
      </c>
      <c r="FK3943" s="15" t="n">
        <v>2019</v>
      </c>
      <c r="FL3943" s="15" t="inlineStr">
        <is>
          <t>B2PAL</t>
        </is>
      </c>
      <c r="FM3943" s="15" t="inlineStr">
        <is>
          <t>LOS LIBERTADORES</t>
        </is>
      </c>
      <c r="FN3943" s="15" t="inlineStr">
        <is>
          <t>Los Liberadores 6450, Lote 4A</t>
        </is>
      </c>
      <c r="FO3943" s="15" t="inlineStr">
        <is>
          <t>Huechuraba</t>
        </is>
      </c>
      <c r="FP3943" t="inlineStr">
        <is>
          <t>B</t>
        </is>
      </c>
    </row>
    <row r="3944">
      <c r="FC3944" t="inlineStr">
        <is>
          <t>Diccionario 4</t>
        </is>
      </c>
      <c r="FD3944" s="15" t="inlineStr">
        <is>
          <t>GCBB-56|</t>
        </is>
      </c>
      <c r="FE3944" s="15" t="inlineStr">
        <is>
          <t>D8482670K2PL</t>
        </is>
      </c>
      <c r="FF3944" s="15" t="inlineStr">
        <is>
          <t>YV3T7U523KA195231</t>
        </is>
      </c>
      <c r="FG3944" s="15" t="inlineStr">
        <is>
          <t>Volvo</t>
        </is>
      </c>
      <c r="FH3944" s="15" t="inlineStr">
        <is>
          <t>B8R</t>
        </is>
      </c>
      <c r="FI3944" s="15" t="inlineStr">
        <is>
          <t>MARCOPOLO</t>
        </is>
      </c>
      <c r="FJ3944" s="15" t="inlineStr">
        <is>
          <t>TORINO</t>
        </is>
      </c>
      <c r="FK3944" s="15" t="n">
        <v>2019</v>
      </c>
      <c r="FL3944" s="15" t="inlineStr">
        <is>
          <t>B2PAL</t>
        </is>
      </c>
      <c r="FM3944" s="15" t="inlineStr">
        <is>
          <t>LOS LIBERTADORES</t>
        </is>
      </c>
      <c r="FN3944" s="15" t="inlineStr">
        <is>
          <t>Los Liberadores 6450, Lote 4A</t>
        </is>
      </c>
      <c r="FO3944" s="15" t="inlineStr">
        <is>
          <t>Huechuraba</t>
        </is>
      </c>
      <c r="FP3944" t="inlineStr">
        <is>
          <t>B</t>
        </is>
      </c>
    </row>
    <row r="3945">
      <c r="FC3945" t="inlineStr">
        <is>
          <t>Diccionario 4</t>
        </is>
      </c>
      <c r="FD3945" s="15" t="inlineStr">
        <is>
          <t>GCBB-57|</t>
        </is>
      </c>
      <c r="FE3945" s="15" t="inlineStr">
        <is>
          <t>D8481984K2PL</t>
        </is>
      </c>
      <c r="FF3945" s="15" t="inlineStr">
        <is>
          <t>YV3T7U524KA195268</t>
        </is>
      </c>
      <c r="FG3945" s="15" t="inlineStr">
        <is>
          <t>Volvo</t>
        </is>
      </c>
      <c r="FH3945" s="15" t="inlineStr">
        <is>
          <t>B8R</t>
        </is>
      </c>
      <c r="FI3945" s="15" t="inlineStr">
        <is>
          <t>MARCOPOLO</t>
        </is>
      </c>
      <c r="FJ3945" s="15" t="inlineStr">
        <is>
          <t>TORINO</t>
        </is>
      </c>
      <c r="FK3945" s="15" t="n">
        <v>2019</v>
      </c>
      <c r="FL3945" s="15" t="inlineStr">
        <is>
          <t>B2PAL</t>
        </is>
      </c>
      <c r="FM3945" s="15" t="inlineStr">
        <is>
          <t>LOS LIBERTADORES</t>
        </is>
      </c>
      <c r="FN3945" s="15" t="inlineStr">
        <is>
          <t>Los Liberadores 6450, Lote 4A</t>
        </is>
      </c>
      <c r="FO3945" s="15" t="inlineStr">
        <is>
          <t>Huechuraba</t>
        </is>
      </c>
      <c r="FP3945" t="inlineStr">
        <is>
          <t>B</t>
        </is>
      </c>
    </row>
    <row r="3946">
      <c r="FC3946" t="inlineStr">
        <is>
          <t>Diccionario 4</t>
        </is>
      </c>
      <c r="FD3946" s="15" t="inlineStr">
        <is>
          <t>GCBB-58|</t>
        </is>
      </c>
      <c r="FE3946" s="15" t="inlineStr">
        <is>
          <t>D8481907K2PL</t>
        </is>
      </c>
      <c r="FF3946" s="15" t="inlineStr">
        <is>
          <t>YV3T7U526KA195269</t>
        </is>
      </c>
      <c r="FG3946" s="15" t="inlineStr">
        <is>
          <t>Volvo</t>
        </is>
      </c>
      <c r="FH3946" s="15" t="inlineStr">
        <is>
          <t>B8R</t>
        </is>
      </c>
      <c r="FI3946" s="15" t="inlineStr">
        <is>
          <t>MARCOPOLO</t>
        </is>
      </c>
      <c r="FJ3946" s="15" t="inlineStr">
        <is>
          <t>TORINO</t>
        </is>
      </c>
      <c r="FK3946" s="15" t="n">
        <v>2019</v>
      </c>
      <c r="FL3946" s="15" t="inlineStr">
        <is>
          <t>B2PAL</t>
        </is>
      </c>
      <c r="FM3946" s="15" t="inlineStr">
        <is>
          <t>LOS LIBERTADORES</t>
        </is>
      </c>
      <c r="FN3946" s="15" t="inlineStr">
        <is>
          <t>Los Liberadores 6450, Lote 4A</t>
        </is>
      </c>
      <c r="FO3946" s="15" t="inlineStr">
        <is>
          <t>Huechuraba</t>
        </is>
      </c>
      <c r="FP3946" t="inlineStr">
        <is>
          <t>B</t>
        </is>
      </c>
    </row>
    <row r="3947">
      <c r="FC3947" t="inlineStr">
        <is>
          <t>Diccionario 4</t>
        </is>
      </c>
      <c r="FD3947" s="15" t="inlineStr">
        <is>
          <t>GCBB-59|</t>
        </is>
      </c>
      <c r="FE3947" s="15" t="inlineStr">
        <is>
          <t>D8481955K2PL</t>
        </is>
      </c>
      <c r="FF3947" s="15" t="inlineStr">
        <is>
          <t>YV3T7U522KA195270</t>
        </is>
      </c>
      <c r="FG3947" s="15" t="inlineStr">
        <is>
          <t>Volvo</t>
        </is>
      </c>
      <c r="FH3947" s="15" t="inlineStr">
        <is>
          <t>B8R</t>
        </is>
      </c>
      <c r="FI3947" s="15" t="inlineStr">
        <is>
          <t>MARCOPOLO</t>
        </is>
      </c>
      <c r="FJ3947" s="15" t="inlineStr">
        <is>
          <t>TORINO</t>
        </is>
      </c>
      <c r="FK3947" s="15" t="n">
        <v>2019</v>
      </c>
      <c r="FL3947" s="15" t="inlineStr">
        <is>
          <t>B2PAL</t>
        </is>
      </c>
      <c r="FM3947" s="15" t="inlineStr">
        <is>
          <t>LOS LIBERTADORES</t>
        </is>
      </c>
      <c r="FN3947" s="15" t="inlineStr">
        <is>
          <t>Los Liberadores 6450, Lote 4A</t>
        </is>
      </c>
      <c r="FO3947" s="15" t="inlineStr">
        <is>
          <t>Huechuraba</t>
        </is>
      </c>
      <c r="FP3947" t="inlineStr">
        <is>
          <t>B</t>
        </is>
      </c>
    </row>
    <row r="3948">
      <c r="FC3948" t="inlineStr">
        <is>
          <t>Diccionario 4</t>
        </is>
      </c>
      <c r="FD3948" s="15" t="inlineStr">
        <is>
          <t>GCBB-60|</t>
        </is>
      </c>
      <c r="FE3948" s="15" t="inlineStr">
        <is>
          <t>D8482733K2PL</t>
        </is>
      </c>
      <c r="FF3948" s="15" t="inlineStr">
        <is>
          <t>YV3T7U524KA195299</t>
        </is>
      </c>
      <c r="FG3948" s="15" t="inlineStr">
        <is>
          <t>Volvo</t>
        </is>
      </c>
      <c r="FH3948" s="15" t="inlineStr">
        <is>
          <t>B8R</t>
        </is>
      </c>
      <c r="FI3948" s="15" t="inlineStr">
        <is>
          <t>MARCOPOLO</t>
        </is>
      </c>
      <c r="FJ3948" s="15" t="inlineStr">
        <is>
          <t>TORINO</t>
        </is>
      </c>
      <c r="FK3948" s="15" t="n">
        <v>2019</v>
      </c>
      <c r="FL3948" s="15" t="inlineStr">
        <is>
          <t>B2PAL</t>
        </is>
      </c>
      <c r="FM3948" s="15" t="inlineStr">
        <is>
          <t>LOS LIBERTADORES</t>
        </is>
      </c>
      <c r="FN3948" s="15" t="inlineStr">
        <is>
          <t>Los Liberadores 6450, Lote 4A</t>
        </is>
      </c>
      <c r="FO3948" s="15" t="inlineStr">
        <is>
          <t>Huechuraba</t>
        </is>
      </c>
      <c r="FP3948" t="inlineStr">
        <is>
          <t>B</t>
        </is>
      </c>
    </row>
    <row r="3949">
      <c r="FC3949" t="inlineStr">
        <is>
          <t>Diccionario 4</t>
        </is>
      </c>
      <c r="FD3949" s="15" t="inlineStr">
        <is>
          <t>GCBB-61|</t>
        </is>
      </c>
      <c r="FE3949" s="15" t="inlineStr">
        <is>
          <t>D8482727K2PL</t>
        </is>
      </c>
      <c r="FF3949" s="15" t="inlineStr">
        <is>
          <t>YV3T7U527KA195300</t>
        </is>
      </c>
      <c r="FG3949" s="15" t="inlineStr">
        <is>
          <t>Volvo</t>
        </is>
      </c>
      <c r="FH3949" s="15" t="inlineStr">
        <is>
          <t>B8R</t>
        </is>
      </c>
      <c r="FI3949" s="15" t="inlineStr">
        <is>
          <t>MARCOPOLO</t>
        </is>
      </c>
      <c r="FJ3949" s="15" t="inlineStr">
        <is>
          <t>TORINO</t>
        </is>
      </c>
      <c r="FK3949" s="15" t="n">
        <v>2019</v>
      </c>
      <c r="FL3949" s="15" t="inlineStr">
        <is>
          <t>B2PAL</t>
        </is>
      </c>
      <c r="FM3949" s="15" t="inlineStr">
        <is>
          <t>LOS LIBERTADORES</t>
        </is>
      </c>
      <c r="FN3949" s="15" t="inlineStr">
        <is>
          <t>Los Liberadores 6450, Lote 4A</t>
        </is>
      </c>
      <c r="FO3949" s="15" t="inlineStr">
        <is>
          <t>Huechuraba</t>
        </is>
      </c>
      <c r="FP3949" t="inlineStr">
        <is>
          <t>B</t>
        </is>
      </c>
    </row>
    <row r="3950">
      <c r="FC3950" t="inlineStr">
        <is>
          <t>Diccionario 4</t>
        </is>
      </c>
      <c r="FD3950" s="15" t="inlineStr">
        <is>
          <t>GCBB-62|</t>
        </is>
      </c>
      <c r="FE3950" s="15" t="inlineStr">
        <is>
          <t>D8482362K2PL</t>
        </is>
      </c>
      <c r="FF3950" s="15" t="inlineStr">
        <is>
          <t>YV3T7U526KA195286</t>
        </is>
      </c>
      <c r="FG3950" s="15" t="inlineStr">
        <is>
          <t>Volvo</t>
        </is>
      </c>
      <c r="FH3950" s="15" t="inlineStr">
        <is>
          <t>B8R</t>
        </is>
      </c>
      <c r="FI3950" s="15" t="inlineStr">
        <is>
          <t>MARCOPOLO</t>
        </is>
      </c>
      <c r="FJ3950" s="15" t="inlineStr">
        <is>
          <t>TORINO</t>
        </is>
      </c>
      <c r="FK3950" s="15" t="n">
        <v>2019</v>
      </c>
      <c r="FL3950" s="15" t="inlineStr">
        <is>
          <t>B2PAL</t>
        </is>
      </c>
      <c r="FM3950" s="15" t="inlineStr">
        <is>
          <t>LOS LIBERTADORES</t>
        </is>
      </c>
      <c r="FN3950" s="15" t="inlineStr">
        <is>
          <t>Los Liberadores 6450, Lote 4A</t>
        </is>
      </c>
      <c r="FO3950" s="15" t="inlineStr">
        <is>
          <t>Huechuraba</t>
        </is>
      </c>
      <c r="FP3950" t="inlineStr">
        <is>
          <t>B</t>
        </is>
      </c>
    </row>
    <row r="3951">
      <c r="FC3951" t="inlineStr">
        <is>
          <t>Diccionario 4</t>
        </is>
      </c>
      <c r="FD3951" s="15" t="inlineStr">
        <is>
          <t>GCBB-63|</t>
        </is>
      </c>
      <c r="FE3951" s="15" t="inlineStr">
        <is>
          <t>D8482765K2PL</t>
        </is>
      </c>
      <c r="FF3951" s="15" t="inlineStr">
        <is>
          <t>YV3T7U520KA195302</t>
        </is>
      </c>
      <c r="FG3951" s="15" t="inlineStr">
        <is>
          <t>Volvo</t>
        </is>
      </c>
      <c r="FH3951" s="15" t="inlineStr">
        <is>
          <t>B8R</t>
        </is>
      </c>
      <c r="FI3951" s="15" t="inlineStr">
        <is>
          <t>MARCOPOLO</t>
        </is>
      </c>
      <c r="FJ3951" s="15" t="inlineStr">
        <is>
          <t>TORINO</t>
        </is>
      </c>
      <c r="FK3951" s="15" t="n">
        <v>2019</v>
      </c>
      <c r="FL3951" s="15" t="inlineStr">
        <is>
          <t>B2PAL</t>
        </is>
      </c>
      <c r="FM3951" s="15" t="inlineStr">
        <is>
          <t>LOS LIBERTADORES</t>
        </is>
      </c>
      <c r="FN3951" s="15" t="inlineStr">
        <is>
          <t>Los Liberadores 6450, Lote 4A</t>
        </is>
      </c>
      <c r="FO3951" s="15" t="inlineStr">
        <is>
          <t>Huechuraba</t>
        </is>
      </c>
      <c r="FP3951" t="inlineStr">
        <is>
          <t>B</t>
        </is>
      </c>
    </row>
    <row r="3952">
      <c r="FC3952" t="inlineStr">
        <is>
          <t>Diccionario 4</t>
        </is>
      </c>
      <c r="FD3952" s="15" t="inlineStr">
        <is>
          <t>GCBB-64|</t>
        </is>
      </c>
      <c r="FE3952" s="15" t="inlineStr">
        <is>
          <t>D8482772K2PL</t>
        </is>
      </c>
      <c r="FF3952" s="15" t="inlineStr">
        <is>
          <t>YV3T7U526KA195305</t>
        </is>
      </c>
      <c r="FG3952" s="15" t="inlineStr">
        <is>
          <t>Volvo</t>
        </is>
      </c>
      <c r="FH3952" s="15" t="inlineStr">
        <is>
          <t>B8R</t>
        </is>
      </c>
      <c r="FI3952" s="15" t="inlineStr">
        <is>
          <t>MARCOPOLO</t>
        </is>
      </c>
      <c r="FJ3952" s="15" t="inlineStr">
        <is>
          <t>TORINO</t>
        </is>
      </c>
      <c r="FK3952" s="15" t="n">
        <v>2019</v>
      </c>
      <c r="FL3952" s="15" t="inlineStr">
        <is>
          <t>B2PAL</t>
        </is>
      </c>
      <c r="FM3952" s="15" t="inlineStr">
        <is>
          <t>LOS LIBERTADORES</t>
        </is>
      </c>
      <c r="FN3952" s="15" t="inlineStr">
        <is>
          <t>Los Liberadores 6450, Lote 4A</t>
        </is>
      </c>
      <c r="FO3952" s="15" t="inlineStr">
        <is>
          <t>Huechuraba</t>
        </is>
      </c>
      <c r="FP3952" t="inlineStr">
        <is>
          <t>B</t>
        </is>
      </c>
    </row>
    <row r="3953">
      <c r="FC3953" t="inlineStr">
        <is>
          <t>Diccionario 4</t>
        </is>
      </c>
      <c r="FD3953" s="15" t="inlineStr">
        <is>
          <t>GCBB-10|</t>
        </is>
      </c>
      <c r="FE3953" s="15" t="inlineStr">
        <is>
          <t>D8481853K2PL</t>
        </is>
      </c>
      <c r="FF3953" s="15" t="inlineStr">
        <is>
          <t>YV3T7U523KA195195</t>
        </is>
      </c>
      <c r="FG3953" s="15" t="inlineStr">
        <is>
          <t>Volvo</t>
        </is>
      </c>
      <c r="FH3953" s="15" t="inlineStr">
        <is>
          <t>B8R</t>
        </is>
      </c>
      <c r="FI3953" s="15" t="inlineStr">
        <is>
          <t>MARCOPOLO</t>
        </is>
      </c>
      <c r="FJ3953" s="15" t="inlineStr">
        <is>
          <t>TORINO</t>
        </is>
      </c>
      <c r="FK3953" s="15" t="n">
        <v>2019</v>
      </c>
      <c r="FL3953" s="15" t="inlineStr">
        <is>
          <t>B2PAL</t>
        </is>
      </c>
      <c r="FM3953" s="15" t="inlineStr">
        <is>
          <t>LOS LIBERTADORES</t>
        </is>
      </c>
      <c r="FN3953" s="15" t="inlineStr">
        <is>
          <t>Los Liberadores 6450, Lote 4A</t>
        </is>
      </c>
      <c r="FO3953" s="15" t="inlineStr">
        <is>
          <t>Huechuraba</t>
        </is>
      </c>
      <c r="FP3953" t="inlineStr">
        <is>
          <t>B</t>
        </is>
      </c>
    </row>
    <row r="3954">
      <c r="FC3954" t="inlineStr">
        <is>
          <t>Diccionario 4</t>
        </is>
      </c>
      <c r="FD3954" s="15" t="inlineStr">
        <is>
          <t>GCBB-65|</t>
        </is>
      </c>
      <c r="FE3954" s="15" t="inlineStr">
        <is>
          <t>D8482473K2PL</t>
        </is>
      </c>
      <c r="FF3954" s="15" t="inlineStr">
        <is>
          <t>YV3T7U520KA195316</t>
        </is>
      </c>
      <c r="FG3954" s="15" t="inlineStr">
        <is>
          <t>Volvo</t>
        </is>
      </c>
      <c r="FH3954" s="15" t="inlineStr">
        <is>
          <t>B8R</t>
        </is>
      </c>
      <c r="FI3954" s="15" t="inlineStr">
        <is>
          <t>MARCOPOLO</t>
        </is>
      </c>
      <c r="FJ3954" s="15" t="inlineStr">
        <is>
          <t>TORINO</t>
        </is>
      </c>
      <c r="FK3954" s="15" t="n">
        <v>2019</v>
      </c>
      <c r="FL3954" s="15" t="inlineStr">
        <is>
          <t>B2PAL</t>
        </is>
      </c>
      <c r="FM3954" s="15" t="inlineStr">
        <is>
          <t>LOS LIBERTADORES</t>
        </is>
      </c>
      <c r="FN3954" s="15" t="inlineStr">
        <is>
          <t>Los Liberadores 6450, Lote 4A</t>
        </is>
      </c>
      <c r="FO3954" s="15" t="inlineStr">
        <is>
          <t>Huechuraba</t>
        </is>
      </c>
      <c r="FP3954" t="inlineStr">
        <is>
          <t>B</t>
        </is>
      </c>
    </row>
    <row r="3955">
      <c r="FC3955" t="inlineStr">
        <is>
          <t>Diccionario 4</t>
        </is>
      </c>
      <c r="FD3955" s="15" t="inlineStr">
        <is>
          <t>GCBB-66|</t>
        </is>
      </c>
      <c r="FE3955" s="15" t="inlineStr">
        <is>
          <t>D8484011K2PL</t>
        </is>
      </c>
      <c r="FF3955" s="15" t="inlineStr">
        <is>
          <t>YV3T7U522KA195592</t>
        </is>
      </c>
      <c r="FG3955" s="15" t="inlineStr">
        <is>
          <t>Volvo</t>
        </is>
      </c>
      <c r="FH3955" s="15" t="inlineStr">
        <is>
          <t>B8R</t>
        </is>
      </c>
      <c r="FI3955" s="15" t="inlineStr">
        <is>
          <t>MARCOPOLO</t>
        </is>
      </c>
      <c r="FJ3955" s="15" t="inlineStr">
        <is>
          <t>TORINO</t>
        </is>
      </c>
      <c r="FK3955" s="15" t="n">
        <v>2019</v>
      </c>
      <c r="FL3955" s="15" t="inlineStr">
        <is>
          <t>B2PAL</t>
        </is>
      </c>
      <c r="FM3955" s="15" t="inlineStr">
        <is>
          <t>LOS LIBERTADORES</t>
        </is>
      </c>
      <c r="FN3955" s="15" t="inlineStr">
        <is>
          <t>Los Liberadores 6450, Lote 4A</t>
        </is>
      </c>
      <c r="FO3955" s="15" t="inlineStr">
        <is>
          <t>Huechuraba</t>
        </is>
      </c>
      <c r="FP3955" t="inlineStr">
        <is>
          <t>B</t>
        </is>
      </c>
    </row>
    <row r="3956">
      <c r="FC3956" t="inlineStr">
        <is>
          <t>Diccionario 4</t>
        </is>
      </c>
      <c r="FD3956" s="15" t="inlineStr">
        <is>
          <t>GCBB-67|</t>
        </is>
      </c>
      <c r="FE3956" s="15" t="inlineStr">
        <is>
          <t>D8483863K2PL</t>
        </is>
      </c>
      <c r="FF3956" s="15" t="inlineStr">
        <is>
          <t>YV3T7U526KA195594</t>
        </is>
      </c>
      <c r="FG3956" s="15" t="inlineStr">
        <is>
          <t>Volvo</t>
        </is>
      </c>
      <c r="FH3956" s="15" t="inlineStr">
        <is>
          <t>B8R</t>
        </is>
      </c>
      <c r="FI3956" s="15" t="inlineStr">
        <is>
          <t>MARCOPOLO</t>
        </is>
      </c>
      <c r="FJ3956" s="15" t="inlineStr">
        <is>
          <t>TORINO</t>
        </is>
      </c>
      <c r="FK3956" s="15" t="n">
        <v>2019</v>
      </c>
      <c r="FL3956" s="15" t="inlineStr">
        <is>
          <t>B2PAL</t>
        </is>
      </c>
      <c r="FM3956" s="15" t="inlineStr">
        <is>
          <t>LOS LIBERTADORES</t>
        </is>
      </c>
      <c r="FN3956" s="15" t="inlineStr">
        <is>
          <t>Los Liberadores 6450, Lote 4A</t>
        </is>
      </c>
      <c r="FO3956" s="15" t="inlineStr">
        <is>
          <t>Huechuraba</t>
        </is>
      </c>
      <c r="FP3956" t="inlineStr">
        <is>
          <t>B</t>
        </is>
      </c>
    </row>
    <row r="3957">
      <c r="FC3957" t="inlineStr">
        <is>
          <t>Diccionario 4</t>
        </is>
      </c>
      <c r="FD3957" s="15" t="inlineStr">
        <is>
          <t>GCBB-68|</t>
        </is>
      </c>
      <c r="FE3957" s="15" t="inlineStr">
        <is>
          <t>D8452415K2PL</t>
        </is>
      </c>
      <c r="FF3957" s="15" t="inlineStr">
        <is>
          <t>YV3T7U529JA189190</t>
        </is>
      </c>
      <c r="FG3957" s="15" t="inlineStr">
        <is>
          <t>Volvo</t>
        </is>
      </c>
      <c r="FH3957" s="15" t="inlineStr">
        <is>
          <t>B8R</t>
        </is>
      </c>
      <c r="FI3957" s="15" t="inlineStr">
        <is>
          <t>MARCOPOLO</t>
        </is>
      </c>
      <c r="FJ3957" s="15" t="inlineStr">
        <is>
          <t>TORINO</t>
        </is>
      </c>
      <c r="FK3957" s="15" t="n">
        <v>2019</v>
      </c>
      <c r="FL3957" s="15" t="inlineStr">
        <is>
          <t>B2PAL</t>
        </is>
      </c>
      <c r="FM3957" s="15" t="inlineStr">
        <is>
          <t>SAN JOSE</t>
        </is>
      </c>
      <c r="FN3957" s="15" t="inlineStr">
        <is>
          <t>San José 030 (José Besa 669)</t>
        </is>
      </c>
      <c r="FO3957" s="15" t="inlineStr">
        <is>
          <t>San Bernardo</t>
        </is>
      </c>
      <c r="FP3957" t="inlineStr">
        <is>
          <t>B</t>
        </is>
      </c>
    </row>
    <row r="3958">
      <c r="FC3958" t="inlineStr">
        <is>
          <t>Diccionario 4</t>
        </is>
      </c>
      <c r="FD3958" s="15" t="inlineStr">
        <is>
          <t>GCBB-69|</t>
        </is>
      </c>
      <c r="FE3958" s="15" t="inlineStr">
        <is>
          <t>D8481542K2PL</t>
        </is>
      </c>
      <c r="FF3958" s="15" t="inlineStr">
        <is>
          <t>YV3T7U522KA195172</t>
        </is>
      </c>
      <c r="FG3958" s="15" t="inlineStr">
        <is>
          <t>Volvo</t>
        </is>
      </c>
      <c r="FH3958" s="15" t="inlineStr">
        <is>
          <t>B8R</t>
        </is>
      </c>
      <c r="FI3958" s="15" t="inlineStr">
        <is>
          <t>MARCOPOLO</t>
        </is>
      </c>
      <c r="FJ3958" s="15" t="inlineStr">
        <is>
          <t>TORINO</t>
        </is>
      </c>
      <c r="FK3958" s="15" t="n">
        <v>2019</v>
      </c>
      <c r="FL3958" s="15" t="inlineStr">
        <is>
          <t>B2PAL</t>
        </is>
      </c>
      <c r="FM3958" s="15" t="inlineStr">
        <is>
          <t>LOS LIBERTADORES</t>
        </is>
      </c>
      <c r="FN3958" s="15" t="inlineStr">
        <is>
          <t>Los Liberadores 6450, Lote 4A</t>
        </is>
      </c>
      <c r="FO3958" s="15" t="inlineStr">
        <is>
          <t>Huechuraba</t>
        </is>
      </c>
      <c r="FP3958" t="inlineStr">
        <is>
          <t>B</t>
        </is>
      </c>
    </row>
    <row r="3959">
      <c r="FC3959" t="inlineStr">
        <is>
          <t>Diccionario 4</t>
        </is>
      </c>
      <c r="FD3959" s="15" t="inlineStr">
        <is>
          <t>GCBB-70|</t>
        </is>
      </c>
      <c r="FE3959" s="15" t="inlineStr">
        <is>
          <t>D8482361K2PL</t>
        </is>
      </c>
      <c r="FF3959" s="15" t="inlineStr">
        <is>
          <t>YV3T7U528KA195287</t>
        </is>
      </c>
      <c r="FG3959" s="15" t="inlineStr">
        <is>
          <t>Volvo</t>
        </is>
      </c>
      <c r="FH3959" s="15" t="inlineStr">
        <is>
          <t>B8R</t>
        </is>
      </c>
      <c r="FI3959" s="15" t="inlineStr">
        <is>
          <t>MARCOPOLO</t>
        </is>
      </c>
      <c r="FJ3959" s="15" t="inlineStr">
        <is>
          <t>TORINO</t>
        </is>
      </c>
      <c r="FK3959" s="15" t="n">
        <v>2019</v>
      </c>
      <c r="FL3959" s="15" t="inlineStr">
        <is>
          <t>B2PAL</t>
        </is>
      </c>
      <c r="FM3959" s="15" t="inlineStr">
        <is>
          <t>LOS LIBERTADORES</t>
        </is>
      </c>
      <c r="FN3959" s="15" t="inlineStr">
        <is>
          <t>Los Liberadores 6450, Lote 4A</t>
        </is>
      </c>
      <c r="FO3959" s="15" t="inlineStr">
        <is>
          <t>Huechuraba</t>
        </is>
      </c>
      <c r="FP3959" t="inlineStr">
        <is>
          <t>B</t>
        </is>
      </c>
    </row>
    <row r="3960">
      <c r="FC3960" t="inlineStr">
        <is>
          <t>Diccionario 4</t>
        </is>
      </c>
      <c r="FD3960" s="15" t="inlineStr">
        <is>
          <t>GCBB-71|</t>
        </is>
      </c>
      <c r="FE3960" s="15" t="inlineStr">
        <is>
          <t>D8482775K2PL</t>
        </is>
      </c>
      <c r="FF3960" s="15" t="inlineStr">
        <is>
          <t>YV3T7U528KA195306</t>
        </is>
      </c>
      <c r="FG3960" s="15" t="inlineStr">
        <is>
          <t>Volvo</t>
        </is>
      </c>
      <c r="FH3960" s="15" t="inlineStr">
        <is>
          <t>B8R</t>
        </is>
      </c>
      <c r="FI3960" s="15" t="inlineStr">
        <is>
          <t>MARCOPOLO</t>
        </is>
      </c>
      <c r="FJ3960" s="15" t="inlineStr">
        <is>
          <t>TORINO</t>
        </is>
      </c>
      <c r="FK3960" s="15" t="n">
        <v>2019</v>
      </c>
      <c r="FL3960" s="15" t="inlineStr">
        <is>
          <t>B2PAL</t>
        </is>
      </c>
      <c r="FM3960" s="15" t="inlineStr">
        <is>
          <t>LOS LIBERTADORES</t>
        </is>
      </c>
      <c r="FN3960" s="15" t="inlineStr">
        <is>
          <t>Los Liberadores 6450, Lote 4A</t>
        </is>
      </c>
      <c r="FO3960" s="15" t="inlineStr">
        <is>
          <t>Huechuraba</t>
        </is>
      </c>
      <c r="FP3960" t="inlineStr">
        <is>
          <t>B</t>
        </is>
      </c>
    </row>
    <row r="3961">
      <c r="FC3961" t="inlineStr">
        <is>
          <t>Diccionario 4</t>
        </is>
      </c>
      <c r="FD3961" s="15" t="inlineStr">
        <is>
          <t>GCBB-72|</t>
        </is>
      </c>
      <c r="FE3961" s="15" t="inlineStr">
        <is>
          <t>D8482721K2PL</t>
        </is>
      </c>
      <c r="FF3961" s="15" t="inlineStr">
        <is>
          <t>YV3T7U52XKA195307</t>
        </is>
      </c>
      <c r="FG3961" s="15" t="inlineStr">
        <is>
          <t>Volvo</t>
        </is>
      </c>
      <c r="FH3961" s="15" t="inlineStr">
        <is>
          <t>B8R</t>
        </is>
      </c>
      <c r="FI3961" s="15" t="inlineStr">
        <is>
          <t>MARCOPOLO</t>
        </is>
      </c>
      <c r="FJ3961" s="15" t="inlineStr">
        <is>
          <t>TORINO</t>
        </is>
      </c>
      <c r="FK3961" s="15" t="n">
        <v>2019</v>
      </c>
      <c r="FL3961" s="15" t="inlineStr">
        <is>
          <t>B2PAL</t>
        </is>
      </c>
      <c r="FM3961" s="15" t="inlineStr">
        <is>
          <t>LOS LIBERTADORES</t>
        </is>
      </c>
      <c r="FN3961" s="15" t="inlineStr">
        <is>
          <t>Los Liberadores 6450, Lote 4A</t>
        </is>
      </c>
      <c r="FO3961" s="15" t="inlineStr">
        <is>
          <t>Huechuraba</t>
        </is>
      </c>
      <c r="FP3961" t="inlineStr">
        <is>
          <t>B</t>
        </is>
      </c>
    </row>
    <row r="3962">
      <c r="FC3962" t="inlineStr">
        <is>
          <t>Diccionario 4</t>
        </is>
      </c>
      <c r="FD3962" s="15" t="inlineStr">
        <is>
          <t>GCBB-73|</t>
        </is>
      </c>
      <c r="FE3962" s="15" t="inlineStr">
        <is>
          <t>D8482748K2PL</t>
        </is>
      </c>
      <c r="FF3962" s="15" t="inlineStr">
        <is>
          <t>YV3T7U521KA195308</t>
        </is>
      </c>
      <c r="FG3962" s="15" t="inlineStr">
        <is>
          <t>Volvo</t>
        </is>
      </c>
      <c r="FH3962" s="15" t="inlineStr">
        <is>
          <t>B8R</t>
        </is>
      </c>
      <c r="FI3962" s="15" t="inlineStr">
        <is>
          <t>MARCOPOLO</t>
        </is>
      </c>
      <c r="FJ3962" s="15" t="inlineStr">
        <is>
          <t>TORINO</t>
        </is>
      </c>
      <c r="FK3962" s="15" t="n">
        <v>2019</v>
      </c>
      <c r="FL3962" s="15" t="inlineStr">
        <is>
          <t>B2PAL</t>
        </is>
      </c>
      <c r="FM3962" s="15" t="inlineStr">
        <is>
          <t>SAN JOSE</t>
        </is>
      </c>
      <c r="FN3962" s="15" t="inlineStr">
        <is>
          <t>San José 030 (José Besa 669)</t>
        </is>
      </c>
      <c r="FO3962" s="15" t="inlineStr">
        <is>
          <t>San Bernardo</t>
        </is>
      </c>
      <c r="FP3962" t="inlineStr">
        <is>
          <t>B</t>
        </is>
      </c>
    </row>
    <row r="3963">
      <c r="FC3963" t="inlineStr">
        <is>
          <t>Diccionario 4</t>
        </is>
      </c>
      <c r="FD3963" s="15" t="inlineStr">
        <is>
          <t>GCBB-74|</t>
        </is>
      </c>
      <c r="FE3963" s="15" t="inlineStr">
        <is>
          <t>D8482485K2PL</t>
        </is>
      </c>
      <c r="FF3963" s="15" t="inlineStr">
        <is>
          <t>YV3T7U522KA195317</t>
        </is>
      </c>
      <c r="FG3963" s="15" t="inlineStr">
        <is>
          <t>Volvo</t>
        </is>
      </c>
      <c r="FH3963" s="15" t="inlineStr">
        <is>
          <t>B8R</t>
        </is>
      </c>
      <c r="FI3963" s="15" t="inlineStr">
        <is>
          <t>MARCOPOLO</t>
        </is>
      </c>
      <c r="FJ3963" s="15" t="inlineStr">
        <is>
          <t>TORINO</t>
        </is>
      </c>
      <c r="FK3963" s="15" t="n">
        <v>2019</v>
      </c>
      <c r="FL3963" s="15" t="inlineStr">
        <is>
          <t>B2PAL</t>
        </is>
      </c>
      <c r="FM3963" s="15" t="inlineStr">
        <is>
          <t>LOS LIBERTADORES</t>
        </is>
      </c>
      <c r="FN3963" s="15" t="inlineStr">
        <is>
          <t>Los Liberadores 6450, Lote 4A</t>
        </is>
      </c>
      <c r="FO3963" s="15" t="inlineStr">
        <is>
          <t>Huechuraba</t>
        </is>
      </c>
      <c r="FP3963" t="inlineStr">
        <is>
          <t>B</t>
        </is>
      </c>
    </row>
    <row r="3964">
      <c r="FC3964" t="inlineStr">
        <is>
          <t>Diccionario 4</t>
        </is>
      </c>
      <c r="FD3964" s="15" t="inlineStr">
        <is>
          <t>GCBB-11|</t>
        </is>
      </c>
      <c r="FE3964" s="15" t="inlineStr">
        <is>
          <t>D8481452K2PL</t>
        </is>
      </c>
      <c r="FF3964" s="15" t="inlineStr">
        <is>
          <t>YV3T7U525KA195196</t>
        </is>
      </c>
      <c r="FG3964" s="15" t="inlineStr">
        <is>
          <t>Volvo</t>
        </is>
      </c>
      <c r="FH3964" s="15" t="inlineStr">
        <is>
          <t>B8R</t>
        </is>
      </c>
      <c r="FI3964" s="15" t="inlineStr">
        <is>
          <t>MARCOPOLO</t>
        </is>
      </c>
      <c r="FJ3964" s="15" t="inlineStr">
        <is>
          <t>TORINO</t>
        </is>
      </c>
      <c r="FK3964" s="15" t="n">
        <v>2019</v>
      </c>
      <c r="FL3964" s="15" t="inlineStr">
        <is>
          <t>B2PAL</t>
        </is>
      </c>
      <c r="FM3964" s="15" t="inlineStr">
        <is>
          <t>LOS LIBERTADORES</t>
        </is>
      </c>
      <c r="FN3964" s="15" t="inlineStr">
        <is>
          <t>Los Liberadores 6450, Lote 4A</t>
        </is>
      </c>
      <c r="FO3964" s="15" t="inlineStr">
        <is>
          <t>Huechuraba</t>
        </is>
      </c>
      <c r="FP3964" t="inlineStr">
        <is>
          <t>B</t>
        </is>
      </c>
    </row>
    <row r="3965">
      <c r="FC3965" t="inlineStr">
        <is>
          <t>Diccionario 4</t>
        </is>
      </c>
      <c r="FD3965" s="15" t="inlineStr">
        <is>
          <t>GCBB-75|</t>
        </is>
      </c>
      <c r="FE3965" s="15" t="inlineStr">
        <is>
          <t>D8482455K2PL</t>
        </is>
      </c>
      <c r="FF3965" s="15" t="inlineStr">
        <is>
          <t>YV3T7U524KA195318</t>
        </is>
      </c>
      <c r="FG3965" s="15" t="inlineStr">
        <is>
          <t>Volvo</t>
        </is>
      </c>
      <c r="FH3965" s="15" t="inlineStr">
        <is>
          <t>B8R</t>
        </is>
      </c>
      <c r="FI3965" s="15" t="inlineStr">
        <is>
          <t>MARCOPOLO</t>
        </is>
      </c>
      <c r="FJ3965" s="15" t="inlineStr">
        <is>
          <t>TORINO</t>
        </is>
      </c>
      <c r="FK3965" s="15" t="n">
        <v>2019</v>
      </c>
      <c r="FL3965" s="15" t="inlineStr">
        <is>
          <t>B2PAL</t>
        </is>
      </c>
      <c r="FM3965" s="15" t="inlineStr">
        <is>
          <t>LOS LIBERTADORES</t>
        </is>
      </c>
      <c r="FN3965" s="15" t="inlineStr">
        <is>
          <t>Los Liberadores 6450, Lote 4A</t>
        </is>
      </c>
      <c r="FO3965" s="15" t="inlineStr">
        <is>
          <t>Huechuraba</t>
        </is>
      </c>
      <c r="FP3965" t="inlineStr">
        <is>
          <t>B</t>
        </is>
      </c>
    </row>
    <row r="3966">
      <c r="FC3966" t="inlineStr">
        <is>
          <t>Diccionario 4</t>
        </is>
      </c>
      <c r="FD3966" s="15" t="inlineStr">
        <is>
          <t>GCBB-76|</t>
        </is>
      </c>
      <c r="FE3966" s="15" t="inlineStr">
        <is>
          <t>D8482471K2PL</t>
        </is>
      </c>
      <c r="FF3966" s="15" t="inlineStr">
        <is>
          <t>YV3T7U526KA195319</t>
        </is>
      </c>
      <c r="FG3966" s="15" t="inlineStr">
        <is>
          <t>Volvo</t>
        </is>
      </c>
      <c r="FH3966" s="15" t="inlineStr">
        <is>
          <t>B8R</t>
        </is>
      </c>
      <c r="FI3966" s="15" t="inlineStr">
        <is>
          <t>MARCOPOLO</t>
        </is>
      </c>
      <c r="FJ3966" s="15" t="inlineStr">
        <is>
          <t>TORINO</t>
        </is>
      </c>
      <c r="FK3966" s="15" t="n">
        <v>2019</v>
      </c>
      <c r="FL3966" s="15" t="inlineStr">
        <is>
          <t>B2PAL</t>
        </is>
      </c>
      <c r="FM3966" s="15" t="inlineStr">
        <is>
          <t>SAN JOSE</t>
        </is>
      </c>
      <c r="FN3966" s="15" t="inlineStr">
        <is>
          <t>San José 030 (José Besa 669)</t>
        </is>
      </c>
      <c r="FO3966" s="15" t="inlineStr">
        <is>
          <t>San Bernardo</t>
        </is>
      </c>
      <c r="FP3966" t="inlineStr">
        <is>
          <t>B</t>
        </is>
      </c>
    </row>
    <row r="3967">
      <c r="FC3967" t="inlineStr">
        <is>
          <t>Diccionario 4</t>
        </is>
      </c>
      <c r="FD3967" s="15" t="inlineStr">
        <is>
          <t>GCBB-77|</t>
        </is>
      </c>
      <c r="FE3967" s="15" t="inlineStr">
        <is>
          <t>D8482458K2PL</t>
        </is>
      </c>
      <c r="FF3967" s="15" t="inlineStr">
        <is>
          <t>YV3T7U522KA195320</t>
        </is>
      </c>
      <c r="FG3967" s="15" t="inlineStr">
        <is>
          <t>Volvo</t>
        </is>
      </c>
      <c r="FH3967" s="15" t="inlineStr">
        <is>
          <t>B8R</t>
        </is>
      </c>
      <c r="FI3967" s="15" t="inlineStr">
        <is>
          <t>MARCOPOLO</t>
        </is>
      </c>
      <c r="FJ3967" s="15" t="inlineStr">
        <is>
          <t>TORINO</t>
        </is>
      </c>
      <c r="FK3967" s="15" t="n">
        <v>2019</v>
      </c>
      <c r="FL3967" s="15" t="inlineStr">
        <is>
          <t>B2PAL</t>
        </is>
      </c>
      <c r="FM3967" s="15" t="inlineStr">
        <is>
          <t>LOS LIBERTADORES</t>
        </is>
      </c>
      <c r="FN3967" s="15" t="inlineStr">
        <is>
          <t>Los Liberadores 6450, Lote 4A</t>
        </is>
      </c>
      <c r="FO3967" s="15" t="inlineStr">
        <is>
          <t>Huechuraba</t>
        </is>
      </c>
      <c r="FP3967" t="inlineStr">
        <is>
          <t>B</t>
        </is>
      </c>
    </row>
    <row r="3968">
      <c r="FC3968" t="inlineStr">
        <is>
          <t>Diccionario 4</t>
        </is>
      </c>
      <c r="FD3968" s="15" t="inlineStr">
        <is>
          <t>GCBB-78|</t>
        </is>
      </c>
      <c r="FE3968" s="15" t="inlineStr">
        <is>
          <t>D8482397K2PL</t>
        </is>
      </c>
      <c r="FF3968" s="15" t="inlineStr">
        <is>
          <t>YV3T7U524KA195321</t>
        </is>
      </c>
      <c r="FG3968" s="15" t="inlineStr">
        <is>
          <t>Volvo</t>
        </is>
      </c>
      <c r="FH3968" s="15" t="inlineStr">
        <is>
          <t>B8R</t>
        </is>
      </c>
      <c r="FI3968" s="15" t="inlineStr">
        <is>
          <t>MARCOPOLO</t>
        </is>
      </c>
      <c r="FJ3968" s="15" t="inlineStr">
        <is>
          <t>TORINO</t>
        </is>
      </c>
      <c r="FK3968" s="15" t="n">
        <v>2019</v>
      </c>
      <c r="FL3968" s="15" t="inlineStr">
        <is>
          <t>B2PAL</t>
        </is>
      </c>
      <c r="FM3968" s="15" t="inlineStr">
        <is>
          <t>LOS LIBERTADORES</t>
        </is>
      </c>
      <c r="FN3968" s="15" t="inlineStr">
        <is>
          <t>Los Liberadores 6450, Lote 4A</t>
        </is>
      </c>
      <c r="FO3968" s="15" t="inlineStr">
        <is>
          <t>Huechuraba</t>
        </is>
      </c>
      <c r="FP3968" t="inlineStr">
        <is>
          <t>B</t>
        </is>
      </c>
    </row>
    <row r="3969">
      <c r="FC3969" t="inlineStr">
        <is>
          <t>Diccionario 4</t>
        </is>
      </c>
      <c r="FD3969" s="15" t="inlineStr">
        <is>
          <t>GCBB-79|</t>
        </is>
      </c>
      <c r="FE3969" s="15" t="inlineStr">
        <is>
          <t>D8482405K2PL</t>
        </is>
      </c>
      <c r="FF3969" s="15" t="inlineStr">
        <is>
          <t>YV3T7U526KA195322</t>
        </is>
      </c>
      <c r="FG3969" s="15" t="inlineStr">
        <is>
          <t>Volvo</t>
        </is>
      </c>
      <c r="FH3969" s="15" t="inlineStr">
        <is>
          <t>B8R</t>
        </is>
      </c>
      <c r="FI3969" s="15" t="inlineStr">
        <is>
          <t>MARCOPOLO</t>
        </is>
      </c>
      <c r="FJ3969" s="15" t="inlineStr">
        <is>
          <t>TORINO</t>
        </is>
      </c>
      <c r="FK3969" s="15" t="n">
        <v>2019</v>
      </c>
      <c r="FL3969" s="15" t="inlineStr">
        <is>
          <t>B2PAL</t>
        </is>
      </c>
      <c r="FM3969" s="15" t="inlineStr">
        <is>
          <t>SAN JOSE</t>
        </is>
      </c>
      <c r="FN3969" s="15" t="inlineStr">
        <is>
          <t>San José 030 (José Besa 669)</t>
        </is>
      </c>
      <c r="FO3969" s="15" t="inlineStr">
        <is>
          <t>San Bernardo</t>
        </is>
      </c>
      <c r="FP3969" t="inlineStr">
        <is>
          <t>B</t>
        </is>
      </c>
    </row>
    <row r="3970">
      <c r="FC3970" t="inlineStr">
        <is>
          <t>Diccionario 4</t>
        </is>
      </c>
      <c r="FD3970" s="15" t="inlineStr">
        <is>
          <t>GCBB-80|</t>
        </is>
      </c>
      <c r="FE3970" s="15" t="inlineStr">
        <is>
          <t>D8482402K2PL</t>
        </is>
      </c>
      <c r="FF3970" s="15" t="inlineStr">
        <is>
          <t>YV3T7U528KA195323</t>
        </is>
      </c>
      <c r="FG3970" s="15" t="inlineStr">
        <is>
          <t>Volvo</t>
        </is>
      </c>
      <c r="FH3970" s="15" t="inlineStr">
        <is>
          <t>B8R</t>
        </is>
      </c>
      <c r="FI3970" s="15" t="inlineStr">
        <is>
          <t>MARCOPOLO</t>
        </is>
      </c>
      <c r="FJ3970" s="15" t="inlineStr">
        <is>
          <t>TORINO</t>
        </is>
      </c>
      <c r="FK3970" s="15" t="n">
        <v>2019</v>
      </c>
      <c r="FL3970" s="15" t="inlineStr">
        <is>
          <t>B2PAL</t>
        </is>
      </c>
      <c r="FM3970" s="15" t="inlineStr">
        <is>
          <t>SAN JOSE</t>
        </is>
      </c>
      <c r="FN3970" s="15" t="inlineStr">
        <is>
          <t>San José 030 (José Besa 669)</t>
        </is>
      </c>
      <c r="FO3970" s="15" t="inlineStr">
        <is>
          <t>San Bernardo</t>
        </is>
      </c>
      <c r="FP3970" t="inlineStr">
        <is>
          <t>B</t>
        </is>
      </c>
    </row>
    <row r="3971">
      <c r="FC3971" t="inlineStr">
        <is>
          <t>Diccionario 4</t>
        </is>
      </c>
      <c r="FD3971" s="15" t="inlineStr">
        <is>
          <t>GCBB-81|</t>
        </is>
      </c>
      <c r="FE3971" s="15" t="inlineStr">
        <is>
          <t>D8482422K2PL</t>
        </is>
      </c>
      <c r="FF3971" s="15" t="inlineStr">
        <is>
          <t>YV3T7U521KA195325</t>
        </is>
      </c>
      <c r="FG3971" s="15" t="inlineStr">
        <is>
          <t>Volvo</t>
        </is>
      </c>
      <c r="FH3971" s="15" t="inlineStr">
        <is>
          <t>B8R</t>
        </is>
      </c>
      <c r="FI3971" s="15" t="inlineStr">
        <is>
          <t>MARCOPOLO</t>
        </is>
      </c>
      <c r="FJ3971" s="15" t="inlineStr">
        <is>
          <t>TORINO</t>
        </is>
      </c>
      <c r="FK3971" s="15" t="n">
        <v>2019</v>
      </c>
      <c r="FL3971" s="15" t="inlineStr">
        <is>
          <t>B2PAL</t>
        </is>
      </c>
      <c r="FM3971" s="15" t="inlineStr">
        <is>
          <t>SAN JOSE</t>
        </is>
      </c>
      <c r="FN3971" s="15" t="inlineStr">
        <is>
          <t>San José 030 (José Besa 669)</t>
        </is>
      </c>
      <c r="FO3971" s="15" t="inlineStr">
        <is>
          <t>San Bernardo</t>
        </is>
      </c>
      <c r="FP3971" t="inlineStr">
        <is>
          <t>B</t>
        </is>
      </c>
    </row>
    <row r="3972">
      <c r="FC3972" t="inlineStr">
        <is>
          <t>Diccionario 4</t>
        </is>
      </c>
      <c r="FD3972" s="15" t="inlineStr">
        <is>
          <t>GCBB-82|</t>
        </is>
      </c>
      <c r="FE3972" s="15" t="inlineStr">
        <is>
          <t>D8482534K2PL</t>
        </is>
      </c>
      <c r="FF3972" s="15" t="inlineStr">
        <is>
          <t>YV3T7U527KA195359</t>
        </is>
      </c>
      <c r="FG3972" s="15" t="inlineStr">
        <is>
          <t>Volvo</t>
        </is>
      </c>
      <c r="FH3972" s="15" t="inlineStr">
        <is>
          <t>B8R</t>
        </is>
      </c>
      <c r="FI3972" s="15" t="inlineStr">
        <is>
          <t>MARCOPOLO</t>
        </is>
      </c>
      <c r="FJ3972" s="15" t="inlineStr">
        <is>
          <t>TORINO</t>
        </is>
      </c>
      <c r="FK3972" s="15" t="n">
        <v>2019</v>
      </c>
      <c r="FL3972" s="15" t="inlineStr">
        <is>
          <t>B2PAL</t>
        </is>
      </c>
      <c r="FM3972" s="15" t="inlineStr">
        <is>
          <t>SAN JOSE</t>
        </is>
      </c>
      <c r="FN3972" s="15" t="inlineStr">
        <is>
          <t>San José 030 (José Besa 669)</t>
        </is>
      </c>
      <c r="FO3972" s="15" t="inlineStr">
        <is>
          <t>San Bernardo</t>
        </is>
      </c>
      <c r="FP3972" t="inlineStr">
        <is>
          <t>B</t>
        </is>
      </c>
    </row>
    <row r="3973">
      <c r="FC3973" t="inlineStr">
        <is>
          <t>Diccionario 4</t>
        </is>
      </c>
      <c r="FD3973" s="15" t="inlineStr">
        <is>
          <t>GCBB-83|</t>
        </is>
      </c>
      <c r="FE3973" s="15" t="inlineStr">
        <is>
          <t>D8482872K2PL</t>
        </is>
      </c>
      <c r="FF3973" s="15" t="inlineStr">
        <is>
          <t>YV3T7U52XKA195405</t>
        </is>
      </c>
      <c r="FG3973" s="15" t="inlineStr">
        <is>
          <t>Volvo</t>
        </is>
      </c>
      <c r="FH3973" s="15" t="inlineStr">
        <is>
          <t>B8R</t>
        </is>
      </c>
      <c r="FI3973" s="15" t="inlineStr">
        <is>
          <t>MARCOPOLO</t>
        </is>
      </c>
      <c r="FJ3973" s="15" t="inlineStr">
        <is>
          <t>TORINO</t>
        </is>
      </c>
      <c r="FK3973" s="15" t="n">
        <v>2019</v>
      </c>
      <c r="FL3973" s="15" t="inlineStr">
        <is>
          <t>B2PAL</t>
        </is>
      </c>
      <c r="FM3973" s="15" t="inlineStr">
        <is>
          <t>LOS LIBERTADORES</t>
        </is>
      </c>
      <c r="FN3973" s="15" t="inlineStr">
        <is>
          <t>Los Liberadores 6450, Lote 4A</t>
        </is>
      </c>
      <c r="FO3973" s="15" t="inlineStr">
        <is>
          <t>Huechuraba</t>
        </is>
      </c>
      <c r="FP3973" t="inlineStr">
        <is>
          <t>B</t>
        </is>
      </c>
    </row>
    <row r="3974">
      <c r="FC3974" t="inlineStr">
        <is>
          <t>Diccionario 4</t>
        </is>
      </c>
      <c r="FD3974" s="15" t="inlineStr">
        <is>
          <t>GCBB-84|</t>
        </is>
      </c>
      <c r="FE3974" s="15" t="inlineStr">
        <is>
          <t>D8482892K2PL</t>
        </is>
      </c>
      <c r="FF3974" s="15" t="inlineStr">
        <is>
          <t>YV3T7U521KA195406</t>
        </is>
      </c>
      <c r="FG3974" s="15" t="inlineStr">
        <is>
          <t>Volvo</t>
        </is>
      </c>
      <c r="FH3974" s="15" t="inlineStr">
        <is>
          <t>B8R</t>
        </is>
      </c>
      <c r="FI3974" s="15" t="inlineStr">
        <is>
          <t>MARCOPOLO</t>
        </is>
      </c>
      <c r="FJ3974" s="15" t="inlineStr">
        <is>
          <t>TORINO</t>
        </is>
      </c>
      <c r="FK3974" s="15" t="n">
        <v>2019</v>
      </c>
      <c r="FL3974" s="15" t="inlineStr">
        <is>
          <t>B2PAL</t>
        </is>
      </c>
      <c r="FM3974" s="15" t="inlineStr">
        <is>
          <t>SAN JOSE</t>
        </is>
      </c>
      <c r="FN3974" s="15" t="inlineStr">
        <is>
          <t>San José 030 (José Besa 669)</t>
        </is>
      </c>
      <c r="FO3974" s="15" t="inlineStr">
        <is>
          <t>San Bernardo</t>
        </is>
      </c>
      <c r="FP3974" t="inlineStr">
        <is>
          <t>B</t>
        </is>
      </c>
    </row>
    <row r="3975">
      <c r="FC3975" t="inlineStr">
        <is>
          <t>Diccionario 4</t>
        </is>
      </c>
      <c r="FD3975" s="15" t="inlineStr">
        <is>
          <t>GCBB-12|</t>
        </is>
      </c>
      <c r="FE3975" s="15" t="inlineStr">
        <is>
          <t>D8481676K2PL</t>
        </is>
      </c>
      <c r="FF3975" s="15" t="inlineStr">
        <is>
          <t>YV3T7U520KA195199</t>
        </is>
      </c>
      <c r="FG3975" s="15" t="inlineStr">
        <is>
          <t>Volvo</t>
        </is>
      </c>
      <c r="FH3975" s="15" t="inlineStr">
        <is>
          <t>B8R</t>
        </is>
      </c>
      <c r="FI3975" s="15" t="inlineStr">
        <is>
          <t>MARCOPOLO</t>
        </is>
      </c>
      <c r="FJ3975" s="15" t="inlineStr">
        <is>
          <t>TORINO</t>
        </is>
      </c>
      <c r="FK3975" s="15" t="n">
        <v>2019</v>
      </c>
      <c r="FL3975" s="15" t="inlineStr">
        <is>
          <t>B2PAL</t>
        </is>
      </c>
      <c r="FM3975" s="15" t="inlineStr">
        <is>
          <t>LOS LIBERTADORES</t>
        </is>
      </c>
      <c r="FN3975" s="15" t="inlineStr">
        <is>
          <t>Los Liberadores 6450, Lote 4A</t>
        </is>
      </c>
      <c r="FO3975" s="15" t="inlineStr">
        <is>
          <t>Huechuraba</t>
        </is>
      </c>
      <c r="FP3975" t="inlineStr">
        <is>
          <t>B</t>
        </is>
      </c>
    </row>
    <row r="3976">
      <c r="FC3976" t="inlineStr">
        <is>
          <t>Diccionario 4</t>
        </is>
      </c>
      <c r="FD3976" s="15" t="inlineStr">
        <is>
          <t>GCBB-85|</t>
        </is>
      </c>
      <c r="FE3976" s="15" t="inlineStr">
        <is>
          <t>D8481773K2PL</t>
        </is>
      </c>
      <c r="FF3976" s="15" t="inlineStr">
        <is>
          <t>YV3T7U522KA195429</t>
        </is>
      </c>
      <c r="FG3976" s="15" t="inlineStr">
        <is>
          <t>Volvo</t>
        </is>
      </c>
      <c r="FH3976" s="15" t="inlineStr">
        <is>
          <t>B8R</t>
        </is>
      </c>
      <c r="FI3976" s="15" t="inlineStr">
        <is>
          <t>MARCOPOLO</t>
        </is>
      </c>
      <c r="FJ3976" s="15" t="inlineStr">
        <is>
          <t>TORINO</t>
        </is>
      </c>
      <c r="FK3976" s="15" t="n">
        <v>2019</v>
      </c>
      <c r="FL3976" s="15" t="inlineStr">
        <is>
          <t>B2PAL</t>
        </is>
      </c>
      <c r="FM3976" s="15" t="inlineStr">
        <is>
          <t>LOS LIBERTADORES</t>
        </is>
      </c>
      <c r="FN3976" s="15" t="inlineStr">
        <is>
          <t>Los Liberadores 6450, Lote 4A</t>
        </is>
      </c>
      <c r="FO3976" s="15" t="inlineStr">
        <is>
          <t>Huechuraba</t>
        </is>
      </c>
      <c r="FP3976" t="inlineStr">
        <is>
          <t>B</t>
        </is>
      </c>
    </row>
    <row r="3977">
      <c r="FC3977" t="inlineStr">
        <is>
          <t>Diccionario 4</t>
        </is>
      </c>
      <c r="FD3977" s="15" t="inlineStr">
        <is>
          <t>GCBB-86|</t>
        </is>
      </c>
      <c r="FE3977" s="15" t="inlineStr">
        <is>
          <t>D8483496K2PL</t>
        </is>
      </c>
      <c r="FF3977" s="15" t="inlineStr">
        <is>
          <t>YV3T7U52XKA195551</t>
        </is>
      </c>
      <c r="FG3977" s="15" t="inlineStr">
        <is>
          <t>Volvo</t>
        </is>
      </c>
      <c r="FH3977" s="15" t="inlineStr">
        <is>
          <t>B8R</t>
        </is>
      </c>
      <c r="FI3977" s="15" t="inlineStr">
        <is>
          <t>MARCOPOLO</t>
        </is>
      </c>
      <c r="FJ3977" s="15" t="inlineStr">
        <is>
          <t>TORINO</t>
        </is>
      </c>
      <c r="FK3977" s="15" t="n">
        <v>2019</v>
      </c>
      <c r="FL3977" s="15" t="inlineStr">
        <is>
          <t>B2PAL</t>
        </is>
      </c>
      <c r="FM3977" s="15" t="inlineStr">
        <is>
          <t>SAN JOSE</t>
        </is>
      </c>
      <c r="FN3977" s="15" t="inlineStr">
        <is>
          <t>San José 030 (José Besa 669)</t>
        </is>
      </c>
      <c r="FO3977" s="15" t="inlineStr">
        <is>
          <t>San Bernardo</t>
        </is>
      </c>
      <c r="FP3977" t="inlineStr">
        <is>
          <t>B</t>
        </is>
      </c>
    </row>
    <row r="3978">
      <c r="FC3978" t="inlineStr">
        <is>
          <t>Diccionario 4</t>
        </is>
      </c>
      <c r="FD3978" s="15" t="inlineStr">
        <is>
          <t>GCBB-87|</t>
        </is>
      </c>
      <c r="FE3978" s="15" t="inlineStr">
        <is>
          <t>D8483527K2PL</t>
        </is>
      </c>
      <c r="FF3978" s="15" t="inlineStr">
        <is>
          <t>YV3T7U521KA195552</t>
        </is>
      </c>
      <c r="FG3978" s="15" t="inlineStr">
        <is>
          <t>Volvo</t>
        </is>
      </c>
      <c r="FH3978" s="15" t="inlineStr">
        <is>
          <t>B8R</t>
        </is>
      </c>
      <c r="FI3978" s="15" t="inlineStr">
        <is>
          <t>MARCOPOLO</t>
        </is>
      </c>
      <c r="FJ3978" s="15" t="inlineStr">
        <is>
          <t>TORINO</t>
        </is>
      </c>
      <c r="FK3978" s="15" t="n">
        <v>2019</v>
      </c>
      <c r="FL3978" s="15" t="inlineStr">
        <is>
          <t>B2PAL</t>
        </is>
      </c>
      <c r="FM3978" s="15" t="inlineStr">
        <is>
          <t>SAN JOSE</t>
        </is>
      </c>
      <c r="FN3978" s="15" t="inlineStr">
        <is>
          <t>San José 030 (José Besa 669)</t>
        </is>
      </c>
      <c r="FO3978" s="15" t="inlineStr">
        <is>
          <t>San Bernardo</t>
        </is>
      </c>
      <c r="FP3978" t="inlineStr">
        <is>
          <t>B</t>
        </is>
      </c>
    </row>
    <row r="3979">
      <c r="FC3979" t="inlineStr">
        <is>
          <t>Diccionario 4</t>
        </is>
      </c>
      <c r="FD3979" s="15" t="inlineStr">
        <is>
          <t>GCBB-88|</t>
        </is>
      </c>
      <c r="FE3979" s="15" t="inlineStr">
        <is>
          <t>D8483438K2PL</t>
        </is>
      </c>
      <c r="FF3979" s="15" t="inlineStr">
        <is>
          <t>YV3T7U525KA195554</t>
        </is>
      </c>
      <c r="FG3979" s="15" t="inlineStr">
        <is>
          <t>Volvo</t>
        </is>
      </c>
      <c r="FH3979" s="15" t="inlineStr">
        <is>
          <t>B8R</t>
        </is>
      </c>
      <c r="FI3979" s="15" t="inlineStr">
        <is>
          <t>MARCOPOLO</t>
        </is>
      </c>
      <c r="FJ3979" s="15" t="inlineStr">
        <is>
          <t>TORINO</t>
        </is>
      </c>
      <c r="FK3979" s="15" t="n">
        <v>2019</v>
      </c>
      <c r="FL3979" s="15" t="inlineStr">
        <is>
          <t>B2PAL</t>
        </is>
      </c>
      <c r="FM3979" s="15" t="inlineStr">
        <is>
          <t>SAN JOSE</t>
        </is>
      </c>
      <c r="FN3979" s="15" t="inlineStr">
        <is>
          <t>San José 030 (José Besa 669)</t>
        </is>
      </c>
      <c r="FO3979" s="15" t="inlineStr">
        <is>
          <t>San Bernardo</t>
        </is>
      </c>
      <c r="FP3979" t="inlineStr">
        <is>
          <t>B</t>
        </is>
      </c>
    </row>
    <row r="3980">
      <c r="FC3980" t="inlineStr">
        <is>
          <t>Diccionario 4</t>
        </is>
      </c>
      <c r="FD3980" s="15" t="inlineStr">
        <is>
          <t>GCBB-89|</t>
        </is>
      </c>
      <c r="FE3980" s="15" t="inlineStr">
        <is>
          <t>D8484688K2PL</t>
        </is>
      </c>
      <c r="FF3980" s="15" t="inlineStr">
        <is>
          <t>YV3T7U521KA195714</t>
        </is>
      </c>
      <c r="FG3980" s="15" t="inlineStr">
        <is>
          <t>Volvo</t>
        </is>
      </c>
      <c r="FH3980" s="15" t="inlineStr">
        <is>
          <t>B8R</t>
        </is>
      </c>
      <c r="FI3980" s="15" t="inlineStr">
        <is>
          <t>MARCOPOLO</t>
        </is>
      </c>
      <c r="FJ3980" s="15" t="inlineStr">
        <is>
          <t>TORINO</t>
        </is>
      </c>
      <c r="FK3980" s="15" t="n">
        <v>2019</v>
      </c>
      <c r="FL3980" s="15" t="inlineStr">
        <is>
          <t>B2PAL</t>
        </is>
      </c>
      <c r="FM3980" s="15" t="inlineStr">
        <is>
          <t>SAN JOSE</t>
        </is>
      </c>
      <c r="FN3980" s="15" t="inlineStr">
        <is>
          <t>San José 030 (José Besa 669)</t>
        </is>
      </c>
      <c r="FO3980" s="15" t="inlineStr">
        <is>
          <t>San Bernardo</t>
        </is>
      </c>
      <c r="FP3980" t="inlineStr">
        <is>
          <t>B</t>
        </is>
      </c>
    </row>
    <row r="3981">
      <c r="FC3981" t="inlineStr">
        <is>
          <t>Diccionario 4</t>
        </is>
      </c>
      <c r="FD3981" s="15" t="inlineStr">
        <is>
          <t>GCBB-91|</t>
        </is>
      </c>
      <c r="FE3981" s="15" t="inlineStr">
        <is>
          <t>D8482515K2PL</t>
        </is>
      </c>
      <c r="FF3981" s="15" t="inlineStr">
        <is>
          <t>YV3T7U524KA195349</t>
        </is>
      </c>
      <c r="FG3981" s="15" t="inlineStr">
        <is>
          <t>Volvo</t>
        </is>
      </c>
      <c r="FH3981" s="15" t="inlineStr">
        <is>
          <t>B8R</t>
        </is>
      </c>
      <c r="FI3981" s="15" t="inlineStr">
        <is>
          <t>MARCOPOLO</t>
        </is>
      </c>
      <c r="FJ3981" s="15" t="inlineStr">
        <is>
          <t>TORINO</t>
        </is>
      </c>
      <c r="FK3981" s="15" t="n">
        <v>2019</v>
      </c>
      <c r="FL3981" s="15" t="inlineStr">
        <is>
          <t>B2PAL</t>
        </is>
      </c>
      <c r="FM3981" s="15" t="inlineStr">
        <is>
          <t>LOS LIBERTADORES</t>
        </is>
      </c>
      <c r="FN3981" s="15" t="inlineStr">
        <is>
          <t>Los Liberadores 6450, Lote 4A</t>
        </is>
      </c>
      <c r="FO3981" s="15" t="inlineStr">
        <is>
          <t>Huechuraba</t>
        </is>
      </c>
      <c r="FP3981" t="inlineStr">
        <is>
          <t>B</t>
        </is>
      </c>
    </row>
    <row r="3982">
      <c r="FC3982" t="inlineStr">
        <is>
          <t>Diccionario 4</t>
        </is>
      </c>
      <c r="FD3982" s="15" t="inlineStr">
        <is>
          <t>GCBB-92|</t>
        </is>
      </c>
      <c r="FE3982" s="15" t="inlineStr">
        <is>
          <t>D8482526K2PL</t>
        </is>
      </c>
      <c r="FF3982" s="15" t="inlineStr">
        <is>
          <t>YV3T7U526KA195353</t>
        </is>
      </c>
      <c r="FG3982" s="15" t="inlineStr">
        <is>
          <t>Volvo</t>
        </is>
      </c>
      <c r="FH3982" s="15" t="inlineStr">
        <is>
          <t>B8R</t>
        </is>
      </c>
      <c r="FI3982" s="15" t="inlineStr">
        <is>
          <t>MARCOPOLO</t>
        </is>
      </c>
      <c r="FJ3982" s="15" t="inlineStr">
        <is>
          <t>TORINO</t>
        </is>
      </c>
      <c r="FK3982" s="15" t="n">
        <v>2019</v>
      </c>
      <c r="FL3982" s="15" t="inlineStr">
        <is>
          <t>B2PAL</t>
        </is>
      </c>
      <c r="FM3982" s="15" t="inlineStr">
        <is>
          <t>SAN JOSE</t>
        </is>
      </c>
      <c r="FN3982" s="15" t="inlineStr">
        <is>
          <t>San José 030 (José Besa 669)</t>
        </is>
      </c>
      <c r="FO3982" s="15" t="inlineStr">
        <is>
          <t>San Bernardo</t>
        </is>
      </c>
      <c r="FP3982" t="inlineStr">
        <is>
          <t>B</t>
        </is>
      </c>
    </row>
    <row r="3983">
      <c r="FC3983" t="inlineStr">
        <is>
          <t>Diccionario 4</t>
        </is>
      </c>
      <c r="FD3983" s="15" t="inlineStr">
        <is>
          <t>GCBB-93|</t>
        </is>
      </c>
      <c r="FE3983" s="15" t="inlineStr">
        <is>
          <t>D8482598K2PL</t>
        </is>
      </c>
      <c r="FF3983" s="15" t="inlineStr">
        <is>
          <t>YV3T7U52XKA195355</t>
        </is>
      </c>
      <c r="FG3983" s="15" t="inlineStr">
        <is>
          <t>Volvo</t>
        </is>
      </c>
      <c r="FH3983" s="15" t="inlineStr">
        <is>
          <t>B8R</t>
        </is>
      </c>
      <c r="FI3983" s="15" t="inlineStr">
        <is>
          <t>MARCOPOLO</t>
        </is>
      </c>
      <c r="FJ3983" s="15" t="inlineStr">
        <is>
          <t>TORINO</t>
        </is>
      </c>
      <c r="FK3983" s="15" t="n">
        <v>2019</v>
      </c>
      <c r="FL3983" s="15" t="inlineStr">
        <is>
          <t>B2PAL</t>
        </is>
      </c>
      <c r="FM3983" s="15" t="inlineStr">
        <is>
          <t>SAN JOSE</t>
        </is>
      </c>
      <c r="FN3983" s="15" t="inlineStr">
        <is>
          <t>San José 030 (José Besa 669)</t>
        </is>
      </c>
      <c r="FO3983" s="15" t="inlineStr">
        <is>
          <t>San Bernardo</t>
        </is>
      </c>
      <c r="FP3983" t="inlineStr">
        <is>
          <t>B</t>
        </is>
      </c>
    </row>
    <row r="3984">
      <c r="FC3984" t="inlineStr">
        <is>
          <t>Diccionario 4</t>
        </is>
      </c>
      <c r="FD3984" s="15" t="inlineStr">
        <is>
          <t>GCBB-94|</t>
        </is>
      </c>
      <c r="FE3984" s="15" t="inlineStr">
        <is>
          <t>D8483001K2PL</t>
        </is>
      </c>
      <c r="FF3984" s="15" t="inlineStr">
        <is>
          <t>YV3T7U526KA195403</t>
        </is>
      </c>
      <c r="FG3984" s="15" t="inlineStr">
        <is>
          <t>Volvo</t>
        </is>
      </c>
      <c r="FH3984" s="15" t="inlineStr">
        <is>
          <t>B8R</t>
        </is>
      </c>
      <c r="FI3984" s="15" t="inlineStr">
        <is>
          <t>MARCOPOLO</t>
        </is>
      </c>
      <c r="FJ3984" s="15" t="inlineStr">
        <is>
          <t>TORINO</t>
        </is>
      </c>
      <c r="FK3984" s="15" t="n">
        <v>2019</v>
      </c>
      <c r="FL3984" s="15" t="inlineStr">
        <is>
          <t>B2PAL</t>
        </is>
      </c>
      <c r="FM3984" s="15" t="inlineStr">
        <is>
          <t>LOS LIBERTADORES</t>
        </is>
      </c>
      <c r="FN3984" s="15" t="inlineStr">
        <is>
          <t>Los Liberadores 6450, Lote 4A</t>
        </is>
      </c>
      <c r="FO3984" s="15" t="inlineStr">
        <is>
          <t>Huechuraba</t>
        </is>
      </c>
      <c r="FP3984" t="inlineStr">
        <is>
          <t>B</t>
        </is>
      </c>
    </row>
    <row r="3985">
      <c r="FC3985" t="inlineStr">
        <is>
          <t>Diccionario 4</t>
        </is>
      </c>
      <c r="FD3985" s="15" t="inlineStr">
        <is>
          <t>GCBB-95|</t>
        </is>
      </c>
      <c r="FE3985" s="15" t="inlineStr">
        <is>
          <t>D8483444K2PL</t>
        </is>
      </c>
      <c r="FF3985" s="15" t="inlineStr">
        <is>
          <t>YV3T7U528KA195404</t>
        </is>
      </c>
      <c r="FG3985" s="15" t="inlineStr">
        <is>
          <t>Volvo</t>
        </is>
      </c>
      <c r="FH3985" s="15" t="inlineStr">
        <is>
          <t>B8R</t>
        </is>
      </c>
      <c r="FI3985" s="15" t="inlineStr">
        <is>
          <t>MARCOPOLO</t>
        </is>
      </c>
      <c r="FJ3985" s="15" t="inlineStr">
        <is>
          <t>TORINO</t>
        </is>
      </c>
      <c r="FK3985" s="15" t="n">
        <v>2019</v>
      </c>
      <c r="FL3985" s="15" t="inlineStr">
        <is>
          <t>B2PAL</t>
        </is>
      </c>
      <c r="FM3985" s="15" t="inlineStr">
        <is>
          <t>SAN JOSE</t>
        </is>
      </c>
      <c r="FN3985" s="15" t="inlineStr">
        <is>
          <t>San José 030 (José Besa 669)</t>
        </is>
      </c>
      <c r="FO3985" s="15" t="inlineStr">
        <is>
          <t>San Bernardo</t>
        </is>
      </c>
      <c r="FP3985" t="inlineStr">
        <is>
          <t>B</t>
        </is>
      </c>
    </row>
    <row r="3986">
      <c r="FC3986" t="inlineStr">
        <is>
          <t>Diccionario 4</t>
        </is>
      </c>
      <c r="FD3986" s="15" t="inlineStr">
        <is>
          <t>GCBB-13|</t>
        </is>
      </c>
      <c r="FE3986" s="15" t="inlineStr">
        <is>
          <t>D8481462K2PL</t>
        </is>
      </c>
      <c r="FF3986" s="15" t="inlineStr">
        <is>
          <t>YV3T7U523KA195200</t>
        </is>
      </c>
      <c r="FG3986" s="15" t="inlineStr">
        <is>
          <t>Volvo</t>
        </is>
      </c>
      <c r="FH3986" s="15" t="inlineStr">
        <is>
          <t>B8R</t>
        </is>
      </c>
      <c r="FI3986" s="15" t="inlineStr">
        <is>
          <t>MARCOPOLO</t>
        </is>
      </c>
      <c r="FJ3986" s="15" t="inlineStr">
        <is>
          <t>TORINO</t>
        </is>
      </c>
      <c r="FK3986" s="15" t="n">
        <v>2019</v>
      </c>
      <c r="FL3986" s="15" t="inlineStr">
        <is>
          <t>B2PAL</t>
        </is>
      </c>
      <c r="FM3986" s="15" t="inlineStr">
        <is>
          <t>LOS LIBERTADORES</t>
        </is>
      </c>
      <c r="FN3986" s="15" t="inlineStr">
        <is>
          <t>Los Liberadores 6450, Lote 4A</t>
        </is>
      </c>
      <c r="FO3986" s="15" t="inlineStr">
        <is>
          <t>Huechuraba</t>
        </is>
      </c>
      <c r="FP3986" t="inlineStr">
        <is>
          <t>B</t>
        </is>
      </c>
    </row>
    <row r="3987">
      <c r="FC3987" t="inlineStr">
        <is>
          <t>Diccionario 4</t>
        </is>
      </c>
      <c r="FD3987" s="15" t="inlineStr">
        <is>
          <t>GCBB-96|</t>
        </is>
      </c>
      <c r="FE3987" s="15" t="inlineStr">
        <is>
          <t>D8481807K2PL</t>
        </is>
      </c>
      <c r="FF3987" s="15" t="inlineStr">
        <is>
          <t>YV3T7U520KA195428</t>
        </is>
      </c>
      <c r="FG3987" s="15" t="inlineStr">
        <is>
          <t>Volvo</t>
        </is>
      </c>
      <c r="FH3987" s="15" t="inlineStr">
        <is>
          <t>B8R</t>
        </is>
      </c>
      <c r="FI3987" s="15" t="inlineStr">
        <is>
          <t>MARCOPOLO</t>
        </is>
      </c>
      <c r="FJ3987" s="15" t="inlineStr">
        <is>
          <t>TORINO</t>
        </is>
      </c>
      <c r="FK3987" s="15" t="n">
        <v>2019</v>
      </c>
      <c r="FL3987" s="15" t="inlineStr">
        <is>
          <t>B2PAL</t>
        </is>
      </c>
      <c r="FM3987" s="15" t="inlineStr">
        <is>
          <t>SAN JOSE</t>
        </is>
      </c>
      <c r="FN3987" s="15" t="inlineStr">
        <is>
          <t>San José 030 (José Besa 669)</t>
        </is>
      </c>
      <c r="FO3987" s="15" t="inlineStr">
        <is>
          <t>San Bernardo</t>
        </is>
      </c>
      <c r="FP3987" t="inlineStr">
        <is>
          <t>B</t>
        </is>
      </c>
    </row>
    <row r="3988">
      <c r="FC3988" t="inlineStr">
        <is>
          <t>Diccionario 4</t>
        </is>
      </c>
      <c r="FD3988" s="15" t="inlineStr">
        <is>
          <t>GCBB-97|</t>
        </is>
      </c>
      <c r="FE3988" s="15" t="inlineStr">
        <is>
          <t>D8481802K2PL</t>
        </is>
      </c>
      <c r="FF3988" s="15" t="inlineStr">
        <is>
          <t>YV3T7U529KA195430</t>
        </is>
      </c>
      <c r="FG3988" s="15" t="inlineStr">
        <is>
          <t>Volvo</t>
        </is>
      </c>
      <c r="FH3988" s="15" t="inlineStr">
        <is>
          <t>B8R</t>
        </is>
      </c>
      <c r="FI3988" s="15" t="inlineStr">
        <is>
          <t>MARCOPOLO</t>
        </is>
      </c>
      <c r="FJ3988" s="15" t="inlineStr">
        <is>
          <t>TORINO</t>
        </is>
      </c>
      <c r="FK3988" s="15" t="n">
        <v>2019</v>
      </c>
      <c r="FL3988" s="15" t="inlineStr">
        <is>
          <t>B2PAL</t>
        </is>
      </c>
      <c r="FM3988" s="15" t="inlineStr">
        <is>
          <t>SAN JOSE</t>
        </is>
      </c>
      <c r="FN3988" s="15" t="inlineStr">
        <is>
          <t>San José 030 (José Besa 669)</t>
        </is>
      </c>
      <c r="FO3988" s="15" t="inlineStr">
        <is>
          <t>San Bernardo</t>
        </is>
      </c>
      <c r="FP3988" t="inlineStr">
        <is>
          <t>B</t>
        </is>
      </c>
    </row>
    <row r="3989">
      <c r="FC3989" t="inlineStr">
        <is>
          <t>Diccionario 4</t>
        </is>
      </c>
      <c r="FD3989" s="15" t="inlineStr">
        <is>
          <t>GCBB-98|</t>
        </is>
      </c>
      <c r="FE3989" s="15" t="inlineStr">
        <is>
          <t>D8481788K2PL</t>
        </is>
      </c>
      <c r="FF3989" s="15" t="inlineStr">
        <is>
          <t>YV3T7U520KA195431</t>
        </is>
      </c>
      <c r="FG3989" s="15" t="inlineStr">
        <is>
          <t>Volvo</t>
        </is>
      </c>
      <c r="FH3989" s="15" t="inlineStr">
        <is>
          <t>B8R</t>
        </is>
      </c>
      <c r="FI3989" s="15" t="inlineStr">
        <is>
          <t>MARCOPOLO</t>
        </is>
      </c>
      <c r="FJ3989" s="15" t="inlineStr">
        <is>
          <t>TORINO</t>
        </is>
      </c>
      <c r="FK3989" s="15" t="n">
        <v>2019</v>
      </c>
      <c r="FL3989" s="15" t="inlineStr">
        <is>
          <t>B2PAL</t>
        </is>
      </c>
      <c r="FM3989" s="15" t="inlineStr">
        <is>
          <t>SAN JOSE</t>
        </is>
      </c>
      <c r="FN3989" s="15" t="inlineStr">
        <is>
          <t>San José 030 (José Besa 669)</t>
        </is>
      </c>
      <c r="FO3989" s="15" t="inlineStr">
        <is>
          <t>San Bernardo</t>
        </is>
      </c>
      <c r="FP3989" t="inlineStr">
        <is>
          <t>B</t>
        </is>
      </c>
    </row>
    <row r="3990">
      <c r="FC3990" t="inlineStr">
        <is>
          <t>Diccionario 4</t>
        </is>
      </c>
      <c r="FD3990" s="15" t="inlineStr">
        <is>
          <t>GCBB-33|</t>
        </is>
      </c>
      <c r="FE3990" s="15" t="inlineStr">
        <is>
          <t>D8483123K2PL</t>
        </is>
      </c>
      <c r="FF3990" s="15" t="inlineStr">
        <is>
          <t>YV3T7U525KA195487</t>
        </is>
      </c>
      <c r="FG3990" s="15" t="inlineStr">
        <is>
          <t>Volvo</t>
        </is>
      </c>
      <c r="FH3990" s="15" t="inlineStr">
        <is>
          <t>B8R</t>
        </is>
      </c>
      <c r="FI3990" s="15" t="inlineStr">
        <is>
          <t>MARCOPOLO</t>
        </is>
      </c>
      <c r="FJ3990" s="15" t="inlineStr">
        <is>
          <t>TORINO</t>
        </is>
      </c>
      <c r="FK3990" s="15" t="n">
        <v>2019</v>
      </c>
      <c r="FL3990" s="15" t="inlineStr">
        <is>
          <t>B2PAL</t>
        </is>
      </c>
      <c r="FM3990" s="15" t="inlineStr">
        <is>
          <t>SAN JOSE</t>
        </is>
      </c>
      <c r="FN3990" s="15" t="inlineStr">
        <is>
          <t>San José 030 (José Besa 669)</t>
        </is>
      </c>
      <c r="FO3990" s="15" t="inlineStr">
        <is>
          <t>San Bernardo</t>
        </is>
      </c>
      <c r="FP3990" t="inlineStr">
        <is>
          <t>B</t>
        </is>
      </c>
    </row>
    <row r="3991">
      <c r="FC3991" t="inlineStr">
        <is>
          <t>Diccionario 4</t>
        </is>
      </c>
      <c r="FD3991" s="15" t="inlineStr">
        <is>
          <t>GCBC-10|</t>
        </is>
      </c>
      <c r="FE3991" s="15" t="inlineStr">
        <is>
          <t>D8483090K2PL</t>
        </is>
      </c>
      <c r="FF3991" s="15" t="inlineStr">
        <is>
          <t>YV3T7U527KA195488</t>
        </is>
      </c>
      <c r="FG3991" s="15" t="inlineStr">
        <is>
          <t>Volvo</t>
        </is>
      </c>
      <c r="FH3991" s="15" t="inlineStr">
        <is>
          <t>B8R</t>
        </is>
      </c>
      <c r="FI3991" s="15" t="inlineStr">
        <is>
          <t>MARCOPOLO</t>
        </is>
      </c>
      <c r="FJ3991" s="15" t="inlineStr">
        <is>
          <t>TORINO</t>
        </is>
      </c>
      <c r="FK3991" s="15" t="n">
        <v>2019</v>
      </c>
      <c r="FL3991" s="15" t="inlineStr">
        <is>
          <t>B2PAL</t>
        </is>
      </c>
      <c r="FM3991" s="15" t="inlineStr">
        <is>
          <t>SAN JOSE</t>
        </is>
      </c>
      <c r="FN3991" s="15" t="inlineStr">
        <is>
          <t>San José 030 (José Besa 669)</t>
        </is>
      </c>
      <c r="FO3991" s="15" t="inlineStr">
        <is>
          <t>San Bernardo</t>
        </is>
      </c>
      <c r="FP3991" t="inlineStr">
        <is>
          <t>B</t>
        </is>
      </c>
    </row>
    <row r="3992">
      <c r="FC3992" t="inlineStr">
        <is>
          <t>Diccionario 4</t>
        </is>
      </c>
      <c r="FD3992" s="15" t="inlineStr">
        <is>
          <t>GCBC-11|</t>
        </is>
      </c>
      <c r="FE3992" s="15" t="inlineStr">
        <is>
          <t>D8483468K2PL</t>
        </is>
      </c>
      <c r="FF3992" s="15" t="inlineStr">
        <is>
          <t>YV3T7U525KA195571</t>
        </is>
      </c>
      <c r="FG3992" s="15" t="inlineStr">
        <is>
          <t>Volvo</t>
        </is>
      </c>
      <c r="FH3992" s="15" t="inlineStr">
        <is>
          <t>B8R</t>
        </is>
      </c>
      <c r="FI3992" s="15" t="inlineStr">
        <is>
          <t>MARCOPOLO</t>
        </is>
      </c>
      <c r="FJ3992" s="15" t="inlineStr">
        <is>
          <t>TORINO</t>
        </is>
      </c>
      <c r="FK3992" s="15" t="n">
        <v>2019</v>
      </c>
      <c r="FL3992" s="15" t="inlineStr">
        <is>
          <t>B2PAL</t>
        </is>
      </c>
      <c r="FM3992" s="15" t="inlineStr">
        <is>
          <t>SAN JOSE</t>
        </is>
      </c>
      <c r="FN3992" s="15" t="inlineStr">
        <is>
          <t>San José 030 (José Besa 669)</t>
        </is>
      </c>
      <c r="FO3992" s="15" t="inlineStr">
        <is>
          <t>San Bernardo</t>
        </is>
      </c>
      <c r="FP3992" t="inlineStr">
        <is>
          <t>B</t>
        </is>
      </c>
    </row>
    <row r="3993">
      <c r="FC3993" t="inlineStr">
        <is>
          <t>Diccionario 4</t>
        </is>
      </c>
      <c r="FD3993" s="15" t="inlineStr">
        <is>
          <t>GCBC-12|</t>
        </is>
      </c>
      <c r="FE3993" s="15" t="inlineStr">
        <is>
          <t>D8483819K2PL</t>
        </is>
      </c>
      <c r="FF3993" s="15" t="inlineStr">
        <is>
          <t>YV3T7U520KA195686</t>
        </is>
      </c>
      <c r="FG3993" s="15" t="inlineStr">
        <is>
          <t>Volvo</t>
        </is>
      </c>
      <c r="FH3993" s="15" t="inlineStr">
        <is>
          <t>B8R</t>
        </is>
      </c>
      <c r="FI3993" s="15" t="inlineStr">
        <is>
          <t>MARCOPOLO</t>
        </is>
      </c>
      <c r="FJ3993" s="15" t="inlineStr">
        <is>
          <t>TORINO</t>
        </is>
      </c>
      <c r="FK3993" s="15" t="n">
        <v>2019</v>
      </c>
      <c r="FL3993" s="15" t="inlineStr">
        <is>
          <t>B2PAL</t>
        </is>
      </c>
      <c r="FM3993" s="15" t="inlineStr">
        <is>
          <t>SAN JOSE</t>
        </is>
      </c>
      <c r="FN3993" s="15" t="inlineStr">
        <is>
          <t>San José 030 (José Besa 669)</t>
        </is>
      </c>
      <c r="FO3993" s="15" t="inlineStr">
        <is>
          <t>San Bernardo</t>
        </is>
      </c>
      <c r="FP3993" t="inlineStr">
        <is>
          <t>B</t>
        </is>
      </c>
    </row>
    <row r="3994">
      <c r="FC3994" t="inlineStr">
        <is>
          <t>Diccionario 4</t>
        </is>
      </c>
      <c r="FD3994" s="15" t="inlineStr">
        <is>
          <t>GCBC-13|</t>
        </is>
      </c>
      <c r="FE3994" s="15" t="inlineStr">
        <is>
          <t>D8481869K2PL</t>
        </is>
      </c>
      <c r="FF3994" s="15" t="inlineStr">
        <is>
          <t>YV3T7U521KA195194</t>
        </is>
      </c>
      <c r="FG3994" s="15" t="inlineStr">
        <is>
          <t>Volvo</t>
        </is>
      </c>
      <c r="FH3994" s="15" t="inlineStr">
        <is>
          <t>B8R</t>
        </is>
      </c>
      <c r="FI3994" s="15" t="inlineStr">
        <is>
          <t>MARCOPOLO</t>
        </is>
      </c>
      <c r="FJ3994" s="15" t="inlineStr">
        <is>
          <t>TORINO</t>
        </is>
      </c>
      <c r="FK3994" s="15" t="n">
        <v>2019</v>
      </c>
      <c r="FL3994" s="15" t="inlineStr">
        <is>
          <t>B2PAL</t>
        </is>
      </c>
      <c r="FM3994" s="15" t="inlineStr">
        <is>
          <t>SAN JOSE</t>
        </is>
      </c>
      <c r="FN3994" s="15" t="inlineStr">
        <is>
          <t>San José 030 (José Besa 669)</t>
        </is>
      </c>
      <c r="FO3994" s="15" t="inlineStr">
        <is>
          <t>San Bernardo</t>
        </is>
      </c>
      <c r="FP3994" t="inlineStr">
        <is>
          <t>B</t>
        </is>
      </c>
    </row>
    <row r="3995">
      <c r="FC3995" t="inlineStr">
        <is>
          <t>Diccionario 4</t>
        </is>
      </c>
      <c r="FD3995" s="15" t="inlineStr">
        <is>
          <t>GCBC-14|</t>
        </is>
      </c>
      <c r="FE3995" s="15" t="inlineStr">
        <is>
          <t>D8483079K2PL</t>
        </is>
      </c>
      <c r="FF3995" s="15" t="inlineStr">
        <is>
          <t>YV3T7U529KA195489</t>
        </is>
      </c>
      <c r="FG3995" s="15" t="inlineStr">
        <is>
          <t>Volvo</t>
        </is>
      </c>
      <c r="FH3995" s="15" t="inlineStr">
        <is>
          <t>B8R</t>
        </is>
      </c>
      <c r="FI3995" s="15" t="inlineStr">
        <is>
          <t>MARCOPOLO</t>
        </is>
      </c>
      <c r="FJ3995" s="15" t="inlineStr">
        <is>
          <t>TORINO</t>
        </is>
      </c>
      <c r="FK3995" s="15" t="n">
        <v>2019</v>
      </c>
      <c r="FL3995" s="15" t="inlineStr">
        <is>
          <t>B2PAL</t>
        </is>
      </c>
      <c r="FM3995" s="15" t="inlineStr">
        <is>
          <t>SAN JOSE</t>
        </is>
      </c>
      <c r="FN3995" s="15" t="inlineStr">
        <is>
          <t>San José 030 (José Besa 669)</t>
        </is>
      </c>
      <c r="FO3995" s="15" t="inlineStr">
        <is>
          <t>San Bernardo</t>
        </is>
      </c>
      <c r="FP3995" t="inlineStr">
        <is>
          <t>B</t>
        </is>
      </c>
    </row>
    <row r="3996">
      <c r="FC3996" t="inlineStr">
        <is>
          <t>Diccionario 4</t>
        </is>
      </c>
      <c r="FD3996" s="15" t="inlineStr">
        <is>
          <t>GCBC-15|</t>
        </is>
      </c>
      <c r="FE3996" s="15" t="inlineStr">
        <is>
          <t>D8483914K2PL</t>
        </is>
      </c>
      <c r="FF3996" s="15" t="inlineStr">
        <is>
          <t>YV3T7U524KA195593</t>
        </is>
      </c>
      <c r="FG3996" s="15" t="inlineStr">
        <is>
          <t>Volvo</t>
        </is>
      </c>
      <c r="FH3996" s="15" t="inlineStr">
        <is>
          <t>B8R</t>
        </is>
      </c>
      <c r="FI3996" s="15" t="inlineStr">
        <is>
          <t>MARCOPOLO</t>
        </is>
      </c>
      <c r="FJ3996" s="15" t="inlineStr">
        <is>
          <t>TORINO</t>
        </is>
      </c>
      <c r="FK3996" s="15" t="n">
        <v>2019</v>
      </c>
      <c r="FL3996" s="15" t="inlineStr">
        <is>
          <t>B2PAL</t>
        </is>
      </c>
      <c r="FM3996" s="15" t="inlineStr">
        <is>
          <t>SAN JOSE</t>
        </is>
      </c>
      <c r="FN3996" s="15" t="inlineStr">
        <is>
          <t>San José 030 (José Besa 669)</t>
        </is>
      </c>
      <c r="FO3996" s="15" t="inlineStr">
        <is>
          <t>San Bernardo</t>
        </is>
      </c>
      <c r="FP3996" t="inlineStr">
        <is>
          <t>B</t>
        </is>
      </c>
    </row>
    <row r="3997">
      <c r="FC3997" t="inlineStr">
        <is>
          <t>Diccionario 4</t>
        </is>
      </c>
      <c r="FD3997" s="15" t="inlineStr">
        <is>
          <t>VFHJ-88|</t>
        </is>
      </c>
      <c r="FE3997" s="15" t="inlineStr">
        <is>
          <t>LDYECS31XS0043931</t>
        </is>
      </c>
      <c r="FF3997" s="15" t="inlineStr">
        <is>
          <t>MDN35025010058</t>
        </is>
      </c>
      <c r="FG3997" s="15" t="inlineStr">
        <is>
          <t>Zhong Tong</t>
        </is>
      </c>
      <c r="FH3997" s="15" t="inlineStr">
        <is>
          <t>Lck6122evg</t>
        </is>
      </c>
      <c r="FI3997" s="15" t="inlineStr">
        <is>
          <t>ZHONGTONG</t>
        </is>
      </c>
      <c r="FJ3997" s="15" t="inlineStr">
        <is>
          <t>LCK6122EVG</t>
        </is>
      </c>
      <c r="FK3997" s="15" t="n">
        <v>2025</v>
      </c>
      <c r="FL3997" s="15" t="inlineStr">
        <is>
          <t>B</t>
        </is>
      </c>
      <c r="FM3997" s="15" t="inlineStr">
        <is>
          <t>SAN JOSE</t>
        </is>
      </c>
      <c r="FN3997" s="15" t="inlineStr">
        <is>
          <t>San José 030 (José Besa 669)</t>
        </is>
      </c>
      <c r="FO3997" s="15" t="inlineStr">
        <is>
          <t>San Bernardo</t>
        </is>
      </c>
      <c r="FP3997" t="inlineStr">
        <is>
          <t>B</t>
        </is>
      </c>
    </row>
    <row r="3998">
      <c r="FC3998" t="inlineStr">
        <is>
          <t>Diccionario 4</t>
        </is>
      </c>
      <c r="FD3998" s="15" t="inlineStr">
        <is>
          <t>VFHL-33|</t>
        </is>
      </c>
      <c r="FE3998" s="15" t="inlineStr">
        <is>
          <t>LDYECS315S0043917</t>
        </is>
      </c>
      <c r="FF3998" s="15" t="inlineStr">
        <is>
          <t>MDN35025010105</t>
        </is>
      </c>
      <c r="FG3998" s="15" t="inlineStr">
        <is>
          <t>Zhong Tong</t>
        </is>
      </c>
      <c r="FH3998" s="15" t="inlineStr">
        <is>
          <t>Lck6122evg</t>
        </is>
      </c>
      <c r="FI3998" s="15" t="inlineStr">
        <is>
          <t>ZHONGTONG</t>
        </is>
      </c>
      <c r="FJ3998" s="15" t="inlineStr">
        <is>
          <t>LCK6122EVG</t>
        </is>
      </c>
      <c r="FK3998" s="15" t="n">
        <v>2025</v>
      </c>
      <c r="FL3998" s="15" t="inlineStr">
        <is>
          <t>B</t>
        </is>
      </c>
      <c r="FM3998" s="15" t="inlineStr">
        <is>
          <t>SAN JOSE</t>
        </is>
      </c>
      <c r="FN3998" s="15" t="inlineStr">
        <is>
          <t>San José 030 (José Besa 669)</t>
        </is>
      </c>
      <c r="FO3998" s="15" t="inlineStr">
        <is>
          <t>San Bernardo</t>
        </is>
      </c>
      <c r="FP3998" t="inlineStr">
        <is>
          <t>B</t>
        </is>
      </c>
    </row>
    <row r="3999">
      <c r="FC3999" t="inlineStr">
        <is>
          <t>Diccionario 4</t>
        </is>
      </c>
      <c r="FD3999" s="15" t="inlineStr">
        <is>
          <t>VFHL-39|</t>
        </is>
      </c>
      <c r="FE3999" s="15" t="inlineStr">
        <is>
          <t>LDYECS319S0043970</t>
        </is>
      </c>
      <c r="FF3999" s="15" t="inlineStr">
        <is>
          <t>MDN35025010061</t>
        </is>
      </c>
      <c r="FG3999" s="15" t="inlineStr">
        <is>
          <t>Zhong Tong</t>
        </is>
      </c>
      <c r="FH3999" s="15" t="inlineStr">
        <is>
          <t>Lck6122evg</t>
        </is>
      </c>
      <c r="FI3999" s="15" t="inlineStr">
        <is>
          <t>ZHONGTONG</t>
        </is>
      </c>
      <c r="FJ3999" s="15" t="inlineStr">
        <is>
          <t>LCK6122EVG</t>
        </is>
      </c>
      <c r="FK3999" s="15" t="n">
        <v>2025</v>
      </c>
      <c r="FL3999" s="15" t="inlineStr">
        <is>
          <t>B</t>
        </is>
      </c>
      <c r="FM3999" s="15" t="inlineStr">
        <is>
          <t>SAN JOSE</t>
        </is>
      </c>
      <c r="FN3999" s="15" t="inlineStr">
        <is>
          <t>San José 030 (José Besa 669)</t>
        </is>
      </c>
      <c r="FO3999" s="15" t="inlineStr">
        <is>
          <t>San Bernardo</t>
        </is>
      </c>
      <c r="FP3999" t="inlineStr">
        <is>
          <t>B</t>
        </is>
      </c>
    </row>
    <row r="4000">
      <c r="FC4000" t="inlineStr">
        <is>
          <t>Diccionario 4</t>
        </is>
      </c>
      <c r="FD4000" s="15" t="inlineStr">
        <is>
          <t>VFHL-46|</t>
        </is>
      </c>
      <c r="FE4000" s="15" t="inlineStr">
        <is>
          <t>LDYECS318S0043930</t>
        </is>
      </c>
      <c r="FF4000" s="15" t="inlineStr">
        <is>
          <t>MDN35025010059</t>
        </is>
      </c>
      <c r="FG4000" s="15" t="inlineStr">
        <is>
          <t>Zhong Tong</t>
        </is>
      </c>
      <c r="FH4000" s="15" t="inlineStr">
        <is>
          <t>Lck6122evg</t>
        </is>
      </c>
      <c r="FI4000" s="15" t="inlineStr">
        <is>
          <t>ZHONGTONG</t>
        </is>
      </c>
      <c r="FJ4000" s="15" t="inlineStr">
        <is>
          <t>LCK6122EVG</t>
        </is>
      </c>
      <c r="FK4000" s="15" t="n">
        <v>2025</v>
      </c>
      <c r="FL4000" s="15" t="inlineStr">
        <is>
          <t>B</t>
        </is>
      </c>
      <c r="FM4000" s="15" t="inlineStr">
        <is>
          <t>SAN JOSE</t>
        </is>
      </c>
      <c r="FN4000" s="15" t="inlineStr">
        <is>
          <t>San José 030 (José Besa 669)</t>
        </is>
      </c>
      <c r="FO4000" s="15" t="inlineStr">
        <is>
          <t>San Bernardo</t>
        </is>
      </c>
      <c r="FP4000" t="inlineStr">
        <is>
          <t>B</t>
        </is>
      </c>
    </row>
    <row r="4001">
      <c r="FC4001" t="inlineStr">
        <is>
          <t>Diccionario 4</t>
        </is>
      </c>
      <c r="FD4001" s="15" t="inlineStr">
        <is>
          <t>VFHL-56|</t>
        </is>
      </c>
      <c r="FE4001" s="15" t="inlineStr">
        <is>
          <t>LDYECS319S0043919</t>
        </is>
      </c>
      <c r="FF4001" s="15" t="inlineStr">
        <is>
          <t>MDN35025010112</t>
        </is>
      </c>
      <c r="FG4001" s="15" t="inlineStr">
        <is>
          <t>Zhong Tong</t>
        </is>
      </c>
      <c r="FH4001" s="15" t="inlineStr">
        <is>
          <t>Lck6122evg</t>
        </is>
      </c>
      <c r="FI4001" s="15" t="inlineStr">
        <is>
          <t>ZHONGTONG</t>
        </is>
      </c>
      <c r="FJ4001" s="15" t="inlineStr">
        <is>
          <t>LCK6122EVG</t>
        </is>
      </c>
      <c r="FK4001" s="15" t="n">
        <v>2025</v>
      </c>
      <c r="FL4001" s="15" t="inlineStr">
        <is>
          <t>B</t>
        </is>
      </c>
      <c r="FM4001" s="15" t="inlineStr">
        <is>
          <t>SAN JOSE</t>
        </is>
      </c>
      <c r="FN4001" s="15" t="inlineStr">
        <is>
          <t>San José 030 (José Besa 669)</t>
        </is>
      </c>
      <c r="FO4001" s="15" t="inlineStr">
        <is>
          <t>San Bernardo</t>
        </is>
      </c>
      <c r="FP4001" t="inlineStr">
        <is>
          <t>B</t>
        </is>
      </c>
    </row>
    <row r="4002">
      <c r="FC4002" t="inlineStr">
        <is>
          <t>Diccionario 4</t>
        </is>
      </c>
      <c r="FD4002" s="15" t="inlineStr">
        <is>
          <t>VFHG-99|</t>
        </is>
      </c>
      <c r="FE4002" s="15" t="inlineStr">
        <is>
          <t>LDYECS314S0043908</t>
        </is>
      </c>
      <c r="FF4002" s="15" t="inlineStr">
        <is>
          <t>MDN35025010130</t>
        </is>
      </c>
      <c r="FG4002" s="15" t="inlineStr">
        <is>
          <t>Zhong Tong</t>
        </is>
      </c>
      <c r="FH4002" s="15" t="inlineStr">
        <is>
          <t>Lck6122evg</t>
        </is>
      </c>
      <c r="FI4002" s="15" t="inlineStr">
        <is>
          <t>ZHONGTONG</t>
        </is>
      </c>
      <c r="FJ4002" s="15" t="inlineStr">
        <is>
          <t>LCK6122EVG</t>
        </is>
      </c>
      <c r="FK4002" s="15" t="n">
        <v>2025</v>
      </c>
      <c r="FL4002" s="15" t="inlineStr">
        <is>
          <t>B</t>
        </is>
      </c>
      <c r="FM4002" s="15" t="inlineStr">
        <is>
          <t>SAN JOSE</t>
        </is>
      </c>
      <c r="FN4002" s="15" t="inlineStr">
        <is>
          <t>San José 030 (José Besa 669)</t>
        </is>
      </c>
      <c r="FO4002" s="15" t="inlineStr">
        <is>
          <t>San Bernardo</t>
        </is>
      </c>
      <c r="FP4002" t="inlineStr">
        <is>
          <t>B</t>
        </is>
      </c>
    </row>
    <row r="4003">
      <c r="FC4003" t="inlineStr">
        <is>
          <t>Diccionario 4</t>
        </is>
      </c>
      <c r="FD4003" s="15" t="inlineStr">
        <is>
          <t>VFHH-49|</t>
        </is>
      </c>
      <c r="FE4003" s="15" t="inlineStr">
        <is>
          <t>LDYECS312S0043924</t>
        </is>
      </c>
      <c r="FF4003" s="15" t="inlineStr">
        <is>
          <t>MDN35025010050</t>
        </is>
      </c>
      <c r="FG4003" s="15" t="inlineStr">
        <is>
          <t>Zhong Tong</t>
        </is>
      </c>
      <c r="FH4003" s="15" t="inlineStr">
        <is>
          <t>Lck6122evg</t>
        </is>
      </c>
      <c r="FI4003" s="15" t="inlineStr">
        <is>
          <t>ZHONGTONG</t>
        </is>
      </c>
      <c r="FJ4003" s="15" t="inlineStr">
        <is>
          <t>LCK6122EVG</t>
        </is>
      </c>
      <c r="FK4003" s="15" t="n">
        <v>2025</v>
      </c>
      <c r="FL4003" s="15" t="inlineStr">
        <is>
          <t>B</t>
        </is>
      </c>
      <c r="FM4003" s="15" t="inlineStr">
        <is>
          <t>SAN JOSE</t>
        </is>
      </c>
      <c r="FN4003" s="15" t="inlineStr">
        <is>
          <t>San José 030 (José Besa 669)</t>
        </is>
      </c>
      <c r="FO4003" s="15" t="inlineStr">
        <is>
          <t>San Bernardo</t>
        </is>
      </c>
      <c r="FP4003" t="inlineStr">
        <is>
          <t>B</t>
        </is>
      </c>
    </row>
    <row r="4004">
      <c r="FC4004" t="inlineStr">
        <is>
          <t>Diccionario 4</t>
        </is>
      </c>
      <c r="FD4004" s="15" t="inlineStr">
        <is>
          <t>VFHH-65|</t>
        </is>
      </c>
      <c r="FE4004" s="15" t="inlineStr">
        <is>
          <t>LDYECS311S0043946</t>
        </is>
      </c>
      <c r="FF4004" s="15" t="inlineStr">
        <is>
          <t>MDN35025010056</t>
        </is>
      </c>
      <c r="FG4004" s="15" t="inlineStr">
        <is>
          <t>Zhong Tong</t>
        </is>
      </c>
      <c r="FH4004" s="15" t="inlineStr">
        <is>
          <t>Lck6122evg</t>
        </is>
      </c>
      <c r="FI4004" s="15" t="inlineStr">
        <is>
          <t>ZHONGTONG</t>
        </is>
      </c>
      <c r="FJ4004" s="15" t="inlineStr">
        <is>
          <t>LCK6122EVG</t>
        </is>
      </c>
      <c r="FK4004" s="15" t="n">
        <v>2025</v>
      </c>
      <c r="FL4004" s="15" t="inlineStr">
        <is>
          <t>B</t>
        </is>
      </c>
      <c r="FM4004" s="15" t="inlineStr">
        <is>
          <t>SAN JOSE</t>
        </is>
      </c>
      <c r="FN4004" s="15" t="inlineStr">
        <is>
          <t>San José 030 (José Besa 669)</t>
        </is>
      </c>
      <c r="FO4004" s="15" t="inlineStr">
        <is>
          <t>San Bernardo</t>
        </is>
      </c>
      <c r="FP4004" t="inlineStr">
        <is>
          <t>B</t>
        </is>
      </c>
    </row>
    <row r="4005">
      <c r="FC4005" t="inlineStr">
        <is>
          <t>Diccionario 4</t>
        </is>
      </c>
      <c r="FD4005" s="15" t="inlineStr">
        <is>
          <t>VFHJ-21|</t>
        </is>
      </c>
      <c r="FE4005" s="15" t="inlineStr">
        <is>
          <t>LDYECS318S0043913</t>
        </is>
      </c>
      <c r="FF4005" s="15" t="inlineStr">
        <is>
          <t>MDN35025010045</t>
        </is>
      </c>
      <c r="FG4005" s="15" t="inlineStr">
        <is>
          <t>Zhong Tong</t>
        </is>
      </c>
      <c r="FH4005" s="15" t="inlineStr">
        <is>
          <t>Lck6122evg</t>
        </is>
      </c>
      <c r="FI4005" s="15" t="inlineStr">
        <is>
          <t>ZHONGTONG</t>
        </is>
      </c>
      <c r="FJ4005" s="15" t="inlineStr">
        <is>
          <t>LCK6122EVG</t>
        </is>
      </c>
      <c r="FK4005" s="15" t="n">
        <v>2025</v>
      </c>
      <c r="FL4005" s="15" t="inlineStr">
        <is>
          <t>B</t>
        </is>
      </c>
      <c r="FM4005" s="15" t="inlineStr">
        <is>
          <t>SAN JOSE</t>
        </is>
      </c>
      <c r="FN4005" s="15" t="inlineStr">
        <is>
          <t>San José 030 (José Besa 669)</t>
        </is>
      </c>
      <c r="FO4005" s="15" t="inlineStr">
        <is>
          <t>San Bernardo</t>
        </is>
      </c>
      <c r="FP4005" t="inlineStr">
        <is>
          <t>B</t>
        </is>
      </c>
    </row>
    <row r="4006">
      <c r="FC4006" t="inlineStr">
        <is>
          <t>Diccionario 4</t>
        </is>
      </c>
      <c r="FD4006" s="15" t="inlineStr">
        <is>
          <t>VFHJ-43|</t>
        </is>
      </c>
      <c r="FE4006" s="15" t="inlineStr">
        <is>
          <t>LDYECS31XS0043895</t>
        </is>
      </c>
      <c r="FF4006" s="15" t="inlineStr">
        <is>
          <t>MDN35025010235</t>
        </is>
      </c>
      <c r="FG4006" s="15" t="inlineStr">
        <is>
          <t>Zhong Tong</t>
        </is>
      </c>
      <c r="FH4006" s="15" t="inlineStr">
        <is>
          <t>Lck6122evg</t>
        </is>
      </c>
      <c r="FI4006" s="15" t="inlineStr">
        <is>
          <t>ZHONGTONG</t>
        </is>
      </c>
      <c r="FJ4006" s="15" t="inlineStr">
        <is>
          <t>LCK6122EVG</t>
        </is>
      </c>
      <c r="FK4006" s="15" t="n">
        <v>2025</v>
      </c>
      <c r="FL4006" s="15" t="inlineStr">
        <is>
          <t>B</t>
        </is>
      </c>
      <c r="FM4006" s="15" t="inlineStr">
        <is>
          <t>SAN JOSE</t>
        </is>
      </c>
      <c r="FN4006" s="15" t="inlineStr">
        <is>
          <t>San José 030 (José Besa 669)</t>
        </is>
      </c>
      <c r="FO4006" s="15" t="inlineStr">
        <is>
          <t>San Bernardo</t>
        </is>
      </c>
      <c r="FP4006" t="inlineStr">
        <is>
          <t>B</t>
        </is>
      </c>
    </row>
    <row r="4007">
      <c r="FC4007" t="inlineStr">
        <is>
          <t>Diccionario 4</t>
        </is>
      </c>
      <c r="FD4007" s="15" t="inlineStr">
        <is>
          <t>VFHJ-59|</t>
        </is>
      </c>
      <c r="FE4007" s="15" t="inlineStr">
        <is>
          <t>LDYECS317S0043935</t>
        </is>
      </c>
      <c r="FF4007" s="15" t="inlineStr">
        <is>
          <t>MDN35025010210</t>
        </is>
      </c>
      <c r="FG4007" s="15" t="inlineStr">
        <is>
          <t>Zhong Tong</t>
        </is>
      </c>
      <c r="FH4007" s="15" t="inlineStr">
        <is>
          <t>Lck6122evg</t>
        </is>
      </c>
      <c r="FI4007" s="15" t="inlineStr">
        <is>
          <t>ZHONGTONG</t>
        </is>
      </c>
      <c r="FJ4007" s="15" t="inlineStr">
        <is>
          <t>LCK6122EVG</t>
        </is>
      </c>
      <c r="FK4007" s="15" t="n">
        <v>2025</v>
      </c>
      <c r="FL4007" s="15" t="inlineStr">
        <is>
          <t>B</t>
        </is>
      </c>
      <c r="FM4007" s="15" t="inlineStr">
        <is>
          <t>SAN JOSE</t>
        </is>
      </c>
      <c r="FN4007" s="15" t="inlineStr">
        <is>
          <t>San José 030 (José Besa 669)</t>
        </is>
      </c>
      <c r="FO4007" s="15" t="inlineStr">
        <is>
          <t>San Bernardo</t>
        </is>
      </c>
      <c r="FP4007" t="inlineStr">
        <is>
          <t>B</t>
        </is>
      </c>
    </row>
    <row r="4008">
      <c r="FC4008" t="inlineStr">
        <is>
          <t>Diccionario 4</t>
        </is>
      </c>
      <c r="FD4008" s="15" t="inlineStr">
        <is>
          <t>VFHJ-92|</t>
        </is>
      </c>
      <c r="FE4008" s="15" t="inlineStr">
        <is>
          <t>LDYECS316S0043926</t>
        </is>
      </c>
      <c r="FF4008" s="15" t="inlineStr">
        <is>
          <t>MDN35025010044</t>
        </is>
      </c>
      <c r="FG4008" s="15" t="inlineStr">
        <is>
          <t>Zhong Tong</t>
        </is>
      </c>
      <c r="FH4008" s="15" t="inlineStr">
        <is>
          <t>Lck6122evg</t>
        </is>
      </c>
      <c r="FI4008" s="15" t="inlineStr">
        <is>
          <t>ZHONGTONG</t>
        </is>
      </c>
      <c r="FJ4008" s="15" t="inlineStr">
        <is>
          <t>LCK6122EVG</t>
        </is>
      </c>
      <c r="FK4008" s="15" t="n">
        <v>2025</v>
      </c>
      <c r="FL4008" s="15" t="inlineStr">
        <is>
          <t>B</t>
        </is>
      </c>
      <c r="FM4008" s="15" t="inlineStr">
        <is>
          <t>SAN JOSE</t>
        </is>
      </c>
      <c r="FN4008" s="15" t="inlineStr">
        <is>
          <t>San José 030 (José Besa 669)</t>
        </is>
      </c>
      <c r="FO4008" s="15" t="inlineStr">
        <is>
          <t>San Bernardo</t>
        </is>
      </c>
      <c r="FP4008" t="inlineStr">
        <is>
          <t>B</t>
        </is>
      </c>
    </row>
    <row r="4009">
      <c r="FC4009" t="inlineStr">
        <is>
          <t>Diccionario 4</t>
        </is>
      </c>
      <c r="FD4009" s="15" t="inlineStr">
        <is>
          <t>VFHJ-69|</t>
        </is>
      </c>
      <c r="FE4009" s="15" t="inlineStr">
        <is>
          <t>LDYECS31XS0043914</t>
        </is>
      </c>
      <c r="FF4009" s="15" t="inlineStr">
        <is>
          <t>MDN35025010074</t>
        </is>
      </c>
      <c r="FG4009" s="15" t="inlineStr">
        <is>
          <t>Zhong Tong</t>
        </is>
      </c>
      <c r="FH4009" s="15" t="inlineStr">
        <is>
          <t>Lck6122evg</t>
        </is>
      </c>
      <c r="FI4009" s="15" t="inlineStr">
        <is>
          <t>ZHONGTONG</t>
        </is>
      </c>
      <c r="FJ4009" s="15" t="inlineStr">
        <is>
          <t>LCK6122EVG</t>
        </is>
      </c>
      <c r="FK4009" s="15" t="n">
        <v>2025</v>
      </c>
      <c r="FL4009" s="15" t="inlineStr">
        <is>
          <t>B</t>
        </is>
      </c>
      <c r="FM4009" s="15" t="inlineStr">
        <is>
          <t>SAN JOSE</t>
        </is>
      </c>
      <c r="FN4009" s="15" t="inlineStr">
        <is>
          <t>San José 030 (José Besa 669)</t>
        </is>
      </c>
      <c r="FO4009" s="15" t="inlineStr">
        <is>
          <t>San Bernardo</t>
        </is>
      </c>
      <c r="FP4009" t="inlineStr">
        <is>
          <t>B</t>
        </is>
      </c>
    </row>
    <row r="4010">
      <c r="FC4010" t="inlineStr">
        <is>
          <t>Diccionario 4</t>
        </is>
      </c>
      <c r="FD4010" s="15" t="inlineStr">
        <is>
          <t>VFHJ-77|</t>
        </is>
      </c>
      <c r="FE4010" s="15" t="inlineStr">
        <is>
          <t>LDYECS310S0043906</t>
        </is>
      </c>
      <c r="FF4010" s="15" t="inlineStr">
        <is>
          <t>MDN35025010080</t>
        </is>
      </c>
      <c r="FG4010" s="15" t="inlineStr">
        <is>
          <t>Zhong Tong</t>
        </is>
      </c>
      <c r="FH4010" s="15" t="inlineStr">
        <is>
          <t>Lck6122evg</t>
        </is>
      </c>
      <c r="FI4010" s="15" t="inlineStr">
        <is>
          <t>ZHONGTONG</t>
        </is>
      </c>
      <c r="FJ4010" s="15" t="inlineStr">
        <is>
          <t>LCK6122EVG</t>
        </is>
      </c>
      <c r="FK4010" s="15" t="n">
        <v>2025</v>
      </c>
      <c r="FL4010" s="15" t="inlineStr">
        <is>
          <t>B</t>
        </is>
      </c>
      <c r="FM4010" s="15" t="inlineStr">
        <is>
          <t>SAN JOSE</t>
        </is>
      </c>
      <c r="FN4010" s="15" t="inlineStr">
        <is>
          <t>San José 030 (José Besa 669)</t>
        </is>
      </c>
      <c r="FO4010" s="15" t="inlineStr">
        <is>
          <t>San Bernardo</t>
        </is>
      </c>
      <c r="FP4010" t="inlineStr">
        <is>
          <t>B</t>
        </is>
      </c>
    </row>
    <row r="4011">
      <c r="FC4011" t="inlineStr">
        <is>
          <t>Diccionario 4</t>
        </is>
      </c>
      <c r="FD4011" s="15" t="inlineStr">
        <is>
          <t>VFHL-62|</t>
        </is>
      </c>
      <c r="FE4011" s="15" t="inlineStr">
        <is>
          <t>LDYECS31XS0043928</t>
        </is>
      </c>
      <c r="FF4011" s="15" t="inlineStr">
        <is>
          <t>MDN35025010051</t>
        </is>
      </c>
      <c r="FG4011" s="15" t="inlineStr">
        <is>
          <t>Zhong Tong</t>
        </is>
      </c>
      <c r="FH4011" s="15" t="inlineStr">
        <is>
          <t>Lck6122evg</t>
        </is>
      </c>
      <c r="FI4011" s="15" t="inlineStr">
        <is>
          <t>ZHONGTONG</t>
        </is>
      </c>
      <c r="FJ4011" s="15" t="inlineStr">
        <is>
          <t>LCK6122EVG</t>
        </is>
      </c>
      <c r="FK4011" s="15" t="n">
        <v>2025</v>
      </c>
      <c r="FL4011" s="15" t="inlineStr">
        <is>
          <t>B</t>
        </is>
      </c>
      <c r="FM4011" s="15" t="inlineStr">
        <is>
          <t>SAN JOSE</t>
        </is>
      </c>
      <c r="FN4011" s="15" t="inlineStr">
        <is>
          <t>San José 030 (José Besa 669)</t>
        </is>
      </c>
      <c r="FO4011" s="15" t="inlineStr">
        <is>
          <t>San Bernardo</t>
        </is>
      </c>
      <c r="FP4011" t="inlineStr">
        <is>
          <t>B</t>
        </is>
      </c>
    </row>
    <row r="4012">
      <c r="FC4012" t="inlineStr">
        <is>
          <t>Diccionario 4</t>
        </is>
      </c>
      <c r="FD4012" s="15" t="inlineStr">
        <is>
          <t>VFHL-66|</t>
        </is>
      </c>
      <c r="FE4012" s="15" t="inlineStr">
        <is>
          <t>LDYECS315S0043934</t>
        </is>
      </c>
      <c r="FF4012" s="15" t="inlineStr">
        <is>
          <t>MDN35025010214</t>
        </is>
      </c>
      <c r="FG4012" s="15" t="inlineStr">
        <is>
          <t>Zhong Tong</t>
        </is>
      </c>
      <c r="FH4012" s="15" t="inlineStr">
        <is>
          <t>Lck6122evg</t>
        </is>
      </c>
      <c r="FI4012" s="15" t="inlineStr">
        <is>
          <t>ZHONGTONG</t>
        </is>
      </c>
      <c r="FJ4012" s="15" t="inlineStr">
        <is>
          <t>LCK6122EVG</t>
        </is>
      </c>
      <c r="FK4012" s="15" t="n">
        <v>2025</v>
      </c>
      <c r="FL4012" s="15" t="inlineStr">
        <is>
          <t>B</t>
        </is>
      </c>
      <c r="FM4012" s="15" t="inlineStr">
        <is>
          <t>CERRILLOS</t>
        </is>
      </c>
      <c r="FN4012" s="15" t="inlineStr">
        <is>
          <t>Calle Uno 7371</t>
        </is>
      </c>
      <c r="FO4012" s="15" t="inlineStr">
        <is>
          <t>Huechuraba</t>
        </is>
      </c>
      <c r="FP4012" t="inlineStr">
        <is>
          <t>B</t>
        </is>
      </c>
    </row>
    <row r="4013">
      <c r="FC4013" t="inlineStr">
        <is>
          <t>Diccionario 4</t>
        </is>
      </c>
      <c r="FD4013" s="15" t="inlineStr">
        <is>
          <t>VFHL-81|</t>
        </is>
      </c>
      <c r="FE4013" s="15" t="inlineStr">
        <is>
          <t>LDYECS317S0043983</t>
        </is>
      </c>
      <c r="FF4013" s="15" t="inlineStr">
        <is>
          <t>MDN35025020100</t>
        </is>
      </c>
      <c r="FG4013" s="15" t="inlineStr">
        <is>
          <t>Zhong Tong</t>
        </is>
      </c>
      <c r="FH4013" s="15" t="inlineStr">
        <is>
          <t>Lck6122evg</t>
        </is>
      </c>
      <c r="FI4013" s="15" t="inlineStr">
        <is>
          <t>ZHONGTONG</t>
        </is>
      </c>
      <c r="FJ4013" s="15" t="inlineStr">
        <is>
          <t>LCK6122EVG</t>
        </is>
      </c>
      <c r="FK4013" s="15" t="n">
        <v>2025</v>
      </c>
      <c r="FL4013" s="15" t="inlineStr">
        <is>
          <t>B</t>
        </is>
      </c>
      <c r="FM4013" s="15" t="inlineStr">
        <is>
          <t>LOS LIBERTADORES</t>
        </is>
      </c>
      <c r="FN4013" s="15" t="inlineStr">
        <is>
          <t>Los Liberadores 6450, Lote 4A</t>
        </is>
      </c>
      <c r="FO4013" s="15" t="inlineStr">
        <is>
          <t>Huechuraba</t>
        </is>
      </c>
      <c r="FP4013" t="inlineStr">
        <is>
          <t>B</t>
        </is>
      </c>
    </row>
    <row r="4014">
      <c r="FC4014" t="inlineStr">
        <is>
          <t>Diccionario 4</t>
        </is>
      </c>
      <c r="FD4014" s="15" t="inlineStr">
        <is>
          <t>VFHS-85|</t>
        </is>
      </c>
      <c r="FE4014" s="15" t="inlineStr">
        <is>
          <t>LDYECS315S0043979</t>
        </is>
      </c>
      <c r="FF4014" s="15" t="inlineStr">
        <is>
          <t>MDN35025020094</t>
        </is>
      </c>
      <c r="FG4014" s="15" t="inlineStr">
        <is>
          <t>Zhong Tong</t>
        </is>
      </c>
      <c r="FH4014" s="15" t="inlineStr">
        <is>
          <t>Lck6122evg</t>
        </is>
      </c>
      <c r="FI4014" s="15" t="inlineStr">
        <is>
          <t>ZHONGTONG</t>
        </is>
      </c>
      <c r="FJ4014" s="15" t="inlineStr">
        <is>
          <t>LCK6122EVG</t>
        </is>
      </c>
      <c r="FK4014" s="15" t="n">
        <v>2025</v>
      </c>
      <c r="FL4014" s="15" t="inlineStr">
        <is>
          <t>B</t>
        </is>
      </c>
      <c r="FM4014" s="15" t="inlineStr">
        <is>
          <t>LOS LIBERTADORES</t>
        </is>
      </c>
      <c r="FN4014" s="15" t="inlineStr">
        <is>
          <t>Los Liberadores 6450, Lote 4A</t>
        </is>
      </c>
      <c r="FO4014" s="15" t="inlineStr">
        <is>
          <t>Huechuraba</t>
        </is>
      </c>
      <c r="FP4014" t="inlineStr">
        <is>
          <t>B</t>
        </is>
      </c>
    </row>
    <row r="4015">
      <c r="FC4015" t="inlineStr">
        <is>
          <t>Diccionario 4</t>
        </is>
      </c>
      <c r="FD4015" s="15" t="inlineStr">
        <is>
          <t>VFHS-95|</t>
        </is>
      </c>
      <c r="FE4015" s="15" t="inlineStr">
        <is>
          <t>LDYECS314S0043956</t>
        </is>
      </c>
      <c r="FF4015" s="15" t="inlineStr">
        <is>
          <t>MDN35025020090</t>
        </is>
      </c>
      <c r="FG4015" s="15" t="inlineStr">
        <is>
          <t>Zhong Tong</t>
        </is>
      </c>
      <c r="FH4015" s="15" t="inlineStr">
        <is>
          <t>Lck6122evg</t>
        </is>
      </c>
      <c r="FI4015" s="15" t="inlineStr">
        <is>
          <t>ZHONGTONG</t>
        </is>
      </c>
      <c r="FJ4015" s="15" t="inlineStr">
        <is>
          <t>LCK6122EVG</t>
        </is>
      </c>
      <c r="FK4015" s="15" t="n">
        <v>2025</v>
      </c>
      <c r="FL4015" s="15" t="inlineStr">
        <is>
          <t>B</t>
        </is>
      </c>
      <c r="FM4015" s="15" t="inlineStr">
        <is>
          <t>LOS LIBERTADORES</t>
        </is>
      </c>
      <c r="FN4015" s="15" t="inlineStr">
        <is>
          <t>Los Liberadores 6450, Lote 4A</t>
        </is>
      </c>
      <c r="FO4015" s="15" t="inlineStr">
        <is>
          <t>Huechuraba</t>
        </is>
      </c>
      <c r="FP4015" t="inlineStr">
        <is>
          <t>B</t>
        </is>
      </c>
    </row>
    <row r="4016">
      <c r="FC4016" t="inlineStr">
        <is>
          <t>Diccionario 4</t>
        </is>
      </c>
      <c r="FD4016" s="15" t="inlineStr">
        <is>
          <t>VFHS-98|</t>
        </is>
      </c>
      <c r="FE4016" s="15" t="inlineStr">
        <is>
          <t>LDYECS316S0043957</t>
        </is>
      </c>
      <c r="FF4016" s="15" t="inlineStr">
        <is>
          <t>MDN35025020069</t>
        </is>
      </c>
      <c r="FG4016" s="15" t="inlineStr">
        <is>
          <t>Zhong Tong</t>
        </is>
      </c>
      <c r="FH4016" s="15" t="inlineStr">
        <is>
          <t>Lck6122evg</t>
        </is>
      </c>
      <c r="FI4016" s="15" t="inlineStr">
        <is>
          <t>ZHONGTONG</t>
        </is>
      </c>
      <c r="FJ4016" s="15" t="inlineStr">
        <is>
          <t>LCK6122EVG</t>
        </is>
      </c>
      <c r="FK4016" s="15" t="n">
        <v>2025</v>
      </c>
      <c r="FL4016" s="15" t="inlineStr">
        <is>
          <t>B</t>
        </is>
      </c>
      <c r="FM4016" s="15" t="inlineStr">
        <is>
          <t>SAN JOSE</t>
        </is>
      </c>
      <c r="FN4016" s="15" t="inlineStr">
        <is>
          <t>San José 030 (José Besa 669)</t>
        </is>
      </c>
      <c r="FO4016" s="15" t="inlineStr">
        <is>
          <t>San Bernardo</t>
        </is>
      </c>
      <c r="FP4016" t="inlineStr">
        <is>
          <t>B</t>
        </is>
      </c>
    </row>
    <row r="4017">
      <c r="FC4017" t="inlineStr">
        <is>
          <t>Diccionario 4</t>
        </is>
      </c>
      <c r="FD4017" s="15" t="inlineStr">
        <is>
          <t>VFHT-45|</t>
        </is>
      </c>
      <c r="FE4017" s="15" t="inlineStr">
        <is>
          <t>LDYECS319S0043953</t>
        </is>
      </c>
      <c r="FF4017" s="15" t="inlineStr">
        <is>
          <t>MDN35025020052</t>
        </is>
      </c>
      <c r="FG4017" s="15" t="inlineStr">
        <is>
          <t>Zhong Tong</t>
        </is>
      </c>
      <c r="FH4017" s="15" t="inlineStr">
        <is>
          <t>Lck6122evg</t>
        </is>
      </c>
      <c r="FI4017" s="15" t="inlineStr">
        <is>
          <t>ZHONGTONG</t>
        </is>
      </c>
      <c r="FJ4017" s="15" t="inlineStr">
        <is>
          <t>LCK6122EVG</t>
        </is>
      </c>
      <c r="FK4017" s="15" t="n">
        <v>2025</v>
      </c>
      <c r="FL4017" s="15" t="inlineStr">
        <is>
          <t>B</t>
        </is>
      </c>
      <c r="FM4017" s="15" t="inlineStr">
        <is>
          <t>SAN JOSE</t>
        </is>
      </c>
      <c r="FN4017" s="15" t="inlineStr">
        <is>
          <t>San José 030 (José Besa 669)</t>
        </is>
      </c>
      <c r="FO4017" s="15" t="inlineStr">
        <is>
          <t>San Bernardo</t>
        </is>
      </c>
      <c r="FP4017" t="inlineStr">
        <is>
          <t>B</t>
        </is>
      </c>
    </row>
    <row r="4018">
      <c r="FC4018" t="inlineStr">
        <is>
          <t>Diccionario 4</t>
        </is>
      </c>
      <c r="FD4018" s="15" t="inlineStr">
        <is>
          <t>VFHT-55|</t>
        </is>
      </c>
      <c r="FE4018" s="15" t="inlineStr">
        <is>
          <t>LDYECS310S0043954</t>
        </is>
      </c>
      <c r="FF4018" s="15" t="inlineStr">
        <is>
          <t>MDN35025020088</t>
        </is>
      </c>
      <c r="FG4018" s="15" t="inlineStr">
        <is>
          <t>Zhong Tong</t>
        </is>
      </c>
      <c r="FH4018" s="15" t="inlineStr">
        <is>
          <t>Lck6122evg</t>
        </is>
      </c>
      <c r="FI4018" s="15" t="inlineStr">
        <is>
          <t>ZHONGTONG</t>
        </is>
      </c>
      <c r="FJ4018" s="15" t="inlineStr">
        <is>
          <t>LCK6122EVG</t>
        </is>
      </c>
      <c r="FK4018" s="15" t="n">
        <v>2025</v>
      </c>
      <c r="FL4018" s="15" t="inlineStr">
        <is>
          <t>B</t>
        </is>
      </c>
      <c r="FM4018" s="15" t="inlineStr">
        <is>
          <t>SAN JOSE</t>
        </is>
      </c>
      <c r="FN4018" s="15" t="inlineStr">
        <is>
          <t>San José 030 (José Besa 669)</t>
        </is>
      </c>
      <c r="FO4018" s="15" t="inlineStr">
        <is>
          <t>San Bernardo</t>
        </is>
      </c>
      <c r="FP4018" t="inlineStr">
        <is>
          <t>B</t>
        </is>
      </c>
    </row>
    <row r="4019">
      <c r="FC4019" t="inlineStr">
        <is>
          <t>Diccionario 4</t>
        </is>
      </c>
      <c r="FD4019" s="15" t="inlineStr">
        <is>
          <t>VFHK-16|</t>
        </is>
      </c>
      <c r="FE4019" s="15" t="inlineStr">
        <is>
          <t>LDYECS311S0043915</t>
        </is>
      </c>
      <c r="FF4019" s="15" t="inlineStr">
        <is>
          <t>MDN35025010066</t>
        </is>
      </c>
      <c r="FG4019" s="15" t="inlineStr">
        <is>
          <t>Zhong Tong</t>
        </is>
      </c>
      <c r="FH4019" s="15" t="inlineStr">
        <is>
          <t>Lck6122evg</t>
        </is>
      </c>
      <c r="FI4019" s="15" t="inlineStr">
        <is>
          <t>ZHONGTONG</t>
        </is>
      </c>
      <c r="FJ4019" s="15" t="inlineStr">
        <is>
          <t>LCK6122EVG</t>
        </is>
      </c>
      <c r="FK4019" s="15" t="n">
        <v>2025</v>
      </c>
      <c r="FL4019" s="15" t="inlineStr">
        <is>
          <t>B</t>
        </is>
      </c>
      <c r="FM4019" s="15" t="inlineStr">
        <is>
          <t>SAN JOSE</t>
        </is>
      </c>
      <c r="FN4019" s="15" t="inlineStr">
        <is>
          <t>San José 030 (José Besa 669)</t>
        </is>
      </c>
      <c r="FO4019" s="15" t="inlineStr">
        <is>
          <t>San Bernardo</t>
        </is>
      </c>
      <c r="FP4019" t="inlineStr">
        <is>
          <t>B</t>
        </is>
      </c>
    </row>
    <row r="4020">
      <c r="FC4020" t="inlineStr">
        <is>
          <t>Diccionario 4</t>
        </is>
      </c>
      <c r="FD4020" s="15" t="inlineStr">
        <is>
          <t>VFHT-73|</t>
        </is>
      </c>
      <c r="FE4020" s="15" t="inlineStr">
        <is>
          <t>LDYECS319S0043984</t>
        </is>
      </c>
      <c r="FF4020" s="15" t="inlineStr">
        <is>
          <t>MDN35025020097</t>
        </is>
      </c>
      <c r="FG4020" s="15" t="inlineStr">
        <is>
          <t>Zhong Tong</t>
        </is>
      </c>
      <c r="FH4020" s="15" t="inlineStr">
        <is>
          <t>Lck6122evg</t>
        </is>
      </c>
      <c r="FI4020" s="15" t="inlineStr">
        <is>
          <t>ZHONGTONG</t>
        </is>
      </c>
      <c r="FJ4020" s="15" t="inlineStr">
        <is>
          <t>LCK6122EVG</t>
        </is>
      </c>
      <c r="FK4020" s="15" t="n">
        <v>2025</v>
      </c>
      <c r="FL4020" s="15" t="inlineStr">
        <is>
          <t>B</t>
        </is>
      </c>
      <c r="FM4020" s="15" t="inlineStr">
        <is>
          <t>CERRILLOS</t>
        </is>
      </c>
      <c r="FN4020" s="15" t="inlineStr">
        <is>
          <t>Calle Uno 7371</t>
        </is>
      </c>
      <c r="FO4020" s="15" t="inlineStr">
        <is>
          <t>Cerrillos</t>
        </is>
      </c>
      <c r="FP4020" t="inlineStr">
        <is>
          <t>B</t>
        </is>
      </c>
    </row>
    <row r="4021">
      <c r="FC4021" t="inlineStr">
        <is>
          <t>Diccionario 4</t>
        </is>
      </c>
      <c r="FD4021" s="15" t="inlineStr">
        <is>
          <t>VFHT-80|</t>
        </is>
      </c>
      <c r="FE4021" s="15" t="inlineStr">
        <is>
          <t>LDYECS314S0043987</t>
        </is>
      </c>
      <c r="FF4021" s="15" t="inlineStr">
        <is>
          <t>MDN35025020056</t>
        </is>
      </c>
      <c r="FG4021" s="15" t="inlineStr">
        <is>
          <t>Zhong Tong</t>
        </is>
      </c>
      <c r="FH4021" s="15" t="inlineStr">
        <is>
          <t>Lck6122evg</t>
        </is>
      </c>
      <c r="FI4021" s="15" t="inlineStr">
        <is>
          <t>ZHONGTONG</t>
        </is>
      </c>
      <c r="FJ4021" s="15" t="inlineStr">
        <is>
          <t>LCK6122EVG</t>
        </is>
      </c>
      <c r="FK4021" s="15" t="n">
        <v>2025</v>
      </c>
      <c r="FL4021" s="15" t="inlineStr">
        <is>
          <t>B</t>
        </is>
      </c>
      <c r="FM4021" s="15" t="inlineStr">
        <is>
          <t>LOS LIBERTADORES</t>
        </is>
      </c>
      <c r="FN4021" s="15" t="inlineStr">
        <is>
          <t>Los Liberadores 6450, Lote 4A</t>
        </is>
      </c>
      <c r="FO4021" s="15" t="inlineStr">
        <is>
          <t>Huechuraba</t>
        </is>
      </c>
      <c r="FP4021" t="inlineStr">
        <is>
          <t>B</t>
        </is>
      </c>
    </row>
    <row r="4022">
      <c r="FC4022" t="inlineStr">
        <is>
          <t>Diccionario 4</t>
        </is>
      </c>
      <c r="FD4022" s="15" t="inlineStr">
        <is>
          <t>VFHT-81|</t>
        </is>
      </c>
      <c r="FE4022" s="15" t="inlineStr">
        <is>
          <t>LDYECS314S0043973</t>
        </is>
      </c>
      <c r="FF4022" s="15" t="inlineStr">
        <is>
          <t>MDN35025020087</t>
        </is>
      </c>
      <c r="FG4022" s="15" t="inlineStr">
        <is>
          <t>Zhong Tong</t>
        </is>
      </c>
      <c r="FH4022" s="15" t="inlineStr">
        <is>
          <t>Lck6122evg</t>
        </is>
      </c>
      <c r="FI4022" s="15" t="inlineStr">
        <is>
          <t>ZHONGTONG</t>
        </is>
      </c>
      <c r="FJ4022" s="15" t="inlineStr">
        <is>
          <t>LCK6122EVG</t>
        </is>
      </c>
      <c r="FK4022" s="15" t="n">
        <v>2025</v>
      </c>
      <c r="FL4022" s="15" t="inlineStr">
        <is>
          <t>B</t>
        </is>
      </c>
      <c r="FM4022" s="15" t="inlineStr">
        <is>
          <t>LOS LIBERTADORES</t>
        </is>
      </c>
      <c r="FN4022" s="15" t="inlineStr">
        <is>
          <t>Los Liberadores 6450, Lote 4A</t>
        </is>
      </c>
      <c r="FO4022" s="15" t="inlineStr">
        <is>
          <t>Huechuraba</t>
        </is>
      </c>
      <c r="FP4022" t="inlineStr">
        <is>
          <t>B</t>
        </is>
      </c>
    </row>
    <row r="4023">
      <c r="FC4023" t="inlineStr">
        <is>
          <t>Diccionario 4</t>
        </is>
      </c>
      <c r="FD4023" s="15" t="inlineStr">
        <is>
          <t>VFHV-57|</t>
        </is>
      </c>
      <c r="FE4023" s="15" t="inlineStr">
        <is>
          <t>LDYECS316S0043974</t>
        </is>
      </c>
      <c r="FF4023" s="15" t="inlineStr">
        <is>
          <t>MDN35025020079</t>
        </is>
      </c>
      <c r="FG4023" s="15" t="inlineStr">
        <is>
          <t>Zhong Tong</t>
        </is>
      </c>
      <c r="FH4023" s="15" t="inlineStr">
        <is>
          <t>Lck6122evg</t>
        </is>
      </c>
      <c r="FI4023" s="15" t="inlineStr">
        <is>
          <t>ZHONGTONG</t>
        </is>
      </c>
      <c r="FJ4023" s="15" t="inlineStr">
        <is>
          <t>LCK6122EVG</t>
        </is>
      </c>
      <c r="FK4023" s="15" t="n">
        <v>2025</v>
      </c>
      <c r="FL4023" s="15" t="inlineStr">
        <is>
          <t>B</t>
        </is>
      </c>
      <c r="FM4023" s="15" t="inlineStr">
        <is>
          <t>LOS LIBERTADORES</t>
        </is>
      </c>
      <c r="FN4023" s="15" t="inlineStr">
        <is>
          <t>Los Liberadores 6450, Lote 4A</t>
        </is>
      </c>
      <c r="FO4023" s="15" t="inlineStr">
        <is>
          <t>Huechuraba</t>
        </is>
      </c>
      <c r="FP4023" t="inlineStr">
        <is>
          <t>B</t>
        </is>
      </c>
    </row>
    <row r="4024">
      <c r="FC4024" t="inlineStr">
        <is>
          <t>Diccionario 4</t>
        </is>
      </c>
      <c r="FD4024" s="15" t="inlineStr">
        <is>
          <t>VFHV-67|</t>
        </is>
      </c>
      <c r="FE4024" s="15" t="inlineStr">
        <is>
          <t>LDYECS311S0043980</t>
        </is>
      </c>
      <c r="FF4024" s="15" t="inlineStr">
        <is>
          <t>MDN35025020095</t>
        </is>
      </c>
      <c r="FG4024" s="15" t="inlineStr">
        <is>
          <t>Zhong Tong</t>
        </is>
      </c>
      <c r="FH4024" s="15" t="inlineStr">
        <is>
          <t>Lck6122evg</t>
        </is>
      </c>
      <c r="FI4024" s="15" t="inlineStr">
        <is>
          <t>ZHONGTONG</t>
        </is>
      </c>
      <c r="FJ4024" s="15" t="inlineStr">
        <is>
          <t>LCK6122EVG</t>
        </is>
      </c>
      <c r="FK4024" s="15" t="n">
        <v>2025</v>
      </c>
      <c r="FL4024" s="15" t="inlineStr">
        <is>
          <t>B</t>
        </is>
      </c>
      <c r="FM4024" s="15" t="inlineStr">
        <is>
          <t>LOS LIBERTADORES</t>
        </is>
      </c>
      <c r="FN4024" s="15" t="inlineStr">
        <is>
          <t>Los Liberadores 6450, Lote 4A</t>
        </is>
      </c>
      <c r="FO4024" s="15" t="inlineStr">
        <is>
          <t>Huechuraba</t>
        </is>
      </c>
      <c r="FP4024" t="inlineStr">
        <is>
          <t>B</t>
        </is>
      </c>
    </row>
    <row r="4025">
      <c r="FC4025" t="inlineStr">
        <is>
          <t>Diccionario 4</t>
        </is>
      </c>
      <c r="FD4025" s="15" t="inlineStr">
        <is>
          <t>VFHV-82|</t>
        </is>
      </c>
      <c r="FE4025" s="15" t="inlineStr">
        <is>
          <t>LDYECS319S0044004</t>
        </is>
      </c>
      <c r="FF4025" s="15" t="inlineStr">
        <is>
          <t>MDN35025020057</t>
        </is>
      </c>
      <c r="FG4025" s="15" t="inlineStr">
        <is>
          <t>Zhong Tong</t>
        </is>
      </c>
      <c r="FH4025" s="15" t="inlineStr">
        <is>
          <t>Lck6122evg</t>
        </is>
      </c>
      <c r="FI4025" s="15" t="inlineStr">
        <is>
          <t>ZHONGTONG</t>
        </is>
      </c>
      <c r="FJ4025" s="15" t="inlineStr">
        <is>
          <t>LCK6122EVG</t>
        </is>
      </c>
      <c r="FK4025" s="15" t="n">
        <v>2025</v>
      </c>
      <c r="FL4025" s="15" t="inlineStr">
        <is>
          <t>B</t>
        </is>
      </c>
      <c r="FM4025" s="15" t="inlineStr">
        <is>
          <t>LOS LIBERTADORES</t>
        </is>
      </c>
      <c r="FN4025" s="15" t="inlineStr">
        <is>
          <t>Los Liberadores 6450, Lote 4A</t>
        </is>
      </c>
      <c r="FO4025" s="15" t="inlineStr">
        <is>
          <t>Huechuraba</t>
        </is>
      </c>
      <c r="FP4025" t="inlineStr">
        <is>
          <t>B</t>
        </is>
      </c>
    </row>
    <row r="4026">
      <c r="FC4026" t="inlineStr">
        <is>
          <t>Diccionario 4</t>
        </is>
      </c>
      <c r="FD4026" s="15" t="inlineStr">
        <is>
          <t>VFHV-87|</t>
        </is>
      </c>
      <c r="FE4026" s="15" t="inlineStr">
        <is>
          <t>LDYECS312S0043955</t>
        </is>
      </c>
      <c r="FF4026" s="15" t="inlineStr">
        <is>
          <t>MDN35025020084</t>
        </is>
      </c>
      <c r="FG4026" s="15" t="inlineStr">
        <is>
          <t>Zhong Tong</t>
        </is>
      </c>
      <c r="FH4026" s="15" t="inlineStr">
        <is>
          <t>Lck6122evg</t>
        </is>
      </c>
      <c r="FI4026" s="15" t="inlineStr">
        <is>
          <t>ZHONGTONG</t>
        </is>
      </c>
      <c r="FJ4026" s="15" t="inlineStr">
        <is>
          <t>LCK6122EVG</t>
        </is>
      </c>
      <c r="FK4026" s="15" t="n">
        <v>2025</v>
      </c>
      <c r="FL4026" s="15" t="inlineStr">
        <is>
          <t>B</t>
        </is>
      </c>
      <c r="FM4026" s="15" t="inlineStr">
        <is>
          <t>LOS LIBERTADORES</t>
        </is>
      </c>
      <c r="FN4026" s="15" t="inlineStr">
        <is>
          <t>Los Liberadores 6450, Lote 4A</t>
        </is>
      </c>
      <c r="FO4026" s="15" t="inlineStr">
        <is>
          <t>Huechuraba</t>
        </is>
      </c>
      <c r="FP4026" t="inlineStr">
        <is>
          <t>B</t>
        </is>
      </c>
    </row>
    <row r="4027">
      <c r="FC4027" t="inlineStr">
        <is>
          <t>Diccionario 4</t>
        </is>
      </c>
      <c r="FD4027" s="15" t="inlineStr">
        <is>
          <t>VFHW-46|</t>
        </is>
      </c>
      <c r="FE4027" s="15" t="inlineStr">
        <is>
          <t>LDYECS318S0043989</t>
        </is>
      </c>
      <c r="FF4027" s="15" t="inlineStr">
        <is>
          <t>MDN35025020060</t>
        </is>
      </c>
      <c r="FG4027" s="15" t="inlineStr">
        <is>
          <t>Zhong Tong</t>
        </is>
      </c>
      <c r="FH4027" s="15" t="inlineStr">
        <is>
          <t>Lck6122evg</t>
        </is>
      </c>
      <c r="FI4027" s="15" t="inlineStr">
        <is>
          <t>ZHONGTONG</t>
        </is>
      </c>
      <c r="FJ4027" s="15" t="inlineStr">
        <is>
          <t>LCK6122EVG</t>
        </is>
      </c>
      <c r="FK4027" s="15" t="n">
        <v>2025</v>
      </c>
      <c r="FL4027" s="15" t="inlineStr">
        <is>
          <t>B</t>
        </is>
      </c>
      <c r="FM4027" s="15" t="inlineStr">
        <is>
          <t>LOS LIBERTADORES</t>
        </is>
      </c>
      <c r="FN4027" s="15" t="inlineStr">
        <is>
          <t>Los Liberadores 6450, Lote 4A</t>
        </is>
      </c>
      <c r="FO4027" s="15" t="inlineStr">
        <is>
          <t>Huechuraba</t>
        </is>
      </c>
      <c r="FP4027" t="inlineStr">
        <is>
          <t>B</t>
        </is>
      </c>
    </row>
    <row r="4028">
      <c r="FC4028" t="inlineStr">
        <is>
          <t>Diccionario 4</t>
        </is>
      </c>
      <c r="FD4028" s="15" t="inlineStr">
        <is>
          <t>VFHW-51|</t>
        </is>
      </c>
      <c r="FE4028" s="15" t="inlineStr">
        <is>
          <t>LDYECS311S0043977</t>
        </is>
      </c>
      <c r="FF4028" s="15" t="inlineStr">
        <is>
          <t>MDN35025020058</t>
        </is>
      </c>
      <c r="FG4028" s="15" t="inlineStr">
        <is>
          <t>Zhong Tong</t>
        </is>
      </c>
      <c r="FH4028" s="15" t="inlineStr">
        <is>
          <t>Lck6122evg</t>
        </is>
      </c>
      <c r="FI4028" s="15" t="inlineStr">
        <is>
          <t>ZHONGTONG</t>
        </is>
      </c>
      <c r="FJ4028" s="15" t="inlineStr">
        <is>
          <t>LCK6122EVG</t>
        </is>
      </c>
      <c r="FK4028" s="15" t="n">
        <v>2025</v>
      </c>
      <c r="FL4028" s="15" t="inlineStr">
        <is>
          <t>B</t>
        </is>
      </c>
      <c r="FM4028" s="15" t="inlineStr">
        <is>
          <t>LOS LIBERTADORES</t>
        </is>
      </c>
      <c r="FN4028" s="15" t="inlineStr">
        <is>
          <t>Los Liberadores 6450, Lote 4A</t>
        </is>
      </c>
      <c r="FO4028" s="15" t="inlineStr">
        <is>
          <t>Huechuraba</t>
        </is>
      </c>
      <c r="FP4028" t="inlineStr">
        <is>
          <t>B</t>
        </is>
      </c>
    </row>
    <row r="4029">
      <c r="FC4029" t="inlineStr">
        <is>
          <t>Diccionario 4</t>
        </is>
      </c>
      <c r="FD4029" s="15" t="inlineStr">
        <is>
          <t>VFHW-63|</t>
        </is>
      </c>
      <c r="FE4029" s="15" t="inlineStr">
        <is>
          <t>LDYECS318S0043975</t>
        </is>
      </c>
      <c r="FF4029" s="15" t="inlineStr">
        <is>
          <t>MDN35025020063</t>
        </is>
      </c>
      <c r="FG4029" s="15" t="inlineStr">
        <is>
          <t>Zhong Tong</t>
        </is>
      </c>
      <c r="FH4029" s="15" t="inlineStr">
        <is>
          <t>Lck6122evg</t>
        </is>
      </c>
      <c r="FI4029" s="15" t="inlineStr">
        <is>
          <t>ZHONGTONG</t>
        </is>
      </c>
      <c r="FJ4029" s="15" t="inlineStr">
        <is>
          <t>LCK6122EVG</t>
        </is>
      </c>
      <c r="FK4029" s="15" t="n">
        <v>2025</v>
      </c>
      <c r="FL4029" s="15" t="inlineStr">
        <is>
          <t>B</t>
        </is>
      </c>
      <c r="FM4029" s="15" t="inlineStr">
        <is>
          <t>LOS LIBERTADORES</t>
        </is>
      </c>
      <c r="FN4029" s="15" t="inlineStr">
        <is>
          <t>Los Liberadores 6450, Lote 4A</t>
        </is>
      </c>
      <c r="FO4029" s="15" t="inlineStr">
        <is>
          <t>Huechuraba</t>
        </is>
      </c>
      <c r="FP4029" t="inlineStr">
        <is>
          <t>B</t>
        </is>
      </c>
    </row>
    <row r="4030">
      <c r="FC4030" t="inlineStr">
        <is>
          <t>Diccionario 4</t>
        </is>
      </c>
      <c r="FD4030" s="15" t="inlineStr">
        <is>
          <t>VFHK-27|</t>
        </is>
      </c>
      <c r="FE4030" s="15" t="inlineStr">
        <is>
          <t>LDYECS312S0043910</t>
        </is>
      </c>
      <c r="FF4030" s="15" t="inlineStr">
        <is>
          <t>MDN35025010079</t>
        </is>
      </c>
      <c r="FG4030" s="15" t="inlineStr">
        <is>
          <t>Zhong Tong</t>
        </is>
      </c>
      <c r="FH4030" s="15" t="inlineStr">
        <is>
          <t>Lck6122evg</t>
        </is>
      </c>
      <c r="FI4030" s="15" t="inlineStr">
        <is>
          <t>ZHONGTONG</t>
        </is>
      </c>
      <c r="FJ4030" s="15" t="inlineStr">
        <is>
          <t>LCK6122EVG</t>
        </is>
      </c>
      <c r="FK4030" s="15" t="n">
        <v>2025</v>
      </c>
      <c r="FL4030" s="15" t="inlineStr">
        <is>
          <t>B</t>
        </is>
      </c>
      <c r="FM4030" s="15" t="inlineStr">
        <is>
          <t>SAN JOSE</t>
        </is>
      </c>
      <c r="FN4030" s="15" t="inlineStr">
        <is>
          <t>San José 030 (José Besa 669)</t>
        </is>
      </c>
      <c r="FO4030" s="15" t="inlineStr">
        <is>
          <t>San Bernardo</t>
        </is>
      </c>
      <c r="FP4030" t="inlineStr">
        <is>
          <t>B</t>
        </is>
      </c>
    </row>
    <row r="4031">
      <c r="FC4031" t="inlineStr">
        <is>
          <t>Diccionario 4</t>
        </is>
      </c>
      <c r="FD4031" s="15" t="inlineStr">
        <is>
          <t>VFPB-70|</t>
        </is>
      </c>
      <c r="FE4031" s="15" t="inlineStr">
        <is>
          <t>LDYECS316S0043991</t>
        </is>
      </c>
      <c r="FF4031" s="15" t="inlineStr">
        <is>
          <t>MDN35025020122</t>
        </is>
      </c>
      <c r="FG4031" s="15" t="inlineStr">
        <is>
          <t>Zhong Tong</t>
        </is>
      </c>
      <c r="FH4031" s="15" t="inlineStr">
        <is>
          <t>Lck6122evg</t>
        </is>
      </c>
      <c r="FI4031" s="15" t="inlineStr">
        <is>
          <t>ZHONGTONG</t>
        </is>
      </c>
      <c r="FJ4031" s="15" t="inlineStr">
        <is>
          <t>LCK6122EVG</t>
        </is>
      </c>
      <c r="FK4031" s="15" t="n">
        <v>2025</v>
      </c>
      <c r="FL4031" s="15" t="inlineStr">
        <is>
          <t>B</t>
        </is>
      </c>
      <c r="FM4031" s="15" t="inlineStr">
        <is>
          <t>LOS LIBERTADORES</t>
        </is>
      </c>
      <c r="FN4031" s="15" t="inlineStr">
        <is>
          <t>Los Liberadores 6450, Lote 4A</t>
        </is>
      </c>
      <c r="FO4031" s="15" t="inlineStr">
        <is>
          <t>Huechuraba</t>
        </is>
      </c>
      <c r="FP4031" t="inlineStr">
        <is>
          <t>B</t>
        </is>
      </c>
    </row>
    <row r="4032">
      <c r="FC4032" t="inlineStr">
        <is>
          <t>Diccionario 4</t>
        </is>
      </c>
      <c r="FD4032" s="15" t="inlineStr">
        <is>
          <t>VFPC-10|</t>
        </is>
      </c>
      <c r="FE4032" s="15" t="inlineStr">
        <is>
          <t>LDYECS317S0044115</t>
        </is>
      </c>
      <c r="FF4032" s="15" t="inlineStr">
        <is>
          <t>MDN35025010018</t>
        </is>
      </c>
      <c r="FG4032" s="15" t="inlineStr">
        <is>
          <t>Zhong Tong</t>
        </is>
      </c>
      <c r="FH4032" s="15" t="inlineStr">
        <is>
          <t>Lck6122evg</t>
        </is>
      </c>
      <c r="FI4032" s="15" t="inlineStr">
        <is>
          <t>ZHONGTONG</t>
        </is>
      </c>
      <c r="FJ4032" s="15" t="inlineStr">
        <is>
          <t>LCK6122EVG</t>
        </is>
      </c>
      <c r="FK4032" s="15" t="n">
        <v>2025</v>
      </c>
      <c r="FL4032" s="15" t="inlineStr">
        <is>
          <t>B</t>
        </is>
      </c>
      <c r="FM4032" s="15" t="inlineStr">
        <is>
          <t>LOS LIBERTADORES</t>
        </is>
      </c>
      <c r="FN4032" s="15" t="inlineStr">
        <is>
          <t>Los Liberadores 6450, Lote 4A</t>
        </is>
      </c>
      <c r="FO4032" s="15" t="inlineStr">
        <is>
          <t>Huechuraba</t>
        </is>
      </c>
      <c r="FP4032" t="inlineStr">
        <is>
          <t>B</t>
        </is>
      </c>
    </row>
    <row r="4033">
      <c r="FC4033" t="inlineStr">
        <is>
          <t>Diccionario 4</t>
        </is>
      </c>
      <c r="FD4033" s="15" t="inlineStr">
        <is>
          <t>VFPC-31|</t>
        </is>
      </c>
      <c r="FE4033" s="15" t="inlineStr">
        <is>
          <t>LDYECS315S0043996</t>
        </is>
      </c>
      <c r="FF4033" s="15" t="inlineStr">
        <is>
          <t>MDN35025020055</t>
        </is>
      </c>
      <c r="FG4033" s="15" t="inlineStr">
        <is>
          <t>Zhong Tong</t>
        </is>
      </c>
      <c r="FH4033" s="15" t="inlineStr">
        <is>
          <t>Lck6122evg</t>
        </is>
      </c>
      <c r="FI4033" s="15" t="inlineStr">
        <is>
          <t>ZHONGTONG</t>
        </is>
      </c>
      <c r="FJ4033" s="15" t="inlineStr">
        <is>
          <t>LCK6122EVG</t>
        </is>
      </c>
      <c r="FK4033" s="15" t="n">
        <v>2025</v>
      </c>
      <c r="FL4033" s="15" t="inlineStr">
        <is>
          <t>B</t>
        </is>
      </c>
      <c r="FM4033" s="15" t="inlineStr">
        <is>
          <t>LOS LIBERTADORES</t>
        </is>
      </c>
      <c r="FN4033" s="15" t="inlineStr">
        <is>
          <t>Los Liberadores 6450, Lote 4A</t>
        </is>
      </c>
      <c r="FO4033" s="15" t="inlineStr">
        <is>
          <t>Huechuraba</t>
        </is>
      </c>
      <c r="FP4033" t="inlineStr">
        <is>
          <t>B</t>
        </is>
      </c>
    </row>
    <row r="4034">
      <c r="FC4034" t="inlineStr">
        <is>
          <t>Diccionario 4</t>
        </is>
      </c>
      <c r="FD4034" s="15" t="inlineStr">
        <is>
          <t>VFPC-80|</t>
        </is>
      </c>
      <c r="FE4034" s="15" t="inlineStr">
        <is>
          <t>LDYECS313S0043978</t>
        </is>
      </c>
      <c r="FF4034" s="15" t="inlineStr">
        <is>
          <t>MDN35025020093</t>
        </is>
      </c>
      <c r="FG4034" s="15" t="inlineStr">
        <is>
          <t>Zhong Tong</t>
        </is>
      </c>
      <c r="FH4034" s="15" t="inlineStr">
        <is>
          <t>Lck6122evg</t>
        </is>
      </c>
      <c r="FI4034" s="15" t="inlineStr">
        <is>
          <t>ZHONGTONG</t>
        </is>
      </c>
      <c r="FJ4034" s="15" t="inlineStr">
        <is>
          <t>LCK6122EVG</t>
        </is>
      </c>
      <c r="FK4034" s="15" t="n">
        <v>2025</v>
      </c>
      <c r="FL4034" s="15" t="inlineStr">
        <is>
          <t>B</t>
        </is>
      </c>
      <c r="FM4034" s="15" t="inlineStr">
        <is>
          <t>LOS LIBERTADORES</t>
        </is>
      </c>
      <c r="FN4034" s="15" t="inlineStr">
        <is>
          <t>Los Liberadores 6450, Lote 4A</t>
        </is>
      </c>
      <c r="FO4034" s="15" t="inlineStr">
        <is>
          <t>Huechuraba</t>
        </is>
      </c>
      <c r="FP4034" t="inlineStr">
        <is>
          <t>B</t>
        </is>
      </c>
    </row>
    <row r="4035">
      <c r="FC4035" t="inlineStr">
        <is>
          <t>Diccionario 4</t>
        </is>
      </c>
      <c r="FD4035" s="15" t="inlineStr">
        <is>
          <t>VFPC-51|</t>
        </is>
      </c>
      <c r="FE4035" s="15" t="inlineStr">
        <is>
          <t>LDYECS31XS0044027</t>
        </is>
      </c>
      <c r="FF4035" s="15" t="inlineStr">
        <is>
          <t>MDN35025020112</t>
        </is>
      </c>
      <c r="FG4035" s="15" t="inlineStr">
        <is>
          <t>Zhong Tong</t>
        </is>
      </c>
      <c r="FH4035" s="15" t="inlineStr">
        <is>
          <t>Lck6122evg</t>
        </is>
      </c>
      <c r="FI4035" s="15" t="inlineStr">
        <is>
          <t>ZHONGTONG</t>
        </is>
      </c>
      <c r="FJ4035" s="15" t="inlineStr">
        <is>
          <t>LCK6122EVG</t>
        </is>
      </c>
      <c r="FK4035" s="15" t="n">
        <v>2025</v>
      </c>
      <c r="FL4035" s="15" t="inlineStr">
        <is>
          <t>B</t>
        </is>
      </c>
      <c r="FM4035" s="15" t="inlineStr">
        <is>
          <t>LOS LIBERTADORES</t>
        </is>
      </c>
      <c r="FN4035" s="15" t="inlineStr">
        <is>
          <t>Los Liberadores 6450, Lote 4A</t>
        </is>
      </c>
      <c r="FO4035" s="15" t="inlineStr">
        <is>
          <t>Huechuraba</t>
        </is>
      </c>
      <c r="FP4035" t="inlineStr">
        <is>
          <t>B</t>
        </is>
      </c>
    </row>
    <row r="4036">
      <c r="FC4036" t="inlineStr">
        <is>
          <t>Diccionario 4</t>
        </is>
      </c>
      <c r="FD4036" s="15" t="inlineStr">
        <is>
          <t>VFPD-84|</t>
        </is>
      </c>
      <c r="FE4036" s="15" t="inlineStr">
        <is>
          <t>LDYECS315S0043982</t>
        </is>
      </c>
      <c r="FF4036" s="15" t="inlineStr">
        <is>
          <t>MDN35025020067</t>
        </is>
      </c>
      <c r="FG4036" s="15" t="inlineStr">
        <is>
          <t>Zhong Tong</t>
        </is>
      </c>
      <c r="FH4036" s="15" t="inlineStr">
        <is>
          <t>Lck6122evg</t>
        </is>
      </c>
      <c r="FI4036" s="15" t="inlineStr">
        <is>
          <t>ZHONGTONG</t>
        </is>
      </c>
      <c r="FJ4036" s="15" t="inlineStr">
        <is>
          <t>LCK6122EVG</t>
        </is>
      </c>
      <c r="FK4036" s="15" t="n">
        <v>2025</v>
      </c>
      <c r="FL4036" s="15" t="inlineStr">
        <is>
          <t>B</t>
        </is>
      </c>
      <c r="FM4036" s="15" t="inlineStr">
        <is>
          <t>LOS LIBERTADORES</t>
        </is>
      </c>
      <c r="FN4036" s="15" t="inlineStr">
        <is>
          <t>Los Liberadores 6450, Lote 4A</t>
        </is>
      </c>
      <c r="FO4036" s="15" t="inlineStr">
        <is>
          <t>Huechuraba</t>
        </is>
      </c>
      <c r="FP4036" t="inlineStr">
        <is>
          <t>B</t>
        </is>
      </c>
    </row>
    <row r="4037">
      <c r="FC4037" t="inlineStr">
        <is>
          <t>Diccionario 4</t>
        </is>
      </c>
      <c r="FD4037" s="15" t="inlineStr">
        <is>
          <t>VFPD-94|</t>
        </is>
      </c>
      <c r="FE4037" s="15" t="inlineStr">
        <is>
          <t>LDYECS317S0043997</t>
        </is>
      </c>
      <c r="FF4037" s="15" t="inlineStr">
        <is>
          <t>MDN35025020022</t>
        </is>
      </c>
      <c r="FG4037" s="15" t="inlineStr">
        <is>
          <t>Zhong Tong</t>
        </is>
      </c>
      <c r="FH4037" s="15" t="inlineStr">
        <is>
          <t>Lck6122evg</t>
        </is>
      </c>
      <c r="FI4037" s="15" t="inlineStr">
        <is>
          <t>ZHONGTONG</t>
        </is>
      </c>
      <c r="FJ4037" s="15" t="inlineStr">
        <is>
          <t>LCK6122EVG</t>
        </is>
      </c>
      <c r="FK4037" s="15" t="n">
        <v>2025</v>
      </c>
      <c r="FL4037" s="15" t="inlineStr">
        <is>
          <t>B</t>
        </is>
      </c>
      <c r="FM4037" s="15" t="inlineStr">
        <is>
          <t>LOS LIBERTADORES</t>
        </is>
      </c>
      <c r="FN4037" s="15" t="inlineStr">
        <is>
          <t>Los Liberadores 6450, Lote 4A</t>
        </is>
      </c>
      <c r="FO4037" s="15" t="inlineStr">
        <is>
          <t>Huechuraba</t>
        </is>
      </c>
      <c r="FP4037" t="inlineStr">
        <is>
          <t>B</t>
        </is>
      </c>
    </row>
    <row r="4038">
      <c r="FC4038" t="inlineStr">
        <is>
          <t>Diccionario 4</t>
        </is>
      </c>
      <c r="FD4038" s="15" t="inlineStr">
        <is>
          <t>VFHL-60|</t>
        </is>
      </c>
      <c r="FE4038" s="15" t="inlineStr">
        <is>
          <t>LDYECS314S0043911</t>
        </is>
      </c>
      <c r="FF4038" s="15" t="inlineStr">
        <is>
          <t>MDN35025010115</t>
        </is>
      </c>
      <c r="FG4038" s="15" t="inlineStr">
        <is>
          <t>Zhong Tong</t>
        </is>
      </c>
      <c r="FH4038" s="15" t="inlineStr">
        <is>
          <t>Lck6122evg</t>
        </is>
      </c>
      <c r="FI4038" s="15" t="inlineStr">
        <is>
          <t>ZHONGTONG</t>
        </is>
      </c>
      <c r="FJ4038" s="15" t="inlineStr">
        <is>
          <t>LCK6122EVG</t>
        </is>
      </c>
      <c r="FK4038" s="15" t="n">
        <v>2025</v>
      </c>
      <c r="FL4038" s="15" t="inlineStr">
        <is>
          <t>B</t>
        </is>
      </c>
      <c r="FM4038" s="15" t="inlineStr">
        <is>
          <t>LOS LIBERTADORES</t>
        </is>
      </c>
      <c r="FN4038" s="15" t="inlineStr">
        <is>
          <t>Los Liberadores 6450, Lote 4A</t>
        </is>
      </c>
      <c r="FO4038" s="15" t="inlineStr">
        <is>
          <t>Huechuraba</t>
        </is>
      </c>
      <c r="FP4038" t="inlineStr">
        <is>
          <t>B</t>
        </is>
      </c>
    </row>
    <row r="4039">
      <c r="FC4039" t="inlineStr">
        <is>
          <t>Diccionario 4</t>
        </is>
      </c>
      <c r="FD4039" s="15" t="inlineStr">
        <is>
          <t>VFHK-31|</t>
        </is>
      </c>
      <c r="FE4039" s="15" t="inlineStr">
        <is>
          <t>LDYECS314S0043925</t>
        </is>
      </c>
      <c r="FF4039" s="15" t="inlineStr">
        <is>
          <t>MDN35025010120</t>
        </is>
      </c>
      <c r="FG4039" s="15" t="inlineStr">
        <is>
          <t>Zhong Tong</t>
        </is>
      </c>
      <c r="FH4039" s="15" t="inlineStr">
        <is>
          <t>Lck6122evg</t>
        </is>
      </c>
      <c r="FI4039" s="15" t="inlineStr">
        <is>
          <t>ZHONGTONG</t>
        </is>
      </c>
      <c r="FJ4039" s="15" t="inlineStr">
        <is>
          <t>LCK6122EVG</t>
        </is>
      </c>
      <c r="FK4039" s="15" t="n">
        <v>2025</v>
      </c>
      <c r="FL4039" s="15" t="inlineStr">
        <is>
          <t>B</t>
        </is>
      </c>
      <c r="FM4039" s="15" t="inlineStr">
        <is>
          <t>SAN JOSE</t>
        </is>
      </c>
      <c r="FN4039" s="15" t="inlineStr">
        <is>
          <t>San José 030 (José Besa 669)</t>
        </is>
      </c>
      <c r="FO4039" s="15" t="inlineStr">
        <is>
          <t>San Bernardo</t>
        </is>
      </c>
      <c r="FP4039" t="inlineStr">
        <is>
          <t>B</t>
        </is>
      </c>
    </row>
    <row r="4040">
      <c r="FC4040" t="inlineStr">
        <is>
          <t>Diccionario 4</t>
        </is>
      </c>
      <c r="FD4040" s="15" t="inlineStr">
        <is>
          <t>VFHK-58|</t>
        </is>
      </c>
      <c r="FE4040" s="15" t="inlineStr">
        <is>
          <t>LDYECS315S0043898</t>
        </is>
      </c>
      <c r="FF4040" s="15" t="inlineStr">
        <is>
          <t>MDN35025010184</t>
        </is>
      </c>
      <c r="FG4040" s="15" t="inlineStr">
        <is>
          <t>Zhong Tong</t>
        </is>
      </c>
      <c r="FH4040" s="15" t="inlineStr">
        <is>
          <t>Lck6122evg</t>
        </is>
      </c>
      <c r="FI4040" s="15" t="inlineStr">
        <is>
          <t>ZHONGTONG</t>
        </is>
      </c>
      <c r="FJ4040" s="15" t="inlineStr">
        <is>
          <t>LCK6122EVG</t>
        </is>
      </c>
      <c r="FK4040" s="15" t="n">
        <v>2025</v>
      </c>
      <c r="FL4040" s="15" t="inlineStr">
        <is>
          <t>B</t>
        </is>
      </c>
      <c r="FM4040" s="15" t="inlineStr">
        <is>
          <t>SAN JOSE</t>
        </is>
      </c>
      <c r="FN4040" s="15" t="inlineStr">
        <is>
          <t>San José 030 (José Besa 669)</t>
        </is>
      </c>
      <c r="FO4040" s="15" t="inlineStr">
        <is>
          <t>San Bernardo</t>
        </is>
      </c>
      <c r="FP4040" t="inlineStr">
        <is>
          <t>B</t>
        </is>
      </c>
    </row>
    <row r="4041">
      <c r="FC4041" t="inlineStr">
        <is>
          <t>Diccionario 4</t>
        </is>
      </c>
      <c r="FD4041" s="15" t="inlineStr">
        <is>
          <t>VFHK-69|</t>
        </is>
      </c>
      <c r="FE4041" s="15" t="inlineStr">
        <is>
          <t>LDYECS316S0043909</t>
        </is>
      </c>
      <c r="FF4041" s="15" t="inlineStr">
        <is>
          <t>MDN35025010068</t>
        </is>
      </c>
      <c r="FG4041" s="15" t="inlineStr">
        <is>
          <t>Zhong Tong</t>
        </is>
      </c>
      <c r="FH4041" s="15" t="inlineStr">
        <is>
          <t>Lck6122evg</t>
        </is>
      </c>
      <c r="FI4041" s="15" t="inlineStr">
        <is>
          <t>ZHONGTONG</t>
        </is>
      </c>
      <c r="FJ4041" s="15" t="inlineStr">
        <is>
          <t>LCK6122EVG</t>
        </is>
      </c>
      <c r="FK4041" s="15" t="n">
        <v>2025</v>
      </c>
      <c r="FL4041" s="15" t="inlineStr">
        <is>
          <t>B</t>
        </is>
      </c>
      <c r="FM4041" s="15" t="inlineStr">
        <is>
          <t>SAN JOSE</t>
        </is>
      </c>
      <c r="FN4041" s="15" t="inlineStr">
        <is>
          <t>San José 030 (José Besa 669)</t>
        </is>
      </c>
      <c r="FO4041" s="15" t="inlineStr">
        <is>
          <t>San Bernardo</t>
        </is>
      </c>
      <c r="FP4041" t="inlineStr">
        <is>
          <t>B</t>
        </is>
      </c>
    </row>
    <row r="4042">
      <c r="FC4042" t="inlineStr">
        <is>
          <t>Diccionario 4</t>
        </is>
      </c>
      <c r="FD4042" s="15" t="inlineStr">
        <is>
          <t>VFHK-89|</t>
        </is>
      </c>
      <c r="FE4042" s="15" t="inlineStr">
        <is>
          <t>LDYECS316S0043943</t>
        </is>
      </c>
      <c r="FF4042" s="15" t="inlineStr">
        <is>
          <t>MDN35025010049</t>
        </is>
      </c>
      <c r="FG4042" s="15" t="inlineStr">
        <is>
          <t>Zhong Tong</t>
        </is>
      </c>
      <c r="FH4042" s="15" t="inlineStr">
        <is>
          <t>Lck6122evg</t>
        </is>
      </c>
      <c r="FI4042" s="15" t="inlineStr">
        <is>
          <t>ZHONGTONG</t>
        </is>
      </c>
      <c r="FJ4042" s="15" t="inlineStr">
        <is>
          <t>LCK6122EVG</t>
        </is>
      </c>
      <c r="FK4042" s="15" t="n">
        <v>2025</v>
      </c>
      <c r="FL4042" s="15" t="inlineStr">
        <is>
          <t>B</t>
        </is>
      </c>
      <c r="FM4042" s="15" t="inlineStr">
        <is>
          <t>CERRILLOS</t>
        </is>
      </c>
      <c r="FN4042" s="15" t="inlineStr">
        <is>
          <t>Calle Uno 7371</t>
        </is>
      </c>
      <c r="FO4042" s="15" t="inlineStr">
        <is>
          <t>Estacion Central</t>
        </is>
      </c>
      <c r="FP4042" t="inlineStr">
        <is>
          <t>B</t>
        </is>
      </c>
    </row>
    <row r="4043">
      <c r="FC4043" t="inlineStr">
        <is>
          <t>Diccionario 4</t>
        </is>
      </c>
      <c r="FD4043" s="15" t="inlineStr">
        <is>
          <t>VFHK-96|</t>
        </is>
      </c>
      <c r="FE4043" s="15" t="inlineStr">
        <is>
          <t>LDYECS319S0043905</t>
        </is>
      </c>
      <c r="FF4043" s="15" t="inlineStr">
        <is>
          <t>MDN35025010108</t>
        </is>
      </c>
      <c r="FG4043" s="15" t="inlineStr">
        <is>
          <t>Zhong Tong</t>
        </is>
      </c>
      <c r="FH4043" s="15" t="inlineStr">
        <is>
          <t>Lck6122evg</t>
        </is>
      </c>
      <c r="FI4043" s="15" t="inlineStr">
        <is>
          <t>ZHONGTONG</t>
        </is>
      </c>
      <c r="FJ4043" s="15" t="inlineStr">
        <is>
          <t>LCK6122EVG</t>
        </is>
      </c>
      <c r="FK4043" s="15" t="n">
        <v>2025</v>
      </c>
      <c r="FL4043" s="15" t="inlineStr">
        <is>
          <t>B</t>
        </is>
      </c>
      <c r="FM4043" s="15" t="inlineStr">
        <is>
          <t>SAN ALFONSO</t>
        </is>
      </c>
      <c r="FN4043" s="15" t="inlineStr">
        <is>
          <t>San Alfonso 2141 (Ramón Subercaseaux 3060)</t>
        </is>
      </c>
      <c r="FO4043" s="15" t="inlineStr">
        <is>
          <t>Estacion Central</t>
        </is>
      </c>
      <c r="FP4043" t="inlineStr">
        <is>
          <t>B</t>
        </is>
      </c>
    </row>
    <row r="4044">
      <c r="FC4044" t="inlineStr">
        <is>
          <t>Diccionario 4</t>
        </is>
      </c>
      <c r="FD4044" s="15" t="inlineStr">
        <is>
          <t>GCBF-42|</t>
        </is>
      </c>
      <c r="FE4044" s="15" t="inlineStr">
        <is>
          <t>YV3T7U520JA189191</t>
        </is>
      </c>
      <c r="FF4044" s="15" t="n">
        <v>451887</v>
      </c>
      <c r="FG4044" s="15" t="inlineStr">
        <is>
          <t>Volvo</t>
        </is>
      </c>
      <c r="FH4044" s="15" t="inlineStr">
        <is>
          <t>B8RLEA</t>
        </is>
      </c>
      <c r="FI4044" s="15" t="inlineStr">
        <is>
          <t>MARCOPOLO</t>
        </is>
      </c>
      <c r="FJ4044" s="15" t="inlineStr">
        <is>
          <t>TORINO</t>
        </is>
      </c>
      <c r="FK4044" s="15" t="n">
        <v>2020</v>
      </c>
      <c r="FL4044" s="15" t="inlineStr">
        <is>
          <t>C</t>
        </is>
      </c>
      <c r="FM4044" s="15" t="inlineStr">
        <is>
          <t>SAN ALFONSO</t>
        </is>
      </c>
      <c r="FN4044" s="15" t="inlineStr">
        <is>
          <t>San Alfonso 2141 (Ramón Subercaseaux 3060)</t>
        </is>
      </c>
      <c r="FO4044" s="15" t="inlineStr">
        <is>
          <t>Estacion Central</t>
        </is>
      </c>
      <c r="FP4044" t="inlineStr">
        <is>
          <t>C</t>
        </is>
      </c>
    </row>
    <row r="4045">
      <c r="FC4045" t="inlineStr">
        <is>
          <t>Diccionario 4</t>
        </is>
      </c>
      <c r="FD4045" s="15" t="inlineStr">
        <is>
          <t>LZRB-89|</t>
        </is>
      </c>
      <c r="FE4045" s="15" t="inlineStr">
        <is>
          <t>YV3T7U523LA201711</t>
        </is>
      </c>
      <c r="FF4045" s="15" t="n">
        <v>508408</v>
      </c>
      <c r="FG4045" s="15" t="inlineStr">
        <is>
          <t>Volvo</t>
        </is>
      </c>
      <c r="FH4045" s="15" t="inlineStr">
        <is>
          <t>B8RLEA</t>
        </is>
      </c>
      <c r="FI4045" s="15" t="inlineStr">
        <is>
          <t>MARCOPOLO</t>
        </is>
      </c>
      <c r="FJ4045" s="15" t="inlineStr">
        <is>
          <t>GRAN VIALE</t>
        </is>
      </c>
      <c r="FK4045" s="15" t="n">
        <v>2020</v>
      </c>
      <c r="FL4045" s="15" t="inlineStr">
        <is>
          <t>C</t>
        </is>
      </c>
      <c r="FM4045" s="15" t="inlineStr">
        <is>
          <t>PIE ANDINO</t>
        </is>
      </c>
      <c r="FN4045" s="15" t="inlineStr">
        <is>
          <t>Pie Andino 31 (Pie Andino 383)</t>
        </is>
      </c>
      <c r="FO4045" s="15" t="inlineStr">
        <is>
          <t>Puente Alto</t>
        </is>
      </c>
      <c r="FP4045" t="inlineStr">
        <is>
          <t>C</t>
        </is>
      </c>
    </row>
    <row r="4046">
      <c r="FC4046" t="inlineStr">
        <is>
          <t>Diccionario 4</t>
        </is>
      </c>
      <c r="FD4046" s="15" t="inlineStr">
        <is>
          <t>LZRB-90|</t>
        </is>
      </c>
      <c r="FE4046" s="15" t="inlineStr">
        <is>
          <t>YV3T7U527LA201923</t>
        </is>
      </c>
      <c r="FF4046" s="15" t="n">
        <v>509327</v>
      </c>
      <c r="FG4046" s="15" t="inlineStr">
        <is>
          <t>Volvo</t>
        </is>
      </c>
      <c r="FH4046" s="15" t="inlineStr">
        <is>
          <t>B8RLEA</t>
        </is>
      </c>
      <c r="FI4046" s="15" t="inlineStr">
        <is>
          <t>MARCOPOLO</t>
        </is>
      </c>
      <c r="FJ4046" s="15" t="inlineStr">
        <is>
          <t>GRAN VIALE</t>
        </is>
      </c>
      <c r="FK4046" s="15" t="n">
        <v>2020</v>
      </c>
      <c r="FL4046" s="15" t="inlineStr">
        <is>
          <t>C</t>
        </is>
      </c>
      <c r="FM4046" s="15" t="inlineStr">
        <is>
          <t>PIE ANDINO</t>
        </is>
      </c>
      <c r="FN4046" s="15" t="inlineStr">
        <is>
          <t>Pie Andino 31 (Pie Andino 383)</t>
        </is>
      </c>
      <c r="FO4046" s="15" t="inlineStr">
        <is>
          <t>Puente Alto</t>
        </is>
      </c>
      <c r="FP4046" t="inlineStr">
        <is>
          <t>C</t>
        </is>
      </c>
    </row>
    <row r="4047">
      <c r="FC4047" t="inlineStr">
        <is>
          <t>Diccionario 4</t>
        </is>
      </c>
      <c r="FD4047" s="15" t="inlineStr">
        <is>
          <t>LZRB-91|</t>
        </is>
      </c>
      <c r="FE4047" s="15" t="inlineStr">
        <is>
          <t>YV3T7U525LA201709</t>
        </is>
      </c>
      <c r="FF4047" s="15" t="n">
        <v>508437</v>
      </c>
      <c r="FG4047" s="15" t="inlineStr">
        <is>
          <t>Volvo</t>
        </is>
      </c>
      <c r="FH4047" s="15" t="inlineStr">
        <is>
          <t>B8RLEA</t>
        </is>
      </c>
      <c r="FI4047" s="15" t="inlineStr">
        <is>
          <t>MARCOPOLO</t>
        </is>
      </c>
      <c r="FJ4047" s="15" t="inlineStr">
        <is>
          <t>GRAN VIALE</t>
        </is>
      </c>
      <c r="FK4047" s="15" t="n">
        <v>2020</v>
      </c>
      <c r="FL4047" s="15" t="inlineStr">
        <is>
          <t>C</t>
        </is>
      </c>
      <c r="FM4047" s="15" t="inlineStr">
        <is>
          <t>PIE ANDINO</t>
        </is>
      </c>
      <c r="FN4047" s="15" t="inlineStr">
        <is>
          <t>Pie Andino 31 (Pie Andino 383)</t>
        </is>
      </c>
      <c r="FO4047" s="15" t="inlineStr">
        <is>
          <t>Puente Alto</t>
        </is>
      </c>
      <c r="FP4047" t="inlineStr">
        <is>
          <t>C</t>
        </is>
      </c>
    </row>
    <row r="4048">
      <c r="FC4048" t="inlineStr">
        <is>
          <t>Diccionario 4</t>
        </is>
      </c>
      <c r="FD4048" s="15" t="inlineStr">
        <is>
          <t>LZRB-92|</t>
        </is>
      </c>
      <c r="FE4048" s="15" t="inlineStr">
        <is>
          <t>YV3T7U520LA201665</t>
        </is>
      </c>
      <c r="FF4048" s="15" t="n">
        <v>508572</v>
      </c>
      <c r="FG4048" s="15" t="inlineStr">
        <is>
          <t>Volvo</t>
        </is>
      </c>
      <c r="FH4048" s="15" t="inlineStr">
        <is>
          <t>B8RLEA</t>
        </is>
      </c>
      <c r="FI4048" s="15" t="inlineStr">
        <is>
          <t>MARCOPOLO</t>
        </is>
      </c>
      <c r="FJ4048" s="15" t="inlineStr">
        <is>
          <t>GRAN VIALE</t>
        </is>
      </c>
      <c r="FK4048" s="15" t="n">
        <v>2020</v>
      </c>
      <c r="FL4048" s="15" t="inlineStr">
        <is>
          <t>C</t>
        </is>
      </c>
      <c r="FM4048" s="15" t="inlineStr">
        <is>
          <t>PIE ANDINO</t>
        </is>
      </c>
      <c r="FN4048" s="15" t="inlineStr">
        <is>
          <t>Pie Andino 31 (Pie Andino 383)</t>
        </is>
      </c>
      <c r="FO4048" s="15" t="inlineStr">
        <is>
          <t>Puente Alto</t>
        </is>
      </c>
      <c r="FP4048" t="inlineStr">
        <is>
          <t>C</t>
        </is>
      </c>
    </row>
    <row r="4049">
      <c r="FC4049" t="inlineStr">
        <is>
          <t>Diccionario 4</t>
        </is>
      </c>
      <c r="FD4049" s="15" t="inlineStr">
        <is>
          <t>LZRB-93|</t>
        </is>
      </c>
      <c r="FE4049" s="15" t="inlineStr">
        <is>
          <t>YV3T7U521LA201710</t>
        </is>
      </c>
      <c r="FF4049" s="15" t="n">
        <v>508361</v>
      </c>
      <c r="FG4049" s="15" t="inlineStr">
        <is>
          <t>Volvo</t>
        </is>
      </c>
      <c r="FH4049" s="15" t="inlineStr">
        <is>
          <t>B8RLEA</t>
        </is>
      </c>
      <c r="FI4049" s="15" t="inlineStr">
        <is>
          <t>MARCOPOLO</t>
        </is>
      </c>
      <c r="FJ4049" s="15" t="inlineStr">
        <is>
          <t>GRAN VIALE</t>
        </is>
      </c>
      <c r="FK4049" s="15" t="n">
        <v>2020</v>
      </c>
      <c r="FL4049" s="15" t="inlineStr">
        <is>
          <t>C</t>
        </is>
      </c>
      <c r="FM4049" s="15" t="inlineStr">
        <is>
          <t>PIE ANDINO</t>
        </is>
      </c>
      <c r="FN4049" s="15" t="inlineStr">
        <is>
          <t>Pie Andino 31 (Pie Andino 383)</t>
        </is>
      </c>
      <c r="FO4049" s="15" t="inlineStr">
        <is>
          <t>Puente Alto</t>
        </is>
      </c>
      <c r="FP4049" t="inlineStr">
        <is>
          <t>C</t>
        </is>
      </c>
    </row>
    <row r="4050">
      <c r="FC4050" t="inlineStr">
        <is>
          <t>Diccionario 4</t>
        </is>
      </c>
      <c r="FD4050" s="15" t="inlineStr">
        <is>
          <t>LZRB-94|</t>
        </is>
      </c>
      <c r="FE4050" s="15" t="inlineStr">
        <is>
          <t>YV3T7U526LA201699</t>
        </is>
      </c>
      <c r="FF4050" s="15" t="n">
        <v>508380</v>
      </c>
      <c r="FG4050" s="15" t="inlineStr">
        <is>
          <t>Volvo</t>
        </is>
      </c>
      <c r="FH4050" s="15" t="inlineStr">
        <is>
          <t>B8RLEA</t>
        </is>
      </c>
      <c r="FI4050" s="15" t="inlineStr">
        <is>
          <t>MARCOPOLO</t>
        </is>
      </c>
      <c r="FJ4050" s="15" t="inlineStr">
        <is>
          <t>GRAN VIALE</t>
        </is>
      </c>
      <c r="FK4050" s="15" t="n">
        <v>2020</v>
      </c>
      <c r="FL4050" s="15" t="inlineStr">
        <is>
          <t>C</t>
        </is>
      </c>
      <c r="FM4050" s="15" t="inlineStr">
        <is>
          <t>PIE ANDINO</t>
        </is>
      </c>
      <c r="FN4050" s="15" t="inlineStr">
        <is>
          <t>Pie Andino 31 (Pie Andino 383)</t>
        </is>
      </c>
      <c r="FO4050" s="15" t="inlineStr">
        <is>
          <t>Puente Alto</t>
        </is>
      </c>
      <c r="FP4050" t="inlineStr">
        <is>
          <t>C</t>
        </is>
      </c>
    </row>
    <row r="4051">
      <c r="FC4051" t="inlineStr">
        <is>
          <t>Diccionario 4</t>
        </is>
      </c>
      <c r="FD4051" s="15" t="inlineStr">
        <is>
          <t>LZRB-95|</t>
        </is>
      </c>
      <c r="FE4051" s="15" t="inlineStr">
        <is>
          <t>YV3T7U522LA201697</t>
        </is>
      </c>
      <c r="FF4051" s="15" t="n">
        <v>508444</v>
      </c>
      <c r="FG4051" s="15" t="inlineStr">
        <is>
          <t>Volvo</t>
        </is>
      </c>
      <c r="FH4051" s="15" t="inlineStr">
        <is>
          <t>B8RLEA</t>
        </is>
      </c>
      <c r="FI4051" s="15" t="inlineStr">
        <is>
          <t>MARCOPOLO</t>
        </is>
      </c>
      <c r="FJ4051" s="15" t="inlineStr">
        <is>
          <t>GRAN VIALE</t>
        </is>
      </c>
      <c r="FK4051" s="15" t="n">
        <v>2020</v>
      </c>
      <c r="FL4051" s="15" t="inlineStr">
        <is>
          <t>C</t>
        </is>
      </c>
      <c r="FM4051" s="15" t="inlineStr">
        <is>
          <t>PIE ANDINO</t>
        </is>
      </c>
      <c r="FN4051" s="15" t="inlineStr">
        <is>
          <t>Pie Andino 31 (Pie Andino 383)</t>
        </is>
      </c>
      <c r="FO4051" s="15" t="inlineStr">
        <is>
          <t>Puente Alto</t>
        </is>
      </c>
      <c r="FP4051" t="inlineStr">
        <is>
          <t>C</t>
        </is>
      </c>
    </row>
    <row r="4052">
      <c r="FC4052" t="inlineStr">
        <is>
          <t>Diccionario 4</t>
        </is>
      </c>
      <c r="FD4052" s="15" t="inlineStr">
        <is>
          <t>LZRB-96|</t>
        </is>
      </c>
      <c r="FE4052" s="15" t="inlineStr">
        <is>
          <t>YV3T7U524LA201698</t>
        </is>
      </c>
      <c r="FF4052" s="15" t="n">
        <v>508467</v>
      </c>
      <c r="FG4052" s="15" t="inlineStr">
        <is>
          <t>Volvo</t>
        </is>
      </c>
      <c r="FH4052" s="15" t="inlineStr">
        <is>
          <t>B8RLEA</t>
        </is>
      </c>
      <c r="FI4052" s="15" t="inlineStr">
        <is>
          <t>MARCOPOLO</t>
        </is>
      </c>
      <c r="FJ4052" s="15" t="inlineStr">
        <is>
          <t>GRAN VIALE</t>
        </is>
      </c>
      <c r="FK4052" s="15" t="n">
        <v>2020</v>
      </c>
      <c r="FL4052" s="15" t="inlineStr">
        <is>
          <t>C</t>
        </is>
      </c>
      <c r="FM4052" s="15" t="inlineStr">
        <is>
          <t>PIE ANDINO</t>
        </is>
      </c>
      <c r="FN4052" s="15" t="inlineStr">
        <is>
          <t>Pie Andino 31 (Pie Andino 383)</t>
        </is>
      </c>
      <c r="FO4052" s="15" t="inlineStr">
        <is>
          <t>Puente Alto</t>
        </is>
      </c>
      <c r="FP4052" t="inlineStr">
        <is>
          <t>C</t>
        </is>
      </c>
    </row>
    <row r="4053">
      <c r="FC4053" t="inlineStr">
        <is>
          <t>Diccionario 4</t>
        </is>
      </c>
      <c r="FD4053" s="15" t="inlineStr">
        <is>
          <t>LZRD-61|</t>
        </is>
      </c>
      <c r="FE4053" s="15" t="inlineStr">
        <is>
          <t>YV3T7U523LA198728</t>
        </is>
      </c>
      <c r="FF4053" s="15" t="n">
        <v>508196</v>
      </c>
      <c r="FG4053" s="15" t="inlineStr">
        <is>
          <t>Volvo</t>
        </is>
      </c>
      <c r="FH4053" s="15" t="inlineStr">
        <is>
          <t>B8RLEA</t>
        </is>
      </c>
      <c r="FI4053" s="15" t="inlineStr">
        <is>
          <t>MARCOPOLO</t>
        </is>
      </c>
      <c r="FJ4053" s="15" t="inlineStr">
        <is>
          <t>GRAN VIALE</t>
        </is>
      </c>
      <c r="FK4053" s="15" t="n">
        <v>2020</v>
      </c>
      <c r="FL4053" s="15" t="inlineStr">
        <is>
          <t>C</t>
        </is>
      </c>
      <c r="FM4053" s="15" t="inlineStr">
        <is>
          <t>PIE ANDINO</t>
        </is>
      </c>
      <c r="FN4053" s="15" t="inlineStr">
        <is>
          <t>Pie Andino 31 (Pie Andino 383)</t>
        </is>
      </c>
      <c r="FO4053" s="15" t="inlineStr">
        <is>
          <t>Puente Alto</t>
        </is>
      </c>
      <c r="FP4053" t="inlineStr">
        <is>
          <t>C</t>
        </is>
      </c>
    </row>
    <row r="4054">
      <c r="FC4054" t="inlineStr">
        <is>
          <t>Diccionario 4</t>
        </is>
      </c>
      <c r="FD4054" s="15" t="inlineStr">
        <is>
          <t>LZRD-62|</t>
        </is>
      </c>
      <c r="FE4054" s="15" t="inlineStr">
        <is>
          <t>YV3T7U526LA201623</t>
        </is>
      </c>
      <c r="FF4054" s="15" t="n">
        <v>508277</v>
      </c>
      <c r="FG4054" s="15" t="inlineStr">
        <is>
          <t>Volvo</t>
        </is>
      </c>
      <c r="FH4054" s="15" t="inlineStr">
        <is>
          <t>B8RLEA</t>
        </is>
      </c>
      <c r="FI4054" s="15" t="inlineStr">
        <is>
          <t>MARCOPOLO</t>
        </is>
      </c>
      <c r="FJ4054" s="15" t="inlineStr">
        <is>
          <t>GRAN VIALE</t>
        </is>
      </c>
      <c r="FK4054" s="15" t="n">
        <v>2020</v>
      </c>
      <c r="FL4054" s="15" t="inlineStr">
        <is>
          <t>C</t>
        </is>
      </c>
      <c r="FM4054" s="15" t="inlineStr">
        <is>
          <t>PIE ANDINO</t>
        </is>
      </c>
      <c r="FN4054" s="15" t="inlineStr">
        <is>
          <t>Pie Andino 31 (Pie Andino 383)</t>
        </is>
      </c>
      <c r="FO4054" s="15" t="inlineStr">
        <is>
          <t>Puente Alto</t>
        </is>
      </c>
      <c r="FP4054" t="inlineStr">
        <is>
          <t>C</t>
        </is>
      </c>
    </row>
    <row r="4055">
      <c r="FC4055" t="inlineStr">
        <is>
          <t>Diccionario 4</t>
        </is>
      </c>
      <c r="FD4055" s="15" t="inlineStr">
        <is>
          <t>LZRD-63|</t>
        </is>
      </c>
      <c r="FE4055" s="15" t="inlineStr">
        <is>
          <t>YV3T7U52XLA198726</t>
        </is>
      </c>
      <c r="FF4055" s="15" t="n">
        <v>508208</v>
      </c>
      <c r="FG4055" s="15" t="inlineStr">
        <is>
          <t>Volvo</t>
        </is>
      </c>
      <c r="FH4055" s="15" t="inlineStr">
        <is>
          <t>B8RLEA</t>
        </is>
      </c>
      <c r="FI4055" s="15" t="inlineStr">
        <is>
          <t>MARCOPOLO</t>
        </is>
      </c>
      <c r="FJ4055" s="15" t="inlineStr">
        <is>
          <t>GRAN VIALE</t>
        </is>
      </c>
      <c r="FK4055" s="15" t="n">
        <v>2020</v>
      </c>
      <c r="FL4055" s="15" t="inlineStr">
        <is>
          <t>C</t>
        </is>
      </c>
      <c r="FM4055" s="15" t="inlineStr">
        <is>
          <t>PIE ANDINO</t>
        </is>
      </c>
      <c r="FN4055" s="15" t="inlineStr">
        <is>
          <t>Pie Andino 31 (Pie Andino 383)</t>
        </is>
      </c>
      <c r="FO4055" s="15" t="inlineStr">
        <is>
          <t>Puente Alto</t>
        </is>
      </c>
      <c r="FP4055" t="inlineStr">
        <is>
          <t>C</t>
        </is>
      </c>
    </row>
    <row r="4056">
      <c r="FC4056" t="inlineStr">
        <is>
          <t>Diccionario 4</t>
        </is>
      </c>
      <c r="FD4056" s="15" t="inlineStr">
        <is>
          <t>LZRD-64|</t>
        </is>
      </c>
      <c r="FE4056" s="15" t="inlineStr">
        <is>
          <t>YV3T7U526LA198724</t>
        </is>
      </c>
      <c r="FF4056" s="15" t="n">
        <v>508167</v>
      </c>
      <c r="FG4056" s="15" t="inlineStr">
        <is>
          <t>Volvo</t>
        </is>
      </c>
      <c r="FH4056" s="15" t="inlineStr">
        <is>
          <t>B8RLEA</t>
        </is>
      </c>
      <c r="FI4056" s="15" t="inlineStr">
        <is>
          <t>MARCOPOLO</t>
        </is>
      </c>
      <c r="FJ4056" s="15" t="inlineStr">
        <is>
          <t>GRAN VIALE</t>
        </is>
      </c>
      <c r="FK4056" s="15" t="n">
        <v>2020</v>
      </c>
      <c r="FL4056" s="15" t="inlineStr">
        <is>
          <t>C</t>
        </is>
      </c>
      <c r="FM4056" s="15" t="inlineStr">
        <is>
          <t>PIE ANDINO</t>
        </is>
      </c>
      <c r="FN4056" s="15" t="inlineStr">
        <is>
          <t>Pie Andino 31 (Pie Andino 383)</t>
        </is>
      </c>
      <c r="FO4056" s="15" t="inlineStr">
        <is>
          <t>Puente Alto</t>
        </is>
      </c>
      <c r="FP4056" t="inlineStr">
        <is>
          <t>C</t>
        </is>
      </c>
    </row>
    <row r="4057">
      <c r="FC4057" t="inlineStr">
        <is>
          <t>Diccionario 4</t>
        </is>
      </c>
      <c r="FD4057" s="15" t="inlineStr">
        <is>
          <t>LZRD-65|</t>
        </is>
      </c>
      <c r="FE4057" s="15" t="inlineStr">
        <is>
          <t>YV3T7U521LA201500</t>
        </is>
      </c>
      <c r="FF4057" s="15" t="n">
        <v>507859</v>
      </c>
      <c r="FG4057" s="15" t="inlineStr">
        <is>
          <t>Volvo</t>
        </is>
      </c>
      <c r="FH4057" s="15" t="inlineStr">
        <is>
          <t>B8RLEA</t>
        </is>
      </c>
      <c r="FI4057" s="15" t="inlineStr">
        <is>
          <t>MARCOPOLO</t>
        </is>
      </c>
      <c r="FJ4057" s="15" t="inlineStr">
        <is>
          <t>GRAN VIALE</t>
        </is>
      </c>
      <c r="FK4057" s="15" t="n">
        <v>2020</v>
      </c>
      <c r="FL4057" s="15" t="inlineStr">
        <is>
          <t>C</t>
        </is>
      </c>
      <c r="FM4057" s="15" t="inlineStr">
        <is>
          <t>PIE ANDINO</t>
        </is>
      </c>
      <c r="FN4057" s="15" t="inlineStr">
        <is>
          <t>Pie Andino 31 (Pie Andino 383)</t>
        </is>
      </c>
      <c r="FO4057" s="15" t="inlineStr">
        <is>
          <t>Puente Alto</t>
        </is>
      </c>
      <c r="FP4057" t="inlineStr">
        <is>
          <t>C</t>
        </is>
      </c>
    </row>
    <row r="4058">
      <c r="FC4058" t="inlineStr">
        <is>
          <t>Diccionario 4</t>
        </is>
      </c>
      <c r="FD4058" s="15" t="inlineStr">
        <is>
          <t>LZRD-66|</t>
        </is>
      </c>
      <c r="FE4058" s="15" t="inlineStr">
        <is>
          <t>YV3T7U522LA198722</t>
        </is>
      </c>
      <c r="FF4058" s="15" t="n">
        <v>508172</v>
      </c>
      <c r="FG4058" s="15" t="inlineStr">
        <is>
          <t>Volvo</t>
        </is>
      </c>
      <c r="FH4058" s="15" t="inlineStr">
        <is>
          <t>B8RLEA</t>
        </is>
      </c>
      <c r="FI4058" s="15" t="inlineStr">
        <is>
          <t>MARCOPOLO</t>
        </is>
      </c>
      <c r="FJ4058" s="15" t="inlineStr">
        <is>
          <t>GRAN VIALE</t>
        </is>
      </c>
      <c r="FK4058" s="15" t="n">
        <v>2020</v>
      </c>
      <c r="FL4058" s="15" t="inlineStr">
        <is>
          <t>C</t>
        </is>
      </c>
      <c r="FM4058" s="15" t="inlineStr">
        <is>
          <t>PIE ANDINO</t>
        </is>
      </c>
      <c r="FN4058" s="15" t="inlineStr">
        <is>
          <t>Pie Andino 31 (Pie Andino 383)</t>
        </is>
      </c>
      <c r="FO4058" s="15" t="inlineStr">
        <is>
          <t>Puente Alto</t>
        </is>
      </c>
      <c r="FP4058" t="inlineStr">
        <is>
          <t>C</t>
        </is>
      </c>
    </row>
    <row r="4059">
      <c r="FC4059" t="inlineStr">
        <is>
          <t>Diccionario 4</t>
        </is>
      </c>
      <c r="FD4059" s="15" t="inlineStr">
        <is>
          <t>LZRD-67|</t>
        </is>
      </c>
      <c r="FE4059" s="15" t="inlineStr">
        <is>
          <t>YV3T7U520LA201696</t>
        </is>
      </c>
      <c r="FF4059" s="15" t="n">
        <v>508690</v>
      </c>
      <c r="FG4059" s="15" t="inlineStr">
        <is>
          <t>Volvo</t>
        </is>
      </c>
      <c r="FH4059" s="15" t="inlineStr">
        <is>
          <t>B8RLEA</t>
        </is>
      </c>
      <c r="FI4059" s="15" t="inlineStr">
        <is>
          <t>MARCOPOLO</t>
        </is>
      </c>
      <c r="FJ4059" s="15" t="inlineStr">
        <is>
          <t>GRAN VIALE</t>
        </is>
      </c>
      <c r="FK4059" s="15" t="n">
        <v>2020</v>
      </c>
      <c r="FL4059" s="15" t="inlineStr">
        <is>
          <t>C</t>
        </is>
      </c>
      <c r="FM4059" s="15" t="inlineStr">
        <is>
          <t>SAN ALFONSO</t>
        </is>
      </c>
      <c r="FN4059" s="15" t="inlineStr">
        <is>
          <t>San Alfonso 2141 (Ramón Subercaseaux 3060)</t>
        </is>
      </c>
      <c r="FO4059" s="15" t="inlineStr">
        <is>
          <t>Estacion Central</t>
        </is>
      </c>
      <c r="FP4059" t="inlineStr">
        <is>
          <t>C</t>
        </is>
      </c>
    </row>
    <row r="4060">
      <c r="FC4060" t="inlineStr">
        <is>
          <t>Diccionario 4</t>
        </is>
      </c>
      <c r="FD4060" s="15" t="inlineStr">
        <is>
          <t>LZRD-68|</t>
        </is>
      </c>
      <c r="FE4060" s="15" t="inlineStr">
        <is>
          <t>YV3T7U52XLA201608</t>
        </is>
      </c>
      <c r="FF4060" s="15" t="n">
        <v>508223</v>
      </c>
      <c r="FG4060" s="15" t="inlineStr">
        <is>
          <t>Volvo</t>
        </is>
      </c>
      <c r="FH4060" s="15" t="inlineStr">
        <is>
          <t>B8RLEA</t>
        </is>
      </c>
      <c r="FI4060" s="15" t="inlineStr">
        <is>
          <t>MARCOPOLO</t>
        </is>
      </c>
      <c r="FJ4060" s="15" t="inlineStr">
        <is>
          <t>GRAN VIALE</t>
        </is>
      </c>
      <c r="FK4060" s="15" t="n">
        <v>2020</v>
      </c>
      <c r="FL4060" s="15" t="inlineStr">
        <is>
          <t>C</t>
        </is>
      </c>
      <c r="FM4060" s="15" t="inlineStr">
        <is>
          <t>PIE ANDINO</t>
        </is>
      </c>
      <c r="FN4060" s="15" t="inlineStr">
        <is>
          <t>Pie Andino 31 (Pie Andino 383)</t>
        </is>
      </c>
      <c r="FO4060" s="15" t="inlineStr">
        <is>
          <t>Puente Alto</t>
        </is>
      </c>
      <c r="FP4060" t="inlineStr">
        <is>
          <t>C</t>
        </is>
      </c>
    </row>
    <row r="4061">
      <c r="FC4061" t="inlineStr">
        <is>
          <t>Diccionario 4</t>
        </is>
      </c>
      <c r="FD4061" s="15" t="inlineStr">
        <is>
          <t>LZRD-69|</t>
        </is>
      </c>
      <c r="FE4061" s="15" t="inlineStr">
        <is>
          <t>YV3T7U521LA201545</t>
        </is>
      </c>
      <c r="FF4061" s="15" t="n">
        <v>508144</v>
      </c>
      <c r="FG4061" s="15" t="inlineStr">
        <is>
          <t>Volvo</t>
        </is>
      </c>
      <c r="FH4061" s="15" t="inlineStr">
        <is>
          <t>B8RLEA</t>
        </is>
      </c>
      <c r="FI4061" s="15" t="inlineStr">
        <is>
          <t>MARCOPOLO</t>
        </is>
      </c>
      <c r="FJ4061" s="15" t="inlineStr">
        <is>
          <t>GRAN VIALE</t>
        </is>
      </c>
      <c r="FK4061" s="15" t="n">
        <v>2020</v>
      </c>
      <c r="FL4061" s="15" t="inlineStr">
        <is>
          <t>C</t>
        </is>
      </c>
      <c r="FM4061" s="15" t="inlineStr">
        <is>
          <t>PIE ANDINO</t>
        </is>
      </c>
      <c r="FN4061" s="15" t="inlineStr">
        <is>
          <t>Pie Andino 31 (Pie Andino 383)</t>
        </is>
      </c>
      <c r="FO4061" s="15" t="inlineStr">
        <is>
          <t>Puente Alto</t>
        </is>
      </c>
      <c r="FP4061" t="inlineStr">
        <is>
          <t>C</t>
        </is>
      </c>
    </row>
    <row r="4062">
      <c r="FC4062" t="inlineStr">
        <is>
          <t>Diccionario 4</t>
        </is>
      </c>
      <c r="FD4062" s="15" t="inlineStr">
        <is>
          <t>LZRD-70|</t>
        </is>
      </c>
      <c r="FE4062" s="15" t="inlineStr">
        <is>
          <t>YV3T7U528LA201543</t>
        </is>
      </c>
      <c r="FF4062" s="15" t="n">
        <v>508132</v>
      </c>
      <c r="FG4062" s="15" t="inlineStr">
        <is>
          <t>Volvo</t>
        </is>
      </c>
      <c r="FH4062" s="15" t="inlineStr">
        <is>
          <t>B8RLEA</t>
        </is>
      </c>
      <c r="FI4062" s="15" t="inlineStr">
        <is>
          <t>MARCOPOLO</t>
        </is>
      </c>
      <c r="FJ4062" s="15" t="inlineStr">
        <is>
          <t>GRAN VIALE</t>
        </is>
      </c>
      <c r="FK4062" s="15" t="n">
        <v>2020</v>
      </c>
      <c r="FL4062" s="15" t="inlineStr">
        <is>
          <t>C</t>
        </is>
      </c>
      <c r="FM4062" s="15" t="inlineStr">
        <is>
          <t>PIE ANDINO</t>
        </is>
      </c>
      <c r="FN4062" s="15" t="inlineStr">
        <is>
          <t>Pie Andino 31 (Pie Andino 383)</t>
        </is>
      </c>
      <c r="FO4062" s="15" t="inlineStr">
        <is>
          <t>Puente Alto</t>
        </is>
      </c>
      <c r="FP4062" t="inlineStr">
        <is>
          <t>C</t>
        </is>
      </c>
    </row>
    <row r="4063">
      <c r="FC4063" t="inlineStr">
        <is>
          <t>Diccionario 4</t>
        </is>
      </c>
      <c r="FD4063" s="15" t="inlineStr">
        <is>
          <t>LZRD-71|</t>
        </is>
      </c>
      <c r="FE4063" s="15" t="inlineStr">
        <is>
          <t>YV3T7U528LA201624</t>
        </is>
      </c>
      <c r="FF4063" s="15" t="n">
        <v>508345</v>
      </c>
      <c r="FG4063" s="15" t="inlineStr">
        <is>
          <t>Volvo</t>
        </is>
      </c>
      <c r="FH4063" s="15" t="inlineStr">
        <is>
          <t>B8RLEA</t>
        </is>
      </c>
      <c r="FI4063" s="15" t="inlineStr">
        <is>
          <t>MARCOPOLO</t>
        </is>
      </c>
      <c r="FJ4063" s="15" t="inlineStr">
        <is>
          <t>GRAN VIALE</t>
        </is>
      </c>
      <c r="FK4063" s="15" t="n">
        <v>2020</v>
      </c>
      <c r="FL4063" s="15" t="inlineStr">
        <is>
          <t>C</t>
        </is>
      </c>
      <c r="FM4063" s="15" t="inlineStr">
        <is>
          <t>PIE ANDINO</t>
        </is>
      </c>
      <c r="FN4063" s="15" t="inlineStr">
        <is>
          <t>Pie Andino 31 (Pie Andino 383)</t>
        </is>
      </c>
      <c r="FO4063" s="15" t="inlineStr">
        <is>
          <t>Puente Alto</t>
        </is>
      </c>
      <c r="FP4063" t="inlineStr">
        <is>
          <t>C</t>
        </is>
      </c>
    </row>
    <row r="4064">
      <c r="FC4064" t="inlineStr">
        <is>
          <t>Diccionario 4</t>
        </is>
      </c>
      <c r="FD4064" s="15" t="inlineStr">
        <is>
          <t>LZRD-72|</t>
        </is>
      </c>
      <c r="FE4064" s="15" t="inlineStr">
        <is>
          <t>YV3T7U525LA198729</t>
        </is>
      </c>
      <c r="FF4064" s="15" t="n">
        <v>508201</v>
      </c>
      <c r="FG4064" s="15" t="inlineStr">
        <is>
          <t>Volvo</t>
        </is>
      </c>
      <c r="FH4064" s="15" t="inlineStr">
        <is>
          <t>B8RLEA</t>
        </is>
      </c>
      <c r="FI4064" s="15" t="inlineStr">
        <is>
          <t>MARCOPOLO</t>
        </is>
      </c>
      <c r="FJ4064" s="15" t="inlineStr">
        <is>
          <t>GRAN VIALE</t>
        </is>
      </c>
      <c r="FK4064" s="15" t="n">
        <v>2020</v>
      </c>
      <c r="FL4064" s="15" t="inlineStr">
        <is>
          <t>C</t>
        </is>
      </c>
      <c r="FM4064" s="15" t="inlineStr">
        <is>
          <t>PIE ANDINO</t>
        </is>
      </c>
      <c r="FN4064" s="15" t="inlineStr">
        <is>
          <t>Pie Andino 31 (Pie Andino 383)</t>
        </is>
      </c>
      <c r="FO4064" s="15" t="inlineStr">
        <is>
          <t>Puente Alto</t>
        </is>
      </c>
      <c r="FP4064" t="inlineStr">
        <is>
          <t>C</t>
        </is>
      </c>
    </row>
    <row r="4065">
      <c r="FC4065" t="inlineStr">
        <is>
          <t>Diccionario 4</t>
        </is>
      </c>
      <c r="FD4065" s="15" t="inlineStr">
        <is>
          <t>LZRD-73|</t>
        </is>
      </c>
      <c r="FE4065" s="15" t="inlineStr">
        <is>
          <t>YV3T7U526LA201542</t>
        </is>
      </c>
      <c r="FF4065" s="15" t="n">
        <v>508119</v>
      </c>
      <c r="FG4065" s="15" t="inlineStr">
        <is>
          <t>Volvo</t>
        </is>
      </c>
      <c r="FH4065" s="15" t="inlineStr">
        <is>
          <t>B8RLEA</t>
        </is>
      </c>
      <c r="FI4065" s="15" t="inlineStr">
        <is>
          <t>MARCOPOLO</t>
        </is>
      </c>
      <c r="FJ4065" s="15" t="inlineStr">
        <is>
          <t>GRAN VIALE</t>
        </is>
      </c>
      <c r="FK4065" s="15" t="n">
        <v>2020</v>
      </c>
      <c r="FL4065" s="15" t="inlineStr">
        <is>
          <t>C</t>
        </is>
      </c>
      <c r="FM4065" s="15" t="inlineStr">
        <is>
          <t>PIE ANDINO</t>
        </is>
      </c>
      <c r="FN4065" s="15" t="inlineStr">
        <is>
          <t>Pie Andino 31 (Pie Andino 383)</t>
        </is>
      </c>
      <c r="FO4065" s="15" t="inlineStr">
        <is>
          <t>Puente Alto</t>
        </is>
      </c>
      <c r="FP4065" t="inlineStr">
        <is>
          <t>C</t>
        </is>
      </c>
    </row>
    <row r="4066">
      <c r="FC4066" t="inlineStr">
        <is>
          <t>Diccionario 4</t>
        </is>
      </c>
      <c r="FD4066" s="15" t="inlineStr">
        <is>
          <t>LZRD-74|</t>
        </is>
      </c>
      <c r="FE4066" s="15" t="inlineStr">
        <is>
          <t>YV3T7U524LA201622</t>
        </is>
      </c>
      <c r="FF4066" s="15" t="n">
        <v>508282</v>
      </c>
      <c r="FG4066" s="15" t="inlineStr">
        <is>
          <t>Volvo</t>
        </is>
      </c>
      <c r="FH4066" s="15" t="inlineStr">
        <is>
          <t>B8RLEA</t>
        </is>
      </c>
      <c r="FI4066" s="15" t="inlineStr">
        <is>
          <t>MARCOPOLO</t>
        </is>
      </c>
      <c r="FJ4066" s="15" t="inlineStr">
        <is>
          <t>GRAN VIALE</t>
        </is>
      </c>
      <c r="FK4066" s="15" t="n">
        <v>2020</v>
      </c>
      <c r="FL4066" s="15" t="inlineStr">
        <is>
          <t>C</t>
        </is>
      </c>
      <c r="FM4066" s="15" t="inlineStr">
        <is>
          <t>PIE ANDINO</t>
        </is>
      </c>
      <c r="FN4066" s="15" t="inlineStr">
        <is>
          <t>Pie Andino 31 (Pie Andino 383)</t>
        </is>
      </c>
      <c r="FO4066" s="15" t="inlineStr">
        <is>
          <t>Puente Alto</t>
        </is>
      </c>
      <c r="FP4066" t="inlineStr">
        <is>
          <t>C</t>
        </is>
      </c>
    </row>
    <row r="4067">
      <c r="FC4067" t="inlineStr">
        <is>
          <t>Diccionario 4</t>
        </is>
      </c>
      <c r="FD4067" s="15" t="inlineStr">
        <is>
          <t>LZRD-75|</t>
        </is>
      </c>
      <c r="FE4067" s="15" t="inlineStr">
        <is>
          <t>YV3T7U52XLA201544</t>
        </is>
      </c>
      <c r="FF4067" s="15" t="n">
        <v>508121</v>
      </c>
      <c r="FG4067" s="15" t="inlineStr">
        <is>
          <t>Volvo</t>
        </is>
      </c>
      <c r="FH4067" s="15" t="inlineStr">
        <is>
          <t>B8RLEA</t>
        </is>
      </c>
      <c r="FI4067" s="15" t="inlineStr">
        <is>
          <t>MARCOPOLO</t>
        </is>
      </c>
      <c r="FJ4067" s="15" t="inlineStr">
        <is>
          <t>GRAN VIALE</t>
        </is>
      </c>
      <c r="FK4067" s="15" t="n">
        <v>2020</v>
      </c>
      <c r="FL4067" s="15" t="inlineStr">
        <is>
          <t>C</t>
        </is>
      </c>
      <c r="FM4067" s="15" t="inlineStr">
        <is>
          <t>SAN ALFONSO</t>
        </is>
      </c>
      <c r="FN4067" s="15" t="inlineStr">
        <is>
          <t>San Alfonso 2141 (Ramón Subercaseaux 3060)</t>
        </is>
      </c>
      <c r="FO4067" s="15" t="inlineStr">
        <is>
          <t>Estacion Central</t>
        </is>
      </c>
      <c r="FP4067" t="inlineStr">
        <is>
          <t>C</t>
        </is>
      </c>
    </row>
    <row r="4068">
      <c r="FC4068" t="inlineStr">
        <is>
          <t>Diccionario 4</t>
        </is>
      </c>
      <c r="FD4068" s="15" t="inlineStr">
        <is>
          <t>LZRD-76|</t>
        </is>
      </c>
      <c r="FE4068" s="15" t="inlineStr">
        <is>
          <t>YV3T7U528LA198725</t>
        </is>
      </c>
      <c r="FF4068" s="15" t="n">
        <v>508224</v>
      </c>
      <c r="FG4068" s="15" t="inlineStr">
        <is>
          <t>Volvo</t>
        </is>
      </c>
      <c r="FH4068" s="15" t="inlineStr">
        <is>
          <t>B8RLEA</t>
        </is>
      </c>
      <c r="FI4068" s="15" t="inlineStr">
        <is>
          <t>MARCOPOLO</t>
        </is>
      </c>
      <c r="FJ4068" s="15" t="inlineStr">
        <is>
          <t>GRAN VIALE</t>
        </is>
      </c>
      <c r="FK4068" s="15" t="n">
        <v>2020</v>
      </c>
      <c r="FL4068" s="15" t="inlineStr">
        <is>
          <t>C</t>
        </is>
      </c>
      <c r="FM4068" s="15" t="inlineStr">
        <is>
          <t>SAN ALFONSO</t>
        </is>
      </c>
      <c r="FN4068" s="15" t="inlineStr">
        <is>
          <t>San Alfonso 2141 (Ramón Subercaseaux 3060)</t>
        </is>
      </c>
      <c r="FO4068" s="15" t="inlineStr">
        <is>
          <t>Estacion Central</t>
        </is>
      </c>
      <c r="FP4068" t="inlineStr">
        <is>
          <t>C</t>
        </is>
      </c>
    </row>
    <row r="4069">
      <c r="FC4069" t="inlineStr">
        <is>
          <t>Diccionario 4</t>
        </is>
      </c>
      <c r="FD4069" s="15" t="inlineStr">
        <is>
          <t>LZRD-77|</t>
        </is>
      </c>
      <c r="FE4069" s="15" t="inlineStr">
        <is>
          <t>YV3T7U524LA201667</t>
        </is>
      </c>
      <c r="FF4069" s="15" t="n">
        <v>508615</v>
      </c>
      <c r="FG4069" s="15" t="inlineStr">
        <is>
          <t>Volvo</t>
        </is>
      </c>
      <c r="FH4069" s="15" t="inlineStr">
        <is>
          <t>B8RLEA</t>
        </is>
      </c>
      <c r="FI4069" s="15" t="inlineStr">
        <is>
          <t>MARCOPOLO</t>
        </is>
      </c>
      <c r="FJ4069" s="15" t="inlineStr">
        <is>
          <t>GRAN VIALE</t>
        </is>
      </c>
      <c r="FK4069" s="15" t="n">
        <v>2020</v>
      </c>
      <c r="FL4069" s="15" t="inlineStr">
        <is>
          <t>C</t>
        </is>
      </c>
      <c r="FM4069" s="15" t="inlineStr">
        <is>
          <t>PIE ANDINO</t>
        </is>
      </c>
      <c r="FN4069" s="15" t="inlineStr">
        <is>
          <t>Pie Andino 31 (Pie Andino 383)</t>
        </is>
      </c>
      <c r="FO4069" s="15" t="inlineStr">
        <is>
          <t>Puente Alto</t>
        </is>
      </c>
      <c r="FP4069" t="inlineStr">
        <is>
          <t>C</t>
        </is>
      </c>
    </row>
    <row r="4070">
      <c r="FC4070" t="inlineStr">
        <is>
          <t>Diccionario 4</t>
        </is>
      </c>
      <c r="FD4070" s="15" t="inlineStr">
        <is>
          <t>LZRD-78|</t>
        </is>
      </c>
      <c r="FE4070" s="15" t="inlineStr">
        <is>
          <t>YV3T7U524LA201670</t>
        </is>
      </c>
      <c r="FF4070" s="15" t="n">
        <v>508569</v>
      </c>
      <c r="FG4070" s="15" t="inlineStr">
        <is>
          <t>Volvo</t>
        </is>
      </c>
      <c r="FH4070" s="15" t="inlineStr">
        <is>
          <t>B8RLEA</t>
        </is>
      </c>
      <c r="FI4070" s="15" t="inlineStr">
        <is>
          <t>MARCOPOLO</t>
        </is>
      </c>
      <c r="FJ4070" s="15" t="inlineStr">
        <is>
          <t>GRAN VIALE</t>
        </is>
      </c>
      <c r="FK4070" s="15" t="n">
        <v>2020</v>
      </c>
      <c r="FL4070" s="15" t="inlineStr">
        <is>
          <t>C</t>
        </is>
      </c>
      <c r="FM4070" s="15" t="inlineStr">
        <is>
          <t>SAN ALFONSO</t>
        </is>
      </c>
      <c r="FN4070" s="15" t="inlineStr">
        <is>
          <t>San Alfonso 2141 (Ramón Subercaseaux 3060)</t>
        </is>
      </c>
      <c r="FO4070" s="15" t="inlineStr">
        <is>
          <t>Estacion Central</t>
        </is>
      </c>
      <c r="FP4070" t="inlineStr">
        <is>
          <t>C</t>
        </is>
      </c>
    </row>
    <row r="4071">
      <c r="FC4071" t="inlineStr">
        <is>
          <t>Diccionario 4</t>
        </is>
      </c>
      <c r="FD4071" s="15" t="inlineStr">
        <is>
          <t>LZRD-79|</t>
        </is>
      </c>
      <c r="FE4071" s="15" t="inlineStr">
        <is>
          <t>YV3T7U52XLA201625</t>
        </is>
      </c>
      <c r="FF4071" s="15" t="n">
        <v>508297</v>
      </c>
      <c r="FG4071" s="15" t="inlineStr">
        <is>
          <t>Volvo</t>
        </is>
      </c>
      <c r="FH4071" s="15" t="inlineStr">
        <is>
          <t>B8RLEA</t>
        </is>
      </c>
      <c r="FI4071" s="15" t="inlineStr">
        <is>
          <t>MARCOPOLO</t>
        </is>
      </c>
      <c r="FJ4071" s="15" t="inlineStr">
        <is>
          <t>GRAN VIALE</t>
        </is>
      </c>
      <c r="FK4071" s="15" t="n">
        <v>2020</v>
      </c>
      <c r="FL4071" s="15" t="inlineStr">
        <is>
          <t>C</t>
        </is>
      </c>
      <c r="FM4071" s="15" t="inlineStr">
        <is>
          <t>PIE ANDINO</t>
        </is>
      </c>
      <c r="FN4071" s="15" t="inlineStr">
        <is>
          <t>Pie Andino 31 (Pie Andino 383)</t>
        </is>
      </c>
      <c r="FO4071" s="15" t="inlineStr">
        <is>
          <t>Puente Alto</t>
        </is>
      </c>
      <c r="FP4071" t="inlineStr">
        <is>
          <t>C</t>
        </is>
      </c>
    </row>
    <row r="4072">
      <c r="FC4072" t="inlineStr">
        <is>
          <t>Diccionario 4</t>
        </is>
      </c>
      <c r="FD4072" s="15" t="inlineStr">
        <is>
          <t>LZRD-80|</t>
        </is>
      </c>
      <c r="FE4072" s="15" t="inlineStr">
        <is>
          <t>YV3T7U520LA201620</t>
        </is>
      </c>
      <c r="FF4072" s="15" t="n">
        <v>508303</v>
      </c>
      <c r="FG4072" s="15" t="inlineStr">
        <is>
          <t>Volvo</t>
        </is>
      </c>
      <c r="FH4072" s="15" t="inlineStr">
        <is>
          <t>B8RLEA</t>
        </is>
      </c>
      <c r="FI4072" s="15" t="inlineStr">
        <is>
          <t>MARCOPOLO</t>
        </is>
      </c>
      <c r="FJ4072" s="15" t="inlineStr">
        <is>
          <t>GRAN VIALE</t>
        </is>
      </c>
      <c r="FK4072" s="15" t="n">
        <v>2020</v>
      </c>
      <c r="FL4072" s="15" t="inlineStr">
        <is>
          <t>C</t>
        </is>
      </c>
      <c r="FM4072" s="15" t="inlineStr">
        <is>
          <t>PIE ANDINO</t>
        </is>
      </c>
      <c r="FN4072" s="15" t="inlineStr">
        <is>
          <t>Pie Andino 31 (Pie Andino 383)</t>
        </is>
      </c>
      <c r="FO4072" s="15" t="inlineStr">
        <is>
          <t>Puente Alto</t>
        </is>
      </c>
      <c r="FP4072" t="inlineStr">
        <is>
          <t>C</t>
        </is>
      </c>
    </row>
    <row r="4073">
      <c r="FC4073" t="inlineStr">
        <is>
          <t>Diccionario 4</t>
        </is>
      </c>
      <c r="FD4073" s="15" t="inlineStr">
        <is>
          <t>LZRD-81|</t>
        </is>
      </c>
      <c r="FE4073" s="15" t="inlineStr">
        <is>
          <t>YV3T7U526LA201606</t>
        </is>
      </c>
      <c r="FF4073" s="15" t="n">
        <v>508235</v>
      </c>
      <c r="FG4073" s="15" t="inlineStr">
        <is>
          <t>Volvo</t>
        </is>
      </c>
      <c r="FH4073" s="15" t="inlineStr">
        <is>
          <t>B8RLEA</t>
        </is>
      </c>
      <c r="FI4073" s="15" t="inlineStr">
        <is>
          <t>MARCOPOLO</t>
        </is>
      </c>
      <c r="FJ4073" s="15" t="inlineStr">
        <is>
          <t>GRAN VIALE</t>
        </is>
      </c>
      <c r="FK4073" s="15" t="n">
        <v>2020</v>
      </c>
      <c r="FL4073" s="15" t="inlineStr">
        <is>
          <t>C</t>
        </is>
      </c>
      <c r="FM4073" s="15" t="inlineStr">
        <is>
          <t>PIE ANDINO</t>
        </is>
      </c>
      <c r="FN4073" s="15" t="inlineStr">
        <is>
          <t>Pie Andino 31 (Pie Andino 383)</t>
        </is>
      </c>
      <c r="FO4073" s="15" t="inlineStr">
        <is>
          <t>Puente Alto</t>
        </is>
      </c>
      <c r="FP4073" t="inlineStr">
        <is>
          <t>C</t>
        </is>
      </c>
    </row>
    <row r="4074">
      <c r="FC4074" t="inlineStr">
        <is>
          <t>Diccionario 4</t>
        </is>
      </c>
      <c r="FD4074" s="15" t="inlineStr">
        <is>
          <t>LZRD-82|</t>
        </is>
      </c>
      <c r="FE4074" s="15" t="inlineStr">
        <is>
          <t>YV3T7U527LA201498</t>
        </is>
      </c>
      <c r="FF4074" s="15" t="n">
        <v>507854</v>
      </c>
      <c r="FG4074" s="15" t="inlineStr">
        <is>
          <t>Volvo</t>
        </is>
      </c>
      <c r="FH4074" s="15" t="inlineStr">
        <is>
          <t>B8RLEA</t>
        </is>
      </c>
      <c r="FI4074" s="15" t="inlineStr">
        <is>
          <t>MARCOPOLO</t>
        </is>
      </c>
      <c r="FJ4074" s="15" t="inlineStr">
        <is>
          <t>GRAN VIALE</t>
        </is>
      </c>
      <c r="FK4074" s="15" t="n">
        <v>2020</v>
      </c>
      <c r="FL4074" s="15" t="inlineStr">
        <is>
          <t>C</t>
        </is>
      </c>
      <c r="FM4074" s="15" t="inlineStr">
        <is>
          <t>PIE ANDINO</t>
        </is>
      </c>
      <c r="FN4074" s="15" t="inlineStr">
        <is>
          <t>Pie Andino 31 (Pie Andino 383)</t>
        </is>
      </c>
      <c r="FO4074" s="15" t="inlineStr">
        <is>
          <t>Puente Alto</t>
        </is>
      </c>
      <c r="FP4074" t="inlineStr">
        <is>
          <t>C</t>
        </is>
      </c>
    </row>
    <row r="4075">
      <c r="FC4075" t="inlineStr">
        <is>
          <t>Diccionario 4</t>
        </is>
      </c>
      <c r="FD4075" s="15" t="inlineStr">
        <is>
          <t>LZRD-83|</t>
        </is>
      </c>
      <c r="FE4075" s="15" t="inlineStr">
        <is>
          <t>YV3T7U522LA201540</t>
        </is>
      </c>
      <c r="FF4075" s="15" t="n">
        <v>507955</v>
      </c>
      <c r="FG4075" s="15" t="inlineStr">
        <is>
          <t>Volvo</t>
        </is>
      </c>
      <c r="FH4075" s="15" t="inlineStr">
        <is>
          <t>B8RLEA</t>
        </is>
      </c>
      <c r="FI4075" s="15" t="inlineStr">
        <is>
          <t>MARCOPOLO</t>
        </is>
      </c>
      <c r="FJ4075" s="15" t="inlineStr">
        <is>
          <t>GRAN VIALE</t>
        </is>
      </c>
      <c r="FK4075" s="15" t="n">
        <v>2020</v>
      </c>
      <c r="FL4075" s="15" t="inlineStr">
        <is>
          <t>C</t>
        </is>
      </c>
      <c r="FM4075" s="15" t="inlineStr">
        <is>
          <t>SAN ALFONSO</t>
        </is>
      </c>
      <c r="FN4075" s="15" t="inlineStr">
        <is>
          <t>San Alfonso 2141 (Ramón Subercaseaux 3060)</t>
        </is>
      </c>
      <c r="FO4075" s="15" t="inlineStr">
        <is>
          <t>Estacion Central</t>
        </is>
      </c>
      <c r="FP4075" t="inlineStr">
        <is>
          <t>C</t>
        </is>
      </c>
    </row>
    <row r="4076">
      <c r="FC4076" t="inlineStr">
        <is>
          <t>Diccionario 4</t>
        </is>
      </c>
      <c r="FD4076" s="15" t="inlineStr">
        <is>
          <t>LZRD-84|</t>
        </is>
      </c>
      <c r="FE4076" s="15" t="inlineStr">
        <is>
          <t>YV3T7U526LA201668</t>
        </is>
      </c>
      <c r="FF4076" s="15" t="n">
        <v>508633</v>
      </c>
      <c r="FG4076" s="15" t="inlineStr">
        <is>
          <t>Volvo</t>
        </is>
      </c>
      <c r="FH4076" s="15" t="inlineStr">
        <is>
          <t>B8RLEA</t>
        </is>
      </c>
      <c r="FI4076" s="15" t="inlineStr">
        <is>
          <t>MARCOPOLO</t>
        </is>
      </c>
      <c r="FJ4076" s="15" t="inlineStr">
        <is>
          <t>GRAN VIALE</t>
        </is>
      </c>
      <c r="FK4076" s="15" t="n">
        <v>2020</v>
      </c>
      <c r="FL4076" s="15" t="inlineStr">
        <is>
          <t>C</t>
        </is>
      </c>
      <c r="FM4076" s="15" t="inlineStr">
        <is>
          <t>PIE ANDINO</t>
        </is>
      </c>
      <c r="FN4076" s="15" t="inlineStr">
        <is>
          <t>Pie Andino 31 (Pie Andino 383)</t>
        </is>
      </c>
      <c r="FO4076" s="15" t="inlineStr">
        <is>
          <t>Puente Alto</t>
        </is>
      </c>
      <c r="FP4076" t="inlineStr">
        <is>
          <t>C</t>
        </is>
      </c>
    </row>
    <row r="4077">
      <c r="FC4077" t="inlineStr">
        <is>
          <t>Diccionario 4</t>
        </is>
      </c>
      <c r="FD4077" s="15" t="inlineStr">
        <is>
          <t>LZRD-85|</t>
        </is>
      </c>
      <c r="FE4077" s="15" t="inlineStr">
        <is>
          <t>YV3T7U529LA201695</t>
        </is>
      </c>
      <c r="FF4077" s="15" t="n">
        <v>508651</v>
      </c>
      <c r="FG4077" s="15" t="inlineStr">
        <is>
          <t>Volvo</t>
        </is>
      </c>
      <c r="FH4077" s="15" t="inlineStr">
        <is>
          <t>B8RLEA</t>
        </is>
      </c>
      <c r="FI4077" s="15" t="inlineStr">
        <is>
          <t>MARCOPOLO</t>
        </is>
      </c>
      <c r="FJ4077" s="15" t="inlineStr">
        <is>
          <t>GRAN VIALE</t>
        </is>
      </c>
      <c r="FK4077" s="15" t="n">
        <v>2020</v>
      </c>
      <c r="FL4077" s="15" t="inlineStr">
        <is>
          <t>C</t>
        </is>
      </c>
      <c r="FM4077" s="15" t="inlineStr">
        <is>
          <t>PIE ANDINO</t>
        </is>
      </c>
      <c r="FN4077" s="15" t="inlineStr">
        <is>
          <t>Pie Andino 31 (Pie Andino 383)</t>
        </is>
      </c>
      <c r="FO4077" s="15" t="inlineStr">
        <is>
          <t>Puente Alto</t>
        </is>
      </c>
      <c r="FP4077" t="inlineStr">
        <is>
          <t>C</t>
        </is>
      </c>
    </row>
    <row r="4078">
      <c r="FC4078" t="inlineStr">
        <is>
          <t>Diccionario 4</t>
        </is>
      </c>
      <c r="FD4078" s="15" t="inlineStr">
        <is>
          <t>LZRD-86|</t>
        </is>
      </c>
      <c r="FE4078" s="15" t="inlineStr">
        <is>
          <t>YV3T7U521LA201609</t>
        </is>
      </c>
      <c r="FF4078" s="15" t="n">
        <v>508236</v>
      </c>
      <c r="FG4078" s="15" t="inlineStr">
        <is>
          <t>Volvo</t>
        </is>
      </c>
      <c r="FH4078" s="15" t="inlineStr">
        <is>
          <t>B8RLEA</t>
        </is>
      </c>
      <c r="FI4078" s="15" t="inlineStr">
        <is>
          <t>MARCOPOLO</t>
        </is>
      </c>
      <c r="FJ4078" s="15" t="inlineStr">
        <is>
          <t>GRAN VIALE</t>
        </is>
      </c>
      <c r="FK4078" s="15" t="n">
        <v>2020</v>
      </c>
      <c r="FL4078" s="15" t="inlineStr">
        <is>
          <t>C</t>
        </is>
      </c>
      <c r="FM4078" s="15" t="inlineStr">
        <is>
          <t>PIE ANDINO</t>
        </is>
      </c>
      <c r="FN4078" s="15" t="inlineStr">
        <is>
          <t>Pie Andino 31 (Pie Andino 383)</t>
        </is>
      </c>
      <c r="FO4078" s="15" t="inlineStr">
        <is>
          <t>Puente Alto</t>
        </is>
      </c>
      <c r="FP4078" t="inlineStr">
        <is>
          <t>C</t>
        </is>
      </c>
    </row>
    <row r="4079">
      <c r="FC4079" t="inlineStr">
        <is>
          <t>Diccionario 4</t>
        </is>
      </c>
      <c r="FD4079" s="15" t="inlineStr">
        <is>
          <t>LZRD-87|</t>
        </is>
      </c>
      <c r="FE4079" s="15" t="inlineStr">
        <is>
          <t>YV3T7U522LA201621</t>
        </is>
      </c>
      <c r="FF4079" s="15" t="n">
        <v>508307</v>
      </c>
      <c r="FG4079" s="15" t="inlineStr">
        <is>
          <t>Volvo</t>
        </is>
      </c>
      <c r="FH4079" s="15" t="inlineStr">
        <is>
          <t>B8RLEA</t>
        </is>
      </c>
      <c r="FI4079" s="15" t="inlineStr">
        <is>
          <t>MARCOPOLO</t>
        </is>
      </c>
      <c r="FJ4079" s="15" t="inlineStr">
        <is>
          <t>GRAN VIALE</t>
        </is>
      </c>
      <c r="FK4079" s="15" t="n">
        <v>2020</v>
      </c>
      <c r="FL4079" s="15" t="inlineStr">
        <is>
          <t>C</t>
        </is>
      </c>
      <c r="FM4079" s="15" t="inlineStr">
        <is>
          <t>PIE ANDINO</t>
        </is>
      </c>
      <c r="FN4079" s="15" t="inlineStr">
        <is>
          <t>Pie Andino 31 (Pie Andino 383)</t>
        </is>
      </c>
      <c r="FO4079" s="15" t="inlineStr">
        <is>
          <t>Puente Alto</t>
        </is>
      </c>
      <c r="FP4079" t="inlineStr">
        <is>
          <t>C</t>
        </is>
      </c>
    </row>
    <row r="4080">
      <c r="FC4080" t="inlineStr">
        <is>
          <t>Diccionario 4</t>
        </is>
      </c>
      <c r="FD4080" s="15" t="inlineStr">
        <is>
          <t>LZRD-88|</t>
        </is>
      </c>
      <c r="FE4080" s="15" t="inlineStr">
        <is>
          <t>YV3T7U528LA201607</t>
        </is>
      </c>
      <c r="FF4080" s="15" t="n">
        <v>508215</v>
      </c>
      <c r="FG4080" s="15" t="inlineStr">
        <is>
          <t>Volvo</t>
        </is>
      </c>
      <c r="FH4080" s="15" t="inlineStr">
        <is>
          <t>B8RLEA</t>
        </is>
      </c>
      <c r="FI4080" s="15" t="inlineStr">
        <is>
          <t>MARCOPOLO</t>
        </is>
      </c>
      <c r="FJ4080" s="15" t="inlineStr">
        <is>
          <t>GRAN VIALE</t>
        </is>
      </c>
      <c r="FK4080" s="15" t="n">
        <v>2020</v>
      </c>
      <c r="FL4080" s="15" t="inlineStr">
        <is>
          <t>C</t>
        </is>
      </c>
      <c r="FM4080" s="15" t="inlineStr">
        <is>
          <t>SAN ALFONSO</t>
        </is>
      </c>
      <c r="FN4080" s="15" t="inlineStr">
        <is>
          <t>San Alfonso 2141 (Ramón Subercaseaux 3060)</t>
        </is>
      </c>
      <c r="FO4080" s="15" t="inlineStr">
        <is>
          <t>Estacion Central</t>
        </is>
      </c>
      <c r="FP4080" t="inlineStr">
        <is>
          <t>C</t>
        </is>
      </c>
    </row>
    <row r="4081">
      <c r="FC4081" t="inlineStr">
        <is>
          <t>Diccionario 4</t>
        </is>
      </c>
      <c r="FD4081" s="15" t="inlineStr">
        <is>
          <t>LZRD-89|</t>
        </is>
      </c>
      <c r="FE4081" s="15" t="inlineStr">
        <is>
          <t>YV3T7U527LA201694</t>
        </is>
      </c>
      <c r="FF4081" s="15" t="n">
        <v>508655</v>
      </c>
      <c r="FG4081" s="15" t="inlineStr">
        <is>
          <t>Volvo</t>
        </is>
      </c>
      <c r="FH4081" s="15" t="inlineStr">
        <is>
          <t>B8RLEA</t>
        </is>
      </c>
      <c r="FI4081" s="15" t="inlineStr">
        <is>
          <t>MARCOPOLO</t>
        </is>
      </c>
      <c r="FJ4081" s="15" t="inlineStr">
        <is>
          <t>GRAN VIALE</t>
        </is>
      </c>
      <c r="FK4081" s="15" t="n">
        <v>2020</v>
      </c>
      <c r="FL4081" s="15" t="inlineStr">
        <is>
          <t>C</t>
        </is>
      </c>
      <c r="FM4081" s="15" t="inlineStr">
        <is>
          <t>PIE ANDINO</t>
        </is>
      </c>
      <c r="FN4081" s="15" t="inlineStr">
        <is>
          <t>Pie Andino 31 (Pie Andino 383)</t>
        </is>
      </c>
      <c r="FO4081" s="15" t="inlineStr">
        <is>
          <t>Puente Alto</t>
        </is>
      </c>
      <c r="FP4081" t="inlineStr">
        <is>
          <t>C</t>
        </is>
      </c>
    </row>
    <row r="4082">
      <c r="FC4082" t="inlineStr">
        <is>
          <t>Diccionario 4</t>
        </is>
      </c>
      <c r="FD4082" s="15" t="inlineStr">
        <is>
          <t>LZRD-90|</t>
        </is>
      </c>
      <c r="FE4082" s="15" t="inlineStr">
        <is>
          <t>YV3T7U528LA201610</t>
        </is>
      </c>
      <c r="FF4082" s="15" t="n">
        <v>508198</v>
      </c>
      <c r="FG4082" s="15" t="inlineStr">
        <is>
          <t>Volvo</t>
        </is>
      </c>
      <c r="FH4082" s="15" t="inlineStr">
        <is>
          <t>B8RLEA</t>
        </is>
      </c>
      <c r="FI4082" s="15" t="inlineStr">
        <is>
          <t>MARCOPOLO</t>
        </is>
      </c>
      <c r="FJ4082" s="15" t="inlineStr">
        <is>
          <t>GRAN VIALE</t>
        </is>
      </c>
      <c r="FK4082" s="15" t="n">
        <v>2020</v>
      </c>
      <c r="FL4082" s="15" t="inlineStr">
        <is>
          <t>C</t>
        </is>
      </c>
      <c r="FM4082" s="15" t="inlineStr">
        <is>
          <t>PIE ANDINO</t>
        </is>
      </c>
      <c r="FN4082" s="15" t="inlineStr">
        <is>
          <t>Pie Andino 31 (Pie Andino 383)</t>
        </is>
      </c>
      <c r="FO4082" s="15" t="inlineStr">
        <is>
          <t>Puente Alto</t>
        </is>
      </c>
      <c r="FP4082" t="inlineStr">
        <is>
          <t>C</t>
        </is>
      </c>
    </row>
    <row r="4083">
      <c r="FC4083" t="inlineStr">
        <is>
          <t>Diccionario 4</t>
        </is>
      </c>
      <c r="FD4083" s="15" t="inlineStr">
        <is>
          <t>LZRD-91|</t>
        </is>
      </c>
      <c r="FE4083" s="15" t="inlineStr">
        <is>
          <t>YV3T7U525LA201922</t>
        </is>
      </c>
      <c r="FF4083" s="15" t="n">
        <v>509348</v>
      </c>
      <c r="FG4083" s="15" t="inlineStr">
        <is>
          <t>Volvo</t>
        </is>
      </c>
      <c r="FH4083" s="15" t="inlineStr">
        <is>
          <t>B8RLEA</t>
        </is>
      </c>
      <c r="FI4083" s="15" t="inlineStr">
        <is>
          <t>MARCOPOLO</t>
        </is>
      </c>
      <c r="FJ4083" s="15" t="inlineStr">
        <is>
          <t>GRAN VIALE</t>
        </is>
      </c>
      <c r="FK4083" s="15" t="n">
        <v>2020</v>
      </c>
      <c r="FL4083" s="15" t="inlineStr">
        <is>
          <t>C</t>
        </is>
      </c>
      <c r="FM4083" s="15" t="inlineStr">
        <is>
          <t>SAN ALFONSO</t>
        </is>
      </c>
      <c r="FN4083" s="15" t="inlineStr">
        <is>
          <t>San Alfonso 2141 (Ramón Subercaseaux 3060)</t>
        </is>
      </c>
      <c r="FO4083" s="15" t="inlineStr">
        <is>
          <t>Estacion Central</t>
        </is>
      </c>
      <c r="FP4083" t="inlineStr">
        <is>
          <t>C</t>
        </is>
      </c>
    </row>
    <row r="4084">
      <c r="FC4084" t="inlineStr">
        <is>
          <t>Diccionario 4</t>
        </is>
      </c>
      <c r="FD4084" s="15" t="inlineStr">
        <is>
          <t>LZRD-92|</t>
        </is>
      </c>
      <c r="FE4084" s="15" t="inlineStr">
        <is>
          <t>YV3T7U527LA201906</t>
        </is>
      </c>
      <c r="FF4084" s="15" t="n">
        <v>509467</v>
      </c>
      <c r="FG4084" s="15" t="inlineStr">
        <is>
          <t>Volvo</t>
        </is>
      </c>
      <c r="FH4084" s="15" t="inlineStr">
        <is>
          <t>B8RLEA</t>
        </is>
      </c>
      <c r="FI4084" s="15" t="inlineStr">
        <is>
          <t>MARCOPOLO</t>
        </is>
      </c>
      <c r="FJ4084" s="15" t="inlineStr">
        <is>
          <t>GRAN VIALE</t>
        </is>
      </c>
      <c r="FK4084" s="15" t="n">
        <v>2020</v>
      </c>
      <c r="FL4084" s="15" t="inlineStr">
        <is>
          <t>C</t>
        </is>
      </c>
      <c r="FM4084" s="15" t="inlineStr">
        <is>
          <t>SAN ALFONSO</t>
        </is>
      </c>
      <c r="FN4084" s="15" t="inlineStr">
        <is>
          <t>San Alfonso 2141 (Ramón Subercaseaux 3060)</t>
        </is>
      </c>
      <c r="FO4084" s="15" t="inlineStr">
        <is>
          <t>Estacion Central</t>
        </is>
      </c>
      <c r="FP4084" t="inlineStr">
        <is>
          <t>C</t>
        </is>
      </c>
    </row>
    <row r="4085">
      <c r="FC4085" t="inlineStr">
        <is>
          <t>Diccionario 4</t>
        </is>
      </c>
      <c r="FD4085" s="15" t="inlineStr">
        <is>
          <t>LZRD-61|</t>
        </is>
      </c>
      <c r="FE4085" s="15" t="inlineStr">
        <is>
          <t>YV3T7U528LA201848</t>
        </is>
      </c>
      <c r="FF4085" s="15" t="n">
        <v>507981</v>
      </c>
      <c r="FG4085" s="15" t="inlineStr">
        <is>
          <t>Volvo</t>
        </is>
      </c>
      <c r="FH4085" s="15" t="inlineStr">
        <is>
          <t>B8RLEA</t>
        </is>
      </c>
      <c r="FI4085" s="15" t="inlineStr">
        <is>
          <t>MARCOPOLO</t>
        </is>
      </c>
      <c r="FJ4085" s="15" t="inlineStr">
        <is>
          <t>GRAN VIALE</t>
        </is>
      </c>
      <c r="FK4085" s="15" t="n">
        <v>2020</v>
      </c>
      <c r="FL4085" s="15" t="inlineStr">
        <is>
          <t>C</t>
        </is>
      </c>
      <c r="FM4085" s="15" t="inlineStr">
        <is>
          <t>PIE ANDINO</t>
        </is>
      </c>
      <c r="FN4085" s="15" t="inlineStr">
        <is>
          <t>Pie Andino 31 (Pie Andino 383)</t>
        </is>
      </c>
      <c r="FO4085" s="15" t="inlineStr">
        <is>
          <t>Puente Alto</t>
        </is>
      </c>
      <c r="FP4085" t="inlineStr">
        <is>
          <t>C</t>
        </is>
      </c>
    </row>
    <row r="4086">
      <c r="FC4086" t="inlineStr">
        <is>
          <t>Diccionario 4</t>
        </is>
      </c>
      <c r="FD4086" s="15" t="inlineStr">
        <is>
          <t>LZRD-94|</t>
        </is>
      </c>
      <c r="FE4086" s="15" t="inlineStr">
        <is>
          <t>YV3T7U523LA201708</t>
        </is>
      </c>
      <c r="FF4086" s="15" t="n">
        <v>508404</v>
      </c>
      <c r="FG4086" s="15" t="inlineStr">
        <is>
          <t>Volvo</t>
        </is>
      </c>
      <c r="FH4086" s="15" t="inlineStr">
        <is>
          <t>B8RLEA</t>
        </is>
      </c>
      <c r="FI4086" s="15" t="inlineStr">
        <is>
          <t>MARCOPOLO</t>
        </is>
      </c>
      <c r="FJ4086" s="15" t="inlineStr">
        <is>
          <t>GRAN VIALE</t>
        </is>
      </c>
      <c r="FK4086" s="15" t="n">
        <v>2020</v>
      </c>
      <c r="FL4086" s="15" t="inlineStr">
        <is>
          <t>C</t>
        </is>
      </c>
      <c r="FM4086" s="15" t="inlineStr">
        <is>
          <t>PIE ANDINO</t>
        </is>
      </c>
      <c r="FN4086" s="15" t="inlineStr">
        <is>
          <t>Pie Andino 31 (Pie Andino 383)</t>
        </is>
      </c>
      <c r="FO4086" s="15" t="inlineStr">
        <is>
          <t>Puente Alto</t>
        </is>
      </c>
      <c r="FP4086" t="inlineStr">
        <is>
          <t>C</t>
        </is>
      </c>
    </row>
    <row r="4087">
      <c r="FC4087" t="inlineStr">
        <is>
          <t>Diccionario 4</t>
        </is>
      </c>
      <c r="FD4087" s="15" t="inlineStr">
        <is>
          <t>LZRD-95|</t>
        </is>
      </c>
      <c r="FE4087" s="15" t="inlineStr">
        <is>
          <t>YV3T7U525LA201905</t>
        </is>
      </c>
      <c r="FF4087" s="15" t="n">
        <v>509585</v>
      </c>
      <c r="FG4087" s="15" t="inlineStr">
        <is>
          <t>Volvo</t>
        </is>
      </c>
      <c r="FH4087" s="15" t="inlineStr">
        <is>
          <t>B8RLEA</t>
        </is>
      </c>
      <c r="FI4087" s="15" t="inlineStr">
        <is>
          <t>MARCOPOLO</t>
        </is>
      </c>
      <c r="FJ4087" s="15" t="inlineStr">
        <is>
          <t>GRAN VIALE</t>
        </is>
      </c>
      <c r="FK4087" s="15" t="n">
        <v>2020</v>
      </c>
      <c r="FL4087" s="15" t="inlineStr">
        <is>
          <t>C</t>
        </is>
      </c>
      <c r="FM4087" s="15" t="inlineStr">
        <is>
          <t>PIE ANDINO</t>
        </is>
      </c>
      <c r="FN4087" s="15" t="inlineStr">
        <is>
          <t>Pie Andino 31 (Pie Andino 383)</t>
        </is>
      </c>
      <c r="FO4087" s="15" t="inlineStr">
        <is>
          <t>Puente Alto</t>
        </is>
      </c>
      <c r="FP4087" t="inlineStr">
        <is>
          <t>C</t>
        </is>
      </c>
    </row>
    <row r="4088">
      <c r="FC4088" t="inlineStr">
        <is>
          <t>Diccionario 4</t>
        </is>
      </c>
      <c r="FD4088" s="15" t="inlineStr">
        <is>
          <t>LZRD-96|</t>
        </is>
      </c>
      <c r="FE4088" s="15" t="inlineStr">
        <is>
          <t>YV3T7U520LA201908</t>
        </is>
      </c>
      <c r="FF4088" s="15" t="n">
        <v>509583</v>
      </c>
      <c r="FG4088" s="15" t="inlineStr">
        <is>
          <t>Volvo</t>
        </is>
      </c>
      <c r="FH4088" s="15" t="inlineStr">
        <is>
          <t>B8RLEA</t>
        </is>
      </c>
      <c r="FI4088" s="15" t="inlineStr">
        <is>
          <t>MARCOPOLO</t>
        </is>
      </c>
      <c r="FJ4088" s="15" t="inlineStr">
        <is>
          <t>GRAN VIALE</t>
        </is>
      </c>
      <c r="FK4088" s="15" t="n">
        <v>2020</v>
      </c>
      <c r="FL4088" s="15" t="inlineStr">
        <is>
          <t>C</t>
        </is>
      </c>
      <c r="FM4088" s="15" t="inlineStr">
        <is>
          <t>PIE ANDINO</t>
        </is>
      </c>
      <c r="FN4088" s="15" t="inlineStr">
        <is>
          <t>Pie Andino 31 (Pie Andino 383)</t>
        </is>
      </c>
      <c r="FO4088" s="15" t="inlineStr">
        <is>
          <t>Puente Alto</t>
        </is>
      </c>
      <c r="FP4088" t="inlineStr">
        <is>
          <t>C</t>
        </is>
      </c>
    </row>
    <row r="4089">
      <c r="FC4089" t="inlineStr">
        <is>
          <t>Diccionario 4</t>
        </is>
      </c>
      <c r="FD4089" s="15" t="inlineStr">
        <is>
          <t>LZRD-97|</t>
        </is>
      </c>
      <c r="FE4089" s="15" t="inlineStr">
        <is>
          <t>YV3T7U529LA201907</t>
        </is>
      </c>
      <c r="FF4089" s="15" t="n">
        <v>509444</v>
      </c>
      <c r="FG4089" s="15" t="inlineStr">
        <is>
          <t>Volvo</t>
        </is>
      </c>
      <c r="FH4089" s="15" t="inlineStr">
        <is>
          <t>B8RLEA</t>
        </is>
      </c>
      <c r="FI4089" s="15" t="inlineStr">
        <is>
          <t>MARCOPOLO</t>
        </is>
      </c>
      <c r="FJ4089" s="15" t="inlineStr">
        <is>
          <t>GRAN VIALE</t>
        </is>
      </c>
      <c r="FK4089" s="15" t="n">
        <v>2020</v>
      </c>
      <c r="FL4089" s="15" t="inlineStr">
        <is>
          <t>C</t>
        </is>
      </c>
      <c r="FM4089" s="15" t="inlineStr">
        <is>
          <t>PIE ANDINO</t>
        </is>
      </c>
      <c r="FN4089" s="15" t="inlineStr">
        <is>
          <t>Pie Andino 31 (Pie Andino 383)</t>
        </is>
      </c>
      <c r="FO4089" s="15" t="inlineStr">
        <is>
          <t>Puente Alto</t>
        </is>
      </c>
      <c r="FP4089" t="inlineStr">
        <is>
          <t>C</t>
        </is>
      </c>
    </row>
    <row r="4090">
      <c r="FC4090" t="inlineStr">
        <is>
          <t>Diccionario 4</t>
        </is>
      </c>
      <c r="FD4090" s="15" t="inlineStr">
        <is>
          <t>LZRD-98|</t>
        </is>
      </c>
      <c r="FE4090" s="15" t="inlineStr">
        <is>
          <t>YV3T7U526LA201802</t>
        </is>
      </c>
      <c r="FF4090" s="15" t="n">
        <v>509171</v>
      </c>
      <c r="FG4090" s="15" t="inlineStr">
        <is>
          <t>Volvo</t>
        </is>
      </c>
      <c r="FH4090" s="15" t="inlineStr">
        <is>
          <t>B8RLEA</t>
        </is>
      </c>
      <c r="FI4090" s="15" t="inlineStr">
        <is>
          <t>MARCOPOLO</t>
        </is>
      </c>
      <c r="FJ4090" s="15" t="inlineStr">
        <is>
          <t>GRAN VIALE</t>
        </is>
      </c>
      <c r="FK4090" s="15" t="n">
        <v>2020</v>
      </c>
      <c r="FL4090" s="15" t="inlineStr">
        <is>
          <t>C</t>
        </is>
      </c>
      <c r="FM4090" s="15" t="inlineStr">
        <is>
          <t>PIE ANDINO</t>
        </is>
      </c>
      <c r="FN4090" s="15" t="inlineStr">
        <is>
          <t>Pie Andino 31 (Pie Andino 383)</t>
        </is>
      </c>
      <c r="FO4090" s="15" t="inlineStr">
        <is>
          <t>Puente Alto</t>
        </is>
      </c>
      <c r="FP4090" t="inlineStr">
        <is>
          <t>C</t>
        </is>
      </c>
    </row>
    <row r="4091">
      <c r="FC4091" t="inlineStr">
        <is>
          <t>Diccionario 4</t>
        </is>
      </c>
      <c r="FD4091" s="15" t="inlineStr">
        <is>
          <t>LZRD-99|</t>
        </is>
      </c>
      <c r="FE4091" s="15" t="inlineStr">
        <is>
          <t>YV3T7U523LA201904</t>
        </is>
      </c>
      <c r="FF4091" s="15" t="n">
        <v>509572</v>
      </c>
      <c r="FG4091" s="15" t="inlineStr">
        <is>
          <t>Volvo</t>
        </is>
      </c>
      <c r="FH4091" s="15" t="inlineStr">
        <is>
          <t>B8RLEA</t>
        </is>
      </c>
      <c r="FI4091" s="15" t="inlineStr">
        <is>
          <t>MARCOPOLO</t>
        </is>
      </c>
      <c r="FJ4091" s="15" t="inlineStr">
        <is>
          <t>GRAN VIALE</t>
        </is>
      </c>
      <c r="FK4091" s="15" t="n">
        <v>2020</v>
      </c>
      <c r="FL4091" s="15" t="inlineStr">
        <is>
          <t>C</t>
        </is>
      </c>
      <c r="FM4091" s="15" t="inlineStr">
        <is>
          <t>PIE ANDINO</t>
        </is>
      </c>
      <c r="FN4091" s="15" t="inlineStr">
        <is>
          <t>Pie Andino 31 (Pie Andino 383)</t>
        </is>
      </c>
      <c r="FO4091" s="15" t="inlineStr">
        <is>
          <t>Puente Alto</t>
        </is>
      </c>
      <c r="FP4091" t="inlineStr">
        <is>
          <t>C</t>
        </is>
      </c>
    </row>
    <row r="4092">
      <c r="FC4092" t="inlineStr">
        <is>
          <t>Diccionario 4</t>
        </is>
      </c>
      <c r="FD4092" s="15" t="inlineStr">
        <is>
          <t>LZRF-10|</t>
        </is>
      </c>
      <c r="FE4092" s="15" t="inlineStr">
        <is>
          <t>YV3T7U525LA201712</t>
        </is>
      </c>
      <c r="FF4092" s="15" t="n">
        <v>508475</v>
      </c>
      <c r="FG4092" s="15" t="inlineStr">
        <is>
          <t>Volvo</t>
        </is>
      </c>
      <c r="FH4092" s="15" t="inlineStr">
        <is>
          <t>B8RLEA</t>
        </is>
      </c>
      <c r="FI4092" s="15" t="inlineStr">
        <is>
          <t>MARCOPOLO</t>
        </is>
      </c>
      <c r="FJ4092" s="15" t="inlineStr">
        <is>
          <t>GRAN VIALE</t>
        </is>
      </c>
      <c r="FK4092" s="15" t="n">
        <v>2020</v>
      </c>
      <c r="FL4092" s="15" t="inlineStr">
        <is>
          <t>C</t>
        </is>
      </c>
      <c r="FM4092" s="15" t="inlineStr">
        <is>
          <t>PIE ANDINO</t>
        </is>
      </c>
      <c r="FN4092" s="15" t="inlineStr">
        <is>
          <t>Pie Andino 31 (Pie Andino 383)</t>
        </is>
      </c>
      <c r="FO4092" s="15" t="inlineStr">
        <is>
          <t>Puente Alto</t>
        </is>
      </c>
      <c r="FP4092" t="inlineStr">
        <is>
          <t>C</t>
        </is>
      </c>
    </row>
    <row r="4093">
      <c r="FC4093" t="inlineStr">
        <is>
          <t>Diccionario 4</t>
        </is>
      </c>
      <c r="FD4093" s="15" t="inlineStr">
        <is>
          <t>LZRF-11|</t>
        </is>
      </c>
      <c r="FE4093" s="15" t="inlineStr">
        <is>
          <t>YV3T7U526LA201847</t>
        </is>
      </c>
      <c r="FF4093" s="15" t="n">
        <v>507974</v>
      </c>
      <c r="FG4093" s="15" t="inlineStr">
        <is>
          <t>Volvo</t>
        </is>
      </c>
      <c r="FH4093" s="15" t="inlineStr">
        <is>
          <t>B8RLEA</t>
        </is>
      </c>
      <c r="FI4093" s="15" t="inlineStr">
        <is>
          <t>MARCOPOLO</t>
        </is>
      </c>
      <c r="FJ4093" s="15" t="inlineStr">
        <is>
          <t>GRAN VIALE</t>
        </is>
      </c>
      <c r="FK4093" s="15" t="n">
        <v>2020</v>
      </c>
      <c r="FL4093" s="15" t="inlineStr">
        <is>
          <t>C</t>
        </is>
      </c>
      <c r="FM4093" s="15" t="inlineStr">
        <is>
          <t>PIE ANDINO</t>
        </is>
      </c>
      <c r="FN4093" s="15" t="inlineStr">
        <is>
          <t>Pie Andino 31 (Pie Andino 383)</t>
        </is>
      </c>
      <c r="FO4093" s="15" t="inlineStr">
        <is>
          <t>Puente Alto</t>
        </is>
      </c>
      <c r="FP4093" t="inlineStr">
        <is>
          <t>C</t>
        </is>
      </c>
    </row>
    <row r="4094">
      <c r="FC4094" t="inlineStr">
        <is>
          <t>Diccionario 4</t>
        </is>
      </c>
      <c r="FD4094" s="15" t="inlineStr">
        <is>
          <t>LZRF-12|</t>
        </is>
      </c>
      <c r="FE4094" s="15" t="inlineStr">
        <is>
          <t>YV3T7U528LA201851</t>
        </is>
      </c>
      <c r="FF4094" s="15" t="n">
        <v>508008</v>
      </c>
      <c r="FG4094" s="15" t="inlineStr">
        <is>
          <t>Volvo</t>
        </is>
      </c>
      <c r="FH4094" s="15" t="inlineStr">
        <is>
          <t>B8RLEA</t>
        </is>
      </c>
      <c r="FI4094" s="15" t="inlineStr">
        <is>
          <t>MARCOPOLO</t>
        </is>
      </c>
      <c r="FJ4094" s="15" t="inlineStr">
        <is>
          <t>GRAN VIALE</t>
        </is>
      </c>
      <c r="FK4094" s="15" t="n">
        <v>2020</v>
      </c>
      <c r="FL4094" s="15" t="inlineStr">
        <is>
          <t>C</t>
        </is>
      </c>
      <c r="FM4094" s="15" t="inlineStr">
        <is>
          <t>PIE ANDINO</t>
        </is>
      </c>
      <c r="FN4094" s="15" t="inlineStr">
        <is>
          <t>Pie Andino 31 (Pie Andino 383)</t>
        </is>
      </c>
      <c r="FO4094" s="15" t="inlineStr">
        <is>
          <t>Puente Alto</t>
        </is>
      </c>
      <c r="FP4094" t="inlineStr">
        <is>
          <t>C</t>
        </is>
      </c>
    </row>
    <row r="4095">
      <c r="FC4095" t="inlineStr">
        <is>
          <t>Diccionario 4</t>
        </is>
      </c>
      <c r="FD4095" s="15" t="inlineStr">
        <is>
          <t>LZRF-13|</t>
        </is>
      </c>
      <c r="FE4095" s="15" t="inlineStr">
        <is>
          <t>YV3T7U529LA201499</t>
        </is>
      </c>
      <c r="FF4095" s="15" t="n">
        <v>507878</v>
      </c>
      <c r="FG4095" s="15" t="inlineStr">
        <is>
          <t>Volvo</t>
        </is>
      </c>
      <c r="FH4095" s="15" t="inlineStr">
        <is>
          <t>B8RLEA</t>
        </is>
      </c>
      <c r="FI4095" s="15" t="inlineStr">
        <is>
          <t>MARCOPOLO</t>
        </is>
      </c>
      <c r="FJ4095" s="15" t="inlineStr">
        <is>
          <t>GRAN VIALE</t>
        </is>
      </c>
      <c r="FK4095" s="15" t="n">
        <v>2020</v>
      </c>
      <c r="FL4095" s="15" t="inlineStr">
        <is>
          <t>C</t>
        </is>
      </c>
      <c r="FM4095" s="15" t="inlineStr">
        <is>
          <t>PIE ANDINO</t>
        </is>
      </c>
      <c r="FN4095" s="15" t="inlineStr">
        <is>
          <t>Pie Andino 31 (Pie Andino 383)</t>
        </is>
      </c>
      <c r="FO4095" s="15" t="inlineStr">
        <is>
          <t>Puente Alto</t>
        </is>
      </c>
      <c r="FP4095" t="inlineStr">
        <is>
          <t>C</t>
        </is>
      </c>
    </row>
    <row r="4096">
      <c r="FC4096" t="inlineStr">
        <is>
          <t>Diccionario 4</t>
        </is>
      </c>
      <c r="FD4096" s="15" t="inlineStr">
        <is>
          <t>LZRF-14|</t>
        </is>
      </c>
      <c r="FE4096" s="15" t="inlineStr">
        <is>
          <t>YV3T7U524LA201541</t>
        </is>
      </c>
      <c r="FF4096" s="15" t="n">
        <v>507933</v>
      </c>
      <c r="FG4096" s="15" t="inlineStr">
        <is>
          <t>Volvo</t>
        </is>
      </c>
      <c r="FH4096" s="15" t="inlineStr">
        <is>
          <t>B8RLEA</t>
        </is>
      </c>
      <c r="FI4096" s="15" t="inlineStr">
        <is>
          <t>MARCOPOLO</t>
        </is>
      </c>
      <c r="FJ4096" s="15" t="inlineStr">
        <is>
          <t>GRAN VIALE</t>
        </is>
      </c>
      <c r="FK4096" s="15" t="n">
        <v>2020</v>
      </c>
      <c r="FL4096" s="15" t="inlineStr">
        <is>
          <t>C</t>
        </is>
      </c>
      <c r="FM4096" s="15" t="inlineStr">
        <is>
          <t>PIE ANDINO</t>
        </is>
      </c>
      <c r="FN4096" s="15" t="inlineStr">
        <is>
          <t>Pie Andino 31 (Pie Andino 383)</t>
        </is>
      </c>
      <c r="FO4096" s="15" t="inlineStr">
        <is>
          <t>Puente Alto</t>
        </is>
      </c>
      <c r="FP4096" t="inlineStr">
        <is>
          <t>C</t>
        </is>
      </c>
    </row>
    <row r="4097">
      <c r="FC4097" t="inlineStr">
        <is>
          <t>Diccionario 4</t>
        </is>
      </c>
      <c r="FD4097" s="15" t="inlineStr">
        <is>
          <t>LZRF-15|</t>
        </is>
      </c>
      <c r="FE4097" s="15" t="inlineStr">
        <is>
          <t>YV3T7U524LA198723</t>
        </is>
      </c>
      <c r="FF4097" s="15" t="n">
        <v>508173</v>
      </c>
      <c r="FG4097" s="15" t="inlineStr">
        <is>
          <t>Volvo</t>
        </is>
      </c>
      <c r="FH4097" s="15" t="inlineStr">
        <is>
          <t>B8RLEA</t>
        </is>
      </c>
      <c r="FI4097" s="15" t="inlineStr">
        <is>
          <t>MARCOPOLO</t>
        </is>
      </c>
      <c r="FJ4097" s="15" t="inlineStr">
        <is>
          <t>GRAN VIALE</t>
        </is>
      </c>
      <c r="FK4097" s="15" t="n">
        <v>2020</v>
      </c>
      <c r="FL4097" s="15" t="inlineStr">
        <is>
          <t>C</t>
        </is>
      </c>
      <c r="FM4097" s="15" t="inlineStr">
        <is>
          <t>PIE ANDINO</t>
        </is>
      </c>
      <c r="FN4097" s="15" t="inlineStr">
        <is>
          <t>Pie Andino 31 (Pie Andino 383)</t>
        </is>
      </c>
      <c r="FO4097" s="15" t="inlineStr">
        <is>
          <t>Puente Alto</t>
        </is>
      </c>
      <c r="FP4097" t="inlineStr">
        <is>
          <t>C</t>
        </is>
      </c>
    </row>
    <row r="4098">
      <c r="FC4098" t="inlineStr">
        <is>
          <t>Diccionario 4</t>
        </is>
      </c>
      <c r="FD4098" s="15" t="inlineStr">
        <is>
          <t>RJXT-26|</t>
        </is>
      </c>
      <c r="FE4098" s="15" t="inlineStr">
        <is>
          <t>YV3T7U528KA194902</t>
        </is>
      </c>
      <c r="FF4098" s="15" t="n">
        <v>480074</v>
      </c>
      <c r="FG4098" s="15" t="inlineStr">
        <is>
          <t>Volvo</t>
        </is>
      </c>
      <c r="FH4098" s="15" t="inlineStr">
        <is>
          <t>B8RLEA</t>
        </is>
      </c>
      <c r="FI4098" s="15" t="inlineStr">
        <is>
          <t>MARCOPOLO</t>
        </is>
      </c>
      <c r="FJ4098" s="15" t="inlineStr">
        <is>
          <t>MONDEGO II</t>
        </is>
      </c>
      <c r="FK4098" s="15" t="n">
        <v>2021</v>
      </c>
      <c r="FL4098" s="15" t="inlineStr">
        <is>
          <t>C</t>
        </is>
      </c>
      <c r="FM4098" s="15" t="inlineStr">
        <is>
          <t>PIE ANDINO</t>
        </is>
      </c>
      <c r="FN4098" s="15" t="inlineStr">
        <is>
          <t>Pie Andino 31 (Pie Andino 383)</t>
        </is>
      </c>
      <c r="FO4098" s="15" t="inlineStr">
        <is>
          <t>Puente Alto</t>
        </is>
      </c>
      <c r="FP4098" t="inlineStr">
        <is>
          <t>C</t>
        </is>
      </c>
    </row>
    <row r="4099">
      <c r="FC4099" t="inlineStr">
        <is>
          <t>Diccionario 4</t>
        </is>
      </c>
      <c r="FD4099" s="15" t="inlineStr">
        <is>
          <t>RWTP-78|</t>
        </is>
      </c>
      <c r="FE4099" s="15" t="inlineStr">
        <is>
          <t>YV3T7U52XNA207976</t>
        </is>
      </c>
      <c r="FF4099" s="15" t="n">
        <v>552632</v>
      </c>
      <c r="FG4099" s="15" t="inlineStr">
        <is>
          <t>Volvo</t>
        </is>
      </c>
      <c r="FH4099" s="15" t="inlineStr">
        <is>
          <t>B8RLEA</t>
        </is>
      </c>
      <c r="FI4099" s="15" t="inlineStr">
        <is>
          <t>MARCOPOLO</t>
        </is>
      </c>
      <c r="FJ4099" s="15" t="inlineStr">
        <is>
          <t>GRAN VIALE</t>
        </is>
      </c>
      <c r="FK4099" s="15" t="n">
        <v>2022</v>
      </c>
      <c r="FL4099" s="15" t="inlineStr">
        <is>
          <t>C</t>
        </is>
      </c>
      <c r="FM4099" s="15" t="inlineStr">
        <is>
          <t>PIE ANDINO</t>
        </is>
      </c>
      <c r="FN4099" s="15" t="inlineStr">
        <is>
          <t>Pie Andino 31 (Pie Andino 383)</t>
        </is>
      </c>
      <c r="FO4099" s="15" t="inlineStr">
        <is>
          <t>Puente Alto</t>
        </is>
      </c>
      <c r="FP4099" t="inlineStr">
        <is>
          <t>C</t>
        </is>
      </c>
    </row>
    <row r="4100">
      <c r="FC4100" t="inlineStr">
        <is>
          <t>Diccionario 4</t>
        </is>
      </c>
      <c r="FD4100" s="15" t="inlineStr">
        <is>
          <t>RWTP-79|</t>
        </is>
      </c>
      <c r="FE4100" s="15" t="inlineStr">
        <is>
          <t>YV3T7U52XNA207895</t>
        </is>
      </c>
      <c r="FF4100" s="15" t="n">
        <v>552649</v>
      </c>
      <c r="FG4100" s="15" t="inlineStr">
        <is>
          <t>Volvo</t>
        </is>
      </c>
      <c r="FH4100" s="15" t="inlineStr">
        <is>
          <t>B8RLEA</t>
        </is>
      </c>
      <c r="FI4100" s="15" t="inlineStr">
        <is>
          <t>MARCOPOLO</t>
        </is>
      </c>
      <c r="FJ4100" s="15" t="inlineStr">
        <is>
          <t>GRAN VIALE</t>
        </is>
      </c>
      <c r="FK4100" s="15" t="n">
        <v>2022</v>
      </c>
      <c r="FL4100" s="15" t="inlineStr">
        <is>
          <t>C</t>
        </is>
      </c>
      <c r="FM4100" s="15" t="inlineStr">
        <is>
          <t>SAN ALFONSO</t>
        </is>
      </c>
      <c r="FN4100" s="15" t="inlineStr">
        <is>
          <t>San Alfonso 2141 (Ramón Subercaseaux 3060)</t>
        </is>
      </c>
      <c r="FO4100" s="15" t="inlineStr">
        <is>
          <t>Estacion Central</t>
        </is>
      </c>
      <c r="FP4100" t="inlineStr">
        <is>
          <t>C</t>
        </is>
      </c>
    </row>
    <row r="4101">
      <c r="FC4101" t="inlineStr">
        <is>
          <t>Diccionario 4</t>
        </is>
      </c>
      <c r="FD4101" s="15" t="inlineStr">
        <is>
          <t>RWTP-80|</t>
        </is>
      </c>
      <c r="FE4101" s="15" t="inlineStr">
        <is>
          <t>YV3T7U528NA207894</t>
        </is>
      </c>
      <c r="FF4101" s="15" t="n">
        <v>552624</v>
      </c>
      <c r="FG4101" s="15" t="inlineStr">
        <is>
          <t>Volvo</t>
        </is>
      </c>
      <c r="FH4101" s="15" t="inlineStr">
        <is>
          <t>B8RLEA</t>
        </is>
      </c>
      <c r="FI4101" s="15" t="inlineStr">
        <is>
          <t>MARCOPOLO</t>
        </is>
      </c>
      <c r="FJ4101" s="15" t="inlineStr">
        <is>
          <t>GRAN VIALE</t>
        </is>
      </c>
      <c r="FK4101" s="15" t="n">
        <v>2022</v>
      </c>
      <c r="FL4101" s="15" t="inlineStr">
        <is>
          <t>C</t>
        </is>
      </c>
      <c r="FM4101" s="15" t="inlineStr">
        <is>
          <t>SAN ALFONSO</t>
        </is>
      </c>
      <c r="FN4101" s="15" t="inlineStr">
        <is>
          <t>San Alfonso 2141 (Ramón Subercaseaux 3060)</t>
        </is>
      </c>
      <c r="FO4101" s="15" t="inlineStr">
        <is>
          <t>Estacion Central</t>
        </is>
      </c>
      <c r="FP4101" t="inlineStr">
        <is>
          <t>C</t>
        </is>
      </c>
    </row>
    <row r="4102">
      <c r="FC4102" t="inlineStr">
        <is>
          <t>Diccionario 4</t>
        </is>
      </c>
      <c r="FD4102" s="15" t="inlineStr">
        <is>
          <t>RWTP-81|</t>
        </is>
      </c>
      <c r="FE4102" s="15" t="inlineStr">
        <is>
          <t>YV3T7U526NA207893</t>
        </is>
      </c>
      <c r="FF4102" s="15" t="n">
        <v>552338</v>
      </c>
      <c r="FG4102" s="15" t="inlineStr">
        <is>
          <t>Volvo</t>
        </is>
      </c>
      <c r="FH4102" s="15" t="inlineStr">
        <is>
          <t>B8RLEA</t>
        </is>
      </c>
      <c r="FI4102" s="15" t="inlineStr">
        <is>
          <t>MARCOPOLO</t>
        </is>
      </c>
      <c r="FJ4102" s="15" t="inlineStr">
        <is>
          <t>GRAN VIALE</t>
        </is>
      </c>
      <c r="FK4102" s="15" t="n">
        <v>2022</v>
      </c>
      <c r="FL4102" s="15" t="inlineStr">
        <is>
          <t>C</t>
        </is>
      </c>
      <c r="FM4102" s="15" t="inlineStr">
        <is>
          <t>SAN ALFONSO</t>
        </is>
      </c>
      <c r="FN4102" s="15" t="inlineStr">
        <is>
          <t>San Alfonso 2141 (Ramón Subercaseaux 3060)</t>
        </is>
      </c>
      <c r="FO4102" s="15" t="inlineStr">
        <is>
          <t>Estacion Central</t>
        </is>
      </c>
      <c r="FP4102" t="inlineStr">
        <is>
          <t>C</t>
        </is>
      </c>
    </row>
    <row r="4103">
      <c r="FC4103" t="inlineStr">
        <is>
          <t>Diccionario 4</t>
        </is>
      </c>
      <c r="FD4103" s="15" t="inlineStr">
        <is>
          <t>RWTP-82|</t>
        </is>
      </c>
      <c r="FE4103" s="15" t="inlineStr">
        <is>
          <t>YV3T7U525NA207884</t>
        </is>
      </c>
      <c r="FF4103" s="15" t="n">
        <v>552333</v>
      </c>
      <c r="FG4103" s="15" t="inlineStr">
        <is>
          <t>Volvo</t>
        </is>
      </c>
      <c r="FH4103" s="15" t="inlineStr">
        <is>
          <t>B8RLEA</t>
        </is>
      </c>
      <c r="FI4103" s="15" t="inlineStr">
        <is>
          <t>MARCOPOLO</t>
        </is>
      </c>
      <c r="FJ4103" s="15" t="inlineStr">
        <is>
          <t>GRAN VIALE</t>
        </is>
      </c>
      <c r="FK4103" s="15" t="n">
        <v>2022</v>
      </c>
      <c r="FL4103" s="15" t="inlineStr">
        <is>
          <t>C</t>
        </is>
      </c>
      <c r="FM4103" s="15" t="inlineStr">
        <is>
          <t>SAN ALFONSO</t>
        </is>
      </c>
      <c r="FN4103" s="15" t="inlineStr">
        <is>
          <t>San Alfonso 2141 (Ramón Subercaseaux 3060)</t>
        </is>
      </c>
      <c r="FO4103" s="15" t="inlineStr">
        <is>
          <t>Estacion Central</t>
        </is>
      </c>
      <c r="FP4103" t="inlineStr">
        <is>
          <t>C</t>
        </is>
      </c>
    </row>
    <row r="4104">
      <c r="FC4104" t="inlineStr">
        <is>
          <t>Diccionario 4</t>
        </is>
      </c>
      <c r="FD4104" s="15" t="inlineStr">
        <is>
          <t>RWTP-83|</t>
        </is>
      </c>
      <c r="FE4104" s="15" t="inlineStr">
        <is>
          <t>YV3T7U523NA207995</t>
        </is>
      </c>
      <c r="FF4104" s="15" t="n">
        <v>552881</v>
      </c>
      <c r="FG4104" s="15" t="inlineStr">
        <is>
          <t>Volvo</t>
        </is>
      </c>
      <c r="FH4104" s="15" t="inlineStr">
        <is>
          <t>B8RLEA</t>
        </is>
      </c>
      <c r="FI4104" s="15" t="inlineStr">
        <is>
          <t>MARCOPOLO</t>
        </is>
      </c>
      <c r="FJ4104" s="15" t="inlineStr">
        <is>
          <t>GRAN VIALE</t>
        </is>
      </c>
      <c r="FK4104" s="15" t="n">
        <v>2022</v>
      </c>
      <c r="FL4104" s="15" t="inlineStr">
        <is>
          <t>C</t>
        </is>
      </c>
      <c r="FM4104" s="15" t="inlineStr">
        <is>
          <t>PIE ANDINO</t>
        </is>
      </c>
      <c r="FN4104" s="15" t="inlineStr">
        <is>
          <t>Pie Andino 31 (Pie Andino 383)</t>
        </is>
      </c>
      <c r="FO4104" s="15" t="inlineStr">
        <is>
          <t>Puente Alto</t>
        </is>
      </c>
      <c r="FP4104" t="inlineStr">
        <is>
          <t>C</t>
        </is>
      </c>
    </row>
    <row r="4105">
      <c r="FC4105" t="inlineStr">
        <is>
          <t>Diccionario 4</t>
        </is>
      </c>
      <c r="FD4105" s="15" t="inlineStr">
        <is>
          <t>RWTP-84|</t>
        </is>
      </c>
      <c r="FE4105" s="15" t="inlineStr">
        <is>
          <t>YV3T7U521NA207834</t>
        </is>
      </c>
      <c r="FF4105" s="15" t="n">
        <v>550630</v>
      </c>
      <c r="FG4105" s="15" t="inlineStr">
        <is>
          <t>Volvo</t>
        </is>
      </c>
      <c r="FH4105" s="15" t="inlineStr">
        <is>
          <t>B8RLEA</t>
        </is>
      </c>
      <c r="FI4105" s="15" t="inlineStr">
        <is>
          <t>MARCOPOLO</t>
        </is>
      </c>
      <c r="FJ4105" s="15" t="inlineStr">
        <is>
          <t>GRAN VIALE</t>
        </is>
      </c>
      <c r="FK4105" s="15" t="n">
        <v>2022</v>
      </c>
      <c r="FL4105" s="15" t="inlineStr">
        <is>
          <t>C</t>
        </is>
      </c>
      <c r="FM4105" s="15" t="inlineStr">
        <is>
          <t>SAN ALFONSO</t>
        </is>
      </c>
      <c r="FN4105" s="15" t="inlineStr">
        <is>
          <t>San Alfonso 2141 (Ramón Subercaseaux 3060)</t>
        </is>
      </c>
      <c r="FO4105" s="15" t="inlineStr">
        <is>
          <t>Estacion Central</t>
        </is>
      </c>
      <c r="FP4105" t="inlineStr">
        <is>
          <t>C</t>
        </is>
      </c>
    </row>
    <row r="4106">
      <c r="FC4106" t="inlineStr">
        <is>
          <t>Diccionario 4</t>
        </is>
      </c>
      <c r="FD4106" s="15" t="inlineStr">
        <is>
          <t>RWTP-85|</t>
        </is>
      </c>
      <c r="FE4106" s="15" t="inlineStr">
        <is>
          <t>YV3T7U529NA207967</t>
        </is>
      </c>
      <c r="FF4106" s="15" t="n">
        <v>552303</v>
      </c>
      <c r="FG4106" s="15" t="inlineStr">
        <is>
          <t>Volvo</t>
        </is>
      </c>
      <c r="FH4106" s="15" t="inlineStr">
        <is>
          <t>B8RLEA</t>
        </is>
      </c>
      <c r="FI4106" s="15" t="inlineStr">
        <is>
          <t>MARCOPOLO</t>
        </is>
      </c>
      <c r="FJ4106" s="15" t="inlineStr">
        <is>
          <t>GRAN VIALE</t>
        </is>
      </c>
      <c r="FK4106" s="15" t="n">
        <v>2022</v>
      </c>
      <c r="FL4106" s="15" t="inlineStr">
        <is>
          <t>C</t>
        </is>
      </c>
      <c r="FM4106" s="15" t="inlineStr">
        <is>
          <t>PIE ANDINO</t>
        </is>
      </c>
      <c r="FN4106" s="15" t="inlineStr">
        <is>
          <t>Pie Andino 31 (Pie Andino 383)</t>
        </is>
      </c>
      <c r="FO4106" s="15" t="inlineStr">
        <is>
          <t>Puente Alto</t>
        </is>
      </c>
      <c r="FP4106" t="inlineStr">
        <is>
          <t>C</t>
        </is>
      </c>
    </row>
    <row r="4107">
      <c r="FC4107" t="inlineStr">
        <is>
          <t>Diccionario 4</t>
        </is>
      </c>
      <c r="FD4107" s="15" t="inlineStr">
        <is>
          <t>RWTP-86|</t>
        </is>
      </c>
      <c r="FE4107" s="15" t="inlineStr">
        <is>
          <t>YV3T7U528NA207930</t>
        </is>
      </c>
      <c r="FF4107" s="15" t="n">
        <v>551701</v>
      </c>
      <c r="FG4107" s="15" t="inlineStr">
        <is>
          <t>Volvo</t>
        </is>
      </c>
      <c r="FH4107" s="15" t="inlineStr">
        <is>
          <t>B8RLEA</t>
        </is>
      </c>
      <c r="FI4107" s="15" t="inlineStr">
        <is>
          <t>MARCOPOLO</t>
        </is>
      </c>
      <c r="FJ4107" s="15" t="inlineStr">
        <is>
          <t>GRAN VIALE</t>
        </is>
      </c>
      <c r="FK4107" s="15" t="n">
        <v>2022</v>
      </c>
      <c r="FL4107" s="15" t="inlineStr">
        <is>
          <t>C</t>
        </is>
      </c>
      <c r="FM4107" s="15" t="inlineStr">
        <is>
          <t>PIE ANDINO</t>
        </is>
      </c>
      <c r="FN4107" s="15" t="inlineStr">
        <is>
          <t>Pie Andino 31 (Pie Andino 383)</t>
        </is>
      </c>
      <c r="FO4107" s="15" t="inlineStr">
        <is>
          <t>Puente Alto</t>
        </is>
      </c>
      <c r="FP4107" t="inlineStr">
        <is>
          <t>C</t>
        </is>
      </c>
    </row>
    <row r="4108">
      <c r="FC4108" t="inlineStr">
        <is>
          <t>Diccionario 4</t>
        </is>
      </c>
      <c r="FD4108" s="15" t="inlineStr">
        <is>
          <t>RWTP-87|</t>
        </is>
      </c>
      <c r="FE4108" s="15" t="inlineStr">
        <is>
          <t>YV3T7U522NA207891</t>
        </is>
      </c>
      <c r="FF4108" s="15" t="n">
        <v>552373</v>
      </c>
      <c r="FG4108" s="15" t="inlineStr">
        <is>
          <t>Volvo</t>
        </is>
      </c>
      <c r="FH4108" s="15" t="inlineStr">
        <is>
          <t>B8RLEA</t>
        </is>
      </c>
      <c r="FI4108" s="15" t="inlineStr">
        <is>
          <t>MARCOPOLO</t>
        </is>
      </c>
      <c r="FJ4108" s="15" t="inlineStr">
        <is>
          <t>GRAN VIALE</t>
        </is>
      </c>
      <c r="FK4108" s="15" t="n">
        <v>2022</v>
      </c>
      <c r="FL4108" s="15" t="inlineStr">
        <is>
          <t>C</t>
        </is>
      </c>
      <c r="FM4108" s="15" t="inlineStr">
        <is>
          <t>SAN ALFONSO</t>
        </is>
      </c>
      <c r="FN4108" s="15" t="inlineStr">
        <is>
          <t>San Alfonso 2141 (Ramón Subercaseaux 3060)</t>
        </is>
      </c>
      <c r="FO4108" s="15" t="inlineStr">
        <is>
          <t>Estacion Central</t>
        </is>
      </c>
      <c r="FP4108" t="inlineStr">
        <is>
          <t>C</t>
        </is>
      </c>
    </row>
    <row r="4109">
      <c r="FC4109" t="inlineStr">
        <is>
          <t>Diccionario 4</t>
        </is>
      </c>
      <c r="FD4109" s="15" t="inlineStr">
        <is>
          <t>RWTP-88|</t>
        </is>
      </c>
      <c r="FE4109" s="15" t="inlineStr">
        <is>
          <t>YV3T7U52XNA207881</t>
        </is>
      </c>
      <c r="FF4109" s="15" t="n">
        <v>552573</v>
      </c>
      <c r="FG4109" s="15" t="inlineStr">
        <is>
          <t>Volvo</t>
        </is>
      </c>
      <c r="FH4109" s="15" t="inlineStr">
        <is>
          <t>B8RLEA</t>
        </is>
      </c>
      <c r="FI4109" s="15" t="inlineStr">
        <is>
          <t>MARCOPOLO</t>
        </is>
      </c>
      <c r="FJ4109" s="15" t="inlineStr">
        <is>
          <t>GRAN VIALE</t>
        </is>
      </c>
      <c r="FK4109" s="15" t="n">
        <v>2022</v>
      </c>
      <c r="FL4109" s="15" t="inlineStr">
        <is>
          <t>C</t>
        </is>
      </c>
      <c r="FM4109" s="15" t="inlineStr">
        <is>
          <t>SAN ALFONSO</t>
        </is>
      </c>
      <c r="FN4109" s="15" t="inlineStr">
        <is>
          <t>San Alfonso 2141 (Ramón Subercaseaux 3060)</t>
        </is>
      </c>
      <c r="FO4109" s="15" t="inlineStr">
        <is>
          <t>Estacion Central</t>
        </is>
      </c>
      <c r="FP4109" t="inlineStr">
        <is>
          <t>C</t>
        </is>
      </c>
    </row>
    <row r="4110">
      <c r="FC4110" t="inlineStr">
        <is>
          <t>Diccionario 4</t>
        </is>
      </c>
      <c r="FD4110" s="15" t="inlineStr">
        <is>
          <t>RWTP-89|</t>
        </is>
      </c>
      <c r="FE4110" s="15" t="inlineStr">
        <is>
          <t>YV3T7U527NA207837</t>
        </is>
      </c>
      <c r="FF4110" s="15" t="n">
        <v>550568</v>
      </c>
      <c r="FG4110" s="15" t="inlineStr">
        <is>
          <t>Volvo</t>
        </is>
      </c>
      <c r="FH4110" s="15" t="inlineStr">
        <is>
          <t>B8RLEA</t>
        </is>
      </c>
      <c r="FI4110" s="15" t="inlineStr">
        <is>
          <t>MARCOPOLO</t>
        </is>
      </c>
      <c r="FJ4110" s="15" t="inlineStr">
        <is>
          <t>GRAN VIALE</t>
        </is>
      </c>
      <c r="FK4110" s="15" t="n">
        <v>2022</v>
      </c>
      <c r="FL4110" s="15" t="inlineStr">
        <is>
          <t>C</t>
        </is>
      </c>
      <c r="FM4110" s="15" t="inlineStr">
        <is>
          <t>SAN ALFONSO</t>
        </is>
      </c>
      <c r="FN4110" s="15" t="inlineStr">
        <is>
          <t>San Alfonso 2141 (Ramón Subercaseaux 3060)</t>
        </is>
      </c>
      <c r="FO4110" s="15" t="inlineStr">
        <is>
          <t>Estacion Central</t>
        </is>
      </c>
      <c r="FP4110" t="inlineStr">
        <is>
          <t>C</t>
        </is>
      </c>
    </row>
    <row r="4111">
      <c r="FC4111" t="inlineStr">
        <is>
          <t>Diccionario 4</t>
        </is>
      </c>
      <c r="FD4111" s="15" t="inlineStr">
        <is>
          <t>RWTP-90|</t>
        </is>
      </c>
      <c r="FE4111" s="15" t="inlineStr">
        <is>
          <t>YV3T7U527NA207935</t>
        </is>
      </c>
      <c r="FF4111" s="15" t="n">
        <v>551734</v>
      </c>
      <c r="FG4111" s="15" t="inlineStr">
        <is>
          <t>Volvo</t>
        </is>
      </c>
      <c r="FH4111" s="15" t="inlineStr">
        <is>
          <t>B8RLEA</t>
        </is>
      </c>
      <c r="FI4111" s="15" t="inlineStr">
        <is>
          <t>MARCOPOLO</t>
        </is>
      </c>
      <c r="FJ4111" s="15" t="inlineStr">
        <is>
          <t>GRAN VIALE</t>
        </is>
      </c>
      <c r="FK4111" s="15" t="n">
        <v>2022</v>
      </c>
      <c r="FL4111" s="15" t="inlineStr">
        <is>
          <t>C</t>
        </is>
      </c>
      <c r="FM4111" s="15" t="inlineStr">
        <is>
          <t>PIE ANDINO</t>
        </is>
      </c>
      <c r="FN4111" s="15" t="inlineStr">
        <is>
          <t>Pie Andino 31 (Pie Andino 383)</t>
        </is>
      </c>
      <c r="FO4111" s="15" t="inlineStr">
        <is>
          <t>Puente Alto</t>
        </is>
      </c>
      <c r="FP4111" t="inlineStr">
        <is>
          <t>C</t>
        </is>
      </c>
    </row>
    <row r="4112">
      <c r="FC4112" t="inlineStr">
        <is>
          <t>Diccionario 4</t>
        </is>
      </c>
      <c r="FD4112" s="15" t="inlineStr">
        <is>
          <t>RWTP-91|</t>
        </is>
      </c>
      <c r="FE4112" s="15" t="inlineStr">
        <is>
          <t>YV3T7U524NA207892</t>
        </is>
      </c>
      <c r="FF4112" s="15" t="n">
        <v>552393</v>
      </c>
      <c r="FG4112" s="15" t="inlineStr">
        <is>
          <t>Volvo</t>
        </is>
      </c>
      <c r="FH4112" s="15" t="inlineStr">
        <is>
          <t>B8RLEA</t>
        </is>
      </c>
      <c r="FI4112" s="15" t="inlineStr">
        <is>
          <t>MARCOPOLO</t>
        </is>
      </c>
      <c r="FJ4112" s="15" t="inlineStr">
        <is>
          <t>GRAN VIALE</t>
        </is>
      </c>
      <c r="FK4112" s="15" t="n">
        <v>2022</v>
      </c>
      <c r="FL4112" s="15" t="inlineStr">
        <is>
          <t>C</t>
        </is>
      </c>
      <c r="FM4112" s="15" t="inlineStr">
        <is>
          <t>SAN ALFONSO</t>
        </is>
      </c>
      <c r="FN4112" s="15" t="inlineStr">
        <is>
          <t>San Alfonso 2141 (Ramón Subercaseaux 3060)</t>
        </is>
      </c>
      <c r="FO4112" s="15" t="inlineStr">
        <is>
          <t>Estacion Central</t>
        </is>
      </c>
      <c r="FP4112" t="inlineStr">
        <is>
          <t>C</t>
        </is>
      </c>
    </row>
    <row r="4113">
      <c r="FC4113" t="inlineStr">
        <is>
          <t>Diccionario 4</t>
        </is>
      </c>
      <c r="FD4113" s="15" t="inlineStr">
        <is>
          <t>RWTP-92|</t>
        </is>
      </c>
      <c r="FE4113" s="15" t="inlineStr">
        <is>
          <t>YV3T7U523NA207835</t>
        </is>
      </c>
      <c r="FF4113" s="15" t="n">
        <v>550593</v>
      </c>
      <c r="FG4113" s="15" t="inlineStr">
        <is>
          <t>Volvo</t>
        </is>
      </c>
      <c r="FH4113" s="15" t="inlineStr">
        <is>
          <t>B8RLEA</t>
        </is>
      </c>
      <c r="FI4113" s="15" t="inlineStr">
        <is>
          <t>MARCOPOLO</t>
        </is>
      </c>
      <c r="FJ4113" s="15" t="inlineStr">
        <is>
          <t>GRAN VIALE</t>
        </is>
      </c>
      <c r="FK4113" s="15" t="n">
        <v>2022</v>
      </c>
      <c r="FL4113" s="15" t="inlineStr">
        <is>
          <t>C</t>
        </is>
      </c>
      <c r="FM4113" s="15" t="inlineStr">
        <is>
          <t>SAN ALFONSO</t>
        </is>
      </c>
      <c r="FN4113" s="15" t="inlineStr">
        <is>
          <t>San Alfonso 2141 (Ramón Subercaseaux 3060)</t>
        </is>
      </c>
      <c r="FO4113" s="15" t="inlineStr">
        <is>
          <t>Estacion Central</t>
        </is>
      </c>
      <c r="FP4113" t="inlineStr">
        <is>
          <t>C</t>
        </is>
      </c>
    </row>
    <row r="4114">
      <c r="FC4114" t="inlineStr">
        <is>
          <t>Diccionario 4</t>
        </is>
      </c>
      <c r="FD4114" s="15" t="inlineStr">
        <is>
          <t>RWTP-93|</t>
        </is>
      </c>
      <c r="FE4114" s="15" t="inlineStr">
        <is>
          <t>YV3T7U52XNA207833</t>
        </is>
      </c>
      <c r="FF4114" s="15" t="n">
        <v>550451</v>
      </c>
      <c r="FG4114" s="15" t="inlineStr">
        <is>
          <t>Volvo</t>
        </is>
      </c>
      <c r="FH4114" s="15" t="inlineStr">
        <is>
          <t>B8RLEA</t>
        </is>
      </c>
      <c r="FI4114" s="15" t="inlineStr">
        <is>
          <t>MARCOPOLO</t>
        </is>
      </c>
      <c r="FJ4114" s="15" t="inlineStr">
        <is>
          <t>GRAN VIALE</t>
        </is>
      </c>
      <c r="FK4114" s="15" t="n">
        <v>2022</v>
      </c>
      <c r="FL4114" s="15" t="inlineStr">
        <is>
          <t>C</t>
        </is>
      </c>
      <c r="FM4114" s="15" t="inlineStr">
        <is>
          <t>SAN ALFONSO</t>
        </is>
      </c>
      <c r="FN4114" s="15" t="inlineStr">
        <is>
          <t>San Alfonso 2141 (Ramón Subercaseaux 3060)</t>
        </is>
      </c>
      <c r="FO4114" s="15" t="inlineStr">
        <is>
          <t>Estacion Central</t>
        </is>
      </c>
      <c r="FP4114" t="inlineStr">
        <is>
          <t>C</t>
        </is>
      </c>
    </row>
    <row r="4115">
      <c r="FC4115" t="inlineStr">
        <is>
          <t>Diccionario 4</t>
        </is>
      </c>
      <c r="FD4115" s="15" t="inlineStr">
        <is>
          <t>RWTP-94|</t>
        </is>
      </c>
      <c r="FE4115" s="15" t="inlineStr">
        <is>
          <t>YV3T7U520NA207937</t>
        </is>
      </c>
      <c r="FF4115" s="15" t="n">
        <v>551900</v>
      </c>
      <c r="FG4115" s="15" t="inlineStr">
        <is>
          <t>Volvo</t>
        </is>
      </c>
      <c r="FH4115" s="15" t="inlineStr">
        <is>
          <t>B8RLEA</t>
        </is>
      </c>
      <c r="FI4115" s="15" t="inlineStr">
        <is>
          <t>MARCOPOLO</t>
        </is>
      </c>
      <c r="FJ4115" s="15" t="inlineStr">
        <is>
          <t>GRAN VIALE</t>
        </is>
      </c>
      <c r="FK4115" s="15" t="n">
        <v>2022</v>
      </c>
      <c r="FL4115" s="15" t="inlineStr">
        <is>
          <t>C</t>
        </is>
      </c>
      <c r="FM4115" s="15" t="inlineStr">
        <is>
          <t>PIE ANDINO</t>
        </is>
      </c>
      <c r="FN4115" s="15" t="inlineStr">
        <is>
          <t>Pie Andino 31 (Pie Andino 383)</t>
        </is>
      </c>
      <c r="FO4115" s="15" t="inlineStr">
        <is>
          <t>Puente Alto</t>
        </is>
      </c>
      <c r="FP4115" t="inlineStr">
        <is>
          <t>C</t>
        </is>
      </c>
    </row>
    <row r="4116">
      <c r="FC4116" t="inlineStr">
        <is>
          <t>Diccionario 4</t>
        </is>
      </c>
      <c r="FD4116" s="15" t="inlineStr">
        <is>
          <t>RWTP-95|</t>
        </is>
      </c>
      <c r="FE4116" s="15" t="inlineStr">
        <is>
          <t>YV3T7U523NA207978</t>
        </is>
      </c>
      <c r="FF4116" s="15" t="n">
        <v>553953</v>
      </c>
      <c r="FG4116" s="15" t="inlineStr">
        <is>
          <t>Volvo</t>
        </is>
      </c>
      <c r="FH4116" s="15" t="inlineStr">
        <is>
          <t>B8RLEA</t>
        </is>
      </c>
      <c r="FI4116" s="15" t="inlineStr">
        <is>
          <t>MARCOPOLO</t>
        </is>
      </c>
      <c r="FJ4116" s="15" t="inlineStr">
        <is>
          <t>GRAN VIALE</t>
        </is>
      </c>
      <c r="FK4116" s="15" t="n">
        <v>2022</v>
      </c>
      <c r="FL4116" s="15" t="inlineStr">
        <is>
          <t>C</t>
        </is>
      </c>
      <c r="FM4116" s="15" t="inlineStr">
        <is>
          <t>PIE ANDINO</t>
        </is>
      </c>
      <c r="FN4116" s="15" t="inlineStr">
        <is>
          <t>Pie Andino 31 (Pie Andino 383)</t>
        </is>
      </c>
      <c r="FO4116" s="15" t="inlineStr">
        <is>
          <t>Puente Alto</t>
        </is>
      </c>
      <c r="FP4116" t="inlineStr">
        <is>
          <t>C</t>
        </is>
      </c>
    </row>
    <row r="4117">
      <c r="FC4117" t="inlineStr">
        <is>
          <t>Diccionario 4</t>
        </is>
      </c>
      <c r="FD4117" s="15" t="inlineStr">
        <is>
          <t>RWTP-96|</t>
        </is>
      </c>
      <c r="FE4117" s="15" t="inlineStr">
        <is>
          <t>YV3T7U525NA207934</t>
        </is>
      </c>
      <c r="FF4117" s="15" t="n">
        <v>551716</v>
      </c>
      <c r="FG4117" s="15" t="inlineStr">
        <is>
          <t>Volvo</t>
        </is>
      </c>
      <c r="FH4117" s="15" t="inlineStr">
        <is>
          <t>B8RLEA</t>
        </is>
      </c>
      <c r="FI4117" s="15" t="inlineStr">
        <is>
          <t>MARCOPOLO</t>
        </is>
      </c>
      <c r="FJ4117" s="15" t="inlineStr">
        <is>
          <t>GRAN VIALE</t>
        </is>
      </c>
      <c r="FK4117" s="15" t="n">
        <v>2022</v>
      </c>
      <c r="FL4117" s="15" t="inlineStr">
        <is>
          <t>C</t>
        </is>
      </c>
      <c r="FM4117" s="15" t="inlineStr">
        <is>
          <t>PIE ANDINO</t>
        </is>
      </c>
      <c r="FN4117" s="15" t="inlineStr">
        <is>
          <t>Pie Andino 31 (Pie Andino 383)</t>
        </is>
      </c>
      <c r="FO4117" s="15" t="inlineStr">
        <is>
          <t>Puente Alto</t>
        </is>
      </c>
      <c r="FP4117" t="inlineStr">
        <is>
          <t>C</t>
        </is>
      </c>
    </row>
    <row r="4118">
      <c r="FC4118" t="inlineStr">
        <is>
          <t>Diccionario 4</t>
        </is>
      </c>
      <c r="FD4118" s="15" t="inlineStr">
        <is>
          <t>RWTP-97|</t>
        </is>
      </c>
      <c r="FE4118" s="15" t="inlineStr">
        <is>
          <t>YV3T7U523NA207933</t>
        </is>
      </c>
      <c r="FF4118" s="15" t="n">
        <v>551695</v>
      </c>
      <c r="FG4118" s="15" t="inlineStr">
        <is>
          <t>Volvo</t>
        </is>
      </c>
      <c r="FH4118" s="15" t="inlineStr">
        <is>
          <t>B8RLEA</t>
        </is>
      </c>
      <c r="FI4118" s="15" t="inlineStr">
        <is>
          <t>MARCOPOLO</t>
        </is>
      </c>
      <c r="FJ4118" s="15" t="inlineStr">
        <is>
          <t>GRAN VIALE</t>
        </is>
      </c>
      <c r="FK4118" s="15" t="n">
        <v>2022</v>
      </c>
      <c r="FL4118" s="15" t="inlineStr">
        <is>
          <t>C</t>
        </is>
      </c>
      <c r="FM4118" s="15" t="inlineStr">
        <is>
          <t>PIE ANDINO</t>
        </is>
      </c>
      <c r="FN4118" s="15" t="inlineStr">
        <is>
          <t>Pie Andino 31 (Pie Andino 383)</t>
        </is>
      </c>
      <c r="FO4118" s="15" t="inlineStr">
        <is>
          <t>Puente Alto</t>
        </is>
      </c>
      <c r="FP4118" t="inlineStr">
        <is>
          <t>C</t>
        </is>
      </c>
    </row>
    <row r="4119">
      <c r="FC4119" t="inlineStr">
        <is>
          <t>Diccionario 4</t>
        </is>
      </c>
      <c r="FD4119" s="15" t="inlineStr">
        <is>
          <t>RWTP-98|</t>
        </is>
      </c>
      <c r="FE4119" s="15" t="inlineStr">
        <is>
          <t>YV3T7U521NA207932</t>
        </is>
      </c>
      <c r="FF4119" s="15" t="n">
        <v>551682</v>
      </c>
      <c r="FG4119" s="15" t="inlineStr">
        <is>
          <t>Volvo</t>
        </is>
      </c>
      <c r="FH4119" s="15" t="inlineStr">
        <is>
          <t>B8RLEA</t>
        </is>
      </c>
      <c r="FI4119" s="15" t="inlineStr">
        <is>
          <t>MARCOPOLO</t>
        </is>
      </c>
      <c r="FJ4119" s="15" t="inlineStr">
        <is>
          <t>GRAN VIALE</t>
        </is>
      </c>
      <c r="FK4119" s="15" t="n">
        <v>2022</v>
      </c>
      <c r="FL4119" s="15" t="inlineStr">
        <is>
          <t>C</t>
        </is>
      </c>
      <c r="FM4119" s="15" t="inlineStr">
        <is>
          <t>PIE ANDINO</t>
        </is>
      </c>
      <c r="FN4119" s="15" t="inlineStr">
        <is>
          <t>Pie Andino 31 (Pie Andino 383)</t>
        </is>
      </c>
      <c r="FO4119" s="15" t="inlineStr">
        <is>
          <t>Puente Alto</t>
        </is>
      </c>
      <c r="FP4119" t="inlineStr">
        <is>
          <t>C</t>
        </is>
      </c>
    </row>
    <row r="4120">
      <c r="FC4120" t="inlineStr">
        <is>
          <t>Diccionario 4</t>
        </is>
      </c>
      <c r="FD4120" s="15" t="inlineStr">
        <is>
          <t>RWTP-99|</t>
        </is>
      </c>
      <c r="FE4120" s="15" t="inlineStr">
        <is>
          <t>YV3T7U52XNA207931</t>
        </is>
      </c>
      <c r="FF4120" s="15" t="n">
        <v>551698</v>
      </c>
      <c r="FG4120" s="15" t="inlineStr">
        <is>
          <t>Volvo</t>
        </is>
      </c>
      <c r="FH4120" s="15" t="inlineStr">
        <is>
          <t>B8RLEA</t>
        </is>
      </c>
      <c r="FI4120" s="15" t="inlineStr">
        <is>
          <t>MARCOPOLO</t>
        </is>
      </c>
      <c r="FJ4120" s="15" t="inlineStr">
        <is>
          <t>GRAN VIALE</t>
        </is>
      </c>
      <c r="FK4120" s="15" t="n">
        <v>2022</v>
      </c>
      <c r="FL4120" s="15" t="inlineStr">
        <is>
          <t>C</t>
        </is>
      </c>
      <c r="FM4120" s="15" t="inlineStr">
        <is>
          <t>PIE ANDINO</t>
        </is>
      </c>
      <c r="FN4120" s="15" t="inlineStr">
        <is>
          <t>Pie Andino 31 (Pie Andino 383)</t>
        </is>
      </c>
      <c r="FO4120" s="15" t="inlineStr">
        <is>
          <t>Puente Alto</t>
        </is>
      </c>
      <c r="FP4120" t="inlineStr">
        <is>
          <t>C</t>
        </is>
      </c>
    </row>
    <row r="4121">
      <c r="FC4121" t="inlineStr">
        <is>
          <t>Diccionario 4</t>
        </is>
      </c>
      <c r="FD4121" s="15" t="inlineStr">
        <is>
          <t>RWTR-10|</t>
        </is>
      </c>
      <c r="FE4121" s="15" t="inlineStr">
        <is>
          <t>YV3T7U52XNA207928</t>
        </is>
      </c>
      <c r="FF4121" s="15" t="n">
        <v>551645</v>
      </c>
      <c r="FG4121" s="15" t="inlineStr">
        <is>
          <t>Volvo</t>
        </is>
      </c>
      <c r="FH4121" s="15" t="inlineStr">
        <is>
          <t>B8RLEA</t>
        </is>
      </c>
      <c r="FI4121" s="15" t="inlineStr">
        <is>
          <t>MARCOPOLO</t>
        </is>
      </c>
      <c r="FJ4121" s="15" t="inlineStr">
        <is>
          <t>GRAN VIALE</t>
        </is>
      </c>
      <c r="FK4121" s="15" t="n">
        <v>2022</v>
      </c>
      <c r="FL4121" s="15" t="inlineStr">
        <is>
          <t>C</t>
        </is>
      </c>
      <c r="FM4121" s="15" t="inlineStr">
        <is>
          <t>SAN ALFONSO</t>
        </is>
      </c>
      <c r="FN4121" s="15" t="inlineStr">
        <is>
          <t>San Alfonso 2141 (Ramón Subercaseaux 3060)</t>
        </is>
      </c>
      <c r="FO4121" s="15" t="inlineStr">
        <is>
          <t>Estacion Central</t>
        </is>
      </c>
      <c r="FP4121" t="inlineStr">
        <is>
          <t>C</t>
        </is>
      </c>
    </row>
    <row r="4122">
      <c r="FC4122" t="inlineStr">
        <is>
          <t>Diccionario 4</t>
        </is>
      </c>
      <c r="FD4122" s="15" t="inlineStr">
        <is>
          <t>RWTR-11|</t>
        </is>
      </c>
      <c r="FE4122" s="15" t="inlineStr">
        <is>
          <t>YV3T7U528NA207927</t>
        </is>
      </c>
      <c r="FF4122" s="15" t="n">
        <v>551661</v>
      </c>
      <c r="FG4122" s="15" t="inlineStr">
        <is>
          <t>Volvo</t>
        </is>
      </c>
      <c r="FH4122" s="15" t="inlineStr">
        <is>
          <t>B8RLEA</t>
        </is>
      </c>
      <c r="FI4122" s="15" t="inlineStr">
        <is>
          <t>MARCOPOLO</t>
        </is>
      </c>
      <c r="FJ4122" s="15" t="inlineStr">
        <is>
          <t>GRAN VIALE</t>
        </is>
      </c>
      <c r="FK4122" s="15" t="n">
        <v>2022</v>
      </c>
      <c r="FL4122" s="15" t="inlineStr">
        <is>
          <t>C</t>
        </is>
      </c>
      <c r="FM4122" s="15" t="inlineStr">
        <is>
          <t>SAN ALFONSO</t>
        </is>
      </c>
      <c r="FN4122" s="15" t="inlineStr">
        <is>
          <t>San Alfonso 2141 (Ramón Subercaseaux 3060)</t>
        </is>
      </c>
      <c r="FO4122" s="15" t="inlineStr">
        <is>
          <t>Estacion Central</t>
        </is>
      </c>
      <c r="FP4122" t="inlineStr">
        <is>
          <t>C</t>
        </is>
      </c>
    </row>
    <row r="4123">
      <c r="FC4123" t="inlineStr">
        <is>
          <t>Diccionario 4</t>
        </is>
      </c>
      <c r="FD4123" s="15" t="inlineStr">
        <is>
          <t>RYJG-90|</t>
        </is>
      </c>
      <c r="FE4123" s="15" t="inlineStr">
        <is>
          <t>YV3T7U521NA208143</t>
        </is>
      </c>
      <c r="FF4123" s="15" t="n">
        <v>554610</v>
      </c>
      <c r="FG4123" s="15" t="inlineStr">
        <is>
          <t>Volvo</t>
        </is>
      </c>
      <c r="FH4123" s="15" t="inlineStr">
        <is>
          <t>B8RLEA</t>
        </is>
      </c>
      <c r="FI4123" s="15" t="inlineStr">
        <is>
          <t>MARCOPOLO</t>
        </is>
      </c>
      <c r="FJ4123" s="15" t="inlineStr">
        <is>
          <t>GRAN VIALE</t>
        </is>
      </c>
      <c r="FK4123" s="15" t="n">
        <v>2022</v>
      </c>
      <c r="FL4123" s="15" t="inlineStr">
        <is>
          <t>C</t>
        </is>
      </c>
      <c r="FM4123" s="15" t="inlineStr">
        <is>
          <t>PIE ANDINO</t>
        </is>
      </c>
      <c r="FN4123" s="15" t="inlineStr">
        <is>
          <t>Pie Andino 31 (Pie Andino 383)</t>
        </is>
      </c>
      <c r="FO4123" s="15" t="inlineStr">
        <is>
          <t>Puente Alto</t>
        </is>
      </c>
      <c r="FP4123" t="inlineStr">
        <is>
          <t>C</t>
        </is>
      </c>
    </row>
    <row r="4124">
      <c r="FC4124" t="inlineStr">
        <is>
          <t>Diccionario 4</t>
        </is>
      </c>
      <c r="FD4124" s="15" t="inlineStr">
        <is>
          <t>RYJG-91|</t>
        </is>
      </c>
      <c r="FE4124" s="15" t="inlineStr">
        <is>
          <t>YV3T7U523NA208144</t>
        </is>
      </c>
      <c r="FF4124" s="15" t="n">
        <v>554682</v>
      </c>
      <c r="FG4124" s="15" t="inlineStr">
        <is>
          <t>Volvo</t>
        </is>
      </c>
      <c r="FH4124" s="15" t="inlineStr">
        <is>
          <t>B8RLEA</t>
        </is>
      </c>
      <c r="FI4124" s="15" t="inlineStr">
        <is>
          <t>MARCOPOLO</t>
        </is>
      </c>
      <c r="FJ4124" s="15" t="inlineStr">
        <is>
          <t>GRAN VIALE</t>
        </is>
      </c>
      <c r="FK4124" s="15" t="n">
        <v>2022</v>
      </c>
      <c r="FL4124" s="15" t="inlineStr">
        <is>
          <t>C</t>
        </is>
      </c>
      <c r="FM4124" s="15" t="inlineStr">
        <is>
          <t>PIE ANDINO</t>
        </is>
      </c>
      <c r="FN4124" s="15" t="inlineStr">
        <is>
          <t>Pie Andino 31 (Pie Andino 383)</t>
        </is>
      </c>
      <c r="FO4124" s="15" t="inlineStr">
        <is>
          <t>Puente Alto</t>
        </is>
      </c>
      <c r="FP4124" t="inlineStr">
        <is>
          <t>C</t>
        </is>
      </c>
    </row>
    <row r="4125">
      <c r="FC4125" t="inlineStr">
        <is>
          <t>Diccionario 4</t>
        </is>
      </c>
      <c r="FD4125" s="15" t="inlineStr">
        <is>
          <t>RYJG-92|</t>
        </is>
      </c>
      <c r="FE4125" s="15" t="inlineStr">
        <is>
          <t>YV3T7U522NA208152</t>
        </is>
      </c>
      <c r="FF4125" s="15" t="n">
        <v>554694</v>
      </c>
      <c r="FG4125" s="15" t="inlineStr">
        <is>
          <t>Volvo</t>
        </is>
      </c>
      <c r="FH4125" s="15" t="inlineStr">
        <is>
          <t>B8RLEA</t>
        </is>
      </c>
      <c r="FI4125" s="15" t="inlineStr">
        <is>
          <t>MARCOPOLO</t>
        </is>
      </c>
      <c r="FJ4125" s="15" t="inlineStr">
        <is>
          <t>GRAN VIALE</t>
        </is>
      </c>
      <c r="FK4125" s="15" t="n">
        <v>2022</v>
      </c>
      <c r="FL4125" s="15" t="inlineStr">
        <is>
          <t>C</t>
        </is>
      </c>
      <c r="FM4125" s="15" t="inlineStr">
        <is>
          <t>SAN ALFONSO</t>
        </is>
      </c>
      <c r="FN4125" s="15" t="inlineStr">
        <is>
          <t>San Alfonso 2141 (Ramón Subercaseaux 3060)</t>
        </is>
      </c>
      <c r="FO4125" s="15" t="inlineStr">
        <is>
          <t>Estacion Central</t>
        </is>
      </c>
      <c r="FP4125" t="inlineStr">
        <is>
          <t>C</t>
        </is>
      </c>
    </row>
    <row r="4126">
      <c r="FC4126" t="inlineStr">
        <is>
          <t>Diccionario 4</t>
        </is>
      </c>
      <c r="FD4126" s="15" t="inlineStr">
        <is>
          <t>RYJG-93|</t>
        </is>
      </c>
      <c r="FE4126" s="15" t="inlineStr">
        <is>
          <t>YV3T7U527NA208163</t>
        </is>
      </c>
      <c r="FF4126" s="15" t="n">
        <v>555374</v>
      </c>
      <c r="FG4126" s="15" t="inlineStr">
        <is>
          <t>Volvo</t>
        </is>
      </c>
      <c r="FH4126" s="15" t="inlineStr">
        <is>
          <t>B8RLEA</t>
        </is>
      </c>
      <c r="FI4126" s="15" t="inlineStr">
        <is>
          <t>MARCOPOLO</t>
        </is>
      </c>
      <c r="FJ4126" s="15" t="inlineStr">
        <is>
          <t>GRAN VIALE</t>
        </is>
      </c>
      <c r="FK4126" s="15" t="n">
        <v>2022</v>
      </c>
      <c r="FL4126" s="15" t="inlineStr">
        <is>
          <t>C</t>
        </is>
      </c>
      <c r="FM4126" s="15" t="inlineStr">
        <is>
          <t>SAN ALFONSO</t>
        </is>
      </c>
      <c r="FN4126" s="15" t="inlineStr">
        <is>
          <t>San Alfonso 2141 (Ramón Subercaseaux 3060)</t>
        </is>
      </c>
      <c r="FO4126" s="15" t="inlineStr">
        <is>
          <t>Estacion Central</t>
        </is>
      </c>
      <c r="FP4126" t="inlineStr">
        <is>
          <t>C</t>
        </is>
      </c>
    </row>
    <row r="4127">
      <c r="FC4127" t="inlineStr">
        <is>
          <t>Diccionario 4</t>
        </is>
      </c>
      <c r="FD4127" s="15" t="inlineStr">
        <is>
          <t>RYJG-94|</t>
        </is>
      </c>
      <c r="FE4127" s="15" t="inlineStr">
        <is>
          <t>YV3T7U528NA208169</t>
        </is>
      </c>
      <c r="FF4127" s="15" t="n">
        <v>555138</v>
      </c>
      <c r="FG4127" s="15" t="inlineStr">
        <is>
          <t>Volvo</t>
        </is>
      </c>
      <c r="FH4127" s="15" t="inlineStr">
        <is>
          <t>B8RLEA</t>
        </is>
      </c>
      <c r="FI4127" s="15" t="inlineStr">
        <is>
          <t>MARCOPOLO</t>
        </is>
      </c>
      <c r="FJ4127" s="15" t="inlineStr">
        <is>
          <t>GRAN VIALE</t>
        </is>
      </c>
      <c r="FK4127" s="15" t="n">
        <v>2022</v>
      </c>
      <c r="FL4127" s="15" t="inlineStr">
        <is>
          <t>C</t>
        </is>
      </c>
      <c r="FM4127" s="15" t="inlineStr">
        <is>
          <t>SAN ALFONSO</t>
        </is>
      </c>
      <c r="FN4127" s="15" t="inlineStr">
        <is>
          <t>San Alfonso 2141 (Ramón Subercaseaux 3060)</t>
        </is>
      </c>
      <c r="FO4127" s="15" t="inlineStr">
        <is>
          <t>Estacion Central</t>
        </is>
      </c>
      <c r="FP4127" t="inlineStr">
        <is>
          <t>C</t>
        </is>
      </c>
    </row>
    <row r="4128">
      <c r="FC4128" t="inlineStr">
        <is>
          <t>Diccionario 4</t>
        </is>
      </c>
      <c r="FD4128" s="15" t="inlineStr">
        <is>
          <t>RYJG-95|</t>
        </is>
      </c>
      <c r="FE4128" s="15" t="inlineStr">
        <is>
          <t>YV3T7U525NA208193</t>
        </is>
      </c>
      <c r="FF4128" s="15" t="n">
        <v>555050</v>
      </c>
      <c r="FG4128" s="15" t="inlineStr">
        <is>
          <t>Volvo</t>
        </is>
      </c>
      <c r="FH4128" s="15" t="inlineStr">
        <is>
          <t>B8RLEA</t>
        </is>
      </c>
      <c r="FI4128" s="15" t="inlineStr">
        <is>
          <t>MARCOPOLO</t>
        </is>
      </c>
      <c r="FJ4128" s="15" t="inlineStr">
        <is>
          <t>GRAN VIALE</t>
        </is>
      </c>
      <c r="FK4128" s="15" t="n">
        <v>2022</v>
      </c>
      <c r="FL4128" s="15" t="inlineStr">
        <is>
          <t>C</t>
        </is>
      </c>
      <c r="FM4128" s="15" t="inlineStr">
        <is>
          <t>SAN ALFONSO</t>
        </is>
      </c>
      <c r="FN4128" s="15" t="inlineStr">
        <is>
          <t>San Alfonso 2141 (Ramón Subercaseaux 3060)</t>
        </is>
      </c>
      <c r="FO4128" s="15" t="inlineStr">
        <is>
          <t>Estacion Central</t>
        </is>
      </c>
      <c r="FP4128" t="inlineStr">
        <is>
          <t>C</t>
        </is>
      </c>
    </row>
    <row r="4129">
      <c r="FC4129" t="inlineStr">
        <is>
          <t>Diccionario 4</t>
        </is>
      </c>
      <c r="FD4129" s="15" t="inlineStr">
        <is>
          <t>SXKV-87|</t>
        </is>
      </c>
      <c r="FE4129" s="15" t="inlineStr">
        <is>
          <t>YV3T7U529RA212110</t>
        </is>
      </c>
      <c r="FF4129" s="15" t="n">
        <v>593684</v>
      </c>
      <c r="FG4129" s="15" t="inlineStr">
        <is>
          <t>Volvo</t>
        </is>
      </c>
      <c r="FH4129" s="15" t="inlineStr">
        <is>
          <t>B8RLEA</t>
        </is>
      </c>
      <c r="FI4129" s="15" t="inlineStr">
        <is>
          <t>MARCOPOLO</t>
        </is>
      </c>
      <c r="FJ4129" s="15" t="inlineStr">
        <is>
          <t>GRAN VIALE</t>
        </is>
      </c>
      <c r="FK4129" s="15" t="n">
        <v>2023</v>
      </c>
      <c r="FL4129" s="15" t="inlineStr">
        <is>
          <t>C</t>
        </is>
      </c>
      <c r="FM4129" s="15" t="inlineStr">
        <is>
          <t>SAN ALFONSO</t>
        </is>
      </c>
      <c r="FN4129" s="15" t="inlineStr">
        <is>
          <t>San Alfonso 2141 (Ramón Subercaseaux 3060)</t>
        </is>
      </c>
      <c r="FO4129" s="15" t="inlineStr">
        <is>
          <t>Estacion Central</t>
        </is>
      </c>
      <c r="FP4129" t="inlineStr">
        <is>
          <t>C</t>
        </is>
      </c>
    </row>
    <row r="4130">
      <c r="FC4130" t="inlineStr">
        <is>
          <t>Diccionario 4</t>
        </is>
      </c>
      <c r="FD4130" s="15" t="inlineStr">
        <is>
          <t>SXKV-88|</t>
        </is>
      </c>
      <c r="FE4130" s="15" t="inlineStr">
        <is>
          <t>YV3T7U522RA212109</t>
        </is>
      </c>
      <c r="FF4130" s="15" t="n">
        <v>593717</v>
      </c>
      <c r="FG4130" s="15" t="inlineStr">
        <is>
          <t>Volvo</t>
        </is>
      </c>
      <c r="FH4130" s="15" t="inlineStr">
        <is>
          <t>B8RLEA</t>
        </is>
      </c>
      <c r="FI4130" s="15" t="inlineStr">
        <is>
          <t>MARCOPOLO</t>
        </is>
      </c>
      <c r="FJ4130" s="15" t="inlineStr">
        <is>
          <t>GRAN VIALE</t>
        </is>
      </c>
      <c r="FK4130" s="15" t="n">
        <v>2023</v>
      </c>
      <c r="FL4130" s="15" t="inlineStr">
        <is>
          <t>C</t>
        </is>
      </c>
      <c r="FM4130" s="15" t="inlineStr">
        <is>
          <t>SAN ALFONSO</t>
        </is>
      </c>
      <c r="FN4130" s="15" t="inlineStr">
        <is>
          <t>San Alfonso 2141 (Ramón Subercaseaux 3060)</t>
        </is>
      </c>
      <c r="FO4130" s="15" t="inlineStr">
        <is>
          <t>Estacion Central</t>
        </is>
      </c>
      <c r="FP4130" t="inlineStr">
        <is>
          <t>C</t>
        </is>
      </c>
    </row>
    <row r="4131">
      <c r="FC4131" t="inlineStr">
        <is>
          <t>Diccionario 4</t>
        </is>
      </c>
      <c r="FD4131" s="15" t="inlineStr">
        <is>
          <t>SXKV-89|</t>
        </is>
      </c>
      <c r="FE4131" s="15" t="inlineStr">
        <is>
          <t>YV3T7U521RA211954</t>
        </is>
      </c>
      <c r="FF4131" s="15" t="n">
        <v>592427</v>
      </c>
      <c r="FG4131" s="15" t="inlineStr">
        <is>
          <t>Volvo</t>
        </is>
      </c>
      <c r="FH4131" s="15" t="inlineStr">
        <is>
          <t>B8RLEA</t>
        </is>
      </c>
      <c r="FI4131" s="15" t="inlineStr">
        <is>
          <t>MARCOPOLO</t>
        </is>
      </c>
      <c r="FJ4131" s="15" t="inlineStr">
        <is>
          <t>GRAN VIALE</t>
        </is>
      </c>
      <c r="FK4131" s="15" t="n">
        <v>2023</v>
      </c>
      <c r="FL4131" s="15" t="inlineStr">
        <is>
          <t>C</t>
        </is>
      </c>
      <c r="FM4131" s="15" t="inlineStr">
        <is>
          <t>SAN ALFONSO</t>
        </is>
      </c>
      <c r="FN4131" s="15" t="inlineStr">
        <is>
          <t>San Alfonso 2141 (Ramón Subercaseaux 3060)</t>
        </is>
      </c>
      <c r="FO4131" s="15" t="inlineStr">
        <is>
          <t>Estacion Central</t>
        </is>
      </c>
      <c r="FP4131" t="inlineStr">
        <is>
          <t>C</t>
        </is>
      </c>
    </row>
    <row r="4132">
      <c r="FC4132" t="inlineStr">
        <is>
          <t>Diccionario 4</t>
        </is>
      </c>
      <c r="FD4132" s="15" t="inlineStr">
        <is>
          <t>SXKV-90|</t>
        </is>
      </c>
      <c r="FE4132" s="15" t="inlineStr">
        <is>
          <t>YV3T7U527RA211988</t>
        </is>
      </c>
      <c r="FF4132" s="15" t="n">
        <v>593907</v>
      </c>
      <c r="FG4132" s="15" t="inlineStr">
        <is>
          <t>Volvo</t>
        </is>
      </c>
      <c r="FH4132" s="15" t="inlineStr">
        <is>
          <t>B8RLEA</t>
        </is>
      </c>
      <c r="FI4132" s="15" t="inlineStr">
        <is>
          <t>MARCOPOLO</t>
        </is>
      </c>
      <c r="FJ4132" s="15" t="inlineStr">
        <is>
          <t>GRAN VIALE</t>
        </is>
      </c>
      <c r="FK4132" s="15" t="n">
        <v>2023</v>
      </c>
      <c r="FL4132" s="15" t="inlineStr">
        <is>
          <t>C</t>
        </is>
      </c>
      <c r="FM4132" s="15" t="inlineStr">
        <is>
          <t>SAN ALFONSO</t>
        </is>
      </c>
      <c r="FN4132" s="15" t="inlineStr">
        <is>
          <t>San Alfonso 2141 (Ramón Subercaseaux 3060)</t>
        </is>
      </c>
      <c r="FO4132" s="15" t="inlineStr">
        <is>
          <t>Estacion Central</t>
        </is>
      </c>
      <c r="FP4132" t="inlineStr">
        <is>
          <t>C</t>
        </is>
      </c>
    </row>
    <row r="4133">
      <c r="FC4133" t="inlineStr">
        <is>
          <t>Diccionario 4</t>
        </is>
      </c>
      <c r="FD4133" s="15" t="inlineStr">
        <is>
          <t>SXKV-91|</t>
        </is>
      </c>
      <c r="FE4133" s="15" t="inlineStr">
        <is>
          <t>YV3T7U529RA211989</t>
        </is>
      </c>
      <c r="FF4133" s="15" t="n">
        <v>593887</v>
      </c>
      <c r="FG4133" s="15" t="inlineStr">
        <is>
          <t>Volvo</t>
        </is>
      </c>
      <c r="FH4133" s="15" t="inlineStr">
        <is>
          <t>B8RLEA</t>
        </is>
      </c>
      <c r="FI4133" s="15" t="inlineStr">
        <is>
          <t>MARCOPOLO</t>
        </is>
      </c>
      <c r="FJ4133" s="15" t="inlineStr">
        <is>
          <t>GRAN VIALE</t>
        </is>
      </c>
      <c r="FK4133" s="15" t="n">
        <v>2023</v>
      </c>
      <c r="FL4133" s="15" t="inlineStr">
        <is>
          <t>C</t>
        </is>
      </c>
      <c r="FM4133" s="15" t="inlineStr">
        <is>
          <t>SAN ALFONSO</t>
        </is>
      </c>
      <c r="FN4133" s="15" t="inlineStr">
        <is>
          <t>San Alfonso 2141 (Ramón Subercaseaux 3060)</t>
        </is>
      </c>
      <c r="FO4133" s="15" t="inlineStr">
        <is>
          <t>Estacion Central</t>
        </is>
      </c>
      <c r="FP4133" t="inlineStr">
        <is>
          <t>C</t>
        </is>
      </c>
    </row>
    <row r="4134">
      <c r="FC4134" t="inlineStr">
        <is>
          <t>Diccionario 4</t>
        </is>
      </c>
      <c r="FD4134" s="15" t="inlineStr">
        <is>
          <t>SXKV-92|</t>
        </is>
      </c>
      <c r="FE4134" s="15" t="inlineStr">
        <is>
          <t>YV3T7U525RA211990</t>
        </is>
      </c>
      <c r="FF4134" s="15" t="n">
        <v>593899</v>
      </c>
      <c r="FG4134" s="15" t="inlineStr">
        <is>
          <t>Volvo</t>
        </is>
      </c>
      <c r="FH4134" s="15" t="inlineStr">
        <is>
          <t>B8RLEA</t>
        </is>
      </c>
      <c r="FI4134" s="15" t="inlineStr">
        <is>
          <t>MARCOPOLO</t>
        </is>
      </c>
      <c r="FJ4134" s="15" t="inlineStr">
        <is>
          <t>GRAN VIALE</t>
        </is>
      </c>
      <c r="FK4134" s="15" t="n">
        <v>2023</v>
      </c>
      <c r="FL4134" s="15" t="inlineStr">
        <is>
          <t>C</t>
        </is>
      </c>
      <c r="FM4134" s="15" t="inlineStr">
        <is>
          <t>SAN ALFONSO</t>
        </is>
      </c>
      <c r="FN4134" s="15" t="inlineStr">
        <is>
          <t>San Alfonso 2141 (Ramón Subercaseaux 3060)</t>
        </is>
      </c>
      <c r="FO4134" s="15" t="inlineStr">
        <is>
          <t>Estacion Central</t>
        </is>
      </c>
      <c r="FP4134" t="inlineStr">
        <is>
          <t>C</t>
        </is>
      </c>
    </row>
    <row r="4135">
      <c r="FC4135" t="inlineStr">
        <is>
          <t>Diccionario 4</t>
        </is>
      </c>
      <c r="FD4135" s="15" t="inlineStr">
        <is>
          <t>SXKV-93|</t>
        </is>
      </c>
      <c r="FE4135" s="15" t="inlineStr">
        <is>
          <t>YV3T7U527RA211991</t>
        </is>
      </c>
      <c r="FF4135" s="15" t="n">
        <v>593420</v>
      </c>
      <c r="FG4135" s="15" t="inlineStr">
        <is>
          <t>Volvo</t>
        </is>
      </c>
      <c r="FH4135" s="15" t="inlineStr">
        <is>
          <t>B8RLEA</t>
        </is>
      </c>
      <c r="FI4135" s="15" t="inlineStr">
        <is>
          <t>MARCOPOLO</t>
        </is>
      </c>
      <c r="FJ4135" s="15" t="inlineStr">
        <is>
          <t>GRAN VIALE</t>
        </is>
      </c>
      <c r="FK4135" s="15" t="n">
        <v>2023</v>
      </c>
      <c r="FL4135" s="15" t="inlineStr">
        <is>
          <t>C</t>
        </is>
      </c>
      <c r="FM4135" s="15" t="inlineStr">
        <is>
          <t>SAN ALFONSO</t>
        </is>
      </c>
      <c r="FN4135" s="15" t="inlineStr">
        <is>
          <t>San Alfonso 2141 (Ramón Subercaseaux 3060)</t>
        </is>
      </c>
      <c r="FO4135" s="15" t="inlineStr">
        <is>
          <t>Estacion Central</t>
        </is>
      </c>
      <c r="FP4135" t="inlineStr">
        <is>
          <t>C</t>
        </is>
      </c>
    </row>
    <row r="4136">
      <c r="FC4136" t="inlineStr">
        <is>
          <t>Diccionario 4</t>
        </is>
      </c>
      <c r="FD4136" s="15" t="inlineStr">
        <is>
          <t>SXKV-94|</t>
        </is>
      </c>
      <c r="FE4136" s="15" t="inlineStr">
        <is>
          <t>YV3T7U529RA211992</t>
        </is>
      </c>
      <c r="FF4136" s="15" t="n">
        <v>593506</v>
      </c>
      <c r="FG4136" s="15" t="inlineStr">
        <is>
          <t>Volvo</t>
        </is>
      </c>
      <c r="FH4136" s="15" t="inlineStr">
        <is>
          <t>B8RLEA</t>
        </is>
      </c>
      <c r="FI4136" s="15" t="inlineStr">
        <is>
          <t>MARCOPOLO</t>
        </is>
      </c>
      <c r="FJ4136" s="15" t="inlineStr">
        <is>
          <t>GRAN VIALE</t>
        </is>
      </c>
      <c r="FK4136" s="15" t="n">
        <v>2023</v>
      </c>
      <c r="FL4136" s="15" t="inlineStr">
        <is>
          <t>C</t>
        </is>
      </c>
      <c r="FM4136" s="15" t="inlineStr">
        <is>
          <t>SAN ALFONSO</t>
        </is>
      </c>
      <c r="FN4136" s="15" t="inlineStr">
        <is>
          <t>San Alfonso 2141 (Ramón Subercaseaux 3060)</t>
        </is>
      </c>
      <c r="FO4136" s="15" t="inlineStr">
        <is>
          <t>Estacion Central</t>
        </is>
      </c>
      <c r="FP4136" t="inlineStr">
        <is>
          <t>C</t>
        </is>
      </c>
    </row>
    <row r="4137">
      <c r="FC4137" t="inlineStr">
        <is>
          <t>Diccionario 4</t>
        </is>
      </c>
      <c r="FD4137" s="15" t="inlineStr">
        <is>
          <t>SXKV-95|</t>
        </is>
      </c>
      <c r="FE4137" s="15" t="inlineStr">
        <is>
          <t>YV3T7U520RA211993</t>
        </is>
      </c>
      <c r="FF4137" s="15" t="n">
        <v>593418</v>
      </c>
      <c r="FG4137" s="15" t="inlineStr">
        <is>
          <t>Volvo</t>
        </is>
      </c>
      <c r="FH4137" s="15" t="inlineStr">
        <is>
          <t>B8RLEA</t>
        </is>
      </c>
      <c r="FI4137" s="15" t="inlineStr">
        <is>
          <t>MARCOPOLO</t>
        </is>
      </c>
      <c r="FJ4137" s="15" t="inlineStr">
        <is>
          <t>GRAN VIALE</t>
        </is>
      </c>
      <c r="FK4137" s="15" t="n">
        <v>2023</v>
      </c>
      <c r="FL4137" s="15" t="inlineStr">
        <is>
          <t>C</t>
        </is>
      </c>
      <c r="FM4137" s="15" t="inlineStr">
        <is>
          <t>SAN ALFONSO</t>
        </is>
      </c>
      <c r="FN4137" s="15" t="inlineStr">
        <is>
          <t>San Alfonso 2141 (Ramón Subercaseaux 3060)</t>
        </is>
      </c>
      <c r="FO4137" s="15" t="inlineStr">
        <is>
          <t>Estacion Central</t>
        </is>
      </c>
      <c r="FP4137" t="inlineStr">
        <is>
          <t>C</t>
        </is>
      </c>
    </row>
    <row r="4138">
      <c r="FC4138" t="inlineStr">
        <is>
          <t>Diccionario 4</t>
        </is>
      </c>
      <c r="FD4138" s="15" t="inlineStr">
        <is>
          <t>SXKV-96|</t>
        </is>
      </c>
      <c r="FE4138" s="15" t="inlineStr">
        <is>
          <t>YV3T7U529RA212107</t>
        </is>
      </c>
      <c r="FF4138" s="15" t="n">
        <v>593145</v>
      </c>
      <c r="FG4138" s="15" t="inlineStr">
        <is>
          <t>Volvo</t>
        </is>
      </c>
      <c r="FH4138" s="15" t="inlineStr">
        <is>
          <t>B8RLEA</t>
        </is>
      </c>
      <c r="FI4138" s="15" t="inlineStr">
        <is>
          <t>MARCOPOLO</t>
        </is>
      </c>
      <c r="FJ4138" s="15" t="inlineStr">
        <is>
          <t>GRAN VIALE</t>
        </is>
      </c>
      <c r="FK4138" s="15" t="n">
        <v>2023</v>
      </c>
      <c r="FL4138" s="15" t="inlineStr">
        <is>
          <t>C</t>
        </is>
      </c>
      <c r="FM4138" s="15" t="inlineStr">
        <is>
          <t>SAN ALFONSO</t>
        </is>
      </c>
      <c r="FN4138" s="15" t="inlineStr">
        <is>
          <t>San Alfonso 2141 (Ramón Subercaseaux 3060)</t>
        </is>
      </c>
      <c r="FO4138" s="15" t="inlineStr">
        <is>
          <t>Estacion Central</t>
        </is>
      </c>
      <c r="FP4138" t="inlineStr">
        <is>
          <t>C</t>
        </is>
      </c>
    </row>
    <row r="4139">
      <c r="FC4139" t="inlineStr">
        <is>
          <t>Diccionario 4</t>
        </is>
      </c>
      <c r="FD4139" s="15" t="inlineStr">
        <is>
          <t>VFPB-75|</t>
        </is>
      </c>
      <c r="FE4139" s="15" t="inlineStr">
        <is>
          <t>MDN35025020059</t>
        </is>
      </c>
      <c r="FF4139" s="15" t="inlineStr">
        <is>
          <t>LDYECS312S0043986</t>
        </is>
      </c>
      <c r="FG4139" s="15" t="inlineStr">
        <is>
          <t>Zhong Tong</t>
        </is>
      </c>
      <c r="FH4139" s="15" t="inlineStr">
        <is>
          <t>Lck6122evg</t>
        </is>
      </c>
      <c r="FI4139" s="15" t="inlineStr">
        <is>
          <t>ZHONGTONG</t>
        </is>
      </c>
      <c r="FJ4139" s="15" t="inlineStr">
        <is>
          <t>LCK6122EVG</t>
        </is>
      </c>
      <c r="FK4139" s="15" t="n">
        <v>2025</v>
      </c>
      <c r="FL4139" s="15" t="inlineStr">
        <is>
          <t>B</t>
        </is>
      </c>
      <c r="FM4139" s="15" t="inlineStr">
        <is>
          <t>CERRILLOS</t>
        </is>
      </c>
      <c r="FN4139" s="15" t="inlineStr">
        <is>
          <t>Calle Uno 7371</t>
        </is>
      </c>
      <c r="FO4139" s="15" t="inlineStr">
        <is>
          <t>Cerrillos</t>
        </is>
      </c>
      <c r="FP4139" t="inlineStr">
        <is>
          <t>B</t>
        </is>
      </c>
    </row>
    <row r="4140">
      <c r="FC4140" t="inlineStr">
        <is>
          <t>Diccionario 4</t>
        </is>
      </c>
      <c r="FD4140" s="15" t="inlineStr">
        <is>
          <t>VFPB-85|</t>
        </is>
      </c>
      <c r="FE4140" s="15" t="inlineStr">
        <is>
          <t>MDN35025020068</t>
        </is>
      </c>
      <c r="FF4140" s="15" t="inlineStr">
        <is>
          <t>LDYECS318S0044009</t>
        </is>
      </c>
      <c r="FG4140" s="15" t="inlineStr">
        <is>
          <t>Zhong Tong</t>
        </is>
      </c>
      <c r="FH4140" s="15" t="inlineStr">
        <is>
          <t>Lck6122evg</t>
        </is>
      </c>
      <c r="FI4140" s="15" t="inlineStr">
        <is>
          <t>ZHONGTONG</t>
        </is>
      </c>
      <c r="FJ4140" s="15" t="inlineStr">
        <is>
          <t>LCK6122EVG</t>
        </is>
      </c>
      <c r="FK4140" s="15" t="n">
        <v>2025</v>
      </c>
      <c r="FL4140" s="15" t="inlineStr">
        <is>
          <t>B</t>
        </is>
      </c>
      <c r="FM4140" s="15" t="inlineStr">
        <is>
          <t>PIE ANDINO</t>
        </is>
      </c>
      <c r="FN4140" s="15" t="inlineStr">
        <is>
          <t>Pie Andino 31 (Pie Andino 383)</t>
        </is>
      </c>
      <c r="FO4140" s="15" t="inlineStr">
        <is>
          <t>Puente Alto</t>
        </is>
      </c>
      <c r="FP4140" t="inlineStr">
        <is>
          <t>B</t>
        </is>
      </c>
    </row>
    <row r="4141">
      <c r="FC4141" t="inlineStr">
        <is>
          <t>Diccionario 4</t>
        </is>
      </c>
      <c r="FD4141" s="15" t="inlineStr">
        <is>
          <t>VFPC-59|</t>
        </is>
      </c>
      <c r="FE4141" s="15" t="inlineStr">
        <is>
          <t>MDN35025020104</t>
        </is>
      </c>
      <c r="FF4141" s="15" t="inlineStr">
        <is>
          <t>LDYECS315S0044016</t>
        </is>
      </c>
      <c r="FG4141" s="15" t="inlineStr">
        <is>
          <t>Zhong Tong</t>
        </is>
      </c>
      <c r="FH4141" s="15" t="inlineStr">
        <is>
          <t>Lck6122evg</t>
        </is>
      </c>
      <c r="FI4141" s="15" t="inlineStr">
        <is>
          <t>ZHONGTONG</t>
        </is>
      </c>
      <c r="FJ4141" s="15" t="inlineStr">
        <is>
          <t>LCK6122EVG</t>
        </is>
      </c>
      <c r="FK4141" s="15" t="n">
        <v>2025</v>
      </c>
      <c r="FL4141" s="15" t="inlineStr">
        <is>
          <t>B</t>
        </is>
      </c>
      <c r="FM4141" s="15" t="inlineStr">
        <is>
          <t>SAN ALFONSO</t>
        </is>
      </c>
      <c r="FN4141" s="15" t="inlineStr">
        <is>
          <t>San Alfonso 2141 (Ramón Subercaseaux 3060)</t>
        </is>
      </c>
      <c r="FO4141" s="15" t="inlineStr">
        <is>
          <t>Estacion Central</t>
        </is>
      </c>
      <c r="FP4141" t="inlineStr">
        <is>
          <t>B</t>
        </is>
      </c>
    </row>
    <row r="4142">
      <c r="FC4142" t="inlineStr">
        <is>
          <t>Diccionario 4</t>
        </is>
      </c>
      <c r="FD4142" s="15" t="inlineStr">
        <is>
          <t>VFPC-66|</t>
        </is>
      </c>
      <c r="FE4142" s="15" t="inlineStr">
        <is>
          <t>MDN35025020124</t>
        </is>
      </c>
      <c r="FF4142" s="15" t="inlineStr">
        <is>
          <t>LDYECS311S0044014</t>
        </is>
      </c>
      <c r="FG4142" s="15" t="inlineStr">
        <is>
          <t>Zhong Tong</t>
        </is>
      </c>
      <c r="FH4142" s="15" t="inlineStr">
        <is>
          <t>Lck6122evg</t>
        </is>
      </c>
      <c r="FI4142" s="15" t="inlineStr">
        <is>
          <t>ZHONGTONG</t>
        </is>
      </c>
      <c r="FJ4142" s="15" t="inlineStr">
        <is>
          <t>LCK6122EVG</t>
        </is>
      </c>
      <c r="FK4142" s="15" t="n">
        <v>2025</v>
      </c>
      <c r="FL4142" s="15" t="inlineStr">
        <is>
          <t>B</t>
        </is>
      </c>
      <c r="FM4142" s="15" t="inlineStr">
        <is>
          <t>SAN ALFONSO</t>
        </is>
      </c>
      <c r="FN4142" s="15" t="inlineStr">
        <is>
          <t>San Alfonso 2141 (Ramón Subercaseaux 3060)</t>
        </is>
      </c>
      <c r="FO4142" s="15" t="inlineStr">
        <is>
          <t>Estacion Central</t>
        </is>
      </c>
      <c r="FP4142" t="inlineStr">
        <is>
          <t>B</t>
        </is>
      </c>
    </row>
    <row r="4143">
      <c r="FC4143" t="inlineStr">
        <is>
          <t>Diccionario 4</t>
        </is>
      </c>
      <c r="FD4143" s="15" t="inlineStr">
        <is>
          <t>VFPC-69|</t>
        </is>
      </c>
      <c r="FE4143" s="15" t="inlineStr">
        <is>
          <t>MDN35025020027</t>
        </is>
      </c>
      <c r="FF4143" s="15" t="inlineStr">
        <is>
          <t>LDYECS317S0044003</t>
        </is>
      </c>
      <c r="FG4143" s="15" t="inlineStr">
        <is>
          <t>Zhong Tong</t>
        </is>
      </c>
      <c r="FH4143" s="15" t="inlineStr">
        <is>
          <t>Lck6122evg</t>
        </is>
      </c>
      <c r="FI4143" s="15" t="inlineStr">
        <is>
          <t>ZHONGTONG</t>
        </is>
      </c>
      <c r="FJ4143" s="15" t="inlineStr">
        <is>
          <t>LCK6122EVG</t>
        </is>
      </c>
      <c r="FK4143" s="15" t="n">
        <v>2025</v>
      </c>
      <c r="FL4143" s="15" t="inlineStr">
        <is>
          <t>B</t>
        </is>
      </c>
      <c r="FM4143" s="15" t="inlineStr">
        <is>
          <t>PIE ANDINO</t>
        </is>
      </c>
      <c r="FN4143" s="15" t="inlineStr">
        <is>
          <t>Pie Andino 31 (Pie Andino 383)</t>
        </is>
      </c>
      <c r="FO4143" s="15" t="inlineStr">
        <is>
          <t>Puente Alto</t>
        </is>
      </c>
      <c r="FP4143" t="inlineStr">
        <is>
          <t>B</t>
        </is>
      </c>
    </row>
    <row r="4144">
      <c r="FC4144" t="inlineStr">
        <is>
          <t>Diccionario 4</t>
        </is>
      </c>
      <c r="FD4144" s="15" t="inlineStr">
        <is>
          <t>VFPD-10|</t>
        </is>
      </c>
      <c r="FE4144" s="15" t="inlineStr">
        <is>
          <t>MDN35025020086</t>
        </is>
      </c>
      <c r="FF4144" s="15" t="inlineStr">
        <is>
          <t>LDYECS31XS0043976</t>
        </is>
      </c>
      <c r="FG4144" s="15" t="inlineStr">
        <is>
          <t>Zhong Tong</t>
        </is>
      </c>
      <c r="FH4144" s="15" t="inlineStr">
        <is>
          <t>Lck6122evg</t>
        </is>
      </c>
      <c r="FI4144" s="15" t="inlineStr">
        <is>
          <t>ZHONGTONG</t>
        </is>
      </c>
      <c r="FJ4144" s="15" t="inlineStr">
        <is>
          <t>LCK6122EVG</t>
        </is>
      </c>
      <c r="FK4144" s="15" t="n">
        <v>2025</v>
      </c>
      <c r="FL4144" s="15" t="inlineStr">
        <is>
          <t>B</t>
        </is>
      </c>
      <c r="FM4144" s="15" t="inlineStr">
        <is>
          <t>CERRILLOS</t>
        </is>
      </c>
      <c r="FN4144" s="15" t="inlineStr">
        <is>
          <t>Calle Uno 7371</t>
        </is>
      </c>
      <c r="FO4144" s="15" t="inlineStr">
        <is>
          <t>Cerrillos</t>
        </is>
      </c>
      <c r="FP4144" t="inlineStr">
        <is>
          <t>B</t>
        </is>
      </c>
    </row>
    <row r="4145">
      <c r="FC4145" t="inlineStr">
        <is>
          <t>Diccionario 4</t>
        </is>
      </c>
      <c r="FD4145" s="15" t="inlineStr">
        <is>
          <t>VFPD-41|</t>
        </is>
      </c>
      <c r="FE4145" s="15" t="inlineStr">
        <is>
          <t>MDN35025020119</t>
        </is>
      </c>
      <c r="FF4145" s="15" t="inlineStr">
        <is>
          <t>LDYECS313S0043981</t>
        </is>
      </c>
      <c r="FG4145" s="15" t="inlineStr">
        <is>
          <t>Zhong Tong</t>
        </is>
      </c>
      <c r="FH4145" s="15" t="inlineStr">
        <is>
          <t>Lck6122evg</t>
        </is>
      </c>
      <c r="FI4145" s="15" t="inlineStr">
        <is>
          <t>ZHONGTONG</t>
        </is>
      </c>
      <c r="FJ4145" s="15" t="inlineStr">
        <is>
          <t>LCK6122EVG</t>
        </is>
      </c>
      <c r="FK4145" s="15" t="n">
        <v>2025</v>
      </c>
      <c r="FL4145" s="15" t="inlineStr">
        <is>
          <t>B</t>
        </is>
      </c>
      <c r="FM4145" s="15" t="inlineStr">
        <is>
          <t>PIE ANDINO</t>
        </is>
      </c>
      <c r="FN4145" s="15" t="inlineStr">
        <is>
          <t>Pie Andino 31 (Pie Andino 383)</t>
        </is>
      </c>
      <c r="FO4145" s="15" t="inlineStr">
        <is>
          <t>Puente Alto</t>
        </is>
      </c>
      <c r="FP4145" t="inlineStr">
        <is>
          <t>B</t>
        </is>
      </c>
    </row>
    <row r="4146">
      <c r="FC4146" t="inlineStr">
        <is>
          <t>Diccionario 4</t>
        </is>
      </c>
      <c r="FD4146" s="15" t="inlineStr">
        <is>
          <t>VFPD-51|</t>
        </is>
      </c>
      <c r="FE4146" s="15" t="inlineStr">
        <is>
          <t>MDN35025020092</t>
        </is>
      </c>
      <c r="FF4146" s="15" t="inlineStr">
        <is>
          <t>LDYECS319S0043998</t>
        </is>
      </c>
      <c r="FG4146" s="15" t="inlineStr">
        <is>
          <t>Zhong Tong</t>
        </is>
      </c>
      <c r="FH4146" s="15" t="inlineStr">
        <is>
          <t>Lck6122evg</t>
        </is>
      </c>
      <c r="FI4146" s="15" t="inlineStr">
        <is>
          <t>ZHONGTONG</t>
        </is>
      </c>
      <c r="FJ4146" s="15" t="inlineStr">
        <is>
          <t>LCK6122EVG</t>
        </is>
      </c>
      <c r="FK4146" s="15" t="n">
        <v>2025</v>
      </c>
      <c r="FL4146" s="15" t="inlineStr">
        <is>
          <t>B</t>
        </is>
      </c>
      <c r="FM4146" s="15" t="inlineStr">
        <is>
          <t>CERRILLOS</t>
        </is>
      </c>
      <c r="FN4146" s="15" t="inlineStr">
        <is>
          <t>Calle Uno 7371</t>
        </is>
      </c>
      <c r="FO4146" s="15" t="inlineStr">
        <is>
          <t>Cerrillos</t>
        </is>
      </c>
      <c r="FP4146" t="inlineStr">
        <is>
          <t>B</t>
        </is>
      </c>
    </row>
    <row r="4147">
      <c r="FC4147" t="inlineStr">
        <is>
          <t>Diccionario 4</t>
        </is>
      </c>
      <c r="FD4147" s="15" t="inlineStr">
        <is>
          <t>VFPD-61|</t>
        </is>
      </c>
      <c r="FE4147" s="15" t="inlineStr">
        <is>
          <t>MDN35025020153</t>
        </is>
      </c>
      <c r="FF4147" s="15" t="inlineStr">
        <is>
          <t>LDYECS310S0043999</t>
        </is>
      </c>
      <c r="FG4147" s="15" t="inlineStr">
        <is>
          <t>Zhong Tong</t>
        </is>
      </c>
      <c r="FH4147" s="15" t="inlineStr">
        <is>
          <t>Lck6122evg</t>
        </is>
      </c>
      <c r="FI4147" s="15" t="inlineStr">
        <is>
          <t>ZHONGTONG</t>
        </is>
      </c>
      <c r="FJ4147" s="15" t="inlineStr">
        <is>
          <t>LCK6122EVG</t>
        </is>
      </c>
      <c r="FK4147" s="15" t="n">
        <v>2025</v>
      </c>
      <c r="FL4147" s="15" t="inlineStr">
        <is>
          <t>B</t>
        </is>
      </c>
      <c r="FM4147" s="15" t="inlineStr">
        <is>
          <t>CERRILLOS</t>
        </is>
      </c>
      <c r="FN4147" s="15" t="inlineStr">
        <is>
          <t>Calle Uno 7371</t>
        </is>
      </c>
      <c r="FO4147" s="15" t="inlineStr">
        <is>
          <t>Cerrillos</t>
        </is>
      </c>
      <c r="FP4147" t="inlineStr">
        <is>
          <t>B</t>
        </is>
      </c>
    </row>
    <row r="4148">
      <c r="FC4148" t="inlineStr">
        <is>
          <t>Diccionario 4</t>
        </is>
      </c>
      <c r="FD4148" s="15" t="inlineStr">
        <is>
          <t>VFPD-71|</t>
        </is>
      </c>
      <c r="FE4148" s="15" t="inlineStr">
        <is>
          <t>MDN35025010097</t>
        </is>
      </c>
      <c r="FF4148" s="15" t="inlineStr">
        <is>
          <t>LDYECS318S0044110</t>
        </is>
      </c>
      <c r="FG4148" s="15" t="inlineStr">
        <is>
          <t>Zhong Tong</t>
        </is>
      </c>
      <c r="FH4148" s="15" t="inlineStr">
        <is>
          <t>Lck6122evg</t>
        </is>
      </c>
      <c r="FI4148" s="15" t="inlineStr">
        <is>
          <t>ZHONGTONG</t>
        </is>
      </c>
      <c r="FJ4148" s="15" t="inlineStr">
        <is>
          <t>LCK6122EVG</t>
        </is>
      </c>
      <c r="FK4148" s="15" t="n">
        <v>2025</v>
      </c>
      <c r="FL4148" s="15" t="inlineStr">
        <is>
          <t>B</t>
        </is>
      </c>
      <c r="FM4148" s="15" t="inlineStr">
        <is>
          <t>CERRILLOS</t>
        </is>
      </c>
      <c r="FN4148" s="15" t="inlineStr">
        <is>
          <t>Calle Uno 7371</t>
        </is>
      </c>
      <c r="FO4148" s="15" t="inlineStr">
        <is>
          <t>Cerrillos</t>
        </is>
      </c>
      <c r="FP4148" t="inlineStr">
        <is>
          <t>B</t>
        </is>
      </c>
    </row>
    <row r="4149">
      <c r="FC4149" t="inlineStr">
        <is>
          <t>Diccionario 4</t>
        </is>
      </c>
      <c r="FD4149" s="15" t="inlineStr">
        <is>
          <t>VFPD-81|</t>
        </is>
      </c>
      <c r="FE4149" s="15" t="inlineStr">
        <is>
          <t>MDN35025020026</t>
        </is>
      </c>
      <c r="FF4149" s="15" t="inlineStr">
        <is>
          <t>LDYECS31XS0043993</t>
        </is>
      </c>
      <c r="FG4149" s="15" t="inlineStr">
        <is>
          <t>Zhong Tong</t>
        </is>
      </c>
      <c r="FH4149" s="15" t="inlineStr">
        <is>
          <t>Lck6122evg</t>
        </is>
      </c>
      <c r="FI4149" s="15" t="inlineStr">
        <is>
          <t>ZHONGTONG</t>
        </is>
      </c>
      <c r="FJ4149" s="15" t="inlineStr">
        <is>
          <t>LCK6122EVG</t>
        </is>
      </c>
      <c r="FK4149" s="15" t="n">
        <v>2025</v>
      </c>
      <c r="FL4149" s="15" t="inlineStr">
        <is>
          <t>B</t>
        </is>
      </c>
      <c r="FM4149" s="15" t="inlineStr">
        <is>
          <t>CERRILLOS</t>
        </is>
      </c>
      <c r="FN4149" s="15" t="inlineStr">
        <is>
          <t>Calle Uno 7371</t>
        </is>
      </c>
      <c r="FO4149" s="15" t="inlineStr">
        <is>
          <t>Cerrillos</t>
        </is>
      </c>
      <c r="FP4149" t="inlineStr">
        <is>
          <t>B</t>
        </is>
      </c>
    </row>
    <row r="4150">
      <c r="FC4150" t="inlineStr">
        <is>
          <t>Diccionario 4</t>
        </is>
      </c>
      <c r="FD4150" s="15" t="inlineStr">
        <is>
          <t>VFPF-21|</t>
        </is>
      </c>
      <c r="FE4150" s="15" t="inlineStr">
        <is>
          <t>MDN35025020048</t>
        </is>
      </c>
      <c r="FF4150" s="15" t="inlineStr">
        <is>
          <t>LDYECS316S0043988</t>
        </is>
      </c>
      <c r="FG4150" s="15" t="inlineStr">
        <is>
          <t>Zhong Tong</t>
        </is>
      </c>
      <c r="FH4150" s="15" t="inlineStr">
        <is>
          <t>Lck6122evg</t>
        </is>
      </c>
      <c r="FI4150" s="15" t="inlineStr">
        <is>
          <t>ZHONGTONG</t>
        </is>
      </c>
      <c r="FJ4150" s="15" t="inlineStr">
        <is>
          <t>LCK6122EVG</t>
        </is>
      </c>
      <c r="FK4150" s="15" t="n">
        <v>2025</v>
      </c>
      <c r="FL4150" s="15" t="inlineStr">
        <is>
          <t>B</t>
        </is>
      </c>
      <c r="FM4150" s="15" t="inlineStr">
        <is>
          <t>PIE ANDINO</t>
        </is>
      </c>
      <c r="FN4150" s="15" t="inlineStr">
        <is>
          <t>Pie Andino 31 (Pie Andino 383)</t>
        </is>
      </c>
      <c r="FO4150" s="15" t="inlineStr">
        <is>
          <t>Puente Alto</t>
        </is>
      </c>
      <c r="FP4150" t="inlineStr">
        <is>
          <t>B</t>
        </is>
      </c>
    </row>
    <row r="4151">
      <c r="FC4151" t="inlineStr">
        <is>
          <t>Diccionario 4</t>
        </is>
      </c>
      <c r="FD4151" s="15" t="inlineStr">
        <is>
          <t>VFPF-31|</t>
        </is>
      </c>
      <c r="FE4151" s="15" t="inlineStr">
        <is>
          <t>MDN35025020053</t>
        </is>
      </c>
      <c r="FF4151" s="15" t="inlineStr">
        <is>
          <t>LDYECS310S0043985</t>
        </is>
      </c>
      <c r="FG4151" s="15" t="inlineStr">
        <is>
          <t>Zhong Tong</t>
        </is>
      </c>
      <c r="FH4151" s="15" t="inlineStr">
        <is>
          <t>Lck6122evg</t>
        </is>
      </c>
      <c r="FI4151" s="15" t="inlineStr">
        <is>
          <t>ZHONGTONG</t>
        </is>
      </c>
      <c r="FJ4151" s="15" t="inlineStr">
        <is>
          <t>LCK6122EVG</t>
        </is>
      </c>
      <c r="FK4151" s="15" t="n">
        <v>2025</v>
      </c>
      <c r="FL4151" s="15" t="inlineStr">
        <is>
          <t>B</t>
        </is>
      </c>
      <c r="FM4151" s="15" t="inlineStr">
        <is>
          <t>CERRILLOS</t>
        </is>
      </c>
      <c r="FN4151" s="15" t="inlineStr">
        <is>
          <t>Calle Uno 7371</t>
        </is>
      </c>
      <c r="FO4151" s="15" t="inlineStr">
        <is>
          <t>Cerrillos</t>
        </is>
      </c>
      <c r="FP4151" t="inlineStr">
        <is>
          <t>B</t>
        </is>
      </c>
    </row>
    <row r="4152">
      <c r="FC4152" t="inlineStr">
        <is>
          <t>Diccionario 4</t>
        </is>
      </c>
      <c r="FD4152" s="15" t="inlineStr">
        <is>
          <t>VFPF-51|</t>
        </is>
      </c>
      <c r="FE4152" s="15" t="inlineStr">
        <is>
          <t>MDN35025020080</t>
        </is>
      </c>
      <c r="FF4152" s="15" t="inlineStr">
        <is>
          <t>LDYECS314S0043990</t>
        </is>
      </c>
      <c r="FG4152" s="15" t="inlineStr">
        <is>
          <t>Zhong Tong</t>
        </is>
      </c>
      <c r="FH4152" s="15" t="inlineStr">
        <is>
          <t>Lck6122evg</t>
        </is>
      </c>
      <c r="FI4152" s="15" t="inlineStr">
        <is>
          <t>ZHONGTONG</t>
        </is>
      </c>
      <c r="FJ4152" s="15" t="inlineStr">
        <is>
          <t>LCK6122EVG</t>
        </is>
      </c>
      <c r="FK4152" s="15" t="n">
        <v>2025</v>
      </c>
      <c r="FL4152" s="15" t="inlineStr">
        <is>
          <t>B</t>
        </is>
      </c>
      <c r="FM4152" s="15" t="inlineStr">
        <is>
          <t>CERRILLOS</t>
        </is>
      </c>
      <c r="FN4152" s="15" t="inlineStr">
        <is>
          <t>Calle Uno 7371</t>
        </is>
      </c>
      <c r="FO4152" s="15" t="inlineStr">
        <is>
          <t>Cerrillos</t>
        </is>
      </c>
      <c r="FP4152" t="inlineStr">
        <is>
          <t>B</t>
        </is>
      </c>
    </row>
    <row r="4153">
      <c r="FC4153" t="inlineStr">
        <is>
          <t>Diccionario 4</t>
        </is>
      </c>
      <c r="FD4153" s="15" t="inlineStr">
        <is>
          <t>VFPF-54|</t>
        </is>
      </c>
      <c r="FE4153" s="15" t="inlineStr">
        <is>
          <t>MDN35025020046</t>
        </is>
      </c>
      <c r="FF4153" s="15" t="inlineStr">
        <is>
          <t>LDYECS311S0043994</t>
        </is>
      </c>
      <c r="FG4153" s="15" t="inlineStr">
        <is>
          <t>Zhong Tong</t>
        </is>
      </c>
      <c r="FH4153" s="15" t="inlineStr">
        <is>
          <t>Lck6122evg</t>
        </is>
      </c>
      <c r="FI4153" s="15" t="inlineStr">
        <is>
          <t>ZHONGTONG</t>
        </is>
      </c>
      <c r="FJ4153" s="15" t="inlineStr">
        <is>
          <t>LCK6122EVG</t>
        </is>
      </c>
      <c r="FK4153" s="15" t="n">
        <v>2025</v>
      </c>
      <c r="FL4153" s="15" t="inlineStr">
        <is>
          <t>B</t>
        </is>
      </c>
      <c r="FM4153" s="15" t="inlineStr">
        <is>
          <t>PIE ANDINO</t>
        </is>
      </c>
      <c r="FN4153" s="15" t="inlineStr">
        <is>
          <t>Pie Andino 31 (Pie Andino 383)</t>
        </is>
      </c>
      <c r="FO4153" s="15" t="inlineStr">
        <is>
          <t>Puente Alto</t>
        </is>
      </c>
      <c r="FP4153" t="inlineStr">
        <is>
          <t>B</t>
        </is>
      </c>
    </row>
    <row r="4154">
      <c r="FC4154" t="inlineStr">
        <is>
          <t>Diccionario 4</t>
        </is>
      </c>
      <c r="FD4154" s="15" t="inlineStr">
        <is>
          <t>VFPF-61|</t>
        </is>
      </c>
      <c r="FE4154" s="15" t="inlineStr">
        <is>
          <t>MDN35025020061</t>
        </is>
      </c>
      <c r="FF4154" s="15" t="inlineStr">
        <is>
          <t>LDYECS318S0043992</t>
        </is>
      </c>
      <c r="FG4154" s="15" t="inlineStr">
        <is>
          <t>Zhong Tong</t>
        </is>
      </c>
      <c r="FH4154" s="15" t="inlineStr">
        <is>
          <t>Lck6122evg</t>
        </is>
      </c>
      <c r="FI4154" s="15" t="inlineStr">
        <is>
          <t>ZHONGTONG</t>
        </is>
      </c>
      <c r="FJ4154" s="15" t="inlineStr">
        <is>
          <t>LCK6122EVG</t>
        </is>
      </c>
      <c r="FK4154" s="15" t="n">
        <v>2025</v>
      </c>
      <c r="FL4154" s="15" t="inlineStr">
        <is>
          <t>B</t>
        </is>
      </c>
      <c r="FM4154" s="15" t="inlineStr">
        <is>
          <t>SAN ALFONSO</t>
        </is>
      </c>
      <c r="FN4154" s="15" t="inlineStr">
        <is>
          <t>San Alfonso 2141 (Ramón Subercaseaux 3060)</t>
        </is>
      </c>
      <c r="FO4154" s="15" t="inlineStr">
        <is>
          <t>Estacion Central</t>
        </is>
      </c>
      <c r="FP4154" t="inlineStr">
        <is>
          <t>B</t>
        </is>
      </c>
    </row>
    <row r="4155">
      <c r="FC4155" t="inlineStr">
        <is>
          <t>Diccionario 4</t>
        </is>
      </c>
      <c r="FD4155" s="15" t="inlineStr">
        <is>
          <t>VFPG-48|</t>
        </is>
      </c>
      <c r="FE4155" s="15" t="inlineStr">
        <is>
          <t>MDN35025020044</t>
        </is>
      </c>
      <c r="FF4155" s="15" t="inlineStr">
        <is>
          <t>LDYECS31XS0044058</t>
        </is>
      </c>
      <c r="FG4155" s="15" t="inlineStr">
        <is>
          <t>Zhong Tong</t>
        </is>
      </c>
      <c r="FH4155" s="15" t="inlineStr">
        <is>
          <t>Lck6122evg</t>
        </is>
      </c>
      <c r="FI4155" s="15" t="inlineStr">
        <is>
          <t>ZHONGTONG</t>
        </is>
      </c>
      <c r="FJ4155" s="15" t="inlineStr">
        <is>
          <t>LCK6122EVG</t>
        </is>
      </c>
      <c r="FK4155" s="15" t="n">
        <v>2025</v>
      </c>
      <c r="FL4155" s="15" t="inlineStr">
        <is>
          <t>B</t>
        </is>
      </c>
      <c r="FM4155" s="15" t="inlineStr">
        <is>
          <t>CERRILLOS</t>
        </is>
      </c>
      <c r="FN4155" s="15" t="inlineStr">
        <is>
          <t>Calle Uno 7371</t>
        </is>
      </c>
      <c r="FO4155" s="15" t="inlineStr">
        <is>
          <t>Cerrillos</t>
        </is>
      </c>
      <c r="FP4155" t="inlineStr">
        <is>
          <t>B</t>
        </is>
      </c>
    </row>
    <row r="4156">
      <c r="FC4156" t="inlineStr">
        <is>
          <t>Diccionario 4</t>
        </is>
      </c>
      <c r="FD4156" s="15" t="inlineStr">
        <is>
          <t>VFPG-58|</t>
        </is>
      </c>
      <c r="FE4156" s="15" t="inlineStr">
        <is>
          <t>MDN35025020113</t>
        </is>
      </c>
      <c r="FF4156" s="15" t="inlineStr">
        <is>
          <t>LDYECS318S0044012</t>
        </is>
      </c>
      <c r="FG4156" s="15" t="inlineStr">
        <is>
          <t>Zhong Tong</t>
        </is>
      </c>
      <c r="FH4156" s="15" t="inlineStr">
        <is>
          <t>Lck6122evg</t>
        </is>
      </c>
      <c r="FI4156" s="15" t="inlineStr">
        <is>
          <t>ZHONGTONG</t>
        </is>
      </c>
      <c r="FJ4156" s="15" t="inlineStr">
        <is>
          <t>LCK6122EVG</t>
        </is>
      </c>
      <c r="FK4156" s="15" t="n">
        <v>2025</v>
      </c>
      <c r="FL4156" s="15" t="inlineStr">
        <is>
          <t>B</t>
        </is>
      </c>
      <c r="FM4156" s="15" t="inlineStr">
        <is>
          <t>CERRILLOS</t>
        </is>
      </c>
      <c r="FN4156" s="15" t="inlineStr">
        <is>
          <t>Calle Uno 7371</t>
        </is>
      </c>
      <c r="FO4156" s="15" t="inlineStr">
        <is>
          <t>Cerrillos</t>
        </is>
      </c>
      <c r="FP4156" t="inlineStr">
        <is>
          <t>B</t>
        </is>
      </c>
    </row>
    <row r="4157">
      <c r="FC4157" t="inlineStr">
        <is>
          <t>Diccionario 4</t>
        </is>
      </c>
      <c r="FD4157" s="15" t="inlineStr">
        <is>
          <t>VFPG-91|</t>
        </is>
      </c>
      <c r="FE4157" s="15" t="inlineStr">
        <is>
          <t>MDN35025020051</t>
        </is>
      </c>
      <c r="FF4157" s="15" t="inlineStr">
        <is>
          <t>LDYECS310S0044019</t>
        </is>
      </c>
      <c r="FG4157" s="15" t="inlineStr">
        <is>
          <t>Zhong Tong</t>
        </is>
      </c>
      <c r="FH4157" s="15" t="inlineStr">
        <is>
          <t>Lck6122evg</t>
        </is>
      </c>
      <c r="FI4157" s="15" t="inlineStr">
        <is>
          <t>ZHONGTONG</t>
        </is>
      </c>
      <c r="FJ4157" s="15" t="inlineStr">
        <is>
          <t>LCK6122EVG</t>
        </is>
      </c>
      <c r="FK4157" s="15" t="n">
        <v>2025</v>
      </c>
      <c r="FL4157" s="15" t="inlineStr">
        <is>
          <t>B</t>
        </is>
      </c>
      <c r="FM4157" s="15" t="inlineStr">
        <is>
          <t>PIE ANDINO</t>
        </is>
      </c>
      <c r="FN4157" s="15" t="inlineStr">
        <is>
          <t>Pie Andino 31 (Pie Andino 383)</t>
        </is>
      </c>
      <c r="FO4157" s="15" t="inlineStr">
        <is>
          <t>Puente Alto</t>
        </is>
      </c>
      <c r="FP4157" t="inlineStr">
        <is>
          <t>B</t>
        </is>
      </c>
    </row>
    <row r="4158">
      <c r="FC4158" t="inlineStr">
        <is>
          <t>Diccionario 4</t>
        </is>
      </c>
      <c r="FD4158" s="15" t="inlineStr">
        <is>
          <t>VFPH-21|</t>
        </is>
      </c>
      <c r="FE4158" s="15" t="inlineStr">
        <is>
          <t>MDN35025020130</t>
        </is>
      </c>
      <c r="FF4158" s="15" t="inlineStr">
        <is>
          <t>LDYECS319S0044021</t>
        </is>
      </c>
      <c r="FG4158" s="15" t="inlineStr">
        <is>
          <t>Zhong Tong</t>
        </is>
      </c>
      <c r="FH4158" s="15" t="inlineStr">
        <is>
          <t>Lck6122evg</t>
        </is>
      </c>
      <c r="FI4158" s="15" t="inlineStr">
        <is>
          <t>ZHONGTONG</t>
        </is>
      </c>
      <c r="FJ4158" s="15" t="inlineStr">
        <is>
          <t>LCK6122EVG</t>
        </is>
      </c>
      <c r="FK4158" s="15" t="n">
        <v>2025</v>
      </c>
      <c r="FL4158" s="15" t="inlineStr">
        <is>
          <t>B</t>
        </is>
      </c>
      <c r="FM4158" s="15" t="inlineStr">
        <is>
          <t>PIE ANDINO</t>
        </is>
      </c>
      <c r="FN4158" s="15" t="inlineStr">
        <is>
          <t>Pie Andino 31 (Pie Andino 383)</t>
        </is>
      </c>
      <c r="FO4158" s="15" t="inlineStr">
        <is>
          <t>Puente Alto</t>
        </is>
      </c>
      <c r="FP4158" t="inlineStr">
        <is>
          <t>B</t>
        </is>
      </c>
    </row>
    <row r="4159">
      <c r="FC4159" t="inlineStr">
        <is>
          <t>Diccionario 4</t>
        </is>
      </c>
      <c r="FD4159" s="15" t="inlineStr">
        <is>
          <t>VFPH-35|</t>
        </is>
      </c>
      <c r="FE4159" s="15" t="inlineStr">
        <is>
          <t>MDN35025020025</t>
        </is>
      </c>
      <c r="FF4159" s="15" t="inlineStr">
        <is>
          <t>LDYECS313S0044001</t>
        </is>
      </c>
      <c r="FG4159" s="15" t="inlineStr">
        <is>
          <t>Zhong Tong</t>
        </is>
      </c>
      <c r="FH4159" s="15" t="inlineStr">
        <is>
          <t>Lck6122evg</t>
        </is>
      </c>
      <c r="FI4159" s="15" t="inlineStr">
        <is>
          <t>ZHONGTONG</t>
        </is>
      </c>
      <c r="FJ4159" s="15" t="inlineStr">
        <is>
          <t>LCK6122EVG</t>
        </is>
      </c>
      <c r="FK4159" s="15" t="n">
        <v>2025</v>
      </c>
      <c r="FL4159" s="15" t="inlineStr">
        <is>
          <t>B</t>
        </is>
      </c>
      <c r="FM4159" s="15" t="inlineStr">
        <is>
          <t>CERRILLOS</t>
        </is>
      </c>
      <c r="FN4159" s="15" t="inlineStr">
        <is>
          <t>Calle Uno 7371</t>
        </is>
      </c>
      <c r="FO4159" s="15" t="inlineStr">
        <is>
          <t>Cerrillos</t>
        </is>
      </c>
      <c r="FP4159" t="inlineStr">
        <is>
          <t>B</t>
        </is>
      </c>
    </row>
    <row r="4160">
      <c r="FC4160" t="inlineStr">
        <is>
          <t>Diccionario 4</t>
        </is>
      </c>
      <c r="FD4160" s="15" t="inlineStr">
        <is>
          <t>VFPH-51|</t>
        </is>
      </c>
      <c r="FE4160" s="15" t="inlineStr">
        <is>
          <t>MDN35025020054</t>
        </is>
      </c>
      <c r="FF4160" s="15" t="inlineStr">
        <is>
          <t>LDYECS311S0044000</t>
        </is>
      </c>
      <c r="FG4160" s="15" t="inlineStr">
        <is>
          <t>Zhong Tong</t>
        </is>
      </c>
      <c r="FH4160" s="15" t="inlineStr">
        <is>
          <t>Lck6122evg</t>
        </is>
      </c>
      <c r="FI4160" s="15" t="inlineStr">
        <is>
          <t>ZHONGTONG</t>
        </is>
      </c>
      <c r="FJ4160" s="15" t="inlineStr">
        <is>
          <t>LCK6122EVG</t>
        </is>
      </c>
      <c r="FK4160" s="15" t="n">
        <v>2025</v>
      </c>
      <c r="FL4160" s="15" t="inlineStr">
        <is>
          <t>B</t>
        </is>
      </c>
      <c r="FM4160" s="15" t="inlineStr">
        <is>
          <t>PIE ANDINO</t>
        </is>
      </c>
      <c r="FN4160" s="15" t="inlineStr">
        <is>
          <t>Pie Andino 31 (Pie Andino 383)</t>
        </is>
      </c>
      <c r="FO4160" s="15" t="inlineStr">
        <is>
          <t>Puente Alto</t>
        </is>
      </c>
      <c r="FP4160" t="inlineStr">
        <is>
          <t>B</t>
        </is>
      </c>
    </row>
    <row r="4161">
      <c r="FC4161" t="inlineStr">
        <is>
          <t>Diccionario 4</t>
        </is>
      </c>
      <c r="FD4161" s="15" t="inlineStr">
        <is>
          <t>VFPH-66|</t>
        </is>
      </c>
      <c r="FE4161" s="15" t="inlineStr">
        <is>
          <t>MDN35025020154</t>
        </is>
      </c>
      <c r="FF4161" s="15" t="inlineStr">
        <is>
          <t>LDYECS315S0044002</t>
        </is>
      </c>
      <c r="FG4161" s="15" t="inlineStr">
        <is>
          <t>Zhong Tong</t>
        </is>
      </c>
      <c r="FH4161" s="15" t="inlineStr">
        <is>
          <t>Lck6122evg</t>
        </is>
      </c>
      <c r="FI4161" s="15" t="inlineStr">
        <is>
          <t>ZHONGTONG</t>
        </is>
      </c>
      <c r="FJ4161" s="15" t="inlineStr">
        <is>
          <t>LCK6122EVG</t>
        </is>
      </c>
      <c r="FK4161" s="15" t="n">
        <v>2025</v>
      </c>
      <c r="FL4161" s="15" t="inlineStr">
        <is>
          <t>B</t>
        </is>
      </c>
      <c r="FM4161" s="15" t="inlineStr">
        <is>
          <t>CERRILLOS</t>
        </is>
      </c>
      <c r="FN4161" s="15" t="inlineStr">
        <is>
          <t>Calle Uno 7371</t>
        </is>
      </c>
      <c r="FO4161" s="15" t="inlineStr">
        <is>
          <t>Cerrillos</t>
        </is>
      </c>
      <c r="FP4161" t="inlineStr">
        <is>
          <t>B</t>
        </is>
      </c>
    </row>
    <row r="4162">
      <c r="FC4162" t="inlineStr">
        <is>
          <t>Diccionario 4</t>
        </is>
      </c>
      <c r="FD4162" s="15" t="inlineStr">
        <is>
          <t>VFPH-79|</t>
        </is>
      </c>
      <c r="FE4162" s="15" t="inlineStr">
        <is>
          <t>MDN35025020121</t>
        </is>
      </c>
      <c r="FF4162" s="15" t="inlineStr">
        <is>
          <t>LDYECS314S0044007</t>
        </is>
      </c>
      <c r="FG4162" s="15" t="inlineStr">
        <is>
          <t>Zhong Tong</t>
        </is>
      </c>
      <c r="FH4162" s="15" t="inlineStr">
        <is>
          <t>Lck6122evg</t>
        </is>
      </c>
      <c r="FI4162" s="15" t="inlineStr">
        <is>
          <t>ZHONGTONG</t>
        </is>
      </c>
      <c r="FJ4162" s="15" t="inlineStr">
        <is>
          <t>LCK6122EVG</t>
        </is>
      </c>
      <c r="FK4162" s="15" t="n">
        <v>2025</v>
      </c>
      <c r="FL4162" s="15" t="inlineStr">
        <is>
          <t>B</t>
        </is>
      </c>
      <c r="FM4162" s="15" t="inlineStr">
        <is>
          <t>PIE ANDINO</t>
        </is>
      </c>
      <c r="FN4162" s="15" t="inlineStr">
        <is>
          <t>Pie Andino 31 (Pie Andino 383)</t>
        </is>
      </c>
      <c r="FO4162" s="15" t="inlineStr">
        <is>
          <t>Puente Alto</t>
        </is>
      </c>
      <c r="FP4162" t="inlineStr">
        <is>
          <t>B</t>
        </is>
      </c>
    </row>
    <row r="4163">
      <c r="FC4163" t="inlineStr">
        <is>
          <t>Diccionario 4</t>
        </is>
      </c>
      <c r="FD4163" s="15" t="inlineStr">
        <is>
          <t>VFPH-81|</t>
        </is>
      </c>
      <c r="FE4163" s="15" t="inlineStr">
        <is>
          <t>MDN35025020096</t>
        </is>
      </c>
      <c r="FF4163" s="15" t="inlineStr">
        <is>
          <t>LDYECS318S0044060</t>
        </is>
      </c>
      <c r="FG4163" s="15" t="inlineStr">
        <is>
          <t>Zhong Tong</t>
        </is>
      </c>
      <c r="FH4163" s="15" t="inlineStr">
        <is>
          <t>Lck6122evg</t>
        </is>
      </c>
      <c r="FI4163" s="15" t="inlineStr">
        <is>
          <t>ZHONGTONG</t>
        </is>
      </c>
      <c r="FJ4163" s="15" t="inlineStr">
        <is>
          <t>LCK6122EVG</t>
        </is>
      </c>
      <c r="FK4163" s="15" t="n">
        <v>2025</v>
      </c>
      <c r="FL4163" s="15" t="inlineStr">
        <is>
          <t>B</t>
        </is>
      </c>
      <c r="FM4163" s="15" t="inlineStr">
        <is>
          <t>PIE ANDINO</t>
        </is>
      </c>
      <c r="FN4163" s="15" t="inlineStr">
        <is>
          <t>Pie Andino 31 (Pie Andino 383)</t>
        </is>
      </c>
      <c r="FO4163" s="15" t="inlineStr">
        <is>
          <t>Puente Alto</t>
        </is>
      </c>
      <c r="FP4163" t="inlineStr">
        <is>
          <t>B</t>
        </is>
      </c>
    </row>
    <row r="4164">
      <c r="FC4164" t="inlineStr">
        <is>
          <t>Diccionario 4</t>
        </is>
      </c>
      <c r="FD4164" s="15" t="inlineStr">
        <is>
          <t>VFPH-91|</t>
        </is>
      </c>
      <c r="FE4164" s="15" t="inlineStr">
        <is>
          <t>MDN35025020045</t>
        </is>
      </c>
      <c r="FF4164" s="15" t="inlineStr">
        <is>
          <t>LDYECS312S0044023</t>
        </is>
      </c>
      <c r="FG4164" s="15" t="inlineStr">
        <is>
          <t>Zhong Tong</t>
        </is>
      </c>
      <c r="FH4164" s="15" t="inlineStr">
        <is>
          <t>Lck6122evg</t>
        </is>
      </c>
      <c r="FI4164" s="15" t="inlineStr">
        <is>
          <t>ZHONGTONG</t>
        </is>
      </c>
      <c r="FJ4164" s="15" t="inlineStr">
        <is>
          <t>LCK6122EVG</t>
        </is>
      </c>
      <c r="FK4164" s="15" t="n">
        <v>2025</v>
      </c>
      <c r="FL4164" s="15" t="inlineStr">
        <is>
          <t>B</t>
        </is>
      </c>
      <c r="FM4164" s="15" t="inlineStr">
        <is>
          <t>PIE ANDINO</t>
        </is>
      </c>
      <c r="FN4164" s="15" t="inlineStr">
        <is>
          <t>Pie Andino 31 (Pie Andino 383)</t>
        </is>
      </c>
      <c r="FO4164" s="15" t="inlineStr">
        <is>
          <t>Puente Alto</t>
        </is>
      </c>
      <c r="FP4164" t="inlineStr">
        <is>
          <t>B</t>
        </is>
      </c>
    </row>
    <row r="4165">
      <c r="FC4165" t="inlineStr">
        <is>
          <t>Diccionario 4</t>
        </is>
      </c>
      <c r="FD4165" s="15" t="inlineStr">
        <is>
          <t>VFPH-98|</t>
        </is>
      </c>
      <c r="FE4165" s="15" t="inlineStr">
        <is>
          <t>MDN35025020128</t>
        </is>
      </c>
      <c r="FF4165" s="15" t="inlineStr">
        <is>
          <t>LDYECS31XS0044030</t>
        </is>
      </c>
      <c r="FG4165" s="15" t="inlineStr">
        <is>
          <t>Zhong Tong</t>
        </is>
      </c>
      <c r="FH4165" s="15" t="inlineStr">
        <is>
          <t>Lck6122evg</t>
        </is>
      </c>
      <c r="FI4165" s="15" t="inlineStr">
        <is>
          <t>ZHONGTONG</t>
        </is>
      </c>
      <c r="FJ4165" s="15" t="inlineStr">
        <is>
          <t>LCK6122EVG</t>
        </is>
      </c>
      <c r="FK4165" s="15" t="n">
        <v>2025</v>
      </c>
      <c r="FL4165" s="15" t="inlineStr">
        <is>
          <t>B</t>
        </is>
      </c>
      <c r="FM4165" s="15" t="inlineStr">
        <is>
          <t>SAN ALFONSO</t>
        </is>
      </c>
      <c r="FN4165" s="15" t="inlineStr">
        <is>
          <t>San Alfonso 2141 (Ramón Subercaseaux 3060)</t>
        </is>
      </c>
      <c r="FO4165" s="15" t="inlineStr">
        <is>
          <t>Estacion Central</t>
        </is>
      </c>
      <c r="FP4165" t="inlineStr">
        <is>
          <t>B</t>
        </is>
      </c>
    </row>
    <row r="4166">
      <c r="FC4166" t="inlineStr">
        <is>
          <t>Diccionario 4</t>
        </is>
      </c>
      <c r="FD4166" s="15" t="inlineStr">
        <is>
          <t>VFPJ-11|</t>
        </is>
      </c>
      <c r="FE4166" s="15" t="inlineStr">
        <is>
          <t>MDN35025010019</t>
        </is>
      </c>
      <c r="FF4166" s="15" t="inlineStr">
        <is>
          <t>LDYECS319S0044116</t>
        </is>
      </c>
      <c r="FG4166" s="15" t="inlineStr">
        <is>
          <t>Zhong Tong</t>
        </is>
      </c>
      <c r="FH4166" s="15" t="inlineStr">
        <is>
          <t>Lck6122evg</t>
        </is>
      </c>
      <c r="FI4166" s="15" t="inlineStr">
        <is>
          <t>ZHONGTONG</t>
        </is>
      </c>
      <c r="FJ4166" s="15" t="inlineStr">
        <is>
          <t>LCK6122EVG</t>
        </is>
      </c>
      <c r="FK4166" s="15" t="n">
        <v>2025</v>
      </c>
      <c r="FL4166" s="15" t="inlineStr">
        <is>
          <t>B</t>
        </is>
      </c>
      <c r="FM4166" s="15" t="inlineStr">
        <is>
          <t>CERRILLOS</t>
        </is>
      </c>
      <c r="FN4166" s="15" t="inlineStr">
        <is>
          <t>Calle Uno 7371</t>
        </is>
      </c>
      <c r="FO4166" s="15" t="inlineStr">
        <is>
          <t>Cerrillos</t>
        </is>
      </c>
      <c r="FP4166" t="inlineStr">
        <is>
          <t>B</t>
        </is>
      </c>
    </row>
    <row r="4167">
      <c r="FC4167" t="inlineStr">
        <is>
          <t>Diccionario 4</t>
        </is>
      </c>
      <c r="FD4167" s="15" t="inlineStr">
        <is>
          <t>VFPJ-25|</t>
        </is>
      </c>
      <c r="FE4167" s="15" t="inlineStr">
        <is>
          <t>MDN35025020127</t>
        </is>
      </c>
      <c r="FF4167" s="15" t="inlineStr">
        <is>
          <t>LDYECS313S0044029</t>
        </is>
      </c>
      <c r="FG4167" s="15" t="inlineStr">
        <is>
          <t>Zhong Tong</t>
        </is>
      </c>
      <c r="FH4167" s="15" t="inlineStr">
        <is>
          <t>Lck6122evg</t>
        </is>
      </c>
      <c r="FI4167" s="15" t="inlineStr">
        <is>
          <t>ZHONGTONG</t>
        </is>
      </c>
      <c r="FJ4167" s="15" t="inlineStr">
        <is>
          <t>LCK6122EVG</t>
        </is>
      </c>
      <c r="FK4167" s="15" t="n">
        <v>2025</v>
      </c>
      <c r="FL4167" s="15" t="inlineStr">
        <is>
          <t>B</t>
        </is>
      </c>
      <c r="FM4167" s="15" t="inlineStr">
        <is>
          <t>PIE ANDINO</t>
        </is>
      </c>
      <c r="FN4167" s="15" t="inlineStr">
        <is>
          <t>Pie Andino 31 (Pie Andino 383)</t>
        </is>
      </c>
      <c r="FO4167" s="15" t="inlineStr">
        <is>
          <t>Puente Alto</t>
        </is>
      </c>
      <c r="FP4167" t="inlineStr">
        <is>
          <t>B</t>
        </is>
      </c>
    </row>
    <row r="4168">
      <c r="FC4168" t="inlineStr">
        <is>
          <t>Diccionario 4</t>
        </is>
      </c>
      <c r="FD4168" s="15" t="inlineStr">
        <is>
          <t>VFPJ-28|</t>
        </is>
      </c>
      <c r="FE4168" s="15" t="inlineStr">
        <is>
          <t>MDN35025020123</t>
        </is>
      </c>
      <c r="FF4168" s="15" t="inlineStr">
        <is>
          <t>LDYECS314S0044010</t>
        </is>
      </c>
      <c r="FG4168" s="15" t="inlineStr">
        <is>
          <t>Zhong Tong</t>
        </is>
      </c>
      <c r="FH4168" s="15" t="inlineStr">
        <is>
          <t>Lck6122evg</t>
        </is>
      </c>
      <c r="FI4168" s="15" t="inlineStr">
        <is>
          <t>ZHONGTONG</t>
        </is>
      </c>
      <c r="FJ4168" s="15" t="inlineStr">
        <is>
          <t>LCK6122EVG</t>
        </is>
      </c>
      <c r="FK4168" s="15" t="n">
        <v>2025</v>
      </c>
      <c r="FL4168" s="15" t="inlineStr">
        <is>
          <t>B</t>
        </is>
      </c>
      <c r="FM4168" s="15" t="inlineStr">
        <is>
          <t>PIE ANDINO</t>
        </is>
      </c>
      <c r="FN4168" s="15" t="inlineStr">
        <is>
          <t>Pie Andino 31 (Pie Andino 383)</t>
        </is>
      </c>
      <c r="FO4168" s="15" t="inlineStr">
        <is>
          <t>Puente Alto</t>
        </is>
      </c>
      <c r="FP4168" t="inlineStr">
        <is>
          <t>B</t>
        </is>
      </c>
    </row>
    <row r="4169">
      <c r="FC4169" t="inlineStr">
        <is>
          <t>Diccionario 4</t>
        </is>
      </c>
      <c r="FD4169" s="15" t="inlineStr">
        <is>
          <t>VFPJ-31|</t>
        </is>
      </c>
      <c r="FE4169" s="15" t="inlineStr">
        <is>
          <t>MDN35025020070</t>
        </is>
      </c>
      <c r="FF4169" s="15" t="inlineStr">
        <is>
          <t>LDYECS313S0043995</t>
        </is>
      </c>
      <c r="FG4169" s="15" t="inlineStr">
        <is>
          <t>Zhong Tong</t>
        </is>
      </c>
      <c r="FH4169" s="15" t="inlineStr">
        <is>
          <t>Lck6122evg</t>
        </is>
      </c>
      <c r="FI4169" s="15" t="inlineStr">
        <is>
          <t>ZHONGTONG</t>
        </is>
      </c>
      <c r="FJ4169" s="15" t="inlineStr">
        <is>
          <t>LCK6122EVG</t>
        </is>
      </c>
      <c r="FK4169" s="15" t="n">
        <v>2025</v>
      </c>
      <c r="FL4169" s="15" t="inlineStr">
        <is>
          <t>B</t>
        </is>
      </c>
      <c r="FM4169" s="15" t="inlineStr">
        <is>
          <t>CERRILLOS</t>
        </is>
      </c>
      <c r="FN4169" s="15" t="inlineStr">
        <is>
          <t>Calle Uno 7371</t>
        </is>
      </c>
      <c r="FO4169" s="15" t="inlineStr">
        <is>
          <t>Cerrillos</t>
        </is>
      </c>
      <c r="FP4169" t="inlineStr">
        <is>
          <t>B</t>
        </is>
      </c>
    </row>
    <row r="4170">
      <c r="FC4170" t="inlineStr">
        <is>
          <t>Diccionario 4</t>
        </is>
      </c>
      <c r="FD4170" s="15" t="inlineStr">
        <is>
          <t>VFPJ-51|</t>
        </is>
      </c>
      <c r="FE4170" s="15" t="inlineStr">
        <is>
          <t>MDN35025020109</t>
        </is>
      </c>
      <c r="FF4170" s="15" t="inlineStr">
        <is>
          <t>LDYECS314S0044024</t>
        </is>
      </c>
      <c r="FG4170" s="15" t="inlineStr">
        <is>
          <t>Zhong Tong</t>
        </is>
      </c>
      <c r="FH4170" s="15" t="inlineStr">
        <is>
          <t>Lck6122evg</t>
        </is>
      </c>
      <c r="FI4170" s="15" t="inlineStr">
        <is>
          <t>ZHONGTONG</t>
        </is>
      </c>
      <c r="FJ4170" s="15" t="inlineStr">
        <is>
          <t>LCK6122EVG</t>
        </is>
      </c>
      <c r="FK4170" s="15" t="n">
        <v>2025</v>
      </c>
      <c r="FL4170" s="15" t="inlineStr">
        <is>
          <t>B</t>
        </is>
      </c>
      <c r="FM4170" s="15" t="inlineStr">
        <is>
          <t>PIE ANDINO</t>
        </is>
      </c>
      <c r="FN4170" s="15" t="inlineStr">
        <is>
          <t>Pie Andino 31 (Pie Andino 383)</t>
        </is>
      </c>
      <c r="FO4170" s="15" t="inlineStr">
        <is>
          <t>Puente Alto</t>
        </is>
      </c>
      <c r="FP4170" t="inlineStr">
        <is>
          <t>B</t>
        </is>
      </c>
    </row>
    <row r="4171">
      <c r="FC4171" t="inlineStr">
        <is>
          <t>Diccionario 4</t>
        </is>
      </c>
      <c r="FD4171" s="15" t="inlineStr">
        <is>
          <t>VFPJ-53|</t>
        </is>
      </c>
      <c r="FE4171" s="15" t="inlineStr">
        <is>
          <t>MDN35025020024</t>
        </is>
      </c>
      <c r="FF4171" s="15" t="inlineStr">
        <is>
          <t>LDYECS318S0044026</t>
        </is>
      </c>
      <c r="FG4171" s="15" t="inlineStr">
        <is>
          <t>Zhong Tong</t>
        </is>
      </c>
      <c r="FH4171" s="15" t="inlineStr">
        <is>
          <t>Lck6122evg</t>
        </is>
      </c>
      <c r="FI4171" s="15" t="inlineStr">
        <is>
          <t>ZHONGTONG</t>
        </is>
      </c>
      <c r="FJ4171" s="15" t="inlineStr">
        <is>
          <t>LCK6122EVG</t>
        </is>
      </c>
      <c r="FK4171" s="15" t="n">
        <v>2025</v>
      </c>
      <c r="FL4171" s="15" t="inlineStr">
        <is>
          <t>B</t>
        </is>
      </c>
      <c r="FM4171" s="15" t="inlineStr">
        <is>
          <t>CERRILLOS</t>
        </is>
      </c>
      <c r="FN4171" s="15" t="inlineStr">
        <is>
          <t>Calle Uno 7371</t>
        </is>
      </c>
      <c r="FO4171" s="15" t="inlineStr">
        <is>
          <t>Cerrillos</t>
        </is>
      </c>
      <c r="FP4171" t="inlineStr">
        <is>
          <t>B</t>
        </is>
      </c>
    </row>
    <row r="4172">
      <c r="FC4172" t="inlineStr">
        <is>
          <t>Diccionario 4</t>
        </is>
      </c>
      <c r="FD4172" s="15" t="inlineStr">
        <is>
          <t>VFPJ-61|</t>
        </is>
      </c>
      <c r="FE4172" s="15" t="inlineStr">
        <is>
          <t>MDN35025020049</t>
        </is>
      </c>
      <c r="FF4172" s="15" t="inlineStr">
        <is>
          <t>LDYECS310S0044005</t>
        </is>
      </c>
      <c r="FG4172" s="15" t="inlineStr">
        <is>
          <t>Zhong Tong</t>
        </is>
      </c>
      <c r="FH4172" s="15" t="inlineStr">
        <is>
          <t>Lck6122evg</t>
        </is>
      </c>
      <c r="FI4172" s="15" t="inlineStr">
        <is>
          <t>ZHONGTONG</t>
        </is>
      </c>
      <c r="FJ4172" s="15" t="inlineStr">
        <is>
          <t>LCK6122EVG</t>
        </is>
      </c>
      <c r="FK4172" s="15" t="n">
        <v>2025</v>
      </c>
      <c r="FL4172" s="15" t="inlineStr">
        <is>
          <t>B</t>
        </is>
      </c>
      <c r="FM4172" s="15" t="inlineStr">
        <is>
          <t>PIE ANDINO</t>
        </is>
      </c>
      <c r="FN4172" s="15" t="inlineStr">
        <is>
          <t>Pie Andino 31 (Pie Andino 383)</t>
        </is>
      </c>
      <c r="FO4172" s="15" t="inlineStr">
        <is>
          <t>Puente Alto</t>
        </is>
      </c>
      <c r="FP4172" t="inlineStr">
        <is>
          <t>B</t>
        </is>
      </c>
    </row>
    <row r="4173">
      <c r="FC4173" t="inlineStr">
        <is>
          <t>Diccionario 4</t>
        </is>
      </c>
      <c r="FD4173" s="15" t="inlineStr">
        <is>
          <t>VFPJ-66|</t>
        </is>
      </c>
      <c r="FE4173" s="15" t="inlineStr">
        <is>
          <t>MDN35025020108</t>
        </is>
      </c>
      <c r="FF4173" s="15" t="inlineStr">
        <is>
          <t>LDYECS31XS0044061</t>
        </is>
      </c>
      <c r="FG4173" s="15" t="inlineStr">
        <is>
          <t>Zhong Tong</t>
        </is>
      </c>
      <c r="FH4173" s="15" t="inlineStr">
        <is>
          <t>Lck6122evg</t>
        </is>
      </c>
      <c r="FI4173" s="15" t="inlineStr">
        <is>
          <t>ZHONGTONG</t>
        </is>
      </c>
      <c r="FJ4173" s="15" t="inlineStr">
        <is>
          <t>LCK6122EVG</t>
        </is>
      </c>
      <c r="FK4173" s="15" t="n">
        <v>2025</v>
      </c>
      <c r="FL4173" s="15" t="inlineStr">
        <is>
          <t>B</t>
        </is>
      </c>
      <c r="FM4173" s="15" t="inlineStr">
        <is>
          <t>CERRILLOS</t>
        </is>
      </c>
      <c r="FN4173" s="15" t="inlineStr">
        <is>
          <t>Calle Uno 7371</t>
        </is>
      </c>
      <c r="FO4173" s="15" t="inlineStr">
        <is>
          <t>Cerrillos</t>
        </is>
      </c>
      <c r="FP4173" t="inlineStr">
        <is>
          <t>B</t>
        </is>
      </c>
    </row>
    <row r="4174">
      <c r="FC4174" t="inlineStr">
        <is>
          <t>Diccionario 4</t>
        </is>
      </c>
      <c r="FD4174" s="15" t="inlineStr">
        <is>
          <t>VFPJ-68|</t>
        </is>
      </c>
      <c r="FE4174" s="15" t="inlineStr">
        <is>
          <t>MDN35025020064</t>
        </is>
      </c>
      <c r="FF4174" s="15" t="inlineStr">
        <is>
          <t>LDYECS316S0044008</t>
        </is>
      </c>
      <c r="FG4174" s="15" t="inlineStr">
        <is>
          <t>Zhong Tong</t>
        </is>
      </c>
      <c r="FH4174" s="15" t="inlineStr">
        <is>
          <t>Lck6122evg</t>
        </is>
      </c>
      <c r="FI4174" s="15" t="inlineStr">
        <is>
          <t>ZHONGTONG</t>
        </is>
      </c>
      <c r="FJ4174" s="15" t="inlineStr">
        <is>
          <t>LCK6122EVG</t>
        </is>
      </c>
      <c r="FK4174" s="15" t="n">
        <v>2025</v>
      </c>
      <c r="FL4174" s="15" t="inlineStr">
        <is>
          <t>B</t>
        </is>
      </c>
      <c r="FM4174" s="15" t="inlineStr">
        <is>
          <t>PIE ANDINO</t>
        </is>
      </c>
      <c r="FN4174" s="15" t="inlineStr">
        <is>
          <t>Pie Andino 31 (Pie Andino 383)</t>
        </is>
      </c>
      <c r="FO4174" s="15" t="inlineStr">
        <is>
          <t>Puente Alto</t>
        </is>
      </c>
      <c r="FP4174" t="inlineStr">
        <is>
          <t>B</t>
        </is>
      </c>
    </row>
    <row r="4175">
      <c r="FC4175" t="inlineStr">
        <is>
          <t>Diccionario 4</t>
        </is>
      </c>
      <c r="FD4175" s="15" t="inlineStr">
        <is>
          <t>VFPJ-71|</t>
        </is>
      </c>
      <c r="FE4175" s="15" t="inlineStr">
        <is>
          <t>MDN35025020103</t>
        </is>
      </c>
      <c r="FF4175" s="15" t="inlineStr">
        <is>
          <t>LDYECS313S0044015</t>
        </is>
      </c>
      <c r="FG4175" s="15" t="inlineStr">
        <is>
          <t>Zhong Tong</t>
        </is>
      </c>
      <c r="FH4175" s="15" t="inlineStr">
        <is>
          <t>Lck6122evg</t>
        </is>
      </c>
      <c r="FI4175" s="15" t="inlineStr">
        <is>
          <t>ZHONGTONG</t>
        </is>
      </c>
      <c r="FJ4175" s="15" t="inlineStr">
        <is>
          <t>LCK6122EVG</t>
        </is>
      </c>
      <c r="FK4175" s="15" t="n">
        <v>2025</v>
      </c>
      <c r="FL4175" s="15" t="inlineStr">
        <is>
          <t>B</t>
        </is>
      </c>
      <c r="FM4175" s="15" t="inlineStr">
        <is>
          <t>CERRILLOS</t>
        </is>
      </c>
      <c r="FN4175" s="15" t="inlineStr">
        <is>
          <t>Calle Uno 7371</t>
        </is>
      </c>
      <c r="FO4175" s="15" t="inlineStr">
        <is>
          <t>Cerrillos</t>
        </is>
      </c>
      <c r="FP4175" t="inlineStr">
        <is>
          <t>B</t>
        </is>
      </c>
    </row>
    <row r="4176">
      <c r="FC4176" t="inlineStr">
        <is>
          <t>Diccionario 4</t>
        </is>
      </c>
      <c r="FD4176" s="15" t="inlineStr">
        <is>
          <t>VFPJ-77|</t>
        </is>
      </c>
      <c r="FE4176" s="15" t="inlineStr">
        <is>
          <t>MDN35025020131</t>
        </is>
      </c>
      <c r="FF4176" s="15" t="inlineStr">
        <is>
          <t>LDYECS317S0044017</t>
        </is>
      </c>
      <c r="FG4176" s="15" t="inlineStr">
        <is>
          <t>Zhong Tong</t>
        </is>
      </c>
      <c r="FH4176" s="15" t="inlineStr">
        <is>
          <t>Lck6122evg</t>
        </is>
      </c>
      <c r="FI4176" s="15" t="inlineStr">
        <is>
          <t>ZHONGTONG</t>
        </is>
      </c>
      <c r="FJ4176" s="15" t="inlineStr">
        <is>
          <t>LCK6122EVG</t>
        </is>
      </c>
      <c r="FK4176" s="15" t="n">
        <v>2025</v>
      </c>
      <c r="FL4176" s="15" t="inlineStr">
        <is>
          <t>B</t>
        </is>
      </c>
      <c r="FM4176" s="15" t="inlineStr">
        <is>
          <t>PIE ANDINO</t>
        </is>
      </c>
      <c r="FN4176" s="15" t="inlineStr">
        <is>
          <t>Pie Andino 31 (Pie Andino 383)</t>
        </is>
      </c>
      <c r="FO4176" s="15" t="inlineStr">
        <is>
          <t>Puente Alto</t>
        </is>
      </c>
      <c r="FP4176" t="inlineStr">
        <is>
          <t>B</t>
        </is>
      </c>
    </row>
    <row r="4177">
      <c r="FC4177" t="inlineStr">
        <is>
          <t>Diccionario 4</t>
        </is>
      </c>
      <c r="FD4177" s="15" t="inlineStr">
        <is>
          <t>VFPK-64|</t>
        </is>
      </c>
      <c r="FE4177" s="15" t="inlineStr">
        <is>
          <t>MDN35025020115</t>
        </is>
      </c>
      <c r="FF4177" s="15" t="inlineStr">
        <is>
          <t>LDYECS319S0044018</t>
        </is>
      </c>
      <c r="FG4177" s="15" t="inlineStr">
        <is>
          <t>Zhong Tong</t>
        </is>
      </c>
      <c r="FH4177" s="15" t="inlineStr">
        <is>
          <t>Lck6122evg</t>
        </is>
      </c>
      <c r="FI4177" s="15" t="inlineStr">
        <is>
          <t>ZHONGTONG</t>
        </is>
      </c>
      <c r="FJ4177" s="15" t="inlineStr">
        <is>
          <t>LCK6122EVG</t>
        </is>
      </c>
      <c r="FK4177" s="15" t="n">
        <v>2025</v>
      </c>
      <c r="FL4177" s="15" t="inlineStr">
        <is>
          <t>B</t>
        </is>
      </c>
      <c r="FM4177" s="15" t="inlineStr">
        <is>
          <t>CERRILLOS</t>
        </is>
      </c>
      <c r="FN4177" s="15" t="inlineStr">
        <is>
          <t>Calle Uno 7371</t>
        </is>
      </c>
      <c r="FO4177" s="15" t="inlineStr">
        <is>
          <t>Cerrillos</t>
        </is>
      </c>
      <c r="FP4177" t="inlineStr">
        <is>
          <t>B</t>
        </is>
      </c>
    </row>
    <row r="4178">
      <c r="FC4178" t="inlineStr">
        <is>
          <t>Diccionario 4</t>
        </is>
      </c>
      <c r="FD4178" s="15" t="inlineStr">
        <is>
          <t>VFPK-81|</t>
        </is>
      </c>
      <c r="FE4178" s="15" t="inlineStr">
        <is>
          <t>MDN35025020019</t>
        </is>
      </c>
      <c r="FF4178" s="15" t="inlineStr">
        <is>
          <t>LDYECS313S0044094</t>
        </is>
      </c>
      <c r="FG4178" s="15" t="inlineStr">
        <is>
          <t>Zhong Tong</t>
        </is>
      </c>
      <c r="FH4178" s="15" t="inlineStr">
        <is>
          <t>Lck6122evg</t>
        </is>
      </c>
      <c r="FI4178" s="15" t="inlineStr">
        <is>
          <t>ZHONGTONG</t>
        </is>
      </c>
      <c r="FJ4178" s="15" t="inlineStr">
        <is>
          <t>LCK6122EVG</t>
        </is>
      </c>
      <c r="FK4178" s="15" t="n">
        <v>2025</v>
      </c>
      <c r="FL4178" s="15" t="inlineStr">
        <is>
          <t>B</t>
        </is>
      </c>
      <c r="FM4178" s="15" t="inlineStr">
        <is>
          <t>PIE ANDINO</t>
        </is>
      </c>
      <c r="FN4178" s="15" t="inlineStr">
        <is>
          <t>Pie Andino 31 (Pie Andino 383)</t>
        </is>
      </c>
      <c r="FO4178" s="15" t="inlineStr">
        <is>
          <t>Puente Alto</t>
        </is>
      </c>
      <c r="FP4178" t="inlineStr">
        <is>
          <t>B</t>
        </is>
      </c>
    </row>
    <row r="4179">
      <c r="FC4179" t="inlineStr">
        <is>
          <t>Diccionario 4</t>
        </is>
      </c>
      <c r="FD4179" s="15" t="inlineStr">
        <is>
          <t>VFPK-91|</t>
        </is>
      </c>
      <c r="FE4179" s="15" t="inlineStr">
        <is>
          <t>MDN35025010038</t>
        </is>
      </c>
      <c r="FF4179" s="15" t="inlineStr">
        <is>
          <t>LDYECS315S0044114</t>
        </is>
      </c>
      <c r="FG4179" s="15" t="inlineStr">
        <is>
          <t>Zhong Tong</t>
        </is>
      </c>
      <c r="FH4179" s="15" t="inlineStr">
        <is>
          <t>Lck6122evg</t>
        </is>
      </c>
      <c r="FI4179" s="15" t="inlineStr">
        <is>
          <t>ZHONGTONG</t>
        </is>
      </c>
      <c r="FJ4179" s="15" t="inlineStr">
        <is>
          <t>LCK6122EVG</t>
        </is>
      </c>
      <c r="FK4179" s="15" t="n">
        <v>2025</v>
      </c>
      <c r="FL4179" s="15" t="inlineStr">
        <is>
          <t>B</t>
        </is>
      </c>
      <c r="FM4179" s="15" t="inlineStr">
        <is>
          <t>PIE ANDINO</t>
        </is>
      </c>
      <c r="FN4179" s="15" t="inlineStr">
        <is>
          <t>Pie Andino 31 (Pie Andino 383)</t>
        </is>
      </c>
      <c r="FO4179" s="15" t="inlineStr">
        <is>
          <t>Puente Alto</t>
        </is>
      </c>
      <c r="FP4179" t="inlineStr">
        <is>
          <t>B</t>
        </is>
      </c>
    </row>
    <row r="4180">
      <c r="FC4180" t="inlineStr">
        <is>
          <t>Diccionario 4</t>
        </is>
      </c>
      <c r="FD4180" s="15" t="inlineStr">
        <is>
          <t>VFPL-11|</t>
        </is>
      </c>
      <c r="FE4180" s="15" t="inlineStr">
        <is>
          <t>MDN35025020028</t>
        </is>
      </c>
      <c r="FF4180" s="15" t="inlineStr">
        <is>
          <t>LDYECS314S0044041</t>
        </is>
      </c>
      <c r="FG4180" s="15" t="inlineStr">
        <is>
          <t>Zhong Tong</t>
        </is>
      </c>
      <c r="FH4180" s="15" t="inlineStr">
        <is>
          <t>Lck6122evg</t>
        </is>
      </c>
      <c r="FI4180" s="15" t="inlineStr">
        <is>
          <t>ZHONGTONG</t>
        </is>
      </c>
      <c r="FJ4180" s="15" t="inlineStr">
        <is>
          <t>LCK6122EVG</t>
        </is>
      </c>
      <c r="FK4180" s="15" t="n">
        <v>2025</v>
      </c>
      <c r="FL4180" s="15" t="inlineStr">
        <is>
          <t>B</t>
        </is>
      </c>
      <c r="FM4180" s="15" t="inlineStr">
        <is>
          <t>PIE ANDINO</t>
        </is>
      </c>
      <c r="FN4180" s="15" t="inlineStr">
        <is>
          <t>Pie Andino 31 (Pie Andino 383)</t>
        </is>
      </c>
      <c r="FO4180" s="15" t="inlineStr">
        <is>
          <t>Puente Alto</t>
        </is>
      </c>
      <c r="FP4180" t="inlineStr">
        <is>
          <t>B</t>
        </is>
      </c>
    </row>
    <row r="4181">
      <c r="FC4181" t="inlineStr">
        <is>
          <t>Diccionario 4</t>
        </is>
      </c>
      <c r="FD4181" s="15" t="inlineStr">
        <is>
          <t>VFPL-15|</t>
        </is>
      </c>
      <c r="FE4181" s="15" t="inlineStr">
        <is>
          <t>MDN35025020111</t>
        </is>
      </c>
      <c r="FF4181" s="15" t="inlineStr">
        <is>
          <t>LDYECS31XS0044013</t>
        </is>
      </c>
      <c r="FG4181" s="15" t="inlineStr">
        <is>
          <t>Zhong Tong</t>
        </is>
      </c>
      <c r="FH4181" s="15" t="inlineStr">
        <is>
          <t>Lck6122evg</t>
        </is>
      </c>
      <c r="FI4181" s="15" t="inlineStr">
        <is>
          <t>ZHONGTONG</t>
        </is>
      </c>
      <c r="FJ4181" s="15" t="inlineStr">
        <is>
          <t>LCK6122EVG</t>
        </is>
      </c>
      <c r="FK4181" s="15" t="n">
        <v>2025</v>
      </c>
      <c r="FL4181" s="15" t="inlineStr">
        <is>
          <t>B</t>
        </is>
      </c>
      <c r="FM4181" s="15" t="inlineStr">
        <is>
          <t>PIE ANDINO</t>
        </is>
      </c>
      <c r="FN4181" s="15" t="inlineStr">
        <is>
          <t>Pie Andino 31 (Pie Andino 383)</t>
        </is>
      </c>
      <c r="FO4181" s="15" t="inlineStr">
        <is>
          <t>Puente Alto</t>
        </is>
      </c>
      <c r="FP4181" t="inlineStr">
        <is>
          <t>B</t>
        </is>
      </c>
    </row>
    <row r="4182">
      <c r="FC4182" t="inlineStr">
        <is>
          <t>Diccionario 4</t>
        </is>
      </c>
      <c r="FD4182" s="15" t="inlineStr">
        <is>
          <t>VFPL-21|</t>
        </is>
      </c>
      <c r="FE4182" s="15" t="inlineStr">
        <is>
          <t>MDN35025020125</t>
        </is>
      </c>
      <c r="FF4182" s="15" t="inlineStr">
        <is>
          <t>LDYECS313S0044032</t>
        </is>
      </c>
      <c r="FG4182" s="15" t="inlineStr">
        <is>
          <t>Zhong Tong</t>
        </is>
      </c>
      <c r="FH4182" s="15" t="inlineStr">
        <is>
          <t>Lck6122evg</t>
        </is>
      </c>
      <c r="FI4182" s="15" t="inlineStr">
        <is>
          <t>ZHONGTONG</t>
        </is>
      </c>
      <c r="FJ4182" s="15" t="inlineStr">
        <is>
          <t>LCK6122EVG</t>
        </is>
      </c>
      <c r="FK4182" s="15" t="n">
        <v>2025</v>
      </c>
      <c r="FL4182" s="15" t="inlineStr">
        <is>
          <t>B</t>
        </is>
      </c>
      <c r="FM4182" s="15" t="inlineStr">
        <is>
          <t>PIE ANDINO</t>
        </is>
      </c>
      <c r="FN4182" s="15" t="inlineStr">
        <is>
          <t>Pie Andino 31 (Pie Andino 383)</t>
        </is>
      </c>
      <c r="FO4182" s="15" t="inlineStr">
        <is>
          <t>Puente Alto</t>
        </is>
      </c>
      <c r="FP4182" t="inlineStr">
        <is>
          <t>B</t>
        </is>
      </c>
    </row>
    <row r="4183">
      <c r="FC4183" t="inlineStr">
        <is>
          <t>Diccionario 4</t>
        </is>
      </c>
      <c r="FD4183" s="15" t="inlineStr">
        <is>
          <t>VFPL-31|</t>
        </is>
      </c>
      <c r="FE4183" s="15" t="inlineStr">
        <is>
          <t>MDN35025020117</t>
        </is>
      </c>
      <c r="FF4183" s="15" t="inlineStr">
        <is>
          <t>LDYECS310S0044022</t>
        </is>
      </c>
      <c r="FG4183" s="15" t="inlineStr">
        <is>
          <t>Zhong Tong</t>
        </is>
      </c>
      <c r="FH4183" s="15" t="inlineStr">
        <is>
          <t>Lck6122evg</t>
        </is>
      </c>
      <c r="FI4183" s="15" t="inlineStr">
        <is>
          <t>ZHONGTONG</t>
        </is>
      </c>
      <c r="FJ4183" s="15" t="inlineStr">
        <is>
          <t>LCK6122EVG</t>
        </is>
      </c>
      <c r="FK4183" s="15" t="n">
        <v>2025</v>
      </c>
      <c r="FL4183" s="15" t="inlineStr">
        <is>
          <t>B</t>
        </is>
      </c>
      <c r="FM4183" s="15" t="inlineStr">
        <is>
          <t>PIE ANDINO</t>
        </is>
      </c>
      <c r="FN4183" s="15" t="inlineStr">
        <is>
          <t>Pie Andino 31 (Pie Andino 383)</t>
        </is>
      </c>
      <c r="FO4183" s="15" t="inlineStr">
        <is>
          <t>Puente Alto</t>
        </is>
      </c>
      <c r="FP4183" t="inlineStr">
        <is>
          <t>B</t>
        </is>
      </c>
    </row>
    <row r="4184">
      <c r="FC4184" t="inlineStr">
        <is>
          <t>Diccionario 4</t>
        </is>
      </c>
      <c r="FD4184" s="15" t="inlineStr">
        <is>
          <t>VFPL-35|</t>
        </is>
      </c>
      <c r="FE4184" s="15" t="inlineStr">
        <is>
          <t>MDN35025020006</t>
        </is>
      </c>
      <c r="FF4184" s="15" t="inlineStr">
        <is>
          <t>LDYECS316S0044073</t>
        </is>
      </c>
      <c r="FG4184" s="15" t="inlineStr">
        <is>
          <t>Zhong Tong</t>
        </is>
      </c>
      <c r="FH4184" s="15" t="inlineStr">
        <is>
          <t>Lck6122evg</t>
        </is>
      </c>
      <c r="FI4184" s="15" t="inlineStr">
        <is>
          <t>ZHONGTONG</t>
        </is>
      </c>
      <c r="FJ4184" s="15" t="inlineStr">
        <is>
          <t>LCK6122EVG</t>
        </is>
      </c>
      <c r="FK4184" s="15" t="n">
        <v>2025</v>
      </c>
      <c r="FL4184" s="15" t="inlineStr">
        <is>
          <t>B</t>
        </is>
      </c>
      <c r="FM4184" s="15" t="inlineStr">
        <is>
          <t>PIE ANDINO</t>
        </is>
      </c>
      <c r="FN4184" s="15" t="inlineStr">
        <is>
          <t>Pie Andino 31 (Pie Andino 383)</t>
        </is>
      </c>
      <c r="FO4184" s="15" t="inlineStr">
        <is>
          <t>Puente Alto</t>
        </is>
      </c>
      <c r="FP4184" t="inlineStr">
        <is>
          <t>B</t>
        </is>
      </c>
    </row>
    <row r="4185">
      <c r="FC4185" t="inlineStr">
        <is>
          <t>Diccionario 4</t>
        </is>
      </c>
      <c r="FD4185" s="15" t="inlineStr">
        <is>
          <t>VFPL-41|</t>
        </is>
      </c>
      <c r="FE4185" s="15" t="inlineStr">
        <is>
          <t>MDN35025020062</t>
        </is>
      </c>
      <c r="FF4185" s="15" t="inlineStr">
        <is>
          <t>LDYECS312S0044006</t>
        </is>
      </c>
      <c r="FG4185" s="15" t="inlineStr">
        <is>
          <t>Zhong Tong</t>
        </is>
      </c>
      <c r="FH4185" s="15" t="inlineStr">
        <is>
          <t>Lck6122evg</t>
        </is>
      </c>
      <c r="FI4185" s="15" t="inlineStr">
        <is>
          <t>ZHONGTONG</t>
        </is>
      </c>
      <c r="FJ4185" s="15" t="inlineStr">
        <is>
          <t>LCK6122EVG</t>
        </is>
      </c>
      <c r="FK4185" s="15" t="n">
        <v>2025</v>
      </c>
      <c r="FL4185" s="15" t="inlineStr">
        <is>
          <t>B</t>
        </is>
      </c>
      <c r="FM4185" s="15" t="inlineStr">
        <is>
          <t>SAN ALFONSO</t>
        </is>
      </c>
      <c r="FN4185" s="15" t="inlineStr">
        <is>
          <t>San Alfonso 2141 (Ramón Subercaseaux 3060)</t>
        </is>
      </c>
      <c r="FO4185" s="15" t="inlineStr">
        <is>
          <t>Estacion Central</t>
        </is>
      </c>
      <c r="FP4185" t="inlineStr">
        <is>
          <t>B</t>
        </is>
      </c>
    </row>
    <row r="4186">
      <c r="FC4186" t="inlineStr">
        <is>
          <t>Diccionario 4</t>
        </is>
      </c>
      <c r="FD4186" s="15" t="inlineStr">
        <is>
          <t>VFPL-46|</t>
        </is>
      </c>
      <c r="FE4186" s="15" t="inlineStr">
        <is>
          <t>MDN35025020116</t>
        </is>
      </c>
      <c r="FF4186" s="15" t="inlineStr">
        <is>
          <t>LDYECS317S0044020</t>
        </is>
      </c>
      <c r="FG4186" s="15" t="inlineStr">
        <is>
          <t>Zhong Tong</t>
        </is>
      </c>
      <c r="FH4186" s="15" t="inlineStr">
        <is>
          <t>Lck6122evg</t>
        </is>
      </c>
      <c r="FI4186" s="15" t="inlineStr">
        <is>
          <t>ZHONGTONG</t>
        </is>
      </c>
      <c r="FJ4186" s="15" t="inlineStr">
        <is>
          <t>LCK6122EVG</t>
        </is>
      </c>
      <c r="FK4186" s="15" t="n">
        <v>2025</v>
      </c>
      <c r="FL4186" s="15" t="inlineStr">
        <is>
          <t>B</t>
        </is>
      </c>
      <c r="FM4186" s="15" t="inlineStr">
        <is>
          <t>SAN ALFONSO</t>
        </is>
      </c>
      <c r="FN4186" s="15" t="inlineStr">
        <is>
          <t>San Alfonso 2141 (Ramón Subercaseaux 3060)</t>
        </is>
      </c>
      <c r="FO4186" s="15" t="inlineStr">
        <is>
          <t>Estacion Central</t>
        </is>
      </c>
      <c r="FP4186" t="inlineStr">
        <is>
          <t>B</t>
        </is>
      </c>
    </row>
    <row r="4187">
      <c r="FC4187" t="inlineStr">
        <is>
          <t>Diccionario 4</t>
        </is>
      </c>
      <c r="FD4187" s="15" t="inlineStr">
        <is>
          <t>VFPL-57|</t>
        </is>
      </c>
      <c r="FE4187" s="15" t="inlineStr">
        <is>
          <t>MDN35025020106</t>
        </is>
      </c>
      <c r="FF4187" s="15" t="inlineStr">
        <is>
          <t>LDYECS316S0044025</t>
        </is>
      </c>
      <c r="FG4187" s="15" t="inlineStr">
        <is>
          <t>Zhong Tong</t>
        </is>
      </c>
      <c r="FH4187" s="15" t="inlineStr">
        <is>
          <t>Lck6122evg</t>
        </is>
      </c>
      <c r="FI4187" s="15" t="inlineStr">
        <is>
          <t>ZHONGTONG</t>
        </is>
      </c>
      <c r="FJ4187" s="15" t="inlineStr">
        <is>
          <t>LCK6122EVG</t>
        </is>
      </c>
      <c r="FK4187" s="15" t="n">
        <v>2025</v>
      </c>
      <c r="FL4187" s="15" t="inlineStr">
        <is>
          <t>B</t>
        </is>
      </c>
      <c r="FM4187" s="15" t="inlineStr">
        <is>
          <t>CERRILLOS</t>
        </is>
      </c>
      <c r="FN4187" s="15" t="inlineStr">
        <is>
          <t>Calle Uno 7371</t>
        </is>
      </c>
      <c r="FO4187" s="15" t="inlineStr">
        <is>
          <t>Cerrillos</t>
        </is>
      </c>
      <c r="FP4187" t="inlineStr">
        <is>
          <t>B</t>
        </is>
      </c>
    </row>
    <row r="4188">
      <c r="FC4188" t="inlineStr">
        <is>
          <t>Diccionario 4</t>
        </is>
      </c>
      <c r="FD4188" s="15" t="inlineStr">
        <is>
          <t>VFPL-61|</t>
        </is>
      </c>
      <c r="FE4188" s="15" t="inlineStr">
        <is>
          <t>MDN35025020110</t>
        </is>
      </c>
      <c r="FF4188" s="15" t="inlineStr">
        <is>
          <t>LDYECS317S0044034</t>
        </is>
      </c>
      <c r="FG4188" s="15" t="inlineStr">
        <is>
          <t>Zhong Tong</t>
        </is>
      </c>
      <c r="FH4188" s="15" t="inlineStr">
        <is>
          <t>Lck6122evg</t>
        </is>
      </c>
      <c r="FI4188" s="15" t="inlineStr">
        <is>
          <t>ZHONGTONG</t>
        </is>
      </c>
      <c r="FJ4188" s="15" t="inlineStr">
        <is>
          <t>LCK6122EVG</t>
        </is>
      </c>
      <c r="FK4188" s="15" t="n">
        <v>2025</v>
      </c>
      <c r="FL4188" s="15" t="inlineStr">
        <is>
          <t>B</t>
        </is>
      </c>
      <c r="FM4188" s="15" t="inlineStr">
        <is>
          <t>CERRILLOS</t>
        </is>
      </c>
      <c r="FN4188" s="15" t="inlineStr">
        <is>
          <t>Calle Uno 7371</t>
        </is>
      </c>
      <c r="FO4188" s="15" t="inlineStr">
        <is>
          <t>Cerrillos</t>
        </is>
      </c>
      <c r="FP4188" t="inlineStr">
        <is>
          <t>B</t>
        </is>
      </c>
    </row>
    <row r="4189">
      <c r="FC4189" t="inlineStr">
        <is>
          <t>Diccionario 4</t>
        </is>
      </c>
      <c r="FD4189" s="15" t="inlineStr">
        <is>
          <t>VFPL-63|</t>
        </is>
      </c>
      <c r="FE4189" s="15" t="inlineStr">
        <is>
          <t>MDN35025020035</t>
        </is>
      </c>
      <c r="FF4189" s="15" t="inlineStr">
        <is>
          <t>LDYECS319S0044052</t>
        </is>
      </c>
      <c r="FG4189" s="15" t="inlineStr">
        <is>
          <t>Zhong Tong</t>
        </is>
      </c>
      <c r="FH4189" s="15" t="inlineStr">
        <is>
          <t>Lck6122evg</t>
        </is>
      </c>
      <c r="FI4189" s="15" t="inlineStr">
        <is>
          <t>ZHONGTONG</t>
        </is>
      </c>
      <c r="FJ4189" s="15" t="inlineStr">
        <is>
          <t>LCK6122EVG</t>
        </is>
      </c>
      <c r="FK4189" s="15" t="n">
        <v>2025</v>
      </c>
      <c r="FL4189" s="15" t="inlineStr">
        <is>
          <t>B</t>
        </is>
      </c>
      <c r="FM4189" s="15" t="inlineStr">
        <is>
          <t>CERRILLOS</t>
        </is>
      </c>
      <c r="FN4189" s="15" t="inlineStr">
        <is>
          <t>Calle Uno 7371</t>
        </is>
      </c>
      <c r="FO4189" s="15" t="inlineStr">
        <is>
          <t>Cerrillos</t>
        </is>
      </c>
      <c r="FP4189" t="inlineStr">
        <is>
          <t>B</t>
        </is>
      </c>
    </row>
    <row r="4190">
      <c r="FC4190" t="inlineStr">
        <is>
          <t>Diccionario 4</t>
        </is>
      </c>
      <c r="FD4190" s="15" t="inlineStr">
        <is>
          <t>VFPL-71|</t>
        </is>
      </c>
      <c r="FE4190" s="15" t="inlineStr">
        <is>
          <t>MDN35025020077</t>
        </is>
      </c>
      <c r="FF4190" s="15" t="inlineStr">
        <is>
          <t>LDYECS312S0044037</t>
        </is>
      </c>
      <c r="FG4190" s="15" t="inlineStr">
        <is>
          <t>Zhong Tong</t>
        </is>
      </c>
      <c r="FH4190" s="15" t="inlineStr">
        <is>
          <t>Lck6122evg</t>
        </is>
      </c>
      <c r="FI4190" s="15" t="inlineStr">
        <is>
          <t>ZHONGTONG</t>
        </is>
      </c>
      <c r="FJ4190" s="15" t="inlineStr">
        <is>
          <t>LCK6122EVG</t>
        </is>
      </c>
      <c r="FK4190" s="15" t="n">
        <v>2025</v>
      </c>
      <c r="FL4190" s="15" t="inlineStr">
        <is>
          <t>B</t>
        </is>
      </c>
      <c r="FM4190" s="15" t="inlineStr">
        <is>
          <t>CERRILLOS</t>
        </is>
      </c>
      <c r="FN4190" s="15" t="inlineStr">
        <is>
          <t>Calle Uno 7371</t>
        </is>
      </c>
      <c r="FO4190" s="15" t="inlineStr">
        <is>
          <t>Cerrillos</t>
        </is>
      </c>
      <c r="FP4190" t="inlineStr">
        <is>
          <t>B</t>
        </is>
      </c>
    </row>
    <row r="4191">
      <c r="FC4191" t="inlineStr">
        <is>
          <t>Diccionario 4</t>
        </is>
      </c>
      <c r="FD4191" s="15" t="inlineStr">
        <is>
          <t>VFPL-73|</t>
        </is>
      </c>
      <c r="FE4191" s="15" t="inlineStr">
        <is>
          <t>MDN35025020033</t>
        </is>
      </c>
      <c r="FF4191" s="15" t="inlineStr">
        <is>
          <t>LDYECS318S0044088</t>
        </is>
      </c>
      <c r="FG4191" s="15" t="inlineStr">
        <is>
          <t>Zhong Tong</t>
        </is>
      </c>
      <c r="FH4191" s="15" t="inlineStr">
        <is>
          <t>Lck6122evg</t>
        </is>
      </c>
      <c r="FI4191" s="15" t="inlineStr">
        <is>
          <t>ZHONGTONG</t>
        </is>
      </c>
      <c r="FJ4191" s="15" t="inlineStr">
        <is>
          <t>LCK6122EVG</t>
        </is>
      </c>
      <c r="FK4191" s="15" t="n">
        <v>2025</v>
      </c>
      <c r="FL4191" s="15" t="inlineStr">
        <is>
          <t>B</t>
        </is>
      </c>
      <c r="FM4191" s="15" t="inlineStr">
        <is>
          <t>PIE ANDINO</t>
        </is>
      </c>
      <c r="FN4191" s="15" t="inlineStr">
        <is>
          <t>Pie Andino 31 (Pie Andino 383)</t>
        </is>
      </c>
      <c r="FO4191" s="15" t="inlineStr">
        <is>
          <t>Puente Alto</t>
        </is>
      </c>
      <c r="FP4191" t="inlineStr">
        <is>
          <t>B</t>
        </is>
      </c>
    </row>
    <row r="4192">
      <c r="FC4192" t="inlineStr">
        <is>
          <t>Diccionario 4</t>
        </is>
      </c>
      <c r="FD4192" s="15" t="inlineStr">
        <is>
          <t>VFPL-74|</t>
        </is>
      </c>
      <c r="FE4192" s="15" t="inlineStr">
        <is>
          <t>MDN35025010021</t>
        </is>
      </c>
      <c r="FF4192" s="15" t="inlineStr">
        <is>
          <t>LDYECS313S0044113</t>
        </is>
      </c>
      <c r="FG4192" s="15" t="inlineStr">
        <is>
          <t>Zhong Tong</t>
        </is>
      </c>
      <c r="FH4192" s="15" t="inlineStr">
        <is>
          <t>Lck6122evg</t>
        </is>
      </c>
      <c r="FI4192" s="15" t="inlineStr">
        <is>
          <t>ZHONGTONG</t>
        </is>
      </c>
      <c r="FJ4192" s="15" t="inlineStr">
        <is>
          <t>LCK6122EVG</t>
        </is>
      </c>
      <c r="FK4192" s="15" t="n">
        <v>2025</v>
      </c>
      <c r="FL4192" s="15" t="inlineStr">
        <is>
          <t>B</t>
        </is>
      </c>
      <c r="FM4192" s="15" t="inlineStr">
        <is>
          <t>CERRILLOS</t>
        </is>
      </c>
      <c r="FN4192" s="15" t="inlineStr">
        <is>
          <t>Calle Uno 7371</t>
        </is>
      </c>
      <c r="FO4192" s="15" t="inlineStr">
        <is>
          <t>Cerrillos</t>
        </is>
      </c>
      <c r="FP4192" t="inlineStr">
        <is>
          <t>B</t>
        </is>
      </c>
    </row>
    <row r="4193">
      <c r="FC4193" t="inlineStr">
        <is>
          <t>Diccionario 4</t>
        </is>
      </c>
      <c r="FD4193" s="15" t="inlineStr">
        <is>
          <t>VFPL-81|</t>
        </is>
      </c>
      <c r="FE4193" s="15" t="inlineStr">
        <is>
          <t>MDN35025020120</t>
        </is>
      </c>
      <c r="FF4193" s="15" t="inlineStr">
        <is>
          <t>LDYECS316S0044011</t>
        </is>
      </c>
      <c r="FG4193" s="15" t="inlineStr">
        <is>
          <t>Zhong Tong</t>
        </is>
      </c>
      <c r="FH4193" s="15" t="inlineStr">
        <is>
          <t>Lck6122evg</t>
        </is>
      </c>
      <c r="FI4193" s="15" t="inlineStr">
        <is>
          <t>ZHONGTONG</t>
        </is>
      </c>
      <c r="FJ4193" s="15" t="inlineStr">
        <is>
          <t>LCK6122EVG</t>
        </is>
      </c>
      <c r="FK4193" s="15" t="n">
        <v>2025</v>
      </c>
      <c r="FL4193" s="15" t="inlineStr">
        <is>
          <t>B</t>
        </is>
      </c>
      <c r="FM4193" s="15" t="inlineStr">
        <is>
          <t>CERRILLOS</t>
        </is>
      </c>
      <c r="FN4193" s="15" t="inlineStr">
        <is>
          <t>Calle Uno 7371</t>
        </is>
      </c>
      <c r="FO4193" s="15" t="inlineStr">
        <is>
          <t>Cerrillos</t>
        </is>
      </c>
      <c r="FP4193" t="inlineStr">
        <is>
          <t>B</t>
        </is>
      </c>
    </row>
    <row r="4194">
      <c r="FC4194" t="inlineStr">
        <is>
          <t>Diccionario 4</t>
        </is>
      </c>
      <c r="FD4194" s="15" t="inlineStr">
        <is>
          <t>VFPL-87|</t>
        </is>
      </c>
      <c r="FE4194" s="15" t="inlineStr">
        <is>
          <t>MDN35025020101</t>
        </is>
      </c>
      <c r="FF4194" s="15" t="inlineStr">
        <is>
          <t>LDYECS315S0044047</t>
        </is>
      </c>
      <c r="FG4194" s="15" t="inlineStr">
        <is>
          <t>Zhong Tong</t>
        </is>
      </c>
      <c r="FH4194" s="15" t="inlineStr">
        <is>
          <t>Lck6122evg</t>
        </is>
      </c>
      <c r="FI4194" s="15" t="inlineStr">
        <is>
          <t>ZHONGTONG</t>
        </is>
      </c>
      <c r="FJ4194" s="15" t="inlineStr">
        <is>
          <t>LCK6122EVG</t>
        </is>
      </c>
      <c r="FK4194" s="15" t="n">
        <v>2025</v>
      </c>
      <c r="FL4194" s="15" t="inlineStr">
        <is>
          <t>B</t>
        </is>
      </c>
      <c r="FM4194" s="15" t="inlineStr">
        <is>
          <t>CERRILLOS</t>
        </is>
      </c>
      <c r="FN4194" s="15" t="inlineStr">
        <is>
          <t>Calle Uno 7371</t>
        </is>
      </c>
      <c r="FO4194" s="15" t="inlineStr">
        <is>
          <t>Cerrillos</t>
        </is>
      </c>
      <c r="FP4194" t="inlineStr">
        <is>
          <t>B</t>
        </is>
      </c>
    </row>
    <row r="4195">
      <c r="FC4195" t="inlineStr">
        <is>
          <t>Diccionario 4</t>
        </is>
      </c>
      <c r="FD4195" s="15" t="inlineStr">
        <is>
          <t>VFPL-88|</t>
        </is>
      </c>
      <c r="FE4195" s="15" t="inlineStr">
        <is>
          <t>MDN35025020071</t>
        </is>
      </c>
      <c r="FF4195" s="15" t="inlineStr">
        <is>
          <t>LDYECS316S0044039</t>
        </is>
      </c>
      <c r="FG4195" s="15" t="inlineStr">
        <is>
          <t>Zhong Tong</t>
        </is>
      </c>
      <c r="FH4195" s="15" t="inlineStr">
        <is>
          <t>Lck6122evg</t>
        </is>
      </c>
      <c r="FI4195" s="15" t="inlineStr">
        <is>
          <t>ZHONGTONG</t>
        </is>
      </c>
      <c r="FJ4195" s="15" t="inlineStr">
        <is>
          <t>LCK6122EVG</t>
        </is>
      </c>
      <c r="FK4195" s="15" t="n">
        <v>2025</v>
      </c>
      <c r="FL4195" s="15" t="inlineStr">
        <is>
          <t>B</t>
        </is>
      </c>
      <c r="FM4195" s="15" t="inlineStr">
        <is>
          <t>PIE ANDINO</t>
        </is>
      </c>
      <c r="FN4195" s="15" t="inlineStr">
        <is>
          <t>Pie Andino 31 (Pie Andino 383)</t>
        </is>
      </c>
      <c r="FO4195" s="15" t="inlineStr">
        <is>
          <t>Puente Alto</t>
        </is>
      </c>
      <c r="FP4195" t="inlineStr">
        <is>
          <t>B</t>
        </is>
      </c>
    </row>
    <row r="4196">
      <c r="FC4196" t="inlineStr">
        <is>
          <t>Diccionario 4</t>
        </is>
      </c>
      <c r="FD4196" s="15" t="inlineStr">
        <is>
          <t>VFPL-92|</t>
        </is>
      </c>
      <c r="FE4196" s="15" t="inlineStr">
        <is>
          <t>MDN35025010192</t>
        </is>
      </c>
      <c r="FF4196" s="15" t="inlineStr">
        <is>
          <t>LDYECS312S0044054</t>
        </is>
      </c>
      <c r="FG4196" s="15" t="inlineStr">
        <is>
          <t>Zhong Tong</t>
        </is>
      </c>
      <c r="FH4196" s="15" t="inlineStr">
        <is>
          <t>Lck6122evg</t>
        </is>
      </c>
      <c r="FI4196" s="15" t="inlineStr">
        <is>
          <t>ZHONGTONG</t>
        </is>
      </c>
      <c r="FJ4196" s="15" t="inlineStr">
        <is>
          <t>LCK6122EVG</t>
        </is>
      </c>
      <c r="FK4196" s="15" t="n">
        <v>2025</v>
      </c>
      <c r="FL4196" s="15" t="inlineStr">
        <is>
          <t>B</t>
        </is>
      </c>
      <c r="FM4196" s="15" t="inlineStr">
        <is>
          <t>PIE ANDINO</t>
        </is>
      </c>
      <c r="FN4196" s="15" t="inlineStr">
        <is>
          <t>Pie Andino 31 (Pie Andino 383)</t>
        </is>
      </c>
      <c r="FO4196" s="15" t="inlineStr">
        <is>
          <t>Puente Alto</t>
        </is>
      </c>
      <c r="FP4196" t="inlineStr">
        <is>
          <t>B</t>
        </is>
      </c>
    </row>
    <row r="4197">
      <c r="FC4197" t="inlineStr">
        <is>
          <t>Diccionario 4</t>
        </is>
      </c>
      <c r="FD4197" s="15" t="inlineStr">
        <is>
          <t>VFPP-11|</t>
        </is>
      </c>
      <c r="FE4197" s="15" t="inlineStr">
        <is>
          <t>MDN35025010191</t>
        </is>
      </c>
      <c r="FF4197" s="15" t="inlineStr">
        <is>
          <t>LDYECS316S0044056</t>
        </is>
      </c>
      <c r="FG4197" s="15" t="inlineStr">
        <is>
          <t>Zhong Tong</t>
        </is>
      </c>
      <c r="FH4197" s="15" t="inlineStr">
        <is>
          <t>Lck6122evg</t>
        </is>
      </c>
      <c r="FI4197" s="15" t="inlineStr">
        <is>
          <t>ZHONGTONG</t>
        </is>
      </c>
      <c r="FJ4197" s="15" t="inlineStr">
        <is>
          <t>LCK6122EVG</t>
        </is>
      </c>
      <c r="FK4197" s="15" t="n">
        <v>2025</v>
      </c>
      <c r="FL4197" s="15" t="inlineStr">
        <is>
          <t>B</t>
        </is>
      </c>
      <c r="FM4197" s="15" t="inlineStr">
        <is>
          <t>PIE ANDINO</t>
        </is>
      </c>
      <c r="FN4197" s="15" t="inlineStr">
        <is>
          <t>Pie Andino 31 (Pie Andino 383)</t>
        </is>
      </c>
      <c r="FO4197" s="15" t="inlineStr">
        <is>
          <t>Puente Alto</t>
        </is>
      </c>
      <c r="FP4197" t="inlineStr">
        <is>
          <t>B</t>
        </is>
      </c>
    </row>
    <row r="4198">
      <c r="FC4198" t="inlineStr">
        <is>
          <t>Diccionario 4</t>
        </is>
      </c>
      <c r="FD4198" s="15" t="inlineStr">
        <is>
          <t>VFPS-39|</t>
        </is>
      </c>
      <c r="FE4198" s="15" t="inlineStr">
        <is>
          <t>MDN35025010217</t>
        </is>
      </c>
      <c r="FF4198" s="15" t="inlineStr">
        <is>
          <t>LDYECS319S0044083</t>
        </is>
      </c>
      <c r="FG4198" s="15" t="inlineStr">
        <is>
          <t>Zhong Tong</t>
        </is>
      </c>
      <c r="FH4198" s="15" t="inlineStr">
        <is>
          <t>Lck6122evg</t>
        </is>
      </c>
      <c r="FI4198" s="15" t="inlineStr">
        <is>
          <t>ZHONGTONG</t>
        </is>
      </c>
      <c r="FJ4198" s="15" t="inlineStr">
        <is>
          <t>LCK6122EVG</t>
        </is>
      </c>
      <c r="FK4198" s="15" t="n">
        <v>2025</v>
      </c>
      <c r="FL4198" s="15" t="inlineStr">
        <is>
          <t>B</t>
        </is>
      </c>
      <c r="FM4198" s="15" t="inlineStr">
        <is>
          <t>CERRILLOS</t>
        </is>
      </c>
      <c r="FN4198" s="15" t="inlineStr">
        <is>
          <t>Calle Uno 7371</t>
        </is>
      </c>
      <c r="FO4198" s="15" t="inlineStr">
        <is>
          <t>Cerrillos</t>
        </is>
      </c>
      <c r="FP4198" t="inlineStr">
        <is>
          <t>B</t>
        </is>
      </c>
    </row>
    <row r="4199">
      <c r="FC4199" t="inlineStr">
        <is>
          <t>Diccionario 4</t>
        </is>
      </c>
      <c r="FD4199" s="15" t="inlineStr">
        <is>
          <t>VFPS-47|</t>
        </is>
      </c>
      <c r="FE4199" s="15" t="inlineStr">
        <is>
          <t>MDN35025020132</t>
        </is>
      </c>
      <c r="FF4199" s="15" t="inlineStr">
        <is>
          <t>LDYECS318S0044057</t>
        </is>
      </c>
      <c r="FG4199" s="15" t="inlineStr">
        <is>
          <t>Zhong Tong</t>
        </is>
      </c>
      <c r="FH4199" s="15" t="inlineStr">
        <is>
          <t>Lck6122evg</t>
        </is>
      </c>
      <c r="FI4199" s="15" t="inlineStr">
        <is>
          <t>ZHONGTONG</t>
        </is>
      </c>
      <c r="FJ4199" s="15" t="inlineStr">
        <is>
          <t>LCK6122EVG</t>
        </is>
      </c>
      <c r="FK4199" s="15" t="n">
        <v>2025</v>
      </c>
      <c r="FL4199" s="15" t="inlineStr">
        <is>
          <t>B</t>
        </is>
      </c>
      <c r="FM4199" s="15" t="inlineStr">
        <is>
          <t>CERRILLOS</t>
        </is>
      </c>
      <c r="FN4199" s="15" t="inlineStr">
        <is>
          <t>Calle Uno 7371</t>
        </is>
      </c>
      <c r="FO4199" s="15" t="inlineStr">
        <is>
          <t>Cerrillos</t>
        </is>
      </c>
      <c r="FP4199" t="inlineStr">
        <is>
          <t>B</t>
        </is>
      </c>
    </row>
    <row r="4200">
      <c r="FC4200" t="inlineStr">
        <is>
          <t>Diccionario 4</t>
        </is>
      </c>
      <c r="FD4200" s="15" t="inlineStr">
        <is>
          <t>VFPS-48|</t>
        </is>
      </c>
      <c r="FE4200" s="15" t="inlineStr">
        <is>
          <t>MDN35025020073</t>
        </is>
      </c>
      <c r="FF4200" s="15" t="inlineStr">
        <is>
          <t>LDYECS315S0044050</t>
        </is>
      </c>
      <c r="FG4200" s="15" t="inlineStr">
        <is>
          <t>Zhong Tong</t>
        </is>
      </c>
      <c r="FH4200" s="15" t="inlineStr">
        <is>
          <t>Lck6122evg</t>
        </is>
      </c>
      <c r="FI4200" s="15" t="inlineStr">
        <is>
          <t>ZHONGTONG</t>
        </is>
      </c>
      <c r="FJ4200" s="15" t="inlineStr">
        <is>
          <t>LCK6122EVG</t>
        </is>
      </c>
      <c r="FK4200" s="15" t="n">
        <v>2025</v>
      </c>
      <c r="FL4200" s="15" t="inlineStr">
        <is>
          <t>B</t>
        </is>
      </c>
      <c r="FM4200" s="15" t="inlineStr">
        <is>
          <t>PIE ANDINO</t>
        </is>
      </c>
      <c r="FN4200" s="15" t="inlineStr">
        <is>
          <t>Pie Andino 31 (Pie Andino 383)</t>
        </is>
      </c>
      <c r="FO4200" s="15" t="inlineStr">
        <is>
          <t>Puente Alto</t>
        </is>
      </c>
      <c r="FP4200" t="inlineStr">
        <is>
          <t>B</t>
        </is>
      </c>
    </row>
    <row r="4201">
      <c r="FC4201" t="inlineStr">
        <is>
          <t>Diccionario 4</t>
        </is>
      </c>
      <c r="FD4201" s="15" t="inlineStr">
        <is>
          <t>VFPS-56|</t>
        </is>
      </c>
      <c r="FE4201" s="15" t="inlineStr">
        <is>
          <t>MDN35025010190</t>
        </is>
      </c>
      <c r="FF4201" s="15" t="inlineStr">
        <is>
          <t>LDYECS310S0044084</t>
        </is>
      </c>
      <c r="FG4201" s="15" t="inlineStr">
        <is>
          <t>Zhong Tong</t>
        </is>
      </c>
      <c r="FH4201" s="15" t="inlineStr">
        <is>
          <t>Lck6122evg</t>
        </is>
      </c>
      <c r="FI4201" s="15" t="inlineStr">
        <is>
          <t>ZHONGTONG</t>
        </is>
      </c>
      <c r="FJ4201" s="15" t="inlineStr">
        <is>
          <t>LCK6122EVG</t>
        </is>
      </c>
      <c r="FK4201" s="15" t="n">
        <v>2025</v>
      </c>
      <c r="FL4201" s="15" t="inlineStr">
        <is>
          <t>B</t>
        </is>
      </c>
      <c r="FM4201" s="15" t="inlineStr">
        <is>
          <t>PIE ANDINO</t>
        </is>
      </c>
      <c r="FN4201" s="15" t="inlineStr">
        <is>
          <t>Pie Andino 31 (Pie Andino 383)</t>
        </is>
      </c>
      <c r="FO4201" s="15" t="inlineStr">
        <is>
          <t>Puente Alto</t>
        </is>
      </c>
      <c r="FP4201" t="inlineStr">
        <is>
          <t>B</t>
        </is>
      </c>
    </row>
    <row r="4202">
      <c r="FC4202" t="inlineStr">
        <is>
          <t>Diccionario 4</t>
        </is>
      </c>
      <c r="FD4202" s="15" t="inlineStr">
        <is>
          <t>VFPS-65|</t>
        </is>
      </c>
      <c r="FE4202" s="15" t="inlineStr">
        <is>
          <t>MDN35025020029</t>
        </is>
      </c>
      <c r="FF4202" s="15" t="inlineStr">
        <is>
          <t>LDYECS311S0044045</t>
        </is>
      </c>
      <c r="FG4202" s="15" t="inlineStr">
        <is>
          <t>Zhong Tong</t>
        </is>
      </c>
      <c r="FH4202" s="15" t="inlineStr">
        <is>
          <t>Lck6122evg</t>
        </is>
      </c>
      <c r="FI4202" s="15" t="inlineStr">
        <is>
          <t>ZHONGTONG</t>
        </is>
      </c>
      <c r="FJ4202" s="15" t="inlineStr">
        <is>
          <t>LCK6122EVG</t>
        </is>
      </c>
      <c r="FK4202" s="15" t="n">
        <v>2025</v>
      </c>
      <c r="FL4202" s="15" t="inlineStr">
        <is>
          <t>B</t>
        </is>
      </c>
      <c r="FM4202" s="15" t="inlineStr">
        <is>
          <t>CERRILLOS</t>
        </is>
      </c>
      <c r="FN4202" s="15" t="inlineStr">
        <is>
          <t>Calle Uno 7371</t>
        </is>
      </c>
      <c r="FO4202" s="15" t="inlineStr">
        <is>
          <t>Cerrillos</t>
        </is>
      </c>
      <c r="FP4202" t="inlineStr">
        <is>
          <t>B</t>
        </is>
      </c>
    </row>
    <row r="4203">
      <c r="FC4203" t="inlineStr">
        <is>
          <t>Diccionario 4</t>
        </is>
      </c>
      <c r="FD4203" s="15" t="inlineStr">
        <is>
          <t>VFPS-69|</t>
        </is>
      </c>
      <c r="FE4203" s="15" t="inlineStr">
        <is>
          <t>MDN35025010198</t>
        </is>
      </c>
      <c r="FF4203" s="15" t="inlineStr">
        <is>
          <t>LDYECS314S0044038</t>
        </is>
      </c>
      <c r="FG4203" s="15" t="inlineStr">
        <is>
          <t>Zhong Tong</t>
        </is>
      </c>
      <c r="FH4203" s="15" t="inlineStr">
        <is>
          <t>Lck6122evg</t>
        </is>
      </c>
      <c r="FI4203" s="15" t="inlineStr">
        <is>
          <t>ZHONGTONG</t>
        </is>
      </c>
      <c r="FJ4203" s="15" t="inlineStr">
        <is>
          <t>LCK6122EVG</t>
        </is>
      </c>
      <c r="FK4203" s="15" t="n">
        <v>2025</v>
      </c>
      <c r="FL4203" s="15" t="inlineStr">
        <is>
          <t>B</t>
        </is>
      </c>
      <c r="FM4203" s="15" t="inlineStr">
        <is>
          <t>CERRILLOS</t>
        </is>
      </c>
      <c r="FN4203" s="15" t="inlineStr">
        <is>
          <t>Calle Uno 7371</t>
        </is>
      </c>
      <c r="FO4203" s="15" t="inlineStr">
        <is>
          <t>Cerrillos</t>
        </is>
      </c>
      <c r="FP4203" t="inlineStr">
        <is>
          <t>B</t>
        </is>
      </c>
    </row>
    <row r="4204">
      <c r="FC4204" t="inlineStr">
        <is>
          <t>Diccionario 4</t>
        </is>
      </c>
      <c r="FD4204" s="15" t="inlineStr">
        <is>
          <t>VFPS-74|</t>
        </is>
      </c>
      <c r="FE4204" s="15" t="inlineStr">
        <is>
          <t>MDN35025020050</t>
        </is>
      </c>
      <c r="FF4204" s="15" t="inlineStr">
        <is>
          <t>LDYECS311S0044028</t>
        </is>
      </c>
      <c r="FG4204" s="15" t="inlineStr">
        <is>
          <t>Zhong Tong</t>
        </is>
      </c>
      <c r="FH4204" s="15" t="inlineStr">
        <is>
          <t>Lck6122evg</t>
        </is>
      </c>
      <c r="FI4204" s="15" t="inlineStr">
        <is>
          <t>ZHONGTONG</t>
        </is>
      </c>
      <c r="FJ4204" s="15" t="inlineStr">
        <is>
          <t>LCK6122EVG</t>
        </is>
      </c>
      <c r="FK4204" s="15" t="n">
        <v>2025</v>
      </c>
      <c r="FL4204" s="15" t="inlineStr">
        <is>
          <t>B</t>
        </is>
      </c>
      <c r="FM4204" s="15" t="inlineStr">
        <is>
          <t>PIE ANDINO</t>
        </is>
      </c>
      <c r="FN4204" s="15" t="inlineStr">
        <is>
          <t>Pie Andino 31 (Pie Andino 383)</t>
        </is>
      </c>
      <c r="FO4204" s="15" t="inlineStr">
        <is>
          <t>Puente Alto</t>
        </is>
      </c>
      <c r="FP4204" t="inlineStr">
        <is>
          <t>B</t>
        </is>
      </c>
    </row>
    <row r="4205">
      <c r="FC4205" t="inlineStr">
        <is>
          <t>Diccionario 4</t>
        </is>
      </c>
      <c r="FD4205" s="15" t="inlineStr">
        <is>
          <t>VFPS-78|</t>
        </is>
      </c>
      <c r="FE4205" s="15" t="inlineStr">
        <is>
          <t>MDN35025020099</t>
        </is>
      </c>
      <c r="FF4205" s="15" t="inlineStr">
        <is>
          <t>LDYECS311S0044031</t>
        </is>
      </c>
      <c r="FG4205" s="15" t="inlineStr">
        <is>
          <t>Zhong Tong</t>
        </is>
      </c>
      <c r="FH4205" s="15" t="inlineStr">
        <is>
          <t>Lck6122evg</t>
        </is>
      </c>
      <c r="FI4205" s="15" t="inlineStr">
        <is>
          <t>ZHONGTONG</t>
        </is>
      </c>
      <c r="FJ4205" s="15" t="inlineStr">
        <is>
          <t>LCK6122EVG</t>
        </is>
      </c>
      <c r="FK4205" s="15" t="n">
        <v>2025</v>
      </c>
      <c r="FL4205" s="15" t="inlineStr">
        <is>
          <t>B</t>
        </is>
      </c>
      <c r="FM4205" s="15" t="inlineStr">
        <is>
          <t>PIE ANDINO</t>
        </is>
      </c>
      <c r="FN4205" s="15" t="inlineStr">
        <is>
          <t>Pie Andino 31 (Pie Andino 383)</t>
        </is>
      </c>
      <c r="FO4205" s="15" t="inlineStr">
        <is>
          <t>Puente Alto</t>
        </is>
      </c>
      <c r="FP4205" t="inlineStr">
        <is>
          <t>B</t>
        </is>
      </c>
    </row>
    <row r="4206">
      <c r="FC4206" t="inlineStr">
        <is>
          <t>Diccionario 4</t>
        </is>
      </c>
      <c r="FD4206" s="15" t="inlineStr">
        <is>
          <t>VFPS-85|</t>
        </is>
      </c>
      <c r="FE4206" s="15" t="inlineStr">
        <is>
          <t>MDN35025010246</t>
        </is>
      </c>
      <c r="FF4206" s="15" t="inlineStr">
        <is>
          <t>LDYECS314S0044055</t>
        </is>
      </c>
      <c r="FG4206" s="15" t="inlineStr">
        <is>
          <t>Zhong Tong</t>
        </is>
      </c>
      <c r="FH4206" s="15" t="inlineStr">
        <is>
          <t>Lck6122evg</t>
        </is>
      </c>
      <c r="FI4206" s="15" t="inlineStr">
        <is>
          <t>ZHONGTONG</t>
        </is>
      </c>
      <c r="FJ4206" s="15" t="inlineStr">
        <is>
          <t>LCK6122EVG</t>
        </is>
      </c>
      <c r="FK4206" s="15" t="n">
        <v>2025</v>
      </c>
      <c r="FL4206" s="15" t="inlineStr">
        <is>
          <t>B</t>
        </is>
      </c>
      <c r="FM4206" s="15" t="inlineStr">
        <is>
          <t>PIE ANDINO</t>
        </is>
      </c>
      <c r="FN4206" s="15" t="inlineStr">
        <is>
          <t>Pie Andino 31 (Pie Andino 383)</t>
        </is>
      </c>
      <c r="FO4206" s="15" t="inlineStr">
        <is>
          <t>Puente Alto</t>
        </is>
      </c>
      <c r="FP4206" t="inlineStr">
        <is>
          <t>B</t>
        </is>
      </c>
    </row>
    <row r="4207">
      <c r="FC4207" t="inlineStr">
        <is>
          <t>Diccionario 4</t>
        </is>
      </c>
      <c r="FD4207" s="15" t="inlineStr">
        <is>
          <t>VFPS-86|</t>
        </is>
      </c>
      <c r="FE4207" s="15" t="inlineStr">
        <is>
          <t>MDN35025020047</t>
        </is>
      </c>
      <c r="FF4207" s="15" t="inlineStr">
        <is>
          <t>LDYECS310S0044036</t>
        </is>
      </c>
      <c r="FG4207" s="15" t="inlineStr">
        <is>
          <t>Zhong Tong</t>
        </is>
      </c>
      <c r="FH4207" s="15" t="inlineStr">
        <is>
          <t>Lck6122evg</t>
        </is>
      </c>
      <c r="FI4207" s="15" t="inlineStr">
        <is>
          <t>ZHONGTONG</t>
        </is>
      </c>
      <c r="FJ4207" s="15" t="inlineStr">
        <is>
          <t>LCK6122EVG</t>
        </is>
      </c>
      <c r="FK4207" s="15" t="n">
        <v>2025</v>
      </c>
      <c r="FL4207" s="15" t="inlineStr">
        <is>
          <t>B</t>
        </is>
      </c>
      <c r="FM4207" s="15" t="inlineStr">
        <is>
          <t>PIE ANDINO</t>
        </is>
      </c>
      <c r="FN4207" s="15" t="inlineStr">
        <is>
          <t>Pie Andino 31 (Pie Andino 383)</t>
        </is>
      </c>
      <c r="FO4207" s="15" t="inlineStr">
        <is>
          <t>Puente Alto</t>
        </is>
      </c>
      <c r="FP4207" t="inlineStr">
        <is>
          <t>B</t>
        </is>
      </c>
    </row>
    <row r="4208">
      <c r="FC4208" t="inlineStr">
        <is>
          <t>Diccionario 4</t>
        </is>
      </c>
      <c r="FD4208" s="15" t="inlineStr">
        <is>
          <t>VFPS-87|</t>
        </is>
      </c>
      <c r="FE4208" s="15" t="inlineStr">
        <is>
          <t>MDN35025020114</t>
        </is>
      </c>
      <c r="FF4208" s="15" t="inlineStr">
        <is>
          <t>LDYECS315S0044033</t>
        </is>
      </c>
      <c r="FG4208" s="15" t="inlineStr">
        <is>
          <t>Zhong Tong</t>
        </is>
      </c>
      <c r="FH4208" s="15" t="inlineStr">
        <is>
          <t>Lck6122evg</t>
        </is>
      </c>
      <c r="FI4208" s="15" t="inlineStr">
        <is>
          <t>ZHONGTONG</t>
        </is>
      </c>
      <c r="FJ4208" s="15" t="inlineStr">
        <is>
          <t>LCK6122EVG</t>
        </is>
      </c>
      <c r="FK4208" s="15" t="n">
        <v>2025</v>
      </c>
      <c r="FL4208" s="15" t="inlineStr">
        <is>
          <t>B</t>
        </is>
      </c>
      <c r="FM4208" s="15" t="inlineStr">
        <is>
          <t>CERRILLOS</t>
        </is>
      </c>
      <c r="FN4208" s="15" t="inlineStr">
        <is>
          <t>Calle Uno 7371</t>
        </is>
      </c>
      <c r="FO4208" s="15" t="inlineStr">
        <is>
          <t>Cerrillos</t>
        </is>
      </c>
      <c r="FP4208" t="inlineStr">
        <is>
          <t>B</t>
        </is>
      </c>
    </row>
    <row r="4209">
      <c r="FC4209" t="inlineStr">
        <is>
          <t>Diccionario 4</t>
        </is>
      </c>
      <c r="FD4209" s="15" t="inlineStr">
        <is>
          <t>VFPS-89|</t>
        </is>
      </c>
      <c r="FE4209" s="15" t="inlineStr">
        <is>
          <t>MDN35025020031</t>
        </is>
      </c>
      <c r="FF4209" s="15" t="inlineStr">
        <is>
          <t>LDYECS319S0044049</t>
        </is>
      </c>
      <c r="FG4209" s="15" t="inlineStr">
        <is>
          <t>Zhong Tong</t>
        </is>
      </c>
      <c r="FH4209" s="15" t="inlineStr">
        <is>
          <t>Lck6122evg</t>
        </is>
      </c>
      <c r="FI4209" s="15" t="inlineStr">
        <is>
          <t>ZHONGTONG</t>
        </is>
      </c>
      <c r="FJ4209" s="15" t="inlineStr">
        <is>
          <t>LCK6122EVG</t>
        </is>
      </c>
      <c r="FK4209" s="15" t="n">
        <v>2025</v>
      </c>
      <c r="FL4209" s="15" t="inlineStr">
        <is>
          <t>B</t>
        </is>
      </c>
      <c r="FM4209" s="15" t="inlineStr">
        <is>
          <t>PIE ANDINO</t>
        </is>
      </c>
      <c r="FN4209" s="15" t="inlineStr">
        <is>
          <t>Pie Andino 31 (Pie Andino 383)</t>
        </is>
      </c>
      <c r="FO4209" s="15" t="inlineStr">
        <is>
          <t>Puente Alto</t>
        </is>
      </c>
      <c r="FP4209" t="inlineStr">
        <is>
          <t>B</t>
        </is>
      </c>
    </row>
    <row r="4210">
      <c r="FC4210" t="inlineStr">
        <is>
          <t>Diccionario 4</t>
        </is>
      </c>
      <c r="FD4210" s="15" t="inlineStr">
        <is>
          <t>VFPS-94|</t>
        </is>
      </c>
      <c r="FE4210" s="15" t="inlineStr">
        <is>
          <t>MDN35025020072</t>
        </is>
      </c>
      <c r="FF4210" s="15" t="inlineStr">
        <is>
          <t>LDYECS317S0044051</t>
        </is>
      </c>
      <c r="FG4210" s="15" t="inlineStr">
        <is>
          <t>Zhong Tong</t>
        </is>
      </c>
      <c r="FH4210" s="15" t="inlineStr">
        <is>
          <t>Lck6122evg</t>
        </is>
      </c>
      <c r="FI4210" s="15" t="inlineStr">
        <is>
          <t>ZHONGTONG</t>
        </is>
      </c>
      <c r="FJ4210" s="15" t="inlineStr">
        <is>
          <t>LCK6122EVG</t>
        </is>
      </c>
      <c r="FK4210" s="15" t="n">
        <v>2025</v>
      </c>
      <c r="FL4210" s="15" t="inlineStr">
        <is>
          <t>B</t>
        </is>
      </c>
      <c r="FM4210" s="15" t="inlineStr">
        <is>
          <t>PIE ANDINO</t>
        </is>
      </c>
      <c r="FN4210" s="15" t="inlineStr">
        <is>
          <t>Pie Andino 31 (Pie Andino 383)</t>
        </is>
      </c>
      <c r="FO4210" s="15" t="inlineStr">
        <is>
          <t>Puente Alto</t>
        </is>
      </c>
      <c r="FP4210" t="inlineStr">
        <is>
          <t>B</t>
        </is>
      </c>
    </row>
    <row r="4211">
      <c r="FC4211" t="inlineStr">
        <is>
          <t>Diccionario 4</t>
        </is>
      </c>
      <c r="FD4211" s="15" t="inlineStr">
        <is>
          <t>VFPS-99|</t>
        </is>
      </c>
      <c r="FE4211" s="15" t="inlineStr">
        <is>
          <t>MDN35025020042</t>
        </is>
      </c>
      <c r="FF4211" s="15" t="inlineStr">
        <is>
          <t>LDYECS315S0044078</t>
        </is>
      </c>
      <c r="FG4211" s="15" t="inlineStr">
        <is>
          <t>Zhong Tong</t>
        </is>
      </c>
      <c r="FH4211" s="15" t="inlineStr">
        <is>
          <t>Lck6122evg</t>
        </is>
      </c>
      <c r="FI4211" s="15" t="inlineStr">
        <is>
          <t>ZHONGTONG</t>
        </is>
      </c>
      <c r="FJ4211" s="15" t="inlineStr">
        <is>
          <t>LCK6122EVG</t>
        </is>
      </c>
      <c r="FK4211" s="15" t="n">
        <v>2025</v>
      </c>
      <c r="FL4211" s="15" t="inlineStr">
        <is>
          <t>B</t>
        </is>
      </c>
      <c r="FM4211" s="15" t="inlineStr">
        <is>
          <t>PIE ANDINO</t>
        </is>
      </c>
      <c r="FN4211" s="15" t="inlineStr">
        <is>
          <t>Pie Andino 31 (Pie Andino 383)</t>
        </is>
      </c>
      <c r="FO4211" s="15" t="inlineStr">
        <is>
          <t>Puente Alto</t>
        </is>
      </c>
      <c r="FP4211" t="inlineStr">
        <is>
          <t>B</t>
        </is>
      </c>
    </row>
    <row r="4212">
      <c r="FC4212" t="inlineStr">
        <is>
          <t>Diccionario 4</t>
        </is>
      </c>
      <c r="FD4212" s="15" t="inlineStr">
        <is>
          <t>VFPT-23|</t>
        </is>
      </c>
      <c r="FE4212" s="15" t="inlineStr">
        <is>
          <t>MDN35025020105</t>
        </is>
      </c>
      <c r="FF4212" s="15" t="inlineStr">
        <is>
          <t>LDYECS312S0044040</t>
        </is>
      </c>
      <c r="FG4212" s="15" t="inlineStr">
        <is>
          <t>Zhong Tong</t>
        </is>
      </c>
      <c r="FH4212" s="15" t="inlineStr">
        <is>
          <t>Lck6122evg</t>
        </is>
      </c>
      <c r="FI4212" s="15" t="inlineStr">
        <is>
          <t>ZHONGTONG</t>
        </is>
      </c>
      <c r="FJ4212" s="15" t="inlineStr">
        <is>
          <t>LCK6122EVG</t>
        </is>
      </c>
      <c r="FK4212" s="15" t="n">
        <v>2025</v>
      </c>
      <c r="FL4212" s="15" t="inlineStr">
        <is>
          <t>B</t>
        </is>
      </c>
      <c r="FM4212" s="15" t="inlineStr">
        <is>
          <t>SAN ALFONSO</t>
        </is>
      </c>
      <c r="FN4212" s="15" t="inlineStr">
        <is>
          <t>San Alfonso 2141 (Ramón Subercaseaux 3060)</t>
        </is>
      </c>
      <c r="FO4212" s="15" t="inlineStr">
        <is>
          <t>Estacion Central</t>
        </is>
      </c>
      <c r="FP4212" t="inlineStr">
        <is>
          <t>B</t>
        </is>
      </c>
    </row>
    <row r="4213">
      <c r="FC4213" t="inlineStr">
        <is>
          <t>Diccionario 4</t>
        </is>
      </c>
      <c r="FD4213" s="15" t="inlineStr">
        <is>
          <t>VFPT-27|</t>
        </is>
      </c>
      <c r="FE4213" s="15" t="inlineStr">
        <is>
          <t>MDN35025020129</t>
        </is>
      </c>
      <c r="FF4213" s="15" t="inlineStr">
        <is>
          <t>LDYECS319S0044035</t>
        </is>
      </c>
      <c r="FG4213" s="15" t="inlineStr">
        <is>
          <t>Zhong Tong</t>
        </is>
      </c>
      <c r="FH4213" s="15" t="inlineStr">
        <is>
          <t>Lck6122evg</t>
        </is>
      </c>
      <c r="FI4213" s="15" t="inlineStr">
        <is>
          <t>ZHONGTONG</t>
        </is>
      </c>
      <c r="FJ4213" s="15" t="inlineStr">
        <is>
          <t>LCK6122EVG</t>
        </is>
      </c>
      <c r="FK4213" s="15" t="n">
        <v>2025</v>
      </c>
      <c r="FL4213" s="15" t="inlineStr">
        <is>
          <t>B</t>
        </is>
      </c>
      <c r="FM4213" s="15" t="inlineStr">
        <is>
          <t>SAN ALFONSO</t>
        </is>
      </c>
      <c r="FN4213" s="15" t="inlineStr">
        <is>
          <t>San Alfonso 2141 (Ramón Subercaseaux 3060)</t>
        </is>
      </c>
      <c r="FO4213" s="15" t="inlineStr">
        <is>
          <t>Estacion Central</t>
        </is>
      </c>
      <c r="FP4213" t="inlineStr">
        <is>
          <t>B</t>
        </is>
      </c>
    </row>
    <row r="4214">
      <c r="FC4214" t="inlineStr">
        <is>
          <t>Diccionario 4</t>
        </is>
      </c>
      <c r="FD4214" s="15" t="inlineStr">
        <is>
          <t>VFPT-47|</t>
        </is>
      </c>
      <c r="FE4214" s="15" t="inlineStr">
        <is>
          <t>MDN35025020107</t>
        </is>
      </c>
      <c r="FF4214" s="15" t="inlineStr">
        <is>
          <t>LDYECS313S0044063</t>
        </is>
      </c>
      <c r="FG4214" s="15" t="inlineStr">
        <is>
          <t>Zhong Tong</t>
        </is>
      </c>
      <c r="FH4214" s="15" t="inlineStr">
        <is>
          <t>Lck6122evg</t>
        </is>
      </c>
      <c r="FI4214" s="15" t="inlineStr">
        <is>
          <t>ZHONGTONG</t>
        </is>
      </c>
      <c r="FJ4214" s="15" t="inlineStr">
        <is>
          <t>LCK6122EVG</t>
        </is>
      </c>
      <c r="FK4214" s="15" t="n">
        <v>2025</v>
      </c>
      <c r="FL4214" s="15" t="inlineStr">
        <is>
          <t>B</t>
        </is>
      </c>
      <c r="FM4214" s="15" t="inlineStr">
        <is>
          <t>PIE ANDINO</t>
        </is>
      </c>
      <c r="FN4214" s="15" t="inlineStr">
        <is>
          <t>Pie Andino 31 (Pie Andino 383)</t>
        </is>
      </c>
      <c r="FO4214" s="15" t="inlineStr">
        <is>
          <t>Puente Alto</t>
        </is>
      </c>
      <c r="FP4214" t="inlineStr">
        <is>
          <t>B</t>
        </is>
      </c>
    </row>
    <row r="4215">
      <c r="FC4215" t="inlineStr">
        <is>
          <t>Diccionario 4</t>
        </is>
      </c>
      <c r="FD4215" s="15" t="inlineStr">
        <is>
          <t>VFPT-63|</t>
        </is>
      </c>
      <c r="FE4215" s="15" t="inlineStr">
        <is>
          <t>MDN35025010243</t>
        </is>
      </c>
      <c r="FF4215" s="15" t="inlineStr">
        <is>
          <t>LDYECS310S0044053</t>
        </is>
      </c>
      <c r="FG4215" s="15" t="inlineStr">
        <is>
          <t>Zhong Tong</t>
        </is>
      </c>
      <c r="FH4215" s="15" t="inlineStr">
        <is>
          <t>Lck6122evg</t>
        </is>
      </c>
      <c r="FI4215" s="15" t="inlineStr">
        <is>
          <t>ZHONGTONG</t>
        </is>
      </c>
      <c r="FJ4215" s="15" t="inlineStr">
        <is>
          <t>LCK6122EVG</t>
        </is>
      </c>
      <c r="FK4215" s="15" t="n">
        <v>2025</v>
      </c>
      <c r="FL4215" s="15" t="inlineStr">
        <is>
          <t>B</t>
        </is>
      </c>
      <c r="FM4215" s="15" t="inlineStr">
        <is>
          <t>PIE ANDINO</t>
        </is>
      </c>
      <c r="FN4215" s="15" t="inlineStr">
        <is>
          <t>Pie Andino 31 (Pie Andino 383)</t>
        </is>
      </c>
      <c r="FO4215" s="15" t="inlineStr">
        <is>
          <t>Puente Alto</t>
        </is>
      </c>
      <c r="FP4215" t="inlineStr">
        <is>
          <t>B</t>
        </is>
      </c>
    </row>
    <row r="4216">
      <c r="FC4216" t="inlineStr">
        <is>
          <t>Diccionario 4</t>
        </is>
      </c>
      <c r="FD4216" s="15" t="inlineStr">
        <is>
          <t>VFPT-64|</t>
        </is>
      </c>
      <c r="FE4216" s="15" t="inlineStr">
        <is>
          <t>MDN35025020034</t>
        </is>
      </c>
      <c r="FF4216" s="15" t="inlineStr">
        <is>
          <t>LDYECS315S0044064</t>
        </is>
      </c>
      <c r="FG4216" s="15" t="inlineStr">
        <is>
          <t>Zhong Tong</t>
        </is>
      </c>
      <c r="FH4216" s="15" t="inlineStr">
        <is>
          <t>Lck6122evg</t>
        </is>
      </c>
      <c r="FI4216" s="15" t="inlineStr">
        <is>
          <t>ZHONGTONG</t>
        </is>
      </c>
      <c r="FJ4216" s="15" t="inlineStr">
        <is>
          <t>LCK6122EVG</t>
        </is>
      </c>
      <c r="FK4216" s="15" t="n">
        <v>2025</v>
      </c>
      <c r="FL4216" s="15" t="inlineStr">
        <is>
          <t>B</t>
        </is>
      </c>
      <c r="FM4216" s="15" t="inlineStr">
        <is>
          <t>PIE ANDINO</t>
        </is>
      </c>
      <c r="FN4216" s="15" t="inlineStr">
        <is>
          <t>Pie Andino 31 (Pie Andino 383)</t>
        </is>
      </c>
      <c r="FO4216" s="15" t="inlineStr">
        <is>
          <t>Puente Alto</t>
        </is>
      </c>
      <c r="FP4216" t="inlineStr">
        <is>
          <t>B</t>
        </is>
      </c>
    </row>
    <row r="4217">
      <c r="FC4217" t="inlineStr">
        <is>
          <t>Diccionario 4</t>
        </is>
      </c>
      <c r="FD4217" s="15" t="inlineStr">
        <is>
          <t>VFPT-65|</t>
        </is>
      </c>
      <c r="FE4217" s="15" t="inlineStr">
        <is>
          <t>MDN35025010187</t>
        </is>
      </c>
      <c r="FF4217" s="15" t="inlineStr">
        <is>
          <t>LDYECS318S0044043</t>
        </is>
      </c>
      <c r="FG4217" s="15" t="inlineStr">
        <is>
          <t>Zhong Tong</t>
        </is>
      </c>
      <c r="FH4217" s="15" t="inlineStr">
        <is>
          <t>Lck6122evg</t>
        </is>
      </c>
      <c r="FI4217" s="15" t="inlineStr">
        <is>
          <t>ZHONGTONG</t>
        </is>
      </c>
      <c r="FJ4217" s="15" t="inlineStr">
        <is>
          <t>LCK6122EVG</t>
        </is>
      </c>
      <c r="FK4217" s="15" t="n">
        <v>2025</v>
      </c>
      <c r="FL4217" s="15" t="inlineStr">
        <is>
          <t>B</t>
        </is>
      </c>
      <c r="FM4217" s="15" t="inlineStr">
        <is>
          <t>PIE ANDINO</t>
        </is>
      </c>
      <c r="FN4217" s="15" t="inlineStr">
        <is>
          <t>Pie Andino 31 (Pie Andino 383)</t>
        </is>
      </c>
      <c r="FO4217" s="15" t="inlineStr">
        <is>
          <t>Puente Alto</t>
        </is>
      </c>
      <c r="FP4217" t="inlineStr">
        <is>
          <t>B</t>
        </is>
      </c>
    </row>
    <row r="4218">
      <c r="FC4218" t="inlineStr">
        <is>
          <t>Diccionario 4</t>
        </is>
      </c>
      <c r="FD4218" s="15" t="inlineStr">
        <is>
          <t>VFPV-53|</t>
        </is>
      </c>
      <c r="FE4218" s="15" t="inlineStr">
        <is>
          <t>MDN35025010199</t>
        </is>
      </c>
      <c r="FF4218" s="15" t="inlineStr">
        <is>
          <t>LDYECS316S0044042</t>
        </is>
      </c>
      <c r="FG4218" s="15" t="inlineStr">
        <is>
          <t>Zhong Tong</t>
        </is>
      </c>
      <c r="FH4218" s="15" t="inlineStr">
        <is>
          <t>Lck6122evg</t>
        </is>
      </c>
      <c r="FI4218" s="15" t="inlineStr">
        <is>
          <t>ZHONGTONG</t>
        </is>
      </c>
      <c r="FJ4218" s="15" t="inlineStr">
        <is>
          <t>LCK6122EVG</t>
        </is>
      </c>
      <c r="FK4218" s="15" t="n">
        <v>2025</v>
      </c>
      <c r="FL4218" s="15" t="inlineStr">
        <is>
          <t>B</t>
        </is>
      </c>
      <c r="FM4218" s="15" t="inlineStr">
        <is>
          <t>PIE ANDINO</t>
        </is>
      </c>
      <c r="FN4218" s="15" t="inlineStr">
        <is>
          <t>Pie Andino 31 (Pie Andino 383)</t>
        </is>
      </c>
      <c r="FO4218" s="15" t="inlineStr">
        <is>
          <t>Puente Alto</t>
        </is>
      </c>
      <c r="FP4218" t="inlineStr">
        <is>
          <t>B</t>
        </is>
      </c>
    </row>
    <row r="4219">
      <c r="FC4219" t="inlineStr">
        <is>
          <t>Diccionario 4</t>
        </is>
      </c>
      <c r="FD4219" s="15" t="inlineStr">
        <is>
          <t>VFPV-63|</t>
        </is>
      </c>
      <c r="FE4219" s="15" t="inlineStr">
        <is>
          <t>MDN35025020089</t>
        </is>
      </c>
      <c r="FF4219" s="15" t="inlineStr">
        <is>
          <t>LDYECS317S0044048</t>
        </is>
      </c>
      <c r="FG4219" s="15" t="inlineStr">
        <is>
          <t>Zhong Tong</t>
        </is>
      </c>
      <c r="FH4219" s="15" t="inlineStr">
        <is>
          <t>Lck6122evg</t>
        </is>
      </c>
      <c r="FI4219" s="15" t="inlineStr">
        <is>
          <t>ZHONGTONG</t>
        </is>
      </c>
      <c r="FJ4219" s="15" t="inlineStr">
        <is>
          <t>LCK6122EVG</t>
        </is>
      </c>
      <c r="FK4219" s="15" t="n">
        <v>2025</v>
      </c>
      <c r="FL4219" s="15" t="inlineStr">
        <is>
          <t>B</t>
        </is>
      </c>
      <c r="FM4219" s="15" t="inlineStr">
        <is>
          <t>SAN ALFONSO</t>
        </is>
      </c>
      <c r="FN4219" s="15" t="inlineStr">
        <is>
          <t>San Alfonso 2141 (Ramón Subercaseaux 3060)</t>
        </is>
      </c>
      <c r="FO4219" s="15" t="inlineStr">
        <is>
          <t>Estacion Central</t>
        </is>
      </c>
      <c r="FP4219" t="inlineStr">
        <is>
          <t>B</t>
        </is>
      </c>
    </row>
    <row r="4220">
      <c r="FC4220" t="inlineStr">
        <is>
          <t>Diccionario 4</t>
        </is>
      </c>
      <c r="FD4220" s="15" t="inlineStr">
        <is>
          <t>VFPV-73|</t>
        </is>
      </c>
      <c r="FE4220" s="15" t="inlineStr">
        <is>
          <t>MDN35025020078</t>
        </is>
      </c>
      <c r="FF4220" s="15" t="inlineStr">
        <is>
          <t>LDYECS311S0044062</t>
        </is>
      </c>
      <c r="FG4220" s="15" t="inlineStr">
        <is>
          <t>Zhong Tong</t>
        </is>
      </c>
      <c r="FH4220" s="15" t="inlineStr">
        <is>
          <t>Lck6122evg</t>
        </is>
      </c>
      <c r="FI4220" s="15" t="inlineStr">
        <is>
          <t>ZHONGTONG</t>
        </is>
      </c>
      <c r="FJ4220" s="15" t="inlineStr">
        <is>
          <t>LCK6122EVG</t>
        </is>
      </c>
      <c r="FK4220" s="15" t="n">
        <v>2025</v>
      </c>
      <c r="FL4220" s="15" t="inlineStr">
        <is>
          <t>B</t>
        </is>
      </c>
      <c r="FM4220" s="15" t="inlineStr">
        <is>
          <t>SAN ALFONSO</t>
        </is>
      </c>
      <c r="FN4220" s="15" t="inlineStr">
        <is>
          <t>San Alfonso 2141 (Ramón Subercaseaux 3060)</t>
        </is>
      </c>
      <c r="FO4220" s="15" t="inlineStr">
        <is>
          <t>Estacion Central</t>
        </is>
      </c>
      <c r="FP4220" t="inlineStr">
        <is>
          <t>B</t>
        </is>
      </c>
    </row>
    <row r="4221">
      <c r="FC4221" t="inlineStr">
        <is>
          <t>Diccionario 4</t>
        </is>
      </c>
      <c r="FD4221" s="15" t="inlineStr">
        <is>
          <t>VFPV-83|</t>
        </is>
      </c>
      <c r="FE4221" s="15" t="inlineStr">
        <is>
          <t>MDN35025020036</t>
        </is>
      </c>
      <c r="FF4221" s="15" t="inlineStr">
        <is>
          <t>LDYECS319S0044066</t>
        </is>
      </c>
      <c r="FG4221" s="15" t="inlineStr">
        <is>
          <t>Zhong Tong</t>
        </is>
      </c>
      <c r="FH4221" s="15" t="inlineStr">
        <is>
          <t>Lck6122evg</t>
        </is>
      </c>
      <c r="FI4221" s="15" t="inlineStr">
        <is>
          <t>ZHONGTONG</t>
        </is>
      </c>
      <c r="FJ4221" s="15" t="inlineStr">
        <is>
          <t>LCK6122EVG</t>
        </is>
      </c>
      <c r="FK4221" s="15" t="n">
        <v>2025</v>
      </c>
      <c r="FL4221" s="15" t="inlineStr">
        <is>
          <t>B</t>
        </is>
      </c>
      <c r="FM4221" s="15" t="inlineStr">
        <is>
          <t>PIE ANDINO</t>
        </is>
      </c>
      <c r="FN4221" s="15" t="inlineStr">
        <is>
          <t>Pie Andino 31 (Pie Andino 383)</t>
        </is>
      </c>
      <c r="FO4221" s="15" t="inlineStr">
        <is>
          <t>Puente Alto</t>
        </is>
      </c>
      <c r="FP4221" t="inlineStr">
        <is>
          <t>B</t>
        </is>
      </c>
    </row>
    <row r="4222">
      <c r="FC4222" t="inlineStr">
        <is>
          <t>Diccionario 4</t>
        </is>
      </c>
      <c r="FD4222" s="15" t="inlineStr">
        <is>
          <t>VFPV-93|</t>
        </is>
      </c>
      <c r="FE4222" s="15" t="inlineStr">
        <is>
          <t>MDN35025020126</t>
        </is>
      </c>
      <c r="FF4222" s="15" t="inlineStr">
        <is>
          <t>LDYECS318S0044074</t>
        </is>
      </c>
      <c r="FG4222" s="15" t="inlineStr">
        <is>
          <t>Zhong Tong</t>
        </is>
      </c>
      <c r="FH4222" s="15" t="inlineStr">
        <is>
          <t>Lck6122evg</t>
        </is>
      </c>
      <c r="FI4222" s="15" t="inlineStr">
        <is>
          <t>ZHONGTONG</t>
        </is>
      </c>
      <c r="FJ4222" s="15" t="inlineStr">
        <is>
          <t>LCK6122EVG</t>
        </is>
      </c>
      <c r="FK4222" s="15" t="n">
        <v>2025</v>
      </c>
      <c r="FL4222" s="15" t="inlineStr">
        <is>
          <t>B</t>
        </is>
      </c>
      <c r="FM4222" s="15" t="inlineStr">
        <is>
          <t>PIE ANDINO</t>
        </is>
      </c>
      <c r="FN4222" s="15" t="inlineStr">
        <is>
          <t>Pie Andino 31 (Pie Andino 383)</t>
        </is>
      </c>
      <c r="FO4222" s="15" t="inlineStr">
        <is>
          <t>Puente Alto</t>
        </is>
      </c>
      <c r="FP4222" t="inlineStr">
        <is>
          <t>B</t>
        </is>
      </c>
    </row>
    <row r="4223">
      <c r="FC4223" t="inlineStr">
        <is>
          <t>Diccionario 4</t>
        </is>
      </c>
      <c r="FD4223" s="15" t="inlineStr">
        <is>
          <t>VFPW-13|</t>
        </is>
      </c>
      <c r="FE4223" s="15" t="inlineStr">
        <is>
          <t>MDN35025010041</t>
        </is>
      </c>
      <c r="FF4223" s="15" t="inlineStr">
        <is>
          <t>LDYECS315S0043819</t>
        </is>
      </c>
      <c r="FG4223" s="15" t="inlineStr">
        <is>
          <t>Zhong Tong</t>
        </is>
      </c>
      <c r="FH4223" s="15" t="inlineStr">
        <is>
          <t>Lck6122evg</t>
        </is>
      </c>
      <c r="FI4223" s="15" t="inlineStr">
        <is>
          <t>ZHONGTONG</t>
        </is>
      </c>
      <c r="FJ4223" s="15" t="inlineStr">
        <is>
          <t>LCK6122EVG</t>
        </is>
      </c>
      <c r="FK4223" s="15" t="n">
        <v>2025</v>
      </c>
      <c r="FL4223" s="15" t="inlineStr">
        <is>
          <t>B</t>
        </is>
      </c>
      <c r="FM4223" s="15" t="inlineStr">
        <is>
          <t>SAN ALFONSO</t>
        </is>
      </c>
      <c r="FN4223" s="15" t="inlineStr">
        <is>
          <t>San Alfonso 2141 (Ramón Subercaseaux 3060)</t>
        </is>
      </c>
      <c r="FO4223" s="15" t="inlineStr">
        <is>
          <t>Estacion Central</t>
        </is>
      </c>
      <c r="FP4223" t="inlineStr">
        <is>
          <t>B</t>
        </is>
      </c>
    </row>
    <row r="4224">
      <c r="FC4224" t="inlineStr">
        <is>
          <t>Diccionario 4</t>
        </is>
      </c>
      <c r="FD4224" s="15" t="inlineStr">
        <is>
          <t>VFPW-23|</t>
        </is>
      </c>
      <c r="FE4224" s="15" t="inlineStr">
        <is>
          <t>MDN35025020021</t>
        </is>
      </c>
      <c r="FF4224" s="15" t="inlineStr">
        <is>
          <t>LDYECS316S0044106</t>
        </is>
      </c>
      <c r="FG4224" s="15" t="inlineStr">
        <is>
          <t>Zhong Tong</t>
        </is>
      </c>
      <c r="FH4224" s="15" t="inlineStr">
        <is>
          <t>Lck6122evg</t>
        </is>
      </c>
      <c r="FI4224" s="15" t="inlineStr">
        <is>
          <t>ZHONGTONG</t>
        </is>
      </c>
      <c r="FJ4224" s="15" t="inlineStr">
        <is>
          <t>LCK6122EVG</t>
        </is>
      </c>
      <c r="FK4224" s="15" t="n">
        <v>2025</v>
      </c>
      <c r="FL4224" s="15" t="inlineStr">
        <is>
          <t>B</t>
        </is>
      </c>
      <c r="FM4224" s="15" t="inlineStr">
        <is>
          <t>SAN ALFONSO</t>
        </is>
      </c>
      <c r="FN4224" s="15" t="inlineStr">
        <is>
          <t>San Alfonso 2141 (Ramón Subercaseaux 3060)</t>
        </is>
      </c>
      <c r="FO4224" s="15" t="inlineStr">
        <is>
          <t>Estacion Central</t>
        </is>
      </c>
      <c r="FP4224" t="inlineStr">
        <is>
          <t>B</t>
        </is>
      </c>
    </row>
    <row r="4225">
      <c r="FC4225" t="inlineStr">
        <is>
          <t>Diccionario 4</t>
        </is>
      </c>
      <c r="FD4225" s="15" t="inlineStr">
        <is>
          <t>VFPW-33|</t>
        </is>
      </c>
      <c r="FE4225" s="15" t="inlineStr">
        <is>
          <t>MDN35025020102</t>
        </is>
      </c>
      <c r="FF4225" s="15" t="inlineStr">
        <is>
          <t>LDYECS31XS0044044</t>
        </is>
      </c>
      <c r="FG4225" s="15" t="inlineStr">
        <is>
          <t>Zhong Tong</t>
        </is>
      </c>
      <c r="FH4225" s="15" t="inlineStr">
        <is>
          <t>Lck6122evg</t>
        </is>
      </c>
      <c r="FI4225" s="15" t="inlineStr">
        <is>
          <t>ZHONGTONG</t>
        </is>
      </c>
      <c r="FJ4225" s="15" t="inlineStr">
        <is>
          <t>LCK6122EVG</t>
        </is>
      </c>
      <c r="FK4225" s="15" t="n">
        <v>2025</v>
      </c>
      <c r="FL4225" s="15" t="inlineStr">
        <is>
          <t>B</t>
        </is>
      </c>
      <c r="FM4225" s="15" t="inlineStr">
        <is>
          <t>SAN ALFONSO</t>
        </is>
      </c>
      <c r="FN4225" s="15" t="inlineStr">
        <is>
          <t>San Alfonso 2141 (Ramón Subercaseaux 3060)</t>
        </is>
      </c>
      <c r="FO4225" s="15" t="inlineStr">
        <is>
          <t>Estacion Central</t>
        </is>
      </c>
      <c r="FP4225" t="inlineStr">
        <is>
          <t>B</t>
        </is>
      </c>
    </row>
    <row r="4226">
      <c r="FC4226" t="inlineStr">
        <is>
          <t>Diccionario 4</t>
        </is>
      </c>
      <c r="FD4226" s="15" t="inlineStr">
        <is>
          <t>VFPW-63|</t>
        </is>
      </c>
      <c r="FE4226" s="15" t="inlineStr">
        <is>
          <t>MDN35025020003</t>
        </is>
      </c>
      <c r="FF4226" s="15" t="inlineStr">
        <is>
          <t>LDYECS314S0044069</t>
        </is>
      </c>
      <c r="FG4226" s="15" t="inlineStr">
        <is>
          <t>Zhong Tong</t>
        </is>
      </c>
      <c r="FH4226" s="15" t="inlineStr">
        <is>
          <t>Lck6122evg</t>
        </is>
      </c>
      <c r="FI4226" s="15" t="inlineStr">
        <is>
          <t>ZHONGTONG</t>
        </is>
      </c>
      <c r="FJ4226" s="15" t="inlineStr">
        <is>
          <t>LCK6122EVG</t>
        </is>
      </c>
      <c r="FK4226" s="15" t="n">
        <v>2025</v>
      </c>
      <c r="FL4226" s="15" t="inlineStr">
        <is>
          <t>B</t>
        </is>
      </c>
      <c r="FM4226" s="15" t="inlineStr">
        <is>
          <t>PIE ANDINO</t>
        </is>
      </c>
      <c r="FN4226" s="15" t="inlineStr">
        <is>
          <t>Pie Andino 31 (Pie Andino 383)</t>
        </is>
      </c>
      <c r="FO4226" s="15" t="inlineStr">
        <is>
          <t>Puente Alto</t>
        </is>
      </c>
      <c r="FP4226" t="inlineStr">
        <is>
          <t>B</t>
        </is>
      </c>
    </row>
    <row r="4227">
      <c r="FC4227" t="inlineStr">
        <is>
          <t>Diccionario 4</t>
        </is>
      </c>
      <c r="FD4227" s="15" t="inlineStr">
        <is>
          <t>VFPW-73|</t>
        </is>
      </c>
      <c r="FE4227" s="15" t="inlineStr">
        <is>
          <t>MDN35025020091</t>
        </is>
      </c>
      <c r="FF4227" s="15" t="inlineStr">
        <is>
          <t>LDYECS313S0044046</t>
        </is>
      </c>
      <c r="FG4227" s="15" t="inlineStr">
        <is>
          <t>Zhong Tong</t>
        </is>
      </c>
      <c r="FH4227" s="15" t="inlineStr">
        <is>
          <t>Lck6122evg</t>
        </is>
      </c>
      <c r="FI4227" s="15" t="inlineStr">
        <is>
          <t>ZHONGTONG</t>
        </is>
      </c>
      <c r="FJ4227" s="15" t="inlineStr">
        <is>
          <t>LCK6122EVG</t>
        </is>
      </c>
      <c r="FK4227" s="15" t="n">
        <v>2025</v>
      </c>
      <c r="FL4227" s="15" t="inlineStr">
        <is>
          <t>B</t>
        </is>
      </c>
      <c r="FM4227" s="15" t="inlineStr">
        <is>
          <t>SAN ALFONSO</t>
        </is>
      </c>
      <c r="FN4227" s="15" t="inlineStr">
        <is>
          <t>San Alfonso 2141 (Ramón Subercaseaux 3060)</t>
        </is>
      </c>
      <c r="FO4227" s="15" t="inlineStr">
        <is>
          <t>Estacion Central</t>
        </is>
      </c>
      <c r="FP4227" t="inlineStr">
        <is>
          <t>B</t>
        </is>
      </c>
    </row>
    <row r="4228">
      <c r="FC4228" t="inlineStr">
        <is>
          <t>Diccionario 4</t>
        </is>
      </c>
      <c r="FD4228" s="15" t="inlineStr">
        <is>
          <t>VFPX-13|</t>
        </is>
      </c>
      <c r="FE4228" s="15" t="inlineStr">
        <is>
          <t>MDN35025020039</t>
        </is>
      </c>
      <c r="FF4228" s="15" t="inlineStr">
        <is>
          <t>LDYECS312S0044071</t>
        </is>
      </c>
      <c r="FG4228" s="15" t="inlineStr">
        <is>
          <t>Zhong Tong</t>
        </is>
      </c>
      <c r="FH4228" s="15" t="inlineStr">
        <is>
          <t>Lck6122evg</t>
        </is>
      </c>
      <c r="FI4228" s="15" t="inlineStr">
        <is>
          <t>ZHONGTONG</t>
        </is>
      </c>
      <c r="FJ4228" s="15" t="inlineStr">
        <is>
          <t>LCK6122EVG</t>
        </is>
      </c>
      <c r="FK4228" s="15" t="n">
        <v>2025</v>
      </c>
      <c r="FL4228" s="15" t="inlineStr">
        <is>
          <t>B</t>
        </is>
      </c>
      <c r="FM4228" s="15" t="inlineStr">
        <is>
          <t>SAN ALFONSO</t>
        </is>
      </c>
      <c r="FN4228" s="15" t="inlineStr">
        <is>
          <t>San Alfonso 2141 (Ramón Subercaseaux 3060)</t>
        </is>
      </c>
      <c r="FO4228" s="15" t="inlineStr">
        <is>
          <t>Estacion Central</t>
        </is>
      </c>
      <c r="FP4228" t="inlineStr">
        <is>
          <t>B</t>
        </is>
      </c>
    </row>
    <row r="4229">
      <c r="FC4229" t="inlineStr">
        <is>
          <t>Diccionario 4</t>
        </is>
      </c>
      <c r="FD4229" s="15" t="inlineStr">
        <is>
          <t>VFPX-33|</t>
        </is>
      </c>
      <c r="FE4229" s="15" t="inlineStr">
        <is>
          <t>MDN35025020085</t>
        </is>
      </c>
      <c r="FF4229" s="15" t="inlineStr">
        <is>
          <t>LDYECS311S0044076</t>
        </is>
      </c>
      <c r="FG4229" s="15" t="inlineStr">
        <is>
          <t>Zhong Tong</t>
        </is>
      </c>
      <c r="FH4229" s="15" t="inlineStr">
        <is>
          <t>Lck6122evg</t>
        </is>
      </c>
      <c r="FI4229" s="15" t="inlineStr">
        <is>
          <t>ZHONGTONG</t>
        </is>
      </c>
      <c r="FJ4229" s="15" t="inlineStr">
        <is>
          <t>LCK6122EVG</t>
        </is>
      </c>
      <c r="FK4229" s="15" t="n">
        <v>2025</v>
      </c>
      <c r="FL4229" s="15" t="inlineStr">
        <is>
          <t>B</t>
        </is>
      </c>
      <c r="FM4229" s="15" t="inlineStr">
        <is>
          <t>SAN ALFONSO</t>
        </is>
      </c>
      <c r="FN4229" s="15" t="inlineStr">
        <is>
          <t>San Alfonso 2141 (Ramón Subercaseaux 3060)</t>
        </is>
      </c>
      <c r="FO4229" s="15" t="inlineStr">
        <is>
          <t>Estacion Central</t>
        </is>
      </c>
      <c r="FP4229" t="inlineStr">
        <is>
          <t>B</t>
        </is>
      </c>
    </row>
    <row r="4230">
      <c r="FC4230" t="inlineStr">
        <is>
          <t>Diccionario 4</t>
        </is>
      </c>
      <c r="FD4230" s="15" t="inlineStr">
        <is>
          <t>VFPX-53|</t>
        </is>
      </c>
      <c r="FE4230" s="15" t="inlineStr">
        <is>
          <t>MDN35025010194</t>
        </is>
      </c>
      <c r="FF4230" s="15" t="inlineStr">
        <is>
          <t>LDYECS311S0044059</t>
        </is>
      </c>
      <c r="FG4230" s="15" t="inlineStr">
        <is>
          <t>Zhong Tong</t>
        </is>
      </c>
      <c r="FH4230" s="15" t="inlineStr">
        <is>
          <t>Lck6122evg</t>
        </is>
      </c>
      <c r="FI4230" s="15" t="inlineStr">
        <is>
          <t>ZHONGTONG</t>
        </is>
      </c>
      <c r="FJ4230" s="15" t="inlineStr">
        <is>
          <t>LCK6122EVG</t>
        </is>
      </c>
      <c r="FK4230" s="15" t="n">
        <v>2025</v>
      </c>
      <c r="FL4230" s="15" t="inlineStr">
        <is>
          <t>B</t>
        </is>
      </c>
      <c r="FM4230" s="15" t="inlineStr">
        <is>
          <t>PIE ANDINO</t>
        </is>
      </c>
      <c r="FN4230" s="15" t="inlineStr">
        <is>
          <t>Pie Andino 31 (Pie Andino 383)</t>
        </is>
      </c>
      <c r="FO4230" s="15" t="inlineStr">
        <is>
          <t>Puente Alto</t>
        </is>
      </c>
      <c r="FP4230" t="inlineStr">
        <is>
          <t>B</t>
        </is>
      </c>
    </row>
    <row r="4231">
      <c r="FC4231" t="inlineStr">
        <is>
          <t>Diccionario 4</t>
        </is>
      </c>
      <c r="FD4231" s="15" t="inlineStr">
        <is>
          <t>VFPX-63|</t>
        </is>
      </c>
      <c r="FE4231" s="15" t="inlineStr">
        <is>
          <t>MDN35025010098</t>
        </is>
      </c>
      <c r="FF4231" s="15" t="inlineStr">
        <is>
          <t>LDYECS31XS0044111</t>
        </is>
      </c>
      <c r="FG4231" s="15" t="inlineStr">
        <is>
          <t>Zhong Tong</t>
        </is>
      </c>
      <c r="FH4231" s="15" t="inlineStr">
        <is>
          <t>Lck6122evg</t>
        </is>
      </c>
      <c r="FI4231" s="15" t="inlineStr">
        <is>
          <t>ZHONGTONG</t>
        </is>
      </c>
      <c r="FJ4231" s="15" t="inlineStr">
        <is>
          <t>LCK6122EVG</t>
        </is>
      </c>
      <c r="FK4231" s="15" t="n">
        <v>2025</v>
      </c>
      <c r="FL4231" s="15" t="inlineStr">
        <is>
          <t>B</t>
        </is>
      </c>
      <c r="FM4231" s="15" t="inlineStr">
        <is>
          <t>PIE ANDINO</t>
        </is>
      </c>
      <c r="FN4231" s="15" t="inlineStr">
        <is>
          <t>Pie Andino 31 (Pie Andino 383)</t>
        </is>
      </c>
      <c r="FO4231" s="15" t="inlineStr">
        <is>
          <t>Puente Alto</t>
        </is>
      </c>
      <c r="FP4231" t="inlineStr">
        <is>
          <t>B</t>
        </is>
      </c>
    </row>
    <row r="4232">
      <c r="FC4232" t="inlineStr">
        <is>
          <t>Diccionario 4</t>
        </is>
      </c>
      <c r="FD4232" s="15" t="inlineStr">
        <is>
          <t>VFPX-83|</t>
        </is>
      </c>
      <c r="FE4232" s="15" t="inlineStr">
        <is>
          <t>MDN35025020037</t>
        </is>
      </c>
      <c r="FF4232" s="15" t="inlineStr">
        <is>
          <t>LDYECS310S0044070</t>
        </is>
      </c>
      <c r="FG4232" s="15" t="inlineStr">
        <is>
          <t>Zhong Tong</t>
        </is>
      </c>
      <c r="FH4232" s="15" t="inlineStr">
        <is>
          <t>Lck6122evg</t>
        </is>
      </c>
      <c r="FI4232" s="15" t="inlineStr">
        <is>
          <t>ZHONGTONG</t>
        </is>
      </c>
      <c r="FJ4232" s="15" t="inlineStr">
        <is>
          <t>LCK6122EVG</t>
        </is>
      </c>
      <c r="FK4232" s="15" t="n">
        <v>2025</v>
      </c>
      <c r="FL4232" s="15" t="inlineStr">
        <is>
          <t>B</t>
        </is>
      </c>
      <c r="FM4232" s="15" t="inlineStr">
        <is>
          <t>PIE ANDINO</t>
        </is>
      </c>
      <c r="FN4232" s="15" t="inlineStr">
        <is>
          <t>Pie Andino 31 (Pie Andino 383)</t>
        </is>
      </c>
      <c r="FO4232" s="15" t="inlineStr">
        <is>
          <t>Puente Alto</t>
        </is>
      </c>
      <c r="FP4232" t="inlineStr">
        <is>
          <t>B</t>
        </is>
      </c>
    </row>
    <row r="4233">
      <c r="FC4233" t="inlineStr">
        <is>
          <t>Diccionario 4</t>
        </is>
      </c>
      <c r="FD4233" s="15" t="inlineStr">
        <is>
          <t>VFPX-93|</t>
        </is>
      </c>
      <c r="FE4233" s="15" t="inlineStr">
        <is>
          <t>MDN35025020023</t>
        </is>
      </c>
      <c r="FF4233" s="15" t="inlineStr">
        <is>
          <t>LDYECS310S0044067</t>
        </is>
      </c>
      <c r="FG4233" s="15" t="inlineStr">
        <is>
          <t>Zhong Tong</t>
        </is>
      </c>
      <c r="FH4233" s="15" t="inlineStr">
        <is>
          <t>Lck6122evg</t>
        </is>
      </c>
      <c r="FI4233" s="15" t="inlineStr">
        <is>
          <t>ZHONGTONG</t>
        </is>
      </c>
      <c r="FJ4233" s="15" t="inlineStr">
        <is>
          <t>LCK6122EVG</t>
        </is>
      </c>
      <c r="FK4233" s="15" t="n">
        <v>2025</v>
      </c>
      <c r="FL4233" s="15" t="inlineStr">
        <is>
          <t>B</t>
        </is>
      </c>
      <c r="FM4233" s="15" t="inlineStr">
        <is>
          <t>PIE ANDINO</t>
        </is>
      </c>
      <c r="FN4233" s="15" t="inlineStr">
        <is>
          <t>Pie Andino 31 (Pie Andino 383)</t>
        </is>
      </c>
      <c r="FO4233" s="15" t="inlineStr">
        <is>
          <t>Puente Alto</t>
        </is>
      </c>
      <c r="FP4233" t="inlineStr">
        <is>
          <t>B</t>
        </is>
      </c>
    </row>
    <row r="4234">
      <c r="FC4234" t="inlineStr">
        <is>
          <t>Diccionario 4</t>
        </is>
      </c>
      <c r="FD4234" s="15" t="inlineStr">
        <is>
          <t>VFPY-13|</t>
        </is>
      </c>
      <c r="FE4234" s="15" t="inlineStr">
        <is>
          <t>MDN35025010218</t>
        </is>
      </c>
      <c r="FF4234" s="15" t="inlineStr">
        <is>
          <t>LDYECS316S0044087</t>
        </is>
      </c>
      <c r="FG4234" s="15" t="inlineStr">
        <is>
          <t>Zhong Tong</t>
        </is>
      </c>
      <c r="FH4234" s="15" t="inlineStr">
        <is>
          <t>Lck6122evg</t>
        </is>
      </c>
      <c r="FI4234" s="15" t="inlineStr">
        <is>
          <t>ZHONGTONG</t>
        </is>
      </c>
      <c r="FJ4234" s="15" t="inlineStr">
        <is>
          <t>LCK6122EVG</t>
        </is>
      </c>
      <c r="FK4234" s="15" t="n">
        <v>2025</v>
      </c>
      <c r="FL4234" s="15" t="inlineStr">
        <is>
          <t>B</t>
        </is>
      </c>
      <c r="FM4234" s="15" t="inlineStr">
        <is>
          <t>SAN ALFONSO</t>
        </is>
      </c>
      <c r="FN4234" s="15" t="inlineStr">
        <is>
          <t>San Alfonso 2141 (Ramón Subercaseaux 3060)</t>
        </is>
      </c>
      <c r="FO4234" s="15" t="inlineStr">
        <is>
          <t>Estacion Central</t>
        </is>
      </c>
      <c r="FP4234" t="inlineStr">
        <is>
          <t>B</t>
        </is>
      </c>
    </row>
    <row r="4235">
      <c r="FC4235" t="inlineStr">
        <is>
          <t>Diccionario 4</t>
        </is>
      </c>
      <c r="FD4235" s="15" t="inlineStr">
        <is>
          <t>VFPY-23|</t>
        </is>
      </c>
      <c r="FE4235" s="15" t="inlineStr">
        <is>
          <t>MDN35025020098</t>
        </is>
      </c>
      <c r="FF4235" s="15" t="inlineStr">
        <is>
          <t>LDYECS315S0044095</t>
        </is>
      </c>
      <c r="FG4235" s="15" t="inlineStr">
        <is>
          <t>Zhong Tong</t>
        </is>
      </c>
      <c r="FH4235" s="15" t="inlineStr">
        <is>
          <t>Lck6122evg</t>
        </is>
      </c>
      <c r="FI4235" s="15" t="inlineStr">
        <is>
          <t>ZHONGTONG</t>
        </is>
      </c>
      <c r="FJ4235" s="15" t="inlineStr">
        <is>
          <t>LCK6122EVG</t>
        </is>
      </c>
      <c r="FK4235" s="15" t="n">
        <v>2025</v>
      </c>
      <c r="FL4235" s="15" t="inlineStr">
        <is>
          <t>B</t>
        </is>
      </c>
      <c r="FM4235" s="15" t="inlineStr">
        <is>
          <t>PIE ANDINO</t>
        </is>
      </c>
      <c r="FN4235" s="15" t="inlineStr">
        <is>
          <t>Pie Andino 31 (Pie Andino 383)</t>
        </is>
      </c>
      <c r="FO4235" s="15" t="inlineStr">
        <is>
          <t>Puente Alto</t>
        </is>
      </c>
      <c r="FP4235" t="inlineStr">
        <is>
          <t>B</t>
        </is>
      </c>
    </row>
    <row r="4236">
      <c r="FC4236" t="inlineStr">
        <is>
          <t>Diccionario 4</t>
        </is>
      </c>
      <c r="FD4236" s="15" t="inlineStr">
        <is>
          <t>VFPY-33|</t>
        </is>
      </c>
      <c r="FE4236" s="15" t="inlineStr">
        <is>
          <t>MDN35025020038</t>
        </is>
      </c>
      <c r="FF4236" s="15" t="inlineStr">
        <is>
          <t>LDYECS317S0044065</t>
        </is>
      </c>
      <c r="FG4236" s="15" t="inlineStr">
        <is>
          <t>Zhong Tong</t>
        </is>
      </c>
      <c r="FH4236" s="15" t="inlineStr">
        <is>
          <t>Lck6122evg</t>
        </is>
      </c>
      <c r="FI4236" s="15" t="inlineStr">
        <is>
          <t>ZHONGTONG</t>
        </is>
      </c>
      <c r="FJ4236" s="15" t="inlineStr">
        <is>
          <t>LCK6122EVG</t>
        </is>
      </c>
      <c r="FK4236" s="15" t="n">
        <v>2025</v>
      </c>
      <c r="FL4236" s="15" t="inlineStr">
        <is>
          <t>B</t>
        </is>
      </c>
      <c r="FM4236" s="15" t="inlineStr">
        <is>
          <t>PIE ANDINO</t>
        </is>
      </c>
      <c r="FN4236" s="15" t="inlineStr">
        <is>
          <t>Pie Andino 31 (Pie Andino 383)</t>
        </is>
      </c>
      <c r="FO4236" s="15" t="inlineStr">
        <is>
          <t>Puente Alto</t>
        </is>
      </c>
      <c r="FP4236" t="inlineStr">
        <is>
          <t>B</t>
        </is>
      </c>
    </row>
    <row r="4237">
      <c r="FC4237" t="inlineStr">
        <is>
          <t>Diccionario 4</t>
        </is>
      </c>
      <c r="FD4237" s="15" t="inlineStr">
        <is>
          <t>VFPY-43|</t>
        </is>
      </c>
      <c r="FE4237" s="15" t="inlineStr">
        <is>
          <t>MDN35025010188</t>
        </is>
      </c>
      <c r="FF4237" s="15" t="inlineStr">
        <is>
          <t>LDYECS314S0044072</t>
        </is>
      </c>
      <c r="FG4237" s="15" t="inlineStr">
        <is>
          <t>Zhong Tong</t>
        </is>
      </c>
      <c r="FH4237" s="15" t="inlineStr">
        <is>
          <t>Lck6122evg</t>
        </is>
      </c>
      <c r="FI4237" s="15" t="inlineStr">
        <is>
          <t>ZHONGTONG</t>
        </is>
      </c>
      <c r="FJ4237" s="15" t="inlineStr">
        <is>
          <t>LCK6122EVG</t>
        </is>
      </c>
      <c r="FK4237" s="15" t="n">
        <v>2025</v>
      </c>
      <c r="FL4237" s="15" t="inlineStr">
        <is>
          <t>B</t>
        </is>
      </c>
      <c r="FM4237" s="15" t="inlineStr">
        <is>
          <t>SAN ALFONSO</t>
        </is>
      </c>
      <c r="FN4237" s="15" t="inlineStr">
        <is>
          <t>San Alfonso 2141 (Ramón Subercaseaux 3060)</t>
        </is>
      </c>
      <c r="FO4237" s="15" t="inlineStr">
        <is>
          <t>Estacion Central</t>
        </is>
      </c>
      <c r="FP4237" t="inlineStr">
        <is>
          <t>B</t>
        </is>
      </c>
    </row>
    <row r="4238">
      <c r="FC4238" t="inlineStr">
        <is>
          <t>Diccionario 4</t>
        </is>
      </c>
      <c r="FD4238" s="15" t="inlineStr">
        <is>
          <t>VFPZ-27|</t>
        </is>
      </c>
      <c r="FE4238" s="15" t="inlineStr">
        <is>
          <t>MDN35025010203</t>
        </is>
      </c>
      <c r="FF4238" s="15" t="inlineStr">
        <is>
          <t>LDYECS311S0044109</t>
        </is>
      </c>
      <c r="FG4238" s="15" t="inlineStr">
        <is>
          <t>Zhong Tong</t>
        </is>
      </c>
      <c r="FH4238" s="15" t="inlineStr">
        <is>
          <t>Lck6122evg</t>
        </is>
      </c>
      <c r="FI4238" s="15" t="inlineStr">
        <is>
          <t>ZHONGTONG</t>
        </is>
      </c>
      <c r="FJ4238" s="15" t="inlineStr">
        <is>
          <t>LCK6122EVG</t>
        </is>
      </c>
      <c r="FK4238" s="15" t="n">
        <v>2025</v>
      </c>
      <c r="FL4238" s="15" t="inlineStr">
        <is>
          <t>B</t>
        </is>
      </c>
      <c r="FM4238" s="15" t="inlineStr">
        <is>
          <t>SAN ALFONSO</t>
        </is>
      </c>
      <c r="FN4238" s="15" t="inlineStr">
        <is>
          <t>San Alfonso 2141 (Ramón Subercaseaux 3060)</t>
        </is>
      </c>
      <c r="FO4238" s="15" t="inlineStr">
        <is>
          <t>Estacion Central</t>
        </is>
      </c>
      <c r="FP4238" t="inlineStr">
        <is>
          <t>B</t>
        </is>
      </c>
    </row>
    <row r="4239">
      <c r="FC4239" t="inlineStr">
        <is>
          <t>Diccionario 4</t>
        </is>
      </c>
      <c r="FD4239" s="15" t="inlineStr">
        <is>
          <t>VFPZ-38|</t>
        </is>
      </c>
      <c r="FE4239" s="15" t="inlineStr">
        <is>
          <t>MDN35025010193</t>
        </is>
      </c>
      <c r="FF4239" s="15" t="inlineStr">
        <is>
          <t>LDYECS312S0044068</t>
        </is>
      </c>
      <c r="FG4239" s="15" t="inlineStr">
        <is>
          <t>Zhong Tong</t>
        </is>
      </c>
      <c r="FH4239" s="15" t="inlineStr">
        <is>
          <t>Lck6122evg</t>
        </is>
      </c>
      <c r="FI4239" s="15" t="inlineStr">
        <is>
          <t>ZHONGTONG</t>
        </is>
      </c>
      <c r="FJ4239" s="15" t="inlineStr">
        <is>
          <t>LCK6122EVG</t>
        </is>
      </c>
      <c r="FK4239" s="15" t="n">
        <v>2025</v>
      </c>
      <c r="FL4239" s="15" t="inlineStr">
        <is>
          <t>B</t>
        </is>
      </c>
      <c r="FM4239" s="15" t="inlineStr">
        <is>
          <t>SAN ALFONSO</t>
        </is>
      </c>
      <c r="FN4239" s="15" t="inlineStr">
        <is>
          <t>San Alfonso 2141 (Ramón Subercaseaux 3060)</t>
        </is>
      </c>
      <c r="FO4239" s="15" t="inlineStr">
        <is>
          <t>Estacion Central</t>
        </is>
      </c>
      <c r="FP4239" t="inlineStr">
        <is>
          <t>B</t>
        </is>
      </c>
    </row>
    <row r="4240">
      <c r="FC4240" t="inlineStr">
        <is>
          <t>Diccionario 4</t>
        </is>
      </c>
      <c r="FD4240" s="15" t="inlineStr">
        <is>
          <t>VFPZ-39|</t>
        </is>
      </c>
      <c r="FE4240" s="15" t="inlineStr">
        <is>
          <t>MDN35025020011</t>
        </is>
      </c>
      <c r="FF4240" s="15" t="inlineStr">
        <is>
          <t>LDYECS316S0044090</t>
        </is>
      </c>
      <c r="FG4240" s="15" t="inlineStr">
        <is>
          <t>Zhong Tong</t>
        </is>
      </c>
      <c r="FH4240" s="15" t="inlineStr">
        <is>
          <t>Lck6122evg</t>
        </is>
      </c>
      <c r="FI4240" s="15" t="inlineStr">
        <is>
          <t>ZHONGTONG</t>
        </is>
      </c>
      <c r="FJ4240" s="15" t="inlineStr">
        <is>
          <t>LCK6122EVG</t>
        </is>
      </c>
      <c r="FK4240" s="15" t="n">
        <v>2025</v>
      </c>
      <c r="FL4240" s="15" t="inlineStr">
        <is>
          <t>B</t>
        </is>
      </c>
      <c r="FM4240" s="15" t="inlineStr">
        <is>
          <t>SAN ALFONSO</t>
        </is>
      </c>
      <c r="FN4240" s="15" t="inlineStr">
        <is>
          <t>San Alfonso 2141 (Ramón Subercaseaux 3060)</t>
        </is>
      </c>
      <c r="FO4240" s="15" t="inlineStr">
        <is>
          <t>Estacion Central</t>
        </is>
      </c>
      <c r="FP4240" t="inlineStr">
        <is>
          <t>B</t>
        </is>
      </c>
    </row>
    <row r="4241">
      <c r="FC4241" t="inlineStr">
        <is>
          <t>Diccionario 4</t>
        </is>
      </c>
      <c r="FD4241" s="15" t="inlineStr">
        <is>
          <t>VFPZ-55|</t>
        </is>
      </c>
      <c r="FE4241" s="15" t="inlineStr">
        <is>
          <t>MDN35025010208</t>
        </is>
      </c>
      <c r="FF4241" s="15" t="inlineStr">
        <is>
          <t>LDYECS317S0044082</t>
        </is>
      </c>
      <c r="FG4241" s="15" t="inlineStr">
        <is>
          <t>Zhong Tong</t>
        </is>
      </c>
      <c r="FH4241" s="15" t="inlineStr">
        <is>
          <t>Lck6122evg</t>
        </is>
      </c>
      <c r="FI4241" s="15" t="inlineStr">
        <is>
          <t>ZHONGTONG</t>
        </is>
      </c>
      <c r="FJ4241" s="15" t="inlineStr">
        <is>
          <t>LCK6122EVG</t>
        </is>
      </c>
      <c r="FK4241" s="15" t="n">
        <v>2025</v>
      </c>
      <c r="FL4241" s="15" t="inlineStr">
        <is>
          <t>B</t>
        </is>
      </c>
      <c r="FM4241" s="15" t="inlineStr">
        <is>
          <t>SAN ALFONSO</t>
        </is>
      </c>
      <c r="FN4241" s="15" t="inlineStr">
        <is>
          <t>San Alfonso 2141 (Ramón Subercaseaux 3060)</t>
        </is>
      </c>
      <c r="FO4241" s="15" t="inlineStr">
        <is>
          <t>Estacion Central</t>
        </is>
      </c>
      <c r="FP4241" t="inlineStr">
        <is>
          <t>B</t>
        </is>
      </c>
    </row>
    <row r="4242">
      <c r="FC4242" t="inlineStr">
        <is>
          <t>Diccionario 4</t>
        </is>
      </c>
      <c r="FD4242" s="15" t="inlineStr">
        <is>
          <t>VFPZ-56|</t>
        </is>
      </c>
      <c r="FE4242" s="15" t="inlineStr">
        <is>
          <t>MDN35025020043</t>
        </is>
      </c>
      <c r="FF4242" s="15" t="inlineStr">
        <is>
          <t>LDYECS31XS0044075</t>
        </is>
      </c>
      <c r="FG4242" s="15" t="inlineStr">
        <is>
          <t>Zhong Tong</t>
        </is>
      </c>
      <c r="FH4242" s="15" t="inlineStr">
        <is>
          <t>Lck6122evg</t>
        </is>
      </c>
      <c r="FI4242" s="15" t="inlineStr">
        <is>
          <t>ZHONGTONG</t>
        </is>
      </c>
      <c r="FJ4242" s="15" t="inlineStr">
        <is>
          <t>LCK6122EVG</t>
        </is>
      </c>
      <c r="FK4242" s="15" t="n">
        <v>2025</v>
      </c>
      <c r="FL4242" s="15" t="inlineStr">
        <is>
          <t>B</t>
        </is>
      </c>
      <c r="FM4242" s="15" t="inlineStr">
        <is>
          <t>PIE ANDINO</t>
        </is>
      </c>
      <c r="FN4242" s="15" t="inlineStr">
        <is>
          <t>Pie Andino 31 (Pie Andino 383)</t>
        </is>
      </c>
      <c r="FO4242" s="15" t="inlineStr">
        <is>
          <t>Puente Alto</t>
        </is>
      </c>
      <c r="FP4242" t="inlineStr">
        <is>
          <t>B</t>
        </is>
      </c>
    </row>
    <row r="4243">
      <c r="FC4243" t="inlineStr">
        <is>
          <t>Diccionario 4</t>
        </is>
      </c>
      <c r="FD4243" s="15" t="inlineStr">
        <is>
          <t>VFPZ-74|</t>
        </is>
      </c>
      <c r="FE4243" s="15" t="inlineStr">
        <is>
          <t>MDN35025020017</t>
        </is>
      </c>
      <c r="FF4243" s="15" t="inlineStr">
        <is>
          <t>LDYECS312S0044085</t>
        </is>
      </c>
      <c r="FG4243" s="15" t="inlineStr">
        <is>
          <t>Zhong Tong</t>
        </is>
      </c>
      <c r="FH4243" s="15" t="inlineStr">
        <is>
          <t>Lck6122evg</t>
        </is>
      </c>
      <c r="FI4243" s="15" t="inlineStr">
        <is>
          <t>ZHONGTONG</t>
        </is>
      </c>
      <c r="FJ4243" s="15" t="inlineStr">
        <is>
          <t>LCK6122EVG</t>
        </is>
      </c>
      <c r="FK4243" s="15" t="n">
        <v>2025</v>
      </c>
      <c r="FL4243" s="15" t="inlineStr">
        <is>
          <t>B</t>
        </is>
      </c>
      <c r="FM4243" s="15" t="inlineStr">
        <is>
          <t>PIE ANDINO</t>
        </is>
      </c>
      <c r="FN4243" s="15" t="inlineStr">
        <is>
          <t>Pie Andino 31 (Pie Andino 383)</t>
        </is>
      </c>
      <c r="FO4243" s="15" t="inlineStr">
        <is>
          <t>Puente Alto</t>
        </is>
      </c>
      <c r="FP4243" t="inlineStr">
        <is>
          <t>B</t>
        </is>
      </c>
    </row>
    <row r="4244">
      <c r="FC4244" t="inlineStr">
        <is>
          <t>Diccionario 4</t>
        </is>
      </c>
      <c r="FD4244" s="15" t="inlineStr">
        <is>
          <t>VFPZ-78|</t>
        </is>
      </c>
      <c r="FE4244" s="15" t="inlineStr">
        <is>
          <t>MDN35025020001</t>
        </is>
      </c>
      <c r="FF4244" s="15" t="inlineStr">
        <is>
          <t>LDYECS313S0044077</t>
        </is>
      </c>
      <c r="FG4244" s="15" t="inlineStr">
        <is>
          <t>Zhong Tong</t>
        </is>
      </c>
      <c r="FH4244" s="15" t="inlineStr">
        <is>
          <t>Lck6122evg</t>
        </is>
      </c>
      <c r="FI4244" s="15" t="inlineStr">
        <is>
          <t>ZHONGTONG</t>
        </is>
      </c>
      <c r="FJ4244" s="15" t="inlineStr">
        <is>
          <t>LCK6122EVG</t>
        </is>
      </c>
      <c r="FK4244" s="15" t="n">
        <v>2025</v>
      </c>
      <c r="FL4244" s="15" t="inlineStr">
        <is>
          <t>B</t>
        </is>
      </c>
      <c r="FM4244" s="15" t="inlineStr">
        <is>
          <t>PIE ANDINO</t>
        </is>
      </c>
      <c r="FN4244" s="15" t="inlineStr">
        <is>
          <t>Pie Andino 31 (Pie Andino 383)</t>
        </is>
      </c>
      <c r="FO4244" s="15" t="inlineStr">
        <is>
          <t>Puente Alto</t>
        </is>
      </c>
      <c r="FP4244" t="inlineStr">
        <is>
          <t>B</t>
        </is>
      </c>
    </row>
    <row r="4245">
      <c r="FC4245" t="inlineStr">
        <is>
          <t>Diccionario 4</t>
        </is>
      </c>
      <c r="FD4245" s="15" t="inlineStr">
        <is>
          <t>VFPZ-88|</t>
        </is>
      </c>
      <c r="FE4245" s="15" t="inlineStr">
        <is>
          <t>MDN35025010028</t>
        </is>
      </c>
      <c r="FF4245" s="15" t="inlineStr">
        <is>
          <t>LDYECS311S0044112</t>
        </is>
      </c>
      <c r="FG4245" s="15" t="inlineStr">
        <is>
          <t>Zhong Tong</t>
        </is>
      </c>
      <c r="FH4245" s="15" t="inlineStr">
        <is>
          <t>Lck6122evg</t>
        </is>
      </c>
      <c r="FI4245" s="15" t="inlineStr">
        <is>
          <t>ZHONGTONG</t>
        </is>
      </c>
      <c r="FJ4245" s="15" t="inlineStr">
        <is>
          <t>LCK6122EVG</t>
        </is>
      </c>
      <c r="FK4245" s="15" t="n">
        <v>2025</v>
      </c>
      <c r="FL4245" s="15" t="inlineStr">
        <is>
          <t>B</t>
        </is>
      </c>
      <c r="FM4245" s="15" t="inlineStr">
        <is>
          <t>SAN ALFONSO</t>
        </is>
      </c>
      <c r="FN4245" s="15" t="inlineStr">
        <is>
          <t>San Alfonso 2141 (Ramón Subercaseaux 3060)</t>
        </is>
      </c>
      <c r="FO4245" s="15" t="inlineStr">
        <is>
          <t>Estacion Central</t>
        </is>
      </c>
      <c r="FP4245" t="inlineStr">
        <is>
          <t>B</t>
        </is>
      </c>
    </row>
    <row r="4246">
      <c r="FC4246" t="inlineStr">
        <is>
          <t>Diccionario 4</t>
        </is>
      </c>
      <c r="FD4246" s="15" t="inlineStr">
        <is>
          <t>VFPZ-89|</t>
        </is>
      </c>
      <c r="FE4246" s="15" t="inlineStr">
        <is>
          <t>MDN35025020032</t>
        </is>
      </c>
      <c r="FF4246" s="15" t="inlineStr">
        <is>
          <t>LDYECS319S0044102</t>
        </is>
      </c>
      <c r="FG4246" s="15" t="inlineStr">
        <is>
          <t>Zhong Tong</t>
        </is>
      </c>
      <c r="FH4246" s="15" t="inlineStr">
        <is>
          <t>Lck6122evg</t>
        </is>
      </c>
      <c r="FI4246" s="15" t="inlineStr">
        <is>
          <t>ZHONGTONG</t>
        </is>
      </c>
      <c r="FJ4246" s="15" t="inlineStr">
        <is>
          <t>LCK6122EVG</t>
        </is>
      </c>
      <c r="FK4246" s="15" t="n">
        <v>2025</v>
      </c>
      <c r="FL4246" s="15" t="inlineStr">
        <is>
          <t>B</t>
        </is>
      </c>
      <c r="FM4246" s="15" t="inlineStr">
        <is>
          <t>SAN ALFONSO</t>
        </is>
      </c>
      <c r="FN4246" s="15" t="inlineStr">
        <is>
          <t>San Alfonso 2141 (Ramón Subercaseaux 3060)</t>
        </is>
      </c>
      <c r="FO4246" s="15" t="inlineStr">
        <is>
          <t>Estacion Central</t>
        </is>
      </c>
      <c r="FP4246" t="inlineStr">
        <is>
          <t>B</t>
        </is>
      </c>
    </row>
    <row r="4247">
      <c r="FC4247" t="inlineStr">
        <is>
          <t>Diccionario 4</t>
        </is>
      </c>
      <c r="FD4247" s="15" t="inlineStr">
        <is>
          <t>VFPZ-92|</t>
        </is>
      </c>
      <c r="FE4247" s="15" t="inlineStr">
        <is>
          <t>MDN35025020030</t>
        </is>
      </c>
      <c r="FF4247" s="15" t="inlineStr">
        <is>
          <t>LDYECS31XS0044089</t>
        </is>
      </c>
      <c r="FG4247" s="15" t="inlineStr">
        <is>
          <t>Zhong Tong</t>
        </is>
      </c>
      <c r="FH4247" s="15" t="inlineStr">
        <is>
          <t>Lck6122evg</t>
        </is>
      </c>
      <c r="FI4247" s="15" t="inlineStr">
        <is>
          <t>ZHONGTONG</t>
        </is>
      </c>
      <c r="FJ4247" s="15" t="inlineStr">
        <is>
          <t>LCK6122EVG</t>
        </is>
      </c>
      <c r="FK4247" s="15" t="n">
        <v>2025</v>
      </c>
      <c r="FL4247" s="15" t="inlineStr">
        <is>
          <t>B</t>
        </is>
      </c>
      <c r="FM4247" s="15" t="inlineStr">
        <is>
          <t>SAN ALFONSO</t>
        </is>
      </c>
      <c r="FN4247" s="15" t="inlineStr">
        <is>
          <t>San Alfonso 2141 (Ramón Subercaseaux 3060)</t>
        </is>
      </c>
      <c r="FO4247" s="15" t="inlineStr">
        <is>
          <t>Estacion Central</t>
        </is>
      </c>
      <c r="FP4247" t="inlineStr">
        <is>
          <t>B</t>
        </is>
      </c>
    </row>
    <row r="4248">
      <c r="FC4248" t="inlineStr">
        <is>
          <t>Diccionario 4</t>
        </is>
      </c>
      <c r="FD4248" s="15" t="inlineStr">
        <is>
          <t>VFPZ-97|</t>
        </is>
      </c>
      <c r="FE4248" s="15" t="inlineStr">
        <is>
          <t>MDN35025010247</t>
        </is>
      </c>
      <c r="FF4248" s="15" t="inlineStr">
        <is>
          <t>LDYECS312S0044104</t>
        </is>
      </c>
      <c r="FG4248" s="15" t="inlineStr">
        <is>
          <t>Zhong Tong</t>
        </is>
      </c>
      <c r="FH4248" s="15" t="inlineStr">
        <is>
          <t>Lck6122evg</t>
        </is>
      </c>
      <c r="FI4248" s="15" t="inlineStr">
        <is>
          <t>ZHONGTONG</t>
        </is>
      </c>
      <c r="FJ4248" s="15" t="inlineStr">
        <is>
          <t>LCK6122EVG</t>
        </is>
      </c>
      <c r="FK4248" s="15" t="n">
        <v>2025</v>
      </c>
      <c r="FL4248" s="15" t="inlineStr">
        <is>
          <t>B</t>
        </is>
      </c>
      <c r="FM4248" s="15" t="inlineStr">
        <is>
          <t>SAN ALFONSO</t>
        </is>
      </c>
      <c r="FN4248" s="15" t="inlineStr">
        <is>
          <t>San Alfonso 2141 (Ramón Subercaseaux 3060)</t>
        </is>
      </c>
      <c r="FO4248" s="15" t="inlineStr">
        <is>
          <t>Estacion Central</t>
        </is>
      </c>
      <c r="FP4248" t="inlineStr">
        <is>
          <t>B</t>
        </is>
      </c>
    </row>
    <row r="4249">
      <c r="FC4249" t="inlineStr">
        <is>
          <t>Diccionario 4</t>
        </is>
      </c>
      <c r="FD4249" s="15" t="inlineStr">
        <is>
          <t>VFPZ-98|</t>
        </is>
      </c>
      <c r="FE4249" s="15" t="inlineStr">
        <is>
          <t>MDN35025010213</t>
        </is>
      </c>
      <c r="FF4249" s="15" t="inlineStr">
        <is>
          <t>LDYECS315S0044081</t>
        </is>
      </c>
      <c r="FG4249" s="15" t="inlineStr">
        <is>
          <t>Zhong Tong</t>
        </is>
      </c>
      <c r="FH4249" s="15" t="inlineStr">
        <is>
          <t>Lck6122evg</t>
        </is>
      </c>
      <c r="FI4249" s="15" t="inlineStr">
        <is>
          <t>ZHONGTONG</t>
        </is>
      </c>
      <c r="FJ4249" s="15" t="inlineStr">
        <is>
          <t>LCK6122EVG</t>
        </is>
      </c>
      <c r="FK4249" s="15" t="n">
        <v>2025</v>
      </c>
      <c r="FL4249" s="15" t="inlineStr">
        <is>
          <t>B</t>
        </is>
      </c>
      <c r="FM4249" s="15" t="inlineStr">
        <is>
          <t>SAN ALFONSO</t>
        </is>
      </c>
      <c r="FN4249" s="15" t="inlineStr">
        <is>
          <t>San Alfonso 2141 (Ramón Subercaseaux 3060)</t>
        </is>
      </c>
      <c r="FO4249" s="15" t="inlineStr">
        <is>
          <t>Estacion Central</t>
        </is>
      </c>
      <c r="FP4249" t="inlineStr">
        <is>
          <t>B</t>
        </is>
      </c>
    </row>
    <row r="4250">
      <c r="FC4250" t="inlineStr">
        <is>
          <t>Diccionario 4</t>
        </is>
      </c>
      <c r="FD4250" s="15" t="inlineStr">
        <is>
          <t>VFRB-13|</t>
        </is>
      </c>
      <c r="FE4250" s="15" t="inlineStr">
        <is>
          <t>MDN35025010226</t>
        </is>
      </c>
      <c r="FF4250" s="15" t="inlineStr">
        <is>
          <t>LDYECS313S0044080</t>
        </is>
      </c>
      <c r="FG4250" s="15" t="inlineStr">
        <is>
          <t>Zhong Tong</t>
        </is>
      </c>
      <c r="FH4250" s="15" t="inlineStr">
        <is>
          <t>Lck6122evg</t>
        </is>
      </c>
      <c r="FI4250" s="15" t="inlineStr">
        <is>
          <t>ZHONGTONG</t>
        </is>
      </c>
      <c r="FJ4250" s="15" t="inlineStr">
        <is>
          <t>LCK6122EVG</t>
        </is>
      </c>
      <c r="FK4250" s="15" t="n">
        <v>2025</v>
      </c>
      <c r="FL4250" s="15" t="inlineStr">
        <is>
          <t>B</t>
        </is>
      </c>
      <c r="FM4250" s="15" t="inlineStr">
        <is>
          <t>PIE ANDINO</t>
        </is>
      </c>
      <c r="FN4250" s="15" t="inlineStr">
        <is>
          <t>Pie Andino 31 (Pie Andino 383)</t>
        </is>
      </c>
      <c r="FO4250" s="15" t="inlineStr">
        <is>
          <t>Puente Alto</t>
        </is>
      </c>
      <c r="FP4250" t="inlineStr">
        <is>
          <t>B</t>
        </is>
      </c>
    </row>
    <row r="4251">
      <c r="FC4251" t="inlineStr">
        <is>
          <t>Diccionario 4</t>
        </is>
      </c>
      <c r="FD4251" s="15" t="inlineStr">
        <is>
          <t>VFRB-15|</t>
        </is>
      </c>
      <c r="FE4251" s="15" t="inlineStr">
        <is>
          <t>MDN35025010225</t>
        </is>
      </c>
      <c r="FF4251" s="15" t="inlineStr">
        <is>
          <t>LDYECS317S0044079</t>
        </is>
      </c>
      <c r="FG4251" s="15" t="inlineStr">
        <is>
          <t>Zhong Tong</t>
        </is>
      </c>
      <c r="FH4251" s="15" t="inlineStr">
        <is>
          <t>Lck6122evg</t>
        </is>
      </c>
      <c r="FI4251" s="15" t="inlineStr">
        <is>
          <t>ZHONGTONG</t>
        </is>
      </c>
      <c r="FJ4251" s="15" t="inlineStr">
        <is>
          <t>LCK6122EVG</t>
        </is>
      </c>
      <c r="FK4251" s="15" t="n">
        <v>2025</v>
      </c>
      <c r="FL4251" s="15" t="inlineStr">
        <is>
          <t>B</t>
        </is>
      </c>
      <c r="FM4251" s="15" t="inlineStr">
        <is>
          <t>SAN ALFONSO</t>
        </is>
      </c>
      <c r="FN4251" s="15" t="inlineStr">
        <is>
          <t>San Alfonso 2141 (Ramón Subercaseaux 3060)</t>
        </is>
      </c>
      <c r="FO4251" s="15" t="inlineStr">
        <is>
          <t>Estacion Central</t>
        </is>
      </c>
      <c r="FP4251" t="inlineStr">
        <is>
          <t>B</t>
        </is>
      </c>
    </row>
    <row r="4252">
      <c r="FC4252" t="inlineStr">
        <is>
          <t>Diccionario 4</t>
        </is>
      </c>
      <c r="FD4252" s="15" t="inlineStr">
        <is>
          <t>VFRB-54|</t>
        </is>
      </c>
      <c r="FE4252" s="15" t="inlineStr">
        <is>
          <t>MDN35025010204</t>
        </is>
      </c>
      <c r="FF4252" s="15" t="inlineStr">
        <is>
          <t>LDYECS31XS0044108</t>
        </is>
      </c>
      <c r="FG4252" s="15" t="inlineStr">
        <is>
          <t>Zhong Tong</t>
        </is>
      </c>
      <c r="FH4252" s="15" t="inlineStr">
        <is>
          <t>Lck6122evg</t>
        </is>
      </c>
      <c r="FI4252" s="15" t="inlineStr">
        <is>
          <t>ZHONGTONG</t>
        </is>
      </c>
      <c r="FJ4252" s="15" t="inlineStr">
        <is>
          <t>LCK6122EVG</t>
        </is>
      </c>
      <c r="FK4252" s="15" t="n">
        <v>2025</v>
      </c>
      <c r="FL4252" s="15" t="inlineStr">
        <is>
          <t>B</t>
        </is>
      </c>
      <c r="FM4252" s="15" t="inlineStr">
        <is>
          <t>SAN ALFONSO</t>
        </is>
      </c>
      <c r="FN4252" s="15" t="inlineStr">
        <is>
          <t>San Alfonso 2141 (Ramón Subercaseaux 3060)</t>
        </is>
      </c>
      <c r="FO4252" s="15" t="inlineStr">
        <is>
          <t>Estacion Central</t>
        </is>
      </c>
      <c r="FP4252" t="inlineStr">
        <is>
          <t>B</t>
        </is>
      </c>
    </row>
    <row r="4253">
      <c r="FC4253" t="inlineStr">
        <is>
          <t>Diccionario 4</t>
        </is>
      </c>
      <c r="FD4253" s="15" t="inlineStr">
        <is>
          <t>VFRB-56|</t>
        </is>
      </c>
      <c r="FE4253" s="15" t="inlineStr">
        <is>
          <t>MDN35025020040</t>
        </is>
      </c>
      <c r="FF4253" s="15" t="inlineStr">
        <is>
          <t>LDYECS314S0044086</t>
        </is>
      </c>
      <c r="FG4253" s="15" t="inlineStr">
        <is>
          <t>Zhong Tong</t>
        </is>
      </c>
      <c r="FH4253" s="15" t="inlineStr">
        <is>
          <t>Lck6122evg</t>
        </is>
      </c>
      <c r="FI4253" s="15" t="inlineStr">
        <is>
          <t>ZHONGTONG</t>
        </is>
      </c>
      <c r="FJ4253" s="15" t="inlineStr">
        <is>
          <t>LCK6122EVG</t>
        </is>
      </c>
      <c r="FK4253" s="15" t="n">
        <v>2025</v>
      </c>
      <c r="FL4253" s="15" t="inlineStr">
        <is>
          <t>B</t>
        </is>
      </c>
      <c r="FM4253" s="15" t="inlineStr">
        <is>
          <t>PIE ANDINO</t>
        </is>
      </c>
      <c r="FN4253" s="15" t="inlineStr">
        <is>
          <t>Pie Andino 31 (Pie Andino 383)</t>
        </is>
      </c>
      <c r="FO4253" s="15" t="inlineStr">
        <is>
          <t>Puente Alto</t>
        </is>
      </c>
      <c r="FP4253" t="inlineStr">
        <is>
          <t>B</t>
        </is>
      </c>
    </row>
    <row r="4254">
      <c r="FC4254" t="inlineStr">
        <is>
          <t>Diccionario 4</t>
        </is>
      </c>
      <c r="FD4254" s="15" t="inlineStr">
        <is>
          <t>VFRB-63|</t>
        </is>
      </c>
      <c r="FE4254" s="15" t="inlineStr">
        <is>
          <t>MDN35025020018</t>
        </is>
      </c>
      <c r="FF4254" s="15" t="inlineStr">
        <is>
          <t>LDYECS315S0044100</t>
        </is>
      </c>
      <c r="FG4254" s="15" t="inlineStr">
        <is>
          <t>Zhong Tong</t>
        </is>
      </c>
      <c r="FH4254" s="15" t="inlineStr">
        <is>
          <t>Lck6122evg</t>
        </is>
      </c>
      <c r="FI4254" s="15" t="inlineStr">
        <is>
          <t>ZHONGTONG</t>
        </is>
      </c>
      <c r="FJ4254" s="15" t="inlineStr">
        <is>
          <t>LCK6122EVG</t>
        </is>
      </c>
      <c r="FK4254" s="15" t="n">
        <v>2025</v>
      </c>
      <c r="FL4254" s="15" t="inlineStr">
        <is>
          <t>B</t>
        </is>
      </c>
      <c r="FM4254" s="15" t="inlineStr">
        <is>
          <t>SAN ALFONSO</t>
        </is>
      </c>
      <c r="FN4254" s="15" t="inlineStr">
        <is>
          <t>San Alfonso 2141 (Ramón Subercaseaux 3060)</t>
        </is>
      </c>
      <c r="FO4254" s="15" t="inlineStr">
        <is>
          <t>Estacion Central</t>
        </is>
      </c>
      <c r="FP4254" t="inlineStr">
        <is>
          <t>B</t>
        </is>
      </c>
    </row>
    <row r="4255">
      <c r="FC4255" t="inlineStr">
        <is>
          <t>Diccionario 4</t>
        </is>
      </c>
      <c r="FD4255" s="15" t="inlineStr">
        <is>
          <t>VFRB-67|</t>
        </is>
      </c>
      <c r="FE4255" s="15" t="inlineStr">
        <is>
          <t>MDN35025010216</t>
        </is>
      </c>
      <c r="FF4255" s="15" t="inlineStr">
        <is>
          <t>LDYECS318S0044107</t>
        </is>
      </c>
      <c r="FG4255" s="15" t="inlineStr">
        <is>
          <t>Zhong Tong</t>
        </is>
      </c>
      <c r="FH4255" s="15" t="inlineStr">
        <is>
          <t>Lck6122evg</t>
        </is>
      </c>
      <c r="FI4255" s="15" t="inlineStr">
        <is>
          <t>ZHONGTONG</t>
        </is>
      </c>
      <c r="FJ4255" s="15" t="inlineStr">
        <is>
          <t>LCK6122EVG</t>
        </is>
      </c>
      <c r="FK4255" s="15" t="n">
        <v>2025</v>
      </c>
      <c r="FL4255" s="15" t="inlineStr">
        <is>
          <t>B</t>
        </is>
      </c>
      <c r="FM4255" s="15" t="inlineStr">
        <is>
          <t>SAN ALFONSO</t>
        </is>
      </c>
      <c r="FN4255" s="15" t="inlineStr">
        <is>
          <t>San Alfonso 2141 (Ramón Subercaseaux 3060)</t>
        </is>
      </c>
      <c r="FO4255" s="15" t="inlineStr">
        <is>
          <t>Estacion Central</t>
        </is>
      </c>
      <c r="FP4255" t="inlineStr">
        <is>
          <t>B</t>
        </is>
      </c>
    </row>
    <row r="4256">
      <c r="FC4256" t="inlineStr">
        <is>
          <t>Diccionario 4</t>
        </is>
      </c>
      <c r="FD4256" s="15" t="inlineStr">
        <is>
          <t>VFRB-68|</t>
        </is>
      </c>
      <c r="FE4256" s="15" t="inlineStr">
        <is>
          <t>MDN35025010249</t>
        </is>
      </c>
      <c r="FF4256" s="15" t="inlineStr">
        <is>
          <t>LDYECS31XS0044092</t>
        </is>
      </c>
      <c r="FG4256" s="15" t="inlineStr">
        <is>
          <t>Zhong Tong</t>
        </is>
      </c>
      <c r="FH4256" s="15" t="inlineStr">
        <is>
          <t>Lck6122evg</t>
        </is>
      </c>
      <c r="FI4256" s="15" t="inlineStr">
        <is>
          <t>ZHONGTONG</t>
        </is>
      </c>
      <c r="FJ4256" s="15" t="inlineStr">
        <is>
          <t>LCK6122EVG</t>
        </is>
      </c>
      <c r="FK4256" s="15" t="n">
        <v>2025</v>
      </c>
      <c r="FL4256" s="15" t="inlineStr">
        <is>
          <t>B</t>
        </is>
      </c>
      <c r="FM4256" s="15" t="inlineStr">
        <is>
          <t>PIE ANDINO</t>
        </is>
      </c>
      <c r="FN4256" s="15" t="inlineStr">
        <is>
          <t>Pie Andino 31 (Pie Andino 383)</t>
        </is>
      </c>
      <c r="FO4256" s="15" t="inlineStr">
        <is>
          <t>Puente Alto</t>
        </is>
      </c>
      <c r="FP4256" t="inlineStr">
        <is>
          <t>B</t>
        </is>
      </c>
    </row>
    <row r="4257">
      <c r="FC4257" t="inlineStr">
        <is>
          <t>Diccionario 4</t>
        </is>
      </c>
      <c r="FD4257" s="15" t="inlineStr">
        <is>
          <t>VFRB-81|</t>
        </is>
      </c>
      <c r="FE4257" s="15" t="inlineStr">
        <is>
          <t>MDN35025020118</t>
        </is>
      </c>
      <c r="FF4257" s="15" t="inlineStr">
        <is>
          <t>LDYECS317S0044096</t>
        </is>
      </c>
      <c r="FG4257" s="15" t="inlineStr">
        <is>
          <t>Zhong Tong</t>
        </is>
      </c>
      <c r="FH4257" s="15" t="inlineStr">
        <is>
          <t>Lck6122evg</t>
        </is>
      </c>
      <c r="FI4257" s="15" t="inlineStr">
        <is>
          <t>ZHONGTONG</t>
        </is>
      </c>
      <c r="FJ4257" s="15" t="inlineStr">
        <is>
          <t>LCK6122EVG</t>
        </is>
      </c>
      <c r="FK4257" s="15" t="n">
        <v>2025</v>
      </c>
      <c r="FL4257" s="15" t="inlineStr">
        <is>
          <t>B</t>
        </is>
      </c>
      <c r="FM4257" s="15" t="inlineStr">
        <is>
          <t>SAN ALFONSO</t>
        </is>
      </c>
      <c r="FN4257" s="15" t="inlineStr">
        <is>
          <t>San Alfonso 2141 (Ramón Subercaseaux 3060)</t>
        </is>
      </c>
      <c r="FO4257" s="15" t="inlineStr">
        <is>
          <t>Estacion Central</t>
        </is>
      </c>
      <c r="FP4257" t="inlineStr">
        <is>
          <t>B</t>
        </is>
      </c>
    </row>
    <row r="4258">
      <c r="FC4258" t="inlineStr">
        <is>
          <t>Diccionario 4</t>
        </is>
      </c>
      <c r="FD4258" s="15" t="inlineStr">
        <is>
          <t>VFRC-75|</t>
        </is>
      </c>
      <c r="FE4258" s="15" t="inlineStr">
        <is>
          <t>MDN35025010242</t>
        </is>
      </c>
      <c r="FF4258" s="15" t="inlineStr">
        <is>
          <t>LDYECS317S0044101</t>
        </is>
      </c>
      <c r="FG4258" s="15" t="inlineStr">
        <is>
          <t>Zhong Tong</t>
        </is>
      </c>
      <c r="FH4258" s="15" t="inlineStr">
        <is>
          <t>Lck6122evg</t>
        </is>
      </c>
      <c r="FI4258" s="15" t="inlineStr">
        <is>
          <t>ZHONGTONG</t>
        </is>
      </c>
      <c r="FJ4258" s="15" t="inlineStr">
        <is>
          <t>LCK6122EVG</t>
        </is>
      </c>
      <c r="FK4258" s="15" t="n">
        <v>2025</v>
      </c>
      <c r="FL4258" s="15" t="inlineStr">
        <is>
          <t>B</t>
        </is>
      </c>
      <c r="FM4258" s="15" t="inlineStr">
        <is>
          <t>SAN ALFONSO</t>
        </is>
      </c>
      <c r="FN4258" s="15" t="inlineStr">
        <is>
          <t>San Alfonso 2141 (Ramón Subercaseaux 3060)</t>
        </is>
      </c>
      <c r="FO4258" s="15" t="inlineStr">
        <is>
          <t>Estacion Central</t>
        </is>
      </c>
      <c r="FP4258" t="inlineStr">
        <is>
          <t>B</t>
        </is>
      </c>
    </row>
    <row r="4259">
      <c r="FC4259" t="inlineStr">
        <is>
          <t>Diccionario 4</t>
        </is>
      </c>
      <c r="FD4259" s="15" t="inlineStr">
        <is>
          <t>VFRD-35|</t>
        </is>
      </c>
      <c r="FE4259" s="15" t="inlineStr">
        <is>
          <t>MDN35025020008</t>
        </is>
      </c>
      <c r="FF4259" s="15" t="inlineStr">
        <is>
          <t>LDYECS310S0044103</t>
        </is>
      </c>
      <c r="FG4259" s="15" t="inlineStr">
        <is>
          <t>Zhong Tong</t>
        </is>
      </c>
      <c r="FH4259" s="15" t="inlineStr">
        <is>
          <t>Lck6122evg</t>
        </is>
      </c>
      <c r="FI4259" s="15" t="inlineStr">
        <is>
          <t>ZHONGTONG</t>
        </is>
      </c>
      <c r="FJ4259" s="15" t="inlineStr">
        <is>
          <t>LCK6122EVG</t>
        </is>
      </c>
      <c r="FK4259" s="15" t="n">
        <v>2025</v>
      </c>
      <c r="FL4259" s="15" t="inlineStr">
        <is>
          <t>B</t>
        </is>
      </c>
      <c r="FM4259" s="15" t="inlineStr">
        <is>
          <t>PIE ANDINO</t>
        </is>
      </c>
      <c r="FN4259" s="15" t="inlineStr">
        <is>
          <t>Pie Andino 31 (Pie Andino 383)</t>
        </is>
      </c>
      <c r="FO4259" s="15" t="inlineStr">
        <is>
          <t>Puente Alto</t>
        </is>
      </c>
      <c r="FP4259" t="inlineStr">
        <is>
          <t>B</t>
        </is>
      </c>
    </row>
    <row r="4260">
      <c r="FC4260" t="inlineStr">
        <is>
          <t>Diccionario 4</t>
        </is>
      </c>
      <c r="FD4260" s="15" t="inlineStr">
        <is>
          <t>VFRD-45|</t>
        </is>
      </c>
      <c r="FE4260" s="15" t="inlineStr">
        <is>
          <t>MDN35025020020</t>
        </is>
      </c>
      <c r="FF4260" s="15" t="inlineStr">
        <is>
          <t>LDYECS310S0044098</t>
        </is>
      </c>
      <c r="FG4260" s="15" t="inlineStr">
        <is>
          <t>Zhong Tong</t>
        </is>
      </c>
      <c r="FH4260" s="15" t="inlineStr">
        <is>
          <t>Lck6122evg</t>
        </is>
      </c>
      <c r="FI4260" s="15" t="inlineStr">
        <is>
          <t>ZHONGTONG</t>
        </is>
      </c>
      <c r="FJ4260" s="15" t="inlineStr">
        <is>
          <t>LCK6122EVG</t>
        </is>
      </c>
      <c r="FK4260" s="15" t="n">
        <v>2025</v>
      </c>
      <c r="FL4260" s="15" t="inlineStr">
        <is>
          <t>B</t>
        </is>
      </c>
      <c r="FM4260" s="15" t="inlineStr">
        <is>
          <t>SAN ALFONSO</t>
        </is>
      </c>
      <c r="FN4260" s="15" t="inlineStr">
        <is>
          <t>San Alfonso 2141 (Ramón Subercaseaux 3060)</t>
        </is>
      </c>
      <c r="FO4260" s="15" t="inlineStr">
        <is>
          <t>Estacion Central</t>
        </is>
      </c>
      <c r="FP4260" t="inlineStr">
        <is>
          <t>B</t>
        </is>
      </c>
    </row>
    <row r="4261">
      <c r="FC4261" t="inlineStr">
        <is>
          <t>Diccionario 4</t>
        </is>
      </c>
      <c r="FD4261" s="15" t="inlineStr">
        <is>
          <t>VFRD-55|</t>
        </is>
      </c>
      <c r="FE4261" s="15" t="inlineStr">
        <is>
          <t>MDN35025010252</t>
        </is>
      </c>
      <c r="FF4261" s="15" t="inlineStr">
        <is>
          <t>LDYECS311S0044093</t>
        </is>
      </c>
      <c r="FG4261" s="15" t="inlineStr">
        <is>
          <t>Zhong Tong</t>
        </is>
      </c>
      <c r="FH4261" s="15" t="inlineStr">
        <is>
          <t>Lck6122evg</t>
        </is>
      </c>
      <c r="FI4261" s="15" t="inlineStr">
        <is>
          <t>ZHONGTONG</t>
        </is>
      </c>
      <c r="FJ4261" s="15" t="inlineStr">
        <is>
          <t>LCK6122EVG</t>
        </is>
      </c>
      <c r="FK4261" s="15" t="n">
        <v>2025</v>
      </c>
      <c r="FL4261" s="15" t="inlineStr">
        <is>
          <t>B</t>
        </is>
      </c>
      <c r="FM4261" s="15" t="inlineStr">
        <is>
          <t>PIE ANDINO</t>
        </is>
      </c>
      <c r="FN4261" s="15" t="inlineStr">
        <is>
          <t>Pie Andino 31 (Pie Andino 383)</t>
        </is>
      </c>
      <c r="FO4261" s="15" t="inlineStr">
        <is>
          <t>Puente Alto</t>
        </is>
      </c>
      <c r="FP4261" t="inlineStr">
        <is>
          <t>B</t>
        </is>
      </c>
    </row>
    <row r="4262">
      <c r="FC4262" t="inlineStr">
        <is>
          <t>Diccionario 4</t>
        </is>
      </c>
      <c r="FD4262" s="15" t="inlineStr">
        <is>
          <t>VFRD-65|</t>
        </is>
      </c>
      <c r="FE4262" s="15" t="inlineStr">
        <is>
          <t>MDN35025020014</t>
        </is>
      </c>
      <c r="FF4262" s="15" t="inlineStr">
        <is>
          <t>LDYECS318S0044091</t>
        </is>
      </c>
      <c r="FG4262" s="15" t="inlineStr">
        <is>
          <t>Zhong Tong</t>
        </is>
      </c>
      <c r="FH4262" s="15" t="inlineStr">
        <is>
          <t>Lck6122evg</t>
        </is>
      </c>
      <c r="FI4262" s="15" t="inlineStr">
        <is>
          <t>ZHONGTONG</t>
        </is>
      </c>
      <c r="FJ4262" s="15" t="inlineStr">
        <is>
          <t>LCK6122EVG</t>
        </is>
      </c>
      <c r="FK4262" s="15" t="n">
        <v>2025</v>
      </c>
      <c r="FL4262" s="15" t="inlineStr">
        <is>
          <t>B</t>
        </is>
      </c>
      <c r="FM4262" s="15" t="inlineStr">
        <is>
          <t>PIE ANDINO</t>
        </is>
      </c>
      <c r="FN4262" s="15" t="inlineStr">
        <is>
          <t>Pie Andino 31 (Pie Andino 383)</t>
        </is>
      </c>
      <c r="FO4262" s="15" t="inlineStr">
        <is>
          <t>Puente Alto</t>
        </is>
      </c>
      <c r="FP4262" t="inlineStr">
        <is>
          <t>B</t>
        </is>
      </c>
    </row>
    <row r="4263">
      <c r="FC4263" t="inlineStr">
        <is>
          <t>Diccionario 4</t>
        </is>
      </c>
      <c r="FD4263" s="15" t="inlineStr">
        <is>
          <t>VFRD-75|</t>
        </is>
      </c>
      <c r="FE4263" s="15" t="inlineStr">
        <is>
          <t>MDN35025020004</t>
        </is>
      </c>
      <c r="FF4263" s="15" t="inlineStr">
        <is>
          <t>LDYECS314S0044105</t>
        </is>
      </c>
      <c r="FG4263" s="15" t="inlineStr">
        <is>
          <t>Zhong Tong</t>
        </is>
      </c>
      <c r="FH4263" s="15" t="inlineStr">
        <is>
          <t>Lck6122evg</t>
        </is>
      </c>
      <c r="FI4263" s="15" t="inlineStr">
        <is>
          <t>ZHONGTONG</t>
        </is>
      </c>
      <c r="FJ4263" s="15" t="inlineStr">
        <is>
          <t>LCK6122EVG</t>
        </is>
      </c>
      <c r="FK4263" s="15" t="n">
        <v>2025</v>
      </c>
      <c r="FL4263" s="15" t="inlineStr">
        <is>
          <t>B</t>
        </is>
      </c>
      <c r="FM4263" s="15" t="inlineStr">
        <is>
          <t>SAN ALFONSO</t>
        </is>
      </c>
      <c r="FN4263" s="15" t="inlineStr">
        <is>
          <t>San Alfonso 2141 (Ramón Subercaseaux 3060)</t>
        </is>
      </c>
      <c r="FO4263" s="15" t="inlineStr">
        <is>
          <t>Estacion Central</t>
        </is>
      </c>
      <c r="FP4263" t="inlineStr">
        <is>
          <t>B</t>
        </is>
      </c>
    </row>
    <row r="4264">
      <c r="FC4264" t="inlineStr">
        <is>
          <t>Diccionario 4</t>
        </is>
      </c>
      <c r="FD4264" s="15" t="inlineStr">
        <is>
          <t>VFRD-85|</t>
        </is>
      </c>
      <c r="FE4264" s="15" t="inlineStr">
        <is>
          <t>MDN35025010245</t>
        </is>
      </c>
      <c r="FF4264" s="15" t="inlineStr">
        <is>
          <t>LDYECS312S0044099</t>
        </is>
      </c>
      <c r="FG4264" s="15" t="inlineStr">
        <is>
          <t>Zhong Tong</t>
        </is>
      </c>
      <c r="FH4264" s="15" t="inlineStr">
        <is>
          <t>Lck6122evg</t>
        </is>
      </c>
      <c r="FI4264" s="15" t="inlineStr">
        <is>
          <t>ZHONGTONG</t>
        </is>
      </c>
      <c r="FJ4264" s="15" t="inlineStr">
        <is>
          <t>LCK6122EVG</t>
        </is>
      </c>
      <c r="FK4264" s="15" t="n">
        <v>2025</v>
      </c>
      <c r="FL4264" s="15" t="inlineStr">
        <is>
          <t>B</t>
        </is>
      </c>
      <c r="FM4264" s="15" t="inlineStr">
        <is>
          <t>PIE ANDINO</t>
        </is>
      </c>
      <c r="FN4264" s="15" t="inlineStr">
        <is>
          <t>Pie Andino 31 (Pie Andino 383)</t>
        </is>
      </c>
      <c r="FO4264" s="15" t="inlineStr">
        <is>
          <t>Puente Alto</t>
        </is>
      </c>
      <c r="FP4264" t="inlineStr">
        <is>
          <t>B</t>
        </is>
      </c>
    </row>
    <row r="4265">
      <c r="FC4265" t="inlineStr">
        <is>
          <t>Diccionario 4</t>
        </is>
      </c>
      <c r="FD4265" s="15" t="inlineStr">
        <is>
          <t>VFRD-95|</t>
        </is>
      </c>
      <c r="FE4265" s="15" t="inlineStr">
        <is>
          <t>MDN35025010043</t>
        </is>
      </c>
      <c r="FF4265" s="15" t="inlineStr">
        <is>
          <t>LDYECS316S0043831</t>
        </is>
      </c>
      <c r="FG4265" s="15" t="inlineStr">
        <is>
          <t>Zhong Tong</t>
        </is>
      </c>
      <c r="FH4265" s="15" t="inlineStr">
        <is>
          <t>Lck6122evg</t>
        </is>
      </c>
      <c r="FI4265" s="15" t="inlineStr">
        <is>
          <t>ZHONGTONG</t>
        </is>
      </c>
      <c r="FJ4265" s="15" t="inlineStr">
        <is>
          <t>LCK6122EVG</t>
        </is>
      </c>
      <c r="FK4265" s="15" t="n">
        <v>2025</v>
      </c>
      <c r="FL4265" s="15" t="inlineStr">
        <is>
          <t>B</t>
        </is>
      </c>
      <c r="FM4265" s="15" t="inlineStr">
        <is>
          <t>PIE ANDINO</t>
        </is>
      </c>
      <c r="FN4265" s="15" t="inlineStr">
        <is>
          <t>Pie Andino 31 (Pie Andino 383)</t>
        </is>
      </c>
      <c r="FO4265" s="15" t="inlineStr">
        <is>
          <t>Puente Alto</t>
        </is>
      </c>
      <c r="FP4265" t="inlineStr">
        <is>
          <t>B</t>
        </is>
      </c>
    </row>
    <row r="4266">
      <c r="FC4266" t="inlineStr">
        <is>
          <t>Diccionario 4</t>
        </is>
      </c>
      <c r="FD4266" s="15" t="inlineStr">
        <is>
          <t>VFRF-15|</t>
        </is>
      </c>
      <c r="FE4266" s="15" t="inlineStr">
        <is>
          <t>MDN35025010020</t>
        </is>
      </c>
      <c r="FF4266" s="15" t="inlineStr">
        <is>
          <t>LDYECS31XS0043833</t>
        </is>
      </c>
      <c r="FG4266" s="15" t="inlineStr">
        <is>
          <t>Zhong Tong</t>
        </is>
      </c>
      <c r="FH4266" s="15" t="inlineStr">
        <is>
          <t>Lck6122evg</t>
        </is>
      </c>
      <c r="FI4266" s="15" t="inlineStr">
        <is>
          <t>ZHONGTONG</t>
        </is>
      </c>
      <c r="FJ4266" s="15" t="inlineStr">
        <is>
          <t>LCK6122EVG</t>
        </is>
      </c>
      <c r="FK4266" s="15" t="n">
        <v>2025</v>
      </c>
      <c r="FL4266" s="15" t="inlineStr">
        <is>
          <t>B</t>
        </is>
      </c>
      <c r="FM4266" s="15" t="inlineStr">
        <is>
          <t>CERRILLOS</t>
        </is>
      </c>
      <c r="FN4266" s="15" t="inlineStr">
        <is>
          <t>Calle Uno 7371</t>
        </is>
      </c>
      <c r="FO4266" s="15" t="inlineStr">
        <is>
          <t>Cerrillos</t>
        </is>
      </c>
      <c r="FP4266" t="inlineStr">
        <is>
          <t>B</t>
        </is>
      </c>
    </row>
    <row r="4267">
      <c r="FC4267" t="inlineStr">
        <is>
          <t>Diccionario 4</t>
        </is>
      </c>
      <c r="FD4267" s="15" t="inlineStr">
        <is>
          <t>VFRF-35|</t>
        </is>
      </c>
      <c r="FE4267" s="15" t="inlineStr">
        <is>
          <t>MDN35025010239</t>
        </is>
      </c>
      <c r="FF4267" s="15" t="inlineStr">
        <is>
          <t>LDYECS311S0043834</t>
        </is>
      </c>
      <c r="FG4267" s="15" t="inlineStr">
        <is>
          <t>Zhong Tong</t>
        </is>
      </c>
      <c r="FH4267" s="15" t="inlineStr">
        <is>
          <t>Lck6122evg</t>
        </is>
      </c>
      <c r="FI4267" s="15" t="inlineStr">
        <is>
          <t>ZHONGTONG</t>
        </is>
      </c>
      <c r="FJ4267" s="15" t="inlineStr">
        <is>
          <t>LCK6122EVG</t>
        </is>
      </c>
      <c r="FK4267" s="15" t="n">
        <v>2025</v>
      </c>
      <c r="FL4267" s="15" t="inlineStr">
        <is>
          <t>B</t>
        </is>
      </c>
      <c r="FM4267" s="15" t="inlineStr">
        <is>
          <t>PIE ANDINO</t>
        </is>
      </c>
      <c r="FN4267" s="15" t="inlineStr">
        <is>
          <t>Pie Andino 31 (Pie Andino 383)</t>
        </is>
      </c>
      <c r="FO4267" s="15" t="inlineStr">
        <is>
          <t>Puente Alto</t>
        </is>
      </c>
      <c r="FP4267" t="inlineStr">
        <is>
          <t>B</t>
        </is>
      </c>
    </row>
    <row r="4268">
      <c r="FC4268" t="inlineStr">
        <is>
          <t>Diccionario 4</t>
        </is>
      </c>
      <c r="FD4268" s="15" t="inlineStr">
        <is>
          <t>VFRF-55|</t>
        </is>
      </c>
      <c r="FE4268" s="15" t="inlineStr">
        <is>
          <t>MDN35025010027</t>
        </is>
      </c>
      <c r="FF4268" s="15" t="inlineStr">
        <is>
          <t>LDYECS314S0043830</t>
        </is>
      </c>
      <c r="FG4268" s="15" t="inlineStr">
        <is>
          <t>Zhong Tong</t>
        </is>
      </c>
      <c r="FH4268" s="15" t="inlineStr">
        <is>
          <t>Lck6122evg</t>
        </is>
      </c>
      <c r="FI4268" s="15" t="inlineStr">
        <is>
          <t>ZHONGTONG</t>
        </is>
      </c>
      <c r="FJ4268" s="15" t="inlineStr">
        <is>
          <t>LCK6122EVG</t>
        </is>
      </c>
      <c r="FK4268" s="15" t="n">
        <v>2025</v>
      </c>
      <c r="FL4268" s="15" t="inlineStr">
        <is>
          <t>B</t>
        </is>
      </c>
      <c r="FM4268" s="15" t="inlineStr">
        <is>
          <t>CERRILLOS</t>
        </is>
      </c>
      <c r="FN4268" s="15" t="inlineStr">
        <is>
          <t>Calle Uno 7371</t>
        </is>
      </c>
      <c r="FO4268" s="15" t="inlineStr">
        <is>
          <t>Cerrillos</t>
        </is>
      </c>
      <c r="FP4268" t="inlineStr">
        <is>
          <t>B</t>
        </is>
      </c>
    </row>
    <row r="4269">
      <c r="FC4269" t="inlineStr">
        <is>
          <t>Diccionario 4</t>
        </is>
      </c>
      <c r="FD4269" s="15" t="inlineStr">
        <is>
          <t>VFRF-65|</t>
        </is>
      </c>
      <c r="FE4269" s="15" t="inlineStr">
        <is>
          <t>MDN35025010024</t>
        </is>
      </c>
      <c r="FF4269" s="15" t="inlineStr">
        <is>
          <t>LDYECS319S0043824</t>
        </is>
      </c>
      <c r="FG4269" s="15" t="inlineStr">
        <is>
          <t>Zhong Tong</t>
        </is>
      </c>
      <c r="FH4269" s="15" t="inlineStr">
        <is>
          <t>Lck6122evg</t>
        </is>
      </c>
      <c r="FI4269" s="15" t="inlineStr">
        <is>
          <t>ZHONGTONG</t>
        </is>
      </c>
      <c r="FJ4269" s="15" t="inlineStr">
        <is>
          <t>LCK6122EVG</t>
        </is>
      </c>
      <c r="FK4269" s="15" t="n">
        <v>2025</v>
      </c>
      <c r="FL4269" s="15" t="inlineStr">
        <is>
          <t>B</t>
        </is>
      </c>
      <c r="FM4269" s="15" t="inlineStr">
        <is>
          <t>PIE ANDINO</t>
        </is>
      </c>
      <c r="FN4269" s="15" t="inlineStr">
        <is>
          <t>Pie Andino 31 (Pie Andino 383)</t>
        </is>
      </c>
      <c r="FO4269" s="15" t="inlineStr">
        <is>
          <t>Puente Alto</t>
        </is>
      </c>
      <c r="FP4269" t="inlineStr">
        <is>
          <t>B</t>
        </is>
      </c>
    </row>
    <row r="4270">
      <c r="FC4270" t="inlineStr">
        <is>
          <t>Diccionario 4</t>
        </is>
      </c>
      <c r="FD4270" s="15" t="inlineStr">
        <is>
          <t>VFRF-75|</t>
        </is>
      </c>
      <c r="FE4270" s="15" t="inlineStr">
        <is>
          <t>MDN35025010042</t>
        </is>
      </c>
      <c r="FF4270" s="15" t="inlineStr">
        <is>
          <t>LDYECS317S0043823</t>
        </is>
      </c>
      <c r="FG4270" s="15" t="inlineStr">
        <is>
          <t>Zhong Tong</t>
        </is>
      </c>
      <c r="FH4270" s="15" t="inlineStr">
        <is>
          <t>Lck6122evg</t>
        </is>
      </c>
      <c r="FI4270" s="15" t="inlineStr">
        <is>
          <t>ZHONGTONG</t>
        </is>
      </c>
      <c r="FJ4270" s="15" t="inlineStr">
        <is>
          <t>LCK6122EVG</t>
        </is>
      </c>
      <c r="FK4270" s="15" t="n">
        <v>2025</v>
      </c>
      <c r="FL4270" s="15" t="inlineStr">
        <is>
          <t>B</t>
        </is>
      </c>
      <c r="FM4270" s="15" t="inlineStr">
        <is>
          <t>PIE ANDINO</t>
        </is>
      </c>
      <c r="FN4270" s="15" t="inlineStr">
        <is>
          <t>Pie Andino 31 (Pie Andino 383)</t>
        </is>
      </c>
      <c r="FO4270" s="15" t="inlineStr">
        <is>
          <t>Puente Alto</t>
        </is>
      </c>
      <c r="FP4270" t="inlineStr">
        <is>
          <t>B</t>
        </is>
      </c>
    </row>
    <row r="4271">
      <c r="FC4271" t="inlineStr">
        <is>
          <t>Diccionario 4</t>
        </is>
      </c>
      <c r="FD4271" s="15" t="inlineStr">
        <is>
          <t>VFRF-85|</t>
        </is>
      </c>
      <c r="FE4271" s="15" t="inlineStr">
        <is>
          <t>MDN35025010034</t>
        </is>
      </c>
      <c r="FF4271" s="15" t="inlineStr">
        <is>
          <t>LDYECS310S0043839</t>
        </is>
      </c>
      <c r="FG4271" s="15" t="inlineStr">
        <is>
          <t>Zhong Tong</t>
        </is>
      </c>
      <c r="FH4271" s="15" t="inlineStr">
        <is>
          <t>Lck6122evg</t>
        </is>
      </c>
      <c r="FI4271" s="15" t="inlineStr">
        <is>
          <t>ZHONGTONG</t>
        </is>
      </c>
      <c r="FJ4271" s="15" t="inlineStr">
        <is>
          <t>LCK6122EVG</t>
        </is>
      </c>
      <c r="FK4271" s="15" t="n">
        <v>2025</v>
      </c>
      <c r="FL4271" s="15" t="inlineStr">
        <is>
          <t>B</t>
        </is>
      </c>
      <c r="FM4271" s="15" t="inlineStr">
        <is>
          <t>PIE ANDINO</t>
        </is>
      </c>
      <c r="FN4271" s="15" t="inlineStr">
        <is>
          <t>Pie Andino 31 (Pie Andino 383)</t>
        </is>
      </c>
      <c r="FO4271" s="15" t="inlineStr">
        <is>
          <t>Puente Alto</t>
        </is>
      </c>
      <c r="FP4271" t="inlineStr">
        <is>
          <t>B</t>
        </is>
      </c>
    </row>
    <row r="4272">
      <c r="FC4272" t="inlineStr">
        <is>
          <t>Diccionario 4</t>
        </is>
      </c>
      <c r="FD4272" s="15" t="inlineStr">
        <is>
          <t>VFRF-95|</t>
        </is>
      </c>
      <c r="FE4272" s="15" t="inlineStr">
        <is>
          <t>MDN35025020016</t>
        </is>
      </c>
      <c r="FF4272" s="15" t="inlineStr">
        <is>
          <t>LDYECS311S0043820</t>
        </is>
      </c>
      <c r="FG4272" s="15" t="inlineStr">
        <is>
          <t>Zhong Tong</t>
        </is>
      </c>
      <c r="FH4272" s="15" t="inlineStr">
        <is>
          <t>Lck6122evg</t>
        </is>
      </c>
      <c r="FI4272" s="15" t="inlineStr">
        <is>
          <t>ZHONGTONG</t>
        </is>
      </c>
      <c r="FJ4272" s="15" t="inlineStr">
        <is>
          <t>LCK6122EVG</t>
        </is>
      </c>
      <c r="FK4272" s="15" t="n">
        <v>2025</v>
      </c>
      <c r="FL4272" s="15" t="inlineStr">
        <is>
          <t>B</t>
        </is>
      </c>
      <c r="FM4272" s="15" t="inlineStr">
        <is>
          <t>PIE ANDINO</t>
        </is>
      </c>
      <c r="FN4272" s="15" t="inlineStr">
        <is>
          <t>Pie Andino 31 (Pie Andino 383)</t>
        </is>
      </c>
      <c r="FO4272" s="15" t="inlineStr">
        <is>
          <t>Puente Alto</t>
        </is>
      </c>
      <c r="FP4272" t="inlineStr">
        <is>
          <t>B</t>
        </is>
      </c>
    </row>
    <row r="4273">
      <c r="FC4273" t="inlineStr">
        <is>
          <t>Diccionario 4</t>
        </is>
      </c>
      <c r="FD4273" s="15" t="inlineStr">
        <is>
          <t>VFRG-15|</t>
        </is>
      </c>
      <c r="FE4273" s="15" t="inlineStr">
        <is>
          <t>MDN35025010090</t>
        </is>
      </c>
      <c r="FF4273" s="15" t="inlineStr">
        <is>
          <t>LDYECS315S0043822</t>
        </is>
      </c>
      <c r="FG4273" s="15" t="inlineStr">
        <is>
          <t>Zhong Tong</t>
        </is>
      </c>
      <c r="FH4273" s="15" t="inlineStr">
        <is>
          <t>Lck6122evg</t>
        </is>
      </c>
      <c r="FI4273" s="15" t="inlineStr">
        <is>
          <t>ZHONGTONG</t>
        </is>
      </c>
      <c r="FJ4273" s="15" t="inlineStr">
        <is>
          <t>LCK6122EVG</t>
        </is>
      </c>
      <c r="FK4273" s="15" t="n">
        <v>2025</v>
      </c>
      <c r="FL4273" s="15" t="inlineStr">
        <is>
          <t>B</t>
        </is>
      </c>
      <c r="FM4273" s="15" t="inlineStr">
        <is>
          <t>CERRILLOS</t>
        </is>
      </c>
      <c r="FN4273" s="15" t="inlineStr">
        <is>
          <t>Calle Uno 7371</t>
        </is>
      </c>
      <c r="FO4273" s="15" t="inlineStr">
        <is>
          <t>Cerrillos</t>
        </is>
      </c>
      <c r="FP4273" t="inlineStr">
        <is>
          <t>B</t>
        </is>
      </c>
    </row>
    <row r="4274">
      <c r="FC4274" t="inlineStr">
        <is>
          <t>Diccionario 4</t>
        </is>
      </c>
      <c r="FD4274" s="15" t="inlineStr">
        <is>
          <t>VFRG-25|</t>
        </is>
      </c>
      <c r="FE4274" s="15" t="inlineStr">
        <is>
          <t>MDN35025020041</t>
        </is>
      </c>
      <c r="FF4274" s="15" t="inlineStr">
        <is>
          <t>LDYECS319S0044097</t>
        </is>
      </c>
      <c r="FG4274" s="15" t="inlineStr">
        <is>
          <t>Zhong Tong</t>
        </is>
      </c>
      <c r="FH4274" s="15" t="inlineStr">
        <is>
          <t>Lck6122evg</t>
        </is>
      </c>
      <c r="FI4274" s="15" t="inlineStr">
        <is>
          <t>ZHONGTONG</t>
        </is>
      </c>
      <c r="FJ4274" s="15" t="inlineStr">
        <is>
          <t>LCK6122EVG</t>
        </is>
      </c>
      <c r="FK4274" s="15" t="n">
        <v>2025</v>
      </c>
      <c r="FL4274" s="15" t="inlineStr">
        <is>
          <t>B</t>
        </is>
      </c>
      <c r="FM4274" s="15" t="inlineStr">
        <is>
          <t>PIE ANDINO</t>
        </is>
      </c>
      <c r="FN4274" s="15" t="inlineStr">
        <is>
          <t>Pie Andino 31 (Pie Andino 383)</t>
        </is>
      </c>
      <c r="FO4274" s="15" t="inlineStr">
        <is>
          <t>Puente Alto</t>
        </is>
      </c>
      <c r="FP4274" t="inlineStr">
        <is>
          <t>B</t>
        </is>
      </c>
    </row>
    <row r="4275">
      <c r="FC4275" t="inlineStr">
        <is>
          <t>Diccionario 4</t>
        </is>
      </c>
      <c r="FD4275" s="15" t="inlineStr">
        <is>
          <t>VFRG-35|</t>
        </is>
      </c>
      <c r="FE4275" s="15" t="inlineStr">
        <is>
          <t>MDN35025010093</t>
        </is>
      </c>
      <c r="FF4275" s="15" t="inlineStr">
        <is>
          <t>LDYECS318S0043846</t>
        </is>
      </c>
      <c r="FG4275" s="15" t="inlineStr">
        <is>
          <t>Zhong Tong</t>
        </is>
      </c>
      <c r="FH4275" s="15" t="inlineStr">
        <is>
          <t>Lck6122evg</t>
        </is>
      </c>
      <c r="FI4275" s="15" t="inlineStr">
        <is>
          <t>ZHONGTONG</t>
        </is>
      </c>
      <c r="FJ4275" s="15" t="inlineStr">
        <is>
          <t>LCK6122EVG</t>
        </is>
      </c>
      <c r="FK4275" s="15" t="n">
        <v>2025</v>
      </c>
      <c r="FL4275" s="15" t="inlineStr">
        <is>
          <t>B</t>
        </is>
      </c>
      <c r="FM4275" s="15" t="inlineStr">
        <is>
          <t>PIE ANDINO</t>
        </is>
      </c>
      <c r="FN4275" s="15" t="inlineStr">
        <is>
          <t>Pie Andino 31 (Pie Andino 383)</t>
        </is>
      </c>
      <c r="FO4275" s="15" t="inlineStr">
        <is>
          <t>Puente Alto</t>
        </is>
      </c>
      <c r="FP4275" t="inlineStr">
        <is>
          <t>B</t>
        </is>
      </c>
    </row>
    <row r="4276">
      <c r="FC4276" t="inlineStr">
        <is>
          <t>Diccionario 4</t>
        </is>
      </c>
      <c r="FD4276" s="15" t="inlineStr">
        <is>
          <t>VFRG-45|</t>
        </is>
      </c>
      <c r="FE4276" s="15" t="inlineStr">
        <is>
          <t>MDN35025010087</t>
        </is>
      </c>
      <c r="FF4276" s="15" t="inlineStr">
        <is>
          <t>LDYECS318S0043829</t>
        </is>
      </c>
      <c r="FG4276" s="15" t="inlineStr">
        <is>
          <t>Zhong Tong</t>
        </is>
      </c>
      <c r="FH4276" s="15" t="inlineStr">
        <is>
          <t>Lck6122evg</t>
        </is>
      </c>
      <c r="FI4276" s="15" t="inlineStr">
        <is>
          <t>ZHONGTONG</t>
        </is>
      </c>
      <c r="FJ4276" s="15" t="inlineStr">
        <is>
          <t>LCK6122EVG</t>
        </is>
      </c>
      <c r="FK4276" s="15" t="n">
        <v>2025</v>
      </c>
      <c r="FL4276" s="15" t="inlineStr">
        <is>
          <t>B</t>
        </is>
      </c>
      <c r="FM4276" s="15" t="inlineStr">
        <is>
          <t>PIE ANDINO</t>
        </is>
      </c>
      <c r="FN4276" s="15" t="inlineStr">
        <is>
          <t>Pie Andino 31 (Pie Andino 383)</t>
        </is>
      </c>
      <c r="FO4276" s="15" t="inlineStr">
        <is>
          <t>Puente Alto</t>
        </is>
      </c>
      <c r="FP4276" t="inlineStr">
        <is>
          <t>B</t>
        </is>
      </c>
    </row>
    <row r="4277">
      <c r="FC4277" t="inlineStr">
        <is>
          <t>Diccionario 4</t>
        </is>
      </c>
      <c r="FD4277" s="15" t="inlineStr">
        <is>
          <t>VGBS-15|</t>
        </is>
      </c>
      <c r="FE4277" s="15" t="inlineStr">
        <is>
          <t>MDN35025010031</t>
        </is>
      </c>
      <c r="FF4277" s="15" t="inlineStr">
        <is>
          <t>LDYECS318S0043832</t>
        </is>
      </c>
      <c r="FG4277" s="15" t="inlineStr">
        <is>
          <t>Zhong Tong</t>
        </is>
      </c>
      <c r="FH4277" s="15" t="inlineStr">
        <is>
          <t>Lck6122evg</t>
        </is>
      </c>
      <c r="FI4277" s="15" t="inlineStr">
        <is>
          <t>ZHONGTONG</t>
        </is>
      </c>
      <c r="FJ4277" s="15" t="inlineStr">
        <is>
          <t>LCK6122EVG</t>
        </is>
      </c>
      <c r="FK4277" s="15" t="n">
        <v>2025</v>
      </c>
      <c r="FL4277" s="15" t="inlineStr">
        <is>
          <t>B</t>
        </is>
      </c>
      <c r="FM4277" s="15" t="inlineStr">
        <is>
          <t>SAN ALFONSO</t>
        </is>
      </c>
      <c r="FN4277" s="15" t="inlineStr">
        <is>
          <t>San Alfonso 2141 (Ramón Subercaseaux 3060)</t>
        </is>
      </c>
      <c r="FO4277" s="15" t="inlineStr">
        <is>
          <t>Estacion Central</t>
        </is>
      </c>
      <c r="FP4277" t="inlineStr">
        <is>
          <t>B</t>
        </is>
      </c>
    </row>
    <row r="4278">
      <c r="FC4278" t="inlineStr">
        <is>
          <t>Diccionario 4</t>
        </is>
      </c>
      <c r="FD4278" s="15" t="inlineStr">
        <is>
          <t>VGBV-29|</t>
        </is>
      </c>
      <c r="FE4278" s="15" t="inlineStr">
        <is>
          <t>MDN35025010251</t>
        </is>
      </c>
      <c r="FF4278" s="15" t="inlineStr">
        <is>
          <t>LDYECS314S0043844</t>
        </is>
      </c>
      <c r="FG4278" s="15" t="inlineStr">
        <is>
          <t>Zhong Tong</t>
        </is>
      </c>
      <c r="FH4278" s="15" t="inlineStr">
        <is>
          <t>Lck6122evg</t>
        </is>
      </c>
      <c r="FI4278" s="15" t="inlineStr">
        <is>
          <t>ZHONGTONG</t>
        </is>
      </c>
      <c r="FJ4278" s="15" t="inlineStr">
        <is>
          <t>LCK6122EVG</t>
        </is>
      </c>
      <c r="FK4278" s="15" t="n">
        <v>2025</v>
      </c>
      <c r="FL4278" s="15" t="inlineStr">
        <is>
          <t>B</t>
        </is>
      </c>
      <c r="FM4278" s="15" t="inlineStr">
        <is>
          <t>SAN ALFONSO</t>
        </is>
      </c>
      <c r="FN4278" s="15" t="inlineStr">
        <is>
          <t>San Alfonso 2141 (Ramón Subercaseaux 3060)</t>
        </is>
      </c>
      <c r="FO4278" s="15" t="inlineStr">
        <is>
          <t>Estacion Central</t>
        </is>
      </c>
      <c r="FP4278" t="inlineStr">
        <is>
          <t>B</t>
        </is>
      </c>
    </row>
    <row r="4279">
      <c r="FC4279" t="inlineStr">
        <is>
          <t>Diccionario 4</t>
        </is>
      </c>
      <c r="FD4279" s="15" t="inlineStr">
        <is>
          <t>VGBV-35|</t>
        </is>
      </c>
      <c r="FE4279" s="15" t="inlineStr">
        <is>
          <t>MDN35025010092</t>
        </is>
      </c>
      <c r="FF4279" s="15" t="inlineStr">
        <is>
          <t>LDYECS316S0043828</t>
        </is>
      </c>
      <c r="FG4279" s="15" t="inlineStr">
        <is>
          <t>Zhong Tong</t>
        </is>
      </c>
      <c r="FH4279" s="15" t="inlineStr">
        <is>
          <t>Lck6122evg</t>
        </is>
      </c>
      <c r="FI4279" s="15" t="inlineStr">
        <is>
          <t>ZHONGTONG</t>
        </is>
      </c>
      <c r="FJ4279" s="15" t="inlineStr">
        <is>
          <t>LCK6122EVG</t>
        </is>
      </c>
      <c r="FK4279" s="15" t="n">
        <v>2025</v>
      </c>
      <c r="FL4279" s="15" t="inlineStr">
        <is>
          <t>B</t>
        </is>
      </c>
      <c r="FM4279" s="15" t="inlineStr">
        <is>
          <t>SAN ALFONSO</t>
        </is>
      </c>
      <c r="FN4279" s="15" t="inlineStr">
        <is>
          <t>San Alfonso 2141 (Ramón Subercaseaux 3060)</t>
        </is>
      </c>
      <c r="FO4279" s="15" t="inlineStr">
        <is>
          <t>Estacion Central</t>
        </is>
      </c>
      <c r="FP4279" t="inlineStr">
        <is>
          <t>B</t>
        </is>
      </c>
    </row>
    <row r="4280">
      <c r="FC4280" t="inlineStr">
        <is>
          <t>Diccionario 4</t>
        </is>
      </c>
      <c r="FD4280" s="15" t="inlineStr">
        <is>
          <t>VGBV-36|</t>
        </is>
      </c>
      <c r="FE4280" s="15" t="inlineStr">
        <is>
          <t>MDN35025010241</t>
        </is>
      </c>
      <c r="FF4280" s="15" t="inlineStr">
        <is>
          <t>LDYECS312S0043843</t>
        </is>
      </c>
      <c r="FG4280" s="15" t="inlineStr">
        <is>
          <t>Zhong Tong</t>
        </is>
      </c>
      <c r="FH4280" s="15" t="inlineStr">
        <is>
          <t>Lck6122evg</t>
        </is>
      </c>
      <c r="FI4280" s="15" t="inlineStr">
        <is>
          <t>ZHONGTONG</t>
        </is>
      </c>
      <c r="FJ4280" s="15" t="inlineStr">
        <is>
          <t>LCK6122EVG</t>
        </is>
      </c>
      <c r="FK4280" s="15" t="n">
        <v>2025</v>
      </c>
      <c r="FL4280" s="15" t="inlineStr">
        <is>
          <t>B</t>
        </is>
      </c>
      <c r="FM4280" s="15" t="inlineStr">
        <is>
          <t>PIE ANDINO</t>
        </is>
      </c>
      <c r="FN4280" s="15" t="inlineStr">
        <is>
          <t>Pie Andino 31 (Pie Andino 383)</t>
        </is>
      </c>
      <c r="FO4280" s="15" t="inlineStr">
        <is>
          <t>Puente Alto</t>
        </is>
      </c>
      <c r="FP4280" t="inlineStr">
        <is>
          <t>B</t>
        </is>
      </c>
    </row>
    <row r="4281">
      <c r="FC4281" t="inlineStr">
        <is>
          <t>Diccionario 4</t>
        </is>
      </c>
      <c r="FD4281" s="15" t="inlineStr">
        <is>
          <t>VGBV-41|</t>
        </is>
      </c>
      <c r="FE4281" s="15" t="inlineStr">
        <is>
          <t>MDN35025010100</t>
        </is>
      </c>
      <c r="FF4281" s="15" t="inlineStr">
        <is>
          <t>LDYECS319S0043841</t>
        </is>
      </c>
      <c r="FG4281" s="15" t="inlineStr">
        <is>
          <t>Zhong Tong</t>
        </is>
      </c>
      <c r="FH4281" s="15" t="inlineStr">
        <is>
          <t>Lck6122evg</t>
        </is>
      </c>
      <c r="FI4281" s="15" t="inlineStr">
        <is>
          <t>ZHONGTONG</t>
        </is>
      </c>
      <c r="FJ4281" s="15" t="inlineStr">
        <is>
          <t>LCK6122EVG</t>
        </is>
      </c>
      <c r="FK4281" s="15" t="n">
        <v>2025</v>
      </c>
      <c r="FL4281" s="15" t="inlineStr">
        <is>
          <t>B</t>
        </is>
      </c>
      <c r="FM4281" s="15" t="inlineStr">
        <is>
          <t>CERRILLOS</t>
        </is>
      </c>
      <c r="FN4281" s="15" t="inlineStr">
        <is>
          <t>Calle Uno 7371</t>
        </is>
      </c>
      <c r="FO4281" s="15" t="inlineStr">
        <is>
          <t>Cerrillos</t>
        </is>
      </c>
      <c r="FP4281" t="inlineStr">
        <is>
          <t>B</t>
        </is>
      </c>
    </row>
    <row r="4282">
      <c r="FC4282" t="inlineStr">
        <is>
          <t>Diccionario 4</t>
        </is>
      </c>
      <c r="FD4282" s="15" t="inlineStr">
        <is>
          <t>VGBV-51|</t>
        </is>
      </c>
      <c r="FE4282" s="15" t="inlineStr">
        <is>
          <t>MDN35025010022</t>
        </is>
      </c>
      <c r="FF4282" s="15" t="inlineStr">
        <is>
          <t>LDYECS312S0043826</t>
        </is>
      </c>
      <c r="FG4282" s="15" t="inlineStr">
        <is>
          <t>Zhong Tong</t>
        </is>
      </c>
      <c r="FH4282" s="15" t="inlineStr">
        <is>
          <t>Lck6122evg</t>
        </is>
      </c>
      <c r="FI4282" s="15" t="inlineStr">
        <is>
          <t>ZHONGTONG</t>
        </is>
      </c>
      <c r="FJ4282" s="15" t="inlineStr">
        <is>
          <t>LCK6122EVG</t>
        </is>
      </c>
      <c r="FK4282" s="15" t="n">
        <v>2025</v>
      </c>
      <c r="FL4282" s="15" t="inlineStr">
        <is>
          <t>B</t>
        </is>
      </c>
      <c r="FM4282" s="15" t="inlineStr">
        <is>
          <t>SAN ALFONSO</t>
        </is>
      </c>
      <c r="FN4282" s="15" t="inlineStr">
        <is>
          <t>San Alfonso 2141 (Ramón Subercaseaux 3060)</t>
        </is>
      </c>
      <c r="FO4282" s="15" t="inlineStr">
        <is>
          <t>Estacion Central</t>
        </is>
      </c>
      <c r="FP4282" t="inlineStr">
        <is>
          <t>B</t>
        </is>
      </c>
    </row>
    <row r="4283">
      <c r="FC4283" t="inlineStr">
        <is>
          <t>Diccionario 4</t>
        </is>
      </c>
      <c r="FD4283" s="15" t="inlineStr">
        <is>
          <t>VGBV-55|</t>
        </is>
      </c>
      <c r="FE4283" s="15" t="inlineStr">
        <is>
          <t>MDN35025010032</t>
        </is>
      </c>
      <c r="FF4283" s="15" t="inlineStr">
        <is>
          <t>LDYECS315S0043836</t>
        </is>
      </c>
      <c r="FG4283" s="15" t="inlineStr">
        <is>
          <t>Zhong Tong</t>
        </is>
      </c>
      <c r="FH4283" s="15" t="inlineStr">
        <is>
          <t>Lck6122evg</t>
        </is>
      </c>
      <c r="FI4283" s="15" t="inlineStr">
        <is>
          <t>ZHONGTONG</t>
        </is>
      </c>
      <c r="FJ4283" s="15" t="inlineStr">
        <is>
          <t>LCK6122EVG</t>
        </is>
      </c>
      <c r="FK4283" s="15" t="n">
        <v>2025</v>
      </c>
      <c r="FL4283" s="15" t="inlineStr">
        <is>
          <t>B</t>
        </is>
      </c>
      <c r="FM4283" s="15" t="inlineStr">
        <is>
          <t>PIE ANDINO</t>
        </is>
      </c>
      <c r="FN4283" s="15" t="inlineStr">
        <is>
          <t>Pie Andino 31 (Pie Andino 383)</t>
        </is>
      </c>
      <c r="FO4283" s="15" t="inlineStr">
        <is>
          <t>Puente Alto</t>
        </is>
      </c>
      <c r="FP4283" t="inlineStr">
        <is>
          <t>B</t>
        </is>
      </c>
    </row>
    <row r="4284">
      <c r="FC4284" t="inlineStr">
        <is>
          <t>Diccionario 4</t>
        </is>
      </c>
      <c r="FD4284" s="15" t="inlineStr">
        <is>
          <t>VGBV-69|</t>
        </is>
      </c>
      <c r="FE4284" s="15" t="inlineStr">
        <is>
          <t>MDN35025010096</t>
        </is>
      </c>
      <c r="FF4284" s="15" t="inlineStr">
        <is>
          <t>LDYECS310S0043825</t>
        </is>
      </c>
      <c r="FG4284" s="15" t="inlineStr">
        <is>
          <t>Zhong Tong</t>
        </is>
      </c>
      <c r="FH4284" s="15" t="inlineStr">
        <is>
          <t>Lck6122evg</t>
        </is>
      </c>
      <c r="FI4284" s="15" t="inlineStr">
        <is>
          <t>ZHONGTONG</t>
        </is>
      </c>
      <c r="FJ4284" s="15" t="inlineStr">
        <is>
          <t>LCK6122EVG</t>
        </is>
      </c>
      <c r="FK4284" s="15" t="n">
        <v>2025</v>
      </c>
      <c r="FL4284" s="15" t="inlineStr">
        <is>
          <t>B</t>
        </is>
      </c>
      <c r="FM4284" s="15" t="inlineStr">
        <is>
          <t>SAN ALFONSO</t>
        </is>
      </c>
      <c r="FN4284" s="15" t="inlineStr">
        <is>
          <t>San Alfonso 2141 (Ramón Subercaseaux 3060)</t>
        </is>
      </c>
      <c r="FO4284" s="15" t="inlineStr">
        <is>
          <t>Estacion Central</t>
        </is>
      </c>
      <c r="FP4284" t="inlineStr">
        <is>
          <t>B</t>
        </is>
      </c>
    </row>
    <row r="4285">
      <c r="FC4285" t="inlineStr">
        <is>
          <t>Diccionario 4</t>
        </is>
      </c>
      <c r="FD4285" s="15" t="inlineStr">
        <is>
          <t>VGBV-79|</t>
        </is>
      </c>
      <c r="FE4285" s="15" t="inlineStr">
        <is>
          <t>MDN35025010133</t>
        </is>
      </c>
      <c r="FF4285" s="15" t="inlineStr">
        <is>
          <t>LDYECS310S0043842</t>
        </is>
      </c>
      <c r="FG4285" s="15" t="inlineStr">
        <is>
          <t>Zhong Tong</t>
        </is>
      </c>
      <c r="FH4285" s="15" t="inlineStr">
        <is>
          <t>Lck6122evg</t>
        </is>
      </c>
      <c r="FI4285" s="15" t="inlineStr">
        <is>
          <t>ZHONGTONG</t>
        </is>
      </c>
      <c r="FJ4285" s="15" t="inlineStr">
        <is>
          <t>LCK6122EVG</t>
        </is>
      </c>
      <c r="FK4285" s="15" t="n">
        <v>2025</v>
      </c>
      <c r="FL4285" s="15" t="inlineStr">
        <is>
          <t>B</t>
        </is>
      </c>
      <c r="FM4285" s="15" t="inlineStr">
        <is>
          <t>SAN ALFONSO</t>
        </is>
      </c>
      <c r="FN4285" s="15" t="inlineStr">
        <is>
          <t>San Alfonso 2141 (Ramón Subercaseaux 3060)</t>
        </is>
      </c>
      <c r="FO4285" s="15" t="inlineStr">
        <is>
          <t>Estacion Central</t>
        </is>
      </c>
      <c r="FP4285" t="inlineStr">
        <is>
          <t>B</t>
        </is>
      </c>
    </row>
    <row r="4286">
      <c r="FC4286" t="inlineStr">
        <is>
          <t>Diccionario 4</t>
        </is>
      </c>
      <c r="FD4286" s="15" t="inlineStr">
        <is>
          <t>VGBV-99|</t>
        </is>
      </c>
      <c r="FE4286" s="15" t="inlineStr">
        <is>
          <t>MDN35025020065</t>
        </is>
      </c>
      <c r="FF4286" s="15" t="inlineStr">
        <is>
          <t>LDYECS317S0043854</t>
        </is>
      </c>
      <c r="FG4286" s="15" t="inlineStr">
        <is>
          <t>Zhong Tong</t>
        </is>
      </c>
      <c r="FH4286" s="15" t="inlineStr">
        <is>
          <t>Lck6122evg</t>
        </is>
      </c>
      <c r="FI4286" s="15" t="inlineStr">
        <is>
          <t>ZHONGTONG</t>
        </is>
      </c>
      <c r="FJ4286" s="15" t="inlineStr">
        <is>
          <t>LCK6122EVG</t>
        </is>
      </c>
      <c r="FK4286" s="15" t="n">
        <v>2025</v>
      </c>
      <c r="FL4286" s="15" t="inlineStr">
        <is>
          <t>B</t>
        </is>
      </c>
      <c r="FM4286" s="15" t="inlineStr">
        <is>
          <t>PIE ANDINO</t>
        </is>
      </c>
      <c r="FN4286" s="15" t="inlineStr">
        <is>
          <t>Pie Andino 31 (Pie Andino 383)</t>
        </is>
      </c>
      <c r="FO4286" s="15" t="inlineStr">
        <is>
          <t>Puente Alto</t>
        </is>
      </c>
      <c r="FP4286" t="inlineStr">
        <is>
          <t>B</t>
        </is>
      </c>
    </row>
    <row r="4287">
      <c r="FC4287" t="inlineStr">
        <is>
          <t>Diccionario 4</t>
        </is>
      </c>
      <c r="FD4287" s="15" t="inlineStr">
        <is>
          <t>VGBW-19|</t>
        </is>
      </c>
      <c r="FE4287" s="15" t="inlineStr">
        <is>
          <t>MDN35025020066</t>
        </is>
      </c>
      <c r="FF4287" s="15" t="inlineStr">
        <is>
          <t>LDYECS313S0043849</t>
        </is>
      </c>
      <c r="FG4287" s="15" t="inlineStr">
        <is>
          <t>Zhong Tong</t>
        </is>
      </c>
      <c r="FH4287" s="15" t="inlineStr">
        <is>
          <t>Lck6122evg</t>
        </is>
      </c>
      <c r="FI4287" s="15" t="inlineStr">
        <is>
          <t>ZHONGTONG</t>
        </is>
      </c>
      <c r="FJ4287" s="15" t="inlineStr">
        <is>
          <t>LCK6122EVG</t>
        </is>
      </c>
      <c r="FK4287" s="15" t="n">
        <v>2025</v>
      </c>
      <c r="FL4287" s="15" t="inlineStr">
        <is>
          <t>B</t>
        </is>
      </c>
      <c r="FM4287" s="15" t="inlineStr">
        <is>
          <t>PIE ANDINO</t>
        </is>
      </c>
      <c r="FN4287" s="15" t="inlineStr">
        <is>
          <t>Pie Andino 31 (Pie Andino 383)</t>
        </is>
      </c>
      <c r="FO4287" s="15" t="inlineStr">
        <is>
          <t>Puente Alto</t>
        </is>
      </c>
      <c r="FP4287" t="inlineStr">
        <is>
          <t>B</t>
        </is>
      </c>
    </row>
    <row r="4288">
      <c r="FC4288" t="inlineStr">
        <is>
          <t>Diccionario 4</t>
        </is>
      </c>
      <c r="FD4288" s="15" t="inlineStr">
        <is>
          <t>VGBW-29|</t>
        </is>
      </c>
      <c r="FE4288" s="15" t="inlineStr">
        <is>
          <t>MDN35025010238</t>
        </is>
      </c>
      <c r="FF4288" s="15" t="inlineStr">
        <is>
          <t>LDYECS311S0043848</t>
        </is>
      </c>
      <c r="FG4288" s="15" t="inlineStr">
        <is>
          <t>Zhong Tong</t>
        </is>
      </c>
      <c r="FH4288" s="15" t="inlineStr">
        <is>
          <t>Lck6122evg</t>
        </is>
      </c>
      <c r="FI4288" s="15" t="inlineStr">
        <is>
          <t>ZHONGTONG</t>
        </is>
      </c>
      <c r="FJ4288" s="15" t="inlineStr">
        <is>
          <t>LCK6122EVG</t>
        </is>
      </c>
      <c r="FK4288" s="15" t="n">
        <v>2025</v>
      </c>
      <c r="FL4288" s="15" t="inlineStr">
        <is>
          <t>B</t>
        </is>
      </c>
      <c r="FM4288" s="15" t="inlineStr">
        <is>
          <t>PIE ANDINO</t>
        </is>
      </c>
      <c r="FN4288" s="15" t="inlineStr">
        <is>
          <t>Pie Andino 31 (Pie Andino 383)</t>
        </is>
      </c>
      <c r="FO4288" s="15" t="inlineStr">
        <is>
          <t>Puente Alto</t>
        </is>
      </c>
      <c r="FP4288" t="inlineStr">
        <is>
          <t>B</t>
        </is>
      </c>
    </row>
    <row r="4289">
      <c r="FC4289" t="inlineStr">
        <is>
          <t>Diccionario 4</t>
        </is>
      </c>
      <c r="FD4289" s="15" t="inlineStr">
        <is>
          <t>VGBW-39|</t>
        </is>
      </c>
      <c r="FE4289" s="15" t="inlineStr">
        <is>
          <t>MDN35025010109</t>
        </is>
      </c>
      <c r="FF4289" s="15" t="inlineStr">
        <is>
          <t>LDYECS31XS0043847</t>
        </is>
      </c>
      <c r="FG4289" s="15" t="inlineStr">
        <is>
          <t>Zhong Tong</t>
        </is>
      </c>
      <c r="FH4289" s="15" t="inlineStr">
        <is>
          <t>Lck6122evg</t>
        </is>
      </c>
      <c r="FI4289" s="15" t="inlineStr">
        <is>
          <t>ZHONGTONG</t>
        </is>
      </c>
      <c r="FJ4289" s="15" t="inlineStr">
        <is>
          <t>LCK6122EVG</t>
        </is>
      </c>
      <c r="FK4289" s="15" t="n">
        <v>2025</v>
      </c>
      <c r="FL4289" s="15" t="inlineStr">
        <is>
          <t>B</t>
        </is>
      </c>
      <c r="FM4289" s="15" t="inlineStr">
        <is>
          <t>SAN ALFONSO</t>
        </is>
      </c>
      <c r="FN4289" s="15" t="inlineStr">
        <is>
          <t>San Alfonso 2141 (Ramón Subercaseaux 3060)</t>
        </is>
      </c>
      <c r="FO4289" s="15" t="inlineStr">
        <is>
          <t>Estacion Central</t>
        </is>
      </c>
      <c r="FP4289" t="inlineStr">
        <is>
          <t>B</t>
        </is>
      </c>
    </row>
    <row r="4290">
      <c r="FC4290" t="inlineStr">
        <is>
          <t>Diccionario 4</t>
        </is>
      </c>
      <c r="FD4290" s="15" t="inlineStr">
        <is>
          <t>VGBW-48|</t>
        </is>
      </c>
      <c r="FE4290" s="15" t="inlineStr">
        <is>
          <t>MDN35025010035</t>
        </is>
      </c>
      <c r="FF4290" s="15" t="inlineStr">
        <is>
          <t>LDYECS314S0043827</t>
        </is>
      </c>
      <c r="FG4290" s="15" t="inlineStr">
        <is>
          <t>Zhong Tong</t>
        </is>
      </c>
      <c r="FH4290" s="15" t="inlineStr">
        <is>
          <t>Lck6122evg</t>
        </is>
      </c>
      <c r="FI4290" s="15" t="inlineStr">
        <is>
          <t>ZHONGTONG</t>
        </is>
      </c>
      <c r="FJ4290" s="15" t="inlineStr">
        <is>
          <t>LCK6122EVG</t>
        </is>
      </c>
      <c r="FK4290" s="15" t="n">
        <v>2025</v>
      </c>
      <c r="FL4290" s="15" t="inlineStr">
        <is>
          <t>B</t>
        </is>
      </c>
      <c r="FM4290" s="15" t="inlineStr">
        <is>
          <t>PIE ANDINO</t>
        </is>
      </c>
      <c r="FN4290" s="15" t="inlineStr">
        <is>
          <t>Pie Andino 31 (Pie Andino 383)</t>
        </is>
      </c>
      <c r="FO4290" s="15" t="inlineStr">
        <is>
          <t>Puente Alto</t>
        </is>
      </c>
      <c r="FP4290" t="inlineStr">
        <is>
          <t>B</t>
        </is>
      </c>
    </row>
    <row r="4291">
      <c r="FC4291" t="inlineStr">
        <is>
          <t>Diccionario 4</t>
        </is>
      </c>
      <c r="FD4291" s="15" t="inlineStr">
        <is>
          <t>VGBW-58|</t>
        </is>
      </c>
      <c r="FE4291" s="15" t="inlineStr">
        <is>
          <t>MDN35025010026</t>
        </is>
      </c>
      <c r="FF4291" s="15" t="inlineStr">
        <is>
          <t>LDYECS313S0043835</t>
        </is>
      </c>
      <c r="FG4291" s="15" t="inlineStr">
        <is>
          <t>Zhong Tong</t>
        </is>
      </c>
      <c r="FH4291" s="15" t="inlineStr">
        <is>
          <t>Lck6122evg</t>
        </is>
      </c>
      <c r="FI4291" s="15" t="inlineStr">
        <is>
          <t>ZHONGTONG</t>
        </is>
      </c>
      <c r="FJ4291" s="15" t="inlineStr">
        <is>
          <t>LCK6122EVG</t>
        </is>
      </c>
      <c r="FK4291" s="15" t="n">
        <v>2025</v>
      </c>
      <c r="FL4291" s="15" t="inlineStr">
        <is>
          <t>B</t>
        </is>
      </c>
      <c r="FM4291" s="15" t="inlineStr">
        <is>
          <t>PIE ANDINO</t>
        </is>
      </c>
      <c r="FN4291" s="15" t="inlineStr">
        <is>
          <t>Pie Andino 31 (Pie Andino 383)</t>
        </is>
      </c>
      <c r="FO4291" s="15" t="inlineStr">
        <is>
          <t>Puente Alto</t>
        </is>
      </c>
      <c r="FP4291" t="inlineStr">
        <is>
          <t>B</t>
        </is>
      </c>
    </row>
    <row r="4292">
      <c r="FC4292" t="inlineStr">
        <is>
          <t>Diccionario 4</t>
        </is>
      </c>
      <c r="FD4292" s="15" t="inlineStr">
        <is>
          <t>VGBW-68|</t>
        </is>
      </c>
      <c r="FE4292" s="15" t="inlineStr">
        <is>
          <t>MDN35025020082</t>
        </is>
      </c>
      <c r="FF4292" s="15" t="inlineStr">
        <is>
          <t>LDYECS315S0043853</t>
        </is>
      </c>
      <c r="FG4292" s="15" t="inlineStr">
        <is>
          <t>Zhong Tong</t>
        </is>
      </c>
      <c r="FH4292" s="15" t="inlineStr">
        <is>
          <t>Lck6122evg</t>
        </is>
      </c>
      <c r="FI4292" s="15" t="inlineStr">
        <is>
          <t>ZHONGTONG</t>
        </is>
      </c>
      <c r="FJ4292" s="15" t="inlineStr">
        <is>
          <t>LCK6122EVG</t>
        </is>
      </c>
      <c r="FK4292" s="15" t="n">
        <v>2025</v>
      </c>
      <c r="FL4292" s="15" t="inlineStr">
        <is>
          <t>B</t>
        </is>
      </c>
      <c r="FM4292" s="15" t="inlineStr">
        <is>
          <t>CERRILLOS</t>
        </is>
      </c>
      <c r="FN4292" s="15" t="inlineStr">
        <is>
          <t>Calle Uno 7371</t>
        </is>
      </c>
      <c r="FO4292" s="15" t="inlineStr">
        <is>
          <t>Cerrillos</t>
        </is>
      </c>
      <c r="FP4292" t="inlineStr">
        <is>
          <t>B</t>
        </is>
      </c>
    </row>
    <row r="4293">
      <c r="FC4293" t="inlineStr">
        <is>
          <t>Diccionario 4</t>
        </is>
      </c>
      <c r="FD4293" s="15" t="inlineStr">
        <is>
          <t>VGBW-98|</t>
        </is>
      </c>
      <c r="FE4293" s="15" t="inlineStr">
        <is>
          <t>MDN35025010099</t>
        </is>
      </c>
      <c r="FF4293" s="15" t="inlineStr">
        <is>
          <t>LDYECS317S0043837</t>
        </is>
      </c>
      <c r="FG4293" s="15" t="inlineStr">
        <is>
          <t>Zhong Tong</t>
        </is>
      </c>
      <c r="FH4293" s="15" t="inlineStr">
        <is>
          <t>Lck6122evg</t>
        </is>
      </c>
      <c r="FI4293" s="15" t="inlineStr">
        <is>
          <t>ZHONGTONG</t>
        </is>
      </c>
      <c r="FJ4293" s="15" t="inlineStr">
        <is>
          <t>LCK6122EVG</t>
        </is>
      </c>
      <c r="FK4293" s="15" t="n">
        <v>2025</v>
      </c>
      <c r="FL4293" s="15" t="inlineStr">
        <is>
          <t>B</t>
        </is>
      </c>
      <c r="FM4293" s="15" t="inlineStr">
        <is>
          <t>SAN ALFONSO</t>
        </is>
      </c>
      <c r="FN4293" s="15" t="inlineStr">
        <is>
          <t>San Alfonso 2141 (Ramón Subercaseaux 3060)</t>
        </is>
      </c>
      <c r="FO4293" s="15" t="inlineStr">
        <is>
          <t>Estacion Central</t>
        </is>
      </c>
      <c r="FP4293" t="inlineStr">
        <is>
          <t>B</t>
        </is>
      </c>
    </row>
    <row r="4294">
      <c r="FC4294" t="inlineStr">
        <is>
          <t>Diccionario 4</t>
        </is>
      </c>
      <c r="FD4294" s="15" t="inlineStr">
        <is>
          <t>VGBW-99|</t>
        </is>
      </c>
      <c r="FE4294" s="15" t="inlineStr">
        <is>
          <t>MDN35025020081</t>
        </is>
      </c>
      <c r="FF4294" s="15" t="inlineStr">
        <is>
          <t>LDYECS313S0043852</t>
        </is>
      </c>
      <c r="FG4294" s="15" t="inlineStr">
        <is>
          <t>Zhong Tong</t>
        </is>
      </c>
      <c r="FH4294" s="15" t="inlineStr">
        <is>
          <t>Lck6122evg</t>
        </is>
      </c>
      <c r="FI4294" s="15" t="inlineStr">
        <is>
          <t>ZHONGTONG</t>
        </is>
      </c>
      <c r="FJ4294" s="15" t="inlineStr">
        <is>
          <t>LCK6122EVG</t>
        </is>
      </c>
      <c r="FK4294" s="15" t="n">
        <v>2025</v>
      </c>
      <c r="FL4294" s="15" t="inlineStr">
        <is>
          <t>B</t>
        </is>
      </c>
      <c r="FM4294" s="15" t="inlineStr">
        <is>
          <t>SAN ALFONSO</t>
        </is>
      </c>
      <c r="FN4294" s="15" t="inlineStr">
        <is>
          <t>San Alfonso 2141 (Ramón Subercaseaux 3060)</t>
        </is>
      </c>
      <c r="FO4294" s="15" t="inlineStr">
        <is>
          <t>Estacion Central</t>
        </is>
      </c>
      <c r="FP4294" t="inlineStr">
        <is>
          <t>B</t>
        </is>
      </c>
    </row>
    <row r="4295">
      <c r="FC4295" t="inlineStr">
        <is>
          <t>Diccionario 4</t>
        </is>
      </c>
      <c r="FD4295" s="15" t="inlineStr">
        <is>
          <t>VGBX-29|</t>
        </is>
      </c>
      <c r="FE4295" s="15" t="inlineStr">
        <is>
          <t>MDN35025010250</t>
        </is>
      </c>
      <c r="FF4295" s="15" t="inlineStr">
        <is>
          <t>LDYECS316S0043845</t>
        </is>
      </c>
      <c r="FG4295" s="15" t="inlineStr">
        <is>
          <t>Zhong Tong</t>
        </is>
      </c>
      <c r="FH4295" s="15" t="inlineStr">
        <is>
          <t>Lck6122evg</t>
        </is>
      </c>
      <c r="FI4295" s="15" t="inlineStr">
        <is>
          <t>ZHONGTONG</t>
        </is>
      </c>
      <c r="FJ4295" s="15" t="inlineStr">
        <is>
          <t>LCK6122EVG</t>
        </is>
      </c>
      <c r="FK4295" s="15" t="n">
        <v>2025</v>
      </c>
      <c r="FL4295" s="15" t="inlineStr">
        <is>
          <t>B</t>
        </is>
      </c>
      <c r="FM4295" s="15" t="inlineStr">
        <is>
          <t>PIE ANDINO</t>
        </is>
      </c>
      <c r="FN4295" s="15" t="inlineStr">
        <is>
          <t>Pie Andino 31 (Pie Andino 383)</t>
        </is>
      </c>
      <c r="FO4295" s="15" t="inlineStr">
        <is>
          <t>Puente Alto</t>
        </is>
      </c>
      <c r="FP4295" t="inlineStr">
        <is>
          <t>B</t>
        </is>
      </c>
    </row>
    <row r="4296">
      <c r="FC4296" t="inlineStr">
        <is>
          <t>Diccionario 4</t>
        </is>
      </c>
      <c r="FD4296" s="15" t="inlineStr">
        <is>
          <t>VGBX-48|</t>
        </is>
      </c>
      <c r="FE4296" s="15" t="inlineStr">
        <is>
          <t>MDN35025010138</t>
        </is>
      </c>
      <c r="FF4296" s="15" t="inlineStr">
        <is>
          <t>LDYECS31XS0043850</t>
        </is>
      </c>
      <c r="FG4296" s="15" t="inlineStr">
        <is>
          <t>Zhong Tong</t>
        </is>
      </c>
      <c r="FH4296" s="15" t="inlineStr">
        <is>
          <t>Lck6122evg</t>
        </is>
      </c>
      <c r="FI4296" s="15" t="inlineStr">
        <is>
          <t>ZHONGTONG</t>
        </is>
      </c>
      <c r="FJ4296" s="15" t="inlineStr">
        <is>
          <t>LCK6122EVG</t>
        </is>
      </c>
      <c r="FK4296" s="15" t="n">
        <v>2025</v>
      </c>
      <c r="FL4296" s="15" t="inlineStr">
        <is>
          <t>B</t>
        </is>
      </c>
      <c r="FM4296" s="15" t="inlineStr">
        <is>
          <t>PIE ANDINO</t>
        </is>
      </c>
      <c r="FN4296" s="15" t="inlineStr">
        <is>
          <t>Pie Andino 31 (Pie Andino 383)</t>
        </is>
      </c>
      <c r="FO4296" s="15" t="inlineStr">
        <is>
          <t>Puente Alto</t>
        </is>
      </c>
      <c r="FP4296" t="inlineStr">
        <is>
          <t>B</t>
        </is>
      </c>
    </row>
    <row r="4297">
      <c r="FC4297" t="inlineStr">
        <is>
          <t>Diccionario 4</t>
        </is>
      </c>
      <c r="FD4297" s="15" t="inlineStr">
        <is>
          <t>VGBX-49|</t>
        </is>
      </c>
      <c r="FE4297" s="15" t="inlineStr">
        <is>
          <t>MDN35025020236</t>
        </is>
      </c>
      <c r="FF4297" s="15" t="inlineStr">
        <is>
          <t>LDYECS310S0043856</t>
        </is>
      </c>
      <c r="FG4297" s="15" t="inlineStr">
        <is>
          <t>Zhong Tong</t>
        </is>
      </c>
      <c r="FH4297" s="15" t="inlineStr">
        <is>
          <t>Lck6122evg</t>
        </is>
      </c>
      <c r="FI4297" s="15" t="inlineStr">
        <is>
          <t>ZHONGTONG</t>
        </is>
      </c>
      <c r="FJ4297" s="15" t="inlineStr">
        <is>
          <t>LCK6122EVG</t>
        </is>
      </c>
      <c r="FK4297" s="15" t="n">
        <v>2025</v>
      </c>
      <c r="FL4297" s="15" t="inlineStr">
        <is>
          <t>B</t>
        </is>
      </c>
      <c r="FM4297" s="15" t="inlineStr">
        <is>
          <t>PIE ANDINO</t>
        </is>
      </c>
      <c r="FN4297" s="15" t="inlineStr">
        <is>
          <t>Pie Andino 31 (Pie Andino 383)</t>
        </is>
      </c>
      <c r="FO4297" s="15" t="inlineStr">
        <is>
          <t>Puente Alto</t>
        </is>
      </c>
      <c r="FP4297" t="inlineStr">
        <is>
          <t>B</t>
        </is>
      </c>
    </row>
    <row r="4298">
      <c r="FC4298" t="inlineStr">
        <is>
          <t>Diccionario 4</t>
        </is>
      </c>
      <c r="FD4298" s="15" t="inlineStr">
        <is>
          <t>VGBX-58|</t>
        </is>
      </c>
      <c r="FE4298" s="15" t="inlineStr">
        <is>
          <t>MDN35025010240</t>
        </is>
      </c>
      <c r="FF4298" s="15" t="inlineStr">
        <is>
          <t>LDYECS317S0043840</t>
        </is>
      </c>
      <c r="FG4298" s="15" t="inlineStr">
        <is>
          <t>Zhong Tong</t>
        </is>
      </c>
      <c r="FH4298" s="15" t="inlineStr">
        <is>
          <t>Lck6122evg</t>
        </is>
      </c>
      <c r="FI4298" s="15" t="inlineStr">
        <is>
          <t>ZHONGTONG</t>
        </is>
      </c>
      <c r="FJ4298" s="15" t="inlineStr">
        <is>
          <t>LCK6122EVG</t>
        </is>
      </c>
      <c r="FK4298" s="15" t="n">
        <v>2025</v>
      </c>
      <c r="FL4298" s="15" t="inlineStr">
        <is>
          <t>B</t>
        </is>
      </c>
      <c r="FM4298" s="15" t="inlineStr">
        <is>
          <t>PIE ANDINO</t>
        </is>
      </c>
      <c r="FN4298" s="15" t="inlineStr">
        <is>
          <t>Pie Andino 31 (Pie Andino 383)</t>
        </is>
      </c>
      <c r="FO4298" s="15" t="inlineStr">
        <is>
          <t>Puente Alto</t>
        </is>
      </c>
      <c r="FP4298" t="inlineStr">
        <is>
          <t>B</t>
        </is>
      </c>
    </row>
    <row r="4299">
      <c r="FC4299" t="inlineStr">
        <is>
          <t>Diccionario 4</t>
        </is>
      </c>
      <c r="FD4299" s="15" t="inlineStr">
        <is>
          <t>VGBX-59|</t>
        </is>
      </c>
      <c r="FE4299" s="15" t="inlineStr">
        <is>
          <t>MDN35025010141</t>
        </is>
      </c>
      <c r="FF4299" s="15" t="inlineStr">
        <is>
          <t>LDYECS319S0043855</t>
        </is>
      </c>
      <c r="FG4299" s="15" t="inlineStr">
        <is>
          <t>Zhong Tong</t>
        </is>
      </c>
      <c r="FH4299" s="15" t="inlineStr">
        <is>
          <t>Lck6122evg</t>
        </is>
      </c>
      <c r="FI4299" s="15" t="inlineStr">
        <is>
          <t>ZHONGTONG</t>
        </is>
      </c>
      <c r="FJ4299" s="15" t="inlineStr">
        <is>
          <t>LCK6122EVG</t>
        </is>
      </c>
      <c r="FK4299" s="15" t="n">
        <v>2025</v>
      </c>
      <c r="FL4299" s="15" t="inlineStr">
        <is>
          <t>B</t>
        </is>
      </c>
      <c r="FM4299" s="15" t="inlineStr">
        <is>
          <t>LOS LIBERTADORES</t>
        </is>
      </c>
      <c r="FN4299" s="15" t="inlineStr">
        <is>
          <t>Los Liberadores 6450, Lote 4A</t>
        </is>
      </c>
      <c r="FO4299" s="15" t="inlineStr">
        <is>
          <t>Huechuraba</t>
        </is>
      </c>
      <c r="FP4299" t="inlineStr">
        <is>
          <t>B</t>
        </is>
      </c>
    </row>
    <row r="4300">
      <c r="FC4300" t="inlineStr">
        <is>
          <t>Diccionario 4</t>
        </is>
      </c>
      <c r="FD4300" s="15" t="inlineStr">
        <is>
          <t>VGBX-78|</t>
        </is>
      </c>
      <c r="FE4300" s="15" t="inlineStr">
        <is>
          <t>MDN35025010088</t>
        </is>
      </c>
      <c r="FF4300" s="15" t="inlineStr">
        <is>
          <t>LDYECS319S0043838</t>
        </is>
      </c>
      <c r="FG4300" s="15" t="inlineStr">
        <is>
          <t>Zhong Tong</t>
        </is>
      </c>
      <c r="FH4300" s="15" t="inlineStr">
        <is>
          <t>Lck6122evg</t>
        </is>
      </c>
      <c r="FI4300" s="15" t="inlineStr">
        <is>
          <t>ZHONGTONG</t>
        </is>
      </c>
      <c r="FJ4300" s="15" t="inlineStr">
        <is>
          <t>LCK6122EVG</t>
        </is>
      </c>
      <c r="FK4300" s="15" t="n">
        <v>2025</v>
      </c>
      <c r="FL4300" s="15" t="inlineStr">
        <is>
          <t>B</t>
        </is>
      </c>
      <c r="FM4300" s="15" t="inlineStr">
        <is>
          <t>LOS LIBERTADORES</t>
        </is>
      </c>
      <c r="FN4300" s="15" t="inlineStr">
        <is>
          <t>Los Liberadores 6450, Lote 4A</t>
        </is>
      </c>
      <c r="FO4300" s="15" t="inlineStr">
        <is>
          <t>Huechuraba</t>
        </is>
      </c>
      <c r="FP4300" t="inlineStr">
        <is>
          <t>B</t>
        </is>
      </c>
    </row>
    <row r="4301">
      <c r="FC4301" t="inlineStr">
        <is>
          <t>Diccionario 4</t>
        </is>
      </c>
      <c r="FD4301" s="15" t="inlineStr">
        <is>
          <t>VGCB-39|</t>
        </is>
      </c>
      <c r="FE4301" s="15" t="inlineStr">
        <is>
          <t>MDN35025010137</t>
        </is>
      </c>
      <c r="FF4301" s="15" t="inlineStr">
        <is>
          <t>LDYECS311S0043851</t>
        </is>
      </c>
      <c r="FG4301" s="15" t="inlineStr">
        <is>
          <t>Zhong Tong</t>
        </is>
      </c>
      <c r="FH4301" s="15" t="inlineStr">
        <is>
          <t>Lck6122evg</t>
        </is>
      </c>
      <c r="FI4301" s="15" t="inlineStr">
        <is>
          <t>ZHONGTONG</t>
        </is>
      </c>
      <c r="FJ4301" s="15" t="inlineStr">
        <is>
          <t>LCK6122EVG</t>
        </is>
      </c>
      <c r="FK4301" s="15" t="n">
        <v>2025</v>
      </c>
      <c r="FL4301" s="15" t="inlineStr">
        <is>
          <t>B</t>
        </is>
      </c>
      <c r="FM4301" s="15" t="inlineStr">
        <is>
          <t>LOS LIBERTADORES</t>
        </is>
      </c>
      <c r="FN4301" s="15" t="inlineStr">
        <is>
          <t>Los Liberadores 6450, Lote 4A</t>
        </is>
      </c>
      <c r="FO4301" s="15" t="inlineStr">
        <is>
          <t>Huechuraba</t>
        </is>
      </c>
      <c r="FP4301" t="inlineStr">
        <is>
          <t>B</t>
        </is>
      </c>
    </row>
    <row r="4302">
      <c r="FC4302" t="inlineStr">
        <is>
          <t>Diccionario 4</t>
        </is>
      </c>
      <c r="FD4302" s="15" t="inlineStr">
        <is>
          <t>VGCB-59|</t>
        </is>
      </c>
      <c r="FE4302" s="15" t="inlineStr">
        <is>
          <t>MDN35025010142</t>
        </is>
      </c>
      <c r="FF4302" s="15" t="inlineStr">
        <is>
          <t>LDYECS312S0043857</t>
        </is>
      </c>
      <c r="FG4302" s="15" t="inlineStr">
        <is>
          <t>Zhong Tong</t>
        </is>
      </c>
      <c r="FH4302" s="15" t="inlineStr">
        <is>
          <t>Lck6122evg</t>
        </is>
      </c>
      <c r="FI4302" s="15" t="inlineStr">
        <is>
          <t>ZHONGTONG</t>
        </is>
      </c>
      <c r="FJ4302" s="15" t="inlineStr">
        <is>
          <t>LCK6122EVG</t>
        </is>
      </c>
      <c r="FK4302" s="15" t="n">
        <v>2025</v>
      </c>
      <c r="FL4302" s="15" t="inlineStr">
        <is>
          <t>B</t>
        </is>
      </c>
      <c r="FM4302" s="15" t="inlineStr">
        <is>
          <t>CERRILLOS</t>
        </is>
      </c>
      <c r="FN4302" s="15" t="inlineStr">
        <is>
          <t>Calle Uno 7371</t>
        </is>
      </c>
      <c r="FO4302" s="15" t="inlineStr">
        <is>
          <t>Cerrillos</t>
        </is>
      </c>
      <c r="FP4302" t="inlineStr">
        <is>
          <t>B</t>
        </is>
      </c>
    </row>
    <row r="4303">
      <c r="FC4303" t="inlineStr">
        <is>
          <t>Diccionario 4</t>
        </is>
      </c>
      <c r="FD4303" s="15" t="inlineStr">
        <is>
          <t>VGKX-42|</t>
        </is>
      </c>
      <c r="FE4303" s="15" t="inlineStr">
        <is>
          <t>MDN35025030025</t>
        </is>
      </c>
      <c r="FF4303" s="15" t="inlineStr">
        <is>
          <t>LDYECS317S0044373</t>
        </is>
      </c>
      <c r="FG4303" s="15" t="inlineStr">
        <is>
          <t>Zhong Tong</t>
        </is>
      </c>
      <c r="FH4303" s="15" t="inlineStr">
        <is>
          <t>Lck6122evg</t>
        </is>
      </c>
      <c r="FI4303" s="15" t="inlineStr">
        <is>
          <t>ZHONGTONG</t>
        </is>
      </c>
      <c r="FJ4303" s="15" t="inlineStr">
        <is>
          <t>LCK6122EVG</t>
        </is>
      </c>
      <c r="FK4303" s="15" t="n">
        <v>2025</v>
      </c>
      <c r="FL4303" s="15" t="inlineStr">
        <is>
          <t>B</t>
        </is>
      </c>
      <c r="FM4303" s="15" t="inlineStr">
        <is>
          <t>PIE ANDINO</t>
        </is>
      </c>
      <c r="FN4303" s="15" t="inlineStr">
        <is>
          <t>Pie Andino 31 (Pie Andino 383)</t>
        </is>
      </c>
      <c r="FO4303" s="15" t="inlineStr">
        <is>
          <t>Puente Alto</t>
        </is>
      </c>
      <c r="FP4303" t="inlineStr">
        <is>
          <t>B</t>
        </is>
      </c>
    </row>
    <row r="4304">
      <c r="FC4304" t="inlineStr">
        <is>
          <t>Diccionario 4</t>
        </is>
      </c>
      <c r="FD4304" s="15" t="inlineStr">
        <is>
          <t>VGKX-52|</t>
        </is>
      </c>
      <c r="FE4304" s="15" t="inlineStr">
        <is>
          <t>MDN35025030153</t>
        </is>
      </c>
      <c r="FF4304" s="15" t="inlineStr">
        <is>
          <t>LDYECS310S0044327</t>
        </is>
      </c>
      <c r="FG4304" s="15" t="inlineStr">
        <is>
          <t>Zhong Tong</t>
        </is>
      </c>
      <c r="FH4304" s="15" t="inlineStr">
        <is>
          <t>Lck6122evg</t>
        </is>
      </c>
      <c r="FI4304" s="15" t="inlineStr">
        <is>
          <t>ZHONGTONG</t>
        </is>
      </c>
      <c r="FJ4304" s="15" t="inlineStr">
        <is>
          <t>LCK6122EVG</t>
        </is>
      </c>
      <c r="FK4304" s="15" t="n">
        <v>2025</v>
      </c>
      <c r="FL4304" s="15" t="inlineStr">
        <is>
          <t>B</t>
        </is>
      </c>
      <c r="FM4304" s="15" t="inlineStr">
        <is>
          <t>SAN ALFONSO</t>
        </is>
      </c>
      <c r="FN4304" s="15" t="inlineStr">
        <is>
          <t>San Alfonso 2141 (Ramón Subercaseaux 3060)</t>
        </is>
      </c>
      <c r="FO4304" s="15" t="inlineStr">
        <is>
          <t>Estacion Central</t>
        </is>
      </c>
      <c r="FP4304" t="inlineStr">
        <is>
          <t>B</t>
        </is>
      </c>
    </row>
    <row r="4305">
      <c r="FC4305" t="inlineStr">
        <is>
          <t>Diccionario 4</t>
        </is>
      </c>
      <c r="FD4305" s="15" t="inlineStr">
        <is>
          <t>VGKX-62|</t>
        </is>
      </c>
      <c r="FE4305" s="15" t="inlineStr">
        <is>
          <t>MDN35025030021</t>
        </is>
      </c>
      <c r="FF4305" s="15" t="inlineStr">
        <is>
          <t>LDYECS31XS0044304</t>
        </is>
      </c>
      <c r="FG4305" s="15" t="inlineStr">
        <is>
          <t>Zhong Tong</t>
        </is>
      </c>
      <c r="FH4305" s="15" t="inlineStr">
        <is>
          <t>Lck6122evg</t>
        </is>
      </c>
      <c r="FI4305" s="15" t="inlineStr">
        <is>
          <t>ZHONGTONG</t>
        </is>
      </c>
      <c r="FJ4305" s="15" t="inlineStr">
        <is>
          <t>LCK6122EVG</t>
        </is>
      </c>
      <c r="FK4305" s="15" t="n">
        <v>2025</v>
      </c>
      <c r="FL4305" s="15" t="inlineStr">
        <is>
          <t>B</t>
        </is>
      </c>
      <c r="FM4305" s="15" t="inlineStr">
        <is>
          <t>CERRILLOS</t>
        </is>
      </c>
      <c r="FN4305" s="15" t="inlineStr">
        <is>
          <t>Calle Uno 7371</t>
        </is>
      </c>
      <c r="FO4305" s="15" t="inlineStr">
        <is>
          <t>Cerrillos</t>
        </is>
      </c>
      <c r="FP4305" t="inlineStr">
        <is>
          <t>B</t>
        </is>
      </c>
    </row>
    <row r="4306">
      <c r="FC4306" t="inlineStr">
        <is>
          <t>Diccionario 4</t>
        </is>
      </c>
      <c r="FD4306" s="15" t="inlineStr">
        <is>
          <t>VGKX-82|</t>
        </is>
      </c>
      <c r="FE4306" s="15" t="inlineStr">
        <is>
          <t>MDN35025030136</t>
        </is>
      </c>
      <c r="FF4306" s="15" t="inlineStr">
        <is>
          <t>LDYECS315S0044324</t>
        </is>
      </c>
      <c r="FG4306" s="15" t="inlineStr">
        <is>
          <t>Zhong Tong</t>
        </is>
      </c>
      <c r="FH4306" s="15" t="inlineStr">
        <is>
          <t>Lck6122evg</t>
        </is>
      </c>
      <c r="FI4306" s="15" t="inlineStr">
        <is>
          <t>ZHONGTONG</t>
        </is>
      </c>
      <c r="FJ4306" s="15" t="inlineStr">
        <is>
          <t>LCK6122EVG</t>
        </is>
      </c>
      <c r="FK4306" s="15" t="n">
        <v>2025</v>
      </c>
      <c r="FL4306" s="15" t="inlineStr">
        <is>
          <t>B</t>
        </is>
      </c>
      <c r="FM4306" s="15" t="inlineStr">
        <is>
          <t>PIE ANDINO</t>
        </is>
      </c>
      <c r="FN4306" s="15" t="inlineStr">
        <is>
          <t>Pie Andino 31 (Pie Andino 383)</t>
        </is>
      </c>
      <c r="FO4306" s="15" t="inlineStr">
        <is>
          <t>Puente Alto</t>
        </is>
      </c>
      <c r="FP4306" t="inlineStr">
        <is>
          <t>B</t>
        </is>
      </c>
    </row>
    <row r="4307">
      <c r="FC4307" t="inlineStr">
        <is>
          <t>Diccionario 4</t>
        </is>
      </c>
      <c r="FD4307" s="15" t="inlineStr">
        <is>
          <t>VGKY-12|</t>
        </is>
      </c>
      <c r="FE4307" s="15" t="inlineStr">
        <is>
          <t>MDN35025030073</t>
        </is>
      </c>
      <c r="FF4307" s="15" t="inlineStr">
        <is>
          <t>LDYECS311S0044305</t>
        </is>
      </c>
      <c r="FG4307" s="15" t="inlineStr">
        <is>
          <t>Zhong Tong</t>
        </is>
      </c>
      <c r="FH4307" s="15" t="inlineStr">
        <is>
          <t>Lck6122evg</t>
        </is>
      </c>
      <c r="FI4307" s="15" t="inlineStr">
        <is>
          <t>ZHONGTONG</t>
        </is>
      </c>
      <c r="FJ4307" s="15" t="inlineStr">
        <is>
          <t>LCK6122EVG</t>
        </is>
      </c>
      <c r="FK4307" s="15" t="n">
        <v>2025</v>
      </c>
      <c r="FL4307" s="15" t="inlineStr">
        <is>
          <t>B</t>
        </is>
      </c>
      <c r="FM4307" s="15" t="inlineStr">
        <is>
          <t>CERRILLOS</t>
        </is>
      </c>
      <c r="FN4307" s="15" t="inlineStr">
        <is>
          <t>Calle Uno 7371</t>
        </is>
      </c>
      <c r="FO4307" s="15" t="inlineStr">
        <is>
          <t>Cerrillos</t>
        </is>
      </c>
      <c r="FP4307" t="inlineStr">
        <is>
          <t>B</t>
        </is>
      </c>
    </row>
    <row r="4308">
      <c r="FC4308" t="inlineStr">
        <is>
          <t>Diccionario 4</t>
        </is>
      </c>
      <c r="FD4308" s="15" t="inlineStr">
        <is>
          <t>VGKY-22|</t>
        </is>
      </c>
      <c r="FE4308" s="15" t="inlineStr">
        <is>
          <t>MDN35025030018</t>
        </is>
      </c>
      <c r="FF4308" s="15" t="inlineStr">
        <is>
          <t>LDYECS31XS0044383</t>
        </is>
      </c>
      <c r="FG4308" s="15" t="inlineStr">
        <is>
          <t>Zhong Tong</t>
        </is>
      </c>
      <c r="FH4308" s="15" t="inlineStr">
        <is>
          <t>Lck6122evg</t>
        </is>
      </c>
      <c r="FI4308" s="15" t="inlineStr">
        <is>
          <t>ZHONGTONG</t>
        </is>
      </c>
      <c r="FJ4308" s="15" t="inlineStr">
        <is>
          <t>LCK6122EVG</t>
        </is>
      </c>
      <c r="FK4308" s="15" t="n">
        <v>2025</v>
      </c>
      <c r="FL4308" s="15" t="inlineStr">
        <is>
          <t>B</t>
        </is>
      </c>
      <c r="FM4308" s="15" t="inlineStr">
        <is>
          <t>PIE ANDINO</t>
        </is>
      </c>
      <c r="FN4308" s="15" t="inlineStr">
        <is>
          <t>Pie Andino 31 (Pie Andino 383)</t>
        </is>
      </c>
      <c r="FO4308" s="15" t="inlineStr">
        <is>
          <t>Puente Alto</t>
        </is>
      </c>
      <c r="FP4308" t="inlineStr">
        <is>
          <t>B</t>
        </is>
      </c>
    </row>
    <row r="4309">
      <c r="FC4309" t="inlineStr">
        <is>
          <t>Diccionario 4</t>
        </is>
      </c>
      <c r="FD4309" s="15" t="inlineStr">
        <is>
          <t>VGKY-42|</t>
        </is>
      </c>
      <c r="FE4309" s="15" t="inlineStr">
        <is>
          <t>MDN35025010127</t>
        </is>
      </c>
      <c r="FF4309" s="15" t="inlineStr">
        <is>
          <t>LDYECS319S0044388</t>
        </is>
      </c>
      <c r="FG4309" s="15" t="inlineStr">
        <is>
          <t>Zhong Tong</t>
        </is>
      </c>
      <c r="FH4309" s="15" t="inlineStr">
        <is>
          <t>Lck6122evg</t>
        </is>
      </c>
      <c r="FI4309" s="15" t="inlineStr">
        <is>
          <t>ZHONGTONG</t>
        </is>
      </c>
      <c r="FJ4309" s="15" t="inlineStr">
        <is>
          <t>LCK6122EVG</t>
        </is>
      </c>
      <c r="FK4309" s="15" t="n">
        <v>2025</v>
      </c>
      <c r="FL4309" s="15" t="inlineStr">
        <is>
          <t>B</t>
        </is>
      </c>
      <c r="FM4309" s="15" t="inlineStr">
        <is>
          <t>PIE ANDINO</t>
        </is>
      </c>
      <c r="FN4309" s="15" t="inlineStr">
        <is>
          <t>Pie Andino 31 (Pie Andino 383)</t>
        </is>
      </c>
      <c r="FO4309" s="15" t="inlineStr">
        <is>
          <t>Puente Alto</t>
        </is>
      </c>
      <c r="FP4309" t="inlineStr">
        <is>
          <t>B</t>
        </is>
      </c>
    </row>
    <row r="4310">
      <c r="FC4310" t="inlineStr">
        <is>
          <t>Diccionario 4</t>
        </is>
      </c>
      <c r="FD4310" s="15" t="inlineStr">
        <is>
          <t>VGKY-72|</t>
        </is>
      </c>
      <c r="FE4310" s="15" t="inlineStr">
        <is>
          <t>MDN35025030199</t>
        </is>
      </c>
      <c r="FF4310" s="15" t="inlineStr">
        <is>
          <t>LDYECS317S0044325</t>
        </is>
      </c>
      <c r="FG4310" s="15" t="inlineStr">
        <is>
          <t>Zhong Tong</t>
        </is>
      </c>
      <c r="FH4310" s="15" t="inlineStr">
        <is>
          <t>Lck6122evg</t>
        </is>
      </c>
      <c r="FI4310" s="15" t="inlineStr">
        <is>
          <t>ZHONGTONG</t>
        </is>
      </c>
      <c r="FJ4310" s="15" t="inlineStr">
        <is>
          <t>LCK6122EVG</t>
        </is>
      </c>
      <c r="FK4310" s="15" t="n">
        <v>2025</v>
      </c>
      <c r="FL4310" s="15" t="inlineStr">
        <is>
          <t>B</t>
        </is>
      </c>
      <c r="FM4310" s="15" t="inlineStr">
        <is>
          <t>PIE ANDINO</t>
        </is>
      </c>
      <c r="FN4310" s="15" t="inlineStr">
        <is>
          <t>Pie Andino 31 (Pie Andino 383)</t>
        </is>
      </c>
      <c r="FO4310" s="15" t="inlineStr">
        <is>
          <t>Puente Alto</t>
        </is>
      </c>
      <c r="FP4310" t="inlineStr">
        <is>
          <t>B</t>
        </is>
      </c>
    </row>
    <row r="4311">
      <c r="FC4311" t="inlineStr">
        <is>
          <t>Diccionario 4</t>
        </is>
      </c>
      <c r="FD4311" s="15" t="inlineStr">
        <is>
          <t>VGKY-82|</t>
        </is>
      </c>
      <c r="FE4311" s="15" t="inlineStr">
        <is>
          <t>MDN35025030042</t>
        </is>
      </c>
      <c r="FF4311" s="15" t="inlineStr">
        <is>
          <t>LDYECS318S0044379</t>
        </is>
      </c>
      <c r="FG4311" s="15" t="inlineStr">
        <is>
          <t>Zhong Tong</t>
        </is>
      </c>
      <c r="FH4311" s="15" t="inlineStr">
        <is>
          <t>Lck6122evg</t>
        </is>
      </c>
      <c r="FI4311" s="15" t="inlineStr">
        <is>
          <t>ZHONGTONG</t>
        </is>
      </c>
      <c r="FJ4311" s="15" t="inlineStr">
        <is>
          <t>LCK6122EVG</t>
        </is>
      </c>
      <c r="FK4311" s="15" t="n">
        <v>2025</v>
      </c>
      <c r="FL4311" s="15" t="inlineStr">
        <is>
          <t>B</t>
        </is>
      </c>
      <c r="FM4311" s="15" t="inlineStr">
        <is>
          <t>PIE ANDINO</t>
        </is>
      </c>
      <c r="FN4311" s="15" t="inlineStr">
        <is>
          <t>Pie Andino 31 (Pie Andino 383)</t>
        </is>
      </c>
      <c r="FO4311" s="15" t="inlineStr">
        <is>
          <t>Puente Alto</t>
        </is>
      </c>
      <c r="FP4311" t="inlineStr">
        <is>
          <t>B</t>
        </is>
      </c>
    </row>
    <row r="4312">
      <c r="FC4312" t="inlineStr">
        <is>
          <t>Diccionario 4</t>
        </is>
      </c>
      <c r="FD4312" s="15" t="inlineStr">
        <is>
          <t>VGKZ-62|</t>
        </is>
      </c>
      <c r="FE4312" s="15" t="inlineStr">
        <is>
          <t>MDN35025030041</t>
        </is>
      </c>
      <c r="FF4312" s="15" t="inlineStr">
        <is>
          <t>LDYECS313S0044385</t>
        </is>
      </c>
      <c r="FG4312" s="15" t="inlineStr">
        <is>
          <t>Zhong Tong</t>
        </is>
      </c>
      <c r="FH4312" s="15" t="inlineStr">
        <is>
          <t>Lck6122evg</t>
        </is>
      </c>
      <c r="FI4312" s="15" t="inlineStr">
        <is>
          <t>ZHONGTONG</t>
        </is>
      </c>
      <c r="FJ4312" s="15" t="inlineStr">
        <is>
          <t>LCK6122EVG</t>
        </is>
      </c>
      <c r="FK4312" s="15" t="n">
        <v>2025</v>
      </c>
      <c r="FL4312" s="15" t="inlineStr">
        <is>
          <t>B</t>
        </is>
      </c>
      <c r="FM4312" s="15" t="inlineStr">
        <is>
          <t>PIE ANDINO</t>
        </is>
      </c>
      <c r="FN4312" s="15" t="inlineStr">
        <is>
          <t>Pie Andino 31 (Pie Andino 383)</t>
        </is>
      </c>
      <c r="FO4312" s="15" t="inlineStr">
        <is>
          <t>Puente Alto</t>
        </is>
      </c>
      <c r="FP4312" t="inlineStr">
        <is>
          <t>B</t>
        </is>
      </c>
    </row>
    <row r="4313">
      <c r="FC4313" t="inlineStr">
        <is>
          <t>Diccionario 4</t>
        </is>
      </c>
      <c r="FD4313" s="15" t="inlineStr">
        <is>
          <t>VGKZ-82|</t>
        </is>
      </c>
      <c r="FE4313" s="15" t="inlineStr">
        <is>
          <t>MDN35025030011</t>
        </is>
      </c>
      <c r="FF4313" s="15" t="inlineStr">
        <is>
          <t>LDYECS311S0044384</t>
        </is>
      </c>
      <c r="FG4313" s="15" t="inlineStr">
        <is>
          <t>Zhong Tong</t>
        </is>
      </c>
      <c r="FH4313" s="15" t="inlineStr">
        <is>
          <t>Lck6122evg</t>
        </is>
      </c>
      <c r="FI4313" s="15" t="inlineStr">
        <is>
          <t>ZHONGTONG</t>
        </is>
      </c>
      <c r="FJ4313" s="15" t="inlineStr">
        <is>
          <t>LCK6122EVG</t>
        </is>
      </c>
      <c r="FK4313" s="15" t="n">
        <v>2025</v>
      </c>
      <c r="FL4313" s="15" t="inlineStr">
        <is>
          <t>B</t>
        </is>
      </c>
      <c r="FM4313" s="15" t="inlineStr">
        <is>
          <t>PIE ANDINO</t>
        </is>
      </c>
      <c r="FN4313" s="15" t="inlineStr">
        <is>
          <t>Pie Andino 31 (Pie Andino 383)</t>
        </is>
      </c>
      <c r="FO4313" s="15" t="inlineStr">
        <is>
          <t>Puente Alto</t>
        </is>
      </c>
      <c r="FP4313" t="inlineStr">
        <is>
          <t>B</t>
        </is>
      </c>
    </row>
    <row r="4314">
      <c r="FC4314" t="inlineStr">
        <is>
          <t>Diccionario 4</t>
        </is>
      </c>
      <c r="FD4314" s="15" t="inlineStr">
        <is>
          <t>VGKZ-92|</t>
        </is>
      </c>
      <c r="FE4314" s="15" t="inlineStr">
        <is>
          <t>MDN35025030056</t>
        </is>
      </c>
      <c r="FF4314" s="15" t="inlineStr">
        <is>
          <t>LDYECS313S0044371</t>
        </is>
      </c>
      <c r="FG4314" s="15" t="inlineStr">
        <is>
          <t>Zhong Tong</t>
        </is>
      </c>
      <c r="FH4314" s="15" t="inlineStr">
        <is>
          <t>Lck6122evg</t>
        </is>
      </c>
      <c r="FI4314" s="15" t="inlineStr">
        <is>
          <t>ZHONGTONG</t>
        </is>
      </c>
      <c r="FJ4314" s="15" t="inlineStr">
        <is>
          <t>LCK6122EVG</t>
        </is>
      </c>
      <c r="FK4314" s="15" t="n">
        <v>2025</v>
      </c>
      <c r="FL4314" s="15" t="inlineStr">
        <is>
          <t>B</t>
        </is>
      </c>
      <c r="FM4314" s="15" t="inlineStr">
        <is>
          <t>PIE ANDINO</t>
        </is>
      </c>
      <c r="FN4314" s="15" t="inlineStr">
        <is>
          <t>Pie Andino 31 (Pie Andino 383)</t>
        </is>
      </c>
      <c r="FO4314" s="15" t="inlineStr">
        <is>
          <t>Puente Alto</t>
        </is>
      </c>
      <c r="FP4314" t="inlineStr">
        <is>
          <t>B</t>
        </is>
      </c>
    </row>
    <row r="4315">
      <c r="FC4315" t="inlineStr">
        <is>
          <t>Diccionario 5</t>
        </is>
      </c>
      <c r="FD4315" t="inlineStr">
        <is>
          <t>3003 / SFWZ-16|</t>
        </is>
      </c>
      <c r="FL4315" t="inlineStr">
        <is>
          <t>B</t>
        </is>
      </c>
      <c r="FP4315" t="inlineStr">
        <is>
          <t>B</t>
        </is>
      </c>
    </row>
    <row r="4316">
      <c r="FC4316" t="inlineStr">
        <is>
          <t>Diccionario 5</t>
        </is>
      </c>
      <c r="FD4316" t="inlineStr">
        <is>
          <t>3003 / SFWZ-16|</t>
        </is>
      </c>
      <c r="FL4316" t="inlineStr">
        <is>
          <t>B</t>
        </is>
      </c>
      <c r="FP4316" t="inlineStr">
        <is>
          <t>B</t>
        </is>
      </c>
    </row>
    <row r="4317">
      <c r="FC4317" t="inlineStr">
        <is>
          <t>Diccionario 5</t>
        </is>
      </c>
      <c r="FD4317" t="inlineStr">
        <is>
          <t>3003 / SFWZ-16|</t>
        </is>
      </c>
      <c r="FL4317" t="inlineStr">
        <is>
          <t>B</t>
        </is>
      </c>
      <c r="FP4317" t="inlineStr">
        <is>
          <t>B</t>
        </is>
      </c>
    </row>
    <row r="4318">
      <c r="FC4318" t="inlineStr">
        <is>
          <t>Diccionario 5</t>
        </is>
      </c>
      <c r="FD4318" t="inlineStr">
        <is>
          <t>3003 / SFWZ-16|</t>
        </is>
      </c>
      <c r="FL4318" t="inlineStr">
        <is>
          <t>B</t>
        </is>
      </c>
      <c r="FP4318" t="inlineStr">
        <is>
          <t>B</t>
        </is>
      </c>
    </row>
    <row r="4319">
      <c r="FC4319" t="inlineStr">
        <is>
          <t>Diccionario 5</t>
        </is>
      </c>
      <c r="FD4319" t="inlineStr">
        <is>
          <t>3003 / SFWZ-16|</t>
        </is>
      </c>
      <c r="FL4319" t="inlineStr">
        <is>
          <t>B</t>
        </is>
      </c>
      <c r="FP4319" t="inlineStr">
        <is>
          <t>B</t>
        </is>
      </c>
    </row>
    <row r="4320">
      <c r="FC4320" t="inlineStr">
        <is>
          <t>Diccionario 5</t>
        </is>
      </c>
      <c r="FD4320" t="inlineStr">
        <is>
          <t>3004 / SFWZ-31|</t>
        </is>
      </c>
      <c r="FL4320" t="inlineStr">
        <is>
          <t>B</t>
        </is>
      </c>
      <c r="FP4320" t="inlineStr">
        <is>
          <t>B</t>
        </is>
      </c>
    </row>
    <row r="4321">
      <c r="FC4321" t="inlineStr">
        <is>
          <t>Diccionario 5</t>
        </is>
      </c>
      <c r="FD4321" t="inlineStr">
        <is>
          <t>3004 / SFWZ-31|</t>
        </is>
      </c>
      <c r="FL4321" t="inlineStr">
        <is>
          <t>B</t>
        </is>
      </c>
      <c r="FP4321" t="inlineStr">
        <is>
          <t>B</t>
        </is>
      </c>
    </row>
    <row r="4322">
      <c r="FC4322" t="inlineStr">
        <is>
          <t>Diccionario 5</t>
        </is>
      </c>
      <c r="FD4322" t="inlineStr">
        <is>
          <t>3004 / SFWZ-31|</t>
        </is>
      </c>
      <c r="FL4322" t="inlineStr">
        <is>
          <t>B</t>
        </is>
      </c>
      <c r="FP4322" t="inlineStr">
        <is>
          <t>B</t>
        </is>
      </c>
    </row>
    <row r="4323">
      <c r="FC4323" t="inlineStr">
        <is>
          <t>Diccionario 5</t>
        </is>
      </c>
      <c r="FD4323" t="inlineStr">
        <is>
          <t>3004 / SFWZ-31|</t>
        </is>
      </c>
      <c r="FL4323" t="inlineStr">
        <is>
          <t>B</t>
        </is>
      </c>
      <c r="FP4323" t="inlineStr">
        <is>
          <t>B</t>
        </is>
      </c>
    </row>
    <row r="4324">
      <c r="FC4324" t="inlineStr">
        <is>
          <t>Diccionario 5</t>
        </is>
      </c>
      <c r="FD4324" t="inlineStr">
        <is>
          <t>3004 / SFWZ-31|</t>
        </is>
      </c>
      <c r="FL4324" t="inlineStr">
        <is>
          <t>B</t>
        </is>
      </c>
      <c r="FP4324" t="inlineStr">
        <is>
          <t>B</t>
        </is>
      </c>
    </row>
    <row r="4325">
      <c r="FC4325" t="inlineStr">
        <is>
          <t>Diccionario 5</t>
        </is>
      </c>
      <c r="FD4325" t="inlineStr">
        <is>
          <t>3004 / SFWZ-31|</t>
        </is>
      </c>
      <c r="FL4325" t="inlineStr">
        <is>
          <t>B</t>
        </is>
      </c>
      <c r="FP4325" t="inlineStr">
        <is>
          <t>B</t>
        </is>
      </c>
    </row>
    <row r="4326">
      <c r="FC4326" t="inlineStr">
        <is>
          <t>Diccionario 5</t>
        </is>
      </c>
      <c r="FD4326" t="inlineStr">
        <is>
          <t>3004 / SFWZ-31|</t>
        </is>
      </c>
      <c r="FL4326" t="inlineStr">
        <is>
          <t>B</t>
        </is>
      </c>
      <c r="FP4326" t="inlineStr">
        <is>
          <t>B</t>
        </is>
      </c>
    </row>
    <row r="4327">
      <c r="FC4327" t="inlineStr">
        <is>
          <t>Diccionario 5</t>
        </is>
      </c>
      <c r="FD4327" t="inlineStr">
        <is>
          <t>3004 / SFWZ-31|</t>
        </is>
      </c>
      <c r="FL4327" t="inlineStr">
        <is>
          <t>B</t>
        </is>
      </c>
      <c r="FP4327" t="inlineStr">
        <is>
          <t>B</t>
        </is>
      </c>
    </row>
    <row r="4328">
      <c r="FC4328" t="inlineStr">
        <is>
          <t>Diccionario 5</t>
        </is>
      </c>
      <c r="FD4328" t="inlineStr">
        <is>
          <t>3005 / SFWZ-39|</t>
        </is>
      </c>
      <c r="FL4328" t="inlineStr">
        <is>
          <t>B</t>
        </is>
      </c>
      <c r="FP4328" t="inlineStr">
        <is>
          <t>B</t>
        </is>
      </c>
    </row>
    <row r="4329">
      <c r="FC4329" t="inlineStr">
        <is>
          <t>Diccionario 5</t>
        </is>
      </c>
      <c r="FD4329" t="inlineStr">
        <is>
          <t>3005 / SFWZ-39|</t>
        </is>
      </c>
      <c r="FL4329" t="inlineStr">
        <is>
          <t>B</t>
        </is>
      </c>
      <c r="FP4329" t="inlineStr">
        <is>
          <t>B</t>
        </is>
      </c>
    </row>
    <row r="4330">
      <c r="FC4330" t="inlineStr">
        <is>
          <t>Diccionario 5</t>
        </is>
      </c>
      <c r="FD4330" t="inlineStr">
        <is>
          <t>3005 / SFWZ-39|</t>
        </is>
      </c>
      <c r="FL4330" t="inlineStr">
        <is>
          <t>B</t>
        </is>
      </c>
      <c r="FP4330" t="inlineStr">
        <is>
          <t>B</t>
        </is>
      </c>
    </row>
    <row r="4331">
      <c r="FC4331" t="inlineStr">
        <is>
          <t>Diccionario 5</t>
        </is>
      </c>
      <c r="FD4331" t="inlineStr">
        <is>
          <t>3005 / SFWZ-39|</t>
        </is>
      </c>
      <c r="FL4331" t="inlineStr">
        <is>
          <t>B</t>
        </is>
      </c>
      <c r="FP4331" t="inlineStr">
        <is>
          <t>B</t>
        </is>
      </c>
    </row>
    <row r="4332">
      <c r="FC4332" t="inlineStr">
        <is>
          <t>Diccionario 5</t>
        </is>
      </c>
      <c r="FD4332" t="inlineStr">
        <is>
          <t>3005 / SFWZ-39|</t>
        </is>
      </c>
      <c r="FL4332" t="inlineStr">
        <is>
          <t>B</t>
        </is>
      </c>
      <c r="FP4332" t="inlineStr">
        <is>
          <t>B</t>
        </is>
      </c>
    </row>
    <row r="4333">
      <c r="FC4333" t="inlineStr">
        <is>
          <t>Diccionario 5</t>
        </is>
      </c>
      <c r="FD4333" t="inlineStr">
        <is>
          <t>3005 / SFWZ-39|</t>
        </is>
      </c>
      <c r="FL4333" t="inlineStr">
        <is>
          <t>B</t>
        </is>
      </c>
      <c r="FP4333" t="inlineStr">
        <is>
          <t>B</t>
        </is>
      </c>
    </row>
    <row r="4334">
      <c r="FC4334" t="inlineStr">
        <is>
          <t>Diccionario 5</t>
        </is>
      </c>
      <c r="FD4334" t="inlineStr">
        <is>
          <t>3005 / SFWZ-39|</t>
        </is>
      </c>
      <c r="FL4334" t="inlineStr">
        <is>
          <t>B</t>
        </is>
      </c>
      <c r="FP4334" t="inlineStr">
        <is>
          <t>B</t>
        </is>
      </c>
    </row>
    <row r="4335">
      <c r="FC4335" t="inlineStr">
        <is>
          <t>Diccionario 5</t>
        </is>
      </c>
      <c r="FD4335" t="inlineStr">
        <is>
          <t>3005 / SFWZ-39|</t>
        </is>
      </c>
      <c r="FL4335" t="inlineStr">
        <is>
          <t>B</t>
        </is>
      </c>
      <c r="FP4335" t="inlineStr">
        <is>
          <t>B</t>
        </is>
      </c>
    </row>
    <row r="4336">
      <c r="FC4336" t="inlineStr">
        <is>
          <t>Diccionario 5</t>
        </is>
      </c>
      <c r="FD4336" t="inlineStr">
        <is>
          <t>3006 / SFVZ-94|</t>
        </is>
      </c>
      <c r="FL4336" t="inlineStr">
        <is>
          <t>B</t>
        </is>
      </c>
      <c r="FP4336" t="inlineStr">
        <is>
          <t>B</t>
        </is>
      </c>
    </row>
    <row r="4337">
      <c r="FC4337" t="inlineStr">
        <is>
          <t>Diccionario 5</t>
        </is>
      </c>
      <c r="FD4337" t="inlineStr">
        <is>
          <t>3006 / SFVZ-94|</t>
        </is>
      </c>
      <c r="FL4337" t="inlineStr">
        <is>
          <t>B</t>
        </is>
      </c>
      <c r="FP4337" t="inlineStr">
        <is>
          <t>B</t>
        </is>
      </c>
    </row>
    <row r="4338">
      <c r="FC4338" t="inlineStr">
        <is>
          <t>Diccionario 5</t>
        </is>
      </c>
      <c r="FD4338" t="inlineStr">
        <is>
          <t>3006 / SFVZ-94|</t>
        </is>
      </c>
      <c r="FL4338" t="inlineStr">
        <is>
          <t>B</t>
        </is>
      </c>
      <c r="FP4338" t="inlineStr">
        <is>
          <t>B</t>
        </is>
      </c>
    </row>
    <row r="4339">
      <c r="FC4339" t="inlineStr">
        <is>
          <t>Diccionario 5</t>
        </is>
      </c>
      <c r="FD4339" t="inlineStr">
        <is>
          <t>3006 / SFVZ-94|</t>
        </is>
      </c>
      <c r="FL4339" t="inlineStr">
        <is>
          <t>B</t>
        </is>
      </c>
      <c r="FP4339" t="inlineStr">
        <is>
          <t>B</t>
        </is>
      </c>
    </row>
    <row r="4340">
      <c r="FC4340" t="inlineStr">
        <is>
          <t>Diccionario 5</t>
        </is>
      </c>
      <c r="FD4340" t="inlineStr">
        <is>
          <t>3006 / SFVZ-94|</t>
        </is>
      </c>
      <c r="FL4340" t="inlineStr">
        <is>
          <t>B</t>
        </is>
      </c>
      <c r="FP4340" t="inlineStr">
        <is>
          <t>B</t>
        </is>
      </c>
    </row>
    <row r="4341">
      <c r="FC4341" t="inlineStr">
        <is>
          <t>Diccionario 5</t>
        </is>
      </c>
      <c r="FD4341" t="inlineStr">
        <is>
          <t>3007 / SFWB-50|</t>
        </is>
      </c>
      <c r="FL4341" t="inlineStr">
        <is>
          <t>B</t>
        </is>
      </c>
      <c r="FP4341" t="inlineStr">
        <is>
          <t>B</t>
        </is>
      </c>
    </row>
    <row r="4342">
      <c r="FC4342" t="inlineStr">
        <is>
          <t>Diccionario 5</t>
        </is>
      </c>
      <c r="FD4342" t="inlineStr">
        <is>
          <t>3007 / SFWB-50|</t>
        </is>
      </c>
      <c r="FL4342" t="inlineStr">
        <is>
          <t>B</t>
        </is>
      </c>
      <c r="FP4342" t="inlineStr">
        <is>
          <t>B</t>
        </is>
      </c>
    </row>
    <row r="4343">
      <c r="FC4343" t="inlineStr">
        <is>
          <t>Diccionario 5</t>
        </is>
      </c>
      <c r="FD4343" t="inlineStr">
        <is>
          <t>3007 / SFWB-50|</t>
        </is>
      </c>
      <c r="FL4343" t="inlineStr">
        <is>
          <t>B</t>
        </is>
      </c>
      <c r="FP4343" t="inlineStr">
        <is>
          <t>B</t>
        </is>
      </c>
    </row>
    <row r="4344">
      <c r="FC4344" t="inlineStr">
        <is>
          <t>Diccionario 5</t>
        </is>
      </c>
      <c r="FD4344" t="inlineStr">
        <is>
          <t>3007 / SFWB-50|</t>
        </is>
      </c>
      <c r="FL4344" t="inlineStr">
        <is>
          <t>B</t>
        </is>
      </c>
      <c r="FP4344" t="inlineStr">
        <is>
          <t>B</t>
        </is>
      </c>
    </row>
    <row r="4345">
      <c r="FC4345" t="inlineStr">
        <is>
          <t>Diccionario 5</t>
        </is>
      </c>
      <c r="FD4345" t="inlineStr">
        <is>
          <t>3007 / SFWB-50|</t>
        </is>
      </c>
      <c r="FL4345" t="inlineStr">
        <is>
          <t>B</t>
        </is>
      </c>
      <c r="FP4345" t="inlineStr">
        <is>
          <t>B</t>
        </is>
      </c>
    </row>
    <row r="4346">
      <c r="FC4346" t="inlineStr">
        <is>
          <t>Diccionario 5</t>
        </is>
      </c>
      <c r="FD4346" t="inlineStr">
        <is>
          <t>3008 / SFWB-58|</t>
        </is>
      </c>
      <c r="FL4346" t="inlineStr">
        <is>
          <t>B</t>
        </is>
      </c>
      <c r="FP4346" t="inlineStr">
        <is>
          <t>B</t>
        </is>
      </c>
    </row>
    <row r="4347">
      <c r="FC4347" t="inlineStr">
        <is>
          <t>Diccionario 5</t>
        </is>
      </c>
      <c r="FD4347" t="inlineStr">
        <is>
          <t>3008 / SFWB-58|</t>
        </is>
      </c>
      <c r="FL4347" t="inlineStr">
        <is>
          <t>B</t>
        </is>
      </c>
      <c r="FP4347" t="inlineStr">
        <is>
          <t>B</t>
        </is>
      </c>
    </row>
    <row r="4348">
      <c r="FC4348" t="inlineStr">
        <is>
          <t>Diccionario 5</t>
        </is>
      </c>
      <c r="FD4348" t="inlineStr">
        <is>
          <t>3009 / SFVZ-87|</t>
        </is>
      </c>
      <c r="FL4348" t="inlineStr">
        <is>
          <t>B</t>
        </is>
      </c>
      <c r="FP4348" t="inlineStr">
        <is>
          <t>B</t>
        </is>
      </c>
    </row>
    <row r="4349">
      <c r="FC4349" t="inlineStr">
        <is>
          <t>Diccionario 5</t>
        </is>
      </c>
      <c r="FD4349" t="inlineStr">
        <is>
          <t>3009 / SFVZ-87|</t>
        </is>
      </c>
      <c r="FL4349" t="inlineStr">
        <is>
          <t>B</t>
        </is>
      </c>
      <c r="FP4349" t="inlineStr">
        <is>
          <t>B</t>
        </is>
      </c>
    </row>
    <row r="4350">
      <c r="FC4350" t="inlineStr">
        <is>
          <t>Diccionario 5</t>
        </is>
      </c>
      <c r="FD4350" t="inlineStr">
        <is>
          <t>3009 / SFVZ-87|</t>
        </is>
      </c>
      <c r="FL4350" t="inlineStr">
        <is>
          <t>B</t>
        </is>
      </c>
      <c r="FP4350" t="inlineStr">
        <is>
          <t>B</t>
        </is>
      </c>
    </row>
    <row r="4351">
      <c r="FC4351" t="inlineStr">
        <is>
          <t>Diccionario 5</t>
        </is>
      </c>
      <c r="FD4351" t="inlineStr">
        <is>
          <t>3009 / SFVZ-87|</t>
        </is>
      </c>
      <c r="FL4351" t="inlineStr">
        <is>
          <t>B</t>
        </is>
      </c>
      <c r="FP4351" t="inlineStr">
        <is>
          <t>B</t>
        </is>
      </c>
    </row>
    <row r="4352">
      <c r="FC4352" t="inlineStr">
        <is>
          <t>Diccionario 5</t>
        </is>
      </c>
      <c r="FD4352" t="inlineStr">
        <is>
          <t>3011 / SFWB-46|</t>
        </is>
      </c>
      <c r="FL4352" t="inlineStr">
        <is>
          <t>B</t>
        </is>
      </c>
      <c r="FP4352" t="inlineStr">
        <is>
          <t>B</t>
        </is>
      </c>
    </row>
    <row r="4353">
      <c r="FC4353" t="inlineStr">
        <is>
          <t>Diccionario 5</t>
        </is>
      </c>
      <c r="FD4353" t="inlineStr">
        <is>
          <t>3011 / SFWB-46|</t>
        </is>
      </c>
      <c r="FL4353" t="inlineStr">
        <is>
          <t>B</t>
        </is>
      </c>
      <c r="FP4353" t="inlineStr">
        <is>
          <t>B</t>
        </is>
      </c>
    </row>
    <row r="4354">
      <c r="FC4354" t="inlineStr">
        <is>
          <t>Diccionario 5</t>
        </is>
      </c>
      <c r="FD4354" t="inlineStr">
        <is>
          <t>3011 / SFWB-46|</t>
        </is>
      </c>
      <c r="FL4354" t="inlineStr">
        <is>
          <t>B</t>
        </is>
      </c>
      <c r="FP4354" t="inlineStr">
        <is>
          <t>B</t>
        </is>
      </c>
    </row>
    <row r="4355">
      <c r="FC4355" t="inlineStr">
        <is>
          <t>Diccionario 5</t>
        </is>
      </c>
      <c r="FD4355" t="inlineStr">
        <is>
          <t>3011 / SFWB-46|</t>
        </is>
      </c>
      <c r="FL4355" t="inlineStr">
        <is>
          <t>B</t>
        </is>
      </c>
      <c r="FP4355" t="inlineStr">
        <is>
          <t>B</t>
        </is>
      </c>
    </row>
    <row r="4356">
      <c r="FC4356" t="inlineStr">
        <is>
          <t>Diccionario 5</t>
        </is>
      </c>
      <c r="FD4356" t="inlineStr">
        <is>
          <t>3012 / SFWB-72|</t>
        </is>
      </c>
      <c r="FL4356" t="inlineStr">
        <is>
          <t>B</t>
        </is>
      </c>
      <c r="FP4356" t="inlineStr">
        <is>
          <t>B</t>
        </is>
      </c>
    </row>
    <row r="4357">
      <c r="FC4357" t="inlineStr">
        <is>
          <t>Diccionario 5</t>
        </is>
      </c>
      <c r="FD4357" t="inlineStr">
        <is>
          <t>3012 / SFWB-72|</t>
        </is>
      </c>
      <c r="FL4357" t="inlineStr">
        <is>
          <t>B</t>
        </is>
      </c>
      <c r="FP4357" t="inlineStr">
        <is>
          <t>B</t>
        </is>
      </c>
    </row>
    <row r="4358">
      <c r="FC4358" t="inlineStr">
        <is>
          <t>Diccionario 5</t>
        </is>
      </c>
      <c r="FD4358" t="inlineStr">
        <is>
          <t>3012 / SFWB-72|</t>
        </is>
      </c>
      <c r="FL4358" t="inlineStr">
        <is>
          <t>B</t>
        </is>
      </c>
      <c r="FP4358" t="inlineStr">
        <is>
          <t>B</t>
        </is>
      </c>
    </row>
    <row r="4359">
      <c r="FC4359" t="inlineStr">
        <is>
          <t>Diccionario 5</t>
        </is>
      </c>
      <c r="FD4359" t="inlineStr">
        <is>
          <t>3012 / SFWB-72|</t>
        </is>
      </c>
      <c r="FL4359" t="inlineStr">
        <is>
          <t>B</t>
        </is>
      </c>
      <c r="FP4359" t="inlineStr">
        <is>
          <t>B</t>
        </is>
      </c>
    </row>
    <row r="4360">
      <c r="FC4360" t="inlineStr">
        <is>
          <t>Diccionario 5</t>
        </is>
      </c>
      <c r="FD4360" t="inlineStr">
        <is>
          <t>3012 / SFWB-72|</t>
        </is>
      </c>
      <c r="FL4360" t="inlineStr">
        <is>
          <t>B</t>
        </is>
      </c>
      <c r="FP4360" t="inlineStr">
        <is>
          <t>B</t>
        </is>
      </c>
    </row>
    <row r="4361">
      <c r="FC4361" t="inlineStr">
        <is>
          <t>Diccionario 5</t>
        </is>
      </c>
      <c r="FD4361" t="inlineStr">
        <is>
          <t>3012 / SFWB-72|</t>
        </is>
      </c>
      <c r="FL4361" t="inlineStr">
        <is>
          <t>B</t>
        </is>
      </c>
      <c r="FP4361" t="inlineStr">
        <is>
          <t>B</t>
        </is>
      </c>
    </row>
    <row r="4362">
      <c r="FC4362" t="inlineStr">
        <is>
          <t>Diccionario 5</t>
        </is>
      </c>
      <c r="FD4362" t="inlineStr">
        <is>
          <t>3013 / SFWZ-18|</t>
        </is>
      </c>
      <c r="FL4362" t="inlineStr">
        <is>
          <t>B</t>
        </is>
      </c>
      <c r="FP4362" t="inlineStr">
        <is>
          <t>B</t>
        </is>
      </c>
    </row>
    <row r="4363">
      <c r="FC4363" t="inlineStr">
        <is>
          <t>Diccionario 5</t>
        </is>
      </c>
      <c r="FD4363" t="inlineStr">
        <is>
          <t>3013 / SFWZ-18|</t>
        </is>
      </c>
      <c r="FL4363" t="inlineStr">
        <is>
          <t>B</t>
        </is>
      </c>
      <c r="FP4363" t="inlineStr">
        <is>
          <t>B</t>
        </is>
      </c>
    </row>
    <row r="4364">
      <c r="FC4364" t="inlineStr">
        <is>
          <t>Diccionario 5</t>
        </is>
      </c>
      <c r="FD4364" t="inlineStr">
        <is>
          <t>3013 / SFWZ-18|</t>
        </is>
      </c>
      <c r="FL4364" t="inlineStr">
        <is>
          <t>B</t>
        </is>
      </c>
      <c r="FP4364" t="inlineStr">
        <is>
          <t>B</t>
        </is>
      </c>
    </row>
    <row r="4365">
      <c r="FC4365" t="inlineStr">
        <is>
          <t>Diccionario 5</t>
        </is>
      </c>
      <c r="FD4365" t="inlineStr">
        <is>
          <t>3014 / SFWZ-26|</t>
        </is>
      </c>
      <c r="FL4365" t="inlineStr">
        <is>
          <t>B</t>
        </is>
      </c>
      <c r="FP4365" t="inlineStr">
        <is>
          <t>B</t>
        </is>
      </c>
    </row>
    <row r="4366">
      <c r="FC4366" t="inlineStr">
        <is>
          <t>Diccionario 5</t>
        </is>
      </c>
      <c r="FD4366" t="inlineStr">
        <is>
          <t>3014 / SFWZ-26|</t>
        </is>
      </c>
      <c r="FL4366" t="inlineStr">
        <is>
          <t>B</t>
        </is>
      </c>
      <c r="FP4366" t="inlineStr">
        <is>
          <t>B</t>
        </is>
      </c>
    </row>
    <row r="4367">
      <c r="FC4367" t="inlineStr">
        <is>
          <t>Diccionario 5</t>
        </is>
      </c>
      <c r="FD4367" t="inlineStr">
        <is>
          <t>3014 / SFWZ-26|</t>
        </is>
      </c>
      <c r="FL4367" t="inlineStr">
        <is>
          <t>B</t>
        </is>
      </c>
      <c r="FP4367" t="inlineStr">
        <is>
          <t>B</t>
        </is>
      </c>
    </row>
    <row r="4368">
      <c r="FC4368" t="inlineStr">
        <is>
          <t>Diccionario 5</t>
        </is>
      </c>
      <c r="FD4368" t="inlineStr">
        <is>
          <t>3014 / SFWZ-26|</t>
        </is>
      </c>
      <c r="FL4368" t="inlineStr">
        <is>
          <t>B</t>
        </is>
      </c>
      <c r="FP4368" t="inlineStr">
        <is>
          <t>B</t>
        </is>
      </c>
    </row>
    <row r="4369">
      <c r="FC4369" t="inlineStr">
        <is>
          <t>Diccionario 5</t>
        </is>
      </c>
      <c r="FD4369" t="inlineStr">
        <is>
          <t>3015 / SFVZ-63|</t>
        </is>
      </c>
      <c r="FL4369" t="inlineStr">
        <is>
          <t>B</t>
        </is>
      </c>
      <c r="FP4369" t="inlineStr">
        <is>
          <t>B</t>
        </is>
      </c>
    </row>
    <row r="4370">
      <c r="FC4370" t="inlineStr">
        <is>
          <t>Diccionario 5</t>
        </is>
      </c>
      <c r="FD4370" t="inlineStr">
        <is>
          <t>3015 / SFVZ-63|</t>
        </is>
      </c>
      <c r="FL4370" t="inlineStr">
        <is>
          <t>B</t>
        </is>
      </c>
      <c r="FP4370" t="inlineStr">
        <is>
          <t>B</t>
        </is>
      </c>
    </row>
    <row r="4371">
      <c r="FC4371" t="inlineStr">
        <is>
          <t>Diccionario 5</t>
        </is>
      </c>
      <c r="FD4371" t="inlineStr">
        <is>
          <t>3015 / SFVZ-63|</t>
        </is>
      </c>
      <c r="FL4371" t="inlineStr">
        <is>
          <t>B</t>
        </is>
      </c>
      <c r="FP4371" t="inlineStr">
        <is>
          <t>B</t>
        </is>
      </c>
    </row>
    <row r="4372">
      <c r="FC4372" t="inlineStr">
        <is>
          <t>Diccionario 5</t>
        </is>
      </c>
      <c r="FD4372" t="inlineStr">
        <is>
          <t>3016 / SFWB-28|</t>
        </is>
      </c>
      <c r="FL4372" t="inlineStr">
        <is>
          <t>B</t>
        </is>
      </c>
      <c r="FP4372" t="inlineStr">
        <is>
          <t>B</t>
        </is>
      </c>
    </row>
    <row r="4373">
      <c r="FC4373" t="inlineStr">
        <is>
          <t>Diccionario 5</t>
        </is>
      </c>
      <c r="FD4373" t="inlineStr">
        <is>
          <t>3016 / SFWB-28|</t>
        </is>
      </c>
      <c r="FL4373" t="inlineStr">
        <is>
          <t>B</t>
        </is>
      </c>
      <c r="FP4373" t="inlineStr">
        <is>
          <t>B</t>
        </is>
      </c>
    </row>
    <row r="4374">
      <c r="FC4374" t="inlineStr">
        <is>
          <t>Diccionario 5</t>
        </is>
      </c>
      <c r="FD4374" t="inlineStr">
        <is>
          <t>3016 / SFWB-28|</t>
        </is>
      </c>
      <c r="FL4374" t="inlineStr">
        <is>
          <t>B</t>
        </is>
      </c>
      <c r="FP4374" t="inlineStr">
        <is>
          <t>B</t>
        </is>
      </c>
    </row>
    <row r="4375">
      <c r="FC4375" t="inlineStr">
        <is>
          <t>Diccionario 5</t>
        </is>
      </c>
      <c r="FD4375" t="inlineStr">
        <is>
          <t>3016 / SFWB-28|</t>
        </is>
      </c>
      <c r="FL4375" t="inlineStr">
        <is>
          <t>B</t>
        </is>
      </c>
      <c r="FP4375" t="inlineStr">
        <is>
          <t>B</t>
        </is>
      </c>
    </row>
    <row r="4376">
      <c r="FC4376" t="inlineStr">
        <is>
          <t>Diccionario 5</t>
        </is>
      </c>
      <c r="FD4376" t="inlineStr">
        <is>
          <t>3017 / SFWB-29|</t>
        </is>
      </c>
      <c r="FL4376" t="inlineStr">
        <is>
          <t>B</t>
        </is>
      </c>
      <c r="FP4376" t="inlineStr">
        <is>
          <t>B</t>
        </is>
      </c>
    </row>
    <row r="4377">
      <c r="FC4377" t="inlineStr">
        <is>
          <t>Diccionario 5</t>
        </is>
      </c>
      <c r="FD4377" t="inlineStr">
        <is>
          <t>3017 / SFWB-29|</t>
        </is>
      </c>
      <c r="FL4377" t="inlineStr">
        <is>
          <t>B</t>
        </is>
      </c>
      <c r="FP4377" t="inlineStr">
        <is>
          <t>B</t>
        </is>
      </c>
    </row>
    <row r="4378">
      <c r="FC4378" t="inlineStr">
        <is>
          <t>Diccionario 5</t>
        </is>
      </c>
      <c r="FD4378" t="inlineStr">
        <is>
          <t>3017 / SFWB-29|</t>
        </is>
      </c>
      <c r="FL4378" t="inlineStr">
        <is>
          <t>B</t>
        </is>
      </c>
      <c r="FP4378" t="inlineStr">
        <is>
          <t>B</t>
        </is>
      </c>
    </row>
    <row r="4379">
      <c r="FC4379" t="inlineStr">
        <is>
          <t>Diccionario 5</t>
        </is>
      </c>
      <c r="FD4379" t="inlineStr">
        <is>
          <t>3019 / SFWB-44|</t>
        </is>
      </c>
      <c r="FL4379" t="inlineStr">
        <is>
          <t>B</t>
        </is>
      </c>
      <c r="FP4379" t="inlineStr">
        <is>
          <t>B</t>
        </is>
      </c>
    </row>
    <row r="4380">
      <c r="FC4380" t="inlineStr">
        <is>
          <t>Diccionario 5</t>
        </is>
      </c>
      <c r="FD4380" t="inlineStr">
        <is>
          <t>3019 / SFWB-44|</t>
        </is>
      </c>
      <c r="FL4380" t="inlineStr">
        <is>
          <t>B</t>
        </is>
      </c>
      <c r="FP4380" t="inlineStr">
        <is>
          <t>B</t>
        </is>
      </c>
    </row>
    <row r="4381">
      <c r="FC4381" t="inlineStr">
        <is>
          <t>Diccionario 5</t>
        </is>
      </c>
      <c r="FD4381" t="inlineStr">
        <is>
          <t>3019 / SFWB-44|</t>
        </is>
      </c>
      <c r="FL4381" t="inlineStr">
        <is>
          <t>B</t>
        </is>
      </c>
      <c r="FP4381" t="inlineStr">
        <is>
          <t>B</t>
        </is>
      </c>
    </row>
    <row r="4382">
      <c r="FC4382" t="inlineStr">
        <is>
          <t>Diccionario 5</t>
        </is>
      </c>
      <c r="FD4382" t="inlineStr">
        <is>
          <t>3019 / SFWB-44|</t>
        </is>
      </c>
      <c r="FL4382" t="inlineStr">
        <is>
          <t>B</t>
        </is>
      </c>
      <c r="FP4382" t="inlineStr">
        <is>
          <t>B</t>
        </is>
      </c>
    </row>
    <row r="4383">
      <c r="FC4383" t="inlineStr">
        <is>
          <t>Diccionario 5</t>
        </is>
      </c>
      <c r="FD4383" t="inlineStr">
        <is>
          <t>3019 / SFWB-44|</t>
        </is>
      </c>
      <c r="FL4383" t="inlineStr">
        <is>
          <t>B</t>
        </is>
      </c>
      <c r="FP4383" t="inlineStr">
        <is>
          <t>B</t>
        </is>
      </c>
    </row>
    <row r="4384">
      <c r="FC4384" t="inlineStr">
        <is>
          <t>Diccionario 5</t>
        </is>
      </c>
      <c r="FD4384" t="inlineStr">
        <is>
          <t>3019 / SFWB-44|</t>
        </is>
      </c>
      <c r="FL4384" t="inlineStr">
        <is>
          <t>B</t>
        </is>
      </c>
      <c r="FP4384" t="inlineStr">
        <is>
          <t>B</t>
        </is>
      </c>
    </row>
    <row r="4385">
      <c r="FC4385" t="inlineStr">
        <is>
          <t>Diccionario 5</t>
        </is>
      </c>
      <c r="FD4385" t="inlineStr">
        <is>
          <t>3019 / SFWB-44|</t>
        </is>
      </c>
      <c r="FL4385" t="inlineStr">
        <is>
          <t>B</t>
        </is>
      </c>
      <c r="FP4385" t="inlineStr">
        <is>
          <t>B</t>
        </is>
      </c>
    </row>
    <row r="4386">
      <c r="FC4386" t="inlineStr">
        <is>
          <t>Diccionario 5</t>
        </is>
      </c>
      <c r="FD4386" t="inlineStr">
        <is>
          <t>3019 / SFWB-44|</t>
        </is>
      </c>
      <c r="FL4386" t="inlineStr">
        <is>
          <t>B</t>
        </is>
      </c>
      <c r="FP4386" t="inlineStr">
        <is>
          <t>B</t>
        </is>
      </c>
    </row>
    <row r="4387">
      <c r="FC4387" t="inlineStr">
        <is>
          <t>Diccionario 5</t>
        </is>
      </c>
      <c r="FD4387" t="inlineStr">
        <is>
          <t>3020 / SFWZ-20|</t>
        </is>
      </c>
      <c r="FL4387" t="inlineStr">
        <is>
          <t>B</t>
        </is>
      </c>
      <c r="FP4387" t="inlineStr">
        <is>
          <t>B</t>
        </is>
      </c>
    </row>
    <row r="4388">
      <c r="FC4388" t="inlineStr">
        <is>
          <t>Diccionario 5</t>
        </is>
      </c>
      <c r="FD4388" t="inlineStr">
        <is>
          <t>3020 / SFWZ-20|</t>
        </is>
      </c>
      <c r="FL4388" t="inlineStr">
        <is>
          <t>B</t>
        </is>
      </c>
      <c r="FP4388" t="inlineStr">
        <is>
          <t>B</t>
        </is>
      </c>
    </row>
    <row r="4389">
      <c r="FC4389" t="inlineStr">
        <is>
          <t>Diccionario 5</t>
        </is>
      </c>
      <c r="FD4389" t="inlineStr">
        <is>
          <t>3020 / SFWZ-20|</t>
        </is>
      </c>
      <c r="FL4389" t="inlineStr">
        <is>
          <t>B</t>
        </is>
      </c>
      <c r="FP4389" t="inlineStr">
        <is>
          <t>B</t>
        </is>
      </c>
    </row>
    <row r="4390">
      <c r="FC4390" t="inlineStr">
        <is>
          <t>Diccionario 5</t>
        </is>
      </c>
      <c r="FD4390" t="inlineStr">
        <is>
          <t>3020 / SFWZ-20|</t>
        </is>
      </c>
      <c r="FL4390" t="inlineStr">
        <is>
          <t>B</t>
        </is>
      </c>
      <c r="FP4390" t="inlineStr">
        <is>
          <t>B</t>
        </is>
      </c>
    </row>
    <row r="4391">
      <c r="FC4391" t="inlineStr">
        <is>
          <t>Diccionario 5</t>
        </is>
      </c>
      <c r="FD4391" t="inlineStr">
        <is>
          <t>3020 / SFWZ-20|</t>
        </is>
      </c>
      <c r="FL4391" t="inlineStr">
        <is>
          <t>B</t>
        </is>
      </c>
      <c r="FP4391" t="inlineStr">
        <is>
          <t>B</t>
        </is>
      </c>
    </row>
    <row r="4392">
      <c r="FC4392" t="inlineStr">
        <is>
          <t>Diccionario 5</t>
        </is>
      </c>
      <c r="FD4392" t="inlineStr">
        <is>
          <t>3021 / SFWZ-36|</t>
        </is>
      </c>
      <c r="FL4392" t="inlineStr">
        <is>
          <t>B</t>
        </is>
      </c>
      <c r="FP4392" t="inlineStr">
        <is>
          <t>B</t>
        </is>
      </c>
    </row>
    <row r="4393">
      <c r="FC4393" t="inlineStr">
        <is>
          <t>Diccionario 5</t>
        </is>
      </c>
      <c r="FD4393" t="inlineStr">
        <is>
          <t>3021 / SFWZ-36|</t>
        </is>
      </c>
      <c r="FL4393" t="inlineStr">
        <is>
          <t>B</t>
        </is>
      </c>
      <c r="FP4393" t="inlineStr">
        <is>
          <t>B</t>
        </is>
      </c>
    </row>
    <row r="4394">
      <c r="FC4394" t="inlineStr">
        <is>
          <t>Diccionario 5</t>
        </is>
      </c>
      <c r="FD4394" t="inlineStr">
        <is>
          <t>3021 / SFWZ-36|</t>
        </is>
      </c>
      <c r="FL4394" t="inlineStr">
        <is>
          <t>B</t>
        </is>
      </c>
      <c r="FP4394" t="inlineStr">
        <is>
          <t>B</t>
        </is>
      </c>
    </row>
    <row r="4395">
      <c r="FC4395" t="inlineStr">
        <is>
          <t>Diccionario 5</t>
        </is>
      </c>
      <c r="FD4395" t="inlineStr">
        <is>
          <t>3021 / SFWZ-36|</t>
        </is>
      </c>
      <c r="FL4395" t="inlineStr">
        <is>
          <t>B</t>
        </is>
      </c>
      <c r="FP4395" t="inlineStr">
        <is>
          <t>B</t>
        </is>
      </c>
    </row>
    <row r="4396">
      <c r="FC4396" t="inlineStr">
        <is>
          <t>Diccionario 5</t>
        </is>
      </c>
      <c r="FD4396" t="inlineStr">
        <is>
          <t>3021 / SFWZ-36|</t>
        </is>
      </c>
      <c r="FL4396" t="inlineStr">
        <is>
          <t>B</t>
        </is>
      </c>
      <c r="FP4396" t="inlineStr">
        <is>
          <t>B</t>
        </is>
      </c>
    </row>
    <row r="4397">
      <c r="FC4397" t="inlineStr">
        <is>
          <t>Diccionario 5</t>
        </is>
      </c>
      <c r="FD4397" t="inlineStr">
        <is>
          <t>3022 / SFWB-31|</t>
        </is>
      </c>
      <c r="FL4397" t="inlineStr">
        <is>
          <t>B</t>
        </is>
      </c>
      <c r="FP4397" t="inlineStr">
        <is>
          <t>B</t>
        </is>
      </c>
    </row>
    <row r="4398">
      <c r="FC4398" t="inlineStr">
        <is>
          <t>Diccionario 5</t>
        </is>
      </c>
      <c r="FD4398" t="inlineStr">
        <is>
          <t>3022 / SFWB-31|</t>
        </is>
      </c>
      <c r="FL4398" t="inlineStr">
        <is>
          <t>B</t>
        </is>
      </c>
      <c r="FP4398" t="inlineStr">
        <is>
          <t>B</t>
        </is>
      </c>
    </row>
    <row r="4399">
      <c r="FC4399" t="inlineStr">
        <is>
          <t>Diccionario 5</t>
        </is>
      </c>
      <c r="FD4399" t="inlineStr">
        <is>
          <t>3023 / SFWB-33|</t>
        </is>
      </c>
      <c r="FL4399" t="inlineStr">
        <is>
          <t>B</t>
        </is>
      </c>
      <c r="FP4399" t="inlineStr">
        <is>
          <t>B</t>
        </is>
      </c>
    </row>
    <row r="4400">
      <c r="FC4400" t="inlineStr">
        <is>
          <t>Diccionario 5</t>
        </is>
      </c>
      <c r="FD4400" t="inlineStr">
        <is>
          <t>3023 / SFWB-33|</t>
        </is>
      </c>
      <c r="FL4400" t="inlineStr">
        <is>
          <t>B</t>
        </is>
      </c>
      <c r="FP4400" t="inlineStr">
        <is>
          <t>B</t>
        </is>
      </c>
    </row>
    <row r="4401">
      <c r="FC4401" t="inlineStr">
        <is>
          <t>Diccionario 5</t>
        </is>
      </c>
      <c r="FD4401" t="inlineStr">
        <is>
          <t>3023 / SFWB-33|</t>
        </is>
      </c>
      <c r="FL4401" t="inlineStr">
        <is>
          <t>B</t>
        </is>
      </c>
      <c r="FP4401" t="inlineStr">
        <is>
          <t>B</t>
        </is>
      </c>
    </row>
    <row r="4402">
      <c r="FC4402" t="inlineStr">
        <is>
          <t>Diccionario 5</t>
        </is>
      </c>
      <c r="FD4402" t="inlineStr">
        <is>
          <t>3023 / SFWB-33|</t>
        </is>
      </c>
      <c r="FL4402" t="inlineStr">
        <is>
          <t>B</t>
        </is>
      </c>
      <c r="FP4402" t="inlineStr">
        <is>
          <t>B</t>
        </is>
      </c>
    </row>
    <row r="4403">
      <c r="FC4403" t="inlineStr">
        <is>
          <t>Diccionario 5</t>
        </is>
      </c>
      <c r="FD4403" t="inlineStr">
        <is>
          <t>3023 / SFWB-33|</t>
        </is>
      </c>
      <c r="FL4403" t="inlineStr">
        <is>
          <t>B</t>
        </is>
      </c>
      <c r="FP4403" t="inlineStr">
        <is>
          <t>B</t>
        </is>
      </c>
    </row>
    <row r="4404">
      <c r="FC4404" t="inlineStr">
        <is>
          <t>Diccionario 5</t>
        </is>
      </c>
      <c r="FD4404" t="inlineStr">
        <is>
          <t>3023 / SFWB-33|</t>
        </is>
      </c>
      <c r="FL4404" t="inlineStr">
        <is>
          <t>B</t>
        </is>
      </c>
      <c r="FP4404" t="inlineStr">
        <is>
          <t>B</t>
        </is>
      </c>
    </row>
    <row r="4405">
      <c r="FC4405" t="inlineStr">
        <is>
          <t>Diccionario 5</t>
        </is>
      </c>
      <c r="FD4405" t="inlineStr">
        <is>
          <t>3023 / SFWB-33|</t>
        </is>
      </c>
      <c r="FL4405" t="inlineStr">
        <is>
          <t>B</t>
        </is>
      </c>
      <c r="FP4405" t="inlineStr">
        <is>
          <t>B</t>
        </is>
      </c>
    </row>
    <row r="4406">
      <c r="FC4406" t="inlineStr">
        <is>
          <t>Diccionario 5</t>
        </is>
      </c>
      <c r="FD4406" t="inlineStr">
        <is>
          <t>3024 / SFWB-76|</t>
        </is>
      </c>
      <c r="FL4406" t="inlineStr">
        <is>
          <t>B</t>
        </is>
      </c>
      <c r="FP4406" t="inlineStr">
        <is>
          <t>B</t>
        </is>
      </c>
    </row>
    <row r="4407">
      <c r="FC4407" t="inlineStr">
        <is>
          <t>Diccionario 5</t>
        </is>
      </c>
      <c r="FD4407" t="inlineStr">
        <is>
          <t>3024 / SFWB-76|</t>
        </is>
      </c>
      <c r="FL4407" t="inlineStr">
        <is>
          <t>B</t>
        </is>
      </c>
      <c r="FP4407" t="inlineStr">
        <is>
          <t>B</t>
        </is>
      </c>
    </row>
    <row r="4408">
      <c r="FC4408" t="inlineStr">
        <is>
          <t>Diccionario 5</t>
        </is>
      </c>
      <c r="FD4408" t="inlineStr">
        <is>
          <t>3024 / SFWB-76|</t>
        </is>
      </c>
      <c r="FL4408" t="inlineStr">
        <is>
          <t>B</t>
        </is>
      </c>
      <c r="FP4408" t="inlineStr">
        <is>
          <t>B</t>
        </is>
      </c>
    </row>
    <row r="4409">
      <c r="FC4409" t="inlineStr">
        <is>
          <t>Diccionario 5</t>
        </is>
      </c>
      <c r="FD4409" t="inlineStr">
        <is>
          <t>3024 / SFWB-76|</t>
        </is>
      </c>
      <c r="FL4409" t="inlineStr">
        <is>
          <t>B</t>
        </is>
      </c>
      <c r="FP4409" t="inlineStr">
        <is>
          <t>B</t>
        </is>
      </c>
    </row>
    <row r="4410">
      <c r="FC4410" t="inlineStr">
        <is>
          <t>Diccionario 5</t>
        </is>
      </c>
      <c r="FD4410" t="inlineStr">
        <is>
          <t>3024 / SFWB-76|</t>
        </is>
      </c>
      <c r="FL4410" t="inlineStr">
        <is>
          <t>B</t>
        </is>
      </c>
      <c r="FP4410" t="inlineStr">
        <is>
          <t>B</t>
        </is>
      </c>
    </row>
    <row r="4411">
      <c r="FC4411" t="inlineStr">
        <is>
          <t>Diccionario 5</t>
        </is>
      </c>
      <c r="FD4411" t="inlineStr">
        <is>
          <t>3025 / SFVZ-44|</t>
        </is>
      </c>
      <c r="FL4411" t="inlineStr">
        <is>
          <t>B</t>
        </is>
      </c>
      <c r="FP4411" t="inlineStr">
        <is>
          <t>B</t>
        </is>
      </c>
    </row>
    <row r="4412">
      <c r="FC4412" t="inlineStr">
        <is>
          <t>Diccionario 5</t>
        </is>
      </c>
      <c r="FD4412" t="inlineStr">
        <is>
          <t>3025 / SFVZ-44|</t>
        </is>
      </c>
      <c r="FL4412" t="inlineStr">
        <is>
          <t>B</t>
        </is>
      </c>
      <c r="FP4412" t="inlineStr">
        <is>
          <t>B</t>
        </is>
      </c>
    </row>
    <row r="4413">
      <c r="FC4413" t="inlineStr">
        <is>
          <t>Diccionario 5</t>
        </is>
      </c>
      <c r="FD4413" t="inlineStr">
        <is>
          <t>3025 / SFVZ-44|</t>
        </is>
      </c>
      <c r="FL4413" t="inlineStr">
        <is>
          <t>B</t>
        </is>
      </c>
      <c r="FP4413" t="inlineStr">
        <is>
          <t>B</t>
        </is>
      </c>
    </row>
    <row r="4414">
      <c r="FC4414" t="inlineStr">
        <is>
          <t>Diccionario 5</t>
        </is>
      </c>
      <c r="FD4414" t="inlineStr">
        <is>
          <t>3025 / SFVZ-44|</t>
        </is>
      </c>
      <c r="FL4414" t="inlineStr">
        <is>
          <t>B</t>
        </is>
      </c>
      <c r="FP4414" t="inlineStr">
        <is>
          <t>B</t>
        </is>
      </c>
    </row>
    <row r="4415">
      <c r="FC4415" t="inlineStr">
        <is>
          <t>Diccionario 5</t>
        </is>
      </c>
      <c r="FD4415" t="inlineStr">
        <is>
          <t>3026 / SFVZ-81|</t>
        </is>
      </c>
      <c r="FL4415" t="inlineStr">
        <is>
          <t>B</t>
        </is>
      </c>
      <c r="FP4415" t="inlineStr">
        <is>
          <t>B</t>
        </is>
      </c>
    </row>
    <row r="4416">
      <c r="FC4416" t="inlineStr">
        <is>
          <t>Diccionario 5</t>
        </is>
      </c>
      <c r="FD4416" t="inlineStr">
        <is>
          <t>3026 / SFVZ-81|</t>
        </is>
      </c>
      <c r="FL4416" t="inlineStr">
        <is>
          <t>B</t>
        </is>
      </c>
      <c r="FP4416" t="inlineStr">
        <is>
          <t>B</t>
        </is>
      </c>
    </row>
    <row r="4417">
      <c r="FC4417" t="inlineStr">
        <is>
          <t>Diccionario 5</t>
        </is>
      </c>
      <c r="FD4417" t="inlineStr">
        <is>
          <t>3026 / SFVZ-81|</t>
        </is>
      </c>
      <c r="FL4417" t="inlineStr">
        <is>
          <t>B</t>
        </is>
      </c>
      <c r="FP4417" t="inlineStr">
        <is>
          <t>B</t>
        </is>
      </c>
    </row>
    <row r="4418">
      <c r="FC4418" t="inlineStr">
        <is>
          <t>Diccionario 5</t>
        </is>
      </c>
      <c r="FD4418" t="inlineStr">
        <is>
          <t>3026 / SFVZ-81|</t>
        </is>
      </c>
      <c r="FL4418" t="inlineStr">
        <is>
          <t>B</t>
        </is>
      </c>
      <c r="FP4418" t="inlineStr">
        <is>
          <t>B</t>
        </is>
      </c>
    </row>
    <row r="4419">
      <c r="FC4419" t="inlineStr">
        <is>
          <t>Diccionario 5</t>
        </is>
      </c>
      <c r="FD4419" t="inlineStr">
        <is>
          <t>3026 / SFVZ-81|</t>
        </is>
      </c>
      <c r="FL4419" t="inlineStr">
        <is>
          <t>B</t>
        </is>
      </c>
      <c r="FP4419" t="inlineStr">
        <is>
          <t>B</t>
        </is>
      </c>
    </row>
    <row r="4420">
      <c r="FC4420" t="inlineStr">
        <is>
          <t>Diccionario 5</t>
        </is>
      </c>
      <c r="FD4420" t="inlineStr">
        <is>
          <t>3026 / SFVZ-81|</t>
        </is>
      </c>
      <c r="FL4420" t="inlineStr">
        <is>
          <t>B</t>
        </is>
      </c>
      <c r="FP4420" t="inlineStr">
        <is>
          <t>B</t>
        </is>
      </c>
    </row>
    <row r="4421">
      <c r="FC4421" t="inlineStr">
        <is>
          <t>Diccionario 5</t>
        </is>
      </c>
      <c r="FD4421" t="inlineStr">
        <is>
          <t>3026 / SFVZ-81|</t>
        </is>
      </c>
      <c r="FL4421" t="inlineStr">
        <is>
          <t>B</t>
        </is>
      </c>
      <c r="FP4421" t="inlineStr">
        <is>
          <t>B</t>
        </is>
      </c>
    </row>
    <row r="4422">
      <c r="FC4422" t="inlineStr">
        <is>
          <t>Diccionario 5</t>
        </is>
      </c>
      <c r="FD4422" t="inlineStr">
        <is>
          <t>3026 / SFVZ-81|</t>
        </is>
      </c>
      <c r="FL4422" t="inlineStr">
        <is>
          <t>B</t>
        </is>
      </c>
      <c r="FP4422" t="inlineStr">
        <is>
          <t>B</t>
        </is>
      </c>
    </row>
    <row r="4423">
      <c r="FC4423" t="inlineStr">
        <is>
          <t>Diccionario 5</t>
        </is>
      </c>
      <c r="FD4423" t="inlineStr">
        <is>
          <t>3027 / SFVZ-85|</t>
        </is>
      </c>
      <c r="FL4423" t="inlineStr">
        <is>
          <t>B</t>
        </is>
      </c>
      <c r="FP4423" t="inlineStr">
        <is>
          <t>B</t>
        </is>
      </c>
    </row>
    <row r="4424">
      <c r="FC4424" t="inlineStr">
        <is>
          <t>Diccionario 5</t>
        </is>
      </c>
      <c r="FD4424" t="inlineStr">
        <is>
          <t>3028 / SFWB-75|</t>
        </is>
      </c>
      <c r="FL4424" t="inlineStr">
        <is>
          <t>B</t>
        </is>
      </c>
      <c r="FP4424" t="inlineStr">
        <is>
          <t>B</t>
        </is>
      </c>
    </row>
    <row r="4425">
      <c r="FC4425" t="inlineStr">
        <is>
          <t>Diccionario 5</t>
        </is>
      </c>
      <c r="FD4425" t="inlineStr">
        <is>
          <t>3028 / SFWB-75|</t>
        </is>
      </c>
      <c r="FL4425" t="inlineStr">
        <is>
          <t>B</t>
        </is>
      </c>
      <c r="FP4425" t="inlineStr">
        <is>
          <t>B</t>
        </is>
      </c>
    </row>
    <row r="4426">
      <c r="FC4426" t="inlineStr">
        <is>
          <t>Diccionario 5</t>
        </is>
      </c>
      <c r="FD4426" t="inlineStr">
        <is>
          <t>3028 / SFWB-75|</t>
        </is>
      </c>
      <c r="FL4426" t="inlineStr">
        <is>
          <t>B</t>
        </is>
      </c>
      <c r="FP4426" t="inlineStr">
        <is>
          <t>B</t>
        </is>
      </c>
    </row>
    <row r="4427">
      <c r="FC4427" t="inlineStr">
        <is>
          <t>Diccionario 5</t>
        </is>
      </c>
      <c r="FD4427" t="inlineStr">
        <is>
          <t>3028 / SFWB-75|</t>
        </is>
      </c>
      <c r="FL4427" t="inlineStr">
        <is>
          <t>B</t>
        </is>
      </c>
      <c r="FP4427" t="inlineStr">
        <is>
          <t>B</t>
        </is>
      </c>
    </row>
    <row r="4428">
      <c r="FC4428" t="inlineStr">
        <is>
          <t>Diccionario 5</t>
        </is>
      </c>
      <c r="FD4428" t="inlineStr">
        <is>
          <t>3028 / SFWB-75|</t>
        </is>
      </c>
      <c r="FL4428" t="inlineStr">
        <is>
          <t>B</t>
        </is>
      </c>
      <c r="FP4428" t="inlineStr">
        <is>
          <t>B</t>
        </is>
      </c>
    </row>
    <row r="4429">
      <c r="FC4429" t="inlineStr">
        <is>
          <t>Diccionario 5</t>
        </is>
      </c>
      <c r="FD4429" t="inlineStr">
        <is>
          <t>3030 / SFWZ-14|</t>
        </is>
      </c>
      <c r="FL4429" t="inlineStr">
        <is>
          <t>B</t>
        </is>
      </c>
      <c r="FP4429" t="inlineStr">
        <is>
          <t>B</t>
        </is>
      </c>
    </row>
    <row r="4430">
      <c r="FC4430" t="inlineStr">
        <is>
          <t>Diccionario 5</t>
        </is>
      </c>
      <c r="FD4430" t="inlineStr">
        <is>
          <t>3030 / SFWZ-14|</t>
        </is>
      </c>
      <c r="FL4430" t="inlineStr">
        <is>
          <t>B</t>
        </is>
      </c>
      <c r="FP4430" t="inlineStr">
        <is>
          <t>B</t>
        </is>
      </c>
    </row>
    <row r="4431">
      <c r="FC4431" t="inlineStr">
        <is>
          <t>Diccionario 5</t>
        </is>
      </c>
      <c r="FD4431" t="inlineStr">
        <is>
          <t>3030 / SFWZ-14|</t>
        </is>
      </c>
      <c r="FL4431" t="inlineStr">
        <is>
          <t>B</t>
        </is>
      </c>
      <c r="FP4431" t="inlineStr">
        <is>
          <t>B</t>
        </is>
      </c>
    </row>
    <row r="4432">
      <c r="FC4432" t="inlineStr">
        <is>
          <t>Diccionario 5</t>
        </is>
      </c>
      <c r="FD4432" t="inlineStr">
        <is>
          <t>3030 / SFWZ-14|</t>
        </is>
      </c>
      <c r="FL4432" t="inlineStr">
        <is>
          <t>B</t>
        </is>
      </c>
      <c r="FP4432" t="inlineStr">
        <is>
          <t>B</t>
        </is>
      </c>
    </row>
    <row r="4433">
      <c r="FC4433" t="inlineStr">
        <is>
          <t>Diccionario 5</t>
        </is>
      </c>
      <c r="FD4433" t="inlineStr">
        <is>
          <t>3030 / SFWZ-14|</t>
        </is>
      </c>
      <c r="FL4433" t="inlineStr">
        <is>
          <t>B</t>
        </is>
      </c>
      <c r="FP4433" t="inlineStr">
        <is>
          <t>B</t>
        </is>
      </c>
    </row>
    <row r="4434">
      <c r="FC4434" t="inlineStr">
        <is>
          <t>Diccionario 5</t>
        </is>
      </c>
      <c r="FD4434" t="inlineStr">
        <is>
          <t>3030 / SFWZ-14|</t>
        </is>
      </c>
      <c r="FL4434" t="inlineStr">
        <is>
          <t>B</t>
        </is>
      </c>
      <c r="FP4434" t="inlineStr">
        <is>
          <t>B</t>
        </is>
      </c>
    </row>
    <row r="4435">
      <c r="FC4435" t="inlineStr">
        <is>
          <t>Diccionario 5</t>
        </is>
      </c>
      <c r="FD4435" t="inlineStr">
        <is>
          <t>3031 / SFWZ-33|</t>
        </is>
      </c>
      <c r="FL4435" t="inlineStr">
        <is>
          <t>B</t>
        </is>
      </c>
      <c r="FP4435" t="inlineStr">
        <is>
          <t>B</t>
        </is>
      </c>
    </row>
    <row r="4436">
      <c r="FC4436" t="inlineStr">
        <is>
          <t>Diccionario 5</t>
        </is>
      </c>
      <c r="FD4436" t="inlineStr">
        <is>
          <t>3031 / SFWZ-33|</t>
        </is>
      </c>
      <c r="FL4436" t="inlineStr">
        <is>
          <t>B</t>
        </is>
      </c>
      <c r="FP4436" t="inlineStr">
        <is>
          <t>B</t>
        </is>
      </c>
    </row>
    <row r="4437">
      <c r="FC4437" t="inlineStr">
        <is>
          <t>Diccionario 5</t>
        </is>
      </c>
      <c r="FD4437" t="inlineStr">
        <is>
          <t>3031 / SFWZ-33|</t>
        </is>
      </c>
      <c r="FL4437" t="inlineStr">
        <is>
          <t>B</t>
        </is>
      </c>
      <c r="FP4437" t="inlineStr">
        <is>
          <t>B</t>
        </is>
      </c>
    </row>
    <row r="4438">
      <c r="FC4438" t="inlineStr">
        <is>
          <t>Diccionario 5</t>
        </is>
      </c>
      <c r="FD4438" t="inlineStr">
        <is>
          <t>3031 / SFWZ-33|</t>
        </is>
      </c>
      <c r="FL4438" t="inlineStr">
        <is>
          <t>B</t>
        </is>
      </c>
      <c r="FP4438" t="inlineStr">
        <is>
          <t>B</t>
        </is>
      </c>
    </row>
    <row r="4439">
      <c r="FC4439" t="inlineStr">
        <is>
          <t>Diccionario 5</t>
        </is>
      </c>
      <c r="FD4439" t="inlineStr">
        <is>
          <t>3031 / SFWZ-33|</t>
        </is>
      </c>
      <c r="FL4439" t="inlineStr">
        <is>
          <t>B</t>
        </is>
      </c>
      <c r="FP4439" t="inlineStr">
        <is>
          <t>B</t>
        </is>
      </c>
    </row>
    <row r="4440">
      <c r="FC4440" t="inlineStr">
        <is>
          <t>Diccionario 5</t>
        </is>
      </c>
      <c r="FD4440" t="inlineStr">
        <is>
          <t>3031 / SFWZ-33|</t>
        </is>
      </c>
      <c r="FL4440" t="inlineStr">
        <is>
          <t>B</t>
        </is>
      </c>
      <c r="FP4440" t="inlineStr">
        <is>
          <t>B</t>
        </is>
      </c>
    </row>
    <row r="4441">
      <c r="FC4441" t="inlineStr">
        <is>
          <t>Diccionario 5</t>
        </is>
      </c>
      <c r="FD4441" t="inlineStr">
        <is>
          <t>3031 / SFWZ-33|</t>
        </is>
      </c>
      <c r="FL4441" t="inlineStr">
        <is>
          <t>B</t>
        </is>
      </c>
      <c r="FP4441" t="inlineStr">
        <is>
          <t>B</t>
        </is>
      </c>
    </row>
    <row r="4442">
      <c r="FC4442" t="inlineStr">
        <is>
          <t>Diccionario 5</t>
        </is>
      </c>
      <c r="FD4442" t="inlineStr">
        <is>
          <t>3031 / SFWZ-33|</t>
        </is>
      </c>
      <c r="FL4442" t="inlineStr">
        <is>
          <t>B</t>
        </is>
      </c>
      <c r="FP4442" t="inlineStr">
        <is>
          <t>B</t>
        </is>
      </c>
    </row>
    <row r="4443">
      <c r="FC4443" t="inlineStr">
        <is>
          <t>Diccionario 5</t>
        </is>
      </c>
      <c r="FD4443" t="inlineStr">
        <is>
          <t>3032 / SFWZ-34|</t>
        </is>
      </c>
      <c r="FL4443" t="inlineStr">
        <is>
          <t>B</t>
        </is>
      </c>
      <c r="FP4443" t="inlineStr">
        <is>
          <t>B</t>
        </is>
      </c>
    </row>
    <row r="4444">
      <c r="FC4444" t="inlineStr">
        <is>
          <t>Diccionario 5</t>
        </is>
      </c>
      <c r="FD4444" t="inlineStr">
        <is>
          <t>3032 / SFWZ-34|</t>
        </is>
      </c>
      <c r="FL4444" t="inlineStr">
        <is>
          <t>B</t>
        </is>
      </c>
      <c r="FP4444" t="inlineStr">
        <is>
          <t>B</t>
        </is>
      </c>
    </row>
    <row r="4445">
      <c r="FC4445" t="inlineStr">
        <is>
          <t>Diccionario 5</t>
        </is>
      </c>
      <c r="FD4445" t="inlineStr">
        <is>
          <t>3032 / SFWZ-34|</t>
        </is>
      </c>
      <c r="FL4445" t="inlineStr">
        <is>
          <t>B</t>
        </is>
      </c>
      <c r="FP4445" t="inlineStr">
        <is>
          <t>B</t>
        </is>
      </c>
    </row>
    <row r="4446">
      <c r="FC4446" t="inlineStr">
        <is>
          <t>Diccionario 5</t>
        </is>
      </c>
      <c r="FD4446" t="inlineStr">
        <is>
          <t>3032 / SFWZ-34|</t>
        </is>
      </c>
      <c r="FL4446" t="inlineStr">
        <is>
          <t>B</t>
        </is>
      </c>
      <c r="FP4446" t="inlineStr">
        <is>
          <t>B</t>
        </is>
      </c>
    </row>
    <row r="4447">
      <c r="FC4447" t="inlineStr">
        <is>
          <t>Diccionario 5</t>
        </is>
      </c>
      <c r="FD4447" t="inlineStr">
        <is>
          <t>3032 / SFWZ-34|</t>
        </is>
      </c>
      <c r="FL4447" t="inlineStr">
        <is>
          <t>B</t>
        </is>
      </c>
      <c r="FP4447" t="inlineStr">
        <is>
          <t>B</t>
        </is>
      </c>
    </row>
    <row r="4448">
      <c r="FC4448" t="inlineStr">
        <is>
          <t>Diccionario 5</t>
        </is>
      </c>
      <c r="FD4448" t="inlineStr">
        <is>
          <t>3032 / SFWZ-34|</t>
        </is>
      </c>
      <c r="FL4448" t="inlineStr">
        <is>
          <t>B</t>
        </is>
      </c>
      <c r="FP4448" t="inlineStr">
        <is>
          <t>B</t>
        </is>
      </c>
    </row>
    <row r="4449">
      <c r="FC4449" t="inlineStr">
        <is>
          <t>Diccionario 5</t>
        </is>
      </c>
      <c r="FD4449" t="inlineStr">
        <is>
          <t>3033 / SFVZ-29|</t>
        </is>
      </c>
      <c r="FL4449" t="inlineStr">
        <is>
          <t>B</t>
        </is>
      </c>
      <c r="FP4449" t="inlineStr">
        <is>
          <t>B</t>
        </is>
      </c>
    </row>
    <row r="4450">
      <c r="FC4450" t="inlineStr">
        <is>
          <t>Diccionario 5</t>
        </is>
      </c>
      <c r="FD4450" t="inlineStr">
        <is>
          <t>3033 / SFVZ-29|</t>
        </is>
      </c>
      <c r="FL4450" t="inlineStr">
        <is>
          <t>B</t>
        </is>
      </c>
      <c r="FP4450" t="inlineStr">
        <is>
          <t>B</t>
        </is>
      </c>
    </row>
    <row r="4451">
      <c r="FC4451" t="inlineStr">
        <is>
          <t>Diccionario 5</t>
        </is>
      </c>
      <c r="FD4451" t="inlineStr">
        <is>
          <t>3033 / SFVZ-29|</t>
        </is>
      </c>
      <c r="FL4451" t="inlineStr">
        <is>
          <t>B</t>
        </is>
      </c>
      <c r="FP4451" t="inlineStr">
        <is>
          <t>B</t>
        </is>
      </c>
    </row>
    <row r="4452">
      <c r="FC4452" t="inlineStr">
        <is>
          <t>Diccionario 5</t>
        </is>
      </c>
      <c r="FD4452" t="inlineStr">
        <is>
          <t>3033 / SFVZ-29|</t>
        </is>
      </c>
      <c r="FL4452" t="inlineStr">
        <is>
          <t>B</t>
        </is>
      </c>
      <c r="FP4452" t="inlineStr">
        <is>
          <t>B</t>
        </is>
      </c>
    </row>
    <row r="4453">
      <c r="FC4453" t="inlineStr">
        <is>
          <t>Diccionario 5</t>
        </is>
      </c>
      <c r="FD4453" t="inlineStr">
        <is>
          <t>3033 / SFVZ-29|</t>
        </is>
      </c>
      <c r="FL4453" t="inlineStr">
        <is>
          <t>B</t>
        </is>
      </c>
      <c r="FP4453" t="inlineStr">
        <is>
          <t>B</t>
        </is>
      </c>
    </row>
    <row r="4454">
      <c r="FC4454" t="inlineStr">
        <is>
          <t>Diccionario 5</t>
        </is>
      </c>
      <c r="FD4454" t="inlineStr">
        <is>
          <t>3035 / SFWB-64|</t>
        </is>
      </c>
      <c r="FL4454" t="inlineStr">
        <is>
          <t>B</t>
        </is>
      </c>
      <c r="FP4454" t="inlineStr">
        <is>
          <t>B</t>
        </is>
      </c>
    </row>
    <row r="4455">
      <c r="FC4455" t="inlineStr">
        <is>
          <t>Diccionario 5</t>
        </is>
      </c>
      <c r="FD4455" t="inlineStr">
        <is>
          <t>3035 / SFWB-64|</t>
        </is>
      </c>
      <c r="FL4455" t="inlineStr">
        <is>
          <t>B</t>
        </is>
      </c>
      <c r="FP4455" t="inlineStr">
        <is>
          <t>B</t>
        </is>
      </c>
    </row>
    <row r="4456">
      <c r="FC4456" t="inlineStr">
        <is>
          <t>Diccionario 5</t>
        </is>
      </c>
      <c r="FD4456" t="inlineStr">
        <is>
          <t>3035 / SFWB-64|</t>
        </is>
      </c>
      <c r="FL4456" t="inlineStr">
        <is>
          <t>B</t>
        </is>
      </c>
      <c r="FP4456" t="inlineStr">
        <is>
          <t>B</t>
        </is>
      </c>
    </row>
    <row r="4457">
      <c r="FC4457" t="inlineStr">
        <is>
          <t>Diccionario 5</t>
        </is>
      </c>
      <c r="FD4457" t="inlineStr">
        <is>
          <t>3035 / SFWB-64|</t>
        </is>
      </c>
      <c r="FL4457" t="inlineStr">
        <is>
          <t>B</t>
        </is>
      </c>
      <c r="FP4457" t="inlineStr">
        <is>
          <t>B</t>
        </is>
      </c>
    </row>
    <row r="4458">
      <c r="FC4458" t="inlineStr">
        <is>
          <t>Diccionario 5</t>
        </is>
      </c>
      <c r="FD4458" t="inlineStr">
        <is>
          <t>3036 / SFWB-77|</t>
        </is>
      </c>
      <c r="FL4458" t="inlineStr">
        <is>
          <t>B</t>
        </is>
      </c>
      <c r="FP4458" t="inlineStr">
        <is>
          <t>B</t>
        </is>
      </c>
    </row>
    <row r="4459">
      <c r="FC4459" t="inlineStr">
        <is>
          <t>Diccionario 5</t>
        </is>
      </c>
      <c r="FD4459" t="inlineStr">
        <is>
          <t>3036 / SFWB-77|</t>
        </is>
      </c>
      <c r="FL4459" t="inlineStr">
        <is>
          <t>B</t>
        </is>
      </c>
      <c r="FP4459" t="inlineStr">
        <is>
          <t>B</t>
        </is>
      </c>
    </row>
    <row r="4460">
      <c r="FC4460" t="inlineStr">
        <is>
          <t>Diccionario 5</t>
        </is>
      </c>
      <c r="FD4460" t="inlineStr">
        <is>
          <t>3036 / SFWB-77|</t>
        </is>
      </c>
      <c r="FL4460" t="inlineStr">
        <is>
          <t>B</t>
        </is>
      </c>
      <c r="FP4460" t="inlineStr">
        <is>
          <t>B</t>
        </is>
      </c>
    </row>
    <row r="4461">
      <c r="FC4461" t="inlineStr">
        <is>
          <t>Diccionario 5</t>
        </is>
      </c>
      <c r="FD4461" t="inlineStr">
        <is>
          <t>3036 / SFWB-77|</t>
        </is>
      </c>
      <c r="FL4461" t="inlineStr">
        <is>
          <t>B</t>
        </is>
      </c>
      <c r="FP4461" t="inlineStr">
        <is>
          <t>B</t>
        </is>
      </c>
    </row>
    <row r="4462">
      <c r="FC4462" t="inlineStr">
        <is>
          <t>Diccionario 5</t>
        </is>
      </c>
      <c r="FD4462" t="inlineStr">
        <is>
          <t>3036 / SFWB-77|</t>
        </is>
      </c>
      <c r="FL4462" t="inlineStr">
        <is>
          <t>B</t>
        </is>
      </c>
      <c r="FP4462" t="inlineStr">
        <is>
          <t>B</t>
        </is>
      </c>
    </row>
    <row r="4463">
      <c r="FC4463" t="inlineStr">
        <is>
          <t>Diccionario 5</t>
        </is>
      </c>
      <c r="FD4463" t="inlineStr">
        <is>
          <t>3036 / SFWB-77|</t>
        </is>
      </c>
      <c r="FL4463" t="inlineStr">
        <is>
          <t>B</t>
        </is>
      </c>
      <c r="FP4463" t="inlineStr">
        <is>
          <t>B</t>
        </is>
      </c>
    </row>
    <row r="4464">
      <c r="FC4464" t="inlineStr">
        <is>
          <t>Diccionario 5</t>
        </is>
      </c>
      <c r="FD4464" t="inlineStr">
        <is>
          <t>3037 / SFWB-87|</t>
        </is>
      </c>
      <c r="FL4464" t="inlineStr">
        <is>
          <t>B</t>
        </is>
      </c>
      <c r="FP4464" t="inlineStr">
        <is>
          <t>B</t>
        </is>
      </c>
    </row>
    <row r="4465">
      <c r="FC4465" t="inlineStr">
        <is>
          <t>Diccionario 5</t>
        </is>
      </c>
      <c r="FD4465" t="inlineStr">
        <is>
          <t>3037 / SFWB-87|</t>
        </is>
      </c>
      <c r="FL4465" t="inlineStr">
        <is>
          <t>B</t>
        </is>
      </c>
      <c r="FP4465" t="inlineStr">
        <is>
          <t>B</t>
        </is>
      </c>
    </row>
    <row r="4466">
      <c r="FC4466" t="inlineStr">
        <is>
          <t>Diccionario 5</t>
        </is>
      </c>
      <c r="FD4466" t="inlineStr">
        <is>
          <t>3037 / SFWB-87|</t>
        </is>
      </c>
      <c r="FL4466" t="inlineStr">
        <is>
          <t>B</t>
        </is>
      </c>
      <c r="FP4466" t="inlineStr">
        <is>
          <t>B</t>
        </is>
      </c>
    </row>
    <row r="4467">
      <c r="FC4467" t="inlineStr">
        <is>
          <t>Diccionario 5</t>
        </is>
      </c>
      <c r="FD4467" t="inlineStr">
        <is>
          <t>3037 / SFWB-87|</t>
        </is>
      </c>
      <c r="FL4467" t="inlineStr">
        <is>
          <t>B</t>
        </is>
      </c>
      <c r="FP4467" t="inlineStr">
        <is>
          <t>B</t>
        </is>
      </c>
    </row>
    <row r="4468">
      <c r="FC4468" t="inlineStr">
        <is>
          <t>Diccionario 5</t>
        </is>
      </c>
      <c r="FD4468" t="inlineStr">
        <is>
          <t>3038 / SFWB-90|</t>
        </is>
      </c>
      <c r="FL4468" t="inlineStr">
        <is>
          <t>B</t>
        </is>
      </c>
      <c r="FP4468" t="inlineStr">
        <is>
          <t>B</t>
        </is>
      </c>
    </row>
    <row r="4469">
      <c r="FC4469" t="inlineStr">
        <is>
          <t>Diccionario 5</t>
        </is>
      </c>
      <c r="FD4469" t="inlineStr">
        <is>
          <t>3038 / SFWB-90|</t>
        </is>
      </c>
      <c r="FL4469" t="inlineStr">
        <is>
          <t>B</t>
        </is>
      </c>
      <c r="FP4469" t="inlineStr">
        <is>
          <t>B</t>
        </is>
      </c>
    </row>
    <row r="4470">
      <c r="FC4470" t="inlineStr">
        <is>
          <t>Diccionario 5</t>
        </is>
      </c>
      <c r="FD4470" t="inlineStr">
        <is>
          <t>3038 / SFWB-90|</t>
        </is>
      </c>
      <c r="FL4470" t="inlineStr">
        <is>
          <t>B</t>
        </is>
      </c>
      <c r="FP4470" t="inlineStr">
        <is>
          <t>B</t>
        </is>
      </c>
    </row>
    <row r="4471">
      <c r="FC4471" t="inlineStr">
        <is>
          <t>Diccionario 5</t>
        </is>
      </c>
      <c r="FD4471" t="inlineStr">
        <is>
          <t>3038 / SFWB-90|</t>
        </is>
      </c>
      <c r="FL4471" t="inlineStr">
        <is>
          <t>B</t>
        </is>
      </c>
      <c r="FP4471" t="inlineStr">
        <is>
          <t>B</t>
        </is>
      </c>
    </row>
    <row r="4472">
      <c r="FC4472" t="inlineStr">
        <is>
          <t>Diccionario 5</t>
        </is>
      </c>
      <c r="FD4472" t="inlineStr">
        <is>
          <t>3040 / SFWZ-27|</t>
        </is>
      </c>
      <c r="FL4472" t="inlineStr">
        <is>
          <t>B</t>
        </is>
      </c>
      <c r="FP4472" t="inlineStr">
        <is>
          <t>B</t>
        </is>
      </c>
    </row>
    <row r="4473">
      <c r="FC4473" t="inlineStr">
        <is>
          <t>Diccionario 5</t>
        </is>
      </c>
      <c r="FD4473" t="inlineStr">
        <is>
          <t>3041 / SFVZ-49|</t>
        </is>
      </c>
      <c r="FL4473" t="inlineStr">
        <is>
          <t>B</t>
        </is>
      </c>
      <c r="FP4473" t="inlineStr">
        <is>
          <t>B</t>
        </is>
      </c>
    </row>
    <row r="4474">
      <c r="FC4474" t="inlineStr">
        <is>
          <t>Diccionario 5</t>
        </is>
      </c>
      <c r="FD4474" t="inlineStr">
        <is>
          <t>3041 / SFVZ-49|</t>
        </is>
      </c>
      <c r="FL4474" t="inlineStr">
        <is>
          <t>B</t>
        </is>
      </c>
      <c r="FP4474" t="inlineStr">
        <is>
          <t>B</t>
        </is>
      </c>
    </row>
    <row r="4475">
      <c r="FC4475" t="inlineStr">
        <is>
          <t>Diccionario 5</t>
        </is>
      </c>
      <c r="FD4475" t="inlineStr">
        <is>
          <t>3041 / SFVZ-49|</t>
        </is>
      </c>
      <c r="FL4475" t="inlineStr">
        <is>
          <t>B</t>
        </is>
      </c>
      <c r="FP4475" t="inlineStr">
        <is>
          <t>B</t>
        </is>
      </c>
    </row>
    <row r="4476">
      <c r="FC4476" t="inlineStr">
        <is>
          <t>Diccionario 5</t>
        </is>
      </c>
      <c r="FD4476" t="inlineStr">
        <is>
          <t>3041 / SFVZ-49|</t>
        </is>
      </c>
      <c r="FL4476" t="inlineStr">
        <is>
          <t>B</t>
        </is>
      </c>
      <c r="FP4476" t="inlineStr">
        <is>
          <t>B</t>
        </is>
      </c>
    </row>
    <row r="4477">
      <c r="FC4477" t="inlineStr">
        <is>
          <t>Diccionario 5</t>
        </is>
      </c>
      <c r="FD4477" t="inlineStr">
        <is>
          <t>3041 / SFVZ-49|</t>
        </is>
      </c>
      <c r="FL4477" t="inlineStr">
        <is>
          <t>B</t>
        </is>
      </c>
      <c r="FP4477" t="inlineStr">
        <is>
          <t>B</t>
        </is>
      </c>
    </row>
    <row r="4478">
      <c r="FC4478" t="inlineStr">
        <is>
          <t>Diccionario 5</t>
        </is>
      </c>
      <c r="FD4478" t="inlineStr">
        <is>
          <t>3041 / SFVZ-49|</t>
        </is>
      </c>
      <c r="FL4478" t="inlineStr">
        <is>
          <t>B</t>
        </is>
      </c>
      <c r="FP4478" t="inlineStr">
        <is>
          <t>B</t>
        </is>
      </c>
    </row>
    <row r="4479">
      <c r="FC4479" t="inlineStr">
        <is>
          <t>Diccionario 5</t>
        </is>
      </c>
      <c r="FD4479" t="inlineStr">
        <is>
          <t>3041 / SFVZ-49|</t>
        </is>
      </c>
      <c r="FL4479" t="inlineStr">
        <is>
          <t>B</t>
        </is>
      </c>
      <c r="FP4479" t="inlineStr">
        <is>
          <t>B</t>
        </is>
      </c>
    </row>
    <row r="4480">
      <c r="FC4480" t="inlineStr">
        <is>
          <t>Diccionario 5</t>
        </is>
      </c>
      <c r="FD4480" t="inlineStr">
        <is>
          <t>3041 / SFVZ-49|</t>
        </is>
      </c>
      <c r="FL4480" t="inlineStr">
        <is>
          <t>B</t>
        </is>
      </c>
      <c r="FP4480" t="inlineStr">
        <is>
          <t>B</t>
        </is>
      </c>
    </row>
    <row r="4481">
      <c r="FC4481" t="inlineStr">
        <is>
          <t>Diccionario 5</t>
        </is>
      </c>
      <c r="FD4481" t="inlineStr">
        <is>
          <t>3041 / SFVZ-49|</t>
        </is>
      </c>
      <c r="FL4481" t="inlineStr">
        <is>
          <t>B</t>
        </is>
      </c>
      <c r="FP4481" t="inlineStr">
        <is>
          <t>B</t>
        </is>
      </c>
    </row>
    <row r="4482">
      <c r="FC4482" t="inlineStr">
        <is>
          <t>Diccionario 5</t>
        </is>
      </c>
      <c r="FD4482" t="inlineStr">
        <is>
          <t>3041 / SFVZ-49|</t>
        </is>
      </c>
      <c r="FL4482" t="inlineStr">
        <is>
          <t>B</t>
        </is>
      </c>
      <c r="FP4482" t="inlineStr">
        <is>
          <t>B</t>
        </is>
      </c>
    </row>
    <row r="4483">
      <c r="FC4483" t="inlineStr">
        <is>
          <t>Diccionario 5</t>
        </is>
      </c>
      <c r="FD4483" t="inlineStr">
        <is>
          <t>3042 / SFVZ-56|</t>
        </is>
      </c>
      <c r="FL4483" t="inlineStr">
        <is>
          <t>B</t>
        </is>
      </c>
      <c r="FP4483" t="inlineStr">
        <is>
          <t>B</t>
        </is>
      </c>
    </row>
    <row r="4484">
      <c r="FC4484" t="inlineStr">
        <is>
          <t>Diccionario 5</t>
        </is>
      </c>
      <c r="FD4484" t="inlineStr">
        <is>
          <t>3042 / SFVZ-56|</t>
        </is>
      </c>
      <c r="FL4484" t="inlineStr">
        <is>
          <t>B</t>
        </is>
      </c>
      <c r="FP4484" t="inlineStr">
        <is>
          <t>B</t>
        </is>
      </c>
    </row>
    <row r="4485">
      <c r="FC4485" t="inlineStr">
        <is>
          <t>Diccionario 5</t>
        </is>
      </c>
      <c r="FD4485" t="inlineStr">
        <is>
          <t>3044 / SFVZ-67|</t>
        </is>
      </c>
      <c r="FL4485" t="inlineStr">
        <is>
          <t>B</t>
        </is>
      </c>
      <c r="FP4485" t="inlineStr">
        <is>
          <t>B</t>
        </is>
      </c>
    </row>
    <row r="4486">
      <c r="FC4486" t="inlineStr">
        <is>
          <t>Diccionario 5</t>
        </is>
      </c>
      <c r="FD4486" t="inlineStr">
        <is>
          <t>3044 / SFVZ-67|</t>
        </is>
      </c>
      <c r="FL4486" t="inlineStr">
        <is>
          <t>B</t>
        </is>
      </c>
      <c r="FP4486" t="inlineStr">
        <is>
          <t>B</t>
        </is>
      </c>
    </row>
    <row r="4487">
      <c r="FC4487" t="inlineStr">
        <is>
          <t>Diccionario 5</t>
        </is>
      </c>
      <c r="FD4487" t="inlineStr">
        <is>
          <t>3044 / SFVZ-67|</t>
        </is>
      </c>
      <c r="FL4487" t="inlineStr">
        <is>
          <t>B</t>
        </is>
      </c>
      <c r="FP4487" t="inlineStr">
        <is>
          <t>B</t>
        </is>
      </c>
    </row>
    <row r="4488">
      <c r="FC4488" t="inlineStr">
        <is>
          <t>Diccionario 5</t>
        </is>
      </c>
      <c r="FD4488" t="inlineStr">
        <is>
          <t>3044 / SFVZ-67|</t>
        </is>
      </c>
      <c r="FL4488" t="inlineStr">
        <is>
          <t>B</t>
        </is>
      </c>
      <c r="FP4488" t="inlineStr">
        <is>
          <t>B</t>
        </is>
      </c>
    </row>
    <row r="4489">
      <c r="FC4489" t="inlineStr">
        <is>
          <t>Diccionario 5</t>
        </is>
      </c>
      <c r="FD4489" t="inlineStr">
        <is>
          <t>3044 / SFVZ-67|</t>
        </is>
      </c>
      <c r="FL4489" t="inlineStr">
        <is>
          <t>B</t>
        </is>
      </c>
      <c r="FP4489" t="inlineStr">
        <is>
          <t>B</t>
        </is>
      </c>
    </row>
    <row r="4490">
      <c r="FC4490" t="inlineStr">
        <is>
          <t>Diccionario 5</t>
        </is>
      </c>
      <c r="FD4490" t="inlineStr">
        <is>
          <t>3045 / SFWB-48|</t>
        </is>
      </c>
      <c r="FL4490" t="inlineStr">
        <is>
          <t>B</t>
        </is>
      </c>
      <c r="FP4490" t="inlineStr">
        <is>
          <t>B</t>
        </is>
      </c>
    </row>
    <row r="4491">
      <c r="FC4491" t="inlineStr">
        <is>
          <t>Diccionario 5</t>
        </is>
      </c>
      <c r="FD4491" t="inlineStr">
        <is>
          <t>3045 / SFWB-48|</t>
        </is>
      </c>
      <c r="FL4491" t="inlineStr">
        <is>
          <t>B</t>
        </is>
      </c>
      <c r="FP4491" t="inlineStr">
        <is>
          <t>B</t>
        </is>
      </c>
    </row>
    <row r="4492">
      <c r="FC4492" t="inlineStr">
        <is>
          <t>Diccionario 5</t>
        </is>
      </c>
      <c r="FD4492" t="inlineStr">
        <is>
          <t>3045 / SFWB-48|</t>
        </is>
      </c>
      <c r="FL4492" t="inlineStr">
        <is>
          <t>B</t>
        </is>
      </c>
      <c r="FP4492" t="inlineStr">
        <is>
          <t>B</t>
        </is>
      </c>
    </row>
    <row r="4493">
      <c r="FC4493" t="inlineStr">
        <is>
          <t>Diccionario 5</t>
        </is>
      </c>
      <c r="FD4493" t="inlineStr">
        <is>
          <t>3045 / SFWB-48|</t>
        </is>
      </c>
      <c r="FL4493" t="inlineStr">
        <is>
          <t>B</t>
        </is>
      </c>
      <c r="FP4493" t="inlineStr">
        <is>
          <t>B</t>
        </is>
      </c>
    </row>
    <row r="4494">
      <c r="FC4494" t="inlineStr">
        <is>
          <t>Diccionario 5</t>
        </is>
      </c>
      <c r="FD4494" t="inlineStr">
        <is>
          <t>3045 / SFWB-48|</t>
        </is>
      </c>
      <c r="FL4494" t="inlineStr">
        <is>
          <t>B</t>
        </is>
      </c>
      <c r="FP4494" t="inlineStr">
        <is>
          <t>B</t>
        </is>
      </c>
    </row>
    <row r="4495">
      <c r="FC4495" t="inlineStr">
        <is>
          <t>Diccionario 5</t>
        </is>
      </c>
      <c r="FD4495" t="inlineStr">
        <is>
          <t>3045 / SFWB-48|</t>
        </is>
      </c>
      <c r="FL4495" t="inlineStr">
        <is>
          <t>B</t>
        </is>
      </c>
      <c r="FP4495" t="inlineStr">
        <is>
          <t>B</t>
        </is>
      </c>
    </row>
    <row r="4496">
      <c r="FC4496" t="inlineStr">
        <is>
          <t>Diccionario 5</t>
        </is>
      </c>
      <c r="FD4496" t="inlineStr">
        <is>
          <t>3046 / SFWB-98|</t>
        </is>
      </c>
      <c r="FL4496" t="inlineStr">
        <is>
          <t>B</t>
        </is>
      </c>
      <c r="FP4496" t="inlineStr">
        <is>
          <t>B</t>
        </is>
      </c>
    </row>
    <row r="4497">
      <c r="FC4497" t="inlineStr">
        <is>
          <t>Diccionario 5</t>
        </is>
      </c>
      <c r="FD4497" t="inlineStr">
        <is>
          <t>3046 / SFWB-98|</t>
        </is>
      </c>
      <c r="FL4497" t="inlineStr">
        <is>
          <t>B</t>
        </is>
      </c>
      <c r="FP4497" t="inlineStr">
        <is>
          <t>B</t>
        </is>
      </c>
    </row>
    <row r="4498">
      <c r="FC4498" t="inlineStr">
        <is>
          <t>Diccionario 5</t>
        </is>
      </c>
      <c r="FD4498" t="inlineStr">
        <is>
          <t>3046 / SFWB-98|</t>
        </is>
      </c>
      <c r="FL4498" t="inlineStr">
        <is>
          <t>B</t>
        </is>
      </c>
      <c r="FP4498" t="inlineStr">
        <is>
          <t>B</t>
        </is>
      </c>
    </row>
    <row r="4499">
      <c r="FC4499" t="inlineStr">
        <is>
          <t>Diccionario 5</t>
        </is>
      </c>
      <c r="FD4499" t="inlineStr">
        <is>
          <t>3046 / SFWB-98|</t>
        </is>
      </c>
      <c r="FL4499" t="inlineStr">
        <is>
          <t>B</t>
        </is>
      </c>
      <c r="FP4499" t="inlineStr">
        <is>
          <t>B</t>
        </is>
      </c>
    </row>
    <row r="4500">
      <c r="FC4500" t="inlineStr">
        <is>
          <t>Diccionario 5</t>
        </is>
      </c>
      <c r="FD4500" t="inlineStr">
        <is>
          <t>3046 / SFWB-98|</t>
        </is>
      </c>
      <c r="FL4500" t="inlineStr">
        <is>
          <t>B</t>
        </is>
      </c>
      <c r="FP4500" t="inlineStr">
        <is>
          <t>B</t>
        </is>
      </c>
    </row>
    <row r="4501">
      <c r="FC4501" t="inlineStr">
        <is>
          <t>Diccionario 5</t>
        </is>
      </c>
      <c r="FD4501" t="inlineStr">
        <is>
          <t>3046 / SFWB-98|</t>
        </is>
      </c>
      <c r="FL4501" t="inlineStr">
        <is>
          <t>B</t>
        </is>
      </c>
      <c r="FP4501" t="inlineStr">
        <is>
          <t>B</t>
        </is>
      </c>
    </row>
    <row r="4502">
      <c r="FC4502" t="inlineStr">
        <is>
          <t>Diccionario 5</t>
        </is>
      </c>
      <c r="FD4502" t="inlineStr">
        <is>
          <t>3047 / SFVZ-39|</t>
        </is>
      </c>
      <c r="FL4502" t="inlineStr">
        <is>
          <t>B</t>
        </is>
      </c>
      <c r="FP4502" t="inlineStr">
        <is>
          <t>B</t>
        </is>
      </c>
    </row>
    <row r="4503">
      <c r="FC4503" t="inlineStr">
        <is>
          <t>Diccionario 5</t>
        </is>
      </c>
      <c r="FD4503" t="inlineStr">
        <is>
          <t>3047 / SFVZ-39|</t>
        </is>
      </c>
      <c r="FL4503" t="inlineStr">
        <is>
          <t>B</t>
        </is>
      </c>
      <c r="FP4503" t="inlineStr">
        <is>
          <t>B</t>
        </is>
      </c>
    </row>
    <row r="4504">
      <c r="FC4504" t="inlineStr">
        <is>
          <t>Diccionario 5</t>
        </is>
      </c>
      <c r="FD4504" t="inlineStr">
        <is>
          <t>3047 / SFVZ-39|</t>
        </is>
      </c>
      <c r="FL4504" t="inlineStr">
        <is>
          <t>B</t>
        </is>
      </c>
      <c r="FP4504" t="inlineStr">
        <is>
          <t>B</t>
        </is>
      </c>
    </row>
    <row r="4505">
      <c r="FC4505" t="inlineStr">
        <is>
          <t>Diccionario 5</t>
        </is>
      </c>
      <c r="FD4505" t="inlineStr">
        <is>
          <t>3047 / SFVZ-39|</t>
        </is>
      </c>
      <c r="FL4505" t="inlineStr">
        <is>
          <t>B</t>
        </is>
      </c>
      <c r="FP4505" t="inlineStr">
        <is>
          <t>B</t>
        </is>
      </c>
    </row>
    <row r="4506">
      <c r="FC4506" t="inlineStr">
        <is>
          <t>Diccionario 5</t>
        </is>
      </c>
      <c r="FD4506" t="inlineStr">
        <is>
          <t>3047 / SFVZ-39|</t>
        </is>
      </c>
      <c r="FL4506" t="inlineStr">
        <is>
          <t>B</t>
        </is>
      </c>
      <c r="FP4506" t="inlineStr">
        <is>
          <t>B</t>
        </is>
      </c>
    </row>
    <row r="4507">
      <c r="FC4507" t="inlineStr">
        <is>
          <t>Diccionario 5</t>
        </is>
      </c>
      <c r="FD4507" t="inlineStr">
        <is>
          <t>3047 / SFVZ-39|</t>
        </is>
      </c>
      <c r="FL4507" t="inlineStr">
        <is>
          <t>B</t>
        </is>
      </c>
      <c r="FP4507" t="inlineStr">
        <is>
          <t>B</t>
        </is>
      </c>
    </row>
    <row r="4508">
      <c r="FC4508" t="inlineStr">
        <is>
          <t>Diccionario 5</t>
        </is>
      </c>
      <c r="FD4508" t="inlineStr">
        <is>
          <t>3048 / SFVZ-96|</t>
        </is>
      </c>
      <c r="FL4508" t="inlineStr">
        <is>
          <t>B</t>
        </is>
      </c>
      <c r="FP4508" t="inlineStr">
        <is>
          <t>B</t>
        </is>
      </c>
    </row>
    <row r="4509">
      <c r="FC4509" t="inlineStr">
        <is>
          <t>Diccionario 5</t>
        </is>
      </c>
      <c r="FD4509" t="inlineStr">
        <is>
          <t>3048 / SFVZ-96|</t>
        </is>
      </c>
      <c r="FL4509" t="inlineStr">
        <is>
          <t>B</t>
        </is>
      </c>
      <c r="FP4509" t="inlineStr">
        <is>
          <t>B</t>
        </is>
      </c>
    </row>
    <row r="4510">
      <c r="FC4510" t="inlineStr">
        <is>
          <t>Diccionario 5</t>
        </is>
      </c>
      <c r="FD4510" t="inlineStr">
        <is>
          <t>3048 / SFVZ-96|</t>
        </is>
      </c>
      <c r="FL4510" t="inlineStr">
        <is>
          <t>B</t>
        </is>
      </c>
      <c r="FP4510" t="inlineStr">
        <is>
          <t>B</t>
        </is>
      </c>
    </row>
    <row r="4511">
      <c r="FC4511" t="inlineStr">
        <is>
          <t>Diccionario 5</t>
        </is>
      </c>
      <c r="FD4511" t="inlineStr">
        <is>
          <t>3048 / SFVZ-96|</t>
        </is>
      </c>
      <c r="FL4511" t="inlineStr">
        <is>
          <t>B</t>
        </is>
      </c>
      <c r="FP4511" t="inlineStr">
        <is>
          <t>B</t>
        </is>
      </c>
    </row>
    <row r="4512">
      <c r="FC4512" t="inlineStr">
        <is>
          <t>Diccionario 5</t>
        </is>
      </c>
      <c r="FD4512" t="inlineStr">
        <is>
          <t>3048 / SFVZ-96|</t>
        </is>
      </c>
      <c r="FL4512" t="inlineStr">
        <is>
          <t>B</t>
        </is>
      </c>
      <c r="FP4512" t="inlineStr">
        <is>
          <t>B</t>
        </is>
      </c>
    </row>
    <row r="4513">
      <c r="FC4513" t="inlineStr">
        <is>
          <t>Diccionario 5</t>
        </is>
      </c>
      <c r="FD4513" t="inlineStr">
        <is>
          <t>3048 / SFVZ-96|</t>
        </is>
      </c>
      <c r="FL4513" t="inlineStr">
        <is>
          <t>B</t>
        </is>
      </c>
      <c r="FP4513" t="inlineStr">
        <is>
          <t>B</t>
        </is>
      </c>
    </row>
    <row r="4514">
      <c r="FC4514" t="inlineStr">
        <is>
          <t>Diccionario 5</t>
        </is>
      </c>
      <c r="FD4514" t="inlineStr">
        <is>
          <t>3048 / SFVZ-96|</t>
        </is>
      </c>
      <c r="FL4514" t="inlineStr">
        <is>
          <t>B</t>
        </is>
      </c>
      <c r="FP4514" t="inlineStr">
        <is>
          <t>B</t>
        </is>
      </c>
    </row>
    <row r="4515">
      <c r="FC4515" t="inlineStr">
        <is>
          <t>Diccionario 5</t>
        </is>
      </c>
      <c r="FD4515" t="inlineStr">
        <is>
          <t>3049 / SFWZ-13|</t>
        </is>
      </c>
      <c r="FL4515" t="inlineStr">
        <is>
          <t>B</t>
        </is>
      </c>
      <c r="FP4515" t="inlineStr">
        <is>
          <t>B</t>
        </is>
      </c>
    </row>
    <row r="4516">
      <c r="FC4516" t="inlineStr">
        <is>
          <t>Diccionario 5</t>
        </is>
      </c>
      <c r="FD4516" t="inlineStr">
        <is>
          <t>3049 / SFWZ-13|</t>
        </is>
      </c>
      <c r="FL4516" t="inlineStr">
        <is>
          <t>B</t>
        </is>
      </c>
      <c r="FP4516" t="inlineStr">
        <is>
          <t>B</t>
        </is>
      </c>
    </row>
    <row r="4517">
      <c r="FC4517" t="inlineStr">
        <is>
          <t>Diccionario 5</t>
        </is>
      </c>
      <c r="FD4517" t="inlineStr">
        <is>
          <t>3049 / SFWZ-13|</t>
        </is>
      </c>
      <c r="FL4517" t="inlineStr">
        <is>
          <t>B</t>
        </is>
      </c>
      <c r="FP4517" t="inlineStr">
        <is>
          <t>B</t>
        </is>
      </c>
    </row>
    <row r="4518">
      <c r="FC4518" t="inlineStr">
        <is>
          <t>Diccionario 5</t>
        </is>
      </c>
      <c r="FD4518" t="inlineStr">
        <is>
          <t>3049 / SFWZ-13|</t>
        </is>
      </c>
      <c r="FL4518" t="inlineStr">
        <is>
          <t>B</t>
        </is>
      </c>
      <c r="FP4518" t="inlineStr">
        <is>
          <t>B</t>
        </is>
      </c>
    </row>
    <row r="4519">
      <c r="FC4519" t="inlineStr">
        <is>
          <t>Diccionario 5</t>
        </is>
      </c>
      <c r="FD4519" t="inlineStr">
        <is>
          <t>3050 / SFWB-82|</t>
        </is>
      </c>
      <c r="FL4519" t="inlineStr">
        <is>
          <t>B</t>
        </is>
      </c>
      <c r="FP4519" t="inlineStr">
        <is>
          <t>B</t>
        </is>
      </c>
    </row>
    <row r="4520">
      <c r="FC4520" t="inlineStr">
        <is>
          <t>Diccionario 5</t>
        </is>
      </c>
      <c r="FD4520" t="inlineStr">
        <is>
          <t>3050 / SFWB-82|</t>
        </is>
      </c>
      <c r="FL4520" t="inlineStr">
        <is>
          <t>B</t>
        </is>
      </c>
      <c r="FP4520" t="inlineStr">
        <is>
          <t>B</t>
        </is>
      </c>
    </row>
    <row r="4521">
      <c r="FC4521" t="inlineStr">
        <is>
          <t>Diccionario 5</t>
        </is>
      </c>
      <c r="FD4521" t="inlineStr">
        <is>
          <t>3051 / SFVZ-80|</t>
        </is>
      </c>
      <c r="FL4521" t="inlineStr">
        <is>
          <t>B</t>
        </is>
      </c>
      <c r="FP4521" t="inlineStr">
        <is>
          <t>B</t>
        </is>
      </c>
    </row>
    <row r="4522">
      <c r="FC4522" t="inlineStr">
        <is>
          <t>Diccionario 5</t>
        </is>
      </c>
      <c r="FD4522" t="inlineStr">
        <is>
          <t>3052 / SFVZ-86|</t>
        </is>
      </c>
      <c r="FL4522" t="inlineStr">
        <is>
          <t>B</t>
        </is>
      </c>
      <c r="FP4522" t="inlineStr">
        <is>
          <t>B</t>
        </is>
      </c>
    </row>
    <row r="4523">
      <c r="FC4523" t="inlineStr">
        <is>
          <t>Diccionario 5</t>
        </is>
      </c>
      <c r="FD4523" t="inlineStr">
        <is>
          <t>3052 / SFVZ-86|</t>
        </is>
      </c>
      <c r="FL4523" t="inlineStr">
        <is>
          <t>B</t>
        </is>
      </c>
      <c r="FP4523" t="inlineStr">
        <is>
          <t>B</t>
        </is>
      </c>
    </row>
    <row r="4524">
      <c r="FC4524" t="inlineStr">
        <is>
          <t>Diccionario 5</t>
        </is>
      </c>
      <c r="FD4524" t="inlineStr">
        <is>
          <t>3052 / SFVZ-86|</t>
        </is>
      </c>
      <c r="FL4524" t="inlineStr">
        <is>
          <t>B</t>
        </is>
      </c>
      <c r="FP4524" t="inlineStr">
        <is>
          <t>B</t>
        </is>
      </c>
    </row>
    <row r="4525">
      <c r="FC4525" t="inlineStr">
        <is>
          <t>Diccionario 5</t>
        </is>
      </c>
      <c r="FD4525" t="inlineStr">
        <is>
          <t>3052 / SFVZ-86|</t>
        </is>
      </c>
      <c r="FL4525" t="inlineStr">
        <is>
          <t>B</t>
        </is>
      </c>
      <c r="FP4525" t="inlineStr">
        <is>
          <t>B</t>
        </is>
      </c>
    </row>
    <row r="4526">
      <c r="FC4526" t="inlineStr">
        <is>
          <t>Diccionario 5</t>
        </is>
      </c>
      <c r="FD4526" t="inlineStr">
        <is>
          <t>3052 / SFVZ-86|</t>
        </is>
      </c>
      <c r="FL4526" t="inlineStr">
        <is>
          <t>B</t>
        </is>
      </c>
      <c r="FP4526" t="inlineStr">
        <is>
          <t>B</t>
        </is>
      </c>
    </row>
    <row r="4527">
      <c r="FC4527" t="inlineStr">
        <is>
          <t>Diccionario 5</t>
        </is>
      </c>
      <c r="FD4527" t="inlineStr">
        <is>
          <t>3052 / SFVZ-86|</t>
        </is>
      </c>
      <c r="FL4527" t="inlineStr">
        <is>
          <t>B</t>
        </is>
      </c>
      <c r="FP4527" t="inlineStr">
        <is>
          <t>B</t>
        </is>
      </c>
    </row>
    <row r="4528">
      <c r="FC4528" t="inlineStr">
        <is>
          <t>Diccionario 5</t>
        </is>
      </c>
      <c r="FD4528" t="inlineStr">
        <is>
          <t>3053 / SFWB-21|</t>
        </is>
      </c>
      <c r="FL4528" t="inlineStr">
        <is>
          <t>B</t>
        </is>
      </c>
      <c r="FP4528" t="inlineStr">
        <is>
          <t>B</t>
        </is>
      </c>
    </row>
    <row r="4529">
      <c r="FC4529" t="inlineStr">
        <is>
          <t>Diccionario 5</t>
        </is>
      </c>
      <c r="FD4529" t="inlineStr">
        <is>
          <t>3053 / SFWB-21|</t>
        </is>
      </c>
      <c r="FL4529" t="inlineStr">
        <is>
          <t>B</t>
        </is>
      </c>
      <c r="FP4529" t="inlineStr">
        <is>
          <t>B</t>
        </is>
      </c>
    </row>
    <row r="4530">
      <c r="FC4530" t="inlineStr">
        <is>
          <t>Diccionario 5</t>
        </is>
      </c>
      <c r="FD4530" t="inlineStr">
        <is>
          <t>3054 / SFWB-24|</t>
        </is>
      </c>
      <c r="FL4530" t="inlineStr">
        <is>
          <t>B</t>
        </is>
      </c>
      <c r="FP4530" t="inlineStr">
        <is>
          <t>B</t>
        </is>
      </c>
    </row>
    <row r="4531">
      <c r="FC4531" t="inlineStr">
        <is>
          <t>Diccionario 5</t>
        </is>
      </c>
      <c r="FD4531" t="inlineStr">
        <is>
          <t>3054 / SFWB-24|</t>
        </is>
      </c>
      <c r="FL4531" t="inlineStr">
        <is>
          <t>B</t>
        </is>
      </c>
      <c r="FP4531" t="inlineStr">
        <is>
          <t>B</t>
        </is>
      </c>
    </row>
    <row r="4532">
      <c r="FC4532" t="inlineStr">
        <is>
          <t>Diccionario 5</t>
        </is>
      </c>
      <c r="FD4532" t="inlineStr">
        <is>
          <t>3054 / SFWB-24|</t>
        </is>
      </c>
      <c r="FL4532" t="inlineStr">
        <is>
          <t>B</t>
        </is>
      </c>
      <c r="FP4532" t="inlineStr">
        <is>
          <t>B</t>
        </is>
      </c>
    </row>
    <row r="4533">
      <c r="FC4533" t="inlineStr">
        <is>
          <t>Diccionario 5</t>
        </is>
      </c>
      <c r="FD4533" t="inlineStr">
        <is>
          <t>3054 / SFWB-24|</t>
        </is>
      </c>
      <c r="FL4533" t="inlineStr">
        <is>
          <t>B</t>
        </is>
      </c>
      <c r="FP4533" t="inlineStr">
        <is>
          <t>B</t>
        </is>
      </c>
    </row>
    <row r="4534">
      <c r="FC4534" t="inlineStr">
        <is>
          <t>Diccionario 5</t>
        </is>
      </c>
      <c r="FD4534" t="inlineStr">
        <is>
          <t>3054 / SFWB-24|</t>
        </is>
      </c>
      <c r="FL4534" t="inlineStr">
        <is>
          <t>B</t>
        </is>
      </c>
      <c r="FP4534" t="inlineStr">
        <is>
          <t>B</t>
        </is>
      </c>
    </row>
    <row r="4535">
      <c r="FC4535" t="inlineStr">
        <is>
          <t>Diccionario 5</t>
        </is>
      </c>
      <c r="FD4535" t="inlineStr">
        <is>
          <t>3055 / SFWB-51|</t>
        </is>
      </c>
      <c r="FL4535" t="inlineStr">
        <is>
          <t>B</t>
        </is>
      </c>
      <c r="FP4535" t="inlineStr">
        <is>
          <t>B</t>
        </is>
      </c>
    </row>
    <row r="4536">
      <c r="FC4536" t="inlineStr">
        <is>
          <t>Diccionario 5</t>
        </is>
      </c>
      <c r="FD4536" t="inlineStr">
        <is>
          <t>3055 / SFWB-51|</t>
        </is>
      </c>
      <c r="FL4536" t="inlineStr">
        <is>
          <t>B</t>
        </is>
      </c>
      <c r="FP4536" t="inlineStr">
        <is>
          <t>B</t>
        </is>
      </c>
    </row>
    <row r="4537">
      <c r="FC4537" t="inlineStr">
        <is>
          <t>Diccionario 5</t>
        </is>
      </c>
      <c r="FD4537" t="inlineStr">
        <is>
          <t>3055 / SFWB-51|</t>
        </is>
      </c>
      <c r="FL4537" t="inlineStr">
        <is>
          <t>B</t>
        </is>
      </c>
      <c r="FP4537" t="inlineStr">
        <is>
          <t>B</t>
        </is>
      </c>
    </row>
    <row r="4538">
      <c r="FC4538" t="inlineStr">
        <is>
          <t>Diccionario 5</t>
        </is>
      </c>
      <c r="FD4538" t="inlineStr">
        <is>
          <t>3055 / SFWB-51|</t>
        </is>
      </c>
      <c r="FL4538" t="inlineStr">
        <is>
          <t>B</t>
        </is>
      </c>
      <c r="FP4538" t="inlineStr">
        <is>
          <t>B</t>
        </is>
      </c>
    </row>
    <row r="4539">
      <c r="FC4539" t="inlineStr">
        <is>
          <t>Diccionario 5</t>
        </is>
      </c>
      <c r="FD4539" t="inlineStr">
        <is>
          <t>3056 / SFWB-61|</t>
        </is>
      </c>
      <c r="FL4539" t="inlineStr">
        <is>
          <t>B</t>
        </is>
      </c>
      <c r="FP4539" t="inlineStr">
        <is>
          <t>B</t>
        </is>
      </c>
    </row>
    <row r="4540">
      <c r="FC4540" t="inlineStr">
        <is>
          <t>Diccionario 5</t>
        </is>
      </c>
      <c r="FD4540" t="inlineStr">
        <is>
          <t>3056 / SFWB-61|</t>
        </is>
      </c>
      <c r="FL4540" t="inlineStr">
        <is>
          <t>B</t>
        </is>
      </c>
      <c r="FP4540" t="inlineStr">
        <is>
          <t>B</t>
        </is>
      </c>
    </row>
    <row r="4541">
      <c r="FC4541" t="inlineStr">
        <is>
          <t>Diccionario 5</t>
        </is>
      </c>
      <c r="FD4541" t="inlineStr">
        <is>
          <t>3057 / SFWB-16|</t>
        </is>
      </c>
      <c r="FL4541" t="inlineStr">
        <is>
          <t>B</t>
        </is>
      </c>
      <c r="FP4541" t="inlineStr">
        <is>
          <t>B</t>
        </is>
      </c>
    </row>
    <row r="4542">
      <c r="FC4542" t="inlineStr">
        <is>
          <t>Diccionario 5</t>
        </is>
      </c>
      <c r="FD4542" t="inlineStr">
        <is>
          <t>3057 / SFWB-16|</t>
        </is>
      </c>
      <c r="FL4542" t="inlineStr">
        <is>
          <t>B</t>
        </is>
      </c>
      <c r="FP4542" t="inlineStr">
        <is>
          <t>B</t>
        </is>
      </c>
    </row>
    <row r="4543">
      <c r="FC4543" t="inlineStr">
        <is>
          <t>Diccionario 5</t>
        </is>
      </c>
      <c r="FD4543" t="inlineStr">
        <is>
          <t>3057 / SFWB-16|</t>
        </is>
      </c>
      <c r="FL4543" t="inlineStr">
        <is>
          <t>B</t>
        </is>
      </c>
      <c r="FP4543" t="inlineStr">
        <is>
          <t>B</t>
        </is>
      </c>
    </row>
    <row r="4544">
      <c r="FC4544" t="inlineStr">
        <is>
          <t>Diccionario 5</t>
        </is>
      </c>
      <c r="FD4544" t="inlineStr">
        <is>
          <t>3058 / SFWB-85|</t>
        </is>
      </c>
      <c r="FL4544" t="inlineStr">
        <is>
          <t>B</t>
        </is>
      </c>
      <c r="FP4544" t="inlineStr">
        <is>
          <t>B</t>
        </is>
      </c>
    </row>
    <row r="4545">
      <c r="FC4545" t="inlineStr">
        <is>
          <t>Diccionario 5</t>
        </is>
      </c>
      <c r="FD4545" t="inlineStr">
        <is>
          <t>3058 / SFWB-85|</t>
        </is>
      </c>
      <c r="FL4545" t="inlineStr">
        <is>
          <t>B</t>
        </is>
      </c>
      <c r="FP4545" t="inlineStr">
        <is>
          <t>B</t>
        </is>
      </c>
    </row>
    <row r="4546">
      <c r="FC4546" t="inlineStr">
        <is>
          <t>Diccionario 5</t>
        </is>
      </c>
      <c r="FD4546" t="inlineStr">
        <is>
          <t>3058 / SFWB-85|</t>
        </is>
      </c>
      <c r="FL4546" t="inlineStr">
        <is>
          <t>B</t>
        </is>
      </c>
      <c r="FP4546" t="inlineStr">
        <is>
          <t>B</t>
        </is>
      </c>
    </row>
    <row r="4547">
      <c r="FC4547" t="inlineStr">
        <is>
          <t>Diccionario 5</t>
        </is>
      </c>
      <c r="FD4547" t="inlineStr">
        <is>
          <t>3060 / SFWB-14|</t>
        </is>
      </c>
      <c r="FL4547" t="inlineStr">
        <is>
          <t>B</t>
        </is>
      </c>
      <c r="FP4547" t="inlineStr">
        <is>
          <t>B</t>
        </is>
      </c>
    </row>
    <row r="4548">
      <c r="FC4548" t="inlineStr">
        <is>
          <t>Diccionario 5</t>
        </is>
      </c>
      <c r="FD4548" t="inlineStr">
        <is>
          <t>3060 / SFWB-14|</t>
        </is>
      </c>
      <c r="FL4548" t="inlineStr">
        <is>
          <t>B</t>
        </is>
      </c>
      <c r="FP4548" t="inlineStr">
        <is>
          <t>B</t>
        </is>
      </c>
    </row>
    <row r="4549">
      <c r="FC4549" t="inlineStr">
        <is>
          <t>Diccionario 5</t>
        </is>
      </c>
      <c r="FD4549" t="inlineStr">
        <is>
          <t>3061 / SFWB-68|</t>
        </is>
      </c>
      <c r="FL4549" t="inlineStr">
        <is>
          <t>B</t>
        </is>
      </c>
      <c r="FP4549" t="inlineStr">
        <is>
          <t>B</t>
        </is>
      </c>
    </row>
    <row r="4550">
      <c r="FC4550" t="inlineStr">
        <is>
          <t>Diccionario 5</t>
        </is>
      </c>
      <c r="FD4550" t="inlineStr">
        <is>
          <t>3061 / SFWB-68|</t>
        </is>
      </c>
      <c r="FL4550" t="inlineStr">
        <is>
          <t>B</t>
        </is>
      </c>
      <c r="FP4550" t="inlineStr">
        <is>
          <t>B</t>
        </is>
      </c>
    </row>
    <row r="4551">
      <c r="FC4551" t="inlineStr">
        <is>
          <t>Diccionario 5</t>
        </is>
      </c>
      <c r="FD4551" t="inlineStr">
        <is>
          <t>3061 / SFWB-68|</t>
        </is>
      </c>
      <c r="FL4551" t="inlineStr">
        <is>
          <t>B</t>
        </is>
      </c>
      <c r="FP4551" t="inlineStr">
        <is>
          <t>B</t>
        </is>
      </c>
    </row>
    <row r="4552">
      <c r="FC4552" t="inlineStr">
        <is>
          <t>Diccionario 5</t>
        </is>
      </c>
      <c r="FD4552" t="inlineStr">
        <is>
          <t>3061 / SFWB-68|</t>
        </is>
      </c>
      <c r="FL4552" t="inlineStr">
        <is>
          <t>B</t>
        </is>
      </c>
      <c r="FP4552" t="inlineStr">
        <is>
          <t>B</t>
        </is>
      </c>
    </row>
    <row r="4553">
      <c r="FC4553" t="inlineStr">
        <is>
          <t>Diccionario 5</t>
        </is>
      </c>
      <c r="FD4553" t="inlineStr">
        <is>
          <t>3061 / SFWB-68|</t>
        </is>
      </c>
      <c r="FL4553" t="inlineStr">
        <is>
          <t>B</t>
        </is>
      </c>
      <c r="FP4553" t="inlineStr">
        <is>
          <t>B</t>
        </is>
      </c>
    </row>
    <row r="4554">
      <c r="FC4554" t="inlineStr">
        <is>
          <t>Diccionario 5</t>
        </is>
      </c>
      <c r="FD4554" t="inlineStr">
        <is>
          <t>3061 / SFWB-68|</t>
        </is>
      </c>
      <c r="FL4554" t="inlineStr">
        <is>
          <t>B</t>
        </is>
      </c>
      <c r="FP4554" t="inlineStr">
        <is>
          <t>B</t>
        </is>
      </c>
    </row>
    <row r="4555">
      <c r="FC4555" t="inlineStr">
        <is>
          <t>Diccionario 5</t>
        </is>
      </c>
      <c r="FD4555" t="inlineStr">
        <is>
          <t>3062 / SFWZ-10|</t>
        </is>
      </c>
      <c r="FL4555" t="inlineStr">
        <is>
          <t>B</t>
        </is>
      </c>
      <c r="FP4555" t="inlineStr">
        <is>
          <t>B</t>
        </is>
      </c>
    </row>
    <row r="4556">
      <c r="FC4556" t="inlineStr">
        <is>
          <t>Diccionario 5</t>
        </is>
      </c>
      <c r="FD4556" t="inlineStr">
        <is>
          <t>3062 / SFWZ-10|</t>
        </is>
      </c>
      <c r="FL4556" t="inlineStr">
        <is>
          <t>B</t>
        </is>
      </c>
      <c r="FP4556" t="inlineStr">
        <is>
          <t>B</t>
        </is>
      </c>
    </row>
    <row r="4557">
      <c r="FC4557" t="inlineStr">
        <is>
          <t>Diccionario 5</t>
        </is>
      </c>
      <c r="FD4557" t="inlineStr">
        <is>
          <t>3062 / SFWZ-10|</t>
        </is>
      </c>
      <c r="FL4557" t="inlineStr">
        <is>
          <t>B</t>
        </is>
      </c>
      <c r="FP4557" t="inlineStr">
        <is>
          <t>B</t>
        </is>
      </c>
    </row>
    <row r="4558">
      <c r="FC4558" t="inlineStr">
        <is>
          <t>Diccionario 5</t>
        </is>
      </c>
      <c r="FD4558" t="inlineStr">
        <is>
          <t>3062 / SFWZ-10|</t>
        </is>
      </c>
      <c r="FL4558" t="inlineStr">
        <is>
          <t>B</t>
        </is>
      </c>
      <c r="FP4558" t="inlineStr">
        <is>
          <t>B</t>
        </is>
      </c>
    </row>
    <row r="4559">
      <c r="FC4559" t="inlineStr">
        <is>
          <t>Diccionario 5</t>
        </is>
      </c>
      <c r="FD4559" t="inlineStr">
        <is>
          <t>3062 / SFWZ-10|</t>
        </is>
      </c>
      <c r="FL4559" t="inlineStr">
        <is>
          <t>B</t>
        </is>
      </c>
      <c r="FP4559" t="inlineStr">
        <is>
          <t>B</t>
        </is>
      </c>
    </row>
    <row r="4560">
      <c r="FC4560" t="inlineStr">
        <is>
          <t>Diccionario 5</t>
        </is>
      </c>
      <c r="FD4560" t="inlineStr">
        <is>
          <t>3062 / SFWZ-10|</t>
        </is>
      </c>
      <c r="FL4560" t="inlineStr">
        <is>
          <t>B</t>
        </is>
      </c>
      <c r="FP4560" t="inlineStr">
        <is>
          <t>B</t>
        </is>
      </c>
    </row>
    <row r="4561">
      <c r="FC4561" t="inlineStr">
        <is>
          <t>Diccionario 5</t>
        </is>
      </c>
      <c r="FD4561" t="inlineStr">
        <is>
          <t>3062 / SFWZ-10|</t>
        </is>
      </c>
      <c r="FL4561" t="inlineStr">
        <is>
          <t>B</t>
        </is>
      </c>
      <c r="FP4561" t="inlineStr">
        <is>
          <t>B</t>
        </is>
      </c>
    </row>
    <row r="4562">
      <c r="FC4562" t="inlineStr">
        <is>
          <t>Diccionario 5</t>
        </is>
      </c>
      <c r="FD4562" t="inlineStr">
        <is>
          <t>3062 / SFWZ-10|</t>
        </is>
      </c>
      <c r="FL4562" t="inlineStr">
        <is>
          <t>B</t>
        </is>
      </c>
      <c r="FP4562" t="inlineStr">
        <is>
          <t>B</t>
        </is>
      </c>
    </row>
    <row r="4563">
      <c r="FC4563" t="inlineStr">
        <is>
          <t>Diccionario 5</t>
        </is>
      </c>
      <c r="FD4563" t="inlineStr">
        <is>
          <t>3062 / SFWZ-10|</t>
        </is>
      </c>
      <c r="FL4563" t="inlineStr">
        <is>
          <t>B</t>
        </is>
      </c>
      <c r="FP4563" t="inlineStr">
        <is>
          <t>B</t>
        </is>
      </c>
    </row>
    <row r="4564">
      <c r="FC4564" t="inlineStr">
        <is>
          <t>Diccionario 5</t>
        </is>
      </c>
      <c r="FD4564" t="inlineStr">
        <is>
          <t>3063 / SFWZ-21|</t>
        </is>
      </c>
      <c r="FL4564" t="inlineStr">
        <is>
          <t>B</t>
        </is>
      </c>
      <c r="FP4564" t="inlineStr">
        <is>
          <t>B</t>
        </is>
      </c>
    </row>
    <row r="4565">
      <c r="FC4565" t="inlineStr">
        <is>
          <t>Diccionario 5</t>
        </is>
      </c>
      <c r="FD4565" t="inlineStr">
        <is>
          <t>3063 / SFWZ-21|</t>
        </is>
      </c>
      <c r="FL4565" t="inlineStr">
        <is>
          <t>B</t>
        </is>
      </c>
      <c r="FP4565" t="inlineStr">
        <is>
          <t>B</t>
        </is>
      </c>
    </row>
    <row r="4566">
      <c r="FC4566" t="inlineStr">
        <is>
          <t>Diccionario 5</t>
        </is>
      </c>
      <c r="FD4566" t="inlineStr">
        <is>
          <t>3063 / SFWZ-21|</t>
        </is>
      </c>
      <c r="FL4566" t="inlineStr">
        <is>
          <t>B</t>
        </is>
      </c>
      <c r="FP4566" t="inlineStr">
        <is>
          <t>B</t>
        </is>
      </c>
    </row>
    <row r="4567">
      <c r="FC4567" t="inlineStr">
        <is>
          <t>Diccionario 5</t>
        </is>
      </c>
      <c r="FD4567" t="inlineStr">
        <is>
          <t>3063 / SFWZ-21|</t>
        </is>
      </c>
      <c r="FL4567" t="inlineStr">
        <is>
          <t>B</t>
        </is>
      </c>
      <c r="FP4567" t="inlineStr">
        <is>
          <t>B</t>
        </is>
      </c>
    </row>
    <row r="4568">
      <c r="FC4568" t="inlineStr">
        <is>
          <t>Diccionario 5</t>
        </is>
      </c>
      <c r="FD4568" t="inlineStr">
        <is>
          <t>3063 / SFWZ-21|</t>
        </is>
      </c>
      <c r="FL4568" t="inlineStr">
        <is>
          <t>B</t>
        </is>
      </c>
      <c r="FP4568" t="inlineStr">
        <is>
          <t>B</t>
        </is>
      </c>
    </row>
    <row r="4569">
      <c r="FC4569" t="inlineStr">
        <is>
          <t>Diccionario 5</t>
        </is>
      </c>
      <c r="FD4569" t="inlineStr">
        <is>
          <t>3063 / SFWZ-21|</t>
        </is>
      </c>
      <c r="FL4569" t="inlineStr">
        <is>
          <t>B</t>
        </is>
      </c>
      <c r="FP4569" t="inlineStr">
        <is>
          <t>B</t>
        </is>
      </c>
    </row>
    <row r="4570">
      <c r="FC4570" t="inlineStr">
        <is>
          <t>Diccionario 5</t>
        </is>
      </c>
      <c r="FD4570" t="inlineStr">
        <is>
          <t>3063 / SFWZ-21|</t>
        </is>
      </c>
      <c r="FL4570" t="inlineStr">
        <is>
          <t>B</t>
        </is>
      </c>
      <c r="FP4570" t="inlineStr">
        <is>
          <t>B</t>
        </is>
      </c>
    </row>
    <row r="4571">
      <c r="FC4571" t="inlineStr">
        <is>
          <t>Diccionario 5</t>
        </is>
      </c>
      <c r="FD4571" t="inlineStr">
        <is>
          <t>3064 / SFWZ-61|</t>
        </is>
      </c>
      <c r="FL4571" t="inlineStr">
        <is>
          <t>B</t>
        </is>
      </c>
      <c r="FP4571" t="inlineStr">
        <is>
          <t>B</t>
        </is>
      </c>
    </row>
    <row r="4572">
      <c r="FC4572" t="inlineStr">
        <is>
          <t>Diccionario 5</t>
        </is>
      </c>
      <c r="FD4572" t="inlineStr">
        <is>
          <t>3064 / SFWZ-61|</t>
        </is>
      </c>
      <c r="FL4572" t="inlineStr">
        <is>
          <t>B</t>
        </is>
      </c>
      <c r="FP4572" t="inlineStr">
        <is>
          <t>B</t>
        </is>
      </c>
    </row>
    <row r="4573">
      <c r="FC4573" t="inlineStr">
        <is>
          <t>Diccionario 5</t>
        </is>
      </c>
      <c r="FD4573" t="inlineStr">
        <is>
          <t>3064 / SFWZ-61|</t>
        </is>
      </c>
      <c r="FL4573" t="inlineStr">
        <is>
          <t>B</t>
        </is>
      </c>
      <c r="FP4573" t="inlineStr">
        <is>
          <t>B</t>
        </is>
      </c>
    </row>
    <row r="4574">
      <c r="FC4574" t="inlineStr">
        <is>
          <t>Diccionario 5</t>
        </is>
      </c>
      <c r="FD4574" t="inlineStr">
        <is>
          <t>3064 / SFWZ-61|</t>
        </is>
      </c>
      <c r="FL4574" t="inlineStr">
        <is>
          <t>B</t>
        </is>
      </c>
      <c r="FP4574" t="inlineStr">
        <is>
          <t>B</t>
        </is>
      </c>
    </row>
    <row r="4575">
      <c r="FC4575" t="inlineStr">
        <is>
          <t>Diccionario 5</t>
        </is>
      </c>
      <c r="FD4575" t="inlineStr">
        <is>
          <t>3064 / SFWZ-61|</t>
        </is>
      </c>
      <c r="FL4575" t="inlineStr">
        <is>
          <t>B</t>
        </is>
      </c>
      <c r="FP4575" t="inlineStr">
        <is>
          <t>B</t>
        </is>
      </c>
    </row>
    <row r="4576">
      <c r="FC4576" t="inlineStr">
        <is>
          <t>Diccionario 5</t>
        </is>
      </c>
      <c r="FD4576" t="inlineStr">
        <is>
          <t xml:space="preserve">3064 / SFWZ-61| </t>
        </is>
      </c>
      <c r="FL4576" t="inlineStr">
        <is>
          <t>B</t>
        </is>
      </c>
      <c r="FP4576" t="inlineStr">
        <is>
          <t>B</t>
        </is>
      </c>
    </row>
    <row r="4577">
      <c r="FC4577" t="inlineStr">
        <is>
          <t>Diccionario 5</t>
        </is>
      </c>
      <c r="FD4577" t="inlineStr">
        <is>
          <t>3065 / SFVZ-40|</t>
        </is>
      </c>
      <c r="FL4577" t="inlineStr">
        <is>
          <t>B</t>
        </is>
      </c>
      <c r="FP4577" t="inlineStr">
        <is>
          <t>B</t>
        </is>
      </c>
    </row>
    <row r="4578">
      <c r="FC4578" t="inlineStr">
        <is>
          <t>Diccionario 5</t>
        </is>
      </c>
      <c r="FD4578" t="inlineStr">
        <is>
          <t>3065 / SFVZ-40|</t>
        </is>
      </c>
      <c r="FL4578" t="inlineStr">
        <is>
          <t>B</t>
        </is>
      </c>
      <c r="FP4578" t="inlineStr">
        <is>
          <t>B</t>
        </is>
      </c>
    </row>
    <row r="4579">
      <c r="FC4579" t="inlineStr">
        <is>
          <t>Diccionario 5</t>
        </is>
      </c>
      <c r="FD4579" t="inlineStr">
        <is>
          <t>3065 / SFVZ-40|</t>
        </is>
      </c>
      <c r="FL4579" t="inlineStr">
        <is>
          <t>B</t>
        </is>
      </c>
      <c r="FP4579" t="inlineStr">
        <is>
          <t>B</t>
        </is>
      </c>
    </row>
    <row r="4580">
      <c r="FC4580" t="inlineStr">
        <is>
          <t>Diccionario 5</t>
        </is>
      </c>
      <c r="FD4580" t="inlineStr">
        <is>
          <t>3065 / SFVZ-40|</t>
        </is>
      </c>
      <c r="FL4580" t="inlineStr">
        <is>
          <t>B</t>
        </is>
      </c>
      <c r="FP4580" t="inlineStr">
        <is>
          <t>B</t>
        </is>
      </c>
    </row>
    <row r="4581">
      <c r="FC4581" t="inlineStr">
        <is>
          <t>Diccionario 5</t>
        </is>
      </c>
      <c r="FD4581" t="inlineStr">
        <is>
          <t>3065 / SFVZ-40|</t>
        </is>
      </c>
      <c r="FL4581" t="inlineStr">
        <is>
          <t>B</t>
        </is>
      </c>
      <c r="FP4581" t="inlineStr">
        <is>
          <t>B</t>
        </is>
      </c>
    </row>
    <row r="4582">
      <c r="FC4582" t="inlineStr">
        <is>
          <t>Diccionario 5</t>
        </is>
      </c>
      <c r="FD4582" t="inlineStr">
        <is>
          <t>3065 / SFVZ-40|</t>
        </is>
      </c>
      <c r="FL4582" t="inlineStr">
        <is>
          <t>B</t>
        </is>
      </c>
      <c r="FP4582" t="inlineStr">
        <is>
          <t>B</t>
        </is>
      </c>
    </row>
    <row r="4583">
      <c r="FC4583" t="inlineStr">
        <is>
          <t>Diccionario 5</t>
        </is>
      </c>
      <c r="FD4583" t="inlineStr">
        <is>
          <t>3066 / SFWB-10|</t>
        </is>
      </c>
      <c r="FL4583" t="inlineStr">
        <is>
          <t>B</t>
        </is>
      </c>
      <c r="FP4583" t="inlineStr">
        <is>
          <t>B</t>
        </is>
      </c>
    </row>
    <row r="4584">
      <c r="FC4584" t="inlineStr">
        <is>
          <t>Diccionario 5</t>
        </is>
      </c>
      <c r="FD4584" t="inlineStr">
        <is>
          <t>3066 / SFWB-10|</t>
        </is>
      </c>
      <c r="FL4584" t="inlineStr">
        <is>
          <t>B</t>
        </is>
      </c>
      <c r="FP4584" t="inlineStr">
        <is>
          <t>B</t>
        </is>
      </c>
    </row>
    <row r="4585">
      <c r="FC4585" t="inlineStr">
        <is>
          <t>Diccionario 5</t>
        </is>
      </c>
      <c r="FD4585" t="inlineStr">
        <is>
          <t>3066 / SFWB-10|</t>
        </is>
      </c>
      <c r="FL4585" t="inlineStr">
        <is>
          <t>B</t>
        </is>
      </c>
      <c r="FP4585" t="inlineStr">
        <is>
          <t>B</t>
        </is>
      </c>
    </row>
    <row r="4586">
      <c r="FC4586" t="inlineStr">
        <is>
          <t>Diccionario 5</t>
        </is>
      </c>
      <c r="FD4586" t="inlineStr">
        <is>
          <t>3066 / SFWB-10|</t>
        </is>
      </c>
      <c r="FL4586" t="inlineStr">
        <is>
          <t>B</t>
        </is>
      </c>
      <c r="FP4586" t="inlineStr">
        <is>
          <t>B</t>
        </is>
      </c>
    </row>
    <row r="4587">
      <c r="FC4587" t="inlineStr">
        <is>
          <t>Diccionario 5</t>
        </is>
      </c>
      <c r="FD4587" t="inlineStr">
        <is>
          <t>3066 / SFWB-10|</t>
        </is>
      </c>
      <c r="FL4587" t="inlineStr">
        <is>
          <t>B</t>
        </is>
      </c>
      <c r="FP4587" t="inlineStr">
        <is>
          <t>B</t>
        </is>
      </c>
    </row>
    <row r="4588">
      <c r="FC4588" t="inlineStr">
        <is>
          <t>Diccionario 5</t>
        </is>
      </c>
      <c r="FD4588" t="inlineStr">
        <is>
          <t>3067 / SFWB-73|</t>
        </is>
      </c>
      <c r="FL4588" t="inlineStr">
        <is>
          <t>B</t>
        </is>
      </c>
      <c r="FP4588" t="inlineStr">
        <is>
          <t>B</t>
        </is>
      </c>
    </row>
    <row r="4589">
      <c r="FC4589" t="inlineStr">
        <is>
          <t>Diccionario 5</t>
        </is>
      </c>
      <c r="FD4589" t="inlineStr">
        <is>
          <t>3067 / SFWB-73|</t>
        </is>
      </c>
      <c r="FL4589" t="inlineStr">
        <is>
          <t>B</t>
        </is>
      </c>
      <c r="FP4589" t="inlineStr">
        <is>
          <t>B</t>
        </is>
      </c>
    </row>
    <row r="4590">
      <c r="FC4590" t="inlineStr">
        <is>
          <t>Diccionario 5</t>
        </is>
      </c>
      <c r="FD4590" t="inlineStr">
        <is>
          <t>3068 / SFWB-84|</t>
        </is>
      </c>
      <c r="FL4590" t="inlineStr">
        <is>
          <t>B</t>
        </is>
      </c>
      <c r="FP4590" t="inlineStr">
        <is>
          <t>B</t>
        </is>
      </c>
    </row>
    <row r="4591">
      <c r="FC4591" t="inlineStr">
        <is>
          <t>Diccionario 5</t>
        </is>
      </c>
      <c r="FD4591" t="inlineStr">
        <is>
          <t>3069 / SFWZ-32|</t>
        </is>
      </c>
      <c r="FL4591" t="inlineStr">
        <is>
          <t>B</t>
        </is>
      </c>
      <c r="FP4591" t="inlineStr">
        <is>
          <t>B</t>
        </is>
      </c>
    </row>
    <row r="4592">
      <c r="FC4592" t="inlineStr">
        <is>
          <t>Diccionario 5</t>
        </is>
      </c>
      <c r="FD4592" t="inlineStr">
        <is>
          <t>3069 / SFWZ-32|</t>
        </is>
      </c>
      <c r="FL4592" t="inlineStr">
        <is>
          <t>B</t>
        </is>
      </c>
      <c r="FP4592" t="inlineStr">
        <is>
          <t>B</t>
        </is>
      </c>
    </row>
    <row r="4593">
      <c r="FC4593" t="inlineStr">
        <is>
          <t>Diccionario 5</t>
        </is>
      </c>
      <c r="FD4593" t="inlineStr">
        <is>
          <t>3069 / SFWZ-32|</t>
        </is>
      </c>
      <c r="FL4593" t="inlineStr">
        <is>
          <t>B</t>
        </is>
      </c>
      <c r="FP4593" t="inlineStr">
        <is>
          <t>B</t>
        </is>
      </c>
    </row>
    <row r="4594">
      <c r="FC4594" t="inlineStr">
        <is>
          <t>Diccionario 5</t>
        </is>
      </c>
      <c r="FD4594" t="inlineStr">
        <is>
          <t>3069 / SFWZ-32|</t>
        </is>
      </c>
      <c r="FL4594" t="inlineStr">
        <is>
          <t>B</t>
        </is>
      </c>
      <c r="FP4594" t="inlineStr">
        <is>
          <t>B</t>
        </is>
      </c>
    </row>
    <row r="4595">
      <c r="FC4595" t="inlineStr">
        <is>
          <t>Diccionario 5</t>
        </is>
      </c>
      <c r="FD4595" t="inlineStr">
        <is>
          <t>3069 / SFWZ-32|</t>
        </is>
      </c>
      <c r="FL4595" t="inlineStr">
        <is>
          <t>B</t>
        </is>
      </c>
      <c r="FP4595" t="inlineStr">
        <is>
          <t>B</t>
        </is>
      </c>
    </row>
    <row r="4596">
      <c r="FC4596" t="inlineStr">
        <is>
          <t>Diccionario 5</t>
        </is>
      </c>
      <c r="FD4596" t="inlineStr">
        <is>
          <t>3070 / SFWZ-38|</t>
        </is>
      </c>
      <c r="FL4596" t="inlineStr">
        <is>
          <t>B</t>
        </is>
      </c>
      <c r="FP4596" t="inlineStr">
        <is>
          <t>B</t>
        </is>
      </c>
    </row>
    <row r="4597">
      <c r="FC4597" t="inlineStr">
        <is>
          <t>Diccionario 5</t>
        </is>
      </c>
      <c r="FD4597" t="inlineStr">
        <is>
          <t>3071 / SFWZ-29|</t>
        </is>
      </c>
      <c r="FL4597" t="inlineStr">
        <is>
          <t>B</t>
        </is>
      </c>
      <c r="FP4597" t="inlineStr">
        <is>
          <t>B</t>
        </is>
      </c>
    </row>
    <row r="4598">
      <c r="FC4598" t="inlineStr">
        <is>
          <t>Diccionario 5</t>
        </is>
      </c>
      <c r="FD4598" t="inlineStr">
        <is>
          <t>3071 / SFWZ-29|</t>
        </is>
      </c>
      <c r="FL4598" t="inlineStr">
        <is>
          <t>B</t>
        </is>
      </c>
      <c r="FP4598" t="inlineStr">
        <is>
          <t>B</t>
        </is>
      </c>
    </row>
    <row r="4599">
      <c r="FC4599" t="inlineStr">
        <is>
          <t>Diccionario 5</t>
        </is>
      </c>
      <c r="FD4599" t="inlineStr">
        <is>
          <t>3072 / SFWB-89|</t>
        </is>
      </c>
      <c r="FL4599" t="inlineStr">
        <is>
          <t>B</t>
        </is>
      </c>
      <c r="FP4599" t="inlineStr">
        <is>
          <t>B</t>
        </is>
      </c>
    </row>
    <row r="4600">
      <c r="FC4600" t="inlineStr">
        <is>
          <t>Diccionario 5</t>
        </is>
      </c>
      <c r="FD4600" t="inlineStr">
        <is>
          <t>3072 / SFWB-89|</t>
        </is>
      </c>
      <c r="FL4600" t="inlineStr">
        <is>
          <t>B</t>
        </is>
      </c>
      <c r="FP4600" t="inlineStr">
        <is>
          <t>B</t>
        </is>
      </c>
    </row>
    <row r="4601">
      <c r="FC4601" t="inlineStr">
        <is>
          <t>Diccionario 5</t>
        </is>
      </c>
      <c r="FD4601" t="inlineStr">
        <is>
          <t>3072 / SFWB-89|</t>
        </is>
      </c>
      <c r="FL4601" t="inlineStr">
        <is>
          <t>B</t>
        </is>
      </c>
      <c r="FP4601" t="inlineStr">
        <is>
          <t>B</t>
        </is>
      </c>
    </row>
    <row r="4602">
      <c r="FC4602" t="inlineStr">
        <is>
          <t>Diccionario 5</t>
        </is>
      </c>
      <c r="FD4602" t="inlineStr">
        <is>
          <t>3073 / SFWB-96|</t>
        </is>
      </c>
      <c r="FL4602" t="inlineStr">
        <is>
          <t>B</t>
        </is>
      </c>
      <c r="FP4602" t="inlineStr">
        <is>
          <t>B</t>
        </is>
      </c>
    </row>
    <row r="4603">
      <c r="FC4603" t="inlineStr">
        <is>
          <t>Diccionario 5</t>
        </is>
      </c>
      <c r="FD4603" t="inlineStr">
        <is>
          <t>3074 / SFWZ-17|</t>
        </is>
      </c>
      <c r="FL4603" t="inlineStr">
        <is>
          <t>B</t>
        </is>
      </c>
      <c r="FP4603" t="inlineStr">
        <is>
          <t>B</t>
        </is>
      </c>
    </row>
    <row r="4604">
      <c r="FC4604" t="inlineStr">
        <is>
          <t>Diccionario 5</t>
        </is>
      </c>
      <c r="FD4604" t="inlineStr">
        <is>
          <t>3074 / SFWZ-17|</t>
        </is>
      </c>
      <c r="FL4604" t="inlineStr">
        <is>
          <t>B</t>
        </is>
      </c>
      <c r="FP4604" t="inlineStr">
        <is>
          <t>B</t>
        </is>
      </c>
    </row>
    <row r="4605">
      <c r="FC4605" t="inlineStr">
        <is>
          <t>Diccionario 5</t>
        </is>
      </c>
      <c r="FD4605" t="inlineStr">
        <is>
          <t>3074 / SFWZ-17|</t>
        </is>
      </c>
      <c r="FL4605" t="inlineStr">
        <is>
          <t>B</t>
        </is>
      </c>
      <c r="FP4605" t="inlineStr">
        <is>
          <t>B</t>
        </is>
      </c>
    </row>
    <row r="4606">
      <c r="FC4606" t="inlineStr">
        <is>
          <t>Diccionario 5</t>
        </is>
      </c>
      <c r="FD4606" t="inlineStr">
        <is>
          <t>3074 / SFWZ-17|</t>
        </is>
      </c>
      <c r="FL4606" t="inlineStr">
        <is>
          <t>B</t>
        </is>
      </c>
      <c r="FP4606" t="inlineStr">
        <is>
          <t>B</t>
        </is>
      </c>
    </row>
    <row r="4607">
      <c r="FC4607" t="inlineStr">
        <is>
          <t>Diccionario 5</t>
        </is>
      </c>
      <c r="FD4607" t="inlineStr">
        <is>
          <t>3074 / SFWZ-17|</t>
        </is>
      </c>
      <c r="FL4607" t="inlineStr">
        <is>
          <t>B</t>
        </is>
      </c>
      <c r="FP4607" t="inlineStr">
        <is>
          <t>B</t>
        </is>
      </c>
    </row>
    <row r="4608">
      <c r="FC4608" t="inlineStr">
        <is>
          <t>Diccionario 5</t>
        </is>
      </c>
      <c r="FD4608" t="inlineStr">
        <is>
          <t>3074 / SFWZ-17|</t>
        </is>
      </c>
      <c r="FL4608" t="inlineStr">
        <is>
          <t>B</t>
        </is>
      </c>
      <c r="FP4608" t="inlineStr">
        <is>
          <t>B</t>
        </is>
      </c>
    </row>
    <row r="4609">
      <c r="FC4609" t="inlineStr">
        <is>
          <t>Diccionario 5</t>
        </is>
      </c>
      <c r="FD4609" t="inlineStr">
        <is>
          <t>3074 / SFWZ-17|</t>
        </is>
      </c>
      <c r="FL4609" t="inlineStr">
        <is>
          <t>B</t>
        </is>
      </c>
      <c r="FP4609" t="inlineStr">
        <is>
          <t>B</t>
        </is>
      </c>
    </row>
    <row r="4610">
      <c r="FC4610" t="inlineStr">
        <is>
          <t>Diccionario 5</t>
        </is>
      </c>
      <c r="FD4610" t="inlineStr">
        <is>
          <t>3074 / SFWZ-17|</t>
        </is>
      </c>
      <c r="FL4610" t="inlineStr">
        <is>
          <t>B</t>
        </is>
      </c>
      <c r="FP4610" t="inlineStr">
        <is>
          <t>B</t>
        </is>
      </c>
    </row>
    <row r="4611">
      <c r="FC4611" t="inlineStr">
        <is>
          <t>Diccionario 5</t>
        </is>
      </c>
      <c r="FD4611" t="inlineStr">
        <is>
          <t>3074 / SFWZ-17|</t>
        </is>
      </c>
      <c r="FL4611" t="inlineStr">
        <is>
          <t>B</t>
        </is>
      </c>
      <c r="FP4611" t="inlineStr">
        <is>
          <t>B</t>
        </is>
      </c>
    </row>
    <row r="4612">
      <c r="FC4612" t="inlineStr">
        <is>
          <t>Diccionario 5</t>
        </is>
      </c>
      <c r="FD4612" t="inlineStr">
        <is>
          <t>3075 / SFWZ-64|</t>
        </is>
      </c>
      <c r="FL4612" t="inlineStr">
        <is>
          <t>B</t>
        </is>
      </c>
      <c r="FP4612" t="inlineStr">
        <is>
          <t>B</t>
        </is>
      </c>
    </row>
    <row r="4613">
      <c r="FC4613" t="inlineStr">
        <is>
          <t>Diccionario 5</t>
        </is>
      </c>
      <c r="FD4613" t="inlineStr">
        <is>
          <t>3076 / SFWZ-53|</t>
        </is>
      </c>
      <c r="FL4613" t="inlineStr">
        <is>
          <t>B</t>
        </is>
      </c>
      <c r="FP4613" t="inlineStr">
        <is>
          <t>B</t>
        </is>
      </c>
    </row>
    <row r="4614">
      <c r="FC4614" t="inlineStr">
        <is>
          <t>Diccionario 5</t>
        </is>
      </c>
      <c r="FD4614" t="inlineStr">
        <is>
          <t>3076 / SFWZ-53|</t>
        </is>
      </c>
      <c r="FL4614" t="inlineStr">
        <is>
          <t>B</t>
        </is>
      </c>
      <c r="FP4614" t="inlineStr">
        <is>
          <t>B</t>
        </is>
      </c>
    </row>
    <row r="4615">
      <c r="FC4615" t="inlineStr">
        <is>
          <t>Diccionario 5</t>
        </is>
      </c>
      <c r="FD4615" t="inlineStr">
        <is>
          <t>3076 / SFWZ-53|</t>
        </is>
      </c>
      <c r="FL4615" t="inlineStr">
        <is>
          <t>B</t>
        </is>
      </c>
      <c r="FP4615" t="inlineStr">
        <is>
          <t>B</t>
        </is>
      </c>
    </row>
    <row r="4616">
      <c r="FC4616" t="inlineStr">
        <is>
          <t>Diccionario 5</t>
        </is>
      </c>
      <c r="FD4616" t="inlineStr">
        <is>
          <t>3077 / SFWZ-55|</t>
        </is>
      </c>
      <c r="FL4616" t="inlineStr">
        <is>
          <t>B</t>
        </is>
      </c>
      <c r="FP4616" t="inlineStr">
        <is>
          <t>B</t>
        </is>
      </c>
    </row>
    <row r="4617">
      <c r="FC4617" t="inlineStr">
        <is>
          <t>Diccionario 5</t>
        </is>
      </c>
      <c r="FD4617" t="inlineStr">
        <is>
          <t>3077 / SFWZ-55|</t>
        </is>
      </c>
      <c r="FL4617" t="inlineStr">
        <is>
          <t>B</t>
        </is>
      </c>
      <c r="FP4617" t="inlineStr">
        <is>
          <t>B</t>
        </is>
      </c>
    </row>
    <row r="4618">
      <c r="FC4618" t="inlineStr">
        <is>
          <t>Diccionario 5</t>
        </is>
      </c>
      <c r="FD4618" t="inlineStr">
        <is>
          <t>3077 / SFWZ-55|</t>
        </is>
      </c>
      <c r="FL4618" t="inlineStr">
        <is>
          <t>B</t>
        </is>
      </c>
      <c r="FP4618" t="inlineStr">
        <is>
          <t>B</t>
        </is>
      </c>
    </row>
    <row r="4619">
      <c r="FC4619" t="inlineStr">
        <is>
          <t>Diccionario 5</t>
        </is>
      </c>
      <c r="FD4619" t="inlineStr">
        <is>
          <t>3077 / SFWZ-55|</t>
        </is>
      </c>
      <c r="FL4619" t="inlineStr">
        <is>
          <t>B</t>
        </is>
      </c>
      <c r="FP4619" t="inlineStr">
        <is>
          <t>B</t>
        </is>
      </c>
    </row>
    <row r="4620">
      <c r="FC4620" t="inlineStr">
        <is>
          <t>Diccionario 5</t>
        </is>
      </c>
      <c r="FD4620" t="inlineStr">
        <is>
          <t>3078 / SFWZ-69|</t>
        </is>
      </c>
      <c r="FL4620" t="inlineStr">
        <is>
          <t>B</t>
        </is>
      </c>
      <c r="FP4620" t="inlineStr">
        <is>
          <t>B</t>
        </is>
      </c>
    </row>
    <row r="4621">
      <c r="FC4621" t="inlineStr">
        <is>
          <t>Diccionario 5</t>
        </is>
      </c>
      <c r="FD4621" t="inlineStr">
        <is>
          <t>3078 / SFWZ-69|</t>
        </is>
      </c>
      <c r="FL4621" t="inlineStr">
        <is>
          <t>B</t>
        </is>
      </c>
      <c r="FP4621" t="inlineStr">
        <is>
          <t>B</t>
        </is>
      </c>
    </row>
    <row r="4622">
      <c r="FC4622" t="inlineStr">
        <is>
          <t>Diccionario 5</t>
        </is>
      </c>
      <c r="FD4622" t="inlineStr">
        <is>
          <t>3078 / SFWZ-69|</t>
        </is>
      </c>
      <c r="FL4622" t="inlineStr">
        <is>
          <t>B</t>
        </is>
      </c>
      <c r="FP4622" t="inlineStr">
        <is>
          <t>B</t>
        </is>
      </c>
    </row>
    <row r="4623">
      <c r="FC4623" t="inlineStr">
        <is>
          <t>Diccionario 5</t>
        </is>
      </c>
      <c r="FD4623" t="inlineStr">
        <is>
          <t>3078 / SFWZ-69|</t>
        </is>
      </c>
      <c r="FL4623" t="inlineStr">
        <is>
          <t>B</t>
        </is>
      </c>
      <c r="FP4623" t="inlineStr">
        <is>
          <t>B</t>
        </is>
      </c>
    </row>
    <row r="4624">
      <c r="FC4624" t="inlineStr">
        <is>
          <t>Diccionario 5</t>
        </is>
      </c>
      <c r="FD4624" t="inlineStr">
        <is>
          <t>3078 / SFWZ-69|</t>
        </is>
      </c>
      <c r="FL4624" t="inlineStr">
        <is>
          <t>B</t>
        </is>
      </c>
      <c r="FP4624" t="inlineStr">
        <is>
          <t>B</t>
        </is>
      </c>
    </row>
    <row r="4625">
      <c r="FC4625" t="inlineStr">
        <is>
          <t>Diccionario 5</t>
        </is>
      </c>
      <c r="FD4625" t="inlineStr">
        <is>
          <t>3079 / SFWZ-62|</t>
        </is>
      </c>
      <c r="FL4625" t="inlineStr">
        <is>
          <t>B</t>
        </is>
      </c>
      <c r="FP4625" t="inlineStr">
        <is>
          <t>B</t>
        </is>
      </c>
    </row>
    <row r="4626">
      <c r="FC4626" t="inlineStr">
        <is>
          <t>Diccionario 5</t>
        </is>
      </c>
      <c r="FD4626" t="inlineStr">
        <is>
          <t>3079 / SFWZ-62|</t>
        </is>
      </c>
      <c r="FL4626" t="inlineStr">
        <is>
          <t>B</t>
        </is>
      </c>
      <c r="FP4626" t="inlineStr">
        <is>
          <t>B</t>
        </is>
      </c>
    </row>
    <row r="4627">
      <c r="FC4627" t="inlineStr">
        <is>
          <t>Diccionario 5</t>
        </is>
      </c>
      <c r="FD4627" t="inlineStr">
        <is>
          <t>3079 / SFWZ-62|</t>
        </is>
      </c>
      <c r="FL4627" t="inlineStr">
        <is>
          <t>B</t>
        </is>
      </c>
      <c r="FP4627" t="inlineStr">
        <is>
          <t>B</t>
        </is>
      </c>
    </row>
    <row r="4628">
      <c r="FC4628" t="inlineStr">
        <is>
          <t>Diccionario 5</t>
        </is>
      </c>
      <c r="FD4628" t="inlineStr">
        <is>
          <t>3080 / SFWZ-65|</t>
        </is>
      </c>
      <c r="FL4628" t="inlineStr">
        <is>
          <t>B</t>
        </is>
      </c>
      <c r="FP4628" t="inlineStr">
        <is>
          <t>B</t>
        </is>
      </c>
    </row>
    <row r="4629">
      <c r="FC4629" t="inlineStr">
        <is>
          <t>Diccionario 5</t>
        </is>
      </c>
      <c r="FD4629" t="inlineStr">
        <is>
          <t>3080 / SFWZ-65|</t>
        </is>
      </c>
      <c r="FL4629" t="inlineStr">
        <is>
          <t>B</t>
        </is>
      </c>
      <c r="FP4629" t="inlineStr">
        <is>
          <t>B</t>
        </is>
      </c>
    </row>
    <row r="4630">
      <c r="FC4630" t="inlineStr">
        <is>
          <t>Diccionario 5</t>
        </is>
      </c>
      <c r="FD4630" t="inlineStr">
        <is>
          <t>3080 / SFWZ-65|</t>
        </is>
      </c>
      <c r="FL4630" t="inlineStr">
        <is>
          <t>B</t>
        </is>
      </c>
      <c r="FP4630" t="inlineStr">
        <is>
          <t>B</t>
        </is>
      </c>
    </row>
    <row r="4631">
      <c r="FC4631" t="inlineStr">
        <is>
          <t>Diccionario 5</t>
        </is>
      </c>
      <c r="FD4631" t="inlineStr">
        <is>
          <t>3080 / SFWZ-65|</t>
        </is>
      </c>
      <c r="FL4631" t="inlineStr">
        <is>
          <t>B</t>
        </is>
      </c>
      <c r="FP4631" t="inlineStr">
        <is>
          <t>B</t>
        </is>
      </c>
    </row>
    <row r="4632">
      <c r="FC4632" t="inlineStr">
        <is>
          <t>Diccionario 5</t>
        </is>
      </c>
      <c r="FD4632" t="inlineStr">
        <is>
          <t>3080 / SFWZ-65|</t>
        </is>
      </c>
      <c r="FL4632" t="inlineStr">
        <is>
          <t>B</t>
        </is>
      </c>
      <c r="FP4632" t="inlineStr">
        <is>
          <t>B</t>
        </is>
      </c>
    </row>
    <row r="4633">
      <c r="FC4633" t="inlineStr">
        <is>
          <t>Diccionario 5</t>
        </is>
      </c>
      <c r="FD4633" t="inlineStr">
        <is>
          <t>3080 / SFWZ-65|</t>
        </is>
      </c>
      <c r="FL4633" t="inlineStr">
        <is>
          <t>B</t>
        </is>
      </c>
      <c r="FP4633" t="inlineStr">
        <is>
          <t>B</t>
        </is>
      </c>
    </row>
    <row r="4634">
      <c r="FC4634" t="inlineStr">
        <is>
          <t>Diccionario 5</t>
        </is>
      </c>
      <c r="FD4634" t="inlineStr">
        <is>
          <t>3080 / SFWZ-65|</t>
        </is>
      </c>
      <c r="FL4634" t="inlineStr">
        <is>
          <t>B</t>
        </is>
      </c>
      <c r="FP4634" t="inlineStr">
        <is>
          <t>B</t>
        </is>
      </c>
    </row>
    <row r="4635">
      <c r="FC4635" t="inlineStr">
        <is>
          <t>Diccionario 5</t>
        </is>
      </c>
      <c r="FD4635" t="inlineStr">
        <is>
          <t>3082 / SFWZ-56|</t>
        </is>
      </c>
      <c r="FL4635" t="inlineStr">
        <is>
          <t>B</t>
        </is>
      </c>
      <c r="FP4635" t="inlineStr">
        <is>
          <t>B</t>
        </is>
      </c>
    </row>
    <row r="4636">
      <c r="FC4636" t="inlineStr">
        <is>
          <t>Diccionario 5</t>
        </is>
      </c>
      <c r="FD4636" t="inlineStr">
        <is>
          <t>3082 / SFWZ-56|</t>
        </is>
      </c>
      <c r="FL4636" t="inlineStr">
        <is>
          <t>B</t>
        </is>
      </c>
      <c r="FP4636" t="inlineStr">
        <is>
          <t>B</t>
        </is>
      </c>
    </row>
    <row r="4637">
      <c r="FC4637" t="inlineStr">
        <is>
          <t>Diccionario 5</t>
        </is>
      </c>
      <c r="FD4637" t="inlineStr">
        <is>
          <t>3083 / SFWZ-70|</t>
        </is>
      </c>
      <c r="FL4637" t="inlineStr">
        <is>
          <t>B</t>
        </is>
      </c>
      <c r="FP4637" t="inlineStr">
        <is>
          <t>B</t>
        </is>
      </c>
    </row>
    <row r="4638">
      <c r="FC4638" t="inlineStr">
        <is>
          <t>Diccionario 5</t>
        </is>
      </c>
      <c r="FD4638" t="inlineStr">
        <is>
          <t>3085 / SFWZ-48|</t>
        </is>
      </c>
      <c r="FL4638" t="inlineStr">
        <is>
          <t>B</t>
        </is>
      </c>
      <c r="FP4638" t="inlineStr">
        <is>
          <t>B</t>
        </is>
      </c>
    </row>
    <row r="4639">
      <c r="FC4639" t="inlineStr">
        <is>
          <t>Diccionario 5</t>
        </is>
      </c>
      <c r="FD4639" t="inlineStr">
        <is>
          <t>3085 / SFWZ-48|</t>
        </is>
      </c>
      <c r="FL4639" t="inlineStr">
        <is>
          <t>B</t>
        </is>
      </c>
      <c r="FP4639" t="inlineStr">
        <is>
          <t>B</t>
        </is>
      </c>
    </row>
    <row r="4640">
      <c r="FC4640" t="inlineStr">
        <is>
          <t>Diccionario 5</t>
        </is>
      </c>
      <c r="FD4640" t="inlineStr">
        <is>
          <t>3085 / SFWZ-48|</t>
        </is>
      </c>
      <c r="FL4640" t="inlineStr">
        <is>
          <t>B</t>
        </is>
      </c>
      <c r="FP4640" t="inlineStr">
        <is>
          <t>B</t>
        </is>
      </c>
    </row>
    <row r="4641">
      <c r="FC4641" t="inlineStr">
        <is>
          <t>Diccionario 5</t>
        </is>
      </c>
      <c r="FD4641" t="inlineStr">
        <is>
          <t>3088 / SFWZ-81|</t>
        </is>
      </c>
      <c r="FL4641" t="inlineStr">
        <is>
          <t>B</t>
        </is>
      </c>
      <c r="FP4641" t="inlineStr">
        <is>
          <t>B</t>
        </is>
      </c>
    </row>
    <row r="4642">
      <c r="FC4642" t="inlineStr">
        <is>
          <t>Diccionario 5</t>
        </is>
      </c>
      <c r="FD4642" t="inlineStr">
        <is>
          <t>3088 / SFWZ-81|</t>
        </is>
      </c>
      <c r="FL4642" t="inlineStr">
        <is>
          <t>B</t>
        </is>
      </c>
      <c r="FP4642" t="inlineStr">
        <is>
          <t>B</t>
        </is>
      </c>
    </row>
    <row r="4643">
      <c r="FC4643" t="inlineStr">
        <is>
          <t>Diccionario 5</t>
        </is>
      </c>
      <c r="FD4643" t="inlineStr">
        <is>
          <t>3088 / SFWZ-81|</t>
        </is>
      </c>
      <c r="FL4643" t="inlineStr">
        <is>
          <t>B</t>
        </is>
      </c>
      <c r="FP4643" t="inlineStr">
        <is>
          <t>B</t>
        </is>
      </c>
    </row>
    <row r="4644">
      <c r="FC4644" t="inlineStr">
        <is>
          <t>Diccionario 5</t>
        </is>
      </c>
      <c r="FD4644" t="inlineStr">
        <is>
          <t>3088 / SFWZ-81|</t>
        </is>
      </c>
      <c r="FL4644" t="inlineStr">
        <is>
          <t>B</t>
        </is>
      </c>
      <c r="FP4644" t="inlineStr">
        <is>
          <t>B</t>
        </is>
      </c>
    </row>
    <row r="4645">
      <c r="FC4645" t="inlineStr">
        <is>
          <t>Diccionario 5</t>
        </is>
      </c>
      <c r="FD4645" t="inlineStr">
        <is>
          <t>3088 / SFWZ-81|</t>
        </is>
      </c>
      <c r="FL4645" t="inlineStr">
        <is>
          <t>B</t>
        </is>
      </c>
      <c r="FP4645" t="inlineStr">
        <is>
          <t>B</t>
        </is>
      </c>
    </row>
    <row r="4646">
      <c r="FC4646" t="inlineStr">
        <is>
          <t>Diccionario 5</t>
        </is>
      </c>
      <c r="FD4646" t="inlineStr">
        <is>
          <t>3089 / SFWZ-73|</t>
        </is>
      </c>
      <c r="FL4646" t="inlineStr">
        <is>
          <t>B</t>
        </is>
      </c>
      <c r="FP4646" t="inlineStr">
        <is>
          <t>B</t>
        </is>
      </c>
    </row>
    <row r="4647">
      <c r="FC4647" t="inlineStr">
        <is>
          <t>Diccionario 5</t>
        </is>
      </c>
      <c r="FD4647" t="inlineStr">
        <is>
          <t>3089 / SFWZ-73|</t>
        </is>
      </c>
      <c r="FL4647" t="inlineStr">
        <is>
          <t>B</t>
        </is>
      </c>
      <c r="FP4647" t="inlineStr">
        <is>
          <t>B</t>
        </is>
      </c>
    </row>
    <row r="4648">
      <c r="FC4648" t="inlineStr">
        <is>
          <t>Diccionario 5</t>
        </is>
      </c>
      <c r="FD4648" t="inlineStr">
        <is>
          <t>3089 / SFWZ-73|</t>
        </is>
      </c>
      <c r="FL4648" t="inlineStr">
        <is>
          <t>B</t>
        </is>
      </c>
      <c r="FP4648" t="inlineStr">
        <is>
          <t>B</t>
        </is>
      </c>
    </row>
    <row r="4649">
      <c r="FC4649" t="inlineStr">
        <is>
          <t>Diccionario 5</t>
        </is>
      </c>
      <c r="FD4649" t="inlineStr">
        <is>
          <t>3089 / SFWZ-73|</t>
        </is>
      </c>
      <c r="FL4649" t="inlineStr">
        <is>
          <t>B</t>
        </is>
      </c>
      <c r="FP4649" t="inlineStr">
        <is>
          <t>B</t>
        </is>
      </c>
    </row>
    <row r="4650">
      <c r="FC4650" t="inlineStr">
        <is>
          <t>Diccionario 5</t>
        </is>
      </c>
      <c r="FD4650" t="inlineStr">
        <is>
          <t>3089 / SFWZ-73|</t>
        </is>
      </c>
      <c r="FL4650" t="inlineStr">
        <is>
          <t>B</t>
        </is>
      </c>
      <c r="FP4650" t="inlineStr">
        <is>
          <t>B</t>
        </is>
      </c>
    </row>
    <row r="4651">
      <c r="FC4651" t="inlineStr">
        <is>
          <t>Diccionario 5</t>
        </is>
      </c>
      <c r="FD4651" t="inlineStr">
        <is>
          <t>3089 / SFWZ-73|</t>
        </is>
      </c>
      <c r="FL4651" t="inlineStr">
        <is>
          <t>B</t>
        </is>
      </c>
      <c r="FP4651" t="inlineStr">
        <is>
          <t>B</t>
        </is>
      </c>
    </row>
    <row r="4652">
      <c r="FC4652" t="inlineStr">
        <is>
          <t>Diccionario 5</t>
        </is>
      </c>
      <c r="FD4652" t="inlineStr">
        <is>
          <t>3089 / SFWZ-73|</t>
        </is>
      </c>
      <c r="FL4652" t="inlineStr">
        <is>
          <t>B</t>
        </is>
      </c>
      <c r="FP4652" t="inlineStr">
        <is>
          <t>B</t>
        </is>
      </c>
    </row>
    <row r="4653">
      <c r="FC4653" t="inlineStr">
        <is>
          <t>Diccionario 5</t>
        </is>
      </c>
      <c r="FD4653" t="inlineStr">
        <is>
          <t>3089 / SFWZ-73|</t>
        </is>
      </c>
      <c r="FL4653" t="inlineStr">
        <is>
          <t>B</t>
        </is>
      </c>
      <c r="FP4653" t="inlineStr">
        <is>
          <t>B</t>
        </is>
      </c>
    </row>
    <row r="4654">
      <c r="FC4654" t="inlineStr">
        <is>
          <t>Diccionario 5</t>
        </is>
      </c>
      <c r="FD4654" t="inlineStr">
        <is>
          <t>3091 / SFWZ-49|</t>
        </is>
      </c>
      <c r="FL4654" t="inlineStr">
        <is>
          <t>B</t>
        </is>
      </c>
      <c r="FP4654" t="inlineStr">
        <is>
          <t>B</t>
        </is>
      </c>
    </row>
    <row r="4655">
      <c r="FC4655" t="inlineStr">
        <is>
          <t>Diccionario 5</t>
        </is>
      </c>
      <c r="FD4655" t="inlineStr">
        <is>
          <t>3091 / SFWZ-49|</t>
        </is>
      </c>
      <c r="FL4655" t="inlineStr">
        <is>
          <t>B</t>
        </is>
      </c>
      <c r="FP4655" t="inlineStr">
        <is>
          <t>B</t>
        </is>
      </c>
    </row>
    <row r="4656">
      <c r="FC4656" t="inlineStr">
        <is>
          <t>Diccionario 5</t>
        </is>
      </c>
      <c r="FD4656" t="inlineStr">
        <is>
          <t>3091 / SFWZ-49|</t>
        </is>
      </c>
      <c r="FL4656" t="inlineStr">
        <is>
          <t>B</t>
        </is>
      </c>
      <c r="FP4656" t="inlineStr">
        <is>
          <t>B</t>
        </is>
      </c>
    </row>
    <row r="4657">
      <c r="FC4657" t="inlineStr">
        <is>
          <t>Diccionario 5</t>
        </is>
      </c>
      <c r="FD4657" t="inlineStr">
        <is>
          <t>3091 / SFWZ-49|</t>
        </is>
      </c>
      <c r="FL4657" t="inlineStr">
        <is>
          <t>B</t>
        </is>
      </c>
      <c r="FP4657" t="inlineStr">
        <is>
          <t>B</t>
        </is>
      </c>
    </row>
    <row r="4658">
      <c r="FC4658" t="inlineStr">
        <is>
          <t>Diccionario 5</t>
        </is>
      </c>
      <c r="FD4658" t="inlineStr">
        <is>
          <t>3092 / SFWZ-67|</t>
        </is>
      </c>
      <c r="FL4658" t="inlineStr">
        <is>
          <t>B</t>
        </is>
      </c>
      <c r="FP4658" t="inlineStr">
        <is>
          <t>B</t>
        </is>
      </c>
    </row>
    <row r="4659">
      <c r="FC4659" t="inlineStr">
        <is>
          <t>Diccionario 5</t>
        </is>
      </c>
      <c r="FD4659" t="inlineStr">
        <is>
          <t>3092 / SFWZ-67|</t>
        </is>
      </c>
      <c r="FL4659" t="inlineStr">
        <is>
          <t>B</t>
        </is>
      </c>
      <c r="FP4659" t="inlineStr">
        <is>
          <t>B</t>
        </is>
      </c>
    </row>
    <row r="4660">
      <c r="FC4660" t="inlineStr">
        <is>
          <t>Diccionario 5</t>
        </is>
      </c>
      <c r="FD4660" t="inlineStr">
        <is>
          <t>3092 / SFWZ-67|</t>
        </is>
      </c>
      <c r="FL4660" t="inlineStr">
        <is>
          <t>B</t>
        </is>
      </c>
      <c r="FP4660" t="inlineStr">
        <is>
          <t>B</t>
        </is>
      </c>
    </row>
    <row r="4661">
      <c r="FC4661" t="inlineStr">
        <is>
          <t>Diccionario 5</t>
        </is>
      </c>
      <c r="FD4661" t="inlineStr">
        <is>
          <t>3092 / SFWZ-67|</t>
        </is>
      </c>
      <c r="FL4661" t="inlineStr">
        <is>
          <t>B</t>
        </is>
      </c>
      <c r="FP4661" t="inlineStr">
        <is>
          <t>B</t>
        </is>
      </c>
    </row>
    <row r="4662">
      <c r="FC4662" t="inlineStr">
        <is>
          <t>Diccionario 5</t>
        </is>
      </c>
      <c r="FD4662" t="inlineStr">
        <is>
          <t>3092 / SFWZ-67|</t>
        </is>
      </c>
      <c r="FL4662" t="inlineStr">
        <is>
          <t>B</t>
        </is>
      </c>
      <c r="FP4662" t="inlineStr">
        <is>
          <t>B</t>
        </is>
      </c>
    </row>
    <row r="4663">
      <c r="FC4663" t="inlineStr">
        <is>
          <t>Diccionario 5</t>
        </is>
      </c>
      <c r="FD4663" t="inlineStr">
        <is>
          <t>3093 / SFWZ-82|</t>
        </is>
      </c>
      <c r="FL4663" t="inlineStr">
        <is>
          <t>B</t>
        </is>
      </c>
      <c r="FP4663" t="inlineStr">
        <is>
          <t>B</t>
        </is>
      </c>
    </row>
    <row r="4664">
      <c r="FC4664" t="inlineStr">
        <is>
          <t>Diccionario 5</t>
        </is>
      </c>
      <c r="FD4664" t="inlineStr">
        <is>
          <t>3093 / SFWZ-82|</t>
        </is>
      </c>
      <c r="FL4664" t="inlineStr">
        <is>
          <t>B</t>
        </is>
      </c>
      <c r="FP4664" t="inlineStr">
        <is>
          <t>B</t>
        </is>
      </c>
    </row>
    <row r="4665">
      <c r="FC4665" t="inlineStr">
        <is>
          <t>Diccionario 5</t>
        </is>
      </c>
      <c r="FD4665" t="inlineStr">
        <is>
          <t>3093 / SFWZ-82|</t>
        </is>
      </c>
      <c r="FL4665" t="inlineStr">
        <is>
          <t>B</t>
        </is>
      </c>
      <c r="FP4665" t="inlineStr">
        <is>
          <t>B</t>
        </is>
      </c>
    </row>
    <row r="4666">
      <c r="FC4666" t="inlineStr">
        <is>
          <t>Diccionario 5</t>
        </is>
      </c>
      <c r="FD4666" t="inlineStr">
        <is>
          <t>3093 / SFWZ-82|</t>
        </is>
      </c>
      <c r="FL4666" t="inlineStr">
        <is>
          <t>B</t>
        </is>
      </c>
      <c r="FP4666" t="inlineStr">
        <is>
          <t>B</t>
        </is>
      </c>
    </row>
    <row r="4667">
      <c r="FC4667" t="inlineStr">
        <is>
          <t>Diccionario 5</t>
        </is>
      </c>
      <c r="FD4667" t="inlineStr">
        <is>
          <t>3094 / SFWZ-40|</t>
        </is>
      </c>
      <c r="FL4667" t="inlineStr">
        <is>
          <t>B</t>
        </is>
      </c>
      <c r="FP4667" t="inlineStr">
        <is>
          <t>B</t>
        </is>
      </c>
    </row>
    <row r="4668">
      <c r="FC4668" t="inlineStr">
        <is>
          <t>Diccionario 5</t>
        </is>
      </c>
      <c r="FD4668" t="inlineStr">
        <is>
          <t>3094 / SFWZ-40|</t>
        </is>
      </c>
      <c r="FL4668" t="inlineStr">
        <is>
          <t>B</t>
        </is>
      </c>
      <c r="FP4668" t="inlineStr">
        <is>
          <t>B</t>
        </is>
      </c>
    </row>
    <row r="4669">
      <c r="FC4669" t="inlineStr">
        <is>
          <t>Diccionario 5</t>
        </is>
      </c>
      <c r="FD4669" t="inlineStr">
        <is>
          <t>3094 / SFWZ-40|</t>
        </is>
      </c>
      <c r="FL4669" t="inlineStr">
        <is>
          <t>B</t>
        </is>
      </c>
      <c r="FP4669" t="inlineStr">
        <is>
          <t>B</t>
        </is>
      </c>
    </row>
    <row r="4670">
      <c r="FC4670" t="inlineStr">
        <is>
          <t>Diccionario 5</t>
        </is>
      </c>
      <c r="FD4670" t="inlineStr">
        <is>
          <t>3094 / SFWZ-40|</t>
        </is>
      </c>
      <c r="FL4670" t="inlineStr">
        <is>
          <t>B</t>
        </is>
      </c>
      <c r="FP4670" t="inlineStr">
        <is>
          <t>B</t>
        </is>
      </c>
    </row>
    <row r="4671">
      <c r="FC4671" t="inlineStr">
        <is>
          <t>Diccionario 5</t>
        </is>
      </c>
      <c r="FD4671" t="inlineStr">
        <is>
          <t>3094 / SFWZ-40|</t>
        </is>
      </c>
      <c r="FL4671" t="inlineStr">
        <is>
          <t>B</t>
        </is>
      </c>
      <c r="FP4671" t="inlineStr">
        <is>
          <t>B</t>
        </is>
      </c>
    </row>
    <row r="4672">
      <c r="FC4672" t="inlineStr">
        <is>
          <t>Diccionario 5</t>
        </is>
      </c>
      <c r="FD4672" t="inlineStr">
        <is>
          <t>3094 / SFWZ-40|</t>
        </is>
      </c>
      <c r="FL4672" t="inlineStr">
        <is>
          <t>B</t>
        </is>
      </c>
      <c r="FP4672" t="inlineStr">
        <is>
          <t>B</t>
        </is>
      </c>
    </row>
    <row r="4673">
      <c r="FC4673" t="inlineStr">
        <is>
          <t>Diccionario 5</t>
        </is>
      </c>
      <c r="FD4673" t="inlineStr">
        <is>
          <t>3094 / SFWZ-40|</t>
        </is>
      </c>
      <c r="FL4673" t="inlineStr">
        <is>
          <t>B</t>
        </is>
      </c>
      <c r="FP4673" t="inlineStr">
        <is>
          <t>B</t>
        </is>
      </c>
    </row>
    <row r="4674">
      <c r="FC4674" t="inlineStr">
        <is>
          <t>Diccionario 5</t>
        </is>
      </c>
      <c r="FD4674" t="inlineStr">
        <is>
          <t>3094 / SFWZ-40|</t>
        </is>
      </c>
      <c r="FL4674" t="inlineStr">
        <is>
          <t>B</t>
        </is>
      </c>
      <c r="FP4674" t="inlineStr">
        <is>
          <t>B</t>
        </is>
      </c>
    </row>
    <row r="4675">
      <c r="FC4675" t="inlineStr">
        <is>
          <t>Diccionario 5</t>
        </is>
      </c>
      <c r="FD4675" t="inlineStr">
        <is>
          <t>3095 / SFWZ-58|</t>
        </is>
      </c>
      <c r="FL4675" t="inlineStr">
        <is>
          <t>B</t>
        </is>
      </c>
      <c r="FP4675" t="inlineStr">
        <is>
          <t>B</t>
        </is>
      </c>
    </row>
    <row r="4676">
      <c r="FC4676" t="inlineStr">
        <is>
          <t>Diccionario 5</t>
        </is>
      </c>
      <c r="FD4676" t="inlineStr">
        <is>
          <t>3095 / SFWZ-58|</t>
        </is>
      </c>
      <c r="FL4676" t="inlineStr">
        <is>
          <t>B</t>
        </is>
      </c>
      <c r="FP4676" t="inlineStr">
        <is>
          <t>B</t>
        </is>
      </c>
    </row>
    <row r="4677">
      <c r="FC4677" t="inlineStr">
        <is>
          <t>Diccionario 5</t>
        </is>
      </c>
      <c r="FD4677" t="inlineStr">
        <is>
          <t>3095 / SFWZ-58|</t>
        </is>
      </c>
      <c r="FL4677" t="inlineStr">
        <is>
          <t>B</t>
        </is>
      </c>
      <c r="FP4677" t="inlineStr">
        <is>
          <t>B</t>
        </is>
      </c>
    </row>
    <row r="4678">
      <c r="FC4678" t="inlineStr">
        <is>
          <t>Diccionario 5</t>
        </is>
      </c>
      <c r="FD4678" t="inlineStr">
        <is>
          <t>3096 / SFWZ-74|</t>
        </is>
      </c>
      <c r="FL4678" t="inlineStr">
        <is>
          <t>B</t>
        </is>
      </c>
      <c r="FP4678" t="inlineStr">
        <is>
          <t>B</t>
        </is>
      </c>
    </row>
    <row r="4679">
      <c r="FC4679" t="inlineStr">
        <is>
          <t>Diccionario 5</t>
        </is>
      </c>
      <c r="FD4679" t="inlineStr">
        <is>
          <t>3096 / SFWZ-74|</t>
        </is>
      </c>
      <c r="FL4679" t="inlineStr">
        <is>
          <t>B</t>
        </is>
      </c>
      <c r="FP4679" t="inlineStr">
        <is>
          <t>B</t>
        </is>
      </c>
    </row>
    <row r="4680">
      <c r="FC4680" t="inlineStr">
        <is>
          <t>Diccionario 5</t>
        </is>
      </c>
      <c r="FD4680" t="inlineStr">
        <is>
          <t>3096 / SFWZ-74|</t>
        </is>
      </c>
      <c r="FL4680" t="inlineStr">
        <is>
          <t>B</t>
        </is>
      </c>
      <c r="FP4680" t="inlineStr">
        <is>
          <t>B</t>
        </is>
      </c>
    </row>
    <row r="4681">
      <c r="FC4681" t="inlineStr">
        <is>
          <t>Diccionario 5</t>
        </is>
      </c>
      <c r="FD4681" t="inlineStr">
        <is>
          <t>3096 / SFWZ-74|</t>
        </is>
      </c>
      <c r="FL4681" t="inlineStr">
        <is>
          <t>B</t>
        </is>
      </c>
      <c r="FP4681" t="inlineStr">
        <is>
          <t>B</t>
        </is>
      </c>
    </row>
    <row r="4682">
      <c r="FC4682" t="inlineStr">
        <is>
          <t>Diccionario 5</t>
        </is>
      </c>
      <c r="FD4682" t="inlineStr">
        <is>
          <t>3097 / SFWZ-77|</t>
        </is>
      </c>
      <c r="FL4682" t="inlineStr">
        <is>
          <t>B</t>
        </is>
      </c>
      <c r="FP4682" t="inlineStr">
        <is>
          <t>B</t>
        </is>
      </c>
    </row>
    <row r="4683">
      <c r="FC4683" t="inlineStr">
        <is>
          <t>Diccionario 5</t>
        </is>
      </c>
      <c r="FD4683" t="inlineStr">
        <is>
          <t>3097 / SFWZ-77|</t>
        </is>
      </c>
      <c r="FL4683" t="inlineStr">
        <is>
          <t>B</t>
        </is>
      </c>
      <c r="FP4683" t="inlineStr">
        <is>
          <t>B</t>
        </is>
      </c>
    </row>
    <row r="4684">
      <c r="FC4684" t="inlineStr">
        <is>
          <t>Diccionario 5</t>
        </is>
      </c>
      <c r="FD4684" t="inlineStr">
        <is>
          <t>3097 / SFWZ-77|</t>
        </is>
      </c>
      <c r="FL4684" t="inlineStr">
        <is>
          <t>B</t>
        </is>
      </c>
      <c r="FP4684" t="inlineStr">
        <is>
          <t>B</t>
        </is>
      </c>
    </row>
    <row r="4685">
      <c r="FC4685" t="inlineStr">
        <is>
          <t>Diccionario 5</t>
        </is>
      </c>
      <c r="FD4685" t="inlineStr">
        <is>
          <t>3097 / SFWZ-77|</t>
        </is>
      </c>
      <c r="FL4685" t="inlineStr">
        <is>
          <t>B</t>
        </is>
      </c>
      <c r="FP4685" t="inlineStr">
        <is>
          <t>B</t>
        </is>
      </c>
    </row>
    <row r="4686">
      <c r="FC4686" t="inlineStr">
        <is>
          <t>Diccionario 5</t>
        </is>
      </c>
      <c r="FD4686" t="inlineStr">
        <is>
          <t>3097 / SFWZ-77|</t>
        </is>
      </c>
      <c r="FL4686" t="inlineStr">
        <is>
          <t>B</t>
        </is>
      </c>
      <c r="FP4686" t="inlineStr">
        <is>
          <t>B</t>
        </is>
      </c>
    </row>
    <row r="4687">
      <c r="FC4687" t="inlineStr">
        <is>
          <t>Diccionario 5</t>
        </is>
      </c>
      <c r="FD4687" t="inlineStr">
        <is>
          <t>3097 / SFWZ-77|</t>
        </is>
      </c>
      <c r="FL4687" t="inlineStr">
        <is>
          <t>B</t>
        </is>
      </c>
      <c r="FP4687" t="inlineStr">
        <is>
          <t>B</t>
        </is>
      </c>
    </row>
    <row r="4688">
      <c r="FC4688" t="inlineStr">
        <is>
          <t>Diccionario 5</t>
        </is>
      </c>
      <c r="FD4688" t="inlineStr">
        <is>
          <t>3097 / SFWZ-77|</t>
        </is>
      </c>
      <c r="FL4688" t="inlineStr">
        <is>
          <t>B</t>
        </is>
      </c>
      <c r="FP4688" t="inlineStr">
        <is>
          <t>B</t>
        </is>
      </c>
    </row>
    <row r="4689">
      <c r="FC4689" t="inlineStr">
        <is>
          <t>Diccionario 5</t>
        </is>
      </c>
      <c r="FD4689" t="inlineStr">
        <is>
          <t>3097 / SFWZ-77|</t>
        </is>
      </c>
      <c r="FL4689" t="inlineStr">
        <is>
          <t>B</t>
        </is>
      </c>
      <c r="FP4689" t="inlineStr">
        <is>
          <t>B</t>
        </is>
      </c>
    </row>
    <row r="4690">
      <c r="FC4690" t="inlineStr">
        <is>
          <t>Diccionario 5</t>
        </is>
      </c>
      <c r="FD4690" t="inlineStr">
        <is>
          <t>3097 / SFWZ-77|</t>
        </is>
      </c>
      <c r="FL4690" t="inlineStr">
        <is>
          <t>B</t>
        </is>
      </c>
      <c r="FP4690" t="inlineStr">
        <is>
          <t>B</t>
        </is>
      </c>
    </row>
    <row r="4691">
      <c r="FC4691" t="inlineStr">
        <is>
          <t>Diccionario 5</t>
        </is>
      </c>
      <c r="FD4691" t="inlineStr">
        <is>
          <t>3099 / SFWZ-37|</t>
        </is>
      </c>
      <c r="FL4691" t="inlineStr">
        <is>
          <t>B</t>
        </is>
      </c>
      <c r="FP4691" t="inlineStr">
        <is>
          <t>B</t>
        </is>
      </c>
    </row>
    <row r="4692">
      <c r="FC4692" t="inlineStr">
        <is>
          <t>Diccionario 5</t>
        </is>
      </c>
      <c r="FD4692" t="inlineStr">
        <is>
          <t>3099 / SFWZ-37|</t>
        </is>
      </c>
      <c r="FL4692" t="inlineStr">
        <is>
          <t>B</t>
        </is>
      </c>
      <c r="FP4692" t="inlineStr">
        <is>
          <t>B</t>
        </is>
      </c>
    </row>
    <row r="4693">
      <c r="FC4693" t="inlineStr">
        <is>
          <t>Diccionario 5</t>
        </is>
      </c>
      <c r="FD4693" t="inlineStr">
        <is>
          <t>3099 / SFWZ-37|</t>
        </is>
      </c>
      <c r="FL4693" t="inlineStr">
        <is>
          <t>B</t>
        </is>
      </c>
      <c r="FP4693" t="inlineStr">
        <is>
          <t>B</t>
        </is>
      </c>
    </row>
    <row r="4694">
      <c r="FC4694" t="inlineStr">
        <is>
          <t>Diccionario 5</t>
        </is>
      </c>
      <c r="FD4694" t="inlineStr">
        <is>
          <t>3099 / SFWZ-37|</t>
        </is>
      </c>
      <c r="FL4694" t="inlineStr">
        <is>
          <t>B</t>
        </is>
      </c>
      <c r="FP4694" t="inlineStr">
        <is>
          <t>B</t>
        </is>
      </c>
    </row>
    <row r="4695">
      <c r="FC4695" t="inlineStr">
        <is>
          <t>Diccionario 5</t>
        </is>
      </c>
      <c r="FD4695" t="inlineStr">
        <is>
          <t>3099 / SFWZ-37|</t>
        </is>
      </c>
      <c r="FL4695" t="inlineStr">
        <is>
          <t>B</t>
        </is>
      </c>
      <c r="FP4695" t="inlineStr">
        <is>
          <t>B</t>
        </is>
      </c>
    </row>
    <row r="4696">
      <c r="FC4696" t="inlineStr">
        <is>
          <t>Diccionario 5</t>
        </is>
      </c>
      <c r="FD4696" t="inlineStr">
        <is>
          <t>3100 / SFWZ-83|</t>
        </is>
      </c>
      <c r="FL4696" t="inlineStr">
        <is>
          <t>B</t>
        </is>
      </c>
      <c r="FP4696" t="inlineStr">
        <is>
          <t>B</t>
        </is>
      </c>
    </row>
    <row r="4697">
      <c r="FC4697" t="inlineStr">
        <is>
          <t>Diccionario 5</t>
        </is>
      </c>
      <c r="FD4697" t="inlineStr">
        <is>
          <t>3100 / SFWZ-83|</t>
        </is>
      </c>
      <c r="FL4697" t="inlineStr">
        <is>
          <t>B</t>
        </is>
      </c>
      <c r="FP4697" t="inlineStr">
        <is>
          <t>B</t>
        </is>
      </c>
    </row>
    <row r="4698">
      <c r="FC4698" t="inlineStr">
        <is>
          <t>Diccionario 5</t>
        </is>
      </c>
      <c r="FD4698" t="inlineStr">
        <is>
          <t>3100 / SFWZ-83|</t>
        </is>
      </c>
      <c r="FL4698" t="inlineStr">
        <is>
          <t>B</t>
        </is>
      </c>
      <c r="FP4698" t="inlineStr">
        <is>
          <t>B</t>
        </is>
      </c>
    </row>
    <row r="4699">
      <c r="FC4699" t="inlineStr">
        <is>
          <t>Diccionario 5</t>
        </is>
      </c>
      <c r="FD4699" t="inlineStr">
        <is>
          <t>3100 / SFWZ-83|</t>
        </is>
      </c>
      <c r="FL4699" t="inlineStr">
        <is>
          <t>B</t>
        </is>
      </c>
      <c r="FP4699" t="inlineStr">
        <is>
          <t>B</t>
        </is>
      </c>
    </row>
    <row r="4700">
      <c r="FC4700" t="inlineStr">
        <is>
          <t>Diccionario 5</t>
        </is>
      </c>
      <c r="FD4700" t="inlineStr">
        <is>
          <t>3100 / SFWZ-83|</t>
        </is>
      </c>
      <c r="FL4700" t="inlineStr">
        <is>
          <t>B</t>
        </is>
      </c>
      <c r="FP4700" t="inlineStr">
        <is>
          <t>B</t>
        </is>
      </c>
    </row>
    <row r="4701">
      <c r="FC4701" t="inlineStr">
        <is>
          <t>Diccionario 5</t>
        </is>
      </c>
      <c r="FD4701" t="inlineStr">
        <is>
          <t>3102 / SFWZ-59|</t>
        </is>
      </c>
      <c r="FL4701" t="inlineStr">
        <is>
          <t>B</t>
        </is>
      </c>
      <c r="FP4701" t="inlineStr">
        <is>
          <t>B</t>
        </is>
      </c>
    </row>
    <row r="4702">
      <c r="FC4702" t="inlineStr">
        <is>
          <t>Diccionario 5</t>
        </is>
      </c>
      <c r="FD4702" t="inlineStr">
        <is>
          <t>3102 / SFWZ-59|</t>
        </is>
      </c>
      <c r="FL4702" t="inlineStr">
        <is>
          <t>B</t>
        </is>
      </c>
      <c r="FP4702" t="inlineStr">
        <is>
          <t>B</t>
        </is>
      </c>
    </row>
    <row r="4703">
      <c r="FC4703" t="inlineStr">
        <is>
          <t>Diccionario 5</t>
        </is>
      </c>
      <c r="FD4703" t="inlineStr">
        <is>
          <t>3102 / SFWZ-59|</t>
        </is>
      </c>
      <c r="FL4703" t="inlineStr">
        <is>
          <t>B</t>
        </is>
      </c>
      <c r="FP4703" t="inlineStr">
        <is>
          <t>B</t>
        </is>
      </c>
    </row>
    <row r="4704">
      <c r="FC4704" t="inlineStr">
        <is>
          <t>Diccionario 5</t>
        </is>
      </c>
      <c r="FD4704" t="inlineStr">
        <is>
          <t>3103 / SFWZ-78|</t>
        </is>
      </c>
      <c r="FL4704" t="inlineStr">
        <is>
          <t>B</t>
        </is>
      </c>
      <c r="FP4704" t="inlineStr">
        <is>
          <t>B</t>
        </is>
      </c>
    </row>
    <row r="4705">
      <c r="FC4705" t="inlineStr">
        <is>
          <t>Diccionario 5</t>
        </is>
      </c>
      <c r="FD4705" t="inlineStr">
        <is>
          <t>3103 / SFWZ-78|</t>
        </is>
      </c>
      <c r="FL4705" t="inlineStr">
        <is>
          <t>B</t>
        </is>
      </c>
      <c r="FP4705" t="inlineStr">
        <is>
          <t>B</t>
        </is>
      </c>
    </row>
    <row r="4706">
      <c r="FC4706" t="inlineStr">
        <is>
          <t>Diccionario 5</t>
        </is>
      </c>
      <c r="FD4706" t="inlineStr">
        <is>
          <t>3103 / SFWZ-78|</t>
        </is>
      </c>
      <c r="FL4706" t="inlineStr">
        <is>
          <t>B</t>
        </is>
      </c>
      <c r="FP4706" t="inlineStr">
        <is>
          <t>B</t>
        </is>
      </c>
    </row>
    <row r="4707">
      <c r="FC4707" t="inlineStr">
        <is>
          <t>Diccionario 5</t>
        </is>
      </c>
      <c r="FD4707" t="inlineStr">
        <is>
          <t>3103 / SFWZ-78|</t>
        </is>
      </c>
      <c r="FL4707" t="inlineStr">
        <is>
          <t>B</t>
        </is>
      </c>
      <c r="FP4707" t="inlineStr">
        <is>
          <t>B</t>
        </is>
      </c>
    </row>
    <row r="4708">
      <c r="FC4708" t="inlineStr">
        <is>
          <t>Diccionario 5</t>
        </is>
      </c>
      <c r="FD4708" t="inlineStr">
        <is>
          <t>3103 / SFWZ-78|</t>
        </is>
      </c>
      <c r="FL4708" t="inlineStr">
        <is>
          <t>B</t>
        </is>
      </c>
      <c r="FP4708" t="inlineStr">
        <is>
          <t>B</t>
        </is>
      </c>
    </row>
    <row r="4709">
      <c r="FC4709" t="inlineStr">
        <is>
          <t>Diccionario 5</t>
        </is>
      </c>
      <c r="FD4709" t="inlineStr">
        <is>
          <t>3103 / SFWZ-78|</t>
        </is>
      </c>
      <c r="FL4709" t="inlineStr">
        <is>
          <t>B</t>
        </is>
      </c>
      <c r="FP4709" t="inlineStr">
        <is>
          <t>B</t>
        </is>
      </c>
    </row>
    <row r="4710">
      <c r="FC4710" t="inlineStr">
        <is>
          <t>Diccionario 5</t>
        </is>
      </c>
      <c r="FD4710" t="inlineStr">
        <is>
          <t>3103 / SFWZ-78|</t>
        </is>
      </c>
      <c r="FL4710" t="inlineStr">
        <is>
          <t>B</t>
        </is>
      </c>
      <c r="FP4710" t="inlineStr">
        <is>
          <t>B</t>
        </is>
      </c>
    </row>
    <row r="4711">
      <c r="FC4711" t="inlineStr">
        <is>
          <t>Diccionario 5</t>
        </is>
      </c>
      <c r="FD4711" t="inlineStr">
        <is>
          <t>3104 / SFWZ-52|</t>
        </is>
      </c>
      <c r="FL4711" t="inlineStr">
        <is>
          <t>B</t>
        </is>
      </c>
      <c r="FP4711" t="inlineStr">
        <is>
          <t>B</t>
        </is>
      </c>
    </row>
    <row r="4712">
      <c r="FC4712" t="inlineStr">
        <is>
          <t>Diccionario 5</t>
        </is>
      </c>
      <c r="FD4712" t="inlineStr">
        <is>
          <t>3104 / SFWZ-52|</t>
        </is>
      </c>
      <c r="FL4712" t="inlineStr">
        <is>
          <t>B</t>
        </is>
      </c>
      <c r="FP4712" t="inlineStr">
        <is>
          <t>B</t>
        </is>
      </c>
    </row>
    <row r="4713">
      <c r="FC4713" t="inlineStr">
        <is>
          <t>Diccionario 5</t>
        </is>
      </c>
      <c r="FD4713" t="inlineStr">
        <is>
          <t>3104 / SFWZ-52|</t>
        </is>
      </c>
      <c r="FL4713" t="inlineStr">
        <is>
          <t>B</t>
        </is>
      </c>
      <c r="FP4713" t="inlineStr">
        <is>
          <t>B</t>
        </is>
      </c>
    </row>
    <row r="4714">
      <c r="FC4714" t="inlineStr">
        <is>
          <t>Diccionario 5</t>
        </is>
      </c>
      <c r="FD4714" t="inlineStr">
        <is>
          <t>3104 / SFWZ-52|</t>
        </is>
      </c>
      <c r="FL4714" t="inlineStr">
        <is>
          <t>B</t>
        </is>
      </c>
      <c r="FP4714" t="inlineStr">
        <is>
          <t>B</t>
        </is>
      </c>
    </row>
    <row r="4715">
      <c r="FC4715" t="inlineStr">
        <is>
          <t>Diccionario 5</t>
        </is>
      </c>
      <c r="FD4715" t="inlineStr">
        <is>
          <t>3104 / SFWZ-52|</t>
        </is>
      </c>
      <c r="FL4715" t="inlineStr">
        <is>
          <t>B</t>
        </is>
      </c>
      <c r="FP4715" t="inlineStr">
        <is>
          <t>B</t>
        </is>
      </c>
    </row>
    <row r="4716">
      <c r="FC4716" t="inlineStr">
        <is>
          <t>Diccionario 5</t>
        </is>
      </c>
      <c r="FD4716" t="inlineStr">
        <is>
          <t>3104 / SFWZ-52|</t>
        </is>
      </c>
      <c r="FL4716" t="inlineStr">
        <is>
          <t>B</t>
        </is>
      </c>
      <c r="FP4716" t="inlineStr">
        <is>
          <t>B</t>
        </is>
      </c>
    </row>
    <row r="4717">
      <c r="FC4717" t="inlineStr">
        <is>
          <t>Diccionario 5</t>
        </is>
      </c>
      <c r="FD4717" t="inlineStr">
        <is>
          <t>3104 / SFWZ-52|</t>
        </is>
      </c>
      <c r="FL4717" t="inlineStr">
        <is>
          <t>B</t>
        </is>
      </c>
      <c r="FP4717" t="inlineStr">
        <is>
          <t>B</t>
        </is>
      </c>
    </row>
    <row r="4718">
      <c r="FC4718" t="inlineStr">
        <is>
          <t>Diccionario 5</t>
        </is>
      </c>
      <c r="FD4718" t="inlineStr">
        <is>
          <t>3104 / SFWZ-52|</t>
        </is>
      </c>
      <c r="FL4718" t="inlineStr">
        <is>
          <t>B</t>
        </is>
      </c>
      <c r="FP4718" t="inlineStr">
        <is>
          <t>B</t>
        </is>
      </c>
    </row>
    <row r="4719">
      <c r="FC4719" t="inlineStr">
        <is>
          <t>Diccionario 5</t>
        </is>
      </c>
      <c r="FD4719" t="inlineStr">
        <is>
          <t>3104 / SFWZ-52|</t>
        </is>
      </c>
      <c r="FL4719" t="inlineStr">
        <is>
          <t>B</t>
        </is>
      </c>
      <c r="FP4719" t="inlineStr">
        <is>
          <t>B</t>
        </is>
      </c>
    </row>
    <row r="4720">
      <c r="FC4720" t="inlineStr">
        <is>
          <t>Diccionario 5</t>
        </is>
      </c>
      <c r="FD4720" t="inlineStr">
        <is>
          <t>3104 / SFWZ-52|</t>
        </is>
      </c>
      <c r="FL4720" t="inlineStr">
        <is>
          <t>B</t>
        </is>
      </c>
      <c r="FP4720" t="inlineStr">
        <is>
          <t>B</t>
        </is>
      </c>
    </row>
    <row r="4721">
      <c r="FC4721" t="inlineStr">
        <is>
          <t>Diccionario 5</t>
        </is>
      </c>
      <c r="FD4721" t="inlineStr">
        <is>
          <t>3104 / SFWZ-52|</t>
        </is>
      </c>
      <c r="FL4721" t="inlineStr">
        <is>
          <t>B</t>
        </is>
      </c>
      <c r="FP4721" t="inlineStr">
        <is>
          <t>B</t>
        </is>
      </c>
    </row>
    <row r="4722">
      <c r="FC4722" t="inlineStr">
        <is>
          <t>Diccionario 5</t>
        </is>
      </c>
      <c r="FD4722" t="inlineStr">
        <is>
          <t>3105 / SFWZ-54|</t>
        </is>
      </c>
      <c r="FL4722" t="inlineStr">
        <is>
          <t>B</t>
        </is>
      </c>
      <c r="FP4722" t="inlineStr">
        <is>
          <t>B</t>
        </is>
      </c>
    </row>
    <row r="4723">
      <c r="FC4723" t="inlineStr">
        <is>
          <t>Diccionario 5</t>
        </is>
      </c>
      <c r="FD4723" t="inlineStr">
        <is>
          <t>3105 / SFWZ-54|</t>
        </is>
      </c>
      <c r="FL4723" t="inlineStr">
        <is>
          <t>B</t>
        </is>
      </c>
      <c r="FP4723" t="inlineStr">
        <is>
          <t>B</t>
        </is>
      </c>
    </row>
    <row r="4724">
      <c r="FC4724" t="inlineStr">
        <is>
          <t>Diccionario 5</t>
        </is>
      </c>
      <c r="FD4724" t="inlineStr">
        <is>
          <t>3105 / SFWZ-54|</t>
        </is>
      </c>
      <c r="FL4724" t="inlineStr">
        <is>
          <t>B</t>
        </is>
      </c>
      <c r="FP4724" t="inlineStr">
        <is>
          <t>B</t>
        </is>
      </c>
    </row>
    <row r="4725">
      <c r="FC4725" t="inlineStr">
        <is>
          <t>Diccionario 5</t>
        </is>
      </c>
      <c r="FD4725" t="inlineStr">
        <is>
          <t>3105 / SFWZ-54|</t>
        </is>
      </c>
      <c r="FL4725" t="inlineStr">
        <is>
          <t>B</t>
        </is>
      </c>
      <c r="FP4725" t="inlineStr">
        <is>
          <t>B</t>
        </is>
      </c>
    </row>
    <row r="4726">
      <c r="FC4726" t="inlineStr">
        <is>
          <t>Diccionario 5</t>
        </is>
      </c>
      <c r="FD4726" t="inlineStr">
        <is>
          <t>3105 / SFWZ-54|</t>
        </is>
      </c>
      <c r="FL4726" t="inlineStr">
        <is>
          <t>B</t>
        </is>
      </c>
      <c r="FP4726" t="inlineStr">
        <is>
          <t>B</t>
        </is>
      </c>
    </row>
    <row r="4727">
      <c r="FC4727" t="inlineStr">
        <is>
          <t>Diccionario 5</t>
        </is>
      </c>
      <c r="FD4727" t="inlineStr">
        <is>
          <t>3105 / SFWZ-54|</t>
        </is>
      </c>
      <c r="FL4727" t="inlineStr">
        <is>
          <t>B</t>
        </is>
      </c>
      <c r="FP4727" t="inlineStr">
        <is>
          <t>B</t>
        </is>
      </c>
    </row>
    <row r="4728">
      <c r="FC4728" t="inlineStr">
        <is>
          <t>Diccionario 5</t>
        </is>
      </c>
      <c r="FD4728" t="inlineStr">
        <is>
          <t>3105 / SFWZ-54|</t>
        </is>
      </c>
      <c r="FL4728" t="inlineStr">
        <is>
          <t>B</t>
        </is>
      </c>
      <c r="FP4728" t="inlineStr">
        <is>
          <t>B</t>
        </is>
      </c>
    </row>
    <row r="4729">
      <c r="FC4729" t="inlineStr">
        <is>
          <t>Diccionario 5</t>
        </is>
      </c>
      <c r="FD4729" t="inlineStr">
        <is>
          <t>3105 / SFWZ-54|</t>
        </is>
      </c>
      <c r="FL4729" t="inlineStr">
        <is>
          <t>B</t>
        </is>
      </c>
      <c r="FP4729" t="inlineStr">
        <is>
          <t>B</t>
        </is>
      </c>
    </row>
    <row r="4730">
      <c r="FC4730" t="inlineStr">
        <is>
          <t>Diccionario 5</t>
        </is>
      </c>
      <c r="FD4730" t="inlineStr">
        <is>
          <t>3105 / SFWZ-54|</t>
        </is>
      </c>
      <c r="FL4730" t="inlineStr">
        <is>
          <t>B</t>
        </is>
      </c>
      <c r="FP4730" t="inlineStr">
        <is>
          <t>B</t>
        </is>
      </c>
    </row>
    <row r="4731">
      <c r="FC4731" t="inlineStr">
        <is>
          <t>Diccionario 5</t>
        </is>
      </c>
      <c r="FD4731" t="inlineStr">
        <is>
          <t>3105 / SFWZ-54|</t>
        </is>
      </c>
      <c r="FL4731" t="inlineStr">
        <is>
          <t>B</t>
        </is>
      </c>
      <c r="FP4731" t="inlineStr">
        <is>
          <t>B</t>
        </is>
      </c>
    </row>
    <row r="4732">
      <c r="FC4732" t="inlineStr">
        <is>
          <t>Diccionario 5</t>
        </is>
      </c>
      <c r="FD4732" t="inlineStr">
        <is>
          <t>3106 / SFWZ-68|</t>
        </is>
      </c>
      <c r="FL4732" t="inlineStr">
        <is>
          <t>B</t>
        </is>
      </c>
      <c r="FP4732" t="inlineStr">
        <is>
          <t>B</t>
        </is>
      </c>
    </row>
    <row r="4733">
      <c r="FC4733" t="inlineStr">
        <is>
          <t>Diccionario 5</t>
        </is>
      </c>
      <c r="FD4733" t="inlineStr">
        <is>
          <t>3106 / SFWZ-68|</t>
        </is>
      </c>
      <c r="FL4733" t="inlineStr">
        <is>
          <t>B</t>
        </is>
      </c>
      <c r="FP4733" t="inlineStr">
        <is>
          <t>B</t>
        </is>
      </c>
    </row>
    <row r="4734">
      <c r="FC4734" t="inlineStr">
        <is>
          <t>Diccionario 5</t>
        </is>
      </c>
      <c r="FD4734" t="inlineStr">
        <is>
          <t>3106 / SFWZ-68|</t>
        </is>
      </c>
      <c r="FL4734" t="inlineStr">
        <is>
          <t>B</t>
        </is>
      </c>
      <c r="FP4734" t="inlineStr">
        <is>
          <t>B</t>
        </is>
      </c>
    </row>
    <row r="4735">
      <c r="FC4735" t="inlineStr">
        <is>
          <t>Diccionario 5</t>
        </is>
      </c>
      <c r="FD4735" t="inlineStr">
        <is>
          <t>3106 / SFWZ-68|</t>
        </is>
      </c>
      <c r="FL4735" t="inlineStr">
        <is>
          <t>B</t>
        </is>
      </c>
      <c r="FP4735" t="inlineStr">
        <is>
          <t>B</t>
        </is>
      </c>
    </row>
    <row r="4736">
      <c r="FC4736" t="inlineStr">
        <is>
          <t>Diccionario 5</t>
        </is>
      </c>
      <c r="FD4736" t="inlineStr">
        <is>
          <t>3106 / SFWZ-68|</t>
        </is>
      </c>
      <c r="FL4736" t="inlineStr">
        <is>
          <t>B</t>
        </is>
      </c>
      <c r="FP4736" t="inlineStr">
        <is>
          <t>B</t>
        </is>
      </c>
    </row>
    <row r="4737">
      <c r="FC4737" t="inlineStr">
        <is>
          <t>Diccionario 5</t>
        </is>
      </c>
      <c r="FD4737" t="inlineStr">
        <is>
          <t>3106 / SFWZ-68|</t>
        </is>
      </c>
      <c r="FL4737" t="inlineStr">
        <is>
          <t>B</t>
        </is>
      </c>
      <c r="FP4737" t="inlineStr">
        <is>
          <t>B</t>
        </is>
      </c>
    </row>
    <row r="4738">
      <c r="FC4738" t="inlineStr">
        <is>
          <t>Diccionario 5</t>
        </is>
      </c>
      <c r="FD4738" t="inlineStr">
        <is>
          <t>3106 / SFWZ-68|</t>
        </is>
      </c>
      <c r="FL4738" t="inlineStr">
        <is>
          <t>B</t>
        </is>
      </c>
      <c r="FP4738" t="inlineStr">
        <is>
          <t>B</t>
        </is>
      </c>
    </row>
    <row r="4739">
      <c r="FC4739" t="inlineStr">
        <is>
          <t>Diccionario 5</t>
        </is>
      </c>
      <c r="FD4739" t="inlineStr">
        <is>
          <t>3107 / SFWZ-85|</t>
        </is>
      </c>
      <c r="FL4739" t="inlineStr">
        <is>
          <t>B</t>
        </is>
      </c>
      <c r="FP4739" t="inlineStr">
        <is>
          <t>B</t>
        </is>
      </c>
    </row>
    <row r="4740">
      <c r="FC4740" t="inlineStr">
        <is>
          <t>Diccionario 5</t>
        </is>
      </c>
      <c r="FD4740" t="inlineStr">
        <is>
          <t>3107 / SFWZ-85|</t>
        </is>
      </c>
      <c r="FL4740" t="inlineStr">
        <is>
          <t>B</t>
        </is>
      </c>
      <c r="FP4740" t="inlineStr">
        <is>
          <t>B</t>
        </is>
      </c>
    </row>
    <row r="4741">
      <c r="FC4741" t="inlineStr">
        <is>
          <t>Diccionario 5</t>
        </is>
      </c>
      <c r="FD4741" t="inlineStr">
        <is>
          <t>3107 / SFWZ-85|</t>
        </is>
      </c>
      <c r="FL4741" t="inlineStr">
        <is>
          <t>B</t>
        </is>
      </c>
      <c r="FP4741" t="inlineStr">
        <is>
          <t>B</t>
        </is>
      </c>
    </row>
    <row r="4742">
      <c r="FC4742" t="inlineStr">
        <is>
          <t>Diccionario 5</t>
        </is>
      </c>
      <c r="FD4742" t="inlineStr">
        <is>
          <t>3107 / SFWZ-85|</t>
        </is>
      </c>
      <c r="FL4742" t="inlineStr">
        <is>
          <t>B</t>
        </is>
      </c>
      <c r="FP4742" t="inlineStr">
        <is>
          <t>B</t>
        </is>
      </c>
    </row>
    <row r="4743">
      <c r="FC4743" t="inlineStr">
        <is>
          <t>Diccionario 5</t>
        </is>
      </c>
      <c r="FD4743" t="inlineStr">
        <is>
          <t>3107 / SFWZ-85|</t>
        </is>
      </c>
      <c r="FL4743" t="inlineStr">
        <is>
          <t>B</t>
        </is>
      </c>
      <c r="FP4743" t="inlineStr">
        <is>
          <t>B</t>
        </is>
      </c>
    </row>
    <row r="4744">
      <c r="FC4744" t="inlineStr">
        <is>
          <t>Diccionario 5</t>
        </is>
      </c>
      <c r="FD4744" t="inlineStr">
        <is>
          <t>3107 / SFWZ-85|</t>
        </is>
      </c>
      <c r="FL4744" t="inlineStr">
        <is>
          <t>B</t>
        </is>
      </c>
      <c r="FP4744" t="inlineStr">
        <is>
          <t>B</t>
        </is>
      </c>
    </row>
    <row r="4745">
      <c r="FC4745" t="inlineStr">
        <is>
          <t>Diccionario 5</t>
        </is>
      </c>
      <c r="FD4745" t="inlineStr">
        <is>
          <t>3107 / SFWZ-85|</t>
        </is>
      </c>
      <c r="FL4745" t="inlineStr">
        <is>
          <t>B</t>
        </is>
      </c>
      <c r="FP4745" t="inlineStr">
        <is>
          <t>B</t>
        </is>
      </c>
    </row>
    <row r="4746">
      <c r="FC4746" t="inlineStr">
        <is>
          <t>Diccionario 5</t>
        </is>
      </c>
      <c r="FD4746" t="inlineStr">
        <is>
          <t>3107 / SFWZ-85|</t>
        </is>
      </c>
      <c r="FL4746" t="inlineStr">
        <is>
          <t>B</t>
        </is>
      </c>
      <c r="FP4746" t="inlineStr">
        <is>
          <t>B</t>
        </is>
      </c>
    </row>
    <row r="4747">
      <c r="FC4747" t="inlineStr">
        <is>
          <t>Diccionario 5</t>
        </is>
      </c>
      <c r="FD4747" t="inlineStr">
        <is>
          <t>7739 / GCBC-26|</t>
        </is>
      </c>
      <c r="FL4747" t="inlineStr">
        <is>
          <t>BPAL</t>
        </is>
      </c>
      <c r="FP4747" t="inlineStr">
        <is>
          <t>BPAL</t>
        </is>
      </c>
    </row>
    <row r="4748">
      <c r="FC4748" t="inlineStr">
        <is>
          <t>Diccionario 5</t>
        </is>
      </c>
      <c r="FD4748" t="inlineStr">
        <is>
          <t>7747 / GCBC-34|</t>
        </is>
      </c>
      <c r="FL4748" t="inlineStr">
        <is>
          <t>BPAL</t>
        </is>
      </c>
      <c r="FP4748" t="inlineStr">
        <is>
          <t>BPAL</t>
        </is>
      </c>
    </row>
    <row r="4749">
      <c r="FC4749" t="inlineStr">
        <is>
          <t>Diccionario 5</t>
        </is>
      </c>
      <c r="FD4749" t="inlineStr">
        <is>
          <t>7747 / GCBC-34|</t>
        </is>
      </c>
      <c r="FL4749" t="inlineStr">
        <is>
          <t>BPAL</t>
        </is>
      </c>
      <c r="FP4749" t="inlineStr">
        <is>
          <t>BPAL</t>
        </is>
      </c>
    </row>
    <row r="4750">
      <c r="FC4750" t="inlineStr">
        <is>
          <t>Diccionario 5</t>
        </is>
      </c>
      <c r="FD4750" t="inlineStr">
        <is>
          <t>9925 / SXKV-97|</t>
        </is>
      </c>
      <c r="FL4750" t="inlineStr">
        <is>
          <t>C</t>
        </is>
      </c>
      <c r="FP4750" t="inlineStr">
        <is>
          <t>C</t>
        </is>
      </c>
    </row>
    <row r="4751">
      <c r="FC4751" t="inlineStr">
        <is>
          <t>Diccionario 5</t>
        </is>
      </c>
      <c r="FD4751" t="inlineStr">
        <is>
          <t>9925 / SXKV-97|</t>
        </is>
      </c>
      <c r="FL4751" t="inlineStr">
        <is>
          <t>C</t>
        </is>
      </c>
      <c r="FP4751" t="inlineStr">
        <is>
          <t>C</t>
        </is>
      </c>
    </row>
    <row r="4752">
      <c r="FC4752" t="inlineStr">
        <is>
          <t>Diccionario 5</t>
        </is>
      </c>
      <c r="FD4752" t="inlineStr">
        <is>
          <t>9925 / SXKV-97|</t>
        </is>
      </c>
      <c r="FL4752" t="inlineStr">
        <is>
          <t>C</t>
        </is>
      </c>
      <c r="FP4752" t="inlineStr">
        <is>
          <t>C</t>
        </is>
      </c>
    </row>
    <row r="4753">
      <c r="FC4753" t="inlineStr">
        <is>
          <t>Diccionario 5</t>
        </is>
      </c>
      <c r="FD4753" t="inlineStr">
        <is>
          <t>9925 / SXKV-97|</t>
        </is>
      </c>
      <c r="FL4753" t="inlineStr">
        <is>
          <t>C</t>
        </is>
      </c>
      <c r="FP4753" t="inlineStr">
        <is>
          <t>C</t>
        </is>
      </c>
    </row>
    <row r="4754">
      <c r="FC4754" t="inlineStr">
        <is>
          <t>Diccionario 5</t>
        </is>
      </c>
      <c r="FD4754" t="inlineStr">
        <is>
          <t>9925 / SXKV-97|</t>
        </is>
      </c>
      <c r="FL4754" t="inlineStr">
        <is>
          <t>C</t>
        </is>
      </c>
      <c r="FP4754" t="inlineStr">
        <is>
          <t>C</t>
        </is>
      </c>
    </row>
    <row r="4755">
      <c r="FC4755" t="inlineStr">
        <is>
          <t>Diccionario 5</t>
        </is>
      </c>
      <c r="FD4755" t="inlineStr">
        <is>
          <t>9925 / SXKV-97|</t>
        </is>
      </c>
      <c r="FL4755" t="inlineStr">
        <is>
          <t>C</t>
        </is>
      </c>
      <c r="FP4755" t="inlineStr">
        <is>
          <t>C</t>
        </is>
      </c>
    </row>
    <row r="4756">
      <c r="FC4756" t="inlineStr">
        <is>
          <t>Diccionario 5</t>
        </is>
      </c>
      <c r="FD4756" t="inlineStr">
        <is>
          <t>9925 / SXKV-97|</t>
        </is>
      </c>
      <c r="FL4756" t="inlineStr">
        <is>
          <t>C</t>
        </is>
      </c>
      <c r="FP4756" t="inlineStr">
        <is>
          <t>C</t>
        </is>
      </c>
    </row>
    <row r="4757">
      <c r="FC4757" t="inlineStr">
        <is>
          <t>Diccionario 5</t>
        </is>
      </c>
      <c r="FD4757" t="inlineStr">
        <is>
          <t>9925 / SXKV-97|</t>
        </is>
      </c>
      <c r="FL4757" t="inlineStr">
        <is>
          <t>C</t>
        </is>
      </c>
      <c r="FP4757" t="inlineStr">
        <is>
          <t>C</t>
        </is>
      </c>
    </row>
    <row r="4758">
      <c r="FC4758" t="inlineStr">
        <is>
          <t>Diccionario 5</t>
        </is>
      </c>
      <c r="FD4758" t="inlineStr">
        <is>
          <t>9925 / SXKV-97|</t>
        </is>
      </c>
      <c r="FL4758" t="inlineStr">
        <is>
          <t>C</t>
        </is>
      </c>
      <c r="FP4758" t="inlineStr">
        <is>
          <t>C</t>
        </is>
      </c>
    </row>
    <row r="4759">
      <c r="FC4759" t="inlineStr">
        <is>
          <t>Diccionario 5</t>
        </is>
      </c>
      <c r="FD4759" t="inlineStr">
        <is>
          <t>9929 / SXKV-98|</t>
        </is>
      </c>
      <c r="FL4759" t="inlineStr">
        <is>
          <t>C</t>
        </is>
      </c>
      <c r="FP4759" t="inlineStr">
        <is>
          <t>C</t>
        </is>
      </c>
    </row>
    <row r="4760">
      <c r="FC4760" t="inlineStr">
        <is>
          <t>Diccionario 5</t>
        </is>
      </c>
      <c r="FD4760" t="inlineStr">
        <is>
          <t>9929 / SXKV-98|</t>
        </is>
      </c>
      <c r="FL4760" t="inlineStr">
        <is>
          <t>C</t>
        </is>
      </c>
      <c r="FP4760" t="inlineStr">
        <is>
          <t>C</t>
        </is>
      </c>
    </row>
    <row r="4761">
      <c r="FC4761" t="inlineStr">
        <is>
          <t>Diccionario 5</t>
        </is>
      </c>
      <c r="FD4761" t="inlineStr">
        <is>
          <t>9929 / SXKV-98|</t>
        </is>
      </c>
      <c r="FL4761" t="inlineStr">
        <is>
          <t>C</t>
        </is>
      </c>
      <c r="FP4761" t="inlineStr">
        <is>
          <t>C</t>
        </is>
      </c>
    </row>
    <row r="4762">
      <c r="FC4762" t="inlineStr">
        <is>
          <t>Diccionario 5</t>
        </is>
      </c>
      <c r="FD4762" t="inlineStr">
        <is>
          <t>9930 / SXKV-99|</t>
        </is>
      </c>
      <c r="FL4762" t="inlineStr">
        <is>
          <t>C</t>
        </is>
      </c>
      <c r="FP4762" t="inlineStr">
        <is>
          <t>C</t>
        </is>
      </c>
    </row>
    <row r="4763">
      <c r="FC4763" t="inlineStr">
        <is>
          <t>Diccionario 5</t>
        </is>
      </c>
      <c r="FD4763" t="inlineStr">
        <is>
          <t>9930 / SXKV-99|</t>
        </is>
      </c>
      <c r="FL4763" t="inlineStr">
        <is>
          <t>C</t>
        </is>
      </c>
      <c r="FP4763" t="inlineStr">
        <is>
          <t>C</t>
        </is>
      </c>
    </row>
    <row r="4764">
      <c r="FC4764" t="inlineStr">
        <is>
          <t>Diccionario 5</t>
        </is>
      </c>
      <c r="FD4764" t="inlineStr">
        <is>
          <t>9930 / SXKV-99|</t>
        </is>
      </c>
      <c r="FL4764" t="inlineStr">
        <is>
          <t>C</t>
        </is>
      </c>
      <c r="FP4764" t="inlineStr">
        <is>
          <t>C</t>
        </is>
      </c>
    </row>
    <row r="4765">
      <c r="FC4765" t="inlineStr">
        <is>
          <t>Diccionario 5</t>
        </is>
      </c>
      <c r="FD4765" t="inlineStr">
        <is>
          <t>9930 / SXKV-99|</t>
        </is>
      </c>
      <c r="FL4765" t="inlineStr">
        <is>
          <t>C</t>
        </is>
      </c>
      <c r="FP4765" t="inlineStr">
        <is>
          <t>C</t>
        </is>
      </c>
    </row>
    <row r="4766">
      <c r="FC4766" t="inlineStr">
        <is>
          <t>Diccionario 5</t>
        </is>
      </c>
      <c r="FD4766" t="inlineStr">
        <is>
          <t>9951 / TBZB-24|</t>
        </is>
      </c>
      <c r="FL4766" t="inlineStr">
        <is>
          <t>C</t>
        </is>
      </c>
      <c r="FP4766" t="inlineStr">
        <is>
          <t>C</t>
        </is>
      </c>
    </row>
    <row r="4767">
      <c r="FC4767" t="inlineStr">
        <is>
          <t>Diccionario 5</t>
        </is>
      </c>
      <c r="FD4767" t="inlineStr">
        <is>
          <t>9951 / TBZB-24|</t>
        </is>
      </c>
      <c r="FL4767" t="inlineStr">
        <is>
          <t>C</t>
        </is>
      </c>
      <c r="FP4767" t="inlineStr">
        <is>
          <t>C</t>
        </is>
      </c>
    </row>
    <row r="4768">
      <c r="FC4768" t="inlineStr">
        <is>
          <t>Diccionario 5</t>
        </is>
      </c>
      <c r="FD4768" t="inlineStr">
        <is>
          <t>9951 / TBZB-24|</t>
        </is>
      </c>
      <c r="FL4768" t="inlineStr">
        <is>
          <t>C</t>
        </is>
      </c>
      <c r="FP4768" t="inlineStr">
        <is>
          <t>C</t>
        </is>
      </c>
    </row>
    <row r="4769">
      <c r="FC4769" t="inlineStr">
        <is>
          <t>Diccionario 5</t>
        </is>
      </c>
      <c r="FD4769" t="inlineStr">
        <is>
          <t>9951 / TBZB-24|</t>
        </is>
      </c>
      <c r="FL4769" t="inlineStr">
        <is>
          <t>C</t>
        </is>
      </c>
      <c r="FP4769" t="inlineStr">
        <is>
          <t>C</t>
        </is>
      </c>
    </row>
    <row r="4770">
      <c r="FC4770" t="inlineStr">
        <is>
          <t>Diccionario 5</t>
        </is>
      </c>
      <c r="FD4770" t="inlineStr">
        <is>
          <t>9951 / TBZB-24|</t>
        </is>
      </c>
      <c r="FL4770" t="inlineStr">
        <is>
          <t>C</t>
        </is>
      </c>
      <c r="FP4770" t="inlineStr">
        <is>
          <t>C</t>
        </is>
      </c>
    </row>
    <row r="4771">
      <c r="FC4771" t="inlineStr">
        <is>
          <t>Diccionario 5</t>
        </is>
      </c>
      <c r="FD4771" t="inlineStr">
        <is>
          <t>9951 / TBZB-24|</t>
        </is>
      </c>
      <c r="FL4771" t="inlineStr">
        <is>
          <t>C</t>
        </is>
      </c>
      <c r="FP4771" t="inlineStr">
        <is>
          <t>C</t>
        </is>
      </c>
    </row>
    <row r="4772">
      <c r="FC4772" t="inlineStr">
        <is>
          <t>Diccionario 5</t>
        </is>
      </c>
      <c r="FD4772" t="inlineStr">
        <is>
          <t>9951 / TBZB-24|</t>
        </is>
      </c>
      <c r="FL4772" t="inlineStr">
        <is>
          <t>C</t>
        </is>
      </c>
      <c r="FP4772" t="inlineStr">
        <is>
          <t>C</t>
        </is>
      </c>
    </row>
    <row r="4773">
      <c r="FC4773" t="inlineStr">
        <is>
          <t>Diccionario 5</t>
        </is>
      </c>
      <c r="FD4773" t="inlineStr">
        <is>
          <t>9951 / TBZB-24|</t>
        </is>
      </c>
      <c r="FL4773" t="inlineStr">
        <is>
          <t>C</t>
        </is>
      </c>
      <c r="FP4773" t="inlineStr">
        <is>
          <t>C</t>
        </is>
      </c>
    </row>
    <row r="4774">
      <c r="FC4774" t="inlineStr">
        <is>
          <t>Diccionario 5</t>
        </is>
      </c>
      <c r="FD4774" t="inlineStr">
        <is>
          <t>LZPS-20|</t>
        </is>
      </c>
      <c r="FL4774" t="inlineStr">
        <is>
          <t>C</t>
        </is>
      </c>
      <c r="FP4774" t="inlineStr">
        <is>
          <t>C</t>
        </is>
      </c>
    </row>
    <row r="4775">
      <c r="FC4775" t="inlineStr">
        <is>
          <t>Diccionario 5</t>
        </is>
      </c>
      <c r="FD4775" t="inlineStr">
        <is>
          <t>LZPG-25|</t>
        </is>
      </c>
      <c r="FL4775" t="inlineStr">
        <is>
          <t>C</t>
        </is>
      </c>
      <c r="FP4775" t="inlineStr">
        <is>
          <t>C</t>
        </is>
      </c>
    </row>
    <row r="4776">
      <c r="FC4776" t="inlineStr">
        <is>
          <t>Diccionario 5</t>
        </is>
      </c>
      <c r="FD4776" t="inlineStr">
        <is>
          <t>VJZB-57|</t>
        </is>
      </c>
      <c r="FL4776" t="inlineStr">
        <is>
          <t>B</t>
        </is>
      </c>
      <c r="FP4776" t="inlineStr">
        <is>
          <t>B</t>
        </is>
      </c>
    </row>
    <row r="4777">
      <c r="FC4777" t="inlineStr">
        <is>
          <t>Diccionario 5</t>
        </is>
      </c>
      <c r="FD4777" t="inlineStr">
        <is>
          <t>VJKV-14|</t>
        </is>
      </c>
      <c r="FL4777" t="inlineStr">
        <is>
          <t>B</t>
        </is>
      </c>
      <c r="FP4777" t="inlineStr">
        <is>
          <t>B</t>
        </is>
      </c>
    </row>
    <row r="4778">
      <c r="FC4778" t="inlineStr">
        <is>
          <t>Diccionario 5</t>
        </is>
      </c>
      <c r="FD4778" t="inlineStr">
        <is>
          <t>LZPT-69|</t>
        </is>
      </c>
      <c r="FL4778" t="inlineStr">
        <is>
          <t>C</t>
        </is>
      </c>
      <c r="FP4778" t="inlineStr">
        <is>
          <t>C</t>
        </is>
      </c>
    </row>
    <row r="4779">
      <c r="FC4779" t="inlineStr">
        <is>
          <t>Diccionario 5</t>
        </is>
      </c>
      <c r="FD4779" t="inlineStr">
        <is>
          <t>LZPR-79|</t>
        </is>
      </c>
      <c r="FL4779" t="inlineStr">
        <is>
          <t>C</t>
        </is>
      </c>
      <c r="FP4779" t="inlineStr">
        <is>
          <t>C</t>
        </is>
      </c>
    </row>
    <row r="4780">
      <c r="FC4780" t="inlineStr">
        <is>
          <t>Diccionario 5</t>
        </is>
      </c>
      <c r="FD4780" t="inlineStr">
        <is>
          <t>3028 / SFWB-75|</t>
        </is>
      </c>
      <c r="FL4780" t="inlineStr">
        <is>
          <t>B</t>
        </is>
      </c>
      <c r="FP4780" t="inlineStr">
        <is>
          <t>B</t>
        </is>
      </c>
    </row>
    <row r="4781">
      <c r="FC4781" t="inlineStr">
        <is>
          <t>Diccionario 5</t>
        </is>
      </c>
      <c r="FD4781" t="inlineStr">
        <is>
          <t>LZPS-14|</t>
        </is>
      </c>
      <c r="FL4781" t="inlineStr">
        <is>
          <t>C</t>
        </is>
      </c>
      <c r="FP4781" t="inlineStr">
        <is>
          <t>C</t>
        </is>
      </c>
    </row>
    <row r="4782">
      <c r="FC4782" t="inlineStr">
        <is>
          <t>Diccionario 5</t>
        </is>
      </c>
      <c r="FD4782" t="inlineStr">
        <is>
          <t>VJKV-88|</t>
        </is>
      </c>
      <c r="FL4782" t="inlineStr">
        <is>
          <t>B</t>
        </is>
      </c>
      <c r="FP4782" t="inlineStr">
        <is>
          <t>B</t>
        </is>
      </c>
    </row>
    <row r="4783">
      <c r="FC4783" t="inlineStr">
        <is>
          <t>Diccionario 5</t>
        </is>
      </c>
      <c r="FD4783" t="inlineStr">
        <is>
          <t>LZPT-66|</t>
        </is>
      </c>
      <c r="FL4783" t="inlineStr">
        <is>
          <t>C</t>
        </is>
      </c>
      <c r="FP4783" t="inlineStr">
        <is>
          <t>C</t>
        </is>
      </c>
    </row>
    <row r="4784">
      <c r="FC4784" t="inlineStr">
        <is>
          <t>Diccionario 5</t>
        </is>
      </c>
      <c r="FD4784" t="inlineStr">
        <is>
          <t>LZPR-83|</t>
        </is>
      </c>
      <c r="FL4784" t="inlineStr">
        <is>
          <t>C</t>
        </is>
      </c>
      <c r="FP4784" t="inlineStr">
        <is>
          <t>C</t>
        </is>
      </c>
    </row>
    <row r="4785">
      <c r="FC4785" t="inlineStr">
        <is>
          <t>Diccionario 5</t>
        </is>
      </c>
      <c r="FD4785" t="inlineStr">
        <is>
          <t>LXWT-87|</t>
        </is>
      </c>
      <c r="FL4785" t="inlineStr">
        <is>
          <t>C</t>
        </is>
      </c>
      <c r="FP4785" t="inlineStr">
        <is>
          <t>C</t>
        </is>
      </c>
    </row>
    <row r="4786">
      <c r="FC4786" t="inlineStr">
        <is>
          <t>Diccionario 5</t>
        </is>
      </c>
      <c r="FD4786" t="inlineStr">
        <is>
          <t>LZPT-48|</t>
        </is>
      </c>
      <c r="FL4786" t="inlineStr">
        <is>
          <t>C</t>
        </is>
      </c>
      <c r="FP4786" t="inlineStr">
        <is>
          <t>C</t>
        </is>
      </c>
    </row>
    <row r="4787">
      <c r="FC4787" t="inlineStr">
        <is>
          <t>Diccionario 5</t>
        </is>
      </c>
      <c r="FD4787" t="inlineStr">
        <is>
          <t>LZPR-79|</t>
        </is>
      </c>
      <c r="FL4787" t="inlineStr">
        <is>
          <t>C</t>
        </is>
      </c>
      <c r="FP4787" t="inlineStr">
        <is>
          <t>C</t>
        </is>
      </c>
    </row>
    <row r="4788">
      <c r="FC4788" t="inlineStr">
        <is>
          <t>Diccionario 5</t>
        </is>
      </c>
      <c r="FD4788" t="inlineStr">
        <is>
          <t>LZPT-56|</t>
        </is>
      </c>
      <c r="FL4788" t="inlineStr">
        <is>
          <t>C</t>
        </is>
      </c>
      <c r="FP4788" t="inlineStr">
        <is>
          <t>C</t>
        </is>
      </c>
    </row>
    <row r="4789">
      <c r="FC4789" t="inlineStr">
        <is>
          <t>Diccionario 5</t>
        </is>
      </c>
      <c r="FD4789" t="inlineStr">
        <is>
          <t>LZPG-20|</t>
        </is>
      </c>
      <c r="FL4789" t="inlineStr">
        <is>
          <t>C</t>
        </is>
      </c>
      <c r="FP4789" t="inlineStr">
        <is>
          <t>C</t>
        </is>
      </c>
    </row>
    <row r="4790">
      <c r="FC4790" t="inlineStr">
        <is>
          <t>Diccionario 5</t>
        </is>
      </c>
      <c r="FD4790" t="inlineStr">
        <is>
          <t>LXWT-92|</t>
        </is>
      </c>
      <c r="FL4790" t="inlineStr">
        <is>
          <t>C</t>
        </is>
      </c>
      <c r="FP4790" t="inlineStr">
        <is>
          <t>C</t>
        </is>
      </c>
    </row>
    <row r="4791">
      <c r="FC4791" t="inlineStr">
        <is>
          <t>Diccionario 5</t>
        </is>
      </c>
      <c r="FD4791" t="inlineStr">
        <is>
          <t>LZPT-74|</t>
        </is>
      </c>
      <c r="FL4791" t="inlineStr">
        <is>
          <t>C</t>
        </is>
      </c>
      <c r="FP4791" t="inlineStr">
        <is>
          <t>C</t>
        </is>
      </c>
    </row>
    <row r="4792">
      <c r="FC4792" t="inlineStr">
        <is>
          <t>Diccionario 5</t>
        </is>
      </c>
      <c r="FD4792" t="inlineStr">
        <is>
          <t>LZRB-82|</t>
        </is>
      </c>
      <c r="FL4792" t="inlineStr">
        <is>
          <t>C</t>
        </is>
      </c>
      <c r="FP4792" t="inlineStr">
        <is>
          <t>C</t>
        </is>
      </c>
    </row>
    <row r="4793">
      <c r="FC4793" t="inlineStr">
        <is>
          <t>Diccionario 5</t>
        </is>
      </c>
      <c r="FD4793" t="inlineStr">
        <is>
          <t>LZPW-15</t>
        </is>
      </c>
      <c r="FL4793" t="inlineStr">
        <is>
          <t>C</t>
        </is>
      </c>
      <c r="FP4793" t="inlineStr">
        <is>
          <t>C</t>
        </is>
      </c>
    </row>
    <row r="4794">
      <c r="FC4794" t="inlineStr">
        <is>
          <t>Diccionario 5</t>
        </is>
      </c>
      <c r="FD4794" t="inlineStr">
        <is>
          <t>LZPS-20</t>
        </is>
      </c>
      <c r="FL4794" t="inlineStr">
        <is>
          <t>C</t>
        </is>
      </c>
      <c r="FP4794" t="inlineStr">
        <is>
          <t>C</t>
        </is>
      </c>
    </row>
    <row r="4795">
      <c r="FC4795" t="inlineStr">
        <is>
          <t>Diccionario 5</t>
        </is>
      </c>
      <c r="FD4795" t="inlineStr">
        <is>
          <t>LZPT-43</t>
        </is>
      </c>
      <c r="FL4795" t="inlineStr">
        <is>
          <t>C</t>
        </is>
      </c>
      <c r="FP4795" t="inlineStr">
        <is>
          <t>C</t>
        </is>
      </c>
    </row>
    <row r="4796">
      <c r="FC4796" t="inlineStr">
        <is>
          <t>Diccionario 5</t>
        </is>
      </c>
      <c r="FD4796" t="inlineStr">
        <is>
          <t>SFWZ-18</t>
        </is>
      </c>
      <c r="FL4796" t="inlineStr">
        <is>
          <t>B</t>
        </is>
      </c>
      <c r="FP4796" t="inlineStr">
        <is>
          <t>B</t>
        </is>
      </c>
    </row>
    <row r="4797">
      <c r="FC4797" t="inlineStr">
        <is>
          <t>Diccionario 5</t>
        </is>
      </c>
      <c r="FD4797" t="inlineStr">
        <is>
          <t>LZPW-22</t>
        </is>
      </c>
      <c r="FL4797" t="inlineStr">
        <is>
          <t>C</t>
        </is>
      </c>
      <c r="FP4797" t="inlineStr">
        <is>
          <t>C</t>
        </is>
      </c>
    </row>
    <row r="4798">
      <c r="FC4798" t="inlineStr">
        <is>
          <t>Diccionario 5</t>
        </is>
      </c>
      <c r="FD4798" t="inlineStr">
        <is>
          <t>LZPG-20</t>
        </is>
      </c>
      <c r="FL4798" t="inlineStr">
        <is>
          <t>C</t>
        </is>
      </c>
      <c r="FP4798" t="inlineStr">
        <is>
          <t>C</t>
        </is>
      </c>
    </row>
    <row r="4799">
      <c r="FC4799" t="inlineStr">
        <is>
          <t>Diccionario 5</t>
        </is>
      </c>
      <c r="FD4799" t="inlineStr">
        <is>
          <t>GCBF-53</t>
        </is>
      </c>
      <c r="FL4799" t="inlineStr">
        <is>
          <t>C</t>
        </is>
      </c>
      <c r="FP4799" t="inlineStr">
        <is>
          <t>C</t>
        </is>
      </c>
    </row>
    <row r="4800">
      <c r="FC4800" t="inlineStr">
        <is>
          <t>Diccionario 5</t>
        </is>
      </c>
      <c r="FD4800" t="inlineStr">
        <is>
          <t>LZPT-70</t>
        </is>
      </c>
      <c r="FL4800" t="inlineStr">
        <is>
          <t>C</t>
        </is>
      </c>
      <c r="FP4800" t="inlineStr">
        <is>
          <t>C</t>
        </is>
      </c>
    </row>
    <row r="4801">
      <c r="FC4801" t="inlineStr">
        <is>
          <t>Diccionario 5</t>
        </is>
      </c>
      <c r="FD4801" t="inlineStr">
        <is>
          <t>LZPT-43|</t>
        </is>
      </c>
      <c r="FL4801" t="inlineStr">
        <is>
          <t>C</t>
        </is>
      </c>
      <c r="FP4801" t="inlineStr">
        <is>
          <t>C</t>
        </is>
      </c>
    </row>
    <row r="4802">
      <c r="FC4802" t="inlineStr">
        <is>
          <t>Diccionario 5</t>
        </is>
      </c>
      <c r="FD4802" t="inlineStr">
        <is>
          <t>LZPT-64|</t>
        </is>
      </c>
      <c r="FL4802" t="inlineStr">
        <is>
          <t>C</t>
        </is>
      </c>
      <c r="FP4802" t="inlineStr">
        <is>
          <t>C</t>
        </is>
      </c>
    </row>
    <row r="4803">
      <c r="FC4803" t="inlineStr">
        <is>
          <t>Diccionario 5</t>
        </is>
      </c>
      <c r="FD4803" t="inlineStr">
        <is>
          <t>LZPT-66|</t>
        </is>
      </c>
      <c r="FL4803" t="inlineStr">
        <is>
          <t>C</t>
        </is>
      </c>
      <c r="FP4803" t="inlineStr">
        <is>
          <t>C</t>
        </is>
      </c>
    </row>
    <row r="4804">
      <c r="FC4804" t="inlineStr">
        <is>
          <t>Diccionario 5</t>
        </is>
      </c>
      <c r="FD4804" t="inlineStr">
        <is>
          <t>LZPT-61|</t>
        </is>
      </c>
      <c r="FL4804" t="inlineStr">
        <is>
          <t>C</t>
        </is>
      </c>
      <c r="FP4804" t="inlineStr">
        <is>
          <t>C</t>
        </is>
      </c>
    </row>
    <row r="4805">
      <c r="FC4805" t="inlineStr">
        <is>
          <t>Diccionario 5</t>
        </is>
      </c>
      <c r="FD4805" t="inlineStr">
        <is>
          <t>LZPS-20|</t>
        </is>
      </c>
      <c r="FL4805" t="inlineStr">
        <is>
          <t>C</t>
        </is>
      </c>
      <c r="FP4805" t="inlineStr">
        <is>
          <t>C</t>
        </is>
      </c>
    </row>
    <row r="4806">
      <c r="FC4806" t="inlineStr">
        <is>
          <t>Diccionario 5</t>
        </is>
      </c>
      <c r="FD4806" t="inlineStr">
        <is>
          <t>LZPG-25|</t>
        </is>
      </c>
      <c r="FL4806" t="inlineStr">
        <is>
          <t>C</t>
        </is>
      </c>
      <c r="FP4806" t="inlineStr">
        <is>
          <t>C</t>
        </is>
      </c>
    </row>
    <row r="4807">
      <c r="FC4807" t="inlineStr">
        <is>
          <t>Diccionario 5</t>
        </is>
      </c>
      <c r="FD4807" t="inlineStr">
        <is>
          <t>LZPT-54|</t>
        </is>
      </c>
      <c r="FL4807" t="inlineStr">
        <is>
          <t>C</t>
        </is>
      </c>
      <c r="FP4807" t="inlineStr">
        <is>
          <t>C</t>
        </is>
      </c>
    </row>
    <row r="4808">
      <c r="FC4808" t="inlineStr">
        <is>
          <t>Diccionario 5</t>
        </is>
      </c>
      <c r="FD4808" t="inlineStr">
        <is>
          <t>VJZB-57</t>
        </is>
      </c>
      <c r="FL4808" t="inlineStr">
        <is>
          <t>B</t>
        </is>
      </c>
      <c r="FP4808" t="inlineStr">
        <is>
          <t>B</t>
        </is>
      </c>
    </row>
    <row r="4809">
      <c r="FC4809" t="inlineStr">
        <is>
          <t>Diccionario 5</t>
        </is>
      </c>
      <c r="FD4809" t="inlineStr">
        <is>
          <t>VJKV-14</t>
        </is>
      </c>
      <c r="FL4809" t="inlineStr">
        <is>
          <t>B</t>
        </is>
      </c>
      <c r="FP4809" t="inlineStr">
        <is>
          <t>B</t>
        </is>
      </c>
    </row>
    <row r="4810">
      <c r="FC4810" t="inlineStr">
        <is>
          <t>Diccionario 5</t>
        </is>
      </c>
      <c r="FD4810" t="inlineStr">
        <is>
          <t>LZPT-69|</t>
        </is>
      </c>
      <c r="FL4810" t="inlineStr">
        <is>
          <t>C</t>
        </is>
      </c>
      <c r="FP4810" t="inlineStr">
        <is>
          <t>C</t>
        </is>
      </c>
    </row>
    <row r="4811">
      <c r="FC4811" t="inlineStr">
        <is>
          <t>Diccionario 5</t>
        </is>
      </c>
      <c r="FD4811" t="inlineStr">
        <is>
          <t>LZPR-79|</t>
        </is>
      </c>
      <c r="FL4811" t="inlineStr">
        <is>
          <t>C</t>
        </is>
      </c>
      <c r="FP4811" t="inlineStr">
        <is>
          <t>C</t>
        </is>
      </c>
    </row>
    <row r="4812">
      <c r="FC4812" t="inlineStr">
        <is>
          <t>Diccionario 5</t>
        </is>
      </c>
      <c r="FD4812" t="inlineStr">
        <is>
          <t>VJKV-88|</t>
        </is>
      </c>
      <c r="FL4812" t="inlineStr">
        <is>
          <t>B</t>
        </is>
      </c>
      <c r="FP4812" t="inlineStr">
        <is>
          <t>B</t>
        </is>
      </c>
    </row>
    <row r="4813">
      <c r="FC4813" t="inlineStr">
        <is>
          <t>Diccionario 5</t>
        </is>
      </c>
      <c r="FD4813" t="inlineStr">
        <is>
          <t>3028 / SFWB-75|</t>
        </is>
      </c>
      <c r="FL4813" t="inlineStr">
        <is>
          <t>B</t>
        </is>
      </c>
      <c r="FP4813" t="inlineStr">
        <is>
          <t>B</t>
        </is>
      </c>
    </row>
    <row r="4814">
      <c r="FC4814" t="inlineStr">
        <is>
          <t>Diccionario 5</t>
        </is>
      </c>
      <c r="FD4814" t="inlineStr">
        <is>
          <t>LZPS-14|</t>
        </is>
      </c>
      <c r="FL4814" t="inlineStr">
        <is>
          <t>C</t>
        </is>
      </c>
      <c r="FP4814" t="inlineStr">
        <is>
          <t>C</t>
        </is>
      </c>
    </row>
    <row r="4815">
      <c r="FC4815" t="inlineStr">
        <is>
          <t>Diccionario 5</t>
        </is>
      </c>
      <c r="FD4815" t="inlineStr">
        <is>
          <t>LZPT-66|</t>
        </is>
      </c>
      <c r="FL4815" t="inlineStr">
        <is>
          <t>C</t>
        </is>
      </c>
      <c r="FP4815" t="inlineStr">
        <is>
          <t>C</t>
        </is>
      </c>
    </row>
    <row r="4816">
      <c r="FC4816" t="inlineStr">
        <is>
          <t>Diccionario 5</t>
        </is>
      </c>
      <c r="FD4816" t="inlineStr">
        <is>
          <t>LZPR-83|</t>
        </is>
      </c>
      <c r="FL4816" t="inlineStr">
        <is>
          <t>C</t>
        </is>
      </c>
      <c r="FP4816" t="inlineStr">
        <is>
          <t>C</t>
        </is>
      </c>
    </row>
    <row r="4817">
      <c r="FC4817" t="inlineStr">
        <is>
          <t>Diccionario 5</t>
        </is>
      </c>
      <c r="FD4817" t="inlineStr">
        <is>
          <t>LXWT-83|</t>
        </is>
      </c>
      <c r="FL4817" t="inlineStr">
        <is>
          <t>C</t>
        </is>
      </c>
      <c r="FP4817" t="inlineStr">
        <is>
          <t>C</t>
        </is>
      </c>
    </row>
    <row r="4818">
      <c r="FC4818" t="inlineStr">
        <is>
          <t>Diccionario 5</t>
        </is>
      </c>
      <c r="FD4818" t="inlineStr">
        <is>
          <t>VJYJ-15|</t>
        </is>
      </c>
      <c r="FL4818" t="inlineStr">
        <is>
          <t>B</t>
        </is>
      </c>
      <c r="FP4818" t="inlineStr">
        <is>
          <t>B</t>
        </is>
      </c>
    </row>
    <row r="4819">
      <c r="FC4819" t="inlineStr">
        <is>
          <t>Diccionario 5</t>
        </is>
      </c>
      <c r="FD4819" t="inlineStr">
        <is>
          <t>LXWT-87|</t>
        </is>
      </c>
      <c r="FL4819" t="inlineStr">
        <is>
          <t>C</t>
        </is>
      </c>
      <c r="FP4819" t="inlineStr">
        <is>
          <t>C</t>
        </is>
      </c>
    </row>
    <row r="4820">
      <c r="FC4820" t="inlineStr">
        <is>
          <t>Diccionario 5</t>
        </is>
      </c>
      <c r="FD4820" t="inlineStr">
        <is>
          <t>LZPT-48</t>
        </is>
      </c>
      <c r="FL4820" t="inlineStr">
        <is>
          <t>C</t>
        </is>
      </c>
      <c r="FP4820" t="inlineStr">
        <is>
          <t>C</t>
        </is>
      </c>
    </row>
    <row r="4821">
      <c r="FC4821" t="inlineStr">
        <is>
          <t>Diccionario 5</t>
        </is>
      </c>
      <c r="FD4821" t="inlineStr">
        <is>
          <t>LZPR-86</t>
        </is>
      </c>
      <c r="FL4821" t="inlineStr">
        <is>
          <t>C</t>
        </is>
      </c>
      <c r="FP4821" t="inlineStr">
        <is>
          <t>C</t>
        </is>
      </c>
    </row>
    <row r="4822">
      <c r="FC4822" t="inlineStr">
        <is>
          <t>Diccionario 5</t>
        </is>
      </c>
      <c r="FD4822" t="inlineStr">
        <is>
          <t>LZPG-17</t>
        </is>
      </c>
      <c r="FL4822" t="inlineStr">
        <is>
          <t>C</t>
        </is>
      </c>
      <c r="FP4822" t="inlineStr">
        <is>
          <t>C</t>
        </is>
      </c>
    </row>
    <row r="4823">
      <c r="FC4823" t="inlineStr">
        <is>
          <t>Diccionario 5</t>
        </is>
      </c>
      <c r="FD4823" t="inlineStr">
        <is>
          <t>VJXC-75|</t>
        </is>
      </c>
      <c r="FL4823" t="inlineStr">
        <is>
          <t>B</t>
        </is>
      </c>
      <c r="FP4823" t="inlineStr">
        <is>
          <t>B</t>
        </is>
      </c>
    </row>
    <row r="4824">
      <c r="FC4824" t="inlineStr">
        <is>
          <t>Diccionario 5</t>
        </is>
      </c>
      <c r="FD4824" t="inlineStr">
        <is>
          <t>LZPR-80|</t>
        </is>
      </c>
      <c r="FL4824" t="inlineStr">
        <is>
          <t>C</t>
        </is>
      </c>
      <c r="FP4824" t="inlineStr">
        <is>
          <t>C</t>
        </is>
      </c>
    </row>
    <row r="4825">
      <c r="FC4825" t="inlineStr">
        <is>
          <t>Diccionario 5</t>
        </is>
      </c>
      <c r="FD4825" t="inlineStr">
        <is>
          <t>LZPG-22|</t>
        </is>
      </c>
      <c r="FL4825" t="inlineStr">
        <is>
          <t>C</t>
        </is>
      </c>
      <c r="FP4825" t="inlineStr">
        <is>
          <t>C</t>
        </is>
      </c>
    </row>
    <row r="4826">
      <c r="FC4826" t="inlineStr">
        <is>
          <t>Diccionario 5</t>
        </is>
      </c>
      <c r="FD4826" t="inlineStr">
        <is>
          <t>LZPT-73|</t>
        </is>
      </c>
      <c r="FL4826" t="inlineStr">
        <is>
          <t>C</t>
        </is>
      </c>
      <c r="FP4826" t="inlineStr">
        <is>
          <t>C</t>
        </is>
      </c>
    </row>
    <row r="4827">
      <c r="FC4827" t="inlineStr">
        <is>
          <t>Diccionario 5</t>
        </is>
      </c>
      <c r="FD4827" t="inlineStr">
        <is>
          <t>LZPW-14|</t>
        </is>
      </c>
      <c r="FL4827" t="inlineStr">
        <is>
          <t>C</t>
        </is>
      </c>
      <c r="FP4827" t="inlineStr">
        <is>
          <t>C</t>
        </is>
      </c>
    </row>
    <row r="4828">
      <c r="FC4828" t="inlineStr">
        <is>
          <t>Diccionario 5</t>
        </is>
      </c>
      <c r="FD4828" t="inlineStr">
        <is>
          <t>LZPS-19|</t>
        </is>
      </c>
      <c r="FL4828" t="inlineStr">
        <is>
          <t>C</t>
        </is>
      </c>
      <c r="FP4828" t="inlineStr">
        <is>
          <t>C</t>
        </is>
      </c>
    </row>
    <row r="4829">
      <c r="FC4829" t="inlineStr">
        <is>
          <t>Diccionario 5</t>
        </is>
      </c>
      <c r="FD4829" t="inlineStr">
        <is>
          <t>GCBF-52|</t>
        </is>
      </c>
      <c r="FL4829" t="inlineStr">
        <is>
          <t>C</t>
        </is>
      </c>
      <c r="FP4829" t="inlineStr">
        <is>
          <t>C</t>
        </is>
      </c>
    </row>
    <row r="4830">
      <c r="FC4830" t="inlineStr">
        <is>
          <t>Diccionario 5</t>
        </is>
      </c>
      <c r="FD4830" t="inlineStr">
        <is>
          <t>LZPW-18|</t>
        </is>
      </c>
      <c r="FL4830" t="inlineStr">
        <is>
          <t>C</t>
        </is>
      </c>
      <c r="FP4830" t="inlineStr">
        <is>
          <t>C</t>
        </is>
      </c>
    </row>
    <row r="4831">
      <c r="FC4831" t="inlineStr">
        <is>
          <t>Diccionario 5</t>
        </is>
      </c>
      <c r="FD4831" t="inlineStr">
        <is>
          <t>LZPT-52|</t>
        </is>
      </c>
      <c r="FL4831" t="inlineStr">
        <is>
          <t>C</t>
        </is>
      </c>
      <c r="FP4831" t="inlineStr">
        <is>
          <t>C</t>
        </is>
      </c>
    </row>
    <row r="4832">
      <c r="FC4832" t="inlineStr">
        <is>
          <t>Diccionario 5</t>
        </is>
      </c>
      <c r="FD4832" t="inlineStr">
        <is>
          <t>LXWT-87|</t>
        </is>
      </c>
      <c r="FL4832" t="inlineStr">
        <is>
          <t>C</t>
        </is>
      </c>
      <c r="FP4832" t="inlineStr">
        <is>
          <t>C</t>
        </is>
      </c>
    </row>
    <row r="4833">
      <c r="FC4833" t="inlineStr">
        <is>
          <t>Diccionario 5</t>
        </is>
      </c>
      <c r="FD4833" t="inlineStr">
        <is>
          <t>LZPR-96|</t>
        </is>
      </c>
      <c r="FL4833" t="inlineStr">
        <is>
          <t>C</t>
        </is>
      </c>
      <c r="FP4833" t="inlineStr">
        <is>
          <t>C</t>
        </is>
      </c>
    </row>
    <row r="4834">
      <c r="FC4834" t="inlineStr">
        <is>
          <t>Diccionario 5</t>
        </is>
      </c>
      <c r="FD4834" t="inlineStr">
        <is>
          <t>LZPT-44|</t>
        </is>
      </c>
      <c r="FL4834" t="inlineStr">
        <is>
          <t>C</t>
        </is>
      </c>
      <c r="FP4834" t="inlineStr">
        <is>
          <t>C</t>
        </is>
      </c>
    </row>
    <row r="4835">
      <c r="FC4835" t="inlineStr">
        <is>
          <t>Diccionario 5</t>
        </is>
      </c>
      <c r="FD4835" t="inlineStr">
        <is>
          <t>LXWT-93|</t>
        </is>
      </c>
      <c r="FL4835" t="inlineStr">
        <is>
          <t>C</t>
        </is>
      </c>
      <c r="FP4835" t="inlineStr">
        <is>
          <t>C</t>
        </is>
      </c>
    </row>
    <row r="4836">
      <c r="FC4836" t="inlineStr">
        <is>
          <t>Diccionario 5</t>
        </is>
      </c>
      <c r="FD4836" t="inlineStr">
        <is>
          <t>LZPG-22|</t>
        </is>
      </c>
      <c r="FL4836" t="inlineStr">
        <is>
          <t>C</t>
        </is>
      </c>
      <c r="FP4836" t="inlineStr">
        <is>
          <t>C</t>
        </is>
      </c>
    </row>
    <row r="4837">
      <c r="FC4837" t="inlineStr">
        <is>
          <t>Diccionario 5</t>
        </is>
      </c>
      <c r="FD4837" t="inlineStr">
        <is>
          <t>LZPR-80|</t>
        </is>
      </c>
      <c r="FL4837" t="inlineStr">
        <is>
          <t>C</t>
        </is>
      </c>
      <c r="FP4837" t="inlineStr">
        <is>
          <t>C</t>
        </is>
      </c>
    </row>
    <row r="4838">
      <c r="FC4838" t="inlineStr">
        <is>
          <t>Diccionario 5</t>
        </is>
      </c>
      <c r="FD4838" t="inlineStr">
        <is>
          <t>LZPW-14|</t>
        </is>
      </c>
      <c r="FL4838" t="inlineStr">
        <is>
          <t>C</t>
        </is>
      </c>
      <c r="FP4838" t="inlineStr">
        <is>
          <t>C</t>
        </is>
      </c>
    </row>
    <row r="4839">
      <c r="FC4839" t="inlineStr">
        <is>
          <t>Diccionario 5</t>
        </is>
      </c>
      <c r="FD4839" t="inlineStr">
        <is>
          <t>LZPT-73|</t>
        </is>
      </c>
      <c r="FL4839" t="inlineStr">
        <is>
          <t>C</t>
        </is>
      </c>
      <c r="FP4839" t="inlineStr">
        <is>
          <t>C</t>
        </is>
      </c>
    </row>
    <row r="4840">
      <c r="FC4840" t="inlineStr">
        <is>
          <t>Diccionario 5</t>
        </is>
      </c>
      <c r="FD4840" t="inlineStr">
        <is>
          <t>LZPT-42|</t>
        </is>
      </c>
      <c r="FL4840" t="inlineStr">
        <is>
          <t>C</t>
        </is>
      </c>
      <c r="FP4840" t="inlineStr">
        <is>
          <t>C</t>
        </is>
      </c>
    </row>
    <row r="4841">
      <c r="FC4841" t="inlineStr">
        <is>
          <t>Diccionario 5</t>
        </is>
      </c>
      <c r="FD4841" t="inlineStr">
        <is>
          <t>LZPT-75|</t>
        </is>
      </c>
      <c r="FL4841" t="inlineStr">
        <is>
          <t>C</t>
        </is>
      </c>
      <c r="FP4841" t="inlineStr">
        <is>
          <t>C</t>
        </is>
      </c>
    </row>
    <row r="4842">
      <c r="FC4842" t="inlineStr">
        <is>
          <t>Diccionario 5</t>
        </is>
      </c>
      <c r="FD4842" t="inlineStr">
        <is>
          <t>GCBF-52|</t>
        </is>
      </c>
      <c r="FL4842" t="inlineStr">
        <is>
          <t>C</t>
        </is>
      </c>
      <c r="FP4842" t="inlineStr">
        <is>
          <t>C</t>
        </is>
      </c>
    </row>
    <row r="4843">
      <c r="FC4843" t="inlineStr">
        <is>
          <t>Diccionario 5</t>
        </is>
      </c>
      <c r="FD4843" t="inlineStr">
        <is>
          <t>LZPS-19|</t>
        </is>
      </c>
      <c r="FL4843" t="inlineStr">
        <is>
          <t>C</t>
        </is>
      </c>
      <c r="FP4843" t="inlineStr">
        <is>
          <t>C</t>
        </is>
      </c>
    </row>
    <row r="4844">
      <c r="FC4844" t="inlineStr">
        <is>
          <t>Diccionario 5</t>
        </is>
      </c>
      <c r="FD4844" t="inlineStr">
        <is>
          <t>LZPT-52|</t>
        </is>
      </c>
      <c r="FL4844" t="inlineStr">
        <is>
          <t>C</t>
        </is>
      </c>
      <c r="FP4844" t="inlineStr">
        <is>
          <t>C</t>
        </is>
      </c>
    </row>
    <row r="4845">
      <c r="FC4845" t="inlineStr">
        <is>
          <t>Diccionario 5</t>
        </is>
      </c>
      <c r="FD4845" t="inlineStr">
        <is>
          <t>LZPS-18|</t>
        </is>
      </c>
      <c r="FL4845" t="inlineStr">
        <is>
          <t>C</t>
        </is>
      </c>
      <c r="FP4845" t="inlineStr">
        <is>
          <t>C</t>
        </is>
      </c>
    </row>
    <row r="4846">
      <c r="FC4846" t="inlineStr">
        <is>
          <t>Diccionario 5</t>
        </is>
      </c>
      <c r="FD4846" t="inlineStr">
        <is>
          <t>LXWT-87|</t>
        </is>
      </c>
      <c r="FL4846" t="inlineStr">
        <is>
          <t>C</t>
        </is>
      </c>
      <c r="FP4846" t="inlineStr">
        <is>
          <t>C</t>
        </is>
      </c>
    </row>
    <row r="4847">
      <c r="FC4847" t="inlineStr">
        <is>
          <t>Diccionario 5</t>
        </is>
      </c>
      <c r="FD4847" t="inlineStr">
        <is>
          <t>LZPR-96|</t>
        </is>
      </c>
      <c r="FL4847" t="inlineStr">
        <is>
          <t>C</t>
        </is>
      </c>
      <c r="FP4847" t="inlineStr">
        <is>
          <t>C</t>
        </is>
      </c>
    </row>
    <row r="4848">
      <c r="FC4848" t="inlineStr">
        <is>
          <t>Diccionario 5</t>
        </is>
      </c>
      <c r="FD4848" t="inlineStr">
        <is>
          <t>LZPS-24|</t>
        </is>
      </c>
      <c r="FL4848" t="inlineStr">
        <is>
          <t>C</t>
        </is>
      </c>
      <c r="FP4848" t="inlineStr">
        <is>
          <t>C</t>
        </is>
      </c>
    </row>
    <row r="4849">
      <c r="FC4849" t="inlineStr">
        <is>
          <t>Diccionario 5</t>
        </is>
      </c>
      <c r="FD4849" t="inlineStr">
        <is>
          <t>LXWT-93|</t>
        </is>
      </c>
      <c r="FL4849" t="inlineStr">
        <is>
          <t>C</t>
        </is>
      </c>
      <c r="FP4849" t="inlineStr">
        <is>
          <t>C</t>
        </is>
      </c>
    </row>
    <row r="4850">
      <c r="FC4850" t="inlineStr">
        <is>
          <t>Diccionario 5</t>
        </is>
      </c>
      <c r="FD4850" t="inlineStr">
        <is>
          <t>LZPT-44|</t>
        </is>
      </c>
      <c r="FL4850" t="inlineStr">
        <is>
          <t>C</t>
        </is>
      </c>
      <c r="FP4850" t="inlineStr">
        <is>
          <t>C</t>
        </is>
      </c>
    </row>
    <row r="4851">
      <c r="FC4851" t="inlineStr">
        <is>
          <t>Diccionario 5</t>
        </is>
      </c>
      <c r="FD4851" t="inlineStr">
        <is>
          <t>LZPR-80</t>
        </is>
      </c>
      <c r="FL4851" t="inlineStr">
        <is>
          <t>C</t>
        </is>
      </c>
      <c r="FP4851" t="inlineStr">
        <is>
          <t>C</t>
        </is>
      </c>
    </row>
    <row r="4852">
      <c r="FC4852" t="inlineStr">
        <is>
          <t>Diccionario 5</t>
        </is>
      </c>
      <c r="FD4852" t="inlineStr">
        <is>
          <t>LZPW-14</t>
        </is>
      </c>
      <c r="FL4852" t="inlineStr">
        <is>
          <t>C</t>
        </is>
      </c>
      <c r="FP4852" t="inlineStr">
        <is>
          <t>C</t>
        </is>
      </c>
    </row>
    <row r="4853">
      <c r="FC4853" t="inlineStr">
        <is>
          <t>Diccionario 5</t>
        </is>
      </c>
      <c r="FD4853" t="inlineStr">
        <is>
          <t>LZPG-22</t>
        </is>
      </c>
      <c r="FL4853" t="inlineStr">
        <is>
          <t>C</t>
        </is>
      </c>
      <c r="FP4853" t="inlineStr">
        <is>
          <t>C</t>
        </is>
      </c>
    </row>
    <row r="4854">
      <c r="FC4854" t="inlineStr">
        <is>
          <t>Diccionario 5</t>
        </is>
      </c>
      <c r="FD4854" t="inlineStr">
        <is>
          <t>LZPT-73</t>
        </is>
      </c>
      <c r="FL4854" t="inlineStr">
        <is>
          <t>C</t>
        </is>
      </c>
      <c r="FP4854" t="inlineStr">
        <is>
          <t>C</t>
        </is>
      </c>
    </row>
    <row r="4855">
      <c r="FC4855" t="inlineStr">
        <is>
          <t>Diccionario 5</t>
        </is>
      </c>
      <c r="FD4855" t="inlineStr">
        <is>
          <t>LZPT-42</t>
        </is>
      </c>
      <c r="FL4855" t="inlineStr">
        <is>
          <t>C</t>
        </is>
      </c>
      <c r="FP4855" t="inlineStr">
        <is>
          <t>C</t>
        </is>
      </c>
    </row>
    <row r="4856">
      <c r="FC4856" t="inlineStr">
        <is>
          <t>Diccionario 5</t>
        </is>
      </c>
      <c r="FD4856" t="inlineStr">
        <is>
          <t>LZPS-19</t>
        </is>
      </c>
      <c r="FL4856" t="inlineStr">
        <is>
          <t>C</t>
        </is>
      </c>
      <c r="FP4856" t="inlineStr">
        <is>
          <t>C</t>
        </is>
      </c>
    </row>
    <row r="4857">
      <c r="FC4857" t="inlineStr">
        <is>
          <t>Diccionario 5</t>
        </is>
      </c>
      <c r="FD4857" t="inlineStr">
        <is>
          <t>SFVZ-56</t>
        </is>
      </c>
      <c r="FL4857" t="inlineStr">
        <is>
          <t>B</t>
        </is>
      </c>
      <c r="FP4857" t="inlineStr">
        <is>
          <t>B</t>
        </is>
      </c>
    </row>
    <row r="4858">
      <c r="FC4858" t="inlineStr">
        <is>
          <t>Diccionario 5</t>
        </is>
      </c>
      <c r="FD4858" t="inlineStr">
        <is>
          <t>LZPS-19</t>
        </is>
      </c>
      <c r="FL4858" t="inlineStr">
        <is>
          <t>C</t>
        </is>
      </c>
      <c r="FP4858" t="inlineStr">
        <is>
          <t>C</t>
        </is>
      </c>
    </row>
    <row r="4859">
      <c r="FC4859" t="inlineStr">
        <is>
          <t>Diccionario 5</t>
        </is>
      </c>
      <c r="FD4859" t="inlineStr">
        <is>
          <t>SFWZ-75</t>
        </is>
      </c>
      <c r="FL4859" t="inlineStr">
        <is>
          <t>B</t>
        </is>
      </c>
      <c r="FP4859" t="inlineStr">
        <is>
          <t>B</t>
        </is>
      </c>
    </row>
    <row r="4860">
      <c r="FC4860" t="inlineStr">
        <is>
          <t>Diccionario 5</t>
        </is>
      </c>
      <c r="FD4860" t="inlineStr">
        <is>
          <t>LZPT-75</t>
        </is>
      </c>
      <c r="FL4860" t="inlineStr">
        <is>
          <t>C</t>
        </is>
      </c>
      <c r="FP4860" t="inlineStr">
        <is>
          <t>C</t>
        </is>
      </c>
    </row>
    <row r="4861">
      <c r="FC4861" t="inlineStr">
        <is>
          <t>Diccionario 5</t>
        </is>
      </c>
      <c r="FD4861" t="inlineStr">
        <is>
          <t>LZPR-96|</t>
        </is>
      </c>
      <c r="FL4861" t="inlineStr">
        <is>
          <t>C</t>
        </is>
      </c>
      <c r="FP4861" t="inlineStr">
        <is>
          <t>C</t>
        </is>
      </c>
    </row>
    <row r="4862">
      <c r="FC4862" t="inlineStr">
        <is>
          <t>Diccionario 5</t>
        </is>
      </c>
      <c r="FD4862" t="inlineStr">
        <is>
          <t>LZPT-52|</t>
        </is>
      </c>
      <c r="FL4862" t="inlineStr">
        <is>
          <t>C</t>
        </is>
      </c>
      <c r="FP4862" t="inlineStr">
        <is>
          <t>C</t>
        </is>
      </c>
    </row>
    <row r="4863">
      <c r="FC4863" t="inlineStr">
        <is>
          <t>Diccionario 5</t>
        </is>
      </c>
      <c r="FD4863" t="inlineStr">
        <is>
          <t>LXWT-87|</t>
        </is>
      </c>
      <c r="FL4863" t="inlineStr">
        <is>
          <t>C</t>
        </is>
      </c>
      <c r="FP4863" t="inlineStr">
        <is>
          <t>C</t>
        </is>
      </c>
    </row>
    <row r="4864">
      <c r="FC4864" t="inlineStr">
        <is>
          <t>Diccionario 5</t>
        </is>
      </c>
      <c r="FD4864" t="inlineStr">
        <is>
          <t>LXWT-93|</t>
        </is>
      </c>
      <c r="FL4864" t="inlineStr">
        <is>
          <t>C</t>
        </is>
      </c>
      <c r="FP4864" t="inlineStr">
        <is>
          <t>C</t>
        </is>
      </c>
    </row>
    <row r="4865">
      <c r="FC4865" t="inlineStr">
        <is>
          <t>Diccionario 5</t>
        </is>
      </c>
      <c r="FD4865" t="inlineStr">
        <is>
          <t>LZPT-44|</t>
        </is>
      </c>
      <c r="FL4865" t="inlineStr">
        <is>
          <t>C</t>
        </is>
      </c>
      <c r="FP4865" t="inlineStr">
        <is>
          <t>C</t>
        </is>
      </c>
    </row>
    <row r="4866">
      <c r="FC4866" t="inlineStr">
        <is>
          <t>Diccionario 5</t>
        </is>
      </c>
      <c r="FD4866" t="inlineStr">
        <is>
          <t>LZPT-73|</t>
        </is>
      </c>
      <c r="FL4866" t="inlineStr">
        <is>
          <t>C</t>
        </is>
      </c>
      <c r="FP4866" t="inlineStr">
        <is>
          <t>C</t>
        </is>
      </c>
    </row>
    <row r="4867">
      <c r="FC4867" t="inlineStr">
        <is>
          <t>Diccionario 5</t>
        </is>
      </c>
      <c r="FD4867" t="inlineStr">
        <is>
          <t>LZPW-14|</t>
        </is>
      </c>
      <c r="FL4867" t="inlineStr">
        <is>
          <t>C</t>
        </is>
      </c>
      <c r="FP4867" t="inlineStr">
        <is>
          <t>C</t>
        </is>
      </c>
    </row>
    <row r="4868">
      <c r="FC4868" t="inlineStr">
        <is>
          <t>Diccionario 5</t>
        </is>
      </c>
      <c r="FD4868" t="inlineStr">
        <is>
          <t>3042 / SFVZ-56|</t>
        </is>
      </c>
      <c r="FL4868" t="inlineStr">
        <is>
          <t>B</t>
        </is>
      </c>
      <c r="FP4868" t="inlineStr">
        <is>
          <t>B</t>
        </is>
      </c>
    </row>
    <row r="4869">
      <c r="FC4869" t="inlineStr">
        <is>
          <t>Diccionario 5</t>
        </is>
      </c>
      <c r="FD4869" t="inlineStr">
        <is>
          <t>LZPT-64|</t>
        </is>
      </c>
      <c r="FL4869" t="inlineStr">
        <is>
          <t>C</t>
        </is>
      </c>
      <c r="FP4869" t="inlineStr">
        <is>
          <t>C</t>
        </is>
      </c>
    </row>
    <row r="4870">
      <c r="FC4870" t="inlineStr">
        <is>
          <t>Diccionario 5</t>
        </is>
      </c>
      <c r="FD4870" t="inlineStr">
        <is>
          <t>LZPT-42|</t>
        </is>
      </c>
      <c r="FL4870" t="inlineStr">
        <is>
          <t>C</t>
        </is>
      </c>
      <c r="FP4870" t="inlineStr">
        <is>
          <t>C</t>
        </is>
      </c>
    </row>
    <row r="4871">
      <c r="FC4871" t="inlineStr">
        <is>
          <t>Diccionario 5</t>
        </is>
      </c>
      <c r="FD4871" t="inlineStr">
        <is>
          <t>SFWZ-75</t>
        </is>
      </c>
      <c r="FL4871" t="inlineStr">
        <is>
          <t>B</t>
        </is>
      </c>
      <c r="FP4871" t="inlineStr">
        <is>
          <t>B</t>
        </is>
      </c>
    </row>
    <row r="4872">
      <c r="FC4872" t="inlineStr">
        <is>
          <t>Diccionario 5</t>
        </is>
      </c>
      <c r="FD4872" t="inlineStr">
        <is>
          <t>SFWB-31</t>
        </is>
      </c>
      <c r="FL4872" t="inlineStr">
        <is>
          <t>B</t>
        </is>
      </c>
      <c r="FP4872" t="inlineStr">
        <is>
          <t>B</t>
        </is>
      </c>
    </row>
    <row r="4873">
      <c r="FC4873" t="inlineStr">
        <is>
          <t>Diccionario 5</t>
        </is>
      </c>
      <c r="FD4873" t="inlineStr">
        <is>
          <t>LZPT-52</t>
        </is>
      </c>
      <c r="FL4873" t="inlineStr">
        <is>
          <t>C</t>
        </is>
      </c>
      <c r="FP4873" t="inlineStr">
        <is>
          <t>C</t>
        </is>
      </c>
    </row>
    <row r="4874">
      <c r="FC4874" t="inlineStr">
        <is>
          <t>Diccionario 5</t>
        </is>
      </c>
      <c r="FD4874" t="inlineStr">
        <is>
          <t>LZPT-75</t>
        </is>
      </c>
      <c r="FL4874" t="inlineStr">
        <is>
          <t>C</t>
        </is>
      </c>
      <c r="FP4874" t="inlineStr">
        <is>
          <t>C</t>
        </is>
      </c>
    </row>
    <row r="4875">
      <c r="FC4875" t="inlineStr">
        <is>
          <t>Diccionario 5</t>
        </is>
      </c>
      <c r="FD4875" t="inlineStr">
        <is>
          <t>VJKT-63|</t>
        </is>
      </c>
      <c r="FL4875" t="inlineStr">
        <is>
          <t>B</t>
        </is>
      </c>
      <c r="FP4875" t="inlineStr">
        <is>
          <t>B</t>
        </is>
      </c>
    </row>
    <row r="4876">
      <c r="FC4876" t="inlineStr">
        <is>
          <t>Diccionario 5</t>
        </is>
      </c>
      <c r="FD4876" t="inlineStr">
        <is>
          <t>LXWT-87|</t>
        </is>
      </c>
      <c r="FL4876" t="inlineStr">
        <is>
          <t>C</t>
        </is>
      </c>
      <c r="FP4876" t="inlineStr">
        <is>
          <t>C</t>
        </is>
      </c>
    </row>
    <row r="4877">
      <c r="FC4877" t="inlineStr">
        <is>
          <t>Diccionario 5</t>
        </is>
      </c>
      <c r="FD4877" t="inlineStr">
        <is>
          <t>LZPS-24|</t>
        </is>
      </c>
      <c r="FL4877" t="inlineStr">
        <is>
          <t>C</t>
        </is>
      </c>
      <c r="FP4877" t="inlineStr">
        <is>
          <t>C</t>
        </is>
      </c>
    </row>
    <row r="4878">
      <c r="FC4878" t="inlineStr">
        <is>
          <t>Diccionario 5</t>
        </is>
      </c>
      <c r="FD4878" t="inlineStr">
        <is>
          <t>LZPR-78|</t>
        </is>
      </c>
      <c r="FL4878" t="inlineStr">
        <is>
          <t>C</t>
        </is>
      </c>
      <c r="FP4878" t="inlineStr">
        <is>
          <t>C</t>
        </is>
      </c>
    </row>
    <row r="4879">
      <c r="FC4879" t="inlineStr">
        <is>
          <t>Diccionario 5</t>
        </is>
      </c>
      <c r="FD4879" t="inlineStr">
        <is>
          <t>LZPT-44|</t>
        </is>
      </c>
      <c r="FL4879" t="inlineStr">
        <is>
          <t>C</t>
        </is>
      </c>
      <c r="FP4879" t="inlineStr">
        <is>
          <t>C</t>
        </is>
      </c>
    </row>
    <row r="4880">
      <c r="FC4880" t="inlineStr">
        <is>
          <t>Diccionario 5</t>
        </is>
      </c>
      <c r="FD4880" t="inlineStr">
        <is>
          <t>GCBF-47|</t>
        </is>
      </c>
      <c r="FL4880" t="inlineStr">
        <is>
          <t>C</t>
        </is>
      </c>
      <c r="FP4880" t="inlineStr">
        <is>
          <t>C</t>
        </is>
      </c>
    </row>
    <row r="4881">
      <c r="FC4881" t="inlineStr">
        <is>
          <t>Diccionario 5</t>
        </is>
      </c>
      <c r="FD4881" t="inlineStr">
        <is>
          <t>LZPW-14|</t>
        </is>
      </c>
      <c r="FL4881" t="inlineStr">
        <is>
          <t>C</t>
        </is>
      </c>
      <c r="FP4881" t="inlineStr">
        <is>
          <t>C</t>
        </is>
      </c>
    </row>
    <row r="4882">
      <c r="FC4882" t="inlineStr">
        <is>
          <t>Diccionario 5</t>
        </is>
      </c>
      <c r="FD4882" t="inlineStr">
        <is>
          <t>3053 / SFWB-21|</t>
        </is>
      </c>
      <c r="FL4882" t="inlineStr">
        <is>
          <t>B</t>
        </is>
      </c>
      <c r="FP4882" t="inlineStr">
        <is>
          <t>B</t>
        </is>
      </c>
    </row>
    <row r="4883">
      <c r="FC4883" t="inlineStr">
        <is>
          <t>Diccionario 5</t>
        </is>
      </c>
      <c r="FD4883" t="inlineStr">
        <is>
          <t>LXWT-93|</t>
        </is>
      </c>
      <c r="FL4883" t="inlineStr">
        <is>
          <t>C</t>
        </is>
      </c>
      <c r="FP4883" t="inlineStr">
        <is>
          <t>C</t>
        </is>
      </c>
    </row>
    <row r="4884">
      <c r="FC4884" t="inlineStr">
        <is>
          <t>Diccionario 5</t>
        </is>
      </c>
      <c r="FD4884" t="inlineStr">
        <is>
          <t>LZPT-73|</t>
        </is>
      </c>
      <c r="FL4884" t="inlineStr">
        <is>
          <t>C</t>
        </is>
      </c>
      <c r="FP4884" t="inlineStr">
        <is>
          <t>C</t>
        </is>
      </c>
    </row>
    <row r="4885">
      <c r="FC4885" t="inlineStr">
        <is>
          <t>Diccionario 5</t>
        </is>
      </c>
      <c r="FD4885" t="inlineStr">
        <is>
          <t>3042 / SFVZ-56|</t>
        </is>
      </c>
      <c r="FL4885" t="inlineStr">
        <is>
          <t>B</t>
        </is>
      </c>
      <c r="FP4885" t="inlineStr">
        <is>
          <t>B</t>
        </is>
      </c>
    </row>
    <row r="4886">
      <c r="FC4886" t="inlineStr">
        <is>
          <t>Diccionario 5</t>
        </is>
      </c>
      <c r="FD4886" t="inlineStr">
        <is>
          <t>LZPR-90|</t>
        </is>
      </c>
      <c r="FL4886" t="inlineStr">
        <is>
          <t>C</t>
        </is>
      </c>
      <c r="FP4886" t="inlineStr">
        <is>
          <t>C</t>
        </is>
      </c>
    </row>
    <row r="4887">
      <c r="FC4887" t="inlineStr">
        <is>
          <t>Diccionario 5</t>
        </is>
      </c>
      <c r="FD4887" t="inlineStr">
        <is>
          <t>LZPG-22|</t>
        </is>
      </c>
      <c r="FL4887" t="inlineStr">
        <is>
          <t>C</t>
        </is>
      </c>
      <c r="FP4887" t="inlineStr">
        <is>
          <t>C</t>
        </is>
      </c>
    </row>
    <row r="4888">
      <c r="FC4888" t="inlineStr">
        <is>
          <t>Diccionario 5</t>
        </is>
      </c>
      <c r="FD4888" t="inlineStr">
        <is>
          <t>LZPT-64|</t>
        </is>
      </c>
      <c r="FL4888" t="inlineStr">
        <is>
          <t>C</t>
        </is>
      </c>
      <c r="FP4888" t="inlineStr">
        <is>
          <t>C</t>
        </is>
      </c>
    </row>
    <row r="4889">
      <c r="FC4889" t="inlineStr">
        <is>
          <t>Diccionario 5</t>
        </is>
      </c>
      <c r="FD4889" t="inlineStr">
        <is>
          <t>LZPS-19|</t>
        </is>
      </c>
      <c r="FL4889" t="inlineStr">
        <is>
          <t>C</t>
        </is>
      </c>
      <c r="FP4889" t="inlineStr">
        <is>
          <t>C</t>
        </is>
      </c>
    </row>
    <row r="4890">
      <c r="FC4890" t="inlineStr">
        <is>
          <t>Diccionario 5</t>
        </is>
      </c>
      <c r="FD4890" t="inlineStr">
        <is>
          <t>LZPT-52|</t>
        </is>
      </c>
      <c r="FL4890" t="inlineStr">
        <is>
          <t>C</t>
        </is>
      </c>
      <c r="FP4890" t="inlineStr">
        <is>
          <t>C</t>
        </is>
      </c>
    </row>
    <row r="4891">
      <c r="FC4891" t="inlineStr">
        <is>
          <t>Diccionario 5</t>
        </is>
      </c>
      <c r="FD4891" t="inlineStr">
        <is>
          <t>3022 / SFWB-31|</t>
        </is>
      </c>
      <c r="FL4891" t="inlineStr">
        <is>
          <t>B</t>
        </is>
      </c>
      <c r="FP4891" t="inlineStr">
        <is>
          <t>B</t>
        </is>
      </c>
    </row>
    <row r="4892">
      <c r="FC4892" t="inlineStr">
        <is>
          <t>Diccionario 5</t>
        </is>
      </c>
      <c r="FD4892" t="inlineStr">
        <is>
          <t>LZPT-57|</t>
        </is>
      </c>
      <c r="FL4892" t="inlineStr">
        <is>
          <t>C</t>
        </is>
      </c>
      <c r="FP4892" t="inlineStr">
        <is>
          <t>C</t>
        </is>
      </c>
    </row>
    <row r="4893">
      <c r="FC4893" t="inlineStr">
        <is>
          <t>Diccionario 5</t>
        </is>
      </c>
      <c r="FD4893" t="inlineStr">
        <is>
          <t>LZPG-24|</t>
        </is>
      </c>
      <c r="FL4893" t="inlineStr">
        <is>
          <t>C</t>
        </is>
      </c>
      <c r="FP4893" t="inlineStr">
        <is>
          <t>C</t>
        </is>
      </c>
    </row>
    <row r="4894">
      <c r="FC4894" t="inlineStr">
        <is>
          <t>Diccionario 5</t>
        </is>
      </c>
      <c r="FD4894" t="inlineStr">
        <is>
          <t>VJKT-63|</t>
        </is>
      </c>
      <c r="FL4894" t="inlineStr">
        <is>
          <t>B</t>
        </is>
      </c>
      <c r="FP4894" t="inlineStr">
        <is>
          <t>B</t>
        </is>
      </c>
    </row>
    <row r="4895">
      <c r="FC4895" t="inlineStr">
        <is>
          <t>Diccionario 5</t>
        </is>
      </c>
      <c r="FD4895" t="inlineStr">
        <is>
          <t>LZPT-75|</t>
        </is>
      </c>
      <c r="FL4895" t="inlineStr">
        <is>
          <t>C</t>
        </is>
      </c>
      <c r="FP4895" t="inlineStr">
        <is>
          <t>C</t>
        </is>
      </c>
    </row>
    <row r="4896">
      <c r="FC4896" t="inlineStr">
        <is>
          <t>Diccionario 5</t>
        </is>
      </c>
      <c r="FD4896" t="inlineStr">
        <is>
          <t>LZPS-24|</t>
        </is>
      </c>
      <c r="FL4896" t="inlineStr">
        <is>
          <t>C</t>
        </is>
      </c>
      <c r="FP4896" t="inlineStr">
        <is>
          <t>C</t>
        </is>
      </c>
    </row>
    <row r="4897">
      <c r="FC4897" t="inlineStr">
        <is>
          <t>Diccionario 5</t>
        </is>
      </c>
      <c r="FD4897" t="inlineStr">
        <is>
          <t>LZPR-78|</t>
        </is>
      </c>
      <c r="FL4897" t="inlineStr">
        <is>
          <t>C</t>
        </is>
      </c>
      <c r="FP4897" t="inlineStr">
        <is>
          <t>C</t>
        </is>
      </c>
    </row>
    <row r="4898">
      <c r="FC4898" t="inlineStr">
        <is>
          <t>Diccionario 5</t>
        </is>
      </c>
      <c r="FD4898" t="inlineStr">
        <is>
          <t>3053 / SFWB-21|</t>
        </is>
      </c>
      <c r="FL4898" t="inlineStr">
        <is>
          <t>B</t>
        </is>
      </c>
      <c r="FP4898" t="inlineStr">
        <is>
          <t>B</t>
        </is>
      </c>
    </row>
    <row r="4899">
      <c r="FC4899" t="inlineStr">
        <is>
          <t>Diccionario 5</t>
        </is>
      </c>
      <c r="FD4899" t="inlineStr">
        <is>
          <t>LZPW-14|</t>
        </is>
      </c>
      <c r="FL4899" t="inlineStr">
        <is>
          <t>C</t>
        </is>
      </c>
      <c r="FP4899" t="inlineStr">
        <is>
          <t>C</t>
        </is>
      </c>
    </row>
    <row r="4900">
      <c r="FC4900" t="inlineStr">
        <is>
          <t>Diccionario 5</t>
        </is>
      </c>
      <c r="FD4900" t="inlineStr">
        <is>
          <t>LZPT-44|</t>
        </is>
      </c>
      <c r="FL4900" t="inlineStr">
        <is>
          <t>C</t>
        </is>
      </c>
      <c r="FP4900" t="inlineStr">
        <is>
          <t>C</t>
        </is>
      </c>
    </row>
    <row r="4901">
      <c r="FC4901" t="inlineStr">
        <is>
          <t>Diccionario 5</t>
        </is>
      </c>
      <c r="FD4901" t="inlineStr">
        <is>
          <t>LZPS-22|</t>
        </is>
      </c>
      <c r="FL4901" t="inlineStr">
        <is>
          <t>C</t>
        </is>
      </c>
      <c r="FP4901" t="inlineStr">
        <is>
          <t>C</t>
        </is>
      </c>
    </row>
    <row r="4902">
      <c r="FC4902" t="inlineStr">
        <is>
          <t>Diccionario 5</t>
        </is>
      </c>
      <c r="FD4902" t="inlineStr">
        <is>
          <t>LZPR-95</t>
        </is>
      </c>
      <c r="FL4902" t="inlineStr">
        <is>
          <t>C</t>
        </is>
      </c>
      <c r="FP4902" t="inlineStr">
        <is>
          <t>C</t>
        </is>
      </c>
    </row>
    <row r="4903">
      <c r="FC4903" t="inlineStr">
        <is>
          <t>Diccionario 5</t>
        </is>
      </c>
      <c r="FD4903" t="inlineStr">
        <is>
          <t>LZPS-11</t>
        </is>
      </c>
      <c r="FL4903" t="inlineStr">
        <is>
          <t>C</t>
        </is>
      </c>
      <c r="FP4903" t="inlineStr">
        <is>
          <t>C</t>
        </is>
      </c>
    </row>
    <row r="4904">
      <c r="FC4904" t="inlineStr">
        <is>
          <t>Diccionario 5</t>
        </is>
      </c>
      <c r="FD4904" t="inlineStr">
        <is>
          <t>SFVZ-85</t>
        </is>
      </c>
      <c r="FL4904" t="inlineStr">
        <is>
          <t>B</t>
        </is>
      </c>
      <c r="FP4904" t="inlineStr">
        <is>
          <t>B</t>
        </is>
      </c>
    </row>
    <row r="4905">
      <c r="FC4905" t="inlineStr">
        <is>
          <t>Diccionario 5</t>
        </is>
      </c>
      <c r="FD4905" t="inlineStr">
        <is>
          <t>GCBF-53</t>
        </is>
      </c>
      <c r="FL4905" t="inlineStr">
        <is>
          <t>C</t>
        </is>
      </c>
      <c r="FP4905" t="inlineStr">
        <is>
          <t>C</t>
        </is>
      </c>
    </row>
    <row r="4906">
      <c r="FC4906" t="inlineStr">
        <is>
          <t>Diccionario 5</t>
        </is>
      </c>
      <c r="FD4906" t="inlineStr">
        <is>
          <t>LZPS-19|</t>
        </is>
      </c>
      <c r="FL4906" t="inlineStr">
        <is>
          <t>C</t>
        </is>
      </c>
      <c r="FP4906" t="inlineStr">
        <is>
          <t>C</t>
        </is>
      </c>
    </row>
    <row r="4907">
      <c r="FC4907" t="inlineStr">
        <is>
          <t>Diccionario 5</t>
        </is>
      </c>
      <c r="FD4907" t="inlineStr">
        <is>
          <t>LZPR-90|</t>
        </is>
      </c>
      <c r="FL4907" t="inlineStr">
        <is>
          <t>C</t>
        </is>
      </c>
      <c r="FP4907" t="inlineStr">
        <is>
          <t>C</t>
        </is>
      </c>
    </row>
    <row r="4908">
      <c r="FC4908" t="inlineStr">
        <is>
          <t>Diccionario 5</t>
        </is>
      </c>
      <c r="FD4908" t="inlineStr">
        <is>
          <t>LZPG-24|</t>
        </is>
      </c>
      <c r="FL4908" t="inlineStr">
        <is>
          <t>C</t>
        </is>
      </c>
      <c r="FP4908" t="inlineStr">
        <is>
          <t>C</t>
        </is>
      </c>
    </row>
    <row r="4909">
      <c r="FC4909" t="inlineStr">
        <is>
          <t>Diccionario 5</t>
        </is>
      </c>
      <c r="FD4909" t="inlineStr">
        <is>
          <t>3068 / SFWB-84|</t>
        </is>
      </c>
      <c r="FL4909" t="inlineStr">
        <is>
          <t>B</t>
        </is>
      </c>
      <c r="FP4909" t="inlineStr">
        <is>
          <t>B</t>
        </is>
      </c>
    </row>
    <row r="4910">
      <c r="FC4910" t="inlineStr">
        <is>
          <t>Diccionario 5</t>
        </is>
      </c>
      <c r="FD4910" t="inlineStr">
        <is>
          <t>LZPR-78</t>
        </is>
      </c>
      <c r="FL4910" t="inlineStr">
        <is>
          <t>C</t>
        </is>
      </c>
      <c r="FP4910" t="inlineStr">
        <is>
          <t>C</t>
        </is>
      </c>
    </row>
    <row r="4911">
      <c r="FC4911" t="inlineStr">
        <is>
          <t>Diccionario 5</t>
        </is>
      </c>
      <c r="FD4911" t="inlineStr">
        <is>
          <t>LZPT-52</t>
        </is>
      </c>
      <c r="FL4911" t="inlineStr">
        <is>
          <t>C</t>
        </is>
      </c>
      <c r="FP4911" t="inlineStr">
        <is>
          <t>C</t>
        </is>
      </c>
    </row>
    <row r="4912">
      <c r="FC4912" t="inlineStr">
        <is>
          <t>Diccionario 5</t>
        </is>
      </c>
      <c r="FD4912" t="inlineStr">
        <is>
          <t>3051 / SFVZ-80|</t>
        </is>
      </c>
      <c r="FL4912" t="inlineStr">
        <is>
          <t>B</t>
        </is>
      </c>
      <c r="FP4912" t="inlineStr">
        <is>
          <t>B</t>
        </is>
      </c>
    </row>
    <row r="4913">
      <c r="FC4913" t="inlineStr">
        <is>
          <t>Diccionario 5</t>
        </is>
      </c>
      <c r="FD4913" t="inlineStr">
        <is>
          <t>LXWT-88|</t>
        </is>
      </c>
      <c r="FL4913" t="inlineStr">
        <is>
          <t>C</t>
        </is>
      </c>
      <c r="FP4913" t="inlineStr">
        <is>
          <t>C</t>
        </is>
      </c>
    </row>
    <row r="4914">
      <c r="FC4914" t="inlineStr">
        <is>
          <t>Diccionario 5</t>
        </is>
      </c>
      <c r="FD4914" t="inlineStr">
        <is>
          <t>3027 / SFVZ-85|</t>
        </is>
      </c>
      <c r="FL4914" t="inlineStr">
        <is>
          <t>B</t>
        </is>
      </c>
      <c r="FP4914" t="inlineStr">
        <is>
          <t>B</t>
        </is>
      </c>
    </row>
    <row r="4915">
      <c r="FC4915" t="inlineStr">
        <is>
          <t>Diccionario 5</t>
        </is>
      </c>
      <c r="FD4915" t="inlineStr">
        <is>
          <t>LZPS-11|</t>
        </is>
      </c>
      <c r="FL4915" t="inlineStr">
        <is>
          <t>C</t>
        </is>
      </c>
      <c r="FP4915" t="inlineStr">
        <is>
          <t>C</t>
        </is>
      </c>
    </row>
    <row r="4916">
      <c r="FC4916" t="inlineStr">
        <is>
          <t>Diccionario 5</t>
        </is>
      </c>
      <c r="FD4916" t="inlineStr">
        <is>
          <t>LZPW-14</t>
        </is>
      </c>
      <c r="FL4916" t="inlineStr">
        <is>
          <t>C</t>
        </is>
      </c>
      <c r="FP4916" t="inlineStr">
        <is>
          <t>C</t>
        </is>
      </c>
    </row>
    <row r="4917">
      <c r="FC4917" t="inlineStr">
        <is>
          <t>Diccionario 5</t>
        </is>
      </c>
      <c r="FD4917" t="inlineStr">
        <is>
          <t>LZPR-95</t>
        </is>
      </c>
      <c r="FL4917" t="inlineStr">
        <is>
          <t>C</t>
        </is>
      </c>
      <c r="FP4917" t="inlineStr">
        <is>
          <t>C</t>
        </is>
      </c>
    </row>
    <row r="4918">
      <c r="FC4918" t="inlineStr">
        <is>
          <t>Diccionario 5</t>
        </is>
      </c>
      <c r="FD4918" t="inlineStr">
        <is>
          <t>GCBF-45</t>
        </is>
      </c>
      <c r="FL4918" t="inlineStr">
        <is>
          <t>C</t>
        </is>
      </c>
      <c r="FP4918" t="inlineStr">
        <is>
          <t>C</t>
        </is>
      </c>
    </row>
    <row r="4919">
      <c r="FC4919" t="inlineStr">
        <is>
          <t>Diccionario 5</t>
        </is>
      </c>
      <c r="FD4919" t="inlineStr">
        <is>
          <t>GCBF53</t>
        </is>
      </c>
      <c r="FL4919" t="inlineStr">
        <is>
          <t>C</t>
        </is>
      </c>
      <c r="FP4919" t="inlineStr">
        <is>
          <t>C</t>
        </is>
      </c>
    </row>
    <row r="4920">
      <c r="FC4920" t="inlineStr">
        <is>
          <t>Diccionario 5</t>
        </is>
      </c>
      <c r="FD4920" t="inlineStr">
        <is>
          <t>LZPS-19</t>
        </is>
      </c>
      <c r="FL4920" t="inlineStr">
        <is>
          <t>C</t>
        </is>
      </c>
      <c r="FP4920" t="inlineStr">
        <is>
          <t>C</t>
        </is>
      </c>
    </row>
    <row r="4921">
      <c r="FC4921" t="inlineStr">
        <is>
          <t>Diccionario 5</t>
        </is>
      </c>
      <c r="FD4921" t="inlineStr">
        <is>
          <t>LZPR-98</t>
        </is>
      </c>
      <c r="FL4921" t="inlineStr">
        <is>
          <t>C</t>
        </is>
      </c>
      <c r="FP4921" t="inlineStr">
        <is>
          <t>C</t>
        </is>
      </c>
    </row>
    <row r="4922">
      <c r="FC4922" t="inlineStr">
        <is>
          <t>Diccionario 5</t>
        </is>
      </c>
      <c r="FD4922" t="inlineStr">
        <is>
          <t>LZPR-78|</t>
        </is>
      </c>
      <c r="FL4922" t="inlineStr">
        <is>
          <t>C</t>
        </is>
      </c>
      <c r="FP4922" t="inlineStr">
        <is>
          <t>C</t>
        </is>
      </c>
    </row>
    <row r="4923">
      <c r="FC4923" t="inlineStr">
        <is>
          <t>Diccionario 5</t>
        </is>
      </c>
      <c r="FD4923" t="inlineStr">
        <is>
          <t>LZPG-24|</t>
        </is>
      </c>
      <c r="FL4923" t="inlineStr">
        <is>
          <t>C</t>
        </is>
      </c>
      <c r="FP4923" t="inlineStr">
        <is>
          <t>C</t>
        </is>
      </c>
    </row>
    <row r="4924">
      <c r="FC4924" t="inlineStr">
        <is>
          <t>Diccionario 5</t>
        </is>
      </c>
      <c r="FD4924" t="inlineStr">
        <is>
          <t>SFWB-84</t>
        </is>
      </c>
      <c r="FL4924" t="inlineStr">
        <is>
          <t>B</t>
        </is>
      </c>
      <c r="FP4924" t="inlineStr">
        <is>
          <t>B</t>
        </is>
      </c>
    </row>
    <row r="4925">
      <c r="FC4925" t="inlineStr">
        <is>
          <t>Diccionario 5</t>
        </is>
      </c>
      <c r="FD4925" t="inlineStr">
        <is>
          <t>LZPT-52|</t>
        </is>
      </c>
      <c r="FL4925" t="inlineStr">
        <is>
          <t>C</t>
        </is>
      </c>
      <c r="FP4925" t="inlineStr">
        <is>
          <t>C</t>
        </is>
      </c>
    </row>
    <row r="4926">
      <c r="FC4926" t="inlineStr">
        <is>
          <t>Diccionario 5</t>
        </is>
      </c>
      <c r="FD4926" t="inlineStr">
        <is>
          <t>LZPW-21</t>
        </is>
      </c>
      <c r="FL4926" t="inlineStr">
        <is>
          <t>C</t>
        </is>
      </c>
      <c r="FP4926" t="inlineStr">
        <is>
          <t>C</t>
        </is>
      </c>
    </row>
    <row r="4927">
      <c r="FC4927" t="inlineStr">
        <is>
          <t>Diccionario 5</t>
        </is>
      </c>
      <c r="FD4927" t="inlineStr">
        <is>
          <t>SFVZ-80</t>
        </is>
      </c>
      <c r="FL4927" t="inlineStr">
        <is>
          <t>B</t>
        </is>
      </c>
      <c r="FP4927" t="inlineStr">
        <is>
          <t>B</t>
        </is>
      </c>
    </row>
    <row r="4928">
      <c r="FC4928" t="inlineStr">
        <is>
          <t>Diccionario 5</t>
        </is>
      </c>
      <c r="FD4928" t="inlineStr">
        <is>
          <t>LXWT-88|</t>
        </is>
      </c>
      <c r="FL4928" t="inlineStr">
        <is>
          <t>C</t>
        </is>
      </c>
      <c r="FP4928" t="inlineStr">
        <is>
          <t>C</t>
        </is>
      </c>
    </row>
    <row r="4929">
      <c r="FC4929" t="inlineStr">
        <is>
          <t>Diccionario 5</t>
        </is>
      </c>
      <c r="FD4929" t="inlineStr">
        <is>
          <t>LZPW-13</t>
        </is>
      </c>
      <c r="FL4929" t="inlineStr">
        <is>
          <t>C</t>
        </is>
      </c>
      <c r="FP4929" t="inlineStr">
        <is>
          <t>C</t>
        </is>
      </c>
    </row>
    <row r="4930">
      <c r="FC4930" t="inlineStr">
        <is>
          <t>Diccionario 5</t>
        </is>
      </c>
      <c r="FD4930" t="inlineStr">
        <is>
          <t>LZPW-14</t>
        </is>
      </c>
      <c r="FL4930" t="inlineStr">
        <is>
          <t>C</t>
        </is>
      </c>
      <c r="FP4930" t="inlineStr">
        <is>
          <t>C</t>
        </is>
      </c>
    </row>
    <row r="4931">
      <c r="FC4931" t="inlineStr">
        <is>
          <t>Diccionario 5</t>
        </is>
      </c>
      <c r="FD4931" t="inlineStr">
        <is>
          <t>GCBF-45|</t>
        </is>
      </c>
      <c r="FL4931" t="inlineStr">
        <is>
          <t>C</t>
        </is>
      </c>
      <c r="FP4931" t="inlineStr">
        <is>
          <t>C</t>
        </is>
      </c>
    </row>
    <row r="4932">
      <c r="FC4932" t="inlineStr">
        <is>
          <t>Diccionario 5</t>
        </is>
      </c>
      <c r="FD4932" t="inlineStr">
        <is>
          <t>LZPR-95|</t>
        </is>
      </c>
      <c r="FL4932" t="inlineStr">
        <is>
          <t>C</t>
        </is>
      </c>
      <c r="FP4932" t="inlineStr">
        <is>
          <t>C</t>
        </is>
      </c>
    </row>
    <row r="4933">
      <c r="FC4933" t="inlineStr">
        <is>
          <t>Diccionario 5</t>
        </is>
      </c>
      <c r="FD4933" t="inlineStr">
        <is>
          <t>LZPT-67|</t>
        </is>
      </c>
      <c r="FL4933" t="inlineStr">
        <is>
          <t>C</t>
        </is>
      </c>
      <c r="FP4933" t="inlineStr">
        <is>
          <t>C</t>
        </is>
      </c>
    </row>
    <row r="4934">
      <c r="FC4934" t="inlineStr">
        <is>
          <t>Diccionario 5</t>
        </is>
      </c>
      <c r="FD4934" t="inlineStr">
        <is>
          <t>GCBF-53|</t>
        </is>
      </c>
      <c r="FL4934" t="inlineStr">
        <is>
          <t>C</t>
        </is>
      </c>
      <c r="FP4934" t="inlineStr">
        <is>
          <t>C</t>
        </is>
      </c>
    </row>
    <row r="4935">
      <c r="FC4935" t="inlineStr">
        <is>
          <t>Diccionario 5</t>
        </is>
      </c>
      <c r="FD4935" t="inlineStr">
        <is>
          <t>SFWZ-27|</t>
        </is>
      </c>
      <c r="FL4935" t="inlineStr">
        <is>
          <t>B</t>
        </is>
      </c>
      <c r="FP4935" t="inlineStr">
        <is>
          <t>B</t>
        </is>
      </c>
    </row>
    <row r="4936">
      <c r="FC4936" t="inlineStr">
        <is>
          <t>Diccionario 5</t>
        </is>
      </c>
      <c r="FD4936" t="inlineStr">
        <is>
          <t>LZPR-98|</t>
        </is>
      </c>
      <c r="FL4936" t="inlineStr">
        <is>
          <t>C</t>
        </is>
      </c>
      <c r="FP4936" t="inlineStr">
        <is>
          <t>C</t>
        </is>
      </c>
    </row>
    <row r="4937">
      <c r="FC4937" t="inlineStr">
        <is>
          <t>Diccionario 5</t>
        </is>
      </c>
      <c r="FD4937" t="inlineStr">
        <is>
          <t>LZPR-78|</t>
        </is>
      </c>
      <c r="FL4937" t="inlineStr">
        <is>
          <t>C</t>
        </is>
      </c>
      <c r="FP4937" t="inlineStr">
        <is>
          <t>C</t>
        </is>
      </c>
    </row>
    <row r="4938">
      <c r="FC4938" t="inlineStr">
        <is>
          <t>Diccionario 5</t>
        </is>
      </c>
      <c r="FD4938" t="inlineStr">
        <is>
          <t>LZPG-24</t>
        </is>
      </c>
      <c r="FL4938" t="inlineStr">
        <is>
          <t>C</t>
        </is>
      </c>
      <c r="FP4938" t="inlineStr">
        <is>
          <t>C</t>
        </is>
      </c>
    </row>
    <row r="4939">
      <c r="FC4939" t="inlineStr">
        <is>
          <t>Diccionario 5</t>
        </is>
      </c>
      <c r="FD4939" t="inlineStr">
        <is>
          <t>SFWB-84</t>
        </is>
      </c>
      <c r="FL4939" t="inlineStr">
        <is>
          <t>B</t>
        </is>
      </c>
      <c r="FP4939" t="inlineStr">
        <is>
          <t>B</t>
        </is>
      </c>
    </row>
    <row r="4940">
      <c r="FC4940" t="inlineStr">
        <is>
          <t>Diccionario 5</t>
        </is>
      </c>
      <c r="FD4940" t="inlineStr">
        <is>
          <t>LZPT-52</t>
        </is>
      </c>
      <c r="FL4940" t="inlineStr">
        <is>
          <t>C</t>
        </is>
      </c>
      <c r="FP4940" t="inlineStr">
        <is>
          <t>C</t>
        </is>
      </c>
    </row>
    <row r="4941">
      <c r="FC4941" t="inlineStr">
        <is>
          <t>Diccionario 5</t>
        </is>
      </c>
      <c r="FD4941" t="inlineStr">
        <is>
          <t>LZPW-21|</t>
        </is>
      </c>
      <c r="FL4941" t="inlineStr">
        <is>
          <t>C</t>
        </is>
      </c>
      <c r="FP4941" t="inlineStr">
        <is>
          <t>C</t>
        </is>
      </c>
    </row>
    <row r="4942">
      <c r="FC4942" t="inlineStr">
        <is>
          <t>Diccionario 5</t>
        </is>
      </c>
      <c r="FD4942" t="inlineStr">
        <is>
          <t>SFVZ-80|</t>
        </is>
      </c>
      <c r="FL4942" t="inlineStr">
        <is>
          <t>B</t>
        </is>
      </c>
      <c r="FP4942" t="inlineStr">
        <is>
          <t>B</t>
        </is>
      </c>
    </row>
    <row r="4943">
      <c r="FC4943" t="inlineStr">
        <is>
          <t>Diccionario 5</t>
        </is>
      </c>
      <c r="FD4943" t="inlineStr">
        <is>
          <t>LXWT-88|</t>
        </is>
      </c>
      <c r="FL4943" t="inlineStr">
        <is>
          <t>C</t>
        </is>
      </c>
      <c r="FP4943" t="inlineStr">
        <is>
          <t>C</t>
        </is>
      </c>
    </row>
    <row r="4944">
      <c r="FC4944" t="inlineStr">
        <is>
          <t>Diccionario 5</t>
        </is>
      </c>
      <c r="FD4944" t="inlineStr">
        <is>
          <t>LZPS-11|</t>
        </is>
      </c>
      <c r="FL4944" t="inlineStr">
        <is>
          <t>C</t>
        </is>
      </c>
      <c r="FP4944" t="inlineStr">
        <is>
          <t>C</t>
        </is>
      </c>
    </row>
    <row r="4945">
      <c r="FC4945" t="inlineStr">
        <is>
          <t>Diccionario 5</t>
        </is>
      </c>
      <c r="FD4945" t="inlineStr">
        <is>
          <t>LZPW-13|</t>
        </is>
      </c>
      <c r="FL4945" t="inlineStr">
        <is>
          <t>C</t>
        </is>
      </c>
      <c r="FP4945" t="inlineStr">
        <is>
          <t>C</t>
        </is>
      </c>
    </row>
    <row r="4946">
      <c r="FC4946" t="inlineStr">
        <is>
          <t>Diccionario 5</t>
        </is>
      </c>
      <c r="FD4946" t="inlineStr">
        <is>
          <t>GCBF-45|</t>
        </is>
      </c>
      <c r="FL4946" t="inlineStr">
        <is>
          <t>C</t>
        </is>
      </c>
      <c r="FP4946" t="inlineStr">
        <is>
          <t>C</t>
        </is>
      </c>
    </row>
    <row r="4947">
      <c r="FC4947" t="inlineStr">
        <is>
          <t>Diccionario 5</t>
        </is>
      </c>
      <c r="FD4947" t="inlineStr">
        <is>
          <t>LZPT-67</t>
        </is>
      </c>
      <c r="FL4947" t="inlineStr">
        <is>
          <t>C</t>
        </is>
      </c>
      <c r="FP4947" t="inlineStr">
        <is>
          <t>C</t>
        </is>
      </c>
    </row>
    <row r="4948">
      <c r="FC4948" t="inlineStr">
        <is>
          <t>Diccionario 5</t>
        </is>
      </c>
      <c r="FD4948" t="inlineStr">
        <is>
          <t>LZPW-18|</t>
        </is>
      </c>
      <c r="FL4948" t="inlineStr">
        <is>
          <t>C</t>
        </is>
      </c>
      <c r="FP4948" t="inlineStr">
        <is>
          <t>C</t>
        </is>
      </c>
    </row>
    <row r="4949">
      <c r="FC4949" t="inlineStr">
        <is>
          <t>Diccionario 5</t>
        </is>
      </c>
      <c r="FD4949" t="inlineStr">
        <is>
          <t>LXWT-92</t>
        </is>
      </c>
      <c r="FL4949" t="inlineStr">
        <is>
          <t>C</t>
        </is>
      </c>
      <c r="FP4949" t="inlineStr">
        <is>
          <t>C</t>
        </is>
      </c>
    </row>
    <row r="4950">
      <c r="FC4950" t="inlineStr">
        <is>
          <t>Diccionario 5</t>
        </is>
      </c>
      <c r="FD4950" t="inlineStr">
        <is>
          <t>SFWZ-27|</t>
        </is>
      </c>
      <c r="FL4950" t="inlineStr">
        <is>
          <t>B</t>
        </is>
      </c>
      <c r="FP4950" t="inlineStr">
        <is>
          <t>B</t>
        </is>
      </c>
    </row>
    <row r="4951">
      <c r="FC4951" t="inlineStr">
        <is>
          <t>Diccionario 5</t>
        </is>
      </c>
      <c r="FD4951" t="inlineStr">
        <is>
          <t>LZPR-98|</t>
        </is>
      </c>
      <c r="FL4951" t="inlineStr">
        <is>
          <t>C</t>
        </is>
      </c>
      <c r="FP4951" t="inlineStr">
        <is>
          <t>C</t>
        </is>
      </c>
    </row>
    <row r="4952">
      <c r="FC4952" t="inlineStr">
        <is>
          <t>Diccionario 5</t>
        </is>
      </c>
      <c r="FD4952" t="inlineStr">
        <is>
          <t>LZPR-78|</t>
        </is>
      </c>
      <c r="FL4952" t="inlineStr">
        <is>
          <t>C</t>
        </is>
      </c>
      <c r="FP4952" t="inlineStr">
        <is>
          <t>C</t>
        </is>
      </c>
    </row>
    <row r="4953">
      <c r="FC4953" t="inlineStr">
        <is>
          <t>Diccionario 5</t>
        </is>
      </c>
      <c r="FD4953" t="inlineStr">
        <is>
          <t>LZPG-24|</t>
        </is>
      </c>
      <c r="FL4953" t="inlineStr">
        <is>
          <t>C</t>
        </is>
      </c>
      <c r="FP4953" t="inlineStr">
        <is>
          <t>C</t>
        </is>
      </c>
    </row>
    <row r="4954">
      <c r="FC4954" t="inlineStr">
        <is>
          <t>Diccionario 5</t>
        </is>
      </c>
      <c r="FD4954" t="inlineStr">
        <is>
          <t>FWB-84|</t>
        </is>
      </c>
      <c r="FL4954" t="inlineStr">
        <is>
          <t>B</t>
        </is>
      </c>
      <c r="FP4954" t="inlineStr">
        <is>
          <t>B</t>
        </is>
      </c>
    </row>
    <row r="4955">
      <c r="FC4955" t="inlineStr">
        <is>
          <t>Diccionario 5</t>
        </is>
      </c>
      <c r="FD4955" t="inlineStr">
        <is>
          <t>LZPT-52|</t>
        </is>
      </c>
      <c r="FL4955" t="inlineStr">
        <is>
          <t>C</t>
        </is>
      </c>
      <c r="FP4955" t="inlineStr">
        <is>
          <t>C</t>
        </is>
      </c>
    </row>
    <row r="4956">
      <c r="FC4956" t="inlineStr">
        <is>
          <t>Diccionario 5</t>
        </is>
      </c>
      <c r="FD4956" t="inlineStr">
        <is>
          <t>LZPW-14|</t>
        </is>
      </c>
      <c r="FL4956" t="inlineStr">
        <is>
          <t>C</t>
        </is>
      </c>
      <c r="FP4956" t="inlineStr">
        <is>
          <t>C</t>
        </is>
      </c>
    </row>
    <row r="4957">
      <c r="FC4957" t="inlineStr">
        <is>
          <t>Diccionario 5</t>
        </is>
      </c>
      <c r="FD4957" t="inlineStr">
        <is>
          <t>SFVZ-80</t>
        </is>
      </c>
      <c r="FL4957" t="inlineStr">
        <is>
          <t>B</t>
        </is>
      </c>
      <c r="FP4957" t="inlineStr">
        <is>
          <t>B</t>
        </is>
      </c>
    </row>
    <row r="4958">
      <c r="FC4958" t="inlineStr">
        <is>
          <t>Diccionario 5</t>
        </is>
      </c>
      <c r="FD4958" t="inlineStr">
        <is>
          <t>LZPW-13|</t>
        </is>
      </c>
      <c r="FL4958" t="inlineStr">
        <is>
          <t>C</t>
        </is>
      </c>
      <c r="FP4958" t="inlineStr">
        <is>
          <t>C</t>
        </is>
      </c>
    </row>
    <row r="4959">
      <c r="FC4959" t="inlineStr">
        <is>
          <t>Diccionario 5</t>
        </is>
      </c>
      <c r="FD4959" t="inlineStr">
        <is>
          <t>LZPS-11|</t>
        </is>
      </c>
      <c r="FL4959" t="inlineStr">
        <is>
          <t>C</t>
        </is>
      </c>
      <c r="FP4959" t="inlineStr">
        <is>
          <t>C</t>
        </is>
      </c>
    </row>
    <row r="4960">
      <c r="FC4960" t="inlineStr">
        <is>
          <t>Diccionario 5</t>
        </is>
      </c>
      <c r="FD4960" t="inlineStr">
        <is>
          <t>LZPT-67|</t>
        </is>
      </c>
      <c r="FL4960" t="inlineStr">
        <is>
          <t>C</t>
        </is>
      </c>
      <c r="FP4960" t="inlineStr">
        <is>
          <t>C</t>
        </is>
      </c>
    </row>
    <row r="4961">
      <c r="FC4961" t="inlineStr">
        <is>
          <t>Diccionario 5</t>
        </is>
      </c>
      <c r="FD4961" t="inlineStr">
        <is>
          <t>LZPW-18|</t>
        </is>
      </c>
      <c r="FL4961" t="inlineStr">
        <is>
          <t>C</t>
        </is>
      </c>
      <c r="FP4961" t="inlineStr">
        <is>
          <t>C</t>
        </is>
      </c>
    </row>
    <row r="4962">
      <c r="FC4962" t="inlineStr">
        <is>
          <t>Diccionario 5</t>
        </is>
      </c>
      <c r="FD4962" t="inlineStr">
        <is>
          <t>LZPR-98</t>
        </is>
      </c>
      <c r="FL4962" t="inlineStr">
        <is>
          <t>C</t>
        </is>
      </c>
      <c r="FP4962" t="inlineStr">
        <is>
          <t>C</t>
        </is>
      </c>
    </row>
    <row r="4963">
      <c r="FC4963" t="inlineStr">
        <is>
          <t>Diccionario 5</t>
        </is>
      </c>
      <c r="FD4963" t="inlineStr">
        <is>
          <t>SFWZ-27</t>
        </is>
      </c>
      <c r="FL4963" t="inlineStr">
        <is>
          <t>B</t>
        </is>
      </c>
      <c r="FP4963" t="inlineStr">
        <is>
          <t>B</t>
        </is>
      </c>
    </row>
    <row r="4964">
      <c r="FC4964" t="inlineStr">
        <is>
          <t>Diccionario 5</t>
        </is>
      </c>
      <c r="FD4964" t="inlineStr">
        <is>
          <t>LZPR-78|</t>
        </is>
      </c>
      <c r="FL4964" t="inlineStr">
        <is>
          <t>C</t>
        </is>
      </c>
      <c r="FP4964" t="inlineStr">
        <is>
          <t>C</t>
        </is>
      </c>
    </row>
    <row r="4965">
      <c r="FC4965" t="inlineStr">
        <is>
          <t>Diccionario 5</t>
        </is>
      </c>
      <c r="FD4965" t="inlineStr">
        <is>
          <t>LZPG-24|</t>
        </is>
      </c>
      <c r="FL4965" t="inlineStr">
        <is>
          <t>C</t>
        </is>
      </c>
      <c r="FP4965" t="inlineStr">
        <is>
          <t>C</t>
        </is>
      </c>
    </row>
    <row r="4966">
      <c r="FC4966" t="inlineStr">
        <is>
          <t>Diccionario 5</t>
        </is>
      </c>
      <c r="FD4966" t="inlineStr">
        <is>
          <t>LZPW-14|</t>
        </is>
      </c>
      <c r="FL4966" t="inlineStr">
        <is>
          <t>C</t>
        </is>
      </c>
      <c r="FP4966" t="inlineStr">
        <is>
          <t>C</t>
        </is>
      </c>
    </row>
    <row r="4967">
      <c r="FC4967" t="inlineStr">
        <is>
          <t>Diccionario 5</t>
        </is>
      </c>
      <c r="FD4967" t="inlineStr">
        <is>
          <t>LZPT-52|</t>
        </is>
      </c>
      <c r="FL4967" t="inlineStr">
        <is>
          <t>C</t>
        </is>
      </c>
      <c r="FP4967" t="inlineStr">
        <is>
          <t>C</t>
        </is>
      </c>
    </row>
    <row r="4968">
      <c r="FC4968" t="inlineStr">
        <is>
          <t>Diccionario 5</t>
        </is>
      </c>
      <c r="FD4968" t="inlineStr">
        <is>
          <t>LZPW-13|</t>
        </is>
      </c>
      <c r="FL4968" t="inlineStr">
        <is>
          <t>C</t>
        </is>
      </c>
      <c r="FP4968" t="inlineStr">
        <is>
          <t>C</t>
        </is>
      </c>
    </row>
    <row r="4969">
      <c r="FC4969" t="inlineStr">
        <is>
          <t>Diccionario 5</t>
        </is>
      </c>
      <c r="FD4969" t="inlineStr">
        <is>
          <t>LZPW-12|</t>
        </is>
      </c>
      <c r="FL4969" t="inlineStr">
        <is>
          <t>C</t>
        </is>
      </c>
      <c r="FP4969" t="inlineStr">
        <is>
          <t>C</t>
        </is>
      </c>
    </row>
    <row r="4970">
      <c r="FC4970" t="inlineStr">
        <is>
          <t>Diccionario 5</t>
        </is>
      </c>
      <c r="FD4970" t="inlineStr">
        <is>
          <t>LZPR-95|</t>
        </is>
      </c>
      <c r="FL4970" t="inlineStr">
        <is>
          <t>C</t>
        </is>
      </c>
      <c r="FP4970" t="inlineStr">
        <is>
          <t>C</t>
        </is>
      </c>
    </row>
    <row r="4971">
      <c r="FC4971" t="inlineStr">
        <is>
          <t>Diccionario 5</t>
        </is>
      </c>
      <c r="FD4971" t="inlineStr">
        <is>
          <t>LZPW-18|</t>
        </is>
      </c>
      <c r="FL4971" t="inlineStr">
        <is>
          <t>C</t>
        </is>
      </c>
      <c r="FP4971" t="inlineStr">
        <is>
          <t>C</t>
        </is>
      </c>
    </row>
    <row r="4972">
      <c r="FC4972" t="inlineStr">
        <is>
          <t>Diccionario 5</t>
        </is>
      </c>
      <c r="FD4972" t="inlineStr">
        <is>
          <t>LZPS-11|</t>
        </is>
      </c>
      <c r="FL4972" t="inlineStr">
        <is>
          <t>C</t>
        </is>
      </c>
      <c r="FP4972" t="inlineStr">
        <is>
          <t>C</t>
        </is>
      </c>
    </row>
    <row r="4973">
      <c r="FC4973" t="inlineStr">
        <is>
          <t>Diccionario 5</t>
        </is>
      </c>
      <c r="FD4973" t="inlineStr">
        <is>
          <t>LZPT-67|</t>
        </is>
      </c>
      <c r="FL4973" t="inlineStr">
        <is>
          <t>C</t>
        </is>
      </c>
      <c r="FP4973" t="inlineStr">
        <is>
          <t>C</t>
        </is>
      </c>
    </row>
    <row r="4974">
      <c r="FC4974" t="inlineStr">
        <is>
          <t>Diccionario 5</t>
        </is>
      </c>
      <c r="FD4974" t="inlineStr">
        <is>
          <t>GCBF-48|</t>
        </is>
      </c>
      <c r="FL4974" t="inlineStr">
        <is>
          <t>C</t>
        </is>
      </c>
      <c r="FP4974" t="inlineStr">
        <is>
          <t>C</t>
        </is>
      </c>
    </row>
    <row r="4975">
      <c r="FC4975" t="inlineStr">
        <is>
          <t>Diccionario 5</t>
        </is>
      </c>
      <c r="FD4975" t="inlineStr">
        <is>
          <t>3040 / SFWZ-27|</t>
        </is>
      </c>
      <c r="FL4975" t="inlineStr">
        <is>
          <t>B</t>
        </is>
      </c>
      <c r="FP4975" t="inlineStr">
        <is>
          <t>B</t>
        </is>
      </c>
    </row>
    <row r="4976">
      <c r="FC4976" t="inlineStr">
        <is>
          <t>Diccionario 5</t>
        </is>
      </c>
      <c r="FD4976" t="inlineStr">
        <is>
          <t>LZPW-14|</t>
        </is>
      </c>
      <c r="FL4976" t="inlineStr">
        <is>
          <t>C</t>
        </is>
      </c>
      <c r="FP4976" t="inlineStr">
        <is>
          <t>C</t>
        </is>
      </c>
    </row>
    <row r="4977">
      <c r="FC4977" t="inlineStr">
        <is>
          <t>Diccionario 5</t>
        </is>
      </c>
      <c r="FD4977" t="inlineStr">
        <is>
          <t>LZPT-72|</t>
        </is>
      </c>
      <c r="FL4977" t="inlineStr">
        <is>
          <t>C</t>
        </is>
      </c>
      <c r="FP4977" t="inlineStr">
        <is>
          <t>C</t>
        </is>
      </c>
    </row>
    <row r="4978">
      <c r="FC4978" t="inlineStr">
        <is>
          <t>Diccionario 5</t>
        </is>
      </c>
      <c r="FD4978" t="inlineStr">
        <is>
          <t>GCBF-45|</t>
        </is>
      </c>
      <c r="FL4978" t="inlineStr">
        <is>
          <t>C</t>
        </is>
      </c>
      <c r="FP4978" t="inlineStr">
        <is>
          <t>C</t>
        </is>
      </c>
    </row>
    <row r="4979">
      <c r="FC4979" t="inlineStr">
        <is>
          <t>Diccionario 5</t>
        </is>
      </c>
      <c r="FD4979" t="inlineStr">
        <is>
          <t>9925 / SXKV-97|</t>
        </is>
      </c>
      <c r="FL4979" t="inlineStr">
        <is>
          <t>C</t>
        </is>
      </c>
      <c r="FP4979" t="inlineStr">
        <is>
          <t>C</t>
        </is>
      </c>
    </row>
    <row r="4980">
      <c r="FC4980" t="inlineStr">
        <is>
          <t>Diccionario 5</t>
        </is>
      </c>
      <c r="FD4980" t="inlineStr">
        <is>
          <t>LZPV-98|</t>
        </is>
      </c>
      <c r="FL4980" t="inlineStr">
        <is>
          <t>C</t>
        </is>
      </c>
      <c r="FP4980" t="inlineStr">
        <is>
          <t>C</t>
        </is>
      </c>
    </row>
    <row r="4981">
      <c r="FC4981" t="inlineStr">
        <is>
          <t>Diccionario 5</t>
        </is>
      </c>
      <c r="FD4981" t="inlineStr">
        <is>
          <t>LZPT-49|</t>
        </is>
      </c>
      <c r="FL4981" t="inlineStr">
        <is>
          <t>C</t>
        </is>
      </c>
      <c r="FP4981" t="inlineStr">
        <is>
          <t>C</t>
        </is>
      </c>
    </row>
    <row r="4982">
      <c r="FC4982" t="inlineStr">
        <is>
          <t>Diccionario 5</t>
        </is>
      </c>
      <c r="FD4982" t="inlineStr">
        <is>
          <t>LZPW-10|</t>
        </is>
      </c>
      <c r="FL4982" t="inlineStr">
        <is>
          <t>C</t>
        </is>
      </c>
      <c r="FP4982" t="inlineStr">
        <is>
          <t>C</t>
        </is>
      </c>
    </row>
    <row r="4983">
      <c r="FC4983" t="inlineStr">
        <is>
          <t>Diccionario 5</t>
        </is>
      </c>
      <c r="FD4983" t="inlineStr">
        <is>
          <t>LZPV-99|</t>
        </is>
      </c>
      <c r="FL4983" t="inlineStr">
        <is>
          <t>C</t>
        </is>
      </c>
      <c r="FP4983" t="inlineStr">
        <is>
          <t>C</t>
        </is>
      </c>
    </row>
    <row r="4984">
      <c r="FC4984" t="inlineStr">
        <is>
          <t>Diccionario 5</t>
        </is>
      </c>
      <c r="FD4984" t="inlineStr">
        <is>
          <t>LZPG-24|</t>
        </is>
      </c>
      <c r="FL4984" t="inlineStr">
        <is>
          <t>C</t>
        </is>
      </c>
      <c r="FP4984" t="inlineStr">
        <is>
          <t>C</t>
        </is>
      </c>
    </row>
    <row r="4985">
      <c r="FC4985" t="inlineStr">
        <is>
          <t>Diccionario 5</t>
        </is>
      </c>
      <c r="FD4985" t="inlineStr">
        <is>
          <t>LZPR-98|</t>
        </is>
      </c>
      <c r="FL4985" t="inlineStr">
        <is>
          <t>C</t>
        </is>
      </c>
      <c r="FP4985" t="inlineStr">
        <is>
          <t>C</t>
        </is>
      </c>
    </row>
    <row r="4986">
      <c r="FC4986" t="inlineStr">
        <is>
          <t>Diccionario 5</t>
        </is>
      </c>
      <c r="FD4986" t="inlineStr">
        <is>
          <t>LZPT-61|</t>
        </is>
      </c>
      <c r="FL4986" t="inlineStr">
        <is>
          <t>C</t>
        </is>
      </c>
      <c r="FP4986" t="inlineStr">
        <is>
          <t>C</t>
        </is>
      </c>
    </row>
    <row r="4987">
      <c r="FC4987" t="inlineStr">
        <is>
          <t>Diccionario 5</t>
        </is>
      </c>
      <c r="FD4987" t="inlineStr">
        <is>
          <t>GCBF-43|</t>
        </is>
      </c>
      <c r="FL4987" t="inlineStr">
        <is>
          <t>C</t>
        </is>
      </c>
      <c r="FP4987" t="inlineStr">
        <is>
          <t>C</t>
        </is>
      </c>
    </row>
    <row r="4988">
      <c r="FC4988" t="inlineStr">
        <is>
          <t>Diccionario 5</t>
        </is>
      </c>
      <c r="FD4988" t="inlineStr">
        <is>
          <t>LZPT-65|</t>
        </is>
      </c>
      <c r="FL4988" t="inlineStr">
        <is>
          <t>C</t>
        </is>
      </c>
      <c r="FP4988" t="inlineStr">
        <is>
          <t>C</t>
        </is>
      </c>
    </row>
    <row r="4989">
      <c r="FC4989" t="inlineStr">
        <is>
          <t>Diccionario 5</t>
        </is>
      </c>
      <c r="FD4989" t="inlineStr">
        <is>
          <t>LZPW-20|</t>
        </is>
      </c>
      <c r="FL4989" t="inlineStr">
        <is>
          <t>C</t>
        </is>
      </c>
      <c r="FP4989" t="inlineStr">
        <is>
          <t>C</t>
        </is>
      </c>
    </row>
    <row r="4990">
      <c r="FC4990" t="inlineStr">
        <is>
          <t>Diccionario 5</t>
        </is>
      </c>
      <c r="FD4990" t="inlineStr">
        <is>
          <t>LZPS-23|</t>
        </is>
      </c>
      <c r="FL4990" t="inlineStr">
        <is>
          <t>C</t>
        </is>
      </c>
      <c r="FP4990" t="inlineStr">
        <is>
          <t>C</t>
        </is>
      </c>
    </row>
    <row r="4991">
      <c r="FC4991" t="inlineStr">
        <is>
          <t>Diccionario 5</t>
        </is>
      </c>
      <c r="FD4991" t="inlineStr">
        <is>
          <t>LXWT-96|</t>
        </is>
      </c>
      <c r="FL4991" t="inlineStr">
        <is>
          <t>C</t>
        </is>
      </c>
      <c r="FP4991" t="inlineStr">
        <is>
          <t>C</t>
        </is>
      </c>
    </row>
    <row r="4992">
      <c r="FC4992" t="inlineStr">
        <is>
          <t>Diccionario 5</t>
        </is>
      </c>
      <c r="FD4992" t="inlineStr">
        <is>
          <t>LZPR-97|</t>
        </is>
      </c>
      <c r="FL4992" t="inlineStr">
        <is>
          <t>C</t>
        </is>
      </c>
      <c r="FP4992" t="inlineStr">
        <is>
          <t>C</t>
        </is>
      </c>
    </row>
    <row r="4993">
      <c r="FC4993" t="inlineStr">
        <is>
          <t>Diccionario 5</t>
        </is>
      </c>
      <c r="FD4993" t="inlineStr">
        <is>
          <t>LZPS-10|</t>
        </is>
      </c>
      <c r="FL4993" t="inlineStr">
        <is>
          <t>C</t>
        </is>
      </c>
      <c r="FP4993" t="inlineStr">
        <is>
          <t>C</t>
        </is>
      </c>
    </row>
    <row r="4994">
      <c r="FC4994" t="inlineStr">
        <is>
          <t>Diccionario 5</t>
        </is>
      </c>
      <c r="FD4994" t="inlineStr">
        <is>
          <t>LXWT-95|</t>
        </is>
      </c>
      <c r="FL4994" t="inlineStr">
        <is>
          <t>C</t>
        </is>
      </c>
      <c r="FP4994" t="inlineStr">
        <is>
          <t>C</t>
        </is>
      </c>
    </row>
    <row r="4995">
      <c r="FC4995" t="inlineStr">
        <is>
          <t>Diccionario 5</t>
        </is>
      </c>
      <c r="FD4995" t="inlineStr">
        <is>
          <t>LXWT-82|</t>
        </is>
      </c>
      <c r="FL4995" t="inlineStr">
        <is>
          <t>C</t>
        </is>
      </c>
      <c r="FP4995" t="inlineStr">
        <is>
          <t>C</t>
        </is>
      </c>
    </row>
    <row r="4996">
      <c r="FC4996" t="inlineStr">
        <is>
          <t>Diccionario 5</t>
        </is>
      </c>
      <c r="FD4996" t="inlineStr">
        <is>
          <t>LZPT-77|</t>
        </is>
      </c>
      <c r="FL4996" t="inlineStr">
        <is>
          <t>C</t>
        </is>
      </c>
      <c r="FP4996" t="inlineStr">
        <is>
          <t>C</t>
        </is>
      </c>
    </row>
    <row r="4997">
      <c r="FC4997" t="inlineStr">
        <is>
          <t>Diccionario 5</t>
        </is>
      </c>
      <c r="FD4997" t="inlineStr">
        <is>
          <t>9951 / TBZB-24|</t>
        </is>
      </c>
      <c r="FL4997" t="inlineStr">
        <is>
          <t>C</t>
        </is>
      </c>
      <c r="FP4997" t="inlineStr">
        <is>
          <t>C</t>
        </is>
      </c>
    </row>
    <row r="4998">
      <c r="FC4998" t="inlineStr">
        <is>
          <t>Diccionario 5</t>
        </is>
      </c>
      <c r="FD4998" t="inlineStr">
        <is>
          <t>LZPT-62|</t>
        </is>
      </c>
      <c r="FL4998" t="inlineStr">
        <is>
          <t>C</t>
        </is>
      </c>
      <c r="FP4998" t="inlineStr">
        <is>
          <t>C</t>
        </is>
      </c>
    </row>
    <row r="4999">
      <c r="FC4999" t="inlineStr">
        <is>
          <t>Diccionario 5</t>
        </is>
      </c>
      <c r="FD4999" t="inlineStr">
        <is>
          <t>LZPS-17|</t>
        </is>
      </c>
      <c r="FL4999" t="inlineStr">
        <is>
          <t>C</t>
        </is>
      </c>
      <c r="FP4999" t="inlineStr">
        <is>
          <t>C</t>
        </is>
      </c>
    </row>
    <row r="5000">
      <c r="FC5000" t="inlineStr">
        <is>
          <t>Diccionario 5</t>
        </is>
      </c>
      <c r="FD5000" t="inlineStr">
        <is>
          <t>LXWT-85|</t>
        </is>
      </c>
      <c r="FL5000" t="inlineStr">
        <is>
          <t>C</t>
        </is>
      </c>
      <c r="FP5000" t="inlineStr">
        <is>
          <t>C</t>
        </is>
      </c>
    </row>
    <row r="5001">
      <c r="FC5001" t="inlineStr">
        <is>
          <t>Diccionario 5</t>
        </is>
      </c>
      <c r="FD5001" t="inlineStr">
        <is>
          <t>LZPG-16|</t>
        </is>
      </c>
      <c r="FL5001" t="inlineStr">
        <is>
          <t>C</t>
        </is>
      </c>
      <c r="FP5001" t="inlineStr">
        <is>
          <t>C</t>
        </is>
      </c>
    </row>
    <row r="5002">
      <c r="FC5002" t="inlineStr">
        <is>
          <t>Diccionario 5</t>
        </is>
      </c>
      <c r="FD5002" t="inlineStr">
        <is>
          <t>LZPS-11|</t>
        </is>
      </c>
      <c r="FL5002" t="inlineStr">
        <is>
          <t>C</t>
        </is>
      </c>
      <c r="FP5002" t="inlineStr">
        <is>
          <t>C</t>
        </is>
      </c>
    </row>
    <row r="5003">
      <c r="FC5003" t="inlineStr">
        <is>
          <t>Diccionario 5</t>
        </is>
      </c>
      <c r="FD5003" t="inlineStr">
        <is>
          <t>LZPT-59|</t>
        </is>
      </c>
      <c r="FL5003" t="inlineStr">
        <is>
          <t>C</t>
        </is>
      </c>
      <c r="FP5003" t="inlineStr">
        <is>
          <t>C</t>
        </is>
      </c>
    </row>
    <row r="5004">
      <c r="FC5004" t="inlineStr">
        <is>
          <t>Diccionario 5</t>
        </is>
      </c>
      <c r="FD5004" t="inlineStr">
        <is>
          <t>LZPS-25|</t>
        </is>
      </c>
      <c r="FL5004" t="inlineStr">
        <is>
          <t>C</t>
        </is>
      </c>
      <c r="FP5004" t="inlineStr">
        <is>
          <t>C</t>
        </is>
      </c>
    </row>
    <row r="5005">
      <c r="FC5005" t="inlineStr">
        <is>
          <t>Diccionario 5</t>
        </is>
      </c>
      <c r="FD5005" t="inlineStr">
        <is>
          <t>LZPG-27|</t>
        </is>
      </c>
      <c r="FL5005" t="inlineStr">
        <is>
          <t>C</t>
        </is>
      </c>
      <c r="FP5005" t="inlineStr">
        <is>
          <t>C</t>
        </is>
      </c>
    </row>
    <row r="5006">
      <c r="FC5006" t="inlineStr">
        <is>
          <t>Diccionario 5</t>
        </is>
      </c>
      <c r="FD5006" t="inlineStr">
        <is>
          <t>9925 / SXKV-97|</t>
        </is>
      </c>
      <c r="FL5006" t="inlineStr">
        <is>
          <t>C</t>
        </is>
      </c>
      <c r="FP5006" t="inlineStr">
        <is>
          <t>C</t>
        </is>
      </c>
    </row>
    <row r="5007">
      <c r="FC5007" t="inlineStr">
        <is>
          <t>Diccionario 5</t>
        </is>
      </c>
      <c r="FD5007" t="inlineStr">
        <is>
          <t>LZPR-93|</t>
        </is>
      </c>
      <c r="FL5007" t="inlineStr">
        <is>
          <t>C</t>
        </is>
      </c>
      <c r="FP5007" t="inlineStr">
        <is>
          <t>C</t>
        </is>
      </c>
    </row>
    <row r="5008">
      <c r="FC5008" t="inlineStr">
        <is>
          <t>Diccionario 5</t>
        </is>
      </c>
      <c r="FD5008" t="inlineStr">
        <is>
          <t>LZPW-17|</t>
        </is>
      </c>
      <c r="FL5008" t="inlineStr">
        <is>
          <t>C</t>
        </is>
      </c>
      <c r="FP5008" t="inlineStr">
        <is>
          <t>C</t>
        </is>
      </c>
    </row>
    <row r="5009">
      <c r="FC5009" t="inlineStr">
        <is>
          <t>Diccionario 5</t>
        </is>
      </c>
      <c r="FD5009" t="inlineStr">
        <is>
          <t>LZPT-49|</t>
        </is>
      </c>
      <c r="FL5009" t="inlineStr">
        <is>
          <t>C</t>
        </is>
      </c>
      <c r="FP5009" t="inlineStr">
        <is>
          <t>C</t>
        </is>
      </c>
    </row>
    <row r="5010">
      <c r="FC5010" t="inlineStr">
        <is>
          <t>Diccionario 5</t>
        </is>
      </c>
      <c r="FD5010" t="inlineStr">
        <is>
          <t>LZPG-15|</t>
        </is>
      </c>
      <c r="FL5010" t="inlineStr">
        <is>
          <t>C</t>
        </is>
      </c>
      <c r="FP5010" t="inlineStr">
        <is>
          <t>C</t>
        </is>
      </c>
    </row>
    <row r="5011">
      <c r="FC5011" t="inlineStr">
        <is>
          <t>Diccionario 5</t>
        </is>
      </c>
      <c r="FD5011" t="inlineStr">
        <is>
          <t>LZRB-84|</t>
        </is>
      </c>
      <c r="FL5011" t="inlineStr">
        <is>
          <t>C</t>
        </is>
      </c>
      <c r="FP5011" t="inlineStr">
        <is>
          <t>C</t>
        </is>
      </c>
    </row>
    <row r="5012">
      <c r="FC5012" t="inlineStr">
        <is>
          <t>Diccionario 5</t>
        </is>
      </c>
      <c r="FD5012" t="inlineStr">
        <is>
          <t>LZRB-85|</t>
        </is>
      </c>
      <c r="FL5012" t="inlineStr">
        <is>
          <t>C</t>
        </is>
      </c>
      <c r="FP5012" t="inlineStr">
        <is>
          <t>C</t>
        </is>
      </c>
    </row>
    <row r="5013">
      <c r="FC5013" t="inlineStr">
        <is>
          <t>Diccionario 5</t>
        </is>
      </c>
      <c r="FD5013" t="inlineStr">
        <is>
          <t>LZPR-98|</t>
        </is>
      </c>
      <c r="FL5013" t="inlineStr">
        <is>
          <t>C</t>
        </is>
      </c>
      <c r="FP5013" t="inlineStr">
        <is>
          <t>C</t>
        </is>
      </c>
    </row>
    <row r="5014">
      <c r="FC5014" t="inlineStr">
        <is>
          <t>Diccionario 5</t>
        </is>
      </c>
      <c r="FD5014" t="inlineStr">
        <is>
          <t>LZPG-23|</t>
        </is>
      </c>
      <c r="FL5014" t="inlineStr">
        <is>
          <t>C</t>
        </is>
      </c>
      <c r="FP5014" t="inlineStr">
        <is>
          <t>C</t>
        </is>
      </c>
    </row>
    <row r="5015">
      <c r="FC5015" t="inlineStr">
        <is>
          <t>Diccionario 5</t>
        </is>
      </c>
      <c r="FD5015" t="inlineStr">
        <is>
          <t>LXWT-83|</t>
        </is>
      </c>
      <c r="FL5015" t="inlineStr">
        <is>
          <t>C</t>
        </is>
      </c>
      <c r="FP5015" t="inlineStr">
        <is>
          <t>C</t>
        </is>
      </c>
    </row>
    <row r="5016">
      <c r="FC5016" t="inlineStr">
        <is>
          <t>Diccionario 5</t>
        </is>
      </c>
      <c r="FD5016" t="inlineStr">
        <is>
          <t>LXWT-99|</t>
        </is>
      </c>
      <c r="FL5016" t="inlineStr">
        <is>
          <t>C</t>
        </is>
      </c>
      <c r="FP5016" t="inlineStr">
        <is>
          <t>C</t>
        </is>
      </c>
    </row>
    <row r="5017">
      <c r="FC5017" t="inlineStr">
        <is>
          <t>Diccionario 5</t>
        </is>
      </c>
      <c r="FD5017" t="inlineStr">
        <is>
          <t>3020 / SFWZ-20|</t>
        </is>
      </c>
      <c r="FL5017" t="inlineStr">
        <is>
          <t>B</t>
        </is>
      </c>
      <c r="FP5017" t="inlineStr">
        <is>
          <t>B</t>
        </is>
      </c>
    </row>
    <row r="5018">
      <c r="FC5018" t="inlineStr">
        <is>
          <t>Diccionario 5</t>
        </is>
      </c>
      <c r="FD5018" t="inlineStr">
        <is>
          <t>LZPR-97|</t>
        </is>
      </c>
      <c r="FL5018" t="inlineStr">
        <is>
          <t>C</t>
        </is>
      </c>
      <c r="FP5018" t="inlineStr">
        <is>
          <t>C</t>
        </is>
      </c>
    </row>
    <row r="5019">
      <c r="FC5019" t="inlineStr">
        <is>
          <t>Diccionario 5</t>
        </is>
      </c>
      <c r="FD5019" t="inlineStr">
        <is>
          <t>LZPS-23|</t>
        </is>
      </c>
      <c r="FL5019" t="inlineStr">
        <is>
          <t>C</t>
        </is>
      </c>
      <c r="FP5019" t="inlineStr">
        <is>
          <t>C</t>
        </is>
      </c>
    </row>
    <row r="5020">
      <c r="FC5020" t="inlineStr">
        <is>
          <t>Diccionario 5</t>
        </is>
      </c>
      <c r="FD5020" t="inlineStr">
        <is>
          <t>LZPW-20|</t>
        </is>
      </c>
      <c r="FL5020" t="inlineStr">
        <is>
          <t>C</t>
        </is>
      </c>
      <c r="FP5020" t="inlineStr">
        <is>
          <t>C</t>
        </is>
      </c>
    </row>
    <row r="5021">
      <c r="FC5021" t="inlineStr">
        <is>
          <t>Diccionario 5</t>
        </is>
      </c>
      <c r="FD5021" t="inlineStr">
        <is>
          <t>LZPS-20|</t>
        </is>
      </c>
      <c r="FL5021" t="inlineStr">
        <is>
          <t>C</t>
        </is>
      </c>
      <c r="FP5021" t="inlineStr">
        <is>
          <t>C</t>
        </is>
      </c>
    </row>
    <row r="5022">
      <c r="FC5022" t="inlineStr">
        <is>
          <t>Diccionario 5</t>
        </is>
      </c>
      <c r="FD5022" t="inlineStr">
        <is>
          <t>LZPR-82|</t>
        </is>
      </c>
      <c r="FL5022" t="inlineStr">
        <is>
          <t>C</t>
        </is>
      </c>
      <c r="FP5022" t="inlineStr">
        <is>
          <t>C</t>
        </is>
      </c>
    </row>
    <row r="5023">
      <c r="FC5023" t="inlineStr">
        <is>
          <t>Diccionario 5</t>
        </is>
      </c>
      <c r="FD5023" t="inlineStr">
        <is>
          <t>LZPG-14|</t>
        </is>
      </c>
      <c r="FL5023" t="inlineStr">
        <is>
          <t>C</t>
        </is>
      </c>
      <c r="FP5023" t="inlineStr">
        <is>
          <t>C</t>
        </is>
      </c>
    </row>
    <row r="5024">
      <c r="FC5024" t="inlineStr">
        <is>
          <t>Diccionario 5</t>
        </is>
      </c>
      <c r="FD5024" t="inlineStr">
        <is>
          <t>LZPR-81|</t>
        </is>
      </c>
      <c r="FL5024" t="inlineStr">
        <is>
          <t>C</t>
        </is>
      </c>
      <c r="FP5024" t="inlineStr">
        <is>
          <t>C</t>
        </is>
      </c>
    </row>
    <row r="5025">
      <c r="FC5025" t="inlineStr">
        <is>
          <t>Diccionario 5</t>
        </is>
      </c>
      <c r="FD5025" t="inlineStr">
        <is>
          <t>LZPT-77|</t>
        </is>
      </c>
      <c r="FL5025" t="inlineStr">
        <is>
          <t>C</t>
        </is>
      </c>
      <c r="FP5025" t="inlineStr">
        <is>
          <t>C</t>
        </is>
      </c>
    </row>
    <row r="5026">
      <c r="FC5026" t="inlineStr">
        <is>
          <t>Diccionario 5</t>
        </is>
      </c>
      <c r="FD5026" t="inlineStr">
        <is>
          <t>LZPW-22|</t>
        </is>
      </c>
      <c r="FL5026" t="inlineStr">
        <is>
          <t>C</t>
        </is>
      </c>
      <c r="FP5026" t="inlineStr">
        <is>
          <t>C</t>
        </is>
      </c>
    </row>
    <row r="5027">
      <c r="FC5027" t="inlineStr">
        <is>
          <t>Diccionario 5</t>
        </is>
      </c>
      <c r="FD5027" t="inlineStr">
        <is>
          <t>LXWT-91|</t>
        </is>
      </c>
      <c r="FL5027" t="inlineStr">
        <is>
          <t>C</t>
        </is>
      </c>
      <c r="FP5027" t="inlineStr">
        <is>
          <t>C</t>
        </is>
      </c>
    </row>
    <row r="5028">
      <c r="FC5028" t="inlineStr">
        <is>
          <t>Diccionario 5</t>
        </is>
      </c>
      <c r="FD5028" t="inlineStr">
        <is>
          <t>LZPG-21|</t>
        </is>
      </c>
      <c r="FL5028" t="inlineStr">
        <is>
          <t>C</t>
        </is>
      </c>
      <c r="FP5028" t="inlineStr">
        <is>
          <t>C</t>
        </is>
      </c>
    </row>
    <row r="5029">
      <c r="FC5029" t="inlineStr">
        <is>
          <t>Diccionario 5</t>
        </is>
      </c>
      <c r="FD5029" t="inlineStr">
        <is>
          <t>LZRB-88|</t>
        </is>
      </c>
      <c r="FL5029" t="inlineStr">
        <is>
          <t>C</t>
        </is>
      </c>
      <c r="FP5029" t="inlineStr">
        <is>
          <t>C</t>
        </is>
      </c>
    </row>
    <row r="5030">
      <c r="FC5030" t="inlineStr">
        <is>
          <t>Diccionario 5</t>
        </is>
      </c>
      <c r="FD5030" t="inlineStr">
        <is>
          <t>3103 / SFWZ-78|</t>
        </is>
      </c>
      <c r="FL5030" t="inlineStr">
        <is>
          <t>B</t>
        </is>
      </c>
      <c r="FP5030" t="inlineStr">
        <is>
          <t>B</t>
        </is>
      </c>
    </row>
    <row r="5031">
      <c r="FC5031" t="inlineStr">
        <is>
          <t>Diccionario 5</t>
        </is>
      </c>
      <c r="FD5031" t="inlineStr">
        <is>
          <t>LZPR-92|</t>
        </is>
      </c>
      <c r="FL5031" t="inlineStr">
        <is>
          <t>C</t>
        </is>
      </c>
      <c r="FP5031" t="inlineStr">
        <is>
          <t>C</t>
        </is>
      </c>
    </row>
    <row r="5032">
      <c r="FC5032" t="inlineStr">
        <is>
          <t>Diccionario 5</t>
        </is>
      </c>
      <c r="FD5032" t="inlineStr">
        <is>
          <t>LZPT-59|</t>
        </is>
      </c>
      <c r="FL5032" t="inlineStr">
        <is>
          <t>C</t>
        </is>
      </c>
      <c r="FP5032" t="inlineStr">
        <is>
          <t>C</t>
        </is>
      </c>
    </row>
    <row r="5033">
      <c r="FC5033" t="inlineStr">
        <is>
          <t>Diccionario 5</t>
        </is>
      </c>
      <c r="FD5033" t="inlineStr">
        <is>
          <t>LZPG-25|</t>
        </is>
      </c>
      <c r="FL5033" t="inlineStr">
        <is>
          <t>C</t>
        </is>
      </c>
      <c r="FP5033" t="inlineStr">
        <is>
          <t>C</t>
        </is>
      </c>
    </row>
    <row r="5034">
      <c r="FC5034" t="inlineStr">
        <is>
          <t>Diccionario 5</t>
        </is>
      </c>
      <c r="FD5034" t="inlineStr">
        <is>
          <t>LZPT-47|</t>
        </is>
      </c>
      <c r="FL5034" t="inlineStr">
        <is>
          <t>C</t>
        </is>
      </c>
      <c r="FP5034" t="inlineStr">
        <is>
          <t>C</t>
        </is>
      </c>
    </row>
    <row r="5035">
      <c r="FC5035" t="inlineStr">
        <is>
          <t>Diccionario 5</t>
        </is>
      </c>
      <c r="FD5035" t="inlineStr">
        <is>
          <t>LZPT-72|</t>
        </is>
      </c>
      <c r="FL5035" t="inlineStr">
        <is>
          <t>C</t>
        </is>
      </c>
      <c r="FP5035" t="inlineStr">
        <is>
          <t>C</t>
        </is>
      </c>
    </row>
    <row r="5036">
      <c r="FC5036" t="inlineStr">
        <is>
          <t>Diccionario 5</t>
        </is>
      </c>
      <c r="FD5036" t="inlineStr">
        <is>
          <t>LZPR-94</t>
        </is>
      </c>
      <c r="FL5036" t="inlineStr">
        <is>
          <t>C</t>
        </is>
      </c>
      <c r="FP5036" t="inlineStr">
        <is>
          <t>C</t>
        </is>
      </c>
    </row>
    <row r="5037">
      <c r="FC5037" t="inlineStr">
        <is>
          <t>Diccionario 5</t>
        </is>
      </c>
      <c r="FD5037" t="inlineStr">
        <is>
          <t>LZPT-48</t>
        </is>
      </c>
      <c r="FL5037" t="inlineStr">
        <is>
          <t>C</t>
        </is>
      </c>
      <c r="FP5037" t="inlineStr">
        <is>
          <t>C</t>
        </is>
      </c>
    </row>
    <row r="5038">
      <c r="FC5038" t="inlineStr">
        <is>
          <t>Diccionario 5</t>
        </is>
      </c>
      <c r="FD5038" t="inlineStr">
        <is>
          <t>LXWT-97</t>
        </is>
      </c>
      <c r="FL5038" t="inlineStr">
        <is>
          <t>C</t>
        </is>
      </c>
      <c r="FP5038" t="inlineStr">
        <is>
          <t>C</t>
        </is>
      </c>
    </row>
    <row r="5039">
      <c r="FC5039" t="inlineStr">
        <is>
          <t>Diccionario 5</t>
        </is>
      </c>
      <c r="FD5039" t="inlineStr">
        <is>
          <t>LZPT-65</t>
        </is>
      </c>
      <c r="FL5039" t="inlineStr">
        <is>
          <t>C</t>
        </is>
      </c>
      <c r="FP5039" t="inlineStr">
        <is>
          <t>C</t>
        </is>
      </c>
    </row>
    <row r="5040">
      <c r="FC5040" t="inlineStr">
        <is>
          <t>Diccionario 5</t>
        </is>
      </c>
      <c r="FD5040" t="inlineStr">
        <is>
          <t>SXKV-98</t>
        </is>
      </c>
      <c r="FL5040" t="inlineStr">
        <is>
          <t>C</t>
        </is>
      </c>
      <c r="FP5040" t="inlineStr">
        <is>
          <t>C</t>
        </is>
      </c>
    </row>
    <row r="5041">
      <c r="FC5041" t="inlineStr">
        <is>
          <t>Diccionario 5</t>
        </is>
      </c>
      <c r="FD5041" t="inlineStr">
        <is>
          <t>GCBF-47</t>
        </is>
      </c>
      <c r="FL5041" t="inlineStr">
        <is>
          <t>C</t>
        </is>
      </c>
      <c r="FP5041" t="inlineStr">
        <is>
          <t>C</t>
        </is>
      </c>
    </row>
    <row r="5042">
      <c r="FC5042" t="inlineStr">
        <is>
          <t>Diccionario 5</t>
        </is>
      </c>
      <c r="FD5042" t="inlineStr">
        <is>
          <t>LZPG-15</t>
        </is>
      </c>
      <c r="FL5042" t="inlineStr">
        <is>
          <t>C</t>
        </is>
      </c>
      <c r="FP5042" t="inlineStr">
        <is>
          <t>C</t>
        </is>
      </c>
    </row>
    <row r="5043">
      <c r="FC5043" t="inlineStr">
        <is>
          <t>Diccionario 5</t>
        </is>
      </c>
      <c r="FD5043" t="inlineStr">
        <is>
          <t>LZPW-12|</t>
        </is>
      </c>
      <c r="FL5043" t="inlineStr">
        <is>
          <t>C</t>
        </is>
      </c>
      <c r="FP5043" t="inlineStr">
        <is>
          <t>C</t>
        </is>
      </c>
    </row>
    <row r="5044">
      <c r="FC5044" t="inlineStr">
        <is>
          <t>Diccionario 5</t>
        </is>
      </c>
      <c r="FD5044" t="inlineStr">
        <is>
          <t>LZPW-19</t>
        </is>
      </c>
      <c r="FL5044" t="inlineStr">
        <is>
          <t>C</t>
        </is>
      </c>
      <c r="FP5044" t="inlineStr">
        <is>
          <t>C</t>
        </is>
      </c>
    </row>
    <row r="5045">
      <c r="FC5045" t="inlineStr">
        <is>
          <t>Diccionario 5</t>
        </is>
      </c>
      <c r="FD5045" t="inlineStr">
        <is>
          <t>3057 / SFWB-16|</t>
        </is>
      </c>
      <c r="FL5045" t="inlineStr">
        <is>
          <t>B</t>
        </is>
      </c>
      <c r="FP5045" t="inlineStr">
        <is>
          <t>B</t>
        </is>
      </c>
    </row>
    <row r="5046">
      <c r="FC5046" t="inlineStr">
        <is>
          <t>Diccionario 5</t>
        </is>
      </c>
      <c r="FD5046" t="inlineStr">
        <is>
          <t>LZPT-71|</t>
        </is>
      </c>
      <c r="FL5046" t="inlineStr">
        <is>
          <t>C</t>
        </is>
      </c>
      <c r="FP5046" t="inlineStr">
        <is>
          <t>C</t>
        </is>
      </c>
    </row>
    <row r="5047">
      <c r="FC5047" t="inlineStr">
        <is>
          <t>Diccionario 5</t>
        </is>
      </c>
      <c r="FD5047" t="inlineStr">
        <is>
          <t>GCBF-43|</t>
        </is>
      </c>
      <c r="FL5047" t="inlineStr">
        <is>
          <t>C</t>
        </is>
      </c>
      <c r="FP5047" t="inlineStr">
        <is>
          <t>C</t>
        </is>
      </c>
    </row>
    <row r="5048">
      <c r="FC5048" t="inlineStr">
        <is>
          <t>Diccionario 5</t>
        </is>
      </c>
      <c r="FD5048" t="inlineStr">
        <is>
          <t>LXWT-95|</t>
        </is>
      </c>
      <c r="FL5048" t="inlineStr">
        <is>
          <t>C</t>
        </is>
      </c>
      <c r="FP5048" t="inlineStr">
        <is>
          <t>C</t>
        </is>
      </c>
    </row>
    <row r="5049">
      <c r="FC5049" t="inlineStr">
        <is>
          <t>Diccionario 5</t>
        </is>
      </c>
      <c r="FD5049" t="inlineStr">
        <is>
          <t>LZPR-87|</t>
        </is>
      </c>
      <c r="FL5049" t="inlineStr">
        <is>
          <t>C</t>
        </is>
      </c>
      <c r="FP5049" t="inlineStr">
        <is>
          <t>C</t>
        </is>
      </c>
    </row>
    <row r="5050">
      <c r="FC5050" t="inlineStr">
        <is>
          <t>Diccionario 5</t>
        </is>
      </c>
      <c r="FD5050" t="inlineStr">
        <is>
          <t>LXWT-82|</t>
        </is>
      </c>
      <c r="FL5050" t="inlineStr">
        <is>
          <t>C</t>
        </is>
      </c>
      <c r="FP5050" t="inlineStr">
        <is>
          <t>C</t>
        </is>
      </c>
    </row>
    <row r="5051">
      <c r="FC5051" t="inlineStr">
        <is>
          <t>Diccionario 5</t>
        </is>
      </c>
      <c r="FD5051" t="inlineStr">
        <is>
          <t>GCBF-46|</t>
        </is>
      </c>
      <c r="FL5051" t="inlineStr">
        <is>
          <t>C</t>
        </is>
      </c>
      <c r="FP5051" t="inlineStr">
        <is>
          <t>C</t>
        </is>
      </c>
    </row>
    <row r="5052">
      <c r="FC5052" t="inlineStr">
        <is>
          <t>Diccionario 5</t>
        </is>
      </c>
      <c r="FD5052" t="inlineStr">
        <is>
          <t>LZPS-24|</t>
        </is>
      </c>
      <c r="FL5052" t="inlineStr">
        <is>
          <t>C</t>
        </is>
      </c>
      <c r="FP5052" t="inlineStr">
        <is>
          <t>C</t>
        </is>
      </c>
    </row>
    <row r="5053">
      <c r="FC5053" t="inlineStr">
        <is>
          <t>Diccionario 5</t>
        </is>
      </c>
      <c r="FD5053" t="inlineStr">
        <is>
          <t>LZPG-20|</t>
        </is>
      </c>
      <c r="FL5053" t="inlineStr">
        <is>
          <t>C</t>
        </is>
      </c>
      <c r="FP5053" t="inlineStr">
        <is>
          <t>C</t>
        </is>
      </c>
    </row>
    <row r="5054">
      <c r="FC5054" t="inlineStr">
        <is>
          <t>Diccionario 5</t>
        </is>
      </c>
      <c r="FD5054" t="inlineStr">
        <is>
          <t>LZPS-17|</t>
        </is>
      </c>
      <c r="FL5054" t="inlineStr">
        <is>
          <t>C</t>
        </is>
      </c>
      <c r="FP5054" t="inlineStr">
        <is>
          <t>C</t>
        </is>
      </c>
    </row>
    <row r="5055">
      <c r="FC5055" t="inlineStr">
        <is>
          <t>Diccionario 5</t>
        </is>
      </c>
      <c r="FD5055" t="inlineStr">
        <is>
          <t>LZPG-14|</t>
        </is>
      </c>
      <c r="FL5055" t="inlineStr">
        <is>
          <t>C</t>
        </is>
      </c>
      <c r="FP5055" t="inlineStr">
        <is>
          <t>C</t>
        </is>
      </c>
    </row>
    <row r="5056">
      <c r="FC5056" t="inlineStr">
        <is>
          <t>Diccionario 5</t>
        </is>
      </c>
      <c r="FD5056" t="inlineStr">
        <is>
          <t>LZPG-27|</t>
        </is>
      </c>
      <c r="FL5056" t="inlineStr">
        <is>
          <t>C</t>
        </is>
      </c>
      <c r="FP5056" t="inlineStr">
        <is>
          <t>C</t>
        </is>
      </c>
    </row>
    <row r="5057">
      <c r="FC5057" t="inlineStr">
        <is>
          <t>Diccionario 5</t>
        </is>
      </c>
      <c r="FD5057" t="inlineStr">
        <is>
          <t>LZPW-11|</t>
        </is>
      </c>
      <c r="FL5057" t="inlineStr">
        <is>
          <t>C</t>
        </is>
      </c>
      <c r="FP5057" t="inlineStr">
        <is>
          <t>C</t>
        </is>
      </c>
    </row>
    <row r="5058">
      <c r="FC5058" t="inlineStr">
        <is>
          <t>Diccionario 5</t>
        </is>
      </c>
      <c r="FD5058" t="inlineStr">
        <is>
          <t>LZRB-86|</t>
        </is>
      </c>
      <c r="FL5058" t="inlineStr">
        <is>
          <t>C</t>
        </is>
      </c>
      <c r="FP5058" t="inlineStr">
        <is>
          <t>C</t>
        </is>
      </c>
    </row>
    <row r="5059">
      <c r="FC5059" t="inlineStr">
        <is>
          <t>Diccionario 5</t>
        </is>
      </c>
      <c r="FD5059" t="inlineStr">
        <is>
          <t>LZPT-55|</t>
        </is>
      </c>
      <c r="FL5059" t="inlineStr">
        <is>
          <t>C</t>
        </is>
      </c>
      <c r="FP5059" t="inlineStr">
        <is>
          <t>C</t>
        </is>
      </c>
    </row>
    <row r="5060">
      <c r="FC5060" t="inlineStr">
        <is>
          <t>Diccionario 5</t>
        </is>
      </c>
      <c r="FD5060" t="inlineStr">
        <is>
          <t>LZPS-18|</t>
        </is>
      </c>
      <c r="FL5060" t="inlineStr">
        <is>
          <t>C</t>
        </is>
      </c>
      <c r="FP5060" t="inlineStr">
        <is>
          <t>C</t>
        </is>
      </c>
    </row>
    <row r="5061">
      <c r="FC5061" t="inlineStr">
        <is>
          <t>Diccionario 5</t>
        </is>
      </c>
      <c r="FD5061" t="inlineStr">
        <is>
          <t>LXWT-91|</t>
        </is>
      </c>
      <c r="FL5061" t="inlineStr">
        <is>
          <t>C</t>
        </is>
      </c>
      <c r="FP5061" t="inlineStr">
        <is>
          <t>C</t>
        </is>
      </c>
    </row>
    <row r="5062">
      <c r="FC5062" t="inlineStr">
        <is>
          <t>Diccionario 5</t>
        </is>
      </c>
      <c r="FD5062" t="inlineStr">
        <is>
          <t>LXWT-83|</t>
        </is>
      </c>
      <c r="FL5062" t="inlineStr">
        <is>
          <t>C</t>
        </is>
      </c>
      <c r="FP5062" t="inlineStr">
        <is>
          <t>C</t>
        </is>
      </c>
    </row>
    <row r="5063">
      <c r="FC5063" t="inlineStr">
        <is>
          <t>Diccionario 5</t>
        </is>
      </c>
      <c r="FD5063" t="inlineStr">
        <is>
          <t>LZPR-84|</t>
        </is>
      </c>
      <c r="FL5063" t="inlineStr">
        <is>
          <t>C</t>
        </is>
      </c>
      <c r="FP5063" t="inlineStr">
        <is>
          <t>C</t>
        </is>
      </c>
    </row>
    <row r="5064">
      <c r="FC5064" t="inlineStr">
        <is>
          <t>Diccionario 5</t>
        </is>
      </c>
      <c r="FD5064" t="inlineStr">
        <is>
          <t>LZPW-15|</t>
        </is>
      </c>
      <c r="FL5064" t="inlineStr">
        <is>
          <t>C</t>
        </is>
      </c>
      <c r="FP5064" t="inlineStr">
        <is>
          <t>C</t>
        </is>
      </c>
    </row>
    <row r="5065">
      <c r="FC5065" t="inlineStr">
        <is>
          <t>Diccionario 5</t>
        </is>
      </c>
      <c r="FD5065" t="inlineStr">
        <is>
          <t>LZPT-41|</t>
        </is>
      </c>
      <c r="FL5065" t="inlineStr">
        <is>
          <t>C</t>
        </is>
      </c>
      <c r="FP5065" t="inlineStr">
        <is>
          <t>C</t>
        </is>
      </c>
    </row>
    <row r="5066">
      <c r="FC5066" t="inlineStr">
        <is>
          <t>Diccionario 5</t>
        </is>
      </c>
      <c r="FD5066" t="inlineStr">
        <is>
          <t>LZPG-12|</t>
        </is>
      </c>
      <c r="FL5066" t="inlineStr">
        <is>
          <t>C</t>
        </is>
      </c>
      <c r="FP5066" t="inlineStr">
        <is>
          <t>C</t>
        </is>
      </c>
    </row>
    <row r="5067">
      <c r="FC5067" t="inlineStr">
        <is>
          <t>Diccionario 5</t>
        </is>
      </c>
      <c r="FD5067" t="inlineStr">
        <is>
          <t>LZPS-25|</t>
        </is>
      </c>
      <c r="FL5067" t="inlineStr">
        <is>
          <t>C</t>
        </is>
      </c>
      <c r="FP5067" t="inlineStr">
        <is>
          <t>C</t>
        </is>
      </c>
    </row>
    <row r="5068">
      <c r="FC5068" t="inlineStr">
        <is>
          <t>Diccionario 5</t>
        </is>
      </c>
      <c r="FD5068" t="inlineStr">
        <is>
          <t>LZPR-92|</t>
        </is>
      </c>
      <c r="FL5068" t="inlineStr">
        <is>
          <t>C</t>
        </is>
      </c>
      <c r="FP5068" t="inlineStr">
        <is>
          <t>C</t>
        </is>
      </c>
    </row>
    <row r="5069">
      <c r="FC5069" t="inlineStr">
        <is>
          <t>Diccionario 5</t>
        </is>
      </c>
      <c r="FD5069" t="inlineStr">
        <is>
          <t>LXWT-87|</t>
        </is>
      </c>
      <c r="FL5069" t="inlineStr">
        <is>
          <t>C</t>
        </is>
      </c>
      <c r="FP5069" t="inlineStr">
        <is>
          <t>C</t>
        </is>
      </c>
    </row>
    <row r="5070">
      <c r="FC5070" t="inlineStr">
        <is>
          <t>Diccionario 5</t>
        </is>
      </c>
      <c r="FD5070" t="inlineStr">
        <is>
          <t>VJXC-42|</t>
        </is>
      </c>
      <c r="FL5070" t="inlineStr">
        <is>
          <t>B</t>
        </is>
      </c>
      <c r="FP5070" t="inlineStr">
        <is>
          <t>B</t>
        </is>
      </c>
    </row>
    <row r="5071">
      <c r="FC5071" t="inlineStr">
        <is>
          <t>Diccionario 5</t>
        </is>
      </c>
      <c r="FD5071" t="inlineStr">
        <is>
          <t>LZRB-85|</t>
        </is>
      </c>
      <c r="FL5071" t="inlineStr">
        <is>
          <t>C</t>
        </is>
      </c>
      <c r="FP5071" t="inlineStr">
        <is>
          <t>C</t>
        </is>
      </c>
    </row>
    <row r="5072">
      <c r="FC5072" t="inlineStr">
        <is>
          <t>Diccionario 5</t>
        </is>
      </c>
      <c r="FD5072" t="inlineStr">
        <is>
          <t>LZPT-48|</t>
        </is>
      </c>
      <c r="FL5072" t="inlineStr">
        <is>
          <t>C</t>
        </is>
      </c>
      <c r="FP5072" t="inlineStr">
        <is>
          <t>C</t>
        </is>
      </c>
    </row>
    <row r="5073">
      <c r="FC5073" t="inlineStr">
        <is>
          <t>Diccionario 5</t>
        </is>
      </c>
      <c r="FD5073" t="inlineStr">
        <is>
          <t>LZPG-15|</t>
        </is>
      </c>
      <c r="FL5073" t="inlineStr">
        <is>
          <t>C</t>
        </is>
      </c>
      <c r="FP5073" t="inlineStr">
        <is>
          <t>C</t>
        </is>
      </c>
    </row>
    <row r="5074">
      <c r="FC5074" t="inlineStr">
        <is>
          <t>Diccionario 5</t>
        </is>
      </c>
      <c r="FD5074" t="inlineStr">
        <is>
          <t>LZPG-26|</t>
        </is>
      </c>
      <c r="FL5074" t="inlineStr">
        <is>
          <t>C</t>
        </is>
      </c>
      <c r="FP5074" t="inlineStr">
        <is>
          <t>C</t>
        </is>
      </c>
    </row>
    <row r="5075">
      <c r="FC5075" t="inlineStr">
        <is>
          <t>Diccionario 5</t>
        </is>
      </c>
      <c r="FD5075" t="inlineStr">
        <is>
          <t>LZPR-86|</t>
        </is>
      </c>
      <c r="FL5075" t="inlineStr">
        <is>
          <t>C</t>
        </is>
      </c>
      <c r="FP5075" t="inlineStr">
        <is>
          <t>C</t>
        </is>
      </c>
    </row>
    <row r="5076">
      <c r="FC5076" t="inlineStr">
        <is>
          <t>Diccionario 5</t>
        </is>
      </c>
      <c r="FD5076" t="inlineStr">
        <is>
          <t>LXWT-97|</t>
        </is>
      </c>
      <c r="FL5076" t="inlineStr">
        <is>
          <t>C</t>
        </is>
      </c>
      <c r="FP5076" t="inlineStr">
        <is>
          <t>C</t>
        </is>
      </c>
    </row>
    <row r="5077">
      <c r="FC5077" t="inlineStr">
        <is>
          <t>Diccionario 5</t>
        </is>
      </c>
      <c r="FD5077" t="inlineStr">
        <is>
          <t>LZPT-45|</t>
        </is>
      </c>
      <c r="FL5077" t="inlineStr">
        <is>
          <t>C</t>
        </is>
      </c>
      <c r="FP5077" t="inlineStr">
        <is>
          <t>C</t>
        </is>
      </c>
    </row>
    <row r="5078">
      <c r="FC5078" t="inlineStr">
        <is>
          <t>Diccionario 5</t>
        </is>
      </c>
      <c r="FD5078" t="inlineStr">
        <is>
          <t>LZPR-96|</t>
        </is>
      </c>
      <c r="FL5078" t="inlineStr">
        <is>
          <t>C</t>
        </is>
      </c>
      <c r="FP5078" t="inlineStr">
        <is>
          <t>C</t>
        </is>
      </c>
    </row>
    <row r="5079">
      <c r="FC5079" t="inlineStr">
        <is>
          <t>Diccionario 5</t>
        </is>
      </c>
      <c r="FD5079" t="inlineStr">
        <is>
          <t>LXWT-84|</t>
        </is>
      </c>
      <c r="FL5079" t="inlineStr">
        <is>
          <t>C</t>
        </is>
      </c>
      <c r="FP5079" t="inlineStr">
        <is>
          <t>C</t>
        </is>
      </c>
    </row>
    <row r="5080">
      <c r="FC5080" t="inlineStr">
        <is>
          <t>Diccionario 5</t>
        </is>
      </c>
      <c r="FD5080" t="inlineStr">
        <is>
          <t>LZPT-74|</t>
        </is>
      </c>
      <c r="FL5080" t="inlineStr">
        <is>
          <t>C</t>
        </is>
      </c>
      <c r="FP5080" t="inlineStr">
        <is>
          <t>C</t>
        </is>
      </c>
    </row>
    <row r="5081">
      <c r="FC5081" t="inlineStr">
        <is>
          <t>Diccionario 5</t>
        </is>
      </c>
      <c r="FD5081" t="inlineStr">
        <is>
          <t>LZPG-23|</t>
        </is>
      </c>
      <c r="FL5081" t="inlineStr">
        <is>
          <t>C</t>
        </is>
      </c>
      <c r="FP5081" t="inlineStr">
        <is>
          <t>C</t>
        </is>
      </c>
    </row>
    <row r="5082">
      <c r="FC5082" t="inlineStr">
        <is>
          <t>Diccionario 5</t>
        </is>
      </c>
      <c r="FD5082" t="inlineStr">
        <is>
          <t>LZPS-15|</t>
        </is>
      </c>
      <c r="FL5082" t="inlineStr">
        <is>
          <t>C</t>
        </is>
      </c>
      <c r="FP5082" t="inlineStr">
        <is>
          <t>C</t>
        </is>
      </c>
    </row>
    <row r="5083">
      <c r="FC5083" t="inlineStr">
        <is>
          <t>Diccionario 5</t>
        </is>
      </c>
      <c r="FD5083" t="inlineStr">
        <is>
          <t>GCBF-50|</t>
        </is>
      </c>
      <c r="FL5083" t="inlineStr">
        <is>
          <t>C</t>
        </is>
      </c>
      <c r="FP5083" t="inlineStr">
        <is>
          <t>C</t>
        </is>
      </c>
    </row>
    <row r="5084">
      <c r="FC5084" t="inlineStr">
        <is>
          <t>Diccionario 5</t>
        </is>
      </c>
      <c r="FD5084" t="inlineStr">
        <is>
          <t>GCBF-43|</t>
        </is>
      </c>
      <c r="FL5084" t="inlineStr">
        <is>
          <t>C</t>
        </is>
      </c>
      <c r="FP5084" t="inlineStr">
        <is>
          <t>C</t>
        </is>
      </c>
    </row>
    <row r="5085">
      <c r="FC5085" t="inlineStr">
        <is>
          <t>Diccionario 5</t>
        </is>
      </c>
      <c r="FD5085" t="inlineStr">
        <is>
          <t>LXWT-82|</t>
        </is>
      </c>
      <c r="FL5085" t="inlineStr">
        <is>
          <t>C</t>
        </is>
      </c>
      <c r="FP5085" t="inlineStr">
        <is>
          <t>C</t>
        </is>
      </c>
    </row>
    <row r="5086">
      <c r="FC5086" t="inlineStr">
        <is>
          <t>Diccionario 5</t>
        </is>
      </c>
      <c r="FD5086" t="inlineStr">
        <is>
          <t>LZPT-57|</t>
        </is>
      </c>
      <c r="FL5086" t="inlineStr">
        <is>
          <t>C</t>
        </is>
      </c>
      <c r="FP5086" t="inlineStr">
        <is>
          <t>C</t>
        </is>
      </c>
    </row>
    <row r="5087">
      <c r="FC5087" t="inlineStr">
        <is>
          <t>Diccionario 5</t>
        </is>
      </c>
      <c r="FD5087" t="inlineStr">
        <is>
          <t>LXWT-94|</t>
        </is>
      </c>
      <c r="FL5087" t="inlineStr">
        <is>
          <t>C</t>
        </is>
      </c>
      <c r="FP5087" t="inlineStr">
        <is>
          <t>C</t>
        </is>
      </c>
    </row>
    <row r="5088">
      <c r="FC5088" t="inlineStr">
        <is>
          <t>Diccionario 5</t>
        </is>
      </c>
      <c r="FD5088" t="inlineStr">
        <is>
          <t>3062 / SFWZ-10|</t>
        </is>
      </c>
      <c r="FL5088" t="inlineStr">
        <is>
          <t>B</t>
        </is>
      </c>
      <c r="FP5088" t="inlineStr">
        <is>
          <t>B</t>
        </is>
      </c>
    </row>
    <row r="5089">
      <c r="FC5089" t="inlineStr">
        <is>
          <t>Diccionario 5</t>
        </is>
      </c>
      <c r="FD5089" t="inlineStr">
        <is>
          <t>LZPG-13|</t>
        </is>
      </c>
      <c r="FL5089" t="inlineStr">
        <is>
          <t>C</t>
        </is>
      </c>
      <c r="FP5089" t="inlineStr">
        <is>
          <t>C</t>
        </is>
      </c>
    </row>
    <row r="5090">
      <c r="FC5090" t="inlineStr">
        <is>
          <t>Diccionario 5</t>
        </is>
      </c>
      <c r="FD5090" t="inlineStr">
        <is>
          <t>LZPT-73|</t>
        </is>
      </c>
      <c r="FL5090" t="inlineStr">
        <is>
          <t>C</t>
        </is>
      </c>
      <c r="FP5090" t="inlineStr">
        <is>
          <t>C</t>
        </is>
      </c>
    </row>
    <row r="5091">
      <c r="FC5091" t="inlineStr">
        <is>
          <t>Diccionario 5</t>
        </is>
      </c>
      <c r="FD5091" t="inlineStr">
        <is>
          <t>LZPW-17|</t>
        </is>
      </c>
      <c r="FL5091" t="inlineStr">
        <is>
          <t>C</t>
        </is>
      </c>
      <c r="FP5091" t="inlineStr">
        <is>
          <t>C</t>
        </is>
      </c>
    </row>
    <row r="5092">
      <c r="FC5092" t="inlineStr">
        <is>
          <t>Diccionario 5</t>
        </is>
      </c>
      <c r="FD5092" t="inlineStr">
        <is>
          <t>LZPT-55|</t>
        </is>
      </c>
      <c r="FL5092" t="inlineStr">
        <is>
          <t>C</t>
        </is>
      </c>
      <c r="FP5092" t="inlineStr">
        <is>
          <t>C</t>
        </is>
      </c>
    </row>
    <row r="5093">
      <c r="FC5093" t="inlineStr">
        <is>
          <t>Diccionario 5</t>
        </is>
      </c>
      <c r="FD5093" t="inlineStr">
        <is>
          <t>LZRB-88|</t>
        </is>
      </c>
      <c r="FL5093" t="inlineStr">
        <is>
          <t>C</t>
        </is>
      </c>
      <c r="FP5093" t="inlineStr">
        <is>
          <t>C</t>
        </is>
      </c>
    </row>
    <row r="5094">
      <c r="FC5094" t="inlineStr">
        <is>
          <t>Diccionario 5</t>
        </is>
      </c>
      <c r="FD5094" t="inlineStr">
        <is>
          <t>LXWT-95|</t>
        </is>
      </c>
      <c r="FL5094" t="inlineStr">
        <is>
          <t>C</t>
        </is>
      </c>
      <c r="FP5094" t="inlineStr">
        <is>
          <t>C</t>
        </is>
      </c>
    </row>
    <row r="5095">
      <c r="FC5095" t="inlineStr">
        <is>
          <t>Diccionario 5</t>
        </is>
      </c>
      <c r="FD5095" t="inlineStr">
        <is>
          <t>LZPR-84|</t>
        </is>
      </c>
      <c r="FL5095" t="inlineStr">
        <is>
          <t>C</t>
        </is>
      </c>
      <c r="FP5095" t="inlineStr">
        <is>
          <t>C</t>
        </is>
      </c>
    </row>
    <row r="5096">
      <c r="FC5096" t="inlineStr">
        <is>
          <t>Diccionario 5</t>
        </is>
      </c>
      <c r="FD5096" t="inlineStr">
        <is>
          <t>LXWT-91|</t>
        </is>
      </c>
      <c r="FL5096" t="inlineStr">
        <is>
          <t>C</t>
        </is>
      </c>
      <c r="FP5096" t="inlineStr">
        <is>
          <t>C</t>
        </is>
      </c>
    </row>
    <row r="5097">
      <c r="FC5097" t="inlineStr">
        <is>
          <t>Diccionario 5</t>
        </is>
      </c>
      <c r="FD5097" t="inlineStr">
        <is>
          <t>LZPW-15|</t>
        </is>
      </c>
      <c r="FL5097" t="inlineStr">
        <is>
          <t>C</t>
        </is>
      </c>
      <c r="FP5097" t="inlineStr">
        <is>
          <t>C</t>
        </is>
      </c>
    </row>
    <row r="5098">
      <c r="FC5098" t="inlineStr">
        <is>
          <t>Diccionario 5</t>
        </is>
      </c>
      <c r="FD5098" t="inlineStr">
        <is>
          <t>LZPT-44|</t>
        </is>
      </c>
      <c r="FL5098" t="inlineStr">
        <is>
          <t>C</t>
        </is>
      </c>
      <c r="FP5098" t="inlineStr">
        <is>
          <t>C</t>
        </is>
      </c>
    </row>
    <row r="5099">
      <c r="FC5099" t="inlineStr">
        <is>
          <t>Diccionario 5</t>
        </is>
      </c>
      <c r="FD5099" t="inlineStr">
        <is>
          <t>LZPT-41|</t>
        </is>
      </c>
      <c r="FL5099" t="inlineStr">
        <is>
          <t>C</t>
        </is>
      </c>
      <c r="FP5099" t="inlineStr">
        <is>
          <t>C</t>
        </is>
      </c>
    </row>
    <row r="5100">
      <c r="FC5100" t="inlineStr">
        <is>
          <t>Diccionario 5</t>
        </is>
      </c>
      <c r="FD5100" t="inlineStr">
        <is>
          <t>LZPT-72|</t>
        </is>
      </c>
      <c r="FL5100" t="inlineStr">
        <is>
          <t>C</t>
        </is>
      </c>
      <c r="FP5100" t="inlineStr">
        <is>
          <t>C</t>
        </is>
      </c>
    </row>
    <row r="5101">
      <c r="FC5101" t="inlineStr">
        <is>
          <t>Diccionario 5</t>
        </is>
      </c>
      <c r="FD5101" t="inlineStr">
        <is>
          <t>LZPG-25|</t>
        </is>
      </c>
      <c r="FL5101" t="inlineStr">
        <is>
          <t>C</t>
        </is>
      </c>
      <c r="FP5101" t="inlineStr">
        <is>
          <t>C</t>
        </is>
      </c>
    </row>
    <row r="5102">
      <c r="FC5102" t="inlineStr">
        <is>
          <t>Diccionario 5</t>
        </is>
      </c>
      <c r="FD5102" t="inlineStr">
        <is>
          <t>LZRB-85|</t>
        </is>
      </c>
      <c r="FL5102" t="inlineStr">
        <is>
          <t>C</t>
        </is>
      </c>
      <c r="FP5102" t="inlineStr">
        <is>
          <t>C</t>
        </is>
      </c>
    </row>
    <row r="5103">
      <c r="FC5103" t="inlineStr">
        <is>
          <t>Diccionario 5</t>
        </is>
      </c>
      <c r="FD5103" t="inlineStr">
        <is>
          <t>LZPW-22|</t>
        </is>
      </c>
      <c r="FL5103" t="inlineStr">
        <is>
          <t>C</t>
        </is>
      </c>
      <c r="FP5103" t="inlineStr">
        <is>
          <t>C</t>
        </is>
      </c>
    </row>
    <row r="5104">
      <c r="FC5104" t="inlineStr">
        <is>
          <t>Diccionario 5</t>
        </is>
      </c>
      <c r="FD5104" t="inlineStr">
        <is>
          <t>LZPR-92|</t>
        </is>
      </c>
      <c r="FL5104" t="inlineStr">
        <is>
          <t>C</t>
        </is>
      </c>
      <c r="FP5104" t="inlineStr">
        <is>
          <t>C</t>
        </is>
      </c>
    </row>
    <row r="5105">
      <c r="FC5105" t="inlineStr">
        <is>
          <t>Diccionario 5</t>
        </is>
      </c>
      <c r="FD5105" t="inlineStr">
        <is>
          <t>LZPR-80|</t>
        </is>
      </c>
      <c r="FL5105" t="inlineStr">
        <is>
          <t>C</t>
        </is>
      </c>
      <c r="FP5105" t="inlineStr">
        <is>
          <t>C</t>
        </is>
      </c>
    </row>
    <row r="5106">
      <c r="FC5106" t="inlineStr">
        <is>
          <t>Diccionario 5</t>
        </is>
      </c>
      <c r="FD5106" t="inlineStr">
        <is>
          <t>GCBF-47|</t>
        </is>
      </c>
      <c r="FL5106" t="inlineStr">
        <is>
          <t>C</t>
        </is>
      </c>
      <c r="FP5106" t="inlineStr">
        <is>
          <t>C</t>
        </is>
      </c>
    </row>
    <row r="5107">
      <c r="FC5107" t="inlineStr">
        <is>
          <t>Diccionario 5</t>
        </is>
      </c>
      <c r="FD5107" t="inlineStr">
        <is>
          <t>LZPV-99|</t>
        </is>
      </c>
      <c r="FL5107" t="inlineStr">
        <is>
          <t>C</t>
        </is>
      </c>
      <c r="FP5107" t="inlineStr">
        <is>
          <t>C</t>
        </is>
      </c>
    </row>
    <row r="5108">
      <c r="FC5108" t="inlineStr">
        <is>
          <t>Diccionario 5</t>
        </is>
      </c>
      <c r="FD5108" t="inlineStr">
        <is>
          <t>LZPG-15|</t>
        </is>
      </c>
      <c r="FL5108" t="inlineStr">
        <is>
          <t>C</t>
        </is>
      </c>
      <c r="FP5108" t="inlineStr">
        <is>
          <t>C</t>
        </is>
      </c>
    </row>
    <row r="5109">
      <c r="FC5109" t="inlineStr">
        <is>
          <t>Diccionario 5</t>
        </is>
      </c>
      <c r="FD5109" t="inlineStr">
        <is>
          <t>LZPS-16|</t>
        </is>
      </c>
      <c r="FL5109" t="inlineStr">
        <is>
          <t>C</t>
        </is>
      </c>
      <c r="FP5109" t="inlineStr">
        <is>
          <t>C</t>
        </is>
      </c>
    </row>
    <row r="5110">
      <c r="FC5110" t="inlineStr">
        <is>
          <t>Diccionario 5</t>
        </is>
      </c>
      <c r="FD5110" t="inlineStr">
        <is>
          <t>GCBF-43|</t>
        </is>
      </c>
      <c r="FL5110" t="inlineStr">
        <is>
          <t>C</t>
        </is>
      </c>
      <c r="FP5110" t="inlineStr">
        <is>
          <t>C</t>
        </is>
      </c>
    </row>
    <row r="5111">
      <c r="FC5111" t="inlineStr">
        <is>
          <t>Diccionario 5</t>
        </is>
      </c>
      <c r="FD5111" t="inlineStr">
        <is>
          <t>LZPS-23|</t>
        </is>
      </c>
      <c r="FL5111" t="inlineStr">
        <is>
          <t>C</t>
        </is>
      </c>
      <c r="FP5111" t="inlineStr">
        <is>
          <t>C</t>
        </is>
      </c>
    </row>
    <row r="5112">
      <c r="FC5112" t="inlineStr">
        <is>
          <t>Diccionario 5</t>
        </is>
      </c>
      <c r="FD5112" t="inlineStr">
        <is>
          <t>LZPW-20|</t>
        </is>
      </c>
      <c r="FL5112" t="inlineStr">
        <is>
          <t>C</t>
        </is>
      </c>
      <c r="FP5112" t="inlineStr">
        <is>
          <t>C</t>
        </is>
      </c>
    </row>
    <row r="5113">
      <c r="FC5113" t="inlineStr">
        <is>
          <t>Diccionario 5</t>
        </is>
      </c>
      <c r="FD5113" t="inlineStr">
        <is>
          <t>LXWT-96|</t>
        </is>
      </c>
      <c r="FL5113" t="inlineStr">
        <is>
          <t>C</t>
        </is>
      </c>
      <c r="FP5113" t="inlineStr">
        <is>
          <t>C</t>
        </is>
      </c>
    </row>
    <row r="5114">
      <c r="FC5114" t="inlineStr">
        <is>
          <t>Diccionario 5</t>
        </is>
      </c>
      <c r="FD5114" t="inlineStr">
        <is>
          <t>LZPS-10|</t>
        </is>
      </c>
      <c r="FL5114" t="inlineStr">
        <is>
          <t>C</t>
        </is>
      </c>
      <c r="FP5114" t="inlineStr">
        <is>
          <t>C</t>
        </is>
      </c>
    </row>
    <row r="5115">
      <c r="FC5115" t="inlineStr">
        <is>
          <t>Diccionario 5</t>
        </is>
      </c>
      <c r="FD5115" t="inlineStr">
        <is>
          <t>LZPR-97|</t>
        </is>
      </c>
      <c r="FL5115" t="inlineStr">
        <is>
          <t>C</t>
        </is>
      </c>
      <c r="FP5115" t="inlineStr">
        <is>
          <t>C</t>
        </is>
      </c>
    </row>
    <row r="5116">
      <c r="FC5116" t="inlineStr">
        <is>
          <t>Diccionario 5</t>
        </is>
      </c>
      <c r="FD5116" t="inlineStr">
        <is>
          <t>LXWT-95|</t>
        </is>
      </c>
      <c r="FL5116" t="inlineStr">
        <is>
          <t>C</t>
        </is>
      </c>
      <c r="FP5116" t="inlineStr">
        <is>
          <t>C</t>
        </is>
      </c>
    </row>
    <row r="5117">
      <c r="FC5117" t="inlineStr">
        <is>
          <t>Diccionario 5</t>
        </is>
      </c>
      <c r="FD5117" t="inlineStr">
        <is>
          <t>LZPT-77|</t>
        </is>
      </c>
      <c r="FL5117" t="inlineStr">
        <is>
          <t>C</t>
        </is>
      </c>
      <c r="FP5117" t="inlineStr">
        <is>
          <t>C</t>
        </is>
      </c>
    </row>
    <row r="5118">
      <c r="FC5118" t="inlineStr">
        <is>
          <t>Diccionario 5</t>
        </is>
      </c>
      <c r="FD5118" t="inlineStr">
        <is>
          <t>LZPT-62|</t>
        </is>
      </c>
      <c r="FL5118" t="inlineStr">
        <is>
          <t>C</t>
        </is>
      </c>
      <c r="FP5118" t="inlineStr">
        <is>
          <t>C</t>
        </is>
      </c>
    </row>
    <row r="5119">
      <c r="FC5119" t="inlineStr">
        <is>
          <t>Diccionario 5</t>
        </is>
      </c>
      <c r="FD5119" t="inlineStr">
        <is>
          <t>LXWT-85|</t>
        </is>
      </c>
      <c r="FL5119" t="inlineStr">
        <is>
          <t>C</t>
        </is>
      </c>
      <c r="FP5119" t="inlineStr">
        <is>
          <t>C</t>
        </is>
      </c>
    </row>
    <row r="5120">
      <c r="FC5120" t="inlineStr">
        <is>
          <t>Diccionario 5</t>
        </is>
      </c>
      <c r="FD5120" t="inlineStr">
        <is>
          <t>9951 / TBZB-24|</t>
        </is>
      </c>
      <c r="FL5120" t="inlineStr">
        <is>
          <t>C</t>
        </is>
      </c>
      <c r="FP5120" t="inlineStr">
        <is>
          <t>C</t>
        </is>
      </c>
    </row>
    <row r="5121">
      <c r="FC5121" t="inlineStr">
        <is>
          <t>Diccionario 5</t>
        </is>
      </c>
      <c r="FD5121" t="inlineStr">
        <is>
          <t>LZPS-11|</t>
        </is>
      </c>
      <c r="FL5121" t="inlineStr">
        <is>
          <t>C</t>
        </is>
      </c>
      <c r="FP5121" t="inlineStr">
        <is>
          <t>C</t>
        </is>
      </c>
    </row>
    <row r="5122">
      <c r="FC5122" t="inlineStr">
        <is>
          <t>Diccionario 5</t>
        </is>
      </c>
      <c r="FD5122" t="inlineStr">
        <is>
          <t>LZPS-17|</t>
        </is>
      </c>
      <c r="FL5122" t="inlineStr">
        <is>
          <t>C</t>
        </is>
      </c>
      <c r="FP5122" t="inlineStr">
        <is>
          <t>C</t>
        </is>
      </c>
    </row>
    <row r="5123">
      <c r="FC5123" t="inlineStr">
        <is>
          <t>Diccionario 5</t>
        </is>
      </c>
      <c r="FD5123" t="inlineStr">
        <is>
          <t>LZPT-59|</t>
        </is>
      </c>
      <c r="FL5123" t="inlineStr">
        <is>
          <t>C</t>
        </is>
      </c>
      <c r="FP5123" t="inlineStr">
        <is>
          <t>C</t>
        </is>
      </c>
    </row>
    <row r="5124">
      <c r="FC5124" t="inlineStr">
        <is>
          <t>Diccionario 5</t>
        </is>
      </c>
      <c r="FD5124" t="inlineStr">
        <is>
          <t>LZPS-25|</t>
        </is>
      </c>
      <c r="FL5124" t="inlineStr">
        <is>
          <t>C</t>
        </is>
      </c>
      <c r="FP5124" t="inlineStr">
        <is>
          <t>C</t>
        </is>
      </c>
    </row>
    <row r="5125">
      <c r="FC5125" t="inlineStr">
        <is>
          <t>Diccionario 5</t>
        </is>
      </c>
      <c r="FD5125" t="inlineStr">
        <is>
          <t>LZPG-27|</t>
        </is>
      </c>
      <c r="FL5125" t="inlineStr">
        <is>
          <t>C</t>
        </is>
      </c>
      <c r="FP5125" t="inlineStr">
        <is>
          <t>C</t>
        </is>
      </c>
    </row>
    <row r="5126">
      <c r="FC5126" t="inlineStr">
        <is>
          <t>Diccionario 5</t>
        </is>
      </c>
      <c r="FD5126" t="inlineStr">
        <is>
          <t>LZPR-93|</t>
        </is>
      </c>
      <c r="FL5126" t="inlineStr">
        <is>
          <t>C</t>
        </is>
      </c>
      <c r="FP5126" t="inlineStr">
        <is>
          <t>C</t>
        </is>
      </c>
    </row>
    <row r="5127">
      <c r="FC5127" t="inlineStr">
        <is>
          <t>Diccionario 5</t>
        </is>
      </c>
      <c r="FD5127" t="inlineStr">
        <is>
          <t>9925 / SXKV-97|</t>
        </is>
      </c>
      <c r="FL5127" t="inlineStr">
        <is>
          <t>C</t>
        </is>
      </c>
      <c r="FP5127" t="inlineStr">
        <is>
          <t>C</t>
        </is>
      </c>
    </row>
    <row r="5128">
      <c r="FC5128" t="inlineStr">
        <is>
          <t>Diccionario 5</t>
        </is>
      </c>
      <c r="FD5128" t="inlineStr">
        <is>
          <t>LZPW-17|</t>
        </is>
      </c>
      <c r="FL5128" t="inlineStr">
        <is>
          <t>C</t>
        </is>
      </c>
      <c r="FP5128" t="inlineStr">
        <is>
          <t>C</t>
        </is>
      </c>
    </row>
    <row r="5129">
      <c r="FC5129" t="inlineStr">
        <is>
          <t>Diccionario 5</t>
        </is>
      </c>
      <c r="FD5129" t="inlineStr">
        <is>
          <t>LZPV-98|</t>
        </is>
      </c>
      <c r="FL5129" t="inlineStr">
        <is>
          <t>C</t>
        </is>
      </c>
      <c r="FP5129" t="inlineStr">
        <is>
          <t>C</t>
        </is>
      </c>
    </row>
    <row r="5130">
      <c r="FC5130" t="inlineStr">
        <is>
          <t>Diccionario 5</t>
        </is>
      </c>
      <c r="FD5130" t="inlineStr">
        <is>
          <t>LZPT-49|</t>
        </is>
      </c>
      <c r="FL5130" t="inlineStr">
        <is>
          <t>C</t>
        </is>
      </c>
      <c r="FP5130" t="inlineStr">
        <is>
          <t>C</t>
        </is>
      </c>
    </row>
    <row r="5131">
      <c r="FC5131" t="inlineStr">
        <is>
          <t>Diccionario 5</t>
        </is>
      </c>
      <c r="FD5131" t="inlineStr">
        <is>
          <t>LZPT-67|</t>
        </is>
      </c>
      <c r="FL5131" t="inlineStr">
        <is>
          <t>C</t>
        </is>
      </c>
      <c r="FP5131" t="inlineStr">
        <is>
          <t>C</t>
        </is>
      </c>
    </row>
    <row r="5132">
      <c r="FC5132" t="inlineStr">
        <is>
          <t>Diccionario 5</t>
        </is>
      </c>
      <c r="FD5132" t="inlineStr">
        <is>
          <t>LZPW-10|</t>
        </is>
      </c>
      <c r="FL5132" t="inlineStr">
        <is>
          <t>C</t>
        </is>
      </c>
      <c r="FP5132" t="inlineStr">
        <is>
          <t>C</t>
        </is>
      </c>
    </row>
    <row r="5133">
      <c r="FC5133" t="inlineStr">
        <is>
          <t>Diccionario 5</t>
        </is>
      </c>
      <c r="FD5133" t="inlineStr">
        <is>
          <t>LZPG-15|</t>
        </is>
      </c>
      <c r="FL5133" t="inlineStr">
        <is>
          <t>C</t>
        </is>
      </c>
      <c r="FP5133" t="inlineStr">
        <is>
          <t>C</t>
        </is>
      </c>
    </row>
    <row r="5134">
      <c r="FC5134" t="inlineStr">
        <is>
          <t>Diccionario 5</t>
        </is>
      </c>
      <c r="FD5134" t="inlineStr">
        <is>
          <t>LZPG-13</t>
        </is>
      </c>
      <c r="FL5134" t="inlineStr">
        <is>
          <t>C</t>
        </is>
      </c>
      <c r="FP5134" t="inlineStr">
        <is>
          <t>C</t>
        </is>
      </c>
    </row>
    <row r="5135">
      <c r="FC5135" t="inlineStr">
        <is>
          <t>Diccionario 5</t>
        </is>
      </c>
      <c r="FD5135" t="inlineStr">
        <is>
          <t>LZPV-99</t>
        </is>
      </c>
      <c r="FL5135" t="inlineStr">
        <is>
          <t>C</t>
        </is>
      </c>
      <c r="FP5135" t="inlineStr">
        <is>
          <t>C</t>
        </is>
      </c>
    </row>
    <row r="5136">
      <c r="FC5136" t="inlineStr">
        <is>
          <t>Diccionario 5</t>
        </is>
      </c>
      <c r="FD5136" t="inlineStr">
        <is>
          <t>LZPG-24|</t>
        </is>
      </c>
      <c r="FL5136" t="inlineStr">
        <is>
          <t>C</t>
        </is>
      </c>
      <c r="FP5136" t="inlineStr">
        <is>
          <t>C</t>
        </is>
      </c>
    </row>
    <row r="5137">
      <c r="FC5137" t="inlineStr">
        <is>
          <t>Diccionario 5</t>
        </is>
      </c>
      <c r="FD5137" t="inlineStr">
        <is>
          <t>LZPG-23|</t>
        </is>
      </c>
      <c r="FL5137" t="inlineStr">
        <is>
          <t>C</t>
        </is>
      </c>
      <c r="FP5137" t="inlineStr">
        <is>
          <t>C</t>
        </is>
      </c>
    </row>
    <row r="5138">
      <c r="FC5138" t="inlineStr">
        <is>
          <t>Diccionario 5</t>
        </is>
      </c>
      <c r="FD5138" t="inlineStr">
        <is>
          <t>LZRB-84|</t>
        </is>
      </c>
      <c r="FL5138" t="inlineStr">
        <is>
          <t>C</t>
        </is>
      </c>
      <c r="FP5138" t="inlineStr">
        <is>
          <t>C</t>
        </is>
      </c>
    </row>
    <row r="5139">
      <c r="FC5139" t="inlineStr">
        <is>
          <t>Diccionario 5</t>
        </is>
      </c>
      <c r="FD5139" t="inlineStr">
        <is>
          <t>LZPR-98|</t>
        </is>
      </c>
      <c r="FL5139" t="inlineStr">
        <is>
          <t>C</t>
        </is>
      </c>
      <c r="FP5139" t="inlineStr">
        <is>
          <t>C</t>
        </is>
      </c>
    </row>
    <row r="5140">
      <c r="FC5140" t="inlineStr">
        <is>
          <t>Diccionario 5</t>
        </is>
      </c>
      <c r="FD5140" t="inlineStr">
        <is>
          <t>GCBF-49|</t>
        </is>
      </c>
      <c r="FL5140" t="inlineStr">
        <is>
          <t>C</t>
        </is>
      </c>
      <c r="FP5140" t="inlineStr">
        <is>
          <t>C</t>
        </is>
      </c>
    </row>
    <row r="5141">
      <c r="FC5141" t="inlineStr">
        <is>
          <t>Diccionario 5</t>
        </is>
      </c>
      <c r="FD5141" t="inlineStr">
        <is>
          <t>LZPT-61|</t>
        </is>
      </c>
      <c r="FL5141" t="inlineStr">
        <is>
          <t>C</t>
        </is>
      </c>
      <c r="FP5141" t="inlineStr">
        <is>
          <t>C</t>
        </is>
      </c>
    </row>
    <row r="5142">
      <c r="FC5142" t="inlineStr">
        <is>
          <t>Diccionario 5</t>
        </is>
      </c>
      <c r="FD5142" t="inlineStr">
        <is>
          <t>LXWT-99|</t>
        </is>
      </c>
      <c r="FL5142" t="inlineStr">
        <is>
          <t>C</t>
        </is>
      </c>
      <c r="FP5142" t="inlineStr">
        <is>
          <t>C</t>
        </is>
      </c>
    </row>
    <row r="5143">
      <c r="FC5143" t="inlineStr">
        <is>
          <t>Diccionario 5</t>
        </is>
      </c>
      <c r="FD5143" t="inlineStr">
        <is>
          <t>3020 / SFWZ-20|</t>
        </is>
      </c>
      <c r="FL5143" t="inlineStr">
        <is>
          <t>B</t>
        </is>
      </c>
      <c r="FP5143" t="inlineStr">
        <is>
          <t>B</t>
        </is>
      </c>
    </row>
    <row r="5144">
      <c r="FC5144" t="inlineStr">
        <is>
          <t>Diccionario 5</t>
        </is>
      </c>
      <c r="FD5144" t="inlineStr">
        <is>
          <t>LZPW-20|</t>
        </is>
      </c>
      <c r="FL5144" t="inlineStr">
        <is>
          <t>C</t>
        </is>
      </c>
      <c r="FP5144" t="inlineStr">
        <is>
          <t>C</t>
        </is>
      </c>
    </row>
    <row r="5145">
      <c r="FC5145" t="inlineStr">
        <is>
          <t>Diccionario 5</t>
        </is>
      </c>
      <c r="FD5145" t="inlineStr">
        <is>
          <t>LZPS-23|</t>
        </is>
      </c>
      <c r="FL5145" t="inlineStr">
        <is>
          <t>C</t>
        </is>
      </c>
      <c r="FP5145" t="inlineStr">
        <is>
          <t>C</t>
        </is>
      </c>
    </row>
    <row r="5146">
      <c r="FC5146" t="inlineStr">
        <is>
          <t>Diccionario 5</t>
        </is>
      </c>
      <c r="FD5146" t="inlineStr">
        <is>
          <t>LZPR-97|</t>
        </is>
      </c>
      <c r="FL5146" t="inlineStr">
        <is>
          <t>C</t>
        </is>
      </c>
      <c r="FP5146" t="inlineStr">
        <is>
          <t>C</t>
        </is>
      </c>
    </row>
    <row r="5147">
      <c r="FC5147" t="inlineStr">
        <is>
          <t>Diccionario 5</t>
        </is>
      </c>
      <c r="FD5147" t="inlineStr">
        <is>
          <t>LZPG-14</t>
        </is>
      </c>
      <c r="FL5147" t="inlineStr">
        <is>
          <t>C</t>
        </is>
      </c>
      <c r="FP5147" t="inlineStr">
        <is>
          <t>C</t>
        </is>
      </c>
    </row>
    <row r="5148">
      <c r="FC5148" t="inlineStr">
        <is>
          <t>Diccionario 5</t>
        </is>
      </c>
      <c r="FD5148" t="inlineStr">
        <is>
          <t>LZPR-82|</t>
        </is>
      </c>
      <c r="FL5148" t="inlineStr">
        <is>
          <t>C</t>
        </is>
      </c>
      <c r="FP5148" t="inlineStr">
        <is>
          <t>C</t>
        </is>
      </c>
    </row>
    <row r="5149">
      <c r="FC5149" t="inlineStr">
        <is>
          <t>Diccionario 5</t>
        </is>
      </c>
      <c r="FD5149" t="inlineStr">
        <is>
          <t>GCBF-46|</t>
        </is>
      </c>
      <c r="FL5149" t="inlineStr">
        <is>
          <t>C</t>
        </is>
      </c>
      <c r="FP5149" t="inlineStr">
        <is>
          <t>C</t>
        </is>
      </c>
    </row>
    <row r="5150">
      <c r="FC5150" t="inlineStr">
        <is>
          <t>Diccionario 5</t>
        </is>
      </c>
      <c r="FD5150" t="inlineStr">
        <is>
          <t>LZPS-10|</t>
        </is>
      </c>
      <c r="FL5150" t="inlineStr">
        <is>
          <t>C</t>
        </is>
      </c>
      <c r="FP5150" t="inlineStr">
        <is>
          <t>C</t>
        </is>
      </c>
    </row>
    <row r="5151">
      <c r="FC5151" t="inlineStr">
        <is>
          <t>Diccionario 5</t>
        </is>
      </c>
      <c r="FD5151" t="inlineStr">
        <is>
          <t>LZPW-22|</t>
        </is>
      </c>
      <c r="FL5151" t="inlineStr">
        <is>
          <t>C</t>
        </is>
      </c>
      <c r="FP5151" t="inlineStr">
        <is>
          <t>C</t>
        </is>
      </c>
    </row>
    <row r="5152">
      <c r="FC5152" t="inlineStr">
        <is>
          <t>Diccionario 5</t>
        </is>
      </c>
      <c r="FD5152" t="inlineStr">
        <is>
          <t>LZPR-81</t>
        </is>
      </c>
      <c r="FL5152" t="inlineStr">
        <is>
          <t>C</t>
        </is>
      </c>
      <c r="FP5152" t="inlineStr">
        <is>
          <t>C</t>
        </is>
      </c>
    </row>
    <row r="5153">
      <c r="FC5153" t="inlineStr">
        <is>
          <t>Diccionario 5</t>
        </is>
      </c>
      <c r="FD5153" t="inlineStr">
        <is>
          <t>LZPT-77</t>
        </is>
      </c>
      <c r="FL5153" t="inlineStr">
        <is>
          <t>C</t>
        </is>
      </c>
      <c r="FP5153" t="inlineStr">
        <is>
          <t>C</t>
        </is>
      </c>
    </row>
    <row r="5154">
      <c r="FC5154" t="inlineStr">
        <is>
          <t>Diccionario 5</t>
        </is>
      </c>
      <c r="FD5154" t="inlineStr">
        <is>
          <t>LXWT-91</t>
        </is>
      </c>
      <c r="FL5154" t="inlineStr">
        <is>
          <t>C</t>
        </is>
      </c>
      <c r="FP5154" t="inlineStr">
        <is>
          <t>C</t>
        </is>
      </c>
    </row>
    <row r="5155">
      <c r="FC5155" t="inlineStr">
        <is>
          <t>Diccionario 5</t>
        </is>
      </c>
      <c r="FD5155" t="inlineStr">
        <is>
          <t>LZPG-21|</t>
        </is>
      </c>
      <c r="FL5155" t="inlineStr">
        <is>
          <t>C</t>
        </is>
      </c>
      <c r="FP5155" t="inlineStr">
        <is>
          <t>C</t>
        </is>
      </c>
    </row>
    <row r="5156">
      <c r="FC5156" t="inlineStr">
        <is>
          <t>Diccionario 5</t>
        </is>
      </c>
      <c r="FD5156" t="inlineStr">
        <is>
          <t>LZPW-11</t>
        </is>
      </c>
      <c r="FL5156" t="inlineStr">
        <is>
          <t>C</t>
        </is>
      </c>
      <c r="FP5156" t="inlineStr">
        <is>
          <t>C</t>
        </is>
      </c>
    </row>
    <row r="5157">
      <c r="FC5157" t="inlineStr">
        <is>
          <t>Diccionario 5</t>
        </is>
      </c>
      <c r="FD5157" t="inlineStr">
        <is>
          <t>LZPG-16|</t>
        </is>
      </c>
      <c r="FL5157" t="inlineStr">
        <is>
          <t>C</t>
        </is>
      </c>
      <c r="FP5157" t="inlineStr">
        <is>
          <t>C</t>
        </is>
      </c>
    </row>
    <row r="5158">
      <c r="FC5158" t="inlineStr">
        <is>
          <t>Diccionario 5</t>
        </is>
      </c>
      <c r="FD5158" t="inlineStr">
        <is>
          <t>LZPR-92|</t>
        </is>
      </c>
      <c r="FL5158" t="inlineStr">
        <is>
          <t>C</t>
        </is>
      </c>
      <c r="FP5158" t="inlineStr">
        <is>
          <t>C</t>
        </is>
      </c>
    </row>
    <row r="5159">
      <c r="FC5159" t="inlineStr">
        <is>
          <t>Diccionario 5</t>
        </is>
      </c>
      <c r="FD5159" t="inlineStr">
        <is>
          <t>LZRB-88|</t>
        </is>
      </c>
      <c r="FL5159" t="inlineStr">
        <is>
          <t>C</t>
        </is>
      </c>
      <c r="FP5159" t="inlineStr">
        <is>
          <t>C</t>
        </is>
      </c>
    </row>
    <row r="5160">
      <c r="FC5160" t="inlineStr">
        <is>
          <t>Diccionario 5</t>
        </is>
      </c>
      <c r="FD5160" t="inlineStr">
        <is>
          <t>LZPG-25|</t>
        </is>
      </c>
      <c r="FL5160" t="inlineStr">
        <is>
          <t>C</t>
        </is>
      </c>
      <c r="FP5160" t="inlineStr">
        <is>
          <t>C</t>
        </is>
      </c>
    </row>
    <row r="5161">
      <c r="FC5161" t="inlineStr">
        <is>
          <t>Diccionario 5</t>
        </is>
      </c>
      <c r="FD5161" t="inlineStr">
        <is>
          <t>LZPT-47|</t>
        </is>
      </c>
      <c r="FL5161" t="inlineStr">
        <is>
          <t>C</t>
        </is>
      </c>
      <c r="FP5161" t="inlineStr">
        <is>
          <t>C</t>
        </is>
      </c>
    </row>
    <row r="5162">
      <c r="FC5162" t="inlineStr">
        <is>
          <t>Diccionario 5</t>
        </is>
      </c>
      <c r="FD5162" t="inlineStr">
        <is>
          <t>LZPT-59|</t>
        </is>
      </c>
      <c r="FL5162" t="inlineStr">
        <is>
          <t>C</t>
        </is>
      </c>
      <c r="FP5162" t="inlineStr">
        <is>
          <t>C</t>
        </is>
      </c>
    </row>
    <row r="5163">
      <c r="FC5163" t="inlineStr">
        <is>
          <t>Diccionario 5</t>
        </is>
      </c>
      <c r="FD5163" t="inlineStr">
        <is>
          <t>LZPT-48|</t>
        </is>
      </c>
      <c r="FL5163" t="inlineStr">
        <is>
          <t>C</t>
        </is>
      </c>
      <c r="FP5163" t="inlineStr">
        <is>
          <t>C</t>
        </is>
      </c>
    </row>
    <row r="5164">
      <c r="FC5164" t="inlineStr">
        <is>
          <t>Diccionario 5</t>
        </is>
      </c>
      <c r="FD5164" t="inlineStr">
        <is>
          <t>LZPR-94|</t>
        </is>
      </c>
      <c r="FL5164" t="inlineStr">
        <is>
          <t>C</t>
        </is>
      </c>
      <c r="FP5164" t="inlineStr">
        <is>
          <t>C</t>
        </is>
      </c>
    </row>
    <row r="5165">
      <c r="FC5165" t="inlineStr">
        <is>
          <t>Diccionario 5</t>
        </is>
      </c>
      <c r="FD5165" t="inlineStr">
        <is>
          <t>LXWT-97|</t>
        </is>
      </c>
      <c r="FL5165" t="inlineStr">
        <is>
          <t>C</t>
        </is>
      </c>
      <c r="FP5165" t="inlineStr">
        <is>
          <t>C</t>
        </is>
      </c>
    </row>
    <row r="5166">
      <c r="FC5166" t="inlineStr">
        <is>
          <t>Diccionario 5</t>
        </is>
      </c>
      <c r="FD5166" t="inlineStr">
        <is>
          <t>9929 / SXKV-98|</t>
        </is>
      </c>
      <c r="FL5166" t="inlineStr">
        <is>
          <t>C</t>
        </is>
      </c>
      <c r="FP5166" t="inlineStr">
        <is>
          <t>C</t>
        </is>
      </c>
    </row>
    <row r="5167">
      <c r="FC5167" t="inlineStr">
        <is>
          <t>Diccionario 5</t>
        </is>
      </c>
      <c r="FD5167" t="inlineStr">
        <is>
          <t>LZPG-15|</t>
        </is>
      </c>
      <c r="FL5167" t="inlineStr">
        <is>
          <t>C</t>
        </is>
      </c>
      <c r="FP5167" t="inlineStr">
        <is>
          <t>C</t>
        </is>
      </c>
    </row>
    <row r="5168">
      <c r="FC5168" t="inlineStr">
        <is>
          <t>Diccionario 5</t>
        </is>
      </c>
      <c r="FD5168" t="inlineStr">
        <is>
          <t>LZPW-12|</t>
        </is>
      </c>
      <c r="FL5168" t="inlineStr">
        <is>
          <t>C</t>
        </is>
      </c>
      <c r="FP5168" t="inlineStr">
        <is>
          <t>C</t>
        </is>
      </c>
    </row>
    <row r="5169">
      <c r="FC5169" t="inlineStr">
        <is>
          <t>Diccionario 5</t>
        </is>
      </c>
      <c r="FD5169" t="inlineStr">
        <is>
          <t>LZPT-53|</t>
        </is>
      </c>
      <c r="FL5169" t="inlineStr">
        <is>
          <t>C</t>
        </is>
      </c>
      <c r="FP5169" t="inlineStr">
        <is>
          <t>C</t>
        </is>
      </c>
    </row>
    <row r="5170">
      <c r="FC5170" t="inlineStr">
        <is>
          <t>Diccionario 5</t>
        </is>
      </c>
      <c r="FD5170" t="inlineStr">
        <is>
          <t>LXWT-84|</t>
        </is>
      </c>
      <c r="FL5170" t="inlineStr">
        <is>
          <t>C</t>
        </is>
      </c>
      <c r="FP5170" t="inlineStr">
        <is>
          <t>C</t>
        </is>
      </c>
    </row>
    <row r="5171">
      <c r="FC5171" t="inlineStr">
        <is>
          <t>Diccionario 5</t>
        </is>
      </c>
      <c r="FD5171" t="inlineStr">
        <is>
          <t>LZPT-55|</t>
        </is>
      </c>
      <c r="FL5171" t="inlineStr">
        <is>
          <t>C</t>
        </is>
      </c>
      <c r="FP5171" t="inlineStr">
        <is>
          <t>C</t>
        </is>
      </c>
    </row>
    <row r="5172">
      <c r="FC5172" t="inlineStr">
        <is>
          <t>Diccionario 5</t>
        </is>
      </c>
      <c r="FD5172" t="inlineStr">
        <is>
          <t>LZPT-71|</t>
        </is>
      </c>
      <c r="FL5172" t="inlineStr">
        <is>
          <t>C</t>
        </is>
      </c>
      <c r="FP5172" t="inlineStr">
        <is>
          <t>C</t>
        </is>
      </c>
    </row>
    <row r="5173">
      <c r="FC5173" t="inlineStr">
        <is>
          <t>Diccionario 5</t>
        </is>
      </c>
      <c r="FD5173" t="inlineStr">
        <is>
          <t>GCBF-43|</t>
        </is>
      </c>
      <c r="FL5173" t="inlineStr">
        <is>
          <t>C</t>
        </is>
      </c>
      <c r="FP5173" t="inlineStr">
        <is>
          <t>C</t>
        </is>
      </c>
    </row>
    <row r="5174">
      <c r="FC5174" t="inlineStr">
        <is>
          <t>Diccionario 5</t>
        </is>
      </c>
      <c r="FD5174" t="inlineStr">
        <is>
          <t>LZPW-19|</t>
        </is>
      </c>
      <c r="FL5174" t="inlineStr">
        <is>
          <t>C</t>
        </is>
      </c>
      <c r="FP5174" t="inlineStr">
        <is>
          <t>C</t>
        </is>
      </c>
    </row>
    <row r="5175">
      <c r="FC5175" t="inlineStr">
        <is>
          <t>Diccionario 5</t>
        </is>
      </c>
      <c r="FD5175" t="inlineStr">
        <is>
          <t>LXWT-83|</t>
        </is>
      </c>
      <c r="FL5175" t="inlineStr">
        <is>
          <t>C</t>
        </is>
      </c>
      <c r="FP5175" t="inlineStr">
        <is>
          <t>C</t>
        </is>
      </c>
    </row>
    <row r="5176">
      <c r="FC5176" t="inlineStr">
        <is>
          <t>Diccionario 5</t>
        </is>
      </c>
      <c r="FD5176" t="inlineStr">
        <is>
          <t>LXWT-95|</t>
        </is>
      </c>
      <c r="FL5176" t="inlineStr">
        <is>
          <t>C</t>
        </is>
      </c>
      <c r="FP5176" t="inlineStr">
        <is>
          <t>C</t>
        </is>
      </c>
    </row>
    <row r="5177">
      <c r="FC5177" t="inlineStr">
        <is>
          <t>Diccionario 5</t>
        </is>
      </c>
      <c r="FD5177" t="inlineStr">
        <is>
          <t>LZPT-56|</t>
        </is>
      </c>
      <c r="FL5177" t="inlineStr">
        <is>
          <t>C</t>
        </is>
      </c>
      <c r="FP5177" t="inlineStr">
        <is>
          <t>C</t>
        </is>
      </c>
    </row>
    <row r="5178">
      <c r="FC5178" t="inlineStr">
        <is>
          <t>Diccionario 5</t>
        </is>
      </c>
      <c r="FD5178" t="inlineStr">
        <is>
          <t>LZPS-23|</t>
        </is>
      </c>
      <c r="FL5178" t="inlineStr">
        <is>
          <t>C</t>
        </is>
      </c>
      <c r="FP5178" t="inlineStr">
        <is>
          <t>C</t>
        </is>
      </c>
    </row>
    <row r="5179">
      <c r="FC5179" t="inlineStr">
        <is>
          <t>Diccionario 5</t>
        </is>
      </c>
      <c r="FD5179" t="inlineStr">
        <is>
          <t>LZPR-87|</t>
        </is>
      </c>
      <c r="FL5179" t="inlineStr">
        <is>
          <t>C</t>
        </is>
      </c>
      <c r="FP5179" t="inlineStr">
        <is>
          <t>C</t>
        </is>
      </c>
    </row>
    <row r="5180">
      <c r="FC5180" t="inlineStr">
        <is>
          <t>Diccionario 5</t>
        </is>
      </c>
      <c r="FD5180" t="inlineStr">
        <is>
          <t>LXWT-82|</t>
        </is>
      </c>
      <c r="FL5180" t="inlineStr">
        <is>
          <t>C</t>
        </is>
      </c>
      <c r="FP5180" t="inlineStr">
        <is>
          <t>C</t>
        </is>
      </c>
    </row>
    <row r="5181">
      <c r="FC5181" t="inlineStr">
        <is>
          <t>Diccionario 5</t>
        </is>
      </c>
      <c r="FD5181" t="inlineStr">
        <is>
          <t>LZPG-23|</t>
        </is>
      </c>
      <c r="FL5181" t="inlineStr">
        <is>
          <t>C</t>
        </is>
      </c>
      <c r="FP5181" t="inlineStr">
        <is>
          <t>C</t>
        </is>
      </c>
    </row>
    <row r="5182">
      <c r="FC5182" t="inlineStr">
        <is>
          <t>Diccionario 5</t>
        </is>
      </c>
      <c r="FD5182" t="inlineStr">
        <is>
          <t>LZPG-20</t>
        </is>
      </c>
      <c r="FL5182" t="inlineStr">
        <is>
          <t>C</t>
        </is>
      </c>
      <c r="FP5182" t="inlineStr">
        <is>
          <t>C</t>
        </is>
      </c>
    </row>
    <row r="5183">
      <c r="FC5183" t="inlineStr">
        <is>
          <t>Diccionario 5</t>
        </is>
      </c>
      <c r="FD5183" t="inlineStr">
        <is>
          <t>LZPS-17</t>
        </is>
      </c>
      <c r="FL5183" t="inlineStr">
        <is>
          <t>C</t>
        </is>
      </c>
      <c r="FP5183" t="inlineStr">
        <is>
          <t>C</t>
        </is>
      </c>
    </row>
    <row r="5184">
      <c r="FC5184" t="inlineStr">
        <is>
          <t>Diccionario 5</t>
        </is>
      </c>
      <c r="FD5184" t="inlineStr">
        <is>
          <t>LZPG-27</t>
        </is>
      </c>
      <c r="FL5184" t="inlineStr">
        <is>
          <t>C</t>
        </is>
      </c>
      <c r="FP5184" t="inlineStr">
        <is>
          <t>C</t>
        </is>
      </c>
    </row>
    <row r="5185">
      <c r="FC5185" t="inlineStr">
        <is>
          <t>Diccionario 5</t>
        </is>
      </c>
      <c r="FD5185" t="inlineStr">
        <is>
          <t>LZPW-11</t>
        </is>
      </c>
      <c r="FL5185" t="inlineStr">
        <is>
          <t>C</t>
        </is>
      </c>
      <c r="FP5185" t="inlineStr">
        <is>
          <t>C</t>
        </is>
      </c>
    </row>
    <row r="5186">
      <c r="FC5186" t="inlineStr">
        <is>
          <t>Diccionario 5</t>
        </is>
      </c>
      <c r="FD5186" t="inlineStr">
        <is>
          <t>LZRB-86</t>
        </is>
      </c>
      <c r="FL5186" t="inlineStr">
        <is>
          <t>C</t>
        </is>
      </c>
      <c r="FP5186" t="inlineStr">
        <is>
          <t>C</t>
        </is>
      </c>
    </row>
    <row r="5187">
      <c r="FC5187" t="inlineStr">
        <is>
          <t>Diccionario 5</t>
        </is>
      </c>
      <c r="FD5187" t="inlineStr">
        <is>
          <t>LZPS-18</t>
        </is>
      </c>
      <c r="FL5187" t="inlineStr">
        <is>
          <t>C</t>
        </is>
      </c>
      <c r="FP5187" t="inlineStr">
        <is>
          <t>C</t>
        </is>
      </c>
    </row>
    <row r="5188">
      <c r="FC5188" t="inlineStr">
        <is>
          <t>Diccionario 5</t>
        </is>
      </c>
      <c r="FD5188" t="inlineStr">
        <is>
          <t>LZPT-69</t>
        </is>
      </c>
      <c r="FL5188" t="inlineStr">
        <is>
          <t>C</t>
        </is>
      </c>
      <c r="FP5188" t="inlineStr">
        <is>
          <t>C</t>
        </is>
      </c>
    </row>
    <row r="5189">
      <c r="FC5189" t="inlineStr">
        <is>
          <t>Diccionario 5</t>
        </is>
      </c>
      <c r="FD5189" t="inlineStr">
        <is>
          <t>LXWT-91</t>
        </is>
      </c>
      <c r="FL5189" t="inlineStr">
        <is>
          <t>C</t>
        </is>
      </c>
      <c r="FP5189" t="inlineStr">
        <is>
          <t>C</t>
        </is>
      </c>
    </row>
    <row r="5190">
      <c r="FC5190" t="inlineStr">
        <is>
          <t>Diccionario 5</t>
        </is>
      </c>
      <c r="FD5190" t="inlineStr">
        <is>
          <t>LZPR-84|</t>
        </is>
      </c>
      <c r="FL5190" t="inlineStr">
        <is>
          <t>C</t>
        </is>
      </c>
      <c r="FP5190" t="inlineStr">
        <is>
          <t>C</t>
        </is>
      </c>
    </row>
    <row r="5191">
      <c r="FC5191" t="inlineStr">
        <is>
          <t>Diccionario 5</t>
        </is>
      </c>
      <c r="FD5191" t="inlineStr">
        <is>
          <t>LZPT-41|</t>
        </is>
      </c>
      <c r="FL5191" t="inlineStr">
        <is>
          <t>C</t>
        </is>
      </c>
      <c r="FP5191" t="inlineStr">
        <is>
          <t>C</t>
        </is>
      </c>
    </row>
    <row r="5192">
      <c r="FC5192" t="inlineStr">
        <is>
          <t>Diccionario 5</t>
        </is>
      </c>
      <c r="FD5192" t="inlineStr">
        <is>
          <t>LZPG-12|</t>
        </is>
      </c>
      <c r="FL5192" t="inlineStr">
        <is>
          <t>C</t>
        </is>
      </c>
      <c r="FP5192" t="inlineStr">
        <is>
          <t>C</t>
        </is>
      </c>
    </row>
    <row r="5193">
      <c r="FC5193" t="inlineStr">
        <is>
          <t>Diccionario 5</t>
        </is>
      </c>
      <c r="FD5193" t="inlineStr">
        <is>
          <t>LZPS-25|</t>
        </is>
      </c>
      <c r="FL5193" t="inlineStr">
        <is>
          <t>C</t>
        </is>
      </c>
      <c r="FP5193" t="inlineStr">
        <is>
          <t>C</t>
        </is>
      </c>
    </row>
    <row r="5194">
      <c r="FC5194" t="inlineStr">
        <is>
          <t>Diccionario 5</t>
        </is>
      </c>
      <c r="FD5194" t="inlineStr">
        <is>
          <t>LZPR-92|</t>
        </is>
      </c>
      <c r="FL5194" t="inlineStr">
        <is>
          <t>C</t>
        </is>
      </c>
      <c r="FP5194" t="inlineStr">
        <is>
          <t>C</t>
        </is>
      </c>
    </row>
    <row r="5195">
      <c r="FC5195" t="inlineStr">
        <is>
          <t>Diccionario 5</t>
        </is>
      </c>
      <c r="FD5195" t="inlineStr">
        <is>
          <t>LXWT-87|</t>
        </is>
      </c>
      <c r="FL5195" t="inlineStr">
        <is>
          <t>C</t>
        </is>
      </c>
      <c r="FP5195" t="inlineStr">
        <is>
          <t>C</t>
        </is>
      </c>
    </row>
    <row r="5196">
      <c r="FC5196" t="inlineStr">
        <is>
          <t>Diccionario 5</t>
        </is>
      </c>
      <c r="FD5196" t="inlineStr">
        <is>
          <t>LZPR-89|</t>
        </is>
      </c>
      <c r="FL5196" t="inlineStr">
        <is>
          <t>C</t>
        </is>
      </c>
      <c r="FP5196" t="inlineStr">
        <is>
          <t>C</t>
        </is>
      </c>
    </row>
    <row r="5197">
      <c r="FC5197" t="inlineStr">
        <is>
          <t>Diccionario 5</t>
        </is>
      </c>
      <c r="FD5197" t="inlineStr">
        <is>
          <t>VJXC-42|</t>
        </is>
      </c>
      <c r="FL5197" t="inlineStr">
        <is>
          <t>B</t>
        </is>
      </c>
      <c r="FP5197" t="inlineStr">
        <is>
          <t>B</t>
        </is>
      </c>
    </row>
    <row r="5198">
      <c r="FC5198" t="inlineStr">
        <is>
          <t>Diccionario 5</t>
        </is>
      </c>
      <c r="FD5198" t="inlineStr">
        <is>
          <t>LZRB-85|</t>
        </is>
      </c>
      <c r="FL5198" t="inlineStr">
        <is>
          <t>C</t>
        </is>
      </c>
      <c r="FP5198" t="inlineStr">
        <is>
          <t>C</t>
        </is>
      </c>
    </row>
    <row r="5199">
      <c r="FC5199" t="inlineStr">
        <is>
          <t>Diccionario 5</t>
        </is>
      </c>
      <c r="FD5199" t="inlineStr">
        <is>
          <t>LZPT-48|</t>
        </is>
      </c>
      <c r="FL5199" t="inlineStr">
        <is>
          <t>C</t>
        </is>
      </c>
      <c r="FP5199" t="inlineStr">
        <is>
          <t>C</t>
        </is>
      </c>
    </row>
    <row r="5200">
      <c r="FC5200" t="inlineStr">
        <is>
          <t>Diccionario 5</t>
        </is>
      </c>
      <c r="FD5200" t="inlineStr">
        <is>
          <t>LZPG-26|</t>
        </is>
      </c>
      <c r="FL5200" t="inlineStr">
        <is>
          <t>C</t>
        </is>
      </c>
      <c r="FP5200" t="inlineStr">
        <is>
          <t>C</t>
        </is>
      </c>
    </row>
    <row r="5201">
      <c r="FC5201" t="inlineStr">
        <is>
          <t>Diccionario 5</t>
        </is>
      </c>
      <c r="FD5201" t="inlineStr">
        <is>
          <t>LZPR-86|</t>
        </is>
      </c>
      <c r="FL5201" t="inlineStr">
        <is>
          <t>C</t>
        </is>
      </c>
      <c r="FP5201" t="inlineStr">
        <is>
          <t>C</t>
        </is>
      </c>
    </row>
    <row r="5202">
      <c r="FC5202" t="inlineStr">
        <is>
          <t>Diccionario 5</t>
        </is>
      </c>
      <c r="FD5202" t="inlineStr">
        <is>
          <t>LZPG-15|</t>
        </is>
      </c>
      <c r="FL5202" t="inlineStr">
        <is>
          <t>C</t>
        </is>
      </c>
      <c r="FP5202" t="inlineStr">
        <is>
          <t>C</t>
        </is>
      </c>
    </row>
    <row r="5203">
      <c r="FC5203" t="inlineStr">
        <is>
          <t>Diccionario 5</t>
        </is>
      </c>
      <c r="FD5203" t="inlineStr">
        <is>
          <t>LXWT-97|</t>
        </is>
      </c>
      <c r="FL5203" t="inlineStr">
        <is>
          <t>C</t>
        </is>
      </c>
      <c r="FP5203" t="inlineStr">
        <is>
          <t>C</t>
        </is>
      </c>
    </row>
    <row r="5204">
      <c r="FC5204" t="inlineStr">
        <is>
          <t>Diccionario 5</t>
        </is>
      </c>
      <c r="FD5204" t="inlineStr">
        <is>
          <t>LZPR-96|</t>
        </is>
      </c>
      <c r="FL5204" t="inlineStr">
        <is>
          <t>C</t>
        </is>
      </c>
      <c r="FP5204" t="inlineStr">
        <is>
          <t>C</t>
        </is>
      </c>
    </row>
    <row r="5205">
      <c r="FC5205" t="inlineStr">
        <is>
          <t>Diccionario 5</t>
        </is>
      </c>
      <c r="FD5205" t="inlineStr">
        <is>
          <t>LZPT-45|</t>
        </is>
      </c>
      <c r="FL5205" t="inlineStr">
        <is>
          <t>C</t>
        </is>
      </c>
      <c r="FP5205" t="inlineStr">
        <is>
          <t>C</t>
        </is>
      </c>
    </row>
    <row r="5206">
      <c r="FC5206" t="inlineStr">
        <is>
          <t>Diccionario 5</t>
        </is>
      </c>
      <c r="FD5206" t="inlineStr">
        <is>
          <t>LZPW-12|</t>
        </is>
      </c>
      <c r="FL5206" t="inlineStr">
        <is>
          <t>C</t>
        </is>
      </c>
      <c r="FP5206" t="inlineStr">
        <is>
          <t>C</t>
        </is>
      </c>
    </row>
    <row r="5207">
      <c r="FC5207" t="inlineStr">
        <is>
          <t>Diccionario 5</t>
        </is>
      </c>
      <c r="FD5207" t="inlineStr">
        <is>
          <t>LZPT-74|</t>
        </is>
      </c>
      <c r="FL5207" t="inlineStr">
        <is>
          <t>C</t>
        </is>
      </c>
      <c r="FP5207" t="inlineStr">
        <is>
          <t>C</t>
        </is>
      </c>
    </row>
    <row r="5208">
      <c r="FC5208" t="inlineStr">
        <is>
          <t>Diccionario 5</t>
        </is>
      </c>
      <c r="FD5208" t="inlineStr">
        <is>
          <t>LXWT-84|</t>
        </is>
      </c>
      <c r="FL5208" t="inlineStr">
        <is>
          <t>C</t>
        </is>
      </c>
      <c r="FP5208" t="inlineStr">
        <is>
          <t>C</t>
        </is>
      </c>
    </row>
    <row r="5209">
      <c r="FC5209" t="inlineStr">
        <is>
          <t>Diccionario 5</t>
        </is>
      </c>
      <c r="FD5209" t="inlineStr">
        <is>
          <t>LZPG-23|</t>
        </is>
      </c>
      <c r="FL5209" t="inlineStr">
        <is>
          <t>C</t>
        </is>
      </c>
      <c r="FP5209" t="inlineStr">
        <is>
          <t>C</t>
        </is>
      </c>
    </row>
    <row r="5210">
      <c r="FC5210" t="inlineStr">
        <is>
          <t>Diccionario 5</t>
        </is>
      </c>
      <c r="FD5210" t="inlineStr">
        <is>
          <t>LZPS-15|</t>
        </is>
      </c>
      <c r="FL5210" t="inlineStr">
        <is>
          <t>C</t>
        </is>
      </c>
      <c r="FP5210" t="inlineStr">
        <is>
          <t>C</t>
        </is>
      </c>
    </row>
    <row r="5211">
      <c r="FC5211" t="inlineStr">
        <is>
          <t>Diccionario 5</t>
        </is>
      </c>
      <c r="FD5211" t="inlineStr">
        <is>
          <t>GCBF-50|</t>
        </is>
      </c>
      <c r="FL5211" t="inlineStr">
        <is>
          <t>C</t>
        </is>
      </c>
      <c r="FP5211" t="inlineStr">
        <is>
          <t>C</t>
        </is>
      </c>
    </row>
    <row r="5212">
      <c r="FC5212" t="inlineStr">
        <is>
          <t>Diccionario 5</t>
        </is>
      </c>
      <c r="FD5212" t="inlineStr">
        <is>
          <t>GCBF-43|</t>
        </is>
      </c>
      <c r="FL5212" t="inlineStr">
        <is>
          <t>C</t>
        </is>
      </c>
      <c r="FP5212" t="inlineStr">
        <is>
          <t>C</t>
        </is>
      </c>
    </row>
    <row r="5213">
      <c r="FC5213" t="inlineStr">
        <is>
          <t>Diccionario 5</t>
        </is>
      </c>
      <c r="FD5213" t="inlineStr">
        <is>
          <t>LZPT-57|</t>
        </is>
      </c>
      <c r="FL5213" t="inlineStr">
        <is>
          <t>C</t>
        </is>
      </c>
      <c r="FP5213" t="inlineStr">
        <is>
          <t>C</t>
        </is>
      </c>
    </row>
    <row r="5214">
      <c r="FC5214" t="inlineStr">
        <is>
          <t>Diccionario 5</t>
        </is>
      </c>
      <c r="FD5214" t="inlineStr">
        <is>
          <t>GCBF-46|</t>
        </is>
      </c>
      <c r="FL5214" t="inlineStr">
        <is>
          <t>C</t>
        </is>
      </c>
      <c r="FP5214" t="inlineStr">
        <is>
          <t>C</t>
        </is>
      </c>
    </row>
    <row r="5215">
      <c r="FC5215" t="inlineStr">
        <is>
          <t>Diccionario 5</t>
        </is>
      </c>
      <c r="FD5215" t="inlineStr">
        <is>
          <t>LXWT-82|</t>
        </is>
      </c>
      <c r="FL5215" t="inlineStr">
        <is>
          <t>C</t>
        </is>
      </c>
      <c r="FP5215" t="inlineStr">
        <is>
          <t>C</t>
        </is>
      </c>
    </row>
    <row r="5216">
      <c r="FC5216" t="inlineStr">
        <is>
          <t>Diccionario 5</t>
        </is>
      </c>
      <c r="FD5216" t="inlineStr">
        <is>
          <t>LXWT-94|</t>
        </is>
      </c>
      <c r="FL5216" t="inlineStr">
        <is>
          <t>C</t>
        </is>
      </c>
      <c r="FP5216" t="inlineStr">
        <is>
          <t>C</t>
        </is>
      </c>
    </row>
    <row r="5217">
      <c r="FC5217" t="inlineStr">
        <is>
          <t>Diccionario 5</t>
        </is>
      </c>
      <c r="FD5217" t="inlineStr">
        <is>
          <t>3077 / SFWZ-55|</t>
        </is>
      </c>
      <c r="FL5217" t="inlineStr">
        <is>
          <t>B</t>
        </is>
      </c>
      <c r="FP5217" t="inlineStr">
        <is>
          <t>B</t>
        </is>
      </c>
    </row>
    <row r="5218">
      <c r="FC5218" t="inlineStr">
        <is>
          <t>Diccionario 5</t>
        </is>
      </c>
      <c r="FD5218" t="inlineStr">
        <is>
          <t>3062 / SFWZ-10|</t>
        </is>
      </c>
      <c r="FL5218" t="inlineStr">
        <is>
          <t>B</t>
        </is>
      </c>
      <c r="FP5218" t="inlineStr">
        <is>
          <t>B</t>
        </is>
      </c>
    </row>
    <row r="5219">
      <c r="FC5219" t="inlineStr">
        <is>
          <t>Diccionario 5</t>
        </is>
      </c>
      <c r="FD5219" t="inlineStr">
        <is>
          <t>LZPG-13|</t>
        </is>
      </c>
      <c r="FL5219" t="inlineStr">
        <is>
          <t>C</t>
        </is>
      </c>
      <c r="FP5219" t="inlineStr">
        <is>
          <t>C</t>
        </is>
      </c>
    </row>
    <row r="5220">
      <c r="FC5220" t="inlineStr">
        <is>
          <t>Diccionario 5</t>
        </is>
      </c>
      <c r="FD5220" t="inlineStr">
        <is>
          <t>LZPW-17|</t>
        </is>
      </c>
      <c r="FL5220" t="inlineStr">
        <is>
          <t>C</t>
        </is>
      </c>
      <c r="FP5220" t="inlineStr">
        <is>
          <t>C</t>
        </is>
      </c>
    </row>
    <row r="5221">
      <c r="FC5221" t="inlineStr">
        <is>
          <t>Diccionario 5</t>
        </is>
      </c>
      <c r="FD5221" t="inlineStr">
        <is>
          <t>LZPT-73|</t>
        </is>
      </c>
      <c r="FL5221" t="inlineStr">
        <is>
          <t>C</t>
        </is>
      </c>
      <c r="FP5221" t="inlineStr">
        <is>
          <t>C</t>
        </is>
      </c>
    </row>
    <row r="5222">
      <c r="FC5222" t="inlineStr">
        <is>
          <t>Diccionario 5</t>
        </is>
      </c>
      <c r="FD5222" t="inlineStr">
        <is>
          <t>LZRB-88|</t>
        </is>
      </c>
      <c r="FL5222" t="inlineStr">
        <is>
          <t>C</t>
        </is>
      </c>
      <c r="FP5222" t="inlineStr">
        <is>
          <t>C</t>
        </is>
      </c>
    </row>
    <row r="5223">
      <c r="FC5223" t="inlineStr">
        <is>
          <t>Diccionario 5</t>
        </is>
      </c>
      <c r="FD5223" t="inlineStr">
        <is>
          <t>LXWT-95|</t>
        </is>
      </c>
      <c r="FL5223" t="inlineStr">
        <is>
          <t>C</t>
        </is>
      </c>
      <c r="FP5223" t="inlineStr">
        <is>
          <t>C</t>
        </is>
      </c>
    </row>
    <row r="5224">
      <c r="FC5224" t="inlineStr">
        <is>
          <t>Diccionario 5</t>
        </is>
      </c>
      <c r="FD5224" t="inlineStr">
        <is>
          <t>LZPT-55|</t>
        </is>
      </c>
      <c r="FL5224" t="inlineStr">
        <is>
          <t>C</t>
        </is>
      </c>
      <c r="FP5224" t="inlineStr">
        <is>
          <t>C</t>
        </is>
      </c>
    </row>
    <row r="5225">
      <c r="FC5225" t="inlineStr">
        <is>
          <t>Diccionario 5</t>
        </is>
      </c>
      <c r="FD5225" t="inlineStr">
        <is>
          <t>LXWT-91|</t>
        </is>
      </c>
      <c r="FL5225" t="inlineStr">
        <is>
          <t>C</t>
        </is>
      </c>
      <c r="FP5225" t="inlineStr">
        <is>
          <t>C</t>
        </is>
      </c>
    </row>
    <row r="5226">
      <c r="FC5226" t="inlineStr">
        <is>
          <t>Diccionario 5</t>
        </is>
      </c>
      <c r="FD5226" t="inlineStr">
        <is>
          <t>LZPR-84|</t>
        </is>
      </c>
      <c r="FL5226" t="inlineStr">
        <is>
          <t>C</t>
        </is>
      </c>
      <c r="FP5226" t="inlineStr">
        <is>
          <t>C</t>
        </is>
      </c>
    </row>
    <row r="5227">
      <c r="FC5227" t="inlineStr">
        <is>
          <t>Diccionario 5</t>
        </is>
      </c>
      <c r="FD5227" t="inlineStr">
        <is>
          <t>LZPT-59|</t>
        </is>
      </c>
      <c r="FL5227" t="inlineStr">
        <is>
          <t>C</t>
        </is>
      </c>
      <c r="FP5227" t="inlineStr">
        <is>
          <t>C</t>
        </is>
      </c>
    </row>
    <row r="5228">
      <c r="FC5228" t="inlineStr">
        <is>
          <t>Diccionario 5</t>
        </is>
      </c>
      <c r="FD5228" t="inlineStr">
        <is>
          <t>LZPW-15|</t>
        </is>
      </c>
      <c r="FL5228" t="inlineStr">
        <is>
          <t>C</t>
        </is>
      </c>
      <c r="FP5228" t="inlineStr">
        <is>
          <t>C</t>
        </is>
      </c>
    </row>
    <row r="5229">
      <c r="FC5229" t="inlineStr">
        <is>
          <t>Diccionario 5</t>
        </is>
      </c>
      <c r="FD5229" t="inlineStr">
        <is>
          <t>LZPT-50|</t>
        </is>
      </c>
      <c r="FL5229" t="inlineStr">
        <is>
          <t>C</t>
        </is>
      </c>
      <c r="FP5229" t="inlineStr">
        <is>
          <t>C</t>
        </is>
      </c>
    </row>
    <row r="5230">
      <c r="FC5230" t="inlineStr">
        <is>
          <t>Diccionario 5</t>
        </is>
      </c>
      <c r="FD5230" t="inlineStr">
        <is>
          <t>LZPW-15|</t>
        </is>
      </c>
      <c r="FL5230" t="inlineStr">
        <is>
          <t>C</t>
        </is>
      </c>
      <c r="FP5230" t="inlineStr">
        <is>
          <t>C</t>
        </is>
      </c>
    </row>
    <row r="5231">
      <c r="FC5231" t="inlineStr">
        <is>
          <t>Diccionario 5</t>
        </is>
      </c>
      <c r="FD5231" t="inlineStr">
        <is>
          <t>LZPT-44|</t>
        </is>
      </c>
      <c r="FL5231" t="inlineStr">
        <is>
          <t>C</t>
        </is>
      </c>
      <c r="FP5231" t="inlineStr">
        <is>
          <t>C</t>
        </is>
      </c>
    </row>
    <row r="5232">
      <c r="FC5232" t="inlineStr">
        <is>
          <t>Diccionario 5</t>
        </is>
      </c>
      <c r="FD5232" t="inlineStr">
        <is>
          <t>LZPT-41|</t>
        </is>
      </c>
      <c r="FL5232" t="inlineStr">
        <is>
          <t>C</t>
        </is>
      </c>
      <c r="FP5232" t="inlineStr">
        <is>
          <t>C</t>
        </is>
      </c>
    </row>
    <row r="5233">
      <c r="FC5233" t="inlineStr">
        <is>
          <t>Diccionario 5</t>
        </is>
      </c>
      <c r="FD5233" t="inlineStr">
        <is>
          <t>LZPT-72|</t>
        </is>
      </c>
      <c r="FL5233" t="inlineStr">
        <is>
          <t>C</t>
        </is>
      </c>
      <c r="FP5233" t="inlineStr">
        <is>
          <t>C</t>
        </is>
      </c>
    </row>
    <row r="5234">
      <c r="FC5234" t="inlineStr">
        <is>
          <t>Diccionario 5</t>
        </is>
      </c>
      <c r="FD5234" t="inlineStr">
        <is>
          <t>LZPG-25|</t>
        </is>
      </c>
      <c r="FL5234" t="inlineStr">
        <is>
          <t>C</t>
        </is>
      </c>
      <c r="FP5234" t="inlineStr">
        <is>
          <t>C</t>
        </is>
      </c>
    </row>
    <row r="5235">
      <c r="FC5235" t="inlineStr">
        <is>
          <t>Diccionario 5</t>
        </is>
      </c>
      <c r="FD5235" t="inlineStr">
        <is>
          <t>LZRB-85|</t>
        </is>
      </c>
      <c r="FL5235" t="inlineStr">
        <is>
          <t>C</t>
        </is>
      </c>
      <c r="FP5235" t="inlineStr">
        <is>
          <t>C</t>
        </is>
      </c>
    </row>
    <row r="5236">
      <c r="FC5236" t="inlineStr">
        <is>
          <t>Diccionario 5</t>
        </is>
      </c>
      <c r="FD5236" t="inlineStr">
        <is>
          <t>LZPW-22|</t>
        </is>
      </c>
      <c r="FL5236" t="inlineStr">
        <is>
          <t>C</t>
        </is>
      </c>
      <c r="FP5236" t="inlineStr">
        <is>
          <t>C</t>
        </is>
      </c>
    </row>
    <row r="5237">
      <c r="FC5237" t="inlineStr">
        <is>
          <t>Diccionario 5</t>
        </is>
      </c>
      <c r="FD5237" t="inlineStr">
        <is>
          <t>LZPR-92|</t>
        </is>
      </c>
      <c r="FL5237" t="inlineStr">
        <is>
          <t>C</t>
        </is>
      </c>
      <c r="FP5237" t="inlineStr">
        <is>
          <t>C</t>
        </is>
      </c>
    </row>
    <row r="5238">
      <c r="FC5238" t="inlineStr">
        <is>
          <t>Diccionario 5</t>
        </is>
      </c>
      <c r="FD5238" t="inlineStr">
        <is>
          <t>LZPR-80|</t>
        </is>
      </c>
      <c r="FL5238" t="inlineStr">
        <is>
          <t>C</t>
        </is>
      </c>
      <c r="FP5238" t="inlineStr">
        <is>
          <t>C</t>
        </is>
      </c>
    </row>
    <row r="5239">
      <c r="FC5239" t="inlineStr">
        <is>
          <t>Diccionario 5</t>
        </is>
      </c>
      <c r="FD5239" t="inlineStr">
        <is>
          <t>GCBF-47|</t>
        </is>
      </c>
      <c r="FL5239" t="inlineStr">
        <is>
          <t>C</t>
        </is>
      </c>
      <c r="FP5239" t="inlineStr">
        <is>
          <t>C</t>
        </is>
      </c>
    </row>
    <row r="5240">
      <c r="FC5240" t="inlineStr">
        <is>
          <t>Diccionario 5</t>
        </is>
      </c>
      <c r="FD5240" t="inlineStr">
        <is>
          <t>LZPV-99|</t>
        </is>
      </c>
      <c r="FL5240" t="inlineStr">
        <is>
          <t>C</t>
        </is>
      </c>
      <c r="FP5240" t="inlineStr">
        <is>
          <t>C</t>
        </is>
      </c>
    </row>
    <row r="5241">
      <c r="FC5241" t="inlineStr">
        <is>
          <t>Diccionario 5</t>
        </is>
      </c>
      <c r="FD5241" t="inlineStr">
        <is>
          <t>LZPR-94|</t>
        </is>
      </c>
      <c r="FL5241" t="inlineStr">
        <is>
          <t>C</t>
        </is>
      </c>
      <c r="FP5241" t="inlineStr">
        <is>
          <t>C</t>
        </is>
      </c>
    </row>
    <row r="5242">
      <c r="FC5242" t="inlineStr">
        <is>
          <t>Diccionario 5</t>
        </is>
      </c>
      <c r="FD5242" t="inlineStr">
        <is>
          <t>LZPS-23|</t>
        </is>
      </c>
      <c r="FL5242" t="inlineStr">
        <is>
          <t>C</t>
        </is>
      </c>
      <c r="FP5242" t="inlineStr">
        <is>
          <t>C</t>
        </is>
      </c>
    </row>
    <row r="5243">
      <c r="FC5243" t="inlineStr">
        <is>
          <t>Diccionario 5</t>
        </is>
      </c>
      <c r="FD5243" t="inlineStr">
        <is>
          <t>LZPS-16|</t>
        </is>
      </c>
      <c r="FL5243" t="inlineStr">
        <is>
          <t>C</t>
        </is>
      </c>
      <c r="FP5243" t="inlineStr">
        <is>
          <t>C</t>
        </is>
      </c>
    </row>
    <row r="5244">
      <c r="FC5244" t="inlineStr">
        <is>
          <t>Diccionario 5</t>
        </is>
      </c>
      <c r="FD5244" t="inlineStr">
        <is>
          <t>GCBF-43|</t>
        </is>
      </c>
      <c r="FL5244" t="inlineStr">
        <is>
          <t>C</t>
        </is>
      </c>
      <c r="FP5244" t="inlineStr">
        <is>
          <t>C</t>
        </is>
      </c>
    </row>
    <row r="5245">
      <c r="FC5245" t="inlineStr">
        <is>
          <t>Diccionario 5</t>
        </is>
      </c>
      <c r="FD5245" t="inlineStr">
        <is>
          <t>LZRB-82|</t>
        </is>
      </c>
      <c r="FL5245" t="inlineStr">
        <is>
          <t>C</t>
        </is>
      </c>
      <c r="FP5245" t="inlineStr">
        <is>
          <t>C</t>
        </is>
      </c>
    </row>
    <row r="5246">
      <c r="FC5246" t="inlineStr">
        <is>
          <t>Diccionario 5</t>
        </is>
      </c>
      <c r="FD5246" t="inlineStr">
        <is>
          <t>LXWT-87|</t>
        </is>
      </c>
      <c r="FL5246" t="inlineStr">
        <is>
          <t>C</t>
        </is>
      </c>
      <c r="FP5246" t="inlineStr">
        <is>
          <t>C</t>
        </is>
      </c>
    </row>
    <row r="5247">
      <c r="FC5247" t="inlineStr">
        <is>
          <t>Diccionario 5</t>
        </is>
      </c>
      <c r="FD5247" t="inlineStr">
        <is>
          <t>LZPR-97|</t>
        </is>
      </c>
      <c r="FL5247" t="inlineStr">
        <is>
          <t>C</t>
        </is>
      </c>
      <c r="FP5247" t="inlineStr">
        <is>
          <t>C</t>
        </is>
      </c>
    </row>
    <row r="5248">
      <c r="FC5248" t="inlineStr">
        <is>
          <t>Diccionario 5</t>
        </is>
      </c>
      <c r="FD5248" t="inlineStr">
        <is>
          <t>LZPG-12|</t>
        </is>
      </c>
      <c r="FL5248" t="inlineStr">
        <is>
          <t>C</t>
        </is>
      </c>
      <c r="FP5248" t="inlineStr">
        <is>
          <t>C</t>
        </is>
      </c>
    </row>
    <row r="5249">
      <c r="FC5249" t="inlineStr">
        <is>
          <t>Diccionario 5</t>
        </is>
      </c>
      <c r="FD5249" t="inlineStr">
        <is>
          <t>LZPT-39|</t>
        </is>
      </c>
      <c r="FL5249" t="inlineStr">
        <is>
          <t>C</t>
        </is>
      </c>
      <c r="FP5249" t="inlineStr">
        <is>
          <t>C</t>
        </is>
      </c>
    </row>
    <row r="5250">
      <c r="FC5250" t="inlineStr">
        <is>
          <t>Diccionario 5</t>
        </is>
      </c>
      <c r="FD5250" t="inlineStr">
        <is>
          <t>LZPR-93|</t>
        </is>
      </c>
      <c r="FL5250" t="inlineStr">
        <is>
          <t>C</t>
        </is>
      </c>
      <c r="FP5250" t="inlineStr">
        <is>
          <t>C</t>
        </is>
      </c>
    </row>
    <row r="5251">
      <c r="FC5251" t="inlineStr">
        <is>
          <t>Diccionario 5</t>
        </is>
      </c>
      <c r="FD5251" t="inlineStr">
        <is>
          <t>LZPT-46|</t>
        </is>
      </c>
      <c r="FL5251" t="inlineStr">
        <is>
          <t>C</t>
        </is>
      </c>
      <c r="FP5251" t="inlineStr">
        <is>
          <t>C</t>
        </is>
      </c>
    </row>
    <row r="5252">
      <c r="FC5252" t="inlineStr">
        <is>
          <t>Diccionario 5</t>
        </is>
      </c>
      <c r="FD5252" t="inlineStr">
        <is>
          <t>LZPT-41|</t>
        </is>
      </c>
      <c r="FL5252" t="inlineStr">
        <is>
          <t>C</t>
        </is>
      </c>
      <c r="FP5252" t="inlineStr">
        <is>
          <t>C</t>
        </is>
      </c>
    </row>
    <row r="5253">
      <c r="FC5253" t="inlineStr">
        <is>
          <t>Diccionario 5</t>
        </is>
      </c>
      <c r="FD5253" t="inlineStr">
        <is>
          <t>LZPW-21|</t>
        </is>
      </c>
      <c r="FL5253" t="inlineStr">
        <is>
          <t>C</t>
        </is>
      </c>
      <c r="FP5253" t="inlineStr">
        <is>
          <t>C</t>
        </is>
      </c>
    </row>
    <row r="5254">
      <c r="FC5254" t="inlineStr">
        <is>
          <t>Diccionario 5</t>
        </is>
      </c>
      <c r="FD5254" t="inlineStr">
        <is>
          <t>LZPT-76|</t>
        </is>
      </c>
      <c r="FL5254" t="inlineStr">
        <is>
          <t>C</t>
        </is>
      </c>
      <c r="FP5254" t="inlineStr">
        <is>
          <t>C</t>
        </is>
      </c>
    </row>
    <row r="5255">
      <c r="FC5255" t="inlineStr">
        <is>
          <t>Diccionario 5</t>
        </is>
      </c>
      <c r="FD5255" t="inlineStr">
        <is>
          <t>LZPT-55|</t>
        </is>
      </c>
      <c r="FL5255" t="inlineStr">
        <is>
          <t>C</t>
        </is>
      </c>
      <c r="FP5255" t="inlineStr">
        <is>
          <t>C</t>
        </is>
      </c>
    </row>
    <row r="5256">
      <c r="FC5256" t="inlineStr">
        <is>
          <t>Diccionario 5</t>
        </is>
      </c>
      <c r="FD5256" t="inlineStr">
        <is>
          <t>LZPT-71|</t>
        </is>
      </c>
      <c r="FL5256" t="inlineStr">
        <is>
          <t>C</t>
        </is>
      </c>
      <c r="FP5256" t="inlineStr">
        <is>
          <t>C</t>
        </is>
      </c>
    </row>
    <row r="5257">
      <c r="FC5257" t="inlineStr">
        <is>
          <t>Diccionario 5</t>
        </is>
      </c>
      <c r="FD5257" t="inlineStr">
        <is>
          <t>LXWT-99|</t>
        </is>
      </c>
      <c r="FL5257" t="inlineStr">
        <is>
          <t>C</t>
        </is>
      </c>
      <c r="FP5257" t="inlineStr">
        <is>
          <t>C</t>
        </is>
      </c>
    </row>
    <row r="5258">
      <c r="FC5258" t="inlineStr">
        <is>
          <t>Diccionario 5</t>
        </is>
      </c>
      <c r="FD5258" t="inlineStr">
        <is>
          <t>LXWT-88|</t>
        </is>
      </c>
      <c r="FL5258" t="inlineStr">
        <is>
          <t>C</t>
        </is>
      </c>
      <c r="FP5258" t="inlineStr">
        <is>
          <t>C</t>
        </is>
      </c>
    </row>
    <row r="5259">
      <c r="FC5259" t="inlineStr">
        <is>
          <t>Diccionario 5</t>
        </is>
      </c>
      <c r="FD5259" t="inlineStr">
        <is>
          <t>LZPG-18|</t>
        </is>
      </c>
      <c r="FL5259" t="inlineStr">
        <is>
          <t>C</t>
        </is>
      </c>
      <c r="FP5259" t="inlineStr">
        <is>
          <t>C</t>
        </is>
      </c>
    </row>
    <row r="5260">
      <c r="FC5260" t="inlineStr">
        <is>
          <t>Diccionario 5</t>
        </is>
      </c>
      <c r="FD5260" t="inlineStr">
        <is>
          <t>LXWT-84|</t>
        </is>
      </c>
      <c r="FL5260" t="inlineStr">
        <is>
          <t>C</t>
        </is>
      </c>
      <c r="FP5260" t="inlineStr">
        <is>
          <t>C</t>
        </is>
      </c>
    </row>
    <row r="5261">
      <c r="FC5261" t="inlineStr">
        <is>
          <t>Diccionario 5</t>
        </is>
      </c>
      <c r="FD5261" t="inlineStr">
        <is>
          <t>GCBF-46|</t>
        </is>
      </c>
      <c r="FL5261" t="inlineStr">
        <is>
          <t>C</t>
        </is>
      </c>
      <c r="FP5261" t="inlineStr">
        <is>
          <t>C</t>
        </is>
      </c>
    </row>
    <row r="5262">
      <c r="FC5262" t="inlineStr">
        <is>
          <t>Diccionario 5</t>
        </is>
      </c>
      <c r="FD5262" t="inlineStr">
        <is>
          <t>LZPR-89|</t>
        </is>
      </c>
      <c r="FL5262" t="inlineStr">
        <is>
          <t>C</t>
        </is>
      </c>
      <c r="FP5262" t="inlineStr">
        <is>
          <t>C</t>
        </is>
      </c>
    </row>
    <row r="5263">
      <c r="FC5263" t="inlineStr">
        <is>
          <t>Diccionario 5</t>
        </is>
      </c>
      <c r="FD5263" t="inlineStr">
        <is>
          <t>LZPR-82|</t>
        </is>
      </c>
      <c r="FL5263" t="inlineStr">
        <is>
          <t>C</t>
        </is>
      </c>
      <c r="FP5263" t="inlineStr">
        <is>
          <t>C</t>
        </is>
      </c>
    </row>
    <row r="5264">
      <c r="FC5264" t="inlineStr">
        <is>
          <t>Diccionario 5</t>
        </is>
      </c>
      <c r="FD5264" t="inlineStr">
        <is>
          <t>LXWT-91|</t>
        </is>
      </c>
      <c r="FL5264" t="inlineStr">
        <is>
          <t>C</t>
        </is>
      </c>
      <c r="FP5264" t="inlineStr">
        <is>
          <t>C</t>
        </is>
      </c>
    </row>
    <row r="5265">
      <c r="FC5265" t="inlineStr">
        <is>
          <t>Diccionario 5</t>
        </is>
      </c>
      <c r="FD5265" t="inlineStr">
        <is>
          <t>LZPW-11|</t>
        </is>
      </c>
      <c r="FL5265" t="inlineStr">
        <is>
          <t>C</t>
        </is>
      </c>
      <c r="FP5265" t="inlineStr">
        <is>
          <t>C</t>
        </is>
      </c>
    </row>
    <row r="5266">
      <c r="FC5266" t="inlineStr">
        <is>
          <t>Diccionario 5</t>
        </is>
      </c>
      <c r="FD5266" t="inlineStr">
        <is>
          <t>LZPR-92|</t>
        </is>
      </c>
      <c r="FL5266" t="inlineStr">
        <is>
          <t>C</t>
        </is>
      </c>
      <c r="FP5266" t="inlineStr">
        <is>
          <t>C</t>
        </is>
      </c>
    </row>
    <row r="5267">
      <c r="FC5267" t="inlineStr">
        <is>
          <t>Diccionario 5</t>
        </is>
      </c>
      <c r="FD5267" t="inlineStr">
        <is>
          <t>LZPW-13|</t>
        </is>
      </c>
      <c r="FL5267" t="inlineStr">
        <is>
          <t>C</t>
        </is>
      </c>
      <c r="FP5267" t="inlineStr">
        <is>
          <t>C</t>
        </is>
      </c>
    </row>
    <row r="5268">
      <c r="FC5268" t="inlineStr">
        <is>
          <t>Diccionario 5</t>
        </is>
      </c>
      <c r="FD5268" t="inlineStr">
        <is>
          <t>LZPG-21|</t>
        </is>
      </c>
      <c r="FL5268" t="inlineStr">
        <is>
          <t>C</t>
        </is>
      </c>
      <c r="FP5268" t="inlineStr">
        <is>
          <t>C</t>
        </is>
      </c>
    </row>
    <row r="5269">
      <c r="FC5269" t="inlineStr">
        <is>
          <t>Diccionario 5</t>
        </is>
      </c>
      <c r="FD5269" t="inlineStr">
        <is>
          <t>LZRB-86|</t>
        </is>
      </c>
      <c r="FL5269" t="inlineStr">
        <is>
          <t>C</t>
        </is>
      </c>
      <c r="FP5269" t="inlineStr">
        <is>
          <t>C</t>
        </is>
      </c>
    </row>
    <row r="5270">
      <c r="FC5270" t="inlineStr">
        <is>
          <t>Diccionario 5</t>
        </is>
      </c>
      <c r="FD5270" t="inlineStr">
        <is>
          <t>LZPS-16|</t>
        </is>
      </c>
      <c r="FL5270" t="inlineStr">
        <is>
          <t>C</t>
        </is>
      </c>
      <c r="FP5270" t="inlineStr">
        <is>
          <t>C</t>
        </is>
      </c>
    </row>
    <row r="5271">
      <c r="FC5271" t="inlineStr">
        <is>
          <t>Diccionario 5</t>
        </is>
      </c>
      <c r="FD5271" t="inlineStr">
        <is>
          <t>LZPG-26|</t>
        </is>
      </c>
      <c r="FL5271" t="inlineStr">
        <is>
          <t>C</t>
        </is>
      </c>
      <c r="FP5271" t="inlineStr">
        <is>
          <t>C</t>
        </is>
      </c>
    </row>
    <row r="5272">
      <c r="FC5272" t="inlineStr">
        <is>
          <t>Diccionario 5</t>
        </is>
      </c>
      <c r="FD5272" t="inlineStr">
        <is>
          <t>LZPG-25|</t>
        </is>
      </c>
      <c r="FL5272" t="inlineStr">
        <is>
          <t>C</t>
        </is>
      </c>
      <c r="FP5272" t="inlineStr">
        <is>
          <t>C</t>
        </is>
      </c>
    </row>
    <row r="5273">
      <c r="FC5273" t="inlineStr">
        <is>
          <t>Diccionario 5</t>
        </is>
      </c>
      <c r="FD5273" t="inlineStr">
        <is>
          <t>LZPT-58|</t>
        </is>
      </c>
      <c r="FL5273" t="inlineStr">
        <is>
          <t>C</t>
        </is>
      </c>
      <c r="FP5273" t="inlineStr">
        <is>
          <t>C</t>
        </is>
      </c>
    </row>
    <row r="5274">
      <c r="FC5274" t="inlineStr">
        <is>
          <t>Diccionario 5</t>
        </is>
      </c>
      <c r="FD5274" t="inlineStr">
        <is>
          <t>LZPT-47|</t>
        </is>
      </c>
      <c r="FL5274" t="inlineStr">
        <is>
          <t>C</t>
        </is>
      </c>
      <c r="FP5274" t="inlineStr">
        <is>
          <t>C</t>
        </is>
      </c>
    </row>
    <row r="5275">
      <c r="FC5275" t="inlineStr">
        <is>
          <t>Diccionario 5</t>
        </is>
      </c>
      <c r="FD5275" t="inlineStr">
        <is>
          <t>LZPT-38|</t>
        </is>
      </c>
      <c r="FL5275" t="inlineStr">
        <is>
          <t>C</t>
        </is>
      </c>
      <c r="FP5275" t="inlineStr">
        <is>
          <t>C</t>
        </is>
      </c>
    </row>
    <row r="5276">
      <c r="FC5276" t="inlineStr">
        <is>
          <t>Diccionario 5</t>
        </is>
      </c>
      <c r="FD5276" t="inlineStr">
        <is>
          <t>LZPT-54|</t>
        </is>
      </c>
      <c r="FL5276" t="inlineStr">
        <is>
          <t>C</t>
        </is>
      </c>
      <c r="FP5276" t="inlineStr">
        <is>
          <t>C</t>
        </is>
      </c>
    </row>
    <row r="5277">
      <c r="FC5277" t="inlineStr">
        <is>
          <t>Diccionario 5</t>
        </is>
      </c>
      <c r="FD5277" t="inlineStr">
        <is>
          <t>LZPT-48|</t>
        </is>
      </c>
      <c r="FL5277" t="inlineStr">
        <is>
          <t>C</t>
        </is>
      </c>
      <c r="FP5277" t="inlineStr">
        <is>
          <t>C</t>
        </is>
      </c>
    </row>
    <row r="5278">
      <c r="FC5278" t="inlineStr">
        <is>
          <t>Diccionario 5</t>
        </is>
      </c>
      <c r="FD5278" t="inlineStr">
        <is>
          <t>GCBF-51|</t>
        </is>
      </c>
      <c r="FL5278" t="inlineStr">
        <is>
          <t>C</t>
        </is>
      </c>
      <c r="FP5278" t="inlineStr">
        <is>
          <t>C</t>
        </is>
      </c>
    </row>
    <row r="5279">
      <c r="FC5279" t="inlineStr">
        <is>
          <t>Diccionario 5</t>
        </is>
      </c>
      <c r="FD5279" t="inlineStr">
        <is>
          <t>3032 / SFWZ-34|</t>
        </is>
      </c>
      <c r="FL5279" t="inlineStr">
        <is>
          <t>B</t>
        </is>
      </c>
      <c r="FP5279" t="inlineStr">
        <is>
          <t>B</t>
        </is>
      </c>
    </row>
    <row r="5280">
      <c r="FC5280" t="inlineStr">
        <is>
          <t>Diccionario 5</t>
        </is>
      </c>
      <c r="FD5280" t="inlineStr">
        <is>
          <t>LZPT-40|</t>
        </is>
      </c>
      <c r="FL5280" t="inlineStr">
        <is>
          <t>C</t>
        </is>
      </c>
      <c r="FP5280" t="inlineStr">
        <is>
          <t>C</t>
        </is>
      </c>
    </row>
    <row r="5281">
      <c r="FC5281" t="inlineStr">
        <is>
          <t>Diccionario 5</t>
        </is>
      </c>
      <c r="FD5281" t="inlineStr">
        <is>
          <t>LZPT-41|</t>
        </is>
      </c>
      <c r="FL5281" t="inlineStr">
        <is>
          <t>C</t>
        </is>
      </c>
      <c r="FP5281" t="inlineStr">
        <is>
          <t>C</t>
        </is>
      </c>
    </row>
    <row r="5282">
      <c r="FC5282" t="inlineStr">
        <is>
          <t>Diccionario 5</t>
        </is>
      </c>
      <c r="FD5282" t="inlineStr">
        <is>
          <t>LZPW-19|</t>
        </is>
      </c>
      <c r="FL5282" t="inlineStr">
        <is>
          <t>C</t>
        </is>
      </c>
      <c r="FP5282" t="inlineStr">
        <is>
          <t>C</t>
        </is>
      </c>
    </row>
    <row r="5283">
      <c r="FC5283" t="inlineStr">
        <is>
          <t>Diccionario 5</t>
        </is>
      </c>
      <c r="FD5283" t="inlineStr">
        <is>
          <t>LXWT-97|</t>
        </is>
      </c>
      <c r="FL5283" t="inlineStr">
        <is>
          <t>C</t>
        </is>
      </c>
      <c r="FP5283" t="inlineStr">
        <is>
          <t>C</t>
        </is>
      </c>
    </row>
    <row r="5284">
      <c r="FC5284" t="inlineStr">
        <is>
          <t>Diccionario 5</t>
        </is>
      </c>
      <c r="FD5284" t="inlineStr">
        <is>
          <t>LZPR-84|</t>
        </is>
      </c>
      <c r="FL5284" t="inlineStr">
        <is>
          <t>C</t>
        </is>
      </c>
      <c r="FP5284" t="inlineStr">
        <is>
          <t>C</t>
        </is>
      </c>
    </row>
    <row r="5285">
      <c r="FC5285" t="inlineStr">
        <is>
          <t>Diccionario 5</t>
        </is>
      </c>
      <c r="FD5285" t="inlineStr">
        <is>
          <t>LZPS-22|</t>
        </is>
      </c>
      <c r="FL5285" t="inlineStr">
        <is>
          <t>C</t>
        </is>
      </c>
      <c r="FP5285" t="inlineStr">
        <is>
          <t>C</t>
        </is>
      </c>
    </row>
    <row r="5286">
      <c r="FC5286" t="inlineStr">
        <is>
          <t>Diccionario 5</t>
        </is>
      </c>
      <c r="FD5286" t="inlineStr">
        <is>
          <t>LXWT-89|</t>
        </is>
      </c>
      <c r="FL5286" t="inlineStr">
        <is>
          <t>C</t>
        </is>
      </c>
      <c r="FP5286" t="inlineStr">
        <is>
          <t>C</t>
        </is>
      </c>
    </row>
    <row r="5287">
      <c r="FC5287" t="inlineStr">
        <is>
          <t>Diccionario 5</t>
        </is>
      </c>
      <c r="FD5287" t="inlineStr">
        <is>
          <t>LZPW-21|</t>
        </is>
      </c>
      <c r="FL5287" t="inlineStr">
        <is>
          <t>C</t>
        </is>
      </c>
      <c r="FP5287" t="inlineStr">
        <is>
          <t>C</t>
        </is>
      </c>
    </row>
    <row r="5288">
      <c r="FC5288" t="inlineStr">
        <is>
          <t>Diccionario 5</t>
        </is>
      </c>
      <c r="FD5288" t="inlineStr">
        <is>
          <t>LZPT-53|</t>
        </is>
      </c>
      <c r="FL5288" t="inlineStr">
        <is>
          <t>C</t>
        </is>
      </c>
      <c r="FP5288" t="inlineStr">
        <is>
          <t>C</t>
        </is>
      </c>
    </row>
    <row r="5289">
      <c r="FC5289" t="inlineStr">
        <is>
          <t>Diccionario 5</t>
        </is>
      </c>
      <c r="FD5289" t="inlineStr">
        <is>
          <t>LZPT-76|</t>
        </is>
      </c>
      <c r="FL5289" t="inlineStr">
        <is>
          <t>C</t>
        </is>
      </c>
      <c r="FP5289" t="inlineStr">
        <is>
          <t>C</t>
        </is>
      </c>
    </row>
    <row r="5290">
      <c r="FC5290" t="inlineStr">
        <is>
          <t>Diccionario 5</t>
        </is>
      </c>
      <c r="FD5290" t="inlineStr">
        <is>
          <t>LZPT-55|</t>
        </is>
      </c>
      <c r="FL5290" t="inlineStr">
        <is>
          <t>C</t>
        </is>
      </c>
      <c r="FP5290" t="inlineStr">
        <is>
          <t>C</t>
        </is>
      </c>
    </row>
    <row r="5291">
      <c r="FC5291" t="inlineStr">
        <is>
          <t>Diccionario 5</t>
        </is>
      </c>
      <c r="FD5291" t="inlineStr">
        <is>
          <t>LXWT-92|</t>
        </is>
      </c>
      <c r="FL5291" t="inlineStr">
        <is>
          <t>C</t>
        </is>
      </c>
      <c r="FP5291" t="inlineStr">
        <is>
          <t>C</t>
        </is>
      </c>
    </row>
    <row r="5292">
      <c r="FC5292" t="inlineStr">
        <is>
          <t>Diccionario 5</t>
        </is>
      </c>
      <c r="FD5292" t="inlineStr">
        <is>
          <t>LZPT-65|</t>
        </is>
      </c>
      <c r="FL5292" t="inlineStr">
        <is>
          <t>C</t>
        </is>
      </c>
      <c r="FP5292" t="inlineStr">
        <is>
          <t>C</t>
        </is>
      </c>
    </row>
    <row r="5293">
      <c r="FC5293" t="inlineStr">
        <is>
          <t>Diccionario 5</t>
        </is>
      </c>
      <c r="FD5293" t="inlineStr">
        <is>
          <t>GCBF-43|</t>
        </is>
      </c>
      <c r="FL5293" t="inlineStr">
        <is>
          <t>C</t>
        </is>
      </c>
      <c r="FP5293" t="inlineStr">
        <is>
          <t>C</t>
        </is>
      </c>
    </row>
    <row r="5294">
      <c r="FC5294" t="inlineStr">
        <is>
          <t>Diccionario 5</t>
        </is>
      </c>
      <c r="FD5294" t="inlineStr">
        <is>
          <t>LZPT-45|</t>
        </is>
      </c>
      <c r="FL5294" t="inlineStr">
        <is>
          <t>C</t>
        </is>
      </c>
      <c r="FP5294" t="inlineStr">
        <is>
          <t>C</t>
        </is>
      </c>
    </row>
    <row r="5295">
      <c r="FC5295" t="inlineStr">
        <is>
          <t>Diccionario 5</t>
        </is>
      </c>
      <c r="FD5295" t="inlineStr">
        <is>
          <t>LZPT-71|</t>
        </is>
      </c>
      <c r="FL5295" t="inlineStr">
        <is>
          <t>C</t>
        </is>
      </c>
      <c r="FP5295" t="inlineStr">
        <is>
          <t>C</t>
        </is>
      </c>
    </row>
    <row r="5296">
      <c r="FC5296" t="inlineStr">
        <is>
          <t>Diccionario 5</t>
        </is>
      </c>
      <c r="FD5296" t="inlineStr">
        <is>
          <t>LZPR-87|</t>
        </is>
      </c>
      <c r="FL5296" t="inlineStr">
        <is>
          <t>C</t>
        </is>
      </c>
      <c r="FP5296" t="inlineStr">
        <is>
          <t>C</t>
        </is>
      </c>
    </row>
    <row r="5297">
      <c r="FC5297" t="inlineStr">
        <is>
          <t>Diccionario 5</t>
        </is>
      </c>
      <c r="FD5297" t="inlineStr">
        <is>
          <t>LZPT-56|</t>
        </is>
      </c>
      <c r="FL5297" t="inlineStr">
        <is>
          <t>C</t>
        </is>
      </c>
      <c r="FP5297" t="inlineStr">
        <is>
          <t>C</t>
        </is>
      </c>
    </row>
    <row r="5298">
      <c r="FC5298" t="inlineStr">
        <is>
          <t>Diccionario 5</t>
        </is>
      </c>
      <c r="FD5298" t="inlineStr">
        <is>
          <t>LZPW-16|</t>
        </is>
      </c>
      <c r="FL5298" t="inlineStr">
        <is>
          <t>C</t>
        </is>
      </c>
      <c r="FP5298" t="inlineStr">
        <is>
          <t>C</t>
        </is>
      </c>
    </row>
    <row r="5299">
      <c r="FC5299" t="inlineStr">
        <is>
          <t>Diccionario 5</t>
        </is>
      </c>
      <c r="FD5299" t="inlineStr">
        <is>
          <t>LZPT-43|</t>
        </is>
      </c>
      <c r="FL5299" t="inlineStr">
        <is>
          <t>C</t>
        </is>
      </c>
      <c r="FP5299" t="inlineStr">
        <is>
          <t>C</t>
        </is>
      </c>
    </row>
    <row r="5300">
      <c r="FC5300" t="inlineStr">
        <is>
          <t>Diccionario 5</t>
        </is>
      </c>
      <c r="FD5300" t="inlineStr">
        <is>
          <t>LXWT-96|</t>
        </is>
      </c>
      <c r="FL5300" t="inlineStr">
        <is>
          <t>C</t>
        </is>
      </c>
      <c r="FP5300" t="inlineStr">
        <is>
          <t>C</t>
        </is>
      </c>
    </row>
    <row r="5301">
      <c r="FC5301" t="inlineStr">
        <is>
          <t>Diccionario 5</t>
        </is>
      </c>
      <c r="FD5301" t="inlineStr">
        <is>
          <t>LZPS-15|</t>
        </is>
      </c>
      <c r="FL5301" t="inlineStr">
        <is>
          <t>C</t>
        </is>
      </c>
      <c r="FP5301" t="inlineStr">
        <is>
          <t>C</t>
        </is>
      </c>
    </row>
    <row r="5302">
      <c r="FC5302" t="inlineStr">
        <is>
          <t>Diccionario 5</t>
        </is>
      </c>
      <c r="FD5302" t="inlineStr">
        <is>
          <t>LZPS-11|</t>
        </is>
      </c>
      <c r="FL5302" t="inlineStr">
        <is>
          <t>C</t>
        </is>
      </c>
      <c r="FP5302" t="inlineStr">
        <is>
          <t>C</t>
        </is>
      </c>
    </row>
    <row r="5303">
      <c r="FC5303" t="inlineStr">
        <is>
          <t>Diccionario 5</t>
        </is>
      </c>
      <c r="FD5303" t="inlineStr">
        <is>
          <t>LXWT-95|</t>
        </is>
      </c>
      <c r="FL5303" t="inlineStr">
        <is>
          <t>C</t>
        </is>
      </c>
      <c r="FP5303" t="inlineStr">
        <is>
          <t>C</t>
        </is>
      </c>
    </row>
    <row r="5304">
      <c r="FC5304" t="inlineStr">
        <is>
          <t>Diccionario 5</t>
        </is>
      </c>
      <c r="FD5304" t="inlineStr">
        <is>
          <t>LXWT-82|</t>
        </is>
      </c>
      <c r="FL5304" t="inlineStr">
        <is>
          <t>C</t>
        </is>
      </c>
      <c r="FP5304" t="inlineStr">
        <is>
          <t>C</t>
        </is>
      </c>
    </row>
    <row r="5305">
      <c r="FC5305" t="inlineStr">
        <is>
          <t>Diccionario 5</t>
        </is>
      </c>
      <c r="FD5305" t="inlineStr">
        <is>
          <t>LZPG-20|</t>
        </is>
      </c>
      <c r="FL5305" t="inlineStr">
        <is>
          <t>C</t>
        </is>
      </c>
      <c r="FP5305" t="inlineStr">
        <is>
          <t>C</t>
        </is>
      </c>
    </row>
    <row r="5306">
      <c r="FC5306" t="inlineStr">
        <is>
          <t>Diccionario 5</t>
        </is>
      </c>
      <c r="FD5306" t="inlineStr">
        <is>
          <t>LZPT-57|</t>
        </is>
      </c>
      <c r="FL5306" t="inlineStr">
        <is>
          <t>C</t>
        </is>
      </c>
      <c r="FP5306" t="inlineStr">
        <is>
          <t>C</t>
        </is>
      </c>
    </row>
    <row r="5307">
      <c r="FC5307" t="inlineStr">
        <is>
          <t>Diccionario 5</t>
        </is>
      </c>
      <c r="FD5307" t="inlineStr">
        <is>
          <t>9951 / TBZB-24|</t>
        </is>
      </c>
      <c r="FL5307" t="inlineStr">
        <is>
          <t>C</t>
        </is>
      </c>
      <c r="FP5307" t="inlineStr">
        <is>
          <t>C</t>
        </is>
      </c>
    </row>
    <row r="5308">
      <c r="FC5308" t="inlineStr">
        <is>
          <t>Diccionario 5</t>
        </is>
      </c>
      <c r="FD5308" t="inlineStr">
        <is>
          <t>LZPS-17|</t>
        </is>
      </c>
      <c r="FL5308" t="inlineStr">
        <is>
          <t>C</t>
        </is>
      </c>
      <c r="FP5308" t="inlineStr">
        <is>
          <t>C</t>
        </is>
      </c>
    </row>
    <row r="5309">
      <c r="FC5309" t="inlineStr">
        <is>
          <t>Diccionario 5</t>
        </is>
      </c>
      <c r="FD5309" t="inlineStr">
        <is>
          <t>LZPR-85|</t>
        </is>
      </c>
      <c r="FL5309" t="inlineStr">
        <is>
          <t>C</t>
        </is>
      </c>
      <c r="FP5309" t="inlineStr">
        <is>
          <t>C</t>
        </is>
      </c>
    </row>
    <row r="5310">
      <c r="FC5310" t="inlineStr">
        <is>
          <t>Diccionario 5</t>
        </is>
      </c>
      <c r="FD5310" t="inlineStr">
        <is>
          <t>LZPT-62|</t>
        </is>
      </c>
      <c r="FL5310" t="inlineStr">
        <is>
          <t>C</t>
        </is>
      </c>
      <c r="FP5310" t="inlineStr">
        <is>
          <t>C</t>
        </is>
      </c>
    </row>
    <row r="5311">
      <c r="FC5311" t="inlineStr">
        <is>
          <t>Diccionario 5</t>
        </is>
      </c>
      <c r="FD5311" t="inlineStr">
        <is>
          <t>LZPG-26|</t>
        </is>
      </c>
      <c r="FL5311" t="inlineStr">
        <is>
          <t>C</t>
        </is>
      </c>
      <c r="FP5311" t="inlineStr">
        <is>
          <t>C</t>
        </is>
      </c>
    </row>
    <row r="5312">
      <c r="FC5312" t="inlineStr">
        <is>
          <t>Diccionario 5</t>
        </is>
      </c>
      <c r="FD5312" t="inlineStr">
        <is>
          <t>LZRB-86|</t>
        </is>
      </c>
      <c r="FL5312" t="inlineStr">
        <is>
          <t>C</t>
        </is>
      </c>
      <c r="FP5312" t="inlineStr">
        <is>
          <t>C</t>
        </is>
      </c>
    </row>
    <row r="5313">
      <c r="FC5313" t="inlineStr">
        <is>
          <t>Diccionario 5</t>
        </is>
      </c>
      <c r="FD5313" t="inlineStr">
        <is>
          <t>LZPS-25|</t>
        </is>
      </c>
      <c r="FL5313" t="inlineStr">
        <is>
          <t>C</t>
        </is>
      </c>
      <c r="FP5313" t="inlineStr">
        <is>
          <t>C</t>
        </is>
      </c>
    </row>
    <row r="5314">
      <c r="FC5314" t="inlineStr">
        <is>
          <t>Diccionario 5</t>
        </is>
      </c>
      <c r="FD5314" t="inlineStr">
        <is>
          <t>LZPT-54|</t>
        </is>
      </c>
      <c r="FL5314" t="inlineStr">
        <is>
          <t>C</t>
        </is>
      </c>
      <c r="FP5314" t="inlineStr">
        <is>
          <t>C</t>
        </is>
      </c>
    </row>
    <row r="5315">
      <c r="FC5315" t="inlineStr">
        <is>
          <t>Diccionario 5</t>
        </is>
      </c>
      <c r="FD5315" t="inlineStr">
        <is>
          <t>9925 / SXKV-97|</t>
        </is>
      </c>
      <c r="FL5315" t="inlineStr">
        <is>
          <t>C</t>
        </is>
      </c>
      <c r="FP5315" t="inlineStr">
        <is>
          <t>C</t>
        </is>
      </c>
    </row>
    <row r="5316">
      <c r="FC5316" t="inlineStr">
        <is>
          <t>Diccionario 5</t>
        </is>
      </c>
      <c r="FD5316" t="inlineStr">
        <is>
          <t>LZPT-41|</t>
        </is>
      </c>
      <c r="FL5316" t="inlineStr">
        <is>
          <t>C</t>
        </is>
      </c>
      <c r="FP5316" t="inlineStr">
        <is>
          <t>C</t>
        </is>
      </c>
    </row>
    <row r="5317">
      <c r="FC5317" t="inlineStr">
        <is>
          <t>Diccionario 5</t>
        </is>
      </c>
      <c r="FD5317" t="inlineStr">
        <is>
          <t>LZPR-93|</t>
        </is>
      </c>
      <c r="FL5317" t="inlineStr">
        <is>
          <t>C</t>
        </is>
      </c>
      <c r="FP5317" t="inlineStr">
        <is>
          <t>C</t>
        </is>
      </c>
    </row>
    <row r="5318">
      <c r="FC5318" t="inlineStr">
        <is>
          <t>Diccionario 5</t>
        </is>
      </c>
      <c r="FD5318" t="inlineStr">
        <is>
          <t>LZPT-49|</t>
        </is>
      </c>
      <c r="FL5318" t="inlineStr">
        <is>
          <t>C</t>
        </is>
      </c>
      <c r="FP5318" t="inlineStr">
        <is>
          <t>C</t>
        </is>
      </c>
    </row>
    <row r="5319">
      <c r="FC5319" t="inlineStr">
        <is>
          <t>Diccionario 5</t>
        </is>
      </c>
      <c r="FD5319" t="inlineStr">
        <is>
          <t>LZPT-39|</t>
        </is>
      </c>
      <c r="FL5319" t="inlineStr">
        <is>
          <t>C</t>
        </is>
      </c>
      <c r="FP5319" t="inlineStr">
        <is>
          <t>C</t>
        </is>
      </c>
    </row>
    <row r="5320">
      <c r="FC5320" t="inlineStr">
        <is>
          <t>Diccionario 5</t>
        </is>
      </c>
      <c r="FD5320" t="inlineStr">
        <is>
          <t>LZRB-85|</t>
        </is>
      </c>
      <c r="FL5320" t="inlineStr">
        <is>
          <t>C</t>
        </is>
      </c>
      <c r="FP5320" t="inlineStr">
        <is>
          <t>C</t>
        </is>
      </c>
    </row>
    <row r="5321">
      <c r="FC5321" t="inlineStr">
        <is>
          <t>Diccionario 5</t>
        </is>
      </c>
      <c r="FD5321" t="inlineStr">
        <is>
          <t>LZPR-86|</t>
        </is>
      </c>
      <c r="FL5321" t="inlineStr">
        <is>
          <t>C</t>
        </is>
      </c>
      <c r="FP5321" t="inlineStr">
        <is>
          <t>C</t>
        </is>
      </c>
    </row>
    <row r="5322">
      <c r="FC5322" t="inlineStr">
        <is>
          <t>Diccionario 5</t>
        </is>
      </c>
      <c r="FD5322" t="inlineStr">
        <is>
          <t>LZRB-83|</t>
        </is>
      </c>
      <c r="FL5322" t="inlineStr">
        <is>
          <t>C</t>
        </is>
      </c>
      <c r="FP5322" t="inlineStr">
        <is>
          <t>C</t>
        </is>
      </c>
    </row>
    <row r="5323">
      <c r="FC5323" t="inlineStr">
        <is>
          <t>Diccionario 5</t>
        </is>
      </c>
      <c r="FD5323" t="inlineStr">
        <is>
          <t>LZPT-43|</t>
        </is>
      </c>
      <c r="FL5323" t="inlineStr">
        <is>
          <t>C</t>
        </is>
      </c>
      <c r="FP5323" t="inlineStr">
        <is>
          <t>C</t>
        </is>
      </c>
    </row>
    <row r="5324">
      <c r="FC5324" t="inlineStr">
        <is>
          <t>Diccionario 5</t>
        </is>
      </c>
      <c r="FD5324" t="inlineStr">
        <is>
          <t>LZPV-99|</t>
        </is>
      </c>
      <c r="FL5324" t="inlineStr">
        <is>
          <t>C</t>
        </is>
      </c>
      <c r="FP5324" t="inlineStr">
        <is>
          <t>C</t>
        </is>
      </c>
    </row>
    <row r="5325">
      <c r="FC5325" t="inlineStr">
        <is>
          <t>Diccionario 5</t>
        </is>
      </c>
      <c r="FD5325" t="inlineStr">
        <is>
          <t>LZPT-74|</t>
        </is>
      </c>
      <c r="FL5325" t="inlineStr">
        <is>
          <t>C</t>
        </is>
      </c>
      <c r="FP5325" t="inlineStr">
        <is>
          <t>C</t>
        </is>
      </c>
    </row>
    <row r="5326">
      <c r="FC5326" t="inlineStr">
        <is>
          <t>Diccionario 5</t>
        </is>
      </c>
      <c r="FD5326" t="inlineStr">
        <is>
          <t>LZPS-16|</t>
        </is>
      </c>
      <c r="FL5326" t="inlineStr">
        <is>
          <t>C</t>
        </is>
      </c>
      <c r="FP5326" t="inlineStr">
        <is>
          <t>C</t>
        </is>
      </c>
    </row>
    <row r="5327">
      <c r="FC5327" t="inlineStr">
        <is>
          <t>Diccionario 5</t>
        </is>
      </c>
      <c r="FD5327" t="inlineStr">
        <is>
          <t>GCBF-50|</t>
        </is>
      </c>
      <c r="FL5327" t="inlineStr">
        <is>
          <t>C</t>
        </is>
      </c>
      <c r="FP5327" t="inlineStr">
        <is>
          <t>C</t>
        </is>
      </c>
    </row>
    <row r="5328">
      <c r="FC5328" t="inlineStr">
        <is>
          <t>Diccionario 5</t>
        </is>
      </c>
      <c r="FD5328" t="inlineStr">
        <is>
          <t>LZPS-15|</t>
        </is>
      </c>
      <c r="FL5328" t="inlineStr">
        <is>
          <t>C</t>
        </is>
      </c>
      <c r="FP5328" t="inlineStr">
        <is>
          <t>C</t>
        </is>
      </c>
    </row>
    <row r="5329">
      <c r="FC5329" t="inlineStr">
        <is>
          <t>Diccionario 5</t>
        </is>
      </c>
      <c r="FD5329" t="inlineStr">
        <is>
          <t>GCBF-44|</t>
        </is>
      </c>
      <c r="FL5329" t="inlineStr">
        <is>
          <t>C</t>
        </is>
      </c>
      <c r="FP5329" t="inlineStr">
        <is>
          <t>C</t>
        </is>
      </c>
    </row>
    <row r="5330">
      <c r="FC5330" t="inlineStr">
        <is>
          <t>Diccionario 5</t>
        </is>
      </c>
      <c r="FD5330" t="inlineStr">
        <is>
          <t>LZPT-61|</t>
        </is>
      </c>
      <c r="FL5330" t="inlineStr">
        <is>
          <t>C</t>
        </is>
      </c>
      <c r="FP5330" t="inlineStr">
        <is>
          <t>C</t>
        </is>
      </c>
    </row>
    <row r="5331">
      <c r="FC5331" t="inlineStr">
        <is>
          <t>Diccionario 5</t>
        </is>
      </c>
      <c r="FD5331" t="inlineStr">
        <is>
          <t>LXWT-94|</t>
        </is>
      </c>
      <c r="FL5331" t="inlineStr">
        <is>
          <t>C</t>
        </is>
      </c>
      <c r="FP5331" t="inlineStr">
        <is>
          <t>C</t>
        </is>
      </c>
    </row>
    <row r="5332">
      <c r="FC5332" t="inlineStr">
        <is>
          <t>Diccionario 5</t>
        </is>
      </c>
      <c r="FD5332" t="inlineStr">
        <is>
          <t>LZPR-82|</t>
        </is>
      </c>
      <c r="FL5332" t="inlineStr">
        <is>
          <t>C</t>
        </is>
      </c>
      <c r="FP5332" t="inlineStr">
        <is>
          <t>C</t>
        </is>
      </c>
    </row>
    <row r="5333">
      <c r="FC5333" t="inlineStr">
        <is>
          <t>Diccionario 5</t>
        </is>
      </c>
      <c r="FD5333" t="inlineStr">
        <is>
          <t>9951 / TBZB-24|</t>
        </is>
      </c>
      <c r="FL5333" t="inlineStr">
        <is>
          <t>C</t>
        </is>
      </c>
      <c r="FP5333" t="inlineStr">
        <is>
          <t>C</t>
        </is>
      </c>
    </row>
    <row r="5334">
      <c r="FC5334" t="inlineStr">
        <is>
          <t>Diccionario 5</t>
        </is>
      </c>
      <c r="FD5334" t="inlineStr">
        <is>
          <t>LXWT-92|</t>
        </is>
      </c>
      <c r="FL5334" t="inlineStr">
        <is>
          <t>C</t>
        </is>
      </c>
      <c r="FP5334" t="inlineStr">
        <is>
          <t>C</t>
        </is>
      </c>
    </row>
    <row r="5335">
      <c r="FC5335" t="inlineStr">
        <is>
          <t>Diccionario 5</t>
        </is>
      </c>
      <c r="FD5335" t="inlineStr">
        <is>
          <t>LZPR-85|</t>
        </is>
      </c>
      <c r="FL5335" t="inlineStr">
        <is>
          <t>C</t>
        </is>
      </c>
      <c r="FP5335" t="inlineStr">
        <is>
          <t>C</t>
        </is>
      </c>
    </row>
    <row r="5336">
      <c r="FC5336" t="inlineStr">
        <is>
          <t>Diccionario 5</t>
        </is>
      </c>
      <c r="FD5336" t="inlineStr">
        <is>
          <t>LZPR-81|</t>
        </is>
      </c>
      <c r="FL5336" t="inlineStr">
        <is>
          <t>C</t>
        </is>
      </c>
      <c r="FP5336" t="inlineStr">
        <is>
          <t>C</t>
        </is>
      </c>
    </row>
    <row r="5337">
      <c r="FC5337" t="inlineStr">
        <is>
          <t>Diccionario 5</t>
        </is>
      </c>
      <c r="FD5337" t="inlineStr">
        <is>
          <t>LZRB-87|</t>
        </is>
      </c>
      <c r="FL5337" t="inlineStr">
        <is>
          <t>C</t>
        </is>
      </c>
      <c r="FP5337" t="inlineStr">
        <is>
          <t>C</t>
        </is>
      </c>
    </row>
    <row r="5338">
      <c r="FC5338" t="inlineStr">
        <is>
          <t>Diccionario 5</t>
        </is>
      </c>
      <c r="FD5338" t="inlineStr">
        <is>
          <t>LZPW-22|</t>
        </is>
      </c>
      <c r="FL5338" t="inlineStr">
        <is>
          <t>C</t>
        </is>
      </c>
      <c r="FP5338" t="inlineStr">
        <is>
          <t>C</t>
        </is>
      </c>
    </row>
    <row r="5339">
      <c r="FC5339" t="inlineStr">
        <is>
          <t>Diccionario 5</t>
        </is>
      </c>
      <c r="FD5339" t="inlineStr">
        <is>
          <t>LZPR-79|</t>
        </is>
      </c>
      <c r="FL5339" t="inlineStr">
        <is>
          <t>C</t>
        </is>
      </c>
      <c r="FP5339" t="inlineStr">
        <is>
          <t>C</t>
        </is>
      </c>
    </row>
    <row r="5340">
      <c r="FC5340" t="inlineStr">
        <is>
          <t>Diccionario 5</t>
        </is>
      </c>
      <c r="FD5340" t="inlineStr">
        <is>
          <t>LZPT-50|</t>
        </is>
      </c>
      <c r="FL5340" t="inlineStr">
        <is>
          <t>C</t>
        </is>
      </c>
      <c r="FP5340" t="inlineStr">
        <is>
          <t>C</t>
        </is>
      </c>
    </row>
    <row r="5341">
      <c r="FC5341" t="inlineStr">
        <is>
          <t>Diccionario 5</t>
        </is>
      </c>
      <c r="FD5341" t="inlineStr">
        <is>
          <t>LZPR-80|</t>
        </is>
      </c>
      <c r="FL5341" t="inlineStr">
        <is>
          <t>C</t>
        </is>
      </c>
      <c r="FP5341" t="inlineStr">
        <is>
          <t>C</t>
        </is>
      </c>
    </row>
    <row r="5342">
      <c r="FC5342" t="inlineStr">
        <is>
          <t>Diccionario 5</t>
        </is>
      </c>
      <c r="FD5342" t="inlineStr">
        <is>
          <t>LZPS-10|</t>
        </is>
      </c>
      <c r="FL5342" t="inlineStr">
        <is>
          <t>C</t>
        </is>
      </c>
      <c r="FP5342" t="inlineStr">
        <is>
          <t>C</t>
        </is>
      </c>
    </row>
    <row r="5343">
      <c r="FC5343" t="inlineStr">
        <is>
          <t>Diccionario 5</t>
        </is>
      </c>
      <c r="FD5343" t="inlineStr">
        <is>
          <t>LZPT-59|</t>
        </is>
      </c>
      <c r="FL5343" t="inlineStr">
        <is>
          <t>C</t>
        </is>
      </c>
      <c r="FP5343" t="inlineStr">
        <is>
          <t>C</t>
        </is>
      </c>
    </row>
    <row r="5344">
      <c r="FC5344" t="inlineStr">
        <is>
          <t>Diccionario 5</t>
        </is>
      </c>
      <c r="FD5344" t="inlineStr">
        <is>
          <t>LZPR-93|</t>
        </is>
      </c>
      <c r="FL5344" t="inlineStr">
        <is>
          <t>C</t>
        </is>
      </c>
      <c r="FP5344" t="inlineStr">
        <is>
          <t>C</t>
        </is>
      </c>
    </row>
    <row r="5345">
      <c r="FC5345" t="inlineStr">
        <is>
          <t>Diccionario 5</t>
        </is>
      </c>
      <c r="FD5345" t="inlineStr">
        <is>
          <t>LZPT-39|</t>
        </is>
      </c>
      <c r="FL5345" t="inlineStr">
        <is>
          <t>C</t>
        </is>
      </c>
      <c r="FP5345" t="inlineStr">
        <is>
          <t>C</t>
        </is>
      </c>
    </row>
    <row r="5346">
      <c r="FC5346" t="inlineStr">
        <is>
          <t>Diccionario 5</t>
        </is>
      </c>
      <c r="FD5346" t="inlineStr">
        <is>
          <t>LZPT-72|</t>
        </is>
      </c>
      <c r="FL5346" t="inlineStr">
        <is>
          <t>C</t>
        </is>
      </c>
      <c r="FP5346" t="inlineStr">
        <is>
          <t>C</t>
        </is>
      </c>
    </row>
    <row r="5347">
      <c r="FC5347" t="inlineStr">
        <is>
          <t>Diccionario 5</t>
        </is>
      </c>
      <c r="FD5347" t="inlineStr">
        <is>
          <t>LZPT-38|</t>
        </is>
      </c>
      <c r="FL5347" t="inlineStr">
        <is>
          <t>C</t>
        </is>
      </c>
      <c r="FP5347" t="inlineStr">
        <is>
          <t>C</t>
        </is>
      </c>
    </row>
    <row r="5348">
      <c r="FC5348" t="inlineStr">
        <is>
          <t>Diccionario 5</t>
        </is>
      </c>
      <c r="FD5348" t="inlineStr">
        <is>
          <t>LZPW-16|</t>
        </is>
      </c>
      <c r="FL5348" t="inlineStr">
        <is>
          <t>C</t>
        </is>
      </c>
      <c r="FP5348" t="inlineStr">
        <is>
          <t>C</t>
        </is>
      </c>
    </row>
    <row r="5349">
      <c r="FC5349" t="inlineStr">
        <is>
          <t>Diccionario 5</t>
        </is>
      </c>
      <c r="FD5349" t="inlineStr">
        <is>
          <t>LZPG-17|</t>
        </is>
      </c>
      <c r="FL5349" t="inlineStr">
        <is>
          <t>C</t>
        </is>
      </c>
      <c r="FP5349" t="inlineStr">
        <is>
          <t>C</t>
        </is>
      </c>
    </row>
    <row r="5350">
      <c r="FC5350" t="inlineStr">
        <is>
          <t>Diccionario 5</t>
        </is>
      </c>
      <c r="FD5350" t="inlineStr">
        <is>
          <t>LZPR-88|</t>
        </is>
      </c>
      <c r="FL5350" t="inlineStr">
        <is>
          <t>C</t>
        </is>
      </c>
      <c r="FP5350" t="inlineStr">
        <is>
          <t>C</t>
        </is>
      </c>
    </row>
    <row r="5351">
      <c r="FC5351" t="inlineStr">
        <is>
          <t>Diccionario 5</t>
        </is>
      </c>
      <c r="FD5351" t="inlineStr">
        <is>
          <t>LZPT-53|</t>
        </is>
      </c>
      <c r="FL5351" t="inlineStr">
        <is>
          <t>C</t>
        </is>
      </c>
      <c r="FP5351" t="inlineStr">
        <is>
          <t>C</t>
        </is>
      </c>
    </row>
    <row r="5352">
      <c r="FC5352" t="inlineStr">
        <is>
          <t>Diccionario 5</t>
        </is>
      </c>
      <c r="FD5352" t="inlineStr">
        <is>
          <t>LZPV-99|</t>
        </is>
      </c>
      <c r="FL5352" t="inlineStr">
        <is>
          <t>C</t>
        </is>
      </c>
      <c r="FP5352" t="inlineStr">
        <is>
          <t>C</t>
        </is>
      </c>
    </row>
    <row r="5353">
      <c r="FC5353" t="inlineStr">
        <is>
          <t>Diccionario 5</t>
        </is>
      </c>
      <c r="FD5353" t="inlineStr">
        <is>
          <t>LZPS-16|</t>
        </is>
      </c>
      <c r="FL5353" t="inlineStr">
        <is>
          <t>C</t>
        </is>
      </c>
      <c r="FP5353" t="inlineStr">
        <is>
          <t>C</t>
        </is>
      </c>
    </row>
    <row r="5354">
      <c r="FC5354" t="inlineStr">
        <is>
          <t>Diccionario 5</t>
        </is>
      </c>
      <c r="FD5354" t="inlineStr">
        <is>
          <t>GCBF-51|</t>
        </is>
      </c>
      <c r="FL5354" t="inlineStr">
        <is>
          <t>C</t>
        </is>
      </c>
      <c r="FP5354" t="inlineStr">
        <is>
          <t>C</t>
        </is>
      </c>
    </row>
    <row r="5355">
      <c r="FC5355" t="inlineStr">
        <is>
          <t>Diccionario 5</t>
        </is>
      </c>
      <c r="FD5355" t="inlineStr">
        <is>
          <t>LZPG-10|</t>
        </is>
      </c>
      <c r="FL5355" t="inlineStr">
        <is>
          <t>C</t>
        </is>
      </c>
      <c r="FP5355" t="inlineStr">
        <is>
          <t>C</t>
        </is>
      </c>
    </row>
    <row r="5356">
      <c r="FC5356" t="inlineStr">
        <is>
          <t>Diccionario 5</t>
        </is>
      </c>
      <c r="FD5356" t="inlineStr">
        <is>
          <t>GCBF-47|</t>
        </is>
      </c>
      <c r="FL5356" t="inlineStr">
        <is>
          <t>C</t>
        </is>
      </c>
      <c r="FP5356" t="inlineStr">
        <is>
          <t>C</t>
        </is>
      </c>
    </row>
    <row r="5357">
      <c r="FC5357" t="inlineStr">
        <is>
          <t>Diccionario 5</t>
        </is>
      </c>
      <c r="FD5357" t="inlineStr">
        <is>
          <t>LZPR-85|</t>
        </is>
      </c>
      <c r="FL5357" t="inlineStr">
        <is>
          <t>C</t>
        </is>
      </c>
      <c r="FP5357" t="inlineStr">
        <is>
          <t>C</t>
        </is>
      </c>
    </row>
    <row r="5358">
      <c r="FC5358" t="inlineStr">
        <is>
          <t>Diccionario 5</t>
        </is>
      </c>
      <c r="FD5358" t="inlineStr">
        <is>
          <t>GCBF-44|</t>
        </is>
      </c>
      <c r="FL5358" t="inlineStr">
        <is>
          <t>C</t>
        </is>
      </c>
      <c r="FP5358" t="inlineStr">
        <is>
          <t>C</t>
        </is>
      </c>
    </row>
    <row r="5359">
      <c r="FC5359" t="inlineStr">
        <is>
          <t>Diccionario 5</t>
        </is>
      </c>
      <c r="FD5359" t="inlineStr">
        <is>
          <t>LZPT-63|</t>
        </is>
      </c>
      <c r="FL5359" t="inlineStr">
        <is>
          <t>C</t>
        </is>
      </c>
      <c r="FP5359" t="inlineStr">
        <is>
          <t>C</t>
        </is>
      </c>
    </row>
    <row r="5360">
      <c r="FC5360" t="inlineStr">
        <is>
          <t>Diccionario 5</t>
        </is>
      </c>
      <c r="FD5360" t="inlineStr">
        <is>
          <t>LZPS-23|</t>
        </is>
      </c>
      <c r="FL5360" t="inlineStr">
        <is>
          <t>C</t>
        </is>
      </c>
      <c r="FP5360" t="inlineStr">
        <is>
          <t>C</t>
        </is>
      </c>
    </row>
    <row r="5361">
      <c r="FC5361" t="inlineStr">
        <is>
          <t>Diccionario 5</t>
        </is>
      </c>
      <c r="FD5361" t="inlineStr">
        <is>
          <t>LZPG-21|</t>
        </is>
      </c>
      <c r="FL5361" t="inlineStr">
        <is>
          <t>C</t>
        </is>
      </c>
      <c r="FP5361" t="inlineStr">
        <is>
          <t>C</t>
        </is>
      </c>
    </row>
    <row r="5362">
      <c r="FC5362" t="inlineStr">
        <is>
          <t>Diccionario 5</t>
        </is>
      </c>
      <c r="FD5362" t="inlineStr">
        <is>
          <t>LZRB-82|</t>
        </is>
      </c>
      <c r="FL5362" t="inlineStr">
        <is>
          <t>C</t>
        </is>
      </c>
      <c r="FP5362" t="inlineStr">
        <is>
          <t>C</t>
        </is>
      </c>
    </row>
    <row r="5363">
      <c r="FC5363" t="inlineStr">
        <is>
          <t>Diccionario 5</t>
        </is>
      </c>
      <c r="FD5363" t="inlineStr">
        <is>
          <t>LZPR-81|</t>
        </is>
      </c>
      <c r="FL5363" t="inlineStr">
        <is>
          <t>C</t>
        </is>
      </c>
      <c r="FP5363" t="inlineStr">
        <is>
          <t>C</t>
        </is>
      </c>
    </row>
    <row r="5364">
      <c r="FC5364" t="inlineStr">
        <is>
          <t>Diccionario 5</t>
        </is>
      </c>
      <c r="FD5364" t="inlineStr">
        <is>
          <t>GCBF-48|</t>
        </is>
      </c>
      <c r="FL5364" t="inlineStr">
        <is>
          <t>C</t>
        </is>
      </c>
      <c r="FP5364" t="inlineStr">
        <is>
          <t>C</t>
        </is>
      </c>
    </row>
    <row r="5365">
      <c r="FC5365" t="inlineStr">
        <is>
          <t>Diccionario 5</t>
        </is>
      </c>
      <c r="FD5365" t="inlineStr">
        <is>
          <t>LZPG-20|</t>
        </is>
      </c>
      <c r="FL5365" t="inlineStr">
        <is>
          <t>C</t>
        </is>
      </c>
      <c r="FP5365" t="inlineStr">
        <is>
          <t>C</t>
        </is>
      </c>
    </row>
    <row r="5366">
      <c r="FC5366" t="inlineStr">
        <is>
          <t>Diccionario 5</t>
        </is>
      </c>
      <c r="FD5366" t="inlineStr">
        <is>
          <t>LZPG-14|</t>
        </is>
      </c>
      <c r="FL5366" t="inlineStr">
        <is>
          <t>C</t>
        </is>
      </c>
      <c r="FP5366" t="inlineStr">
        <is>
          <t>C</t>
        </is>
      </c>
    </row>
    <row r="5367">
      <c r="FC5367" t="inlineStr">
        <is>
          <t>Diccionario 5</t>
        </is>
      </c>
      <c r="FD5367" t="inlineStr">
        <is>
          <t>3016 / SFWB-28|</t>
        </is>
      </c>
      <c r="FL5367" t="inlineStr">
        <is>
          <t>B</t>
        </is>
      </c>
      <c r="FP5367" t="inlineStr">
        <is>
          <t>B</t>
        </is>
      </c>
    </row>
    <row r="5368">
      <c r="FC5368" t="inlineStr">
        <is>
          <t>Diccionario 5</t>
        </is>
      </c>
      <c r="FD5368" t="inlineStr">
        <is>
          <t>LZRB-87|</t>
        </is>
      </c>
      <c r="FL5368" t="inlineStr">
        <is>
          <t>C</t>
        </is>
      </c>
      <c r="FP5368" t="inlineStr">
        <is>
          <t>C</t>
        </is>
      </c>
    </row>
    <row r="5369">
      <c r="FC5369" t="inlineStr">
        <is>
          <t>Diccionario 5</t>
        </is>
      </c>
      <c r="FD5369" t="inlineStr">
        <is>
          <t>LXWT-89|</t>
        </is>
      </c>
      <c r="FL5369" t="inlineStr">
        <is>
          <t>C</t>
        </is>
      </c>
      <c r="FP5369" t="inlineStr">
        <is>
          <t>C</t>
        </is>
      </c>
    </row>
    <row r="5370">
      <c r="FC5370" t="inlineStr">
        <is>
          <t>Diccionario 5</t>
        </is>
      </c>
      <c r="FD5370" t="inlineStr">
        <is>
          <t>LZPW-11|</t>
        </is>
      </c>
      <c r="FL5370" t="inlineStr">
        <is>
          <t>C</t>
        </is>
      </c>
      <c r="FP5370" t="inlineStr">
        <is>
          <t>C</t>
        </is>
      </c>
    </row>
    <row r="5371">
      <c r="FC5371" t="inlineStr">
        <is>
          <t>Diccionario 5</t>
        </is>
      </c>
      <c r="FD5371" t="inlineStr">
        <is>
          <t>LZPT-46|</t>
        </is>
      </c>
      <c r="FL5371" t="inlineStr">
        <is>
          <t>C</t>
        </is>
      </c>
      <c r="FP5371" t="inlineStr">
        <is>
          <t>C</t>
        </is>
      </c>
    </row>
    <row r="5372">
      <c r="FC5372" t="inlineStr">
        <is>
          <t>Diccionario 5</t>
        </is>
      </c>
      <c r="FD5372" t="inlineStr">
        <is>
          <t>LZRB-86|</t>
        </is>
      </c>
      <c r="FL5372" t="inlineStr">
        <is>
          <t>C</t>
        </is>
      </c>
      <c r="FP5372" t="inlineStr">
        <is>
          <t>C</t>
        </is>
      </c>
    </row>
    <row r="5373">
      <c r="FC5373" t="inlineStr">
        <is>
          <t>Diccionario 5</t>
        </is>
      </c>
      <c r="FD5373" t="inlineStr">
        <is>
          <t>LZPG-27|</t>
        </is>
      </c>
      <c r="FL5373" t="inlineStr">
        <is>
          <t>C</t>
        </is>
      </c>
      <c r="FP5373" t="inlineStr">
        <is>
          <t>C</t>
        </is>
      </c>
    </row>
    <row r="5374">
      <c r="FC5374" t="inlineStr">
        <is>
          <t>Diccionario 5</t>
        </is>
      </c>
      <c r="FD5374" t="inlineStr">
        <is>
          <t>LZPS-18|</t>
        </is>
      </c>
      <c r="FL5374" t="inlineStr">
        <is>
          <t>C</t>
        </is>
      </c>
      <c r="FP5374" t="inlineStr">
        <is>
          <t>C</t>
        </is>
      </c>
    </row>
    <row r="5375">
      <c r="FC5375" t="inlineStr">
        <is>
          <t>Diccionario 5</t>
        </is>
      </c>
      <c r="FD5375" t="inlineStr">
        <is>
          <t>LZPG-18|</t>
        </is>
      </c>
      <c r="FL5375" t="inlineStr">
        <is>
          <t>C</t>
        </is>
      </c>
      <c r="FP5375" t="inlineStr">
        <is>
          <t>C</t>
        </is>
      </c>
    </row>
    <row r="5376">
      <c r="FC5376" t="inlineStr">
        <is>
          <t>Diccionario 5</t>
        </is>
      </c>
      <c r="FD5376" t="inlineStr">
        <is>
          <t>LZPT-64|</t>
        </is>
      </c>
      <c r="FL5376" t="inlineStr">
        <is>
          <t>C</t>
        </is>
      </c>
      <c r="FP5376" t="inlineStr">
        <is>
          <t>C</t>
        </is>
      </c>
    </row>
    <row r="5377">
      <c r="FC5377" t="inlineStr">
        <is>
          <t>Diccionario 5</t>
        </is>
      </c>
      <c r="FD5377" t="inlineStr">
        <is>
          <t>LZPT-47|</t>
        </is>
      </c>
      <c r="FL5377" t="inlineStr">
        <is>
          <t>C</t>
        </is>
      </c>
      <c r="FP5377" t="inlineStr">
        <is>
          <t>C</t>
        </is>
      </c>
    </row>
    <row r="5378">
      <c r="FC5378" t="inlineStr">
        <is>
          <t>Diccionario 5</t>
        </is>
      </c>
      <c r="FD5378" t="inlineStr">
        <is>
          <t>LZPG-12|</t>
        </is>
      </c>
      <c r="FL5378" t="inlineStr">
        <is>
          <t>C</t>
        </is>
      </c>
      <c r="FP5378" t="inlineStr">
        <is>
          <t>C</t>
        </is>
      </c>
    </row>
    <row r="5379">
      <c r="FC5379" t="inlineStr">
        <is>
          <t>Diccionario 5</t>
        </is>
      </c>
      <c r="FD5379" t="inlineStr">
        <is>
          <t>LZPT-39|</t>
        </is>
      </c>
      <c r="FL5379" t="inlineStr">
        <is>
          <t>C</t>
        </is>
      </c>
      <c r="FP5379" t="inlineStr">
        <is>
          <t>C</t>
        </is>
      </c>
    </row>
    <row r="5380">
      <c r="FC5380" t="inlineStr">
        <is>
          <t>Diccionario 5</t>
        </is>
      </c>
      <c r="FD5380" t="inlineStr">
        <is>
          <t>LZPR-93|</t>
        </is>
      </c>
      <c r="FL5380" t="inlineStr">
        <is>
          <t>C</t>
        </is>
      </c>
      <c r="FP5380" t="inlineStr">
        <is>
          <t>C</t>
        </is>
      </c>
    </row>
    <row r="5381">
      <c r="FC5381" t="inlineStr">
        <is>
          <t>Diccionario 5</t>
        </is>
      </c>
      <c r="FD5381" t="inlineStr">
        <is>
          <t>LZPW-16|</t>
        </is>
      </c>
      <c r="FL5381" t="inlineStr">
        <is>
          <t>C</t>
        </is>
      </c>
      <c r="FP5381" t="inlineStr">
        <is>
          <t>C</t>
        </is>
      </c>
    </row>
    <row r="5382">
      <c r="FC5382" t="inlineStr">
        <is>
          <t>Diccionario 5</t>
        </is>
      </c>
      <c r="FD5382" t="inlineStr">
        <is>
          <t>LZPS-10|</t>
        </is>
      </c>
      <c r="FL5382" t="inlineStr">
        <is>
          <t>C</t>
        </is>
      </c>
      <c r="FP5382" t="inlineStr">
        <is>
          <t>C</t>
        </is>
      </c>
    </row>
    <row r="5383">
      <c r="FC5383" t="inlineStr">
        <is>
          <t>Diccionario 5</t>
        </is>
      </c>
      <c r="FD5383" t="inlineStr">
        <is>
          <t>9951 / TBZB-24|</t>
        </is>
      </c>
      <c r="FL5383" t="inlineStr">
        <is>
          <t>C</t>
        </is>
      </c>
      <c r="FP5383" t="inlineStr">
        <is>
          <t>C</t>
        </is>
      </c>
    </row>
    <row r="5384">
      <c r="FC5384" t="inlineStr">
        <is>
          <t>Diccionario 5</t>
        </is>
      </c>
      <c r="FD5384" t="inlineStr">
        <is>
          <t>LZPT-60|</t>
        </is>
      </c>
      <c r="FL5384" t="inlineStr">
        <is>
          <t>C</t>
        </is>
      </c>
      <c r="FP5384" t="inlineStr">
        <is>
          <t>C</t>
        </is>
      </c>
    </row>
    <row r="5385">
      <c r="FC5385" t="inlineStr">
        <is>
          <t>Diccionario 5</t>
        </is>
      </c>
      <c r="FD5385" t="inlineStr">
        <is>
          <t>LZRB-83|</t>
        </is>
      </c>
      <c r="FL5385" t="inlineStr">
        <is>
          <t>C</t>
        </is>
      </c>
      <c r="FP5385" t="inlineStr">
        <is>
          <t>C</t>
        </is>
      </c>
    </row>
    <row r="5386">
      <c r="FC5386" t="inlineStr">
        <is>
          <t>Diccionario 5</t>
        </is>
      </c>
      <c r="FD5386" t="inlineStr">
        <is>
          <t>LZPT-38|</t>
        </is>
      </c>
      <c r="FL5386" t="inlineStr">
        <is>
          <t>C</t>
        </is>
      </c>
      <c r="FP5386" t="inlineStr">
        <is>
          <t>C</t>
        </is>
      </c>
    </row>
    <row r="5387">
      <c r="FC5387" t="inlineStr">
        <is>
          <t>Diccionario 5</t>
        </is>
      </c>
      <c r="FD5387" t="inlineStr">
        <is>
          <t>LXWT-84|</t>
        </is>
      </c>
      <c r="FL5387" t="inlineStr">
        <is>
          <t>C</t>
        </is>
      </c>
      <c r="FP5387" t="inlineStr">
        <is>
          <t>C</t>
        </is>
      </c>
    </row>
    <row r="5388">
      <c r="FC5388" t="inlineStr">
        <is>
          <t>Diccionario 5</t>
        </is>
      </c>
      <c r="FD5388" t="inlineStr">
        <is>
          <t>LZPT-63|</t>
        </is>
      </c>
      <c r="FL5388" t="inlineStr">
        <is>
          <t>C</t>
        </is>
      </c>
      <c r="FP5388" t="inlineStr">
        <is>
          <t>C</t>
        </is>
      </c>
    </row>
    <row r="5389">
      <c r="FC5389" t="inlineStr">
        <is>
          <t>Diccionario 5</t>
        </is>
      </c>
      <c r="FD5389" t="inlineStr">
        <is>
          <t>9930 / SXKV-99|</t>
        </is>
      </c>
      <c r="FL5389" t="inlineStr">
        <is>
          <t>C</t>
        </is>
      </c>
      <c r="FP5389" t="inlineStr">
        <is>
          <t>C</t>
        </is>
      </c>
    </row>
    <row r="5390">
      <c r="FC5390" t="inlineStr">
        <is>
          <t>Diccionario 5</t>
        </is>
      </c>
      <c r="FD5390" t="inlineStr">
        <is>
          <t>LZPR-81|</t>
        </is>
      </c>
      <c r="FL5390" t="inlineStr">
        <is>
          <t>C</t>
        </is>
      </c>
      <c r="FP5390" t="inlineStr">
        <is>
          <t>C</t>
        </is>
      </c>
    </row>
    <row r="5391">
      <c r="FC5391" t="inlineStr">
        <is>
          <t>Diccionario 5</t>
        </is>
      </c>
      <c r="FD5391" t="inlineStr">
        <is>
          <t>LZPG-13|</t>
        </is>
      </c>
      <c r="FL5391" t="inlineStr">
        <is>
          <t>C</t>
        </is>
      </c>
      <c r="FP5391" t="inlineStr">
        <is>
          <t>C</t>
        </is>
      </c>
    </row>
    <row r="5392">
      <c r="FC5392" t="inlineStr">
        <is>
          <t>Diccionario 5</t>
        </is>
      </c>
      <c r="FD5392" t="inlineStr">
        <is>
          <t>LXWT-82|</t>
        </is>
      </c>
      <c r="FL5392" t="inlineStr">
        <is>
          <t>C</t>
        </is>
      </c>
      <c r="FP5392" t="inlineStr">
        <is>
          <t>C</t>
        </is>
      </c>
    </row>
    <row r="5393">
      <c r="FC5393" t="inlineStr">
        <is>
          <t>Diccionario 5</t>
        </is>
      </c>
      <c r="FD5393" t="inlineStr">
        <is>
          <t>LXWT-83|</t>
        </is>
      </c>
      <c r="FL5393" t="inlineStr">
        <is>
          <t>C</t>
        </is>
      </c>
      <c r="FP5393" t="inlineStr">
        <is>
          <t>C</t>
        </is>
      </c>
    </row>
    <row r="5394">
      <c r="FC5394" t="inlineStr">
        <is>
          <t>Diccionario 5</t>
        </is>
      </c>
      <c r="FD5394" t="inlineStr">
        <is>
          <t>LZPT-48|</t>
        </is>
      </c>
      <c r="FL5394" t="inlineStr">
        <is>
          <t>C</t>
        </is>
      </c>
      <c r="FP5394" t="inlineStr">
        <is>
          <t>C</t>
        </is>
      </c>
    </row>
    <row r="5395">
      <c r="FC5395" t="inlineStr">
        <is>
          <t>Diccionario 5</t>
        </is>
      </c>
      <c r="FD5395" t="inlineStr">
        <is>
          <t>LZPR-79|</t>
        </is>
      </c>
      <c r="FL5395" t="inlineStr">
        <is>
          <t>C</t>
        </is>
      </c>
      <c r="FP5395" t="inlineStr">
        <is>
          <t>C</t>
        </is>
      </c>
    </row>
    <row r="5396">
      <c r="FC5396" t="inlineStr">
        <is>
          <t>Diccionario 5</t>
        </is>
      </c>
      <c r="FD5396" t="inlineStr">
        <is>
          <t>LZPT-64|</t>
        </is>
      </c>
      <c r="FL5396" t="inlineStr">
        <is>
          <t>C</t>
        </is>
      </c>
      <c r="FP5396" t="inlineStr">
        <is>
          <t>C</t>
        </is>
      </c>
    </row>
    <row r="5397">
      <c r="FC5397" t="inlineStr">
        <is>
          <t>Diccionario 5</t>
        </is>
      </c>
      <c r="FD5397" t="inlineStr">
        <is>
          <t>LZPG-20|</t>
        </is>
      </c>
      <c r="FL5397" t="inlineStr">
        <is>
          <t>C</t>
        </is>
      </c>
      <c r="FP5397" t="inlineStr">
        <is>
          <t>C</t>
        </is>
      </c>
    </row>
    <row r="5398">
      <c r="FC5398" t="inlineStr">
        <is>
          <t>Diccionario 5</t>
        </is>
      </c>
      <c r="FD5398" t="inlineStr">
        <is>
          <t>LZPS-12|</t>
        </is>
      </c>
      <c r="FL5398" t="inlineStr">
        <is>
          <t>C</t>
        </is>
      </c>
      <c r="FP5398" t="inlineStr">
        <is>
          <t>C</t>
        </is>
      </c>
    </row>
    <row r="5399">
      <c r="FC5399" t="inlineStr">
        <is>
          <t>Diccionario 5</t>
        </is>
      </c>
      <c r="FD5399" t="inlineStr">
        <is>
          <t>LZPT-39|</t>
        </is>
      </c>
      <c r="FL5399" t="inlineStr">
        <is>
          <t>C</t>
        </is>
      </c>
      <c r="FP5399" t="inlineStr">
        <is>
          <t>C</t>
        </is>
      </c>
    </row>
    <row r="5400">
      <c r="FC5400" t="inlineStr">
        <is>
          <t>Diccionario 5</t>
        </is>
      </c>
      <c r="FD5400" t="inlineStr">
        <is>
          <t>LXWT-96|</t>
        </is>
      </c>
      <c r="FL5400" t="inlineStr">
        <is>
          <t>C</t>
        </is>
      </c>
      <c r="FP5400" t="inlineStr">
        <is>
          <t>C</t>
        </is>
      </c>
    </row>
    <row r="5401">
      <c r="FC5401" t="inlineStr">
        <is>
          <t>Diccionario 5</t>
        </is>
      </c>
      <c r="FD5401" t="inlineStr">
        <is>
          <t>LZPW-15|</t>
        </is>
      </c>
      <c r="FL5401" t="inlineStr">
        <is>
          <t>C</t>
        </is>
      </c>
      <c r="FP5401" t="inlineStr">
        <is>
          <t>C</t>
        </is>
      </c>
    </row>
    <row r="5402">
      <c r="FC5402" t="inlineStr">
        <is>
          <t>Diccionario 5</t>
        </is>
      </c>
      <c r="FD5402" t="inlineStr">
        <is>
          <t>LZPT-58|</t>
        </is>
      </c>
      <c r="FL5402" t="inlineStr">
        <is>
          <t>C</t>
        </is>
      </c>
      <c r="FP5402" t="inlineStr">
        <is>
          <t>C</t>
        </is>
      </c>
    </row>
    <row r="5403">
      <c r="FC5403" t="inlineStr">
        <is>
          <t>Diccionario 5</t>
        </is>
      </c>
      <c r="FD5403" t="inlineStr">
        <is>
          <t>LZPT-47|</t>
        </is>
      </c>
      <c r="FL5403" t="inlineStr">
        <is>
          <t>C</t>
        </is>
      </c>
      <c r="FP5403" t="inlineStr">
        <is>
          <t>C</t>
        </is>
      </c>
    </row>
    <row r="5404">
      <c r="FC5404" t="inlineStr">
        <is>
          <t>Diccionario 5</t>
        </is>
      </c>
      <c r="FD5404" t="inlineStr">
        <is>
          <t>LZPW-19|</t>
        </is>
      </c>
      <c r="FL5404" t="inlineStr">
        <is>
          <t>C</t>
        </is>
      </c>
      <c r="FP5404" t="inlineStr">
        <is>
          <t>C</t>
        </is>
      </c>
    </row>
    <row r="5405">
      <c r="FC5405" t="inlineStr">
        <is>
          <t>Diccionario 5</t>
        </is>
      </c>
      <c r="FD5405" t="inlineStr">
        <is>
          <t>GCBF-51|</t>
        </is>
      </c>
      <c r="FL5405" t="inlineStr">
        <is>
          <t>C</t>
        </is>
      </c>
      <c r="FP5405" t="inlineStr">
        <is>
          <t>C</t>
        </is>
      </c>
    </row>
    <row r="5406">
      <c r="FC5406" t="inlineStr">
        <is>
          <t>Diccionario 5</t>
        </is>
      </c>
      <c r="FD5406" t="inlineStr">
        <is>
          <t>LZPT-41|</t>
        </is>
      </c>
      <c r="FL5406" t="inlineStr">
        <is>
          <t>C</t>
        </is>
      </c>
      <c r="FP5406" t="inlineStr">
        <is>
          <t>C</t>
        </is>
      </c>
    </row>
    <row r="5407">
      <c r="FC5407" t="inlineStr">
        <is>
          <t>Diccionario 5</t>
        </is>
      </c>
      <c r="FD5407" t="inlineStr">
        <is>
          <t>LZPS-22|</t>
        </is>
      </c>
      <c r="FL5407" t="inlineStr">
        <is>
          <t>C</t>
        </is>
      </c>
      <c r="FP5407" t="inlineStr">
        <is>
          <t>C</t>
        </is>
      </c>
    </row>
    <row r="5408">
      <c r="FC5408" t="inlineStr">
        <is>
          <t>Diccionario 5</t>
        </is>
      </c>
      <c r="FD5408" t="inlineStr">
        <is>
          <t>LZPW-21|</t>
        </is>
      </c>
      <c r="FL5408" t="inlineStr">
        <is>
          <t>C</t>
        </is>
      </c>
      <c r="FP5408" t="inlineStr">
        <is>
          <t>C</t>
        </is>
      </c>
    </row>
    <row r="5409">
      <c r="FC5409" t="inlineStr">
        <is>
          <t>Diccionario 5</t>
        </is>
      </c>
      <c r="FD5409" t="inlineStr">
        <is>
          <t>LZPR-78|</t>
        </is>
      </c>
      <c r="FL5409" t="inlineStr">
        <is>
          <t>C</t>
        </is>
      </c>
      <c r="FP5409" t="inlineStr">
        <is>
          <t>C</t>
        </is>
      </c>
    </row>
    <row r="5410">
      <c r="FC5410" t="inlineStr">
        <is>
          <t>Diccionario 5</t>
        </is>
      </c>
      <c r="FD5410" t="inlineStr">
        <is>
          <t>LZPT-76|</t>
        </is>
      </c>
      <c r="FL5410" t="inlineStr">
        <is>
          <t>C</t>
        </is>
      </c>
      <c r="FP5410" t="inlineStr">
        <is>
          <t>C</t>
        </is>
      </c>
    </row>
    <row r="5411">
      <c r="FC5411" t="inlineStr">
        <is>
          <t>Diccionario 5</t>
        </is>
      </c>
      <c r="FD5411" t="inlineStr">
        <is>
          <t>LZPT-55|</t>
        </is>
      </c>
      <c r="FL5411" t="inlineStr">
        <is>
          <t>C</t>
        </is>
      </c>
      <c r="FP5411" t="inlineStr">
        <is>
          <t>C</t>
        </is>
      </c>
    </row>
    <row r="5412">
      <c r="FC5412" t="inlineStr">
        <is>
          <t>Diccionario 5</t>
        </is>
      </c>
      <c r="FD5412" t="inlineStr">
        <is>
          <t>LZPT-45|</t>
        </is>
      </c>
      <c r="FL5412" t="inlineStr">
        <is>
          <t>C</t>
        </is>
      </c>
      <c r="FP5412" t="inlineStr">
        <is>
          <t>C</t>
        </is>
      </c>
    </row>
    <row r="5413">
      <c r="FC5413" t="inlineStr">
        <is>
          <t>Diccionario 5</t>
        </is>
      </c>
      <c r="FD5413" t="inlineStr">
        <is>
          <t>LXWT-99|</t>
        </is>
      </c>
      <c r="FL5413" t="inlineStr">
        <is>
          <t>C</t>
        </is>
      </c>
      <c r="FP5413" t="inlineStr">
        <is>
          <t>C</t>
        </is>
      </c>
    </row>
    <row r="5414">
      <c r="FC5414" t="inlineStr">
        <is>
          <t>Diccionario 5</t>
        </is>
      </c>
      <c r="FD5414" t="inlineStr">
        <is>
          <t>LZPT-71|</t>
        </is>
      </c>
      <c r="FL5414" t="inlineStr">
        <is>
          <t>C</t>
        </is>
      </c>
      <c r="FP5414" t="inlineStr">
        <is>
          <t>C</t>
        </is>
      </c>
    </row>
    <row r="5415">
      <c r="FC5415" t="inlineStr">
        <is>
          <t>Diccionario 5</t>
        </is>
      </c>
      <c r="FD5415" t="inlineStr">
        <is>
          <t>LZPW-16|</t>
        </is>
      </c>
      <c r="FL5415" t="inlineStr">
        <is>
          <t>C</t>
        </is>
      </c>
      <c r="FP5415" t="inlineStr">
        <is>
          <t>C</t>
        </is>
      </c>
    </row>
    <row r="5416">
      <c r="FC5416" t="inlineStr">
        <is>
          <t>Diccionario 5</t>
        </is>
      </c>
      <c r="FD5416" t="inlineStr">
        <is>
          <t>LXWT-88|</t>
        </is>
      </c>
      <c r="FL5416" t="inlineStr">
        <is>
          <t>C</t>
        </is>
      </c>
      <c r="FP5416" t="inlineStr">
        <is>
          <t>C</t>
        </is>
      </c>
    </row>
    <row r="5417">
      <c r="FC5417" t="inlineStr">
        <is>
          <t>Diccionario 5</t>
        </is>
      </c>
      <c r="FD5417" t="inlineStr">
        <is>
          <t>LXWT-84|</t>
        </is>
      </c>
      <c r="FL5417" t="inlineStr">
        <is>
          <t>C</t>
        </is>
      </c>
      <c r="FP5417" t="inlineStr">
        <is>
          <t>C</t>
        </is>
      </c>
    </row>
    <row r="5418">
      <c r="FC5418" t="inlineStr">
        <is>
          <t>Diccionario 5</t>
        </is>
      </c>
      <c r="FD5418" t="inlineStr">
        <is>
          <t>LZPG-11|</t>
        </is>
      </c>
      <c r="FL5418" t="inlineStr">
        <is>
          <t>C</t>
        </is>
      </c>
      <c r="FP5418" t="inlineStr">
        <is>
          <t>C</t>
        </is>
      </c>
    </row>
    <row r="5419">
      <c r="FC5419" t="inlineStr">
        <is>
          <t>Diccionario 5</t>
        </is>
      </c>
      <c r="FD5419" t="inlineStr">
        <is>
          <t>3102 / SFWZ-59|</t>
        </is>
      </c>
      <c r="FL5419" t="inlineStr">
        <is>
          <t>B</t>
        </is>
      </c>
      <c r="FP5419" t="inlineStr">
        <is>
          <t>B</t>
        </is>
      </c>
    </row>
    <row r="5420">
      <c r="FC5420" t="inlineStr">
        <is>
          <t>Diccionario 5</t>
        </is>
      </c>
      <c r="FD5420" t="inlineStr">
        <is>
          <t>LZPR-82|</t>
        </is>
      </c>
      <c r="FL5420" t="inlineStr">
        <is>
          <t>C</t>
        </is>
      </c>
      <c r="FP5420" t="inlineStr">
        <is>
          <t>C</t>
        </is>
      </c>
    </row>
    <row r="5421">
      <c r="FC5421" t="inlineStr">
        <is>
          <t>Diccionario 5</t>
        </is>
      </c>
      <c r="FD5421" t="inlineStr">
        <is>
          <t>LZPR-88|</t>
        </is>
      </c>
      <c r="FL5421" t="inlineStr">
        <is>
          <t>C</t>
        </is>
      </c>
      <c r="FP5421" t="inlineStr">
        <is>
          <t>C</t>
        </is>
      </c>
    </row>
    <row r="5422">
      <c r="FC5422" t="inlineStr">
        <is>
          <t>Diccionario 5</t>
        </is>
      </c>
      <c r="FD5422" t="inlineStr">
        <is>
          <t>GCBF-46|</t>
        </is>
      </c>
      <c r="FL5422" t="inlineStr">
        <is>
          <t>C</t>
        </is>
      </c>
      <c r="FP5422" t="inlineStr">
        <is>
          <t>C</t>
        </is>
      </c>
    </row>
    <row r="5423">
      <c r="FC5423" t="inlineStr">
        <is>
          <t>Diccionario 5</t>
        </is>
      </c>
      <c r="FD5423" t="inlineStr">
        <is>
          <t>VJKD-70|</t>
        </is>
      </c>
      <c r="FL5423" t="inlineStr">
        <is>
          <t>B</t>
        </is>
      </c>
      <c r="FP5423" t="inlineStr">
        <is>
          <t>B</t>
        </is>
      </c>
    </row>
    <row r="5424">
      <c r="FC5424" t="inlineStr">
        <is>
          <t>Diccionario 5</t>
        </is>
      </c>
      <c r="FD5424" t="inlineStr">
        <is>
          <t>LXWT-91|</t>
        </is>
      </c>
      <c r="FL5424" t="inlineStr">
        <is>
          <t>C</t>
        </is>
      </c>
      <c r="FP5424" t="inlineStr">
        <is>
          <t>C</t>
        </is>
      </c>
    </row>
    <row r="5425">
      <c r="FC5425" t="inlineStr">
        <is>
          <t>Diccionario 5</t>
        </is>
      </c>
      <c r="FD5425" t="inlineStr">
        <is>
          <t>3066 / SFWB-10|</t>
        </is>
      </c>
      <c r="FL5425" t="inlineStr">
        <is>
          <t>B</t>
        </is>
      </c>
      <c r="FP5425" t="inlineStr">
        <is>
          <t>B</t>
        </is>
      </c>
    </row>
    <row r="5426">
      <c r="FC5426" t="inlineStr">
        <is>
          <t>Diccionario 5</t>
        </is>
      </c>
      <c r="FD5426" t="inlineStr">
        <is>
          <t>LZPR-92|</t>
        </is>
      </c>
      <c r="FL5426" t="inlineStr">
        <is>
          <t>C</t>
        </is>
      </c>
      <c r="FP5426" t="inlineStr">
        <is>
          <t>C</t>
        </is>
      </c>
    </row>
    <row r="5427">
      <c r="FC5427" t="inlineStr">
        <is>
          <t>Diccionario 5</t>
        </is>
      </c>
      <c r="FD5427" t="inlineStr">
        <is>
          <t>LZPW-11|</t>
        </is>
      </c>
      <c r="FL5427" t="inlineStr">
        <is>
          <t>C</t>
        </is>
      </c>
      <c r="FP5427" t="inlineStr">
        <is>
          <t>C</t>
        </is>
      </c>
    </row>
    <row r="5428">
      <c r="FC5428" t="inlineStr">
        <is>
          <t>Diccionario 5</t>
        </is>
      </c>
      <c r="FD5428" t="inlineStr">
        <is>
          <t>LZPW-13|</t>
        </is>
      </c>
      <c r="FL5428" t="inlineStr">
        <is>
          <t>C</t>
        </is>
      </c>
      <c r="FP5428" t="inlineStr">
        <is>
          <t>C</t>
        </is>
      </c>
    </row>
    <row r="5429">
      <c r="FC5429" t="inlineStr">
        <is>
          <t>Diccionario 5</t>
        </is>
      </c>
      <c r="FD5429" t="inlineStr">
        <is>
          <t>LZPG-21|</t>
        </is>
      </c>
      <c r="FL5429" t="inlineStr">
        <is>
          <t>C</t>
        </is>
      </c>
      <c r="FP5429" t="inlineStr">
        <is>
          <t>C</t>
        </is>
      </c>
    </row>
    <row r="5430">
      <c r="FC5430" t="inlineStr">
        <is>
          <t>Diccionario 5</t>
        </is>
      </c>
      <c r="FD5430" t="inlineStr">
        <is>
          <t>7747 / GCBC-34|</t>
        </is>
      </c>
      <c r="FL5430" t="inlineStr">
        <is>
          <t>BPAL</t>
        </is>
      </c>
      <c r="FP5430" t="inlineStr">
        <is>
          <t>BPAL</t>
        </is>
      </c>
    </row>
    <row r="5431">
      <c r="FC5431" t="inlineStr">
        <is>
          <t>Diccionario 5</t>
        </is>
      </c>
      <c r="FD5431" t="inlineStr">
        <is>
          <t>VJKG-16|</t>
        </is>
      </c>
      <c r="FL5431" t="inlineStr">
        <is>
          <t>B</t>
        </is>
      </c>
      <c r="FP5431" t="inlineStr">
        <is>
          <t>B</t>
        </is>
      </c>
    </row>
    <row r="5432">
      <c r="FC5432" t="inlineStr">
        <is>
          <t>Diccionario 5</t>
        </is>
      </c>
      <c r="FD5432" t="inlineStr">
        <is>
          <t>LZPG-26|</t>
        </is>
      </c>
      <c r="FL5432" t="inlineStr">
        <is>
          <t>C</t>
        </is>
      </c>
      <c r="FP5432" t="inlineStr">
        <is>
          <t>C</t>
        </is>
      </c>
    </row>
    <row r="5433">
      <c r="FC5433" t="inlineStr">
        <is>
          <t>Diccionario 5</t>
        </is>
      </c>
      <c r="FD5433" t="inlineStr">
        <is>
          <t>LZRB-86|</t>
        </is>
      </c>
      <c r="FL5433" t="inlineStr">
        <is>
          <t>C</t>
        </is>
      </c>
      <c r="FP5433" t="inlineStr">
        <is>
          <t>C</t>
        </is>
      </c>
    </row>
    <row r="5434">
      <c r="FC5434" t="inlineStr">
        <is>
          <t>Diccionario 5</t>
        </is>
      </c>
      <c r="FD5434" t="inlineStr">
        <is>
          <t>LZPG-25|</t>
        </is>
      </c>
      <c r="FL5434" t="inlineStr">
        <is>
          <t>C</t>
        </is>
      </c>
      <c r="FP5434" t="inlineStr">
        <is>
          <t>C</t>
        </is>
      </c>
    </row>
    <row r="5435">
      <c r="FC5435" t="inlineStr">
        <is>
          <t>Diccionario 5</t>
        </is>
      </c>
      <c r="FD5435" t="inlineStr">
        <is>
          <t>LZPR-94|</t>
        </is>
      </c>
      <c r="FL5435" t="inlineStr">
        <is>
          <t>C</t>
        </is>
      </c>
      <c r="FP5435" t="inlineStr">
        <is>
          <t>C</t>
        </is>
      </c>
    </row>
    <row r="5436">
      <c r="FC5436" t="inlineStr">
        <is>
          <t>Diccionario 5</t>
        </is>
      </c>
      <c r="FD5436" t="inlineStr">
        <is>
          <t>LZPS-16|</t>
        </is>
      </c>
      <c r="FL5436" t="inlineStr">
        <is>
          <t>C</t>
        </is>
      </c>
      <c r="FP5436" t="inlineStr">
        <is>
          <t>C</t>
        </is>
      </c>
    </row>
    <row r="5437">
      <c r="FC5437" t="inlineStr">
        <is>
          <t>Diccionario 5</t>
        </is>
      </c>
      <c r="FD5437" t="inlineStr">
        <is>
          <t>LZPT-47|</t>
        </is>
      </c>
      <c r="FL5437" t="inlineStr">
        <is>
          <t>C</t>
        </is>
      </c>
      <c r="FP5437" t="inlineStr">
        <is>
          <t>C</t>
        </is>
      </c>
    </row>
    <row r="5438">
      <c r="FC5438" t="inlineStr">
        <is>
          <t>Diccionario 5</t>
        </is>
      </c>
      <c r="FD5438" t="inlineStr">
        <is>
          <t>LZPT-38|</t>
        </is>
      </c>
      <c r="FL5438" t="inlineStr">
        <is>
          <t>C</t>
        </is>
      </c>
      <c r="FP5438" t="inlineStr">
        <is>
          <t>C</t>
        </is>
      </c>
    </row>
    <row r="5439">
      <c r="FC5439" t="inlineStr">
        <is>
          <t>Diccionario 5</t>
        </is>
      </c>
      <c r="FD5439" t="inlineStr">
        <is>
          <t>LZPT-54|</t>
        </is>
      </c>
      <c r="FL5439" t="inlineStr">
        <is>
          <t>C</t>
        </is>
      </c>
      <c r="FP5439" t="inlineStr">
        <is>
          <t>C</t>
        </is>
      </c>
    </row>
    <row r="5440">
      <c r="FC5440" t="inlineStr">
        <is>
          <t>Diccionario 5</t>
        </is>
      </c>
      <c r="FD5440" t="inlineStr">
        <is>
          <t>LZPT-48|</t>
        </is>
      </c>
      <c r="FL5440" t="inlineStr">
        <is>
          <t>C</t>
        </is>
      </c>
      <c r="FP5440" t="inlineStr">
        <is>
          <t>C</t>
        </is>
      </c>
    </row>
    <row r="5441">
      <c r="FC5441" t="inlineStr">
        <is>
          <t>Diccionario 5</t>
        </is>
      </c>
      <c r="FD5441" t="inlineStr">
        <is>
          <t>LXWT-97|</t>
        </is>
      </c>
      <c r="FL5441" t="inlineStr">
        <is>
          <t>C</t>
        </is>
      </c>
      <c r="FP5441" t="inlineStr">
        <is>
          <t>C</t>
        </is>
      </c>
    </row>
    <row r="5442">
      <c r="FC5442" t="inlineStr">
        <is>
          <t>Diccionario 5</t>
        </is>
      </c>
      <c r="FD5442" t="inlineStr">
        <is>
          <t>LZPT-40|</t>
        </is>
      </c>
      <c r="FL5442" t="inlineStr">
        <is>
          <t>C</t>
        </is>
      </c>
      <c r="FP5442" t="inlineStr">
        <is>
          <t>C</t>
        </is>
      </c>
    </row>
    <row r="5443">
      <c r="FC5443" t="inlineStr">
        <is>
          <t>Diccionario 5</t>
        </is>
      </c>
      <c r="FD5443" t="inlineStr">
        <is>
          <t>LZPT-41|</t>
        </is>
      </c>
      <c r="FL5443" t="inlineStr">
        <is>
          <t>C</t>
        </is>
      </c>
      <c r="FP5443" t="inlineStr">
        <is>
          <t>C</t>
        </is>
      </c>
    </row>
    <row r="5444">
      <c r="FC5444" t="inlineStr">
        <is>
          <t>Diccionario 5</t>
        </is>
      </c>
      <c r="FD5444" t="inlineStr">
        <is>
          <t>LZPW-21|</t>
        </is>
      </c>
      <c r="FL5444" t="inlineStr">
        <is>
          <t>C</t>
        </is>
      </c>
      <c r="FP5444" t="inlineStr">
        <is>
          <t>C</t>
        </is>
      </c>
    </row>
    <row r="5445">
      <c r="FC5445" t="inlineStr">
        <is>
          <t>Diccionario 5</t>
        </is>
      </c>
      <c r="FD5445" t="inlineStr">
        <is>
          <t>LZPT-53|</t>
        </is>
      </c>
      <c r="FL5445" t="inlineStr">
        <is>
          <t>C</t>
        </is>
      </c>
      <c r="FP5445" t="inlineStr">
        <is>
          <t>C</t>
        </is>
      </c>
    </row>
    <row r="5446">
      <c r="FC5446" t="inlineStr">
        <is>
          <t>Diccionario 5</t>
        </is>
      </c>
      <c r="FD5446" t="inlineStr">
        <is>
          <t>LZPT-55|</t>
        </is>
      </c>
      <c r="FL5446" t="inlineStr">
        <is>
          <t>C</t>
        </is>
      </c>
      <c r="FP5446" t="inlineStr">
        <is>
          <t>C</t>
        </is>
      </c>
    </row>
    <row r="5447">
      <c r="FC5447" t="inlineStr">
        <is>
          <t>Diccionario 5</t>
        </is>
      </c>
      <c r="FD5447" t="inlineStr">
        <is>
          <t>LZPT-71|</t>
        </is>
      </c>
      <c r="FL5447" t="inlineStr">
        <is>
          <t>C</t>
        </is>
      </c>
      <c r="FP5447" t="inlineStr">
        <is>
          <t>C</t>
        </is>
      </c>
    </row>
    <row r="5448">
      <c r="FC5448" t="inlineStr">
        <is>
          <t>Diccionario 5</t>
        </is>
      </c>
      <c r="FD5448" t="inlineStr">
        <is>
          <t>GCBF-43|</t>
        </is>
      </c>
      <c r="FL5448" t="inlineStr">
        <is>
          <t>C</t>
        </is>
      </c>
      <c r="FP5448" t="inlineStr">
        <is>
          <t>C</t>
        </is>
      </c>
    </row>
    <row r="5449">
      <c r="FC5449" t="inlineStr">
        <is>
          <t>Diccionario 5</t>
        </is>
      </c>
      <c r="FD5449" t="inlineStr">
        <is>
          <t>LXWT-96|</t>
        </is>
      </c>
      <c r="FL5449" t="inlineStr">
        <is>
          <t>C</t>
        </is>
      </c>
      <c r="FP5449" t="inlineStr">
        <is>
          <t>C</t>
        </is>
      </c>
    </row>
    <row r="5450">
      <c r="FC5450" t="inlineStr">
        <is>
          <t>Diccionario 5</t>
        </is>
      </c>
      <c r="FD5450" t="inlineStr">
        <is>
          <t>LZPT-56|</t>
        </is>
      </c>
      <c r="FL5450" t="inlineStr">
        <is>
          <t>C</t>
        </is>
      </c>
      <c r="FP5450" t="inlineStr">
        <is>
          <t>C</t>
        </is>
      </c>
    </row>
    <row r="5451">
      <c r="FC5451" t="inlineStr">
        <is>
          <t>Diccionario 5</t>
        </is>
      </c>
      <c r="FD5451" t="inlineStr">
        <is>
          <t>LXWT-95|</t>
        </is>
      </c>
      <c r="FL5451" t="inlineStr">
        <is>
          <t>C</t>
        </is>
      </c>
      <c r="FP5451" t="inlineStr">
        <is>
          <t>C</t>
        </is>
      </c>
    </row>
    <row r="5452">
      <c r="FC5452" t="inlineStr">
        <is>
          <t>Diccionario 5</t>
        </is>
      </c>
      <c r="FD5452" t="inlineStr">
        <is>
          <t>LZPS-15|</t>
        </is>
      </c>
      <c r="FL5452" t="inlineStr">
        <is>
          <t>C</t>
        </is>
      </c>
      <c r="FP5452" t="inlineStr">
        <is>
          <t>C</t>
        </is>
      </c>
    </row>
    <row r="5453">
      <c r="FC5453" t="inlineStr">
        <is>
          <t>Diccionario 5</t>
        </is>
      </c>
      <c r="FD5453" t="inlineStr">
        <is>
          <t>LXWT-82|</t>
        </is>
      </c>
      <c r="FL5453" t="inlineStr">
        <is>
          <t>C</t>
        </is>
      </c>
      <c r="FP5453" t="inlineStr">
        <is>
          <t>C</t>
        </is>
      </c>
    </row>
    <row r="5454">
      <c r="FC5454" t="inlineStr">
        <is>
          <t>Diccionario 5</t>
        </is>
      </c>
      <c r="FD5454" t="inlineStr">
        <is>
          <t>LZPG-20|</t>
        </is>
      </c>
      <c r="FL5454" t="inlineStr">
        <is>
          <t>C</t>
        </is>
      </c>
      <c r="FP5454" t="inlineStr">
        <is>
          <t>C</t>
        </is>
      </c>
    </row>
    <row r="5455">
      <c r="FC5455" t="inlineStr">
        <is>
          <t>Diccionario 5</t>
        </is>
      </c>
      <c r="FD5455" t="inlineStr">
        <is>
          <t>9951 / TBZB-24|</t>
        </is>
      </c>
      <c r="FL5455" t="inlineStr">
        <is>
          <t>C</t>
        </is>
      </c>
      <c r="FP5455" t="inlineStr">
        <is>
          <t>C</t>
        </is>
      </c>
    </row>
    <row r="5456">
      <c r="FC5456" t="inlineStr">
        <is>
          <t>Diccionario 5</t>
        </is>
      </c>
      <c r="FD5456" t="inlineStr">
        <is>
          <t>LZPS-17|</t>
        </is>
      </c>
      <c r="FL5456" t="inlineStr">
        <is>
          <t>C</t>
        </is>
      </c>
      <c r="FP5456" t="inlineStr">
        <is>
          <t>C</t>
        </is>
      </c>
    </row>
    <row r="5457">
      <c r="FC5457" t="inlineStr">
        <is>
          <t>Diccionario 5</t>
        </is>
      </c>
      <c r="FD5457" t="inlineStr">
        <is>
          <t>LZPR-85|</t>
        </is>
      </c>
      <c r="FL5457" t="inlineStr">
        <is>
          <t>C</t>
        </is>
      </c>
      <c r="FP5457" t="inlineStr">
        <is>
          <t>C</t>
        </is>
      </c>
    </row>
    <row r="5458">
      <c r="FC5458" t="inlineStr">
        <is>
          <t>Diccionario 5</t>
        </is>
      </c>
      <c r="FD5458" t="inlineStr">
        <is>
          <t>LZPT-62|</t>
        </is>
      </c>
      <c r="FL5458" t="inlineStr">
        <is>
          <t>C</t>
        </is>
      </c>
      <c r="FP5458" t="inlineStr">
        <is>
          <t>C</t>
        </is>
      </c>
    </row>
    <row r="5459">
      <c r="FC5459" t="inlineStr">
        <is>
          <t>Diccionario 5</t>
        </is>
      </c>
      <c r="FD5459" t="inlineStr">
        <is>
          <t>LZRB-86|</t>
        </is>
      </c>
      <c r="FL5459" t="inlineStr">
        <is>
          <t>C</t>
        </is>
      </c>
      <c r="FP5459" t="inlineStr">
        <is>
          <t>C</t>
        </is>
      </c>
    </row>
    <row r="5460">
      <c r="FC5460" t="inlineStr">
        <is>
          <t>Diccionario 5</t>
        </is>
      </c>
      <c r="FD5460" t="inlineStr">
        <is>
          <t>9925 / SXKV-97|</t>
        </is>
      </c>
      <c r="FL5460" t="inlineStr">
        <is>
          <t>C</t>
        </is>
      </c>
      <c r="FP5460" t="inlineStr">
        <is>
          <t>C</t>
        </is>
      </c>
    </row>
    <row r="5461">
      <c r="FC5461" t="inlineStr">
        <is>
          <t>Diccionario 5</t>
        </is>
      </c>
      <c r="FD5461" t="inlineStr">
        <is>
          <t>LZPT-54|</t>
        </is>
      </c>
      <c r="FL5461" t="inlineStr">
        <is>
          <t>C</t>
        </is>
      </c>
      <c r="FP5461" t="inlineStr">
        <is>
          <t>C</t>
        </is>
      </c>
    </row>
    <row r="5462">
      <c r="FC5462" t="inlineStr">
        <is>
          <t>Diccionario 5</t>
        </is>
      </c>
      <c r="FD5462" t="inlineStr">
        <is>
          <t>LZPS-25|</t>
        </is>
      </c>
      <c r="FL5462" t="inlineStr">
        <is>
          <t>C</t>
        </is>
      </c>
      <c r="FP5462" t="inlineStr">
        <is>
          <t>C</t>
        </is>
      </c>
    </row>
    <row r="5463">
      <c r="FC5463" t="inlineStr">
        <is>
          <t>Diccionario 5</t>
        </is>
      </c>
      <c r="FD5463" t="inlineStr">
        <is>
          <t>LZPT-41|</t>
        </is>
      </c>
      <c r="FL5463" t="inlineStr">
        <is>
          <t>C</t>
        </is>
      </c>
      <c r="FP5463" t="inlineStr">
        <is>
          <t>C</t>
        </is>
      </c>
    </row>
    <row r="5464">
      <c r="FC5464" t="inlineStr">
        <is>
          <t>Diccionario 5</t>
        </is>
      </c>
      <c r="FD5464" t="inlineStr">
        <is>
          <t>LZPT-63|</t>
        </is>
      </c>
      <c r="FL5464" t="inlineStr">
        <is>
          <t>C</t>
        </is>
      </c>
      <c r="FP5464" t="inlineStr">
        <is>
          <t>C</t>
        </is>
      </c>
    </row>
    <row r="5465">
      <c r="FC5465" t="inlineStr">
        <is>
          <t>Diccionario 5</t>
        </is>
      </c>
      <c r="FD5465" t="inlineStr">
        <is>
          <t>LZPT-49|</t>
        </is>
      </c>
      <c r="FL5465" t="inlineStr">
        <is>
          <t>C</t>
        </is>
      </c>
      <c r="FP5465" t="inlineStr">
        <is>
          <t>C</t>
        </is>
      </c>
    </row>
    <row r="5466">
      <c r="FC5466" t="inlineStr">
        <is>
          <t>Diccionario 5</t>
        </is>
      </c>
      <c r="FD5466" t="inlineStr">
        <is>
          <t>LZPR-93|</t>
        </is>
      </c>
      <c r="FL5466" t="inlineStr">
        <is>
          <t>C</t>
        </is>
      </c>
      <c r="FP5466" t="inlineStr">
        <is>
          <t>C</t>
        </is>
      </c>
    </row>
    <row r="5467">
      <c r="FC5467" t="inlineStr">
        <is>
          <t>Diccionario 5</t>
        </is>
      </c>
      <c r="FD5467" t="inlineStr">
        <is>
          <t>LXWT-87|</t>
        </is>
      </c>
      <c r="FL5467" t="inlineStr">
        <is>
          <t>C</t>
        </is>
      </c>
      <c r="FP5467" t="inlineStr">
        <is>
          <t>C</t>
        </is>
      </c>
    </row>
    <row r="5468">
      <c r="FC5468" t="inlineStr">
        <is>
          <t>Diccionario 5</t>
        </is>
      </c>
      <c r="FD5468" t="inlineStr">
        <is>
          <t>LZPT-39|</t>
        </is>
      </c>
      <c r="FL5468" t="inlineStr">
        <is>
          <t>C</t>
        </is>
      </c>
      <c r="FP5468" t="inlineStr">
        <is>
          <t>C</t>
        </is>
      </c>
    </row>
    <row r="5469">
      <c r="FC5469" t="inlineStr">
        <is>
          <t>Diccionario 5</t>
        </is>
      </c>
      <c r="FD5469" t="inlineStr">
        <is>
          <t>LZRB-83|</t>
        </is>
      </c>
      <c r="FL5469" t="inlineStr">
        <is>
          <t>C</t>
        </is>
      </c>
      <c r="FP5469" t="inlineStr">
        <is>
          <t>C</t>
        </is>
      </c>
    </row>
    <row r="5470">
      <c r="FC5470" t="inlineStr">
        <is>
          <t>Diccionario 5</t>
        </is>
      </c>
      <c r="FD5470" t="inlineStr">
        <is>
          <t>LZPR-86|</t>
        </is>
      </c>
      <c r="FL5470" t="inlineStr">
        <is>
          <t>C</t>
        </is>
      </c>
      <c r="FP5470" t="inlineStr">
        <is>
          <t>C</t>
        </is>
      </c>
    </row>
    <row r="5471">
      <c r="FC5471" t="inlineStr">
        <is>
          <t>Diccionario 5</t>
        </is>
      </c>
      <c r="FD5471" t="inlineStr">
        <is>
          <t>LZPW-16|</t>
        </is>
      </c>
      <c r="FL5471" t="inlineStr">
        <is>
          <t>C</t>
        </is>
      </c>
      <c r="FP5471" t="inlineStr">
        <is>
          <t>C</t>
        </is>
      </c>
    </row>
    <row r="5472">
      <c r="FC5472" t="inlineStr">
        <is>
          <t>Diccionario 5</t>
        </is>
      </c>
      <c r="FD5472" t="inlineStr">
        <is>
          <t>LZPG-17|</t>
        </is>
      </c>
      <c r="FL5472" t="inlineStr">
        <is>
          <t>C</t>
        </is>
      </c>
      <c r="FP5472" t="inlineStr">
        <is>
          <t>C</t>
        </is>
      </c>
    </row>
    <row r="5473">
      <c r="FC5473" t="inlineStr">
        <is>
          <t>Diccionario 5</t>
        </is>
      </c>
      <c r="FD5473" t="inlineStr">
        <is>
          <t>LZPT-43|</t>
        </is>
      </c>
      <c r="FL5473" t="inlineStr">
        <is>
          <t>C</t>
        </is>
      </c>
      <c r="FP5473" t="inlineStr">
        <is>
          <t>C</t>
        </is>
      </c>
    </row>
    <row r="5474">
      <c r="FC5474" t="inlineStr">
        <is>
          <t>Diccionario 5</t>
        </is>
      </c>
      <c r="FD5474" t="inlineStr">
        <is>
          <t>LZPR-88|</t>
        </is>
      </c>
      <c r="FL5474" t="inlineStr">
        <is>
          <t>C</t>
        </is>
      </c>
      <c r="FP5474" t="inlineStr">
        <is>
          <t>C</t>
        </is>
      </c>
    </row>
    <row r="5475">
      <c r="FC5475" t="inlineStr">
        <is>
          <t>Diccionario 5</t>
        </is>
      </c>
      <c r="FD5475" t="inlineStr">
        <is>
          <t>LZPV-99|</t>
        </is>
      </c>
      <c r="FL5475" t="inlineStr">
        <is>
          <t>C</t>
        </is>
      </c>
      <c r="FP5475" t="inlineStr">
        <is>
          <t>C</t>
        </is>
      </c>
    </row>
    <row r="5476">
      <c r="FC5476" t="inlineStr">
        <is>
          <t>Diccionario 5</t>
        </is>
      </c>
      <c r="FD5476" t="inlineStr">
        <is>
          <t>LZPT-74|</t>
        </is>
      </c>
      <c r="FL5476" t="inlineStr">
        <is>
          <t>C</t>
        </is>
      </c>
      <c r="FP5476" t="inlineStr">
        <is>
          <t>C</t>
        </is>
      </c>
    </row>
    <row r="5477">
      <c r="FC5477" t="inlineStr">
        <is>
          <t>Diccionario 5</t>
        </is>
      </c>
      <c r="FD5477" t="inlineStr">
        <is>
          <t>LZPS-16|</t>
        </is>
      </c>
      <c r="FL5477" t="inlineStr">
        <is>
          <t>C</t>
        </is>
      </c>
      <c r="FP5477" t="inlineStr">
        <is>
          <t>C</t>
        </is>
      </c>
    </row>
    <row r="5478">
      <c r="FC5478" t="inlineStr">
        <is>
          <t>Diccionario 5</t>
        </is>
      </c>
      <c r="FD5478" t="inlineStr">
        <is>
          <t>GCBF-50|</t>
        </is>
      </c>
      <c r="FL5478" t="inlineStr">
        <is>
          <t>C</t>
        </is>
      </c>
      <c r="FP5478" t="inlineStr">
        <is>
          <t>C</t>
        </is>
      </c>
    </row>
    <row r="5479">
      <c r="FC5479" t="inlineStr">
        <is>
          <t>Diccionario 5</t>
        </is>
      </c>
      <c r="FD5479" t="inlineStr">
        <is>
          <t>LZPT-61|</t>
        </is>
      </c>
      <c r="FL5479" t="inlineStr">
        <is>
          <t>C</t>
        </is>
      </c>
      <c r="FP5479" t="inlineStr">
        <is>
          <t>C</t>
        </is>
      </c>
    </row>
    <row r="5480">
      <c r="FC5480" t="inlineStr">
        <is>
          <t>Diccionario 5</t>
        </is>
      </c>
      <c r="FD5480" t="inlineStr">
        <is>
          <t>GCBF-44|</t>
        </is>
      </c>
      <c r="FL5480" t="inlineStr">
        <is>
          <t>C</t>
        </is>
      </c>
      <c r="FP5480" t="inlineStr">
        <is>
          <t>C</t>
        </is>
      </c>
    </row>
    <row r="5481">
      <c r="FC5481" t="inlineStr">
        <is>
          <t>Diccionario 5</t>
        </is>
      </c>
      <c r="FD5481" t="inlineStr">
        <is>
          <t>LXWT-92|</t>
        </is>
      </c>
      <c r="FL5481" t="inlineStr">
        <is>
          <t>C</t>
        </is>
      </c>
      <c r="FP5481" t="inlineStr">
        <is>
          <t>C</t>
        </is>
      </c>
    </row>
    <row r="5482">
      <c r="FC5482" t="inlineStr">
        <is>
          <t>Diccionario 5</t>
        </is>
      </c>
      <c r="FD5482" t="inlineStr">
        <is>
          <t>9951 / TBZB-24|</t>
        </is>
      </c>
      <c r="FL5482" t="inlineStr">
        <is>
          <t>C</t>
        </is>
      </c>
      <c r="FP5482" t="inlineStr">
        <is>
          <t>C</t>
        </is>
      </c>
    </row>
    <row r="5483">
      <c r="FC5483" t="inlineStr">
        <is>
          <t>Diccionario 5</t>
        </is>
      </c>
      <c r="FD5483" t="inlineStr">
        <is>
          <t>LXWT-99|</t>
        </is>
      </c>
      <c r="FL5483" t="inlineStr">
        <is>
          <t>C</t>
        </is>
      </c>
      <c r="FP5483" t="inlineStr">
        <is>
          <t>C</t>
        </is>
      </c>
    </row>
    <row r="5484">
      <c r="FC5484" t="inlineStr">
        <is>
          <t>Diccionario 5</t>
        </is>
      </c>
      <c r="FD5484" t="inlineStr">
        <is>
          <t>LZPR-82|</t>
        </is>
      </c>
      <c r="FL5484" t="inlineStr">
        <is>
          <t>C</t>
        </is>
      </c>
      <c r="FP5484" t="inlineStr">
        <is>
          <t>C</t>
        </is>
      </c>
    </row>
    <row r="5485">
      <c r="FC5485" t="inlineStr">
        <is>
          <t>Diccionario 5</t>
        </is>
      </c>
      <c r="FD5485" t="inlineStr">
        <is>
          <t>GCBF-48|</t>
        </is>
      </c>
      <c r="FL5485" t="inlineStr">
        <is>
          <t>C</t>
        </is>
      </c>
      <c r="FP5485" t="inlineStr">
        <is>
          <t>C</t>
        </is>
      </c>
    </row>
    <row r="5486">
      <c r="FC5486" t="inlineStr">
        <is>
          <t>Diccionario 5</t>
        </is>
      </c>
      <c r="FD5486" t="inlineStr">
        <is>
          <t>LZPR-81|</t>
        </is>
      </c>
      <c r="FL5486" t="inlineStr">
        <is>
          <t>C</t>
        </is>
      </c>
      <c r="FP5486" t="inlineStr">
        <is>
          <t>C</t>
        </is>
      </c>
    </row>
    <row r="5487">
      <c r="FC5487" t="inlineStr">
        <is>
          <t>Diccionario 5</t>
        </is>
      </c>
      <c r="FD5487" t="inlineStr">
        <is>
          <t>LZRB-87|</t>
        </is>
      </c>
      <c r="FL5487" t="inlineStr">
        <is>
          <t>C</t>
        </is>
      </c>
      <c r="FP5487" t="inlineStr">
        <is>
          <t>C</t>
        </is>
      </c>
    </row>
    <row r="5488">
      <c r="FC5488" t="inlineStr">
        <is>
          <t>Diccionario 5</t>
        </is>
      </c>
      <c r="FD5488" t="inlineStr">
        <is>
          <t>LZPR-79|</t>
        </is>
      </c>
      <c r="FL5488" t="inlineStr">
        <is>
          <t>C</t>
        </is>
      </c>
      <c r="FP5488" t="inlineStr">
        <is>
          <t>C</t>
        </is>
      </c>
    </row>
    <row r="5489">
      <c r="FC5489" t="inlineStr">
        <is>
          <t>Diccionario 5</t>
        </is>
      </c>
      <c r="FD5489" t="inlineStr">
        <is>
          <t>LZPW-22|</t>
        </is>
      </c>
      <c r="FL5489" t="inlineStr">
        <is>
          <t>C</t>
        </is>
      </c>
      <c r="FP5489" t="inlineStr">
        <is>
          <t>C</t>
        </is>
      </c>
    </row>
    <row r="5490">
      <c r="FC5490" t="inlineStr">
        <is>
          <t>Diccionario 5</t>
        </is>
      </c>
      <c r="FD5490" t="inlineStr">
        <is>
          <t>LZPT-50|</t>
        </is>
      </c>
      <c r="FL5490" t="inlineStr">
        <is>
          <t>C</t>
        </is>
      </c>
      <c r="FP5490" t="inlineStr">
        <is>
          <t>C</t>
        </is>
      </c>
    </row>
    <row r="5491">
      <c r="FC5491" t="inlineStr">
        <is>
          <t>Diccionario 5</t>
        </is>
      </c>
      <c r="FD5491" t="inlineStr">
        <is>
          <t>LZPR-80|</t>
        </is>
      </c>
      <c r="FL5491" t="inlineStr">
        <is>
          <t>C</t>
        </is>
      </c>
      <c r="FP5491" t="inlineStr">
        <is>
          <t>C</t>
        </is>
      </c>
    </row>
    <row r="5492">
      <c r="FC5492" t="inlineStr">
        <is>
          <t>Diccionario 5</t>
        </is>
      </c>
      <c r="FD5492" t="inlineStr">
        <is>
          <t>LZPT-44|</t>
        </is>
      </c>
      <c r="FL5492" t="inlineStr">
        <is>
          <t>C</t>
        </is>
      </c>
      <c r="FP5492" t="inlineStr">
        <is>
          <t>C</t>
        </is>
      </c>
    </row>
    <row r="5493">
      <c r="FC5493" t="inlineStr">
        <is>
          <t>Diccionario 5</t>
        </is>
      </c>
      <c r="FD5493" t="inlineStr">
        <is>
          <t>LZPT-77|</t>
        </is>
      </c>
      <c r="FL5493" t="inlineStr">
        <is>
          <t>C</t>
        </is>
      </c>
      <c r="FP5493" t="inlineStr">
        <is>
          <t>C</t>
        </is>
      </c>
    </row>
    <row r="5494">
      <c r="FC5494" t="inlineStr">
        <is>
          <t>Diccionario 5</t>
        </is>
      </c>
      <c r="FD5494" t="inlineStr">
        <is>
          <t>LZPT-59|</t>
        </is>
      </c>
      <c r="FL5494" t="inlineStr">
        <is>
          <t>C</t>
        </is>
      </c>
      <c r="FP5494" t="inlineStr">
        <is>
          <t>C</t>
        </is>
      </c>
    </row>
    <row r="5495">
      <c r="FC5495" t="inlineStr">
        <is>
          <t>Diccionario 5</t>
        </is>
      </c>
      <c r="FD5495" t="inlineStr">
        <is>
          <t>LZPR-93|</t>
        </is>
      </c>
      <c r="FL5495" t="inlineStr">
        <is>
          <t>C</t>
        </is>
      </c>
      <c r="FP5495" t="inlineStr">
        <is>
          <t>C</t>
        </is>
      </c>
    </row>
    <row r="5496">
      <c r="FC5496" t="inlineStr">
        <is>
          <t>Diccionario 5</t>
        </is>
      </c>
      <c r="FD5496" t="inlineStr">
        <is>
          <t>LZPS-10|</t>
        </is>
      </c>
      <c r="FL5496" t="inlineStr">
        <is>
          <t>C</t>
        </is>
      </c>
      <c r="FP5496" t="inlineStr">
        <is>
          <t>C</t>
        </is>
      </c>
    </row>
    <row r="5497">
      <c r="FC5497" t="inlineStr">
        <is>
          <t>Diccionario 5</t>
        </is>
      </c>
      <c r="FD5497" t="inlineStr">
        <is>
          <t>LZPT-39|</t>
        </is>
      </c>
      <c r="FL5497" t="inlineStr">
        <is>
          <t>C</t>
        </is>
      </c>
      <c r="FP5497" t="inlineStr">
        <is>
          <t>C</t>
        </is>
      </c>
    </row>
    <row r="5498">
      <c r="FC5498" t="inlineStr">
        <is>
          <t>Diccionario 5</t>
        </is>
      </c>
      <c r="FD5498" t="inlineStr">
        <is>
          <t>LZPT-72|</t>
        </is>
      </c>
      <c r="FL5498" t="inlineStr">
        <is>
          <t>C</t>
        </is>
      </c>
      <c r="FP5498" t="inlineStr">
        <is>
          <t>C</t>
        </is>
      </c>
    </row>
    <row r="5499">
      <c r="FC5499" t="inlineStr">
        <is>
          <t>Diccionario 5</t>
        </is>
      </c>
      <c r="FD5499" t="inlineStr">
        <is>
          <t>LZPW-16|</t>
        </is>
      </c>
      <c r="FL5499" t="inlineStr">
        <is>
          <t>C</t>
        </is>
      </c>
      <c r="FP5499" t="inlineStr">
        <is>
          <t>C</t>
        </is>
      </c>
    </row>
    <row r="5500">
      <c r="FC5500" t="inlineStr">
        <is>
          <t>Diccionario 5</t>
        </is>
      </c>
      <c r="FD5500" t="inlineStr">
        <is>
          <t>LZPT-38|</t>
        </is>
      </c>
      <c r="FL5500" t="inlineStr">
        <is>
          <t>C</t>
        </is>
      </c>
      <c r="FP5500" t="inlineStr">
        <is>
          <t>C</t>
        </is>
      </c>
    </row>
    <row r="5501">
      <c r="FC5501" t="inlineStr">
        <is>
          <t>Diccionario 5</t>
        </is>
      </c>
      <c r="FD5501" t="inlineStr">
        <is>
          <t>LZPT-60|</t>
        </is>
      </c>
      <c r="FL5501" t="inlineStr">
        <is>
          <t>C</t>
        </is>
      </c>
      <c r="FP5501" t="inlineStr">
        <is>
          <t>C</t>
        </is>
      </c>
    </row>
    <row r="5502">
      <c r="FC5502" t="inlineStr">
        <is>
          <t>Diccionario 5</t>
        </is>
      </c>
      <c r="FD5502" t="inlineStr">
        <is>
          <t>LZPG-17|</t>
        </is>
      </c>
      <c r="FL5502" t="inlineStr">
        <is>
          <t>C</t>
        </is>
      </c>
      <c r="FP5502" t="inlineStr">
        <is>
          <t>C</t>
        </is>
      </c>
    </row>
    <row r="5503">
      <c r="FC5503" t="inlineStr">
        <is>
          <t>Diccionario 5</t>
        </is>
      </c>
      <c r="FD5503" t="inlineStr">
        <is>
          <t>LZPR-88|</t>
        </is>
      </c>
      <c r="FL5503" t="inlineStr">
        <is>
          <t>C</t>
        </is>
      </c>
      <c r="FP5503" t="inlineStr">
        <is>
          <t>C</t>
        </is>
      </c>
    </row>
    <row r="5504">
      <c r="FC5504" t="inlineStr">
        <is>
          <t>Diccionario 5</t>
        </is>
      </c>
      <c r="FD5504" t="inlineStr">
        <is>
          <t>LZPT-53|</t>
        </is>
      </c>
      <c r="FL5504" t="inlineStr">
        <is>
          <t>C</t>
        </is>
      </c>
      <c r="FP5504" t="inlineStr">
        <is>
          <t>C</t>
        </is>
      </c>
    </row>
    <row r="5505">
      <c r="FC5505" t="inlineStr">
        <is>
          <t>Diccionario 5</t>
        </is>
      </c>
      <c r="FD5505" t="inlineStr">
        <is>
          <t>LZPV-99|</t>
        </is>
      </c>
      <c r="FL5505" t="inlineStr">
        <is>
          <t>C</t>
        </is>
      </c>
      <c r="FP5505" t="inlineStr">
        <is>
          <t>C</t>
        </is>
      </c>
    </row>
    <row r="5506">
      <c r="FC5506" t="inlineStr">
        <is>
          <t>Diccionario 5</t>
        </is>
      </c>
      <c r="FD5506" t="inlineStr">
        <is>
          <t>LZPS-16|</t>
        </is>
      </c>
      <c r="FL5506" t="inlineStr">
        <is>
          <t>C</t>
        </is>
      </c>
      <c r="FP5506" t="inlineStr">
        <is>
          <t>C</t>
        </is>
      </c>
    </row>
    <row r="5507">
      <c r="FC5507" t="inlineStr">
        <is>
          <t>Diccionario 5</t>
        </is>
      </c>
      <c r="FD5507" t="inlineStr">
        <is>
          <t>GCBF-51|</t>
        </is>
      </c>
      <c r="FL5507" t="inlineStr">
        <is>
          <t>C</t>
        </is>
      </c>
      <c r="FP5507" t="inlineStr">
        <is>
          <t>C</t>
        </is>
      </c>
    </row>
    <row r="5508">
      <c r="FC5508" t="inlineStr">
        <is>
          <t>Diccionario 5</t>
        </is>
      </c>
      <c r="FD5508" t="inlineStr">
        <is>
          <t>GCBF-47|</t>
        </is>
      </c>
      <c r="FL5508" t="inlineStr">
        <is>
          <t>C</t>
        </is>
      </c>
      <c r="FP5508" t="inlineStr">
        <is>
          <t>C</t>
        </is>
      </c>
    </row>
    <row r="5509">
      <c r="FC5509" t="inlineStr">
        <is>
          <t>Diccionario 5</t>
        </is>
      </c>
      <c r="FD5509" t="inlineStr">
        <is>
          <t>LZPG-10|</t>
        </is>
      </c>
      <c r="FL5509" t="inlineStr">
        <is>
          <t>C</t>
        </is>
      </c>
      <c r="FP5509" t="inlineStr">
        <is>
          <t>C</t>
        </is>
      </c>
    </row>
    <row r="5510">
      <c r="FC5510" t="inlineStr">
        <is>
          <t>Diccionario 5</t>
        </is>
      </c>
      <c r="FD5510" t="inlineStr">
        <is>
          <t>LZPR-85|</t>
        </is>
      </c>
      <c r="FL5510" t="inlineStr">
        <is>
          <t>C</t>
        </is>
      </c>
      <c r="FP5510" t="inlineStr">
        <is>
          <t>C</t>
        </is>
      </c>
    </row>
    <row r="5511">
      <c r="FC5511" t="inlineStr">
        <is>
          <t>Diccionario 5</t>
        </is>
      </c>
      <c r="FD5511" t="inlineStr">
        <is>
          <t>GCBF-44|</t>
        </is>
      </c>
      <c r="FL5511" t="inlineStr">
        <is>
          <t>C</t>
        </is>
      </c>
      <c r="FP5511" t="inlineStr">
        <is>
          <t>C</t>
        </is>
      </c>
    </row>
    <row r="5512">
      <c r="FC5512" t="inlineStr">
        <is>
          <t>Diccionario 5</t>
        </is>
      </c>
      <c r="FD5512" t="inlineStr">
        <is>
          <t>LZPG-21|</t>
        </is>
      </c>
      <c r="FL5512" t="inlineStr">
        <is>
          <t>C</t>
        </is>
      </c>
      <c r="FP5512" t="inlineStr">
        <is>
          <t>C</t>
        </is>
      </c>
    </row>
    <row r="5513">
      <c r="FC5513" t="inlineStr">
        <is>
          <t>Diccionario 5</t>
        </is>
      </c>
      <c r="FD5513" t="inlineStr">
        <is>
          <t>LZPT-63|</t>
        </is>
      </c>
      <c r="FL5513" t="inlineStr">
        <is>
          <t>C</t>
        </is>
      </c>
      <c r="FP5513" t="inlineStr">
        <is>
          <t>C</t>
        </is>
      </c>
    </row>
    <row r="5514">
      <c r="FC5514" t="inlineStr">
        <is>
          <t>Diccionario 5</t>
        </is>
      </c>
      <c r="FD5514" t="inlineStr">
        <is>
          <t>LZPT-71|</t>
        </is>
      </c>
      <c r="FL5514" t="inlineStr">
        <is>
          <t>C</t>
        </is>
      </c>
      <c r="FP5514" t="inlineStr">
        <is>
          <t>C</t>
        </is>
      </c>
    </row>
    <row r="5515">
      <c r="FC5515" t="inlineStr">
        <is>
          <t>Diccionario 5</t>
        </is>
      </c>
      <c r="FD5515" t="inlineStr">
        <is>
          <t>LZPS-23|</t>
        </is>
      </c>
      <c r="FL5515" t="inlineStr">
        <is>
          <t>C</t>
        </is>
      </c>
      <c r="FP5515" t="inlineStr">
        <is>
          <t>C</t>
        </is>
      </c>
    </row>
    <row r="5516">
      <c r="FC5516" t="inlineStr">
        <is>
          <t>Diccionario 5</t>
        </is>
      </c>
      <c r="FD5516" t="inlineStr">
        <is>
          <t>LZRB-82|</t>
        </is>
      </c>
      <c r="FL5516" t="inlineStr">
        <is>
          <t>C</t>
        </is>
      </c>
      <c r="FP5516" t="inlineStr">
        <is>
          <t>C</t>
        </is>
      </c>
    </row>
    <row r="5517">
      <c r="FC5517" t="inlineStr">
        <is>
          <t>Diccionario 5</t>
        </is>
      </c>
      <c r="FD5517" t="inlineStr">
        <is>
          <t>LZPR-81|</t>
        </is>
      </c>
      <c r="FL5517" t="inlineStr">
        <is>
          <t>C</t>
        </is>
      </c>
      <c r="FP5517" t="inlineStr">
        <is>
          <t>C</t>
        </is>
      </c>
    </row>
    <row r="5518">
      <c r="FC5518" t="inlineStr">
        <is>
          <t>Diccionario 5</t>
        </is>
      </c>
      <c r="FD5518" t="inlineStr">
        <is>
          <t>LZPG-14|</t>
        </is>
      </c>
      <c r="FL5518" t="inlineStr">
        <is>
          <t>C</t>
        </is>
      </c>
      <c r="FP5518" t="inlineStr">
        <is>
          <t>C</t>
        </is>
      </c>
    </row>
    <row r="5519">
      <c r="FC5519" t="inlineStr">
        <is>
          <t>Diccionario 5</t>
        </is>
      </c>
      <c r="FD5519" t="inlineStr">
        <is>
          <t>LZRB-87|</t>
        </is>
      </c>
      <c r="FL5519" t="inlineStr">
        <is>
          <t>C</t>
        </is>
      </c>
      <c r="FP5519" t="inlineStr">
        <is>
          <t>C</t>
        </is>
      </c>
    </row>
    <row r="5520">
      <c r="FC5520" t="inlineStr">
        <is>
          <t>Diccionario 5</t>
        </is>
      </c>
      <c r="FD5520" t="inlineStr">
        <is>
          <t>3016 / SFWB-28|</t>
        </is>
      </c>
      <c r="FL5520" t="inlineStr">
        <is>
          <t>B</t>
        </is>
      </c>
      <c r="FP5520" t="inlineStr">
        <is>
          <t>B</t>
        </is>
      </c>
    </row>
    <row r="5521">
      <c r="FC5521" t="inlineStr">
        <is>
          <t>Diccionario 5</t>
        </is>
      </c>
      <c r="FD5521" t="inlineStr">
        <is>
          <t>LXWT-89|</t>
        </is>
      </c>
      <c r="FL5521" t="inlineStr">
        <is>
          <t>C</t>
        </is>
      </c>
      <c r="FP5521" t="inlineStr">
        <is>
          <t>C</t>
        </is>
      </c>
    </row>
    <row r="5522">
      <c r="FC5522" t="inlineStr">
        <is>
          <t>Diccionario 5</t>
        </is>
      </c>
      <c r="FD5522" t="inlineStr">
        <is>
          <t>LZPT-46|</t>
        </is>
      </c>
      <c r="FL5522" t="inlineStr">
        <is>
          <t>C</t>
        </is>
      </c>
      <c r="FP5522" t="inlineStr">
        <is>
          <t>C</t>
        </is>
      </c>
    </row>
    <row r="5523">
      <c r="FC5523" t="inlineStr">
        <is>
          <t>Diccionario 5</t>
        </is>
      </c>
      <c r="FD5523" t="inlineStr">
        <is>
          <t>LZPW-11|</t>
        </is>
      </c>
      <c r="FL5523" t="inlineStr">
        <is>
          <t>C</t>
        </is>
      </c>
      <c r="FP5523" t="inlineStr">
        <is>
          <t>C</t>
        </is>
      </c>
    </row>
    <row r="5524">
      <c r="FC5524" t="inlineStr">
        <is>
          <t>Diccionario 5</t>
        </is>
      </c>
      <c r="FD5524" t="inlineStr">
        <is>
          <t>LZRB-86|</t>
        </is>
      </c>
      <c r="FL5524" t="inlineStr">
        <is>
          <t>C</t>
        </is>
      </c>
      <c r="FP5524" t="inlineStr">
        <is>
          <t>C</t>
        </is>
      </c>
    </row>
    <row r="5525">
      <c r="FC5525" t="inlineStr">
        <is>
          <t>Diccionario 5</t>
        </is>
      </c>
      <c r="FD5525" t="inlineStr">
        <is>
          <t>LZPG-27|</t>
        </is>
      </c>
      <c r="FL5525" t="inlineStr">
        <is>
          <t>C</t>
        </is>
      </c>
      <c r="FP5525" t="inlineStr">
        <is>
          <t>C</t>
        </is>
      </c>
    </row>
    <row r="5526">
      <c r="FC5526" t="inlineStr">
        <is>
          <t>Diccionario 5</t>
        </is>
      </c>
      <c r="FD5526" t="inlineStr">
        <is>
          <t>LZPS-18|</t>
        </is>
      </c>
      <c r="FL5526" t="inlineStr">
        <is>
          <t>C</t>
        </is>
      </c>
      <c r="FP5526" t="inlineStr">
        <is>
          <t>C</t>
        </is>
      </c>
    </row>
    <row r="5527">
      <c r="FC5527" t="inlineStr">
        <is>
          <t>Diccionario 5</t>
        </is>
      </c>
      <c r="FD5527" t="inlineStr">
        <is>
          <t>LZPT-64|</t>
        </is>
      </c>
      <c r="FL5527" t="inlineStr">
        <is>
          <t>C</t>
        </is>
      </c>
      <c r="FP5527" t="inlineStr">
        <is>
          <t>C</t>
        </is>
      </c>
    </row>
    <row r="5528">
      <c r="FC5528" t="inlineStr">
        <is>
          <t>Diccionario 5</t>
        </is>
      </c>
      <c r="FD5528" t="inlineStr">
        <is>
          <t>LZPG-12|</t>
        </is>
      </c>
      <c r="FL5528" t="inlineStr">
        <is>
          <t>C</t>
        </is>
      </c>
      <c r="FP5528" t="inlineStr">
        <is>
          <t>C</t>
        </is>
      </c>
    </row>
    <row r="5529">
      <c r="FC5529" t="inlineStr">
        <is>
          <t>Diccionario 5</t>
        </is>
      </c>
      <c r="FD5529" t="inlineStr">
        <is>
          <t>LZPR-93|</t>
        </is>
      </c>
      <c r="FL5529" t="inlineStr">
        <is>
          <t>C</t>
        </is>
      </c>
      <c r="FP5529" t="inlineStr">
        <is>
          <t>C</t>
        </is>
      </c>
    </row>
    <row r="5530">
      <c r="FC5530" t="inlineStr">
        <is>
          <t>Diccionario 5</t>
        </is>
      </c>
      <c r="FD5530" t="inlineStr">
        <is>
          <t>LZPW-16|</t>
        </is>
      </c>
      <c r="FL5530" t="inlineStr">
        <is>
          <t>C</t>
        </is>
      </c>
      <c r="FP5530" t="inlineStr">
        <is>
          <t>C</t>
        </is>
      </c>
    </row>
    <row r="5531">
      <c r="FC5531" t="inlineStr">
        <is>
          <t>Diccionario 5</t>
        </is>
      </c>
      <c r="FD5531" t="inlineStr">
        <is>
          <t>LZPS-10|</t>
        </is>
      </c>
      <c r="FL5531" t="inlineStr">
        <is>
          <t>C</t>
        </is>
      </c>
      <c r="FP5531" t="inlineStr">
        <is>
          <t>C</t>
        </is>
      </c>
    </row>
    <row r="5532">
      <c r="FC5532" t="inlineStr">
        <is>
          <t>Diccionario 5</t>
        </is>
      </c>
      <c r="FD5532" t="inlineStr">
        <is>
          <t>LZPT-60|</t>
        </is>
      </c>
      <c r="FL5532" t="inlineStr">
        <is>
          <t>C</t>
        </is>
      </c>
      <c r="FP5532" t="inlineStr">
        <is>
          <t>C</t>
        </is>
      </c>
    </row>
    <row r="5533">
      <c r="FC5533" t="inlineStr">
        <is>
          <t>Diccionario 5</t>
        </is>
      </c>
      <c r="FD5533" t="inlineStr">
        <is>
          <t>9951 / TBZB-24|</t>
        </is>
      </c>
      <c r="FL5533" t="inlineStr">
        <is>
          <t>C</t>
        </is>
      </c>
      <c r="FP5533" t="inlineStr">
        <is>
          <t>C</t>
        </is>
      </c>
    </row>
    <row r="5534">
      <c r="FC5534" t="inlineStr">
        <is>
          <t>Diccionario 5</t>
        </is>
      </c>
      <c r="FD5534" t="inlineStr">
        <is>
          <t>LZPT-63|</t>
        </is>
      </c>
      <c r="FL5534" t="inlineStr">
        <is>
          <t>C</t>
        </is>
      </c>
      <c r="FP5534" t="inlineStr">
        <is>
          <t>C</t>
        </is>
      </c>
    </row>
    <row r="5535">
      <c r="FC5535" t="inlineStr">
        <is>
          <t>Diccionario 5</t>
        </is>
      </c>
      <c r="FD5535" t="inlineStr">
        <is>
          <t>9930 / SXKV-99|</t>
        </is>
      </c>
      <c r="FL5535" t="inlineStr">
        <is>
          <t>C</t>
        </is>
      </c>
      <c r="FP5535" t="inlineStr">
        <is>
          <t>C</t>
        </is>
      </c>
    </row>
    <row r="5536">
      <c r="FC5536" t="inlineStr">
        <is>
          <t>Diccionario 5</t>
        </is>
      </c>
      <c r="FD5536" t="inlineStr">
        <is>
          <t>LZPR-81|</t>
        </is>
      </c>
      <c r="FL5536" t="inlineStr">
        <is>
          <t>C</t>
        </is>
      </c>
      <c r="FP5536" t="inlineStr">
        <is>
          <t>C</t>
        </is>
      </c>
    </row>
    <row r="5537">
      <c r="FC5537" t="inlineStr">
        <is>
          <t>Diccionario 5</t>
        </is>
      </c>
      <c r="FD5537" t="inlineStr">
        <is>
          <t>LZPG-13|</t>
        </is>
      </c>
      <c r="FL5537" t="inlineStr">
        <is>
          <t>C</t>
        </is>
      </c>
      <c r="FP5537" t="inlineStr">
        <is>
          <t>C</t>
        </is>
      </c>
    </row>
    <row r="5538">
      <c r="FC5538" t="inlineStr">
        <is>
          <t>Diccionario 5</t>
        </is>
      </c>
      <c r="FD5538" t="inlineStr">
        <is>
          <t>LXWT-82|</t>
        </is>
      </c>
      <c r="FL5538" t="inlineStr">
        <is>
          <t>C</t>
        </is>
      </c>
      <c r="FP5538" t="inlineStr">
        <is>
          <t>C</t>
        </is>
      </c>
    </row>
    <row r="5539">
      <c r="FC5539" t="inlineStr">
        <is>
          <t>Diccionario 5</t>
        </is>
      </c>
      <c r="FD5539" t="inlineStr">
        <is>
          <t>3102 / SFWZ-59|</t>
        </is>
      </c>
      <c r="FL5539" t="inlineStr">
        <is>
          <t>B</t>
        </is>
      </c>
      <c r="FP5539" t="inlineStr">
        <is>
          <t>B</t>
        </is>
      </c>
    </row>
    <row r="5540">
      <c r="FC5540" t="inlineStr">
        <is>
          <t>Diccionario 5</t>
        </is>
      </c>
      <c r="FD5540" t="inlineStr">
        <is>
          <t>7747 / GCBC-34|</t>
        </is>
      </c>
      <c r="FL5540" t="inlineStr">
        <is>
          <t>BPAL</t>
        </is>
      </c>
      <c r="FP5540" t="inlineStr">
        <is>
          <t>BPAL</t>
        </is>
      </c>
    </row>
    <row r="5541">
      <c r="FC5541" t="inlineStr">
        <is>
          <t>Diccionario 5</t>
        </is>
      </c>
      <c r="FD5541" t="inlineStr">
        <is>
          <t>7739 / GCBC-26|</t>
        </is>
      </c>
      <c r="FL5541" t="inlineStr">
        <is>
          <t>BPAL</t>
        </is>
      </c>
      <c r="FP5541" t="inlineStr">
        <is>
          <t>BPAL</t>
        </is>
      </c>
    </row>
    <row r="5542">
      <c r="FC5542" t="inlineStr">
        <is>
          <t>Diccionario 5</t>
        </is>
      </c>
      <c r="FD5542" t="inlineStr">
        <is>
          <t>3017 / SFWB-29|</t>
        </is>
      </c>
      <c r="FL5542" t="inlineStr">
        <is>
          <t>B</t>
        </is>
      </c>
      <c r="FP5542" t="inlineStr">
        <is>
          <t>B</t>
        </is>
      </c>
    </row>
    <row r="5543">
      <c r="FC5543" t="inlineStr">
        <is>
          <t>Diccionario 5</t>
        </is>
      </c>
      <c r="FD5543" t="inlineStr">
        <is>
          <t>3066 / SFWB-10|</t>
        </is>
      </c>
      <c r="FL5543" t="inlineStr">
        <is>
          <t>B</t>
        </is>
      </c>
      <c r="FP5543" t="inlineStr">
        <is>
          <t>B</t>
        </is>
      </c>
    </row>
    <row r="5544">
      <c r="FC5544" t="inlineStr">
        <is>
          <t>Diccionario 5</t>
        </is>
      </c>
      <c r="FD5544" t="inlineStr">
        <is>
          <t>3106 / SFWZ-68|</t>
        </is>
      </c>
      <c r="FL5544" t="inlineStr">
        <is>
          <t>B</t>
        </is>
      </c>
      <c r="FP5544" t="inlineStr">
        <is>
          <t>B</t>
        </is>
      </c>
    </row>
    <row r="5545">
      <c r="FC5545" t="inlineStr">
        <is>
          <t>Diccionario 5</t>
        </is>
      </c>
      <c r="FD5545" t="inlineStr">
        <is>
          <t>SFWZ-29</t>
        </is>
      </c>
      <c r="FL5545" t="inlineStr">
        <is>
          <t>B</t>
        </is>
      </c>
      <c r="FP5545" t="inlineStr">
        <is>
          <t>B</t>
        </is>
      </c>
    </row>
    <row r="5546">
      <c r="FC5546" t="inlineStr">
        <is>
          <t>Diccionario 5</t>
        </is>
      </c>
      <c r="FD5546" t="inlineStr">
        <is>
          <t>SFWZ-66</t>
        </is>
      </c>
      <c r="FL5546" t="inlineStr">
        <is>
          <t>B</t>
        </is>
      </c>
      <c r="FP5546" t="inlineStr">
        <is>
          <t>B</t>
        </is>
      </c>
    </row>
    <row r="5547">
      <c r="FC5547" t="inlineStr">
        <is>
          <t>Diccionario 5</t>
        </is>
      </c>
      <c r="FD5547" t="inlineStr">
        <is>
          <t>SFWZ-27</t>
        </is>
      </c>
      <c r="FL5547" t="inlineStr">
        <is>
          <t>B</t>
        </is>
      </c>
      <c r="FP5547" t="inlineStr">
        <is>
          <t>B</t>
        </is>
      </c>
    </row>
    <row r="5548">
      <c r="FC5548" t="inlineStr">
        <is>
          <t>Diccionario 5</t>
        </is>
      </c>
      <c r="FD5548" t="inlineStr">
        <is>
          <t>SFWB-82</t>
        </is>
      </c>
      <c r="FL5548" t="inlineStr">
        <is>
          <t>B</t>
        </is>
      </c>
      <c r="FP5548" t="inlineStr">
        <is>
          <t>B</t>
        </is>
      </c>
    </row>
    <row r="5549">
      <c r="FC5549" t="inlineStr">
        <is>
          <t>Diccionario 5</t>
        </is>
      </c>
      <c r="FD5549" t="inlineStr">
        <is>
          <t>VJZB-67</t>
        </is>
      </c>
      <c r="FL5549" t="inlineStr">
        <is>
          <t>B</t>
        </is>
      </c>
      <c r="FP5549" t="inlineStr">
        <is>
          <t>B</t>
        </is>
      </c>
    </row>
    <row r="5550">
      <c r="FC5550" t="inlineStr">
        <is>
          <t>Diccionario 5</t>
        </is>
      </c>
      <c r="FD5550" t="inlineStr">
        <is>
          <t>SFWZ-63</t>
        </is>
      </c>
      <c r="FL5550" t="inlineStr">
        <is>
          <t>B</t>
        </is>
      </c>
      <c r="FP5550" t="inlineStr">
        <is>
          <t>B</t>
        </is>
      </c>
    </row>
    <row r="5551">
      <c r="FC5551" t="inlineStr">
        <is>
          <t>Diccionario 5</t>
        </is>
      </c>
      <c r="FD5551" t="inlineStr">
        <is>
          <t>SFWB-73</t>
        </is>
      </c>
      <c r="FL5551" t="inlineStr">
        <is>
          <t>B</t>
        </is>
      </c>
      <c r="FP5551" t="inlineStr">
        <is>
          <t>B</t>
        </is>
      </c>
    </row>
    <row r="5552">
      <c r="FC5552" t="inlineStr">
        <is>
          <t>Diccionario 5</t>
        </is>
      </c>
      <c r="FD5552" t="inlineStr">
        <is>
          <t>VJKG-16</t>
        </is>
      </c>
      <c r="FL5552" t="inlineStr">
        <is>
          <t>B</t>
        </is>
      </c>
      <c r="FP5552" t="inlineStr">
        <is>
          <t>B</t>
        </is>
      </c>
    </row>
    <row r="5553">
      <c r="FC5553" t="inlineStr">
        <is>
          <t>Diccionario 5</t>
        </is>
      </c>
      <c r="FD5553" t="inlineStr">
        <is>
          <t>VJXC-53</t>
        </is>
      </c>
      <c r="FL5553" t="inlineStr">
        <is>
          <t>B</t>
        </is>
      </c>
      <c r="FP5553" t="inlineStr">
        <is>
          <t>B</t>
        </is>
      </c>
    </row>
    <row r="5554">
      <c r="FC5554" t="inlineStr">
        <is>
          <t>Diccionario 5</t>
        </is>
      </c>
      <c r="FD5554" t="inlineStr">
        <is>
          <t>VJKX-18</t>
        </is>
      </c>
      <c r="FL5554" t="inlineStr">
        <is>
          <t>B</t>
        </is>
      </c>
      <c r="FP5554" t="inlineStr">
        <is>
          <t>B</t>
        </is>
      </c>
    </row>
    <row r="5555">
      <c r="FC5555" t="inlineStr">
        <is>
          <t>Diccionario 5</t>
        </is>
      </c>
      <c r="FD5555" t="inlineStr">
        <is>
          <t>VJKT-63</t>
        </is>
      </c>
      <c r="FL5555" t="inlineStr">
        <is>
          <t>B</t>
        </is>
      </c>
      <c r="FP5555" t="inlineStr">
        <is>
          <t>B</t>
        </is>
      </c>
    </row>
    <row r="5556">
      <c r="FC5556" t="inlineStr">
        <is>
          <t>Diccionario 5</t>
        </is>
      </c>
      <c r="FD5556" t="inlineStr">
        <is>
          <t>VJKD-94</t>
        </is>
      </c>
      <c r="FL5556" t="inlineStr">
        <is>
          <t>B</t>
        </is>
      </c>
      <c r="FP5556" t="inlineStr">
        <is>
          <t>B</t>
        </is>
      </c>
    </row>
    <row r="5557">
      <c r="FC5557" t="inlineStr">
        <is>
          <t>Diccionario 5</t>
        </is>
      </c>
      <c r="FD5557" t="inlineStr">
        <is>
          <t>SFWB-31</t>
        </is>
      </c>
      <c r="FL5557" t="inlineStr">
        <is>
          <t>B</t>
        </is>
      </c>
      <c r="FP5557" t="inlineStr">
        <is>
          <t>B</t>
        </is>
      </c>
    </row>
    <row r="5558">
      <c r="FC5558" t="inlineStr">
        <is>
          <t>Diccionario 5</t>
        </is>
      </c>
      <c r="FD5558" t="inlineStr">
        <is>
          <t>SFWB-84</t>
        </is>
      </c>
      <c r="FL5558" t="inlineStr">
        <is>
          <t>B</t>
        </is>
      </c>
      <c r="FP5558" t="inlineStr">
        <is>
          <t>B</t>
        </is>
      </c>
    </row>
    <row r="5559">
      <c r="FC5559" t="inlineStr">
        <is>
          <t>Diccionario 5</t>
        </is>
      </c>
      <c r="FD5559" t="inlineStr">
        <is>
          <t>VJKF-55</t>
        </is>
      </c>
      <c r="FL5559" t="inlineStr">
        <is>
          <t>B</t>
        </is>
      </c>
      <c r="FP5559" t="inlineStr">
        <is>
          <t>B</t>
        </is>
      </c>
    </row>
    <row r="5560">
      <c r="FC5560" t="inlineStr">
        <is>
          <t>Diccionario 5</t>
        </is>
      </c>
      <c r="FD5560" t="inlineStr">
        <is>
          <t>SFWZ-48</t>
        </is>
      </c>
      <c r="FL5560" t="inlineStr">
        <is>
          <t>B</t>
        </is>
      </c>
      <c r="FP5560" t="inlineStr">
        <is>
          <t>B</t>
        </is>
      </c>
    </row>
    <row r="5561">
      <c r="FC5561" t="inlineStr">
        <is>
          <t>Diccionario 5</t>
        </is>
      </c>
      <c r="FD5561" t="inlineStr">
        <is>
          <t>SFWB-58</t>
        </is>
      </c>
      <c r="FL5561" t="inlineStr">
        <is>
          <t>B</t>
        </is>
      </c>
      <c r="FP5561" t="inlineStr">
        <is>
          <t>B</t>
        </is>
      </c>
    </row>
    <row r="5562">
      <c r="FC5562" t="inlineStr">
        <is>
          <t>Diccionario 5</t>
        </is>
      </c>
      <c r="FD5562" t="inlineStr">
        <is>
          <t>VJWZ-95</t>
        </is>
      </c>
      <c r="FL5562" t="inlineStr">
        <is>
          <t>B</t>
        </is>
      </c>
      <c r="FP5562" t="inlineStr">
        <is>
          <t>B</t>
        </is>
      </c>
    </row>
    <row r="5563">
      <c r="FC5563" t="inlineStr">
        <is>
          <t>Diccionario 5</t>
        </is>
      </c>
      <c r="FD5563" t="inlineStr">
        <is>
          <t>SFVZ-80</t>
        </is>
      </c>
      <c r="FL5563" t="inlineStr">
        <is>
          <t>B</t>
        </is>
      </c>
      <c r="FP5563" t="inlineStr">
        <is>
          <t>B</t>
        </is>
      </c>
    </row>
    <row r="5564">
      <c r="FC5564" t="inlineStr">
        <is>
          <t>Diccionario 5</t>
        </is>
      </c>
      <c r="FD5564" t="inlineStr">
        <is>
          <t>SFWZ-53</t>
        </is>
      </c>
      <c r="FL5564" t="inlineStr">
        <is>
          <t>B</t>
        </is>
      </c>
      <c r="FP5564" t="inlineStr">
        <is>
          <t>B</t>
        </is>
      </c>
    </row>
    <row r="5565">
      <c r="FC5565" t="inlineStr">
        <is>
          <t>Diccionario 5</t>
        </is>
      </c>
      <c r="FD5565" t="inlineStr">
        <is>
          <t>SFWZ-76</t>
        </is>
      </c>
      <c r="FL5565" t="inlineStr">
        <is>
          <t>B</t>
        </is>
      </c>
      <c r="FP5565" t="inlineStr">
        <is>
          <t>B</t>
        </is>
      </c>
    </row>
    <row r="5566">
      <c r="FC5566" t="inlineStr">
        <is>
          <t>Diccionario 5</t>
        </is>
      </c>
      <c r="FD5566" t="inlineStr">
        <is>
          <t>SFWZ-29</t>
        </is>
      </c>
      <c r="FL5566" t="inlineStr">
        <is>
          <t>B</t>
        </is>
      </c>
      <c r="FP5566" t="inlineStr">
        <is>
          <t>B</t>
        </is>
      </c>
    </row>
    <row r="5567">
      <c r="FC5567" t="inlineStr">
        <is>
          <t>Diccionario 5</t>
        </is>
      </c>
      <c r="FD5567" t="inlineStr">
        <is>
          <t>SFWB-16</t>
        </is>
      </c>
      <c r="FL5567" t="inlineStr">
        <is>
          <t>B</t>
        </is>
      </c>
      <c r="FP5567" t="inlineStr">
        <is>
          <t>B</t>
        </is>
      </c>
    </row>
    <row r="5568">
      <c r="FC5568" t="inlineStr">
        <is>
          <t>Diccionario 5</t>
        </is>
      </c>
      <c r="FD5568" t="inlineStr">
        <is>
          <t>SFWZ-66</t>
        </is>
      </c>
      <c r="FL5568" t="inlineStr">
        <is>
          <t>B</t>
        </is>
      </c>
      <c r="FP5568" t="inlineStr">
        <is>
          <t>B</t>
        </is>
      </c>
    </row>
    <row r="5569">
      <c r="FC5569" t="inlineStr">
        <is>
          <t>Diccionario 5</t>
        </is>
      </c>
      <c r="FD5569" t="inlineStr">
        <is>
          <t>SFWZ-27</t>
        </is>
      </c>
      <c r="FL5569" t="inlineStr">
        <is>
          <t>B</t>
        </is>
      </c>
      <c r="FP5569" t="inlineStr">
        <is>
          <t>B</t>
        </is>
      </c>
    </row>
    <row r="5570">
      <c r="FC5570" t="inlineStr">
        <is>
          <t>Diccionario 5</t>
        </is>
      </c>
      <c r="FD5570" t="inlineStr">
        <is>
          <t>SFWZ-78</t>
        </is>
      </c>
      <c r="FL5570" t="inlineStr">
        <is>
          <t>B</t>
        </is>
      </c>
      <c r="FP5570" t="inlineStr">
        <is>
          <t>B</t>
        </is>
      </c>
    </row>
    <row r="5571">
      <c r="FC5571" t="inlineStr">
        <is>
          <t>Diccionario 5</t>
        </is>
      </c>
      <c r="FD5571" t="inlineStr">
        <is>
          <t>VJKT-45</t>
        </is>
      </c>
      <c r="FL5571" t="inlineStr">
        <is>
          <t>B</t>
        </is>
      </c>
      <c r="FP5571" t="inlineStr">
        <is>
          <t>B</t>
        </is>
      </c>
    </row>
    <row r="5572">
      <c r="FC5572" t="inlineStr">
        <is>
          <t>Diccionario 5</t>
        </is>
      </c>
      <c r="FD5572" t="inlineStr">
        <is>
          <t>SFWZ-74</t>
        </is>
      </c>
      <c r="FL5572" t="inlineStr">
        <is>
          <t>B</t>
        </is>
      </c>
      <c r="FP5572" t="inlineStr">
        <is>
          <t>B</t>
        </is>
      </c>
    </row>
    <row r="5573">
      <c r="FC5573" t="inlineStr">
        <is>
          <t>Diccionario 5</t>
        </is>
      </c>
      <c r="FD5573" t="inlineStr">
        <is>
          <t>VJKX-38</t>
        </is>
      </c>
      <c r="FL5573" t="inlineStr">
        <is>
          <t>B</t>
        </is>
      </c>
      <c r="FP5573" t="inlineStr">
        <is>
          <t>B</t>
        </is>
      </c>
    </row>
    <row r="5574">
      <c r="FC5574" t="inlineStr">
        <is>
          <t>Diccionario 5</t>
        </is>
      </c>
      <c r="FD5574" t="inlineStr">
        <is>
          <t>PERDIDA</t>
        </is>
      </c>
      <c r="FL5574" t="e">
        <v>#N/A</v>
      </c>
      <c r="FP5574" t="e">
        <v>#N/A</v>
      </c>
    </row>
    <row r="5575">
      <c r="FC5575" t="inlineStr">
        <is>
          <t>Diccionario 5</t>
        </is>
      </c>
      <c r="FD5575" t="inlineStr">
        <is>
          <t>SFWZ-29</t>
        </is>
      </c>
      <c r="FL5575" t="inlineStr">
        <is>
          <t>B</t>
        </is>
      </c>
      <c r="FP5575" t="inlineStr">
        <is>
          <t>B</t>
        </is>
      </c>
    </row>
    <row r="5576">
      <c r="FC5576" t="inlineStr">
        <is>
          <t>Diccionario 5</t>
        </is>
      </c>
      <c r="FD5576" t="inlineStr">
        <is>
          <t>VJZB-67</t>
        </is>
      </c>
      <c r="FL5576" t="inlineStr">
        <is>
          <t>B</t>
        </is>
      </c>
      <c r="FP5576" t="inlineStr">
        <is>
          <t>B</t>
        </is>
      </c>
    </row>
    <row r="5577">
      <c r="FC5577" t="inlineStr">
        <is>
          <t>Diccionario 5</t>
        </is>
      </c>
      <c r="FD5577" t="inlineStr">
        <is>
          <t>SFWZ-59</t>
        </is>
      </c>
      <c r="FL5577" t="inlineStr">
        <is>
          <t>B</t>
        </is>
      </c>
      <c r="FP5577" t="inlineStr">
        <is>
          <t>B</t>
        </is>
      </c>
    </row>
    <row r="5578">
      <c r="FC5578" t="inlineStr">
        <is>
          <t>Diccionario 5</t>
        </is>
      </c>
      <c r="FD5578" t="inlineStr">
        <is>
          <t>3082 / SFWZ-56|</t>
        </is>
      </c>
      <c r="FL5578" t="inlineStr">
        <is>
          <t>B</t>
        </is>
      </c>
      <c r="FP5578" t="inlineStr">
        <is>
          <t>B</t>
        </is>
      </c>
    </row>
    <row r="5579">
      <c r="FC5579" t="inlineStr">
        <is>
          <t>Diccionario 5</t>
        </is>
      </c>
      <c r="FD5579" t="inlineStr">
        <is>
          <t>3008 / SFWB-58|</t>
        </is>
      </c>
      <c r="FL5579" t="inlineStr">
        <is>
          <t>B</t>
        </is>
      </c>
      <c r="FP5579" t="inlineStr">
        <is>
          <t>B</t>
        </is>
      </c>
    </row>
    <row r="5580">
      <c r="FC5580" t="inlineStr">
        <is>
          <t>Diccionario 5</t>
        </is>
      </c>
      <c r="FD5580" t="inlineStr">
        <is>
          <t>3076 / SFWZ-53|</t>
        </is>
      </c>
      <c r="FL5580" t="inlineStr">
        <is>
          <t>B</t>
        </is>
      </c>
      <c r="FP5580" t="inlineStr">
        <is>
          <t>B</t>
        </is>
      </c>
    </row>
    <row r="5581">
      <c r="FC5581" t="inlineStr">
        <is>
          <t>Diccionario 5</t>
        </is>
      </c>
      <c r="FD5581" t="inlineStr">
        <is>
          <t>3024 / SFWB-76|</t>
        </is>
      </c>
      <c r="FL5581" t="inlineStr">
        <is>
          <t>B</t>
        </is>
      </c>
      <c r="FP5581" t="inlineStr">
        <is>
          <t>B</t>
        </is>
      </c>
    </row>
    <row r="5582">
      <c r="FC5582" t="inlineStr">
        <is>
          <t>Diccionario 5</t>
        </is>
      </c>
      <c r="FD5582" t="inlineStr">
        <is>
          <t>VJZB-37|</t>
        </is>
      </c>
      <c r="FL5582" t="inlineStr">
        <is>
          <t>B</t>
        </is>
      </c>
      <c r="FP5582" t="inlineStr">
        <is>
          <t>B</t>
        </is>
      </c>
    </row>
    <row r="5583">
      <c r="FC5583" t="inlineStr">
        <is>
          <t>Diccionario 5</t>
        </is>
      </c>
      <c r="FD5583" t="inlineStr">
        <is>
          <t>3058 / SFWB-85|</t>
        </is>
      </c>
      <c r="FL5583" t="inlineStr">
        <is>
          <t>B</t>
        </is>
      </c>
      <c r="FP5583" t="inlineStr">
        <is>
          <t>B</t>
        </is>
      </c>
    </row>
    <row r="5584">
      <c r="FC5584" t="inlineStr">
        <is>
          <t>Diccionario 5</t>
        </is>
      </c>
      <c r="FD5584" t="inlineStr">
        <is>
          <t>3022 / SFWB-31|</t>
        </is>
      </c>
      <c r="FL5584" t="inlineStr">
        <is>
          <t>B</t>
        </is>
      </c>
      <c r="FP5584" t="inlineStr">
        <is>
          <t>B</t>
        </is>
      </c>
    </row>
    <row r="5585">
      <c r="FC5585" t="inlineStr">
        <is>
          <t>Diccionario 5</t>
        </is>
      </c>
      <c r="FD5585" t="inlineStr">
        <is>
          <t>VJKT-92|</t>
        </is>
      </c>
      <c r="FL5585" t="inlineStr">
        <is>
          <t>B</t>
        </is>
      </c>
      <c r="FP5585" t="inlineStr">
        <is>
          <t>B</t>
        </is>
      </c>
    </row>
    <row r="5586">
      <c r="FC5586" t="inlineStr">
        <is>
          <t>Diccionario 5</t>
        </is>
      </c>
      <c r="FD5586" t="inlineStr">
        <is>
          <t>3096 / SFWZ-74|</t>
        </is>
      </c>
      <c r="FL5586" t="inlineStr">
        <is>
          <t>B</t>
        </is>
      </c>
      <c r="FP5586" t="inlineStr">
        <is>
          <t>B</t>
        </is>
      </c>
    </row>
    <row r="5587">
      <c r="FC5587" t="inlineStr">
        <is>
          <t>Diccionario 5</t>
        </is>
      </c>
      <c r="FD5587" t="inlineStr">
        <is>
          <t>3071 / SFWZ-29|</t>
        </is>
      </c>
      <c r="FL5587" t="inlineStr">
        <is>
          <t>B</t>
        </is>
      </c>
      <c r="FP5587" t="inlineStr">
        <is>
          <t>B</t>
        </is>
      </c>
    </row>
    <row r="5588">
      <c r="FC5588" t="inlineStr">
        <is>
          <t>Diccionario 5</t>
        </is>
      </c>
      <c r="FD5588" t="inlineStr">
        <is>
          <t>SFWZ-48</t>
        </is>
      </c>
      <c r="FL5588" t="inlineStr">
        <is>
          <t>B</t>
        </is>
      </c>
      <c r="FP5588" t="inlineStr">
        <is>
          <t>B</t>
        </is>
      </c>
    </row>
    <row r="5589">
      <c r="FC5589" t="inlineStr">
        <is>
          <t>Diccionario 5</t>
        </is>
      </c>
      <c r="FD5589" t="inlineStr">
        <is>
          <t>SFWB-58</t>
        </is>
      </c>
      <c r="FL5589" t="inlineStr">
        <is>
          <t>B</t>
        </is>
      </c>
      <c r="FP5589" t="inlineStr">
        <is>
          <t>B</t>
        </is>
      </c>
    </row>
    <row r="5590">
      <c r="FC5590" t="inlineStr">
        <is>
          <t>Diccionario 5</t>
        </is>
      </c>
      <c r="FD5590" t="inlineStr">
        <is>
          <t>VJWZ-95</t>
        </is>
      </c>
      <c r="FL5590" t="inlineStr">
        <is>
          <t>B</t>
        </is>
      </c>
      <c r="FP5590" t="inlineStr">
        <is>
          <t>B</t>
        </is>
      </c>
    </row>
    <row r="5591">
      <c r="FC5591" t="inlineStr">
        <is>
          <t>Diccionario 5</t>
        </is>
      </c>
      <c r="FD5591" t="inlineStr">
        <is>
          <t>SFVZ-80</t>
        </is>
      </c>
      <c r="FL5591" t="inlineStr">
        <is>
          <t>B</t>
        </is>
      </c>
      <c r="FP5591" t="inlineStr">
        <is>
          <t>B</t>
        </is>
      </c>
    </row>
    <row r="5592">
      <c r="FC5592" t="inlineStr">
        <is>
          <t>Diccionario 5</t>
        </is>
      </c>
      <c r="FD5592" t="inlineStr">
        <is>
          <t>SFWZ-53</t>
        </is>
      </c>
      <c r="FL5592" t="inlineStr">
        <is>
          <t>B</t>
        </is>
      </c>
      <c r="FP5592" t="inlineStr">
        <is>
          <t>B</t>
        </is>
      </c>
    </row>
    <row r="5593">
      <c r="FC5593" t="inlineStr">
        <is>
          <t>Diccionario 5</t>
        </is>
      </c>
      <c r="FD5593" t="inlineStr">
        <is>
          <t>SFWZ-76</t>
        </is>
      </c>
      <c r="FL5593" t="inlineStr">
        <is>
          <t>B</t>
        </is>
      </c>
      <c r="FP5593" t="inlineStr">
        <is>
          <t>B</t>
        </is>
      </c>
    </row>
    <row r="5594">
      <c r="FC5594" t="inlineStr">
        <is>
          <t>Diccionario 5</t>
        </is>
      </c>
      <c r="FD5594" t="inlineStr">
        <is>
          <t>VJZB-67</t>
        </is>
      </c>
      <c r="FL5594" t="inlineStr">
        <is>
          <t>B</t>
        </is>
      </c>
      <c r="FP5594" t="inlineStr">
        <is>
          <t>B</t>
        </is>
      </c>
    </row>
    <row r="5595">
      <c r="FC5595" t="inlineStr">
        <is>
          <t>Diccionario 5</t>
        </is>
      </c>
      <c r="FD5595" t="inlineStr">
        <is>
          <t>SFWZ-29</t>
        </is>
      </c>
      <c r="FL5595" t="inlineStr">
        <is>
          <t>B</t>
        </is>
      </c>
      <c r="FP5595" t="inlineStr">
        <is>
          <t>B</t>
        </is>
      </c>
    </row>
    <row r="5596">
      <c r="FC5596" t="inlineStr">
        <is>
          <t>Diccionario 5</t>
        </is>
      </c>
      <c r="FD5596" t="inlineStr">
        <is>
          <t>SFWZ-66</t>
        </is>
      </c>
      <c r="FL5596" t="inlineStr">
        <is>
          <t>B</t>
        </is>
      </c>
      <c r="FP5596" t="inlineStr">
        <is>
          <t>B</t>
        </is>
      </c>
    </row>
    <row r="5597">
      <c r="FC5597" t="inlineStr">
        <is>
          <t>Diccionario 5</t>
        </is>
      </c>
      <c r="FD5597" t="inlineStr">
        <is>
          <t>SFWZ-27</t>
        </is>
      </c>
      <c r="FL5597" t="inlineStr">
        <is>
          <t>B</t>
        </is>
      </c>
      <c r="FP5597" t="inlineStr">
        <is>
          <t>B</t>
        </is>
      </c>
    </row>
    <row r="5598">
      <c r="FC5598" t="inlineStr">
        <is>
          <t>Diccionario 5</t>
        </is>
      </c>
      <c r="FD5598" t="inlineStr">
        <is>
          <t>VJKT-45</t>
        </is>
      </c>
      <c r="FL5598" t="inlineStr">
        <is>
          <t>B</t>
        </is>
      </c>
      <c r="FP5598" t="inlineStr">
        <is>
          <t>B</t>
        </is>
      </c>
    </row>
    <row r="5599">
      <c r="FC5599" t="inlineStr">
        <is>
          <t>Diccionario 5</t>
        </is>
      </c>
      <c r="FD5599" t="inlineStr">
        <is>
          <t>SFWZ-63</t>
        </is>
      </c>
      <c r="FL5599" t="inlineStr">
        <is>
          <t>B</t>
        </is>
      </c>
      <c r="FP5599" t="inlineStr">
        <is>
          <t>B</t>
        </is>
      </c>
    </row>
    <row r="5600">
      <c r="FC5600" t="inlineStr">
        <is>
          <t>Diccionario 5</t>
        </is>
      </c>
      <c r="FD5600" t="inlineStr">
        <is>
          <t>SFWB-73</t>
        </is>
      </c>
      <c r="FL5600" t="inlineStr">
        <is>
          <t>B</t>
        </is>
      </c>
      <c r="FP5600" t="inlineStr">
        <is>
          <t>B</t>
        </is>
      </c>
    </row>
    <row r="5601">
      <c r="FC5601" t="inlineStr">
        <is>
          <t>Diccionario 5</t>
        </is>
      </c>
      <c r="FD5601" t="inlineStr">
        <is>
          <t>3067 / SFWB-73|</t>
        </is>
      </c>
      <c r="FL5601" t="inlineStr">
        <is>
          <t>B</t>
        </is>
      </c>
      <c r="FP5601" t="inlineStr">
        <is>
          <t>B</t>
        </is>
      </c>
    </row>
    <row r="5602">
      <c r="FC5602" t="inlineStr">
        <is>
          <t>Diccionario 5</t>
        </is>
      </c>
      <c r="FD5602" t="inlineStr">
        <is>
          <t>3076 / SFWZ-53|</t>
        </is>
      </c>
      <c r="FL5602" t="inlineStr">
        <is>
          <t>B</t>
        </is>
      </c>
      <c r="FP5602" t="inlineStr">
        <is>
          <t>B</t>
        </is>
      </c>
    </row>
    <row r="5603">
      <c r="FC5603" t="inlineStr">
        <is>
          <t>Diccionario 5</t>
        </is>
      </c>
      <c r="FD5603" t="inlineStr">
        <is>
          <t>3024 / SFWB-76|</t>
        </is>
      </c>
      <c r="FL5603" t="inlineStr">
        <is>
          <t>B</t>
        </is>
      </c>
      <c r="FP5603" t="inlineStr">
        <is>
          <t>B</t>
        </is>
      </c>
    </row>
    <row r="5604">
      <c r="FC5604" t="inlineStr">
        <is>
          <t>Diccionario 5</t>
        </is>
      </c>
      <c r="FD5604" t="inlineStr">
        <is>
          <t>VJZB-37</t>
        </is>
      </c>
      <c r="FL5604" t="inlineStr">
        <is>
          <t>B</t>
        </is>
      </c>
      <c r="FP5604" t="inlineStr">
        <is>
          <t>B</t>
        </is>
      </c>
    </row>
    <row r="5605">
      <c r="FC5605" t="inlineStr">
        <is>
          <t>Diccionario 5</t>
        </is>
      </c>
      <c r="FD5605" t="inlineStr">
        <is>
          <t>SFWB-85</t>
        </is>
      </c>
      <c r="FL5605" t="inlineStr">
        <is>
          <t>B</t>
        </is>
      </c>
      <c r="FP5605" t="inlineStr">
        <is>
          <t>B</t>
        </is>
      </c>
    </row>
    <row r="5606">
      <c r="FC5606" t="inlineStr">
        <is>
          <t>Diccionario 5</t>
        </is>
      </c>
      <c r="FD5606" t="inlineStr">
        <is>
          <t>SFWB-31</t>
        </is>
      </c>
      <c r="FL5606" t="inlineStr">
        <is>
          <t>B</t>
        </is>
      </c>
      <c r="FP5606" t="inlineStr">
        <is>
          <t>B</t>
        </is>
      </c>
    </row>
    <row r="5607">
      <c r="FC5607" t="inlineStr">
        <is>
          <t>Diccionario 5</t>
        </is>
      </c>
      <c r="FD5607" t="inlineStr">
        <is>
          <t>SFWZ-74</t>
        </is>
      </c>
      <c r="FL5607" t="inlineStr">
        <is>
          <t>B</t>
        </is>
      </c>
      <c r="FP5607" t="inlineStr">
        <is>
          <t>B</t>
        </is>
      </c>
    </row>
    <row r="5608">
      <c r="FC5608" t="inlineStr">
        <is>
          <t>Diccionario 5</t>
        </is>
      </c>
      <c r="FD5608" t="inlineStr">
        <is>
          <t>VJKT-92|</t>
        </is>
      </c>
      <c r="FL5608" t="inlineStr">
        <is>
          <t>B</t>
        </is>
      </c>
      <c r="FP5608" t="inlineStr">
        <is>
          <t>B</t>
        </is>
      </c>
    </row>
    <row r="5609">
      <c r="FC5609" t="inlineStr">
        <is>
          <t>Diccionario 5</t>
        </is>
      </c>
      <c r="FD5609" t="inlineStr">
        <is>
          <t>3095 / SFWZ-58|</t>
        </is>
      </c>
      <c r="FL5609" t="inlineStr">
        <is>
          <t>B</t>
        </is>
      </c>
      <c r="FP5609" t="inlineStr">
        <is>
          <t>B</t>
        </is>
      </c>
    </row>
    <row r="5610">
      <c r="FC5610" t="inlineStr">
        <is>
          <t>Diccionario 5</t>
        </is>
      </c>
      <c r="FD5610" t="inlineStr">
        <is>
          <t>3071 / SFWZ-29|</t>
        </is>
      </c>
      <c r="FL5610" t="inlineStr">
        <is>
          <t>B</t>
        </is>
      </c>
      <c r="FP5610" t="inlineStr">
        <is>
          <t>B</t>
        </is>
      </c>
    </row>
    <row r="5611">
      <c r="FC5611" t="inlineStr">
        <is>
          <t>Diccionario 5</t>
        </is>
      </c>
      <c r="FD5611" t="inlineStr">
        <is>
          <t>VJYJ-15|</t>
        </is>
      </c>
      <c r="FL5611" t="inlineStr">
        <is>
          <t>B</t>
        </is>
      </c>
      <c r="FP5611" t="inlineStr">
        <is>
          <t>B</t>
        </is>
      </c>
    </row>
    <row r="5612">
      <c r="FC5612" t="inlineStr">
        <is>
          <t>Diccionario 5</t>
        </is>
      </c>
      <c r="FD5612" t="inlineStr">
        <is>
          <t>VJZB-67|</t>
        </is>
      </c>
      <c r="FL5612" t="inlineStr">
        <is>
          <t>B</t>
        </is>
      </c>
      <c r="FP5612" t="inlineStr">
        <is>
          <t>B</t>
        </is>
      </c>
    </row>
    <row r="5613">
      <c r="FC5613" t="inlineStr">
        <is>
          <t>Diccionario 5</t>
        </is>
      </c>
      <c r="FD5613" t="inlineStr">
        <is>
          <t>3102 / SFWZ-59|</t>
        </is>
      </c>
      <c r="FL5613" t="inlineStr">
        <is>
          <t>B</t>
        </is>
      </c>
      <c r="FP5613" t="inlineStr">
        <is>
          <t>B</t>
        </is>
      </c>
    </row>
    <row r="5614">
      <c r="FC5614" t="inlineStr">
        <is>
          <t>Diccionario 5</t>
        </is>
      </c>
      <c r="FD5614" t="inlineStr">
        <is>
          <t>3082 / SFWZ-56|</t>
        </is>
      </c>
      <c r="FL5614" t="inlineStr">
        <is>
          <t>B</t>
        </is>
      </c>
      <c r="FP5614" t="inlineStr">
        <is>
          <t>B</t>
        </is>
      </c>
    </row>
    <row r="5615">
      <c r="FC5615" t="inlineStr">
        <is>
          <t>Diccionario 5</t>
        </is>
      </c>
      <c r="FD5615" t="inlineStr">
        <is>
          <t>3008 / SFWB-58|</t>
        </is>
      </c>
      <c r="FL5615" t="inlineStr">
        <is>
          <t>B</t>
        </is>
      </c>
      <c r="FP5615" t="inlineStr">
        <is>
          <t>B</t>
        </is>
      </c>
    </row>
    <row r="5616">
      <c r="FC5616" t="inlineStr">
        <is>
          <t>Diccionario 5</t>
        </is>
      </c>
      <c r="FD5616" t="inlineStr">
        <is>
          <t>VJKX-38|</t>
        </is>
      </c>
      <c r="FL5616" t="inlineStr">
        <is>
          <t>B</t>
        </is>
      </c>
      <c r="FP5616" t="inlineStr">
        <is>
          <t>B</t>
        </is>
      </c>
    </row>
    <row r="5617">
      <c r="FC5617" t="inlineStr">
        <is>
          <t>Diccionario 5</t>
        </is>
      </c>
      <c r="FD5617" t="inlineStr">
        <is>
          <t>3067 / SFWB-73|</t>
        </is>
      </c>
      <c r="FL5617" t="inlineStr">
        <is>
          <t>B</t>
        </is>
      </c>
      <c r="FP5617" t="inlineStr">
        <is>
          <t>B</t>
        </is>
      </c>
    </row>
    <row r="5618">
      <c r="FC5618" t="inlineStr">
        <is>
          <t>Diccionario 5</t>
        </is>
      </c>
      <c r="FD5618" t="inlineStr">
        <is>
          <t>3076 / SFWZ-53|</t>
        </is>
      </c>
      <c r="FL5618" t="inlineStr">
        <is>
          <t>B</t>
        </is>
      </c>
      <c r="FP5618" t="inlineStr">
        <is>
          <t>B</t>
        </is>
      </c>
    </row>
    <row r="5619">
      <c r="FC5619" t="inlineStr">
        <is>
          <t>Diccionario 5</t>
        </is>
      </c>
      <c r="FD5619" t="inlineStr">
        <is>
          <t>3024 / SFWB-76|</t>
        </is>
      </c>
      <c r="FL5619" t="inlineStr">
        <is>
          <t>B</t>
        </is>
      </c>
      <c r="FP5619" t="inlineStr">
        <is>
          <t>B</t>
        </is>
      </c>
    </row>
    <row r="5620">
      <c r="FC5620" t="inlineStr">
        <is>
          <t>Diccionario 5</t>
        </is>
      </c>
      <c r="FD5620" t="inlineStr">
        <is>
          <t>SFWZ-56</t>
        </is>
      </c>
      <c r="FL5620" t="inlineStr">
        <is>
          <t>B</t>
        </is>
      </c>
      <c r="FP5620" t="inlineStr">
        <is>
          <t>B</t>
        </is>
      </c>
    </row>
    <row r="5621">
      <c r="FC5621" t="inlineStr">
        <is>
          <t>Diccionario 5</t>
        </is>
      </c>
      <c r="FD5621" t="inlineStr">
        <is>
          <t>VJKX-38|</t>
        </is>
      </c>
      <c r="FL5621" t="inlineStr">
        <is>
          <t>B</t>
        </is>
      </c>
      <c r="FP5621" t="inlineStr">
        <is>
          <t>B</t>
        </is>
      </c>
    </row>
    <row r="5622">
      <c r="FC5622" t="inlineStr">
        <is>
          <t>Diccionario 5</t>
        </is>
      </c>
      <c r="FD5622" t="inlineStr">
        <is>
          <t>VJKG-36|</t>
        </is>
      </c>
      <c r="FL5622" t="inlineStr">
        <is>
          <t>B</t>
        </is>
      </c>
      <c r="FP5622" t="inlineStr">
        <is>
          <t>B</t>
        </is>
      </c>
    </row>
    <row r="5623">
      <c r="FC5623" t="inlineStr">
        <is>
          <t>Diccionario 5</t>
        </is>
      </c>
      <c r="FD5623" t="inlineStr">
        <is>
          <t>3031 / SFWZ-33|</t>
        </is>
      </c>
      <c r="FL5623" t="inlineStr">
        <is>
          <t>B</t>
        </is>
      </c>
      <c r="FP5623" t="inlineStr">
        <is>
          <t>B</t>
        </is>
      </c>
    </row>
    <row r="5624">
      <c r="FC5624" t="inlineStr">
        <is>
          <t>Diccionario 5</t>
        </is>
      </c>
      <c r="FD5624" t="inlineStr">
        <is>
          <t>VJYH-63|</t>
        </is>
      </c>
      <c r="FL5624" t="inlineStr">
        <is>
          <t>B</t>
        </is>
      </c>
      <c r="FP5624" t="inlineStr">
        <is>
          <t>B</t>
        </is>
      </c>
    </row>
    <row r="5625">
      <c r="FC5625" t="inlineStr">
        <is>
          <t>Diccionario 5</t>
        </is>
      </c>
      <c r="FD5625" t="inlineStr">
        <is>
          <t>3083 / SFWZ-70|</t>
        </is>
      </c>
      <c r="FL5625" t="inlineStr">
        <is>
          <t>B</t>
        </is>
      </c>
      <c r="FP5625" t="inlineStr">
        <is>
          <t>B</t>
        </is>
      </c>
    </row>
    <row r="5626">
      <c r="FC5626" t="inlineStr">
        <is>
          <t>Diccionario 5</t>
        </is>
      </c>
      <c r="FD5626" t="inlineStr">
        <is>
          <t>3019 / SFWB-44|</t>
        </is>
      </c>
      <c r="FL5626" t="inlineStr">
        <is>
          <t>B</t>
        </is>
      </c>
      <c r="FP5626" t="inlineStr">
        <is>
          <t>B</t>
        </is>
      </c>
    </row>
    <row r="5627">
      <c r="FC5627" t="inlineStr">
        <is>
          <t>Diccionario 5</t>
        </is>
      </c>
      <c r="FD5627" t="inlineStr">
        <is>
          <t>3025 / SFVZ-44|</t>
        </is>
      </c>
      <c r="FL5627" t="inlineStr">
        <is>
          <t>B</t>
        </is>
      </c>
      <c r="FP5627" t="inlineStr">
        <is>
          <t>B</t>
        </is>
      </c>
    </row>
    <row r="5628">
      <c r="FC5628" t="inlineStr">
        <is>
          <t>Diccionario 5</t>
        </is>
      </c>
      <c r="FD5628" t="inlineStr">
        <is>
          <t>3092 / SFWZ-67|</t>
        </is>
      </c>
      <c r="FL5628" t="inlineStr">
        <is>
          <t>B</t>
        </is>
      </c>
      <c r="FP5628" t="inlineStr">
        <is>
          <t>B</t>
        </is>
      </c>
    </row>
    <row r="5629">
      <c r="FC5629" t="inlineStr">
        <is>
          <t>Diccionario 5</t>
        </is>
      </c>
      <c r="FD5629" t="inlineStr">
        <is>
          <t>VJXB-27|</t>
        </is>
      </c>
      <c r="FL5629" t="inlineStr">
        <is>
          <t>B</t>
        </is>
      </c>
      <c r="FP5629" t="inlineStr">
        <is>
          <t>B</t>
        </is>
      </c>
    </row>
    <row r="5630">
      <c r="FC5630" t="inlineStr">
        <is>
          <t>Diccionario 5</t>
        </is>
      </c>
      <c r="FD5630" t="inlineStr">
        <is>
          <t>SFVZ-86</t>
        </is>
      </c>
      <c r="FL5630" t="inlineStr">
        <is>
          <t>B</t>
        </is>
      </c>
      <c r="FP5630" t="inlineStr">
        <is>
          <t>B</t>
        </is>
      </c>
    </row>
    <row r="5631">
      <c r="FC5631" t="inlineStr">
        <is>
          <t>Diccionario 5</t>
        </is>
      </c>
      <c r="FD5631" t="inlineStr">
        <is>
          <t>VJZB-57|</t>
        </is>
      </c>
      <c r="FL5631" t="inlineStr">
        <is>
          <t>B</t>
        </is>
      </c>
      <c r="FP5631" t="inlineStr">
        <is>
          <t>B</t>
        </is>
      </c>
    </row>
    <row r="5632">
      <c r="FC5632" t="inlineStr">
        <is>
          <t>Diccionario 5</t>
        </is>
      </c>
      <c r="FD5632" t="inlineStr">
        <is>
          <t>3096 / SFWZ-74|</t>
        </is>
      </c>
      <c r="FL5632" t="inlineStr">
        <is>
          <t>B</t>
        </is>
      </c>
      <c r="FP5632" t="inlineStr">
        <is>
          <t>B</t>
        </is>
      </c>
    </row>
    <row r="5633">
      <c r="FC5633" t="inlineStr">
        <is>
          <t>Diccionario 5</t>
        </is>
      </c>
      <c r="FD5633" t="inlineStr">
        <is>
          <t>VJKG-36|</t>
        </is>
      </c>
      <c r="FL5633" t="inlineStr">
        <is>
          <t>B</t>
        </is>
      </c>
      <c r="FP5633" t="inlineStr">
        <is>
          <t>B</t>
        </is>
      </c>
    </row>
    <row r="5634">
      <c r="FC5634" t="inlineStr">
        <is>
          <t>Diccionario 5</t>
        </is>
      </c>
      <c r="FD5634" t="inlineStr">
        <is>
          <t>3045 / SFWB-48|</t>
        </is>
      </c>
      <c r="FL5634" t="inlineStr">
        <is>
          <t>B</t>
        </is>
      </c>
      <c r="FP5634" t="inlineStr">
        <is>
          <t>B</t>
        </is>
      </c>
    </row>
    <row r="5635">
      <c r="FC5635" t="inlineStr">
        <is>
          <t>Diccionario 5</t>
        </is>
      </c>
      <c r="FD5635" t="inlineStr">
        <is>
          <t>3080 / SFWZ-65|</t>
        </is>
      </c>
      <c r="FL5635" t="inlineStr">
        <is>
          <t>B</t>
        </is>
      </c>
      <c r="FP5635" t="inlineStr">
        <is>
          <t>B</t>
        </is>
      </c>
    </row>
    <row r="5636">
      <c r="FC5636" t="inlineStr">
        <is>
          <t>Diccionario 5</t>
        </is>
      </c>
      <c r="FD5636" t="inlineStr">
        <is>
          <t>3031 / SFWZ-33|</t>
        </is>
      </c>
      <c r="FL5636" t="inlineStr">
        <is>
          <t>B</t>
        </is>
      </c>
      <c r="FP5636" t="inlineStr">
        <is>
          <t>B</t>
        </is>
      </c>
    </row>
    <row r="5637">
      <c r="FC5637" t="inlineStr">
        <is>
          <t>Diccionario 5</t>
        </is>
      </c>
      <c r="FD5637" t="inlineStr">
        <is>
          <t>VJKG-75|</t>
        </is>
      </c>
      <c r="FL5637" t="inlineStr">
        <is>
          <t>B</t>
        </is>
      </c>
      <c r="FP5637" t="inlineStr">
        <is>
          <t>B</t>
        </is>
      </c>
    </row>
    <row r="5638">
      <c r="FC5638" t="inlineStr">
        <is>
          <t>Diccionario 5</t>
        </is>
      </c>
      <c r="FD5638" t="inlineStr">
        <is>
          <t>VJYH-63|</t>
        </is>
      </c>
      <c r="FL5638" t="inlineStr">
        <is>
          <t>B</t>
        </is>
      </c>
      <c r="FP5638" t="inlineStr">
        <is>
          <t>B</t>
        </is>
      </c>
    </row>
    <row r="5639">
      <c r="FC5639" t="inlineStr">
        <is>
          <t>Diccionario 5</t>
        </is>
      </c>
      <c r="FD5639" t="inlineStr">
        <is>
          <t>3004 / SFWZ-31|</t>
        </is>
      </c>
      <c r="FL5639" t="inlineStr">
        <is>
          <t>B</t>
        </is>
      </c>
      <c r="FP5639" t="inlineStr">
        <is>
          <t>B</t>
        </is>
      </c>
    </row>
    <row r="5640">
      <c r="FC5640" t="inlineStr">
        <is>
          <t>Diccionario 5</t>
        </is>
      </c>
      <c r="FD5640" t="inlineStr">
        <is>
          <t>VJKF-29|</t>
        </is>
      </c>
      <c r="FL5640" t="inlineStr">
        <is>
          <t>B</t>
        </is>
      </c>
      <c r="FP5640" t="inlineStr">
        <is>
          <t>B</t>
        </is>
      </c>
    </row>
    <row r="5641">
      <c r="FC5641" t="inlineStr">
        <is>
          <t>Diccionario 5</t>
        </is>
      </c>
      <c r="FD5641" t="inlineStr">
        <is>
          <t>3036 / SFWB-77|</t>
        </is>
      </c>
      <c r="FL5641" t="inlineStr">
        <is>
          <t>B</t>
        </is>
      </c>
      <c r="FP5641" t="inlineStr">
        <is>
          <t>B</t>
        </is>
      </c>
    </row>
    <row r="5642">
      <c r="FC5642" t="inlineStr">
        <is>
          <t>Diccionario 5</t>
        </is>
      </c>
      <c r="FD5642" t="inlineStr">
        <is>
          <t>VJZB-37|</t>
        </is>
      </c>
      <c r="FL5642" t="inlineStr">
        <is>
          <t>B</t>
        </is>
      </c>
      <c r="FP5642" t="inlineStr">
        <is>
          <t>B</t>
        </is>
      </c>
    </row>
    <row r="5643">
      <c r="FC5643" t="inlineStr">
        <is>
          <t>Diccionario 5</t>
        </is>
      </c>
      <c r="FD5643" t="inlineStr">
        <is>
          <t>VJZB-77|</t>
        </is>
      </c>
      <c r="FL5643" t="inlineStr">
        <is>
          <t>B</t>
        </is>
      </c>
      <c r="FP5643" t="inlineStr">
        <is>
          <t>B</t>
        </is>
      </c>
    </row>
    <row r="5644">
      <c r="FC5644" t="inlineStr">
        <is>
          <t>Diccionario 5</t>
        </is>
      </c>
      <c r="FD5644" t="inlineStr">
        <is>
          <t>LXWT-94|</t>
        </is>
      </c>
      <c r="FL5644" t="inlineStr">
        <is>
          <t>C</t>
        </is>
      </c>
      <c r="FP5644" t="inlineStr">
        <is>
          <t>C</t>
        </is>
      </c>
    </row>
    <row r="5645">
      <c r="FC5645" t="inlineStr">
        <is>
          <t>Diccionario 5</t>
        </is>
      </c>
      <c r="FD5645" t="inlineStr">
        <is>
          <t>LZRB-82|</t>
        </is>
      </c>
      <c r="FL5645" t="inlineStr">
        <is>
          <t>C</t>
        </is>
      </c>
      <c r="FP5645" t="inlineStr">
        <is>
          <t>C</t>
        </is>
      </c>
    </row>
    <row r="5646">
      <c r="FC5646" t="inlineStr">
        <is>
          <t>Diccionario 5</t>
        </is>
      </c>
      <c r="FD5646" t="inlineStr">
        <is>
          <t>LZPT-74|</t>
        </is>
      </c>
      <c r="FL5646" t="inlineStr">
        <is>
          <t>C</t>
        </is>
      </c>
      <c r="FP5646" t="inlineStr">
        <is>
          <t>C</t>
        </is>
      </c>
    </row>
    <row r="5647">
      <c r="FC5647" t="inlineStr">
        <is>
          <t>Diccionario 5</t>
        </is>
      </c>
      <c r="FD5647" t="inlineStr">
        <is>
          <t>3052 / SFVZ-86|</t>
        </is>
      </c>
      <c r="FL5647" t="inlineStr">
        <is>
          <t>B</t>
        </is>
      </c>
      <c r="FP5647" t="inlineStr">
        <is>
          <t>B</t>
        </is>
      </c>
    </row>
    <row r="5648">
      <c r="FC5648" t="inlineStr">
        <is>
          <t>Diccionario 5</t>
        </is>
      </c>
      <c r="FD5648" t="inlineStr">
        <is>
          <t>VJWZ-74|</t>
        </is>
      </c>
      <c r="FL5648" t="inlineStr">
        <is>
          <t>B</t>
        </is>
      </c>
      <c r="FP5648" t="inlineStr">
        <is>
          <t>B</t>
        </is>
      </c>
    </row>
    <row r="5649">
      <c r="FC5649" t="inlineStr">
        <is>
          <t>Diccionario 5</t>
        </is>
      </c>
      <c r="FD5649" t="inlineStr">
        <is>
          <t>VJKD-85|</t>
        </is>
      </c>
      <c r="FL5649" t="inlineStr">
        <is>
          <t>B</t>
        </is>
      </c>
      <c r="FP5649" t="inlineStr">
        <is>
          <t>B</t>
        </is>
      </c>
    </row>
    <row r="5650">
      <c r="FC5650" t="inlineStr">
        <is>
          <t>Diccionario 5</t>
        </is>
      </c>
      <c r="FD5650" t="inlineStr">
        <is>
          <t>3016 / SFWB-28|</t>
        </is>
      </c>
      <c r="FL5650" t="inlineStr">
        <is>
          <t>B</t>
        </is>
      </c>
      <c r="FP5650" t="inlineStr">
        <is>
          <t>B</t>
        </is>
      </c>
    </row>
    <row r="5651">
      <c r="FC5651" t="inlineStr">
        <is>
          <t>Diccionario 5</t>
        </is>
      </c>
      <c r="FD5651" t="inlineStr">
        <is>
          <t>3044 / SFVZ-67|</t>
        </is>
      </c>
      <c r="FL5651" t="inlineStr">
        <is>
          <t>B</t>
        </is>
      </c>
      <c r="FP5651" t="inlineStr">
        <is>
          <t>B</t>
        </is>
      </c>
    </row>
    <row r="5652">
      <c r="FC5652" t="inlineStr">
        <is>
          <t>Diccionario 5</t>
        </is>
      </c>
      <c r="FD5652" t="inlineStr">
        <is>
          <t>GCBF-44|</t>
        </is>
      </c>
      <c r="FL5652" t="inlineStr">
        <is>
          <t>C</t>
        </is>
      </c>
      <c r="FP5652" t="inlineStr">
        <is>
          <t>C</t>
        </is>
      </c>
    </row>
    <row r="5653">
      <c r="FC5653" t="inlineStr">
        <is>
          <t>Diccionario 5</t>
        </is>
      </c>
      <c r="FD5653" t="inlineStr">
        <is>
          <t>3047 / SFVZ-39|</t>
        </is>
      </c>
      <c r="FL5653" t="inlineStr">
        <is>
          <t>B</t>
        </is>
      </c>
      <c r="FP5653" t="inlineStr">
        <is>
          <t>B</t>
        </is>
      </c>
    </row>
    <row r="5654">
      <c r="FC5654" t="inlineStr">
        <is>
          <t>Diccionario 5</t>
        </is>
      </c>
      <c r="FD5654" t="inlineStr">
        <is>
          <t>VJKY-58|</t>
        </is>
      </c>
      <c r="FL5654" t="inlineStr">
        <is>
          <t>B</t>
        </is>
      </c>
      <c r="FP5654" t="inlineStr">
        <is>
          <t>B</t>
        </is>
      </c>
    </row>
    <row r="5655">
      <c r="FC5655" t="inlineStr">
        <is>
          <t>Diccionario 5</t>
        </is>
      </c>
      <c r="FD5655" t="inlineStr">
        <is>
          <t>3080 / SFWZ-65|</t>
        </is>
      </c>
      <c r="FL5655" t="inlineStr">
        <is>
          <t>B</t>
        </is>
      </c>
      <c r="FP5655" t="inlineStr">
        <is>
          <t>B</t>
        </is>
      </c>
    </row>
    <row r="5656">
      <c r="FC5656" t="inlineStr">
        <is>
          <t>Diccionario 5</t>
        </is>
      </c>
      <c r="FD5656" t="inlineStr">
        <is>
          <t>3064 / SFWZ-61|</t>
        </is>
      </c>
      <c r="FL5656" t="inlineStr">
        <is>
          <t>B</t>
        </is>
      </c>
      <c r="FP5656" t="inlineStr">
        <is>
          <t>B</t>
        </is>
      </c>
    </row>
    <row r="5657">
      <c r="FC5657" t="inlineStr">
        <is>
          <t>Diccionario 5</t>
        </is>
      </c>
      <c r="FD5657" t="inlineStr">
        <is>
          <t>3031 / SFWZ-33|</t>
        </is>
      </c>
      <c r="FL5657" t="inlineStr">
        <is>
          <t>B</t>
        </is>
      </c>
      <c r="FP5657" t="inlineStr">
        <is>
          <t>B</t>
        </is>
      </c>
    </row>
    <row r="5658">
      <c r="FC5658" t="inlineStr">
        <is>
          <t>Diccionario 5</t>
        </is>
      </c>
      <c r="FD5658" t="inlineStr">
        <is>
          <t>VJKG-75|</t>
        </is>
      </c>
      <c r="FL5658" t="inlineStr">
        <is>
          <t>B</t>
        </is>
      </c>
      <c r="FP5658" t="inlineStr">
        <is>
          <t>B</t>
        </is>
      </c>
    </row>
    <row r="5659">
      <c r="FC5659" t="inlineStr">
        <is>
          <t>Diccionario 5</t>
        </is>
      </c>
      <c r="FD5659" t="inlineStr">
        <is>
          <t>3004 / SFWZ-31|</t>
        </is>
      </c>
      <c r="FL5659" t="inlineStr">
        <is>
          <t>B</t>
        </is>
      </c>
      <c r="FP5659" t="inlineStr">
        <is>
          <t>B</t>
        </is>
      </c>
    </row>
    <row r="5660">
      <c r="FC5660" t="inlineStr">
        <is>
          <t>Diccionario 5</t>
        </is>
      </c>
      <c r="FD5660" t="inlineStr">
        <is>
          <t>VJKG-16|</t>
        </is>
      </c>
      <c r="FL5660" t="inlineStr">
        <is>
          <t>B</t>
        </is>
      </c>
      <c r="FP5660" t="inlineStr">
        <is>
          <t>B</t>
        </is>
      </c>
    </row>
    <row r="5661">
      <c r="FC5661" t="inlineStr">
        <is>
          <t>Diccionario 5</t>
        </is>
      </c>
      <c r="FD5661" t="inlineStr">
        <is>
          <t>VJYH-63|</t>
        </is>
      </c>
      <c r="FL5661" t="inlineStr">
        <is>
          <t>B</t>
        </is>
      </c>
      <c r="FP5661" t="inlineStr">
        <is>
          <t>B</t>
        </is>
      </c>
    </row>
    <row r="5662">
      <c r="FC5662" t="inlineStr">
        <is>
          <t>Diccionario 5</t>
        </is>
      </c>
      <c r="FD5662" t="inlineStr">
        <is>
          <t>3023 / SFWB-33|</t>
        </is>
      </c>
      <c r="FL5662" t="inlineStr">
        <is>
          <t>B</t>
        </is>
      </c>
      <c r="FP5662" t="inlineStr">
        <is>
          <t>B</t>
        </is>
      </c>
    </row>
    <row r="5663">
      <c r="FC5663" t="inlineStr">
        <is>
          <t>Diccionario 5</t>
        </is>
      </c>
      <c r="FD5663" t="inlineStr">
        <is>
          <t>VJKF-29|</t>
        </is>
      </c>
      <c r="FL5663" t="inlineStr">
        <is>
          <t>B</t>
        </is>
      </c>
      <c r="FP5663" t="inlineStr">
        <is>
          <t>B</t>
        </is>
      </c>
    </row>
    <row r="5664">
      <c r="FC5664" t="inlineStr">
        <is>
          <t>Diccionario 5</t>
        </is>
      </c>
      <c r="FD5664" t="inlineStr">
        <is>
          <t>3036 / SFWB-77|</t>
        </is>
      </c>
      <c r="FL5664" t="inlineStr">
        <is>
          <t>B</t>
        </is>
      </c>
      <c r="FP5664" t="inlineStr">
        <is>
          <t>B</t>
        </is>
      </c>
    </row>
    <row r="5665">
      <c r="FC5665" t="inlineStr">
        <is>
          <t>Diccionario 5</t>
        </is>
      </c>
      <c r="FD5665" t="inlineStr">
        <is>
          <t>3032 / SFWZ-34|</t>
        </is>
      </c>
      <c r="FL5665" t="inlineStr">
        <is>
          <t>B</t>
        </is>
      </c>
      <c r="FP5665" t="inlineStr">
        <is>
          <t>B</t>
        </is>
      </c>
    </row>
    <row r="5666">
      <c r="FC5666" t="inlineStr">
        <is>
          <t>Diccionario 5</t>
        </is>
      </c>
      <c r="FD5666" t="inlineStr">
        <is>
          <t>3019 / SFWB-44|</t>
        </is>
      </c>
      <c r="FL5666" t="inlineStr">
        <is>
          <t>B</t>
        </is>
      </c>
      <c r="FP5666" t="inlineStr">
        <is>
          <t>B</t>
        </is>
      </c>
    </row>
    <row r="5667">
      <c r="FC5667" t="inlineStr">
        <is>
          <t>Diccionario 5</t>
        </is>
      </c>
      <c r="FD5667" t="inlineStr">
        <is>
          <t>VJKX-78|</t>
        </is>
      </c>
      <c r="FL5667" t="inlineStr">
        <is>
          <t>B</t>
        </is>
      </c>
      <c r="FP5667" t="inlineStr">
        <is>
          <t>B</t>
        </is>
      </c>
    </row>
    <row r="5668">
      <c r="FC5668" t="inlineStr">
        <is>
          <t>Diccionario 5</t>
        </is>
      </c>
      <c r="FD5668" t="inlineStr">
        <is>
          <t>VJXC-26|</t>
        </is>
      </c>
      <c r="FL5668" t="inlineStr">
        <is>
          <t>B</t>
        </is>
      </c>
      <c r="FP5668" t="inlineStr">
        <is>
          <t>B</t>
        </is>
      </c>
    </row>
    <row r="5669">
      <c r="FC5669" t="inlineStr">
        <is>
          <t>Diccionario 5</t>
        </is>
      </c>
      <c r="FD5669" t="inlineStr">
        <is>
          <t>3033 / SFVZ-29|</t>
        </is>
      </c>
      <c r="FL5669" t="inlineStr">
        <is>
          <t>B</t>
        </is>
      </c>
      <c r="FP5669" t="inlineStr">
        <is>
          <t>B</t>
        </is>
      </c>
    </row>
    <row r="5670">
      <c r="FC5670" t="inlineStr">
        <is>
          <t>Diccionario 5</t>
        </is>
      </c>
      <c r="FD5670" t="inlineStr">
        <is>
          <t>3052 / SFVZ-86|</t>
        </is>
      </c>
      <c r="FL5670" t="inlineStr">
        <is>
          <t>B</t>
        </is>
      </c>
      <c r="FP5670" t="inlineStr">
        <is>
          <t>B</t>
        </is>
      </c>
    </row>
    <row r="5671">
      <c r="FC5671" t="inlineStr">
        <is>
          <t>Diccionario 5</t>
        </is>
      </c>
      <c r="FD5671" t="inlineStr">
        <is>
          <t>VJZB-57|</t>
        </is>
      </c>
      <c r="FL5671" t="inlineStr">
        <is>
          <t>B</t>
        </is>
      </c>
      <c r="FP5671" t="inlineStr">
        <is>
          <t>B</t>
        </is>
      </c>
    </row>
    <row r="5672">
      <c r="FC5672" t="inlineStr">
        <is>
          <t>Diccionario 5</t>
        </is>
      </c>
      <c r="FD5672" t="inlineStr">
        <is>
          <t>VJKV-58|</t>
        </is>
      </c>
      <c r="FL5672" t="inlineStr">
        <is>
          <t>B</t>
        </is>
      </c>
      <c r="FP5672" t="inlineStr">
        <is>
          <t>B</t>
        </is>
      </c>
    </row>
    <row r="5673">
      <c r="FC5673" t="inlineStr">
        <is>
          <t>Diccionario 5</t>
        </is>
      </c>
      <c r="FD5673" t="inlineStr">
        <is>
          <t>3085 / SFWZ-48|</t>
        </is>
      </c>
      <c r="FL5673" t="inlineStr">
        <is>
          <t>B</t>
        </is>
      </c>
      <c r="FP5673" t="inlineStr">
        <is>
          <t>B</t>
        </is>
      </c>
    </row>
    <row r="5674">
      <c r="FC5674" t="inlineStr">
        <is>
          <t>Diccionario 5</t>
        </is>
      </c>
      <c r="FD5674" t="inlineStr">
        <is>
          <t>3100 / SFWZ-83|</t>
        </is>
      </c>
      <c r="FL5674" t="inlineStr">
        <is>
          <t>B</t>
        </is>
      </c>
      <c r="FP5674" t="inlineStr">
        <is>
          <t>B</t>
        </is>
      </c>
    </row>
    <row r="5675">
      <c r="FC5675" t="inlineStr">
        <is>
          <t>Diccionario 5</t>
        </is>
      </c>
      <c r="FD5675" t="inlineStr">
        <is>
          <t>VJKZ-38|</t>
        </is>
      </c>
      <c r="FL5675" t="inlineStr">
        <is>
          <t>B</t>
        </is>
      </c>
      <c r="FP5675" t="inlineStr">
        <is>
          <t>B</t>
        </is>
      </c>
    </row>
    <row r="5676">
      <c r="FC5676" t="inlineStr">
        <is>
          <t>Diccionario 5</t>
        </is>
      </c>
      <c r="FD5676" t="inlineStr">
        <is>
          <t>3093 / SFWZ-82|</t>
        </is>
      </c>
      <c r="FL5676" t="inlineStr">
        <is>
          <t>B</t>
        </is>
      </c>
      <c r="FP5676" t="inlineStr">
        <is>
          <t>B</t>
        </is>
      </c>
    </row>
    <row r="5677">
      <c r="FC5677" t="inlineStr">
        <is>
          <t>Diccionario 5</t>
        </is>
      </c>
      <c r="FD5677" t="inlineStr">
        <is>
          <t>VJKF-66|</t>
        </is>
      </c>
      <c r="FL5677" t="inlineStr">
        <is>
          <t>B</t>
        </is>
      </c>
      <c r="FP5677" t="inlineStr">
        <is>
          <t>B</t>
        </is>
      </c>
    </row>
    <row r="5678">
      <c r="FC5678" t="inlineStr">
        <is>
          <t>Diccionario 5</t>
        </is>
      </c>
      <c r="FD5678" t="inlineStr">
        <is>
          <t>3060 / SFWB-14|</t>
        </is>
      </c>
      <c r="FL5678" t="inlineStr">
        <is>
          <t>B</t>
        </is>
      </c>
      <c r="FP5678" t="inlineStr">
        <is>
          <t>B</t>
        </is>
      </c>
    </row>
    <row r="5679">
      <c r="FC5679" t="inlineStr">
        <is>
          <t>Diccionario 5</t>
        </is>
      </c>
      <c r="FD5679" t="inlineStr">
        <is>
          <t>3064 / SFWZ-61|</t>
        </is>
      </c>
      <c r="FL5679" t="inlineStr">
        <is>
          <t>B</t>
        </is>
      </c>
      <c r="FP5679" t="inlineStr">
        <is>
          <t>B</t>
        </is>
      </c>
    </row>
    <row r="5680">
      <c r="FC5680" t="inlineStr">
        <is>
          <t>Diccionario 5</t>
        </is>
      </c>
      <c r="FD5680" t="inlineStr">
        <is>
          <t>VJKG-37|</t>
        </is>
      </c>
      <c r="FL5680" t="inlineStr">
        <is>
          <t>B</t>
        </is>
      </c>
      <c r="FP5680" t="inlineStr">
        <is>
          <t>B</t>
        </is>
      </c>
    </row>
    <row r="5681">
      <c r="FC5681" t="inlineStr">
        <is>
          <t>Diccionario 5</t>
        </is>
      </c>
      <c r="FD5681" t="inlineStr">
        <is>
          <t>VJKV-88|</t>
        </is>
      </c>
      <c r="FL5681" t="inlineStr">
        <is>
          <t>B</t>
        </is>
      </c>
      <c r="FP5681" t="inlineStr">
        <is>
          <t>B</t>
        </is>
      </c>
    </row>
    <row r="5682">
      <c r="FC5682" t="inlineStr">
        <is>
          <t>Diccionario 5</t>
        </is>
      </c>
      <c r="FD5682" t="inlineStr">
        <is>
          <t>VJXB-87|</t>
        </is>
      </c>
      <c r="FL5682" t="inlineStr">
        <is>
          <t>B</t>
        </is>
      </c>
      <c r="FP5682" t="inlineStr">
        <is>
          <t>B</t>
        </is>
      </c>
    </row>
    <row r="5683">
      <c r="FC5683" t="inlineStr">
        <is>
          <t>Diccionario 5</t>
        </is>
      </c>
      <c r="FD5683" t="inlineStr">
        <is>
          <t>VJKY-18|</t>
        </is>
      </c>
      <c r="FL5683" t="inlineStr">
        <is>
          <t>B</t>
        </is>
      </c>
      <c r="FP5683" t="inlineStr">
        <is>
          <t>B</t>
        </is>
      </c>
    </row>
    <row r="5684">
      <c r="FC5684" t="inlineStr">
        <is>
          <t>Diccionario 5</t>
        </is>
      </c>
      <c r="FD5684" t="inlineStr">
        <is>
          <t>VJXB-27|</t>
        </is>
      </c>
      <c r="FL5684" t="inlineStr">
        <is>
          <t>B</t>
        </is>
      </c>
      <c r="FP5684" t="inlineStr">
        <is>
          <t>B</t>
        </is>
      </c>
    </row>
    <row r="5685">
      <c r="FC5685" t="inlineStr">
        <is>
          <t>Diccionario 5</t>
        </is>
      </c>
      <c r="FD5685" t="inlineStr">
        <is>
          <t>LZPT-75|</t>
        </is>
      </c>
      <c r="FL5685" t="inlineStr">
        <is>
          <t>C</t>
        </is>
      </c>
      <c r="FP5685" t="inlineStr">
        <is>
          <t>C</t>
        </is>
      </c>
    </row>
    <row r="5686">
      <c r="FC5686" t="inlineStr">
        <is>
          <t>Diccionario 5</t>
        </is>
      </c>
      <c r="FD5686" t="inlineStr">
        <is>
          <t>3048 / SFVZ-96|</t>
        </is>
      </c>
      <c r="FL5686" t="inlineStr">
        <is>
          <t>B</t>
        </is>
      </c>
      <c r="FP5686" t="inlineStr">
        <is>
          <t>B</t>
        </is>
      </c>
    </row>
    <row r="5687">
      <c r="FC5687" t="inlineStr">
        <is>
          <t>Diccionario 5</t>
        </is>
      </c>
      <c r="FD5687" t="inlineStr">
        <is>
          <t>LZPR-90|</t>
        </is>
      </c>
      <c r="FL5687" t="inlineStr">
        <is>
          <t>C</t>
        </is>
      </c>
      <c r="FP5687" t="inlineStr">
        <is>
          <t>C</t>
        </is>
      </c>
    </row>
    <row r="5688">
      <c r="FC5688" t="inlineStr">
        <is>
          <t>Diccionario 5</t>
        </is>
      </c>
      <c r="FD5688" t="inlineStr">
        <is>
          <t>VJKD-70|</t>
        </is>
      </c>
      <c r="FL5688" t="inlineStr">
        <is>
          <t>B</t>
        </is>
      </c>
      <c r="FP5688" t="inlineStr">
        <is>
          <t>B</t>
        </is>
      </c>
    </row>
    <row r="5689">
      <c r="FC5689" t="inlineStr">
        <is>
          <t>Diccionario 5</t>
        </is>
      </c>
      <c r="FD5689" t="inlineStr">
        <is>
          <t>3069 / SFWZ-32|</t>
        </is>
      </c>
      <c r="FL5689" t="inlineStr">
        <is>
          <t>B</t>
        </is>
      </c>
      <c r="FP5689" t="inlineStr">
        <is>
          <t>B</t>
        </is>
      </c>
    </row>
    <row r="5690">
      <c r="FC5690" t="inlineStr">
        <is>
          <t>Diccionario 5</t>
        </is>
      </c>
      <c r="FD5690" t="inlineStr">
        <is>
          <t>VJWZ-74|</t>
        </is>
      </c>
      <c r="FL5690" t="inlineStr">
        <is>
          <t>B</t>
        </is>
      </c>
      <c r="FP5690" t="inlineStr">
        <is>
          <t>B</t>
        </is>
      </c>
    </row>
    <row r="5691">
      <c r="FC5691" t="inlineStr">
        <is>
          <t>Diccionario 5</t>
        </is>
      </c>
      <c r="FD5691" t="inlineStr">
        <is>
          <t>3107 / SFWZ-85|</t>
        </is>
      </c>
      <c r="FL5691" t="inlineStr">
        <is>
          <t>B</t>
        </is>
      </c>
      <c r="FP5691" t="inlineStr">
        <is>
          <t>B</t>
        </is>
      </c>
    </row>
    <row r="5692">
      <c r="FC5692" t="inlineStr">
        <is>
          <t>Diccionario 5</t>
        </is>
      </c>
      <c r="FD5692" t="inlineStr">
        <is>
          <t>VJKG-25|</t>
        </is>
      </c>
      <c r="FL5692" t="inlineStr">
        <is>
          <t>B</t>
        </is>
      </c>
      <c r="FP5692" t="inlineStr">
        <is>
          <t>B</t>
        </is>
      </c>
    </row>
    <row r="5693">
      <c r="FC5693" t="inlineStr">
        <is>
          <t>Diccionario 5</t>
        </is>
      </c>
      <c r="FD5693" t="inlineStr">
        <is>
          <t>VJXC-75|</t>
        </is>
      </c>
      <c r="FL5693" t="inlineStr">
        <is>
          <t>B</t>
        </is>
      </c>
      <c r="FP5693" t="inlineStr">
        <is>
          <t>B</t>
        </is>
      </c>
    </row>
    <row r="5694">
      <c r="FC5694" t="inlineStr">
        <is>
          <t>Diccionario 5</t>
        </is>
      </c>
      <c r="FD5694" t="inlineStr">
        <is>
          <t>VJXB-56|</t>
        </is>
      </c>
      <c r="FL5694" t="inlineStr">
        <is>
          <t>B</t>
        </is>
      </c>
      <c r="FP5694" t="inlineStr">
        <is>
          <t>B</t>
        </is>
      </c>
    </row>
    <row r="5695">
      <c r="FC5695" t="inlineStr">
        <is>
          <t>Diccionario 5</t>
        </is>
      </c>
      <c r="FD5695" t="inlineStr">
        <is>
          <t>VJYH-63|</t>
        </is>
      </c>
      <c r="FL5695" t="inlineStr">
        <is>
          <t>B</t>
        </is>
      </c>
      <c r="FP5695" t="inlineStr">
        <is>
          <t>B</t>
        </is>
      </c>
    </row>
    <row r="5696">
      <c r="FC5696" t="inlineStr">
        <is>
          <t>Diccionario 5</t>
        </is>
      </c>
      <c r="FD5696" t="inlineStr">
        <is>
          <t>3047 / SFVZ-39|</t>
        </is>
      </c>
      <c r="FL5696" t="inlineStr">
        <is>
          <t>B</t>
        </is>
      </c>
      <c r="FP5696" t="inlineStr">
        <is>
          <t>B</t>
        </is>
      </c>
    </row>
    <row r="5697">
      <c r="FC5697" t="inlineStr">
        <is>
          <t>Diccionario 5</t>
        </is>
      </c>
      <c r="FD5697" t="inlineStr">
        <is>
          <t>VJKX-78|</t>
        </is>
      </c>
      <c r="FL5697" t="inlineStr">
        <is>
          <t>B</t>
        </is>
      </c>
      <c r="FP5697" t="inlineStr">
        <is>
          <t>B</t>
        </is>
      </c>
    </row>
    <row r="5698">
      <c r="FC5698" t="inlineStr">
        <is>
          <t>Diccionario 5</t>
        </is>
      </c>
      <c r="FD5698" t="inlineStr">
        <is>
          <t>VJXC-26|</t>
        </is>
      </c>
      <c r="FL5698" t="inlineStr">
        <is>
          <t>B</t>
        </is>
      </c>
      <c r="FP5698" t="inlineStr">
        <is>
          <t>B</t>
        </is>
      </c>
    </row>
    <row r="5699">
      <c r="FC5699" t="inlineStr">
        <is>
          <t>Diccionario 5</t>
        </is>
      </c>
      <c r="FD5699" t="inlineStr">
        <is>
          <t>VJKF-29|</t>
        </is>
      </c>
      <c r="FL5699" t="inlineStr">
        <is>
          <t>B</t>
        </is>
      </c>
      <c r="FP5699" t="inlineStr">
        <is>
          <t>B</t>
        </is>
      </c>
    </row>
    <row r="5700">
      <c r="FC5700" t="inlineStr">
        <is>
          <t>Diccionario 5</t>
        </is>
      </c>
      <c r="FD5700" t="inlineStr">
        <is>
          <t>VJKY-18|</t>
        </is>
      </c>
      <c r="FL5700" t="inlineStr">
        <is>
          <t>B</t>
        </is>
      </c>
      <c r="FP5700" t="inlineStr">
        <is>
          <t>B</t>
        </is>
      </c>
    </row>
    <row r="5701">
      <c r="FC5701" t="inlineStr">
        <is>
          <t>Diccionario 5</t>
        </is>
      </c>
      <c r="FD5701" t="inlineStr">
        <is>
          <t>VJXB-27|</t>
        </is>
      </c>
      <c r="FL5701" t="inlineStr">
        <is>
          <t>B</t>
        </is>
      </c>
      <c r="FP5701" t="inlineStr">
        <is>
          <t>B</t>
        </is>
      </c>
    </row>
    <row r="5702">
      <c r="FC5702" t="inlineStr">
        <is>
          <t>Diccionario 5</t>
        </is>
      </c>
      <c r="FD5702" t="inlineStr">
        <is>
          <t>VJKY-58|</t>
        </is>
      </c>
      <c r="FL5702" t="inlineStr">
        <is>
          <t>B</t>
        </is>
      </c>
      <c r="FP5702" t="inlineStr">
        <is>
          <t>B</t>
        </is>
      </c>
    </row>
    <row r="5703">
      <c r="FC5703" t="inlineStr">
        <is>
          <t>Diccionario 5</t>
        </is>
      </c>
      <c r="FD5703" t="inlineStr">
        <is>
          <t>LZPT-75|</t>
        </is>
      </c>
      <c r="FL5703" t="inlineStr">
        <is>
          <t>C</t>
        </is>
      </c>
      <c r="FP5703" t="inlineStr">
        <is>
          <t>C</t>
        </is>
      </c>
    </row>
    <row r="5704">
      <c r="FC5704" t="inlineStr">
        <is>
          <t>Diccionario 5</t>
        </is>
      </c>
      <c r="FD5704" t="inlineStr">
        <is>
          <t>3093 / SFWZ-82|</t>
        </is>
      </c>
      <c r="FL5704" t="inlineStr">
        <is>
          <t>B</t>
        </is>
      </c>
      <c r="FP5704" t="inlineStr">
        <is>
          <t>B</t>
        </is>
      </c>
    </row>
    <row r="5705">
      <c r="FC5705" t="inlineStr">
        <is>
          <t>Diccionario 5</t>
        </is>
      </c>
      <c r="FD5705" t="inlineStr">
        <is>
          <t>3069 / SFWZ-32|</t>
        </is>
      </c>
      <c r="FL5705" t="inlineStr">
        <is>
          <t>B</t>
        </is>
      </c>
      <c r="FP5705" t="inlineStr">
        <is>
          <t>B</t>
        </is>
      </c>
    </row>
    <row r="5706">
      <c r="FC5706" t="inlineStr">
        <is>
          <t>Diccionario 5</t>
        </is>
      </c>
      <c r="FD5706" t="inlineStr">
        <is>
          <t>VJKW-68|</t>
        </is>
      </c>
      <c r="FL5706" t="inlineStr">
        <is>
          <t>B</t>
        </is>
      </c>
      <c r="FP5706" t="inlineStr">
        <is>
          <t>B</t>
        </is>
      </c>
    </row>
    <row r="5707">
      <c r="FC5707" t="inlineStr">
        <is>
          <t>Diccionario 5</t>
        </is>
      </c>
      <c r="FD5707" t="inlineStr">
        <is>
          <t>VJWZ-74|</t>
        </is>
      </c>
      <c r="FL5707" t="inlineStr">
        <is>
          <t>B</t>
        </is>
      </c>
      <c r="FP5707" t="inlineStr">
        <is>
          <t>B</t>
        </is>
      </c>
    </row>
    <row r="5708">
      <c r="FC5708" t="inlineStr">
        <is>
          <t>Diccionario 5</t>
        </is>
      </c>
      <c r="FD5708" t="inlineStr">
        <is>
          <t>VJKX-78|</t>
        </is>
      </c>
      <c r="FL5708" t="inlineStr">
        <is>
          <t>B</t>
        </is>
      </c>
      <c r="FP5708" t="inlineStr">
        <is>
          <t>B</t>
        </is>
      </c>
    </row>
    <row r="5709">
      <c r="FC5709" t="inlineStr">
        <is>
          <t>Diccionario 5</t>
        </is>
      </c>
      <c r="FD5709" t="inlineStr">
        <is>
          <t>3026 / SFVZ-81|</t>
        </is>
      </c>
      <c r="FL5709" t="inlineStr">
        <is>
          <t>B</t>
        </is>
      </c>
      <c r="FP5709" t="inlineStr">
        <is>
          <t>B</t>
        </is>
      </c>
    </row>
    <row r="5710">
      <c r="FC5710" t="inlineStr">
        <is>
          <t>Diccionario 5</t>
        </is>
      </c>
      <c r="FD5710" t="inlineStr">
        <is>
          <t>3020 / SFWZ-20|</t>
        </is>
      </c>
      <c r="FL5710" t="inlineStr">
        <is>
          <t>B</t>
        </is>
      </c>
      <c r="FP5710" t="inlineStr">
        <is>
          <t>B</t>
        </is>
      </c>
    </row>
    <row r="5711">
      <c r="FC5711" t="inlineStr">
        <is>
          <t>Diccionario 5</t>
        </is>
      </c>
      <c r="FD5711" t="inlineStr">
        <is>
          <t>3047 / SFVZ-39|</t>
        </is>
      </c>
      <c r="FL5711" t="inlineStr">
        <is>
          <t>B</t>
        </is>
      </c>
      <c r="FP5711" t="inlineStr">
        <is>
          <t>B</t>
        </is>
      </c>
    </row>
    <row r="5712">
      <c r="FC5712" t="inlineStr">
        <is>
          <t>Diccionario 5</t>
        </is>
      </c>
      <c r="FD5712" t="inlineStr">
        <is>
          <t>3019 / SFWB-44|</t>
        </is>
      </c>
      <c r="FL5712" t="inlineStr">
        <is>
          <t>B</t>
        </is>
      </c>
      <c r="FP5712" t="inlineStr">
        <is>
          <t>B</t>
        </is>
      </c>
    </row>
    <row r="5713">
      <c r="FC5713" t="inlineStr">
        <is>
          <t>Diccionario 5</t>
        </is>
      </c>
      <c r="FD5713" t="inlineStr">
        <is>
          <t>3092 / SFWZ-67|</t>
        </is>
      </c>
      <c r="FL5713" t="inlineStr">
        <is>
          <t>B</t>
        </is>
      </c>
      <c r="FP5713" t="inlineStr">
        <is>
          <t>B</t>
        </is>
      </c>
    </row>
    <row r="5714">
      <c r="FC5714" t="inlineStr">
        <is>
          <t>Diccionario 5</t>
        </is>
      </c>
      <c r="FD5714" t="inlineStr">
        <is>
          <t>VJXB-27|</t>
        </is>
      </c>
      <c r="FL5714" t="inlineStr">
        <is>
          <t>B</t>
        </is>
      </c>
      <c r="FP5714" t="inlineStr">
        <is>
          <t>B</t>
        </is>
      </c>
    </row>
    <row r="5715">
      <c r="FC5715" t="inlineStr">
        <is>
          <t>Diccionario 5</t>
        </is>
      </c>
      <c r="FD5715" t="inlineStr">
        <is>
          <t>3096 / SFWZ-74|</t>
        </is>
      </c>
      <c r="FL5715" t="inlineStr">
        <is>
          <t>B</t>
        </is>
      </c>
      <c r="FP5715" t="inlineStr">
        <is>
          <t>B</t>
        </is>
      </c>
    </row>
    <row r="5716">
      <c r="FC5716" t="inlineStr">
        <is>
          <t>Diccionario 5</t>
        </is>
      </c>
      <c r="FD5716" t="inlineStr">
        <is>
          <t>VJZB-57|</t>
        </is>
      </c>
      <c r="FL5716" t="inlineStr">
        <is>
          <t>B</t>
        </is>
      </c>
      <c r="FP5716" t="inlineStr">
        <is>
          <t>B</t>
        </is>
      </c>
    </row>
    <row r="5717">
      <c r="FC5717" t="inlineStr">
        <is>
          <t>Diccionario 5</t>
        </is>
      </c>
      <c r="FD5717" t="inlineStr">
        <is>
          <t>VJKG-36|</t>
        </is>
      </c>
      <c r="FL5717" t="inlineStr">
        <is>
          <t>B</t>
        </is>
      </c>
      <c r="FP5717" t="inlineStr">
        <is>
          <t>B</t>
        </is>
      </c>
    </row>
    <row r="5718">
      <c r="FC5718" t="inlineStr">
        <is>
          <t>Diccionario 5</t>
        </is>
      </c>
      <c r="FD5718" t="inlineStr">
        <is>
          <t>3045 / SFWB-48|</t>
        </is>
      </c>
      <c r="FL5718" t="inlineStr">
        <is>
          <t>B</t>
        </is>
      </c>
      <c r="FP5718" t="inlineStr">
        <is>
          <t>B</t>
        </is>
      </c>
    </row>
    <row r="5719">
      <c r="FC5719" t="inlineStr">
        <is>
          <t>Diccionario 5</t>
        </is>
      </c>
      <c r="FD5719" t="inlineStr">
        <is>
          <t>3080 / SFWZ-65|</t>
        </is>
      </c>
      <c r="FL5719" t="inlineStr">
        <is>
          <t>B</t>
        </is>
      </c>
      <c r="FP5719" t="inlineStr">
        <is>
          <t>B</t>
        </is>
      </c>
    </row>
    <row r="5720">
      <c r="FC5720" t="inlineStr">
        <is>
          <t>Diccionario 5</t>
        </is>
      </c>
      <c r="FD5720" t="inlineStr">
        <is>
          <t>SFWZ-33</t>
        </is>
      </c>
      <c r="FL5720" t="inlineStr">
        <is>
          <t>B</t>
        </is>
      </c>
      <c r="FP5720" t="inlineStr">
        <is>
          <t>B</t>
        </is>
      </c>
    </row>
    <row r="5721">
      <c r="FC5721" t="inlineStr">
        <is>
          <t>Diccionario 5</t>
        </is>
      </c>
      <c r="FD5721" t="inlineStr">
        <is>
          <t>VJKG-75</t>
        </is>
      </c>
      <c r="FL5721" t="inlineStr">
        <is>
          <t>B</t>
        </is>
      </c>
      <c r="FP5721" t="inlineStr">
        <is>
          <t>B</t>
        </is>
      </c>
    </row>
    <row r="5722">
      <c r="FC5722" t="inlineStr">
        <is>
          <t>Diccionario 5</t>
        </is>
      </c>
      <c r="FD5722" t="inlineStr">
        <is>
          <t>SFWZ-31</t>
        </is>
      </c>
      <c r="FL5722" t="inlineStr">
        <is>
          <t>B</t>
        </is>
      </c>
      <c r="FP5722" t="inlineStr">
        <is>
          <t>B</t>
        </is>
      </c>
    </row>
    <row r="5723">
      <c r="FC5723" t="inlineStr">
        <is>
          <t>Diccionario 5</t>
        </is>
      </c>
      <c r="FD5723" t="inlineStr">
        <is>
          <t>VJYH-63</t>
        </is>
      </c>
      <c r="FL5723" t="inlineStr">
        <is>
          <t>B</t>
        </is>
      </c>
      <c r="FP5723" t="inlineStr">
        <is>
          <t>B</t>
        </is>
      </c>
    </row>
    <row r="5724">
      <c r="FC5724" t="inlineStr">
        <is>
          <t>Diccionario 5</t>
        </is>
      </c>
      <c r="FD5724" t="inlineStr">
        <is>
          <t>VJKF-29</t>
        </is>
      </c>
      <c r="FL5724" t="inlineStr">
        <is>
          <t>B</t>
        </is>
      </c>
      <c r="FP5724" t="inlineStr">
        <is>
          <t>B</t>
        </is>
      </c>
    </row>
    <row r="5725">
      <c r="FC5725" t="inlineStr">
        <is>
          <t>Diccionario 5</t>
        </is>
      </c>
      <c r="FD5725" t="inlineStr">
        <is>
          <t>SFWB-77</t>
        </is>
      </c>
      <c r="FL5725" t="inlineStr">
        <is>
          <t>B</t>
        </is>
      </c>
      <c r="FP5725" t="inlineStr">
        <is>
          <t>B</t>
        </is>
      </c>
    </row>
    <row r="5726">
      <c r="FC5726" t="inlineStr">
        <is>
          <t>Diccionario 5</t>
        </is>
      </c>
      <c r="FD5726" t="inlineStr">
        <is>
          <t>SFWB-44</t>
        </is>
      </c>
      <c r="FL5726" t="inlineStr">
        <is>
          <t>B</t>
        </is>
      </c>
      <c r="FP5726" t="inlineStr">
        <is>
          <t>B</t>
        </is>
      </c>
    </row>
    <row r="5727">
      <c r="FC5727" t="inlineStr">
        <is>
          <t>Diccionario 5</t>
        </is>
      </c>
      <c r="FD5727" t="inlineStr">
        <is>
          <t>3025 / SFVZ-44|</t>
        </is>
      </c>
      <c r="FL5727" t="inlineStr">
        <is>
          <t>B</t>
        </is>
      </c>
      <c r="FP5727" t="inlineStr">
        <is>
          <t>B</t>
        </is>
      </c>
    </row>
    <row r="5728">
      <c r="FC5728" t="inlineStr">
        <is>
          <t>Diccionario 5</t>
        </is>
      </c>
      <c r="FD5728" t="inlineStr">
        <is>
          <t>VJZB-77|</t>
        </is>
      </c>
      <c r="FL5728" t="inlineStr">
        <is>
          <t>B</t>
        </is>
      </c>
      <c r="FP5728" t="inlineStr">
        <is>
          <t>B</t>
        </is>
      </c>
    </row>
    <row r="5729">
      <c r="FC5729" t="inlineStr">
        <is>
          <t>Diccionario 5</t>
        </is>
      </c>
      <c r="FD5729" t="inlineStr">
        <is>
          <t>LXWT-94|</t>
        </is>
      </c>
      <c r="FL5729" t="inlineStr">
        <is>
          <t>C</t>
        </is>
      </c>
      <c r="FP5729" t="inlineStr">
        <is>
          <t>C</t>
        </is>
      </c>
    </row>
    <row r="5730">
      <c r="FC5730" t="inlineStr">
        <is>
          <t>Diccionario 5</t>
        </is>
      </c>
      <c r="FD5730" t="inlineStr">
        <is>
          <t>LZRB-82|</t>
        </is>
      </c>
      <c r="FL5730" t="inlineStr">
        <is>
          <t>C</t>
        </is>
      </c>
      <c r="FP5730" t="inlineStr">
        <is>
          <t>C</t>
        </is>
      </c>
    </row>
    <row r="5731">
      <c r="FC5731" t="inlineStr">
        <is>
          <t>Diccionario 5</t>
        </is>
      </c>
      <c r="FD5731" t="inlineStr">
        <is>
          <t>3052 / SFVZ-86|</t>
        </is>
      </c>
      <c r="FL5731" t="inlineStr">
        <is>
          <t>B</t>
        </is>
      </c>
      <c r="FP5731" t="inlineStr">
        <is>
          <t>B</t>
        </is>
      </c>
    </row>
    <row r="5732">
      <c r="FC5732" t="inlineStr">
        <is>
          <t>Diccionario 5</t>
        </is>
      </c>
      <c r="FD5732" t="inlineStr">
        <is>
          <t>VJWZ-74|</t>
        </is>
      </c>
      <c r="FL5732" t="inlineStr">
        <is>
          <t>B</t>
        </is>
      </c>
      <c r="FP5732" t="inlineStr">
        <is>
          <t>B</t>
        </is>
      </c>
    </row>
    <row r="5733">
      <c r="FC5733" t="inlineStr">
        <is>
          <t>Diccionario 5</t>
        </is>
      </c>
      <c r="FD5733" t="inlineStr">
        <is>
          <t>VJKD-85|</t>
        </is>
      </c>
      <c r="FL5733" t="inlineStr">
        <is>
          <t>B</t>
        </is>
      </c>
      <c r="FP5733" t="inlineStr">
        <is>
          <t>B</t>
        </is>
      </c>
    </row>
    <row r="5734">
      <c r="FC5734" t="inlineStr">
        <is>
          <t>Diccionario 5</t>
        </is>
      </c>
      <c r="FD5734" t="inlineStr">
        <is>
          <t>3016 / SFWB-28|</t>
        </is>
      </c>
      <c r="FL5734" t="inlineStr">
        <is>
          <t>B</t>
        </is>
      </c>
      <c r="FP5734" t="inlineStr">
        <is>
          <t>B</t>
        </is>
      </c>
    </row>
    <row r="5735">
      <c r="FC5735" t="inlineStr">
        <is>
          <t>Diccionario 5</t>
        </is>
      </c>
      <c r="FD5735" t="inlineStr">
        <is>
          <t>VJKG-36|</t>
        </is>
      </c>
      <c r="FL5735" t="inlineStr">
        <is>
          <t>B</t>
        </is>
      </c>
      <c r="FP5735" t="inlineStr">
        <is>
          <t>B</t>
        </is>
      </c>
    </row>
    <row r="5736">
      <c r="FC5736" t="inlineStr">
        <is>
          <t>Diccionario 5</t>
        </is>
      </c>
      <c r="FD5736" t="inlineStr">
        <is>
          <t>3044 / SFVZ-67|</t>
        </is>
      </c>
      <c r="FL5736" t="inlineStr">
        <is>
          <t>B</t>
        </is>
      </c>
      <c r="FP5736" t="inlineStr">
        <is>
          <t>B</t>
        </is>
      </c>
    </row>
    <row r="5737">
      <c r="FC5737" t="inlineStr">
        <is>
          <t>Diccionario 5</t>
        </is>
      </c>
      <c r="FD5737" t="inlineStr">
        <is>
          <t>VJKY-58|</t>
        </is>
      </c>
      <c r="FL5737" t="inlineStr">
        <is>
          <t>B</t>
        </is>
      </c>
      <c r="FP5737" t="inlineStr">
        <is>
          <t>B</t>
        </is>
      </c>
    </row>
    <row r="5738">
      <c r="FC5738" t="inlineStr">
        <is>
          <t>Diccionario 5</t>
        </is>
      </c>
      <c r="FD5738" t="inlineStr">
        <is>
          <t>3080 / SFWZ-65|</t>
        </is>
      </c>
      <c r="FL5738" t="inlineStr">
        <is>
          <t>B</t>
        </is>
      </c>
      <c r="FP5738" t="inlineStr">
        <is>
          <t>B</t>
        </is>
      </c>
    </row>
    <row r="5739">
      <c r="FC5739" t="inlineStr">
        <is>
          <t>Diccionario 5</t>
        </is>
      </c>
      <c r="FD5739" t="inlineStr">
        <is>
          <t>3064 / SFWZ-61|</t>
        </is>
      </c>
      <c r="FL5739" t="inlineStr">
        <is>
          <t>B</t>
        </is>
      </c>
      <c r="FP5739" t="inlineStr">
        <is>
          <t>B</t>
        </is>
      </c>
    </row>
    <row r="5740">
      <c r="FC5740" t="inlineStr">
        <is>
          <t>Diccionario 5</t>
        </is>
      </c>
      <c r="FD5740" t="inlineStr">
        <is>
          <t>3031 / SFWZ-33|</t>
        </is>
      </c>
      <c r="FL5740" t="inlineStr">
        <is>
          <t>B</t>
        </is>
      </c>
      <c r="FP5740" t="inlineStr">
        <is>
          <t>B</t>
        </is>
      </c>
    </row>
    <row r="5741">
      <c r="FC5741" t="inlineStr">
        <is>
          <t>Diccionario 5</t>
        </is>
      </c>
      <c r="FD5741" t="inlineStr">
        <is>
          <t>VJKG-75|</t>
        </is>
      </c>
      <c r="FL5741" t="inlineStr">
        <is>
          <t>B</t>
        </is>
      </c>
      <c r="FP5741" t="inlineStr">
        <is>
          <t>B</t>
        </is>
      </c>
    </row>
    <row r="5742">
      <c r="FC5742" t="inlineStr">
        <is>
          <t>Diccionario 5</t>
        </is>
      </c>
      <c r="FD5742" t="inlineStr">
        <is>
          <t>VJKG-16|</t>
        </is>
      </c>
      <c r="FL5742" t="inlineStr">
        <is>
          <t>B</t>
        </is>
      </c>
      <c r="FP5742" t="inlineStr">
        <is>
          <t>B</t>
        </is>
      </c>
    </row>
    <row r="5743">
      <c r="FC5743" t="inlineStr">
        <is>
          <t>Diccionario 5</t>
        </is>
      </c>
      <c r="FD5743" t="inlineStr">
        <is>
          <t>VJYH-63|</t>
        </is>
      </c>
      <c r="FL5743" t="inlineStr">
        <is>
          <t>B</t>
        </is>
      </c>
      <c r="FP5743" t="inlineStr">
        <is>
          <t>B</t>
        </is>
      </c>
    </row>
    <row r="5744">
      <c r="FC5744" t="inlineStr">
        <is>
          <t>Diccionario 5</t>
        </is>
      </c>
      <c r="FD5744" t="inlineStr">
        <is>
          <t>3004 / SFWZ-31|</t>
        </is>
      </c>
      <c r="FL5744" t="inlineStr">
        <is>
          <t>B</t>
        </is>
      </c>
      <c r="FP5744" t="inlineStr">
        <is>
          <t>B</t>
        </is>
      </c>
    </row>
    <row r="5745">
      <c r="FC5745" t="inlineStr">
        <is>
          <t>Diccionario 5</t>
        </is>
      </c>
      <c r="FD5745" t="inlineStr">
        <is>
          <t>3023 / SFWB-33|</t>
        </is>
      </c>
      <c r="FL5745" t="inlineStr">
        <is>
          <t>B</t>
        </is>
      </c>
      <c r="FP5745" t="inlineStr">
        <is>
          <t>B</t>
        </is>
      </c>
    </row>
    <row r="5746">
      <c r="FC5746" t="inlineStr">
        <is>
          <t>Diccionario 5</t>
        </is>
      </c>
      <c r="FD5746" t="inlineStr">
        <is>
          <t>VJKF-29|</t>
        </is>
      </c>
      <c r="FL5746" t="inlineStr">
        <is>
          <t>B</t>
        </is>
      </c>
      <c r="FP5746" t="inlineStr">
        <is>
          <t>B</t>
        </is>
      </c>
    </row>
    <row r="5747">
      <c r="FC5747" t="inlineStr">
        <is>
          <t>Diccionario 5</t>
        </is>
      </c>
      <c r="FD5747" t="inlineStr">
        <is>
          <t>3036 / SFWB-77|</t>
        </is>
      </c>
      <c r="FL5747" t="inlineStr">
        <is>
          <t>B</t>
        </is>
      </c>
      <c r="FP5747" t="inlineStr">
        <is>
          <t>B</t>
        </is>
      </c>
    </row>
    <row r="5748">
      <c r="FC5748" t="inlineStr">
        <is>
          <t>Diccionario 5</t>
        </is>
      </c>
      <c r="FD5748" t="inlineStr">
        <is>
          <t>3019 / SFWB-44|</t>
        </is>
      </c>
      <c r="FL5748" t="inlineStr">
        <is>
          <t>B</t>
        </is>
      </c>
      <c r="FP5748" t="inlineStr">
        <is>
          <t>B</t>
        </is>
      </c>
    </row>
    <row r="5749">
      <c r="FC5749" t="inlineStr">
        <is>
          <t>Diccionario 5</t>
        </is>
      </c>
      <c r="FD5749" t="inlineStr">
        <is>
          <t>3032 / SFWZ-34|</t>
        </is>
      </c>
      <c r="FL5749" t="inlineStr">
        <is>
          <t>B</t>
        </is>
      </c>
      <c r="FP5749" t="inlineStr">
        <is>
          <t>B</t>
        </is>
      </c>
    </row>
    <row r="5750">
      <c r="FC5750" t="inlineStr">
        <is>
          <t>Diccionario 5</t>
        </is>
      </c>
      <c r="FD5750" t="inlineStr">
        <is>
          <t>VJXC-26|</t>
        </is>
      </c>
      <c r="FL5750" t="inlineStr">
        <is>
          <t>B</t>
        </is>
      </c>
      <c r="FP5750" t="inlineStr">
        <is>
          <t>B</t>
        </is>
      </c>
    </row>
    <row r="5751">
      <c r="FC5751" t="inlineStr">
        <is>
          <t>Diccionario 5</t>
        </is>
      </c>
      <c r="FD5751" t="inlineStr">
        <is>
          <t>3033 / SFVZ-29|</t>
        </is>
      </c>
      <c r="FL5751" t="inlineStr">
        <is>
          <t>B</t>
        </is>
      </c>
      <c r="FP5751" t="inlineStr">
        <is>
          <t>B</t>
        </is>
      </c>
    </row>
    <row r="5752">
      <c r="FC5752" t="inlineStr">
        <is>
          <t>Diccionario 5</t>
        </is>
      </c>
      <c r="FD5752" t="inlineStr">
        <is>
          <t>VJKX-78|</t>
        </is>
      </c>
      <c r="FL5752" t="inlineStr">
        <is>
          <t>B</t>
        </is>
      </c>
      <c r="FP5752" t="inlineStr">
        <is>
          <t>B</t>
        </is>
      </c>
    </row>
    <row r="5753">
      <c r="FC5753" t="inlineStr">
        <is>
          <t>Diccionario 5</t>
        </is>
      </c>
      <c r="FD5753" t="inlineStr">
        <is>
          <t>3052 / SFVZ-86|</t>
        </is>
      </c>
      <c r="FL5753" t="inlineStr">
        <is>
          <t>B</t>
        </is>
      </c>
      <c r="FP5753" t="inlineStr">
        <is>
          <t>B</t>
        </is>
      </c>
    </row>
    <row r="5754">
      <c r="FC5754" t="inlineStr">
        <is>
          <t>Diccionario 5</t>
        </is>
      </c>
      <c r="FD5754" t="inlineStr">
        <is>
          <t>VJZB-57|</t>
        </is>
      </c>
      <c r="FL5754" t="inlineStr">
        <is>
          <t>B</t>
        </is>
      </c>
      <c r="FP5754" t="inlineStr">
        <is>
          <t>B</t>
        </is>
      </c>
    </row>
    <row r="5755">
      <c r="FC5755" t="inlineStr">
        <is>
          <t>Diccionario 5</t>
        </is>
      </c>
      <c r="FD5755" t="inlineStr">
        <is>
          <t>VJKV-58|</t>
        </is>
      </c>
      <c r="FL5755" t="inlineStr">
        <is>
          <t>B</t>
        </is>
      </c>
      <c r="FP5755" t="inlineStr">
        <is>
          <t>B</t>
        </is>
      </c>
    </row>
    <row r="5756">
      <c r="FC5756" t="inlineStr">
        <is>
          <t>Diccionario 5</t>
        </is>
      </c>
      <c r="FD5756" t="inlineStr">
        <is>
          <t>VJKZ-38|</t>
        </is>
      </c>
      <c r="FL5756" t="inlineStr">
        <is>
          <t>B</t>
        </is>
      </c>
      <c r="FP5756" t="inlineStr">
        <is>
          <t>B</t>
        </is>
      </c>
    </row>
    <row r="5757">
      <c r="FC5757" t="inlineStr">
        <is>
          <t>Diccionario 5</t>
        </is>
      </c>
      <c r="FD5757" t="inlineStr">
        <is>
          <t>3100 / SFWZ-83|</t>
        </is>
      </c>
      <c r="FL5757" t="inlineStr">
        <is>
          <t>B</t>
        </is>
      </c>
      <c r="FP5757" t="inlineStr">
        <is>
          <t>B</t>
        </is>
      </c>
    </row>
    <row r="5758">
      <c r="FC5758" t="inlineStr">
        <is>
          <t>Diccionario 5</t>
        </is>
      </c>
      <c r="FD5758" t="inlineStr">
        <is>
          <t>3093 / SFWZ-82|</t>
        </is>
      </c>
      <c r="FL5758" t="inlineStr">
        <is>
          <t>B</t>
        </is>
      </c>
      <c r="FP5758" t="inlineStr">
        <is>
          <t>B</t>
        </is>
      </c>
    </row>
    <row r="5759">
      <c r="FC5759" t="inlineStr">
        <is>
          <t>Diccionario 5</t>
        </is>
      </c>
      <c r="FD5759" t="inlineStr">
        <is>
          <t>VJKF-66|</t>
        </is>
      </c>
      <c r="FL5759" t="inlineStr">
        <is>
          <t>B</t>
        </is>
      </c>
      <c r="FP5759" t="inlineStr">
        <is>
          <t>B</t>
        </is>
      </c>
    </row>
    <row r="5760">
      <c r="FC5760" t="inlineStr">
        <is>
          <t>Diccionario 5</t>
        </is>
      </c>
      <c r="FD5760" t="inlineStr">
        <is>
          <t>3060 / SFWB-14|</t>
        </is>
      </c>
      <c r="FL5760" t="inlineStr">
        <is>
          <t>B</t>
        </is>
      </c>
      <c r="FP5760" t="inlineStr">
        <is>
          <t>B</t>
        </is>
      </c>
    </row>
    <row r="5761">
      <c r="FC5761" t="inlineStr">
        <is>
          <t>Diccionario 5</t>
        </is>
      </c>
      <c r="FD5761" t="inlineStr">
        <is>
          <t>3064 / SFWZ-61|</t>
        </is>
      </c>
      <c r="FL5761" t="inlineStr">
        <is>
          <t>B</t>
        </is>
      </c>
      <c r="FP5761" t="inlineStr">
        <is>
          <t>B</t>
        </is>
      </c>
    </row>
    <row r="5762">
      <c r="FC5762" t="inlineStr">
        <is>
          <t>Diccionario 5</t>
        </is>
      </c>
      <c r="FD5762" t="inlineStr">
        <is>
          <t>VJKG-37|</t>
        </is>
      </c>
      <c r="FL5762" t="inlineStr">
        <is>
          <t>B</t>
        </is>
      </c>
      <c r="FP5762" t="inlineStr">
        <is>
          <t>B</t>
        </is>
      </c>
    </row>
    <row r="5763">
      <c r="FC5763" t="inlineStr">
        <is>
          <t>Diccionario 5</t>
        </is>
      </c>
      <c r="FD5763" t="inlineStr">
        <is>
          <t>VJKV-88|</t>
        </is>
      </c>
      <c r="FL5763" t="inlineStr">
        <is>
          <t>B</t>
        </is>
      </c>
      <c r="FP5763" t="inlineStr">
        <is>
          <t>B</t>
        </is>
      </c>
    </row>
    <row r="5764">
      <c r="FC5764" t="inlineStr">
        <is>
          <t>Diccionario 5</t>
        </is>
      </c>
      <c r="FD5764" t="inlineStr">
        <is>
          <t>VJXB-87|</t>
        </is>
      </c>
      <c r="FL5764" t="inlineStr">
        <is>
          <t>B</t>
        </is>
      </c>
      <c r="FP5764" t="inlineStr">
        <is>
          <t>B</t>
        </is>
      </c>
    </row>
    <row r="5765">
      <c r="FC5765" t="inlineStr">
        <is>
          <t>Diccionario 5</t>
        </is>
      </c>
      <c r="FD5765" t="inlineStr">
        <is>
          <t>VJKY-18|</t>
        </is>
      </c>
      <c r="FL5765" t="inlineStr">
        <is>
          <t>B</t>
        </is>
      </c>
      <c r="FP5765" t="inlineStr">
        <is>
          <t>B</t>
        </is>
      </c>
    </row>
    <row r="5766">
      <c r="FC5766" t="inlineStr">
        <is>
          <t>Diccionario 5</t>
        </is>
      </c>
      <c r="FD5766" t="inlineStr">
        <is>
          <t>VJXB-27|</t>
        </is>
      </c>
      <c r="FL5766" t="inlineStr">
        <is>
          <t>B</t>
        </is>
      </c>
      <c r="FP5766" t="inlineStr">
        <is>
          <t>B</t>
        </is>
      </c>
    </row>
    <row r="5767">
      <c r="FC5767" t="inlineStr">
        <is>
          <t>Diccionario 5</t>
        </is>
      </c>
      <c r="FD5767" t="inlineStr">
        <is>
          <t>3048 / SFVZ-96|</t>
        </is>
      </c>
      <c r="FL5767" t="inlineStr">
        <is>
          <t>B</t>
        </is>
      </c>
      <c r="FP5767" t="inlineStr">
        <is>
          <t>B</t>
        </is>
      </c>
    </row>
    <row r="5768">
      <c r="FC5768" t="inlineStr">
        <is>
          <t>Diccionario 5</t>
        </is>
      </c>
      <c r="FD5768" t="inlineStr">
        <is>
          <t>VJKZ-78|</t>
        </is>
      </c>
      <c r="FL5768" t="inlineStr">
        <is>
          <t>B</t>
        </is>
      </c>
      <c r="FP5768" t="inlineStr">
        <is>
          <t>B</t>
        </is>
      </c>
    </row>
    <row r="5769">
      <c r="FC5769" t="inlineStr">
        <is>
          <t>Diccionario 5</t>
        </is>
      </c>
      <c r="FD5769" t="inlineStr">
        <is>
          <t>3069 / SFWZ-32|</t>
        </is>
      </c>
      <c r="FL5769" t="inlineStr">
        <is>
          <t>B</t>
        </is>
      </c>
      <c r="FP5769" t="inlineStr">
        <is>
          <t>B</t>
        </is>
      </c>
    </row>
    <row r="5770">
      <c r="FC5770" t="inlineStr">
        <is>
          <t>Diccionario 5</t>
        </is>
      </c>
      <c r="FD5770" t="inlineStr">
        <is>
          <t>VJKD-70|</t>
        </is>
      </c>
      <c r="FL5770" t="inlineStr">
        <is>
          <t>B</t>
        </is>
      </c>
      <c r="FP5770" t="inlineStr">
        <is>
          <t>B</t>
        </is>
      </c>
    </row>
    <row r="5771">
      <c r="FC5771" t="inlineStr">
        <is>
          <t>Diccionario 5</t>
        </is>
      </c>
      <c r="FD5771" t="inlineStr">
        <is>
          <t>VJWZ-74|</t>
        </is>
      </c>
      <c r="FL5771" t="inlineStr">
        <is>
          <t>B</t>
        </is>
      </c>
      <c r="FP5771" t="inlineStr">
        <is>
          <t>B</t>
        </is>
      </c>
    </row>
    <row r="5772">
      <c r="FC5772" t="inlineStr">
        <is>
          <t>Diccionario 5</t>
        </is>
      </c>
      <c r="FD5772" t="inlineStr">
        <is>
          <t>3107 / SFWZ-85|</t>
        </is>
      </c>
      <c r="FL5772" t="inlineStr">
        <is>
          <t>B</t>
        </is>
      </c>
      <c r="FP5772" t="inlineStr">
        <is>
          <t>B</t>
        </is>
      </c>
    </row>
    <row r="5773">
      <c r="FC5773" t="inlineStr">
        <is>
          <t>Diccionario 5</t>
        </is>
      </c>
      <c r="FD5773" t="inlineStr">
        <is>
          <t>VJKG-25|</t>
        </is>
      </c>
      <c r="FL5773" t="inlineStr">
        <is>
          <t>B</t>
        </is>
      </c>
      <c r="FP5773" t="inlineStr">
        <is>
          <t>B</t>
        </is>
      </c>
    </row>
    <row r="5774">
      <c r="FC5774" t="inlineStr">
        <is>
          <t>Diccionario 5</t>
        </is>
      </c>
      <c r="FD5774" t="inlineStr">
        <is>
          <t>VJXB-56|</t>
        </is>
      </c>
      <c r="FL5774" t="inlineStr">
        <is>
          <t>B</t>
        </is>
      </c>
      <c r="FP5774" t="inlineStr">
        <is>
          <t>B</t>
        </is>
      </c>
    </row>
    <row r="5775">
      <c r="FC5775" t="inlineStr">
        <is>
          <t>Diccionario 5</t>
        </is>
      </c>
      <c r="FD5775" t="inlineStr">
        <is>
          <t>VJXC-75|</t>
        </is>
      </c>
      <c r="FL5775" t="inlineStr">
        <is>
          <t>B</t>
        </is>
      </c>
      <c r="FP5775" t="inlineStr">
        <is>
          <t>B</t>
        </is>
      </c>
    </row>
    <row r="5776">
      <c r="FC5776" t="inlineStr">
        <is>
          <t>Diccionario 5</t>
        </is>
      </c>
      <c r="FD5776" t="inlineStr">
        <is>
          <t>VJYH-63|</t>
        </is>
      </c>
      <c r="FL5776" t="inlineStr">
        <is>
          <t>B</t>
        </is>
      </c>
      <c r="FP5776" t="inlineStr">
        <is>
          <t>B</t>
        </is>
      </c>
    </row>
    <row r="5777">
      <c r="FC5777" t="inlineStr">
        <is>
          <t>Diccionario 5</t>
        </is>
      </c>
      <c r="FD5777" t="inlineStr">
        <is>
          <t>3047 / SFVZ-39|</t>
        </is>
      </c>
      <c r="FL5777" t="inlineStr">
        <is>
          <t>B</t>
        </is>
      </c>
      <c r="FP5777" t="inlineStr">
        <is>
          <t>B</t>
        </is>
      </c>
    </row>
    <row r="5778">
      <c r="FC5778" t="inlineStr">
        <is>
          <t>Diccionario 5</t>
        </is>
      </c>
      <c r="FD5778" t="inlineStr">
        <is>
          <t>VJKX-78|</t>
        </is>
      </c>
      <c r="FL5778" t="inlineStr">
        <is>
          <t>B</t>
        </is>
      </c>
      <c r="FP5778" t="inlineStr">
        <is>
          <t>B</t>
        </is>
      </c>
    </row>
    <row r="5779">
      <c r="FC5779" t="inlineStr">
        <is>
          <t>Diccionario 5</t>
        </is>
      </c>
      <c r="FD5779" t="inlineStr">
        <is>
          <t>VJXC-26|</t>
        </is>
      </c>
      <c r="FL5779" t="inlineStr">
        <is>
          <t>B</t>
        </is>
      </c>
      <c r="FP5779" t="inlineStr">
        <is>
          <t>B</t>
        </is>
      </c>
    </row>
    <row r="5780">
      <c r="FC5780" t="inlineStr">
        <is>
          <t>Diccionario 5</t>
        </is>
      </c>
      <c r="FD5780" t="inlineStr">
        <is>
          <t>VJKF-29|</t>
        </is>
      </c>
      <c r="FL5780" t="inlineStr">
        <is>
          <t>B</t>
        </is>
      </c>
      <c r="FP5780" t="inlineStr">
        <is>
          <t>B</t>
        </is>
      </c>
    </row>
    <row r="5781">
      <c r="FC5781" t="inlineStr">
        <is>
          <t>Diccionario 5</t>
        </is>
      </c>
      <c r="FD5781" t="inlineStr">
        <is>
          <t>VJKY-58|</t>
        </is>
      </c>
      <c r="FL5781" t="inlineStr">
        <is>
          <t>B</t>
        </is>
      </c>
      <c r="FP5781" t="inlineStr">
        <is>
          <t>B</t>
        </is>
      </c>
    </row>
    <row r="5782">
      <c r="FC5782" t="inlineStr">
        <is>
          <t>Diccionario 5</t>
        </is>
      </c>
      <c r="FD5782" t="inlineStr">
        <is>
          <t>VJKY-18|</t>
        </is>
      </c>
      <c r="FL5782" t="inlineStr">
        <is>
          <t>B</t>
        </is>
      </c>
      <c r="FP5782" t="inlineStr">
        <is>
          <t>B</t>
        </is>
      </c>
    </row>
    <row r="5783">
      <c r="FC5783" t="inlineStr">
        <is>
          <t>Diccionario 5</t>
        </is>
      </c>
      <c r="FD5783" t="inlineStr">
        <is>
          <t>VJXB-27|</t>
        </is>
      </c>
      <c r="FL5783" t="inlineStr">
        <is>
          <t>B</t>
        </is>
      </c>
      <c r="FP5783" t="inlineStr">
        <is>
          <t>B</t>
        </is>
      </c>
    </row>
    <row r="5784">
      <c r="FC5784" t="inlineStr">
        <is>
          <t>Diccionario 5</t>
        </is>
      </c>
      <c r="FD5784" t="inlineStr">
        <is>
          <t>LZPT-75|</t>
        </is>
      </c>
      <c r="FL5784" t="inlineStr">
        <is>
          <t>C</t>
        </is>
      </c>
      <c r="FP5784" t="inlineStr">
        <is>
          <t>C</t>
        </is>
      </c>
    </row>
    <row r="5785">
      <c r="FC5785" t="inlineStr">
        <is>
          <t>Diccionario 5</t>
        </is>
      </c>
      <c r="FD5785" t="inlineStr">
        <is>
          <t>VJZB-47|</t>
        </is>
      </c>
      <c r="FL5785" t="inlineStr">
        <is>
          <t>B</t>
        </is>
      </c>
      <c r="FP5785" t="inlineStr">
        <is>
          <t>B</t>
        </is>
      </c>
    </row>
    <row r="5786">
      <c r="FC5786" t="inlineStr">
        <is>
          <t>Diccionario 5</t>
        </is>
      </c>
      <c r="FD5786" t="inlineStr">
        <is>
          <t>LZPR-90|</t>
        </is>
      </c>
      <c r="FL5786" t="inlineStr">
        <is>
          <t>C</t>
        </is>
      </c>
      <c r="FP5786" t="inlineStr">
        <is>
          <t>C</t>
        </is>
      </c>
    </row>
    <row r="5787">
      <c r="FC5787" t="inlineStr">
        <is>
          <t>Diccionario 5</t>
        </is>
      </c>
      <c r="FD5787" t="inlineStr">
        <is>
          <t>3093 / SFWZ-82|</t>
        </is>
      </c>
      <c r="FL5787" t="inlineStr">
        <is>
          <t>B</t>
        </is>
      </c>
      <c r="FP5787" t="inlineStr">
        <is>
          <t>B</t>
        </is>
      </c>
    </row>
    <row r="5788">
      <c r="FC5788" t="inlineStr">
        <is>
          <t>Diccionario 5</t>
        </is>
      </c>
      <c r="FD5788" t="inlineStr">
        <is>
          <t>3069 / SFWZ-32|</t>
        </is>
      </c>
      <c r="FL5788" t="inlineStr">
        <is>
          <t>B</t>
        </is>
      </c>
      <c r="FP5788" t="inlineStr">
        <is>
          <t>B</t>
        </is>
      </c>
    </row>
    <row r="5789">
      <c r="FC5789" t="inlineStr">
        <is>
          <t>Diccionario 5</t>
        </is>
      </c>
      <c r="FD5789" t="inlineStr">
        <is>
          <t>VJKW-68|</t>
        </is>
      </c>
      <c r="FL5789" t="inlineStr">
        <is>
          <t>B</t>
        </is>
      </c>
      <c r="FP5789" t="inlineStr">
        <is>
          <t>B</t>
        </is>
      </c>
    </row>
    <row r="5790">
      <c r="FC5790" t="inlineStr">
        <is>
          <t>Diccionario 5</t>
        </is>
      </c>
      <c r="FD5790" t="inlineStr">
        <is>
          <t>VJWZ-74|</t>
        </is>
      </c>
      <c r="FL5790" t="inlineStr">
        <is>
          <t>B</t>
        </is>
      </c>
      <c r="FP5790" t="inlineStr">
        <is>
          <t>B</t>
        </is>
      </c>
    </row>
    <row r="5791">
      <c r="FC5791" t="inlineStr">
        <is>
          <t>Diccionario 5</t>
        </is>
      </c>
      <c r="FD5791" t="inlineStr">
        <is>
          <t>VJKX-78|</t>
        </is>
      </c>
      <c r="FL5791" t="inlineStr">
        <is>
          <t>B</t>
        </is>
      </c>
      <c r="FP5791" t="inlineStr">
        <is>
          <t>B</t>
        </is>
      </c>
    </row>
    <row r="5792">
      <c r="FC5792" t="inlineStr">
        <is>
          <t>Diccionario 5</t>
        </is>
      </c>
      <c r="FD5792" t="inlineStr">
        <is>
          <t>3026 / SFVZ-81|</t>
        </is>
      </c>
      <c r="FL5792" t="inlineStr">
        <is>
          <t>B</t>
        </is>
      </c>
      <c r="FP5792" t="inlineStr">
        <is>
          <t>B</t>
        </is>
      </c>
    </row>
    <row r="5793">
      <c r="FC5793" t="inlineStr">
        <is>
          <t>Diccionario 5</t>
        </is>
      </c>
      <c r="FD5793" t="inlineStr">
        <is>
          <t>3020 / SFWZ-20|</t>
        </is>
      </c>
      <c r="FL5793" t="inlineStr">
        <is>
          <t>B</t>
        </is>
      </c>
      <c r="FP5793" t="inlineStr">
        <is>
          <t>B</t>
        </is>
      </c>
    </row>
    <row r="5794">
      <c r="FC5794" t="inlineStr">
        <is>
          <t>Diccionario 5</t>
        </is>
      </c>
      <c r="FD5794" t="inlineStr">
        <is>
          <t>3047 / SFVZ-39|</t>
        </is>
      </c>
      <c r="FL5794" t="inlineStr">
        <is>
          <t>B</t>
        </is>
      </c>
      <c r="FP5794" t="inlineStr">
        <is>
          <t>B</t>
        </is>
      </c>
    </row>
    <row r="5795">
      <c r="FC5795" t="inlineStr">
        <is>
          <t>Diccionario 5</t>
        </is>
      </c>
      <c r="FD5795" t="inlineStr">
        <is>
          <t>VJKF-29|</t>
        </is>
      </c>
      <c r="FL5795" t="inlineStr">
        <is>
          <t>B</t>
        </is>
      </c>
      <c r="FP5795" t="inlineStr">
        <is>
          <t>B</t>
        </is>
      </c>
    </row>
    <row r="5796">
      <c r="FC5796" t="inlineStr">
        <is>
          <t>Diccionario 5</t>
        </is>
      </c>
      <c r="FD5796" t="inlineStr">
        <is>
          <t>VJXC-26|</t>
        </is>
      </c>
      <c r="FL5796" t="inlineStr">
        <is>
          <t>B</t>
        </is>
      </c>
      <c r="FP5796" t="inlineStr">
        <is>
          <t>B</t>
        </is>
      </c>
    </row>
    <row r="5797">
      <c r="FC5797" t="inlineStr">
        <is>
          <t>Diccionario 5</t>
        </is>
      </c>
      <c r="FD5797" t="inlineStr">
        <is>
          <t>VJKT-63|</t>
        </is>
      </c>
      <c r="FL5797" t="inlineStr">
        <is>
          <t>B</t>
        </is>
      </c>
      <c r="FP5797" t="inlineStr">
        <is>
          <t>B</t>
        </is>
      </c>
    </row>
    <row r="5798">
      <c r="FC5798" t="inlineStr">
        <is>
          <t>Diccionario 5</t>
        </is>
      </c>
      <c r="FD5798" t="inlineStr">
        <is>
          <t>VJKZ-38|</t>
        </is>
      </c>
      <c r="FL5798" t="inlineStr">
        <is>
          <t>B</t>
        </is>
      </c>
      <c r="FP5798" t="inlineStr">
        <is>
          <t>B</t>
        </is>
      </c>
    </row>
    <row r="5799">
      <c r="FC5799" t="inlineStr">
        <is>
          <t>Diccionario 5</t>
        </is>
      </c>
      <c r="FD5799" t="inlineStr">
        <is>
          <t>VJXC-91|</t>
        </is>
      </c>
      <c r="FL5799" t="inlineStr">
        <is>
          <t>B</t>
        </is>
      </c>
      <c r="FP5799" t="inlineStr">
        <is>
          <t>B</t>
        </is>
      </c>
    </row>
    <row r="5800">
      <c r="FC5800" t="inlineStr">
        <is>
          <t>Diccionario 5</t>
        </is>
      </c>
      <c r="FD5800" t="inlineStr">
        <is>
          <t>VJKW-68|</t>
        </is>
      </c>
      <c r="FL5800" t="inlineStr">
        <is>
          <t>B</t>
        </is>
      </c>
      <c r="FP5800" t="inlineStr">
        <is>
          <t>B</t>
        </is>
      </c>
    </row>
    <row r="5801">
      <c r="FC5801" t="inlineStr">
        <is>
          <t>Diccionario 5</t>
        </is>
      </c>
      <c r="FD5801" t="inlineStr">
        <is>
          <t>3099 / SFWZ-37|</t>
        </is>
      </c>
      <c r="FL5801" t="inlineStr">
        <is>
          <t>B</t>
        </is>
      </c>
      <c r="FP5801" t="inlineStr">
        <is>
          <t>B</t>
        </is>
      </c>
    </row>
    <row r="5802">
      <c r="FC5802" t="inlineStr">
        <is>
          <t>Diccionario 5</t>
        </is>
      </c>
      <c r="FD5802" t="inlineStr">
        <is>
          <t>VJKF-61|</t>
        </is>
      </c>
      <c r="FL5802" t="inlineStr">
        <is>
          <t>B</t>
        </is>
      </c>
      <c r="FP5802" t="inlineStr">
        <is>
          <t>B</t>
        </is>
      </c>
    </row>
    <row r="5803">
      <c r="FC5803" t="inlineStr">
        <is>
          <t>Diccionario 5</t>
        </is>
      </c>
      <c r="FD5803" t="inlineStr">
        <is>
          <t>3046 / SFWB-98|</t>
        </is>
      </c>
      <c r="FL5803" t="inlineStr">
        <is>
          <t>B</t>
        </is>
      </c>
      <c r="FP5803" t="inlineStr">
        <is>
          <t>B</t>
        </is>
      </c>
    </row>
    <row r="5804">
      <c r="FC5804" t="inlineStr">
        <is>
          <t>Diccionario 5</t>
        </is>
      </c>
      <c r="FD5804" t="inlineStr">
        <is>
          <t>3038 / SFWB-90|</t>
        </is>
      </c>
      <c r="FL5804" t="inlineStr">
        <is>
          <t>B</t>
        </is>
      </c>
      <c r="FP5804" t="inlineStr">
        <is>
          <t>B</t>
        </is>
      </c>
    </row>
    <row r="5805">
      <c r="FC5805" t="inlineStr">
        <is>
          <t>Diccionario 5</t>
        </is>
      </c>
      <c r="FD5805" t="inlineStr">
        <is>
          <t>3094 / SFWZ-40|</t>
        </is>
      </c>
      <c r="FL5805" t="inlineStr">
        <is>
          <t>B</t>
        </is>
      </c>
      <c r="FP5805" t="inlineStr">
        <is>
          <t>B</t>
        </is>
      </c>
    </row>
    <row r="5806">
      <c r="FC5806" t="inlineStr">
        <is>
          <t>Diccionario 5</t>
        </is>
      </c>
      <c r="FD5806" t="inlineStr">
        <is>
          <t>3099 / SFWZ-37|</t>
        </is>
      </c>
      <c r="FL5806" t="inlineStr">
        <is>
          <t>B</t>
        </is>
      </c>
      <c r="FP5806" t="inlineStr">
        <is>
          <t>B</t>
        </is>
      </c>
    </row>
    <row r="5807">
      <c r="FC5807" t="inlineStr">
        <is>
          <t>Diccionario 5</t>
        </is>
      </c>
      <c r="FD5807" t="inlineStr">
        <is>
          <t>3035 / SFWB-64|</t>
        </is>
      </c>
      <c r="FL5807" t="inlineStr">
        <is>
          <t>B</t>
        </is>
      </c>
      <c r="FP5807" t="inlineStr">
        <is>
          <t>B</t>
        </is>
      </c>
    </row>
    <row r="5808">
      <c r="FC5808" t="inlineStr">
        <is>
          <t>Diccionario 5</t>
        </is>
      </c>
      <c r="FD5808" t="inlineStr">
        <is>
          <t>VJKF-61|</t>
        </is>
      </c>
      <c r="FL5808" t="inlineStr">
        <is>
          <t>B</t>
        </is>
      </c>
      <c r="FP5808" t="inlineStr">
        <is>
          <t>B</t>
        </is>
      </c>
    </row>
    <row r="5809">
      <c r="FC5809" t="inlineStr">
        <is>
          <t>Diccionario 5</t>
        </is>
      </c>
      <c r="FD5809" t="inlineStr">
        <is>
          <t>3003 / SFWZ-16|</t>
        </is>
      </c>
      <c r="FL5809" t="inlineStr">
        <is>
          <t>B</t>
        </is>
      </c>
      <c r="FP5809" t="inlineStr">
        <is>
          <t>B</t>
        </is>
      </c>
    </row>
    <row r="5810">
      <c r="FC5810" t="inlineStr">
        <is>
          <t>Diccionario 5</t>
        </is>
      </c>
      <c r="FD5810" t="inlineStr">
        <is>
          <t>3017 / SFWB-29|</t>
        </is>
      </c>
      <c r="FL5810" t="inlineStr">
        <is>
          <t>B</t>
        </is>
      </c>
      <c r="FP5810" t="inlineStr">
        <is>
          <t>B</t>
        </is>
      </c>
    </row>
    <row r="5811">
      <c r="FC5811" t="inlineStr">
        <is>
          <t>Diccionario 5</t>
        </is>
      </c>
      <c r="FD5811" t="inlineStr">
        <is>
          <t>3046 / SFWB-98|</t>
        </is>
      </c>
      <c r="FL5811" t="inlineStr">
        <is>
          <t>B</t>
        </is>
      </c>
      <c r="FP5811" t="inlineStr">
        <is>
          <t>B</t>
        </is>
      </c>
    </row>
    <row r="5812">
      <c r="FC5812" t="inlineStr">
        <is>
          <t>Diccionario 5</t>
        </is>
      </c>
      <c r="FD5812" t="inlineStr">
        <is>
          <t>3038 / SFWB-90|</t>
        </is>
      </c>
      <c r="FL5812" t="inlineStr">
        <is>
          <t>B</t>
        </is>
      </c>
      <c r="FP5812" t="inlineStr">
        <is>
          <t>B</t>
        </is>
      </c>
    </row>
    <row r="5813">
      <c r="FC5813" t="inlineStr">
        <is>
          <t>Diccionario 5</t>
        </is>
      </c>
      <c r="FD5813" t="inlineStr">
        <is>
          <t>3094 / SFWZ-40|</t>
        </is>
      </c>
      <c r="FL5813" t="inlineStr">
        <is>
          <t>B</t>
        </is>
      </c>
      <c r="FP5813" t="inlineStr">
        <is>
          <t>B</t>
        </is>
      </c>
    </row>
    <row r="5814">
      <c r="FC5814" t="inlineStr">
        <is>
          <t>Diccionario 5</t>
        </is>
      </c>
      <c r="FD5814" t="inlineStr">
        <is>
          <t>3099 / SFWZ-37|</t>
        </is>
      </c>
      <c r="FL5814" t="inlineStr">
        <is>
          <t>B</t>
        </is>
      </c>
      <c r="FP5814" t="inlineStr">
        <is>
          <t>B</t>
        </is>
      </c>
    </row>
    <row r="5815">
      <c r="FC5815" t="inlineStr">
        <is>
          <t>Diccionario 5</t>
        </is>
      </c>
      <c r="FD5815" t="inlineStr">
        <is>
          <t>3088 / SFWZ-81|</t>
        </is>
      </c>
      <c r="FL5815" t="inlineStr">
        <is>
          <t>B</t>
        </is>
      </c>
      <c r="FP5815" t="inlineStr">
        <is>
          <t>B</t>
        </is>
      </c>
    </row>
    <row r="5816">
      <c r="FC5816" t="inlineStr">
        <is>
          <t>Diccionario 5</t>
        </is>
      </c>
      <c r="FD5816" t="inlineStr">
        <is>
          <t>3035 / SFWB-64|</t>
        </is>
      </c>
      <c r="FL5816" t="inlineStr">
        <is>
          <t>B</t>
        </is>
      </c>
      <c r="FP5816" t="inlineStr">
        <is>
          <t>B</t>
        </is>
      </c>
    </row>
    <row r="5817">
      <c r="FC5817" t="inlineStr">
        <is>
          <t>Diccionario 5</t>
        </is>
      </c>
      <c r="FD5817" t="inlineStr">
        <is>
          <t>3046 / SFWB-98|</t>
        </is>
      </c>
      <c r="FL5817" t="inlineStr">
        <is>
          <t>B</t>
        </is>
      </c>
      <c r="FP5817" t="inlineStr">
        <is>
          <t>B</t>
        </is>
      </c>
    </row>
    <row r="5818">
      <c r="FC5818" t="inlineStr">
        <is>
          <t>Diccionario 5</t>
        </is>
      </c>
      <c r="FD5818" t="inlineStr">
        <is>
          <t>3003 / SFWZ-16|</t>
        </is>
      </c>
      <c r="FL5818" t="inlineStr">
        <is>
          <t>B</t>
        </is>
      </c>
      <c r="FP5818" t="inlineStr">
        <is>
          <t>B</t>
        </is>
      </c>
    </row>
    <row r="5819">
      <c r="FC5819" t="inlineStr">
        <is>
          <t>Diccionario 5</t>
        </is>
      </c>
      <c r="FD5819" t="inlineStr">
        <is>
          <t>3017 / SFWB-29|</t>
        </is>
      </c>
      <c r="FL5819" t="inlineStr">
        <is>
          <t>B</t>
        </is>
      </c>
      <c r="FP5819" t="inlineStr">
        <is>
          <t>B</t>
        </is>
      </c>
    </row>
    <row r="5820">
      <c r="FC5820" t="inlineStr">
        <is>
          <t>Diccionario 5</t>
        </is>
      </c>
      <c r="FD5820" t="inlineStr">
        <is>
          <t>3065 / SFVZ-40|</t>
        </is>
      </c>
      <c r="FL5820" t="inlineStr">
        <is>
          <t>B</t>
        </is>
      </c>
      <c r="FP5820" t="inlineStr">
        <is>
          <t>B</t>
        </is>
      </c>
    </row>
    <row r="5821">
      <c r="FC5821" t="inlineStr">
        <is>
          <t>Diccionario 5</t>
        </is>
      </c>
      <c r="FD5821" t="inlineStr">
        <is>
          <t>3038 / SFWB-90|</t>
        </is>
      </c>
      <c r="FL5821" t="inlineStr">
        <is>
          <t>B</t>
        </is>
      </c>
      <c r="FP5821" t="inlineStr">
        <is>
          <t>B</t>
        </is>
      </c>
    </row>
    <row r="5822">
      <c r="FC5822" t="inlineStr">
        <is>
          <t>Diccionario 5</t>
        </is>
      </c>
      <c r="FD5822" t="inlineStr">
        <is>
          <t>3094 / SFWZ-40|</t>
        </is>
      </c>
      <c r="FL5822" t="inlineStr">
        <is>
          <t>B</t>
        </is>
      </c>
      <c r="FP5822" t="inlineStr">
        <is>
          <t>B</t>
        </is>
      </c>
    </row>
    <row r="5823">
      <c r="FC5823" t="inlineStr">
        <is>
          <t>Diccionario 5</t>
        </is>
      </c>
      <c r="FD5823" t="inlineStr">
        <is>
          <t>3088 / SFWZ-81|</t>
        </is>
      </c>
      <c r="FL5823" t="inlineStr">
        <is>
          <t>B</t>
        </is>
      </c>
      <c r="FP5823" t="inlineStr">
        <is>
          <t>B</t>
        </is>
      </c>
    </row>
    <row r="5824">
      <c r="FC5824" t="inlineStr">
        <is>
          <t>Diccionario 5</t>
        </is>
      </c>
      <c r="FD5824" t="inlineStr">
        <is>
          <t>VJKF-61|</t>
        </is>
      </c>
      <c r="FL5824" t="inlineStr">
        <is>
          <t>B</t>
        </is>
      </c>
      <c r="FP5824" t="inlineStr">
        <is>
          <t>B</t>
        </is>
      </c>
    </row>
    <row r="5825">
      <c r="FC5825" t="inlineStr">
        <is>
          <t>Diccionario 5</t>
        </is>
      </c>
      <c r="FD5825" t="inlineStr">
        <is>
          <t>3041 / SFVZ-49|</t>
        </is>
      </c>
      <c r="FL5825" t="inlineStr">
        <is>
          <t>B</t>
        </is>
      </c>
      <c r="FP5825" t="inlineStr">
        <is>
          <t>B</t>
        </is>
      </c>
    </row>
    <row r="5826">
      <c r="FC5826" t="inlineStr">
        <is>
          <t>Diccionario 5</t>
        </is>
      </c>
      <c r="FD5826" t="inlineStr">
        <is>
          <t>3003 / SFWZ-16|</t>
        </is>
      </c>
      <c r="FL5826" t="inlineStr">
        <is>
          <t>B</t>
        </is>
      </c>
      <c r="FP5826" t="inlineStr">
        <is>
          <t>B</t>
        </is>
      </c>
    </row>
    <row r="5827">
      <c r="FC5827" t="inlineStr">
        <is>
          <t>Diccionario 5</t>
        </is>
      </c>
      <c r="FD5827" t="inlineStr">
        <is>
          <t>3038 / SFWB-90|</t>
        </is>
      </c>
      <c r="FL5827" t="inlineStr">
        <is>
          <t>B</t>
        </is>
      </c>
      <c r="FP5827" t="inlineStr">
        <is>
          <t>B</t>
        </is>
      </c>
    </row>
    <row r="5828">
      <c r="FC5828" t="inlineStr">
        <is>
          <t>Diccionario 5</t>
        </is>
      </c>
      <c r="FD5828" t="inlineStr">
        <is>
          <t>3007 / SFWB-50|</t>
        </is>
      </c>
      <c r="FL5828" t="inlineStr">
        <is>
          <t>B</t>
        </is>
      </c>
      <c r="FP5828" t="inlineStr">
        <is>
          <t>B</t>
        </is>
      </c>
    </row>
    <row r="5829">
      <c r="FC5829" t="inlineStr">
        <is>
          <t>Diccionario 5</t>
        </is>
      </c>
      <c r="FD5829" t="inlineStr">
        <is>
          <t>3065 / SFVZ-40|</t>
        </is>
      </c>
      <c r="FL5829" t="inlineStr">
        <is>
          <t>B</t>
        </is>
      </c>
      <c r="FP5829" t="inlineStr">
        <is>
          <t>B</t>
        </is>
      </c>
    </row>
    <row r="5830">
      <c r="FC5830" t="inlineStr">
        <is>
          <t>Diccionario 5</t>
        </is>
      </c>
      <c r="FD5830" t="inlineStr">
        <is>
          <t>3094 / SFWZ-40|</t>
        </is>
      </c>
      <c r="FL5830" t="inlineStr">
        <is>
          <t>B</t>
        </is>
      </c>
      <c r="FP5830" t="inlineStr">
        <is>
          <t>B</t>
        </is>
      </c>
    </row>
    <row r="5831">
      <c r="FC5831" t="inlineStr">
        <is>
          <t>Diccionario 5</t>
        </is>
      </c>
      <c r="FD5831" t="inlineStr">
        <is>
          <t>3009 / SFVZ-87|</t>
        </is>
      </c>
      <c r="FL5831" t="inlineStr">
        <is>
          <t>B</t>
        </is>
      </c>
      <c r="FP5831" t="inlineStr">
        <is>
          <t>B</t>
        </is>
      </c>
    </row>
    <row r="5832">
      <c r="FC5832" t="inlineStr">
        <is>
          <t>Diccionario 5</t>
        </is>
      </c>
      <c r="FD5832" t="inlineStr">
        <is>
          <t>3106 / SFWZ-68|</t>
        </is>
      </c>
      <c r="FL5832" t="inlineStr">
        <is>
          <t>B</t>
        </is>
      </c>
      <c r="FP5832" t="inlineStr">
        <is>
          <t>B</t>
        </is>
      </c>
    </row>
    <row r="5833">
      <c r="FC5833" t="inlineStr">
        <is>
          <t>Diccionario 5</t>
        </is>
      </c>
      <c r="FD5833" t="inlineStr">
        <is>
          <t>3088 / SFWZ-81|</t>
        </is>
      </c>
      <c r="FL5833" t="inlineStr">
        <is>
          <t>B</t>
        </is>
      </c>
      <c r="FP5833" t="inlineStr">
        <is>
          <t>B</t>
        </is>
      </c>
    </row>
    <row r="5834">
      <c r="FC5834" t="inlineStr">
        <is>
          <t>Diccionario 5</t>
        </is>
      </c>
      <c r="FD5834" t="inlineStr">
        <is>
          <t>3050 / SFWB-82|</t>
        </is>
      </c>
      <c r="FL5834" t="inlineStr">
        <is>
          <t>B</t>
        </is>
      </c>
      <c r="FP5834" t="inlineStr">
        <is>
          <t>B</t>
        </is>
      </c>
    </row>
    <row r="5835">
      <c r="FC5835" t="inlineStr">
        <is>
          <t>Diccionario 5</t>
        </is>
      </c>
      <c r="FD5835" t="inlineStr">
        <is>
          <t>3007 / SFWB-50|</t>
        </is>
      </c>
      <c r="FL5835" t="inlineStr">
        <is>
          <t>B</t>
        </is>
      </c>
      <c r="FP5835" t="inlineStr">
        <is>
          <t>B</t>
        </is>
      </c>
    </row>
    <row r="5836">
      <c r="FC5836" t="inlineStr">
        <is>
          <t>Diccionario 5</t>
        </is>
      </c>
      <c r="FD5836" t="inlineStr">
        <is>
          <t>3003 / SFWZ-16|</t>
        </is>
      </c>
      <c r="FL5836" t="inlineStr">
        <is>
          <t>B</t>
        </is>
      </c>
      <c r="FP5836" t="inlineStr">
        <is>
          <t>B</t>
        </is>
      </c>
    </row>
    <row r="5837">
      <c r="FC5837" t="inlineStr">
        <is>
          <t>Diccionario 5</t>
        </is>
      </c>
      <c r="FD5837" t="inlineStr">
        <is>
          <t>3009 / SFVZ-87|</t>
        </is>
      </c>
      <c r="FL5837" t="inlineStr">
        <is>
          <t>B</t>
        </is>
      </c>
      <c r="FP5837" t="inlineStr">
        <is>
          <t>B</t>
        </is>
      </c>
    </row>
    <row r="5838">
      <c r="FC5838" t="inlineStr">
        <is>
          <t>Diccionario 5</t>
        </is>
      </c>
      <c r="FD5838" t="inlineStr">
        <is>
          <t>3023 / SFWB-33|</t>
        </is>
      </c>
      <c r="FL5838" t="inlineStr">
        <is>
          <t>B</t>
        </is>
      </c>
      <c r="FP5838" t="inlineStr">
        <is>
          <t>B</t>
        </is>
      </c>
    </row>
    <row r="5839">
      <c r="FC5839" t="inlineStr">
        <is>
          <t>Diccionario 5</t>
        </is>
      </c>
      <c r="FD5839" t="inlineStr">
        <is>
          <t>3007 / SFWB-50|</t>
        </is>
      </c>
      <c r="FL5839" t="inlineStr">
        <is>
          <t>B</t>
        </is>
      </c>
      <c r="FP5839" t="inlineStr">
        <is>
          <t>B</t>
        </is>
      </c>
    </row>
    <row r="5840">
      <c r="FC5840" t="inlineStr">
        <is>
          <t>Diccionario 5</t>
        </is>
      </c>
      <c r="FD5840" t="inlineStr">
        <is>
          <t>3031 / SFWZ-33|</t>
        </is>
      </c>
      <c r="FL5840" t="inlineStr">
        <is>
          <t>B</t>
        </is>
      </c>
      <c r="FP5840" t="inlineStr">
        <is>
          <t>B</t>
        </is>
      </c>
    </row>
    <row r="5841">
      <c r="FC5841" t="inlineStr">
        <is>
          <t>Diccionario 5</t>
        </is>
      </c>
      <c r="FD5841" t="inlineStr">
        <is>
          <t>3005 / SFWZ-39|</t>
        </is>
      </c>
      <c r="FL5841" t="inlineStr">
        <is>
          <t>B</t>
        </is>
      </c>
      <c r="FP5841" t="inlineStr">
        <is>
          <t>B</t>
        </is>
      </c>
    </row>
    <row r="5842">
      <c r="FC5842" t="inlineStr">
        <is>
          <t>Diccionario 5</t>
        </is>
      </c>
      <c r="FD5842" t="inlineStr">
        <is>
          <t>3003 / SFWZ-16|</t>
        </is>
      </c>
      <c r="FL5842" t="inlineStr">
        <is>
          <t>B</t>
        </is>
      </c>
      <c r="FP5842" t="inlineStr">
        <is>
          <t>B</t>
        </is>
      </c>
    </row>
    <row r="5843">
      <c r="FC5843" t="inlineStr">
        <is>
          <t>Diccionario 5</t>
        </is>
      </c>
      <c r="FD5843" t="inlineStr">
        <is>
          <t>3009 / SFVZ-87|</t>
        </is>
      </c>
      <c r="FL5843" t="inlineStr">
        <is>
          <t>B</t>
        </is>
      </c>
      <c r="FP5843" t="inlineStr">
        <is>
          <t>B</t>
        </is>
      </c>
    </row>
    <row r="5844">
      <c r="FC5844" t="inlineStr">
        <is>
          <t>Diccionario 5</t>
        </is>
      </c>
      <c r="FD5844" t="inlineStr">
        <is>
          <t>3049 / SFWZ-13|</t>
        </is>
      </c>
      <c r="FL5844" t="inlineStr">
        <is>
          <t>B</t>
        </is>
      </c>
      <c r="FP5844" t="inlineStr">
        <is>
          <t>B</t>
        </is>
      </c>
    </row>
    <row r="5845">
      <c r="FC5845" t="inlineStr">
        <is>
          <t>Diccionario 5</t>
        </is>
      </c>
      <c r="FD5845" t="inlineStr">
        <is>
          <t>3023 / SFWB-33|</t>
        </is>
      </c>
      <c r="FL5845" t="inlineStr">
        <is>
          <t>B</t>
        </is>
      </c>
      <c r="FP5845" t="inlineStr">
        <is>
          <t>B</t>
        </is>
      </c>
    </row>
    <row r="5846">
      <c r="FC5846" t="inlineStr">
        <is>
          <t>Diccionario 5</t>
        </is>
      </c>
      <c r="FD5846" t="inlineStr">
        <is>
          <t>3013 / SFWZ-18|</t>
        </is>
      </c>
      <c r="FL5846" t="inlineStr">
        <is>
          <t>B</t>
        </is>
      </c>
      <c r="FP5846" t="inlineStr">
        <is>
          <t>B</t>
        </is>
      </c>
    </row>
    <row r="5847">
      <c r="FC5847" t="inlineStr">
        <is>
          <t>Diccionario 5</t>
        </is>
      </c>
      <c r="FD5847" t="inlineStr">
        <is>
          <t>3030 / SFWZ-14|</t>
        </is>
      </c>
      <c r="FL5847" t="inlineStr">
        <is>
          <t>B</t>
        </is>
      </c>
      <c r="FP5847" t="inlineStr">
        <is>
          <t>B</t>
        </is>
      </c>
    </row>
    <row r="5848">
      <c r="FC5848" t="inlineStr">
        <is>
          <t>Diccionario 5</t>
        </is>
      </c>
      <c r="FD5848" t="inlineStr">
        <is>
          <t>3031 / SFWZ-33|</t>
        </is>
      </c>
      <c r="FL5848" t="inlineStr">
        <is>
          <t>B</t>
        </is>
      </c>
      <c r="FP5848" t="inlineStr">
        <is>
          <t>B</t>
        </is>
      </c>
    </row>
    <row r="5849">
      <c r="FC5849" t="inlineStr">
        <is>
          <t>Diccionario 5</t>
        </is>
      </c>
      <c r="FD5849" t="inlineStr">
        <is>
          <t>3035 / SFWB-64|</t>
        </is>
      </c>
      <c r="FL5849" t="inlineStr">
        <is>
          <t>B</t>
        </is>
      </c>
      <c r="FP5849" t="inlineStr">
        <is>
          <t>B</t>
        </is>
      </c>
    </row>
    <row r="5850">
      <c r="FC5850" t="inlineStr">
        <is>
          <t>Diccionario 5</t>
        </is>
      </c>
      <c r="FD5850" t="inlineStr">
        <is>
          <t>3005 / SFWZ-39|</t>
        </is>
      </c>
      <c r="FL5850" t="inlineStr">
        <is>
          <t>B</t>
        </is>
      </c>
      <c r="FP5850" t="inlineStr">
        <is>
          <t>B</t>
        </is>
      </c>
    </row>
    <row r="5851">
      <c r="FC5851" t="inlineStr">
        <is>
          <t>Diccionario 5</t>
        </is>
      </c>
      <c r="FD5851" t="inlineStr">
        <is>
          <t>3009 / SFVZ-87|</t>
        </is>
      </c>
      <c r="FL5851" t="inlineStr">
        <is>
          <t>B</t>
        </is>
      </c>
      <c r="FP5851" t="inlineStr">
        <is>
          <t>B</t>
        </is>
      </c>
    </row>
    <row r="5852">
      <c r="FC5852" t="inlineStr">
        <is>
          <t>Diccionario 5</t>
        </is>
      </c>
      <c r="FD5852" t="inlineStr">
        <is>
          <t>3049 / SFWZ-13|</t>
        </is>
      </c>
      <c r="FL5852" t="inlineStr">
        <is>
          <t>B</t>
        </is>
      </c>
      <c r="FP5852" t="inlineStr">
        <is>
          <t>B</t>
        </is>
      </c>
    </row>
    <row r="5853">
      <c r="FC5853" t="inlineStr">
        <is>
          <t>Diccionario 5</t>
        </is>
      </c>
      <c r="FD5853" t="inlineStr">
        <is>
          <t>3023 / SFWB-33|</t>
        </is>
      </c>
      <c r="FL5853" t="inlineStr">
        <is>
          <t>B</t>
        </is>
      </c>
      <c r="FP5853" t="inlineStr">
        <is>
          <t>B</t>
        </is>
      </c>
    </row>
    <row r="5854">
      <c r="FC5854" t="inlineStr">
        <is>
          <t>Diccionario 5</t>
        </is>
      </c>
      <c r="FD5854" t="inlineStr">
        <is>
          <t>3013 / SFWZ-18|</t>
        </is>
      </c>
      <c r="FL5854" t="inlineStr">
        <is>
          <t>B</t>
        </is>
      </c>
      <c r="FP5854" t="inlineStr">
        <is>
          <t>B</t>
        </is>
      </c>
    </row>
    <row r="5855">
      <c r="FC5855" t="inlineStr">
        <is>
          <t>Diccionario 5</t>
        </is>
      </c>
      <c r="FD5855" t="inlineStr">
        <is>
          <t>3025 / SFVZ-44|</t>
        </is>
      </c>
      <c r="FL5855" t="inlineStr">
        <is>
          <t>B</t>
        </is>
      </c>
      <c r="FP5855" t="inlineStr">
        <is>
          <t>B</t>
        </is>
      </c>
    </row>
    <row r="5856">
      <c r="FC5856" t="inlineStr">
        <is>
          <t>Diccionario 5</t>
        </is>
      </c>
      <c r="FD5856" t="inlineStr">
        <is>
          <t>3031 / SFWZ-33|</t>
        </is>
      </c>
      <c r="FL5856" t="inlineStr">
        <is>
          <t>B</t>
        </is>
      </c>
      <c r="FP5856" t="inlineStr">
        <is>
          <t>B</t>
        </is>
      </c>
    </row>
    <row r="5857">
      <c r="FC5857" t="inlineStr">
        <is>
          <t>Diccionario 5</t>
        </is>
      </c>
      <c r="FD5857" t="inlineStr">
        <is>
          <t>3013 / SFWZ-18|</t>
        </is>
      </c>
      <c r="FL5857" t="inlineStr">
        <is>
          <t>B</t>
        </is>
      </c>
      <c r="FP5857" t="inlineStr">
        <is>
          <t>B</t>
        </is>
      </c>
    </row>
    <row r="5858">
      <c r="FC5858" t="inlineStr">
        <is>
          <t>Diccionario 5</t>
        </is>
      </c>
      <c r="FD5858" t="inlineStr">
        <is>
          <t>3025 / SFVZ-44|</t>
        </is>
      </c>
      <c r="FL5858" t="inlineStr">
        <is>
          <t>B</t>
        </is>
      </c>
      <c r="FP5858" t="inlineStr">
        <is>
          <t>B</t>
        </is>
      </c>
    </row>
    <row r="5859">
      <c r="FC5859" t="inlineStr">
        <is>
          <t>Diccionario 5</t>
        </is>
      </c>
      <c r="FD5859" t="inlineStr">
        <is>
          <t>3031 / SFWZ-33|</t>
        </is>
      </c>
      <c r="FL5859" t="inlineStr">
        <is>
          <t>B</t>
        </is>
      </c>
      <c r="FP5859" t="inlineStr">
        <is>
          <t>B</t>
        </is>
      </c>
    </row>
    <row r="5860">
      <c r="FC5860" t="inlineStr">
        <is>
          <t>Diccionario 5</t>
        </is>
      </c>
      <c r="FD5860" t="inlineStr">
        <is>
          <t>3056 / SFWB-61|</t>
        </is>
      </c>
      <c r="FL5860" t="inlineStr">
        <is>
          <t>B</t>
        </is>
      </c>
      <c r="FP5860" t="inlineStr">
        <is>
          <t>B</t>
        </is>
      </c>
    </row>
    <row r="5861">
      <c r="FC5861" t="inlineStr">
        <is>
          <t>Diccionario 5</t>
        </is>
      </c>
      <c r="FD5861" t="inlineStr">
        <is>
          <t>VJYJ-35|</t>
        </is>
      </c>
      <c r="FL5861" t="inlineStr">
        <is>
          <t>B</t>
        </is>
      </c>
      <c r="FP5861" t="inlineStr">
        <is>
          <t>B</t>
        </is>
      </c>
    </row>
    <row r="5862">
      <c r="FC5862" t="inlineStr">
        <is>
          <t>Diccionario 5</t>
        </is>
      </c>
      <c r="FD5862" t="inlineStr">
        <is>
          <t>3041 / SFVZ-49|</t>
        </is>
      </c>
      <c r="FL5862" t="inlineStr">
        <is>
          <t>B</t>
        </is>
      </c>
      <c r="FP5862" t="inlineStr">
        <is>
          <t>B</t>
        </is>
      </c>
    </row>
    <row r="5863">
      <c r="FC5863" t="inlineStr">
        <is>
          <t>Diccionario 5</t>
        </is>
      </c>
      <c r="FD5863" t="inlineStr">
        <is>
          <t>VJZB-77|</t>
        </is>
      </c>
      <c r="FL5863" t="inlineStr">
        <is>
          <t>B</t>
        </is>
      </c>
      <c r="FP5863" t="inlineStr">
        <is>
          <t>B</t>
        </is>
      </c>
    </row>
    <row r="5864">
      <c r="FC5864" t="inlineStr">
        <is>
          <t>Diccionario 5</t>
        </is>
      </c>
      <c r="FD5864" t="inlineStr">
        <is>
          <t>3062 / SFWZ-10|</t>
        </is>
      </c>
      <c r="FL5864" t="inlineStr">
        <is>
          <t>B</t>
        </is>
      </c>
      <c r="FP5864" t="inlineStr">
        <is>
          <t>B</t>
        </is>
      </c>
    </row>
    <row r="5865">
      <c r="FC5865" t="inlineStr">
        <is>
          <t>Diccionario 5</t>
        </is>
      </c>
      <c r="FD5865" t="inlineStr">
        <is>
          <t>3004 / SFWZ-31|</t>
        </is>
      </c>
      <c r="FL5865" t="inlineStr">
        <is>
          <t>B</t>
        </is>
      </c>
      <c r="FP5865" t="inlineStr">
        <is>
          <t>B</t>
        </is>
      </c>
    </row>
    <row r="5866">
      <c r="FC5866" t="inlineStr">
        <is>
          <t>Diccionario 5</t>
        </is>
      </c>
      <c r="FD5866" t="inlineStr">
        <is>
          <t>3033 / SFVZ-29|</t>
        </is>
      </c>
      <c r="FL5866" t="inlineStr">
        <is>
          <t>B</t>
        </is>
      </c>
      <c r="FP5866" t="inlineStr">
        <is>
          <t>B</t>
        </is>
      </c>
    </row>
    <row r="5867">
      <c r="FC5867" t="inlineStr">
        <is>
          <t>Diccionario 5</t>
        </is>
      </c>
      <c r="FD5867" t="inlineStr">
        <is>
          <t>3061 / SFWB-68|</t>
        </is>
      </c>
      <c r="FL5867" t="inlineStr">
        <is>
          <t>B</t>
        </is>
      </c>
      <c r="FP5867" t="inlineStr">
        <is>
          <t>B</t>
        </is>
      </c>
    </row>
    <row r="5868">
      <c r="FC5868" t="inlineStr">
        <is>
          <t>Diccionario 5</t>
        </is>
      </c>
      <c r="FD5868" t="inlineStr">
        <is>
          <t>3107 / SFWZ-85|</t>
        </is>
      </c>
      <c r="FL5868" t="inlineStr">
        <is>
          <t>B</t>
        </is>
      </c>
      <c r="FP5868" t="inlineStr">
        <is>
          <t>B</t>
        </is>
      </c>
    </row>
    <row r="5869">
      <c r="FC5869" t="inlineStr">
        <is>
          <t>Diccionario 5</t>
        </is>
      </c>
      <c r="FD5869" t="inlineStr">
        <is>
          <t>3014 / SFWZ-26|</t>
        </is>
      </c>
      <c r="FL5869" t="inlineStr">
        <is>
          <t>B</t>
        </is>
      </c>
      <c r="FP5869" t="inlineStr">
        <is>
          <t>B</t>
        </is>
      </c>
    </row>
    <row r="5870">
      <c r="FC5870" t="inlineStr">
        <is>
          <t>Diccionario 5</t>
        </is>
      </c>
      <c r="FD5870" t="inlineStr">
        <is>
          <t>3103 / SFWZ-78|</t>
        </is>
      </c>
      <c r="FL5870" t="inlineStr">
        <is>
          <t>B</t>
        </is>
      </c>
      <c r="FP5870" t="inlineStr">
        <is>
          <t>B</t>
        </is>
      </c>
    </row>
    <row r="5871">
      <c r="FC5871" t="inlineStr">
        <is>
          <t>Diccionario 5</t>
        </is>
      </c>
      <c r="FD5871" t="inlineStr">
        <is>
          <t>3074 / SFWZ-17|</t>
        </is>
      </c>
      <c r="FL5871" t="inlineStr">
        <is>
          <t>B</t>
        </is>
      </c>
      <c r="FP5871" t="inlineStr">
        <is>
          <t>B</t>
        </is>
      </c>
    </row>
    <row r="5872">
      <c r="FC5872" t="inlineStr">
        <is>
          <t>Diccionario 5</t>
        </is>
      </c>
      <c r="FD5872" t="inlineStr">
        <is>
          <t>3104 / SFWZ-52|</t>
        </is>
      </c>
      <c r="FL5872" t="inlineStr">
        <is>
          <t>B</t>
        </is>
      </c>
      <c r="FP5872" t="inlineStr">
        <is>
          <t>B</t>
        </is>
      </c>
    </row>
    <row r="5873">
      <c r="FC5873" t="inlineStr">
        <is>
          <t>Diccionario 5</t>
        </is>
      </c>
      <c r="FD5873" t="inlineStr">
        <is>
          <t>3105 / SFWZ-54|</t>
        </is>
      </c>
      <c r="FL5873" t="inlineStr">
        <is>
          <t>B</t>
        </is>
      </c>
      <c r="FP5873" t="inlineStr">
        <is>
          <t>B</t>
        </is>
      </c>
    </row>
    <row r="5874">
      <c r="FC5874" t="inlineStr">
        <is>
          <t>Diccionario 5</t>
        </is>
      </c>
      <c r="FD5874" t="inlineStr">
        <is>
          <t>3065 / SFVZ-40|</t>
        </is>
      </c>
      <c r="FL5874" t="inlineStr">
        <is>
          <t>B</t>
        </is>
      </c>
      <c r="FP5874" t="inlineStr">
        <is>
          <t>B</t>
        </is>
      </c>
    </row>
    <row r="5875">
      <c r="FC5875" t="inlineStr">
        <is>
          <t>Diccionario 5</t>
        </is>
      </c>
      <c r="FD5875" t="inlineStr">
        <is>
          <t>3106 / SFWZ-68|</t>
        </is>
      </c>
      <c r="FL5875" t="inlineStr">
        <is>
          <t>B</t>
        </is>
      </c>
      <c r="FP5875" t="inlineStr">
        <is>
          <t>B</t>
        </is>
      </c>
    </row>
    <row r="5876">
      <c r="FC5876" t="inlineStr">
        <is>
          <t>Diccionario 5</t>
        </is>
      </c>
      <c r="FD5876" t="inlineStr">
        <is>
          <t>VJKG-37|</t>
        </is>
      </c>
      <c r="FL5876" t="inlineStr">
        <is>
          <t>B</t>
        </is>
      </c>
      <c r="FP5876" t="inlineStr">
        <is>
          <t>B</t>
        </is>
      </c>
    </row>
    <row r="5877">
      <c r="FC5877" t="inlineStr">
        <is>
          <t>Diccionario 5</t>
        </is>
      </c>
      <c r="FD5877" t="inlineStr">
        <is>
          <t>3005 / SFWZ-39|</t>
        </is>
      </c>
      <c r="FL5877" t="inlineStr">
        <is>
          <t>B</t>
        </is>
      </c>
      <c r="FP5877" t="inlineStr">
        <is>
          <t>B</t>
        </is>
      </c>
    </row>
    <row r="5878">
      <c r="FC5878" t="inlineStr">
        <is>
          <t>Diccionario 5</t>
        </is>
      </c>
      <c r="FD5878" t="inlineStr">
        <is>
          <t>VJKF-46|</t>
        </is>
      </c>
      <c r="FL5878" t="inlineStr">
        <is>
          <t>B</t>
        </is>
      </c>
      <c r="FP5878" t="inlineStr">
        <is>
          <t>B</t>
        </is>
      </c>
    </row>
    <row r="5879">
      <c r="FC5879" t="inlineStr">
        <is>
          <t>Diccionario 5</t>
        </is>
      </c>
      <c r="FD5879" t="inlineStr">
        <is>
          <t>VJYJ-35|</t>
        </is>
      </c>
      <c r="FL5879" t="inlineStr">
        <is>
          <t>B</t>
        </is>
      </c>
      <c r="FP5879" t="inlineStr">
        <is>
          <t>B</t>
        </is>
      </c>
    </row>
    <row r="5880">
      <c r="FC5880" t="inlineStr">
        <is>
          <t>Diccionario 5</t>
        </is>
      </c>
      <c r="FD5880" t="inlineStr">
        <is>
          <t>3097 / SFWZ-77|</t>
        </is>
      </c>
      <c r="FL5880" t="inlineStr">
        <is>
          <t>B</t>
        </is>
      </c>
      <c r="FP5880" t="inlineStr">
        <is>
          <t>B</t>
        </is>
      </c>
    </row>
    <row r="5881">
      <c r="FC5881" t="inlineStr">
        <is>
          <t>Diccionario 5</t>
        </is>
      </c>
      <c r="FD5881" t="inlineStr">
        <is>
          <t>3063 / SFWZ-21|</t>
        </is>
      </c>
      <c r="FL5881" t="inlineStr">
        <is>
          <t>B</t>
        </is>
      </c>
      <c r="FP5881" t="inlineStr">
        <is>
          <t>B</t>
        </is>
      </c>
    </row>
    <row r="5882">
      <c r="FC5882" t="inlineStr">
        <is>
          <t>Diccionario 5</t>
        </is>
      </c>
      <c r="FD5882" t="inlineStr">
        <is>
          <t>3089 / SFWZ-73|</t>
        </is>
      </c>
      <c r="FL5882" t="inlineStr">
        <is>
          <t>B</t>
        </is>
      </c>
      <c r="FP5882" t="inlineStr">
        <is>
          <t>B</t>
        </is>
      </c>
    </row>
    <row r="5883">
      <c r="FC5883" t="inlineStr">
        <is>
          <t>Diccionario 5</t>
        </is>
      </c>
      <c r="FD5883" t="inlineStr">
        <is>
          <t>3030 / SFWZ-14|</t>
        </is>
      </c>
      <c r="FL5883" t="inlineStr">
        <is>
          <t>B</t>
        </is>
      </c>
      <c r="FP5883" t="inlineStr">
        <is>
          <t>B</t>
        </is>
      </c>
    </row>
    <row r="5884">
      <c r="FC5884" t="inlineStr">
        <is>
          <t>Diccionario 5</t>
        </is>
      </c>
      <c r="FD5884" t="inlineStr">
        <is>
          <t>3007 / SFWB-50|</t>
        </is>
      </c>
      <c r="FL5884" t="inlineStr">
        <is>
          <t>B</t>
        </is>
      </c>
      <c r="FP5884" t="inlineStr">
        <is>
          <t>B</t>
        </is>
      </c>
    </row>
    <row r="5885">
      <c r="FC5885" t="inlineStr">
        <is>
          <t>Diccionario 5</t>
        </is>
      </c>
      <c r="FD5885" t="inlineStr">
        <is>
          <t>3077 / SFWZ-55|</t>
        </is>
      </c>
      <c r="FL5885" t="inlineStr">
        <is>
          <t>B</t>
        </is>
      </c>
      <c r="FP5885" t="inlineStr">
        <is>
          <t>B</t>
        </is>
      </c>
    </row>
    <row r="5886">
      <c r="FC5886" t="inlineStr">
        <is>
          <t>Diccionario 5</t>
        </is>
      </c>
      <c r="FD5886" t="inlineStr">
        <is>
          <t>3041 / SFVZ-49|</t>
        </is>
      </c>
      <c r="FL5886" t="inlineStr">
        <is>
          <t>B</t>
        </is>
      </c>
      <c r="FP5886" t="inlineStr">
        <is>
          <t>B</t>
        </is>
      </c>
    </row>
    <row r="5887">
      <c r="FC5887" t="inlineStr">
        <is>
          <t>Diccionario 5</t>
        </is>
      </c>
      <c r="FD5887" t="inlineStr">
        <is>
          <t>3012 / SFWB-72|</t>
        </is>
      </c>
      <c r="FL5887" t="inlineStr">
        <is>
          <t>B</t>
        </is>
      </c>
      <c r="FP5887" t="inlineStr">
        <is>
          <t>B</t>
        </is>
      </c>
    </row>
    <row r="5888">
      <c r="FC5888" t="inlineStr">
        <is>
          <t>Diccionario 5</t>
        </is>
      </c>
      <c r="FD5888" t="inlineStr">
        <is>
          <t>3107 / SFWZ-85|</t>
        </is>
      </c>
      <c r="FL5888" t="inlineStr">
        <is>
          <t>B</t>
        </is>
      </c>
      <c r="FP5888" t="inlineStr">
        <is>
          <t>B</t>
        </is>
      </c>
    </row>
    <row r="5889">
      <c r="FC5889" t="inlineStr">
        <is>
          <t>Diccionario 5</t>
        </is>
      </c>
      <c r="FD5889" t="inlineStr">
        <is>
          <t>3061 / SFWB-68|</t>
        </is>
      </c>
      <c r="FL5889" t="inlineStr">
        <is>
          <t>B</t>
        </is>
      </c>
      <c r="FP5889" t="inlineStr">
        <is>
          <t>B</t>
        </is>
      </c>
    </row>
    <row r="5890">
      <c r="FC5890" t="inlineStr">
        <is>
          <t>Diccionario 5</t>
        </is>
      </c>
      <c r="FD5890" t="inlineStr">
        <is>
          <t>3062 / SFWZ-10|</t>
        </is>
      </c>
      <c r="FL5890" t="inlineStr">
        <is>
          <t>B</t>
        </is>
      </c>
      <c r="FP5890" t="inlineStr">
        <is>
          <t>B</t>
        </is>
      </c>
    </row>
    <row r="5891">
      <c r="FC5891" t="inlineStr">
        <is>
          <t>Diccionario 5</t>
        </is>
      </c>
      <c r="FD5891" t="inlineStr">
        <is>
          <t>3105 / SFWZ-54|</t>
        </is>
      </c>
      <c r="FL5891" t="inlineStr">
        <is>
          <t>B</t>
        </is>
      </c>
      <c r="FP5891" t="inlineStr">
        <is>
          <t>B</t>
        </is>
      </c>
    </row>
    <row r="5892">
      <c r="FC5892" t="inlineStr">
        <is>
          <t>Diccionario 5</t>
        </is>
      </c>
      <c r="FD5892" t="inlineStr">
        <is>
          <t>3074 / SFWZ-17|</t>
        </is>
      </c>
      <c r="FL5892" t="inlineStr">
        <is>
          <t>B</t>
        </is>
      </c>
      <c r="FP5892" t="inlineStr">
        <is>
          <t>B</t>
        </is>
      </c>
    </row>
    <row r="5893">
      <c r="FC5893" t="inlineStr">
        <is>
          <t>Diccionario 5</t>
        </is>
      </c>
      <c r="FD5893" t="inlineStr">
        <is>
          <t>3104 / SFWZ-52|</t>
        </is>
      </c>
      <c r="FL5893" t="inlineStr">
        <is>
          <t>B</t>
        </is>
      </c>
      <c r="FP5893" t="inlineStr">
        <is>
          <t>B</t>
        </is>
      </c>
    </row>
    <row r="5894">
      <c r="FC5894" t="inlineStr">
        <is>
          <t>Diccionario 5</t>
        </is>
      </c>
      <c r="FD5894" t="inlineStr">
        <is>
          <t>3106 / SFWZ-68|</t>
        </is>
      </c>
      <c r="FL5894" t="inlineStr">
        <is>
          <t>B</t>
        </is>
      </c>
      <c r="FP5894" t="inlineStr">
        <is>
          <t>B</t>
        </is>
      </c>
    </row>
    <row r="5895">
      <c r="FC5895" t="inlineStr">
        <is>
          <t>Diccionario 5</t>
        </is>
      </c>
      <c r="FD5895" t="inlineStr">
        <is>
          <t>3033 / SFVZ-29|</t>
        </is>
      </c>
      <c r="FL5895" t="inlineStr">
        <is>
          <t>B</t>
        </is>
      </c>
      <c r="FP5895" t="inlineStr">
        <is>
          <t>B</t>
        </is>
      </c>
    </row>
    <row r="5896">
      <c r="FC5896" t="inlineStr">
        <is>
          <t>Diccionario 5</t>
        </is>
      </c>
      <c r="FD5896" t="inlineStr">
        <is>
          <t>3097 / SFWZ-77|</t>
        </is>
      </c>
      <c r="FL5896" t="inlineStr">
        <is>
          <t>B</t>
        </is>
      </c>
      <c r="FP5896" t="inlineStr">
        <is>
          <t>B</t>
        </is>
      </c>
    </row>
    <row r="5897">
      <c r="FC5897" t="inlineStr">
        <is>
          <t>Diccionario 5</t>
        </is>
      </c>
      <c r="FD5897" t="inlineStr">
        <is>
          <t>VJKG-37|</t>
        </is>
      </c>
      <c r="FL5897" t="inlineStr">
        <is>
          <t>B</t>
        </is>
      </c>
      <c r="FP5897" t="inlineStr">
        <is>
          <t>B</t>
        </is>
      </c>
    </row>
    <row r="5898">
      <c r="FC5898" t="inlineStr">
        <is>
          <t>Diccionario 5</t>
        </is>
      </c>
      <c r="FD5898" t="inlineStr">
        <is>
          <t>3048 / SFVZ-96|</t>
        </is>
      </c>
      <c r="FL5898" t="inlineStr">
        <is>
          <t>B</t>
        </is>
      </c>
      <c r="FP5898" t="inlineStr">
        <is>
          <t>B</t>
        </is>
      </c>
    </row>
    <row r="5899">
      <c r="FC5899" t="inlineStr">
        <is>
          <t>Diccionario 5</t>
        </is>
      </c>
      <c r="FD5899" t="inlineStr">
        <is>
          <t>VJKF-46|</t>
        </is>
      </c>
      <c r="FL5899" t="inlineStr">
        <is>
          <t>B</t>
        </is>
      </c>
      <c r="FP5899" t="inlineStr">
        <is>
          <t>B</t>
        </is>
      </c>
    </row>
    <row r="5900">
      <c r="FC5900" t="inlineStr">
        <is>
          <t>Diccionario 5</t>
        </is>
      </c>
      <c r="FD5900" t="inlineStr">
        <is>
          <t>3066 / SFWB-10|</t>
        </is>
      </c>
      <c r="FL5900" t="inlineStr">
        <is>
          <t>B</t>
        </is>
      </c>
      <c r="FP5900" t="inlineStr">
        <is>
          <t>B</t>
        </is>
      </c>
    </row>
    <row r="5901">
      <c r="FC5901" t="inlineStr">
        <is>
          <t>Diccionario 5</t>
        </is>
      </c>
      <c r="FD5901" t="inlineStr">
        <is>
          <t>3030 / SFWZ-14|</t>
        </is>
      </c>
      <c r="FL5901" t="inlineStr">
        <is>
          <t>B</t>
        </is>
      </c>
      <c r="FP5901" t="inlineStr">
        <is>
          <t>B</t>
        </is>
      </c>
    </row>
    <row r="5902">
      <c r="FC5902" t="inlineStr">
        <is>
          <t>Diccionario 5</t>
        </is>
      </c>
      <c r="FD5902" t="inlineStr">
        <is>
          <t>3107 / SFWZ-85|</t>
        </is>
      </c>
      <c r="FL5902" t="inlineStr">
        <is>
          <t>B</t>
        </is>
      </c>
      <c r="FP5902" t="inlineStr">
        <is>
          <t>B</t>
        </is>
      </c>
    </row>
    <row r="5903">
      <c r="FC5903" t="inlineStr">
        <is>
          <t>Diccionario 5</t>
        </is>
      </c>
      <c r="FD5903" t="inlineStr">
        <is>
          <t>3005 / SFWZ-39|</t>
        </is>
      </c>
      <c r="FL5903" t="inlineStr">
        <is>
          <t>B</t>
        </is>
      </c>
      <c r="FP5903" t="inlineStr">
        <is>
          <t>B</t>
        </is>
      </c>
    </row>
    <row r="5904">
      <c r="FC5904" t="inlineStr">
        <is>
          <t>Diccionario 5</t>
        </is>
      </c>
      <c r="FD5904" t="inlineStr">
        <is>
          <t>3078 / SFWZ-69|</t>
        </is>
      </c>
      <c r="FL5904" t="inlineStr">
        <is>
          <t>B</t>
        </is>
      </c>
      <c r="FP5904" t="inlineStr">
        <is>
          <t>B</t>
        </is>
      </c>
    </row>
    <row r="5905">
      <c r="FC5905" t="inlineStr">
        <is>
          <t>Diccionario 5</t>
        </is>
      </c>
      <c r="FD5905" t="inlineStr">
        <is>
          <t>3089 / SFWZ-73|</t>
        </is>
      </c>
      <c r="FL5905" t="inlineStr">
        <is>
          <t>B</t>
        </is>
      </c>
      <c r="FP5905" t="inlineStr">
        <is>
          <t>B</t>
        </is>
      </c>
    </row>
    <row r="5906">
      <c r="FC5906" t="inlineStr">
        <is>
          <t>Diccionario 5</t>
        </is>
      </c>
      <c r="FD5906" t="inlineStr">
        <is>
          <t>3062 / SFWZ-10|</t>
        </is>
      </c>
      <c r="FL5906" t="inlineStr">
        <is>
          <t>B</t>
        </is>
      </c>
      <c r="FP5906" t="inlineStr">
        <is>
          <t>B</t>
        </is>
      </c>
    </row>
    <row r="5907">
      <c r="FC5907" t="inlineStr">
        <is>
          <t>Diccionario 5</t>
        </is>
      </c>
      <c r="FD5907" t="inlineStr">
        <is>
          <t>3105 / SFWZ-54|</t>
        </is>
      </c>
      <c r="FL5907" t="inlineStr">
        <is>
          <t>B</t>
        </is>
      </c>
      <c r="FP5907" t="inlineStr">
        <is>
          <t>B</t>
        </is>
      </c>
    </row>
    <row r="5908">
      <c r="FC5908" t="inlineStr">
        <is>
          <t>Diccionario 5</t>
        </is>
      </c>
      <c r="FD5908" t="inlineStr">
        <is>
          <t>3077 / SFWZ-55|</t>
        </is>
      </c>
      <c r="FL5908" t="inlineStr">
        <is>
          <t>B</t>
        </is>
      </c>
      <c r="FP5908" t="inlineStr">
        <is>
          <t>B</t>
        </is>
      </c>
    </row>
    <row r="5909">
      <c r="FC5909" t="inlineStr">
        <is>
          <t>Diccionario 5</t>
        </is>
      </c>
      <c r="FD5909" t="inlineStr">
        <is>
          <t>3097 / SFWZ-77|</t>
        </is>
      </c>
      <c r="FL5909" t="inlineStr">
        <is>
          <t>B</t>
        </is>
      </c>
      <c r="FP5909" t="inlineStr">
        <is>
          <t>B</t>
        </is>
      </c>
    </row>
    <row r="5910">
      <c r="FC5910" t="inlineStr">
        <is>
          <t>Diccionario 5</t>
        </is>
      </c>
      <c r="FD5910" t="inlineStr">
        <is>
          <t>VJYJ-35|</t>
        </is>
      </c>
      <c r="FL5910" t="inlineStr">
        <is>
          <t>B</t>
        </is>
      </c>
      <c r="FP5910" t="inlineStr">
        <is>
          <t>B</t>
        </is>
      </c>
    </row>
    <row r="5911">
      <c r="FC5911" t="inlineStr">
        <is>
          <t>Diccionario 5</t>
        </is>
      </c>
      <c r="FD5911" t="inlineStr">
        <is>
          <t>3058 / SFWB-85|</t>
        </is>
      </c>
      <c r="FL5911" t="inlineStr">
        <is>
          <t>B</t>
        </is>
      </c>
      <c r="FP5911" t="inlineStr">
        <is>
          <t>B</t>
        </is>
      </c>
    </row>
    <row r="5912">
      <c r="FC5912" t="inlineStr">
        <is>
          <t>Diccionario 5</t>
        </is>
      </c>
      <c r="FD5912" t="inlineStr">
        <is>
          <t>3104 / SFWZ-52|</t>
        </is>
      </c>
      <c r="FL5912" t="inlineStr">
        <is>
          <t>B</t>
        </is>
      </c>
      <c r="FP5912" t="inlineStr">
        <is>
          <t>B</t>
        </is>
      </c>
    </row>
    <row r="5913">
      <c r="FC5913" t="inlineStr">
        <is>
          <t>Diccionario 5</t>
        </is>
      </c>
      <c r="FD5913" t="inlineStr">
        <is>
          <t>VJKF-44|</t>
        </is>
      </c>
      <c r="FL5913" t="inlineStr">
        <is>
          <t>B</t>
        </is>
      </c>
      <c r="FP5913" t="inlineStr">
        <is>
          <t>B</t>
        </is>
      </c>
    </row>
    <row r="5914">
      <c r="FC5914" t="inlineStr">
        <is>
          <t>Diccionario 5</t>
        </is>
      </c>
      <c r="FD5914" t="inlineStr">
        <is>
          <t>3026 / SFVZ-81|</t>
        </is>
      </c>
      <c r="FL5914" t="inlineStr">
        <is>
          <t>B</t>
        </is>
      </c>
      <c r="FP5914" t="inlineStr">
        <is>
          <t>B</t>
        </is>
      </c>
    </row>
    <row r="5915">
      <c r="FC5915" t="inlineStr">
        <is>
          <t>Diccionario 5</t>
        </is>
      </c>
      <c r="FD5915" t="inlineStr">
        <is>
          <t>3037 / SFWB-87|</t>
        </is>
      </c>
      <c r="FL5915" t="inlineStr">
        <is>
          <t>B</t>
        </is>
      </c>
      <c r="FP5915" t="inlineStr">
        <is>
          <t>B</t>
        </is>
      </c>
    </row>
    <row r="5916">
      <c r="FC5916" t="inlineStr">
        <is>
          <t>Diccionario 5</t>
        </is>
      </c>
      <c r="FD5916" t="inlineStr">
        <is>
          <t>3041 / SFVZ-49|</t>
        </is>
      </c>
      <c r="FL5916" t="inlineStr">
        <is>
          <t>B</t>
        </is>
      </c>
      <c r="FP5916" t="inlineStr">
        <is>
          <t>B</t>
        </is>
      </c>
    </row>
    <row r="5917">
      <c r="FC5917" t="inlineStr">
        <is>
          <t>Diccionario 5</t>
        </is>
      </c>
      <c r="FD5917" t="inlineStr">
        <is>
          <t>3012 / SFWB-72|</t>
        </is>
      </c>
      <c r="FL5917" t="inlineStr">
        <is>
          <t>B</t>
        </is>
      </c>
      <c r="FP5917" t="inlineStr">
        <is>
          <t>B</t>
        </is>
      </c>
    </row>
    <row r="5918">
      <c r="FC5918" t="inlineStr">
        <is>
          <t>Diccionario 5</t>
        </is>
      </c>
      <c r="FD5918" t="inlineStr">
        <is>
          <t>3005 / SFWZ-39|</t>
        </is>
      </c>
      <c r="FL5918" t="inlineStr">
        <is>
          <t>B</t>
        </is>
      </c>
      <c r="FP5918" t="inlineStr">
        <is>
          <t>B</t>
        </is>
      </c>
    </row>
    <row r="5919">
      <c r="FC5919" t="inlineStr">
        <is>
          <t>Diccionario 5</t>
        </is>
      </c>
      <c r="FD5919" t="inlineStr">
        <is>
          <t>3049 / SFWZ-13|</t>
        </is>
      </c>
      <c r="FL5919" t="inlineStr">
        <is>
          <t>B</t>
        </is>
      </c>
      <c r="FP5919" t="inlineStr">
        <is>
          <t>B</t>
        </is>
      </c>
    </row>
    <row r="5920">
      <c r="FC5920" t="inlineStr">
        <is>
          <t>Diccionario 5</t>
        </is>
      </c>
      <c r="FD5920" t="inlineStr">
        <is>
          <t>3089 / SFWZ-73|</t>
        </is>
      </c>
      <c r="FL5920" t="inlineStr">
        <is>
          <t>B</t>
        </is>
      </c>
      <c r="FP5920" t="inlineStr">
        <is>
          <t>B</t>
        </is>
      </c>
    </row>
    <row r="5921">
      <c r="FC5921" t="inlineStr">
        <is>
          <t>Diccionario 5</t>
        </is>
      </c>
      <c r="FD5921" t="inlineStr">
        <is>
          <t>3105 / SFWZ-54|</t>
        </is>
      </c>
      <c r="FL5921" t="inlineStr">
        <is>
          <t>B</t>
        </is>
      </c>
      <c r="FP5921" t="inlineStr">
        <is>
          <t>B</t>
        </is>
      </c>
    </row>
    <row r="5922">
      <c r="FC5922" t="inlineStr">
        <is>
          <t>Diccionario 5</t>
        </is>
      </c>
      <c r="FD5922" t="inlineStr">
        <is>
          <t>3021 / SFWZ-36|</t>
        </is>
      </c>
      <c r="FL5922" t="inlineStr">
        <is>
          <t>B</t>
        </is>
      </c>
      <c r="FP5922" t="inlineStr">
        <is>
          <t>B</t>
        </is>
      </c>
    </row>
    <row r="5923">
      <c r="FC5923" t="inlineStr">
        <is>
          <t>Diccionario 5</t>
        </is>
      </c>
      <c r="FD5923" t="inlineStr">
        <is>
          <t>VJYJ-35|</t>
        </is>
      </c>
      <c r="FL5923" t="inlineStr">
        <is>
          <t>B</t>
        </is>
      </c>
      <c r="FP5923" t="inlineStr">
        <is>
          <t>B</t>
        </is>
      </c>
    </row>
    <row r="5924">
      <c r="FC5924" t="inlineStr">
        <is>
          <t>Diccionario 5</t>
        </is>
      </c>
      <c r="FD5924" t="inlineStr">
        <is>
          <t>3104 / SFWZ-52|</t>
        </is>
      </c>
      <c r="FL5924" t="inlineStr">
        <is>
          <t>B</t>
        </is>
      </c>
      <c r="FP5924" t="inlineStr">
        <is>
          <t>B</t>
        </is>
      </c>
    </row>
    <row r="5925">
      <c r="FC5925" t="inlineStr">
        <is>
          <t>Diccionario 5</t>
        </is>
      </c>
      <c r="FD5925" t="inlineStr">
        <is>
          <t>3074 / SFWZ-17|</t>
        </is>
      </c>
      <c r="FL5925" t="inlineStr">
        <is>
          <t>B</t>
        </is>
      </c>
      <c r="FP5925" t="inlineStr">
        <is>
          <t>B</t>
        </is>
      </c>
    </row>
    <row r="5926">
      <c r="FC5926" t="inlineStr">
        <is>
          <t>Diccionario 5</t>
        </is>
      </c>
      <c r="FD5926" t="inlineStr">
        <is>
          <t>VJKF-46|</t>
        </is>
      </c>
      <c r="FL5926" t="inlineStr">
        <is>
          <t>B</t>
        </is>
      </c>
      <c r="FP5926" t="inlineStr">
        <is>
          <t>B</t>
        </is>
      </c>
    </row>
    <row r="5927">
      <c r="FC5927" t="inlineStr">
        <is>
          <t>Diccionario 5</t>
        </is>
      </c>
      <c r="FD5927" t="inlineStr">
        <is>
          <t>3012 / SFWB-72|</t>
        </is>
      </c>
      <c r="FL5927" t="inlineStr">
        <is>
          <t>B</t>
        </is>
      </c>
      <c r="FP5927" t="inlineStr">
        <is>
          <t>B</t>
        </is>
      </c>
    </row>
    <row r="5928">
      <c r="FC5928" t="inlineStr">
        <is>
          <t>Diccionario 5</t>
        </is>
      </c>
      <c r="FD5928" t="inlineStr">
        <is>
          <t>3041 / SFVZ-49|</t>
        </is>
      </c>
      <c r="FL5928" t="inlineStr">
        <is>
          <t>B</t>
        </is>
      </c>
      <c r="FP5928" t="inlineStr">
        <is>
          <t>B</t>
        </is>
      </c>
    </row>
    <row r="5929">
      <c r="FC5929" t="inlineStr">
        <is>
          <t>Diccionario 5</t>
        </is>
      </c>
      <c r="FD5929" t="inlineStr">
        <is>
          <t>3006 / SFVZ-94|</t>
        </is>
      </c>
      <c r="FL5929" t="inlineStr">
        <is>
          <t>B</t>
        </is>
      </c>
      <c r="FP5929" t="inlineStr">
        <is>
          <t>B</t>
        </is>
      </c>
    </row>
    <row r="5930">
      <c r="FC5930" t="inlineStr">
        <is>
          <t>Diccionario 5</t>
        </is>
      </c>
      <c r="FD5930" t="inlineStr">
        <is>
          <t>3004 / SFWZ-31|</t>
        </is>
      </c>
      <c r="FL5930" t="inlineStr">
        <is>
          <t>B</t>
        </is>
      </c>
      <c r="FP5930" t="inlineStr">
        <is>
          <t>B</t>
        </is>
      </c>
    </row>
    <row r="5931">
      <c r="FC5931" t="inlineStr">
        <is>
          <t>Diccionario 5</t>
        </is>
      </c>
      <c r="FD5931" t="inlineStr">
        <is>
          <t>3097 / SFWZ-77|</t>
        </is>
      </c>
      <c r="FL5931" t="inlineStr">
        <is>
          <t>B</t>
        </is>
      </c>
      <c r="FP5931" t="inlineStr">
        <is>
          <t>B</t>
        </is>
      </c>
    </row>
    <row r="5932">
      <c r="FC5932" t="inlineStr">
        <is>
          <t>Diccionario 5</t>
        </is>
      </c>
      <c r="FD5932" t="inlineStr">
        <is>
          <t>3065 / SFVZ-40|</t>
        </is>
      </c>
      <c r="FL5932" t="inlineStr">
        <is>
          <t>B</t>
        </is>
      </c>
      <c r="FP5932" t="inlineStr">
        <is>
          <t>B</t>
        </is>
      </c>
    </row>
    <row r="5933">
      <c r="FC5933" t="inlineStr">
        <is>
          <t>Diccionario 5</t>
        </is>
      </c>
      <c r="FD5933" t="inlineStr">
        <is>
          <t>VJKF-44|</t>
        </is>
      </c>
      <c r="FL5933" t="inlineStr">
        <is>
          <t>B</t>
        </is>
      </c>
      <c r="FP5933" t="inlineStr">
        <is>
          <t>B</t>
        </is>
      </c>
    </row>
    <row r="5934">
      <c r="FC5934" t="inlineStr">
        <is>
          <t>Diccionario 5</t>
        </is>
      </c>
      <c r="FD5934" t="inlineStr">
        <is>
          <t>3037 / SFWB-87|</t>
        </is>
      </c>
      <c r="FL5934" t="inlineStr">
        <is>
          <t>B</t>
        </is>
      </c>
      <c r="FP5934" t="inlineStr">
        <is>
          <t>B</t>
        </is>
      </c>
    </row>
    <row r="5935">
      <c r="FC5935" t="inlineStr">
        <is>
          <t>Diccionario 5</t>
        </is>
      </c>
      <c r="FD5935" t="inlineStr">
        <is>
          <t>3032 / SFWZ-34|</t>
        </is>
      </c>
      <c r="FL5935" t="inlineStr">
        <is>
          <t>B</t>
        </is>
      </c>
      <c r="FP5935" t="inlineStr">
        <is>
          <t>B</t>
        </is>
      </c>
    </row>
    <row r="5936">
      <c r="FC5936" t="inlineStr">
        <is>
          <t>Diccionario 5</t>
        </is>
      </c>
      <c r="FD5936" t="inlineStr">
        <is>
          <t>3088 / SFWZ-81|</t>
        </is>
      </c>
      <c r="FL5936" t="inlineStr">
        <is>
          <t>B</t>
        </is>
      </c>
      <c r="FP5936" t="inlineStr">
        <is>
          <t>B</t>
        </is>
      </c>
    </row>
    <row r="5937">
      <c r="FC5937" t="inlineStr">
        <is>
          <t>Diccionario 5</t>
        </is>
      </c>
      <c r="FD5937" t="inlineStr">
        <is>
          <t>3089 / SFWZ-73|</t>
        </is>
      </c>
      <c r="FL5937" t="inlineStr">
        <is>
          <t>B</t>
        </is>
      </c>
      <c r="FP5937" t="inlineStr">
        <is>
          <t>B</t>
        </is>
      </c>
    </row>
    <row r="5938">
      <c r="FC5938" t="inlineStr">
        <is>
          <t>Diccionario 5</t>
        </is>
      </c>
      <c r="FD5938" t="inlineStr">
        <is>
          <t>3072 / SFWB-89|</t>
        </is>
      </c>
      <c r="FL5938" t="inlineStr">
        <is>
          <t>B</t>
        </is>
      </c>
      <c r="FP5938" t="inlineStr">
        <is>
          <t>B</t>
        </is>
      </c>
    </row>
    <row r="5939">
      <c r="FC5939" t="inlineStr">
        <is>
          <t>Diccionario 5</t>
        </is>
      </c>
      <c r="FD5939" t="inlineStr">
        <is>
          <t>3019 / SFWB-44|</t>
        </is>
      </c>
      <c r="FL5939" t="inlineStr">
        <is>
          <t>B</t>
        </is>
      </c>
      <c r="FP5939" t="inlineStr">
        <is>
          <t>B</t>
        </is>
      </c>
    </row>
    <row r="5940">
      <c r="FC5940" t="inlineStr">
        <is>
          <t>Diccionario 5</t>
        </is>
      </c>
      <c r="FD5940" t="inlineStr">
        <is>
          <t>3054 / SFWB-24|</t>
        </is>
      </c>
      <c r="FL5940" t="inlineStr">
        <is>
          <t>B</t>
        </is>
      </c>
      <c r="FP5940" t="inlineStr">
        <is>
          <t>B</t>
        </is>
      </c>
    </row>
    <row r="5941">
      <c r="FC5941" t="inlineStr">
        <is>
          <t>Diccionario 5</t>
        </is>
      </c>
      <c r="FD5941" t="inlineStr">
        <is>
          <t>3064 / SFWZ-61|</t>
        </is>
      </c>
      <c r="FL5941" t="inlineStr">
        <is>
          <t>B</t>
        </is>
      </c>
      <c r="FP5941" t="inlineStr">
        <is>
          <t>B</t>
        </is>
      </c>
    </row>
    <row r="5942">
      <c r="FC5942" t="inlineStr">
        <is>
          <t>Diccionario 5</t>
        </is>
      </c>
      <c r="FD5942" t="inlineStr">
        <is>
          <t>3063 / SFWZ-21|</t>
        </is>
      </c>
      <c r="FL5942" t="inlineStr">
        <is>
          <t>B</t>
        </is>
      </c>
      <c r="FP5942" t="inlineStr">
        <is>
          <t>B</t>
        </is>
      </c>
    </row>
    <row r="5943">
      <c r="FC5943" t="inlineStr">
        <is>
          <t>Diccionario 5</t>
        </is>
      </c>
      <c r="FD5943" t="inlineStr">
        <is>
          <t>VJKF-46|</t>
        </is>
      </c>
      <c r="FL5943" t="inlineStr">
        <is>
          <t>B</t>
        </is>
      </c>
      <c r="FP5943" t="inlineStr">
        <is>
          <t>B</t>
        </is>
      </c>
    </row>
    <row r="5944">
      <c r="FC5944" t="inlineStr">
        <is>
          <t>Diccionario 5</t>
        </is>
      </c>
      <c r="FD5944" t="inlineStr">
        <is>
          <t>3006 / SFVZ-94|</t>
        </is>
      </c>
      <c r="FL5944" t="inlineStr">
        <is>
          <t>B</t>
        </is>
      </c>
      <c r="FP5944" t="inlineStr">
        <is>
          <t>B</t>
        </is>
      </c>
    </row>
    <row r="5945">
      <c r="FC5945" t="inlineStr">
        <is>
          <t>Diccionario 5</t>
        </is>
      </c>
      <c r="FD5945" t="inlineStr">
        <is>
          <t>3041 / SFVZ-49|</t>
        </is>
      </c>
      <c r="FL5945" t="inlineStr">
        <is>
          <t>B</t>
        </is>
      </c>
      <c r="FP5945" t="inlineStr">
        <is>
          <t>B</t>
        </is>
      </c>
    </row>
    <row r="5946">
      <c r="FC5946" t="inlineStr">
        <is>
          <t>Diccionario 5</t>
        </is>
      </c>
      <c r="FD5946" t="inlineStr">
        <is>
          <t>3021 / SFWZ-36|</t>
        </is>
      </c>
      <c r="FL5946" t="inlineStr">
        <is>
          <t>B</t>
        </is>
      </c>
      <c r="FP5946" t="inlineStr">
        <is>
          <t>B</t>
        </is>
      </c>
    </row>
    <row r="5947">
      <c r="FC5947" t="inlineStr">
        <is>
          <t>Diccionario 5</t>
        </is>
      </c>
      <c r="FD5947" t="inlineStr">
        <is>
          <t>3074 / SFWZ-17|</t>
        </is>
      </c>
      <c r="FL5947" t="inlineStr">
        <is>
          <t>B</t>
        </is>
      </c>
      <c r="FP5947" t="inlineStr">
        <is>
          <t>B</t>
        </is>
      </c>
    </row>
    <row r="5948">
      <c r="FC5948" t="inlineStr">
        <is>
          <t>Diccionario 5</t>
        </is>
      </c>
      <c r="FD5948" t="inlineStr">
        <is>
          <t>SFWB-77</t>
        </is>
      </c>
      <c r="FL5948" t="inlineStr">
        <is>
          <t>B</t>
        </is>
      </c>
      <c r="FP5948" t="inlineStr">
        <is>
          <t>B</t>
        </is>
      </c>
    </row>
    <row r="5949">
      <c r="FC5949" t="inlineStr">
        <is>
          <t>Diccionario 5</t>
        </is>
      </c>
      <c r="FD5949" t="inlineStr">
        <is>
          <t>3104 / SFWZ-52|</t>
        </is>
      </c>
      <c r="FL5949" t="inlineStr">
        <is>
          <t>B</t>
        </is>
      </c>
      <c r="FP5949" t="inlineStr">
        <is>
          <t>B</t>
        </is>
      </c>
    </row>
    <row r="5950">
      <c r="FC5950" t="inlineStr">
        <is>
          <t>Diccionario 5</t>
        </is>
      </c>
      <c r="FD5950" t="inlineStr">
        <is>
          <t>3004 / SFWZ-31|</t>
        </is>
      </c>
      <c r="FL5950" t="inlineStr">
        <is>
          <t>B</t>
        </is>
      </c>
      <c r="FP5950" t="inlineStr">
        <is>
          <t>B</t>
        </is>
      </c>
    </row>
    <row r="5951">
      <c r="FC5951" t="inlineStr">
        <is>
          <t>Diccionario 5</t>
        </is>
      </c>
      <c r="FD5951" t="inlineStr">
        <is>
          <t>3032 / SFWZ-34|</t>
        </is>
      </c>
      <c r="FL5951" t="inlineStr">
        <is>
          <t>B</t>
        </is>
      </c>
      <c r="FP5951" t="inlineStr">
        <is>
          <t>B</t>
        </is>
      </c>
    </row>
    <row r="5952">
      <c r="FC5952" t="inlineStr">
        <is>
          <t>Diccionario 5</t>
        </is>
      </c>
      <c r="FD5952" t="inlineStr">
        <is>
          <t>VJYJ-35|</t>
        </is>
      </c>
      <c r="FL5952" t="inlineStr">
        <is>
          <t>B</t>
        </is>
      </c>
      <c r="FP5952" t="inlineStr">
        <is>
          <t>B</t>
        </is>
      </c>
    </row>
    <row r="5953">
      <c r="FC5953" t="inlineStr">
        <is>
          <t>Diccionario 5</t>
        </is>
      </c>
      <c r="FD5953" t="inlineStr">
        <is>
          <t>3063 / SFWZ-21|</t>
        </is>
      </c>
      <c r="FL5953" t="inlineStr">
        <is>
          <t>B</t>
        </is>
      </c>
      <c r="FP5953" t="inlineStr">
        <is>
          <t>B</t>
        </is>
      </c>
    </row>
    <row r="5954">
      <c r="FC5954" t="inlineStr">
        <is>
          <t>Diccionario 5</t>
        </is>
      </c>
      <c r="FD5954" t="inlineStr">
        <is>
          <t>3044 / SFVZ-67|</t>
        </is>
      </c>
      <c r="FL5954" t="inlineStr">
        <is>
          <t>B</t>
        </is>
      </c>
      <c r="FP5954" t="inlineStr">
        <is>
          <t>B</t>
        </is>
      </c>
    </row>
    <row r="5955">
      <c r="FC5955" t="inlineStr">
        <is>
          <t>Diccionario 5</t>
        </is>
      </c>
      <c r="FD5955" t="inlineStr">
        <is>
          <t>3019 / SFWB-44|</t>
        </is>
      </c>
      <c r="FL5955" t="inlineStr">
        <is>
          <t>B</t>
        </is>
      </c>
      <c r="FP5955" t="inlineStr">
        <is>
          <t>B</t>
        </is>
      </c>
    </row>
    <row r="5956">
      <c r="FC5956" t="inlineStr">
        <is>
          <t>Diccionario 5</t>
        </is>
      </c>
      <c r="FD5956" t="inlineStr">
        <is>
          <t>3036 / SFWB-77|</t>
        </is>
      </c>
      <c r="FL5956" t="inlineStr">
        <is>
          <t>B</t>
        </is>
      </c>
      <c r="FP5956" t="inlineStr">
        <is>
          <t>B</t>
        </is>
      </c>
    </row>
    <row r="5957">
      <c r="FC5957" t="inlineStr">
        <is>
          <t>Diccionario 5</t>
        </is>
      </c>
      <c r="FD5957" t="inlineStr">
        <is>
          <t>VJYJ-35|</t>
        </is>
      </c>
      <c r="FL5957" t="inlineStr">
        <is>
          <t>B</t>
        </is>
      </c>
      <c r="FP5957" t="inlineStr">
        <is>
          <t>B</t>
        </is>
      </c>
    </row>
    <row r="5958">
      <c r="FC5958" t="inlineStr">
        <is>
          <t>Diccionario 5</t>
        </is>
      </c>
      <c r="FD5958" t="inlineStr">
        <is>
          <t>3041 / SFVZ-49|</t>
        </is>
      </c>
      <c r="FL5958" t="inlineStr">
        <is>
          <t>B</t>
        </is>
      </c>
      <c r="FP5958" t="inlineStr">
        <is>
          <t>B</t>
        </is>
      </c>
    </row>
    <row r="5959">
      <c r="FC5959" t="inlineStr">
        <is>
          <t>Diccionario 5</t>
        </is>
      </c>
      <c r="FD5959" t="inlineStr">
        <is>
          <t>VJZB-77|</t>
        </is>
      </c>
      <c r="FL5959" t="inlineStr">
        <is>
          <t>B</t>
        </is>
      </c>
      <c r="FP5959" t="inlineStr">
        <is>
          <t>B</t>
        </is>
      </c>
    </row>
    <row r="5960">
      <c r="FC5960" t="inlineStr">
        <is>
          <t>Diccionario 5</t>
        </is>
      </c>
      <c r="FD5960" t="inlineStr">
        <is>
          <t>3033 / SFVZ-29|</t>
        </is>
      </c>
      <c r="FL5960" t="inlineStr">
        <is>
          <t>B</t>
        </is>
      </c>
      <c r="FP5960" t="inlineStr">
        <is>
          <t>B</t>
        </is>
      </c>
    </row>
    <row r="5961">
      <c r="FC5961" t="inlineStr">
        <is>
          <t>Diccionario 5</t>
        </is>
      </c>
      <c r="FD5961" t="inlineStr">
        <is>
          <t>3062 / SFWZ-10|</t>
        </is>
      </c>
      <c r="FL5961" t="inlineStr">
        <is>
          <t>B</t>
        </is>
      </c>
      <c r="FP5961" t="inlineStr">
        <is>
          <t>B</t>
        </is>
      </c>
    </row>
    <row r="5962">
      <c r="FC5962" t="inlineStr">
        <is>
          <t>Diccionario 5</t>
        </is>
      </c>
      <c r="FD5962" t="inlineStr">
        <is>
          <t>3014 / SFWZ-26|</t>
        </is>
      </c>
      <c r="FL5962" t="inlineStr">
        <is>
          <t>B</t>
        </is>
      </c>
      <c r="FP5962" t="inlineStr">
        <is>
          <t>B</t>
        </is>
      </c>
    </row>
    <row r="5963">
      <c r="FC5963" t="inlineStr">
        <is>
          <t>Diccionario 5</t>
        </is>
      </c>
      <c r="FD5963" t="inlineStr">
        <is>
          <t>3107 / SFWZ-85|</t>
        </is>
      </c>
      <c r="FL5963" t="inlineStr">
        <is>
          <t>B</t>
        </is>
      </c>
      <c r="FP5963" t="inlineStr">
        <is>
          <t>B</t>
        </is>
      </c>
    </row>
    <row r="5964">
      <c r="FC5964" t="inlineStr">
        <is>
          <t>Diccionario 5</t>
        </is>
      </c>
      <c r="FD5964" t="inlineStr">
        <is>
          <t>3103 / SFWZ-78|</t>
        </is>
      </c>
      <c r="FL5964" t="inlineStr">
        <is>
          <t>B</t>
        </is>
      </c>
      <c r="FP5964" t="inlineStr">
        <is>
          <t>B</t>
        </is>
      </c>
    </row>
    <row r="5965">
      <c r="FC5965" t="inlineStr">
        <is>
          <t>Diccionario 5</t>
        </is>
      </c>
      <c r="FD5965" t="inlineStr">
        <is>
          <t>3074 / SFWZ-17|</t>
        </is>
      </c>
      <c r="FL5965" t="inlineStr">
        <is>
          <t>B</t>
        </is>
      </c>
      <c r="FP5965" t="inlineStr">
        <is>
          <t>B</t>
        </is>
      </c>
    </row>
    <row r="5966">
      <c r="FC5966" t="inlineStr">
        <is>
          <t>Diccionario 5</t>
        </is>
      </c>
      <c r="FD5966" t="inlineStr">
        <is>
          <t>3104 / SFWZ-52|</t>
        </is>
      </c>
      <c r="FL5966" t="inlineStr">
        <is>
          <t>B</t>
        </is>
      </c>
      <c r="FP5966" t="inlineStr">
        <is>
          <t>B</t>
        </is>
      </c>
    </row>
    <row r="5967">
      <c r="FC5967" t="inlineStr">
        <is>
          <t>Diccionario 5</t>
        </is>
      </c>
      <c r="FD5967" t="inlineStr">
        <is>
          <t>3105 / SFWZ-54|</t>
        </is>
      </c>
      <c r="FL5967" t="inlineStr">
        <is>
          <t>B</t>
        </is>
      </c>
      <c r="FP5967" t="inlineStr">
        <is>
          <t>B</t>
        </is>
      </c>
    </row>
    <row r="5968">
      <c r="FC5968" t="inlineStr">
        <is>
          <t>Diccionario 5</t>
        </is>
      </c>
      <c r="FD5968" t="inlineStr">
        <is>
          <t>3106 / SFWZ-68|</t>
        </is>
      </c>
      <c r="FL5968" t="inlineStr">
        <is>
          <t>B</t>
        </is>
      </c>
      <c r="FP5968" t="inlineStr">
        <is>
          <t>B</t>
        </is>
      </c>
    </row>
    <row r="5969">
      <c r="FC5969" t="inlineStr">
        <is>
          <t>Diccionario 5</t>
        </is>
      </c>
      <c r="FD5969" t="inlineStr">
        <is>
          <t>3065 / SFVZ-40|</t>
        </is>
      </c>
      <c r="FL5969" t="inlineStr">
        <is>
          <t>B</t>
        </is>
      </c>
      <c r="FP5969" t="inlineStr">
        <is>
          <t>B</t>
        </is>
      </c>
    </row>
    <row r="5970">
      <c r="FC5970" t="inlineStr">
        <is>
          <t>Diccionario 5</t>
        </is>
      </c>
      <c r="FD5970" t="inlineStr">
        <is>
          <t>VJKG-37|</t>
        </is>
      </c>
      <c r="FL5970" t="inlineStr">
        <is>
          <t>B</t>
        </is>
      </c>
      <c r="FP5970" t="inlineStr">
        <is>
          <t>B</t>
        </is>
      </c>
    </row>
    <row r="5971">
      <c r="FC5971" t="inlineStr">
        <is>
          <t>Diccionario 5</t>
        </is>
      </c>
      <c r="FD5971" t="inlineStr">
        <is>
          <t>3005 / SFWZ-39|</t>
        </is>
      </c>
      <c r="FL5971" t="inlineStr">
        <is>
          <t>B</t>
        </is>
      </c>
      <c r="FP5971" t="inlineStr">
        <is>
          <t>B</t>
        </is>
      </c>
    </row>
    <row r="5972">
      <c r="FC5972" t="inlineStr">
        <is>
          <t>Diccionario 5</t>
        </is>
      </c>
      <c r="FD5972" t="inlineStr">
        <is>
          <t>VJKF-46|</t>
        </is>
      </c>
      <c r="FL5972" t="inlineStr">
        <is>
          <t>B</t>
        </is>
      </c>
      <c r="FP5972" t="inlineStr">
        <is>
          <t>B</t>
        </is>
      </c>
    </row>
    <row r="5973">
      <c r="FC5973" t="inlineStr">
        <is>
          <t>Diccionario 5</t>
        </is>
      </c>
      <c r="FD5973" t="inlineStr">
        <is>
          <t>VJYJ-35|</t>
        </is>
      </c>
      <c r="FL5973" t="inlineStr">
        <is>
          <t>B</t>
        </is>
      </c>
      <c r="FP5973" t="inlineStr">
        <is>
          <t>B</t>
        </is>
      </c>
    </row>
    <row r="5974">
      <c r="FC5974" t="inlineStr">
        <is>
          <t>Diccionario 5</t>
        </is>
      </c>
      <c r="FD5974" t="inlineStr">
        <is>
          <t>3097 / SFWZ-77|</t>
        </is>
      </c>
      <c r="FL5974" t="inlineStr">
        <is>
          <t>B</t>
        </is>
      </c>
      <c r="FP5974" t="inlineStr">
        <is>
          <t>B</t>
        </is>
      </c>
    </row>
    <row r="5975">
      <c r="FC5975" t="inlineStr">
        <is>
          <t>Diccionario 5</t>
        </is>
      </c>
      <c r="FD5975" t="inlineStr">
        <is>
          <t>3063 / SFWZ-21|</t>
        </is>
      </c>
      <c r="FL5975" t="inlineStr">
        <is>
          <t>B</t>
        </is>
      </c>
      <c r="FP5975" t="inlineStr">
        <is>
          <t>B</t>
        </is>
      </c>
    </row>
    <row r="5976">
      <c r="FC5976" t="inlineStr">
        <is>
          <t>Diccionario 5</t>
        </is>
      </c>
      <c r="FD5976" t="inlineStr">
        <is>
          <t>3030 / SFWZ-14|</t>
        </is>
      </c>
      <c r="FL5976" t="inlineStr">
        <is>
          <t>B</t>
        </is>
      </c>
      <c r="FP5976" t="inlineStr">
        <is>
          <t>B</t>
        </is>
      </c>
    </row>
    <row r="5977">
      <c r="FC5977" t="inlineStr">
        <is>
          <t>Diccionario 5</t>
        </is>
      </c>
      <c r="FD5977" t="inlineStr">
        <is>
          <t>3089 / SFWZ-73|</t>
        </is>
      </c>
      <c r="FL5977" t="inlineStr">
        <is>
          <t>B</t>
        </is>
      </c>
      <c r="FP5977" t="inlineStr">
        <is>
          <t>B</t>
        </is>
      </c>
    </row>
    <row r="5978">
      <c r="FC5978" t="inlineStr">
        <is>
          <t>Diccionario 5</t>
        </is>
      </c>
      <c r="FD5978" t="inlineStr">
        <is>
          <t>3007 / SFWB-50|</t>
        </is>
      </c>
      <c r="FL5978" t="inlineStr">
        <is>
          <t>B</t>
        </is>
      </c>
      <c r="FP5978" t="inlineStr">
        <is>
          <t>B</t>
        </is>
      </c>
    </row>
    <row r="5979">
      <c r="FC5979" t="inlineStr">
        <is>
          <t>Diccionario 5</t>
        </is>
      </c>
      <c r="FD5979" t="inlineStr">
        <is>
          <t>3077 / SFWZ-55|</t>
        </is>
      </c>
      <c r="FL5979" t="inlineStr">
        <is>
          <t>B</t>
        </is>
      </c>
      <c r="FP5979" t="inlineStr">
        <is>
          <t>B</t>
        </is>
      </c>
    </row>
    <row r="5980">
      <c r="FC5980" t="inlineStr">
        <is>
          <t>Diccionario 5</t>
        </is>
      </c>
      <c r="FD5980" t="inlineStr">
        <is>
          <t>3048 / SFVZ-96|</t>
        </is>
      </c>
      <c r="FL5980" t="inlineStr">
        <is>
          <t>B</t>
        </is>
      </c>
      <c r="FP5980" t="inlineStr">
        <is>
          <t>B</t>
        </is>
      </c>
    </row>
    <row r="5981">
      <c r="FC5981" t="inlineStr">
        <is>
          <t>Diccionario 5</t>
        </is>
      </c>
      <c r="FD5981" t="inlineStr">
        <is>
          <t>3041 / SFVZ-49|</t>
        </is>
      </c>
      <c r="FL5981" t="inlineStr">
        <is>
          <t>B</t>
        </is>
      </c>
      <c r="FP5981" t="inlineStr">
        <is>
          <t>B</t>
        </is>
      </c>
    </row>
    <row r="5982">
      <c r="FC5982" t="inlineStr">
        <is>
          <t>Diccionario 5</t>
        </is>
      </c>
      <c r="FD5982" t="inlineStr">
        <is>
          <t>3012 / SFWB-72|</t>
        </is>
      </c>
      <c r="FL5982" t="inlineStr">
        <is>
          <t>B</t>
        </is>
      </c>
      <c r="FP5982" t="inlineStr">
        <is>
          <t>B</t>
        </is>
      </c>
    </row>
    <row r="5983">
      <c r="FC5983" t="inlineStr">
        <is>
          <t>Diccionario 5</t>
        </is>
      </c>
      <c r="FD5983" t="inlineStr">
        <is>
          <t>3107 / SFWZ-85|</t>
        </is>
      </c>
      <c r="FL5983" t="inlineStr">
        <is>
          <t>B</t>
        </is>
      </c>
      <c r="FP5983" t="inlineStr">
        <is>
          <t>B</t>
        </is>
      </c>
    </row>
    <row r="5984">
      <c r="FC5984" t="inlineStr">
        <is>
          <t>Diccionario 5</t>
        </is>
      </c>
      <c r="FD5984" t="inlineStr">
        <is>
          <t>3061 / SFWB-68|</t>
        </is>
      </c>
      <c r="FL5984" t="inlineStr">
        <is>
          <t>B</t>
        </is>
      </c>
      <c r="FP5984" t="inlineStr">
        <is>
          <t>B</t>
        </is>
      </c>
    </row>
    <row r="5985">
      <c r="FC5985" t="inlineStr">
        <is>
          <t>Diccionario 5</t>
        </is>
      </c>
      <c r="FD5985" t="inlineStr">
        <is>
          <t>3062 / SFWZ-10|</t>
        </is>
      </c>
      <c r="FL5985" t="inlineStr">
        <is>
          <t>B</t>
        </is>
      </c>
      <c r="FP5985" t="inlineStr">
        <is>
          <t>B</t>
        </is>
      </c>
    </row>
    <row r="5986">
      <c r="FC5986" t="inlineStr">
        <is>
          <t>Diccionario 5</t>
        </is>
      </c>
      <c r="FD5986" t="inlineStr">
        <is>
          <t>3105 / SFWZ-54|</t>
        </is>
      </c>
      <c r="FL5986" t="inlineStr">
        <is>
          <t>B</t>
        </is>
      </c>
      <c r="FP5986" t="inlineStr">
        <is>
          <t>B</t>
        </is>
      </c>
    </row>
    <row r="5987">
      <c r="FC5987" t="inlineStr">
        <is>
          <t>Diccionario 5</t>
        </is>
      </c>
      <c r="FD5987" t="inlineStr">
        <is>
          <t>3074 / SFWZ-17|</t>
        </is>
      </c>
      <c r="FL5987" t="inlineStr">
        <is>
          <t>B</t>
        </is>
      </c>
      <c r="FP5987" t="inlineStr">
        <is>
          <t>B</t>
        </is>
      </c>
    </row>
    <row r="5988">
      <c r="FC5988" t="inlineStr">
        <is>
          <t>Diccionario 5</t>
        </is>
      </c>
      <c r="FD5988" t="inlineStr">
        <is>
          <t>3104 / SFWZ-52|</t>
        </is>
      </c>
      <c r="FL5988" t="inlineStr">
        <is>
          <t>B</t>
        </is>
      </c>
      <c r="FP5988" t="inlineStr">
        <is>
          <t>B</t>
        </is>
      </c>
    </row>
    <row r="5989">
      <c r="FC5989" t="inlineStr">
        <is>
          <t>Diccionario 5</t>
        </is>
      </c>
      <c r="FD5989" t="inlineStr">
        <is>
          <t>3106 / SFWZ-68|</t>
        </is>
      </c>
      <c r="FL5989" t="inlineStr">
        <is>
          <t>B</t>
        </is>
      </c>
      <c r="FP5989" t="inlineStr">
        <is>
          <t>B</t>
        </is>
      </c>
    </row>
    <row r="5990">
      <c r="FC5990" t="inlineStr">
        <is>
          <t>Diccionario 5</t>
        </is>
      </c>
      <c r="FD5990" t="inlineStr">
        <is>
          <t>VJYJ-35|</t>
        </is>
      </c>
      <c r="FL5990" t="inlineStr">
        <is>
          <t>B</t>
        </is>
      </c>
      <c r="FP5990" t="inlineStr">
        <is>
          <t>B</t>
        </is>
      </c>
    </row>
    <row r="5991">
      <c r="FC5991" t="inlineStr">
        <is>
          <t>Diccionario 5</t>
        </is>
      </c>
      <c r="FD5991" t="inlineStr">
        <is>
          <t>3063 / SFWZ-21|</t>
        </is>
      </c>
      <c r="FL5991" t="inlineStr">
        <is>
          <t>B</t>
        </is>
      </c>
      <c r="FP5991" t="inlineStr">
        <is>
          <t>B</t>
        </is>
      </c>
    </row>
    <row r="5992">
      <c r="FC5992" t="inlineStr">
        <is>
          <t>Diccionario 5</t>
        </is>
      </c>
      <c r="FD5992" t="inlineStr">
        <is>
          <t>3097 / SFWZ-77|</t>
        </is>
      </c>
      <c r="FL5992" t="inlineStr">
        <is>
          <t>B</t>
        </is>
      </c>
      <c r="FP5992" t="inlineStr">
        <is>
          <t>B</t>
        </is>
      </c>
    </row>
    <row r="5993">
      <c r="FC5993" t="inlineStr">
        <is>
          <t>Diccionario 5</t>
        </is>
      </c>
      <c r="FD5993" t="inlineStr">
        <is>
          <t>VJKG-37|</t>
        </is>
      </c>
      <c r="FL5993" t="inlineStr">
        <is>
          <t>B</t>
        </is>
      </c>
      <c r="FP5993" t="inlineStr">
        <is>
          <t>B</t>
        </is>
      </c>
    </row>
    <row r="5994">
      <c r="FC5994" t="inlineStr">
        <is>
          <t>Diccionario 5</t>
        </is>
      </c>
      <c r="FD5994" t="inlineStr">
        <is>
          <t>3048 / SFVZ-96|</t>
        </is>
      </c>
      <c r="FL5994" t="inlineStr">
        <is>
          <t>B</t>
        </is>
      </c>
      <c r="FP5994" t="inlineStr">
        <is>
          <t>B</t>
        </is>
      </c>
    </row>
    <row r="5995">
      <c r="FC5995" t="inlineStr">
        <is>
          <t>Diccionario 5</t>
        </is>
      </c>
      <c r="FD5995" t="inlineStr">
        <is>
          <t>VJKF-46|</t>
        </is>
      </c>
      <c r="FL5995" t="inlineStr">
        <is>
          <t>B</t>
        </is>
      </c>
      <c r="FP5995" t="inlineStr">
        <is>
          <t>B</t>
        </is>
      </c>
    </row>
    <row r="5996">
      <c r="FC5996" t="inlineStr">
        <is>
          <t>Diccionario 5</t>
        </is>
      </c>
      <c r="FD5996" t="inlineStr">
        <is>
          <t>3066 / SFWB-10|</t>
        </is>
      </c>
      <c r="FL5996" t="inlineStr">
        <is>
          <t>B</t>
        </is>
      </c>
      <c r="FP5996" t="inlineStr">
        <is>
          <t>B</t>
        </is>
      </c>
    </row>
    <row r="5997">
      <c r="FC5997" t="inlineStr">
        <is>
          <t>Diccionario 5</t>
        </is>
      </c>
      <c r="FD5997" t="inlineStr">
        <is>
          <t>3030 / SFWZ-14|</t>
        </is>
      </c>
      <c r="FL5997" t="inlineStr">
        <is>
          <t>B</t>
        </is>
      </c>
      <c r="FP5997" t="inlineStr">
        <is>
          <t>B</t>
        </is>
      </c>
    </row>
    <row r="5998">
      <c r="FC5998" t="inlineStr">
        <is>
          <t>Diccionario 5</t>
        </is>
      </c>
      <c r="FD5998" t="inlineStr">
        <is>
          <t>3107 / SFWZ-85|</t>
        </is>
      </c>
      <c r="FL5998" t="inlineStr">
        <is>
          <t>B</t>
        </is>
      </c>
      <c r="FP5998" t="inlineStr">
        <is>
          <t>B</t>
        </is>
      </c>
    </row>
    <row r="5999">
      <c r="FC5999" t="inlineStr">
        <is>
          <t>Diccionario 5</t>
        </is>
      </c>
      <c r="FD5999" t="inlineStr">
        <is>
          <t>3005 / SFWZ-39|</t>
        </is>
      </c>
      <c r="FL5999" t="inlineStr">
        <is>
          <t>B</t>
        </is>
      </c>
      <c r="FP5999" t="inlineStr">
        <is>
          <t>B</t>
        </is>
      </c>
    </row>
    <row r="6000">
      <c r="FC6000" t="inlineStr">
        <is>
          <t>Diccionario 5</t>
        </is>
      </c>
      <c r="FD6000" t="inlineStr">
        <is>
          <t>3078 / SFWZ-69|</t>
        </is>
      </c>
      <c r="FL6000" t="inlineStr">
        <is>
          <t>B</t>
        </is>
      </c>
      <c r="FP6000" t="inlineStr">
        <is>
          <t>B</t>
        </is>
      </c>
    </row>
    <row r="6001">
      <c r="FC6001" t="inlineStr">
        <is>
          <t>Diccionario 5</t>
        </is>
      </c>
      <c r="FD6001" t="inlineStr">
        <is>
          <t>3089 / SFWZ-73|</t>
        </is>
      </c>
      <c r="FL6001" t="inlineStr">
        <is>
          <t>B</t>
        </is>
      </c>
      <c r="FP6001" t="inlineStr">
        <is>
          <t>B</t>
        </is>
      </c>
    </row>
    <row r="6002">
      <c r="FC6002" t="inlineStr">
        <is>
          <t>Diccionario 5</t>
        </is>
      </c>
      <c r="FD6002" t="inlineStr">
        <is>
          <t>3062 / SFWZ-10|</t>
        </is>
      </c>
      <c r="FL6002" t="inlineStr">
        <is>
          <t>B</t>
        </is>
      </c>
      <c r="FP6002" t="inlineStr">
        <is>
          <t>B</t>
        </is>
      </c>
    </row>
    <row r="6003">
      <c r="FC6003" t="inlineStr">
        <is>
          <t>Diccionario 5</t>
        </is>
      </c>
      <c r="FD6003" t="inlineStr">
        <is>
          <t>3105 / SFWZ-54|</t>
        </is>
      </c>
      <c r="FL6003" t="inlineStr">
        <is>
          <t>B</t>
        </is>
      </c>
      <c r="FP6003" t="inlineStr">
        <is>
          <t>B</t>
        </is>
      </c>
    </row>
    <row r="6004">
      <c r="FC6004" t="inlineStr">
        <is>
          <t>Diccionario 5</t>
        </is>
      </c>
      <c r="FD6004" t="inlineStr">
        <is>
          <t>3097 / SFWZ-77|</t>
        </is>
      </c>
      <c r="FL6004" t="inlineStr">
        <is>
          <t>B</t>
        </is>
      </c>
      <c r="FP6004" t="inlineStr">
        <is>
          <t>B</t>
        </is>
      </c>
    </row>
    <row r="6005">
      <c r="FC6005" t="inlineStr">
        <is>
          <t>Diccionario 5</t>
        </is>
      </c>
      <c r="FD6005" t="inlineStr">
        <is>
          <t>VJYJ-35|</t>
        </is>
      </c>
      <c r="FL6005" t="inlineStr">
        <is>
          <t>B</t>
        </is>
      </c>
      <c r="FP6005" t="inlineStr">
        <is>
          <t>B</t>
        </is>
      </c>
    </row>
    <row r="6006">
      <c r="FC6006" t="inlineStr">
        <is>
          <t>Diccionario 5</t>
        </is>
      </c>
      <c r="FD6006" t="inlineStr">
        <is>
          <t>3058 / SFWB-85|</t>
        </is>
      </c>
      <c r="FL6006" t="inlineStr">
        <is>
          <t>B</t>
        </is>
      </c>
      <c r="FP6006" t="inlineStr">
        <is>
          <t>B</t>
        </is>
      </c>
    </row>
    <row r="6007">
      <c r="FC6007" t="inlineStr">
        <is>
          <t>Diccionario 5</t>
        </is>
      </c>
      <c r="FD6007" t="inlineStr">
        <is>
          <t>3104 / SFWZ-52|</t>
        </is>
      </c>
      <c r="FL6007" t="inlineStr">
        <is>
          <t>B</t>
        </is>
      </c>
      <c r="FP6007" t="inlineStr">
        <is>
          <t>B</t>
        </is>
      </c>
    </row>
    <row r="6008">
      <c r="FC6008" t="inlineStr">
        <is>
          <t>Diccionario 5</t>
        </is>
      </c>
      <c r="FD6008" t="inlineStr">
        <is>
          <t>VJKF-44|</t>
        </is>
      </c>
      <c r="FL6008" t="inlineStr">
        <is>
          <t>B</t>
        </is>
      </c>
      <c r="FP6008" t="inlineStr">
        <is>
          <t>B</t>
        </is>
      </c>
    </row>
    <row r="6009">
      <c r="FC6009" t="inlineStr">
        <is>
          <t>Diccionario 5</t>
        </is>
      </c>
      <c r="FD6009" t="inlineStr">
        <is>
          <t>3026 / SFVZ-81|</t>
        </is>
      </c>
      <c r="FL6009" t="inlineStr">
        <is>
          <t>B</t>
        </is>
      </c>
      <c r="FP6009" t="inlineStr">
        <is>
          <t>B</t>
        </is>
      </c>
    </row>
    <row r="6010">
      <c r="FC6010" t="inlineStr">
        <is>
          <t>Diccionario 5</t>
        </is>
      </c>
      <c r="FD6010" t="inlineStr">
        <is>
          <t>3074 / SFWZ-17|</t>
        </is>
      </c>
      <c r="FL6010" t="inlineStr">
        <is>
          <t>B</t>
        </is>
      </c>
      <c r="FP6010" t="inlineStr">
        <is>
          <t>B</t>
        </is>
      </c>
    </row>
    <row r="6011">
      <c r="FC6011" t="inlineStr">
        <is>
          <t>Diccionario 5</t>
        </is>
      </c>
      <c r="FD6011" t="inlineStr">
        <is>
          <t>3037 / SFWB-87|</t>
        </is>
      </c>
      <c r="FL6011" t="inlineStr">
        <is>
          <t>B</t>
        </is>
      </c>
      <c r="FP6011" t="inlineStr">
        <is>
          <t>B</t>
        </is>
      </c>
    </row>
    <row r="6012">
      <c r="FC6012" t="inlineStr">
        <is>
          <t>Diccionario 5</t>
        </is>
      </c>
      <c r="FD6012" t="inlineStr">
        <is>
          <t>3066 / SFWB-10|</t>
        </is>
      </c>
      <c r="FL6012" t="inlineStr">
        <is>
          <t>B</t>
        </is>
      </c>
      <c r="FP6012" t="inlineStr">
        <is>
          <t>B</t>
        </is>
      </c>
    </row>
    <row r="6013">
      <c r="FC6013" t="inlineStr">
        <is>
          <t>Diccionario 5</t>
        </is>
      </c>
      <c r="FD6013" t="inlineStr">
        <is>
          <t>3041 / SFVZ-49|</t>
        </is>
      </c>
      <c r="FL6013" t="inlineStr">
        <is>
          <t>B</t>
        </is>
      </c>
      <c r="FP6013" t="inlineStr">
        <is>
          <t>B</t>
        </is>
      </c>
    </row>
    <row r="6014">
      <c r="FC6014" t="inlineStr">
        <is>
          <t>Diccionario 5</t>
        </is>
      </c>
      <c r="FD6014" t="inlineStr">
        <is>
          <t>3049 / SFWZ-13|</t>
        </is>
      </c>
      <c r="FL6014" t="inlineStr">
        <is>
          <t>B</t>
        </is>
      </c>
      <c r="FP6014" t="inlineStr">
        <is>
          <t>B</t>
        </is>
      </c>
    </row>
    <row r="6015">
      <c r="FC6015" t="inlineStr">
        <is>
          <t>Diccionario 5</t>
        </is>
      </c>
      <c r="FD6015" t="inlineStr">
        <is>
          <t>3005 / SFWZ-39|</t>
        </is>
      </c>
      <c r="FL6015" t="inlineStr">
        <is>
          <t>B</t>
        </is>
      </c>
      <c r="FP6015" t="inlineStr">
        <is>
          <t>B</t>
        </is>
      </c>
    </row>
    <row r="6016">
      <c r="FC6016" t="inlineStr">
        <is>
          <t>Diccionario 5</t>
        </is>
      </c>
      <c r="FD6016" t="inlineStr">
        <is>
          <t>3089 / SFWZ-73|</t>
        </is>
      </c>
      <c r="FL6016" t="inlineStr">
        <is>
          <t>B</t>
        </is>
      </c>
      <c r="FP6016" t="inlineStr">
        <is>
          <t>B</t>
        </is>
      </c>
    </row>
    <row r="6017">
      <c r="FC6017" t="inlineStr">
        <is>
          <t>Diccionario 5</t>
        </is>
      </c>
      <c r="FD6017" t="inlineStr">
        <is>
          <t>3105 / SFWZ-54|</t>
        </is>
      </c>
      <c r="FL6017" t="inlineStr">
        <is>
          <t>B</t>
        </is>
      </c>
      <c r="FP6017" t="inlineStr">
        <is>
          <t>B</t>
        </is>
      </c>
    </row>
    <row r="6018">
      <c r="FC6018" t="inlineStr">
        <is>
          <t>Diccionario 5</t>
        </is>
      </c>
      <c r="FD6018" t="inlineStr">
        <is>
          <t>3021 / SFWZ-36|</t>
        </is>
      </c>
      <c r="FL6018" t="inlineStr">
        <is>
          <t>B</t>
        </is>
      </c>
      <c r="FP6018" t="inlineStr">
        <is>
          <t>B</t>
        </is>
      </c>
    </row>
    <row r="6019">
      <c r="FC6019" t="inlineStr">
        <is>
          <t>Diccionario 5</t>
        </is>
      </c>
      <c r="FD6019" t="inlineStr">
        <is>
          <t>VJYJ-35|</t>
        </is>
      </c>
      <c r="FL6019" t="inlineStr">
        <is>
          <t>B</t>
        </is>
      </c>
      <c r="FP6019" t="inlineStr">
        <is>
          <t>B</t>
        </is>
      </c>
    </row>
    <row r="6020">
      <c r="FC6020" t="inlineStr">
        <is>
          <t>Diccionario 5</t>
        </is>
      </c>
      <c r="FD6020" t="inlineStr">
        <is>
          <t>3104 / SFWZ-52|</t>
        </is>
      </c>
      <c r="FL6020" t="inlineStr">
        <is>
          <t>B</t>
        </is>
      </c>
      <c r="FP6020" t="inlineStr">
        <is>
          <t>B</t>
        </is>
      </c>
    </row>
    <row r="6021">
      <c r="FC6021" t="inlineStr">
        <is>
          <t>Diccionario 5</t>
        </is>
      </c>
      <c r="FD6021" t="inlineStr">
        <is>
          <t>VJKF-46|</t>
        </is>
      </c>
      <c r="FL6021" t="inlineStr">
        <is>
          <t>B</t>
        </is>
      </c>
      <c r="FP6021" t="inlineStr">
        <is>
          <t>B</t>
        </is>
      </c>
    </row>
    <row r="6022">
      <c r="FC6022" t="inlineStr">
        <is>
          <t>Diccionario 5</t>
        </is>
      </c>
      <c r="FD6022" t="inlineStr">
        <is>
          <t>3074 / SFWZ-17|</t>
        </is>
      </c>
      <c r="FL6022" t="inlineStr">
        <is>
          <t>B</t>
        </is>
      </c>
      <c r="FP6022" t="inlineStr">
        <is>
          <t>B</t>
        </is>
      </c>
    </row>
    <row r="6023">
      <c r="FC6023" t="inlineStr">
        <is>
          <t>Diccionario 5</t>
        </is>
      </c>
      <c r="FD6023" t="inlineStr">
        <is>
          <t>3006 / SFVZ-94|</t>
        </is>
      </c>
      <c r="FL6023" t="inlineStr">
        <is>
          <t>B</t>
        </is>
      </c>
      <c r="FP6023" t="inlineStr">
        <is>
          <t>B</t>
        </is>
      </c>
    </row>
    <row r="6024">
      <c r="FC6024" t="inlineStr">
        <is>
          <t>Diccionario 5</t>
        </is>
      </c>
      <c r="FD6024" t="inlineStr">
        <is>
          <t>3004 / SFWZ-31|</t>
        </is>
      </c>
      <c r="FL6024" t="inlineStr">
        <is>
          <t>B</t>
        </is>
      </c>
      <c r="FP6024" t="inlineStr">
        <is>
          <t>B</t>
        </is>
      </c>
    </row>
    <row r="6025">
      <c r="FC6025" t="inlineStr">
        <is>
          <t>Diccionario 5</t>
        </is>
      </c>
      <c r="FD6025" t="inlineStr">
        <is>
          <t>3041 / SFVZ-49|</t>
        </is>
      </c>
      <c r="FL6025" t="inlineStr">
        <is>
          <t>B</t>
        </is>
      </c>
      <c r="FP6025" t="inlineStr">
        <is>
          <t>B</t>
        </is>
      </c>
    </row>
    <row r="6026">
      <c r="FC6026" t="inlineStr">
        <is>
          <t>Diccionario 5</t>
        </is>
      </c>
      <c r="FD6026" t="inlineStr">
        <is>
          <t>3097 / SFWZ-77|</t>
        </is>
      </c>
      <c r="FL6026" t="inlineStr">
        <is>
          <t>B</t>
        </is>
      </c>
      <c r="FP6026" t="inlineStr">
        <is>
          <t>B</t>
        </is>
      </c>
    </row>
    <row r="6027">
      <c r="FC6027" t="inlineStr">
        <is>
          <t>Diccionario 5</t>
        </is>
      </c>
      <c r="FD6027" t="inlineStr">
        <is>
          <t>3065 / SFVZ-40|</t>
        </is>
      </c>
      <c r="FL6027" t="inlineStr">
        <is>
          <t>B</t>
        </is>
      </c>
      <c r="FP6027" t="inlineStr">
        <is>
          <t>B</t>
        </is>
      </c>
    </row>
    <row r="6028">
      <c r="FC6028" t="inlineStr">
        <is>
          <t>Diccionario 5</t>
        </is>
      </c>
      <c r="FD6028" t="inlineStr">
        <is>
          <t>VJKF-44|</t>
        </is>
      </c>
      <c r="FL6028" t="inlineStr">
        <is>
          <t>B</t>
        </is>
      </c>
      <c r="FP6028" t="inlineStr">
        <is>
          <t>B</t>
        </is>
      </c>
    </row>
    <row r="6029">
      <c r="FC6029" t="inlineStr">
        <is>
          <t>Diccionario 5</t>
        </is>
      </c>
      <c r="FD6029" t="inlineStr">
        <is>
          <t>3037 / SFWB-87|</t>
        </is>
      </c>
      <c r="FL6029" t="inlineStr">
        <is>
          <t>B</t>
        </is>
      </c>
      <c r="FP6029" t="inlineStr">
        <is>
          <t>B</t>
        </is>
      </c>
    </row>
    <row r="6030">
      <c r="FC6030" t="inlineStr">
        <is>
          <t>Diccionario 5</t>
        </is>
      </c>
      <c r="FD6030" t="inlineStr">
        <is>
          <t>3088 / SFWZ-81|</t>
        </is>
      </c>
      <c r="FL6030" t="inlineStr">
        <is>
          <t>B</t>
        </is>
      </c>
      <c r="FP6030" t="inlineStr">
        <is>
          <t>B</t>
        </is>
      </c>
    </row>
    <row r="6031">
      <c r="FC6031" t="inlineStr">
        <is>
          <t>Diccionario 5</t>
        </is>
      </c>
      <c r="FD6031" t="inlineStr">
        <is>
          <t>3089 / SFWZ-73|</t>
        </is>
      </c>
      <c r="FL6031" t="inlineStr">
        <is>
          <t>B</t>
        </is>
      </c>
      <c r="FP6031" t="inlineStr">
        <is>
          <t>B</t>
        </is>
      </c>
    </row>
    <row r="6032">
      <c r="FC6032" t="inlineStr">
        <is>
          <t>Diccionario 5</t>
        </is>
      </c>
      <c r="FD6032" t="inlineStr">
        <is>
          <t>3072 / SFWB-89|</t>
        </is>
      </c>
      <c r="FL6032" t="inlineStr">
        <is>
          <t>B</t>
        </is>
      </c>
      <c r="FP6032" t="inlineStr">
        <is>
          <t>B</t>
        </is>
      </c>
    </row>
    <row r="6033">
      <c r="FC6033" t="inlineStr">
        <is>
          <t>Diccionario 5</t>
        </is>
      </c>
      <c r="FD6033" t="inlineStr">
        <is>
          <t>3054 / SFWB-24|</t>
        </is>
      </c>
      <c r="FL6033" t="inlineStr">
        <is>
          <t>B</t>
        </is>
      </c>
      <c r="FP6033" t="inlineStr">
        <is>
          <t>B</t>
        </is>
      </c>
    </row>
    <row r="6034">
      <c r="FC6034" t="inlineStr">
        <is>
          <t>Diccionario 5</t>
        </is>
      </c>
      <c r="FD6034" t="inlineStr">
        <is>
          <t>3019 / SFWB-44|</t>
        </is>
      </c>
      <c r="FL6034" t="inlineStr">
        <is>
          <t>B</t>
        </is>
      </c>
      <c r="FP6034" t="inlineStr">
        <is>
          <t>B</t>
        </is>
      </c>
    </row>
    <row r="6035">
      <c r="FC6035" t="inlineStr">
        <is>
          <t>Diccionario 5</t>
        </is>
      </c>
      <c r="FD6035" t="inlineStr">
        <is>
          <t>3064 / SFWZ-61|</t>
        </is>
      </c>
      <c r="FL6035" t="inlineStr">
        <is>
          <t>B</t>
        </is>
      </c>
      <c r="FP6035" t="inlineStr">
        <is>
          <t>B</t>
        </is>
      </c>
    </row>
    <row r="6036">
      <c r="FC6036" t="inlineStr">
        <is>
          <t>Diccionario 5</t>
        </is>
      </c>
      <c r="FD6036" t="inlineStr">
        <is>
          <t>3063 / SFWZ-21|</t>
        </is>
      </c>
      <c r="FL6036" t="inlineStr">
        <is>
          <t>B</t>
        </is>
      </c>
      <c r="FP6036" t="inlineStr">
        <is>
          <t>B</t>
        </is>
      </c>
    </row>
    <row r="6037">
      <c r="FC6037" t="inlineStr">
        <is>
          <t>Diccionario 5</t>
        </is>
      </c>
      <c r="FD6037" t="inlineStr">
        <is>
          <t>VJKF-46|</t>
        </is>
      </c>
      <c r="FL6037" t="inlineStr">
        <is>
          <t>B</t>
        </is>
      </c>
      <c r="FP6037" t="inlineStr">
        <is>
          <t>B</t>
        </is>
      </c>
    </row>
    <row r="6038">
      <c r="FC6038" t="inlineStr">
        <is>
          <t>Diccionario 5</t>
        </is>
      </c>
      <c r="FD6038" t="inlineStr">
        <is>
          <t>3006 / SFVZ-94|</t>
        </is>
      </c>
      <c r="FL6038" t="inlineStr">
        <is>
          <t>B</t>
        </is>
      </c>
      <c r="FP6038" t="inlineStr">
        <is>
          <t>B</t>
        </is>
      </c>
    </row>
    <row r="6039">
      <c r="FC6039" t="inlineStr">
        <is>
          <t>Diccionario 5</t>
        </is>
      </c>
      <c r="FD6039" t="inlineStr">
        <is>
          <t>3021 / SFWZ-36|</t>
        </is>
      </c>
      <c r="FL6039" t="inlineStr">
        <is>
          <t>B</t>
        </is>
      </c>
      <c r="FP6039" t="inlineStr">
        <is>
          <t>B</t>
        </is>
      </c>
    </row>
    <row r="6040">
      <c r="FC6040" t="inlineStr">
        <is>
          <t>Diccionario 5</t>
        </is>
      </c>
      <c r="FD6040" t="inlineStr">
        <is>
          <t>3012 / SFWB-72|</t>
        </is>
      </c>
      <c r="FL6040" t="inlineStr">
        <is>
          <t>B</t>
        </is>
      </c>
      <c r="FP6040" t="inlineStr">
        <is>
          <t>B</t>
        </is>
      </c>
    </row>
    <row r="6041">
      <c r="FC6041" t="inlineStr">
        <is>
          <t>Diccionario 5</t>
        </is>
      </c>
      <c r="FD6041" t="inlineStr">
        <is>
          <t>3074 / SFWZ-17|</t>
        </is>
      </c>
      <c r="FL6041" t="inlineStr">
        <is>
          <t>B</t>
        </is>
      </c>
      <c r="FP6041" t="inlineStr">
        <is>
          <t>B</t>
        </is>
      </c>
    </row>
    <row r="6042">
      <c r="FC6042" t="inlineStr">
        <is>
          <t>Diccionario 5</t>
        </is>
      </c>
      <c r="FD6042" t="inlineStr">
        <is>
          <t>3044 / SFVZ-67|</t>
        </is>
      </c>
      <c r="FL6042" t="inlineStr">
        <is>
          <t>B</t>
        </is>
      </c>
      <c r="FP6042" t="inlineStr">
        <is>
          <t>B</t>
        </is>
      </c>
    </row>
    <row r="6043">
      <c r="FC6043" t="inlineStr">
        <is>
          <t>Diccionario 5</t>
        </is>
      </c>
      <c r="FD6043" t="inlineStr">
        <is>
          <t>3097 / SFWZ-77|</t>
        </is>
      </c>
      <c r="FL6043" t="inlineStr">
        <is>
          <t>B</t>
        </is>
      </c>
      <c r="FP6043" t="inlineStr">
        <is>
          <t>B</t>
        </is>
      </c>
    </row>
    <row r="6044">
      <c r="FC6044" t="inlineStr">
        <is>
          <t>Diccionario 5</t>
        </is>
      </c>
      <c r="FD6044" t="inlineStr">
        <is>
          <t>3036 / SFWB-77|</t>
        </is>
      </c>
      <c r="FL6044" t="inlineStr">
        <is>
          <t>B</t>
        </is>
      </c>
      <c r="FP6044" t="inlineStr">
        <is>
          <t>B</t>
        </is>
      </c>
    </row>
    <row r="6045">
      <c r="FC6045" t="inlineStr">
        <is>
          <t>Diccionario 5</t>
        </is>
      </c>
      <c r="FD6045" t="inlineStr">
        <is>
          <t>3104 / SFWZ-52|</t>
        </is>
      </c>
      <c r="FL6045" t="inlineStr">
        <is>
          <t>B</t>
        </is>
      </c>
      <c r="FP6045" t="inlineStr">
        <is>
          <t>B</t>
        </is>
      </c>
    </row>
    <row r="6046">
      <c r="FC6046" t="inlineStr">
        <is>
          <t>Diccionario 5</t>
        </is>
      </c>
      <c r="FD6046" t="inlineStr">
        <is>
          <t>3004 / SFWZ-31|</t>
        </is>
      </c>
      <c r="FL6046" t="inlineStr">
        <is>
          <t>B</t>
        </is>
      </c>
      <c r="FP6046" t="inlineStr">
        <is>
          <t>B</t>
        </is>
      </c>
    </row>
    <row r="6047">
      <c r="FC6047" t="inlineStr">
        <is>
          <t>Diccionario 5</t>
        </is>
      </c>
      <c r="FD6047" t="inlineStr">
        <is>
          <t>3032 / SFWZ-34|</t>
        </is>
      </c>
      <c r="FL6047" t="inlineStr">
        <is>
          <t>B</t>
        </is>
      </c>
      <c r="FP6047" t="inlineStr">
        <is>
          <t>B</t>
        </is>
      </c>
    </row>
    <row r="6048">
      <c r="FC6048" t="inlineStr">
        <is>
          <t>Diccionario 5</t>
        </is>
      </c>
      <c r="FD6048" t="inlineStr">
        <is>
          <t>VJKF-44|</t>
        </is>
      </c>
      <c r="FL6048" t="inlineStr">
        <is>
          <t>B</t>
        </is>
      </c>
      <c r="FP6048" t="inlineStr">
        <is>
          <t>B</t>
        </is>
      </c>
    </row>
    <row r="6049">
      <c r="FC6049" t="inlineStr">
        <is>
          <t>Diccionario 5</t>
        </is>
      </c>
      <c r="FD6049" t="inlineStr">
        <is>
          <t>VJYJ-35|</t>
        </is>
      </c>
      <c r="FL6049" t="inlineStr">
        <is>
          <t>B</t>
        </is>
      </c>
      <c r="FP6049" t="inlineStr">
        <is>
          <t>B</t>
        </is>
      </c>
    </row>
    <row r="6050">
      <c r="FC6050" t="inlineStr">
        <is>
          <t>Diccionario 5</t>
        </is>
      </c>
      <c r="FD6050" t="inlineStr">
        <is>
          <t>3044 / SFVZ-67|</t>
        </is>
      </c>
      <c r="FL6050" t="inlineStr">
        <is>
          <t>B</t>
        </is>
      </c>
      <c r="FP6050" t="inlineStr">
        <is>
          <t>B</t>
        </is>
      </c>
    </row>
    <row r="6051">
      <c r="FC6051" t="inlineStr">
        <is>
          <t>Diccionario 5</t>
        </is>
      </c>
      <c r="FD6051" t="inlineStr">
        <is>
          <t>3030 / SFWZ-14|</t>
        </is>
      </c>
      <c r="FL6051" t="inlineStr">
        <is>
          <t>B</t>
        </is>
      </c>
      <c r="FP6051" t="inlineStr">
        <is>
          <t>B</t>
        </is>
      </c>
    </row>
    <row r="6052">
      <c r="FC6052" t="inlineStr">
        <is>
          <t>Diccionario 5</t>
        </is>
      </c>
      <c r="FD6052" t="inlineStr">
        <is>
          <t>3063 / SFWZ-21|</t>
        </is>
      </c>
      <c r="FL6052" t="inlineStr">
        <is>
          <t>B</t>
        </is>
      </c>
      <c r="FP6052" t="inlineStr">
        <is>
          <t>B</t>
        </is>
      </c>
    </row>
    <row r="6053">
      <c r="FC6053" t="inlineStr">
        <is>
          <t>Diccionario 5</t>
        </is>
      </c>
      <c r="FD6053" t="inlineStr">
        <is>
          <t>3104 / SFWZ-52|</t>
        </is>
      </c>
      <c r="FL6053" t="inlineStr">
        <is>
          <t>B</t>
        </is>
      </c>
      <c r="FP6053" t="inlineStr">
        <is>
          <t>B</t>
        </is>
      </c>
    </row>
    <row r="6054">
      <c r="FC6054" t="inlineStr">
        <is>
          <t>Diccionario 5</t>
        </is>
      </c>
      <c r="FD6054" t="inlineStr">
        <is>
          <t>3019 / SFWB-44|</t>
        </is>
      </c>
      <c r="FL6054" t="inlineStr">
        <is>
          <t>B</t>
        </is>
      </c>
      <c r="FP6054" t="inlineStr">
        <is>
          <t>B</t>
        </is>
      </c>
    </row>
    <row r="6055">
      <c r="FC6055" t="inlineStr">
        <is>
          <t>Diccionario 5</t>
        </is>
      </c>
      <c r="FD6055" t="inlineStr">
        <is>
          <t>3036 / SFWB-77|</t>
        </is>
      </c>
      <c r="FL6055" t="inlineStr">
        <is>
          <t>B</t>
        </is>
      </c>
      <c r="FP6055" t="inlineStr">
        <is>
          <t>B</t>
        </is>
      </c>
    </row>
    <row r="6056">
      <c r="FC6056" t="inlineStr">
        <is>
          <t>Diccionario 5</t>
        </is>
      </c>
      <c r="FD6056" s="8" t="inlineStr">
        <is>
          <t>3062 / SFWZ-10|</t>
        </is>
      </c>
      <c r="FL6056" t="inlineStr">
        <is>
          <t>B</t>
        </is>
      </c>
      <c r="FP6056" t="inlineStr">
        <is>
          <t>B</t>
        </is>
      </c>
    </row>
    <row r="6057">
      <c r="FC6057" t="inlineStr">
        <is>
          <t>Diccionario 6</t>
        </is>
      </c>
      <c r="FD6057" s="26" t="inlineStr">
        <is>
          <t>LL-BP1000</t>
        </is>
      </c>
      <c r="FL6057" s="26" t="inlineStr">
        <is>
          <t>B2PAL</t>
        </is>
      </c>
      <c r="FP6057" s="26" t="inlineStr">
        <is>
          <t>B2PAL</t>
        </is>
      </c>
    </row>
    <row r="6058">
      <c r="FC6058" t="inlineStr">
        <is>
          <t>Diccionario 6</t>
        </is>
      </c>
      <c r="FD6058" s="26" t="inlineStr">
        <is>
          <t>LL-BP1002</t>
        </is>
      </c>
      <c r="FL6058" s="26" t="inlineStr">
        <is>
          <t>B2PAL</t>
        </is>
      </c>
      <c r="FP6058" s="26" t="inlineStr">
        <is>
          <t>B2PAL</t>
        </is>
      </c>
    </row>
    <row r="6059">
      <c r="FC6059" t="inlineStr">
        <is>
          <t>Diccionario 6</t>
        </is>
      </c>
      <c r="FD6059" s="26" t="inlineStr">
        <is>
          <t>LL-BP1003</t>
        </is>
      </c>
      <c r="FL6059" s="26" t="inlineStr">
        <is>
          <t>B2PAL</t>
        </is>
      </c>
      <c r="FP6059" s="26" t="inlineStr">
        <is>
          <t>B2PAL</t>
        </is>
      </c>
    </row>
    <row r="6060">
      <c r="FC6060" t="inlineStr">
        <is>
          <t>Diccionario 6</t>
        </is>
      </c>
      <c r="FD6060" s="26" t="inlineStr">
        <is>
          <t>SJ-BP1004</t>
        </is>
      </c>
      <c r="FL6060" s="26" t="inlineStr">
        <is>
          <t>B2PAL</t>
        </is>
      </c>
      <c r="FP6060" s="26" t="inlineStr">
        <is>
          <t>B2PAL</t>
        </is>
      </c>
    </row>
    <row r="6061">
      <c r="FC6061" t="inlineStr">
        <is>
          <t>Diccionario 6</t>
        </is>
      </c>
      <c r="FD6061" s="26" t="inlineStr">
        <is>
          <t>SJ-BP1005</t>
        </is>
      </c>
      <c r="FL6061" s="26" t="inlineStr">
        <is>
          <t>B2PAL</t>
        </is>
      </c>
      <c r="FP6061" s="26" t="inlineStr">
        <is>
          <t>B2PAL</t>
        </is>
      </c>
    </row>
    <row r="6062">
      <c r="FC6062" t="inlineStr">
        <is>
          <t>Diccionario 6</t>
        </is>
      </c>
      <c r="FD6062" s="26" t="inlineStr">
        <is>
          <t>SJ-BP1006</t>
        </is>
      </c>
      <c r="FL6062" s="26" t="inlineStr">
        <is>
          <t>B2PAL</t>
        </is>
      </c>
      <c r="FP6062" s="26" t="inlineStr">
        <is>
          <t>B2PAL</t>
        </is>
      </c>
    </row>
    <row r="6063">
      <c r="FC6063" t="inlineStr">
        <is>
          <t>Diccionario 6</t>
        </is>
      </c>
      <c r="FD6063" s="26" t="inlineStr">
        <is>
          <t>LL-BP1007</t>
        </is>
      </c>
      <c r="FL6063" s="26" t="inlineStr">
        <is>
          <t>B2PAL</t>
        </is>
      </c>
      <c r="FP6063" s="26" t="inlineStr">
        <is>
          <t>B2PAL</t>
        </is>
      </c>
    </row>
    <row r="6064">
      <c r="FC6064" t="inlineStr">
        <is>
          <t>Diccionario 6</t>
        </is>
      </c>
      <c r="FD6064" s="26" t="inlineStr">
        <is>
          <t>LL-BP1008</t>
        </is>
      </c>
      <c r="FL6064" s="26" t="inlineStr">
        <is>
          <t>B2PAL</t>
        </is>
      </c>
      <c r="FP6064" s="26" t="inlineStr">
        <is>
          <t>B2PAL</t>
        </is>
      </c>
    </row>
    <row r="6065">
      <c r="FC6065" t="inlineStr">
        <is>
          <t>Diccionario 6</t>
        </is>
      </c>
      <c r="FD6065" s="26" t="inlineStr">
        <is>
          <t>LL-BP1009</t>
        </is>
      </c>
      <c r="FL6065" s="26" t="inlineStr">
        <is>
          <t>B2PAL</t>
        </is>
      </c>
      <c r="FP6065" s="26" t="inlineStr">
        <is>
          <t>B2PAL</t>
        </is>
      </c>
    </row>
    <row r="6066">
      <c r="FC6066" t="inlineStr">
        <is>
          <t>Diccionario 6</t>
        </is>
      </c>
      <c r="FD6066" s="26" t="inlineStr">
        <is>
          <t>LL-BP1010</t>
        </is>
      </c>
      <c r="FL6066" s="26" t="inlineStr">
        <is>
          <t>B2PAL</t>
        </is>
      </c>
      <c r="FP6066" s="26" t="inlineStr">
        <is>
          <t>B2PAL</t>
        </is>
      </c>
    </row>
    <row r="6067">
      <c r="FC6067" t="inlineStr">
        <is>
          <t>Diccionario 6</t>
        </is>
      </c>
      <c r="FD6067" s="26" t="inlineStr">
        <is>
          <t>LL-BP1011</t>
        </is>
      </c>
      <c r="FL6067" s="26" t="inlineStr">
        <is>
          <t>B2PAL</t>
        </is>
      </c>
      <c r="FP6067" s="26" t="inlineStr">
        <is>
          <t>B2PAL</t>
        </is>
      </c>
    </row>
    <row r="6068">
      <c r="FC6068" t="inlineStr">
        <is>
          <t>Diccionario 6</t>
        </is>
      </c>
      <c r="FD6068" s="26" t="inlineStr">
        <is>
          <t>SJ-BP1012</t>
        </is>
      </c>
      <c r="FL6068" s="26" t="inlineStr">
        <is>
          <t>B2PAL</t>
        </is>
      </c>
      <c r="FP6068" s="26" t="inlineStr">
        <is>
          <t>B2PAL</t>
        </is>
      </c>
    </row>
    <row r="6069">
      <c r="FC6069" t="inlineStr">
        <is>
          <t>Diccionario 6</t>
        </is>
      </c>
      <c r="FD6069" s="26" t="inlineStr">
        <is>
          <t>LL-BP1013</t>
        </is>
      </c>
      <c r="FL6069" s="26" t="inlineStr">
        <is>
          <t>B2PAL</t>
        </is>
      </c>
      <c r="FP6069" s="26" t="inlineStr">
        <is>
          <t>B2PAL</t>
        </is>
      </c>
    </row>
    <row r="6070">
      <c r="FC6070" t="inlineStr">
        <is>
          <t>Diccionario 6</t>
        </is>
      </c>
      <c r="FD6070" s="26" t="inlineStr">
        <is>
          <t>LL-BP1014</t>
        </is>
      </c>
      <c r="FL6070" s="26" t="inlineStr">
        <is>
          <t>B2PAL</t>
        </is>
      </c>
      <c r="FP6070" s="26" t="inlineStr">
        <is>
          <t>B2PAL</t>
        </is>
      </c>
    </row>
    <row r="6071">
      <c r="FC6071" t="inlineStr">
        <is>
          <t>Diccionario 6</t>
        </is>
      </c>
      <c r="FD6071" s="26" t="inlineStr">
        <is>
          <t>LL-BP1015</t>
        </is>
      </c>
      <c r="FL6071" s="26" t="inlineStr">
        <is>
          <t>B2PAL</t>
        </is>
      </c>
      <c r="FP6071" s="26" t="inlineStr">
        <is>
          <t>B2PAL</t>
        </is>
      </c>
    </row>
    <row r="6072">
      <c r="FC6072" t="inlineStr">
        <is>
          <t>Diccionario 6</t>
        </is>
      </c>
      <c r="FD6072" s="26" t="inlineStr">
        <is>
          <t>LL-BP1016</t>
        </is>
      </c>
      <c r="FL6072" s="26" t="inlineStr">
        <is>
          <t>B2PAL</t>
        </is>
      </c>
      <c r="FP6072" s="26" t="inlineStr">
        <is>
          <t>B2PAL</t>
        </is>
      </c>
    </row>
    <row r="6073">
      <c r="FC6073" t="inlineStr">
        <is>
          <t>Diccionario 6</t>
        </is>
      </c>
      <c r="FD6073" s="26" t="inlineStr">
        <is>
          <t>LL-BP1017</t>
        </is>
      </c>
      <c r="FL6073" s="26" t="inlineStr">
        <is>
          <t>B2PAL</t>
        </is>
      </c>
      <c r="FP6073" s="26" t="inlineStr">
        <is>
          <t>B2PAL</t>
        </is>
      </c>
    </row>
    <row r="6074">
      <c r="FC6074" t="inlineStr">
        <is>
          <t>Diccionario 6</t>
        </is>
      </c>
      <c r="FD6074" s="26" t="inlineStr">
        <is>
          <t>LL-BP1018</t>
        </is>
      </c>
      <c r="FL6074" s="26" t="inlineStr">
        <is>
          <t>B2PAL</t>
        </is>
      </c>
      <c r="FP6074" s="26" t="inlineStr">
        <is>
          <t>B2PAL</t>
        </is>
      </c>
    </row>
    <row r="6075">
      <c r="FC6075" t="inlineStr">
        <is>
          <t>Diccionario 6</t>
        </is>
      </c>
      <c r="FD6075" s="26" t="inlineStr">
        <is>
          <t>LL-BP1019</t>
        </is>
      </c>
      <c r="FL6075" s="26" t="inlineStr">
        <is>
          <t>B2PAL</t>
        </is>
      </c>
      <c r="FP6075" s="26" t="inlineStr">
        <is>
          <t>B2PAL</t>
        </is>
      </c>
    </row>
    <row r="6076">
      <c r="FC6076" t="inlineStr">
        <is>
          <t>Diccionario 6</t>
        </is>
      </c>
      <c r="FD6076" s="26" t="inlineStr">
        <is>
          <t>LL-BP1020</t>
        </is>
      </c>
      <c r="FL6076" s="26" t="inlineStr">
        <is>
          <t>B2PAL</t>
        </is>
      </c>
      <c r="FP6076" s="26" t="inlineStr">
        <is>
          <t>B2PAL</t>
        </is>
      </c>
    </row>
    <row r="6077">
      <c r="FC6077" t="inlineStr">
        <is>
          <t>Diccionario 6</t>
        </is>
      </c>
      <c r="FD6077" s="26" t="inlineStr">
        <is>
          <t>LL-BP1021</t>
        </is>
      </c>
      <c r="FL6077" s="26" t="inlineStr">
        <is>
          <t>B2PAL</t>
        </is>
      </c>
      <c r="FP6077" s="26" t="inlineStr">
        <is>
          <t>B2PAL</t>
        </is>
      </c>
    </row>
    <row r="6078">
      <c r="FC6078" t="inlineStr">
        <is>
          <t>Diccionario 6</t>
        </is>
      </c>
      <c r="FD6078" s="26" t="inlineStr">
        <is>
          <t>LL-BP1022</t>
        </is>
      </c>
      <c r="FL6078" s="26" t="inlineStr">
        <is>
          <t>B2PAL</t>
        </is>
      </c>
      <c r="FP6078" s="26" t="inlineStr">
        <is>
          <t>B2PAL</t>
        </is>
      </c>
    </row>
    <row r="6079">
      <c r="FC6079" t="inlineStr">
        <is>
          <t>Diccionario 6</t>
        </is>
      </c>
      <c r="FD6079" s="26" t="inlineStr">
        <is>
          <t>LL-BP1023</t>
        </is>
      </c>
      <c r="FL6079" s="26" t="inlineStr">
        <is>
          <t>B2PAL</t>
        </is>
      </c>
      <c r="FP6079" s="26" t="inlineStr">
        <is>
          <t>B2PAL</t>
        </is>
      </c>
    </row>
    <row r="6080">
      <c r="FC6080" t="inlineStr">
        <is>
          <t>Diccionario 6</t>
        </is>
      </c>
      <c r="FD6080" s="26" t="inlineStr">
        <is>
          <t>LL-BP1024</t>
        </is>
      </c>
      <c r="FL6080" s="26" t="inlineStr">
        <is>
          <t>B2PAL</t>
        </is>
      </c>
      <c r="FP6080" s="26" t="inlineStr">
        <is>
          <t>B2PAL</t>
        </is>
      </c>
    </row>
    <row r="6081">
      <c r="FC6081" t="inlineStr">
        <is>
          <t>Diccionario 6</t>
        </is>
      </c>
      <c r="FD6081" s="26" t="inlineStr">
        <is>
          <t>LL-BP1025</t>
        </is>
      </c>
      <c r="FL6081" s="26" t="inlineStr">
        <is>
          <t>B2PAL</t>
        </is>
      </c>
      <c r="FP6081" s="26" t="inlineStr">
        <is>
          <t>B2PAL</t>
        </is>
      </c>
    </row>
    <row r="6082">
      <c r="FC6082" t="inlineStr">
        <is>
          <t>Diccionario 6</t>
        </is>
      </c>
      <c r="FD6082" s="26" t="inlineStr">
        <is>
          <t>LL-BP1026</t>
        </is>
      </c>
      <c r="FL6082" s="26" t="inlineStr">
        <is>
          <t>B2PAL</t>
        </is>
      </c>
      <c r="FP6082" s="26" t="inlineStr">
        <is>
          <t>B2PAL</t>
        </is>
      </c>
    </row>
    <row r="6083">
      <c r="FC6083" t="inlineStr">
        <is>
          <t>Diccionario 6</t>
        </is>
      </c>
      <c r="FD6083" s="26" t="inlineStr">
        <is>
          <t>LL-BP1027</t>
        </is>
      </c>
      <c r="FL6083" s="26" t="inlineStr">
        <is>
          <t>B2PAL</t>
        </is>
      </c>
      <c r="FP6083" s="26" t="inlineStr">
        <is>
          <t>B2PAL</t>
        </is>
      </c>
    </row>
    <row r="6084">
      <c r="FC6084" t="inlineStr">
        <is>
          <t>Diccionario 6</t>
        </is>
      </c>
      <c r="FD6084" s="26" t="inlineStr">
        <is>
          <t>SJ-BP1028</t>
        </is>
      </c>
      <c r="FL6084" s="26" t="inlineStr">
        <is>
          <t>B2PAL</t>
        </is>
      </c>
      <c r="FP6084" s="26" t="inlineStr">
        <is>
          <t>B2PAL</t>
        </is>
      </c>
    </row>
    <row r="6085">
      <c r="FC6085" t="inlineStr">
        <is>
          <t>Diccionario 6</t>
        </is>
      </c>
      <c r="FD6085" s="26" t="inlineStr">
        <is>
          <t>LL-BP1029</t>
        </is>
      </c>
      <c r="FL6085" s="26" t="inlineStr">
        <is>
          <t>B2PAL</t>
        </is>
      </c>
      <c r="FP6085" s="26" t="inlineStr">
        <is>
          <t>B2PAL</t>
        </is>
      </c>
    </row>
    <row r="6086">
      <c r="FC6086" t="inlineStr">
        <is>
          <t>Diccionario 6</t>
        </is>
      </c>
      <c r="FD6086" s="26" t="inlineStr">
        <is>
          <t>LL-BP1030</t>
        </is>
      </c>
      <c r="FL6086" s="26" t="inlineStr">
        <is>
          <t>B2PAL</t>
        </is>
      </c>
      <c r="FP6086" s="26" t="inlineStr">
        <is>
          <t>B2PAL</t>
        </is>
      </c>
    </row>
    <row r="6087">
      <c r="FC6087" t="inlineStr">
        <is>
          <t>Diccionario 6</t>
        </is>
      </c>
      <c r="FD6087" s="26" t="inlineStr">
        <is>
          <t>LL-BP1031</t>
        </is>
      </c>
      <c r="FL6087" s="26" t="inlineStr">
        <is>
          <t>B2PAL</t>
        </is>
      </c>
      <c r="FP6087" s="26" t="inlineStr">
        <is>
          <t>B2PAL</t>
        </is>
      </c>
    </row>
    <row r="6088">
      <c r="FC6088" t="inlineStr">
        <is>
          <t>Diccionario 6</t>
        </is>
      </c>
      <c r="FD6088" s="26" t="inlineStr">
        <is>
          <t>LL-BP1032</t>
        </is>
      </c>
      <c r="FL6088" s="26" t="inlineStr">
        <is>
          <t>B2PAL</t>
        </is>
      </c>
      <c r="FP6088" s="26" t="inlineStr">
        <is>
          <t>B2PAL</t>
        </is>
      </c>
    </row>
    <row r="6089">
      <c r="FC6089" t="inlineStr">
        <is>
          <t>Diccionario 6</t>
        </is>
      </c>
      <c r="FD6089" s="26" t="inlineStr">
        <is>
          <t>LL-BP1033</t>
        </is>
      </c>
      <c r="FL6089" s="26" t="inlineStr">
        <is>
          <t>B2PAL</t>
        </is>
      </c>
      <c r="FP6089" s="26" t="inlineStr">
        <is>
          <t>B2PAL</t>
        </is>
      </c>
    </row>
    <row r="6090">
      <c r="FC6090" t="inlineStr">
        <is>
          <t>Diccionario 6</t>
        </is>
      </c>
      <c r="FD6090" s="26" t="inlineStr">
        <is>
          <t>LL-BP1034</t>
        </is>
      </c>
      <c r="FL6090" s="26" t="inlineStr">
        <is>
          <t>B2PAL</t>
        </is>
      </c>
      <c r="FP6090" s="26" t="inlineStr">
        <is>
          <t>B2PAL</t>
        </is>
      </c>
    </row>
    <row r="6091">
      <c r="FC6091" t="inlineStr">
        <is>
          <t>Diccionario 6</t>
        </is>
      </c>
      <c r="FD6091" s="26" t="inlineStr">
        <is>
          <t>LL-BP1035</t>
        </is>
      </c>
      <c r="FL6091" s="26" t="inlineStr">
        <is>
          <t>B2PAL</t>
        </is>
      </c>
      <c r="FP6091" s="26" t="inlineStr">
        <is>
          <t>B2PAL</t>
        </is>
      </c>
    </row>
    <row r="6092">
      <c r="FC6092" t="inlineStr">
        <is>
          <t>Diccionario 6</t>
        </is>
      </c>
      <c r="FD6092" s="26" t="inlineStr">
        <is>
          <t>LL-BP1036</t>
        </is>
      </c>
      <c r="FL6092" s="26" t="inlineStr">
        <is>
          <t>B2PAL</t>
        </is>
      </c>
      <c r="FP6092" s="26" t="inlineStr">
        <is>
          <t>B2PAL</t>
        </is>
      </c>
    </row>
    <row r="6093">
      <c r="FC6093" t="inlineStr">
        <is>
          <t>Diccionario 6</t>
        </is>
      </c>
      <c r="FD6093" s="26" t="inlineStr">
        <is>
          <t>LL-BP1037</t>
        </is>
      </c>
      <c r="FL6093" s="26" t="inlineStr">
        <is>
          <t>B2PAL</t>
        </is>
      </c>
      <c r="FP6093" s="26" t="inlineStr">
        <is>
          <t>B2PAL</t>
        </is>
      </c>
    </row>
    <row r="6094">
      <c r="FC6094" t="inlineStr">
        <is>
          <t>Diccionario 6</t>
        </is>
      </c>
      <c r="FD6094" s="26" t="inlineStr">
        <is>
          <t>LL-BP1038</t>
        </is>
      </c>
      <c r="FL6094" s="26" t="inlineStr">
        <is>
          <t>B2PAL</t>
        </is>
      </c>
      <c r="FP6094" s="26" t="inlineStr">
        <is>
          <t>B2PAL</t>
        </is>
      </c>
    </row>
    <row r="6095">
      <c r="FC6095" t="inlineStr">
        <is>
          <t>Diccionario 6</t>
        </is>
      </c>
      <c r="FD6095" s="26" t="inlineStr">
        <is>
          <t>LL-BP1039</t>
        </is>
      </c>
      <c r="FL6095" s="26" t="inlineStr">
        <is>
          <t>B2PAL</t>
        </is>
      </c>
      <c r="FP6095" s="26" t="inlineStr">
        <is>
          <t>B2PAL</t>
        </is>
      </c>
    </row>
    <row r="6096">
      <c r="FC6096" t="inlineStr">
        <is>
          <t>Diccionario 6</t>
        </is>
      </c>
      <c r="FD6096" s="26" t="inlineStr">
        <is>
          <t>LL-BP1040</t>
        </is>
      </c>
      <c r="FL6096" s="26" t="inlineStr">
        <is>
          <t>B2PAL</t>
        </is>
      </c>
      <c r="FP6096" s="26" t="inlineStr">
        <is>
          <t>B2PAL</t>
        </is>
      </c>
    </row>
    <row r="6097">
      <c r="FC6097" t="inlineStr">
        <is>
          <t>Diccionario 6</t>
        </is>
      </c>
      <c r="FD6097" s="26" t="inlineStr">
        <is>
          <t>LL-BP1041</t>
        </is>
      </c>
      <c r="FL6097" s="26" t="inlineStr">
        <is>
          <t>B2PAL</t>
        </is>
      </c>
      <c r="FP6097" s="26" t="inlineStr">
        <is>
          <t>B2PAL</t>
        </is>
      </c>
    </row>
    <row r="6098">
      <c r="FC6098" t="inlineStr">
        <is>
          <t>Diccionario 6</t>
        </is>
      </c>
      <c r="FD6098" s="26" t="inlineStr">
        <is>
          <t>LL-BP1042</t>
        </is>
      </c>
      <c r="FL6098" s="26" t="inlineStr">
        <is>
          <t>B2PAL</t>
        </is>
      </c>
      <c r="FP6098" s="26" t="inlineStr">
        <is>
          <t>B2PAL</t>
        </is>
      </c>
    </row>
    <row r="6099">
      <c r="FC6099" t="inlineStr">
        <is>
          <t>Diccionario 6</t>
        </is>
      </c>
      <c r="FD6099" s="26" t="inlineStr">
        <is>
          <t>LL-BP1043</t>
        </is>
      </c>
      <c r="FL6099" s="26" t="inlineStr">
        <is>
          <t>B2PAL</t>
        </is>
      </c>
      <c r="FP6099" s="26" t="inlineStr">
        <is>
          <t>B2PAL</t>
        </is>
      </c>
    </row>
    <row r="6100">
      <c r="FC6100" t="inlineStr">
        <is>
          <t>Diccionario 6</t>
        </is>
      </c>
      <c r="FD6100" s="26" t="inlineStr">
        <is>
          <t>LL-BP1044</t>
        </is>
      </c>
      <c r="FL6100" s="26" t="inlineStr">
        <is>
          <t>B2PAL</t>
        </is>
      </c>
      <c r="FP6100" s="26" t="inlineStr">
        <is>
          <t>B2PAL</t>
        </is>
      </c>
    </row>
    <row r="6101">
      <c r="FC6101" t="inlineStr">
        <is>
          <t>Diccionario 6</t>
        </is>
      </c>
      <c r="FD6101" s="26" t="inlineStr">
        <is>
          <t>LL-BP1045</t>
        </is>
      </c>
      <c r="FL6101" s="26" t="inlineStr">
        <is>
          <t>B2PAL</t>
        </is>
      </c>
      <c r="FP6101" s="26" t="inlineStr">
        <is>
          <t>B2PAL</t>
        </is>
      </c>
    </row>
    <row r="6102">
      <c r="FC6102" t="inlineStr">
        <is>
          <t>Diccionario 6</t>
        </is>
      </c>
      <c r="FD6102" s="26" t="inlineStr">
        <is>
          <t>LL-BP1046</t>
        </is>
      </c>
      <c r="FL6102" s="26" t="inlineStr">
        <is>
          <t>B2PAL</t>
        </is>
      </c>
      <c r="FP6102" s="26" t="inlineStr">
        <is>
          <t>B2PAL</t>
        </is>
      </c>
    </row>
    <row r="6103">
      <c r="FC6103" t="inlineStr">
        <is>
          <t>Diccionario 6</t>
        </is>
      </c>
      <c r="FD6103" s="26" t="inlineStr">
        <is>
          <t>LL-BP1047</t>
        </is>
      </c>
      <c r="FL6103" s="26" t="inlineStr">
        <is>
          <t>B2PAL</t>
        </is>
      </c>
      <c r="FP6103" s="26" t="inlineStr">
        <is>
          <t>B2PAL</t>
        </is>
      </c>
    </row>
    <row r="6104">
      <c r="FC6104" t="inlineStr">
        <is>
          <t>Diccionario 6</t>
        </is>
      </c>
      <c r="FD6104" s="26" t="inlineStr">
        <is>
          <t>LL-BP1048</t>
        </is>
      </c>
      <c r="FL6104" s="26" t="inlineStr">
        <is>
          <t>B2PAL</t>
        </is>
      </c>
      <c r="FP6104" s="26" t="inlineStr">
        <is>
          <t>B2PAL</t>
        </is>
      </c>
    </row>
    <row r="6105">
      <c r="FC6105" t="inlineStr">
        <is>
          <t>Diccionario 6</t>
        </is>
      </c>
      <c r="FD6105" s="26" t="inlineStr">
        <is>
          <t>LL-BP1049</t>
        </is>
      </c>
      <c r="FL6105" s="26" t="inlineStr">
        <is>
          <t>B2PAL</t>
        </is>
      </c>
      <c r="FP6105" s="26" t="inlineStr">
        <is>
          <t>B2PAL</t>
        </is>
      </c>
    </row>
    <row r="6106">
      <c r="FC6106" t="inlineStr">
        <is>
          <t>Diccionario 6</t>
        </is>
      </c>
      <c r="FD6106" s="26" t="inlineStr">
        <is>
          <t>LL-BP1050</t>
        </is>
      </c>
      <c r="FL6106" s="26" t="inlineStr">
        <is>
          <t>B2PAL</t>
        </is>
      </c>
      <c r="FP6106" s="26" t="inlineStr">
        <is>
          <t>B2PAL</t>
        </is>
      </c>
    </row>
    <row r="6107">
      <c r="FC6107" t="inlineStr">
        <is>
          <t>Diccionario 6</t>
        </is>
      </c>
      <c r="FD6107" s="26" t="inlineStr">
        <is>
          <t>LL-BP1051</t>
        </is>
      </c>
      <c r="FL6107" s="26" t="inlineStr">
        <is>
          <t>B2PAL</t>
        </is>
      </c>
      <c r="FP6107" s="26" t="inlineStr">
        <is>
          <t>B2PAL</t>
        </is>
      </c>
    </row>
    <row r="6108">
      <c r="FC6108" t="inlineStr">
        <is>
          <t>Diccionario 6</t>
        </is>
      </c>
      <c r="FD6108" s="26" t="inlineStr">
        <is>
          <t>LL-BP1052</t>
        </is>
      </c>
      <c r="FL6108" s="26" t="inlineStr">
        <is>
          <t>B2PAL</t>
        </is>
      </c>
      <c r="FP6108" s="26" t="inlineStr">
        <is>
          <t>B2PAL</t>
        </is>
      </c>
    </row>
    <row r="6109">
      <c r="FC6109" t="inlineStr">
        <is>
          <t>Diccionario 6</t>
        </is>
      </c>
      <c r="FD6109" s="26" t="inlineStr">
        <is>
          <t>LL-BP1053</t>
        </is>
      </c>
      <c r="FL6109" s="26" t="inlineStr">
        <is>
          <t>B2PAL</t>
        </is>
      </c>
      <c r="FP6109" s="26" t="inlineStr">
        <is>
          <t>B2PAL</t>
        </is>
      </c>
    </row>
    <row r="6110">
      <c r="FC6110" t="inlineStr">
        <is>
          <t>Diccionario 6</t>
        </is>
      </c>
      <c r="FD6110" s="26" t="inlineStr">
        <is>
          <t>LL-BP1054</t>
        </is>
      </c>
      <c r="FL6110" s="26" t="inlineStr">
        <is>
          <t>B2PAL</t>
        </is>
      </c>
      <c r="FP6110" s="26" t="inlineStr">
        <is>
          <t>B2PAL</t>
        </is>
      </c>
    </row>
    <row r="6111">
      <c r="FC6111" t="inlineStr">
        <is>
          <t>Diccionario 6</t>
        </is>
      </c>
      <c r="FD6111" s="26" t="inlineStr">
        <is>
          <t>LL-BP1055</t>
        </is>
      </c>
      <c r="FL6111" s="26" t="inlineStr">
        <is>
          <t>B2PAL</t>
        </is>
      </c>
      <c r="FP6111" s="26" t="inlineStr">
        <is>
          <t>B2PAL</t>
        </is>
      </c>
    </row>
    <row r="6112">
      <c r="FC6112" t="inlineStr">
        <is>
          <t>Diccionario 6</t>
        </is>
      </c>
      <c r="FD6112" s="26" t="inlineStr">
        <is>
          <t>LL-BP1056</t>
        </is>
      </c>
      <c r="FL6112" s="26" t="inlineStr">
        <is>
          <t>B2PAL</t>
        </is>
      </c>
      <c r="FP6112" s="26" t="inlineStr">
        <is>
          <t>B2PAL</t>
        </is>
      </c>
    </row>
    <row r="6113">
      <c r="FC6113" t="inlineStr">
        <is>
          <t>Diccionario 6</t>
        </is>
      </c>
      <c r="FD6113" s="26" t="inlineStr">
        <is>
          <t>LL-BP1057</t>
        </is>
      </c>
      <c r="FL6113" s="26" t="inlineStr">
        <is>
          <t>B2PAL</t>
        </is>
      </c>
      <c r="FP6113" s="26" t="inlineStr">
        <is>
          <t>B2PAL</t>
        </is>
      </c>
    </row>
    <row r="6114">
      <c r="FC6114" t="inlineStr">
        <is>
          <t>Diccionario 6</t>
        </is>
      </c>
      <c r="FD6114" s="26" t="inlineStr">
        <is>
          <t>LL-BP1058</t>
        </is>
      </c>
      <c r="FL6114" s="26" t="inlineStr">
        <is>
          <t>B2PAL</t>
        </is>
      </c>
      <c r="FP6114" s="26" t="inlineStr">
        <is>
          <t>B2PAL</t>
        </is>
      </c>
    </row>
    <row r="6115">
      <c r="FC6115" t="inlineStr">
        <is>
          <t>Diccionario 6</t>
        </is>
      </c>
      <c r="FD6115" s="26" t="inlineStr">
        <is>
          <t>LL-BP1059</t>
        </is>
      </c>
      <c r="FL6115" s="26" t="inlineStr">
        <is>
          <t>B2PAL</t>
        </is>
      </c>
      <c r="FP6115" s="26" t="inlineStr">
        <is>
          <t>B2PAL</t>
        </is>
      </c>
    </row>
    <row r="6116">
      <c r="FC6116" t="inlineStr">
        <is>
          <t>Diccionario 6</t>
        </is>
      </c>
      <c r="FD6116" s="26" t="inlineStr">
        <is>
          <t>LL-BP1060</t>
        </is>
      </c>
      <c r="FL6116" s="26" t="inlineStr">
        <is>
          <t>B2PAL</t>
        </is>
      </c>
      <c r="FP6116" s="26" t="inlineStr">
        <is>
          <t>B2PAL</t>
        </is>
      </c>
    </row>
    <row r="6117">
      <c r="FC6117" t="inlineStr">
        <is>
          <t>Diccionario 6</t>
        </is>
      </c>
      <c r="FD6117" s="26" t="inlineStr">
        <is>
          <t>LL-BP1061</t>
        </is>
      </c>
      <c r="FL6117" s="26" t="inlineStr">
        <is>
          <t>B2PAL</t>
        </is>
      </c>
      <c r="FP6117" s="26" t="inlineStr">
        <is>
          <t>B2PAL</t>
        </is>
      </c>
    </row>
    <row r="6118">
      <c r="FC6118" t="inlineStr">
        <is>
          <t>Diccionario 6</t>
        </is>
      </c>
      <c r="FD6118" s="26" t="inlineStr">
        <is>
          <t>LL-BP1062</t>
        </is>
      </c>
      <c r="FL6118" s="26" t="inlineStr">
        <is>
          <t>B2PAL</t>
        </is>
      </c>
      <c r="FP6118" s="26" t="inlineStr">
        <is>
          <t>B2PAL</t>
        </is>
      </c>
    </row>
    <row r="6119">
      <c r="FC6119" t="inlineStr">
        <is>
          <t>Diccionario 6</t>
        </is>
      </c>
      <c r="FD6119" s="26" t="inlineStr">
        <is>
          <t>LL-BP1063</t>
        </is>
      </c>
      <c r="FL6119" s="26" t="inlineStr">
        <is>
          <t>B2PAL</t>
        </is>
      </c>
      <c r="FP6119" s="26" t="inlineStr">
        <is>
          <t>B2PAL</t>
        </is>
      </c>
    </row>
    <row r="6120">
      <c r="FC6120" t="inlineStr">
        <is>
          <t>Diccionario 6</t>
        </is>
      </c>
      <c r="FD6120" s="26" t="inlineStr">
        <is>
          <t>LL-BP1064</t>
        </is>
      </c>
      <c r="FL6120" s="26" t="inlineStr">
        <is>
          <t>B2PAL</t>
        </is>
      </c>
      <c r="FP6120" s="26" t="inlineStr">
        <is>
          <t>B2PAL</t>
        </is>
      </c>
    </row>
    <row r="6121">
      <c r="FC6121" t="inlineStr">
        <is>
          <t>Diccionario 6</t>
        </is>
      </c>
      <c r="FD6121" s="26" t="inlineStr">
        <is>
          <t>LL-BP1065</t>
        </is>
      </c>
      <c r="FL6121" s="26" t="inlineStr">
        <is>
          <t>B2PAL</t>
        </is>
      </c>
      <c r="FP6121" s="26" t="inlineStr">
        <is>
          <t>B2PAL</t>
        </is>
      </c>
    </row>
    <row r="6122">
      <c r="FC6122" t="inlineStr">
        <is>
          <t>Diccionario 6</t>
        </is>
      </c>
      <c r="FD6122" s="26" t="inlineStr">
        <is>
          <t>LL-BP1066</t>
        </is>
      </c>
      <c r="FL6122" s="26" t="inlineStr">
        <is>
          <t>B2PAL</t>
        </is>
      </c>
      <c r="FP6122" s="26" t="inlineStr">
        <is>
          <t>B2PAL</t>
        </is>
      </c>
    </row>
    <row r="6123">
      <c r="FC6123" t="inlineStr">
        <is>
          <t>Diccionario 6</t>
        </is>
      </c>
      <c r="FD6123" s="26" t="inlineStr">
        <is>
          <t>SJ-BP1067</t>
        </is>
      </c>
      <c r="FL6123" s="26" t="inlineStr">
        <is>
          <t>B2PAL</t>
        </is>
      </c>
      <c r="FP6123" s="26" t="inlineStr">
        <is>
          <t>B2PAL</t>
        </is>
      </c>
    </row>
    <row r="6124">
      <c r="FC6124" t="inlineStr">
        <is>
          <t>Diccionario 6</t>
        </is>
      </c>
      <c r="FD6124" s="26" t="inlineStr">
        <is>
          <t>LL-BP1068</t>
        </is>
      </c>
      <c r="FL6124" s="26" t="inlineStr">
        <is>
          <t>B2PAL</t>
        </is>
      </c>
      <c r="FP6124" s="26" t="inlineStr">
        <is>
          <t>B2PAL</t>
        </is>
      </c>
    </row>
    <row r="6125">
      <c r="FC6125" t="inlineStr">
        <is>
          <t>Diccionario 6</t>
        </is>
      </c>
      <c r="FD6125" s="26" t="inlineStr">
        <is>
          <t>LL-BP1069</t>
        </is>
      </c>
      <c r="FL6125" s="26" t="inlineStr">
        <is>
          <t>B2PAL</t>
        </is>
      </c>
      <c r="FP6125" s="26" t="inlineStr">
        <is>
          <t>B2PAL</t>
        </is>
      </c>
    </row>
    <row r="6126">
      <c r="FC6126" t="inlineStr">
        <is>
          <t>Diccionario 6</t>
        </is>
      </c>
      <c r="FD6126" s="26" t="inlineStr">
        <is>
          <t>LL-BP1070</t>
        </is>
      </c>
      <c r="FL6126" s="26" t="inlineStr">
        <is>
          <t>B2PAL</t>
        </is>
      </c>
      <c r="FP6126" s="26" t="inlineStr">
        <is>
          <t>B2PAL</t>
        </is>
      </c>
    </row>
    <row r="6127">
      <c r="FC6127" t="inlineStr">
        <is>
          <t>Diccionario 6</t>
        </is>
      </c>
      <c r="FD6127" s="26" t="inlineStr">
        <is>
          <t>LL-BP1071</t>
        </is>
      </c>
      <c r="FL6127" s="26" t="inlineStr">
        <is>
          <t>B2PAL</t>
        </is>
      </c>
      <c r="FP6127" s="26" t="inlineStr">
        <is>
          <t>B2PAL</t>
        </is>
      </c>
    </row>
    <row r="6128">
      <c r="FC6128" t="inlineStr">
        <is>
          <t>Diccionario 6</t>
        </is>
      </c>
      <c r="FD6128" s="26" t="inlineStr">
        <is>
          <t>SJ-BP1072</t>
        </is>
      </c>
      <c r="FL6128" s="26" t="inlineStr">
        <is>
          <t>B2PAL</t>
        </is>
      </c>
      <c r="FP6128" s="26" t="inlineStr">
        <is>
          <t>B2PAL</t>
        </is>
      </c>
    </row>
    <row r="6129">
      <c r="FC6129" t="inlineStr">
        <is>
          <t>Diccionario 6</t>
        </is>
      </c>
      <c r="FD6129" s="26" t="inlineStr">
        <is>
          <t>LL-BP1073</t>
        </is>
      </c>
      <c r="FL6129" s="26" t="inlineStr">
        <is>
          <t>B2PAL</t>
        </is>
      </c>
      <c r="FP6129" s="26" t="inlineStr">
        <is>
          <t>B2PAL</t>
        </is>
      </c>
    </row>
    <row r="6130">
      <c r="FC6130" t="inlineStr">
        <is>
          <t>Diccionario 6</t>
        </is>
      </c>
      <c r="FD6130" s="26" t="inlineStr">
        <is>
          <t>LL-BP1074</t>
        </is>
      </c>
      <c r="FL6130" s="26" t="inlineStr">
        <is>
          <t>B2PAL</t>
        </is>
      </c>
      <c r="FP6130" s="26" t="inlineStr">
        <is>
          <t>B2PAL</t>
        </is>
      </c>
    </row>
    <row r="6131">
      <c r="FC6131" t="inlineStr">
        <is>
          <t>Diccionario 6</t>
        </is>
      </c>
      <c r="FD6131" s="26" t="inlineStr">
        <is>
          <t>LL-BP1075</t>
        </is>
      </c>
      <c r="FL6131" s="26" t="inlineStr">
        <is>
          <t>B2PAL</t>
        </is>
      </c>
      <c r="FP6131" s="26" t="inlineStr">
        <is>
          <t>B2PAL</t>
        </is>
      </c>
    </row>
    <row r="6132">
      <c r="FC6132" t="inlineStr">
        <is>
          <t>Diccionario 6</t>
        </is>
      </c>
      <c r="FD6132" s="26" t="inlineStr">
        <is>
          <t>SJ-BP1076</t>
        </is>
      </c>
      <c r="FL6132" s="26" t="inlineStr">
        <is>
          <t>B2PAL</t>
        </is>
      </c>
      <c r="FP6132" s="26" t="inlineStr">
        <is>
          <t>B2PAL</t>
        </is>
      </c>
    </row>
    <row r="6133">
      <c r="FC6133" t="inlineStr">
        <is>
          <t>Diccionario 6</t>
        </is>
      </c>
      <c r="FD6133" s="26" t="inlineStr">
        <is>
          <t>LL-BP1077</t>
        </is>
      </c>
      <c r="FL6133" s="26" t="inlineStr">
        <is>
          <t>B2PAL</t>
        </is>
      </c>
      <c r="FP6133" s="26" t="inlineStr">
        <is>
          <t>B2PAL</t>
        </is>
      </c>
    </row>
    <row r="6134">
      <c r="FC6134" t="inlineStr">
        <is>
          <t>Diccionario 6</t>
        </is>
      </c>
      <c r="FD6134" s="26" t="inlineStr">
        <is>
          <t>LL-BP1078</t>
        </is>
      </c>
      <c r="FL6134" s="26" t="inlineStr">
        <is>
          <t>B2PAL</t>
        </is>
      </c>
      <c r="FP6134" s="26" t="inlineStr">
        <is>
          <t>B2PAL</t>
        </is>
      </c>
    </row>
    <row r="6135">
      <c r="FC6135" t="inlineStr">
        <is>
          <t>Diccionario 6</t>
        </is>
      </c>
      <c r="FD6135" s="26" t="inlineStr">
        <is>
          <t>SJ-BP1079</t>
        </is>
      </c>
      <c r="FL6135" s="26" t="inlineStr">
        <is>
          <t>B2PAL</t>
        </is>
      </c>
      <c r="FP6135" s="26" t="inlineStr">
        <is>
          <t>B2PAL</t>
        </is>
      </c>
    </row>
    <row r="6136">
      <c r="FC6136" t="inlineStr">
        <is>
          <t>Diccionario 6</t>
        </is>
      </c>
      <c r="FD6136" s="26" t="inlineStr">
        <is>
          <t>SJ-BP1080</t>
        </is>
      </c>
      <c r="FL6136" s="26" t="inlineStr">
        <is>
          <t>B2PAL</t>
        </is>
      </c>
      <c r="FP6136" s="26" t="inlineStr">
        <is>
          <t>B2PAL</t>
        </is>
      </c>
    </row>
    <row r="6137">
      <c r="FC6137" t="inlineStr">
        <is>
          <t>Diccionario 6</t>
        </is>
      </c>
      <c r="FD6137" s="26" t="inlineStr">
        <is>
          <t>SJ-BP1081</t>
        </is>
      </c>
      <c r="FL6137" s="26" t="inlineStr">
        <is>
          <t>B2PAL</t>
        </is>
      </c>
      <c r="FP6137" s="26" t="inlineStr">
        <is>
          <t>B2PAL</t>
        </is>
      </c>
    </row>
    <row r="6138">
      <c r="FC6138" t="inlineStr">
        <is>
          <t>Diccionario 6</t>
        </is>
      </c>
      <c r="FD6138" s="26" t="inlineStr">
        <is>
          <t>SJ-BP1082</t>
        </is>
      </c>
      <c r="FL6138" s="26" t="inlineStr">
        <is>
          <t>B2PAL</t>
        </is>
      </c>
      <c r="FP6138" s="26" t="inlineStr">
        <is>
          <t>B2PAL</t>
        </is>
      </c>
    </row>
    <row r="6139">
      <c r="FC6139" t="inlineStr">
        <is>
          <t>Diccionario 6</t>
        </is>
      </c>
      <c r="FD6139" s="26" t="inlineStr">
        <is>
          <t>LL-BP1083</t>
        </is>
      </c>
      <c r="FL6139" s="26" t="inlineStr">
        <is>
          <t>B2PAL</t>
        </is>
      </c>
      <c r="FP6139" s="26" t="inlineStr">
        <is>
          <t>B2PAL</t>
        </is>
      </c>
    </row>
    <row r="6140">
      <c r="FC6140" t="inlineStr">
        <is>
          <t>Diccionario 6</t>
        </is>
      </c>
      <c r="FD6140" s="26" t="inlineStr">
        <is>
          <t>SJ-BP1084</t>
        </is>
      </c>
      <c r="FL6140" s="26" t="inlineStr">
        <is>
          <t>B2PAL</t>
        </is>
      </c>
      <c r="FP6140" s="26" t="inlineStr">
        <is>
          <t>B2PAL</t>
        </is>
      </c>
    </row>
    <row r="6141">
      <c r="FC6141" t="inlineStr">
        <is>
          <t>Diccionario 6</t>
        </is>
      </c>
      <c r="FD6141" s="26" t="inlineStr">
        <is>
          <t>LL-BP1085</t>
        </is>
      </c>
      <c r="FL6141" s="26" t="inlineStr">
        <is>
          <t>B2PAL</t>
        </is>
      </c>
      <c r="FP6141" s="26" t="inlineStr">
        <is>
          <t>B2PAL</t>
        </is>
      </c>
    </row>
    <row r="6142">
      <c r="FC6142" t="inlineStr">
        <is>
          <t>Diccionario 6</t>
        </is>
      </c>
      <c r="FD6142" s="26" t="inlineStr">
        <is>
          <t>LL-BP1086</t>
        </is>
      </c>
      <c r="FL6142" s="26" t="inlineStr">
        <is>
          <t>B2PAL</t>
        </is>
      </c>
      <c r="FP6142" s="26" t="inlineStr">
        <is>
          <t>B2PAL</t>
        </is>
      </c>
    </row>
    <row r="6143">
      <c r="FC6143" t="inlineStr">
        <is>
          <t>Diccionario 6</t>
        </is>
      </c>
      <c r="FD6143" s="26" t="inlineStr">
        <is>
          <t>SJ-BP1087</t>
        </is>
      </c>
      <c r="FL6143" s="26" t="inlineStr">
        <is>
          <t>B2PAL</t>
        </is>
      </c>
      <c r="FP6143" s="26" t="inlineStr">
        <is>
          <t>B2PAL</t>
        </is>
      </c>
    </row>
    <row r="6144">
      <c r="FC6144" t="inlineStr">
        <is>
          <t>Diccionario 6</t>
        </is>
      </c>
      <c r="FD6144" s="26" t="inlineStr">
        <is>
          <t>SJ-BP1088</t>
        </is>
      </c>
      <c r="FL6144" s="26" t="inlineStr">
        <is>
          <t>B2PAL</t>
        </is>
      </c>
      <c r="FP6144" s="26" t="inlineStr">
        <is>
          <t>B2PAL</t>
        </is>
      </c>
    </row>
    <row r="6145">
      <c r="FC6145" t="inlineStr">
        <is>
          <t>Diccionario 6</t>
        </is>
      </c>
      <c r="FD6145" s="26" t="inlineStr">
        <is>
          <t>SJ-BP1089</t>
        </is>
      </c>
      <c r="FL6145" s="26" t="inlineStr">
        <is>
          <t>B2PAL</t>
        </is>
      </c>
      <c r="FP6145" s="26" t="inlineStr">
        <is>
          <t>B2PAL</t>
        </is>
      </c>
    </row>
    <row r="6146">
      <c r="FC6146" t="inlineStr">
        <is>
          <t>Diccionario 6</t>
        </is>
      </c>
      <c r="FD6146" s="26" t="inlineStr">
        <is>
          <t>SJ-BP1090</t>
        </is>
      </c>
      <c r="FL6146" s="26" t="inlineStr">
        <is>
          <t>B2PAL</t>
        </is>
      </c>
      <c r="FP6146" s="26" t="inlineStr">
        <is>
          <t>B2PAL</t>
        </is>
      </c>
    </row>
    <row r="6147">
      <c r="FC6147" t="inlineStr">
        <is>
          <t>Diccionario 6</t>
        </is>
      </c>
      <c r="FD6147" s="26" t="inlineStr">
        <is>
          <t>LL-BP1091</t>
        </is>
      </c>
      <c r="FL6147" s="26" t="inlineStr">
        <is>
          <t>B2PAL</t>
        </is>
      </c>
      <c r="FP6147" s="26" t="inlineStr">
        <is>
          <t>B2PAL</t>
        </is>
      </c>
    </row>
    <row r="6148">
      <c r="FC6148" t="inlineStr">
        <is>
          <t>Diccionario 6</t>
        </is>
      </c>
      <c r="FD6148" s="26" t="inlineStr">
        <is>
          <t>SJ-BP1092</t>
        </is>
      </c>
      <c r="FL6148" s="26" t="inlineStr">
        <is>
          <t>B2PAL</t>
        </is>
      </c>
      <c r="FP6148" s="26" t="inlineStr">
        <is>
          <t>B2PAL</t>
        </is>
      </c>
    </row>
    <row r="6149">
      <c r="FC6149" t="inlineStr">
        <is>
          <t>Diccionario 6</t>
        </is>
      </c>
      <c r="FD6149" s="26" t="inlineStr">
        <is>
          <t>SJ-BP1093</t>
        </is>
      </c>
      <c r="FL6149" s="26" t="inlineStr">
        <is>
          <t>B2PAL</t>
        </is>
      </c>
      <c r="FP6149" s="26" t="inlineStr">
        <is>
          <t>B2PAL</t>
        </is>
      </c>
    </row>
    <row r="6150">
      <c r="FC6150" t="inlineStr">
        <is>
          <t>Diccionario 6</t>
        </is>
      </c>
      <c r="FD6150" s="26" t="inlineStr">
        <is>
          <t>LL-BP1094</t>
        </is>
      </c>
      <c r="FL6150" s="26" t="inlineStr">
        <is>
          <t>B2PAL</t>
        </is>
      </c>
      <c r="FP6150" s="26" t="inlineStr">
        <is>
          <t>B2PAL</t>
        </is>
      </c>
    </row>
    <row r="6151">
      <c r="FC6151" t="inlineStr">
        <is>
          <t>Diccionario 6</t>
        </is>
      </c>
      <c r="FD6151" s="26" t="inlineStr">
        <is>
          <t>SJ-BP1095</t>
        </is>
      </c>
      <c r="FL6151" s="26" t="inlineStr">
        <is>
          <t>B2PAL</t>
        </is>
      </c>
      <c r="FP6151" s="26" t="inlineStr">
        <is>
          <t>B2PAL</t>
        </is>
      </c>
    </row>
    <row r="6152">
      <c r="FC6152" t="inlineStr">
        <is>
          <t>Diccionario 6</t>
        </is>
      </c>
      <c r="FD6152" s="26" t="inlineStr">
        <is>
          <t>LL-BP1096</t>
        </is>
      </c>
      <c r="FL6152" s="26" t="inlineStr">
        <is>
          <t>B2PAL</t>
        </is>
      </c>
      <c r="FP6152" s="26" t="inlineStr">
        <is>
          <t>B2PAL</t>
        </is>
      </c>
    </row>
    <row r="6153">
      <c r="FC6153" t="inlineStr">
        <is>
          <t>Diccionario 6</t>
        </is>
      </c>
      <c r="FD6153" s="26" t="inlineStr">
        <is>
          <t>LL-BP1096</t>
        </is>
      </c>
      <c r="FL6153" s="26" t="inlineStr">
        <is>
          <t>B2PAL</t>
        </is>
      </c>
      <c r="FP6153" s="26" t="inlineStr">
        <is>
          <t>B2PAL</t>
        </is>
      </c>
    </row>
    <row r="6154">
      <c r="FC6154" t="inlineStr">
        <is>
          <t>Diccionario 6</t>
        </is>
      </c>
      <c r="FD6154" s="26" t="inlineStr">
        <is>
          <t>SJ-BP1097</t>
        </is>
      </c>
      <c r="FL6154" s="26" t="inlineStr">
        <is>
          <t>B2PAL</t>
        </is>
      </c>
      <c r="FP6154" s="26" t="inlineStr">
        <is>
          <t>B2PAL</t>
        </is>
      </c>
    </row>
    <row r="6155">
      <c r="FC6155" t="inlineStr">
        <is>
          <t>Diccionario 6</t>
        </is>
      </c>
      <c r="FD6155" s="26" t="inlineStr">
        <is>
          <t>SJ-BP1098</t>
        </is>
      </c>
      <c r="FL6155" s="26" t="inlineStr">
        <is>
          <t>B2PAL</t>
        </is>
      </c>
      <c r="FP6155" s="26" t="inlineStr">
        <is>
          <t>B2PAL</t>
        </is>
      </c>
    </row>
    <row r="6156">
      <c r="FC6156" t="inlineStr">
        <is>
          <t>Diccionario 6</t>
        </is>
      </c>
      <c r="FD6156" s="26" t="inlineStr">
        <is>
          <t>SJ-BP1099</t>
        </is>
      </c>
      <c r="FL6156" s="26" t="inlineStr">
        <is>
          <t>B2PAL</t>
        </is>
      </c>
      <c r="FP6156" s="26" t="inlineStr">
        <is>
          <t>B2PAL</t>
        </is>
      </c>
    </row>
    <row r="6157">
      <c r="FC6157" t="inlineStr">
        <is>
          <t>Diccionario 6</t>
        </is>
      </c>
      <c r="FD6157" s="26" t="inlineStr">
        <is>
          <t>SJ-BP1101</t>
        </is>
      </c>
      <c r="FL6157" s="26" t="inlineStr">
        <is>
          <t>B2PAL</t>
        </is>
      </c>
      <c r="FP6157" s="26" t="inlineStr">
        <is>
          <t>B2PAL</t>
        </is>
      </c>
    </row>
    <row r="6158">
      <c r="FC6158" t="inlineStr">
        <is>
          <t>Diccionario 6</t>
        </is>
      </c>
      <c r="FD6158" s="26" t="inlineStr">
        <is>
          <t>SJ-BP1102</t>
        </is>
      </c>
      <c r="FL6158" s="26" t="inlineStr">
        <is>
          <t>B2PAL</t>
        </is>
      </c>
      <c r="FP6158" s="26" t="inlineStr">
        <is>
          <t>B2PAL</t>
        </is>
      </c>
    </row>
    <row r="6159">
      <c r="FC6159" t="inlineStr">
        <is>
          <t>Diccionario 6</t>
        </is>
      </c>
      <c r="FD6159" s="26" t="inlineStr">
        <is>
          <t>SJ-BP1103</t>
        </is>
      </c>
      <c r="FL6159" s="26" t="inlineStr">
        <is>
          <t>B2PAL</t>
        </is>
      </c>
      <c r="FP6159" s="26" t="inlineStr">
        <is>
          <t>B2PAL</t>
        </is>
      </c>
    </row>
    <row r="6160">
      <c r="FC6160" t="inlineStr">
        <is>
          <t>Diccionario 6</t>
        </is>
      </c>
      <c r="FD6160" s="26" t="inlineStr">
        <is>
          <t>SJ-BP1104</t>
        </is>
      </c>
      <c r="FL6160" s="26" t="inlineStr">
        <is>
          <t>B2PAL</t>
        </is>
      </c>
      <c r="FP6160" s="26" t="inlineStr">
        <is>
          <t>B2PAL</t>
        </is>
      </c>
    </row>
    <row r="6161">
      <c r="FC6161" t="inlineStr">
        <is>
          <t>Diccionario 6</t>
        </is>
      </c>
      <c r="FD6161" s="26" t="inlineStr">
        <is>
          <t>SJ-BP1105</t>
        </is>
      </c>
      <c r="FL6161" s="26" t="inlineStr">
        <is>
          <t>B2PAL</t>
        </is>
      </c>
      <c r="FP6161" s="26" t="inlineStr">
        <is>
          <t>B2PAL</t>
        </is>
      </c>
    </row>
    <row r="6162">
      <c r="FC6162" t="inlineStr">
        <is>
          <t>Diccionario 6</t>
        </is>
      </c>
      <c r="FD6162" s="26" t="inlineStr">
        <is>
          <t>SJ-BP1106</t>
        </is>
      </c>
      <c r="FL6162" s="26" t="inlineStr">
        <is>
          <t>B2PAL</t>
        </is>
      </c>
      <c r="FP6162" s="26" t="inlineStr">
        <is>
          <t>B2PAL</t>
        </is>
      </c>
    </row>
    <row r="6163">
      <c r="FC6163" t="inlineStr">
        <is>
          <t>Diccionario 6</t>
        </is>
      </c>
      <c r="FD6163" s="26" t="inlineStr">
        <is>
          <t>SJ-B1107</t>
        </is>
      </c>
      <c r="FL6163" s="26" t="inlineStr">
        <is>
          <t>B</t>
        </is>
      </c>
      <c r="FP6163" s="26" t="inlineStr">
        <is>
          <t>B</t>
        </is>
      </c>
    </row>
    <row r="6164">
      <c r="FC6164" t="inlineStr">
        <is>
          <t>Diccionario 6</t>
        </is>
      </c>
      <c r="FD6164" s="26" t="inlineStr">
        <is>
          <t>SJ-B1108</t>
        </is>
      </c>
      <c r="FL6164" s="26" t="inlineStr">
        <is>
          <t>B</t>
        </is>
      </c>
      <c r="FP6164" s="26" t="inlineStr">
        <is>
          <t>B</t>
        </is>
      </c>
    </row>
    <row r="6165">
      <c r="FC6165" t="inlineStr">
        <is>
          <t>Diccionario 6</t>
        </is>
      </c>
      <c r="FD6165" s="26" t="inlineStr">
        <is>
          <t>SJ-B1109</t>
        </is>
      </c>
      <c r="FL6165" s="26" t="inlineStr">
        <is>
          <t>B</t>
        </is>
      </c>
      <c r="FP6165" s="26" t="inlineStr">
        <is>
          <t>B</t>
        </is>
      </c>
    </row>
    <row r="6166">
      <c r="FC6166" t="inlineStr">
        <is>
          <t>Diccionario 6</t>
        </is>
      </c>
      <c r="FD6166" s="26" t="inlineStr">
        <is>
          <t>SJ-B1110</t>
        </is>
      </c>
      <c r="FL6166" s="26" t="inlineStr">
        <is>
          <t>B</t>
        </is>
      </c>
      <c r="FP6166" s="26" t="inlineStr">
        <is>
          <t>B</t>
        </is>
      </c>
    </row>
    <row r="6167">
      <c r="FC6167" t="inlineStr">
        <is>
          <t>Diccionario 6</t>
        </is>
      </c>
      <c r="FD6167" s="26" t="inlineStr">
        <is>
          <t>SJ-B1111</t>
        </is>
      </c>
      <c r="FL6167" s="26" t="inlineStr">
        <is>
          <t>B</t>
        </is>
      </c>
      <c r="FP6167" s="26" t="inlineStr">
        <is>
          <t>B</t>
        </is>
      </c>
    </row>
    <row r="6168">
      <c r="FC6168" t="inlineStr">
        <is>
          <t>Diccionario 6</t>
        </is>
      </c>
      <c r="FD6168" s="26" t="inlineStr">
        <is>
          <t>SJ-B1112</t>
        </is>
      </c>
      <c r="FL6168" s="26" t="inlineStr">
        <is>
          <t>B</t>
        </is>
      </c>
      <c r="FP6168" s="26" t="inlineStr">
        <is>
          <t>B</t>
        </is>
      </c>
    </row>
    <row r="6169">
      <c r="FC6169" t="inlineStr">
        <is>
          <t>Diccionario 6</t>
        </is>
      </c>
      <c r="FD6169" s="26" t="inlineStr">
        <is>
          <t>SJ-B1113</t>
        </is>
      </c>
      <c r="FL6169" s="26" t="inlineStr">
        <is>
          <t>B</t>
        </is>
      </c>
      <c r="FP6169" s="26" t="inlineStr">
        <is>
          <t>B</t>
        </is>
      </c>
    </row>
    <row r="6170">
      <c r="FC6170" t="inlineStr">
        <is>
          <t>Diccionario 6</t>
        </is>
      </c>
      <c r="FD6170" s="26" t="inlineStr">
        <is>
          <t>SJ-B1114</t>
        </is>
      </c>
      <c r="FL6170" s="26" t="inlineStr">
        <is>
          <t>B</t>
        </is>
      </c>
      <c r="FP6170" s="26" t="inlineStr">
        <is>
          <t>B</t>
        </is>
      </c>
    </row>
    <row r="6171">
      <c r="FC6171" t="inlineStr">
        <is>
          <t>Diccionario 6</t>
        </is>
      </c>
      <c r="FD6171" s="26" t="inlineStr">
        <is>
          <t>SJ-B1115</t>
        </is>
      </c>
      <c r="FL6171" s="26" t="inlineStr">
        <is>
          <t>B</t>
        </is>
      </c>
      <c r="FP6171" s="26" t="inlineStr">
        <is>
          <t>B</t>
        </is>
      </c>
    </row>
    <row r="6172">
      <c r="FC6172" t="inlineStr">
        <is>
          <t>Diccionario 6</t>
        </is>
      </c>
      <c r="FD6172" s="26" t="inlineStr">
        <is>
          <t>SJ-B1116</t>
        </is>
      </c>
      <c r="FL6172" s="26" t="inlineStr">
        <is>
          <t>B</t>
        </is>
      </c>
      <c r="FP6172" s="26" t="inlineStr">
        <is>
          <t>B</t>
        </is>
      </c>
    </row>
    <row r="6173">
      <c r="FC6173" t="inlineStr">
        <is>
          <t>Diccionario 6</t>
        </is>
      </c>
      <c r="FD6173" s="26" t="inlineStr">
        <is>
          <t>SJ-B1117</t>
        </is>
      </c>
      <c r="FL6173" s="26" t="inlineStr">
        <is>
          <t>B</t>
        </is>
      </c>
      <c r="FP6173" s="26" t="inlineStr">
        <is>
          <t>B</t>
        </is>
      </c>
    </row>
    <row r="6174">
      <c r="FC6174" t="inlineStr">
        <is>
          <t>Diccionario 6</t>
        </is>
      </c>
      <c r="FD6174" s="26" t="inlineStr">
        <is>
          <t>SJ-B1118</t>
        </is>
      </c>
      <c r="FL6174" s="26" t="inlineStr">
        <is>
          <t>B</t>
        </is>
      </c>
      <c r="FP6174" s="26" t="inlineStr">
        <is>
          <t>B</t>
        </is>
      </c>
    </row>
    <row r="6175">
      <c r="FC6175" t="inlineStr">
        <is>
          <t>Diccionario 6</t>
        </is>
      </c>
      <c r="FD6175" s="26" t="inlineStr">
        <is>
          <t>SJ-B1119</t>
        </is>
      </c>
      <c r="FL6175" s="26" t="inlineStr">
        <is>
          <t>B</t>
        </is>
      </c>
      <c r="FP6175" s="26" t="inlineStr">
        <is>
          <t>B</t>
        </is>
      </c>
    </row>
    <row r="6176">
      <c r="FC6176" t="inlineStr">
        <is>
          <t>Diccionario 6</t>
        </is>
      </c>
      <c r="FD6176" s="26" t="inlineStr">
        <is>
          <t>SJ-B1120</t>
        </is>
      </c>
      <c r="FL6176" s="26" t="inlineStr">
        <is>
          <t>B</t>
        </is>
      </c>
      <c r="FP6176" s="26" t="inlineStr">
        <is>
          <t>B</t>
        </is>
      </c>
    </row>
    <row r="6177">
      <c r="FC6177" t="inlineStr">
        <is>
          <t>Diccionario 6</t>
        </is>
      </c>
      <c r="FD6177" s="26" t="inlineStr">
        <is>
          <t>SJ-B1121</t>
        </is>
      </c>
      <c r="FL6177" s="26" t="inlineStr">
        <is>
          <t>B</t>
        </is>
      </c>
      <c r="FP6177" s="26" t="inlineStr">
        <is>
          <t>B</t>
        </is>
      </c>
    </row>
    <row r="6178">
      <c r="FC6178" t="inlineStr">
        <is>
          <t>Diccionario 6</t>
        </is>
      </c>
      <c r="FD6178" s="26" t="inlineStr">
        <is>
          <t>CER-B1122</t>
        </is>
      </c>
      <c r="FL6178" s="26" t="inlineStr">
        <is>
          <t>B</t>
        </is>
      </c>
      <c r="FP6178" s="26" t="inlineStr">
        <is>
          <t>B</t>
        </is>
      </c>
    </row>
    <row r="6179">
      <c r="FC6179" t="inlineStr">
        <is>
          <t>Diccionario 6</t>
        </is>
      </c>
      <c r="FD6179" s="26" t="inlineStr">
        <is>
          <t>LL-B1123</t>
        </is>
      </c>
      <c r="FL6179" s="26" t="inlineStr">
        <is>
          <t>B</t>
        </is>
      </c>
      <c r="FP6179" s="26" t="inlineStr">
        <is>
          <t>B</t>
        </is>
      </c>
    </row>
    <row r="6180">
      <c r="FC6180" t="inlineStr">
        <is>
          <t>Diccionario 6</t>
        </is>
      </c>
      <c r="FD6180" s="26" t="inlineStr">
        <is>
          <t>LL-B1124</t>
        </is>
      </c>
      <c r="FL6180" s="26" t="inlineStr">
        <is>
          <t>B</t>
        </is>
      </c>
      <c r="FP6180" s="26" t="inlineStr">
        <is>
          <t>B</t>
        </is>
      </c>
    </row>
    <row r="6181">
      <c r="FC6181" t="inlineStr">
        <is>
          <t>Diccionario 6</t>
        </is>
      </c>
      <c r="FD6181" s="26" t="inlineStr">
        <is>
          <t>LL-B1125</t>
        </is>
      </c>
      <c r="FL6181" s="26" t="inlineStr">
        <is>
          <t>B</t>
        </is>
      </c>
      <c r="FP6181" s="26" t="inlineStr">
        <is>
          <t>B</t>
        </is>
      </c>
    </row>
    <row r="6182">
      <c r="FC6182" t="inlineStr">
        <is>
          <t>Diccionario 6</t>
        </is>
      </c>
      <c r="FD6182" s="26" t="inlineStr">
        <is>
          <t>SJ-B1126</t>
        </is>
      </c>
      <c r="FL6182" s="26" t="inlineStr">
        <is>
          <t>B</t>
        </is>
      </c>
      <c r="FP6182" s="26" t="inlineStr">
        <is>
          <t>B</t>
        </is>
      </c>
    </row>
    <row r="6183">
      <c r="FC6183" t="inlineStr">
        <is>
          <t>Diccionario 6</t>
        </is>
      </c>
      <c r="FD6183" s="26" t="inlineStr">
        <is>
          <t>SJ-B1127</t>
        </is>
      </c>
      <c r="FL6183" s="26" t="inlineStr">
        <is>
          <t>B</t>
        </is>
      </c>
      <c r="FP6183" s="26" t="inlineStr">
        <is>
          <t>B</t>
        </is>
      </c>
    </row>
    <row r="6184">
      <c r="FC6184" t="inlineStr">
        <is>
          <t>Diccionario 6</t>
        </is>
      </c>
      <c r="FD6184" s="26" t="inlineStr">
        <is>
          <t>SJ-B1128</t>
        </is>
      </c>
      <c r="FL6184" s="26" t="inlineStr">
        <is>
          <t>B</t>
        </is>
      </c>
      <c r="FP6184" s="26" t="inlineStr">
        <is>
          <t>B</t>
        </is>
      </c>
    </row>
    <row r="6185">
      <c r="FC6185" t="inlineStr">
        <is>
          <t>Diccionario 6</t>
        </is>
      </c>
      <c r="FD6185" s="26" t="inlineStr">
        <is>
          <t>SJ-B1129</t>
        </is>
      </c>
      <c r="FL6185" s="26" t="inlineStr">
        <is>
          <t>B</t>
        </is>
      </c>
      <c r="FP6185" s="26" t="inlineStr">
        <is>
          <t>B</t>
        </is>
      </c>
    </row>
    <row r="6186">
      <c r="FC6186" t="inlineStr">
        <is>
          <t>Diccionario 6</t>
        </is>
      </c>
      <c r="FD6186" s="26" t="inlineStr">
        <is>
          <t>CER-B1130</t>
        </is>
      </c>
      <c r="FL6186" s="26" t="inlineStr">
        <is>
          <t>B</t>
        </is>
      </c>
      <c r="FP6186" s="26" t="inlineStr">
        <is>
          <t>B</t>
        </is>
      </c>
    </row>
    <row r="6187">
      <c r="FC6187" t="inlineStr">
        <is>
          <t>Diccionario 6</t>
        </is>
      </c>
      <c r="FD6187" s="26" t="inlineStr">
        <is>
          <t>LL-B1131</t>
        </is>
      </c>
      <c r="FL6187" s="26" t="inlineStr">
        <is>
          <t>B</t>
        </is>
      </c>
      <c r="FP6187" s="26" t="inlineStr">
        <is>
          <t>B</t>
        </is>
      </c>
    </row>
    <row r="6188">
      <c r="FC6188" t="inlineStr">
        <is>
          <t>Diccionario 6</t>
        </is>
      </c>
      <c r="FD6188" s="26" t="inlineStr">
        <is>
          <t>LL-B1132</t>
        </is>
      </c>
      <c r="FL6188" s="26" t="inlineStr">
        <is>
          <t>B</t>
        </is>
      </c>
      <c r="FP6188" s="26" t="inlineStr">
        <is>
          <t>B</t>
        </is>
      </c>
    </row>
    <row r="6189">
      <c r="FC6189" t="inlineStr">
        <is>
          <t>Diccionario 6</t>
        </is>
      </c>
      <c r="FD6189" s="26" t="inlineStr">
        <is>
          <t>LL-B1133</t>
        </is>
      </c>
      <c r="FL6189" s="26" t="inlineStr">
        <is>
          <t>B</t>
        </is>
      </c>
      <c r="FP6189" s="26" t="inlineStr">
        <is>
          <t>B</t>
        </is>
      </c>
    </row>
    <row r="6190">
      <c r="FC6190" t="inlineStr">
        <is>
          <t>Diccionario 6</t>
        </is>
      </c>
      <c r="FD6190" s="26" t="inlineStr">
        <is>
          <t>LL-B1134</t>
        </is>
      </c>
      <c r="FL6190" s="26" t="inlineStr">
        <is>
          <t>B</t>
        </is>
      </c>
      <c r="FP6190" s="26" t="inlineStr">
        <is>
          <t>B</t>
        </is>
      </c>
    </row>
    <row r="6191">
      <c r="FC6191" t="inlineStr">
        <is>
          <t>Diccionario 6</t>
        </is>
      </c>
      <c r="FD6191" s="26" t="inlineStr">
        <is>
          <t>LL-B1135</t>
        </is>
      </c>
      <c r="FL6191" s="26" t="inlineStr">
        <is>
          <t>B</t>
        </is>
      </c>
      <c r="FP6191" s="26" t="inlineStr">
        <is>
          <t>B</t>
        </is>
      </c>
    </row>
    <row r="6192">
      <c r="FC6192" t="inlineStr">
        <is>
          <t>Diccionario 6</t>
        </is>
      </c>
      <c r="FD6192" s="26" t="inlineStr">
        <is>
          <t>LL-B1136</t>
        </is>
      </c>
      <c r="FL6192" s="26" t="inlineStr">
        <is>
          <t>B</t>
        </is>
      </c>
      <c r="FP6192" s="26" t="inlineStr">
        <is>
          <t>B</t>
        </is>
      </c>
    </row>
    <row r="6193">
      <c r="FC6193" t="inlineStr">
        <is>
          <t>Diccionario 6</t>
        </is>
      </c>
      <c r="FD6193" s="26" t="inlineStr">
        <is>
          <t>LL-B1137</t>
        </is>
      </c>
      <c r="FL6193" s="26" t="inlineStr">
        <is>
          <t>B</t>
        </is>
      </c>
      <c r="FP6193" s="26" t="inlineStr">
        <is>
          <t>B</t>
        </is>
      </c>
    </row>
    <row r="6194">
      <c r="FC6194" t="inlineStr">
        <is>
          <t>Diccionario 6</t>
        </is>
      </c>
      <c r="FD6194" s="26" t="inlineStr">
        <is>
          <t>LL-B1138</t>
        </is>
      </c>
      <c r="FL6194" s="26" t="inlineStr">
        <is>
          <t>B</t>
        </is>
      </c>
      <c r="FP6194" s="26" t="inlineStr">
        <is>
          <t>B</t>
        </is>
      </c>
    </row>
    <row r="6195">
      <c r="FC6195" t="inlineStr">
        <is>
          <t>Diccionario 6</t>
        </is>
      </c>
      <c r="FD6195" s="26" t="inlineStr">
        <is>
          <t>LL-B1139</t>
        </is>
      </c>
      <c r="FL6195" s="26" t="inlineStr">
        <is>
          <t>B</t>
        </is>
      </c>
      <c r="FP6195" s="26" t="inlineStr">
        <is>
          <t>B</t>
        </is>
      </c>
    </row>
    <row r="6196">
      <c r="FC6196" t="inlineStr">
        <is>
          <t>Diccionario 6</t>
        </is>
      </c>
      <c r="FD6196" s="26" t="inlineStr">
        <is>
          <t>SJ-B1140</t>
        </is>
      </c>
      <c r="FL6196" s="26" t="inlineStr">
        <is>
          <t>B</t>
        </is>
      </c>
      <c r="FP6196" s="26" t="inlineStr">
        <is>
          <t>B</t>
        </is>
      </c>
    </row>
    <row r="6197">
      <c r="FC6197" t="inlineStr">
        <is>
          <t>Diccionario 6</t>
        </is>
      </c>
      <c r="FD6197" s="26" t="inlineStr">
        <is>
          <t>LL-B1141</t>
        </is>
      </c>
      <c r="FL6197" s="26" t="inlineStr">
        <is>
          <t>B</t>
        </is>
      </c>
      <c r="FP6197" s="26" t="inlineStr">
        <is>
          <t>B</t>
        </is>
      </c>
    </row>
    <row r="6198">
      <c r="FC6198" t="inlineStr">
        <is>
          <t>Diccionario 6</t>
        </is>
      </c>
      <c r="FD6198" s="26" t="inlineStr">
        <is>
          <t>LL-B1142</t>
        </is>
      </c>
      <c r="FL6198" s="26" t="inlineStr">
        <is>
          <t>B</t>
        </is>
      </c>
      <c r="FP6198" s="26" t="inlineStr">
        <is>
          <t>B</t>
        </is>
      </c>
    </row>
    <row r="6199">
      <c r="FC6199" t="inlineStr">
        <is>
          <t>Diccionario 6</t>
        </is>
      </c>
      <c r="FD6199" s="26" t="inlineStr">
        <is>
          <t>LL-B1143</t>
        </is>
      </c>
      <c r="FL6199" s="26" t="inlineStr">
        <is>
          <t>B</t>
        </is>
      </c>
      <c r="FP6199" s="26" t="inlineStr">
        <is>
          <t>B</t>
        </is>
      </c>
    </row>
    <row r="6200">
      <c r="FC6200" t="inlineStr">
        <is>
          <t>Diccionario 6</t>
        </is>
      </c>
      <c r="FD6200" s="26" t="inlineStr">
        <is>
          <t>LL-B1144</t>
        </is>
      </c>
      <c r="FL6200" s="26" t="inlineStr">
        <is>
          <t>B</t>
        </is>
      </c>
      <c r="FP6200" s="26" t="inlineStr">
        <is>
          <t>B</t>
        </is>
      </c>
    </row>
    <row r="6201">
      <c r="FC6201" t="inlineStr">
        <is>
          <t>Diccionario 6</t>
        </is>
      </c>
      <c r="FD6201" s="26" t="inlineStr">
        <is>
          <t>LL-B1145</t>
        </is>
      </c>
      <c r="FL6201" s="26" t="inlineStr">
        <is>
          <t>B</t>
        </is>
      </c>
      <c r="FP6201" s="26" t="inlineStr">
        <is>
          <t>B</t>
        </is>
      </c>
    </row>
    <row r="6202">
      <c r="FC6202" t="inlineStr">
        <is>
          <t>Diccionario 6</t>
        </is>
      </c>
      <c r="FD6202" s="26" t="inlineStr">
        <is>
          <t>LL-B1146</t>
        </is>
      </c>
      <c r="FL6202" s="26" t="inlineStr">
        <is>
          <t>B</t>
        </is>
      </c>
      <c r="FP6202" s="26" t="inlineStr">
        <is>
          <t>B</t>
        </is>
      </c>
    </row>
    <row r="6203">
      <c r="FC6203" t="inlineStr">
        <is>
          <t>Diccionario 6</t>
        </is>
      </c>
      <c r="FD6203" s="26" t="inlineStr">
        <is>
          <t>LL-B1147</t>
        </is>
      </c>
      <c r="FL6203" s="26" t="inlineStr">
        <is>
          <t>B</t>
        </is>
      </c>
      <c r="FP6203" s="26" t="inlineStr">
        <is>
          <t>B</t>
        </is>
      </c>
    </row>
    <row r="6204">
      <c r="FC6204" t="inlineStr">
        <is>
          <t>Diccionario 6</t>
        </is>
      </c>
      <c r="FD6204" s="26" t="inlineStr">
        <is>
          <t>LL-B1148</t>
        </is>
      </c>
      <c r="FL6204" s="26" t="inlineStr">
        <is>
          <t>B</t>
        </is>
      </c>
      <c r="FP6204" s="26" t="inlineStr">
        <is>
          <t>B</t>
        </is>
      </c>
    </row>
    <row r="6205">
      <c r="FC6205" t="inlineStr">
        <is>
          <t>Diccionario 6</t>
        </is>
      </c>
      <c r="FD6205" s="26" t="inlineStr">
        <is>
          <t>SJ-B1149</t>
        </is>
      </c>
      <c r="FL6205" s="26" t="inlineStr">
        <is>
          <t>B</t>
        </is>
      </c>
      <c r="FP6205" s="26" t="inlineStr">
        <is>
          <t>B</t>
        </is>
      </c>
    </row>
    <row r="6206">
      <c r="FC6206" t="inlineStr">
        <is>
          <t>Diccionario 6</t>
        </is>
      </c>
      <c r="FD6206" s="26" t="inlineStr">
        <is>
          <t>SJ-B1150</t>
        </is>
      </c>
      <c r="FL6206" s="26" t="inlineStr">
        <is>
          <t>B</t>
        </is>
      </c>
      <c r="FP6206" s="26" t="inlineStr">
        <is>
          <t>B</t>
        </is>
      </c>
    </row>
    <row r="6207">
      <c r="FC6207" t="inlineStr">
        <is>
          <t>Diccionario 6</t>
        </is>
      </c>
      <c r="FD6207" s="26" t="inlineStr">
        <is>
          <t>SJ-B1151</t>
        </is>
      </c>
      <c r="FL6207" s="26" t="inlineStr">
        <is>
          <t>B</t>
        </is>
      </c>
      <c r="FP6207" s="26" t="inlineStr">
        <is>
          <t>B</t>
        </is>
      </c>
    </row>
    <row r="6208">
      <c r="FC6208" t="inlineStr">
        <is>
          <t>Diccionario 6</t>
        </is>
      </c>
      <c r="FD6208" s="26" t="inlineStr">
        <is>
          <t>CER-B1152</t>
        </is>
      </c>
      <c r="FL6208" s="26" t="inlineStr">
        <is>
          <t>B</t>
        </is>
      </c>
      <c r="FP6208" s="26" t="inlineStr">
        <is>
          <t>B</t>
        </is>
      </c>
    </row>
    <row r="6209">
      <c r="FC6209" t="inlineStr">
        <is>
          <t>Diccionario 6</t>
        </is>
      </c>
      <c r="FD6209" s="26" t="inlineStr">
        <is>
          <t>SA-B1153</t>
        </is>
      </c>
      <c r="FL6209" s="26" t="inlineStr">
        <is>
          <t>B</t>
        </is>
      </c>
      <c r="FP6209" s="26" t="inlineStr">
        <is>
          <t>B</t>
        </is>
      </c>
    </row>
    <row r="6210">
      <c r="FC6210" t="inlineStr">
        <is>
          <t>Diccionario 6</t>
        </is>
      </c>
      <c r="FD6210" s="26" t="inlineStr">
        <is>
          <t>PA-C1154</t>
        </is>
      </c>
      <c r="FL6210" s="26" t="inlineStr">
        <is>
          <t>C</t>
        </is>
      </c>
      <c r="FP6210" s="26" t="inlineStr">
        <is>
          <t>C</t>
        </is>
      </c>
    </row>
    <row r="6211">
      <c r="FC6211" t="inlineStr">
        <is>
          <t>Diccionario 6</t>
        </is>
      </c>
      <c r="FD6211" s="26" t="inlineStr">
        <is>
          <t>PA-C1155</t>
        </is>
      </c>
      <c r="FL6211" s="26" t="inlineStr">
        <is>
          <t>C</t>
        </is>
      </c>
      <c r="FP6211" s="26" t="inlineStr">
        <is>
          <t>C</t>
        </is>
      </c>
    </row>
    <row r="6212">
      <c r="FC6212" t="inlineStr">
        <is>
          <t>Diccionario 6</t>
        </is>
      </c>
      <c r="FD6212" s="26" t="inlineStr">
        <is>
          <t>PA-C1156</t>
        </is>
      </c>
      <c r="FL6212" s="26" t="inlineStr">
        <is>
          <t>C</t>
        </is>
      </c>
      <c r="FP6212" s="26" t="inlineStr">
        <is>
          <t>C</t>
        </is>
      </c>
    </row>
    <row r="6213">
      <c r="FC6213" t="inlineStr">
        <is>
          <t>Diccionario 6</t>
        </is>
      </c>
      <c r="FD6213" s="26" t="inlineStr">
        <is>
          <t>PA-C1157</t>
        </is>
      </c>
      <c r="FL6213" s="26" t="inlineStr">
        <is>
          <t>C</t>
        </is>
      </c>
      <c r="FP6213" s="26" t="inlineStr">
        <is>
          <t>C</t>
        </is>
      </c>
    </row>
    <row r="6214">
      <c r="FC6214" t="inlineStr">
        <is>
          <t>Diccionario 6</t>
        </is>
      </c>
      <c r="FD6214" s="26" t="inlineStr">
        <is>
          <t>PA-C1158</t>
        </is>
      </c>
      <c r="FL6214" s="26" t="inlineStr">
        <is>
          <t>C</t>
        </is>
      </c>
      <c r="FP6214" s="26" t="inlineStr">
        <is>
          <t>C</t>
        </is>
      </c>
    </row>
    <row r="6215">
      <c r="FC6215" t="inlineStr">
        <is>
          <t>Diccionario 6</t>
        </is>
      </c>
      <c r="FD6215" s="26" t="inlineStr">
        <is>
          <t>PA-C1159</t>
        </is>
      </c>
      <c r="FL6215" s="26" t="inlineStr">
        <is>
          <t>C</t>
        </is>
      </c>
      <c r="FP6215" s="26" t="inlineStr">
        <is>
          <t>C</t>
        </is>
      </c>
    </row>
    <row r="6216">
      <c r="FC6216" t="inlineStr">
        <is>
          <t>Diccionario 6</t>
        </is>
      </c>
      <c r="FD6216" s="26" t="inlineStr">
        <is>
          <t>PA-C1160</t>
        </is>
      </c>
      <c r="FL6216" s="26" t="inlineStr">
        <is>
          <t>C</t>
        </is>
      </c>
      <c r="FP6216" s="26" t="inlineStr">
        <is>
          <t>C</t>
        </is>
      </c>
    </row>
    <row r="6217">
      <c r="FC6217" t="inlineStr">
        <is>
          <t>Diccionario 6</t>
        </is>
      </c>
      <c r="FD6217" s="26" t="inlineStr">
        <is>
          <t>PA-C1161</t>
        </is>
      </c>
      <c r="FL6217" s="26" t="inlineStr">
        <is>
          <t>C</t>
        </is>
      </c>
      <c r="FP6217" s="26" t="inlineStr">
        <is>
          <t>C</t>
        </is>
      </c>
    </row>
    <row r="6218">
      <c r="FC6218" t="inlineStr">
        <is>
          <t>Diccionario 6</t>
        </is>
      </c>
      <c r="FD6218" s="26" t="inlineStr">
        <is>
          <t>PA-C1162</t>
        </is>
      </c>
      <c r="FL6218" s="26" t="inlineStr">
        <is>
          <t>C</t>
        </is>
      </c>
      <c r="FP6218" s="26" t="inlineStr">
        <is>
          <t>C</t>
        </is>
      </c>
    </row>
    <row r="6219">
      <c r="FC6219" t="inlineStr">
        <is>
          <t>Diccionario 6</t>
        </is>
      </c>
      <c r="FD6219" s="26" t="inlineStr">
        <is>
          <t>PA-C1163</t>
        </is>
      </c>
      <c r="FL6219" s="26" t="inlineStr">
        <is>
          <t>C</t>
        </is>
      </c>
      <c r="FP6219" s="26" t="inlineStr">
        <is>
          <t>C</t>
        </is>
      </c>
    </row>
    <row r="6220">
      <c r="FC6220" t="inlineStr">
        <is>
          <t>Diccionario 6</t>
        </is>
      </c>
      <c r="FD6220" s="26" t="inlineStr">
        <is>
          <t>PA-C1164</t>
        </is>
      </c>
      <c r="FL6220" s="26" t="inlineStr">
        <is>
          <t>C</t>
        </is>
      </c>
      <c r="FP6220" s="26" t="inlineStr">
        <is>
          <t>C</t>
        </is>
      </c>
    </row>
    <row r="6221">
      <c r="FC6221" t="inlineStr">
        <is>
          <t>Diccionario 6</t>
        </is>
      </c>
      <c r="FD6221" s="26" t="inlineStr">
        <is>
          <t>PA-C1165</t>
        </is>
      </c>
      <c r="FL6221" s="26" t="inlineStr">
        <is>
          <t>C</t>
        </is>
      </c>
      <c r="FP6221" s="26" t="inlineStr">
        <is>
          <t>C</t>
        </is>
      </c>
    </row>
    <row r="6222">
      <c r="FC6222" t="inlineStr">
        <is>
          <t>Diccionario 6</t>
        </is>
      </c>
      <c r="FD6222" s="26" t="inlineStr">
        <is>
          <t>PA-C1166</t>
        </is>
      </c>
      <c r="FL6222" s="26" t="inlineStr">
        <is>
          <t>C</t>
        </is>
      </c>
      <c r="FP6222" s="26" t="inlineStr">
        <is>
          <t>C</t>
        </is>
      </c>
    </row>
    <row r="6223">
      <c r="FC6223" t="inlineStr">
        <is>
          <t>Diccionario 6</t>
        </is>
      </c>
      <c r="FD6223" s="26" t="inlineStr">
        <is>
          <t>PA-C1167</t>
        </is>
      </c>
      <c r="FL6223" s="26" t="inlineStr">
        <is>
          <t>C</t>
        </is>
      </c>
      <c r="FP6223" s="26" t="inlineStr">
        <is>
          <t>C</t>
        </is>
      </c>
    </row>
    <row r="6224">
      <c r="FC6224" t="inlineStr">
        <is>
          <t>Diccionario 6</t>
        </is>
      </c>
      <c r="FD6224" s="26" t="inlineStr">
        <is>
          <t>PA-C1168</t>
        </is>
      </c>
      <c r="FL6224" s="26" t="inlineStr">
        <is>
          <t>C</t>
        </is>
      </c>
      <c r="FP6224" s="26" t="inlineStr">
        <is>
          <t>C</t>
        </is>
      </c>
    </row>
    <row r="6225">
      <c r="FC6225" t="inlineStr">
        <is>
          <t>Diccionario 6</t>
        </is>
      </c>
      <c r="FD6225" s="26" t="inlineStr">
        <is>
          <t>PA-C1169</t>
        </is>
      </c>
      <c r="FL6225" s="26" t="inlineStr">
        <is>
          <t>C</t>
        </is>
      </c>
      <c r="FP6225" s="26" t="inlineStr">
        <is>
          <t>C</t>
        </is>
      </c>
    </row>
    <row r="6226">
      <c r="FC6226" t="inlineStr">
        <is>
          <t>Diccionario 6</t>
        </is>
      </c>
      <c r="FD6226" s="26" t="inlineStr">
        <is>
          <t>PA-C1170</t>
        </is>
      </c>
      <c r="FL6226" s="26" t="inlineStr">
        <is>
          <t>C</t>
        </is>
      </c>
      <c r="FP6226" s="26" t="inlineStr">
        <is>
          <t>C</t>
        </is>
      </c>
    </row>
    <row r="6227">
      <c r="FC6227" t="inlineStr">
        <is>
          <t>Diccionario 6</t>
        </is>
      </c>
      <c r="FD6227" s="26" t="inlineStr">
        <is>
          <t>PA-C1171</t>
        </is>
      </c>
      <c r="FL6227" s="26" t="inlineStr">
        <is>
          <t>C</t>
        </is>
      </c>
      <c r="FP6227" s="26" t="inlineStr">
        <is>
          <t>C</t>
        </is>
      </c>
    </row>
    <row r="6228">
      <c r="FC6228" t="inlineStr">
        <is>
          <t>Diccionario 6</t>
        </is>
      </c>
      <c r="FD6228" s="26" t="inlineStr">
        <is>
          <t>PA-C1172</t>
        </is>
      </c>
      <c r="FL6228" s="26" t="inlineStr">
        <is>
          <t>C</t>
        </is>
      </c>
      <c r="FP6228" s="26" t="inlineStr">
        <is>
          <t>C</t>
        </is>
      </c>
    </row>
    <row r="6229">
      <c r="FC6229" t="inlineStr">
        <is>
          <t>Diccionario 6</t>
        </is>
      </c>
      <c r="FD6229" s="26" t="inlineStr">
        <is>
          <t>PA-C1173</t>
        </is>
      </c>
      <c r="FL6229" s="26" t="inlineStr">
        <is>
          <t>C</t>
        </is>
      </c>
      <c r="FP6229" s="26" t="inlineStr">
        <is>
          <t>C</t>
        </is>
      </c>
    </row>
    <row r="6230">
      <c r="FC6230" t="inlineStr">
        <is>
          <t>Diccionario 6</t>
        </is>
      </c>
      <c r="FD6230" s="26" t="inlineStr">
        <is>
          <t>PA-C1174</t>
        </is>
      </c>
      <c r="FL6230" s="26" t="inlineStr">
        <is>
          <t>C</t>
        </is>
      </c>
      <c r="FP6230" s="26" t="inlineStr">
        <is>
          <t>C</t>
        </is>
      </c>
    </row>
    <row r="6231">
      <c r="FC6231" t="inlineStr">
        <is>
          <t>Diccionario 6</t>
        </is>
      </c>
      <c r="FD6231" s="26" t="inlineStr">
        <is>
          <t>PA-C1175</t>
        </is>
      </c>
      <c r="FL6231" s="26" t="inlineStr">
        <is>
          <t>C</t>
        </is>
      </c>
      <c r="FP6231" s="26" t="inlineStr">
        <is>
          <t>C</t>
        </is>
      </c>
    </row>
    <row r="6232">
      <c r="FC6232" t="inlineStr">
        <is>
          <t>Diccionario 6</t>
        </is>
      </c>
      <c r="FD6232" s="26" t="inlineStr">
        <is>
          <t>PA-C1176</t>
        </is>
      </c>
      <c r="FL6232" s="26" t="inlineStr">
        <is>
          <t>C</t>
        </is>
      </c>
      <c r="FP6232" s="26" t="inlineStr">
        <is>
          <t>C</t>
        </is>
      </c>
    </row>
    <row r="6233">
      <c r="FC6233" t="inlineStr">
        <is>
          <t>Diccionario 6</t>
        </is>
      </c>
      <c r="FD6233" s="26" t="inlineStr">
        <is>
          <t>PA-C1177</t>
        </is>
      </c>
      <c r="FL6233" s="26" t="inlineStr">
        <is>
          <t>C</t>
        </is>
      </c>
      <c r="FP6233" s="26" t="inlineStr">
        <is>
          <t>C</t>
        </is>
      </c>
    </row>
    <row r="6234">
      <c r="FC6234" t="inlineStr">
        <is>
          <t>Diccionario 6</t>
        </is>
      </c>
      <c r="FD6234" s="26" t="inlineStr">
        <is>
          <t>PA-C1178</t>
        </is>
      </c>
      <c r="FL6234" s="26" t="inlineStr">
        <is>
          <t>C</t>
        </is>
      </c>
      <c r="FP6234" s="26" t="inlineStr">
        <is>
          <t>C</t>
        </is>
      </c>
    </row>
    <row r="6235">
      <c r="FC6235" t="inlineStr">
        <is>
          <t>Diccionario 6</t>
        </is>
      </c>
      <c r="FD6235" s="26" t="inlineStr">
        <is>
          <t>PA-C1179</t>
        </is>
      </c>
      <c r="FL6235" s="26" t="inlineStr">
        <is>
          <t>C</t>
        </is>
      </c>
      <c r="FP6235" s="26" t="inlineStr">
        <is>
          <t>C</t>
        </is>
      </c>
    </row>
    <row r="6236">
      <c r="FC6236" t="inlineStr">
        <is>
          <t>Diccionario 6</t>
        </is>
      </c>
      <c r="FD6236" s="26" t="inlineStr">
        <is>
          <t>PA-C1180</t>
        </is>
      </c>
      <c r="FL6236" s="26" t="inlineStr">
        <is>
          <t>C</t>
        </is>
      </c>
      <c r="FP6236" s="26" t="inlineStr">
        <is>
          <t>C</t>
        </is>
      </c>
    </row>
    <row r="6237">
      <c r="FC6237" t="inlineStr">
        <is>
          <t>Diccionario 6</t>
        </is>
      </c>
      <c r="FD6237" s="26" t="inlineStr">
        <is>
          <t>PA-C1181</t>
        </is>
      </c>
      <c r="FL6237" s="26" t="inlineStr">
        <is>
          <t>C</t>
        </is>
      </c>
      <c r="FP6237" s="26" t="inlineStr">
        <is>
          <t>C</t>
        </is>
      </c>
    </row>
    <row r="6238">
      <c r="FC6238" t="inlineStr">
        <is>
          <t>Diccionario 6</t>
        </is>
      </c>
      <c r="FD6238" s="26" t="inlineStr">
        <is>
          <t>PA-C1182</t>
        </is>
      </c>
      <c r="FL6238" s="26" t="inlineStr">
        <is>
          <t>C</t>
        </is>
      </c>
      <c r="FP6238" s="26" t="inlineStr">
        <is>
          <t>C</t>
        </is>
      </c>
    </row>
    <row r="6239">
      <c r="FC6239" t="inlineStr">
        <is>
          <t>Diccionario 6</t>
        </is>
      </c>
      <c r="FD6239" s="26" t="inlineStr">
        <is>
          <t>PA-C1183</t>
        </is>
      </c>
      <c r="FL6239" s="26" t="inlineStr">
        <is>
          <t>C</t>
        </is>
      </c>
      <c r="FP6239" s="26" t="inlineStr">
        <is>
          <t>C</t>
        </is>
      </c>
    </row>
    <row r="6240">
      <c r="FC6240" t="inlineStr">
        <is>
          <t>Diccionario 6</t>
        </is>
      </c>
      <c r="FD6240" s="26" t="inlineStr">
        <is>
          <t>PA-C1184</t>
        </is>
      </c>
      <c r="FL6240" s="26" t="inlineStr">
        <is>
          <t>C</t>
        </is>
      </c>
      <c r="FP6240" s="26" t="inlineStr">
        <is>
          <t>C</t>
        </is>
      </c>
    </row>
    <row r="6241">
      <c r="FC6241" t="inlineStr">
        <is>
          <t>Diccionario 6</t>
        </is>
      </c>
      <c r="FD6241" s="26" t="inlineStr">
        <is>
          <t>PA-C1185</t>
        </is>
      </c>
      <c r="FL6241" s="26" t="inlineStr">
        <is>
          <t>C</t>
        </is>
      </c>
      <c r="FP6241" s="26" t="inlineStr">
        <is>
          <t>C</t>
        </is>
      </c>
    </row>
    <row r="6242">
      <c r="FC6242" t="inlineStr">
        <is>
          <t>Diccionario 6</t>
        </is>
      </c>
      <c r="FD6242" s="26" t="inlineStr">
        <is>
          <t>PA-C1187</t>
        </is>
      </c>
      <c r="FL6242" s="26" t="inlineStr">
        <is>
          <t>C</t>
        </is>
      </c>
      <c r="FP6242" s="26" t="inlineStr">
        <is>
          <t>C</t>
        </is>
      </c>
    </row>
    <row r="6243">
      <c r="FC6243" t="inlineStr">
        <is>
          <t>Diccionario 6</t>
        </is>
      </c>
      <c r="FD6243" s="26" t="inlineStr">
        <is>
          <t>PA-C1188</t>
        </is>
      </c>
      <c r="FL6243" s="26" t="inlineStr">
        <is>
          <t>C</t>
        </is>
      </c>
      <c r="FP6243" s="26" t="inlineStr">
        <is>
          <t>C</t>
        </is>
      </c>
    </row>
    <row r="6244">
      <c r="FC6244" t="inlineStr">
        <is>
          <t>Diccionario 6</t>
        </is>
      </c>
      <c r="FD6244" s="26" t="inlineStr">
        <is>
          <t>PA-C1189</t>
        </is>
      </c>
      <c r="FL6244" s="26" t="inlineStr">
        <is>
          <t>C</t>
        </is>
      </c>
      <c r="FP6244" s="26" t="inlineStr">
        <is>
          <t>C</t>
        </is>
      </c>
    </row>
    <row r="6245">
      <c r="FC6245" t="inlineStr">
        <is>
          <t>Diccionario 6</t>
        </is>
      </c>
      <c r="FD6245" s="26" t="inlineStr">
        <is>
          <t>PA-C1190</t>
        </is>
      </c>
      <c r="FL6245" s="26" t="inlineStr">
        <is>
          <t>C</t>
        </is>
      </c>
      <c r="FP6245" s="26" t="inlineStr">
        <is>
          <t>C</t>
        </is>
      </c>
    </row>
    <row r="6246">
      <c r="FC6246" t="inlineStr">
        <is>
          <t>Diccionario 6</t>
        </is>
      </c>
      <c r="FD6246" s="26" t="inlineStr">
        <is>
          <t>PA-C1191</t>
        </is>
      </c>
      <c r="FL6246" s="26" t="inlineStr">
        <is>
          <t>C</t>
        </is>
      </c>
      <c r="FP6246" s="26" t="inlineStr">
        <is>
          <t>C</t>
        </is>
      </c>
    </row>
    <row r="6247">
      <c r="FC6247" t="inlineStr">
        <is>
          <t>Diccionario 6</t>
        </is>
      </c>
      <c r="FD6247" s="26" t="inlineStr">
        <is>
          <t>PA-C1192</t>
        </is>
      </c>
      <c r="FL6247" s="26" t="inlineStr">
        <is>
          <t>C</t>
        </is>
      </c>
      <c r="FP6247" s="26" t="inlineStr">
        <is>
          <t>C</t>
        </is>
      </c>
    </row>
    <row r="6248">
      <c r="FC6248" t="inlineStr">
        <is>
          <t>Diccionario 6</t>
        </is>
      </c>
      <c r="FD6248" s="26" t="inlineStr">
        <is>
          <t>PA-C1193</t>
        </is>
      </c>
      <c r="FL6248" s="26" t="inlineStr">
        <is>
          <t>C</t>
        </is>
      </c>
      <c r="FP6248" s="26" t="inlineStr">
        <is>
          <t>C</t>
        </is>
      </c>
    </row>
    <row r="6249">
      <c r="FC6249" t="inlineStr">
        <is>
          <t>Diccionario 6</t>
        </is>
      </c>
      <c r="FD6249" s="26" t="inlineStr">
        <is>
          <t>PA-C1194</t>
        </is>
      </c>
      <c r="FL6249" s="26" t="inlineStr">
        <is>
          <t>C</t>
        </is>
      </c>
      <c r="FP6249" s="26" t="inlineStr">
        <is>
          <t>C</t>
        </is>
      </c>
    </row>
    <row r="6250">
      <c r="FC6250" t="inlineStr">
        <is>
          <t>Diccionario 6</t>
        </is>
      </c>
      <c r="FD6250" s="26" t="inlineStr">
        <is>
          <t>PA-C1195</t>
        </is>
      </c>
      <c r="FL6250" s="26" t="inlineStr">
        <is>
          <t>C</t>
        </is>
      </c>
      <c r="FP6250" s="26" t="inlineStr">
        <is>
          <t>C</t>
        </is>
      </c>
    </row>
    <row r="6251">
      <c r="FC6251" t="inlineStr">
        <is>
          <t>Diccionario 6</t>
        </is>
      </c>
      <c r="FD6251" s="26" t="inlineStr">
        <is>
          <t>PA-C1196</t>
        </is>
      </c>
      <c r="FL6251" s="26" t="inlineStr">
        <is>
          <t>C</t>
        </is>
      </c>
      <c r="FP6251" s="26" t="inlineStr">
        <is>
          <t>C</t>
        </is>
      </c>
    </row>
    <row r="6252">
      <c r="FC6252" t="inlineStr">
        <is>
          <t>Diccionario 6</t>
        </is>
      </c>
      <c r="FD6252" s="26" t="inlineStr">
        <is>
          <t>PA-C1197</t>
        </is>
      </c>
      <c r="FL6252" s="26" t="inlineStr">
        <is>
          <t>C</t>
        </is>
      </c>
      <c r="FP6252" s="26" t="inlineStr">
        <is>
          <t>C</t>
        </is>
      </c>
    </row>
    <row r="6253">
      <c r="FC6253" t="inlineStr">
        <is>
          <t>Diccionario 6</t>
        </is>
      </c>
      <c r="FD6253" s="26" t="inlineStr">
        <is>
          <t>PA-C1198</t>
        </is>
      </c>
      <c r="FL6253" s="26" t="inlineStr">
        <is>
          <t>C</t>
        </is>
      </c>
      <c r="FP6253" s="26" t="inlineStr">
        <is>
          <t>C</t>
        </is>
      </c>
    </row>
    <row r="6254">
      <c r="FC6254" t="inlineStr">
        <is>
          <t>Diccionario 6</t>
        </is>
      </c>
      <c r="FD6254" s="26" t="inlineStr">
        <is>
          <t>PA-C1199</t>
        </is>
      </c>
      <c r="FL6254" s="26" t="inlineStr">
        <is>
          <t>C</t>
        </is>
      </c>
      <c r="FP6254" s="26" t="inlineStr">
        <is>
          <t>C</t>
        </is>
      </c>
    </row>
    <row r="6255">
      <c r="FC6255" t="inlineStr">
        <is>
          <t>Diccionario 6</t>
        </is>
      </c>
      <c r="FD6255" s="26" t="inlineStr">
        <is>
          <t>PA-C1200</t>
        </is>
      </c>
      <c r="FL6255" s="26" t="inlineStr">
        <is>
          <t>C</t>
        </is>
      </c>
      <c r="FP6255" s="26" t="inlineStr">
        <is>
          <t>C</t>
        </is>
      </c>
    </row>
    <row r="6256">
      <c r="FC6256" t="inlineStr">
        <is>
          <t>Diccionario 6</t>
        </is>
      </c>
      <c r="FD6256" s="26" t="inlineStr">
        <is>
          <t>PA-C1201</t>
        </is>
      </c>
      <c r="FL6256" s="26" t="inlineStr">
        <is>
          <t>C</t>
        </is>
      </c>
      <c r="FP6256" s="26" t="inlineStr">
        <is>
          <t>C</t>
        </is>
      </c>
    </row>
    <row r="6257">
      <c r="FC6257" t="inlineStr">
        <is>
          <t>Diccionario 6</t>
        </is>
      </c>
      <c r="FD6257" s="26" t="inlineStr">
        <is>
          <t>PA-C1202</t>
        </is>
      </c>
      <c r="FL6257" s="26" t="inlineStr">
        <is>
          <t>C</t>
        </is>
      </c>
      <c r="FP6257" s="26" t="inlineStr">
        <is>
          <t>C</t>
        </is>
      </c>
    </row>
    <row r="6258">
      <c r="FC6258" t="inlineStr">
        <is>
          <t>Diccionario 6</t>
        </is>
      </c>
      <c r="FD6258" s="26" t="inlineStr">
        <is>
          <t>PA-C1203</t>
        </is>
      </c>
      <c r="FL6258" s="26" t="inlineStr">
        <is>
          <t>C</t>
        </is>
      </c>
      <c r="FP6258" s="26" t="inlineStr">
        <is>
          <t>C</t>
        </is>
      </c>
    </row>
    <row r="6259">
      <c r="FC6259" t="inlineStr">
        <is>
          <t>Diccionario 6</t>
        </is>
      </c>
      <c r="FD6259" s="26" t="inlineStr">
        <is>
          <t>PA-C1204</t>
        </is>
      </c>
      <c r="FL6259" s="26" t="inlineStr">
        <is>
          <t>C</t>
        </is>
      </c>
      <c r="FP6259" s="26" t="inlineStr">
        <is>
          <t>C</t>
        </is>
      </c>
    </row>
    <row r="6260">
      <c r="FC6260" t="inlineStr">
        <is>
          <t>Diccionario 6</t>
        </is>
      </c>
      <c r="FD6260" s="26" t="inlineStr">
        <is>
          <t>PA-C1205</t>
        </is>
      </c>
      <c r="FL6260" s="26" t="inlineStr">
        <is>
          <t>C</t>
        </is>
      </c>
      <c r="FP6260" s="26" t="inlineStr">
        <is>
          <t>C</t>
        </is>
      </c>
    </row>
    <row r="6261">
      <c r="FC6261" t="inlineStr">
        <is>
          <t>Diccionario 6</t>
        </is>
      </c>
      <c r="FD6261" s="26" t="inlineStr">
        <is>
          <t>PA-C1206</t>
        </is>
      </c>
      <c r="FL6261" s="26" t="inlineStr">
        <is>
          <t>C</t>
        </is>
      </c>
      <c r="FP6261" s="26" t="inlineStr">
        <is>
          <t>C</t>
        </is>
      </c>
    </row>
    <row r="6262">
      <c r="FC6262" t="inlineStr">
        <is>
          <t>Diccionario 6</t>
        </is>
      </c>
      <c r="FD6262" s="26" t="inlineStr">
        <is>
          <t>PA-C1207</t>
        </is>
      </c>
      <c r="FL6262" s="26" t="inlineStr">
        <is>
          <t>C</t>
        </is>
      </c>
      <c r="FP6262" s="26" t="inlineStr">
        <is>
          <t>C</t>
        </is>
      </c>
    </row>
    <row r="6263">
      <c r="FC6263" t="inlineStr">
        <is>
          <t>Diccionario 6</t>
        </is>
      </c>
      <c r="FD6263" s="26" t="inlineStr">
        <is>
          <t>PA-C1208</t>
        </is>
      </c>
      <c r="FL6263" s="26" t="inlineStr">
        <is>
          <t>C</t>
        </is>
      </c>
      <c r="FP6263" s="26" t="inlineStr">
        <is>
          <t>C</t>
        </is>
      </c>
    </row>
    <row r="6264">
      <c r="FC6264" t="inlineStr">
        <is>
          <t>Diccionario 6</t>
        </is>
      </c>
      <c r="FD6264" s="26" t="inlineStr">
        <is>
          <t>PA-C1209</t>
        </is>
      </c>
      <c r="FL6264" s="26" t="inlineStr">
        <is>
          <t>C</t>
        </is>
      </c>
      <c r="FP6264" s="26" t="inlineStr">
        <is>
          <t>C</t>
        </is>
      </c>
    </row>
    <row r="6265">
      <c r="FC6265" t="inlineStr">
        <is>
          <t>Diccionario 6</t>
        </is>
      </c>
      <c r="FD6265" s="26" t="inlineStr">
        <is>
          <t>PA-C1210</t>
        </is>
      </c>
      <c r="FL6265" s="26" t="inlineStr">
        <is>
          <t>C</t>
        </is>
      </c>
      <c r="FP6265" s="26" t="inlineStr">
        <is>
          <t>C</t>
        </is>
      </c>
    </row>
    <row r="6266">
      <c r="FC6266" t="inlineStr">
        <is>
          <t>Diccionario 6</t>
        </is>
      </c>
      <c r="FD6266" s="26" t="inlineStr">
        <is>
          <t>PA-C1211</t>
        </is>
      </c>
      <c r="FL6266" s="26" t="inlineStr">
        <is>
          <t>C</t>
        </is>
      </c>
      <c r="FP6266" s="26" t="inlineStr">
        <is>
          <t>C</t>
        </is>
      </c>
    </row>
    <row r="6267">
      <c r="FC6267" t="inlineStr">
        <is>
          <t>Diccionario 6</t>
        </is>
      </c>
      <c r="FD6267" s="26" t="inlineStr">
        <is>
          <t>PA-C1212</t>
        </is>
      </c>
      <c r="FL6267" s="26" t="inlineStr">
        <is>
          <t>C</t>
        </is>
      </c>
      <c r="FP6267" s="26" t="inlineStr">
        <is>
          <t>C</t>
        </is>
      </c>
    </row>
    <row r="6268">
      <c r="FC6268" t="inlineStr">
        <is>
          <t>Diccionario 6</t>
        </is>
      </c>
      <c r="FD6268" s="26" t="inlineStr">
        <is>
          <t>SA-C1213</t>
        </is>
      </c>
      <c r="FL6268" s="26" t="inlineStr">
        <is>
          <t>C</t>
        </is>
      </c>
      <c r="FP6268" s="26" t="inlineStr">
        <is>
          <t>C</t>
        </is>
      </c>
    </row>
    <row r="6269">
      <c r="FC6269" t="inlineStr">
        <is>
          <t>Diccionario 6</t>
        </is>
      </c>
      <c r="FD6269" s="26" t="inlineStr">
        <is>
          <t>SA-C1214</t>
        </is>
      </c>
      <c r="FL6269" s="26" t="inlineStr">
        <is>
          <t>C</t>
        </is>
      </c>
      <c r="FP6269" s="26" t="inlineStr">
        <is>
          <t>C</t>
        </is>
      </c>
    </row>
    <row r="6270">
      <c r="FC6270" t="inlineStr">
        <is>
          <t>Diccionario 6</t>
        </is>
      </c>
      <c r="FD6270" s="26" t="inlineStr">
        <is>
          <t>SA-C1215</t>
        </is>
      </c>
      <c r="FL6270" s="26" t="inlineStr">
        <is>
          <t>C</t>
        </is>
      </c>
      <c r="FP6270" s="26" t="inlineStr">
        <is>
          <t>C</t>
        </is>
      </c>
    </row>
    <row r="6271">
      <c r="FC6271" t="inlineStr">
        <is>
          <t>Diccionario 6</t>
        </is>
      </c>
      <c r="FD6271" s="26" t="inlineStr">
        <is>
          <t>SA-C1216</t>
        </is>
      </c>
      <c r="FL6271" s="26" t="inlineStr">
        <is>
          <t>C</t>
        </is>
      </c>
      <c r="FP6271" s="26" t="inlineStr">
        <is>
          <t>C</t>
        </is>
      </c>
    </row>
    <row r="6272">
      <c r="FC6272" t="inlineStr">
        <is>
          <t>Diccionario 6</t>
        </is>
      </c>
      <c r="FD6272" s="26" t="inlineStr">
        <is>
          <t>SA-C1217</t>
        </is>
      </c>
      <c r="FL6272" s="26" t="inlineStr">
        <is>
          <t>C</t>
        </is>
      </c>
      <c r="FP6272" s="26" t="inlineStr">
        <is>
          <t>C</t>
        </is>
      </c>
    </row>
    <row r="6273">
      <c r="FC6273" t="inlineStr">
        <is>
          <t>Diccionario 6</t>
        </is>
      </c>
      <c r="FD6273" s="26" t="inlineStr">
        <is>
          <t>SA-C1218</t>
        </is>
      </c>
      <c r="FL6273" s="26" t="inlineStr">
        <is>
          <t>C</t>
        </is>
      </c>
      <c r="FP6273" s="26" t="inlineStr">
        <is>
          <t>C</t>
        </is>
      </c>
    </row>
    <row r="6274">
      <c r="FC6274" t="inlineStr">
        <is>
          <t>Diccionario 6</t>
        </is>
      </c>
      <c r="FD6274" s="26" t="inlineStr">
        <is>
          <t>SA-C1219</t>
        </is>
      </c>
      <c r="FL6274" s="26" t="inlineStr">
        <is>
          <t>C</t>
        </is>
      </c>
      <c r="FP6274" s="26" t="inlineStr">
        <is>
          <t>C</t>
        </is>
      </c>
    </row>
    <row r="6275">
      <c r="FC6275" t="inlineStr">
        <is>
          <t>Diccionario 6</t>
        </is>
      </c>
      <c r="FD6275" s="26" t="inlineStr">
        <is>
          <t>SA-C1220</t>
        </is>
      </c>
      <c r="FL6275" s="26" t="inlineStr">
        <is>
          <t>C</t>
        </is>
      </c>
      <c r="FP6275" s="26" t="inlineStr">
        <is>
          <t>C</t>
        </is>
      </c>
    </row>
    <row r="6276">
      <c r="FC6276" t="inlineStr">
        <is>
          <t>Diccionario 6</t>
        </is>
      </c>
      <c r="FD6276" s="26" t="inlineStr">
        <is>
          <t>SA-C1221</t>
        </is>
      </c>
      <c r="FL6276" s="26" t="inlineStr">
        <is>
          <t>C</t>
        </is>
      </c>
      <c r="FP6276" s="26" t="inlineStr">
        <is>
          <t>C</t>
        </is>
      </c>
    </row>
    <row r="6277">
      <c r="FC6277" t="inlineStr">
        <is>
          <t>Diccionario 6</t>
        </is>
      </c>
      <c r="FD6277" s="26" t="inlineStr">
        <is>
          <t>SA-C1222</t>
        </is>
      </c>
      <c r="FL6277" s="26" t="inlineStr">
        <is>
          <t>C</t>
        </is>
      </c>
      <c r="FP6277" s="26" t="inlineStr">
        <is>
          <t>C</t>
        </is>
      </c>
    </row>
    <row r="6278">
      <c r="FC6278" t="inlineStr">
        <is>
          <t>Diccionario 6</t>
        </is>
      </c>
      <c r="FD6278" s="26" t="inlineStr">
        <is>
          <t>SA-C1223</t>
        </is>
      </c>
      <c r="FL6278" s="26" t="inlineStr">
        <is>
          <t>C</t>
        </is>
      </c>
      <c r="FP6278" s="26" t="inlineStr">
        <is>
          <t>C</t>
        </is>
      </c>
    </row>
    <row r="6279">
      <c r="FC6279" t="inlineStr">
        <is>
          <t>Diccionario 6</t>
        </is>
      </c>
      <c r="FD6279" s="26" t="inlineStr">
        <is>
          <t>SA-C1224</t>
        </is>
      </c>
      <c r="FL6279" s="26" t="inlineStr">
        <is>
          <t>C</t>
        </is>
      </c>
      <c r="FP6279" s="26" t="inlineStr">
        <is>
          <t>C</t>
        </is>
      </c>
    </row>
    <row r="6280">
      <c r="FC6280" t="inlineStr">
        <is>
          <t>Diccionario 6</t>
        </is>
      </c>
      <c r="FD6280" s="26" t="inlineStr">
        <is>
          <t>SA-C1225</t>
        </is>
      </c>
      <c r="FL6280" s="26" t="inlineStr">
        <is>
          <t>C</t>
        </is>
      </c>
      <c r="FP6280" s="26" t="inlineStr">
        <is>
          <t>C</t>
        </is>
      </c>
    </row>
    <row r="6281">
      <c r="FC6281" t="inlineStr">
        <is>
          <t>Diccionario 6</t>
        </is>
      </c>
      <c r="FD6281" s="26" t="inlineStr">
        <is>
          <t>SA-C1226</t>
        </is>
      </c>
      <c r="FL6281" s="26" t="inlineStr">
        <is>
          <t>C</t>
        </is>
      </c>
      <c r="FP6281" s="26" t="inlineStr">
        <is>
          <t>C</t>
        </is>
      </c>
    </row>
    <row r="6282">
      <c r="FC6282" t="inlineStr">
        <is>
          <t>Diccionario 6</t>
        </is>
      </c>
      <c r="FD6282" s="26" t="inlineStr">
        <is>
          <t>SA-C1227</t>
        </is>
      </c>
      <c r="FL6282" s="26" t="inlineStr">
        <is>
          <t>C</t>
        </is>
      </c>
      <c r="FP6282" s="26" t="inlineStr">
        <is>
          <t>C</t>
        </is>
      </c>
    </row>
    <row r="6283">
      <c r="FC6283" t="inlineStr">
        <is>
          <t>Diccionario 6</t>
        </is>
      </c>
      <c r="FD6283" s="26" t="inlineStr">
        <is>
          <t>SA-C1228</t>
        </is>
      </c>
      <c r="FL6283" s="26" t="inlineStr">
        <is>
          <t>C</t>
        </is>
      </c>
      <c r="FP6283" s="26" t="inlineStr">
        <is>
          <t>C</t>
        </is>
      </c>
    </row>
    <row r="6284">
      <c r="FC6284" t="inlineStr">
        <is>
          <t>Diccionario 6</t>
        </is>
      </c>
      <c r="FD6284" s="26" t="inlineStr">
        <is>
          <t>SA-C1229</t>
        </is>
      </c>
      <c r="FL6284" s="26" t="inlineStr">
        <is>
          <t>C</t>
        </is>
      </c>
      <c r="FP6284" s="26" t="inlineStr">
        <is>
          <t>C</t>
        </is>
      </c>
    </row>
    <row r="6285">
      <c r="FC6285" t="inlineStr">
        <is>
          <t>Diccionario 6</t>
        </is>
      </c>
      <c r="FD6285" s="26" t="inlineStr">
        <is>
          <t>SA-C1230</t>
        </is>
      </c>
      <c r="FL6285" s="26" t="inlineStr">
        <is>
          <t>C</t>
        </is>
      </c>
      <c r="FP6285" s="26" t="inlineStr">
        <is>
          <t>C</t>
        </is>
      </c>
    </row>
    <row r="6286">
      <c r="FC6286" t="inlineStr">
        <is>
          <t>Diccionario 6</t>
        </is>
      </c>
      <c r="FD6286" s="26" t="inlineStr">
        <is>
          <t>SA-C1231</t>
        </is>
      </c>
      <c r="FL6286" s="26" t="inlineStr">
        <is>
          <t>C</t>
        </is>
      </c>
      <c r="FP6286" s="26" t="inlineStr">
        <is>
          <t>C</t>
        </is>
      </c>
    </row>
    <row r="6287">
      <c r="FC6287" t="inlineStr">
        <is>
          <t>Diccionario 6</t>
        </is>
      </c>
      <c r="FD6287" s="26" t="inlineStr">
        <is>
          <t>SA-C1232</t>
        </is>
      </c>
      <c r="FL6287" s="26" t="inlineStr">
        <is>
          <t>C</t>
        </is>
      </c>
      <c r="FP6287" s="26" t="inlineStr">
        <is>
          <t>C</t>
        </is>
      </c>
    </row>
    <row r="6288">
      <c r="FC6288" t="inlineStr">
        <is>
          <t>Diccionario 6</t>
        </is>
      </c>
      <c r="FD6288" s="26" t="inlineStr">
        <is>
          <t>SA-C1233</t>
        </is>
      </c>
      <c r="FL6288" s="26" t="inlineStr">
        <is>
          <t>C</t>
        </is>
      </c>
      <c r="FP6288" s="26" t="inlineStr">
        <is>
          <t>C</t>
        </is>
      </c>
    </row>
    <row r="6289">
      <c r="FC6289" t="inlineStr">
        <is>
          <t>Diccionario 6</t>
        </is>
      </c>
      <c r="FD6289" s="26" t="inlineStr">
        <is>
          <t>SA-C1234</t>
        </is>
      </c>
      <c r="FL6289" s="26" t="inlineStr">
        <is>
          <t>C</t>
        </is>
      </c>
      <c r="FP6289" s="26" t="inlineStr">
        <is>
          <t>C</t>
        </is>
      </c>
    </row>
    <row r="6290">
      <c r="FC6290" t="inlineStr">
        <is>
          <t>Diccionario 6</t>
        </is>
      </c>
      <c r="FD6290" s="26" t="inlineStr">
        <is>
          <t>SA-C1235</t>
        </is>
      </c>
      <c r="FL6290" s="26" t="inlineStr">
        <is>
          <t>C</t>
        </is>
      </c>
      <c r="FP6290" s="26" t="inlineStr">
        <is>
          <t>C</t>
        </is>
      </c>
    </row>
    <row r="6291">
      <c r="FC6291" t="inlineStr">
        <is>
          <t>Diccionario 6</t>
        </is>
      </c>
      <c r="FD6291" s="26" t="inlineStr">
        <is>
          <t>SA-C1236</t>
        </is>
      </c>
      <c r="FL6291" s="26" t="inlineStr">
        <is>
          <t>C</t>
        </is>
      </c>
      <c r="FP6291" s="26" t="inlineStr">
        <is>
          <t>C</t>
        </is>
      </c>
    </row>
    <row r="6292">
      <c r="FC6292" t="inlineStr">
        <is>
          <t>Diccionario 6</t>
        </is>
      </c>
      <c r="FD6292" s="26" t="inlineStr">
        <is>
          <t>SA-C1237</t>
        </is>
      </c>
      <c r="FL6292" s="26" t="inlineStr">
        <is>
          <t>C</t>
        </is>
      </c>
      <c r="FP6292" s="26" t="inlineStr">
        <is>
          <t>C</t>
        </is>
      </c>
    </row>
    <row r="6293">
      <c r="FC6293" t="inlineStr">
        <is>
          <t>Diccionario 6</t>
        </is>
      </c>
      <c r="FD6293" s="26" t="inlineStr">
        <is>
          <t>SA-C1238</t>
        </is>
      </c>
      <c r="FL6293" s="26" t="inlineStr">
        <is>
          <t>C</t>
        </is>
      </c>
      <c r="FP6293" s="26" t="inlineStr">
        <is>
          <t>C</t>
        </is>
      </c>
    </row>
    <row r="6294">
      <c r="FC6294" t="inlineStr">
        <is>
          <t>Diccionario 6</t>
        </is>
      </c>
      <c r="FD6294" s="26" t="inlineStr">
        <is>
          <t>SA-C1239</t>
        </is>
      </c>
      <c r="FL6294" s="26" t="inlineStr">
        <is>
          <t>C</t>
        </is>
      </c>
      <c r="FP6294" s="26" t="inlineStr">
        <is>
          <t>C</t>
        </is>
      </c>
    </row>
    <row r="6295">
      <c r="FC6295" t="inlineStr">
        <is>
          <t>Diccionario 6</t>
        </is>
      </c>
      <c r="FD6295" s="26" t="inlineStr">
        <is>
          <t>SA-C1240</t>
        </is>
      </c>
      <c r="FL6295" s="26" t="inlineStr">
        <is>
          <t>C</t>
        </is>
      </c>
      <c r="FP6295" s="26" t="inlineStr">
        <is>
          <t>C</t>
        </is>
      </c>
    </row>
    <row r="6296">
      <c r="FC6296" t="inlineStr">
        <is>
          <t>Diccionario 6</t>
        </is>
      </c>
      <c r="FD6296" s="26" t="inlineStr">
        <is>
          <t>SA-C1241</t>
        </is>
      </c>
      <c r="FL6296" s="26" t="inlineStr">
        <is>
          <t>C</t>
        </is>
      </c>
      <c r="FP6296" s="26" t="inlineStr">
        <is>
          <t>C</t>
        </is>
      </c>
    </row>
    <row r="6297">
      <c r="FC6297" t="inlineStr">
        <is>
          <t>Diccionario 6</t>
        </is>
      </c>
      <c r="FD6297" s="26" t="inlineStr">
        <is>
          <t>SA-C1242</t>
        </is>
      </c>
      <c r="FL6297" s="26" t="inlineStr">
        <is>
          <t>C</t>
        </is>
      </c>
      <c r="FP6297" s="26" t="inlineStr">
        <is>
          <t>C</t>
        </is>
      </c>
    </row>
    <row r="6298">
      <c r="FC6298" t="inlineStr">
        <is>
          <t>Diccionario 6</t>
        </is>
      </c>
      <c r="FD6298" s="26" t="inlineStr">
        <is>
          <t>SA-C1243</t>
        </is>
      </c>
      <c r="FL6298" s="26" t="inlineStr">
        <is>
          <t>C</t>
        </is>
      </c>
      <c r="FP6298" s="26" t="inlineStr">
        <is>
          <t>C</t>
        </is>
      </c>
    </row>
    <row r="6299">
      <c r="FC6299" t="inlineStr">
        <is>
          <t>Diccionario 6</t>
        </is>
      </c>
      <c r="FD6299" s="26" t="inlineStr">
        <is>
          <t>SA-C1244</t>
        </is>
      </c>
      <c r="FL6299" s="26" t="inlineStr">
        <is>
          <t>C</t>
        </is>
      </c>
      <c r="FP6299" s="26" t="inlineStr">
        <is>
          <t>C</t>
        </is>
      </c>
    </row>
    <row r="6300">
      <c r="FC6300" t="inlineStr">
        <is>
          <t>Diccionario 6</t>
        </is>
      </c>
      <c r="FD6300" s="26" t="inlineStr">
        <is>
          <t>SA-C1245</t>
        </is>
      </c>
      <c r="FL6300" s="26" t="inlineStr">
        <is>
          <t>C</t>
        </is>
      </c>
      <c r="FP6300" s="26" t="inlineStr">
        <is>
          <t>C</t>
        </is>
      </c>
    </row>
    <row r="6301">
      <c r="FC6301" t="inlineStr">
        <is>
          <t>Diccionario 6</t>
        </is>
      </c>
      <c r="FD6301" s="26" t="inlineStr">
        <is>
          <t>SA-C1246</t>
        </is>
      </c>
      <c r="FL6301" s="26" t="inlineStr">
        <is>
          <t>C</t>
        </is>
      </c>
      <c r="FP6301" s="26" t="inlineStr">
        <is>
          <t>C</t>
        </is>
      </c>
    </row>
    <row r="6302">
      <c r="FC6302" t="inlineStr">
        <is>
          <t>Diccionario 6</t>
        </is>
      </c>
      <c r="FD6302" s="26" t="inlineStr">
        <is>
          <t>SA-C1247</t>
        </is>
      </c>
      <c r="FL6302" s="26" t="inlineStr">
        <is>
          <t>C</t>
        </is>
      </c>
      <c r="FP6302" s="26" t="inlineStr">
        <is>
          <t>C</t>
        </is>
      </c>
    </row>
    <row r="6303">
      <c r="FC6303" t="inlineStr">
        <is>
          <t>Diccionario 6</t>
        </is>
      </c>
      <c r="FD6303" s="26" t="inlineStr">
        <is>
          <t>SA-C1248</t>
        </is>
      </c>
      <c r="FL6303" s="26" t="inlineStr">
        <is>
          <t>C</t>
        </is>
      </c>
      <c r="FP6303" s="26" t="inlineStr">
        <is>
          <t>C</t>
        </is>
      </c>
    </row>
    <row r="6304">
      <c r="FC6304" t="inlineStr">
        <is>
          <t>Diccionario 6</t>
        </is>
      </c>
      <c r="FD6304" s="26" t="inlineStr">
        <is>
          <t>CER-B1251</t>
        </is>
      </c>
      <c r="FL6304" s="26" t="inlineStr">
        <is>
          <t>B</t>
        </is>
      </c>
      <c r="FP6304" s="26" t="inlineStr">
        <is>
          <t>B</t>
        </is>
      </c>
    </row>
    <row r="6305">
      <c r="FC6305" t="inlineStr">
        <is>
          <t>Diccionario 6</t>
        </is>
      </c>
      <c r="FD6305" s="26" t="inlineStr">
        <is>
          <t>PA-B1252</t>
        </is>
      </c>
      <c r="FL6305" s="26" t="inlineStr">
        <is>
          <t>B</t>
        </is>
      </c>
      <c r="FP6305" s="26" t="inlineStr">
        <is>
          <t>B</t>
        </is>
      </c>
    </row>
    <row r="6306">
      <c r="FC6306" t="inlineStr">
        <is>
          <t>Diccionario 6</t>
        </is>
      </c>
      <c r="FD6306" s="26" t="inlineStr">
        <is>
          <t>SA-B1253</t>
        </is>
      </c>
      <c r="FL6306" s="26" t="inlineStr">
        <is>
          <t>B</t>
        </is>
      </c>
      <c r="FP6306" s="26" t="inlineStr">
        <is>
          <t>B</t>
        </is>
      </c>
    </row>
    <row r="6307">
      <c r="FC6307" t="inlineStr">
        <is>
          <t>Diccionario 6</t>
        </is>
      </c>
      <c r="FD6307" s="26" t="inlineStr">
        <is>
          <t>SA-B1254</t>
        </is>
      </c>
      <c r="FL6307" s="26" t="inlineStr">
        <is>
          <t>B</t>
        </is>
      </c>
      <c r="FP6307" s="26" t="inlineStr">
        <is>
          <t>B</t>
        </is>
      </c>
    </row>
    <row r="6308">
      <c r="FC6308" t="inlineStr">
        <is>
          <t>Diccionario 6</t>
        </is>
      </c>
      <c r="FD6308" s="26" t="inlineStr">
        <is>
          <t>PA-B1255</t>
        </is>
      </c>
      <c r="FL6308" s="26" t="inlineStr">
        <is>
          <t>B</t>
        </is>
      </c>
      <c r="FP6308" s="26" t="inlineStr">
        <is>
          <t>B</t>
        </is>
      </c>
    </row>
    <row r="6309">
      <c r="FC6309" t="inlineStr">
        <is>
          <t>Diccionario 6</t>
        </is>
      </c>
      <c r="FD6309" s="26" t="inlineStr">
        <is>
          <t>CER-B1256</t>
        </is>
      </c>
      <c r="FL6309" s="26" t="inlineStr">
        <is>
          <t>B</t>
        </is>
      </c>
      <c r="FP6309" s="26" t="inlineStr">
        <is>
          <t>B</t>
        </is>
      </c>
    </row>
    <row r="6310">
      <c r="FC6310" t="inlineStr">
        <is>
          <t>Diccionario 6</t>
        </is>
      </c>
      <c r="FD6310" s="26" t="inlineStr">
        <is>
          <t>PA-B1257</t>
        </is>
      </c>
      <c r="FL6310" s="26" t="inlineStr">
        <is>
          <t>B</t>
        </is>
      </c>
      <c r="FP6310" s="26" t="inlineStr">
        <is>
          <t>B</t>
        </is>
      </c>
    </row>
    <row r="6311">
      <c r="FC6311" t="inlineStr">
        <is>
          <t>Diccionario 6</t>
        </is>
      </c>
      <c r="FD6311" s="26" t="inlineStr">
        <is>
          <t>CER-B1258</t>
        </is>
      </c>
      <c r="FL6311" s="26" t="inlineStr">
        <is>
          <t>B</t>
        </is>
      </c>
      <c r="FP6311" s="26" t="inlineStr">
        <is>
          <t>B</t>
        </is>
      </c>
    </row>
    <row r="6312">
      <c r="FC6312" t="inlineStr">
        <is>
          <t>Diccionario 6</t>
        </is>
      </c>
      <c r="FD6312" s="26" t="inlineStr">
        <is>
          <t>CER-B1259</t>
        </is>
      </c>
      <c r="FL6312" s="26" t="inlineStr">
        <is>
          <t>B</t>
        </is>
      </c>
      <c r="FP6312" s="26" t="inlineStr">
        <is>
          <t>B</t>
        </is>
      </c>
    </row>
    <row r="6313">
      <c r="FC6313" t="inlineStr">
        <is>
          <t>Diccionario 6</t>
        </is>
      </c>
      <c r="FD6313" s="26" t="inlineStr">
        <is>
          <t>CER-B1260</t>
        </is>
      </c>
      <c r="FL6313" s="26" t="inlineStr">
        <is>
          <t>B</t>
        </is>
      </c>
      <c r="FP6313" s="26" t="inlineStr">
        <is>
          <t>B</t>
        </is>
      </c>
    </row>
    <row r="6314">
      <c r="FC6314" t="inlineStr">
        <is>
          <t>Diccionario 6</t>
        </is>
      </c>
      <c r="FD6314" s="26" t="inlineStr">
        <is>
          <t>CER-B1261</t>
        </is>
      </c>
      <c r="FL6314" s="26" t="inlineStr">
        <is>
          <t>B</t>
        </is>
      </c>
      <c r="FP6314" s="26" t="inlineStr">
        <is>
          <t>B</t>
        </is>
      </c>
    </row>
    <row r="6315">
      <c r="FC6315" t="inlineStr">
        <is>
          <t>Diccionario 6</t>
        </is>
      </c>
      <c r="FD6315" s="26" t="inlineStr">
        <is>
          <t>PA-B1262</t>
        </is>
      </c>
      <c r="FL6315" s="26" t="inlineStr">
        <is>
          <t>B</t>
        </is>
      </c>
      <c r="FP6315" s="26" t="inlineStr">
        <is>
          <t>B</t>
        </is>
      </c>
    </row>
    <row r="6316">
      <c r="FC6316" t="inlineStr">
        <is>
          <t>Diccionario 6</t>
        </is>
      </c>
      <c r="FD6316" s="26" t="inlineStr">
        <is>
          <t>CER-B1263</t>
        </is>
      </c>
      <c r="FL6316" s="26" t="inlineStr">
        <is>
          <t>B</t>
        </is>
      </c>
      <c r="FP6316" s="26" t="inlineStr">
        <is>
          <t>B</t>
        </is>
      </c>
    </row>
    <row r="6317">
      <c r="FC6317" t="inlineStr">
        <is>
          <t>Diccionario 6</t>
        </is>
      </c>
      <c r="FD6317" s="26" t="inlineStr">
        <is>
          <t>CER-B1264</t>
        </is>
      </c>
      <c r="FL6317" s="26" t="inlineStr">
        <is>
          <t>B</t>
        </is>
      </c>
      <c r="FP6317" s="26" t="inlineStr">
        <is>
          <t>B</t>
        </is>
      </c>
    </row>
    <row r="6318">
      <c r="FC6318" t="inlineStr">
        <is>
          <t>Diccionario 6</t>
        </is>
      </c>
      <c r="FD6318" s="26" t="inlineStr">
        <is>
          <t>PA-B1265</t>
        </is>
      </c>
      <c r="FL6318" s="26" t="inlineStr">
        <is>
          <t>B</t>
        </is>
      </c>
      <c r="FP6318" s="26" t="inlineStr">
        <is>
          <t>B</t>
        </is>
      </c>
    </row>
    <row r="6319">
      <c r="FC6319" t="inlineStr">
        <is>
          <t>Diccionario 6</t>
        </is>
      </c>
      <c r="FD6319" s="26" t="inlineStr">
        <is>
          <t>SA-B1266</t>
        </is>
      </c>
      <c r="FL6319" s="26" t="inlineStr">
        <is>
          <t>B</t>
        </is>
      </c>
      <c r="FP6319" s="26" t="inlineStr">
        <is>
          <t>B</t>
        </is>
      </c>
    </row>
    <row r="6320">
      <c r="FC6320" t="inlineStr">
        <is>
          <t>Diccionario 6</t>
        </is>
      </c>
      <c r="FD6320" s="26" t="inlineStr">
        <is>
          <t>CER-B1267</t>
        </is>
      </c>
      <c r="FL6320" s="26" t="inlineStr">
        <is>
          <t>B</t>
        </is>
      </c>
      <c r="FP6320" s="26" t="inlineStr">
        <is>
          <t>B</t>
        </is>
      </c>
    </row>
    <row r="6321">
      <c r="FC6321" t="inlineStr">
        <is>
          <t>Diccionario 6</t>
        </is>
      </c>
      <c r="FD6321" s="26" t="inlineStr">
        <is>
          <t>CER-B1268</t>
        </is>
      </c>
      <c r="FL6321" s="26" t="inlineStr">
        <is>
          <t>B</t>
        </is>
      </c>
      <c r="FP6321" s="26" t="inlineStr">
        <is>
          <t>B</t>
        </is>
      </c>
    </row>
    <row r="6322">
      <c r="FC6322" t="inlineStr">
        <is>
          <t>Diccionario 6</t>
        </is>
      </c>
      <c r="FD6322" s="26" t="inlineStr">
        <is>
          <t>PA-B1269</t>
        </is>
      </c>
      <c r="FL6322" s="26" t="inlineStr">
        <is>
          <t>B</t>
        </is>
      </c>
      <c r="FP6322" s="26" t="inlineStr">
        <is>
          <t>B</t>
        </is>
      </c>
    </row>
    <row r="6323">
      <c r="FC6323" t="inlineStr">
        <is>
          <t>Diccionario 6</t>
        </is>
      </c>
      <c r="FD6323" s="26" t="inlineStr">
        <is>
          <t>PA-B1270</t>
        </is>
      </c>
      <c r="FL6323" s="26" t="inlineStr">
        <is>
          <t>B</t>
        </is>
      </c>
      <c r="FP6323" s="26" t="inlineStr">
        <is>
          <t>B</t>
        </is>
      </c>
    </row>
    <row r="6324">
      <c r="FC6324" t="inlineStr">
        <is>
          <t>Diccionario 6</t>
        </is>
      </c>
      <c r="FD6324" s="26" t="inlineStr">
        <is>
          <t>CER-B1271</t>
        </is>
      </c>
      <c r="FL6324" s="26" t="inlineStr">
        <is>
          <t>B</t>
        </is>
      </c>
      <c r="FP6324" s="26" t="inlineStr">
        <is>
          <t>B</t>
        </is>
      </c>
    </row>
    <row r="6325">
      <c r="FC6325" t="inlineStr">
        <is>
          <t>Diccionario 6</t>
        </is>
      </c>
      <c r="FD6325" s="26" t="inlineStr">
        <is>
          <t>PA-B1272</t>
        </is>
      </c>
      <c r="FL6325" s="26" t="inlineStr">
        <is>
          <t>B</t>
        </is>
      </c>
      <c r="FP6325" s="26" t="inlineStr">
        <is>
          <t>B</t>
        </is>
      </c>
    </row>
    <row r="6326">
      <c r="FC6326" t="inlineStr">
        <is>
          <t>Diccionario 6</t>
        </is>
      </c>
      <c r="FD6326" s="26" t="inlineStr">
        <is>
          <t>CER-B1273</t>
        </is>
      </c>
      <c r="FL6326" s="26" t="inlineStr">
        <is>
          <t>B</t>
        </is>
      </c>
      <c r="FP6326" s="26" t="inlineStr">
        <is>
          <t>B</t>
        </is>
      </c>
    </row>
    <row r="6327">
      <c r="FC6327" t="inlineStr">
        <is>
          <t>Diccionario 6</t>
        </is>
      </c>
      <c r="FD6327" s="26" t="inlineStr">
        <is>
          <t>PA-B1274</t>
        </is>
      </c>
      <c r="FL6327" s="26" t="inlineStr">
        <is>
          <t>B</t>
        </is>
      </c>
      <c r="FP6327" s="26" t="inlineStr">
        <is>
          <t>B</t>
        </is>
      </c>
    </row>
    <row r="6328">
      <c r="FC6328" t="inlineStr">
        <is>
          <t>Diccionario 6</t>
        </is>
      </c>
      <c r="FD6328" s="26" t="inlineStr">
        <is>
          <t>PA-B1275</t>
        </is>
      </c>
      <c r="FL6328" s="26" t="inlineStr">
        <is>
          <t>B</t>
        </is>
      </c>
      <c r="FP6328" s="26" t="inlineStr">
        <is>
          <t>B</t>
        </is>
      </c>
    </row>
    <row r="6329">
      <c r="FC6329" t="inlineStr">
        <is>
          <t>Diccionario 6</t>
        </is>
      </c>
      <c r="FD6329" s="26" t="inlineStr">
        <is>
          <t>PA-B1276</t>
        </is>
      </c>
      <c r="FL6329" s="26" t="inlineStr">
        <is>
          <t>B</t>
        </is>
      </c>
      <c r="FP6329" s="26" t="inlineStr">
        <is>
          <t>B</t>
        </is>
      </c>
    </row>
    <row r="6330">
      <c r="FC6330" t="inlineStr">
        <is>
          <t>Diccionario 6</t>
        </is>
      </c>
      <c r="FD6330" s="26" t="inlineStr">
        <is>
          <t>SA-B1277</t>
        </is>
      </c>
      <c r="FL6330" s="26" t="inlineStr">
        <is>
          <t>B</t>
        </is>
      </c>
      <c r="FP6330" s="26" t="inlineStr">
        <is>
          <t>B</t>
        </is>
      </c>
    </row>
    <row r="6331">
      <c r="FC6331" t="inlineStr">
        <is>
          <t>Diccionario 6</t>
        </is>
      </c>
      <c r="FD6331" s="26" t="inlineStr">
        <is>
          <t>CER-B1278</t>
        </is>
      </c>
      <c r="FL6331" s="26" t="inlineStr">
        <is>
          <t>B</t>
        </is>
      </c>
      <c r="FP6331" s="26" t="inlineStr">
        <is>
          <t>B</t>
        </is>
      </c>
    </row>
    <row r="6332">
      <c r="FC6332" t="inlineStr">
        <is>
          <t>Diccionario 6</t>
        </is>
      </c>
      <c r="FD6332" s="26" t="inlineStr">
        <is>
          <t>PA-B1279</t>
        </is>
      </c>
      <c r="FL6332" s="26" t="inlineStr">
        <is>
          <t>B</t>
        </is>
      </c>
      <c r="FP6332" s="26" t="inlineStr">
        <is>
          <t>B</t>
        </is>
      </c>
    </row>
    <row r="6333">
      <c r="FC6333" t="inlineStr">
        <is>
          <t>Diccionario 6</t>
        </is>
      </c>
      <c r="FD6333" s="26" t="inlineStr">
        <is>
          <t>PA-B1280</t>
        </is>
      </c>
      <c r="FL6333" s="26" t="inlineStr">
        <is>
          <t>B</t>
        </is>
      </c>
      <c r="FP6333" s="26" t="inlineStr">
        <is>
          <t>B</t>
        </is>
      </c>
    </row>
    <row r="6334">
      <c r="FC6334" t="inlineStr">
        <is>
          <t>Diccionario 6</t>
        </is>
      </c>
      <c r="FD6334" s="26" t="inlineStr">
        <is>
          <t>CER-B1281</t>
        </is>
      </c>
      <c r="FL6334" s="26" t="inlineStr">
        <is>
          <t>B</t>
        </is>
      </c>
      <c r="FP6334" s="26" t="inlineStr">
        <is>
          <t>B</t>
        </is>
      </c>
    </row>
    <row r="6335">
      <c r="FC6335" t="inlineStr">
        <is>
          <t>Diccionario 6</t>
        </is>
      </c>
      <c r="FD6335" s="26" t="inlineStr">
        <is>
          <t>PA-B1282</t>
        </is>
      </c>
      <c r="FL6335" s="26" t="inlineStr">
        <is>
          <t>B</t>
        </is>
      </c>
      <c r="FP6335" s="26" t="inlineStr">
        <is>
          <t>B</t>
        </is>
      </c>
    </row>
    <row r="6336">
      <c r="FC6336" t="inlineStr">
        <is>
          <t>Diccionario 6</t>
        </is>
      </c>
      <c r="FD6336" s="26" t="inlineStr">
        <is>
          <t>CER-B1283</t>
        </is>
      </c>
      <c r="FL6336" s="26" t="inlineStr">
        <is>
          <t>B</t>
        </is>
      </c>
      <c r="FP6336" s="26" t="inlineStr">
        <is>
          <t>B</t>
        </is>
      </c>
    </row>
    <row r="6337">
      <c r="FC6337" t="inlineStr">
        <is>
          <t>Diccionario 6</t>
        </is>
      </c>
      <c r="FD6337" s="26" t="inlineStr">
        <is>
          <t>PA-B1284</t>
        </is>
      </c>
      <c r="FL6337" s="26" t="inlineStr">
        <is>
          <t>B</t>
        </is>
      </c>
      <c r="FP6337" s="26" t="inlineStr">
        <is>
          <t>B</t>
        </is>
      </c>
    </row>
    <row r="6338">
      <c r="FC6338" t="inlineStr">
        <is>
          <t>Diccionario 6</t>
        </is>
      </c>
      <c r="FD6338" s="26" t="inlineStr">
        <is>
          <t>CER-B1285</t>
        </is>
      </c>
      <c r="FL6338" s="26" t="inlineStr">
        <is>
          <t>B</t>
        </is>
      </c>
      <c r="FP6338" s="26" t="inlineStr">
        <is>
          <t>B</t>
        </is>
      </c>
    </row>
    <row r="6339">
      <c r="FC6339" t="inlineStr">
        <is>
          <t>Diccionario 6</t>
        </is>
      </c>
      <c r="FD6339" s="26" t="inlineStr">
        <is>
          <t>PA-B1286</t>
        </is>
      </c>
      <c r="FL6339" s="26" t="inlineStr">
        <is>
          <t>B</t>
        </is>
      </c>
      <c r="FP6339" s="26" t="inlineStr">
        <is>
          <t>B</t>
        </is>
      </c>
    </row>
    <row r="6340">
      <c r="FC6340" t="inlineStr">
        <is>
          <t>Diccionario 6</t>
        </is>
      </c>
      <c r="FD6340" s="26" t="inlineStr">
        <is>
          <t>CER-B1287</t>
        </is>
      </c>
      <c r="FL6340" s="26" t="inlineStr">
        <is>
          <t>B</t>
        </is>
      </c>
      <c r="FP6340" s="26" t="inlineStr">
        <is>
          <t>B</t>
        </is>
      </c>
    </row>
    <row r="6341">
      <c r="FC6341" t="inlineStr">
        <is>
          <t>Diccionario 6</t>
        </is>
      </c>
      <c r="FD6341" s="26" t="inlineStr">
        <is>
          <t>PA-B1288</t>
        </is>
      </c>
      <c r="FL6341" s="26" t="inlineStr">
        <is>
          <t>B</t>
        </is>
      </c>
      <c r="FP6341" s="26" t="inlineStr">
        <is>
          <t>B</t>
        </is>
      </c>
    </row>
    <row r="6342">
      <c r="FC6342" t="inlineStr">
        <is>
          <t>Diccionario 6</t>
        </is>
      </c>
      <c r="FD6342" s="26" t="inlineStr">
        <is>
          <t>CER-B1289</t>
        </is>
      </c>
      <c r="FL6342" s="26" t="inlineStr">
        <is>
          <t>B</t>
        </is>
      </c>
      <c r="FP6342" s="26" t="inlineStr">
        <is>
          <t>B</t>
        </is>
      </c>
    </row>
    <row r="6343">
      <c r="FC6343" t="inlineStr">
        <is>
          <t>Diccionario 6</t>
        </is>
      </c>
      <c r="FD6343" s="26" t="inlineStr">
        <is>
          <t>PA-B1290</t>
        </is>
      </c>
      <c r="FL6343" s="26" t="inlineStr">
        <is>
          <t>B</t>
        </is>
      </c>
      <c r="FP6343" s="26" t="inlineStr">
        <is>
          <t>B</t>
        </is>
      </c>
    </row>
    <row r="6344">
      <c r="FC6344" t="inlineStr">
        <is>
          <t>Diccionario 6</t>
        </is>
      </c>
      <c r="FD6344" s="26" t="inlineStr">
        <is>
          <t>PA-B1291</t>
        </is>
      </c>
      <c r="FL6344" s="26" t="inlineStr">
        <is>
          <t>B</t>
        </is>
      </c>
      <c r="FP6344" s="26" t="inlineStr">
        <is>
          <t>B</t>
        </is>
      </c>
    </row>
    <row r="6345">
      <c r="FC6345" t="inlineStr">
        <is>
          <t>Diccionario 6</t>
        </is>
      </c>
      <c r="FD6345" s="26" t="inlineStr">
        <is>
          <t>PA-B1292</t>
        </is>
      </c>
      <c r="FL6345" s="26" t="inlineStr">
        <is>
          <t>B</t>
        </is>
      </c>
      <c r="FP6345" s="26" t="inlineStr">
        <is>
          <t>B</t>
        </is>
      </c>
    </row>
    <row r="6346">
      <c r="FC6346" t="inlineStr">
        <is>
          <t>Diccionario 6</t>
        </is>
      </c>
      <c r="FD6346" s="26" t="inlineStr">
        <is>
          <t>PA-B1293</t>
        </is>
      </c>
      <c r="FL6346" s="26" t="inlineStr">
        <is>
          <t>B</t>
        </is>
      </c>
      <c r="FP6346" s="26" t="inlineStr">
        <is>
          <t>B</t>
        </is>
      </c>
    </row>
    <row r="6347">
      <c r="FC6347" t="inlineStr">
        <is>
          <t>Diccionario 6</t>
        </is>
      </c>
      <c r="FD6347" s="26" t="inlineStr">
        <is>
          <t>PA-B1294</t>
        </is>
      </c>
      <c r="FL6347" s="26" t="inlineStr">
        <is>
          <t>B</t>
        </is>
      </c>
      <c r="FP6347" s="26" t="inlineStr">
        <is>
          <t>B</t>
        </is>
      </c>
    </row>
    <row r="6348">
      <c r="FC6348" t="inlineStr">
        <is>
          <t>Diccionario 6</t>
        </is>
      </c>
      <c r="FD6348" s="26" t="inlineStr">
        <is>
          <t>PA-B1295</t>
        </is>
      </c>
      <c r="FL6348" s="26" t="inlineStr">
        <is>
          <t>B</t>
        </is>
      </c>
      <c r="FP6348" s="26" t="inlineStr">
        <is>
          <t>B</t>
        </is>
      </c>
    </row>
    <row r="6349">
      <c r="FC6349" t="inlineStr">
        <is>
          <t>Diccionario 6</t>
        </is>
      </c>
      <c r="FD6349" s="26" t="inlineStr">
        <is>
          <t>PA-B1296</t>
        </is>
      </c>
      <c r="FL6349" s="26" t="inlineStr">
        <is>
          <t>B</t>
        </is>
      </c>
      <c r="FP6349" s="26" t="inlineStr">
        <is>
          <t>B</t>
        </is>
      </c>
    </row>
    <row r="6350">
      <c r="FC6350" t="inlineStr">
        <is>
          <t>Diccionario 6</t>
        </is>
      </c>
      <c r="FD6350" s="26" t="inlineStr">
        <is>
          <t>SA-B1297</t>
        </is>
      </c>
      <c r="FL6350" s="26" t="inlineStr">
        <is>
          <t>B</t>
        </is>
      </c>
      <c r="FP6350" s="26" t="inlineStr">
        <is>
          <t>B</t>
        </is>
      </c>
    </row>
    <row r="6351">
      <c r="FC6351" t="inlineStr">
        <is>
          <t>Diccionario 6</t>
        </is>
      </c>
      <c r="FD6351" s="26" t="inlineStr">
        <is>
          <t>SA-B1298</t>
        </is>
      </c>
      <c r="FL6351" s="26" t="inlineStr">
        <is>
          <t>B</t>
        </is>
      </c>
      <c r="FP6351" s="26" t="inlineStr">
        <is>
          <t>B</t>
        </is>
      </c>
    </row>
    <row r="6352">
      <c r="FC6352" t="inlineStr">
        <is>
          <t>Diccionario 6</t>
        </is>
      </c>
      <c r="FD6352" s="26" t="inlineStr">
        <is>
          <t>CER-B1299</t>
        </is>
      </c>
      <c r="FL6352" s="26" t="inlineStr">
        <is>
          <t>B</t>
        </is>
      </c>
      <c r="FP6352" s="26" t="inlineStr">
        <is>
          <t>B</t>
        </is>
      </c>
    </row>
    <row r="6353">
      <c r="FC6353" t="inlineStr">
        <is>
          <t>Diccionario 6</t>
        </is>
      </c>
      <c r="FD6353" s="26" t="inlineStr">
        <is>
          <t>CER-B1300</t>
        </is>
      </c>
      <c r="FL6353" s="26" t="inlineStr">
        <is>
          <t>B</t>
        </is>
      </c>
      <c r="FP6353" s="26" t="inlineStr">
        <is>
          <t>B</t>
        </is>
      </c>
    </row>
    <row r="6354">
      <c r="FC6354" t="inlineStr">
        <is>
          <t>Diccionario 6</t>
        </is>
      </c>
      <c r="FD6354" s="26" t="inlineStr">
        <is>
          <t>CER-B1301</t>
        </is>
      </c>
      <c r="FL6354" s="26" t="inlineStr">
        <is>
          <t>B</t>
        </is>
      </c>
      <c r="FP6354" s="26" t="inlineStr">
        <is>
          <t>B</t>
        </is>
      </c>
    </row>
    <row r="6355">
      <c r="FC6355" t="inlineStr">
        <is>
          <t>Diccionario 6</t>
        </is>
      </c>
      <c r="FD6355" s="26" t="inlineStr">
        <is>
          <t>CER-B1302</t>
        </is>
      </c>
      <c r="FL6355" s="26" t="inlineStr">
        <is>
          <t>B</t>
        </is>
      </c>
      <c r="FP6355" s="26" t="inlineStr">
        <is>
          <t>B</t>
        </is>
      </c>
    </row>
    <row r="6356">
      <c r="FC6356" t="inlineStr">
        <is>
          <t>Diccionario 6</t>
        </is>
      </c>
      <c r="FD6356" s="26" t="inlineStr">
        <is>
          <t>PA-B1303</t>
        </is>
      </c>
      <c r="FL6356" s="26" t="inlineStr">
        <is>
          <t>B</t>
        </is>
      </c>
      <c r="FP6356" s="26" t="inlineStr">
        <is>
          <t>B</t>
        </is>
      </c>
    </row>
    <row r="6357">
      <c r="FC6357" t="inlineStr">
        <is>
          <t>Diccionario 6</t>
        </is>
      </c>
      <c r="FD6357" s="26" t="inlineStr">
        <is>
          <t>CER-B1304</t>
        </is>
      </c>
      <c r="FL6357" s="26" t="inlineStr">
        <is>
          <t>B</t>
        </is>
      </c>
      <c r="FP6357" s="26" t="inlineStr">
        <is>
          <t>B</t>
        </is>
      </c>
    </row>
    <row r="6358">
      <c r="FC6358" t="inlineStr">
        <is>
          <t>Diccionario 6</t>
        </is>
      </c>
      <c r="FD6358" s="26" t="inlineStr">
        <is>
          <t>CER-B1305</t>
        </is>
      </c>
      <c r="FL6358" s="26" t="inlineStr">
        <is>
          <t>B</t>
        </is>
      </c>
      <c r="FP6358" s="26" t="inlineStr">
        <is>
          <t>B</t>
        </is>
      </c>
    </row>
    <row r="6359">
      <c r="FC6359" t="inlineStr">
        <is>
          <t>Diccionario 6</t>
        </is>
      </c>
      <c r="FD6359" s="26" t="inlineStr">
        <is>
          <t>CER-B1306</t>
        </is>
      </c>
      <c r="FL6359" s="26" t="inlineStr">
        <is>
          <t>B</t>
        </is>
      </c>
      <c r="FP6359" s="26" t="inlineStr">
        <is>
          <t>B</t>
        </is>
      </c>
    </row>
    <row r="6360">
      <c r="FC6360" t="inlineStr">
        <is>
          <t>Diccionario 6</t>
        </is>
      </c>
      <c r="FD6360" s="26" t="inlineStr">
        <is>
          <t>PA-B1307</t>
        </is>
      </c>
      <c r="FL6360" s="26" t="inlineStr">
        <is>
          <t>B</t>
        </is>
      </c>
      <c r="FP6360" s="26" t="inlineStr">
        <is>
          <t>B</t>
        </is>
      </c>
    </row>
    <row r="6361">
      <c r="FC6361" t="inlineStr">
        <is>
          <t>Diccionario 6</t>
        </is>
      </c>
      <c r="FD6361" s="26" t="inlineStr">
        <is>
          <t>PA-B1308</t>
        </is>
      </c>
      <c r="FL6361" s="26" t="inlineStr">
        <is>
          <t>B</t>
        </is>
      </c>
      <c r="FP6361" s="26" t="inlineStr">
        <is>
          <t>B</t>
        </is>
      </c>
    </row>
    <row r="6362">
      <c r="FC6362" t="inlineStr">
        <is>
          <t>Diccionario 6</t>
        </is>
      </c>
      <c r="FD6362" s="26" t="inlineStr">
        <is>
          <t>PA-B1309</t>
        </is>
      </c>
      <c r="FL6362" s="26" t="inlineStr">
        <is>
          <t>B</t>
        </is>
      </c>
      <c r="FP6362" s="26" t="inlineStr">
        <is>
          <t>B</t>
        </is>
      </c>
    </row>
    <row r="6363">
      <c r="FC6363" t="inlineStr">
        <is>
          <t>Diccionario 6</t>
        </is>
      </c>
      <c r="FD6363" s="26" t="inlineStr">
        <is>
          <t>CER-B1310</t>
        </is>
      </c>
      <c r="FL6363" s="26" t="inlineStr">
        <is>
          <t>B</t>
        </is>
      </c>
      <c r="FP6363" s="26" t="inlineStr">
        <is>
          <t>B</t>
        </is>
      </c>
    </row>
    <row r="6364">
      <c r="FC6364" t="inlineStr">
        <is>
          <t>Diccionario 6</t>
        </is>
      </c>
      <c r="FD6364" s="26" t="inlineStr">
        <is>
          <t>CER-B1311</t>
        </is>
      </c>
      <c r="FL6364" s="26" t="inlineStr">
        <is>
          <t>B</t>
        </is>
      </c>
      <c r="FP6364" s="26" t="inlineStr">
        <is>
          <t>B</t>
        </is>
      </c>
    </row>
    <row r="6365">
      <c r="FC6365" t="inlineStr">
        <is>
          <t>Diccionario 6</t>
        </is>
      </c>
      <c r="FD6365" s="26" t="inlineStr">
        <is>
          <t>PA-B1312</t>
        </is>
      </c>
      <c r="FL6365" s="26" t="inlineStr">
        <is>
          <t>B</t>
        </is>
      </c>
      <c r="FP6365" s="26" t="inlineStr">
        <is>
          <t>B</t>
        </is>
      </c>
    </row>
    <row r="6366">
      <c r="FC6366" t="inlineStr">
        <is>
          <t>Diccionario 6</t>
        </is>
      </c>
      <c r="FD6366" s="26" t="inlineStr">
        <is>
          <t>PA-B1313</t>
        </is>
      </c>
      <c r="FL6366" s="26" t="inlineStr">
        <is>
          <t>B</t>
        </is>
      </c>
      <c r="FP6366" s="26" t="inlineStr">
        <is>
          <t>B</t>
        </is>
      </c>
    </row>
    <row r="6367">
      <c r="FC6367" t="inlineStr">
        <is>
          <t>Diccionario 6</t>
        </is>
      </c>
      <c r="FD6367" s="26" t="inlineStr">
        <is>
          <t>CER-B1314</t>
        </is>
      </c>
      <c r="FL6367" s="26" t="inlineStr">
        <is>
          <t>B</t>
        </is>
      </c>
      <c r="FP6367" s="26" t="inlineStr">
        <is>
          <t>B</t>
        </is>
      </c>
    </row>
    <row r="6368">
      <c r="FC6368" t="inlineStr">
        <is>
          <t>Diccionario 6</t>
        </is>
      </c>
      <c r="FD6368" s="26" t="inlineStr">
        <is>
          <t>CER-B1315</t>
        </is>
      </c>
      <c r="FL6368" s="26" t="inlineStr">
        <is>
          <t>B</t>
        </is>
      </c>
      <c r="FP6368" s="26" t="inlineStr">
        <is>
          <t>B</t>
        </is>
      </c>
    </row>
    <row r="6369">
      <c r="FC6369" t="inlineStr">
        <is>
          <t>Diccionario 6</t>
        </is>
      </c>
      <c r="FD6369" s="26" t="inlineStr">
        <is>
          <t>PA-B1316</t>
        </is>
      </c>
      <c r="FL6369" s="26" t="inlineStr">
        <is>
          <t>B</t>
        </is>
      </c>
      <c r="FP6369" s="26" t="inlineStr">
        <is>
          <t>B</t>
        </is>
      </c>
    </row>
    <row r="6370">
      <c r="FC6370" t="inlineStr">
        <is>
          <t>Diccionario 6</t>
        </is>
      </c>
      <c r="FD6370" s="26" t="inlineStr">
        <is>
          <t>PA-B1317</t>
        </is>
      </c>
      <c r="FL6370" s="26" t="inlineStr">
        <is>
          <t>B</t>
        </is>
      </c>
      <c r="FP6370" s="26" t="inlineStr">
        <is>
          <t>B</t>
        </is>
      </c>
    </row>
    <row r="6371">
      <c r="FC6371" t="inlineStr">
        <is>
          <t>Diccionario 6</t>
        </is>
      </c>
      <c r="FD6371" s="26" t="inlineStr">
        <is>
          <t>PA-B1318</t>
        </is>
      </c>
      <c r="FL6371" s="26" t="inlineStr">
        <is>
          <t>B</t>
        </is>
      </c>
      <c r="FP6371" s="26" t="inlineStr">
        <is>
          <t>B</t>
        </is>
      </c>
    </row>
    <row r="6372">
      <c r="FC6372" t="inlineStr">
        <is>
          <t>Diccionario 6</t>
        </is>
      </c>
      <c r="FD6372" s="26" t="inlineStr">
        <is>
          <t>PA-B1319</t>
        </is>
      </c>
      <c r="FL6372" s="26" t="inlineStr">
        <is>
          <t>B</t>
        </is>
      </c>
      <c r="FP6372" s="26" t="inlineStr">
        <is>
          <t>B</t>
        </is>
      </c>
    </row>
    <row r="6373">
      <c r="FC6373" t="inlineStr">
        <is>
          <t>Diccionario 6</t>
        </is>
      </c>
      <c r="FD6373" s="26" t="inlineStr">
        <is>
          <t>CER-B1320</t>
        </is>
      </c>
      <c r="FL6373" s="26" t="inlineStr">
        <is>
          <t>B</t>
        </is>
      </c>
      <c r="FP6373" s="26" t="inlineStr">
        <is>
          <t>B</t>
        </is>
      </c>
    </row>
    <row r="6374">
      <c r="FC6374" t="inlineStr">
        <is>
          <t>Diccionario 6</t>
        </is>
      </c>
      <c r="FD6374" s="26" t="inlineStr">
        <is>
          <t>PA-B1321</t>
        </is>
      </c>
      <c r="FL6374" s="26" t="inlineStr">
        <is>
          <t>B</t>
        </is>
      </c>
      <c r="FP6374" s="26" t="inlineStr">
        <is>
          <t>B</t>
        </is>
      </c>
    </row>
    <row r="6375">
      <c r="FC6375" t="inlineStr">
        <is>
          <t>Diccionario 6</t>
        </is>
      </c>
      <c r="FD6375" s="26" t="inlineStr">
        <is>
          <t>PA-B1322</t>
        </is>
      </c>
      <c r="FL6375" s="26" t="inlineStr">
        <is>
          <t>B</t>
        </is>
      </c>
      <c r="FP6375" s="26" t="inlineStr">
        <is>
          <t>B</t>
        </is>
      </c>
    </row>
    <row r="6376">
      <c r="FC6376" t="inlineStr">
        <is>
          <t>Diccionario 6</t>
        </is>
      </c>
      <c r="FD6376" s="26" t="inlineStr">
        <is>
          <t>PA-B1323</t>
        </is>
      </c>
      <c r="FL6376" s="26" t="inlineStr">
        <is>
          <t>B</t>
        </is>
      </c>
      <c r="FP6376" s="26" t="inlineStr">
        <is>
          <t>B</t>
        </is>
      </c>
    </row>
    <row r="6377">
      <c r="FC6377" t="inlineStr">
        <is>
          <t>Diccionario 6</t>
        </is>
      </c>
      <c r="FD6377" s="26" t="inlineStr">
        <is>
          <t>SA-B1324</t>
        </is>
      </c>
      <c r="FL6377" s="26" t="inlineStr">
        <is>
          <t>B</t>
        </is>
      </c>
      <c r="FP6377" s="26" t="inlineStr">
        <is>
          <t>B</t>
        </is>
      </c>
    </row>
    <row r="6378">
      <c r="FC6378" t="inlineStr">
        <is>
          <t>Diccionario 6</t>
        </is>
      </c>
      <c r="FD6378" s="26" t="inlineStr">
        <is>
          <t>SA-B1325</t>
        </is>
      </c>
      <c r="FL6378" s="26" t="inlineStr">
        <is>
          <t>B</t>
        </is>
      </c>
      <c r="FP6378" s="26" t="inlineStr">
        <is>
          <t>B</t>
        </is>
      </c>
    </row>
    <row r="6379">
      <c r="FC6379" t="inlineStr">
        <is>
          <t>Diccionario 6</t>
        </is>
      </c>
      <c r="FD6379" s="26" t="inlineStr">
        <is>
          <t>PA-B1326</t>
        </is>
      </c>
      <c r="FL6379" s="26" t="inlineStr">
        <is>
          <t>B</t>
        </is>
      </c>
      <c r="FP6379" s="26" t="inlineStr">
        <is>
          <t>B</t>
        </is>
      </c>
    </row>
    <row r="6380">
      <c r="FC6380" t="inlineStr">
        <is>
          <t>Diccionario 6</t>
        </is>
      </c>
      <c r="FD6380" s="26" t="inlineStr">
        <is>
          <t>PA-B1327</t>
        </is>
      </c>
      <c r="FL6380" s="26" t="inlineStr">
        <is>
          <t>B</t>
        </is>
      </c>
      <c r="FP6380" s="26" t="inlineStr">
        <is>
          <t>B</t>
        </is>
      </c>
    </row>
    <row r="6381">
      <c r="FC6381" t="inlineStr">
        <is>
          <t>Diccionario 6</t>
        </is>
      </c>
      <c r="FD6381" s="26" t="inlineStr">
        <is>
          <t>PA-B1328</t>
        </is>
      </c>
      <c r="FL6381" s="26" t="inlineStr">
        <is>
          <t>B</t>
        </is>
      </c>
      <c r="FP6381" s="26" t="inlineStr">
        <is>
          <t>B</t>
        </is>
      </c>
    </row>
    <row r="6382">
      <c r="FC6382" t="inlineStr">
        <is>
          <t>Diccionario 6</t>
        </is>
      </c>
      <c r="FD6382" s="26" t="inlineStr">
        <is>
          <t>PA-B1329</t>
        </is>
      </c>
      <c r="FL6382" s="26" t="inlineStr">
        <is>
          <t>B</t>
        </is>
      </c>
      <c r="FP6382" s="26" t="inlineStr">
        <is>
          <t>B</t>
        </is>
      </c>
    </row>
    <row r="6383">
      <c r="FC6383" t="inlineStr">
        <is>
          <t>Diccionario 6</t>
        </is>
      </c>
      <c r="FD6383" s="26" t="inlineStr">
        <is>
          <t>PA-B1330</t>
        </is>
      </c>
      <c r="FL6383" s="26" t="inlineStr">
        <is>
          <t>B</t>
        </is>
      </c>
      <c r="FP6383" s="26" t="inlineStr">
        <is>
          <t>B</t>
        </is>
      </c>
    </row>
    <row r="6384">
      <c r="FC6384" t="inlineStr">
        <is>
          <t>Diccionario 6</t>
        </is>
      </c>
      <c r="FD6384" s="26" t="inlineStr">
        <is>
          <t>SA-B1331</t>
        </is>
      </c>
      <c r="FL6384" s="26" t="inlineStr">
        <is>
          <t>B</t>
        </is>
      </c>
      <c r="FP6384" s="26" t="inlineStr">
        <is>
          <t>B</t>
        </is>
      </c>
    </row>
    <row r="6385">
      <c r="FC6385" t="inlineStr">
        <is>
          <t>Diccionario 6</t>
        </is>
      </c>
      <c r="FD6385" s="26" t="inlineStr">
        <is>
          <t>SA-B1332</t>
        </is>
      </c>
      <c r="FL6385" s="26" t="inlineStr">
        <is>
          <t>B</t>
        </is>
      </c>
      <c r="FP6385" s="26" t="inlineStr">
        <is>
          <t>B</t>
        </is>
      </c>
    </row>
    <row r="6386">
      <c r="FC6386" t="inlineStr">
        <is>
          <t>Diccionario 6</t>
        </is>
      </c>
      <c r="FD6386" s="26" t="inlineStr">
        <is>
          <t>PA-B1333</t>
        </is>
      </c>
      <c r="FL6386" s="26" t="inlineStr">
        <is>
          <t>B</t>
        </is>
      </c>
      <c r="FP6386" s="26" t="inlineStr">
        <is>
          <t>B</t>
        </is>
      </c>
    </row>
    <row r="6387">
      <c r="FC6387" t="inlineStr">
        <is>
          <t>Diccionario 6</t>
        </is>
      </c>
      <c r="FD6387" s="26" t="inlineStr">
        <is>
          <t>PA-B1334</t>
        </is>
      </c>
      <c r="FL6387" s="26" t="inlineStr">
        <is>
          <t>B</t>
        </is>
      </c>
      <c r="FP6387" s="26" t="inlineStr">
        <is>
          <t>B</t>
        </is>
      </c>
    </row>
    <row r="6388">
      <c r="FC6388" t="inlineStr">
        <is>
          <t>Diccionario 6</t>
        </is>
      </c>
      <c r="FD6388" s="26" t="inlineStr">
        <is>
          <t>SA-B1335</t>
        </is>
      </c>
      <c r="FL6388" s="26" t="inlineStr">
        <is>
          <t>B</t>
        </is>
      </c>
      <c r="FP6388" s="26" t="inlineStr">
        <is>
          <t>B</t>
        </is>
      </c>
    </row>
    <row r="6389">
      <c r="FC6389" t="inlineStr">
        <is>
          <t>Diccionario 6</t>
        </is>
      </c>
      <c r="FD6389" s="26" t="inlineStr">
        <is>
          <t>SA-B1336</t>
        </is>
      </c>
      <c r="FL6389" s="26" t="inlineStr">
        <is>
          <t>B</t>
        </is>
      </c>
      <c r="FP6389" s="26" t="inlineStr">
        <is>
          <t>B</t>
        </is>
      </c>
    </row>
    <row r="6390">
      <c r="FC6390" t="inlineStr">
        <is>
          <t>Diccionario 6</t>
        </is>
      </c>
      <c r="FD6390" s="26" t="inlineStr">
        <is>
          <t>SA-B1337</t>
        </is>
      </c>
      <c r="FL6390" s="26" t="inlineStr">
        <is>
          <t>B</t>
        </is>
      </c>
      <c r="FP6390" s="26" t="inlineStr">
        <is>
          <t>B</t>
        </is>
      </c>
    </row>
    <row r="6391">
      <c r="FC6391" t="inlineStr">
        <is>
          <t>Diccionario 6</t>
        </is>
      </c>
      <c r="FD6391" s="26" t="inlineStr">
        <is>
          <t>PA-B1338</t>
        </is>
      </c>
      <c r="FL6391" s="26" t="inlineStr">
        <is>
          <t>B</t>
        </is>
      </c>
      <c r="FP6391" s="26" t="inlineStr">
        <is>
          <t>B</t>
        </is>
      </c>
    </row>
    <row r="6392">
      <c r="FC6392" t="inlineStr">
        <is>
          <t>Diccionario 6</t>
        </is>
      </c>
      <c r="FD6392" s="26" t="inlineStr">
        <is>
          <t>SA-B1339</t>
        </is>
      </c>
      <c r="FL6392" s="26" t="inlineStr">
        <is>
          <t>B</t>
        </is>
      </c>
      <c r="FP6392" s="26" t="inlineStr">
        <is>
          <t>B</t>
        </is>
      </c>
    </row>
    <row r="6393">
      <c r="FC6393" t="inlineStr">
        <is>
          <t>Diccionario 6</t>
        </is>
      </c>
      <c r="FD6393" s="26" t="inlineStr">
        <is>
          <t>SA-B1340</t>
        </is>
      </c>
      <c r="FL6393" s="26" t="inlineStr">
        <is>
          <t>B</t>
        </is>
      </c>
      <c r="FP6393" s="26" t="inlineStr">
        <is>
          <t>B</t>
        </is>
      </c>
    </row>
    <row r="6394">
      <c r="FC6394" t="inlineStr">
        <is>
          <t>Diccionario 6</t>
        </is>
      </c>
      <c r="FD6394" s="26" t="inlineStr">
        <is>
          <t>SA-B1341</t>
        </is>
      </c>
      <c r="FL6394" s="26" t="inlineStr">
        <is>
          <t>B</t>
        </is>
      </c>
      <c r="FP6394" s="26" t="inlineStr">
        <is>
          <t>B</t>
        </is>
      </c>
    </row>
    <row r="6395">
      <c r="FC6395" t="inlineStr">
        <is>
          <t>Diccionario 6</t>
        </is>
      </c>
      <c r="FD6395" s="26" t="inlineStr">
        <is>
          <t>PA-B1342</t>
        </is>
      </c>
      <c r="FL6395" s="26" t="inlineStr">
        <is>
          <t>B</t>
        </is>
      </c>
      <c r="FP6395" s="26" t="inlineStr">
        <is>
          <t>B</t>
        </is>
      </c>
    </row>
    <row r="6396">
      <c r="FC6396" t="inlineStr">
        <is>
          <t>Diccionario 6</t>
        </is>
      </c>
      <c r="FD6396" s="26" t="inlineStr">
        <is>
          <t>PA-B1343</t>
        </is>
      </c>
      <c r="FL6396" s="26" t="inlineStr">
        <is>
          <t>B</t>
        </is>
      </c>
      <c r="FP6396" s="26" t="inlineStr">
        <is>
          <t>B</t>
        </is>
      </c>
    </row>
    <row r="6397">
      <c r="FC6397" t="inlineStr">
        <is>
          <t>Diccionario 6</t>
        </is>
      </c>
      <c r="FD6397" s="26" t="inlineStr">
        <is>
          <t>PA-B1344</t>
        </is>
      </c>
      <c r="FL6397" s="26" t="inlineStr">
        <is>
          <t>B</t>
        </is>
      </c>
      <c r="FP6397" s="26" t="inlineStr">
        <is>
          <t>B</t>
        </is>
      </c>
    </row>
    <row r="6398">
      <c r="FC6398" t="inlineStr">
        <is>
          <t>Diccionario 6</t>
        </is>
      </c>
      <c r="FD6398" s="26" t="inlineStr">
        <is>
          <t>PA-B1345</t>
        </is>
      </c>
      <c r="FL6398" s="26" t="inlineStr">
        <is>
          <t>B</t>
        </is>
      </c>
      <c r="FP6398" s="26" t="inlineStr">
        <is>
          <t>B</t>
        </is>
      </c>
    </row>
    <row r="6399">
      <c r="FC6399" t="inlineStr">
        <is>
          <t>Diccionario 6</t>
        </is>
      </c>
      <c r="FD6399" s="26" t="inlineStr">
        <is>
          <t>SA-B1346</t>
        </is>
      </c>
      <c r="FL6399" s="26" t="inlineStr">
        <is>
          <t>B</t>
        </is>
      </c>
      <c r="FP6399" s="26" t="inlineStr">
        <is>
          <t>B</t>
        </is>
      </c>
    </row>
    <row r="6400">
      <c r="FC6400" t="inlineStr">
        <is>
          <t>Diccionario 6</t>
        </is>
      </c>
      <c r="FD6400" s="26" t="inlineStr">
        <is>
          <t>PA-B1347</t>
        </is>
      </c>
      <c r="FL6400" s="26" t="inlineStr">
        <is>
          <t>B</t>
        </is>
      </c>
      <c r="FP6400" s="26" t="inlineStr">
        <is>
          <t>B</t>
        </is>
      </c>
    </row>
    <row r="6401">
      <c r="FC6401" t="inlineStr">
        <is>
          <t>Diccionario 6</t>
        </is>
      </c>
      <c r="FD6401" s="26" t="inlineStr">
        <is>
          <t>PA-B1348</t>
        </is>
      </c>
      <c r="FL6401" s="26" t="inlineStr">
        <is>
          <t>B</t>
        </is>
      </c>
      <c r="FP6401" s="26" t="inlineStr">
        <is>
          <t>B</t>
        </is>
      </c>
    </row>
    <row r="6402">
      <c r="FC6402" t="inlineStr">
        <is>
          <t>Diccionario 6</t>
        </is>
      </c>
      <c r="FD6402" s="26" t="inlineStr">
        <is>
          <t>SA-B1349</t>
        </is>
      </c>
      <c r="FL6402" s="26" t="inlineStr">
        <is>
          <t>B</t>
        </is>
      </c>
      <c r="FP6402" s="26" t="inlineStr">
        <is>
          <t>B</t>
        </is>
      </c>
    </row>
    <row r="6403">
      <c r="FC6403" t="inlineStr">
        <is>
          <t>Diccionario 6</t>
        </is>
      </c>
      <c r="FD6403" s="26" t="inlineStr">
        <is>
          <t>SA-B1350</t>
        </is>
      </c>
      <c r="FL6403" s="26" t="inlineStr">
        <is>
          <t>B</t>
        </is>
      </c>
      <c r="FP6403" s="26" t="inlineStr">
        <is>
          <t>B</t>
        </is>
      </c>
    </row>
    <row r="6404">
      <c r="FC6404" t="inlineStr">
        <is>
          <t>Diccionario 6</t>
        </is>
      </c>
      <c r="FD6404" s="26" t="inlineStr">
        <is>
          <t>SA-B1351</t>
        </is>
      </c>
      <c r="FL6404" s="26" t="inlineStr">
        <is>
          <t>B</t>
        </is>
      </c>
      <c r="FP6404" s="26" t="inlineStr">
        <is>
          <t>B</t>
        </is>
      </c>
    </row>
    <row r="6405">
      <c r="FC6405" t="inlineStr">
        <is>
          <t>Diccionario 6</t>
        </is>
      </c>
      <c r="FD6405" s="26" t="inlineStr">
        <is>
          <t>SA-B1352</t>
        </is>
      </c>
      <c r="FL6405" s="26" t="inlineStr">
        <is>
          <t>B</t>
        </is>
      </c>
      <c r="FP6405" s="26" t="inlineStr">
        <is>
          <t>B</t>
        </is>
      </c>
    </row>
    <row r="6406">
      <c r="FC6406" t="inlineStr">
        <is>
          <t>Diccionario 6</t>
        </is>
      </c>
      <c r="FD6406" s="26" t="inlineStr">
        <is>
          <t>SA-B1353</t>
        </is>
      </c>
      <c r="FL6406" s="26" t="inlineStr">
        <is>
          <t>B</t>
        </is>
      </c>
      <c r="FP6406" s="26" t="inlineStr">
        <is>
          <t>B</t>
        </is>
      </c>
    </row>
    <row r="6407">
      <c r="FC6407" t="inlineStr">
        <is>
          <t>Diccionario 6</t>
        </is>
      </c>
      <c r="FD6407" s="26" t="inlineStr">
        <is>
          <t>PA-B1354</t>
        </is>
      </c>
      <c r="FL6407" s="26" t="inlineStr">
        <is>
          <t>B</t>
        </is>
      </c>
      <c r="FP6407" s="26" t="inlineStr">
        <is>
          <t>B</t>
        </is>
      </c>
    </row>
    <row r="6408">
      <c r="FC6408" t="inlineStr">
        <is>
          <t>Diccionario 6</t>
        </is>
      </c>
      <c r="FD6408" s="26" t="inlineStr">
        <is>
          <t>PA-B1355</t>
        </is>
      </c>
      <c r="FL6408" s="26" t="inlineStr">
        <is>
          <t>B</t>
        </is>
      </c>
      <c r="FP6408" s="26" t="inlineStr">
        <is>
          <t>B</t>
        </is>
      </c>
    </row>
    <row r="6409">
      <c r="FC6409" t="inlineStr">
        <is>
          <t>Diccionario 6</t>
        </is>
      </c>
      <c r="FD6409" s="26" t="inlineStr">
        <is>
          <t>PA-B1356</t>
        </is>
      </c>
      <c r="FL6409" s="26" t="inlineStr">
        <is>
          <t>B</t>
        </is>
      </c>
      <c r="FP6409" s="26" t="inlineStr">
        <is>
          <t>B</t>
        </is>
      </c>
    </row>
    <row r="6410">
      <c r="FC6410" t="inlineStr">
        <is>
          <t>Diccionario 6</t>
        </is>
      </c>
      <c r="FD6410" s="26" t="inlineStr">
        <is>
          <t>SA-B1357</t>
        </is>
      </c>
      <c r="FL6410" s="26" t="inlineStr">
        <is>
          <t>B</t>
        </is>
      </c>
      <c r="FP6410" s="26" t="inlineStr">
        <is>
          <t>B</t>
        </is>
      </c>
    </row>
    <row r="6411">
      <c r="FC6411" t="inlineStr">
        <is>
          <t>Diccionario 6</t>
        </is>
      </c>
      <c r="FD6411" s="26" t="inlineStr">
        <is>
          <t>SA-B1358</t>
        </is>
      </c>
      <c r="FL6411" s="26" t="inlineStr">
        <is>
          <t>B</t>
        </is>
      </c>
      <c r="FP6411" s="26" t="inlineStr">
        <is>
          <t>B</t>
        </is>
      </c>
    </row>
    <row r="6412">
      <c r="FC6412" t="inlineStr">
        <is>
          <t>Diccionario 6</t>
        </is>
      </c>
      <c r="FD6412" s="26" t="inlineStr">
        <is>
          <t>SA-B1359</t>
        </is>
      </c>
      <c r="FL6412" s="26" t="inlineStr">
        <is>
          <t>B</t>
        </is>
      </c>
      <c r="FP6412" s="26" t="inlineStr">
        <is>
          <t>B</t>
        </is>
      </c>
    </row>
    <row r="6413">
      <c r="FC6413" t="inlineStr">
        <is>
          <t>Diccionario 6</t>
        </is>
      </c>
      <c r="FD6413" s="26" t="inlineStr">
        <is>
          <t>SA-B1360</t>
        </is>
      </c>
      <c r="FL6413" s="26" t="inlineStr">
        <is>
          <t>B</t>
        </is>
      </c>
      <c r="FP6413" s="26" t="inlineStr">
        <is>
          <t>B</t>
        </is>
      </c>
    </row>
    <row r="6414">
      <c r="FC6414" t="inlineStr">
        <is>
          <t>Diccionario 6</t>
        </is>
      </c>
      <c r="FD6414" s="26" t="inlineStr">
        <is>
          <t>SA-B1361</t>
        </is>
      </c>
      <c r="FL6414" s="26" t="inlineStr">
        <is>
          <t>B</t>
        </is>
      </c>
      <c r="FP6414" s="26" t="inlineStr">
        <is>
          <t>B</t>
        </is>
      </c>
    </row>
    <row r="6415">
      <c r="FC6415" t="inlineStr">
        <is>
          <t>Diccionario 6</t>
        </is>
      </c>
      <c r="FD6415" s="26" t="inlineStr">
        <is>
          <t>PA-B1362</t>
        </is>
      </c>
      <c r="FL6415" s="26" t="inlineStr">
        <is>
          <t>B</t>
        </is>
      </c>
      <c r="FP6415" s="26" t="inlineStr">
        <is>
          <t>B</t>
        </is>
      </c>
    </row>
    <row r="6416">
      <c r="FC6416" t="inlineStr">
        <is>
          <t>Diccionario 6</t>
        </is>
      </c>
      <c r="FD6416" s="26" t="inlineStr">
        <is>
          <t>SA-B1363</t>
        </is>
      </c>
      <c r="FL6416" s="26" t="inlineStr">
        <is>
          <t>B</t>
        </is>
      </c>
      <c r="FP6416" s="26" t="inlineStr">
        <is>
          <t>B</t>
        </is>
      </c>
    </row>
    <row r="6417">
      <c r="FC6417" t="inlineStr">
        <is>
          <t>Diccionario 6</t>
        </is>
      </c>
      <c r="FD6417" s="26" t="inlineStr">
        <is>
          <t>SA-B1364</t>
        </is>
      </c>
      <c r="FL6417" s="26" t="inlineStr">
        <is>
          <t>B</t>
        </is>
      </c>
      <c r="FP6417" s="26" t="inlineStr">
        <is>
          <t>B</t>
        </is>
      </c>
    </row>
    <row r="6418">
      <c r="FC6418" t="inlineStr">
        <is>
          <t>Diccionario 6</t>
        </is>
      </c>
      <c r="FD6418" s="26" t="inlineStr">
        <is>
          <t>PA-B1365</t>
        </is>
      </c>
      <c r="FL6418" s="26" t="inlineStr">
        <is>
          <t>B</t>
        </is>
      </c>
      <c r="FP6418" s="26" t="inlineStr">
        <is>
          <t>B</t>
        </is>
      </c>
    </row>
    <row r="6419">
      <c r="FC6419" t="inlineStr">
        <is>
          <t>Diccionario 6</t>
        </is>
      </c>
      <c r="FD6419" s="26" t="inlineStr">
        <is>
          <t>SA-B1366</t>
        </is>
      </c>
      <c r="FL6419" s="26" t="inlineStr">
        <is>
          <t>B</t>
        </is>
      </c>
      <c r="FP6419" s="26" t="inlineStr">
        <is>
          <t>B</t>
        </is>
      </c>
    </row>
    <row r="6420">
      <c r="FC6420" t="inlineStr">
        <is>
          <t>Diccionario 6</t>
        </is>
      </c>
      <c r="FD6420" s="26" t="inlineStr">
        <is>
          <t>SA-B1367</t>
        </is>
      </c>
      <c r="FL6420" s="26" t="inlineStr">
        <is>
          <t>B</t>
        </is>
      </c>
      <c r="FP6420" s="26" t="inlineStr">
        <is>
          <t>B</t>
        </is>
      </c>
    </row>
    <row r="6421">
      <c r="FC6421" t="inlineStr">
        <is>
          <t>Diccionario 6</t>
        </is>
      </c>
      <c r="FD6421" s="26" t="inlineStr">
        <is>
          <t>PA-B1368</t>
        </is>
      </c>
      <c r="FL6421" s="26" t="inlineStr">
        <is>
          <t>B</t>
        </is>
      </c>
      <c r="FP6421" s="26" t="inlineStr">
        <is>
          <t>B</t>
        </is>
      </c>
    </row>
    <row r="6422">
      <c r="FC6422" t="inlineStr">
        <is>
          <t>Diccionario 6</t>
        </is>
      </c>
      <c r="FD6422" s="26" t="inlineStr">
        <is>
          <t>SA-B1369</t>
        </is>
      </c>
      <c r="FL6422" s="26" t="inlineStr">
        <is>
          <t>B</t>
        </is>
      </c>
      <c r="FP6422" s="26" t="inlineStr">
        <is>
          <t>B</t>
        </is>
      </c>
    </row>
    <row r="6423">
      <c r="FC6423" t="inlineStr">
        <is>
          <t>Diccionario 6</t>
        </is>
      </c>
      <c r="FD6423" s="26" t="inlineStr">
        <is>
          <t>SA-B1370</t>
        </is>
      </c>
      <c r="FL6423" s="26" t="inlineStr">
        <is>
          <t>B</t>
        </is>
      </c>
      <c r="FP6423" s="26" t="inlineStr">
        <is>
          <t>B</t>
        </is>
      </c>
    </row>
    <row r="6424">
      <c r="FC6424" t="inlineStr">
        <is>
          <t>Diccionario 6</t>
        </is>
      </c>
      <c r="FD6424" s="26" t="inlineStr">
        <is>
          <t>PA-B1371</t>
        </is>
      </c>
      <c r="FL6424" s="26" t="inlineStr">
        <is>
          <t>B</t>
        </is>
      </c>
      <c r="FP6424" s="26" t="inlineStr">
        <is>
          <t>B</t>
        </is>
      </c>
    </row>
    <row r="6425">
      <c r="FC6425" t="inlineStr">
        <is>
          <t>Diccionario 6</t>
        </is>
      </c>
      <c r="FD6425" s="26" t="inlineStr">
        <is>
          <t>SA-B1372</t>
        </is>
      </c>
      <c r="FL6425" s="26" t="inlineStr">
        <is>
          <t>B</t>
        </is>
      </c>
      <c r="FP6425" s="26" t="inlineStr">
        <is>
          <t>B</t>
        </is>
      </c>
    </row>
    <row r="6426">
      <c r="FC6426" t="inlineStr">
        <is>
          <t>Diccionario 6</t>
        </is>
      </c>
      <c r="FD6426" s="26" t="inlineStr">
        <is>
          <t>PA-B1373</t>
        </is>
      </c>
      <c r="FL6426" s="26" t="inlineStr">
        <is>
          <t>B</t>
        </is>
      </c>
      <c r="FP6426" s="26" t="inlineStr">
        <is>
          <t>B</t>
        </is>
      </c>
    </row>
    <row r="6427">
      <c r="FC6427" t="inlineStr">
        <is>
          <t>Diccionario 6</t>
        </is>
      </c>
      <c r="FD6427" s="26" t="inlineStr">
        <is>
          <t>PA-B1374</t>
        </is>
      </c>
      <c r="FL6427" s="26" t="inlineStr">
        <is>
          <t>B</t>
        </is>
      </c>
      <c r="FP6427" s="26" t="inlineStr">
        <is>
          <t>B</t>
        </is>
      </c>
    </row>
    <row r="6428">
      <c r="FC6428" t="inlineStr">
        <is>
          <t>Diccionario 6</t>
        </is>
      </c>
      <c r="FD6428" s="26" t="inlineStr">
        <is>
          <t>SA-B1375</t>
        </is>
      </c>
      <c r="FL6428" s="26" t="inlineStr">
        <is>
          <t>B</t>
        </is>
      </c>
      <c r="FP6428" s="26" t="inlineStr">
        <is>
          <t>B</t>
        </is>
      </c>
    </row>
    <row r="6429">
      <c r="FC6429" t="inlineStr">
        <is>
          <t>Diccionario 6</t>
        </is>
      </c>
      <c r="FD6429" s="26" t="inlineStr">
        <is>
          <t>PA-B1376</t>
        </is>
      </c>
      <c r="FL6429" s="26" t="inlineStr">
        <is>
          <t>B</t>
        </is>
      </c>
      <c r="FP6429" s="26" t="inlineStr">
        <is>
          <t>B</t>
        </is>
      </c>
    </row>
    <row r="6430">
      <c r="FC6430" t="inlineStr">
        <is>
          <t>Diccionario 6</t>
        </is>
      </c>
      <c r="FD6430" s="26" t="inlineStr">
        <is>
          <t>PA-B1377</t>
        </is>
      </c>
      <c r="FL6430" s="26" t="inlineStr">
        <is>
          <t>B</t>
        </is>
      </c>
      <c r="FP6430" s="26" t="inlineStr">
        <is>
          <t>B</t>
        </is>
      </c>
    </row>
    <row r="6431">
      <c r="FC6431" t="inlineStr">
        <is>
          <t>Diccionario 6</t>
        </is>
      </c>
      <c r="FD6431" s="26" t="inlineStr">
        <is>
          <t>CER-B1378</t>
        </is>
      </c>
      <c r="FL6431" s="26" t="inlineStr">
        <is>
          <t>B</t>
        </is>
      </c>
      <c r="FP6431" s="26" t="inlineStr">
        <is>
          <t>B</t>
        </is>
      </c>
    </row>
    <row r="6432">
      <c r="FC6432" t="inlineStr">
        <is>
          <t>Diccionario 6</t>
        </is>
      </c>
      <c r="FD6432" s="26" t="inlineStr">
        <is>
          <t>PA-B1379</t>
        </is>
      </c>
      <c r="FL6432" s="26" t="inlineStr">
        <is>
          <t>B</t>
        </is>
      </c>
      <c r="FP6432" s="26" t="inlineStr">
        <is>
          <t>B</t>
        </is>
      </c>
    </row>
    <row r="6433">
      <c r="FC6433" t="inlineStr">
        <is>
          <t>Diccionario 6</t>
        </is>
      </c>
      <c r="FD6433" s="26" t="inlineStr">
        <is>
          <t>CER-B1380</t>
        </is>
      </c>
      <c r="FL6433" s="26" t="inlineStr">
        <is>
          <t>B</t>
        </is>
      </c>
      <c r="FP6433" s="26" t="inlineStr">
        <is>
          <t>B</t>
        </is>
      </c>
    </row>
    <row r="6434">
      <c r="FC6434" t="inlineStr">
        <is>
          <t>Diccionario 6</t>
        </is>
      </c>
      <c r="FD6434" s="26" t="inlineStr">
        <is>
          <t>PA-B1381</t>
        </is>
      </c>
      <c r="FL6434" s="26" t="inlineStr">
        <is>
          <t>B</t>
        </is>
      </c>
      <c r="FP6434" s="26" t="inlineStr">
        <is>
          <t>B</t>
        </is>
      </c>
    </row>
    <row r="6435">
      <c r="FC6435" t="inlineStr">
        <is>
          <t>Diccionario 6</t>
        </is>
      </c>
      <c r="FD6435" s="26" t="inlineStr">
        <is>
          <t>PA-B1382</t>
        </is>
      </c>
      <c r="FL6435" s="26" t="inlineStr">
        <is>
          <t>B</t>
        </is>
      </c>
      <c r="FP6435" s="26" t="inlineStr">
        <is>
          <t>B</t>
        </is>
      </c>
    </row>
    <row r="6436">
      <c r="FC6436" t="inlineStr">
        <is>
          <t>Diccionario 6</t>
        </is>
      </c>
      <c r="FD6436" s="26" t="inlineStr">
        <is>
          <t>PA-B1383</t>
        </is>
      </c>
      <c r="FL6436" s="26" t="inlineStr">
        <is>
          <t>B</t>
        </is>
      </c>
      <c r="FP6436" s="26" t="inlineStr">
        <is>
          <t>B</t>
        </is>
      </c>
    </row>
    <row r="6437">
      <c r="FC6437" t="inlineStr">
        <is>
          <t>Diccionario 6</t>
        </is>
      </c>
      <c r="FD6437" s="26" t="inlineStr">
        <is>
          <t>PA-B1384</t>
        </is>
      </c>
      <c r="FL6437" s="26" t="inlineStr">
        <is>
          <t>B</t>
        </is>
      </c>
      <c r="FP6437" s="26" t="inlineStr">
        <is>
          <t>B</t>
        </is>
      </c>
    </row>
    <row r="6438">
      <c r="FC6438" t="inlineStr">
        <is>
          <t>Diccionario 6</t>
        </is>
      </c>
      <c r="FD6438" s="26" t="inlineStr">
        <is>
          <t>CER-B1385</t>
        </is>
      </c>
      <c r="FL6438" s="26" t="inlineStr">
        <is>
          <t>B</t>
        </is>
      </c>
      <c r="FP6438" s="26" t="inlineStr">
        <is>
          <t>B</t>
        </is>
      </c>
    </row>
    <row r="6439">
      <c r="FC6439" t="inlineStr">
        <is>
          <t>Diccionario 6</t>
        </is>
      </c>
      <c r="FD6439" s="26" t="inlineStr">
        <is>
          <t>PA-B1386</t>
        </is>
      </c>
      <c r="FL6439" s="26" t="inlineStr">
        <is>
          <t>B</t>
        </is>
      </c>
      <c r="FP6439" s="26" t="inlineStr">
        <is>
          <t>B</t>
        </is>
      </c>
    </row>
    <row r="6440">
      <c r="FC6440" t="inlineStr">
        <is>
          <t>Diccionario 6</t>
        </is>
      </c>
      <c r="FD6440" s="26" t="inlineStr">
        <is>
          <t>PA-B1387</t>
        </is>
      </c>
      <c r="FL6440" s="26" t="inlineStr">
        <is>
          <t>B</t>
        </is>
      </c>
      <c r="FP6440" s="26" t="inlineStr">
        <is>
          <t>B</t>
        </is>
      </c>
    </row>
    <row r="6441">
      <c r="FC6441" t="inlineStr">
        <is>
          <t>Diccionario 6</t>
        </is>
      </c>
      <c r="FD6441" s="26" t="inlineStr">
        <is>
          <t>PA-B1388</t>
        </is>
      </c>
      <c r="FL6441" s="26" t="inlineStr">
        <is>
          <t>B</t>
        </is>
      </c>
      <c r="FP6441" s="26" t="inlineStr">
        <is>
          <t>B</t>
        </is>
      </c>
    </row>
    <row r="6442">
      <c r="FC6442" t="inlineStr">
        <is>
          <t>Diccionario 6</t>
        </is>
      </c>
      <c r="FD6442" s="26" t="inlineStr">
        <is>
          <t>SA-B1389</t>
        </is>
      </c>
      <c r="FL6442" s="26" t="inlineStr">
        <is>
          <t>B</t>
        </is>
      </c>
      <c r="FP6442" s="26" t="inlineStr">
        <is>
          <t>B</t>
        </is>
      </c>
    </row>
    <row r="6443">
      <c r="FC6443" t="inlineStr">
        <is>
          <t>Diccionario 6</t>
        </is>
      </c>
      <c r="FD6443" s="26" t="inlineStr">
        <is>
          <t>SA-B1390</t>
        </is>
      </c>
      <c r="FL6443" s="26" t="inlineStr">
        <is>
          <t>B</t>
        </is>
      </c>
      <c r="FP6443" s="26" t="inlineStr">
        <is>
          <t>B</t>
        </is>
      </c>
    </row>
    <row r="6444">
      <c r="FC6444" t="inlineStr">
        <is>
          <t>Diccionario 6</t>
        </is>
      </c>
      <c r="FD6444" s="26" t="inlineStr">
        <is>
          <t>SA-B1391</t>
        </is>
      </c>
      <c r="FL6444" s="26" t="inlineStr">
        <is>
          <t>B</t>
        </is>
      </c>
      <c r="FP6444" s="26" t="inlineStr">
        <is>
          <t>B</t>
        </is>
      </c>
    </row>
    <row r="6445">
      <c r="FC6445" t="inlineStr">
        <is>
          <t>Diccionario 6</t>
        </is>
      </c>
      <c r="FD6445" s="26" t="inlineStr">
        <is>
          <t>PA-B1392</t>
        </is>
      </c>
      <c r="FL6445" s="26" t="inlineStr">
        <is>
          <t>B</t>
        </is>
      </c>
      <c r="FP6445" s="26" t="inlineStr">
        <is>
          <t>B</t>
        </is>
      </c>
    </row>
    <row r="6446">
      <c r="FC6446" t="inlineStr">
        <is>
          <t>Diccionario 6</t>
        </is>
      </c>
      <c r="FD6446" s="26" t="inlineStr">
        <is>
          <t>CER-B1393</t>
        </is>
      </c>
      <c r="FL6446" s="26" t="inlineStr">
        <is>
          <t>B</t>
        </is>
      </c>
      <c r="FP6446" s="26" t="inlineStr">
        <is>
          <t>B</t>
        </is>
      </c>
    </row>
    <row r="6447">
      <c r="FC6447" t="inlineStr">
        <is>
          <t>Diccionario 6</t>
        </is>
      </c>
      <c r="FD6447" s="26" t="inlineStr">
        <is>
          <t>SA-B1394</t>
        </is>
      </c>
      <c r="FL6447" s="26" t="inlineStr">
        <is>
          <t>B</t>
        </is>
      </c>
      <c r="FP6447" s="26" t="inlineStr">
        <is>
          <t>B</t>
        </is>
      </c>
    </row>
    <row r="6448">
      <c r="FC6448" t="inlineStr">
        <is>
          <t>Diccionario 6</t>
        </is>
      </c>
      <c r="FD6448" s="26" t="inlineStr">
        <is>
          <t>PA-B1395</t>
        </is>
      </c>
      <c r="FL6448" s="26" t="inlineStr">
        <is>
          <t>B</t>
        </is>
      </c>
      <c r="FP6448" s="26" t="inlineStr">
        <is>
          <t>B</t>
        </is>
      </c>
    </row>
    <row r="6449">
      <c r="FC6449" t="inlineStr">
        <is>
          <t>Diccionario 6</t>
        </is>
      </c>
      <c r="FD6449" s="26" t="inlineStr">
        <is>
          <t>SA-B1396</t>
        </is>
      </c>
      <c r="FL6449" s="26" t="inlineStr">
        <is>
          <t>B</t>
        </is>
      </c>
      <c r="FP6449" s="26" t="inlineStr">
        <is>
          <t>B</t>
        </is>
      </c>
    </row>
    <row r="6450">
      <c r="FC6450" t="inlineStr">
        <is>
          <t>Diccionario 6</t>
        </is>
      </c>
      <c r="FD6450" s="26" t="inlineStr">
        <is>
          <t>SA-B1397</t>
        </is>
      </c>
      <c r="FL6450" s="26" t="inlineStr">
        <is>
          <t>B</t>
        </is>
      </c>
      <c r="FP6450" s="26" t="inlineStr">
        <is>
          <t>B</t>
        </is>
      </c>
    </row>
    <row r="6451">
      <c r="FC6451" t="inlineStr">
        <is>
          <t>Diccionario 6</t>
        </is>
      </c>
      <c r="FD6451" s="26" t="inlineStr">
        <is>
          <t>PA-B1398</t>
        </is>
      </c>
      <c r="FL6451" s="26" t="inlineStr">
        <is>
          <t>B</t>
        </is>
      </c>
      <c r="FP6451" s="26" t="inlineStr">
        <is>
          <t>B</t>
        </is>
      </c>
    </row>
    <row r="6452">
      <c r="FC6452" t="inlineStr">
        <is>
          <t>Diccionario 6</t>
        </is>
      </c>
      <c r="FD6452" s="26" t="inlineStr">
        <is>
          <t>PA-B1399</t>
        </is>
      </c>
      <c r="FL6452" s="26" t="inlineStr">
        <is>
          <t>B</t>
        </is>
      </c>
      <c r="FP6452" s="26" t="inlineStr">
        <is>
          <t>B</t>
        </is>
      </c>
    </row>
    <row r="6453">
      <c r="FC6453" t="inlineStr">
        <is>
          <t>Diccionario 6</t>
        </is>
      </c>
      <c r="FD6453" s="26" t="inlineStr">
        <is>
          <t>PA-B1400</t>
        </is>
      </c>
      <c r="FL6453" s="26" t="inlineStr">
        <is>
          <t>B</t>
        </is>
      </c>
      <c r="FP6453" s="26" t="inlineStr">
        <is>
          <t>B</t>
        </is>
      </c>
    </row>
    <row r="6454">
      <c r="FC6454" t="inlineStr">
        <is>
          <t>Diccionario 6</t>
        </is>
      </c>
      <c r="FD6454" s="26" t="inlineStr">
        <is>
          <t>SA-B1401</t>
        </is>
      </c>
      <c r="FL6454" s="26" t="inlineStr">
        <is>
          <t>B</t>
        </is>
      </c>
      <c r="FP6454" s="26" t="inlineStr">
        <is>
          <t>B</t>
        </is>
      </c>
    </row>
    <row r="6455">
      <c r="FC6455" t="inlineStr">
        <is>
          <t>Diccionario 6</t>
        </is>
      </c>
      <c r="FD6455" s="26" t="inlineStr">
        <is>
          <t>PA-B1402</t>
        </is>
      </c>
      <c r="FL6455" s="26" t="inlineStr">
        <is>
          <t>B</t>
        </is>
      </c>
      <c r="FP6455" s="26" t="inlineStr">
        <is>
          <t>B</t>
        </is>
      </c>
    </row>
    <row r="6456">
      <c r="FC6456" t="inlineStr">
        <is>
          <t>Diccionario 6</t>
        </is>
      </c>
      <c r="FD6456" s="26" t="inlineStr">
        <is>
          <t>PA-B1403</t>
        </is>
      </c>
      <c r="FL6456" s="26" t="inlineStr">
        <is>
          <t>B</t>
        </is>
      </c>
      <c r="FP6456" s="26" t="inlineStr">
        <is>
          <t>B</t>
        </is>
      </c>
    </row>
    <row r="6457">
      <c r="FC6457" t="inlineStr">
        <is>
          <t>Diccionario 6</t>
        </is>
      </c>
      <c r="FD6457" s="26" t="inlineStr">
        <is>
          <t>CER-B1404</t>
        </is>
      </c>
      <c r="FL6457" s="26" t="inlineStr">
        <is>
          <t>B</t>
        </is>
      </c>
      <c r="FP6457" s="26" t="inlineStr">
        <is>
          <t>B</t>
        </is>
      </c>
    </row>
    <row r="6458">
      <c r="FC6458" t="inlineStr">
        <is>
          <t>Diccionario 6</t>
        </is>
      </c>
      <c r="FD6458" s="26" t="inlineStr">
        <is>
          <t>SA-B1405</t>
        </is>
      </c>
      <c r="FL6458" s="26" t="inlineStr">
        <is>
          <t>B</t>
        </is>
      </c>
      <c r="FP6458" s="26" t="inlineStr">
        <is>
          <t>B</t>
        </is>
      </c>
    </row>
    <row r="6459">
      <c r="FC6459" t="inlineStr">
        <is>
          <t>Diccionario 6</t>
        </is>
      </c>
      <c r="FD6459" s="26" t="inlineStr">
        <is>
          <t>SA-B1406</t>
        </is>
      </c>
      <c r="FL6459" s="26" t="inlineStr">
        <is>
          <t>B</t>
        </is>
      </c>
      <c r="FP6459" s="26" t="inlineStr">
        <is>
          <t>B</t>
        </is>
      </c>
    </row>
    <row r="6460">
      <c r="FC6460" t="inlineStr">
        <is>
          <t>Diccionario 6</t>
        </is>
      </c>
      <c r="FD6460" s="26" t="inlineStr">
        <is>
          <t>PA-B1407</t>
        </is>
      </c>
      <c r="FL6460" s="26" t="inlineStr">
        <is>
          <t>B</t>
        </is>
      </c>
      <c r="FP6460" s="26" t="inlineStr">
        <is>
          <t>B</t>
        </is>
      </c>
    </row>
    <row r="6461">
      <c r="FC6461" t="inlineStr">
        <is>
          <t>Diccionario 6</t>
        </is>
      </c>
      <c r="FD6461" s="26" t="inlineStr">
        <is>
          <t>PA-B1408</t>
        </is>
      </c>
      <c r="FL6461" s="26" t="inlineStr">
        <is>
          <t>B</t>
        </is>
      </c>
      <c r="FP6461" s="26" t="inlineStr">
        <is>
          <t>B</t>
        </is>
      </c>
    </row>
    <row r="6462">
      <c r="FC6462" t="inlineStr">
        <is>
          <t>Diccionario 6</t>
        </is>
      </c>
      <c r="FD6462" s="26" t="inlineStr">
        <is>
          <t>PA-B1409</t>
        </is>
      </c>
      <c r="FL6462" s="26" t="inlineStr">
        <is>
          <t>B</t>
        </is>
      </c>
      <c r="FP6462" s="26" t="inlineStr">
        <is>
          <t>B</t>
        </is>
      </c>
    </row>
    <row r="6463">
      <c r="FC6463" t="inlineStr">
        <is>
          <t>Diccionario 6</t>
        </is>
      </c>
      <c r="FD6463" s="26" t="inlineStr">
        <is>
          <t>PA-B1410</t>
        </is>
      </c>
      <c r="FL6463" s="26" t="inlineStr">
        <is>
          <t>B</t>
        </is>
      </c>
      <c r="FP6463" s="26" t="inlineStr">
        <is>
          <t>B</t>
        </is>
      </c>
    </row>
    <row r="6464">
      <c r="FC6464" t="inlineStr">
        <is>
          <t>Diccionario 6</t>
        </is>
      </c>
      <c r="FD6464" s="26" t="inlineStr">
        <is>
          <t>LL-B1411</t>
        </is>
      </c>
      <c r="FL6464" s="26" t="inlineStr">
        <is>
          <t>B</t>
        </is>
      </c>
      <c r="FP6464" s="26" t="inlineStr">
        <is>
          <t>B</t>
        </is>
      </c>
    </row>
    <row r="6465">
      <c r="FC6465" t="inlineStr">
        <is>
          <t>Diccionario 6</t>
        </is>
      </c>
      <c r="FD6465" s="26" t="inlineStr">
        <is>
          <t>LL-B1412</t>
        </is>
      </c>
      <c r="FL6465" s="26" t="inlineStr">
        <is>
          <t>B</t>
        </is>
      </c>
      <c r="FP6465" s="26" t="inlineStr">
        <is>
          <t>B</t>
        </is>
      </c>
    </row>
    <row r="6466">
      <c r="FC6466" t="inlineStr">
        <is>
          <t>Diccionario 6</t>
        </is>
      </c>
      <c r="FD6466" s="26" t="inlineStr">
        <is>
          <t>LL-B1413</t>
        </is>
      </c>
      <c r="FL6466" s="26" t="inlineStr">
        <is>
          <t>B</t>
        </is>
      </c>
      <c r="FP6466" s="26" t="inlineStr">
        <is>
          <t>B</t>
        </is>
      </c>
    </row>
    <row r="6467">
      <c r="FC6467" t="inlineStr">
        <is>
          <t>Diccionario 6</t>
        </is>
      </c>
      <c r="FD6467" s="26" t="inlineStr">
        <is>
          <t>CER-B1414</t>
        </is>
      </c>
      <c r="FL6467" s="26" t="inlineStr">
        <is>
          <t>B</t>
        </is>
      </c>
      <c r="FP6467" s="26" t="inlineStr">
        <is>
          <t>B</t>
        </is>
      </c>
    </row>
    <row r="6468">
      <c r="FC6468" t="inlineStr">
        <is>
          <t>Diccionario 6</t>
        </is>
      </c>
      <c r="FD6468" s="26" t="inlineStr">
        <is>
          <t>PA-B1415</t>
        </is>
      </c>
      <c r="FL6468" s="26" t="inlineStr">
        <is>
          <t>B</t>
        </is>
      </c>
      <c r="FP6468" s="26" t="inlineStr">
        <is>
          <t>B</t>
        </is>
      </c>
    </row>
    <row r="6469">
      <c r="FC6469" t="inlineStr">
        <is>
          <t>Diccionario 6</t>
        </is>
      </c>
      <c r="FD6469" s="26" t="inlineStr">
        <is>
          <t>SA-B1416</t>
        </is>
      </c>
      <c r="FL6469" s="26" t="inlineStr">
        <is>
          <t>B</t>
        </is>
      </c>
      <c r="FP6469" s="26" t="inlineStr">
        <is>
          <t>B</t>
        </is>
      </c>
    </row>
    <row r="6470">
      <c r="FC6470" t="inlineStr">
        <is>
          <t>Diccionario 6</t>
        </is>
      </c>
      <c r="FD6470" s="26" t="inlineStr">
        <is>
          <t>CER-B1417</t>
        </is>
      </c>
      <c r="FL6470" s="26" t="inlineStr">
        <is>
          <t>B</t>
        </is>
      </c>
      <c r="FP6470" s="26" t="inlineStr">
        <is>
          <t>B</t>
        </is>
      </c>
    </row>
    <row r="6471">
      <c r="FC6471" t="inlineStr">
        <is>
          <t>Diccionario 6</t>
        </is>
      </c>
      <c r="FD6471" s="26" t="inlineStr">
        <is>
          <t>PA-B1418</t>
        </is>
      </c>
      <c r="FL6471" s="26" t="inlineStr">
        <is>
          <t>B</t>
        </is>
      </c>
      <c r="FP6471" s="26" t="inlineStr">
        <is>
          <t>B</t>
        </is>
      </c>
    </row>
    <row r="6472">
      <c r="FC6472" t="inlineStr">
        <is>
          <t>Diccionario 6</t>
        </is>
      </c>
      <c r="FD6472" s="26" t="inlineStr">
        <is>
          <t>CER-B1419</t>
        </is>
      </c>
      <c r="FL6472" s="26" t="inlineStr">
        <is>
          <t>B</t>
        </is>
      </c>
      <c r="FP6472" s="26" t="inlineStr">
        <is>
          <t>B</t>
        </is>
      </c>
    </row>
    <row r="6473">
      <c r="FC6473" t="inlineStr">
        <is>
          <t>Diccionario 6</t>
        </is>
      </c>
      <c r="FD6473" s="26" t="inlineStr">
        <is>
          <t>PA-B1420</t>
        </is>
      </c>
      <c r="FL6473" s="26" t="inlineStr">
        <is>
          <t>B</t>
        </is>
      </c>
      <c r="FP6473" s="26" t="inlineStr">
        <is>
          <t>B</t>
        </is>
      </c>
    </row>
    <row r="6474">
      <c r="FC6474" t="inlineStr">
        <is>
          <t>Diccionario 6</t>
        </is>
      </c>
      <c r="FD6474" s="26" t="inlineStr">
        <is>
          <t>PA-B1421</t>
        </is>
      </c>
      <c r="FL6474" s="26" t="inlineStr">
        <is>
          <t>B</t>
        </is>
      </c>
      <c r="FP6474" s="26" t="inlineStr">
        <is>
          <t>B</t>
        </is>
      </c>
    </row>
    <row r="6475">
      <c r="FC6475" t="inlineStr">
        <is>
          <t>Diccionario 6</t>
        </is>
      </c>
      <c r="FD6475" s="26" t="inlineStr">
        <is>
          <t>PA-B1422</t>
        </is>
      </c>
      <c r="FL6475" s="26" t="inlineStr">
        <is>
          <t>B</t>
        </is>
      </c>
      <c r="FP6475" s="26" t="inlineStr">
        <is>
          <t>B</t>
        </is>
      </c>
    </row>
    <row r="6476">
      <c r="FC6476" t="inlineStr">
        <is>
          <t>Diccionario 6</t>
        </is>
      </c>
      <c r="FD6476" s="26" t="inlineStr">
        <is>
          <t>PA-B1423</t>
        </is>
      </c>
      <c r="FL6476" s="26" t="inlineStr">
        <is>
          <t>B</t>
        </is>
      </c>
      <c r="FP6476" s="26" t="inlineStr">
        <is>
          <t>B</t>
        </is>
      </c>
    </row>
    <row r="6477">
      <c r="FC6477" t="inlineStr">
        <is>
          <t>Diccionario 6</t>
        </is>
      </c>
      <c r="FD6477" s="26" t="inlineStr">
        <is>
          <t>PA-B1424</t>
        </is>
      </c>
      <c r="FL6477" s="26" t="inlineStr">
        <is>
          <t>B</t>
        </is>
      </c>
      <c r="FP6477" s="26" t="inlineStr">
        <is>
          <t>B</t>
        </is>
      </c>
    </row>
    <row r="6478">
      <c r="FC6478" t="inlineStr">
        <is>
          <t>Diccionario 6</t>
        </is>
      </c>
      <c r="FD6478" s="26" t="inlineStr">
        <is>
          <t>PA-B1425</t>
        </is>
      </c>
      <c r="FL6478" s="26" t="inlineStr">
        <is>
          <t>B</t>
        </is>
      </c>
      <c r="FP6478" s="26" t="inlineStr">
        <is>
          <t>B</t>
        </is>
      </c>
    </row>
    <row r="6479">
      <c r="FC6479" t="inlineStr">
        <is>
          <t>Diccionario 6</t>
        </is>
      </c>
      <c r="FD6479" s="26" t="inlineStr">
        <is>
          <t>PA-B1426</t>
        </is>
      </c>
      <c r="FL6479" s="26" t="inlineStr">
        <is>
          <t>B</t>
        </is>
      </c>
      <c r="FP6479" s="26" t="inlineStr">
        <is>
          <t>B</t>
        </is>
      </c>
    </row>
    <row r="6480">
      <c r="FC6480" t="inlineStr">
        <is>
          <t>Diccionario 6</t>
        </is>
      </c>
      <c r="FD6480" s="26" t="inlineStr">
        <is>
          <t>RC-B1427</t>
        </is>
      </c>
      <c r="FL6480" s="26" t="inlineStr">
        <is>
          <t>B</t>
        </is>
      </c>
      <c r="FP6480" s="26" t="inlineStr">
        <is>
          <t>B</t>
        </is>
      </c>
    </row>
    <row r="6481">
      <c r="FC6481" t="inlineStr">
        <is>
          <t>Diccionario 6</t>
        </is>
      </c>
      <c r="FD6481" s="26" t="inlineStr">
        <is>
          <t>SR-BP1428</t>
        </is>
      </c>
      <c r="FL6481" s="26" t="inlineStr">
        <is>
          <t>BPAL</t>
        </is>
      </c>
      <c r="FP6481" s="26" t="inlineStr">
        <is>
          <t>BPAL</t>
        </is>
      </c>
    </row>
    <row r="6482">
      <c r="FC6482" t="inlineStr">
        <is>
          <t>Diccionario 6</t>
        </is>
      </c>
      <c r="FD6482" s="26" t="inlineStr">
        <is>
          <t>RC-BP1429</t>
        </is>
      </c>
      <c r="FL6482" s="26" t="inlineStr">
        <is>
          <t>BPAL</t>
        </is>
      </c>
      <c r="FP6482" s="26" t="inlineStr">
        <is>
          <t>BPAL</t>
        </is>
      </c>
    </row>
    <row r="6483">
      <c r="FC6483" t="inlineStr">
        <is>
          <t>Diccionario 6</t>
        </is>
      </c>
      <c r="FD6483" s="26" t="inlineStr">
        <is>
          <t>RC-BP7739</t>
        </is>
      </c>
      <c r="FL6483" s="26" t="inlineStr">
        <is>
          <t>BPAL</t>
        </is>
      </c>
      <c r="FP6483" s="26" t="inlineStr">
        <is>
          <t>BPAL</t>
        </is>
      </c>
    </row>
    <row r="6484">
      <c r="FC6484" t="inlineStr">
        <is>
          <t>Diccionario 6</t>
        </is>
      </c>
      <c r="FD6484" s="26" t="inlineStr">
        <is>
          <t>RC-BP1431</t>
        </is>
      </c>
      <c r="FL6484" s="26" t="inlineStr">
        <is>
          <t>BPAL</t>
        </is>
      </c>
      <c r="FP6484" s="26" t="inlineStr">
        <is>
          <t>BPAL</t>
        </is>
      </c>
    </row>
    <row r="6485">
      <c r="FC6485" t="inlineStr">
        <is>
          <t>Diccionario 6</t>
        </is>
      </c>
      <c r="FD6485" s="26" t="inlineStr">
        <is>
          <t>SR-BP1432</t>
        </is>
      </c>
      <c r="FL6485" s="26" t="inlineStr">
        <is>
          <t>BPAL</t>
        </is>
      </c>
      <c r="FP6485" s="26" t="inlineStr">
        <is>
          <t>BPAL</t>
        </is>
      </c>
    </row>
    <row r="6486">
      <c r="FC6486" t="inlineStr">
        <is>
          <t>Diccionario 6</t>
        </is>
      </c>
      <c r="FD6486" s="26" t="inlineStr">
        <is>
          <t>SR-BP1433</t>
        </is>
      </c>
      <c r="FL6486" s="26" t="inlineStr">
        <is>
          <t>BPAL</t>
        </is>
      </c>
      <c r="FP6486" s="26" t="inlineStr">
        <is>
          <t>BPAL</t>
        </is>
      </c>
    </row>
    <row r="6487">
      <c r="FC6487" t="inlineStr">
        <is>
          <t>Diccionario 6</t>
        </is>
      </c>
      <c r="FD6487" s="26" t="inlineStr">
        <is>
          <t>SR-BP1434</t>
        </is>
      </c>
      <c r="FL6487" s="26" t="inlineStr">
        <is>
          <t>BPAL</t>
        </is>
      </c>
      <c r="FP6487" s="26" t="inlineStr">
        <is>
          <t>BPAL</t>
        </is>
      </c>
    </row>
    <row r="6488">
      <c r="FC6488" t="inlineStr">
        <is>
          <t>Diccionario 6</t>
        </is>
      </c>
      <c r="FD6488" s="26" t="inlineStr">
        <is>
          <t>SR-BP1435</t>
        </is>
      </c>
      <c r="FL6488" s="26" t="inlineStr">
        <is>
          <t>BPAL</t>
        </is>
      </c>
      <c r="FP6488" s="26" t="inlineStr">
        <is>
          <t>BPAL</t>
        </is>
      </c>
    </row>
    <row r="6489">
      <c r="FC6489" t="inlineStr">
        <is>
          <t>Diccionario 6</t>
        </is>
      </c>
      <c r="FD6489" s="26" t="inlineStr">
        <is>
          <t>LL-BP1436</t>
        </is>
      </c>
      <c r="FL6489" s="26" t="inlineStr">
        <is>
          <t>B2PAL</t>
        </is>
      </c>
      <c r="FP6489" s="26" t="inlineStr">
        <is>
          <t>B2PAL</t>
        </is>
      </c>
    </row>
    <row r="6490">
      <c r="FC6490" t="inlineStr">
        <is>
          <t>Diccionario 6</t>
        </is>
      </c>
      <c r="FD6490" s="26" t="inlineStr">
        <is>
          <t>RC-BP1437</t>
        </is>
      </c>
      <c r="FL6490" s="26" t="inlineStr">
        <is>
          <t>B2PAL</t>
        </is>
      </c>
      <c r="FP6490" s="26" t="inlineStr">
        <is>
          <t>B2PAL</t>
        </is>
      </c>
    </row>
    <row r="6491">
      <c r="FC6491" t="inlineStr">
        <is>
          <t>Diccionario 6</t>
        </is>
      </c>
      <c r="FD6491" s="26" t="inlineStr">
        <is>
          <t>RC-BP7747</t>
        </is>
      </c>
      <c r="FL6491" s="26" t="inlineStr">
        <is>
          <t>BPAL</t>
        </is>
      </c>
      <c r="FP6491" s="26" t="inlineStr">
        <is>
          <t>BPAL</t>
        </is>
      </c>
    </row>
    <row r="6492">
      <c r="FC6492" t="inlineStr">
        <is>
          <t>Diccionario 6</t>
        </is>
      </c>
      <c r="FD6492" s="26" t="inlineStr">
        <is>
          <t>RC-BP1439</t>
        </is>
      </c>
      <c r="FL6492" s="26" t="inlineStr">
        <is>
          <t>BPAL</t>
        </is>
      </c>
      <c r="FP6492" s="26" t="inlineStr">
        <is>
          <t>BPAL</t>
        </is>
      </c>
    </row>
    <row r="6493">
      <c r="FC6493" t="inlineStr">
        <is>
          <t>Diccionario 6</t>
        </is>
      </c>
      <c r="FD6493" s="26" t="inlineStr">
        <is>
          <t>RC-C1440</t>
        </is>
      </c>
      <c r="FL6493" s="26" t="inlineStr">
        <is>
          <t>C</t>
        </is>
      </c>
      <c r="FP6493" s="26" t="inlineStr">
        <is>
          <t>C</t>
        </is>
      </c>
    </row>
    <row r="6494">
      <c r="FC6494" t="inlineStr">
        <is>
          <t>Diccionario 6</t>
        </is>
      </c>
      <c r="FD6494" s="26" t="inlineStr">
        <is>
          <t>RC-C1441</t>
        </is>
      </c>
      <c r="FL6494" s="26" t="inlineStr">
        <is>
          <t>C</t>
        </is>
      </c>
      <c r="FP6494" s="26" t="inlineStr">
        <is>
          <t>C</t>
        </is>
      </c>
    </row>
    <row r="6495">
      <c r="FC6495" t="inlineStr">
        <is>
          <t>Diccionario 6</t>
        </is>
      </c>
      <c r="FD6495" s="26" t="inlineStr">
        <is>
          <t>LB-C1442</t>
        </is>
      </c>
      <c r="FL6495" s="26" t="inlineStr">
        <is>
          <t>C</t>
        </is>
      </c>
      <c r="FP6495" s="26" t="inlineStr">
        <is>
          <t>C</t>
        </is>
      </c>
    </row>
    <row r="6496">
      <c r="FC6496" t="inlineStr">
        <is>
          <t>Diccionario 6</t>
        </is>
      </c>
      <c r="FD6496" s="26" t="inlineStr">
        <is>
          <t>RC-C1443</t>
        </is>
      </c>
      <c r="FL6496" s="26" t="inlineStr">
        <is>
          <t>C</t>
        </is>
      </c>
      <c r="FP6496" s="26" t="inlineStr">
        <is>
          <t>C</t>
        </is>
      </c>
    </row>
    <row r="6497">
      <c r="FC6497" t="inlineStr">
        <is>
          <t>Diccionario 6</t>
        </is>
      </c>
      <c r="FD6497" s="26" t="inlineStr">
        <is>
          <t>RC-C1444</t>
        </is>
      </c>
      <c r="FL6497" s="26" t="inlineStr">
        <is>
          <t>C</t>
        </is>
      </c>
      <c r="FP6497" s="26" t="inlineStr">
        <is>
          <t>C</t>
        </is>
      </c>
    </row>
    <row r="6498">
      <c r="FC6498" t="inlineStr">
        <is>
          <t>Diccionario 6</t>
        </is>
      </c>
      <c r="FD6498" s="26" t="inlineStr">
        <is>
          <t>RC-C1445</t>
        </is>
      </c>
      <c r="FL6498" s="26" t="inlineStr">
        <is>
          <t>C</t>
        </is>
      </c>
      <c r="FP6498" s="26" t="inlineStr">
        <is>
          <t>C</t>
        </is>
      </c>
    </row>
    <row r="6499">
      <c r="FC6499" t="inlineStr">
        <is>
          <t>Diccionario 6</t>
        </is>
      </c>
      <c r="FD6499" s="26" t="inlineStr">
        <is>
          <t>RC-C1446</t>
        </is>
      </c>
      <c r="FL6499" s="26" t="inlineStr">
        <is>
          <t>C</t>
        </is>
      </c>
      <c r="FP6499" s="26" t="inlineStr">
        <is>
          <t>C</t>
        </is>
      </c>
    </row>
    <row r="6500">
      <c r="FC6500" t="inlineStr">
        <is>
          <t>Diccionario 6</t>
        </is>
      </c>
      <c r="FD6500" s="26" t="inlineStr">
        <is>
          <t>RC-C1447</t>
        </is>
      </c>
      <c r="FL6500" s="26" t="inlineStr">
        <is>
          <t>C</t>
        </is>
      </c>
      <c r="FP6500" s="26" t="inlineStr">
        <is>
          <t>C</t>
        </is>
      </c>
    </row>
    <row r="6501">
      <c r="FC6501" t="inlineStr">
        <is>
          <t>Diccionario 6</t>
        </is>
      </c>
      <c r="FD6501" s="26" t="inlineStr">
        <is>
          <t>RC-C1448</t>
        </is>
      </c>
      <c r="FL6501" s="26" t="inlineStr">
        <is>
          <t>C</t>
        </is>
      </c>
      <c r="FP6501" s="26" t="inlineStr">
        <is>
          <t>C</t>
        </is>
      </c>
    </row>
    <row r="6502">
      <c r="FC6502" t="inlineStr">
        <is>
          <t>Diccionario 6</t>
        </is>
      </c>
      <c r="FD6502" s="26" t="inlineStr">
        <is>
          <t>RC-C1449</t>
        </is>
      </c>
      <c r="FL6502" s="26" t="inlineStr">
        <is>
          <t>C</t>
        </is>
      </c>
      <c r="FP6502" s="26" t="inlineStr">
        <is>
          <t>C</t>
        </is>
      </c>
    </row>
    <row r="6503">
      <c r="FC6503" t="inlineStr">
        <is>
          <t>Diccionario 6</t>
        </is>
      </c>
      <c r="FD6503" s="26" t="inlineStr">
        <is>
          <t>RC-C1450</t>
        </is>
      </c>
      <c r="FL6503" s="26" t="inlineStr">
        <is>
          <t>C</t>
        </is>
      </c>
      <c r="FP6503" s="26" t="inlineStr">
        <is>
          <t>C</t>
        </is>
      </c>
    </row>
    <row r="6504">
      <c r="FC6504" t="inlineStr">
        <is>
          <t>Diccionario 6</t>
        </is>
      </c>
      <c r="FD6504" s="26" t="inlineStr">
        <is>
          <t>RC-C1451</t>
        </is>
      </c>
      <c r="FL6504" s="26" t="inlineStr">
        <is>
          <t>C</t>
        </is>
      </c>
      <c r="FP6504" s="26" t="inlineStr">
        <is>
          <t>C</t>
        </is>
      </c>
    </row>
    <row r="6505">
      <c r="FC6505" t="inlineStr">
        <is>
          <t>Diccionario 6</t>
        </is>
      </c>
      <c r="FD6505" s="26" t="inlineStr">
        <is>
          <t>RC-C1452</t>
        </is>
      </c>
      <c r="FL6505" s="26" t="inlineStr">
        <is>
          <t>C</t>
        </is>
      </c>
      <c r="FP6505" s="26" t="inlineStr">
        <is>
          <t>C</t>
        </is>
      </c>
    </row>
    <row r="6506">
      <c r="FC6506" t="inlineStr">
        <is>
          <t>Diccionario 6</t>
        </is>
      </c>
      <c r="FD6506" s="26" t="inlineStr">
        <is>
          <t>LB-C1453</t>
        </is>
      </c>
      <c r="FL6506" s="26" t="inlineStr">
        <is>
          <t>C</t>
        </is>
      </c>
      <c r="FP6506" s="26" t="inlineStr">
        <is>
          <t>C</t>
        </is>
      </c>
    </row>
    <row r="6507">
      <c r="FC6507" t="inlineStr">
        <is>
          <t>Diccionario 6</t>
        </is>
      </c>
      <c r="FD6507" s="26" t="inlineStr">
        <is>
          <t>RC-C1454</t>
        </is>
      </c>
      <c r="FL6507" s="26" t="inlineStr">
        <is>
          <t>C</t>
        </is>
      </c>
      <c r="FP6507" s="26" t="inlineStr">
        <is>
          <t>C</t>
        </is>
      </c>
    </row>
    <row r="6508">
      <c r="FC6508" t="inlineStr">
        <is>
          <t>Diccionario 6</t>
        </is>
      </c>
      <c r="FD6508" s="26" t="inlineStr">
        <is>
          <t>RC-C1455</t>
        </is>
      </c>
      <c r="FL6508" s="26" t="inlineStr">
        <is>
          <t>C</t>
        </is>
      </c>
      <c r="FP6508" s="26" t="inlineStr">
        <is>
          <t>C</t>
        </is>
      </c>
    </row>
    <row r="6509">
      <c r="FC6509" t="inlineStr">
        <is>
          <t>Diccionario 6</t>
        </is>
      </c>
      <c r="FD6509" s="26" t="inlineStr">
        <is>
          <t>RC-C1456</t>
        </is>
      </c>
      <c r="FL6509" s="26" t="inlineStr">
        <is>
          <t>C</t>
        </is>
      </c>
      <c r="FP6509" s="26" t="inlineStr">
        <is>
          <t>C</t>
        </is>
      </c>
    </row>
    <row r="6510">
      <c r="FC6510" t="inlineStr">
        <is>
          <t>Diccionario 6</t>
        </is>
      </c>
      <c r="FD6510" s="26" t="inlineStr">
        <is>
          <t>RC-C1457</t>
        </is>
      </c>
      <c r="FL6510" s="26" t="inlineStr">
        <is>
          <t>C</t>
        </is>
      </c>
      <c r="FP6510" s="26" t="inlineStr">
        <is>
          <t>C</t>
        </is>
      </c>
    </row>
    <row r="6511">
      <c r="FC6511" t="inlineStr">
        <is>
          <t>Diccionario 6</t>
        </is>
      </c>
      <c r="FD6511" s="26" t="inlineStr">
        <is>
          <t>LB-C1458</t>
        </is>
      </c>
      <c r="FL6511" s="26" t="inlineStr">
        <is>
          <t>C</t>
        </is>
      </c>
      <c r="FP6511" s="26" t="inlineStr">
        <is>
          <t>C</t>
        </is>
      </c>
    </row>
    <row r="6512">
      <c r="FC6512" t="inlineStr">
        <is>
          <t>Diccionario 6</t>
        </is>
      </c>
      <c r="FD6512" s="26" t="inlineStr">
        <is>
          <t>LB-C1459</t>
        </is>
      </c>
      <c r="FL6512" s="26" t="inlineStr">
        <is>
          <t>C</t>
        </is>
      </c>
      <c r="FP6512" s="26" t="inlineStr">
        <is>
          <t>C</t>
        </is>
      </c>
    </row>
    <row r="6513">
      <c r="FC6513" t="inlineStr">
        <is>
          <t>Diccionario 6</t>
        </is>
      </c>
      <c r="FD6513" s="26" t="inlineStr">
        <is>
          <t>RC-C1460</t>
        </is>
      </c>
      <c r="FL6513" s="26" t="inlineStr">
        <is>
          <t>C</t>
        </is>
      </c>
      <c r="FP6513" s="26" t="inlineStr">
        <is>
          <t>C</t>
        </is>
      </c>
    </row>
    <row r="6514">
      <c r="FC6514" t="inlineStr">
        <is>
          <t>Diccionario 6</t>
        </is>
      </c>
      <c r="FD6514" s="26" t="inlineStr">
        <is>
          <t>LB-C1461</t>
        </is>
      </c>
      <c r="FL6514" s="26" t="inlineStr">
        <is>
          <t>C</t>
        </is>
      </c>
      <c r="FP6514" s="26" t="inlineStr">
        <is>
          <t>C</t>
        </is>
      </c>
    </row>
    <row r="6515">
      <c r="FC6515" t="inlineStr">
        <is>
          <t>Diccionario 6</t>
        </is>
      </c>
      <c r="FD6515" s="26" t="inlineStr">
        <is>
          <t>LB-C1462</t>
        </is>
      </c>
      <c r="FL6515" s="26" t="inlineStr">
        <is>
          <t>C</t>
        </is>
      </c>
      <c r="FP6515" s="26" t="inlineStr">
        <is>
          <t>C</t>
        </is>
      </c>
    </row>
    <row r="6516">
      <c r="FC6516" t="inlineStr">
        <is>
          <t>Diccionario 6</t>
        </is>
      </c>
      <c r="FD6516" s="26" t="inlineStr">
        <is>
          <t>LB-C1463</t>
        </is>
      </c>
      <c r="FL6516" s="26" t="inlineStr">
        <is>
          <t>C</t>
        </is>
      </c>
      <c r="FP6516" s="26" t="inlineStr">
        <is>
          <t>C</t>
        </is>
      </c>
    </row>
    <row r="6517">
      <c r="FC6517" t="inlineStr">
        <is>
          <t>Diccionario 6</t>
        </is>
      </c>
      <c r="FD6517" s="26" t="inlineStr">
        <is>
          <t>LB-C1464</t>
        </is>
      </c>
      <c r="FL6517" s="26" t="inlineStr">
        <is>
          <t>C</t>
        </is>
      </c>
      <c r="FP6517" s="26" t="inlineStr">
        <is>
          <t>C</t>
        </is>
      </c>
    </row>
    <row r="6518">
      <c r="FC6518" t="inlineStr">
        <is>
          <t>Diccionario 6</t>
        </is>
      </c>
      <c r="FD6518" s="26" t="inlineStr">
        <is>
          <t>LB-C1465</t>
        </is>
      </c>
      <c r="FL6518" s="26" t="inlineStr">
        <is>
          <t>C</t>
        </is>
      </c>
      <c r="FP6518" s="26" t="inlineStr">
        <is>
          <t>C</t>
        </is>
      </c>
    </row>
    <row r="6519">
      <c r="FC6519" t="inlineStr">
        <is>
          <t>Diccionario 6</t>
        </is>
      </c>
      <c r="FD6519" s="26" t="inlineStr">
        <is>
          <t>LB-C1466</t>
        </is>
      </c>
      <c r="FL6519" s="26" t="inlineStr">
        <is>
          <t>C</t>
        </is>
      </c>
      <c r="FP6519" s="26" t="inlineStr">
        <is>
          <t>C</t>
        </is>
      </c>
    </row>
    <row r="6520">
      <c r="FC6520" t="inlineStr">
        <is>
          <t>Diccionario 6</t>
        </is>
      </c>
      <c r="FD6520" s="26" t="inlineStr">
        <is>
          <t>LB-C1467</t>
        </is>
      </c>
      <c r="FL6520" s="26" t="inlineStr">
        <is>
          <t>C</t>
        </is>
      </c>
      <c r="FP6520" s="26" t="inlineStr">
        <is>
          <t>C</t>
        </is>
      </c>
    </row>
    <row r="6521">
      <c r="FC6521" t="inlineStr">
        <is>
          <t>Diccionario 6</t>
        </is>
      </c>
      <c r="FD6521" s="26" t="inlineStr">
        <is>
          <t>LB-C1468</t>
        </is>
      </c>
      <c r="FL6521" s="26" t="inlineStr">
        <is>
          <t>C</t>
        </is>
      </c>
      <c r="FP6521" s="26" t="inlineStr">
        <is>
          <t>C</t>
        </is>
      </c>
    </row>
    <row r="6522">
      <c r="FC6522" t="inlineStr">
        <is>
          <t>Diccionario 6</t>
        </is>
      </c>
      <c r="FD6522" s="26" t="inlineStr">
        <is>
          <t>LB-C1469</t>
        </is>
      </c>
      <c r="FL6522" s="26" t="inlineStr">
        <is>
          <t>C</t>
        </is>
      </c>
      <c r="FP6522" s="26" t="inlineStr">
        <is>
          <t>C</t>
        </is>
      </c>
    </row>
    <row r="6523">
      <c r="FC6523" t="inlineStr">
        <is>
          <t>Diccionario 6</t>
        </is>
      </c>
      <c r="FD6523" s="26" t="inlineStr">
        <is>
          <t>LB-C1470</t>
        </is>
      </c>
      <c r="FL6523" s="26" t="inlineStr">
        <is>
          <t>C</t>
        </is>
      </c>
      <c r="FP6523" s="26" t="inlineStr">
        <is>
          <t>C</t>
        </is>
      </c>
    </row>
    <row r="6524">
      <c r="FC6524" t="inlineStr">
        <is>
          <t>Diccionario 6</t>
        </is>
      </c>
      <c r="FD6524" s="26" t="inlineStr">
        <is>
          <t>LB-C1471</t>
        </is>
      </c>
      <c r="FL6524" s="26" t="inlineStr">
        <is>
          <t>C</t>
        </is>
      </c>
      <c r="FP6524" s="26" t="inlineStr">
        <is>
          <t>C</t>
        </is>
      </c>
    </row>
    <row r="6525">
      <c r="FC6525" t="inlineStr">
        <is>
          <t>Diccionario 6</t>
        </is>
      </c>
      <c r="FD6525" s="26" t="inlineStr">
        <is>
          <t>LB-C1472</t>
        </is>
      </c>
      <c r="FL6525" s="26" t="inlineStr">
        <is>
          <t>C</t>
        </is>
      </c>
      <c r="FP6525" s="26" t="inlineStr">
        <is>
          <t>C</t>
        </is>
      </c>
    </row>
    <row r="6526">
      <c r="FC6526" t="inlineStr">
        <is>
          <t>Diccionario 6</t>
        </is>
      </c>
      <c r="FD6526" s="26" t="inlineStr">
        <is>
          <t>LB-C1473</t>
        </is>
      </c>
      <c r="FL6526" s="26" t="inlineStr">
        <is>
          <t>C</t>
        </is>
      </c>
      <c r="FP6526" s="26" t="inlineStr">
        <is>
          <t>C</t>
        </is>
      </c>
    </row>
    <row r="6527">
      <c r="FC6527" t="inlineStr">
        <is>
          <t>Diccionario 6</t>
        </is>
      </c>
      <c r="FD6527" s="26" t="inlineStr">
        <is>
          <t>RC-C1474</t>
        </is>
      </c>
      <c r="FL6527" s="26" t="inlineStr">
        <is>
          <t>C</t>
        </is>
      </c>
      <c r="FP6527" s="26" t="inlineStr">
        <is>
          <t>C</t>
        </is>
      </c>
    </row>
    <row r="6528">
      <c r="FC6528" t="inlineStr">
        <is>
          <t>Diccionario 6</t>
        </is>
      </c>
      <c r="FD6528" s="26" t="inlineStr">
        <is>
          <t>RC-C1475</t>
        </is>
      </c>
      <c r="FL6528" s="26" t="inlineStr">
        <is>
          <t>C</t>
        </is>
      </c>
      <c r="FP6528" s="26" t="inlineStr">
        <is>
          <t>C</t>
        </is>
      </c>
    </row>
    <row r="6529">
      <c r="FC6529" t="inlineStr">
        <is>
          <t>Diccionario 6</t>
        </is>
      </c>
      <c r="FD6529" s="26" t="inlineStr">
        <is>
          <t>LB-C1476</t>
        </is>
      </c>
      <c r="FL6529" s="26" t="inlineStr">
        <is>
          <t>C</t>
        </is>
      </c>
      <c r="FP6529" s="26" t="inlineStr">
        <is>
          <t>C</t>
        </is>
      </c>
    </row>
    <row r="6530">
      <c r="FC6530" t="inlineStr">
        <is>
          <t>Diccionario 6</t>
        </is>
      </c>
      <c r="FD6530" s="26" t="inlineStr">
        <is>
          <t>LB-C1477</t>
        </is>
      </c>
      <c r="FL6530" s="26" t="inlineStr">
        <is>
          <t>C</t>
        </is>
      </c>
      <c r="FP6530" s="26" t="inlineStr">
        <is>
          <t>C</t>
        </is>
      </c>
    </row>
    <row r="6531">
      <c r="FC6531" t="inlineStr">
        <is>
          <t>Diccionario 6</t>
        </is>
      </c>
      <c r="FD6531" s="26" t="inlineStr">
        <is>
          <t>LB-C1478</t>
        </is>
      </c>
      <c r="FL6531" s="26" t="inlineStr">
        <is>
          <t>C</t>
        </is>
      </c>
      <c r="FP6531" s="26" t="inlineStr">
        <is>
          <t>C</t>
        </is>
      </c>
    </row>
    <row r="6532">
      <c r="FC6532" t="inlineStr">
        <is>
          <t>Diccionario 6</t>
        </is>
      </c>
      <c r="FD6532" s="26" t="inlineStr">
        <is>
          <t>LB-C1479</t>
        </is>
      </c>
      <c r="FL6532" s="26" t="inlineStr">
        <is>
          <t>C</t>
        </is>
      </c>
      <c r="FP6532" s="26" t="inlineStr">
        <is>
          <t>C</t>
        </is>
      </c>
    </row>
    <row r="6533">
      <c r="FC6533" t="inlineStr">
        <is>
          <t>Diccionario 6</t>
        </is>
      </c>
      <c r="FD6533" s="26" t="inlineStr">
        <is>
          <t>LB-C1480</t>
        </is>
      </c>
      <c r="FL6533" s="26" t="inlineStr">
        <is>
          <t>C</t>
        </is>
      </c>
      <c r="FP6533" s="26" t="inlineStr">
        <is>
          <t>C</t>
        </is>
      </c>
    </row>
    <row r="6534">
      <c r="FC6534" t="inlineStr">
        <is>
          <t>Diccionario 6</t>
        </is>
      </c>
      <c r="FD6534" s="26" t="inlineStr">
        <is>
          <t>LB-C1481</t>
        </is>
      </c>
      <c r="FL6534" s="26" t="inlineStr">
        <is>
          <t>C</t>
        </is>
      </c>
      <c r="FP6534" s="26" t="inlineStr">
        <is>
          <t>C</t>
        </is>
      </c>
    </row>
    <row r="6535">
      <c r="FC6535" t="inlineStr">
        <is>
          <t>Diccionario 6</t>
        </is>
      </c>
      <c r="FD6535" s="26" t="inlineStr">
        <is>
          <t>RC-C1482</t>
        </is>
      </c>
      <c r="FL6535" s="26" t="inlineStr">
        <is>
          <t>C</t>
        </is>
      </c>
      <c r="FP6535" s="26" t="inlineStr">
        <is>
          <t>C</t>
        </is>
      </c>
    </row>
    <row r="6536">
      <c r="FC6536" t="inlineStr">
        <is>
          <t>Diccionario 6</t>
        </is>
      </c>
      <c r="FD6536" s="26" t="inlineStr">
        <is>
          <t>LB-C1483</t>
        </is>
      </c>
      <c r="FL6536" s="26" t="inlineStr">
        <is>
          <t>C</t>
        </is>
      </c>
      <c r="FP6536" s="26" t="inlineStr">
        <is>
          <t>C</t>
        </is>
      </c>
    </row>
    <row r="6537">
      <c r="FC6537" t="inlineStr">
        <is>
          <t>Diccionario 6</t>
        </is>
      </c>
      <c r="FD6537" s="26" t="inlineStr">
        <is>
          <t>LB-C1484</t>
        </is>
      </c>
      <c r="FL6537" s="26" t="inlineStr">
        <is>
          <t>C</t>
        </is>
      </c>
      <c r="FP6537" s="26" t="inlineStr">
        <is>
          <t>C</t>
        </is>
      </c>
    </row>
    <row r="6538">
      <c r="FC6538" t="inlineStr">
        <is>
          <t>Diccionario 6</t>
        </is>
      </c>
      <c r="FD6538" s="26" t="inlineStr">
        <is>
          <t>LB-C1485</t>
        </is>
      </c>
      <c r="FL6538" s="26" t="inlineStr">
        <is>
          <t>C</t>
        </is>
      </c>
      <c r="FP6538" s="26" t="inlineStr">
        <is>
          <t>C</t>
        </is>
      </c>
    </row>
    <row r="6539">
      <c r="FC6539" t="inlineStr">
        <is>
          <t>Diccionario 6</t>
        </is>
      </c>
      <c r="FD6539" s="26" t="inlineStr">
        <is>
          <t>LB-C1486</t>
        </is>
      </c>
      <c r="FL6539" s="26" t="inlineStr">
        <is>
          <t>C</t>
        </is>
      </c>
      <c r="FP6539" s="26" t="inlineStr">
        <is>
          <t>C</t>
        </is>
      </c>
    </row>
    <row r="6540">
      <c r="FC6540" t="inlineStr">
        <is>
          <t>Diccionario 6</t>
        </is>
      </c>
      <c r="FD6540" s="26" t="inlineStr">
        <is>
          <t>RC-C1487</t>
        </is>
      </c>
      <c r="FL6540" s="26" t="inlineStr">
        <is>
          <t>C</t>
        </is>
      </c>
      <c r="FP6540" s="26" t="inlineStr">
        <is>
          <t>C</t>
        </is>
      </c>
    </row>
    <row r="6541">
      <c r="FC6541" t="inlineStr">
        <is>
          <t>Diccionario 6</t>
        </is>
      </c>
      <c r="FD6541" s="26" t="inlineStr">
        <is>
          <t>RC-C1488</t>
        </is>
      </c>
      <c r="FL6541" s="26" t="inlineStr">
        <is>
          <t>C</t>
        </is>
      </c>
      <c r="FP6541" s="26" t="inlineStr">
        <is>
          <t>C</t>
        </is>
      </c>
    </row>
    <row r="6542">
      <c r="FC6542" t="inlineStr">
        <is>
          <t>Diccionario 6</t>
        </is>
      </c>
      <c r="FD6542" s="26" t="inlineStr">
        <is>
          <t>RC-C1489</t>
        </is>
      </c>
      <c r="FL6542" s="26" t="inlineStr">
        <is>
          <t>C</t>
        </is>
      </c>
      <c r="FP6542" s="26" t="inlineStr">
        <is>
          <t>C</t>
        </is>
      </c>
    </row>
    <row r="6543">
      <c r="FC6543" t="inlineStr">
        <is>
          <t>Diccionario 6</t>
        </is>
      </c>
      <c r="FD6543" s="26" t="inlineStr">
        <is>
          <t>RC-C1490</t>
        </is>
      </c>
      <c r="FL6543" s="26" t="inlineStr">
        <is>
          <t>C</t>
        </is>
      </c>
      <c r="FP6543" s="26" t="inlineStr">
        <is>
          <t>C</t>
        </is>
      </c>
    </row>
    <row r="6544">
      <c r="FC6544" t="inlineStr">
        <is>
          <t>Diccionario 6</t>
        </is>
      </c>
      <c r="FD6544" s="26" t="inlineStr">
        <is>
          <t>RC-C1491</t>
        </is>
      </c>
      <c r="FL6544" s="26" t="inlineStr">
        <is>
          <t>C</t>
        </is>
      </c>
      <c r="FP6544" s="26" t="inlineStr">
        <is>
          <t>C</t>
        </is>
      </c>
    </row>
    <row r="6545">
      <c r="FC6545" t="inlineStr">
        <is>
          <t>Diccionario 6</t>
        </is>
      </c>
      <c r="FD6545" s="26" t="inlineStr">
        <is>
          <t>RC-C1492</t>
        </is>
      </c>
      <c r="FL6545" s="26" t="inlineStr">
        <is>
          <t>C</t>
        </is>
      </c>
      <c r="FP6545" s="26" t="inlineStr">
        <is>
          <t>C</t>
        </is>
      </c>
    </row>
    <row r="6546">
      <c r="FC6546" t="inlineStr">
        <is>
          <t>Diccionario 6</t>
        </is>
      </c>
      <c r="FD6546" s="26" t="inlineStr">
        <is>
          <t>RC-C1493</t>
        </is>
      </c>
      <c r="FL6546" s="26" t="inlineStr">
        <is>
          <t>C</t>
        </is>
      </c>
      <c r="FP6546" s="26" t="inlineStr">
        <is>
          <t>C</t>
        </is>
      </c>
    </row>
    <row r="6547">
      <c r="FC6547" t="inlineStr">
        <is>
          <t>Diccionario 6</t>
        </is>
      </c>
      <c r="FD6547" s="26" t="inlineStr">
        <is>
          <t>RC-C1494</t>
        </is>
      </c>
      <c r="FL6547" s="26" t="inlineStr">
        <is>
          <t>C</t>
        </is>
      </c>
      <c r="FP6547" s="26" t="inlineStr">
        <is>
          <t>C</t>
        </is>
      </c>
    </row>
    <row r="6548">
      <c r="FC6548" t="inlineStr">
        <is>
          <t>Diccionario 6</t>
        </is>
      </c>
      <c r="FD6548" s="26" t="inlineStr">
        <is>
          <t>RC-C1495</t>
        </is>
      </c>
      <c r="FL6548" s="26" t="inlineStr">
        <is>
          <t>C</t>
        </is>
      </c>
      <c r="FP6548" s="26" t="inlineStr">
        <is>
          <t>C</t>
        </is>
      </c>
    </row>
    <row r="6549">
      <c r="FC6549" t="inlineStr">
        <is>
          <t>Diccionario 6</t>
        </is>
      </c>
      <c r="FD6549" s="26" t="inlineStr">
        <is>
          <t>RC-C1496</t>
        </is>
      </c>
      <c r="FL6549" s="26" t="inlineStr">
        <is>
          <t>C</t>
        </is>
      </c>
      <c r="FP6549" s="26" t="inlineStr">
        <is>
          <t>C</t>
        </is>
      </c>
    </row>
    <row r="6550">
      <c r="FC6550" t="inlineStr">
        <is>
          <t>Diccionario 6</t>
        </is>
      </c>
      <c r="FD6550" s="26" t="inlineStr">
        <is>
          <t>RC-C1497</t>
        </is>
      </c>
      <c r="FL6550" s="26" t="inlineStr">
        <is>
          <t>C</t>
        </is>
      </c>
      <c r="FP6550" s="26" t="inlineStr">
        <is>
          <t>C</t>
        </is>
      </c>
    </row>
    <row r="6551">
      <c r="FC6551" t="inlineStr">
        <is>
          <t>Diccionario 6</t>
        </is>
      </c>
      <c r="FD6551" s="26" t="inlineStr">
        <is>
          <t>RC-C1498</t>
        </is>
      </c>
      <c r="FL6551" s="26" t="inlineStr">
        <is>
          <t>C</t>
        </is>
      </c>
      <c r="FP6551" s="26" t="inlineStr">
        <is>
          <t>C</t>
        </is>
      </c>
    </row>
    <row r="6552">
      <c r="FC6552" t="inlineStr">
        <is>
          <t>Diccionario 6</t>
        </is>
      </c>
      <c r="FD6552" s="26" t="inlineStr">
        <is>
          <t>RC-C1499</t>
        </is>
      </c>
      <c r="FL6552" s="26" t="inlineStr">
        <is>
          <t>C</t>
        </is>
      </c>
      <c r="FP6552" s="26" t="inlineStr">
        <is>
          <t>C</t>
        </is>
      </c>
    </row>
    <row r="6553">
      <c r="FC6553" t="inlineStr">
        <is>
          <t>Diccionario 6</t>
        </is>
      </c>
      <c r="FD6553" s="26" t="inlineStr">
        <is>
          <t>RC-C1500</t>
        </is>
      </c>
      <c r="FL6553" s="26" t="inlineStr">
        <is>
          <t>C</t>
        </is>
      </c>
      <c r="FP6553" s="26" t="inlineStr">
        <is>
          <t>C</t>
        </is>
      </c>
    </row>
    <row r="6554">
      <c r="FC6554" t="inlineStr">
        <is>
          <t>Diccionario 6</t>
        </is>
      </c>
      <c r="FD6554" s="26" t="inlineStr">
        <is>
          <t>RC-C1501</t>
        </is>
      </c>
      <c r="FL6554" s="26" t="inlineStr">
        <is>
          <t>C</t>
        </is>
      </c>
      <c r="FP6554" s="26" t="inlineStr">
        <is>
          <t>C</t>
        </is>
      </c>
    </row>
    <row r="6555">
      <c r="FC6555" t="inlineStr">
        <is>
          <t>Diccionario 6</t>
        </is>
      </c>
      <c r="FD6555" s="26" t="inlineStr">
        <is>
          <t>RC-C1502</t>
        </is>
      </c>
      <c r="FL6555" s="26" t="inlineStr">
        <is>
          <t>C</t>
        </is>
      </c>
      <c r="FP6555" s="26" t="inlineStr">
        <is>
          <t>C</t>
        </is>
      </c>
    </row>
    <row r="6556">
      <c r="FC6556" t="inlineStr">
        <is>
          <t>Diccionario 6</t>
        </is>
      </c>
      <c r="FD6556" s="26" t="inlineStr">
        <is>
          <t>RC-C1503</t>
        </is>
      </c>
      <c r="FL6556" s="26" t="inlineStr">
        <is>
          <t>C</t>
        </is>
      </c>
      <c r="FP6556" s="26" t="inlineStr">
        <is>
          <t>C</t>
        </is>
      </c>
    </row>
    <row r="6557">
      <c r="FC6557" t="inlineStr">
        <is>
          <t>Diccionario 6</t>
        </is>
      </c>
      <c r="FD6557" s="26" t="inlineStr">
        <is>
          <t>RC-C1504</t>
        </is>
      </c>
      <c r="FL6557" s="26" t="inlineStr">
        <is>
          <t>C</t>
        </is>
      </c>
      <c r="FP6557" s="26" t="inlineStr">
        <is>
          <t>C</t>
        </is>
      </c>
    </row>
    <row r="6558">
      <c r="FC6558" t="inlineStr">
        <is>
          <t>Diccionario 6</t>
        </is>
      </c>
      <c r="FD6558" s="26" t="inlineStr">
        <is>
          <t>RC-C1505</t>
        </is>
      </c>
      <c r="FL6558" s="26" t="inlineStr">
        <is>
          <t>C</t>
        </is>
      </c>
      <c r="FP6558" s="26" t="inlineStr">
        <is>
          <t>C</t>
        </is>
      </c>
    </row>
    <row r="6559">
      <c r="FC6559" t="inlineStr">
        <is>
          <t>Diccionario 6</t>
        </is>
      </c>
      <c r="FD6559" s="26" t="inlineStr">
        <is>
          <t>RC-C1506</t>
        </is>
      </c>
      <c r="FL6559" s="26" t="inlineStr">
        <is>
          <t>C</t>
        </is>
      </c>
      <c r="FP6559" s="26" t="inlineStr">
        <is>
          <t>C</t>
        </is>
      </c>
    </row>
    <row r="6560">
      <c r="FC6560" t="inlineStr">
        <is>
          <t>Diccionario 6</t>
        </is>
      </c>
      <c r="FD6560" s="26" t="inlineStr">
        <is>
          <t>RC-C1507</t>
        </is>
      </c>
      <c r="FL6560" s="26" t="inlineStr">
        <is>
          <t>C</t>
        </is>
      </c>
      <c r="FP6560" s="26" t="inlineStr">
        <is>
          <t>C</t>
        </is>
      </c>
    </row>
    <row r="6561">
      <c r="FC6561" t="inlineStr">
        <is>
          <t>Diccionario 6</t>
        </is>
      </c>
      <c r="FD6561" s="26" t="inlineStr">
        <is>
          <t>RC-C1508</t>
        </is>
      </c>
      <c r="FL6561" s="26" t="inlineStr">
        <is>
          <t>C</t>
        </is>
      </c>
      <c r="FP6561" s="26" t="inlineStr">
        <is>
          <t>C</t>
        </is>
      </c>
    </row>
    <row r="6562">
      <c r="FC6562" t="inlineStr">
        <is>
          <t>Diccionario 6</t>
        </is>
      </c>
      <c r="FD6562" s="26" t="inlineStr">
        <is>
          <t>RC-C1509</t>
        </is>
      </c>
      <c r="FL6562" s="26" t="inlineStr">
        <is>
          <t>C</t>
        </is>
      </c>
      <c r="FP6562" s="26" t="inlineStr">
        <is>
          <t>C</t>
        </is>
      </c>
    </row>
    <row r="6563">
      <c r="FC6563" t="inlineStr">
        <is>
          <t>Diccionario 6</t>
        </is>
      </c>
      <c r="FD6563" s="26" t="inlineStr">
        <is>
          <t>RC-C1510</t>
        </is>
      </c>
      <c r="FL6563" s="26" t="inlineStr">
        <is>
          <t>C</t>
        </is>
      </c>
      <c r="FP6563" s="26" t="inlineStr">
        <is>
          <t>C</t>
        </is>
      </c>
    </row>
    <row r="6564">
      <c r="FC6564" t="inlineStr">
        <is>
          <t>Diccionario 6</t>
        </is>
      </c>
      <c r="FD6564" s="26" t="inlineStr">
        <is>
          <t>RC-C1511</t>
        </is>
      </c>
      <c r="FL6564" s="26" t="inlineStr">
        <is>
          <t>C</t>
        </is>
      </c>
      <c r="FP6564" s="26" t="inlineStr">
        <is>
          <t>C</t>
        </is>
      </c>
    </row>
    <row r="6565">
      <c r="FC6565" t="inlineStr">
        <is>
          <t>Diccionario 6</t>
        </is>
      </c>
      <c r="FD6565" s="26" t="inlineStr">
        <is>
          <t>RC-C1512</t>
        </is>
      </c>
      <c r="FL6565" s="26" t="inlineStr">
        <is>
          <t>C</t>
        </is>
      </c>
      <c r="FP6565" s="26" t="inlineStr">
        <is>
          <t>C</t>
        </is>
      </c>
    </row>
    <row r="6566">
      <c r="FC6566" t="inlineStr">
        <is>
          <t>Diccionario 6</t>
        </is>
      </c>
      <c r="FD6566" s="26" t="inlineStr">
        <is>
          <t>RC-C1513</t>
        </is>
      </c>
      <c r="FL6566" s="26" t="inlineStr">
        <is>
          <t>C</t>
        </is>
      </c>
      <c r="FP6566" s="26" t="inlineStr">
        <is>
          <t>C</t>
        </is>
      </c>
    </row>
    <row r="6567">
      <c r="FC6567" t="inlineStr">
        <is>
          <t>Diccionario 6</t>
        </is>
      </c>
      <c r="FD6567" s="26" t="inlineStr">
        <is>
          <t>RC-C1514</t>
        </is>
      </c>
      <c r="FL6567" s="26" t="inlineStr">
        <is>
          <t>C</t>
        </is>
      </c>
      <c r="FP6567" s="26" t="inlineStr">
        <is>
          <t>C</t>
        </is>
      </c>
    </row>
    <row r="6568">
      <c r="FC6568" t="inlineStr">
        <is>
          <t>Diccionario 6</t>
        </is>
      </c>
      <c r="FD6568" s="26" t="inlineStr">
        <is>
          <t>RC-C1515</t>
        </is>
      </c>
      <c r="FL6568" s="26" t="inlineStr">
        <is>
          <t>C</t>
        </is>
      </c>
      <c r="FP6568" s="26" t="inlineStr">
        <is>
          <t>C</t>
        </is>
      </c>
    </row>
    <row r="6569">
      <c r="FC6569" t="inlineStr">
        <is>
          <t>Diccionario 6</t>
        </is>
      </c>
      <c r="FD6569" s="26" t="inlineStr">
        <is>
          <t>SR-C1516</t>
        </is>
      </c>
      <c r="FL6569" s="26" t="inlineStr">
        <is>
          <t>C</t>
        </is>
      </c>
      <c r="FP6569" s="26" t="inlineStr">
        <is>
          <t>C</t>
        </is>
      </c>
    </row>
    <row r="6570">
      <c r="FC6570" t="inlineStr">
        <is>
          <t>Diccionario 6</t>
        </is>
      </c>
      <c r="FD6570" s="26" t="inlineStr">
        <is>
          <t>RC-C1517</t>
        </is>
      </c>
      <c r="FL6570" s="26" t="inlineStr">
        <is>
          <t>C</t>
        </is>
      </c>
      <c r="FP6570" s="26" t="inlineStr">
        <is>
          <t>C</t>
        </is>
      </c>
    </row>
    <row r="6571">
      <c r="FC6571" t="inlineStr">
        <is>
          <t>Diccionario 6</t>
        </is>
      </c>
      <c r="FD6571" s="26" t="inlineStr">
        <is>
          <t>SR-C1518</t>
        </is>
      </c>
      <c r="FL6571" s="26" t="inlineStr">
        <is>
          <t>C</t>
        </is>
      </c>
      <c r="FP6571" s="26" t="inlineStr">
        <is>
          <t>C</t>
        </is>
      </c>
    </row>
    <row r="6572">
      <c r="FC6572" t="inlineStr">
        <is>
          <t>Diccionario 6</t>
        </is>
      </c>
      <c r="FD6572" s="26" t="inlineStr">
        <is>
          <t>RC-C1519</t>
        </is>
      </c>
      <c r="FL6572" s="26" t="inlineStr">
        <is>
          <t>C</t>
        </is>
      </c>
      <c r="FP6572" s="26" t="inlineStr">
        <is>
          <t>C</t>
        </is>
      </c>
    </row>
    <row r="6573">
      <c r="FC6573" t="inlineStr">
        <is>
          <t>Diccionario 6</t>
        </is>
      </c>
      <c r="FD6573" s="26" t="inlineStr">
        <is>
          <t>SR-C1520</t>
        </is>
      </c>
      <c r="FL6573" s="26" t="inlineStr">
        <is>
          <t>C</t>
        </is>
      </c>
      <c r="FP6573" s="26" t="inlineStr">
        <is>
          <t>C</t>
        </is>
      </c>
    </row>
    <row r="6574">
      <c r="FC6574" t="inlineStr">
        <is>
          <t>Diccionario 6</t>
        </is>
      </c>
      <c r="FD6574" s="26" t="inlineStr">
        <is>
          <t>RC-C1521</t>
        </is>
      </c>
      <c r="FL6574" s="26" t="inlineStr">
        <is>
          <t>C</t>
        </is>
      </c>
      <c r="FP6574" s="26" t="inlineStr">
        <is>
          <t>C</t>
        </is>
      </c>
    </row>
    <row r="6575">
      <c r="FC6575" t="inlineStr">
        <is>
          <t>Diccionario 6</t>
        </is>
      </c>
      <c r="FD6575" s="26" t="inlineStr">
        <is>
          <t>SR-C1522</t>
        </is>
      </c>
      <c r="FL6575" s="26" t="inlineStr">
        <is>
          <t>C</t>
        </is>
      </c>
      <c r="FP6575" s="26" t="inlineStr">
        <is>
          <t>C</t>
        </is>
      </c>
    </row>
    <row r="6576">
      <c r="FC6576" t="inlineStr">
        <is>
          <t>Diccionario 6</t>
        </is>
      </c>
      <c r="FD6576" s="26" t="inlineStr">
        <is>
          <t>RC-C1523</t>
        </is>
      </c>
      <c r="FL6576" s="26" t="inlineStr">
        <is>
          <t>C</t>
        </is>
      </c>
      <c r="FP6576" s="26" t="inlineStr">
        <is>
          <t>C</t>
        </is>
      </c>
    </row>
    <row r="6577">
      <c r="FC6577" t="inlineStr">
        <is>
          <t>Diccionario 6</t>
        </is>
      </c>
      <c r="FD6577" s="26" t="inlineStr">
        <is>
          <t>SR-C1524</t>
        </is>
      </c>
      <c r="FL6577" s="26" t="inlineStr">
        <is>
          <t>C</t>
        </is>
      </c>
      <c r="FP6577" s="26" t="inlineStr">
        <is>
          <t>C</t>
        </is>
      </c>
    </row>
    <row r="6578">
      <c r="FC6578" t="inlineStr">
        <is>
          <t>Diccionario 6</t>
        </is>
      </c>
      <c r="FD6578" s="26" t="inlineStr">
        <is>
          <t>SR-C1525</t>
        </is>
      </c>
      <c r="FL6578" s="26" t="inlineStr">
        <is>
          <t>C</t>
        </is>
      </c>
      <c r="FP6578" s="26" t="inlineStr">
        <is>
          <t>C</t>
        </is>
      </c>
    </row>
    <row r="6579">
      <c r="FC6579" t="inlineStr">
        <is>
          <t>Diccionario 6</t>
        </is>
      </c>
      <c r="FD6579" s="26" t="inlineStr">
        <is>
          <t>SR-C1526</t>
        </is>
      </c>
      <c r="FL6579" s="26" t="inlineStr">
        <is>
          <t>C</t>
        </is>
      </c>
      <c r="FP6579" s="26" t="inlineStr">
        <is>
          <t>C</t>
        </is>
      </c>
    </row>
    <row r="6580">
      <c r="FC6580" t="inlineStr">
        <is>
          <t>Diccionario 6</t>
        </is>
      </c>
      <c r="FD6580" s="26" t="inlineStr">
        <is>
          <t>SR-C1527</t>
        </is>
      </c>
      <c r="FL6580" s="26" t="inlineStr">
        <is>
          <t>C</t>
        </is>
      </c>
      <c r="FP6580" s="26" t="inlineStr">
        <is>
          <t>C</t>
        </is>
      </c>
    </row>
    <row r="6581">
      <c r="FC6581" t="inlineStr">
        <is>
          <t>Diccionario 6</t>
        </is>
      </c>
      <c r="FD6581" s="26" t="inlineStr">
        <is>
          <t>SR-C1528</t>
        </is>
      </c>
      <c r="FL6581" s="26" t="inlineStr">
        <is>
          <t>C</t>
        </is>
      </c>
      <c r="FP6581" s="26" t="inlineStr">
        <is>
          <t>C</t>
        </is>
      </c>
    </row>
    <row r="6582">
      <c r="FC6582" t="inlineStr">
        <is>
          <t>Diccionario 6</t>
        </is>
      </c>
      <c r="FD6582" s="26" t="inlineStr">
        <is>
          <t>RC-C1529</t>
        </is>
      </c>
      <c r="FL6582" s="26" t="inlineStr">
        <is>
          <t>C</t>
        </is>
      </c>
      <c r="FP6582" s="26" t="inlineStr">
        <is>
          <t>C</t>
        </is>
      </c>
    </row>
    <row r="6583">
      <c r="FC6583" t="inlineStr">
        <is>
          <t>Diccionario 6</t>
        </is>
      </c>
      <c r="FD6583" s="26" t="inlineStr">
        <is>
          <t>RC-C1530</t>
        </is>
      </c>
      <c r="FL6583" s="26" t="inlineStr">
        <is>
          <t>C</t>
        </is>
      </c>
      <c r="FP6583" s="26" t="inlineStr">
        <is>
          <t>C</t>
        </is>
      </c>
    </row>
    <row r="6584">
      <c r="FC6584" t="inlineStr">
        <is>
          <t>Diccionario 6</t>
        </is>
      </c>
      <c r="FD6584" s="26" t="inlineStr">
        <is>
          <t>SR-C1531</t>
        </is>
      </c>
      <c r="FL6584" s="26" t="inlineStr">
        <is>
          <t>C</t>
        </is>
      </c>
      <c r="FP6584" s="26" t="inlineStr">
        <is>
          <t>C</t>
        </is>
      </c>
    </row>
    <row r="6585">
      <c r="FC6585" t="inlineStr">
        <is>
          <t>Diccionario 6</t>
        </is>
      </c>
      <c r="FD6585" s="26" t="inlineStr">
        <is>
          <t>RC-C1532</t>
        </is>
      </c>
      <c r="FL6585" s="26" t="inlineStr">
        <is>
          <t>C</t>
        </is>
      </c>
      <c r="FP6585" s="26" t="inlineStr">
        <is>
          <t>C</t>
        </is>
      </c>
    </row>
    <row r="6586">
      <c r="FC6586" t="inlineStr">
        <is>
          <t>Diccionario 6</t>
        </is>
      </c>
      <c r="FD6586" s="26" t="inlineStr">
        <is>
          <t>RC-C1533</t>
        </is>
      </c>
      <c r="FL6586" s="26" t="inlineStr">
        <is>
          <t>C</t>
        </is>
      </c>
      <c r="FP6586" s="26" t="inlineStr">
        <is>
          <t>C</t>
        </is>
      </c>
    </row>
    <row r="6587">
      <c r="FC6587" t="inlineStr">
        <is>
          <t>Diccionario 6</t>
        </is>
      </c>
      <c r="FD6587" s="26" t="inlineStr">
        <is>
          <t>RC-C1534</t>
        </is>
      </c>
      <c r="FL6587" s="26" t="inlineStr">
        <is>
          <t>C</t>
        </is>
      </c>
      <c r="FP6587" s="26" t="inlineStr">
        <is>
          <t>C</t>
        </is>
      </c>
    </row>
    <row r="6588">
      <c r="FC6588" t="inlineStr">
        <is>
          <t>Diccionario 6</t>
        </is>
      </c>
      <c r="FD6588" s="26" t="inlineStr">
        <is>
          <t>SR-C1535</t>
        </is>
      </c>
      <c r="FL6588" s="26" t="inlineStr">
        <is>
          <t>C</t>
        </is>
      </c>
      <c r="FP6588" s="26" t="inlineStr">
        <is>
          <t>C</t>
        </is>
      </c>
    </row>
    <row r="6589">
      <c r="FC6589" t="inlineStr">
        <is>
          <t>Diccionario 6</t>
        </is>
      </c>
      <c r="FD6589" s="26" t="inlineStr">
        <is>
          <t>RC-C1536</t>
        </is>
      </c>
      <c r="FL6589" s="26" t="inlineStr">
        <is>
          <t>C</t>
        </is>
      </c>
      <c r="FP6589" s="26" t="inlineStr">
        <is>
          <t>C</t>
        </is>
      </c>
    </row>
    <row r="6590">
      <c r="FC6590" t="inlineStr">
        <is>
          <t>Diccionario 6</t>
        </is>
      </c>
      <c r="FD6590" s="26" t="inlineStr">
        <is>
          <t>SR-C1537</t>
        </is>
      </c>
      <c r="FL6590" s="26" t="inlineStr">
        <is>
          <t>C</t>
        </is>
      </c>
      <c r="FP6590" s="26" t="inlineStr">
        <is>
          <t>C</t>
        </is>
      </c>
    </row>
    <row r="6591">
      <c r="FC6591" t="inlineStr">
        <is>
          <t>Diccionario 6</t>
        </is>
      </c>
      <c r="FD6591" s="26" t="inlineStr">
        <is>
          <t>RC-C1538</t>
        </is>
      </c>
      <c r="FL6591" s="26" t="inlineStr">
        <is>
          <t>C</t>
        </is>
      </c>
      <c r="FP6591" s="26" t="inlineStr">
        <is>
          <t>C</t>
        </is>
      </c>
    </row>
    <row r="6592">
      <c r="FC6592" t="inlineStr">
        <is>
          <t>Diccionario 6</t>
        </is>
      </c>
      <c r="FD6592" s="26" t="inlineStr">
        <is>
          <t>SR-C1539</t>
        </is>
      </c>
      <c r="FL6592" s="26" t="inlineStr">
        <is>
          <t>C</t>
        </is>
      </c>
      <c r="FP6592" s="26" t="inlineStr">
        <is>
          <t>C</t>
        </is>
      </c>
    </row>
    <row r="6593">
      <c r="FC6593" t="inlineStr">
        <is>
          <t>Diccionario 6</t>
        </is>
      </c>
      <c r="FD6593" s="26" t="inlineStr">
        <is>
          <t>SR-C1540</t>
        </is>
      </c>
      <c r="FL6593" s="26" t="inlineStr">
        <is>
          <t>C</t>
        </is>
      </c>
      <c r="FP6593" s="26" t="inlineStr">
        <is>
          <t>C</t>
        </is>
      </c>
    </row>
    <row r="6594">
      <c r="FC6594" t="inlineStr">
        <is>
          <t>Diccionario 6</t>
        </is>
      </c>
      <c r="FD6594" s="26" t="inlineStr">
        <is>
          <t>SR-C1541</t>
        </is>
      </c>
      <c r="FL6594" s="26" t="inlineStr">
        <is>
          <t>C</t>
        </is>
      </c>
      <c r="FP6594" s="26" t="inlineStr">
        <is>
          <t>C</t>
        </is>
      </c>
    </row>
    <row r="6595">
      <c r="FC6595" t="inlineStr">
        <is>
          <t>Diccionario 6</t>
        </is>
      </c>
      <c r="FD6595" s="26" t="inlineStr">
        <is>
          <t>SR-C1542</t>
        </is>
      </c>
      <c r="FL6595" s="26" t="inlineStr">
        <is>
          <t>C</t>
        </is>
      </c>
      <c r="FP6595" s="26" t="inlineStr">
        <is>
          <t>C</t>
        </is>
      </c>
    </row>
    <row r="6596">
      <c r="FC6596" t="inlineStr">
        <is>
          <t>Diccionario 6</t>
        </is>
      </c>
      <c r="FD6596" s="26" t="inlineStr">
        <is>
          <t>SR-C1543</t>
        </is>
      </c>
      <c r="FL6596" s="26" t="inlineStr">
        <is>
          <t>C</t>
        </is>
      </c>
      <c r="FP6596" s="26" t="inlineStr">
        <is>
          <t>C</t>
        </is>
      </c>
    </row>
    <row r="6597">
      <c r="FC6597" t="inlineStr">
        <is>
          <t>Diccionario 6</t>
        </is>
      </c>
      <c r="FD6597" s="26" t="inlineStr">
        <is>
          <t>SR-C1544</t>
        </is>
      </c>
      <c r="FL6597" s="26" t="inlineStr">
        <is>
          <t>C</t>
        </is>
      </c>
      <c r="FP6597" s="26" t="inlineStr">
        <is>
          <t>C</t>
        </is>
      </c>
    </row>
    <row r="6598">
      <c r="FC6598" t="inlineStr">
        <is>
          <t>Diccionario 6</t>
        </is>
      </c>
      <c r="FD6598" s="26" t="inlineStr">
        <is>
          <t>SR-C1545</t>
        </is>
      </c>
      <c r="FL6598" s="26" t="inlineStr">
        <is>
          <t>C</t>
        </is>
      </c>
      <c r="FP6598" s="26" t="inlineStr">
        <is>
          <t>C</t>
        </is>
      </c>
    </row>
    <row r="6599">
      <c r="FC6599" t="inlineStr">
        <is>
          <t>Diccionario 6</t>
        </is>
      </c>
      <c r="FD6599" s="26" t="inlineStr">
        <is>
          <t>SR-C1546</t>
        </is>
      </c>
      <c r="FL6599" s="26" t="inlineStr">
        <is>
          <t>C</t>
        </is>
      </c>
      <c r="FP6599" s="26" t="inlineStr">
        <is>
          <t>C</t>
        </is>
      </c>
    </row>
    <row r="6600">
      <c r="FC6600" t="inlineStr">
        <is>
          <t>Diccionario 6</t>
        </is>
      </c>
      <c r="FD6600" s="26" t="inlineStr">
        <is>
          <t>SR-C1547</t>
        </is>
      </c>
      <c r="FL6600" s="26" t="inlineStr">
        <is>
          <t>C</t>
        </is>
      </c>
      <c r="FP6600" s="26" t="inlineStr">
        <is>
          <t>C</t>
        </is>
      </c>
    </row>
    <row r="6601">
      <c r="FC6601" t="inlineStr">
        <is>
          <t>Diccionario 6</t>
        </is>
      </c>
      <c r="FD6601" s="26" t="inlineStr">
        <is>
          <t>SR-C1548</t>
        </is>
      </c>
      <c r="FL6601" s="26" t="inlineStr">
        <is>
          <t>C</t>
        </is>
      </c>
      <c r="FP6601" s="26" t="inlineStr">
        <is>
          <t>C</t>
        </is>
      </c>
    </row>
    <row r="6602">
      <c r="FC6602" t="inlineStr">
        <is>
          <t>Diccionario 6</t>
        </is>
      </c>
      <c r="FD6602" s="26" t="inlineStr">
        <is>
          <t>SR-C1549</t>
        </is>
      </c>
      <c r="FL6602" s="26" t="inlineStr">
        <is>
          <t>C</t>
        </is>
      </c>
      <c r="FP6602" s="26" t="inlineStr">
        <is>
          <t>C</t>
        </is>
      </c>
    </row>
    <row r="6603">
      <c r="FC6603" t="inlineStr">
        <is>
          <t>Diccionario 6</t>
        </is>
      </c>
      <c r="FD6603" s="26" t="inlineStr">
        <is>
          <t>SR-C1550</t>
        </is>
      </c>
      <c r="FL6603" s="26" t="inlineStr">
        <is>
          <t>C</t>
        </is>
      </c>
      <c r="FP6603" s="26" t="inlineStr">
        <is>
          <t>C</t>
        </is>
      </c>
    </row>
    <row r="6604">
      <c r="FC6604" t="inlineStr">
        <is>
          <t>Diccionario 6</t>
        </is>
      </c>
      <c r="FD6604" s="26" t="inlineStr">
        <is>
          <t>SR-C1551</t>
        </is>
      </c>
      <c r="FL6604" s="26" t="inlineStr">
        <is>
          <t>C</t>
        </is>
      </c>
      <c r="FP6604" s="26" t="inlineStr">
        <is>
          <t>C</t>
        </is>
      </c>
    </row>
    <row r="6605">
      <c r="FC6605" t="inlineStr">
        <is>
          <t>Diccionario 6</t>
        </is>
      </c>
      <c r="FD6605" s="26" t="inlineStr">
        <is>
          <t>SR-C1552</t>
        </is>
      </c>
      <c r="FL6605" s="26" t="inlineStr">
        <is>
          <t>C</t>
        </is>
      </c>
      <c r="FP6605" s="26" t="inlineStr">
        <is>
          <t>C</t>
        </is>
      </c>
    </row>
    <row r="6606">
      <c r="FC6606" t="inlineStr">
        <is>
          <t>Diccionario 6</t>
        </is>
      </c>
      <c r="FD6606" s="26" t="inlineStr">
        <is>
          <t>SR-C1553</t>
        </is>
      </c>
      <c r="FL6606" s="26" t="inlineStr">
        <is>
          <t>C</t>
        </is>
      </c>
      <c r="FP6606" s="26" t="inlineStr">
        <is>
          <t>C</t>
        </is>
      </c>
    </row>
    <row r="6607">
      <c r="FC6607" t="inlineStr">
        <is>
          <t>Diccionario 6</t>
        </is>
      </c>
      <c r="FD6607" s="26" t="inlineStr">
        <is>
          <t>SR-C1554</t>
        </is>
      </c>
      <c r="FL6607" s="26" t="inlineStr">
        <is>
          <t>C</t>
        </is>
      </c>
      <c r="FP6607" s="26" t="inlineStr">
        <is>
          <t>C</t>
        </is>
      </c>
    </row>
    <row r="6608">
      <c r="FC6608" t="inlineStr">
        <is>
          <t>Diccionario 6</t>
        </is>
      </c>
      <c r="FD6608" s="26" t="inlineStr">
        <is>
          <t>SR-C1555</t>
        </is>
      </c>
      <c r="FL6608" s="26" t="inlineStr">
        <is>
          <t>C</t>
        </is>
      </c>
      <c r="FP6608" s="26" t="inlineStr">
        <is>
          <t>C</t>
        </is>
      </c>
    </row>
    <row r="6609">
      <c r="FC6609" t="inlineStr">
        <is>
          <t>Diccionario 6</t>
        </is>
      </c>
      <c r="FD6609" s="26" t="inlineStr">
        <is>
          <t>SR-C1556</t>
        </is>
      </c>
      <c r="FL6609" s="26" t="inlineStr">
        <is>
          <t>C</t>
        </is>
      </c>
      <c r="FP6609" s="26" t="inlineStr">
        <is>
          <t>C</t>
        </is>
      </c>
    </row>
    <row r="6610">
      <c r="FC6610" t="inlineStr">
        <is>
          <t>Diccionario 6</t>
        </is>
      </c>
      <c r="FD6610" s="26" t="inlineStr">
        <is>
          <t>SR-C1557</t>
        </is>
      </c>
      <c r="FL6610" s="26" t="inlineStr">
        <is>
          <t>C</t>
        </is>
      </c>
      <c r="FP6610" s="26" t="inlineStr">
        <is>
          <t>C</t>
        </is>
      </c>
    </row>
    <row r="6611">
      <c r="FC6611" t="inlineStr">
        <is>
          <t>Diccionario 6</t>
        </is>
      </c>
      <c r="FD6611" s="26" t="inlineStr">
        <is>
          <t>SR-C1558</t>
        </is>
      </c>
      <c r="FL6611" s="26" t="inlineStr">
        <is>
          <t>C</t>
        </is>
      </c>
      <c r="FP6611" s="26" t="inlineStr">
        <is>
          <t>C</t>
        </is>
      </c>
    </row>
    <row r="6612">
      <c r="FC6612" t="inlineStr">
        <is>
          <t>Diccionario 6</t>
        </is>
      </c>
      <c r="FD6612" s="26" t="inlineStr">
        <is>
          <t>SR-C1559</t>
        </is>
      </c>
      <c r="FL6612" s="26" t="inlineStr">
        <is>
          <t>C</t>
        </is>
      </c>
      <c r="FP6612" s="26" t="inlineStr">
        <is>
          <t>C</t>
        </is>
      </c>
    </row>
    <row r="6613">
      <c r="FC6613" t="inlineStr">
        <is>
          <t>Diccionario 6</t>
        </is>
      </c>
      <c r="FD6613" s="26" t="inlineStr">
        <is>
          <t>SR-C1560</t>
        </is>
      </c>
      <c r="FL6613" s="26" t="inlineStr">
        <is>
          <t>C</t>
        </is>
      </c>
      <c r="FP6613" s="26" t="inlineStr">
        <is>
          <t>C</t>
        </is>
      </c>
    </row>
    <row r="6614">
      <c r="FC6614" t="inlineStr">
        <is>
          <t>Diccionario 6</t>
        </is>
      </c>
      <c r="FD6614" s="26" t="inlineStr">
        <is>
          <t>SR-C1561</t>
        </is>
      </c>
      <c r="FL6614" s="26" t="inlineStr">
        <is>
          <t>C</t>
        </is>
      </c>
      <c r="FP6614" s="26" t="inlineStr">
        <is>
          <t>C</t>
        </is>
      </c>
    </row>
    <row r="6615">
      <c r="FC6615" t="inlineStr">
        <is>
          <t>Diccionario 6</t>
        </is>
      </c>
      <c r="FD6615" s="26" t="inlineStr">
        <is>
          <t>SR-C1562</t>
        </is>
      </c>
      <c r="FL6615" s="26" t="inlineStr">
        <is>
          <t>C</t>
        </is>
      </c>
      <c r="FP6615" s="26" t="inlineStr">
        <is>
          <t>C</t>
        </is>
      </c>
    </row>
    <row r="6616">
      <c r="FC6616" t="inlineStr">
        <is>
          <t>Diccionario 6</t>
        </is>
      </c>
      <c r="FD6616" s="26" t="inlineStr">
        <is>
          <t>RC-C1563</t>
        </is>
      </c>
      <c r="FL6616" s="26" t="inlineStr">
        <is>
          <t>C</t>
        </is>
      </c>
      <c r="FP6616" s="26" t="inlineStr">
        <is>
          <t>C</t>
        </is>
      </c>
    </row>
    <row r="6617">
      <c r="FC6617" t="inlineStr">
        <is>
          <t>Diccionario 6</t>
        </is>
      </c>
      <c r="FD6617" s="26" t="inlineStr">
        <is>
          <t>SR-C1564</t>
        </is>
      </c>
      <c r="FL6617" s="26" t="inlineStr">
        <is>
          <t>C</t>
        </is>
      </c>
      <c r="FP6617" s="26" t="inlineStr">
        <is>
          <t>C</t>
        </is>
      </c>
    </row>
    <row r="6618">
      <c r="FC6618" t="inlineStr">
        <is>
          <t>Diccionario 6</t>
        </is>
      </c>
      <c r="FD6618" s="26" t="inlineStr">
        <is>
          <t>SR-C1565</t>
        </is>
      </c>
      <c r="FL6618" s="26" t="inlineStr">
        <is>
          <t>C</t>
        </is>
      </c>
      <c r="FP6618" s="26" t="inlineStr">
        <is>
          <t>C</t>
        </is>
      </c>
    </row>
    <row r="6619">
      <c r="FC6619" t="inlineStr">
        <is>
          <t>Diccionario 6</t>
        </is>
      </c>
      <c r="FD6619" s="26" t="inlineStr">
        <is>
          <t>SR-C1566</t>
        </is>
      </c>
      <c r="FL6619" s="26" t="inlineStr">
        <is>
          <t>C</t>
        </is>
      </c>
      <c r="FP6619" s="26" t="inlineStr">
        <is>
          <t>C</t>
        </is>
      </c>
    </row>
    <row r="6620">
      <c r="FC6620" t="inlineStr">
        <is>
          <t>Diccionario 6</t>
        </is>
      </c>
      <c r="FD6620" s="26" t="inlineStr">
        <is>
          <t>SR-C1567</t>
        </is>
      </c>
      <c r="FL6620" s="26" t="inlineStr">
        <is>
          <t>C</t>
        </is>
      </c>
      <c r="FP6620" s="26" t="inlineStr">
        <is>
          <t>C</t>
        </is>
      </c>
    </row>
    <row r="6621">
      <c r="FC6621" t="inlineStr">
        <is>
          <t>Diccionario 6</t>
        </is>
      </c>
      <c r="FD6621" s="26" t="inlineStr">
        <is>
          <t>SR-C1568</t>
        </is>
      </c>
      <c r="FL6621" s="26" t="inlineStr">
        <is>
          <t>C</t>
        </is>
      </c>
      <c r="FP6621" s="26" t="inlineStr">
        <is>
          <t>C</t>
        </is>
      </c>
    </row>
    <row r="6622">
      <c r="FC6622" t="inlineStr">
        <is>
          <t>Diccionario 6</t>
        </is>
      </c>
      <c r="FD6622" s="26" t="inlineStr">
        <is>
          <t>RC-C1569</t>
        </is>
      </c>
      <c r="FL6622" s="26" t="inlineStr">
        <is>
          <t>C</t>
        </is>
      </c>
      <c r="FP6622" s="26" t="inlineStr">
        <is>
          <t>C</t>
        </is>
      </c>
    </row>
    <row r="6623">
      <c r="FC6623" t="inlineStr">
        <is>
          <t>Diccionario 6</t>
        </is>
      </c>
      <c r="FD6623" s="26" t="inlineStr">
        <is>
          <t>SR-C1570</t>
        </is>
      </c>
      <c r="FL6623" s="26" t="inlineStr">
        <is>
          <t>C</t>
        </is>
      </c>
      <c r="FP6623" s="26" t="inlineStr">
        <is>
          <t>C</t>
        </is>
      </c>
    </row>
    <row r="6624">
      <c r="FC6624" t="inlineStr">
        <is>
          <t>Diccionario 6</t>
        </is>
      </c>
      <c r="FD6624" s="26" t="inlineStr">
        <is>
          <t>SR-C1571</t>
        </is>
      </c>
      <c r="FL6624" s="26" t="inlineStr">
        <is>
          <t>C</t>
        </is>
      </c>
      <c r="FP6624" s="26" t="inlineStr">
        <is>
          <t>C</t>
        </is>
      </c>
    </row>
    <row r="6625">
      <c r="FC6625" t="inlineStr">
        <is>
          <t>Diccionario 6</t>
        </is>
      </c>
      <c r="FD6625" s="26" t="inlineStr">
        <is>
          <t>SR-C1572</t>
        </is>
      </c>
      <c r="FL6625" s="26" t="inlineStr">
        <is>
          <t>C</t>
        </is>
      </c>
      <c r="FP6625" s="26" t="inlineStr">
        <is>
          <t>C</t>
        </is>
      </c>
    </row>
    <row r="6626">
      <c r="FC6626" t="inlineStr">
        <is>
          <t>Diccionario 6</t>
        </is>
      </c>
      <c r="FD6626" s="26" t="inlineStr">
        <is>
          <t>SR-C1573</t>
        </is>
      </c>
      <c r="FL6626" s="26" t="inlineStr">
        <is>
          <t>C</t>
        </is>
      </c>
      <c r="FP6626" s="26" t="inlineStr">
        <is>
          <t>C</t>
        </is>
      </c>
    </row>
    <row r="6627">
      <c r="FC6627" t="inlineStr">
        <is>
          <t>Diccionario 6</t>
        </is>
      </c>
      <c r="FD6627" s="26" t="inlineStr">
        <is>
          <t>SR-C1574</t>
        </is>
      </c>
      <c r="FL6627" s="26" t="inlineStr">
        <is>
          <t>C</t>
        </is>
      </c>
      <c r="FP6627" s="26" t="inlineStr">
        <is>
          <t>C</t>
        </is>
      </c>
    </row>
    <row r="6628">
      <c r="FC6628" t="inlineStr">
        <is>
          <t>Diccionario 6</t>
        </is>
      </c>
      <c r="FD6628" s="26" t="inlineStr">
        <is>
          <t>SR-C1575</t>
        </is>
      </c>
      <c r="FL6628" s="26" t="inlineStr">
        <is>
          <t>C</t>
        </is>
      </c>
      <c r="FP6628" s="26" t="inlineStr">
        <is>
          <t>C</t>
        </is>
      </c>
    </row>
    <row r="6629">
      <c r="FC6629" t="inlineStr">
        <is>
          <t>Diccionario 6</t>
        </is>
      </c>
      <c r="FD6629" s="26" t="inlineStr">
        <is>
          <t>SR-C1576</t>
        </is>
      </c>
      <c r="FL6629" s="26" t="inlineStr">
        <is>
          <t>C</t>
        </is>
      </c>
      <c r="FP6629" s="26" t="inlineStr">
        <is>
          <t>C</t>
        </is>
      </c>
    </row>
    <row r="6630">
      <c r="FC6630" t="inlineStr">
        <is>
          <t>Diccionario 6</t>
        </is>
      </c>
      <c r="FD6630" s="26" t="inlineStr">
        <is>
          <t>SR-C1577</t>
        </is>
      </c>
      <c r="FL6630" s="26" t="inlineStr">
        <is>
          <t>C</t>
        </is>
      </c>
      <c r="FP6630" s="26" t="inlineStr">
        <is>
          <t>C</t>
        </is>
      </c>
    </row>
    <row r="6631">
      <c r="FC6631" t="inlineStr">
        <is>
          <t>Diccionario 6</t>
        </is>
      </c>
      <c r="FD6631" s="26" t="inlineStr">
        <is>
          <t>RC-C1578</t>
        </is>
      </c>
      <c r="FL6631" s="26" t="inlineStr">
        <is>
          <t>C</t>
        </is>
      </c>
      <c r="FP6631" s="26" t="inlineStr">
        <is>
          <t>C</t>
        </is>
      </c>
    </row>
    <row r="6632">
      <c r="FC6632" t="inlineStr">
        <is>
          <t>Diccionario 6</t>
        </is>
      </c>
      <c r="FD6632" s="26" t="inlineStr">
        <is>
          <t>SR-C1579</t>
        </is>
      </c>
      <c r="FL6632" s="26" t="inlineStr">
        <is>
          <t>C</t>
        </is>
      </c>
      <c r="FP6632" s="26" t="inlineStr">
        <is>
          <t>C</t>
        </is>
      </c>
    </row>
    <row r="6633">
      <c r="FC6633" t="inlineStr">
        <is>
          <t>Diccionario 6</t>
        </is>
      </c>
      <c r="FD6633" s="26" t="inlineStr">
        <is>
          <t>SR-C1580</t>
        </is>
      </c>
      <c r="FL6633" s="26" t="inlineStr">
        <is>
          <t>C</t>
        </is>
      </c>
      <c r="FP6633" s="26" t="inlineStr">
        <is>
          <t>C</t>
        </is>
      </c>
    </row>
    <row r="6634">
      <c r="FC6634" t="inlineStr">
        <is>
          <t>Diccionario 6</t>
        </is>
      </c>
      <c r="FD6634" s="26" t="inlineStr">
        <is>
          <t>SR-C1581</t>
        </is>
      </c>
      <c r="FL6634" s="26" t="inlineStr">
        <is>
          <t>C</t>
        </is>
      </c>
      <c r="FP6634" s="26" t="inlineStr">
        <is>
          <t>C</t>
        </is>
      </c>
    </row>
    <row r="6635">
      <c r="FC6635" t="inlineStr">
        <is>
          <t>Diccionario 6</t>
        </is>
      </c>
      <c r="FD6635" s="26" t="inlineStr">
        <is>
          <t>SR-C1582</t>
        </is>
      </c>
      <c r="FL6635" s="26" t="inlineStr">
        <is>
          <t>C</t>
        </is>
      </c>
      <c r="FP6635" s="26" t="inlineStr">
        <is>
          <t>C</t>
        </is>
      </c>
    </row>
    <row r="6636">
      <c r="FC6636" t="inlineStr">
        <is>
          <t>Diccionario 6</t>
        </is>
      </c>
      <c r="FD6636" s="26" t="inlineStr">
        <is>
          <t>SR-C1583</t>
        </is>
      </c>
      <c r="FL6636" s="26" t="inlineStr">
        <is>
          <t>C</t>
        </is>
      </c>
      <c r="FP6636" s="26" t="inlineStr">
        <is>
          <t>C</t>
        </is>
      </c>
    </row>
    <row r="6637">
      <c r="FC6637" t="inlineStr">
        <is>
          <t>Diccionario 6</t>
        </is>
      </c>
      <c r="FD6637" s="26" t="inlineStr">
        <is>
          <t>SR-C1584</t>
        </is>
      </c>
      <c r="FL6637" s="26" t="inlineStr">
        <is>
          <t>C</t>
        </is>
      </c>
      <c r="FP6637" s="26" t="inlineStr">
        <is>
          <t>C</t>
        </is>
      </c>
    </row>
    <row r="6638">
      <c r="FC6638" t="inlineStr">
        <is>
          <t>Diccionario 6</t>
        </is>
      </c>
      <c r="FD6638" s="26" t="inlineStr">
        <is>
          <t>DC-B3033</t>
        </is>
      </c>
      <c r="FL6638" s="26" t="inlineStr">
        <is>
          <t>B</t>
        </is>
      </c>
      <c r="FP6638" s="26" t="inlineStr">
        <is>
          <t>B</t>
        </is>
      </c>
    </row>
    <row r="6639">
      <c r="FC6639" t="inlineStr">
        <is>
          <t>Diccionario 6</t>
        </is>
      </c>
      <c r="FD6639" s="26" t="inlineStr">
        <is>
          <t>DC-B3047</t>
        </is>
      </c>
      <c r="FL6639" s="26" t="inlineStr">
        <is>
          <t>B</t>
        </is>
      </c>
      <c r="FP6639" s="26" t="inlineStr">
        <is>
          <t>B</t>
        </is>
      </c>
    </row>
    <row r="6640">
      <c r="FC6640" t="inlineStr">
        <is>
          <t>Diccionario 6</t>
        </is>
      </c>
      <c r="FD6640" s="26" t="inlineStr">
        <is>
          <t>SR-B3065</t>
        </is>
      </c>
      <c r="FL6640" s="26" t="inlineStr">
        <is>
          <t>B</t>
        </is>
      </c>
      <c r="FP6640" s="26" t="inlineStr">
        <is>
          <t>B</t>
        </is>
      </c>
    </row>
    <row r="6641">
      <c r="FC6641" t="inlineStr">
        <is>
          <t>Diccionario 6</t>
        </is>
      </c>
      <c r="FD6641" s="26" t="inlineStr">
        <is>
          <t>SR-B3025</t>
        </is>
      </c>
      <c r="FL6641" s="26" t="inlineStr">
        <is>
          <t>B</t>
        </is>
      </c>
      <c r="FP6641" s="26" t="inlineStr">
        <is>
          <t>B</t>
        </is>
      </c>
    </row>
    <row r="6642">
      <c r="FC6642" t="inlineStr">
        <is>
          <t>Diccionario 6</t>
        </is>
      </c>
      <c r="FD6642" s="26" t="inlineStr">
        <is>
          <t>SR-B3041</t>
        </is>
      </c>
      <c r="FL6642" s="26" t="inlineStr">
        <is>
          <t>B</t>
        </is>
      </c>
      <c r="FP6642" s="26" t="inlineStr">
        <is>
          <t>B</t>
        </is>
      </c>
    </row>
    <row r="6643">
      <c r="FC6643" t="inlineStr">
        <is>
          <t>Diccionario 6</t>
        </is>
      </c>
      <c r="FD6643" s="26" t="inlineStr">
        <is>
          <t>SR-B3042</t>
        </is>
      </c>
      <c r="FL6643" s="26" t="inlineStr">
        <is>
          <t>B</t>
        </is>
      </c>
      <c r="FP6643" s="26" t="inlineStr">
        <is>
          <t>B</t>
        </is>
      </c>
    </row>
    <row r="6644">
      <c r="FC6644" t="inlineStr">
        <is>
          <t>Diccionario 6</t>
        </is>
      </c>
      <c r="FD6644" s="26" t="inlineStr">
        <is>
          <t>LB-B1591</t>
        </is>
      </c>
      <c r="FL6644" s="26" t="inlineStr">
        <is>
          <t>B</t>
        </is>
      </c>
      <c r="FP6644" s="26" t="inlineStr">
        <is>
          <t>B</t>
        </is>
      </c>
    </row>
    <row r="6645">
      <c r="FC6645" t="inlineStr">
        <is>
          <t>Diccionario 6</t>
        </is>
      </c>
      <c r="FD6645" s="26" t="inlineStr">
        <is>
          <t>SR-B3015</t>
        </is>
      </c>
      <c r="FL6645" s="26" t="inlineStr">
        <is>
          <t>B</t>
        </is>
      </c>
      <c r="FP6645" s="26" t="inlineStr">
        <is>
          <t>B</t>
        </is>
      </c>
    </row>
    <row r="6646">
      <c r="FC6646" t="inlineStr">
        <is>
          <t>Diccionario 6</t>
        </is>
      </c>
      <c r="FD6646" s="26" t="inlineStr">
        <is>
          <t>SR-B3044</t>
        </is>
      </c>
      <c r="FL6646" s="26" t="inlineStr">
        <is>
          <t>B</t>
        </is>
      </c>
      <c r="FP6646" s="26" t="inlineStr">
        <is>
          <t>B</t>
        </is>
      </c>
    </row>
    <row r="6647">
      <c r="FC6647" t="inlineStr">
        <is>
          <t>Diccionario 6</t>
        </is>
      </c>
      <c r="FD6647" s="26" t="inlineStr">
        <is>
          <t>SR-B1594</t>
        </is>
      </c>
      <c r="FL6647" s="26" t="inlineStr">
        <is>
          <t>B</t>
        </is>
      </c>
      <c r="FP6647" s="26" t="inlineStr">
        <is>
          <t>B</t>
        </is>
      </c>
    </row>
    <row r="6648">
      <c r="FC6648" t="inlineStr">
        <is>
          <t>Diccionario 6</t>
        </is>
      </c>
      <c r="FD6648" s="26" t="inlineStr">
        <is>
          <t>SR-B3051</t>
        </is>
      </c>
      <c r="FL6648" s="26" t="inlineStr">
        <is>
          <t>B</t>
        </is>
      </c>
      <c r="FP6648" s="26" t="inlineStr">
        <is>
          <t>B</t>
        </is>
      </c>
    </row>
    <row r="6649">
      <c r="FC6649" t="inlineStr">
        <is>
          <t>Diccionario 6</t>
        </is>
      </c>
      <c r="FD6649" s="26" t="inlineStr">
        <is>
          <t>SR-B3026</t>
        </is>
      </c>
      <c r="FL6649" s="26" t="inlineStr">
        <is>
          <t>B</t>
        </is>
      </c>
      <c r="FP6649" s="26" t="inlineStr">
        <is>
          <t>B</t>
        </is>
      </c>
    </row>
    <row r="6650">
      <c r="FC6650" t="inlineStr">
        <is>
          <t>Diccionario 6</t>
        </is>
      </c>
      <c r="FD6650" s="26" t="inlineStr">
        <is>
          <t>SR-B3027</t>
        </is>
      </c>
      <c r="FL6650" s="26" t="inlineStr">
        <is>
          <t>B</t>
        </is>
      </c>
      <c r="FP6650" s="26" t="inlineStr">
        <is>
          <t>B</t>
        </is>
      </c>
    </row>
    <row r="6651">
      <c r="FC6651" t="inlineStr">
        <is>
          <t>Diccionario 6</t>
        </is>
      </c>
      <c r="FD6651" s="26" t="inlineStr">
        <is>
          <t>SR-B3052</t>
        </is>
      </c>
      <c r="FL6651" s="26" t="inlineStr">
        <is>
          <t>B</t>
        </is>
      </c>
      <c r="FP6651" s="26" t="inlineStr">
        <is>
          <t>B</t>
        </is>
      </c>
    </row>
    <row r="6652">
      <c r="FC6652" t="inlineStr">
        <is>
          <t>Diccionario 6</t>
        </is>
      </c>
      <c r="FD6652" s="26" t="inlineStr">
        <is>
          <t>LB-B3009</t>
        </is>
      </c>
      <c r="FL6652" s="26" t="inlineStr">
        <is>
          <t>B</t>
        </is>
      </c>
      <c r="FP6652" s="26" t="inlineStr">
        <is>
          <t>B</t>
        </is>
      </c>
    </row>
    <row r="6653">
      <c r="FC6653" t="inlineStr">
        <is>
          <t>Diccionario 6</t>
        </is>
      </c>
      <c r="FD6653" s="26" t="inlineStr">
        <is>
          <t>RC-B3006</t>
        </is>
      </c>
      <c r="FL6653" s="26" t="inlineStr">
        <is>
          <t>B</t>
        </is>
      </c>
      <c r="FP6653" s="26" t="inlineStr">
        <is>
          <t>B</t>
        </is>
      </c>
    </row>
    <row r="6654">
      <c r="FC6654" t="inlineStr">
        <is>
          <t>Diccionario 6</t>
        </is>
      </c>
      <c r="FD6654" s="26" t="inlineStr">
        <is>
          <t>SR-B3048</t>
        </is>
      </c>
      <c r="FL6654" s="26" t="inlineStr">
        <is>
          <t>B</t>
        </is>
      </c>
      <c r="FP6654" s="26" t="inlineStr">
        <is>
          <t>B</t>
        </is>
      </c>
    </row>
    <row r="6655">
      <c r="FC6655" t="inlineStr">
        <is>
          <t>Diccionario 6</t>
        </is>
      </c>
      <c r="FD6655" s="26" t="inlineStr">
        <is>
          <t>RC-B3066</t>
        </is>
      </c>
      <c r="FL6655" s="26" t="inlineStr">
        <is>
          <t>B</t>
        </is>
      </c>
      <c r="FP6655" s="26" t="inlineStr">
        <is>
          <t>B</t>
        </is>
      </c>
    </row>
    <row r="6656">
      <c r="FC6656" t="inlineStr">
        <is>
          <t>Diccionario 6</t>
        </is>
      </c>
      <c r="FD6656" s="26" t="inlineStr">
        <is>
          <t>SR-B3060</t>
        </is>
      </c>
      <c r="FL6656" s="26" t="inlineStr">
        <is>
          <t>B</t>
        </is>
      </c>
      <c r="FP6656" s="26" t="inlineStr">
        <is>
          <t>B</t>
        </is>
      </c>
    </row>
    <row r="6657">
      <c r="FC6657" t="inlineStr">
        <is>
          <t>Diccionario 6</t>
        </is>
      </c>
      <c r="FD6657" s="26" t="inlineStr">
        <is>
          <t>RC-B3057</t>
        </is>
      </c>
      <c r="FL6657" s="26" t="inlineStr">
        <is>
          <t>B</t>
        </is>
      </c>
      <c r="FP6657" s="26" t="inlineStr">
        <is>
          <t>B</t>
        </is>
      </c>
    </row>
    <row r="6658">
      <c r="FC6658" t="inlineStr">
        <is>
          <t>Diccionario 6</t>
        </is>
      </c>
      <c r="FD6658" s="26" t="inlineStr">
        <is>
          <t>SR-B3053</t>
        </is>
      </c>
      <c r="FL6658" s="26" t="inlineStr">
        <is>
          <t>B</t>
        </is>
      </c>
      <c r="FP6658" s="26" t="inlineStr">
        <is>
          <t>B</t>
        </is>
      </c>
    </row>
    <row r="6659">
      <c r="FC6659" t="inlineStr">
        <is>
          <t>Diccionario 6</t>
        </is>
      </c>
      <c r="FD6659" s="26" t="inlineStr">
        <is>
          <t>SR-B3054</t>
        </is>
      </c>
      <c r="FL6659" s="26" t="inlineStr">
        <is>
          <t>B</t>
        </is>
      </c>
      <c r="FP6659" s="26" t="inlineStr">
        <is>
          <t>B</t>
        </is>
      </c>
    </row>
    <row r="6660">
      <c r="FC6660" t="inlineStr">
        <is>
          <t>Diccionario 6</t>
        </is>
      </c>
      <c r="FD6660" s="26" t="inlineStr">
        <is>
          <t>SR-B3016</t>
        </is>
      </c>
      <c r="FL6660" s="26" t="inlineStr">
        <is>
          <t>B</t>
        </is>
      </c>
      <c r="FP6660" s="26" t="inlineStr">
        <is>
          <t>B</t>
        </is>
      </c>
    </row>
    <row r="6661">
      <c r="FC6661" t="inlineStr">
        <is>
          <t>Diccionario 6</t>
        </is>
      </c>
      <c r="FD6661" s="26" t="inlineStr">
        <is>
          <t>SR-B3017</t>
        </is>
      </c>
      <c r="FL6661" s="26" t="inlineStr">
        <is>
          <t>B</t>
        </is>
      </c>
      <c r="FP6661" s="26" t="inlineStr">
        <is>
          <t>B</t>
        </is>
      </c>
    </row>
    <row r="6662">
      <c r="FC6662" t="inlineStr">
        <is>
          <t>Diccionario 6</t>
        </is>
      </c>
      <c r="FD6662" s="26" t="inlineStr">
        <is>
          <t>RC-B3022</t>
        </is>
      </c>
      <c r="FL6662" s="26" t="inlineStr">
        <is>
          <t>B</t>
        </is>
      </c>
      <c r="FP6662" s="26" t="inlineStr">
        <is>
          <t>B</t>
        </is>
      </c>
    </row>
    <row r="6663">
      <c r="FC6663" t="inlineStr">
        <is>
          <t>Diccionario 6</t>
        </is>
      </c>
      <c r="FD6663" s="26" t="inlineStr">
        <is>
          <t>SR-B3023</t>
        </is>
      </c>
      <c r="FL6663" s="26" t="inlineStr">
        <is>
          <t>B</t>
        </is>
      </c>
      <c r="FP6663" s="26" t="inlineStr">
        <is>
          <t>B</t>
        </is>
      </c>
    </row>
    <row r="6664">
      <c r="FC6664" t="inlineStr">
        <is>
          <t>Diccionario 6</t>
        </is>
      </c>
      <c r="FD6664" s="26" t="inlineStr">
        <is>
          <t>RC-B1611</t>
        </is>
      </c>
      <c r="FL6664" s="26" t="inlineStr">
        <is>
          <t>B</t>
        </is>
      </c>
      <c r="FP6664" s="26" t="inlineStr">
        <is>
          <t>B</t>
        </is>
      </c>
    </row>
    <row r="6665">
      <c r="FC6665" t="inlineStr">
        <is>
          <t>Diccionario 6</t>
        </is>
      </c>
      <c r="FD6665" s="26" t="inlineStr">
        <is>
          <t>SR-B1612</t>
        </is>
      </c>
      <c r="FL6665" s="26" t="inlineStr">
        <is>
          <t>B</t>
        </is>
      </c>
      <c r="FP6665" s="26" t="inlineStr">
        <is>
          <t>B</t>
        </is>
      </c>
    </row>
    <row r="6666">
      <c r="FC6666" t="inlineStr">
        <is>
          <t>Diccionario 6</t>
        </is>
      </c>
      <c r="FD6666" s="26" t="inlineStr">
        <is>
          <t>SR-B3019</t>
        </is>
      </c>
      <c r="FL6666" s="26" t="inlineStr">
        <is>
          <t>B</t>
        </is>
      </c>
      <c r="FP6666" s="26" t="inlineStr">
        <is>
          <t>B</t>
        </is>
      </c>
    </row>
    <row r="6667">
      <c r="FC6667" t="inlineStr">
        <is>
          <t>Diccionario 6</t>
        </is>
      </c>
      <c r="FD6667" s="26" t="inlineStr">
        <is>
          <t>SR-B3011</t>
        </is>
      </c>
      <c r="FL6667" s="26" t="inlineStr">
        <is>
          <t>B</t>
        </is>
      </c>
      <c r="FP6667" s="26" t="inlineStr">
        <is>
          <t>B</t>
        </is>
      </c>
    </row>
    <row r="6668">
      <c r="FC6668" t="inlineStr">
        <is>
          <t>Diccionario 6</t>
        </is>
      </c>
      <c r="FD6668" s="26" t="inlineStr">
        <is>
          <t>SR-B3045</t>
        </is>
      </c>
      <c r="FL6668" s="26" t="inlineStr">
        <is>
          <t>B</t>
        </is>
      </c>
      <c r="FP6668" s="26" t="inlineStr">
        <is>
          <t>B</t>
        </is>
      </c>
    </row>
    <row r="6669">
      <c r="FC6669" t="inlineStr">
        <is>
          <t>Diccionario 6</t>
        </is>
      </c>
      <c r="FD6669" s="26" t="inlineStr">
        <is>
          <t>RC-B3007</t>
        </is>
      </c>
      <c r="FL6669" s="26" t="inlineStr">
        <is>
          <t>B</t>
        </is>
      </c>
      <c r="FP6669" s="26" t="inlineStr">
        <is>
          <t>B</t>
        </is>
      </c>
    </row>
    <row r="6670">
      <c r="FC6670" t="inlineStr">
        <is>
          <t>Diccionario 6</t>
        </is>
      </c>
      <c r="FD6670" s="26" t="inlineStr">
        <is>
          <t>SR-B3055</t>
        </is>
      </c>
      <c r="FL6670" s="26" t="inlineStr">
        <is>
          <t>B</t>
        </is>
      </c>
      <c r="FP6670" s="26" t="inlineStr">
        <is>
          <t>B</t>
        </is>
      </c>
    </row>
    <row r="6671">
      <c r="FC6671" t="inlineStr">
        <is>
          <t>Diccionario 6</t>
        </is>
      </c>
      <c r="FD6671" s="26" t="inlineStr">
        <is>
          <t>RC-B3008</t>
        </is>
      </c>
      <c r="FL6671" s="26" t="inlineStr">
        <is>
          <t>B</t>
        </is>
      </c>
      <c r="FP6671" s="26" t="inlineStr">
        <is>
          <t>B</t>
        </is>
      </c>
    </row>
    <row r="6672">
      <c r="FC6672" t="inlineStr">
        <is>
          <t>Diccionario 6</t>
        </is>
      </c>
      <c r="FD6672" s="26" t="inlineStr">
        <is>
          <t>SR-B3056</t>
        </is>
      </c>
      <c r="FL6672" s="26" t="inlineStr">
        <is>
          <t>B</t>
        </is>
      </c>
      <c r="FP6672" s="26" t="inlineStr">
        <is>
          <t>B</t>
        </is>
      </c>
    </row>
    <row r="6673">
      <c r="FC6673" t="inlineStr">
        <is>
          <t>Diccionario 6</t>
        </is>
      </c>
      <c r="FD6673" s="26" t="inlineStr">
        <is>
          <t>SR-B3035</t>
        </is>
      </c>
      <c r="FL6673" s="26" t="inlineStr">
        <is>
          <t>B</t>
        </is>
      </c>
      <c r="FP6673" s="26" t="inlineStr">
        <is>
          <t>B</t>
        </is>
      </c>
    </row>
    <row r="6674">
      <c r="FC6674" t="inlineStr">
        <is>
          <t>Diccionario 6</t>
        </is>
      </c>
      <c r="FD6674" s="26" t="inlineStr">
        <is>
          <t>RC-B3061</t>
        </is>
      </c>
      <c r="FL6674" s="26" t="inlineStr">
        <is>
          <t>B</t>
        </is>
      </c>
      <c r="FP6674" s="26" t="inlineStr">
        <is>
          <t>B</t>
        </is>
      </c>
    </row>
    <row r="6675">
      <c r="FC6675" t="inlineStr">
        <is>
          <t>Diccionario 6</t>
        </is>
      </c>
      <c r="FD6675" s="26" t="inlineStr">
        <is>
          <t>SR-B3012</t>
        </is>
      </c>
      <c r="FL6675" s="26" t="inlineStr">
        <is>
          <t>B</t>
        </is>
      </c>
      <c r="FP6675" s="26" t="inlineStr">
        <is>
          <t>B</t>
        </is>
      </c>
    </row>
    <row r="6676">
      <c r="FC6676" t="inlineStr">
        <is>
          <t>Diccionario 6</t>
        </is>
      </c>
      <c r="FD6676" s="26" t="inlineStr">
        <is>
          <t>SR-B3067</t>
        </is>
      </c>
      <c r="FL6676" s="26" t="inlineStr">
        <is>
          <t>B</t>
        </is>
      </c>
      <c r="FP6676" s="26" t="inlineStr">
        <is>
          <t>B</t>
        </is>
      </c>
    </row>
    <row r="6677">
      <c r="FC6677" t="inlineStr">
        <is>
          <t>Diccionario 6</t>
        </is>
      </c>
      <c r="FD6677" s="26" t="inlineStr">
        <is>
          <t>SR-B3028</t>
        </is>
      </c>
      <c r="FL6677" s="26" t="inlineStr">
        <is>
          <t>B</t>
        </is>
      </c>
      <c r="FP6677" s="26" t="inlineStr">
        <is>
          <t>B</t>
        </is>
      </c>
    </row>
    <row r="6678">
      <c r="FC6678" t="inlineStr">
        <is>
          <t>Diccionario 6</t>
        </is>
      </c>
      <c r="FD6678" s="26" t="inlineStr">
        <is>
          <t>SR-B3024</t>
        </is>
      </c>
      <c r="FL6678" s="26" t="inlineStr">
        <is>
          <t>B</t>
        </is>
      </c>
      <c r="FP6678" s="26" t="inlineStr">
        <is>
          <t>B</t>
        </is>
      </c>
    </row>
    <row r="6679">
      <c r="FC6679" t="inlineStr">
        <is>
          <t>Diccionario 6</t>
        </is>
      </c>
      <c r="FD6679" s="26" t="inlineStr">
        <is>
          <t>SR-B3036</t>
        </is>
      </c>
      <c r="FL6679" s="26" t="inlineStr">
        <is>
          <t>B</t>
        </is>
      </c>
      <c r="FP6679" s="26" t="inlineStr">
        <is>
          <t>B</t>
        </is>
      </c>
    </row>
    <row r="6680">
      <c r="FC6680" t="inlineStr">
        <is>
          <t>Diccionario 6</t>
        </is>
      </c>
      <c r="FD6680" s="26" t="inlineStr">
        <is>
          <t>SR-B3050</t>
        </is>
      </c>
      <c r="FL6680" s="26" t="inlineStr">
        <is>
          <t>B</t>
        </is>
      </c>
      <c r="FP6680" s="26" t="inlineStr">
        <is>
          <t>B</t>
        </is>
      </c>
    </row>
    <row r="6681">
      <c r="FC6681" t="inlineStr">
        <is>
          <t>Diccionario 6</t>
        </is>
      </c>
      <c r="FD6681" s="26" t="inlineStr">
        <is>
          <t>RC-B3068</t>
        </is>
      </c>
      <c r="FL6681" s="26" t="inlineStr">
        <is>
          <t>B</t>
        </is>
      </c>
      <c r="FP6681" s="26" t="inlineStr">
        <is>
          <t>B</t>
        </is>
      </c>
    </row>
    <row r="6682">
      <c r="FC6682" t="inlineStr">
        <is>
          <t>Diccionario 6</t>
        </is>
      </c>
      <c r="FD6682" s="26" t="inlineStr">
        <is>
          <t>SR-B3058</t>
        </is>
      </c>
      <c r="FL6682" s="26" t="inlineStr">
        <is>
          <t>B</t>
        </is>
      </c>
      <c r="FP6682" s="26" t="inlineStr">
        <is>
          <t>B</t>
        </is>
      </c>
    </row>
    <row r="6683">
      <c r="FC6683" t="inlineStr">
        <is>
          <t>Diccionario 6</t>
        </is>
      </c>
      <c r="FD6683" s="26" t="inlineStr">
        <is>
          <t>SR-B3037</t>
        </is>
      </c>
      <c r="FL6683" s="26" t="inlineStr">
        <is>
          <t>B</t>
        </is>
      </c>
      <c r="FP6683" s="26" t="inlineStr">
        <is>
          <t>B</t>
        </is>
      </c>
    </row>
    <row r="6684">
      <c r="FC6684" t="inlineStr">
        <is>
          <t>Diccionario 6</t>
        </is>
      </c>
      <c r="FD6684" s="26" t="inlineStr">
        <is>
          <t>RC-B3072</t>
        </is>
      </c>
      <c r="FL6684" s="26" t="inlineStr">
        <is>
          <t>B</t>
        </is>
      </c>
      <c r="FP6684" s="26" t="inlineStr">
        <is>
          <t>B</t>
        </is>
      </c>
    </row>
    <row r="6685">
      <c r="FC6685" t="inlineStr">
        <is>
          <t>Diccionario 6</t>
        </is>
      </c>
      <c r="FD6685" s="26" t="inlineStr">
        <is>
          <t>SR-B3038</t>
        </is>
      </c>
      <c r="FL6685" s="26" t="inlineStr">
        <is>
          <t>B</t>
        </is>
      </c>
      <c r="FP6685" s="26" t="inlineStr">
        <is>
          <t>B</t>
        </is>
      </c>
    </row>
    <row r="6686">
      <c r="FC6686" t="inlineStr">
        <is>
          <t>Diccionario 6</t>
        </is>
      </c>
      <c r="FD6686" s="26" t="inlineStr">
        <is>
          <t>SR-B1633</t>
        </is>
      </c>
      <c r="FL6686" s="26" t="inlineStr">
        <is>
          <t>B</t>
        </is>
      </c>
      <c r="FP6686" s="26" t="inlineStr">
        <is>
          <t>B</t>
        </is>
      </c>
    </row>
    <row r="6687">
      <c r="FC6687" t="inlineStr">
        <is>
          <t>Diccionario 6</t>
        </is>
      </c>
      <c r="FD6687" s="26" t="inlineStr">
        <is>
          <t>SR-B3073</t>
        </is>
      </c>
      <c r="FL6687" s="26" t="inlineStr">
        <is>
          <t>B</t>
        </is>
      </c>
      <c r="FP6687" s="26" t="inlineStr">
        <is>
          <t>B</t>
        </is>
      </c>
    </row>
    <row r="6688">
      <c r="FC6688" t="inlineStr">
        <is>
          <t>Diccionario 6</t>
        </is>
      </c>
      <c r="FD6688" s="26" t="inlineStr">
        <is>
          <t>SR-B3046</t>
        </is>
      </c>
      <c r="FL6688" s="26" t="inlineStr">
        <is>
          <t>B</t>
        </is>
      </c>
      <c r="FP6688" s="26" t="inlineStr">
        <is>
          <t>B</t>
        </is>
      </c>
    </row>
    <row r="6689">
      <c r="FC6689" t="inlineStr">
        <is>
          <t>Diccionario 6</t>
        </is>
      </c>
      <c r="FD6689" s="26" t="inlineStr">
        <is>
          <t>SR-B3062</t>
        </is>
      </c>
      <c r="FL6689" s="26" t="inlineStr">
        <is>
          <t>B</t>
        </is>
      </c>
      <c r="FP6689" s="26" t="inlineStr">
        <is>
          <t>B</t>
        </is>
      </c>
    </row>
    <row r="6690">
      <c r="FC6690" t="inlineStr">
        <is>
          <t>Diccionario 6</t>
        </is>
      </c>
      <c r="FD6690" s="26" t="inlineStr">
        <is>
          <t>SR-B3049</t>
        </is>
      </c>
      <c r="FL6690" s="26" t="inlineStr">
        <is>
          <t>B</t>
        </is>
      </c>
      <c r="FP6690" s="26" t="inlineStr">
        <is>
          <t>B</t>
        </is>
      </c>
    </row>
    <row r="6691">
      <c r="FC6691" t="inlineStr">
        <is>
          <t>Diccionario 6</t>
        </is>
      </c>
      <c r="FD6691" s="26" t="inlineStr">
        <is>
          <t>SR-B3030</t>
        </is>
      </c>
      <c r="FL6691" s="26" t="inlineStr">
        <is>
          <t>B</t>
        </is>
      </c>
      <c r="FP6691" s="26" t="inlineStr">
        <is>
          <t>B</t>
        </is>
      </c>
    </row>
    <row r="6692">
      <c r="FC6692" t="inlineStr">
        <is>
          <t>Diccionario 6</t>
        </is>
      </c>
      <c r="FD6692" s="26" t="inlineStr">
        <is>
          <t>RC-B3003</t>
        </is>
      </c>
      <c r="FL6692" s="26" t="inlineStr">
        <is>
          <t>B</t>
        </is>
      </c>
      <c r="FP6692" s="26" t="inlineStr">
        <is>
          <t>B</t>
        </is>
      </c>
    </row>
    <row r="6693">
      <c r="FC6693" t="inlineStr">
        <is>
          <t>Diccionario 6</t>
        </is>
      </c>
      <c r="FD6693" s="26" t="inlineStr">
        <is>
          <t>RC-B3074</t>
        </is>
      </c>
      <c r="FL6693" s="26" t="inlineStr">
        <is>
          <t>B</t>
        </is>
      </c>
      <c r="FP6693" s="26" t="inlineStr">
        <is>
          <t>B</t>
        </is>
      </c>
    </row>
    <row r="6694">
      <c r="FC6694" t="inlineStr">
        <is>
          <t>Diccionario 6</t>
        </is>
      </c>
      <c r="FD6694" s="26" t="inlineStr">
        <is>
          <t>SR-B3013</t>
        </is>
      </c>
      <c r="FL6694" s="26" t="inlineStr">
        <is>
          <t>B</t>
        </is>
      </c>
      <c r="FP6694" s="26" t="inlineStr">
        <is>
          <t>B</t>
        </is>
      </c>
    </row>
    <row r="6695">
      <c r="FC6695" t="inlineStr">
        <is>
          <t>Diccionario 6</t>
        </is>
      </c>
      <c r="FD6695" s="26" t="inlineStr">
        <is>
          <t>SR-B3020</t>
        </is>
      </c>
      <c r="FL6695" s="26" t="inlineStr">
        <is>
          <t>B</t>
        </is>
      </c>
      <c r="FP6695" s="26" t="inlineStr">
        <is>
          <t>B</t>
        </is>
      </c>
    </row>
    <row r="6696">
      <c r="FC6696" t="inlineStr">
        <is>
          <t>Diccionario 6</t>
        </is>
      </c>
      <c r="FD6696" s="26" t="inlineStr">
        <is>
          <t>SR-B3063</t>
        </is>
      </c>
      <c r="FL6696" s="26" t="inlineStr">
        <is>
          <t>B</t>
        </is>
      </c>
      <c r="FP6696" s="26" t="inlineStr">
        <is>
          <t>B</t>
        </is>
      </c>
    </row>
    <row r="6697">
      <c r="FC6697" t="inlineStr">
        <is>
          <t>Diccionario 6</t>
        </is>
      </c>
      <c r="FD6697" s="26" t="inlineStr">
        <is>
          <t>SR-B1644</t>
        </is>
      </c>
      <c r="FL6697" s="26" t="inlineStr">
        <is>
          <t>B</t>
        </is>
      </c>
      <c r="FP6697" s="26" t="inlineStr">
        <is>
          <t>B</t>
        </is>
      </c>
    </row>
    <row r="6698">
      <c r="FC6698" t="inlineStr">
        <is>
          <t>Diccionario 6</t>
        </is>
      </c>
      <c r="FD6698" s="26" t="inlineStr">
        <is>
          <t>SR-B1645</t>
        </is>
      </c>
      <c r="FL6698" s="26" t="inlineStr">
        <is>
          <t>B</t>
        </is>
      </c>
      <c r="FP6698" s="26" t="inlineStr">
        <is>
          <t>B</t>
        </is>
      </c>
    </row>
    <row r="6699">
      <c r="FC6699" t="inlineStr">
        <is>
          <t>Diccionario 6</t>
        </is>
      </c>
      <c r="FD6699" s="26" t="inlineStr">
        <is>
          <t>SR-B3014</t>
        </is>
      </c>
      <c r="FL6699" s="26" t="inlineStr">
        <is>
          <t>B</t>
        </is>
      </c>
      <c r="FP6699" s="26" t="inlineStr">
        <is>
          <t>B</t>
        </is>
      </c>
    </row>
    <row r="6700">
      <c r="FC6700" t="inlineStr">
        <is>
          <t>Diccionario 6</t>
        </is>
      </c>
      <c r="FD6700" s="26" t="inlineStr">
        <is>
          <t>RC-B3040</t>
        </is>
      </c>
      <c r="FL6700" s="26" t="inlineStr">
        <is>
          <t>B</t>
        </is>
      </c>
      <c r="FP6700" s="26" t="inlineStr">
        <is>
          <t>B</t>
        </is>
      </c>
    </row>
    <row r="6701">
      <c r="FC6701" t="inlineStr">
        <is>
          <t>Diccionario 6</t>
        </is>
      </c>
      <c r="FD6701" s="26" t="inlineStr">
        <is>
          <t>RC-B3071</t>
        </is>
      </c>
      <c r="FL6701" s="26" t="inlineStr">
        <is>
          <t>B</t>
        </is>
      </c>
      <c r="FP6701" s="26" t="inlineStr">
        <is>
          <t>B</t>
        </is>
      </c>
    </row>
    <row r="6702">
      <c r="FC6702" t="inlineStr">
        <is>
          <t>Diccionario 6</t>
        </is>
      </c>
      <c r="FD6702" s="26" t="inlineStr">
        <is>
          <t>RC-B3004</t>
        </is>
      </c>
      <c r="FL6702" s="26" t="inlineStr">
        <is>
          <t>B</t>
        </is>
      </c>
      <c r="FP6702" s="26" t="inlineStr">
        <is>
          <t>B</t>
        </is>
      </c>
    </row>
    <row r="6703">
      <c r="FC6703" t="inlineStr">
        <is>
          <t>Diccionario 6</t>
        </is>
      </c>
      <c r="FD6703" s="26" t="inlineStr">
        <is>
          <t>SR-B3069</t>
        </is>
      </c>
      <c r="FL6703" s="26" t="inlineStr">
        <is>
          <t>B</t>
        </is>
      </c>
      <c r="FP6703" s="26" t="inlineStr">
        <is>
          <t>B</t>
        </is>
      </c>
    </row>
    <row r="6704">
      <c r="FC6704" t="inlineStr">
        <is>
          <t>Diccionario 6</t>
        </is>
      </c>
      <c r="FD6704" s="26" t="inlineStr">
        <is>
          <t>RC-B3031</t>
        </is>
      </c>
      <c r="FL6704" s="26" t="inlineStr">
        <is>
          <t>B</t>
        </is>
      </c>
      <c r="FP6704" s="26" t="inlineStr">
        <is>
          <t>B</t>
        </is>
      </c>
    </row>
    <row r="6705">
      <c r="FC6705" t="inlineStr">
        <is>
          <t>Diccionario 6</t>
        </is>
      </c>
      <c r="FD6705" s="26" t="inlineStr">
        <is>
          <t>SR-B3032</t>
        </is>
      </c>
      <c r="FL6705" s="26" t="inlineStr">
        <is>
          <t>B</t>
        </is>
      </c>
      <c r="FP6705" s="26" t="inlineStr">
        <is>
          <t>B</t>
        </is>
      </c>
    </row>
    <row r="6706">
      <c r="FC6706" t="inlineStr">
        <is>
          <t>Diccionario 6</t>
        </is>
      </c>
      <c r="FD6706" s="26" t="inlineStr">
        <is>
          <t>SR-B3021</t>
        </is>
      </c>
      <c r="FL6706" s="26" t="inlineStr">
        <is>
          <t>B</t>
        </is>
      </c>
      <c r="FP6706" s="26" t="inlineStr">
        <is>
          <t>B</t>
        </is>
      </c>
    </row>
    <row r="6707">
      <c r="FC6707" t="inlineStr">
        <is>
          <t>Diccionario 6</t>
        </is>
      </c>
      <c r="FD6707" s="26" t="inlineStr">
        <is>
          <t>RC-B3099</t>
        </is>
      </c>
      <c r="FL6707" s="26" t="inlineStr">
        <is>
          <t>B</t>
        </is>
      </c>
      <c r="FP6707" s="26" t="inlineStr">
        <is>
          <t>B</t>
        </is>
      </c>
    </row>
    <row r="6708">
      <c r="FC6708" t="inlineStr">
        <is>
          <t>Diccionario 6</t>
        </is>
      </c>
      <c r="FD6708" s="26" t="inlineStr">
        <is>
          <t>SR-B3070</t>
        </is>
      </c>
      <c r="FL6708" s="26" t="inlineStr">
        <is>
          <t>B</t>
        </is>
      </c>
      <c r="FP6708" s="26" t="inlineStr">
        <is>
          <t>B</t>
        </is>
      </c>
    </row>
    <row r="6709">
      <c r="FC6709" t="inlineStr">
        <is>
          <t>Diccionario 6</t>
        </is>
      </c>
      <c r="FD6709" s="26" t="inlineStr">
        <is>
          <t>RC-B3005</t>
        </is>
      </c>
      <c r="FL6709" s="26" t="inlineStr">
        <is>
          <t>B</t>
        </is>
      </c>
      <c r="FP6709" s="26" t="inlineStr">
        <is>
          <t>B</t>
        </is>
      </c>
    </row>
    <row r="6710">
      <c r="FC6710" t="inlineStr">
        <is>
          <t>Diccionario 6</t>
        </is>
      </c>
      <c r="FD6710" s="26" t="inlineStr">
        <is>
          <t>SR-B3094</t>
        </is>
      </c>
      <c r="FL6710" s="26" t="inlineStr">
        <is>
          <t>B</t>
        </is>
      </c>
      <c r="FP6710" s="26" t="inlineStr">
        <is>
          <t>B</t>
        </is>
      </c>
    </row>
    <row r="6711">
      <c r="FC6711" t="inlineStr">
        <is>
          <t>Diccionario 6</t>
        </is>
      </c>
      <c r="FD6711" s="26" t="inlineStr">
        <is>
          <t>RC-B1658</t>
        </is>
      </c>
      <c r="FL6711" s="26" t="inlineStr">
        <is>
          <t>B</t>
        </is>
      </c>
      <c r="FP6711" s="26" t="inlineStr">
        <is>
          <t>B</t>
        </is>
      </c>
    </row>
    <row r="6712">
      <c r="FC6712" t="inlineStr">
        <is>
          <t>Diccionario 6</t>
        </is>
      </c>
      <c r="FD6712" s="26" t="inlineStr">
        <is>
          <t>SR-B1659</t>
        </is>
      </c>
      <c r="FL6712" s="26" t="inlineStr">
        <is>
          <t>B</t>
        </is>
      </c>
      <c r="FP6712" s="26" t="inlineStr">
        <is>
          <t>B</t>
        </is>
      </c>
    </row>
    <row r="6713">
      <c r="FC6713" t="inlineStr">
        <is>
          <t>Diccionario 6</t>
        </is>
      </c>
      <c r="FD6713" s="26" t="inlineStr">
        <is>
          <t>RC-B3085</t>
        </is>
      </c>
      <c r="FL6713" s="26" t="inlineStr">
        <is>
          <t>B</t>
        </is>
      </c>
      <c r="FP6713" s="26" t="inlineStr">
        <is>
          <t>B</t>
        </is>
      </c>
    </row>
    <row r="6714">
      <c r="FC6714" t="inlineStr">
        <is>
          <t>Diccionario 6</t>
        </is>
      </c>
      <c r="FD6714" s="26" t="inlineStr">
        <is>
          <t>RC-B3091</t>
        </is>
      </c>
      <c r="FL6714" s="26" t="inlineStr">
        <is>
          <t>B</t>
        </is>
      </c>
      <c r="FP6714" s="26" t="inlineStr">
        <is>
          <t>B</t>
        </is>
      </c>
    </row>
    <row r="6715">
      <c r="FC6715" t="inlineStr">
        <is>
          <t>Diccionario 6</t>
        </is>
      </c>
      <c r="FD6715" s="26" t="inlineStr">
        <is>
          <t>RC-B1662</t>
        </is>
      </c>
      <c r="FL6715" s="26" t="inlineStr">
        <is>
          <t>B</t>
        </is>
      </c>
      <c r="FP6715" s="26" t="inlineStr">
        <is>
          <t>B</t>
        </is>
      </c>
    </row>
    <row r="6716">
      <c r="FC6716" t="inlineStr">
        <is>
          <t>Diccionario 6</t>
        </is>
      </c>
      <c r="FD6716" s="26" t="inlineStr">
        <is>
          <t>RC-B3104</t>
        </is>
      </c>
      <c r="FL6716" s="26" t="inlineStr">
        <is>
          <t>B</t>
        </is>
      </c>
      <c r="FP6716" s="26" t="inlineStr">
        <is>
          <t>B</t>
        </is>
      </c>
    </row>
    <row r="6717">
      <c r="FC6717" t="inlineStr">
        <is>
          <t>Diccionario 6</t>
        </is>
      </c>
      <c r="FD6717" s="26" t="inlineStr">
        <is>
          <t>RC-B3076</t>
        </is>
      </c>
      <c r="FL6717" s="26" t="inlineStr">
        <is>
          <t>B</t>
        </is>
      </c>
      <c r="FP6717" s="26" t="inlineStr">
        <is>
          <t>B</t>
        </is>
      </c>
    </row>
    <row r="6718">
      <c r="FC6718" t="inlineStr">
        <is>
          <t>Diccionario 6</t>
        </is>
      </c>
      <c r="FD6718" s="26" t="inlineStr">
        <is>
          <t>RC-B3105</t>
        </is>
      </c>
      <c r="FL6718" s="26" t="inlineStr">
        <is>
          <t>B</t>
        </is>
      </c>
      <c r="FP6718" s="26" t="inlineStr">
        <is>
          <t>B</t>
        </is>
      </c>
    </row>
    <row r="6719">
      <c r="FC6719" t="inlineStr">
        <is>
          <t>Diccionario 6</t>
        </is>
      </c>
      <c r="FD6719" s="26" t="inlineStr">
        <is>
          <t>RC-B3077</t>
        </is>
      </c>
      <c r="FL6719" s="26" t="inlineStr">
        <is>
          <t>B</t>
        </is>
      </c>
      <c r="FP6719" s="26" t="inlineStr">
        <is>
          <t>B</t>
        </is>
      </c>
    </row>
    <row r="6720">
      <c r="FC6720" t="inlineStr">
        <is>
          <t>Diccionario 6</t>
        </is>
      </c>
      <c r="FD6720" s="26" t="inlineStr">
        <is>
          <t>RC-B3082</t>
        </is>
      </c>
      <c r="FL6720" s="26" t="inlineStr">
        <is>
          <t>B</t>
        </is>
      </c>
      <c r="FP6720" s="26" t="inlineStr">
        <is>
          <t>B</t>
        </is>
      </c>
    </row>
    <row r="6721">
      <c r="FC6721" t="inlineStr">
        <is>
          <t>Diccionario 6</t>
        </is>
      </c>
      <c r="FD6721" s="26" t="inlineStr">
        <is>
          <t>SR-B3095</t>
        </is>
      </c>
      <c r="FL6721" s="26" t="inlineStr">
        <is>
          <t>B</t>
        </is>
      </c>
      <c r="FP6721" s="26" t="inlineStr">
        <is>
          <t>B</t>
        </is>
      </c>
    </row>
    <row r="6722">
      <c r="FC6722" t="inlineStr">
        <is>
          <t>Diccionario 6</t>
        </is>
      </c>
      <c r="FD6722" s="26" t="inlineStr">
        <is>
          <t>RC-B3102</t>
        </is>
      </c>
      <c r="FL6722" s="26" t="inlineStr">
        <is>
          <t>B</t>
        </is>
      </c>
      <c r="FP6722" s="26" t="inlineStr">
        <is>
          <t>B</t>
        </is>
      </c>
    </row>
    <row r="6723">
      <c r="FC6723" t="inlineStr">
        <is>
          <t>Diccionario 6</t>
        </is>
      </c>
      <c r="FD6723" s="26" t="inlineStr">
        <is>
          <t>RC-B3064</t>
        </is>
      </c>
      <c r="FL6723" s="26" t="inlineStr">
        <is>
          <t>B</t>
        </is>
      </c>
      <c r="FP6723" s="26" t="inlineStr">
        <is>
          <t>B</t>
        </is>
      </c>
    </row>
    <row r="6724">
      <c r="FC6724" t="inlineStr">
        <is>
          <t>Diccionario 6</t>
        </is>
      </c>
      <c r="FD6724" s="26" t="inlineStr">
        <is>
          <t>RC-B3079</t>
        </is>
      </c>
      <c r="FL6724" s="26" t="inlineStr">
        <is>
          <t>B</t>
        </is>
      </c>
      <c r="FP6724" s="26" t="inlineStr">
        <is>
          <t>B</t>
        </is>
      </c>
    </row>
    <row r="6725">
      <c r="FC6725" t="inlineStr">
        <is>
          <t>Diccionario 6</t>
        </is>
      </c>
      <c r="FD6725" s="26" t="inlineStr">
        <is>
          <t>SR-B1672</t>
        </is>
      </c>
      <c r="FL6725" s="26" t="inlineStr">
        <is>
          <t>B</t>
        </is>
      </c>
      <c r="FP6725" s="26" t="inlineStr">
        <is>
          <t>B</t>
        </is>
      </c>
    </row>
    <row r="6726">
      <c r="FC6726" t="inlineStr">
        <is>
          <t>Diccionario 6</t>
        </is>
      </c>
      <c r="FD6726" s="26" t="inlineStr">
        <is>
          <t>RC-B3075</t>
        </is>
      </c>
      <c r="FL6726" s="26" t="inlineStr">
        <is>
          <t>B</t>
        </is>
      </c>
      <c r="FP6726" s="26" t="inlineStr">
        <is>
          <t>B</t>
        </is>
      </c>
    </row>
    <row r="6727">
      <c r="FC6727" t="inlineStr">
        <is>
          <t>Diccionario 6</t>
        </is>
      </c>
      <c r="FD6727" s="26" t="inlineStr">
        <is>
          <t>RC-B3080</t>
        </is>
      </c>
      <c r="FL6727" s="26" t="inlineStr">
        <is>
          <t>B</t>
        </is>
      </c>
      <c r="FP6727" s="26" t="inlineStr">
        <is>
          <t>B</t>
        </is>
      </c>
    </row>
    <row r="6728">
      <c r="FC6728" t="inlineStr">
        <is>
          <t>Diccionario 6</t>
        </is>
      </c>
      <c r="FD6728" s="26" t="inlineStr">
        <is>
          <t>RC-B1675</t>
        </is>
      </c>
      <c r="FL6728" s="26" t="inlineStr">
        <is>
          <t>B</t>
        </is>
      </c>
      <c r="FP6728" s="26" t="inlineStr">
        <is>
          <t>B</t>
        </is>
      </c>
    </row>
    <row r="6729">
      <c r="FC6729" t="inlineStr">
        <is>
          <t>Diccionario 6</t>
        </is>
      </c>
      <c r="FD6729" s="26" t="inlineStr">
        <is>
          <t>SR-B3092</t>
        </is>
      </c>
      <c r="FL6729" s="26" t="inlineStr">
        <is>
          <t>B</t>
        </is>
      </c>
      <c r="FP6729" s="26" t="inlineStr">
        <is>
          <t>B</t>
        </is>
      </c>
    </row>
    <row r="6730">
      <c r="FC6730" t="inlineStr">
        <is>
          <t>Diccionario 6</t>
        </is>
      </c>
      <c r="FD6730" s="26" t="inlineStr">
        <is>
          <t>SR-B3106</t>
        </is>
      </c>
      <c r="FL6730" s="26" t="inlineStr">
        <is>
          <t>B</t>
        </is>
      </c>
      <c r="FP6730" s="26" t="inlineStr">
        <is>
          <t>B</t>
        </is>
      </c>
    </row>
    <row r="6731">
      <c r="FC6731" t="inlineStr">
        <is>
          <t>Diccionario 6</t>
        </is>
      </c>
      <c r="FD6731" s="26" t="inlineStr">
        <is>
          <t>RC-B3078</t>
        </is>
      </c>
      <c r="FL6731" s="26" t="inlineStr">
        <is>
          <t>B</t>
        </is>
      </c>
      <c r="FP6731" s="26" t="inlineStr">
        <is>
          <t>B</t>
        </is>
      </c>
    </row>
    <row r="6732">
      <c r="FC6732" t="inlineStr">
        <is>
          <t>Diccionario 6</t>
        </is>
      </c>
      <c r="FD6732" s="26" t="inlineStr">
        <is>
          <t>SR-B3083</t>
        </is>
      </c>
      <c r="FL6732" s="26" t="inlineStr">
        <is>
          <t>B</t>
        </is>
      </c>
      <c r="FP6732" s="26" t="inlineStr">
        <is>
          <t>B</t>
        </is>
      </c>
    </row>
    <row r="6733">
      <c r="FC6733" t="inlineStr">
        <is>
          <t>Diccionario 6</t>
        </is>
      </c>
      <c r="FD6733" s="26" t="inlineStr">
        <is>
          <t>RC-B3089</t>
        </is>
      </c>
      <c r="FL6733" s="26" t="inlineStr">
        <is>
          <t>B</t>
        </is>
      </c>
      <c r="FP6733" s="26" t="inlineStr">
        <is>
          <t>B</t>
        </is>
      </c>
    </row>
    <row r="6734">
      <c r="FC6734" t="inlineStr">
        <is>
          <t>Diccionario 6</t>
        </is>
      </c>
      <c r="FD6734" s="26" t="inlineStr">
        <is>
          <t>SR-B3096</t>
        </is>
      </c>
      <c r="FL6734" s="26" t="inlineStr">
        <is>
          <t>B</t>
        </is>
      </c>
      <c r="FP6734" s="26" t="inlineStr">
        <is>
          <t>B</t>
        </is>
      </c>
    </row>
    <row r="6735">
      <c r="FC6735" t="inlineStr">
        <is>
          <t>Diccionario 6</t>
        </is>
      </c>
      <c r="FD6735" s="26" t="inlineStr">
        <is>
          <t>SR-B1682</t>
        </is>
      </c>
      <c r="FL6735" s="26" t="inlineStr">
        <is>
          <t>B</t>
        </is>
      </c>
      <c r="FP6735" s="26" t="inlineStr">
        <is>
          <t>B</t>
        </is>
      </c>
    </row>
    <row r="6736">
      <c r="FC6736" t="inlineStr">
        <is>
          <t>Diccionario 6</t>
        </is>
      </c>
      <c r="FD6736" s="26" t="inlineStr">
        <is>
          <t>SR-B1683</t>
        </is>
      </c>
      <c r="FL6736" s="26" t="inlineStr">
        <is>
          <t>B</t>
        </is>
      </c>
      <c r="FP6736" s="26" t="inlineStr">
        <is>
          <t>B</t>
        </is>
      </c>
    </row>
    <row r="6737">
      <c r="FC6737" t="inlineStr">
        <is>
          <t>Diccionario 6</t>
        </is>
      </c>
      <c r="FD6737" s="26" t="inlineStr">
        <is>
          <t>SR-B3097</t>
        </is>
      </c>
      <c r="FL6737" s="26" t="inlineStr">
        <is>
          <t>B</t>
        </is>
      </c>
      <c r="FP6737" s="26" t="inlineStr">
        <is>
          <t>B</t>
        </is>
      </c>
    </row>
    <row r="6738">
      <c r="FC6738" t="inlineStr">
        <is>
          <t>Diccionario 6</t>
        </is>
      </c>
      <c r="FD6738" s="26" t="inlineStr">
        <is>
          <t>SR-B3103</t>
        </is>
      </c>
      <c r="FL6738" s="26" t="inlineStr">
        <is>
          <t>B</t>
        </is>
      </c>
      <c r="FP6738" s="26" t="inlineStr">
        <is>
          <t>B</t>
        </is>
      </c>
    </row>
    <row r="6739">
      <c r="FC6739" t="inlineStr">
        <is>
          <t>Diccionario 6</t>
        </is>
      </c>
      <c r="FD6739" s="26" t="inlineStr">
        <is>
          <t>RC-B1686</t>
        </is>
      </c>
      <c r="FL6739" s="26" t="inlineStr">
        <is>
          <t>B</t>
        </is>
      </c>
      <c r="FP6739" s="26" t="inlineStr">
        <is>
          <t>B</t>
        </is>
      </c>
    </row>
    <row r="6740">
      <c r="FC6740" t="inlineStr">
        <is>
          <t>Diccionario 6</t>
        </is>
      </c>
      <c r="FD6740" s="26" t="inlineStr">
        <is>
          <t>RC-B3088</t>
        </is>
      </c>
      <c r="FL6740" s="26" t="inlineStr">
        <is>
          <t>B</t>
        </is>
      </c>
      <c r="FP6740" s="26" t="inlineStr">
        <is>
          <t>B</t>
        </is>
      </c>
    </row>
    <row r="6741">
      <c r="FC6741" t="inlineStr">
        <is>
          <t>Diccionario 6</t>
        </is>
      </c>
      <c r="FD6741" s="26" t="inlineStr">
        <is>
          <t>RC-B3093</t>
        </is>
      </c>
      <c r="FL6741" s="26" t="inlineStr">
        <is>
          <t>B</t>
        </is>
      </c>
      <c r="FP6741" s="26" t="inlineStr">
        <is>
          <t>B</t>
        </is>
      </c>
    </row>
    <row r="6742">
      <c r="FC6742" t="inlineStr">
        <is>
          <t>Diccionario 6</t>
        </is>
      </c>
      <c r="FD6742" s="26" t="inlineStr">
        <is>
          <t>RC-B3100</t>
        </is>
      </c>
      <c r="FL6742" s="26" t="inlineStr">
        <is>
          <t>B</t>
        </is>
      </c>
      <c r="FP6742" s="26" t="inlineStr">
        <is>
          <t>B</t>
        </is>
      </c>
    </row>
    <row r="6743">
      <c r="FC6743" t="inlineStr">
        <is>
          <t>Diccionario 6</t>
        </is>
      </c>
      <c r="FD6743" s="26" t="inlineStr">
        <is>
          <t>SR-B3107</t>
        </is>
      </c>
      <c r="FL6743" s="26" t="inlineStr">
        <is>
          <t>B</t>
        </is>
      </c>
      <c r="FP6743" s="26" t="inlineStr">
        <is>
          <t>B</t>
        </is>
      </c>
    </row>
    <row r="6744">
      <c r="FC6744" t="inlineStr">
        <is>
          <t>Diccionario 6</t>
        </is>
      </c>
      <c r="FD6744" s="26" t="inlineStr">
        <is>
          <t>SR-C9925</t>
        </is>
      </c>
      <c r="FL6744" s="26" t="inlineStr">
        <is>
          <t>C</t>
        </is>
      </c>
      <c r="FP6744" s="26" t="inlineStr">
        <is>
          <t>C</t>
        </is>
      </c>
    </row>
    <row r="6745">
      <c r="FC6745" t="inlineStr">
        <is>
          <t>Diccionario 6</t>
        </is>
      </c>
      <c r="FD6745" s="26" t="inlineStr">
        <is>
          <t>SR-C9929</t>
        </is>
      </c>
      <c r="FL6745" s="26" t="inlineStr">
        <is>
          <t>C</t>
        </is>
      </c>
      <c r="FP6745" s="26" t="inlineStr">
        <is>
          <t>C</t>
        </is>
      </c>
    </row>
    <row r="6746">
      <c r="FC6746" t="inlineStr">
        <is>
          <t>Diccionario 6</t>
        </is>
      </c>
      <c r="FD6746" s="26" t="inlineStr">
        <is>
          <t>SR-C9930</t>
        </is>
      </c>
      <c r="FL6746" s="26" t="inlineStr">
        <is>
          <t>C</t>
        </is>
      </c>
      <c r="FP6746" s="26" t="inlineStr">
        <is>
          <t>C</t>
        </is>
      </c>
    </row>
    <row r="6747">
      <c r="FC6747" t="inlineStr">
        <is>
          <t>Diccionario 6</t>
        </is>
      </c>
      <c r="FD6747" s="26" t="inlineStr">
        <is>
          <t>SR-C9951</t>
        </is>
      </c>
      <c r="FL6747" s="26" t="inlineStr">
        <is>
          <t>C</t>
        </is>
      </c>
      <c r="FP6747" s="26" t="inlineStr">
        <is>
          <t>C</t>
        </is>
      </c>
    </row>
    <row r="6748">
      <c r="FC6748" t="inlineStr">
        <is>
          <t>Diccionario 6</t>
        </is>
      </c>
      <c r="FD6748" s="26" t="inlineStr">
        <is>
          <t>CER-A1695</t>
        </is>
      </c>
      <c r="FL6748" s="26" t="inlineStr">
        <is>
          <t>A</t>
        </is>
      </c>
      <c r="FP6748" s="26" t="inlineStr">
        <is>
          <t>A</t>
        </is>
      </c>
    </row>
    <row r="6749">
      <c r="FC6749" t="inlineStr">
        <is>
          <t>Diccionario 6</t>
        </is>
      </c>
      <c r="FD6749" s="26" t="inlineStr">
        <is>
          <t>CER-A1696</t>
        </is>
      </c>
      <c r="FL6749" s="26" t="inlineStr">
        <is>
          <t>A</t>
        </is>
      </c>
      <c r="FP6749" s="26" t="inlineStr">
        <is>
          <t>A</t>
        </is>
      </c>
    </row>
    <row r="6750">
      <c r="FC6750" t="inlineStr">
        <is>
          <t>Diccionario 6</t>
        </is>
      </c>
      <c r="FD6750" s="26" t="inlineStr">
        <is>
          <t>CER-A1697</t>
        </is>
      </c>
      <c r="FL6750" s="26" t="inlineStr">
        <is>
          <t>A</t>
        </is>
      </c>
      <c r="FP6750" s="26" t="inlineStr">
        <is>
          <t>A</t>
        </is>
      </c>
    </row>
    <row r="6751">
      <c r="FC6751" t="inlineStr">
        <is>
          <t>Diccionario 6</t>
        </is>
      </c>
      <c r="FD6751" s="26" t="inlineStr">
        <is>
          <t>CER-A1698</t>
        </is>
      </c>
      <c r="FL6751" s="26" t="inlineStr">
        <is>
          <t>A</t>
        </is>
      </c>
      <c r="FP6751" s="26" t="inlineStr">
        <is>
          <t>A</t>
        </is>
      </c>
    </row>
    <row r="6752">
      <c r="FC6752" t="inlineStr">
        <is>
          <t>Diccionario 6</t>
        </is>
      </c>
      <c r="FD6752" s="26" t="inlineStr">
        <is>
          <t>CER-A1699</t>
        </is>
      </c>
      <c r="FL6752" s="26" t="inlineStr">
        <is>
          <t>A</t>
        </is>
      </c>
      <c r="FP6752" s="26" t="inlineStr">
        <is>
          <t>A</t>
        </is>
      </c>
    </row>
    <row r="6753">
      <c r="FC6753" t="inlineStr">
        <is>
          <t>Diccionario 6</t>
        </is>
      </c>
      <c r="FD6753" s="26" t="inlineStr">
        <is>
          <t>CER-A1700</t>
        </is>
      </c>
      <c r="FL6753" s="26" t="inlineStr">
        <is>
          <t>A</t>
        </is>
      </c>
      <c r="FP6753" s="26" t="inlineStr">
        <is>
          <t>A</t>
        </is>
      </c>
    </row>
    <row r="6754">
      <c r="FC6754" t="inlineStr">
        <is>
          <t>Diccionario 6</t>
        </is>
      </c>
      <c r="FD6754" s="26" t="inlineStr">
        <is>
          <t>CER-A1701</t>
        </is>
      </c>
      <c r="FL6754" s="26" t="inlineStr">
        <is>
          <t>A</t>
        </is>
      </c>
      <c r="FP6754" s="26" t="inlineStr">
        <is>
          <t>A</t>
        </is>
      </c>
    </row>
    <row r="6755">
      <c r="FC6755" t="inlineStr">
        <is>
          <t>Diccionario 6</t>
        </is>
      </c>
      <c r="FD6755" s="26" t="inlineStr">
        <is>
          <t>CER-A1702</t>
        </is>
      </c>
      <c r="FL6755" s="26" t="inlineStr">
        <is>
          <t>A</t>
        </is>
      </c>
      <c r="FP6755" s="26" t="inlineStr">
        <is>
          <t>A</t>
        </is>
      </c>
    </row>
    <row r="6756">
      <c r="FC6756" t="inlineStr">
        <is>
          <t>Diccionario 6</t>
        </is>
      </c>
      <c r="FD6756" s="26" t="inlineStr">
        <is>
          <t>CER-A1703</t>
        </is>
      </c>
      <c r="FL6756" s="26" t="inlineStr">
        <is>
          <t>A</t>
        </is>
      </c>
      <c r="FP6756" s="26" t="inlineStr">
        <is>
          <t>A</t>
        </is>
      </c>
    </row>
    <row r="6757">
      <c r="FC6757" t="inlineStr">
        <is>
          <t>Diccionario 6</t>
        </is>
      </c>
      <c r="FD6757" s="26" t="inlineStr">
        <is>
          <t>CER-A1704</t>
        </is>
      </c>
      <c r="FL6757" s="26" t="inlineStr">
        <is>
          <t>A</t>
        </is>
      </c>
      <c r="FP6757" s="26" t="inlineStr">
        <is>
          <t>A</t>
        </is>
      </c>
    </row>
    <row r="6758">
      <c r="FC6758" t="inlineStr">
        <is>
          <t>Diccionario 6</t>
        </is>
      </c>
      <c r="FD6758" s="26" t="inlineStr">
        <is>
          <t>CER-A1705</t>
        </is>
      </c>
      <c r="FL6758" s="26" t="inlineStr">
        <is>
          <t>A</t>
        </is>
      </c>
      <c r="FP6758" s="26" t="inlineStr">
        <is>
          <t>A</t>
        </is>
      </c>
    </row>
    <row r="6759">
      <c r="FC6759" t="inlineStr">
        <is>
          <t>Diccionario 6</t>
        </is>
      </c>
      <c r="FD6759" s="26" t="inlineStr">
        <is>
          <t>CER-A1706</t>
        </is>
      </c>
      <c r="FL6759" s="26" t="inlineStr">
        <is>
          <t>A</t>
        </is>
      </c>
      <c r="FP6759" s="26" t="inlineStr">
        <is>
          <t>A</t>
        </is>
      </c>
    </row>
    <row r="6760">
      <c r="FC6760" t="inlineStr">
        <is>
          <t>Diccionario 6</t>
        </is>
      </c>
      <c r="FD6760" s="26" t="inlineStr">
        <is>
          <t>CER-A1707</t>
        </is>
      </c>
      <c r="FL6760" s="26" t="inlineStr">
        <is>
          <t>A</t>
        </is>
      </c>
      <c r="FP6760" s="26" t="inlineStr">
        <is>
          <t>A</t>
        </is>
      </c>
    </row>
    <row r="6761">
      <c r="FC6761" t="inlineStr">
        <is>
          <t>Diccionario 6</t>
        </is>
      </c>
      <c r="FD6761" s="26" t="inlineStr">
        <is>
          <t>CER-A1708</t>
        </is>
      </c>
      <c r="FL6761" s="26" t="inlineStr">
        <is>
          <t>A</t>
        </is>
      </c>
      <c r="FP6761" s="26" t="inlineStr">
        <is>
          <t>A</t>
        </is>
      </c>
    </row>
    <row r="6762">
      <c r="FC6762" t="inlineStr">
        <is>
          <t>Diccionario 6</t>
        </is>
      </c>
      <c r="FD6762" s="26" t="inlineStr">
        <is>
          <t>CER-A1709</t>
        </is>
      </c>
      <c r="FL6762" s="26" t="inlineStr">
        <is>
          <t>A</t>
        </is>
      </c>
      <c r="FP6762" s="26" t="inlineStr">
        <is>
          <t>A</t>
        </is>
      </c>
    </row>
    <row r="6763">
      <c r="FC6763" t="inlineStr">
        <is>
          <t>Diccionario 6</t>
        </is>
      </c>
      <c r="FD6763" s="26" t="inlineStr">
        <is>
          <t>CER-A1710</t>
        </is>
      </c>
      <c r="FL6763" s="26" t="inlineStr">
        <is>
          <t>A</t>
        </is>
      </c>
      <c r="FP6763" s="26" t="inlineStr">
        <is>
          <t>A</t>
        </is>
      </c>
    </row>
    <row r="6764">
      <c r="FC6764" t="inlineStr">
        <is>
          <t>Diccionario 6</t>
        </is>
      </c>
      <c r="FD6764" s="26" t="inlineStr">
        <is>
          <t>CER-A1711</t>
        </is>
      </c>
      <c r="FL6764" s="26" t="inlineStr">
        <is>
          <t>A</t>
        </is>
      </c>
      <c r="FP6764" s="26" t="inlineStr">
        <is>
          <t>A</t>
        </is>
      </c>
    </row>
    <row r="6765">
      <c r="FC6765" t="inlineStr">
        <is>
          <t>Diccionario 6</t>
        </is>
      </c>
      <c r="FD6765" s="26" t="inlineStr">
        <is>
          <t>CER-A1712</t>
        </is>
      </c>
      <c r="FL6765" s="26" t="inlineStr">
        <is>
          <t>A</t>
        </is>
      </c>
      <c r="FP6765" s="26" t="inlineStr">
        <is>
          <t>A</t>
        </is>
      </c>
    </row>
    <row r="6766">
      <c r="FC6766" t="inlineStr">
        <is>
          <t>Diccionario 6</t>
        </is>
      </c>
      <c r="FD6766" s="26" t="inlineStr">
        <is>
          <t>CER-A1713</t>
        </is>
      </c>
      <c r="FL6766" s="26" t="inlineStr">
        <is>
          <t>A</t>
        </is>
      </c>
      <c r="FP6766" s="26" t="inlineStr">
        <is>
          <t>A</t>
        </is>
      </c>
    </row>
    <row r="6767">
      <c r="FC6767" t="inlineStr">
        <is>
          <t>Diccionario 6</t>
        </is>
      </c>
      <c r="FD6767" s="26" t="inlineStr">
        <is>
          <t>CER-A1714</t>
        </is>
      </c>
      <c r="FL6767" s="26" t="inlineStr">
        <is>
          <t>A</t>
        </is>
      </c>
      <c r="FP6767" s="26" t="inlineStr">
        <is>
          <t>A</t>
        </is>
      </c>
    </row>
    <row r="6768">
      <c r="FC6768" t="inlineStr">
        <is>
          <t>Diccionario 6</t>
        </is>
      </c>
      <c r="FD6768" s="26" t="inlineStr">
        <is>
          <t>CER-A1715</t>
        </is>
      </c>
      <c r="FL6768" s="26" t="inlineStr">
        <is>
          <t>A</t>
        </is>
      </c>
      <c r="FP6768" s="26" t="inlineStr">
        <is>
          <t>A</t>
        </is>
      </c>
    </row>
    <row r="6769">
      <c r="FC6769" t="inlineStr">
        <is>
          <t>Diccionario 6</t>
        </is>
      </c>
      <c r="FD6769" s="26" t="inlineStr">
        <is>
          <t>CER-A1716</t>
        </is>
      </c>
      <c r="FL6769" s="26" t="inlineStr">
        <is>
          <t>A</t>
        </is>
      </c>
      <c r="FP6769" s="26" t="inlineStr">
        <is>
          <t>A</t>
        </is>
      </c>
    </row>
    <row r="6770">
      <c r="FC6770" t="inlineStr">
        <is>
          <t>Diccionario 6</t>
        </is>
      </c>
      <c r="FD6770" s="26" t="inlineStr">
        <is>
          <t>CER-A1717</t>
        </is>
      </c>
      <c r="FL6770" s="26" t="inlineStr">
        <is>
          <t>A</t>
        </is>
      </c>
      <c r="FP6770" s="26" t="inlineStr">
        <is>
          <t>A</t>
        </is>
      </c>
    </row>
    <row r="6771">
      <c r="FC6771" t="inlineStr">
        <is>
          <t>Diccionario 6</t>
        </is>
      </c>
      <c r="FD6771" s="26" t="inlineStr">
        <is>
          <t>CER-A1718</t>
        </is>
      </c>
      <c r="FL6771" s="26" t="inlineStr">
        <is>
          <t>A</t>
        </is>
      </c>
      <c r="FP6771" s="26" t="inlineStr">
        <is>
          <t>A</t>
        </is>
      </c>
    </row>
    <row r="6772">
      <c r="FC6772" t="inlineStr">
        <is>
          <t>Diccionario 6</t>
        </is>
      </c>
      <c r="FD6772" s="26" t="inlineStr">
        <is>
          <t>CER-A1719</t>
        </is>
      </c>
      <c r="FL6772" s="26" t="inlineStr">
        <is>
          <t>A</t>
        </is>
      </c>
      <c r="FP6772" s="26" t="inlineStr">
        <is>
          <t>A</t>
        </is>
      </c>
    </row>
    <row r="6773">
      <c r="FC6773" t="inlineStr">
        <is>
          <t>Diccionario 6</t>
        </is>
      </c>
      <c r="FD6773" s="26" t="inlineStr">
        <is>
          <t>CER-A1720</t>
        </is>
      </c>
      <c r="FL6773" s="26" t="inlineStr">
        <is>
          <t>A</t>
        </is>
      </c>
      <c r="FP6773" s="26" t="inlineStr">
        <is>
          <t>A</t>
        </is>
      </c>
    </row>
    <row r="6774">
      <c r="FC6774" t="inlineStr">
        <is>
          <t>Diccionario 6</t>
        </is>
      </c>
      <c r="FD6774" s="26" t="inlineStr">
        <is>
          <t>CER-A1721</t>
        </is>
      </c>
      <c r="FL6774" s="26" t="inlineStr">
        <is>
          <t>A</t>
        </is>
      </c>
      <c r="FP6774" s="26" t="inlineStr">
        <is>
          <t>A</t>
        </is>
      </c>
    </row>
    <row r="6775">
      <c r="FC6775" t="inlineStr">
        <is>
          <t>Diccionario 6</t>
        </is>
      </c>
      <c r="FD6775" s="26" t="inlineStr">
        <is>
          <t>CER-A1722</t>
        </is>
      </c>
      <c r="FL6775" s="26" t="inlineStr">
        <is>
          <t>A</t>
        </is>
      </c>
      <c r="FP6775" s="26" t="inlineStr">
        <is>
          <t>A</t>
        </is>
      </c>
    </row>
    <row r="6776">
      <c r="FC6776" t="inlineStr">
        <is>
          <t>Diccionario 6</t>
        </is>
      </c>
      <c r="FD6776" s="26" t="inlineStr">
        <is>
          <t>CER-A1723</t>
        </is>
      </c>
      <c r="FL6776" s="26" t="inlineStr">
        <is>
          <t>A</t>
        </is>
      </c>
      <c r="FP6776" s="26" t="inlineStr">
        <is>
          <t>A</t>
        </is>
      </c>
    </row>
    <row r="6777">
      <c r="FC6777" t="inlineStr">
        <is>
          <t>Diccionario 6</t>
        </is>
      </c>
      <c r="FD6777" s="26" t="inlineStr">
        <is>
          <t>CER-A1724</t>
        </is>
      </c>
      <c r="FL6777" s="26" t="inlineStr">
        <is>
          <t>A</t>
        </is>
      </c>
      <c r="FP6777" s="26" t="inlineStr">
        <is>
          <t>A</t>
        </is>
      </c>
    </row>
    <row r="6778">
      <c r="FC6778" t="inlineStr">
        <is>
          <t>Diccionario 6</t>
        </is>
      </c>
      <c r="FD6778" s="26" t="inlineStr">
        <is>
          <t>CER-A1725</t>
        </is>
      </c>
      <c r="FL6778" s="26" t="inlineStr">
        <is>
          <t>A</t>
        </is>
      </c>
      <c r="FP6778" s="26" t="inlineStr">
        <is>
          <t>A</t>
        </is>
      </c>
    </row>
    <row r="6779">
      <c r="FC6779" t="inlineStr">
        <is>
          <t>Diccionario 6</t>
        </is>
      </c>
      <c r="FD6779" s="26" t="inlineStr">
        <is>
          <t>CER-A1726</t>
        </is>
      </c>
      <c r="FL6779" s="26" t="inlineStr">
        <is>
          <t>A</t>
        </is>
      </c>
      <c r="FP6779" s="26" t="inlineStr">
        <is>
          <t>A</t>
        </is>
      </c>
    </row>
    <row r="6780">
      <c r="FC6780" t="inlineStr">
        <is>
          <t>Diccionario 6</t>
        </is>
      </c>
      <c r="FD6780" s="26" t="inlineStr">
        <is>
          <t>RC-B1727</t>
        </is>
      </c>
      <c r="FL6780" s="26" t="inlineStr">
        <is>
          <t>B</t>
        </is>
      </c>
      <c r="FP6780" s="26" t="inlineStr">
        <is>
          <t>B</t>
        </is>
      </c>
    </row>
    <row r="6781">
      <c r="FC6781" t="inlineStr">
        <is>
          <t>Diccionario 6</t>
        </is>
      </c>
      <c r="FD6781" s="26" t="inlineStr">
        <is>
          <t>RC-B1728</t>
        </is>
      </c>
      <c r="FL6781" s="26" t="inlineStr">
        <is>
          <t>B</t>
        </is>
      </c>
      <c r="FP6781" s="26" t="inlineStr">
        <is>
          <t>B</t>
        </is>
      </c>
    </row>
    <row r="6782">
      <c r="FC6782" t="inlineStr">
        <is>
          <t>Diccionario 6</t>
        </is>
      </c>
      <c r="FD6782" s="26" t="inlineStr">
        <is>
          <t>RC-B1729</t>
        </is>
      </c>
      <c r="FL6782" s="26" t="inlineStr">
        <is>
          <t>B</t>
        </is>
      </c>
      <c r="FP6782" s="26" t="inlineStr">
        <is>
          <t>B</t>
        </is>
      </c>
    </row>
    <row r="6783">
      <c r="FC6783" t="inlineStr">
        <is>
          <t>Diccionario 6</t>
        </is>
      </c>
      <c r="FD6783" s="26" t="inlineStr">
        <is>
          <t>RC-B1730</t>
        </is>
      </c>
      <c r="FL6783" s="26" t="inlineStr">
        <is>
          <t>B</t>
        </is>
      </c>
      <c r="FP6783" s="26" t="inlineStr">
        <is>
          <t>B</t>
        </is>
      </c>
    </row>
    <row r="6784">
      <c r="FC6784" t="inlineStr">
        <is>
          <t>Diccionario 6</t>
        </is>
      </c>
      <c r="FD6784" s="26" t="inlineStr">
        <is>
          <t>LB-B1731</t>
        </is>
      </c>
      <c r="FL6784" s="26" t="inlineStr">
        <is>
          <t>B</t>
        </is>
      </c>
      <c r="FP6784" s="26" t="inlineStr">
        <is>
          <t>B</t>
        </is>
      </c>
    </row>
    <row r="6785">
      <c r="FC6785" t="inlineStr">
        <is>
          <t>Diccionario 6</t>
        </is>
      </c>
      <c r="FD6785" s="26" t="inlineStr">
        <is>
          <t>RC-B1732</t>
        </is>
      </c>
      <c r="FL6785" s="26" t="inlineStr">
        <is>
          <t>B</t>
        </is>
      </c>
      <c r="FP6785" s="26" t="inlineStr">
        <is>
          <t>B</t>
        </is>
      </c>
    </row>
    <row r="6786">
      <c r="FC6786" t="inlineStr">
        <is>
          <t>Diccionario 6</t>
        </is>
      </c>
      <c r="FD6786" s="26" t="inlineStr">
        <is>
          <t>RC-B1733</t>
        </is>
      </c>
      <c r="FL6786" s="26" t="inlineStr">
        <is>
          <t>B</t>
        </is>
      </c>
      <c r="FP6786" s="26" t="inlineStr">
        <is>
          <t>B</t>
        </is>
      </c>
    </row>
    <row r="6787">
      <c r="FC6787" t="inlineStr">
        <is>
          <t>Diccionario 6</t>
        </is>
      </c>
      <c r="FD6787" s="26" t="inlineStr">
        <is>
          <t>RC-B1734</t>
        </is>
      </c>
      <c r="FL6787" s="26" t="inlineStr">
        <is>
          <t>B</t>
        </is>
      </c>
      <c r="FP6787" s="26" t="inlineStr">
        <is>
          <t>B</t>
        </is>
      </c>
    </row>
    <row r="6788">
      <c r="FC6788" t="inlineStr">
        <is>
          <t>Diccionario 6</t>
        </is>
      </c>
      <c r="FD6788" s="26" t="inlineStr">
        <is>
          <t>RC-B1735</t>
        </is>
      </c>
      <c r="FL6788" s="26" t="inlineStr">
        <is>
          <t>B</t>
        </is>
      </c>
      <c r="FP6788" s="26" t="inlineStr">
        <is>
          <t>B</t>
        </is>
      </c>
    </row>
    <row r="6789">
      <c r="FC6789" t="inlineStr">
        <is>
          <t>Diccionario 6</t>
        </is>
      </c>
      <c r="FD6789" s="26" t="inlineStr">
        <is>
          <t>RC-B1736</t>
        </is>
      </c>
      <c r="FL6789" s="26" t="inlineStr">
        <is>
          <t>B</t>
        </is>
      </c>
      <c r="FP6789" s="26" t="inlineStr">
        <is>
          <t>B</t>
        </is>
      </c>
    </row>
    <row r="6790">
      <c r="FC6790" t="inlineStr">
        <is>
          <t>Diccionario 6</t>
        </is>
      </c>
      <c r="FD6790" s="26" t="inlineStr">
        <is>
          <t>RC-B1737</t>
        </is>
      </c>
      <c r="FL6790" s="26" t="inlineStr">
        <is>
          <t>B</t>
        </is>
      </c>
      <c r="FP6790" s="26" t="inlineStr">
        <is>
          <t>B</t>
        </is>
      </c>
    </row>
    <row r="6791">
      <c r="FC6791" t="inlineStr">
        <is>
          <t>Diccionario 6</t>
        </is>
      </c>
      <c r="FD6791" s="26" t="inlineStr">
        <is>
          <t>RC-B1738</t>
        </is>
      </c>
      <c r="FL6791" s="26" t="inlineStr">
        <is>
          <t>B</t>
        </is>
      </c>
      <c r="FP6791" s="26" t="inlineStr">
        <is>
          <t>B</t>
        </is>
      </c>
    </row>
    <row r="6792">
      <c r="FC6792" t="inlineStr">
        <is>
          <t>Diccionario 6</t>
        </is>
      </c>
      <c r="FD6792" s="26" t="inlineStr">
        <is>
          <t>DC-B1739</t>
        </is>
      </c>
      <c r="FL6792" s="26" t="inlineStr">
        <is>
          <t>B</t>
        </is>
      </c>
      <c r="FP6792" s="26" t="inlineStr">
        <is>
          <t>B</t>
        </is>
      </c>
    </row>
    <row r="6793">
      <c r="FC6793" t="inlineStr">
        <is>
          <t>Diccionario 6</t>
        </is>
      </c>
      <c r="FD6793" s="26" t="inlineStr">
        <is>
          <t>DC-B1740</t>
        </is>
      </c>
      <c r="FL6793" s="26" t="inlineStr">
        <is>
          <t>B</t>
        </is>
      </c>
      <c r="FP6793" s="26" t="inlineStr">
        <is>
          <t>B</t>
        </is>
      </c>
    </row>
    <row r="6794">
      <c r="FC6794" t="inlineStr">
        <is>
          <t>Diccionario 6</t>
        </is>
      </c>
      <c r="FD6794" s="26" t="inlineStr">
        <is>
          <t>DC-B1741</t>
        </is>
      </c>
      <c r="FL6794" s="26" t="inlineStr">
        <is>
          <t>B</t>
        </is>
      </c>
      <c r="FP6794" s="26" t="inlineStr">
        <is>
          <t>B</t>
        </is>
      </c>
    </row>
    <row r="6795">
      <c r="FC6795" t="inlineStr">
        <is>
          <t>Diccionario 6</t>
        </is>
      </c>
      <c r="FD6795" s="26" t="inlineStr">
        <is>
          <t>DC-B1742</t>
        </is>
      </c>
      <c r="FL6795" s="26" t="inlineStr">
        <is>
          <t>B</t>
        </is>
      </c>
      <c r="FP6795" s="26" t="inlineStr">
        <is>
          <t>B</t>
        </is>
      </c>
    </row>
    <row r="6796">
      <c r="FC6796" t="inlineStr">
        <is>
          <t>Diccionario 6</t>
        </is>
      </c>
      <c r="FD6796" s="26" t="inlineStr">
        <is>
          <t>DC-B1743</t>
        </is>
      </c>
      <c r="FL6796" s="26" t="inlineStr">
        <is>
          <t>B</t>
        </is>
      </c>
      <c r="FP6796" s="26" t="inlineStr">
        <is>
          <t>B</t>
        </is>
      </c>
    </row>
    <row r="6797">
      <c r="FC6797" t="inlineStr">
        <is>
          <t>Diccionario 6</t>
        </is>
      </c>
      <c r="FD6797" s="26" t="inlineStr">
        <is>
          <t>DC-B1744</t>
        </is>
      </c>
      <c r="FL6797" s="26" t="inlineStr">
        <is>
          <t>B</t>
        </is>
      </c>
      <c r="FP6797" s="26" t="inlineStr">
        <is>
          <t>B</t>
        </is>
      </c>
    </row>
    <row r="6798">
      <c r="FC6798" t="inlineStr">
        <is>
          <t>Diccionario 6</t>
        </is>
      </c>
      <c r="FD6798" s="26" t="inlineStr">
        <is>
          <t>DC-B1745</t>
        </is>
      </c>
      <c r="FL6798" s="26" t="inlineStr">
        <is>
          <t>B</t>
        </is>
      </c>
      <c r="FP6798" s="26" t="inlineStr">
        <is>
          <t>B</t>
        </is>
      </c>
    </row>
    <row r="6799">
      <c r="FC6799" t="inlineStr">
        <is>
          <t>Diccionario 6</t>
        </is>
      </c>
      <c r="FD6799" s="26" t="inlineStr">
        <is>
          <t>RC-B1746</t>
        </is>
      </c>
      <c r="FL6799" s="26" t="inlineStr">
        <is>
          <t>B</t>
        </is>
      </c>
      <c r="FP6799" s="26" t="inlineStr">
        <is>
          <t>B</t>
        </is>
      </c>
    </row>
    <row r="6800">
      <c r="FC6800" t="inlineStr">
        <is>
          <t>Diccionario 6</t>
        </is>
      </c>
      <c r="FD6800" s="26" t="inlineStr">
        <is>
          <t>LB-B1747</t>
        </is>
      </c>
      <c r="FL6800" s="26" t="inlineStr">
        <is>
          <t>B</t>
        </is>
      </c>
      <c r="FP6800" s="26" t="inlineStr">
        <is>
          <t>B</t>
        </is>
      </c>
    </row>
    <row r="6801">
      <c r="FC6801" t="inlineStr">
        <is>
          <t>Diccionario 6</t>
        </is>
      </c>
      <c r="FD6801" s="26" t="inlineStr">
        <is>
          <t>LB-B1748</t>
        </is>
      </c>
      <c r="FL6801" s="26" t="inlineStr">
        <is>
          <t>B</t>
        </is>
      </c>
      <c r="FP6801" s="26" t="inlineStr">
        <is>
          <t>B</t>
        </is>
      </c>
    </row>
    <row r="6802">
      <c r="FC6802" t="inlineStr">
        <is>
          <t>Diccionario 6</t>
        </is>
      </c>
      <c r="FD6802" s="26" t="inlineStr">
        <is>
          <t>LB-B1749</t>
        </is>
      </c>
      <c r="FL6802" s="26" t="inlineStr">
        <is>
          <t>B</t>
        </is>
      </c>
      <c r="FP6802" s="26" t="inlineStr">
        <is>
          <t>B</t>
        </is>
      </c>
    </row>
    <row r="6803">
      <c r="FC6803" t="inlineStr">
        <is>
          <t>Diccionario 6</t>
        </is>
      </c>
      <c r="FD6803" s="26" t="inlineStr">
        <is>
          <t>LB-B1750</t>
        </is>
      </c>
      <c r="FL6803" s="26" t="inlineStr">
        <is>
          <t>B</t>
        </is>
      </c>
      <c r="FP6803" s="26" t="inlineStr">
        <is>
          <t>B</t>
        </is>
      </c>
    </row>
    <row r="6804">
      <c r="FC6804" t="inlineStr">
        <is>
          <t>Diccionario 6</t>
        </is>
      </c>
      <c r="FD6804" s="26" t="inlineStr">
        <is>
          <t>LB-B1751</t>
        </is>
      </c>
      <c r="FL6804" s="26" t="inlineStr">
        <is>
          <t>B</t>
        </is>
      </c>
      <c r="FP6804" s="26" t="inlineStr">
        <is>
          <t>B</t>
        </is>
      </c>
    </row>
    <row r="6805">
      <c r="FC6805" t="inlineStr">
        <is>
          <t>Diccionario 6</t>
        </is>
      </c>
      <c r="FD6805" s="26" t="inlineStr">
        <is>
          <t>LB-B1752</t>
        </is>
      </c>
      <c r="FL6805" s="26" t="inlineStr">
        <is>
          <t>B</t>
        </is>
      </c>
      <c r="FP6805" s="26" t="inlineStr">
        <is>
          <t>B</t>
        </is>
      </c>
    </row>
    <row r="6806">
      <c r="FC6806" t="inlineStr">
        <is>
          <t>Diccionario 6</t>
        </is>
      </c>
      <c r="FD6806" s="26" t="inlineStr">
        <is>
          <t>LB-B1753</t>
        </is>
      </c>
      <c r="FL6806" s="26" t="inlineStr">
        <is>
          <t>B</t>
        </is>
      </c>
      <c r="FP6806" s="26" t="inlineStr">
        <is>
          <t>B</t>
        </is>
      </c>
    </row>
    <row r="6807">
      <c r="FC6807" t="inlineStr">
        <is>
          <t>Diccionario 6</t>
        </is>
      </c>
      <c r="FD6807" s="26" t="inlineStr">
        <is>
          <t>LB-B1754</t>
        </is>
      </c>
      <c r="FL6807" s="26" t="inlineStr">
        <is>
          <t>B</t>
        </is>
      </c>
      <c r="FP6807" s="26" t="inlineStr">
        <is>
          <t>B</t>
        </is>
      </c>
    </row>
    <row r="6808">
      <c r="FC6808" t="inlineStr">
        <is>
          <t>Diccionario 6</t>
        </is>
      </c>
      <c r="FD6808" s="26" t="inlineStr">
        <is>
          <t>LB-B1755</t>
        </is>
      </c>
      <c r="FL6808" s="26" t="inlineStr">
        <is>
          <t>B</t>
        </is>
      </c>
      <c r="FP6808" s="26" t="inlineStr">
        <is>
          <t>B</t>
        </is>
      </c>
    </row>
    <row r="6809">
      <c r="FC6809" t="inlineStr">
        <is>
          <t>Diccionario 6</t>
        </is>
      </c>
      <c r="FD6809" s="26" t="inlineStr">
        <is>
          <t>LB-B1756</t>
        </is>
      </c>
      <c r="FL6809" s="26" t="inlineStr">
        <is>
          <t>B</t>
        </is>
      </c>
      <c r="FP6809" s="26" t="inlineStr">
        <is>
          <t>B</t>
        </is>
      </c>
    </row>
    <row r="6810">
      <c r="FC6810" t="inlineStr">
        <is>
          <t>Diccionario 6</t>
        </is>
      </c>
      <c r="FD6810" s="26" t="inlineStr">
        <is>
          <t>LB-B1757</t>
        </is>
      </c>
      <c r="FL6810" s="26" t="inlineStr">
        <is>
          <t>B</t>
        </is>
      </c>
      <c r="FP6810" s="26" t="inlineStr">
        <is>
          <t>B</t>
        </is>
      </c>
    </row>
    <row r="6811">
      <c r="FC6811" t="inlineStr">
        <is>
          <t>Diccionario 6</t>
        </is>
      </c>
      <c r="FD6811" s="26" t="inlineStr">
        <is>
          <t>LB-B1758</t>
        </is>
      </c>
      <c r="FL6811" s="26" t="inlineStr">
        <is>
          <t>B</t>
        </is>
      </c>
      <c r="FP6811" s="26" t="inlineStr">
        <is>
          <t>B</t>
        </is>
      </c>
    </row>
    <row r="6812">
      <c r="FC6812" t="inlineStr">
        <is>
          <t>Diccionario 6</t>
        </is>
      </c>
      <c r="FD6812" s="26" t="inlineStr">
        <is>
          <t>LB-B1759</t>
        </is>
      </c>
      <c r="FL6812" s="26" t="inlineStr">
        <is>
          <t>B</t>
        </is>
      </c>
      <c r="FP6812" s="26" t="inlineStr">
        <is>
          <t>B</t>
        </is>
      </c>
    </row>
    <row r="6813">
      <c r="FC6813" t="inlineStr">
        <is>
          <t>Diccionario 6</t>
        </is>
      </c>
      <c r="FD6813" s="26" t="inlineStr">
        <is>
          <t>DC-B1760</t>
        </is>
      </c>
      <c r="FL6813" s="26" t="inlineStr">
        <is>
          <t>B</t>
        </is>
      </c>
      <c r="FP6813" s="26" t="inlineStr">
        <is>
          <t>B</t>
        </is>
      </c>
    </row>
    <row r="6814">
      <c r="FC6814" t="inlineStr">
        <is>
          <t>Diccionario 6</t>
        </is>
      </c>
      <c r="FD6814" s="26" t="inlineStr">
        <is>
          <t>DC-B1761</t>
        </is>
      </c>
      <c r="FL6814" s="26" t="inlineStr">
        <is>
          <t>B</t>
        </is>
      </c>
      <c r="FP6814" s="26" t="inlineStr">
        <is>
          <t>B</t>
        </is>
      </c>
    </row>
    <row r="6815">
      <c r="FC6815" t="inlineStr">
        <is>
          <t>Diccionario 6</t>
        </is>
      </c>
      <c r="FD6815" s="26" t="inlineStr">
        <is>
          <t>DC-B1762</t>
        </is>
      </c>
      <c r="FL6815" s="26" t="inlineStr">
        <is>
          <t>B</t>
        </is>
      </c>
      <c r="FP6815" s="26" t="inlineStr">
        <is>
          <t>B</t>
        </is>
      </c>
    </row>
    <row r="6816">
      <c r="FC6816" t="inlineStr">
        <is>
          <t>Diccionario 6</t>
        </is>
      </c>
      <c r="FD6816" s="26" t="inlineStr">
        <is>
          <t>LB-B1763</t>
        </is>
      </c>
      <c r="FL6816" s="26" t="inlineStr">
        <is>
          <t>B</t>
        </is>
      </c>
      <c r="FP6816" s="26" t="inlineStr">
        <is>
          <t>B</t>
        </is>
      </c>
    </row>
    <row r="6817">
      <c r="FC6817" t="inlineStr">
        <is>
          <t>Diccionario 6</t>
        </is>
      </c>
      <c r="FD6817" s="26" t="inlineStr">
        <is>
          <t>LB-B1764</t>
        </is>
      </c>
      <c r="FL6817" s="26" t="inlineStr">
        <is>
          <t>B</t>
        </is>
      </c>
      <c r="FP6817" s="26" t="inlineStr">
        <is>
          <t>B</t>
        </is>
      </c>
    </row>
    <row r="6818">
      <c r="FC6818" t="inlineStr">
        <is>
          <t>Diccionario 6</t>
        </is>
      </c>
      <c r="FD6818" s="26" t="inlineStr">
        <is>
          <t>LB-B1765</t>
        </is>
      </c>
      <c r="FL6818" s="26" t="inlineStr">
        <is>
          <t>B</t>
        </is>
      </c>
      <c r="FP6818" s="26" t="inlineStr">
        <is>
          <t>B</t>
        </is>
      </c>
    </row>
    <row r="6819">
      <c r="FC6819" t="inlineStr">
        <is>
          <t>Diccionario 6</t>
        </is>
      </c>
      <c r="FD6819" s="26" t="inlineStr">
        <is>
          <t>LB-B1766</t>
        </is>
      </c>
      <c r="FL6819" s="26" t="inlineStr">
        <is>
          <t>B</t>
        </is>
      </c>
      <c r="FP6819" s="26" t="inlineStr">
        <is>
          <t>B</t>
        </is>
      </c>
    </row>
    <row r="6820">
      <c r="FC6820" t="inlineStr">
        <is>
          <t>Diccionario 6</t>
        </is>
      </c>
      <c r="FD6820" s="26" t="inlineStr">
        <is>
          <t>LB-B1767</t>
        </is>
      </c>
      <c r="FL6820" s="26" t="inlineStr">
        <is>
          <t>B</t>
        </is>
      </c>
      <c r="FP6820" s="26" t="inlineStr">
        <is>
          <t>B</t>
        </is>
      </c>
    </row>
    <row r="6821">
      <c r="FC6821" t="inlineStr">
        <is>
          <t>Diccionario 6</t>
        </is>
      </c>
      <c r="FD6821" s="26" t="inlineStr">
        <is>
          <t>LB-B1768</t>
        </is>
      </c>
      <c r="FL6821" s="26" t="inlineStr">
        <is>
          <t>B</t>
        </is>
      </c>
      <c r="FP6821" s="26" t="inlineStr">
        <is>
          <t>B</t>
        </is>
      </c>
    </row>
    <row r="6822">
      <c r="FC6822" t="inlineStr">
        <is>
          <t>Diccionario 6</t>
        </is>
      </c>
      <c r="FD6822" s="26" t="inlineStr">
        <is>
          <t>LB-B1769</t>
        </is>
      </c>
      <c r="FL6822" s="26" t="inlineStr">
        <is>
          <t>B</t>
        </is>
      </c>
      <c r="FP6822" s="26" t="inlineStr">
        <is>
          <t>B</t>
        </is>
      </c>
    </row>
    <row r="6823">
      <c r="FC6823" t="inlineStr">
        <is>
          <t>Diccionario 6</t>
        </is>
      </c>
      <c r="FD6823" s="26" t="inlineStr">
        <is>
          <t>LB-B1770</t>
        </is>
      </c>
      <c r="FL6823" s="26" t="inlineStr">
        <is>
          <t>B</t>
        </is>
      </c>
      <c r="FP6823" s="26" t="inlineStr">
        <is>
          <t>B</t>
        </is>
      </c>
    </row>
    <row r="6824">
      <c r="FC6824" t="inlineStr">
        <is>
          <t>Diccionario 6</t>
        </is>
      </c>
      <c r="FD6824" s="26" t="inlineStr">
        <is>
          <t>LB-B1771</t>
        </is>
      </c>
      <c r="FL6824" s="26" t="inlineStr">
        <is>
          <t>B</t>
        </is>
      </c>
      <c r="FP6824" s="26" t="inlineStr">
        <is>
          <t>B</t>
        </is>
      </c>
    </row>
    <row r="6825">
      <c r="FC6825" t="inlineStr">
        <is>
          <t>Diccionario 6</t>
        </is>
      </c>
      <c r="FD6825" s="26" t="inlineStr">
        <is>
          <t>LB-B1772</t>
        </is>
      </c>
      <c r="FL6825" s="26" t="inlineStr">
        <is>
          <t>B</t>
        </is>
      </c>
      <c r="FP6825" s="26" t="inlineStr">
        <is>
          <t>B</t>
        </is>
      </c>
    </row>
    <row r="6826">
      <c r="FC6826" t="inlineStr">
        <is>
          <t>Diccionario 6</t>
        </is>
      </c>
      <c r="FD6826" s="26" t="inlineStr">
        <is>
          <t>DC-B1773</t>
        </is>
      </c>
      <c r="FL6826" s="26" t="inlineStr">
        <is>
          <t>B</t>
        </is>
      </c>
      <c r="FP6826" s="26" t="inlineStr">
        <is>
          <t>B</t>
        </is>
      </c>
    </row>
    <row r="6827">
      <c r="FC6827" t="inlineStr">
        <is>
          <t>Diccionario 6</t>
        </is>
      </c>
      <c r="FD6827" s="26" t="inlineStr">
        <is>
          <t>DC-B1774</t>
        </is>
      </c>
      <c r="FL6827" s="26" t="inlineStr">
        <is>
          <t>B</t>
        </is>
      </c>
      <c r="FP6827" s="26" t="inlineStr">
        <is>
          <t>B</t>
        </is>
      </c>
    </row>
    <row r="6828">
      <c r="FC6828" t="inlineStr">
        <is>
          <t>Diccionario 6</t>
        </is>
      </c>
      <c r="FD6828" s="26" t="inlineStr">
        <is>
          <t>DC-B1775</t>
        </is>
      </c>
      <c r="FL6828" s="26" t="inlineStr">
        <is>
          <t>B</t>
        </is>
      </c>
      <c r="FP6828" s="26" t="inlineStr">
        <is>
          <t>B</t>
        </is>
      </c>
    </row>
    <row r="6829">
      <c r="FC6829" t="inlineStr">
        <is>
          <t>Diccionario 6</t>
        </is>
      </c>
      <c r="FD6829" s="26" t="inlineStr">
        <is>
          <t>DC-B1776</t>
        </is>
      </c>
      <c r="FL6829" s="26" t="inlineStr">
        <is>
          <t>B</t>
        </is>
      </c>
      <c r="FP6829" s="26" t="inlineStr">
        <is>
          <t>B</t>
        </is>
      </c>
    </row>
    <row r="6830">
      <c r="FC6830" t="inlineStr">
        <is>
          <t>Diccionario 6</t>
        </is>
      </c>
      <c r="FD6830" s="26" t="inlineStr">
        <is>
          <t>DC-B1777</t>
        </is>
      </c>
      <c r="FL6830" s="26" t="inlineStr">
        <is>
          <t>B</t>
        </is>
      </c>
      <c r="FP6830" s="26" t="inlineStr">
        <is>
          <t>B</t>
        </is>
      </c>
    </row>
    <row r="6831">
      <c r="FC6831" t="inlineStr">
        <is>
          <t>Diccionario 6</t>
        </is>
      </c>
      <c r="FD6831" s="26" t="inlineStr">
        <is>
          <t>DC-B1778</t>
        </is>
      </c>
      <c r="FL6831" s="26" t="inlineStr">
        <is>
          <t>B</t>
        </is>
      </c>
      <c r="FP6831" s="26" t="inlineStr">
        <is>
          <t>B</t>
        </is>
      </c>
    </row>
    <row r="6832">
      <c r="FC6832" t="inlineStr">
        <is>
          <t>Diccionario 6</t>
        </is>
      </c>
      <c r="FD6832" s="26" t="inlineStr">
        <is>
          <t>DC-B1779</t>
        </is>
      </c>
      <c r="FL6832" s="26" t="inlineStr">
        <is>
          <t>B</t>
        </is>
      </c>
      <c r="FP6832" s="26" t="inlineStr">
        <is>
          <t>B</t>
        </is>
      </c>
    </row>
    <row r="6833">
      <c r="FC6833" t="inlineStr">
        <is>
          <t>Diccionario 6</t>
        </is>
      </c>
      <c r="FD6833" s="26" t="inlineStr">
        <is>
          <t>DC-B1780</t>
        </is>
      </c>
      <c r="FL6833" s="26" t="inlineStr">
        <is>
          <t>B</t>
        </is>
      </c>
      <c r="FP6833" s="26" t="inlineStr">
        <is>
          <t>B</t>
        </is>
      </c>
    </row>
    <row r="6834">
      <c r="FC6834" t="inlineStr">
        <is>
          <t>Diccionario 6</t>
        </is>
      </c>
      <c r="FD6834" s="26" t="inlineStr">
        <is>
          <t>DC-B1781</t>
        </is>
      </c>
      <c r="FL6834" s="26" t="inlineStr">
        <is>
          <t>B</t>
        </is>
      </c>
      <c r="FP6834" s="26" t="inlineStr">
        <is>
          <t>B</t>
        </is>
      </c>
    </row>
    <row r="6835">
      <c r="FC6835" t="inlineStr">
        <is>
          <t>Diccionario 6</t>
        </is>
      </c>
      <c r="FD6835" s="26" t="inlineStr">
        <is>
          <t>DC-B1782</t>
        </is>
      </c>
      <c r="FL6835" s="26" t="inlineStr">
        <is>
          <t>B</t>
        </is>
      </c>
      <c r="FP6835" s="26" t="inlineStr">
        <is>
          <t>B</t>
        </is>
      </c>
    </row>
    <row r="6836">
      <c r="FC6836" t="inlineStr">
        <is>
          <t>Diccionario 6</t>
        </is>
      </c>
      <c r="FD6836" s="26" t="inlineStr">
        <is>
          <t>LB-B1783</t>
        </is>
      </c>
      <c r="FL6836" s="26" t="inlineStr">
        <is>
          <t>B</t>
        </is>
      </c>
      <c r="FP6836" s="26" t="inlineStr">
        <is>
          <t>B</t>
        </is>
      </c>
    </row>
    <row r="6837">
      <c r="FC6837" t="inlineStr">
        <is>
          <t>Diccionario 6</t>
        </is>
      </c>
      <c r="FD6837" s="26" t="inlineStr">
        <is>
          <t>LB-B1784</t>
        </is>
      </c>
      <c r="FL6837" s="26" t="inlineStr">
        <is>
          <t>B</t>
        </is>
      </c>
      <c r="FP6837" s="26" t="inlineStr">
        <is>
          <t>B</t>
        </is>
      </c>
    </row>
    <row r="6838">
      <c r="FC6838" t="inlineStr">
        <is>
          <t>Diccionario 6</t>
        </is>
      </c>
      <c r="FD6838" s="26" t="inlineStr">
        <is>
          <t>DC-B1785</t>
        </is>
      </c>
      <c r="FL6838" s="26" t="inlineStr">
        <is>
          <t>B</t>
        </is>
      </c>
      <c r="FP6838" s="26" t="inlineStr">
        <is>
          <t>B</t>
        </is>
      </c>
    </row>
    <row r="6839">
      <c r="FC6839" t="inlineStr">
        <is>
          <t>Diccionario 6</t>
        </is>
      </c>
      <c r="FD6839" s="26" t="inlineStr">
        <is>
          <t>LB-B1786</t>
        </is>
      </c>
      <c r="FL6839" s="26" t="inlineStr">
        <is>
          <t>B</t>
        </is>
      </c>
      <c r="FP6839" s="26" t="inlineStr">
        <is>
          <t>B</t>
        </is>
      </c>
    </row>
    <row r="6840">
      <c r="FC6840" t="inlineStr">
        <is>
          <t>Diccionario 6</t>
        </is>
      </c>
      <c r="FD6840" s="26" t="inlineStr">
        <is>
          <t>DC-B1787</t>
        </is>
      </c>
      <c r="FL6840" s="26" t="inlineStr">
        <is>
          <t>B</t>
        </is>
      </c>
      <c r="FP6840" s="26" t="inlineStr">
        <is>
          <t>B</t>
        </is>
      </c>
    </row>
    <row r="6841">
      <c r="FC6841" t="inlineStr">
        <is>
          <t>Diccionario 6</t>
        </is>
      </c>
      <c r="FD6841" s="26" t="inlineStr">
        <is>
          <t>DC-B1788</t>
        </is>
      </c>
      <c r="FL6841" s="26" t="inlineStr">
        <is>
          <t>B</t>
        </is>
      </c>
      <c r="FP6841" s="26" t="inlineStr">
        <is>
          <t>B</t>
        </is>
      </c>
    </row>
    <row r="6842">
      <c r="FC6842" t="inlineStr">
        <is>
          <t>Diccionario 6</t>
        </is>
      </c>
      <c r="FD6842" s="26" t="inlineStr">
        <is>
          <t>DC-B1789</t>
        </is>
      </c>
      <c r="FL6842" s="26" t="inlineStr">
        <is>
          <t>B</t>
        </is>
      </c>
      <c r="FP6842" s="26" t="inlineStr">
        <is>
          <t>B</t>
        </is>
      </c>
    </row>
    <row r="6843">
      <c r="FC6843" t="inlineStr">
        <is>
          <t>Diccionario 6</t>
        </is>
      </c>
      <c r="FD6843" s="26" t="inlineStr">
        <is>
          <t>DC-B1790</t>
        </is>
      </c>
      <c r="FL6843" s="26" t="inlineStr">
        <is>
          <t>B</t>
        </is>
      </c>
      <c r="FP6843" s="26" t="inlineStr">
        <is>
          <t>B</t>
        </is>
      </c>
    </row>
    <row r="6844">
      <c r="FC6844" t="inlineStr">
        <is>
          <t>Diccionario 6</t>
        </is>
      </c>
      <c r="FD6844" s="26" t="inlineStr">
        <is>
          <t>DC-B1791</t>
        </is>
      </c>
      <c r="FL6844" s="26" t="inlineStr">
        <is>
          <t>B</t>
        </is>
      </c>
      <c r="FP6844" s="26" t="inlineStr">
        <is>
          <t>B</t>
        </is>
      </c>
    </row>
    <row r="6845">
      <c r="FC6845" t="inlineStr">
        <is>
          <t>Diccionario 6</t>
        </is>
      </c>
      <c r="FD6845" s="26" t="inlineStr">
        <is>
          <t>DC-B1792</t>
        </is>
      </c>
      <c r="FL6845" s="26" t="inlineStr">
        <is>
          <t>B</t>
        </is>
      </c>
      <c r="FP6845" s="26" t="inlineStr">
        <is>
          <t>B</t>
        </is>
      </c>
    </row>
    <row r="6846">
      <c r="FC6846" t="inlineStr">
        <is>
          <t>Diccionario 6</t>
        </is>
      </c>
      <c r="FD6846" s="26" t="inlineStr">
        <is>
          <t>DC-B1793</t>
        </is>
      </c>
      <c r="FL6846" s="26" t="inlineStr">
        <is>
          <t>B</t>
        </is>
      </c>
      <c r="FP6846" s="26" t="inlineStr">
        <is>
          <t>B</t>
        </is>
      </c>
    </row>
    <row r="6847">
      <c r="FC6847" t="inlineStr">
        <is>
          <t>Diccionario 6</t>
        </is>
      </c>
      <c r="FD6847" s="26" t="inlineStr">
        <is>
          <t>DC-B1794</t>
        </is>
      </c>
      <c r="FL6847" s="26" t="inlineStr">
        <is>
          <t>B</t>
        </is>
      </c>
      <c r="FP6847" s="26" t="inlineStr">
        <is>
          <t>B</t>
        </is>
      </c>
    </row>
    <row r="6848">
      <c r="FC6848" t="inlineStr">
        <is>
          <t>Diccionario 6</t>
        </is>
      </c>
      <c r="FD6848" s="26" t="inlineStr">
        <is>
          <t>DC-B1795</t>
        </is>
      </c>
      <c r="FL6848" s="26" t="inlineStr">
        <is>
          <t>B</t>
        </is>
      </c>
      <c r="FP6848" s="26" t="inlineStr">
        <is>
          <t>B</t>
        </is>
      </c>
    </row>
    <row r="6849">
      <c r="FC6849" t="inlineStr">
        <is>
          <t>Diccionario 6</t>
        </is>
      </c>
      <c r="FD6849" s="26" t="inlineStr">
        <is>
          <t>DC-B1796</t>
        </is>
      </c>
      <c r="FL6849" s="26" t="inlineStr">
        <is>
          <t>B</t>
        </is>
      </c>
      <c r="FP6849" s="26" t="inlineStr">
        <is>
          <t>B</t>
        </is>
      </c>
    </row>
    <row r="6850">
      <c r="FC6850" t="inlineStr">
        <is>
          <t>Diccionario 6</t>
        </is>
      </c>
      <c r="FD6850" s="26" t="inlineStr">
        <is>
          <t>DC-B1797</t>
        </is>
      </c>
      <c r="FL6850" s="26" t="inlineStr">
        <is>
          <t>B</t>
        </is>
      </c>
      <c r="FP6850" s="26" t="inlineStr">
        <is>
          <t>B</t>
        </is>
      </c>
    </row>
    <row r="6851">
      <c r="FC6851" t="inlineStr">
        <is>
          <t>Diccionario 6</t>
        </is>
      </c>
      <c r="FD6851" s="26" t="inlineStr">
        <is>
          <t>DC-B1798</t>
        </is>
      </c>
      <c r="FL6851" s="26" t="inlineStr">
        <is>
          <t>B</t>
        </is>
      </c>
      <c r="FP6851" s="26" t="inlineStr">
        <is>
          <t>B</t>
        </is>
      </c>
    </row>
    <row r="6852">
      <c r="FC6852" t="inlineStr">
        <is>
          <t>Diccionario 6</t>
        </is>
      </c>
      <c r="FD6852" s="26" t="inlineStr">
        <is>
          <t>DC-B1799</t>
        </is>
      </c>
      <c r="FL6852" s="26" t="inlineStr">
        <is>
          <t>B</t>
        </is>
      </c>
      <c r="FP6852" s="26" t="inlineStr">
        <is>
          <t>B</t>
        </is>
      </c>
    </row>
    <row r="6853">
      <c r="FC6853" t="inlineStr">
        <is>
          <t>Diccionario 6</t>
        </is>
      </c>
      <c r="FD6853" s="26" t="inlineStr">
        <is>
          <t>DC-B1800</t>
        </is>
      </c>
      <c r="FL6853" s="26" t="inlineStr">
        <is>
          <t>B</t>
        </is>
      </c>
      <c r="FP6853" s="26" t="inlineStr">
        <is>
          <t>B</t>
        </is>
      </c>
    </row>
    <row r="6854">
      <c r="FC6854" t="inlineStr">
        <is>
          <t>Diccionario 6</t>
        </is>
      </c>
      <c r="FD6854" s="26" t="inlineStr">
        <is>
          <t>DC-B1801</t>
        </is>
      </c>
      <c r="FL6854" s="26" t="inlineStr">
        <is>
          <t>B</t>
        </is>
      </c>
      <c r="FP6854" s="26" t="inlineStr">
        <is>
          <t>B</t>
        </is>
      </c>
    </row>
    <row r="6855">
      <c r="FC6855" t="inlineStr">
        <is>
          <t>Diccionario 6</t>
        </is>
      </c>
      <c r="FD6855" s="26" t="inlineStr">
        <is>
          <t>DC-B1802</t>
        </is>
      </c>
      <c r="FL6855" s="26" t="inlineStr">
        <is>
          <t>B</t>
        </is>
      </c>
      <c r="FP6855" s="26" t="inlineStr">
        <is>
          <t>B</t>
        </is>
      </c>
    </row>
    <row r="6856">
      <c r="FC6856" t="inlineStr">
        <is>
          <t>Diccionario 6</t>
        </is>
      </c>
      <c r="FD6856" s="26" t="inlineStr">
        <is>
          <t>DC-B1803</t>
        </is>
      </c>
      <c r="FL6856" s="26" t="inlineStr">
        <is>
          <t>B</t>
        </is>
      </c>
      <c r="FP6856" s="26" t="inlineStr">
        <is>
          <t>B</t>
        </is>
      </c>
    </row>
    <row r="6857">
      <c r="FC6857" t="inlineStr">
        <is>
          <t>Diccionario 6</t>
        </is>
      </c>
      <c r="FD6857" s="26" t="inlineStr">
        <is>
          <t>LB-B1804</t>
        </is>
      </c>
      <c r="FL6857" s="26" t="inlineStr">
        <is>
          <t>B</t>
        </is>
      </c>
      <c r="FP6857" s="26" t="inlineStr">
        <is>
          <t>B</t>
        </is>
      </c>
    </row>
    <row r="6858">
      <c r="FC6858" t="inlineStr">
        <is>
          <t>Diccionario 6</t>
        </is>
      </c>
      <c r="FD6858" s="26" t="inlineStr">
        <is>
          <t>LB-B1805</t>
        </is>
      </c>
      <c r="FL6858" s="26" t="inlineStr">
        <is>
          <t>B</t>
        </is>
      </c>
      <c r="FP6858" s="26" t="inlineStr">
        <is>
          <t>B</t>
        </is>
      </c>
    </row>
    <row r="6859">
      <c r="FC6859" t="inlineStr">
        <is>
          <t>Diccionario 6</t>
        </is>
      </c>
      <c r="FD6859" s="26" t="inlineStr">
        <is>
          <t>LB-B1806</t>
        </is>
      </c>
      <c r="FL6859" s="26" t="inlineStr">
        <is>
          <t>B</t>
        </is>
      </c>
      <c r="FP6859" s="26" t="inlineStr">
        <is>
          <t>B</t>
        </is>
      </c>
    </row>
    <row r="6860">
      <c r="FC6860" t="inlineStr">
        <is>
          <t>Diccionario 6</t>
        </is>
      </c>
      <c r="FD6860" s="26" t="inlineStr">
        <is>
          <t>LB-B1807</t>
        </is>
      </c>
      <c r="FL6860" s="26" t="inlineStr">
        <is>
          <t>B</t>
        </is>
      </c>
      <c r="FP6860" s="26" t="inlineStr">
        <is>
          <t>B</t>
        </is>
      </c>
    </row>
    <row r="6861">
      <c r="FC6861" t="inlineStr">
        <is>
          <t>Diccionario 6</t>
        </is>
      </c>
      <c r="FD6861" s="26" t="inlineStr">
        <is>
          <t>LB-B1808</t>
        </is>
      </c>
      <c r="FL6861" s="26" t="inlineStr">
        <is>
          <t>B</t>
        </is>
      </c>
      <c r="FP6861" s="26" t="inlineStr">
        <is>
          <t>B</t>
        </is>
      </c>
    </row>
    <row r="6862">
      <c r="FC6862" t="inlineStr">
        <is>
          <t>Diccionario 6</t>
        </is>
      </c>
      <c r="FD6862" s="26" t="inlineStr">
        <is>
          <t>DC-B1809</t>
        </is>
      </c>
      <c r="FL6862" s="26" t="inlineStr">
        <is>
          <t>B</t>
        </is>
      </c>
      <c r="FP6862" s="26" t="inlineStr">
        <is>
          <t>B</t>
        </is>
      </c>
    </row>
    <row r="6863">
      <c r="FC6863" t="inlineStr">
        <is>
          <t>Diccionario 6</t>
        </is>
      </c>
      <c r="FD6863" s="26" t="inlineStr">
        <is>
          <t>DC-B1810</t>
        </is>
      </c>
      <c r="FL6863" s="26" t="inlineStr">
        <is>
          <t>B</t>
        </is>
      </c>
      <c r="FP6863" s="26" t="inlineStr">
        <is>
          <t>B</t>
        </is>
      </c>
    </row>
    <row r="6864">
      <c r="FC6864" t="inlineStr">
        <is>
          <t>Diccionario 6</t>
        </is>
      </c>
      <c r="FD6864" s="26" t="inlineStr">
        <is>
          <t>DC-B1811</t>
        </is>
      </c>
      <c r="FL6864" s="26" t="inlineStr">
        <is>
          <t>B</t>
        </is>
      </c>
      <c r="FP6864" s="26" t="inlineStr">
        <is>
          <t>B</t>
        </is>
      </c>
    </row>
    <row r="6865">
      <c r="FC6865" t="inlineStr">
        <is>
          <t>Diccionario 6</t>
        </is>
      </c>
      <c r="FD6865" s="26" t="inlineStr">
        <is>
          <t>DC-B1812</t>
        </is>
      </c>
      <c r="FL6865" s="26" t="inlineStr">
        <is>
          <t>B</t>
        </is>
      </c>
      <c r="FP6865" s="26" t="inlineStr">
        <is>
          <t>B</t>
        </is>
      </c>
    </row>
    <row r="6866">
      <c r="FC6866" t="inlineStr">
        <is>
          <t>Diccionario 6</t>
        </is>
      </c>
      <c r="FD6866" s="26" t="inlineStr">
        <is>
          <t>DC-B1813</t>
        </is>
      </c>
      <c r="FL6866" s="26" t="inlineStr">
        <is>
          <t>B</t>
        </is>
      </c>
      <c r="FP6866" s="26" t="inlineStr">
        <is>
          <t>B</t>
        </is>
      </c>
    </row>
    <row r="6867">
      <c r="FC6867" t="inlineStr">
        <is>
          <t>Diccionario 6</t>
        </is>
      </c>
      <c r="FD6867" s="26" t="inlineStr">
        <is>
          <t>DC-B1814</t>
        </is>
      </c>
      <c r="FL6867" s="26" t="inlineStr">
        <is>
          <t>B</t>
        </is>
      </c>
      <c r="FP6867" s="26" t="inlineStr">
        <is>
          <t>B</t>
        </is>
      </c>
    </row>
    <row r="6868">
      <c r="FC6868" t="inlineStr">
        <is>
          <t>Diccionario 6</t>
        </is>
      </c>
      <c r="FD6868" s="26" t="inlineStr">
        <is>
          <t>DC-B1815</t>
        </is>
      </c>
      <c r="FL6868" s="26" t="inlineStr">
        <is>
          <t>B</t>
        </is>
      </c>
      <c r="FP6868" s="26" t="inlineStr">
        <is>
          <t>B</t>
        </is>
      </c>
    </row>
    <row r="6869">
      <c r="FC6869" t="inlineStr">
        <is>
          <t>Diccionario 6</t>
        </is>
      </c>
      <c r="FD6869" s="26" t="inlineStr">
        <is>
          <t>DC-B1816</t>
        </is>
      </c>
      <c r="FL6869" s="26" t="inlineStr">
        <is>
          <t>B</t>
        </is>
      </c>
      <c r="FP6869" s="26" t="inlineStr">
        <is>
          <t>B</t>
        </is>
      </c>
    </row>
    <row r="6870">
      <c r="FC6870" t="inlineStr">
        <is>
          <t>Diccionario 6</t>
        </is>
      </c>
      <c r="FD6870" s="26" t="inlineStr">
        <is>
          <t>DC-B1817</t>
        </is>
      </c>
      <c r="FL6870" s="26" t="inlineStr">
        <is>
          <t>B</t>
        </is>
      </c>
      <c r="FP6870" s="26" t="inlineStr">
        <is>
          <t>B</t>
        </is>
      </c>
    </row>
    <row r="6871">
      <c r="FC6871" t="inlineStr">
        <is>
          <t>Diccionario 6</t>
        </is>
      </c>
      <c r="FD6871" s="26" t="inlineStr">
        <is>
          <t>DC-B1818</t>
        </is>
      </c>
      <c r="FL6871" s="26" t="inlineStr">
        <is>
          <t>B</t>
        </is>
      </c>
      <c r="FP6871" s="26" t="inlineStr">
        <is>
          <t>B</t>
        </is>
      </c>
    </row>
    <row r="6872">
      <c r="FC6872" t="inlineStr">
        <is>
          <t>Diccionario 6</t>
        </is>
      </c>
      <c r="FD6872" s="26" t="inlineStr">
        <is>
          <t>DC-B1819</t>
        </is>
      </c>
      <c r="FL6872" s="26" t="inlineStr">
        <is>
          <t>B</t>
        </is>
      </c>
      <c r="FP6872" s="26" t="inlineStr">
        <is>
          <t>B</t>
        </is>
      </c>
    </row>
    <row r="6873">
      <c r="FC6873" t="inlineStr">
        <is>
          <t>Diccionario 6</t>
        </is>
      </c>
      <c r="FD6873" s="26" t="inlineStr">
        <is>
          <t>DC-B1820</t>
        </is>
      </c>
      <c r="FL6873" s="26" t="inlineStr">
        <is>
          <t>B</t>
        </is>
      </c>
      <c r="FP6873" s="26" t="inlineStr">
        <is>
          <t>B</t>
        </is>
      </c>
    </row>
    <row r="6874">
      <c r="FC6874" t="inlineStr">
        <is>
          <t>Diccionario 6</t>
        </is>
      </c>
      <c r="FD6874" s="26" t="inlineStr">
        <is>
          <t>DC-B1821</t>
        </is>
      </c>
      <c r="FL6874" s="26" t="inlineStr">
        <is>
          <t>B</t>
        </is>
      </c>
      <c r="FP6874" s="26" t="inlineStr">
        <is>
          <t>B</t>
        </is>
      </c>
    </row>
    <row r="6875">
      <c r="FC6875" t="inlineStr">
        <is>
          <t>Diccionario 6</t>
        </is>
      </c>
      <c r="FD6875" s="26" t="inlineStr">
        <is>
          <t>DC-B1822</t>
        </is>
      </c>
      <c r="FL6875" s="26" t="inlineStr">
        <is>
          <t>B</t>
        </is>
      </c>
      <c r="FP6875" s="26" t="inlineStr">
        <is>
          <t>B</t>
        </is>
      </c>
    </row>
    <row r="6876">
      <c r="FC6876" t="inlineStr">
        <is>
          <t>Diccionario 6</t>
        </is>
      </c>
      <c r="FD6876" s="26" t="inlineStr">
        <is>
          <t>DC-B1823</t>
        </is>
      </c>
      <c r="FL6876" s="26" t="inlineStr">
        <is>
          <t>B</t>
        </is>
      </c>
      <c r="FP6876" s="26" t="inlineStr">
        <is>
          <t>B</t>
        </is>
      </c>
    </row>
    <row r="6877">
      <c r="FC6877" t="inlineStr">
        <is>
          <t>Diccionario 6</t>
        </is>
      </c>
      <c r="FD6877" s="26" t="inlineStr">
        <is>
          <t>DC-B1824</t>
        </is>
      </c>
      <c r="FL6877" s="26" t="inlineStr">
        <is>
          <t>B</t>
        </is>
      </c>
      <c r="FP6877" s="26" t="inlineStr">
        <is>
          <t>B</t>
        </is>
      </c>
    </row>
    <row r="6878">
      <c r="FC6878" t="inlineStr">
        <is>
          <t>Diccionario 6</t>
        </is>
      </c>
      <c r="FD6878" s="26" t="inlineStr">
        <is>
          <t>DC-B1825</t>
        </is>
      </c>
      <c r="FL6878" s="26" t="inlineStr">
        <is>
          <t>B</t>
        </is>
      </c>
      <c r="FP6878" s="26" t="inlineStr">
        <is>
          <t>B</t>
        </is>
      </c>
    </row>
    <row r="6879">
      <c r="FC6879" t="inlineStr">
        <is>
          <t>Diccionario 6</t>
        </is>
      </c>
      <c r="FD6879" s="26" t="inlineStr">
        <is>
          <t>DC-B1826</t>
        </is>
      </c>
      <c r="FL6879" s="26" t="inlineStr">
        <is>
          <t>B</t>
        </is>
      </c>
      <c r="FP6879" s="26" t="inlineStr">
        <is>
          <t>B</t>
        </is>
      </c>
    </row>
    <row r="6880">
      <c r="FC6880" t="inlineStr">
        <is>
          <t>Diccionario 6</t>
        </is>
      </c>
      <c r="FD6880" s="26" t="inlineStr">
        <is>
          <t>DC-B1827</t>
        </is>
      </c>
      <c r="FL6880" s="26" t="inlineStr">
        <is>
          <t>B</t>
        </is>
      </c>
      <c r="FP6880" s="26" t="inlineStr">
        <is>
          <t>B</t>
        </is>
      </c>
    </row>
    <row r="6881">
      <c r="FC6881" t="inlineStr">
        <is>
          <t>Diccionario 6</t>
        </is>
      </c>
      <c r="FD6881" s="26" t="inlineStr">
        <is>
          <t>DC-B1828</t>
        </is>
      </c>
      <c r="FL6881" s="26" t="inlineStr">
        <is>
          <t>B</t>
        </is>
      </c>
      <c r="FP6881" s="26" t="inlineStr">
        <is>
          <t>B</t>
        </is>
      </c>
    </row>
    <row r="6882">
      <c r="FC6882" t="inlineStr">
        <is>
          <t>Diccionario 6</t>
        </is>
      </c>
      <c r="FD6882" s="26" t="inlineStr">
        <is>
          <t>DC-B1829</t>
        </is>
      </c>
      <c r="FL6882" s="26" t="inlineStr">
        <is>
          <t>B</t>
        </is>
      </c>
      <c r="FP6882" s="26" t="inlineStr">
        <is>
          <t>B</t>
        </is>
      </c>
    </row>
    <row r="6883">
      <c r="FC6883" t="inlineStr">
        <is>
          <t>Diccionario 6</t>
        </is>
      </c>
      <c r="FD6883" s="26" t="inlineStr">
        <is>
          <t>DC-B1830</t>
        </is>
      </c>
      <c r="FL6883" s="26" t="inlineStr">
        <is>
          <t>B</t>
        </is>
      </c>
      <c r="FP6883" s="26" t="inlineStr">
        <is>
          <t>B</t>
        </is>
      </c>
    </row>
    <row r="6884">
      <c r="FC6884" t="inlineStr">
        <is>
          <t>Diccionario 6</t>
        </is>
      </c>
      <c r="FD6884" s="26" t="inlineStr">
        <is>
          <t>DC-B1831</t>
        </is>
      </c>
      <c r="FL6884" s="26" t="inlineStr">
        <is>
          <t>B</t>
        </is>
      </c>
      <c r="FP6884" s="26" t="inlineStr">
        <is>
          <t>B</t>
        </is>
      </c>
    </row>
    <row r="6885">
      <c r="FC6885" t="inlineStr">
        <is>
          <t>Diccionario 6</t>
        </is>
      </c>
      <c r="FD6885" s="26" t="inlineStr">
        <is>
          <t>DC-B1832</t>
        </is>
      </c>
      <c r="FL6885" s="26" t="inlineStr">
        <is>
          <t>B</t>
        </is>
      </c>
      <c r="FP6885" s="26" t="inlineStr">
        <is>
          <t>B</t>
        </is>
      </c>
    </row>
    <row r="6886">
      <c r="FC6886" t="inlineStr">
        <is>
          <t>Diccionario 6</t>
        </is>
      </c>
      <c r="FD6886" s="26" t="inlineStr">
        <is>
          <t>DC-B1833</t>
        </is>
      </c>
      <c r="FL6886" s="26" t="inlineStr">
        <is>
          <t>B</t>
        </is>
      </c>
      <c r="FP6886" s="26" t="inlineStr">
        <is>
          <t>B</t>
        </is>
      </c>
    </row>
    <row r="6887">
      <c r="FC6887" t="inlineStr">
        <is>
          <t>Diccionario 6</t>
        </is>
      </c>
      <c r="FD6887" s="26" t="inlineStr">
        <is>
          <t>DC-B1834</t>
        </is>
      </c>
      <c r="FL6887" s="26" t="inlineStr">
        <is>
          <t>B</t>
        </is>
      </c>
      <c r="FP6887" s="26" t="inlineStr">
        <is>
          <t>B</t>
        </is>
      </c>
    </row>
    <row r="6888">
      <c r="FC6888" t="inlineStr">
        <is>
          <t>Diccionario 6</t>
        </is>
      </c>
      <c r="FD6888" s="26" t="inlineStr">
        <is>
          <t>DC-B1835</t>
        </is>
      </c>
      <c r="FL6888" s="26" t="inlineStr">
        <is>
          <t>B</t>
        </is>
      </c>
      <c r="FP6888" s="26" t="inlineStr">
        <is>
          <t>B</t>
        </is>
      </c>
    </row>
    <row r="6889">
      <c r="FC6889" t="inlineStr">
        <is>
          <t>Diccionario 6</t>
        </is>
      </c>
      <c r="FD6889" s="26" t="inlineStr">
        <is>
          <t>DC-B1836</t>
        </is>
      </c>
      <c r="FL6889" s="26" t="inlineStr">
        <is>
          <t>B</t>
        </is>
      </c>
      <c r="FP6889" s="26" t="inlineStr">
        <is>
          <t>B</t>
        </is>
      </c>
    </row>
    <row r="6890">
      <c r="FC6890" t="inlineStr">
        <is>
          <t>Diccionario 6</t>
        </is>
      </c>
      <c r="FD6890" s="26" t="inlineStr">
        <is>
          <t>DC-B1837</t>
        </is>
      </c>
      <c r="FL6890" s="26" t="inlineStr">
        <is>
          <t>B</t>
        </is>
      </c>
      <c r="FP6890" s="26" t="inlineStr">
        <is>
          <t>B</t>
        </is>
      </c>
    </row>
    <row r="6891">
      <c r="FC6891" t="inlineStr">
        <is>
          <t>Diccionario 6</t>
        </is>
      </c>
      <c r="FD6891" s="26" t="inlineStr">
        <is>
          <t>DC-B1838</t>
        </is>
      </c>
      <c r="FL6891" s="26" t="inlineStr">
        <is>
          <t>B</t>
        </is>
      </c>
      <c r="FP6891" s="26" t="inlineStr">
        <is>
          <t>B</t>
        </is>
      </c>
    </row>
    <row r="6892">
      <c r="FC6892" t="inlineStr">
        <is>
          <t>Diccionario 6</t>
        </is>
      </c>
      <c r="FD6892" s="26" t="inlineStr">
        <is>
          <t>DC-B1839</t>
        </is>
      </c>
      <c r="FL6892" s="26" t="inlineStr">
        <is>
          <t>B</t>
        </is>
      </c>
      <c r="FP6892" s="26" t="inlineStr">
        <is>
          <t>B</t>
        </is>
      </c>
    </row>
    <row r="6893">
      <c r="FC6893" t="inlineStr">
        <is>
          <t>Diccionario 6</t>
        </is>
      </c>
      <c r="FD6893" s="26" t="inlineStr">
        <is>
          <t>DC-B1840</t>
        </is>
      </c>
      <c r="FL6893" s="26" t="inlineStr">
        <is>
          <t>B</t>
        </is>
      </c>
      <c r="FP6893" s="26" t="inlineStr">
        <is>
          <t>B</t>
        </is>
      </c>
    </row>
    <row r="6894">
      <c r="FC6894" t="inlineStr">
        <is>
          <t>Diccionario 6</t>
        </is>
      </c>
      <c r="FD6894" s="26" t="inlineStr">
        <is>
          <t>DC-B1841</t>
        </is>
      </c>
      <c r="FL6894" s="26" t="inlineStr">
        <is>
          <t>B</t>
        </is>
      </c>
      <c r="FP6894" s="26" t="inlineStr">
        <is>
          <t>B</t>
        </is>
      </c>
    </row>
    <row r="6895">
      <c r="FC6895" t="inlineStr">
        <is>
          <t>Diccionario 6</t>
        </is>
      </c>
      <c r="FD6895" s="26" t="inlineStr">
        <is>
          <t>DC-B1842</t>
        </is>
      </c>
      <c r="FL6895" s="26" t="inlineStr">
        <is>
          <t>B</t>
        </is>
      </c>
      <c r="FP6895" s="26" t="inlineStr">
        <is>
          <t>B</t>
        </is>
      </c>
    </row>
    <row r="6896">
      <c r="FC6896" t="inlineStr">
        <is>
          <t>Diccionario 6</t>
        </is>
      </c>
      <c r="FD6896" s="26" t="inlineStr">
        <is>
          <t>DC-B1843</t>
        </is>
      </c>
      <c r="FL6896" s="26" t="inlineStr">
        <is>
          <t>B</t>
        </is>
      </c>
      <c r="FP6896" s="26" t="inlineStr">
        <is>
          <t>B</t>
        </is>
      </c>
    </row>
    <row r="6897">
      <c r="FC6897" t="inlineStr">
        <is>
          <t>Diccionario 6</t>
        </is>
      </c>
      <c r="FD6897" s="26" t="inlineStr">
        <is>
          <t>DC-B1844</t>
        </is>
      </c>
      <c r="FL6897" s="26" t="inlineStr">
        <is>
          <t>B</t>
        </is>
      </c>
      <c r="FP6897" s="26" t="inlineStr">
        <is>
          <t>B</t>
        </is>
      </c>
    </row>
    <row r="6898">
      <c r="FC6898" t="inlineStr">
        <is>
          <t>Diccionario 6</t>
        </is>
      </c>
      <c r="FD6898" s="26" t="inlineStr">
        <is>
          <t>DC-B1845</t>
        </is>
      </c>
      <c r="FL6898" s="26" t="inlineStr">
        <is>
          <t>B</t>
        </is>
      </c>
      <c r="FP6898" s="26" t="inlineStr">
        <is>
          <t>B</t>
        </is>
      </c>
    </row>
    <row r="6899">
      <c r="FC6899" t="inlineStr">
        <is>
          <t>Diccionario 6</t>
        </is>
      </c>
      <c r="FD6899" s="26" t="inlineStr">
        <is>
          <t>DC-B1846</t>
        </is>
      </c>
      <c r="FL6899" s="26" t="inlineStr">
        <is>
          <t>B</t>
        </is>
      </c>
      <c r="FP6899" s="26" t="inlineStr">
        <is>
          <t>B</t>
        </is>
      </c>
    </row>
    <row r="6900">
      <c r="FC6900" t="inlineStr">
        <is>
          <t>Diccionario 6</t>
        </is>
      </c>
      <c r="FD6900" s="26" t="inlineStr">
        <is>
          <t>DC-B1847</t>
        </is>
      </c>
      <c r="FL6900" s="26" t="inlineStr">
        <is>
          <t>B</t>
        </is>
      </c>
      <c r="FP6900" s="26" t="inlineStr">
        <is>
          <t>B</t>
        </is>
      </c>
    </row>
    <row r="6901">
      <c r="FC6901" t="inlineStr">
        <is>
          <t>Diccionario 6</t>
        </is>
      </c>
      <c r="FD6901" s="26" t="inlineStr">
        <is>
          <t>DC-B1848</t>
        </is>
      </c>
      <c r="FL6901" s="26" t="inlineStr">
        <is>
          <t>B</t>
        </is>
      </c>
      <c r="FP6901" s="26" t="inlineStr">
        <is>
          <t>B</t>
        </is>
      </c>
    </row>
    <row r="6902">
      <c r="FC6902" t="inlineStr">
        <is>
          <t>Diccionario 6</t>
        </is>
      </c>
      <c r="FD6902" s="26" t="inlineStr">
        <is>
          <t>DC-B1849</t>
        </is>
      </c>
      <c r="FL6902" s="26" t="inlineStr">
        <is>
          <t>B</t>
        </is>
      </c>
      <c r="FP6902" s="26" t="inlineStr">
        <is>
          <t>B</t>
        </is>
      </c>
    </row>
    <row r="6903">
      <c r="FC6903" t="inlineStr">
        <is>
          <t>Diccionario 6</t>
        </is>
      </c>
      <c r="FD6903" s="26" t="inlineStr">
        <is>
          <t>DC-B1850</t>
        </is>
      </c>
      <c r="FL6903" s="26" t="inlineStr">
        <is>
          <t>B</t>
        </is>
      </c>
      <c r="FP6903" s="26" t="inlineStr">
        <is>
          <t>B</t>
        </is>
      </c>
    </row>
    <row r="6904">
      <c r="FC6904" t="inlineStr">
        <is>
          <t>Diccionario 6</t>
        </is>
      </c>
      <c r="FD6904" s="26" t="inlineStr">
        <is>
          <t>DC-B1851</t>
        </is>
      </c>
      <c r="FL6904" s="26" t="inlineStr">
        <is>
          <t>B</t>
        </is>
      </c>
      <c r="FP6904" s="26" t="inlineStr">
        <is>
          <t>B</t>
        </is>
      </c>
    </row>
    <row r="6905">
      <c r="FC6905" t="inlineStr">
        <is>
          <t>Diccionario 6</t>
        </is>
      </c>
      <c r="FD6905" s="26" t="inlineStr">
        <is>
          <t>DC-B1852</t>
        </is>
      </c>
      <c r="FL6905" s="26" t="inlineStr">
        <is>
          <t>B</t>
        </is>
      </c>
      <c r="FP6905" s="26" t="inlineStr">
        <is>
          <t>B</t>
        </is>
      </c>
    </row>
    <row r="6906">
      <c r="FC6906" t="inlineStr">
        <is>
          <t>Diccionario 6</t>
        </is>
      </c>
      <c r="FD6906" s="26" t="inlineStr">
        <is>
          <t>DC-B1853</t>
        </is>
      </c>
      <c r="FL6906" s="26" t="inlineStr">
        <is>
          <t>B</t>
        </is>
      </c>
      <c r="FP6906" s="26" t="inlineStr">
        <is>
          <t>B</t>
        </is>
      </c>
    </row>
    <row r="6907">
      <c r="FC6907" t="inlineStr">
        <is>
          <t>Diccionario 6</t>
        </is>
      </c>
      <c r="FD6907" s="26" t="inlineStr">
        <is>
          <t>DC-B1854</t>
        </is>
      </c>
      <c r="FL6907" s="26" t="inlineStr">
        <is>
          <t>B</t>
        </is>
      </c>
      <c r="FP6907" s="26" t="inlineStr">
        <is>
          <t>B</t>
        </is>
      </c>
    </row>
    <row r="6908">
      <c r="FC6908" t="inlineStr">
        <is>
          <t>Diccionario 6</t>
        </is>
      </c>
      <c r="FD6908" s="26" t="inlineStr">
        <is>
          <t>DC-B1855</t>
        </is>
      </c>
      <c r="FL6908" s="26" t="inlineStr">
        <is>
          <t>B</t>
        </is>
      </c>
      <c r="FP6908" s="26" t="inlineStr">
        <is>
          <t>B</t>
        </is>
      </c>
    </row>
    <row r="6909">
      <c r="FC6909" t="inlineStr">
        <is>
          <t>Diccionario 6</t>
        </is>
      </c>
      <c r="FD6909" s="26" t="inlineStr">
        <is>
          <t>DC-B1856</t>
        </is>
      </c>
      <c r="FL6909" s="26" t="inlineStr">
        <is>
          <t>B</t>
        </is>
      </c>
      <c r="FP6909" s="26" t="inlineStr">
        <is>
          <t>B</t>
        </is>
      </c>
    </row>
    <row r="6910">
      <c r="FC6910" t="inlineStr">
        <is>
          <t>Diccionario 6</t>
        </is>
      </c>
      <c r="FD6910" s="26" t="inlineStr">
        <is>
          <t>DC-B1857</t>
        </is>
      </c>
      <c r="FL6910" s="26" t="inlineStr">
        <is>
          <t>B</t>
        </is>
      </c>
      <c r="FP6910" s="26" t="inlineStr">
        <is>
          <t>B</t>
        </is>
      </c>
    </row>
    <row r="6911">
      <c r="FC6911" t="inlineStr">
        <is>
          <t>Diccionario 6</t>
        </is>
      </c>
      <c r="FD6911" s="26" t="inlineStr">
        <is>
          <t>DC-B1858</t>
        </is>
      </c>
      <c r="FL6911" s="26" t="inlineStr">
        <is>
          <t>B</t>
        </is>
      </c>
      <c r="FP6911" s="26" t="inlineStr">
        <is>
          <t>B</t>
        </is>
      </c>
    </row>
    <row r="6912">
      <c r="FC6912" t="inlineStr">
        <is>
          <t>Diccionario 6</t>
        </is>
      </c>
      <c r="FD6912" s="26" t="inlineStr">
        <is>
          <t>DC-B1859</t>
        </is>
      </c>
      <c r="FL6912" s="26" t="inlineStr">
        <is>
          <t>B</t>
        </is>
      </c>
      <c r="FP6912" s="26" t="inlineStr">
        <is>
          <t>B</t>
        </is>
      </c>
    </row>
    <row r="6913">
      <c r="FC6913" t="inlineStr">
        <is>
          <t>Diccionario 6</t>
        </is>
      </c>
      <c r="FD6913" s="26" t="inlineStr">
        <is>
          <t>DC-B1860</t>
        </is>
      </c>
      <c r="FL6913" s="26" t="inlineStr">
        <is>
          <t>B</t>
        </is>
      </c>
      <c r="FP6913" s="26" t="inlineStr">
        <is>
          <t>B</t>
        </is>
      </c>
    </row>
    <row r="6914">
      <c r="FC6914" t="inlineStr">
        <is>
          <t>Diccionario 6</t>
        </is>
      </c>
      <c r="FD6914" s="26" t="inlineStr">
        <is>
          <t>DC-B1861</t>
        </is>
      </c>
      <c r="FL6914" s="26" t="inlineStr">
        <is>
          <t>B</t>
        </is>
      </c>
      <c r="FP6914" s="26" t="inlineStr">
        <is>
          <t>B</t>
        </is>
      </c>
    </row>
    <row r="6915">
      <c r="FC6915" t="inlineStr">
        <is>
          <t>Diccionario 6</t>
        </is>
      </c>
      <c r="FD6915" s="26" t="inlineStr">
        <is>
          <t>DC-B1862</t>
        </is>
      </c>
      <c r="FL6915" s="26" t="inlineStr">
        <is>
          <t>B</t>
        </is>
      </c>
      <c r="FP6915" s="26" t="inlineStr">
        <is>
          <t>B</t>
        </is>
      </c>
    </row>
    <row r="6916">
      <c r="FC6916" t="inlineStr">
        <is>
          <t>Diccionario 6</t>
        </is>
      </c>
      <c r="FD6916" s="26" t="inlineStr">
        <is>
          <t>DC-B1863</t>
        </is>
      </c>
      <c r="FL6916" s="26" t="inlineStr">
        <is>
          <t>B</t>
        </is>
      </c>
      <c r="FP6916" s="26" t="inlineStr">
        <is>
          <t>B</t>
        </is>
      </c>
    </row>
    <row r="6917">
      <c r="FC6917" t="inlineStr">
        <is>
          <t>Diccionario 6</t>
        </is>
      </c>
      <c r="FD6917" s="26" t="inlineStr">
        <is>
          <t>DC-B1864</t>
        </is>
      </c>
      <c r="FL6917" s="26" t="inlineStr">
        <is>
          <t>B</t>
        </is>
      </c>
      <c r="FP6917" s="26" t="inlineStr">
        <is>
          <t>B</t>
        </is>
      </c>
    </row>
    <row r="6918">
      <c r="FC6918" t="inlineStr">
        <is>
          <t>Diccionario 6</t>
        </is>
      </c>
      <c r="FD6918" s="26" t="inlineStr">
        <is>
          <t>DC-B1865</t>
        </is>
      </c>
      <c r="FL6918" s="26" t="inlineStr">
        <is>
          <t>B</t>
        </is>
      </c>
      <c r="FP6918" s="26" t="inlineStr">
        <is>
          <t>B</t>
        </is>
      </c>
    </row>
    <row r="6919">
      <c r="FC6919" t="inlineStr">
        <is>
          <t>Diccionario 6</t>
        </is>
      </c>
      <c r="FD6919" s="26" t="inlineStr">
        <is>
          <t>DC-B1866</t>
        </is>
      </c>
      <c r="FL6919" s="26" t="inlineStr">
        <is>
          <t>B</t>
        </is>
      </c>
      <c r="FP6919" s="26" t="inlineStr">
        <is>
          <t>B</t>
        </is>
      </c>
    </row>
    <row r="6920">
      <c r="FC6920" t="inlineStr">
        <is>
          <t>Diccionario 6</t>
        </is>
      </c>
      <c r="FD6920" s="26" t="inlineStr">
        <is>
          <t>DC-B1867</t>
        </is>
      </c>
      <c r="FL6920" s="26" t="inlineStr">
        <is>
          <t>B</t>
        </is>
      </c>
      <c r="FP6920" s="26" t="inlineStr">
        <is>
          <t>B</t>
        </is>
      </c>
    </row>
    <row r="6921">
      <c r="FC6921" t="inlineStr">
        <is>
          <t>Diccionario 6</t>
        </is>
      </c>
      <c r="FD6921" s="26" t="inlineStr">
        <is>
          <t>DC-B1868</t>
        </is>
      </c>
      <c r="FL6921" s="26" t="inlineStr">
        <is>
          <t>B</t>
        </is>
      </c>
      <c r="FP6921" s="26" t="inlineStr">
        <is>
          <t>B</t>
        </is>
      </c>
    </row>
    <row r="6922">
      <c r="FC6922" t="inlineStr">
        <is>
          <t>Diccionario 6</t>
        </is>
      </c>
      <c r="FD6922" s="26" t="inlineStr">
        <is>
          <t>LA-B1869</t>
        </is>
      </c>
      <c r="FL6922" s="26" t="inlineStr">
        <is>
          <t>B</t>
        </is>
      </c>
      <c r="FP6922" s="26" t="inlineStr">
        <is>
          <t>B</t>
        </is>
      </c>
    </row>
    <row r="6923">
      <c r="FC6923" t="inlineStr">
        <is>
          <t>Diccionario 6</t>
        </is>
      </c>
      <c r="FD6923" s="26" t="inlineStr">
        <is>
          <t>LA-B1870</t>
        </is>
      </c>
      <c r="FL6923" s="26" t="inlineStr">
        <is>
          <t>B</t>
        </is>
      </c>
      <c r="FP6923" s="26" t="inlineStr">
        <is>
          <t>B</t>
        </is>
      </c>
    </row>
    <row r="6924">
      <c r="FC6924" t="inlineStr">
        <is>
          <t>Diccionario 6</t>
        </is>
      </c>
      <c r="FD6924" s="26" t="inlineStr">
        <is>
          <t>LA-B1871</t>
        </is>
      </c>
      <c r="FL6924" s="26" t="inlineStr">
        <is>
          <t>B</t>
        </is>
      </c>
      <c r="FP6924" s="26" t="inlineStr">
        <is>
          <t>B</t>
        </is>
      </c>
    </row>
    <row r="6925">
      <c r="FC6925" t="inlineStr">
        <is>
          <t>Diccionario 6</t>
        </is>
      </c>
      <c r="FD6925" s="26" t="inlineStr">
        <is>
          <t>LA-B1872</t>
        </is>
      </c>
      <c r="FL6925" s="26" t="inlineStr">
        <is>
          <t>B</t>
        </is>
      </c>
      <c r="FP6925" s="26" t="inlineStr">
        <is>
          <t>B</t>
        </is>
      </c>
    </row>
    <row r="6926">
      <c r="FC6926" t="inlineStr">
        <is>
          <t>Diccionario 6</t>
        </is>
      </c>
      <c r="FD6926" s="26" t="inlineStr">
        <is>
          <t>LA-B1873</t>
        </is>
      </c>
      <c r="FL6926" s="26" t="inlineStr">
        <is>
          <t>B</t>
        </is>
      </c>
      <c r="FP6926" s="26" t="inlineStr">
        <is>
          <t>B</t>
        </is>
      </c>
    </row>
    <row r="6927">
      <c r="FC6927" t="inlineStr">
        <is>
          <t>Diccionario 6</t>
        </is>
      </c>
      <c r="FD6927" s="26" t="inlineStr">
        <is>
          <t>LA-B1874</t>
        </is>
      </c>
      <c r="FL6927" s="26" t="inlineStr">
        <is>
          <t>B</t>
        </is>
      </c>
      <c r="FP6927" s="26" t="inlineStr">
        <is>
          <t>B</t>
        </is>
      </c>
    </row>
    <row r="6928">
      <c r="FC6928" t="inlineStr">
        <is>
          <t>Diccionario 6</t>
        </is>
      </c>
      <c r="FD6928" s="26" t="inlineStr">
        <is>
          <t>LA-B1875</t>
        </is>
      </c>
      <c r="FL6928" s="26" t="inlineStr">
        <is>
          <t>B</t>
        </is>
      </c>
      <c r="FP6928" s="26" t="inlineStr">
        <is>
          <t>B</t>
        </is>
      </c>
    </row>
    <row r="6929">
      <c r="FC6929" t="inlineStr">
        <is>
          <t>Diccionario 6</t>
        </is>
      </c>
      <c r="FD6929" s="26" t="inlineStr">
        <is>
          <t>LA-B1876</t>
        </is>
      </c>
      <c r="FL6929" s="26" t="inlineStr">
        <is>
          <t>B</t>
        </is>
      </c>
      <c r="FP6929" s="26" t="inlineStr">
        <is>
          <t>B</t>
        </is>
      </c>
    </row>
    <row r="6930">
      <c r="FC6930" t="inlineStr">
        <is>
          <t>Diccionario 6</t>
        </is>
      </c>
      <c r="FD6930" s="26" t="inlineStr">
        <is>
          <t>LA-B1877</t>
        </is>
      </c>
      <c r="FL6930" s="26" t="inlineStr">
        <is>
          <t>B</t>
        </is>
      </c>
      <c r="FP6930" s="26" t="inlineStr">
        <is>
          <t>B</t>
        </is>
      </c>
    </row>
    <row r="6931">
      <c r="FC6931" t="inlineStr">
        <is>
          <t>Diccionario 6</t>
        </is>
      </c>
      <c r="FD6931" s="26" t="inlineStr">
        <is>
          <t>LA-B1878</t>
        </is>
      </c>
      <c r="FL6931" s="26" t="inlineStr">
        <is>
          <t>B</t>
        </is>
      </c>
      <c r="FP6931" s="26" t="inlineStr">
        <is>
          <t>B</t>
        </is>
      </c>
    </row>
    <row r="6932">
      <c r="FC6932" t="inlineStr">
        <is>
          <t>Diccionario 6</t>
        </is>
      </c>
      <c r="FD6932" s="26" t="inlineStr">
        <is>
          <t>LA-B1879</t>
        </is>
      </c>
      <c r="FL6932" s="26" t="inlineStr">
        <is>
          <t>B</t>
        </is>
      </c>
      <c r="FP6932" s="26" t="inlineStr">
        <is>
          <t>B</t>
        </is>
      </c>
    </row>
    <row r="6933">
      <c r="FC6933" t="inlineStr">
        <is>
          <t>Diccionario 6</t>
        </is>
      </c>
      <c r="FD6933" s="26" t="inlineStr">
        <is>
          <t>LA-A1880</t>
        </is>
      </c>
      <c r="FL6933" s="26" t="inlineStr">
        <is>
          <t>A</t>
        </is>
      </c>
      <c r="FP6933" s="26" t="inlineStr">
        <is>
          <t>A</t>
        </is>
      </c>
    </row>
    <row r="6934">
      <c r="FC6934" t="inlineStr">
        <is>
          <t>Diccionario 6</t>
        </is>
      </c>
      <c r="FD6934" s="26" t="inlineStr">
        <is>
          <t>LA-A1881</t>
        </is>
      </c>
      <c r="FL6934" s="26" t="inlineStr">
        <is>
          <t>A</t>
        </is>
      </c>
      <c r="FP6934" s="26" t="inlineStr">
        <is>
          <t>A</t>
        </is>
      </c>
    </row>
    <row r="6935">
      <c r="FC6935" t="inlineStr">
        <is>
          <t>Diccionario 6</t>
        </is>
      </c>
      <c r="FD6935" s="26" t="inlineStr">
        <is>
          <t>LA-A1882</t>
        </is>
      </c>
      <c r="FL6935" s="26" t="inlineStr">
        <is>
          <t>A</t>
        </is>
      </c>
      <c r="FP6935" s="26" t="inlineStr">
        <is>
          <t>A</t>
        </is>
      </c>
    </row>
    <row r="6936">
      <c r="FC6936" t="inlineStr">
        <is>
          <t>Diccionario 6</t>
        </is>
      </c>
      <c r="FD6936" s="26" t="inlineStr">
        <is>
          <t>LA-A1883</t>
        </is>
      </c>
      <c r="FL6936" s="26" t="inlineStr">
        <is>
          <t>A</t>
        </is>
      </c>
      <c r="FP6936" s="26" t="inlineStr">
        <is>
          <t>A</t>
        </is>
      </c>
    </row>
    <row r="6937">
      <c r="FC6937" t="inlineStr">
        <is>
          <t>Diccionario 6</t>
        </is>
      </c>
      <c r="FD6937" s="26" t="inlineStr">
        <is>
          <t>LA-A1884</t>
        </is>
      </c>
      <c r="FL6937" s="26" t="inlineStr">
        <is>
          <t>A</t>
        </is>
      </c>
      <c r="FP6937" s="26" t="inlineStr">
        <is>
          <t>A</t>
        </is>
      </c>
    </row>
    <row r="6938">
      <c r="FC6938" t="inlineStr">
        <is>
          <t>Diccionario 6</t>
        </is>
      </c>
      <c r="FD6938" s="26" t="inlineStr">
        <is>
          <t>LA-A1885</t>
        </is>
      </c>
      <c r="FL6938" s="26" t="inlineStr">
        <is>
          <t>A</t>
        </is>
      </c>
      <c r="FP6938" s="26" t="inlineStr">
        <is>
          <t>A</t>
        </is>
      </c>
    </row>
    <row r="6939">
      <c r="FC6939" t="inlineStr">
        <is>
          <t>Diccionario 6</t>
        </is>
      </c>
      <c r="FD6939" s="26" t="inlineStr">
        <is>
          <t>LA-A1886</t>
        </is>
      </c>
      <c r="FL6939" s="26" t="inlineStr">
        <is>
          <t>A</t>
        </is>
      </c>
      <c r="FP6939" s="26" t="inlineStr">
        <is>
          <t>A</t>
        </is>
      </c>
    </row>
    <row r="6940">
      <c r="FC6940" t="inlineStr">
        <is>
          <t>Diccionario 6</t>
        </is>
      </c>
      <c r="FD6940" s="26" t="inlineStr">
        <is>
          <t>LA-A1887</t>
        </is>
      </c>
      <c r="FL6940" s="26" t="inlineStr">
        <is>
          <t>A</t>
        </is>
      </c>
      <c r="FP6940" s="26" t="inlineStr">
        <is>
          <t>A</t>
        </is>
      </c>
    </row>
    <row r="6941">
      <c r="FC6941" t="inlineStr">
        <is>
          <t>Diccionario 6</t>
        </is>
      </c>
      <c r="FD6941" s="26" t="inlineStr">
        <is>
          <t>LA-A1888</t>
        </is>
      </c>
      <c r="FL6941" s="26" t="inlineStr">
        <is>
          <t>A</t>
        </is>
      </c>
      <c r="FP6941" s="26" t="inlineStr">
        <is>
          <t>A</t>
        </is>
      </c>
    </row>
    <row r="6942">
      <c r="FC6942" t="inlineStr">
        <is>
          <t>Diccionario 6</t>
        </is>
      </c>
      <c r="FD6942" s="26" t="inlineStr">
        <is>
          <t>LA-B1889</t>
        </is>
      </c>
      <c r="FL6942" s="26" t="inlineStr">
        <is>
          <t>B</t>
        </is>
      </c>
      <c r="FP6942" s="26" t="inlineStr">
        <is>
          <t>B</t>
        </is>
      </c>
    </row>
    <row r="6943">
      <c r="FC6943" t="inlineStr">
        <is>
          <t>Diccionario 6</t>
        </is>
      </c>
      <c r="FD6943" s="26" t="inlineStr">
        <is>
          <t>LA-B1890</t>
        </is>
      </c>
      <c r="FL6943" s="26" t="inlineStr">
        <is>
          <t>B</t>
        </is>
      </c>
      <c r="FP6943" s="26" t="inlineStr">
        <is>
          <t>B</t>
        </is>
      </c>
    </row>
    <row r="6944">
      <c r="FC6944" t="inlineStr">
        <is>
          <t>Diccionario 6</t>
        </is>
      </c>
      <c r="FD6944" s="26" t="inlineStr">
        <is>
          <t>LA-B1891</t>
        </is>
      </c>
      <c r="FL6944" s="26" t="inlineStr">
        <is>
          <t>B</t>
        </is>
      </c>
      <c r="FP6944" s="26" t="inlineStr">
        <is>
          <t>B</t>
        </is>
      </c>
    </row>
    <row r="6945">
      <c r="FC6945" t="inlineStr">
        <is>
          <t>Diccionario 6</t>
        </is>
      </c>
      <c r="FD6945" s="26" t="inlineStr">
        <is>
          <t>LA-B1892</t>
        </is>
      </c>
      <c r="FL6945" s="26" t="inlineStr">
        <is>
          <t>B</t>
        </is>
      </c>
      <c r="FP6945" s="26" t="inlineStr">
        <is>
          <t>B</t>
        </is>
      </c>
    </row>
    <row r="6946">
      <c r="FC6946" t="inlineStr">
        <is>
          <t>Diccionario 6</t>
        </is>
      </c>
      <c r="FD6946" s="26" t="inlineStr">
        <is>
          <t>LA-B1893</t>
        </is>
      </c>
      <c r="FL6946" s="26" t="inlineStr">
        <is>
          <t>B</t>
        </is>
      </c>
      <c r="FP6946" s="26" t="inlineStr">
        <is>
          <t>B</t>
        </is>
      </c>
    </row>
    <row r="6947">
      <c r="FC6947" t="inlineStr">
        <is>
          <t>Diccionario 6</t>
        </is>
      </c>
      <c r="FD6947" s="26" t="inlineStr">
        <is>
          <t>LA-B1894</t>
        </is>
      </c>
      <c r="FL6947" s="26" t="inlineStr">
        <is>
          <t>B</t>
        </is>
      </c>
      <c r="FP6947" s="26" t="inlineStr">
        <is>
          <t>B</t>
        </is>
      </c>
    </row>
    <row r="6948">
      <c r="FC6948" t="inlineStr">
        <is>
          <t>Diccionario 6</t>
        </is>
      </c>
      <c r="FD6948" s="26" t="inlineStr">
        <is>
          <t>LA-B1895</t>
        </is>
      </c>
      <c r="FL6948" s="26" t="inlineStr">
        <is>
          <t>B</t>
        </is>
      </c>
      <c r="FP6948" s="26" t="inlineStr">
        <is>
          <t>B</t>
        </is>
      </c>
    </row>
    <row r="6949">
      <c r="FC6949" t="inlineStr">
        <is>
          <t>Diccionario 6</t>
        </is>
      </c>
      <c r="FD6949" s="26" t="inlineStr">
        <is>
          <t>LA-B1896</t>
        </is>
      </c>
      <c r="FL6949" s="26" t="inlineStr">
        <is>
          <t>B</t>
        </is>
      </c>
      <c r="FP6949" s="26" t="inlineStr">
        <is>
          <t>B</t>
        </is>
      </c>
    </row>
    <row r="6950">
      <c r="FC6950" t="inlineStr">
        <is>
          <t>Diccionario 6</t>
        </is>
      </c>
      <c r="FD6950" s="26" t="inlineStr">
        <is>
          <t>LA-B1897</t>
        </is>
      </c>
      <c r="FL6950" s="26" t="inlineStr">
        <is>
          <t>B</t>
        </is>
      </c>
      <c r="FP6950" s="26" t="inlineStr">
        <is>
          <t>B</t>
        </is>
      </c>
    </row>
    <row r="6951">
      <c r="FC6951" t="inlineStr">
        <is>
          <t>Diccionario 6</t>
        </is>
      </c>
      <c r="FD6951" s="26" t="inlineStr">
        <is>
          <t>LA-B1898</t>
        </is>
      </c>
      <c r="FL6951" s="26" t="inlineStr">
        <is>
          <t>B</t>
        </is>
      </c>
      <c r="FP6951" s="26" t="inlineStr">
        <is>
          <t>B</t>
        </is>
      </c>
    </row>
    <row r="6952">
      <c r="FC6952" t="inlineStr">
        <is>
          <t>Diccionario 6</t>
        </is>
      </c>
      <c r="FD6952" s="26" t="inlineStr">
        <is>
          <t>LA-B1899</t>
        </is>
      </c>
      <c r="FL6952" s="26" t="inlineStr">
        <is>
          <t>B</t>
        </is>
      </c>
      <c r="FP6952" s="26" t="inlineStr">
        <is>
          <t>B</t>
        </is>
      </c>
    </row>
    <row r="6953">
      <c r="FC6953" t="inlineStr">
        <is>
          <t>Diccionario 6</t>
        </is>
      </c>
      <c r="FD6953" s="26" t="inlineStr">
        <is>
          <t>LA-B1900</t>
        </is>
      </c>
      <c r="FL6953" s="26" t="inlineStr">
        <is>
          <t>B</t>
        </is>
      </c>
      <c r="FP6953" s="26" t="inlineStr">
        <is>
          <t>B</t>
        </is>
      </c>
    </row>
    <row r="6954">
      <c r="FC6954" t="inlineStr">
        <is>
          <t>Diccionario 6</t>
        </is>
      </c>
      <c r="FD6954" s="26" t="inlineStr">
        <is>
          <t>LA-B1901</t>
        </is>
      </c>
      <c r="FL6954" s="26" t="inlineStr">
        <is>
          <t>B</t>
        </is>
      </c>
      <c r="FP6954" s="26" t="inlineStr">
        <is>
          <t>B</t>
        </is>
      </c>
    </row>
    <row r="6955">
      <c r="FC6955" t="inlineStr">
        <is>
          <t>Diccionario 6</t>
        </is>
      </c>
      <c r="FD6955" s="26" t="inlineStr">
        <is>
          <t>LA-B1902</t>
        </is>
      </c>
      <c r="FL6955" s="26" t="inlineStr">
        <is>
          <t>B</t>
        </is>
      </c>
      <c r="FP6955" s="26" t="inlineStr">
        <is>
          <t>B</t>
        </is>
      </c>
    </row>
    <row r="6956">
      <c r="FC6956" t="inlineStr">
        <is>
          <t>Diccionario 6</t>
        </is>
      </c>
      <c r="FD6956" s="26" t="inlineStr">
        <is>
          <t>LA-B1903</t>
        </is>
      </c>
      <c r="FL6956" s="26" t="inlineStr">
        <is>
          <t>B</t>
        </is>
      </c>
      <c r="FP6956" s="26" t="inlineStr">
        <is>
          <t>B</t>
        </is>
      </c>
    </row>
    <row r="6957">
      <c r="FC6957" t="inlineStr">
        <is>
          <t>Diccionario 6</t>
        </is>
      </c>
      <c r="FD6957" s="26" t="inlineStr">
        <is>
          <t>LA-B1904</t>
        </is>
      </c>
      <c r="FL6957" s="26" t="inlineStr">
        <is>
          <t>B</t>
        </is>
      </c>
      <c r="FP6957" s="26" t="inlineStr">
        <is>
          <t>B</t>
        </is>
      </c>
    </row>
    <row r="6958">
      <c r="FC6958" t="inlineStr">
        <is>
          <t>Diccionario 6</t>
        </is>
      </c>
      <c r="FD6958" s="26" t="inlineStr">
        <is>
          <t>LA-B1905</t>
        </is>
      </c>
      <c r="FL6958" s="26" t="inlineStr">
        <is>
          <t>B</t>
        </is>
      </c>
      <c r="FP6958" s="26" t="inlineStr">
        <is>
          <t>B</t>
        </is>
      </c>
    </row>
    <row r="6959">
      <c r="FC6959" t="inlineStr">
        <is>
          <t>Diccionario 6</t>
        </is>
      </c>
      <c r="FD6959" s="26" t="inlineStr">
        <is>
          <t>LA-B1906</t>
        </is>
      </c>
      <c r="FL6959" s="26" t="inlineStr">
        <is>
          <t>B</t>
        </is>
      </c>
      <c r="FP6959" s="26" t="inlineStr">
        <is>
          <t>B</t>
        </is>
      </c>
    </row>
    <row r="6960">
      <c r="FC6960" t="inlineStr">
        <is>
          <t>Diccionario 6</t>
        </is>
      </c>
      <c r="FD6960" s="26" t="inlineStr">
        <is>
          <t>LA-B1907</t>
        </is>
      </c>
      <c r="FL6960" s="26" t="inlineStr">
        <is>
          <t>B</t>
        </is>
      </c>
      <c r="FP6960" s="26" t="inlineStr">
        <is>
          <t>B</t>
        </is>
      </c>
    </row>
    <row r="6961">
      <c r="FC6961" t="inlineStr">
        <is>
          <t>Diccionario 6</t>
        </is>
      </c>
      <c r="FD6961" s="26" t="inlineStr">
        <is>
          <t>LA-B1908</t>
        </is>
      </c>
      <c r="FL6961" s="26" t="inlineStr">
        <is>
          <t>B</t>
        </is>
      </c>
      <c r="FP6961" s="26" t="inlineStr">
        <is>
          <t>B</t>
        </is>
      </c>
    </row>
    <row r="6962">
      <c r="FC6962" t="inlineStr">
        <is>
          <t>Diccionario 6</t>
        </is>
      </c>
      <c r="FD6962" s="26" t="inlineStr">
        <is>
          <t>LA-B1909</t>
        </is>
      </c>
      <c r="FL6962" s="26" t="inlineStr">
        <is>
          <t>B</t>
        </is>
      </c>
      <c r="FP6962" s="26" t="inlineStr">
        <is>
          <t>B</t>
        </is>
      </c>
    </row>
    <row r="6963">
      <c r="FC6963" t="inlineStr">
        <is>
          <t>Diccionario 6</t>
        </is>
      </c>
      <c r="FD6963" s="26" t="inlineStr">
        <is>
          <t>LA-B1910</t>
        </is>
      </c>
      <c r="FL6963" s="26" t="inlineStr">
        <is>
          <t>B</t>
        </is>
      </c>
      <c r="FP6963" s="26" t="inlineStr">
        <is>
          <t>B</t>
        </is>
      </c>
    </row>
    <row r="6964">
      <c r="FC6964" t="inlineStr">
        <is>
          <t>Diccionario 6</t>
        </is>
      </c>
      <c r="FD6964" s="26" t="inlineStr">
        <is>
          <t>LA-B1911</t>
        </is>
      </c>
      <c r="FL6964" s="26" t="inlineStr">
        <is>
          <t>B</t>
        </is>
      </c>
      <c r="FP6964" s="26" t="inlineStr">
        <is>
          <t>B</t>
        </is>
      </c>
    </row>
    <row r="6965">
      <c r="FC6965" t="inlineStr">
        <is>
          <t>Diccionario 6</t>
        </is>
      </c>
      <c r="FD6965" s="26" t="inlineStr">
        <is>
          <t>LA-B1912</t>
        </is>
      </c>
      <c r="FL6965" s="26" t="inlineStr">
        <is>
          <t>B</t>
        </is>
      </c>
      <c r="FP6965" s="26" t="inlineStr">
        <is>
          <t>B</t>
        </is>
      </c>
    </row>
    <row r="6966">
      <c r="FC6966" t="inlineStr">
        <is>
          <t>Diccionario 6</t>
        </is>
      </c>
      <c r="FD6966" s="26" t="inlineStr">
        <is>
          <t>LA-B1913</t>
        </is>
      </c>
      <c r="FL6966" s="26" t="inlineStr">
        <is>
          <t>B</t>
        </is>
      </c>
      <c r="FP6966" s="26" t="inlineStr">
        <is>
          <t>B</t>
        </is>
      </c>
    </row>
    <row r="6967">
      <c r="FC6967" t="inlineStr">
        <is>
          <t>Diccionario 6</t>
        </is>
      </c>
      <c r="FD6967" s="26" t="inlineStr">
        <is>
          <t>LA-B1914</t>
        </is>
      </c>
      <c r="FL6967" s="26" t="inlineStr">
        <is>
          <t>B</t>
        </is>
      </c>
      <c r="FP6967" s="26" t="inlineStr">
        <is>
          <t>B</t>
        </is>
      </c>
    </row>
    <row r="6968">
      <c r="FC6968" t="inlineStr">
        <is>
          <t>Diccionario 6</t>
        </is>
      </c>
      <c r="FD6968" s="26" t="inlineStr">
        <is>
          <t>LA-B1915</t>
        </is>
      </c>
      <c r="FL6968" s="26" t="inlineStr">
        <is>
          <t>B</t>
        </is>
      </c>
      <c r="FP6968" s="26" t="inlineStr">
        <is>
          <t>B</t>
        </is>
      </c>
    </row>
    <row r="6969">
      <c r="FC6969" t="inlineStr">
        <is>
          <t>Diccionario 6</t>
        </is>
      </c>
      <c r="FD6969" s="26" t="inlineStr">
        <is>
          <t>LA-B1916</t>
        </is>
      </c>
      <c r="FL6969" s="26" t="inlineStr">
        <is>
          <t>B</t>
        </is>
      </c>
      <c r="FP6969" s="26" t="inlineStr">
        <is>
          <t>B</t>
        </is>
      </c>
    </row>
    <row r="6970">
      <c r="FC6970" t="inlineStr">
        <is>
          <t>Diccionario 6</t>
        </is>
      </c>
      <c r="FD6970" s="26" t="inlineStr">
        <is>
          <t>LA-B1917</t>
        </is>
      </c>
      <c r="FL6970" s="26" t="inlineStr">
        <is>
          <t>B</t>
        </is>
      </c>
      <c r="FP6970" s="26" t="inlineStr">
        <is>
          <t>B</t>
        </is>
      </c>
    </row>
    <row r="6971">
      <c r="FC6971" t="inlineStr">
        <is>
          <t>Diccionario 6</t>
        </is>
      </c>
      <c r="FD6971" s="26" t="inlineStr">
        <is>
          <t>LA-B1918</t>
        </is>
      </c>
      <c r="FL6971" s="26" t="inlineStr">
        <is>
          <t>B</t>
        </is>
      </c>
      <c r="FP6971" s="26" t="inlineStr">
        <is>
          <t>B</t>
        </is>
      </c>
    </row>
    <row r="6972">
      <c r="FC6972" t="inlineStr">
        <is>
          <t>Diccionario 6</t>
        </is>
      </c>
      <c r="FD6972" s="26" t="inlineStr">
        <is>
          <t>LA-B1919</t>
        </is>
      </c>
      <c r="FL6972" s="26" t="inlineStr">
        <is>
          <t>B</t>
        </is>
      </c>
      <c r="FP6972" s="26" t="inlineStr">
        <is>
          <t>B</t>
        </is>
      </c>
    </row>
    <row r="6973">
      <c r="FC6973" t="inlineStr">
        <is>
          <t>Diccionario 6</t>
        </is>
      </c>
      <c r="FD6973" s="26" t="inlineStr">
        <is>
          <t>LA-B1920</t>
        </is>
      </c>
      <c r="FL6973" s="26" t="inlineStr">
        <is>
          <t>B</t>
        </is>
      </c>
      <c r="FP6973" s="26" t="inlineStr">
        <is>
          <t>B</t>
        </is>
      </c>
    </row>
    <row r="6974">
      <c r="FC6974" t="inlineStr">
        <is>
          <t>Diccionario 6</t>
        </is>
      </c>
      <c r="FD6974" s="26" t="inlineStr">
        <is>
          <t>LA-B1921</t>
        </is>
      </c>
      <c r="FL6974" s="26" t="inlineStr">
        <is>
          <t>B</t>
        </is>
      </c>
      <c r="FP6974" s="26" t="inlineStr">
        <is>
          <t>B</t>
        </is>
      </c>
    </row>
    <row r="6975">
      <c r="FC6975" t="inlineStr">
        <is>
          <t>Diccionario 6</t>
        </is>
      </c>
      <c r="FD6975" s="26" t="inlineStr">
        <is>
          <t>LA-B1922</t>
        </is>
      </c>
      <c r="FL6975" s="26" t="inlineStr">
        <is>
          <t>B</t>
        </is>
      </c>
      <c r="FP6975" s="26" t="inlineStr">
        <is>
          <t>B</t>
        </is>
      </c>
    </row>
    <row r="6976">
      <c r="FC6976" t="inlineStr">
        <is>
          <t>Diccionario 6</t>
        </is>
      </c>
      <c r="FD6976" s="26" t="inlineStr">
        <is>
          <t>LA-B1923</t>
        </is>
      </c>
      <c r="FL6976" s="26" t="inlineStr">
        <is>
          <t>B</t>
        </is>
      </c>
      <c r="FP6976" s="26" t="inlineStr">
        <is>
          <t>B</t>
        </is>
      </c>
    </row>
    <row r="6977">
      <c r="FC6977" t="inlineStr">
        <is>
          <t>Diccionario 6</t>
        </is>
      </c>
      <c r="FD6977" s="26" t="inlineStr">
        <is>
          <t>LA-B1924</t>
        </is>
      </c>
      <c r="FL6977" s="26" t="inlineStr">
        <is>
          <t>B</t>
        </is>
      </c>
      <c r="FP6977" s="26" t="inlineStr">
        <is>
          <t>B</t>
        </is>
      </c>
    </row>
    <row r="6978">
      <c r="FC6978" t="inlineStr">
        <is>
          <t>Diccionario 6</t>
        </is>
      </c>
      <c r="FD6978" s="26" t="inlineStr">
        <is>
          <t>LA-B1925</t>
        </is>
      </c>
      <c r="FL6978" s="26" t="inlineStr">
        <is>
          <t>B</t>
        </is>
      </c>
      <c r="FP6978" s="26" t="inlineStr">
        <is>
          <t>B</t>
        </is>
      </c>
    </row>
    <row r="6979">
      <c r="FC6979" t="inlineStr">
        <is>
          <t>Diccionario 6</t>
        </is>
      </c>
      <c r="FD6979" s="26" t="inlineStr">
        <is>
          <t>LA-B1926</t>
        </is>
      </c>
      <c r="FL6979" s="26" t="inlineStr">
        <is>
          <t>B</t>
        </is>
      </c>
      <c r="FP6979" s="26" t="inlineStr">
        <is>
          <t>B</t>
        </is>
      </c>
    </row>
    <row r="6980">
      <c r="FC6980" t="inlineStr">
        <is>
          <t>Diccionario 6</t>
        </is>
      </c>
      <c r="FD6980" s="26" t="inlineStr">
        <is>
          <t>LA-B1927</t>
        </is>
      </c>
      <c r="FL6980" s="26" t="inlineStr">
        <is>
          <t>B</t>
        </is>
      </c>
      <c r="FP6980" s="26" t="inlineStr">
        <is>
          <t>B</t>
        </is>
      </c>
    </row>
    <row r="6981">
      <c r="FC6981" t="inlineStr">
        <is>
          <t>Diccionario 6</t>
        </is>
      </c>
      <c r="FD6981" s="26" t="inlineStr">
        <is>
          <t>LA-B1928</t>
        </is>
      </c>
      <c r="FL6981" s="26" t="inlineStr">
        <is>
          <t>B</t>
        </is>
      </c>
      <c r="FP6981" s="26" t="inlineStr">
        <is>
          <t>B</t>
        </is>
      </c>
    </row>
    <row r="6982">
      <c r="FC6982" t="inlineStr">
        <is>
          <t>Diccionario 6</t>
        </is>
      </c>
      <c r="FD6982" s="26" t="inlineStr">
        <is>
          <t>LA-B1929</t>
        </is>
      </c>
      <c r="FL6982" s="26" t="inlineStr">
        <is>
          <t>B</t>
        </is>
      </c>
      <c r="FP6982" s="26" t="inlineStr">
        <is>
          <t>B</t>
        </is>
      </c>
    </row>
    <row r="6983">
      <c r="FC6983" t="inlineStr">
        <is>
          <t>Diccionario 6</t>
        </is>
      </c>
      <c r="FD6983" s="26" t="inlineStr">
        <is>
          <t>LA-B1930</t>
        </is>
      </c>
      <c r="FL6983" s="26" t="inlineStr">
        <is>
          <t>B</t>
        </is>
      </c>
      <c r="FP6983" s="26" t="inlineStr">
        <is>
          <t>B</t>
        </is>
      </c>
    </row>
    <row r="6984">
      <c r="FC6984" t="inlineStr">
        <is>
          <t>Diccionario 6</t>
        </is>
      </c>
      <c r="FD6984" s="26" t="inlineStr">
        <is>
          <t>LA-B1931</t>
        </is>
      </c>
      <c r="FL6984" s="26" t="inlineStr">
        <is>
          <t>B</t>
        </is>
      </c>
      <c r="FP6984" s="26" t="inlineStr">
        <is>
          <t>B</t>
        </is>
      </c>
    </row>
    <row r="6985">
      <c r="FC6985" t="inlineStr">
        <is>
          <t>Diccionario 6</t>
        </is>
      </c>
      <c r="FD6985" s="26" t="inlineStr">
        <is>
          <t>LA-B1932</t>
        </is>
      </c>
      <c r="FL6985" s="26" t="inlineStr">
        <is>
          <t>B</t>
        </is>
      </c>
      <c r="FP6985" s="26" t="inlineStr">
        <is>
          <t>B</t>
        </is>
      </c>
    </row>
    <row r="6986">
      <c r="FC6986" t="inlineStr">
        <is>
          <t>Diccionario 6</t>
        </is>
      </c>
      <c r="FD6986" s="26" t="inlineStr">
        <is>
          <t>LA-B1933</t>
        </is>
      </c>
      <c r="FL6986" s="26" t="inlineStr">
        <is>
          <t>B</t>
        </is>
      </c>
      <c r="FP6986" s="26" t="inlineStr">
        <is>
          <t>B</t>
        </is>
      </c>
    </row>
    <row r="6987">
      <c r="FC6987" t="inlineStr">
        <is>
          <t>Diccionario 6</t>
        </is>
      </c>
      <c r="FD6987" s="26" t="inlineStr">
        <is>
          <t>LA-B1934</t>
        </is>
      </c>
      <c r="FL6987" s="26" t="inlineStr">
        <is>
          <t>B</t>
        </is>
      </c>
      <c r="FP6987" s="26" t="inlineStr">
        <is>
          <t>B</t>
        </is>
      </c>
    </row>
    <row r="6988">
      <c r="FC6988" t="inlineStr">
        <is>
          <t>Diccionario 6</t>
        </is>
      </c>
      <c r="FD6988" s="26" t="inlineStr">
        <is>
          <t>LA-B1935</t>
        </is>
      </c>
      <c r="FL6988" s="26" t="inlineStr">
        <is>
          <t>B</t>
        </is>
      </c>
      <c r="FP6988" s="26" t="inlineStr">
        <is>
          <t>B</t>
        </is>
      </c>
    </row>
    <row r="6989">
      <c r="FC6989" t="inlineStr">
        <is>
          <t>Diccionario 6</t>
        </is>
      </c>
      <c r="FD6989" s="26" t="inlineStr">
        <is>
          <t>LA-B1936</t>
        </is>
      </c>
      <c r="FL6989" s="26" t="inlineStr">
        <is>
          <t>B</t>
        </is>
      </c>
      <c r="FP6989" s="26" t="inlineStr">
        <is>
          <t>B</t>
        </is>
      </c>
    </row>
    <row r="6990">
      <c r="FC6990" t="inlineStr">
        <is>
          <t>Diccionario 6</t>
        </is>
      </c>
      <c r="FD6990" s="26" t="inlineStr">
        <is>
          <t>LA-B1937</t>
        </is>
      </c>
      <c r="FL6990" s="26" t="inlineStr">
        <is>
          <t>B</t>
        </is>
      </c>
      <c r="FP6990" s="26" t="inlineStr">
        <is>
          <t>B</t>
        </is>
      </c>
    </row>
    <row r="6991">
      <c r="FC6991" t="inlineStr">
        <is>
          <t>Diccionario 6</t>
        </is>
      </c>
      <c r="FD6991" s="26" t="inlineStr">
        <is>
          <t>LA-B1938</t>
        </is>
      </c>
      <c r="FL6991" s="26" t="inlineStr">
        <is>
          <t>B</t>
        </is>
      </c>
      <c r="FP6991" s="26" t="inlineStr">
        <is>
          <t>B</t>
        </is>
      </c>
    </row>
    <row r="6992">
      <c r="FC6992" t="inlineStr">
        <is>
          <t>Diccionario 6</t>
        </is>
      </c>
      <c r="FD6992" s="26" t="inlineStr">
        <is>
          <t>LA-B1939</t>
        </is>
      </c>
      <c r="FL6992" s="26" t="inlineStr">
        <is>
          <t>B</t>
        </is>
      </c>
      <c r="FP6992" s="26" t="inlineStr">
        <is>
          <t>B</t>
        </is>
      </c>
    </row>
    <row r="6993">
      <c r="FC6993" t="inlineStr">
        <is>
          <t>Diccionario 6</t>
        </is>
      </c>
      <c r="FD6993" s="26" t="inlineStr">
        <is>
          <t>LA-B1940</t>
        </is>
      </c>
      <c r="FL6993" s="26" t="inlineStr">
        <is>
          <t>B</t>
        </is>
      </c>
      <c r="FP6993" s="26" t="inlineStr">
        <is>
          <t>B</t>
        </is>
      </c>
    </row>
    <row r="6994">
      <c r="FC6994" t="inlineStr">
        <is>
          <t>Diccionario 6</t>
        </is>
      </c>
      <c r="FD6994" s="26" t="inlineStr">
        <is>
          <t>LA-B1941</t>
        </is>
      </c>
      <c r="FL6994" s="26" t="inlineStr">
        <is>
          <t>B</t>
        </is>
      </c>
      <c r="FP6994" s="26" t="inlineStr">
        <is>
          <t>B</t>
        </is>
      </c>
    </row>
    <row r="6995">
      <c r="FC6995" t="inlineStr">
        <is>
          <t>Diccionario 6</t>
        </is>
      </c>
      <c r="FD6995" s="26" t="inlineStr">
        <is>
          <t>LA-B1942</t>
        </is>
      </c>
      <c r="FL6995" s="26" t="inlineStr">
        <is>
          <t>B</t>
        </is>
      </c>
      <c r="FP6995" s="26" t="inlineStr">
        <is>
          <t>B</t>
        </is>
      </c>
    </row>
    <row r="6996">
      <c r="FC6996" t="inlineStr">
        <is>
          <t>Diccionario 6</t>
        </is>
      </c>
      <c r="FD6996" s="26" t="inlineStr">
        <is>
          <t>LA-B1943</t>
        </is>
      </c>
      <c r="FL6996" s="26" t="inlineStr">
        <is>
          <t>B</t>
        </is>
      </c>
      <c r="FP6996" s="26" t="inlineStr">
        <is>
          <t>B</t>
        </is>
      </c>
    </row>
    <row r="6997">
      <c r="FC6997" t="inlineStr">
        <is>
          <t>Diccionario 6</t>
        </is>
      </c>
      <c r="FD6997" s="26" t="inlineStr">
        <is>
          <t>LA-B1944</t>
        </is>
      </c>
      <c r="FL6997" s="26" t="inlineStr">
        <is>
          <t>B</t>
        </is>
      </c>
      <c r="FP6997" s="26" t="inlineStr">
        <is>
          <t>B</t>
        </is>
      </c>
    </row>
    <row r="6998">
      <c r="FC6998" t="inlineStr">
        <is>
          <t>Diccionario 6</t>
        </is>
      </c>
      <c r="FD6998" s="26" t="inlineStr">
        <is>
          <t>LA-B1945</t>
        </is>
      </c>
      <c r="FL6998" s="26" t="inlineStr">
        <is>
          <t>B</t>
        </is>
      </c>
      <c r="FP6998" s="26" t="inlineStr">
        <is>
          <t>B</t>
        </is>
      </c>
    </row>
    <row r="6999">
      <c r="FC6999" t="inlineStr">
        <is>
          <t>Diccionario 6</t>
        </is>
      </c>
      <c r="FD6999" s="26" t="inlineStr">
        <is>
          <t>LA-B1946</t>
        </is>
      </c>
      <c r="FL6999" s="26" t="inlineStr">
        <is>
          <t>B</t>
        </is>
      </c>
      <c r="FP6999" s="26" t="inlineStr">
        <is>
          <t>B</t>
        </is>
      </c>
    </row>
    <row r="7000">
      <c r="FC7000" t="inlineStr">
        <is>
          <t>Diccionario 6</t>
        </is>
      </c>
      <c r="FD7000" s="26" t="inlineStr">
        <is>
          <t>LA-B1947</t>
        </is>
      </c>
      <c r="FL7000" s="26" t="inlineStr">
        <is>
          <t>B</t>
        </is>
      </c>
      <c r="FP7000" s="26" t="inlineStr">
        <is>
          <t>B</t>
        </is>
      </c>
    </row>
    <row r="7001">
      <c r="FC7001" t="inlineStr">
        <is>
          <t>Diccionario 6</t>
        </is>
      </c>
      <c r="FD7001" s="26" t="inlineStr">
        <is>
          <t>LA-B1948</t>
        </is>
      </c>
      <c r="FL7001" s="26" t="inlineStr">
        <is>
          <t>B</t>
        </is>
      </c>
      <c r="FP7001" s="26" t="inlineStr">
        <is>
          <t>B</t>
        </is>
      </c>
    </row>
    <row r="7002">
      <c r="FC7002" t="inlineStr">
        <is>
          <t>Diccionario 6</t>
        </is>
      </c>
      <c r="FD7002" s="26" t="inlineStr">
        <is>
          <t>LA-B1949</t>
        </is>
      </c>
      <c r="FL7002" s="26" t="inlineStr">
        <is>
          <t>B</t>
        </is>
      </c>
      <c r="FP7002" s="26" t="inlineStr">
        <is>
          <t>B</t>
        </is>
      </c>
    </row>
    <row r="7003">
      <c r="FC7003" t="inlineStr">
        <is>
          <t>Diccionario 6</t>
        </is>
      </c>
      <c r="FD7003" s="26" t="inlineStr">
        <is>
          <t>LA-B1950</t>
        </is>
      </c>
      <c r="FL7003" s="26" t="inlineStr">
        <is>
          <t>B</t>
        </is>
      </c>
      <c r="FP7003" s="26" t="inlineStr">
        <is>
          <t>B</t>
        </is>
      </c>
    </row>
    <row r="7004">
      <c r="FC7004" t="inlineStr">
        <is>
          <t>Diccionario 6</t>
        </is>
      </c>
      <c r="FD7004" s="26" t="inlineStr">
        <is>
          <t>LA-B1951</t>
        </is>
      </c>
      <c r="FL7004" s="26" t="inlineStr">
        <is>
          <t>B</t>
        </is>
      </c>
      <c r="FP7004" s="26" t="inlineStr">
        <is>
          <t>B</t>
        </is>
      </c>
    </row>
    <row r="7005">
      <c r="FC7005" t="inlineStr">
        <is>
          <t>Diccionario 6</t>
        </is>
      </c>
      <c r="FD7005" s="26" t="inlineStr">
        <is>
          <t>LA-B1952</t>
        </is>
      </c>
      <c r="FL7005" s="26" t="inlineStr">
        <is>
          <t>B</t>
        </is>
      </c>
      <c r="FP7005" s="26" t="inlineStr">
        <is>
          <t>B</t>
        </is>
      </c>
    </row>
    <row r="7006">
      <c r="FC7006" t="inlineStr">
        <is>
          <t>Diccionario 6</t>
        </is>
      </c>
      <c r="FD7006" s="26" t="inlineStr">
        <is>
          <t>LA-B1953</t>
        </is>
      </c>
      <c r="FL7006" s="26" t="inlineStr">
        <is>
          <t>B</t>
        </is>
      </c>
      <c r="FP7006" s="26" t="inlineStr">
        <is>
          <t>B</t>
        </is>
      </c>
    </row>
    <row r="7007">
      <c r="FC7007" t="inlineStr">
        <is>
          <t>Diccionario 6</t>
        </is>
      </c>
      <c r="FD7007" s="26" t="inlineStr">
        <is>
          <t>LA-B1954</t>
        </is>
      </c>
      <c r="FL7007" s="26" t="inlineStr">
        <is>
          <t>B</t>
        </is>
      </c>
      <c r="FP7007" s="26" t="inlineStr">
        <is>
          <t>B</t>
        </is>
      </c>
    </row>
    <row r="7008">
      <c r="FC7008" t="inlineStr">
        <is>
          <t>Diccionario 6</t>
        </is>
      </c>
      <c r="FD7008" s="26" t="inlineStr">
        <is>
          <t>LA-B1955</t>
        </is>
      </c>
      <c r="FL7008" s="26" t="inlineStr">
        <is>
          <t>B</t>
        </is>
      </c>
      <c r="FP7008" s="26" t="inlineStr">
        <is>
          <t>B</t>
        </is>
      </c>
    </row>
    <row r="7009">
      <c r="FC7009" t="inlineStr">
        <is>
          <t>Diccionario 6</t>
        </is>
      </c>
      <c r="FD7009" s="26" t="inlineStr">
        <is>
          <t>LA-B1956</t>
        </is>
      </c>
      <c r="FL7009" s="26" t="inlineStr">
        <is>
          <t>B</t>
        </is>
      </c>
      <c r="FP7009" s="26" t="inlineStr">
        <is>
          <t>B</t>
        </is>
      </c>
    </row>
    <row r="7010">
      <c r="FC7010" t="inlineStr">
        <is>
          <t>Diccionario 6</t>
        </is>
      </c>
      <c r="FD7010" s="26" t="inlineStr">
        <is>
          <t>LA-B1957</t>
        </is>
      </c>
      <c r="FL7010" s="26" t="inlineStr">
        <is>
          <t>B</t>
        </is>
      </c>
      <c r="FP7010" s="26" t="inlineStr">
        <is>
          <t>B</t>
        </is>
      </c>
    </row>
    <row r="7011">
      <c r="FC7011" t="inlineStr">
        <is>
          <t>Diccionario 6</t>
        </is>
      </c>
      <c r="FD7011" s="26" t="inlineStr">
        <is>
          <t>LA-B1958</t>
        </is>
      </c>
      <c r="FL7011" s="26" t="inlineStr">
        <is>
          <t>B</t>
        </is>
      </c>
      <c r="FP7011" s="26" t="inlineStr">
        <is>
          <t>B</t>
        </is>
      </c>
    </row>
    <row r="7012">
      <c r="FC7012" t="inlineStr">
        <is>
          <t>Diccionario 6</t>
        </is>
      </c>
      <c r="FD7012" s="26" t="inlineStr">
        <is>
          <t>LA-B1959</t>
        </is>
      </c>
      <c r="FL7012" s="26" t="inlineStr">
        <is>
          <t>B</t>
        </is>
      </c>
      <c r="FP7012" s="26" t="inlineStr">
        <is>
          <t>B</t>
        </is>
      </c>
    </row>
    <row r="7013">
      <c r="FC7013" t="inlineStr">
        <is>
          <t>Diccionario 6</t>
        </is>
      </c>
      <c r="FD7013" s="26" t="inlineStr">
        <is>
          <t>LA-B1960</t>
        </is>
      </c>
      <c r="FL7013" s="26" t="inlineStr">
        <is>
          <t>B</t>
        </is>
      </c>
      <c r="FP7013" s="26" t="inlineStr">
        <is>
          <t>B</t>
        </is>
      </c>
    </row>
    <row r="7014">
      <c r="FC7014" t="inlineStr">
        <is>
          <t>Diccionario 6</t>
        </is>
      </c>
      <c r="FD7014" s="26" t="inlineStr">
        <is>
          <t>LA-B1961</t>
        </is>
      </c>
      <c r="FL7014" s="26" t="inlineStr">
        <is>
          <t>B</t>
        </is>
      </c>
      <c r="FO7014" t="inlineStr">
        <is>
          <t>SJ-BP1012 / GCBB-18|</t>
        </is>
      </c>
      <c r="FP7014" s="26" t="inlineStr">
        <is>
          <t>B</t>
        </is>
      </c>
    </row>
    <row r="7015">
      <c r="FC7015" t="inlineStr">
        <is>
          <t>Diccionario 6</t>
        </is>
      </c>
      <c r="FD7015" s="26" t="inlineStr">
        <is>
          <t>LA-B1962</t>
        </is>
      </c>
      <c r="FL7015" s="26" t="inlineStr">
        <is>
          <t>B</t>
        </is>
      </c>
      <c r="FP7015" s="26" t="inlineStr">
        <is>
          <t>B</t>
        </is>
      </c>
    </row>
    <row r="7016">
      <c r="FC7016" t="inlineStr">
        <is>
          <t>Diccionario 6</t>
        </is>
      </c>
      <c r="FD7016" s="26" t="inlineStr">
        <is>
          <t>LA-B1963</t>
        </is>
      </c>
      <c r="FL7016" s="26" t="inlineStr">
        <is>
          <t>B</t>
        </is>
      </c>
      <c r="FP7016" s="26" t="inlineStr">
        <is>
          <t>B</t>
        </is>
      </c>
    </row>
    <row r="7017">
      <c r="FC7017" t="inlineStr">
        <is>
          <t>Diccionario 6</t>
        </is>
      </c>
      <c r="FD7017" s="26" t="inlineStr">
        <is>
          <t>LA-B1964</t>
        </is>
      </c>
      <c r="FL7017" s="26" t="inlineStr">
        <is>
          <t>B</t>
        </is>
      </c>
      <c r="FP7017" s="26" t="inlineStr">
        <is>
          <t>B</t>
        </is>
      </c>
    </row>
    <row r="7018">
      <c r="FC7018" t="inlineStr">
        <is>
          <t>Diccionario 6</t>
        </is>
      </c>
      <c r="FD7018" s="26" t="inlineStr">
        <is>
          <t>LA-B1965</t>
        </is>
      </c>
      <c r="FL7018" s="26" t="inlineStr">
        <is>
          <t>B</t>
        </is>
      </c>
      <c r="FP7018" s="26" t="inlineStr">
        <is>
          <t>B</t>
        </is>
      </c>
    </row>
    <row r="7019">
      <c r="FC7019" t="inlineStr">
        <is>
          <t>Diccionario 6</t>
        </is>
      </c>
      <c r="FD7019" s="26" t="inlineStr">
        <is>
          <t>LA-B1966</t>
        </is>
      </c>
      <c r="FL7019" s="26" t="inlineStr">
        <is>
          <t>B</t>
        </is>
      </c>
      <c r="FP7019" s="26" t="inlineStr">
        <is>
          <t>B</t>
        </is>
      </c>
    </row>
    <row r="7020">
      <c r="FC7020" t="inlineStr">
        <is>
          <t>Diccionario 6</t>
        </is>
      </c>
      <c r="FD7020" s="26" t="inlineStr">
        <is>
          <t>LA-B1967</t>
        </is>
      </c>
      <c r="FL7020" s="26" t="inlineStr">
        <is>
          <t>B</t>
        </is>
      </c>
      <c r="FP7020" s="26" t="inlineStr">
        <is>
          <t>B</t>
        </is>
      </c>
    </row>
    <row r="7021">
      <c r="FC7021" t="inlineStr">
        <is>
          <t>Diccionario 6</t>
        </is>
      </c>
      <c r="FD7021" s="26" t="inlineStr">
        <is>
          <t>LA-B1968</t>
        </is>
      </c>
      <c r="FL7021" s="26" t="inlineStr">
        <is>
          <t>B</t>
        </is>
      </c>
      <c r="FP7021" s="26" t="inlineStr">
        <is>
          <t>B</t>
        </is>
      </c>
    </row>
    <row r="7022">
      <c r="FC7022" t="inlineStr">
        <is>
          <t>Diccionario 6</t>
        </is>
      </c>
      <c r="FD7022" s="26" t="inlineStr">
        <is>
          <t>LA-B1969</t>
        </is>
      </c>
      <c r="FL7022" s="26" t="inlineStr">
        <is>
          <t>B</t>
        </is>
      </c>
      <c r="FP7022" s="26" t="inlineStr">
        <is>
          <t>B</t>
        </is>
      </c>
    </row>
    <row r="7023">
      <c r="FC7023" t="inlineStr">
        <is>
          <t>Diccionario 6</t>
        </is>
      </c>
      <c r="FD7023" s="26" t="inlineStr">
        <is>
          <t>LA-B1970</t>
        </is>
      </c>
      <c r="FL7023" s="26" t="inlineStr">
        <is>
          <t>B</t>
        </is>
      </c>
      <c r="FP7023" s="26" t="inlineStr">
        <is>
          <t>B</t>
        </is>
      </c>
    </row>
    <row r="7024">
      <c r="FC7024" t="inlineStr">
        <is>
          <t>Diccionario 6</t>
        </is>
      </c>
      <c r="FD7024" s="26" t="inlineStr">
        <is>
          <t>LA-B1971</t>
        </is>
      </c>
      <c r="FL7024" s="26" t="inlineStr">
        <is>
          <t>B</t>
        </is>
      </c>
      <c r="FP7024" s="26" t="inlineStr">
        <is>
          <t>B</t>
        </is>
      </c>
    </row>
    <row r="7025">
      <c r="FC7025" t="inlineStr">
        <is>
          <t>Diccionario 6</t>
        </is>
      </c>
      <c r="FD7025" s="26" t="inlineStr">
        <is>
          <t>LA-B1972</t>
        </is>
      </c>
      <c r="FL7025" s="26" t="inlineStr">
        <is>
          <t>B</t>
        </is>
      </c>
      <c r="FP7025" s="26" t="inlineStr">
        <is>
          <t>B</t>
        </is>
      </c>
    </row>
    <row r="7026">
      <c r="FC7026" t="inlineStr">
        <is>
          <t>Diccionario 7</t>
        </is>
      </c>
      <c r="FD7026" s="26" t="inlineStr">
        <is>
          <t>LL-BP1000</t>
        </is>
      </c>
      <c r="FL7026" s="27" t="inlineStr">
        <is>
          <t>B2PAL</t>
        </is>
      </c>
      <c r="FP7026" s="27" t="inlineStr">
        <is>
          <t>B2PAL</t>
        </is>
      </c>
    </row>
    <row r="7027">
      <c r="FC7027" t="inlineStr">
        <is>
          <t>Diccionario 7</t>
        </is>
      </c>
      <c r="FD7027" s="26" t="inlineStr">
        <is>
          <t>LL-BP1002</t>
        </is>
      </c>
      <c r="FL7027" s="27" t="inlineStr">
        <is>
          <t>B2PAL</t>
        </is>
      </c>
      <c r="FP7027" s="27" t="inlineStr">
        <is>
          <t>B2PAL</t>
        </is>
      </c>
    </row>
    <row r="7028">
      <c r="FC7028" t="inlineStr">
        <is>
          <t>Diccionario 7</t>
        </is>
      </c>
      <c r="FD7028" s="26" t="inlineStr">
        <is>
          <t>LL-BP1003</t>
        </is>
      </c>
      <c r="FL7028" s="27" t="inlineStr">
        <is>
          <t>B2PAL</t>
        </is>
      </c>
      <c r="FP7028" s="27" t="inlineStr">
        <is>
          <t>B2PAL</t>
        </is>
      </c>
    </row>
    <row r="7029">
      <c r="FC7029" t="inlineStr">
        <is>
          <t>Diccionario 7</t>
        </is>
      </c>
      <c r="FD7029" s="26" t="inlineStr">
        <is>
          <t>SJ-BP1004</t>
        </is>
      </c>
      <c r="FL7029" s="27" t="inlineStr">
        <is>
          <t>B2PAL</t>
        </is>
      </c>
      <c r="FP7029" s="27" t="inlineStr">
        <is>
          <t>B2PAL</t>
        </is>
      </c>
    </row>
    <row r="7030">
      <c r="FC7030" t="inlineStr">
        <is>
          <t>Diccionario 7</t>
        </is>
      </c>
      <c r="FD7030" s="26" t="inlineStr">
        <is>
          <t>SJ-BP1005</t>
        </is>
      </c>
      <c r="FL7030" s="27" t="inlineStr">
        <is>
          <t>B2PAL</t>
        </is>
      </c>
      <c r="FP7030" s="27" t="inlineStr">
        <is>
          <t>B2PAL</t>
        </is>
      </c>
    </row>
    <row r="7031">
      <c r="FC7031" t="inlineStr">
        <is>
          <t>Diccionario 7</t>
        </is>
      </c>
      <c r="FD7031" s="26" t="inlineStr">
        <is>
          <t>SJ-BP1006</t>
        </is>
      </c>
      <c r="FL7031" s="27" t="inlineStr">
        <is>
          <t>B2PAL</t>
        </is>
      </c>
      <c r="FP7031" s="27" t="inlineStr">
        <is>
          <t>B2PAL</t>
        </is>
      </c>
    </row>
    <row r="7032">
      <c r="FC7032" t="inlineStr">
        <is>
          <t>Diccionario 7</t>
        </is>
      </c>
      <c r="FD7032" s="26" t="inlineStr">
        <is>
          <t>LL-BP1007</t>
        </is>
      </c>
      <c r="FL7032" s="27" t="inlineStr">
        <is>
          <t>B2PAL</t>
        </is>
      </c>
      <c r="FP7032" s="27" t="inlineStr">
        <is>
          <t>B2PAL</t>
        </is>
      </c>
    </row>
    <row r="7033">
      <c r="FC7033" t="inlineStr">
        <is>
          <t>Diccionario 7</t>
        </is>
      </c>
      <c r="FD7033" s="26" t="inlineStr">
        <is>
          <t>LL-BP1008</t>
        </is>
      </c>
      <c r="FL7033" s="27" t="inlineStr">
        <is>
          <t>B2PAL</t>
        </is>
      </c>
      <c r="FP7033" s="27" t="inlineStr">
        <is>
          <t>B2PAL</t>
        </is>
      </c>
    </row>
    <row r="7034">
      <c r="FC7034" t="inlineStr">
        <is>
          <t>Diccionario 7</t>
        </is>
      </c>
      <c r="FD7034" s="26" t="inlineStr">
        <is>
          <t>LL-BP1009</t>
        </is>
      </c>
      <c r="FL7034" s="27" t="inlineStr">
        <is>
          <t>B2PAL</t>
        </is>
      </c>
      <c r="FP7034" s="27" t="inlineStr">
        <is>
          <t>B2PAL</t>
        </is>
      </c>
    </row>
    <row r="7035">
      <c r="FC7035" t="inlineStr">
        <is>
          <t>Diccionario 7</t>
        </is>
      </c>
      <c r="FD7035" s="26" t="inlineStr">
        <is>
          <t>LL-BP1010</t>
        </is>
      </c>
      <c r="FL7035" s="27" t="inlineStr">
        <is>
          <t>B2PAL</t>
        </is>
      </c>
      <c r="FP7035" s="27" t="inlineStr">
        <is>
          <t>B2PAL</t>
        </is>
      </c>
    </row>
    <row r="7036">
      <c r="FC7036" t="inlineStr">
        <is>
          <t>Diccionario 7</t>
        </is>
      </c>
      <c r="FD7036" s="26" t="inlineStr">
        <is>
          <t>LL-BP1011</t>
        </is>
      </c>
      <c r="FL7036" s="27" t="inlineStr">
        <is>
          <t>B2PAL</t>
        </is>
      </c>
      <c r="FP7036" s="27" t="inlineStr">
        <is>
          <t>B2PAL</t>
        </is>
      </c>
    </row>
    <row r="7037">
      <c r="FC7037" t="inlineStr">
        <is>
          <t>Diccionario 7</t>
        </is>
      </c>
      <c r="FD7037" s="26" t="inlineStr">
        <is>
          <t>SJ-BP1012</t>
        </is>
      </c>
      <c r="FL7037" s="27" t="inlineStr">
        <is>
          <t>B2PAL</t>
        </is>
      </c>
      <c r="FP7037" s="27" t="inlineStr">
        <is>
          <t>B2PAL</t>
        </is>
      </c>
    </row>
    <row r="7038">
      <c r="FC7038" t="inlineStr">
        <is>
          <t>Diccionario 7</t>
        </is>
      </c>
      <c r="FD7038" s="26" t="inlineStr">
        <is>
          <t>LL-BP1013</t>
        </is>
      </c>
      <c r="FL7038" s="27" t="inlineStr">
        <is>
          <t>B2PAL</t>
        </is>
      </c>
      <c r="FP7038" s="27" t="inlineStr">
        <is>
          <t>B2PAL</t>
        </is>
      </c>
    </row>
    <row r="7039">
      <c r="FC7039" t="inlineStr">
        <is>
          <t>Diccionario 7</t>
        </is>
      </c>
      <c r="FD7039" s="26" t="inlineStr">
        <is>
          <t>LL-BP1014</t>
        </is>
      </c>
      <c r="FL7039" s="27" t="inlineStr">
        <is>
          <t>B2PAL</t>
        </is>
      </c>
      <c r="FP7039" s="27" t="inlineStr">
        <is>
          <t>B2PAL</t>
        </is>
      </c>
    </row>
    <row r="7040">
      <c r="FC7040" t="inlineStr">
        <is>
          <t>Diccionario 7</t>
        </is>
      </c>
      <c r="FD7040" s="26" t="inlineStr">
        <is>
          <t>LL-BP1015</t>
        </is>
      </c>
      <c r="FL7040" s="27" t="inlineStr">
        <is>
          <t>B2PAL</t>
        </is>
      </c>
      <c r="FP7040" s="27" t="inlineStr">
        <is>
          <t>B2PAL</t>
        </is>
      </c>
    </row>
    <row r="7041">
      <c r="FC7041" t="inlineStr">
        <is>
          <t>Diccionario 7</t>
        </is>
      </c>
      <c r="FD7041" s="26" t="inlineStr">
        <is>
          <t>LL-BP1016</t>
        </is>
      </c>
      <c r="FL7041" s="27" t="inlineStr">
        <is>
          <t>B2PAL</t>
        </is>
      </c>
      <c r="FP7041" s="27" t="inlineStr">
        <is>
          <t>B2PAL</t>
        </is>
      </c>
    </row>
    <row r="7042">
      <c r="FC7042" t="inlineStr">
        <is>
          <t>Diccionario 7</t>
        </is>
      </c>
      <c r="FD7042" s="26" t="inlineStr">
        <is>
          <t>LL-BP1017</t>
        </is>
      </c>
      <c r="FL7042" s="27" t="inlineStr">
        <is>
          <t>B2PAL</t>
        </is>
      </c>
      <c r="FP7042" s="27" t="inlineStr">
        <is>
          <t>B2PAL</t>
        </is>
      </c>
    </row>
    <row r="7043">
      <c r="FC7043" t="inlineStr">
        <is>
          <t>Diccionario 7</t>
        </is>
      </c>
      <c r="FD7043" s="26" t="inlineStr">
        <is>
          <t>LL-BP1018</t>
        </is>
      </c>
      <c r="FL7043" s="27" t="inlineStr">
        <is>
          <t>B2PAL</t>
        </is>
      </c>
      <c r="FP7043" s="27" t="inlineStr">
        <is>
          <t>B2PAL</t>
        </is>
      </c>
    </row>
    <row r="7044">
      <c r="FC7044" t="inlineStr">
        <is>
          <t>Diccionario 7</t>
        </is>
      </c>
      <c r="FD7044" s="26" t="inlineStr">
        <is>
          <t>LL-BP1019</t>
        </is>
      </c>
      <c r="FL7044" s="27" t="inlineStr">
        <is>
          <t>B2PAL</t>
        </is>
      </c>
      <c r="FP7044" s="27" t="inlineStr">
        <is>
          <t>B2PAL</t>
        </is>
      </c>
    </row>
    <row r="7045">
      <c r="FC7045" t="inlineStr">
        <is>
          <t>Diccionario 7</t>
        </is>
      </c>
      <c r="FD7045" s="26" t="inlineStr">
        <is>
          <t>LL-BP1020</t>
        </is>
      </c>
      <c r="FL7045" s="27" t="inlineStr">
        <is>
          <t>B2PAL</t>
        </is>
      </c>
      <c r="FP7045" s="27" t="inlineStr">
        <is>
          <t>B2PAL</t>
        </is>
      </c>
    </row>
    <row r="7046">
      <c r="FC7046" t="inlineStr">
        <is>
          <t>Diccionario 7</t>
        </is>
      </c>
      <c r="FD7046" s="26" t="inlineStr">
        <is>
          <t>LL-BP1021</t>
        </is>
      </c>
      <c r="FL7046" s="27" t="inlineStr">
        <is>
          <t>B2PAL</t>
        </is>
      </c>
      <c r="FP7046" s="27" t="inlineStr">
        <is>
          <t>B2PAL</t>
        </is>
      </c>
    </row>
    <row r="7047">
      <c r="FC7047" t="inlineStr">
        <is>
          <t>Diccionario 7</t>
        </is>
      </c>
      <c r="FD7047" s="26" t="inlineStr">
        <is>
          <t>LL-BP1022</t>
        </is>
      </c>
      <c r="FL7047" s="27" t="inlineStr">
        <is>
          <t>B2PAL</t>
        </is>
      </c>
      <c r="FP7047" s="27" t="inlineStr">
        <is>
          <t>B2PAL</t>
        </is>
      </c>
    </row>
    <row r="7048">
      <c r="FC7048" t="inlineStr">
        <is>
          <t>Diccionario 7</t>
        </is>
      </c>
      <c r="FD7048" s="26" t="inlineStr">
        <is>
          <t>LL-BP1023</t>
        </is>
      </c>
      <c r="FL7048" s="27" t="inlineStr">
        <is>
          <t>B2PAL</t>
        </is>
      </c>
      <c r="FP7048" s="27" t="inlineStr">
        <is>
          <t>B2PAL</t>
        </is>
      </c>
    </row>
    <row r="7049">
      <c r="FC7049" t="inlineStr">
        <is>
          <t>Diccionario 7</t>
        </is>
      </c>
      <c r="FD7049" s="26" t="inlineStr">
        <is>
          <t>LL-BP1024</t>
        </is>
      </c>
      <c r="FL7049" s="27" t="inlineStr">
        <is>
          <t>B2PAL</t>
        </is>
      </c>
      <c r="FP7049" s="27" t="inlineStr">
        <is>
          <t>B2PAL</t>
        </is>
      </c>
    </row>
    <row r="7050">
      <c r="FC7050" t="inlineStr">
        <is>
          <t>Diccionario 7</t>
        </is>
      </c>
      <c r="FD7050" s="26" t="inlineStr">
        <is>
          <t>LL-BP1025</t>
        </is>
      </c>
      <c r="FL7050" s="27" t="inlineStr">
        <is>
          <t>B2PAL</t>
        </is>
      </c>
      <c r="FP7050" s="27" t="inlineStr">
        <is>
          <t>B2PAL</t>
        </is>
      </c>
    </row>
    <row r="7051">
      <c r="FC7051" t="inlineStr">
        <is>
          <t>Diccionario 7</t>
        </is>
      </c>
      <c r="FD7051" s="26" t="inlineStr">
        <is>
          <t>LL-BP1026</t>
        </is>
      </c>
      <c r="FL7051" s="27" t="inlineStr">
        <is>
          <t>B2PAL</t>
        </is>
      </c>
      <c r="FP7051" s="27" t="inlineStr">
        <is>
          <t>B2PAL</t>
        </is>
      </c>
    </row>
    <row r="7052">
      <c r="FC7052" t="inlineStr">
        <is>
          <t>Diccionario 7</t>
        </is>
      </c>
      <c r="FD7052" s="26" t="inlineStr">
        <is>
          <t>LL-BP1027</t>
        </is>
      </c>
      <c r="FL7052" s="27" t="inlineStr">
        <is>
          <t>B2PAL</t>
        </is>
      </c>
      <c r="FP7052" s="27" t="inlineStr">
        <is>
          <t>B2PAL</t>
        </is>
      </c>
    </row>
    <row r="7053">
      <c r="FC7053" t="inlineStr">
        <is>
          <t>Diccionario 7</t>
        </is>
      </c>
      <c r="FD7053" s="26" t="inlineStr">
        <is>
          <t>SJ-BP1028</t>
        </is>
      </c>
      <c r="FL7053" s="27" t="inlineStr">
        <is>
          <t>B2PAL</t>
        </is>
      </c>
      <c r="FP7053" s="27" t="inlineStr">
        <is>
          <t>B2PAL</t>
        </is>
      </c>
    </row>
    <row r="7054">
      <c r="FC7054" t="inlineStr">
        <is>
          <t>Diccionario 7</t>
        </is>
      </c>
      <c r="FD7054" s="26" t="inlineStr">
        <is>
          <t>LL-BP1029</t>
        </is>
      </c>
      <c r="FL7054" s="27" t="inlineStr">
        <is>
          <t>B2PAL</t>
        </is>
      </c>
      <c r="FP7054" s="27" t="inlineStr">
        <is>
          <t>B2PAL</t>
        </is>
      </c>
    </row>
    <row r="7055">
      <c r="FC7055" t="inlineStr">
        <is>
          <t>Diccionario 7</t>
        </is>
      </c>
      <c r="FD7055" s="26" t="inlineStr">
        <is>
          <t>LL-BP1030</t>
        </is>
      </c>
      <c r="FL7055" s="27" t="inlineStr">
        <is>
          <t>B2PAL</t>
        </is>
      </c>
      <c r="FP7055" s="27" t="inlineStr">
        <is>
          <t>B2PAL</t>
        </is>
      </c>
    </row>
    <row r="7056">
      <c r="FC7056" t="inlineStr">
        <is>
          <t>Diccionario 7</t>
        </is>
      </c>
      <c r="FD7056" s="26" t="inlineStr">
        <is>
          <t>LL-BP1031</t>
        </is>
      </c>
      <c r="FL7056" s="27" t="inlineStr">
        <is>
          <t>B2PAL</t>
        </is>
      </c>
      <c r="FP7056" s="27" t="inlineStr">
        <is>
          <t>B2PAL</t>
        </is>
      </c>
    </row>
    <row r="7057">
      <c r="FC7057" t="inlineStr">
        <is>
          <t>Diccionario 7</t>
        </is>
      </c>
      <c r="FD7057" s="26" t="inlineStr">
        <is>
          <t>LL-BP1032</t>
        </is>
      </c>
      <c r="FL7057" s="27" t="inlineStr">
        <is>
          <t>B2PAL</t>
        </is>
      </c>
      <c r="FP7057" s="27" t="inlineStr">
        <is>
          <t>B2PAL</t>
        </is>
      </c>
    </row>
    <row r="7058">
      <c r="FC7058" t="inlineStr">
        <is>
          <t>Diccionario 7</t>
        </is>
      </c>
      <c r="FD7058" s="26" t="inlineStr">
        <is>
          <t>LL-BP1033</t>
        </is>
      </c>
      <c r="FL7058" s="27" t="inlineStr">
        <is>
          <t>B2PAL</t>
        </is>
      </c>
      <c r="FP7058" s="27" t="inlineStr">
        <is>
          <t>B2PAL</t>
        </is>
      </c>
    </row>
    <row r="7059">
      <c r="FC7059" t="inlineStr">
        <is>
          <t>Diccionario 7</t>
        </is>
      </c>
      <c r="FD7059" s="26" t="inlineStr">
        <is>
          <t>LL-BP1034</t>
        </is>
      </c>
      <c r="FL7059" s="27" t="inlineStr">
        <is>
          <t>B2PAL</t>
        </is>
      </c>
      <c r="FP7059" s="27" t="inlineStr">
        <is>
          <t>B2PAL</t>
        </is>
      </c>
    </row>
    <row r="7060">
      <c r="FC7060" t="inlineStr">
        <is>
          <t>Diccionario 7</t>
        </is>
      </c>
      <c r="FD7060" s="26" t="inlineStr">
        <is>
          <t>LL-BP1035</t>
        </is>
      </c>
      <c r="FL7060" s="27" t="inlineStr">
        <is>
          <t>B2PAL</t>
        </is>
      </c>
      <c r="FP7060" s="27" t="inlineStr">
        <is>
          <t>B2PAL</t>
        </is>
      </c>
    </row>
    <row r="7061">
      <c r="FC7061" t="inlineStr">
        <is>
          <t>Diccionario 7</t>
        </is>
      </c>
      <c r="FD7061" s="26" t="inlineStr">
        <is>
          <t>LL-BP1036</t>
        </is>
      </c>
      <c r="FL7061" s="27" t="inlineStr">
        <is>
          <t>B2PAL</t>
        </is>
      </c>
      <c r="FP7061" s="27" t="inlineStr">
        <is>
          <t>B2PAL</t>
        </is>
      </c>
    </row>
    <row r="7062">
      <c r="FC7062" t="inlineStr">
        <is>
          <t>Diccionario 7</t>
        </is>
      </c>
      <c r="FD7062" s="26" t="inlineStr">
        <is>
          <t>LL-BP1037</t>
        </is>
      </c>
      <c r="FL7062" s="27" t="inlineStr">
        <is>
          <t>B2PAL</t>
        </is>
      </c>
      <c r="FP7062" s="27" t="inlineStr">
        <is>
          <t>B2PAL</t>
        </is>
      </c>
    </row>
    <row r="7063">
      <c r="FC7063" t="inlineStr">
        <is>
          <t>Diccionario 7</t>
        </is>
      </c>
      <c r="FD7063" s="26" t="inlineStr">
        <is>
          <t>LL-BP1038</t>
        </is>
      </c>
      <c r="FL7063" s="27" t="inlineStr">
        <is>
          <t>B2PAL</t>
        </is>
      </c>
      <c r="FP7063" s="27" t="inlineStr">
        <is>
          <t>B2PAL</t>
        </is>
      </c>
    </row>
    <row r="7064">
      <c r="FC7064" t="inlineStr">
        <is>
          <t>Diccionario 7</t>
        </is>
      </c>
      <c r="FD7064" s="26" t="inlineStr">
        <is>
          <t>LL-BP1039</t>
        </is>
      </c>
      <c r="FL7064" s="27" t="inlineStr">
        <is>
          <t>B2PAL</t>
        </is>
      </c>
      <c r="FP7064" s="27" t="inlineStr">
        <is>
          <t>B2PAL</t>
        </is>
      </c>
    </row>
    <row r="7065">
      <c r="FC7065" t="inlineStr">
        <is>
          <t>Diccionario 7</t>
        </is>
      </c>
      <c r="FD7065" s="26" t="inlineStr">
        <is>
          <t>LL-BP1040</t>
        </is>
      </c>
      <c r="FL7065" s="27" t="inlineStr">
        <is>
          <t>B2PAL</t>
        </is>
      </c>
      <c r="FP7065" s="27" t="inlineStr">
        <is>
          <t>B2PAL</t>
        </is>
      </c>
    </row>
    <row r="7066">
      <c r="FC7066" t="inlineStr">
        <is>
          <t>Diccionario 7</t>
        </is>
      </c>
      <c r="FD7066" s="26" t="inlineStr">
        <is>
          <t>LL-BP1041</t>
        </is>
      </c>
      <c r="FL7066" s="27" t="inlineStr">
        <is>
          <t>B2PAL</t>
        </is>
      </c>
      <c r="FP7066" s="27" t="inlineStr">
        <is>
          <t>B2PAL</t>
        </is>
      </c>
    </row>
    <row r="7067">
      <c r="FC7067" t="inlineStr">
        <is>
          <t>Diccionario 7</t>
        </is>
      </c>
      <c r="FD7067" s="26" t="inlineStr">
        <is>
          <t>LL-BP1042</t>
        </is>
      </c>
      <c r="FL7067" s="27" t="inlineStr">
        <is>
          <t>B2PAL</t>
        </is>
      </c>
      <c r="FP7067" s="27" t="inlineStr">
        <is>
          <t>B2PAL</t>
        </is>
      </c>
    </row>
    <row r="7068">
      <c r="FC7068" t="inlineStr">
        <is>
          <t>Diccionario 7</t>
        </is>
      </c>
      <c r="FD7068" s="26" t="inlineStr">
        <is>
          <t>LL-BP1043</t>
        </is>
      </c>
      <c r="FL7068" s="27" t="inlineStr">
        <is>
          <t>B2PAL</t>
        </is>
      </c>
      <c r="FP7068" s="27" t="inlineStr">
        <is>
          <t>B2PAL</t>
        </is>
      </c>
    </row>
    <row r="7069">
      <c r="FC7069" t="inlineStr">
        <is>
          <t>Diccionario 7</t>
        </is>
      </c>
      <c r="FD7069" s="26" t="inlineStr">
        <is>
          <t>LL-BP1044</t>
        </is>
      </c>
      <c r="FL7069" s="27" t="inlineStr">
        <is>
          <t>B2PAL</t>
        </is>
      </c>
      <c r="FP7069" s="27" t="inlineStr">
        <is>
          <t>B2PAL</t>
        </is>
      </c>
    </row>
    <row r="7070">
      <c r="FC7070" t="inlineStr">
        <is>
          <t>Diccionario 7</t>
        </is>
      </c>
      <c r="FD7070" s="26" t="inlineStr">
        <is>
          <t>LL-BP1045</t>
        </is>
      </c>
      <c r="FL7070" s="27" t="inlineStr">
        <is>
          <t>B2PAL</t>
        </is>
      </c>
      <c r="FP7070" s="27" t="inlineStr">
        <is>
          <t>B2PAL</t>
        </is>
      </c>
    </row>
    <row r="7071">
      <c r="FC7071" t="inlineStr">
        <is>
          <t>Diccionario 7</t>
        </is>
      </c>
      <c r="FD7071" s="26" t="inlineStr">
        <is>
          <t>LL-BP1046</t>
        </is>
      </c>
      <c r="FL7071" s="27" t="inlineStr">
        <is>
          <t>B2PAL</t>
        </is>
      </c>
      <c r="FP7071" s="27" t="inlineStr">
        <is>
          <t>B2PAL</t>
        </is>
      </c>
    </row>
    <row r="7072">
      <c r="FC7072" t="inlineStr">
        <is>
          <t>Diccionario 7</t>
        </is>
      </c>
      <c r="FD7072" s="26" t="inlineStr">
        <is>
          <t>LL-BP1047</t>
        </is>
      </c>
      <c r="FL7072" s="27" t="inlineStr">
        <is>
          <t>B2PAL</t>
        </is>
      </c>
      <c r="FP7072" s="27" t="inlineStr">
        <is>
          <t>B2PAL</t>
        </is>
      </c>
    </row>
    <row r="7073">
      <c r="FC7073" t="inlineStr">
        <is>
          <t>Diccionario 7</t>
        </is>
      </c>
      <c r="FD7073" s="26" t="inlineStr">
        <is>
          <t>LL-BP1048</t>
        </is>
      </c>
      <c r="FL7073" s="27" t="inlineStr">
        <is>
          <t>B2PAL</t>
        </is>
      </c>
      <c r="FP7073" s="27" t="inlineStr">
        <is>
          <t>B2PAL</t>
        </is>
      </c>
    </row>
    <row r="7074">
      <c r="FC7074" t="inlineStr">
        <is>
          <t>Diccionario 7</t>
        </is>
      </c>
      <c r="FD7074" s="26" t="inlineStr">
        <is>
          <t>LL-BP1049</t>
        </is>
      </c>
      <c r="FL7074" s="27" t="inlineStr">
        <is>
          <t>B2PAL</t>
        </is>
      </c>
      <c r="FP7074" s="27" t="inlineStr">
        <is>
          <t>B2PAL</t>
        </is>
      </c>
    </row>
    <row r="7075">
      <c r="FC7075" t="inlineStr">
        <is>
          <t>Diccionario 7</t>
        </is>
      </c>
      <c r="FD7075" s="26" t="inlineStr">
        <is>
          <t>LL-BP1050</t>
        </is>
      </c>
      <c r="FL7075" s="27" t="inlineStr">
        <is>
          <t>B2PAL</t>
        </is>
      </c>
      <c r="FP7075" s="27" t="inlineStr">
        <is>
          <t>B2PAL</t>
        </is>
      </c>
    </row>
    <row r="7076">
      <c r="FC7076" t="inlineStr">
        <is>
          <t>Diccionario 7</t>
        </is>
      </c>
      <c r="FD7076" s="26" t="inlineStr">
        <is>
          <t>LL-BP1051</t>
        </is>
      </c>
      <c r="FL7076" s="27" t="inlineStr">
        <is>
          <t>B2PAL</t>
        </is>
      </c>
      <c r="FP7076" s="27" t="inlineStr">
        <is>
          <t>B2PAL</t>
        </is>
      </c>
    </row>
    <row r="7077">
      <c r="FC7077" t="inlineStr">
        <is>
          <t>Diccionario 7</t>
        </is>
      </c>
      <c r="FD7077" s="26" t="inlineStr">
        <is>
          <t>LL-BP1052</t>
        </is>
      </c>
      <c r="FL7077" s="27" t="inlineStr">
        <is>
          <t>B2PAL</t>
        </is>
      </c>
      <c r="FP7077" s="27" t="inlineStr">
        <is>
          <t>B2PAL</t>
        </is>
      </c>
    </row>
    <row r="7078">
      <c r="FC7078" t="inlineStr">
        <is>
          <t>Diccionario 7</t>
        </is>
      </c>
      <c r="FD7078" s="26" t="inlineStr">
        <is>
          <t>LL-BP1053</t>
        </is>
      </c>
      <c r="FL7078" s="27" t="inlineStr">
        <is>
          <t>B2PAL</t>
        </is>
      </c>
      <c r="FP7078" s="27" t="inlineStr">
        <is>
          <t>B2PAL</t>
        </is>
      </c>
    </row>
    <row r="7079">
      <c r="FC7079" t="inlineStr">
        <is>
          <t>Diccionario 7</t>
        </is>
      </c>
      <c r="FD7079" s="26" t="inlineStr">
        <is>
          <t>LL-BP1054</t>
        </is>
      </c>
      <c r="FL7079" s="27" t="inlineStr">
        <is>
          <t>B2PAL</t>
        </is>
      </c>
      <c r="FP7079" s="27" t="inlineStr">
        <is>
          <t>B2PAL</t>
        </is>
      </c>
    </row>
    <row r="7080">
      <c r="FC7080" t="inlineStr">
        <is>
          <t>Diccionario 7</t>
        </is>
      </c>
      <c r="FD7080" s="26" t="inlineStr">
        <is>
          <t>LL-BP1055</t>
        </is>
      </c>
      <c r="FL7080" s="27" t="inlineStr">
        <is>
          <t>B2PAL</t>
        </is>
      </c>
      <c r="FP7080" s="27" t="inlineStr">
        <is>
          <t>B2PAL</t>
        </is>
      </c>
    </row>
    <row r="7081">
      <c r="FC7081" t="inlineStr">
        <is>
          <t>Diccionario 7</t>
        </is>
      </c>
      <c r="FD7081" s="26" t="inlineStr">
        <is>
          <t>LL-BP1056</t>
        </is>
      </c>
      <c r="FL7081" s="27" t="inlineStr">
        <is>
          <t>B2PAL</t>
        </is>
      </c>
      <c r="FP7081" s="27" t="inlineStr">
        <is>
          <t>B2PAL</t>
        </is>
      </c>
    </row>
    <row r="7082">
      <c r="FC7082" t="inlineStr">
        <is>
          <t>Diccionario 7</t>
        </is>
      </c>
      <c r="FD7082" s="26" t="inlineStr">
        <is>
          <t>LL-BP1057</t>
        </is>
      </c>
      <c r="FL7082" s="27" t="inlineStr">
        <is>
          <t>B2PAL</t>
        </is>
      </c>
      <c r="FP7082" s="27" t="inlineStr">
        <is>
          <t>B2PAL</t>
        </is>
      </c>
    </row>
    <row r="7083">
      <c r="FC7083" t="inlineStr">
        <is>
          <t>Diccionario 7</t>
        </is>
      </c>
      <c r="FD7083" s="26" t="inlineStr">
        <is>
          <t>LL-BP1058</t>
        </is>
      </c>
      <c r="FL7083" s="27" t="inlineStr">
        <is>
          <t>B2PAL</t>
        </is>
      </c>
      <c r="FP7083" s="27" t="inlineStr">
        <is>
          <t>B2PAL</t>
        </is>
      </c>
    </row>
    <row r="7084">
      <c r="FC7084" t="inlineStr">
        <is>
          <t>Diccionario 7</t>
        </is>
      </c>
      <c r="FD7084" s="26" t="inlineStr">
        <is>
          <t>LL-BP1059</t>
        </is>
      </c>
      <c r="FL7084" s="27" t="inlineStr">
        <is>
          <t>B2PAL</t>
        </is>
      </c>
      <c r="FP7084" s="27" t="inlineStr">
        <is>
          <t>B2PAL</t>
        </is>
      </c>
    </row>
    <row r="7085">
      <c r="FC7085" t="inlineStr">
        <is>
          <t>Diccionario 7</t>
        </is>
      </c>
      <c r="FD7085" s="26" t="inlineStr">
        <is>
          <t>LL-BP1060</t>
        </is>
      </c>
      <c r="FL7085" s="27" t="inlineStr">
        <is>
          <t>B2PAL</t>
        </is>
      </c>
      <c r="FP7085" s="27" t="inlineStr">
        <is>
          <t>B2PAL</t>
        </is>
      </c>
    </row>
    <row r="7086">
      <c r="FC7086" t="inlineStr">
        <is>
          <t>Diccionario 7</t>
        </is>
      </c>
      <c r="FD7086" s="26" t="inlineStr">
        <is>
          <t>LL-BP1061</t>
        </is>
      </c>
      <c r="FL7086" s="27" t="inlineStr">
        <is>
          <t>B2PAL</t>
        </is>
      </c>
      <c r="FP7086" s="27" t="inlineStr">
        <is>
          <t>B2PAL</t>
        </is>
      </c>
    </row>
    <row r="7087">
      <c r="FC7087" t="inlineStr">
        <is>
          <t>Diccionario 7</t>
        </is>
      </c>
      <c r="FD7087" s="26" t="inlineStr">
        <is>
          <t>LL-BP1062</t>
        </is>
      </c>
      <c r="FL7087" s="27" t="inlineStr">
        <is>
          <t>B2PAL</t>
        </is>
      </c>
      <c r="FP7087" s="27" t="inlineStr">
        <is>
          <t>B2PAL</t>
        </is>
      </c>
    </row>
    <row r="7088">
      <c r="FC7088" t="inlineStr">
        <is>
          <t>Diccionario 7</t>
        </is>
      </c>
      <c r="FD7088" s="26" t="inlineStr">
        <is>
          <t>LL-BP1063</t>
        </is>
      </c>
      <c r="FL7088" s="27" t="inlineStr">
        <is>
          <t>B2PAL</t>
        </is>
      </c>
      <c r="FP7088" s="27" t="inlineStr">
        <is>
          <t>B2PAL</t>
        </is>
      </c>
    </row>
    <row r="7089">
      <c r="FC7089" t="inlineStr">
        <is>
          <t>Diccionario 7</t>
        </is>
      </c>
      <c r="FD7089" s="26" t="inlineStr">
        <is>
          <t>LL-BP1064</t>
        </is>
      </c>
      <c r="FL7089" s="27" t="inlineStr">
        <is>
          <t>B2PAL</t>
        </is>
      </c>
      <c r="FP7089" s="27" t="inlineStr">
        <is>
          <t>B2PAL</t>
        </is>
      </c>
    </row>
    <row r="7090">
      <c r="FC7090" t="inlineStr">
        <is>
          <t>Diccionario 7</t>
        </is>
      </c>
      <c r="FD7090" s="26" t="inlineStr">
        <is>
          <t>LL-BP1065</t>
        </is>
      </c>
      <c r="FL7090" s="27" t="inlineStr">
        <is>
          <t>B2PAL</t>
        </is>
      </c>
      <c r="FP7090" s="27" t="inlineStr">
        <is>
          <t>B2PAL</t>
        </is>
      </c>
    </row>
    <row r="7091">
      <c r="FC7091" t="inlineStr">
        <is>
          <t>Diccionario 7</t>
        </is>
      </c>
      <c r="FD7091" s="26" t="inlineStr">
        <is>
          <t>LL-BP1066</t>
        </is>
      </c>
      <c r="FL7091" s="27" t="inlineStr">
        <is>
          <t>B2PAL</t>
        </is>
      </c>
      <c r="FP7091" s="27" t="inlineStr">
        <is>
          <t>B2PAL</t>
        </is>
      </c>
    </row>
    <row r="7092">
      <c r="FC7092" t="inlineStr">
        <is>
          <t>Diccionario 7</t>
        </is>
      </c>
      <c r="FD7092" s="26" t="inlineStr">
        <is>
          <t>SJ-BP1067</t>
        </is>
      </c>
      <c r="FL7092" s="27" t="inlineStr">
        <is>
          <t>B2PAL</t>
        </is>
      </c>
      <c r="FP7092" s="27" t="inlineStr">
        <is>
          <t>B2PAL</t>
        </is>
      </c>
    </row>
    <row r="7093">
      <c r="FC7093" t="inlineStr">
        <is>
          <t>Diccionario 7</t>
        </is>
      </c>
      <c r="FD7093" s="26" t="inlineStr">
        <is>
          <t>LL-BP1068</t>
        </is>
      </c>
      <c r="FL7093" s="27" t="inlineStr">
        <is>
          <t>B2PAL</t>
        </is>
      </c>
      <c r="FP7093" s="27" t="inlineStr">
        <is>
          <t>B2PAL</t>
        </is>
      </c>
    </row>
    <row r="7094">
      <c r="FC7094" t="inlineStr">
        <is>
          <t>Diccionario 7</t>
        </is>
      </c>
      <c r="FD7094" s="26" t="inlineStr">
        <is>
          <t>LL-BP1069</t>
        </is>
      </c>
      <c r="FL7094" s="27" t="inlineStr">
        <is>
          <t>B2PAL</t>
        </is>
      </c>
      <c r="FP7094" s="27" t="inlineStr">
        <is>
          <t>B2PAL</t>
        </is>
      </c>
    </row>
    <row r="7095">
      <c r="FC7095" t="inlineStr">
        <is>
          <t>Diccionario 7</t>
        </is>
      </c>
      <c r="FD7095" s="26" t="inlineStr">
        <is>
          <t>LL-BP1070</t>
        </is>
      </c>
      <c r="FL7095" s="27" t="inlineStr">
        <is>
          <t>B2PAL</t>
        </is>
      </c>
      <c r="FP7095" s="27" t="inlineStr">
        <is>
          <t>B2PAL</t>
        </is>
      </c>
    </row>
    <row r="7096">
      <c r="FC7096" t="inlineStr">
        <is>
          <t>Diccionario 7</t>
        </is>
      </c>
      <c r="FD7096" s="26" t="inlineStr">
        <is>
          <t>LL-BP1071</t>
        </is>
      </c>
      <c r="FL7096" s="27" t="inlineStr">
        <is>
          <t>B2PAL</t>
        </is>
      </c>
      <c r="FP7096" s="27" t="inlineStr">
        <is>
          <t>B2PAL</t>
        </is>
      </c>
    </row>
    <row r="7097">
      <c r="FC7097" t="inlineStr">
        <is>
          <t>Diccionario 7</t>
        </is>
      </c>
      <c r="FD7097" s="26" t="inlineStr">
        <is>
          <t>SJ-BP1072</t>
        </is>
      </c>
      <c r="FL7097" s="27" t="inlineStr">
        <is>
          <t>B2PAL</t>
        </is>
      </c>
      <c r="FP7097" s="27" t="inlineStr">
        <is>
          <t>B2PAL</t>
        </is>
      </c>
    </row>
    <row r="7098">
      <c r="FC7098" t="inlineStr">
        <is>
          <t>Diccionario 7</t>
        </is>
      </c>
      <c r="FD7098" s="26" t="inlineStr">
        <is>
          <t>LL-BP1073</t>
        </is>
      </c>
      <c r="FL7098" s="27" t="inlineStr">
        <is>
          <t>B2PAL</t>
        </is>
      </c>
      <c r="FP7098" s="27" t="inlineStr">
        <is>
          <t>B2PAL</t>
        </is>
      </c>
    </row>
    <row r="7099">
      <c r="FC7099" t="inlineStr">
        <is>
          <t>Diccionario 7</t>
        </is>
      </c>
      <c r="FD7099" s="26" t="inlineStr">
        <is>
          <t>LL-BP1074</t>
        </is>
      </c>
      <c r="FL7099" s="27" t="inlineStr">
        <is>
          <t>B2PAL</t>
        </is>
      </c>
      <c r="FP7099" s="27" t="inlineStr">
        <is>
          <t>B2PAL</t>
        </is>
      </c>
    </row>
    <row r="7100">
      <c r="FC7100" t="inlineStr">
        <is>
          <t>Diccionario 7</t>
        </is>
      </c>
      <c r="FD7100" s="26" t="inlineStr">
        <is>
          <t>LL-BP1075</t>
        </is>
      </c>
      <c r="FL7100" s="27" t="inlineStr">
        <is>
          <t>B2PAL</t>
        </is>
      </c>
      <c r="FP7100" s="27" t="inlineStr">
        <is>
          <t>B2PAL</t>
        </is>
      </c>
    </row>
    <row r="7101">
      <c r="FC7101" t="inlineStr">
        <is>
          <t>Diccionario 7</t>
        </is>
      </c>
      <c r="FD7101" s="26" t="inlineStr">
        <is>
          <t>SJ-BP1076</t>
        </is>
      </c>
      <c r="FL7101" s="27" t="inlineStr">
        <is>
          <t>B2PAL</t>
        </is>
      </c>
      <c r="FP7101" s="27" t="inlineStr">
        <is>
          <t>B2PAL</t>
        </is>
      </c>
    </row>
    <row r="7102">
      <c r="FC7102" t="inlineStr">
        <is>
          <t>Diccionario 7</t>
        </is>
      </c>
      <c r="FD7102" s="26" t="inlineStr">
        <is>
          <t>LL-BP1077</t>
        </is>
      </c>
      <c r="FL7102" s="27" t="inlineStr">
        <is>
          <t>B2PAL</t>
        </is>
      </c>
      <c r="FP7102" s="27" t="inlineStr">
        <is>
          <t>B2PAL</t>
        </is>
      </c>
    </row>
    <row r="7103">
      <c r="FC7103" t="inlineStr">
        <is>
          <t>Diccionario 7</t>
        </is>
      </c>
      <c r="FD7103" s="26" t="inlineStr">
        <is>
          <t>LL-BP1078</t>
        </is>
      </c>
      <c r="FL7103" s="27" t="inlineStr">
        <is>
          <t>B2PAL</t>
        </is>
      </c>
      <c r="FP7103" s="27" t="inlineStr">
        <is>
          <t>B2PAL</t>
        </is>
      </c>
    </row>
    <row r="7104">
      <c r="FC7104" t="inlineStr">
        <is>
          <t>Diccionario 7</t>
        </is>
      </c>
      <c r="FD7104" s="26" t="inlineStr">
        <is>
          <t>SJ-BP1079</t>
        </is>
      </c>
      <c r="FL7104" s="27" t="inlineStr">
        <is>
          <t>B2PAL</t>
        </is>
      </c>
      <c r="FP7104" s="27" t="inlineStr">
        <is>
          <t>B2PAL</t>
        </is>
      </c>
    </row>
    <row r="7105">
      <c r="FC7105" t="inlineStr">
        <is>
          <t>Diccionario 7</t>
        </is>
      </c>
      <c r="FD7105" s="26" t="inlineStr">
        <is>
          <t>SJ-BP1080</t>
        </is>
      </c>
      <c r="FL7105" s="27" t="inlineStr">
        <is>
          <t>B2PAL</t>
        </is>
      </c>
      <c r="FP7105" s="27" t="inlineStr">
        <is>
          <t>B2PAL</t>
        </is>
      </c>
    </row>
    <row r="7106">
      <c r="FC7106" t="inlineStr">
        <is>
          <t>Diccionario 7</t>
        </is>
      </c>
      <c r="FD7106" s="26" t="inlineStr">
        <is>
          <t>SJ-BP1081</t>
        </is>
      </c>
      <c r="FL7106" s="27" t="inlineStr">
        <is>
          <t>B2PAL</t>
        </is>
      </c>
      <c r="FP7106" s="27" t="inlineStr">
        <is>
          <t>B2PAL</t>
        </is>
      </c>
    </row>
    <row r="7107">
      <c r="FC7107" t="inlineStr">
        <is>
          <t>Diccionario 7</t>
        </is>
      </c>
      <c r="FD7107" s="26" t="inlineStr">
        <is>
          <t>SJ-BP1082</t>
        </is>
      </c>
      <c r="FL7107" s="27" t="inlineStr">
        <is>
          <t>B2PAL</t>
        </is>
      </c>
      <c r="FP7107" s="27" t="inlineStr">
        <is>
          <t>B2PAL</t>
        </is>
      </c>
    </row>
    <row r="7108">
      <c r="FC7108" t="inlineStr">
        <is>
          <t>Diccionario 7</t>
        </is>
      </c>
      <c r="FD7108" s="26" t="inlineStr">
        <is>
          <t>LL-BP1083</t>
        </is>
      </c>
      <c r="FL7108" s="27" t="inlineStr">
        <is>
          <t>B2PAL</t>
        </is>
      </c>
      <c r="FP7108" s="27" t="inlineStr">
        <is>
          <t>B2PAL</t>
        </is>
      </c>
    </row>
    <row r="7109">
      <c r="FC7109" t="inlineStr">
        <is>
          <t>Diccionario 7</t>
        </is>
      </c>
      <c r="FD7109" s="26" t="inlineStr">
        <is>
          <t>SJ-BP1084</t>
        </is>
      </c>
      <c r="FL7109" s="27" t="inlineStr">
        <is>
          <t>B2PAL</t>
        </is>
      </c>
      <c r="FP7109" s="27" t="inlineStr">
        <is>
          <t>B2PAL</t>
        </is>
      </c>
    </row>
    <row r="7110">
      <c r="FC7110" t="inlineStr">
        <is>
          <t>Diccionario 7</t>
        </is>
      </c>
      <c r="FD7110" s="26" t="inlineStr">
        <is>
          <t>LL-BP1085</t>
        </is>
      </c>
      <c r="FL7110" s="27" t="inlineStr">
        <is>
          <t>B2PAL</t>
        </is>
      </c>
      <c r="FP7110" s="27" t="inlineStr">
        <is>
          <t>B2PAL</t>
        </is>
      </c>
    </row>
    <row r="7111">
      <c r="FC7111" t="inlineStr">
        <is>
          <t>Diccionario 7</t>
        </is>
      </c>
      <c r="FD7111" s="26" t="inlineStr">
        <is>
          <t>LL-BP1086</t>
        </is>
      </c>
      <c r="FL7111" s="27" t="inlineStr">
        <is>
          <t>B2PAL</t>
        </is>
      </c>
      <c r="FP7111" s="27" t="inlineStr">
        <is>
          <t>B2PAL</t>
        </is>
      </c>
    </row>
    <row r="7112">
      <c r="FC7112" t="inlineStr">
        <is>
          <t>Diccionario 7</t>
        </is>
      </c>
      <c r="FD7112" s="26" t="inlineStr">
        <is>
          <t>SJ-BP1087</t>
        </is>
      </c>
      <c r="FL7112" s="27" t="inlineStr">
        <is>
          <t>B2PAL</t>
        </is>
      </c>
      <c r="FP7112" s="27" t="inlineStr">
        <is>
          <t>B2PAL</t>
        </is>
      </c>
    </row>
    <row r="7113">
      <c r="FC7113" t="inlineStr">
        <is>
          <t>Diccionario 7</t>
        </is>
      </c>
      <c r="FD7113" s="26" t="inlineStr">
        <is>
          <t>SJ-BP1088</t>
        </is>
      </c>
      <c r="FL7113" s="27" t="inlineStr">
        <is>
          <t>B2PAL</t>
        </is>
      </c>
      <c r="FP7113" s="27" t="inlineStr">
        <is>
          <t>B2PAL</t>
        </is>
      </c>
    </row>
    <row r="7114">
      <c r="FC7114" t="inlineStr">
        <is>
          <t>Diccionario 7</t>
        </is>
      </c>
      <c r="FD7114" s="26" t="inlineStr">
        <is>
          <t>SJ-BP1089</t>
        </is>
      </c>
      <c r="FL7114" s="27" t="inlineStr">
        <is>
          <t>B2PAL</t>
        </is>
      </c>
      <c r="FP7114" s="27" t="inlineStr">
        <is>
          <t>B2PAL</t>
        </is>
      </c>
    </row>
    <row r="7115">
      <c r="FC7115" t="inlineStr">
        <is>
          <t>Diccionario 7</t>
        </is>
      </c>
      <c r="FD7115" s="26" t="inlineStr">
        <is>
          <t>SJ-BP1090</t>
        </is>
      </c>
      <c r="FL7115" s="27" t="inlineStr">
        <is>
          <t>B2PAL</t>
        </is>
      </c>
      <c r="FP7115" s="27" t="inlineStr">
        <is>
          <t>B2PAL</t>
        </is>
      </c>
    </row>
    <row r="7116">
      <c r="FC7116" t="inlineStr">
        <is>
          <t>Diccionario 7</t>
        </is>
      </c>
      <c r="FD7116" s="26" t="inlineStr">
        <is>
          <t>LL-BP1091</t>
        </is>
      </c>
      <c r="FL7116" s="27" t="inlineStr">
        <is>
          <t>B2PAL</t>
        </is>
      </c>
      <c r="FP7116" s="27" t="inlineStr">
        <is>
          <t>B2PAL</t>
        </is>
      </c>
    </row>
    <row r="7117">
      <c r="FC7117" t="inlineStr">
        <is>
          <t>Diccionario 7</t>
        </is>
      </c>
      <c r="FD7117" s="26" t="inlineStr">
        <is>
          <t>SJ-BP1092</t>
        </is>
      </c>
      <c r="FL7117" s="27" t="inlineStr">
        <is>
          <t>B2PAL</t>
        </is>
      </c>
      <c r="FP7117" s="27" t="inlineStr">
        <is>
          <t>B2PAL</t>
        </is>
      </c>
    </row>
    <row r="7118">
      <c r="FC7118" t="inlineStr">
        <is>
          <t>Diccionario 7</t>
        </is>
      </c>
      <c r="FD7118" s="26" t="inlineStr">
        <is>
          <t>SJ-BP1093</t>
        </is>
      </c>
      <c r="FL7118" s="27" t="inlineStr">
        <is>
          <t>B2PAL</t>
        </is>
      </c>
      <c r="FP7118" s="27" t="inlineStr">
        <is>
          <t>B2PAL</t>
        </is>
      </c>
    </row>
    <row r="7119">
      <c r="FC7119" t="inlineStr">
        <is>
          <t>Diccionario 7</t>
        </is>
      </c>
      <c r="FD7119" s="26" t="inlineStr">
        <is>
          <t>LL-BP1094</t>
        </is>
      </c>
      <c r="FL7119" s="27" t="inlineStr">
        <is>
          <t>B2PAL</t>
        </is>
      </c>
      <c r="FP7119" s="27" t="inlineStr">
        <is>
          <t>B2PAL</t>
        </is>
      </c>
    </row>
    <row r="7120">
      <c r="FC7120" t="inlineStr">
        <is>
          <t>Diccionario 7</t>
        </is>
      </c>
      <c r="FD7120" s="26" t="inlineStr">
        <is>
          <t>SJ-BP1095</t>
        </is>
      </c>
      <c r="FL7120" s="27" t="inlineStr">
        <is>
          <t>B2PAL</t>
        </is>
      </c>
      <c r="FP7120" s="27" t="inlineStr">
        <is>
          <t>B2PAL</t>
        </is>
      </c>
    </row>
    <row r="7121">
      <c r="FC7121" t="inlineStr">
        <is>
          <t>Diccionario 7</t>
        </is>
      </c>
      <c r="FD7121" s="26" t="inlineStr">
        <is>
          <t>LL-BP1096</t>
        </is>
      </c>
      <c r="FL7121" s="27" t="inlineStr">
        <is>
          <t>B2PAL</t>
        </is>
      </c>
      <c r="FP7121" s="27" t="inlineStr">
        <is>
          <t>B2PAL</t>
        </is>
      </c>
    </row>
    <row r="7122">
      <c r="FC7122" t="inlineStr">
        <is>
          <t>Diccionario 7</t>
        </is>
      </c>
      <c r="FD7122" s="26" t="inlineStr">
        <is>
          <t>LL-BP1096</t>
        </is>
      </c>
      <c r="FL7122" s="27" t="inlineStr">
        <is>
          <t>B2PAL</t>
        </is>
      </c>
      <c r="FP7122" s="27" t="inlineStr">
        <is>
          <t>B2PAL</t>
        </is>
      </c>
    </row>
    <row r="7123">
      <c r="FC7123" t="inlineStr">
        <is>
          <t>Diccionario 7</t>
        </is>
      </c>
      <c r="FD7123" s="26" t="inlineStr">
        <is>
          <t>SJ-BP1097</t>
        </is>
      </c>
      <c r="FL7123" s="27" t="inlineStr">
        <is>
          <t>B2PAL</t>
        </is>
      </c>
      <c r="FP7123" s="27" t="inlineStr">
        <is>
          <t>B2PAL</t>
        </is>
      </c>
    </row>
    <row r="7124">
      <c r="FC7124" t="inlineStr">
        <is>
          <t>Diccionario 7</t>
        </is>
      </c>
      <c r="FD7124" s="26" t="inlineStr">
        <is>
          <t>SJ-BP1098</t>
        </is>
      </c>
      <c r="FL7124" s="27" t="inlineStr">
        <is>
          <t>B2PAL</t>
        </is>
      </c>
      <c r="FP7124" s="27" t="inlineStr">
        <is>
          <t>B2PAL</t>
        </is>
      </c>
    </row>
    <row r="7125">
      <c r="FC7125" t="inlineStr">
        <is>
          <t>Diccionario 7</t>
        </is>
      </c>
      <c r="FD7125" s="26" t="inlineStr">
        <is>
          <t>SJ-BP1099</t>
        </is>
      </c>
      <c r="FL7125" s="27" t="inlineStr">
        <is>
          <t>B2PAL</t>
        </is>
      </c>
      <c r="FP7125" s="27" t="inlineStr">
        <is>
          <t>B2PAL</t>
        </is>
      </c>
    </row>
    <row r="7126">
      <c r="FC7126" t="inlineStr">
        <is>
          <t>Diccionario 7</t>
        </is>
      </c>
      <c r="FD7126" s="26" t="inlineStr">
        <is>
          <t>SJ-BP1101</t>
        </is>
      </c>
      <c r="FL7126" s="27" t="inlineStr">
        <is>
          <t>B2PAL</t>
        </is>
      </c>
      <c r="FP7126" s="27" t="inlineStr">
        <is>
          <t>B2PAL</t>
        </is>
      </c>
    </row>
    <row r="7127">
      <c r="FC7127" t="inlineStr">
        <is>
          <t>Diccionario 7</t>
        </is>
      </c>
      <c r="FD7127" s="26" t="inlineStr">
        <is>
          <t>SJ-BP1102</t>
        </is>
      </c>
      <c r="FL7127" s="27" t="inlineStr">
        <is>
          <t>B2PAL</t>
        </is>
      </c>
      <c r="FP7127" s="27" t="inlineStr">
        <is>
          <t>B2PAL</t>
        </is>
      </c>
    </row>
    <row r="7128">
      <c r="FC7128" t="inlineStr">
        <is>
          <t>Diccionario 7</t>
        </is>
      </c>
      <c r="FD7128" s="26" t="inlineStr">
        <is>
          <t>SJ-BP1103</t>
        </is>
      </c>
      <c r="FL7128" s="27" t="inlineStr">
        <is>
          <t>B2PAL</t>
        </is>
      </c>
      <c r="FP7128" s="27" t="inlineStr">
        <is>
          <t>B2PAL</t>
        </is>
      </c>
    </row>
    <row r="7129">
      <c r="FC7129" t="inlineStr">
        <is>
          <t>Diccionario 7</t>
        </is>
      </c>
      <c r="FD7129" s="26" t="inlineStr">
        <is>
          <t>SJ-BP1104</t>
        </is>
      </c>
      <c r="FL7129" s="27" t="inlineStr">
        <is>
          <t>B2PAL</t>
        </is>
      </c>
      <c r="FP7129" s="27" t="inlineStr">
        <is>
          <t>B2PAL</t>
        </is>
      </c>
    </row>
    <row r="7130">
      <c r="FC7130" t="inlineStr">
        <is>
          <t>Diccionario 7</t>
        </is>
      </c>
      <c r="FD7130" s="26" t="inlineStr">
        <is>
          <t>SJ-BP1105</t>
        </is>
      </c>
      <c r="FL7130" s="27" t="inlineStr">
        <is>
          <t>B2PAL</t>
        </is>
      </c>
      <c r="FP7130" s="27" t="inlineStr">
        <is>
          <t>B2PAL</t>
        </is>
      </c>
    </row>
    <row r="7131">
      <c r="FC7131" t="inlineStr">
        <is>
          <t>Diccionario 7</t>
        </is>
      </c>
      <c r="FD7131" s="26" t="inlineStr">
        <is>
          <t>SJ-BP1106</t>
        </is>
      </c>
      <c r="FL7131" s="27" t="inlineStr">
        <is>
          <t>B2PAL</t>
        </is>
      </c>
      <c r="FP7131" s="27" t="inlineStr">
        <is>
          <t>B2PAL</t>
        </is>
      </c>
    </row>
    <row r="7132">
      <c r="FC7132" t="inlineStr">
        <is>
          <t>Diccionario 7</t>
        </is>
      </c>
      <c r="FD7132" s="26" t="inlineStr">
        <is>
          <t>SJ-B1107</t>
        </is>
      </c>
      <c r="FL7132" s="27" t="inlineStr">
        <is>
          <t>B</t>
        </is>
      </c>
      <c r="FP7132" s="27" t="inlineStr">
        <is>
          <t>B</t>
        </is>
      </c>
    </row>
    <row r="7133">
      <c r="FC7133" t="inlineStr">
        <is>
          <t>Diccionario 7</t>
        </is>
      </c>
      <c r="FD7133" s="26" t="inlineStr">
        <is>
          <t>SJ-B1108</t>
        </is>
      </c>
      <c r="FL7133" s="27" t="inlineStr">
        <is>
          <t>B</t>
        </is>
      </c>
      <c r="FP7133" s="27" t="inlineStr">
        <is>
          <t>B</t>
        </is>
      </c>
    </row>
    <row r="7134">
      <c r="FC7134" t="inlineStr">
        <is>
          <t>Diccionario 7</t>
        </is>
      </c>
      <c r="FD7134" s="26" t="inlineStr">
        <is>
          <t>SJ-B1109</t>
        </is>
      </c>
      <c r="FL7134" s="27" t="inlineStr">
        <is>
          <t>B</t>
        </is>
      </c>
      <c r="FP7134" s="27" t="inlineStr">
        <is>
          <t>B</t>
        </is>
      </c>
    </row>
    <row r="7135">
      <c r="FC7135" t="inlineStr">
        <is>
          <t>Diccionario 7</t>
        </is>
      </c>
      <c r="FD7135" s="26" t="inlineStr">
        <is>
          <t>SJ-B1110</t>
        </is>
      </c>
      <c r="FL7135" s="27" t="inlineStr">
        <is>
          <t>B</t>
        </is>
      </c>
      <c r="FP7135" s="27" t="inlineStr">
        <is>
          <t>B</t>
        </is>
      </c>
    </row>
    <row r="7136">
      <c r="FC7136" t="inlineStr">
        <is>
          <t>Diccionario 7</t>
        </is>
      </c>
      <c r="FD7136" s="26" t="inlineStr">
        <is>
          <t>SJ-B1111</t>
        </is>
      </c>
      <c r="FL7136" s="27" t="inlineStr">
        <is>
          <t>B</t>
        </is>
      </c>
      <c r="FP7136" s="27" t="inlineStr">
        <is>
          <t>B</t>
        </is>
      </c>
    </row>
    <row r="7137">
      <c r="FC7137" t="inlineStr">
        <is>
          <t>Diccionario 7</t>
        </is>
      </c>
      <c r="FD7137" s="26" t="inlineStr">
        <is>
          <t>SJ-B1112</t>
        </is>
      </c>
      <c r="FL7137" s="27" t="inlineStr">
        <is>
          <t>B</t>
        </is>
      </c>
      <c r="FP7137" s="27" t="inlineStr">
        <is>
          <t>B</t>
        </is>
      </c>
    </row>
    <row r="7138">
      <c r="FC7138" t="inlineStr">
        <is>
          <t>Diccionario 7</t>
        </is>
      </c>
      <c r="FD7138" s="26" t="inlineStr">
        <is>
          <t>SJ-B1113</t>
        </is>
      </c>
      <c r="FL7138" s="27" t="inlineStr">
        <is>
          <t>B</t>
        </is>
      </c>
      <c r="FP7138" s="27" t="inlineStr">
        <is>
          <t>B</t>
        </is>
      </c>
    </row>
    <row r="7139">
      <c r="FC7139" t="inlineStr">
        <is>
          <t>Diccionario 7</t>
        </is>
      </c>
      <c r="FD7139" s="26" t="inlineStr">
        <is>
          <t>SJ-B1114</t>
        </is>
      </c>
      <c r="FL7139" s="27" t="inlineStr">
        <is>
          <t>B</t>
        </is>
      </c>
      <c r="FP7139" s="27" t="inlineStr">
        <is>
          <t>B</t>
        </is>
      </c>
    </row>
    <row r="7140">
      <c r="FC7140" t="inlineStr">
        <is>
          <t>Diccionario 7</t>
        </is>
      </c>
      <c r="FD7140" s="26" t="inlineStr">
        <is>
          <t>SJ-B1115</t>
        </is>
      </c>
      <c r="FL7140" s="27" t="inlineStr">
        <is>
          <t>B</t>
        </is>
      </c>
      <c r="FP7140" s="27" t="inlineStr">
        <is>
          <t>B</t>
        </is>
      </c>
    </row>
    <row r="7141">
      <c r="FC7141" t="inlineStr">
        <is>
          <t>Diccionario 7</t>
        </is>
      </c>
      <c r="FD7141" s="26" t="inlineStr">
        <is>
          <t>SJ-B1116</t>
        </is>
      </c>
      <c r="FL7141" s="27" t="inlineStr">
        <is>
          <t>B</t>
        </is>
      </c>
      <c r="FP7141" s="27" t="inlineStr">
        <is>
          <t>B</t>
        </is>
      </c>
    </row>
    <row r="7142">
      <c r="FC7142" t="inlineStr">
        <is>
          <t>Diccionario 7</t>
        </is>
      </c>
      <c r="FD7142" s="26" t="inlineStr">
        <is>
          <t>SJ-B1117</t>
        </is>
      </c>
      <c r="FL7142" s="27" t="inlineStr">
        <is>
          <t>B</t>
        </is>
      </c>
      <c r="FP7142" s="27" t="inlineStr">
        <is>
          <t>B</t>
        </is>
      </c>
    </row>
    <row r="7143">
      <c r="FC7143" t="inlineStr">
        <is>
          <t>Diccionario 7</t>
        </is>
      </c>
      <c r="FD7143" s="26" t="inlineStr">
        <is>
          <t>SJ-B1118</t>
        </is>
      </c>
      <c r="FL7143" s="27" t="inlineStr">
        <is>
          <t>B</t>
        </is>
      </c>
      <c r="FP7143" s="27" t="inlineStr">
        <is>
          <t>B</t>
        </is>
      </c>
    </row>
    <row r="7144">
      <c r="FC7144" t="inlineStr">
        <is>
          <t>Diccionario 7</t>
        </is>
      </c>
      <c r="FD7144" s="26" t="inlineStr">
        <is>
          <t>SJ-B1119</t>
        </is>
      </c>
      <c r="FL7144" s="27" t="inlineStr">
        <is>
          <t>B</t>
        </is>
      </c>
      <c r="FP7144" s="27" t="inlineStr">
        <is>
          <t>B</t>
        </is>
      </c>
    </row>
    <row r="7145">
      <c r="FC7145" t="inlineStr">
        <is>
          <t>Diccionario 7</t>
        </is>
      </c>
      <c r="FD7145" s="26" t="inlineStr">
        <is>
          <t>SJ-B1120</t>
        </is>
      </c>
      <c r="FL7145" s="27" t="inlineStr">
        <is>
          <t>B</t>
        </is>
      </c>
      <c r="FP7145" s="27" t="inlineStr">
        <is>
          <t>B</t>
        </is>
      </c>
    </row>
    <row r="7146">
      <c r="FC7146" t="inlineStr">
        <is>
          <t>Diccionario 7</t>
        </is>
      </c>
      <c r="FD7146" s="26" t="inlineStr">
        <is>
          <t>SJ-B1121</t>
        </is>
      </c>
      <c r="FL7146" s="27" t="inlineStr">
        <is>
          <t>B</t>
        </is>
      </c>
      <c r="FP7146" s="27" t="inlineStr">
        <is>
          <t>B</t>
        </is>
      </c>
    </row>
    <row r="7147">
      <c r="FC7147" t="inlineStr">
        <is>
          <t>Diccionario 7</t>
        </is>
      </c>
      <c r="FD7147" s="26" t="inlineStr">
        <is>
          <t>CER-B1122</t>
        </is>
      </c>
      <c r="FL7147" s="27" t="inlineStr">
        <is>
          <t>B</t>
        </is>
      </c>
      <c r="FP7147" s="27" t="inlineStr">
        <is>
          <t>B</t>
        </is>
      </c>
    </row>
    <row r="7148">
      <c r="FC7148" t="inlineStr">
        <is>
          <t>Diccionario 7</t>
        </is>
      </c>
      <c r="FD7148" s="26" t="inlineStr">
        <is>
          <t>LL-B1123</t>
        </is>
      </c>
      <c r="FL7148" s="27" t="inlineStr">
        <is>
          <t>B</t>
        </is>
      </c>
      <c r="FP7148" s="27" t="inlineStr">
        <is>
          <t>B</t>
        </is>
      </c>
    </row>
    <row r="7149">
      <c r="FC7149" t="inlineStr">
        <is>
          <t>Diccionario 7</t>
        </is>
      </c>
      <c r="FD7149" s="26" t="inlineStr">
        <is>
          <t>LL-B1124</t>
        </is>
      </c>
      <c r="FL7149" s="27" t="inlineStr">
        <is>
          <t>B</t>
        </is>
      </c>
      <c r="FP7149" s="27" t="inlineStr">
        <is>
          <t>B</t>
        </is>
      </c>
    </row>
    <row r="7150">
      <c r="FC7150" t="inlineStr">
        <is>
          <t>Diccionario 7</t>
        </is>
      </c>
      <c r="FD7150" s="26" t="inlineStr">
        <is>
          <t>LL-B1125</t>
        </is>
      </c>
      <c r="FL7150" s="27" t="inlineStr">
        <is>
          <t>B</t>
        </is>
      </c>
      <c r="FP7150" s="27" t="inlineStr">
        <is>
          <t>B</t>
        </is>
      </c>
    </row>
    <row r="7151">
      <c r="FC7151" t="inlineStr">
        <is>
          <t>Diccionario 7</t>
        </is>
      </c>
      <c r="FD7151" s="26" t="inlineStr">
        <is>
          <t>SJ-B1126</t>
        </is>
      </c>
      <c r="FL7151" s="27" t="inlineStr">
        <is>
          <t>B</t>
        </is>
      </c>
      <c r="FP7151" s="27" t="inlineStr">
        <is>
          <t>B</t>
        </is>
      </c>
    </row>
    <row r="7152">
      <c r="FC7152" t="inlineStr">
        <is>
          <t>Diccionario 7</t>
        </is>
      </c>
      <c r="FD7152" s="26" t="inlineStr">
        <is>
          <t>SJ-B1127</t>
        </is>
      </c>
      <c r="FL7152" s="27" t="inlineStr">
        <is>
          <t>B</t>
        </is>
      </c>
      <c r="FP7152" s="27" t="inlineStr">
        <is>
          <t>B</t>
        </is>
      </c>
    </row>
    <row r="7153">
      <c r="FC7153" t="inlineStr">
        <is>
          <t>Diccionario 7</t>
        </is>
      </c>
      <c r="FD7153" s="26" t="inlineStr">
        <is>
          <t>SJ-B1128</t>
        </is>
      </c>
      <c r="FL7153" s="27" t="inlineStr">
        <is>
          <t>B</t>
        </is>
      </c>
      <c r="FP7153" s="27" t="inlineStr">
        <is>
          <t>B</t>
        </is>
      </c>
    </row>
    <row r="7154">
      <c r="FC7154" t="inlineStr">
        <is>
          <t>Diccionario 7</t>
        </is>
      </c>
      <c r="FD7154" s="26" t="inlineStr">
        <is>
          <t>SJ-B1129</t>
        </is>
      </c>
      <c r="FL7154" s="27" t="inlineStr">
        <is>
          <t>B</t>
        </is>
      </c>
      <c r="FP7154" s="27" t="inlineStr">
        <is>
          <t>B</t>
        </is>
      </c>
    </row>
    <row r="7155">
      <c r="FC7155" t="inlineStr">
        <is>
          <t>Diccionario 7</t>
        </is>
      </c>
      <c r="FD7155" s="26" t="inlineStr">
        <is>
          <t>CER-B1130</t>
        </is>
      </c>
      <c r="FL7155" s="27" t="inlineStr">
        <is>
          <t>B</t>
        </is>
      </c>
      <c r="FP7155" s="27" t="inlineStr">
        <is>
          <t>B</t>
        </is>
      </c>
    </row>
    <row r="7156">
      <c r="FC7156" t="inlineStr">
        <is>
          <t>Diccionario 7</t>
        </is>
      </c>
      <c r="FD7156" s="26" t="inlineStr">
        <is>
          <t>LL-B1131</t>
        </is>
      </c>
      <c r="FL7156" s="27" t="inlineStr">
        <is>
          <t>B</t>
        </is>
      </c>
      <c r="FP7156" s="27" t="inlineStr">
        <is>
          <t>B</t>
        </is>
      </c>
    </row>
    <row r="7157">
      <c r="FC7157" t="inlineStr">
        <is>
          <t>Diccionario 7</t>
        </is>
      </c>
      <c r="FD7157" s="26" t="inlineStr">
        <is>
          <t>LL-B1132</t>
        </is>
      </c>
      <c r="FL7157" s="27" t="inlineStr">
        <is>
          <t>B</t>
        </is>
      </c>
      <c r="FP7157" s="27" t="inlineStr">
        <is>
          <t>B</t>
        </is>
      </c>
    </row>
    <row r="7158">
      <c r="FC7158" t="inlineStr">
        <is>
          <t>Diccionario 7</t>
        </is>
      </c>
      <c r="FD7158" s="26" t="inlineStr">
        <is>
          <t>LL-B1133</t>
        </is>
      </c>
      <c r="FL7158" s="27" t="inlineStr">
        <is>
          <t>B</t>
        </is>
      </c>
      <c r="FP7158" s="27" t="inlineStr">
        <is>
          <t>B</t>
        </is>
      </c>
    </row>
    <row r="7159">
      <c r="FC7159" t="inlineStr">
        <is>
          <t>Diccionario 7</t>
        </is>
      </c>
      <c r="FD7159" s="26" t="inlineStr">
        <is>
          <t>LL-B1134</t>
        </is>
      </c>
      <c r="FL7159" s="27" t="inlineStr">
        <is>
          <t>B</t>
        </is>
      </c>
      <c r="FP7159" s="27" t="inlineStr">
        <is>
          <t>B</t>
        </is>
      </c>
    </row>
    <row r="7160">
      <c r="FC7160" t="inlineStr">
        <is>
          <t>Diccionario 7</t>
        </is>
      </c>
      <c r="FD7160" s="26" t="inlineStr">
        <is>
          <t>LL-B1135</t>
        </is>
      </c>
      <c r="FL7160" s="27" t="inlineStr">
        <is>
          <t>B</t>
        </is>
      </c>
      <c r="FP7160" s="27" t="inlineStr">
        <is>
          <t>B</t>
        </is>
      </c>
    </row>
    <row r="7161">
      <c r="FC7161" t="inlineStr">
        <is>
          <t>Diccionario 7</t>
        </is>
      </c>
      <c r="FD7161" s="26" t="inlineStr">
        <is>
          <t>LL-B1136</t>
        </is>
      </c>
      <c r="FL7161" s="27" t="inlineStr">
        <is>
          <t>B</t>
        </is>
      </c>
      <c r="FP7161" s="27" t="inlineStr">
        <is>
          <t>B</t>
        </is>
      </c>
    </row>
    <row r="7162">
      <c r="FC7162" t="inlineStr">
        <is>
          <t>Diccionario 7</t>
        </is>
      </c>
      <c r="FD7162" s="26" t="inlineStr">
        <is>
          <t>LL-B1137</t>
        </is>
      </c>
      <c r="FL7162" s="27" t="inlineStr">
        <is>
          <t>B</t>
        </is>
      </c>
      <c r="FP7162" s="27" t="inlineStr">
        <is>
          <t>B</t>
        </is>
      </c>
    </row>
    <row r="7163">
      <c r="FC7163" t="inlineStr">
        <is>
          <t>Diccionario 7</t>
        </is>
      </c>
      <c r="FD7163" s="26" t="inlineStr">
        <is>
          <t>LL-B1138</t>
        </is>
      </c>
      <c r="FL7163" s="27" t="inlineStr">
        <is>
          <t>B</t>
        </is>
      </c>
      <c r="FP7163" s="27" t="inlineStr">
        <is>
          <t>B</t>
        </is>
      </c>
    </row>
    <row r="7164">
      <c r="FC7164" t="inlineStr">
        <is>
          <t>Diccionario 7</t>
        </is>
      </c>
      <c r="FD7164" s="26" t="inlineStr">
        <is>
          <t>LL-B1139</t>
        </is>
      </c>
      <c r="FL7164" s="27" t="inlineStr">
        <is>
          <t>B</t>
        </is>
      </c>
      <c r="FP7164" s="27" t="inlineStr">
        <is>
          <t>B</t>
        </is>
      </c>
    </row>
    <row r="7165">
      <c r="FC7165" t="inlineStr">
        <is>
          <t>Diccionario 7</t>
        </is>
      </c>
      <c r="FD7165" s="26" t="inlineStr">
        <is>
          <t>SJ-B1140</t>
        </is>
      </c>
      <c r="FL7165" s="27" t="inlineStr">
        <is>
          <t>B</t>
        </is>
      </c>
      <c r="FP7165" s="27" t="inlineStr">
        <is>
          <t>B</t>
        </is>
      </c>
    </row>
    <row r="7166">
      <c r="FC7166" t="inlineStr">
        <is>
          <t>Diccionario 7</t>
        </is>
      </c>
      <c r="FD7166" s="26" t="inlineStr">
        <is>
          <t>LL-B1141</t>
        </is>
      </c>
      <c r="FL7166" s="27" t="inlineStr">
        <is>
          <t>B</t>
        </is>
      </c>
      <c r="FP7166" s="27" t="inlineStr">
        <is>
          <t>B</t>
        </is>
      </c>
    </row>
    <row r="7167">
      <c r="FC7167" t="inlineStr">
        <is>
          <t>Diccionario 7</t>
        </is>
      </c>
      <c r="FD7167" s="26" t="inlineStr">
        <is>
          <t>LL-B1142</t>
        </is>
      </c>
      <c r="FL7167" s="27" t="inlineStr">
        <is>
          <t>B</t>
        </is>
      </c>
      <c r="FP7167" s="27" t="inlineStr">
        <is>
          <t>B</t>
        </is>
      </c>
    </row>
    <row r="7168">
      <c r="FC7168" t="inlineStr">
        <is>
          <t>Diccionario 7</t>
        </is>
      </c>
      <c r="FD7168" s="26" t="inlineStr">
        <is>
          <t>LL-B1143</t>
        </is>
      </c>
      <c r="FL7168" s="27" t="inlineStr">
        <is>
          <t>B</t>
        </is>
      </c>
      <c r="FP7168" s="27" t="inlineStr">
        <is>
          <t>B</t>
        </is>
      </c>
    </row>
    <row r="7169">
      <c r="FC7169" t="inlineStr">
        <is>
          <t>Diccionario 7</t>
        </is>
      </c>
      <c r="FD7169" s="26" t="inlineStr">
        <is>
          <t>LL-B1144</t>
        </is>
      </c>
      <c r="FL7169" s="27" t="inlineStr">
        <is>
          <t>B</t>
        </is>
      </c>
      <c r="FP7169" s="27" t="inlineStr">
        <is>
          <t>B</t>
        </is>
      </c>
    </row>
    <row r="7170">
      <c r="FC7170" t="inlineStr">
        <is>
          <t>Diccionario 7</t>
        </is>
      </c>
      <c r="FD7170" s="26" t="inlineStr">
        <is>
          <t>LL-B1145</t>
        </is>
      </c>
      <c r="FL7170" s="27" t="inlineStr">
        <is>
          <t>B</t>
        </is>
      </c>
      <c r="FP7170" s="27" t="inlineStr">
        <is>
          <t>B</t>
        </is>
      </c>
    </row>
    <row r="7171">
      <c r="FC7171" t="inlineStr">
        <is>
          <t>Diccionario 7</t>
        </is>
      </c>
      <c r="FD7171" s="26" t="inlineStr">
        <is>
          <t>LL-B1146</t>
        </is>
      </c>
      <c r="FL7171" s="27" t="inlineStr">
        <is>
          <t>B</t>
        </is>
      </c>
      <c r="FP7171" s="27" t="inlineStr">
        <is>
          <t>B</t>
        </is>
      </c>
    </row>
    <row r="7172">
      <c r="FC7172" t="inlineStr">
        <is>
          <t>Diccionario 7</t>
        </is>
      </c>
      <c r="FD7172" s="26" t="inlineStr">
        <is>
          <t>LL-B1147</t>
        </is>
      </c>
      <c r="FL7172" s="27" t="inlineStr">
        <is>
          <t>B</t>
        </is>
      </c>
      <c r="FP7172" s="27" t="inlineStr">
        <is>
          <t>B</t>
        </is>
      </c>
    </row>
    <row r="7173">
      <c r="FC7173" t="inlineStr">
        <is>
          <t>Diccionario 7</t>
        </is>
      </c>
      <c r="FD7173" s="26" t="inlineStr">
        <is>
          <t>LL-B1148</t>
        </is>
      </c>
      <c r="FL7173" s="27" t="inlineStr">
        <is>
          <t>B</t>
        </is>
      </c>
      <c r="FP7173" s="27" t="inlineStr">
        <is>
          <t>B</t>
        </is>
      </c>
    </row>
    <row r="7174">
      <c r="FC7174" t="inlineStr">
        <is>
          <t>Diccionario 7</t>
        </is>
      </c>
      <c r="FD7174" s="26" t="inlineStr">
        <is>
          <t>SJ-B1149</t>
        </is>
      </c>
      <c r="FL7174" s="27" t="inlineStr">
        <is>
          <t>B</t>
        </is>
      </c>
      <c r="FP7174" s="27" t="inlineStr">
        <is>
          <t>B</t>
        </is>
      </c>
    </row>
    <row r="7175">
      <c r="FC7175" t="inlineStr">
        <is>
          <t>Diccionario 7</t>
        </is>
      </c>
      <c r="FD7175" s="26" t="inlineStr">
        <is>
          <t>SJ-B1150</t>
        </is>
      </c>
      <c r="FL7175" s="27" t="inlineStr">
        <is>
          <t>B</t>
        </is>
      </c>
      <c r="FP7175" s="27" t="inlineStr">
        <is>
          <t>B</t>
        </is>
      </c>
    </row>
    <row r="7176">
      <c r="FC7176" t="inlineStr">
        <is>
          <t>Diccionario 7</t>
        </is>
      </c>
      <c r="FD7176" s="26" t="inlineStr">
        <is>
          <t>SJ-B1151</t>
        </is>
      </c>
      <c r="FL7176" s="27" t="inlineStr">
        <is>
          <t>B</t>
        </is>
      </c>
      <c r="FP7176" s="27" t="inlineStr">
        <is>
          <t>B</t>
        </is>
      </c>
    </row>
    <row r="7177">
      <c r="FC7177" t="inlineStr">
        <is>
          <t>Diccionario 7</t>
        </is>
      </c>
      <c r="FD7177" s="26" t="inlineStr">
        <is>
          <t>CER-B1152</t>
        </is>
      </c>
      <c r="FL7177" s="27" t="inlineStr">
        <is>
          <t>B</t>
        </is>
      </c>
      <c r="FP7177" s="27" t="inlineStr">
        <is>
          <t>B</t>
        </is>
      </c>
    </row>
    <row r="7178">
      <c r="FC7178" t="inlineStr">
        <is>
          <t>Diccionario 7</t>
        </is>
      </c>
      <c r="FD7178" s="26" t="inlineStr">
        <is>
          <t>SA-B1153</t>
        </is>
      </c>
      <c r="FL7178" s="27" t="inlineStr">
        <is>
          <t>B</t>
        </is>
      </c>
      <c r="FP7178" s="27" t="inlineStr">
        <is>
          <t>B</t>
        </is>
      </c>
    </row>
    <row r="7179">
      <c r="FC7179" t="inlineStr">
        <is>
          <t>Diccionario 7</t>
        </is>
      </c>
      <c r="FD7179" s="26" t="inlineStr">
        <is>
          <t>PA-C1154</t>
        </is>
      </c>
      <c r="FL7179" s="27" t="inlineStr">
        <is>
          <t>C</t>
        </is>
      </c>
      <c r="FP7179" s="27" t="inlineStr">
        <is>
          <t>C</t>
        </is>
      </c>
    </row>
    <row r="7180">
      <c r="FC7180" t="inlineStr">
        <is>
          <t>Diccionario 7</t>
        </is>
      </c>
      <c r="FD7180" s="26" t="inlineStr">
        <is>
          <t>PA-C1155</t>
        </is>
      </c>
      <c r="FL7180" s="27" t="inlineStr">
        <is>
          <t>C</t>
        </is>
      </c>
      <c r="FP7180" s="27" t="inlineStr">
        <is>
          <t>C</t>
        </is>
      </c>
    </row>
    <row r="7181">
      <c r="FC7181" t="inlineStr">
        <is>
          <t>Diccionario 7</t>
        </is>
      </c>
      <c r="FD7181" s="26" t="inlineStr">
        <is>
          <t>PA-C1156</t>
        </is>
      </c>
      <c r="FL7181" s="27" t="inlineStr">
        <is>
          <t>C</t>
        </is>
      </c>
      <c r="FP7181" s="27" t="inlineStr">
        <is>
          <t>C</t>
        </is>
      </c>
    </row>
    <row r="7182">
      <c r="FC7182" t="inlineStr">
        <is>
          <t>Diccionario 7</t>
        </is>
      </c>
      <c r="FD7182" s="26" t="inlineStr">
        <is>
          <t>PA-C1157</t>
        </is>
      </c>
      <c r="FL7182" s="27" t="inlineStr">
        <is>
          <t>C</t>
        </is>
      </c>
      <c r="FP7182" s="27" t="inlineStr">
        <is>
          <t>C</t>
        </is>
      </c>
    </row>
    <row r="7183">
      <c r="FC7183" t="inlineStr">
        <is>
          <t>Diccionario 7</t>
        </is>
      </c>
      <c r="FD7183" s="26" t="inlineStr">
        <is>
          <t>PA-C1158</t>
        </is>
      </c>
      <c r="FL7183" s="27" t="inlineStr">
        <is>
          <t>C</t>
        </is>
      </c>
      <c r="FP7183" s="27" t="inlineStr">
        <is>
          <t>C</t>
        </is>
      </c>
    </row>
    <row r="7184">
      <c r="FC7184" t="inlineStr">
        <is>
          <t>Diccionario 7</t>
        </is>
      </c>
      <c r="FD7184" s="26" t="inlineStr">
        <is>
          <t>PA-C1159</t>
        </is>
      </c>
      <c r="FL7184" s="27" t="inlineStr">
        <is>
          <t>C</t>
        </is>
      </c>
      <c r="FP7184" s="27" t="inlineStr">
        <is>
          <t>C</t>
        </is>
      </c>
    </row>
    <row r="7185">
      <c r="FC7185" t="inlineStr">
        <is>
          <t>Diccionario 7</t>
        </is>
      </c>
      <c r="FD7185" s="26" t="inlineStr">
        <is>
          <t>PA-C1160</t>
        </is>
      </c>
      <c r="FL7185" s="27" t="inlineStr">
        <is>
          <t>C</t>
        </is>
      </c>
      <c r="FP7185" s="27" t="inlineStr">
        <is>
          <t>C</t>
        </is>
      </c>
    </row>
    <row r="7186">
      <c r="FC7186" t="inlineStr">
        <is>
          <t>Diccionario 7</t>
        </is>
      </c>
      <c r="FD7186" s="26" t="inlineStr">
        <is>
          <t>PA-C1161</t>
        </is>
      </c>
      <c r="FL7186" s="27" t="inlineStr">
        <is>
          <t>C</t>
        </is>
      </c>
      <c r="FP7186" s="27" t="inlineStr">
        <is>
          <t>C</t>
        </is>
      </c>
    </row>
    <row r="7187">
      <c r="FC7187" t="inlineStr">
        <is>
          <t>Diccionario 7</t>
        </is>
      </c>
      <c r="FD7187" s="26" t="inlineStr">
        <is>
          <t>PA-C1162</t>
        </is>
      </c>
      <c r="FL7187" s="27" t="inlineStr">
        <is>
          <t>C</t>
        </is>
      </c>
      <c r="FP7187" s="27" t="inlineStr">
        <is>
          <t>C</t>
        </is>
      </c>
    </row>
    <row r="7188">
      <c r="FC7188" t="inlineStr">
        <is>
          <t>Diccionario 7</t>
        </is>
      </c>
      <c r="FD7188" s="26" t="inlineStr">
        <is>
          <t>PA-C1163</t>
        </is>
      </c>
      <c r="FL7188" s="27" t="inlineStr">
        <is>
          <t>C</t>
        </is>
      </c>
      <c r="FP7188" s="27" t="inlineStr">
        <is>
          <t>C</t>
        </is>
      </c>
    </row>
    <row r="7189">
      <c r="FC7189" t="inlineStr">
        <is>
          <t>Diccionario 7</t>
        </is>
      </c>
      <c r="FD7189" s="26" t="inlineStr">
        <is>
          <t>PA-C1164</t>
        </is>
      </c>
      <c r="FL7189" s="27" t="inlineStr">
        <is>
          <t>C</t>
        </is>
      </c>
      <c r="FP7189" s="27" t="inlineStr">
        <is>
          <t>C</t>
        </is>
      </c>
    </row>
    <row r="7190">
      <c r="FC7190" t="inlineStr">
        <is>
          <t>Diccionario 7</t>
        </is>
      </c>
      <c r="FD7190" s="26" t="inlineStr">
        <is>
          <t>PA-C1165</t>
        </is>
      </c>
      <c r="FL7190" s="27" t="inlineStr">
        <is>
          <t>C</t>
        </is>
      </c>
      <c r="FP7190" s="27" t="inlineStr">
        <is>
          <t>C</t>
        </is>
      </c>
    </row>
    <row r="7191">
      <c r="FC7191" t="inlineStr">
        <is>
          <t>Diccionario 7</t>
        </is>
      </c>
      <c r="FD7191" s="26" t="inlineStr">
        <is>
          <t>PA-C1166</t>
        </is>
      </c>
      <c r="FL7191" s="27" t="inlineStr">
        <is>
          <t>C</t>
        </is>
      </c>
      <c r="FP7191" s="27" t="inlineStr">
        <is>
          <t>C</t>
        </is>
      </c>
    </row>
    <row r="7192">
      <c r="FC7192" t="inlineStr">
        <is>
          <t>Diccionario 7</t>
        </is>
      </c>
      <c r="FD7192" s="26" t="inlineStr">
        <is>
          <t>PA-C1167</t>
        </is>
      </c>
      <c r="FL7192" s="27" t="inlineStr">
        <is>
          <t>C</t>
        </is>
      </c>
      <c r="FP7192" s="27" t="inlineStr">
        <is>
          <t>C</t>
        </is>
      </c>
    </row>
    <row r="7193">
      <c r="FC7193" t="inlineStr">
        <is>
          <t>Diccionario 7</t>
        </is>
      </c>
      <c r="FD7193" s="26" t="inlineStr">
        <is>
          <t>PA-C1168</t>
        </is>
      </c>
      <c r="FL7193" s="27" t="inlineStr">
        <is>
          <t>C</t>
        </is>
      </c>
      <c r="FP7193" s="27" t="inlineStr">
        <is>
          <t>C</t>
        </is>
      </c>
    </row>
    <row r="7194">
      <c r="FC7194" t="inlineStr">
        <is>
          <t>Diccionario 7</t>
        </is>
      </c>
      <c r="FD7194" s="26" t="inlineStr">
        <is>
          <t>PA-C1169</t>
        </is>
      </c>
      <c r="FL7194" s="27" t="inlineStr">
        <is>
          <t>C</t>
        </is>
      </c>
      <c r="FP7194" s="27" t="inlineStr">
        <is>
          <t>C</t>
        </is>
      </c>
    </row>
    <row r="7195">
      <c r="FC7195" t="inlineStr">
        <is>
          <t>Diccionario 7</t>
        </is>
      </c>
      <c r="FD7195" s="26" t="inlineStr">
        <is>
          <t>PA-C1170</t>
        </is>
      </c>
      <c r="FL7195" s="27" t="inlineStr">
        <is>
          <t>C</t>
        </is>
      </c>
      <c r="FP7195" s="27" t="inlineStr">
        <is>
          <t>C</t>
        </is>
      </c>
    </row>
    <row r="7196">
      <c r="FC7196" t="inlineStr">
        <is>
          <t>Diccionario 7</t>
        </is>
      </c>
      <c r="FD7196" s="26" t="inlineStr">
        <is>
          <t>PA-C1171</t>
        </is>
      </c>
      <c r="FL7196" s="27" t="inlineStr">
        <is>
          <t>C</t>
        </is>
      </c>
      <c r="FP7196" s="27" t="inlineStr">
        <is>
          <t>C</t>
        </is>
      </c>
    </row>
    <row r="7197">
      <c r="FC7197" t="inlineStr">
        <is>
          <t>Diccionario 7</t>
        </is>
      </c>
      <c r="FD7197" s="26" t="inlineStr">
        <is>
          <t>PA-C1172</t>
        </is>
      </c>
      <c r="FL7197" s="27" t="inlineStr">
        <is>
          <t>C</t>
        </is>
      </c>
      <c r="FP7197" s="27" t="inlineStr">
        <is>
          <t>C</t>
        </is>
      </c>
    </row>
    <row r="7198">
      <c r="FC7198" t="inlineStr">
        <is>
          <t>Diccionario 7</t>
        </is>
      </c>
      <c r="FD7198" s="26" t="inlineStr">
        <is>
          <t>PA-C1173</t>
        </is>
      </c>
      <c r="FL7198" s="27" t="inlineStr">
        <is>
          <t>C</t>
        </is>
      </c>
      <c r="FP7198" s="27" t="inlineStr">
        <is>
          <t>C</t>
        </is>
      </c>
    </row>
    <row r="7199">
      <c r="FC7199" t="inlineStr">
        <is>
          <t>Diccionario 7</t>
        </is>
      </c>
      <c r="FD7199" s="26" t="inlineStr">
        <is>
          <t>PA-C1174</t>
        </is>
      </c>
      <c r="FL7199" s="27" t="inlineStr">
        <is>
          <t>C</t>
        </is>
      </c>
      <c r="FP7199" s="27" t="inlineStr">
        <is>
          <t>C</t>
        </is>
      </c>
    </row>
    <row r="7200">
      <c r="FC7200" t="inlineStr">
        <is>
          <t>Diccionario 7</t>
        </is>
      </c>
      <c r="FD7200" s="26" t="inlineStr">
        <is>
          <t>PA-C1175</t>
        </is>
      </c>
      <c r="FL7200" s="27" t="inlineStr">
        <is>
          <t>C</t>
        </is>
      </c>
      <c r="FP7200" s="27" t="inlineStr">
        <is>
          <t>C</t>
        </is>
      </c>
    </row>
    <row r="7201">
      <c r="FC7201" t="inlineStr">
        <is>
          <t>Diccionario 7</t>
        </is>
      </c>
      <c r="FD7201" s="26" t="inlineStr">
        <is>
          <t>PA-C1176</t>
        </is>
      </c>
      <c r="FL7201" s="27" t="inlineStr">
        <is>
          <t>C</t>
        </is>
      </c>
      <c r="FP7201" s="27" t="inlineStr">
        <is>
          <t>C</t>
        </is>
      </c>
    </row>
    <row r="7202">
      <c r="FC7202" t="inlineStr">
        <is>
          <t>Diccionario 7</t>
        </is>
      </c>
      <c r="FD7202" s="26" t="inlineStr">
        <is>
          <t>PA-C1177</t>
        </is>
      </c>
      <c r="FL7202" s="27" t="inlineStr">
        <is>
          <t>C</t>
        </is>
      </c>
      <c r="FP7202" s="27" t="inlineStr">
        <is>
          <t>C</t>
        </is>
      </c>
    </row>
    <row r="7203">
      <c r="FC7203" t="inlineStr">
        <is>
          <t>Diccionario 7</t>
        </is>
      </c>
      <c r="FD7203" s="26" t="inlineStr">
        <is>
          <t>PA-C1178</t>
        </is>
      </c>
      <c r="FL7203" s="27" t="inlineStr">
        <is>
          <t>C</t>
        </is>
      </c>
      <c r="FP7203" s="27" t="inlineStr">
        <is>
          <t>C</t>
        </is>
      </c>
    </row>
    <row r="7204">
      <c r="FC7204" t="inlineStr">
        <is>
          <t>Diccionario 7</t>
        </is>
      </c>
      <c r="FD7204" s="26" t="inlineStr">
        <is>
          <t>PA-C1179</t>
        </is>
      </c>
      <c r="FL7204" s="27" t="inlineStr">
        <is>
          <t>C</t>
        </is>
      </c>
      <c r="FP7204" s="27" t="inlineStr">
        <is>
          <t>C</t>
        </is>
      </c>
    </row>
    <row r="7205">
      <c r="FC7205" t="inlineStr">
        <is>
          <t>Diccionario 7</t>
        </is>
      </c>
      <c r="FD7205" s="26" t="inlineStr">
        <is>
          <t>PA-C1180</t>
        </is>
      </c>
      <c r="FL7205" s="27" t="inlineStr">
        <is>
          <t>C</t>
        </is>
      </c>
      <c r="FP7205" s="27" t="inlineStr">
        <is>
          <t>C</t>
        </is>
      </c>
    </row>
    <row r="7206">
      <c r="FC7206" t="inlineStr">
        <is>
          <t>Diccionario 7</t>
        </is>
      </c>
      <c r="FD7206" s="26" t="inlineStr">
        <is>
          <t>PA-C1181</t>
        </is>
      </c>
      <c r="FL7206" s="27" t="inlineStr">
        <is>
          <t>C</t>
        </is>
      </c>
      <c r="FP7206" s="27" t="inlineStr">
        <is>
          <t>C</t>
        </is>
      </c>
    </row>
    <row r="7207">
      <c r="FC7207" t="inlineStr">
        <is>
          <t>Diccionario 7</t>
        </is>
      </c>
      <c r="FD7207" s="26" t="inlineStr">
        <is>
          <t>PA-C1182</t>
        </is>
      </c>
      <c r="FL7207" s="27" t="inlineStr">
        <is>
          <t>C</t>
        </is>
      </c>
      <c r="FP7207" s="27" t="inlineStr">
        <is>
          <t>C</t>
        </is>
      </c>
    </row>
    <row r="7208">
      <c r="FC7208" t="inlineStr">
        <is>
          <t>Diccionario 7</t>
        </is>
      </c>
      <c r="FD7208" s="26" t="inlineStr">
        <is>
          <t>PA-C1183</t>
        </is>
      </c>
      <c r="FL7208" s="27" t="inlineStr">
        <is>
          <t>C</t>
        </is>
      </c>
      <c r="FP7208" s="27" t="inlineStr">
        <is>
          <t>C</t>
        </is>
      </c>
    </row>
    <row r="7209">
      <c r="FC7209" t="inlineStr">
        <is>
          <t>Diccionario 7</t>
        </is>
      </c>
      <c r="FD7209" s="26" t="inlineStr">
        <is>
          <t>PA-C1184</t>
        </is>
      </c>
      <c r="FL7209" s="27" t="inlineStr">
        <is>
          <t>C</t>
        </is>
      </c>
      <c r="FP7209" s="27" t="inlineStr">
        <is>
          <t>C</t>
        </is>
      </c>
    </row>
    <row r="7210">
      <c r="FC7210" t="inlineStr">
        <is>
          <t>Diccionario 7</t>
        </is>
      </c>
      <c r="FD7210" s="26" t="inlineStr">
        <is>
          <t>PA-C1185</t>
        </is>
      </c>
      <c r="FL7210" s="27" t="inlineStr">
        <is>
          <t>C</t>
        </is>
      </c>
      <c r="FP7210" s="27" t="inlineStr">
        <is>
          <t>C</t>
        </is>
      </c>
    </row>
    <row r="7211">
      <c r="FC7211" t="inlineStr">
        <is>
          <t>Diccionario 7</t>
        </is>
      </c>
      <c r="FD7211" s="26" t="inlineStr">
        <is>
          <t>PA-C1187</t>
        </is>
      </c>
      <c r="FL7211" s="27" t="inlineStr">
        <is>
          <t>C</t>
        </is>
      </c>
      <c r="FP7211" s="27" t="inlineStr">
        <is>
          <t>C</t>
        </is>
      </c>
    </row>
    <row r="7212">
      <c r="FC7212" t="inlineStr">
        <is>
          <t>Diccionario 7</t>
        </is>
      </c>
      <c r="FD7212" s="26" t="inlineStr">
        <is>
          <t>PA-C1188</t>
        </is>
      </c>
      <c r="FL7212" s="27" t="inlineStr">
        <is>
          <t>C</t>
        </is>
      </c>
      <c r="FP7212" s="27" t="inlineStr">
        <is>
          <t>C</t>
        </is>
      </c>
    </row>
    <row r="7213">
      <c r="FC7213" t="inlineStr">
        <is>
          <t>Diccionario 7</t>
        </is>
      </c>
      <c r="FD7213" s="26" t="inlineStr">
        <is>
          <t>PA-C1189</t>
        </is>
      </c>
      <c r="FL7213" s="27" t="inlineStr">
        <is>
          <t>C</t>
        </is>
      </c>
      <c r="FP7213" s="27" t="inlineStr">
        <is>
          <t>C</t>
        </is>
      </c>
    </row>
    <row r="7214">
      <c r="FC7214" t="inlineStr">
        <is>
          <t>Diccionario 7</t>
        </is>
      </c>
      <c r="FD7214" s="26" t="inlineStr">
        <is>
          <t>PA-C1190</t>
        </is>
      </c>
      <c r="FL7214" s="27" t="inlineStr">
        <is>
          <t>C</t>
        </is>
      </c>
      <c r="FP7214" s="27" t="inlineStr">
        <is>
          <t>C</t>
        </is>
      </c>
    </row>
    <row r="7215">
      <c r="FC7215" t="inlineStr">
        <is>
          <t>Diccionario 7</t>
        </is>
      </c>
      <c r="FD7215" s="26" t="inlineStr">
        <is>
          <t>PA-C1191</t>
        </is>
      </c>
      <c r="FL7215" s="27" t="inlineStr">
        <is>
          <t>C</t>
        </is>
      </c>
      <c r="FP7215" s="27" t="inlineStr">
        <is>
          <t>C</t>
        </is>
      </c>
    </row>
    <row r="7216">
      <c r="FC7216" t="inlineStr">
        <is>
          <t>Diccionario 7</t>
        </is>
      </c>
      <c r="FD7216" s="26" t="inlineStr">
        <is>
          <t>PA-C1192</t>
        </is>
      </c>
      <c r="FL7216" s="27" t="inlineStr">
        <is>
          <t>C</t>
        </is>
      </c>
      <c r="FP7216" s="27" t="inlineStr">
        <is>
          <t>C</t>
        </is>
      </c>
    </row>
    <row r="7217">
      <c r="FC7217" t="inlineStr">
        <is>
          <t>Diccionario 7</t>
        </is>
      </c>
      <c r="FD7217" s="26" t="inlineStr">
        <is>
          <t>PA-C1193</t>
        </is>
      </c>
      <c r="FL7217" s="27" t="inlineStr">
        <is>
          <t>C</t>
        </is>
      </c>
      <c r="FP7217" s="27" t="inlineStr">
        <is>
          <t>C</t>
        </is>
      </c>
    </row>
    <row r="7218">
      <c r="FC7218" t="inlineStr">
        <is>
          <t>Diccionario 7</t>
        </is>
      </c>
      <c r="FD7218" s="26" t="inlineStr">
        <is>
          <t>PA-C1194</t>
        </is>
      </c>
      <c r="FL7218" s="27" t="inlineStr">
        <is>
          <t>C</t>
        </is>
      </c>
      <c r="FP7218" s="27" t="inlineStr">
        <is>
          <t>C</t>
        </is>
      </c>
    </row>
    <row r="7219">
      <c r="FC7219" t="inlineStr">
        <is>
          <t>Diccionario 7</t>
        </is>
      </c>
      <c r="FD7219" s="26" t="inlineStr">
        <is>
          <t>PA-C1195</t>
        </is>
      </c>
      <c r="FL7219" s="27" t="inlineStr">
        <is>
          <t>C</t>
        </is>
      </c>
      <c r="FP7219" s="27" t="inlineStr">
        <is>
          <t>C</t>
        </is>
      </c>
    </row>
    <row r="7220">
      <c r="FC7220" t="inlineStr">
        <is>
          <t>Diccionario 7</t>
        </is>
      </c>
      <c r="FD7220" s="26" t="inlineStr">
        <is>
          <t>PA-C1196</t>
        </is>
      </c>
      <c r="FL7220" s="27" t="inlineStr">
        <is>
          <t>C</t>
        </is>
      </c>
      <c r="FP7220" s="27" t="inlineStr">
        <is>
          <t>C</t>
        </is>
      </c>
    </row>
    <row r="7221">
      <c r="FC7221" t="inlineStr">
        <is>
          <t>Diccionario 7</t>
        </is>
      </c>
      <c r="FD7221" s="26" t="inlineStr">
        <is>
          <t>PA-C1197</t>
        </is>
      </c>
      <c r="FL7221" s="27" t="inlineStr">
        <is>
          <t>C</t>
        </is>
      </c>
      <c r="FP7221" s="27" t="inlineStr">
        <is>
          <t>C</t>
        </is>
      </c>
    </row>
    <row r="7222">
      <c r="FC7222" t="inlineStr">
        <is>
          <t>Diccionario 7</t>
        </is>
      </c>
      <c r="FD7222" s="26" t="inlineStr">
        <is>
          <t>PA-C1198</t>
        </is>
      </c>
      <c r="FL7222" s="27" t="inlineStr">
        <is>
          <t>C</t>
        </is>
      </c>
      <c r="FP7222" s="27" t="inlineStr">
        <is>
          <t>C</t>
        </is>
      </c>
    </row>
    <row r="7223">
      <c r="FC7223" t="inlineStr">
        <is>
          <t>Diccionario 7</t>
        </is>
      </c>
      <c r="FD7223" s="26" t="inlineStr">
        <is>
          <t>PA-C1199</t>
        </is>
      </c>
      <c r="FL7223" s="27" t="inlineStr">
        <is>
          <t>C</t>
        </is>
      </c>
      <c r="FP7223" s="27" t="inlineStr">
        <is>
          <t>C</t>
        </is>
      </c>
    </row>
    <row r="7224">
      <c r="FC7224" t="inlineStr">
        <is>
          <t>Diccionario 7</t>
        </is>
      </c>
      <c r="FD7224" s="26" t="inlineStr">
        <is>
          <t>PA-C1200</t>
        </is>
      </c>
      <c r="FL7224" s="27" t="inlineStr">
        <is>
          <t>C</t>
        </is>
      </c>
      <c r="FP7224" s="27" t="inlineStr">
        <is>
          <t>C</t>
        </is>
      </c>
    </row>
    <row r="7225">
      <c r="FC7225" t="inlineStr">
        <is>
          <t>Diccionario 7</t>
        </is>
      </c>
      <c r="FD7225" s="26" t="inlineStr">
        <is>
          <t>PA-C1201</t>
        </is>
      </c>
      <c r="FL7225" s="27" t="inlineStr">
        <is>
          <t>C</t>
        </is>
      </c>
      <c r="FP7225" s="27" t="inlineStr">
        <is>
          <t>C</t>
        </is>
      </c>
    </row>
    <row r="7226">
      <c r="FC7226" t="inlineStr">
        <is>
          <t>Diccionario 7</t>
        </is>
      </c>
      <c r="FD7226" s="26" t="inlineStr">
        <is>
          <t>PA-C1202</t>
        </is>
      </c>
      <c r="FL7226" s="27" t="inlineStr">
        <is>
          <t>C</t>
        </is>
      </c>
      <c r="FP7226" s="27" t="inlineStr">
        <is>
          <t>C</t>
        </is>
      </c>
    </row>
    <row r="7227">
      <c r="FC7227" t="inlineStr">
        <is>
          <t>Diccionario 7</t>
        </is>
      </c>
      <c r="FD7227" s="26" t="inlineStr">
        <is>
          <t>PA-C1203</t>
        </is>
      </c>
      <c r="FL7227" s="27" t="inlineStr">
        <is>
          <t>C</t>
        </is>
      </c>
      <c r="FP7227" s="27" t="inlineStr">
        <is>
          <t>C</t>
        </is>
      </c>
    </row>
    <row r="7228">
      <c r="FC7228" t="inlineStr">
        <is>
          <t>Diccionario 7</t>
        </is>
      </c>
      <c r="FD7228" s="26" t="inlineStr">
        <is>
          <t>PA-C1204</t>
        </is>
      </c>
      <c r="FL7228" s="27" t="inlineStr">
        <is>
          <t>C</t>
        </is>
      </c>
      <c r="FP7228" s="27" t="inlineStr">
        <is>
          <t>C</t>
        </is>
      </c>
    </row>
    <row r="7229">
      <c r="FC7229" t="inlineStr">
        <is>
          <t>Diccionario 7</t>
        </is>
      </c>
      <c r="FD7229" s="26" t="inlineStr">
        <is>
          <t>PA-C1205</t>
        </is>
      </c>
      <c r="FL7229" s="27" t="inlineStr">
        <is>
          <t>C</t>
        </is>
      </c>
      <c r="FP7229" s="27" t="inlineStr">
        <is>
          <t>C</t>
        </is>
      </c>
    </row>
    <row r="7230">
      <c r="FC7230" t="inlineStr">
        <is>
          <t>Diccionario 7</t>
        </is>
      </c>
      <c r="FD7230" s="26" t="inlineStr">
        <is>
          <t>PA-C1206</t>
        </is>
      </c>
      <c r="FL7230" s="27" t="inlineStr">
        <is>
          <t>C</t>
        </is>
      </c>
      <c r="FP7230" s="27" t="inlineStr">
        <is>
          <t>C</t>
        </is>
      </c>
    </row>
    <row r="7231">
      <c r="FC7231" t="inlineStr">
        <is>
          <t>Diccionario 7</t>
        </is>
      </c>
      <c r="FD7231" s="26" t="inlineStr">
        <is>
          <t>PA-C1207</t>
        </is>
      </c>
      <c r="FL7231" s="27" t="inlineStr">
        <is>
          <t>C</t>
        </is>
      </c>
      <c r="FP7231" s="27" t="inlineStr">
        <is>
          <t>C</t>
        </is>
      </c>
    </row>
    <row r="7232">
      <c r="FC7232" t="inlineStr">
        <is>
          <t>Diccionario 7</t>
        </is>
      </c>
      <c r="FD7232" s="26" t="inlineStr">
        <is>
          <t>PA-C1208</t>
        </is>
      </c>
      <c r="FL7232" s="27" t="inlineStr">
        <is>
          <t>C</t>
        </is>
      </c>
      <c r="FP7232" s="27" t="inlineStr">
        <is>
          <t>C</t>
        </is>
      </c>
    </row>
    <row r="7233">
      <c r="FC7233" t="inlineStr">
        <is>
          <t>Diccionario 7</t>
        </is>
      </c>
      <c r="FD7233" s="26" t="inlineStr">
        <is>
          <t>PA-C1209</t>
        </is>
      </c>
      <c r="FL7233" s="27" t="inlineStr">
        <is>
          <t>C</t>
        </is>
      </c>
      <c r="FP7233" s="27" t="inlineStr">
        <is>
          <t>C</t>
        </is>
      </c>
    </row>
    <row r="7234">
      <c r="FC7234" t="inlineStr">
        <is>
          <t>Diccionario 7</t>
        </is>
      </c>
      <c r="FD7234" s="26" t="inlineStr">
        <is>
          <t>PA-C1210</t>
        </is>
      </c>
      <c r="FL7234" s="27" t="inlineStr">
        <is>
          <t>C</t>
        </is>
      </c>
      <c r="FP7234" s="27" t="inlineStr">
        <is>
          <t>C</t>
        </is>
      </c>
    </row>
    <row r="7235">
      <c r="FC7235" t="inlineStr">
        <is>
          <t>Diccionario 7</t>
        </is>
      </c>
      <c r="FD7235" s="26" t="inlineStr">
        <is>
          <t>PA-C1211</t>
        </is>
      </c>
      <c r="FL7235" s="27" t="inlineStr">
        <is>
          <t>C</t>
        </is>
      </c>
      <c r="FP7235" s="27" t="inlineStr">
        <is>
          <t>C</t>
        </is>
      </c>
    </row>
    <row r="7236">
      <c r="FC7236" t="inlineStr">
        <is>
          <t>Diccionario 7</t>
        </is>
      </c>
      <c r="FD7236" s="26" t="inlineStr">
        <is>
          <t>PA-C1212</t>
        </is>
      </c>
      <c r="FL7236" s="27" t="inlineStr">
        <is>
          <t>C</t>
        </is>
      </c>
      <c r="FP7236" s="27" t="inlineStr">
        <is>
          <t>C</t>
        </is>
      </c>
    </row>
    <row r="7237">
      <c r="FC7237" t="inlineStr">
        <is>
          <t>Diccionario 7</t>
        </is>
      </c>
      <c r="FD7237" s="26" t="inlineStr">
        <is>
          <t>SA-C1213</t>
        </is>
      </c>
      <c r="FL7237" s="27" t="inlineStr">
        <is>
          <t>C</t>
        </is>
      </c>
      <c r="FP7237" s="27" t="inlineStr">
        <is>
          <t>C</t>
        </is>
      </c>
    </row>
    <row r="7238">
      <c r="FC7238" t="inlineStr">
        <is>
          <t>Diccionario 7</t>
        </is>
      </c>
      <c r="FD7238" s="26" t="inlineStr">
        <is>
          <t>SA-C1214</t>
        </is>
      </c>
      <c r="FL7238" s="27" t="inlineStr">
        <is>
          <t>C</t>
        </is>
      </c>
      <c r="FP7238" s="27" t="inlineStr">
        <is>
          <t>C</t>
        </is>
      </c>
    </row>
    <row r="7239">
      <c r="FC7239" t="inlineStr">
        <is>
          <t>Diccionario 7</t>
        </is>
      </c>
      <c r="FD7239" s="26" t="inlineStr">
        <is>
          <t>SA-C1215</t>
        </is>
      </c>
      <c r="FL7239" s="27" t="inlineStr">
        <is>
          <t>C</t>
        </is>
      </c>
      <c r="FP7239" s="27" t="inlineStr">
        <is>
          <t>C</t>
        </is>
      </c>
    </row>
    <row r="7240">
      <c r="FC7240" t="inlineStr">
        <is>
          <t>Diccionario 7</t>
        </is>
      </c>
      <c r="FD7240" s="26" t="inlineStr">
        <is>
          <t>SA-C1216</t>
        </is>
      </c>
      <c r="FL7240" s="27" t="inlineStr">
        <is>
          <t>C</t>
        </is>
      </c>
      <c r="FP7240" s="27" t="inlineStr">
        <is>
          <t>C</t>
        </is>
      </c>
    </row>
    <row r="7241">
      <c r="FC7241" t="inlineStr">
        <is>
          <t>Diccionario 7</t>
        </is>
      </c>
      <c r="FD7241" s="26" t="inlineStr">
        <is>
          <t>SA-C1217</t>
        </is>
      </c>
      <c r="FL7241" s="27" t="inlineStr">
        <is>
          <t>C</t>
        </is>
      </c>
      <c r="FP7241" s="27" t="inlineStr">
        <is>
          <t>C</t>
        </is>
      </c>
    </row>
    <row r="7242">
      <c r="FC7242" t="inlineStr">
        <is>
          <t>Diccionario 7</t>
        </is>
      </c>
      <c r="FD7242" s="26" t="inlineStr">
        <is>
          <t>SA-C1218</t>
        </is>
      </c>
      <c r="FL7242" s="27" t="inlineStr">
        <is>
          <t>C</t>
        </is>
      </c>
      <c r="FP7242" s="27" t="inlineStr">
        <is>
          <t>C</t>
        </is>
      </c>
    </row>
    <row r="7243">
      <c r="FC7243" t="inlineStr">
        <is>
          <t>Diccionario 7</t>
        </is>
      </c>
      <c r="FD7243" s="26" t="inlineStr">
        <is>
          <t>SA-C1219</t>
        </is>
      </c>
      <c r="FL7243" s="27" t="inlineStr">
        <is>
          <t>C</t>
        </is>
      </c>
      <c r="FP7243" s="27" t="inlineStr">
        <is>
          <t>C</t>
        </is>
      </c>
    </row>
    <row r="7244">
      <c r="FC7244" t="inlineStr">
        <is>
          <t>Diccionario 7</t>
        </is>
      </c>
      <c r="FD7244" s="26" t="inlineStr">
        <is>
          <t>SA-C1220</t>
        </is>
      </c>
      <c r="FL7244" s="27" t="inlineStr">
        <is>
          <t>C</t>
        </is>
      </c>
      <c r="FP7244" s="27" t="inlineStr">
        <is>
          <t>C</t>
        </is>
      </c>
    </row>
    <row r="7245">
      <c r="FC7245" t="inlineStr">
        <is>
          <t>Diccionario 7</t>
        </is>
      </c>
      <c r="FD7245" s="26" t="inlineStr">
        <is>
          <t>SA-C1221</t>
        </is>
      </c>
      <c r="FL7245" s="27" t="inlineStr">
        <is>
          <t>C</t>
        </is>
      </c>
      <c r="FP7245" s="27" t="inlineStr">
        <is>
          <t>C</t>
        </is>
      </c>
    </row>
    <row r="7246">
      <c r="FC7246" t="inlineStr">
        <is>
          <t>Diccionario 7</t>
        </is>
      </c>
      <c r="FD7246" s="26" t="inlineStr">
        <is>
          <t>SA-C1222</t>
        </is>
      </c>
      <c r="FL7246" s="27" t="inlineStr">
        <is>
          <t>C</t>
        </is>
      </c>
      <c r="FP7246" s="27" t="inlineStr">
        <is>
          <t>C</t>
        </is>
      </c>
    </row>
    <row r="7247">
      <c r="FC7247" t="inlineStr">
        <is>
          <t>Diccionario 7</t>
        </is>
      </c>
      <c r="FD7247" s="26" t="inlineStr">
        <is>
          <t>SA-C1223</t>
        </is>
      </c>
      <c r="FL7247" s="27" t="inlineStr">
        <is>
          <t>C</t>
        </is>
      </c>
      <c r="FP7247" s="27" t="inlineStr">
        <is>
          <t>C</t>
        </is>
      </c>
    </row>
    <row r="7248">
      <c r="FC7248" t="inlineStr">
        <is>
          <t>Diccionario 7</t>
        </is>
      </c>
      <c r="FD7248" s="26" t="inlineStr">
        <is>
          <t>SA-C1224</t>
        </is>
      </c>
      <c r="FL7248" s="27" t="inlineStr">
        <is>
          <t>C</t>
        </is>
      </c>
      <c r="FP7248" s="27" t="inlineStr">
        <is>
          <t>C</t>
        </is>
      </c>
    </row>
    <row r="7249">
      <c r="FC7249" t="inlineStr">
        <is>
          <t>Diccionario 7</t>
        </is>
      </c>
      <c r="FD7249" s="26" t="inlineStr">
        <is>
          <t>SA-C1225</t>
        </is>
      </c>
      <c r="FL7249" s="27" t="inlineStr">
        <is>
          <t>C</t>
        </is>
      </c>
      <c r="FP7249" s="27" t="inlineStr">
        <is>
          <t>C</t>
        </is>
      </c>
    </row>
    <row r="7250">
      <c r="FC7250" t="inlineStr">
        <is>
          <t>Diccionario 7</t>
        </is>
      </c>
      <c r="FD7250" s="26" t="inlineStr">
        <is>
          <t>SA-C1226</t>
        </is>
      </c>
      <c r="FL7250" s="27" t="inlineStr">
        <is>
          <t>C</t>
        </is>
      </c>
      <c r="FP7250" s="27" t="inlineStr">
        <is>
          <t>C</t>
        </is>
      </c>
    </row>
    <row r="7251">
      <c r="FC7251" t="inlineStr">
        <is>
          <t>Diccionario 7</t>
        </is>
      </c>
      <c r="FD7251" s="26" t="inlineStr">
        <is>
          <t>SA-C1227</t>
        </is>
      </c>
      <c r="FL7251" s="27" t="inlineStr">
        <is>
          <t>C</t>
        </is>
      </c>
      <c r="FP7251" s="27" t="inlineStr">
        <is>
          <t>C</t>
        </is>
      </c>
    </row>
    <row r="7252">
      <c r="FC7252" t="inlineStr">
        <is>
          <t>Diccionario 7</t>
        </is>
      </c>
      <c r="FD7252" s="26" t="inlineStr">
        <is>
          <t>SA-C1228</t>
        </is>
      </c>
      <c r="FL7252" s="27" t="inlineStr">
        <is>
          <t>C</t>
        </is>
      </c>
      <c r="FP7252" s="27" t="inlineStr">
        <is>
          <t>C</t>
        </is>
      </c>
    </row>
    <row r="7253">
      <c r="FC7253" t="inlineStr">
        <is>
          <t>Diccionario 7</t>
        </is>
      </c>
      <c r="FD7253" s="26" t="inlineStr">
        <is>
          <t>SA-C1229</t>
        </is>
      </c>
      <c r="FL7253" s="27" t="inlineStr">
        <is>
          <t>C</t>
        </is>
      </c>
      <c r="FP7253" s="27" t="inlineStr">
        <is>
          <t>C</t>
        </is>
      </c>
    </row>
    <row r="7254">
      <c r="FC7254" t="inlineStr">
        <is>
          <t>Diccionario 7</t>
        </is>
      </c>
      <c r="FD7254" s="26" t="inlineStr">
        <is>
          <t>SA-C1230</t>
        </is>
      </c>
      <c r="FL7254" s="27" t="inlineStr">
        <is>
          <t>C</t>
        </is>
      </c>
      <c r="FP7254" s="27" t="inlineStr">
        <is>
          <t>C</t>
        </is>
      </c>
    </row>
    <row r="7255">
      <c r="FC7255" t="inlineStr">
        <is>
          <t>Diccionario 7</t>
        </is>
      </c>
      <c r="FD7255" s="26" t="inlineStr">
        <is>
          <t>SA-C1231</t>
        </is>
      </c>
      <c r="FL7255" s="27" t="inlineStr">
        <is>
          <t>C</t>
        </is>
      </c>
      <c r="FP7255" s="27" t="inlineStr">
        <is>
          <t>C</t>
        </is>
      </c>
    </row>
    <row r="7256">
      <c r="FC7256" t="inlineStr">
        <is>
          <t>Diccionario 7</t>
        </is>
      </c>
      <c r="FD7256" s="26" t="inlineStr">
        <is>
          <t>SA-C1232</t>
        </is>
      </c>
      <c r="FL7256" s="27" t="inlineStr">
        <is>
          <t>C</t>
        </is>
      </c>
      <c r="FP7256" s="27" t="inlineStr">
        <is>
          <t>C</t>
        </is>
      </c>
    </row>
    <row r="7257">
      <c r="FC7257" t="inlineStr">
        <is>
          <t>Diccionario 7</t>
        </is>
      </c>
      <c r="FD7257" s="26" t="inlineStr">
        <is>
          <t>SA-C1233</t>
        </is>
      </c>
      <c r="FL7257" s="27" t="inlineStr">
        <is>
          <t>C</t>
        </is>
      </c>
      <c r="FP7257" s="27" t="inlineStr">
        <is>
          <t>C</t>
        </is>
      </c>
    </row>
    <row r="7258">
      <c r="FC7258" t="inlineStr">
        <is>
          <t>Diccionario 7</t>
        </is>
      </c>
      <c r="FD7258" s="26" t="inlineStr">
        <is>
          <t>SA-C1234</t>
        </is>
      </c>
      <c r="FL7258" s="27" t="inlineStr">
        <is>
          <t>C</t>
        </is>
      </c>
      <c r="FP7258" s="27" t="inlineStr">
        <is>
          <t>C</t>
        </is>
      </c>
    </row>
    <row r="7259">
      <c r="FC7259" t="inlineStr">
        <is>
          <t>Diccionario 7</t>
        </is>
      </c>
      <c r="FD7259" s="26" t="inlineStr">
        <is>
          <t>SA-C1235</t>
        </is>
      </c>
      <c r="FL7259" s="27" t="inlineStr">
        <is>
          <t>C</t>
        </is>
      </c>
      <c r="FP7259" s="27" t="inlineStr">
        <is>
          <t>C</t>
        </is>
      </c>
    </row>
    <row r="7260">
      <c r="FC7260" t="inlineStr">
        <is>
          <t>Diccionario 7</t>
        </is>
      </c>
      <c r="FD7260" s="26" t="inlineStr">
        <is>
          <t>SA-C1236</t>
        </is>
      </c>
      <c r="FL7260" s="27" t="inlineStr">
        <is>
          <t>C</t>
        </is>
      </c>
      <c r="FP7260" s="27" t="inlineStr">
        <is>
          <t>C</t>
        </is>
      </c>
    </row>
    <row r="7261">
      <c r="FC7261" t="inlineStr">
        <is>
          <t>Diccionario 7</t>
        </is>
      </c>
      <c r="FD7261" s="26" t="inlineStr">
        <is>
          <t>SA-C1237</t>
        </is>
      </c>
      <c r="FL7261" s="27" t="inlineStr">
        <is>
          <t>C</t>
        </is>
      </c>
      <c r="FP7261" s="27" t="inlineStr">
        <is>
          <t>C</t>
        </is>
      </c>
    </row>
    <row r="7262">
      <c r="FC7262" t="inlineStr">
        <is>
          <t>Diccionario 7</t>
        </is>
      </c>
      <c r="FD7262" s="26" t="inlineStr">
        <is>
          <t>SA-C1238</t>
        </is>
      </c>
      <c r="FL7262" s="27" t="inlineStr">
        <is>
          <t>C</t>
        </is>
      </c>
      <c r="FP7262" s="27" t="inlineStr">
        <is>
          <t>C</t>
        </is>
      </c>
    </row>
    <row r="7263">
      <c r="FC7263" t="inlineStr">
        <is>
          <t>Diccionario 7</t>
        </is>
      </c>
      <c r="FD7263" s="26" t="inlineStr">
        <is>
          <t>SA-C1239</t>
        </is>
      </c>
      <c r="FL7263" s="27" t="inlineStr">
        <is>
          <t>C</t>
        </is>
      </c>
      <c r="FP7263" s="27" t="inlineStr">
        <is>
          <t>C</t>
        </is>
      </c>
    </row>
    <row r="7264">
      <c r="FC7264" t="inlineStr">
        <is>
          <t>Diccionario 7</t>
        </is>
      </c>
      <c r="FD7264" s="26" t="inlineStr">
        <is>
          <t>SA-C1240</t>
        </is>
      </c>
      <c r="FL7264" s="27" t="inlineStr">
        <is>
          <t>C</t>
        </is>
      </c>
      <c r="FP7264" s="27" t="inlineStr">
        <is>
          <t>C</t>
        </is>
      </c>
    </row>
    <row r="7265">
      <c r="FC7265" t="inlineStr">
        <is>
          <t>Diccionario 7</t>
        </is>
      </c>
      <c r="FD7265" s="26" t="inlineStr">
        <is>
          <t>SA-C1241</t>
        </is>
      </c>
      <c r="FL7265" s="27" t="inlineStr">
        <is>
          <t>C</t>
        </is>
      </c>
      <c r="FP7265" s="27" t="inlineStr">
        <is>
          <t>C</t>
        </is>
      </c>
    </row>
    <row r="7266">
      <c r="FC7266" t="inlineStr">
        <is>
          <t>Diccionario 7</t>
        </is>
      </c>
      <c r="FD7266" s="26" t="inlineStr">
        <is>
          <t>SA-C1242</t>
        </is>
      </c>
      <c r="FL7266" s="27" t="inlineStr">
        <is>
          <t>C</t>
        </is>
      </c>
      <c r="FP7266" s="27" t="inlineStr">
        <is>
          <t>C</t>
        </is>
      </c>
    </row>
    <row r="7267">
      <c r="FC7267" t="inlineStr">
        <is>
          <t>Diccionario 7</t>
        </is>
      </c>
      <c r="FD7267" s="26" t="inlineStr">
        <is>
          <t>SA-C1243</t>
        </is>
      </c>
      <c r="FL7267" s="27" t="inlineStr">
        <is>
          <t>C</t>
        </is>
      </c>
      <c r="FP7267" s="27" t="inlineStr">
        <is>
          <t>C</t>
        </is>
      </c>
    </row>
    <row r="7268">
      <c r="FC7268" t="inlineStr">
        <is>
          <t>Diccionario 7</t>
        </is>
      </c>
      <c r="FD7268" s="26" t="inlineStr">
        <is>
          <t>SA-C1244</t>
        </is>
      </c>
      <c r="FL7268" s="27" t="inlineStr">
        <is>
          <t>C</t>
        </is>
      </c>
      <c r="FP7268" s="27" t="inlineStr">
        <is>
          <t>C</t>
        </is>
      </c>
    </row>
    <row r="7269">
      <c r="FC7269" t="inlineStr">
        <is>
          <t>Diccionario 7</t>
        </is>
      </c>
      <c r="FD7269" s="26" t="inlineStr">
        <is>
          <t>SA-C1245</t>
        </is>
      </c>
      <c r="FL7269" s="27" t="inlineStr">
        <is>
          <t>C</t>
        </is>
      </c>
      <c r="FP7269" s="27" t="inlineStr">
        <is>
          <t>C</t>
        </is>
      </c>
    </row>
    <row r="7270">
      <c r="FC7270" t="inlineStr">
        <is>
          <t>Diccionario 7</t>
        </is>
      </c>
      <c r="FD7270" s="26" t="inlineStr">
        <is>
          <t>SA-C1246</t>
        </is>
      </c>
      <c r="FL7270" s="27" t="inlineStr">
        <is>
          <t>C</t>
        </is>
      </c>
      <c r="FP7270" s="27" t="inlineStr">
        <is>
          <t>C</t>
        </is>
      </c>
    </row>
    <row r="7271">
      <c r="FC7271" t="inlineStr">
        <is>
          <t>Diccionario 7</t>
        </is>
      </c>
      <c r="FD7271" s="26" t="inlineStr">
        <is>
          <t>SA-C1247</t>
        </is>
      </c>
      <c r="FL7271" s="27" t="inlineStr">
        <is>
          <t>C</t>
        </is>
      </c>
      <c r="FP7271" s="27" t="inlineStr">
        <is>
          <t>C</t>
        </is>
      </c>
    </row>
    <row r="7272">
      <c r="FC7272" t="inlineStr">
        <is>
          <t>Diccionario 7</t>
        </is>
      </c>
      <c r="FD7272" s="26" t="inlineStr">
        <is>
          <t>SA-C1248</t>
        </is>
      </c>
      <c r="FL7272" s="27" t="inlineStr">
        <is>
          <t>C</t>
        </is>
      </c>
      <c r="FP7272" s="27" t="inlineStr">
        <is>
          <t>C</t>
        </is>
      </c>
    </row>
    <row r="7273">
      <c r="FC7273" t="inlineStr">
        <is>
          <t>Diccionario 7</t>
        </is>
      </c>
      <c r="FD7273" s="26" t="inlineStr">
        <is>
          <t>CER-B1251</t>
        </is>
      </c>
      <c r="FL7273" s="27" t="inlineStr">
        <is>
          <t>B</t>
        </is>
      </c>
      <c r="FP7273" s="27" t="inlineStr">
        <is>
          <t>B</t>
        </is>
      </c>
    </row>
    <row r="7274">
      <c r="FC7274" t="inlineStr">
        <is>
          <t>Diccionario 7</t>
        </is>
      </c>
      <c r="FD7274" s="26" t="inlineStr">
        <is>
          <t>PA-B1252</t>
        </is>
      </c>
      <c r="FL7274" s="27" t="inlineStr">
        <is>
          <t>B</t>
        </is>
      </c>
      <c r="FP7274" s="27" t="inlineStr">
        <is>
          <t>B</t>
        </is>
      </c>
    </row>
    <row r="7275">
      <c r="FC7275" t="inlineStr">
        <is>
          <t>Diccionario 7</t>
        </is>
      </c>
      <c r="FD7275" s="26" t="inlineStr">
        <is>
          <t>SA-B1253</t>
        </is>
      </c>
      <c r="FL7275" s="27" t="inlineStr">
        <is>
          <t>B</t>
        </is>
      </c>
      <c r="FP7275" s="27" t="inlineStr">
        <is>
          <t>B</t>
        </is>
      </c>
    </row>
    <row r="7276">
      <c r="FC7276" t="inlineStr">
        <is>
          <t>Diccionario 7</t>
        </is>
      </c>
      <c r="FD7276" s="26" t="inlineStr">
        <is>
          <t>SA-B1254</t>
        </is>
      </c>
      <c r="FL7276" s="27" t="inlineStr">
        <is>
          <t>B</t>
        </is>
      </c>
      <c r="FP7276" s="27" t="inlineStr">
        <is>
          <t>B</t>
        </is>
      </c>
    </row>
    <row r="7277">
      <c r="FC7277" t="inlineStr">
        <is>
          <t>Diccionario 7</t>
        </is>
      </c>
      <c r="FD7277" s="26" t="inlineStr">
        <is>
          <t>PA-B1255</t>
        </is>
      </c>
      <c r="FL7277" s="27" t="inlineStr">
        <is>
          <t>B</t>
        </is>
      </c>
      <c r="FP7277" s="27" t="inlineStr">
        <is>
          <t>B</t>
        </is>
      </c>
    </row>
    <row r="7278">
      <c r="FC7278" t="inlineStr">
        <is>
          <t>Diccionario 7</t>
        </is>
      </c>
      <c r="FD7278" s="26" t="inlineStr">
        <is>
          <t>CER-B1256</t>
        </is>
      </c>
      <c r="FL7278" s="27" t="inlineStr">
        <is>
          <t>B</t>
        </is>
      </c>
      <c r="FP7278" s="27" t="inlineStr">
        <is>
          <t>B</t>
        </is>
      </c>
    </row>
    <row r="7279">
      <c r="FC7279" t="inlineStr">
        <is>
          <t>Diccionario 7</t>
        </is>
      </c>
      <c r="FD7279" s="26" t="inlineStr">
        <is>
          <t>PA-B1257</t>
        </is>
      </c>
      <c r="FL7279" s="27" t="inlineStr">
        <is>
          <t>B</t>
        </is>
      </c>
      <c r="FP7279" s="27" t="inlineStr">
        <is>
          <t>B</t>
        </is>
      </c>
    </row>
    <row r="7280">
      <c r="FC7280" t="inlineStr">
        <is>
          <t>Diccionario 7</t>
        </is>
      </c>
      <c r="FD7280" s="26" t="inlineStr">
        <is>
          <t>CER-B1258</t>
        </is>
      </c>
      <c r="FL7280" s="27" t="inlineStr">
        <is>
          <t>B</t>
        </is>
      </c>
      <c r="FP7280" s="27" t="inlineStr">
        <is>
          <t>B</t>
        </is>
      </c>
    </row>
    <row r="7281">
      <c r="FC7281" t="inlineStr">
        <is>
          <t>Diccionario 7</t>
        </is>
      </c>
      <c r="FD7281" s="26" t="inlineStr">
        <is>
          <t>CER-B1259</t>
        </is>
      </c>
      <c r="FL7281" s="27" t="inlineStr">
        <is>
          <t>B</t>
        </is>
      </c>
      <c r="FP7281" s="27" t="inlineStr">
        <is>
          <t>B</t>
        </is>
      </c>
    </row>
    <row r="7282">
      <c r="FC7282" t="inlineStr">
        <is>
          <t>Diccionario 7</t>
        </is>
      </c>
      <c r="FD7282" s="26" t="inlineStr">
        <is>
          <t>CER-B1260</t>
        </is>
      </c>
      <c r="FL7282" s="27" t="inlineStr">
        <is>
          <t>B</t>
        </is>
      </c>
      <c r="FP7282" s="27" t="inlineStr">
        <is>
          <t>B</t>
        </is>
      </c>
    </row>
    <row r="7283">
      <c r="FC7283" t="inlineStr">
        <is>
          <t>Diccionario 7</t>
        </is>
      </c>
      <c r="FD7283" s="26" t="inlineStr">
        <is>
          <t>CER-B1261</t>
        </is>
      </c>
      <c r="FL7283" s="27" t="inlineStr">
        <is>
          <t>B</t>
        </is>
      </c>
      <c r="FP7283" s="27" t="inlineStr">
        <is>
          <t>B</t>
        </is>
      </c>
    </row>
    <row r="7284">
      <c r="FC7284" t="inlineStr">
        <is>
          <t>Diccionario 7</t>
        </is>
      </c>
      <c r="FD7284" s="26" t="inlineStr">
        <is>
          <t>PA-B1262</t>
        </is>
      </c>
      <c r="FL7284" s="27" t="inlineStr">
        <is>
          <t>B</t>
        </is>
      </c>
      <c r="FP7284" s="27" t="inlineStr">
        <is>
          <t>B</t>
        </is>
      </c>
    </row>
    <row r="7285">
      <c r="FC7285" t="inlineStr">
        <is>
          <t>Diccionario 7</t>
        </is>
      </c>
      <c r="FD7285" s="26" t="inlineStr">
        <is>
          <t>CER-B1263</t>
        </is>
      </c>
      <c r="FL7285" s="27" t="inlineStr">
        <is>
          <t>B</t>
        </is>
      </c>
      <c r="FP7285" s="27" t="inlineStr">
        <is>
          <t>B</t>
        </is>
      </c>
    </row>
    <row r="7286">
      <c r="FC7286" t="inlineStr">
        <is>
          <t>Diccionario 7</t>
        </is>
      </c>
      <c r="FD7286" s="26" t="inlineStr">
        <is>
          <t>CER-B1264</t>
        </is>
      </c>
      <c r="FL7286" s="27" t="inlineStr">
        <is>
          <t>B</t>
        </is>
      </c>
      <c r="FP7286" s="27" t="inlineStr">
        <is>
          <t>B</t>
        </is>
      </c>
    </row>
    <row r="7287">
      <c r="FC7287" t="inlineStr">
        <is>
          <t>Diccionario 7</t>
        </is>
      </c>
      <c r="FD7287" s="26" t="inlineStr">
        <is>
          <t>PA-B1265</t>
        </is>
      </c>
      <c r="FL7287" s="27" t="inlineStr">
        <is>
          <t>B</t>
        </is>
      </c>
      <c r="FP7287" s="27" t="inlineStr">
        <is>
          <t>B</t>
        </is>
      </c>
    </row>
    <row r="7288">
      <c r="FC7288" t="inlineStr">
        <is>
          <t>Diccionario 7</t>
        </is>
      </c>
      <c r="FD7288" s="26" t="inlineStr">
        <is>
          <t>SA-B1266</t>
        </is>
      </c>
      <c r="FL7288" s="27" t="inlineStr">
        <is>
          <t>B</t>
        </is>
      </c>
      <c r="FP7288" s="27" t="inlineStr">
        <is>
          <t>B</t>
        </is>
      </c>
    </row>
    <row r="7289">
      <c r="FC7289" t="inlineStr">
        <is>
          <t>Diccionario 7</t>
        </is>
      </c>
      <c r="FD7289" s="26" t="inlineStr">
        <is>
          <t>CER-B1267</t>
        </is>
      </c>
      <c r="FL7289" s="27" t="inlineStr">
        <is>
          <t>B</t>
        </is>
      </c>
      <c r="FP7289" s="27" t="inlineStr">
        <is>
          <t>B</t>
        </is>
      </c>
    </row>
    <row r="7290">
      <c r="FC7290" t="inlineStr">
        <is>
          <t>Diccionario 7</t>
        </is>
      </c>
      <c r="FD7290" s="26" t="inlineStr">
        <is>
          <t>CER-B1268</t>
        </is>
      </c>
      <c r="FL7290" s="27" t="inlineStr">
        <is>
          <t>B</t>
        </is>
      </c>
      <c r="FP7290" s="27" t="inlineStr">
        <is>
          <t>B</t>
        </is>
      </c>
    </row>
    <row r="7291">
      <c r="FC7291" t="inlineStr">
        <is>
          <t>Diccionario 7</t>
        </is>
      </c>
      <c r="FD7291" s="26" t="inlineStr">
        <is>
          <t>PA-B1269</t>
        </is>
      </c>
      <c r="FL7291" s="27" t="inlineStr">
        <is>
          <t>B</t>
        </is>
      </c>
      <c r="FP7291" s="27" t="inlineStr">
        <is>
          <t>B</t>
        </is>
      </c>
    </row>
    <row r="7292">
      <c r="FC7292" t="inlineStr">
        <is>
          <t>Diccionario 7</t>
        </is>
      </c>
      <c r="FD7292" s="26" t="inlineStr">
        <is>
          <t>PA-B1270</t>
        </is>
      </c>
      <c r="FL7292" s="27" t="inlineStr">
        <is>
          <t>B</t>
        </is>
      </c>
      <c r="FP7292" s="27" t="inlineStr">
        <is>
          <t>B</t>
        </is>
      </c>
    </row>
    <row r="7293">
      <c r="FC7293" t="inlineStr">
        <is>
          <t>Diccionario 7</t>
        </is>
      </c>
      <c r="FD7293" s="26" t="inlineStr">
        <is>
          <t>CER-B1271</t>
        </is>
      </c>
      <c r="FL7293" s="27" t="inlineStr">
        <is>
          <t>B</t>
        </is>
      </c>
      <c r="FP7293" s="27" t="inlineStr">
        <is>
          <t>B</t>
        </is>
      </c>
    </row>
    <row r="7294">
      <c r="FC7294" t="inlineStr">
        <is>
          <t>Diccionario 7</t>
        </is>
      </c>
      <c r="FD7294" s="26" t="inlineStr">
        <is>
          <t>PA-B1272</t>
        </is>
      </c>
      <c r="FL7294" s="27" t="inlineStr">
        <is>
          <t>B</t>
        </is>
      </c>
      <c r="FP7294" s="27" t="inlineStr">
        <is>
          <t>B</t>
        </is>
      </c>
    </row>
    <row r="7295">
      <c r="FC7295" t="inlineStr">
        <is>
          <t>Diccionario 7</t>
        </is>
      </c>
      <c r="FD7295" s="26" t="inlineStr">
        <is>
          <t>CER-B1273</t>
        </is>
      </c>
      <c r="FL7295" s="27" t="inlineStr">
        <is>
          <t>B</t>
        </is>
      </c>
      <c r="FP7295" s="27" t="inlineStr">
        <is>
          <t>B</t>
        </is>
      </c>
    </row>
    <row r="7296">
      <c r="FC7296" t="inlineStr">
        <is>
          <t>Diccionario 7</t>
        </is>
      </c>
      <c r="FD7296" s="26" t="inlineStr">
        <is>
          <t>PA-B1274</t>
        </is>
      </c>
      <c r="FL7296" s="27" t="inlineStr">
        <is>
          <t>B</t>
        </is>
      </c>
      <c r="FP7296" s="27" t="inlineStr">
        <is>
          <t>B</t>
        </is>
      </c>
    </row>
    <row r="7297">
      <c r="FC7297" t="inlineStr">
        <is>
          <t>Diccionario 7</t>
        </is>
      </c>
      <c r="FD7297" s="26" t="inlineStr">
        <is>
          <t>PA-B1275</t>
        </is>
      </c>
      <c r="FL7297" s="27" t="inlineStr">
        <is>
          <t>B</t>
        </is>
      </c>
      <c r="FP7297" s="27" t="inlineStr">
        <is>
          <t>B</t>
        </is>
      </c>
    </row>
    <row r="7298">
      <c r="FC7298" t="inlineStr">
        <is>
          <t>Diccionario 7</t>
        </is>
      </c>
      <c r="FD7298" s="26" t="inlineStr">
        <is>
          <t>PA-B1276</t>
        </is>
      </c>
      <c r="FL7298" s="27" t="inlineStr">
        <is>
          <t>B</t>
        </is>
      </c>
      <c r="FP7298" s="27" t="inlineStr">
        <is>
          <t>B</t>
        </is>
      </c>
    </row>
    <row r="7299">
      <c r="FC7299" t="inlineStr">
        <is>
          <t>Diccionario 7</t>
        </is>
      </c>
      <c r="FD7299" s="26" t="inlineStr">
        <is>
          <t>SA-B1277</t>
        </is>
      </c>
      <c r="FL7299" s="27" t="inlineStr">
        <is>
          <t>B</t>
        </is>
      </c>
      <c r="FP7299" s="27" t="inlineStr">
        <is>
          <t>B</t>
        </is>
      </c>
    </row>
    <row r="7300">
      <c r="FC7300" t="inlineStr">
        <is>
          <t>Diccionario 7</t>
        </is>
      </c>
      <c r="FD7300" s="26" t="inlineStr">
        <is>
          <t>CER-B1278</t>
        </is>
      </c>
      <c r="FL7300" s="27" t="inlineStr">
        <is>
          <t>B</t>
        </is>
      </c>
      <c r="FP7300" s="27" t="inlineStr">
        <is>
          <t>B</t>
        </is>
      </c>
    </row>
    <row r="7301">
      <c r="FC7301" t="inlineStr">
        <is>
          <t>Diccionario 7</t>
        </is>
      </c>
      <c r="FD7301" s="26" t="inlineStr">
        <is>
          <t>PA-B1279</t>
        </is>
      </c>
      <c r="FL7301" s="27" t="inlineStr">
        <is>
          <t>B</t>
        </is>
      </c>
      <c r="FP7301" s="27" t="inlineStr">
        <is>
          <t>B</t>
        </is>
      </c>
    </row>
    <row r="7302">
      <c r="FC7302" t="inlineStr">
        <is>
          <t>Diccionario 7</t>
        </is>
      </c>
      <c r="FD7302" s="26" t="inlineStr">
        <is>
          <t>PA-B1280</t>
        </is>
      </c>
      <c r="FL7302" s="27" t="inlineStr">
        <is>
          <t>B</t>
        </is>
      </c>
      <c r="FP7302" s="27" t="inlineStr">
        <is>
          <t>B</t>
        </is>
      </c>
    </row>
    <row r="7303">
      <c r="FC7303" t="inlineStr">
        <is>
          <t>Diccionario 7</t>
        </is>
      </c>
      <c r="FD7303" s="26" t="inlineStr">
        <is>
          <t>CER-B1281</t>
        </is>
      </c>
      <c r="FL7303" s="27" t="inlineStr">
        <is>
          <t>B</t>
        </is>
      </c>
      <c r="FP7303" s="27" t="inlineStr">
        <is>
          <t>B</t>
        </is>
      </c>
    </row>
    <row r="7304">
      <c r="FC7304" t="inlineStr">
        <is>
          <t>Diccionario 7</t>
        </is>
      </c>
      <c r="FD7304" s="26" t="inlineStr">
        <is>
          <t>PA-B1282</t>
        </is>
      </c>
      <c r="FL7304" s="27" t="inlineStr">
        <is>
          <t>B</t>
        </is>
      </c>
      <c r="FP7304" s="27" t="inlineStr">
        <is>
          <t>B</t>
        </is>
      </c>
    </row>
    <row r="7305">
      <c r="FC7305" t="inlineStr">
        <is>
          <t>Diccionario 7</t>
        </is>
      </c>
      <c r="FD7305" s="26" t="inlineStr">
        <is>
          <t>CER-B1283</t>
        </is>
      </c>
      <c r="FL7305" s="27" t="inlineStr">
        <is>
          <t>B</t>
        </is>
      </c>
      <c r="FP7305" s="27" t="inlineStr">
        <is>
          <t>B</t>
        </is>
      </c>
    </row>
    <row r="7306">
      <c r="FC7306" t="inlineStr">
        <is>
          <t>Diccionario 7</t>
        </is>
      </c>
      <c r="FD7306" s="26" t="inlineStr">
        <is>
          <t>PA-B1284</t>
        </is>
      </c>
      <c r="FL7306" s="27" t="inlineStr">
        <is>
          <t>B</t>
        </is>
      </c>
      <c r="FP7306" s="27" t="inlineStr">
        <is>
          <t>B</t>
        </is>
      </c>
    </row>
    <row r="7307">
      <c r="FC7307" t="inlineStr">
        <is>
          <t>Diccionario 7</t>
        </is>
      </c>
      <c r="FD7307" s="26" t="inlineStr">
        <is>
          <t>CER-B1285</t>
        </is>
      </c>
      <c r="FL7307" s="27" t="inlineStr">
        <is>
          <t>B</t>
        </is>
      </c>
      <c r="FP7307" s="27" t="inlineStr">
        <is>
          <t>B</t>
        </is>
      </c>
    </row>
    <row r="7308">
      <c r="FC7308" t="inlineStr">
        <is>
          <t>Diccionario 7</t>
        </is>
      </c>
      <c r="FD7308" s="26" t="inlineStr">
        <is>
          <t>PA-B1286</t>
        </is>
      </c>
      <c r="FL7308" s="27" t="inlineStr">
        <is>
          <t>B</t>
        </is>
      </c>
      <c r="FP7308" s="27" t="inlineStr">
        <is>
          <t>B</t>
        </is>
      </c>
    </row>
    <row r="7309">
      <c r="FC7309" t="inlineStr">
        <is>
          <t>Diccionario 7</t>
        </is>
      </c>
      <c r="FD7309" s="26" t="inlineStr">
        <is>
          <t>CER-B1287</t>
        </is>
      </c>
      <c r="FL7309" s="27" t="inlineStr">
        <is>
          <t>B</t>
        </is>
      </c>
      <c r="FP7309" s="27" t="inlineStr">
        <is>
          <t>B</t>
        </is>
      </c>
    </row>
    <row r="7310">
      <c r="FC7310" t="inlineStr">
        <is>
          <t>Diccionario 7</t>
        </is>
      </c>
      <c r="FD7310" s="26" t="inlineStr">
        <is>
          <t>PA-B1288</t>
        </is>
      </c>
      <c r="FL7310" s="27" t="inlineStr">
        <is>
          <t>B</t>
        </is>
      </c>
      <c r="FP7310" s="27" t="inlineStr">
        <is>
          <t>B</t>
        </is>
      </c>
    </row>
    <row r="7311">
      <c r="FC7311" t="inlineStr">
        <is>
          <t>Diccionario 7</t>
        </is>
      </c>
      <c r="FD7311" s="26" t="inlineStr">
        <is>
          <t>CER-B1289</t>
        </is>
      </c>
      <c r="FL7311" s="27" t="inlineStr">
        <is>
          <t>B</t>
        </is>
      </c>
      <c r="FP7311" s="27" t="inlineStr">
        <is>
          <t>B</t>
        </is>
      </c>
    </row>
    <row r="7312">
      <c r="FC7312" t="inlineStr">
        <is>
          <t>Diccionario 7</t>
        </is>
      </c>
      <c r="FD7312" s="26" t="inlineStr">
        <is>
          <t>PA-B1290</t>
        </is>
      </c>
      <c r="FL7312" s="27" t="inlineStr">
        <is>
          <t>B</t>
        </is>
      </c>
      <c r="FP7312" s="27" t="inlineStr">
        <is>
          <t>B</t>
        </is>
      </c>
    </row>
    <row r="7313">
      <c r="FC7313" t="inlineStr">
        <is>
          <t>Diccionario 7</t>
        </is>
      </c>
      <c r="FD7313" s="26" t="inlineStr">
        <is>
          <t>PA-B1291</t>
        </is>
      </c>
      <c r="FL7313" s="27" t="inlineStr">
        <is>
          <t>B</t>
        </is>
      </c>
      <c r="FP7313" s="27" t="inlineStr">
        <is>
          <t>B</t>
        </is>
      </c>
    </row>
    <row r="7314">
      <c r="FC7314" t="inlineStr">
        <is>
          <t>Diccionario 7</t>
        </is>
      </c>
      <c r="FD7314" s="26" t="inlineStr">
        <is>
          <t>PA-B1292</t>
        </is>
      </c>
      <c r="FL7314" s="27" t="inlineStr">
        <is>
          <t>B</t>
        </is>
      </c>
      <c r="FP7314" s="27" t="inlineStr">
        <is>
          <t>B</t>
        </is>
      </c>
    </row>
    <row r="7315">
      <c r="FC7315" t="inlineStr">
        <is>
          <t>Diccionario 7</t>
        </is>
      </c>
      <c r="FD7315" s="26" t="inlineStr">
        <is>
          <t>PA-B1293</t>
        </is>
      </c>
      <c r="FL7315" s="27" t="inlineStr">
        <is>
          <t>B</t>
        </is>
      </c>
      <c r="FP7315" s="27" t="inlineStr">
        <is>
          <t>B</t>
        </is>
      </c>
    </row>
    <row r="7316">
      <c r="FC7316" t="inlineStr">
        <is>
          <t>Diccionario 7</t>
        </is>
      </c>
      <c r="FD7316" s="26" t="inlineStr">
        <is>
          <t>PA-B1294</t>
        </is>
      </c>
      <c r="FL7316" s="27" t="inlineStr">
        <is>
          <t>B</t>
        </is>
      </c>
      <c r="FP7316" s="27" t="inlineStr">
        <is>
          <t>B</t>
        </is>
      </c>
    </row>
    <row r="7317">
      <c r="FC7317" t="inlineStr">
        <is>
          <t>Diccionario 7</t>
        </is>
      </c>
      <c r="FD7317" s="26" t="inlineStr">
        <is>
          <t>PA-B1295</t>
        </is>
      </c>
      <c r="FL7317" s="27" t="inlineStr">
        <is>
          <t>B</t>
        </is>
      </c>
      <c r="FP7317" s="27" t="inlineStr">
        <is>
          <t>B</t>
        </is>
      </c>
    </row>
    <row r="7318">
      <c r="FC7318" t="inlineStr">
        <is>
          <t>Diccionario 7</t>
        </is>
      </c>
      <c r="FD7318" s="26" t="inlineStr">
        <is>
          <t>PA-B1296</t>
        </is>
      </c>
      <c r="FL7318" s="27" t="inlineStr">
        <is>
          <t>B</t>
        </is>
      </c>
      <c r="FP7318" s="27" t="inlineStr">
        <is>
          <t>B</t>
        </is>
      </c>
    </row>
    <row r="7319">
      <c r="FC7319" t="inlineStr">
        <is>
          <t>Diccionario 7</t>
        </is>
      </c>
      <c r="FD7319" s="26" t="inlineStr">
        <is>
          <t>SA-B1297</t>
        </is>
      </c>
      <c r="FL7319" s="27" t="inlineStr">
        <is>
          <t>B</t>
        </is>
      </c>
      <c r="FP7319" s="27" t="inlineStr">
        <is>
          <t>B</t>
        </is>
      </c>
    </row>
    <row r="7320">
      <c r="FC7320" t="inlineStr">
        <is>
          <t>Diccionario 7</t>
        </is>
      </c>
      <c r="FD7320" s="26" t="inlineStr">
        <is>
          <t>SA-B1298</t>
        </is>
      </c>
      <c r="FL7320" s="27" t="inlineStr">
        <is>
          <t>B</t>
        </is>
      </c>
      <c r="FP7320" s="27" t="inlineStr">
        <is>
          <t>B</t>
        </is>
      </c>
    </row>
    <row r="7321">
      <c r="FC7321" t="inlineStr">
        <is>
          <t>Diccionario 7</t>
        </is>
      </c>
      <c r="FD7321" s="26" t="inlineStr">
        <is>
          <t>CER-B1299</t>
        </is>
      </c>
      <c r="FL7321" s="27" t="inlineStr">
        <is>
          <t>B</t>
        </is>
      </c>
      <c r="FP7321" s="27" t="inlineStr">
        <is>
          <t>B</t>
        </is>
      </c>
    </row>
    <row r="7322">
      <c r="FC7322" t="inlineStr">
        <is>
          <t>Diccionario 7</t>
        </is>
      </c>
      <c r="FD7322" s="26" t="inlineStr">
        <is>
          <t>CER-B1300</t>
        </is>
      </c>
      <c r="FL7322" s="27" t="inlineStr">
        <is>
          <t>B</t>
        </is>
      </c>
      <c r="FP7322" s="27" t="inlineStr">
        <is>
          <t>B</t>
        </is>
      </c>
    </row>
    <row r="7323">
      <c r="FC7323" t="inlineStr">
        <is>
          <t>Diccionario 7</t>
        </is>
      </c>
      <c r="FD7323" s="26" t="inlineStr">
        <is>
          <t>CER-B1301</t>
        </is>
      </c>
      <c r="FL7323" s="27" t="inlineStr">
        <is>
          <t>B</t>
        </is>
      </c>
      <c r="FP7323" s="27" t="inlineStr">
        <is>
          <t>B</t>
        </is>
      </c>
    </row>
    <row r="7324">
      <c r="FC7324" t="inlineStr">
        <is>
          <t>Diccionario 7</t>
        </is>
      </c>
      <c r="FD7324" s="26" t="inlineStr">
        <is>
          <t>CER-B1302</t>
        </is>
      </c>
      <c r="FL7324" s="27" t="inlineStr">
        <is>
          <t>B</t>
        </is>
      </c>
      <c r="FP7324" s="27" t="inlineStr">
        <is>
          <t>B</t>
        </is>
      </c>
    </row>
    <row r="7325">
      <c r="FC7325" t="inlineStr">
        <is>
          <t>Diccionario 7</t>
        </is>
      </c>
      <c r="FD7325" s="26" t="inlineStr">
        <is>
          <t>PA-B1303</t>
        </is>
      </c>
      <c r="FL7325" s="27" t="inlineStr">
        <is>
          <t>B</t>
        </is>
      </c>
      <c r="FP7325" s="27" t="inlineStr">
        <is>
          <t>B</t>
        </is>
      </c>
    </row>
    <row r="7326">
      <c r="FC7326" t="inlineStr">
        <is>
          <t>Diccionario 7</t>
        </is>
      </c>
      <c r="FD7326" s="26" t="inlineStr">
        <is>
          <t>CER-B1304</t>
        </is>
      </c>
      <c r="FL7326" s="27" t="inlineStr">
        <is>
          <t>B</t>
        </is>
      </c>
      <c r="FP7326" s="27" t="inlineStr">
        <is>
          <t>B</t>
        </is>
      </c>
    </row>
    <row r="7327">
      <c r="FC7327" t="inlineStr">
        <is>
          <t>Diccionario 7</t>
        </is>
      </c>
      <c r="FD7327" s="26" t="inlineStr">
        <is>
          <t>CER-B1305</t>
        </is>
      </c>
      <c r="FL7327" s="27" t="inlineStr">
        <is>
          <t>B</t>
        </is>
      </c>
      <c r="FP7327" s="27" t="inlineStr">
        <is>
          <t>B</t>
        </is>
      </c>
    </row>
    <row r="7328">
      <c r="FC7328" t="inlineStr">
        <is>
          <t>Diccionario 7</t>
        </is>
      </c>
      <c r="FD7328" s="26" t="inlineStr">
        <is>
          <t>CER-B1306</t>
        </is>
      </c>
      <c r="FL7328" s="27" t="inlineStr">
        <is>
          <t>B</t>
        </is>
      </c>
      <c r="FP7328" s="27" t="inlineStr">
        <is>
          <t>B</t>
        </is>
      </c>
    </row>
    <row r="7329">
      <c r="FC7329" t="inlineStr">
        <is>
          <t>Diccionario 7</t>
        </is>
      </c>
      <c r="FD7329" s="26" t="inlineStr">
        <is>
          <t>PA-B1307</t>
        </is>
      </c>
      <c r="FL7329" s="27" t="inlineStr">
        <is>
          <t>B</t>
        </is>
      </c>
      <c r="FP7329" s="27" t="inlineStr">
        <is>
          <t>B</t>
        </is>
      </c>
    </row>
    <row r="7330">
      <c r="FC7330" t="inlineStr">
        <is>
          <t>Diccionario 7</t>
        </is>
      </c>
      <c r="FD7330" s="26" t="inlineStr">
        <is>
          <t>PA-B1308</t>
        </is>
      </c>
      <c r="FL7330" s="27" t="inlineStr">
        <is>
          <t>B</t>
        </is>
      </c>
      <c r="FP7330" s="27" t="inlineStr">
        <is>
          <t>B</t>
        </is>
      </c>
    </row>
    <row r="7331">
      <c r="FC7331" t="inlineStr">
        <is>
          <t>Diccionario 7</t>
        </is>
      </c>
      <c r="FD7331" s="26" t="inlineStr">
        <is>
          <t>PA-B1309</t>
        </is>
      </c>
      <c r="FL7331" s="27" t="inlineStr">
        <is>
          <t>B</t>
        </is>
      </c>
      <c r="FP7331" s="27" t="inlineStr">
        <is>
          <t>B</t>
        </is>
      </c>
    </row>
    <row r="7332">
      <c r="FC7332" t="inlineStr">
        <is>
          <t>Diccionario 7</t>
        </is>
      </c>
      <c r="FD7332" s="26" t="inlineStr">
        <is>
          <t>CER-B1310</t>
        </is>
      </c>
      <c r="FL7332" s="27" t="inlineStr">
        <is>
          <t>B</t>
        </is>
      </c>
      <c r="FP7332" s="27" t="inlineStr">
        <is>
          <t>B</t>
        </is>
      </c>
    </row>
    <row r="7333">
      <c r="FC7333" t="inlineStr">
        <is>
          <t>Diccionario 7</t>
        </is>
      </c>
      <c r="FD7333" s="26" t="inlineStr">
        <is>
          <t>CER-B1311</t>
        </is>
      </c>
      <c r="FL7333" s="27" t="inlineStr">
        <is>
          <t>B</t>
        </is>
      </c>
      <c r="FP7333" s="27" t="inlineStr">
        <is>
          <t>B</t>
        </is>
      </c>
    </row>
    <row r="7334">
      <c r="FC7334" t="inlineStr">
        <is>
          <t>Diccionario 7</t>
        </is>
      </c>
      <c r="FD7334" s="26" t="inlineStr">
        <is>
          <t>PA-B1312</t>
        </is>
      </c>
      <c r="FL7334" s="27" t="inlineStr">
        <is>
          <t>B</t>
        </is>
      </c>
      <c r="FP7334" s="27" t="inlineStr">
        <is>
          <t>B</t>
        </is>
      </c>
    </row>
    <row r="7335">
      <c r="FC7335" t="inlineStr">
        <is>
          <t>Diccionario 7</t>
        </is>
      </c>
      <c r="FD7335" s="26" t="inlineStr">
        <is>
          <t>PA-B1313</t>
        </is>
      </c>
      <c r="FL7335" s="27" t="inlineStr">
        <is>
          <t>B</t>
        </is>
      </c>
      <c r="FP7335" s="27" t="inlineStr">
        <is>
          <t>B</t>
        </is>
      </c>
    </row>
    <row r="7336">
      <c r="FC7336" t="inlineStr">
        <is>
          <t>Diccionario 7</t>
        </is>
      </c>
      <c r="FD7336" s="26" t="inlineStr">
        <is>
          <t>CER-B1314</t>
        </is>
      </c>
      <c r="FL7336" s="27" t="inlineStr">
        <is>
          <t>B</t>
        </is>
      </c>
      <c r="FP7336" s="27" t="inlineStr">
        <is>
          <t>B</t>
        </is>
      </c>
    </row>
    <row r="7337">
      <c r="FC7337" t="inlineStr">
        <is>
          <t>Diccionario 7</t>
        </is>
      </c>
      <c r="FD7337" s="26" t="inlineStr">
        <is>
          <t>CER-B1315</t>
        </is>
      </c>
      <c r="FL7337" s="27" t="inlineStr">
        <is>
          <t>B</t>
        </is>
      </c>
      <c r="FP7337" s="27" t="inlineStr">
        <is>
          <t>B</t>
        </is>
      </c>
    </row>
    <row r="7338">
      <c r="FC7338" t="inlineStr">
        <is>
          <t>Diccionario 7</t>
        </is>
      </c>
      <c r="FD7338" s="26" t="inlineStr">
        <is>
          <t>PA-B1316</t>
        </is>
      </c>
      <c r="FL7338" s="27" t="inlineStr">
        <is>
          <t>B</t>
        </is>
      </c>
      <c r="FP7338" s="27" t="inlineStr">
        <is>
          <t>B</t>
        </is>
      </c>
    </row>
    <row r="7339">
      <c r="FC7339" t="inlineStr">
        <is>
          <t>Diccionario 7</t>
        </is>
      </c>
      <c r="FD7339" s="26" t="inlineStr">
        <is>
          <t>PA-B1317</t>
        </is>
      </c>
      <c r="FL7339" s="27" t="inlineStr">
        <is>
          <t>B</t>
        </is>
      </c>
      <c r="FP7339" s="27" t="inlineStr">
        <is>
          <t>B</t>
        </is>
      </c>
    </row>
    <row r="7340">
      <c r="FC7340" t="inlineStr">
        <is>
          <t>Diccionario 7</t>
        </is>
      </c>
      <c r="FD7340" s="26" t="inlineStr">
        <is>
          <t>PA-B1318</t>
        </is>
      </c>
      <c r="FL7340" s="27" t="inlineStr">
        <is>
          <t>B</t>
        </is>
      </c>
      <c r="FP7340" s="27" t="inlineStr">
        <is>
          <t>B</t>
        </is>
      </c>
    </row>
    <row r="7341">
      <c r="FC7341" t="inlineStr">
        <is>
          <t>Diccionario 7</t>
        </is>
      </c>
      <c r="FD7341" s="26" t="inlineStr">
        <is>
          <t>PA-B1319</t>
        </is>
      </c>
      <c r="FL7341" s="27" t="inlineStr">
        <is>
          <t>B</t>
        </is>
      </c>
      <c r="FP7341" s="27" t="inlineStr">
        <is>
          <t>B</t>
        </is>
      </c>
    </row>
    <row r="7342">
      <c r="FC7342" t="inlineStr">
        <is>
          <t>Diccionario 7</t>
        </is>
      </c>
      <c r="FD7342" s="26" t="inlineStr">
        <is>
          <t>CER-B1320</t>
        </is>
      </c>
      <c r="FL7342" s="27" t="inlineStr">
        <is>
          <t>B</t>
        </is>
      </c>
      <c r="FP7342" s="27" t="inlineStr">
        <is>
          <t>B</t>
        </is>
      </c>
    </row>
    <row r="7343">
      <c r="FC7343" t="inlineStr">
        <is>
          <t>Diccionario 7</t>
        </is>
      </c>
      <c r="FD7343" s="26" t="inlineStr">
        <is>
          <t>PA-B1321</t>
        </is>
      </c>
      <c r="FL7343" s="27" t="inlineStr">
        <is>
          <t>B</t>
        </is>
      </c>
      <c r="FP7343" s="27" t="inlineStr">
        <is>
          <t>B</t>
        </is>
      </c>
    </row>
    <row r="7344">
      <c r="FC7344" t="inlineStr">
        <is>
          <t>Diccionario 7</t>
        </is>
      </c>
      <c r="FD7344" s="26" t="inlineStr">
        <is>
          <t>PA-B1322</t>
        </is>
      </c>
      <c r="FL7344" s="27" t="inlineStr">
        <is>
          <t>B</t>
        </is>
      </c>
      <c r="FP7344" s="27" t="inlineStr">
        <is>
          <t>B</t>
        </is>
      </c>
    </row>
    <row r="7345">
      <c r="FC7345" t="inlineStr">
        <is>
          <t>Diccionario 7</t>
        </is>
      </c>
      <c r="FD7345" s="26" t="inlineStr">
        <is>
          <t>PA-B1323</t>
        </is>
      </c>
      <c r="FL7345" s="27" t="inlineStr">
        <is>
          <t>B</t>
        </is>
      </c>
      <c r="FP7345" s="27" t="inlineStr">
        <is>
          <t>B</t>
        </is>
      </c>
    </row>
    <row r="7346">
      <c r="FC7346" t="inlineStr">
        <is>
          <t>Diccionario 7</t>
        </is>
      </c>
      <c r="FD7346" s="26" t="inlineStr">
        <is>
          <t>SA-B1324</t>
        </is>
      </c>
      <c r="FL7346" s="27" t="inlineStr">
        <is>
          <t>B</t>
        </is>
      </c>
      <c r="FP7346" s="27" t="inlineStr">
        <is>
          <t>B</t>
        </is>
      </c>
    </row>
    <row r="7347">
      <c r="FC7347" t="inlineStr">
        <is>
          <t>Diccionario 7</t>
        </is>
      </c>
      <c r="FD7347" s="26" t="inlineStr">
        <is>
          <t>SA-B1325</t>
        </is>
      </c>
      <c r="FL7347" s="27" t="inlineStr">
        <is>
          <t>B</t>
        </is>
      </c>
      <c r="FP7347" s="27" t="inlineStr">
        <is>
          <t>B</t>
        </is>
      </c>
    </row>
    <row r="7348">
      <c r="FC7348" t="inlineStr">
        <is>
          <t>Diccionario 7</t>
        </is>
      </c>
      <c r="FD7348" s="26" t="inlineStr">
        <is>
          <t>PA-B1326</t>
        </is>
      </c>
      <c r="FL7348" s="27" t="inlineStr">
        <is>
          <t>B</t>
        </is>
      </c>
      <c r="FP7348" s="27" t="inlineStr">
        <is>
          <t>B</t>
        </is>
      </c>
    </row>
    <row r="7349">
      <c r="FC7349" t="inlineStr">
        <is>
          <t>Diccionario 7</t>
        </is>
      </c>
      <c r="FD7349" s="26" t="inlineStr">
        <is>
          <t>PA-B1327</t>
        </is>
      </c>
      <c r="FL7349" s="27" t="inlineStr">
        <is>
          <t>B</t>
        </is>
      </c>
      <c r="FP7349" s="27" t="inlineStr">
        <is>
          <t>B</t>
        </is>
      </c>
    </row>
    <row r="7350">
      <c r="FC7350" t="inlineStr">
        <is>
          <t>Diccionario 7</t>
        </is>
      </c>
      <c r="FD7350" s="26" t="inlineStr">
        <is>
          <t>PA-B1328</t>
        </is>
      </c>
      <c r="FL7350" s="27" t="inlineStr">
        <is>
          <t>B</t>
        </is>
      </c>
      <c r="FP7350" s="27" t="inlineStr">
        <is>
          <t>B</t>
        </is>
      </c>
    </row>
    <row r="7351">
      <c r="FC7351" t="inlineStr">
        <is>
          <t>Diccionario 7</t>
        </is>
      </c>
      <c r="FD7351" s="26" t="inlineStr">
        <is>
          <t>PA-B1329</t>
        </is>
      </c>
      <c r="FL7351" s="27" t="inlineStr">
        <is>
          <t>B</t>
        </is>
      </c>
      <c r="FP7351" s="27" t="inlineStr">
        <is>
          <t>B</t>
        </is>
      </c>
    </row>
    <row r="7352">
      <c r="FC7352" t="inlineStr">
        <is>
          <t>Diccionario 7</t>
        </is>
      </c>
      <c r="FD7352" s="26" t="inlineStr">
        <is>
          <t>PA-B1330</t>
        </is>
      </c>
      <c r="FL7352" s="27" t="inlineStr">
        <is>
          <t>B</t>
        </is>
      </c>
      <c r="FP7352" s="27" t="inlineStr">
        <is>
          <t>B</t>
        </is>
      </c>
    </row>
    <row r="7353">
      <c r="FC7353" t="inlineStr">
        <is>
          <t>Diccionario 7</t>
        </is>
      </c>
      <c r="FD7353" s="26" t="inlineStr">
        <is>
          <t>SA-B1331</t>
        </is>
      </c>
      <c r="FL7353" s="27" t="inlineStr">
        <is>
          <t>B</t>
        </is>
      </c>
      <c r="FP7353" s="27" t="inlineStr">
        <is>
          <t>B</t>
        </is>
      </c>
    </row>
    <row r="7354">
      <c r="FC7354" t="inlineStr">
        <is>
          <t>Diccionario 7</t>
        </is>
      </c>
      <c r="FD7354" s="26" t="inlineStr">
        <is>
          <t>SA-B1332</t>
        </is>
      </c>
      <c r="FL7354" s="27" t="inlineStr">
        <is>
          <t>B</t>
        </is>
      </c>
      <c r="FP7354" s="27" t="inlineStr">
        <is>
          <t>B</t>
        </is>
      </c>
    </row>
    <row r="7355">
      <c r="FC7355" t="inlineStr">
        <is>
          <t>Diccionario 7</t>
        </is>
      </c>
      <c r="FD7355" s="26" t="inlineStr">
        <is>
          <t>PA-B1333</t>
        </is>
      </c>
      <c r="FL7355" s="27" t="inlineStr">
        <is>
          <t>B</t>
        </is>
      </c>
      <c r="FP7355" s="27" t="inlineStr">
        <is>
          <t>B</t>
        </is>
      </c>
    </row>
    <row r="7356">
      <c r="FC7356" t="inlineStr">
        <is>
          <t>Diccionario 7</t>
        </is>
      </c>
      <c r="FD7356" s="26" t="inlineStr">
        <is>
          <t>PA-B1334</t>
        </is>
      </c>
      <c r="FL7356" s="27" t="inlineStr">
        <is>
          <t>B</t>
        </is>
      </c>
      <c r="FP7356" s="27" t="inlineStr">
        <is>
          <t>B</t>
        </is>
      </c>
    </row>
    <row r="7357">
      <c r="FC7357" t="inlineStr">
        <is>
          <t>Diccionario 7</t>
        </is>
      </c>
      <c r="FD7357" s="26" t="inlineStr">
        <is>
          <t>SA-B1335</t>
        </is>
      </c>
      <c r="FL7357" s="27" t="inlineStr">
        <is>
          <t>B</t>
        </is>
      </c>
      <c r="FP7357" s="27" t="inlineStr">
        <is>
          <t>B</t>
        </is>
      </c>
    </row>
    <row r="7358">
      <c r="FC7358" t="inlineStr">
        <is>
          <t>Diccionario 7</t>
        </is>
      </c>
      <c r="FD7358" s="26" t="inlineStr">
        <is>
          <t>SA-B1336</t>
        </is>
      </c>
      <c r="FL7358" s="27" t="inlineStr">
        <is>
          <t>B</t>
        </is>
      </c>
      <c r="FP7358" s="27" t="inlineStr">
        <is>
          <t>B</t>
        </is>
      </c>
    </row>
    <row r="7359">
      <c r="FC7359" t="inlineStr">
        <is>
          <t>Diccionario 7</t>
        </is>
      </c>
      <c r="FD7359" s="26" t="inlineStr">
        <is>
          <t>SA-B1337</t>
        </is>
      </c>
      <c r="FL7359" s="27" t="inlineStr">
        <is>
          <t>B</t>
        </is>
      </c>
      <c r="FP7359" s="27" t="inlineStr">
        <is>
          <t>B</t>
        </is>
      </c>
    </row>
    <row r="7360">
      <c r="FC7360" t="inlineStr">
        <is>
          <t>Diccionario 7</t>
        </is>
      </c>
      <c r="FD7360" s="26" t="inlineStr">
        <is>
          <t>PA-B1338</t>
        </is>
      </c>
      <c r="FL7360" s="27" t="inlineStr">
        <is>
          <t>B</t>
        </is>
      </c>
      <c r="FP7360" s="27" t="inlineStr">
        <is>
          <t>B</t>
        </is>
      </c>
    </row>
    <row r="7361">
      <c r="FC7361" t="inlineStr">
        <is>
          <t>Diccionario 7</t>
        </is>
      </c>
      <c r="FD7361" s="26" t="inlineStr">
        <is>
          <t>SA-B1339</t>
        </is>
      </c>
      <c r="FL7361" s="27" t="inlineStr">
        <is>
          <t>B</t>
        </is>
      </c>
      <c r="FP7361" s="27" t="inlineStr">
        <is>
          <t>B</t>
        </is>
      </c>
    </row>
    <row r="7362">
      <c r="FC7362" t="inlineStr">
        <is>
          <t>Diccionario 7</t>
        </is>
      </c>
      <c r="FD7362" s="26" t="inlineStr">
        <is>
          <t>SA-B1340</t>
        </is>
      </c>
      <c r="FL7362" s="27" t="inlineStr">
        <is>
          <t>B</t>
        </is>
      </c>
      <c r="FP7362" s="27" t="inlineStr">
        <is>
          <t>B</t>
        </is>
      </c>
    </row>
    <row r="7363">
      <c r="FC7363" t="inlineStr">
        <is>
          <t>Diccionario 7</t>
        </is>
      </c>
      <c r="FD7363" s="26" t="inlineStr">
        <is>
          <t>SA-B1341</t>
        </is>
      </c>
      <c r="FL7363" s="27" t="inlineStr">
        <is>
          <t>B</t>
        </is>
      </c>
      <c r="FP7363" s="27" t="inlineStr">
        <is>
          <t>B</t>
        </is>
      </c>
    </row>
    <row r="7364">
      <c r="FC7364" t="inlineStr">
        <is>
          <t>Diccionario 7</t>
        </is>
      </c>
      <c r="FD7364" s="26" t="inlineStr">
        <is>
          <t>PA-B1342</t>
        </is>
      </c>
      <c r="FL7364" s="27" t="inlineStr">
        <is>
          <t>B</t>
        </is>
      </c>
      <c r="FP7364" s="27" t="inlineStr">
        <is>
          <t>B</t>
        </is>
      </c>
    </row>
    <row r="7365">
      <c r="FC7365" t="inlineStr">
        <is>
          <t>Diccionario 7</t>
        </is>
      </c>
      <c r="FD7365" s="26" t="inlineStr">
        <is>
          <t>PA-B1343</t>
        </is>
      </c>
      <c r="FL7365" s="27" t="inlineStr">
        <is>
          <t>B</t>
        </is>
      </c>
      <c r="FP7365" s="27" t="inlineStr">
        <is>
          <t>B</t>
        </is>
      </c>
    </row>
    <row r="7366">
      <c r="FC7366" t="inlineStr">
        <is>
          <t>Diccionario 7</t>
        </is>
      </c>
      <c r="FD7366" s="26" t="inlineStr">
        <is>
          <t>PA-B1344</t>
        </is>
      </c>
      <c r="FL7366" s="27" t="inlineStr">
        <is>
          <t>B</t>
        </is>
      </c>
      <c r="FP7366" s="27" t="inlineStr">
        <is>
          <t>B</t>
        </is>
      </c>
    </row>
    <row r="7367">
      <c r="FC7367" t="inlineStr">
        <is>
          <t>Diccionario 7</t>
        </is>
      </c>
      <c r="FD7367" s="26" t="inlineStr">
        <is>
          <t>PA-B1345</t>
        </is>
      </c>
      <c r="FL7367" s="27" t="inlineStr">
        <is>
          <t>B</t>
        </is>
      </c>
      <c r="FP7367" s="27" t="inlineStr">
        <is>
          <t>B</t>
        </is>
      </c>
    </row>
    <row r="7368">
      <c r="FC7368" t="inlineStr">
        <is>
          <t>Diccionario 7</t>
        </is>
      </c>
      <c r="FD7368" s="26" t="inlineStr">
        <is>
          <t>SA-B1346</t>
        </is>
      </c>
      <c r="FL7368" s="27" t="inlineStr">
        <is>
          <t>B</t>
        </is>
      </c>
      <c r="FP7368" s="27" t="inlineStr">
        <is>
          <t>B</t>
        </is>
      </c>
    </row>
    <row r="7369">
      <c r="FC7369" t="inlineStr">
        <is>
          <t>Diccionario 7</t>
        </is>
      </c>
      <c r="FD7369" s="26" t="inlineStr">
        <is>
          <t>PA-B1347</t>
        </is>
      </c>
      <c r="FL7369" s="27" t="inlineStr">
        <is>
          <t>B</t>
        </is>
      </c>
      <c r="FP7369" s="27" t="inlineStr">
        <is>
          <t>B</t>
        </is>
      </c>
    </row>
    <row r="7370">
      <c r="FC7370" t="inlineStr">
        <is>
          <t>Diccionario 7</t>
        </is>
      </c>
      <c r="FD7370" s="26" t="inlineStr">
        <is>
          <t>PA-B1348</t>
        </is>
      </c>
      <c r="FL7370" s="27" t="inlineStr">
        <is>
          <t>B</t>
        </is>
      </c>
      <c r="FP7370" s="27" t="inlineStr">
        <is>
          <t>B</t>
        </is>
      </c>
    </row>
    <row r="7371">
      <c r="FC7371" t="inlineStr">
        <is>
          <t>Diccionario 7</t>
        </is>
      </c>
      <c r="FD7371" s="26" t="inlineStr">
        <is>
          <t>SA-B1349</t>
        </is>
      </c>
      <c r="FL7371" s="27" t="inlineStr">
        <is>
          <t>B</t>
        </is>
      </c>
      <c r="FP7371" s="27" t="inlineStr">
        <is>
          <t>B</t>
        </is>
      </c>
    </row>
    <row r="7372">
      <c r="FC7372" t="inlineStr">
        <is>
          <t>Diccionario 7</t>
        </is>
      </c>
      <c r="FD7372" s="26" t="inlineStr">
        <is>
          <t>SA-B1350</t>
        </is>
      </c>
      <c r="FL7372" s="27" t="inlineStr">
        <is>
          <t>B</t>
        </is>
      </c>
      <c r="FP7372" s="27" t="inlineStr">
        <is>
          <t>B</t>
        </is>
      </c>
    </row>
    <row r="7373">
      <c r="FC7373" t="inlineStr">
        <is>
          <t>Diccionario 7</t>
        </is>
      </c>
      <c r="FD7373" s="26" t="inlineStr">
        <is>
          <t>SA-B1351</t>
        </is>
      </c>
      <c r="FL7373" s="27" t="inlineStr">
        <is>
          <t>B</t>
        </is>
      </c>
      <c r="FP7373" s="27" t="inlineStr">
        <is>
          <t>B</t>
        </is>
      </c>
    </row>
    <row r="7374">
      <c r="FC7374" t="inlineStr">
        <is>
          <t>Diccionario 7</t>
        </is>
      </c>
      <c r="FD7374" s="26" t="inlineStr">
        <is>
          <t>SA-B1352</t>
        </is>
      </c>
      <c r="FL7374" s="27" t="inlineStr">
        <is>
          <t>B</t>
        </is>
      </c>
      <c r="FP7374" s="27" t="inlineStr">
        <is>
          <t>B</t>
        </is>
      </c>
    </row>
    <row r="7375">
      <c r="FC7375" t="inlineStr">
        <is>
          <t>Diccionario 7</t>
        </is>
      </c>
      <c r="FD7375" s="26" t="inlineStr">
        <is>
          <t>SA-B1353</t>
        </is>
      </c>
      <c r="FL7375" s="27" t="inlineStr">
        <is>
          <t>B</t>
        </is>
      </c>
      <c r="FP7375" s="27" t="inlineStr">
        <is>
          <t>B</t>
        </is>
      </c>
    </row>
    <row r="7376">
      <c r="FC7376" t="inlineStr">
        <is>
          <t>Diccionario 7</t>
        </is>
      </c>
      <c r="FD7376" s="26" t="inlineStr">
        <is>
          <t>PA-B1354</t>
        </is>
      </c>
      <c r="FL7376" s="27" t="inlineStr">
        <is>
          <t>B</t>
        </is>
      </c>
      <c r="FP7376" s="27" t="inlineStr">
        <is>
          <t>B</t>
        </is>
      </c>
    </row>
    <row r="7377">
      <c r="FC7377" t="inlineStr">
        <is>
          <t>Diccionario 7</t>
        </is>
      </c>
      <c r="FD7377" s="26" t="inlineStr">
        <is>
          <t>PA-B1355</t>
        </is>
      </c>
      <c r="FL7377" s="27" t="inlineStr">
        <is>
          <t>B</t>
        </is>
      </c>
      <c r="FP7377" s="27" t="inlineStr">
        <is>
          <t>B</t>
        </is>
      </c>
    </row>
    <row r="7378">
      <c r="FC7378" t="inlineStr">
        <is>
          <t>Diccionario 7</t>
        </is>
      </c>
      <c r="FD7378" s="26" t="inlineStr">
        <is>
          <t>PA-B1356</t>
        </is>
      </c>
      <c r="FL7378" s="27" t="inlineStr">
        <is>
          <t>B</t>
        </is>
      </c>
      <c r="FP7378" s="27" t="inlineStr">
        <is>
          <t>B</t>
        </is>
      </c>
    </row>
    <row r="7379">
      <c r="FC7379" t="inlineStr">
        <is>
          <t>Diccionario 7</t>
        </is>
      </c>
      <c r="FD7379" s="26" t="inlineStr">
        <is>
          <t>SA-B1357</t>
        </is>
      </c>
      <c r="FL7379" s="27" t="inlineStr">
        <is>
          <t>B</t>
        </is>
      </c>
      <c r="FP7379" s="27" t="inlineStr">
        <is>
          <t>B</t>
        </is>
      </c>
    </row>
    <row r="7380">
      <c r="FC7380" t="inlineStr">
        <is>
          <t>Diccionario 7</t>
        </is>
      </c>
      <c r="FD7380" s="26" t="inlineStr">
        <is>
          <t>SA-B1358</t>
        </is>
      </c>
      <c r="FL7380" s="27" t="inlineStr">
        <is>
          <t>B</t>
        </is>
      </c>
      <c r="FP7380" s="27" t="inlineStr">
        <is>
          <t>B</t>
        </is>
      </c>
    </row>
    <row r="7381">
      <c r="FC7381" t="inlineStr">
        <is>
          <t>Diccionario 7</t>
        </is>
      </c>
      <c r="FD7381" s="26" t="inlineStr">
        <is>
          <t>SA-B1359</t>
        </is>
      </c>
      <c r="FL7381" s="27" t="inlineStr">
        <is>
          <t>B</t>
        </is>
      </c>
      <c r="FP7381" s="27" t="inlineStr">
        <is>
          <t>B</t>
        </is>
      </c>
    </row>
    <row r="7382">
      <c r="FC7382" t="inlineStr">
        <is>
          <t>Diccionario 7</t>
        </is>
      </c>
      <c r="FD7382" s="26" t="inlineStr">
        <is>
          <t>SA-B1360</t>
        </is>
      </c>
      <c r="FL7382" s="27" t="inlineStr">
        <is>
          <t>B</t>
        </is>
      </c>
      <c r="FP7382" s="27" t="inlineStr">
        <is>
          <t>B</t>
        </is>
      </c>
    </row>
    <row r="7383">
      <c r="FC7383" t="inlineStr">
        <is>
          <t>Diccionario 7</t>
        </is>
      </c>
      <c r="FD7383" s="26" t="inlineStr">
        <is>
          <t>SA-B1361</t>
        </is>
      </c>
      <c r="FL7383" s="27" t="inlineStr">
        <is>
          <t>B</t>
        </is>
      </c>
      <c r="FP7383" s="27" t="inlineStr">
        <is>
          <t>B</t>
        </is>
      </c>
    </row>
    <row r="7384">
      <c r="FC7384" t="inlineStr">
        <is>
          <t>Diccionario 7</t>
        </is>
      </c>
      <c r="FD7384" s="26" t="inlineStr">
        <is>
          <t>PA-B1362</t>
        </is>
      </c>
      <c r="FL7384" s="27" t="inlineStr">
        <is>
          <t>B</t>
        </is>
      </c>
      <c r="FP7384" s="27" t="inlineStr">
        <is>
          <t>B</t>
        </is>
      </c>
    </row>
    <row r="7385">
      <c r="FC7385" t="inlineStr">
        <is>
          <t>Diccionario 7</t>
        </is>
      </c>
      <c r="FD7385" s="26" t="inlineStr">
        <is>
          <t>SA-B1363</t>
        </is>
      </c>
      <c r="FL7385" s="27" t="inlineStr">
        <is>
          <t>B</t>
        </is>
      </c>
      <c r="FP7385" s="27" t="inlineStr">
        <is>
          <t>B</t>
        </is>
      </c>
    </row>
    <row r="7386">
      <c r="FC7386" t="inlineStr">
        <is>
          <t>Diccionario 7</t>
        </is>
      </c>
      <c r="FD7386" s="26" t="inlineStr">
        <is>
          <t>SA-B1364</t>
        </is>
      </c>
      <c r="FL7386" s="27" t="inlineStr">
        <is>
          <t>B</t>
        </is>
      </c>
      <c r="FP7386" s="27" t="inlineStr">
        <is>
          <t>B</t>
        </is>
      </c>
    </row>
    <row r="7387">
      <c r="FC7387" t="inlineStr">
        <is>
          <t>Diccionario 7</t>
        </is>
      </c>
      <c r="FD7387" s="26" t="inlineStr">
        <is>
          <t>PA-B1365</t>
        </is>
      </c>
      <c r="FL7387" s="27" t="inlineStr">
        <is>
          <t>B</t>
        </is>
      </c>
      <c r="FP7387" s="27" t="inlineStr">
        <is>
          <t>B</t>
        </is>
      </c>
    </row>
    <row r="7388">
      <c r="FC7388" t="inlineStr">
        <is>
          <t>Diccionario 7</t>
        </is>
      </c>
      <c r="FD7388" s="26" t="inlineStr">
        <is>
          <t>SA-B1366</t>
        </is>
      </c>
      <c r="FL7388" s="27" t="inlineStr">
        <is>
          <t>B</t>
        </is>
      </c>
      <c r="FP7388" s="27" t="inlineStr">
        <is>
          <t>B</t>
        </is>
      </c>
    </row>
    <row r="7389">
      <c r="FC7389" t="inlineStr">
        <is>
          <t>Diccionario 7</t>
        </is>
      </c>
      <c r="FD7389" s="26" t="inlineStr">
        <is>
          <t>SA-B1367</t>
        </is>
      </c>
      <c r="FL7389" s="27" t="inlineStr">
        <is>
          <t>B</t>
        </is>
      </c>
      <c r="FP7389" s="27" t="inlineStr">
        <is>
          <t>B</t>
        </is>
      </c>
    </row>
    <row r="7390">
      <c r="FC7390" t="inlineStr">
        <is>
          <t>Diccionario 7</t>
        </is>
      </c>
      <c r="FD7390" s="26" t="inlineStr">
        <is>
          <t>PA-B1368</t>
        </is>
      </c>
      <c r="FL7390" s="27" t="inlineStr">
        <is>
          <t>B</t>
        </is>
      </c>
      <c r="FP7390" s="27" t="inlineStr">
        <is>
          <t>B</t>
        </is>
      </c>
    </row>
    <row r="7391">
      <c r="FC7391" t="inlineStr">
        <is>
          <t>Diccionario 7</t>
        </is>
      </c>
      <c r="FD7391" s="26" t="inlineStr">
        <is>
          <t>SA-B1369</t>
        </is>
      </c>
      <c r="FL7391" s="27" t="inlineStr">
        <is>
          <t>B</t>
        </is>
      </c>
      <c r="FP7391" s="27" t="inlineStr">
        <is>
          <t>B</t>
        </is>
      </c>
    </row>
    <row r="7392">
      <c r="FC7392" t="inlineStr">
        <is>
          <t>Diccionario 7</t>
        </is>
      </c>
      <c r="FD7392" s="26" t="inlineStr">
        <is>
          <t>SA-B1370</t>
        </is>
      </c>
      <c r="FL7392" s="27" t="inlineStr">
        <is>
          <t>B</t>
        </is>
      </c>
      <c r="FP7392" s="27" t="inlineStr">
        <is>
          <t>B</t>
        </is>
      </c>
    </row>
    <row r="7393">
      <c r="FC7393" t="inlineStr">
        <is>
          <t>Diccionario 7</t>
        </is>
      </c>
      <c r="FD7393" s="26" t="inlineStr">
        <is>
          <t>PA-B1371</t>
        </is>
      </c>
      <c r="FL7393" s="27" t="inlineStr">
        <is>
          <t>B</t>
        </is>
      </c>
      <c r="FP7393" s="27" t="inlineStr">
        <is>
          <t>B</t>
        </is>
      </c>
    </row>
    <row r="7394">
      <c r="FC7394" t="inlineStr">
        <is>
          <t>Diccionario 7</t>
        </is>
      </c>
      <c r="FD7394" s="26" t="inlineStr">
        <is>
          <t>SA-B1372</t>
        </is>
      </c>
      <c r="FL7394" s="27" t="inlineStr">
        <is>
          <t>B</t>
        </is>
      </c>
      <c r="FP7394" s="27" t="inlineStr">
        <is>
          <t>B</t>
        </is>
      </c>
    </row>
    <row r="7395">
      <c r="FC7395" t="inlineStr">
        <is>
          <t>Diccionario 7</t>
        </is>
      </c>
      <c r="FD7395" s="26" t="inlineStr">
        <is>
          <t>PA-B1373</t>
        </is>
      </c>
      <c r="FL7395" s="27" t="inlineStr">
        <is>
          <t>B</t>
        </is>
      </c>
      <c r="FP7395" s="27" t="inlineStr">
        <is>
          <t>B</t>
        </is>
      </c>
    </row>
    <row r="7396">
      <c r="FC7396" t="inlineStr">
        <is>
          <t>Diccionario 7</t>
        </is>
      </c>
      <c r="FD7396" s="26" t="inlineStr">
        <is>
          <t>PA-B1374</t>
        </is>
      </c>
      <c r="FL7396" s="27" t="inlineStr">
        <is>
          <t>B</t>
        </is>
      </c>
      <c r="FP7396" s="27" t="inlineStr">
        <is>
          <t>B</t>
        </is>
      </c>
    </row>
    <row r="7397">
      <c r="FC7397" t="inlineStr">
        <is>
          <t>Diccionario 7</t>
        </is>
      </c>
      <c r="FD7397" s="26" t="inlineStr">
        <is>
          <t>SA-B1375</t>
        </is>
      </c>
      <c r="FL7397" s="27" t="inlineStr">
        <is>
          <t>B</t>
        </is>
      </c>
      <c r="FP7397" s="27" t="inlineStr">
        <is>
          <t>B</t>
        </is>
      </c>
    </row>
    <row r="7398">
      <c r="FC7398" t="inlineStr">
        <is>
          <t>Diccionario 7</t>
        </is>
      </c>
      <c r="FD7398" s="26" t="inlineStr">
        <is>
          <t>PA-B1376</t>
        </is>
      </c>
      <c r="FL7398" s="27" t="inlineStr">
        <is>
          <t>B</t>
        </is>
      </c>
      <c r="FP7398" s="27" t="inlineStr">
        <is>
          <t>B</t>
        </is>
      </c>
    </row>
    <row r="7399">
      <c r="FC7399" t="inlineStr">
        <is>
          <t>Diccionario 7</t>
        </is>
      </c>
      <c r="FD7399" s="26" t="inlineStr">
        <is>
          <t>PA-B1377</t>
        </is>
      </c>
      <c r="FL7399" s="27" t="inlineStr">
        <is>
          <t>B</t>
        </is>
      </c>
      <c r="FP7399" s="27" t="inlineStr">
        <is>
          <t>B</t>
        </is>
      </c>
    </row>
    <row r="7400">
      <c r="FC7400" t="inlineStr">
        <is>
          <t>Diccionario 7</t>
        </is>
      </c>
      <c r="FD7400" s="26" t="inlineStr">
        <is>
          <t>CER-B1378</t>
        </is>
      </c>
      <c r="FL7400" s="27" t="inlineStr">
        <is>
          <t>B</t>
        </is>
      </c>
      <c r="FP7400" s="27" t="inlineStr">
        <is>
          <t>B</t>
        </is>
      </c>
    </row>
    <row r="7401">
      <c r="FC7401" t="inlineStr">
        <is>
          <t>Diccionario 7</t>
        </is>
      </c>
      <c r="FD7401" s="26" t="inlineStr">
        <is>
          <t>PA-B1379</t>
        </is>
      </c>
      <c r="FL7401" s="27" t="inlineStr">
        <is>
          <t>B</t>
        </is>
      </c>
      <c r="FP7401" s="27" t="inlineStr">
        <is>
          <t>B</t>
        </is>
      </c>
    </row>
    <row r="7402">
      <c r="FC7402" t="inlineStr">
        <is>
          <t>Diccionario 7</t>
        </is>
      </c>
      <c r="FD7402" s="26" t="inlineStr">
        <is>
          <t>CER-B1380</t>
        </is>
      </c>
      <c r="FL7402" s="27" t="inlineStr">
        <is>
          <t>B</t>
        </is>
      </c>
      <c r="FP7402" s="27" t="inlineStr">
        <is>
          <t>B</t>
        </is>
      </c>
    </row>
    <row r="7403">
      <c r="FC7403" t="inlineStr">
        <is>
          <t>Diccionario 7</t>
        </is>
      </c>
      <c r="FD7403" s="26" t="inlineStr">
        <is>
          <t>PA-B1381</t>
        </is>
      </c>
      <c r="FL7403" s="27" t="inlineStr">
        <is>
          <t>B</t>
        </is>
      </c>
      <c r="FP7403" s="27" t="inlineStr">
        <is>
          <t>B</t>
        </is>
      </c>
    </row>
    <row r="7404">
      <c r="FC7404" t="inlineStr">
        <is>
          <t>Diccionario 7</t>
        </is>
      </c>
      <c r="FD7404" s="26" t="inlineStr">
        <is>
          <t>PA-B1382</t>
        </is>
      </c>
      <c r="FL7404" s="27" t="inlineStr">
        <is>
          <t>B</t>
        </is>
      </c>
      <c r="FP7404" s="27" t="inlineStr">
        <is>
          <t>B</t>
        </is>
      </c>
    </row>
    <row r="7405">
      <c r="FC7405" t="inlineStr">
        <is>
          <t>Diccionario 7</t>
        </is>
      </c>
      <c r="FD7405" s="26" t="inlineStr">
        <is>
          <t>PA-B1383</t>
        </is>
      </c>
      <c r="FL7405" s="27" t="inlineStr">
        <is>
          <t>B</t>
        </is>
      </c>
      <c r="FP7405" s="27" t="inlineStr">
        <is>
          <t>B</t>
        </is>
      </c>
    </row>
    <row r="7406">
      <c r="FC7406" t="inlineStr">
        <is>
          <t>Diccionario 7</t>
        </is>
      </c>
      <c r="FD7406" s="26" t="inlineStr">
        <is>
          <t>PA-B1384</t>
        </is>
      </c>
      <c r="FL7406" s="27" t="inlineStr">
        <is>
          <t>B</t>
        </is>
      </c>
      <c r="FP7406" s="27" t="inlineStr">
        <is>
          <t>B</t>
        </is>
      </c>
    </row>
    <row r="7407">
      <c r="FC7407" t="inlineStr">
        <is>
          <t>Diccionario 7</t>
        </is>
      </c>
      <c r="FD7407" s="26" t="inlineStr">
        <is>
          <t>CER-B1385</t>
        </is>
      </c>
      <c r="FL7407" s="27" t="inlineStr">
        <is>
          <t>B</t>
        </is>
      </c>
      <c r="FP7407" s="27" t="inlineStr">
        <is>
          <t>B</t>
        </is>
      </c>
    </row>
    <row r="7408">
      <c r="FC7408" t="inlineStr">
        <is>
          <t>Diccionario 7</t>
        </is>
      </c>
      <c r="FD7408" s="26" t="inlineStr">
        <is>
          <t>PA-B1386</t>
        </is>
      </c>
      <c r="FL7408" s="27" t="inlineStr">
        <is>
          <t>B</t>
        </is>
      </c>
      <c r="FP7408" s="27" t="inlineStr">
        <is>
          <t>B</t>
        </is>
      </c>
    </row>
    <row r="7409">
      <c r="FC7409" t="inlineStr">
        <is>
          <t>Diccionario 7</t>
        </is>
      </c>
      <c r="FD7409" s="26" t="inlineStr">
        <is>
          <t>PA-B1387</t>
        </is>
      </c>
      <c r="FL7409" s="27" t="inlineStr">
        <is>
          <t>B</t>
        </is>
      </c>
      <c r="FP7409" s="27" t="inlineStr">
        <is>
          <t>B</t>
        </is>
      </c>
    </row>
    <row r="7410">
      <c r="FC7410" t="inlineStr">
        <is>
          <t>Diccionario 7</t>
        </is>
      </c>
      <c r="FD7410" s="26" t="inlineStr">
        <is>
          <t>PA-B1388</t>
        </is>
      </c>
      <c r="FL7410" s="27" t="inlineStr">
        <is>
          <t>B</t>
        </is>
      </c>
      <c r="FP7410" s="27" t="inlineStr">
        <is>
          <t>B</t>
        </is>
      </c>
    </row>
    <row r="7411">
      <c r="FC7411" t="inlineStr">
        <is>
          <t>Diccionario 7</t>
        </is>
      </c>
      <c r="FD7411" s="26" t="inlineStr">
        <is>
          <t>SA-B1389</t>
        </is>
      </c>
      <c r="FL7411" s="27" t="inlineStr">
        <is>
          <t>B</t>
        </is>
      </c>
      <c r="FP7411" s="27" t="inlineStr">
        <is>
          <t>B</t>
        </is>
      </c>
    </row>
    <row r="7412">
      <c r="FC7412" t="inlineStr">
        <is>
          <t>Diccionario 7</t>
        </is>
      </c>
      <c r="FD7412" s="26" t="inlineStr">
        <is>
          <t>SA-B1390</t>
        </is>
      </c>
      <c r="FL7412" s="27" t="inlineStr">
        <is>
          <t>B</t>
        </is>
      </c>
      <c r="FP7412" s="27" t="inlineStr">
        <is>
          <t>B</t>
        </is>
      </c>
    </row>
    <row r="7413">
      <c r="FC7413" t="inlineStr">
        <is>
          <t>Diccionario 7</t>
        </is>
      </c>
      <c r="FD7413" s="26" t="inlineStr">
        <is>
          <t>SA-B1391</t>
        </is>
      </c>
      <c r="FL7413" s="27" t="inlineStr">
        <is>
          <t>B</t>
        </is>
      </c>
      <c r="FP7413" s="27" t="inlineStr">
        <is>
          <t>B</t>
        </is>
      </c>
    </row>
    <row r="7414">
      <c r="FC7414" t="inlineStr">
        <is>
          <t>Diccionario 7</t>
        </is>
      </c>
      <c r="FD7414" s="26" t="inlineStr">
        <is>
          <t>PA-B1392</t>
        </is>
      </c>
      <c r="FL7414" s="27" t="inlineStr">
        <is>
          <t>B</t>
        </is>
      </c>
      <c r="FP7414" s="27" t="inlineStr">
        <is>
          <t>B</t>
        </is>
      </c>
    </row>
    <row r="7415">
      <c r="FC7415" t="inlineStr">
        <is>
          <t>Diccionario 7</t>
        </is>
      </c>
      <c r="FD7415" s="26" t="inlineStr">
        <is>
          <t>CER-B1393</t>
        </is>
      </c>
      <c r="FL7415" s="27" t="inlineStr">
        <is>
          <t>B</t>
        </is>
      </c>
      <c r="FP7415" s="27" t="inlineStr">
        <is>
          <t>B</t>
        </is>
      </c>
    </row>
    <row r="7416">
      <c r="FC7416" t="inlineStr">
        <is>
          <t>Diccionario 7</t>
        </is>
      </c>
      <c r="FD7416" s="26" t="inlineStr">
        <is>
          <t>SA-B1394</t>
        </is>
      </c>
      <c r="FL7416" s="27" t="inlineStr">
        <is>
          <t>B</t>
        </is>
      </c>
      <c r="FP7416" s="27" t="inlineStr">
        <is>
          <t>B</t>
        </is>
      </c>
    </row>
    <row r="7417">
      <c r="FC7417" t="inlineStr">
        <is>
          <t>Diccionario 7</t>
        </is>
      </c>
      <c r="FD7417" s="26" t="inlineStr">
        <is>
          <t>PA-B1395</t>
        </is>
      </c>
      <c r="FL7417" s="27" t="inlineStr">
        <is>
          <t>B</t>
        </is>
      </c>
      <c r="FP7417" s="27" t="inlineStr">
        <is>
          <t>B</t>
        </is>
      </c>
    </row>
    <row r="7418">
      <c r="FC7418" t="inlineStr">
        <is>
          <t>Diccionario 7</t>
        </is>
      </c>
      <c r="FD7418" s="26" t="inlineStr">
        <is>
          <t>SA-B1396</t>
        </is>
      </c>
      <c r="FL7418" s="27" t="inlineStr">
        <is>
          <t>B</t>
        </is>
      </c>
      <c r="FP7418" s="27" t="inlineStr">
        <is>
          <t>B</t>
        </is>
      </c>
    </row>
    <row r="7419">
      <c r="FC7419" t="inlineStr">
        <is>
          <t>Diccionario 7</t>
        </is>
      </c>
      <c r="FD7419" s="26" t="inlineStr">
        <is>
          <t>SA-B1397</t>
        </is>
      </c>
      <c r="FL7419" s="27" t="inlineStr">
        <is>
          <t>B</t>
        </is>
      </c>
      <c r="FP7419" s="27" t="inlineStr">
        <is>
          <t>B</t>
        </is>
      </c>
    </row>
    <row r="7420">
      <c r="FC7420" t="inlineStr">
        <is>
          <t>Diccionario 7</t>
        </is>
      </c>
      <c r="FD7420" s="26" t="inlineStr">
        <is>
          <t>PA-B1398</t>
        </is>
      </c>
      <c r="FL7420" s="27" t="inlineStr">
        <is>
          <t>B</t>
        </is>
      </c>
      <c r="FP7420" s="27" t="inlineStr">
        <is>
          <t>B</t>
        </is>
      </c>
    </row>
    <row r="7421">
      <c r="FC7421" t="inlineStr">
        <is>
          <t>Diccionario 7</t>
        </is>
      </c>
      <c r="FD7421" s="26" t="inlineStr">
        <is>
          <t>PA-B1399</t>
        </is>
      </c>
      <c r="FL7421" s="27" t="inlineStr">
        <is>
          <t>B</t>
        </is>
      </c>
      <c r="FP7421" s="27" t="inlineStr">
        <is>
          <t>B</t>
        </is>
      </c>
    </row>
    <row r="7422">
      <c r="FC7422" t="inlineStr">
        <is>
          <t>Diccionario 7</t>
        </is>
      </c>
      <c r="FD7422" s="26" t="inlineStr">
        <is>
          <t>PA-B1400</t>
        </is>
      </c>
      <c r="FL7422" s="27" t="inlineStr">
        <is>
          <t>B</t>
        </is>
      </c>
      <c r="FP7422" s="27" t="inlineStr">
        <is>
          <t>B</t>
        </is>
      </c>
    </row>
    <row r="7423">
      <c r="FC7423" t="inlineStr">
        <is>
          <t>Diccionario 7</t>
        </is>
      </c>
      <c r="FD7423" s="26" t="inlineStr">
        <is>
          <t>SA-B1401</t>
        </is>
      </c>
      <c r="FL7423" s="27" t="inlineStr">
        <is>
          <t>B</t>
        </is>
      </c>
      <c r="FP7423" s="27" t="inlineStr">
        <is>
          <t>B</t>
        </is>
      </c>
    </row>
    <row r="7424">
      <c r="FC7424" t="inlineStr">
        <is>
          <t>Diccionario 7</t>
        </is>
      </c>
      <c r="FD7424" s="26" t="inlineStr">
        <is>
          <t>PA-B1402</t>
        </is>
      </c>
      <c r="FL7424" s="27" t="inlineStr">
        <is>
          <t>B</t>
        </is>
      </c>
      <c r="FP7424" s="27" t="inlineStr">
        <is>
          <t>B</t>
        </is>
      </c>
    </row>
    <row r="7425">
      <c r="FC7425" t="inlineStr">
        <is>
          <t>Diccionario 7</t>
        </is>
      </c>
      <c r="FD7425" s="26" t="inlineStr">
        <is>
          <t>PA-B1403</t>
        </is>
      </c>
      <c r="FL7425" s="27" t="inlineStr">
        <is>
          <t>B</t>
        </is>
      </c>
      <c r="FP7425" s="27" t="inlineStr">
        <is>
          <t>B</t>
        </is>
      </c>
    </row>
    <row r="7426">
      <c r="FC7426" t="inlineStr">
        <is>
          <t>Diccionario 7</t>
        </is>
      </c>
      <c r="FD7426" s="26" t="inlineStr">
        <is>
          <t>CER-B1404</t>
        </is>
      </c>
      <c r="FL7426" s="27" t="inlineStr">
        <is>
          <t>B</t>
        </is>
      </c>
      <c r="FP7426" s="27" t="inlineStr">
        <is>
          <t>B</t>
        </is>
      </c>
    </row>
    <row r="7427">
      <c r="FC7427" t="inlineStr">
        <is>
          <t>Diccionario 7</t>
        </is>
      </c>
      <c r="FD7427" s="26" t="inlineStr">
        <is>
          <t>SA-B1405</t>
        </is>
      </c>
      <c r="FL7427" s="27" t="inlineStr">
        <is>
          <t>B</t>
        </is>
      </c>
      <c r="FP7427" s="27" t="inlineStr">
        <is>
          <t>B</t>
        </is>
      </c>
    </row>
    <row r="7428">
      <c r="FC7428" t="inlineStr">
        <is>
          <t>Diccionario 7</t>
        </is>
      </c>
      <c r="FD7428" s="26" t="inlineStr">
        <is>
          <t>SA-B1406</t>
        </is>
      </c>
      <c r="FL7428" s="27" t="inlineStr">
        <is>
          <t>B</t>
        </is>
      </c>
      <c r="FP7428" s="27" t="inlineStr">
        <is>
          <t>B</t>
        </is>
      </c>
    </row>
    <row r="7429">
      <c r="FC7429" t="inlineStr">
        <is>
          <t>Diccionario 7</t>
        </is>
      </c>
      <c r="FD7429" s="26" t="inlineStr">
        <is>
          <t>PA-B1407</t>
        </is>
      </c>
      <c r="FL7429" s="27" t="inlineStr">
        <is>
          <t>B</t>
        </is>
      </c>
      <c r="FP7429" s="27" t="inlineStr">
        <is>
          <t>B</t>
        </is>
      </c>
    </row>
    <row r="7430">
      <c r="FC7430" t="inlineStr">
        <is>
          <t>Diccionario 7</t>
        </is>
      </c>
      <c r="FD7430" s="26" t="inlineStr">
        <is>
          <t>PA-B1408</t>
        </is>
      </c>
      <c r="FL7430" s="27" t="inlineStr">
        <is>
          <t>B</t>
        </is>
      </c>
      <c r="FP7430" s="27" t="inlineStr">
        <is>
          <t>B</t>
        </is>
      </c>
    </row>
    <row r="7431">
      <c r="FC7431" t="inlineStr">
        <is>
          <t>Diccionario 7</t>
        </is>
      </c>
      <c r="FD7431" s="26" t="inlineStr">
        <is>
          <t>PA-B1409</t>
        </is>
      </c>
      <c r="FL7431" s="27" t="inlineStr">
        <is>
          <t>B</t>
        </is>
      </c>
      <c r="FP7431" s="27" t="inlineStr">
        <is>
          <t>B</t>
        </is>
      </c>
    </row>
    <row r="7432">
      <c r="FC7432" t="inlineStr">
        <is>
          <t>Diccionario 7</t>
        </is>
      </c>
      <c r="FD7432" s="26" t="inlineStr">
        <is>
          <t>PA-B1410</t>
        </is>
      </c>
      <c r="FL7432" s="27" t="inlineStr">
        <is>
          <t>B</t>
        </is>
      </c>
      <c r="FP7432" s="27" t="inlineStr">
        <is>
          <t>B</t>
        </is>
      </c>
    </row>
    <row r="7433">
      <c r="FC7433" t="inlineStr">
        <is>
          <t>Diccionario 7</t>
        </is>
      </c>
      <c r="FD7433" s="26" t="inlineStr">
        <is>
          <t>LL-B1411</t>
        </is>
      </c>
      <c r="FL7433" s="27" t="inlineStr">
        <is>
          <t>B</t>
        </is>
      </c>
      <c r="FP7433" s="27" t="inlineStr">
        <is>
          <t>B</t>
        </is>
      </c>
    </row>
    <row r="7434">
      <c r="FC7434" t="inlineStr">
        <is>
          <t>Diccionario 7</t>
        </is>
      </c>
      <c r="FD7434" s="26" t="inlineStr">
        <is>
          <t>LL-B1412</t>
        </is>
      </c>
      <c r="FL7434" s="27" t="inlineStr">
        <is>
          <t>B</t>
        </is>
      </c>
      <c r="FP7434" s="27" t="inlineStr">
        <is>
          <t>B</t>
        </is>
      </c>
    </row>
    <row r="7435">
      <c r="FC7435" t="inlineStr">
        <is>
          <t>Diccionario 7</t>
        </is>
      </c>
      <c r="FD7435" s="26" t="inlineStr">
        <is>
          <t>LL-B1413</t>
        </is>
      </c>
      <c r="FL7435" s="27" t="inlineStr">
        <is>
          <t>B</t>
        </is>
      </c>
      <c r="FP7435" s="27" t="inlineStr">
        <is>
          <t>B</t>
        </is>
      </c>
    </row>
    <row r="7436">
      <c r="FC7436" t="inlineStr">
        <is>
          <t>Diccionario 7</t>
        </is>
      </c>
      <c r="FD7436" s="26" t="inlineStr">
        <is>
          <t>CER-B1414</t>
        </is>
      </c>
      <c r="FL7436" s="27" t="inlineStr">
        <is>
          <t>B</t>
        </is>
      </c>
      <c r="FP7436" s="27" t="inlineStr">
        <is>
          <t>B</t>
        </is>
      </c>
    </row>
    <row r="7437">
      <c r="FC7437" t="inlineStr">
        <is>
          <t>Diccionario 7</t>
        </is>
      </c>
      <c r="FD7437" s="26" t="inlineStr">
        <is>
          <t>PA-B1415</t>
        </is>
      </c>
      <c r="FL7437" s="27" t="inlineStr">
        <is>
          <t>B</t>
        </is>
      </c>
      <c r="FP7437" s="27" t="inlineStr">
        <is>
          <t>B</t>
        </is>
      </c>
    </row>
    <row r="7438">
      <c r="FC7438" t="inlineStr">
        <is>
          <t>Diccionario 7</t>
        </is>
      </c>
      <c r="FD7438" s="26" t="inlineStr">
        <is>
          <t>SA-B1416</t>
        </is>
      </c>
      <c r="FL7438" s="27" t="inlineStr">
        <is>
          <t>B</t>
        </is>
      </c>
      <c r="FP7438" s="27" t="inlineStr">
        <is>
          <t>B</t>
        </is>
      </c>
    </row>
    <row r="7439">
      <c r="FC7439" t="inlineStr">
        <is>
          <t>Diccionario 7</t>
        </is>
      </c>
      <c r="FD7439" s="26" t="inlineStr">
        <is>
          <t>CER-B1417</t>
        </is>
      </c>
      <c r="FL7439" s="27" t="inlineStr">
        <is>
          <t>B</t>
        </is>
      </c>
      <c r="FP7439" s="27" t="inlineStr">
        <is>
          <t>B</t>
        </is>
      </c>
    </row>
    <row r="7440">
      <c r="FC7440" t="inlineStr">
        <is>
          <t>Diccionario 7</t>
        </is>
      </c>
      <c r="FD7440" s="26" t="inlineStr">
        <is>
          <t>PA-B1418</t>
        </is>
      </c>
      <c r="FL7440" s="27" t="inlineStr">
        <is>
          <t>B</t>
        </is>
      </c>
      <c r="FP7440" s="27" t="inlineStr">
        <is>
          <t>B</t>
        </is>
      </c>
    </row>
    <row r="7441">
      <c r="FC7441" t="inlineStr">
        <is>
          <t>Diccionario 7</t>
        </is>
      </c>
      <c r="FD7441" s="26" t="inlineStr">
        <is>
          <t>CER-B1419</t>
        </is>
      </c>
      <c r="FL7441" s="27" t="inlineStr">
        <is>
          <t>B</t>
        </is>
      </c>
      <c r="FP7441" s="27" t="inlineStr">
        <is>
          <t>B</t>
        </is>
      </c>
    </row>
    <row r="7442">
      <c r="FC7442" t="inlineStr">
        <is>
          <t>Diccionario 7</t>
        </is>
      </c>
      <c r="FD7442" s="26" t="inlineStr">
        <is>
          <t>PA-B1420</t>
        </is>
      </c>
      <c r="FL7442" s="27" t="inlineStr">
        <is>
          <t>B</t>
        </is>
      </c>
      <c r="FP7442" s="27" t="inlineStr">
        <is>
          <t>B</t>
        </is>
      </c>
    </row>
    <row r="7443">
      <c r="FC7443" t="inlineStr">
        <is>
          <t>Diccionario 7</t>
        </is>
      </c>
      <c r="FD7443" s="26" t="inlineStr">
        <is>
          <t>PA-B1421</t>
        </is>
      </c>
      <c r="FL7443" s="27" t="inlineStr">
        <is>
          <t>B</t>
        </is>
      </c>
      <c r="FP7443" s="27" t="inlineStr">
        <is>
          <t>B</t>
        </is>
      </c>
    </row>
    <row r="7444">
      <c r="FC7444" t="inlineStr">
        <is>
          <t>Diccionario 7</t>
        </is>
      </c>
      <c r="FD7444" s="26" t="inlineStr">
        <is>
          <t>PA-B1422</t>
        </is>
      </c>
      <c r="FL7444" s="27" t="inlineStr">
        <is>
          <t>B</t>
        </is>
      </c>
      <c r="FP7444" s="27" t="inlineStr">
        <is>
          <t>B</t>
        </is>
      </c>
    </row>
    <row r="7445">
      <c r="FC7445" t="inlineStr">
        <is>
          <t>Diccionario 7</t>
        </is>
      </c>
      <c r="FD7445" s="26" t="inlineStr">
        <is>
          <t>PA-B1423</t>
        </is>
      </c>
      <c r="FL7445" s="27" t="inlineStr">
        <is>
          <t>B</t>
        </is>
      </c>
      <c r="FP7445" s="27" t="inlineStr">
        <is>
          <t>B</t>
        </is>
      </c>
    </row>
    <row r="7446">
      <c r="FC7446" t="inlineStr">
        <is>
          <t>Diccionario 7</t>
        </is>
      </c>
      <c r="FD7446" s="26" t="inlineStr">
        <is>
          <t>PA-B1424</t>
        </is>
      </c>
      <c r="FL7446" s="27" t="inlineStr">
        <is>
          <t>B</t>
        </is>
      </c>
      <c r="FP7446" s="27" t="inlineStr">
        <is>
          <t>B</t>
        </is>
      </c>
    </row>
    <row r="7447">
      <c r="FC7447" t="inlineStr">
        <is>
          <t>Diccionario 7</t>
        </is>
      </c>
      <c r="FD7447" s="26" t="inlineStr">
        <is>
          <t>PA-B1425</t>
        </is>
      </c>
      <c r="FL7447" s="27" t="inlineStr">
        <is>
          <t>B</t>
        </is>
      </c>
      <c r="FP7447" s="27" t="inlineStr">
        <is>
          <t>B</t>
        </is>
      </c>
    </row>
    <row r="7448">
      <c r="FC7448" t="inlineStr">
        <is>
          <t>Diccionario 7</t>
        </is>
      </c>
      <c r="FD7448" s="26" t="inlineStr">
        <is>
          <t>PA-B1426</t>
        </is>
      </c>
      <c r="FL7448" s="27" t="inlineStr">
        <is>
          <t>B</t>
        </is>
      </c>
      <c r="FP7448" s="27" t="inlineStr">
        <is>
          <t>B</t>
        </is>
      </c>
    </row>
    <row r="7449">
      <c r="FC7449" t="inlineStr">
        <is>
          <t>Diccionario 7</t>
        </is>
      </c>
      <c r="FD7449" s="26" t="inlineStr">
        <is>
          <t>RC-B1427</t>
        </is>
      </c>
      <c r="FL7449" s="27" t="inlineStr">
        <is>
          <t>B</t>
        </is>
      </c>
      <c r="FP7449" s="27" t="inlineStr">
        <is>
          <t>B</t>
        </is>
      </c>
    </row>
    <row r="7450">
      <c r="FC7450" t="inlineStr">
        <is>
          <t>Diccionario 7</t>
        </is>
      </c>
      <c r="FD7450" s="26" t="inlineStr">
        <is>
          <t>SR-BP1428</t>
        </is>
      </c>
      <c r="FL7450" s="27" t="inlineStr">
        <is>
          <t>BPAL</t>
        </is>
      </c>
      <c r="FP7450" s="27" t="inlineStr">
        <is>
          <t>BPAL</t>
        </is>
      </c>
    </row>
    <row r="7451">
      <c r="FC7451" t="inlineStr">
        <is>
          <t>Diccionario 7</t>
        </is>
      </c>
      <c r="FD7451" s="26" t="inlineStr">
        <is>
          <t>RC-BP1429</t>
        </is>
      </c>
      <c r="FL7451" s="27" t="inlineStr">
        <is>
          <t>BPAL</t>
        </is>
      </c>
      <c r="FP7451" s="27" t="inlineStr">
        <is>
          <t>BPAL</t>
        </is>
      </c>
    </row>
    <row r="7452">
      <c r="FC7452" t="inlineStr">
        <is>
          <t>Diccionario 7</t>
        </is>
      </c>
      <c r="FD7452" s="26" t="inlineStr">
        <is>
          <t>RC-BP1430</t>
        </is>
      </c>
      <c r="FL7452" s="27" t="inlineStr">
        <is>
          <t>BPAL</t>
        </is>
      </c>
      <c r="FP7452" s="27" t="inlineStr">
        <is>
          <t>BPAL</t>
        </is>
      </c>
    </row>
    <row r="7453">
      <c r="FC7453" t="inlineStr">
        <is>
          <t>Diccionario 7</t>
        </is>
      </c>
      <c r="FD7453" s="26" t="inlineStr">
        <is>
          <t>RC-BP1431</t>
        </is>
      </c>
      <c r="FL7453" s="27" t="inlineStr">
        <is>
          <t>BPAL</t>
        </is>
      </c>
      <c r="FP7453" s="27" t="inlineStr">
        <is>
          <t>BPAL</t>
        </is>
      </c>
    </row>
    <row r="7454">
      <c r="FC7454" t="inlineStr">
        <is>
          <t>Diccionario 7</t>
        </is>
      </c>
      <c r="FD7454" s="26" t="inlineStr">
        <is>
          <t>SR-BP1432</t>
        </is>
      </c>
      <c r="FL7454" s="27" t="inlineStr">
        <is>
          <t>BPAL</t>
        </is>
      </c>
      <c r="FP7454" s="27" t="inlineStr">
        <is>
          <t>BPAL</t>
        </is>
      </c>
    </row>
    <row r="7455">
      <c r="FC7455" t="inlineStr">
        <is>
          <t>Diccionario 7</t>
        </is>
      </c>
      <c r="FD7455" s="26" t="inlineStr">
        <is>
          <t>SR-BP1433</t>
        </is>
      </c>
      <c r="FL7455" s="27" t="inlineStr">
        <is>
          <t>BPAL</t>
        </is>
      </c>
      <c r="FP7455" s="27" t="inlineStr">
        <is>
          <t>BPAL</t>
        </is>
      </c>
    </row>
    <row r="7456">
      <c r="FC7456" t="inlineStr">
        <is>
          <t>Diccionario 7</t>
        </is>
      </c>
      <c r="FD7456" s="26" t="inlineStr">
        <is>
          <t>SR-BP1434</t>
        </is>
      </c>
      <c r="FL7456" s="27" t="inlineStr">
        <is>
          <t>BPAL</t>
        </is>
      </c>
      <c r="FP7456" s="27" t="inlineStr">
        <is>
          <t>BPAL</t>
        </is>
      </c>
    </row>
    <row r="7457">
      <c r="FC7457" t="inlineStr">
        <is>
          <t>Diccionario 7</t>
        </is>
      </c>
      <c r="FD7457" s="26" t="inlineStr">
        <is>
          <t>SR-BP1435</t>
        </is>
      </c>
      <c r="FL7457" s="27" t="inlineStr">
        <is>
          <t>BPAL</t>
        </is>
      </c>
      <c r="FP7457" s="27" t="inlineStr">
        <is>
          <t>BPAL</t>
        </is>
      </c>
    </row>
    <row r="7458">
      <c r="FC7458" t="inlineStr">
        <is>
          <t>Diccionario 7</t>
        </is>
      </c>
      <c r="FD7458" s="26" t="inlineStr">
        <is>
          <t>LL-BP1436</t>
        </is>
      </c>
      <c r="FL7458" s="27" t="inlineStr">
        <is>
          <t>B2PAL</t>
        </is>
      </c>
      <c r="FP7458" s="27" t="inlineStr">
        <is>
          <t>B2PAL</t>
        </is>
      </c>
    </row>
    <row r="7459">
      <c r="FC7459" t="inlineStr">
        <is>
          <t>Diccionario 7</t>
        </is>
      </c>
      <c r="FD7459" s="26" t="inlineStr">
        <is>
          <t>RC-BP1437</t>
        </is>
      </c>
      <c r="FL7459" s="27" t="inlineStr">
        <is>
          <t>B2PAL</t>
        </is>
      </c>
      <c r="FP7459" s="27" t="inlineStr">
        <is>
          <t>B2PAL</t>
        </is>
      </c>
    </row>
    <row r="7460">
      <c r="FC7460" t="inlineStr">
        <is>
          <t>Diccionario 7</t>
        </is>
      </c>
      <c r="FD7460" s="26" t="inlineStr">
        <is>
          <t>RC-BP1438</t>
        </is>
      </c>
      <c r="FL7460" s="27" t="inlineStr">
        <is>
          <t>BPAL</t>
        </is>
      </c>
      <c r="FP7460" s="27" t="inlineStr">
        <is>
          <t>BPAL</t>
        </is>
      </c>
    </row>
    <row r="7461">
      <c r="FC7461" t="inlineStr">
        <is>
          <t>Diccionario 7</t>
        </is>
      </c>
      <c r="FD7461" s="26" t="inlineStr">
        <is>
          <t>RC-BP1439</t>
        </is>
      </c>
      <c r="FL7461" s="27" t="inlineStr">
        <is>
          <t>BPAL</t>
        </is>
      </c>
      <c r="FP7461" s="27" t="inlineStr">
        <is>
          <t>BPAL</t>
        </is>
      </c>
    </row>
    <row r="7462">
      <c r="FC7462" t="inlineStr">
        <is>
          <t>Diccionario 7</t>
        </is>
      </c>
      <c r="FD7462" s="26" t="inlineStr">
        <is>
          <t>RC-C1440</t>
        </is>
      </c>
      <c r="FL7462" s="27" t="inlineStr">
        <is>
          <t>C</t>
        </is>
      </c>
      <c r="FP7462" s="27" t="inlineStr">
        <is>
          <t>C</t>
        </is>
      </c>
    </row>
    <row r="7463">
      <c r="FC7463" t="inlineStr">
        <is>
          <t>Diccionario 7</t>
        </is>
      </c>
      <c r="FD7463" s="26" t="inlineStr">
        <is>
          <t>RC-C1441</t>
        </is>
      </c>
      <c r="FL7463" s="27" t="inlineStr">
        <is>
          <t>C</t>
        </is>
      </c>
      <c r="FP7463" s="27" t="inlineStr">
        <is>
          <t>C</t>
        </is>
      </c>
    </row>
    <row r="7464">
      <c r="FC7464" t="inlineStr">
        <is>
          <t>Diccionario 7</t>
        </is>
      </c>
      <c r="FD7464" s="26" t="inlineStr">
        <is>
          <t>LB-C1442</t>
        </is>
      </c>
      <c r="FL7464" s="27" t="inlineStr">
        <is>
          <t>C</t>
        </is>
      </c>
      <c r="FP7464" s="27" t="inlineStr">
        <is>
          <t>C</t>
        </is>
      </c>
    </row>
    <row r="7465">
      <c r="FC7465" t="inlineStr">
        <is>
          <t>Diccionario 7</t>
        </is>
      </c>
      <c r="FD7465" s="26" t="inlineStr">
        <is>
          <t>RC-C1443</t>
        </is>
      </c>
      <c r="FL7465" s="27" t="inlineStr">
        <is>
          <t>C</t>
        </is>
      </c>
      <c r="FP7465" s="27" t="inlineStr">
        <is>
          <t>C</t>
        </is>
      </c>
    </row>
    <row r="7466">
      <c r="FC7466" t="inlineStr">
        <is>
          <t>Diccionario 7</t>
        </is>
      </c>
      <c r="FD7466" s="26" t="inlineStr">
        <is>
          <t>RC-C1444</t>
        </is>
      </c>
      <c r="FL7466" s="27" t="inlineStr">
        <is>
          <t>C</t>
        </is>
      </c>
      <c r="FP7466" s="27" t="inlineStr">
        <is>
          <t>C</t>
        </is>
      </c>
    </row>
    <row r="7467">
      <c r="FC7467" t="inlineStr">
        <is>
          <t>Diccionario 7</t>
        </is>
      </c>
      <c r="FD7467" s="26" t="inlineStr">
        <is>
          <t>RC-C1445</t>
        </is>
      </c>
      <c r="FL7467" s="27" t="inlineStr">
        <is>
          <t>C</t>
        </is>
      </c>
      <c r="FP7467" s="27" t="inlineStr">
        <is>
          <t>C</t>
        </is>
      </c>
    </row>
    <row r="7468">
      <c r="FC7468" t="inlineStr">
        <is>
          <t>Diccionario 7</t>
        </is>
      </c>
      <c r="FD7468" s="26" t="inlineStr">
        <is>
          <t>RC-C1446</t>
        </is>
      </c>
      <c r="FL7468" s="27" t="inlineStr">
        <is>
          <t>C</t>
        </is>
      </c>
      <c r="FP7468" s="27" t="inlineStr">
        <is>
          <t>C</t>
        </is>
      </c>
    </row>
    <row r="7469">
      <c r="FC7469" t="inlineStr">
        <is>
          <t>Diccionario 7</t>
        </is>
      </c>
      <c r="FD7469" s="26" t="inlineStr">
        <is>
          <t>RC-C1447</t>
        </is>
      </c>
      <c r="FL7469" s="27" t="inlineStr">
        <is>
          <t>C</t>
        </is>
      </c>
      <c r="FP7469" s="27" t="inlineStr">
        <is>
          <t>C</t>
        </is>
      </c>
    </row>
    <row r="7470">
      <c r="FC7470" t="inlineStr">
        <is>
          <t>Diccionario 7</t>
        </is>
      </c>
      <c r="FD7470" s="26" t="inlineStr">
        <is>
          <t>RC-C1448</t>
        </is>
      </c>
      <c r="FL7470" s="27" t="inlineStr">
        <is>
          <t>C</t>
        </is>
      </c>
      <c r="FP7470" s="27" t="inlineStr">
        <is>
          <t>C</t>
        </is>
      </c>
    </row>
    <row r="7471">
      <c r="FC7471" t="inlineStr">
        <is>
          <t>Diccionario 7</t>
        </is>
      </c>
      <c r="FD7471" s="26" t="inlineStr">
        <is>
          <t>RC-C1449</t>
        </is>
      </c>
      <c r="FL7471" s="27" t="inlineStr">
        <is>
          <t>C</t>
        </is>
      </c>
      <c r="FP7471" s="27" t="inlineStr">
        <is>
          <t>C</t>
        </is>
      </c>
    </row>
    <row r="7472">
      <c r="FC7472" t="inlineStr">
        <is>
          <t>Diccionario 7</t>
        </is>
      </c>
      <c r="FD7472" s="26" t="inlineStr">
        <is>
          <t>RC-C1450</t>
        </is>
      </c>
      <c r="FL7472" s="27" t="inlineStr">
        <is>
          <t>C</t>
        </is>
      </c>
      <c r="FP7472" s="27" t="inlineStr">
        <is>
          <t>C</t>
        </is>
      </c>
    </row>
    <row r="7473">
      <c r="FC7473" t="inlineStr">
        <is>
          <t>Diccionario 7</t>
        </is>
      </c>
      <c r="FD7473" s="26" t="inlineStr">
        <is>
          <t>RC-C1451</t>
        </is>
      </c>
      <c r="FL7473" s="27" t="inlineStr">
        <is>
          <t>C</t>
        </is>
      </c>
      <c r="FP7473" s="27" t="inlineStr">
        <is>
          <t>C</t>
        </is>
      </c>
    </row>
    <row r="7474">
      <c r="FC7474" t="inlineStr">
        <is>
          <t>Diccionario 7</t>
        </is>
      </c>
      <c r="FD7474" s="26" t="inlineStr">
        <is>
          <t>RC-C1452</t>
        </is>
      </c>
      <c r="FL7474" s="27" t="inlineStr">
        <is>
          <t>C</t>
        </is>
      </c>
      <c r="FP7474" s="27" t="inlineStr">
        <is>
          <t>C</t>
        </is>
      </c>
    </row>
    <row r="7475">
      <c r="FC7475" t="inlineStr">
        <is>
          <t>Diccionario 7</t>
        </is>
      </c>
      <c r="FD7475" s="26" t="inlineStr">
        <is>
          <t>LB-C1453</t>
        </is>
      </c>
      <c r="FL7475" s="27" t="inlineStr">
        <is>
          <t>C</t>
        </is>
      </c>
      <c r="FP7475" s="27" t="inlineStr">
        <is>
          <t>C</t>
        </is>
      </c>
    </row>
    <row r="7476">
      <c r="FC7476" t="inlineStr">
        <is>
          <t>Diccionario 7</t>
        </is>
      </c>
      <c r="FD7476" s="26" t="inlineStr">
        <is>
          <t>RC-C1454</t>
        </is>
      </c>
      <c r="FL7476" s="27" t="inlineStr">
        <is>
          <t>C</t>
        </is>
      </c>
      <c r="FP7476" s="27" t="inlineStr">
        <is>
          <t>C</t>
        </is>
      </c>
    </row>
    <row r="7477">
      <c r="FC7477" t="inlineStr">
        <is>
          <t>Diccionario 7</t>
        </is>
      </c>
      <c r="FD7477" s="26" t="inlineStr">
        <is>
          <t>RC-C1455</t>
        </is>
      </c>
      <c r="FL7477" s="27" t="inlineStr">
        <is>
          <t>C</t>
        </is>
      </c>
      <c r="FP7477" s="27" t="inlineStr">
        <is>
          <t>C</t>
        </is>
      </c>
    </row>
    <row r="7478">
      <c r="FC7478" t="inlineStr">
        <is>
          <t>Diccionario 7</t>
        </is>
      </c>
      <c r="FD7478" s="26" t="inlineStr">
        <is>
          <t>RC-C1456</t>
        </is>
      </c>
      <c r="FL7478" s="27" t="inlineStr">
        <is>
          <t>C</t>
        </is>
      </c>
      <c r="FP7478" s="27" t="inlineStr">
        <is>
          <t>C</t>
        </is>
      </c>
    </row>
    <row r="7479">
      <c r="FC7479" t="inlineStr">
        <is>
          <t>Diccionario 7</t>
        </is>
      </c>
      <c r="FD7479" s="26" t="inlineStr">
        <is>
          <t>RC-C1457</t>
        </is>
      </c>
      <c r="FL7479" s="27" t="inlineStr">
        <is>
          <t>C</t>
        </is>
      </c>
      <c r="FP7479" s="27" t="inlineStr">
        <is>
          <t>C</t>
        </is>
      </c>
    </row>
    <row r="7480">
      <c r="FC7480" t="inlineStr">
        <is>
          <t>Diccionario 7</t>
        </is>
      </c>
      <c r="FD7480" s="26" t="inlineStr">
        <is>
          <t>LB-C1458</t>
        </is>
      </c>
      <c r="FL7480" s="27" t="inlineStr">
        <is>
          <t>C</t>
        </is>
      </c>
      <c r="FP7480" s="27" t="inlineStr">
        <is>
          <t>C</t>
        </is>
      </c>
    </row>
    <row r="7481">
      <c r="FC7481" t="inlineStr">
        <is>
          <t>Diccionario 7</t>
        </is>
      </c>
      <c r="FD7481" s="26" t="inlineStr">
        <is>
          <t>LB-C1459</t>
        </is>
      </c>
      <c r="FL7481" s="27" t="inlineStr">
        <is>
          <t>C</t>
        </is>
      </c>
      <c r="FP7481" s="27" t="inlineStr">
        <is>
          <t>C</t>
        </is>
      </c>
    </row>
    <row r="7482">
      <c r="FC7482" t="inlineStr">
        <is>
          <t>Diccionario 7</t>
        </is>
      </c>
      <c r="FD7482" s="26" t="inlineStr">
        <is>
          <t>RC-C1460</t>
        </is>
      </c>
      <c r="FL7482" s="27" t="inlineStr">
        <is>
          <t>C</t>
        </is>
      </c>
      <c r="FP7482" s="27" t="inlineStr">
        <is>
          <t>C</t>
        </is>
      </c>
    </row>
    <row r="7483">
      <c r="FC7483" t="inlineStr">
        <is>
          <t>Diccionario 7</t>
        </is>
      </c>
      <c r="FD7483" s="26" t="inlineStr">
        <is>
          <t>LB-C1461</t>
        </is>
      </c>
      <c r="FL7483" s="27" t="inlineStr">
        <is>
          <t>C</t>
        </is>
      </c>
      <c r="FP7483" s="27" t="inlineStr">
        <is>
          <t>C</t>
        </is>
      </c>
    </row>
    <row r="7484">
      <c r="FC7484" t="inlineStr">
        <is>
          <t>Diccionario 7</t>
        </is>
      </c>
      <c r="FD7484" s="26" t="inlineStr">
        <is>
          <t>LB-C1462</t>
        </is>
      </c>
      <c r="FL7484" s="27" t="inlineStr">
        <is>
          <t>C</t>
        </is>
      </c>
      <c r="FP7484" s="27" t="inlineStr">
        <is>
          <t>C</t>
        </is>
      </c>
    </row>
    <row r="7485">
      <c r="FC7485" t="inlineStr">
        <is>
          <t>Diccionario 7</t>
        </is>
      </c>
      <c r="FD7485" s="26" t="inlineStr">
        <is>
          <t>LB-C1463</t>
        </is>
      </c>
      <c r="FL7485" s="27" t="inlineStr">
        <is>
          <t>C</t>
        </is>
      </c>
      <c r="FP7485" s="27" t="inlineStr">
        <is>
          <t>C</t>
        </is>
      </c>
    </row>
    <row r="7486">
      <c r="FC7486" t="inlineStr">
        <is>
          <t>Diccionario 7</t>
        </is>
      </c>
      <c r="FD7486" s="26" t="inlineStr">
        <is>
          <t>LB-C1464</t>
        </is>
      </c>
      <c r="FL7486" s="27" t="inlineStr">
        <is>
          <t>C</t>
        </is>
      </c>
      <c r="FP7486" s="27" t="inlineStr">
        <is>
          <t>C</t>
        </is>
      </c>
    </row>
    <row r="7487">
      <c r="FC7487" t="inlineStr">
        <is>
          <t>Diccionario 7</t>
        </is>
      </c>
      <c r="FD7487" s="26" t="inlineStr">
        <is>
          <t>LB-C1465</t>
        </is>
      </c>
      <c r="FL7487" s="27" t="inlineStr">
        <is>
          <t>C</t>
        </is>
      </c>
      <c r="FP7487" s="27" t="inlineStr">
        <is>
          <t>C</t>
        </is>
      </c>
    </row>
    <row r="7488">
      <c r="FC7488" t="inlineStr">
        <is>
          <t>Diccionario 7</t>
        </is>
      </c>
      <c r="FD7488" s="26" t="inlineStr">
        <is>
          <t>LB-C1466</t>
        </is>
      </c>
      <c r="FL7488" s="27" t="inlineStr">
        <is>
          <t>C</t>
        </is>
      </c>
      <c r="FP7488" s="27" t="inlineStr">
        <is>
          <t>C</t>
        </is>
      </c>
    </row>
    <row r="7489">
      <c r="FC7489" t="inlineStr">
        <is>
          <t>Diccionario 7</t>
        </is>
      </c>
      <c r="FD7489" s="26" t="inlineStr">
        <is>
          <t>LB-C1467</t>
        </is>
      </c>
      <c r="FL7489" s="27" t="inlineStr">
        <is>
          <t>C</t>
        </is>
      </c>
      <c r="FP7489" s="27" t="inlineStr">
        <is>
          <t>C</t>
        </is>
      </c>
    </row>
    <row r="7490">
      <c r="FC7490" t="inlineStr">
        <is>
          <t>Diccionario 7</t>
        </is>
      </c>
      <c r="FD7490" s="26" t="inlineStr">
        <is>
          <t>LB-C1468</t>
        </is>
      </c>
      <c r="FL7490" s="27" t="inlineStr">
        <is>
          <t>C</t>
        </is>
      </c>
      <c r="FP7490" s="27" t="inlineStr">
        <is>
          <t>C</t>
        </is>
      </c>
    </row>
    <row r="7491">
      <c r="FC7491" t="inlineStr">
        <is>
          <t>Diccionario 7</t>
        </is>
      </c>
      <c r="FD7491" s="26" t="inlineStr">
        <is>
          <t>LB-C1469</t>
        </is>
      </c>
      <c r="FL7491" s="27" t="inlineStr">
        <is>
          <t>C</t>
        </is>
      </c>
      <c r="FP7491" s="27" t="inlineStr">
        <is>
          <t>C</t>
        </is>
      </c>
    </row>
    <row r="7492">
      <c r="FC7492" t="inlineStr">
        <is>
          <t>Diccionario 7</t>
        </is>
      </c>
      <c r="FD7492" s="26" t="inlineStr">
        <is>
          <t>LB-C1470</t>
        </is>
      </c>
      <c r="FL7492" s="27" t="inlineStr">
        <is>
          <t>C</t>
        </is>
      </c>
      <c r="FP7492" s="27" t="inlineStr">
        <is>
          <t>C</t>
        </is>
      </c>
    </row>
    <row r="7493">
      <c r="FC7493" t="inlineStr">
        <is>
          <t>Diccionario 7</t>
        </is>
      </c>
      <c r="FD7493" s="26" t="inlineStr">
        <is>
          <t>LB-C1471</t>
        </is>
      </c>
      <c r="FL7493" s="27" t="inlineStr">
        <is>
          <t>C</t>
        </is>
      </c>
      <c r="FP7493" s="27" t="inlineStr">
        <is>
          <t>C</t>
        </is>
      </c>
    </row>
    <row r="7494">
      <c r="FC7494" t="inlineStr">
        <is>
          <t>Diccionario 7</t>
        </is>
      </c>
      <c r="FD7494" s="26" t="inlineStr">
        <is>
          <t>LB-C1472</t>
        </is>
      </c>
      <c r="FL7494" s="27" t="inlineStr">
        <is>
          <t>C</t>
        </is>
      </c>
      <c r="FP7494" s="27" t="inlineStr">
        <is>
          <t>C</t>
        </is>
      </c>
    </row>
    <row r="7495">
      <c r="FC7495" t="inlineStr">
        <is>
          <t>Diccionario 7</t>
        </is>
      </c>
      <c r="FD7495" s="26" t="inlineStr">
        <is>
          <t>LB-C1473</t>
        </is>
      </c>
      <c r="FL7495" s="27" t="inlineStr">
        <is>
          <t>C</t>
        </is>
      </c>
      <c r="FP7495" s="27" t="inlineStr">
        <is>
          <t>C</t>
        </is>
      </c>
    </row>
    <row r="7496">
      <c r="FC7496" t="inlineStr">
        <is>
          <t>Diccionario 7</t>
        </is>
      </c>
      <c r="FD7496" s="26" t="inlineStr">
        <is>
          <t>RC-C1474</t>
        </is>
      </c>
      <c r="FL7496" s="27" t="inlineStr">
        <is>
          <t>C</t>
        </is>
      </c>
      <c r="FP7496" s="27" t="inlineStr">
        <is>
          <t>C</t>
        </is>
      </c>
    </row>
    <row r="7497">
      <c r="FC7497" t="inlineStr">
        <is>
          <t>Diccionario 7</t>
        </is>
      </c>
      <c r="FD7497" s="26" t="inlineStr">
        <is>
          <t>RC-C1475</t>
        </is>
      </c>
      <c r="FL7497" s="27" t="inlineStr">
        <is>
          <t>C</t>
        </is>
      </c>
      <c r="FP7497" s="27" t="inlineStr">
        <is>
          <t>C</t>
        </is>
      </c>
    </row>
    <row r="7498">
      <c r="FC7498" t="inlineStr">
        <is>
          <t>Diccionario 7</t>
        </is>
      </c>
      <c r="FD7498" s="26" t="inlineStr">
        <is>
          <t>LB-C1476</t>
        </is>
      </c>
      <c r="FL7498" s="27" t="inlineStr">
        <is>
          <t>C</t>
        </is>
      </c>
      <c r="FP7498" s="27" t="inlineStr">
        <is>
          <t>C</t>
        </is>
      </c>
    </row>
    <row r="7499">
      <c r="FC7499" t="inlineStr">
        <is>
          <t>Diccionario 7</t>
        </is>
      </c>
      <c r="FD7499" s="26" t="inlineStr">
        <is>
          <t>LB-C1477</t>
        </is>
      </c>
      <c r="FL7499" s="27" t="inlineStr">
        <is>
          <t>C</t>
        </is>
      </c>
      <c r="FP7499" s="27" t="inlineStr">
        <is>
          <t>C</t>
        </is>
      </c>
    </row>
    <row r="7500">
      <c r="FC7500" t="inlineStr">
        <is>
          <t>Diccionario 7</t>
        </is>
      </c>
      <c r="FD7500" s="26" t="inlineStr">
        <is>
          <t>LB-C1478</t>
        </is>
      </c>
      <c r="FL7500" s="27" t="inlineStr">
        <is>
          <t>C</t>
        </is>
      </c>
      <c r="FP7500" s="27" t="inlineStr">
        <is>
          <t>C</t>
        </is>
      </c>
    </row>
    <row r="7501">
      <c r="FC7501" t="inlineStr">
        <is>
          <t>Diccionario 7</t>
        </is>
      </c>
      <c r="FD7501" s="26" t="inlineStr">
        <is>
          <t>LB-C1479</t>
        </is>
      </c>
      <c r="FL7501" s="27" t="inlineStr">
        <is>
          <t>C</t>
        </is>
      </c>
      <c r="FP7501" s="27" t="inlineStr">
        <is>
          <t>C</t>
        </is>
      </c>
    </row>
    <row r="7502">
      <c r="FC7502" t="inlineStr">
        <is>
          <t>Diccionario 7</t>
        </is>
      </c>
      <c r="FD7502" s="26" t="inlineStr">
        <is>
          <t>LB-C1480</t>
        </is>
      </c>
      <c r="FL7502" s="27" t="inlineStr">
        <is>
          <t>C</t>
        </is>
      </c>
      <c r="FP7502" s="27" t="inlineStr">
        <is>
          <t>C</t>
        </is>
      </c>
    </row>
    <row r="7503">
      <c r="FC7503" t="inlineStr">
        <is>
          <t>Diccionario 7</t>
        </is>
      </c>
      <c r="FD7503" s="26" t="inlineStr">
        <is>
          <t>LB-C1481</t>
        </is>
      </c>
      <c r="FL7503" s="27" t="inlineStr">
        <is>
          <t>C</t>
        </is>
      </c>
      <c r="FP7503" s="27" t="inlineStr">
        <is>
          <t>C</t>
        </is>
      </c>
    </row>
    <row r="7504">
      <c r="FC7504" t="inlineStr">
        <is>
          <t>Diccionario 7</t>
        </is>
      </c>
      <c r="FD7504" s="26" t="inlineStr">
        <is>
          <t>RC-C1482</t>
        </is>
      </c>
      <c r="FL7504" s="27" t="inlineStr">
        <is>
          <t>C</t>
        </is>
      </c>
      <c r="FP7504" s="27" t="inlineStr">
        <is>
          <t>C</t>
        </is>
      </c>
    </row>
    <row r="7505">
      <c r="FC7505" t="inlineStr">
        <is>
          <t>Diccionario 7</t>
        </is>
      </c>
      <c r="FD7505" s="26" t="inlineStr">
        <is>
          <t>LB-C1483</t>
        </is>
      </c>
      <c r="FL7505" s="27" t="inlineStr">
        <is>
          <t>C</t>
        </is>
      </c>
      <c r="FP7505" s="27" t="inlineStr">
        <is>
          <t>C</t>
        </is>
      </c>
    </row>
    <row r="7506">
      <c r="FC7506" t="inlineStr">
        <is>
          <t>Diccionario 7</t>
        </is>
      </c>
      <c r="FD7506" s="26" t="inlineStr">
        <is>
          <t>LB-C1484</t>
        </is>
      </c>
      <c r="FL7506" s="27" t="inlineStr">
        <is>
          <t>C</t>
        </is>
      </c>
      <c r="FP7506" s="27" t="inlineStr">
        <is>
          <t>C</t>
        </is>
      </c>
    </row>
    <row r="7507">
      <c r="FC7507" t="inlineStr">
        <is>
          <t>Diccionario 7</t>
        </is>
      </c>
      <c r="FD7507" s="26" t="inlineStr">
        <is>
          <t>LB-C1485</t>
        </is>
      </c>
      <c r="FL7507" s="27" t="inlineStr">
        <is>
          <t>C</t>
        </is>
      </c>
      <c r="FP7507" s="27" t="inlineStr">
        <is>
          <t>C</t>
        </is>
      </c>
    </row>
    <row r="7508">
      <c r="FC7508" t="inlineStr">
        <is>
          <t>Diccionario 7</t>
        </is>
      </c>
      <c r="FD7508" s="26" t="inlineStr">
        <is>
          <t>LB-C1486</t>
        </is>
      </c>
      <c r="FL7508" s="27" t="inlineStr">
        <is>
          <t>C</t>
        </is>
      </c>
      <c r="FP7508" s="27" t="inlineStr">
        <is>
          <t>C</t>
        </is>
      </c>
    </row>
    <row r="7509">
      <c r="FC7509" t="inlineStr">
        <is>
          <t>Diccionario 7</t>
        </is>
      </c>
      <c r="FD7509" s="26" t="inlineStr">
        <is>
          <t>RC-C1487</t>
        </is>
      </c>
      <c r="FL7509" s="27" t="inlineStr">
        <is>
          <t>C</t>
        </is>
      </c>
      <c r="FP7509" s="27" t="inlineStr">
        <is>
          <t>C</t>
        </is>
      </c>
    </row>
    <row r="7510">
      <c r="FC7510" t="inlineStr">
        <is>
          <t>Diccionario 7</t>
        </is>
      </c>
      <c r="FD7510" s="26" t="inlineStr">
        <is>
          <t>RC-C1488</t>
        </is>
      </c>
      <c r="FL7510" s="27" t="inlineStr">
        <is>
          <t>C</t>
        </is>
      </c>
      <c r="FP7510" s="27" t="inlineStr">
        <is>
          <t>C</t>
        </is>
      </c>
    </row>
    <row r="7511">
      <c r="FC7511" t="inlineStr">
        <is>
          <t>Diccionario 7</t>
        </is>
      </c>
      <c r="FD7511" s="26" t="inlineStr">
        <is>
          <t>RC-C1489</t>
        </is>
      </c>
      <c r="FL7511" s="27" t="inlineStr">
        <is>
          <t>C</t>
        </is>
      </c>
      <c r="FP7511" s="27" t="inlineStr">
        <is>
          <t>C</t>
        </is>
      </c>
    </row>
    <row r="7512">
      <c r="FC7512" t="inlineStr">
        <is>
          <t>Diccionario 7</t>
        </is>
      </c>
      <c r="FD7512" s="26" t="inlineStr">
        <is>
          <t>RC-C1490</t>
        </is>
      </c>
      <c r="FL7512" s="27" t="inlineStr">
        <is>
          <t>C</t>
        </is>
      </c>
      <c r="FP7512" s="27" t="inlineStr">
        <is>
          <t>C</t>
        </is>
      </c>
    </row>
    <row r="7513">
      <c r="FC7513" t="inlineStr">
        <is>
          <t>Diccionario 7</t>
        </is>
      </c>
      <c r="FD7513" s="26" t="inlineStr">
        <is>
          <t>RC-C1491</t>
        </is>
      </c>
      <c r="FL7513" s="27" t="inlineStr">
        <is>
          <t>C</t>
        </is>
      </c>
      <c r="FP7513" s="27" t="inlineStr">
        <is>
          <t>C</t>
        </is>
      </c>
    </row>
    <row r="7514">
      <c r="FC7514" t="inlineStr">
        <is>
          <t>Diccionario 7</t>
        </is>
      </c>
      <c r="FD7514" s="26" t="inlineStr">
        <is>
          <t>RC-C1492</t>
        </is>
      </c>
      <c r="FL7514" s="27" t="inlineStr">
        <is>
          <t>C</t>
        </is>
      </c>
      <c r="FP7514" s="27" t="inlineStr">
        <is>
          <t>C</t>
        </is>
      </c>
    </row>
    <row r="7515">
      <c r="FC7515" t="inlineStr">
        <is>
          <t>Diccionario 7</t>
        </is>
      </c>
      <c r="FD7515" s="26" t="inlineStr">
        <is>
          <t>RC-C1493</t>
        </is>
      </c>
      <c r="FL7515" s="27" t="inlineStr">
        <is>
          <t>C</t>
        </is>
      </c>
      <c r="FP7515" s="27" t="inlineStr">
        <is>
          <t>C</t>
        </is>
      </c>
    </row>
    <row r="7516">
      <c r="FC7516" t="inlineStr">
        <is>
          <t>Diccionario 7</t>
        </is>
      </c>
      <c r="FD7516" s="26" t="inlineStr">
        <is>
          <t>RC-C1494</t>
        </is>
      </c>
      <c r="FL7516" s="27" t="inlineStr">
        <is>
          <t>C</t>
        </is>
      </c>
      <c r="FP7516" s="27" t="inlineStr">
        <is>
          <t>C</t>
        </is>
      </c>
    </row>
    <row r="7517">
      <c r="FC7517" t="inlineStr">
        <is>
          <t>Diccionario 7</t>
        </is>
      </c>
      <c r="FD7517" s="26" t="inlineStr">
        <is>
          <t>RC-C1495</t>
        </is>
      </c>
      <c r="FL7517" s="27" t="inlineStr">
        <is>
          <t>C</t>
        </is>
      </c>
      <c r="FP7517" s="27" t="inlineStr">
        <is>
          <t>C</t>
        </is>
      </c>
    </row>
    <row r="7518">
      <c r="FC7518" t="inlineStr">
        <is>
          <t>Diccionario 7</t>
        </is>
      </c>
      <c r="FD7518" s="26" t="inlineStr">
        <is>
          <t>RC-C1496</t>
        </is>
      </c>
      <c r="FL7518" s="27" t="inlineStr">
        <is>
          <t>C</t>
        </is>
      </c>
      <c r="FP7518" s="27" t="inlineStr">
        <is>
          <t>C</t>
        </is>
      </c>
    </row>
    <row r="7519">
      <c r="FC7519" t="inlineStr">
        <is>
          <t>Diccionario 7</t>
        </is>
      </c>
      <c r="FD7519" s="26" t="inlineStr">
        <is>
          <t>RC-C1497</t>
        </is>
      </c>
      <c r="FL7519" s="27" t="inlineStr">
        <is>
          <t>C</t>
        </is>
      </c>
      <c r="FP7519" s="27" t="inlineStr">
        <is>
          <t>C</t>
        </is>
      </c>
    </row>
    <row r="7520">
      <c r="FC7520" t="inlineStr">
        <is>
          <t>Diccionario 7</t>
        </is>
      </c>
      <c r="FD7520" s="26" t="inlineStr">
        <is>
          <t>RC-C1498</t>
        </is>
      </c>
      <c r="FL7520" s="27" t="inlineStr">
        <is>
          <t>C</t>
        </is>
      </c>
      <c r="FP7520" s="27" t="inlineStr">
        <is>
          <t>C</t>
        </is>
      </c>
    </row>
    <row r="7521">
      <c r="FC7521" t="inlineStr">
        <is>
          <t>Diccionario 7</t>
        </is>
      </c>
      <c r="FD7521" s="26" t="inlineStr">
        <is>
          <t>RC-C1499</t>
        </is>
      </c>
      <c r="FL7521" s="27" t="inlineStr">
        <is>
          <t>C</t>
        </is>
      </c>
      <c r="FP7521" s="27" t="inlineStr">
        <is>
          <t>C</t>
        </is>
      </c>
    </row>
    <row r="7522">
      <c r="FC7522" t="inlineStr">
        <is>
          <t>Diccionario 7</t>
        </is>
      </c>
      <c r="FD7522" s="26" t="inlineStr">
        <is>
          <t>RC-C1500</t>
        </is>
      </c>
      <c r="FL7522" s="27" t="inlineStr">
        <is>
          <t>C</t>
        </is>
      </c>
      <c r="FP7522" s="27" t="inlineStr">
        <is>
          <t>C</t>
        </is>
      </c>
    </row>
    <row r="7523">
      <c r="FC7523" t="inlineStr">
        <is>
          <t>Diccionario 7</t>
        </is>
      </c>
      <c r="FD7523" s="26" t="inlineStr">
        <is>
          <t>RC-C1501</t>
        </is>
      </c>
      <c r="FL7523" s="27" t="inlineStr">
        <is>
          <t>C</t>
        </is>
      </c>
      <c r="FP7523" s="27" t="inlineStr">
        <is>
          <t>C</t>
        </is>
      </c>
    </row>
    <row r="7524">
      <c r="FC7524" t="inlineStr">
        <is>
          <t>Diccionario 7</t>
        </is>
      </c>
      <c r="FD7524" s="26" t="inlineStr">
        <is>
          <t>RC-C1502</t>
        </is>
      </c>
      <c r="FL7524" s="27" t="inlineStr">
        <is>
          <t>C</t>
        </is>
      </c>
      <c r="FP7524" s="27" t="inlineStr">
        <is>
          <t>C</t>
        </is>
      </c>
    </row>
    <row r="7525">
      <c r="FC7525" t="inlineStr">
        <is>
          <t>Diccionario 7</t>
        </is>
      </c>
      <c r="FD7525" s="26" t="inlineStr">
        <is>
          <t>RC-C1503</t>
        </is>
      </c>
      <c r="FL7525" s="27" t="inlineStr">
        <is>
          <t>C</t>
        </is>
      </c>
      <c r="FP7525" s="27" t="inlineStr">
        <is>
          <t>C</t>
        </is>
      </c>
    </row>
    <row r="7526">
      <c r="FC7526" t="inlineStr">
        <is>
          <t>Diccionario 7</t>
        </is>
      </c>
      <c r="FD7526" s="26" t="inlineStr">
        <is>
          <t>RC-C1504</t>
        </is>
      </c>
      <c r="FL7526" s="27" t="inlineStr">
        <is>
          <t>C</t>
        </is>
      </c>
      <c r="FP7526" s="27" t="inlineStr">
        <is>
          <t>C</t>
        </is>
      </c>
    </row>
    <row r="7527">
      <c r="FC7527" t="inlineStr">
        <is>
          <t>Diccionario 7</t>
        </is>
      </c>
      <c r="FD7527" s="26" t="inlineStr">
        <is>
          <t>RC-C1505</t>
        </is>
      </c>
      <c r="FL7527" s="27" t="inlineStr">
        <is>
          <t>C</t>
        </is>
      </c>
      <c r="FP7527" s="27" t="inlineStr">
        <is>
          <t>C</t>
        </is>
      </c>
    </row>
    <row r="7528">
      <c r="FC7528" t="inlineStr">
        <is>
          <t>Diccionario 7</t>
        </is>
      </c>
      <c r="FD7528" s="26" t="inlineStr">
        <is>
          <t>RC-C1506</t>
        </is>
      </c>
      <c r="FL7528" s="27" t="inlineStr">
        <is>
          <t>C</t>
        </is>
      </c>
      <c r="FP7528" s="27" t="inlineStr">
        <is>
          <t>C</t>
        </is>
      </c>
    </row>
    <row r="7529">
      <c r="FC7529" t="inlineStr">
        <is>
          <t>Diccionario 7</t>
        </is>
      </c>
      <c r="FD7529" s="26" t="inlineStr">
        <is>
          <t>RC-C1507</t>
        </is>
      </c>
      <c r="FL7529" s="27" t="inlineStr">
        <is>
          <t>C</t>
        </is>
      </c>
      <c r="FP7529" s="27" t="inlineStr">
        <is>
          <t>C</t>
        </is>
      </c>
    </row>
    <row r="7530">
      <c r="FC7530" t="inlineStr">
        <is>
          <t>Diccionario 7</t>
        </is>
      </c>
      <c r="FD7530" s="26" t="inlineStr">
        <is>
          <t>RC-C1508</t>
        </is>
      </c>
      <c r="FL7530" s="27" t="inlineStr">
        <is>
          <t>C</t>
        </is>
      </c>
      <c r="FP7530" s="27" t="inlineStr">
        <is>
          <t>C</t>
        </is>
      </c>
    </row>
    <row r="7531">
      <c r="FC7531" t="inlineStr">
        <is>
          <t>Diccionario 7</t>
        </is>
      </c>
      <c r="FD7531" s="26" t="inlineStr">
        <is>
          <t>RC-C1509</t>
        </is>
      </c>
      <c r="FL7531" s="27" t="inlineStr">
        <is>
          <t>C</t>
        </is>
      </c>
      <c r="FP7531" s="27" t="inlineStr">
        <is>
          <t>C</t>
        </is>
      </c>
    </row>
    <row r="7532">
      <c r="FC7532" t="inlineStr">
        <is>
          <t>Diccionario 7</t>
        </is>
      </c>
      <c r="FD7532" s="26" t="inlineStr">
        <is>
          <t>RC-C1510</t>
        </is>
      </c>
      <c r="FL7532" s="27" t="inlineStr">
        <is>
          <t>C</t>
        </is>
      </c>
      <c r="FP7532" s="27" t="inlineStr">
        <is>
          <t>C</t>
        </is>
      </c>
    </row>
    <row r="7533">
      <c r="FC7533" t="inlineStr">
        <is>
          <t>Diccionario 7</t>
        </is>
      </c>
      <c r="FD7533" s="26" t="inlineStr">
        <is>
          <t>RC-C1511</t>
        </is>
      </c>
      <c r="FL7533" s="27" t="inlineStr">
        <is>
          <t>C</t>
        </is>
      </c>
      <c r="FP7533" s="27" t="inlineStr">
        <is>
          <t>C</t>
        </is>
      </c>
    </row>
    <row r="7534">
      <c r="FC7534" t="inlineStr">
        <is>
          <t>Diccionario 7</t>
        </is>
      </c>
      <c r="FD7534" s="26" t="inlineStr">
        <is>
          <t>RC-C1512</t>
        </is>
      </c>
      <c r="FL7534" s="27" t="inlineStr">
        <is>
          <t>C</t>
        </is>
      </c>
      <c r="FP7534" s="27" t="inlineStr">
        <is>
          <t>C</t>
        </is>
      </c>
    </row>
    <row r="7535">
      <c r="FC7535" t="inlineStr">
        <is>
          <t>Diccionario 7</t>
        </is>
      </c>
      <c r="FD7535" s="26" t="inlineStr">
        <is>
          <t>RC-C1513</t>
        </is>
      </c>
      <c r="FL7535" s="27" t="inlineStr">
        <is>
          <t>C</t>
        </is>
      </c>
      <c r="FP7535" s="27" t="inlineStr">
        <is>
          <t>C</t>
        </is>
      </c>
    </row>
    <row r="7536">
      <c r="FC7536" t="inlineStr">
        <is>
          <t>Diccionario 7</t>
        </is>
      </c>
      <c r="FD7536" s="26" t="inlineStr">
        <is>
          <t>RC-C1514</t>
        </is>
      </c>
      <c r="FL7536" s="27" t="inlineStr">
        <is>
          <t>C</t>
        </is>
      </c>
      <c r="FP7536" s="27" t="inlineStr">
        <is>
          <t>C</t>
        </is>
      </c>
    </row>
    <row r="7537">
      <c r="FC7537" t="inlineStr">
        <is>
          <t>Diccionario 7</t>
        </is>
      </c>
      <c r="FD7537" s="26" t="inlineStr">
        <is>
          <t>RC-C1515</t>
        </is>
      </c>
      <c r="FL7537" s="27" t="inlineStr">
        <is>
          <t>C</t>
        </is>
      </c>
      <c r="FP7537" s="27" t="inlineStr">
        <is>
          <t>C</t>
        </is>
      </c>
    </row>
    <row r="7538">
      <c r="FC7538" t="inlineStr">
        <is>
          <t>Diccionario 7</t>
        </is>
      </c>
      <c r="FD7538" s="26" t="inlineStr">
        <is>
          <t>SR-C1516</t>
        </is>
      </c>
      <c r="FL7538" s="27" t="inlineStr">
        <is>
          <t>C</t>
        </is>
      </c>
      <c r="FP7538" s="27" t="inlineStr">
        <is>
          <t>C</t>
        </is>
      </c>
    </row>
    <row r="7539">
      <c r="FC7539" t="inlineStr">
        <is>
          <t>Diccionario 7</t>
        </is>
      </c>
      <c r="FD7539" s="26" t="inlineStr">
        <is>
          <t>RC-C1517</t>
        </is>
      </c>
      <c r="FL7539" s="27" t="inlineStr">
        <is>
          <t>C</t>
        </is>
      </c>
      <c r="FP7539" s="27" t="inlineStr">
        <is>
          <t>C</t>
        </is>
      </c>
    </row>
    <row r="7540">
      <c r="FC7540" t="inlineStr">
        <is>
          <t>Diccionario 7</t>
        </is>
      </c>
      <c r="FD7540" s="26" t="inlineStr">
        <is>
          <t>SR-C1518</t>
        </is>
      </c>
      <c r="FL7540" s="27" t="inlineStr">
        <is>
          <t>C</t>
        </is>
      </c>
      <c r="FP7540" s="27" t="inlineStr">
        <is>
          <t>C</t>
        </is>
      </c>
    </row>
    <row r="7541">
      <c r="FC7541" t="inlineStr">
        <is>
          <t>Diccionario 7</t>
        </is>
      </c>
      <c r="FD7541" s="26" t="inlineStr">
        <is>
          <t>RC-C1519</t>
        </is>
      </c>
      <c r="FL7541" s="27" t="inlineStr">
        <is>
          <t>C</t>
        </is>
      </c>
      <c r="FP7541" s="27" t="inlineStr">
        <is>
          <t>C</t>
        </is>
      </c>
    </row>
    <row r="7542">
      <c r="FC7542" t="inlineStr">
        <is>
          <t>Diccionario 7</t>
        </is>
      </c>
      <c r="FD7542" s="26" t="inlineStr">
        <is>
          <t>SR-C1520</t>
        </is>
      </c>
      <c r="FL7542" s="27" t="inlineStr">
        <is>
          <t>C</t>
        </is>
      </c>
      <c r="FP7542" s="27" t="inlineStr">
        <is>
          <t>C</t>
        </is>
      </c>
    </row>
    <row r="7543">
      <c r="FC7543" t="inlineStr">
        <is>
          <t>Diccionario 7</t>
        </is>
      </c>
      <c r="FD7543" s="26" t="inlineStr">
        <is>
          <t>RC-C1521</t>
        </is>
      </c>
      <c r="FL7543" s="27" t="inlineStr">
        <is>
          <t>C</t>
        </is>
      </c>
      <c r="FP7543" s="27" t="inlineStr">
        <is>
          <t>C</t>
        </is>
      </c>
    </row>
    <row r="7544">
      <c r="FC7544" t="inlineStr">
        <is>
          <t>Diccionario 7</t>
        </is>
      </c>
      <c r="FD7544" s="26" t="inlineStr">
        <is>
          <t>SR-C1522</t>
        </is>
      </c>
      <c r="FL7544" s="27" t="inlineStr">
        <is>
          <t>C</t>
        </is>
      </c>
      <c r="FP7544" s="27" t="inlineStr">
        <is>
          <t>C</t>
        </is>
      </c>
    </row>
    <row r="7545">
      <c r="FC7545" t="inlineStr">
        <is>
          <t>Diccionario 7</t>
        </is>
      </c>
      <c r="FD7545" s="26" t="inlineStr">
        <is>
          <t>RC-C1523</t>
        </is>
      </c>
      <c r="FL7545" s="27" t="inlineStr">
        <is>
          <t>C</t>
        </is>
      </c>
      <c r="FP7545" s="27" t="inlineStr">
        <is>
          <t>C</t>
        </is>
      </c>
    </row>
    <row r="7546">
      <c r="FC7546" t="inlineStr">
        <is>
          <t>Diccionario 7</t>
        </is>
      </c>
      <c r="FD7546" s="26" t="inlineStr">
        <is>
          <t>SR-C1524</t>
        </is>
      </c>
      <c r="FL7546" s="27" t="inlineStr">
        <is>
          <t>C</t>
        </is>
      </c>
      <c r="FP7546" s="27" t="inlineStr">
        <is>
          <t>C</t>
        </is>
      </c>
    </row>
    <row r="7547">
      <c r="FC7547" t="inlineStr">
        <is>
          <t>Diccionario 7</t>
        </is>
      </c>
      <c r="FD7547" s="26" t="inlineStr">
        <is>
          <t>SR-C1525</t>
        </is>
      </c>
      <c r="FL7547" s="27" t="inlineStr">
        <is>
          <t>C</t>
        </is>
      </c>
      <c r="FP7547" s="27" t="inlineStr">
        <is>
          <t>C</t>
        </is>
      </c>
    </row>
    <row r="7548">
      <c r="FC7548" t="inlineStr">
        <is>
          <t>Diccionario 7</t>
        </is>
      </c>
      <c r="FD7548" s="26" t="inlineStr">
        <is>
          <t>SR-C1526</t>
        </is>
      </c>
      <c r="FL7548" s="27" t="inlineStr">
        <is>
          <t>C</t>
        </is>
      </c>
      <c r="FP7548" s="27" t="inlineStr">
        <is>
          <t>C</t>
        </is>
      </c>
    </row>
    <row r="7549">
      <c r="FC7549" t="inlineStr">
        <is>
          <t>Diccionario 7</t>
        </is>
      </c>
      <c r="FD7549" s="26" t="inlineStr">
        <is>
          <t>SR-C1527</t>
        </is>
      </c>
      <c r="FL7549" s="27" t="inlineStr">
        <is>
          <t>C</t>
        </is>
      </c>
      <c r="FP7549" s="27" t="inlineStr">
        <is>
          <t>C</t>
        </is>
      </c>
    </row>
    <row r="7550">
      <c r="FC7550" t="inlineStr">
        <is>
          <t>Diccionario 7</t>
        </is>
      </c>
      <c r="FD7550" s="26" t="inlineStr">
        <is>
          <t>SR-C1528</t>
        </is>
      </c>
      <c r="FL7550" s="27" t="inlineStr">
        <is>
          <t>C</t>
        </is>
      </c>
      <c r="FP7550" s="27" t="inlineStr">
        <is>
          <t>C</t>
        </is>
      </c>
    </row>
    <row r="7551">
      <c r="FC7551" t="inlineStr">
        <is>
          <t>Diccionario 7</t>
        </is>
      </c>
      <c r="FD7551" s="26" t="inlineStr">
        <is>
          <t>RC-C1529</t>
        </is>
      </c>
      <c r="FL7551" s="27" t="inlineStr">
        <is>
          <t>C</t>
        </is>
      </c>
      <c r="FP7551" s="27" t="inlineStr">
        <is>
          <t>C</t>
        </is>
      </c>
    </row>
    <row r="7552">
      <c r="FC7552" t="inlineStr">
        <is>
          <t>Diccionario 7</t>
        </is>
      </c>
      <c r="FD7552" s="26" t="inlineStr">
        <is>
          <t>RC-C1530</t>
        </is>
      </c>
      <c r="FL7552" s="27" t="inlineStr">
        <is>
          <t>C</t>
        </is>
      </c>
      <c r="FP7552" s="27" t="inlineStr">
        <is>
          <t>C</t>
        </is>
      </c>
    </row>
    <row r="7553">
      <c r="FC7553" t="inlineStr">
        <is>
          <t>Diccionario 7</t>
        </is>
      </c>
      <c r="FD7553" s="26" t="inlineStr">
        <is>
          <t>SR-C1531</t>
        </is>
      </c>
      <c r="FL7553" s="27" t="inlineStr">
        <is>
          <t>C</t>
        </is>
      </c>
      <c r="FP7553" s="27" t="inlineStr">
        <is>
          <t>C</t>
        </is>
      </c>
    </row>
    <row r="7554">
      <c r="FC7554" t="inlineStr">
        <is>
          <t>Diccionario 7</t>
        </is>
      </c>
      <c r="FD7554" s="26" t="inlineStr">
        <is>
          <t>RC-C1532</t>
        </is>
      </c>
      <c r="FL7554" s="27" t="inlineStr">
        <is>
          <t>C</t>
        </is>
      </c>
      <c r="FP7554" s="27" t="inlineStr">
        <is>
          <t>C</t>
        </is>
      </c>
    </row>
    <row r="7555">
      <c r="FC7555" t="inlineStr">
        <is>
          <t>Diccionario 7</t>
        </is>
      </c>
      <c r="FD7555" s="26" t="inlineStr">
        <is>
          <t>RC-C1533</t>
        </is>
      </c>
      <c r="FL7555" s="27" t="inlineStr">
        <is>
          <t>C</t>
        </is>
      </c>
      <c r="FP7555" s="27" t="inlineStr">
        <is>
          <t>C</t>
        </is>
      </c>
    </row>
    <row r="7556">
      <c r="FC7556" t="inlineStr">
        <is>
          <t>Diccionario 7</t>
        </is>
      </c>
      <c r="FD7556" s="26" t="inlineStr">
        <is>
          <t>RC-C1534</t>
        </is>
      </c>
      <c r="FL7556" s="27" t="inlineStr">
        <is>
          <t>C</t>
        </is>
      </c>
      <c r="FP7556" s="27" t="inlineStr">
        <is>
          <t>C</t>
        </is>
      </c>
    </row>
    <row r="7557">
      <c r="FC7557" t="inlineStr">
        <is>
          <t>Diccionario 7</t>
        </is>
      </c>
      <c r="FD7557" s="26" t="inlineStr">
        <is>
          <t>SR-C1535</t>
        </is>
      </c>
      <c r="FL7557" s="27" t="inlineStr">
        <is>
          <t>C</t>
        </is>
      </c>
      <c r="FP7557" s="27" t="inlineStr">
        <is>
          <t>C</t>
        </is>
      </c>
    </row>
    <row r="7558">
      <c r="FC7558" t="inlineStr">
        <is>
          <t>Diccionario 7</t>
        </is>
      </c>
      <c r="FD7558" s="26" t="inlineStr">
        <is>
          <t>RC-C1536</t>
        </is>
      </c>
      <c r="FL7558" s="27" t="inlineStr">
        <is>
          <t>C</t>
        </is>
      </c>
      <c r="FP7558" s="27" t="inlineStr">
        <is>
          <t>C</t>
        </is>
      </c>
    </row>
    <row r="7559">
      <c r="FC7559" t="inlineStr">
        <is>
          <t>Diccionario 7</t>
        </is>
      </c>
      <c r="FD7559" s="26" t="inlineStr">
        <is>
          <t>SR-C1537</t>
        </is>
      </c>
      <c r="FL7559" s="27" t="inlineStr">
        <is>
          <t>C</t>
        </is>
      </c>
      <c r="FP7559" s="27" t="inlineStr">
        <is>
          <t>C</t>
        </is>
      </c>
    </row>
    <row r="7560">
      <c r="FC7560" t="inlineStr">
        <is>
          <t>Diccionario 7</t>
        </is>
      </c>
      <c r="FD7560" s="26" t="inlineStr">
        <is>
          <t>RC-C1538</t>
        </is>
      </c>
      <c r="FL7560" s="27" t="inlineStr">
        <is>
          <t>C</t>
        </is>
      </c>
      <c r="FP7560" s="27" t="inlineStr">
        <is>
          <t>C</t>
        </is>
      </c>
    </row>
    <row r="7561">
      <c r="FC7561" t="inlineStr">
        <is>
          <t>Diccionario 7</t>
        </is>
      </c>
      <c r="FD7561" s="26" t="inlineStr">
        <is>
          <t>SR-C1539</t>
        </is>
      </c>
      <c r="FL7561" s="27" t="inlineStr">
        <is>
          <t>C</t>
        </is>
      </c>
      <c r="FP7561" s="27" t="inlineStr">
        <is>
          <t>C</t>
        </is>
      </c>
    </row>
    <row r="7562">
      <c r="FC7562" t="inlineStr">
        <is>
          <t>Diccionario 7</t>
        </is>
      </c>
      <c r="FD7562" s="26" t="inlineStr">
        <is>
          <t>SR-C1540</t>
        </is>
      </c>
      <c r="FL7562" s="27" t="inlineStr">
        <is>
          <t>C</t>
        </is>
      </c>
      <c r="FP7562" s="27" t="inlineStr">
        <is>
          <t>C</t>
        </is>
      </c>
    </row>
    <row r="7563">
      <c r="FC7563" t="inlineStr">
        <is>
          <t>Diccionario 7</t>
        </is>
      </c>
      <c r="FD7563" s="26" t="inlineStr">
        <is>
          <t>SR-C1541</t>
        </is>
      </c>
      <c r="FL7563" s="27" t="inlineStr">
        <is>
          <t>C</t>
        </is>
      </c>
      <c r="FP7563" s="27" t="inlineStr">
        <is>
          <t>C</t>
        </is>
      </c>
    </row>
    <row r="7564">
      <c r="FC7564" t="inlineStr">
        <is>
          <t>Diccionario 7</t>
        </is>
      </c>
      <c r="FD7564" s="26" t="inlineStr">
        <is>
          <t>SR-C1542</t>
        </is>
      </c>
      <c r="FL7564" s="27" t="inlineStr">
        <is>
          <t>C</t>
        </is>
      </c>
      <c r="FP7564" s="27" t="inlineStr">
        <is>
          <t>C</t>
        </is>
      </c>
    </row>
    <row r="7565">
      <c r="FC7565" t="inlineStr">
        <is>
          <t>Diccionario 7</t>
        </is>
      </c>
      <c r="FD7565" s="26" t="inlineStr">
        <is>
          <t>SR-C1543</t>
        </is>
      </c>
      <c r="FL7565" s="27" t="inlineStr">
        <is>
          <t>C</t>
        </is>
      </c>
      <c r="FP7565" s="27" t="inlineStr">
        <is>
          <t>C</t>
        </is>
      </c>
    </row>
    <row r="7566">
      <c r="FC7566" t="inlineStr">
        <is>
          <t>Diccionario 7</t>
        </is>
      </c>
      <c r="FD7566" s="26" t="inlineStr">
        <is>
          <t>SR-C1544</t>
        </is>
      </c>
      <c r="FL7566" s="27" t="inlineStr">
        <is>
          <t>C</t>
        </is>
      </c>
      <c r="FP7566" s="27" t="inlineStr">
        <is>
          <t>C</t>
        </is>
      </c>
    </row>
    <row r="7567">
      <c r="FC7567" t="inlineStr">
        <is>
          <t>Diccionario 7</t>
        </is>
      </c>
      <c r="FD7567" s="26" t="inlineStr">
        <is>
          <t>SR-C1545</t>
        </is>
      </c>
      <c r="FL7567" s="27" t="inlineStr">
        <is>
          <t>C</t>
        </is>
      </c>
      <c r="FP7567" s="27" t="inlineStr">
        <is>
          <t>C</t>
        </is>
      </c>
    </row>
    <row r="7568">
      <c r="FC7568" t="inlineStr">
        <is>
          <t>Diccionario 7</t>
        </is>
      </c>
      <c r="FD7568" s="26" t="inlineStr">
        <is>
          <t>SR-C1546</t>
        </is>
      </c>
      <c r="FL7568" s="27" t="inlineStr">
        <is>
          <t>C</t>
        </is>
      </c>
      <c r="FP7568" s="27" t="inlineStr">
        <is>
          <t>C</t>
        </is>
      </c>
    </row>
    <row r="7569">
      <c r="FC7569" t="inlineStr">
        <is>
          <t>Diccionario 7</t>
        </is>
      </c>
      <c r="FD7569" s="26" t="inlineStr">
        <is>
          <t>SR-C1547</t>
        </is>
      </c>
      <c r="FL7569" s="27" t="inlineStr">
        <is>
          <t>C</t>
        </is>
      </c>
      <c r="FP7569" s="27" t="inlineStr">
        <is>
          <t>C</t>
        </is>
      </c>
    </row>
    <row r="7570">
      <c r="FC7570" t="inlineStr">
        <is>
          <t>Diccionario 7</t>
        </is>
      </c>
      <c r="FD7570" s="26" t="inlineStr">
        <is>
          <t>SR-C1548</t>
        </is>
      </c>
      <c r="FL7570" s="27" t="inlineStr">
        <is>
          <t>C</t>
        </is>
      </c>
      <c r="FP7570" s="27" t="inlineStr">
        <is>
          <t>C</t>
        </is>
      </c>
    </row>
    <row r="7571">
      <c r="FC7571" t="inlineStr">
        <is>
          <t>Diccionario 7</t>
        </is>
      </c>
      <c r="FD7571" s="26" t="inlineStr">
        <is>
          <t>SR-C1549</t>
        </is>
      </c>
      <c r="FL7571" s="27" t="inlineStr">
        <is>
          <t>C</t>
        </is>
      </c>
      <c r="FP7571" s="27" t="inlineStr">
        <is>
          <t>C</t>
        </is>
      </c>
    </row>
    <row r="7572">
      <c r="FC7572" t="inlineStr">
        <is>
          <t>Diccionario 7</t>
        </is>
      </c>
      <c r="FD7572" s="26" t="inlineStr">
        <is>
          <t>SR-C1550</t>
        </is>
      </c>
      <c r="FL7572" s="27" t="inlineStr">
        <is>
          <t>C</t>
        </is>
      </c>
      <c r="FP7572" s="27" t="inlineStr">
        <is>
          <t>C</t>
        </is>
      </c>
    </row>
    <row r="7573">
      <c r="FC7573" t="inlineStr">
        <is>
          <t>Diccionario 7</t>
        </is>
      </c>
      <c r="FD7573" s="26" t="inlineStr">
        <is>
          <t>SR-C1551</t>
        </is>
      </c>
      <c r="FL7573" s="27" t="inlineStr">
        <is>
          <t>C</t>
        </is>
      </c>
      <c r="FP7573" s="27" t="inlineStr">
        <is>
          <t>C</t>
        </is>
      </c>
    </row>
    <row r="7574">
      <c r="FC7574" t="inlineStr">
        <is>
          <t>Diccionario 7</t>
        </is>
      </c>
      <c r="FD7574" s="26" t="inlineStr">
        <is>
          <t>SR-C1552</t>
        </is>
      </c>
      <c r="FL7574" s="27" t="inlineStr">
        <is>
          <t>C</t>
        </is>
      </c>
      <c r="FP7574" s="27" t="inlineStr">
        <is>
          <t>C</t>
        </is>
      </c>
    </row>
    <row r="7575">
      <c r="FC7575" t="inlineStr">
        <is>
          <t>Diccionario 7</t>
        </is>
      </c>
      <c r="FD7575" s="26" t="inlineStr">
        <is>
          <t>SR-C1553</t>
        </is>
      </c>
      <c r="FL7575" s="27" t="inlineStr">
        <is>
          <t>C</t>
        </is>
      </c>
      <c r="FP7575" s="27" t="inlineStr">
        <is>
          <t>C</t>
        </is>
      </c>
    </row>
    <row r="7576">
      <c r="FC7576" t="inlineStr">
        <is>
          <t>Diccionario 7</t>
        </is>
      </c>
      <c r="FD7576" s="26" t="inlineStr">
        <is>
          <t>SR-C1554</t>
        </is>
      </c>
      <c r="FL7576" s="27" t="inlineStr">
        <is>
          <t>C</t>
        </is>
      </c>
      <c r="FP7576" s="27" t="inlineStr">
        <is>
          <t>C</t>
        </is>
      </c>
    </row>
    <row r="7577">
      <c r="FC7577" t="inlineStr">
        <is>
          <t>Diccionario 7</t>
        </is>
      </c>
      <c r="FD7577" s="26" t="inlineStr">
        <is>
          <t>SR-C1555</t>
        </is>
      </c>
      <c r="FL7577" s="27" t="inlineStr">
        <is>
          <t>C</t>
        </is>
      </c>
      <c r="FP7577" s="27" t="inlineStr">
        <is>
          <t>C</t>
        </is>
      </c>
    </row>
    <row r="7578">
      <c r="FC7578" t="inlineStr">
        <is>
          <t>Diccionario 7</t>
        </is>
      </c>
      <c r="FD7578" s="26" t="inlineStr">
        <is>
          <t>SR-C1556</t>
        </is>
      </c>
      <c r="FL7578" s="27" t="inlineStr">
        <is>
          <t>C</t>
        </is>
      </c>
      <c r="FP7578" s="27" t="inlineStr">
        <is>
          <t>C</t>
        </is>
      </c>
    </row>
    <row r="7579">
      <c r="FC7579" t="inlineStr">
        <is>
          <t>Diccionario 7</t>
        </is>
      </c>
      <c r="FD7579" s="26" t="inlineStr">
        <is>
          <t>SR-C1557</t>
        </is>
      </c>
      <c r="FL7579" s="27" t="inlineStr">
        <is>
          <t>C</t>
        </is>
      </c>
      <c r="FP7579" s="27" t="inlineStr">
        <is>
          <t>C</t>
        </is>
      </c>
    </row>
    <row r="7580">
      <c r="FC7580" t="inlineStr">
        <is>
          <t>Diccionario 7</t>
        </is>
      </c>
      <c r="FD7580" s="26" t="inlineStr">
        <is>
          <t>SR-C1558</t>
        </is>
      </c>
      <c r="FL7580" s="27" t="inlineStr">
        <is>
          <t>C</t>
        </is>
      </c>
      <c r="FP7580" s="27" t="inlineStr">
        <is>
          <t>C</t>
        </is>
      </c>
    </row>
    <row r="7581">
      <c r="FC7581" t="inlineStr">
        <is>
          <t>Diccionario 7</t>
        </is>
      </c>
      <c r="FD7581" s="26" t="inlineStr">
        <is>
          <t>SR-C1559</t>
        </is>
      </c>
      <c r="FL7581" s="27" t="inlineStr">
        <is>
          <t>C</t>
        </is>
      </c>
      <c r="FP7581" s="27" t="inlineStr">
        <is>
          <t>C</t>
        </is>
      </c>
    </row>
    <row r="7582">
      <c r="FC7582" t="inlineStr">
        <is>
          <t>Diccionario 7</t>
        </is>
      </c>
      <c r="FD7582" s="26" t="inlineStr">
        <is>
          <t>SR-C1560</t>
        </is>
      </c>
      <c r="FL7582" s="27" t="inlineStr">
        <is>
          <t>C</t>
        </is>
      </c>
      <c r="FP7582" s="27" t="inlineStr">
        <is>
          <t>C</t>
        </is>
      </c>
    </row>
    <row r="7583">
      <c r="FC7583" t="inlineStr">
        <is>
          <t>Diccionario 7</t>
        </is>
      </c>
      <c r="FD7583" s="26" t="inlineStr">
        <is>
          <t>SR-C1561</t>
        </is>
      </c>
      <c r="FL7583" s="27" t="inlineStr">
        <is>
          <t>C</t>
        </is>
      </c>
      <c r="FP7583" s="27" t="inlineStr">
        <is>
          <t>C</t>
        </is>
      </c>
    </row>
    <row r="7584">
      <c r="FC7584" t="inlineStr">
        <is>
          <t>Diccionario 7</t>
        </is>
      </c>
      <c r="FD7584" s="26" t="inlineStr">
        <is>
          <t>SR-C1562</t>
        </is>
      </c>
      <c r="FL7584" s="27" t="inlineStr">
        <is>
          <t>C</t>
        </is>
      </c>
      <c r="FP7584" s="27" t="inlineStr">
        <is>
          <t>C</t>
        </is>
      </c>
    </row>
    <row r="7585">
      <c r="FC7585" t="inlineStr">
        <is>
          <t>Diccionario 7</t>
        </is>
      </c>
      <c r="FD7585" s="26" t="inlineStr">
        <is>
          <t>RC-C1563</t>
        </is>
      </c>
      <c r="FL7585" s="27" t="inlineStr">
        <is>
          <t>C</t>
        </is>
      </c>
      <c r="FP7585" s="27" t="inlineStr">
        <is>
          <t>C</t>
        </is>
      </c>
    </row>
    <row r="7586">
      <c r="FC7586" t="inlineStr">
        <is>
          <t>Diccionario 7</t>
        </is>
      </c>
      <c r="FD7586" s="26" t="inlineStr">
        <is>
          <t>SR-C1564</t>
        </is>
      </c>
      <c r="FL7586" s="27" t="inlineStr">
        <is>
          <t>C</t>
        </is>
      </c>
      <c r="FP7586" s="27" t="inlineStr">
        <is>
          <t>C</t>
        </is>
      </c>
    </row>
    <row r="7587">
      <c r="FC7587" t="inlineStr">
        <is>
          <t>Diccionario 7</t>
        </is>
      </c>
      <c r="FD7587" s="26" t="inlineStr">
        <is>
          <t>SR-C1565</t>
        </is>
      </c>
      <c r="FL7587" s="27" t="inlineStr">
        <is>
          <t>C</t>
        </is>
      </c>
      <c r="FP7587" s="27" t="inlineStr">
        <is>
          <t>C</t>
        </is>
      </c>
    </row>
    <row r="7588">
      <c r="FC7588" t="inlineStr">
        <is>
          <t>Diccionario 7</t>
        </is>
      </c>
      <c r="FD7588" s="26" t="inlineStr">
        <is>
          <t>SR-C1566</t>
        </is>
      </c>
      <c r="FL7588" s="27" t="inlineStr">
        <is>
          <t>C</t>
        </is>
      </c>
      <c r="FP7588" s="27" t="inlineStr">
        <is>
          <t>C</t>
        </is>
      </c>
    </row>
    <row r="7589">
      <c r="FC7589" t="inlineStr">
        <is>
          <t>Diccionario 7</t>
        </is>
      </c>
      <c r="FD7589" s="26" t="inlineStr">
        <is>
          <t>SR-C1567</t>
        </is>
      </c>
      <c r="FL7589" s="27" t="inlineStr">
        <is>
          <t>C</t>
        </is>
      </c>
      <c r="FP7589" s="27" t="inlineStr">
        <is>
          <t>C</t>
        </is>
      </c>
    </row>
    <row r="7590">
      <c r="FC7590" t="inlineStr">
        <is>
          <t>Diccionario 7</t>
        </is>
      </c>
      <c r="FD7590" s="26" t="inlineStr">
        <is>
          <t>SR-C1568</t>
        </is>
      </c>
      <c r="FL7590" s="27" t="inlineStr">
        <is>
          <t>C</t>
        </is>
      </c>
      <c r="FP7590" s="27" t="inlineStr">
        <is>
          <t>C</t>
        </is>
      </c>
    </row>
    <row r="7591">
      <c r="FC7591" t="inlineStr">
        <is>
          <t>Diccionario 7</t>
        </is>
      </c>
      <c r="FD7591" s="26" t="inlineStr">
        <is>
          <t>RC-C1569</t>
        </is>
      </c>
      <c r="FL7591" s="27" t="inlineStr">
        <is>
          <t>C</t>
        </is>
      </c>
      <c r="FP7591" s="27" t="inlineStr">
        <is>
          <t>C</t>
        </is>
      </c>
    </row>
    <row r="7592">
      <c r="FC7592" t="inlineStr">
        <is>
          <t>Diccionario 7</t>
        </is>
      </c>
      <c r="FD7592" s="26" t="inlineStr">
        <is>
          <t>SR-C1570</t>
        </is>
      </c>
      <c r="FL7592" s="27" t="inlineStr">
        <is>
          <t>C</t>
        </is>
      </c>
      <c r="FP7592" s="27" t="inlineStr">
        <is>
          <t>C</t>
        </is>
      </c>
    </row>
    <row r="7593">
      <c r="FC7593" t="inlineStr">
        <is>
          <t>Diccionario 7</t>
        </is>
      </c>
      <c r="FD7593" s="26" t="inlineStr">
        <is>
          <t>SR-C1571</t>
        </is>
      </c>
      <c r="FL7593" s="27" t="inlineStr">
        <is>
          <t>C</t>
        </is>
      </c>
      <c r="FP7593" s="27" t="inlineStr">
        <is>
          <t>C</t>
        </is>
      </c>
    </row>
    <row r="7594">
      <c r="FC7594" t="inlineStr">
        <is>
          <t>Diccionario 7</t>
        </is>
      </c>
      <c r="FD7594" s="26" t="inlineStr">
        <is>
          <t>SR-C1572</t>
        </is>
      </c>
      <c r="FL7594" s="27" t="inlineStr">
        <is>
          <t>C</t>
        </is>
      </c>
      <c r="FP7594" s="27" t="inlineStr">
        <is>
          <t>C</t>
        </is>
      </c>
    </row>
    <row r="7595">
      <c r="FC7595" t="inlineStr">
        <is>
          <t>Diccionario 7</t>
        </is>
      </c>
      <c r="FD7595" s="26" t="inlineStr">
        <is>
          <t>SR-C1573</t>
        </is>
      </c>
      <c r="FL7595" s="27" t="inlineStr">
        <is>
          <t>C</t>
        </is>
      </c>
      <c r="FP7595" s="27" t="inlineStr">
        <is>
          <t>C</t>
        </is>
      </c>
    </row>
    <row r="7596">
      <c r="FC7596" t="inlineStr">
        <is>
          <t>Diccionario 7</t>
        </is>
      </c>
      <c r="FD7596" s="26" t="inlineStr">
        <is>
          <t>SR-C1574</t>
        </is>
      </c>
      <c r="FL7596" s="27" t="inlineStr">
        <is>
          <t>C</t>
        </is>
      </c>
      <c r="FP7596" s="27" t="inlineStr">
        <is>
          <t>C</t>
        </is>
      </c>
    </row>
    <row r="7597">
      <c r="FC7597" t="inlineStr">
        <is>
          <t>Diccionario 7</t>
        </is>
      </c>
      <c r="FD7597" s="26" t="inlineStr">
        <is>
          <t>SR-C1575</t>
        </is>
      </c>
      <c r="FL7597" s="27" t="inlineStr">
        <is>
          <t>C</t>
        </is>
      </c>
      <c r="FP7597" s="27" t="inlineStr">
        <is>
          <t>C</t>
        </is>
      </c>
    </row>
    <row r="7598">
      <c r="FC7598" t="inlineStr">
        <is>
          <t>Diccionario 7</t>
        </is>
      </c>
      <c r="FD7598" s="26" t="inlineStr">
        <is>
          <t>SR-C1576</t>
        </is>
      </c>
      <c r="FL7598" s="27" t="inlineStr">
        <is>
          <t>C</t>
        </is>
      </c>
      <c r="FP7598" s="27" t="inlineStr">
        <is>
          <t>C</t>
        </is>
      </c>
    </row>
    <row r="7599">
      <c r="FC7599" t="inlineStr">
        <is>
          <t>Diccionario 7</t>
        </is>
      </c>
      <c r="FD7599" s="26" t="inlineStr">
        <is>
          <t>SR-C1577</t>
        </is>
      </c>
      <c r="FL7599" s="27" t="inlineStr">
        <is>
          <t>C</t>
        </is>
      </c>
      <c r="FP7599" s="27" t="inlineStr">
        <is>
          <t>C</t>
        </is>
      </c>
    </row>
    <row r="7600">
      <c r="FC7600" t="inlineStr">
        <is>
          <t>Diccionario 7</t>
        </is>
      </c>
      <c r="FD7600" s="26" t="inlineStr">
        <is>
          <t>RC-C1578</t>
        </is>
      </c>
      <c r="FL7600" s="27" t="inlineStr">
        <is>
          <t>C</t>
        </is>
      </c>
      <c r="FP7600" s="27" t="inlineStr">
        <is>
          <t>C</t>
        </is>
      </c>
    </row>
    <row r="7601">
      <c r="FC7601" t="inlineStr">
        <is>
          <t>Diccionario 7</t>
        </is>
      </c>
      <c r="FD7601" s="26" t="inlineStr">
        <is>
          <t>SR-C1579</t>
        </is>
      </c>
      <c r="FL7601" s="27" t="inlineStr">
        <is>
          <t>C</t>
        </is>
      </c>
      <c r="FP7601" s="27" t="inlineStr">
        <is>
          <t>C</t>
        </is>
      </c>
    </row>
    <row r="7602">
      <c r="FC7602" t="inlineStr">
        <is>
          <t>Diccionario 7</t>
        </is>
      </c>
      <c r="FD7602" s="26" t="inlineStr">
        <is>
          <t>SR-C1580</t>
        </is>
      </c>
      <c r="FL7602" s="27" t="inlineStr">
        <is>
          <t>C</t>
        </is>
      </c>
      <c r="FP7602" s="27" t="inlineStr">
        <is>
          <t>C</t>
        </is>
      </c>
    </row>
    <row r="7603">
      <c r="FC7603" t="inlineStr">
        <is>
          <t>Diccionario 7</t>
        </is>
      </c>
      <c r="FD7603" s="26" t="inlineStr">
        <is>
          <t>SR-C1581</t>
        </is>
      </c>
      <c r="FL7603" s="27" t="inlineStr">
        <is>
          <t>C</t>
        </is>
      </c>
      <c r="FP7603" s="27" t="inlineStr">
        <is>
          <t>C</t>
        </is>
      </c>
    </row>
    <row r="7604">
      <c r="FC7604" t="inlineStr">
        <is>
          <t>Diccionario 7</t>
        </is>
      </c>
      <c r="FD7604" s="26" t="inlineStr">
        <is>
          <t>SR-C1582</t>
        </is>
      </c>
      <c r="FL7604" s="27" t="inlineStr">
        <is>
          <t>C</t>
        </is>
      </c>
      <c r="FP7604" s="27" t="inlineStr">
        <is>
          <t>C</t>
        </is>
      </c>
    </row>
    <row r="7605">
      <c r="FC7605" t="inlineStr">
        <is>
          <t>Diccionario 7</t>
        </is>
      </c>
      <c r="FD7605" s="26" t="inlineStr">
        <is>
          <t>SR-C1583</t>
        </is>
      </c>
      <c r="FL7605" s="27" t="inlineStr">
        <is>
          <t>C</t>
        </is>
      </c>
      <c r="FP7605" s="27" t="inlineStr">
        <is>
          <t>C</t>
        </is>
      </c>
    </row>
    <row r="7606">
      <c r="FC7606" t="inlineStr">
        <is>
          <t>Diccionario 7</t>
        </is>
      </c>
      <c r="FD7606" s="26" t="inlineStr">
        <is>
          <t>SR-C1584</t>
        </is>
      </c>
      <c r="FL7606" s="27" t="inlineStr">
        <is>
          <t>C</t>
        </is>
      </c>
      <c r="FP7606" s="27" t="inlineStr">
        <is>
          <t>C</t>
        </is>
      </c>
    </row>
    <row r="7607">
      <c r="FC7607" t="inlineStr">
        <is>
          <t>Diccionario 7</t>
        </is>
      </c>
      <c r="FD7607" s="26" t="inlineStr">
        <is>
          <t>DC-B1585</t>
        </is>
      </c>
      <c r="FL7607" s="27" t="inlineStr">
        <is>
          <t>B</t>
        </is>
      </c>
      <c r="FP7607" s="27" t="inlineStr">
        <is>
          <t>B</t>
        </is>
      </c>
    </row>
    <row r="7608">
      <c r="FC7608" t="inlineStr">
        <is>
          <t>Diccionario 7</t>
        </is>
      </c>
      <c r="FD7608" s="26" t="inlineStr">
        <is>
          <t>DC-B1586</t>
        </is>
      </c>
      <c r="FL7608" s="27" t="inlineStr">
        <is>
          <t>B</t>
        </is>
      </c>
      <c r="FP7608" s="27" t="inlineStr">
        <is>
          <t>B</t>
        </is>
      </c>
    </row>
    <row r="7609">
      <c r="FC7609" t="inlineStr">
        <is>
          <t>Diccionario 7</t>
        </is>
      </c>
      <c r="FD7609" s="26" t="inlineStr">
        <is>
          <t>SR-B1587</t>
        </is>
      </c>
      <c r="FL7609" s="27" t="inlineStr">
        <is>
          <t>B</t>
        </is>
      </c>
      <c r="FP7609" s="27" t="inlineStr">
        <is>
          <t>B</t>
        </is>
      </c>
    </row>
    <row r="7610">
      <c r="FC7610" t="inlineStr">
        <is>
          <t>Diccionario 7</t>
        </is>
      </c>
      <c r="FD7610" s="26" t="inlineStr">
        <is>
          <t>SR-B1588</t>
        </is>
      </c>
      <c r="FL7610" s="27" t="inlineStr">
        <is>
          <t>B</t>
        </is>
      </c>
      <c r="FP7610" s="27" t="inlineStr">
        <is>
          <t>B</t>
        </is>
      </c>
    </row>
    <row r="7611">
      <c r="FC7611" t="inlineStr">
        <is>
          <t>Diccionario 7</t>
        </is>
      </c>
      <c r="FD7611" s="26" t="inlineStr">
        <is>
          <t>SR-B1589</t>
        </is>
      </c>
      <c r="FL7611" s="27" t="inlineStr">
        <is>
          <t>B</t>
        </is>
      </c>
      <c r="FP7611" s="27" t="inlineStr">
        <is>
          <t>B</t>
        </is>
      </c>
    </row>
    <row r="7612">
      <c r="FC7612" t="inlineStr">
        <is>
          <t>Diccionario 7</t>
        </is>
      </c>
      <c r="FD7612" s="26" t="inlineStr">
        <is>
          <t>SR-B1590</t>
        </is>
      </c>
      <c r="FL7612" s="27" t="inlineStr">
        <is>
          <t>B</t>
        </is>
      </c>
      <c r="FP7612" s="27" t="inlineStr">
        <is>
          <t>B</t>
        </is>
      </c>
    </row>
    <row r="7613">
      <c r="FC7613" t="inlineStr">
        <is>
          <t>Diccionario 7</t>
        </is>
      </c>
      <c r="FD7613" s="26" t="inlineStr">
        <is>
          <t>LB-B1591</t>
        </is>
      </c>
      <c r="FL7613" s="27" t="inlineStr">
        <is>
          <t>B</t>
        </is>
      </c>
      <c r="FP7613" s="27" t="inlineStr">
        <is>
          <t>B</t>
        </is>
      </c>
    </row>
    <row r="7614">
      <c r="FC7614" t="inlineStr">
        <is>
          <t>Diccionario 7</t>
        </is>
      </c>
      <c r="FD7614" s="26" t="inlineStr">
        <is>
          <t>SR-B1592</t>
        </is>
      </c>
      <c r="FL7614" s="27" t="inlineStr">
        <is>
          <t>B</t>
        </is>
      </c>
      <c r="FP7614" s="27" t="inlineStr">
        <is>
          <t>B</t>
        </is>
      </c>
    </row>
    <row r="7615">
      <c r="FC7615" t="inlineStr">
        <is>
          <t>Diccionario 7</t>
        </is>
      </c>
      <c r="FD7615" s="26" t="inlineStr">
        <is>
          <t>SR-B1593</t>
        </is>
      </c>
      <c r="FL7615" s="27" t="inlineStr">
        <is>
          <t>B</t>
        </is>
      </c>
      <c r="FP7615" s="27" t="inlineStr">
        <is>
          <t>B</t>
        </is>
      </c>
    </row>
    <row r="7616">
      <c r="FC7616" t="inlineStr">
        <is>
          <t>Diccionario 7</t>
        </is>
      </c>
      <c r="FD7616" s="26" t="inlineStr">
        <is>
          <t>SR-B1594</t>
        </is>
      </c>
      <c r="FL7616" s="27" t="inlineStr">
        <is>
          <t>B</t>
        </is>
      </c>
      <c r="FP7616" s="27" t="inlineStr">
        <is>
          <t>B</t>
        </is>
      </c>
    </row>
    <row r="7617">
      <c r="FC7617" t="inlineStr">
        <is>
          <t>Diccionario 7</t>
        </is>
      </c>
      <c r="FD7617" s="26" t="inlineStr">
        <is>
          <t>SR-B1595</t>
        </is>
      </c>
      <c r="FL7617" s="27" t="inlineStr">
        <is>
          <t>B</t>
        </is>
      </c>
      <c r="FP7617" s="27" t="inlineStr">
        <is>
          <t>B</t>
        </is>
      </c>
    </row>
    <row r="7618">
      <c r="FC7618" t="inlineStr">
        <is>
          <t>Diccionario 7</t>
        </is>
      </c>
      <c r="FD7618" s="26" t="inlineStr">
        <is>
          <t>SR-B1596</t>
        </is>
      </c>
      <c r="FL7618" s="27" t="inlineStr">
        <is>
          <t>B</t>
        </is>
      </c>
      <c r="FP7618" s="27" t="inlineStr">
        <is>
          <t>B</t>
        </is>
      </c>
    </row>
    <row r="7619">
      <c r="FC7619" t="inlineStr">
        <is>
          <t>Diccionario 7</t>
        </is>
      </c>
      <c r="FD7619" s="26" t="inlineStr">
        <is>
          <t>SR-B1597</t>
        </is>
      </c>
      <c r="FL7619" s="27" t="inlineStr">
        <is>
          <t>B</t>
        </is>
      </c>
      <c r="FP7619" s="27" t="inlineStr">
        <is>
          <t>B</t>
        </is>
      </c>
    </row>
    <row r="7620">
      <c r="FC7620" t="inlineStr">
        <is>
          <t>Diccionario 7</t>
        </is>
      </c>
      <c r="FD7620" s="26" t="inlineStr">
        <is>
          <t>SR-B1598</t>
        </is>
      </c>
      <c r="FL7620" s="27" t="inlineStr">
        <is>
          <t>B</t>
        </is>
      </c>
      <c r="FP7620" s="27" t="inlineStr">
        <is>
          <t>B</t>
        </is>
      </c>
    </row>
    <row r="7621">
      <c r="FC7621" t="inlineStr">
        <is>
          <t>Diccionario 7</t>
        </is>
      </c>
      <c r="FD7621" s="26" t="inlineStr">
        <is>
          <t>LB-B1599</t>
        </is>
      </c>
      <c r="FL7621" s="27" t="inlineStr">
        <is>
          <t>B</t>
        </is>
      </c>
      <c r="FP7621" s="27" t="inlineStr">
        <is>
          <t>B</t>
        </is>
      </c>
    </row>
    <row r="7622">
      <c r="FC7622" t="inlineStr">
        <is>
          <t>Diccionario 7</t>
        </is>
      </c>
      <c r="FD7622" s="26" t="inlineStr">
        <is>
          <t>RC-B1600</t>
        </is>
      </c>
      <c r="FL7622" s="27" t="inlineStr">
        <is>
          <t>B</t>
        </is>
      </c>
      <c r="FP7622" s="27" t="inlineStr">
        <is>
          <t>B</t>
        </is>
      </c>
    </row>
    <row r="7623">
      <c r="FC7623" t="inlineStr">
        <is>
          <t>Diccionario 7</t>
        </is>
      </c>
      <c r="FD7623" s="26" t="inlineStr">
        <is>
          <t>SR-B1601</t>
        </is>
      </c>
      <c r="FL7623" s="27" t="inlineStr">
        <is>
          <t>B</t>
        </is>
      </c>
      <c r="FP7623" s="27" t="inlineStr">
        <is>
          <t>B</t>
        </is>
      </c>
    </row>
    <row r="7624">
      <c r="FC7624" t="inlineStr">
        <is>
          <t>Diccionario 7</t>
        </is>
      </c>
      <c r="FD7624" s="26" t="inlineStr">
        <is>
          <t>RC-B1602</t>
        </is>
      </c>
      <c r="FL7624" s="27" t="inlineStr">
        <is>
          <t>B</t>
        </is>
      </c>
      <c r="FP7624" s="27" t="inlineStr">
        <is>
          <t>B</t>
        </is>
      </c>
    </row>
    <row r="7625">
      <c r="FC7625" t="inlineStr">
        <is>
          <t>Diccionario 7</t>
        </is>
      </c>
      <c r="FD7625" s="26" t="inlineStr">
        <is>
          <t>SR-B1603</t>
        </is>
      </c>
      <c r="FL7625" s="27" t="inlineStr">
        <is>
          <t>B</t>
        </is>
      </c>
      <c r="FP7625" s="27" t="inlineStr">
        <is>
          <t>B</t>
        </is>
      </c>
    </row>
    <row r="7626">
      <c r="FC7626" t="inlineStr">
        <is>
          <t>Diccionario 7</t>
        </is>
      </c>
      <c r="FD7626" s="26" t="inlineStr">
        <is>
          <t>RC-B1604</t>
        </is>
      </c>
      <c r="FL7626" s="27" t="inlineStr">
        <is>
          <t>B</t>
        </is>
      </c>
      <c r="FP7626" s="27" t="inlineStr">
        <is>
          <t>B</t>
        </is>
      </c>
    </row>
    <row r="7627">
      <c r="FC7627" t="inlineStr">
        <is>
          <t>Diccionario 7</t>
        </is>
      </c>
      <c r="FD7627" s="26" t="inlineStr">
        <is>
          <t>SR-B1605</t>
        </is>
      </c>
      <c r="FL7627" s="27" t="inlineStr">
        <is>
          <t>B</t>
        </is>
      </c>
      <c r="FP7627" s="27" t="inlineStr">
        <is>
          <t>B</t>
        </is>
      </c>
    </row>
    <row r="7628">
      <c r="FC7628" t="inlineStr">
        <is>
          <t>Diccionario 7</t>
        </is>
      </c>
      <c r="FD7628" s="26" t="inlineStr">
        <is>
          <t>SR-B1606</t>
        </is>
      </c>
      <c r="FL7628" s="27" t="inlineStr">
        <is>
          <t>B</t>
        </is>
      </c>
      <c r="FP7628" s="27" t="inlineStr">
        <is>
          <t>B</t>
        </is>
      </c>
    </row>
    <row r="7629">
      <c r="FC7629" t="inlineStr">
        <is>
          <t>Diccionario 7</t>
        </is>
      </c>
      <c r="FD7629" s="26" t="inlineStr">
        <is>
          <t>SR-B1607</t>
        </is>
      </c>
      <c r="FL7629" s="27" t="inlineStr">
        <is>
          <t>B</t>
        </is>
      </c>
      <c r="FP7629" s="27" t="inlineStr">
        <is>
          <t>B</t>
        </is>
      </c>
    </row>
    <row r="7630">
      <c r="FC7630" t="inlineStr">
        <is>
          <t>Diccionario 7</t>
        </is>
      </c>
      <c r="FD7630" s="26" t="inlineStr">
        <is>
          <t>SR-B1608</t>
        </is>
      </c>
      <c r="FL7630" s="27" t="inlineStr">
        <is>
          <t>B</t>
        </is>
      </c>
      <c r="FP7630" s="27" t="inlineStr">
        <is>
          <t>B</t>
        </is>
      </c>
    </row>
    <row r="7631">
      <c r="FC7631" t="inlineStr">
        <is>
          <t>Diccionario 7</t>
        </is>
      </c>
      <c r="FD7631" s="26" t="inlineStr">
        <is>
          <t>RC-B1609</t>
        </is>
      </c>
      <c r="FL7631" s="27" t="inlineStr">
        <is>
          <t>B</t>
        </is>
      </c>
      <c r="FP7631" s="27" t="inlineStr">
        <is>
          <t>B</t>
        </is>
      </c>
    </row>
    <row r="7632">
      <c r="FC7632" t="inlineStr">
        <is>
          <t>Diccionario 7</t>
        </is>
      </c>
      <c r="FD7632" s="26" t="inlineStr">
        <is>
          <t>SR-B1610</t>
        </is>
      </c>
      <c r="FL7632" s="27" t="inlineStr">
        <is>
          <t>B</t>
        </is>
      </c>
      <c r="FP7632" s="27" t="inlineStr">
        <is>
          <t>B</t>
        </is>
      </c>
    </row>
    <row r="7633">
      <c r="FC7633" t="inlineStr">
        <is>
          <t>Diccionario 7</t>
        </is>
      </c>
      <c r="FD7633" s="26" t="inlineStr">
        <is>
          <t>RC-B1611</t>
        </is>
      </c>
      <c r="FL7633" s="27" t="inlineStr">
        <is>
          <t>B</t>
        </is>
      </c>
      <c r="FP7633" s="27" t="inlineStr">
        <is>
          <t>B</t>
        </is>
      </c>
    </row>
    <row r="7634">
      <c r="FC7634" t="inlineStr">
        <is>
          <t>Diccionario 7</t>
        </is>
      </c>
      <c r="FD7634" s="26" t="inlineStr">
        <is>
          <t>SR-B1612</t>
        </is>
      </c>
      <c r="FL7634" s="27" t="inlineStr">
        <is>
          <t>B</t>
        </is>
      </c>
      <c r="FP7634" s="27" t="inlineStr">
        <is>
          <t>B</t>
        </is>
      </c>
    </row>
    <row r="7635">
      <c r="FC7635" t="inlineStr">
        <is>
          <t>Diccionario 7</t>
        </is>
      </c>
      <c r="FD7635" s="26" t="inlineStr">
        <is>
          <t>SR-B1613</t>
        </is>
      </c>
      <c r="FL7635" s="27" t="inlineStr">
        <is>
          <t>B</t>
        </is>
      </c>
      <c r="FP7635" s="27" t="inlineStr">
        <is>
          <t>B</t>
        </is>
      </c>
    </row>
    <row r="7636">
      <c r="FC7636" t="inlineStr">
        <is>
          <t>Diccionario 7</t>
        </is>
      </c>
      <c r="FD7636" s="26" t="inlineStr">
        <is>
          <t>SR-B1614</t>
        </is>
      </c>
      <c r="FL7636" s="27" t="inlineStr">
        <is>
          <t>B</t>
        </is>
      </c>
      <c r="FP7636" s="27" t="inlineStr">
        <is>
          <t>B</t>
        </is>
      </c>
    </row>
    <row r="7637">
      <c r="FC7637" t="inlineStr">
        <is>
          <t>Diccionario 7</t>
        </is>
      </c>
      <c r="FD7637" s="26" t="inlineStr">
        <is>
          <t>SR-B1615</t>
        </is>
      </c>
      <c r="FL7637" s="27" t="inlineStr">
        <is>
          <t>B</t>
        </is>
      </c>
      <c r="FP7637" s="27" t="inlineStr">
        <is>
          <t>B</t>
        </is>
      </c>
    </row>
    <row r="7638">
      <c r="FC7638" t="inlineStr">
        <is>
          <t>Diccionario 7</t>
        </is>
      </c>
      <c r="FD7638" s="26" t="inlineStr">
        <is>
          <t>RC-B1616</t>
        </is>
      </c>
      <c r="FL7638" s="27" t="inlineStr">
        <is>
          <t>B</t>
        </is>
      </c>
      <c r="FP7638" s="27" t="inlineStr">
        <is>
          <t>B</t>
        </is>
      </c>
    </row>
    <row r="7639">
      <c r="FC7639" t="inlineStr">
        <is>
          <t>Diccionario 7</t>
        </is>
      </c>
      <c r="FD7639" s="26" t="inlineStr">
        <is>
          <t>SR-B1617</t>
        </is>
      </c>
      <c r="FL7639" s="27" t="inlineStr">
        <is>
          <t>B</t>
        </is>
      </c>
      <c r="FP7639" s="27" t="inlineStr">
        <is>
          <t>B</t>
        </is>
      </c>
    </row>
    <row r="7640">
      <c r="FC7640" t="inlineStr">
        <is>
          <t>Diccionario 7</t>
        </is>
      </c>
      <c r="FD7640" s="26" t="inlineStr">
        <is>
          <t>RC-B1618</t>
        </is>
      </c>
      <c r="FL7640" s="27" t="inlineStr">
        <is>
          <t>B</t>
        </is>
      </c>
      <c r="FP7640" s="27" t="inlineStr">
        <is>
          <t>B</t>
        </is>
      </c>
    </row>
    <row r="7641">
      <c r="FC7641" t="inlineStr">
        <is>
          <t>Diccionario 7</t>
        </is>
      </c>
      <c r="FD7641" s="26" t="inlineStr">
        <is>
          <t>SR-B1619</t>
        </is>
      </c>
      <c r="FL7641" s="27" t="inlineStr">
        <is>
          <t>B</t>
        </is>
      </c>
      <c r="FP7641" s="27" t="inlineStr">
        <is>
          <t>B</t>
        </is>
      </c>
    </row>
    <row r="7642">
      <c r="FC7642" t="inlineStr">
        <is>
          <t>Diccionario 7</t>
        </is>
      </c>
      <c r="FD7642" s="26" t="inlineStr">
        <is>
          <t>SR-B1620</t>
        </is>
      </c>
      <c r="FL7642" s="27" t="inlineStr">
        <is>
          <t>B</t>
        </is>
      </c>
      <c r="FP7642" s="27" t="inlineStr">
        <is>
          <t>B</t>
        </is>
      </c>
    </row>
    <row r="7643">
      <c r="FC7643" t="inlineStr">
        <is>
          <t>Diccionario 7</t>
        </is>
      </c>
      <c r="FD7643" s="26" t="inlineStr">
        <is>
          <t>RC-B1621</t>
        </is>
      </c>
      <c r="FL7643" s="27" t="inlineStr">
        <is>
          <t>B</t>
        </is>
      </c>
      <c r="FP7643" s="27" t="inlineStr">
        <is>
          <t>B</t>
        </is>
      </c>
    </row>
    <row r="7644">
      <c r="FC7644" t="inlineStr">
        <is>
          <t>Diccionario 7</t>
        </is>
      </c>
      <c r="FD7644" s="26" t="inlineStr">
        <is>
          <t>SR-B1622</t>
        </is>
      </c>
      <c r="FL7644" s="27" t="inlineStr">
        <is>
          <t>B</t>
        </is>
      </c>
      <c r="FP7644" s="27" t="inlineStr">
        <is>
          <t>B</t>
        </is>
      </c>
    </row>
    <row r="7645">
      <c r="FC7645" t="inlineStr">
        <is>
          <t>Diccionario 7</t>
        </is>
      </c>
      <c r="FD7645" s="26" t="inlineStr">
        <is>
          <t>SR-B1623</t>
        </is>
      </c>
      <c r="FL7645" s="27" t="inlineStr">
        <is>
          <t>B</t>
        </is>
      </c>
      <c r="FP7645" s="27" t="inlineStr">
        <is>
          <t>B</t>
        </is>
      </c>
    </row>
    <row r="7646">
      <c r="FC7646" t="inlineStr">
        <is>
          <t>Diccionario 7</t>
        </is>
      </c>
      <c r="FD7646" s="26" t="inlineStr">
        <is>
          <t>SR-B1624</t>
        </is>
      </c>
      <c r="FL7646" s="27" t="inlineStr">
        <is>
          <t>B</t>
        </is>
      </c>
      <c r="FP7646" s="27" t="inlineStr">
        <is>
          <t>B</t>
        </is>
      </c>
    </row>
    <row r="7647">
      <c r="FC7647" t="inlineStr">
        <is>
          <t>Diccionario 7</t>
        </is>
      </c>
      <c r="FD7647" s="26" t="inlineStr">
        <is>
          <t>SR-B1625</t>
        </is>
      </c>
      <c r="FL7647" s="27" t="inlineStr">
        <is>
          <t>B</t>
        </is>
      </c>
      <c r="FP7647" s="27" t="inlineStr">
        <is>
          <t>B</t>
        </is>
      </c>
    </row>
    <row r="7648">
      <c r="FC7648" t="inlineStr">
        <is>
          <t>Diccionario 7</t>
        </is>
      </c>
      <c r="FD7648" s="26" t="inlineStr">
        <is>
          <t>SR-B1626</t>
        </is>
      </c>
      <c r="FL7648" s="27" t="inlineStr">
        <is>
          <t>B</t>
        </is>
      </c>
      <c r="FP7648" s="27" t="inlineStr">
        <is>
          <t>B</t>
        </is>
      </c>
    </row>
    <row r="7649">
      <c r="FC7649" t="inlineStr">
        <is>
          <t>Diccionario 7</t>
        </is>
      </c>
      <c r="FD7649" s="26" t="inlineStr">
        <is>
          <t>SR-B1627</t>
        </is>
      </c>
      <c r="FL7649" s="27" t="inlineStr">
        <is>
          <t>B</t>
        </is>
      </c>
      <c r="FP7649" s="27" t="inlineStr">
        <is>
          <t>B</t>
        </is>
      </c>
    </row>
    <row r="7650">
      <c r="FC7650" t="inlineStr">
        <is>
          <t>Diccionario 7</t>
        </is>
      </c>
      <c r="FD7650" s="26" t="inlineStr">
        <is>
          <t>RC-B1628</t>
        </is>
      </c>
      <c r="FL7650" s="27" t="inlineStr">
        <is>
          <t>B</t>
        </is>
      </c>
      <c r="FP7650" s="27" t="inlineStr">
        <is>
          <t>B</t>
        </is>
      </c>
    </row>
    <row r="7651">
      <c r="FC7651" t="inlineStr">
        <is>
          <t>Diccionario 7</t>
        </is>
      </c>
      <c r="FD7651" s="26" t="inlineStr">
        <is>
          <t>SR-B1629</t>
        </is>
      </c>
      <c r="FL7651" s="27" t="inlineStr">
        <is>
          <t>B</t>
        </is>
      </c>
      <c r="FP7651" s="27" t="inlineStr">
        <is>
          <t>B</t>
        </is>
      </c>
    </row>
    <row r="7652">
      <c r="FC7652" t="inlineStr">
        <is>
          <t>Diccionario 7</t>
        </is>
      </c>
      <c r="FD7652" s="26" t="inlineStr">
        <is>
          <t>SR-B1630</t>
        </is>
      </c>
      <c r="FL7652" s="27" t="inlineStr">
        <is>
          <t>B</t>
        </is>
      </c>
      <c r="FP7652" s="27" t="inlineStr">
        <is>
          <t>B</t>
        </is>
      </c>
    </row>
    <row r="7653">
      <c r="FC7653" t="inlineStr">
        <is>
          <t>Diccionario 7</t>
        </is>
      </c>
      <c r="FD7653" s="26" t="inlineStr">
        <is>
          <t>RC-B1631</t>
        </is>
      </c>
      <c r="FL7653" s="27" t="inlineStr">
        <is>
          <t>B</t>
        </is>
      </c>
      <c r="FP7653" s="27" t="inlineStr">
        <is>
          <t>B</t>
        </is>
      </c>
    </row>
    <row r="7654">
      <c r="FC7654" t="inlineStr">
        <is>
          <t>Diccionario 7</t>
        </is>
      </c>
      <c r="FD7654" s="26" t="inlineStr">
        <is>
          <t>SR-B1632</t>
        </is>
      </c>
      <c r="FL7654" s="27" t="inlineStr">
        <is>
          <t>B</t>
        </is>
      </c>
      <c r="FP7654" s="27" t="inlineStr">
        <is>
          <t>B</t>
        </is>
      </c>
    </row>
    <row r="7655">
      <c r="FC7655" t="inlineStr">
        <is>
          <t>Diccionario 7</t>
        </is>
      </c>
      <c r="FD7655" s="26" t="inlineStr">
        <is>
          <t>SR-B1633</t>
        </is>
      </c>
      <c r="FL7655" s="27" t="inlineStr">
        <is>
          <t>B</t>
        </is>
      </c>
      <c r="FP7655" s="27" t="inlineStr">
        <is>
          <t>B</t>
        </is>
      </c>
    </row>
    <row r="7656">
      <c r="FC7656" t="inlineStr">
        <is>
          <t>Diccionario 7</t>
        </is>
      </c>
      <c r="FD7656" s="26" t="inlineStr">
        <is>
          <t>SR-B1634</t>
        </is>
      </c>
      <c r="FL7656" s="27" t="inlineStr">
        <is>
          <t>B</t>
        </is>
      </c>
      <c r="FP7656" s="27" t="inlineStr">
        <is>
          <t>B</t>
        </is>
      </c>
    </row>
    <row r="7657">
      <c r="FC7657" t="inlineStr">
        <is>
          <t>Diccionario 7</t>
        </is>
      </c>
      <c r="FD7657" s="26" t="inlineStr">
        <is>
          <t>SR-B1635</t>
        </is>
      </c>
      <c r="FL7657" s="27" t="inlineStr">
        <is>
          <t>B</t>
        </is>
      </c>
      <c r="FP7657" s="27" t="inlineStr">
        <is>
          <t>B</t>
        </is>
      </c>
    </row>
    <row r="7658">
      <c r="FC7658" t="inlineStr">
        <is>
          <t>Diccionario 7</t>
        </is>
      </c>
      <c r="FD7658" s="26" t="inlineStr">
        <is>
          <t>SR-B1636</t>
        </is>
      </c>
      <c r="FL7658" s="27" t="inlineStr">
        <is>
          <t>B</t>
        </is>
      </c>
      <c r="FP7658" s="27" t="inlineStr">
        <is>
          <t>B</t>
        </is>
      </c>
    </row>
    <row r="7659">
      <c r="FC7659" t="inlineStr">
        <is>
          <t>Diccionario 7</t>
        </is>
      </c>
      <c r="FD7659" s="26" t="inlineStr">
        <is>
          <t>SR-B1637</t>
        </is>
      </c>
      <c r="FL7659" s="27" t="inlineStr">
        <is>
          <t>B</t>
        </is>
      </c>
      <c r="FP7659" s="27" t="inlineStr">
        <is>
          <t>B</t>
        </is>
      </c>
    </row>
    <row r="7660">
      <c r="FC7660" t="inlineStr">
        <is>
          <t>Diccionario 7</t>
        </is>
      </c>
      <c r="FD7660" s="26" t="inlineStr">
        <is>
          <t>SR-B1638</t>
        </is>
      </c>
      <c r="FL7660" s="27" t="inlineStr">
        <is>
          <t>B</t>
        </is>
      </c>
      <c r="FP7660" s="27" t="inlineStr">
        <is>
          <t>B</t>
        </is>
      </c>
    </row>
    <row r="7661">
      <c r="FC7661" t="inlineStr">
        <is>
          <t>Diccionario 7</t>
        </is>
      </c>
      <c r="FD7661" s="26" t="inlineStr">
        <is>
          <t>RC-B1639</t>
        </is>
      </c>
      <c r="FL7661" s="27" t="inlineStr">
        <is>
          <t>B</t>
        </is>
      </c>
      <c r="FP7661" s="27" t="inlineStr">
        <is>
          <t>B</t>
        </is>
      </c>
    </row>
    <row r="7662">
      <c r="FC7662" t="inlineStr">
        <is>
          <t>Diccionario 7</t>
        </is>
      </c>
      <c r="FD7662" s="26" t="inlineStr">
        <is>
          <t>RC-B1640</t>
        </is>
      </c>
      <c r="FL7662" s="27" t="inlineStr">
        <is>
          <t>B</t>
        </is>
      </c>
      <c r="FP7662" s="27" t="inlineStr">
        <is>
          <t>B</t>
        </is>
      </c>
    </row>
    <row r="7663">
      <c r="FC7663" t="inlineStr">
        <is>
          <t>Diccionario 7</t>
        </is>
      </c>
      <c r="FD7663" s="26" t="inlineStr">
        <is>
          <t>SR-B1641</t>
        </is>
      </c>
      <c r="FL7663" s="27" t="inlineStr">
        <is>
          <t>B</t>
        </is>
      </c>
      <c r="FP7663" s="27" t="inlineStr">
        <is>
          <t>B</t>
        </is>
      </c>
    </row>
    <row r="7664">
      <c r="FC7664" t="inlineStr">
        <is>
          <t>Diccionario 7</t>
        </is>
      </c>
      <c r="FD7664" s="26" t="inlineStr">
        <is>
          <t>SR-B1642</t>
        </is>
      </c>
      <c r="FL7664" s="27" t="inlineStr">
        <is>
          <t>B</t>
        </is>
      </c>
      <c r="FP7664" s="27" t="inlineStr">
        <is>
          <t>B</t>
        </is>
      </c>
    </row>
    <row r="7665">
      <c r="FC7665" t="inlineStr">
        <is>
          <t>Diccionario 7</t>
        </is>
      </c>
      <c r="FD7665" s="26" t="inlineStr">
        <is>
          <t>SR-B1643</t>
        </is>
      </c>
      <c r="FL7665" s="27" t="inlineStr">
        <is>
          <t>B</t>
        </is>
      </c>
      <c r="FP7665" s="27" t="inlineStr">
        <is>
          <t>B</t>
        </is>
      </c>
    </row>
    <row r="7666">
      <c r="FC7666" t="inlineStr">
        <is>
          <t>Diccionario 7</t>
        </is>
      </c>
      <c r="FD7666" s="26" t="inlineStr">
        <is>
          <t>SR-B1644</t>
        </is>
      </c>
      <c r="FL7666" s="27" t="inlineStr">
        <is>
          <t>B</t>
        </is>
      </c>
      <c r="FP7666" s="27" t="inlineStr">
        <is>
          <t>B</t>
        </is>
      </c>
    </row>
    <row r="7667">
      <c r="FC7667" t="inlineStr">
        <is>
          <t>Diccionario 7</t>
        </is>
      </c>
      <c r="FD7667" s="26" t="inlineStr">
        <is>
          <t>SR-B1645</t>
        </is>
      </c>
      <c r="FL7667" s="27" t="inlineStr">
        <is>
          <t>B</t>
        </is>
      </c>
      <c r="FP7667" s="27" t="inlineStr">
        <is>
          <t>B</t>
        </is>
      </c>
    </row>
    <row r="7668">
      <c r="FC7668" t="inlineStr">
        <is>
          <t>Diccionario 7</t>
        </is>
      </c>
      <c r="FD7668" s="26" t="inlineStr">
        <is>
          <t>SR-B1646</t>
        </is>
      </c>
      <c r="FL7668" s="27" t="inlineStr">
        <is>
          <t>B</t>
        </is>
      </c>
      <c r="FP7668" s="27" t="inlineStr">
        <is>
          <t>B</t>
        </is>
      </c>
    </row>
    <row r="7669">
      <c r="FC7669" t="inlineStr">
        <is>
          <t>Diccionario 7</t>
        </is>
      </c>
      <c r="FD7669" s="26" t="inlineStr">
        <is>
          <t>RC-B1647</t>
        </is>
      </c>
      <c r="FL7669" s="27" t="inlineStr">
        <is>
          <t>B</t>
        </is>
      </c>
      <c r="FP7669" s="27" t="inlineStr">
        <is>
          <t>B</t>
        </is>
      </c>
    </row>
    <row r="7670">
      <c r="FC7670" t="inlineStr">
        <is>
          <t>Diccionario 7</t>
        </is>
      </c>
      <c r="FD7670" s="26" t="inlineStr">
        <is>
          <t>RC-B1648</t>
        </is>
      </c>
      <c r="FL7670" s="27" t="inlineStr">
        <is>
          <t>B</t>
        </is>
      </c>
      <c r="FP7670" s="27" t="inlineStr">
        <is>
          <t>B</t>
        </is>
      </c>
    </row>
    <row r="7671">
      <c r="FC7671" t="inlineStr">
        <is>
          <t>Diccionario 7</t>
        </is>
      </c>
      <c r="FD7671" s="26" t="inlineStr">
        <is>
          <t>RC-B1649</t>
        </is>
      </c>
      <c r="FL7671" s="27" t="inlineStr">
        <is>
          <t>B</t>
        </is>
      </c>
      <c r="FP7671" s="27" t="inlineStr">
        <is>
          <t>B</t>
        </is>
      </c>
    </row>
    <row r="7672">
      <c r="FC7672" t="inlineStr">
        <is>
          <t>Diccionario 7</t>
        </is>
      </c>
      <c r="FD7672" s="26" t="inlineStr">
        <is>
          <t>SR-B1650</t>
        </is>
      </c>
      <c r="FL7672" s="27" t="inlineStr">
        <is>
          <t>B</t>
        </is>
      </c>
      <c r="FP7672" s="27" t="inlineStr">
        <is>
          <t>B</t>
        </is>
      </c>
    </row>
    <row r="7673">
      <c r="FC7673" t="inlineStr">
        <is>
          <t>Diccionario 7</t>
        </is>
      </c>
      <c r="FD7673" s="26" t="inlineStr">
        <is>
          <t>RC-B1651</t>
        </is>
      </c>
      <c r="FL7673" s="27" t="inlineStr">
        <is>
          <t>B</t>
        </is>
      </c>
      <c r="FP7673" s="27" t="inlineStr">
        <is>
          <t>B</t>
        </is>
      </c>
    </row>
    <row r="7674">
      <c r="FC7674" t="inlineStr">
        <is>
          <t>Diccionario 7</t>
        </is>
      </c>
      <c r="FD7674" s="26" t="inlineStr">
        <is>
          <t>SR-B1652</t>
        </is>
      </c>
      <c r="FL7674" s="27" t="inlineStr">
        <is>
          <t>B</t>
        </is>
      </c>
      <c r="FP7674" s="27" t="inlineStr">
        <is>
          <t>B</t>
        </is>
      </c>
    </row>
    <row r="7675">
      <c r="FC7675" t="inlineStr">
        <is>
          <t>Diccionario 7</t>
        </is>
      </c>
      <c r="FD7675" s="26" t="inlineStr">
        <is>
          <t>SR-B1653</t>
        </is>
      </c>
      <c r="FL7675" s="27" t="inlineStr">
        <is>
          <t>B</t>
        </is>
      </c>
      <c r="FP7675" s="27" t="inlineStr">
        <is>
          <t>B</t>
        </is>
      </c>
    </row>
    <row r="7676">
      <c r="FC7676" t="inlineStr">
        <is>
          <t>Diccionario 7</t>
        </is>
      </c>
      <c r="FD7676" s="26" t="inlineStr">
        <is>
          <t>RC-B1654</t>
        </is>
      </c>
      <c r="FL7676" s="27" t="inlineStr">
        <is>
          <t>B</t>
        </is>
      </c>
      <c r="FP7676" s="27" t="inlineStr">
        <is>
          <t>B</t>
        </is>
      </c>
    </row>
    <row r="7677">
      <c r="FC7677" t="inlineStr">
        <is>
          <t>Diccionario 7</t>
        </is>
      </c>
      <c r="FD7677" s="26" t="inlineStr">
        <is>
          <t>SR-B1655</t>
        </is>
      </c>
      <c r="FL7677" s="27" t="inlineStr">
        <is>
          <t>B</t>
        </is>
      </c>
      <c r="FP7677" s="27" t="inlineStr">
        <is>
          <t>B</t>
        </is>
      </c>
    </row>
    <row r="7678">
      <c r="FC7678" t="inlineStr">
        <is>
          <t>Diccionario 7</t>
        </is>
      </c>
      <c r="FD7678" s="26" t="inlineStr">
        <is>
          <t>RC-B1656</t>
        </is>
      </c>
      <c r="FL7678" s="27" t="inlineStr">
        <is>
          <t>B</t>
        </is>
      </c>
      <c r="FP7678" s="27" t="inlineStr">
        <is>
          <t>B</t>
        </is>
      </c>
    </row>
    <row r="7679">
      <c r="FC7679" t="inlineStr">
        <is>
          <t>Diccionario 7</t>
        </is>
      </c>
      <c r="FD7679" s="26" t="inlineStr">
        <is>
          <t>SR-B1657</t>
        </is>
      </c>
      <c r="FL7679" s="27" t="inlineStr">
        <is>
          <t>B</t>
        </is>
      </c>
      <c r="FP7679" s="27" t="inlineStr">
        <is>
          <t>B</t>
        </is>
      </c>
    </row>
    <row r="7680">
      <c r="FC7680" t="inlineStr">
        <is>
          <t>Diccionario 7</t>
        </is>
      </c>
      <c r="FD7680" s="26" t="inlineStr">
        <is>
          <t>RC-B1658</t>
        </is>
      </c>
      <c r="FL7680" s="27" t="inlineStr">
        <is>
          <t>B</t>
        </is>
      </c>
      <c r="FP7680" s="27" t="inlineStr">
        <is>
          <t>B</t>
        </is>
      </c>
    </row>
    <row r="7681">
      <c r="FC7681" t="inlineStr">
        <is>
          <t>Diccionario 7</t>
        </is>
      </c>
      <c r="FD7681" s="26" t="inlineStr">
        <is>
          <t>SR-B1659</t>
        </is>
      </c>
      <c r="FL7681" s="27" t="inlineStr">
        <is>
          <t>B</t>
        </is>
      </c>
      <c r="FP7681" s="27" t="inlineStr">
        <is>
          <t>B</t>
        </is>
      </c>
    </row>
    <row r="7682">
      <c r="FC7682" t="inlineStr">
        <is>
          <t>Diccionario 7</t>
        </is>
      </c>
      <c r="FD7682" s="26" t="inlineStr">
        <is>
          <t>RC-B1660</t>
        </is>
      </c>
      <c r="FL7682" s="27" t="inlineStr">
        <is>
          <t>B</t>
        </is>
      </c>
      <c r="FP7682" s="27" t="inlineStr">
        <is>
          <t>B</t>
        </is>
      </c>
    </row>
    <row r="7683">
      <c r="FC7683" t="inlineStr">
        <is>
          <t>Diccionario 7</t>
        </is>
      </c>
      <c r="FD7683" s="26" t="inlineStr">
        <is>
          <t>RC-B1661</t>
        </is>
      </c>
      <c r="FL7683" s="27" t="inlineStr">
        <is>
          <t>B</t>
        </is>
      </c>
      <c r="FP7683" s="27" t="inlineStr">
        <is>
          <t>B</t>
        </is>
      </c>
    </row>
    <row r="7684">
      <c r="FC7684" t="inlineStr">
        <is>
          <t>Diccionario 7</t>
        </is>
      </c>
      <c r="FD7684" s="26" t="inlineStr">
        <is>
          <t>RC-B1662</t>
        </is>
      </c>
      <c r="FL7684" s="27" t="inlineStr">
        <is>
          <t>B</t>
        </is>
      </c>
      <c r="FP7684" s="27" t="inlineStr">
        <is>
          <t>B</t>
        </is>
      </c>
    </row>
    <row r="7685">
      <c r="FC7685" t="inlineStr">
        <is>
          <t>Diccionario 7</t>
        </is>
      </c>
      <c r="FD7685" s="26" t="inlineStr">
        <is>
          <t>RC-B1663</t>
        </is>
      </c>
      <c r="FL7685" s="27" t="inlineStr">
        <is>
          <t>B</t>
        </is>
      </c>
      <c r="FP7685" s="27" t="inlineStr">
        <is>
          <t>B</t>
        </is>
      </c>
    </row>
    <row r="7686">
      <c r="FC7686" t="inlineStr">
        <is>
          <t>Diccionario 7</t>
        </is>
      </c>
      <c r="FD7686" s="26" t="inlineStr">
        <is>
          <t>RC-B1664</t>
        </is>
      </c>
      <c r="FL7686" s="27" t="inlineStr">
        <is>
          <t>B</t>
        </is>
      </c>
      <c r="FP7686" s="27" t="inlineStr">
        <is>
          <t>B</t>
        </is>
      </c>
    </row>
    <row r="7687">
      <c r="FC7687" t="inlineStr">
        <is>
          <t>Diccionario 7</t>
        </is>
      </c>
      <c r="FD7687" s="26" t="inlineStr">
        <is>
          <t>RC-B1665</t>
        </is>
      </c>
      <c r="FL7687" s="27" t="inlineStr">
        <is>
          <t>B</t>
        </is>
      </c>
      <c r="FP7687" s="27" t="inlineStr">
        <is>
          <t>B</t>
        </is>
      </c>
    </row>
    <row r="7688">
      <c r="FC7688" t="inlineStr">
        <is>
          <t>Diccionario 7</t>
        </is>
      </c>
      <c r="FD7688" s="26" t="inlineStr">
        <is>
          <t>RC-B1666</t>
        </is>
      </c>
      <c r="FL7688" s="27" t="inlineStr">
        <is>
          <t>B</t>
        </is>
      </c>
      <c r="FP7688" s="27" t="inlineStr">
        <is>
          <t>B</t>
        </is>
      </c>
    </row>
    <row r="7689">
      <c r="FC7689" t="inlineStr">
        <is>
          <t>Diccionario 7</t>
        </is>
      </c>
      <c r="FD7689" s="26" t="inlineStr">
        <is>
          <t>RC-B1667</t>
        </is>
      </c>
      <c r="FL7689" s="27" t="inlineStr">
        <is>
          <t>B</t>
        </is>
      </c>
      <c r="FP7689" s="27" t="inlineStr">
        <is>
          <t>B</t>
        </is>
      </c>
    </row>
    <row r="7690">
      <c r="FC7690" t="inlineStr">
        <is>
          <t>Diccionario 7</t>
        </is>
      </c>
      <c r="FD7690" s="26" t="inlineStr">
        <is>
          <t>SR-B1668</t>
        </is>
      </c>
      <c r="FL7690" s="27" t="inlineStr">
        <is>
          <t>B</t>
        </is>
      </c>
      <c r="FP7690" s="27" t="inlineStr">
        <is>
          <t>B</t>
        </is>
      </c>
    </row>
    <row r="7691">
      <c r="FC7691" t="inlineStr">
        <is>
          <t>Diccionario 7</t>
        </is>
      </c>
      <c r="FD7691" s="26" t="inlineStr">
        <is>
          <t>RC-B1669</t>
        </is>
      </c>
      <c r="FL7691" s="27" t="inlineStr">
        <is>
          <t>B</t>
        </is>
      </c>
      <c r="FP7691" s="27" t="inlineStr">
        <is>
          <t>B</t>
        </is>
      </c>
    </row>
    <row r="7692">
      <c r="FC7692" t="inlineStr">
        <is>
          <t>Diccionario 7</t>
        </is>
      </c>
      <c r="FD7692" s="26" t="inlineStr">
        <is>
          <t>RC-B1670</t>
        </is>
      </c>
      <c r="FL7692" s="27" t="inlineStr">
        <is>
          <t>B</t>
        </is>
      </c>
      <c r="FP7692" s="27" t="inlineStr">
        <is>
          <t>B</t>
        </is>
      </c>
    </row>
    <row r="7693">
      <c r="FC7693" t="inlineStr">
        <is>
          <t>Diccionario 7</t>
        </is>
      </c>
      <c r="FD7693" s="26" t="inlineStr">
        <is>
          <t>RC-B1671</t>
        </is>
      </c>
      <c r="FL7693" s="27" t="inlineStr">
        <is>
          <t>B</t>
        </is>
      </c>
      <c r="FP7693" s="27" t="inlineStr">
        <is>
          <t>B</t>
        </is>
      </c>
    </row>
    <row r="7694">
      <c r="FC7694" t="inlineStr">
        <is>
          <t>Diccionario 7</t>
        </is>
      </c>
      <c r="FD7694" s="26" t="inlineStr">
        <is>
          <t>SR-B1672</t>
        </is>
      </c>
      <c r="FL7694" s="27" t="inlineStr">
        <is>
          <t>B</t>
        </is>
      </c>
      <c r="FP7694" s="27" t="inlineStr">
        <is>
          <t>B</t>
        </is>
      </c>
    </row>
    <row r="7695">
      <c r="FC7695" t="inlineStr">
        <is>
          <t>Diccionario 7</t>
        </is>
      </c>
      <c r="FD7695" s="26" t="inlineStr">
        <is>
          <t>RC-B1673</t>
        </is>
      </c>
      <c r="FL7695" s="27" t="inlineStr">
        <is>
          <t>B</t>
        </is>
      </c>
      <c r="FP7695" s="27" t="inlineStr">
        <is>
          <t>B</t>
        </is>
      </c>
    </row>
    <row r="7696">
      <c r="FC7696" t="inlineStr">
        <is>
          <t>Diccionario 7</t>
        </is>
      </c>
      <c r="FD7696" s="26" t="inlineStr">
        <is>
          <t>RC-B1674</t>
        </is>
      </c>
      <c r="FL7696" s="27" t="inlineStr">
        <is>
          <t>B</t>
        </is>
      </c>
      <c r="FP7696" s="27" t="inlineStr">
        <is>
          <t>B</t>
        </is>
      </c>
    </row>
    <row r="7697">
      <c r="FC7697" t="inlineStr">
        <is>
          <t>Diccionario 7</t>
        </is>
      </c>
      <c r="FD7697" s="26" t="inlineStr">
        <is>
          <t>RC-B1675</t>
        </is>
      </c>
      <c r="FL7697" s="27" t="inlineStr">
        <is>
          <t>B</t>
        </is>
      </c>
      <c r="FP7697" s="27" t="inlineStr">
        <is>
          <t>B</t>
        </is>
      </c>
    </row>
    <row r="7698">
      <c r="FC7698" t="inlineStr">
        <is>
          <t>Diccionario 7</t>
        </is>
      </c>
      <c r="FD7698" s="26" t="inlineStr">
        <is>
          <t>SR-B1676</t>
        </is>
      </c>
      <c r="FL7698" s="27" t="inlineStr">
        <is>
          <t>B</t>
        </is>
      </c>
      <c r="FP7698" s="27" t="inlineStr">
        <is>
          <t>B</t>
        </is>
      </c>
    </row>
    <row r="7699">
      <c r="FC7699" t="inlineStr">
        <is>
          <t>Diccionario 7</t>
        </is>
      </c>
      <c r="FD7699" s="26" t="inlineStr">
        <is>
          <t>SR-B1677</t>
        </is>
      </c>
      <c r="FL7699" s="27" t="inlineStr">
        <is>
          <t>B</t>
        </is>
      </c>
      <c r="FP7699" s="27" t="inlineStr">
        <is>
          <t>B</t>
        </is>
      </c>
    </row>
    <row r="7700">
      <c r="FC7700" t="inlineStr">
        <is>
          <t>Diccionario 7</t>
        </is>
      </c>
      <c r="FD7700" s="26" t="inlineStr">
        <is>
          <t>RC-B1678</t>
        </is>
      </c>
      <c r="FL7700" s="27" t="inlineStr">
        <is>
          <t>B</t>
        </is>
      </c>
      <c r="FP7700" s="27" t="inlineStr">
        <is>
          <t>B</t>
        </is>
      </c>
    </row>
    <row r="7701">
      <c r="FC7701" t="inlineStr">
        <is>
          <t>Diccionario 7</t>
        </is>
      </c>
      <c r="FD7701" s="26" t="inlineStr">
        <is>
          <t>SR-B1679</t>
        </is>
      </c>
      <c r="FL7701" s="27" t="inlineStr">
        <is>
          <t>B</t>
        </is>
      </c>
      <c r="FP7701" s="27" t="inlineStr">
        <is>
          <t>B</t>
        </is>
      </c>
    </row>
    <row r="7702">
      <c r="FC7702" t="inlineStr">
        <is>
          <t>Diccionario 7</t>
        </is>
      </c>
      <c r="FD7702" s="26" t="inlineStr">
        <is>
          <t>RC-B1680</t>
        </is>
      </c>
      <c r="FL7702" s="27" t="inlineStr">
        <is>
          <t>B</t>
        </is>
      </c>
      <c r="FP7702" s="27" t="inlineStr">
        <is>
          <t>B</t>
        </is>
      </c>
    </row>
    <row r="7703">
      <c r="FC7703" t="inlineStr">
        <is>
          <t>Diccionario 7</t>
        </is>
      </c>
      <c r="FD7703" s="26" t="inlineStr">
        <is>
          <t>SR-B1681</t>
        </is>
      </c>
      <c r="FL7703" s="27" t="inlineStr">
        <is>
          <t>B</t>
        </is>
      </c>
      <c r="FP7703" s="27" t="inlineStr">
        <is>
          <t>B</t>
        </is>
      </c>
    </row>
    <row r="7704">
      <c r="FC7704" t="inlineStr">
        <is>
          <t>Diccionario 7</t>
        </is>
      </c>
      <c r="FD7704" s="26" t="inlineStr">
        <is>
          <t>SR-B1682</t>
        </is>
      </c>
      <c r="FL7704" s="27" t="inlineStr">
        <is>
          <t>B</t>
        </is>
      </c>
      <c r="FP7704" s="27" t="inlineStr">
        <is>
          <t>B</t>
        </is>
      </c>
    </row>
    <row r="7705">
      <c r="FC7705" t="inlineStr">
        <is>
          <t>Diccionario 7</t>
        </is>
      </c>
      <c r="FD7705" s="26" t="inlineStr">
        <is>
          <t>SR-B1683</t>
        </is>
      </c>
      <c r="FL7705" s="27" t="inlineStr">
        <is>
          <t>B</t>
        </is>
      </c>
      <c r="FP7705" s="27" t="inlineStr">
        <is>
          <t>B</t>
        </is>
      </c>
    </row>
    <row r="7706">
      <c r="FC7706" t="inlineStr">
        <is>
          <t>Diccionario 7</t>
        </is>
      </c>
      <c r="FD7706" s="26" t="inlineStr">
        <is>
          <t>SR-B1684</t>
        </is>
      </c>
      <c r="FL7706" s="27" t="inlineStr">
        <is>
          <t>B</t>
        </is>
      </c>
      <c r="FP7706" s="27" t="inlineStr">
        <is>
          <t>B</t>
        </is>
      </c>
    </row>
    <row r="7707">
      <c r="FC7707" t="inlineStr">
        <is>
          <t>Diccionario 7</t>
        </is>
      </c>
      <c r="FD7707" s="26" t="inlineStr">
        <is>
          <t>SR-B1685</t>
        </is>
      </c>
      <c r="FL7707" s="27" t="inlineStr">
        <is>
          <t>B</t>
        </is>
      </c>
      <c r="FP7707" s="27" t="inlineStr">
        <is>
          <t>B</t>
        </is>
      </c>
    </row>
    <row r="7708">
      <c r="FC7708" t="inlineStr">
        <is>
          <t>Diccionario 7</t>
        </is>
      </c>
      <c r="FD7708" s="26" t="inlineStr">
        <is>
          <t>RC-B1686</t>
        </is>
      </c>
      <c r="FL7708" s="27" t="inlineStr">
        <is>
          <t>B</t>
        </is>
      </c>
      <c r="FP7708" s="27" t="inlineStr">
        <is>
          <t>B</t>
        </is>
      </c>
    </row>
    <row r="7709">
      <c r="FC7709" t="inlineStr">
        <is>
          <t>Diccionario 7</t>
        </is>
      </c>
      <c r="FD7709" s="26" t="inlineStr">
        <is>
          <t>RC-B1687</t>
        </is>
      </c>
      <c r="FL7709" s="27" t="inlineStr">
        <is>
          <t>B</t>
        </is>
      </c>
      <c r="FP7709" s="27" t="inlineStr">
        <is>
          <t>B</t>
        </is>
      </c>
    </row>
    <row r="7710">
      <c r="FC7710" t="inlineStr">
        <is>
          <t>Diccionario 7</t>
        </is>
      </c>
      <c r="FD7710" s="26" t="inlineStr">
        <is>
          <t>RC-B1688</t>
        </is>
      </c>
      <c r="FL7710" s="27" t="inlineStr">
        <is>
          <t>B</t>
        </is>
      </c>
      <c r="FP7710" s="27" t="inlineStr">
        <is>
          <t>B</t>
        </is>
      </c>
    </row>
    <row r="7711">
      <c r="FC7711" t="inlineStr">
        <is>
          <t>Diccionario 7</t>
        </is>
      </c>
      <c r="FD7711" s="26" t="inlineStr">
        <is>
          <t>RC-B1689</t>
        </is>
      </c>
      <c r="FL7711" s="27" t="inlineStr">
        <is>
          <t>B</t>
        </is>
      </c>
      <c r="FP7711" s="27" t="inlineStr">
        <is>
          <t>B</t>
        </is>
      </c>
    </row>
    <row r="7712">
      <c r="FC7712" t="inlineStr">
        <is>
          <t>Diccionario 7</t>
        </is>
      </c>
      <c r="FD7712" s="26" t="inlineStr">
        <is>
          <t>SR-B1690</t>
        </is>
      </c>
      <c r="FL7712" s="27" t="inlineStr">
        <is>
          <t>B</t>
        </is>
      </c>
      <c r="FP7712" s="27" t="inlineStr">
        <is>
          <t>B</t>
        </is>
      </c>
    </row>
    <row r="7713">
      <c r="FC7713" t="inlineStr">
        <is>
          <t>Diccionario 7</t>
        </is>
      </c>
      <c r="FD7713" s="26" t="inlineStr">
        <is>
          <t>SR-C1691</t>
        </is>
      </c>
      <c r="FL7713" s="27" t="inlineStr">
        <is>
          <t>C</t>
        </is>
      </c>
      <c r="FP7713" s="27" t="inlineStr">
        <is>
          <t>C</t>
        </is>
      </c>
    </row>
    <row r="7714">
      <c r="FC7714" t="inlineStr">
        <is>
          <t>Diccionario 7</t>
        </is>
      </c>
      <c r="FD7714" s="26" t="inlineStr">
        <is>
          <t>SR-C1692</t>
        </is>
      </c>
      <c r="FL7714" s="27" t="inlineStr">
        <is>
          <t>C</t>
        </is>
      </c>
      <c r="FP7714" s="27" t="inlineStr">
        <is>
          <t>C</t>
        </is>
      </c>
    </row>
    <row r="7715">
      <c r="FC7715" t="inlineStr">
        <is>
          <t>Diccionario 7</t>
        </is>
      </c>
      <c r="FD7715" s="26" t="inlineStr">
        <is>
          <t>SR-C1693</t>
        </is>
      </c>
      <c r="FL7715" s="27" t="inlineStr">
        <is>
          <t>C</t>
        </is>
      </c>
      <c r="FP7715" s="27" t="inlineStr">
        <is>
          <t>C</t>
        </is>
      </c>
    </row>
    <row r="7716">
      <c r="FC7716" t="inlineStr">
        <is>
          <t>Diccionario 7</t>
        </is>
      </c>
      <c r="FD7716" s="26" t="inlineStr">
        <is>
          <t>SR-C1694</t>
        </is>
      </c>
      <c r="FL7716" s="27" t="inlineStr">
        <is>
          <t>C</t>
        </is>
      </c>
      <c r="FP7716" s="27" t="inlineStr">
        <is>
          <t>C</t>
        </is>
      </c>
    </row>
    <row r="7717">
      <c r="FC7717" t="inlineStr">
        <is>
          <t>Diccionario 7</t>
        </is>
      </c>
      <c r="FD7717" s="26" t="inlineStr">
        <is>
          <t>CER-A1695</t>
        </is>
      </c>
      <c r="FL7717" s="27" t="inlineStr">
        <is>
          <t>A</t>
        </is>
      </c>
      <c r="FP7717" s="27" t="inlineStr">
        <is>
          <t>A</t>
        </is>
      </c>
    </row>
    <row r="7718">
      <c r="FC7718" t="inlineStr">
        <is>
          <t>Diccionario 7</t>
        </is>
      </c>
      <c r="FD7718" s="26" t="inlineStr">
        <is>
          <t>CER-A1696</t>
        </is>
      </c>
      <c r="FL7718" s="27" t="inlineStr">
        <is>
          <t>A</t>
        </is>
      </c>
      <c r="FP7718" s="27" t="inlineStr">
        <is>
          <t>A</t>
        </is>
      </c>
    </row>
    <row r="7719">
      <c r="FC7719" t="inlineStr">
        <is>
          <t>Diccionario 7</t>
        </is>
      </c>
      <c r="FD7719" s="26" t="inlineStr">
        <is>
          <t>CER-A1697</t>
        </is>
      </c>
      <c r="FL7719" s="27" t="inlineStr">
        <is>
          <t>A</t>
        </is>
      </c>
      <c r="FP7719" s="27" t="inlineStr">
        <is>
          <t>A</t>
        </is>
      </c>
    </row>
    <row r="7720">
      <c r="FC7720" t="inlineStr">
        <is>
          <t>Diccionario 7</t>
        </is>
      </c>
      <c r="FD7720" s="26" t="inlineStr">
        <is>
          <t>CER-A1698</t>
        </is>
      </c>
      <c r="FL7720" s="27" t="inlineStr">
        <is>
          <t>A</t>
        </is>
      </c>
      <c r="FP7720" s="27" t="inlineStr">
        <is>
          <t>A</t>
        </is>
      </c>
    </row>
    <row r="7721">
      <c r="FC7721" t="inlineStr">
        <is>
          <t>Diccionario 7</t>
        </is>
      </c>
      <c r="FD7721" s="26" t="inlineStr">
        <is>
          <t>CER-A1699</t>
        </is>
      </c>
      <c r="FL7721" s="27" t="inlineStr">
        <is>
          <t>A</t>
        </is>
      </c>
      <c r="FP7721" s="27" t="inlineStr">
        <is>
          <t>A</t>
        </is>
      </c>
    </row>
    <row r="7722">
      <c r="FC7722" t="inlineStr">
        <is>
          <t>Diccionario 7</t>
        </is>
      </c>
      <c r="FD7722" s="26" t="inlineStr">
        <is>
          <t>CER-A1700</t>
        </is>
      </c>
      <c r="FL7722" s="27" t="inlineStr">
        <is>
          <t>A</t>
        </is>
      </c>
      <c r="FP7722" s="27" t="inlineStr">
        <is>
          <t>A</t>
        </is>
      </c>
    </row>
    <row r="7723">
      <c r="FC7723" t="inlineStr">
        <is>
          <t>Diccionario 7</t>
        </is>
      </c>
      <c r="FD7723" s="26" t="inlineStr">
        <is>
          <t>CER-A1701</t>
        </is>
      </c>
      <c r="FL7723" s="27" t="inlineStr">
        <is>
          <t>A</t>
        </is>
      </c>
      <c r="FP7723" s="27" t="inlineStr">
        <is>
          <t>A</t>
        </is>
      </c>
    </row>
    <row r="7724">
      <c r="FC7724" t="inlineStr">
        <is>
          <t>Diccionario 7</t>
        </is>
      </c>
      <c r="FD7724" s="26" t="inlineStr">
        <is>
          <t>CER-A1702</t>
        </is>
      </c>
      <c r="FL7724" s="27" t="inlineStr">
        <is>
          <t>A</t>
        </is>
      </c>
      <c r="FP7724" s="27" t="inlineStr">
        <is>
          <t>A</t>
        </is>
      </c>
    </row>
    <row r="7725">
      <c r="FC7725" t="inlineStr">
        <is>
          <t>Diccionario 7</t>
        </is>
      </c>
      <c r="FD7725" s="26" t="inlineStr">
        <is>
          <t>CER-A1703</t>
        </is>
      </c>
      <c r="FL7725" s="27" t="inlineStr">
        <is>
          <t>A</t>
        </is>
      </c>
      <c r="FP7725" s="27" t="inlineStr">
        <is>
          <t>A</t>
        </is>
      </c>
    </row>
    <row r="7726">
      <c r="FC7726" t="inlineStr">
        <is>
          <t>Diccionario 7</t>
        </is>
      </c>
      <c r="FD7726" s="26" t="inlineStr">
        <is>
          <t>CER-A1704</t>
        </is>
      </c>
      <c r="FL7726" s="27" t="inlineStr">
        <is>
          <t>A</t>
        </is>
      </c>
      <c r="FP7726" s="27" t="inlineStr">
        <is>
          <t>A</t>
        </is>
      </c>
    </row>
    <row r="7727">
      <c r="FC7727" t="inlineStr">
        <is>
          <t>Diccionario 7</t>
        </is>
      </c>
      <c r="FD7727" s="26" t="inlineStr">
        <is>
          <t>CER-A1705</t>
        </is>
      </c>
      <c r="FL7727" s="27" t="inlineStr">
        <is>
          <t>A</t>
        </is>
      </c>
      <c r="FP7727" s="27" t="inlineStr">
        <is>
          <t>A</t>
        </is>
      </c>
    </row>
    <row r="7728">
      <c r="FC7728" t="inlineStr">
        <is>
          <t>Diccionario 7</t>
        </is>
      </c>
      <c r="FD7728" s="26" t="inlineStr">
        <is>
          <t>CER-A1706</t>
        </is>
      </c>
      <c r="FL7728" s="27" t="inlineStr">
        <is>
          <t>A</t>
        </is>
      </c>
      <c r="FP7728" s="27" t="inlineStr">
        <is>
          <t>A</t>
        </is>
      </c>
    </row>
    <row r="7729">
      <c r="FC7729" t="inlineStr">
        <is>
          <t>Diccionario 7</t>
        </is>
      </c>
      <c r="FD7729" s="26" t="inlineStr">
        <is>
          <t>CER-A1707</t>
        </is>
      </c>
      <c r="FL7729" s="27" t="inlineStr">
        <is>
          <t>A</t>
        </is>
      </c>
      <c r="FP7729" s="27" t="inlineStr">
        <is>
          <t>A</t>
        </is>
      </c>
    </row>
    <row r="7730">
      <c r="FC7730" t="inlineStr">
        <is>
          <t>Diccionario 7</t>
        </is>
      </c>
      <c r="FD7730" s="26" t="inlineStr">
        <is>
          <t>CER-A1708</t>
        </is>
      </c>
      <c r="FL7730" s="27" t="inlineStr">
        <is>
          <t>A</t>
        </is>
      </c>
      <c r="FP7730" s="27" t="inlineStr">
        <is>
          <t>A</t>
        </is>
      </c>
    </row>
    <row r="7731">
      <c r="FC7731" t="inlineStr">
        <is>
          <t>Diccionario 7</t>
        </is>
      </c>
      <c r="FD7731" s="26" t="inlineStr">
        <is>
          <t>CER-A1709</t>
        </is>
      </c>
      <c r="FL7731" s="27" t="inlineStr">
        <is>
          <t>A</t>
        </is>
      </c>
      <c r="FP7731" s="27" t="inlineStr">
        <is>
          <t>A</t>
        </is>
      </c>
    </row>
    <row r="7732">
      <c r="FC7732" t="inlineStr">
        <is>
          <t>Diccionario 7</t>
        </is>
      </c>
      <c r="FD7732" s="26" t="inlineStr">
        <is>
          <t>CER-A1710</t>
        </is>
      </c>
      <c r="FL7732" s="27" t="inlineStr">
        <is>
          <t>A</t>
        </is>
      </c>
      <c r="FP7732" s="27" t="inlineStr">
        <is>
          <t>A</t>
        </is>
      </c>
    </row>
    <row r="7733">
      <c r="FC7733" t="inlineStr">
        <is>
          <t>Diccionario 7</t>
        </is>
      </c>
      <c r="FD7733" s="26" t="inlineStr">
        <is>
          <t>CER-A1711</t>
        </is>
      </c>
      <c r="FL7733" s="27" t="inlineStr">
        <is>
          <t>A</t>
        </is>
      </c>
      <c r="FP7733" s="27" t="inlineStr">
        <is>
          <t>A</t>
        </is>
      </c>
    </row>
    <row r="7734">
      <c r="FC7734" t="inlineStr">
        <is>
          <t>Diccionario 7</t>
        </is>
      </c>
      <c r="FD7734" s="26" t="inlineStr">
        <is>
          <t>CER-A1712</t>
        </is>
      </c>
      <c r="FL7734" s="27" t="inlineStr">
        <is>
          <t>A</t>
        </is>
      </c>
      <c r="FP7734" s="27" t="inlineStr">
        <is>
          <t>A</t>
        </is>
      </c>
    </row>
    <row r="7735">
      <c r="FC7735" t="inlineStr">
        <is>
          <t>Diccionario 7</t>
        </is>
      </c>
      <c r="FD7735" s="26" t="inlineStr">
        <is>
          <t>CER-A1713</t>
        </is>
      </c>
      <c r="FL7735" s="27" t="inlineStr">
        <is>
          <t>A</t>
        </is>
      </c>
      <c r="FP7735" s="27" t="inlineStr">
        <is>
          <t>A</t>
        </is>
      </c>
    </row>
    <row r="7736">
      <c r="FC7736" t="inlineStr">
        <is>
          <t>Diccionario 7</t>
        </is>
      </c>
      <c r="FD7736" s="26" t="inlineStr">
        <is>
          <t>CER-A1714</t>
        </is>
      </c>
      <c r="FL7736" s="27" t="inlineStr">
        <is>
          <t>A</t>
        </is>
      </c>
      <c r="FP7736" s="27" t="inlineStr">
        <is>
          <t>A</t>
        </is>
      </c>
    </row>
    <row r="7737">
      <c r="FC7737" t="inlineStr">
        <is>
          <t>Diccionario 7</t>
        </is>
      </c>
      <c r="FD7737" s="26" t="inlineStr">
        <is>
          <t>CER-A1715</t>
        </is>
      </c>
      <c r="FL7737" s="27" t="inlineStr">
        <is>
          <t>A</t>
        </is>
      </c>
      <c r="FP7737" s="27" t="inlineStr">
        <is>
          <t>A</t>
        </is>
      </c>
    </row>
    <row r="7738">
      <c r="FC7738" t="inlineStr">
        <is>
          <t>Diccionario 7</t>
        </is>
      </c>
      <c r="FD7738" s="26" t="inlineStr">
        <is>
          <t>CER-A1716</t>
        </is>
      </c>
      <c r="FL7738" s="27" t="inlineStr">
        <is>
          <t>A</t>
        </is>
      </c>
      <c r="FP7738" s="27" t="inlineStr">
        <is>
          <t>A</t>
        </is>
      </c>
    </row>
    <row r="7739">
      <c r="FC7739" t="inlineStr">
        <is>
          <t>Diccionario 7</t>
        </is>
      </c>
      <c r="FD7739" s="26" t="inlineStr">
        <is>
          <t>CER-A1717</t>
        </is>
      </c>
      <c r="FL7739" s="27" t="inlineStr">
        <is>
          <t>A</t>
        </is>
      </c>
      <c r="FP7739" s="27" t="inlineStr">
        <is>
          <t>A</t>
        </is>
      </c>
    </row>
    <row r="7740">
      <c r="FC7740" t="inlineStr">
        <is>
          <t>Diccionario 7</t>
        </is>
      </c>
      <c r="FD7740" s="26" t="inlineStr">
        <is>
          <t>CER-A1718</t>
        </is>
      </c>
      <c r="FL7740" s="27" t="inlineStr">
        <is>
          <t>A</t>
        </is>
      </c>
      <c r="FP7740" s="27" t="inlineStr">
        <is>
          <t>A</t>
        </is>
      </c>
    </row>
    <row r="7741">
      <c r="FC7741" t="inlineStr">
        <is>
          <t>Diccionario 7</t>
        </is>
      </c>
      <c r="FD7741" s="26" t="inlineStr">
        <is>
          <t>CER-A1719</t>
        </is>
      </c>
      <c r="FL7741" s="27" t="inlineStr">
        <is>
          <t>A</t>
        </is>
      </c>
      <c r="FP7741" s="27" t="inlineStr">
        <is>
          <t>A</t>
        </is>
      </c>
    </row>
    <row r="7742">
      <c r="FC7742" t="inlineStr">
        <is>
          <t>Diccionario 7</t>
        </is>
      </c>
      <c r="FD7742" s="26" t="inlineStr">
        <is>
          <t>CER-A1720</t>
        </is>
      </c>
      <c r="FL7742" s="27" t="inlineStr">
        <is>
          <t>A</t>
        </is>
      </c>
      <c r="FP7742" s="27" t="inlineStr">
        <is>
          <t>A</t>
        </is>
      </c>
    </row>
    <row r="7743">
      <c r="FC7743" t="inlineStr">
        <is>
          <t>Diccionario 7</t>
        </is>
      </c>
      <c r="FD7743" s="26" t="inlineStr">
        <is>
          <t>CER-A1721</t>
        </is>
      </c>
      <c r="FL7743" s="27" t="inlineStr">
        <is>
          <t>A</t>
        </is>
      </c>
      <c r="FP7743" s="27" t="inlineStr">
        <is>
          <t>A</t>
        </is>
      </c>
    </row>
    <row r="7744">
      <c r="FC7744" t="inlineStr">
        <is>
          <t>Diccionario 7</t>
        </is>
      </c>
      <c r="FD7744" s="26" t="inlineStr">
        <is>
          <t>CER-A1722</t>
        </is>
      </c>
      <c r="FL7744" s="27" t="inlineStr">
        <is>
          <t>A</t>
        </is>
      </c>
      <c r="FP7744" s="27" t="inlineStr">
        <is>
          <t>A</t>
        </is>
      </c>
    </row>
    <row r="7745">
      <c r="FC7745" t="inlineStr">
        <is>
          <t>Diccionario 7</t>
        </is>
      </c>
      <c r="FD7745" s="26" t="inlineStr">
        <is>
          <t>CER-A1723</t>
        </is>
      </c>
      <c r="FL7745" s="27" t="inlineStr">
        <is>
          <t>A</t>
        </is>
      </c>
      <c r="FP7745" s="27" t="inlineStr">
        <is>
          <t>A</t>
        </is>
      </c>
    </row>
    <row r="7746">
      <c r="FC7746" t="inlineStr">
        <is>
          <t>Diccionario 7</t>
        </is>
      </c>
      <c r="FD7746" s="26" t="inlineStr">
        <is>
          <t>CER-A1724</t>
        </is>
      </c>
      <c r="FL7746" s="27" t="inlineStr">
        <is>
          <t>A</t>
        </is>
      </c>
      <c r="FP7746" s="27" t="inlineStr">
        <is>
          <t>A</t>
        </is>
      </c>
    </row>
    <row r="7747">
      <c r="FC7747" t="inlineStr">
        <is>
          <t>Diccionario 7</t>
        </is>
      </c>
      <c r="FD7747" s="26" t="inlineStr">
        <is>
          <t>CER-A1725</t>
        </is>
      </c>
      <c r="FL7747" s="27" t="inlineStr">
        <is>
          <t>A</t>
        </is>
      </c>
      <c r="FP7747" s="27" t="inlineStr">
        <is>
          <t>A</t>
        </is>
      </c>
    </row>
    <row r="7748">
      <c r="FC7748" t="inlineStr">
        <is>
          <t>Diccionario 7</t>
        </is>
      </c>
      <c r="FD7748" s="26" t="inlineStr">
        <is>
          <t>CER-A1726</t>
        </is>
      </c>
      <c r="FL7748" s="27" t="inlineStr">
        <is>
          <t>A</t>
        </is>
      </c>
      <c r="FP7748" s="27" t="inlineStr">
        <is>
          <t>A</t>
        </is>
      </c>
    </row>
    <row r="7749">
      <c r="FC7749" t="inlineStr">
        <is>
          <t>Diccionario 7</t>
        </is>
      </c>
      <c r="FD7749" s="26" t="inlineStr">
        <is>
          <t>RC-B1727</t>
        </is>
      </c>
      <c r="FL7749" s="27" t="inlineStr">
        <is>
          <t>B</t>
        </is>
      </c>
      <c r="FP7749" s="27" t="inlineStr">
        <is>
          <t>B</t>
        </is>
      </c>
    </row>
    <row r="7750">
      <c r="FC7750" t="inlineStr">
        <is>
          <t>Diccionario 7</t>
        </is>
      </c>
      <c r="FD7750" s="26" t="inlineStr">
        <is>
          <t>RC-B1728</t>
        </is>
      </c>
      <c r="FL7750" s="27" t="inlineStr">
        <is>
          <t>B</t>
        </is>
      </c>
      <c r="FP7750" s="27" t="inlineStr">
        <is>
          <t>B</t>
        </is>
      </c>
    </row>
    <row r="7751">
      <c r="FC7751" t="inlineStr">
        <is>
          <t>Diccionario 7</t>
        </is>
      </c>
      <c r="FD7751" s="26" t="inlineStr">
        <is>
          <t>RC-B1729</t>
        </is>
      </c>
      <c r="FL7751" s="27" t="inlineStr">
        <is>
          <t>B</t>
        </is>
      </c>
      <c r="FP7751" s="27" t="inlineStr">
        <is>
          <t>B</t>
        </is>
      </c>
    </row>
    <row r="7752">
      <c r="FC7752" t="inlineStr">
        <is>
          <t>Diccionario 7</t>
        </is>
      </c>
      <c r="FD7752" s="26" t="inlineStr">
        <is>
          <t>RC-B1730</t>
        </is>
      </c>
      <c r="FL7752" s="27" t="inlineStr">
        <is>
          <t>B</t>
        </is>
      </c>
      <c r="FP7752" s="27" t="inlineStr">
        <is>
          <t>B</t>
        </is>
      </c>
    </row>
    <row r="7753">
      <c r="FC7753" t="inlineStr">
        <is>
          <t>Diccionario 7</t>
        </is>
      </c>
      <c r="FD7753" s="26" t="inlineStr">
        <is>
          <t>LB-B1731</t>
        </is>
      </c>
      <c r="FL7753" s="27" t="inlineStr">
        <is>
          <t>B</t>
        </is>
      </c>
      <c r="FP7753" s="27" t="inlineStr">
        <is>
          <t>B</t>
        </is>
      </c>
    </row>
    <row r="7754">
      <c r="FC7754" t="inlineStr">
        <is>
          <t>Diccionario 7</t>
        </is>
      </c>
      <c r="FD7754" s="26" t="inlineStr">
        <is>
          <t>RC-B1732</t>
        </is>
      </c>
      <c r="FL7754" s="27" t="inlineStr">
        <is>
          <t>B</t>
        </is>
      </c>
      <c r="FP7754" s="27" t="inlineStr">
        <is>
          <t>B</t>
        </is>
      </c>
    </row>
    <row r="7755">
      <c r="FC7755" t="inlineStr">
        <is>
          <t>Diccionario 7</t>
        </is>
      </c>
      <c r="FD7755" s="26" t="inlineStr">
        <is>
          <t>RC-B1733</t>
        </is>
      </c>
      <c r="FL7755" s="27" t="inlineStr">
        <is>
          <t>B</t>
        </is>
      </c>
      <c r="FP7755" s="27" t="inlineStr">
        <is>
          <t>B</t>
        </is>
      </c>
    </row>
    <row r="7756">
      <c r="FC7756" t="inlineStr">
        <is>
          <t>Diccionario 7</t>
        </is>
      </c>
      <c r="FD7756" s="26" t="inlineStr">
        <is>
          <t>RC-B1734</t>
        </is>
      </c>
      <c r="FL7756" s="27" t="inlineStr">
        <is>
          <t>B</t>
        </is>
      </c>
      <c r="FP7756" s="27" t="inlineStr">
        <is>
          <t>B</t>
        </is>
      </c>
    </row>
    <row r="7757">
      <c r="FC7757" t="inlineStr">
        <is>
          <t>Diccionario 7</t>
        </is>
      </c>
      <c r="FD7757" s="26" t="inlineStr">
        <is>
          <t>RC-B1735</t>
        </is>
      </c>
      <c r="FL7757" s="27" t="inlineStr">
        <is>
          <t>B</t>
        </is>
      </c>
      <c r="FP7757" s="27" t="inlineStr">
        <is>
          <t>B</t>
        </is>
      </c>
    </row>
    <row r="7758">
      <c r="FC7758" t="inlineStr">
        <is>
          <t>Diccionario 7</t>
        </is>
      </c>
      <c r="FD7758" s="26" t="inlineStr">
        <is>
          <t>RC-B1736</t>
        </is>
      </c>
      <c r="FL7758" s="27" t="inlineStr">
        <is>
          <t>B</t>
        </is>
      </c>
      <c r="FP7758" s="27" t="inlineStr">
        <is>
          <t>B</t>
        </is>
      </c>
    </row>
    <row r="7759">
      <c r="FC7759" t="inlineStr">
        <is>
          <t>Diccionario 7</t>
        </is>
      </c>
      <c r="FD7759" s="26" t="inlineStr">
        <is>
          <t>RC-B1737</t>
        </is>
      </c>
      <c r="FL7759" s="27" t="inlineStr">
        <is>
          <t>B</t>
        </is>
      </c>
      <c r="FP7759" s="27" t="inlineStr">
        <is>
          <t>B</t>
        </is>
      </c>
    </row>
    <row r="7760">
      <c r="FC7760" t="inlineStr">
        <is>
          <t>Diccionario 7</t>
        </is>
      </c>
      <c r="FD7760" s="26" t="inlineStr">
        <is>
          <t>RC-B1738</t>
        </is>
      </c>
      <c r="FL7760" s="27" t="inlineStr">
        <is>
          <t>B</t>
        </is>
      </c>
      <c r="FP7760" s="27" t="inlineStr">
        <is>
          <t>B</t>
        </is>
      </c>
    </row>
    <row r="7761">
      <c r="FC7761" t="inlineStr">
        <is>
          <t>Diccionario 7</t>
        </is>
      </c>
      <c r="FD7761" s="26" t="inlineStr">
        <is>
          <t>DC-B1739</t>
        </is>
      </c>
      <c r="FL7761" s="27" t="inlineStr">
        <is>
          <t>B</t>
        </is>
      </c>
      <c r="FP7761" s="27" t="inlineStr">
        <is>
          <t>B</t>
        </is>
      </c>
    </row>
    <row r="7762">
      <c r="FC7762" t="inlineStr">
        <is>
          <t>Diccionario 7</t>
        </is>
      </c>
      <c r="FD7762" s="26" t="inlineStr">
        <is>
          <t>DC-B1740</t>
        </is>
      </c>
      <c r="FL7762" s="27" t="inlineStr">
        <is>
          <t>B</t>
        </is>
      </c>
      <c r="FP7762" s="27" t="inlineStr">
        <is>
          <t>B</t>
        </is>
      </c>
    </row>
    <row r="7763">
      <c r="FC7763" t="inlineStr">
        <is>
          <t>Diccionario 7</t>
        </is>
      </c>
      <c r="FD7763" s="26" t="inlineStr">
        <is>
          <t>DC-B1741</t>
        </is>
      </c>
      <c r="FL7763" s="27" t="inlineStr">
        <is>
          <t>B</t>
        </is>
      </c>
      <c r="FP7763" s="27" t="inlineStr">
        <is>
          <t>B</t>
        </is>
      </c>
    </row>
    <row r="7764">
      <c r="FC7764" t="inlineStr">
        <is>
          <t>Diccionario 7</t>
        </is>
      </c>
      <c r="FD7764" s="26" t="inlineStr">
        <is>
          <t>DC-B1742</t>
        </is>
      </c>
      <c r="FL7764" s="27" t="inlineStr">
        <is>
          <t>B</t>
        </is>
      </c>
      <c r="FP7764" s="27" t="inlineStr">
        <is>
          <t>B</t>
        </is>
      </c>
    </row>
    <row r="7765">
      <c r="FC7765" t="inlineStr">
        <is>
          <t>Diccionario 7</t>
        </is>
      </c>
      <c r="FD7765" s="26" t="inlineStr">
        <is>
          <t>DC-B1743</t>
        </is>
      </c>
      <c r="FL7765" s="27" t="inlineStr">
        <is>
          <t>B</t>
        </is>
      </c>
      <c r="FP7765" s="27" t="inlineStr">
        <is>
          <t>B</t>
        </is>
      </c>
    </row>
    <row r="7766">
      <c r="FC7766" t="inlineStr">
        <is>
          <t>Diccionario 7</t>
        </is>
      </c>
      <c r="FD7766" s="26" t="inlineStr">
        <is>
          <t>DC-B1744</t>
        </is>
      </c>
      <c r="FL7766" s="27" t="inlineStr">
        <is>
          <t>B</t>
        </is>
      </c>
      <c r="FP7766" s="27" t="inlineStr">
        <is>
          <t>B</t>
        </is>
      </c>
    </row>
    <row r="7767">
      <c r="FC7767" t="inlineStr">
        <is>
          <t>Diccionario 7</t>
        </is>
      </c>
      <c r="FD7767" s="26" t="inlineStr">
        <is>
          <t>DC-B1745</t>
        </is>
      </c>
      <c r="FL7767" s="27" t="inlineStr">
        <is>
          <t>B</t>
        </is>
      </c>
      <c r="FP7767" s="27" t="inlineStr">
        <is>
          <t>B</t>
        </is>
      </c>
    </row>
    <row r="7768">
      <c r="FC7768" t="inlineStr">
        <is>
          <t>Diccionario 7</t>
        </is>
      </c>
      <c r="FD7768" s="26" t="inlineStr">
        <is>
          <t>RC-B1746</t>
        </is>
      </c>
      <c r="FL7768" s="27" t="inlineStr">
        <is>
          <t>B</t>
        </is>
      </c>
      <c r="FP7768" s="27" t="inlineStr">
        <is>
          <t>B</t>
        </is>
      </c>
    </row>
    <row r="7769">
      <c r="FC7769" t="inlineStr">
        <is>
          <t>Diccionario 7</t>
        </is>
      </c>
      <c r="FD7769" s="26" t="inlineStr">
        <is>
          <t>LB-B1747</t>
        </is>
      </c>
      <c r="FL7769" s="27" t="inlineStr">
        <is>
          <t>B</t>
        </is>
      </c>
      <c r="FP7769" s="27" t="inlineStr">
        <is>
          <t>B</t>
        </is>
      </c>
    </row>
    <row r="7770">
      <c r="FC7770" t="inlineStr">
        <is>
          <t>Diccionario 7</t>
        </is>
      </c>
      <c r="FD7770" s="26" t="inlineStr">
        <is>
          <t>LB-B1748</t>
        </is>
      </c>
      <c r="FL7770" s="27" t="inlineStr">
        <is>
          <t>B</t>
        </is>
      </c>
      <c r="FP7770" s="27" t="inlineStr">
        <is>
          <t>B</t>
        </is>
      </c>
    </row>
    <row r="7771">
      <c r="FC7771" t="inlineStr">
        <is>
          <t>Diccionario 7</t>
        </is>
      </c>
      <c r="FD7771" s="26" t="inlineStr">
        <is>
          <t>LB-B1749</t>
        </is>
      </c>
      <c r="FL7771" s="27" t="inlineStr">
        <is>
          <t>B</t>
        </is>
      </c>
      <c r="FP7771" s="27" t="inlineStr">
        <is>
          <t>B</t>
        </is>
      </c>
    </row>
    <row r="7772">
      <c r="FC7772" t="inlineStr">
        <is>
          <t>Diccionario 7</t>
        </is>
      </c>
      <c r="FD7772" s="26" t="inlineStr">
        <is>
          <t>LB-B1750</t>
        </is>
      </c>
      <c r="FL7772" s="27" t="inlineStr">
        <is>
          <t>B</t>
        </is>
      </c>
      <c r="FP7772" s="27" t="inlineStr">
        <is>
          <t>B</t>
        </is>
      </c>
    </row>
    <row r="7773">
      <c r="FC7773" t="inlineStr">
        <is>
          <t>Diccionario 7</t>
        </is>
      </c>
      <c r="FD7773" s="26" t="inlineStr">
        <is>
          <t>LB-B1751</t>
        </is>
      </c>
      <c r="FL7773" s="27" t="inlineStr">
        <is>
          <t>B</t>
        </is>
      </c>
      <c r="FP7773" s="27" t="inlineStr">
        <is>
          <t>B</t>
        </is>
      </c>
    </row>
    <row r="7774">
      <c r="FC7774" t="inlineStr">
        <is>
          <t>Diccionario 7</t>
        </is>
      </c>
      <c r="FD7774" s="26" t="inlineStr">
        <is>
          <t>LB-B1752</t>
        </is>
      </c>
      <c r="FL7774" s="27" t="inlineStr">
        <is>
          <t>B</t>
        </is>
      </c>
      <c r="FP7774" s="27" t="inlineStr">
        <is>
          <t>B</t>
        </is>
      </c>
    </row>
    <row r="7775">
      <c r="FC7775" t="inlineStr">
        <is>
          <t>Diccionario 7</t>
        </is>
      </c>
      <c r="FD7775" s="26" t="inlineStr">
        <is>
          <t>LB-B1753</t>
        </is>
      </c>
      <c r="FL7775" s="27" t="inlineStr">
        <is>
          <t>B</t>
        </is>
      </c>
      <c r="FP7775" s="27" t="inlineStr">
        <is>
          <t>B</t>
        </is>
      </c>
    </row>
    <row r="7776">
      <c r="FC7776" t="inlineStr">
        <is>
          <t>Diccionario 7</t>
        </is>
      </c>
      <c r="FD7776" s="26" t="inlineStr">
        <is>
          <t>LB-B1754</t>
        </is>
      </c>
      <c r="FL7776" s="27" t="inlineStr">
        <is>
          <t>B</t>
        </is>
      </c>
      <c r="FP7776" s="27" t="inlineStr">
        <is>
          <t>B</t>
        </is>
      </c>
    </row>
    <row r="7777">
      <c r="FC7777" t="inlineStr">
        <is>
          <t>Diccionario 7</t>
        </is>
      </c>
      <c r="FD7777" s="26" t="inlineStr">
        <is>
          <t>LB-B1755</t>
        </is>
      </c>
      <c r="FL7777" s="27" t="inlineStr">
        <is>
          <t>B</t>
        </is>
      </c>
      <c r="FP7777" s="27" t="inlineStr">
        <is>
          <t>B</t>
        </is>
      </c>
    </row>
    <row r="7778">
      <c r="FC7778" t="inlineStr">
        <is>
          <t>Diccionario 7</t>
        </is>
      </c>
      <c r="FD7778" s="26" t="inlineStr">
        <is>
          <t>LB-B1756</t>
        </is>
      </c>
      <c r="FL7778" s="27" t="inlineStr">
        <is>
          <t>B</t>
        </is>
      </c>
      <c r="FP7778" s="27" t="inlineStr">
        <is>
          <t>B</t>
        </is>
      </c>
    </row>
    <row r="7779">
      <c r="FC7779" t="inlineStr">
        <is>
          <t>Diccionario 7</t>
        </is>
      </c>
      <c r="FD7779" s="26" t="inlineStr">
        <is>
          <t>LB-B1757</t>
        </is>
      </c>
      <c r="FL7779" s="27" t="inlineStr">
        <is>
          <t>B</t>
        </is>
      </c>
      <c r="FP7779" s="27" t="inlineStr">
        <is>
          <t>B</t>
        </is>
      </c>
    </row>
    <row r="7780">
      <c r="FC7780" t="inlineStr">
        <is>
          <t>Diccionario 7</t>
        </is>
      </c>
      <c r="FD7780" s="26" t="inlineStr">
        <is>
          <t>LB-B1758</t>
        </is>
      </c>
      <c r="FL7780" s="27" t="inlineStr">
        <is>
          <t>B</t>
        </is>
      </c>
      <c r="FP7780" s="27" t="inlineStr">
        <is>
          <t>B</t>
        </is>
      </c>
    </row>
    <row r="7781">
      <c r="FC7781" t="inlineStr">
        <is>
          <t>Diccionario 7</t>
        </is>
      </c>
      <c r="FD7781" s="26" t="inlineStr">
        <is>
          <t>LB-B1759</t>
        </is>
      </c>
      <c r="FL7781" s="27" t="inlineStr">
        <is>
          <t>B</t>
        </is>
      </c>
      <c r="FP7781" s="27" t="inlineStr">
        <is>
          <t>B</t>
        </is>
      </c>
    </row>
    <row r="7782">
      <c r="FC7782" t="inlineStr">
        <is>
          <t>Diccionario 7</t>
        </is>
      </c>
      <c r="FD7782" s="26" t="inlineStr">
        <is>
          <t>DC-B1760</t>
        </is>
      </c>
      <c r="FL7782" s="27" t="inlineStr">
        <is>
          <t>B</t>
        </is>
      </c>
      <c r="FP7782" s="27" t="inlineStr">
        <is>
          <t>B</t>
        </is>
      </c>
    </row>
    <row r="7783">
      <c r="FC7783" t="inlineStr">
        <is>
          <t>Diccionario 7</t>
        </is>
      </c>
      <c r="FD7783" s="26" t="inlineStr">
        <is>
          <t>DC-B1761</t>
        </is>
      </c>
      <c r="FL7783" s="27" t="inlineStr">
        <is>
          <t>B</t>
        </is>
      </c>
      <c r="FP7783" s="27" t="inlineStr">
        <is>
          <t>B</t>
        </is>
      </c>
    </row>
    <row r="7784">
      <c r="FC7784" t="inlineStr">
        <is>
          <t>Diccionario 7</t>
        </is>
      </c>
      <c r="FD7784" s="26" t="inlineStr">
        <is>
          <t>DC-B1762</t>
        </is>
      </c>
      <c r="FL7784" s="27" t="inlineStr">
        <is>
          <t>B</t>
        </is>
      </c>
      <c r="FP7784" s="27" t="inlineStr">
        <is>
          <t>B</t>
        </is>
      </c>
    </row>
    <row r="7785">
      <c r="FC7785" t="inlineStr">
        <is>
          <t>Diccionario 7</t>
        </is>
      </c>
      <c r="FD7785" s="26" t="inlineStr">
        <is>
          <t>LB-B1763</t>
        </is>
      </c>
      <c r="FL7785" s="27" t="inlineStr">
        <is>
          <t>B</t>
        </is>
      </c>
      <c r="FP7785" s="27" t="inlineStr">
        <is>
          <t>B</t>
        </is>
      </c>
    </row>
    <row r="7786">
      <c r="FC7786" t="inlineStr">
        <is>
          <t>Diccionario 7</t>
        </is>
      </c>
      <c r="FD7786" s="26" t="inlineStr">
        <is>
          <t>LB-B1764</t>
        </is>
      </c>
      <c r="FL7786" s="27" t="inlineStr">
        <is>
          <t>B</t>
        </is>
      </c>
      <c r="FP7786" s="27" t="inlineStr">
        <is>
          <t>B</t>
        </is>
      </c>
    </row>
    <row r="7787">
      <c r="FC7787" t="inlineStr">
        <is>
          <t>Diccionario 7</t>
        </is>
      </c>
      <c r="FD7787" s="26" t="inlineStr">
        <is>
          <t>LB-B1765</t>
        </is>
      </c>
      <c r="FL7787" s="27" t="inlineStr">
        <is>
          <t>B</t>
        </is>
      </c>
      <c r="FP7787" s="27" t="inlineStr">
        <is>
          <t>B</t>
        </is>
      </c>
    </row>
    <row r="7788">
      <c r="FC7788" t="inlineStr">
        <is>
          <t>Diccionario 7</t>
        </is>
      </c>
      <c r="FD7788" s="26" t="inlineStr">
        <is>
          <t>LB-B1766</t>
        </is>
      </c>
      <c r="FL7788" s="27" t="inlineStr">
        <is>
          <t>B</t>
        </is>
      </c>
      <c r="FP7788" s="27" t="inlineStr">
        <is>
          <t>B</t>
        </is>
      </c>
    </row>
    <row r="7789">
      <c r="FC7789" t="inlineStr">
        <is>
          <t>Diccionario 7</t>
        </is>
      </c>
      <c r="FD7789" s="26" t="inlineStr">
        <is>
          <t>LB-B1767</t>
        </is>
      </c>
      <c r="FL7789" s="27" t="inlineStr">
        <is>
          <t>B</t>
        </is>
      </c>
      <c r="FP7789" s="27" t="inlineStr">
        <is>
          <t>B</t>
        </is>
      </c>
    </row>
    <row r="7790">
      <c r="FC7790" t="inlineStr">
        <is>
          <t>Diccionario 7</t>
        </is>
      </c>
      <c r="FD7790" s="26" t="inlineStr">
        <is>
          <t>LB-B1768</t>
        </is>
      </c>
      <c r="FL7790" s="27" t="inlineStr">
        <is>
          <t>B</t>
        </is>
      </c>
      <c r="FP7790" s="27" t="inlineStr">
        <is>
          <t>B</t>
        </is>
      </c>
    </row>
    <row r="7791">
      <c r="FC7791" t="inlineStr">
        <is>
          <t>Diccionario 7</t>
        </is>
      </c>
      <c r="FD7791" s="26" t="inlineStr">
        <is>
          <t>LB-B1769</t>
        </is>
      </c>
      <c r="FL7791" s="27" t="inlineStr">
        <is>
          <t>B</t>
        </is>
      </c>
      <c r="FP7791" s="27" t="inlineStr">
        <is>
          <t>B</t>
        </is>
      </c>
    </row>
    <row r="7792">
      <c r="FC7792" t="inlineStr">
        <is>
          <t>Diccionario 7</t>
        </is>
      </c>
      <c r="FD7792" s="26" t="inlineStr">
        <is>
          <t>LB-B1770</t>
        </is>
      </c>
      <c r="FL7792" s="27" t="inlineStr">
        <is>
          <t>B</t>
        </is>
      </c>
      <c r="FP7792" s="27" t="inlineStr">
        <is>
          <t>B</t>
        </is>
      </c>
    </row>
    <row r="7793">
      <c r="FC7793" t="inlineStr">
        <is>
          <t>Diccionario 7</t>
        </is>
      </c>
      <c r="FD7793" s="26" t="inlineStr">
        <is>
          <t>LB-B1771</t>
        </is>
      </c>
      <c r="FL7793" s="27" t="inlineStr">
        <is>
          <t>B</t>
        </is>
      </c>
      <c r="FP7793" s="27" t="inlineStr">
        <is>
          <t>B</t>
        </is>
      </c>
    </row>
    <row r="7794">
      <c r="FC7794" t="inlineStr">
        <is>
          <t>Diccionario 7</t>
        </is>
      </c>
      <c r="FD7794" s="26" t="inlineStr">
        <is>
          <t>LB-B1772</t>
        </is>
      </c>
      <c r="FL7794" s="27" t="inlineStr">
        <is>
          <t>B</t>
        </is>
      </c>
      <c r="FP7794" s="27" t="inlineStr">
        <is>
          <t>B</t>
        </is>
      </c>
    </row>
    <row r="7795">
      <c r="FC7795" t="inlineStr">
        <is>
          <t>Diccionario 7</t>
        </is>
      </c>
      <c r="FD7795" s="26" t="inlineStr">
        <is>
          <t>DC-B1773</t>
        </is>
      </c>
      <c r="FL7795" s="27" t="inlineStr">
        <is>
          <t>B</t>
        </is>
      </c>
      <c r="FP7795" s="27" t="inlineStr">
        <is>
          <t>B</t>
        </is>
      </c>
    </row>
    <row r="7796">
      <c r="FC7796" t="inlineStr">
        <is>
          <t>Diccionario 7</t>
        </is>
      </c>
      <c r="FD7796" s="26" t="inlineStr">
        <is>
          <t>DC-B1774</t>
        </is>
      </c>
      <c r="FL7796" s="27" t="inlineStr">
        <is>
          <t>B</t>
        </is>
      </c>
      <c r="FP7796" s="27" t="inlineStr">
        <is>
          <t>B</t>
        </is>
      </c>
    </row>
    <row r="7797">
      <c r="FC7797" t="inlineStr">
        <is>
          <t>Diccionario 7</t>
        </is>
      </c>
      <c r="FD7797" s="26" t="inlineStr">
        <is>
          <t>DC-B1775</t>
        </is>
      </c>
      <c r="FL7797" s="27" t="inlineStr">
        <is>
          <t>B</t>
        </is>
      </c>
      <c r="FP7797" s="27" t="inlineStr">
        <is>
          <t>B</t>
        </is>
      </c>
    </row>
    <row r="7798">
      <c r="FC7798" t="inlineStr">
        <is>
          <t>Diccionario 7</t>
        </is>
      </c>
      <c r="FD7798" s="26" t="inlineStr">
        <is>
          <t>DC-B1776</t>
        </is>
      </c>
      <c r="FL7798" s="27" t="inlineStr">
        <is>
          <t>B</t>
        </is>
      </c>
      <c r="FP7798" s="27" t="inlineStr">
        <is>
          <t>B</t>
        </is>
      </c>
    </row>
    <row r="7799">
      <c r="FC7799" t="inlineStr">
        <is>
          <t>Diccionario 7</t>
        </is>
      </c>
      <c r="FD7799" s="26" t="inlineStr">
        <is>
          <t>DC-B1777</t>
        </is>
      </c>
      <c r="FL7799" s="27" t="inlineStr">
        <is>
          <t>B</t>
        </is>
      </c>
      <c r="FP7799" s="27" t="inlineStr">
        <is>
          <t>B</t>
        </is>
      </c>
    </row>
    <row r="7800">
      <c r="FC7800" t="inlineStr">
        <is>
          <t>Diccionario 7</t>
        </is>
      </c>
      <c r="FD7800" s="26" t="inlineStr">
        <is>
          <t>DC-B1778</t>
        </is>
      </c>
      <c r="FL7800" s="27" t="inlineStr">
        <is>
          <t>B</t>
        </is>
      </c>
      <c r="FP7800" s="27" t="inlineStr">
        <is>
          <t>B</t>
        </is>
      </c>
    </row>
    <row r="7801">
      <c r="FC7801" t="inlineStr">
        <is>
          <t>Diccionario 7</t>
        </is>
      </c>
      <c r="FD7801" s="26" t="inlineStr">
        <is>
          <t>DC-B1779</t>
        </is>
      </c>
      <c r="FL7801" s="27" t="inlineStr">
        <is>
          <t>B</t>
        </is>
      </c>
      <c r="FP7801" s="27" t="inlineStr">
        <is>
          <t>B</t>
        </is>
      </c>
    </row>
    <row r="7802">
      <c r="FC7802" t="inlineStr">
        <is>
          <t>Diccionario 7</t>
        </is>
      </c>
      <c r="FD7802" s="26" t="inlineStr">
        <is>
          <t>DC-B1780</t>
        </is>
      </c>
      <c r="FL7802" s="27" t="inlineStr">
        <is>
          <t>B</t>
        </is>
      </c>
      <c r="FP7802" s="27" t="inlineStr">
        <is>
          <t>B</t>
        </is>
      </c>
    </row>
    <row r="7803">
      <c r="FC7803" t="inlineStr">
        <is>
          <t>Diccionario 7</t>
        </is>
      </c>
      <c r="FD7803" s="26" t="inlineStr">
        <is>
          <t>DC-B1781</t>
        </is>
      </c>
      <c r="FL7803" s="27" t="inlineStr">
        <is>
          <t>B</t>
        </is>
      </c>
      <c r="FP7803" s="27" t="inlineStr">
        <is>
          <t>B</t>
        </is>
      </c>
    </row>
    <row r="7804">
      <c r="FC7804" t="inlineStr">
        <is>
          <t>Diccionario 7</t>
        </is>
      </c>
      <c r="FD7804" s="26" t="inlineStr">
        <is>
          <t>DC-B1782</t>
        </is>
      </c>
      <c r="FL7804" s="27" t="inlineStr">
        <is>
          <t>B</t>
        </is>
      </c>
      <c r="FP7804" s="27" t="inlineStr">
        <is>
          <t>B</t>
        </is>
      </c>
    </row>
    <row r="7805">
      <c r="FC7805" t="inlineStr">
        <is>
          <t>Diccionario 7</t>
        </is>
      </c>
      <c r="FD7805" s="26" t="inlineStr">
        <is>
          <t>LB-B1783</t>
        </is>
      </c>
      <c r="FL7805" s="27" t="inlineStr">
        <is>
          <t>B</t>
        </is>
      </c>
      <c r="FP7805" s="27" t="inlineStr">
        <is>
          <t>B</t>
        </is>
      </c>
    </row>
    <row r="7806">
      <c r="FC7806" t="inlineStr">
        <is>
          <t>Diccionario 7</t>
        </is>
      </c>
      <c r="FD7806" s="26" t="inlineStr">
        <is>
          <t>LB-B1784</t>
        </is>
      </c>
      <c r="FL7806" s="27" t="inlineStr">
        <is>
          <t>B</t>
        </is>
      </c>
      <c r="FP7806" s="27" t="inlineStr">
        <is>
          <t>B</t>
        </is>
      </c>
    </row>
    <row r="7807">
      <c r="FC7807" t="inlineStr">
        <is>
          <t>Diccionario 7</t>
        </is>
      </c>
      <c r="FD7807" s="26" t="inlineStr">
        <is>
          <t>DC-B1785</t>
        </is>
      </c>
      <c r="FL7807" s="27" t="inlineStr">
        <is>
          <t>B</t>
        </is>
      </c>
      <c r="FP7807" s="27" t="inlineStr">
        <is>
          <t>B</t>
        </is>
      </c>
    </row>
    <row r="7808">
      <c r="FC7808" t="inlineStr">
        <is>
          <t>Diccionario 7</t>
        </is>
      </c>
      <c r="FD7808" s="26" t="inlineStr">
        <is>
          <t>LB-B1786</t>
        </is>
      </c>
      <c r="FL7808" s="27" t="inlineStr">
        <is>
          <t>B</t>
        </is>
      </c>
      <c r="FP7808" s="27" t="inlineStr">
        <is>
          <t>B</t>
        </is>
      </c>
    </row>
    <row r="7809">
      <c r="FC7809" t="inlineStr">
        <is>
          <t>Diccionario 7</t>
        </is>
      </c>
      <c r="FD7809" s="26" t="inlineStr">
        <is>
          <t>DC-B1787</t>
        </is>
      </c>
      <c r="FL7809" s="27" t="inlineStr">
        <is>
          <t>B</t>
        </is>
      </c>
      <c r="FP7809" s="27" t="inlineStr">
        <is>
          <t>B</t>
        </is>
      </c>
    </row>
    <row r="7810">
      <c r="FC7810" t="inlineStr">
        <is>
          <t>Diccionario 7</t>
        </is>
      </c>
      <c r="FD7810" s="26" t="inlineStr">
        <is>
          <t>DC-B1788</t>
        </is>
      </c>
      <c r="FL7810" s="27" t="inlineStr">
        <is>
          <t>B</t>
        </is>
      </c>
      <c r="FP7810" s="27" t="inlineStr">
        <is>
          <t>B</t>
        </is>
      </c>
    </row>
    <row r="7811">
      <c r="FC7811" t="inlineStr">
        <is>
          <t>Diccionario 7</t>
        </is>
      </c>
      <c r="FD7811" s="26" t="inlineStr">
        <is>
          <t>DC-B1789</t>
        </is>
      </c>
      <c r="FL7811" s="27" t="inlineStr">
        <is>
          <t>B</t>
        </is>
      </c>
      <c r="FP7811" s="27" t="inlineStr">
        <is>
          <t>B</t>
        </is>
      </c>
    </row>
    <row r="7812">
      <c r="FC7812" t="inlineStr">
        <is>
          <t>Diccionario 7</t>
        </is>
      </c>
      <c r="FD7812" s="26" t="inlineStr">
        <is>
          <t>DC-B1790</t>
        </is>
      </c>
      <c r="FL7812" s="27" t="inlineStr">
        <is>
          <t>B</t>
        </is>
      </c>
      <c r="FP7812" s="27" t="inlineStr">
        <is>
          <t>B</t>
        </is>
      </c>
    </row>
    <row r="7813">
      <c r="FC7813" t="inlineStr">
        <is>
          <t>Diccionario 7</t>
        </is>
      </c>
      <c r="FD7813" s="26" t="inlineStr">
        <is>
          <t>DC-B1791</t>
        </is>
      </c>
      <c r="FL7813" s="27" t="inlineStr">
        <is>
          <t>B</t>
        </is>
      </c>
      <c r="FP7813" s="27" t="inlineStr">
        <is>
          <t>B</t>
        </is>
      </c>
    </row>
    <row r="7814">
      <c r="FC7814" t="inlineStr">
        <is>
          <t>Diccionario 7</t>
        </is>
      </c>
      <c r="FD7814" s="26" t="inlineStr">
        <is>
          <t>DC-B1792</t>
        </is>
      </c>
      <c r="FL7814" s="27" t="inlineStr">
        <is>
          <t>B</t>
        </is>
      </c>
      <c r="FP7814" s="27" t="inlineStr">
        <is>
          <t>B</t>
        </is>
      </c>
    </row>
    <row r="7815">
      <c r="FC7815" t="inlineStr">
        <is>
          <t>Diccionario 7</t>
        </is>
      </c>
      <c r="FD7815" s="26" t="inlineStr">
        <is>
          <t>DC-B1793</t>
        </is>
      </c>
      <c r="FL7815" s="27" t="inlineStr">
        <is>
          <t>B</t>
        </is>
      </c>
      <c r="FP7815" s="27" t="inlineStr">
        <is>
          <t>B</t>
        </is>
      </c>
    </row>
    <row r="7816">
      <c r="FC7816" t="inlineStr">
        <is>
          <t>Diccionario 7</t>
        </is>
      </c>
      <c r="FD7816" s="26" t="inlineStr">
        <is>
          <t>DC-B1794</t>
        </is>
      </c>
      <c r="FL7816" s="27" t="inlineStr">
        <is>
          <t>B</t>
        </is>
      </c>
      <c r="FP7816" s="27" t="inlineStr">
        <is>
          <t>B</t>
        </is>
      </c>
    </row>
    <row r="7817">
      <c r="FC7817" t="inlineStr">
        <is>
          <t>Diccionario 7</t>
        </is>
      </c>
      <c r="FD7817" s="26" t="inlineStr">
        <is>
          <t>DC-B1795</t>
        </is>
      </c>
      <c r="FL7817" s="27" t="inlineStr">
        <is>
          <t>B</t>
        </is>
      </c>
      <c r="FP7817" s="27" t="inlineStr">
        <is>
          <t>B</t>
        </is>
      </c>
    </row>
    <row r="7818">
      <c r="FC7818" t="inlineStr">
        <is>
          <t>Diccionario 7</t>
        </is>
      </c>
      <c r="FD7818" s="26" t="inlineStr">
        <is>
          <t>DC-B1796</t>
        </is>
      </c>
      <c r="FL7818" s="27" t="inlineStr">
        <is>
          <t>B</t>
        </is>
      </c>
      <c r="FP7818" s="27" t="inlineStr">
        <is>
          <t>B</t>
        </is>
      </c>
    </row>
    <row r="7819">
      <c r="FC7819" t="inlineStr">
        <is>
          <t>Diccionario 7</t>
        </is>
      </c>
      <c r="FD7819" s="26" t="inlineStr">
        <is>
          <t>DC-B1797</t>
        </is>
      </c>
      <c r="FL7819" s="27" t="inlineStr">
        <is>
          <t>B</t>
        </is>
      </c>
      <c r="FP7819" s="27" t="inlineStr">
        <is>
          <t>B</t>
        </is>
      </c>
    </row>
    <row r="7820">
      <c r="FC7820" t="inlineStr">
        <is>
          <t>Diccionario 7</t>
        </is>
      </c>
      <c r="FD7820" s="26" t="inlineStr">
        <is>
          <t>DC-B1798</t>
        </is>
      </c>
      <c r="FL7820" s="27" t="inlineStr">
        <is>
          <t>B</t>
        </is>
      </c>
      <c r="FP7820" s="27" t="inlineStr">
        <is>
          <t>B</t>
        </is>
      </c>
    </row>
    <row r="7821">
      <c r="FC7821" t="inlineStr">
        <is>
          <t>Diccionario 7</t>
        </is>
      </c>
      <c r="FD7821" s="26" t="inlineStr">
        <is>
          <t>DC-B1799</t>
        </is>
      </c>
      <c r="FL7821" s="27" t="inlineStr">
        <is>
          <t>B</t>
        </is>
      </c>
      <c r="FP7821" s="27" t="inlineStr">
        <is>
          <t>B</t>
        </is>
      </c>
    </row>
    <row r="7822">
      <c r="FC7822" t="inlineStr">
        <is>
          <t>Diccionario 7</t>
        </is>
      </c>
      <c r="FD7822" s="26" t="inlineStr">
        <is>
          <t>DC-B1800</t>
        </is>
      </c>
      <c r="FL7822" s="27" t="inlineStr">
        <is>
          <t>B</t>
        </is>
      </c>
      <c r="FP7822" s="27" t="inlineStr">
        <is>
          <t>B</t>
        </is>
      </c>
    </row>
    <row r="7823">
      <c r="FC7823" t="inlineStr">
        <is>
          <t>Diccionario 7</t>
        </is>
      </c>
      <c r="FD7823" s="26" t="inlineStr">
        <is>
          <t>DC-B1801</t>
        </is>
      </c>
      <c r="FL7823" s="27" t="inlineStr">
        <is>
          <t>B</t>
        </is>
      </c>
      <c r="FP7823" s="27" t="inlineStr">
        <is>
          <t>B</t>
        </is>
      </c>
    </row>
    <row r="7824">
      <c r="FC7824" t="inlineStr">
        <is>
          <t>Diccionario 7</t>
        </is>
      </c>
      <c r="FD7824" s="26" t="inlineStr">
        <is>
          <t>DC-B1802</t>
        </is>
      </c>
      <c r="FL7824" s="27" t="inlineStr">
        <is>
          <t>B</t>
        </is>
      </c>
      <c r="FP7824" s="27" t="inlineStr">
        <is>
          <t>B</t>
        </is>
      </c>
    </row>
    <row r="7825">
      <c r="FC7825" t="inlineStr">
        <is>
          <t>Diccionario 7</t>
        </is>
      </c>
      <c r="FD7825" s="26" t="inlineStr">
        <is>
          <t>DC-B1803</t>
        </is>
      </c>
      <c r="FL7825" s="27" t="inlineStr">
        <is>
          <t>B</t>
        </is>
      </c>
      <c r="FP7825" s="27" t="inlineStr">
        <is>
          <t>B</t>
        </is>
      </c>
    </row>
    <row r="7826">
      <c r="FC7826" t="inlineStr">
        <is>
          <t>Diccionario 7</t>
        </is>
      </c>
      <c r="FD7826" s="26" t="inlineStr">
        <is>
          <t>LB-B1804</t>
        </is>
      </c>
      <c r="FL7826" s="27" t="inlineStr">
        <is>
          <t>B</t>
        </is>
      </c>
      <c r="FP7826" s="27" t="inlineStr">
        <is>
          <t>B</t>
        </is>
      </c>
    </row>
    <row r="7827">
      <c r="FC7827" t="inlineStr">
        <is>
          <t>Diccionario 7</t>
        </is>
      </c>
      <c r="FD7827" s="26" t="inlineStr">
        <is>
          <t>LB-B1805</t>
        </is>
      </c>
      <c r="FL7827" s="27" t="inlineStr">
        <is>
          <t>B</t>
        </is>
      </c>
      <c r="FP7827" s="27" t="inlineStr">
        <is>
          <t>B</t>
        </is>
      </c>
    </row>
    <row r="7828">
      <c r="FC7828" t="inlineStr">
        <is>
          <t>Diccionario 7</t>
        </is>
      </c>
      <c r="FD7828" s="26" t="inlineStr">
        <is>
          <t>LB-B1806</t>
        </is>
      </c>
      <c r="FL7828" s="27" t="inlineStr">
        <is>
          <t>B</t>
        </is>
      </c>
      <c r="FP7828" s="27" t="inlineStr">
        <is>
          <t>B</t>
        </is>
      </c>
    </row>
    <row r="7829">
      <c r="FC7829" t="inlineStr">
        <is>
          <t>Diccionario 7</t>
        </is>
      </c>
      <c r="FD7829" s="26" t="inlineStr">
        <is>
          <t>LB-B1807</t>
        </is>
      </c>
      <c r="FL7829" s="27" t="inlineStr">
        <is>
          <t>B</t>
        </is>
      </c>
      <c r="FP7829" s="27" t="inlineStr">
        <is>
          <t>B</t>
        </is>
      </c>
    </row>
    <row r="7830">
      <c r="FC7830" t="inlineStr">
        <is>
          <t>Diccionario 7</t>
        </is>
      </c>
      <c r="FD7830" s="26" t="inlineStr">
        <is>
          <t>LB-B1808</t>
        </is>
      </c>
      <c r="FL7830" s="27" t="inlineStr">
        <is>
          <t>B</t>
        </is>
      </c>
      <c r="FP7830" s="27" t="inlineStr">
        <is>
          <t>B</t>
        </is>
      </c>
    </row>
    <row r="7831">
      <c r="FC7831" t="inlineStr">
        <is>
          <t>Diccionario 7</t>
        </is>
      </c>
      <c r="FD7831" s="26" t="inlineStr">
        <is>
          <t>DC-B1809</t>
        </is>
      </c>
      <c r="FL7831" s="27" t="inlineStr">
        <is>
          <t>B</t>
        </is>
      </c>
      <c r="FP7831" s="27" t="inlineStr">
        <is>
          <t>B</t>
        </is>
      </c>
    </row>
    <row r="7832">
      <c r="FC7832" t="inlineStr">
        <is>
          <t>Diccionario 7</t>
        </is>
      </c>
      <c r="FD7832" s="26" t="inlineStr">
        <is>
          <t>DC-B1810</t>
        </is>
      </c>
      <c r="FL7832" s="27" t="inlineStr">
        <is>
          <t>B</t>
        </is>
      </c>
      <c r="FP7832" s="27" t="inlineStr">
        <is>
          <t>B</t>
        </is>
      </c>
    </row>
    <row r="7833">
      <c r="FC7833" t="inlineStr">
        <is>
          <t>Diccionario 7</t>
        </is>
      </c>
      <c r="FD7833" s="26" t="inlineStr">
        <is>
          <t>DC-B1811</t>
        </is>
      </c>
      <c r="FL7833" s="27" t="inlineStr">
        <is>
          <t>B</t>
        </is>
      </c>
      <c r="FP7833" s="27" t="inlineStr">
        <is>
          <t>B</t>
        </is>
      </c>
    </row>
    <row r="7834">
      <c r="FC7834" t="inlineStr">
        <is>
          <t>Diccionario 7</t>
        </is>
      </c>
      <c r="FD7834" s="26" t="inlineStr">
        <is>
          <t>DC-B1812</t>
        </is>
      </c>
      <c r="FL7834" s="27" t="inlineStr">
        <is>
          <t>B</t>
        </is>
      </c>
      <c r="FP7834" s="27" t="inlineStr">
        <is>
          <t>B</t>
        </is>
      </c>
    </row>
    <row r="7835">
      <c r="FC7835" t="inlineStr">
        <is>
          <t>Diccionario 7</t>
        </is>
      </c>
      <c r="FD7835" s="26" t="inlineStr">
        <is>
          <t>DC-B1813</t>
        </is>
      </c>
      <c r="FL7835" s="27" t="inlineStr">
        <is>
          <t>B</t>
        </is>
      </c>
      <c r="FP7835" s="27" t="inlineStr">
        <is>
          <t>B</t>
        </is>
      </c>
    </row>
    <row r="7836">
      <c r="FC7836" t="inlineStr">
        <is>
          <t>Diccionario 7</t>
        </is>
      </c>
      <c r="FD7836" s="26" t="inlineStr">
        <is>
          <t>DC-B1814</t>
        </is>
      </c>
      <c r="FL7836" s="27" t="inlineStr">
        <is>
          <t>B</t>
        </is>
      </c>
      <c r="FP7836" s="27" t="inlineStr">
        <is>
          <t>B</t>
        </is>
      </c>
    </row>
    <row r="7837">
      <c r="FC7837" t="inlineStr">
        <is>
          <t>Diccionario 7</t>
        </is>
      </c>
      <c r="FD7837" s="26" t="inlineStr">
        <is>
          <t>DC-B1815</t>
        </is>
      </c>
      <c r="FL7837" s="27" t="inlineStr">
        <is>
          <t>B</t>
        </is>
      </c>
      <c r="FP7837" s="27" t="inlineStr">
        <is>
          <t>B</t>
        </is>
      </c>
    </row>
    <row r="7838">
      <c r="FC7838" t="inlineStr">
        <is>
          <t>Diccionario 7</t>
        </is>
      </c>
      <c r="FD7838" s="26" t="inlineStr">
        <is>
          <t>DC-B1816</t>
        </is>
      </c>
      <c r="FL7838" s="27" t="inlineStr">
        <is>
          <t>B</t>
        </is>
      </c>
      <c r="FP7838" s="27" t="inlineStr">
        <is>
          <t>B</t>
        </is>
      </c>
    </row>
    <row r="7839">
      <c r="FC7839" t="inlineStr">
        <is>
          <t>Diccionario 7</t>
        </is>
      </c>
      <c r="FD7839" s="26" t="inlineStr">
        <is>
          <t>DC-B1817</t>
        </is>
      </c>
      <c r="FL7839" s="27" t="inlineStr">
        <is>
          <t>B</t>
        </is>
      </c>
      <c r="FP7839" s="27" t="inlineStr">
        <is>
          <t>B</t>
        </is>
      </c>
    </row>
    <row r="7840">
      <c r="FC7840" t="inlineStr">
        <is>
          <t>Diccionario 7</t>
        </is>
      </c>
      <c r="FD7840" s="26" t="inlineStr">
        <is>
          <t>DC-B1818</t>
        </is>
      </c>
      <c r="FL7840" s="27" t="inlineStr">
        <is>
          <t>B</t>
        </is>
      </c>
      <c r="FP7840" s="27" t="inlineStr">
        <is>
          <t>B</t>
        </is>
      </c>
    </row>
    <row r="7841">
      <c r="FC7841" t="inlineStr">
        <is>
          <t>Diccionario 7</t>
        </is>
      </c>
      <c r="FD7841" s="26" t="inlineStr">
        <is>
          <t>DC-B1819</t>
        </is>
      </c>
      <c r="FL7841" s="27" t="inlineStr">
        <is>
          <t>B</t>
        </is>
      </c>
      <c r="FP7841" s="27" t="inlineStr">
        <is>
          <t>B</t>
        </is>
      </c>
    </row>
    <row r="7842">
      <c r="FC7842" t="inlineStr">
        <is>
          <t>Diccionario 7</t>
        </is>
      </c>
      <c r="FD7842" s="26" t="inlineStr">
        <is>
          <t>DC-B1820</t>
        </is>
      </c>
      <c r="FL7842" s="27" t="inlineStr">
        <is>
          <t>B</t>
        </is>
      </c>
      <c r="FP7842" s="27" t="inlineStr">
        <is>
          <t>B</t>
        </is>
      </c>
    </row>
    <row r="7843">
      <c r="FC7843" t="inlineStr">
        <is>
          <t>Diccionario 7</t>
        </is>
      </c>
      <c r="FD7843" s="26" t="inlineStr">
        <is>
          <t>DC-B1821</t>
        </is>
      </c>
      <c r="FL7843" s="27" t="inlineStr">
        <is>
          <t>B</t>
        </is>
      </c>
      <c r="FP7843" s="27" t="inlineStr">
        <is>
          <t>B</t>
        </is>
      </c>
    </row>
    <row r="7844">
      <c r="FC7844" t="inlineStr">
        <is>
          <t>Diccionario 7</t>
        </is>
      </c>
      <c r="FD7844" s="26" t="inlineStr">
        <is>
          <t>DC-B1822</t>
        </is>
      </c>
      <c r="FL7844" s="27" t="inlineStr">
        <is>
          <t>B</t>
        </is>
      </c>
      <c r="FP7844" s="27" t="inlineStr">
        <is>
          <t>B</t>
        </is>
      </c>
    </row>
    <row r="7845">
      <c r="FC7845" t="inlineStr">
        <is>
          <t>Diccionario 7</t>
        </is>
      </c>
      <c r="FD7845" s="26" t="inlineStr">
        <is>
          <t>DC-B1823</t>
        </is>
      </c>
      <c r="FL7845" s="27" t="inlineStr">
        <is>
          <t>B</t>
        </is>
      </c>
      <c r="FP7845" s="27" t="inlineStr">
        <is>
          <t>B</t>
        </is>
      </c>
    </row>
    <row r="7846">
      <c r="FC7846" t="inlineStr">
        <is>
          <t>Diccionario 7</t>
        </is>
      </c>
      <c r="FD7846" s="26" t="inlineStr">
        <is>
          <t>DC-B1824</t>
        </is>
      </c>
      <c r="FL7846" s="27" t="inlineStr">
        <is>
          <t>B</t>
        </is>
      </c>
      <c r="FP7846" s="27" t="inlineStr">
        <is>
          <t>B</t>
        </is>
      </c>
    </row>
    <row r="7847">
      <c r="FC7847" t="inlineStr">
        <is>
          <t>Diccionario 7</t>
        </is>
      </c>
      <c r="FD7847" s="26" t="inlineStr">
        <is>
          <t>DC-B1825</t>
        </is>
      </c>
      <c r="FL7847" s="27" t="inlineStr">
        <is>
          <t>B</t>
        </is>
      </c>
      <c r="FP7847" s="27" t="inlineStr">
        <is>
          <t>B</t>
        </is>
      </c>
    </row>
    <row r="7848">
      <c r="FC7848" t="inlineStr">
        <is>
          <t>Diccionario 7</t>
        </is>
      </c>
      <c r="FD7848" s="26" t="inlineStr">
        <is>
          <t>DC-B1826</t>
        </is>
      </c>
      <c r="FL7848" s="27" t="inlineStr">
        <is>
          <t>B</t>
        </is>
      </c>
      <c r="FP7848" s="27" t="inlineStr">
        <is>
          <t>B</t>
        </is>
      </c>
    </row>
    <row r="7849">
      <c r="FC7849" t="inlineStr">
        <is>
          <t>Diccionario 7</t>
        </is>
      </c>
      <c r="FD7849" s="26" t="inlineStr">
        <is>
          <t>DC-B1827</t>
        </is>
      </c>
      <c r="FL7849" s="27" t="inlineStr">
        <is>
          <t>B</t>
        </is>
      </c>
      <c r="FP7849" s="27" t="inlineStr">
        <is>
          <t>B</t>
        </is>
      </c>
    </row>
    <row r="7850">
      <c r="FC7850" t="inlineStr">
        <is>
          <t>Diccionario 7</t>
        </is>
      </c>
      <c r="FD7850" s="26" t="inlineStr">
        <is>
          <t>DC-B1828</t>
        </is>
      </c>
      <c r="FL7850" s="27" t="inlineStr">
        <is>
          <t>B</t>
        </is>
      </c>
      <c r="FP7850" s="27" t="inlineStr">
        <is>
          <t>B</t>
        </is>
      </c>
    </row>
    <row r="7851">
      <c r="FC7851" t="inlineStr">
        <is>
          <t>Diccionario 7</t>
        </is>
      </c>
      <c r="FD7851" s="26" t="inlineStr">
        <is>
          <t>DC-B1829</t>
        </is>
      </c>
      <c r="FL7851" s="27" t="inlineStr">
        <is>
          <t>B</t>
        </is>
      </c>
      <c r="FP7851" s="27" t="inlineStr">
        <is>
          <t>B</t>
        </is>
      </c>
    </row>
    <row r="7852">
      <c r="FC7852" t="inlineStr">
        <is>
          <t>Diccionario 7</t>
        </is>
      </c>
      <c r="FD7852" s="26" t="inlineStr">
        <is>
          <t>DC-B1830</t>
        </is>
      </c>
      <c r="FL7852" s="27" t="inlineStr">
        <is>
          <t>B</t>
        </is>
      </c>
      <c r="FP7852" s="27" t="inlineStr">
        <is>
          <t>B</t>
        </is>
      </c>
    </row>
    <row r="7853">
      <c r="FC7853" t="inlineStr">
        <is>
          <t>Diccionario 7</t>
        </is>
      </c>
      <c r="FD7853" s="26" t="inlineStr">
        <is>
          <t>DC-B1831</t>
        </is>
      </c>
      <c r="FL7853" s="27" t="inlineStr">
        <is>
          <t>B</t>
        </is>
      </c>
      <c r="FP7853" s="27" t="inlineStr">
        <is>
          <t>B</t>
        </is>
      </c>
    </row>
    <row r="7854">
      <c r="FC7854" t="inlineStr">
        <is>
          <t>Diccionario 7</t>
        </is>
      </c>
      <c r="FD7854" s="26" t="inlineStr">
        <is>
          <t>DC-B1832</t>
        </is>
      </c>
      <c r="FL7854" s="27" t="inlineStr">
        <is>
          <t>B</t>
        </is>
      </c>
      <c r="FP7854" s="27" t="inlineStr">
        <is>
          <t>B</t>
        </is>
      </c>
    </row>
    <row r="7855">
      <c r="FC7855" t="inlineStr">
        <is>
          <t>Diccionario 7</t>
        </is>
      </c>
      <c r="FD7855" s="26" t="inlineStr">
        <is>
          <t>DC-B1833</t>
        </is>
      </c>
      <c r="FL7855" s="27" t="inlineStr">
        <is>
          <t>B</t>
        </is>
      </c>
      <c r="FP7855" s="27" t="inlineStr">
        <is>
          <t>B</t>
        </is>
      </c>
    </row>
    <row r="7856">
      <c r="FC7856" t="inlineStr">
        <is>
          <t>Diccionario 7</t>
        </is>
      </c>
      <c r="FD7856" s="26" t="inlineStr">
        <is>
          <t>DC-B1834</t>
        </is>
      </c>
      <c r="FL7856" s="27" t="inlineStr">
        <is>
          <t>B</t>
        </is>
      </c>
      <c r="FP7856" s="27" t="inlineStr">
        <is>
          <t>B</t>
        </is>
      </c>
    </row>
    <row r="7857">
      <c r="FC7857" t="inlineStr">
        <is>
          <t>Diccionario 7</t>
        </is>
      </c>
      <c r="FD7857" s="26" t="inlineStr">
        <is>
          <t>DC-B1835</t>
        </is>
      </c>
      <c r="FL7857" s="27" t="inlineStr">
        <is>
          <t>B</t>
        </is>
      </c>
      <c r="FP7857" s="27" t="inlineStr">
        <is>
          <t>B</t>
        </is>
      </c>
    </row>
    <row r="7858">
      <c r="FC7858" t="inlineStr">
        <is>
          <t>Diccionario 7</t>
        </is>
      </c>
      <c r="FD7858" s="26" t="inlineStr">
        <is>
          <t>DC-B1836</t>
        </is>
      </c>
      <c r="FL7858" s="27" t="inlineStr">
        <is>
          <t>B</t>
        </is>
      </c>
      <c r="FP7858" s="27" t="inlineStr">
        <is>
          <t>B</t>
        </is>
      </c>
    </row>
    <row r="7859">
      <c r="FC7859" t="inlineStr">
        <is>
          <t>Diccionario 7</t>
        </is>
      </c>
      <c r="FD7859" s="26" t="inlineStr">
        <is>
          <t>DC-B1837</t>
        </is>
      </c>
      <c r="FL7859" s="27" t="inlineStr">
        <is>
          <t>B</t>
        </is>
      </c>
      <c r="FP7859" s="27" t="inlineStr">
        <is>
          <t>B</t>
        </is>
      </c>
    </row>
    <row r="7860">
      <c r="FC7860" t="inlineStr">
        <is>
          <t>Diccionario 7</t>
        </is>
      </c>
      <c r="FD7860" s="26" t="inlineStr">
        <is>
          <t>DC-B1838</t>
        </is>
      </c>
      <c r="FL7860" s="27" t="inlineStr">
        <is>
          <t>B</t>
        </is>
      </c>
      <c r="FP7860" s="27" t="inlineStr">
        <is>
          <t>B</t>
        </is>
      </c>
    </row>
    <row r="7861">
      <c r="FC7861" t="inlineStr">
        <is>
          <t>Diccionario 7</t>
        </is>
      </c>
      <c r="FD7861" s="26" t="inlineStr">
        <is>
          <t>DC-B1839</t>
        </is>
      </c>
      <c r="FL7861" s="27" t="inlineStr">
        <is>
          <t>B</t>
        </is>
      </c>
      <c r="FP7861" s="27" t="inlineStr">
        <is>
          <t>B</t>
        </is>
      </c>
    </row>
    <row r="7862">
      <c r="FC7862" t="inlineStr">
        <is>
          <t>Diccionario 7</t>
        </is>
      </c>
      <c r="FD7862" s="26" t="inlineStr">
        <is>
          <t>DC-B1840</t>
        </is>
      </c>
      <c r="FL7862" s="27" t="inlineStr">
        <is>
          <t>B</t>
        </is>
      </c>
      <c r="FP7862" s="27" t="inlineStr">
        <is>
          <t>B</t>
        </is>
      </c>
    </row>
    <row r="7863">
      <c r="FC7863" t="inlineStr">
        <is>
          <t>Diccionario 7</t>
        </is>
      </c>
      <c r="FD7863" s="26" t="inlineStr">
        <is>
          <t>DC-B1841</t>
        </is>
      </c>
      <c r="FL7863" s="27" t="inlineStr">
        <is>
          <t>B</t>
        </is>
      </c>
      <c r="FP7863" s="27" t="inlineStr">
        <is>
          <t>B</t>
        </is>
      </c>
    </row>
    <row r="7864">
      <c r="FC7864" t="inlineStr">
        <is>
          <t>Diccionario 7</t>
        </is>
      </c>
      <c r="FD7864" s="26" t="inlineStr">
        <is>
          <t>DC-B1842</t>
        </is>
      </c>
      <c r="FL7864" s="27" t="inlineStr">
        <is>
          <t>B</t>
        </is>
      </c>
      <c r="FP7864" s="27" t="inlineStr">
        <is>
          <t>B</t>
        </is>
      </c>
    </row>
    <row r="7865">
      <c r="FC7865" t="inlineStr">
        <is>
          <t>Diccionario 7</t>
        </is>
      </c>
      <c r="FD7865" s="26" t="inlineStr">
        <is>
          <t>DC-B1843</t>
        </is>
      </c>
      <c r="FL7865" s="27" t="inlineStr">
        <is>
          <t>B</t>
        </is>
      </c>
      <c r="FP7865" s="27" t="inlineStr">
        <is>
          <t>B</t>
        </is>
      </c>
    </row>
    <row r="7866">
      <c r="FC7866" t="inlineStr">
        <is>
          <t>Diccionario 7</t>
        </is>
      </c>
      <c r="FD7866" s="26" t="inlineStr">
        <is>
          <t>DC-B1844</t>
        </is>
      </c>
      <c r="FL7866" s="27" t="inlineStr">
        <is>
          <t>B</t>
        </is>
      </c>
      <c r="FP7866" s="27" t="inlineStr">
        <is>
          <t>B</t>
        </is>
      </c>
    </row>
    <row r="7867">
      <c r="FC7867" t="inlineStr">
        <is>
          <t>Diccionario 7</t>
        </is>
      </c>
      <c r="FD7867" s="26" t="inlineStr">
        <is>
          <t>DC-B1845</t>
        </is>
      </c>
      <c r="FL7867" s="27" t="inlineStr">
        <is>
          <t>B</t>
        </is>
      </c>
      <c r="FP7867" s="27" t="inlineStr">
        <is>
          <t>B</t>
        </is>
      </c>
    </row>
    <row r="7868">
      <c r="FC7868" t="inlineStr">
        <is>
          <t>Diccionario 7</t>
        </is>
      </c>
      <c r="FD7868" s="26" t="inlineStr">
        <is>
          <t>DC-B1846</t>
        </is>
      </c>
      <c r="FL7868" s="27" t="inlineStr">
        <is>
          <t>B</t>
        </is>
      </c>
      <c r="FP7868" s="27" t="inlineStr">
        <is>
          <t>B</t>
        </is>
      </c>
    </row>
    <row r="7869">
      <c r="FC7869" t="inlineStr">
        <is>
          <t>Diccionario 7</t>
        </is>
      </c>
      <c r="FD7869" s="26" t="inlineStr">
        <is>
          <t>DC-B1847</t>
        </is>
      </c>
      <c r="FL7869" s="27" t="inlineStr">
        <is>
          <t>B</t>
        </is>
      </c>
      <c r="FP7869" s="27" t="inlineStr">
        <is>
          <t>B</t>
        </is>
      </c>
    </row>
    <row r="7870">
      <c r="FC7870" t="inlineStr">
        <is>
          <t>Diccionario 7</t>
        </is>
      </c>
      <c r="FD7870" s="26" t="inlineStr">
        <is>
          <t>DC-B1848</t>
        </is>
      </c>
      <c r="FL7870" s="27" t="inlineStr">
        <is>
          <t>B</t>
        </is>
      </c>
      <c r="FP7870" s="27" t="inlineStr">
        <is>
          <t>B</t>
        </is>
      </c>
    </row>
    <row r="7871">
      <c r="FC7871" t="inlineStr">
        <is>
          <t>Diccionario 7</t>
        </is>
      </c>
      <c r="FD7871" s="26" t="inlineStr">
        <is>
          <t>DC-B1849</t>
        </is>
      </c>
      <c r="FL7871" s="27" t="inlineStr">
        <is>
          <t>B</t>
        </is>
      </c>
      <c r="FP7871" s="27" t="inlineStr">
        <is>
          <t>B</t>
        </is>
      </c>
    </row>
    <row r="7872">
      <c r="FC7872" t="inlineStr">
        <is>
          <t>Diccionario 7</t>
        </is>
      </c>
      <c r="FD7872" s="26" t="inlineStr">
        <is>
          <t>DC-B1850</t>
        </is>
      </c>
      <c r="FL7872" s="27" t="inlineStr">
        <is>
          <t>B</t>
        </is>
      </c>
      <c r="FP7872" s="27" t="inlineStr">
        <is>
          <t>B</t>
        </is>
      </c>
    </row>
    <row r="7873">
      <c r="FC7873" t="inlineStr">
        <is>
          <t>Diccionario 7</t>
        </is>
      </c>
      <c r="FD7873" s="26" t="inlineStr">
        <is>
          <t>DC-B1851</t>
        </is>
      </c>
      <c r="FL7873" s="27" t="inlineStr">
        <is>
          <t>B</t>
        </is>
      </c>
      <c r="FP7873" s="27" t="inlineStr">
        <is>
          <t>B</t>
        </is>
      </c>
    </row>
    <row r="7874">
      <c r="FC7874" t="inlineStr">
        <is>
          <t>Diccionario 7</t>
        </is>
      </c>
      <c r="FD7874" s="26" t="inlineStr">
        <is>
          <t>DC-B1852</t>
        </is>
      </c>
      <c r="FL7874" s="27" t="inlineStr">
        <is>
          <t>B</t>
        </is>
      </c>
      <c r="FP7874" s="27" t="inlineStr">
        <is>
          <t>B</t>
        </is>
      </c>
    </row>
    <row r="7875">
      <c r="FC7875" t="inlineStr">
        <is>
          <t>Diccionario 7</t>
        </is>
      </c>
      <c r="FD7875" s="26" t="inlineStr">
        <is>
          <t>DC-B1853</t>
        </is>
      </c>
      <c r="FL7875" s="27" t="inlineStr">
        <is>
          <t>B</t>
        </is>
      </c>
      <c r="FP7875" s="27" t="inlineStr">
        <is>
          <t>B</t>
        </is>
      </c>
    </row>
    <row r="7876">
      <c r="FC7876" t="inlineStr">
        <is>
          <t>Diccionario 7</t>
        </is>
      </c>
      <c r="FD7876" s="26" t="inlineStr">
        <is>
          <t>DC-B1854</t>
        </is>
      </c>
      <c r="FL7876" s="27" t="inlineStr">
        <is>
          <t>B</t>
        </is>
      </c>
      <c r="FP7876" s="27" t="inlineStr">
        <is>
          <t>B</t>
        </is>
      </c>
    </row>
    <row r="7877">
      <c r="FC7877" t="inlineStr">
        <is>
          <t>Diccionario 7</t>
        </is>
      </c>
      <c r="FD7877" s="26" t="inlineStr">
        <is>
          <t>DC-B1855</t>
        </is>
      </c>
      <c r="FL7877" s="27" t="inlineStr">
        <is>
          <t>B</t>
        </is>
      </c>
      <c r="FP7877" s="27" t="inlineStr">
        <is>
          <t>B</t>
        </is>
      </c>
    </row>
    <row r="7878">
      <c r="FC7878" t="inlineStr">
        <is>
          <t>Diccionario 7</t>
        </is>
      </c>
      <c r="FD7878" s="26" t="inlineStr">
        <is>
          <t>DC-B1856</t>
        </is>
      </c>
      <c r="FL7878" s="27" t="inlineStr">
        <is>
          <t>B</t>
        </is>
      </c>
      <c r="FP7878" s="27" t="inlineStr">
        <is>
          <t>B</t>
        </is>
      </c>
    </row>
    <row r="7879">
      <c r="FC7879" t="inlineStr">
        <is>
          <t>Diccionario 7</t>
        </is>
      </c>
      <c r="FD7879" s="26" t="inlineStr">
        <is>
          <t>DC-B1857</t>
        </is>
      </c>
      <c r="FL7879" s="27" t="inlineStr">
        <is>
          <t>B</t>
        </is>
      </c>
      <c r="FP7879" s="27" t="inlineStr">
        <is>
          <t>B</t>
        </is>
      </c>
    </row>
    <row r="7880">
      <c r="FC7880" t="inlineStr">
        <is>
          <t>Diccionario 7</t>
        </is>
      </c>
      <c r="FD7880" s="26" t="inlineStr">
        <is>
          <t>DC-B1858</t>
        </is>
      </c>
      <c r="FL7880" s="27" t="inlineStr">
        <is>
          <t>B</t>
        </is>
      </c>
      <c r="FP7880" s="27" t="inlineStr">
        <is>
          <t>B</t>
        </is>
      </c>
    </row>
    <row r="7881">
      <c r="FC7881" t="inlineStr">
        <is>
          <t>Diccionario 7</t>
        </is>
      </c>
      <c r="FD7881" s="26" t="inlineStr">
        <is>
          <t>DC-B1859</t>
        </is>
      </c>
      <c r="FL7881" s="27" t="inlineStr">
        <is>
          <t>B</t>
        </is>
      </c>
      <c r="FP7881" s="27" t="inlineStr">
        <is>
          <t>B</t>
        </is>
      </c>
    </row>
    <row r="7882">
      <c r="FC7882" t="inlineStr">
        <is>
          <t>Diccionario 7</t>
        </is>
      </c>
      <c r="FD7882" s="26" t="inlineStr">
        <is>
          <t>DC-B1860</t>
        </is>
      </c>
      <c r="FL7882" s="27" t="inlineStr">
        <is>
          <t>B</t>
        </is>
      </c>
      <c r="FP7882" s="27" t="inlineStr">
        <is>
          <t>B</t>
        </is>
      </c>
    </row>
    <row r="7883">
      <c r="FC7883" t="inlineStr">
        <is>
          <t>Diccionario 7</t>
        </is>
      </c>
      <c r="FD7883" s="26" t="inlineStr">
        <is>
          <t>DC-B1861</t>
        </is>
      </c>
      <c r="FL7883" s="27" t="inlineStr">
        <is>
          <t>B</t>
        </is>
      </c>
      <c r="FP7883" s="27" t="inlineStr">
        <is>
          <t>B</t>
        </is>
      </c>
    </row>
    <row r="7884">
      <c r="FC7884" t="inlineStr">
        <is>
          <t>Diccionario 7</t>
        </is>
      </c>
      <c r="FD7884" s="26" t="inlineStr">
        <is>
          <t>DC-B1862</t>
        </is>
      </c>
      <c r="FL7884" s="27" t="inlineStr">
        <is>
          <t>B</t>
        </is>
      </c>
      <c r="FP7884" s="27" t="inlineStr">
        <is>
          <t>B</t>
        </is>
      </c>
    </row>
    <row r="7885">
      <c r="FC7885" t="inlineStr">
        <is>
          <t>Diccionario 7</t>
        </is>
      </c>
      <c r="FD7885" s="26" t="inlineStr">
        <is>
          <t>DC-B1863</t>
        </is>
      </c>
      <c r="FL7885" s="27" t="inlineStr">
        <is>
          <t>B</t>
        </is>
      </c>
      <c r="FP7885" s="27" t="inlineStr">
        <is>
          <t>B</t>
        </is>
      </c>
    </row>
    <row r="7886">
      <c r="FC7886" t="inlineStr">
        <is>
          <t>Diccionario 7</t>
        </is>
      </c>
      <c r="FD7886" s="26" t="inlineStr">
        <is>
          <t>DC-B1864</t>
        </is>
      </c>
      <c r="FL7886" s="27" t="inlineStr">
        <is>
          <t>B</t>
        </is>
      </c>
      <c r="FP7886" s="27" t="inlineStr">
        <is>
          <t>B</t>
        </is>
      </c>
    </row>
    <row r="7887">
      <c r="FC7887" t="inlineStr">
        <is>
          <t>Diccionario 7</t>
        </is>
      </c>
      <c r="FD7887" s="26" t="inlineStr">
        <is>
          <t>DC-B1865</t>
        </is>
      </c>
      <c r="FL7887" s="27" t="inlineStr">
        <is>
          <t>B</t>
        </is>
      </c>
      <c r="FP7887" s="27" t="inlineStr">
        <is>
          <t>B</t>
        </is>
      </c>
    </row>
    <row r="7888">
      <c r="FC7888" t="inlineStr">
        <is>
          <t>Diccionario 7</t>
        </is>
      </c>
      <c r="FD7888" s="26" t="inlineStr">
        <is>
          <t>DC-B1866</t>
        </is>
      </c>
      <c r="FL7888" s="27" t="inlineStr">
        <is>
          <t>B</t>
        </is>
      </c>
      <c r="FP7888" s="27" t="inlineStr">
        <is>
          <t>B</t>
        </is>
      </c>
    </row>
    <row r="7889">
      <c r="FC7889" t="inlineStr">
        <is>
          <t>Diccionario 7</t>
        </is>
      </c>
      <c r="FD7889" s="26" t="inlineStr">
        <is>
          <t>DC-B1867</t>
        </is>
      </c>
      <c r="FL7889" s="27" t="inlineStr">
        <is>
          <t>B</t>
        </is>
      </c>
      <c r="FP7889" s="27" t="inlineStr">
        <is>
          <t>B</t>
        </is>
      </c>
    </row>
    <row r="7890">
      <c r="FC7890" t="inlineStr">
        <is>
          <t>Diccionario 7</t>
        </is>
      </c>
      <c r="FD7890" s="26" t="inlineStr">
        <is>
          <t>DC-B1868</t>
        </is>
      </c>
      <c r="FL7890" s="27" t="inlineStr">
        <is>
          <t>B</t>
        </is>
      </c>
      <c r="FP7890" s="27" t="inlineStr">
        <is>
          <t>B</t>
        </is>
      </c>
    </row>
    <row r="7891">
      <c r="FC7891" t="inlineStr">
        <is>
          <t>Diccionario 7</t>
        </is>
      </c>
      <c r="FD7891" s="26" t="inlineStr">
        <is>
          <t>LA-B1869</t>
        </is>
      </c>
      <c r="FL7891" s="27" t="inlineStr">
        <is>
          <t>B</t>
        </is>
      </c>
      <c r="FP7891" s="27" t="inlineStr">
        <is>
          <t>B</t>
        </is>
      </c>
    </row>
    <row r="7892">
      <c r="FC7892" t="inlineStr">
        <is>
          <t>Diccionario 7</t>
        </is>
      </c>
      <c r="FD7892" s="26" t="inlineStr">
        <is>
          <t>LA-B1870</t>
        </is>
      </c>
      <c r="FL7892" s="27" t="inlineStr">
        <is>
          <t>B</t>
        </is>
      </c>
      <c r="FP7892" s="27" t="inlineStr">
        <is>
          <t>B</t>
        </is>
      </c>
    </row>
    <row r="7893">
      <c r="FC7893" t="inlineStr">
        <is>
          <t>Diccionario 7</t>
        </is>
      </c>
      <c r="FD7893" s="26" t="inlineStr">
        <is>
          <t>LA-B1871</t>
        </is>
      </c>
      <c r="FL7893" s="27" t="inlineStr">
        <is>
          <t>B</t>
        </is>
      </c>
      <c r="FP7893" s="27" t="inlineStr">
        <is>
          <t>B</t>
        </is>
      </c>
    </row>
    <row r="7894">
      <c r="FC7894" t="inlineStr">
        <is>
          <t>Diccionario 7</t>
        </is>
      </c>
      <c r="FD7894" s="26" t="inlineStr">
        <is>
          <t>LA-B1872</t>
        </is>
      </c>
      <c r="FL7894" s="27" t="inlineStr">
        <is>
          <t>B</t>
        </is>
      </c>
      <c r="FP7894" s="27" t="inlineStr">
        <is>
          <t>B</t>
        </is>
      </c>
    </row>
    <row r="7895">
      <c r="FC7895" t="inlineStr">
        <is>
          <t>Diccionario 7</t>
        </is>
      </c>
      <c r="FD7895" s="26" t="inlineStr">
        <is>
          <t>LA-B1873</t>
        </is>
      </c>
      <c r="FL7895" s="27" t="inlineStr">
        <is>
          <t>B</t>
        </is>
      </c>
      <c r="FP7895" s="27" t="inlineStr">
        <is>
          <t>B</t>
        </is>
      </c>
    </row>
    <row r="7896">
      <c r="FC7896" t="inlineStr">
        <is>
          <t>Diccionario 7</t>
        </is>
      </c>
      <c r="FD7896" s="26" t="inlineStr">
        <is>
          <t>LA-B1874</t>
        </is>
      </c>
      <c r="FL7896" s="27" t="inlineStr">
        <is>
          <t>B</t>
        </is>
      </c>
      <c r="FP7896" s="27" t="inlineStr">
        <is>
          <t>B</t>
        </is>
      </c>
    </row>
    <row r="7897">
      <c r="FC7897" t="inlineStr">
        <is>
          <t>Diccionario 7</t>
        </is>
      </c>
      <c r="FD7897" s="26" t="inlineStr">
        <is>
          <t>LA-B1875</t>
        </is>
      </c>
      <c r="FL7897" s="27" t="inlineStr">
        <is>
          <t>B</t>
        </is>
      </c>
      <c r="FP7897" s="27" t="inlineStr">
        <is>
          <t>B</t>
        </is>
      </c>
    </row>
    <row r="7898">
      <c r="FC7898" t="inlineStr">
        <is>
          <t>Diccionario 7</t>
        </is>
      </c>
      <c r="FD7898" s="26" t="inlineStr">
        <is>
          <t>LA-B1876</t>
        </is>
      </c>
      <c r="FL7898" s="27" t="inlineStr">
        <is>
          <t>B</t>
        </is>
      </c>
      <c r="FP7898" s="27" t="inlineStr">
        <is>
          <t>B</t>
        </is>
      </c>
    </row>
    <row r="7899">
      <c r="FC7899" t="inlineStr">
        <is>
          <t>Diccionario 7</t>
        </is>
      </c>
      <c r="FD7899" s="26" t="inlineStr">
        <is>
          <t>LA-B1877</t>
        </is>
      </c>
      <c r="FL7899" s="27" t="inlineStr">
        <is>
          <t>B</t>
        </is>
      </c>
      <c r="FP7899" s="27" t="inlineStr">
        <is>
          <t>B</t>
        </is>
      </c>
    </row>
    <row r="7900">
      <c r="FC7900" t="inlineStr">
        <is>
          <t>Diccionario 7</t>
        </is>
      </c>
      <c r="FD7900" s="26" t="inlineStr">
        <is>
          <t>LA-B1878</t>
        </is>
      </c>
      <c r="FL7900" s="27" t="inlineStr">
        <is>
          <t>B</t>
        </is>
      </c>
      <c r="FP7900" s="27" t="inlineStr">
        <is>
          <t>B</t>
        </is>
      </c>
    </row>
    <row r="7901">
      <c r="FC7901" t="inlineStr">
        <is>
          <t>Diccionario 7</t>
        </is>
      </c>
      <c r="FD7901" s="26" t="inlineStr">
        <is>
          <t>LA-B1879</t>
        </is>
      </c>
      <c r="FL7901" s="27" t="inlineStr">
        <is>
          <t>B</t>
        </is>
      </c>
      <c r="FP7901" s="27" t="inlineStr">
        <is>
          <t>B</t>
        </is>
      </c>
    </row>
    <row r="7902">
      <c r="FC7902" t="inlineStr">
        <is>
          <t>Diccionario 7</t>
        </is>
      </c>
      <c r="FD7902" s="26" t="inlineStr">
        <is>
          <t>LA-A1880</t>
        </is>
      </c>
      <c r="FL7902" s="27" t="inlineStr">
        <is>
          <t>A</t>
        </is>
      </c>
      <c r="FP7902" s="27" t="inlineStr">
        <is>
          <t>A</t>
        </is>
      </c>
    </row>
    <row r="7903">
      <c r="FC7903" t="inlineStr">
        <is>
          <t>Diccionario 7</t>
        </is>
      </c>
      <c r="FD7903" s="26" t="inlineStr">
        <is>
          <t>LA-A1881</t>
        </is>
      </c>
      <c r="FL7903" s="27" t="inlineStr">
        <is>
          <t>A</t>
        </is>
      </c>
      <c r="FP7903" s="27" t="inlineStr">
        <is>
          <t>A</t>
        </is>
      </c>
    </row>
    <row r="7904">
      <c r="FC7904" t="inlineStr">
        <is>
          <t>Diccionario 7</t>
        </is>
      </c>
      <c r="FD7904" s="26" t="inlineStr">
        <is>
          <t>LA-A1882</t>
        </is>
      </c>
      <c r="FL7904" s="27" t="inlineStr">
        <is>
          <t>A</t>
        </is>
      </c>
      <c r="FP7904" s="27" t="inlineStr">
        <is>
          <t>A</t>
        </is>
      </c>
    </row>
    <row r="7905">
      <c r="FC7905" t="inlineStr">
        <is>
          <t>Diccionario 7</t>
        </is>
      </c>
      <c r="FD7905" s="26" t="inlineStr">
        <is>
          <t>LA-A1883</t>
        </is>
      </c>
      <c r="FL7905" s="27" t="inlineStr">
        <is>
          <t>A</t>
        </is>
      </c>
      <c r="FP7905" s="27" t="inlineStr">
        <is>
          <t>A</t>
        </is>
      </c>
    </row>
    <row r="7906">
      <c r="FC7906" t="inlineStr">
        <is>
          <t>Diccionario 7</t>
        </is>
      </c>
      <c r="FD7906" s="26" t="inlineStr">
        <is>
          <t>LA-A1884</t>
        </is>
      </c>
      <c r="FL7906" s="27" t="inlineStr">
        <is>
          <t>A</t>
        </is>
      </c>
      <c r="FP7906" s="27" t="inlineStr">
        <is>
          <t>A</t>
        </is>
      </c>
    </row>
    <row r="7907">
      <c r="FC7907" t="inlineStr">
        <is>
          <t>Diccionario 7</t>
        </is>
      </c>
      <c r="FD7907" s="26" t="inlineStr">
        <is>
          <t>LA-A1885</t>
        </is>
      </c>
      <c r="FL7907" s="27" t="inlineStr">
        <is>
          <t>A</t>
        </is>
      </c>
      <c r="FP7907" s="27" t="inlineStr">
        <is>
          <t>A</t>
        </is>
      </c>
    </row>
    <row r="7908">
      <c r="FC7908" t="inlineStr">
        <is>
          <t>Diccionario 7</t>
        </is>
      </c>
      <c r="FD7908" s="26" t="inlineStr">
        <is>
          <t>LA-A1886</t>
        </is>
      </c>
      <c r="FL7908" s="27" t="inlineStr">
        <is>
          <t>A</t>
        </is>
      </c>
      <c r="FP7908" s="27" t="inlineStr">
        <is>
          <t>A</t>
        </is>
      </c>
    </row>
    <row r="7909">
      <c r="FC7909" t="inlineStr">
        <is>
          <t>Diccionario 7</t>
        </is>
      </c>
      <c r="FD7909" s="26" t="inlineStr">
        <is>
          <t>LA-A1887</t>
        </is>
      </c>
      <c r="FL7909" s="27" t="inlineStr">
        <is>
          <t>A</t>
        </is>
      </c>
      <c r="FP7909" s="27" t="inlineStr">
        <is>
          <t>A</t>
        </is>
      </c>
    </row>
    <row r="7910">
      <c r="FC7910" t="inlineStr">
        <is>
          <t>Diccionario 7</t>
        </is>
      </c>
      <c r="FD7910" s="26" t="inlineStr">
        <is>
          <t>LA-A1888</t>
        </is>
      </c>
      <c r="FL7910" s="27" t="inlineStr">
        <is>
          <t>A</t>
        </is>
      </c>
      <c r="FP7910" s="27" t="inlineStr">
        <is>
          <t>A</t>
        </is>
      </c>
    </row>
    <row r="7911">
      <c r="FC7911" t="inlineStr">
        <is>
          <t>Diccionario 7</t>
        </is>
      </c>
      <c r="FD7911" s="26" t="inlineStr">
        <is>
          <t>LA-B1889</t>
        </is>
      </c>
      <c r="FL7911" s="27" t="inlineStr">
        <is>
          <t>B</t>
        </is>
      </c>
      <c r="FP7911" s="27" t="inlineStr">
        <is>
          <t>B</t>
        </is>
      </c>
    </row>
    <row r="7912">
      <c r="FC7912" t="inlineStr">
        <is>
          <t>Diccionario 7</t>
        </is>
      </c>
      <c r="FD7912" s="26" t="inlineStr">
        <is>
          <t>LA-B1890</t>
        </is>
      </c>
      <c r="FL7912" s="27" t="inlineStr">
        <is>
          <t>B</t>
        </is>
      </c>
      <c r="FP7912" s="27" t="inlineStr">
        <is>
          <t>B</t>
        </is>
      </c>
    </row>
    <row r="7913">
      <c r="FC7913" t="inlineStr">
        <is>
          <t>Diccionario 7</t>
        </is>
      </c>
      <c r="FD7913" s="26" t="inlineStr">
        <is>
          <t>LA-B1891</t>
        </is>
      </c>
      <c r="FL7913" s="27" t="inlineStr">
        <is>
          <t>B</t>
        </is>
      </c>
      <c r="FP7913" s="27" t="inlineStr">
        <is>
          <t>B</t>
        </is>
      </c>
    </row>
    <row r="7914">
      <c r="FC7914" t="inlineStr">
        <is>
          <t>Diccionario 7</t>
        </is>
      </c>
      <c r="FD7914" s="26" t="inlineStr">
        <is>
          <t>LA-B1892</t>
        </is>
      </c>
      <c r="FL7914" s="27" t="inlineStr">
        <is>
          <t>B</t>
        </is>
      </c>
      <c r="FP7914" s="27" t="inlineStr">
        <is>
          <t>B</t>
        </is>
      </c>
    </row>
    <row r="7915">
      <c r="FC7915" t="inlineStr">
        <is>
          <t>Diccionario 7</t>
        </is>
      </c>
      <c r="FD7915" s="26" t="inlineStr">
        <is>
          <t>LA-B1893</t>
        </is>
      </c>
      <c r="FL7915" s="27" t="inlineStr">
        <is>
          <t>B</t>
        </is>
      </c>
      <c r="FP7915" s="27" t="inlineStr">
        <is>
          <t>B</t>
        </is>
      </c>
    </row>
    <row r="7916">
      <c r="FC7916" t="inlineStr">
        <is>
          <t>Diccionario 7</t>
        </is>
      </c>
      <c r="FD7916" s="26" t="inlineStr">
        <is>
          <t>LA-B1894</t>
        </is>
      </c>
      <c r="FL7916" s="27" t="inlineStr">
        <is>
          <t>B</t>
        </is>
      </c>
      <c r="FP7916" s="27" t="inlineStr">
        <is>
          <t>B</t>
        </is>
      </c>
    </row>
    <row r="7917">
      <c r="FC7917" t="inlineStr">
        <is>
          <t>Diccionario 7</t>
        </is>
      </c>
      <c r="FD7917" s="26" t="inlineStr">
        <is>
          <t>LA-B1895</t>
        </is>
      </c>
      <c r="FL7917" s="27" t="inlineStr">
        <is>
          <t>B</t>
        </is>
      </c>
      <c r="FP7917" s="27" t="inlineStr">
        <is>
          <t>B</t>
        </is>
      </c>
    </row>
    <row r="7918">
      <c r="FC7918" t="inlineStr">
        <is>
          <t>Diccionario 7</t>
        </is>
      </c>
      <c r="FD7918" s="26" t="inlineStr">
        <is>
          <t>LA-B1896</t>
        </is>
      </c>
      <c r="FL7918" s="27" t="inlineStr">
        <is>
          <t>B</t>
        </is>
      </c>
      <c r="FP7918" s="27" t="inlineStr">
        <is>
          <t>B</t>
        </is>
      </c>
    </row>
    <row r="7919">
      <c r="FC7919" t="inlineStr">
        <is>
          <t>Diccionario 7</t>
        </is>
      </c>
      <c r="FD7919" s="26" t="inlineStr">
        <is>
          <t>LA-B1897</t>
        </is>
      </c>
      <c r="FL7919" s="27" t="inlineStr">
        <is>
          <t>B</t>
        </is>
      </c>
      <c r="FP7919" s="27" t="inlineStr">
        <is>
          <t>B</t>
        </is>
      </c>
    </row>
    <row r="7920">
      <c r="FC7920" t="inlineStr">
        <is>
          <t>Diccionario 7</t>
        </is>
      </c>
      <c r="FD7920" s="26" t="inlineStr">
        <is>
          <t>LA-B1898</t>
        </is>
      </c>
      <c r="FL7920" s="27" t="inlineStr">
        <is>
          <t>B</t>
        </is>
      </c>
      <c r="FP7920" s="27" t="inlineStr">
        <is>
          <t>B</t>
        </is>
      </c>
    </row>
    <row r="7921">
      <c r="FC7921" t="inlineStr">
        <is>
          <t>Diccionario 7</t>
        </is>
      </c>
      <c r="FD7921" s="26" t="inlineStr">
        <is>
          <t>LA-B1899</t>
        </is>
      </c>
      <c r="FL7921" s="27" t="inlineStr">
        <is>
          <t>B</t>
        </is>
      </c>
      <c r="FP7921" s="27" t="inlineStr">
        <is>
          <t>B</t>
        </is>
      </c>
    </row>
    <row r="7922">
      <c r="FC7922" t="inlineStr">
        <is>
          <t>Diccionario 7</t>
        </is>
      </c>
      <c r="FD7922" s="26" t="inlineStr">
        <is>
          <t>LA-B1900</t>
        </is>
      </c>
      <c r="FL7922" s="27" t="inlineStr">
        <is>
          <t>B</t>
        </is>
      </c>
      <c r="FP7922" s="27" t="inlineStr">
        <is>
          <t>B</t>
        </is>
      </c>
    </row>
    <row r="7923">
      <c r="FC7923" t="inlineStr">
        <is>
          <t>Diccionario 7</t>
        </is>
      </c>
      <c r="FD7923" s="26" t="inlineStr">
        <is>
          <t>LA-B1901</t>
        </is>
      </c>
      <c r="FL7923" s="27" t="inlineStr">
        <is>
          <t>B</t>
        </is>
      </c>
      <c r="FP7923" s="27" t="inlineStr">
        <is>
          <t>B</t>
        </is>
      </c>
    </row>
    <row r="7924">
      <c r="FC7924" t="inlineStr">
        <is>
          <t>Diccionario 7</t>
        </is>
      </c>
      <c r="FD7924" s="26" t="inlineStr">
        <is>
          <t>LA-B1902</t>
        </is>
      </c>
      <c r="FL7924" s="27" t="inlineStr">
        <is>
          <t>B</t>
        </is>
      </c>
      <c r="FP7924" s="27" t="inlineStr">
        <is>
          <t>B</t>
        </is>
      </c>
    </row>
    <row r="7925">
      <c r="FC7925" t="inlineStr">
        <is>
          <t>Diccionario 7</t>
        </is>
      </c>
      <c r="FD7925" s="26" t="inlineStr">
        <is>
          <t>LA-B1903</t>
        </is>
      </c>
      <c r="FL7925" s="27" t="inlineStr">
        <is>
          <t>B</t>
        </is>
      </c>
      <c r="FP7925" s="27" t="inlineStr">
        <is>
          <t>B</t>
        </is>
      </c>
    </row>
    <row r="7926">
      <c r="FC7926" t="inlineStr">
        <is>
          <t>Diccionario 7</t>
        </is>
      </c>
      <c r="FD7926" s="26" t="inlineStr">
        <is>
          <t>LA-B1904</t>
        </is>
      </c>
      <c r="FL7926" s="27" t="inlineStr">
        <is>
          <t>B</t>
        </is>
      </c>
      <c r="FP7926" s="27" t="inlineStr">
        <is>
          <t>B</t>
        </is>
      </c>
    </row>
    <row r="7927">
      <c r="FC7927" t="inlineStr">
        <is>
          <t>Diccionario 7</t>
        </is>
      </c>
      <c r="FD7927" s="26" t="inlineStr">
        <is>
          <t>LA-B1905</t>
        </is>
      </c>
      <c r="FL7927" s="27" t="inlineStr">
        <is>
          <t>B</t>
        </is>
      </c>
      <c r="FP7927" s="27" t="inlineStr">
        <is>
          <t>B</t>
        </is>
      </c>
    </row>
    <row r="7928">
      <c r="FC7928" t="inlineStr">
        <is>
          <t>Diccionario 7</t>
        </is>
      </c>
      <c r="FD7928" s="26" t="inlineStr">
        <is>
          <t>LA-B1906</t>
        </is>
      </c>
      <c r="FL7928" s="27" t="inlineStr">
        <is>
          <t>B</t>
        </is>
      </c>
      <c r="FP7928" s="27" t="inlineStr">
        <is>
          <t>B</t>
        </is>
      </c>
    </row>
    <row r="7929">
      <c r="FC7929" t="inlineStr">
        <is>
          <t>Diccionario 7</t>
        </is>
      </c>
      <c r="FD7929" s="26" t="inlineStr">
        <is>
          <t>LA-B1907</t>
        </is>
      </c>
      <c r="FL7929" s="27" t="inlineStr">
        <is>
          <t>B</t>
        </is>
      </c>
      <c r="FP7929" s="27" t="inlineStr">
        <is>
          <t>B</t>
        </is>
      </c>
    </row>
    <row r="7930">
      <c r="FC7930" t="inlineStr">
        <is>
          <t>Diccionario 7</t>
        </is>
      </c>
      <c r="FD7930" s="26" t="inlineStr">
        <is>
          <t>LA-B1908</t>
        </is>
      </c>
      <c r="FL7930" s="27" t="inlineStr">
        <is>
          <t>B</t>
        </is>
      </c>
      <c r="FP7930" s="27" t="inlineStr">
        <is>
          <t>B</t>
        </is>
      </c>
    </row>
    <row r="7931">
      <c r="FC7931" t="inlineStr">
        <is>
          <t>Diccionario 7</t>
        </is>
      </c>
      <c r="FD7931" s="26" t="inlineStr">
        <is>
          <t>LA-B1909</t>
        </is>
      </c>
      <c r="FL7931" s="27" t="inlineStr">
        <is>
          <t>B</t>
        </is>
      </c>
      <c r="FP7931" s="27" t="inlineStr">
        <is>
          <t>B</t>
        </is>
      </c>
    </row>
    <row r="7932">
      <c r="FC7932" t="inlineStr">
        <is>
          <t>Diccionario 7</t>
        </is>
      </c>
      <c r="FD7932" s="26" t="inlineStr">
        <is>
          <t>LA-B1910</t>
        </is>
      </c>
      <c r="FL7932" s="27" t="inlineStr">
        <is>
          <t>B</t>
        </is>
      </c>
      <c r="FP7932" s="27" t="inlineStr">
        <is>
          <t>B</t>
        </is>
      </c>
    </row>
    <row r="7933">
      <c r="FC7933" t="inlineStr">
        <is>
          <t>Diccionario 7</t>
        </is>
      </c>
      <c r="FD7933" s="26" t="inlineStr">
        <is>
          <t>LA-B1911</t>
        </is>
      </c>
      <c r="FL7933" s="27" t="inlineStr">
        <is>
          <t>B</t>
        </is>
      </c>
      <c r="FP7933" s="27" t="inlineStr">
        <is>
          <t>B</t>
        </is>
      </c>
    </row>
    <row r="7934">
      <c r="FC7934" t="inlineStr">
        <is>
          <t>Diccionario 7</t>
        </is>
      </c>
      <c r="FD7934" s="26" t="inlineStr">
        <is>
          <t>LA-B1912</t>
        </is>
      </c>
      <c r="FL7934" s="27" t="inlineStr">
        <is>
          <t>B</t>
        </is>
      </c>
      <c r="FP7934" s="27" t="inlineStr">
        <is>
          <t>B</t>
        </is>
      </c>
    </row>
    <row r="7935">
      <c r="FC7935" t="inlineStr">
        <is>
          <t>Diccionario 7</t>
        </is>
      </c>
      <c r="FD7935" s="26" t="inlineStr">
        <is>
          <t>LA-B1913</t>
        </is>
      </c>
      <c r="FL7935" s="27" t="inlineStr">
        <is>
          <t>B</t>
        </is>
      </c>
      <c r="FP7935" s="27" t="inlineStr">
        <is>
          <t>B</t>
        </is>
      </c>
    </row>
    <row r="7936">
      <c r="FC7936" t="inlineStr">
        <is>
          <t>Diccionario 7</t>
        </is>
      </c>
      <c r="FD7936" s="26" t="inlineStr">
        <is>
          <t>LA-B1914</t>
        </is>
      </c>
      <c r="FL7936" s="27" t="inlineStr">
        <is>
          <t>B</t>
        </is>
      </c>
      <c r="FP7936" s="27" t="inlineStr">
        <is>
          <t>B</t>
        </is>
      </c>
    </row>
    <row r="7937">
      <c r="FC7937" t="inlineStr">
        <is>
          <t>Diccionario 7</t>
        </is>
      </c>
      <c r="FD7937" s="26" t="inlineStr">
        <is>
          <t>LA-B1915</t>
        </is>
      </c>
      <c r="FL7937" s="27" t="inlineStr">
        <is>
          <t>B</t>
        </is>
      </c>
      <c r="FP7937" s="27" t="inlineStr">
        <is>
          <t>B</t>
        </is>
      </c>
    </row>
    <row r="7938">
      <c r="FC7938" t="inlineStr">
        <is>
          <t>Diccionario 7</t>
        </is>
      </c>
      <c r="FD7938" s="26" t="inlineStr">
        <is>
          <t>LA-B1916</t>
        </is>
      </c>
      <c r="FL7938" s="27" t="inlineStr">
        <is>
          <t>B</t>
        </is>
      </c>
      <c r="FP7938" s="27" t="inlineStr">
        <is>
          <t>B</t>
        </is>
      </c>
    </row>
    <row r="7939">
      <c r="FC7939" t="inlineStr">
        <is>
          <t>Diccionario 7</t>
        </is>
      </c>
      <c r="FD7939" s="26" t="inlineStr">
        <is>
          <t>LA-B1917</t>
        </is>
      </c>
      <c r="FL7939" s="27" t="inlineStr">
        <is>
          <t>B</t>
        </is>
      </c>
      <c r="FP7939" s="27" t="inlineStr">
        <is>
          <t>B</t>
        </is>
      </c>
    </row>
    <row r="7940">
      <c r="FC7940" t="inlineStr">
        <is>
          <t>Diccionario 7</t>
        </is>
      </c>
      <c r="FD7940" s="26" t="inlineStr">
        <is>
          <t>LA-B1918</t>
        </is>
      </c>
      <c r="FL7940" s="27" t="inlineStr">
        <is>
          <t>B</t>
        </is>
      </c>
      <c r="FP7940" s="27" t="inlineStr">
        <is>
          <t>B</t>
        </is>
      </c>
    </row>
    <row r="7941">
      <c r="FC7941" t="inlineStr">
        <is>
          <t>Diccionario 7</t>
        </is>
      </c>
      <c r="FD7941" s="26" t="inlineStr">
        <is>
          <t>LA-B1919</t>
        </is>
      </c>
      <c r="FL7941" s="27" t="inlineStr">
        <is>
          <t>B</t>
        </is>
      </c>
      <c r="FP7941" s="27" t="inlineStr">
        <is>
          <t>B</t>
        </is>
      </c>
    </row>
    <row r="7942">
      <c r="FC7942" t="inlineStr">
        <is>
          <t>Diccionario 7</t>
        </is>
      </c>
      <c r="FD7942" s="26" t="inlineStr">
        <is>
          <t>LA-B1920</t>
        </is>
      </c>
      <c r="FL7942" s="27" t="inlineStr">
        <is>
          <t>B</t>
        </is>
      </c>
      <c r="FP7942" s="27" t="inlineStr">
        <is>
          <t>B</t>
        </is>
      </c>
    </row>
    <row r="7943">
      <c r="FC7943" t="inlineStr">
        <is>
          <t>Diccionario 7</t>
        </is>
      </c>
      <c r="FD7943" s="26" t="inlineStr">
        <is>
          <t>LA-B1921</t>
        </is>
      </c>
      <c r="FL7943" s="27" t="inlineStr">
        <is>
          <t>B</t>
        </is>
      </c>
      <c r="FP7943" s="27" t="inlineStr">
        <is>
          <t>B</t>
        </is>
      </c>
    </row>
    <row r="7944">
      <c r="FC7944" t="inlineStr">
        <is>
          <t>Diccionario 7</t>
        </is>
      </c>
      <c r="FD7944" s="26" t="inlineStr">
        <is>
          <t>LA-B1922</t>
        </is>
      </c>
      <c r="FL7944" s="27" t="inlineStr">
        <is>
          <t>B</t>
        </is>
      </c>
      <c r="FP7944" s="27" t="inlineStr">
        <is>
          <t>B</t>
        </is>
      </c>
    </row>
    <row r="7945">
      <c r="FC7945" t="inlineStr">
        <is>
          <t>Diccionario 7</t>
        </is>
      </c>
      <c r="FD7945" s="26" t="inlineStr">
        <is>
          <t>LA-B1923</t>
        </is>
      </c>
      <c r="FL7945" s="27" t="inlineStr">
        <is>
          <t>B</t>
        </is>
      </c>
      <c r="FP7945" s="27" t="inlineStr">
        <is>
          <t>B</t>
        </is>
      </c>
    </row>
    <row r="7946">
      <c r="FC7946" t="inlineStr">
        <is>
          <t>Diccionario 7</t>
        </is>
      </c>
      <c r="FD7946" s="26" t="inlineStr">
        <is>
          <t>LA-B1924</t>
        </is>
      </c>
      <c r="FL7946" s="27" t="inlineStr">
        <is>
          <t>B</t>
        </is>
      </c>
      <c r="FP7946" s="27" t="inlineStr">
        <is>
          <t>B</t>
        </is>
      </c>
    </row>
    <row r="7947">
      <c r="FC7947" t="inlineStr">
        <is>
          <t>Diccionario 7</t>
        </is>
      </c>
      <c r="FD7947" s="26" t="inlineStr">
        <is>
          <t>LA-B1925</t>
        </is>
      </c>
      <c r="FL7947" s="27" t="inlineStr">
        <is>
          <t>B</t>
        </is>
      </c>
      <c r="FP7947" s="27" t="inlineStr">
        <is>
          <t>B</t>
        </is>
      </c>
    </row>
    <row r="7948">
      <c r="FC7948" t="inlineStr">
        <is>
          <t>Diccionario 7</t>
        </is>
      </c>
      <c r="FD7948" s="26" t="inlineStr">
        <is>
          <t>LA-B1926</t>
        </is>
      </c>
      <c r="FL7948" s="27" t="inlineStr">
        <is>
          <t>B</t>
        </is>
      </c>
      <c r="FP7948" s="27" t="inlineStr">
        <is>
          <t>B</t>
        </is>
      </c>
    </row>
    <row r="7949">
      <c r="FC7949" t="inlineStr">
        <is>
          <t>Diccionario 7</t>
        </is>
      </c>
      <c r="FD7949" s="26" t="inlineStr">
        <is>
          <t>LA-B1927</t>
        </is>
      </c>
      <c r="FL7949" s="27" t="inlineStr">
        <is>
          <t>B</t>
        </is>
      </c>
      <c r="FP7949" s="27" t="inlineStr">
        <is>
          <t>B</t>
        </is>
      </c>
    </row>
    <row r="7950">
      <c r="FC7950" t="inlineStr">
        <is>
          <t>Diccionario 7</t>
        </is>
      </c>
      <c r="FD7950" s="26" t="inlineStr">
        <is>
          <t>LA-B1928</t>
        </is>
      </c>
      <c r="FL7950" s="27" t="inlineStr">
        <is>
          <t>B</t>
        </is>
      </c>
      <c r="FP7950" s="27" t="inlineStr">
        <is>
          <t>B</t>
        </is>
      </c>
    </row>
    <row r="7951">
      <c r="FC7951" t="inlineStr">
        <is>
          <t>Diccionario 7</t>
        </is>
      </c>
      <c r="FD7951" s="26" t="inlineStr">
        <is>
          <t>LA-B1929</t>
        </is>
      </c>
      <c r="FL7951" s="27" t="inlineStr">
        <is>
          <t>B</t>
        </is>
      </c>
      <c r="FP7951" s="27" t="inlineStr">
        <is>
          <t>B</t>
        </is>
      </c>
    </row>
    <row r="7952">
      <c r="FC7952" t="inlineStr">
        <is>
          <t>Diccionario 7</t>
        </is>
      </c>
      <c r="FD7952" s="26" t="inlineStr">
        <is>
          <t>LA-B1930</t>
        </is>
      </c>
      <c r="FL7952" s="27" t="inlineStr">
        <is>
          <t>B</t>
        </is>
      </c>
      <c r="FP7952" s="27" t="inlineStr">
        <is>
          <t>B</t>
        </is>
      </c>
    </row>
    <row r="7953">
      <c r="FC7953" t="inlineStr">
        <is>
          <t>Diccionario 7</t>
        </is>
      </c>
      <c r="FD7953" s="26" t="inlineStr">
        <is>
          <t>LA-B1931</t>
        </is>
      </c>
      <c r="FL7953" s="27" t="inlineStr">
        <is>
          <t>B</t>
        </is>
      </c>
      <c r="FP7953" s="27" t="inlineStr">
        <is>
          <t>B</t>
        </is>
      </c>
    </row>
    <row r="7954">
      <c r="FC7954" t="inlineStr">
        <is>
          <t>Diccionario 7</t>
        </is>
      </c>
      <c r="FD7954" s="26" t="inlineStr">
        <is>
          <t>LA-B1932</t>
        </is>
      </c>
      <c r="FL7954" s="27" t="inlineStr">
        <is>
          <t>B</t>
        </is>
      </c>
      <c r="FP7954" s="27" t="inlineStr">
        <is>
          <t>B</t>
        </is>
      </c>
    </row>
    <row r="7955">
      <c r="FC7955" t="inlineStr">
        <is>
          <t>Diccionario 7</t>
        </is>
      </c>
      <c r="FD7955" s="26" t="inlineStr">
        <is>
          <t>LA-B1933</t>
        </is>
      </c>
      <c r="FL7955" s="27" t="inlineStr">
        <is>
          <t>B</t>
        </is>
      </c>
      <c r="FP7955" s="27" t="inlineStr">
        <is>
          <t>B</t>
        </is>
      </c>
    </row>
    <row r="7956">
      <c r="FC7956" t="inlineStr">
        <is>
          <t>Diccionario 7</t>
        </is>
      </c>
      <c r="FD7956" s="26" t="inlineStr">
        <is>
          <t>LA-B1934</t>
        </is>
      </c>
      <c r="FL7956" s="27" t="inlineStr">
        <is>
          <t>B</t>
        </is>
      </c>
      <c r="FP7956" s="27" t="inlineStr">
        <is>
          <t>B</t>
        </is>
      </c>
    </row>
    <row r="7957">
      <c r="FC7957" t="inlineStr">
        <is>
          <t>Diccionario 7</t>
        </is>
      </c>
      <c r="FD7957" s="26" t="inlineStr">
        <is>
          <t>LA-B1935</t>
        </is>
      </c>
      <c r="FL7957" s="27" t="inlineStr">
        <is>
          <t>B</t>
        </is>
      </c>
      <c r="FP7957" s="27" t="inlineStr">
        <is>
          <t>B</t>
        </is>
      </c>
    </row>
    <row r="7958">
      <c r="FC7958" t="inlineStr">
        <is>
          <t>Diccionario 7</t>
        </is>
      </c>
      <c r="FD7958" s="26" t="inlineStr">
        <is>
          <t>LA-B1936</t>
        </is>
      </c>
      <c r="FL7958" s="27" t="inlineStr">
        <is>
          <t>B</t>
        </is>
      </c>
      <c r="FP7958" s="27" t="inlineStr">
        <is>
          <t>B</t>
        </is>
      </c>
    </row>
    <row r="7959">
      <c r="FC7959" t="inlineStr">
        <is>
          <t>Diccionario 7</t>
        </is>
      </c>
      <c r="FD7959" s="26" t="inlineStr">
        <is>
          <t>LA-B1937</t>
        </is>
      </c>
      <c r="FL7959" s="27" t="inlineStr">
        <is>
          <t>B</t>
        </is>
      </c>
      <c r="FP7959" s="27" t="inlineStr">
        <is>
          <t>B</t>
        </is>
      </c>
    </row>
    <row r="7960">
      <c r="FC7960" t="inlineStr">
        <is>
          <t>Diccionario 7</t>
        </is>
      </c>
      <c r="FD7960" s="26" t="inlineStr">
        <is>
          <t>LA-B1938</t>
        </is>
      </c>
      <c r="FL7960" s="27" t="inlineStr">
        <is>
          <t>B</t>
        </is>
      </c>
      <c r="FP7960" s="27" t="inlineStr">
        <is>
          <t>B</t>
        </is>
      </c>
    </row>
    <row r="7961">
      <c r="FC7961" t="inlineStr">
        <is>
          <t>Diccionario 7</t>
        </is>
      </c>
      <c r="FD7961" s="26" t="inlineStr">
        <is>
          <t>LA-B1939</t>
        </is>
      </c>
      <c r="FL7961" s="27" t="inlineStr">
        <is>
          <t>B</t>
        </is>
      </c>
      <c r="FP7961" s="27" t="inlineStr">
        <is>
          <t>B</t>
        </is>
      </c>
    </row>
    <row r="7962">
      <c r="FC7962" t="inlineStr">
        <is>
          <t>Diccionario 7</t>
        </is>
      </c>
      <c r="FD7962" s="26" t="inlineStr">
        <is>
          <t>LA-B1940</t>
        </is>
      </c>
      <c r="FL7962" s="27" t="inlineStr">
        <is>
          <t>B</t>
        </is>
      </c>
      <c r="FP7962" s="27" t="inlineStr">
        <is>
          <t>B</t>
        </is>
      </c>
    </row>
    <row r="7963">
      <c r="FC7963" t="inlineStr">
        <is>
          <t>Diccionario 7</t>
        </is>
      </c>
      <c r="FD7963" s="26" t="inlineStr">
        <is>
          <t>LA-B1941</t>
        </is>
      </c>
      <c r="FL7963" s="27" t="inlineStr">
        <is>
          <t>B</t>
        </is>
      </c>
      <c r="FP7963" s="27" t="inlineStr">
        <is>
          <t>B</t>
        </is>
      </c>
    </row>
    <row r="7964">
      <c r="FC7964" t="inlineStr">
        <is>
          <t>Diccionario 7</t>
        </is>
      </c>
      <c r="FD7964" s="26" t="inlineStr">
        <is>
          <t>LA-B1942</t>
        </is>
      </c>
      <c r="FL7964" s="27" t="inlineStr">
        <is>
          <t>B</t>
        </is>
      </c>
      <c r="FP7964" s="27" t="inlineStr">
        <is>
          <t>B</t>
        </is>
      </c>
    </row>
    <row r="7965">
      <c r="FC7965" t="inlineStr">
        <is>
          <t>Diccionario 7</t>
        </is>
      </c>
      <c r="FD7965" s="26" t="inlineStr">
        <is>
          <t>LA-B1943</t>
        </is>
      </c>
      <c r="FL7965" s="27" t="inlineStr">
        <is>
          <t>B</t>
        </is>
      </c>
      <c r="FP7965" s="27" t="inlineStr">
        <is>
          <t>B</t>
        </is>
      </c>
    </row>
    <row r="7966">
      <c r="FC7966" t="inlineStr">
        <is>
          <t>Diccionario 7</t>
        </is>
      </c>
      <c r="FD7966" s="26" t="inlineStr">
        <is>
          <t>LA-B1944</t>
        </is>
      </c>
      <c r="FL7966" s="27" t="inlineStr">
        <is>
          <t>B</t>
        </is>
      </c>
      <c r="FP7966" s="27" t="inlineStr">
        <is>
          <t>B</t>
        </is>
      </c>
    </row>
    <row r="7967">
      <c r="FC7967" t="inlineStr">
        <is>
          <t>Diccionario 7</t>
        </is>
      </c>
      <c r="FD7967" s="26" t="inlineStr">
        <is>
          <t>LA-B1945</t>
        </is>
      </c>
      <c r="FL7967" s="27" t="inlineStr">
        <is>
          <t>B</t>
        </is>
      </c>
      <c r="FP7967" s="27" t="inlineStr">
        <is>
          <t>B</t>
        </is>
      </c>
    </row>
    <row r="7968">
      <c r="FC7968" t="inlineStr">
        <is>
          <t>Diccionario 7</t>
        </is>
      </c>
      <c r="FD7968" s="26" t="inlineStr">
        <is>
          <t>LA-B1946</t>
        </is>
      </c>
      <c r="FL7968" s="27" t="inlineStr">
        <is>
          <t>B</t>
        </is>
      </c>
      <c r="FP7968" s="27" t="inlineStr">
        <is>
          <t>B</t>
        </is>
      </c>
    </row>
    <row r="7969">
      <c r="FC7969" t="inlineStr">
        <is>
          <t>Diccionario 7</t>
        </is>
      </c>
      <c r="FD7969" s="26" t="inlineStr">
        <is>
          <t>LA-B1947</t>
        </is>
      </c>
      <c r="FL7969" s="27" t="inlineStr">
        <is>
          <t>B</t>
        </is>
      </c>
      <c r="FP7969" s="27" t="inlineStr">
        <is>
          <t>B</t>
        </is>
      </c>
    </row>
    <row r="7970">
      <c r="FC7970" t="inlineStr">
        <is>
          <t>Diccionario 7</t>
        </is>
      </c>
      <c r="FD7970" s="26" t="inlineStr">
        <is>
          <t>LA-B1948</t>
        </is>
      </c>
      <c r="FL7970" s="27" t="inlineStr">
        <is>
          <t>B</t>
        </is>
      </c>
      <c r="FP7970" s="27" t="inlineStr">
        <is>
          <t>B</t>
        </is>
      </c>
    </row>
    <row r="7971">
      <c r="FC7971" t="inlineStr">
        <is>
          <t>Diccionario 7</t>
        </is>
      </c>
      <c r="FD7971" s="26" t="inlineStr">
        <is>
          <t>LA-B1949</t>
        </is>
      </c>
      <c r="FL7971" s="27" t="inlineStr">
        <is>
          <t>B</t>
        </is>
      </c>
      <c r="FP7971" s="27" t="inlineStr">
        <is>
          <t>B</t>
        </is>
      </c>
    </row>
    <row r="7972">
      <c r="FC7972" t="inlineStr">
        <is>
          <t>Diccionario 7</t>
        </is>
      </c>
      <c r="FD7972" s="26" t="inlineStr">
        <is>
          <t>LA-B1950</t>
        </is>
      </c>
      <c r="FL7972" s="27" t="inlineStr">
        <is>
          <t>B</t>
        </is>
      </c>
      <c r="FP7972" s="27" t="inlineStr">
        <is>
          <t>B</t>
        </is>
      </c>
    </row>
    <row r="7973">
      <c r="FC7973" t="inlineStr">
        <is>
          <t>Diccionario 7</t>
        </is>
      </c>
      <c r="FD7973" s="26" t="inlineStr">
        <is>
          <t>LA-B1951</t>
        </is>
      </c>
      <c r="FL7973" s="27" t="inlineStr">
        <is>
          <t>B</t>
        </is>
      </c>
      <c r="FP7973" s="27" t="inlineStr">
        <is>
          <t>B</t>
        </is>
      </c>
    </row>
    <row r="7974">
      <c r="FC7974" t="inlineStr">
        <is>
          <t>Diccionario 7</t>
        </is>
      </c>
      <c r="FD7974" s="26" t="inlineStr">
        <is>
          <t>LA-B1952</t>
        </is>
      </c>
      <c r="FL7974" s="27" t="inlineStr">
        <is>
          <t>B</t>
        </is>
      </c>
      <c r="FP7974" s="27" t="inlineStr">
        <is>
          <t>B</t>
        </is>
      </c>
    </row>
    <row r="7975">
      <c r="FC7975" t="inlineStr">
        <is>
          <t>Diccionario 7</t>
        </is>
      </c>
      <c r="FD7975" s="26" t="inlineStr">
        <is>
          <t>LA-B1953</t>
        </is>
      </c>
      <c r="FL7975" s="27" t="inlineStr">
        <is>
          <t>B</t>
        </is>
      </c>
      <c r="FP7975" s="27" t="inlineStr">
        <is>
          <t>B</t>
        </is>
      </c>
    </row>
    <row r="7976">
      <c r="FC7976" t="inlineStr">
        <is>
          <t>Diccionario 7</t>
        </is>
      </c>
      <c r="FD7976" s="26" t="inlineStr">
        <is>
          <t>LA-B1954</t>
        </is>
      </c>
      <c r="FL7976" s="27" t="inlineStr">
        <is>
          <t>B</t>
        </is>
      </c>
      <c r="FP7976" s="27" t="inlineStr">
        <is>
          <t>B</t>
        </is>
      </c>
      <c r="FS7976" t="inlineStr">
        <is>
          <t>LL-B1148 / VFHL-60|</t>
        </is>
      </c>
    </row>
    <row r="7977">
      <c r="FC7977" t="inlineStr">
        <is>
          <t>Diccionario 7</t>
        </is>
      </c>
      <c r="FD7977" s="26" t="inlineStr">
        <is>
          <t>LA-B1955</t>
        </is>
      </c>
      <c r="FL7977" s="27" t="inlineStr">
        <is>
          <t>B</t>
        </is>
      </c>
      <c r="FP7977" s="27" t="inlineStr">
        <is>
          <t>B</t>
        </is>
      </c>
    </row>
    <row r="7978">
      <c r="FC7978" t="inlineStr">
        <is>
          <t>Diccionario 7</t>
        </is>
      </c>
      <c r="FD7978" s="26" t="inlineStr">
        <is>
          <t>LA-B1956</t>
        </is>
      </c>
      <c r="FL7978" s="27" t="inlineStr">
        <is>
          <t>B</t>
        </is>
      </c>
      <c r="FP7978" s="27" t="inlineStr">
        <is>
          <t>B</t>
        </is>
      </c>
    </row>
    <row r="7979">
      <c r="FC7979" t="inlineStr">
        <is>
          <t>Diccionario 7</t>
        </is>
      </c>
      <c r="FD7979" s="26" t="inlineStr">
        <is>
          <t>LA-B1957</t>
        </is>
      </c>
      <c r="FL7979" s="27" t="inlineStr">
        <is>
          <t>B</t>
        </is>
      </c>
      <c r="FP7979" s="27" t="inlineStr">
        <is>
          <t>B</t>
        </is>
      </c>
    </row>
    <row r="7980">
      <c r="FC7980" t="inlineStr">
        <is>
          <t>Diccionario 7</t>
        </is>
      </c>
      <c r="FD7980" s="26" t="inlineStr">
        <is>
          <t>LA-B1958</t>
        </is>
      </c>
      <c r="FL7980" s="27" t="inlineStr">
        <is>
          <t>B</t>
        </is>
      </c>
      <c r="FP7980" s="27" t="inlineStr">
        <is>
          <t>B</t>
        </is>
      </c>
    </row>
    <row r="7981">
      <c r="FC7981" t="inlineStr">
        <is>
          <t>Diccionario 7</t>
        </is>
      </c>
      <c r="FD7981" s="26" t="inlineStr">
        <is>
          <t>LA-B1959</t>
        </is>
      </c>
      <c r="FL7981" s="27" t="inlineStr">
        <is>
          <t>B</t>
        </is>
      </c>
      <c r="FP7981" s="27" t="inlineStr">
        <is>
          <t>B</t>
        </is>
      </c>
    </row>
    <row r="7982">
      <c r="FC7982" t="inlineStr">
        <is>
          <t>Diccionario 7</t>
        </is>
      </c>
      <c r="FD7982" s="26" t="inlineStr">
        <is>
          <t>LA-B1960</t>
        </is>
      </c>
      <c r="FL7982" s="27" t="inlineStr">
        <is>
          <t>B</t>
        </is>
      </c>
      <c r="FP7982" s="27" t="inlineStr">
        <is>
          <t>B</t>
        </is>
      </c>
    </row>
    <row r="7983">
      <c r="FC7983" t="inlineStr">
        <is>
          <t>Diccionario 7</t>
        </is>
      </c>
      <c r="FD7983" s="26" t="inlineStr">
        <is>
          <t>LA-B1961</t>
        </is>
      </c>
      <c r="FL7983" s="27" t="inlineStr">
        <is>
          <t>B</t>
        </is>
      </c>
      <c r="FP7983" s="27" t="inlineStr">
        <is>
          <t>B</t>
        </is>
      </c>
    </row>
    <row r="7984">
      <c r="FC7984" t="inlineStr">
        <is>
          <t>Diccionario 7</t>
        </is>
      </c>
      <c r="FD7984" s="26" t="inlineStr">
        <is>
          <t>LA-B1962</t>
        </is>
      </c>
      <c r="FL7984" s="27" t="inlineStr">
        <is>
          <t>B</t>
        </is>
      </c>
      <c r="FP7984" s="27" t="inlineStr">
        <is>
          <t>B</t>
        </is>
      </c>
    </row>
    <row r="7985">
      <c r="FC7985" t="inlineStr">
        <is>
          <t>Diccionario 7</t>
        </is>
      </c>
      <c r="FD7985" s="26" t="inlineStr">
        <is>
          <t>LA-B1963</t>
        </is>
      </c>
      <c r="FL7985" s="27" t="inlineStr">
        <is>
          <t>B</t>
        </is>
      </c>
      <c r="FP7985" s="27" t="inlineStr">
        <is>
          <t>B</t>
        </is>
      </c>
    </row>
    <row r="7986">
      <c r="FC7986" t="inlineStr">
        <is>
          <t>Diccionario 7</t>
        </is>
      </c>
      <c r="FD7986" s="26" t="inlineStr">
        <is>
          <t>LA-B1964</t>
        </is>
      </c>
      <c r="FL7986" s="27" t="inlineStr">
        <is>
          <t>B</t>
        </is>
      </c>
      <c r="FP7986" s="27" t="inlineStr">
        <is>
          <t>B</t>
        </is>
      </c>
    </row>
    <row r="7987">
      <c r="FC7987" t="inlineStr">
        <is>
          <t>Diccionario 7</t>
        </is>
      </c>
      <c r="FD7987" s="26" t="inlineStr">
        <is>
          <t>LA-B1965</t>
        </is>
      </c>
      <c r="FL7987" s="27" t="inlineStr">
        <is>
          <t>B</t>
        </is>
      </c>
      <c r="FP7987" s="27" t="inlineStr">
        <is>
          <t>B</t>
        </is>
      </c>
    </row>
    <row r="7988">
      <c r="FC7988" t="inlineStr">
        <is>
          <t>Diccionario 7</t>
        </is>
      </c>
      <c r="FD7988" s="26" t="inlineStr">
        <is>
          <t>LA-B1966</t>
        </is>
      </c>
      <c r="FL7988" s="27" t="inlineStr">
        <is>
          <t>B</t>
        </is>
      </c>
      <c r="FP7988" s="27" t="inlineStr">
        <is>
          <t>B</t>
        </is>
      </c>
    </row>
    <row r="7989">
      <c r="FC7989" t="inlineStr">
        <is>
          <t>Diccionario 7</t>
        </is>
      </c>
      <c r="FD7989" s="26" t="inlineStr">
        <is>
          <t>LA-B1967</t>
        </is>
      </c>
      <c r="FL7989" s="27" t="inlineStr">
        <is>
          <t>B</t>
        </is>
      </c>
      <c r="FP7989" s="27" t="inlineStr">
        <is>
          <t>B</t>
        </is>
      </c>
    </row>
    <row r="7990">
      <c r="FC7990" t="inlineStr">
        <is>
          <t>Diccionario 7</t>
        </is>
      </c>
      <c r="FD7990" s="26" t="inlineStr">
        <is>
          <t>LA-B1968</t>
        </is>
      </c>
      <c r="FL7990" s="27" t="inlineStr">
        <is>
          <t>B</t>
        </is>
      </c>
      <c r="FP7990" s="27" t="inlineStr">
        <is>
          <t>B</t>
        </is>
      </c>
    </row>
    <row r="7991">
      <c r="FC7991" t="inlineStr">
        <is>
          <t>Diccionario 7</t>
        </is>
      </c>
      <c r="FD7991" s="26" t="inlineStr">
        <is>
          <t>LA-B1969</t>
        </is>
      </c>
      <c r="FL7991" s="27" t="inlineStr">
        <is>
          <t>B</t>
        </is>
      </c>
      <c r="FP7991" s="27" t="inlineStr">
        <is>
          <t>B</t>
        </is>
      </c>
    </row>
    <row r="7992">
      <c r="FC7992" t="inlineStr">
        <is>
          <t>Diccionario 7</t>
        </is>
      </c>
      <c r="FD7992" s="26" t="inlineStr">
        <is>
          <t>LA-B1970</t>
        </is>
      </c>
      <c r="FL7992" s="27" t="inlineStr">
        <is>
          <t>B</t>
        </is>
      </c>
      <c r="FP7992" s="27" t="inlineStr">
        <is>
          <t>B</t>
        </is>
      </c>
    </row>
    <row r="7993">
      <c r="FC7993" t="inlineStr">
        <is>
          <t>Diccionario 7</t>
        </is>
      </c>
      <c r="FD7993" s="26" t="inlineStr">
        <is>
          <t>LA-B1971</t>
        </is>
      </c>
      <c r="FL7993" s="27" t="inlineStr">
        <is>
          <t>B</t>
        </is>
      </c>
      <c r="FP7993" s="27" t="inlineStr">
        <is>
          <t>B</t>
        </is>
      </c>
    </row>
    <row r="7994">
      <c r="FC7994" t="inlineStr">
        <is>
          <t>Diccionario 7</t>
        </is>
      </c>
      <c r="FD7994" s="26" t="inlineStr">
        <is>
          <t>LA-B1972</t>
        </is>
      </c>
      <c r="FL7994" s="27" t="inlineStr">
        <is>
          <t>B</t>
        </is>
      </c>
      <c r="FP7994" s="27" t="inlineStr">
        <is>
          <t>B</t>
        </is>
      </c>
    </row>
    <row r="7995">
      <c r="FC7995" t="inlineStr">
        <is>
          <t>Diccionario 8</t>
        </is>
      </c>
      <c r="FD7995" s="26" t="inlineStr">
        <is>
          <t>LL-BP1000 / FLXZ-94|</t>
        </is>
      </c>
      <c r="FL7995" s="27" t="inlineStr">
        <is>
          <t>B2PAL</t>
        </is>
      </c>
      <c r="FP7995" s="27" t="inlineStr">
        <is>
          <t>B2PAL</t>
        </is>
      </c>
    </row>
    <row r="7996">
      <c r="FC7996" t="inlineStr">
        <is>
          <t>Diccionario 8</t>
        </is>
      </c>
      <c r="FD7996" s="26" t="inlineStr">
        <is>
          <t>LL-BP1002 / GCBC-16|</t>
        </is>
      </c>
      <c r="FL7996" s="27" t="inlineStr">
        <is>
          <t>B2PAL</t>
        </is>
      </c>
      <c r="FP7996" s="27" t="inlineStr">
        <is>
          <t>B2PAL</t>
        </is>
      </c>
    </row>
    <row r="7997">
      <c r="FC7997" t="inlineStr">
        <is>
          <t>Diccionario 8</t>
        </is>
      </c>
      <c r="FD7997" s="26" t="inlineStr">
        <is>
          <t>LL-BP1003 / GCBC-17|</t>
        </is>
      </c>
      <c r="FL7997" s="27" t="inlineStr">
        <is>
          <t>B2PAL</t>
        </is>
      </c>
      <c r="FP7997" s="27" t="inlineStr">
        <is>
          <t>B2PAL</t>
        </is>
      </c>
    </row>
    <row r="7998">
      <c r="FC7998" t="inlineStr">
        <is>
          <t>Diccionario 8</t>
        </is>
      </c>
      <c r="FD7998" s="26" t="inlineStr">
        <is>
          <t>SJ-BP1004 / GCBC-18|</t>
        </is>
      </c>
      <c r="FL7998" s="27" t="inlineStr">
        <is>
          <t>B2PAL</t>
        </is>
      </c>
      <c r="FP7998" s="27" t="inlineStr">
        <is>
          <t>B2PAL</t>
        </is>
      </c>
    </row>
    <row r="7999">
      <c r="FC7999" t="inlineStr">
        <is>
          <t>Diccionario 8</t>
        </is>
      </c>
      <c r="FD7999" s="26" t="inlineStr">
        <is>
          <t>SJ-BP1005 / GCBC-19|</t>
        </is>
      </c>
      <c r="FL7999" s="27" t="inlineStr">
        <is>
          <t>B2PAL</t>
        </is>
      </c>
      <c r="FP7999" s="27" t="inlineStr">
        <is>
          <t>B2PAL</t>
        </is>
      </c>
    </row>
    <row r="8000">
      <c r="FC8000" t="inlineStr">
        <is>
          <t>Diccionario 8</t>
        </is>
      </c>
      <c r="FD8000" s="26" t="inlineStr">
        <is>
          <t>SJ-BP1006 / GCBC-20|</t>
        </is>
      </c>
      <c r="FL8000" s="27" t="inlineStr">
        <is>
          <t>B2PAL</t>
        </is>
      </c>
      <c r="FP8000" s="27" t="inlineStr">
        <is>
          <t>B2PAL</t>
        </is>
      </c>
    </row>
    <row r="8001">
      <c r="FC8001" t="inlineStr">
        <is>
          <t>Diccionario 8</t>
        </is>
      </c>
      <c r="FD8001" s="26" t="inlineStr">
        <is>
          <t>LL-BP1007 / GCBC-21|</t>
        </is>
      </c>
      <c r="FL8001" s="27" t="inlineStr">
        <is>
          <t>B2PAL</t>
        </is>
      </c>
      <c r="FP8001" s="27" t="inlineStr">
        <is>
          <t>B2PAL</t>
        </is>
      </c>
    </row>
    <row r="8002">
      <c r="FC8002" t="inlineStr">
        <is>
          <t>Diccionario 8</t>
        </is>
      </c>
      <c r="FD8002" s="26" t="inlineStr">
        <is>
          <t>LL-BP1008 / GCBC-22|</t>
        </is>
      </c>
      <c r="FL8002" s="27" t="inlineStr">
        <is>
          <t>B2PAL</t>
        </is>
      </c>
      <c r="FP8002" s="27" t="inlineStr">
        <is>
          <t>B2PAL</t>
        </is>
      </c>
    </row>
    <row r="8003">
      <c r="FC8003" t="inlineStr">
        <is>
          <t>Diccionario 8</t>
        </is>
      </c>
      <c r="FD8003" s="26" t="inlineStr">
        <is>
          <t>LL-BP1009 / GCBC-23|</t>
        </is>
      </c>
      <c r="FL8003" s="27" t="inlineStr">
        <is>
          <t>B2PAL</t>
        </is>
      </c>
      <c r="FP8003" s="27" t="inlineStr">
        <is>
          <t>B2PAL</t>
        </is>
      </c>
    </row>
    <row r="8004">
      <c r="FC8004" t="inlineStr">
        <is>
          <t>Diccionario 8</t>
        </is>
      </c>
      <c r="FD8004" s="26" t="inlineStr">
        <is>
          <t>LL-BP1010 / GCBB-16|</t>
        </is>
      </c>
      <c r="FL8004" s="27" t="inlineStr">
        <is>
          <t>B2PAL</t>
        </is>
      </c>
      <c r="FP8004" s="27" t="inlineStr">
        <is>
          <t>B2PAL</t>
        </is>
      </c>
    </row>
    <row r="8005">
      <c r="FC8005" t="inlineStr">
        <is>
          <t>Diccionario 8</t>
        </is>
      </c>
      <c r="FD8005" s="26" t="inlineStr">
        <is>
          <t>LL-BP1011 / GCBB-17|</t>
        </is>
      </c>
      <c r="FL8005" s="27" t="inlineStr">
        <is>
          <t>B2PAL</t>
        </is>
      </c>
      <c r="FP8005" s="27" t="inlineStr">
        <is>
          <t>B2PAL</t>
        </is>
      </c>
    </row>
    <row r="8006">
      <c r="FC8006" t="inlineStr">
        <is>
          <t>Diccionario 8</t>
        </is>
      </c>
      <c r="FD8006" s="26" t="inlineStr">
        <is>
          <t>SJ-BP1012 / GCBB-18|</t>
        </is>
      </c>
      <c r="FL8006" s="27" t="inlineStr">
        <is>
          <t>B2PAL</t>
        </is>
      </c>
      <c r="FP8006" s="27" t="inlineStr">
        <is>
          <t>B2PAL</t>
        </is>
      </c>
    </row>
    <row r="8007">
      <c r="FC8007" t="inlineStr">
        <is>
          <t>Diccionario 8</t>
        </is>
      </c>
      <c r="FD8007" s="26" t="inlineStr">
        <is>
          <t>LL-BP1013 / GCBB-19|</t>
        </is>
      </c>
      <c r="FL8007" s="27" t="inlineStr">
        <is>
          <t>B2PAL</t>
        </is>
      </c>
      <c r="FP8007" s="27" t="inlineStr">
        <is>
          <t>B2PAL</t>
        </is>
      </c>
    </row>
    <row r="8008">
      <c r="FC8008" t="inlineStr">
        <is>
          <t>Diccionario 8</t>
        </is>
      </c>
      <c r="FD8008" s="26" t="inlineStr">
        <is>
          <t>LL-BP1014 / GCBB-20|</t>
        </is>
      </c>
      <c r="FL8008" s="27" t="inlineStr">
        <is>
          <t>B2PAL</t>
        </is>
      </c>
      <c r="FP8008" s="27" t="inlineStr">
        <is>
          <t>B2PAL</t>
        </is>
      </c>
    </row>
    <row r="8009">
      <c r="FC8009" t="inlineStr">
        <is>
          <t>Diccionario 8</t>
        </is>
      </c>
      <c r="FD8009" s="26" t="inlineStr">
        <is>
          <t>LL-BP1015 / GCBB-21|</t>
        </is>
      </c>
      <c r="FL8009" s="27" t="inlineStr">
        <is>
          <t>B2PAL</t>
        </is>
      </c>
      <c r="FP8009" s="27" t="inlineStr">
        <is>
          <t>B2PAL</t>
        </is>
      </c>
    </row>
    <row r="8010">
      <c r="FC8010" t="inlineStr">
        <is>
          <t>Diccionario 8</t>
        </is>
      </c>
      <c r="FD8010" s="26" t="inlineStr">
        <is>
          <t>LL-BP1016 / GCBB-22|</t>
        </is>
      </c>
      <c r="FL8010" s="27" t="inlineStr">
        <is>
          <t>B2PAL</t>
        </is>
      </c>
      <c r="FP8010" s="27" t="inlineStr">
        <is>
          <t>B2PAL</t>
        </is>
      </c>
    </row>
    <row r="8011">
      <c r="FC8011" t="inlineStr">
        <is>
          <t>Diccionario 8</t>
        </is>
      </c>
      <c r="FD8011" s="26" t="inlineStr">
        <is>
          <t>LL-BP1017 / GCBB-23|</t>
        </is>
      </c>
      <c r="FL8011" s="27" t="inlineStr">
        <is>
          <t>B2PAL</t>
        </is>
      </c>
      <c r="FP8011" s="27" t="inlineStr">
        <is>
          <t>B2PAL</t>
        </is>
      </c>
    </row>
    <row r="8012">
      <c r="FC8012" t="inlineStr">
        <is>
          <t>Diccionario 8</t>
        </is>
      </c>
      <c r="FD8012" s="26" t="inlineStr">
        <is>
          <t>LL-BP1018 / GCBB-24|</t>
        </is>
      </c>
      <c r="FL8012" s="27" t="inlineStr">
        <is>
          <t>B2PAL</t>
        </is>
      </c>
      <c r="FP8012" s="27" t="inlineStr">
        <is>
          <t>B2PAL</t>
        </is>
      </c>
    </row>
    <row r="8013">
      <c r="FC8013" t="inlineStr">
        <is>
          <t>Diccionario 8</t>
        </is>
      </c>
      <c r="FD8013" s="26" t="inlineStr">
        <is>
          <t>LL-BP1019 / FLXZ-96|</t>
        </is>
      </c>
      <c r="FL8013" s="27" t="inlineStr">
        <is>
          <t>B2PAL</t>
        </is>
      </c>
      <c r="FP8013" s="27" t="inlineStr">
        <is>
          <t>B2PAL</t>
        </is>
      </c>
    </row>
    <row r="8014">
      <c r="FC8014" t="inlineStr">
        <is>
          <t>Diccionario 8</t>
        </is>
      </c>
      <c r="FD8014" s="26" t="inlineStr">
        <is>
          <t>LL-BP1020 / GCBB-25|</t>
        </is>
      </c>
      <c r="FL8014" s="27" t="inlineStr">
        <is>
          <t>B2PAL</t>
        </is>
      </c>
      <c r="FP8014" s="27" t="inlineStr">
        <is>
          <t>B2PAL</t>
        </is>
      </c>
    </row>
    <row r="8015">
      <c r="FC8015" t="inlineStr">
        <is>
          <t>Diccionario 8</t>
        </is>
      </c>
      <c r="FD8015" s="26" t="inlineStr">
        <is>
          <t>LL-BP1021 / GCBB-26|</t>
        </is>
      </c>
      <c r="FL8015" s="27" t="inlineStr">
        <is>
          <t>B2PAL</t>
        </is>
      </c>
      <c r="FP8015" s="27" t="inlineStr">
        <is>
          <t>B2PAL</t>
        </is>
      </c>
    </row>
    <row r="8016">
      <c r="FC8016" t="inlineStr">
        <is>
          <t>Diccionario 8</t>
        </is>
      </c>
      <c r="FD8016" s="26" t="inlineStr">
        <is>
          <t>LL-BP1022 / GCBB-27|</t>
        </is>
      </c>
      <c r="FL8016" s="27" t="inlineStr">
        <is>
          <t>B2PAL</t>
        </is>
      </c>
      <c r="FP8016" s="27" t="inlineStr">
        <is>
          <t>B2PAL</t>
        </is>
      </c>
    </row>
    <row r="8017">
      <c r="FC8017" t="inlineStr">
        <is>
          <t>Diccionario 8</t>
        </is>
      </c>
      <c r="FD8017" s="26" t="inlineStr">
        <is>
          <t>LL-BP1023 / GCBB-28|</t>
        </is>
      </c>
      <c r="FL8017" s="27" t="inlineStr">
        <is>
          <t>B2PAL</t>
        </is>
      </c>
      <c r="FP8017" s="27" t="inlineStr">
        <is>
          <t>B2PAL</t>
        </is>
      </c>
    </row>
    <row r="8018">
      <c r="FC8018" t="inlineStr">
        <is>
          <t>Diccionario 8</t>
        </is>
      </c>
      <c r="FD8018" s="26" t="inlineStr">
        <is>
          <t>LL-BP1024 / GCBB-29|</t>
        </is>
      </c>
      <c r="FL8018" s="27" t="inlineStr">
        <is>
          <t>B2PAL</t>
        </is>
      </c>
      <c r="FP8018" s="27" t="inlineStr">
        <is>
          <t>B2PAL</t>
        </is>
      </c>
    </row>
    <row r="8019">
      <c r="FC8019" t="inlineStr">
        <is>
          <t>Diccionario 8</t>
        </is>
      </c>
      <c r="FD8019" s="26" t="inlineStr">
        <is>
          <t>LL-BP1025 / GCBB-30|</t>
        </is>
      </c>
      <c r="FL8019" s="27" t="inlineStr">
        <is>
          <t>B2PAL</t>
        </is>
      </c>
      <c r="FP8019" s="27" t="inlineStr">
        <is>
          <t>B2PAL</t>
        </is>
      </c>
    </row>
    <row r="8020">
      <c r="FC8020" t="inlineStr">
        <is>
          <t>Diccionario 8</t>
        </is>
      </c>
      <c r="FD8020" s="26" t="inlineStr">
        <is>
          <t>LL-BP1026 / GCBB-31|</t>
        </is>
      </c>
      <c r="FL8020" s="27" t="inlineStr">
        <is>
          <t>B2PAL</t>
        </is>
      </c>
      <c r="FP8020" s="27" t="inlineStr">
        <is>
          <t>B2PAL</t>
        </is>
      </c>
    </row>
    <row r="8021">
      <c r="FC8021" t="inlineStr">
        <is>
          <t>Diccionario 8</t>
        </is>
      </c>
      <c r="FD8021" s="26" t="inlineStr">
        <is>
          <t>LL-BP1027 / GCBB-32|</t>
        </is>
      </c>
      <c r="FL8021" s="27" t="inlineStr">
        <is>
          <t>B2PAL</t>
        </is>
      </c>
      <c r="FP8021" s="27" t="inlineStr">
        <is>
          <t>B2PAL</t>
        </is>
      </c>
    </row>
    <row r="8022">
      <c r="FC8022" t="inlineStr">
        <is>
          <t>Diccionario 8</t>
        </is>
      </c>
      <c r="FD8022" s="26" t="inlineStr">
        <is>
          <t>SJ-BP1028 / GCBB-33|</t>
        </is>
      </c>
      <c r="FL8022" s="27" t="inlineStr">
        <is>
          <t>B2PAL</t>
        </is>
      </c>
      <c r="FP8022" s="27" t="inlineStr">
        <is>
          <t>B2PAL</t>
        </is>
      </c>
    </row>
    <row r="8023">
      <c r="FC8023" t="inlineStr">
        <is>
          <t>Diccionario 8</t>
        </is>
      </c>
      <c r="FD8023" s="26" t="inlineStr">
        <is>
          <t>LL-BP1029 / GCBB-34|</t>
        </is>
      </c>
      <c r="FL8023" s="27" t="inlineStr">
        <is>
          <t>B2PAL</t>
        </is>
      </c>
      <c r="FP8023" s="27" t="inlineStr">
        <is>
          <t>B2PAL</t>
        </is>
      </c>
    </row>
    <row r="8024">
      <c r="FC8024" t="inlineStr">
        <is>
          <t>Diccionario 8</t>
        </is>
      </c>
      <c r="FD8024" s="26" t="inlineStr">
        <is>
          <t>LL-BP1030 / FLXZ-97|</t>
        </is>
      </c>
      <c r="FL8024" s="27" t="inlineStr">
        <is>
          <t>B2PAL</t>
        </is>
      </c>
      <c r="FP8024" s="27" t="inlineStr">
        <is>
          <t>B2PAL</t>
        </is>
      </c>
    </row>
    <row r="8025">
      <c r="FC8025" t="inlineStr">
        <is>
          <t>Diccionario 8</t>
        </is>
      </c>
      <c r="FD8025" s="26" t="inlineStr">
        <is>
          <t>LL-BP1031 / GCBB-35|</t>
        </is>
      </c>
      <c r="FL8025" s="27" t="inlineStr">
        <is>
          <t>B2PAL</t>
        </is>
      </c>
      <c r="FP8025" s="27" t="inlineStr">
        <is>
          <t>B2PAL</t>
        </is>
      </c>
    </row>
    <row r="8026">
      <c r="FC8026" t="inlineStr">
        <is>
          <t>Diccionario 8</t>
        </is>
      </c>
      <c r="FD8026" s="26" t="inlineStr">
        <is>
          <t>LL-BP1032 / GCBB-36|</t>
        </is>
      </c>
      <c r="FL8026" s="27" t="inlineStr">
        <is>
          <t>B2PAL</t>
        </is>
      </c>
      <c r="FP8026" s="27" t="inlineStr">
        <is>
          <t>B2PAL</t>
        </is>
      </c>
    </row>
    <row r="8027">
      <c r="FC8027" t="inlineStr">
        <is>
          <t>Diccionario 8</t>
        </is>
      </c>
      <c r="FD8027" s="26" t="inlineStr">
        <is>
          <t>LL-BP1033 / GCBB-37|</t>
        </is>
      </c>
      <c r="FL8027" s="27" t="inlineStr">
        <is>
          <t>B2PAL</t>
        </is>
      </c>
      <c r="FP8027" s="27" t="inlineStr">
        <is>
          <t>B2PAL</t>
        </is>
      </c>
    </row>
    <row r="8028">
      <c r="FC8028" t="inlineStr">
        <is>
          <t>Diccionario 8</t>
        </is>
      </c>
      <c r="FD8028" s="26" t="inlineStr">
        <is>
          <t>LL-BP1034 / GCBB-38|</t>
        </is>
      </c>
      <c r="FL8028" s="27" t="inlineStr">
        <is>
          <t>B2PAL</t>
        </is>
      </c>
      <c r="FP8028" s="27" t="inlineStr">
        <is>
          <t>B2PAL</t>
        </is>
      </c>
    </row>
    <row r="8029">
      <c r="FC8029" t="inlineStr">
        <is>
          <t>Diccionario 8</t>
        </is>
      </c>
      <c r="FD8029" s="26" t="inlineStr">
        <is>
          <t>LL-BP1035 / GCBB-39|</t>
        </is>
      </c>
      <c r="FL8029" s="27" t="inlineStr">
        <is>
          <t>B2PAL</t>
        </is>
      </c>
      <c r="FP8029" s="27" t="inlineStr">
        <is>
          <t>B2PAL</t>
        </is>
      </c>
    </row>
    <row r="8030">
      <c r="FC8030" t="inlineStr">
        <is>
          <t>Diccionario 8</t>
        </is>
      </c>
      <c r="FD8030" s="26" t="inlineStr">
        <is>
          <t>LL-BP1036 / GCBB-40|</t>
        </is>
      </c>
      <c r="FL8030" s="27" t="inlineStr">
        <is>
          <t>B2PAL</t>
        </is>
      </c>
      <c r="FP8030" s="27" t="inlineStr">
        <is>
          <t>B2PAL</t>
        </is>
      </c>
    </row>
    <row r="8031">
      <c r="FC8031" t="inlineStr">
        <is>
          <t>Diccionario 8</t>
        </is>
      </c>
      <c r="FD8031" s="26" t="inlineStr">
        <is>
          <t>LL-BP1037 / GCBB-41|</t>
        </is>
      </c>
      <c r="FL8031" s="27" t="inlineStr">
        <is>
          <t>B2PAL</t>
        </is>
      </c>
      <c r="FP8031" s="27" t="inlineStr">
        <is>
          <t>B2PAL</t>
        </is>
      </c>
    </row>
    <row r="8032">
      <c r="FC8032" t="inlineStr">
        <is>
          <t>Diccionario 8</t>
        </is>
      </c>
      <c r="FD8032" s="26" t="inlineStr">
        <is>
          <t>LL-BP1038 / GCBB-42|</t>
        </is>
      </c>
      <c r="FL8032" s="27" t="inlineStr">
        <is>
          <t>B2PAL</t>
        </is>
      </c>
      <c r="FP8032" s="27" t="inlineStr">
        <is>
          <t>B2PAL</t>
        </is>
      </c>
    </row>
    <row r="8033">
      <c r="FC8033" t="inlineStr">
        <is>
          <t>Diccionario 8</t>
        </is>
      </c>
      <c r="FD8033" s="26" t="inlineStr">
        <is>
          <t>LL-BP1039 / GCBB-43|</t>
        </is>
      </c>
      <c r="FL8033" s="27" t="inlineStr">
        <is>
          <t>B2PAL</t>
        </is>
      </c>
      <c r="FP8033" s="27" t="inlineStr">
        <is>
          <t>B2PAL</t>
        </is>
      </c>
    </row>
    <row r="8034">
      <c r="FC8034" t="inlineStr">
        <is>
          <t>Diccionario 8</t>
        </is>
      </c>
      <c r="FD8034" s="26" t="inlineStr">
        <is>
          <t>LL-BP1040 / GCBB-44|</t>
        </is>
      </c>
      <c r="FL8034" s="27" t="inlineStr">
        <is>
          <t>B2PAL</t>
        </is>
      </c>
      <c r="FP8034" s="27" t="inlineStr">
        <is>
          <t>B2PAL</t>
        </is>
      </c>
    </row>
    <row r="8035">
      <c r="FC8035" t="inlineStr">
        <is>
          <t>Diccionario 8</t>
        </is>
      </c>
      <c r="FD8035" s="26" t="inlineStr">
        <is>
          <t>LL-BP1041 / FLXZ-98|</t>
        </is>
      </c>
      <c r="FL8035" s="27" t="inlineStr">
        <is>
          <t>B2PAL</t>
        </is>
      </c>
      <c r="FP8035" s="27" t="inlineStr">
        <is>
          <t>B2PAL</t>
        </is>
      </c>
    </row>
    <row r="8036">
      <c r="FC8036" t="inlineStr">
        <is>
          <t>Diccionario 8</t>
        </is>
      </c>
      <c r="FD8036" s="26" t="inlineStr">
        <is>
          <t>LL-BP1042 / GCBB-45|</t>
        </is>
      </c>
      <c r="FL8036" s="27" t="inlineStr">
        <is>
          <t>B2PAL</t>
        </is>
      </c>
      <c r="FP8036" s="27" t="inlineStr">
        <is>
          <t>B2PAL</t>
        </is>
      </c>
    </row>
    <row r="8037">
      <c r="FC8037" t="inlineStr">
        <is>
          <t>Diccionario 8</t>
        </is>
      </c>
      <c r="FD8037" s="26" t="inlineStr">
        <is>
          <t>LL-BP1043 / GCBB-46|</t>
        </is>
      </c>
      <c r="FL8037" s="27" t="inlineStr">
        <is>
          <t>B2PAL</t>
        </is>
      </c>
      <c r="FP8037" s="27" t="inlineStr">
        <is>
          <t>B2PAL</t>
        </is>
      </c>
    </row>
    <row r="8038">
      <c r="FC8038" t="inlineStr">
        <is>
          <t>Diccionario 8</t>
        </is>
      </c>
      <c r="FD8038" s="26" t="inlineStr">
        <is>
          <t>LL-BP1044 / GCBB-47|</t>
        </is>
      </c>
      <c r="FL8038" s="27" t="inlineStr">
        <is>
          <t>B2PAL</t>
        </is>
      </c>
      <c r="FP8038" s="27" t="inlineStr">
        <is>
          <t>B2PAL</t>
        </is>
      </c>
    </row>
    <row r="8039">
      <c r="FC8039" t="inlineStr">
        <is>
          <t>Diccionario 8</t>
        </is>
      </c>
      <c r="FD8039" s="26" t="inlineStr">
        <is>
          <t>LL-BP1045 / GCBB-48|</t>
        </is>
      </c>
      <c r="FL8039" s="27" t="inlineStr">
        <is>
          <t>B2PAL</t>
        </is>
      </c>
      <c r="FP8039" s="27" t="inlineStr">
        <is>
          <t>B2PAL</t>
        </is>
      </c>
    </row>
    <row r="8040">
      <c r="FC8040" t="inlineStr">
        <is>
          <t>Diccionario 8</t>
        </is>
      </c>
      <c r="FD8040" s="26" t="inlineStr">
        <is>
          <t>LL-BP1046 / GCBB-49|</t>
        </is>
      </c>
      <c r="FL8040" s="27" t="inlineStr">
        <is>
          <t>B2PAL</t>
        </is>
      </c>
      <c r="FP8040" s="27" t="inlineStr">
        <is>
          <t>B2PAL</t>
        </is>
      </c>
    </row>
    <row r="8041">
      <c r="FC8041" t="inlineStr">
        <is>
          <t>Diccionario 8</t>
        </is>
      </c>
      <c r="FD8041" s="26" t="inlineStr">
        <is>
          <t>LL-BP1047 / GCBB-50|</t>
        </is>
      </c>
      <c r="FL8041" s="27" t="inlineStr">
        <is>
          <t>B2PAL</t>
        </is>
      </c>
      <c r="FP8041" s="27" t="inlineStr">
        <is>
          <t>B2PAL</t>
        </is>
      </c>
    </row>
    <row r="8042">
      <c r="FC8042" t="inlineStr">
        <is>
          <t>Diccionario 8</t>
        </is>
      </c>
      <c r="FD8042" s="26" t="inlineStr">
        <is>
          <t>LL-BP1048 / GCBB-51|</t>
        </is>
      </c>
      <c r="FL8042" s="27" t="inlineStr">
        <is>
          <t>B2PAL</t>
        </is>
      </c>
      <c r="FP8042" s="27" t="inlineStr">
        <is>
          <t>B2PAL</t>
        </is>
      </c>
    </row>
    <row r="8043">
      <c r="FC8043" t="inlineStr">
        <is>
          <t>Diccionario 8</t>
        </is>
      </c>
      <c r="FD8043" s="26" t="inlineStr">
        <is>
          <t>LL-BP1049 / GCBB-52|</t>
        </is>
      </c>
      <c r="FL8043" s="27" t="inlineStr">
        <is>
          <t>B2PAL</t>
        </is>
      </c>
      <c r="FP8043" s="27" t="inlineStr">
        <is>
          <t>B2PAL</t>
        </is>
      </c>
    </row>
    <row r="8044">
      <c r="FC8044" t="inlineStr">
        <is>
          <t>Diccionario 8</t>
        </is>
      </c>
      <c r="FD8044" s="26" t="inlineStr">
        <is>
          <t>LL-BP1050 / GCBB-53|</t>
        </is>
      </c>
      <c r="FL8044" s="27" t="inlineStr">
        <is>
          <t>B2PAL</t>
        </is>
      </c>
      <c r="FP8044" s="27" t="inlineStr">
        <is>
          <t>B2PAL</t>
        </is>
      </c>
    </row>
    <row r="8045">
      <c r="FC8045" t="inlineStr">
        <is>
          <t>Diccionario 8</t>
        </is>
      </c>
      <c r="FD8045" s="26" t="inlineStr">
        <is>
          <t>LL-BP1051 / GCBB-54|</t>
        </is>
      </c>
      <c r="FL8045" s="27" t="inlineStr">
        <is>
          <t>B2PAL</t>
        </is>
      </c>
      <c r="FP8045" s="27" t="inlineStr">
        <is>
          <t>B2PAL</t>
        </is>
      </c>
    </row>
    <row r="8046">
      <c r="FC8046" t="inlineStr">
        <is>
          <t>Diccionario 8</t>
        </is>
      </c>
      <c r="FD8046" s="26" t="inlineStr">
        <is>
          <t>LL-BP1052 / FLXZ-99|</t>
        </is>
      </c>
      <c r="FL8046" s="27" t="inlineStr">
        <is>
          <t>B2PAL</t>
        </is>
      </c>
      <c r="FP8046" s="27" t="inlineStr">
        <is>
          <t>B2PAL</t>
        </is>
      </c>
    </row>
    <row r="8047">
      <c r="FC8047" t="inlineStr">
        <is>
          <t>Diccionario 8</t>
        </is>
      </c>
      <c r="FD8047" s="26" t="inlineStr">
        <is>
          <t>LL-BP1053 / GCBB-55|</t>
        </is>
      </c>
      <c r="FL8047" s="27" t="inlineStr">
        <is>
          <t>B2PAL</t>
        </is>
      </c>
      <c r="FP8047" s="27" t="inlineStr">
        <is>
          <t>B2PAL</t>
        </is>
      </c>
    </row>
    <row r="8048">
      <c r="FC8048" t="inlineStr">
        <is>
          <t>Diccionario 8</t>
        </is>
      </c>
      <c r="FD8048" s="26" t="inlineStr">
        <is>
          <t>LL-BP1054 / GCBB-56|</t>
        </is>
      </c>
      <c r="FL8048" s="27" t="inlineStr">
        <is>
          <t>B2PAL</t>
        </is>
      </c>
      <c r="FP8048" s="27" t="inlineStr">
        <is>
          <t>B2PAL</t>
        </is>
      </c>
    </row>
    <row r="8049">
      <c r="FC8049" t="inlineStr">
        <is>
          <t>Diccionario 8</t>
        </is>
      </c>
      <c r="FD8049" s="26" t="inlineStr">
        <is>
          <t>LL-BP1055 / GCBB-57|</t>
        </is>
      </c>
      <c r="FL8049" s="27" t="inlineStr">
        <is>
          <t>B2PAL</t>
        </is>
      </c>
      <c r="FP8049" s="27" t="inlineStr">
        <is>
          <t>B2PAL</t>
        </is>
      </c>
    </row>
    <row r="8050">
      <c r="FC8050" t="inlineStr">
        <is>
          <t>Diccionario 8</t>
        </is>
      </c>
      <c r="FD8050" s="26" t="inlineStr">
        <is>
          <t>LL-BP1056 / GCBB-58|</t>
        </is>
      </c>
      <c r="FL8050" s="27" t="inlineStr">
        <is>
          <t>B2PAL</t>
        </is>
      </c>
      <c r="FP8050" s="27" t="inlineStr">
        <is>
          <t>B2PAL</t>
        </is>
      </c>
    </row>
    <row r="8051">
      <c r="FC8051" t="inlineStr">
        <is>
          <t>Diccionario 8</t>
        </is>
      </c>
      <c r="FD8051" s="26" t="inlineStr">
        <is>
          <t>LL-BP1057 / GCBB-59|</t>
        </is>
      </c>
      <c r="FL8051" s="27" t="inlineStr">
        <is>
          <t>B2PAL</t>
        </is>
      </c>
      <c r="FP8051" s="27" t="inlineStr">
        <is>
          <t>B2PAL</t>
        </is>
      </c>
    </row>
    <row r="8052">
      <c r="FC8052" t="inlineStr">
        <is>
          <t>Diccionario 8</t>
        </is>
      </c>
      <c r="FD8052" s="26" t="inlineStr">
        <is>
          <t>LL-BP1058 / GCBB-60|</t>
        </is>
      </c>
      <c r="FL8052" s="27" t="inlineStr">
        <is>
          <t>B2PAL</t>
        </is>
      </c>
      <c r="FP8052" s="27" t="inlineStr">
        <is>
          <t>B2PAL</t>
        </is>
      </c>
    </row>
    <row r="8053">
      <c r="FC8053" t="inlineStr">
        <is>
          <t>Diccionario 8</t>
        </is>
      </c>
      <c r="FD8053" s="26" t="inlineStr">
        <is>
          <t>LL-BP1059 / GCBB-61|</t>
        </is>
      </c>
      <c r="FL8053" s="27" t="inlineStr">
        <is>
          <t>B2PAL</t>
        </is>
      </c>
      <c r="FP8053" s="27" t="inlineStr">
        <is>
          <t>B2PAL</t>
        </is>
      </c>
    </row>
    <row r="8054">
      <c r="FC8054" t="inlineStr">
        <is>
          <t>Diccionario 8</t>
        </is>
      </c>
      <c r="FD8054" s="26" t="inlineStr">
        <is>
          <t>LL-BP1060 / GCBB-62|</t>
        </is>
      </c>
      <c r="FL8054" s="27" t="inlineStr">
        <is>
          <t>B2PAL</t>
        </is>
      </c>
      <c r="FP8054" s="27" t="inlineStr">
        <is>
          <t>B2PAL</t>
        </is>
      </c>
    </row>
    <row r="8055">
      <c r="FC8055" t="inlineStr">
        <is>
          <t>Diccionario 8</t>
        </is>
      </c>
      <c r="FD8055" s="26" t="inlineStr">
        <is>
          <t>LL-BP1061 / GCBB-63|</t>
        </is>
      </c>
      <c r="FL8055" s="27" t="inlineStr">
        <is>
          <t>B2PAL</t>
        </is>
      </c>
      <c r="FP8055" s="27" t="inlineStr">
        <is>
          <t>B2PAL</t>
        </is>
      </c>
    </row>
    <row r="8056">
      <c r="FC8056" t="inlineStr">
        <is>
          <t>Diccionario 8</t>
        </is>
      </c>
      <c r="FD8056" s="26" t="inlineStr">
        <is>
          <t>LL-BP1062 / GCBB-64|</t>
        </is>
      </c>
      <c r="FL8056" s="27" t="inlineStr">
        <is>
          <t>B2PAL</t>
        </is>
      </c>
      <c r="FP8056" s="27" t="inlineStr">
        <is>
          <t>B2PAL</t>
        </is>
      </c>
    </row>
    <row r="8057">
      <c r="FC8057" t="inlineStr">
        <is>
          <t>Diccionario 8</t>
        </is>
      </c>
      <c r="FD8057" s="26" t="inlineStr">
        <is>
          <t>LL-BP1063 / GCBB-10|</t>
        </is>
      </c>
      <c r="FL8057" s="27" t="inlineStr">
        <is>
          <t>B2PAL</t>
        </is>
      </c>
      <c r="FP8057" s="27" t="inlineStr">
        <is>
          <t>B2PAL</t>
        </is>
      </c>
    </row>
    <row r="8058">
      <c r="FC8058" t="inlineStr">
        <is>
          <t>Diccionario 8</t>
        </is>
      </c>
      <c r="FD8058" s="26" t="inlineStr">
        <is>
          <t>LL-BP1064 / GCBB-65|</t>
        </is>
      </c>
      <c r="FL8058" s="27" t="inlineStr">
        <is>
          <t>B2PAL</t>
        </is>
      </c>
      <c r="FP8058" s="27" t="inlineStr">
        <is>
          <t>B2PAL</t>
        </is>
      </c>
    </row>
    <row r="8059">
      <c r="FC8059" t="inlineStr">
        <is>
          <t>Diccionario 8</t>
        </is>
      </c>
      <c r="FD8059" s="26" t="inlineStr">
        <is>
          <t>LL-BP1065 / GCBB-66|</t>
        </is>
      </c>
      <c r="FL8059" s="27" t="inlineStr">
        <is>
          <t>B2PAL</t>
        </is>
      </c>
      <c r="FP8059" s="27" t="inlineStr">
        <is>
          <t>B2PAL</t>
        </is>
      </c>
    </row>
    <row r="8060">
      <c r="FC8060" t="inlineStr">
        <is>
          <t>Diccionario 8</t>
        </is>
      </c>
      <c r="FD8060" s="26" t="inlineStr">
        <is>
          <t>LL-BP1066 / GCBB-67|</t>
        </is>
      </c>
      <c r="FL8060" s="27" t="inlineStr">
        <is>
          <t>B2PAL</t>
        </is>
      </c>
      <c r="FP8060" s="27" t="inlineStr">
        <is>
          <t>B2PAL</t>
        </is>
      </c>
    </row>
    <row r="8061">
      <c r="FC8061" t="inlineStr">
        <is>
          <t>Diccionario 8</t>
        </is>
      </c>
      <c r="FD8061" s="26" t="inlineStr">
        <is>
          <t>SJ-BP1067 / GCBB-68|</t>
        </is>
      </c>
      <c r="FL8061" s="27" t="inlineStr">
        <is>
          <t>B2PAL</t>
        </is>
      </c>
      <c r="FP8061" s="27" t="inlineStr">
        <is>
          <t>B2PAL</t>
        </is>
      </c>
    </row>
    <row r="8062">
      <c r="FC8062" t="inlineStr">
        <is>
          <t>Diccionario 8</t>
        </is>
      </c>
      <c r="FD8062" s="26" t="inlineStr">
        <is>
          <t>LL-BP1068 / GCBB-69|</t>
        </is>
      </c>
      <c r="FL8062" s="27" t="inlineStr">
        <is>
          <t>B2PAL</t>
        </is>
      </c>
      <c r="FP8062" s="27" t="inlineStr">
        <is>
          <t>B2PAL</t>
        </is>
      </c>
    </row>
    <row r="8063">
      <c r="FC8063" t="inlineStr">
        <is>
          <t>Diccionario 8</t>
        </is>
      </c>
      <c r="FD8063" s="26" t="inlineStr">
        <is>
          <t>LL-BP1069 / GCBB-70|</t>
        </is>
      </c>
      <c r="FL8063" s="27" t="inlineStr">
        <is>
          <t>B2PAL</t>
        </is>
      </c>
      <c r="FP8063" s="27" t="inlineStr">
        <is>
          <t>B2PAL</t>
        </is>
      </c>
    </row>
    <row r="8064">
      <c r="FC8064" t="inlineStr">
        <is>
          <t>Diccionario 8</t>
        </is>
      </c>
      <c r="FD8064" s="26" t="inlineStr">
        <is>
          <t>LL-BP1070 / GCBB-71|</t>
        </is>
      </c>
      <c r="FL8064" s="27" t="inlineStr">
        <is>
          <t>B2PAL</t>
        </is>
      </c>
      <c r="FP8064" s="27" t="inlineStr">
        <is>
          <t>B2PAL</t>
        </is>
      </c>
    </row>
    <row r="8065">
      <c r="FC8065" t="inlineStr">
        <is>
          <t>Diccionario 8</t>
        </is>
      </c>
      <c r="FD8065" s="26" t="inlineStr">
        <is>
          <t>LL-BP1071 / GCBB-72|</t>
        </is>
      </c>
      <c r="FL8065" s="27" t="inlineStr">
        <is>
          <t>B2PAL</t>
        </is>
      </c>
      <c r="FP8065" s="27" t="inlineStr">
        <is>
          <t>B2PAL</t>
        </is>
      </c>
    </row>
    <row r="8066">
      <c r="FC8066" t="inlineStr">
        <is>
          <t>Diccionario 8</t>
        </is>
      </c>
      <c r="FD8066" s="26" t="inlineStr">
        <is>
          <t>SJ-BP1072 / GCBB-73|</t>
        </is>
      </c>
      <c r="FL8066" s="27" t="inlineStr">
        <is>
          <t>B2PAL</t>
        </is>
      </c>
      <c r="FP8066" s="27" t="inlineStr">
        <is>
          <t>B2PAL</t>
        </is>
      </c>
    </row>
    <row r="8067">
      <c r="FC8067" t="inlineStr">
        <is>
          <t>Diccionario 8</t>
        </is>
      </c>
      <c r="FD8067" s="26" t="inlineStr">
        <is>
          <t>LL-BP1073 / GCBB-74|</t>
        </is>
      </c>
      <c r="FL8067" s="27" t="inlineStr">
        <is>
          <t>B2PAL</t>
        </is>
      </c>
      <c r="FP8067" s="27" t="inlineStr">
        <is>
          <t>B2PAL</t>
        </is>
      </c>
    </row>
    <row r="8068">
      <c r="FC8068" t="inlineStr">
        <is>
          <t>Diccionario 8</t>
        </is>
      </c>
      <c r="FD8068" s="26" t="inlineStr">
        <is>
          <t>LL-BP1074 / GCBB-11|</t>
        </is>
      </c>
      <c r="FL8068" s="27" t="inlineStr">
        <is>
          <t>B2PAL</t>
        </is>
      </c>
      <c r="FP8068" s="27" t="inlineStr">
        <is>
          <t>B2PAL</t>
        </is>
      </c>
    </row>
    <row r="8069">
      <c r="FC8069" t="inlineStr">
        <is>
          <t>Diccionario 8</t>
        </is>
      </c>
      <c r="FD8069" s="26" t="inlineStr">
        <is>
          <t>LL-BP1075 / GCBB-75|</t>
        </is>
      </c>
      <c r="FL8069" s="27" t="inlineStr">
        <is>
          <t>B2PAL</t>
        </is>
      </c>
      <c r="FP8069" s="27" t="inlineStr">
        <is>
          <t>B2PAL</t>
        </is>
      </c>
    </row>
    <row r="8070">
      <c r="FC8070" t="inlineStr">
        <is>
          <t>Diccionario 8</t>
        </is>
      </c>
      <c r="FD8070" s="26" t="inlineStr">
        <is>
          <t>SJ-BP1076 / GCBB-76|</t>
        </is>
      </c>
      <c r="FL8070" s="27" t="inlineStr">
        <is>
          <t>B2PAL</t>
        </is>
      </c>
      <c r="FP8070" s="27" t="inlineStr">
        <is>
          <t>B2PAL</t>
        </is>
      </c>
    </row>
    <row r="8071">
      <c r="FC8071" t="inlineStr">
        <is>
          <t>Diccionario 8</t>
        </is>
      </c>
      <c r="FD8071" s="26" t="inlineStr">
        <is>
          <t>LL-BP1077 / GCBB-77|</t>
        </is>
      </c>
      <c r="FL8071" s="27" t="inlineStr">
        <is>
          <t>B2PAL</t>
        </is>
      </c>
      <c r="FP8071" s="27" t="inlineStr">
        <is>
          <t>B2PAL</t>
        </is>
      </c>
    </row>
    <row r="8072">
      <c r="FC8072" t="inlineStr">
        <is>
          <t>Diccionario 8</t>
        </is>
      </c>
      <c r="FD8072" s="26" t="inlineStr">
        <is>
          <t>LL-BP1078 / GCBB-78|</t>
        </is>
      </c>
      <c r="FL8072" s="27" t="inlineStr">
        <is>
          <t>B2PAL</t>
        </is>
      </c>
      <c r="FP8072" s="27" t="inlineStr">
        <is>
          <t>B2PAL</t>
        </is>
      </c>
    </row>
    <row r="8073">
      <c r="FC8073" t="inlineStr">
        <is>
          <t>Diccionario 8</t>
        </is>
      </c>
      <c r="FD8073" s="26" t="inlineStr">
        <is>
          <t>SJ-BP1079 / GCBB-79|</t>
        </is>
      </c>
      <c r="FL8073" s="27" t="inlineStr">
        <is>
          <t>B2PAL</t>
        </is>
      </c>
      <c r="FP8073" s="27" t="inlineStr">
        <is>
          <t>B2PAL</t>
        </is>
      </c>
    </row>
    <row r="8074">
      <c r="FC8074" t="inlineStr">
        <is>
          <t>Diccionario 8</t>
        </is>
      </c>
      <c r="FD8074" s="26" t="inlineStr">
        <is>
          <t>SJ-BP1080 / GCBB-80|</t>
        </is>
      </c>
      <c r="FL8074" s="27" t="inlineStr">
        <is>
          <t>B2PAL</t>
        </is>
      </c>
      <c r="FP8074" s="27" t="inlineStr">
        <is>
          <t>B2PAL</t>
        </is>
      </c>
    </row>
    <row r="8075">
      <c r="FC8075" t="inlineStr">
        <is>
          <t>Diccionario 8</t>
        </is>
      </c>
      <c r="FD8075" s="26" t="inlineStr">
        <is>
          <t>SJ-BP1081 / GCBB-81|</t>
        </is>
      </c>
      <c r="FL8075" s="27" t="inlineStr">
        <is>
          <t>B2PAL</t>
        </is>
      </c>
      <c r="FP8075" s="27" t="inlineStr">
        <is>
          <t>B2PAL</t>
        </is>
      </c>
    </row>
    <row r="8076">
      <c r="FC8076" t="inlineStr">
        <is>
          <t>Diccionario 8</t>
        </is>
      </c>
      <c r="FD8076" s="26" t="inlineStr">
        <is>
          <t>SJ-BP1082 / GCBB-82|</t>
        </is>
      </c>
      <c r="FL8076" s="27" t="inlineStr">
        <is>
          <t>B2PAL</t>
        </is>
      </c>
      <c r="FP8076" s="27" t="inlineStr">
        <is>
          <t>B2PAL</t>
        </is>
      </c>
    </row>
    <row r="8077">
      <c r="FC8077" t="inlineStr">
        <is>
          <t>Diccionario 8</t>
        </is>
      </c>
      <c r="FD8077" s="26" t="inlineStr">
        <is>
          <t>LL-BP1083 / GCBB-83|</t>
        </is>
      </c>
      <c r="FL8077" s="27" t="inlineStr">
        <is>
          <t>B2PAL</t>
        </is>
      </c>
      <c r="FP8077" s="27" t="inlineStr">
        <is>
          <t>B2PAL</t>
        </is>
      </c>
    </row>
    <row r="8078">
      <c r="FC8078" t="inlineStr">
        <is>
          <t>Diccionario 8</t>
        </is>
      </c>
      <c r="FD8078" s="26" t="inlineStr">
        <is>
          <t>SJ-BP1084 / GCBB-84|</t>
        </is>
      </c>
      <c r="FL8078" s="27" t="inlineStr">
        <is>
          <t>B2PAL</t>
        </is>
      </c>
      <c r="FP8078" s="27" t="inlineStr">
        <is>
          <t>B2PAL</t>
        </is>
      </c>
    </row>
    <row r="8079">
      <c r="FC8079" t="inlineStr">
        <is>
          <t>Diccionario 8</t>
        </is>
      </c>
      <c r="FD8079" s="26" t="inlineStr">
        <is>
          <t>LL-BP1085 / GCBB-12|</t>
        </is>
      </c>
      <c r="FL8079" s="27" t="inlineStr">
        <is>
          <t>B2PAL</t>
        </is>
      </c>
      <c r="FP8079" s="27" t="inlineStr">
        <is>
          <t>B2PAL</t>
        </is>
      </c>
    </row>
    <row r="8080">
      <c r="FC8080" t="inlineStr">
        <is>
          <t>Diccionario 8</t>
        </is>
      </c>
      <c r="FD8080" s="26" t="inlineStr">
        <is>
          <t>LL-BP1086 / GCBB-85|</t>
        </is>
      </c>
      <c r="FL8080" s="27" t="inlineStr">
        <is>
          <t>B2PAL</t>
        </is>
      </c>
      <c r="FP8080" s="27" t="inlineStr">
        <is>
          <t>B2PAL</t>
        </is>
      </c>
    </row>
    <row r="8081">
      <c r="FC8081" t="inlineStr">
        <is>
          <t>Diccionario 8</t>
        </is>
      </c>
      <c r="FD8081" s="26" t="inlineStr">
        <is>
          <t>SJ-BP1087 / GCBB-86|</t>
        </is>
      </c>
      <c r="FL8081" s="27" t="inlineStr">
        <is>
          <t>B2PAL</t>
        </is>
      </c>
      <c r="FP8081" s="27" t="inlineStr">
        <is>
          <t>B2PAL</t>
        </is>
      </c>
    </row>
    <row r="8082">
      <c r="FC8082" t="inlineStr">
        <is>
          <t>Diccionario 8</t>
        </is>
      </c>
      <c r="FD8082" s="26" t="inlineStr">
        <is>
          <t>SJ-BP1088 / GCBB-87|</t>
        </is>
      </c>
      <c r="FL8082" s="27" t="inlineStr">
        <is>
          <t>B2PAL</t>
        </is>
      </c>
      <c r="FP8082" s="27" t="inlineStr">
        <is>
          <t>B2PAL</t>
        </is>
      </c>
    </row>
    <row r="8083">
      <c r="FC8083" t="inlineStr">
        <is>
          <t>Diccionario 8</t>
        </is>
      </c>
      <c r="FD8083" s="26" t="inlineStr">
        <is>
          <t>SJ-BP1089 / GCBB-88|</t>
        </is>
      </c>
      <c r="FL8083" s="27" t="inlineStr">
        <is>
          <t>B2PAL</t>
        </is>
      </c>
      <c r="FP8083" s="27" t="inlineStr">
        <is>
          <t>B2PAL</t>
        </is>
      </c>
    </row>
    <row r="8084">
      <c r="FC8084" t="inlineStr">
        <is>
          <t>Diccionario 8</t>
        </is>
      </c>
      <c r="FD8084" s="26" t="inlineStr">
        <is>
          <t>SJ-BP1090 / GCBB-89|</t>
        </is>
      </c>
      <c r="FL8084" s="27" t="inlineStr">
        <is>
          <t>B2PAL</t>
        </is>
      </c>
      <c r="FP8084" s="27" t="inlineStr">
        <is>
          <t>B2PAL</t>
        </is>
      </c>
    </row>
    <row r="8085">
      <c r="FC8085" t="inlineStr">
        <is>
          <t>Diccionario 8</t>
        </is>
      </c>
      <c r="FD8085" s="26" t="inlineStr">
        <is>
          <t>LL-BP1091 / GCBB-91|</t>
        </is>
      </c>
      <c r="FL8085" s="27" t="inlineStr">
        <is>
          <t>B2PAL</t>
        </is>
      </c>
      <c r="FP8085" s="27" t="inlineStr">
        <is>
          <t>B2PAL</t>
        </is>
      </c>
    </row>
    <row r="8086">
      <c r="FC8086" t="inlineStr">
        <is>
          <t>Diccionario 8</t>
        </is>
      </c>
      <c r="FD8086" s="26" t="inlineStr">
        <is>
          <t>SJ-BP1092 / GCBB-92|</t>
        </is>
      </c>
      <c r="FL8086" s="27" t="inlineStr">
        <is>
          <t>B2PAL</t>
        </is>
      </c>
      <c r="FP8086" s="27" t="inlineStr">
        <is>
          <t>B2PAL</t>
        </is>
      </c>
    </row>
    <row r="8087">
      <c r="FC8087" t="inlineStr">
        <is>
          <t>Diccionario 8</t>
        </is>
      </c>
      <c r="FD8087" s="26" t="inlineStr">
        <is>
          <t>SJ-BP1093 / GCBB-93|</t>
        </is>
      </c>
      <c r="FL8087" s="27" t="inlineStr">
        <is>
          <t>B2PAL</t>
        </is>
      </c>
      <c r="FP8087" s="27" t="inlineStr">
        <is>
          <t>B2PAL</t>
        </is>
      </c>
    </row>
    <row r="8088">
      <c r="FC8088" t="inlineStr">
        <is>
          <t>Diccionario 8</t>
        </is>
      </c>
      <c r="FD8088" s="26" t="inlineStr">
        <is>
          <t>LL-BP1094 / GCBB-94|</t>
        </is>
      </c>
      <c r="FL8088" s="27" t="inlineStr">
        <is>
          <t>B2PAL</t>
        </is>
      </c>
      <c r="FP8088" s="27" t="inlineStr">
        <is>
          <t>B2PAL</t>
        </is>
      </c>
    </row>
    <row r="8089">
      <c r="FC8089" t="inlineStr">
        <is>
          <t>Diccionario 8</t>
        </is>
      </c>
      <c r="FD8089" s="26" t="inlineStr">
        <is>
          <t>SJ-BP1095 / GCBB-95|</t>
        </is>
      </c>
      <c r="FL8089" s="27" t="inlineStr">
        <is>
          <t>B2PAL</t>
        </is>
      </c>
      <c r="FP8089" s="27" t="inlineStr">
        <is>
          <t>B2PAL</t>
        </is>
      </c>
    </row>
    <row r="8090">
      <c r="FC8090" t="inlineStr">
        <is>
          <t>Diccionario 8</t>
        </is>
      </c>
      <c r="FD8090" s="26" t="inlineStr">
        <is>
          <t>LL-BP1096 / GCBB-13|</t>
        </is>
      </c>
      <c r="FL8090" s="27" t="inlineStr">
        <is>
          <t>B2PAL</t>
        </is>
      </c>
      <c r="FP8090" s="27" t="inlineStr">
        <is>
          <t>B2PAL</t>
        </is>
      </c>
    </row>
    <row r="8091">
      <c r="FC8091" t="inlineStr">
        <is>
          <t>Diccionario 8</t>
        </is>
      </c>
      <c r="FD8091" s="26" t="inlineStr">
        <is>
          <t>LL-BP1096 / GCBB-13|</t>
        </is>
      </c>
      <c r="FL8091" s="27" t="inlineStr">
        <is>
          <t>B2PAL</t>
        </is>
      </c>
      <c r="FP8091" s="27" t="inlineStr">
        <is>
          <t>B2PAL</t>
        </is>
      </c>
    </row>
    <row r="8092">
      <c r="FC8092" t="inlineStr">
        <is>
          <t>Diccionario 8</t>
        </is>
      </c>
      <c r="FD8092" s="26" t="inlineStr">
        <is>
          <t>SJ-BP1097 / GCBB-96|</t>
        </is>
      </c>
      <c r="FL8092" s="27" t="inlineStr">
        <is>
          <t>B2PAL</t>
        </is>
      </c>
      <c r="FP8092" s="27" t="inlineStr">
        <is>
          <t>B2PAL</t>
        </is>
      </c>
    </row>
    <row r="8093">
      <c r="FC8093" t="inlineStr">
        <is>
          <t>Diccionario 8</t>
        </is>
      </c>
      <c r="FD8093" s="26" t="inlineStr">
        <is>
          <t>SJ-BP1098 / GCBB-97|</t>
        </is>
      </c>
      <c r="FL8093" s="27" t="inlineStr">
        <is>
          <t>B2PAL</t>
        </is>
      </c>
      <c r="FP8093" s="27" t="inlineStr">
        <is>
          <t>B2PAL</t>
        </is>
      </c>
    </row>
    <row r="8094">
      <c r="FC8094" t="inlineStr">
        <is>
          <t>Diccionario 8</t>
        </is>
      </c>
      <c r="FD8094" s="26" t="inlineStr">
        <is>
          <t>SJ-BP1099 / GCBB-98|</t>
        </is>
      </c>
      <c r="FL8094" s="27" t="inlineStr">
        <is>
          <t>B2PAL</t>
        </is>
      </c>
      <c r="FP8094" s="27" t="inlineStr">
        <is>
          <t>B2PAL</t>
        </is>
      </c>
    </row>
    <row r="8095">
      <c r="FC8095" t="inlineStr">
        <is>
          <t>Diccionario 8</t>
        </is>
      </c>
      <c r="FD8095" s="26" t="inlineStr">
        <is>
          <t>SJ-BP1101 / GCBC-10|</t>
        </is>
      </c>
      <c r="FL8095" s="27" t="inlineStr">
        <is>
          <t>B2PAL</t>
        </is>
      </c>
      <c r="FP8095" s="27" t="inlineStr">
        <is>
          <t>B2PAL</t>
        </is>
      </c>
    </row>
    <row r="8096">
      <c r="FC8096" t="inlineStr">
        <is>
          <t>Diccionario 8</t>
        </is>
      </c>
      <c r="FD8096" s="26" t="inlineStr">
        <is>
          <t>SJ-BP1102 / GCBC-11|</t>
        </is>
      </c>
      <c r="FL8096" s="27" t="inlineStr">
        <is>
          <t>B2PAL</t>
        </is>
      </c>
      <c r="FP8096" s="27" t="inlineStr">
        <is>
          <t>B2PAL</t>
        </is>
      </c>
    </row>
    <row r="8097">
      <c r="FC8097" t="inlineStr">
        <is>
          <t>Diccionario 8</t>
        </is>
      </c>
      <c r="FD8097" s="26" t="inlineStr">
        <is>
          <t>SJ-BP1103 / GCBC-12|</t>
        </is>
      </c>
      <c r="FL8097" s="27" t="inlineStr">
        <is>
          <t>B2PAL</t>
        </is>
      </c>
      <c r="FP8097" s="27" t="inlineStr">
        <is>
          <t>B2PAL</t>
        </is>
      </c>
    </row>
    <row r="8098">
      <c r="FC8098" t="inlineStr">
        <is>
          <t>Diccionario 8</t>
        </is>
      </c>
      <c r="FD8098" s="26" t="inlineStr">
        <is>
          <t>SJ-BP1104 / GCBC-13|</t>
        </is>
      </c>
      <c r="FL8098" s="27" t="inlineStr">
        <is>
          <t>B2PAL</t>
        </is>
      </c>
      <c r="FP8098" s="27" t="inlineStr">
        <is>
          <t>B2PAL</t>
        </is>
      </c>
    </row>
    <row r="8099">
      <c r="FC8099" t="inlineStr">
        <is>
          <t>Diccionario 8</t>
        </is>
      </c>
      <c r="FD8099" s="26" t="inlineStr">
        <is>
          <t>SJ-BP1105 / GCBC-14|</t>
        </is>
      </c>
      <c r="FL8099" s="27" t="inlineStr">
        <is>
          <t>B2PAL</t>
        </is>
      </c>
      <c r="FP8099" s="27" t="inlineStr">
        <is>
          <t>B2PAL</t>
        </is>
      </c>
    </row>
    <row r="8100">
      <c r="FC8100" t="inlineStr">
        <is>
          <t>Diccionario 8</t>
        </is>
      </c>
      <c r="FD8100" s="26" t="inlineStr">
        <is>
          <t>SJ-BP1106 / GCBC-15|</t>
        </is>
      </c>
      <c r="FL8100" s="27" t="inlineStr">
        <is>
          <t>B2PAL</t>
        </is>
      </c>
      <c r="FP8100" s="27" t="inlineStr">
        <is>
          <t>B2PAL</t>
        </is>
      </c>
    </row>
    <row r="8101">
      <c r="FC8101" t="inlineStr">
        <is>
          <t>Diccionario 8</t>
        </is>
      </c>
      <c r="FD8101" s="26" t="inlineStr">
        <is>
          <t>SJ-B1107 / VFHJ-88|</t>
        </is>
      </c>
      <c r="FL8101" s="27" t="inlineStr">
        <is>
          <t>B</t>
        </is>
      </c>
      <c r="FP8101" s="27" t="inlineStr">
        <is>
          <t>B</t>
        </is>
      </c>
    </row>
    <row r="8102">
      <c r="FC8102" t="inlineStr">
        <is>
          <t>Diccionario 8</t>
        </is>
      </c>
      <c r="FD8102" s="26" t="inlineStr">
        <is>
          <t>SJ-B1108 / VFHL-33|</t>
        </is>
      </c>
      <c r="FL8102" s="27" t="inlineStr">
        <is>
          <t>B</t>
        </is>
      </c>
      <c r="FP8102" s="27" t="inlineStr">
        <is>
          <t>B</t>
        </is>
      </c>
    </row>
    <row r="8103">
      <c r="FC8103" t="inlineStr">
        <is>
          <t>Diccionario 8</t>
        </is>
      </c>
      <c r="FD8103" s="26" t="inlineStr">
        <is>
          <t>SJ-B1109 / VFHL-39|</t>
        </is>
      </c>
      <c r="FL8103" s="27" t="inlineStr">
        <is>
          <t>B</t>
        </is>
      </c>
      <c r="FP8103" s="27" t="inlineStr">
        <is>
          <t>B</t>
        </is>
      </c>
    </row>
    <row r="8104">
      <c r="FC8104" t="inlineStr">
        <is>
          <t>Diccionario 8</t>
        </is>
      </c>
      <c r="FD8104" s="26" t="inlineStr">
        <is>
          <t>SJ-B1110 / VFHL-46|</t>
        </is>
      </c>
      <c r="FL8104" s="27" t="inlineStr">
        <is>
          <t>B</t>
        </is>
      </c>
      <c r="FP8104" s="27" t="inlineStr">
        <is>
          <t>B</t>
        </is>
      </c>
    </row>
    <row r="8105">
      <c r="FC8105" t="inlineStr">
        <is>
          <t>Diccionario 8</t>
        </is>
      </c>
      <c r="FD8105" s="26" t="inlineStr">
        <is>
          <t>SJ-B1111 / VFHL-56|</t>
        </is>
      </c>
      <c r="FL8105" s="27" t="inlineStr">
        <is>
          <t>B</t>
        </is>
      </c>
      <c r="FP8105" s="27" t="inlineStr">
        <is>
          <t>B</t>
        </is>
      </c>
    </row>
    <row r="8106">
      <c r="FC8106" t="inlineStr">
        <is>
          <t>Diccionario 8</t>
        </is>
      </c>
      <c r="FD8106" s="26" t="inlineStr">
        <is>
          <t>SJ-B1112 / VFHG-99|</t>
        </is>
      </c>
      <c r="FL8106" s="27" t="inlineStr">
        <is>
          <t>B</t>
        </is>
      </c>
      <c r="FP8106" s="27" t="inlineStr">
        <is>
          <t>B</t>
        </is>
      </c>
    </row>
    <row r="8107">
      <c r="FC8107" t="inlineStr">
        <is>
          <t>Diccionario 8</t>
        </is>
      </c>
      <c r="FD8107" s="26" t="inlineStr">
        <is>
          <t>SJ-B1113 / VFHH-49|</t>
        </is>
      </c>
      <c r="FL8107" s="27" t="inlineStr">
        <is>
          <t>B</t>
        </is>
      </c>
      <c r="FP8107" s="27" t="inlineStr">
        <is>
          <t>B</t>
        </is>
      </c>
    </row>
    <row r="8108">
      <c r="FC8108" t="inlineStr">
        <is>
          <t>Diccionario 8</t>
        </is>
      </c>
      <c r="FD8108" s="26" t="inlineStr">
        <is>
          <t>SJ-B1114 / VFHH-65|</t>
        </is>
      </c>
      <c r="FL8108" s="27" t="inlineStr">
        <is>
          <t>B</t>
        </is>
      </c>
      <c r="FP8108" s="27" t="inlineStr">
        <is>
          <t>B</t>
        </is>
      </c>
    </row>
    <row r="8109">
      <c r="FC8109" t="inlineStr">
        <is>
          <t>Diccionario 8</t>
        </is>
      </c>
      <c r="FD8109" s="26" t="inlineStr">
        <is>
          <t>SJ-B1115 / VFHJ-21|</t>
        </is>
      </c>
      <c r="FL8109" s="27" t="inlineStr">
        <is>
          <t>B</t>
        </is>
      </c>
      <c r="FP8109" s="27" t="inlineStr">
        <is>
          <t>B</t>
        </is>
      </c>
    </row>
    <row r="8110">
      <c r="FC8110" t="inlineStr">
        <is>
          <t>Diccionario 8</t>
        </is>
      </c>
      <c r="FD8110" s="26" t="inlineStr">
        <is>
          <t>SJ-B1116 / VFHJ-43|</t>
        </is>
      </c>
      <c r="FL8110" s="27" t="inlineStr">
        <is>
          <t>B</t>
        </is>
      </c>
      <c r="FP8110" s="27" t="inlineStr">
        <is>
          <t>B</t>
        </is>
      </c>
    </row>
    <row r="8111">
      <c r="FC8111" t="inlineStr">
        <is>
          <t>Diccionario 8</t>
        </is>
      </c>
      <c r="FD8111" s="26" t="inlineStr">
        <is>
          <t>SJ-B1117 / VFHJ-59|</t>
        </is>
      </c>
      <c r="FL8111" s="27" t="inlineStr">
        <is>
          <t>B</t>
        </is>
      </c>
      <c r="FP8111" s="27" t="inlineStr">
        <is>
          <t>B</t>
        </is>
      </c>
    </row>
    <row r="8112">
      <c r="FC8112" t="inlineStr">
        <is>
          <t>Diccionario 8</t>
        </is>
      </c>
      <c r="FD8112" s="26" t="inlineStr">
        <is>
          <t>SJ-B1118 / VFHJ-92|</t>
        </is>
      </c>
      <c r="FL8112" s="27" t="inlineStr">
        <is>
          <t>B</t>
        </is>
      </c>
      <c r="FP8112" s="27" t="inlineStr">
        <is>
          <t>B</t>
        </is>
      </c>
    </row>
    <row r="8113">
      <c r="FC8113" t="inlineStr">
        <is>
          <t>Diccionario 8</t>
        </is>
      </c>
      <c r="FD8113" s="26" t="inlineStr">
        <is>
          <t>SJ-B1119 / VFHJ-69|</t>
        </is>
      </c>
      <c r="FL8113" s="27" t="inlineStr">
        <is>
          <t>B</t>
        </is>
      </c>
      <c r="FP8113" s="27" t="inlineStr">
        <is>
          <t>B</t>
        </is>
      </c>
    </row>
    <row r="8114">
      <c r="FC8114" t="inlineStr">
        <is>
          <t>Diccionario 8</t>
        </is>
      </c>
      <c r="FD8114" s="26" t="inlineStr">
        <is>
          <t>SJ-B1120 / VFHJ-77|</t>
        </is>
      </c>
      <c r="FL8114" s="27" t="inlineStr">
        <is>
          <t>B</t>
        </is>
      </c>
      <c r="FP8114" s="27" t="inlineStr">
        <is>
          <t>B</t>
        </is>
      </c>
    </row>
    <row r="8115">
      <c r="FC8115" t="inlineStr">
        <is>
          <t>Diccionario 8</t>
        </is>
      </c>
      <c r="FD8115" s="26" t="inlineStr">
        <is>
          <t>SJ-B1121 / VFHL-62|</t>
        </is>
      </c>
      <c r="FL8115" s="27" t="inlineStr">
        <is>
          <t>B</t>
        </is>
      </c>
      <c r="FP8115" s="27" t="inlineStr">
        <is>
          <t>B</t>
        </is>
      </c>
    </row>
    <row r="8116">
      <c r="FC8116" t="inlineStr">
        <is>
          <t>Diccionario 8</t>
        </is>
      </c>
      <c r="FD8116" s="26" t="inlineStr">
        <is>
          <t>CER-B1122 / VFHL-66|</t>
        </is>
      </c>
      <c r="FL8116" s="27" t="inlineStr">
        <is>
          <t>B</t>
        </is>
      </c>
      <c r="FP8116" s="27" t="inlineStr">
        <is>
          <t>B</t>
        </is>
      </c>
    </row>
    <row r="8117">
      <c r="FC8117" t="inlineStr">
        <is>
          <t>Diccionario 8</t>
        </is>
      </c>
      <c r="FD8117" s="26" t="inlineStr">
        <is>
          <t>LL-B1123 / VFHL-81|</t>
        </is>
      </c>
      <c r="FL8117" s="27" t="inlineStr">
        <is>
          <t>B</t>
        </is>
      </c>
      <c r="FP8117" s="27" t="inlineStr">
        <is>
          <t>B</t>
        </is>
      </c>
    </row>
    <row r="8118">
      <c r="FC8118" t="inlineStr">
        <is>
          <t>Diccionario 8</t>
        </is>
      </c>
      <c r="FD8118" s="26" t="inlineStr">
        <is>
          <t>LL-B1124 / VFHS-85|</t>
        </is>
      </c>
      <c r="FL8118" s="27" t="inlineStr">
        <is>
          <t>B</t>
        </is>
      </c>
      <c r="FP8118" s="27" t="inlineStr">
        <is>
          <t>B</t>
        </is>
      </c>
    </row>
    <row r="8119">
      <c r="FC8119" t="inlineStr">
        <is>
          <t>Diccionario 8</t>
        </is>
      </c>
      <c r="FD8119" s="26" t="inlineStr">
        <is>
          <t>LL-B1125 / VFHS-95|</t>
        </is>
      </c>
      <c r="FL8119" s="27" t="inlineStr">
        <is>
          <t>B</t>
        </is>
      </c>
      <c r="FP8119" s="27" t="inlineStr">
        <is>
          <t>B</t>
        </is>
      </c>
    </row>
    <row r="8120">
      <c r="FC8120" t="inlineStr">
        <is>
          <t>Diccionario 8</t>
        </is>
      </c>
      <c r="FD8120" s="26" t="inlineStr">
        <is>
          <t>SJ-B1126 / VFHS-98|</t>
        </is>
      </c>
      <c r="FL8120" s="27" t="inlineStr">
        <is>
          <t>B</t>
        </is>
      </c>
      <c r="FP8120" s="27" t="inlineStr">
        <is>
          <t>B</t>
        </is>
      </c>
    </row>
    <row r="8121">
      <c r="FC8121" t="inlineStr">
        <is>
          <t>Diccionario 8</t>
        </is>
      </c>
      <c r="FD8121" s="26" t="inlineStr">
        <is>
          <t>SJ-B1127 / VFHT-45|</t>
        </is>
      </c>
      <c r="FL8121" s="27" t="inlineStr">
        <is>
          <t>B</t>
        </is>
      </c>
      <c r="FP8121" s="27" t="inlineStr">
        <is>
          <t>B</t>
        </is>
      </c>
    </row>
    <row r="8122">
      <c r="FC8122" t="inlineStr">
        <is>
          <t>Diccionario 8</t>
        </is>
      </c>
      <c r="FD8122" s="26" t="inlineStr">
        <is>
          <t>SJ-B1128 / VFHT-55|</t>
        </is>
      </c>
      <c r="FL8122" s="27" t="inlineStr">
        <is>
          <t>B</t>
        </is>
      </c>
      <c r="FP8122" s="27" t="inlineStr">
        <is>
          <t>B</t>
        </is>
      </c>
    </row>
    <row r="8123">
      <c r="FC8123" t="inlineStr">
        <is>
          <t>Diccionario 8</t>
        </is>
      </c>
      <c r="FD8123" s="26" t="inlineStr">
        <is>
          <t>SJ-B1129 / VFHK-16|</t>
        </is>
      </c>
      <c r="FL8123" s="27" t="inlineStr">
        <is>
          <t>B</t>
        </is>
      </c>
      <c r="FP8123" s="27" t="inlineStr">
        <is>
          <t>B</t>
        </is>
      </c>
    </row>
    <row r="8124">
      <c r="FC8124" t="inlineStr">
        <is>
          <t>Diccionario 8</t>
        </is>
      </c>
      <c r="FD8124" s="26" t="inlineStr">
        <is>
          <t>CER-B1130 / VFHT-73|</t>
        </is>
      </c>
      <c r="FL8124" s="27" t="inlineStr">
        <is>
          <t>B</t>
        </is>
      </c>
      <c r="FP8124" s="27" t="inlineStr">
        <is>
          <t>B</t>
        </is>
      </c>
    </row>
    <row r="8125">
      <c r="FC8125" t="inlineStr">
        <is>
          <t>Diccionario 8</t>
        </is>
      </c>
      <c r="FD8125" s="26" t="inlineStr">
        <is>
          <t>LL-B1131 / VFHT-80|</t>
        </is>
      </c>
      <c r="FL8125" s="27" t="inlineStr">
        <is>
          <t>B</t>
        </is>
      </c>
      <c r="FP8125" s="27" t="inlineStr">
        <is>
          <t>B</t>
        </is>
      </c>
    </row>
    <row r="8126">
      <c r="FC8126" t="inlineStr">
        <is>
          <t>Diccionario 8</t>
        </is>
      </c>
      <c r="FD8126" s="26" t="inlineStr">
        <is>
          <t>LL-B1132 / VFHT-81|</t>
        </is>
      </c>
      <c r="FL8126" s="27" t="inlineStr">
        <is>
          <t>B</t>
        </is>
      </c>
      <c r="FP8126" s="27" t="inlineStr">
        <is>
          <t>B</t>
        </is>
      </c>
    </row>
    <row r="8127">
      <c r="FC8127" t="inlineStr">
        <is>
          <t>Diccionario 8</t>
        </is>
      </c>
      <c r="FD8127" s="26" t="inlineStr">
        <is>
          <t>LL-B1133 / VFHV-57|</t>
        </is>
      </c>
      <c r="FL8127" s="27" t="inlineStr">
        <is>
          <t>B</t>
        </is>
      </c>
      <c r="FP8127" s="27" t="inlineStr">
        <is>
          <t>B</t>
        </is>
      </c>
    </row>
    <row r="8128">
      <c r="FC8128" t="inlineStr">
        <is>
          <t>Diccionario 8</t>
        </is>
      </c>
      <c r="FD8128" s="26" t="inlineStr">
        <is>
          <t>LL-B1134 / VFHV-67|</t>
        </is>
      </c>
      <c r="FL8128" s="27" t="inlineStr">
        <is>
          <t>B</t>
        </is>
      </c>
      <c r="FP8128" s="27" t="inlineStr">
        <is>
          <t>B</t>
        </is>
      </c>
    </row>
    <row r="8129">
      <c r="FC8129" t="inlineStr">
        <is>
          <t>Diccionario 8</t>
        </is>
      </c>
      <c r="FD8129" s="26" t="inlineStr">
        <is>
          <t>LL-B1135 / VFHV-82|</t>
        </is>
      </c>
      <c r="FL8129" s="27" t="inlineStr">
        <is>
          <t>B</t>
        </is>
      </c>
      <c r="FP8129" s="27" t="inlineStr">
        <is>
          <t>B</t>
        </is>
      </c>
    </row>
    <row r="8130">
      <c r="FC8130" t="inlineStr">
        <is>
          <t>Diccionario 8</t>
        </is>
      </c>
      <c r="FD8130" s="26" t="inlineStr">
        <is>
          <t>LL-B1136 / VFHV-87|</t>
        </is>
      </c>
      <c r="FL8130" s="27" t="inlineStr">
        <is>
          <t>B</t>
        </is>
      </c>
      <c r="FP8130" s="27" t="inlineStr">
        <is>
          <t>B</t>
        </is>
      </c>
    </row>
    <row r="8131">
      <c r="FC8131" t="inlineStr">
        <is>
          <t>Diccionario 8</t>
        </is>
      </c>
      <c r="FD8131" s="26" t="inlineStr">
        <is>
          <t>LL-B1137 / VFHW-46|</t>
        </is>
      </c>
      <c r="FL8131" s="27" t="inlineStr">
        <is>
          <t>B</t>
        </is>
      </c>
      <c r="FP8131" s="27" t="inlineStr">
        <is>
          <t>B</t>
        </is>
      </c>
    </row>
    <row r="8132">
      <c r="FC8132" t="inlineStr">
        <is>
          <t>Diccionario 8</t>
        </is>
      </c>
      <c r="FD8132" s="26" t="inlineStr">
        <is>
          <t>LL-B1138 / VFHW-51|</t>
        </is>
      </c>
      <c r="FL8132" s="27" t="inlineStr">
        <is>
          <t>B</t>
        </is>
      </c>
      <c r="FP8132" s="27" t="inlineStr">
        <is>
          <t>B</t>
        </is>
      </c>
    </row>
    <row r="8133">
      <c r="FC8133" t="inlineStr">
        <is>
          <t>Diccionario 8</t>
        </is>
      </c>
      <c r="FD8133" s="26" t="inlineStr">
        <is>
          <t>LL-B1139 / VFHW-63|</t>
        </is>
      </c>
      <c r="FL8133" s="27" t="inlineStr">
        <is>
          <t>B</t>
        </is>
      </c>
      <c r="FP8133" s="27" t="inlineStr">
        <is>
          <t>B</t>
        </is>
      </c>
    </row>
    <row r="8134">
      <c r="FC8134" t="inlineStr">
        <is>
          <t>Diccionario 8</t>
        </is>
      </c>
      <c r="FD8134" s="26" t="inlineStr">
        <is>
          <t>SJ-B1140 / VFHK-27|</t>
        </is>
      </c>
      <c r="FL8134" s="27" t="inlineStr">
        <is>
          <t>B</t>
        </is>
      </c>
      <c r="FP8134" s="27" t="inlineStr">
        <is>
          <t>B</t>
        </is>
      </c>
    </row>
    <row r="8135">
      <c r="FC8135" t="inlineStr">
        <is>
          <t>Diccionario 8</t>
        </is>
      </c>
      <c r="FD8135" s="26" t="inlineStr">
        <is>
          <t>LL-B1141 / VFPB-70|</t>
        </is>
      </c>
      <c r="FL8135" s="27" t="inlineStr">
        <is>
          <t>B</t>
        </is>
      </c>
      <c r="FP8135" s="27" t="inlineStr">
        <is>
          <t>B</t>
        </is>
      </c>
    </row>
    <row r="8136">
      <c r="FC8136" t="inlineStr">
        <is>
          <t>Diccionario 8</t>
        </is>
      </c>
      <c r="FD8136" s="26" t="inlineStr">
        <is>
          <t>LL-B1142 / VFPC-10|</t>
        </is>
      </c>
      <c r="FL8136" s="27" t="inlineStr">
        <is>
          <t>B</t>
        </is>
      </c>
      <c r="FP8136" s="27" t="inlineStr">
        <is>
          <t>B</t>
        </is>
      </c>
    </row>
    <row r="8137">
      <c r="FC8137" t="inlineStr">
        <is>
          <t>Diccionario 8</t>
        </is>
      </c>
      <c r="FD8137" s="26" t="inlineStr">
        <is>
          <t>LL-B1143 / VFPC-31|</t>
        </is>
      </c>
      <c r="FL8137" s="27" t="inlineStr">
        <is>
          <t>B</t>
        </is>
      </c>
      <c r="FP8137" s="27" t="inlineStr">
        <is>
          <t>B</t>
        </is>
      </c>
    </row>
    <row r="8138">
      <c r="FC8138" t="inlineStr">
        <is>
          <t>Diccionario 8</t>
        </is>
      </c>
      <c r="FD8138" s="26" t="inlineStr">
        <is>
          <t>LL-B1144 / VFPC-80|</t>
        </is>
      </c>
      <c r="FL8138" s="27" t="inlineStr">
        <is>
          <t>B</t>
        </is>
      </c>
      <c r="FP8138" s="27" t="inlineStr">
        <is>
          <t>B</t>
        </is>
      </c>
    </row>
    <row r="8139">
      <c r="FC8139" t="inlineStr">
        <is>
          <t>Diccionario 8</t>
        </is>
      </c>
      <c r="FD8139" s="26" t="inlineStr">
        <is>
          <t>LL-B1145 / VFPC-51|</t>
        </is>
      </c>
      <c r="FL8139" s="27" t="inlineStr">
        <is>
          <t>B</t>
        </is>
      </c>
      <c r="FP8139" s="27" t="inlineStr">
        <is>
          <t>B</t>
        </is>
      </c>
    </row>
    <row r="8140">
      <c r="FC8140" t="inlineStr">
        <is>
          <t>Diccionario 8</t>
        </is>
      </c>
      <c r="FD8140" s="26" t="inlineStr">
        <is>
          <t>LL-B1146 / VFPD-84|</t>
        </is>
      </c>
      <c r="FL8140" s="27" t="inlineStr">
        <is>
          <t>B</t>
        </is>
      </c>
      <c r="FP8140" s="27" t="inlineStr">
        <is>
          <t>B</t>
        </is>
      </c>
    </row>
    <row r="8141">
      <c r="FC8141" t="inlineStr">
        <is>
          <t>Diccionario 8</t>
        </is>
      </c>
      <c r="FD8141" s="26" t="inlineStr">
        <is>
          <t>LL-B1147 / VFPD-94|</t>
        </is>
      </c>
      <c r="FL8141" s="27" t="inlineStr">
        <is>
          <t>B</t>
        </is>
      </c>
      <c r="FP8141" s="27" t="inlineStr">
        <is>
          <t>B</t>
        </is>
      </c>
    </row>
    <row r="8142">
      <c r="FC8142" t="inlineStr">
        <is>
          <t>Diccionario 8</t>
        </is>
      </c>
      <c r="FD8142" s="26" t="inlineStr">
        <is>
          <t>LL-B1148 / VFHL-60|</t>
        </is>
      </c>
      <c r="FL8142" s="27" t="inlineStr">
        <is>
          <t>B</t>
        </is>
      </c>
      <c r="FP8142" s="27" t="inlineStr">
        <is>
          <t>B</t>
        </is>
      </c>
    </row>
    <row r="8143">
      <c r="FC8143" t="inlineStr">
        <is>
          <t>Diccionario 8</t>
        </is>
      </c>
      <c r="FD8143" s="26" t="inlineStr">
        <is>
          <t>SJ-B1149 / VFHK-31|</t>
        </is>
      </c>
      <c r="FL8143" s="27" t="inlineStr">
        <is>
          <t>B</t>
        </is>
      </c>
      <c r="FP8143" s="27" t="inlineStr">
        <is>
          <t>B</t>
        </is>
      </c>
    </row>
    <row r="8144">
      <c r="FC8144" t="inlineStr">
        <is>
          <t>Diccionario 8</t>
        </is>
      </c>
      <c r="FD8144" s="26" t="inlineStr">
        <is>
          <t>SJ-B1150 / VFHK-58|</t>
        </is>
      </c>
      <c r="FL8144" s="27" t="inlineStr">
        <is>
          <t>B</t>
        </is>
      </c>
      <c r="FP8144" s="27" t="inlineStr">
        <is>
          <t>B</t>
        </is>
      </c>
    </row>
    <row r="8145">
      <c r="FC8145" t="inlineStr">
        <is>
          <t>Diccionario 8</t>
        </is>
      </c>
      <c r="FD8145" s="26" t="inlineStr">
        <is>
          <t>SJ-B1151 / VFHK-69|</t>
        </is>
      </c>
      <c r="FL8145" s="27" t="inlineStr">
        <is>
          <t>B</t>
        </is>
      </c>
      <c r="FP8145" s="27" t="inlineStr">
        <is>
          <t>B</t>
        </is>
      </c>
    </row>
    <row r="8146">
      <c r="FC8146" t="inlineStr">
        <is>
          <t>Diccionario 8</t>
        </is>
      </c>
      <c r="FD8146" s="26" t="inlineStr">
        <is>
          <t>CER-B1152 / VFHK-89|</t>
        </is>
      </c>
      <c r="FL8146" s="27" t="inlineStr">
        <is>
          <t>B</t>
        </is>
      </c>
      <c r="FP8146" s="27" t="inlineStr">
        <is>
          <t>B</t>
        </is>
      </c>
    </row>
    <row r="8147">
      <c r="FC8147" t="inlineStr">
        <is>
          <t>Diccionario 8</t>
        </is>
      </c>
      <c r="FD8147" s="26" t="inlineStr">
        <is>
          <t>SA-B1153 / VFHK-96|</t>
        </is>
      </c>
      <c r="FL8147" s="27" t="inlineStr">
        <is>
          <t>B</t>
        </is>
      </c>
      <c r="FP8147" s="27" t="inlineStr">
        <is>
          <t>B</t>
        </is>
      </c>
    </row>
    <row r="8148">
      <c r="FC8148" t="inlineStr">
        <is>
          <t>Diccionario 8</t>
        </is>
      </c>
      <c r="FD8148" s="26" t="inlineStr">
        <is>
          <t>PA-C1154 / LZRB-89|</t>
        </is>
      </c>
      <c r="FL8148" s="27" t="inlineStr">
        <is>
          <t>C</t>
        </is>
      </c>
      <c r="FP8148" s="27" t="inlineStr">
        <is>
          <t>C</t>
        </is>
      </c>
    </row>
    <row r="8149">
      <c r="FC8149" t="inlineStr">
        <is>
          <t>Diccionario 8</t>
        </is>
      </c>
      <c r="FD8149" s="26" t="inlineStr">
        <is>
          <t>PA-C1155 / LZRB-90|</t>
        </is>
      </c>
      <c r="FL8149" s="27" t="inlineStr">
        <is>
          <t>C</t>
        </is>
      </c>
      <c r="FP8149" s="27" t="inlineStr">
        <is>
          <t>C</t>
        </is>
      </c>
    </row>
    <row r="8150">
      <c r="FC8150" t="inlineStr">
        <is>
          <t>Diccionario 8</t>
        </is>
      </c>
      <c r="FD8150" s="26" t="inlineStr">
        <is>
          <t>PA-C1156 / LZRB-91|</t>
        </is>
      </c>
      <c r="FL8150" s="27" t="inlineStr">
        <is>
          <t>C</t>
        </is>
      </c>
      <c r="FP8150" s="27" t="inlineStr">
        <is>
          <t>C</t>
        </is>
      </c>
    </row>
    <row r="8151">
      <c r="FC8151" t="inlineStr">
        <is>
          <t>Diccionario 8</t>
        </is>
      </c>
      <c r="FD8151" s="26" t="inlineStr">
        <is>
          <t>PA-C1157 / LZRB-92|</t>
        </is>
      </c>
      <c r="FL8151" s="27" t="inlineStr">
        <is>
          <t>C</t>
        </is>
      </c>
      <c r="FP8151" s="27" t="inlineStr">
        <is>
          <t>C</t>
        </is>
      </c>
    </row>
    <row r="8152">
      <c r="FC8152" t="inlineStr">
        <is>
          <t>Diccionario 8</t>
        </is>
      </c>
      <c r="FD8152" s="26" t="inlineStr">
        <is>
          <t>PA-C1158 / LZRB-93|</t>
        </is>
      </c>
      <c r="FL8152" s="27" t="inlineStr">
        <is>
          <t>C</t>
        </is>
      </c>
      <c r="FP8152" s="27" t="inlineStr">
        <is>
          <t>C</t>
        </is>
      </c>
    </row>
    <row r="8153">
      <c r="FC8153" t="inlineStr">
        <is>
          <t>Diccionario 8</t>
        </is>
      </c>
      <c r="FD8153" s="26" t="inlineStr">
        <is>
          <t>PA-C1159 / LZRB-94|</t>
        </is>
      </c>
      <c r="FL8153" s="27" t="inlineStr">
        <is>
          <t>C</t>
        </is>
      </c>
      <c r="FP8153" s="27" t="inlineStr">
        <is>
          <t>C</t>
        </is>
      </c>
    </row>
    <row r="8154">
      <c r="FC8154" t="inlineStr">
        <is>
          <t>Diccionario 8</t>
        </is>
      </c>
      <c r="FD8154" s="26" t="inlineStr">
        <is>
          <t>PA-C1160 / LZRB-95|</t>
        </is>
      </c>
      <c r="FL8154" s="27" t="inlineStr">
        <is>
          <t>C</t>
        </is>
      </c>
      <c r="FP8154" s="27" t="inlineStr">
        <is>
          <t>C</t>
        </is>
      </c>
    </row>
    <row r="8155">
      <c r="FC8155" t="inlineStr">
        <is>
          <t>Diccionario 8</t>
        </is>
      </c>
      <c r="FD8155" s="26" t="inlineStr">
        <is>
          <t>PA-C1161 / LZRB-96|</t>
        </is>
      </c>
      <c r="FL8155" s="27" t="inlineStr">
        <is>
          <t>C</t>
        </is>
      </c>
      <c r="FP8155" s="27" t="inlineStr">
        <is>
          <t>C</t>
        </is>
      </c>
    </row>
    <row r="8156">
      <c r="FC8156" t="inlineStr">
        <is>
          <t>Diccionario 8</t>
        </is>
      </c>
      <c r="FD8156" s="26" t="inlineStr">
        <is>
          <t>PA-C1162 / LZRD-61|</t>
        </is>
      </c>
      <c r="FL8156" s="27" t="inlineStr">
        <is>
          <t>C</t>
        </is>
      </c>
      <c r="FP8156" s="27" t="inlineStr">
        <is>
          <t>C</t>
        </is>
      </c>
    </row>
    <row r="8157">
      <c r="FC8157" t="inlineStr">
        <is>
          <t>Diccionario 8</t>
        </is>
      </c>
      <c r="FD8157" s="26" t="inlineStr">
        <is>
          <t>PA-C1163 / LZRD-62|</t>
        </is>
      </c>
      <c r="FL8157" s="27" t="inlineStr">
        <is>
          <t>C</t>
        </is>
      </c>
      <c r="FP8157" s="27" t="inlineStr">
        <is>
          <t>C</t>
        </is>
      </c>
    </row>
    <row r="8158">
      <c r="FC8158" t="inlineStr">
        <is>
          <t>Diccionario 8</t>
        </is>
      </c>
      <c r="FD8158" s="26" t="inlineStr">
        <is>
          <t>PA-C1164 / LZRD-63|</t>
        </is>
      </c>
      <c r="FL8158" s="27" t="inlineStr">
        <is>
          <t>C</t>
        </is>
      </c>
      <c r="FP8158" s="27" t="inlineStr">
        <is>
          <t>C</t>
        </is>
      </c>
    </row>
    <row r="8159">
      <c r="FC8159" t="inlineStr">
        <is>
          <t>Diccionario 8</t>
        </is>
      </c>
      <c r="FD8159" s="26" t="inlineStr">
        <is>
          <t>PA-C1165 / LZRD-64|</t>
        </is>
      </c>
      <c r="FL8159" s="27" t="inlineStr">
        <is>
          <t>C</t>
        </is>
      </c>
      <c r="FP8159" s="27" t="inlineStr">
        <is>
          <t>C</t>
        </is>
      </c>
    </row>
    <row r="8160">
      <c r="FC8160" t="inlineStr">
        <is>
          <t>Diccionario 8</t>
        </is>
      </c>
      <c r="FD8160" s="26" t="inlineStr">
        <is>
          <t>PA-C1166 / LZRD-65|</t>
        </is>
      </c>
      <c r="FL8160" s="27" t="inlineStr">
        <is>
          <t>C</t>
        </is>
      </c>
      <c r="FP8160" s="27" t="inlineStr">
        <is>
          <t>C</t>
        </is>
      </c>
    </row>
    <row r="8161">
      <c r="FC8161" t="inlineStr">
        <is>
          <t>Diccionario 8</t>
        </is>
      </c>
      <c r="FD8161" s="26" t="inlineStr">
        <is>
          <t>PA-C1167 / LZRD-66|</t>
        </is>
      </c>
      <c r="FL8161" s="27" t="inlineStr">
        <is>
          <t>C</t>
        </is>
      </c>
      <c r="FP8161" s="27" t="inlineStr">
        <is>
          <t>C</t>
        </is>
      </c>
    </row>
    <row r="8162">
      <c r="FC8162" t="inlineStr">
        <is>
          <t>Diccionario 8</t>
        </is>
      </c>
      <c r="FD8162" s="26" t="inlineStr">
        <is>
          <t>PA-C1168 / LZRD-68|</t>
        </is>
      </c>
      <c r="FL8162" s="27" t="inlineStr">
        <is>
          <t>C</t>
        </is>
      </c>
      <c r="FP8162" s="27" t="inlineStr">
        <is>
          <t>C</t>
        </is>
      </c>
    </row>
    <row r="8163">
      <c r="FC8163" t="inlineStr">
        <is>
          <t>Diccionario 8</t>
        </is>
      </c>
      <c r="FD8163" s="26" t="inlineStr">
        <is>
          <t>PA-C1169 / LZRD-69|</t>
        </is>
      </c>
      <c r="FL8163" s="27" t="inlineStr">
        <is>
          <t>C</t>
        </is>
      </c>
      <c r="FP8163" s="27" t="inlineStr">
        <is>
          <t>C</t>
        </is>
      </c>
    </row>
    <row r="8164">
      <c r="FC8164" t="inlineStr">
        <is>
          <t>Diccionario 8</t>
        </is>
      </c>
      <c r="FD8164" s="26" t="inlineStr">
        <is>
          <t>PA-C1170 / LZRD-70|</t>
        </is>
      </c>
      <c r="FL8164" s="27" t="inlineStr">
        <is>
          <t>C</t>
        </is>
      </c>
      <c r="FP8164" s="27" t="inlineStr">
        <is>
          <t>C</t>
        </is>
      </c>
    </row>
    <row r="8165">
      <c r="FC8165" t="inlineStr">
        <is>
          <t>Diccionario 8</t>
        </is>
      </c>
      <c r="FD8165" s="26" t="inlineStr">
        <is>
          <t>PA-C1171 / LZRD-71|</t>
        </is>
      </c>
      <c r="FL8165" s="27" t="inlineStr">
        <is>
          <t>C</t>
        </is>
      </c>
      <c r="FP8165" s="27" t="inlineStr">
        <is>
          <t>C</t>
        </is>
      </c>
    </row>
    <row r="8166">
      <c r="FC8166" t="inlineStr">
        <is>
          <t>Diccionario 8</t>
        </is>
      </c>
      <c r="FD8166" s="26" t="inlineStr">
        <is>
          <t>PA-C1172 / LZRD-72|</t>
        </is>
      </c>
      <c r="FL8166" s="27" t="inlineStr">
        <is>
          <t>C</t>
        </is>
      </c>
      <c r="FP8166" s="27" t="inlineStr">
        <is>
          <t>C</t>
        </is>
      </c>
    </row>
    <row r="8167">
      <c r="FC8167" t="inlineStr">
        <is>
          <t>Diccionario 8</t>
        </is>
      </c>
      <c r="FD8167" s="26" t="inlineStr">
        <is>
          <t>PA-C1173 / LZRD-73|</t>
        </is>
      </c>
      <c r="FL8167" s="27" t="inlineStr">
        <is>
          <t>C</t>
        </is>
      </c>
      <c r="FP8167" s="27" t="inlineStr">
        <is>
          <t>C</t>
        </is>
      </c>
    </row>
    <row r="8168">
      <c r="FC8168" t="inlineStr">
        <is>
          <t>Diccionario 8</t>
        </is>
      </c>
      <c r="FD8168" s="26" t="inlineStr">
        <is>
          <t>PA-C1174 / LZRD-74|</t>
        </is>
      </c>
      <c r="FL8168" s="27" t="inlineStr">
        <is>
          <t>C</t>
        </is>
      </c>
      <c r="FP8168" s="27" t="inlineStr">
        <is>
          <t>C</t>
        </is>
      </c>
    </row>
    <row r="8169">
      <c r="FC8169" t="inlineStr">
        <is>
          <t>Diccionario 8</t>
        </is>
      </c>
      <c r="FD8169" s="26" t="inlineStr">
        <is>
          <t>PA-C1175 / LZRD-77|</t>
        </is>
      </c>
      <c r="FL8169" s="27" t="inlineStr">
        <is>
          <t>C</t>
        </is>
      </c>
      <c r="FP8169" s="27" t="inlineStr">
        <is>
          <t>C</t>
        </is>
      </c>
    </row>
    <row r="8170">
      <c r="FC8170" t="inlineStr">
        <is>
          <t>Diccionario 8</t>
        </is>
      </c>
      <c r="FD8170" s="26" t="inlineStr">
        <is>
          <t>PA-C1176 / LZRD-79|</t>
        </is>
      </c>
      <c r="FL8170" s="27" t="inlineStr">
        <is>
          <t>C</t>
        </is>
      </c>
      <c r="FP8170" s="27" t="inlineStr">
        <is>
          <t>C</t>
        </is>
      </c>
    </row>
    <row r="8171">
      <c r="FC8171" t="inlineStr">
        <is>
          <t>Diccionario 8</t>
        </is>
      </c>
      <c r="FD8171" s="26" t="inlineStr">
        <is>
          <t>PA-C1177 / LZRD-80|</t>
        </is>
      </c>
      <c r="FL8171" s="27" t="inlineStr">
        <is>
          <t>C</t>
        </is>
      </c>
      <c r="FP8171" s="27" t="inlineStr">
        <is>
          <t>C</t>
        </is>
      </c>
    </row>
    <row r="8172">
      <c r="FC8172" t="inlineStr">
        <is>
          <t>Diccionario 8</t>
        </is>
      </c>
      <c r="FD8172" s="26" t="inlineStr">
        <is>
          <t>PA-C1178 / LZRD-81|</t>
        </is>
      </c>
      <c r="FL8172" s="27" t="inlineStr">
        <is>
          <t>C</t>
        </is>
      </c>
      <c r="FP8172" s="27" t="inlineStr">
        <is>
          <t>C</t>
        </is>
      </c>
    </row>
    <row r="8173">
      <c r="FC8173" t="inlineStr">
        <is>
          <t>Diccionario 8</t>
        </is>
      </c>
      <c r="FD8173" s="26" t="inlineStr">
        <is>
          <t>PA-C1179 / LZRD-82|</t>
        </is>
      </c>
      <c r="FL8173" s="27" t="inlineStr">
        <is>
          <t>C</t>
        </is>
      </c>
      <c r="FP8173" s="27" t="inlineStr">
        <is>
          <t>C</t>
        </is>
      </c>
    </row>
    <row r="8174">
      <c r="FC8174" t="inlineStr">
        <is>
          <t>Diccionario 8</t>
        </is>
      </c>
      <c r="FD8174" s="26" t="inlineStr">
        <is>
          <t>PA-C1180 / LZRD-84|</t>
        </is>
      </c>
      <c r="FL8174" s="27" t="inlineStr">
        <is>
          <t>C</t>
        </is>
      </c>
      <c r="FP8174" s="27" t="inlineStr">
        <is>
          <t>C</t>
        </is>
      </c>
    </row>
    <row r="8175">
      <c r="FC8175" t="inlineStr">
        <is>
          <t>Diccionario 8</t>
        </is>
      </c>
      <c r="FD8175" s="26" t="inlineStr">
        <is>
          <t>PA-C1181 / LZRD-85|</t>
        </is>
      </c>
      <c r="FL8175" s="27" t="inlineStr">
        <is>
          <t>C</t>
        </is>
      </c>
      <c r="FP8175" s="27" t="inlineStr">
        <is>
          <t>C</t>
        </is>
      </c>
    </row>
    <row r="8176">
      <c r="FC8176" t="inlineStr">
        <is>
          <t>Diccionario 8</t>
        </is>
      </c>
      <c r="FD8176" s="26" t="inlineStr">
        <is>
          <t>PA-C1182 / LZRD-86|</t>
        </is>
      </c>
      <c r="FL8176" s="27" t="inlineStr">
        <is>
          <t>C</t>
        </is>
      </c>
      <c r="FP8176" s="27" t="inlineStr">
        <is>
          <t>C</t>
        </is>
      </c>
    </row>
    <row r="8177">
      <c r="FC8177" t="inlineStr">
        <is>
          <t>Diccionario 8</t>
        </is>
      </c>
      <c r="FD8177" s="26" t="inlineStr">
        <is>
          <t>PA-C1183 / LZRD-87|</t>
        </is>
      </c>
      <c r="FL8177" s="27" t="inlineStr">
        <is>
          <t>C</t>
        </is>
      </c>
      <c r="FP8177" s="27" t="inlineStr">
        <is>
          <t>C</t>
        </is>
      </c>
    </row>
    <row r="8178">
      <c r="FC8178" t="inlineStr">
        <is>
          <t>Diccionario 8</t>
        </is>
      </c>
      <c r="FD8178" s="26" t="inlineStr">
        <is>
          <t>PA-C1184 / LZRD-89|</t>
        </is>
      </c>
      <c r="FL8178" s="27" t="inlineStr">
        <is>
          <t>C</t>
        </is>
      </c>
      <c r="FP8178" s="27" t="inlineStr">
        <is>
          <t>C</t>
        </is>
      </c>
    </row>
    <row r="8179">
      <c r="FC8179" t="inlineStr">
        <is>
          <t>Diccionario 8</t>
        </is>
      </c>
      <c r="FD8179" s="26" t="inlineStr">
        <is>
          <t>PA-C1185 / LZRD-90|</t>
        </is>
      </c>
      <c r="FL8179" s="27" t="inlineStr">
        <is>
          <t>C</t>
        </is>
      </c>
      <c r="FP8179" s="27" t="inlineStr">
        <is>
          <t>C</t>
        </is>
      </c>
    </row>
    <row r="8180">
      <c r="FC8180" t="inlineStr">
        <is>
          <t>Diccionario 8</t>
        </is>
      </c>
      <c r="FD8180" s="26" t="inlineStr">
        <is>
          <t>PA-C1187 / LZRD-94|</t>
        </is>
      </c>
      <c r="FL8180" s="27" t="inlineStr">
        <is>
          <t>C</t>
        </is>
      </c>
      <c r="FP8180" s="27" t="inlineStr">
        <is>
          <t>C</t>
        </is>
      </c>
    </row>
    <row r="8181">
      <c r="FC8181" t="inlineStr">
        <is>
          <t>Diccionario 8</t>
        </is>
      </c>
      <c r="FD8181" s="26" t="inlineStr">
        <is>
          <t>PA-C1188 / LZRD-95|</t>
        </is>
      </c>
      <c r="FL8181" s="27" t="inlineStr">
        <is>
          <t>C</t>
        </is>
      </c>
      <c r="FP8181" s="27" t="inlineStr">
        <is>
          <t>C</t>
        </is>
      </c>
    </row>
    <row r="8182">
      <c r="FC8182" t="inlineStr">
        <is>
          <t>Diccionario 8</t>
        </is>
      </c>
      <c r="FD8182" s="26" t="inlineStr">
        <is>
          <t>PA-C1189 / LZRD-96|</t>
        </is>
      </c>
      <c r="FL8182" s="27" t="inlineStr">
        <is>
          <t>C</t>
        </is>
      </c>
      <c r="FP8182" s="27" t="inlineStr">
        <is>
          <t>C</t>
        </is>
      </c>
    </row>
    <row r="8183">
      <c r="FC8183" t="inlineStr">
        <is>
          <t>Diccionario 8</t>
        </is>
      </c>
      <c r="FD8183" s="26" t="inlineStr">
        <is>
          <t>PA-C1190 / LZRD-97|</t>
        </is>
      </c>
      <c r="FL8183" s="27" t="inlineStr">
        <is>
          <t>C</t>
        </is>
      </c>
      <c r="FP8183" s="27" t="inlineStr">
        <is>
          <t>C</t>
        </is>
      </c>
    </row>
    <row r="8184">
      <c r="FC8184" t="inlineStr">
        <is>
          <t>Diccionario 8</t>
        </is>
      </c>
      <c r="FD8184" s="26" t="inlineStr">
        <is>
          <t>PA-C1191 / LZRD-98|</t>
        </is>
      </c>
      <c r="FL8184" s="27" t="inlineStr">
        <is>
          <t>C</t>
        </is>
      </c>
      <c r="FP8184" s="27" t="inlineStr">
        <is>
          <t>C</t>
        </is>
      </c>
    </row>
    <row r="8185">
      <c r="FC8185" t="inlineStr">
        <is>
          <t>Diccionario 8</t>
        </is>
      </c>
      <c r="FD8185" s="26" t="inlineStr">
        <is>
          <t>PA-C1192 / LZRD-99|</t>
        </is>
      </c>
      <c r="FL8185" s="27" t="inlineStr">
        <is>
          <t>C</t>
        </is>
      </c>
      <c r="FP8185" s="27" t="inlineStr">
        <is>
          <t>C</t>
        </is>
      </c>
    </row>
    <row r="8186">
      <c r="FC8186" t="inlineStr">
        <is>
          <t>Diccionario 8</t>
        </is>
      </c>
      <c r="FD8186" s="26" t="inlineStr">
        <is>
          <t>PA-C1193 / LZRF-10|</t>
        </is>
      </c>
      <c r="FL8186" s="27" t="inlineStr">
        <is>
          <t>C</t>
        </is>
      </c>
      <c r="FP8186" s="27" t="inlineStr">
        <is>
          <t>C</t>
        </is>
      </c>
    </row>
    <row r="8187">
      <c r="FC8187" t="inlineStr">
        <is>
          <t>Diccionario 8</t>
        </is>
      </c>
      <c r="FD8187" s="26" t="inlineStr">
        <is>
          <t>PA-C1194 / LZRF-11|</t>
        </is>
      </c>
      <c r="FL8187" s="27" t="inlineStr">
        <is>
          <t>C</t>
        </is>
      </c>
      <c r="FP8187" s="27" t="inlineStr">
        <is>
          <t>C</t>
        </is>
      </c>
    </row>
    <row r="8188">
      <c r="FC8188" t="inlineStr">
        <is>
          <t>Diccionario 8</t>
        </is>
      </c>
      <c r="FD8188" s="26" t="inlineStr">
        <is>
          <t>PA-C1195 / LZRF-12|</t>
        </is>
      </c>
      <c r="FL8188" s="27" t="inlineStr">
        <is>
          <t>C</t>
        </is>
      </c>
      <c r="FP8188" s="27" t="inlineStr">
        <is>
          <t>C</t>
        </is>
      </c>
    </row>
    <row r="8189">
      <c r="FC8189" t="inlineStr">
        <is>
          <t>Diccionario 8</t>
        </is>
      </c>
      <c r="FD8189" s="26" t="inlineStr">
        <is>
          <t>PA-C1196 / LZRF-13|</t>
        </is>
      </c>
      <c r="FL8189" s="27" t="inlineStr">
        <is>
          <t>C</t>
        </is>
      </c>
      <c r="FP8189" s="27" t="inlineStr">
        <is>
          <t>C</t>
        </is>
      </c>
    </row>
    <row r="8190">
      <c r="FC8190" t="inlineStr">
        <is>
          <t>Diccionario 8</t>
        </is>
      </c>
      <c r="FD8190" s="26" t="inlineStr">
        <is>
          <t>PA-C1197 / LZRF-14|</t>
        </is>
      </c>
      <c r="FL8190" s="27" t="inlineStr">
        <is>
          <t>C</t>
        </is>
      </c>
      <c r="FP8190" s="27" t="inlineStr">
        <is>
          <t>C</t>
        </is>
      </c>
    </row>
    <row r="8191">
      <c r="FC8191" t="inlineStr">
        <is>
          <t>Diccionario 8</t>
        </is>
      </c>
      <c r="FD8191" s="26" t="inlineStr">
        <is>
          <t>PA-C1198 / LZRF-15|</t>
        </is>
      </c>
      <c r="FL8191" s="27" t="inlineStr">
        <is>
          <t>C</t>
        </is>
      </c>
      <c r="FP8191" s="27" t="inlineStr">
        <is>
          <t>C</t>
        </is>
      </c>
    </row>
    <row r="8192">
      <c r="FC8192" t="inlineStr">
        <is>
          <t>Diccionario 8</t>
        </is>
      </c>
      <c r="FD8192" s="26" t="inlineStr">
        <is>
          <t>PA-C1199 / RJXT-26|</t>
        </is>
      </c>
      <c r="FL8192" s="27" t="inlineStr">
        <is>
          <t>C</t>
        </is>
      </c>
      <c r="FP8192" s="27" t="inlineStr">
        <is>
          <t>C</t>
        </is>
      </c>
    </row>
    <row r="8193">
      <c r="FC8193" t="inlineStr">
        <is>
          <t>Diccionario 8</t>
        </is>
      </c>
      <c r="FD8193" s="26" t="inlineStr">
        <is>
          <t>PA-C1200 / RWTP-78|</t>
        </is>
      </c>
      <c r="FL8193" s="27" t="inlineStr">
        <is>
          <t>C</t>
        </is>
      </c>
      <c r="FP8193" s="27" t="inlineStr">
        <is>
          <t>C</t>
        </is>
      </c>
    </row>
    <row r="8194">
      <c r="FC8194" t="inlineStr">
        <is>
          <t>Diccionario 8</t>
        </is>
      </c>
      <c r="FD8194" s="26" t="inlineStr">
        <is>
          <t>PA-C1201 / RWTP-83|</t>
        </is>
      </c>
      <c r="FL8194" s="27" t="inlineStr">
        <is>
          <t>C</t>
        </is>
      </c>
      <c r="FP8194" s="27" t="inlineStr">
        <is>
          <t>C</t>
        </is>
      </c>
    </row>
    <row r="8195">
      <c r="FC8195" t="inlineStr">
        <is>
          <t>Diccionario 8</t>
        </is>
      </c>
      <c r="FD8195" s="26" t="inlineStr">
        <is>
          <t>PA-C1202 / RWTP-85|</t>
        </is>
      </c>
      <c r="FL8195" s="27" t="inlineStr">
        <is>
          <t>C</t>
        </is>
      </c>
      <c r="FP8195" s="27" t="inlineStr">
        <is>
          <t>C</t>
        </is>
      </c>
    </row>
    <row r="8196">
      <c r="FC8196" t="inlineStr">
        <is>
          <t>Diccionario 8</t>
        </is>
      </c>
      <c r="FD8196" s="26" t="inlineStr">
        <is>
          <t>PA-C1203 / RWTP-86|</t>
        </is>
      </c>
      <c r="FL8196" s="27" t="inlineStr">
        <is>
          <t>C</t>
        </is>
      </c>
      <c r="FP8196" s="27" t="inlineStr">
        <is>
          <t>C</t>
        </is>
      </c>
    </row>
    <row r="8197">
      <c r="FC8197" t="inlineStr">
        <is>
          <t>Diccionario 8</t>
        </is>
      </c>
      <c r="FD8197" s="26" t="inlineStr">
        <is>
          <t>PA-C1204 / RWTP-90|</t>
        </is>
      </c>
      <c r="FL8197" s="27" t="inlineStr">
        <is>
          <t>C</t>
        </is>
      </c>
      <c r="FP8197" s="27" t="inlineStr">
        <is>
          <t>C</t>
        </is>
      </c>
    </row>
    <row r="8198">
      <c r="FC8198" t="inlineStr">
        <is>
          <t>Diccionario 8</t>
        </is>
      </c>
      <c r="FD8198" s="26" t="inlineStr">
        <is>
          <t>PA-C1205 / RWTP-94|</t>
        </is>
      </c>
      <c r="FL8198" s="27" t="inlineStr">
        <is>
          <t>C</t>
        </is>
      </c>
      <c r="FP8198" s="27" t="inlineStr">
        <is>
          <t>C</t>
        </is>
      </c>
    </row>
    <row r="8199">
      <c r="FC8199" t="inlineStr">
        <is>
          <t>Diccionario 8</t>
        </is>
      </c>
      <c r="FD8199" s="26" t="inlineStr">
        <is>
          <t>PA-C1206 / RWTP-95|</t>
        </is>
      </c>
      <c r="FL8199" s="27" t="inlineStr">
        <is>
          <t>C</t>
        </is>
      </c>
      <c r="FP8199" s="27" t="inlineStr">
        <is>
          <t>C</t>
        </is>
      </c>
    </row>
    <row r="8200">
      <c r="FC8200" t="inlineStr">
        <is>
          <t>Diccionario 8</t>
        </is>
      </c>
      <c r="FD8200" s="26" t="inlineStr">
        <is>
          <t>PA-C1207 / RWTP-96|</t>
        </is>
      </c>
      <c r="FL8200" s="27" t="inlineStr">
        <is>
          <t>C</t>
        </is>
      </c>
      <c r="FP8200" s="27" t="inlineStr">
        <is>
          <t>C</t>
        </is>
      </c>
    </row>
    <row r="8201">
      <c r="FC8201" t="inlineStr">
        <is>
          <t>Diccionario 8</t>
        </is>
      </c>
      <c r="FD8201" s="26" t="inlineStr">
        <is>
          <t>PA-C1208 / RWTP-97|</t>
        </is>
      </c>
      <c r="FL8201" s="27" t="inlineStr">
        <is>
          <t>C</t>
        </is>
      </c>
      <c r="FP8201" s="27" t="inlineStr">
        <is>
          <t>C</t>
        </is>
      </c>
    </row>
    <row r="8202">
      <c r="FC8202" t="inlineStr">
        <is>
          <t>Diccionario 8</t>
        </is>
      </c>
      <c r="FD8202" s="26" t="inlineStr">
        <is>
          <t>PA-C1209 / RWTP-98|</t>
        </is>
      </c>
      <c r="FL8202" s="27" t="inlineStr">
        <is>
          <t>C</t>
        </is>
      </c>
      <c r="FP8202" s="27" t="inlineStr">
        <is>
          <t>C</t>
        </is>
      </c>
    </row>
    <row r="8203">
      <c r="FC8203" t="inlineStr">
        <is>
          <t>Diccionario 8</t>
        </is>
      </c>
      <c r="FD8203" s="26" t="inlineStr">
        <is>
          <t>PA-C1210 / RWTP-99|</t>
        </is>
      </c>
      <c r="FL8203" s="27" t="inlineStr">
        <is>
          <t>C</t>
        </is>
      </c>
      <c r="FP8203" s="27" t="inlineStr">
        <is>
          <t>C</t>
        </is>
      </c>
    </row>
    <row r="8204">
      <c r="FC8204" t="inlineStr">
        <is>
          <t>Diccionario 8</t>
        </is>
      </c>
      <c r="FD8204" s="26" t="inlineStr">
        <is>
          <t>PA-C1211 / RYJG-90|</t>
        </is>
      </c>
      <c r="FL8204" s="27" t="inlineStr">
        <is>
          <t>C</t>
        </is>
      </c>
      <c r="FP8204" s="27" t="inlineStr">
        <is>
          <t>C</t>
        </is>
      </c>
    </row>
    <row r="8205">
      <c r="FC8205" t="inlineStr">
        <is>
          <t>Diccionario 8</t>
        </is>
      </c>
      <c r="FD8205" s="26" t="inlineStr">
        <is>
          <t>PA-C1212 / RYJG-91|</t>
        </is>
      </c>
      <c r="FL8205" s="27" t="inlineStr">
        <is>
          <t>C</t>
        </is>
      </c>
      <c r="FP8205" s="27" t="inlineStr">
        <is>
          <t>C</t>
        </is>
      </c>
    </row>
    <row r="8206">
      <c r="FC8206" t="inlineStr">
        <is>
          <t>Diccionario 8</t>
        </is>
      </c>
      <c r="FD8206" s="26" t="inlineStr">
        <is>
          <t>SA-C1213 / RYJG-92|</t>
        </is>
      </c>
      <c r="FL8206" s="27" t="inlineStr">
        <is>
          <t>C</t>
        </is>
      </c>
      <c r="FP8206" s="27" t="inlineStr">
        <is>
          <t>C</t>
        </is>
      </c>
    </row>
    <row r="8207">
      <c r="FC8207" t="inlineStr">
        <is>
          <t>Diccionario 8</t>
        </is>
      </c>
      <c r="FD8207" s="26" t="inlineStr">
        <is>
          <t>SA-C1214 / RYJG-93|</t>
        </is>
      </c>
      <c r="FL8207" s="27" t="inlineStr">
        <is>
          <t>C</t>
        </is>
      </c>
      <c r="FP8207" s="27" t="inlineStr">
        <is>
          <t>C</t>
        </is>
      </c>
    </row>
    <row r="8208">
      <c r="FC8208" t="inlineStr">
        <is>
          <t>Diccionario 8</t>
        </is>
      </c>
      <c r="FD8208" s="26" t="inlineStr">
        <is>
          <t>SA-C1215 / RYJG-94|</t>
        </is>
      </c>
      <c r="FL8208" s="27" t="inlineStr">
        <is>
          <t>C</t>
        </is>
      </c>
      <c r="FP8208" s="27" t="inlineStr">
        <is>
          <t>C</t>
        </is>
      </c>
    </row>
    <row r="8209">
      <c r="FC8209" t="inlineStr">
        <is>
          <t>Diccionario 8</t>
        </is>
      </c>
      <c r="FD8209" s="26" t="inlineStr">
        <is>
          <t>SA-C1216 / RYJG-95|</t>
        </is>
      </c>
      <c r="FL8209" s="27" t="inlineStr">
        <is>
          <t>C</t>
        </is>
      </c>
      <c r="FP8209" s="27" t="inlineStr">
        <is>
          <t>C</t>
        </is>
      </c>
    </row>
    <row r="8210">
      <c r="FC8210" t="inlineStr">
        <is>
          <t>Diccionario 8</t>
        </is>
      </c>
      <c r="FD8210" s="26" t="inlineStr">
        <is>
          <t>SA-C1217 / SXKV-87|</t>
        </is>
      </c>
      <c r="FL8210" s="27" t="inlineStr">
        <is>
          <t>C</t>
        </is>
      </c>
      <c r="FP8210" s="27" t="inlineStr">
        <is>
          <t>C</t>
        </is>
      </c>
    </row>
    <row r="8211">
      <c r="FC8211" t="inlineStr">
        <is>
          <t>Diccionario 8</t>
        </is>
      </c>
      <c r="FD8211" s="26" t="inlineStr">
        <is>
          <t>SA-C1218 / SXKV-88|</t>
        </is>
      </c>
      <c r="FL8211" s="27" t="inlineStr">
        <is>
          <t>C</t>
        </is>
      </c>
      <c r="FP8211" s="27" t="inlineStr">
        <is>
          <t>C</t>
        </is>
      </c>
    </row>
    <row r="8212">
      <c r="FC8212" t="inlineStr">
        <is>
          <t>Diccionario 8</t>
        </is>
      </c>
      <c r="FD8212" s="26" t="inlineStr">
        <is>
          <t>SA-C1219 / SXKV-91|</t>
        </is>
      </c>
      <c r="FL8212" s="27" t="inlineStr">
        <is>
          <t>C</t>
        </is>
      </c>
      <c r="FP8212" s="27" t="inlineStr">
        <is>
          <t>C</t>
        </is>
      </c>
    </row>
    <row r="8213">
      <c r="FC8213" t="inlineStr">
        <is>
          <t>Diccionario 8</t>
        </is>
      </c>
      <c r="FD8213" s="26" t="inlineStr">
        <is>
          <t>SA-C1220 / SXKV-92|</t>
        </is>
      </c>
      <c r="FL8213" s="27" t="inlineStr">
        <is>
          <t>C</t>
        </is>
      </c>
      <c r="FP8213" s="27" t="inlineStr">
        <is>
          <t>C</t>
        </is>
      </c>
    </row>
    <row r="8214">
      <c r="FC8214" t="inlineStr">
        <is>
          <t>Diccionario 8</t>
        </is>
      </c>
      <c r="FD8214" s="26" t="inlineStr">
        <is>
          <t>SA-C1221 / SXKV-93|</t>
        </is>
      </c>
      <c r="FL8214" s="27" t="inlineStr">
        <is>
          <t>C</t>
        </is>
      </c>
      <c r="FP8214" s="27" t="inlineStr">
        <is>
          <t>C</t>
        </is>
      </c>
    </row>
    <row r="8215">
      <c r="FC8215" t="inlineStr">
        <is>
          <t>Diccionario 8</t>
        </is>
      </c>
      <c r="FD8215" s="26" t="inlineStr">
        <is>
          <t>SA-C1222 / SXKV-94|</t>
        </is>
      </c>
      <c r="FL8215" s="27" t="inlineStr">
        <is>
          <t>C</t>
        </is>
      </c>
      <c r="FP8215" s="27" t="inlineStr">
        <is>
          <t>C</t>
        </is>
      </c>
    </row>
    <row r="8216">
      <c r="FC8216" t="inlineStr">
        <is>
          <t>Diccionario 8</t>
        </is>
      </c>
      <c r="FD8216" s="26" t="inlineStr">
        <is>
          <t>SA-C1223 / SXKV-95|</t>
        </is>
      </c>
      <c r="FL8216" s="27" t="inlineStr">
        <is>
          <t>C</t>
        </is>
      </c>
      <c r="FP8216" s="27" t="inlineStr">
        <is>
          <t>C</t>
        </is>
      </c>
    </row>
    <row r="8217">
      <c r="FC8217" t="inlineStr">
        <is>
          <t>Diccionario 8</t>
        </is>
      </c>
      <c r="FD8217" s="26" t="inlineStr">
        <is>
          <t>SA-C1224 / SXKV-96|</t>
        </is>
      </c>
      <c r="FL8217" s="27" t="inlineStr">
        <is>
          <t>C</t>
        </is>
      </c>
      <c r="FP8217" s="27" t="inlineStr">
        <is>
          <t>C</t>
        </is>
      </c>
    </row>
    <row r="8218">
      <c r="FC8218" t="inlineStr">
        <is>
          <t>Diccionario 8</t>
        </is>
      </c>
      <c r="FD8218" s="26" t="inlineStr">
        <is>
          <t>SA-C1225 / GCBF-42|</t>
        </is>
      </c>
      <c r="FL8218" s="27" t="inlineStr">
        <is>
          <t>C</t>
        </is>
      </c>
      <c r="FP8218" s="27" t="inlineStr">
        <is>
          <t>C</t>
        </is>
      </c>
    </row>
    <row r="8219">
      <c r="FC8219" t="inlineStr">
        <is>
          <t>Diccionario 8</t>
        </is>
      </c>
      <c r="FD8219" s="26" t="inlineStr">
        <is>
          <t>SA-C1226 / LZRD-67|</t>
        </is>
      </c>
      <c r="FL8219" s="27" t="inlineStr">
        <is>
          <t>C</t>
        </is>
      </c>
      <c r="FP8219" s="27" t="inlineStr">
        <is>
          <t>C</t>
        </is>
      </c>
    </row>
    <row r="8220">
      <c r="FC8220" t="inlineStr">
        <is>
          <t>Diccionario 8</t>
        </is>
      </c>
      <c r="FD8220" s="26" t="inlineStr">
        <is>
          <t>SA-C1227 / LZRD-75|</t>
        </is>
      </c>
      <c r="FL8220" s="27" t="inlineStr">
        <is>
          <t>C</t>
        </is>
      </c>
      <c r="FP8220" s="27" t="inlineStr">
        <is>
          <t>C</t>
        </is>
      </c>
    </row>
    <row r="8221">
      <c r="FC8221" t="inlineStr">
        <is>
          <t>Diccionario 8</t>
        </is>
      </c>
      <c r="FD8221" s="26" t="inlineStr">
        <is>
          <t>SA-C1228 / LZRD-76|</t>
        </is>
      </c>
      <c r="FL8221" s="27" t="inlineStr">
        <is>
          <t>C</t>
        </is>
      </c>
      <c r="FP8221" s="27" t="inlineStr">
        <is>
          <t>C</t>
        </is>
      </c>
    </row>
    <row r="8222">
      <c r="FC8222" t="inlineStr">
        <is>
          <t>Diccionario 8</t>
        </is>
      </c>
      <c r="FD8222" s="26" t="inlineStr">
        <is>
          <t>SA-C1229 / LZRD-78|</t>
        </is>
      </c>
      <c r="FL8222" s="27" t="inlineStr">
        <is>
          <t>C</t>
        </is>
      </c>
      <c r="FP8222" s="27" t="inlineStr">
        <is>
          <t>C</t>
        </is>
      </c>
    </row>
    <row r="8223">
      <c r="FC8223" t="inlineStr">
        <is>
          <t>Diccionario 8</t>
        </is>
      </c>
      <c r="FD8223" s="26" t="inlineStr">
        <is>
          <t>SA-C1230 / LZRD-83|</t>
        </is>
      </c>
      <c r="FL8223" s="27" t="inlineStr">
        <is>
          <t>C</t>
        </is>
      </c>
      <c r="FP8223" s="27" t="inlineStr">
        <is>
          <t>C</t>
        </is>
      </c>
    </row>
    <row r="8224">
      <c r="FC8224" t="inlineStr">
        <is>
          <t>Diccionario 8</t>
        </is>
      </c>
      <c r="FD8224" s="26" t="inlineStr">
        <is>
          <t>SA-C1231 / LZRD-88|</t>
        </is>
      </c>
      <c r="FL8224" s="27" t="inlineStr">
        <is>
          <t>C</t>
        </is>
      </c>
      <c r="FP8224" s="27" t="inlineStr">
        <is>
          <t>C</t>
        </is>
      </c>
    </row>
    <row r="8225">
      <c r="FC8225" t="inlineStr">
        <is>
          <t>Diccionario 8</t>
        </is>
      </c>
      <c r="FD8225" s="26" t="inlineStr">
        <is>
          <t>SA-C1232 / LZRD-91|</t>
        </is>
      </c>
      <c r="FL8225" s="27" t="inlineStr">
        <is>
          <t>C</t>
        </is>
      </c>
      <c r="FP8225" s="27" t="inlineStr">
        <is>
          <t>C</t>
        </is>
      </c>
    </row>
    <row r="8226">
      <c r="FC8226" t="inlineStr">
        <is>
          <t>Diccionario 8</t>
        </is>
      </c>
      <c r="FD8226" s="26" t="inlineStr">
        <is>
          <t>SA-C1233 / LZRD-92|</t>
        </is>
      </c>
      <c r="FL8226" s="27" t="inlineStr">
        <is>
          <t>C</t>
        </is>
      </c>
      <c r="FP8226" s="27" t="inlineStr">
        <is>
          <t>C</t>
        </is>
      </c>
    </row>
    <row r="8227">
      <c r="FC8227" t="inlineStr">
        <is>
          <t>Diccionario 8</t>
        </is>
      </c>
      <c r="FD8227" s="26" t="inlineStr">
        <is>
          <t>SA-C1234 / RWTP-79|</t>
        </is>
      </c>
      <c r="FL8227" s="27" t="inlineStr">
        <is>
          <t>C</t>
        </is>
      </c>
      <c r="FP8227" s="27" t="inlineStr">
        <is>
          <t>C</t>
        </is>
      </c>
    </row>
    <row r="8228">
      <c r="FC8228" t="inlineStr">
        <is>
          <t>Diccionario 8</t>
        </is>
      </c>
      <c r="FD8228" s="26" t="inlineStr">
        <is>
          <t>SA-C1235 / RWTP-80|</t>
        </is>
      </c>
      <c r="FL8228" s="27" t="inlineStr">
        <is>
          <t>C</t>
        </is>
      </c>
      <c r="FP8228" s="27" t="inlineStr">
        <is>
          <t>C</t>
        </is>
      </c>
    </row>
    <row r="8229">
      <c r="FC8229" t="inlineStr">
        <is>
          <t>Diccionario 8</t>
        </is>
      </c>
      <c r="FD8229" s="26" t="inlineStr">
        <is>
          <t>SA-C1236 / RWTP-81|</t>
        </is>
      </c>
      <c r="FL8229" s="27" t="inlineStr">
        <is>
          <t>C</t>
        </is>
      </c>
      <c r="FP8229" s="27" t="inlineStr">
        <is>
          <t>C</t>
        </is>
      </c>
    </row>
    <row r="8230">
      <c r="FC8230" t="inlineStr">
        <is>
          <t>Diccionario 8</t>
        </is>
      </c>
      <c r="FD8230" s="26" t="inlineStr">
        <is>
          <t>SA-C1237 / RWTP-82|</t>
        </is>
      </c>
      <c r="FL8230" s="27" t="inlineStr">
        <is>
          <t>C</t>
        </is>
      </c>
      <c r="FP8230" s="27" t="inlineStr">
        <is>
          <t>C</t>
        </is>
      </c>
    </row>
    <row r="8231">
      <c r="FC8231" t="inlineStr">
        <is>
          <t>Diccionario 8</t>
        </is>
      </c>
      <c r="FD8231" s="26" t="inlineStr">
        <is>
          <t>SA-C1238 / RWTP-84|</t>
        </is>
      </c>
      <c r="FL8231" s="27" t="inlineStr">
        <is>
          <t>C</t>
        </is>
      </c>
      <c r="FP8231" s="27" t="inlineStr">
        <is>
          <t>C</t>
        </is>
      </c>
    </row>
    <row r="8232">
      <c r="FC8232" t="inlineStr">
        <is>
          <t>Diccionario 8</t>
        </is>
      </c>
      <c r="FD8232" s="26" t="inlineStr">
        <is>
          <t>SA-C1239 / RWTP-87|</t>
        </is>
      </c>
      <c r="FL8232" s="27" t="inlineStr">
        <is>
          <t>C</t>
        </is>
      </c>
      <c r="FP8232" s="27" t="inlineStr">
        <is>
          <t>C</t>
        </is>
      </c>
    </row>
    <row r="8233">
      <c r="FC8233" t="inlineStr">
        <is>
          <t>Diccionario 8</t>
        </is>
      </c>
      <c r="FD8233" s="26" t="inlineStr">
        <is>
          <t>SA-C1240 / RWTP-88|</t>
        </is>
      </c>
      <c r="FL8233" s="27" t="inlineStr">
        <is>
          <t>C</t>
        </is>
      </c>
      <c r="FP8233" s="27" t="inlineStr">
        <is>
          <t>C</t>
        </is>
      </c>
    </row>
    <row r="8234">
      <c r="FC8234" t="inlineStr">
        <is>
          <t>Diccionario 8</t>
        </is>
      </c>
      <c r="FD8234" s="26" t="inlineStr">
        <is>
          <t>SA-C1241 / RWTP-89|</t>
        </is>
      </c>
      <c r="FL8234" s="27" t="inlineStr">
        <is>
          <t>C</t>
        </is>
      </c>
      <c r="FP8234" s="27" t="inlineStr">
        <is>
          <t>C</t>
        </is>
      </c>
    </row>
    <row r="8235">
      <c r="FC8235" t="inlineStr">
        <is>
          <t>Diccionario 8</t>
        </is>
      </c>
      <c r="FD8235" s="26" t="inlineStr">
        <is>
          <t>SA-C1242 / RWTP-91|</t>
        </is>
      </c>
      <c r="FL8235" s="27" t="inlineStr">
        <is>
          <t>C</t>
        </is>
      </c>
      <c r="FP8235" s="27" t="inlineStr">
        <is>
          <t>C</t>
        </is>
      </c>
    </row>
    <row r="8236">
      <c r="FC8236" t="inlineStr">
        <is>
          <t>Diccionario 8</t>
        </is>
      </c>
      <c r="FD8236" s="26" t="inlineStr">
        <is>
          <t>SA-C1243 / RWTP-92|</t>
        </is>
      </c>
      <c r="FL8236" s="27" t="inlineStr">
        <is>
          <t>C</t>
        </is>
      </c>
      <c r="FP8236" s="27" t="inlineStr">
        <is>
          <t>C</t>
        </is>
      </c>
    </row>
    <row r="8237">
      <c r="FC8237" t="inlineStr">
        <is>
          <t>Diccionario 8</t>
        </is>
      </c>
      <c r="FD8237" s="26" t="inlineStr">
        <is>
          <t>SA-C1244 / RWTP-93|</t>
        </is>
      </c>
      <c r="FL8237" s="27" t="inlineStr">
        <is>
          <t>C</t>
        </is>
      </c>
      <c r="FP8237" s="27" t="inlineStr">
        <is>
          <t>C</t>
        </is>
      </c>
    </row>
    <row r="8238">
      <c r="FC8238" t="inlineStr">
        <is>
          <t>Diccionario 8</t>
        </is>
      </c>
      <c r="FD8238" s="26" t="inlineStr">
        <is>
          <t>SA-C1245 / RWTR-10|</t>
        </is>
      </c>
      <c r="FL8238" s="27" t="inlineStr">
        <is>
          <t>C</t>
        </is>
      </c>
      <c r="FP8238" s="27" t="inlineStr">
        <is>
          <t>C</t>
        </is>
      </c>
    </row>
    <row r="8239">
      <c r="FC8239" t="inlineStr">
        <is>
          <t>Diccionario 8</t>
        </is>
      </c>
      <c r="FD8239" s="26" t="inlineStr">
        <is>
          <t>SA-C1246 / RWTR-11|</t>
        </is>
      </c>
      <c r="FL8239" s="27" t="inlineStr">
        <is>
          <t>C</t>
        </is>
      </c>
      <c r="FP8239" s="27" t="inlineStr">
        <is>
          <t>C</t>
        </is>
      </c>
    </row>
    <row r="8240">
      <c r="FC8240" t="inlineStr">
        <is>
          <t>Diccionario 8</t>
        </is>
      </c>
      <c r="FD8240" s="26" t="inlineStr">
        <is>
          <t>SA-C1247 / SXKV-89|</t>
        </is>
      </c>
      <c r="FL8240" s="27" t="inlineStr">
        <is>
          <t>C</t>
        </is>
      </c>
      <c r="FP8240" s="27" t="inlineStr">
        <is>
          <t>C</t>
        </is>
      </c>
    </row>
    <row r="8241">
      <c r="FC8241" t="inlineStr">
        <is>
          <t>Diccionario 8</t>
        </is>
      </c>
      <c r="FD8241" s="26" t="inlineStr">
        <is>
          <t>SA-C1248 / SXKV-90|</t>
        </is>
      </c>
      <c r="FL8241" s="27" t="inlineStr">
        <is>
          <t>C</t>
        </is>
      </c>
      <c r="FP8241" s="27" t="inlineStr">
        <is>
          <t>C</t>
        </is>
      </c>
    </row>
    <row r="8242">
      <c r="FC8242" t="inlineStr">
        <is>
          <t>Diccionario 8</t>
        </is>
      </c>
      <c r="FD8242" s="26" t="inlineStr">
        <is>
          <t>CER-B1251 / VFPB-75|</t>
        </is>
      </c>
      <c r="FL8242" s="27" t="inlineStr">
        <is>
          <t>B</t>
        </is>
      </c>
      <c r="FP8242" s="27" t="inlineStr">
        <is>
          <t>B</t>
        </is>
      </c>
    </row>
    <row r="8243">
      <c r="FC8243" t="inlineStr">
        <is>
          <t>Diccionario 8</t>
        </is>
      </c>
      <c r="FD8243" s="26" t="inlineStr">
        <is>
          <t>PA-B1252 / VFPB-85|</t>
        </is>
      </c>
      <c r="FL8243" s="27" t="inlineStr">
        <is>
          <t>B</t>
        </is>
      </c>
      <c r="FP8243" s="27" t="inlineStr">
        <is>
          <t>B</t>
        </is>
      </c>
    </row>
    <row r="8244">
      <c r="FC8244" t="inlineStr">
        <is>
          <t>Diccionario 8</t>
        </is>
      </c>
      <c r="FD8244" s="26" t="inlineStr">
        <is>
          <t>SA-B1253 / VFPC-59|</t>
        </is>
      </c>
      <c r="FL8244" s="27" t="inlineStr">
        <is>
          <t>B</t>
        </is>
      </c>
      <c r="FP8244" s="27" t="inlineStr">
        <is>
          <t>B</t>
        </is>
      </c>
    </row>
    <row r="8245">
      <c r="FC8245" t="inlineStr">
        <is>
          <t>Diccionario 8</t>
        </is>
      </c>
      <c r="FD8245" s="26" t="inlineStr">
        <is>
          <t>SA-B1254 / VFPC-66|</t>
        </is>
      </c>
      <c r="FL8245" s="27" t="inlineStr">
        <is>
          <t>B</t>
        </is>
      </c>
      <c r="FP8245" s="27" t="inlineStr">
        <is>
          <t>B</t>
        </is>
      </c>
    </row>
    <row r="8246">
      <c r="FC8246" t="inlineStr">
        <is>
          <t>Diccionario 8</t>
        </is>
      </c>
      <c r="FD8246" s="26" t="inlineStr">
        <is>
          <t>PA-B1255 / VFPC-69|</t>
        </is>
      </c>
      <c r="FL8246" s="27" t="inlineStr">
        <is>
          <t>B</t>
        </is>
      </c>
      <c r="FP8246" s="27" t="inlineStr">
        <is>
          <t>B</t>
        </is>
      </c>
    </row>
    <row r="8247">
      <c r="FC8247" t="inlineStr">
        <is>
          <t>Diccionario 8</t>
        </is>
      </c>
      <c r="FD8247" s="26" t="inlineStr">
        <is>
          <t>CER-B1256 / VFPD-10|</t>
        </is>
      </c>
      <c r="FL8247" s="27" t="inlineStr">
        <is>
          <t>B</t>
        </is>
      </c>
      <c r="FP8247" s="27" t="inlineStr">
        <is>
          <t>B</t>
        </is>
      </c>
    </row>
    <row r="8248">
      <c r="FC8248" t="inlineStr">
        <is>
          <t>Diccionario 8</t>
        </is>
      </c>
      <c r="FD8248" s="26" t="inlineStr">
        <is>
          <t>PA-B1257 / VFPD-41|</t>
        </is>
      </c>
      <c r="FL8248" s="27" t="inlineStr">
        <is>
          <t>B</t>
        </is>
      </c>
      <c r="FP8248" s="27" t="inlineStr">
        <is>
          <t>B</t>
        </is>
      </c>
    </row>
    <row r="8249">
      <c r="FC8249" t="inlineStr">
        <is>
          <t>Diccionario 8</t>
        </is>
      </c>
      <c r="FD8249" s="26" t="inlineStr">
        <is>
          <t>CER-B1258 / VFPD-51|</t>
        </is>
      </c>
      <c r="FL8249" s="27" t="inlineStr">
        <is>
          <t>B</t>
        </is>
      </c>
      <c r="FP8249" s="27" t="inlineStr">
        <is>
          <t>B</t>
        </is>
      </c>
    </row>
    <row r="8250">
      <c r="FC8250" t="inlineStr">
        <is>
          <t>Diccionario 8</t>
        </is>
      </c>
      <c r="FD8250" s="26" t="inlineStr">
        <is>
          <t>CER-B1259 / VFPD-61|</t>
        </is>
      </c>
      <c r="FL8250" s="27" t="inlineStr">
        <is>
          <t>B</t>
        </is>
      </c>
      <c r="FP8250" s="27" t="inlineStr">
        <is>
          <t>B</t>
        </is>
      </c>
    </row>
    <row r="8251">
      <c r="FC8251" t="inlineStr">
        <is>
          <t>Diccionario 8</t>
        </is>
      </c>
      <c r="FD8251" s="26" t="inlineStr">
        <is>
          <t>CER-B1260 / VFPD-71|</t>
        </is>
      </c>
      <c r="FL8251" s="27" t="inlineStr">
        <is>
          <t>B</t>
        </is>
      </c>
      <c r="FP8251" s="27" t="inlineStr">
        <is>
          <t>B</t>
        </is>
      </c>
    </row>
    <row r="8252">
      <c r="FC8252" t="inlineStr">
        <is>
          <t>Diccionario 8</t>
        </is>
      </c>
      <c r="FD8252" s="26" t="inlineStr">
        <is>
          <t>CER-B1261 / VFPD-81|</t>
        </is>
      </c>
      <c r="FL8252" s="27" t="inlineStr">
        <is>
          <t>B</t>
        </is>
      </c>
      <c r="FP8252" s="27" t="inlineStr">
        <is>
          <t>B</t>
        </is>
      </c>
    </row>
    <row r="8253">
      <c r="FC8253" t="inlineStr">
        <is>
          <t>Diccionario 8</t>
        </is>
      </c>
      <c r="FD8253" s="26" t="inlineStr">
        <is>
          <t>PA-B1262 / VFPF-21|</t>
        </is>
      </c>
      <c r="FL8253" s="27" t="inlineStr">
        <is>
          <t>B</t>
        </is>
      </c>
      <c r="FP8253" s="27" t="inlineStr">
        <is>
          <t>B</t>
        </is>
      </c>
    </row>
    <row r="8254">
      <c r="FC8254" t="inlineStr">
        <is>
          <t>Diccionario 8</t>
        </is>
      </c>
      <c r="FD8254" s="26" t="inlineStr">
        <is>
          <t>CER-B1263 / VFPF-31|</t>
        </is>
      </c>
      <c r="FL8254" s="27" t="inlineStr">
        <is>
          <t>B</t>
        </is>
      </c>
      <c r="FP8254" s="27" t="inlineStr">
        <is>
          <t>B</t>
        </is>
      </c>
    </row>
    <row r="8255">
      <c r="FC8255" t="inlineStr">
        <is>
          <t>Diccionario 8</t>
        </is>
      </c>
      <c r="FD8255" s="26" t="inlineStr">
        <is>
          <t>CER-B1264 / VFPF-51|</t>
        </is>
      </c>
      <c r="FL8255" s="27" t="inlineStr">
        <is>
          <t>B</t>
        </is>
      </c>
      <c r="FP8255" s="27" t="inlineStr">
        <is>
          <t>B</t>
        </is>
      </c>
    </row>
    <row r="8256">
      <c r="FC8256" t="inlineStr">
        <is>
          <t>Diccionario 8</t>
        </is>
      </c>
      <c r="FD8256" s="26" t="inlineStr">
        <is>
          <t>PA-B1265 / VFPF-54|</t>
        </is>
      </c>
      <c r="FL8256" s="27" t="inlineStr">
        <is>
          <t>B</t>
        </is>
      </c>
      <c r="FP8256" s="27" t="inlineStr">
        <is>
          <t>B</t>
        </is>
      </c>
    </row>
    <row r="8257">
      <c r="FC8257" t="inlineStr">
        <is>
          <t>Diccionario 8</t>
        </is>
      </c>
      <c r="FD8257" s="26" t="inlineStr">
        <is>
          <t>SA-B1266 / VFPF-61|</t>
        </is>
      </c>
      <c r="FL8257" s="27" t="inlineStr">
        <is>
          <t>B</t>
        </is>
      </c>
      <c r="FP8257" s="27" t="inlineStr">
        <is>
          <t>B</t>
        </is>
      </c>
    </row>
    <row r="8258">
      <c r="FC8258" t="inlineStr">
        <is>
          <t>Diccionario 8</t>
        </is>
      </c>
      <c r="FD8258" s="26" t="inlineStr">
        <is>
          <t>CER-B1267 / VFPG-48|</t>
        </is>
      </c>
      <c r="FL8258" s="27" t="inlineStr">
        <is>
          <t>B</t>
        </is>
      </c>
      <c r="FP8258" s="27" t="inlineStr">
        <is>
          <t>B</t>
        </is>
      </c>
    </row>
    <row r="8259">
      <c r="FC8259" t="inlineStr">
        <is>
          <t>Diccionario 8</t>
        </is>
      </c>
      <c r="FD8259" s="26" t="inlineStr">
        <is>
          <t>CER-B1268 / VFPG-58|</t>
        </is>
      </c>
      <c r="FL8259" s="27" t="inlineStr">
        <is>
          <t>B</t>
        </is>
      </c>
      <c r="FP8259" s="27" t="inlineStr">
        <is>
          <t>B</t>
        </is>
      </c>
    </row>
    <row r="8260">
      <c r="FC8260" t="inlineStr">
        <is>
          <t>Diccionario 8</t>
        </is>
      </c>
      <c r="FD8260" s="26" t="inlineStr">
        <is>
          <t>PA-B1269 / VFPG-91|</t>
        </is>
      </c>
      <c r="FL8260" s="27" t="inlineStr">
        <is>
          <t>B</t>
        </is>
      </c>
      <c r="FP8260" s="27" t="inlineStr">
        <is>
          <t>B</t>
        </is>
      </c>
    </row>
    <row r="8261">
      <c r="FC8261" t="inlineStr">
        <is>
          <t>Diccionario 8</t>
        </is>
      </c>
      <c r="FD8261" s="26" t="inlineStr">
        <is>
          <t>PA-B1270 / VFPH-21|</t>
        </is>
      </c>
      <c r="FL8261" s="27" t="inlineStr">
        <is>
          <t>B</t>
        </is>
      </c>
      <c r="FP8261" s="27" t="inlineStr">
        <is>
          <t>B</t>
        </is>
      </c>
    </row>
    <row r="8262">
      <c r="FC8262" t="inlineStr">
        <is>
          <t>Diccionario 8</t>
        </is>
      </c>
      <c r="FD8262" s="26" t="inlineStr">
        <is>
          <t>CER-B1271 / VFPH-35|</t>
        </is>
      </c>
      <c r="FL8262" s="27" t="inlineStr">
        <is>
          <t>B</t>
        </is>
      </c>
      <c r="FP8262" s="27" t="inlineStr">
        <is>
          <t>B</t>
        </is>
      </c>
    </row>
    <row r="8263">
      <c r="FC8263" t="inlineStr">
        <is>
          <t>Diccionario 8</t>
        </is>
      </c>
      <c r="FD8263" s="26" t="inlineStr">
        <is>
          <t>PA-B1272 / VFPH-51|</t>
        </is>
      </c>
      <c r="FL8263" s="27" t="inlineStr">
        <is>
          <t>B</t>
        </is>
      </c>
      <c r="FP8263" s="27" t="inlineStr">
        <is>
          <t>B</t>
        </is>
      </c>
    </row>
    <row r="8264">
      <c r="FC8264" t="inlineStr">
        <is>
          <t>Diccionario 8</t>
        </is>
      </c>
      <c r="FD8264" s="26" t="inlineStr">
        <is>
          <t>CER-B1273 / VFPH-66|</t>
        </is>
      </c>
      <c r="FL8264" s="27" t="inlineStr">
        <is>
          <t>B</t>
        </is>
      </c>
      <c r="FP8264" s="27" t="inlineStr">
        <is>
          <t>B</t>
        </is>
      </c>
    </row>
    <row r="8265">
      <c r="FC8265" t="inlineStr">
        <is>
          <t>Diccionario 8</t>
        </is>
      </c>
      <c r="FD8265" s="26" t="inlineStr">
        <is>
          <t>PA-B1274 / VFPH-79|</t>
        </is>
      </c>
      <c r="FL8265" s="27" t="inlineStr">
        <is>
          <t>B</t>
        </is>
      </c>
      <c r="FP8265" s="27" t="inlineStr">
        <is>
          <t>B</t>
        </is>
      </c>
    </row>
    <row r="8266">
      <c r="FC8266" t="inlineStr">
        <is>
          <t>Diccionario 8</t>
        </is>
      </c>
      <c r="FD8266" s="26" t="inlineStr">
        <is>
          <t>PA-B1275 / VFPH-81|</t>
        </is>
      </c>
      <c r="FL8266" s="27" t="inlineStr">
        <is>
          <t>B</t>
        </is>
      </c>
      <c r="FP8266" s="27" t="inlineStr">
        <is>
          <t>B</t>
        </is>
      </c>
    </row>
    <row r="8267">
      <c r="FC8267" t="inlineStr">
        <is>
          <t>Diccionario 8</t>
        </is>
      </c>
      <c r="FD8267" s="26" t="inlineStr">
        <is>
          <t>PA-B1276 / VFPH-91|</t>
        </is>
      </c>
      <c r="FL8267" s="27" t="inlineStr">
        <is>
          <t>B</t>
        </is>
      </c>
      <c r="FP8267" s="27" t="inlineStr">
        <is>
          <t>B</t>
        </is>
      </c>
    </row>
    <row r="8268">
      <c r="FC8268" t="inlineStr">
        <is>
          <t>Diccionario 8</t>
        </is>
      </c>
      <c r="FD8268" s="26" t="inlineStr">
        <is>
          <t>SA-B1277 / VFPH-98|</t>
        </is>
      </c>
      <c r="FL8268" s="27" t="inlineStr">
        <is>
          <t>B</t>
        </is>
      </c>
      <c r="FP8268" s="27" t="inlineStr">
        <is>
          <t>B</t>
        </is>
      </c>
    </row>
    <row r="8269">
      <c r="FC8269" t="inlineStr">
        <is>
          <t>Diccionario 8</t>
        </is>
      </c>
      <c r="FD8269" s="26" t="inlineStr">
        <is>
          <t>CER-B1278 / VFPJ-11|</t>
        </is>
      </c>
      <c r="FL8269" s="27" t="inlineStr">
        <is>
          <t>B</t>
        </is>
      </c>
      <c r="FP8269" s="27" t="inlineStr">
        <is>
          <t>B</t>
        </is>
      </c>
    </row>
    <row r="8270">
      <c r="FC8270" t="inlineStr">
        <is>
          <t>Diccionario 8</t>
        </is>
      </c>
      <c r="FD8270" s="26" t="inlineStr">
        <is>
          <t>PA-B1279 / VFPJ-25|</t>
        </is>
      </c>
      <c r="FL8270" s="27" t="inlineStr">
        <is>
          <t>B</t>
        </is>
      </c>
      <c r="FP8270" s="27" t="inlineStr">
        <is>
          <t>B</t>
        </is>
      </c>
    </row>
    <row r="8271">
      <c r="FC8271" t="inlineStr">
        <is>
          <t>Diccionario 8</t>
        </is>
      </c>
      <c r="FD8271" s="26" t="inlineStr">
        <is>
          <t>PA-B1280 / VFPJ-28|</t>
        </is>
      </c>
      <c r="FL8271" s="27" t="inlineStr">
        <is>
          <t>B</t>
        </is>
      </c>
      <c r="FP8271" s="27" t="inlineStr">
        <is>
          <t>B</t>
        </is>
      </c>
    </row>
    <row r="8272">
      <c r="FC8272" t="inlineStr">
        <is>
          <t>Diccionario 8</t>
        </is>
      </c>
      <c r="FD8272" s="26" t="inlineStr">
        <is>
          <t>CER-B1281 / VFPJ-31|</t>
        </is>
      </c>
      <c r="FL8272" s="27" t="inlineStr">
        <is>
          <t>B</t>
        </is>
      </c>
      <c r="FP8272" s="27" t="inlineStr">
        <is>
          <t>B</t>
        </is>
      </c>
    </row>
    <row r="8273">
      <c r="FC8273" t="inlineStr">
        <is>
          <t>Diccionario 8</t>
        </is>
      </c>
      <c r="FD8273" s="26" t="inlineStr">
        <is>
          <t>PA-B1282 / VFPJ-51|</t>
        </is>
      </c>
      <c r="FL8273" s="27" t="inlineStr">
        <is>
          <t>B</t>
        </is>
      </c>
      <c r="FP8273" s="27" t="inlineStr">
        <is>
          <t>B</t>
        </is>
      </c>
    </row>
    <row r="8274">
      <c r="FC8274" t="inlineStr">
        <is>
          <t>Diccionario 8</t>
        </is>
      </c>
      <c r="FD8274" s="26" t="inlineStr">
        <is>
          <t>CER-B1283 / VFPJ-53|</t>
        </is>
      </c>
      <c r="FL8274" s="27" t="inlineStr">
        <is>
          <t>B</t>
        </is>
      </c>
      <c r="FP8274" s="27" t="inlineStr">
        <is>
          <t>B</t>
        </is>
      </c>
    </row>
    <row r="8275">
      <c r="FC8275" t="inlineStr">
        <is>
          <t>Diccionario 8</t>
        </is>
      </c>
      <c r="FD8275" s="26" t="inlineStr">
        <is>
          <t>PA-B1284 / VFPJ-61|</t>
        </is>
      </c>
      <c r="FL8275" s="27" t="inlineStr">
        <is>
          <t>B</t>
        </is>
      </c>
      <c r="FP8275" s="27" t="inlineStr">
        <is>
          <t>B</t>
        </is>
      </c>
    </row>
    <row r="8276">
      <c r="FC8276" t="inlineStr">
        <is>
          <t>Diccionario 8</t>
        </is>
      </c>
      <c r="FD8276" s="26" t="inlineStr">
        <is>
          <t>CER-B1285 / VFPJ-66|</t>
        </is>
      </c>
      <c r="FL8276" s="27" t="inlineStr">
        <is>
          <t>B</t>
        </is>
      </c>
      <c r="FP8276" s="27" t="inlineStr">
        <is>
          <t>B</t>
        </is>
      </c>
    </row>
    <row r="8277">
      <c r="FC8277" t="inlineStr">
        <is>
          <t>Diccionario 8</t>
        </is>
      </c>
      <c r="FD8277" s="26" t="inlineStr">
        <is>
          <t>PA-B1286 / VFPJ-68|</t>
        </is>
      </c>
      <c r="FL8277" s="27" t="inlineStr">
        <is>
          <t>B</t>
        </is>
      </c>
      <c r="FP8277" s="27" t="inlineStr">
        <is>
          <t>B</t>
        </is>
      </c>
    </row>
    <row r="8278">
      <c r="FC8278" t="inlineStr">
        <is>
          <t>Diccionario 8</t>
        </is>
      </c>
      <c r="FD8278" s="26" t="inlineStr">
        <is>
          <t>CER-B1287 / VFPJ-71|</t>
        </is>
      </c>
      <c r="FL8278" s="27" t="inlineStr">
        <is>
          <t>B</t>
        </is>
      </c>
      <c r="FP8278" s="27" t="inlineStr">
        <is>
          <t>B</t>
        </is>
      </c>
    </row>
    <row r="8279">
      <c r="FC8279" t="inlineStr">
        <is>
          <t>Diccionario 8</t>
        </is>
      </c>
      <c r="FD8279" s="26" t="inlineStr">
        <is>
          <t>PA-B1288 / VFPJ-77|</t>
        </is>
      </c>
      <c r="FL8279" s="27" t="inlineStr">
        <is>
          <t>B</t>
        </is>
      </c>
      <c r="FP8279" s="27" t="inlineStr">
        <is>
          <t>B</t>
        </is>
      </c>
    </row>
    <row r="8280">
      <c r="FC8280" t="inlineStr">
        <is>
          <t>Diccionario 8</t>
        </is>
      </c>
      <c r="FD8280" s="26" t="inlineStr">
        <is>
          <t>CER-B1289 / VFPK-64|</t>
        </is>
      </c>
      <c r="FL8280" s="27" t="inlineStr">
        <is>
          <t>B</t>
        </is>
      </c>
      <c r="FP8280" s="27" t="inlineStr">
        <is>
          <t>B</t>
        </is>
      </c>
    </row>
    <row r="8281">
      <c r="FC8281" t="inlineStr">
        <is>
          <t>Diccionario 8</t>
        </is>
      </c>
      <c r="FD8281" s="26" t="inlineStr">
        <is>
          <t>PA-B1290 / VFPK-81|</t>
        </is>
      </c>
      <c r="FL8281" s="27" t="inlineStr">
        <is>
          <t>B</t>
        </is>
      </c>
      <c r="FP8281" s="27" t="inlineStr">
        <is>
          <t>B</t>
        </is>
      </c>
    </row>
    <row r="8282">
      <c r="FC8282" t="inlineStr">
        <is>
          <t>Diccionario 8</t>
        </is>
      </c>
      <c r="FD8282" s="26" t="inlineStr">
        <is>
          <t>PA-B1291 / VFPK-91|</t>
        </is>
      </c>
      <c r="FL8282" s="27" t="inlineStr">
        <is>
          <t>B</t>
        </is>
      </c>
      <c r="FP8282" s="27" t="inlineStr">
        <is>
          <t>B</t>
        </is>
      </c>
    </row>
    <row r="8283">
      <c r="FC8283" t="inlineStr">
        <is>
          <t>Diccionario 8</t>
        </is>
      </c>
      <c r="FD8283" s="26" t="inlineStr">
        <is>
          <t>PA-B1292 / VFPL-11|</t>
        </is>
      </c>
      <c r="FL8283" s="27" t="inlineStr">
        <is>
          <t>B</t>
        </is>
      </c>
      <c r="FP8283" s="27" t="inlineStr">
        <is>
          <t>B</t>
        </is>
      </c>
    </row>
    <row r="8284">
      <c r="FC8284" t="inlineStr">
        <is>
          <t>Diccionario 8</t>
        </is>
      </c>
      <c r="FD8284" s="26" t="inlineStr">
        <is>
          <t>PA-B1293 / VFPL-15|</t>
        </is>
      </c>
      <c r="FL8284" s="27" t="inlineStr">
        <is>
          <t>B</t>
        </is>
      </c>
      <c r="FP8284" s="27" t="inlineStr">
        <is>
          <t>B</t>
        </is>
      </c>
    </row>
    <row r="8285">
      <c r="FC8285" t="inlineStr">
        <is>
          <t>Diccionario 8</t>
        </is>
      </c>
      <c r="FD8285" s="26" t="inlineStr">
        <is>
          <t>PA-B1294 / VFPL-21|</t>
        </is>
      </c>
      <c r="FL8285" s="27" t="inlineStr">
        <is>
          <t>B</t>
        </is>
      </c>
      <c r="FP8285" s="27" t="inlineStr">
        <is>
          <t>B</t>
        </is>
      </c>
    </row>
    <row r="8286">
      <c r="FC8286" t="inlineStr">
        <is>
          <t>Diccionario 8</t>
        </is>
      </c>
      <c r="FD8286" s="26" t="inlineStr">
        <is>
          <t>PA-B1295 / VFPL-31|</t>
        </is>
      </c>
      <c r="FL8286" s="27" t="inlineStr">
        <is>
          <t>B</t>
        </is>
      </c>
      <c r="FP8286" s="27" t="inlineStr">
        <is>
          <t>B</t>
        </is>
      </c>
    </row>
    <row r="8287">
      <c r="FC8287" t="inlineStr">
        <is>
          <t>Diccionario 8</t>
        </is>
      </c>
      <c r="FD8287" s="26" t="inlineStr">
        <is>
          <t>PA-B1296 / VFPL-35|</t>
        </is>
      </c>
      <c r="FL8287" s="27" t="inlineStr">
        <is>
          <t>B</t>
        </is>
      </c>
      <c r="FP8287" s="27" t="inlineStr">
        <is>
          <t>B</t>
        </is>
      </c>
    </row>
    <row r="8288">
      <c r="FC8288" t="inlineStr">
        <is>
          <t>Diccionario 8</t>
        </is>
      </c>
      <c r="FD8288" s="26" t="inlineStr">
        <is>
          <t>SA-B1297 / VFPL-41|</t>
        </is>
      </c>
      <c r="FL8288" s="27" t="inlineStr">
        <is>
          <t>B</t>
        </is>
      </c>
      <c r="FP8288" s="27" t="inlineStr">
        <is>
          <t>B</t>
        </is>
      </c>
    </row>
    <row r="8289">
      <c r="FC8289" t="inlineStr">
        <is>
          <t>Diccionario 8</t>
        </is>
      </c>
      <c r="FD8289" s="26" t="inlineStr">
        <is>
          <t>SA-B1298 / VFPL-46|</t>
        </is>
      </c>
      <c r="FL8289" s="27" t="inlineStr">
        <is>
          <t>B</t>
        </is>
      </c>
      <c r="FP8289" s="27" t="inlineStr">
        <is>
          <t>B</t>
        </is>
      </c>
    </row>
    <row r="8290">
      <c r="FC8290" t="inlineStr">
        <is>
          <t>Diccionario 8</t>
        </is>
      </c>
      <c r="FD8290" s="26" t="inlineStr">
        <is>
          <t>CER-B1299 / VFPL-57|</t>
        </is>
      </c>
      <c r="FL8290" s="27" t="inlineStr">
        <is>
          <t>B</t>
        </is>
      </c>
      <c r="FP8290" s="27" t="inlineStr">
        <is>
          <t>B</t>
        </is>
      </c>
    </row>
    <row r="8291">
      <c r="FC8291" t="inlineStr">
        <is>
          <t>Diccionario 8</t>
        </is>
      </c>
      <c r="FD8291" s="26" t="inlineStr">
        <is>
          <t>CER-B1300 / VFPL-61|</t>
        </is>
      </c>
      <c r="FL8291" s="27" t="inlineStr">
        <is>
          <t>B</t>
        </is>
      </c>
      <c r="FP8291" s="27" t="inlineStr">
        <is>
          <t>B</t>
        </is>
      </c>
    </row>
    <row r="8292">
      <c r="FC8292" t="inlineStr">
        <is>
          <t>Diccionario 8</t>
        </is>
      </c>
      <c r="FD8292" s="26" t="inlineStr">
        <is>
          <t>CER-B1301 / VFPL-63|</t>
        </is>
      </c>
      <c r="FL8292" s="27" t="inlineStr">
        <is>
          <t>B</t>
        </is>
      </c>
      <c r="FP8292" s="27" t="inlineStr">
        <is>
          <t>B</t>
        </is>
      </c>
    </row>
    <row r="8293">
      <c r="FC8293" t="inlineStr">
        <is>
          <t>Diccionario 8</t>
        </is>
      </c>
      <c r="FD8293" s="26" t="inlineStr">
        <is>
          <t>CER-B1302 / VFPL-71|</t>
        </is>
      </c>
      <c r="FL8293" s="27" t="inlineStr">
        <is>
          <t>B</t>
        </is>
      </c>
      <c r="FP8293" s="27" t="inlineStr">
        <is>
          <t>B</t>
        </is>
      </c>
    </row>
    <row r="8294">
      <c r="FC8294" t="inlineStr">
        <is>
          <t>Diccionario 8</t>
        </is>
      </c>
      <c r="FD8294" s="26" t="inlineStr">
        <is>
          <t>PA-B1303 / VFPL-73|</t>
        </is>
      </c>
      <c r="FL8294" s="27" t="inlineStr">
        <is>
          <t>B</t>
        </is>
      </c>
      <c r="FP8294" s="27" t="inlineStr">
        <is>
          <t>B</t>
        </is>
      </c>
    </row>
    <row r="8295">
      <c r="FC8295" t="inlineStr">
        <is>
          <t>Diccionario 8</t>
        </is>
      </c>
      <c r="FD8295" s="26" t="inlineStr">
        <is>
          <t>CER-B1304 / VFPL-74|</t>
        </is>
      </c>
      <c r="FL8295" s="27" t="inlineStr">
        <is>
          <t>B</t>
        </is>
      </c>
      <c r="FP8295" s="27" t="inlineStr">
        <is>
          <t>B</t>
        </is>
      </c>
    </row>
    <row r="8296">
      <c r="FC8296" t="inlineStr">
        <is>
          <t>Diccionario 8</t>
        </is>
      </c>
      <c r="FD8296" s="26" t="inlineStr">
        <is>
          <t>CER-B1305 / VFPL-81|</t>
        </is>
      </c>
      <c r="FL8296" s="27" t="inlineStr">
        <is>
          <t>B</t>
        </is>
      </c>
      <c r="FP8296" s="27" t="inlineStr">
        <is>
          <t>B</t>
        </is>
      </c>
    </row>
    <row r="8297">
      <c r="FC8297" t="inlineStr">
        <is>
          <t>Diccionario 8</t>
        </is>
      </c>
      <c r="FD8297" s="26" t="inlineStr">
        <is>
          <t>CER-B1306 / VFPL-87|</t>
        </is>
      </c>
      <c r="FL8297" s="27" t="inlineStr">
        <is>
          <t>B</t>
        </is>
      </c>
      <c r="FP8297" s="27" t="inlineStr">
        <is>
          <t>B</t>
        </is>
      </c>
    </row>
    <row r="8298">
      <c r="FC8298" t="inlineStr">
        <is>
          <t>Diccionario 8</t>
        </is>
      </c>
      <c r="FD8298" s="26" t="inlineStr">
        <is>
          <t>PA-B1307 / VFPL-88|</t>
        </is>
      </c>
      <c r="FL8298" s="27" t="inlineStr">
        <is>
          <t>B</t>
        </is>
      </c>
      <c r="FP8298" s="27" t="inlineStr">
        <is>
          <t>B</t>
        </is>
      </c>
    </row>
    <row r="8299">
      <c r="FC8299" t="inlineStr">
        <is>
          <t>Diccionario 8</t>
        </is>
      </c>
      <c r="FD8299" s="26" t="inlineStr">
        <is>
          <t>PA-B1308 / VFPL-92|</t>
        </is>
      </c>
      <c r="FL8299" s="27" t="inlineStr">
        <is>
          <t>B</t>
        </is>
      </c>
      <c r="FP8299" s="27" t="inlineStr">
        <is>
          <t>B</t>
        </is>
      </c>
    </row>
    <row r="8300">
      <c r="FC8300" t="inlineStr">
        <is>
          <t>Diccionario 8</t>
        </is>
      </c>
      <c r="FD8300" s="26" t="inlineStr">
        <is>
          <t>PA-B1309 / VFPP-11|</t>
        </is>
      </c>
      <c r="FL8300" s="27" t="inlineStr">
        <is>
          <t>B</t>
        </is>
      </c>
      <c r="FP8300" s="27" t="inlineStr">
        <is>
          <t>B</t>
        </is>
      </c>
    </row>
    <row r="8301">
      <c r="FC8301" t="inlineStr">
        <is>
          <t>Diccionario 8</t>
        </is>
      </c>
      <c r="FD8301" s="26" t="inlineStr">
        <is>
          <t>CER-B1310 / VFPS-39|</t>
        </is>
      </c>
      <c r="FL8301" s="27" t="inlineStr">
        <is>
          <t>B</t>
        </is>
      </c>
      <c r="FP8301" s="27" t="inlineStr">
        <is>
          <t>B</t>
        </is>
      </c>
    </row>
    <row r="8302">
      <c r="FC8302" t="inlineStr">
        <is>
          <t>Diccionario 8</t>
        </is>
      </c>
      <c r="FD8302" s="26" t="inlineStr">
        <is>
          <t>CER-B1311 / VFPS-47|</t>
        </is>
      </c>
      <c r="FL8302" s="27" t="inlineStr">
        <is>
          <t>B</t>
        </is>
      </c>
      <c r="FP8302" s="27" t="inlineStr">
        <is>
          <t>B</t>
        </is>
      </c>
    </row>
    <row r="8303">
      <c r="FC8303" t="inlineStr">
        <is>
          <t>Diccionario 8</t>
        </is>
      </c>
      <c r="FD8303" s="26" t="inlineStr">
        <is>
          <t>PA-B1312 / VFPS-48|</t>
        </is>
      </c>
      <c r="FL8303" s="27" t="inlineStr">
        <is>
          <t>B</t>
        </is>
      </c>
      <c r="FP8303" s="27" t="inlineStr">
        <is>
          <t>B</t>
        </is>
      </c>
    </row>
    <row r="8304">
      <c r="FC8304" t="inlineStr">
        <is>
          <t>Diccionario 8</t>
        </is>
      </c>
      <c r="FD8304" s="26" t="inlineStr">
        <is>
          <t>PA-B1313 / VFPS-56|</t>
        </is>
      </c>
      <c r="FL8304" s="27" t="inlineStr">
        <is>
          <t>B</t>
        </is>
      </c>
      <c r="FP8304" s="27" t="inlineStr">
        <is>
          <t>B</t>
        </is>
      </c>
    </row>
    <row r="8305">
      <c r="FC8305" t="inlineStr">
        <is>
          <t>Diccionario 8</t>
        </is>
      </c>
      <c r="FD8305" s="26" t="inlineStr">
        <is>
          <t>CER-B1314 / VFPS-65|</t>
        </is>
      </c>
      <c r="FL8305" s="27" t="inlineStr">
        <is>
          <t>B</t>
        </is>
      </c>
      <c r="FP8305" s="27" t="inlineStr">
        <is>
          <t>B</t>
        </is>
      </c>
    </row>
    <row r="8306">
      <c r="FC8306" t="inlineStr">
        <is>
          <t>Diccionario 8</t>
        </is>
      </c>
      <c r="FD8306" s="26" t="inlineStr">
        <is>
          <t>CER-B1315 / VFPS-69|</t>
        </is>
      </c>
      <c r="FL8306" s="27" t="inlineStr">
        <is>
          <t>B</t>
        </is>
      </c>
      <c r="FP8306" s="27" t="inlineStr">
        <is>
          <t>B</t>
        </is>
      </c>
    </row>
    <row r="8307">
      <c r="FC8307" t="inlineStr">
        <is>
          <t>Diccionario 8</t>
        </is>
      </c>
      <c r="FD8307" s="26" t="inlineStr">
        <is>
          <t>PA-B1316 / VFPS-74|</t>
        </is>
      </c>
      <c r="FL8307" s="27" t="inlineStr">
        <is>
          <t>B</t>
        </is>
      </c>
      <c r="FP8307" s="27" t="inlineStr">
        <is>
          <t>B</t>
        </is>
      </c>
    </row>
    <row r="8308">
      <c r="FC8308" t="inlineStr">
        <is>
          <t>Diccionario 8</t>
        </is>
      </c>
      <c r="FD8308" s="26" t="inlineStr">
        <is>
          <t>PA-B1317 / VFPS-78|</t>
        </is>
      </c>
      <c r="FL8308" s="27" t="inlineStr">
        <is>
          <t>B</t>
        </is>
      </c>
      <c r="FP8308" s="27" t="inlineStr">
        <is>
          <t>B</t>
        </is>
      </c>
    </row>
    <row r="8309">
      <c r="FC8309" t="inlineStr">
        <is>
          <t>Diccionario 8</t>
        </is>
      </c>
      <c r="FD8309" s="26" t="inlineStr">
        <is>
          <t>PA-B1318 / VFPS-85|</t>
        </is>
      </c>
      <c r="FL8309" s="27" t="inlineStr">
        <is>
          <t>B</t>
        </is>
      </c>
      <c r="FP8309" s="27" t="inlineStr">
        <is>
          <t>B</t>
        </is>
      </c>
    </row>
    <row r="8310">
      <c r="FC8310" t="inlineStr">
        <is>
          <t>Diccionario 8</t>
        </is>
      </c>
      <c r="FD8310" s="26" t="inlineStr">
        <is>
          <t>PA-B1319 / VFPS-86|</t>
        </is>
      </c>
      <c r="FL8310" s="27" t="inlineStr">
        <is>
          <t>B</t>
        </is>
      </c>
      <c r="FP8310" s="27" t="inlineStr">
        <is>
          <t>B</t>
        </is>
      </c>
    </row>
    <row r="8311">
      <c r="FC8311" t="inlineStr">
        <is>
          <t>Diccionario 8</t>
        </is>
      </c>
      <c r="FD8311" s="26" t="inlineStr">
        <is>
          <t>CER-B1320 / VFPS-87|</t>
        </is>
      </c>
      <c r="FL8311" s="27" t="inlineStr">
        <is>
          <t>B</t>
        </is>
      </c>
      <c r="FP8311" s="27" t="inlineStr">
        <is>
          <t>B</t>
        </is>
      </c>
    </row>
    <row r="8312">
      <c r="FC8312" t="inlineStr">
        <is>
          <t>Diccionario 8</t>
        </is>
      </c>
      <c r="FD8312" s="26" t="inlineStr">
        <is>
          <t>PA-B1321 / VFPS-89|</t>
        </is>
      </c>
      <c r="FL8312" s="27" t="inlineStr">
        <is>
          <t>B</t>
        </is>
      </c>
      <c r="FP8312" s="27" t="inlineStr">
        <is>
          <t>B</t>
        </is>
      </c>
    </row>
    <row r="8313">
      <c r="FC8313" t="inlineStr">
        <is>
          <t>Diccionario 8</t>
        </is>
      </c>
      <c r="FD8313" s="26" t="inlineStr">
        <is>
          <t>PA-B1322 / VFPS-94|</t>
        </is>
      </c>
      <c r="FL8313" s="27" t="inlineStr">
        <is>
          <t>B</t>
        </is>
      </c>
      <c r="FP8313" s="27" t="inlineStr">
        <is>
          <t>B</t>
        </is>
      </c>
    </row>
    <row r="8314">
      <c r="FC8314" t="inlineStr">
        <is>
          <t>Diccionario 8</t>
        </is>
      </c>
      <c r="FD8314" s="26" t="inlineStr">
        <is>
          <t>PA-B1323 / VFPS-99|</t>
        </is>
      </c>
      <c r="FL8314" s="27" t="inlineStr">
        <is>
          <t>B</t>
        </is>
      </c>
      <c r="FP8314" s="27" t="inlineStr">
        <is>
          <t>B</t>
        </is>
      </c>
    </row>
    <row r="8315">
      <c r="FC8315" t="inlineStr">
        <is>
          <t>Diccionario 8</t>
        </is>
      </c>
      <c r="FD8315" s="26" t="inlineStr">
        <is>
          <t>SA-B1324 / VFPT-23|</t>
        </is>
      </c>
      <c r="FL8315" s="27" t="inlineStr">
        <is>
          <t>B</t>
        </is>
      </c>
      <c r="FP8315" s="27" t="inlineStr">
        <is>
          <t>B</t>
        </is>
      </c>
    </row>
    <row r="8316">
      <c r="FC8316" t="inlineStr">
        <is>
          <t>Diccionario 8</t>
        </is>
      </c>
      <c r="FD8316" s="26" t="inlineStr">
        <is>
          <t>SA-B1325 / VFPT-27|</t>
        </is>
      </c>
      <c r="FL8316" s="27" t="inlineStr">
        <is>
          <t>B</t>
        </is>
      </c>
      <c r="FP8316" s="27" t="inlineStr">
        <is>
          <t>B</t>
        </is>
      </c>
    </row>
    <row r="8317">
      <c r="FC8317" t="inlineStr">
        <is>
          <t>Diccionario 8</t>
        </is>
      </c>
      <c r="FD8317" s="26" t="inlineStr">
        <is>
          <t>PA-B1326 / VFPT-47|</t>
        </is>
      </c>
      <c r="FL8317" s="27" t="inlineStr">
        <is>
          <t>B</t>
        </is>
      </c>
      <c r="FP8317" s="27" t="inlineStr">
        <is>
          <t>B</t>
        </is>
      </c>
    </row>
    <row r="8318">
      <c r="FC8318" t="inlineStr">
        <is>
          <t>Diccionario 8</t>
        </is>
      </c>
      <c r="FD8318" s="26" t="inlineStr">
        <is>
          <t>PA-B1327 / VFPT-63|</t>
        </is>
      </c>
      <c r="FL8318" s="27" t="inlineStr">
        <is>
          <t>B</t>
        </is>
      </c>
      <c r="FP8318" s="27" t="inlineStr">
        <is>
          <t>B</t>
        </is>
      </c>
    </row>
    <row r="8319">
      <c r="FC8319" t="inlineStr">
        <is>
          <t>Diccionario 8</t>
        </is>
      </c>
      <c r="FD8319" s="26" t="inlineStr">
        <is>
          <t>PA-B1328 / VFPT-64|</t>
        </is>
      </c>
      <c r="FL8319" s="27" t="inlineStr">
        <is>
          <t>B</t>
        </is>
      </c>
      <c r="FP8319" s="27" t="inlineStr">
        <is>
          <t>B</t>
        </is>
      </c>
    </row>
    <row r="8320">
      <c r="FC8320" t="inlineStr">
        <is>
          <t>Diccionario 8</t>
        </is>
      </c>
      <c r="FD8320" s="26" t="inlineStr">
        <is>
          <t>PA-B1329 / VFPT-65|</t>
        </is>
      </c>
      <c r="FL8320" s="27" t="inlineStr">
        <is>
          <t>B</t>
        </is>
      </c>
      <c r="FP8320" s="27" t="inlineStr">
        <is>
          <t>B</t>
        </is>
      </c>
    </row>
    <row r="8321">
      <c r="FC8321" t="inlineStr">
        <is>
          <t>Diccionario 8</t>
        </is>
      </c>
      <c r="FD8321" s="26" t="inlineStr">
        <is>
          <t>PA-B1330 / VFPV-53|</t>
        </is>
      </c>
      <c r="FL8321" s="27" t="inlineStr">
        <is>
          <t>B</t>
        </is>
      </c>
      <c r="FP8321" s="27" t="inlineStr">
        <is>
          <t>B</t>
        </is>
      </c>
    </row>
    <row r="8322">
      <c r="FC8322" t="inlineStr">
        <is>
          <t>Diccionario 8</t>
        </is>
      </c>
      <c r="FD8322" s="26" t="inlineStr">
        <is>
          <t>SA-B1331 / VFPV-63|</t>
        </is>
      </c>
      <c r="FL8322" s="27" t="inlineStr">
        <is>
          <t>B</t>
        </is>
      </c>
      <c r="FP8322" s="27" t="inlineStr">
        <is>
          <t>B</t>
        </is>
      </c>
    </row>
    <row r="8323">
      <c r="FC8323" t="inlineStr">
        <is>
          <t>Diccionario 8</t>
        </is>
      </c>
      <c r="FD8323" s="26" t="inlineStr">
        <is>
          <t>SA-B1332 / VFPV-73|</t>
        </is>
      </c>
      <c r="FL8323" s="27" t="inlineStr">
        <is>
          <t>B</t>
        </is>
      </c>
      <c r="FP8323" s="27" t="inlineStr">
        <is>
          <t>B</t>
        </is>
      </c>
    </row>
    <row r="8324">
      <c r="FC8324" t="inlineStr">
        <is>
          <t>Diccionario 8</t>
        </is>
      </c>
      <c r="FD8324" s="26" t="inlineStr">
        <is>
          <t>PA-B1333 / VFPV-83|</t>
        </is>
      </c>
      <c r="FL8324" s="27" t="inlineStr">
        <is>
          <t>B</t>
        </is>
      </c>
      <c r="FP8324" s="27" t="inlineStr">
        <is>
          <t>B</t>
        </is>
      </c>
    </row>
    <row r="8325">
      <c r="FC8325" t="inlineStr">
        <is>
          <t>Diccionario 8</t>
        </is>
      </c>
      <c r="FD8325" s="26" t="inlineStr">
        <is>
          <t>PA-B1334 / VFPV-93|</t>
        </is>
      </c>
      <c r="FL8325" s="27" t="inlineStr">
        <is>
          <t>B</t>
        </is>
      </c>
      <c r="FP8325" s="27" t="inlineStr">
        <is>
          <t>B</t>
        </is>
      </c>
    </row>
    <row r="8326">
      <c r="FC8326" t="inlineStr">
        <is>
          <t>Diccionario 8</t>
        </is>
      </c>
      <c r="FD8326" s="26" t="inlineStr">
        <is>
          <t>SA-B1335 / VFPW-13|</t>
        </is>
      </c>
      <c r="FL8326" s="27" t="inlineStr">
        <is>
          <t>B</t>
        </is>
      </c>
      <c r="FP8326" s="27" t="inlineStr">
        <is>
          <t>B</t>
        </is>
      </c>
    </row>
    <row r="8327">
      <c r="FC8327" t="inlineStr">
        <is>
          <t>Diccionario 8</t>
        </is>
      </c>
      <c r="FD8327" s="26" t="inlineStr">
        <is>
          <t>SA-B1336 / VFPW-23|</t>
        </is>
      </c>
      <c r="FL8327" s="27" t="inlineStr">
        <is>
          <t>B</t>
        </is>
      </c>
      <c r="FP8327" s="27" t="inlineStr">
        <is>
          <t>B</t>
        </is>
      </c>
    </row>
    <row r="8328">
      <c r="FC8328" t="inlineStr">
        <is>
          <t>Diccionario 8</t>
        </is>
      </c>
      <c r="FD8328" s="26" t="inlineStr">
        <is>
          <t>SA-B1337 / VFPW-33|</t>
        </is>
      </c>
      <c r="FL8328" s="27" t="inlineStr">
        <is>
          <t>B</t>
        </is>
      </c>
      <c r="FP8328" s="27" t="inlineStr">
        <is>
          <t>B</t>
        </is>
      </c>
    </row>
    <row r="8329">
      <c r="FC8329" t="inlineStr">
        <is>
          <t>Diccionario 8</t>
        </is>
      </c>
      <c r="FD8329" s="26" t="inlineStr">
        <is>
          <t>PA-B1338 / VFPW-63|</t>
        </is>
      </c>
      <c r="FL8329" s="27" t="inlineStr">
        <is>
          <t>B</t>
        </is>
      </c>
      <c r="FP8329" s="27" t="inlineStr">
        <is>
          <t>B</t>
        </is>
      </c>
    </row>
    <row r="8330">
      <c r="FC8330" t="inlineStr">
        <is>
          <t>Diccionario 8</t>
        </is>
      </c>
      <c r="FD8330" s="26" t="inlineStr">
        <is>
          <t>SA-B1339 / VFPW-73|</t>
        </is>
      </c>
      <c r="FL8330" s="27" t="inlineStr">
        <is>
          <t>B</t>
        </is>
      </c>
      <c r="FP8330" s="27" t="inlineStr">
        <is>
          <t>B</t>
        </is>
      </c>
    </row>
    <row r="8331">
      <c r="FC8331" t="inlineStr">
        <is>
          <t>Diccionario 8</t>
        </is>
      </c>
      <c r="FD8331" s="26" t="inlineStr">
        <is>
          <t>SA-B1340 / VFPX-13|</t>
        </is>
      </c>
      <c r="FL8331" s="27" t="inlineStr">
        <is>
          <t>B</t>
        </is>
      </c>
      <c r="FP8331" s="27" t="inlineStr">
        <is>
          <t>B</t>
        </is>
      </c>
    </row>
    <row r="8332">
      <c r="FC8332" t="inlineStr">
        <is>
          <t>Diccionario 8</t>
        </is>
      </c>
      <c r="FD8332" s="26" t="inlineStr">
        <is>
          <t>SA-B1341 / VFPX-33|</t>
        </is>
      </c>
      <c r="FL8332" s="27" t="inlineStr">
        <is>
          <t>B</t>
        </is>
      </c>
      <c r="FP8332" s="27" t="inlineStr">
        <is>
          <t>B</t>
        </is>
      </c>
    </row>
    <row r="8333">
      <c r="FC8333" t="inlineStr">
        <is>
          <t>Diccionario 8</t>
        </is>
      </c>
      <c r="FD8333" s="26" t="inlineStr">
        <is>
          <t>PA-B1342 / VFPX-53|</t>
        </is>
      </c>
      <c r="FL8333" s="27" t="inlineStr">
        <is>
          <t>B</t>
        </is>
      </c>
      <c r="FP8333" s="27" t="inlineStr">
        <is>
          <t>B</t>
        </is>
      </c>
    </row>
    <row r="8334">
      <c r="FC8334" t="inlineStr">
        <is>
          <t>Diccionario 8</t>
        </is>
      </c>
      <c r="FD8334" s="26" t="inlineStr">
        <is>
          <t>PA-B1343 / VFPX-63|</t>
        </is>
      </c>
      <c r="FL8334" s="27" t="inlineStr">
        <is>
          <t>B</t>
        </is>
      </c>
      <c r="FP8334" s="27" t="inlineStr">
        <is>
          <t>B</t>
        </is>
      </c>
    </row>
    <row r="8335">
      <c r="FC8335" t="inlineStr">
        <is>
          <t>Diccionario 8</t>
        </is>
      </c>
      <c r="FD8335" s="26" t="inlineStr">
        <is>
          <t>PA-B1344 / VFPX-83|</t>
        </is>
      </c>
      <c r="FL8335" s="27" t="inlineStr">
        <is>
          <t>B</t>
        </is>
      </c>
      <c r="FP8335" s="27" t="inlineStr">
        <is>
          <t>B</t>
        </is>
      </c>
    </row>
    <row r="8336">
      <c r="FC8336" t="inlineStr">
        <is>
          <t>Diccionario 8</t>
        </is>
      </c>
      <c r="FD8336" s="26" t="inlineStr">
        <is>
          <t>PA-B1345 / VFPX-93|</t>
        </is>
      </c>
      <c r="FL8336" s="27" t="inlineStr">
        <is>
          <t>B</t>
        </is>
      </c>
      <c r="FP8336" s="27" t="inlineStr">
        <is>
          <t>B</t>
        </is>
      </c>
    </row>
    <row r="8337">
      <c r="FC8337" t="inlineStr">
        <is>
          <t>Diccionario 8</t>
        </is>
      </c>
      <c r="FD8337" s="26" t="inlineStr">
        <is>
          <t>SA-B1346 / VFPY-13|</t>
        </is>
      </c>
      <c r="FL8337" s="27" t="inlineStr">
        <is>
          <t>B</t>
        </is>
      </c>
      <c r="FP8337" s="27" t="inlineStr">
        <is>
          <t>B</t>
        </is>
      </c>
    </row>
    <row r="8338">
      <c r="FC8338" t="inlineStr">
        <is>
          <t>Diccionario 8</t>
        </is>
      </c>
      <c r="FD8338" s="26" t="inlineStr">
        <is>
          <t>PA-B1347 / VFPY-23|</t>
        </is>
      </c>
      <c r="FL8338" s="27" t="inlineStr">
        <is>
          <t>B</t>
        </is>
      </c>
      <c r="FP8338" s="27" t="inlineStr">
        <is>
          <t>B</t>
        </is>
      </c>
    </row>
    <row r="8339">
      <c r="FC8339" t="inlineStr">
        <is>
          <t>Diccionario 8</t>
        </is>
      </c>
      <c r="FD8339" s="26" t="inlineStr">
        <is>
          <t>PA-B1348 / VFPY-33|</t>
        </is>
      </c>
      <c r="FL8339" s="27" t="inlineStr">
        <is>
          <t>B</t>
        </is>
      </c>
      <c r="FP8339" s="27" t="inlineStr">
        <is>
          <t>B</t>
        </is>
      </c>
    </row>
    <row r="8340">
      <c r="FC8340" t="inlineStr">
        <is>
          <t>Diccionario 8</t>
        </is>
      </c>
      <c r="FD8340" s="26" t="inlineStr">
        <is>
          <t>SA-B1349 / VFPY-43|</t>
        </is>
      </c>
      <c r="FL8340" s="27" t="inlineStr">
        <is>
          <t>B</t>
        </is>
      </c>
      <c r="FP8340" s="27" t="inlineStr">
        <is>
          <t>B</t>
        </is>
      </c>
    </row>
    <row r="8341">
      <c r="FC8341" t="inlineStr">
        <is>
          <t>Diccionario 8</t>
        </is>
      </c>
      <c r="FD8341" s="26" t="inlineStr">
        <is>
          <t>SA-B1350 / VFPZ-27|</t>
        </is>
      </c>
      <c r="FL8341" s="27" t="inlineStr">
        <is>
          <t>B</t>
        </is>
      </c>
      <c r="FP8341" s="27" t="inlineStr">
        <is>
          <t>B</t>
        </is>
      </c>
    </row>
    <row r="8342">
      <c r="FC8342" t="inlineStr">
        <is>
          <t>Diccionario 8</t>
        </is>
      </c>
      <c r="FD8342" s="26" t="inlineStr">
        <is>
          <t>SA-B1351 / VFPZ-38|</t>
        </is>
      </c>
      <c r="FL8342" s="27" t="inlineStr">
        <is>
          <t>B</t>
        </is>
      </c>
      <c r="FP8342" s="27" t="inlineStr">
        <is>
          <t>B</t>
        </is>
      </c>
    </row>
    <row r="8343">
      <c r="FC8343" t="inlineStr">
        <is>
          <t>Diccionario 8</t>
        </is>
      </c>
      <c r="FD8343" s="26" t="inlineStr">
        <is>
          <t>SA-B1352 / VFPZ-39|</t>
        </is>
      </c>
      <c r="FL8343" s="27" t="inlineStr">
        <is>
          <t>B</t>
        </is>
      </c>
      <c r="FP8343" s="27" t="inlineStr">
        <is>
          <t>B</t>
        </is>
      </c>
    </row>
    <row r="8344">
      <c r="FC8344" t="inlineStr">
        <is>
          <t>Diccionario 8</t>
        </is>
      </c>
      <c r="FD8344" s="26" t="inlineStr">
        <is>
          <t>SA-B1353 / VFPZ-55|</t>
        </is>
      </c>
      <c r="FL8344" s="27" t="inlineStr">
        <is>
          <t>B</t>
        </is>
      </c>
      <c r="FP8344" s="27" t="inlineStr">
        <is>
          <t>B</t>
        </is>
      </c>
    </row>
    <row r="8345">
      <c r="FC8345" t="inlineStr">
        <is>
          <t>Diccionario 8</t>
        </is>
      </c>
      <c r="FD8345" s="26" t="inlineStr">
        <is>
          <t>PA-B1354 / VFPZ-56|</t>
        </is>
      </c>
      <c r="FL8345" s="27" t="inlineStr">
        <is>
          <t>B</t>
        </is>
      </c>
      <c r="FP8345" s="27" t="inlineStr">
        <is>
          <t>B</t>
        </is>
      </c>
    </row>
    <row r="8346">
      <c r="FC8346" t="inlineStr">
        <is>
          <t>Diccionario 8</t>
        </is>
      </c>
      <c r="FD8346" s="26" t="inlineStr">
        <is>
          <t>PA-B1355 / VFPZ-74|</t>
        </is>
      </c>
      <c r="FL8346" s="27" t="inlineStr">
        <is>
          <t>B</t>
        </is>
      </c>
      <c r="FP8346" s="27" t="inlineStr">
        <is>
          <t>B</t>
        </is>
      </c>
    </row>
    <row r="8347">
      <c r="FC8347" t="inlineStr">
        <is>
          <t>Diccionario 8</t>
        </is>
      </c>
      <c r="FD8347" s="26" t="inlineStr">
        <is>
          <t>PA-B1356 / VFPZ-78|</t>
        </is>
      </c>
      <c r="FL8347" s="27" t="inlineStr">
        <is>
          <t>B</t>
        </is>
      </c>
      <c r="FP8347" s="27" t="inlineStr">
        <is>
          <t>B</t>
        </is>
      </c>
    </row>
    <row r="8348">
      <c r="FC8348" t="inlineStr">
        <is>
          <t>Diccionario 8</t>
        </is>
      </c>
      <c r="FD8348" s="26" t="inlineStr">
        <is>
          <t>SA-B1357 / VFPZ-88|</t>
        </is>
      </c>
      <c r="FL8348" s="27" t="inlineStr">
        <is>
          <t>B</t>
        </is>
      </c>
      <c r="FP8348" s="27" t="inlineStr">
        <is>
          <t>B</t>
        </is>
      </c>
    </row>
    <row r="8349">
      <c r="FC8349" t="inlineStr">
        <is>
          <t>Diccionario 8</t>
        </is>
      </c>
      <c r="FD8349" s="26" t="inlineStr">
        <is>
          <t>SA-B1358 / VFPZ-89|</t>
        </is>
      </c>
      <c r="FL8349" s="27" t="inlineStr">
        <is>
          <t>B</t>
        </is>
      </c>
      <c r="FP8349" s="27" t="inlineStr">
        <is>
          <t>B</t>
        </is>
      </c>
    </row>
    <row r="8350">
      <c r="FC8350" t="inlineStr">
        <is>
          <t>Diccionario 8</t>
        </is>
      </c>
      <c r="FD8350" s="26" t="inlineStr">
        <is>
          <t>SA-B1359 / VFPZ-92|</t>
        </is>
      </c>
      <c r="FL8350" s="27" t="inlineStr">
        <is>
          <t>B</t>
        </is>
      </c>
      <c r="FP8350" s="27" t="inlineStr">
        <is>
          <t>B</t>
        </is>
      </c>
    </row>
    <row r="8351">
      <c r="FC8351" t="inlineStr">
        <is>
          <t>Diccionario 8</t>
        </is>
      </c>
      <c r="FD8351" s="26" t="inlineStr">
        <is>
          <t>SA-B1360 / VFPZ-97|</t>
        </is>
      </c>
      <c r="FL8351" s="27" t="inlineStr">
        <is>
          <t>B</t>
        </is>
      </c>
      <c r="FP8351" s="27" t="inlineStr">
        <is>
          <t>B</t>
        </is>
      </c>
    </row>
    <row r="8352">
      <c r="FC8352" t="inlineStr">
        <is>
          <t>Diccionario 8</t>
        </is>
      </c>
      <c r="FD8352" s="26" t="inlineStr">
        <is>
          <t>SA-B1361 / VFPZ-98|</t>
        </is>
      </c>
      <c r="FL8352" s="27" t="inlineStr">
        <is>
          <t>B</t>
        </is>
      </c>
      <c r="FP8352" s="27" t="inlineStr">
        <is>
          <t>B</t>
        </is>
      </c>
    </row>
    <row r="8353">
      <c r="FC8353" t="inlineStr">
        <is>
          <t>Diccionario 8</t>
        </is>
      </c>
      <c r="FD8353" s="26" t="inlineStr">
        <is>
          <t>PA-B1362 / VFRB-13|</t>
        </is>
      </c>
      <c r="FL8353" s="27" t="inlineStr">
        <is>
          <t>B</t>
        </is>
      </c>
      <c r="FP8353" s="27" t="inlineStr">
        <is>
          <t>B</t>
        </is>
      </c>
    </row>
    <row r="8354">
      <c r="FC8354" t="inlineStr">
        <is>
          <t>Diccionario 8</t>
        </is>
      </c>
      <c r="FD8354" s="26" t="inlineStr">
        <is>
          <t>SA-B1363 / VFRB-15|</t>
        </is>
      </c>
      <c r="FL8354" s="27" t="inlineStr">
        <is>
          <t>B</t>
        </is>
      </c>
      <c r="FP8354" s="27" t="inlineStr">
        <is>
          <t>B</t>
        </is>
      </c>
    </row>
    <row r="8355">
      <c r="FC8355" t="inlineStr">
        <is>
          <t>Diccionario 8</t>
        </is>
      </c>
      <c r="FD8355" s="26" t="inlineStr">
        <is>
          <t>SA-B1364 / VFRB-54|</t>
        </is>
      </c>
      <c r="FL8355" s="27" t="inlineStr">
        <is>
          <t>B</t>
        </is>
      </c>
      <c r="FP8355" s="27" t="inlineStr">
        <is>
          <t>B</t>
        </is>
      </c>
    </row>
    <row r="8356">
      <c r="FC8356" t="inlineStr">
        <is>
          <t>Diccionario 8</t>
        </is>
      </c>
      <c r="FD8356" s="26" t="inlineStr">
        <is>
          <t>PA-B1365 / VFRB-56|</t>
        </is>
      </c>
      <c r="FL8356" s="27" t="inlineStr">
        <is>
          <t>B</t>
        </is>
      </c>
      <c r="FP8356" s="27" t="inlineStr">
        <is>
          <t>B</t>
        </is>
      </c>
    </row>
    <row r="8357">
      <c r="FC8357" t="inlineStr">
        <is>
          <t>Diccionario 8</t>
        </is>
      </c>
      <c r="FD8357" s="26" t="inlineStr">
        <is>
          <t>SA-B1366 / VFRB-63|</t>
        </is>
      </c>
      <c r="FL8357" s="27" t="inlineStr">
        <is>
          <t>B</t>
        </is>
      </c>
      <c r="FP8357" s="27" t="inlineStr">
        <is>
          <t>B</t>
        </is>
      </c>
    </row>
    <row r="8358">
      <c r="FC8358" t="inlineStr">
        <is>
          <t>Diccionario 8</t>
        </is>
      </c>
      <c r="FD8358" s="26" t="inlineStr">
        <is>
          <t>SA-B1367 / VFRB-67|</t>
        </is>
      </c>
      <c r="FL8358" s="27" t="inlineStr">
        <is>
          <t>B</t>
        </is>
      </c>
      <c r="FP8358" s="27" t="inlineStr">
        <is>
          <t>B</t>
        </is>
      </c>
    </row>
    <row r="8359">
      <c r="FC8359" t="inlineStr">
        <is>
          <t>Diccionario 8</t>
        </is>
      </c>
      <c r="FD8359" s="26" t="inlineStr">
        <is>
          <t>PA-B1368 / VFRB-68|</t>
        </is>
      </c>
      <c r="FL8359" s="27" t="inlineStr">
        <is>
          <t>B</t>
        </is>
      </c>
      <c r="FP8359" s="27" t="inlineStr">
        <is>
          <t>B</t>
        </is>
      </c>
    </row>
    <row r="8360">
      <c r="FC8360" t="inlineStr">
        <is>
          <t>Diccionario 8</t>
        </is>
      </c>
      <c r="FD8360" s="26" t="inlineStr">
        <is>
          <t>SA-B1369 / VFRB-81|</t>
        </is>
      </c>
      <c r="FL8360" s="27" t="inlineStr">
        <is>
          <t>B</t>
        </is>
      </c>
      <c r="FP8360" s="27" t="inlineStr">
        <is>
          <t>B</t>
        </is>
      </c>
    </row>
    <row r="8361">
      <c r="FC8361" t="inlineStr">
        <is>
          <t>Diccionario 8</t>
        </is>
      </c>
      <c r="FD8361" s="26" t="inlineStr">
        <is>
          <t>SA-B1370 / VFRC-75|</t>
        </is>
      </c>
      <c r="FL8361" s="27" t="inlineStr">
        <is>
          <t>B</t>
        </is>
      </c>
      <c r="FP8361" s="27" t="inlineStr">
        <is>
          <t>B</t>
        </is>
      </c>
    </row>
    <row r="8362">
      <c r="FC8362" t="inlineStr">
        <is>
          <t>Diccionario 8</t>
        </is>
      </c>
      <c r="FD8362" s="26" t="inlineStr">
        <is>
          <t>PA-B1371 / VFRD-35|</t>
        </is>
      </c>
      <c r="FL8362" s="27" t="inlineStr">
        <is>
          <t>B</t>
        </is>
      </c>
      <c r="FP8362" s="27" t="inlineStr">
        <is>
          <t>B</t>
        </is>
      </c>
    </row>
    <row r="8363">
      <c r="FC8363" t="inlineStr">
        <is>
          <t>Diccionario 8</t>
        </is>
      </c>
      <c r="FD8363" s="26" t="inlineStr">
        <is>
          <t>SA-B1372 / VFRD-45|</t>
        </is>
      </c>
      <c r="FL8363" s="27" t="inlineStr">
        <is>
          <t>B</t>
        </is>
      </c>
      <c r="FP8363" s="27" t="inlineStr">
        <is>
          <t>B</t>
        </is>
      </c>
    </row>
    <row r="8364">
      <c r="FC8364" t="inlineStr">
        <is>
          <t>Diccionario 8</t>
        </is>
      </c>
      <c r="FD8364" s="26" t="inlineStr">
        <is>
          <t>PA-B1373 / VFRD-55|</t>
        </is>
      </c>
      <c r="FL8364" s="27" t="inlineStr">
        <is>
          <t>B</t>
        </is>
      </c>
      <c r="FP8364" s="27" t="inlineStr">
        <is>
          <t>B</t>
        </is>
      </c>
    </row>
    <row r="8365">
      <c r="FC8365" t="inlineStr">
        <is>
          <t>Diccionario 8</t>
        </is>
      </c>
      <c r="FD8365" s="26" t="inlineStr">
        <is>
          <t>PA-B1374 / VFRD-65|</t>
        </is>
      </c>
      <c r="FL8365" s="27" t="inlineStr">
        <is>
          <t>B</t>
        </is>
      </c>
      <c r="FP8365" s="27" t="inlineStr">
        <is>
          <t>B</t>
        </is>
      </c>
    </row>
    <row r="8366">
      <c r="FC8366" t="inlineStr">
        <is>
          <t>Diccionario 8</t>
        </is>
      </c>
      <c r="FD8366" s="26" t="inlineStr">
        <is>
          <t>SA-B1375 / VFRD-75|</t>
        </is>
      </c>
      <c r="FL8366" s="27" t="inlineStr">
        <is>
          <t>B</t>
        </is>
      </c>
      <c r="FP8366" s="27" t="inlineStr">
        <is>
          <t>B</t>
        </is>
      </c>
    </row>
    <row r="8367">
      <c r="FC8367" t="inlineStr">
        <is>
          <t>Diccionario 8</t>
        </is>
      </c>
      <c r="FD8367" s="26" t="inlineStr">
        <is>
          <t>PA-B1376 / VFRD-85|</t>
        </is>
      </c>
      <c r="FL8367" s="27" t="inlineStr">
        <is>
          <t>B</t>
        </is>
      </c>
      <c r="FP8367" s="27" t="inlineStr">
        <is>
          <t>B</t>
        </is>
      </c>
    </row>
    <row r="8368">
      <c r="FC8368" t="inlineStr">
        <is>
          <t>Diccionario 8</t>
        </is>
      </c>
      <c r="FD8368" s="26" t="inlineStr">
        <is>
          <t>PA-B1377 / VFRD-95|</t>
        </is>
      </c>
      <c r="FL8368" s="27" t="inlineStr">
        <is>
          <t>B</t>
        </is>
      </c>
      <c r="FP8368" s="27" t="inlineStr">
        <is>
          <t>B</t>
        </is>
      </c>
    </row>
    <row r="8369">
      <c r="FC8369" t="inlineStr">
        <is>
          <t>Diccionario 8</t>
        </is>
      </c>
      <c r="FD8369" s="26" t="inlineStr">
        <is>
          <t>CER-B1378 / VFRF-15|</t>
        </is>
      </c>
      <c r="FL8369" s="27" t="inlineStr">
        <is>
          <t>B</t>
        </is>
      </c>
      <c r="FP8369" s="27" t="inlineStr">
        <is>
          <t>B</t>
        </is>
      </c>
    </row>
    <row r="8370">
      <c r="FC8370" t="inlineStr">
        <is>
          <t>Diccionario 8</t>
        </is>
      </c>
      <c r="FD8370" s="26" t="inlineStr">
        <is>
          <t>PA-B1379 / VFRF-35|</t>
        </is>
      </c>
      <c r="FL8370" s="27" t="inlineStr">
        <is>
          <t>B</t>
        </is>
      </c>
      <c r="FP8370" s="27" t="inlineStr">
        <is>
          <t>B</t>
        </is>
      </c>
    </row>
    <row r="8371">
      <c r="FC8371" t="inlineStr">
        <is>
          <t>Diccionario 8</t>
        </is>
      </c>
      <c r="FD8371" s="26" t="inlineStr">
        <is>
          <t>CER-B1380 / VFRF-55|</t>
        </is>
      </c>
      <c r="FL8371" s="27" t="inlineStr">
        <is>
          <t>B</t>
        </is>
      </c>
      <c r="FP8371" s="27" t="inlineStr">
        <is>
          <t>B</t>
        </is>
      </c>
    </row>
    <row r="8372">
      <c r="FC8372" t="inlineStr">
        <is>
          <t>Diccionario 8</t>
        </is>
      </c>
      <c r="FD8372" s="26" t="inlineStr">
        <is>
          <t>PA-B1381 / VFRF-65|</t>
        </is>
      </c>
      <c r="FL8372" s="27" t="inlineStr">
        <is>
          <t>B</t>
        </is>
      </c>
      <c r="FP8372" s="27" t="inlineStr">
        <is>
          <t>B</t>
        </is>
      </c>
    </row>
    <row r="8373">
      <c r="FC8373" t="inlineStr">
        <is>
          <t>Diccionario 8</t>
        </is>
      </c>
      <c r="FD8373" s="26" t="inlineStr">
        <is>
          <t>PA-B1382 / VFRF-75|</t>
        </is>
      </c>
      <c r="FL8373" s="27" t="inlineStr">
        <is>
          <t>B</t>
        </is>
      </c>
      <c r="FP8373" s="27" t="inlineStr">
        <is>
          <t>B</t>
        </is>
      </c>
    </row>
    <row r="8374">
      <c r="FC8374" t="inlineStr">
        <is>
          <t>Diccionario 8</t>
        </is>
      </c>
      <c r="FD8374" s="26" t="inlineStr">
        <is>
          <t>PA-B1383 / VFRF-85|</t>
        </is>
      </c>
      <c r="FL8374" s="27" t="inlineStr">
        <is>
          <t>B</t>
        </is>
      </c>
      <c r="FP8374" s="27" t="inlineStr">
        <is>
          <t>B</t>
        </is>
      </c>
    </row>
    <row r="8375">
      <c r="FC8375" t="inlineStr">
        <is>
          <t>Diccionario 8</t>
        </is>
      </c>
      <c r="FD8375" s="26" t="inlineStr">
        <is>
          <t>PA-B1384 / VFRF-95|</t>
        </is>
      </c>
      <c r="FL8375" s="27" t="inlineStr">
        <is>
          <t>B</t>
        </is>
      </c>
      <c r="FP8375" s="27" t="inlineStr">
        <is>
          <t>B</t>
        </is>
      </c>
    </row>
    <row r="8376">
      <c r="FC8376" t="inlineStr">
        <is>
          <t>Diccionario 8</t>
        </is>
      </c>
      <c r="FD8376" s="26" t="inlineStr">
        <is>
          <t>CER-B1385 / VFRG-15|</t>
        </is>
      </c>
      <c r="FL8376" s="27" t="inlineStr">
        <is>
          <t>B</t>
        </is>
      </c>
      <c r="FP8376" s="27" t="inlineStr">
        <is>
          <t>B</t>
        </is>
      </c>
    </row>
    <row r="8377">
      <c r="FC8377" t="inlineStr">
        <is>
          <t>Diccionario 8</t>
        </is>
      </c>
      <c r="FD8377" s="26" t="inlineStr">
        <is>
          <t>PA-B1386 / VFRG-25|</t>
        </is>
      </c>
      <c r="FL8377" s="27" t="inlineStr">
        <is>
          <t>B</t>
        </is>
      </c>
      <c r="FP8377" s="27" t="inlineStr">
        <is>
          <t>B</t>
        </is>
      </c>
    </row>
    <row r="8378">
      <c r="FC8378" t="inlineStr">
        <is>
          <t>Diccionario 8</t>
        </is>
      </c>
      <c r="FD8378" s="26" t="inlineStr">
        <is>
          <t>PA-B1387 / VFRG-35|</t>
        </is>
      </c>
      <c r="FL8378" s="27" t="inlineStr">
        <is>
          <t>B</t>
        </is>
      </c>
      <c r="FP8378" s="27" t="inlineStr">
        <is>
          <t>B</t>
        </is>
      </c>
    </row>
    <row r="8379">
      <c r="FC8379" t="inlineStr">
        <is>
          <t>Diccionario 8</t>
        </is>
      </c>
      <c r="FD8379" s="26" t="inlineStr">
        <is>
          <t>PA-B1388 / VFRG-45|</t>
        </is>
      </c>
      <c r="FL8379" s="27" t="inlineStr">
        <is>
          <t>B</t>
        </is>
      </c>
      <c r="FP8379" s="27" t="inlineStr">
        <is>
          <t>B</t>
        </is>
      </c>
    </row>
    <row r="8380">
      <c r="FC8380" t="inlineStr">
        <is>
          <t>Diccionario 8</t>
        </is>
      </c>
      <c r="FD8380" s="26" t="inlineStr">
        <is>
          <t>SA-B1389 / VGBS-15|</t>
        </is>
      </c>
      <c r="FL8380" s="27" t="inlineStr">
        <is>
          <t>B</t>
        </is>
      </c>
      <c r="FP8380" s="27" t="inlineStr">
        <is>
          <t>B</t>
        </is>
      </c>
    </row>
    <row r="8381">
      <c r="FC8381" t="inlineStr">
        <is>
          <t>Diccionario 8</t>
        </is>
      </c>
      <c r="FD8381" s="26" t="inlineStr">
        <is>
          <t>SA-B1390 / VGBV-29|</t>
        </is>
      </c>
      <c r="FL8381" s="27" t="inlineStr">
        <is>
          <t>B</t>
        </is>
      </c>
      <c r="FP8381" s="27" t="inlineStr">
        <is>
          <t>B</t>
        </is>
      </c>
    </row>
    <row r="8382">
      <c r="FC8382" t="inlineStr">
        <is>
          <t>Diccionario 8</t>
        </is>
      </c>
      <c r="FD8382" s="26" t="inlineStr">
        <is>
          <t>SA-B1391 / VGBV-35|</t>
        </is>
      </c>
      <c r="FL8382" s="27" t="inlineStr">
        <is>
          <t>B</t>
        </is>
      </c>
      <c r="FP8382" s="27" t="inlineStr">
        <is>
          <t>B</t>
        </is>
      </c>
    </row>
    <row r="8383">
      <c r="FC8383" t="inlineStr">
        <is>
          <t>Diccionario 8</t>
        </is>
      </c>
      <c r="FD8383" s="26" t="inlineStr">
        <is>
          <t>PA-B1392 / VGBV-36|</t>
        </is>
      </c>
      <c r="FL8383" s="27" t="inlineStr">
        <is>
          <t>B</t>
        </is>
      </c>
      <c r="FP8383" s="27" t="inlineStr">
        <is>
          <t>B</t>
        </is>
      </c>
    </row>
    <row r="8384">
      <c r="FC8384" t="inlineStr">
        <is>
          <t>Diccionario 8</t>
        </is>
      </c>
      <c r="FD8384" s="26" t="inlineStr">
        <is>
          <t>CER-B1393 / VGBV-41|</t>
        </is>
      </c>
      <c r="FL8384" s="27" t="inlineStr">
        <is>
          <t>B</t>
        </is>
      </c>
      <c r="FP8384" s="27" t="inlineStr">
        <is>
          <t>B</t>
        </is>
      </c>
    </row>
    <row r="8385">
      <c r="FC8385" t="inlineStr">
        <is>
          <t>Diccionario 8</t>
        </is>
      </c>
      <c r="FD8385" s="26" t="inlineStr">
        <is>
          <t>SA-B1394 / VGBV-51|</t>
        </is>
      </c>
      <c r="FL8385" s="27" t="inlineStr">
        <is>
          <t>B</t>
        </is>
      </c>
      <c r="FP8385" s="27" t="inlineStr">
        <is>
          <t>B</t>
        </is>
      </c>
    </row>
    <row r="8386">
      <c r="FC8386" t="inlineStr">
        <is>
          <t>Diccionario 8</t>
        </is>
      </c>
      <c r="FD8386" s="26" t="inlineStr">
        <is>
          <t>PA-B1395 / VGBV-55|</t>
        </is>
      </c>
      <c r="FL8386" s="27" t="inlineStr">
        <is>
          <t>B</t>
        </is>
      </c>
      <c r="FP8386" s="27" t="inlineStr">
        <is>
          <t>B</t>
        </is>
      </c>
    </row>
    <row r="8387">
      <c r="FC8387" t="inlineStr">
        <is>
          <t>Diccionario 8</t>
        </is>
      </c>
      <c r="FD8387" s="26" t="inlineStr">
        <is>
          <t>SA-B1396 / VGBV-69|</t>
        </is>
      </c>
      <c r="FL8387" s="27" t="inlineStr">
        <is>
          <t>B</t>
        </is>
      </c>
      <c r="FP8387" s="27" t="inlineStr">
        <is>
          <t>B</t>
        </is>
      </c>
    </row>
    <row r="8388">
      <c r="FC8388" t="inlineStr">
        <is>
          <t>Diccionario 8</t>
        </is>
      </c>
      <c r="FD8388" s="26" t="inlineStr">
        <is>
          <t>SA-B1397 / VGBV-79|</t>
        </is>
      </c>
      <c r="FL8388" s="27" t="inlineStr">
        <is>
          <t>B</t>
        </is>
      </c>
      <c r="FP8388" s="27" t="inlineStr">
        <is>
          <t>B</t>
        </is>
      </c>
    </row>
    <row r="8389">
      <c r="FC8389" t="inlineStr">
        <is>
          <t>Diccionario 8</t>
        </is>
      </c>
      <c r="FD8389" s="26" t="inlineStr">
        <is>
          <t>PA-B1398 / VGBV-99|</t>
        </is>
      </c>
      <c r="FL8389" s="27" t="inlineStr">
        <is>
          <t>B</t>
        </is>
      </c>
      <c r="FP8389" s="27" t="inlineStr">
        <is>
          <t>B</t>
        </is>
      </c>
    </row>
    <row r="8390">
      <c r="FC8390" t="inlineStr">
        <is>
          <t>Diccionario 8</t>
        </is>
      </c>
      <c r="FD8390" s="26" t="inlineStr">
        <is>
          <t>PA-B1399 / VGBW-19|</t>
        </is>
      </c>
      <c r="FL8390" s="27" t="inlineStr">
        <is>
          <t>B</t>
        </is>
      </c>
      <c r="FP8390" s="27" t="inlineStr">
        <is>
          <t>B</t>
        </is>
      </c>
    </row>
    <row r="8391">
      <c r="FC8391" t="inlineStr">
        <is>
          <t>Diccionario 8</t>
        </is>
      </c>
      <c r="FD8391" s="26" t="inlineStr">
        <is>
          <t>PA-B1400 / VGBW-29|</t>
        </is>
      </c>
      <c r="FL8391" s="27" t="inlineStr">
        <is>
          <t>B</t>
        </is>
      </c>
      <c r="FP8391" s="27" t="inlineStr">
        <is>
          <t>B</t>
        </is>
      </c>
    </row>
    <row r="8392">
      <c r="FC8392" t="inlineStr">
        <is>
          <t>Diccionario 8</t>
        </is>
      </c>
      <c r="FD8392" s="26" t="inlineStr">
        <is>
          <t>SA-B1401 / VGBW-39|</t>
        </is>
      </c>
      <c r="FL8392" s="27" t="inlineStr">
        <is>
          <t>B</t>
        </is>
      </c>
      <c r="FP8392" s="27" t="inlineStr">
        <is>
          <t>B</t>
        </is>
      </c>
    </row>
    <row r="8393">
      <c r="FC8393" t="inlineStr">
        <is>
          <t>Diccionario 8</t>
        </is>
      </c>
      <c r="FD8393" s="26" t="inlineStr">
        <is>
          <t>PA-B1402 / VGBW-48|</t>
        </is>
      </c>
      <c r="FL8393" s="27" t="inlineStr">
        <is>
          <t>B</t>
        </is>
      </c>
      <c r="FP8393" s="27" t="inlineStr">
        <is>
          <t>B</t>
        </is>
      </c>
    </row>
    <row r="8394">
      <c r="FC8394" t="inlineStr">
        <is>
          <t>Diccionario 8</t>
        </is>
      </c>
      <c r="FD8394" s="26" t="inlineStr">
        <is>
          <t>PA-B1403 / VGBW-58|</t>
        </is>
      </c>
      <c r="FL8394" s="27" t="inlineStr">
        <is>
          <t>B</t>
        </is>
      </c>
      <c r="FP8394" s="27" t="inlineStr">
        <is>
          <t>B</t>
        </is>
      </c>
    </row>
    <row r="8395">
      <c r="FC8395" t="inlineStr">
        <is>
          <t>Diccionario 8</t>
        </is>
      </c>
      <c r="FD8395" s="26" t="inlineStr">
        <is>
          <t>CER-B1404 / VGBW-68|</t>
        </is>
      </c>
      <c r="FL8395" s="27" t="inlineStr">
        <is>
          <t>B</t>
        </is>
      </c>
      <c r="FP8395" s="27" t="inlineStr">
        <is>
          <t>B</t>
        </is>
      </c>
    </row>
    <row r="8396">
      <c r="FC8396" t="inlineStr">
        <is>
          <t>Diccionario 8</t>
        </is>
      </c>
      <c r="FD8396" s="26" t="inlineStr">
        <is>
          <t>SA-B1405 / VGBW-98|</t>
        </is>
      </c>
      <c r="FL8396" s="27" t="inlineStr">
        <is>
          <t>B</t>
        </is>
      </c>
      <c r="FP8396" s="27" t="inlineStr">
        <is>
          <t>B</t>
        </is>
      </c>
    </row>
    <row r="8397">
      <c r="FC8397" t="inlineStr">
        <is>
          <t>Diccionario 8</t>
        </is>
      </c>
      <c r="FD8397" s="26" t="inlineStr">
        <is>
          <t>SA-B1406 / VGBW-99|</t>
        </is>
      </c>
      <c r="FL8397" s="27" t="inlineStr">
        <is>
          <t>B</t>
        </is>
      </c>
      <c r="FP8397" s="27" t="inlineStr">
        <is>
          <t>B</t>
        </is>
      </c>
    </row>
    <row r="8398">
      <c r="FC8398" t="inlineStr">
        <is>
          <t>Diccionario 8</t>
        </is>
      </c>
      <c r="FD8398" s="26" t="inlineStr">
        <is>
          <t>PA-B1407 / VGBX-29|</t>
        </is>
      </c>
      <c r="FL8398" s="27" t="inlineStr">
        <is>
          <t>B</t>
        </is>
      </c>
      <c r="FP8398" s="27" t="inlineStr">
        <is>
          <t>B</t>
        </is>
      </c>
    </row>
    <row r="8399">
      <c r="FC8399" t="inlineStr">
        <is>
          <t>Diccionario 8</t>
        </is>
      </c>
      <c r="FD8399" s="26" t="inlineStr">
        <is>
          <t>PA-B1408 / VGBX-48|</t>
        </is>
      </c>
      <c r="FL8399" s="27" t="inlineStr">
        <is>
          <t>B</t>
        </is>
      </c>
      <c r="FP8399" s="27" t="inlineStr">
        <is>
          <t>B</t>
        </is>
      </c>
    </row>
    <row r="8400">
      <c r="FC8400" t="inlineStr">
        <is>
          <t>Diccionario 8</t>
        </is>
      </c>
      <c r="FD8400" s="26" t="inlineStr">
        <is>
          <t>PA-B1409 / VGBX-49|</t>
        </is>
      </c>
      <c r="FL8400" s="27" t="inlineStr">
        <is>
          <t>B</t>
        </is>
      </c>
      <c r="FP8400" s="27" t="inlineStr">
        <is>
          <t>B</t>
        </is>
      </c>
    </row>
    <row r="8401">
      <c r="FC8401" t="inlineStr">
        <is>
          <t>Diccionario 8</t>
        </is>
      </c>
      <c r="FD8401" s="26" t="inlineStr">
        <is>
          <t>PA-B1410 / VGBX-58|</t>
        </is>
      </c>
      <c r="FL8401" s="27" t="inlineStr">
        <is>
          <t>B</t>
        </is>
      </c>
      <c r="FP8401" s="27" t="inlineStr">
        <is>
          <t>B</t>
        </is>
      </c>
    </row>
    <row r="8402">
      <c r="FC8402" t="inlineStr">
        <is>
          <t>Diccionario 8</t>
        </is>
      </c>
      <c r="FD8402" s="26" t="inlineStr">
        <is>
          <t>LL-B1411 / VGBX-59|</t>
        </is>
      </c>
      <c r="FL8402" s="27" t="inlineStr">
        <is>
          <t>B</t>
        </is>
      </c>
      <c r="FP8402" s="27" t="inlineStr">
        <is>
          <t>B</t>
        </is>
      </c>
    </row>
    <row r="8403">
      <c r="FC8403" t="inlineStr">
        <is>
          <t>Diccionario 8</t>
        </is>
      </c>
      <c r="FD8403" s="26" t="inlineStr">
        <is>
          <t>LL-B1412 / VGBX-78|</t>
        </is>
      </c>
      <c r="FL8403" s="27" t="inlineStr">
        <is>
          <t>B</t>
        </is>
      </c>
      <c r="FP8403" s="27" t="inlineStr">
        <is>
          <t>B</t>
        </is>
      </c>
    </row>
    <row r="8404">
      <c r="FC8404" t="inlineStr">
        <is>
          <t>Diccionario 8</t>
        </is>
      </c>
      <c r="FD8404" s="26" t="inlineStr">
        <is>
          <t>LL-B1413 / VGCB-39|</t>
        </is>
      </c>
      <c r="FL8404" s="27" t="inlineStr">
        <is>
          <t>B</t>
        </is>
      </c>
      <c r="FP8404" s="27" t="inlineStr">
        <is>
          <t>B</t>
        </is>
      </c>
    </row>
    <row r="8405">
      <c r="FC8405" t="inlineStr">
        <is>
          <t>Diccionario 8</t>
        </is>
      </c>
      <c r="FD8405" s="26" t="inlineStr">
        <is>
          <t>CER-B1414 / VGCB-59|</t>
        </is>
      </c>
      <c r="FL8405" s="27" t="inlineStr">
        <is>
          <t>B</t>
        </is>
      </c>
      <c r="FP8405" s="27" t="inlineStr">
        <is>
          <t>B</t>
        </is>
      </c>
    </row>
    <row r="8406">
      <c r="FC8406" t="inlineStr">
        <is>
          <t>Diccionario 8</t>
        </is>
      </c>
      <c r="FD8406" s="26" t="inlineStr">
        <is>
          <t>PA-B1415 / VGKX-42|</t>
        </is>
      </c>
      <c r="FL8406" s="27" t="inlineStr">
        <is>
          <t>B</t>
        </is>
      </c>
      <c r="FP8406" s="27" t="inlineStr">
        <is>
          <t>B</t>
        </is>
      </c>
    </row>
    <row r="8407">
      <c r="FC8407" t="inlineStr">
        <is>
          <t>Diccionario 8</t>
        </is>
      </c>
      <c r="FD8407" s="26" t="inlineStr">
        <is>
          <t>SA-B1416 / VGKX-52|</t>
        </is>
      </c>
      <c r="FL8407" s="27" t="inlineStr">
        <is>
          <t>B</t>
        </is>
      </c>
      <c r="FP8407" s="27" t="inlineStr">
        <is>
          <t>B</t>
        </is>
      </c>
    </row>
    <row r="8408">
      <c r="FC8408" t="inlineStr">
        <is>
          <t>Diccionario 8</t>
        </is>
      </c>
      <c r="FD8408" s="26" t="inlineStr">
        <is>
          <t>CER-B1417 / VGKX-62|</t>
        </is>
      </c>
      <c r="FL8408" s="27" t="inlineStr">
        <is>
          <t>B</t>
        </is>
      </c>
      <c r="FP8408" s="27" t="inlineStr">
        <is>
          <t>B</t>
        </is>
      </c>
    </row>
    <row r="8409">
      <c r="FC8409" t="inlineStr">
        <is>
          <t>Diccionario 8</t>
        </is>
      </c>
      <c r="FD8409" s="26" t="inlineStr">
        <is>
          <t>PA-B1418 / VGKX-82|</t>
        </is>
      </c>
      <c r="FL8409" s="27" t="inlineStr">
        <is>
          <t>B</t>
        </is>
      </c>
      <c r="FP8409" s="27" t="inlineStr">
        <is>
          <t>B</t>
        </is>
      </c>
    </row>
    <row r="8410">
      <c r="FC8410" t="inlineStr">
        <is>
          <t>Diccionario 8</t>
        </is>
      </c>
      <c r="FD8410" s="26" t="inlineStr">
        <is>
          <t>CER-B1419 / VGKY-12|</t>
        </is>
      </c>
      <c r="FL8410" s="27" t="inlineStr">
        <is>
          <t>B</t>
        </is>
      </c>
      <c r="FP8410" s="27" t="inlineStr">
        <is>
          <t>B</t>
        </is>
      </c>
    </row>
    <row r="8411">
      <c r="FC8411" t="inlineStr">
        <is>
          <t>Diccionario 8</t>
        </is>
      </c>
      <c r="FD8411" s="26" t="inlineStr">
        <is>
          <t>PA-B1420 / VGKY-22|</t>
        </is>
      </c>
      <c r="FL8411" s="27" t="inlineStr">
        <is>
          <t>B</t>
        </is>
      </c>
      <c r="FP8411" s="27" t="inlineStr">
        <is>
          <t>B</t>
        </is>
      </c>
    </row>
    <row r="8412">
      <c r="FC8412" t="inlineStr">
        <is>
          <t>Diccionario 8</t>
        </is>
      </c>
      <c r="FD8412" s="26" t="inlineStr">
        <is>
          <t>PA-B1421 / VGKY-42|</t>
        </is>
      </c>
      <c r="FL8412" s="27" t="inlineStr">
        <is>
          <t>B</t>
        </is>
      </c>
      <c r="FP8412" s="27" t="inlineStr">
        <is>
          <t>B</t>
        </is>
      </c>
    </row>
    <row r="8413">
      <c r="FC8413" t="inlineStr">
        <is>
          <t>Diccionario 8</t>
        </is>
      </c>
      <c r="FD8413" s="26" t="inlineStr">
        <is>
          <t>PA-B1422 / VGKY-72|</t>
        </is>
      </c>
      <c r="FL8413" s="27" t="inlineStr">
        <is>
          <t>B</t>
        </is>
      </c>
      <c r="FP8413" s="27" t="inlineStr">
        <is>
          <t>B</t>
        </is>
      </c>
    </row>
    <row r="8414">
      <c r="FC8414" t="inlineStr">
        <is>
          <t>Diccionario 8</t>
        </is>
      </c>
      <c r="FD8414" s="26" t="inlineStr">
        <is>
          <t>PA-B1423 / VGKY-82|</t>
        </is>
      </c>
      <c r="FL8414" s="27" t="inlineStr">
        <is>
          <t>B</t>
        </is>
      </c>
      <c r="FP8414" s="27" t="inlineStr">
        <is>
          <t>B</t>
        </is>
      </c>
    </row>
    <row r="8415">
      <c r="FC8415" t="inlineStr">
        <is>
          <t>Diccionario 8</t>
        </is>
      </c>
      <c r="FD8415" s="26" t="inlineStr">
        <is>
          <t>PA-B1424 / VGKZ-62|</t>
        </is>
      </c>
      <c r="FL8415" s="27" t="inlineStr">
        <is>
          <t>B</t>
        </is>
      </c>
      <c r="FP8415" s="27" t="inlineStr">
        <is>
          <t>B</t>
        </is>
      </c>
    </row>
    <row r="8416">
      <c r="FC8416" t="inlineStr">
        <is>
          <t>Diccionario 8</t>
        </is>
      </c>
      <c r="FD8416" s="26" t="inlineStr">
        <is>
          <t>PA-B1425 / VGKZ-82|</t>
        </is>
      </c>
      <c r="FL8416" s="27" t="inlineStr">
        <is>
          <t>B</t>
        </is>
      </c>
      <c r="FP8416" s="27" t="inlineStr">
        <is>
          <t>B</t>
        </is>
      </c>
    </row>
    <row r="8417">
      <c r="FC8417" t="inlineStr">
        <is>
          <t>Diccionario 8</t>
        </is>
      </c>
      <c r="FD8417" s="26" t="inlineStr">
        <is>
          <t>PA-B1426 / VGKZ-92|</t>
        </is>
      </c>
      <c r="FL8417" s="27" t="inlineStr">
        <is>
          <t>B</t>
        </is>
      </c>
      <c r="FP8417" s="27" t="inlineStr">
        <is>
          <t>B</t>
        </is>
      </c>
    </row>
    <row r="8418">
      <c r="FC8418" t="inlineStr">
        <is>
          <t>Diccionario 8</t>
        </is>
      </c>
      <c r="FD8418" s="26" t="inlineStr">
        <is>
          <t>RC-B1427 / FLXZ-95|</t>
        </is>
      </c>
      <c r="FL8418" s="27" t="inlineStr">
        <is>
          <t>B</t>
        </is>
      </c>
      <c r="FP8418" s="27" t="inlineStr">
        <is>
          <t>B</t>
        </is>
      </c>
    </row>
    <row r="8419">
      <c r="FC8419" t="inlineStr">
        <is>
          <t>Diccionario 8</t>
        </is>
      </c>
      <c r="FD8419" s="26" t="inlineStr">
        <is>
          <t>SR-BP1428 / GCBC-24|</t>
        </is>
      </c>
      <c r="FL8419" s="27" t="inlineStr">
        <is>
          <t>BPAL</t>
        </is>
      </c>
      <c r="FP8419" s="27" t="inlineStr">
        <is>
          <t>BPAL</t>
        </is>
      </c>
    </row>
    <row r="8420">
      <c r="FC8420" t="inlineStr">
        <is>
          <t>Diccionario 8</t>
        </is>
      </c>
      <c r="FD8420" s="26" t="inlineStr">
        <is>
          <t>RC-BP1429 / GCBC-25|</t>
        </is>
      </c>
      <c r="FL8420" s="27" t="inlineStr">
        <is>
          <t>BPAL</t>
        </is>
      </c>
      <c r="FP8420" s="27" t="inlineStr">
        <is>
          <t>BPAL</t>
        </is>
      </c>
      <c r="FS8420" t="inlineStr">
        <is>
          <t>RC-BP1429 / GCBC-25|</t>
        </is>
      </c>
    </row>
    <row r="8421">
      <c r="FC8421" t="inlineStr">
        <is>
          <t>Diccionario 8</t>
        </is>
      </c>
      <c r="FD8421" s="26" t="inlineStr">
        <is>
          <t>RC-BP7739 / GCBC-26|</t>
        </is>
      </c>
      <c r="FL8421" s="27" t="inlineStr">
        <is>
          <t>BPAL</t>
        </is>
      </c>
      <c r="FP8421" s="27" t="inlineStr">
        <is>
          <t>BPAL</t>
        </is>
      </c>
    </row>
    <row r="8422">
      <c r="FC8422" t="inlineStr">
        <is>
          <t>Diccionario 8</t>
        </is>
      </c>
      <c r="FD8422" s="26" t="inlineStr">
        <is>
          <t>RC-BP1431 / GCBC-27|</t>
        </is>
      </c>
      <c r="FL8422" s="27" t="inlineStr">
        <is>
          <t>BPAL</t>
        </is>
      </c>
      <c r="FP8422" s="27" t="inlineStr">
        <is>
          <t>BPAL</t>
        </is>
      </c>
    </row>
    <row r="8423">
      <c r="FC8423" t="inlineStr">
        <is>
          <t>Diccionario 8</t>
        </is>
      </c>
      <c r="FD8423" s="26" t="inlineStr">
        <is>
          <t>SR-BP1432 / GCBC-28|</t>
        </is>
      </c>
      <c r="FL8423" s="27" t="inlineStr">
        <is>
          <t>BPAL</t>
        </is>
      </c>
      <c r="FP8423" s="27" t="inlineStr">
        <is>
          <t>BPAL</t>
        </is>
      </c>
    </row>
    <row r="8424">
      <c r="FC8424" t="inlineStr">
        <is>
          <t>Diccionario 8</t>
        </is>
      </c>
      <c r="FD8424" s="26" t="inlineStr">
        <is>
          <t>SR-BP1433 / GCBC-29|</t>
        </is>
      </c>
      <c r="FL8424" s="27" t="inlineStr">
        <is>
          <t>BPAL</t>
        </is>
      </c>
      <c r="FP8424" s="27" t="inlineStr">
        <is>
          <t>BPAL</t>
        </is>
      </c>
    </row>
    <row r="8425">
      <c r="FC8425" t="inlineStr">
        <is>
          <t>Diccionario 8</t>
        </is>
      </c>
      <c r="FD8425" s="26" t="inlineStr">
        <is>
          <t>SR-BP1434 / GCBC-30|</t>
        </is>
      </c>
      <c r="FL8425" s="27" t="inlineStr">
        <is>
          <t>BPAL</t>
        </is>
      </c>
      <c r="FP8425" s="27" t="inlineStr">
        <is>
          <t>BPAL</t>
        </is>
      </c>
    </row>
    <row r="8426">
      <c r="FC8426" t="inlineStr">
        <is>
          <t>Diccionario 8</t>
        </is>
      </c>
      <c r="FD8426" s="26" t="inlineStr">
        <is>
          <t>SR-BP1435 / GCBC-31|</t>
        </is>
      </c>
      <c r="FL8426" s="27" t="inlineStr">
        <is>
          <t>BPAL</t>
        </is>
      </c>
      <c r="FP8426" s="27" t="inlineStr">
        <is>
          <t>BPAL</t>
        </is>
      </c>
    </row>
    <row r="8427">
      <c r="FC8427" t="inlineStr">
        <is>
          <t>Diccionario 8</t>
        </is>
      </c>
      <c r="FD8427" s="26" t="inlineStr">
        <is>
          <t>LL-BP1436 / GCBc-33|</t>
        </is>
      </c>
      <c r="FL8427" s="27" t="inlineStr">
        <is>
          <t>B2PAL</t>
        </is>
      </c>
      <c r="FP8427" s="27" t="inlineStr">
        <is>
          <t>B2PAL</t>
        </is>
      </c>
    </row>
    <row r="8428">
      <c r="FC8428" t="inlineStr">
        <is>
          <t>Diccionario 8</t>
        </is>
      </c>
      <c r="FD8428" s="26" t="inlineStr">
        <is>
          <t>RC-BP1437 / GCBC-33|</t>
        </is>
      </c>
      <c r="FL8428" s="27" t="inlineStr">
        <is>
          <t>B2PAL</t>
        </is>
      </c>
      <c r="FP8428" s="27" t="inlineStr">
        <is>
          <t>B2PAL</t>
        </is>
      </c>
    </row>
    <row r="8429">
      <c r="FC8429" t="inlineStr">
        <is>
          <t>Diccionario 8</t>
        </is>
      </c>
      <c r="FD8429" s="26" t="inlineStr">
        <is>
          <t>RC-BP7747 / GCBC-34|</t>
        </is>
      </c>
      <c r="FL8429" s="27" t="inlineStr">
        <is>
          <t>BPAL</t>
        </is>
      </c>
      <c r="FP8429" s="27" t="inlineStr">
        <is>
          <t>BPAL</t>
        </is>
      </c>
    </row>
    <row r="8430">
      <c r="FC8430" t="inlineStr">
        <is>
          <t>Diccionario 8</t>
        </is>
      </c>
      <c r="FD8430" s="26" t="inlineStr">
        <is>
          <t>RC-BP1439 / GCBC-35|</t>
        </is>
      </c>
      <c r="FL8430" s="27" t="inlineStr">
        <is>
          <t>BPAL</t>
        </is>
      </c>
      <c r="FP8430" s="27" t="inlineStr">
        <is>
          <t>BPAL</t>
        </is>
      </c>
    </row>
    <row r="8431">
      <c r="FC8431" t="inlineStr">
        <is>
          <t>Diccionario 8</t>
        </is>
      </c>
      <c r="FD8431" s="26" t="inlineStr">
        <is>
          <t>RC-C1440 / GCBF-43|</t>
        </is>
      </c>
      <c r="FL8431" s="27" t="inlineStr">
        <is>
          <t>C</t>
        </is>
      </c>
      <c r="FP8431" s="27" t="inlineStr">
        <is>
          <t>C</t>
        </is>
      </c>
    </row>
    <row r="8432">
      <c r="FC8432" t="inlineStr">
        <is>
          <t>Diccionario 8</t>
        </is>
      </c>
      <c r="FD8432" s="26" t="inlineStr">
        <is>
          <t>RC-C1441 / GCBF-44|</t>
        </is>
      </c>
      <c r="FL8432" s="27" t="inlineStr">
        <is>
          <t>C</t>
        </is>
      </c>
      <c r="FP8432" s="27" t="inlineStr">
        <is>
          <t>C</t>
        </is>
      </c>
    </row>
    <row r="8433">
      <c r="FC8433" t="inlineStr">
        <is>
          <t>Diccionario 8</t>
        </is>
      </c>
      <c r="FD8433" s="26" t="inlineStr">
        <is>
          <t>LB-C1442 / GCBF-45|</t>
        </is>
      </c>
      <c r="FL8433" s="27" t="inlineStr">
        <is>
          <t>C</t>
        </is>
      </c>
      <c r="FP8433" s="27" t="inlineStr">
        <is>
          <t>C</t>
        </is>
      </c>
    </row>
    <row r="8434">
      <c r="FC8434" t="inlineStr">
        <is>
          <t>Diccionario 8</t>
        </is>
      </c>
      <c r="FD8434" s="26" t="inlineStr">
        <is>
          <t>RC-C1443 / GCBF-46|</t>
        </is>
      </c>
      <c r="FL8434" s="27" t="inlineStr">
        <is>
          <t>C</t>
        </is>
      </c>
      <c r="FP8434" s="27" t="inlineStr">
        <is>
          <t>C</t>
        </is>
      </c>
    </row>
    <row r="8435">
      <c r="FC8435" t="inlineStr">
        <is>
          <t>Diccionario 8</t>
        </is>
      </c>
      <c r="FD8435" s="26" t="inlineStr">
        <is>
          <t>RC-C1444 / GCBF-47|</t>
        </is>
      </c>
      <c r="FL8435" s="27" t="inlineStr">
        <is>
          <t>C</t>
        </is>
      </c>
      <c r="FP8435" s="27" t="inlineStr">
        <is>
          <t>C</t>
        </is>
      </c>
    </row>
    <row r="8436">
      <c r="FC8436" t="inlineStr">
        <is>
          <t>Diccionario 8</t>
        </is>
      </c>
      <c r="FD8436" s="26" t="inlineStr">
        <is>
          <t>RC-C1445 / GCBF-48|</t>
        </is>
      </c>
      <c r="FL8436" s="27" t="inlineStr">
        <is>
          <t>C</t>
        </is>
      </c>
      <c r="FP8436" s="27" t="inlineStr">
        <is>
          <t>C</t>
        </is>
      </c>
    </row>
    <row r="8437">
      <c r="FC8437" t="inlineStr">
        <is>
          <t>Diccionario 8</t>
        </is>
      </c>
      <c r="FD8437" s="26" t="inlineStr">
        <is>
          <t>RC-C1446 / GCBF-49|</t>
        </is>
      </c>
      <c r="FL8437" s="27" t="inlineStr">
        <is>
          <t>C</t>
        </is>
      </c>
      <c r="FP8437" s="27" t="inlineStr">
        <is>
          <t>C</t>
        </is>
      </c>
    </row>
    <row r="8438">
      <c r="FC8438" t="inlineStr">
        <is>
          <t>Diccionario 8</t>
        </is>
      </c>
      <c r="FD8438" s="26" t="inlineStr">
        <is>
          <t>RC-C1447 / GCBF-50|</t>
        </is>
      </c>
      <c r="FL8438" s="27" t="inlineStr">
        <is>
          <t>C</t>
        </is>
      </c>
      <c r="FP8438" s="27" t="inlineStr">
        <is>
          <t>C</t>
        </is>
      </c>
    </row>
    <row r="8439">
      <c r="FC8439" t="inlineStr">
        <is>
          <t>Diccionario 8</t>
        </is>
      </c>
      <c r="FD8439" s="26" t="inlineStr">
        <is>
          <t>RC-C1448 / GCBF-51|</t>
        </is>
      </c>
      <c r="FL8439" s="27" t="inlineStr">
        <is>
          <t>C</t>
        </is>
      </c>
      <c r="FP8439" s="27" t="inlineStr">
        <is>
          <t>C</t>
        </is>
      </c>
    </row>
    <row r="8440">
      <c r="FC8440" t="inlineStr">
        <is>
          <t>Diccionario 8</t>
        </is>
      </c>
      <c r="FD8440" s="26" t="inlineStr">
        <is>
          <t>RC-C1449 / GCBF-52|</t>
        </is>
      </c>
      <c r="FL8440" s="27" t="inlineStr">
        <is>
          <t>C</t>
        </is>
      </c>
      <c r="FP8440" s="27" t="inlineStr">
        <is>
          <t>C</t>
        </is>
      </c>
    </row>
    <row r="8441">
      <c r="FC8441" t="inlineStr">
        <is>
          <t>Diccionario 8</t>
        </is>
      </c>
      <c r="FD8441" s="26" t="inlineStr">
        <is>
          <t>RC-C1450 / GCBF-53|</t>
        </is>
      </c>
      <c r="FL8441" s="27" t="inlineStr">
        <is>
          <t>C</t>
        </is>
      </c>
      <c r="FP8441" s="27" t="inlineStr">
        <is>
          <t>C</t>
        </is>
      </c>
    </row>
    <row r="8442">
      <c r="FC8442" t="inlineStr">
        <is>
          <t>Diccionario 8</t>
        </is>
      </c>
      <c r="FD8442" s="26" t="inlineStr">
        <is>
          <t>RC-C1451 / LXWT-82|</t>
        </is>
      </c>
      <c r="FL8442" s="27" t="inlineStr">
        <is>
          <t>C</t>
        </is>
      </c>
      <c r="FP8442" s="27" t="inlineStr">
        <is>
          <t>C</t>
        </is>
      </c>
    </row>
    <row r="8443">
      <c r="FC8443" t="inlineStr">
        <is>
          <t>Diccionario 8</t>
        </is>
      </c>
      <c r="FD8443" s="26" t="inlineStr">
        <is>
          <t>RC-C1452 / LXWT-83|</t>
        </is>
      </c>
      <c r="FL8443" s="27" t="inlineStr">
        <is>
          <t>C</t>
        </is>
      </c>
      <c r="FP8443" s="27" t="inlineStr">
        <is>
          <t>C</t>
        </is>
      </c>
    </row>
    <row r="8444">
      <c r="FC8444" t="inlineStr">
        <is>
          <t>Diccionario 8</t>
        </is>
      </c>
      <c r="FD8444" s="26" t="inlineStr">
        <is>
          <t>LB-C1453 / LXWT-84|</t>
        </is>
      </c>
      <c r="FL8444" s="27" t="inlineStr">
        <is>
          <t>C</t>
        </is>
      </c>
      <c r="FP8444" s="27" t="inlineStr">
        <is>
          <t>C</t>
        </is>
      </c>
    </row>
    <row r="8445">
      <c r="FC8445" t="inlineStr">
        <is>
          <t>Diccionario 8</t>
        </is>
      </c>
      <c r="FD8445" s="26" t="inlineStr">
        <is>
          <t>RC-C1454 / LXWT-85|</t>
        </is>
      </c>
      <c r="FL8445" s="27" t="inlineStr">
        <is>
          <t>C</t>
        </is>
      </c>
      <c r="FP8445" s="27" t="inlineStr">
        <is>
          <t>C</t>
        </is>
      </c>
    </row>
    <row r="8446">
      <c r="FC8446" t="inlineStr">
        <is>
          <t>Diccionario 8</t>
        </is>
      </c>
      <c r="FD8446" s="26" t="inlineStr">
        <is>
          <t>RC-C1455 / LXWT-86|</t>
        </is>
      </c>
      <c r="FL8446" s="27" t="inlineStr">
        <is>
          <t>C</t>
        </is>
      </c>
      <c r="FP8446" s="27" t="inlineStr">
        <is>
          <t>C</t>
        </is>
      </c>
    </row>
    <row r="8447">
      <c r="FC8447" t="inlineStr">
        <is>
          <t>Diccionario 8</t>
        </is>
      </c>
      <c r="FD8447" s="26" t="inlineStr">
        <is>
          <t>RC-C1456 / LXWT-87|</t>
        </is>
      </c>
      <c r="FL8447" s="27" t="inlineStr">
        <is>
          <t>C</t>
        </is>
      </c>
      <c r="FP8447" s="27" t="inlineStr">
        <is>
          <t>C</t>
        </is>
      </c>
    </row>
    <row r="8448">
      <c r="FC8448" t="inlineStr">
        <is>
          <t>Diccionario 8</t>
        </is>
      </c>
      <c r="FD8448" s="26" t="inlineStr">
        <is>
          <t>RC-C1457 / LXWT-88|</t>
        </is>
      </c>
      <c r="FL8448" s="27" t="inlineStr">
        <is>
          <t>C</t>
        </is>
      </c>
      <c r="FP8448" s="27" t="inlineStr">
        <is>
          <t>C</t>
        </is>
      </c>
    </row>
    <row r="8449">
      <c r="FC8449" t="inlineStr">
        <is>
          <t>Diccionario 8</t>
        </is>
      </c>
      <c r="FD8449" s="26" t="inlineStr">
        <is>
          <t>LB-C1458 / LXWT-89|</t>
        </is>
      </c>
      <c r="FL8449" s="27" t="inlineStr">
        <is>
          <t>C</t>
        </is>
      </c>
      <c r="FP8449" s="27" t="inlineStr">
        <is>
          <t>C</t>
        </is>
      </c>
    </row>
    <row r="8450">
      <c r="FC8450" t="inlineStr">
        <is>
          <t>Diccionario 8</t>
        </is>
      </c>
      <c r="FD8450" s="26" t="inlineStr">
        <is>
          <t>LB-C1459 / LXWT-90|</t>
        </is>
      </c>
      <c r="FL8450" s="27" t="inlineStr">
        <is>
          <t>C</t>
        </is>
      </c>
      <c r="FP8450" s="27" t="inlineStr">
        <is>
          <t>C</t>
        </is>
      </c>
    </row>
    <row r="8451">
      <c r="FC8451" t="inlineStr">
        <is>
          <t>Diccionario 8</t>
        </is>
      </c>
      <c r="FD8451" s="26" t="inlineStr">
        <is>
          <t>RC-C1460 / LXWT-91|</t>
        </is>
      </c>
      <c r="FL8451" s="27" t="inlineStr">
        <is>
          <t>C</t>
        </is>
      </c>
      <c r="FP8451" s="27" t="inlineStr">
        <is>
          <t>C</t>
        </is>
      </c>
    </row>
    <row r="8452">
      <c r="FC8452" t="inlineStr">
        <is>
          <t>Diccionario 8</t>
        </is>
      </c>
      <c r="FD8452" s="26" t="inlineStr">
        <is>
          <t>LB-C1461 / LXWT-92|</t>
        </is>
      </c>
      <c r="FL8452" s="27" t="inlineStr">
        <is>
          <t>C</t>
        </is>
      </c>
      <c r="FP8452" s="27" t="inlineStr">
        <is>
          <t>C</t>
        </is>
      </c>
    </row>
    <row r="8453">
      <c r="FC8453" t="inlineStr">
        <is>
          <t>Diccionario 8</t>
        </is>
      </c>
      <c r="FD8453" s="26" t="inlineStr">
        <is>
          <t>LB-C1462 / LXWT-93|</t>
        </is>
      </c>
      <c r="FL8453" s="27" t="inlineStr">
        <is>
          <t>C</t>
        </is>
      </c>
      <c r="FP8453" s="27" t="inlineStr">
        <is>
          <t>C</t>
        </is>
      </c>
    </row>
    <row r="8454">
      <c r="FC8454" t="inlineStr">
        <is>
          <t>Diccionario 8</t>
        </is>
      </c>
      <c r="FD8454" s="26" t="inlineStr">
        <is>
          <t>LB-C1463 / LXWT-94|</t>
        </is>
      </c>
      <c r="FL8454" s="27" t="inlineStr">
        <is>
          <t>C</t>
        </is>
      </c>
      <c r="FP8454" s="27" t="inlineStr">
        <is>
          <t>C</t>
        </is>
      </c>
    </row>
    <row r="8455">
      <c r="FC8455" t="inlineStr">
        <is>
          <t>Diccionario 8</t>
        </is>
      </c>
      <c r="FD8455" s="26" t="inlineStr">
        <is>
          <t>LB-C1464 / LXWT-95|</t>
        </is>
      </c>
      <c r="FL8455" s="27" t="inlineStr">
        <is>
          <t>C</t>
        </is>
      </c>
      <c r="FP8455" s="27" t="inlineStr">
        <is>
          <t>C</t>
        </is>
      </c>
    </row>
    <row r="8456">
      <c r="FC8456" t="inlineStr">
        <is>
          <t>Diccionario 8</t>
        </is>
      </c>
      <c r="FD8456" s="26" t="inlineStr">
        <is>
          <t>LB-C1465 / LXWT-96|</t>
        </is>
      </c>
      <c r="FL8456" s="27" t="inlineStr">
        <is>
          <t>C</t>
        </is>
      </c>
      <c r="FP8456" s="27" t="inlineStr">
        <is>
          <t>C</t>
        </is>
      </c>
    </row>
    <row r="8457">
      <c r="FC8457" t="inlineStr">
        <is>
          <t>Diccionario 8</t>
        </is>
      </c>
      <c r="FD8457" s="26" t="inlineStr">
        <is>
          <t>LB-C1466 / LXWT-97|</t>
        </is>
      </c>
      <c r="FL8457" s="27" t="inlineStr">
        <is>
          <t>C</t>
        </is>
      </c>
      <c r="FP8457" s="27" t="inlineStr">
        <is>
          <t>C</t>
        </is>
      </c>
    </row>
    <row r="8458">
      <c r="FC8458" t="inlineStr">
        <is>
          <t>Diccionario 8</t>
        </is>
      </c>
      <c r="FD8458" s="26" t="inlineStr">
        <is>
          <t>LB-C1467 / LXWT-98|</t>
        </is>
      </c>
      <c r="FL8458" s="27" t="inlineStr">
        <is>
          <t>C</t>
        </is>
      </c>
      <c r="FP8458" s="27" t="inlineStr">
        <is>
          <t>C</t>
        </is>
      </c>
    </row>
    <row r="8459">
      <c r="FC8459" t="inlineStr">
        <is>
          <t>Diccionario 8</t>
        </is>
      </c>
      <c r="FD8459" s="26" t="inlineStr">
        <is>
          <t>LB-C1468 / LXWT-99|</t>
        </is>
      </c>
      <c r="FL8459" s="27" t="inlineStr">
        <is>
          <t>C</t>
        </is>
      </c>
      <c r="FP8459" s="27" t="inlineStr">
        <is>
          <t>C</t>
        </is>
      </c>
    </row>
    <row r="8460">
      <c r="FC8460" t="inlineStr">
        <is>
          <t>Diccionario 8</t>
        </is>
      </c>
      <c r="FD8460" s="26" t="inlineStr">
        <is>
          <t>LB-C1469 / LZPG-10|</t>
        </is>
      </c>
      <c r="FL8460" s="27" t="inlineStr">
        <is>
          <t>C</t>
        </is>
      </c>
      <c r="FP8460" s="27" t="inlineStr">
        <is>
          <t>C</t>
        </is>
      </c>
    </row>
    <row r="8461">
      <c r="FC8461" t="inlineStr">
        <is>
          <t>Diccionario 8</t>
        </is>
      </c>
      <c r="FD8461" s="26" t="inlineStr">
        <is>
          <t>LB-C1470 / LZPG-11|</t>
        </is>
      </c>
      <c r="FL8461" s="27" t="inlineStr">
        <is>
          <t>C</t>
        </is>
      </c>
      <c r="FP8461" s="27" t="inlineStr">
        <is>
          <t>C</t>
        </is>
      </c>
    </row>
    <row r="8462">
      <c r="FC8462" t="inlineStr">
        <is>
          <t>Diccionario 8</t>
        </is>
      </c>
      <c r="FD8462" s="26" t="inlineStr">
        <is>
          <t>LB-C1471 / LZPG-12|</t>
        </is>
      </c>
      <c r="FL8462" s="27" t="inlineStr">
        <is>
          <t>C</t>
        </is>
      </c>
      <c r="FP8462" s="27" t="inlineStr">
        <is>
          <t>C</t>
        </is>
      </c>
    </row>
    <row r="8463">
      <c r="FC8463" t="inlineStr">
        <is>
          <t>Diccionario 8</t>
        </is>
      </c>
      <c r="FD8463" s="26" t="inlineStr">
        <is>
          <t>LB-C1472 / LZPG-13|</t>
        </is>
      </c>
      <c r="FL8463" s="27" t="inlineStr">
        <is>
          <t>C</t>
        </is>
      </c>
      <c r="FP8463" s="27" t="inlineStr">
        <is>
          <t>C</t>
        </is>
      </c>
    </row>
    <row r="8464">
      <c r="FC8464" t="inlineStr">
        <is>
          <t>Diccionario 8</t>
        </is>
      </c>
      <c r="FD8464" s="26" t="inlineStr">
        <is>
          <t>LB-C1473 / LZPG-14|</t>
        </is>
      </c>
      <c r="FL8464" s="27" t="inlineStr">
        <is>
          <t>C</t>
        </is>
      </c>
      <c r="FP8464" s="27" t="inlineStr">
        <is>
          <t>C</t>
        </is>
      </c>
    </row>
    <row r="8465">
      <c r="FC8465" t="inlineStr">
        <is>
          <t>Diccionario 8</t>
        </is>
      </c>
      <c r="FD8465" s="26" t="inlineStr">
        <is>
          <t>RC-C1474 / LZPG-15|</t>
        </is>
      </c>
      <c r="FL8465" s="27" t="inlineStr">
        <is>
          <t>C</t>
        </is>
      </c>
      <c r="FP8465" s="27" t="inlineStr">
        <is>
          <t>C</t>
        </is>
      </c>
    </row>
    <row r="8466">
      <c r="FC8466" t="inlineStr">
        <is>
          <t>Diccionario 8</t>
        </is>
      </c>
      <c r="FD8466" s="26" t="inlineStr">
        <is>
          <t>RC-C1475 / LZPG-16|</t>
        </is>
      </c>
      <c r="FL8466" s="27" t="inlineStr">
        <is>
          <t>C</t>
        </is>
      </c>
      <c r="FP8466" s="27" t="inlineStr">
        <is>
          <t>C</t>
        </is>
      </c>
    </row>
    <row r="8467">
      <c r="FC8467" t="inlineStr">
        <is>
          <t>Diccionario 8</t>
        </is>
      </c>
      <c r="FD8467" s="26" t="inlineStr">
        <is>
          <t>LB-C1476 / LZPG-17|</t>
        </is>
      </c>
      <c r="FL8467" s="27" t="inlineStr">
        <is>
          <t>C</t>
        </is>
      </c>
      <c r="FP8467" s="27" t="inlineStr">
        <is>
          <t>C</t>
        </is>
      </c>
    </row>
    <row r="8468">
      <c r="FC8468" t="inlineStr">
        <is>
          <t>Diccionario 8</t>
        </is>
      </c>
      <c r="FD8468" s="26" t="inlineStr">
        <is>
          <t>LB-C1477 / LZPG-18|</t>
        </is>
      </c>
      <c r="FL8468" s="27" t="inlineStr">
        <is>
          <t>C</t>
        </is>
      </c>
      <c r="FP8468" s="27" t="inlineStr">
        <is>
          <t>C</t>
        </is>
      </c>
    </row>
    <row r="8469">
      <c r="FC8469" t="inlineStr">
        <is>
          <t>Diccionario 8</t>
        </is>
      </c>
      <c r="FD8469" s="26" t="inlineStr">
        <is>
          <t>LB-C1478 / LZPG-19|</t>
        </is>
      </c>
      <c r="FL8469" s="27" t="inlineStr">
        <is>
          <t>C</t>
        </is>
      </c>
      <c r="FP8469" s="27" t="inlineStr">
        <is>
          <t>C</t>
        </is>
      </c>
    </row>
    <row r="8470">
      <c r="FC8470" t="inlineStr">
        <is>
          <t>Diccionario 8</t>
        </is>
      </c>
      <c r="FD8470" s="26" t="inlineStr">
        <is>
          <t>LB-C1479 / LZPG-20|</t>
        </is>
      </c>
      <c r="FL8470" s="27" t="inlineStr">
        <is>
          <t>C</t>
        </is>
      </c>
      <c r="FP8470" s="27" t="inlineStr">
        <is>
          <t>C</t>
        </is>
      </c>
    </row>
    <row r="8471">
      <c r="FC8471" t="inlineStr">
        <is>
          <t>Diccionario 8</t>
        </is>
      </c>
      <c r="FD8471" s="26" t="inlineStr">
        <is>
          <t>LB-C1480 / LZPG-21|</t>
        </is>
      </c>
      <c r="FL8471" s="27" t="inlineStr">
        <is>
          <t>C</t>
        </is>
      </c>
      <c r="FP8471" s="27" t="inlineStr">
        <is>
          <t>C</t>
        </is>
      </c>
    </row>
    <row r="8472">
      <c r="FC8472" t="inlineStr">
        <is>
          <t>Diccionario 8</t>
        </is>
      </c>
      <c r="FD8472" s="26" t="inlineStr">
        <is>
          <t>LB-C1481 / LZPG-22|</t>
        </is>
      </c>
      <c r="FL8472" s="27" t="inlineStr">
        <is>
          <t>C</t>
        </is>
      </c>
      <c r="FP8472" s="27" t="inlineStr">
        <is>
          <t>C</t>
        </is>
      </c>
    </row>
    <row r="8473">
      <c r="FC8473" t="inlineStr">
        <is>
          <t>Diccionario 8</t>
        </is>
      </c>
      <c r="FD8473" s="26" t="inlineStr">
        <is>
          <t>RC-C1482 / LZPG-23|</t>
        </is>
      </c>
      <c r="FL8473" s="27" t="inlineStr">
        <is>
          <t>C</t>
        </is>
      </c>
      <c r="FP8473" s="27" t="inlineStr">
        <is>
          <t>C</t>
        </is>
      </c>
    </row>
    <row r="8474">
      <c r="FC8474" t="inlineStr">
        <is>
          <t>Diccionario 8</t>
        </is>
      </c>
      <c r="FD8474" s="26" t="inlineStr">
        <is>
          <t>LB-C1483 / LZPG-24|</t>
        </is>
      </c>
      <c r="FL8474" s="27" t="inlineStr">
        <is>
          <t>C</t>
        </is>
      </c>
      <c r="FP8474" s="27" t="inlineStr">
        <is>
          <t>C</t>
        </is>
      </c>
    </row>
    <row r="8475">
      <c r="FC8475" t="inlineStr">
        <is>
          <t>Diccionario 8</t>
        </is>
      </c>
      <c r="FD8475" s="26" t="inlineStr">
        <is>
          <t>LB-C1484 / LZPG-25|</t>
        </is>
      </c>
      <c r="FL8475" s="27" t="inlineStr">
        <is>
          <t>C</t>
        </is>
      </c>
      <c r="FP8475" s="27" t="inlineStr">
        <is>
          <t>C</t>
        </is>
      </c>
    </row>
    <row r="8476">
      <c r="FC8476" t="inlineStr">
        <is>
          <t>Diccionario 8</t>
        </is>
      </c>
      <c r="FD8476" s="26" t="inlineStr">
        <is>
          <t>LB-C1485 / LZPG-26|</t>
        </is>
      </c>
      <c r="FL8476" s="27" t="inlineStr">
        <is>
          <t>C</t>
        </is>
      </c>
      <c r="FP8476" s="27" t="inlineStr">
        <is>
          <t>C</t>
        </is>
      </c>
    </row>
    <row r="8477">
      <c r="FC8477" t="inlineStr">
        <is>
          <t>Diccionario 8</t>
        </is>
      </c>
      <c r="FD8477" s="26" t="inlineStr">
        <is>
          <t>LB-C1486 / LZPG-27|</t>
        </is>
      </c>
      <c r="FL8477" s="27" t="inlineStr">
        <is>
          <t>C</t>
        </is>
      </c>
      <c r="FP8477" s="27" t="inlineStr">
        <is>
          <t>C</t>
        </is>
      </c>
    </row>
    <row r="8478">
      <c r="FC8478" t="inlineStr">
        <is>
          <t>Diccionario 8</t>
        </is>
      </c>
      <c r="FD8478" s="26" t="inlineStr">
        <is>
          <t>RC-C1487 / LZPR-78|</t>
        </is>
      </c>
      <c r="FL8478" s="27" t="inlineStr">
        <is>
          <t>C</t>
        </is>
      </c>
      <c r="FP8478" s="27" t="inlineStr">
        <is>
          <t>C</t>
        </is>
      </c>
    </row>
    <row r="8479">
      <c r="FC8479" t="inlineStr">
        <is>
          <t>Diccionario 8</t>
        </is>
      </c>
      <c r="FD8479" s="26" t="inlineStr">
        <is>
          <t>RC-C1488 / LZPR-79|</t>
        </is>
      </c>
      <c r="FL8479" s="27" t="inlineStr">
        <is>
          <t>C</t>
        </is>
      </c>
      <c r="FP8479" s="27" t="inlineStr">
        <is>
          <t>C</t>
        </is>
      </c>
    </row>
    <row r="8480">
      <c r="FC8480" t="inlineStr">
        <is>
          <t>Diccionario 8</t>
        </is>
      </c>
      <c r="FD8480" s="26" t="inlineStr">
        <is>
          <t>RC-C1489 / LZPR-80|</t>
        </is>
      </c>
      <c r="FL8480" s="27" t="inlineStr">
        <is>
          <t>C</t>
        </is>
      </c>
      <c r="FP8480" s="27" t="inlineStr">
        <is>
          <t>C</t>
        </is>
      </c>
    </row>
    <row r="8481">
      <c r="FC8481" t="inlineStr">
        <is>
          <t>Diccionario 8</t>
        </is>
      </c>
      <c r="FD8481" s="26" t="inlineStr">
        <is>
          <t>RC-C1490 / LZPR-81|</t>
        </is>
      </c>
      <c r="FL8481" s="27" t="inlineStr">
        <is>
          <t>C</t>
        </is>
      </c>
      <c r="FP8481" s="27" t="inlineStr">
        <is>
          <t>C</t>
        </is>
      </c>
    </row>
    <row r="8482">
      <c r="FC8482" t="inlineStr">
        <is>
          <t>Diccionario 8</t>
        </is>
      </c>
      <c r="FD8482" s="26" t="inlineStr">
        <is>
          <t>RC-C1491 / LZPR-82|</t>
        </is>
      </c>
      <c r="FL8482" s="27" t="inlineStr">
        <is>
          <t>C</t>
        </is>
      </c>
      <c r="FP8482" s="27" t="inlineStr">
        <is>
          <t>C</t>
        </is>
      </c>
    </row>
    <row r="8483">
      <c r="FC8483" t="inlineStr">
        <is>
          <t>Diccionario 8</t>
        </is>
      </c>
      <c r="FD8483" s="26" t="inlineStr">
        <is>
          <t>RC-C1492 / LZPR-83|</t>
        </is>
      </c>
      <c r="FL8483" s="27" t="inlineStr">
        <is>
          <t>C</t>
        </is>
      </c>
      <c r="FP8483" s="27" t="inlineStr">
        <is>
          <t>C</t>
        </is>
      </c>
    </row>
    <row r="8484">
      <c r="FC8484" t="inlineStr">
        <is>
          <t>Diccionario 8</t>
        </is>
      </c>
      <c r="FD8484" s="26" t="inlineStr">
        <is>
          <t>RC-C1493 / LZPR-84|</t>
        </is>
      </c>
      <c r="FL8484" s="27" t="inlineStr">
        <is>
          <t>C</t>
        </is>
      </c>
      <c r="FP8484" s="27" t="inlineStr">
        <is>
          <t>C</t>
        </is>
      </c>
    </row>
    <row r="8485">
      <c r="FC8485" t="inlineStr">
        <is>
          <t>Diccionario 8</t>
        </is>
      </c>
      <c r="FD8485" s="26" t="inlineStr">
        <is>
          <t>RC-C1494 / LZPR-85|</t>
        </is>
      </c>
      <c r="FL8485" s="27" t="inlineStr">
        <is>
          <t>C</t>
        </is>
      </c>
      <c r="FP8485" s="27" t="inlineStr">
        <is>
          <t>C</t>
        </is>
      </c>
    </row>
    <row r="8486">
      <c r="FC8486" t="inlineStr">
        <is>
          <t>Diccionario 8</t>
        </is>
      </c>
      <c r="FD8486" s="26" t="inlineStr">
        <is>
          <t>RC-C1495 / LZPR-86|</t>
        </is>
      </c>
      <c r="FL8486" s="27" t="inlineStr">
        <is>
          <t>C</t>
        </is>
      </c>
      <c r="FP8486" s="27" t="inlineStr">
        <is>
          <t>C</t>
        </is>
      </c>
    </row>
    <row r="8487">
      <c r="FC8487" t="inlineStr">
        <is>
          <t>Diccionario 8</t>
        </is>
      </c>
      <c r="FD8487" s="26" t="inlineStr">
        <is>
          <t>RC-C1496 / LZPR-87|</t>
        </is>
      </c>
      <c r="FL8487" s="27" t="inlineStr">
        <is>
          <t>C</t>
        </is>
      </c>
      <c r="FP8487" s="27" t="inlineStr">
        <is>
          <t>C</t>
        </is>
      </c>
    </row>
    <row r="8488">
      <c r="FC8488" t="inlineStr">
        <is>
          <t>Diccionario 8</t>
        </is>
      </c>
      <c r="FD8488" s="26" t="inlineStr">
        <is>
          <t>RC-C1497 / LZPR-88|</t>
        </is>
      </c>
      <c r="FL8488" s="27" t="inlineStr">
        <is>
          <t>C</t>
        </is>
      </c>
      <c r="FP8488" s="27" t="inlineStr">
        <is>
          <t>C</t>
        </is>
      </c>
    </row>
    <row r="8489">
      <c r="FC8489" t="inlineStr">
        <is>
          <t>Diccionario 8</t>
        </is>
      </c>
      <c r="FD8489" s="26" t="inlineStr">
        <is>
          <t>RC-C1498 / LZPR-89|</t>
        </is>
      </c>
      <c r="FL8489" s="27" t="inlineStr">
        <is>
          <t>C</t>
        </is>
      </c>
      <c r="FP8489" s="27" t="inlineStr">
        <is>
          <t>C</t>
        </is>
      </c>
    </row>
    <row r="8490">
      <c r="FC8490" t="inlineStr">
        <is>
          <t>Diccionario 8</t>
        </is>
      </c>
      <c r="FD8490" s="26" t="inlineStr">
        <is>
          <t>RC-C1499 / LZPR-90|</t>
        </is>
      </c>
      <c r="FL8490" s="27" t="inlineStr">
        <is>
          <t>C</t>
        </is>
      </c>
      <c r="FP8490" s="27" t="inlineStr">
        <is>
          <t>C</t>
        </is>
      </c>
    </row>
    <row r="8491">
      <c r="FC8491" t="inlineStr">
        <is>
          <t>Diccionario 8</t>
        </is>
      </c>
      <c r="FD8491" s="26" t="inlineStr">
        <is>
          <t>RC-C1500 / LZPR-92|</t>
        </is>
      </c>
      <c r="FL8491" s="27" t="inlineStr">
        <is>
          <t>C</t>
        </is>
      </c>
      <c r="FP8491" s="27" t="inlineStr">
        <is>
          <t>C</t>
        </is>
      </c>
    </row>
    <row r="8492">
      <c r="FC8492" t="inlineStr">
        <is>
          <t>Diccionario 8</t>
        </is>
      </c>
      <c r="FD8492" s="26" t="inlineStr">
        <is>
          <t>RC-C1501 / LZPR-93|</t>
        </is>
      </c>
      <c r="FL8492" s="27" t="inlineStr">
        <is>
          <t>C</t>
        </is>
      </c>
      <c r="FP8492" s="27" t="inlineStr">
        <is>
          <t>C</t>
        </is>
      </c>
    </row>
    <row r="8493">
      <c r="FC8493" t="inlineStr">
        <is>
          <t>Diccionario 8</t>
        </is>
      </c>
      <c r="FD8493" s="26" t="inlineStr">
        <is>
          <t>RC-C1502 / LZPR-94|</t>
        </is>
      </c>
      <c r="FL8493" s="27" t="inlineStr">
        <is>
          <t>C</t>
        </is>
      </c>
      <c r="FP8493" s="27" t="inlineStr">
        <is>
          <t>C</t>
        </is>
      </c>
    </row>
    <row r="8494">
      <c r="FC8494" t="inlineStr">
        <is>
          <t>Diccionario 8</t>
        </is>
      </c>
      <c r="FD8494" s="26" t="inlineStr">
        <is>
          <t>RC-C1503 / LZPR-95|</t>
        </is>
      </c>
      <c r="FL8494" s="27" t="inlineStr">
        <is>
          <t>C</t>
        </is>
      </c>
      <c r="FP8494" s="27" t="inlineStr">
        <is>
          <t>C</t>
        </is>
      </c>
    </row>
    <row r="8495">
      <c r="FC8495" t="inlineStr">
        <is>
          <t>Diccionario 8</t>
        </is>
      </c>
      <c r="FD8495" s="26" t="inlineStr">
        <is>
          <t>RC-C1504 / LZPR-96|</t>
        </is>
      </c>
      <c r="FL8495" s="27" t="inlineStr">
        <is>
          <t>C</t>
        </is>
      </c>
      <c r="FP8495" s="27" t="inlineStr">
        <is>
          <t>C</t>
        </is>
      </c>
    </row>
    <row r="8496">
      <c r="FC8496" t="inlineStr">
        <is>
          <t>Diccionario 8</t>
        </is>
      </c>
      <c r="FD8496" s="26" t="inlineStr">
        <is>
          <t>RC-C1505 / LZPR-97|</t>
        </is>
      </c>
      <c r="FL8496" s="27" t="inlineStr">
        <is>
          <t>C</t>
        </is>
      </c>
      <c r="FP8496" s="27" t="inlineStr">
        <is>
          <t>C</t>
        </is>
      </c>
    </row>
    <row r="8497">
      <c r="FC8497" t="inlineStr">
        <is>
          <t>Diccionario 8</t>
        </is>
      </c>
      <c r="FD8497" s="26" t="inlineStr">
        <is>
          <t>RC-C1506 / LZPR-98|</t>
        </is>
      </c>
      <c r="FL8497" s="27" t="inlineStr">
        <is>
          <t>C</t>
        </is>
      </c>
      <c r="FP8497" s="27" t="inlineStr">
        <is>
          <t>C</t>
        </is>
      </c>
    </row>
    <row r="8498">
      <c r="FC8498" t="inlineStr">
        <is>
          <t>Diccionario 8</t>
        </is>
      </c>
      <c r="FD8498" s="26" t="inlineStr">
        <is>
          <t>RC-C1507 / LZPR-99|</t>
        </is>
      </c>
      <c r="FL8498" s="27" t="inlineStr">
        <is>
          <t>C</t>
        </is>
      </c>
      <c r="FP8498" s="27" t="inlineStr">
        <is>
          <t>C</t>
        </is>
      </c>
    </row>
    <row r="8499">
      <c r="FC8499" t="inlineStr">
        <is>
          <t>Diccionario 8</t>
        </is>
      </c>
      <c r="FD8499" s="26" t="inlineStr">
        <is>
          <t>RC-C1508 / LZPS-10|</t>
        </is>
      </c>
      <c r="FL8499" s="27" t="inlineStr">
        <is>
          <t>C</t>
        </is>
      </c>
      <c r="FP8499" s="27" t="inlineStr">
        <is>
          <t>C</t>
        </is>
      </c>
    </row>
    <row r="8500">
      <c r="FC8500" t="inlineStr">
        <is>
          <t>Diccionario 8</t>
        </is>
      </c>
      <c r="FD8500" s="26" t="inlineStr">
        <is>
          <t>RC-C1509 / LZPS-11|</t>
        </is>
      </c>
      <c r="FL8500" s="27" t="inlineStr">
        <is>
          <t>C</t>
        </is>
      </c>
      <c r="FP8500" s="27" t="inlineStr">
        <is>
          <t>C</t>
        </is>
      </c>
    </row>
    <row r="8501">
      <c r="FC8501" t="inlineStr">
        <is>
          <t>Diccionario 8</t>
        </is>
      </c>
      <c r="FD8501" s="26" t="inlineStr">
        <is>
          <t>RC-C1510 / LZPS-12|</t>
        </is>
      </c>
      <c r="FL8501" s="27" t="inlineStr">
        <is>
          <t>C</t>
        </is>
      </c>
      <c r="FP8501" s="27" t="inlineStr">
        <is>
          <t>C</t>
        </is>
      </c>
    </row>
    <row r="8502">
      <c r="FC8502" t="inlineStr">
        <is>
          <t>Diccionario 8</t>
        </is>
      </c>
      <c r="FD8502" s="26" t="inlineStr">
        <is>
          <t>RC-C1511 / LZPS-13|</t>
        </is>
      </c>
      <c r="FL8502" s="27" t="inlineStr">
        <is>
          <t>C</t>
        </is>
      </c>
      <c r="FP8502" s="27" t="inlineStr">
        <is>
          <t>C</t>
        </is>
      </c>
    </row>
    <row r="8503">
      <c r="FC8503" t="inlineStr">
        <is>
          <t>Diccionario 8</t>
        </is>
      </c>
      <c r="FD8503" s="26" t="inlineStr">
        <is>
          <t>RC-C1512 / LZPS-14|</t>
        </is>
      </c>
      <c r="FL8503" s="27" t="inlineStr">
        <is>
          <t>C</t>
        </is>
      </c>
      <c r="FP8503" s="27" t="inlineStr">
        <is>
          <t>C</t>
        </is>
      </c>
    </row>
    <row r="8504">
      <c r="FC8504" t="inlineStr">
        <is>
          <t>Diccionario 8</t>
        </is>
      </c>
      <c r="FD8504" s="26" t="inlineStr">
        <is>
          <t>RC-C1513 / LZPS-15|</t>
        </is>
      </c>
      <c r="FL8504" s="27" t="inlineStr">
        <is>
          <t>C</t>
        </is>
      </c>
      <c r="FP8504" s="27" t="inlineStr">
        <is>
          <t>C</t>
        </is>
      </c>
    </row>
    <row r="8505">
      <c r="FC8505" t="inlineStr">
        <is>
          <t>Diccionario 8</t>
        </is>
      </c>
      <c r="FD8505" s="26" t="inlineStr">
        <is>
          <t>RC-C1514 / LZPS-16|</t>
        </is>
      </c>
      <c r="FL8505" s="27" t="inlineStr">
        <is>
          <t>C</t>
        </is>
      </c>
      <c r="FP8505" s="27" t="inlineStr">
        <is>
          <t>C</t>
        </is>
      </c>
    </row>
    <row r="8506">
      <c r="FC8506" t="inlineStr">
        <is>
          <t>Diccionario 8</t>
        </is>
      </c>
      <c r="FD8506" s="26" t="inlineStr">
        <is>
          <t>RC-C1515 / LZPS-17|</t>
        </is>
      </c>
      <c r="FL8506" s="27" t="inlineStr">
        <is>
          <t>C</t>
        </is>
      </c>
      <c r="FP8506" s="27" t="inlineStr">
        <is>
          <t>C</t>
        </is>
      </c>
    </row>
    <row r="8507">
      <c r="FC8507" t="inlineStr">
        <is>
          <t>Diccionario 8</t>
        </is>
      </c>
      <c r="FD8507" s="26" t="inlineStr">
        <is>
          <t>SR-C1516 / LZPS-18|</t>
        </is>
      </c>
      <c r="FL8507" s="27" t="inlineStr">
        <is>
          <t>C</t>
        </is>
      </c>
      <c r="FP8507" s="27" t="inlineStr">
        <is>
          <t>C</t>
        </is>
      </c>
    </row>
    <row r="8508">
      <c r="FC8508" t="inlineStr">
        <is>
          <t>Diccionario 8</t>
        </is>
      </c>
      <c r="FD8508" s="26" t="inlineStr">
        <is>
          <t>RC-C1517 / LZPS-19|</t>
        </is>
      </c>
      <c r="FL8508" s="27" t="inlineStr">
        <is>
          <t>C</t>
        </is>
      </c>
      <c r="FP8508" s="27" t="inlineStr">
        <is>
          <t>C</t>
        </is>
      </c>
    </row>
    <row r="8509">
      <c r="FC8509" t="inlineStr">
        <is>
          <t>Diccionario 8</t>
        </is>
      </c>
      <c r="FD8509" s="26" t="inlineStr">
        <is>
          <t>SR-C1518 / LZPS-20|</t>
        </is>
      </c>
      <c r="FL8509" s="27" t="inlineStr">
        <is>
          <t>C</t>
        </is>
      </c>
      <c r="FP8509" s="27" t="inlineStr">
        <is>
          <t>C</t>
        </is>
      </c>
    </row>
    <row r="8510">
      <c r="FC8510" t="inlineStr">
        <is>
          <t>Diccionario 8</t>
        </is>
      </c>
      <c r="FD8510" s="26" t="inlineStr">
        <is>
          <t>RC-C1519 / LZPS-21|</t>
        </is>
      </c>
      <c r="FL8510" s="27" t="inlineStr">
        <is>
          <t>C</t>
        </is>
      </c>
      <c r="FP8510" s="27" t="inlineStr">
        <is>
          <t>C</t>
        </is>
      </c>
    </row>
    <row r="8511">
      <c r="FC8511" t="inlineStr">
        <is>
          <t>Diccionario 8</t>
        </is>
      </c>
      <c r="FD8511" s="26" t="inlineStr">
        <is>
          <t>SR-C1520 / LZPS-22|</t>
        </is>
      </c>
      <c r="FL8511" s="27" t="inlineStr">
        <is>
          <t>C</t>
        </is>
      </c>
      <c r="FP8511" s="27" t="inlineStr">
        <is>
          <t>C</t>
        </is>
      </c>
    </row>
    <row r="8512">
      <c r="FC8512" t="inlineStr">
        <is>
          <t>Diccionario 8</t>
        </is>
      </c>
      <c r="FD8512" s="26" t="inlineStr">
        <is>
          <t>RC-C1521 / LZPS-23|</t>
        </is>
      </c>
      <c r="FL8512" s="27" t="inlineStr">
        <is>
          <t>C</t>
        </is>
      </c>
      <c r="FP8512" s="27" t="inlineStr">
        <is>
          <t>C</t>
        </is>
      </c>
    </row>
    <row r="8513">
      <c r="FC8513" t="inlineStr">
        <is>
          <t>Diccionario 8</t>
        </is>
      </c>
      <c r="FD8513" s="26" t="inlineStr">
        <is>
          <t>SR-C1522 / LZPS-24|</t>
        </is>
      </c>
      <c r="FL8513" s="27" t="inlineStr">
        <is>
          <t>C</t>
        </is>
      </c>
      <c r="FP8513" s="27" t="inlineStr">
        <is>
          <t>C</t>
        </is>
      </c>
    </row>
    <row r="8514">
      <c r="FC8514" t="inlineStr">
        <is>
          <t>Diccionario 8</t>
        </is>
      </c>
      <c r="FD8514" s="26" t="inlineStr">
        <is>
          <t>RC-C1523 / LZPS-25|</t>
        </is>
      </c>
      <c r="FL8514" s="27" t="inlineStr">
        <is>
          <t>C</t>
        </is>
      </c>
      <c r="FP8514" s="27" t="inlineStr">
        <is>
          <t>C</t>
        </is>
      </c>
    </row>
    <row r="8515">
      <c r="FC8515" t="inlineStr">
        <is>
          <t>Diccionario 8</t>
        </is>
      </c>
      <c r="FD8515" s="26" t="inlineStr">
        <is>
          <t>SR-C1524 / LZPT-38|</t>
        </is>
      </c>
      <c r="FL8515" s="27" t="inlineStr">
        <is>
          <t>C</t>
        </is>
      </c>
      <c r="FP8515" s="27" t="inlineStr">
        <is>
          <t>C</t>
        </is>
      </c>
    </row>
    <row r="8516">
      <c r="FC8516" t="inlineStr">
        <is>
          <t>Diccionario 8</t>
        </is>
      </c>
      <c r="FD8516" s="26" t="inlineStr">
        <is>
          <t>SR-C1525 / LZPT-39|</t>
        </is>
      </c>
      <c r="FL8516" s="27" t="inlineStr">
        <is>
          <t>C</t>
        </is>
      </c>
      <c r="FP8516" s="27" t="inlineStr">
        <is>
          <t>C</t>
        </is>
      </c>
    </row>
    <row r="8517">
      <c r="FC8517" t="inlineStr">
        <is>
          <t>Diccionario 8</t>
        </is>
      </c>
      <c r="FD8517" s="26" t="inlineStr">
        <is>
          <t>SR-C1526 / LZPT-40|</t>
        </is>
      </c>
      <c r="FL8517" s="27" t="inlineStr">
        <is>
          <t>C</t>
        </is>
      </c>
      <c r="FP8517" s="27" t="inlineStr">
        <is>
          <t>C</t>
        </is>
      </c>
    </row>
    <row r="8518">
      <c r="FC8518" t="inlineStr">
        <is>
          <t>Diccionario 8</t>
        </is>
      </c>
      <c r="FD8518" s="26" t="inlineStr">
        <is>
          <t>SR-C1527 / LZPT-41|</t>
        </is>
      </c>
      <c r="FL8518" s="27" t="inlineStr">
        <is>
          <t>C</t>
        </is>
      </c>
      <c r="FP8518" s="27" t="inlineStr">
        <is>
          <t>C</t>
        </is>
      </c>
    </row>
    <row r="8519">
      <c r="FC8519" t="inlineStr">
        <is>
          <t>Diccionario 8</t>
        </is>
      </c>
      <c r="FD8519" s="26" t="inlineStr">
        <is>
          <t>SR-C1528 / LZPT-42|</t>
        </is>
      </c>
      <c r="FL8519" s="27" t="inlineStr">
        <is>
          <t>C</t>
        </is>
      </c>
      <c r="FP8519" s="27" t="inlineStr">
        <is>
          <t>C</t>
        </is>
      </c>
    </row>
    <row r="8520">
      <c r="FC8520" t="inlineStr">
        <is>
          <t>Diccionario 8</t>
        </is>
      </c>
      <c r="FD8520" s="26" t="inlineStr">
        <is>
          <t>RC-C1529 / LZPT-43|</t>
        </is>
      </c>
      <c r="FL8520" s="27" t="inlineStr">
        <is>
          <t>C</t>
        </is>
      </c>
      <c r="FP8520" s="27" t="inlineStr">
        <is>
          <t>C</t>
        </is>
      </c>
    </row>
    <row r="8521">
      <c r="FC8521" t="inlineStr">
        <is>
          <t>Diccionario 8</t>
        </is>
      </c>
      <c r="FD8521" s="26" t="inlineStr">
        <is>
          <t>RC-C1530 / LZPT-44|</t>
        </is>
      </c>
      <c r="FL8521" s="27" t="inlineStr">
        <is>
          <t>C</t>
        </is>
      </c>
      <c r="FP8521" s="27" t="inlineStr">
        <is>
          <t>C</t>
        </is>
      </c>
    </row>
    <row r="8522">
      <c r="FC8522" t="inlineStr">
        <is>
          <t>Diccionario 8</t>
        </is>
      </c>
      <c r="FD8522" s="26" t="inlineStr">
        <is>
          <t>SR-C1531 / LZPT-45|</t>
        </is>
      </c>
      <c r="FL8522" s="27" t="inlineStr">
        <is>
          <t>C</t>
        </is>
      </c>
      <c r="FP8522" s="27" t="inlineStr">
        <is>
          <t>C</t>
        </is>
      </c>
    </row>
    <row r="8523">
      <c r="FC8523" t="inlineStr">
        <is>
          <t>Diccionario 8</t>
        </is>
      </c>
      <c r="FD8523" s="26" t="inlineStr">
        <is>
          <t>RC-C1532 / LZPT-46|</t>
        </is>
      </c>
      <c r="FL8523" s="27" t="inlineStr">
        <is>
          <t>C</t>
        </is>
      </c>
      <c r="FP8523" s="27" t="inlineStr">
        <is>
          <t>C</t>
        </is>
      </c>
    </row>
    <row r="8524">
      <c r="FC8524" t="inlineStr">
        <is>
          <t>Diccionario 8</t>
        </is>
      </c>
      <c r="FD8524" s="26" t="inlineStr">
        <is>
          <t>RC-C1533 / LZPT-47|</t>
        </is>
      </c>
      <c r="FL8524" s="27" t="inlineStr">
        <is>
          <t>C</t>
        </is>
      </c>
      <c r="FP8524" s="27" t="inlineStr">
        <is>
          <t>C</t>
        </is>
      </c>
    </row>
    <row r="8525">
      <c r="FC8525" t="inlineStr">
        <is>
          <t>Diccionario 8</t>
        </is>
      </c>
      <c r="FD8525" s="26" t="inlineStr">
        <is>
          <t>RC-C1534 / LZPT-48|</t>
        </is>
      </c>
      <c r="FL8525" s="27" t="inlineStr">
        <is>
          <t>C</t>
        </is>
      </c>
      <c r="FP8525" s="27" t="inlineStr">
        <is>
          <t>C</t>
        </is>
      </c>
    </row>
    <row r="8526">
      <c r="FC8526" t="inlineStr">
        <is>
          <t>Diccionario 8</t>
        </is>
      </c>
      <c r="FD8526" s="26" t="inlineStr">
        <is>
          <t>SR-C1535 / LZPT-49|</t>
        </is>
      </c>
      <c r="FL8526" s="27" t="inlineStr">
        <is>
          <t>C</t>
        </is>
      </c>
      <c r="FP8526" s="27" t="inlineStr">
        <is>
          <t>C</t>
        </is>
      </c>
    </row>
    <row r="8527">
      <c r="FC8527" t="inlineStr">
        <is>
          <t>Diccionario 8</t>
        </is>
      </c>
      <c r="FD8527" s="26" t="inlineStr">
        <is>
          <t>RC-C1536 / LZPT-50|</t>
        </is>
      </c>
      <c r="FL8527" s="27" t="inlineStr">
        <is>
          <t>C</t>
        </is>
      </c>
      <c r="FP8527" s="27" t="inlineStr">
        <is>
          <t>C</t>
        </is>
      </c>
    </row>
    <row r="8528">
      <c r="FC8528" t="inlineStr">
        <is>
          <t>Diccionario 8</t>
        </is>
      </c>
      <c r="FD8528" s="26" t="inlineStr">
        <is>
          <t>SR-C1537 / LZPT-51|</t>
        </is>
      </c>
      <c r="FL8528" s="27" t="inlineStr">
        <is>
          <t>C</t>
        </is>
      </c>
      <c r="FP8528" s="27" t="inlineStr">
        <is>
          <t>C</t>
        </is>
      </c>
    </row>
    <row r="8529">
      <c r="FC8529" t="inlineStr">
        <is>
          <t>Diccionario 8</t>
        </is>
      </c>
      <c r="FD8529" s="26" t="inlineStr">
        <is>
          <t>RC-C1538 / LZPT-52|</t>
        </is>
      </c>
      <c r="FL8529" s="27" t="inlineStr">
        <is>
          <t>C</t>
        </is>
      </c>
      <c r="FP8529" s="27" t="inlineStr">
        <is>
          <t>C</t>
        </is>
      </c>
    </row>
    <row r="8530">
      <c r="FC8530" t="inlineStr">
        <is>
          <t>Diccionario 8</t>
        </is>
      </c>
      <c r="FD8530" s="26" t="inlineStr">
        <is>
          <t>SR-C1539 / LZPT-53|</t>
        </is>
      </c>
      <c r="FL8530" s="27" t="inlineStr">
        <is>
          <t>C</t>
        </is>
      </c>
      <c r="FP8530" s="27" t="inlineStr">
        <is>
          <t>C</t>
        </is>
      </c>
    </row>
    <row r="8531">
      <c r="FC8531" t="inlineStr">
        <is>
          <t>Diccionario 8</t>
        </is>
      </c>
      <c r="FD8531" s="26" t="inlineStr">
        <is>
          <t>SR-C1540 / LZPT-54|</t>
        </is>
      </c>
      <c r="FL8531" s="27" t="inlineStr">
        <is>
          <t>C</t>
        </is>
      </c>
      <c r="FP8531" s="27" t="inlineStr">
        <is>
          <t>C</t>
        </is>
      </c>
    </row>
    <row r="8532">
      <c r="FC8532" t="inlineStr">
        <is>
          <t>Diccionario 8</t>
        </is>
      </c>
      <c r="FD8532" s="26" t="inlineStr">
        <is>
          <t>SR-C1541 / LZPT-55|</t>
        </is>
      </c>
      <c r="FL8532" s="27" t="inlineStr">
        <is>
          <t>C</t>
        </is>
      </c>
      <c r="FP8532" s="27" t="inlineStr">
        <is>
          <t>C</t>
        </is>
      </c>
    </row>
    <row r="8533">
      <c r="FC8533" t="inlineStr">
        <is>
          <t>Diccionario 8</t>
        </is>
      </c>
      <c r="FD8533" s="26" t="inlineStr">
        <is>
          <t>SR-C1542 / LZPT-56|</t>
        </is>
      </c>
      <c r="FL8533" s="27" t="inlineStr">
        <is>
          <t>C</t>
        </is>
      </c>
      <c r="FP8533" s="27" t="inlineStr">
        <is>
          <t>C</t>
        </is>
      </c>
    </row>
    <row r="8534">
      <c r="FC8534" t="inlineStr">
        <is>
          <t>Diccionario 8</t>
        </is>
      </c>
      <c r="FD8534" s="26" t="inlineStr">
        <is>
          <t>SR-C1543 / LZPT-57|</t>
        </is>
      </c>
      <c r="FL8534" s="27" t="inlineStr">
        <is>
          <t>C</t>
        </is>
      </c>
      <c r="FP8534" s="27" t="inlineStr">
        <is>
          <t>C</t>
        </is>
      </c>
    </row>
    <row r="8535">
      <c r="FC8535" t="inlineStr">
        <is>
          <t>Diccionario 8</t>
        </is>
      </c>
      <c r="FD8535" s="26" t="inlineStr">
        <is>
          <t>SR-C1544 / LZPT-58|</t>
        </is>
      </c>
      <c r="FL8535" s="27" t="inlineStr">
        <is>
          <t>C</t>
        </is>
      </c>
      <c r="FP8535" s="27" t="inlineStr">
        <is>
          <t>C</t>
        </is>
      </c>
    </row>
    <row r="8536">
      <c r="FC8536" t="inlineStr">
        <is>
          <t>Diccionario 8</t>
        </is>
      </c>
      <c r="FD8536" s="26" t="inlineStr">
        <is>
          <t>SR-C1545 / LZPT-59|</t>
        </is>
      </c>
      <c r="FL8536" s="27" t="inlineStr">
        <is>
          <t>C</t>
        </is>
      </c>
      <c r="FP8536" s="27" t="inlineStr">
        <is>
          <t>C</t>
        </is>
      </c>
    </row>
    <row r="8537">
      <c r="FC8537" t="inlineStr">
        <is>
          <t>Diccionario 8</t>
        </is>
      </c>
      <c r="FD8537" s="26" t="inlineStr">
        <is>
          <t>SR-C1546 / LZPT-60|</t>
        </is>
      </c>
      <c r="FL8537" s="27" t="inlineStr">
        <is>
          <t>C</t>
        </is>
      </c>
      <c r="FP8537" s="27" t="inlineStr">
        <is>
          <t>C</t>
        </is>
      </c>
    </row>
    <row r="8538">
      <c r="FC8538" t="inlineStr">
        <is>
          <t>Diccionario 8</t>
        </is>
      </c>
      <c r="FD8538" s="26" t="inlineStr">
        <is>
          <t>SR-C1547 / LZPT-61|</t>
        </is>
      </c>
      <c r="FL8538" s="27" t="inlineStr">
        <is>
          <t>C</t>
        </is>
      </c>
      <c r="FP8538" s="27" t="inlineStr">
        <is>
          <t>C</t>
        </is>
      </c>
    </row>
    <row r="8539">
      <c r="FC8539" t="inlineStr">
        <is>
          <t>Diccionario 8</t>
        </is>
      </c>
      <c r="FD8539" s="26" t="inlineStr">
        <is>
          <t>SR-C1548 / LZPT-62|</t>
        </is>
      </c>
      <c r="FL8539" s="27" t="inlineStr">
        <is>
          <t>C</t>
        </is>
      </c>
      <c r="FP8539" s="27" t="inlineStr">
        <is>
          <t>C</t>
        </is>
      </c>
    </row>
    <row r="8540">
      <c r="FC8540" t="inlineStr">
        <is>
          <t>Diccionario 8</t>
        </is>
      </c>
      <c r="FD8540" s="26" t="inlineStr">
        <is>
          <t>SR-C1549 / LZPT-63|</t>
        </is>
      </c>
      <c r="FL8540" s="27" t="inlineStr">
        <is>
          <t>C</t>
        </is>
      </c>
      <c r="FP8540" s="27" t="inlineStr">
        <is>
          <t>C</t>
        </is>
      </c>
    </row>
    <row r="8541">
      <c r="FC8541" t="inlineStr">
        <is>
          <t>Diccionario 8</t>
        </is>
      </c>
      <c r="FD8541" s="26" t="inlineStr">
        <is>
          <t>SR-C1550 / LZPT-64|</t>
        </is>
      </c>
      <c r="FL8541" s="27" t="inlineStr">
        <is>
          <t>C</t>
        </is>
      </c>
      <c r="FP8541" s="27" t="inlineStr">
        <is>
          <t>C</t>
        </is>
      </c>
    </row>
    <row r="8542">
      <c r="FC8542" t="inlineStr">
        <is>
          <t>Diccionario 8</t>
        </is>
      </c>
      <c r="FD8542" s="26" t="inlineStr">
        <is>
          <t>SR-C1551 / LZPT-65|</t>
        </is>
      </c>
      <c r="FL8542" s="27" t="inlineStr">
        <is>
          <t>C</t>
        </is>
      </c>
      <c r="FP8542" s="27" t="inlineStr">
        <is>
          <t>C</t>
        </is>
      </c>
    </row>
    <row r="8543">
      <c r="FC8543" t="inlineStr">
        <is>
          <t>Diccionario 8</t>
        </is>
      </c>
      <c r="FD8543" s="26" t="inlineStr">
        <is>
          <t>SR-C1552 / LZPT-66|</t>
        </is>
      </c>
      <c r="FL8543" s="27" t="inlineStr">
        <is>
          <t>C</t>
        </is>
      </c>
      <c r="FP8543" s="27" t="inlineStr">
        <is>
          <t>C</t>
        </is>
      </c>
    </row>
    <row r="8544">
      <c r="FC8544" t="inlineStr">
        <is>
          <t>Diccionario 8</t>
        </is>
      </c>
      <c r="FD8544" s="26" t="inlineStr">
        <is>
          <t>SR-C1553 / LZPT-67|</t>
        </is>
      </c>
      <c r="FL8544" s="27" t="inlineStr">
        <is>
          <t>C</t>
        </is>
      </c>
      <c r="FP8544" s="27" t="inlineStr">
        <is>
          <t>C</t>
        </is>
      </c>
    </row>
    <row r="8545">
      <c r="FC8545" t="inlineStr">
        <is>
          <t>Diccionario 8</t>
        </is>
      </c>
      <c r="FD8545" s="26" t="inlineStr">
        <is>
          <t>SR-C1554 / LZPT-69|</t>
        </is>
      </c>
      <c r="FL8545" s="27" t="inlineStr">
        <is>
          <t>C</t>
        </is>
      </c>
      <c r="FP8545" s="27" t="inlineStr">
        <is>
          <t>C</t>
        </is>
      </c>
    </row>
    <row r="8546">
      <c r="FC8546" t="inlineStr">
        <is>
          <t>Diccionario 8</t>
        </is>
      </c>
      <c r="FD8546" s="26" t="inlineStr">
        <is>
          <t>SR-C1555 / LZPT-70|</t>
        </is>
      </c>
      <c r="FL8546" s="27" t="inlineStr">
        <is>
          <t>C</t>
        </is>
      </c>
      <c r="FP8546" s="27" t="inlineStr">
        <is>
          <t>C</t>
        </is>
      </c>
    </row>
    <row r="8547">
      <c r="FC8547" t="inlineStr">
        <is>
          <t>Diccionario 8</t>
        </is>
      </c>
      <c r="FD8547" s="26" t="inlineStr">
        <is>
          <t>SR-C1556 / LZPT-71|</t>
        </is>
      </c>
      <c r="FL8547" s="27" t="inlineStr">
        <is>
          <t>C</t>
        </is>
      </c>
      <c r="FP8547" s="27" t="inlineStr">
        <is>
          <t>C</t>
        </is>
      </c>
    </row>
    <row r="8548">
      <c r="FC8548" t="inlineStr">
        <is>
          <t>Diccionario 8</t>
        </is>
      </c>
      <c r="FD8548" s="26" t="inlineStr">
        <is>
          <t>SR-C1557 / LZPT-72|</t>
        </is>
      </c>
      <c r="FL8548" s="27" t="inlineStr">
        <is>
          <t>C</t>
        </is>
      </c>
      <c r="FP8548" s="27" t="inlineStr">
        <is>
          <t>C</t>
        </is>
      </c>
    </row>
    <row r="8549">
      <c r="FC8549" t="inlineStr">
        <is>
          <t>Diccionario 8</t>
        </is>
      </c>
      <c r="FD8549" s="26" t="inlineStr">
        <is>
          <t>SR-C1558 / LZPT-73|</t>
        </is>
      </c>
      <c r="FL8549" s="27" t="inlineStr">
        <is>
          <t>C</t>
        </is>
      </c>
      <c r="FP8549" s="27" t="inlineStr">
        <is>
          <t>C</t>
        </is>
      </c>
    </row>
    <row r="8550">
      <c r="FC8550" t="inlineStr">
        <is>
          <t>Diccionario 8</t>
        </is>
      </c>
      <c r="FD8550" s="26" t="inlineStr">
        <is>
          <t>SR-C1559 / LZPT-74|</t>
        </is>
      </c>
      <c r="FL8550" s="27" t="inlineStr">
        <is>
          <t>C</t>
        </is>
      </c>
      <c r="FP8550" s="27" t="inlineStr">
        <is>
          <t>C</t>
        </is>
      </c>
    </row>
    <row r="8551">
      <c r="FC8551" t="inlineStr">
        <is>
          <t>Diccionario 8</t>
        </is>
      </c>
      <c r="FD8551" s="26" t="inlineStr">
        <is>
          <t>SR-C1560 / LZPT-75|</t>
        </is>
      </c>
      <c r="FL8551" s="27" t="inlineStr">
        <is>
          <t>C</t>
        </is>
      </c>
      <c r="FP8551" s="27" t="inlineStr">
        <is>
          <t>C</t>
        </is>
      </c>
    </row>
    <row r="8552">
      <c r="FC8552" t="inlineStr">
        <is>
          <t>Diccionario 8</t>
        </is>
      </c>
      <c r="FD8552" s="26" t="inlineStr">
        <is>
          <t>SR-C1561 / LZPT-76|</t>
        </is>
      </c>
      <c r="FL8552" s="27" t="inlineStr">
        <is>
          <t>C</t>
        </is>
      </c>
      <c r="FP8552" s="27" t="inlineStr">
        <is>
          <t>C</t>
        </is>
      </c>
    </row>
    <row r="8553">
      <c r="FC8553" t="inlineStr">
        <is>
          <t>Diccionario 8</t>
        </is>
      </c>
      <c r="FD8553" s="26" t="inlineStr">
        <is>
          <t>SR-C1562 / LZPT-77|</t>
        </is>
      </c>
      <c r="FL8553" s="27" t="inlineStr">
        <is>
          <t>C</t>
        </is>
      </c>
      <c r="FP8553" s="27" t="inlineStr">
        <is>
          <t>C</t>
        </is>
      </c>
    </row>
    <row r="8554">
      <c r="FC8554" t="inlineStr">
        <is>
          <t>Diccionario 8</t>
        </is>
      </c>
      <c r="FD8554" s="26" t="inlineStr">
        <is>
          <t>RC-C1563 / LZPV-98|</t>
        </is>
      </c>
      <c r="FL8554" s="27" t="inlineStr">
        <is>
          <t>C</t>
        </is>
      </c>
      <c r="FP8554" s="27" t="inlineStr">
        <is>
          <t>C</t>
        </is>
      </c>
    </row>
    <row r="8555">
      <c r="FC8555" t="inlineStr">
        <is>
          <t>Diccionario 8</t>
        </is>
      </c>
      <c r="FD8555" s="26" t="inlineStr">
        <is>
          <t>SR-C1564 / LZPV-99|</t>
        </is>
      </c>
      <c r="FL8555" s="27" t="inlineStr">
        <is>
          <t>C</t>
        </is>
      </c>
      <c r="FP8555" s="27" t="inlineStr">
        <is>
          <t>C</t>
        </is>
      </c>
    </row>
    <row r="8556">
      <c r="FC8556" t="inlineStr">
        <is>
          <t>Diccionario 8</t>
        </is>
      </c>
      <c r="FD8556" s="26" t="inlineStr">
        <is>
          <t>SR-C1565 / LZPW-10|</t>
        </is>
      </c>
      <c r="FL8556" s="27" t="inlineStr">
        <is>
          <t>C</t>
        </is>
      </c>
      <c r="FP8556" s="27" t="inlineStr">
        <is>
          <t>C</t>
        </is>
      </c>
    </row>
    <row r="8557">
      <c r="FC8557" t="inlineStr">
        <is>
          <t>Diccionario 8</t>
        </is>
      </c>
      <c r="FD8557" s="26" t="inlineStr">
        <is>
          <t>SR-C1566 / LZPW-11|</t>
        </is>
      </c>
      <c r="FL8557" s="27" t="inlineStr">
        <is>
          <t>C</t>
        </is>
      </c>
      <c r="FP8557" s="27" t="inlineStr">
        <is>
          <t>C</t>
        </is>
      </c>
    </row>
    <row r="8558">
      <c r="FC8558" t="inlineStr">
        <is>
          <t>Diccionario 8</t>
        </is>
      </c>
      <c r="FD8558" s="26" t="inlineStr">
        <is>
          <t>SR-C1567 / LZPW-12|</t>
        </is>
      </c>
      <c r="FL8558" s="27" t="inlineStr">
        <is>
          <t>C</t>
        </is>
      </c>
      <c r="FP8558" s="27" t="inlineStr">
        <is>
          <t>C</t>
        </is>
      </c>
    </row>
    <row r="8559">
      <c r="FC8559" t="inlineStr">
        <is>
          <t>Diccionario 8</t>
        </is>
      </c>
      <c r="FD8559" s="26" t="inlineStr">
        <is>
          <t>SR-C1568 / LZPW-13|</t>
        </is>
      </c>
      <c r="FL8559" s="27" t="inlineStr">
        <is>
          <t>C</t>
        </is>
      </c>
      <c r="FP8559" s="27" t="inlineStr">
        <is>
          <t>C</t>
        </is>
      </c>
    </row>
    <row r="8560">
      <c r="FC8560" t="inlineStr">
        <is>
          <t>Diccionario 8</t>
        </is>
      </c>
      <c r="FD8560" s="26" t="inlineStr">
        <is>
          <t>RC-C1569 / LZPW-14|</t>
        </is>
      </c>
      <c r="FL8560" s="27" t="inlineStr">
        <is>
          <t>C</t>
        </is>
      </c>
      <c r="FP8560" s="27" t="inlineStr">
        <is>
          <t>C</t>
        </is>
      </c>
    </row>
    <row r="8561">
      <c r="FC8561" t="inlineStr">
        <is>
          <t>Diccionario 8</t>
        </is>
      </c>
      <c r="FD8561" s="26" t="inlineStr">
        <is>
          <t>SR-C1570 / LZPW-15|</t>
        </is>
      </c>
      <c r="FL8561" s="27" t="inlineStr">
        <is>
          <t>C</t>
        </is>
      </c>
      <c r="FP8561" s="27" t="inlineStr">
        <is>
          <t>C</t>
        </is>
      </c>
    </row>
    <row r="8562">
      <c r="FC8562" t="inlineStr">
        <is>
          <t>Diccionario 8</t>
        </is>
      </c>
      <c r="FD8562" s="26" t="inlineStr">
        <is>
          <t>SR-C1571 / LZPW-16|</t>
        </is>
      </c>
      <c r="FL8562" s="27" t="inlineStr">
        <is>
          <t>C</t>
        </is>
      </c>
      <c r="FP8562" s="27" t="inlineStr">
        <is>
          <t>C</t>
        </is>
      </c>
    </row>
    <row r="8563">
      <c r="FC8563" t="inlineStr">
        <is>
          <t>Diccionario 8</t>
        </is>
      </c>
      <c r="FD8563" s="26" t="inlineStr">
        <is>
          <t>SR-C1572 / LZPW-17|</t>
        </is>
      </c>
      <c r="FL8563" s="27" t="inlineStr">
        <is>
          <t>C</t>
        </is>
      </c>
      <c r="FP8563" s="27" t="inlineStr">
        <is>
          <t>C</t>
        </is>
      </c>
    </row>
    <row r="8564">
      <c r="FC8564" t="inlineStr">
        <is>
          <t>Diccionario 8</t>
        </is>
      </c>
      <c r="FD8564" s="26" t="inlineStr">
        <is>
          <t>SR-C1573 / LZPW-18|</t>
        </is>
      </c>
      <c r="FL8564" s="27" t="inlineStr">
        <is>
          <t>C</t>
        </is>
      </c>
      <c r="FP8564" s="27" t="inlineStr">
        <is>
          <t>C</t>
        </is>
      </c>
    </row>
    <row r="8565">
      <c r="FC8565" t="inlineStr">
        <is>
          <t>Diccionario 8</t>
        </is>
      </c>
      <c r="FD8565" s="26" t="inlineStr">
        <is>
          <t>SR-C1574 / LZPW-19|</t>
        </is>
      </c>
      <c r="FL8565" s="27" t="inlineStr">
        <is>
          <t>C</t>
        </is>
      </c>
      <c r="FP8565" s="27" t="inlineStr">
        <is>
          <t>C</t>
        </is>
      </c>
    </row>
    <row r="8566">
      <c r="FC8566" t="inlineStr">
        <is>
          <t>Diccionario 8</t>
        </is>
      </c>
      <c r="FD8566" s="26" t="inlineStr">
        <is>
          <t>SR-C1575 / LZPW-20|</t>
        </is>
      </c>
      <c r="FL8566" s="27" t="inlineStr">
        <is>
          <t>C</t>
        </is>
      </c>
      <c r="FP8566" s="27" t="inlineStr">
        <is>
          <t>C</t>
        </is>
      </c>
    </row>
    <row r="8567">
      <c r="FC8567" t="inlineStr">
        <is>
          <t>Diccionario 8</t>
        </is>
      </c>
      <c r="FD8567" s="26" t="inlineStr">
        <is>
          <t>SR-C1576 / LZPW-21|</t>
        </is>
      </c>
      <c r="FL8567" s="27" t="inlineStr">
        <is>
          <t>C</t>
        </is>
      </c>
      <c r="FP8567" s="27" t="inlineStr">
        <is>
          <t>C</t>
        </is>
      </c>
    </row>
    <row r="8568">
      <c r="FC8568" t="inlineStr">
        <is>
          <t>Diccionario 8</t>
        </is>
      </c>
      <c r="FD8568" s="26" t="inlineStr">
        <is>
          <t>SR-C1577 / LZPW-22|</t>
        </is>
      </c>
      <c r="FL8568" s="27" t="inlineStr">
        <is>
          <t>C</t>
        </is>
      </c>
      <c r="FP8568" s="27" t="inlineStr">
        <is>
          <t>C</t>
        </is>
      </c>
    </row>
    <row r="8569">
      <c r="FC8569" t="inlineStr">
        <is>
          <t>Diccionario 8</t>
        </is>
      </c>
      <c r="FD8569" s="26" t="inlineStr">
        <is>
          <t>RC-C1578 / LZRB-82|</t>
        </is>
      </c>
      <c r="FL8569" s="27" t="inlineStr">
        <is>
          <t>C</t>
        </is>
      </c>
      <c r="FP8569" s="27" t="inlineStr">
        <is>
          <t>C</t>
        </is>
      </c>
    </row>
    <row r="8570">
      <c r="FC8570" t="inlineStr">
        <is>
          <t>Diccionario 8</t>
        </is>
      </c>
      <c r="FD8570" s="26" t="inlineStr">
        <is>
          <t>SR-C1579 / LZRB-83|</t>
        </is>
      </c>
      <c r="FL8570" s="27" t="inlineStr">
        <is>
          <t>C</t>
        </is>
      </c>
      <c r="FP8570" s="27" t="inlineStr">
        <is>
          <t>C</t>
        </is>
      </c>
    </row>
    <row r="8571">
      <c r="FC8571" t="inlineStr">
        <is>
          <t>Diccionario 8</t>
        </is>
      </c>
      <c r="FD8571" s="26" t="inlineStr">
        <is>
          <t>SR-C1580 / LZRB-84|</t>
        </is>
      </c>
      <c r="FL8571" s="27" t="inlineStr">
        <is>
          <t>C</t>
        </is>
      </c>
      <c r="FP8571" s="27" t="inlineStr">
        <is>
          <t>C</t>
        </is>
      </c>
    </row>
    <row r="8572">
      <c r="FC8572" t="inlineStr">
        <is>
          <t>Diccionario 8</t>
        </is>
      </c>
      <c r="FD8572" s="26" t="inlineStr">
        <is>
          <t>SR-C1581 / LZRB-85|</t>
        </is>
      </c>
      <c r="FL8572" s="27" t="inlineStr">
        <is>
          <t>C</t>
        </is>
      </c>
      <c r="FP8572" s="27" t="inlineStr">
        <is>
          <t>C</t>
        </is>
      </c>
    </row>
    <row r="8573">
      <c r="FC8573" t="inlineStr">
        <is>
          <t>Diccionario 8</t>
        </is>
      </c>
      <c r="FD8573" s="26" t="inlineStr">
        <is>
          <t>SR-C1582 / LZRB-86|</t>
        </is>
      </c>
      <c r="FL8573" s="27" t="inlineStr">
        <is>
          <t>C</t>
        </is>
      </c>
      <c r="FP8573" s="27" t="inlineStr">
        <is>
          <t>C</t>
        </is>
      </c>
    </row>
    <row r="8574">
      <c r="FC8574" t="inlineStr">
        <is>
          <t>Diccionario 8</t>
        </is>
      </c>
      <c r="FD8574" s="26" t="inlineStr">
        <is>
          <t>SR-C1583 / LZRB-87|</t>
        </is>
      </c>
      <c r="FL8574" s="27" t="inlineStr">
        <is>
          <t>C</t>
        </is>
      </c>
      <c r="FP8574" s="27" t="inlineStr">
        <is>
          <t>C</t>
        </is>
      </c>
    </row>
    <row r="8575">
      <c r="FC8575" t="inlineStr">
        <is>
          <t>Diccionario 8</t>
        </is>
      </c>
      <c r="FD8575" s="26" t="inlineStr">
        <is>
          <t>SR-C1584 / LZRB-88|</t>
        </is>
      </c>
      <c r="FL8575" s="27" t="inlineStr">
        <is>
          <t>C</t>
        </is>
      </c>
      <c r="FP8575" s="27" t="inlineStr">
        <is>
          <t>C</t>
        </is>
      </c>
    </row>
    <row r="8576">
      <c r="FC8576" t="inlineStr">
        <is>
          <t>Diccionario 8</t>
        </is>
      </c>
      <c r="FD8576" s="26" t="inlineStr">
        <is>
          <t>DC-B3033 / SFVZ-29|</t>
        </is>
      </c>
      <c r="FL8576" s="27" t="inlineStr">
        <is>
          <t>B</t>
        </is>
      </c>
      <c r="FP8576" s="27" t="inlineStr">
        <is>
          <t>B</t>
        </is>
      </c>
    </row>
    <row r="8577">
      <c r="FC8577" t="inlineStr">
        <is>
          <t>Diccionario 8</t>
        </is>
      </c>
      <c r="FD8577" s="26" t="inlineStr">
        <is>
          <t>DC-B3047 / SFVZ-39|</t>
        </is>
      </c>
      <c r="FL8577" s="27" t="inlineStr">
        <is>
          <t>B</t>
        </is>
      </c>
      <c r="FP8577" s="27" t="inlineStr">
        <is>
          <t>B</t>
        </is>
      </c>
    </row>
    <row r="8578">
      <c r="FC8578" t="inlineStr">
        <is>
          <t>Diccionario 8</t>
        </is>
      </c>
      <c r="FD8578" s="26" t="inlineStr">
        <is>
          <t>SR-B3065 / SFVZ-40|</t>
        </is>
      </c>
      <c r="FL8578" s="27" t="inlineStr">
        <is>
          <t>B</t>
        </is>
      </c>
      <c r="FP8578" s="27" t="inlineStr">
        <is>
          <t>B</t>
        </is>
      </c>
    </row>
    <row r="8579">
      <c r="FC8579" t="inlineStr">
        <is>
          <t>Diccionario 8</t>
        </is>
      </c>
      <c r="FD8579" s="26" t="inlineStr">
        <is>
          <t>SR-B3025 / SFVZ-44|</t>
        </is>
      </c>
      <c r="FL8579" s="27" t="inlineStr">
        <is>
          <t>B</t>
        </is>
      </c>
      <c r="FP8579" s="27" t="inlineStr">
        <is>
          <t>B</t>
        </is>
      </c>
    </row>
    <row r="8580">
      <c r="FC8580" t="inlineStr">
        <is>
          <t>Diccionario 8</t>
        </is>
      </c>
      <c r="FD8580" s="26" t="inlineStr">
        <is>
          <t>SR-B3041 / SFVZ-49|</t>
        </is>
      </c>
      <c r="FL8580" s="27" t="inlineStr">
        <is>
          <t>B</t>
        </is>
      </c>
      <c r="FP8580" s="27" t="inlineStr">
        <is>
          <t>B</t>
        </is>
      </c>
    </row>
    <row r="8581">
      <c r="FC8581" t="inlineStr">
        <is>
          <t>Diccionario 8</t>
        </is>
      </c>
      <c r="FD8581" s="26" t="inlineStr">
        <is>
          <t>SR-B3042 / SFVZ-56|</t>
        </is>
      </c>
      <c r="FL8581" s="27" t="inlineStr">
        <is>
          <t>B</t>
        </is>
      </c>
      <c r="FP8581" s="27" t="inlineStr">
        <is>
          <t>B</t>
        </is>
      </c>
    </row>
    <row r="8582">
      <c r="FC8582" t="inlineStr">
        <is>
          <t>Diccionario 8</t>
        </is>
      </c>
      <c r="FD8582" s="26" t="inlineStr">
        <is>
          <t>LB-B1591 / SFVZ-60|</t>
        </is>
      </c>
      <c r="FL8582" s="27" t="inlineStr">
        <is>
          <t>B</t>
        </is>
      </c>
      <c r="FP8582" s="27" t="inlineStr">
        <is>
          <t>B</t>
        </is>
      </c>
    </row>
    <row r="8583">
      <c r="FC8583" t="inlineStr">
        <is>
          <t>Diccionario 8</t>
        </is>
      </c>
      <c r="FD8583" s="26" t="inlineStr">
        <is>
          <t>SR-B3015 / SFVZ-63|</t>
        </is>
      </c>
      <c r="FL8583" s="27" t="inlineStr">
        <is>
          <t>B</t>
        </is>
      </c>
      <c r="FP8583" s="27" t="inlineStr">
        <is>
          <t>B</t>
        </is>
      </c>
    </row>
    <row r="8584">
      <c r="FC8584" t="inlineStr">
        <is>
          <t>Diccionario 8</t>
        </is>
      </c>
      <c r="FD8584" s="26" t="inlineStr">
        <is>
          <t>SR-B3044 / SFVZ-67|</t>
        </is>
      </c>
      <c r="FL8584" s="27" t="inlineStr">
        <is>
          <t>B</t>
        </is>
      </c>
      <c r="FP8584" s="27" t="inlineStr">
        <is>
          <t>B</t>
        </is>
      </c>
    </row>
    <row r="8585">
      <c r="FC8585" t="inlineStr">
        <is>
          <t>Diccionario 8</t>
        </is>
      </c>
      <c r="FD8585" s="26" t="inlineStr">
        <is>
          <t>SR-B1594 / SFVZ-70|</t>
        </is>
      </c>
      <c r="FL8585" s="27" t="inlineStr">
        <is>
          <t>B</t>
        </is>
      </c>
      <c r="FP8585" s="27" t="inlineStr">
        <is>
          <t>B</t>
        </is>
      </c>
    </row>
    <row r="8586">
      <c r="FC8586" t="inlineStr">
        <is>
          <t>Diccionario 8</t>
        </is>
      </c>
      <c r="FD8586" s="26" t="inlineStr">
        <is>
          <t>SR-B3051 / SFVZ-80|</t>
        </is>
      </c>
      <c r="FL8586" s="27" t="inlineStr">
        <is>
          <t>B</t>
        </is>
      </c>
      <c r="FP8586" s="27" t="inlineStr">
        <is>
          <t>B</t>
        </is>
      </c>
    </row>
    <row r="8587">
      <c r="FC8587" t="inlineStr">
        <is>
          <t>Diccionario 8</t>
        </is>
      </c>
      <c r="FD8587" s="26" t="inlineStr">
        <is>
          <t>SR-B3026 / SFVZ-81|</t>
        </is>
      </c>
      <c r="FL8587" s="27" t="inlineStr">
        <is>
          <t>B</t>
        </is>
      </c>
      <c r="FP8587" s="27" t="inlineStr">
        <is>
          <t>B</t>
        </is>
      </c>
    </row>
    <row r="8588">
      <c r="FC8588" t="inlineStr">
        <is>
          <t>Diccionario 8</t>
        </is>
      </c>
      <c r="FD8588" s="26" t="inlineStr">
        <is>
          <t>SR-B3027 / SFVZ-85|</t>
        </is>
      </c>
      <c r="FL8588" s="27" t="inlineStr">
        <is>
          <t>B</t>
        </is>
      </c>
      <c r="FP8588" s="27" t="inlineStr">
        <is>
          <t>B</t>
        </is>
      </c>
    </row>
    <row r="8589">
      <c r="FC8589" t="inlineStr">
        <is>
          <t>Diccionario 8</t>
        </is>
      </c>
      <c r="FD8589" s="26" t="inlineStr">
        <is>
          <t>SR-B3052 / SFVZ-86|</t>
        </is>
      </c>
      <c r="FL8589" s="27" t="inlineStr">
        <is>
          <t>B</t>
        </is>
      </c>
      <c r="FP8589" s="27" t="inlineStr">
        <is>
          <t>B</t>
        </is>
      </c>
    </row>
    <row r="8590">
      <c r="FC8590" t="inlineStr">
        <is>
          <t>Diccionario 8</t>
        </is>
      </c>
      <c r="FD8590" s="26" t="inlineStr">
        <is>
          <t>LB-B3009 / SFVZ-87|</t>
        </is>
      </c>
      <c r="FL8590" s="27" t="inlineStr">
        <is>
          <t>B</t>
        </is>
      </c>
      <c r="FP8590" s="27" t="inlineStr">
        <is>
          <t>B</t>
        </is>
      </c>
    </row>
    <row r="8591">
      <c r="FC8591" t="inlineStr">
        <is>
          <t>Diccionario 8</t>
        </is>
      </c>
      <c r="FD8591" s="26" t="inlineStr">
        <is>
          <t>RC-B3006 / SFVZ-94|</t>
        </is>
      </c>
      <c r="FL8591" s="27" t="inlineStr">
        <is>
          <t>B</t>
        </is>
      </c>
      <c r="FP8591" s="27" t="inlineStr">
        <is>
          <t>B</t>
        </is>
      </c>
    </row>
    <row r="8592">
      <c r="FC8592" t="inlineStr">
        <is>
          <t>Diccionario 8</t>
        </is>
      </c>
      <c r="FD8592" s="26" t="inlineStr">
        <is>
          <t>SR-B3048 / SFVZ-96|</t>
        </is>
      </c>
      <c r="FL8592" s="27" t="inlineStr">
        <is>
          <t>B</t>
        </is>
      </c>
      <c r="FP8592" s="27" t="inlineStr">
        <is>
          <t>B</t>
        </is>
      </c>
    </row>
    <row r="8593">
      <c r="FC8593" t="inlineStr">
        <is>
          <t>Diccionario 8</t>
        </is>
      </c>
      <c r="FD8593" s="26" t="inlineStr">
        <is>
          <t>RC-B3066 / SFWB-10|</t>
        </is>
      </c>
      <c r="FL8593" s="27" t="inlineStr">
        <is>
          <t>B</t>
        </is>
      </c>
      <c r="FP8593" s="27" t="inlineStr">
        <is>
          <t>B</t>
        </is>
      </c>
    </row>
    <row r="8594">
      <c r="FC8594" t="inlineStr">
        <is>
          <t>Diccionario 8</t>
        </is>
      </c>
      <c r="FD8594" s="26" t="inlineStr">
        <is>
          <t>SR-B3060 / SFWB-14|</t>
        </is>
      </c>
      <c r="FL8594" s="27" t="inlineStr">
        <is>
          <t>B</t>
        </is>
      </c>
      <c r="FP8594" s="27" t="inlineStr">
        <is>
          <t>B</t>
        </is>
      </c>
    </row>
    <row r="8595">
      <c r="FC8595" t="inlineStr">
        <is>
          <t>Diccionario 8</t>
        </is>
      </c>
      <c r="FD8595" s="26" t="inlineStr">
        <is>
          <t>RC-B3057 / SFWB-16|</t>
        </is>
      </c>
      <c r="FL8595" s="27" t="inlineStr">
        <is>
          <t>B</t>
        </is>
      </c>
      <c r="FP8595" s="27" t="inlineStr">
        <is>
          <t>B</t>
        </is>
      </c>
    </row>
    <row r="8596">
      <c r="FC8596" t="inlineStr">
        <is>
          <t>Diccionario 8</t>
        </is>
      </c>
      <c r="FD8596" s="26" t="inlineStr">
        <is>
          <t>SR-B3053 / SFWB-21|</t>
        </is>
      </c>
      <c r="FL8596" s="27" t="inlineStr">
        <is>
          <t>B</t>
        </is>
      </c>
      <c r="FP8596" s="27" t="inlineStr">
        <is>
          <t>B</t>
        </is>
      </c>
    </row>
    <row r="8597">
      <c r="FC8597" t="inlineStr">
        <is>
          <t>Diccionario 8</t>
        </is>
      </c>
      <c r="FD8597" s="26" t="inlineStr">
        <is>
          <t>SR-B3054 / SFWB-24|</t>
        </is>
      </c>
      <c r="FL8597" s="27" t="inlineStr">
        <is>
          <t>B</t>
        </is>
      </c>
      <c r="FP8597" s="27" t="inlineStr">
        <is>
          <t>B</t>
        </is>
      </c>
    </row>
    <row r="8598">
      <c r="FC8598" t="inlineStr">
        <is>
          <t>Diccionario 8</t>
        </is>
      </c>
      <c r="FD8598" s="26" t="inlineStr">
        <is>
          <t>SR-B3016 / SFWB-28|</t>
        </is>
      </c>
      <c r="FL8598" s="27" t="inlineStr">
        <is>
          <t>B</t>
        </is>
      </c>
      <c r="FP8598" s="27" t="inlineStr">
        <is>
          <t>B</t>
        </is>
      </c>
    </row>
    <row r="8599">
      <c r="FC8599" t="inlineStr">
        <is>
          <t>Diccionario 8</t>
        </is>
      </c>
      <c r="FD8599" s="26" t="inlineStr">
        <is>
          <t>SR-B3017 / SFWB-29|</t>
        </is>
      </c>
      <c r="FL8599" s="27" t="inlineStr">
        <is>
          <t>B</t>
        </is>
      </c>
      <c r="FP8599" s="27" t="inlineStr">
        <is>
          <t>B</t>
        </is>
      </c>
    </row>
    <row r="8600">
      <c r="FC8600" t="inlineStr">
        <is>
          <t>Diccionario 8</t>
        </is>
      </c>
      <c r="FD8600" s="26" t="inlineStr">
        <is>
          <t>RC-B3022 / SFWB-31|</t>
        </is>
      </c>
      <c r="FL8600" s="27" t="inlineStr">
        <is>
          <t>B</t>
        </is>
      </c>
      <c r="FP8600" s="27" t="inlineStr">
        <is>
          <t>B</t>
        </is>
      </c>
    </row>
    <row r="8601">
      <c r="FC8601" t="inlineStr">
        <is>
          <t>Diccionario 8</t>
        </is>
      </c>
      <c r="FD8601" s="26" t="inlineStr">
        <is>
          <t>SR-B3023 / SFWB-33|</t>
        </is>
      </c>
      <c r="FL8601" s="27" t="inlineStr">
        <is>
          <t>B</t>
        </is>
      </c>
      <c r="FP8601" s="27" t="inlineStr">
        <is>
          <t>B</t>
        </is>
      </c>
    </row>
    <row r="8602">
      <c r="FC8602" t="inlineStr">
        <is>
          <t>Diccionario 8</t>
        </is>
      </c>
      <c r="FD8602" s="26" t="inlineStr">
        <is>
          <t>RC-B1611 / SFWB-35|</t>
        </is>
      </c>
      <c r="FL8602" s="27" t="inlineStr">
        <is>
          <t>B</t>
        </is>
      </c>
      <c r="FP8602" s="27" t="inlineStr">
        <is>
          <t>B</t>
        </is>
      </c>
    </row>
    <row r="8603">
      <c r="FC8603" t="inlineStr">
        <is>
          <t>Diccionario 8</t>
        </is>
      </c>
      <c r="FD8603" s="26" t="inlineStr">
        <is>
          <t>SR-B1612 / SFWB-42|</t>
        </is>
      </c>
      <c r="FL8603" s="27" t="inlineStr">
        <is>
          <t>B</t>
        </is>
      </c>
      <c r="FP8603" s="27" t="inlineStr">
        <is>
          <t>B</t>
        </is>
      </c>
    </row>
    <row r="8604">
      <c r="FC8604" t="inlineStr">
        <is>
          <t>Diccionario 8</t>
        </is>
      </c>
      <c r="FD8604" s="26" t="inlineStr">
        <is>
          <t>SR-B3019 / SFWB-44|</t>
        </is>
      </c>
      <c r="FL8604" s="27" t="inlineStr">
        <is>
          <t>B</t>
        </is>
      </c>
      <c r="FP8604" s="27" t="inlineStr">
        <is>
          <t>B</t>
        </is>
      </c>
    </row>
    <row r="8605">
      <c r="FC8605" t="inlineStr">
        <is>
          <t>Diccionario 8</t>
        </is>
      </c>
      <c r="FD8605" s="26" t="inlineStr">
        <is>
          <t>SR-B3011 / SFWB-46|</t>
        </is>
      </c>
      <c r="FL8605" s="27" t="inlineStr">
        <is>
          <t>B</t>
        </is>
      </c>
      <c r="FP8605" s="27" t="inlineStr">
        <is>
          <t>B</t>
        </is>
      </c>
    </row>
    <row r="8606">
      <c r="FC8606" t="inlineStr">
        <is>
          <t>Diccionario 8</t>
        </is>
      </c>
      <c r="FD8606" s="26" t="inlineStr">
        <is>
          <t>SR-B3045 / SFWB-48|</t>
        </is>
      </c>
      <c r="FL8606" s="27" t="inlineStr">
        <is>
          <t>B</t>
        </is>
      </c>
      <c r="FP8606" s="27" t="inlineStr">
        <is>
          <t>B</t>
        </is>
      </c>
    </row>
    <row r="8607">
      <c r="FC8607" t="inlineStr">
        <is>
          <t>Diccionario 8</t>
        </is>
      </c>
      <c r="FD8607" s="26" t="inlineStr">
        <is>
          <t>RC-B3007 / SFWB-50|</t>
        </is>
      </c>
      <c r="FL8607" s="27" t="inlineStr">
        <is>
          <t>B</t>
        </is>
      </c>
      <c r="FP8607" s="27" t="inlineStr">
        <is>
          <t>B</t>
        </is>
      </c>
    </row>
    <row r="8608">
      <c r="FC8608" t="inlineStr">
        <is>
          <t>Diccionario 8</t>
        </is>
      </c>
      <c r="FD8608" s="26" t="inlineStr">
        <is>
          <t>SR-B3055 / SFWB-51|</t>
        </is>
      </c>
      <c r="FL8608" s="27" t="inlineStr">
        <is>
          <t>B</t>
        </is>
      </c>
      <c r="FP8608" s="27" t="inlineStr">
        <is>
          <t>B</t>
        </is>
      </c>
    </row>
    <row r="8609">
      <c r="FC8609" t="inlineStr">
        <is>
          <t>Diccionario 8</t>
        </is>
      </c>
      <c r="FD8609" s="26" t="inlineStr">
        <is>
          <t>RC-B3008 / SFWB-58|</t>
        </is>
      </c>
      <c r="FL8609" s="27" t="inlineStr">
        <is>
          <t>B</t>
        </is>
      </c>
      <c r="FP8609" s="27" t="inlineStr">
        <is>
          <t>B</t>
        </is>
      </c>
    </row>
    <row r="8610">
      <c r="FC8610" t="inlineStr">
        <is>
          <t>Diccionario 8</t>
        </is>
      </c>
      <c r="FD8610" s="26" t="inlineStr">
        <is>
          <t>SR-B3056 / SFWB-61|</t>
        </is>
      </c>
      <c r="FL8610" s="27" t="inlineStr">
        <is>
          <t>B</t>
        </is>
      </c>
      <c r="FP8610" s="27" t="inlineStr">
        <is>
          <t>B</t>
        </is>
      </c>
    </row>
    <row r="8611">
      <c r="FC8611" t="inlineStr">
        <is>
          <t>Diccionario 8</t>
        </is>
      </c>
      <c r="FD8611" s="26" t="inlineStr">
        <is>
          <t>SR-B3035 / SFWB-64|</t>
        </is>
      </c>
      <c r="FL8611" s="27" t="inlineStr">
        <is>
          <t>B</t>
        </is>
      </c>
      <c r="FP8611" s="27" t="inlineStr">
        <is>
          <t>B</t>
        </is>
      </c>
    </row>
    <row r="8612">
      <c r="FC8612" t="inlineStr">
        <is>
          <t>Diccionario 8</t>
        </is>
      </c>
      <c r="FD8612" s="26" t="inlineStr">
        <is>
          <t>RC-B3061 / SFWB-68|</t>
        </is>
      </c>
      <c r="FL8612" s="27" t="inlineStr">
        <is>
          <t>B</t>
        </is>
      </c>
      <c r="FP8612" s="27" t="inlineStr">
        <is>
          <t>B</t>
        </is>
      </c>
    </row>
    <row r="8613">
      <c r="FC8613" t="inlineStr">
        <is>
          <t>Diccionario 8</t>
        </is>
      </c>
      <c r="FD8613" s="26" t="inlineStr">
        <is>
          <t>SR-B3012 / SFWB-72|</t>
        </is>
      </c>
      <c r="FL8613" s="27" t="inlineStr">
        <is>
          <t>B</t>
        </is>
      </c>
      <c r="FP8613" s="27" t="inlineStr">
        <is>
          <t>B</t>
        </is>
      </c>
    </row>
    <row r="8614">
      <c r="FC8614" t="inlineStr">
        <is>
          <t>Diccionario 8</t>
        </is>
      </c>
      <c r="FD8614" s="26" t="inlineStr">
        <is>
          <t>SR-B3067 / SFWB-73|</t>
        </is>
      </c>
      <c r="FL8614" s="27" t="inlineStr">
        <is>
          <t>B</t>
        </is>
      </c>
      <c r="FP8614" s="27" t="inlineStr">
        <is>
          <t>B</t>
        </is>
      </c>
    </row>
    <row r="8615">
      <c r="FC8615" t="inlineStr">
        <is>
          <t>Diccionario 8</t>
        </is>
      </c>
      <c r="FD8615" s="26" t="inlineStr">
        <is>
          <t>SR-B3028 / SFWB-75|</t>
        </is>
      </c>
      <c r="FL8615" s="27" t="inlineStr">
        <is>
          <t>B</t>
        </is>
      </c>
      <c r="FP8615" s="27" t="inlineStr">
        <is>
          <t>B</t>
        </is>
      </c>
    </row>
    <row r="8616">
      <c r="FC8616" t="inlineStr">
        <is>
          <t>Diccionario 8</t>
        </is>
      </c>
      <c r="FD8616" s="26" t="inlineStr">
        <is>
          <t>SR-B3024 / SFWB-76|</t>
        </is>
      </c>
      <c r="FL8616" s="27" t="inlineStr">
        <is>
          <t>B</t>
        </is>
      </c>
      <c r="FP8616" s="27" t="inlineStr">
        <is>
          <t>B</t>
        </is>
      </c>
    </row>
    <row r="8617">
      <c r="FC8617" t="inlineStr">
        <is>
          <t>Diccionario 8</t>
        </is>
      </c>
      <c r="FD8617" s="26" t="inlineStr">
        <is>
          <t>SR-B3036 / SFWB-77|</t>
        </is>
      </c>
      <c r="FL8617" s="27" t="inlineStr">
        <is>
          <t>B</t>
        </is>
      </c>
      <c r="FP8617" s="27" t="inlineStr">
        <is>
          <t>B</t>
        </is>
      </c>
    </row>
    <row r="8618">
      <c r="FC8618" t="inlineStr">
        <is>
          <t>Diccionario 8</t>
        </is>
      </c>
      <c r="FD8618" s="26" t="inlineStr">
        <is>
          <t>SR-B3050 / SFWB-82|</t>
        </is>
      </c>
      <c r="FL8618" s="27" t="inlineStr">
        <is>
          <t>B</t>
        </is>
      </c>
      <c r="FP8618" s="27" t="inlineStr">
        <is>
          <t>B</t>
        </is>
      </c>
    </row>
    <row r="8619">
      <c r="FC8619" t="inlineStr">
        <is>
          <t>Diccionario 8</t>
        </is>
      </c>
      <c r="FD8619" s="26" t="inlineStr">
        <is>
          <t>RC-B3068 / SFWB-84|</t>
        </is>
      </c>
      <c r="FL8619" s="27" t="inlineStr">
        <is>
          <t>B</t>
        </is>
      </c>
      <c r="FP8619" s="27" t="inlineStr">
        <is>
          <t>B</t>
        </is>
      </c>
    </row>
    <row r="8620">
      <c r="FC8620" t="inlineStr">
        <is>
          <t>Diccionario 8</t>
        </is>
      </c>
      <c r="FD8620" s="26" t="inlineStr">
        <is>
          <t>SR-B3058 / SFWB-85|</t>
        </is>
      </c>
      <c r="FL8620" s="27" t="inlineStr">
        <is>
          <t>B</t>
        </is>
      </c>
      <c r="FP8620" s="27" t="inlineStr">
        <is>
          <t>B</t>
        </is>
      </c>
    </row>
    <row r="8621">
      <c r="FC8621" t="inlineStr">
        <is>
          <t>Diccionario 8</t>
        </is>
      </c>
      <c r="FD8621" s="26" t="inlineStr">
        <is>
          <t>SR-B3037 / SFWB-87|</t>
        </is>
      </c>
      <c r="FL8621" s="27" t="inlineStr">
        <is>
          <t>B</t>
        </is>
      </c>
      <c r="FP8621" s="27" t="inlineStr">
        <is>
          <t>B</t>
        </is>
      </c>
    </row>
    <row r="8622">
      <c r="FC8622" t="inlineStr">
        <is>
          <t>Diccionario 8</t>
        </is>
      </c>
      <c r="FD8622" s="26" t="inlineStr">
        <is>
          <t>RC-B3072 / SFWB-89|</t>
        </is>
      </c>
      <c r="FL8622" s="27" t="inlineStr">
        <is>
          <t>B</t>
        </is>
      </c>
      <c r="FP8622" s="27" t="inlineStr">
        <is>
          <t>B</t>
        </is>
      </c>
    </row>
    <row r="8623">
      <c r="FC8623" t="inlineStr">
        <is>
          <t>Diccionario 8</t>
        </is>
      </c>
      <c r="FD8623" s="26" t="inlineStr">
        <is>
          <t>SR-B3038 / SFWB-90|</t>
        </is>
      </c>
      <c r="FL8623" s="27" t="inlineStr">
        <is>
          <t>B</t>
        </is>
      </c>
      <c r="FP8623" s="27" t="inlineStr">
        <is>
          <t>B</t>
        </is>
      </c>
    </row>
    <row r="8624">
      <c r="FC8624" t="inlineStr">
        <is>
          <t>Diccionario 8</t>
        </is>
      </c>
      <c r="FD8624" s="26" t="inlineStr">
        <is>
          <t>SR-B1633 / SFWB-95|</t>
        </is>
      </c>
      <c r="FL8624" s="27" t="inlineStr">
        <is>
          <t>B</t>
        </is>
      </c>
      <c r="FP8624" s="27" t="inlineStr">
        <is>
          <t>B</t>
        </is>
      </c>
    </row>
    <row r="8625">
      <c r="FC8625" t="inlineStr">
        <is>
          <t>Diccionario 8</t>
        </is>
      </c>
      <c r="FD8625" s="26" t="inlineStr">
        <is>
          <t>SR-B3073 / SFWB-96|</t>
        </is>
      </c>
      <c r="FL8625" s="27" t="inlineStr">
        <is>
          <t>B</t>
        </is>
      </c>
      <c r="FP8625" s="27" t="inlineStr">
        <is>
          <t>B</t>
        </is>
      </c>
    </row>
    <row r="8626">
      <c r="FC8626" t="inlineStr">
        <is>
          <t>Diccionario 8</t>
        </is>
      </c>
      <c r="FD8626" s="26" t="inlineStr">
        <is>
          <t>SR-B3046 / SFWB-98|</t>
        </is>
      </c>
      <c r="FL8626" s="27" t="inlineStr">
        <is>
          <t>B</t>
        </is>
      </c>
      <c r="FP8626" s="27" t="inlineStr">
        <is>
          <t>B</t>
        </is>
      </c>
    </row>
    <row r="8627">
      <c r="FC8627" t="inlineStr">
        <is>
          <t>Diccionario 8</t>
        </is>
      </c>
      <c r="FD8627" s="26" t="inlineStr">
        <is>
          <t>SR-B3062 / SFWZ-10|</t>
        </is>
      </c>
      <c r="FL8627" s="27" t="inlineStr">
        <is>
          <t>B</t>
        </is>
      </c>
      <c r="FP8627" s="27" t="inlineStr">
        <is>
          <t>B</t>
        </is>
      </c>
    </row>
    <row r="8628">
      <c r="FC8628" t="inlineStr">
        <is>
          <t>Diccionario 8</t>
        </is>
      </c>
      <c r="FD8628" s="26" t="inlineStr">
        <is>
          <t>SR-B3049 / SFWZ-13|</t>
        </is>
      </c>
      <c r="FL8628" s="27" t="inlineStr">
        <is>
          <t>B</t>
        </is>
      </c>
      <c r="FP8628" s="27" t="inlineStr">
        <is>
          <t>B</t>
        </is>
      </c>
    </row>
    <row r="8629">
      <c r="FC8629" t="inlineStr">
        <is>
          <t>Diccionario 8</t>
        </is>
      </c>
      <c r="FD8629" s="26" t="inlineStr">
        <is>
          <t>SR-B3030 / SFWZ-14|</t>
        </is>
      </c>
      <c r="FL8629" s="27" t="inlineStr">
        <is>
          <t>B</t>
        </is>
      </c>
      <c r="FP8629" s="27" t="inlineStr">
        <is>
          <t>B</t>
        </is>
      </c>
    </row>
    <row r="8630">
      <c r="FC8630" t="inlineStr">
        <is>
          <t>Diccionario 8</t>
        </is>
      </c>
      <c r="FD8630" s="26" t="inlineStr">
        <is>
          <t>RC-B3003 / SFWZ-16|</t>
        </is>
      </c>
      <c r="FL8630" s="27" t="inlineStr">
        <is>
          <t>B</t>
        </is>
      </c>
      <c r="FP8630" s="27" t="inlineStr">
        <is>
          <t>B</t>
        </is>
      </c>
    </row>
    <row r="8631">
      <c r="FC8631" t="inlineStr">
        <is>
          <t>Diccionario 8</t>
        </is>
      </c>
      <c r="FD8631" s="26" t="inlineStr">
        <is>
          <t>RC-B3074 / SFWZ-17|</t>
        </is>
      </c>
      <c r="FL8631" s="27" t="inlineStr">
        <is>
          <t>B</t>
        </is>
      </c>
      <c r="FP8631" s="27" t="inlineStr">
        <is>
          <t>B</t>
        </is>
      </c>
    </row>
    <row r="8632">
      <c r="FC8632" t="inlineStr">
        <is>
          <t>Diccionario 8</t>
        </is>
      </c>
      <c r="FD8632" s="26" t="inlineStr">
        <is>
          <t>SR-B3013 / SFWZ-18|</t>
        </is>
      </c>
      <c r="FL8632" s="27" t="inlineStr">
        <is>
          <t>B</t>
        </is>
      </c>
      <c r="FP8632" s="27" t="inlineStr">
        <is>
          <t>B</t>
        </is>
      </c>
    </row>
    <row r="8633">
      <c r="FC8633" t="inlineStr">
        <is>
          <t>Diccionario 8</t>
        </is>
      </c>
      <c r="FD8633" s="26" t="inlineStr">
        <is>
          <t>SR-B3020 / SFWZ-20|</t>
        </is>
      </c>
      <c r="FL8633" s="27" t="inlineStr">
        <is>
          <t>B</t>
        </is>
      </c>
      <c r="FP8633" s="27" t="inlineStr">
        <is>
          <t>B</t>
        </is>
      </c>
    </row>
    <row r="8634">
      <c r="FC8634" t="inlineStr">
        <is>
          <t>Diccionario 8</t>
        </is>
      </c>
      <c r="FD8634" s="26" t="inlineStr">
        <is>
          <t>SR-B3063 / SFWZ-21|</t>
        </is>
      </c>
      <c r="FL8634" s="27" t="inlineStr">
        <is>
          <t>B</t>
        </is>
      </c>
      <c r="FP8634" s="27" t="inlineStr">
        <is>
          <t>B</t>
        </is>
      </c>
    </row>
    <row r="8635">
      <c r="FC8635" t="inlineStr">
        <is>
          <t>Diccionario 8</t>
        </is>
      </c>
      <c r="FD8635" s="26" t="inlineStr">
        <is>
          <t>SR-B1644 / SFWZ-23|</t>
        </is>
      </c>
      <c r="FL8635" s="27" t="inlineStr">
        <is>
          <t>B</t>
        </is>
      </c>
      <c r="FP8635" s="27" t="inlineStr">
        <is>
          <t>B</t>
        </is>
      </c>
    </row>
    <row r="8636">
      <c r="FC8636" t="inlineStr">
        <is>
          <t>Diccionario 8</t>
        </is>
      </c>
      <c r="FD8636" s="26" t="inlineStr">
        <is>
          <t>SR-B1645 / SFWZ-25|</t>
        </is>
      </c>
      <c r="FL8636" s="27" t="inlineStr">
        <is>
          <t>B</t>
        </is>
      </c>
      <c r="FP8636" s="27" t="inlineStr">
        <is>
          <t>B</t>
        </is>
      </c>
    </row>
    <row r="8637">
      <c r="FC8637" t="inlineStr">
        <is>
          <t>Diccionario 8</t>
        </is>
      </c>
      <c r="FD8637" s="26" t="inlineStr">
        <is>
          <t>SR-B3014 / SFWZ-26|</t>
        </is>
      </c>
      <c r="FL8637" s="27" t="inlineStr">
        <is>
          <t>B</t>
        </is>
      </c>
      <c r="FP8637" s="27" t="inlineStr">
        <is>
          <t>B</t>
        </is>
      </c>
    </row>
    <row r="8638">
      <c r="FC8638" t="inlineStr">
        <is>
          <t>Diccionario 8</t>
        </is>
      </c>
      <c r="FD8638" s="26" t="inlineStr">
        <is>
          <t>RC-B3040 / SFWZ-27|</t>
        </is>
      </c>
      <c r="FL8638" s="27" t="inlineStr">
        <is>
          <t>B</t>
        </is>
      </c>
      <c r="FP8638" s="27" t="inlineStr">
        <is>
          <t>B</t>
        </is>
      </c>
    </row>
    <row r="8639">
      <c r="FC8639" t="inlineStr">
        <is>
          <t>Diccionario 8</t>
        </is>
      </c>
      <c r="FD8639" s="26" t="inlineStr">
        <is>
          <t>RC-B3071 / SFWZ-29|</t>
        </is>
      </c>
      <c r="FL8639" s="27" t="inlineStr">
        <is>
          <t>B</t>
        </is>
      </c>
      <c r="FP8639" s="27" t="inlineStr">
        <is>
          <t>B</t>
        </is>
      </c>
    </row>
    <row r="8640">
      <c r="FC8640" t="inlineStr">
        <is>
          <t>Diccionario 8</t>
        </is>
      </c>
      <c r="FD8640" s="26" t="inlineStr">
        <is>
          <t>RC-B3004 / SFWZ-31|</t>
        </is>
      </c>
      <c r="FL8640" s="27" t="inlineStr">
        <is>
          <t>B</t>
        </is>
      </c>
      <c r="FP8640" s="27" t="inlineStr">
        <is>
          <t>B</t>
        </is>
      </c>
    </row>
    <row r="8641">
      <c r="FC8641" t="inlineStr">
        <is>
          <t>Diccionario 8</t>
        </is>
      </c>
      <c r="FD8641" s="26" t="inlineStr">
        <is>
          <t>SR-B3069 / SFWZ-32|</t>
        </is>
      </c>
      <c r="FL8641" s="27" t="inlineStr">
        <is>
          <t>B</t>
        </is>
      </c>
      <c r="FP8641" s="27" t="inlineStr">
        <is>
          <t>B</t>
        </is>
      </c>
    </row>
    <row r="8642">
      <c r="FC8642" t="inlineStr">
        <is>
          <t>Diccionario 8</t>
        </is>
      </c>
      <c r="FD8642" s="26" t="inlineStr">
        <is>
          <t>RC-B3031 / SFWZ-33|</t>
        </is>
      </c>
      <c r="FL8642" s="27" t="inlineStr">
        <is>
          <t>B</t>
        </is>
      </c>
      <c r="FP8642" s="27" t="inlineStr">
        <is>
          <t>B</t>
        </is>
      </c>
    </row>
    <row r="8643">
      <c r="FC8643" t="inlineStr">
        <is>
          <t>Diccionario 8</t>
        </is>
      </c>
      <c r="FD8643" s="26" t="inlineStr">
        <is>
          <t>SR-B3032 / SFWZ-34|</t>
        </is>
      </c>
      <c r="FL8643" s="27" t="inlineStr">
        <is>
          <t>B</t>
        </is>
      </c>
      <c r="FP8643" s="27" t="inlineStr">
        <is>
          <t>B</t>
        </is>
      </c>
    </row>
    <row r="8644">
      <c r="FC8644" t="inlineStr">
        <is>
          <t>Diccionario 8</t>
        </is>
      </c>
      <c r="FD8644" s="26" t="inlineStr">
        <is>
          <t>SR-B3021 / SFWZ-36|</t>
        </is>
      </c>
      <c r="FL8644" s="27" t="inlineStr">
        <is>
          <t>B</t>
        </is>
      </c>
      <c r="FP8644" s="27" t="inlineStr">
        <is>
          <t>B</t>
        </is>
      </c>
    </row>
    <row r="8645">
      <c r="FC8645" t="inlineStr">
        <is>
          <t>Diccionario 8</t>
        </is>
      </c>
      <c r="FD8645" s="26" t="inlineStr">
        <is>
          <t>RC-B3099 / SFWZ-37|</t>
        </is>
      </c>
      <c r="FL8645" s="27" t="inlineStr">
        <is>
          <t>B</t>
        </is>
      </c>
      <c r="FP8645" s="27" t="inlineStr">
        <is>
          <t>B</t>
        </is>
      </c>
    </row>
    <row r="8646">
      <c r="FC8646" t="inlineStr">
        <is>
          <t>Diccionario 8</t>
        </is>
      </c>
      <c r="FD8646" s="26" t="inlineStr">
        <is>
          <t>SR-B3070 / SFWZ-38|</t>
        </is>
      </c>
      <c r="FL8646" s="27" t="inlineStr">
        <is>
          <t>B</t>
        </is>
      </c>
      <c r="FP8646" s="27" t="inlineStr">
        <is>
          <t>B</t>
        </is>
      </c>
    </row>
    <row r="8647">
      <c r="FC8647" t="inlineStr">
        <is>
          <t>Diccionario 8</t>
        </is>
      </c>
      <c r="FD8647" s="26" t="inlineStr">
        <is>
          <t>RC-B3005 / SFWZ-39|</t>
        </is>
      </c>
      <c r="FL8647" s="27" t="inlineStr">
        <is>
          <t>B</t>
        </is>
      </c>
      <c r="FP8647" s="27" t="inlineStr">
        <is>
          <t>B</t>
        </is>
      </c>
    </row>
    <row r="8648">
      <c r="FC8648" t="inlineStr">
        <is>
          <t>Diccionario 8</t>
        </is>
      </c>
      <c r="FD8648" s="26" t="inlineStr">
        <is>
          <t>SR-B3094 / SFWZ-40|</t>
        </is>
      </c>
      <c r="FL8648" s="27" t="inlineStr">
        <is>
          <t>B</t>
        </is>
      </c>
      <c r="FP8648" s="27" t="inlineStr">
        <is>
          <t>B</t>
        </is>
      </c>
    </row>
    <row r="8649">
      <c r="FC8649" t="inlineStr">
        <is>
          <t>Diccionario 8</t>
        </is>
      </c>
      <c r="FD8649" s="26" t="inlineStr">
        <is>
          <t>RC-B1658 / SFWZ-42|</t>
        </is>
      </c>
      <c r="FL8649" s="27" t="inlineStr">
        <is>
          <t>B</t>
        </is>
      </c>
      <c r="FP8649" s="27" t="inlineStr">
        <is>
          <t>B</t>
        </is>
      </c>
    </row>
    <row r="8650">
      <c r="FC8650" t="inlineStr">
        <is>
          <t>Diccionario 8</t>
        </is>
      </c>
      <c r="FD8650" s="26" t="inlineStr">
        <is>
          <t>SR-B1659 / SFWZ-45|</t>
        </is>
      </c>
      <c r="FL8650" s="27" t="inlineStr">
        <is>
          <t>B</t>
        </is>
      </c>
      <c r="FP8650" s="27" t="inlineStr">
        <is>
          <t>B</t>
        </is>
      </c>
    </row>
    <row r="8651">
      <c r="FC8651" t="inlineStr">
        <is>
          <t>Diccionario 8</t>
        </is>
      </c>
      <c r="FD8651" s="26" t="inlineStr">
        <is>
          <t>RC-B3085 / SFWZ-48|</t>
        </is>
      </c>
      <c r="FL8651" s="27" t="inlineStr">
        <is>
          <t>B</t>
        </is>
      </c>
      <c r="FP8651" s="27" t="inlineStr">
        <is>
          <t>B</t>
        </is>
      </c>
    </row>
    <row r="8652">
      <c r="FC8652" t="inlineStr">
        <is>
          <t>Diccionario 8</t>
        </is>
      </c>
      <c r="FD8652" s="26" t="inlineStr">
        <is>
          <t>RC-B3091 / SFWZ-49|</t>
        </is>
      </c>
      <c r="FL8652" s="27" t="inlineStr">
        <is>
          <t>B</t>
        </is>
      </c>
      <c r="FP8652" s="27" t="inlineStr">
        <is>
          <t>B</t>
        </is>
      </c>
    </row>
    <row r="8653">
      <c r="FC8653" t="inlineStr">
        <is>
          <t>Diccionario 8</t>
        </is>
      </c>
      <c r="FD8653" s="26" t="inlineStr">
        <is>
          <t>RC-B1662 / SFWZ-50|</t>
        </is>
      </c>
      <c r="FL8653" s="27" t="inlineStr">
        <is>
          <t>B</t>
        </is>
      </c>
      <c r="FP8653" s="27" t="inlineStr">
        <is>
          <t>B</t>
        </is>
      </c>
    </row>
    <row r="8654">
      <c r="FC8654" t="inlineStr">
        <is>
          <t>Diccionario 8</t>
        </is>
      </c>
      <c r="FD8654" s="26" t="inlineStr">
        <is>
          <t>RC-B3104 / SFWZ-52|</t>
        </is>
      </c>
      <c r="FL8654" s="27" t="inlineStr">
        <is>
          <t>B</t>
        </is>
      </c>
      <c r="FP8654" s="27" t="inlineStr">
        <is>
          <t>B</t>
        </is>
      </c>
    </row>
    <row r="8655">
      <c r="FC8655" t="inlineStr">
        <is>
          <t>Diccionario 8</t>
        </is>
      </c>
      <c r="FD8655" s="26" t="inlineStr">
        <is>
          <t>RC-B3076 / SFWZ-53|</t>
        </is>
      </c>
      <c r="FL8655" s="27" t="inlineStr">
        <is>
          <t>B</t>
        </is>
      </c>
      <c r="FP8655" s="27" t="inlineStr">
        <is>
          <t>B</t>
        </is>
      </c>
    </row>
    <row r="8656">
      <c r="FC8656" t="inlineStr">
        <is>
          <t>Diccionario 8</t>
        </is>
      </c>
      <c r="FD8656" s="26" t="inlineStr">
        <is>
          <t>RC-B3105 / SFWZ-54|</t>
        </is>
      </c>
      <c r="FL8656" s="27" t="inlineStr">
        <is>
          <t>B</t>
        </is>
      </c>
      <c r="FP8656" s="27" t="inlineStr">
        <is>
          <t>B</t>
        </is>
      </c>
    </row>
    <row r="8657">
      <c r="FC8657" t="inlineStr">
        <is>
          <t>Diccionario 8</t>
        </is>
      </c>
      <c r="FD8657" s="26" t="inlineStr">
        <is>
          <t>RC-B3077 / SFWZ-55|</t>
        </is>
      </c>
      <c r="FL8657" s="27" t="inlineStr">
        <is>
          <t>B</t>
        </is>
      </c>
      <c r="FP8657" s="27" t="inlineStr">
        <is>
          <t>B</t>
        </is>
      </c>
    </row>
    <row r="8658">
      <c r="FC8658" t="inlineStr">
        <is>
          <t>Diccionario 8</t>
        </is>
      </c>
      <c r="FD8658" s="26" t="inlineStr">
        <is>
          <t>RC-B3082 / SFWZ-56|</t>
        </is>
      </c>
      <c r="FL8658" s="27" t="inlineStr">
        <is>
          <t>B</t>
        </is>
      </c>
      <c r="FP8658" s="27" t="inlineStr">
        <is>
          <t>B</t>
        </is>
      </c>
    </row>
    <row r="8659">
      <c r="FC8659" t="inlineStr">
        <is>
          <t>Diccionario 8</t>
        </is>
      </c>
      <c r="FD8659" s="26" t="inlineStr">
        <is>
          <t>SR-B3095 / SFWZ-58|</t>
        </is>
      </c>
      <c r="FL8659" s="27" t="inlineStr">
        <is>
          <t>B</t>
        </is>
      </c>
      <c r="FP8659" s="27" t="inlineStr">
        <is>
          <t>B</t>
        </is>
      </c>
    </row>
    <row r="8660">
      <c r="FC8660" t="inlineStr">
        <is>
          <t>Diccionario 8</t>
        </is>
      </c>
      <c r="FD8660" s="26" t="inlineStr">
        <is>
          <t>RC-B3102 / SFWZ-59|</t>
        </is>
      </c>
      <c r="FL8660" s="27" t="inlineStr">
        <is>
          <t>B</t>
        </is>
      </c>
      <c r="FP8660" s="27" t="inlineStr">
        <is>
          <t>B</t>
        </is>
      </c>
    </row>
    <row r="8661">
      <c r="FC8661" t="inlineStr">
        <is>
          <t>Diccionario 8</t>
        </is>
      </c>
      <c r="FD8661" s="26" t="inlineStr">
        <is>
          <t>RC-B3064 / SFWZ-61|</t>
        </is>
      </c>
      <c r="FL8661" s="27" t="inlineStr">
        <is>
          <t>B</t>
        </is>
      </c>
      <c r="FP8661" s="27" t="inlineStr">
        <is>
          <t>B</t>
        </is>
      </c>
    </row>
    <row r="8662">
      <c r="FC8662" t="inlineStr">
        <is>
          <t>Diccionario 8</t>
        </is>
      </c>
      <c r="FD8662" s="26" t="inlineStr">
        <is>
          <t>RC-B3079 / SFWZ-62|</t>
        </is>
      </c>
      <c r="FL8662" s="27" t="inlineStr">
        <is>
          <t>B</t>
        </is>
      </c>
      <c r="FP8662" s="27" t="inlineStr">
        <is>
          <t>B</t>
        </is>
      </c>
    </row>
    <row r="8663">
      <c r="FC8663" t="inlineStr">
        <is>
          <t>Diccionario 8</t>
        </is>
      </c>
      <c r="FD8663" s="26" t="inlineStr">
        <is>
          <t>SR-B1672 / SFWZ-63|</t>
        </is>
      </c>
      <c r="FL8663" s="27" t="inlineStr">
        <is>
          <t>B</t>
        </is>
      </c>
      <c r="FP8663" s="27" t="inlineStr">
        <is>
          <t>B</t>
        </is>
      </c>
    </row>
    <row r="8664">
      <c r="FC8664" t="inlineStr">
        <is>
          <t>Diccionario 8</t>
        </is>
      </c>
      <c r="FD8664" s="26" t="inlineStr">
        <is>
          <t>RC-B3075 / SFWZ-64|</t>
        </is>
      </c>
      <c r="FL8664" s="27" t="inlineStr">
        <is>
          <t>B</t>
        </is>
      </c>
      <c r="FP8664" s="27" t="inlineStr">
        <is>
          <t>B</t>
        </is>
      </c>
    </row>
    <row r="8665">
      <c r="FC8665" t="inlineStr">
        <is>
          <t>Diccionario 8</t>
        </is>
      </c>
      <c r="FD8665" s="26" t="inlineStr">
        <is>
          <t>RC-B3080 / SFWZ-65|</t>
        </is>
      </c>
      <c r="FL8665" s="27" t="inlineStr">
        <is>
          <t>B</t>
        </is>
      </c>
      <c r="FP8665" s="27" t="inlineStr">
        <is>
          <t>B</t>
        </is>
      </c>
    </row>
    <row r="8666">
      <c r="FC8666" t="inlineStr">
        <is>
          <t>Diccionario 8</t>
        </is>
      </c>
      <c r="FD8666" s="26" t="inlineStr">
        <is>
          <t>RC-B1675 / SFWZ-66|</t>
        </is>
      </c>
      <c r="FL8666" s="27" t="inlineStr">
        <is>
          <t>B</t>
        </is>
      </c>
      <c r="FP8666" s="27" t="inlineStr">
        <is>
          <t>B</t>
        </is>
      </c>
    </row>
    <row r="8667">
      <c r="FC8667" t="inlineStr">
        <is>
          <t>Diccionario 8</t>
        </is>
      </c>
      <c r="FD8667" s="26" t="inlineStr">
        <is>
          <t>SR-B3092 / SFWZ-67|</t>
        </is>
      </c>
      <c r="FL8667" s="27" t="inlineStr">
        <is>
          <t>B</t>
        </is>
      </c>
      <c r="FP8667" s="27" t="inlineStr">
        <is>
          <t>B</t>
        </is>
      </c>
    </row>
    <row r="8668">
      <c r="FC8668" t="inlineStr">
        <is>
          <t>Diccionario 8</t>
        </is>
      </c>
      <c r="FD8668" s="26" t="inlineStr">
        <is>
          <t>SR-B3106 / SFWZ-68|</t>
        </is>
      </c>
      <c r="FL8668" s="27" t="inlineStr">
        <is>
          <t>B</t>
        </is>
      </c>
      <c r="FP8668" s="27" t="inlineStr">
        <is>
          <t>B</t>
        </is>
      </c>
    </row>
    <row r="8669">
      <c r="FC8669" t="inlineStr">
        <is>
          <t>Diccionario 8</t>
        </is>
      </c>
      <c r="FD8669" s="26" t="inlineStr">
        <is>
          <t>RC-B3078 / SFWZ-69|</t>
        </is>
      </c>
      <c r="FL8669" s="27" t="inlineStr">
        <is>
          <t>B</t>
        </is>
      </c>
      <c r="FP8669" s="27" t="inlineStr">
        <is>
          <t>B</t>
        </is>
      </c>
    </row>
    <row r="8670">
      <c r="FC8670" t="inlineStr">
        <is>
          <t>Diccionario 8</t>
        </is>
      </c>
      <c r="FD8670" s="26" t="inlineStr">
        <is>
          <t>SR-B3083 / SFWZ-70|</t>
        </is>
      </c>
      <c r="FL8670" s="27" t="inlineStr">
        <is>
          <t>B</t>
        </is>
      </c>
      <c r="FP8670" s="27" t="inlineStr">
        <is>
          <t>B</t>
        </is>
      </c>
    </row>
    <row r="8671">
      <c r="FC8671" t="inlineStr">
        <is>
          <t>Diccionario 8</t>
        </is>
      </c>
      <c r="FD8671" s="26" t="inlineStr">
        <is>
          <t>RC-B3089 / SFWZ-73|</t>
        </is>
      </c>
      <c r="FL8671" s="27" t="inlineStr">
        <is>
          <t>B</t>
        </is>
      </c>
      <c r="FP8671" s="27" t="inlineStr">
        <is>
          <t>B</t>
        </is>
      </c>
    </row>
    <row r="8672">
      <c r="FC8672" t="inlineStr">
        <is>
          <t>Diccionario 8</t>
        </is>
      </c>
      <c r="FD8672" s="26" t="inlineStr">
        <is>
          <t>SR-B3096 / SFWZ-74|</t>
        </is>
      </c>
      <c r="FL8672" s="27" t="inlineStr">
        <is>
          <t>B</t>
        </is>
      </c>
      <c r="FP8672" s="27" t="inlineStr">
        <is>
          <t>B</t>
        </is>
      </c>
    </row>
    <row r="8673">
      <c r="FC8673" t="inlineStr">
        <is>
          <t>Diccionario 8</t>
        </is>
      </c>
      <c r="FD8673" s="26" t="inlineStr">
        <is>
          <t>SR-B1682 / SFWZ-75|</t>
        </is>
      </c>
      <c r="FL8673" s="27" t="inlineStr">
        <is>
          <t>B</t>
        </is>
      </c>
      <c r="FP8673" s="27" t="inlineStr">
        <is>
          <t>B</t>
        </is>
      </c>
    </row>
    <row r="8674">
      <c r="FC8674" t="inlineStr">
        <is>
          <t>Diccionario 8</t>
        </is>
      </c>
      <c r="FD8674" s="26" t="inlineStr">
        <is>
          <t>SR-B1683 / SFWZ-76|</t>
        </is>
      </c>
      <c r="FL8674" s="27" t="inlineStr">
        <is>
          <t>B</t>
        </is>
      </c>
      <c r="FP8674" s="27" t="inlineStr">
        <is>
          <t>B</t>
        </is>
      </c>
    </row>
    <row r="8675">
      <c r="FC8675" t="inlineStr">
        <is>
          <t>Diccionario 8</t>
        </is>
      </c>
      <c r="FD8675" s="26" t="inlineStr">
        <is>
          <t>SR-B3097 / SFWZ-77|</t>
        </is>
      </c>
      <c r="FL8675" s="27" t="inlineStr">
        <is>
          <t>B</t>
        </is>
      </c>
      <c r="FP8675" s="27" t="inlineStr">
        <is>
          <t>B</t>
        </is>
      </c>
    </row>
    <row r="8676">
      <c r="FC8676" t="inlineStr">
        <is>
          <t>Diccionario 8</t>
        </is>
      </c>
      <c r="FD8676" s="26" t="inlineStr">
        <is>
          <t>SR-B3103 / SFWZ-78|</t>
        </is>
      </c>
      <c r="FL8676" s="27" t="inlineStr">
        <is>
          <t>B</t>
        </is>
      </c>
      <c r="FP8676" s="27" t="inlineStr">
        <is>
          <t>B</t>
        </is>
      </c>
    </row>
    <row r="8677">
      <c r="FC8677" t="inlineStr">
        <is>
          <t>Diccionario 8</t>
        </is>
      </c>
      <c r="FD8677" s="26" t="inlineStr">
        <is>
          <t>RC-B1686 / SFWZ-80|</t>
        </is>
      </c>
      <c r="FL8677" s="27" t="inlineStr">
        <is>
          <t>B</t>
        </is>
      </c>
      <c r="FP8677" s="27" t="inlineStr">
        <is>
          <t>B</t>
        </is>
      </c>
    </row>
    <row r="8678">
      <c r="FC8678" t="inlineStr">
        <is>
          <t>Diccionario 8</t>
        </is>
      </c>
      <c r="FD8678" s="26" t="inlineStr">
        <is>
          <t>RC-B3088 / SFWZ-81|</t>
        </is>
      </c>
      <c r="FL8678" s="27" t="inlineStr">
        <is>
          <t>B</t>
        </is>
      </c>
      <c r="FP8678" s="27" t="inlineStr">
        <is>
          <t>B</t>
        </is>
      </c>
    </row>
    <row r="8679">
      <c r="FC8679" t="inlineStr">
        <is>
          <t>Diccionario 8</t>
        </is>
      </c>
      <c r="FD8679" s="26" t="inlineStr">
        <is>
          <t>RC-B3093 / SFWZ-82|</t>
        </is>
      </c>
      <c r="FL8679" s="27" t="inlineStr">
        <is>
          <t>B</t>
        </is>
      </c>
      <c r="FP8679" s="27" t="inlineStr">
        <is>
          <t>B</t>
        </is>
      </c>
    </row>
    <row r="8680">
      <c r="FC8680" t="inlineStr">
        <is>
          <t>Diccionario 8</t>
        </is>
      </c>
      <c r="FD8680" s="26" t="inlineStr">
        <is>
          <t>RC-B3100 / SFWZ-83|</t>
        </is>
      </c>
      <c r="FL8680" s="27" t="inlineStr">
        <is>
          <t>B</t>
        </is>
      </c>
      <c r="FP8680" s="27" t="inlineStr">
        <is>
          <t>B</t>
        </is>
      </c>
    </row>
    <row r="8681">
      <c r="FC8681" t="inlineStr">
        <is>
          <t>Diccionario 8</t>
        </is>
      </c>
      <c r="FD8681" s="26" t="inlineStr">
        <is>
          <t>SR-B3107 / SFWZ-85|</t>
        </is>
      </c>
      <c r="FL8681" s="27" t="inlineStr">
        <is>
          <t>B</t>
        </is>
      </c>
      <c r="FP8681" s="27" t="inlineStr">
        <is>
          <t>B</t>
        </is>
      </c>
    </row>
    <row r="8682">
      <c r="FC8682" t="inlineStr">
        <is>
          <t>Diccionario 8</t>
        </is>
      </c>
      <c r="FD8682" s="26" t="inlineStr">
        <is>
          <t>SR-C9925 / SXKV-97|</t>
        </is>
      </c>
      <c r="FL8682" s="27" t="inlineStr">
        <is>
          <t>C</t>
        </is>
      </c>
      <c r="FP8682" s="27" t="inlineStr">
        <is>
          <t>C</t>
        </is>
      </c>
    </row>
    <row r="8683">
      <c r="FC8683" t="inlineStr">
        <is>
          <t>Diccionario 8</t>
        </is>
      </c>
      <c r="FD8683" s="26" t="inlineStr">
        <is>
          <t>SR-C9929 / SXKV-98|</t>
        </is>
      </c>
      <c r="FL8683" s="27" t="inlineStr">
        <is>
          <t>C</t>
        </is>
      </c>
      <c r="FP8683" s="27" t="inlineStr">
        <is>
          <t>C</t>
        </is>
      </c>
    </row>
    <row r="8684">
      <c r="FC8684" t="inlineStr">
        <is>
          <t>Diccionario 8</t>
        </is>
      </c>
      <c r="FD8684" s="26" t="inlineStr">
        <is>
          <t>SR-C9930 / SXKV-99|</t>
        </is>
      </c>
      <c r="FL8684" s="27" t="inlineStr">
        <is>
          <t>C</t>
        </is>
      </c>
      <c r="FP8684" s="27" t="inlineStr">
        <is>
          <t>C</t>
        </is>
      </c>
    </row>
    <row r="8685">
      <c r="FC8685" t="inlineStr">
        <is>
          <t>Diccionario 8</t>
        </is>
      </c>
      <c r="FD8685" s="26" t="inlineStr">
        <is>
          <t>SR-C9951 / TBZB-24|</t>
        </is>
      </c>
      <c r="FL8685" s="27" t="inlineStr">
        <is>
          <t>C</t>
        </is>
      </c>
      <c r="FP8685" s="27" t="inlineStr">
        <is>
          <t>C</t>
        </is>
      </c>
    </row>
    <row r="8686">
      <c r="FC8686" t="inlineStr">
        <is>
          <t>Diccionario 8</t>
        </is>
      </c>
      <c r="FD8686" s="26" t="inlineStr">
        <is>
          <t>CER-A1695 / VGLZ-33|</t>
        </is>
      </c>
      <c r="FL8686" s="27" t="inlineStr">
        <is>
          <t>A</t>
        </is>
      </c>
      <c r="FP8686" s="27" t="inlineStr">
        <is>
          <t>A</t>
        </is>
      </c>
    </row>
    <row r="8687">
      <c r="FC8687" t="inlineStr">
        <is>
          <t>Diccionario 8</t>
        </is>
      </c>
      <c r="FD8687" s="26" t="inlineStr">
        <is>
          <t>CER-A1696 / VGLZ-43|</t>
        </is>
      </c>
      <c r="FL8687" s="27" t="inlineStr">
        <is>
          <t>A</t>
        </is>
      </c>
      <c r="FP8687" s="27" t="inlineStr">
        <is>
          <t>A</t>
        </is>
      </c>
    </row>
    <row r="8688">
      <c r="FC8688" t="inlineStr">
        <is>
          <t>Diccionario 8</t>
        </is>
      </c>
      <c r="FD8688" s="26" t="inlineStr">
        <is>
          <t>CER-A1697 / VGRB-23|</t>
        </is>
      </c>
      <c r="FL8688" s="27" t="inlineStr">
        <is>
          <t>A</t>
        </is>
      </c>
      <c r="FP8688" s="27" t="inlineStr">
        <is>
          <t>A</t>
        </is>
      </c>
    </row>
    <row r="8689">
      <c r="FC8689" t="inlineStr">
        <is>
          <t>Diccionario 8</t>
        </is>
      </c>
      <c r="FD8689" s="26" t="inlineStr">
        <is>
          <t>CER-A1698 / VGRB-24|</t>
        </is>
      </c>
      <c r="FL8689" s="27" t="inlineStr">
        <is>
          <t>A</t>
        </is>
      </c>
      <c r="FP8689" s="27" t="inlineStr">
        <is>
          <t>A</t>
        </is>
      </c>
    </row>
    <row r="8690">
      <c r="FC8690" t="inlineStr">
        <is>
          <t>Diccionario 8</t>
        </is>
      </c>
      <c r="FD8690" s="26" t="inlineStr">
        <is>
          <t>CER-A1699 / VGRB-33|</t>
        </is>
      </c>
      <c r="FL8690" s="27" t="inlineStr">
        <is>
          <t>A</t>
        </is>
      </c>
      <c r="FP8690" s="27" t="inlineStr">
        <is>
          <t>A</t>
        </is>
      </c>
    </row>
    <row r="8691">
      <c r="FC8691" t="inlineStr">
        <is>
          <t>Diccionario 8</t>
        </is>
      </c>
      <c r="FD8691" s="26" t="inlineStr">
        <is>
          <t>CER-A1700 / VGRB-63|</t>
        </is>
      </c>
      <c r="FL8691" s="27" t="inlineStr">
        <is>
          <t>A</t>
        </is>
      </c>
      <c r="FP8691" s="27" t="inlineStr">
        <is>
          <t>A</t>
        </is>
      </c>
    </row>
    <row r="8692">
      <c r="FC8692" t="inlineStr">
        <is>
          <t>Diccionario 8</t>
        </is>
      </c>
      <c r="FD8692" s="26" t="inlineStr">
        <is>
          <t>CER-A1701 / VGRB-73|</t>
        </is>
      </c>
      <c r="FL8692" s="27" t="inlineStr">
        <is>
          <t>A</t>
        </is>
      </c>
      <c r="FP8692" s="27" t="inlineStr">
        <is>
          <t>A</t>
        </is>
      </c>
    </row>
    <row r="8693">
      <c r="FC8693" t="inlineStr">
        <is>
          <t>Diccionario 8</t>
        </is>
      </c>
      <c r="FD8693" s="26" t="inlineStr">
        <is>
          <t>CER-A1702 / VGRB-93|</t>
        </is>
      </c>
      <c r="FL8693" s="27" t="inlineStr">
        <is>
          <t>A</t>
        </is>
      </c>
      <c r="FP8693" s="27" t="inlineStr">
        <is>
          <t>A</t>
        </is>
      </c>
    </row>
    <row r="8694">
      <c r="FC8694" t="inlineStr">
        <is>
          <t>Diccionario 8</t>
        </is>
      </c>
      <c r="FD8694" s="26" t="inlineStr">
        <is>
          <t>CER-A1703 / VGRC-13|</t>
        </is>
      </c>
      <c r="FL8694" s="27" t="inlineStr">
        <is>
          <t>A</t>
        </is>
      </c>
      <c r="FP8694" s="27" t="inlineStr">
        <is>
          <t>A</t>
        </is>
      </c>
    </row>
    <row r="8695">
      <c r="FC8695" t="inlineStr">
        <is>
          <t>Diccionario 8</t>
        </is>
      </c>
      <c r="FD8695" s="26" t="inlineStr">
        <is>
          <t>CER-A1704 / VGRC-23|</t>
        </is>
      </c>
      <c r="FL8695" s="27" t="inlineStr">
        <is>
          <t>A</t>
        </is>
      </c>
      <c r="FP8695" s="27" t="inlineStr">
        <is>
          <t>A</t>
        </is>
      </c>
    </row>
    <row r="8696">
      <c r="FC8696" t="inlineStr">
        <is>
          <t>Diccionario 8</t>
        </is>
      </c>
      <c r="FD8696" s="26" t="inlineStr">
        <is>
          <t>CER-A1705 / VGRC-33|</t>
        </is>
      </c>
      <c r="FL8696" s="27" t="inlineStr">
        <is>
          <t>A</t>
        </is>
      </c>
      <c r="FP8696" s="27" t="inlineStr">
        <is>
          <t>A</t>
        </is>
      </c>
    </row>
    <row r="8697">
      <c r="FC8697" t="inlineStr">
        <is>
          <t>Diccionario 8</t>
        </is>
      </c>
      <c r="FD8697" s="26" t="inlineStr">
        <is>
          <t>CER-A1706 / VGRC-43|</t>
        </is>
      </c>
      <c r="FL8697" s="27" t="inlineStr">
        <is>
          <t>A</t>
        </is>
      </c>
      <c r="FP8697" s="27" t="inlineStr">
        <is>
          <t>A</t>
        </is>
      </c>
    </row>
    <row r="8698">
      <c r="FC8698" t="inlineStr">
        <is>
          <t>Diccionario 8</t>
        </is>
      </c>
      <c r="FD8698" s="26" t="inlineStr">
        <is>
          <t>CER-A1707 / VGRC-53|</t>
        </is>
      </c>
      <c r="FL8698" s="27" t="inlineStr">
        <is>
          <t>A</t>
        </is>
      </c>
      <c r="FP8698" s="27" t="inlineStr">
        <is>
          <t>A</t>
        </is>
      </c>
    </row>
    <row r="8699">
      <c r="FC8699" t="inlineStr">
        <is>
          <t>Diccionario 8</t>
        </is>
      </c>
      <c r="FD8699" s="26" t="inlineStr">
        <is>
          <t>CER-A1708 / VGRC-73|</t>
        </is>
      </c>
      <c r="FL8699" s="27" t="inlineStr">
        <is>
          <t>A</t>
        </is>
      </c>
      <c r="FP8699" s="27" t="inlineStr">
        <is>
          <t>A</t>
        </is>
      </c>
    </row>
    <row r="8700">
      <c r="FC8700" t="inlineStr">
        <is>
          <t>Diccionario 8</t>
        </is>
      </c>
      <c r="FD8700" s="26" t="inlineStr">
        <is>
          <t>CER-A1709 / VGRC-83|</t>
        </is>
      </c>
      <c r="FL8700" s="27" t="inlineStr">
        <is>
          <t>A</t>
        </is>
      </c>
      <c r="FP8700" s="27" t="inlineStr">
        <is>
          <t>A</t>
        </is>
      </c>
    </row>
    <row r="8701">
      <c r="FC8701" t="inlineStr">
        <is>
          <t>Diccionario 8</t>
        </is>
      </c>
      <c r="FD8701" s="26" t="inlineStr">
        <is>
          <t>CER-A1710 / VGRC-93|</t>
        </is>
      </c>
      <c r="FL8701" s="27" t="inlineStr">
        <is>
          <t>A</t>
        </is>
      </c>
      <c r="FP8701" s="27" t="inlineStr">
        <is>
          <t>A</t>
        </is>
      </c>
    </row>
    <row r="8702">
      <c r="FC8702" t="inlineStr">
        <is>
          <t>Diccionario 8</t>
        </is>
      </c>
      <c r="FD8702" s="26" t="inlineStr">
        <is>
          <t>CER-A1711 / VGRD-25|</t>
        </is>
      </c>
      <c r="FL8702" s="27" t="inlineStr">
        <is>
          <t>A</t>
        </is>
      </c>
      <c r="FP8702" s="27" t="inlineStr">
        <is>
          <t>A</t>
        </is>
      </c>
    </row>
    <row r="8703">
      <c r="FC8703" t="inlineStr">
        <is>
          <t>Diccionario 8</t>
        </is>
      </c>
      <c r="FD8703" s="26" t="inlineStr">
        <is>
          <t>CER-A1712 / VGRD-35|</t>
        </is>
      </c>
      <c r="FL8703" s="27" t="inlineStr">
        <is>
          <t>A</t>
        </is>
      </c>
      <c r="FP8703" s="27" t="inlineStr">
        <is>
          <t>A</t>
        </is>
      </c>
    </row>
    <row r="8704">
      <c r="FC8704" t="inlineStr">
        <is>
          <t>Diccionario 8</t>
        </is>
      </c>
      <c r="FD8704" s="26" t="inlineStr">
        <is>
          <t>CER-A1713 / VGRD-55|</t>
        </is>
      </c>
      <c r="FL8704" s="27" t="inlineStr">
        <is>
          <t>A</t>
        </is>
      </c>
      <c r="FP8704" s="27" t="inlineStr">
        <is>
          <t>A</t>
        </is>
      </c>
    </row>
    <row r="8705">
      <c r="FC8705" t="inlineStr">
        <is>
          <t>Diccionario 8</t>
        </is>
      </c>
      <c r="FD8705" s="26" t="inlineStr">
        <is>
          <t>CER-A1714 / VGRF-45|</t>
        </is>
      </c>
      <c r="FL8705" s="27" t="inlineStr">
        <is>
          <t>A</t>
        </is>
      </c>
      <c r="FP8705" s="27" t="inlineStr">
        <is>
          <t>A</t>
        </is>
      </c>
    </row>
    <row r="8706">
      <c r="FC8706" t="inlineStr">
        <is>
          <t>Diccionario 8</t>
        </is>
      </c>
      <c r="FD8706" s="26" t="inlineStr">
        <is>
          <t>CER-A1715 / VGRF-55|</t>
        </is>
      </c>
      <c r="FL8706" s="27" t="inlineStr">
        <is>
          <t>A</t>
        </is>
      </c>
      <c r="FP8706" s="27" t="inlineStr">
        <is>
          <t>A</t>
        </is>
      </c>
    </row>
    <row r="8707">
      <c r="FC8707" t="inlineStr">
        <is>
          <t>Diccionario 8</t>
        </is>
      </c>
      <c r="FD8707" s="26" t="inlineStr">
        <is>
          <t>CER-A1716 / VGRF-65|</t>
        </is>
      </c>
      <c r="FL8707" s="27" t="inlineStr">
        <is>
          <t>A</t>
        </is>
      </c>
      <c r="FP8707" s="27" t="inlineStr">
        <is>
          <t>A</t>
        </is>
      </c>
    </row>
    <row r="8708">
      <c r="FC8708" t="inlineStr">
        <is>
          <t>Diccionario 8</t>
        </is>
      </c>
      <c r="FD8708" s="26" t="inlineStr">
        <is>
          <t>CER-A1717 / VGRF-75|</t>
        </is>
      </c>
      <c r="FL8708" s="27" t="inlineStr">
        <is>
          <t>A</t>
        </is>
      </c>
      <c r="FP8708" s="27" t="inlineStr">
        <is>
          <t>A</t>
        </is>
      </c>
    </row>
    <row r="8709">
      <c r="FC8709" t="inlineStr">
        <is>
          <t>Diccionario 8</t>
        </is>
      </c>
      <c r="FD8709" s="26" t="inlineStr">
        <is>
          <t>CER-A1718 / VGRF-84|</t>
        </is>
      </c>
      <c r="FL8709" s="27" t="inlineStr">
        <is>
          <t>A</t>
        </is>
      </c>
      <c r="FP8709" s="27" t="inlineStr">
        <is>
          <t>A</t>
        </is>
      </c>
    </row>
    <row r="8710">
      <c r="FC8710" t="inlineStr">
        <is>
          <t>Diccionario 8</t>
        </is>
      </c>
      <c r="FD8710" s="26" t="inlineStr">
        <is>
          <t>CER-A1719 / VGRF-85|</t>
        </is>
      </c>
      <c r="FL8710" s="27" t="inlineStr">
        <is>
          <t>A</t>
        </is>
      </c>
      <c r="FP8710" s="27" t="inlineStr">
        <is>
          <t>A</t>
        </is>
      </c>
    </row>
    <row r="8711">
      <c r="FC8711" t="inlineStr">
        <is>
          <t>Diccionario 8</t>
        </is>
      </c>
      <c r="FD8711" s="26" t="inlineStr">
        <is>
          <t>CER-A1720 / VGRF-94|</t>
        </is>
      </c>
      <c r="FL8711" s="27" t="inlineStr">
        <is>
          <t>A</t>
        </is>
      </c>
      <c r="FP8711" s="27" t="inlineStr">
        <is>
          <t>A</t>
        </is>
      </c>
    </row>
    <row r="8712">
      <c r="FC8712" t="inlineStr">
        <is>
          <t>Diccionario 8</t>
        </is>
      </c>
      <c r="FD8712" s="26" t="inlineStr">
        <is>
          <t>CER-A1721 / VGRG-14|</t>
        </is>
      </c>
      <c r="FL8712" s="27" t="inlineStr">
        <is>
          <t>A</t>
        </is>
      </c>
      <c r="FP8712" s="27" t="inlineStr">
        <is>
          <t>A</t>
        </is>
      </c>
    </row>
    <row r="8713">
      <c r="FC8713" t="inlineStr">
        <is>
          <t>Diccionario 8</t>
        </is>
      </c>
      <c r="FD8713" s="26" t="inlineStr">
        <is>
          <t>CER-A1722 / VGRG-24|</t>
        </is>
      </c>
      <c r="FL8713" s="27" t="inlineStr">
        <is>
          <t>A</t>
        </is>
      </c>
      <c r="FP8713" s="27" t="inlineStr">
        <is>
          <t>A</t>
        </is>
      </c>
    </row>
    <row r="8714">
      <c r="FC8714" t="inlineStr">
        <is>
          <t>Diccionario 8</t>
        </is>
      </c>
      <c r="FD8714" s="26" t="inlineStr">
        <is>
          <t>CER-A1723 / VGRG-34|</t>
        </is>
      </c>
      <c r="FL8714" s="27" t="inlineStr">
        <is>
          <t>A</t>
        </is>
      </c>
      <c r="FP8714" s="27" t="inlineStr">
        <is>
          <t>A</t>
        </is>
      </c>
    </row>
    <row r="8715">
      <c r="FC8715" t="inlineStr">
        <is>
          <t>Diccionario 8</t>
        </is>
      </c>
      <c r="FD8715" s="26" t="inlineStr">
        <is>
          <t>CER-A1724 / VGRG-44|</t>
        </is>
      </c>
      <c r="FL8715" s="27" t="inlineStr">
        <is>
          <t>A</t>
        </is>
      </c>
      <c r="FP8715" s="27" t="inlineStr">
        <is>
          <t>A</t>
        </is>
      </c>
    </row>
    <row r="8716">
      <c r="FC8716" t="inlineStr">
        <is>
          <t>Diccionario 8</t>
        </is>
      </c>
      <c r="FD8716" s="26" t="inlineStr">
        <is>
          <t>CER-A1725 / VGRG-45|</t>
        </is>
      </c>
      <c r="FL8716" s="27" t="inlineStr">
        <is>
          <t>A</t>
        </is>
      </c>
      <c r="FP8716" s="27" t="inlineStr">
        <is>
          <t>A</t>
        </is>
      </c>
    </row>
    <row r="8717">
      <c r="FC8717" t="inlineStr">
        <is>
          <t>Diccionario 8</t>
        </is>
      </c>
      <c r="FD8717" s="26" t="inlineStr">
        <is>
          <t>CER-A1726 / VGRG-54|</t>
        </is>
      </c>
      <c r="FL8717" s="27" t="inlineStr">
        <is>
          <t>A</t>
        </is>
      </c>
      <c r="FP8717" s="27" t="inlineStr">
        <is>
          <t>A</t>
        </is>
      </c>
    </row>
    <row r="8718">
      <c r="FC8718" t="inlineStr">
        <is>
          <t>Diccionario 8</t>
        </is>
      </c>
      <c r="FD8718" s="26" t="inlineStr">
        <is>
          <t>RC-B1727 / VJKD-70|</t>
        </is>
      </c>
      <c r="FL8718" s="27" t="inlineStr">
        <is>
          <t>B</t>
        </is>
      </c>
      <c r="FP8718" s="27" t="inlineStr">
        <is>
          <t>B</t>
        </is>
      </c>
    </row>
    <row r="8719">
      <c r="FC8719" t="inlineStr">
        <is>
          <t>Diccionario 8</t>
        </is>
      </c>
      <c r="FD8719" s="26" t="inlineStr">
        <is>
          <t>RC-B1728 / VJKD-85|</t>
        </is>
      </c>
      <c r="FL8719" s="27" t="inlineStr">
        <is>
          <t>B</t>
        </is>
      </c>
      <c r="FP8719" s="27" t="inlineStr">
        <is>
          <t>B</t>
        </is>
      </c>
    </row>
    <row r="8720">
      <c r="FC8720" t="inlineStr">
        <is>
          <t>Diccionario 8</t>
        </is>
      </c>
      <c r="FD8720" s="26" t="inlineStr">
        <is>
          <t>RC-B1729 / VJKD-94|</t>
        </is>
      </c>
      <c r="FL8720" s="27" t="inlineStr">
        <is>
          <t>B</t>
        </is>
      </c>
      <c r="FP8720" s="27" t="inlineStr">
        <is>
          <t>B</t>
        </is>
      </c>
    </row>
    <row r="8721">
      <c r="FC8721" t="inlineStr">
        <is>
          <t>Diccionario 8</t>
        </is>
      </c>
      <c r="FD8721" s="26" t="inlineStr">
        <is>
          <t>RC-B1730 / VJKF-29|</t>
        </is>
      </c>
      <c r="FL8721" s="27" t="inlineStr">
        <is>
          <t>B</t>
        </is>
      </c>
      <c r="FP8721" s="27" t="inlineStr">
        <is>
          <t>B</t>
        </is>
      </c>
    </row>
    <row r="8722">
      <c r="FC8722" t="inlineStr">
        <is>
          <t>Diccionario 8</t>
        </is>
      </c>
      <c r="FD8722" s="26" t="inlineStr">
        <is>
          <t>LB-B1731 / VJKF-44|</t>
        </is>
      </c>
      <c r="FL8722" s="27" t="inlineStr">
        <is>
          <t>B</t>
        </is>
      </c>
      <c r="FP8722" s="27" t="inlineStr">
        <is>
          <t>B</t>
        </is>
      </c>
    </row>
    <row r="8723">
      <c r="FC8723" t="inlineStr">
        <is>
          <t>Diccionario 8</t>
        </is>
      </c>
      <c r="FD8723" s="26" t="inlineStr">
        <is>
          <t>RC-B1732 / VJKF-46|</t>
        </is>
      </c>
      <c r="FL8723" s="27" t="inlineStr">
        <is>
          <t>B</t>
        </is>
      </c>
      <c r="FP8723" s="27" t="inlineStr">
        <is>
          <t>B</t>
        </is>
      </c>
    </row>
    <row r="8724">
      <c r="FC8724" t="inlineStr">
        <is>
          <t>Diccionario 8</t>
        </is>
      </c>
      <c r="FD8724" s="26" t="inlineStr">
        <is>
          <t>RC-B1733 / VJKF-55|</t>
        </is>
      </c>
      <c r="FL8724" s="27" t="inlineStr">
        <is>
          <t>B</t>
        </is>
      </c>
      <c r="FP8724" s="27" t="inlineStr">
        <is>
          <t>B</t>
        </is>
      </c>
    </row>
    <row r="8725">
      <c r="FC8725" t="inlineStr">
        <is>
          <t>Diccionario 8</t>
        </is>
      </c>
      <c r="FD8725" s="26" t="inlineStr">
        <is>
          <t>RC-B1734 / VJKF-61|</t>
        </is>
      </c>
      <c r="FL8725" s="27" t="inlineStr">
        <is>
          <t>B</t>
        </is>
      </c>
      <c r="FP8725" s="27" t="inlineStr">
        <is>
          <t>B</t>
        </is>
      </c>
    </row>
    <row r="8726">
      <c r="FC8726" t="inlineStr">
        <is>
          <t>Diccionario 8</t>
        </is>
      </c>
      <c r="FD8726" s="26" t="inlineStr">
        <is>
          <t>RC-B1735 / VJKF-66|</t>
        </is>
      </c>
      <c r="FL8726" s="27" t="inlineStr">
        <is>
          <t>B</t>
        </is>
      </c>
      <c r="FP8726" s="27" t="inlineStr">
        <is>
          <t>B</t>
        </is>
      </c>
    </row>
    <row r="8727">
      <c r="FC8727" t="inlineStr">
        <is>
          <t>Diccionario 8</t>
        </is>
      </c>
      <c r="FD8727" s="26" t="inlineStr">
        <is>
          <t>RC-B1736 / VJKG-16|</t>
        </is>
      </c>
      <c r="FL8727" s="27" t="inlineStr">
        <is>
          <t>B</t>
        </is>
      </c>
      <c r="FP8727" s="27" t="inlineStr">
        <is>
          <t>B</t>
        </is>
      </c>
    </row>
    <row r="8728">
      <c r="FC8728" t="inlineStr">
        <is>
          <t>Diccionario 8</t>
        </is>
      </c>
      <c r="FD8728" s="26" t="inlineStr">
        <is>
          <t>RC-B1737 / VJKG-25|</t>
        </is>
      </c>
      <c r="FL8728" s="27" t="inlineStr">
        <is>
          <t>B</t>
        </is>
      </c>
      <c r="FP8728" s="27" t="inlineStr">
        <is>
          <t>B</t>
        </is>
      </c>
    </row>
    <row r="8729">
      <c r="FC8729" t="inlineStr">
        <is>
          <t>Diccionario 8</t>
        </is>
      </c>
      <c r="FD8729" s="26" t="inlineStr">
        <is>
          <t>RC-B1738 / VJKG-36|</t>
        </is>
      </c>
      <c r="FL8729" s="27" t="inlineStr">
        <is>
          <t>B</t>
        </is>
      </c>
      <c r="FP8729" s="27" t="inlineStr">
        <is>
          <t>B</t>
        </is>
      </c>
    </row>
    <row r="8730">
      <c r="FC8730" t="inlineStr">
        <is>
          <t>Diccionario 8</t>
        </is>
      </c>
      <c r="FD8730" s="26" t="inlineStr">
        <is>
          <t>DC-B1739 / VJKG-37|</t>
        </is>
      </c>
      <c r="FL8730" s="27" t="inlineStr">
        <is>
          <t>B</t>
        </is>
      </c>
      <c r="FP8730" s="27" t="inlineStr">
        <is>
          <t>B</t>
        </is>
      </c>
    </row>
    <row r="8731">
      <c r="FC8731" t="inlineStr">
        <is>
          <t>Diccionario 8</t>
        </is>
      </c>
      <c r="FD8731" s="26" t="inlineStr">
        <is>
          <t>DC-B1740 / VJKG-66|</t>
        </is>
      </c>
      <c r="FL8731" s="27" t="inlineStr">
        <is>
          <t>B</t>
        </is>
      </c>
      <c r="FP8731" s="27" t="inlineStr">
        <is>
          <t>B</t>
        </is>
      </c>
    </row>
    <row r="8732">
      <c r="FC8732" t="inlineStr">
        <is>
          <t>Diccionario 8</t>
        </is>
      </c>
      <c r="FD8732" s="26" t="inlineStr">
        <is>
          <t>DC-B1741 / VJKG-75|</t>
        </is>
      </c>
      <c r="FL8732" s="27" t="inlineStr">
        <is>
          <t>B</t>
        </is>
      </c>
      <c r="FP8732" s="27" t="inlineStr">
        <is>
          <t>B</t>
        </is>
      </c>
    </row>
    <row r="8733">
      <c r="FC8733" t="inlineStr">
        <is>
          <t>Diccionario 8</t>
        </is>
      </c>
      <c r="FD8733" s="26" t="inlineStr">
        <is>
          <t>DC-B1742 / VJKG-85|</t>
        </is>
      </c>
      <c r="FL8733" s="27" t="inlineStr">
        <is>
          <t>B</t>
        </is>
      </c>
      <c r="FP8733" s="27" t="inlineStr">
        <is>
          <t>B</t>
        </is>
      </c>
    </row>
    <row r="8734">
      <c r="FC8734" t="inlineStr">
        <is>
          <t>Diccionario 8</t>
        </is>
      </c>
      <c r="FD8734" s="26" t="inlineStr">
        <is>
          <t>DC-B1743 / VJKT-45|</t>
        </is>
      </c>
      <c r="FL8734" s="27" t="inlineStr">
        <is>
          <t>B</t>
        </is>
      </c>
      <c r="FP8734" s="27" t="inlineStr">
        <is>
          <t>B</t>
        </is>
      </c>
    </row>
    <row r="8735">
      <c r="FC8735" t="inlineStr">
        <is>
          <t>Diccionario 8</t>
        </is>
      </c>
      <c r="FD8735" s="26" t="inlineStr">
        <is>
          <t>DC-B1744 / VJKT-55|</t>
        </is>
      </c>
      <c r="FL8735" s="27" t="inlineStr">
        <is>
          <t>B</t>
        </is>
      </c>
      <c r="FP8735" s="27" t="inlineStr">
        <is>
          <t>B</t>
        </is>
      </c>
    </row>
    <row r="8736">
      <c r="FC8736" t="inlineStr">
        <is>
          <t>Diccionario 8</t>
        </is>
      </c>
      <c r="FD8736" s="26" t="inlineStr">
        <is>
          <t>DC-B1745 / VJKT-63|</t>
        </is>
      </c>
      <c r="FL8736" s="27" t="inlineStr">
        <is>
          <t>B</t>
        </is>
      </c>
      <c r="FP8736" s="27" t="inlineStr">
        <is>
          <t>B</t>
        </is>
      </c>
    </row>
    <row r="8737">
      <c r="FC8737" t="inlineStr">
        <is>
          <t>Diccionario 8</t>
        </is>
      </c>
      <c r="FD8737" s="26" t="inlineStr">
        <is>
          <t>RC-B1746 / VJKT-83|</t>
        </is>
      </c>
      <c r="FL8737" s="27" t="inlineStr">
        <is>
          <t>B</t>
        </is>
      </c>
      <c r="FP8737" s="27" t="inlineStr">
        <is>
          <t>B</t>
        </is>
      </c>
    </row>
    <row r="8738">
      <c r="FC8738" t="inlineStr">
        <is>
          <t>Diccionario 8</t>
        </is>
      </c>
      <c r="FD8738" s="26" t="inlineStr">
        <is>
          <t>LB-B1747 / VJKT-92|</t>
        </is>
      </c>
      <c r="FL8738" s="27" t="inlineStr">
        <is>
          <t>B</t>
        </is>
      </c>
      <c r="FP8738" s="27" t="inlineStr">
        <is>
          <t>B</t>
        </is>
      </c>
    </row>
    <row r="8739">
      <c r="FC8739" t="inlineStr">
        <is>
          <t>Diccionario 8</t>
        </is>
      </c>
      <c r="FD8739" s="26" t="inlineStr">
        <is>
          <t>LB-B1748 / VJKV-14|</t>
        </is>
      </c>
      <c r="FL8739" s="27" t="inlineStr">
        <is>
          <t>B</t>
        </is>
      </c>
      <c r="FP8739" s="27" t="inlineStr">
        <is>
          <t>B</t>
        </is>
      </c>
    </row>
    <row r="8740">
      <c r="FC8740" t="inlineStr">
        <is>
          <t>Diccionario 8</t>
        </is>
      </c>
      <c r="FD8740" s="26" t="inlineStr">
        <is>
          <t>LB-B1749 / VJKV-58|</t>
        </is>
      </c>
      <c r="FL8740" s="27" t="inlineStr">
        <is>
          <t>B</t>
        </is>
      </c>
      <c r="FP8740" s="27" t="inlineStr">
        <is>
          <t>B</t>
        </is>
      </c>
    </row>
    <row r="8741">
      <c r="FC8741" t="inlineStr">
        <is>
          <t>Diccionario 8</t>
        </is>
      </c>
      <c r="FD8741" s="26" t="inlineStr">
        <is>
          <t>LB-B1750 / VJKV-78|</t>
        </is>
      </c>
      <c r="FL8741" s="27" t="inlineStr">
        <is>
          <t>B</t>
        </is>
      </c>
      <c r="FP8741" s="27" t="inlineStr">
        <is>
          <t>B</t>
        </is>
      </c>
    </row>
    <row r="8742">
      <c r="FC8742" t="inlineStr">
        <is>
          <t>Diccionario 8</t>
        </is>
      </c>
      <c r="FD8742" s="26" t="inlineStr">
        <is>
          <t>LB-B1751 / VJKV-88|</t>
        </is>
      </c>
      <c r="FL8742" s="27" t="inlineStr">
        <is>
          <t>B</t>
        </is>
      </c>
      <c r="FP8742" s="27" t="inlineStr">
        <is>
          <t>B</t>
        </is>
      </c>
    </row>
    <row r="8743">
      <c r="FC8743" t="inlineStr">
        <is>
          <t>Diccionario 8</t>
        </is>
      </c>
      <c r="FD8743" s="26" t="inlineStr">
        <is>
          <t>LB-B1752 / VJKW-68|</t>
        </is>
      </c>
      <c r="FL8743" s="27" t="inlineStr">
        <is>
          <t>B</t>
        </is>
      </c>
      <c r="FP8743" s="27" t="inlineStr">
        <is>
          <t>B</t>
        </is>
      </c>
    </row>
    <row r="8744">
      <c r="FC8744" t="inlineStr">
        <is>
          <t>Diccionario 8</t>
        </is>
      </c>
      <c r="FD8744" s="26" t="inlineStr">
        <is>
          <t>LB-B1753 / VJKX-18|</t>
        </is>
      </c>
      <c r="FL8744" s="27" t="inlineStr">
        <is>
          <t>B</t>
        </is>
      </c>
      <c r="FP8744" s="27" t="inlineStr">
        <is>
          <t>B</t>
        </is>
      </c>
    </row>
    <row r="8745">
      <c r="FC8745" t="inlineStr">
        <is>
          <t>Diccionario 8</t>
        </is>
      </c>
      <c r="FD8745" s="26" t="inlineStr">
        <is>
          <t>LB-B1754 / VJKX-38|</t>
        </is>
      </c>
      <c r="FL8745" s="27" t="inlineStr">
        <is>
          <t>B</t>
        </is>
      </c>
      <c r="FP8745" s="27" t="inlineStr">
        <is>
          <t>B</t>
        </is>
      </c>
    </row>
    <row r="8746">
      <c r="FC8746" t="inlineStr">
        <is>
          <t>Diccionario 8</t>
        </is>
      </c>
      <c r="FD8746" s="26" t="inlineStr">
        <is>
          <t>LB-B1755 / VJKX-78|</t>
        </is>
      </c>
      <c r="FL8746" s="27" t="inlineStr">
        <is>
          <t>B</t>
        </is>
      </c>
      <c r="FP8746" s="27" t="inlineStr">
        <is>
          <t>B</t>
        </is>
      </c>
    </row>
    <row r="8747">
      <c r="FC8747" t="inlineStr">
        <is>
          <t>Diccionario 8</t>
        </is>
      </c>
      <c r="FD8747" s="26" t="inlineStr">
        <is>
          <t>LB-B1756 / VJKY-18|</t>
        </is>
      </c>
      <c r="FL8747" s="27" t="inlineStr">
        <is>
          <t>B</t>
        </is>
      </c>
      <c r="FP8747" s="27" t="inlineStr">
        <is>
          <t>B</t>
        </is>
      </c>
    </row>
    <row r="8748">
      <c r="FC8748" t="inlineStr">
        <is>
          <t>Diccionario 8</t>
        </is>
      </c>
      <c r="FD8748" s="26" t="inlineStr">
        <is>
          <t>LB-B1757 / VJKY-58|</t>
        </is>
      </c>
      <c r="FL8748" s="27" t="inlineStr">
        <is>
          <t>B</t>
        </is>
      </c>
      <c r="FP8748" s="27" t="inlineStr">
        <is>
          <t>B</t>
        </is>
      </c>
    </row>
    <row r="8749">
      <c r="FC8749" t="inlineStr">
        <is>
          <t>Diccionario 8</t>
        </is>
      </c>
      <c r="FD8749" s="26" t="inlineStr">
        <is>
          <t>LB-B1758 / VJKZ-38|</t>
        </is>
      </c>
      <c r="FL8749" s="27" t="inlineStr">
        <is>
          <t>B</t>
        </is>
      </c>
      <c r="FP8749" s="27" t="inlineStr">
        <is>
          <t>B</t>
        </is>
      </c>
    </row>
    <row r="8750">
      <c r="FC8750" t="inlineStr">
        <is>
          <t>Diccionario 8</t>
        </is>
      </c>
      <c r="FD8750" s="26" t="inlineStr">
        <is>
          <t>LB-B1759 / VJKZ-78|</t>
        </is>
      </c>
      <c r="FL8750" s="27" t="inlineStr">
        <is>
          <t>B</t>
        </is>
      </c>
      <c r="FP8750" s="27" t="inlineStr">
        <is>
          <t>B</t>
        </is>
      </c>
    </row>
    <row r="8751">
      <c r="FC8751" t="inlineStr">
        <is>
          <t>Diccionario 8</t>
        </is>
      </c>
      <c r="FD8751" s="26" t="inlineStr">
        <is>
          <t>DC-B1760 / VJLH-14|</t>
        </is>
      </c>
      <c r="FL8751" s="27" t="inlineStr">
        <is>
          <t>B</t>
        </is>
      </c>
      <c r="FP8751" s="27" t="inlineStr">
        <is>
          <t>B</t>
        </is>
      </c>
    </row>
    <row r="8752">
      <c r="FC8752" t="inlineStr">
        <is>
          <t>Diccionario 8</t>
        </is>
      </c>
      <c r="FD8752" s="26" t="inlineStr">
        <is>
          <t>DC-B1761 / VJLH-24|</t>
        </is>
      </c>
      <c r="FL8752" s="27" t="inlineStr">
        <is>
          <t>B</t>
        </is>
      </c>
      <c r="FP8752" s="27" t="inlineStr">
        <is>
          <t>B</t>
        </is>
      </c>
    </row>
    <row r="8753">
      <c r="FC8753" t="inlineStr">
        <is>
          <t>Diccionario 8</t>
        </is>
      </c>
      <c r="FD8753" s="26" t="inlineStr">
        <is>
          <t>DC-B1762 / VJLH-33|</t>
        </is>
      </c>
      <c r="FL8753" s="27" t="inlineStr">
        <is>
          <t>B</t>
        </is>
      </c>
      <c r="FP8753" s="27" t="inlineStr">
        <is>
          <t>B</t>
        </is>
      </c>
    </row>
    <row r="8754">
      <c r="FC8754" t="inlineStr">
        <is>
          <t>Diccionario 8</t>
        </is>
      </c>
      <c r="FD8754" s="26" t="inlineStr">
        <is>
          <t>LB-B1763 / VJWZ-74|</t>
        </is>
      </c>
      <c r="FL8754" s="27" t="inlineStr">
        <is>
          <t>B</t>
        </is>
      </c>
      <c r="FP8754" s="27" t="inlineStr">
        <is>
          <t>B</t>
        </is>
      </c>
    </row>
    <row r="8755">
      <c r="FC8755" t="inlineStr">
        <is>
          <t>Diccionario 8</t>
        </is>
      </c>
      <c r="FD8755" s="26" t="inlineStr">
        <is>
          <t>LB-B1764 / VJWZ-95|</t>
        </is>
      </c>
      <c r="FL8755" s="27" t="inlineStr">
        <is>
          <t>B</t>
        </is>
      </c>
      <c r="FP8755" s="27" t="inlineStr">
        <is>
          <t>B</t>
        </is>
      </c>
    </row>
    <row r="8756">
      <c r="FC8756" t="inlineStr">
        <is>
          <t>Diccionario 8</t>
        </is>
      </c>
      <c r="FD8756" s="26" t="inlineStr">
        <is>
          <t>LB-B1765 / VJXB-27|</t>
        </is>
      </c>
      <c r="FL8756" s="27" t="inlineStr">
        <is>
          <t>B</t>
        </is>
      </c>
      <c r="FP8756" s="27" t="inlineStr">
        <is>
          <t>B</t>
        </is>
      </c>
    </row>
    <row r="8757">
      <c r="FC8757" t="inlineStr">
        <is>
          <t>Diccionario 8</t>
        </is>
      </c>
      <c r="FD8757" s="26" t="inlineStr">
        <is>
          <t>LB-B1766 / VJXB-56|</t>
        </is>
      </c>
      <c r="FL8757" s="27" t="inlineStr">
        <is>
          <t>B</t>
        </is>
      </c>
      <c r="FP8757" s="27" t="inlineStr">
        <is>
          <t>B</t>
        </is>
      </c>
    </row>
    <row r="8758">
      <c r="FC8758" t="inlineStr">
        <is>
          <t>Diccionario 8</t>
        </is>
      </c>
      <c r="FD8758" s="26" t="inlineStr">
        <is>
          <t>LB-B1767 / VJXB-87|</t>
        </is>
      </c>
      <c r="FL8758" s="27" t="inlineStr">
        <is>
          <t>B</t>
        </is>
      </c>
      <c r="FP8758" s="27" t="inlineStr">
        <is>
          <t>B</t>
        </is>
      </c>
    </row>
    <row r="8759">
      <c r="FC8759" t="inlineStr">
        <is>
          <t>Diccionario 8</t>
        </is>
      </c>
      <c r="FD8759" s="26" t="inlineStr">
        <is>
          <t>LB-B1768 / VJXC-26|</t>
        </is>
      </c>
      <c r="FL8759" s="27" t="inlineStr">
        <is>
          <t>B</t>
        </is>
      </c>
      <c r="FP8759" s="27" t="inlineStr">
        <is>
          <t>B</t>
        </is>
      </c>
    </row>
    <row r="8760">
      <c r="FC8760" t="inlineStr">
        <is>
          <t>Diccionario 8</t>
        </is>
      </c>
      <c r="FD8760" s="26" t="inlineStr">
        <is>
          <t>LB-B1769 / VJXC-42|</t>
        </is>
      </c>
      <c r="FL8760" s="27" t="inlineStr">
        <is>
          <t>B</t>
        </is>
      </c>
      <c r="FP8760" s="27" t="inlineStr">
        <is>
          <t>B</t>
        </is>
      </c>
    </row>
    <row r="8761">
      <c r="FC8761" t="inlineStr">
        <is>
          <t>Diccionario 8</t>
        </is>
      </c>
      <c r="FD8761" s="26" t="inlineStr">
        <is>
          <t>LB-B1770 / VJXC-53|</t>
        </is>
      </c>
      <c r="FL8761" s="27" t="inlineStr">
        <is>
          <t>B</t>
        </is>
      </c>
      <c r="FP8761" s="27" t="inlineStr">
        <is>
          <t>B</t>
        </is>
      </c>
    </row>
    <row r="8762">
      <c r="FC8762" t="inlineStr">
        <is>
          <t>Diccionario 8</t>
        </is>
      </c>
      <c r="FD8762" s="26" t="inlineStr">
        <is>
          <t>LB-B1771 / VJXC-75|</t>
        </is>
      </c>
      <c r="FL8762" s="27" t="inlineStr">
        <is>
          <t>B</t>
        </is>
      </c>
      <c r="FP8762" s="27" t="inlineStr">
        <is>
          <t>B</t>
        </is>
      </c>
    </row>
    <row r="8763">
      <c r="FC8763" t="inlineStr">
        <is>
          <t>Diccionario 8</t>
        </is>
      </c>
      <c r="FD8763" s="26" t="inlineStr">
        <is>
          <t>LB-B1772 / VJXC-91|</t>
        </is>
      </c>
      <c r="FL8763" s="27" t="inlineStr">
        <is>
          <t>B</t>
        </is>
      </c>
      <c r="FP8763" s="27" t="inlineStr">
        <is>
          <t>B</t>
        </is>
      </c>
    </row>
    <row r="8764">
      <c r="FC8764" t="inlineStr">
        <is>
          <t>Diccionario 8</t>
        </is>
      </c>
      <c r="FD8764" s="26" t="inlineStr">
        <is>
          <t>DC-B1773 / VJXD-48|</t>
        </is>
      </c>
      <c r="FL8764" s="27" t="inlineStr">
        <is>
          <t>B</t>
        </is>
      </c>
      <c r="FP8764" s="27" t="inlineStr">
        <is>
          <t>B</t>
        </is>
      </c>
    </row>
    <row r="8765">
      <c r="FC8765" t="inlineStr">
        <is>
          <t>Diccionario 8</t>
        </is>
      </c>
      <c r="FD8765" s="26" t="inlineStr">
        <is>
          <t>DC-B1774 / VJXD-86|</t>
        </is>
      </c>
      <c r="FL8765" s="27" t="inlineStr">
        <is>
          <t>B</t>
        </is>
      </c>
      <c r="FP8765" s="27" t="inlineStr">
        <is>
          <t>B</t>
        </is>
      </c>
    </row>
    <row r="8766">
      <c r="FC8766" t="inlineStr">
        <is>
          <t>Diccionario 8</t>
        </is>
      </c>
      <c r="FD8766" s="26" t="inlineStr">
        <is>
          <t>DC-B1775 / VJXH-88|</t>
        </is>
      </c>
      <c r="FL8766" s="27" t="inlineStr">
        <is>
          <t>B</t>
        </is>
      </c>
      <c r="FP8766" s="27" t="inlineStr">
        <is>
          <t>B</t>
        </is>
      </c>
    </row>
    <row r="8767">
      <c r="FC8767" t="inlineStr">
        <is>
          <t>Diccionario 8</t>
        </is>
      </c>
      <c r="FD8767" s="26" t="inlineStr">
        <is>
          <t>DC-B1776 / VJXJ-27|</t>
        </is>
      </c>
      <c r="FL8767" s="27" t="inlineStr">
        <is>
          <t>B</t>
        </is>
      </c>
      <c r="FP8767" s="27" t="inlineStr">
        <is>
          <t>B</t>
        </is>
      </c>
    </row>
    <row r="8768">
      <c r="FC8768" t="inlineStr">
        <is>
          <t>Diccionario 8</t>
        </is>
      </c>
      <c r="FD8768" s="26" t="inlineStr">
        <is>
          <t>DC-B1777 / VJXJ-39|</t>
        </is>
      </c>
      <c r="FL8768" s="27" t="inlineStr">
        <is>
          <t>B</t>
        </is>
      </c>
      <c r="FP8768" s="27" t="inlineStr">
        <is>
          <t>B</t>
        </is>
      </c>
    </row>
    <row r="8769">
      <c r="FC8769" t="inlineStr">
        <is>
          <t>Diccionario 8</t>
        </is>
      </c>
      <c r="FD8769" s="26" t="inlineStr">
        <is>
          <t>DC-B1778 / VJXJ-44|</t>
        </is>
      </c>
      <c r="FL8769" s="27" t="inlineStr">
        <is>
          <t>B</t>
        </is>
      </c>
      <c r="FP8769" s="27" t="inlineStr">
        <is>
          <t>B</t>
        </is>
      </c>
    </row>
    <row r="8770">
      <c r="FC8770" t="inlineStr">
        <is>
          <t>Diccionario 8</t>
        </is>
      </c>
      <c r="FD8770" s="26" t="inlineStr">
        <is>
          <t>DC-B1779 / VJXJ-46|</t>
        </is>
      </c>
      <c r="FL8770" s="27" t="inlineStr">
        <is>
          <t>B</t>
        </is>
      </c>
      <c r="FP8770" s="27" t="inlineStr">
        <is>
          <t>B</t>
        </is>
      </c>
    </row>
    <row r="8771">
      <c r="FC8771" t="inlineStr">
        <is>
          <t>Diccionario 8</t>
        </is>
      </c>
      <c r="FD8771" s="26" t="inlineStr">
        <is>
          <t>DC-B1780 / VJXJ-94|</t>
        </is>
      </c>
      <c r="FL8771" s="27" t="inlineStr">
        <is>
          <t>B</t>
        </is>
      </c>
      <c r="FP8771" s="27" t="inlineStr">
        <is>
          <t>B</t>
        </is>
      </c>
    </row>
    <row r="8772">
      <c r="FC8772" t="inlineStr">
        <is>
          <t>Diccionario 8</t>
        </is>
      </c>
      <c r="FD8772" s="26" t="inlineStr">
        <is>
          <t>DC-B1781 / VJXK-14|</t>
        </is>
      </c>
      <c r="FL8772" s="27" t="inlineStr">
        <is>
          <t>B</t>
        </is>
      </c>
      <c r="FP8772" s="27" t="inlineStr">
        <is>
          <t>B</t>
        </is>
      </c>
    </row>
    <row r="8773">
      <c r="FC8773" t="inlineStr">
        <is>
          <t>Diccionario 8</t>
        </is>
      </c>
      <c r="FD8773" s="26" t="inlineStr">
        <is>
          <t>DC-B1782 / VJXK-15|</t>
        </is>
      </c>
      <c r="FL8773" s="27" t="inlineStr">
        <is>
          <t>B</t>
        </is>
      </c>
      <c r="FP8773" s="27" t="inlineStr">
        <is>
          <t>B</t>
        </is>
      </c>
    </row>
    <row r="8774">
      <c r="FC8774" t="inlineStr">
        <is>
          <t>Diccionario 8</t>
        </is>
      </c>
      <c r="FD8774" s="26" t="inlineStr">
        <is>
          <t>LB-B1783 / VJYH-63|</t>
        </is>
      </c>
      <c r="FL8774" s="27" t="inlineStr">
        <is>
          <t>B</t>
        </is>
      </c>
      <c r="FP8774" s="27" t="inlineStr">
        <is>
          <t>B</t>
        </is>
      </c>
    </row>
    <row r="8775">
      <c r="FC8775" t="inlineStr">
        <is>
          <t>Diccionario 8</t>
        </is>
      </c>
      <c r="FD8775" s="26" t="inlineStr">
        <is>
          <t>LB-B1784 / VJYJ-15|</t>
        </is>
      </c>
      <c r="FL8775" s="27" t="inlineStr">
        <is>
          <t>B</t>
        </is>
      </c>
      <c r="FP8775" s="27" t="inlineStr">
        <is>
          <t>B</t>
        </is>
      </c>
    </row>
    <row r="8776">
      <c r="FC8776" t="inlineStr">
        <is>
          <t>Diccionario 8</t>
        </is>
      </c>
      <c r="FD8776" s="26" t="inlineStr">
        <is>
          <t>DC-B1785 / VJYJ-22|</t>
        </is>
      </c>
      <c r="FL8776" s="27" t="inlineStr">
        <is>
          <t>B</t>
        </is>
      </c>
      <c r="FP8776" s="27" t="inlineStr">
        <is>
          <t>B</t>
        </is>
      </c>
    </row>
    <row r="8777">
      <c r="FC8777" t="inlineStr">
        <is>
          <t>Diccionario 8</t>
        </is>
      </c>
      <c r="FD8777" s="26" t="inlineStr">
        <is>
          <t>LB-B1786 / VJYJ-35|</t>
        </is>
      </c>
      <c r="FL8777" s="27" t="inlineStr">
        <is>
          <t>B</t>
        </is>
      </c>
      <c r="FP8777" s="27" t="inlineStr">
        <is>
          <t>B</t>
        </is>
      </c>
    </row>
    <row r="8778">
      <c r="FC8778" t="inlineStr">
        <is>
          <t>Diccionario 8</t>
        </is>
      </c>
      <c r="FD8778" s="26" t="inlineStr">
        <is>
          <t>DC-B1787 / VJYJ-37|</t>
        </is>
      </c>
      <c r="FL8778" s="27" t="inlineStr">
        <is>
          <t>B</t>
        </is>
      </c>
      <c r="FP8778" s="27" t="inlineStr">
        <is>
          <t>B</t>
        </is>
      </c>
    </row>
    <row r="8779">
      <c r="FC8779" t="inlineStr">
        <is>
          <t>Diccionario 8</t>
        </is>
      </c>
      <c r="FD8779" s="26" t="inlineStr">
        <is>
          <t>DC-B1788 / VJYJ-44|</t>
        </is>
      </c>
      <c r="FL8779" s="27" t="inlineStr">
        <is>
          <t>B</t>
        </is>
      </c>
      <c r="FP8779" s="27" t="inlineStr">
        <is>
          <t>B</t>
        </is>
      </c>
    </row>
    <row r="8780">
      <c r="FC8780" t="inlineStr">
        <is>
          <t>Diccionario 8</t>
        </is>
      </c>
      <c r="FD8780" s="26" t="inlineStr">
        <is>
          <t>DC-B1789 / VJYJ-46|</t>
        </is>
      </c>
      <c r="FL8780" s="27" t="inlineStr">
        <is>
          <t>B</t>
        </is>
      </c>
      <c r="FP8780" s="27" t="inlineStr">
        <is>
          <t>B</t>
        </is>
      </c>
    </row>
    <row r="8781">
      <c r="FC8781" t="inlineStr">
        <is>
          <t>Diccionario 8</t>
        </is>
      </c>
      <c r="FD8781" s="26" t="inlineStr">
        <is>
          <t>DC-B1790 / VJYJ-68|</t>
        </is>
      </c>
      <c r="FL8781" s="27" t="inlineStr">
        <is>
          <t>B</t>
        </is>
      </c>
      <c r="FP8781" s="27" t="inlineStr">
        <is>
          <t>B</t>
        </is>
      </c>
    </row>
    <row r="8782">
      <c r="FC8782" t="inlineStr">
        <is>
          <t>Diccionario 8</t>
        </is>
      </c>
      <c r="FD8782" s="26" t="inlineStr">
        <is>
          <t>DC-B1791 / VJYJ-75|</t>
        </is>
      </c>
      <c r="FL8782" s="27" t="inlineStr">
        <is>
          <t>B</t>
        </is>
      </c>
      <c r="FP8782" s="27" t="inlineStr">
        <is>
          <t>B</t>
        </is>
      </c>
    </row>
    <row r="8783">
      <c r="FC8783" t="inlineStr">
        <is>
          <t>Diccionario 8</t>
        </is>
      </c>
      <c r="FD8783" s="26" t="inlineStr">
        <is>
          <t>DC-B1792 / VJYJ-84|</t>
        </is>
      </c>
      <c r="FL8783" s="27" t="inlineStr">
        <is>
          <t>B</t>
        </is>
      </c>
      <c r="FP8783" s="27" t="inlineStr">
        <is>
          <t>B</t>
        </is>
      </c>
    </row>
    <row r="8784">
      <c r="FC8784" t="inlineStr">
        <is>
          <t>Diccionario 8</t>
        </is>
      </c>
      <c r="FD8784" s="26" t="inlineStr">
        <is>
          <t>DC-B1793 / VJYK-73|</t>
        </is>
      </c>
      <c r="FL8784" s="27" t="inlineStr">
        <is>
          <t>B</t>
        </is>
      </c>
      <c r="FP8784" s="27" t="inlineStr">
        <is>
          <t>B</t>
        </is>
      </c>
    </row>
    <row r="8785">
      <c r="FC8785" t="inlineStr">
        <is>
          <t>Diccionario 8</t>
        </is>
      </c>
      <c r="FD8785" s="26" t="inlineStr">
        <is>
          <t>DC-B1794 / VJYK-82|</t>
        </is>
      </c>
      <c r="FL8785" s="27" t="inlineStr">
        <is>
          <t>B</t>
        </is>
      </c>
      <c r="FP8785" s="27" t="inlineStr">
        <is>
          <t>B</t>
        </is>
      </c>
    </row>
    <row r="8786">
      <c r="FC8786" t="inlineStr">
        <is>
          <t>Diccionario 8</t>
        </is>
      </c>
      <c r="FD8786" s="26" t="inlineStr">
        <is>
          <t>DC-B1795 / VJYK-83|</t>
        </is>
      </c>
      <c r="FL8786" s="27" t="inlineStr">
        <is>
          <t>B</t>
        </is>
      </c>
      <c r="FP8786" s="27" t="inlineStr">
        <is>
          <t>B</t>
        </is>
      </c>
    </row>
    <row r="8787">
      <c r="FC8787" t="inlineStr">
        <is>
          <t>Diccionario 8</t>
        </is>
      </c>
      <c r="FD8787" s="26" t="inlineStr">
        <is>
          <t>DC-B1796 / VJYK-86|</t>
        </is>
      </c>
      <c r="FL8787" s="27" t="inlineStr">
        <is>
          <t>B</t>
        </is>
      </c>
      <c r="FP8787" s="27" t="inlineStr">
        <is>
          <t>B</t>
        </is>
      </c>
    </row>
    <row r="8788">
      <c r="FC8788" t="inlineStr">
        <is>
          <t>Diccionario 8</t>
        </is>
      </c>
      <c r="FD8788" s="26" t="inlineStr">
        <is>
          <t>DC-B1797 / VJYK-89|</t>
        </is>
      </c>
      <c r="FL8788" s="27" t="inlineStr">
        <is>
          <t>B</t>
        </is>
      </c>
      <c r="FP8788" s="27" t="inlineStr">
        <is>
          <t>B</t>
        </is>
      </c>
    </row>
    <row r="8789">
      <c r="FC8789" t="inlineStr">
        <is>
          <t>Diccionario 8</t>
        </is>
      </c>
      <c r="FD8789" s="26" t="inlineStr">
        <is>
          <t>DC-B1798 / VJYK-91|</t>
        </is>
      </c>
      <c r="FL8789" s="27" t="inlineStr">
        <is>
          <t>B</t>
        </is>
      </c>
      <c r="FP8789" s="27" t="inlineStr">
        <is>
          <t>B</t>
        </is>
      </c>
    </row>
    <row r="8790">
      <c r="FC8790" t="inlineStr">
        <is>
          <t>Diccionario 8</t>
        </is>
      </c>
      <c r="FD8790" s="26" t="inlineStr">
        <is>
          <t>DC-B1799 / VJYK-95|</t>
        </is>
      </c>
      <c r="FL8790" s="27" t="inlineStr">
        <is>
          <t>B</t>
        </is>
      </c>
      <c r="FP8790" s="27" t="inlineStr">
        <is>
          <t>B</t>
        </is>
      </c>
    </row>
    <row r="8791">
      <c r="FC8791" t="inlineStr">
        <is>
          <t>Diccionario 8</t>
        </is>
      </c>
      <c r="FD8791" s="26" t="inlineStr">
        <is>
          <t>DC-B1800 / VJYK-97|</t>
        </is>
      </c>
      <c r="FL8791" s="27" t="inlineStr">
        <is>
          <t>B</t>
        </is>
      </c>
      <c r="FP8791" s="27" t="inlineStr">
        <is>
          <t>B</t>
        </is>
      </c>
    </row>
    <row r="8792">
      <c r="FC8792" t="inlineStr">
        <is>
          <t>Diccionario 8</t>
        </is>
      </c>
      <c r="FD8792" s="26" t="inlineStr">
        <is>
          <t>DC-B1801 / VJYK-98|</t>
        </is>
      </c>
      <c r="FL8792" s="27" t="inlineStr">
        <is>
          <t>B</t>
        </is>
      </c>
      <c r="FP8792" s="27" t="inlineStr">
        <is>
          <t>B</t>
        </is>
      </c>
    </row>
    <row r="8793">
      <c r="FC8793" t="inlineStr">
        <is>
          <t>Diccionario 8</t>
        </is>
      </c>
      <c r="FD8793" s="26" t="inlineStr">
        <is>
          <t>DC-B1802 / VJYL-12|</t>
        </is>
      </c>
      <c r="FL8793" s="27" t="inlineStr">
        <is>
          <t>B</t>
        </is>
      </c>
      <c r="FP8793" s="27" t="inlineStr">
        <is>
          <t>B</t>
        </is>
      </c>
    </row>
    <row r="8794">
      <c r="FC8794" t="inlineStr">
        <is>
          <t>Diccionario 8</t>
        </is>
      </c>
      <c r="FD8794" s="26" t="inlineStr">
        <is>
          <t>DC-B1803 / VJYL-17|</t>
        </is>
      </c>
      <c r="FL8794" s="27" t="inlineStr">
        <is>
          <t>B</t>
        </is>
      </c>
      <c r="FP8794" s="27" t="inlineStr">
        <is>
          <t>B</t>
        </is>
      </c>
    </row>
    <row r="8795">
      <c r="FC8795" t="inlineStr">
        <is>
          <t>Diccionario 8</t>
        </is>
      </c>
      <c r="FD8795" s="26" t="inlineStr">
        <is>
          <t>LB-B1804 / VJZB-37|</t>
        </is>
      </c>
      <c r="FL8795" s="27" t="inlineStr">
        <is>
          <t>B</t>
        </is>
      </c>
      <c r="FP8795" s="27" t="inlineStr">
        <is>
          <t>B</t>
        </is>
      </c>
    </row>
    <row r="8796">
      <c r="FC8796" t="inlineStr">
        <is>
          <t>Diccionario 8</t>
        </is>
      </c>
      <c r="FD8796" s="26" t="inlineStr">
        <is>
          <t>LB-B1805 / VJZB-47|</t>
        </is>
      </c>
      <c r="FL8796" s="27" t="inlineStr">
        <is>
          <t>B</t>
        </is>
      </c>
      <c r="FP8796" s="27" t="inlineStr">
        <is>
          <t>B</t>
        </is>
      </c>
    </row>
    <row r="8797">
      <c r="FC8797" t="inlineStr">
        <is>
          <t>Diccionario 8</t>
        </is>
      </c>
      <c r="FD8797" s="26" t="inlineStr">
        <is>
          <t>LB-B1806 / VJZB-57|</t>
        </is>
      </c>
      <c r="FL8797" s="27" t="inlineStr">
        <is>
          <t>B</t>
        </is>
      </c>
      <c r="FP8797" s="27" t="inlineStr">
        <is>
          <t>B</t>
        </is>
      </c>
    </row>
    <row r="8798">
      <c r="FC8798" t="inlineStr">
        <is>
          <t>Diccionario 8</t>
        </is>
      </c>
      <c r="FD8798" s="26" t="inlineStr">
        <is>
          <t>LB-B1807 / VJZB-67|</t>
        </is>
      </c>
      <c r="FL8798" s="27" t="inlineStr">
        <is>
          <t>B</t>
        </is>
      </c>
      <c r="FP8798" s="27" t="inlineStr">
        <is>
          <t>B</t>
        </is>
      </c>
    </row>
    <row r="8799">
      <c r="FC8799" t="inlineStr">
        <is>
          <t>Diccionario 8</t>
        </is>
      </c>
      <c r="FD8799" s="26" t="inlineStr">
        <is>
          <t>LB-B1808 / VJZB-77|</t>
        </is>
      </c>
      <c r="FL8799" s="27" t="inlineStr">
        <is>
          <t>B</t>
        </is>
      </c>
      <c r="FP8799" s="27" t="inlineStr">
        <is>
          <t>B</t>
        </is>
      </c>
    </row>
    <row r="8800">
      <c r="FC8800" t="inlineStr">
        <is>
          <t>Diccionario 8</t>
        </is>
      </c>
      <c r="FD8800" s="26" t="inlineStr">
        <is>
          <t>DC-B1809 / VJZB-87|</t>
        </is>
      </c>
      <c r="FL8800" s="27" t="inlineStr">
        <is>
          <t>B</t>
        </is>
      </c>
      <c r="FP8800" s="27" t="inlineStr">
        <is>
          <t>B</t>
        </is>
      </c>
    </row>
    <row r="8801">
      <c r="FC8801" t="inlineStr">
        <is>
          <t>Diccionario 8</t>
        </is>
      </c>
      <c r="FD8801" s="26" t="inlineStr">
        <is>
          <t>DC-B1810 / VJZB-97|</t>
        </is>
      </c>
      <c r="FL8801" s="27" t="inlineStr">
        <is>
          <t>B</t>
        </is>
      </c>
      <c r="FP8801" s="27" t="inlineStr">
        <is>
          <t>B</t>
        </is>
      </c>
    </row>
    <row r="8802">
      <c r="FC8802" t="inlineStr">
        <is>
          <t>Diccionario 8</t>
        </is>
      </c>
      <c r="FD8802" s="26" t="inlineStr">
        <is>
          <t>DC-B1811 / VJZC-57|</t>
        </is>
      </c>
      <c r="FL8802" s="27" t="inlineStr">
        <is>
          <t>B</t>
        </is>
      </c>
      <c r="FP8802" s="27" t="inlineStr">
        <is>
          <t>B</t>
        </is>
      </c>
    </row>
    <row r="8803">
      <c r="FC8803" t="inlineStr">
        <is>
          <t>Diccionario 8</t>
        </is>
      </c>
      <c r="FD8803" s="26" t="inlineStr">
        <is>
          <t>DC-B1812 / VJZH-87|</t>
        </is>
      </c>
      <c r="FL8803" s="27" t="inlineStr">
        <is>
          <t>B</t>
        </is>
      </c>
      <c r="FP8803" s="27" t="inlineStr">
        <is>
          <t>B</t>
        </is>
      </c>
    </row>
    <row r="8804">
      <c r="FC8804" t="inlineStr">
        <is>
          <t>Diccionario 8</t>
        </is>
      </c>
      <c r="FD8804" s="26" t="inlineStr">
        <is>
          <t>DC-B1813 / VJZH-97|</t>
        </is>
      </c>
      <c r="FL8804" s="27" t="inlineStr">
        <is>
          <t>B</t>
        </is>
      </c>
      <c r="FP8804" s="27" t="inlineStr">
        <is>
          <t>B</t>
        </is>
      </c>
    </row>
    <row r="8805">
      <c r="FC8805" t="inlineStr">
        <is>
          <t>Diccionario 8</t>
        </is>
      </c>
      <c r="FD8805" s="26" t="inlineStr">
        <is>
          <t>DC-B1814 / VJZJ-56|</t>
        </is>
      </c>
      <c r="FL8805" s="27" t="inlineStr">
        <is>
          <t>B</t>
        </is>
      </c>
      <c r="FP8805" s="27" t="inlineStr">
        <is>
          <t>B</t>
        </is>
      </c>
    </row>
    <row r="8806">
      <c r="FC8806" t="inlineStr">
        <is>
          <t>Diccionario 8</t>
        </is>
      </c>
      <c r="FD8806" s="26" t="inlineStr">
        <is>
          <t>DC-B1815 / VJZJ-66|</t>
        </is>
      </c>
      <c r="FL8806" s="27" t="inlineStr">
        <is>
          <t>B</t>
        </is>
      </c>
      <c r="FP8806" s="27" t="inlineStr">
        <is>
          <t>B</t>
        </is>
      </c>
    </row>
    <row r="8807">
      <c r="FC8807" t="inlineStr">
        <is>
          <t>Diccionario 8</t>
        </is>
      </c>
      <c r="FD8807" s="26" t="inlineStr">
        <is>
          <t>DC-B1816 / VKFW-93|</t>
        </is>
      </c>
      <c r="FL8807" s="27" t="inlineStr">
        <is>
          <t>B</t>
        </is>
      </c>
      <c r="FP8807" s="27" t="inlineStr">
        <is>
          <t>B</t>
        </is>
      </c>
    </row>
    <row r="8808">
      <c r="FC8808" t="inlineStr">
        <is>
          <t>Diccionario 8</t>
        </is>
      </c>
      <c r="FD8808" s="26" t="inlineStr">
        <is>
          <t>DC-B1817 / VKFX-13|</t>
        </is>
      </c>
      <c r="FL8808" s="27" t="inlineStr">
        <is>
          <t>B</t>
        </is>
      </c>
      <c r="FP8808" s="27" t="inlineStr">
        <is>
          <t>B</t>
        </is>
      </c>
    </row>
    <row r="8809">
      <c r="FC8809" t="inlineStr">
        <is>
          <t>Diccionario 8</t>
        </is>
      </c>
      <c r="FD8809" s="26" t="inlineStr">
        <is>
          <t>DC-B1818 / VKFX-33|</t>
        </is>
      </c>
      <c r="FL8809" s="27" t="inlineStr">
        <is>
          <t>B</t>
        </is>
      </c>
      <c r="FP8809" s="27" t="inlineStr">
        <is>
          <t>B</t>
        </is>
      </c>
    </row>
    <row r="8810">
      <c r="FC8810" t="inlineStr">
        <is>
          <t>Diccionario 8</t>
        </is>
      </c>
      <c r="FD8810" s="26" t="inlineStr">
        <is>
          <t>DC-B1819 / VKFX-63|</t>
        </is>
      </c>
      <c r="FL8810" s="27" t="inlineStr">
        <is>
          <t>B</t>
        </is>
      </c>
      <c r="FP8810" s="27" t="inlineStr">
        <is>
          <t>B</t>
        </is>
      </c>
    </row>
    <row r="8811">
      <c r="FC8811" t="inlineStr">
        <is>
          <t>Diccionario 8</t>
        </is>
      </c>
      <c r="FD8811" s="26" t="inlineStr">
        <is>
          <t>DC-B1820 / VKFX-73|</t>
        </is>
      </c>
      <c r="FL8811" s="27" t="inlineStr">
        <is>
          <t>B</t>
        </is>
      </c>
      <c r="FP8811" s="27" t="inlineStr">
        <is>
          <t>B</t>
        </is>
      </c>
    </row>
    <row r="8812">
      <c r="FC8812" t="inlineStr">
        <is>
          <t>Diccionario 8</t>
        </is>
      </c>
      <c r="FD8812" s="26" t="inlineStr">
        <is>
          <t>DC-B1821 / VKFX-93|</t>
        </is>
      </c>
      <c r="FL8812" s="27" t="inlineStr">
        <is>
          <t>B</t>
        </is>
      </c>
      <c r="FP8812" s="27" t="inlineStr">
        <is>
          <t>B</t>
        </is>
      </c>
    </row>
    <row r="8813">
      <c r="FC8813" t="inlineStr">
        <is>
          <t>Diccionario 8</t>
        </is>
      </c>
      <c r="FD8813" s="26" t="inlineStr">
        <is>
          <t>DC-B1822 / VKFZ-33|</t>
        </is>
      </c>
      <c r="FL8813" s="27" t="inlineStr">
        <is>
          <t>B</t>
        </is>
      </c>
      <c r="FP8813" s="27" t="inlineStr">
        <is>
          <t>B</t>
        </is>
      </c>
    </row>
    <row r="8814">
      <c r="FC8814" t="inlineStr">
        <is>
          <t>Diccionario 8</t>
        </is>
      </c>
      <c r="FD8814" s="26" t="inlineStr">
        <is>
          <t>DC-B1823 / VKFZ-53|</t>
        </is>
      </c>
      <c r="FL8814" s="27" t="inlineStr">
        <is>
          <t>B</t>
        </is>
      </c>
      <c r="FP8814" s="27" t="inlineStr">
        <is>
          <t>B</t>
        </is>
      </c>
    </row>
    <row r="8815">
      <c r="FC8815" t="inlineStr">
        <is>
          <t>Diccionario 8</t>
        </is>
      </c>
      <c r="FD8815" s="26" t="inlineStr">
        <is>
          <t>DC-B1824 / VKFZ-93|</t>
        </is>
      </c>
      <c r="FL8815" s="27" t="inlineStr">
        <is>
          <t>B</t>
        </is>
      </c>
      <c r="FP8815" s="27" t="inlineStr">
        <is>
          <t>B</t>
        </is>
      </c>
    </row>
    <row r="8816">
      <c r="FC8816" t="inlineStr">
        <is>
          <t>Diccionario 8</t>
        </is>
      </c>
      <c r="FD8816" s="26" t="inlineStr">
        <is>
          <t>DC-B1825 / VKGB-43|</t>
        </is>
      </c>
      <c r="FL8816" s="27" t="inlineStr">
        <is>
          <t>B</t>
        </is>
      </c>
      <c r="FP8816" s="27" t="inlineStr">
        <is>
          <t>B</t>
        </is>
      </c>
    </row>
    <row r="8817">
      <c r="FC8817" t="inlineStr">
        <is>
          <t>Diccionario 8</t>
        </is>
      </c>
      <c r="FD8817" s="26" t="inlineStr">
        <is>
          <t>DC-B1826 / VKGB-83|</t>
        </is>
      </c>
      <c r="FL8817" s="27" t="inlineStr">
        <is>
          <t>B</t>
        </is>
      </c>
      <c r="FP8817" s="27" t="inlineStr">
        <is>
          <t>B</t>
        </is>
      </c>
    </row>
    <row r="8818">
      <c r="FC8818" t="inlineStr">
        <is>
          <t>Diccionario 8</t>
        </is>
      </c>
      <c r="FD8818" s="26" t="inlineStr">
        <is>
          <t>DC-B1827 / VKGC-23|</t>
        </is>
      </c>
      <c r="FL8818" s="27" t="inlineStr">
        <is>
          <t>B</t>
        </is>
      </c>
      <c r="FP8818" s="27" t="inlineStr">
        <is>
          <t>B</t>
        </is>
      </c>
    </row>
    <row r="8819">
      <c r="FC8819" t="inlineStr">
        <is>
          <t>Diccionario 8</t>
        </is>
      </c>
      <c r="FD8819" s="26" t="inlineStr">
        <is>
          <t>DC-B1828 / VKGC-63|</t>
        </is>
      </c>
      <c r="FL8819" s="27" t="inlineStr">
        <is>
          <t>B</t>
        </is>
      </c>
      <c r="FP8819" s="27" t="inlineStr">
        <is>
          <t>B</t>
        </is>
      </c>
    </row>
    <row r="8820">
      <c r="FC8820" t="inlineStr">
        <is>
          <t>Diccionario 8</t>
        </is>
      </c>
      <c r="FD8820" s="26" t="inlineStr">
        <is>
          <t>DC-B1829 / VKGC-73|</t>
        </is>
      </c>
      <c r="FL8820" s="27" t="inlineStr">
        <is>
          <t>B</t>
        </is>
      </c>
      <c r="FP8820" s="27" t="inlineStr">
        <is>
          <t>B</t>
        </is>
      </c>
    </row>
    <row r="8821">
      <c r="FC8821" t="inlineStr">
        <is>
          <t>Diccionario 8</t>
        </is>
      </c>
      <c r="FD8821" s="26" t="inlineStr">
        <is>
          <t>DC-B1830 / VKGD-33|</t>
        </is>
      </c>
      <c r="FL8821" s="27" t="inlineStr">
        <is>
          <t>B</t>
        </is>
      </c>
      <c r="FP8821" s="27" t="inlineStr">
        <is>
          <t>B</t>
        </is>
      </c>
    </row>
    <row r="8822">
      <c r="FC8822" t="inlineStr">
        <is>
          <t>Diccionario 8</t>
        </is>
      </c>
      <c r="FD8822" s="26" t="inlineStr">
        <is>
          <t>DC-B1831 / VKGD-43|</t>
        </is>
      </c>
      <c r="FL8822" s="27" t="inlineStr">
        <is>
          <t>B</t>
        </is>
      </c>
      <c r="FP8822" s="27" t="inlineStr">
        <is>
          <t>B</t>
        </is>
      </c>
    </row>
    <row r="8823">
      <c r="FC8823" t="inlineStr">
        <is>
          <t>Diccionario 8</t>
        </is>
      </c>
      <c r="FD8823" s="26" t="inlineStr">
        <is>
          <t>DC-B1832 / VKGF-93|</t>
        </is>
      </c>
      <c r="FL8823" s="27" t="inlineStr">
        <is>
          <t>B</t>
        </is>
      </c>
      <c r="FP8823" s="27" t="inlineStr">
        <is>
          <t>B</t>
        </is>
      </c>
    </row>
    <row r="8824">
      <c r="FC8824" t="inlineStr">
        <is>
          <t>Diccionario 8</t>
        </is>
      </c>
      <c r="FD8824" s="26" t="inlineStr">
        <is>
          <t>DC-B1833 / VKGG-13|</t>
        </is>
      </c>
      <c r="FL8824" s="27" t="inlineStr">
        <is>
          <t>B</t>
        </is>
      </c>
      <c r="FP8824" s="27" t="inlineStr">
        <is>
          <t>B</t>
        </is>
      </c>
    </row>
    <row r="8825">
      <c r="FC8825" t="inlineStr">
        <is>
          <t>Diccionario 8</t>
        </is>
      </c>
      <c r="FD8825" s="26" t="inlineStr">
        <is>
          <t>DC-B1834 / VKGG-23|</t>
        </is>
      </c>
      <c r="FL8825" s="27" t="inlineStr">
        <is>
          <t>B</t>
        </is>
      </c>
      <c r="FP8825" s="27" t="inlineStr">
        <is>
          <t>B</t>
        </is>
      </c>
    </row>
    <row r="8826">
      <c r="FC8826" t="inlineStr">
        <is>
          <t>Diccionario 8</t>
        </is>
      </c>
      <c r="FD8826" s="26" t="inlineStr">
        <is>
          <t>DC-B1835 / VKGG-33|</t>
        </is>
      </c>
      <c r="FL8826" s="27" t="inlineStr">
        <is>
          <t>B</t>
        </is>
      </c>
      <c r="FP8826" s="27" t="inlineStr">
        <is>
          <t>B</t>
        </is>
      </c>
    </row>
    <row r="8827">
      <c r="FC8827" t="inlineStr">
        <is>
          <t>Diccionario 8</t>
        </is>
      </c>
      <c r="FD8827" s="26" t="inlineStr">
        <is>
          <t>DC-B1836 / VKGG-53|</t>
        </is>
      </c>
      <c r="FL8827" s="27" t="inlineStr">
        <is>
          <t>B</t>
        </is>
      </c>
      <c r="FP8827" s="27" t="inlineStr">
        <is>
          <t>B</t>
        </is>
      </c>
    </row>
    <row r="8828">
      <c r="FC8828" t="inlineStr">
        <is>
          <t>Diccionario 8</t>
        </is>
      </c>
      <c r="FD8828" s="26" t="inlineStr">
        <is>
          <t>DC-B1837 / VKGG-73|</t>
        </is>
      </c>
      <c r="FL8828" s="27" t="inlineStr">
        <is>
          <t>B</t>
        </is>
      </c>
      <c r="FP8828" s="27" t="inlineStr">
        <is>
          <t>B</t>
        </is>
      </c>
    </row>
    <row r="8829">
      <c r="FC8829" t="inlineStr">
        <is>
          <t>Diccionario 8</t>
        </is>
      </c>
      <c r="FD8829" s="26" t="inlineStr">
        <is>
          <t>DC-B1838 / VKGG-83|</t>
        </is>
      </c>
      <c r="FL8829" s="27" t="inlineStr">
        <is>
          <t>B</t>
        </is>
      </c>
      <c r="FP8829" s="27" t="inlineStr">
        <is>
          <t>B</t>
        </is>
      </c>
    </row>
    <row r="8830">
      <c r="FC8830" t="inlineStr">
        <is>
          <t>Diccionario 8</t>
        </is>
      </c>
      <c r="FD8830" s="26" t="inlineStr">
        <is>
          <t>DC-B1839 / VKGG-93|</t>
        </is>
      </c>
      <c r="FL8830" s="27" t="inlineStr">
        <is>
          <t>B</t>
        </is>
      </c>
      <c r="FP8830" s="27" t="inlineStr">
        <is>
          <t>B</t>
        </is>
      </c>
    </row>
    <row r="8831">
      <c r="FC8831" t="inlineStr">
        <is>
          <t>Diccionario 8</t>
        </is>
      </c>
      <c r="FD8831" s="26" t="inlineStr">
        <is>
          <t>DC-B1840 / VKGH-13|</t>
        </is>
      </c>
      <c r="FL8831" s="27" t="inlineStr">
        <is>
          <t>B</t>
        </is>
      </c>
      <c r="FP8831" s="27" t="inlineStr">
        <is>
          <t>B</t>
        </is>
      </c>
    </row>
    <row r="8832">
      <c r="FC8832" t="inlineStr">
        <is>
          <t>Diccionario 8</t>
        </is>
      </c>
      <c r="FD8832" s="26" t="inlineStr">
        <is>
          <t>DC-B1841 / VKGH-23|</t>
        </is>
      </c>
      <c r="FL8832" s="27" t="inlineStr">
        <is>
          <t>B</t>
        </is>
      </c>
      <c r="FP8832" s="27" t="inlineStr">
        <is>
          <t>B</t>
        </is>
      </c>
    </row>
    <row r="8833">
      <c r="FC8833" t="inlineStr">
        <is>
          <t>Diccionario 8</t>
        </is>
      </c>
      <c r="FD8833" s="26" t="inlineStr">
        <is>
          <t>DC-B1842 / VKGH-33|</t>
        </is>
      </c>
      <c r="FL8833" s="27" t="inlineStr">
        <is>
          <t>B</t>
        </is>
      </c>
      <c r="FP8833" s="27" t="inlineStr">
        <is>
          <t>B</t>
        </is>
      </c>
    </row>
    <row r="8834">
      <c r="FC8834" t="inlineStr">
        <is>
          <t>Diccionario 8</t>
        </is>
      </c>
      <c r="FD8834" s="26" t="inlineStr">
        <is>
          <t>DC-B1843 / VKGL-84|</t>
        </is>
      </c>
      <c r="FL8834" s="27" t="inlineStr">
        <is>
          <t>B</t>
        </is>
      </c>
      <c r="FP8834" s="27" t="inlineStr">
        <is>
          <t>B</t>
        </is>
      </c>
    </row>
    <row r="8835">
      <c r="FC8835" t="inlineStr">
        <is>
          <t>Diccionario 8</t>
        </is>
      </c>
      <c r="FD8835" s="26" t="inlineStr">
        <is>
          <t>DC-B1844 / VKGP-35|</t>
        </is>
      </c>
      <c r="FL8835" s="27" t="inlineStr">
        <is>
          <t>B</t>
        </is>
      </c>
      <c r="FP8835" s="27" t="inlineStr">
        <is>
          <t>B</t>
        </is>
      </c>
    </row>
    <row r="8836">
      <c r="FC8836" t="inlineStr">
        <is>
          <t>Diccionario 8</t>
        </is>
      </c>
      <c r="FD8836" s="26" t="inlineStr">
        <is>
          <t>DC-B1845 / VKGP-45|</t>
        </is>
      </c>
      <c r="FL8836" s="27" t="inlineStr">
        <is>
          <t>B</t>
        </is>
      </c>
      <c r="FP8836" s="27" t="inlineStr">
        <is>
          <t>B</t>
        </is>
      </c>
    </row>
    <row r="8837">
      <c r="FC8837" t="inlineStr">
        <is>
          <t>Diccionario 8</t>
        </is>
      </c>
      <c r="FD8837" s="26" t="inlineStr">
        <is>
          <t>DC-B1846 / VKGP-55|</t>
        </is>
      </c>
      <c r="FL8837" s="27" t="inlineStr">
        <is>
          <t>B</t>
        </is>
      </c>
      <c r="FP8837" s="27" t="inlineStr">
        <is>
          <t>B</t>
        </is>
      </c>
    </row>
    <row r="8838">
      <c r="FC8838" t="inlineStr">
        <is>
          <t>Diccionario 8</t>
        </is>
      </c>
      <c r="FD8838" s="26" t="inlineStr">
        <is>
          <t>DC-B1847 / VKGP-75|</t>
        </is>
      </c>
      <c r="FL8838" s="27" t="inlineStr">
        <is>
          <t>B</t>
        </is>
      </c>
      <c r="FP8838" s="27" t="inlineStr">
        <is>
          <t>B</t>
        </is>
      </c>
    </row>
    <row r="8839">
      <c r="FC8839" t="inlineStr">
        <is>
          <t>Diccionario 8</t>
        </is>
      </c>
      <c r="FD8839" s="26" t="inlineStr">
        <is>
          <t>DC-B1848 / VLBP-23|</t>
        </is>
      </c>
      <c r="FL8839" s="27" t="inlineStr">
        <is>
          <t>B</t>
        </is>
      </c>
      <c r="FP8839" s="27" t="inlineStr">
        <is>
          <t>B</t>
        </is>
      </c>
    </row>
    <row r="8840">
      <c r="FC8840" t="inlineStr">
        <is>
          <t>Diccionario 8</t>
        </is>
      </c>
      <c r="FD8840" s="26" t="inlineStr">
        <is>
          <t>DC-B1849 / VLBP-73|</t>
        </is>
      </c>
      <c r="FL8840" s="27" t="inlineStr">
        <is>
          <t>B</t>
        </is>
      </c>
      <c r="FP8840" s="27" t="inlineStr">
        <is>
          <t>B</t>
        </is>
      </c>
    </row>
    <row r="8841">
      <c r="FC8841" t="inlineStr">
        <is>
          <t>Diccionario 8</t>
        </is>
      </c>
      <c r="FD8841" s="26" t="inlineStr">
        <is>
          <t>DC-B1850 / VLBZ-78|</t>
        </is>
      </c>
      <c r="FL8841" s="27" t="inlineStr">
        <is>
          <t>B</t>
        </is>
      </c>
      <c r="FP8841" s="27" t="inlineStr">
        <is>
          <t>B</t>
        </is>
      </c>
    </row>
    <row r="8842">
      <c r="FC8842" t="inlineStr">
        <is>
          <t>Diccionario 8</t>
        </is>
      </c>
      <c r="FD8842" s="26" t="inlineStr">
        <is>
          <t>DC-B1851 / VLBZ-96|</t>
        </is>
      </c>
      <c r="FL8842" s="27" t="inlineStr">
        <is>
          <t>B</t>
        </is>
      </c>
      <c r="FP8842" s="27" t="inlineStr">
        <is>
          <t>B</t>
        </is>
      </c>
    </row>
    <row r="8843">
      <c r="FC8843" t="inlineStr">
        <is>
          <t>Diccionario 8</t>
        </is>
      </c>
      <c r="FD8843" s="26" t="inlineStr">
        <is>
          <t>DC-B1852 / VLCB-26|</t>
        </is>
      </c>
      <c r="FL8843" s="27" t="inlineStr">
        <is>
          <t>B</t>
        </is>
      </c>
      <c r="FP8843" s="27" t="inlineStr">
        <is>
          <t>B</t>
        </is>
      </c>
    </row>
    <row r="8844">
      <c r="FC8844" t="inlineStr">
        <is>
          <t>Diccionario 8</t>
        </is>
      </c>
      <c r="FD8844" s="26" t="inlineStr">
        <is>
          <t>DC-B1853 / VLCB-56|</t>
        </is>
      </c>
      <c r="FL8844" s="27" t="inlineStr">
        <is>
          <t>B</t>
        </is>
      </c>
      <c r="FP8844" s="27" t="inlineStr">
        <is>
          <t>B</t>
        </is>
      </c>
    </row>
    <row r="8845">
      <c r="FC8845" t="inlineStr">
        <is>
          <t>Diccionario 8</t>
        </is>
      </c>
      <c r="FD8845" s="26" t="inlineStr">
        <is>
          <t>DC-B1854 / VLCC-16|</t>
        </is>
      </c>
      <c r="FL8845" s="27" t="inlineStr">
        <is>
          <t>B</t>
        </is>
      </c>
      <c r="FP8845" s="27" t="inlineStr">
        <is>
          <t>B</t>
        </is>
      </c>
    </row>
    <row r="8846">
      <c r="FC8846" t="inlineStr">
        <is>
          <t>Diccionario 8</t>
        </is>
      </c>
      <c r="FD8846" s="26" t="inlineStr">
        <is>
          <t>DC-B1855 / VLCC-36|</t>
        </is>
      </c>
      <c r="FL8846" s="27" t="inlineStr">
        <is>
          <t>B</t>
        </is>
      </c>
      <c r="FP8846" s="27" t="inlineStr">
        <is>
          <t>B</t>
        </is>
      </c>
    </row>
    <row r="8847">
      <c r="FC8847" t="inlineStr">
        <is>
          <t>Diccionario 8</t>
        </is>
      </c>
      <c r="FD8847" s="26" t="inlineStr">
        <is>
          <t>DC-B1856 / VLCD-56|</t>
        </is>
      </c>
      <c r="FL8847" s="27" t="inlineStr">
        <is>
          <t>B</t>
        </is>
      </c>
      <c r="FP8847" s="27" t="inlineStr">
        <is>
          <t>B</t>
        </is>
      </c>
    </row>
    <row r="8848">
      <c r="FC8848" t="inlineStr">
        <is>
          <t>Diccionario 8</t>
        </is>
      </c>
      <c r="FD8848" s="26" t="inlineStr">
        <is>
          <t>DC-B1857 / VLCD-65|</t>
        </is>
      </c>
      <c r="FL8848" s="27" t="inlineStr">
        <is>
          <t>B</t>
        </is>
      </c>
      <c r="FP8848" s="27" t="inlineStr">
        <is>
          <t>B</t>
        </is>
      </c>
    </row>
    <row r="8849">
      <c r="FC8849" t="inlineStr">
        <is>
          <t>Diccionario 8</t>
        </is>
      </c>
      <c r="FD8849" s="26" t="inlineStr">
        <is>
          <t>DC-B1858 / VLCF-18|</t>
        </is>
      </c>
      <c r="FL8849" s="27" t="inlineStr">
        <is>
          <t>B</t>
        </is>
      </c>
      <c r="FP8849" s="27" t="inlineStr">
        <is>
          <t>B</t>
        </is>
      </c>
    </row>
    <row r="8850">
      <c r="FC8850" t="inlineStr">
        <is>
          <t>Diccionario 8</t>
        </is>
      </c>
      <c r="FD8850" s="26" t="inlineStr">
        <is>
          <t>DC-B1859 / VLCF-76|</t>
        </is>
      </c>
      <c r="FL8850" s="27" t="inlineStr">
        <is>
          <t>B</t>
        </is>
      </c>
      <c r="FP8850" s="27" t="inlineStr">
        <is>
          <t>B</t>
        </is>
      </c>
    </row>
    <row r="8851">
      <c r="FC8851" t="inlineStr">
        <is>
          <t>Diccionario 8</t>
        </is>
      </c>
      <c r="FD8851" s="26" t="inlineStr">
        <is>
          <t>DC-B1860 / VLCG-67|</t>
        </is>
      </c>
      <c r="FL8851" s="27" t="inlineStr">
        <is>
          <t>B</t>
        </is>
      </c>
      <c r="FP8851" s="27" t="inlineStr">
        <is>
          <t>B</t>
        </is>
      </c>
    </row>
    <row r="8852">
      <c r="FC8852" t="inlineStr">
        <is>
          <t>Diccionario 8</t>
        </is>
      </c>
      <c r="FD8852" s="26" t="inlineStr">
        <is>
          <t>DC-B1861 / VLCK-37|</t>
        </is>
      </c>
      <c r="FL8852" s="27" t="inlineStr">
        <is>
          <t>B</t>
        </is>
      </c>
      <c r="FP8852" s="27" t="inlineStr">
        <is>
          <t>B</t>
        </is>
      </c>
    </row>
    <row r="8853">
      <c r="FC8853" t="inlineStr">
        <is>
          <t>Diccionario 8</t>
        </is>
      </c>
      <c r="FD8853" s="26" t="inlineStr">
        <is>
          <t>DC-B1862 / VLCK-77|</t>
        </is>
      </c>
      <c r="FL8853" s="27" t="inlineStr">
        <is>
          <t>B</t>
        </is>
      </c>
      <c r="FP8853" s="27" t="inlineStr">
        <is>
          <t>B</t>
        </is>
      </c>
    </row>
    <row r="8854">
      <c r="FC8854" t="inlineStr">
        <is>
          <t>Diccionario 8</t>
        </is>
      </c>
      <c r="FD8854" s="26" t="inlineStr">
        <is>
          <t>DC-B1863 / VLFG-56|</t>
        </is>
      </c>
      <c r="FL8854" s="27" t="inlineStr">
        <is>
          <t>B</t>
        </is>
      </c>
      <c r="FP8854" s="27" t="inlineStr">
        <is>
          <t>B</t>
        </is>
      </c>
    </row>
    <row r="8855">
      <c r="FC8855" t="inlineStr">
        <is>
          <t>Diccionario 8</t>
        </is>
      </c>
      <c r="FD8855" s="26" t="inlineStr">
        <is>
          <t>DC-B1864 / VLFG-69|</t>
        </is>
      </c>
      <c r="FL8855" s="27" t="inlineStr">
        <is>
          <t>B</t>
        </is>
      </c>
      <c r="FP8855" s="27" t="inlineStr">
        <is>
          <t>B</t>
        </is>
      </c>
    </row>
    <row r="8856">
      <c r="FC8856" t="inlineStr">
        <is>
          <t>Diccionario 8</t>
        </is>
      </c>
      <c r="FD8856" s="26" t="inlineStr">
        <is>
          <t>DC-B1865 / VLFG-78|</t>
        </is>
      </c>
      <c r="FL8856" s="27" t="inlineStr">
        <is>
          <t>B</t>
        </is>
      </c>
      <c r="FP8856" s="27" t="inlineStr">
        <is>
          <t>B</t>
        </is>
      </c>
    </row>
    <row r="8857">
      <c r="FC8857" t="inlineStr">
        <is>
          <t>Diccionario 8</t>
        </is>
      </c>
      <c r="FD8857" s="26" t="inlineStr">
        <is>
          <t>DC-B1866 / VLFG-89|</t>
        </is>
      </c>
      <c r="FL8857" s="27" t="inlineStr">
        <is>
          <t>B</t>
        </is>
      </c>
      <c r="FP8857" s="27" t="inlineStr">
        <is>
          <t>B</t>
        </is>
      </c>
    </row>
    <row r="8858">
      <c r="FC8858" t="inlineStr">
        <is>
          <t>Diccionario 8</t>
        </is>
      </c>
      <c r="FD8858" s="26" t="inlineStr">
        <is>
          <t>DC-B1867 / VLFH-16|</t>
        </is>
      </c>
      <c r="FL8858" s="27" t="inlineStr">
        <is>
          <t>B</t>
        </is>
      </c>
      <c r="FP8858" s="27" t="inlineStr">
        <is>
          <t>B</t>
        </is>
      </c>
    </row>
    <row r="8859">
      <c r="FC8859" t="inlineStr">
        <is>
          <t>Diccionario 8</t>
        </is>
      </c>
      <c r="FD8859" s="26" t="inlineStr">
        <is>
          <t>DC-B1868 / VLFH-46|</t>
        </is>
      </c>
      <c r="FL8859" s="27" t="inlineStr">
        <is>
          <t>B</t>
        </is>
      </c>
      <c r="FP8859" s="27" t="inlineStr">
        <is>
          <t>B</t>
        </is>
      </c>
    </row>
    <row r="8860">
      <c r="FC8860" t="inlineStr">
        <is>
          <t>Diccionario 8</t>
        </is>
      </c>
      <c r="FD8860" s="26" t="inlineStr">
        <is>
          <t>LA-B1869 / VLFH-48|</t>
        </is>
      </c>
      <c r="FL8860" s="27" t="inlineStr">
        <is>
          <t>B</t>
        </is>
      </c>
      <c r="FP8860" s="27" t="inlineStr">
        <is>
          <t>B</t>
        </is>
      </c>
    </row>
    <row r="8861">
      <c r="FC8861" t="inlineStr">
        <is>
          <t>Diccionario 8</t>
        </is>
      </c>
      <c r="FD8861" s="26" t="inlineStr">
        <is>
          <t>LA-B1870 / VLFH-56|</t>
        </is>
      </c>
      <c r="FL8861" s="27" t="inlineStr">
        <is>
          <t>B</t>
        </is>
      </c>
      <c r="FP8861" s="27" t="inlineStr">
        <is>
          <t>B</t>
        </is>
      </c>
    </row>
    <row r="8862">
      <c r="FC8862" t="inlineStr">
        <is>
          <t>Diccionario 8</t>
        </is>
      </c>
      <c r="FD8862" s="26" t="inlineStr">
        <is>
          <t>LA-B1871 / VLFH-63|</t>
        </is>
      </c>
      <c r="FL8862" s="27" t="inlineStr">
        <is>
          <t>B</t>
        </is>
      </c>
      <c r="FP8862" s="27" t="inlineStr">
        <is>
          <t>B</t>
        </is>
      </c>
    </row>
    <row r="8863">
      <c r="FC8863" t="inlineStr">
        <is>
          <t>Diccionario 8</t>
        </is>
      </c>
      <c r="FD8863" s="26" t="inlineStr">
        <is>
          <t>LA-B1872 / VLFJ-57|</t>
        </is>
      </c>
      <c r="FL8863" s="27" t="inlineStr">
        <is>
          <t>B</t>
        </is>
      </c>
      <c r="FP8863" s="27" t="inlineStr">
        <is>
          <t>B</t>
        </is>
      </c>
    </row>
    <row r="8864">
      <c r="FC8864" t="inlineStr">
        <is>
          <t>Diccionario 8</t>
        </is>
      </c>
      <c r="FD8864" s="26" t="inlineStr">
        <is>
          <t>LA-B1873 / VLFJ-62|</t>
        </is>
      </c>
      <c r="FL8864" s="27" t="inlineStr">
        <is>
          <t>B</t>
        </is>
      </c>
      <c r="FP8864" s="27" t="inlineStr">
        <is>
          <t>B</t>
        </is>
      </c>
    </row>
    <row r="8865">
      <c r="FC8865" t="inlineStr">
        <is>
          <t>Diccionario 8</t>
        </is>
      </c>
      <c r="FD8865" s="26" t="inlineStr">
        <is>
          <t>LA-B1874 / VLFJ-65|</t>
        </is>
      </c>
      <c r="FL8865" s="27" t="inlineStr">
        <is>
          <t>B</t>
        </is>
      </c>
      <c r="FP8865" s="27" t="inlineStr">
        <is>
          <t>B</t>
        </is>
      </c>
    </row>
    <row r="8866">
      <c r="FC8866" t="inlineStr">
        <is>
          <t>Diccionario 8</t>
        </is>
      </c>
      <c r="FD8866" s="26" t="inlineStr">
        <is>
          <t>LA-B1875 / VLFJ-82|</t>
        </is>
      </c>
      <c r="FL8866" s="27" t="inlineStr">
        <is>
          <t>B</t>
        </is>
      </c>
      <c r="FP8866" s="27" t="inlineStr">
        <is>
          <t>B</t>
        </is>
      </c>
    </row>
    <row r="8867">
      <c r="FC8867" t="inlineStr">
        <is>
          <t>Diccionario 8</t>
        </is>
      </c>
      <c r="FD8867" s="26" t="inlineStr">
        <is>
          <t>LA-B1876 / VLFJ-85|</t>
        </is>
      </c>
      <c r="FL8867" s="27" t="inlineStr">
        <is>
          <t>B</t>
        </is>
      </c>
      <c r="FP8867" s="27" t="inlineStr">
        <is>
          <t>B</t>
        </is>
      </c>
    </row>
    <row r="8868">
      <c r="FC8868" t="inlineStr">
        <is>
          <t>Diccionario 8</t>
        </is>
      </c>
      <c r="FD8868" s="26" t="inlineStr">
        <is>
          <t>LA-B1877 / VLLY-27|</t>
        </is>
      </c>
      <c r="FL8868" s="27" t="inlineStr">
        <is>
          <t>B</t>
        </is>
      </c>
      <c r="FP8868" s="27" t="inlineStr">
        <is>
          <t>B</t>
        </is>
      </c>
    </row>
    <row r="8869">
      <c r="FC8869" t="inlineStr">
        <is>
          <t>Diccionario 8</t>
        </is>
      </c>
      <c r="FD8869" s="26" t="inlineStr">
        <is>
          <t>LA-B1878 / VLPD-24|</t>
        </is>
      </c>
      <c r="FL8869" s="27" t="inlineStr">
        <is>
          <t>B</t>
        </is>
      </c>
      <c r="FP8869" s="27" t="inlineStr">
        <is>
          <t>B</t>
        </is>
      </c>
    </row>
    <row r="8870">
      <c r="FC8870" t="inlineStr">
        <is>
          <t>Diccionario 8</t>
        </is>
      </c>
      <c r="FD8870" s="26" t="inlineStr">
        <is>
          <t>LA-B1879 / VLRS-46|</t>
        </is>
      </c>
      <c r="FL8870" s="27" t="inlineStr">
        <is>
          <t>B</t>
        </is>
      </c>
      <c r="FP8870" s="27" t="inlineStr">
        <is>
          <t>B</t>
        </is>
      </c>
    </row>
    <row r="8871">
      <c r="FC8871" t="inlineStr">
        <is>
          <t>Diccionario 8</t>
        </is>
      </c>
      <c r="FD8871" s="26" t="inlineStr">
        <is>
          <t>LA-A1880 / VLSD-60|</t>
        </is>
      </c>
      <c r="FL8871" s="27" t="inlineStr">
        <is>
          <t>A</t>
        </is>
      </c>
      <c r="FP8871" s="27" t="inlineStr">
        <is>
          <t>A</t>
        </is>
      </c>
    </row>
    <row r="8872">
      <c r="FC8872" t="inlineStr">
        <is>
          <t>Diccionario 8</t>
        </is>
      </c>
      <c r="FD8872" s="26" t="inlineStr">
        <is>
          <t>LA-A1881 / VLSD-66|</t>
        </is>
      </c>
      <c r="FL8872" s="27" t="inlineStr">
        <is>
          <t>A</t>
        </is>
      </c>
      <c r="FP8872" s="27" t="inlineStr">
        <is>
          <t>A</t>
        </is>
      </c>
    </row>
    <row r="8873">
      <c r="FC8873" t="inlineStr">
        <is>
          <t>Diccionario 8</t>
        </is>
      </c>
      <c r="FD8873" s="26" t="inlineStr">
        <is>
          <t>LA-A1882 / VLSD-67|</t>
        </is>
      </c>
      <c r="FL8873" s="27" t="inlineStr">
        <is>
          <t>A</t>
        </is>
      </c>
      <c r="FP8873" s="27" t="inlineStr">
        <is>
          <t>A</t>
        </is>
      </c>
    </row>
    <row r="8874">
      <c r="FC8874" t="inlineStr">
        <is>
          <t>Diccionario 8</t>
        </is>
      </c>
      <c r="FD8874" s="26" t="inlineStr">
        <is>
          <t>LA-A1883 / VLSD-68|</t>
        </is>
      </c>
      <c r="FL8874" s="27" t="inlineStr">
        <is>
          <t>A</t>
        </is>
      </c>
      <c r="FP8874" s="27" t="inlineStr">
        <is>
          <t>A</t>
        </is>
      </c>
    </row>
    <row r="8875">
      <c r="FC8875" t="inlineStr">
        <is>
          <t>Diccionario 8</t>
        </is>
      </c>
      <c r="FD8875" s="26" t="inlineStr">
        <is>
          <t>LA-A1884 / VLSD-70|</t>
        </is>
      </c>
      <c r="FL8875" s="27" t="inlineStr">
        <is>
          <t>A</t>
        </is>
      </c>
      <c r="FP8875" s="27" t="inlineStr">
        <is>
          <t>A</t>
        </is>
      </c>
    </row>
    <row r="8876">
      <c r="FC8876" t="inlineStr">
        <is>
          <t>Diccionario 8</t>
        </is>
      </c>
      <c r="FD8876" s="26" t="inlineStr">
        <is>
          <t>LA-A1885 / VLSD-77|</t>
        </is>
      </c>
      <c r="FL8876" s="27" t="inlineStr">
        <is>
          <t>A</t>
        </is>
      </c>
      <c r="FP8876" s="27" t="inlineStr">
        <is>
          <t>A</t>
        </is>
      </c>
    </row>
    <row r="8877">
      <c r="FC8877" t="inlineStr">
        <is>
          <t>Diccionario 8</t>
        </is>
      </c>
      <c r="FD8877" s="26" t="inlineStr">
        <is>
          <t>LA-A1886 / VLSJ-88|</t>
        </is>
      </c>
      <c r="FL8877" s="27" t="inlineStr">
        <is>
          <t>A</t>
        </is>
      </c>
      <c r="FP8877" s="27" t="inlineStr">
        <is>
          <t>A</t>
        </is>
      </c>
    </row>
    <row r="8878">
      <c r="FC8878" t="inlineStr">
        <is>
          <t>Diccionario 8</t>
        </is>
      </c>
      <c r="FD8878" s="26" t="inlineStr">
        <is>
          <t>LA-A1887 / VLSK-17|</t>
        </is>
      </c>
      <c r="FL8878" s="27" t="inlineStr">
        <is>
          <t>A</t>
        </is>
      </c>
      <c r="FP8878" s="27" t="inlineStr">
        <is>
          <t>A</t>
        </is>
      </c>
    </row>
    <row r="8879">
      <c r="FC8879" t="inlineStr">
        <is>
          <t>Diccionario 8</t>
        </is>
      </c>
      <c r="FD8879" s="26" t="inlineStr">
        <is>
          <t>LA-A1888 / VLSK-18|</t>
        </is>
      </c>
      <c r="FL8879" s="27" t="inlineStr">
        <is>
          <t>A</t>
        </is>
      </c>
      <c r="FP8879" s="27" t="inlineStr">
        <is>
          <t>A</t>
        </is>
      </c>
    </row>
    <row r="8880">
      <c r="FC8880" t="inlineStr">
        <is>
          <t>Diccionario 8</t>
        </is>
      </c>
      <c r="FD8880" s="26" t="inlineStr">
        <is>
          <t>LA-B1889 / VLSK-19|</t>
        </is>
      </c>
      <c r="FL8880" s="27" t="inlineStr">
        <is>
          <t>B</t>
        </is>
      </c>
      <c r="FP8880" s="27" t="inlineStr">
        <is>
          <t>B</t>
        </is>
      </c>
    </row>
    <row r="8881">
      <c r="FC8881" t="inlineStr">
        <is>
          <t>Diccionario 8</t>
        </is>
      </c>
      <c r="FD8881" s="26" t="inlineStr">
        <is>
          <t>LA-B1890 / VLSK-23|</t>
        </is>
      </c>
      <c r="FL8881" s="27" t="inlineStr">
        <is>
          <t>B</t>
        </is>
      </c>
      <c r="FP8881" s="27" t="inlineStr">
        <is>
          <t>B</t>
        </is>
      </c>
    </row>
    <row r="8882">
      <c r="FC8882" t="inlineStr">
        <is>
          <t>Diccionario 8</t>
        </is>
      </c>
      <c r="FD8882" s="26" t="inlineStr">
        <is>
          <t>LA-B1891 / VLSK-25|</t>
        </is>
      </c>
      <c r="FL8882" s="27" t="inlineStr">
        <is>
          <t>B</t>
        </is>
      </c>
      <c r="FP8882" s="27" t="inlineStr">
        <is>
          <t>B</t>
        </is>
      </c>
    </row>
    <row r="8883">
      <c r="FC8883" t="inlineStr">
        <is>
          <t>Diccionario 8</t>
        </is>
      </c>
      <c r="FD8883" s="26" t="inlineStr">
        <is>
          <t>LA-B1892 / VLSK-26|</t>
        </is>
      </c>
      <c r="FL8883" s="27" t="inlineStr">
        <is>
          <t>B</t>
        </is>
      </c>
      <c r="FP8883" s="27" t="inlineStr">
        <is>
          <t>B</t>
        </is>
      </c>
    </row>
    <row r="8884">
      <c r="FC8884" t="inlineStr">
        <is>
          <t>Diccionario 8</t>
        </is>
      </c>
      <c r="FD8884" s="26" t="inlineStr">
        <is>
          <t>LA-B1893 / VLSK-29|</t>
        </is>
      </c>
      <c r="FL8884" s="27" t="inlineStr">
        <is>
          <t>B</t>
        </is>
      </c>
      <c r="FP8884" s="27" t="inlineStr">
        <is>
          <t>B</t>
        </is>
      </c>
    </row>
    <row r="8885">
      <c r="FC8885" t="inlineStr">
        <is>
          <t>Diccionario 8</t>
        </is>
      </c>
      <c r="FD8885" s="26" t="inlineStr">
        <is>
          <t>LA-B1894 / VLSK-30|</t>
        </is>
      </c>
      <c r="FL8885" s="27" t="inlineStr">
        <is>
          <t>B</t>
        </is>
      </c>
      <c r="FP8885" s="27" t="inlineStr">
        <is>
          <t>B</t>
        </is>
      </c>
    </row>
    <row r="8886">
      <c r="FC8886" t="inlineStr">
        <is>
          <t>Diccionario 8</t>
        </is>
      </c>
      <c r="FD8886" s="26" t="inlineStr">
        <is>
          <t>LA-B1895 / VLSK-39|</t>
        </is>
      </c>
      <c r="FL8886" s="27" t="inlineStr">
        <is>
          <t>B</t>
        </is>
      </c>
      <c r="FP8886" s="27" t="inlineStr">
        <is>
          <t>B</t>
        </is>
      </c>
    </row>
    <row r="8887">
      <c r="FC8887" t="inlineStr">
        <is>
          <t>Diccionario 8</t>
        </is>
      </c>
      <c r="FD8887" s="26" t="inlineStr">
        <is>
          <t>LA-B1896 / VLSK-44|</t>
        </is>
      </c>
      <c r="FL8887" s="27" t="inlineStr">
        <is>
          <t>B</t>
        </is>
      </c>
      <c r="FP8887" s="27" t="inlineStr">
        <is>
          <t>B</t>
        </is>
      </c>
    </row>
    <row r="8888">
      <c r="FC8888" t="inlineStr">
        <is>
          <t>Diccionario 8</t>
        </is>
      </c>
      <c r="FD8888" s="26" t="inlineStr">
        <is>
          <t>LA-B1897 / VLSK-46|</t>
        </is>
      </c>
      <c r="FL8888" s="27" t="inlineStr">
        <is>
          <t>B</t>
        </is>
      </c>
      <c r="FP8888" s="27" t="inlineStr">
        <is>
          <t>B</t>
        </is>
      </c>
    </row>
    <row r="8889">
      <c r="FC8889" t="inlineStr">
        <is>
          <t>Diccionario 8</t>
        </is>
      </c>
      <c r="FD8889" s="26" t="inlineStr">
        <is>
          <t>LA-B1898 / VLSK-53|</t>
        </is>
      </c>
      <c r="FL8889" s="27" t="inlineStr">
        <is>
          <t>B</t>
        </is>
      </c>
      <c r="FP8889" s="27" t="inlineStr">
        <is>
          <t>B</t>
        </is>
      </c>
    </row>
    <row r="8890">
      <c r="FC8890" t="inlineStr">
        <is>
          <t>Diccionario 8</t>
        </is>
      </c>
      <c r="FD8890" s="26" t="inlineStr">
        <is>
          <t>LA-B1899 / VLSK-64|</t>
        </is>
      </c>
      <c r="FL8890" s="27" t="inlineStr">
        <is>
          <t>B</t>
        </is>
      </c>
      <c r="FP8890" s="27" t="inlineStr">
        <is>
          <t>B</t>
        </is>
      </c>
    </row>
    <row r="8891">
      <c r="FC8891" t="inlineStr">
        <is>
          <t>Diccionario 8</t>
        </is>
      </c>
      <c r="FD8891" s="26" t="inlineStr">
        <is>
          <t>LA-B1900 / VLSK-70|</t>
        </is>
      </c>
      <c r="FL8891" s="27" t="inlineStr">
        <is>
          <t>B</t>
        </is>
      </c>
      <c r="FP8891" s="27" t="inlineStr">
        <is>
          <t>B</t>
        </is>
      </c>
    </row>
    <row r="8892">
      <c r="FC8892" t="inlineStr">
        <is>
          <t>Diccionario 8</t>
        </is>
      </c>
      <c r="FD8892" s="26" t="inlineStr">
        <is>
          <t>LA-B1901 / VLSK-77|</t>
        </is>
      </c>
      <c r="FL8892" s="27" t="inlineStr">
        <is>
          <t>B</t>
        </is>
      </c>
      <c r="FP8892" s="27" t="inlineStr">
        <is>
          <t>B</t>
        </is>
      </c>
    </row>
    <row r="8893">
      <c r="FC8893" t="inlineStr">
        <is>
          <t>Diccionario 8</t>
        </is>
      </c>
      <c r="FD8893" s="26" t="inlineStr">
        <is>
          <t>LA-B1902 / VLSK-86|</t>
        </is>
      </c>
      <c r="FL8893" s="27" t="inlineStr">
        <is>
          <t>B</t>
        </is>
      </c>
      <c r="FP8893" s="27" t="inlineStr">
        <is>
          <t>B</t>
        </is>
      </c>
    </row>
    <row r="8894">
      <c r="FC8894" t="inlineStr">
        <is>
          <t>Diccionario 8</t>
        </is>
      </c>
      <c r="FD8894" s="26" t="inlineStr">
        <is>
          <t>LA-B1903 / VLSK-93|</t>
        </is>
      </c>
      <c r="FL8894" s="27" t="inlineStr">
        <is>
          <t>B</t>
        </is>
      </c>
      <c r="FP8894" s="27" t="inlineStr">
        <is>
          <t>B</t>
        </is>
      </c>
    </row>
    <row r="8895">
      <c r="FC8895" t="inlineStr">
        <is>
          <t>Diccionario 8</t>
        </is>
      </c>
      <c r="FD8895" s="26" t="inlineStr">
        <is>
          <t>LA-B1904 / VLSK-95|</t>
        </is>
      </c>
      <c r="FL8895" s="27" t="inlineStr">
        <is>
          <t>B</t>
        </is>
      </c>
      <c r="FP8895" s="27" t="inlineStr">
        <is>
          <t>B</t>
        </is>
      </c>
    </row>
    <row r="8896">
      <c r="FC8896" t="inlineStr">
        <is>
          <t>Diccionario 8</t>
        </is>
      </c>
      <c r="FD8896" s="26" t="inlineStr">
        <is>
          <t>LA-B1905 / VLSK-99|</t>
        </is>
      </c>
      <c r="FL8896" s="27" t="inlineStr">
        <is>
          <t>B</t>
        </is>
      </c>
      <c r="FP8896" s="27" t="inlineStr">
        <is>
          <t>B</t>
        </is>
      </c>
    </row>
    <row r="8897">
      <c r="FC8897" t="inlineStr">
        <is>
          <t>Diccionario 8</t>
        </is>
      </c>
      <c r="FD8897" s="26" t="inlineStr">
        <is>
          <t>LA-B1906 / VLSL-10|</t>
        </is>
      </c>
      <c r="FL8897" s="27" t="inlineStr">
        <is>
          <t>B</t>
        </is>
      </c>
      <c r="FP8897" s="27" t="inlineStr">
        <is>
          <t>B</t>
        </is>
      </c>
    </row>
    <row r="8898">
      <c r="FC8898" t="inlineStr">
        <is>
          <t>Diccionario 8</t>
        </is>
      </c>
      <c r="FD8898" s="26" t="inlineStr">
        <is>
          <t>LA-B1907 / VLSL-16|</t>
        </is>
      </c>
      <c r="FL8898" s="27" t="inlineStr">
        <is>
          <t>B</t>
        </is>
      </c>
      <c r="FP8898" s="27" t="inlineStr">
        <is>
          <t>B</t>
        </is>
      </c>
    </row>
    <row r="8899">
      <c r="FC8899" t="inlineStr">
        <is>
          <t>Diccionario 8</t>
        </is>
      </c>
      <c r="FD8899" s="26" t="inlineStr">
        <is>
          <t>LA-B1908 / VLSL-25|</t>
        </is>
      </c>
      <c r="FL8899" s="27" t="inlineStr">
        <is>
          <t>B</t>
        </is>
      </c>
      <c r="FP8899" s="27" t="inlineStr">
        <is>
          <t>B</t>
        </is>
      </c>
    </row>
    <row r="8900">
      <c r="FC8900" t="inlineStr">
        <is>
          <t>Diccionario 8</t>
        </is>
      </c>
      <c r="FD8900" s="26" t="inlineStr">
        <is>
          <t>LA-B1909 / VLSS-34|</t>
        </is>
      </c>
      <c r="FL8900" s="27" t="inlineStr">
        <is>
          <t>B</t>
        </is>
      </c>
      <c r="FP8900" s="27" t="inlineStr">
        <is>
          <t>B</t>
        </is>
      </c>
    </row>
    <row r="8901">
      <c r="FC8901" t="inlineStr">
        <is>
          <t>Diccionario 8</t>
        </is>
      </c>
      <c r="FD8901" s="26" t="inlineStr">
        <is>
          <t>LA-B1910 / VLSS-37|</t>
        </is>
      </c>
      <c r="FL8901" s="27" t="inlineStr">
        <is>
          <t>B</t>
        </is>
      </c>
      <c r="FP8901" s="27" t="inlineStr">
        <is>
          <t>B</t>
        </is>
      </c>
    </row>
    <row r="8902">
      <c r="FC8902" t="inlineStr">
        <is>
          <t>Diccionario 8</t>
        </is>
      </c>
      <c r="FD8902" s="26" t="inlineStr">
        <is>
          <t>LA-B1911 / VLSS-45|</t>
        </is>
      </c>
      <c r="FL8902" s="27" t="inlineStr">
        <is>
          <t>B</t>
        </is>
      </c>
      <c r="FP8902" s="27" t="inlineStr">
        <is>
          <t>B</t>
        </is>
      </c>
    </row>
    <row r="8903">
      <c r="FC8903" t="inlineStr">
        <is>
          <t>Diccionario 8</t>
        </is>
      </c>
      <c r="FD8903" s="26" t="inlineStr">
        <is>
          <t>LA-B1912 / VLSS-69|</t>
        </is>
      </c>
      <c r="FL8903" s="27" t="inlineStr">
        <is>
          <t>B</t>
        </is>
      </c>
      <c r="FP8903" s="27" t="inlineStr">
        <is>
          <t>B</t>
        </is>
      </c>
    </row>
    <row r="8904">
      <c r="FC8904" t="inlineStr">
        <is>
          <t>Diccionario 8</t>
        </is>
      </c>
      <c r="FD8904" s="26" t="inlineStr">
        <is>
          <t>LA-B1913 / VLSS-88|</t>
        </is>
      </c>
      <c r="FL8904" s="27" t="inlineStr">
        <is>
          <t>B</t>
        </is>
      </c>
      <c r="FP8904" s="27" t="inlineStr">
        <is>
          <t>B</t>
        </is>
      </c>
    </row>
    <row r="8905">
      <c r="FC8905" t="inlineStr">
        <is>
          <t>Diccionario 8</t>
        </is>
      </c>
      <c r="FD8905" s="26" t="inlineStr">
        <is>
          <t>LA-B1914 / VLST-15|</t>
        </is>
      </c>
      <c r="FL8905" s="27" t="inlineStr">
        <is>
          <t>B</t>
        </is>
      </c>
      <c r="FP8905" s="27" t="inlineStr">
        <is>
          <t>B</t>
        </is>
      </c>
    </row>
    <row r="8906">
      <c r="FC8906" t="inlineStr">
        <is>
          <t>Diccionario 8</t>
        </is>
      </c>
      <c r="FD8906" s="26" t="inlineStr">
        <is>
          <t>LA-B1915 / VLST-23|</t>
        </is>
      </c>
      <c r="FL8906" s="27" t="inlineStr">
        <is>
          <t>B</t>
        </is>
      </c>
      <c r="FP8906" s="27" t="inlineStr">
        <is>
          <t>B</t>
        </is>
      </c>
    </row>
    <row r="8907">
      <c r="FC8907" t="inlineStr">
        <is>
          <t>Diccionario 8</t>
        </is>
      </c>
      <c r="FD8907" s="26" t="inlineStr">
        <is>
          <t>LA-B1916 / VLST-92|</t>
        </is>
      </c>
      <c r="FL8907" s="27" t="inlineStr">
        <is>
          <t>B</t>
        </is>
      </c>
      <c r="FP8907" s="27" t="inlineStr">
        <is>
          <t>B</t>
        </is>
      </c>
    </row>
    <row r="8908">
      <c r="FC8908" t="inlineStr">
        <is>
          <t>Diccionario 8</t>
        </is>
      </c>
      <c r="FD8908" s="26" t="inlineStr">
        <is>
          <t>LA-B1917 / VLSV-15|</t>
        </is>
      </c>
      <c r="FL8908" s="27" t="inlineStr">
        <is>
          <t>B</t>
        </is>
      </c>
      <c r="FP8908" s="27" t="inlineStr">
        <is>
          <t>B</t>
        </is>
      </c>
    </row>
    <row r="8909">
      <c r="FC8909" t="inlineStr">
        <is>
          <t>Diccionario 8</t>
        </is>
      </c>
      <c r="FD8909" s="26" t="inlineStr">
        <is>
          <t>LA-B1918 / VLSV-32|</t>
        </is>
      </c>
      <c r="FL8909" s="27" t="inlineStr">
        <is>
          <t>B</t>
        </is>
      </c>
      <c r="FP8909" s="27" t="inlineStr">
        <is>
          <t>B</t>
        </is>
      </c>
    </row>
    <row r="8910">
      <c r="FC8910" t="inlineStr">
        <is>
          <t>Diccionario 8</t>
        </is>
      </c>
      <c r="FD8910" s="26" t="inlineStr">
        <is>
          <t>LA-B1919 / VLSW-32|</t>
        </is>
      </c>
      <c r="FL8910" s="27" t="inlineStr">
        <is>
          <t>B</t>
        </is>
      </c>
      <c r="FP8910" s="27" t="inlineStr">
        <is>
          <t>B</t>
        </is>
      </c>
    </row>
    <row r="8911">
      <c r="FC8911" t="inlineStr">
        <is>
          <t>Diccionario 8</t>
        </is>
      </c>
      <c r="FD8911" s="26" t="inlineStr">
        <is>
          <t>LA-B1920 / VLSY-93|</t>
        </is>
      </c>
      <c r="FL8911" s="27" t="inlineStr">
        <is>
          <t>B</t>
        </is>
      </c>
      <c r="FP8911" s="27" t="inlineStr">
        <is>
          <t>B</t>
        </is>
      </c>
    </row>
    <row r="8912">
      <c r="FC8912" t="inlineStr">
        <is>
          <t>Diccionario 8</t>
        </is>
      </c>
      <c r="FD8912" s="26" t="inlineStr">
        <is>
          <t>LA-B1921 / VLSY-95|</t>
        </is>
      </c>
      <c r="FL8912" s="27" t="inlineStr">
        <is>
          <t>B</t>
        </is>
      </c>
      <c r="FP8912" s="27" t="inlineStr">
        <is>
          <t>B</t>
        </is>
      </c>
    </row>
    <row r="8913">
      <c r="FC8913" t="inlineStr">
        <is>
          <t>Diccionario 8</t>
        </is>
      </c>
      <c r="FD8913" s="26" t="inlineStr">
        <is>
          <t>LA-B1922 / VLSY-96|</t>
        </is>
      </c>
      <c r="FL8913" s="27" t="inlineStr">
        <is>
          <t>B</t>
        </is>
      </c>
      <c r="FP8913" s="27" t="inlineStr">
        <is>
          <t>B</t>
        </is>
      </c>
    </row>
    <row r="8914">
      <c r="FC8914" t="inlineStr">
        <is>
          <t>Diccionario 8</t>
        </is>
      </c>
      <c r="FD8914" s="26" t="inlineStr">
        <is>
          <t>LA-B1923 / VLSY-97|</t>
        </is>
      </c>
      <c r="FL8914" s="27" t="inlineStr">
        <is>
          <t>B</t>
        </is>
      </c>
      <c r="FP8914" s="27" t="inlineStr">
        <is>
          <t>B</t>
        </is>
      </c>
    </row>
    <row r="8915">
      <c r="FC8915" t="inlineStr">
        <is>
          <t>Diccionario 8</t>
        </is>
      </c>
      <c r="FD8915" s="26" t="inlineStr">
        <is>
          <t>LA-B1924 / VLSY-98|</t>
        </is>
      </c>
      <c r="FL8915" s="27" t="inlineStr">
        <is>
          <t>B</t>
        </is>
      </c>
      <c r="FP8915" s="27" t="inlineStr">
        <is>
          <t>B</t>
        </is>
      </c>
    </row>
    <row r="8916">
      <c r="FC8916" t="inlineStr">
        <is>
          <t>Diccionario 8</t>
        </is>
      </c>
      <c r="FD8916" s="26" t="inlineStr">
        <is>
          <t>LA-B1925 / VLSZ-15|</t>
        </is>
      </c>
      <c r="FL8916" s="27" t="inlineStr">
        <is>
          <t>B</t>
        </is>
      </c>
      <c r="FP8916" s="27" t="inlineStr">
        <is>
          <t>B</t>
        </is>
      </c>
    </row>
    <row r="8917">
      <c r="FC8917" t="inlineStr">
        <is>
          <t>Diccionario 8</t>
        </is>
      </c>
      <c r="FD8917" s="26" t="inlineStr">
        <is>
          <t>LA-B1926 / VLSZ-16|</t>
        </is>
      </c>
      <c r="FL8917" s="27" t="inlineStr">
        <is>
          <t>B</t>
        </is>
      </c>
      <c r="FP8917" s="27" t="inlineStr">
        <is>
          <t>B</t>
        </is>
      </c>
    </row>
    <row r="8918">
      <c r="FC8918" t="inlineStr">
        <is>
          <t>Diccionario 8</t>
        </is>
      </c>
      <c r="FD8918" s="26" t="inlineStr">
        <is>
          <t>LA-B1927 / VLSZ-23|</t>
        </is>
      </c>
      <c r="FL8918" s="27" t="inlineStr">
        <is>
          <t>B</t>
        </is>
      </c>
      <c r="FP8918" s="27" t="inlineStr">
        <is>
          <t>B</t>
        </is>
      </c>
    </row>
    <row r="8919">
      <c r="FC8919" t="inlineStr">
        <is>
          <t>Diccionario 8</t>
        </is>
      </c>
      <c r="FD8919" s="26" t="inlineStr">
        <is>
          <t>LA-B1928 / VLSZ-25|</t>
        </is>
      </c>
      <c r="FL8919" s="27" t="inlineStr">
        <is>
          <t>B</t>
        </is>
      </c>
      <c r="FP8919" s="27" t="inlineStr">
        <is>
          <t>B</t>
        </is>
      </c>
    </row>
    <row r="8920">
      <c r="FC8920" t="inlineStr">
        <is>
          <t>Diccionario 8</t>
        </is>
      </c>
      <c r="FD8920" s="26" t="inlineStr">
        <is>
          <t>LA-B1929 / VLSZ-26|</t>
        </is>
      </c>
      <c r="FL8920" s="27" t="inlineStr">
        <is>
          <t>B</t>
        </is>
      </c>
      <c r="FP8920" s="27" t="inlineStr">
        <is>
          <t>B</t>
        </is>
      </c>
    </row>
    <row r="8921">
      <c r="FC8921" t="inlineStr">
        <is>
          <t>Diccionario 8</t>
        </is>
      </c>
      <c r="FD8921" s="26" t="inlineStr">
        <is>
          <t>LA-B1930 / VLSZ-46|</t>
        </is>
      </c>
      <c r="FL8921" s="27" t="inlineStr">
        <is>
          <t>B</t>
        </is>
      </c>
      <c r="FP8921" s="27" t="inlineStr">
        <is>
          <t>B</t>
        </is>
      </c>
    </row>
    <row r="8922">
      <c r="FC8922" t="inlineStr">
        <is>
          <t>Diccionario 8</t>
        </is>
      </c>
      <c r="FD8922" s="26" t="inlineStr">
        <is>
          <t>LA-B1931 / VLSZ-52|</t>
        </is>
      </c>
      <c r="FL8922" s="27" t="inlineStr">
        <is>
          <t>B</t>
        </is>
      </c>
      <c r="FP8922" s="27" t="inlineStr">
        <is>
          <t>B</t>
        </is>
      </c>
    </row>
    <row r="8923">
      <c r="FC8923" t="inlineStr">
        <is>
          <t>Diccionario 8</t>
        </is>
      </c>
      <c r="FD8923" s="26" t="inlineStr">
        <is>
          <t>LA-B1932 / VLSZ-54|</t>
        </is>
      </c>
      <c r="FL8923" s="27" t="inlineStr">
        <is>
          <t>B</t>
        </is>
      </c>
      <c r="FP8923" s="27" t="inlineStr">
        <is>
          <t>B</t>
        </is>
      </c>
    </row>
    <row r="8924">
      <c r="FC8924" t="inlineStr">
        <is>
          <t>Diccionario 8</t>
        </is>
      </c>
      <c r="FD8924" s="26" t="inlineStr">
        <is>
          <t>LA-B1933 / VLSZ-65|</t>
        </is>
      </c>
      <c r="FL8924" s="27" t="inlineStr">
        <is>
          <t>B</t>
        </is>
      </c>
      <c r="FP8924" s="27" t="inlineStr">
        <is>
          <t>B</t>
        </is>
      </c>
    </row>
    <row r="8925">
      <c r="FC8925" t="inlineStr">
        <is>
          <t>Diccionario 8</t>
        </is>
      </c>
      <c r="FD8925" s="26" t="inlineStr">
        <is>
          <t>LA-B1934 / VLSZ-68|</t>
        </is>
      </c>
      <c r="FL8925" s="27" t="inlineStr">
        <is>
          <t>B</t>
        </is>
      </c>
      <c r="FP8925" s="27" t="inlineStr">
        <is>
          <t>B</t>
        </is>
      </c>
    </row>
    <row r="8926">
      <c r="FC8926" t="inlineStr">
        <is>
          <t>Diccionario 8</t>
        </is>
      </c>
      <c r="FD8926" s="26" t="inlineStr">
        <is>
          <t>LA-B1935 / VLSZ-75|</t>
        </is>
      </c>
      <c r="FL8926" s="27" t="inlineStr">
        <is>
          <t>B</t>
        </is>
      </c>
      <c r="FP8926" s="27" t="inlineStr">
        <is>
          <t>B</t>
        </is>
      </c>
    </row>
    <row r="8927">
      <c r="FC8927" t="inlineStr">
        <is>
          <t>Diccionario 8</t>
        </is>
      </c>
      <c r="FD8927" s="26" t="inlineStr">
        <is>
          <t>LA-B1936 / VLTB-15|</t>
        </is>
      </c>
      <c r="FL8927" s="27" t="inlineStr">
        <is>
          <t>B</t>
        </is>
      </c>
      <c r="FP8927" s="27" t="inlineStr">
        <is>
          <t>B</t>
        </is>
      </c>
    </row>
    <row r="8928">
      <c r="FC8928" t="inlineStr">
        <is>
          <t>Diccionario 8</t>
        </is>
      </c>
      <c r="FD8928" s="26" t="inlineStr">
        <is>
          <t>LA-B1937 / VLTB-35|</t>
        </is>
      </c>
      <c r="FL8928" s="27" t="inlineStr">
        <is>
          <t>B</t>
        </is>
      </c>
      <c r="FP8928" s="27" t="inlineStr">
        <is>
          <t>B</t>
        </is>
      </c>
    </row>
    <row r="8929">
      <c r="FC8929" t="inlineStr">
        <is>
          <t>Diccionario 8</t>
        </is>
      </c>
      <c r="FD8929" s="26" t="inlineStr">
        <is>
          <t>LA-B1938 / VLTB-43|</t>
        </is>
      </c>
      <c r="FL8929" s="27" t="inlineStr">
        <is>
          <t>B</t>
        </is>
      </c>
      <c r="FP8929" s="27" t="inlineStr">
        <is>
          <t>B</t>
        </is>
      </c>
    </row>
    <row r="8930">
      <c r="FC8930" t="inlineStr">
        <is>
          <t>Diccionario 8</t>
        </is>
      </c>
      <c r="FD8930" s="26" t="inlineStr">
        <is>
          <t>LA-B1939 / VLTB-85|</t>
        </is>
      </c>
      <c r="FL8930" s="27" t="inlineStr">
        <is>
          <t>B</t>
        </is>
      </c>
      <c r="FP8930" s="27" t="inlineStr">
        <is>
          <t>B</t>
        </is>
      </c>
    </row>
    <row r="8931">
      <c r="FC8931" t="inlineStr">
        <is>
          <t>Diccionario 8</t>
        </is>
      </c>
      <c r="FD8931" s="26" t="inlineStr">
        <is>
          <t>LA-B1940 / VLTB-93|</t>
        </is>
      </c>
      <c r="FL8931" s="27" t="inlineStr">
        <is>
          <t>B</t>
        </is>
      </c>
      <c r="FP8931" s="27" t="inlineStr">
        <is>
          <t>B</t>
        </is>
      </c>
    </row>
    <row r="8932">
      <c r="FC8932" t="inlineStr">
        <is>
          <t>Diccionario 8</t>
        </is>
      </c>
      <c r="FD8932" s="26" t="inlineStr">
        <is>
          <t>LA-B1941 / VLTB-94|</t>
        </is>
      </c>
      <c r="FL8932" s="27" t="inlineStr">
        <is>
          <t>B</t>
        </is>
      </c>
      <c r="FP8932" s="27" t="inlineStr">
        <is>
          <t>B</t>
        </is>
      </c>
    </row>
    <row r="8933">
      <c r="FC8933" t="inlineStr">
        <is>
          <t>Diccionario 8</t>
        </is>
      </c>
      <c r="FD8933" s="26" t="inlineStr">
        <is>
          <t>LA-B1942 / VLTC-16|</t>
        </is>
      </c>
      <c r="FL8933" s="27" t="inlineStr">
        <is>
          <t>B</t>
        </is>
      </c>
      <c r="FP8933" s="27" t="inlineStr">
        <is>
          <t>B</t>
        </is>
      </c>
    </row>
    <row r="8934">
      <c r="FC8934" t="inlineStr">
        <is>
          <t>Diccionario 8</t>
        </is>
      </c>
      <c r="FD8934" s="26" t="inlineStr">
        <is>
          <t>LA-B1943 / VLTC-17|</t>
        </is>
      </c>
      <c r="FL8934" s="27" t="inlineStr">
        <is>
          <t>B</t>
        </is>
      </c>
      <c r="FP8934" s="27" t="inlineStr">
        <is>
          <t>B</t>
        </is>
      </c>
    </row>
    <row r="8935">
      <c r="FC8935" t="inlineStr">
        <is>
          <t>Diccionario 8</t>
        </is>
      </c>
      <c r="FD8935" s="26" t="inlineStr">
        <is>
          <t>LA-B1944 / VLTC-21|</t>
        </is>
      </c>
      <c r="FL8935" s="27" t="inlineStr">
        <is>
          <t>B</t>
        </is>
      </c>
      <c r="FP8935" s="27" t="inlineStr">
        <is>
          <t>B</t>
        </is>
      </c>
    </row>
    <row r="8936">
      <c r="FC8936" t="inlineStr">
        <is>
          <t>Diccionario 8</t>
        </is>
      </c>
      <c r="FD8936" s="26" t="inlineStr">
        <is>
          <t>LA-B1945 / VLTC-23|</t>
        </is>
      </c>
      <c r="FL8936" s="27" t="inlineStr">
        <is>
          <t>B</t>
        </is>
      </c>
      <c r="FP8936" s="27" t="inlineStr">
        <is>
          <t>B</t>
        </is>
      </c>
    </row>
    <row r="8937">
      <c r="FC8937" t="inlineStr">
        <is>
          <t>Diccionario 8</t>
        </is>
      </c>
      <c r="FD8937" s="26" t="inlineStr">
        <is>
          <t>LA-B1946 / VLTC-32|</t>
        </is>
      </c>
      <c r="FL8937" s="27" t="inlineStr">
        <is>
          <t>B</t>
        </is>
      </c>
      <c r="FP8937" s="27" t="inlineStr">
        <is>
          <t>B</t>
        </is>
      </c>
    </row>
    <row r="8938">
      <c r="FC8938" t="inlineStr">
        <is>
          <t>Diccionario 8</t>
        </is>
      </c>
      <c r="FD8938" s="26" t="inlineStr">
        <is>
          <t>LA-B1947 / VLTC-33|</t>
        </is>
      </c>
      <c r="FL8938" s="27" t="inlineStr">
        <is>
          <t>B</t>
        </is>
      </c>
      <c r="FP8938" s="27" t="inlineStr">
        <is>
          <t>B</t>
        </is>
      </c>
    </row>
    <row r="8939">
      <c r="FC8939" t="inlineStr">
        <is>
          <t>Diccionario 8</t>
        </is>
      </c>
      <c r="FD8939" s="26" t="inlineStr">
        <is>
          <t>LA-B1948 / VLTC-34|</t>
        </is>
      </c>
      <c r="FL8939" s="27" t="inlineStr">
        <is>
          <t>B</t>
        </is>
      </c>
      <c r="FP8939" s="27" t="inlineStr">
        <is>
          <t>B</t>
        </is>
      </c>
    </row>
    <row r="8940">
      <c r="FC8940" t="inlineStr">
        <is>
          <t>Diccionario 8</t>
        </is>
      </c>
      <c r="FD8940" s="26" t="inlineStr">
        <is>
          <t>LA-B1949 / VLTC-35|</t>
        </is>
      </c>
      <c r="FL8940" s="27" t="inlineStr">
        <is>
          <t>B</t>
        </is>
      </c>
      <c r="FP8940" s="27" t="inlineStr">
        <is>
          <t>B</t>
        </is>
      </c>
    </row>
    <row r="8941">
      <c r="FC8941" t="inlineStr">
        <is>
          <t>Diccionario 8</t>
        </is>
      </c>
      <c r="FD8941" s="26" t="inlineStr">
        <is>
          <t>LA-B1950 / VLTC-36|</t>
        </is>
      </c>
      <c r="FL8941" s="27" t="inlineStr">
        <is>
          <t>B</t>
        </is>
      </c>
      <c r="FP8941" s="27" t="inlineStr">
        <is>
          <t>B</t>
        </is>
      </c>
    </row>
    <row r="8942">
      <c r="FC8942" t="inlineStr">
        <is>
          <t>Diccionario 8</t>
        </is>
      </c>
      <c r="FD8942" s="26" t="inlineStr">
        <is>
          <t>LA-B1951 / VLTC-37|</t>
        </is>
      </c>
      <c r="FL8942" s="27" t="inlineStr">
        <is>
          <t>B</t>
        </is>
      </c>
      <c r="FP8942" s="27" t="inlineStr">
        <is>
          <t>B</t>
        </is>
      </c>
    </row>
    <row r="8943">
      <c r="FC8943" t="inlineStr">
        <is>
          <t>Diccionario 8</t>
        </is>
      </c>
      <c r="FD8943" s="26" t="inlineStr">
        <is>
          <t>LA-B1952 / VLTC-43|</t>
        </is>
      </c>
      <c r="FL8943" s="27" t="inlineStr">
        <is>
          <t>B</t>
        </is>
      </c>
      <c r="FP8943" s="27" t="inlineStr">
        <is>
          <t>B</t>
        </is>
      </c>
    </row>
    <row r="8944">
      <c r="FC8944" t="inlineStr">
        <is>
          <t>Diccionario 8</t>
        </is>
      </c>
      <c r="FD8944" s="26" t="inlineStr">
        <is>
          <t>LA-B1953 / VLTC-44|</t>
        </is>
      </c>
      <c r="FL8944" s="27" t="inlineStr">
        <is>
          <t>B</t>
        </is>
      </c>
      <c r="FP8944" s="27" t="inlineStr">
        <is>
          <t>B</t>
        </is>
      </c>
    </row>
    <row r="8945">
      <c r="FC8945" t="inlineStr">
        <is>
          <t>Diccionario 8</t>
        </is>
      </c>
      <c r="FD8945" s="26" t="inlineStr">
        <is>
          <t>LA-B1954 / VLTC-45|</t>
        </is>
      </c>
      <c r="FL8945" s="27" t="inlineStr">
        <is>
          <t>B</t>
        </is>
      </c>
      <c r="FP8945" s="27" t="inlineStr">
        <is>
          <t>B</t>
        </is>
      </c>
    </row>
    <row r="8946">
      <c r="FC8946" t="inlineStr">
        <is>
          <t>Diccionario 8</t>
        </is>
      </c>
      <c r="FD8946" s="26" t="inlineStr">
        <is>
          <t>LA-B1955 / VLTC-53|</t>
        </is>
      </c>
      <c r="FL8946" s="27" t="inlineStr">
        <is>
          <t>B</t>
        </is>
      </c>
      <c r="FP8946" s="27" t="inlineStr">
        <is>
          <t>B</t>
        </is>
      </c>
    </row>
    <row r="8947">
      <c r="FC8947" t="inlineStr">
        <is>
          <t>Diccionario 8</t>
        </is>
      </c>
      <c r="FD8947" s="26" t="inlineStr">
        <is>
          <t>LA-B1956 / VLTC-62|</t>
        </is>
      </c>
      <c r="FL8947" s="27" t="inlineStr">
        <is>
          <t>B</t>
        </is>
      </c>
      <c r="FP8947" s="27" t="inlineStr">
        <is>
          <t>B</t>
        </is>
      </c>
    </row>
    <row r="8948">
      <c r="FC8948" t="inlineStr">
        <is>
          <t>Diccionario 8</t>
        </is>
      </c>
      <c r="FD8948" s="26" t="inlineStr">
        <is>
          <t>LA-B1957 / VLTC-92|</t>
        </is>
      </c>
      <c r="FL8948" s="27" t="inlineStr">
        <is>
          <t>B</t>
        </is>
      </c>
      <c r="FP8948" s="27" t="inlineStr">
        <is>
          <t>B</t>
        </is>
      </c>
    </row>
    <row r="8949">
      <c r="FC8949" t="inlineStr">
        <is>
          <t>Diccionario 8</t>
        </is>
      </c>
      <c r="FD8949" s="26" t="inlineStr">
        <is>
          <t>LA-B1958 / VPBC-75|</t>
        </is>
      </c>
      <c r="FL8949" s="27" t="inlineStr">
        <is>
          <t>B</t>
        </is>
      </c>
      <c r="FP8949" s="27" t="inlineStr">
        <is>
          <t>B</t>
        </is>
      </c>
    </row>
    <row r="8950">
      <c r="FC8950" t="inlineStr">
        <is>
          <t>Diccionario 8</t>
        </is>
      </c>
      <c r="FD8950" s="26" t="inlineStr">
        <is>
          <t>LA-B1959 / VPBD-15|</t>
        </is>
      </c>
      <c r="FL8950" s="27" t="inlineStr">
        <is>
          <t>B</t>
        </is>
      </c>
      <c r="FP8950" s="27" t="inlineStr">
        <is>
          <t>B</t>
        </is>
      </c>
    </row>
    <row r="8951">
      <c r="FC8951" t="inlineStr">
        <is>
          <t>Diccionario 8</t>
        </is>
      </c>
      <c r="FD8951" s="26" t="inlineStr">
        <is>
          <t>LA-B1960 / VPBD-25|</t>
        </is>
      </c>
      <c r="FL8951" s="27" t="inlineStr">
        <is>
          <t>B</t>
        </is>
      </c>
      <c r="FP8951" s="27" t="inlineStr">
        <is>
          <t>B</t>
        </is>
      </c>
    </row>
    <row r="8952">
      <c r="FC8952" t="inlineStr">
        <is>
          <t>Diccionario 8</t>
        </is>
      </c>
      <c r="FD8952" s="26" t="inlineStr">
        <is>
          <t>LA-B1961 / VPBD-64|</t>
        </is>
      </c>
      <c r="FL8952" s="27" t="inlineStr">
        <is>
          <t>B</t>
        </is>
      </c>
      <c r="FP8952" s="27" t="inlineStr">
        <is>
          <t>B</t>
        </is>
      </c>
    </row>
    <row r="8953">
      <c r="FC8953" t="inlineStr">
        <is>
          <t>Diccionario 8</t>
        </is>
      </c>
      <c r="FD8953" s="26" t="inlineStr">
        <is>
          <t>LA-B1962 / VPBD-84|</t>
        </is>
      </c>
      <c r="FL8953" s="27" t="inlineStr">
        <is>
          <t>B</t>
        </is>
      </c>
      <c r="FP8953" s="27" t="inlineStr">
        <is>
          <t>B</t>
        </is>
      </c>
    </row>
    <row r="8954">
      <c r="FC8954" t="inlineStr">
        <is>
          <t>Diccionario 8</t>
        </is>
      </c>
      <c r="FD8954" s="26" t="inlineStr">
        <is>
          <t>LA-B1963 / VPBF-11|</t>
        </is>
      </c>
      <c r="FL8954" s="27" t="inlineStr">
        <is>
          <t>B</t>
        </is>
      </c>
      <c r="FP8954" s="27" t="inlineStr">
        <is>
          <t>B</t>
        </is>
      </c>
    </row>
    <row r="8955">
      <c r="FC8955" t="inlineStr">
        <is>
          <t>Diccionario 8</t>
        </is>
      </c>
      <c r="FD8955" s="26" t="inlineStr">
        <is>
          <t>LA-B1964 / VPBF-13|</t>
        </is>
      </c>
      <c r="FL8955" s="27" t="inlineStr">
        <is>
          <t>B</t>
        </is>
      </c>
      <c r="FP8955" s="27" t="inlineStr">
        <is>
          <t>B</t>
        </is>
      </c>
    </row>
    <row r="8956">
      <c r="FC8956" t="inlineStr">
        <is>
          <t>Diccionario 8</t>
        </is>
      </c>
      <c r="FD8956" s="26" t="inlineStr">
        <is>
          <t>LA-B1965 / VPBF-14|</t>
        </is>
      </c>
      <c r="FL8956" s="27" t="inlineStr">
        <is>
          <t>B</t>
        </is>
      </c>
      <c r="FP8956" s="27" t="inlineStr">
        <is>
          <t>B</t>
        </is>
      </c>
    </row>
    <row r="8957">
      <c r="FC8957" t="inlineStr">
        <is>
          <t>Diccionario 8</t>
        </is>
      </c>
      <c r="FD8957" s="26" t="inlineStr">
        <is>
          <t>LA-B1966 / VPBF-41|</t>
        </is>
      </c>
      <c r="FL8957" s="27" t="inlineStr">
        <is>
          <t>B</t>
        </is>
      </c>
      <c r="FP8957" s="27" t="inlineStr">
        <is>
          <t>B</t>
        </is>
      </c>
    </row>
    <row r="8958">
      <c r="FC8958" t="inlineStr">
        <is>
          <t>Diccionario 8</t>
        </is>
      </c>
      <c r="FD8958" s="26" t="inlineStr">
        <is>
          <t>LA-B1967 / VPBF-51|</t>
        </is>
      </c>
      <c r="FL8958" s="27" t="inlineStr">
        <is>
          <t>B</t>
        </is>
      </c>
      <c r="FP8958" s="27" t="inlineStr">
        <is>
          <t>B</t>
        </is>
      </c>
    </row>
    <row r="8959">
      <c r="FC8959" t="inlineStr">
        <is>
          <t>Diccionario 8</t>
        </is>
      </c>
      <c r="FD8959" s="26" t="inlineStr">
        <is>
          <t>LA-B1968 / VPBF-63|</t>
        </is>
      </c>
      <c r="FL8959" s="27" t="inlineStr">
        <is>
          <t>B</t>
        </is>
      </c>
      <c r="FP8959" s="27" t="inlineStr">
        <is>
          <t>B</t>
        </is>
      </c>
    </row>
    <row r="8960">
      <c r="FC8960" t="inlineStr">
        <is>
          <t>Diccionario 8</t>
        </is>
      </c>
      <c r="FD8960" s="26" t="inlineStr">
        <is>
          <t>LA-B1969 / VPBF-71|</t>
        </is>
      </c>
      <c r="FL8960" s="27" t="inlineStr">
        <is>
          <t>B</t>
        </is>
      </c>
      <c r="FP8960" s="27" t="inlineStr">
        <is>
          <t>B</t>
        </is>
      </c>
    </row>
    <row r="8961">
      <c r="FC8961" t="inlineStr">
        <is>
          <t>Diccionario 8</t>
        </is>
      </c>
      <c r="FD8961" s="26" t="inlineStr">
        <is>
          <t>LA-B1970 / VPBF-93|</t>
        </is>
      </c>
      <c r="FL8961" s="27" t="inlineStr">
        <is>
          <t>B</t>
        </is>
      </c>
      <c r="FP8961" s="27" t="inlineStr">
        <is>
          <t>B</t>
        </is>
      </c>
    </row>
    <row r="8962">
      <c r="FC8962" t="inlineStr">
        <is>
          <t>Diccionario 8</t>
        </is>
      </c>
      <c r="FD8962" s="26" t="inlineStr">
        <is>
          <t>LA-B1971 / VPBG-88|</t>
        </is>
      </c>
      <c r="FL8962" s="27" t="inlineStr">
        <is>
          <t>B</t>
        </is>
      </c>
      <c r="FP8962" s="27" t="inlineStr">
        <is>
          <t>B</t>
        </is>
      </c>
    </row>
    <row r="8963">
      <c r="FC8963" t="inlineStr">
        <is>
          <t>Diccionario 8</t>
        </is>
      </c>
      <c r="FD8963" s="26" t="inlineStr">
        <is>
          <t>LA-B1972 / VPBK-91|</t>
        </is>
      </c>
      <c r="FL8963" s="27" t="inlineStr">
        <is>
          <t>B</t>
        </is>
      </c>
      <c r="FP8963" s="27" t="inlineStr">
        <is>
          <t>B</t>
        </is>
      </c>
    </row>
    <row r="8964">
      <c r="FC8964" t="inlineStr">
        <is>
          <t>Diccionario 9</t>
        </is>
      </c>
      <c r="FD8964" t="inlineStr">
        <is>
          <t>LL-BP1000 / FLXZ-94|</t>
        </is>
      </c>
      <c r="FL8964" s="26" t="inlineStr">
        <is>
          <t>B2PAL</t>
        </is>
      </c>
      <c r="FP8964" s="26" t="inlineStr">
        <is>
          <t>B2PAL</t>
        </is>
      </c>
    </row>
    <row r="8965">
      <c r="FC8965" t="inlineStr">
        <is>
          <t>Diccionario 9</t>
        </is>
      </c>
      <c r="FD8965" t="inlineStr">
        <is>
          <t>LL-BP1002 / GCBC-16|</t>
        </is>
      </c>
      <c r="FL8965" s="26" t="inlineStr">
        <is>
          <t>B2PAL</t>
        </is>
      </c>
      <c r="FP8965" s="26" t="inlineStr">
        <is>
          <t>B2PAL</t>
        </is>
      </c>
    </row>
    <row r="8966">
      <c r="FC8966" t="inlineStr">
        <is>
          <t>Diccionario 9</t>
        </is>
      </c>
      <c r="FD8966" t="inlineStr">
        <is>
          <t>LL-BP1003 / GCBC-17|</t>
        </is>
      </c>
      <c r="FL8966" s="26" t="inlineStr">
        <is>
          <t>B2PAL</t>
        </is>
      </c>
      <c r="FP8966" s="26" t="inlineStr">
        <is>
          <t>B2PAL</t>
        </is>
      </c>
    </row>
    <row r="8967">
      <c r="FC8967" t="inlineStr">
        <is>
          <t>Diccionario 9</t>
        </is>
      </c>
      <c r="FD8967" t="inlineStr">
        <is>
          <t>SJ-BP1004 / GCBC-18|</t>
        </is>
      </c>
      <c r="FL8967" s="26" t="inlineStr">
        <is>
          <t>B2PAL</t>
        </is>
      </c>
      <c r="FP8967" s="26" t="inlineStr">
        <is>
          <t>B2PAL</t>
        </is>
      </c>
    </row>
    <row r="8968">
      <c r="FC8968" t="inlineStr">
        <is>
          <t>Diccionario 9</t>
        </is>
      </c>
      <c r="FD8968" t="inlineStr">
        <is>
          <t>SJ-BP1005 / GCBC-19|</t>
        </is>
      </c>
      <c r="FL8968" s="26" t="inlineStr">
        <is>
          <t>B2PAL</t>
        </is>
      </c>
      <c r="FP8968" s="26" t="inlineStr">
        <is>
          <t>B2PAL</t>
        </is>
      </c>
    </row>
    <row r="8969">
      <c r="FC8969" t="inlineStr">
        <is>
          <t>Diccionario 9</t>
        </is>
      </c>
      <c r="FD8969" t="inlineStr">
        <is>
          <t>SJ-BP1006 / GCBC-20|</t>
        </is>
      </c>
      <c r="FL8969" s="26" t="inlineStr">
        <is>
          <t>B2PAL</t>
        </is>
      </c>
      <c r="FP8969" s="26" t="inlineStr">
        <is>
          <t>B2PAL</t>
        </is>
      </c>
    </row>
    <row r="8970">
      <c r="FC8970" t="inlineStr">
        <is>
          <t>Diccionario 9</t>
        </is>
      </c>
      <c r="FD8970" t="inlineStr">
        <is>
          <t>LL-BP1007 / GCBC-21|</t>
        </is>
      </c>
      <c r="FL8970" s="26" t="inlineStr">
        <is>
          <t>B2PAL</t>
        </is>
      </c>
      <c r="FP8970" s="26" t="inlineStr">
        <is>
          <t>B2PAL</t>
        </is>
      </c>
    </row>
    <row r="8971">
      <c r="FC8971" t="inlineStr">
        <is>
          <t>Diccionario 9</t>
        </is>
      </c>
      <c r="FD8971" t="inlineStr">
        <is>
          <t>LL-BP1008 / GCBC-22|</t>
        </is>
      </c>
      <c r="FL8971" s="26" t="inlineStr">
        <is>
          <t>B2PAL</t>
        </is>
      </c>
      <c r="FP8971" s="26" t="inlineStr">
        <is>
          <t>B2PAL</t>
        </is>
      </c>
    </row>
    <row r="8972">
      <c r="FC8972" t="inlineStr">
        <is>
          <t>Diccionario 9</t>
        </is>
      </c>
      <c r="FD8972" t="inlineStr">
        <is>
          <t>LL-BP1009 / GCBC-23|</t>
        </is>
      </c>
      <c r="FL8972" s="26" t="inlineStr">
        <is>
          <t>B2PAL</t>
        </is>
      </c>
      <c r="FP8972" s="26" t="inlineStr">
        <is>
          <t>B2PAL</t>
        </is>
      </c>
    </row>
    <row r="8973">
      <c r="FC8973" t="inlineStr">
        <is>
          <t>Diccionario 9</t>
        </is>
      </c>
      <c r="FD8973" t="inlineStr">
        <is>
          <t>LL-BP1010 / GCBB-16|</t>
        </is>
      </c>
      <c r="FL8973" s="26" t="inlineStr">
        <is>
          <t>B2PAL</t>
        </is>
      </c>
      <c r="FP8973" s="26" t="inlineStr">
        <is>
          <t>B2PAL</t>
        </is>
      </c>
    </row>
    <row r="8974">
      <c r="FC8974" t="inlineStr">
        <is>
          <t>Diccionario 9</t>
        </is>
      </c>
      <c r="FD8974" t="inlineStr">
        <is>
          <t>LL-BP1011 / GCBB-17|</t>
        </is>
      </c>
      <c r="FL8974" s="26" t="inlineStr">
        <is>
          <t>B2PAL</t>
        </is>
      </c>
      <c r="FP8974" s="26" t="inlineStr">
        <is>
          <t>B2PAL</t>
        </is>
      </c>
    </row>
    <row r="8975">
      <c r="FC8975" t="inlineStr">
        <is>
          <t>Diccionario 9</t>
        </is>
      </c>
      <c r="FD8975" t="inlineStr">
        <is>
          <t>SJ-BP1012 / GCBB-18|</t>
        </is>
      </c>
      <c r="FL8975" s="26" t="inlineStr">
        <is>
          <t>B2PAL</t>
        </is>
      </c>
      <c r="FP8975" s="26" t="inlineStr">
        <is>
          <t>B2PAL</t>
        </is>
      </c>
    </row>
    <row r="8976">
      <c r="FC8976" t="inlineStr">
        <is>
          <t>Diccionario 9</t>
        </is>
      </c>
      <c r="FD8976" t="inlineStr">
        <is>
          <t>LL-BP1013 / GCBB-19|</t>
        </is>
      </c>
      <c r="FL8976" s="26" t="inlineStr">
        <is>
          <t>B2PAL</t>
        </is>
      </c>
      <c r="FP8976" s="26" t="inlineStr">
        <is>
          <t>B2PAL</t>
        </is>
      </c>
    </row>
    <row r="8977">
      <c r="FC8977" t="inlineStr">
        <is>
          <t>Diccionario 9</t>
        </is>
      </c>
      <c r="FD8977" t="inlineStr">
        <is>
          <t>LL-BP1014 / GCBB-20|</t>
        </is>
      </c>
      <c r="FL8977" s="26" t="inlineStr">
        <is>
          <t>B2PAL</t>
        </is>
      </c>
      <c r="FP8977" s="26" t="inlineStr">
        <is>
          <t>B2PAL</t>
        </is>
      </c>
    </row>
    <row r="8978">
      <c r="FC8978" t="inlineStr">
        <is>
          <t>Diccionario 9</t>
        </is>
      </c>
      <c r="FD8978" t="inlineStr">
        <is>
          <t>LL-BP1015 / GCBB-21|</t>
        </is>
      </c>
      <c r="FL8978" s="26" t="inlineStr">
        <is>
          <t>B2PAL</t>
        </is>
      </c>
      <c r="FP8978" s="26" t="inlineStr">
        <is>
          <t>B2PAL</t>
        </is>
      </c>
    </row>
    <row r="8979">
      <c r="FC8979" t="inlineStr">
        <is>
          <t>Diccionario 9</t>
        </is>
      </c>
      <c r="FD8979" t="inlineStr">
        <is>
          <t>LL-BP1016 / GCBB-22|</t>
        </is>
      </c>
      <c r="FL8979" s="26" t="inlineStr">
        <is>
          <t>B2PAL</t>
        </is>
      </c>
      <c r="FP8979" s="26" t="inlineStr">
        <is>
          <t>B2PAL</t>
        </is>
      </c>
    </row>
    <row r="8980">
      <c r="FC8980" t="inlineStr">
        <is>
          <t>Diccionario 9</t>
        </is>
      </c>
      <c r="FD8980" t="inlineStr">
        <is>
          <t>LL-BP1017 / GCBB-23|</t>
        </is>
      </c>
      <c r="FL8980" s="26" t="inlineStr">
        <is>
          <t>B2PAL</t>
        </is>
      </c>
      <c r="FP8980" s="26" t="inlineStr">
        <is>
          <t>B2PAL</t>
        </is>
      </c>
    </row>
    <row r="8981">
      <c r="FC8981" t="inlineStr">
        <is>
          <t>Diccionario 9</t>
        </is>
      </c>
      <c r="FD8981" t="inlineStr">
        <is>
          <t>LL-BP1018 / GCBB-24|</t>
        </is>
      </c>
      <c r="FL8981" s="26" t="inlineStr">
        <is>
          <t>B2PAL</t>
        </is>
      </c>
      <c r="FP8981" s="26" t="inlineStr">
        <is>
          <t>B2PAL</t>
        </is>
      </c>
    </row>
    <row r="8982">
      <c r="FC8982" t="inlineStr">
        <is>
          <t>Diccionario 9</t>
        </is>
      </c>
      <c r="FD8982" t="inlineStr">
        <is>
          <t>LL-BP1019 / FLXZ-96|</t>
        </is>
      </c>
      <c r="FL8982" s="26" t="inlineStr">
        <is>
          <t>B2PAL</t>
        </is>
      </c>
      <c r="FP8982" s="26" t="inlineStr">
        <is>
          <t>B2PAL</t>
        </is>
      </c>
    </row>
    <row r="8983">
      <c r="FC8983" t="inlineStr">
        <is>
          <t>Diccionario 9</t>
        </is>
      </c>
      <c r="FD8983" t="inlineStr">
        <is>
          <t>LL-BP1020 / GCBB-25|</t>
        </is>
      </c>
      <c r="FL8983" s="26" t="inlineStr">
        <is>
          <t>B2PAL</t>
        </is>
      </c>
      <c r="FP8983" s="26" t="inlineStr">
        <is>
          <t>B2PAL</t>
        </is>
      </c>
    </row>
    <row r="8984">
      <c r="FC8984" t="inlineStr">
        <is>
          <t>Diccionario 9</t>
        </is>
      </c>
      <c r="FD8984" t="inlineStr">
        <is>
          <t>LL-BP1021 / GCBB-26|</t>
        </is>
      </c>
      <c r="FL8984" s="26" t="inlineStr">
        <is>
          <t>B2PAL</t>
        </is>
      </c>
      <c r="FP8984" s="26" t="inlineStr">
        <is>
          <t>B2PAL</t>
        </is>
      </c>
    </row>
    <row r="8985">
      <c r="FC8985" t="inlineStr">
        <is>
          <t>Diccionario 9</t>
        </is>
      </c>
      <c r="FD8985" t="inlineStr">
        <is>
          <t>LL-BP1022 / GCBB-27|</t>
        </is>
      </c>
      <c r="FL8985" s="26" t="inlineStr">
        <is>
          <t>B2PAL</t>
        </is>
      </c>
      <c r="FP8985" s="26" t="inlineStr">
        <is>
          <t>B2PAL</t>
        </is>
      </c>
    </row>
    <row r="8986">
      <c r="FC8986" t="inlineStr">
        <is>
          <t>Diccionario 9</t>
        </is>
      </c>
      <c r="FD8986" t="inlineStr">
        <is>
          <t>LL-BP1023 / GCBB-28|</t>
        </is>
      </c>
      <c r="FL8986" s="26" t="inlineStr">
        <is>
          <t>B2PAL</t>
        </is>
      </c>
      <c r="FP8986" s="26" t="inlineStr">
        <is>
          <t>B2PAL</t>
        </is>
      </c>
    </row>
    <row r="8987">
      <c r="FC8987" t="inlineStr">
        <is>
          <t>Diccionario 9</t>
        </is>
      </c>
      <c r="FD8987" t="inlineStr">
        <is>
          <t>LL-BP1024 / GCBB-29|</t>
        </is>
      </c>
      <c r="FL8987" s="26" t="inlineStr">
        <is>
          <t>B2PAL</t>
        </is>
      </c>
      <c r="FP8987" s="26" t="inlineStr">
        <is>
          <t>B2PAL</t>
        </is>
      </c>
    </row>
    <row r="8988">
      <c r="FC8988" t="inlineStr">
        <is>
          <t>Diccionario 9</t>
        </is>
      </c>
      <c r="FD8988" t="inlineStr">
        <is>
          <t>LL-BP1025 / GCBB-30|</t>
        </is>
      </c>
      <c r="FL8988" s="26" t="inlineStr">
        <is>
          <t>B2PAL</t>
        </is>
      </c>
      <c r="FP8988" s="26" t="inlineStr">
        <is>
          <t>B2PAL</t>
        </is>
      </c>
    </row>
    <row r="8989">
      <c r="FC8989" t="inlineStr">
        <is>
          <t>Diccionario 9</t>
        </is>
      </c>
      <c r="FD8989" t="inlineStr">
        <is>
          <t>LL-BP1026 / GCBB-31|</t>
        </is>
      </c>
      <c r="FL8989" s="26" t="inlineStr">
        <is>
          <t>B2PAL</t>
        </is>
      </c>
      <c r="FP8989" s="26" t="inlineStr">
        <is>
          <t>B2PAL</t>
        </is>
      </c>
    </row>
    <row r="8990">
      <c r="FC8990" t="inlineStr">
        <is>
          <t>Diccionario 9</t>
        </is>
      </c>
      <c r="FD8990" t="inlineStr">
        <is>
          <t>LL-BP1027 / GCBB-32|</t>
        </is>
      </c>
      <c r="FL8990" s="26" t="inlineStr">
        <is>
          <t>B2PAL</t>
        </is>
      </c>
      <c r="FP8990" s="26" t="inlineStr">
        <is>
          <t>B2PAL</t>
        </is>
      </c>
    </row>
    <row r="8991">
      <c r="FC8991" t="inlineStr">
        <is>
          <t>Diccionario 9</t>
        </is>
      </c>
      <c r="FD8991" t="inlineStr">
        <is>
          <t>SJ-BP1028 / GCBB-33|</t>
        </is>
      </c>
      <c r="FL8991" s="26" t="inlineStr">
        <is>
          <t>B2PAL</t>
        </is>
      </c>
      <c r="FP8991" s="26" t="inlineStr">
        <is>
          <t>B2PAL</t>
        </is>
      </c>
    </row>
    <row r="8992">
      <c r="FC8992" t="inlineStr">
        <is>
          <t>Diccionario 9</t>
        </is>
      </c>
      <c r="FD8992" t="inlineStr">
        <is>
          <t>LL-BP1029 / GCBB-34|</t>
        </is>
      </c>
      <c r="FL8992" s="26" t="inlineStr">
        <is>
          <t>B2PAL</t>
        </is>
      </c>
      <c r="FP8992" s="26" t="inlineStr">
        <is>
          <t>B2PAL</t>
        </is>
      </c>
    </row>
    <row r="8993">
      <c r="FC8993" t="inlineStr">
        <is>
          <t>Diccionario 9</t>
        </is>
      </c>
      <c r="FD8993" t="inlineStr">
        <is>
          <t>LL-BP1030 / FLXZ-97|</t>
        </is>
      </c>
      <c r="FL8993" s="26" t="inlineStr">
        <is>
          <t>B2PAL</t>
        </is>
      </c>
      <c r="FP8993" s="26" t="inlineStr">
        <is>
          <t>B2PAL</t>
        </is>
      </c>
    </row>
    <row r="8994">
      <c r="FC8994" t="inlineStr">
        <is>
          <t>Diccionario 9</t>
        </is>
      </c>
      <c r="FD8994" t="inlineStr">
        <is>
          <t>LL-BP1031 / GCBB-35|</t>
        </is>
      </c>
      <c r="FL8994" s="26" t="inlineStr">
        <is>
          <t>B2PAL</t>
        </is>
      </c>
      <c r="FP8994" s="26" t="inlineStr">
        <is>
          <t>B2PAL</t>
        </is>
      </c>
    </row>
    <row r="8995">
      <c r="FC8995" t="inlineStr">
        <is>
          <t>Diccionario 9</t>
        </is>
      </c>
      <c r="FD8995" t="inlineStr">
        <is>
          <t>LL-BP1032 / GCBB-36|</t>
        </is>
      </c>
      <c r="FL8995" s="26" t="inlineStr">
        <is>
          <t>B2PAL</t>
        </is>
      </c>
      <c r="FP8995" s="26" t="inlineStr">
        <is>
          <t>B2PAL</t>
        </is>
      </c>
    </row>
    <row r="8996">
      <c r="FC8996" t="inlineStr">
        <is>
          <t>Diccionario 9</t>
        </is>
      </c>
      <c r="FD8996" t="inlineStr">
        <is>
          <t>LL-BP1033 / GCBB-37|</t>
        </is>
      </c>
      <c r="FL8996" s="26" t="inlineStr">
        <is>
          <t>B2PAL</t>
        </is>
      </c>
      <c r="FP8996" s="26" t="inlineStr">
        <is>
          <t>B2PAL</t>
        </is>
      </c>
    </row>
    <row r="8997">
      <c r="FC8997" t="inlineStr">
        <is>
          <t>Diccionario 9</t>
        </is>
      </c>
      <c r="FD8997" t="inlineStr">
        <is>
          <t>LL-BP1034 / GCBB-38|</t>
        </is>
      </c>
      <c r="FL8997" s="26" t="inlineStr">
        <is>
          <t>B2PAL</t>
        </is>
      </c>
      <c r="FP8997" s="26" t="inlineStr">
        <is>
          <t>B2PAL</t>
        </is>
      </c>
    </row>
    <row r="8998">
      <c r="FC8998" t="inlineStr">
        <is>
          <t>Diccionario 9</t>
        </is>
      </c>
      <c r="FD8998" t="inlineStr">
        <is>
          <t>LL-BP1035 / GCBB-39|</t>
        </is>
      </c>
      <c r="FL8998" s="26" t="inlineStr">
        <is>
          <t>B2PAL</t>
        </is>
      </c>
      <c r="FP8998" s="26" t="inlineStr">
        <is>
          <t>B2PAL</t>
        </is>
      </c>
    </row>
    <row r="8999">
      <c r="FC8999" t="inlineStr">
        <is>
          <t>Diccionario 9</t>
        </is>
      </c>
      <c r="FD8999" t="inlineStr">
        <is>
          <t>LL-BP1036 / GCBB-40|</t>
        </is>
      </c>
      <c r="FL8999" s="26" t="inlineStr">
        <is>
          <t>B2PAL</t>
        </is>
      </c>
      <c r="FP8999" s="26" t="inlineStr">
        <is>
          <t>B2PAL</t>
        </is>
      </c>
    </row>
    <row r="9000">
      <c r="FC9000" t="inlineStr">
        <is>
          <t>Diccionario 9</t>
        </is>
      </c>
      <c r="FD9000" t="inlineStr">
        <is>
          <t>LL-BP1037 / GCBB-41|</t>
        </is>
      </c>
      <c r="FL9000" s="26" t="inlineStr">
        <is>
          <t>B2PAL</t>
        </is>
      </c>
      <c r="FP9000" s="26" t="inlineStr">
        <is>
          <t>B2PAL</t>
        </is>
      </c>
    </row>
    <row r="9001">
      <c r="FC9001" t="inlineStr">
        <is>
          <t>Diccionario 9</t>
        </is>
      </c>
      <c r="FD9001" t="inlineStr">
        <is>
          <t>LL-BP1038 / GCBB-42|</t>
        </is>
      </c>
      <c r="FL9001" s="26" t="inlineStr">
        <is>
          <t>B2PAL</t>
        </is>
      </c>
      <c r="FP9001" s="26" t="inlineStr">
        <is>
          <t>B2PAL</t>
        </is>
      </c>
    </row>
    <row r="9002">
      <c r="FC9002" t="inlineStr">
        <is>
          <t>Diccionario 9</t>
        </is>
      </c>
      <c r="FD9002" t="inlineStr">
        <is>
          <t>LL-BP1039 / GCBB-43|</t>
        </is>
      </c>
      <c r="FL9002" s="26" t="inlineStr">
        <is>
          <t>B2PAL</t>
        </is>
      </c>
      <c r="FP9002" s="26" t="inlineStr">
        <is>
          <t>B2PAL</t>
        </is>
      </c>
    </row>
    <row r="9003">
      <c r="FC9003" t="inlineStr">
        <is>
          <t>Diccionario 9</t>
        </is>
      </c>
      <c r="FD9003" t="inlineStr">
        <is>
          <t>LL-BP1040 / GCBB-44|</t>
        </is>
      </c>
      <c r="FL9003" s="26" t="inlineStr">
        <is>
          <t>B2PAL</t>
        </is>
      </c>
      <c r="FP9003" s="26" t="inlineStr">
        <is>
          <t>B2PAL</t>
        </is>
      </c>
    </row>
    <row r="9004">
      <c r="FC9004" t="inlineStr">
        <is>
          <t>Diccionario 9</t>
        </is>
      </c>
      <c r="FD9004" t="inlineStr">
        <is>
          <t>LL-BP1041 / FLXZ-98|</t>
        </is>
      </c>
      <c r="FL9004" s="26" t="inlineStr">
        <is>
          <t>B2PAL</t>
        </is>
      </c>
      <c r="FP9004" s="26" t="inlineStr">
        <is>
          <t>B2PAL</t>
        </is>
      </c>
    </row>
    <row r="9005">
      <c r="FC9005" t="inlineStr">
        <is>
          <t>Diccionario 9</t>
        </is>
      </c>
      <c r="FD9005" t="inlineStr">
        <is>
          <t>LL-BP1042 / GCBB-45|</t>
        </is>
      </c>
      <c r="FL9005" s="26" t="inlineStr">
        <is>
          <t>B2PAL</t>
        </is>
      </c>
      <c r="FP9005" s="26" t="inlineStr">
        <is>
          <t>B2PAL</t>
        </is>
      </c>
    </row>
    <row r="9006">
      <c r="FC9006" t="inlineStr">
        <is>
          <t>Diccionario 9</t>
        </is>
      </c>
      <c r="FD9006" t="inlineStr">
        <is>
          <t>LL-BP1043 / GCBB-46|</t>
        </is>
      </c>
      <c r="FL9006" s="26" t="inlineStr">
        <is>
          <t>B2PAL</t>
        </is>
      </c>
      <c r="FP9006" s="26" t="inlineStr">
        <is>
          <t>B2PAL</t>
        </is>
      </c>
    </row>
    <row r="9007">
      <c r="FC9007" t="inlineStr">
        <is>
          <t>Diccionario 9</t>
        </is>
      </c>
      <c r="FD9007" t="inlineStr">
        <is>
          <t>LL-BP1044 / GCBB-47|</t>
        </is>
      </c>
      <c r="FL9007" s="26" t="inlineStr">
        <is>
          <t>B2PAL</t>
        </is>
      </c>
      <c r="FP9007" s="26" t="inlineStr">
        <is>
          <t>B2PAL</t>
        </is>
      </c>
    </row>
    <row r="9008">
      <c r="FC9008" t="inlineStr">
        <is>
          <t>Diccionario 9</t>
        </is>
      </c>
      <c r="FD9008" t="inlineStr">
        <is>
          <t>LL-BP1045 / GCBB-48|</t>
        </is>
      </c>
      <c r="FL9008" s="26" t="inlineStr">
        <is>
          <t>B2PAL</t>
        </is>
      </c>
      <c r="FP9008" s="26" t="inlineStr">
        <is>
          <t>B2PAL</t>
        </is>
      </c>
    </row>
    <row r="9009">
      <c r="FC9009" t="inlineStr">
        <is>
          <t>Diccionario 9</t>
        </is>
      </c>
      <c r="FD9009" t="inlineStr">
        <is>
          <t>LL-BP1046 / GCBB-49|</t>
        </is>
      </c>
      <c r="FL9009" s="26" t="inlineStr">
        <is>
          <t>B2PAL</t>
        </is>
      </c>
      <c r="FP9009" s="26" t="inlineStr">
        <is>
          <t>B2PAL</t>
        </is>
      </c>
    </row>
    <row r="9010">
      <c r="FC9010" t="inlineStr">
        <is>
          <t>Diccionario 9</t>
        </is>
      </c>
      <c r="FD9010" t="inlineStr">
        <is>
          <t>LL-BP1047 / GCBB-50|</t>
        </is>
      </c>
      <c r="FL9010" s="26" t="inlineStr">
        <is>
          <t>B2PAL</t>
        </is>
      </c>
      <c r="FP9010" s="26" t="inlineStr">
        <is>
          <t>B2PAL</t>
        </is>
      </c>
    </row>
    <row r="9011">
      <c r="FC9011" t="inlineStr">
        <is>
          <t>Diccionario 9</t>
        </is>
      </c>
      <c r="FD9011" t="inlineStr">
        <is>
          <t>LL-BP1048 / GCBB-51|</t>
        </is>
      </c>
      <c r="FL9011" s="26" t="inlineStr">
        <is>
          <t>B2PAL</t>
        </is>
      </c>
      <c r="FP9011" s="26" t="inlineStr">
        <is>
          <t>B2PAL</t>
        </is>
      </c>
    </row>
    <row r="9012">
      <c r="FC9012" t="inlineStr">
        <is>
          <t>Diccionario 9</t>
        </is>
      </c>
      <c r="FD9012" t="inlineStr">
        <is>
          <t>LL-BP1049 / GCBB-52|</t>
        </is>
      </c>
      <c r="FL9012" s="26" t="inlineStr">
        <is>
          <t>B2PAL</t>
        </is>
      </c>
      <c r="FP9012" s="26" t="inlineStr">
        <is>
          <t>B2PAL</t>
        </is>
      </c>
    </row>
    <row r="9013">
      <c r="FC9013" t="inlineStr">
        <is>
          <t>Diccionario 9</t>
        </is>
      </c>
      <c r="FD9013" t="inlineStr">
        <is>
          <t>LL-BP1050 / GCBB-53|</t>
        </is>
      </c>
      <c r="FL9013" s="26" t="inlineStr">
        <is>
          <t>B2PAL</t>
        </is>
      </c>
      <c r="FP9013" s="26" t="inlineStr">
        <is>
          <t>B2PAL</t>
        </is>
      </c>
    </row>
    <row r="9014">
      <c r="FC9014" t="inlineStr">
        <is>
          <t>Diccionario 9</t>
        </is>
      </c>
      <c r="FD9014" t="inlineStr">
        <is>
          <t>LL-BP1051 / GCBB-54|</t>
        </is>
      </c>
      <c r="FL9014" s="26" t="inlineStr">
        <is>
          <t>B2PAL</t>
        </is>
      </c>
      <c r="FP9014" s="26" t="inlineStr">
        <is>
          <t>B2PAL</t>
        </is>
      </c>
    </row>
    <row r="9015">
      <c r="FC9015" t="inlineStr">
        <is>
          <t>Diccionario 9</t>
        </is>
      </c>
      <c r="FD9015" t="inlineStr">
        <is>
          <t>LL-BP1052 / FLXZ-99|</t>
        </is>
      </c>
      <c r="FL9015" s="26" t="inlineStr">
        <is>
          <t>B2PAL</t>
        </is>
      </c>
      <c r="FP9015" s="26" t="inlineStr">
        <is>
          <t>B2PAL</t>
        </is>
      </c>
    </row>
    <row r="9016">
      <c r="FC9016" t="inlineStr">
        <is>
          <t>Diccionario 9</t>
        </is>
      </c>
      <c r="FD9016" t="inlineStr">
        <is>
          <t>LL-BP1053 / GCBB-55|</t>
        </is>
      </c>
      <c r="FL9016" s="26" t="inlineStr">
        <is>
          <t>B2PAL</t>
        </is>
      </c>
      <c r="FP9016" s="26" t="inlineStr">
        <is>
          <t>B2PAL</t>
        </is>
      </c>
    </row>
    <row r="9017">
      <c r="FC9017" t="inlineStr">
        <is>
          <t>Diccionario 9</t>
        </is>
      </c>
      <c r="FD9017" t="inlineStr">
        <is>
          <t>LL-BP1054 / GCBB-56|</t>
        </is>
      </c>
      <c r="FL9017" s="26" t="inlineStr">
        <is>
          <t>B2PAL</t>
        </is>
      </c>
      <c r="FP9017" s="26" t="inlineStr">
        <is>
          <t>B2PAL</t>
        </is>
      </c>
    </row>
    <row r="9018">
      <c r="FC9018" t="inlineStr">
        <is>
          <t>Diccionario 9</t>
        </is>
      </c>
      <c r="FD9018" t="inlineStr">
        <is>
          <t>LL-BP1055 / GCBB-57|</t>
        </is>
      </c>
      <c r="FL9018" s="26" t="inlineStr">
        <is>
          <t>B2PAL</t>
        </is>
      </c>
      <c r="FP9018" s="26" t="inlineStr">
        <is>
          <t>B2PAL</t>
        </is>
      </c>
    </row>
    <row r="9019">
      <c r="FC9019" t="inlineStr">
        <is>
          <t>Diccionario 9</t>
        </is>
      </c>
      <c r="FD9019" t="inlineStr">
        <is>
          <t>LL-BP1056 / GCBB-58|</t>
        </is>
      </c>
      <c r="FL9019" s="26" t="inlineStr">
        <is>
          <t>B2PAL</t>
        </is>
      </c>
      <c r="FP9019" s="26" t="inlineStr">
        <is>
          <t>B2PAL</t>
        </is>
      </c>
    </row>
    <row r="9020">
      <c r="FC9020" t="inlineStr">
        <is>
          <t>Diccionario 9</t>
        </is>
      </c>
      <c r="FD9020" t="inlineStr">
        <is>
          <t>LL-BP1057 / GCBB-59|</t>
        </is>
      </c>
      <c r="FL9020" s="26" t="inlineStr">
        <is>
          <t>B2PAL</t>
        </is>
      </c>
      <c r="FP9020" s="26" t="inlineStr">
        <is>
          <t>B2PAL</t>
        </is>
      </c>
    </row>
    <row r="9021">
      <c r="FC9021" t="inlineStr">
        <is>
          <t>Diccionario 9</t>
        </is>
      </c>
      <c r="FD9021" t="inlineStr">
        <is>
          <t>LL-BP1058 / GCBB-60|</t>
        </is>
      </c>
      <c r="FL9021" s="26" t="inlineStr">
        <is>
          <t>B2PAL</t>
        </is>
      </c>
      <c r="FP9021" s="26" t="inlineStr">
        <is>
          <t>B2PAL</t>
        </is>
      </c>
    </row>
    <row r="9022">
      <c r="FC9022" t="inlineStr">
        <is>
          <t>Diccionario 9</t>
        </is>
      </c>
      <c r="FD9022" t="inlineStr">
        <is>
          <t>LL-BP1059 / GCBB-61|</t>
        </is>
      </c>
      <c r="FL9022" s="26" t="inlineStr">
        <is>
          <t>B2PAL</t>
        </is>
      </c>
      <c r="FP9022" s="26" t="inlineStr">
        <is>
          <t>B2PAL</t>
        </is>
      </c>
    </row>
    <row r="9023">
      <c r="FC9023" t="inlineStr">
        <is>
          <t>Diccionario 9</t>
        </is>
      </c>
      <c r="FD9023" t="inlineStr">
        <is>
          <t>LL-BP1060 / GCBB-62|</t>
        </is>
      </c>
      <c r="FL9023" s="26" t="inlineStr">
        <is>
          <t>B2PAL</t>
        </is>
      </c>
      <c r="FP9023" s="26" t="inlineStr">
        <is>
          <t>B2PAL</t>
        </is>
      </c>
    </row>
    <row r="9024">
      <c r="FC9024" t="inlineStr">
        <is>
          <t>Diccionario 9</t>
        </is>
      </c>
      <c r="FD9024" t="inlineStr">
        <is>
          <t>LL-BP1061 / GCBB-63|</t>
        </is>
      </c>
      <c r="FL9024" s="26" t="inlineStr">
        <is>
          <t>B2PAL</t>
        </is>
      </c>
      <c r="FP9024" s="26" t="inlineStr">
        <is>
          <t>B2PAL</t>
        </is>
      </c>
    </row>
    <row r="9025">
      <c r="FC9025" t="inlineStr">
        <is>
          <t>Diccionario 9</t>
        </is>
      </c>
      <c r="FD9025" t="inlineStr">
        <is>
          <t>LL-BP1062 / GCBB-64|</t>
        </is>
      </c>
      <c r="FL9025" s="26" t="inlineStr">
        <is>
          <t>B2PAL</t>
        </is>
      </c>
      <c r="FP9025" s="26" t="inlineStr">
        <is>
          <t>B2PAL</t>
        </is>
      </c>
    </row>
    <row r="9026">
      <c r="FC9026" t="inlineStr">
        <is>
          <t>Diccionario 9</t>
        </is>
      </c>
      <c r="FD9026" t="inlineStr">
        <is>
          <t>LL-BP1063 / GCBB-10|</t>
        </is>
      </c>
      <c r="FL9026" s="26" t="inlineStr">
        <is>
          <t>B2PAL</t>
        </is>
      </c>
      <c r="FP9026" s="26" t="inlineStr">
        <is>
          <t>B2PAL</t>
        </is>
      </c>
    </row>
    <row r="9027">
      <c r="FC9027" t="inlineStr">
        <is>
          <t>Diccionario 9</t>
        </is>
      </c>
      <c r="FD9027" t="inlineStr">
        <is>
          <t>LL-BP1064 / GCBB-65|</t>
        </is>
      </c>
      <c r="FL9027" s="26" t="inlineStr">
        <is>
          <t>B2PAL</t>
        </is>
      </c>
      <c r="FP9027" s="26" t="inlineStr">
        <is>
          <t>B2PAL</t>
        </is>
      </c>
    </row>
    <row r="9028">
      <c r="FC9028" t="inlineStr">
        <is>
          <t>Diccionario 9</t>
        </is>
      </c>
      <c r="FD9028" t="inlineStr">
        <is>
          <t>LL-BP1065 / GCBB-66|</t>
        </is>
      </c>
      <c r="FL9028" s="26" t="inlineStr">
        <is>
          <t>B2PAL</t>
        </is>
      </c>
      <c r="FP9028" s="26" t="inlineStr">
        <is>
          <t>B2PAL</t>
        </is>
      </c>
    </row>
    <row r="9029">
      <c r="FC9029" t="inlineStr">
        <is>
          <t>Diccionario 9</t>
        </is>
      </c>
      <c r="FD9029" t="inlineStr">
        <is>
          <t>LL-BP1066 / GCBB-67|</t>
        </is>
      </c>
      <c r="FL9029" s="26" t="inlineStr">
        <is>
          <t>B2PAL</t>
        </is>
      </c>
      <c r="FP9029" s="26" t="inlineStr">
        <is>
          <t>B2PAL</t>
        </is>
      </c>
    </row>
    <row r="9030">
      <c r="FC9030" t="inlineStr">
        <is>
          <t>Diccionario 9</t>
        </is>
      </c>
      <c r="FD9030" t="inlineStr">
        <is>
          <t>SJ-BP1067 / GCBB-68|</t>
        </is>
      </c>
      <c r="FL9030" s="26" t="inlineStr">
        <is>
          <t>B2PAL</t>
        </is>
      </c>
      <c r="FP9030" s="26" t="inlineStr">
        <is>
          <t>B2PAL</t>
        </is>
      </c>
    </row>
    <row r="9031">
      <c r="FC9031" t="inlineStr">
        <is>
          <t>Diccionario 9</t>
        </is>
      </c>
      <c r="FD9031" t="inlineStr">
        <is>
          <t>LL-BP1068 / GCBB-69|</t>
        </is>
      </c>
      <c r="FL9031" s="26" t="inlineStr">
        <is>
          <t>B2PAL</t>
        </is>
      </c>
      <c r="FP9031" s="26" t="inlineStr">
        <is>
          <t>B2PAL</t>
        </is>
      </c>
    </row>
    <row r="9032">
      <c r="FC9032" t="inlineStr">
        <is>
          <t>Diccionario 9</t>
        </is>
      </c>
      <c r="FD9032" t="inlineStr">
        <is>
          <t>LL-BP1069 / GCBB-70|</t>
        </is>
      </c>
      <c r="FL9032" s="26" t="inlineStr">
        <is>
          <t>B2PAL</t>
        </is>
      </c>
      <c r="FP9032" s="26" t="inlineStr">
        <is>
          <t>B2PAL</t>
        </is>
      </c>
    </row>
    <row r="9033">
      <c r="FC9033" t="inlineStr">
        <is>
          <t>Diccionario 9</t>
        </is>
      </c>
      <c r="FD9033" t="inlineStr">
        <is>
          <t>LL-BP1070 / GCBB-71|</t>
        </is>
      </c>
      <c r="FL9033" s="26" t="inlineStr">
        <is>
          <t>B2PAL</t>
        </is>
      </c>
      <c r="FP9033" s="26" t="inlineStr">
        <is>
          <t>B2PAL</t>
        </is>
      </c>
    </row>
    <row r="9034">
      <c r="FC9034" t="inlineStr">
        <is>
          <t>Diccionario 9</t>
        </is>
      </c>
      <c r="FD9034" t="inlineStr">
        <is>
          <t>LL-BP1071 / GCBB-72|</t>
        </is>
      </c>
      <c r="FL9034" s="26" t="inlineStr">
        <is>
          <t>B2PAL</t>
        </is>
      </c>
      <c r="FP9034" s="26" t="inlineStr">
        <is>
          <t>B2PAL</t>
        </is>
      </c>
    </row>
    <row r="9035">
      <c r="FC9035" t="inlineStr">
        <is>
          <t>Diccionario 9</t>
        </is>
      </c>
      <c r="FD9035" t="inlineStr">
        <is>
          <t>SJ-BP1072 / GCBB-73|</t>
        </is>
      </c>
      <c r="FL9035" s="26" t="inlineStr">
        <is>
          <t>B2PAL</t>
        </is>
      </c>
      <c r="FP9035" s="26" t="inlineStr">
        <is>
          <t>B2PAL</t>
        </is>
      </c>
    </row>
    <row r="9036">
      <c r="FC9036" t="inlineStr">
        <is>
          <t>Diccionario 9</t>
        </is>
      </c>
      <c r="FD9036" t="inlineStr">
        <is>
          <t>LL-BP1073 / GCBB-74|</t>
        </is>
      </c>
      <c r="FL9036" s="26" t="inlineStr">
        <is>
          <t>B2PAL</t>
        </is>
      </c>
      <c r="FP9036" s="26" t="inlineStr">
        <is>
          <t>B2PAL</t>
        </is>
      </c>
    </row>
    <row r="9037">
      <c r="FC9037" t="inlineStr">
        <is>
          <t>Diccionario 9</t>
        </is>
      </c>
      <c r="FD9037" t="inlineStr">
        <is>
          <t>LL-BP1074 / GCBB-11|</t>
        </is>
      </c>
      <c r="FL9037" s="26" t="inlineStr">
        <is>
          <t>B2PAL</t>
        </is>
      </c>
      <c r="FP9037" s="26" t="inlineStr">
        <is>
          <t>B2PAL</t>
        </is>
      </c>
    </row>
    <row r="9038">
      <c r="FC9038" t="inlineStr">
        <is>
          <t>Diccionario 9</t>
        </is>
      </c>
      <c r="FD9038" t="inlineStr">
        <is>
          <t>LL-BP1075 / GCBB-75|</t>
        </is>
      </c>
      <c r="FL9038" s="26" t="inlineStr">
        <is>
          <t>B2PAL</t>
        </is>
      </c>
      <c r="FP9038" s="26" t="inlineStr">
        <is>
          <t>B2PAL</t>
        </is>
      </c>
    </row>
    <row r="9039">
      <c r="FC9039" t="inlineStr">
        <is>
          <t>Diccionario 9</t>
        </is>
      </c>
      <c r="FD9039" t="inlineStr">
        <is>
          <t>SJ-BP1076 / GCBB-76|</t>
        </is>
      </c>
      <c r="FL9039" s="26" t="inlineStr">
        <is>
          <t>B2PAL</t>
        </is>
      </c>
      <c r="FP9039" s="26" t="inlineStr">
        <is>
          <t>B2PAL</t>
        </is>
      </c>
    </row>
    <row r="9040">
      <c r="FC9040" t="inlineStr">
        <is>
          <t>Diccionario 9</t>
        </is>
      </c>
      <c r="FD9040" t="inlineStr">
        <is>
          <t>LL-BP1077 / GCBB-77|</t>
        </is>
      </c>
      <c r="FL9040" s="26" t="inlineStr">
        <is>
          <t>B2PAL</t>
        </is>
      </c>
      <c r="FP9040" s="26" t="inlineStr">
        <is>
          <t>B2PAL</t>
        </is>
      </c>
    </row>
    <row r="9041">
      <c r="FC9041" t="inlineStr">
        <is>
          <t>Diccionario 9</t>
        </is>
      </c>
      <c r="FD9041" t="inlineStr">
        <is>
          <t>LL-BP1078 / GCBB-78|</t>
        </is>
      </c>
      <c r="FL9041" s="26" t="inlineStr">
        <is>
          <t>B2PAL</t>
        </is>
      </c>
      <c r="FP9041" s="26" t="inlineStr">
        <is>
          <t>B2PAL</t>
        </is>
      </c>
    </row>
    <row r="9042">
      <c r="FC9042" t="inlineStr">
        <is>
          <t>Diccionario 9</t>
        </is>
      </c>
      <c r="FD9042" t="inlineStr">
        <is>
          <t>SJ-BP1079 / GCBB-79|</t>
        </is>
      </c>
      <c r="FL9042" s="26" t="inlineStr">
        <is>
          <t>B2PAL</t>
        </is>
      </c>
      <c r="FP9042" s="26" t="inlineStr">
        <is>
          <t>B2PAL</t>
        </is>
      </c>
    </row>
    <row r="9043">
      <c r="FC9043" t="inlineStr">
        <is>
          <t>Diccionario 9</t>
        </is>
      </c>
      <c r="FD9043" t="inlineStr">
        <is>
          <t>SJ-BP1080 / GCBB-80|</t>
        </is>
      </c>
      <c r="FL9043" s="26" t="inlineStr">
        <is>
          <t>B2PAL</t>
        </is>
      </c>
      <c r="FP9043" s="26" t="inlineStr">
        <is>
          <t>B2PAL</t>
        </is>
      </c>
    </row>
    <row r="9044">
      <c r="FC9044" t="inlineStr">
        <is>
          <t>Diccionario 9</t>
        </is>
      </c>
      <c r="FD9044" t="inlineStr">
        <is>
          <t>SJ-BP1081 / GCBB-81|</t>
        </is>
      </c>
      <c r="FL9044" s="26" t="inlineStr">
        <is>
          <t>B2PAL</t>
        </is>
      </c>
      <c r="FP9044" s="26" t="inlineStr">
        <is>
          <t>B2PAL</t>
        </is>
      </c>
    </row>
    <row r="9045">
      <c r="FC9045" t="inlineStr">
        <is>
          <t>Diccionario 9</t>
        </is>
      </c>
      <c r="FD9045" t="inlineStr">
        <is>
          <t>SJ-BP1082 / GCBB-82|</t>
        </is>
      </c>
      <c r="FL9045" s="26" t="inlineStr">
        <is>
          <t>B2PAL</t>
        </is>
      </c>
      <c r="FP9045" s="26" t="inlineStr">
        <is>
          <t>B2PAL</t>
        </is>
      </c>
    </row>
    <row r="9046">
      <c r="FC9046" t="inlineStr">
        <is>
          <t>Diccionario 9</t>
        </is>
      </c>
      <c r="FD9046" t="inlineStr">
        <is>
          <t>LL-BP1083 / GCBB-83|</t>
        </is>
      </c>
      <c r="FL9046" s="26" t="inlineStr">
        <is>
          <t>B2PAL</t>
        </is>
      </c>
      <c r="FP9046" s="26" t="inlineStr">
        <is>
          <t>B2PAL</t>
        </is>
      </c>
    </row>
    <row r="9047">
      <c r="FC9047" t="inlineStr">
        <is>
          <t>Diccionario 9</t>
        </is>
      </c>
      <c r="FD9047" t="inlineStr">
        <is>
          <t>SJ-BP1084 / GCBB-84|</t>
        </is>
      </c>
      <c r="FL9047" s="26" t="inlineStr">
        <is>
          <t>B2PAL</t>
        </is>
      </c>
      <c r="FP9047" s="26" t="inlineStr">
        <is>
          <t>B2PAL</t>
        </is>
      </c>
    </row>
    <row r="9048">
      <c r="FC9048" t="inlineStr">
        <is>
          <t>Diccionario 9</t>
        </is>
      </c>
      <c r="FD9048" t="inlineStr">
        <is>
          <t>LL-BP1085 / GCBB-12|</t>
        </is>
      </c>
      <c r="FL9048" s="26" t="inlineStr">
        <is>
          <t>B2PAL</t>
        </is>
      </c>
      <c r="FP9048" s="26" t="inlineStr">
        <is>
          <t>B2PAL</t>
        </is>
      </c>
    </row>
    <row r="9049">
      <c r="FC9049" t="inlineStr">
        <is>
          <t>Diccionario 9</t>
        </is>
      </c>
      <c r="FD9049" t="inlineStr">
        <is>
          <t>LL-BP1086 / GCBB-85|</t>
        </is>
      </c>
      <c r="FL9049" s="26" t="inlineStr">
        <is>
          <t>B2PAL</t>
        </is>
      </c>
      <c r="FP9049" s="26" t="inlineStr">
        <is>
          <t>B2PAL</t>
        </is>
      </c>
    </row>
    <row r="9050">
      <c r="FC9050" t="inlineStr">
        <is>
          <t>Diccionario 9</t>
        </is>
      </c>
      <c r="FD9050" t="inlineStr">
        <is>
          <t>SJ-BP1087 / GCBB-86|</t>
        </is>
      </c>
      <c r="FL9050" s="26" t="inlineStr">
        <is>
          <t>B2PAL</t>
        </is>
      </c>
      <c r="FP9050" s="26" t="inlineStr">
        <is>
          <t>B2PAL</t>
        </is>
      </c>
    </row>
    <row r="9051">
      <c r="FC9051" t="inlineStr">
        <is>
          <t>Diccionario 9</t>
        </is>
      </c>
      <c r="FD9051" t="inlineStr">
        <is>
          <t>SJ-BP1088 / GCBB-87|</t>
        </is>
      </c>
      <c r="FL9051" s="26" t="inlineStr">
        <is>
          <t>B2PAL</t>
        </is>
      </c>
      <c r="FP9051" s="26" t="inlineStr">
        <is>
          <t>B2PAL</t>
        </is>
      </c>
    </row>
    <row r="9052">
      <c r="FC9052" t="inlineStr">
        <is>
          <t>Diccionario 9</t>
        </is>
      </c>
      <c r="FD9052" t="inlineStr">
        <is>
          <t>SJ-BP1089 / GCBB-88|</t>
        </is>
      </c>
      <c r="FL9052" s="26" t="inlineStr">
        <is>
          <t>B2PAL</t>
        </is>
      </c>
      <c r="FP9052" s="26" t="inlineStr">
        <is>
          <t>B2PAL</t>
        </is>
      </c>
    </row>
    <row r="9053">
      <c r="FC9053" t="inlineStr">
        <is>
          <t>Diccionario 9</t>
        </is>
      </c>
      <c r="FD9053" t="inlineStr">
        <is>
          <t>SJ-BP1090 / GCBB-89|</t>
        </is>
      </c>
      <c r="FL9053" s="26" t="inlineStr">
        <is>
          <t>B2PAL</t>
        </is>
      </c>
      <c r="FP9053" s="26" t="inlineStr">
        <is>
          <t>B2PAL</t>
        </is>
      </c>
    </row>
    <row r="9054">
      <c r="FC9054" t="inlineStr">
        <is>
          <t>Diccionario 9</t>
        </is>
      </c>
      <c r="FD9054" t="inlineStr">
        <is>
          <t>LL-BP1091 / GCBB-91|</t>
        </is>
      </c>
      <c r="FL9054" s="26" t="inlineStr">
        <is>
          <t>B2PAL</t>
        </is>
      </c>
      <c r="FP9054" s="26" t="inlineStr">
        <is>
          <t>B2PAL</t>
        </is>
      </c>
    </row>
    <row r="9055">
      <c r="FC9055" t="inlineStr">
        <is>
          <t>Diccionario 9</t>
        </is>
      </c>
      <c r="FD9055" t="inlineStr">
        <is>
          <t>SJ-BP1092 / GCBB-92|</t>
        </is>
      </c>
      <c r="FL9055" s="26" t="inlineStr">
        <is>
          <t>B2PAL</t>
        </is>
      </c>
      <c r="FP9055" s="26" t="inlineStr">
        <is>
          <t>B2PAL</t>
        </is>
      </c>
    </row>
    <row r="9056">
      <c r="FC9056" t="inlineStr">
        <is>
          <t>Diccionario 9</t>
        </is>
      </c>
      <c r="FD9056" t="inlineStr">
        <is>
          <t>SJ-BP1093 / GCBB-93|</t>
        </is>
      </c>
      <c r="FL9056" s="26" t="inlineStr">
        <is>
          <t>B2PAL</t>
        </is>
      </c>
      <c r="FP9056" s="26" t="inlineStr">
        <is>
          <t>B2PAL</t>
        </is>
      </c>
    </row>
    <row r="9057">
      <c r="FC9057" t="inlineStr">
        <is>
          <t>Diccionario 9</t>
        </is>
      </c>
      <c r="FD9057" t="inlineStr">
        <is>
          <t>LL-BP1094 / GCBB-94|</t>
        </is>
      </c>
      <c r="FL9057" s="26" t="inlineStr">
        <is>
          <t>B2PAL</t>
        </is>
      </c>
      <c r="FP9057" s="26" t="inlineStr">
        <is>
          <t>B2PAL</t>
        </is>
      </c>
    </row>
    <row r="9058">
      <c r="FC9058" t="inlineStr">
        <is>
          <t>Diccionario 9</t>
        </is>
      </c>
      <c r="FD9058" t="inlineStr">
        <is>
          <t>SJ-BP1095 / GCBB-95|</t>
        </is>
      </c>
      <c r="FL9058" s="26" t="inlineStr">
        <is>
          <t>B2PAL</t>
        </is>
      </c>
      <c r="FP9058" s="26" t="inlineStr">
        <is>
          <t>B2PAL</t>
        </is>
      </c>
    </row>
    <row r="9059">
      <c r="FC9059" t="inlineStr">
        <is>
          <t>Diccionario 9</t>
        </is>
      </c>
      <c r="FD9059" t="inlineStr">
        <is>
          <t>LL-BP1096 / GCBB-13|</t>
        </is>
      </c>
      <c r="FL9059" s="26" t="inlineStr">
        <is>
          <t>B2PAL</t>
        </is>
      </c>
      <c r="FP9059" s="26" t="inlineStr">
        <is>
          <t>B2PAL</t>
        </is>
      </c>
    </row>
    <row r="9060">
      <c r="FC9060" t="inlineStr">
        <is>
          <t>Diccionario 9</t>
        </is>
      </c>
      <c r="FD9060" t="inlineStr">
        <is>
          <t>LL-BP1096 / GCBB-13|</t>
        </is>
      </c>
      <c r="FL9060" s="26" t="inlineStr">
        <is>
          <t>B2PAL</t>
        </is>
      </c>
      <c r="FP9060" s="26" t="inlineStr">
        <is>
          <t>B2PAL</t>
        </is>
      </c>
    </row>
    <row r="9061">
      <c r="FC9061" t="inlineStr">
        <is>
          <t>Diccionario 9</t>
        </is>
      </c>
      <c r="FD9061" t="inlineStr">
        <is>
          <t>SJ-BP1097 / GCBB-96|</t>
        </is>
      </c>
      <c r="FL9061" s="26" t="inlineStr">
        <is>
          <t>B2PAL</t>
        </is>
      </c>
      <c r="FP9061" s="26" t="inlineStr">
        <is>
          <t>B2PAL</t>
        </is>
      </c>
    </row>
    <row r="9062">
      <c r="FC9062" t="inlineStr">
        <is>
          <t>Diccionario 9</t>
        </is>
      </c>
      <c r="FD9062" t="inlineStr">
        <is>
          <t>SJ-BP1098 / GCBB-97|</t>
        </is>
      </c>
      <c r="FL9062" s="26" t="inlineStr">
        <is>
          <t>B2PAL</t>
        </is>
      </c>
      <c r="FP9062" s="26" t="inlineStr">
        <is>
          <t>B2PAL</t>
        </is>
      </c>
    </row>
    <row r="9063">
      <c r="FC9063" t="inlineStr">
        <is>
          <t>Diccionario 9</t>
        </is>
      </c>
      <c r="FD9063" t="inlineStr">
        <is>
          <t>SJ-BP1099 / GCBB-98|</t>
        </is>
      </c>
      <c r="FL9063" s="26" t="inlineStr">
        <is>
          <t>B2PAL</t>
        </is>
      </c>
      <c r="FP9063" s="26" t="inlineStr">
        <is>
          <t>B2PAL</t>
        </is>
      </c>
    </row>
    <row r="9064">
      <c r="FC9064" t="inlineStr">
        <is>
          <t>Diccionario 9</t>
        </is>
      </c>
      <c r="FD9064" t="inlineStr">
        <is>
          <t>SJ-BP1101 / GCBC-10|</t>
        </is>
      </c>
      <c r="FL9064" s="26" t="inlineStr">
        <is>
          <t>B2PAL</t>
        </is>
      </c>
      <c r="FP9064" s="26" t="inlineStr">
        <is>
          <t>B2PAL</t>
        </is>
      </c>
    </row>
    <row r="9065">
      <c r="FC9065" t="inlineStr">
        <is>
          <t>Diccionario 9</t>
        </is>
      </c>
      <c r="FD9065" t="inlineStr">
        <is>
          <t>SJ-BP1102 / GCBC-11|</t>
        </is>
      </c>
      <c r="FL9065" s="26" t="inlineStr">
        <is>
          <t>B2PAL</t>
        </is>
      </c>
      <c r="FP9065" s="26" t="inlineStr">
        <is>
          <t>B2PAL</t>
        </is>
      </c>
    </row>
    <row r="9066">
      <c r="FC9066" t="inlineStr">
        <is>
          <t>Diccionario 9</t>
        </is>
      </c>
      <c r="FD9066" t="inlineStr">
        <is>
          <t>SJ-BP1103 / GCBC-12|</t>
        </is>
      </c>
      <c r="FL9066" s="26" t="inlineStr">
        <is>
          <t>B2PAL</t>
        </is>
      </c>
      <c r="FP9066" s="26" t="inlineStr">
        <is>
          <t>B2PAL</t>
        </is>
      </c>
    </row>
    <row r="9067">
      <c r="FC9067" t="inlineStr">
        <is>
          <t>Diccionario 9</t>
        </is>
      </c>
      <c r="FD9067" t="inlineStr">
        <is>
          <t>SJ-BP1104 / GCBC-13|</t>
        </is>
      </c>
      <c r="FL9067" s="26" t="inlineStr">
        <is>
          <t>B2PAL</t>
        </is>
      </c>
      <c r="FP9067" s="26" t="inlineStr">
        <is>
          <t>B2PAL</t>
        </is>
      </c>
    </row>
    <row r="9068">
      <c r="FC9068" t="inlineStr">
        <is>
          <t>Diccionario 9</t>
        </is>
      </c>
      <c r="FD9068" t="inlineStr">
        <is>
          <t>SJ-BP1105 / GCBC-14|</t>
        </is>
      </c>
      <c r="FL9068" s="26" t="inlineStr">
        <is>
          <t>B2PAL</t>
        </is>
      </c>
      <c r="FP9068" s="26" t="inlineStr">
        <is>
          <t>B2PAL</t>
        </is>
      </c>
    </row>
    <row r="9069">
      <c r="FC9069" t="inlineStr">
        <is>
          <t>Diccionario 9</t>
        </is>
      </c>
      <c r="FD9069" t="inlineStr">
        <is>
          <t>SJ-BP1106 / GCBC-15|</t>
        </is>
      </c>
      <c r="FL9069" s="26" t="inlineStr">
        <is>
          <t>B2PAL</t>
        </is>
      </c>
      <c r="FP9069" s="26" t="inlineStr">
        <is>
          <t>B2PAL</t>
        </is>
      </c>
    </row>
    <row r="9070">
      <c r="FC9070" t="inlineStr">
        <is>
          <t>Diccionario 9</t>
        </is>
      </c>
      <c r="FD9070" t="inlineStr">
        <is>
          <t>SJ-B1107 / VFHJ-88|</t>
        </is>
      </c>
      <c r="FL9070" s="26" t="inlineStr">
        <is>
          <t>B</t>
        </is>
      </c>
      <c r="FP9070" s="26" t="inlineStr">
        <is>
          <t>B</t>
        </is>
      </c>
    </row>
    <row r="9071">
      <c r="FC9071" t="inlineStr">
        <is>
          <t>Diccionario 9</t>
        </is>
      </c>
      <c r="FD9071" t="inlineStr">
        <is>
          <t>SJ-B1108 / VFHL-33|</t>
        </is>
      </c>
      <c r="FL9071" s="26" t="inlineStr">
        <is>
          <t>B</t>
        </is>
      </c>
      <c r="FP9071" s="26" t="inlineStr">
        <is>
          <t>B</t>
        </is>
      </c>
    </row>
    <row r="9072">
      <c r="FC9072" t="inlineStr">
        <is>
          <t>Diccionario 9</t>
        </is>
      </c>
      <c r="FD9072" t="inlineStr">
        <is>
          <t>SJ-B1109 / VFHL-39|</t>
        </is>
      </c>
      <c r="FL9072" s="26" t="inlineStr">
        <is>
          <t>B</t>
        </is>
      </c>
      <c r="FP9072" s="26" t="inlineStr">
        <is>
          <t>B</t>
        </is>
      </c>
    </row>
    <row r="9073">
      <c r="FC9073" t="inlineStr">
        <is>
          <t>Diccionario 9</t>
        </is>
      </c>
      <c r="FD9073" t="inlineStr">
        <is>
          <t>SJ-B1110 / VFHL-46|</t>
        </is>
      </c>
      <c r="FL9073" s="26" t="inlineStr">
        <is>
          <t>B</t>
        </is>
      </c>
      <c r="FP9073" s="26" t="inlineStr">
        <is>
          <t>B</t>
        </is>
      </c>
    </row>
    <row r="9074">
      <c r="FC9074" t="inlineStr">
        <is>
          <t>Diccionario 9</t>
        </is>
      </c>
      <c r="FD9074" t="inlineStr">
        <is>
          <t>SJ-B1111 / VFHL-56|</t>
        </is>
      </c>
      <c r="FL9074" s="26" t="inlineStr">
        <is>
          <t>B</t>
        </is>
      </c>
      <c r="FP9074" s="26" t="inlineStr">
        <is>
          <t>B</t>
        </is>
      </c>
    </row>
    <row r="9075">
      <c r="FC9075" t="inlineStr">
        <is>
          <t>Diccionario 9</t>
        </is>
      </c>
      <c r="FD9075" t="inlineStr">
        <is>
          <t>SJ-B1112 / VFHG-99|</t>
        </is>
      </c>
      <c r="FL9075" s="26" t="inlineStr">
        <is>
          <t>B</t>
        </is>
      </c>
      <c r="FP9075" s="26" t="inlineStr">
        <is>
          <t>B</t>
        </is>
      </c>
    </row>
    <row r="9076">
      <c r="FC9076" t="inlineStr">
        <is>
          <t>Diccionario 9</t>
        </is>
      </c>
      <c r="FD9076" t="inlineStr">
        <is>
          <t>SJ-B1113 / VFHH-49|</t>
        </is>
      </c>
      <c r="FL9076" s="26" t="inlineStr">
        <is>
          <t>B</t>
        </is>
      </c>
      <c r="FP9076" s="26" t="inlineStr">
        <is>
          <t>B</t>
        </is>
      </c>
    </row>
    <row r="9077">
      <c r="FC9077" t="inlineStr">
        <is>
          <t>Diccionario 9</t>
        </is>
      </c>
      <c r="FD9077" t="inlineStr">
        <is>
          <t>SJ-B1114 / VFHH-65|</t>
        </is>
      </c>
      <c r="FL9077" s="26" t="inlineStr">
        <is>
          <t>B</t>
        </is>
      </c>
      <c r="FP9077" s="26" t="inlineStr">
        <is>
          <t>B</t>
        </is>
      </c>
    </row>
    <row r="9078">
      <c r="FC9078" t="inlineStr">
        <is>
          <t>Diccionario 9</t>
        </is>
      </c>
      <c r="FD9078" t="inlineStr">
        <is>
          <t>SJ-B1115 / VFHJ-21|</t>
        </is>
      </c>
      <c r="FL9078" s="26" t="inlineStr">
        <is>
          <t>B</t>
        </is>
      </c>
      <c r="FP9078" s="26" t="inlineStr">
        <is>
          <t>B</t>
        </is>
      </c>
    </row>
    <row r="9079">
      <c r="FC9079" t="inlineStr">
        <is>
          <t>Diccionario 9</t>
        </is>
      </c>
      <c r="FD9079" t="inlineStr">
        <is>
          <t>SJ-B1116 / VFHJ-43|</t>
        </is>
      </c>
      <c r="FL9079" s="26" t="inlineStr">
        <is>
          <t>B</t>
        </is>
      </c>
      <c r="FP9079" s="26" t="inlineStr">
        <is>
          <t>B</t>
        </is>
      </c>
    </row>
    <row r="9080">
      <c r="FC9080" t="inlineStr">
        <is>
          <t>Diccionario 9</t>
        </is>
      </c>
      <c r="FD9080" t="inlineStr">
        <is>
          <t>SJ-B1117 / VFHJ-59|</t>
        </is>
      </c>
      <c r="FL9080" s="26" t="inlineStr">
        <is>
          <t>B</t>
        </is>
      </c>
      <c r="FP9080" s="26" t="inlineStr">
        <is>
          <t>B</t>
        </is>
      </c>
    </row>
    <row r="9081">
      <c r="FC9081" t="inlineStr">
        <is>
          <t>Diccionario 9</t>
        </is>
      </c>
      <c r="FD9081" t="inlineStr">
        <is>
          <t>SJ-B1118 / VFHJ-92|</t>
        </is>
      </c>
      <c r="FL9081" s="26" t="inlineStr">
        <is>
          <t>B</t>
        </is>
      </c>
      <c r="FP9081" s="26" t="inlineStr">
        <is>
          <t>B</t>
        </is>
      </c>
    </row>
    <row r="9082">
      <c r="FC9082" t="inlineStr">
        <is>
          <t>Diccionario 9</t>
        </is>
      </c>
      <c r="FD9082" t="inlineStr">
        <is>
          <t>SJ-B1119 / VFHJ-69|</t>
        </is>
      </c>
      <c r="FL9082" s="26" t="inlineStr">
        <is>
          <t>B</t>
        </is>
      </c>
      <c r="FP9082" s="26" t="inlineStr">
        <is>
          <t>B</t>
        </is>
      </c>
    </row>
    <row r="9083">
      <c r="FC9083" t="inlineStr">
        <is>
          <t>Diccionario 9</t>
        </is>
      </c>
      <c r="FD9083" t="inlineStr">
        <is>
          <t>SJ-B1120 / VFHJ-77|</t>
        </is>
      </c>
      <c r="FL9083" s="26" t="inlineStr">
        <is>
          <t>B</t>
        </is>
      </c>
      <c r="FP9083" s="26" t="inlineStr">
        <is>
          <t>B</t>
        </is>
      </c>
    </row>
    <row r="9084">
      <c r="FC9084" t="inlineStr">
        <is>
          <t>Diccionario 9</t>
        </is>
      </c>
      <c r="FD9084" t="inlineStr">
        <is>
          <t>SJ-B1121 / VFHL-62|</t>
        </is>
      </c>
      <c r="FL9084" s="26" t="inlineStr">
        <is>
          <t>B</t>
        </is>
      </c>
      <c r="FP9084" s="26" t="inlineStr">
        <is>
          <t>B</t>
        </is>
      </c>
    </row>
    <row r="9085">
      <c r="FC9085" t="inlineStr">
        <is>
          <t>Diccionario 9</t>
        </is>
      </c>
      <c r="FD9085" t="inlineStr">
        <is>
          <t>CER-B1122 / VFHL-66|</t>
        </is>
      </c>
      <c r="FL9085" s="26" t="inlineStr">
        <is>
          <t>B</t>
        </is>
      </c>
      <c r="FP9085" s="26" t="inlineStr">
        <is>
          <t>B</t>
        </is>
      </c>
    </row>
    <row r="9086">
      <c r="FC9086" t="inlineStr">
        <is>
          <t>Diccionario 9</t>
        </is>
      </c>
      <c r="FD9086" t="inlineStr">
        <is>
          <t>LL-B1123 / VFHL-81|</t>
        </is>
      </c>
      <c r="FL9086" s="26" t="inlineStr">
        <is>
          <t>B</t>
        </is>
      </c>
      <c r="FP9086" s="26" t="inlineStr">
        <is>
          <t>B</t>
        </is>
      </c>
    </row>
    <row r="9087">
      <c r="FC9087" t="inlineStr">
        <is>
          <t>Diccionario 9</t>
        </is>
      </c>
      <c r="FD9087" t="inlineStr">
        <is>
          <t>LL-B1124 / VFHS-85|</t>
        </is>
      </c>
      <c r="FL9087" s="26" t="inlineStr">
        <is>
          <t>B</t>
        </is>
      </c>
      <c r="FP9087" s="26" t="inlineStr">
        <is>
          <t>B</t>
        </is>
      </c>
    </row>
    <row r="9088">
      <c r="FC9088" t="inlineStr">
        <is>
          <t>Diccionario 9</t>
        </is>
      </c>
      <c r="FD9088" t="inlineStr">
        <is>
          <t>LL-B1125 / VFHS-95|</t>
        </is>
      </c>
      <c r="FL9088" s="26" t="inlineStr">
        <is>
          <t>B</t>
        </is>
      </c>
      <c r="FP9088" s="26" t="inlineStr">
        <is>
          <t>B</t>
        </is>
      </c>
    </row>
    <row r="9089">
      <c r="FC9089" t="inlineStr">
        <is>
          <t>Diccionario 9</t>
        </is>
      </c>
      <c r="FD9089" t="inlineStr">
        <is>
          <t>SJ-B1126 / VFHS-98|</t>
        </is>
      </c>
      <c r="FL9089" s="26" t="inlineStr">
        <is>
          <t>B</t>
        </is>
      </c>
      <c r="FP9089" s="26" t="inlineStr">
        <is>
          <t>B</t>
        </is>
      </c>
    </row>
    <row r="9090">
      <c r="FC9090" t="inlineStr">
        <is>
          <t>Diccionario 9</t>
        </is>
      </c>
      <c r="FD9090" t="inlineStr">
        <is>
          <t>SJ-B1127 / VFHT-45|</t>
        </is>
      </c>
      <c r="FL9090" s="26" t="inlineStr">
        <is>
          <t>B</t>
        </is>
      </c>
      <c r="FP9090" s="26" t="inlineStr">
        <is>
          <t>B</t>
        </is>
      </c>
    </row>
    <row r="9091">
      <c r="FC9091" t="inlineStr">
        <is>
          <t>Diccionario 9</t>
        </is>
      </c>
      <c r="FD9091" t="inlineStr">
        <is>
          <t>SJ-B1128 / VFHT-55|</t>
        </is>
      </c>
      <c r="FL9091" s="26" t="inlineStr">
        <is>
          <t>B</t>
        </is>
      </c>
      <c r="FP9091" s="26" t="inlineStr">
        <is>
          <t>B</t>
        </is>
      </c>
    </row>
    <row r="9092">
      <c r="FC9092" t="inlineStr">
        <is>
          <t>Diccionario 9</t>
        </is>
      </c>
      <c r="FD9092" t="inlineStr">
        <is>
          <t>SJ-B1129 / VFHK-16|</t>
        </is>
      </c>
      <c r="FL9092" s="26" t="inlineStr">
        <is>
          <t>B</t>
        </is>
      </c>
      <c r="FP9092" s="26" t="inlineStr">
        <is>
          <t>B</t>
        </is>
      </c>
    </row>
    <row r="9093">
      <c r="FC9093" t="inlineStr">
        <is>
          <t>Diccionario 9</t>
        </is>
      </c>
      <c r="FD9093" t="inlineStr">
        <is>
          <t>CER-B1130 / VFHT-73|</t>
        </is>
      </c>
      <c r="FL9093" s="26" t="inlineStr">
        <is>
          <t>B</t>
        </is>
      </c>
      <c r="FP9093" s="26" t="inlineStr">
        <is>
          <t>B</t>
        </is>
      </c>
    </row>
    <row r="9094">
      <c r="FC9094" t="inlineStr">
        <is>
          <t>Diccionario 9</t>
        </is>
      </c>
      <c r="FD9094" t="inlineStr">
        <is>
          <t>LL-B1131 / VFHT-80|</t>
        </is>
      </c>
      <c r="FL9094" s="26" t="inlineStr">
        <is>
          <t>B</t>
        </is>
      </c>
      <c r="FP9094" s="26" t="inlineStr">
        <is>
          <t>B</t>
        </is>
      </c>
    </row>
    <row r="9095">
      <c r="FC9095" t="inlineStr">
        <is>
          <t>Diccionario 9</t>
        </is>
      </c>
      <c r="FD9095" t="inlineStr">
        <is>
          <t>LL-B1132 / VFHT-81|</t>
        </is>
      </c>
      <c r="FL9095" s="26" t="inlineStr">
        <is>
          <t>B</t>
        </is>
      </c>
      <c r="FP9095" s="26" t="inlineStr">
        <is>
          <t>B</t>
        </is>
      </c>
    </row>
    <row r="9096">
      <c r="FC9096" t="inlineStr">
        <is>
          <t>Diccionario 9</t>
        </is>
      </c>
      <c r="FD9096" t="inlineStr">
        <is>
          <t>LL-B1133 / VFHV-57|</t>
        </is>
      </c>
      <c r="FL9096" s="26" t="inlineStr">
        <is>
          <t>B</t>
        </is>
      </c>
      <c r="FP9096" s="26" t="inlineStr">
        <is>
          <t>B</t>
        </is>
      </c>
    </row>
    <row r="9097">
      <c r="FC9097" t="inlineStr">
        <is>
          <t>Diccionario 9</t>
        </is>
      </c>
      <c r="FD9097" t="inlineStr">
        <is>
          <t>LL-B1134 / VFHV-67|</t>
        </is>
      </c>
      <c r="FL9097" s="26" t="inlineStr">
        <is>
          <t>B</t>
        </is>
      </c>
      <c r="FP9097" s="26" t="inlineStr">
        <is>
          <t>B</t>
        </is>
      </c>
    </row>
    <row r="9098">
      <c r="FC9098" t="inlineStr">
        <is>
          <t>Diccionario 9</t>
        </is>
      </c>
      <c r="FD9098" t="inlineStr">
        <is>
          <t>LL-B1135 / VFHV-82|</t>
        </is>
      </c>
      <c r="FL9098" s="26" t="inlineStr">
        <is>
          <t>B</t>
        </is>
      </c>
      <c r="FP9098" s="26" t="inlineStr">
        <is>
          <t>B</t>
        </is>
      </c>
    </row>
    <row r="9099">
      <c r="FC9099" t="inlineStr">
        <is>
          <t>Diccionario 9</t>
        </is>
      </c>
      <c r="FD9099" t="inlineStr">
        <is>
          <t>LL-B1136 / VFHV-87|</t>
        </is>
      </c>
      <c r="FL9099" s="26" t="inlineStr">
        <is>
          <t>B</t>
        </is>
      </c>
      <c r="FP9099" s="26" t="inlineStr">
        <is>
          <t>B</t>
        </is>
      </c>
    </row>
    <row r="9100">
      <c r="FC9100" t="inlineStr">
        <is>
          <t>Diccionario 9</t>
        </is>
      </c>
      <c r="FD9100" t="inlineStr">
        <is>
          <t>LL-B1137 / VFHW-46|</t>
        </is>
      </c>
      <c r="FL9100" s="26" t="inlineStr">
        <is>
          <t>B</t>
        </is>
      </c>
      <c r="FP9100" s="26" t="inlineStr">
        <is>
          <t>B</t>
        </is>
      </c>
    </row>
    <row r="9101">
      <c r="FC9101" t="inlineStr">
        <is>
          <t>Diccionario 9</t>
        </is>
      </c>
      <c r="FD9101" t="inlineStr">
        <is>
          <t>LL-B1138 / VFHW-51|</t>
        </is>
      </c>
      <c r="FL9101" s="26" t="inlineStr">
        <is>
          <t>B</t>
        </is>
      </c>
      <c r="FP9101" s="26" t="inlineStr">
        <is>
          <t>B</t>
        </is>
      </c>
    </row>
    <row r="9102">
      <c r="FC9102" t="inlineStr">
        <is>
          <t>Diccionario 9</t>
        </is>
      </c>
      <c r="FD9102" t="inlineStr">
        <is>
          <t>LL-B1139 / VFHW-63|</t>
        </is>
      </c>
      <c r="FL9102" s="26" t="inlineStr">
        <is>
          <t>B</t>
        </is>
      </c>
      <c r="FP9102" s="26" t="inlineStr">
        <is>
          <t>B</t>
        </is>
      </c>
    </row>
    <row r="9103">
      <c r="FC9103" t="inlineStr">
        <is>
          <t>Diccionario 9</t>
        </is>
      </c>
      <c r="FD9103" t="inlineStr">
        <is>
          <t>SJ-B1140 / VFHK-27|</t>
        </is>
      </c>
      <c r="FL9103" s="26" t="inlineStr">
        <is>
          <t>B</t>
        </is>
      </c>
      <c r="FP9103" s="26" t="inlineStr">
        <is>
          <t>B</t>
        </is>
      </c>
    </row>
    <row r="9104">
      <c r="FC9104" t="inlineStr">
        <is>
          <t>Diccionario 9</t>
        </is>
      </c>
      <c r="FD9104" t="inlineStr">
        <is>
          <t>LL-B1141 / VFPB-70|</t>
        </is>
      </c>
      <c r="FL9104" s="26" t="inlineStr">
        <is>
          <t>B</t>
        </is>
      </c>
      <c r="FP9104" s="26" t="inlineStr">
        <is>
          <t>B</t>
        </is>
      </c>
    </row>
    <row r="9105">
      <c r="FC9105" t="inlineStr">
        <is>
          <t>Diccionario 9</t>
        </is>
      </c>
      <c r="FD9105" t="inlineStr">
        <is>
          <t>LL-B1142 / VFPC-10|</t>
        </is>
      </c>
      <c r="FL9105" s="26" t="inlineStr">
        <is>
          <t>B</t>
        </is>
      </c>
      <c r="FP9105" s="26" t="inlineStr">
        <is>
          <t>B</t>
        </is>
      </c>
    </row>
    <row r="9106">
      <c r="FC9106" t="inlineStr">
        <is>
          <t>Diccionario 9</t>
        </is>
      </c>
      <c r="FD9106" t="inlineStr">
        <is>
          <t>LL-B1143 / VFPC-31|</t>
        </is>
      </c>
      <c r="FL9106" s="26" t="inlineStr">
        <is>
          <t>B</t>
        </is>
      </c>
      <c r="FP9106" s="26" t="inlineStr">
        <is>
          <t>B</t>
        </is>
      </c>
    </row>
    <row r="9107">
      <c r="FC9107" t="inlineStr">
        <is>
          <t>Diccionario 9</t>
        </is>
      </c>
      <c r="FD9107" t="inlineStr">
        <is>
          <t>LL-B1144 / VFPC-80|</t>
        </is>
      </c>
      <c r="FL9107" s="26" t="inlineStr">
        <is>
          <t>B</t>
        </is>
      </c>
      <c r="FP9107" s="26" t="inlineStr">
        <is>
          <t>B</t>
        </is>
      </c>
    </row>
    <row r="9108">
      <c r="FC9108" t="inlineStr">
        <is>
          <t>Diccionario 9</t>
        </is>
      </c>
      <c r="FD9108" t="inlineStr">
        <is>
          <t>LL-B1145 / VFPC-51|</t>
        </is>
      </c>
      <c r="FL9108" s="26" t="inlineStr">
        <is>
          <t>B</t>
        </is>
      </c>
      <c r="FP9108" s="26" t="inlineStr">
        <is>
          <t>B</t>
        </is>
      </c>
    </row>
    <row r="9109">
      <c r="FC9109" t="inlineStr">
        <is>
          <t>Diccionario 9</t>
        </is>
      </c>
      <c r="FD9109" t="inlineStr">
        <is>
          <t>LL-B1146 / VFPD-84|</t>
        </is>
      </c>
      <c r="FL9109" s="26" t="inlineStr">
        <is>
          <t>B</t>
        </is>
      </c>
      <c r="FP9109" s="26" t="inlineStr">
        <is>
          <t>B</t>
        </is>
      </c>
    </row>
    <row r="9110">
      <c r="FC9110" t="inlineStr">
        <is>
          <t>Diccionario 9</t>
        </is>
      </c>
      <c r="FD9110" t="inlineStr">
        <is>
          <t>LL-B1147 / VFPD-94|</t>
        </is>
      </c>
      <c r="FL9110" s="26" t="inlineStr">
        <is>
          <t>B</t>
        </is>
      </c>
      <c r="FP9110" s="26" t="inlineStr">
        <is>
          <t>B</t>
        </is>
      </c>
    </row>
    <row r="9111">
      <c r="FC9111" t="inlineStr">
        <is>
          <t>Diccionario 9</t>
        </is>
      </c>
      <c r="FD9111" t="inlineStr">
        <is>
          <t>LL-B1148 / VFHL-60|</t>
        </is>
      </c>
      <c r="FL9111" s="26" t="inlineStr">
        <is>
          <t>B</t>
        </is>
      </c>
      <c r="FP9111" s="26" t="inlineStr">
        <is>
          <t>B</t>
        </is>
      </c>
    </row>
    <row r="9112">
      <c r="FC9112" t="inlineStr">
        <is>
          <t>Diccionario 9</t>
        </is>
      </c>
      <c r="FD9112" t="inlineStr">
        <is>
          <t>SJ-B1149 / VFHK-31|</t>
        </is>
      </c>
      <c r="FL9112" s="26" t="inlineStr">
        <is>
          <t>B</t>
        </is>
      </c>
      <c r="FP9112" s="26" t="inlineStr">
        <is>
          <t>B</t>
        </is>
      </c>
    </row>
    <row r="9113">
      <c r="FC9113" t="inlineStr">
        <is>
          <t>Diccionario 9</t>
        </is>
      </c>
      <c r="FD9113" t="inlineStr">
        <is>
          <t>SJ-B1150 / VFHK-58|</t>
        </is>
      </c>
      <c r="FL9113" s="26" t="inlineStr">
        <is>
          <t>B</t>
        </is>
      </c>
      <c r="FP9113" s="26" t="inlineStr">
        <is>
          <t>B</t>
        </is>
      </c>
    </row>
    <row r="9114">
      <c r="FC9114" t="inlineStr">
        <is>
          <t>Diccionario 9</t>
        </is>
      </c>
      <c r="FD9114" t="inlineStr">
        <is>
          <t>SJ-B1151 / VFHK-69|</t>
        </is>
      </c>
      <c r="FL9114" s="26" t="inlineStr">
        <is>
          <t>B</t>
        </is>
      </c>
      <c r="FP9114" s="26" t="inlineStr">
        <is>
          <t>B</t>
        </is>
      </c>
    </row>
    <row r="9115">
      <c r="FC9115" t="inlineStr">
        <is>
          <t>Diccionario 9</t>
        </is>
      </c>
      <c r="FD9115" t="inlineStr">
        <is>
          <t>CER-B1152 / VFHK-89|</t>
        </is>
      </c>
      <c r="FL9115" s="26" t="inlineStr">
        <is>
          <t>B</t>
        </is>
      </c>
      <c r="FP9115" s="26" t="inlineStr">
        <is>
          <t>B</t>
        </is>
      </c>
    </row>
    <row r="9116">
      <c r="FC9116" t="inlineStr">
        <is>
          <t>Diccionario 9</t>
        </is>
      </c>
      <c r="FD9116" t="inlineStr">
        <is>
          <t>SA-B1153 / VFHK-96|</t>
        </is>
      </c>
      <c r="FL9116" s="26" t="inlineStr">
        <is>
          <t>B</t>
        </is>
      </c>
      <c r="FP9116" s="26" t="inlineStr">
        <is>
          <t>B</t>
        </is>
      </c>
    </row>
    <row r="9117">
      <c r="FC9117" t="inlineStr">
        <is>
          <t>Diccionario 9</t>
        </is>
      </c>
      <c r="FD9117" t="inlineStr">
        <is>
          <t>PA-C1154 / LZRB-89|</t>
        </is>
      </c>
      <c r="FL9117" s="26" t="inlineStr">
        <is>
          <t>C</t>
        </is>
      </c>
      <c r="FP9117" s="26" t="inlineStr">
        <is>
          <t>C</t>
        </is>
      </c>
    </row>
    <row r="9118">
      <c r="FC9118" t="inlineStr">
        <is>
          <t>Diccionario 9</t>
        </is>
      </c>
      <c r="FD9118" t="inlineStr">
        <is>
          <t>PA-C1155 / LZRB-90|</t>
        </is>
      </c>
      <c r="FL9118" s="26" t="inlineStr">
        <is>
          <t>C</t>
        </is>
      </c>
      <c r="FP9118" s="26" t="inlineStr">
        <is>
          <t>C</t>
        </is>
      </c>
    </row>
    <row r="9119">
      <c r="FC9119" t="inlineStr">
        <is>
          <t>Diccionario 9</t>
        </is>
      </c>
      <c r="FD9119" t="inlineStr">
        <is>
          <t>PA-C1156 / LZRB-91|</t>
        </is>
      </c>
      <c r="FL9119" s="26" t="inlineStr">
        <is>
          <t>C</t>
        </is>
      </c>
      <c r="FP9119" s="26" t="inlineStr">
        <is>
          <t>C</t>
        </is>
      </c>
    </row>
    <row r="9120">
      <c r="FC9120" t="inlineStr">
        <is>
          <t>Diccionario 9</t>
        </is>
      </c>
      <c r="FD9120" t="inlineStr">
        <is>
          <t>PA-C1157 / LZRB-92|</t>
        </is>
      </c>
      <c r="FL9120" s="26" t="inlineStr">
        <is>
          <t>C</t>
        </is>
      </c>
      <c r="FP9120" s="26" t="inlineStr">
        <is>
          <t>C</t>
        </is>
      </c>
    </row>
    <row r="9121">
      <c r="FC9121" t="inlineStr">
        <is>
          <t>Diccionario 9</t>
        </is>
      </c>
      <c r="FD9121" t="inlineStr">
        <is>
          <t>PA-C1158 / LZRB-93|</t>
        </is>
      </c>
      <c r="FL9121" s="26" t="inlineStr">
        <is>
          <t>C</t>
        </is>
      </c>
      <c r="FP9121" s="26" t="inlineStr">
        <is>
          <t>C</t>
        </is>
      </c>
    </row>
    <row r="9122">
      <c r="FC9122" t="inlineStr">
        <is>
          <t>Diccionario 9</t>
        </is>
      </c>
      <c r="FD9122" t="inlineStr">
        <is>
          <t>PA-C1159 / LZRB-94|</t>
        </is>
      </c>
      <c r="FL9122" s="26" t="inlineStr">
        <is>
          <t>C</t>
        </is>
      </c>
      <c r="FP9122" s="26" t="inlineStr">
        <is>
          <t>C</t>
        </is>
      </c>
    </row>
    <row r="9123">
      <c r="FC9123" t="inlineStr">
        <is>
          <t>Diccionario 9</t>
        </is>
      </c>
      <c r="FD9123" t="inlineStr">
        <is>
          <t>PA-C1160 / LZRB-95|</t>
        </is>
      </c>
      <c r="FL9123" s="26" t="inlineStr">
        <is>
          <t>C</t>
        </is>
      </c>
      <c r="FP9123" s="26" t="inlineStr">
        <is>
          <t>C</t>
        </is>
      </c>
    </row>
    <row r="9124">
      <c r="FC9124" t="inlineStr">
        <is>
          <t>Diccionario 9</t>
        </is>
      </c>
      <c r="FD9124" t="inlineStr">
        <is>
          <t>PA-C1161 / LZRB-96|</t>
        </is>
      </c>
      <c r="FL9124" s="26" t="inlineStr">
        <is>
          <t>C</t>
        </is>
      </c>
      <c r="FP9124" s="26" t="inlineStr">
        <is>
          <t>C</t>
        </is>
      </c>
    </row>
    <row r="9125">
      <c r="FC9125" t="inlineStr">
        <is>
          <t>Diccionario 9</t>
        </is>
      </c>
      <c r="FD9125" t="inlineStr">
        <is>
          <t>PA-C1162 / LZRD-61|</t>
        </is>
      </c>
      <c r="FL9125" s="26" t="inlineStr">
        <is>
          <t>C</t>
        </is>
      </c>
      <c r="FP9125" s="26" t="inlineStr">
        <is>
          <t>C</t>
        </is>
      </c>
    </row>
    <row r="9126">
      <c r="FC9126" t="inlineStr">
        <is>
          <t>Diccionario 9</t>
        </is>
      </c>
      <c r="FD9126" t="inlineStr">
        <is>
          <t>PA-C1163 / LZRD-62|</t>
        </is>
      </c>
      <c r="FL9126" s="26" t="inlineStr">
        <is>
          <t>C</t>
        </is>
      </c>
      <c r="FP9126" s="26" t="inlineStr">
        <is>
          <t>C</t>
        </is>
      </c>
    </row>
    <row r="9127">
      <c r="FC9127" t="inlineStr">
        <is>
          <t>Diccionario 9</t>
        </is>
      </c>
      <c r="FD9127" t="inlineStr">
        <is>
          <t>PA-C1164 / LZRD-63|</t>
        </is>
      </c>
      <c r="FL9127" s="26" t="inlineStr">
        <is>
          <t>C</t>
        </is>
      </c>
      <c r="FP9127" s="26" t="inlineStr">
        <is>
          <t>C</t>
        </is>
      </c>
    </row>
    <row r="9128">
      <c r="FC9128" t="inlineStr">
        <is>
          <t>Diccionario 9</t>
        </is>
      </c>
      <c r="FD9128" t="inlineStr">
        <is>
          <t>PA-C1165 / LZRD-64|</t>
        </is>
      </c>
      <c r="FL9128" s="26" t="inlineStr">
        <is>
          <t>C</t>
        </is>
      </c>
      <c r="FP9128" s="26" t="inlineStr">
        <is>
          <t>C</t>
        </is>
      </c>
    </row>
    <row r="9129">
      <c r="FC9129" t="inlineStr">
        <is>
          <t>Diccionario 9</t>
        </is>
      </c>
      <c r="FD9129" t="inlineStr">
        <is>
          <t>PA-C1166 / LZRD-65|</t>
        </is>
      </c>
      <c r="FL9129" s="26" t="inlineStr">
        <is>
          <t>C</t>
        </is>
      </c>
      <c r="FP9129" s="26" t="inlineStr">
        <is>
          <t>C</t>
        </is>
      </c>
    </row>
    <row r="9130">
      <c r="FC9130" t="inlineStr">
        <is>
          <t>Diccionario 9</t>
        </is>
      </c>
      <c r="FD9130" t="inlineStr">
        <is>
          <t>PA-C1167 / LZRD-66|</t>
        </is>
      </c>
      <c r="FL9130" s="26" t="inlineStr">
        <is>
          <t>C</t>
        </is>
      </c>
      <c r="FP9130" s="26" t="inlineStr">
        <is>
          <t>C</t>
        </is>
      </c>
    </row>
    <row r="9131">
      <c r="FC9131" t="inlineStr">
        <is>
          <t>Diccionario 9</t>
        </is>
      </c>
      <c r="FD9131" t="inlineStr">
        <is>
          <t>PA-C1168 / LZRD-68|</t>
        </is>
      </c>
      <c r="FL9131" s="26" t="inlineStr">
        <is>
          <t>C</t>
        </is>
      </c>
      <c r="FP9131" s="26" t="inlineStr">
        <is>
          <t>C</t>
        </is>
      </c>
    </row>
    <row r="9132">
      <c r="FC9132" t="inlineStr">
        <is>
          <t>Diccionario 9</t>
        </is>
      </c>
      <c r="FD9132" t="inlineStr">
        <is>
          <t>PA-C1169 / LZRD-69|</t>
        </is>
      </c>
      <c r="FL9132" s="26" t="inlineStr">
        <is>
          <t>C</t>
        </is>
      </c>
      <c r="FP9132" s="26" t="inlineStr">
        <is>
          <t>C</t>
        </is>
      </c>
    </row>
    <row r="9133">
      <c r="FC9133" t="inlineStr">
        <is>
          <t>Diccionario 9</t>
        </is>
      </c>
      <c r="FD9133" t="inlineStr">
        <is>
          <t>PA-C1170 / LZRD-70|</t>
        </is>
      </c>
      <c r="FL9133" s="26" t="inlineStr">
        <is>
          <t>C</t>
        </is>
      </c>
      <c r="FP9133" s="26" t="inlineStr">
        <is>
          <t>C</t>
        </is>
      </c>
    </row>
    <row r="9134">
      <c r="FC9134" t="inlineStr">
        <is>
          <t>Diccionario 9</t>
        </is>
      </c>
      <c r="FD9134" t="inlineStr">
        <is>
          <t>PA-C1171 / LZRD-71|</t>
        </is>
      </c>
      <c r="FL9134" s="26" t="inlineStr">
        <is>
          <t>C</t>
        </is>
      </c>
      <c r="FP9134" s="26" t="inlineStr">
        <is>
          <t>C</t>
        </is>
      </c>
    </row>
    <row r="9135">
      <c r="FC9135" t="inlineStr">
        <is>
          <t>Diccionario 9</t>
        </is>
      </c>
      <c r="FD9135" t="inlineStr">
        <is>
          <t>PA-C1172 / LZRD-72|</t>
        </is>
      </c>
      <c r="FL9135" s="26" t="inlineStr">
        <is>
          <t>C</t>
        </is>
      </c>
      <c r="FP9135" s="26" t="inlineStr">
        <is>
          <t>C</t>
        </is>
      </c>
    </row>
    <row r="9136">
      <c r="FC9136" t="inlineStr">
        <is>
          <t>Diccionario 9</t>
        </is>
      </c>
      <c r="FD9136" t="inlineStr">
        <is>
          <t>PA-C1173 / LZRD-73|</t>
        </is>
      </c>
      <c r="FL9136" s="26" t="inlineStr">
        <is>
          <t>C</t>
        </is>
      </c>
      <c r="FP9136" s="26" t="inlineStr">
        <is>
          <t>C</t>
        </is>
      </c>
    </row>
    <row r="9137">
      <c r="FC9137" t="inlineStr">
        <is>
          <t>Diccionario 9</t>
        </is>
      </c>
      <c r="FD9137" t="inlineStr">
        <is>
          <t>PA-C1174 / LZRD-74|</t>
        </is>
      </c>
      <c r="FL9137" s="26" t="inlineStr">
        <is>
          <t>C</t>
        </is>
      </c>
      <c r="FP9137" s="26" t="inlineStr">
        <is>
          <t>C</t>
        </is>
      </c>
    </row>
    <row r="9138">
      <c r="FC9138" t="inlineStr">
        <is>
          <t>Diccionario 9</t>
        </is>
      </c>
      <c r="FD9138" t="inlineStr">
        <is>
          <t>PA-C1175 / LZRD-77|</t>
        </is>
      </c>
      <c r="FL9138" s="26" t="inlineStr">
        <is>
          <t>C</t>
        </is>
      </c>
      <c r="FP9138" s="26" t="inlineStr">
        <is>
          <t>C</t>
        </is>
      </c>
    </row>
    <row r="9139">
      <c r="FC9139" t="inlineStr">
        <is>
          <t>Diccionario 9</t>
        </is>
      </c>
      <c r="FD9139" t="inlineStr">
        <is>
          <t>PA-C1176 / LZRD-79|</t>
        </is>
      </c>
      <c r="FL9139" s="26" t="inlineStr">
        <is>
          <t>C</t>
        </is>
      </c>
      <c r="FP9139" s="26" t="inlineStr">
        <is>
          <t>C</t>
        </is>
      </c>
    </row>
    <row r="9140">
      <c r="FC9140" t="inlineStr">
        <is>
          <t>Diccionario 9</t>
        </is>
      </c>
      <c r="FD9140" t="inlineStr">
        <is>
          <t>PA-C1177 / LZRD-80|</t>
        </is>
      </c>
      <c r="FL9140" s="26" t="inlineStr">
        <is>
          <t>C</t>
        </is>
      </c>
      <c r="FP9140" s="26" t="inlineStr">
        <is>
          <t>C</t>
        </is>
      </c>
    </row>
    <row r="9141">
      <c r="FC9141" t="inlineStr">
        <is>
          <t>Diccionario 9</t>
        </is>
      </c>
      <c r="FD9141" t="inlineStr">
        <is>
          <t>PA-C1178 / LZRD-81|</t>
        </is>
      </c>
      <c r="FL9141" s="26" t="inlineStr">
        <is>
          <t>C</t>
        </is>
      </c>
      <c r="FP9141" s="26" t="inlineStr">
        <is>
          <t>C</t>
        </is>
      </c>
    </row>
    <row r="9142">
      <c r="FC9142" t="inlineStr">
        <is>
          <t>Diccionario 9</t>
        </is>
      </c>
      <c r="FD9142" t="inlineStr">
        <is>
          <t>PA-C1179 / LZRD-82|</t>
        </is>
      </c>
      <c r="FL9142" s="26" t="inlineStr">
        <is>
          <t>C</t>
        </is>
      </c>
      <c r="FP9142" s="26" t="inlineStr">
        <is>
          <t>C</t>
        </is>
      </c>
    </row>
    <row r="9143">
      <c r="FC9143" t="inlineStr">
        <is>
          <t>Diccionario 9</t>
        </is>
      </c>
      <c r="FD9143" t="inlineStr">
        <is>
          <t>PA-C1180 / LZRD-84|</t>
        </is>
      </c>
      <c r="FL9143" s="26" t="inlineStr">
        <is>
          <t>C</t>
        </is>
      </c>
      <c r="FP9143" s="26" t="inlineStr">
        <is>
          <t>C</t>
        </is>
      </c>
    </row>
    <row r="9144">
      <c r="FC9144" t="inlineStr">
        <is>
          <t>Diccionario 9</t>
        </is>
      </c>
      <c r="FD9144" t="inlineStr">
        <is>
          <t>PA-C1181 / LZRD-85|</t>
        </is>
      </c>
      <c r="FL9144" s="26" t="inlineStr">
        <is>
          <t>C</t>
        </is>
      </c>
      <c r="FP9144" s="26" t="inlineStr">
        <is>
          <t>C</t>
        </is>
      </c>
    </row>
    <row r="9145">
      <c r="FC9145" t="inlineStr">
        <is>
          <t>Diccionario 9</t>
        </is>
      </c>
      <c r="FD9145" t="inlineStr">
        <is>
          <t>PA-C1182 / LZRD-86|</t>
        </is>
      </c>
      <c r="FL9145" s="26" t="inlineStr">
        <is>
          <t>C</t>
        </is>
      </c>
      <c r="FP9145" s="26" t="inlineStr">
        <is>
          <t>C</t>
        </is>
      </c>
    </row>
    <row r="9146">
      <c r="FC9146" t="inlineStr">
        <is>
          <t>Diccionario 9</t>
        </is>
      </c>
      <c r="FD9146" t="inlineStr">
        <is>
          <t>PA-C1183 / LZRD-87|</t>
        </is>
      </c>
      <c r="FL9146" s="26" t="inlineStr">
        <is>
          <t>C</t>
        </is>
      </c>
      <c r="FP9146" s="26" t="inlineStr">
        <is>
          <t>C</t>
        </is>
      </c>
    </row>
    <row r="9147">
      <c r="FC9147" t="inlineStr">
        <is>
          <t>Diccionario 9</t>
        </is>
      </c>
      <c r="FD9147" t="inlineStr">
        <is>
          <t>PA-C1184 / LZRD-89|</t>
        </is>
      </c>
      <c r="FL9147" s="26" t="inlineStr">
        <is>
          <t>C</t>
        </is>
      </c>
      <c r="FP9147" s="26" t="inlineStr">
        <is>
          <t>C</t>
        </is>
      </c>
    </row>
    <row r="9148">
      <c r="FC9148" t="inlineStr">
        <is>
          <t>Diccionario 9</t>
        </is>
      </c>
      <c r="FD9148" t="inlineStr">
        <is>
          <t>PA-C1185 / LZRD-90|</t>
        </is>
      </c>
      <c r="FL9148" s="26" t="inlineStr">
        <is>
          <t>C</t>
        </is>
      </c>
      <c r="FP9148" s="26" t="inlineStr">
        <is>
          <t>C</t>
        </is>
      </c>
    </row>
    <row r="9149">
      <c r="FC9149" t="inlineStr">
        <is>
          <t>Diccionario 9</t>
        </is>
      </c>
      <c r="FD9149" t="inlineStr">
        <is>
          <t>PA-C1187 / LZRD-94|</t>
        </is>
      </c>
      <c r="FL9149" s="26" t="inlineStr">
        <is>
          <t>C</t>
        </is>
      </c>
      <c r="FP9149" s="26" t="inlineStr">
        <is>
          <t>C</t>
        </is>
      </c>
    </row>
    <row r="9150">
      <c r="FC9150" t="inlineStr">
        <is>
          <t>Diccionario 9</t>
        </is>
      </c>
      <c r="FD9150" t="inlineStr">
        <is>
          <t>PA-C1188 / LZRD-95|</t>
        </is>
      </c>
      <c r="FL9150" s="26" t="inlineStr">
        <is>
          <t>C</t>
        </is>
      </c>
      <c r="FP9150" s="26" t="inlineStr">
        <is>
          <t>C</t>
        </is>
      </c>
    </row>
    <row r="9151">
      <c r="FC9151" t="inlineStr">
        <is>
          <t>Diccionario 9</t>
        </is>
      </c>
      <c r="FD9151" t="inlineStr">
        <is>
          <t>PA-C1189 / LZRD-96|</t>
        </is>
      </c>
      <c r="FL9151" s="26" t="inlineStr">
        <is>
          <t>C</t>
        </is>
      </c>
      <c r="FP9151" s="26" t="inlineStr">
        <is>
          <t>C</t>
        </is>
      </c>
    </row>
    <row r="9152">
      <c r="FC9152" t="inlineStr">
        <is>
          <t>Diccionario 9</t>
        </is>
      </c>
      <c r="FD9152" t="inlineStr">
        <is>
          <t>PA-C1190 / LZRD-97|</t>
        </is>
      </c>
      <c r="FL9152" s="26" t="inlineStr">
        <is>
          <t>C</t>
        </is>
      </c>
      <c r="FP9152" s="26" t="inlineStr">
        <is>
          <t>C</t>
        </is>
      </c>
    </row>
    <row r="9153">
      <c r="FC9153" t="inlineStr">
        <is>
          <t>Diccionario 9</t>
        </is>
      </c>
      <c r="FD9153" t="inlineStr">
        <is>
          <t>PA-C1191 / LZRD-98|</t>
        </is>
      </c>
      <c r="FL9153" s="26" t="inlineStr">
        <is>
          <t>C</t>
        </is>
      </c>
      <c r="FP9153" s="26" t="inlineStr">
        <is>
          <t>C</t>
        </is>
      </c>
    </row>
    <row r="9154">
      <c r="FC9154" t="inlineStr">
        <is>
          <t>Diccionario 9</t>
        </is>
      </c>
      <c r="FD9154" t="inlineStr">
        <is>
          <t>PA-C1192 / LZRD-99|</t>
        </is>
      </c>
      <c r="FL9154" s="26" t="inlineStr">
        <is>
          <t>C</t>
        </is>
      </c>
      <c r="FP9154" s="26" t="inlineStr">
        <is>
          <t>C</t>
        </is>
      </c>
    </row>
    <row r="9155">
      <c r="FC9155" t="inlineStr">
        <is>
          <t>Diccionario 9</t>
        </is>
      </c>
      <c r="FD9155" t="inlineStr">
        <is>
          <t>PA-C1193 / LZRF-10|</t>
        </is>
      </c>
      <c r="FL9155" s="26" t="inlineStr">
        <is>
          <t>C</t>
        </is>
      </c>
      <c r="FP9155" s="26" t="inlineStr">
        <is>
          <t>C</t>
        </is>
      </c>
    </row>
    <row r="9156">
      <c r="FC9156" t="inlineStr">
        <is>
          <t>Diccionario 9</t>
        </is>
      </c>
      <c r="FD9156" t="inlineStr">
        <is>
          <t>PA-C1194 / LZRF-11|</t>
        </is>
      </c>
      <c r="FL9156" s="26" t="inlineStr">
        <is>
          <t>C</t>
        </is>
      </c>
      <c r="FP9156" s="26" t="inlineStr">
        <is>
          <t>C</t>
        </is>
      </c>
    </row>
    <row r="9157">
      <c r="FC9157" t="inlineStr">
        <is>
          <t>Diccionario 9</t>
        </is>
      </c>
      <c r="FD9157" t="inlineStr">
        <is>
          <t>PA-C1195 / LZRF-12|</t>
        </is>
      </c>
      <c r="FL9157" s="26" t="inlineStr">
        <is>
          <t>C</t>
        </is>
      </c>
      <c r="FP9157" s="26" t="inlineStr">
        <is>
          <t>C</t>
        </is>
      </c>
    </row>
    <row r="9158">
      <c r="FC9158" t="inlineStr">
        <is>
          <t>Diccionario 9</t>
        </is>
      </c>
      <c r="FD9158" t="inlineStr">
        <is>
          <t>PA-C1196 / LZRF-13|</t>
        </is>
      </c>
      <c r="FL9158" s="26" t="inlineStr">
        <is>
          <t>C</t>
        </is>
      </c>
      <c r="FP9158" s="26" t="inlineStr">
        <is>
          <t>C</t>
        </is>
      </c>
    </row>
    <row r="9159">
      <c r="FC9159" t="inlineStr">
        <is>
          <t>Diccionario 9</t>
        </is>
      </c>
      <c r="FD9159" t="inlineStr">
        <is>
          <t>PA-C1197 / LZRF-14|</t>
        </is>
      </c>
      <c r="FL9159" s="26" t="inlineStr">
        <is>
          <t>C</t>
        </is>
      </c>
      <c r="FP9159" s="26" t="inlineStr">
        <is>
          <t>C</t>
        </is>
      </c>
    </row>
    <row r="9160">
      <c r="FC9160" t="inlineStr">
        <is>
          <t>Diccionario 9</t>
        </is>
      </c>
      <c r="FD9160" t="inlineStr">
        <is>
          <t>PA-C1198 / LZRF-15|</t>
        </is>
      </c>
      <c r="FL9160" s="26" t="inlineStr">
        <is>
          <t>C</t>
        </is>
      </c>
      <c r="FP9160" s="26" t="inlineStr">
        <is>
          <t>C</t>
        </is>
      </c>
    </row>
    <row r="9161">
      <c r="FC9161" t="inlineStr">
        <is>
          <t>Diccionario 9</t>
        </is>
      </c>
      <c r="FD9161" t="inlineStr">
        <is>
          <t>PA-C1199 / RJXT-26|</t>
        </is>
      </c>
      <c r="FL9161" s="26" t="inlineStr">
        <is>
          <t>C</t>
        </is>
      </c>
      <c r="FP9161" s="26" t="inlineStr">
        <is>
          <t>C</t>
        </is>
      </c>
    </row>
    <row r="9162">
      <c r="FC9162" t="inlineStr">
        <is>
          <t>Diccionario 9</t>
        </is>
      </c>
      <c r="FD9162" t="inlineStr">
        <is>
          <t>PA-C1200 / RWTP-78|</t>
        </is>
      </c>
      <c r="FL9162" s="26" t="inlineStr">
        <is>
          <t>C</t>
        </is>
      </c>
      <c r="FP9162" s="26" t="inlineStr">
        <is>
          <t>C</t>
        </is>
      </c>
    </row>
    <row r="9163">
      <c r="FC9163" t="inlineStr">
        <is>
          <t>Diccionario 9</t>
        </is>
      </c>
      <c r="FD9163" t="inlineStr">
        <is>
          <t>PA-C1201 / RWTP-83|</t>
        </is>
      </c>
      <c r="FL9163" s="26" t="inlineStr">
        <is>
          <t>C</t>
        </is>
      </c>
      <c r="FP9163" s="26" t="inlineStr">
        <is>
          <t>C</t>
        </is>
      </c>
    </row>
    <row r="9164">
      <c r="FC9164" t="inlineStr">
        <is>
          <t>Diccionario 9</t>
        </is>
      </c>
      <c r="FD9164" t="inlineStr">
        <is>
          <t>PA-C1202 / RWTP-85|</t>
        </is>
      </c>
      <c r="FL9164" s="26" t="inlineStr">
        <is>
          <t>C</t>
        </is>
      </c>
      <c r="FP9164" s="26" t="inlineStr">
        <is>
          <t>C</t>
        </is>
      </c>
    </row>
    <row r="9165">
      <c r="FC9165" t="inlineStr">
        <is>
          <t>Diccionario 9</t>
        </is>
      </c>
      <c r="FD9165" t="inlineStr">
        <is>
          <t>PA-C1203 / RWTP-86|</t>
        </is>
      </c>
      <c r="FL9165" s="26" t="inlineStr">
        <is>
          <t>C</t>
        </is>
      </c>
      <c r="FP9165" s="26" t="inlineStr">
        <is>
          <t>C</t>
        </is>
      </c>
    </row>
    <row r="9166">
      <c r="FC9166" t="inlineStr">
        <is>
          <t>Diccionario 9</t>
        </is>
      </c>
      <c r="FD9166" t="inlineStr">
        <is>
          <t>PA-C1204 / RWTP-90|</t>
        </is>
      </c>
      <c r="FL9166" s="26" t="inlineStr">
        <is>
          <t>C</t>
        </is>
      </c>
      <c r="FP9166" s="26" t="inlineStr">
        <is>
          <t>C</t>
        </is>
      </c>
    </row>
    <row r="9167">
      <c r="FC9167" t="inlineStr">
        <is>
          <t>Diccionario 9</t>
        </is>
      </c>
      <c r="FD9167" t="inlineStr">
        <is>
          <t>PA-C1205 / RWTP-94|</t>
        </is>
      </c>
      <c r="FL9167" s="26" t="inlineStr">
        <is>
          <t>C</t>
        </is>
      </c>
      <c r="FP9167" s="26" t="inlineStr">
        <is>
          <t>C</t>
        </is>
      </c>
    </row>
    <row r="9168">
      <c r="FC9168" t="inlineStr">
        <is>
          <t>Diccionario 9</t>
        </is>
      </c>
      <c r="FD9168" t="inlineStr">
        <is>
          <t>PA-C1206 / RWTP-95|</t>
        </is>
      </c>
      <c r="FL9168" s="26" t="inlineStr">
        <is>
          <t>C</t>
        </is>
      </c>
      <c r="FP9168" s="26" t="inlineStr">
        <is>
          <t>C</t>
        </is>
      </c>
    </row>
    <row r="9169">
      <c r="FC9169" t="inlineStr">
        <is>
          <t>Diccionario 9</t>
        </is>
      </c>
      <c r="FD9169" t="inlineStr">
        <is>
          <t>PA-C1207 / RWTP-96|</t>
        </is>
      </c>
      <c r="FL9169" s="26" t="inlineStr">
        <is>
          <t>C</t>
        </is>
      </c>
      <c r="FP9169" s="26" t="inlineStr">
        <is>
          <t>C</t>
        </is>
      </c>
    </row>
    <row r="9170">
      <c r="FC9170" t="inlineStr">
        <is>
          <t>Diccionario 9</t>
        </is>
      </c>
      <c r="FD9170" t="inlineStr">
        <is>
          <t>PA-C1208 / RWTP-97|</t>
        </is>
      </c>
      <c r="FL9170" s="26" t="inlineStr">
        <is>
          <t>C</t>
        </is>
      </c>
      <c r="FP9170" s="26" t="inlineStr">
        <is>
          <t>C</t>
        </is>
      </c>
    </row>
    <row r="9171">
      <c r="FC9171" t="inlineStr">
        <is>
          <t>Diccionario 9</t>
        </is>
      </c>
      <c r="FD9171" t="inlineStr">
        <is>
          <t>PA-C1209 / RWTP-98|</t>
        </is>
      </c>
      <c r="FL9171" s="26" t="inlineStr">
        <is>
          <t>C</t>
        </is>
      </c>
      <c r="FP9171" s="26" t="inlineStr">
        <is>
          <t>C</t>
        </is>
      </c>
    </row>
    <row r="9172">
      <c r="FC9172" t="inlineStr">
        <is>
          <t>Diccionario 9</t>
        </is>
      </c>
      <c r="FD9172" t="inlineStr">
        <is>
          <t>PA-C1210 / RWTP-99|</t>
        </is>
      </c>
      <c r="FL9172" s="26" t="inlineStr">
        <is>
          <t>C</t>
        </is>
      </c>
      <c r="FP9172" s="26" t="inlineStr">
        <is>
          <t>C</t>
        </is>
      </c>
    </row>
    <row r="9173">
      <c r="FC9173" t="inlineStr">
        <is>
          <t>Diccionario 9</t>
        </is>
      </c>
      <c r="FD9173" t="inlineStr">
        <is>
          <t>PA-C1211 / RYJG-90|</t>
        </is>
      </c>
      <c r="FL9173" s="26" t="inlineStr">
        <is>
          <t>C</t>
        </is>
      </c>
      <c r="FP9173" s="26" t="inlineStr">
        <is>
          <t>C</t>
        </is>
      </c>
    </row>
    <row r="9174">
      <c r="FC9174" t="inlineStr">
        <is>
          <t>Diccionario 9</t>
        </is>
      </c>
      <c r="FD9174" t="inlineStr">
        <is>
          <t>PA-C1212 / RYJG-91|</t>
        </is>
      </c>
      <c r="FL9174" s="26" t="inlineStr">
        <is>
          <t>C</t>
        </is>
      </c>
      <c r="FP9174" s="26" t="inlineStr">
        <is>
          <t>C</t>
        </is>
      </c>
    </row>
    <row r="9175">
      <c r="FC9175" t="inlineStr">
        <is>
          <t>Diccionario 9</t>
        </is>
      </c>
      <c r="FD9175" t="inlineStr">
        <is>
          <t>SA-C1213 / RYJG-92|</t>
        </is>
      </c>
      <c r="FL9175" s="26" t="inlineStr">
        <is>
          <t>C</t>
        </is>
      </c>
      <c r="FP9175" s="26" t="inlineStr">
        <is>
          <t>C</t>
        </is>
      </c>
    </row>
    <row r="9176">
      <c r="FC9176" t="inlineStr">
        <is>
          <t>Diccionario 9</t>
        </is>
      </c>
      <c r="FD9176" t="inlineStr">
        <is>
          <t>SA-C1214 / RYJG-93|</t>
        </is>
      </c>
      <c r="FL9176" s="26" t="inlineStr">
        <is>
          <t>C</t>
        </is>
      </c>
      <c r="FP9176" s="26" t="inlineStr">
        <is>
          <t>C</t>
        </is>
      </c>
    </row>
    <row r="9177">
      <c r="FC9177" t="inlineStr">
        <is>
          <t>Diccionario 9</t>
        </is>
      </c>
      <c r="FD9177" t="inlineStr">
        <is>
          <t>SA-C1215 / RYJG-94|</t>
        </is>
      </c>
      <c r="FL9177" s="26" t="inlineStr">
        <is>
          <t>C</t>
        </is>
      </c>
      <c r="FP9177" s="26" t="inlineStr">
        <is>
          <t>C</t>
        </is>
      </c>
    </row>
    <row r="9178">
      <c r="FC9178" t="inlineStr">
        <is>
          <t>Diccionario 9</t>
        </is>
      </c>
      <c r="FD9178" t="inlineStr">
        <is>
          <t>SA-C1216 / RYJG-95|</t>
        </is>
      </c>
      <c r="FL9178" s="26" t="inlineStr">
        <is>
          <t>C</t>
        </is>
      </c>
      <c r="FP9178" s="26" t="inlineStr">
        <is>
          <t>C</t>
        </is>
      </c>
    </row>
    <row r="9179">
      <c r="FC9179" t="inlineStr">
        <is>
          <t>Diccionario 9</t>
        </is>
      </c>
      <c r="FD9179" t="inlineStr">
        <is>
          <t>SA-C1217 / SXKV-87|</t>
        </is>
      </c>
      <c r="FL9179" s="26" t="inlineStr">
        <is>
          <t>C</t>
        </is>
      </c>
      <c r="FP9179" s="26" t="inlineStr">
        <is>
          <t>C</t>
        </is>
      </c>
    </row>
    <row r="9180">
      <c r="FC9180" t="inlineStr">
        <is>
          <t>Diccionario 9</t>
        </is>
      </c>
      <c r="FD9180" t="inlineStr">
        <is>
          <t>SA-C1218 / SXKV-88|</t>
        </is>
      </c>
      <c r="FL9180" s="26" t="inlineStr">
        <is>
          <t>C</t>
        </is>
      </c>
      <c r="FP9180" s="26" t="inlineStr">
        <is>
          <t>C</t>
        </is>
      </c>
    </row>
    <row r="9181">
      <c r="FC9181" t="inlineStr">
        <is>
          <t>Diccionario 9</t>
        </is>
      </c>
      <c r="FD9181" t="inlineStr">
        <is>
          <t>SA-C1219 / SXKV-91|</t>
        </is>
      </c>
      <c r="FL9181" s="26" t="inlineStr">
        <is>
          <t>C</t>
        </is>
      </c>
      <c r="FP9181" s="26" t="inlineStr">
        <is>
          <t>C</t>
        </is>
      </c>
    </row>
    <row r="9182">
      <c r="FC9182" t="inlineStr">
        <is>
          <t>Diccionario 9</t>
        </is>
      </c>
      <c r="FD9182" t="inlineStr">
        <is>
          <t>SA-C1220 / SXKV-92|</t>
        </is>
      </c>
      <c r="FL9182" s="26" t="inlineStr">
        <is>
          <t>C</t>
        </is>
      </c>
      <c r="FP9182" s="26" t="inlineStr">
        <is>
          <t>C</t>
        </is>
      </c>
    </row>
    <row r="9183">
      <c r="FC9183" t="inlineStr">
        <is>
          <t>Diccionario 9</t>
        </is>
      </c>
      <c r="FD9183" t="inlineStr">
        <is>
          <t>SA-C1221 / SXKV-93|</t>
        </is>
      </c>
      <c r="FL9183" s="26" t="inlineStr">
        <is>
          <t>C</t>
        </is>
      </c>
      <c r="FP9183" s="26" t="inlineStr">
        <is>
          <t>C</t>
        </is>
      </c>
    </row>
    <row r="9184">
      <c r="FC9184" t="inlineStr">
        <is>
          <t>Diccionario 9</t>
        </is>
      </c>
      <c r="FD9184" t="inlineStr">
        <is>
          <t>SA-C1222 / SXKV-94|</t>
        </is>
      </c>
      <c r="FL9184" s="26" t="inlineStr">
        <is>
          <t>C</t>
        </is>
      </c>
      <c r="FP9184" s="26" t="inlineStr">
        <is>
          <t>C</t>
        </is>
      </c>
    </row>
    <row r="9185">
      <c r="FC9185" t="inlineStr">
        <is>
          <t>Diccionario 9</t>
        </is>
      </c>
      <c r="FD9185" t="inlineStr">
        <is>
          <t>SA-C1223 / SXKV-95|</t>
        </is>
      </c>
      <c r="FL9185" s="26" t="inlineStr">
        <is>
          <t>C</t>
        </is>
      </c>
      <c r="FP9185" s="26" t="inlineStr">
        <is>
          <t>C</t>
        </is>
      </c>
    </row>
    <row r="9186">
      <c r="FC9186" t="inlineStr">
        <is>
          <t>Diccionario 9</t>
        </is>
      </c>
      <c r="FD9186" t="inlineStr">
        <is>
          <t>SA-C1224 / SXKV-96|</t>
        </is>
      </c>
      <c r="FL9186" s="26" t="inlineStr">
        <is>
          <t>C</t>
        </is>
      </c>
      <c r="FP9186" s="26" t="inlineStr">
        <is>
          <t>C</t>
        </is>
      </c>
    </row>
    <row r="9187">
      <c r="FC9187" t="inlineStr">
        <is>
          <t>Diccionario 9</t>
        </is>
      </c>
      <c r="FD9187" t="inlineStr">
        <is>
          <t>SA-C1225 / GCBF-42|</t>
        </is>
      </c>
      <c r="FL9187" s="26" t="inlineStr">
        <is>
          <t>C</t>
        </is>
      </c>
      <c r="FP9187" s="26" t="inlineStr">
        <is>
          <t>C</t>
        </is>
      </c>
    </row>
    <row r="9188">
      <c r="FC9188" t="inlineStr">
        <is>
          <t>Diccionario 9</t>
        </is>
      </c>
      <c r="FD9188" t="inlineStr">
        <is>
          <t>SA-C1226 / LZRD-67|</t>
        </is>
      </c>
      <c r="FL9188" s="26" t="inlineStr">
        <is>
          <t>C</t>
        </is>
      </c>
      <c r="FP9188" s="26" t="inlineStr">
        <is>
          <t>C</t>
        </is>
      </c>
    </row>
    <row r="9189">
      <c r="FC9189" t="inlineStr">
        <is>
          <t>Diccionario 9</t>
        </is>
      </c>
      <c r="FD9189" t="inlineStr">
        <is>
          <t>SA-C1227 / LZRD-75|</t>
        </is>
      </c>
      <c r="FL9189" s="26" t="inlineStr">
        <is>
          <t>C</t>
        </is>
      </c>
      <c r="FP9189" s="26" t="inlineStr">
        <is>
          <t>C</t>
        </is>
      </c>
    </row>
    <row r="9190">
      <c r="FC9190" t="inlineStr">
        <is>
          <t>Diccionario 9</t>
        </is>
      </c>
      <c r="FD9190" t="inlineStr">
        <is>
          <t>SA-C1228 / LZRD-76|</t>
        </is>
      </c>
      <c r="FL9190" s="26" t="inlineStr">
        <is>
          <t>C</t>
        </is>
      </c>
      <c r="FP9190" s="26" t="inlineStr">
        <is>
          <t>C</t>
        </is>
      </c>
    </row>
    <row r="9191">
      <c r="FC9191" t="inlineStr">
        <is>
          <t>Diccionario 9</t>
        </is>
      </c>
      <c r="FD9191" t="inlineStr">
        <is>
          <t>SA-C1229 / LZRD-78|</t>
        </is>
      </c>
      <c r="FL9191" s="26" t="inlineStr">
        <is>
          <t>C</t>
        </is>
      </c>
      <c r="FP9191" s="26" t="inlineStr">
        <is>
          <t>C</t>
        </is>
      </c>
    </row>
    <row r="9192">
      <c r="FC9192" t="inlineStr">
        <is>
          <t>Diccionario 9</t>
        </is>
      </c>
      <c r="FD9192" t="inlineStr">
        <is>
          <t>SA-C1230 / LZRD-83|</t>
        </is>
      </c>
      <c r="FL9192" s="26" t="inlineStr">
        <is>
          <t>C</t>
        </is>
      </c>
      <c r="FP9192" s="26" t="inlineStr">
        <is>
          <t>C</t>
        </is>
      </c>
    </row>
    <row r="9193">
      <c r="FC9193" t="inlineStr">
        <is>
          <t>Diccionario 9</t>
        </is>
      </c>
      <c r="FD9193" t="inlineStr">
        <is>
          <t>SA-C1231 / LZRD-88|</t>
        </is>
      </c>
      <c r="FL9193" s="26" t="inlineStr">
        <is>
          <t>C</t>
        </is>
      </c>
      <c r="FP9193" s="26" t="inlineStr">
        <is>
          <t>C</t>
        </is>
      </c>
    </row>
    <row r="9194">
      <c r="FC9194" t="inlineStr">
        <is>
          <t>Diccionario 9</t>
        </is>
      </c>
      <c r="FD9194" t="inlineStr">
        <is>
          <t>SA-C1232 / LZRD-91|</t>
        </is>
      </c>
      <c r="FL9194" s="26" t="inlineStr">
        <is>
          <t>C</t>
        </is>
      </c>
      <c r="FP9194" s="26" t="inlineStr">
        <is>
          <t>C</t>
        </is>
      </c>
    </row>
    <row r="9195">
      <c r="FC9195" t="inlineStr">
        <is>
          <t>Diccionario 9</t>
        </is>
      </c>
      <c r="FD9195" t="inlineStr">
        <is>
          <t>SA-C1233 / LZRD-92|</t>
        </is>
      </c>
      <c r="FL9195" s="26" t="inlineStr">
        <is>
          <t>C</t>
        </is>
      </c>
      <c r="FP9195" s="26" t="inlineStr">
        <is>
          <t>C</t>
        </is>
      </c>
    </row>
    <row r="9196">
      <c r="FC9196" t="inlineStr">
        <is>
          <t>Diccionario 9</t>
        </is>
      </c>
      <c r="FD9196" t="inlineStr">
        <is>
          <t>SA-C1234 / RWTP-79|</t>
        </is>
      </c>
      <c r="FL9196" s="26" t="inlineStr">
        <is>
          <t>C</t>
        </is>
      </c>
      <c r="FP9196" s="26" t="inlineStr">
        <is>
          <t>C</t>
        </is>
      </c>
    </row>
    <row r="9197">
      <c r="FC9197" t="inlineStr">
        <is>
          <t>Diccionario 9</t>
        </is>
      </c>
      <c r="FD9197" t="inlineStr">
        <is>
          <t>SA-C1235 / RWTP-80|</t>
        </is>
      </c>
      <c r="FL9197" s="26" t="inlineStr">
        <is>
          <t>C</t>
        </is>
      </c>
      <c r="FP9197" s="26" t="inlineStr">
        <is>
          <t>C</t>
        </is>
      </c>
    </row>
    <row r="9198">
      <c r="FC9198" t="inlineStr">
        <is>
          <t>Diccionario 9</t>
        </is>
      </c>
      <c r="FD9198" t="inlineStr">
        <is>
          <t>SA-C1236 / RWTP-81|</t>
        </is>
      </c>
      <c r="FL9198" s="26" t="inlineStr">
        <is>
          <t>C</t>
        </is>
      </c>
      <c r="FP9198" s="26" t="inlineStr">
        <is>
          <t>C</t>
        </is>
      </c>
    </row>
    <row r="9199">
      <c r="FC9199" t="inlineStr">
        <is>
          <t>Diccionario 9</t>
        </is>
      </c>
      <c r="FD9199" t="inlineStr">
        <is>
          <t>SA-C1237 / RWTP-82|</t>
        </is>
      </c>
      <c r="FL9199" s="26" t="inlineStr">
        <is>
          <t>C</t>
        </is>
      </c>
      <c r="FP9199" s="26" t="inlineStr">
        <is>
          <t>C</t>
        </is>
      </c>
    </row>
    <row r="9200">
      <c r="FC9200" t="inlineStr">
        <is>
          <t>Diccionario 9</t>
        </is>
      </c>
      <c r="FD9200" t="inlineStr">
        <is>
          <t>SA-C1238 / RWTP-84|</t>
        </is>
      </c>
      <c r="FL9200" s="26" t="inlineStr">
        <is>
          <t>C</t>
        </is>
      </c>
      <c r="FP9200" s="26" t="inlineStr">
        <is>
          <t>C</t>
        </is>
      </c>
    </row>
    <row r="9201">
      <c r="FC9201" t="inlineStr">
        <is>
          <t>Diccionario 9</t>
        </is>
      </c>
      <c r="FD9201" t="inlineStr">
        <is>
          <t>SA-C1239 / RWTP-87|</t>
        </is>
      </c>
      <c r="FL9201" s="26" t="inlineStr">
        <is>
          <t>C</t>
        </is>
      </c>
      <c r="FP9201" s="26" t="inlineStr">
        <is>
          <t>C</t>
        </is>
      </c>
    </row>
    <row r="9202">
      <c r="FC9202" t="inlineStr">
        <is>
          <t>Diccionario 9</t>
        </is>
      </c>
      <c r="FD9202" t="inlineStr">
        <is>
          <t>SA-C1240 / RWTP-88|</t>
        </is>
      </c>
      <c r="FL9202" s="26" t="inlineStr">
        <is>
          <t>C</t>
        </is>
      </c>
      <c r="FP9202" s="26" t="inlineStr">
        <is>
          <t>C</t>
        </is>
      </c>
    </row>
    <row r="9203">
      <c r="FC9203" t="inlineStr">
        <is>
          <t>Diccionario 9</t>
        </is>
      </c>
      <c r="FD9203" t="inlineStr">
        <is>
          <t>SA-C1241 / RWTP-89|</t>
        </is>
      </c>
      <c r="FL9203" s="26" t="inlineStr">
        <is>
          <t>C</t>
        </is>
      </c>
      <c r="FP9203" s="26" t="inlineStr">
        <is>
          <t>C</t>
        </is>
      </c>
    </row>
    <row r="9204">
      <c r="FC9204" t="inlineStr">
        <is>
          <t>Diccionario 9</t>
        </is>
      </c>
      <c r="FD9204" t="inlineStr">
        <is>
          <t>SA-C1242 / RWTP-91|</t>
        </is>
      </c>
      <c r="FL9204" s="26" t="inlineStr">
        <is>
          <t>C</t>
        </is>
      </c>
      <c r="FP9204" s="26" t="inlineStr">
        <is>
          <t>C</t>
        </is>
      </c>
    </row>
    <row r="9205">
      <c r="FC9205" t="inlineStr">
        <is>
          <t>Diccionario 9</t>
        </is>
      </c>
      <c r="FD9205" t="inlineStr">
        <is>
          <t>SA-C1243 / RWTP-92|</t>
        </is>
      </c>
      <c r="FL9205" s="26" t="inlineStr">
        <is>
          <t>C</t>
        </is>
      </c>
      <c r="FP9205" s="26" t="inlineStr">
        <is>
          <t>C</t>
        </is>
      </c>
    </row>
    <row r="9206">
      <c r="FC9206" t="inlineStr">
        <is>
          <t>Diccionario 9</t>
        </is>
      </c>
      <c r="FD9206" t="inlineStr">
        <is>
          <t>SA-C1244 / RWTP-93|</t>
        </is>
      </c>
      <c r="FL9206" s="26" t="inlineStr">
        <is>
          <t>C</t>
        </is>
      </c>
      <c r="FP9206" s="26" t="inlineStr">
        <is>
          <t>C</t>
        </is>
      </c>
    </row>
    <row r="9207">
      <c r="FC9207" t="inlineStr">
        <is>
          <t>Diccionario 9</t>
        </is>
      </c>
      <c r="FD9207" t="inlineStr">
        <is>
          <t>SA-C1245 / RWTR-10|</t>
        </is>
      </c>
      <c r="FL9207" s="26" t="inlineStr">
        <is>
          <t>C</t>
        </is>
      </c>
      <c r="FP9207" s="26" t="inlineStr">
        <is>
          <t>C</t>
        </is>
      </c>
    </row>
    <row r="9208">
      <c r="FC9208" t="inlineStr">
        <is>
          <t>Diccionario 9</t>
        </is>
      </c>
      <c r="FD9208" t="inlineStr">
        <is>
          <t>SA-C1246 / RWTR-11|</t>
        </is>
      </c>
      <c r="FL9208" s="26" t="inlineStr">
        <is>
          <t>C</t>
        </is>
      </c>
      <c r="FP9208" s="26" t="inlineStr">
        <is>
          <t>C</t>
        </is>
      </c>
    </row>
    <row r="9209">
      <c r="FC9209" t="inlineStr">
        <is>
          <t>Diccionario 9</t>
        </is>
      </c>
      <c r="FD9209" t="inlineStr">
        <is>
          <t>SA-C1247 / SXKV-89|</t>
        </is>
      </c>
      <c r="FL9209" s="26" t="inlineStr">
        <is>
          <t>C</t>
        </is>
      </c>
      <c r="FP9209" s="26" t="inlineStr">
        <is>
          <t>C</t>
        </is>
      </c>
    </row>
    <row r="9210">
      <c r="FC9210" t="inlineStr">
        <is>
          <t>Diccionario 9</t>
        </is>
      </c>
      <c r="FD9210" t="inlineStr">
        <is>
          <t>SA-C1248 / SXKV-90|</t>
        </is>
      </c>
      <c r="FL9210" s="26" t="inlineStr">
        <is>
          <t>C</t>
        </is>
      </c>
      <c r="FP9210" s="26" t="inlineStr">
        <is>
          <t>C</t>
        </is>
      </c>
    </row>
    <row r="9211">
      <c r="FC9211" t="inlineStr">
        <is>
          <t>Diccionario 9</t>
        </is>
      </c>
      <c r="FD9211" t="inlineStr">
        <is>
          <t>CER-B1251 / VFPB-75|</t>
        </is>
      </c>
      <c r="FL9211" s="26" t="inlineStr">
        <is>
          <t>B</t>
        </is>
      </c>
      <c r="FP9211" s="26" t="inlineStr">
        <is>
          <t>B</t>
        </is>
      </c>
    </row>
    <row r="9212">
      <c r="FC9212" t="inlineStr">
        <is>
          <t>Diccionario 9</t>
        </is>
      </c>
      <c r="FD9212" t="inlineStr">
        <is>
          <t>PA-B1252 / VFPB-85|</t>
        </is>
      </c>
      <c r="FL9212" s="26" t="inlineStr">
        <is>
          <t>B</t>
        </is>
      </c>
      <c r="FP9212" s="26" t="inlineStr">
        <is>
          <t>B</t>
        </is>
      </c>
    </row>
    <row r="9213">
      <c r="FC9213" t="inlineStr">
        <is>
          <t>Diccionario 9</t>
        </is>
      </c>
      <c r="FD9213" t="inlineStr">
        <is>
          <t>SA-B1253 / VFPC-59|</t>
        </is>
      </c>
      <c r="FL9213" s="26" t="inlineStr">
        <is>
          <t>B</t>
        </is>
      </c>
      <c r="FP9213" s="26" t="inlineStr">
        <is>
          <t>B</t>
        </is>
      </c>
    </row>
    <row r="9214">
      <c r="FC9214" t="inlineStr">
        <is>
          <t>Diccionario 9</t>
        </is>
      </c>
      <c r="FD9214" t="inlineStr">
        <is>
          <t>SA-B1254 / VFPC-66|</t>
        </is>
      </c>
      <c r="FL9214" s="26" t="inlineStr">
        <is>
          <t>B</t>
        </is>
      </c>
      <c r="FP9214" s="26" t="inlineStr">
        <is>
          <t>B</t>
        </is>
      </c>
    </row>
    <row r="9215">
      <c r="FC9215" t="inlineStr">
        <is>
          <t>Diccionario 9</t>
        </is>
      </c>
      <c r="FD9215" t="inlineStr">
        <is>
          <t>PA-B1255 / VFPC-69|</t>
        </is>
      </c>
      <c r="FL9215" s="26" t="inlineStr">
        <is>
          <t>B</t>
        </is>
      </c>
      <c r="FP9215" s="26" t="inlineStr">
        <is>
          <t>B</t>
        </is>
      </c>
    </row>
    <row r="9216">
      <c r="FC9216" t="inlineStr">
        <is>
          <t>Diccionario 9</t>
        </is>
      </c>
      <c r="FD9216" t="inlineStr">
        <is>
          <t>CER-B1256 / VFPD-10|</t>
        </is>
      </c>
      <c r="FL9216" s="26" t="inlineStr">
        <is>
          <t>B</t>
        </is>
      </c>
      <c r="FP9216" s="26" t="inlineStr">
        <is>
          <t>B</t>
        </is>
      </c>
    </row>
    <row r="9217">
      <c r="FC9217" t="inlineStr">
        <is>
          <t>Diccionario 9</t>
        </is>
      </c>
      <c r="FD9217" t="inlineStr">
        <is>
          <t>PA-B1257 / VFPD-41|</t>
        </is>
      </c>
      <c r="FL9217" s="26" t="inlineStr">
        <is>
          <t>B</t>
        </is>
      </c>
      <c r="FP9217" s="26" t="inlineStr">
        <is>
          <t>B</t>
        </is>
      </c>
    </row>
    <row r="9218">
      <c r="FC9218" t="inlineStr">
        <is>
          <t>Diccionario 9</t>
        </is>
      </c>
      <c r="FD9218" t="inlineStr">
        <is>
          <t>CER-B1258 / VFPD-51|</t>
        </is>
      </c>
      <c r="FL9218" s="26" t="inlineStr">
        <is>
          <t>B</t>
        </is>
      </c>
      <c r="FP9218" s="26" t="inlineStr">
        <is>
          <t>B</t>
        </is>
      </c>
    </row>
    <row r="9219">
      <c r="FC9219" t="inlineStr">
        <is>
          <t>Diccionario 9</t>
        </is>
      </c>
      <c r="FD9219" t="inlineStr">
        <is>
          <t>CER-B1259 / VFPD-61|</t>
        </is>
      </c>
      <c r="FL9219" s="26" t="inlineStr">
        <is>
          <t>B</t>
        </is>
      </c>
      <c r="FP9219" s="26" t="inlineStr">
        <is>
          <t>B</t>
        </is>
      </c>
    </row>
    <row r="9220">
      <c r="FC9220" t="inlineStr">
        <is>
          <t>Diccionario 9</t>
        </is>
      </c>
      <c r="FD9220" t="inlineStr">
        <is>
          <t>CER-B1260 / VFPD-71|</t>
        </is>
      </c>
      <c r="FL9220" s="26" t="inlineStr">
        <is>
          <t>B</t>
        </is>
      </c>
      <c r="FP9220" s="26" t="inlineStr">
        <is>
          <t>B</t>
        </is>
      </c>
    </row>
    <row r="9221">
      <c r="FC9221" t="inlineStr">
        <is>
          <t>Diccionario 9</t>
        </is>
      </c>
      <c r="FD9221" t="inlineStr">
        <is>
          <t>CER-B1261 / VFPD-81|</t>
        </is>
      </c>
      <c r="FL9221" s="26" t="inlineStr">
        <is>
          <t>B</t>
        </is>
      </c>
      <c r="FP9221" s="26" t="inlineStr">
        <is>
          <t>B</t>
        </is>
      </c>
    </row>
    <row r="9222">
      <c r="FC9222" t="inlineStr">
        <is>
          <t>Diccionario 9</t>
        </is>
      </c>
      <c r="FD9222" t="inlineStr">
        <is>
          <t>PA-B1262 / VFPF-21|</t>
        </is>
      </c>
      <c r="FL9222" s="26" t="inlineStr">
        <is>
          <t>B</t>
        </is>
      </c>
      <c r="FP9222" s="26" t="inlineStr">
        <is>
          <t>B</t>
        </is>
      </c>
    </row>
    <row r="9223">
      <c r="FC9223" t="inlineStr">
        <is>
          <t>Diccionario 9</t>
        </is>
      </c>
      <c r="FD9223" t="inlineStr">
        <is>
          <t>CER-B1263 / VFPF-31|</t>
        </is>
      </c>
      <c r="FL9223" s="26" t="inlineStr">
        <is>
          <t>B</t>
        </is>
      </c>
      <c r="FP9223" s="26" t="inlineStr">
        <is>
          <t>B</t>
        </is>
      </c>
    </row>
    <row r="9224">
      <c r="FC9224" t="inlineStr">
        <is>
          <t>Diccionario 9</t>
        </is>
      </c>
      <c r="FD9224" t="inlineStr">
        <is>
          <t>CER-B1264 / VFPF-51|</t>
        </is>
      </c>
      <c r="FL9224" s="26" t="inlineStr">
        <is>
          <t>B</t>
        </is>
      </c>
      <c r="FP9224" s="26" t="inlineStr">
        <is>
          <t>B</t>
        </is>
      </c>
    </row>
    <row r="9225">
      <c r="FC9225" t="inlineStr">
        <is>
          <t>Diccionario 9</t>
        </is>
      </c>
      <c r="FD9225" t="inlineStr">
        <is>
          <t>PA-B1265 / VFPF-54|</t>
        </is>
      </c>
      <c r="FL9225" s="26" t="inlineStr">
        <is>
          <t>B</t>
        </is>
      </c>
      <c r="FP9225" s="26" t="inlineStr">
        <is>
          <t>B</t>
        </is>
      </c>
    </row>
    <row r="9226">
      <c r="FC9226" t="inlineStr">
        <is>
          <t>Diccionario 9</t>
        </is>
      </c>
      <c r="FD9226" t="inlineStr">
        <is>
          <t>SA-B1266 / VFPF-61|</t>
        </is>
      </c>
      <c r="FL9226" s="26" t="inlineStr">
        <is>
          <t>B</t>
        </is>
      </c>
      <c r="FP9226" s="26" t="inlineStr">
        <is>
          <t>B</t>
        </is>
      </c>
    </row>
    <row r="9227">
      <c r="FC9227" t="inlineStr">
        <is>
          <t>Diccionario 9</t>
        </is>
      </c>
      <c r="FD9227" t="inlineStr">
        <is>
          <t>CER-B1267 / VFPG-48|</t>
        </is>
      </c>
      <c r="FL9227" s="26" t="inlineStr">
        <is>
          <t>B</t>
        </is>
      </c>
      <c r="FP9227" s="26" t="inlineStr">
        <is>
          <t>B</t>
        </is>
      </c>
    </row>
    <row r="9228">
      <c r="FC9228" t="inlineStr">
        <is>
          <t>Diccionario 9</t>
        </is>
      </c>
      <c r="FD9228" t="inlineStr">
        <is>
          <t>CER-B1268 / VFPG-58|</t>
        </is>
      </c>
      <c r="FL9228" s="26" t="inlineStr">
        <is>
          <t>B</t>
        </is>
      </c>
      <c r="FP9228" s="26" t="inlineStr">
        <is>
          <t>B</t>
        </is>
      </c>
    </row>
    <row r="9229">
      <c r="FC9229" t="inlineStr">
        <is>
          <t>Diccionario 9</t>
        </is>
      </c>
      <c r="FD9229" t="inlineStr">
        <is>
          <t>PA-B1269 / VFPG-91|</t>
        </is>
      </c>
      <c r="FL9229" s="26" t="inlineStr">
        <is>
          <t>B</t>
        </is>
      </c>
      <c r="FP9229" s="26" t="inlineStr">
        <is>
          <t>B</t>
        </is>
      </c>
    </row>
    <row r="9230">
      <c r="FC9230" t="inlineStr">
        <is>
          <t>Diccionario 9</t>
        </is>
      </c>
      <c r="FD9230" t="inlineStr">
        <is>
          <t>PA-B1270 / VFPH-21|</t>
        </is>
      </c>
      <c r="FL9230" s="26" t="inlineStr">
        <is>
          <t>B</t>
        </is>
      </c>
      <c r="FP9230" s="26" t="inlineStr">
        <is>
          <t>B</t>
        </is>
      </c>
    </row>
    <row r="9231">
      <c r="FC9231" t="inlineStr">
        <is>
          <t>Diccionario 9</t>
        </is>
      </c>
      <c r="FD9231" t="inlineStr">
        <is>
          <t>CER-B1271 / VFPH-35|</t>
        </is>
      </c>
      <c r="FL9231" s="26" t="inlineStr">
        <is>
          <t>B</t>
        </is>
      </c>
      <c r="FP9231" s="26" t="inlineStr">
        <is>
          <t>B</t>
        </is>
      </c>
    </row>
    <row r="9232">
      <c r="FC9232" t="inlineStr">
        <is>
          <t>Diccionario 9</t>
        </is>
      </c>
      <c r="FD9232" t="inlineStr">
        <is>
          <t>PA-B1272 / VFPH-51|</t>
        </is>
      </c>
      <c r="FL9232" s="26" t="inlineStr">
        <is>
          <t>B</t>
        </is>
      </c>
      <c r="FP9232" s="26" t="inlineStr">
        <is>
          <t>B</t>
        </is>
      </c>
    </row>
    <row r="9233">
      <c r="FC9233" t="inlineStr">
        <is>
          <t>Diccionario 9</t>
        </is>
      </c>
      <c r="FD9233" t="inlineStr">
        <is>
          <t>CER-B1273 / VFPH-66|</t>
        </is>
      </c>
      <c r="FL9233" s="26" t="inlineStr">
        <is>
          <t>B</t>
        </is>
      </c>
      <c r="FP9233" s="26" t="inlineStr">
        <is>
          <t>B</t>
        </is>
      </c>
    </row>
    <row r="9234">
      <c r="FC9234" t="inlineStr">
        <is>
          <t>Diccionario 9</t>
        </is>
      </c>
      <c r="FD9234" t="inlineStr">
        <is>
          <t>PA-B1274 / VFPH-79|</t>
        </is>
      </c>
      <c r="FL9234" s="26" t="inlineStr">
        <is>
          <t>B</t>
        </is>
      </c>
      <c r="FP9234" s="26" t="inlineStr">
        <is>
          <t>B</t>
        </is>
      </c>
    </row>
    <row r="9235">
      <c r="FC9235" t="inlineStr">
        <is>
          <t>Diccionario 9</t>
        </is>
      </c>
      <c r="FD9235" t="inlineStr">
        <is>
          <t>PA-B1275 / VFPH-81|</t>
        </is>
      </c>
      <c r="FL9235" s="26" t="inlineStr">
        <is>
          <t>B</t>
        </is>
      </c>
      <c r="FP9235" s="26" t="inlineStr">
        <is>
          <t>B</t>
        </is>
      </c>
    </row>
    <row r="9236">
      <c r="FC9236" t="inlineStr">
        <is>
          <t>Diccionario 9</t>
        </is>
      </c>
      <c r="FD9236" t="inlineStr">
        <is>
          <t>PA-B1276 / VFPH-91|</t>
        </is>
      </c>
      <c r="FL9236" s="26" t="inlineStr">
        <is>
          <t>B</t>
        </is>
      </c>
      <c r="FP9236" s="26" t="inlineStr">
        <is>
          <t>B</t>
        </is>
      </c>
    </row>
    <row r="9237">
      <c r="FC9237" t="inlineStr">
        <is>
          <t>Diccionario 9</t>
        </is>
      </c>
      <c r="FD9237" t="inlineStr">
        <is>
          <t>SA-B1277 / VFPH-98|</t>
        </is>
      </c>
      <c r="FL9237" s="26" t="inlineStr">
        <is>
          <t>B</t>
        </is>
      </c>
      <c r="FP9237" s="26" t="inlineStr">
        <is>
          <t>B</t>
        </is>
      </c>
    </row>
    <row r="9238">
      <c r="FC9238" t="inlineStr">
        <is>
          <t>Diccionario 9</t>
        </is>
      </c>
      <c r="FD9238" t="inlineStr">
        <is>
          <t>CER-B1278 / VFPJ-11|</t>
        </is>
      </c>
      <c r="FL9238" s="26" t="inlineStr">
        <is>
          <t>B</t>
        </is>
      </c>
      <c r="FP9238" s="26" t="inlineStr">
        <is>
          <t>B</t>
        </is>
      </c>
    </row>
    <row r="9239">
      <c r="FC9239" t="inlineStr">
        <is>
          <t>Diccionario 9</t>
        </is>
      </c>
      <c r="FD9239" t="inlineStr">
        <is>
          <t>PA-B1279 / VFPJ-25|</t>
        </is>
      </c>
      <c r="FL9239" s="26" t="inlineStr">
        <is>
          <t>B</t>
        </is>
      </c>
      <c r="FP9239" s="26" t="inlineStr">
        <is>
          <t>B</t>
        </is>
      </c>
    </row>
    <row r="9240">
      <c r="FC9240" t="inlineStr">
        <is>
          <t>Diccionario 9</t>
        </is>
      </c>
      <c r="FD9240" t="inlineStr">
        <is>
          <t>PA-B1280 / VFPJ-28|</t>
        </is>
      </c>
      <c r="FL9240" s="26" t="inlineStr">
        <is>
          <t>B</t>
        </is>
      </c>
      <c r="FP9240" s="26" t="inlineStr">
        <is>
          <t>B</t>
        </is>
      </c>
    </row>
    <row r="9241">
      <c r="FC9241" t="inlineStr">
        <is>
          <t>Diccionario 9</t>
        </is>
      </c>
      <c r="FD9241" t="inlineStr">
        <is>
          <t>CER-B1281 / VFPJ-31|</t>
        </is>
      </c>
      <c r="FL9241" s="26" t="inlineStr">
        <is>
          <t>B</t>
        </is>
      </c>
      <c r="FP9241" s="26" t="inlineStr">
        <is>
          <t>B</t>
        </is>
      </c>
    </row>
    <row r="9242">
      <c r="FC9242" t="inlineStr">
        <is>
          <t>Diccionario 9</t>
        </is>
      </c>
      <c r="FD9242" t="inlineStr">
        <is>
          <t>PA-B1282 / VFPJ-51|</t>
        </is>
      </c>
      <c r="FL9242" s="26" t="inlineStr">
        <is>
          <t>B</t>
        </is>
      </c>
      <c r="FP9242" s="26" t="inlineStr">
        <is>
          <t>B</t>
        </is>
      </c>
    </row>
    <row r="9243">
      <c r="FC9243" t="inlineStr">
        <is>
          <t>Diccionario 9</t>
        </is>
      </c>
      <c r="FD9243" t="inlineStr">
        <is>
          <t>CER-B1283 / VFPJ-53|</t>
        </is>
      </c>
      <c r="FL9243" s="26" t="inlineStr">
        <is>
          <t>B</t>
        </is>
      </c>
      <c r="FP9243" s="26" t="inlineStr">
        <is>
          <t>B</t>
        </is>
      </c>
    </row>
    <row r="9244">
      <c r="FC9244" t="inlineStr">
        <is>
          <t>Diccionario 9</t>
        </is>
      </c>
      <c r="FD9244" t="inlineStr">
        <is>
          <t>PA-B1284 / VFPJ-61|</t>
        </is>
      </c>
      <c r="FL9244" s="26" t="inlineStr">
        <is>
          <t>B</t>
        </is>
      </c>
      <c r="FP9244" s="26" t="inlineStr">
        <is>
          <t>B</t>
        </is>
      </c>
    </row>
    <row r="9245">
      <c r="FC9245" t="inlineStr">
        <is>
          <t>Diccionario 9</t>
        </is>
      </c>
      <c r="FD9245" t="inlineStr">
        <is>
          <t>CER-B1285 / VFPJ-66|</t>
        </is>
      </c>
      <c r="FL9245" s="26" t="inlineStr">
        <is>
          <t>B</t>
        </is>
      </c>
      <c r="FP9245" s="26" t="inlineStr">
        <is>
          <t>B</t>
        </is>
      </c>
    </row>
    <row r="9246">
      <c r="FC9246" t="inlineStr">
        <is>
          <t>Diccionario 9</t>
        </is>
      </c>
      <c r="FD9246" t="inlineStr">
        <is>
          <t>PA-B1286 / VFPJ-68|</t>
        </is>
      </c>
      <c r="FL9246" s="26" t="inlineStr">
        <is>
          <t>B</t>
        </is>
      </c>
      <c r="FP9246" s="26" t="inlineStr">
        <is>
          <t>B</t>
        </is>
      </c>
    </row>
    <row r="9247">
      <c r="FC9247" t="inlineStr">
        <is>
          <t>Diccionario 9</t>
        </is>
      </c>
      <c r="FD9247" t="inlineStr">
        <is>
          <t>CER-B1287 / VFPJ-71|</t>
        </is>
      </c>
      <c r="FL9247" s="26" t="inlineStr">
        <is>
          <t>B</t>
        </is>
      </c>
      <c r="FP9247" s="26" t="inlineStr">
        <is>
          <t>B</t>
        </is>
      </c>
    </row>
    <row r="9248">
      <c r="FC9248" t="inlineStr">
        <is>
          <t>Diccionario 9</t>
        </is>
      </c>
      <c r="FD9248" t="inlineStr">
        <is>
          <t>PA-B1288 / VFPJ-77|</t>
        </is>
      </c>
      <c r="FL9248" s="26" t="inlineStr">
        <is>
          <t>B</t>
        </is>
      </c>
      <c r="FP9248" s="26" t="inlineStr">
        <is>
          <t>B</t>
        </is>
      </c>
    </row>
    <row r="9249">
      <c r="FC9249" t="inlineStr">
        <is>
          <t>Diccionario 9</t>
        </is>
      </c>
      <c r="FD9249" t="inlineStr">
        <is>
          <t>CER-B1289 / VFPK-64|</t>
        </is>
      </c>
      <c r="FL9249" s="26" t="inlineStr">
        <is>
          <t>B</t>
        </is>
      </c>
      <c r="FP9249" s="26" t="inlineStr">
        <is>
          <t>B</t>
        </is>
      </c>
    </row>
    <row r="9250">
      <c r="FC9250" t="inlineStr">
        <is>
          <t>Diccionario 9</t>
        </is>
      </c>
      <c r="FD9250" t="inlineStr">
        <is>
          <t>PA-B1290 / VFPK-81|</t>
        </is>
      </c>
      <c r="FL9250" s="26" t="inlineStr">
        <is>
          <t>B</t>
        </is>
      </c>
      <c r="FP9250" s="26" t="inlineStr">
        <is>
          <t>B</t>
        </is>
      </c>
    </row>
    <row r="9251">
      <c r="FC9251" t="inlineStr">
        <is>
          <t>Diccionario 9</t>
        </is>
      </c>
      <c r="FD9251" t="inlineStr">
        <is>
          <t>PA-B1291 / VFPK-91|</t>
        </is>
      </c>
      <c r="FL9251" s="26" t="inlineStr">
        <is>
          <t>B</t>
        </is>
      </c>
      <c r="FP9251" s="26" t="inlineStr">
        <is>
          <t>B</t>
        </is>
      </c>
    </row>
    <row r="9252">
      <c r="FC9252" t="inlineStr">
        <is>
          <t>Diccionario 9</t>
        </is>
      </c>
      <c r="FD9252" t="inlineStr">
        <is>
          <t>PA-B1292 / VFPL-11|</t>
        </is>
      </c>
      <c r="FL9252" s="26" t="inlineStr">
        <is>
          <t>B</t>
        </is>
      </c>
      <c r="FP9252" s="26" t="inlineStr">
        <is>
          <t>B</t>
        </is>
      </c>
    </row>
    <row r="9253">
      <c r="FC9253" t="inlineStr">
        <is>
          <t>Diccionario 9</t>
        </is>
      </c>
      <c r="FD9253" t="inlineStr">
        <is>
          <t>PA-B1293 / VFPL-15|</t>
        </is>
      </c>
      <c r="FL9253" s="26" t="inlineStr">
        <is>
          <t>B</t>
        </is>
      </c>
      <c r="FP9253" s="26" t="inlineStr">
        <is>
          <t>B</t>
        </is>
      </c>
    </row>
    <row r="9254">
      <c r="FC9254" t="inlineStr">
        <is>
          <t>Diccionario 9</t>
        </is>
      </c>
      <c r="FD9254" t="inlineStr">
        <is>
          <t>PA-B1294 / VFPL-21|</t>
        </is>
      </c>
      <c r="FL9254" s="26" t="inlineStr">
        <is>
          <t>B</t>
        </is>
      </c>
      <c r="FP9254" s="26" t="inlineStr">
        <is>
          <t>B</t>
        </is>
      </c>
    </row>
    <row r="9255">
      <c r="FC9255" t="inlineStr">
        <is>
          <t>Diccionario 9</t>
        </is>
      </c>
      <c r="FD9255" t="inlineStr">
        <is>
          <t>PA-B1295 / VFPL-31|</t>
        </is>
      </c>
      <c r="FL9255" s="26" t="inlineStr">
        <is>
          <t>B</t>
        </is>
      </c>
      <c r="FP9255" s="26" t="inlineStr">
        <is>
          <t>B</t>
        </is>
      </c>
    </row>
    <row r="9256">
      <c r="FC9256" t="inlineStr">
        <is>
          <t>Diccionario 9</t>
        </is>
      </c>
      <c r="FD9256" t="inlineStr">
        <is>
          <t>PA-B1296 / VFPL-35|</t>
        </is>
      </c>
      <c r="FL9256" s="26" t="inlineStr">
        <is>
          <t>B</t>
        </is>
      </c>
      <c r="FP9256" s="26" t="inlineStr">
        <is>
          <t>B</t>
        </is>
      </c>
    </row>
    <row r="9257">
      <c r="FC9257" t="inlineStr">
        <is>
          <t>Diccionario 9</t>
        </is>
      </c>
      <c r="FD9257" t="inlineStr">
        <is>
          <t>SA-B1297 / VFPL-41|</t>
        </is>
      </c>
      <c r="FL9257" s="26" t="inlineStr">
        <is>
          <t>B</t>
        </is>
      </c>
      <c r="FP9257" s="26" t="inlineStr">
        <is>
          <t>B</t>
        </is>
      </c>
    </row>
    <row r="9258">
      <c r="FC9258" t="inlineStr">
        <is>
          <t>Diccionario 9</t>
        </is>
      </c>
      <c r="FD9258" t="inlineStr">
        <is>
          <t>SA-B1298 / VFPL-46|</t>
        </is>
      </c>
      <c r="FL9258" s="26" t="inlineStr">
        <is>
          <t>B</t>
        </is>
      </c>
      <c r="FP9258" s="26" t="inlineStr">
        <is>
          <t>B</t>
        </is>
      </c>
    </row>
    <row r="9259">
      <c r="FC9259" t="inlineStr">
        <is>
          <t>Diccionario 9</t>
        </is>
      </c>
      <c r="FD9259" t="inlineStr">
        <is>
          <t>CER-B1299 / VFPL-57|</t>
        </is>
      </c>
      <c r="FL9259" s="26" t="inlineStr">
        <is>
          <t>B</t>
        </is>
      </c>
      <c r="FP9259" s="26" t="inlineStr">
        <is>
          <t>B</t>
        </is>
      </c>
    </row>
    <row r="9260">
      <c r="FC9260" t="inlineStr">
        <is>
          <t>Diccionario 9</t>
        </is>
      </c>
      <c r="FD9260" t="inlineStr">
        <is>
          <t>CER-B1300 / VFPL-61|</t>
        </is>
      </c>
      <c r="FL9260" s="26" t="inlineStr">
        <is>
          <t>B</t>
        </is>
      </c>
      <c r="FP9260" s="26" t="inlineStr">
        <is>
          <t>B</t>
        </is>
      </c>
    </row>
    <row r="9261">
      <c r="FC9261" t="inlineStr">
        <is>
          <t>Diccionario 9</t>
        </is>
      </c>
      <c r="FD9261" t="inlineStr">
        <is>
          <t>CER-B1301 / VFPL-63|</t>
        </is>
      </c>
      <c r="FL9261" s="26" t="inlineStr">
        <is>
          <t>B</t>
        </is>
      </c>
      <c r="FP9261" s="26" t="inlineStr">
        <is>
          <t>B</t>
        </is>
      </c>
    </row>
    <row r="9262">
      <c r="FC9262" t="inlineStr">
        <is>
          <t>Diccionario 9</t>
        </is>
      </c>
      <c r="FD9262" t="inlineStr">
        <is>
          <t>CER-B1302 / VFPL-71|</t>
        </is>
      </c>
      <c r="FL9262" s="26" t="inlineStr">
        <is>
          <t>B</t>
        </is>
      </c>
      <c r="FP9262" s="26" t="inlineStr">
        <is>
          <t>B</t>
        </is>
      </c>
    </row>
    <row r="9263">
      <c r="FC9263" t="inlineStr">
        <is>
          <t>Diccionario 9</t>
        </is>
      </c>
      <c r="FD9263" t="inlineStr">
        <is>
          <t>PA-B1303 / VFPL-73|</t>
        </is>
      </c>
      <c r="FL9263" s="26" t="inlineStr">
        <is>
          <t>B</t>
        </is>
      </c>
      <c r="FP9263" s="26" t="inlineStr">
        <is>
          <t>B</t>
        </is>
      </c>
    </row>
    <row r="9264">
      <c r="FC9264" t="inlineStr">
        <is>
          <t>Diccionario 9</t>
        </is>
      </c>
      <c r="FD9264" t="inlineStr">
        <is>
          <t>CER-B1304 / VFPL-74|</t>
        </is>
      </c>
      <c r="FL9264" s="26" t="inlineStr">
        <is>
          <t>B</t>
        </is>
      </c>
      <c r="FP9264" s="26" t="inlineStr">
        <is>
          <t>B</t>
        </is>
      </c>
    </row>
    <row r="9265">
      <c r="FC9265" t="inlineStr">
        <is>
          <t>Diccionario 9</t>
        </is>
      </c>
      <c r="FD9265" t="inlineStr">
        <is>
          <t>CER-B1305 / VFPL-81|</t>
        </is>
      </c>
      <c r="FL9265" s="26" t="inlineStr">
        <is>
          <t>B</t>
        </is>
      </c>
      <c r="FP9265" s="26" t="inlineStr">
        <is>
          <t>B</t>
        </is>
      </c>
    </row>
    <row r="9266">
      <c r="FC9266" t="inlineStr">
        <is>
          <t>Diccionario 9</t>
        </is>
      </c>
      <c r="FD9266" t="inlineStr">
        <is>
          <t>CER-B1306 / VFPL-87|</t>
        </is>
      </c>
      <c r="FL9266" s="26" t="inlineStr">
        <is>
          <t>B</t>
        </is>
      </c>
      <c r="FP9266" s="26" t="inlineStr">
        <is>
          <t>B</t>
        </is>
      </c>
    </row>
    <row r="9267">
      <c r="FC9267" t="inlineStr">
        <is>
          <t>Diccionario 9</t>
        </is>
      </c>
      <c r="FD9267" t="inlineStr">
        <is>
          <t>PA-B1307 / VFPL-88|</t>
        </is>
      </c>
      <c r="FL9267" s="26" t="inlineStr">
        <is>
          <t>B</t>
        </is>
      </c>
      <c r="FP9267" s="26" t="inlineStr">
        <is>
          <t>B</t>
        </is>
      </c>
    </row>
    <row r="9268">
      <c r="FC9268" t="inlineStr">
        <is>
          <t>Diccionario 9</t>
        </is>
      </c>
      <c r="FD9268" t="inlineStr">
        <is>
          <t>PA-B1308 / VFPL-92|</t>
        </is>
      </c>
      <c r="FL9268" s="26" t="inlineStr">
        <is>
          <t>B</t>
        </is>
      </c>
      <c r="FP9268" s="26" t="inlineStr">
        <is>
          <t>B</t>
        </is>
      </c>
    </row>
    <row r="9269">
      <c r="FC9269" t="inlineStr">
        <is>
          <t>Diccionario 9</t>
        </is>
      </c>
      <c r="FD9269" t="inlineStr">
        <is>
          <t>PA-B1309 / VFPP-11|</t>
        </is>
      </c>
      <c r="FL9269" s="26" t="inlineStr">
        <is>
          <t>B</t>
        </is>
      </c>
      <c r="FP9269" s="26" t="inlineStr">
        <is>
          <t>B</t>
        </is>
      </c>
    </row>
    <row r="9270">
      <c r="FC9270" t="inlineStr">
        <is>
          <t>Diccionario 9</t>
        </is>
      </c>
      <c r="FD9270" t="inlineStr">
        <is>
          <t>CER-B1310 / VFPS-39|</t>
        </is>
      </c>
      <c r="FL9270" s="26" t="inlineStr">
        <is>
          <t>B</t>
        </is>
      </c>
      <c r="FP9270" s="26" t="inlineStr">
        <is>
          <t>B</t>
        </is>
      </c>
    </row>
    <row r="9271">
      <c r="FC9271" t="inlineStr">
        <is>
          <t>Diccionario 9</t>
        </is>
      </c>
      <c r="FD9271" t="inlineStr">
        <is>
          <t>CER-B1311 / VFPS-47|</t>
        </is>
      </c>
      <c r="FL9271" s="26" t="inlineStr">
        <is>
          <t>B</t>
        </is>
      </c>
      <c r="FP9271" s="26" t="inlineStr">
        <is>
          <t>B</t>
        </is>
      </c>
    </row>
    <row r="9272">
      <c r="FC9272" t="inlineStr">
        <is>
          <t>Diccionario 9</t>
        </is>
      </c>
      <c r="FD9272" t="inlineStr">
        <is>
          <t>PA-B1312 / VFPS-48|</t>
        </is>
      </c>
      <c r="FL9272" s="26" t="inlineStr">
        <is>
          <t>B</t>
        </is>
      </c>
      <c r="FP9272" s="26" t="inlineStr">
        <is>
          <t>B</t>
        </is>
      </c>
    </row>
    <row r="9273">
      <c r="FC9273" t="inlineStr">
        <is>
          <t>Diccionario 9</t>
        </is>
      </c>
      <c r="FD9273" t="inlineStr">
        <is>
          <t>PA-B1313 / VFPS-56|</t>
        </is>
      </c>
      <c r="FL9273" s="26" t="inlineStr">
        <is>
          <t>B</t>
        </is>
      </c>
      <c r="FP9273" s="26" t="inlineStr">
        <is>
          <t>B</t>
        </is>
      </c>
    </row>
    <row r="9274">
      <c r="FC9274" t="inlineStr">
        <is>
          <t>Diccionario 9</t>
        </is>
      </c>
      <c r="FD9274" t="inlineStr">
        <is>
          <t>CER-B1314 / VFPS-65|</t>
        </is>
      </c>
      <c r="FL9274" s="26" t="inlineStr">
        <is>
          <t>B</t>
        </is>
      </c>
      <c r="FP9274" s="26" t="inlineStr">
        <is>
          <t>B</t>
        </is>
      </c>
    </row>
    <row r="9275">
      <c r="FC9275" t="inlineStr">
        <is>
          <t>Diccionario 9</t>
        </is>
      </c>
      <c r="FD9275" t="inlineStr">
        <is>
          <t>CER-B1315 / VFPS-69|</t>
        </is>
      </c>
      <c r="FL9275" s="26" t="inlineStr">
        <is>
          <t>B</t>
        </is>
      </c>
      <c r="FP9275" s="26" t="inlineStr">
        <is>
          <t>B</t>
        </is>
      </c>
    </row>
    <row r="9276">
      <c r="FC9276" t="inlineStr">
        <is>
          <t>Diccionario 9</t>
        </is>
      </c>
      <c r="FD9276" t="inlineStr">
        <is>
          <t>PA-B1316 / VFPS-74|</t>
        </is>
      </c>
      <c r="FL9276" s="26" t="inlineStr">
        <is>
          <t>B</t>
        </is>
      </c>
      <c r="FP9276" s="26" t="inlineStr">
        <is>
          <t>B</t>
        </is>
      </c>
    </row>
    <row r="9277">
      <c r="FC9277" t="inlineStr">
        <is>
          <t>Diccionario 9</t>
        </is>
      </c>
      <c r="FD9277" t="inlineStr">
        <is>
          <t>PA-B1317 / VFPS-78|</t>
        </is>
      </c>
      <c r="FL9277" s="26" t="inlineStr">
        <is>
          <t>B</t>
        </is>
      </c>
      <c r="FP9277" s="26" t="inlineStr">
        <is>
          <t>B</t>
        </is>
      </c>
    </row>
    <row r="9278">
      <c r="FC9278" t="inlineStr">
        <is>
          <t>Diccionario 9</t>
        </is>
      </c>
      <c r="FD9278" t="inlineStr">
        <is>
          <t>PA-B1318 / VFPS-85|</t>
        </is>
      </c>
      <c r="FL9278" s="26" t="inlineStr">
        <is>
          <t>B</t>
        </is>
      </c>
      <c r="FP9278" s="26" t="inlineStr">
        <is>
          <t>B</t>
        </is>
      </c>
    </row>
    <row r="9279">
      <c r="FC9279" t="inlineStr">
        <is>
          <t>Diccionario 9</t>
        </is>
      </c>
      <c r="FD9279" t="inlineStr">
        <is>
          <t>PA-B1319 / VFPS-86|</t>
        </is>
      </c>
      <c r="FL9279" s="26" t="inlineStr">
        <is>
          <t>B</t>
        </is>
      </c>
      <c r="FP9279" s="26" t="inlineStr">
        <is>
          <t>B</t>
        </is>
      </c>
    </row>
    <row r="9280">
      <c r="FC9280" t="inlineStr">
        <is>
          <t>Diccionario 9</t>
        </is>
      </c>
      <c r="FD9280" t="inlineStr">
        <is>
          <t>CER-B1320 / VFPS-87|</t>
        </is>
      </c>
      <c r="FL9280" s="26" t="inlineStr">
        <is>
          <t>B</t>
        </is>
      </c>
      <c r="FP9280" s="26" t="inlineStr">
        <is>
          <t>B</t>
        </is>
      </c>
    </row>
    <row r="9281">
      <c r="FC9281" t="inlineStr">
        <is>
          <t>Diccionario 9</t>
        </is>
      </c>
      <c r="FD9281" t="inlineStr">
        <is>
          <t>PA-B1321 / VFPS-89|</t>
        </is>
      </c>
      <c r="FL9281" s="26" t="inlineStr">
        <is>
          <t>B</t>
        </is>
      </c>
      <c r="FP9281" s="26" t="inlineStr">
        <is>
          <t>B</t>
        </is>
      </c>
    </row>
    <row r="9282">
      <c r="FC9282" t="inlineStr">
        <is>
          <t>Diccionario 9</t>
        </is>
      </c>
      <c r="FD9282" t="inlineStr">
        <is>
          <t>PA-B1322 / VFPS-94|</t>
        </is>
      </c>
      <c r="FL9282" s="26" t="inlineStr">
        <is>
          <t>B</t>
        </is>
      </c>
      <c r="FP9282" s="26" t="inlineStr">
        <is>
          <t>B</t>
        </is>
      </c>
    </row>
    <row r="9283">
      <c r="FC9283" t="inlineStr">
        <is>
          <t>Diccionario 9</t>
        </is>
      </c>
      <c r="FD9283" t="inlineStr">
        <is>
          <t>PA-B1323 / VFPS-99|</t>
        </is>
      </c>
      <c r="FL9283" s="26" t="inlineStr">
        <is>
          <t>B</t>
        </is>
      </c>
      <c r="FP9283" s="26" t="inlineStr">
        <is>
          <t>B</t>
        </is>
      </c>
    </row>
    <row r="9284">
      <c r="FC9284" t="inlineStr">
        <is>
          <t>Diccionario 9</t>
        </is>
      </c>
      <c r="FD9284" t="inlineStr">
        <is>
          <t>SA-B1324 / VFPT-23|</t>
        </is>
      </c>
      <c r="FL9284" s="26" t="inlineStr">
        <is>
          <t>B</t>
        </is>
      </c>
      <c r="FP9284" s="26" t="inlineStr">
        <is>
          <t>B</t>
        </is>
      </c>
    </row>
    <row r="9285">
      <c r="FC9285" t="inlineStr">
        <is>
          <t>Diccionario 9</t>
        </is>
      </c>
      <c r="FD9285" t="inlineStr">
        <is>
          <t>SA-B1325 / VFPT-27|</t>
        </is>
      </c>
      <c r="FL9285" s="26" t="inlineStr">
        <is>
          <t>B</t>
        </is>
      </c>
      <c r="FP9285" s="26" t="inlineStr">
        <is>
          <t>B</t>
        </is>
      </c>
    </row>
    <row r="9286">
      <c r="FC9286" t="inlineStr">
        <is>
          <t>Diccionario 9</t>
        </is>
      </c>
      <c r="FD9286" t="inlineStr">
        <is>
          <t>PA-B1326 / VFPT-47|</t>
        </is>
      </c>
      <c r="FL9286" s="26" t="inlineStr">
        <is>
          <t>B</t>
        </is>
      </c>
      <c r="FP9286" s="26" t="inlineStr">
        <is>
          <t>B</t>
        </is>
      </c>
    </row>
    <row r="9287">
      <c r="FC9287" t="inlineStr">
        <is>
          <t>Diccionario 9</t>
        </is>
      </c>
      <c r="FD9287" t="inlineStr">
        <is>
          <t>PA-B1327 / VFPT-63|</t>
        </is>
      </c>
      <c r="FL9287" s="26" t="inlineStr">
        <is>
          <t>B</t>
        </is>
      </c>
      <c r="FP9287" s="26" t="inlineStr">
        <is>
          <t>B</t>
        </is>
      </c>
    </row>
    <row r="9288">
      <c r="FC9288" t="inlineStr">
        <is>
          <t>Diccionario 9</t>
        </is>
      </c>
      <c r="FD9288" t="inlineStr">
        <is>
          <t>PA-B1328 / VFPT-64|</t>
        </is>
      </c>
      <c r="FL9288" s="26" t="inlineStr">
        <is>
          <t>B</t>
        </is>
      </c>
      <c r="FP9288" s="26" t="inlineStr">
        <is>
          <t>B</t>
        </is>
      </c>
    </row>
    <row r="9289">
      <c r="FC9289" t="inlineStr">
        <is>
          <t>Diccionario 9</t>
        </is>
      </c>
      <c r="FD9289" t="inlineStr">
        <is>
          <t>PA-B1329 / VFPT-65|</t>
        </is>
      </c>
      <c r="FL9289" s="26" t="inlineStr">
        <is>
          <t>B</t>
        </is>
      </c>
      <c r="FP9289" s="26" t="inlineStr">
        <is>
          <t>B</t>
        </is>
      </c>
    </row>
    <row r="9290">
      <c r="FC9290" t="inlineStr">
        <is>
          <t>Diccionario 9</t>
        </is>
      </c>
      <c r="FD9290" t="inlineStr">
        <is>
          <t>PA-B1330 / VFPV-53|</t>
        </is>
      </c>
      <c r="FL9290" s="26" t="inlineStr">
        <is>
          <t>B</t>
        </is>
      </c>
      <c r="FP9290" s="26" t="inlineStr">
        <is>
          <t>B</t>
        </is>
      </c>
    </row>
    <row r="9291">
      <c r="FC9291" t="inlineStr">
        <is>
          <t>Diccionario 9</t>
        </is>
      </c>
      <c r="FD9291" t="inlineStr">
        <is>
          <t>SA-B1331 / VFPV-63|</t>
        </is>
      </c>
      <c r="FL9291" s="26" t="inlineStr">
        <is>
          <t>B</t>
        </is>
      </c>
      <c r="FP9291" s="26" t="inlineStr">
        <is>
          <t>B</t>
        </is>
      </c>
    </row>
    <row r="9292">
      <c r="FC9292" t="inlineStr">
        <is>
          <t>Diccionario 9</t>
        </is>
      </c>
      <c r="FD9292" t="inlineStr">
        <is>
          <t>SA-B1332 / VFPV-73|</t>
        </is>
      </c>
      <c r="FL9292" s="26" t="inlineStr">
        <is>
          <t>B</t>
        </is>
      </c>
      <c r="FP9292" s="26" t="inlineStr">
        <is>
          <t>B</t>
        </is>
      </c>
    </row>
    <row r="9293">
      <c r="FC9293" t="inlineStr">
        <is>
          <t>Diccionario 9</t>
        </is>
      </c>
      <c r="FD9293" t="inlineStr">
        <is>
          <t>PA-B1333 / VFPV-83|</t>
        </is>
      </c>
      <c r="FL9293" s="26" t="inlineStr">
        <is>
          <t>B</t>
        </is>
      </c>
      <c r="FP9293" s="26" t="inlineStr">
        <is>
          <t>B</t>
        </is>
      </c>
    </row>
    <row r="9294">
      <c r="FC9294" t="inlineStr">
        <is>
          <t>Diccionario 9</t>
        </is>
      </c>
      <c r="FD9294" t="inlineStr">
        <is>
          <t>PA-B1334 / VFPV-93|</t>
        </is>
      </c>
      <c r="FL9294" s="26" t="inlineStr">
        <is>
          <t>B</t>
        </is>
      </c>
      <c r="FP9294" s="26" t="inlineStr">
        <is>
          <t>B</t>
        </is>
      </c>
    </row>
    <row r="9295">
      <c r="FC9295" t="inlineStr">
        <is>
          <t>Diccionario 9</t>
        </is>
      </c>
      <c r="FD9295" t="inlineStr">
        <is>
          <t>SA-B1335 / VFPW-13|</t>
        </is>
      </c>
      <c r="FL9295" s="26" t="inlineStr">
        <is>
          <t>B</t>
        </is>
      </c>
      <c r="FP9295" s="26" t="inlineStr">
        <is>
          <t>B</t>
        </is>
      </c>
    </row>
    <row r="9296">
      <c r="FC9296" t="inlineStr">
        <is>
          <t>Diccionario 9</t>
        </is>
      </c>
      <c r="FD9296" t="inlineStr">
        <is>
          <t>SA-B1336 / VFPW-23|</t>
        </is>
      </c>
      <c r="FL9296" s="26" t="inlineStr">
        <is>
          <t>B</t>
        </is>
      </c>
      <c r="FP9296" s="26" t="inlineStr">
        <is>
          <t>B</t>
        </is>
      </c>
    </row>
    <row r="9297">
      <c r="FC9297" t="inlineStr">
        <is>
          <t>Diccionario 9</t>
        </is>
      </c>
      <c r="FD9297" t="inlineStr">
        <is>
          <t>SA-B1337 / VFPW-33|</t>
        </is>
      </c>
      <c r="FL9297" s="26" t="inlineStr">
        <is>
          <t>B</t>
        </is>
      </c>
      <c r="FP9297" s="26" t="inlineStr">
        <is>
          <t>B</t>
        </is>
      </c>
    </row>
    <row r="9298">
      <c r="FC9298" t="inlineStr">
        <is>
          <t>Diccionario 9</t>
        </is>
      </c>
      <c r="FD9298" t="inlineStr">
        <is>
          <t>PA-B1338 / VFPW-63|</t>
        </is>
      </c>
      <c r="FL9298" s="26" t="inlineStr">
        <is>
          <t>B</t>
        </is>
      </c>
      <c r="FP9298" s="26" t="inlineStr">
        <is>
          <t>B</t>
        </is>
      </c>
    </row>
    <row r="9299">
      <c r="FC9299" t="inlineStr">
        <is>
          <t>Diccionario 9</t>
        </is>
      </c>
      <c r="FD9299" t="inlineStr">
        <is>
          <t>SA-B1339 / VFPW-73|</t>
        </is>
      </c>
      <c r="FL9299" s="26" t="inlineStr">
        <is>
          <t>B</t>
        </is>
      </c>
      <c r="FP9299" s="26" t="inlineStr">
        <is>
          <t>B</t>
        </is>
      </c>
    </row>
    <row r="9300">
      <c r="FC9300" t="inlineStr">
        <is>
          <t>Diccionario 9</t>
        </is>
      </c>
      <c r="FD9300" t="inlineStr">
        <is>
          <t>SA-B1340 / VFPX-13|</t>
        </is>
      </c>
      <c r="FL9300" s="26" t="inlineStr">
        <is>
          <t>B</t>
        </is>
      </c>
      <c r="FP9300" s="26" t="inlineStr">
        <is>
          <t>B</t>
        </is>
      </c>
    </row>
    <row r="9301">
      <c r="FC9301" t="inlineStr">
        <is>
          <t>Diccionario 9</t>
        </is>
      </c>
      <c r="FD9301" t="inlineStr">
        <is>
          <t>SA-B1341 / VFPX-33|</t>
        </is>
      </c>
      <c r="FL9301" s="26" t="inlineStr">
        <is>
          <t>B</t>
        </is>
      </c>
      <c r="FP9301" s="26" t="inlineStr">
        <is>
          <t>B</t>
        </is>
      </c>
    </row>
    <row r="9302">
      <c r="FC9302" t="inlineStr">
        <is>
          <t>Diccionario 9</t>
        </is>
      </c>
      <c r="FD9302" t="inlineStr">
        <is>
          <t>PA-B1342 / VFPX-53|</t>
        </is>
      </c>
      <c r="FL9302" s="26" t="inlineStr">
        <is>
          <t>B</t>
        </is>
      </c>
      <c r="FP9302" s="26" t="inlineStr">
        <is>
          <t>B</t>
        </is>
      </c>
    </row>
    <row r="9303">
      <c r="FC9303" t="inlineStr">
        <is>
          <t>Diccionario 9</t>
        </is>
      </c>
      <c r="FD9303" t="inlineStr">
        <is>
          <t>PA-B1343 / VFPX-63|</t>
        </is>
      </c>
      <c r="FL9303" s="26" t="inlineStr">
        <is>
          <t>B</t>
        </is>
      </c>
      <c r="FP9303" s="26" t="inlineStr">
        <is>
          <t>B</t>
        </is>
      </c>
    </row>
    <row r="9304">
      <c r="FC9304" t="inlineStr">
        <is>
          <t>Diccionario 9</t>
        </is>
      </c>
      <c r="FD9304" t="inlineStr">
        <is>
          <t>PA-B1344 / VFPX-83|</t>
        </is>
      </c>
      <c r="FL9304" s="26" t="inlineStr">
        <is>
          <t>B</t>
        </is>
      </c>
      <c r="FP9304" s="26" t="inlineStr">
        <is>
          <t>B</t>
        </is>
      </c>
    </row>
    <row r="9305">
      <c r="FC9305" t="inlineStr">
        <is>
          <t>Diccionario 9</t>
        </is>
      </c>
      <c r="FD9305" t="inlineStr">
        <is>
          <t>PA-B1345 / VFPX-93|</t>
        </is>
      </c>
      <c r="FL9305" s="26" t="inlineStr">
        <is>
          <t>B</t>
        </is>
      </c>
      <c r="FP9305" s="26" t="inlineStr">
        <is>
          <t>B</t>
        </is>
      </c>
    </row>
    <row r="9306">
      <c r="FC9306" t="inlineStr">
        <is>
          <t>Diccionario 9</t>
        </is>
      </c>
      <c r="FD9306" t="inlineStr">
        <is>
          <t>SA-B1346 / VFPY-13|</t>
        </is>
      </c>
      <c r="FL9306" s="26" t="inlineStr">
        <is>
          <t>B</t>
        </is>
      </c>
      <c r="FP9306" s="26" t="inlineStr">
        <is>
          <t>B</t>
        </is>
      </c>
    </row>
    <row r="9307">
      <c r="FC9307" t="inlineStr">
        <is>
          <t>Diccionario 9</t>
        </is>
      </c>
      <c r="FD9307" t="inlineStr">
        <is>
          <t>PA-B1347 / VFPY-23|</t>
        </is>
      </c>
      <c r="FL9307" s="26" t="inlineStr">
        <is>
          <t>B</t>
        </is>
      </c>
      <c r="FP9307" s="26" t="inlineStr">
        <is>
          <t>B</t>
        </is>
      </c>
    </row>
    <row r="9308">
      <c r="FC9308" t="inlineStr">
        <is>
          <t>Diccionario 9</t>
        </is>
      </c>
      <c r="FD9308" t="inlineStr">
        <is>
          <t>PA-B1348 / VFPY-33|</t>
        </is>
      </c>
      <c r="FL9308" s="26" t="inlineStr">
        <is>
          <t>B</t>
        </is>
      </c>
      <c r="FP9308" s="26" t="inlineStr">
        <is>
          <t>B</t>
        </is>
      </c>
    </row>
    <row r="9309">
      <c r="FC9309" t="inlineStr">
        <is>
          <t>Diccionario 9</t>
        </is>
      </c>
      <c r="FD9309" t="inlineStr">
        <is>
          <t>SA-B1349 / VFPY-43|</t>
        </is>
      </c>
      <c r="FL9309" s="26" t="inlineStr">
        <is>
          <t>B</t>
        </is>
      </c>
      <c r="FP9309" s="26" t="inlineStr">
        <is>
          <t>B</t>
        </is>
      </c>
    </row>
    <row r="9310">
      <c r="FC9310" t="inlineStr">
        <is>
          <t>Diccionario 9</t>
        </is>
      </c>
      <c r="FD9310" t="inlineStr">
        <is>
          <t>SA-B1350 / VFPZ-27|</t>
        </is>
      </c>
      <c r="FL9310" s="26" t="inlineStr">
        <is>
          <t>B</t>
        </is>
      </c>
      <c r="FP9310" s="26" t="inlineStr">
        <is>
          <t>B</t>
        </is>
      </c>
    </row>
    <row r="9311">
      <c r="FC9311" t="inlineStr">
        <is>
          <t>Diccionario 9</t>
        </is>
      </c>
      <c r="FD9311" t="inlineStr">
        <is>
          <t>SA-B1351 / VFPZ-38|</t>
        </is>
      </c>
      <c r="FL9311" s="26" t="inlineStr">
        <is>
          <t>B</t>
        </is>
      </c>
      <c r="FP9311" s="26" t="inlineStr">
        <is>
          <t>B</t>
        </is>
      </c>
    </row>
    <row r="9312">
      <c r="FC9312" t="inlineStr">
        <is>
          <t>Diccionario 9</t>
        </is>
      </c>
      <c r="FD9312" t="inlineStr">
        <is>
          <t>SA-B1352 / VFPZ-39|</t>
        </is>
      </c>
      <c r="FL9312" s="26" t="inlineStr">
        <is>
          <t>B</t>
        </is>
      </c>
      <c r="FP9312" s="26" t="inlineStr">
        <is>
          <t>B</t>
        </is>
      </c>
    </row>
    <row r="9313">
      <c r="FC9313" t="inlineStr">
        <is>
          <t>Diccionario 9</t>
        </is>
      </c>
      <c r="FD9313" t="inlineStr">
        <is>
          <t>SA-B1353 / VFPZ-55|</t>
        </is>
      </c>
      <c r="FL9313" s="26" t="inlineStr">
        <is>
          <t>B</t>
        </is>
      </c>
      <c r="FP9313" s="26" t="inlineStr">
        <is>
          <t>B</t>
        </is>
      </c>
    </row>
    <row r="9314">
      <c r="FC9314" t="inlineStr">
        <is>
          <t>Diccionario 9</t>
        </is>
      </c>
      <c r="FD9314" t="inlineStr">
        <is>
          <t>PA-B1354 / VFPZ-56|</t>
        </is>
      </c>
      <c r="FL9314" s="26" t="inlineStr">
        <is>
          <t>B</t>
        </is>
      </c>
      <c r="FP9314" s="26" t="inlineStr">
        <is>
          <t>B</t>
        </is>
      </c>
    </row>
    <row r="9315">
      <c r="FC9315" t="inlineStr">
        <is>
          <t>Diccionario 9</t>
        </is>
      </c>
      <c r="FD9315" t="inlineStr">
        <is>
          <t>PA-B1355 / VFPZ-74|</t>
        </is>
      </c>
      <c r="FL9315" s="26" t="inlineStr">
        <is>
          <t>B</t>
        </is>
      </c>
      <c r="FP9315" s="26" t="inlineStr">
        <is>
          <t>B</t>
        </is>
      </c>
    </row>
    <row r="9316">
      <c r="FC9316" t="inlineStr">
        <is>
          <t>Diccionario 9</t>
        </is>
      </c>
      <c r="FD9316" t="inlineStr">
        <is>
          <t>PA-B1356 / VFPZ-78|</t>
        </is>
      </c>
      <c r="FL9316" s="26" t="inlineStr">
        <is>
          <t>B</t>
        </is>
      </c>
      <c r="FP9316" s="26" t="inlineStr">
        <is>
          <t>B</t>
        </is>
      </c>
    </row>
    <row r="9317">
      <c r="FC9317" t="inlineStr">
        <is>
          <t>Diccionario 9</t>
        </is>
      </c>
      <c r="FD9317" t="inlineStr">
        <is>
          <t>SA-B1357 / VFPZ-88|</t>
        </is>
      </c>
      <c r="FL9317" s="26" t="inlineStr">
        <is>
          <t>B</t>
        </is>
      </c>
      <c r="FP9317" s="26" t="inlineStr">
        <is>
          <t>B</t>
        </is>
      </c>
    </row>
    <row r="9318">
      <c r="FC9318" t="inlineStr">
        <is>
          <t>Diccionario 9</t>
        </is>
      </c>
      <c r="FD9318" t="inlineStr">
        <is>
          <t>SA-B1358 / VFPZ-89|</t>
        </is>
      </c>
      <c r="FL9318" s="26" t="inlineStr">
        <is>
          <t>B</t>
        </is>
      </c>
      <c r="FP9318" s="26" t="inlineStr">
        <is>
          <t>B</t>
        </is>
      </c>
    </row>
    <row r="9319">
      <c r="FC9319" t="inlineStr">
        <is>
          <t>Diccionario 9</t>
        </is>
      </c>
      <c r="FD9319" t="inlineStr">
        <is>
          <t>SA-B1359 / VFPZ-92|</t>
        </is>
      </c>
      <c r="FL9319" s="26" t="inlineStr">
        <is>
          <t>B</t>
        </is>
      </c>
      <c r="FP9319" s="26" t="inlineStr">
        <is>
          <t>B</t>
        </is>
      </c>
    </row>
    <row r="9320">
      <c r="FC9320" t="inlineStr">
        <is>
          <t>Diccionario 9</t>
        </is>
      </c>
      <c r="FD9320" t="inlineStr">
        <is>
          <t>SA-B1360 / VFPZ-97|</t>
        </is>
      </c>
      <c r="FL9320" s="26" t="inlineStr">
        <is>
          <t>B</t>
        </is>
      </c>
      <c r="FP9320" s="26" t="inlineStr">
        <is>
          <t>B</t>
        </is>
      </c>
    </row>
    <row r="9321">
      <c r="FC9321" t="inlineStr">
        <is>
          <t>Diccionario 9</t>
        </is>
      </c>
      <c r="FD9321" t="inlineStr">
        <is>
          <t>SA-B1361 / VFPZ-98|</t>
        </is>
      </c>
      <c r="FL9321" s="26" t="inlineStr">
        <is>
          <t>B</t>
        </is>
      </c>
      <c r="FP9321" s="26" t="inlineStr">
        <is>
          <t>B</t>
        </is>
      </c>
    </row>
    <row r="9322">
      <c r="FC9322" t="inlineStr">
        <is>
          <t>Diccionario 9</t>
        </is>
      </c>
      <c r="FD9322" t="inlineStr">
        <is>
          <t>PA-B1362 / VFRB-13|</t>
        </is>
      </c>
      <c r="FL9322" s="26" t="inlineStr">
        <is>
          <t>B</t>
        </is>
      </c>
      <c r="FP9322" s="26" t="inlineStr">
        <is>
          <t>B</t>
        </is>
      </c>
    </row>
    <row r="9323">
      <c r="FC9323" t="inlineStr">
        <is>
          <t>Diccionario 9</t>
        </is>
      </c>
      <c r="FD9323" t="inlineStr">
        <is>
          <t>SA-B1363 / VFRB-15|</t>
        </is>
      </c>
      <c r="FL9323" s="26" t="inlineStr">
        <is>
          <t>B</t>
        </is>
      </c>
      <c r="FP9323" s="26" t="inlineStr">
        <is>
          <t>B</t>
        </is>
      </c>
    </row>
    <row r="9324">
      <c r="FC9324" t="inlineStr">
        <is>
          <t>Diccionario 9</t>
        </is>
      </c>
      <c r="FD9324" t="inlineStr">
        <is>
          <t>SA-B1364 / VFRB-54|</t>
        </is>
      </c>
      <c r="FL9324" s="26" t="inlineStr">
        <is>
          <t>B</t>
        </is>
      </c>
      <c r="FP9324" s="26" t="inlineStr">
        <is>
          <t>B</t>
        </is>
      </c>
    </row>
    <row r="9325">
      <c r="FC9325" t="inlineStr">
        <is>
          <t>Diccionario 9</t>
        </is>
      </c>
      <c r="FD9325" t="inlineStr">
        <is>
          <t>PA-B1365 / VFRB-56|</t>
        </is>
      </c>
      <c r="FL9325" s="26" t="inlineStr">
        <is>
          <t>B</t>
        </is>
      </c>
      <c r="FP9325" s="26" t="inlineStr">
        <is>
          <t>B</t>
        </is>
      </c>
    </row>
    <row r="9326">
      <c r="FC9326" t="inlineStr">
        <is>
          <t>Diccionario 9</t>
        </is>
      </c>
      <c r="FD9326" t="inlineStr">
        <is>
          <t>SA-B1366 / VFRB-63|</t>
        </is>
      </c>
      <c r="FL9326" s="26" t="inlineStr">
        <is>
          <t>B</t>
        </is>
      </c>
      <c r="FP9326" s="26" t="inlineStr">
        <is>
          <t>B</t>
        </is>
      </c>
    </row>
    <row r="9327">
      <c r="FC9327" t="inlineStr">
        <is>
          <t>Diccionario 9</t>
        </is>
      </c>
      <c r="FD9327" t="inlineStr">
        <is>
          <t>SA-B1367 / VFRB-67|</t>
        </is>
      </c>
      <c r="FL9327" s="26" t="inlineStr">
        <is>
          <t>B</t>
        </is>
      </c>
      <c r="FP9327" s="26" t="inlineStr">
        <is>
          <t>B</t>
        </is>
      </c>
    </row>
    <row r="9328">
      <c r="FC9328" t="inlineStr">
        <is>
          <t>Diccionario 9</t>
        </is>
      </c>
      <c r="FD9328" t="inlineStr">
        <is>
          <t>PA-B1368 / VFRB-68|</t>
        </is>
      </c>
      <c r="FL9328" s="26" t="inlineStr">
        <is>
          <t>B</t>
        </is>
      </c>
      <c r="FP9328" s="26" t="inlineStr">
        <is>
          <t>B</t>
        </is>
      </c>
    </row>
    <row r="9329">
      <c r="FC9329" t="inlineStr">
        <is>
          <t>Diccionario 9</t>
        </is>
      </c>
      <c r="FD9329" t="inlineStr">
        <is>
          <t>SA-B1369 / VFRB-81|</t>
        </is>
      </c>
      <c r="FL9329" s="26" t="inlineStr">
        <is>
          <t>B</t>
        </is>
      </c>
      <c r="FP9329" s="26" t="inlineStr">
        <is>
          <t>B</t>
        </is>
      </c>
    </row>
    <row r="9330">
      <c r="FC9330" t="inlineStr">
        <is>
          <t>Diccionario 9</t>
        </is>
      </c>
      <c r="FD9330" t="inlineStr">
        <is>
          <t>SA-B1370 / VFRC-75|</t>
        </is>
      </c>
      <c r="FL9330" s="26" t="inlineStr">
        <is>
          <t>B</t>
        </is>
      </c>
      <c r="FP9330" s="26" t="inlineStr">
        <is>
          <t>B</t>
        </is>
      </c>
    </row>
    <row r="9331">
      <c r="FC9331" t="inlineStr">
        <is>
          <t>Diccionario 9</t>
        </is>
      </c>
      <c r="FD9331" t="inlineStr">
        <is>
          <t>PA-B1371 / VFRD-35|</t>
        </is>
      </c>
      <c r="FL9331" s="26" t="inlineStr">
        <is>
          <t>B</t>
        </is>
      </c>
      <c r="FP9331" s="26" t="inlineStr">
        <is>
          <t>B</t>
        </is>
      </c>
    </row>
    <row r="9332">
      <c r="FC9332" t="inlineStr">
        <is>
          <t>Diccionario 9</t>
        </is>
      </c>
      <c r="FD9332" t="inlineStr">
        <is>
          <t>SA-B1372 / VFRD-45|</t>
        </is>
      </c>
      <c r="FL9332" s="26" t="inlineStr">
        <is>
          <t>B</t>
        </is>
      </c>
      <c r="FP9332" s="26" t="inlineStr">
        <is>
          <t>B</t>
        </is>
      </c>
    </row>
    <row r="9333">
      <c r="FC9333" t="inlineStr">
        <is>
          <t>Diccionario 9</t>
        </is>
      </c>
      <c r="FD9333" t="inlineStr">
        <is>
          <t>PA-B1373 / VFRD-55|</t>
        </is>
      </c>
      <c r="FL9333" s="26" t="inlineStr">
        <is>
          <t>B</t>
        </is>
      </c>
      <c r="FP9333" s="26" t="inlineStr">
        <is>
          <t>B</t>
        </is>
      </c>
    </row>
    <row r="9334">
      <c r="FC9334" t="inlineStr">
        <is>
          <t>Diccionario 9</t>
        </is>
      </c>
      <c r="FD9334" t="inlineStr">
        <is>
          <t>PA-B1374 / VFRD-65|</t>
        </is>
      </c>
      <c r="FL9334" s="26" t="inlineStr">
        <is>
          <t>B</t>
        </is>
      </c>
      <c r="FP9334" s="26" t="inlineStr">
        <is>
          <t>B</t>
        </is>
      </c>
    </row>
    <row r="9335">
      <c r="FC9335" t="inlineStr">
        <is>
          <t>Diccionario 9</t>
        </is>
      </c>
      <c r="FD9335" t="inlineStr">
        <is>
          <t>SA-B1375 / VFRD-75|</t>
        </is>
      </c>
      <c r="FL9335" s="26" t="inlineStr">
        <is>
          <t>B</t>
        </is>
      </c>
      <c r="FP9335" s="26" t="inlineStr">
        <is>
          <t>B</t>
        </is>
      </c>
    </row>
    <row r="9336">
      <c r="FC9336" t="inlineStr">
        <is>
          <t>Diccionario 9</t>
        </is>
      </c>
      <c r="FD9336" t="inlineStr">
        <is>
          <t>PA-B1376 / VFRD-85|</t>
        </is>
      </c>
      <c r="FL9336" s="26" t="inlineStr">
        <is>
          <t>B</t>
        </is>
      </c>
      <c r="FP9336" s="26" t="inlineStr">
        <is>
          <t>B</t>
        </is>
      </c>
    </row>
    <row r="9337">
      <c r="FC9337" t="inlineStr">
        <is>
          <t>Diccionario 9</t>
        </is>
      </c>
      <c r="FD9337" t="inlineStr">
        <is>
          <t>PA-B1377 / VFRD-95|</t>
        </is>
      </c>
      <c r="FL9337" s="26" t="inlineStr">
        <is>
          <t>B</t>
        </is>
      </c>
      <c r="FP9337" s="26" t="inlineStr">
        <is>
          <t>B</t>
        </is>
      </c>
    </row>
    <row r="9338">
      <c r="FC9338" t="inlineStr">
        <is>
          <t>Diccionario 9</t>
        </is>
      </c>
      <c r="FD9338" t="inlineStr">
        <is>
          <t>CER-B1378 / VFRF-15|</t>
        </is>
      </c>
      <c r="FL9338" s="26" t="inlineStr">
        <is>
          <t>B</t>
        </is>
      </c>
      <c r="FP9338" s="26" t="inlineStr">
        <is>
          <t>B</t>
        </is>
      </c>
    </row>
    <row r="9339">
      <c r="FC9339" t="inlineStr">
        <is>
          <t>Diccionario 9</t>
        </is>
      </c>
      <c r="FD9339" t="inlineStr">
        <is>
          <t>PA-B1379 / VFRF-35|</t>
        </is>
      </c>
      <c r="FL9339" s="26" t="inlineStr">
        <is>
          <t>B</t>
        </is>
      </c>
      <c r="FP9339" s="26" t="inlineStr">
        <is>
          <t>B</t>
        </is>
      </c>
    </row>
    <row r="9340">
      <c r="FC9340" t="inlineStr">
        <is>
          <t>Diccionario 9</t>
        </is>
      </c>
      <c r="FD9340" t="inlineStr">
        <is>
          <t>CER-B1380 / VFRF-55|</t>
        </is>
      </c>
      <c r="FL9340" s="26" t="inlineStr">
        <is>
          <t>B</t>
        </is>
      </c>
      <c r="FP9340" s="26" t="inlineStr">
        <is>
          <t>B</t>
        </is>
      </c>
    </row>
    <row r="9341">
      <c r="FC9341" t="inlineStr">
        <is>
          <t>Diccionario 9</t>
        </is>
      </c>
      <c r="FD9341" t="inlineStr">
        <is>
          <t>PA-B1381 / VFRF-65|</t>
        </is>
      </c>
      <c r="FL9341" s="26" t="inlineStr">
        <is>
          <t>B</t>
        </is>
      </c>
      <c r="FP9341" s="26" t="inlineStr">
        <is>
          <t>B</t>
        </is>
      </c>
    </row>
    <row r="9342">
      <c r="FC9342" t="inlineStr">
        <is>
          <t>Diccionario 9</t>
        </is>
      </c>
      <c r="FD9342" t="inlineStr">
        <is>
          <t>PA-B1382 / VFRF-75|</t>
        </is>
      </c>
      <c r="FL9342" s="26" t="inlineStr">
        <is>
          <t>B</t>
        </is>
      </c>
      <c r="FP9342" s="26" t="inlineStr">
        <is>
          <t>B</t>
        </is>
      </c>
    </row>
    <row r="9343">
      <c r="FC9343" t="inlineStr">
        <is>
          <t>Diccionario 9</t>
        </is>
      </c>
      <c r="FD9343" t="inlineStr">
        <is>
          <t>PA-B1383 / VFRF-85|</t>
        </is>
      </c>
      <c r="FL9343" s="26" t="inlineStr">
        <is>
          <t>B</t>
        </is>
      </c>
      <c r="FP9343" s="26" t="inlineStr">
        <is>
          <t>B</t>
        </is>
      </c>
    </row>
    <row r="9344">
      <c r="FC9344" t="inlineStr">
        <is>
          <t>Diccionario 9</t>
        </is>
      </c>
      <c r="FD9344" t="inlineStr">
        <is>
          <t>PA-B1384 / VFRF-95|</t>
        </is>
      </c>
      <c r="FL9344" s="26" t="inlineStr">
        <is>
          <t>B</t>
        </is>
      </c>
      <c r="FP9344" s="26" t="inlineStr">
        <is>
          <t>B</t>
        </is>
      </c>
    </row>
    <row r="9345">
      <c r="FC9345" t="inlineStr">
        <is>
          <t>Diccionario 9</t>
        </is>
      </c>
      <c r="FD9345" t="inlineStr">
        <is>
          <t>CER-B1385 / VFRG-15|</t>
        </is>
      </c>
      <c r="FL9345" s="26" t="inlineStr">
        <is>
          <t>B</t>
        </is>
      </c>
      <c r="FP9345" s="26" t="inlineStr">
        <is>
          <t>B</t>
        </is>
      </c>
    </row>
    <row r="9346">
      <c r="FC9346" t="inlineStr">
        <is>
          <t>Diccionario 9</t>
        </is>
      </c>
      <c r="FD9346" t="inlineStr">
        <is>
          <t>PA-B1386 / VFRG-25|</t>
        </is>
      </c>
      <c r="FL9346" s="26" t="inlineStr">
        <is>
          <t>B</t>
        </is>
      </c>
      <c r="FP9346" s="26" t="inlineStr">
        <is>
          <t>B</t>
        </is>
      </c>
    </row>
    <row r="9347">
      <c r="FC9347" t="inlineStr">
        <is>
          <t>Diccionario 9</t>
        </is>
      </c>
      <c r="FD9347" t="inlineStr">
        <is>
          <t>PA-B1387 / VFRG-35|</t>
        </is>
      </c>
      <c r="FL9347" s="26" t="inlineStr">
        <is>
          <t>B</t>
        </is>
      </c>
      <c r="FP9347" s="26" t="inlineStr">
        <is>
          <t>B</t>
        </is>
      </c>
    </row>
    <row r="9348">
      <c r="FC9348" t="inlineStr">
        <is>
          <t>Diccionario 9</t>
        </is>
      </c>
      <c r="FD9348" t="inlineStr">
        <is>
          <t>PA-B1388 / VFRG-45|</t>
        </is>
      </c>
      <c r="FL9348" s="26" t="inlineStr">
        <is>
          <t>B</t>
        </is>
      </c>
      <c r="FP9348" s="26" t="inlineStr">
        <is>
          <t>B</t>
        </is>
      </c>
    </row>
    <row r="9349">
      <c r="FC9349" t="inlineStr">
        <is>
          <t>Diccionario 9</t>
        </is>
      </c>
      <c r="FD9349" t="inlineStr">
        <is>
          <t>SA-B1389 / VGBS-15|</t>
        </is>
      </c>
      <c r="FL9349" s="26" t="inlineStr">
        <is>
          <t>B</t>
        </is>
      </c>
      <c r="FP9349" s="26" t="inlineStr">
        <is>
          <t>B</t>
        </is>
      </c>
    </row>
    <row r="9350">
      <c r="FC9350" t="inlineStr">
        <is>
          <t>Diccionario 9</t>
        </is>
      </c>
      <c r="FD9350" t="inlineStr">
        <is>
          <t>SA-B1390 / VGBV-29|</t>
        </is>
      </c>
      <c r="FL9350" s="26" t="inlineStr">
        <is>
          <t>B</t>
        </is>
      </c>
      <c r="FP9350" s="26" t="inlineStr">
        <is>
          <t>B</t>
        </is>
      </c>
    </row>
    <row r="9351">
      <c r="FC9351" t="inlineStr">
        <is>
          <t>Diccionario 9</t>
        </is>
      </c>
      <c r="FD9351" t="inlineStr">
        <is>
          <t>SA-B1391 / VGBV-35|</t>
        </is>
      </c>
      <c r="FL9351" s="26" t="inlineStr">
        <is>
          <t>B</t>
        </is>
      </c>
      <c r="FP9351" s="26" t="inlineStr">
        <is>
          <t>B</t>
        </is>
      </c>
    </row>
    <row r="9352">
      <c r="FC9352" t="inlineStr">
        <is>
          <t>Diccionario 9</t>
        </is>
      </c>
      <c r="FD9352" t="inlineStr">
        <is>
          <t>PA-B1392 / VGBV-36|</t>
        </is>
      </c>
      <c r="FL9352" s="26" t="inlineStr">
        <is>
          <t>B</t>
        </is>
      </c>
      <c r="FP9352" s="26" t="inlineStr">
        <is>
          <t>B</t>
        </is>
      </c>
    </row>
    <row r="9353">
      <c r="FC9353" t="inlineStr">
        <is>
          <t>Diccionario 9</t>
        </is>
      </c>
      <c r="FD9353" t="inlineStr">
        <is>
          <t>CER-B1393 / VGBV-41|</t>
        </is>
      </c>
      <c r="FL9353" s="26" t="inlineStr">
        <is>
          <t>B</t>
        </is>
      </c>
      <c r="FP9353" s="26" t="inlineStr">
        <is>
          <t>B</t>
        </is>
      </c>
    </row>
    <row r="9354">
      <c r="FC9354" t="inlineStr">
        <is>
          <t>Diccionario 9</t>
        </is>
      </c>
      <c r="FD9354" t="inlineStr">
        <is>
          <t>SA-B1394 / VGBV-51|</t>
        </is>
      </c>
      <c r="FL9354" s="26" t="inlineStr">
        <is>
          <t>B</t>
        </is>
      </c>
      <c r="FP9354" s="26" t="inlineStr">
        <is>
          <t>B</t>
        </is>
      </c>
    </row>
    <row r="9355">
      <c r="FC9355" t="inlineStr">
        <is>
          <t>Diccionario 9</t>
        </is>
      </c>
      <c r="FD9355" t="inlineStr">
        <is>
          <t>PA-B1395 / VGBV-55|</t>
        </is>
      </c>
      <c r="FL9355" s="26" t="inlineStr">
        <is>
          <t>B</t>
        </is>
      </c>
      <c r="FP9355" s="26" t="inlineStr">
        <is>
          <t>B</t>
        </is>
      </c>
    </row>
    <row r="9356">
      <c r="FC9356" t="inlineStr">
        <is>
          <t>Diccionario 9</t>
        </is>
      </c>
      <c r="FD9356" t="inlineStr">
        <is>
          <t>SA-B1396 / VGBV-69|</t>
        </is>
      </c>
      <c r="FL9356" s="26" t="inlineStr">
        <is>
          <t>B</t>
        </is>
      </c>
      <c r="FP9356" s="26" t="inlineStr">
        <is>
          <t>B</t>
        </is>
      </c>
    </row>
    <row r="9357">
      <c r="FC9357" t="inlineStr">
        <is>
          <t>Diccionario 9</t>
        </is>
      </c>
      <c r="FD9357" t="inlineStr">
        <is>
          <t>SA-B1397 / VGBV-79|</t>
        </is>
      </c>
      <c r="FL9357" s="26" t="inlineStr">
        <is>
          <t>B</t>
        </is>
      </c>
      <c r="FP9357" s="26" t="inlineStr">
        <is>
          <t>B</t>
        </is>
      </c>
    </row>
    <row r="9358">
      <c r="FC9358" t="inlineStr">
        <is>
          <t>Diccionario 9</t>
        </is>
      </c>
      <c r="FD9358" t="inlineStr">
        <is>
          <t>PA-B1398 / VGBV-99|</t>
        </is>
      </c>
      <c r="FL9358" s="26" t="inlineStr">
        <is>
          <t>B</t>
        </is>
      </c>
      <c r="FP9358" s="26" t="inlineStr">
        <is>
          <t>B</t>
        </is>
      </c>
    </row>
    <row r="9359">
      <c r="FC9359" t="inlineStr">
        <is>
          <t>Diccionario 9</t>
        </is>
      </c>
      <c r="FD9359" t="inlineStr">
        <is>
          <t>PA-B1399 / VGBW-19|</t>
        </is>
      </c>
      <c r="FL9359" s="26" t="inlineStr">
        <is>
          <t>B</t>
        </is>
      </c>
      <c r="FP9359" s="26" t="inlineStr">
        <is>
          <t>B</t>
        </is>
      </c>
    </row>
    <row r="9360">
      <c r="FC9360" t="inlineStr">
        <is>
          <t>Diccionario 9</t>
        </is>
      </c>
      <c r="FD9360" t="inlineStr">
        <is>
          <t>PA-B1400 / VGBW-29|</t>
        </is>
      </c>
      <c r="FL9360" s="26" t="inlineStr">
        <is>
          <t>B</t>
        </is>
      </c>
      <c r="FP9360" s="26" t="inlineStr">
        <is>
          <t>B</t>
        </is>
      </c>
    </row>
    <row r="9361">
      <c r="FC9361" t="inlineStr">
        <is>
          <t>Diccionario 9</t>
        </is>
      </c>
      <c r="FD9361" t="inlineStr">
        <is>
          <t>SA-B1401 / VGBW-39|</t>
        </is>
      </c>
      <c r="FL9361" s="26" t="inlineStr">
        <is>
          <t>B</t>
        </is>
      </c>
      <c r="FP9361" s="26" t="inlineStr">
        <is>
          <t>B</t>
        </is>
      </c>
    </row>
    <row r="9362">
      <c r="FC9362" t="inlineStr">
        <is>
          <t>Diccionario 9</t>
        </is>
      </c>
      <c r="FD9362" t="inlineStr">
        <is>
          <t>PA-B1402 / VGBW-48|</t>
        </is>
      </c>
      <c r="FL9362" s="26" t="inlineStr">
        <is>
          <t>B</t>
        </is>
      </c>
      <c r="FP9362" s="26" t="inlineStr">
        <is>
          <t>B</t>
        </is>
      </c>
    </row>
    <row r="9363">
      <c r="FC9363" t="inlineStr">
        <is>
          <t>Diccionario 9</t>
        </is>
      </c>
      <c r="FD9363" t="inlineStr">
        <is>
          <t>PA-B1403 / VGBW-58|</t>
        </is>
      </c>
      <c r="FL9363" s="26" t="inlineStr">
        <is>
          <t>B</t>
        </is>
      </c>
      <c r="FP9363" s="26" t="inlineStr">
        <is>
          <t>B</t>
        </is>
      </c>
    </row>
    <row r="9364">
      <c r="FC9364" t="inlineStr">
        <is>
          <t>Diccionario 9</t>
        </is>
      </c>
      <c r="FD9364" t="inlineStr">
        <is>
          <t>CER-B1404 / VGBW-68|</t>
        </is>
      </c>
      <c r="FL9364" s="26" t="inlineStr">
        <is>
          <t>B</t>
        </is>
      </c>
      <c r="FP9364" s="26" t="inlineStr">
        <is>
          <t>B</t>
        </is>
      </c>
    </row>
    <row r="9365">
      <c r="FC9365" t="inlineStr">
        <is>
          <t>Diccionario 9</t>
        </is>
      </c>
      <c r="FD9365" t="inlineStr">
        <is>
          <t>SA-B1405 / VGBW-98|</t>
        </is>
      </c>
      <c r="FL9365" s="26" t="inlineStr">
        <is>
          <t>B</t>
        </is>
      </c>
      <c r="FP9365" s="26" t="inlineStr">
        <is>
          <t>B</t>
        </is>
      </c>
    </row>
    <row r="9366">
      <c r="FC9366" t="inlineStr">
        <is>
          <t>Diccionario 9</t>
        </is>
      </c>
      <c r="FD9366" t="inlineStr">
        <is>
          <t>SA-B1406 / VGBW-99|</t>
        </is>
      </c>
      <c r="FL9366" s="26" t="inlineStr">
        <is>
          <t>B</t>
        </is>
      </c>
      <c r="FP9366" s="26" t="inlineStr">
        <is>
          <t>B</t>
        </is>
      </c>
    </row>
    <row r="9367">
      <c r="FC9367" t="inlineStr">
        <is>
          <t>Diccionario 9</t>
        </is>
      </c>
      <c r="FD9367" t="inlineStr">
        <is>
          <t>PA-B1407 / VGBX-29|</t>
        </is>
      </c>
      <c r="FL9367" s="26" t="inlineStr">
        <is>
          <t>B</t>
        </is>
      </c>
      <c r="FP9367" s="26" t="inlineStr">
        <is>
          <t>B</t>
        </is>
      </c>
    </row>
    <row r="9368">
      <c r="FC9368" t="inlineStr">
        <is>
          <t>Diccionario 9</t>
        </is>
      </c>
      <c r="FD9368" t="inlineStr">
        <is>
          <t>PA-B1408 / VGBX-48|</t>
        </is>
      </c>
      <c r="FL9368" s="26" t="inlineStr">
        <is>
          <t>B</t>
        </is>
      </c>
      <c r="FP9368" s="26" t="inlineStr">
        <is>
          <t>B</t>
        </is>
      </c>
    </row>
    <row r="9369">
      <c r="FC9369" t="inlineStr">
        <is>
          <t>Diccionario 9</t>
        </is>
      </c>
      <c r="FD9369" t="inlineStr">
        <is>
          <t>PA-B1409 / VGBX-49|</t>
        </is>
      </c>
      <c r="FL9369" s="26" t="inlineStr">
        <is>
          <t>B</t>
        </is>
      </c>
      <c r="FP9369" s="26" t="inlineStr">
        <is>
          <t>B</t>
        </is>
      </c>
    </row>
    <row r="9370">
      <c r="FC9370" t="inlineStr">
        <is>
          <t>Diccionario 9</t>
        </is>
      </c>
      <c r="FD9370" t="inlineStr">
        <is>
          <t>PA-B1410 / VGBX-58|</t>
        </is>
      </c>
      <c r="FL9370" s="26" t="inlineStr">
        <is>
          <t>B</t>
        </is>
      </c>
      <c r="FP9370" s="26" t="inlineStr">
        <is>
          <t>B</t>
        </is>
      </c>
    </row>
    <row r="9371">
      <c r="FC9371" t="inlineStr">
        <is>
          <t>Diccionario 9</t>
        </is>
      </c>
      <c r="FD9371" t="inlineStr">
        <is>
          <t>LL-B1411 / VGBX-59|</t>
        </is>
      </c>
      <c r="FL9371" s="26" t="inlineStr">
        <is>
          <t>B</t>
        </is>
      </c>
      <c r="FP9371" s="26" t="inlineStr">
        <is>
          <t>B</t>
        </is>
      </c>
    </row>
    <row r="9372">
      <c r="FC9372" t="inlineStr">
        <is>
          <t>Diccionario 9</t>
        </is>
      </c>
      <c r="FD9372" t="inlineStr">
        <is>
          <t>LL-B1412 / VGBX-78|</t>
        </is>
      </c>
      <c r="FL9372" s="26" t="inlineStr">
        <is>
          <t>B</t>
        </is>
      </c>
      <c r="FP9372" s="26" t="inlineStr">
        <is>
          <t>B</t>
        </is>
      </c>
    </row>
    <row r="9373">
      <c r="FC9373" t="inlineStr">
        <is>
          <t>Diccionario 9</t>
        </is>
      </c>
      <c r="FD9373" t="inlineStr">
        <is>
          <t>LL-B1413 / VGCB-39|</t>
        </is>
      </c>
      <c r="FL9373" s="26" t="inlineStr">
        <is>
          <t>B</t>
        </is>
      </c>
      <c r="FP9373" s="26" t="inlineStr">
        <is>
          <t>B</t>
        </is>
      </c>
    </row>
    <row r="9374">
      <c r="FC9374" t="inlineStr">
        <is>
          <t>Diccionario 9</t>
        </is>
      </c>
      <c r="FD9374" t="inlineStr">
        <is>
          <t>CER-B1414 / VGCB-59|</t>
        </is>
      </c>
      <c r="FL9374" s="26" t="inlineStr">
        <is>
          <t>B</t>
        </is>
      </c>
      <c r="FP9374" s="26" t="inlineStr">
        <is>
          <t>B</t>
        </is>
      </c>
    </row>
    <row r="9375">
      <c r="FC9375" t="inlineStr">
        <is>
          <t>Diccionario 9</t>
        </is>
      </c>
      <c r="FD9375" t="inlineStr">
        <is>
          <t>PA-B1415 / VGKX-42|</t>
        </is>
      </c>
      <c r="FL9375" s="26" t="inlineStr">
        <is>
          <t>B</t>
        </is>
      </c>
      <c r="FP9375" s="26" t="inlineStr">
        <is>
          <t>B</t>
        </is>
      </c>
    </row>
    <row r="9376">
      <c r="FC9376" t="inlineStr">
        <is>
          <t>Diccionario 9</t>
        </is>
      </c>
      <c r="FD9376" t="inlineStr">
        <is>
          <t>SA-B1416 / VGKX-52|</t>
        </is>
      </c>
      <c r="FL9376" s="26" t="inlineStr">
        <is>
          <t>B</t>
        </is>
      </c>
      <c r="FP9376" s="26" t="inlineStr">
        <is>
          <t>B</t>
        </is>
      </c>
    </row>
    <row r="9377">
      <c r="FC9377" t="inlineStr">
        <is>
          <t>Diccionario 9</t>
        </is>
      </c>
      <c r="FD9377" t="inlineStr">
        <is>
          <t>CER-B1417 / VGKX-62|</t>
        </is>
      </c>
      <c r="FL9377" s="26" t="inlineStr">
        <is>
          <t>B</t>
        </is>
      </c>
      <c r="FP9377" s="26" t="inlineStr">
        <is>
          <t>B</t>
        </is>
      </c>
    </row>
    <row r="9378">
      <c r="FC9378" t="inlineStr">
        <is>
          <t>Diccionario 9</t>
        </is>
      </c>
      <c r="FD9378" t="inlineStr">
        <is>
          <t>PA-B1418 / VGKX-82|</t>
        </is>
      </c>
      <c r="FL9378" s="26" t="inlineStr">
        <is>
          <t>B</t>
        </is>
      </c>
      <c r="FP9378" s="26" t="inlineStr">
        <is>
          <t>B</t>
        </is>
      </c>
    </row>
    <row r="9379">
      <c r="FC9379" t="inlineStr">
        <is>
          <t>Diccionario 9</t>
        </is>
      </c>
      <c r="FD9379" t="inlineStr">
        <is>
          <t>CER-B1419 / VGKY-12|</t>
        </is>
      </c>
      <c r="FL9379" s="26" t="inlineStr">
        <is>
          <t>B</t>
        </is>
      </c>
      <c r="FP9379" s="26" t="inlineStr">
        <is>
          <t>B</t>
        </is>
      </c>
    </row>
    <row r="9380">
      <c r="FC9380" t="inlineStr">
        <is>
          <t>Diccionario 9</t>
        </is>
      </c>
      <c r="FD9380" t="inlineStr">
        <is>
          <t>PA-B1420 / VGKY-22|</t>
        </is>
      </c>
      <c r="FL9380" s="26" t="inlineStr">
        <is>
          <t>B</t>
        </is>
      </c>
      <c r="FP9380" s="26" t="inlineStr">
        <is>
          <t>B</t>
        </is>
      </c>
    </row>
    <row r="9381">
      <c r="FC9381" t="inlineStr">
        <is>
          <t>Diccionario 9</t>
        </is>
      </c>
      <c r="FD9381" t="inlineStr">
        <is>
          <t>PA-B1421 / VGKY-42|</t>
        </is>
      </c>
      <c r="FL9381" s="26" t="inlineStr">
        <is>
          <t>B</t>
        </is>
      </c>
      <c r="FP9381" s="26" t="inlineStr">
        <is>
          <t>B</t>
        </is>
      </c>
    </row>
    <row r="9382">
      <c r="FC9382" t="inlineStr">
        <is>
          <t>Diccionario 9</t>
        </is>
      </c>
      <c r="FD9382" t="inlineStr">
        <is>
          <t>PA-B1422 / VGKY-72|</t>
        </is>
      </c>
      <c r="FL9382" s="26" t="inlineStr">
        <is>
          <t>B</t>
        </is>
      </c>
      <c r="FP9382" s="26" t="inlineStr">
        <is>
          <t>B</t>
        </is>
      </c>
    </row>
    <row r="9383">
      <c r="FC9383" t="inlineStr">
        <is>
          <t>Diccionario 9</t>
        </is>
      </c>
      <c r="FD9383" t="inlineStr">
        <is>
          <t>PA-B1423 / VGKY-82|</t>
        </is>
      </c>
      <c r="FL9383" s="26" t="inlineStr">
        <is>
          <t>B</t>
        </is>
      </c>
      <c r="FP9383" s="26" t="inlineStr">
        <is>
          <t>B</t>
        </is>
      </c>
    </row>
    <row r="9384">
      <c r="FC9384" t="inlineStr">
        <is>
          <t>Diccionario 9</t>
        </is>
      </c>
      <c r="FD9384" t="inlineStr">
        <is>
          <t>PA-B1424 / VGKZ-62|</t>
        </is>
      </c>
      <c r="FL9384" s="26" t="inlineStr">
        <is>
          <t>B</t>
        </is>
      </c>
      <c r="FP9384" s="26" t="inlineStr">
        <is>
          <t>B</t>
        </is>
      </c>
    </row>
    <row r="9385">
      <c r="FC9385" t="inlineStr">
        <is>
          <t>Diccionario 9</t>
        </is>
      </c>
      <c r="FD9385" t="inlineStr">
        <is>
          <t>PA-B1425 / VGKZ-82|</t>
        </is>
      </c>
      <c r="FL9385" s="26" t="inlineStr">
        <is>
          <t>B</t>
        </is>
      </c>
      <c r="FP9385" s="26" t="inlineStr">
        <is>
          <t>B</t>
        </is>
      </c>
    </row>
    <row r="9386">
      <c r="FC9386" t="inlineStr">
        <is>
          <t>Diccionario 9</t>
        </is>
      </c>
      <c r="FD9386" t="inlineStr">
        <is>
          <t>PA-B1426 / VGKZ-92|</t>
        </is>
      </c>
      <c r="FL9386" s="26" t="inlineStr">
        <is>
          <t>B</t>
        </is>
      </c>
      <c r="FP9386" s="26" t="inlineStr">
        <is>
          <t>B</t>
        </is>
      </c>
    </row>
    <row r="9387">
      <c r="FC9387" t="inlineStr">
        <is>
          <t>Diccionario 9</t>
        </is>
      </c>
      <c r="FD9387" t="inlineStr">
        <is>
          <t>RC-B1427 / FLXZ-95|</t>
        </is>
      </c>
      <c r="FL9387" s="26" t="inlineStr">
        <is>
          <t>B</t>
        </is>
      </c>
      <c r="FP9387" s="26" t="inlineStr">
        <is>
          <t>B</t>
        </is>
      </c>
    </row>
    <row r="9388">
      <c r="FC9388" t="inlineStr">
        <is>
          <t>Diccionario 9</t>
        </is>
      </c>
      <c r="FD9388" t="inlineStr">
        <is>
          <t>SR-BP1428 / GCBC-24|</t>
        </is>
      </c>
      <c r="FL9388" s="26" t="inlineStr">
        <is>
          <t>BPAL</t>
        </is>
      </c>
      <c r="FP9388" s="26" t="inlineStr">
        <is>
          <t>BPAL</t>
        </is>
      </c>
    </row>
    <row r="9389">
      <c r="FC9389" t="inlineStr">
        <is>
          <t>Diccionario 9</t>
        </is>
      </c>
      <c r="FD9389" t="inlineStr">
        <is>
          <t>RC-BP1429 / GCBC-25|</t>
        </is>
      </c>
      <c r="FL9389" s="26" t="inlineStr">
        <is>
          <t>BPAL</t>
        </is>
      </c>
      <c r="FP9389" s="26" t="inlineStr">
        <is>
          <t>BPAL</t>
        </is>
      </c>
    </row>
    <row r="9390">
      <c r="FC9390" t="inlineStr">
        <is>
          <t>Diccionario 9</t>
        </is>
      </c>
      <c r="FD9390" t="inlineStr">
        <is>
          <t>RC-BP1430 / GCBC-26|</t>
        </is>
      </c>
      <c r="FL9390" s="26" t="inlineStr">
        <is>
          <t>BPAL</t>
        </is>
      </c>
      <c r="FP9390" s="26" t="inlineStr">
        <is>
          <t>BPAL</t>
        </is>
      </c>
    </row>
    <row r="9391">
      <c r="FC9391" t="inlineStr">
        <is>
          <t>Diccionario 9</t>
        </is>
      </c>
      <c r="FD9391" t="inlineStr">
        <is>
          <t>RC-BP1431 / GCBC-27|</t>
        </is>
      </c>
      <c r="FL9391" s="26" t="inlineStr">
        <is>
          <t>BPAL</t>
        </is>
      </c>
      <c r="FP9391" s="26" t="inlineStr">
        <is>
          <t>BPAL</t>
        </is>
      </c>
    </row>
    <row r="9392">
      <c r="FC9392" t="inlineStr">
        <is>
          <t>Diccionario 9</t>
        </is>
      </c>
      <c r="FD9392" t="inlineStr">
        <is>
          <t>SR-BP1432 / GCBC-28|</t>
        </is>
      </c>
      <c r="FL9392" s="26" t="inlineStr">
        <is>
          <t>BPAL</t>
        </is>
      </c>
      <c r="FP9392" s="26" t="inlineStr">
        <is>
          <t>BPAL</t>
        </is>
      </c>
    </row>
    <row r="9393">
      <c r="FC9393" t="inlineStr">
        <is>
          <t>Diccionario 9</t>
        </is>
      </c>
      <c r="FD9393" t="inlineStr">
        <is>
          <t>SR-BP1433 / GCBC-29|</t>
        </is>
      </c>
      <c r="FL9393" s="26" t="inlineStr">
        <is>
          <t>BPAL</t>
        </is>
      </c>
      <c r="FP9393" s="26" t="inlineStr">
        <is>
          <t>BPAL</t>
        </is>
      </c>
    </row>
    <row r="9394">
      <c r="FC9394" t="inlineStr">
        <is>
          <t>Diccionario 9</t>
        </is>
      </c>
      <c r="FD9394" t="inlineStr">
        <is>
          <t>SR-BP1434 / GCBC-30|</t>
        </is>
      </c>
      <c r="FL9394" s="26" t="inlineStr">
        <is>
          <t>BPAL</t>
        </is>
      </c>
      <c r="FP9394" s="26" t="inlineStr">
        <is>
          <t>BPAL</t>
        </is>
      </c>
    </row>
    <row r="9395">
      <c r="FC9395" t="inlineStr">
        <is>
          <t>Diccionario 9</t>
        </is>
      </c>
      <c r="FD9395" t="inlineStr">
        <is>
          <t>SR-BP1435 / GCBC-31|</t>
        </is>
      </c>
      <c r="FL9395" s="26" t="inlineStr">
        <is>
          <t>BPAL</t>
        </is>
      </c>
      <c r="FP9395" s="26" t="inlineStr">
        <is>
          <t>BPAL</t>
        </is>
      </c>
    </row>
    <row r="9396">
      <c r="FC9396" t="inlineStr">
        <is>
          <t>Diccionario 9</t>
        </is>
      </c>
      <c r="FD9396" t="inlineStr">
        <is>
          <t>LL-BP1436 / GCBc-33|</t>
        </is>
      </c>
      <c r="FL9396" s="26" t="inlineStr">
        <is>
          <t>B2PAL</t>
        </is>
      </c>
      <c r="FP9396" s="26" t="inlineStr">
        <is>
          <t>B2PAL</t>
        </is>
      </c>
    </row>
    <row r="9397">
      <c r="FC9397" t="inlineStr">
        <is>
          <t>Diccionario 9</t>
        </is>
      </c>
      <c r="FD9397" t="inlineStr">
        <is>
          <t>RC-BP1437 / GCBC-33|</t>
        </is>
      </c>
      <c r="FL9397" s="26" t="inlineStr">
        <is>
          <t>B2PAL</t>
        </is>
      </c>
      <c r="FP9397" s="26" t="inlineStr">
        <is>
          <t>B2PAL</t>
        </is>
      </c>
    </row>
    <row r="9398">
      <c r="FC9398" t="inlineStr">
        <is>
          <t>Diccionario 9</t>
        </is>
      </c>
      <c r="FD9398" t="inlineStr">
        <is>
          <t>RC-BP1438 / GCBC-34|</t>
        </is>
      </c>
      <c r="FL9398" s="26" t="inlineStr">
        <is>
          <t>BPAL</t>
        </is>
      </c>
      <c r="FP9398" s="26" t="inlineStr">
        <is>
          <t>BPAL</t>
        </is>
      </c>
    </row>
    <row r="9399">
      <c r="FC9399" t="inlineStr">
        <is>
          <t>Diccionario 9</t>
        </is>
      </c>
      <c r="FD9399" t="inlineStr">
        <is>
          <t>RC-BP1439 / GCBC-35|</t>
        </is>
      </c>
      <c r="FL9399" s="26" t="inlineStr">
        <is>
          <t>BPAL</t>
        </is>
      </c>
      <c r="FP9399" s="26" t="inlineStr">
        <is>
          <t>BPAL</t>
        </is>
      </c>
    </row>
    <row r="9400">
      <c r="FC9400" t="inlineStr">
        <is>
          <t>Diccionario 9</t>
        </is>
      </c>
      <c r="FD9400" t="inlineStr">
        <is>
          <t>RC-C1440 / GCBF-43|</t>
        </is>
      </c>
      <c r="FL9400" s="26" t="inlineStr">
        <is>
          <t>C</t>
        </is>
      </c>
      <c r="FP9400" s="26" t="inlineStr">
        <is>
          <t>C</t>
        </is>
      </c>
    </row>
    <row r="9401">
      <c r="FC9401" t="inlineStr">
        <is>
          <t>Diccionario 9</t>
        </is>
      </c>
      <c r="FD9401" t="inlineStr">
        <is>
          <t>RC-C1441 / GCBF-44|</t>
        </is>
      </c>
      <c r="FL9401" s="26" t="inlineStr">
        <is>
          <t>C</t>
        </is>
      </c>
      <c r="FP9401" s="26" t="inlineStr">
        <is>
          <t>C</t>
        </is>
      </c>
    </row>
    <row r="9402">
      <c r="FC9402" t="inlineStr">
        <is>
          <t>Diccionario 9</t>
        </is>
      </c>
      <c r="FD9402" t="inlineStr">
        <is>
          <t>LB-C1442 / GCBF-45|</t>
        </is>
      </c>
      <c r="FL9402" s="26" t="inlineStr">
        <is>
          <t>C</t>
        </is>
      </c>
      <c r="FP9402" s="26" t="inlineStr">
        <is>
          <t>C</t>
        </is>
      </c>
    </row>
    <row r="9403">
      <c r="FC9403" t="inlineStr">
        <is>
          <t>Diccionario 9</t>
        </is>
      </c>
      <c r="FD9403" t="inlineStr">
        <is>
          <t>RC-C1443 / GCBF-46|</t>
        </is>
      </c>
      <c r="FL9403" s="26" t="inlineStr">
        <is>
          <t>C</t>
        </is>
      </c>
      <c r="FP9403" s="26" t="inlineStr">
        <is>
          <t>C</t>
        </is>
      </c>
    </row>
    <row r="9404">
      <c r="FC9404" t="inlineStr">
        <is>
          <t>Diccionario 9</t>
        </is>
      </c>
      <c r="FD9404" t="inlineStr">
        <is>
          <t>RC-C1444 / GCBF-47|</t>
        </is>
      </c>
      <c r="FL9404" s="26" t="inlineStr">
        <is>
          <t>C</t>
        </is>
      </c>
      <c r="FP9404" s="26" t="inlineStr">
        <is>
          <t>C</t>
        </is>
      </c>
    </row>
    <row r="9405">
      <c r="FC9405" t="inlineStr">
        <is>
          <t>Diccionario 9</t>
        </is>
      </c>
      <c r="FD9405" t="inlineStr">
        <is>
          <t>RC-C1445 / GCBF-48|</t>
        </is>
      </c>
      <c r="FL9405" s="26" t="inlineStr">
        <is>
          <t>C</t>
        </is>
      </c>
      <c r="FP9405" s="26" t="inlineStr">
        <is>
          <t>C</t>
        </is>
      </c>
    </row>
    <row r="9406">
      <c r="FC9406" t="inlineStr">
        <is>
          <t>Diccionario 9</t>
        </is>
      </c>
      <c r="FD9406" t="inlineStr">
        <is>
          <t>RC-C1446 / GCBF-49|</t>
        </is>
      </c>
      <c r="FL9406" s="26" t="inlineStr">
        <is>
          <t>C</t>
        </is>
      </c>
      <c r="FP9406" s="26" t="inlineStr">
        <is>
          <t>C</t>
        </is>
      </c>
    </row>
    <row r="9407">
      <c r="FC9407" t="inlineStr">
        <is>
          <t>Diccionario 9</t>
        </is>
      </c>
      <c r="FD9407" t="inlineStr">
        <is>
          <t>RC-C1447 / GCBF-50|</t>
        </is>
      </c>
      <c r="FL9407" s="26" t="inlineStr">
        <is>
          <t>C</t>
        </is>
      </c>
      <c r="FP9407" s="26" t="inlineStr">
        <is>
          <t>C</t>
        </is>
      </c>
    </row>
    <row r="9408">
      <c r="FC9408" t="inlineStr">
        <is>
          <t>Diccionario 9</t>
        </is>
      </c>
      <c r="FD9408" t="inlineStr">
        <is>
          <t>RC-C1448 / GCBF-51|</t>
        </is>
      </c>
      <c r="FL9408" s="26" t="inlineStr">
        <is>
          <t>C</t>
        </is>
      </c>
      <c r="FP9408" s="26" t="inlineStr">
        <is>
          <t>C</t>
        </is>
      </c>
    </row>
    <row r="9409">
      <c r="FC9409" t="inlineStr">
        <is>
          <t>Diccionario 9</t>
        </is>
      </c>
      <c r="FD9409" t="inlineStr">
        <is>
          <t>RC-C1449 / GCBF-52|</t>
        </is>
      </c>
      <c r="FL9409" s="26" t="inlineStr">
        <is>
          <t>C</t>
        </is>
      </c>
      <c r="FP9409" s="26" t="inlineStr">
        <is>
          <t>C</t>
        </is>
      </c>
    </row>
    <row r="9410">
      <c r="FC9410" t="inlineStr">
        <is>
          <t>Diccionario 9</t>
        </is>
      </c>
      <c r="FD9410" t="inlineStr">
        <is>
          <t>RC-C1450 / GCBF-53|</t>
        </is>
      </c>
      <c r="FL9410" s="26" t="inlineStr">
        <is>
          <t>C</t>
        </is>
      </c>
      <c r="FP9410" s="26" t="inlineStr">
        <is>
          <t>C</t>
        </is>
      </c>
    </row>
    <row r="9411">
      <c r="FC9411" t="inlineStr">
        <is>
          <t>Diccionario 9</t>
        </is>
      </c>
      <c r="FD9411" t="inlineStr">
        <is>
          <t>RC-C1451 / LXWT-82|</t>
        </is>
      </c>
      <c r="FL9411" s="26" t="inlineStr">
        <is>
          <t>C</t>
        </is>
      </c>
      <c r="FP9411" s="26" t="inlineStr">
        <is>
          <t>C</t>
        </is>
      </c>
    </row>
    <row r="9412">
      <c r="FC9412" t="inlineStr">
        <is>
          <t>Diccionario 9</t>
        </is>
      </c>
      <c r="FD9412" t="inlineStr">
        <is>
          <t>RC-C1452 / LXWT-83|</t>
        </is>
      </c>
      <c r="FL9412" s="26" t="inlineStr">
        <is>
          <t>C</t>
        </is>
      </c>
      <c r="FP9412" s="26" t="inlineStr">
        <is>
          <t>C</t>
        </is>
      </c>
    </row>
    <row r="9413">
      <c r="FC9413" t="inlineStr">
        <is>
          <t>Diccionario 9</t>
        </is>
      </c>
      <c r="FD9413" t="inlineStr">
        <is>
          <t>LB-C1453 / LXWT-84|</t>
        </is>
      </c>
      <c r="FL9413" s="26" t="inlineStr">
        <is>
          <t>C</t>
        </is>
      </c>
      <c r="FP9413" s="26" t="inlineStr">
        <is>
          <t>C</t>
        </is>
      </c>
    </row>
    <row r="9414">
      <c r="FC9414" t="inlineStr">
        <is>
          <t>Diccionario 9</t>
        </is>
      </c>
      <c r="FD9414" t="inlineStr">
        <is>
          <t>RC-C1454 / LXWT-85|</t>
        </is>
      </c>
      <c r="FL9414" s="26" t="inlineStr">
        <is>
          <t>C</t>
        </is>
      </c>
      <c r="FP9414" s="26" t="inlineStr">
        <is>
          <t>C</t>
        </is>
      </c>
    </row>
    <row r="9415">
      <c r="FC9415" t="inlineStr">
        <is>
          <t>Diccionario 9</t>
        </is>
      </c>
      <c r="FD9415" t="inlineStr">
        <is>
          <t>RC-C1455 / LXWT-86|</t>
        </is>
      </c>
      <c r="FL9415" s="26" t="inlineStr">
        <is>
          <t>C</t>
        </is>
      </c>
      <c r="FP9415" s="26" t="inlineStr">
        <is>
          <t>C</t>
        </is>
      </c>
    </row>
    <row r="9416">
      <c r="FC9416" t="inlineStr">
        <is>
          <t>Diccionario 9</t>
        </is>
      </c>
      <c r="FD9416" t="inlineStr">
        <is>
          <t>RC-C1456 / LXWT-87|</t>
        </is>
      </c>
      <c r="FL9416" s="26" t="inlineStr">
        <is>
          <t>C</t>
        </is>
      </c>
      <c r="FP9416" s="26" t="inlineStr">
        <is>
          <t>C</t>
        </is>
      </c>
    </row>
    <row r="9417">
      <c r="FC9417" t="inlineStr">
        <is>
          <t>Diccionario 9</t>
        </is>
      </c>
      <c r="FD9417" t="inlineStr">
        <is>
          <t>RC-C1457 / LXWT-88|</t>
        </is>
      </c>
      <c r="FL9417" s="26" t="inlineStr">
        <is>
          <t>C</t>
        </is>
      </c>
      <c r="FP9417" s="26" t="inlineStr">
        <is>
          <t>C</t>
        </is>
      </c>
    </row>
    <row r="9418">
      <c r="FC9418" t="inlineStr">
        <is>
          <t>Diccionario 9</t>
        </is>
      </c>
      <c r="FD9418" t="inlineStr">
        <is>
          <t>LB-C1458 / LXWT-89|</t>
        </is>
      </c>
      <c r="FL9418" s="26" t="inlineStr">
        <is>
          <t>C</t>
        </is>
      </c>
      <c r="FP9418" s="26" t="inlineStr">
        <is>
          <t>C</t>
        </is>
      </c>
    </row>
    <row r="9419">
      <c r="FC9419" t="inlineStr">
        <is>
          <t>Diccionario 9</t>
        </is>
      </c>
      <c r="FD9419" t="inlineStr">
        <is>
          <t>LB-C1459 / LXWT-90|</t>
        </is>
      </c>
      <c r="FL9419" s="26" t="inlineStr">
        <is>
          <t>C</t>
        </is>
      </c>
      <c r="FP9419" s="26" t="inlineStr">
        <is>
          <t>C</t>
        </is>
      </c>
    </row>
    <row r="9420">
      <c r="FC9420" t="inlineStr">
        <is>
          <t>Diccionario 9</t>
        </is>
      </c>
      <c r="FD9420" t="inlineStr">
        <is>
          <t>RC-C1460 / LXWT-91|</t>
        </is>
      </c>
      <c r="FL9420" s="26" t="inlineStr">
        <is>
          <t>C</t>
        </is>
      </c>
      <c r="FP9420" s="26" t="inlineStr">
        <is>
          <t>C</t>
        </is>
      </c>
    </row>
    <row r="9421">
      <c r="FC9421" t="inlineStr">
        <is>
          <t>Diccionario 9</t>
        </is>
      </c>
      <c r="FD9421" t="inlineStr">
        <is>
          <t>LB-C1461 / LXWT-92|</t>
        </is>
      </c>
      <c r="FL9421" s="26" t="inlineStr">
        <is>
          <t>C</t>
        </is>
      </c>
      <c r="FP9421" s="26" t="inlineStr">
        <is>
          <t>C</t>
        </is>
      </c>
    </row>
    <row r="9422">
      <c r="FC9422" t="inlineStr">
        <is>
          <t>Diccionario 9</t>
        </is>
      </c>
      <c r="FD9422" t="inlineStr">
        <is>
          <t>LB-C1462 / LXWT-93|</t>
        </is>
      </c>
      <c r="FL9422" s="26" t="inlineStr">
        <is>
          <t>C</t>
        </is>
      </c>
      <c r="FP9422" s="26" t="inlineStr">
        <is>
          <t>C</t>
        </is>
      </c>
    </row>
    <row r="9423">
      <c r="FC9423" t="inlineStr">
        <is>
          <t>Diccionario 9</t>
        </is>
      </c>
      <c r="FD9423" t="inlineStr">
        <is>
          <t>LB-C1463 / LXWT-94|</t>
        </is>
      </c>
      <c r="FL9423" s="26" t="inlineStr">
        <is>
          <t>C</t>
        </is>
      </c>
      <c r="FP9423" s="26" t="inlineStr">
        <is>
          <t>C</t>
        </is>
      </c>
    </row>
    <row r="9424">
      <c r="FC9424" t="inlineStr">
        <is>
          <t>Diccionario 9</t>
        </is>
      </c>
      <c r="FD9424" t="inlineStr">
        <is>
          <t>LB-C1464 / LXWT-95|</t>
        </is>
      </c>
      <c r="FL9424" s="26" t="inlineStr">
        <is>
          <t>C</t>
        </is>
      </c>
      <c r="FP9424" s="26" t="inlineStr">
        <is>
          <t>C</t>
        </is>
      </c>
    </row>
    <row r="9425">
      <c r="FC9425" t="inlineStr">
        <is>
          <t>Diccionario 9</t>
        </is>
      </c>
      <c r="FD9425" t="inlineStr">
        <is>
          <t>LB-C1465 / LXWT-96|</t>
        </is>
      </c>
      <c r="FL9425" s="26" t="inlineStr">
        <is>
          <t>C</t>
        </is>
      </c>
      <c r="FP9425" s="26" t="inlineStr">
        <is>
          <t>C</t>
        </is>
      </c>
    </row>
    <row r="9426">
      <c r="FC9426" t="inlineStr">
        <is>
          <t>Diccionario 9</t>
        </is>
      </c>
      <c r="FD9426" t="inlineStr">
        <is>
          <t>LB-C1466 / LXWT-97|</t>
        </is>
      </c>
      <c r="FL9426" s="26" t="inlineStr">
        <is>
          <t>C</t>
        </is>
      </c>
      <c r="FP9426" s="26" t="inlineStr">
        <is>
          <t>C</t>
        </is>
      </c>
    </row>
    <row r="9427">
      <c r="FC9427" t="inlineStr">
        <is>
          <t>Diccionario 9</t>
        </is>
      </c>
      <c r="FD9427" t="inlineStr">
        <is>
          <t>LB-C1467 / LXWT-98|</t>
        </is>
      </c>
      <c r="FL9427" s="26" t="inlineStr">
        <is>
          <t>C</t>
        </is>
      </c>
      <c r="FP9427" s="26" t="inlineStr">
        <is>
          <t>C</t>
        </is>
      </c>
    </row>
    <row r="9428">
      <c r="FC9428" t="inlineStr">
        <is>
          <t>Diccionario 9</t>
        </is>
      </c>
      <c r="FD9428" t="inlineStr">
        <is>
          <t>LB-C1468 / LXWT-99|</t>
        </is>
      </c>
      <c r="FL9428" s="26" t="inlineStr">
        <is>
          <t>C</t>
        </is>
      </c>
      <c r="FP9428" s="26" t="inlineStr">
        <is>
          <t>C</t>
        </is>
      </c>
    </row>
    <row r="9429">
      <c r="FC9429" t="inlineStr">
        <is>
          <t>Diccionario 9</t>
        </is>
      </c>
      <c r="FD9429" t="inlineStr">
        <is>
          <t>LB-C1469 / LZPG-10|</t>
        </is>
      </c>
      <c r="FL9429" s="26" t="inlineStr">
        <is>
          <t>C</t>
        </is>
      </c>
      <c r="FP9429" s="26" t="inlineStr">
        <is>
          <t>C</t>
        </is>
      </c>
    </row>
    <row r="9430">
      <c r="FC9430" t="inlineStr">
        <is>
          <t>Diccionario 9</t>
        </is>
      </c>
      <c r="FD9430" t="inlineStr">
        <is>
          <t>LB-C1470 / LZPG-11|</t>
        </is>
      </c>
      <c r="FL9430" s="26" t="inlineStr">
        <is>
          <t>C</t>
        </is>
      </c>
      <c r="FP9430" s="26" t="inlineStr">
        <is>
          <t>C</t>
        </is>
      </c>
    </row>
    <row r="9431">
      <c r="FC9431" t="inlineStr">
        <is>
          <t>Diccionario 9</t>
        </is>
      </c>
      <c r="FD9431" t="inlineStr">
        <is>
          <t>LB-C1471 / LZPG-12|</t>
        </is>
      </c>
      <c r="FL9431" s="26" t="inlineStr">
        <is>
          <t>C</t>
        </is>
      </c>
      <c r="FP9431" s="26" t="inlineStr">
        <is>
          <t>C</t>
        </is>
      </c>
    </row>
    <row r="9432">
      <c r="FC9432" t="inlineStr">
        <is>
          <t>Diccionario 9</t>
        </is>
      </c>
      <c r="FD9432" t="inlineStr">
        <is>
          <t>LB-C1472 / LZPG-13|</t>
        </is>
      </c>
      <c r="FL9432" s="26" t="inlineStr">
        <is>
          <t>C</t>
        </is>
      </c>
      <c r="FP9432" s="26" t="inlineStr">
        <is>
          <t>C</t>
        </is>
      </c>
    </row>
    <row r="9433">
      <c r="FC9433" t="inlineStr">
        <is>
          <t>Diccionario 9</t>
        </is>
      </c>
      <c r="FD9433" t="inlineStr">
        <is>
          <t>LB-C1473 / LZPG-14|</t>
        </is>
      </c>
      <c r="FL9433" s="26" t="inlineStr">
        <is>
          <t>C</t>
        </is>
      </c>
      <c r="FP9433" s="26" t="inlineStr">
        <is>
          <t>C</t>
        </is>
      </c>
    </row>
    <row r="9434">
      <c r="FC9434" t="inlineStr">
        <is>
          <t>Diccionario 9</t>
        </is>
      </c>
      <c r="FD9434" t="inlineStr">
        <is>
          <t>RC-C1474 / LZPG-15|</t>
        </is>
      </c>
      <c r="FL9434" s="26" t="inlineStr">
        <is>
          <t>C</t>
        </is>
      </c>
      <c r="FP9434" s="26" t="inlineStr">
        <is>
          <t>C</t>
        </is>
      </c>
    </row>
    <row r="9435">
      <c r="FC9435" t="inlineStr">
        <is>
          <t>Diccionario 9</t>
        </is>
      </c>
      <c r="FD9435" t="inlineStr">
        <is>
          <t>RC-C1475 / LZPG-16|</t>
        </is>
      </c>
      <c r="FL9435" s="26" t="inlineStr">
        <is>
          <t>C</t>
        </is>
      </c>
      <c r="FP9435" s="26" t="inlineStr">
        <is>
          <t>C</t>
        </is>
      </c>
    </row>
    <row r="9436">
      <c r="FC9436" t="inlineStr">
        <is>
          <t>Diccionario 9</t>
        </is>
      </c>
      <c r="FD9436" t="inlineStr">
        <is>
          <t>LB-C1476 / LZPG-17|</t>
        </is>
      </c>
      <c r="FL9436" s="26" t="inlineStr">
        <is>
          <t>C</t>
        </is>
      </c>
      <c r="FP9436" s="26" t="inlineStr">
        <is>
          <t>C</t>
        </is>
      </c>
    </row>
    <row r="9437">
      <c r="FC9437" t="inlineStr">
        <is>
          <t>Diccionario 9</t>
        </is>
      </c>
      <c r="FD9437" t="inlineStr">
        <is>
          <t>LB-C1477 / LZPG-18|</t>
        </is>
      </c>
      <c r="FL9437" s="26" t="inlineStr">
        <is>
          <t>C</t>
        </is>
      </c>
      <c r="FP9437" s="26" t="inlineStr">
        <is>
          <t>C</t>
        </is>
      </c>
    </row>
    <row r="9438">
      <c r="FC9438" t="inlineStr">
        <is>
          <t>Diccionario 9</t>
        </is>
      </c>
      <c r="FD9438" t="inlineStr">
        <is>
          <t>LB-C1478 / LZPG-19|</t>
        </is>
      </c>
      <c r="FL9438" s="26" t="inlineStr">
        <is>
          <t>C</t>
        </is>
      </c>
      <c r="FP9438" s="26" t="inlineStr">
        <is>
          <t>C</t>
        </is>
      </c>
    </row>
    <row r="9439">
      <c r="FC9439" t="inlineStr">
        <is>
          <t>Diccionario 9</t>
        </is>
      </c>
      <c r="FD9439" t="inlineStr">
        <is>
          <t>LB-C1479 / LZPG-20|</t>
        </is>
      </c>
      <c r="FL9439" s="26" t="inlineStr">
        <is>
          <t>C</t>
        </is>
      </c>
      <c r="FP9439" s="26" t="inlineStr">
        <is>
          <t>C</t>
        </is>
      </c>
    </row>
    <row r="9440">
      <c r="FC9440" t="inlineStr">
        <is>
          <t>Diccionario 9</t>
        </is>
      </c>
      <c r="FD9440" t="inlineStr">
        <is>
          <t>LB-C1480 / LZPG-21|</t>
        </is>
      </c>
      <c r="FL9440" s="26" t="inlineStr">
        <is>
          <t>C</t>
        </is>
      </c>
      <c r="FP9440" s="26" t="inlineStr">
        <is>
          <t>C</t>
        </is>
      </c>
    </row>
    <row r="9441">
      <c r="FC9441" t="inlineStr">
        <is>
          <t>Diccionario 9</t>
        </is>
      </c>
      <c r="FD9441" t="inlineStr">
        <is>
          <t>LB-C1481 / LZPG-22|</t>
        </is>
      </c>
      <c r="FL9441" s="26" t="inlineStr">
        <is>
          <t>C</t>
        </is>
      </c>
      <c r="FP9441" s="26" t="inlineStr">
        <is>
          <t>C</t>
        </is>
      </c>
    </row>
    <row r="9442">
      <c r="FC9442" t="inlineStr">
        <is>
          <t>Diccionario 9</t>
        </is>
      </c>
      <c r="FD9442" t="inlineStr">
        <is>
          <t>RC-C1482 / LZPG-23|</t>
        </is>
      </c>
      <c r="FL9442" s="26" t="inlineStr">
        <is>
          <t>C</t>
        </is>
      </c>
      <c r="FP9442" s="26" t="inlineStr">
        <is>
          <t>C</t>
        </is>
      </c>
    </row>
    <row r="9443">
      <c r="FC9443" t="inlineStr">
        <is>
          <t>Diccionario 9</t>
        </is>
      </c>
      <c r="FD9443" t="inlineStr">
        <is>
          <t>LB-C1483 / LZPG-24|</t>
        </is>
      </c>
      <c r="FL9443" s="26" t="inlineStr">
        <is>
          <t>C</t>
        </is>
      </c>
      <c r="FP9443" s="26" t="inlineStr">
        <is>
          <t>C</t>
        </is>
      </c>
    </row>
    <row r="9444">
      <c r="FC9444" t="inlineStr">
        <is>
          <t>Diccionario 9</t>
        </is>
      </c>
      <c r="FD9444" t="inlineStr">
        <is>
          <t>LB-C1484 / LZPG-25|</t>
        </is>
      </c>
      <c r="FL9444" s="26" t="inlineStr">
        <is>
          <t>C</t>
        </is>
      </c>
      <c r="FP9444" s="26" t="inlineStr">
        <is>
          <t>C</t>
        </is>
      </c>
    </row>
    <row r="9445">
      <c r="FC9445" t="inlineStr">
        <is>
          <t>Diccionario 9</t>
        </is>
      </c>
      <c r="FD9445" t="inlineStr">
        <is>
          <t>LB-C1485 / LZPG-26|</t>
        </is>
      </c>
      <c r="FL9445" s="26" t="inlineStr">
        <is>
          <t>C</t>
        </is>
      </c>
      <c r="FP9445" s="26" t="inlineStr">
        <is>
          <t>C</t>
        </is>
      </c>
    </row>
    <row r="9446">
      <c r="FC9446" t="inlineStr">
        <is>
          <t>Diccionario 9</t>
        </is>
      </c>
      <c r="FD9446" t="inlineStr">
        <is>
          <t>LB-C1486 / LZPG-27|</t>
        </is>
      </c>
      <c r="FL9446" s="26" t="inlineStr">
        <is>
          <t>C</t>
        </is>
      </c>
      <c r="FP9446" s="26" t="inlineStr">
        <is>
          <t>C</t>
        </is>
      </c>
    </row>
    <row r="9447">
      <c r="FC9447" t="inlineStr">
        <is>
          <t>Diccionario 9</t>
        </is>
      </c>
      <c r="FD9447" t="inlineStr">
        <is>
          <t>RC-C1487 / LZPR-78|</t>
        </is>
      </c>
      <c r="FL9447" s="26" t="inlineStr">
        <is>
          <t>C</t>
        </is>
      </c>
      <c r="FP9447" s="26" t="inlineStr">
        <is>
          <t>C</t>
        </is>
      </c>
    </row>
    <row r="9448">
      <c r="FC9448" t="inlineStr">
        <is>
          <t>Diccionario 9</t>
        </is>
      </c>
      <c r="FD9448" t="inlineStr">
        <is>
          <t>RC-C1488 / LZPR-79|</t>
        </is>
      </c>
      <c r="FL9448" s="26" t="inlineStr">
        <is>
          <t>C</t>
        </is>
      </c>
      <c r="FP9448" s="26" t="inlineStr">
        <is>
          <t>C</t>
        </is>
      </c>
    </row>
    <row r="9449">
      <c r="FC9449" t="inlineStr">
        <is>
          <t>Diccionario 9</t>
        </is>
      </c>
      <c r="FD9449" t="inlineStr">
        <is>
          <t>RC-C1489 / LZPR-80|</t>
        </is>
      </c>
      <c r="FL9449" s="26" t="inlineStr">
        <is>
          <t>C</t>
        </is>
      </c>
      <c r="FP9449" s="26" t="inlineStr">
        <is>
          <t>C</t>
        </is>
      </c>
    </row>
    <row r="9450">
      <c r="FC9450" t="inlineStr">
        <is>
          <t>Diccionario 9</t>
        </is>
      </c>
      <c r="FD9450" t="inlineStr">
        <is>
          <t>RC-C1490 / LZPR-81|</t>
        </is>
      </c>
      <c r="FL9450" s="26" t="inlineStr">
        <is>
          <t>C</t>
        </is>
      </c>
      <c r="FP9450" s="26" t="inlineStr">
        <is>
          <t>C</t>
        </is>
      </c>
    </row>
    <row r="9451">
      <c r="FC9451" t="inlineStr">
        <is>
          <t>Diccionario 9</t>
        </is>
      </c>
      <c r="FD9451" t="inlineStr">
        <is>
          <t>RC-C1491 / LZPR-82|</t>
        </is>
      </c>
      <c r="FL9451" s="26" t="inlineStr">
        <is>
          <t>C</t>
        </is>
      </c>
      <c r="FP9451" s="26" t="inlineStr">
        <is>
          <t>C</t>
        </is>
      </c>
    </row>
    <row r="9452">
      <c r="FC9452" t="inlineStr">
        <is>
          <t>Diccionario 9</t>
        </is>
      </c>
      <c r="FD9452" t="inlineStr">
        <is>
          <t>RC-C1492 / LZPR-83|</t>
        </is>
      </c>
      <c r="FL9452" s="26" t="inlineStr">
        <is>
          <t>C</t>
        </is>
      </c>
      <c r="FP9452" s="26" t="inlineStr">
        <is>
          <t>C</t>
        </is>
      </c>
    </row>
    <row r="9453">
      <c r="FC9453" t="inlineStr">
        <is>
          <t>Diccionario 9</t>
        </is>
      </c>
      <c r="FD9453" t="inlineStr">
        <is>
          <t>RC-C1493 / LZPR-84|</t>
        </is>
      </c>
      <c r="FL9453" s="26" t="inlineStr">
        <is>
          <t>C</t>
        </is>
      </c>
      <c r="FP9453" s="26" t="inlineStr">
        <is>
          <t>C</t>
        </is>
      </c>
    </row>
    <row r="9454">
      <c r="FC9454" t="inlineStr">
        <is>
          <t>Diccionario 9</t>
        </is>
      </c>
      <c r="FD9454" t="inlineStr">
        <is>
          <t>RC-C1494 / LZPR-85|</t>
        </is>
      </c>
      <c r="FL9454" s="26" t="inlineStr">
        <is>
          <t>C</t>
        </is>
      </c>
      <c r="FP9454" s="26" t="inlineStr">
        <is>
          <t>C</t>
        </is>
      </c>
    </row>
    <row r="9455">
      <c r="FC9455" t="inlineStr">
        <is>
          <t>Diccionario 9</t>
        </is>
      </c>
      <c r="FD9455" t="inlineStr">
        <is>
          <t>RC-C1495 / LZPR-86|</t>
        </is>
      </c>
      <c r="FL9455" s="26" t="inlineStr">
        <is>
          <t>C</t>
        </is>
      </c>
      <c r="FP9455" s="26" t="inlineStr">
        <is>
          <t>C</t>
        </is>
      </c>
    </row>
    <row r="9456">
      <c r="FC9456" t="inlineStr">
        <is>
          <t>Diccionario 9</t>
        </is>
      </c>
      <c r="FD9456" t="inlineStr">
        <is>
          <t>RC-C1496 / LZPR-87|</t>
        </is>
      </c>
      <c r="FL9456" s="26" t="inlineStr">
        <is>
          <t>C</t>
        </is>
      </c>
      <c r="FP9456" s="26" t="inlineStr">
        <is>
          <t>C</t>
        </is>
      </c>
    </row>
    <row r="9457">
      <c r="FC9457" t="inlineStr">
        <is>
          <t>Diccionario 9</t>
        </is>
      </c>
      <c r="FD9457" t="inlineStr">
        <is>
          <t>RC-C1497 / LZPR-88|</t>
        </is>
      </c>
      <c r="FL9457" s="26" t="inlineStr">
        <is>
          <t>C</t>
        </is>
      </c>
      <c r="FP9457" s="26" t="inlineStr">
        <is>
          <t>C</t>
        </is>
      </c>
    </row>
    <row r="9458">
      <c r="FC9458" t="inlineStr">
        <is>
          <t>Diccionario 9</t>
        </is>
      </c>
      <c r="FD9458" t="inlineStr">
        <is>
          <t>RC-C1498 / LZPR-89|</t>
        </is>
      </c>
      <c r="FL9458" s="26" t="inlineStr">
        <is>
          <t>C</t>
        </is>
      </c>
      <c r="FP9458" s="26" t="inlineStr">
        <is>
          <t>C</t>
        </is>
      </c>
    </row>
    <row r="9459">
      <c r="FC9459" t="inlineStr">
        <is>
          <t>Diccionario 9</t>
        </is>
      </c>
      <c r="FD9459" t="inlineStr">
        <is>
          <t>RC-C1499 / LZPR-90|</t>
        </is>
      </c>
      <c r="FL9459" s="26" t="inlineStr">
        <is>
          <t>C</t>
        </is>
      </c>
      <c r="FP9459" s="26" t="inlineStr">
        <is>
          <t>C</t>
        </is>
      </c>
    </row>
    <row r="9460">
      <c r="FC9460" t="inlineStr">
        <is>
          <t>Diccionario 9</t>
        </is>
      </c>
      <c r="FD9460" t="inlineStr">
        <is>
          <t>RC-C1500 / LZPR-92|</t>
        </is>
      </c>
      <c r="FL9460" s="26" t="inlineStr">
        <is>
          <t>C</t>
        </is>
      </c>
      <c r="FP9460" s="26" t="inlineStr">
        <is>
          <t>C</t>
        </is>
      </c>
    </row>
    <row r="9461">
      <c r="FC9461" t="inlineStr">
        <is>
          <t>Diccionario 9</t>
        </is>
      </c>
      <c r="FD9461" t="inlineStr">
        <is>
          <t>RC-C1501 / LZPR-93|</t>
        </is>
      </c>
      <c r="FL9461" s="26" t="inlineStr">
        <is>
          <t>C</t>
        </is>
      </c>
      <c r="FP9461" s="26" t="inlineStr">
        <is>
          <t>C</t>
        </is>
      </c>
    </row>
    <row r="9462">
      <c r="FC9462" t="inlineStr">
        <is>
          <t>Diccionario 9</t>
        </is>
      </c>
      <c r="FD9462" t="inlineStr">
        <is>
          <t>RC-C1502 / LZPR-94|</t>
        </is>
      </c>
      <c r="FL9462" s="26" t="inlineStr">
        <is>
          <t>C</t>
        </is>
      </c>
      <c r="FP9462" s="26" t="inlineStr">
        <is>
          <t>C</t>
        </is>
      </c>
    </row>
    <row r="9463">
      <c r="FC9463" t="inlineStr">
        <is>
          <t>Diccionario 9</t>
        </is>
      </c>
      <c r="FD9463" t="inlineStr">
        <is>
          <t>RC-C1503 / LZPR-95|</t>
        </is>
      </c>
      <c r="FL9463" s="26" t="inlineStr">
        <is>
          <t>C</t>
        </is>
      </c>
      <c r="FP9463" s="26" t="inlineStr">
        <is>
          <t>C</t>
        </is>
      </c>
    </row>
    <row r="9464">
      <c r="FC9464" t="inlineStr">
        <is>
          <t>Diccionario 9</t>
        </is>
      </c>
      <c r="FD9464" t="inlineStr">
        <is>
          <t>RC-C1504 / LZPR-96|</t>
        </is>
      </c>
      <c r="FL9464" s="26" t="inlineStr">
        <is>
          <t>C</t>
        </is>
      </c>
      <c r="FP9464" s="26" t="inlineStr">
        <is>
          <t>C</t>
        </is>
      </c>
    </row>
    <row r="9465">
      <c r="FC9465" t="inlineStr">
        <is>
          <t>Diccionario 9</t>
        </is>
      </c>
      <c r="FD9465" t="inlineStr">
        <is>
          <t>RC-C1505 / LZPR-97|</t>
        </is>
      </c>
      <c r="FL9465" s="26" t="inlineStr">
        <is>
          <t>C</t>
        </is>
      </c>
      <c r="FP9465" s="26" t="inlineStr">
        <is>
          <t>C</t>
        </is>
      </c>
    </row>
    <row r="9466">
      <c r="FC9466" t="inlineStr">
        <is>
          <t>Diccionario 9</t>
        </is>
      </c>
      <c r="FD9466" t="inlineStr">
        <is>
          <t>RC-C1506 / LZPR-98|</t>
        </is>
      </c>
      <c r="FL9466" s="26" t="inlineStr">
        <is>
          <t>C</t>
        </is>
      </c>
      <c r="FP9466" s="26" t="inlineStr">
        <is>
          <t>C</t>
        </is>
      </c>
    </row>
    <row r="9467">
      <c r="FC9467" t="inlineStr">
        <is>
          <t>Diccionario 9</t>
        </is>
      </c>
      <c r="FD9467" t="inlineStr">
        <is>
          <t>RC-C1507 / LZPR-99|</t>
        </is>
      </c>
      <c r="FL9467" s="26" t="inlineStr">
        <is>
          <t>C</t>
        </is>
      </c>
      <c r="FP9467" s="26" t="inlineStr">
        <is>
          <t>C</t>
        </is>
      </c>
    </row>
    <row r="9468">
      <c r="FC9468" t="inlineStr">
        <is>
          <t>Diccionario 9</t>
        </is>
      </c>
      <c r="FD9468" t="inlineStr">
        <is>
          <t>RC-C1508 / LZPS-10|</t>
        </is>
      </c>
      <c r="FL9468" s="26" t="inlineStr">
        <is>
          <t>C</t>
        </is>
      </c>
      <c r="FP9468" s="26" t="inlineStr">
        <is>
          <t>C</t>
        </is>
      </c>
    </row>
    <row r="9469">
      <c r="FC9469" t="inlineStr">
        <is>
          <t>Diccionario 9</t>
        </is>
      </c>
      <c r="FD9469" t="inlineStr">
        <is>
          <t>RC-C1509 / LZPS-11|</t>
        </is>
      </c>
      <c r="FL9469" s="26" t="inlineStr">
        <is>
          <t>C</t>
        </is>
      </c>
      <c r="FP9469" s="26" t="inlineStr">
        <is>
          <t>C</t>
        </is>
      </c>
    </row>
    <row r="9470">
      <c r="FC9470" t="inlineStr">
        <is>
          <t>Diccionario 9</t>
        </is>
      </c>
      <c r="FD9470" t="inlineStr">
        <is>
          <t>RC-C1510 / LZPS-12|</t>
        </is>
      </c>
      <c r="FL9470" s="26" t="inlineStr">
        <is>
          <t>C</t>
        </is>
      </c>
      <c r="FP9470" s="26" t="inlineStr">
        <is>
          <t>C</t>
        </is>
      </c>
    </row>
    <row r="9471">
      <c r="FC9471" t="inlineStr">
        <is>
          <t>Diccionario 9</t>
        </is>
      </c>
      <c r="FD9471" t="inlineStr">
        <is>
          <t>RC-C1511 / LZPS-13|</t>
        </is>
      </c>
      <c r="FL9471" s="26" t="inlineStr">
        <is>
          <t>C</t>
        </is>
      </c>
      <c r="FP9471" s="26" t="inlineStr">
        <is>
          <t>C</t>
        </is>
      </c>
    </row>
    <row r="9472">
      <c r="FC9472" t="inlineStr">
        <is>
          <t>Diccionario 9</t>
        </is>
      </c>
      <c r="FD9472" t="inlineStr">
        <is>
          <t>RC-C1512 / LZPS-14|</t>
        </is>
      </c>
      <c r="FL9472" s="26" t="inlineStr">
        <is>
          <t>C</t>
        </is>
      </c>
      <c r="FP9472" s="26" t="inlineStr">
        <is>
          <t>C</t>
        </is>
      </c>
    </row>
    <row r="9473">
      <c r="FC9473" t="inlineStr">
        <is>
          <t>Diccionario 9</t>
        </is>
      </c>
      <c r="FD9473" t="inlineStr">
        <is>
          <t>RC-C1513 / LZPS-15|</t>
        </is>
      </c>
      <c r="FL9473" s="26" t="inlineStr">
        <is>
          <t>C</t>
        </is>
      </c>
      <c r="FP9473" s="26" t="inlineStr">
        <is>
          <t>C</t>
        </is>
      </c>
    </row>
    <row r="9474">
      <c r="FC9474" t="inlineStr">
        <is>
          <t>Diccionario 9</t>
        </is>
      </c>
      <c r="FD9474" t="inlineStr">
        <is>
          <t>RC-C1514 / LZPS-16|</t>
        </is>
      </c>
      <c r="FL9474" s="26" t="inlineStr">
        <is>
          <t>C</t>
        </is>
      </c>
      <c r="FP9474" s="26" t="inlineStr">
        <is>
          <t>C</t>
        </is>
      </c>
    </row>
    <row r="9475">
      <c r="FC9475" t="inlineStr">
        <is>
          <t>Diccionario 9</t>
        </is>
      </c>
      <c r="FD9475" t="inlineStr">
        <is>
          <t>RC-C1515 / LZPS-17|</t>
        </is>
      </c>
      <c r="FL9475" s="26" t="inlineStr">
        <is>
          <t>C</t>
        </is>
      </c>
      <c r="FP9475" s="26" t="inlineStr">
        <is>
          <t>C</t>
        </is>
      </c>
    </row>
    <row r="9476">
      <c r="FC9476" t="inlineStr">
        <is>
          <t>Diccionario 9</t>
        </is>
      </c>
      <c r="FD9476" t="inlineStr">
        <is>
          <t>SR-C1516 / LZPS-18|</t>
        </is>
      </c>
      <c r="FL9476" s="26" t="inlineStr">
        <is>
          <t>C</t>
        </is>
      </c>
      <c r="FP9476" s="26" t="inlineStr">
        <is>
          <t>C</t>
        </is>
      </c>
    </row>
    <row r="9477">
      <c r="FC9477" t="inlineStr">
        <is>
          <t>Diccionario 9</t>
        </is>
      </c>
      <c r="FD9477" t="inlineStr">
        <is>
          <t>RC-C1517 / LZPS-19|</t>
        </is>
      </c>
      <c r="FL9477" s="26" t="inlineStr">
        <is>
          <t>C</t>
        </is>
      </c>
      <c r="FP9477" s="26" t="inlineStr">
        <is>
          <t>C</t>
        </is>
      </c>
    </row>
    <row r="9478">
      <c r="FC9478" t="inlineStr">
        <is>
          <t>Diccionario 9</t>
        </is>
      </c>
      <c r="FD9478" t="inlineStr">
        <is>
          <t>SR-C1518 / LZPS-20|</t>
        </is>
      </c>
      <c r="FL9478" s="26" t="inlineStr">
        <is>
          <t>C</t>
        </is>
      </c>
      <c r="FP9478" s="26" t="inlineStr">
        <is>
          <t>C</t>
        </is>
      </c>
    </row>
    <row r="9479">
      <c r="FC9479" t="inlineStr">
        <is>
          <t>Diccionario 9</t>
        </is>
      </c>
      <c r="FD9479" t="inlineStr">
        <is>
          <t>RC-C1519 / LZPS-21|</t>
        </is>
      </c>
      <c r="FL9479" s="26" t="inlineStr">
        <is>
          <t>C</t>
        </is>
      </c>
      <c r="FP9479" s="26" t="inlineStr">
        <is>
          <t>C</t>
        </is>
      </c>
    </row>
    <row r="9480">
      <c r="FC9480" t="inlineStr">
        <is>
          <t>Diccionario 9</t>
        </is>
      </c>
      <c r="FD9480" t="inlineStr">
        <is>
          <t>SR-C1520 / LZPS-22|</t>
        </is>
      </c>
      <c r="FL9480" s="26" t="inlineStr">
        <is>
          <t>C</t>
        </is>
      </c>
      <c r="FP9480" s="26" t="inlineStr">
        <is>
          <t>C</t>
        </is>
      </c>
    </row>
    <row r="9481">
      <c r="FC9481" t="inlineStr">
        <is>
          <t>Diccionario 9</t>
        </is>
      </c>
      <c r="FD9481" t="inlineStr">
        <is>
          <t>RC-C1521 / LZPS-23|</t>
        </is>
      </c>
      <c r="FL9481" s="26" t="inlineStr">
        <is>
          <t>C</t>
        </is>
      </c>
      <c r="FP9481" s="26" t="inlineStr">
        <is>
          <t>C</t>
        </is>
      </c>
    </row>
    <row r="9482">
      <c r="FC9482" t="inlineStr">
        <is>
          <t>Diccionario 9</t>
        </is>
      </c>
      <c r="FD9482" t="inlineStr">
        <is>
          <t>SR-C1522 / LZPS-24|</t>
        </is>
      </c>
      <c r="FL9482" s="26" t="inlineStr">
        <is>
          <t>C</t>
        </is>
      </c>
      <c r="FP9482" s="26" t="inlineStr">
        <is>
          <t>C</t>
        </is>
      </c>
    </row>
    <row r="9483">
      <c r="FC9483" t="inlineStr">
        <is>
          <t>Diccionario 9</t>
        </is>
      </c>
      <c r="FD9483" t="inlineStr">
        <is>
          <t>RC-C1523 / LZPS-25|</t>
        </is>
      </c>
      <c r="FL9483" s="26" t="inlineStr">
        <is>
          <t>C</t>
        </is>
      </c>
      <c r="FP9483" s="26" t="inlineStr">
        <is>
          <t>C</t>
        </is>
      </c>
    </row>
    <row r="9484">
      <c r="FC9484" t="inlineStr">
        <is>
          <t>Diccionario 9</t>
        </is>
      </c>
      <c r="FD9484" t="inlineStr">
        <is>
          <t>SR-C1524 / LZPT-38|</t>
        </is>
      </c>
      <c r="FL9484" s="26" t="inlineStr">
        <is>
          <t>C</t>
        </is>
      </c>
      <c r="FP9484" s="26" t="inlineStr">
        <is>
          <t>C</t>
        </is>
      </c>
    </row>
    <row r="9485">
      <c r="FC9485" t="inlineStr">
        <is>
          <t>Diccionario 9</t>
        </is>
      </c>
      <c r="FD9485" t="inlineStr">
        <is>
          <t>SR-C1525 / LZPT-39|</t>
        </is>
      </c>
      <c r="FL9485" s="26" t="inlineStr">
        <is>
          <t>C</t>
        </is>
      </c>
      <c r="FP9485" s="26" t="inlineStr">
        <is>
          <t>C</t>
        </is>
      </c>
    </row>
    <row r="9486">
      <c r="FC9486" t="inlineStr">
        <is>
          <t>Diccionario 9</t>
        </is>
      </c>
      <c r="FD9486" t="inlineStr">
        <is>
          <t>SR-C1526 / LZPT-40|</t>
        </is>
      </c>
      <c r="FL9486" s="26" t="inlineStr">
        <is>
          <t>C</t>
        </is>
      </c>
      <c r="FP9486" s="26" t="inlineStr">
        <is>
          <t>C</t>
        </is>
      </c>
    </row>
    <row r="9487">
      <c r="FC9487" t="inlineStr">
        <is>
          <t>Diccionario 9</t>
        </is>
      </c>
      <c r="FD9487" t="inlineStr">
        <is>
          <t>SR-C1527 / LZPT-41|</t>
        </is>
      </c>
      <c r="FL9487" s="26" t="inlineStr">
        <is>
          <t>C</t>
        </is>
      </c>
      <c r="FP9487" s="26" t="inlineStr">
        <is>
          <t>C</t>
        </is>
      </c>
    </row>
    <row r="9488">
      <c r="FC9488" t="inlineStr">
        <is>
          <t>Diccionario 9</t>
        </is>
      </c>
      <c r="FD9488" t="inlineStr">
        <is>
          <t>SR-C1528 / LZPT-42|</t>
        </is>
      </c>
      <c r="FL9488" s="26" t="inlineStr">
        <is>
          <t>C</t>
        </is>
      </c>
      <c r="FP9488" s="26" t="inlineStr">
        <is>
          <t>C</t>
        </is>
      </c>
    </row>
    <row r="9489">
      <c r="FC9489" t="inlineStr">
        <is>
          <t>Diccionario 9</t>
        </is>
      </c>
      <c r="FD9489" t="inlineStr">
        <is>
          <t>RC-C1529 / LZPT-43|</t>
        </is>
      </c>
      <c r="FL9489" s="26" t="inlineStr">
        <is>
          <t>C</t>
        </is>
      </c>
      <c r="FP9489" s="26" t="inlineStr">
        <is>
          <t>C</t>
        </is>
      </c>
    </row>
    <row r="9490">
      <c r="FC9490" t="inlineStr">
        <is>
          <t>Diccionario 9</t>
        </is>
      </c>
      <c r="FD9490" t="inlineStr">
        <is>
          <t>RC-C1530 / LZPT-44|</t>
        </is>
      </c>
      <c r="FL9490" s="26" t="inlineStr">
        <is>
          <t>C</t>
        </is>
      </c>
      <c r="FP9490" s="26" t="inlineStr">
        <is>
          <t>C</t>
        </is>
      </c>
    </row>
    <row r="9491">
      <c r="FC9491" t="inlineStr">
        <is>
          <t>Diccionario 9</t>
        </is>
      </c>
      <c r="FD9491" t="inlineStr">
        <is>
          <t>SR-C1531 / LZPT-45|</t>
        </is>
      </c>
      <c r="FL9491" s="26" t="inlineStr">
        <is>
          <t>C</t>
        </is>
      </c>
      <c r="FP9491" s="26" t="inlineStr">
        <is>
          <t>C</t>
        </is>
      </c>
    </row>
    <row r="9492">
      <c r="FC9492" t="inlineStr">
        <is>
          <t>Diccionario 9</t>
        </is>
      </c>
      <c r="FD9492" t="inlineStr">
        <is>
          <t>RC-C1532 / LZPT-46|</t>
        </is>
      </c>
      <c r="FL9492" s="26" t="inlineStr">
        <is>
          <t>C</t>
        </is>
      </c>
      <c r="FP9492" s="26" t="inlineStr">
        <is>
          <t>C</t>
        </is>
      </c>
    </row>
    <row r="9493">
      <c r="FC9493" t="inlineStr">
        <is>
          <t>Diccionario 9</t>
        </is>
      </c>
      <c r="FD9493" t="inlineStr">
        <is>
          <t>RC-C1533 / LZPT-47|</t>
        </is>
      </c>
      <c r="FL9493" s="26" t="inlineStr">
        <is>
          <t>C</t>
        </is>
      </c>
      <c r="FP9493" s="26" t="inlineStr">
        <is>
          <t>C</t>
        </is>
      </c>
    </row>
    <row r="9494">
      <c r="FC9494" t="inlineStr">
        <is>
          <t>Diccionario 9</t>
        </is>
      </c>
      <c r="FD9494" t="inlineStr">
        <is>
          <t>RC-C1534 / LZPT-48|</t>
        </is>
      </c>
      <c r="FL9494" s="26" t="inlineStr">
        <is>
          <t>C</t>
        </is>
      </c>
      <c r="FP9494" s="26" t="inlineStr">
        <is>
          <t>C</t>
        </is>
      </c>
    </row>
    <row r="9495">
      <c r="FC9495" t="inlineStr">
        <is>
          <t>Diccionario 9</t>
        </is>
      </c>
      <c r="FD9495" t="inlineStr">
        <is>
          <t>SR-C1535 / LZPT-49|</t>
        </is>
      </c>
      <c r="FL9495" s="26" t="inlineStr">
        <is>
          <t>C</t>
        </is>
      </c>
      <c r="FP9495" s="26" t="inlineStr">
        <is>
          <t>C</t>
        </is>
      </c>
    </row>
    <row r="9496">
      <c r="FC9496" t="inlineStr">
        <is>
          <t>Diccionario 9</t>
        </is>
      </c>
      <c r="FD9496" t="inlineStr">
        <is>
          <t>RC-C1536 / LZPT-50|</t>
        </is>
      </c>
      <c r="FL9496" s="26" t="inlineStr">
        <is>
          <t>C</t>
        </is>
      </c>
      <c r="FP9496" s="26" t="inlineStr">
        <is>
          <t>C</t>
        </is>
      </c>
    </row>
    <row r="9497">
      <c r="FC9497" t="inlineStr">
        <is>
          <t>Diccionario 9</t>
        </is>
      </c>
      <c r="FD9497" t="inlineStr">
        <is>
          <t>SR-C1537 / LZPT-51|</t>
        </is>
      </c>
      <c r="FL9497" s="26" t="inlineStr">
        <is>
          <t>C</t>
        </is>
      </c>
      <c r="FP9497" s="26" t="inlineStr">
        <is>
          <t>C</t>
        </is>
      </c>
    </row>
    <row r="9498">
      <c r="FC9498" t="inlineStr">
        <is>
          <t>Diccionario 9</t>
        </is>
      </c>
      <c r="FD9498" t="inlineStr">
        <is>
          <t>RC-C1538 / LZPT-52|</t>
        </is>
      </c>
      <c r="FL9498" s="26" t="inlineStr">
        <is>
          <t>C</t>
        </is>
      </c>
      <c r="FP9498" s="26" t="inlineStr">
        <is>
          <t>C</t>
        </is>
      </c>
    </row>
    <row r="9499">
      <c r="FC9499" t="inlineStr">
        <is>
          <t>Diccionario 9</t>
        </is>
      </c>
      <c r="FD9499" t="inlineStr">
        <is>
          <t>SR-C1539 / LZPT-53|</t>
        </is>
      </c>
      <c r="FL9499" s="26" t="inlineStr">
        <is>
          <t>C</t>
        </is>
      </c>
      <c r="FP9499" s="26" t="inlineStr">
        <is>
          <t>C</t>
        </is>
      </c>
    </row>
    <row r="9500">
      <c r="FC9500" t="inlineStr">
        <is>
          <t>Diccionario 9</t>
        </is>
      </c>
      <c r="FD9500" t="inlineStr">
        <is>
          <t>SR-C1540 / LZPT-54|</t>
        </is>
      </c>
      <c r="FL9500" s="26" t="inlineStr">
        <is>
          <t>C</t>
        </is>
      </c>
      <c r="FP9500" s="26" t="inlineStr">
        <is>
          <t>C</t>
        </is>
      </c>
    </row>
    <row r="9501">
      <c r="FC9501" t="inlineStr">
        <is>
          <t>Diccionario 9</t>
        </is>
      </c>
      <c r="FD9501" t="inlineStr">
        <is>
          <t>SR-C1541 / LZPT-55|</t>
        </is>
      </c>
      <c r="FL9501" s="26" t="inlineStr">
        <is>
          <t>C</t>
        </is>
      </c>
      <c r="FP9501" s="26" t="inlineStr">
        <is>
          <t>C</t>
        </is>
      </c>
    </row>
    <row r="9502">
      <c r="FC9502" t="inlineStr">
        <is>
          <t>Diccionario 9</t>
        </is>
      </c>
      <c r="FD9502" t="inlineStr">
        <is>
          <t>SR-C1542 / LZPT-56|</t>
        </is>
      </c>
      <c r="FL9502" s="26" t="inlineStr">
        <is>
          <t>C</t>
        </is>
      </c>
      <c r="FP9502" s="26" t="inlineStr">
        <is>
          <t>C</t>
        </is>
      </c>
    </row>
    <row r="9503">
      <c r="FC9503" t="inlineStr">
        <is>
          <t>Diccionario 9</t>
        </is>
      </c>
      <c r="FD9503" t="inlineStr">
        <is>
          <t>SR-C1543 / LZPT-57|</t>
        </is>
      </c>
      <c r="FL9503" s="26" t="inlineStr">
        <is>
          <t>C</t>
        </is>
      </c>
      <c r="FP9503" s="26" t="inlineStr">
        <is>
          <t>C</t>
        </is>
      </c>
    </row>
    <row r="9504">
      <c r="FC9504" t="inlineStr">
        <is>
          <t>Diccionario 9</t>
        </is>
      </c>
      <c r="FD9504" t="inlineStr">
        <is>
          <t>SR-C1544 / LZPT-58|</t>
        </is>
      </c>
      <c r="FL9504" s="26" t="inlineStr">
        <is>
          <t>C</t>
        </is>
      </c>
      <c r="FP9504" s="26" t="inlineStr">
        <is>
          <t>C</t>
        </is>
      </c>
    </row>
    <row r="9505">
      <c r="FC9505" t="inlineStr">
        <is>
          <t>Diccionario 9</t>
        </is>
      </c>
      <c r="FD9505" t="inlineStr">
        <is>
          <t>SR-C1545 / LZPT-59|</t>
        </is>
      </c>
      <c r="FL9505" s="26" t="inlineStr">
        <is>
          <t>C</t>
        </is>
      </c>
      <c r="FP9505" s="26" t="inlineStr">
        <is>
          <t>C</t>
        </is>
      </c>
    </row>
    <row r="9506">
      <c r="FC9506" t="inlineStr">
        <is>
          <t>Diccionario 9</t>
        </is>
      </c>
      <c r="FD9506" t="inlineStr">
        <is>
          <t>SR-C1546 / LZPT-60|</t>
        </is>
      </c>
      <c r="FL9506" s="26" t="inlineStr">
        <is>
          <t>C</t>
        </is>
      </c>
      <c r="FP9506" s="26" t="inlineStr">
        <is>
          <t>C</t>
        </is>
      </c>
    </row>
    <row r="9507">
      <c r="FC9507" t="inlineStr">
        <is>
          <t>Diccionario 9</t>
        </is>
      </c>
      <c r="FD9507" t="inlineStr">
        <is>
          <t>SR-C1547 / LZPT-61|</t>
        </is>
      </c>
      <c r="FL9507" s="26" t="inlineStr">
        <is>
          <t>C</t>
        </is>
      </c>
      <c r="FP9507" s="26" t="inlineStr">
        <is>
          <t>C</t>
        </is>
      </c>
    </row>
    <row r="9508">
      <c r="FC9508" t="inlineStr">
        <is>
          <t>Diccionario 9</t>
        </is>
      </c>
      <c r="FD9508" t="inlineStr">
        <is>
          <t>SR-C1548 / LZPT-62|</t>
        </is>
      </c>
      <c r="FL9508" s="26" t="inlineStr">
        <is>
          <t>C</t>
        </is>
      </c>
      <c r="FP9508" s="26" t="inlineStr">
        <is>
          <t>C</t>
        </is>
      </c>
    </row>
    <row r="9509">
      <c r="FC9509" t="inlineStr">
        <is>
          <t>Diccionario 9</t>
        </is>
      </c>
      <c r="FD9509" t="inlineStr">
        <is>
          <t>SR-C1549 / LZPT-63|</t>
        </is>
      </c>
      <c r="FL9509" s="26" t="inlineStr">
        <is>
          <t>C</t>
        </is>
      </c>
      <c r="FP9509" s="26" t="inlineStr">
        <is>
          <t>C</t>
        </is>
      </c>
    </row>
    <row r="9510">
      <c r="FC9510" t="inlineStr">
        <is>
          <t>Diccionario 9</t>
        </is>
      </c>
      <c r="FD9510" t="inlineStr">
        <is>
          <t>SR-C1550 / LZPT-64|</t>
        </is>
      </c>
      <c r="FL9510" s="26" t="inlineStr">
        <is>
          <t>C</t>
        </is>
      </c>
      <c r="FP9510" s="26" t="inlineStr">
        <is>
          <t>C</t>
        </is>
      </c>
    </row>
    <row r="9511">
      <c r="FC9511" t="inlineStr">
        <is>
          <t>Diccionario 9</t>
        </is>
      </c>
      <c r="FD9511" t="inlineStr">
        <is>
          <t>SR-C1551 / LZPT-65|</t>
        </is>
      </c>
      <c r="FL9511" s="26" t="inlineStr">
        <is>
          <t>C</t>
        </is>
      </c>
      <c r="FP9511" s="26" t="inlineStr">
        <is>
          <t>C</t>
        </is>
      </c>
    </row>
    <row r="9512">
      <c r="FC9512" t="inlineStr">
        <is>
          <t>Diccionario 9</t>
        </is>
      </c>
      <c r="FD9512" t="inlineStr">
        <is>
          <t>SR-C1552 / LZPT-66|</t>
        </is>
      </c>
      <c r="FL9512" s="26" t="inlineStr">
        <is>
          <t>C</t>
        </is>
      </c>
      <c r="FP9512" s="26" t="inlineStr">
        <is>
          <t>C</t>
        </is>
      </c>
    </row>
    <row r="9513">
      <c r="FC9513" t="inlineStr">
        <is>
          <t>Diccionario 9</t>
        </is>
      </c>
      <c r="FD9513" t="inlineStr">
        <is>
          <t>SR-C1553 / LZPT-67|</t>
        </is>
      </c>
      <c r="FL9513" s="26" t="inlineStr">
        <is>
          <t>C</t>
        </is>
      </c>
      <c r="FP9513" s="26" t="inlineStr">
        <is>
          <t>C</t>
        </is>
      </c>
    </row>
    <row r="9514">
      <c r="FC9514" t="inlineStr">
        <is>
          <t>Diccionario 9</t>
        </is>
      </c>
      <c r="FD9514" t="inlineStr">
        <is>
          <t>SR-C1554 / LZPT-69|</t>
        </is>
      </c>
      <c r="FL9514" s="26" t="inlineStr">
        <is>
          <t>C</t>
        </is>
      </c>
      <c r="FP9514" s="26" t="inlineStr">
        <is>
          <t>C</t>
        </is>
      </c>
    </row>
    <row r="9515">
      <c r="FC9515" t="inlineStr">
        <is>
          <t>Diccionario 9</t>
        </is>
      </c>
      <c r="FD9515" t="inlineStr">
        <is>
          <t>SR-C1555 / LZPT-70|</t>
        </is>
      </c>
      <c r="FL9515" s="26" t="inlineStr">
        <is>
          <t>C</t>
        </is>
      </c>
      <c r="FP9515" s="26" t="inlineStr">
        <is>
          <t>C</t>
        </is>
      </c>
    </row>
    <row r="9516">
      <c r="FC9516" t="inlineStr">
        <is>
          <t>Diccionario 9</t>
        </is>
      </c>
      <c r="FD9516" t="inlineStr">
        <is>
          <t>SR-C1556 / LZPT-71|</t>
        </is>
      </c>
      <c r="FL9516" s="26" t="inlineStr">
        <is>
          <t>C</t>
        </is>
      </c>
      <c r="FP9516" s="26" t="inlineStr">
        <is>
          <t>C</t>
        </is>
      </c>
    </row>
    <row r="9517">
      <c r="FC9517" t="inlineStr">
        <is>
          <t>Diccionario 9</t>
        </is>
      </c>
      <c r="FD9517" t="inlineStr">
        <is>
          <t>SR-C1557 / LZPT-72|</t>
        </is>
      </c>
      <c r="FL9517" s="26" t="inlineStr">
        <is>
          <t>C</t>
        </is>
      </c>
      <c r="FP9517" s="26" t="inlineStr">
        <is>
          <t>C</t>
        </is>
      </c>
    </row>
    <row r="9518">
      <c r="FC9518" t="inlineStr">
        <is>
          <t>Diccionario 9</t>
        </is>
      </c>
      <c r="FD9518" t="inlineStr">
        <is>
          <t>SR-C1558 / LZPT-73|</t>
        </is>
      </c>
      <c r="FL9518" s="26" t="inlineStr">
        <is>
          <t>C</t>
        </is>
      </c>
      <c r="FP9518" s="26" t="inlineStr">
        <is>
          <t>C</t>
        </is>
      </c>
    </row>
    <row r="9519">
      <c r="FC9519" t="inlineStr">
        <is>
          <t>Diccionario 9</t>
        </is>
      </c>
      <c r="FD9519" t="inlineStr">
        <is>
          <t>SR-C1559 / LZPT-74|</t>
        </is>
      </c>
      <c r="FL9519" s="26" t="inlineStr">
        <is>
          <t>C</t>
        </is>
      </c>
      <c r="FP9519" s="26" t="inlineStr">
        <is>
          <t>C</t>
        </is>
      </c>
    </row>
    <row r="9520">
      <c r="FC9520" t="inlineStr">
        <is>
          <t>Diccionario 9</t>
        </is>
      </c>
      <c r="FD9520" t="inlineStr">
        <is>
          <t>SR-C1560 / LZPT-75|</t>
        </is>
      </c>
      <c r="FL9520" s="26" t="inlineStr">
        <is>
          <t>C</t>
        </is>
      </c>
      <c r="FP9520" s="26" t="inlineStr">
        <is>
          <t>C</t>
        </is>
      </c>
    </row>
    <row r="9521">
      <c r="FC9521" t="inlineStr">
        <is>
          <t>Diccionario 9</t>
        </is>
      </c>
      <c r="FD9521" t="inlineStr">
        <is>
          <t>SR-C1561 / LZPT-76|</t>
        </is>
      </c>
      <c r="FL9521" s="26" t="inlineStr">
        <is>
          <t>C</t>
        </is>
      </c>
      <c r="FP9521" s="26" t="inlineStr">
        <is>
          <t>C</t>
        </is>
      </c>
    </row>
    <row r="9522">
      <c r="FC9522" t="inlineStr">
        <is>
          <t>Diccionario 9</t>
        </is>
      </c>
      <c r="FD9522" t="inlineStr">
        <is>
          <t>SR-C1562 / LZPT-77|</t>
        </is>
      </c>
      <c r="FL9522" s="26" t="inlineStr">
        <is>
          <t>C</t>
        </is>
      </c>
      <c r="FP9522" s="26" t="inlineStr">
        <is>
          <t>C</t>
        </is>
      </c>
    </row>
    <row r="9523">
      <c r="FC9523" t="inlineStr">
        <is>
          <t>Diccionario 9</t>
        </is>
      </c>
      <c r="FD9523" t="inlineStr">
        <is>
          <t>RC-C1563 / LZPV-98|</t>
        </is>
      </c>
      <c r="FL9523" s="26" t="inlineStr">
        <is>
          <t>C</t>
        </is>
      </c>
      <c r="FP9523" s="26" t="inlineStr">
        <is>
          <t>C</t>
        </is>
      </c>
    </row>
    <row r="9524">
      <c r="FC9524" t="inlineStr">
        <is>
          <t>Diccionario 9</t>
        </is>
      </c>
      <c r="FD9524" t="inlineStr">
        <is>
          <t>SR-C1564 / LZPV-99|</t>
        </is>
      </c>
      <c r="FL9524" s="26" t="inlineStr">
        <is>
          <t>C</t>
        </is>
      </c>
      <c r="FP9524" s="26" t="inlineStr">
        <is>
          <t>C</t>
        </is>
      </c>
    </row>
    <row r="9525">
      <c r="FC9525" t="inlineStr">
        <is>
          <t>Diccionario 9</t>
        </is>
      </c>
      <c r="FD9525" t="inlineStr">
        <is>
          <t>SR-C1565 / LZPW-10|</t>
        </is>
      </c>
      <c r="FL9525" s="26" t="inlineStr">
        <is>
          <t>C</t>
        </is>
      </c>
      <c r="FP9525" s="26" t="inlineStr">
        <is>
          <t>C</t>
        </is>
      </c>
    </row>
    <row r="9526">
      <c r="FC9526" t="inlineStr">
        <is>
          <t>Diccionario 9</t>
        </is>
      </c>
      <c r="FD9526" t="inlineStr">
        <is>
          <t>SR-C1566 / LZPW-11|</t>
        </is>
      </c>
      <c r="FL9526" s="26" t="inlineStr">
        <is>
          <t>C</t>
        </is>
      </c>
      <c r="FP9526" s="26" t="inlineStr">
        <is>
          <t>C</t>
        </is>
      </c>
    </row>
    <row r="9527">
      <c r="FC9527" t="inlineStr">
        <is>
          <t>Diccionario 9</t>
        </is>
      </c>
      <c r="FD9527" t="inlineStr">
        <is>
          <t>SR-C1567 / LZPW-12|</t>
        </is>
      </c>
      <c r="FL9527" s="26" t="inlineStr">
        <is>
          <t>C</t>
        </is>
      </c>
      <c r="FP9527" s="26" t="inlineStr">
        <is>
          <t>C</t>
        </is>
      </c>
    </row>
    <row r="9528">
      <c r="FC9528" t="inlineStr">
        <is>
          <t>Diccionario 9</t>
        </is>
      </c>
      <c r="FD9528" t="inlineStr">
        <is>
          <t>SR-C1568 / LZPW-13|</t>
        </is>
      </c>
      <c r="FL9528" s="26" t="inlineStr">
        <is>
          <t>C</t>
        </is>
      </c>
      <c r="FP9528" s="26" t="inlineStr">
        <is>
          <t>C</t>
        </is>
      </c>
    </row>
    <row r="9529">
      <c r="FC9529" t="inlineStr">
        <is>
          <t>Diccionario 9</t>
        </is>
      </c>
      <c r="FD9529" t="inlineStr">
        <is>
          <t>RC-C1569 / LZPW-14|</t>
        </is>
      </c>
      <c r="FL9529" s="26" t="inlineStr">
        <is>
          <t>C</t>
        </is>
      </c>
      <c r="FP9529" s="26" t="inlineStr">
        <is>
          <t>C</t>
        </is>
      </c>
    </row>
    <row r="9530">
      <c r="FC9530" t="inlineStr">
        <is>
          <t>Diccionario 9</t>
        </is>
      </c>
      <c r="FD9530" t="inlineStr">
        <is>
          <t>SR-C1570 / LZPW-15|</t>
        </is>
      </c>
      <c r="FL9530" s="26" t="inlineStr">
        <is>
          <t>C</t>
        </is>
      </c>
      <c r="FP9530" s="26" t="inlineStr">
        <is>
          <t>C</t>
        </is>
      </c>
    </row>
    <row r="9531">
      <c r="FC9531" t="inlineStr">
        <is>
          <t>Diccionario 9</t>
        </is>
      </c>
      <c r="FD9531" t="inlineStr">
        <is>
          <t>SR-C1571 / LZPW-16|</t>
        </is>
      </c>
      <c r="FL9531" s="26" t="inlineStr">
        <is>
          <t>C</t>
        </is>
      </c>
      <c r="FP9531" s="26" t="inlineStr">
        <is>
          <t>C</t>
        </is>
      </c>
    </row>
    <row r="9532">
      <c r="FC9532" t="inlineStr">
        <is>
          <t>Diccionario 9</t>
        </is>
      </c>
      <c r="FD9532" t="inlineStr">
        <is>
          <t>SR-C1572 / LZPW-17|</t>
        </is>
      </c>
      <c r="FL9532" s="26" t="inlineStr">
        <is>
          <t>C</t>
        </is>
      </c>
      <c r="FP9532" s="26" t="inlineStr">
        <is>
          <t>C</t>
        </is>
      </c>
    </row>
    <row r="9533">
      <c r="FC9533" t="inlineStr">
        <is>
          <t>Diccionario 9</t>
        </is>
      </c>
      <c r="FD9533" t="inlineStr">
        <is>
          <t>SR-C1573 / LZPW-18|</t>
        </is>
      </c>
      <c r="FL9533" s="26" t="inlineStr">
        <is>
          <t>C</t>
        </is>
      </c>
      <c r="FP9533" s="26" t="inlineStr">
        <is>
          <t>C</t>
        </is>
      </c>
    </row>
    <row r="9534">
      <c r="FC9534" t="inlineStr">
        <is>
          <t>Diccionario 9</t>
        </is>
      </c>
      <c r="FD9534" t="inlineStr">
        <is>
          <t>SR-C1574 / LZPW-19|</t>
        </is>
      </c>
      <c r="FL9534" s="26" t="inlineStr">
        <is>
          <t>C</t>
        </is>
      </c>
      <c r="FP9534" s="26" t="inlineStr">
        <is>
          <t>C</t>
        </is>
      </c>
    </row>
    <row r="9535">
      <c r="FC9535" t="inlineStr">
        <is>
          <t>Diccionario 9</t>
        </is>
      </c>
      <c r="FD9535" t="inlineStr">
        <is>
          <t>SR-C1575 / LZPW-20|</t>
        </is>
      </c>
      <c r="FL9535" s="26" t="inlineStr">
        <is>
          <t>C</t>
        </is>
      </c>
      <c r="FP9535" s="26" t="inlineStr">
        <is>
          <t>C</t>
        </is>
      </c>
    </row>
    <row r="9536">
      <c r="FC9536" t="inlineStr">
        <is>
          <t>Diccionario 9</t>
        </is>
      </c>
      <c r="FD9536" t="inlineStr">
        <is>
          <t>SR-C1576 / LZPW-21|</t>
        </is>
      </c>
      <c r="FL9536" s="26" t="inlineStr">
        <is>
          <t>C</t>
        </is>
      </c>
      <c r="FP9536" s="26" t="inlineStr">
        <is>
          <t>C</t>
        </is>
      </c>
    </row>
    <row r="9537">
      <c r="FC9537" t="inlineStr">
        <is>
          <t>Diccionario 9</t>
        </is>
      </c>
      <c r="FD9537" t="inlineStr">
        <is>
          <t>SR-C1577 / LZPW-22|</t>
        </is>
      </c>
      <c r="FL9537" s="26" t="inlineStr">
        <is>
          <t>C</t>
        </is>
      </c>
      <c r="FP9537" s="26" t="inlineStr">
        <is>
          <t>C</t>
        </is>
      </c>
    </row>
    <row r="9538">
      <c r="FC9538" t="inlineStr">
        <is>
          <t>Diccionario 9</t>
        </is>
      </c>
      <c r="FD9538" t="inlineStr">
        <is>
          <t>RC-C1578 / LZRB-82|</t>
        </is>
      </c>
      <c r="FL9538" s="26" t="inlineStr">
        <is>
          <t>C</t>
        </is>
      </c>
      <c r="FP9538" s="26" t="inlineStr">
        <is>
          <t>C</t>
        </is>
      </c>
    </row>
    <row r="9539">
      <c r="FC9539" t="inlineStr">
        <is>
          <t>Diccionario 9</t>
        </is>
      </c>
      <c r="FD9539" t="inlineStr">
        <is>
          <t>SR-C1579 / LZRB-83|</t>
        </is>
      </c>
      <c r="FL9539" s="26" t="inlineStr">
        <is>
          <t>C</t>
        </is>
      </c>
      <c r="FP9539" s="26" t="inlineStr">
        <is>
          <t>C</t>
        </is>
      </c>
    </row>
    <row r="9540">
      <c r="FC9540" t="inlineStr">
        <is>
          <t>Diccionario 9</t>
        </is>
      </c>
      <c r="FD9540" t="inlineStr">
        <is>
          <t>SR-C1580 / LZRB-84|</t>
        </is>
      </c>
      <c r="FL9540" s="26" t="inlineStr">
        <is>
          <t>C</t>
        </is>
      </c>
      <c r="FP9540" s="26" t="inlineStr">
        <is>
          <t>C</t>
        </is>
      </c>
    </row>
    <row r="9541">
      <c r="FC9541" t="inlineStr">
        <is>
          <t>Diccionario 9</t>
        </is>
      </c>
      <c r="FD9541" t="inlineStr">
        <is>
          <t>SR-C1581 / LZRB-85|</t>
        </is>
      </c>
      <c r="FL9541" s="26" t="inlineStr">
        <is>
          <t>C</t>
        </is>
      </c>
      <c r="FP9541" s="26" t="inlineStr">
        <is>
          <t>C</t>
        </is>
      </c>
    </row>
    <row r="9542">
      <c r="FC9542" t="inlineStr">
        <is>
          <t>Diccionario 9</t>
        </is>
      </c>
      <c r="FD9542" t="inlineStr">
        <is>
          <t>SR-C1582 / LZRB-86|</t>
        </is>
      </c>
      <c r="FL9542" s="26" t="inlineStr">
        <is>
          <t>C</t>
        </is>
      </c>
      <c r="FP9542" s="26" t="inlineStr">
        <is>
          <t>C</t>
        </is>
      </c>
    </row>
    <row r="9543">
      <c r="FC9543" t="inlineStr">
        <is>
          <t>Diccionario 9</t>
        </is>
      </c>
      <c r="FD9543" t="inlineStr">
        <is>
          <t>SR-C1583 / LZRB-87|</t>
        </is>
      </c>
      <c r="FL9543" s="26" t="inlineStr">
        <is>
          <t>C</t>
        </is>
      </c>
      <c r="FP9543" s="26" t="inlineStr">
        <is>
          <t>C</t>
        </is>
      </c>
    </row>
    <row r="9544">
      <c r="FC9544" t="inlineStr">
        <is>
          <t>Diccionario 9</t>
        </is>
      </c>
      <c r="FD9544" t="inlineStr">
        <is>
          <t>SR-C1584 / LZRB-88|</t>
        </is>
      </c>
      <c r="FL9544" s="26" t="inlineStr">
        <is>
          <t>C</t>
        </is>
      </c>
      <c r="FP9544" s="26" t="inlineStr">
        <is>
          <t>C</t>
        </is>
      </c>
    </row>
    <row r="9545">
      <c r="FC9545" t="inlineStr">
        <is>
          <t>Diccionario 9</t>
        </is>
      </c>
      <c r="FD9545" t="inlineStr">
        <is>
          <t>DC-B1585 / SFVZ-29|</t>
        </is>
      </c>
      <c r="FL9545" s="26" t="inlineStr">
        <is>
          <t>B</t>
        </is>
      </c>
      <c r="FP9545" s="26" t="inlineStr">
        <is>
          <t>B</t>
        </is>
      </c>
    </row>
    <row r="9546">
      <c r="FC9546" t="inlineStr">
        <is>
          <t>Diccionario 9</t>
        </is>
      </c>
      <c r="FD9546" t="inlineStr">
        <is>
          <t>DC-B1586 / SFVZ-39|</t>
        </is>
      </c>
      <c r="FL9546" s="26" t="inlineStr">
        <is>
          <t>B</t>
        </is>
      </c>
      <c r="FP9546" s="26" t="inlineStr">
        <is>
          <t>B</t>
        </is>
      </c>
    </row>
    <row r="9547">
      <c r="FC9547" t="inlineStr">
        <is>
          <t>Diccionario 9</t>
        </is>
      </c>
      <c r="FD9547" t="inlineStr">
        <is>
          <t>SR-B1587 / SFVZ-40|</t>
        </is>
      </c>
      <c r="FL9547" s="26" t="inlineStr">
        <is>
          <t>B</t>
        </is>
      </c>
      <c r="FP9547" s="26" t="inlineStr">
        <is>
          <t>B</t>
        </is>
      </c>
    </row>
    <row r="9548">
      <c r="FC9548" t="inlineStr">
        <is>
          <t>Diccionario 9</t>
        </is>
      </c>
      <c r="FD9548" t="inlineStr">
        <is>
          <t>SR-B1588 / SFVZ-44|</t>
        </is>
      </c>
      <c r="FL9548" s="26" t="inlineStr">
        <is>
          <t>B</t>
        </is>
      </c>
      <c r="FP9548" s="26" t="inlineStr">
        <is>
          <t>B</t>
        </is>
      </c>
    </row>
    <row r="9549">
      <c r="FC9549" t="inlineStr">
        <is>
          <t>Diccionario 9</t>
        </is>
      </c>
      <c r="FD9549" t="inlineStr">
        <is>
          <t>SR-B1589 / SFVZ-49|</t>
        </is>
      </c>
      <c r="FL9549" s="26" t="inlineStr">
        <is>
          <t>B</t>
        </is>
      </c>
      <c r="FP9549" s="26" t="inlineStr">
        <is>
          <t>B</t>
        </is>
      </c>
    </row>
    <row r="9550">
      <c r="FC9550" t="inlineStr">
        <is>
          <t>Diccionario 9</t>
        </is>
      </c>
      <c r="FD9550" t="inlineStr">
        <is>
          <t>SR-B1590 / SFVZ-56|</t>
        </is>
      </c>
      <c r="FL9550" s="26" t="inlineStr">
        <is>
          <t>B</t>
        </is>
      </c>
      <c r="FP9550" s="26" t="inlineStr">
        <is>
          <t>B</t>
        </is>
      </c>
    </row>
    <row r="9551">
      <c r="FC9551" t="inlineStr">
        <is>
          <t>Diccionario 9</t>
        </is>
      </c>
      <c r="FD9551" t="inlineStr">
        <is>
          <t>LB-B1591 / SFVZ-60|</t>
        </is>
      </c>
      <c r="FL9551" s="26" t="inlineStr">
        <is>
          <t>B</t>
        </is>
      </c>
      <c r="FP9551" s="26" t="inlineStr">
        <is>
          <t>B</t>
        </is>
      </c>
    </row>
    <row r="9552">
      <c r="FC9552" t="inlineStr">
        <is>
          <t>Diccionario 9</t>
        </is>
      </c>
      <c r="FD9552" t="inlineStr">
        <is>
          <t>SR-B1592 / SFVZ-63|</t>
        </is>
      </c>
      <c r="FL9552" s="26" t="inlineStr">
        <is>
          <t>B</t>
        </is>
      </c>
      <c r="FP9552" s="26" t="inlineStr">
        <is>
          <t>B</t>
        </is>
      </c>
    </row>
    <row r="9553">
      <c r="FC9553" t="inlineStr">
        <is>
          <t>Diccionario 9</t>
        </is>
      </c>
      <c r="FD9553" t="inlineStr">
        <is>
          <t>SR-B1593 / SFVZ-67|</t>
        </is>
      </c>
      <c r="FL9553" s="26" t="inlineStr">
        <is>
          <t>B</t>
        </is>
      </c>
      <c r="FP9553" s="26" t="inlineStr">
        <is>
          <t>B</t>
        </is>
      </c>
    </row>
    <row r="9554">
      <c r="FC9554" t="inlineStr">
        <is>
          <t>Diccionario 9</t>
        </is>
      </c>
      <c r="FD9554" t="inlineStr">
        <is>
          <t>SR-B1594 / SFVZ-70|</t>
        </is>
      </c>
      <c r="FL9554" s="26" t="inlineStr">
        <is>
          <t>B</t>
        </is>
      </c>
      <c r="FP9554" s="26" t="inlineStr">
        <is>
          <t>B</t>
        </is>
      </c>
    </row>
    <row r="9555">
      <c r="FC9555" t="inlineStr">
        <is>
          <t>Diccionario 9</t>
        </is>
      </c>
      <c r="FD9555" t="inlineStr">
        <is>
          <t>SR-B1595 / SFVZ-80|</t>
        </is>
      </c>
      <c r="FL9555" s="26" t="inlineStr">
        <is>
          <t>B</t>
        </is>
      </c>
      <c r="FP9555" s="26" t="inlineStr">
        <is>
          <t>B</t>
        </is>
      </c>
    </row>
    <row r="9556">
      <c r="FC9556" t="inlineStr">
        <is>
          <t>Diccionario 9</t>
        </is>
      </c>
      <c r="FD9556" t="inlineStr">
        <is>
          <t>SR-B1596 / SFVZ-81|</t>
        </is>
      </c>
      <c r="FL9556" s="26" t="inlineStr">
        <is>
          <t>B</t>
        </is>
      </c>
      <c r="FP9556" s="26" t="inlineStr">
        <is>
          <t>B</t>
        </is>
      </c>
    </row>
    <row r="9557">
      <c r="FC9557" t="inlineStr">
        <is>
          <t>Diccionario 9</t>
        </is>
      </c>
      <c r="FD9557" t="inlineStr">
        <is>
          <t>SR-B1597 / SFVZ-85|</t>
        </is>
      </c>
      <c r="FL9557" s="26" t="inlineStr">
        <is>
          <t>B</t>
        </is>
      </c>
      <c r="FP9557" s="26" t="inlineStr">
        <is>
          <t>B</t>
        </is>
      </c>
    </row>
    <row r="9558">
      <c r="FC9558" t="inlineStr">
        <is>
          <t>Diccionario 9</t>
        </is>
      </c>
      <c r="FD9558" t="inlineStr">
        <is>
          <t>SR-B1598 / SFVZ-86|</t>
        </is>
      </c>
      <c r="FL9558" s="26" t="inlineStr">
        <is>
          <t>B</t>
        </is>
      </c>
      <c r="FP9558" s="26" t="inlineStr">
        <is>
          <t>B</t>
        </is>
      </c>
    </row>
    <row r="9559">
      <c r="FC9559" t="inlineStr">
        <is>
          <t>Diccionario 9</t>
        </is>
      </c>
      <c r="FD9559" t="inlineStr">
        <is>
          <t>LB-B1599 / SFVZ-87|</t>
        </is>
      </c>
      <c r="FL9559" s="26" t="inlineStr">
        <is>
          <t>B</t>
        </is>
      </c>
      <c r="FP9559" s="26" t="inlineStr">
        <is>
          <t>B</t>
        </is>
      </c>
    </row>
    <row r="9560">
      <c r="FC9560" t="inlineStr">
        <is>
          <t>Diccionario 9</t>
        </is>
      </c>
      <c r="FD9560" t="inlineStr">
        <is>
          <t>RC-B1600 / SFVZ-94|</t>
        </is>
      </c>
      <c r="FL9560" s="26" t="inlineStr">
        <is>
          <t>B</t>
        </is>
      </c>
      <c r="FP9560" s="26" t="inlineStr">
        <is>
          <t>B</t>
        </is>
      </c>
    </row>
    <row r="9561">
      <c r="FC9561" t="inlineStr">
        <is>
          <t>Diccionario 9</t>
        </is>
      </c>
      <c r="FD9561" t="inlineStr">
        <is>
          <t>SR-B1601 / SFVZ-96|</t>
        </is>
      </c>
      <c r="FL9561" s="26" t="inlineStr">
        <is>
          <t>B</t>
        </is>
      </c>
      <c r="FP9561" s="26" t="inlineStr">
        <is>
          <t>B</t>
        </is>
      </c>
    </row>
    <row r="9562">
      <c r="FC9562" t="inlineStr">
        <is>
          <t>Diccionario 9</t>
        </is>
      </c>
      <c r="FD9562" t="inlineStr">
        <is>
          <t>RC-B1602 / SFWB-10|</t>
        </is>
      </c>
      <c r="FL9562" s="26" t="inlineStr">
        <is>
          <t>B</t>
        </is>
      </c>
      <c r="FP9562" s="26" t="inlineStr">
        <is>
          <t>B</t>
        </is>
      </c>
    </row>
    <row r="9563">
      <c r="FC9563" t="inlineStr">
        <is>
          <t>Diccionario 9</t>
        </is>
      </c>
      <c r="FD9563" t="inlineStr">
        <is>
          <t>SR-B1603 / SFWB-14|</t>
        </is>
      </c>
      <c r="FL9563" s="26" t="inlineStr">
        <is>
          <t>B</t>
        </is>
      </c>
      <c r="FP9563" s="26" t="inlineStr">
        <is>
          <t>B</t>
        </is>
      </c>
    </row>
    <row r="9564">
      <c r="FC9564" t="inlineStr">
        <is>
          <t>Diccionario 9</t>
        </is>
      </c>
      <c r="FD9564" t="inlineStr">
        <is>
          <t>RC-B1604 / SFWB-16|</t>
        </is>
      </c>
      <c r="FL9564" s="26" t="inlineStr">
        <is>
          <t>B</t>
        </is>
      </c>
      <c r="FP9564" s="26" t="inlineStr">
        <is>
          <t>B</t>
        </is>
      </c>
    </row>
    <row r="9565">
      <c r="FC9565" t="inlineStr">
        <is>
          <t>Diccionario 9</t>
        </is>
      </c>
      <c r="FD9565" t="inlineStr">
        <is>
          <t>SR-B1605 / SFWB-21|</t>
        </is>
      </c>
      <c r="FL9565" s="26" t="inlineStr">
        <is>
          <t>B</t>
        </is>
      </c>
      <c r="FP9565" s="26" t="inlineStr">
        <is>
          <t>B</t>
        </is>
      </c>
    </row>
    <row r="9566">
      <c r="FC9566" t="inlineStr">
        <is>
          <t>Diccionario 9</t>
        </is>
      </c>
      <c r="FD9566" t="inlineStr">
        <is>
          <t>SR-B1606 / SFWB-24|</t>
        </is>
      </c>
      <c r="FL9566" s="26" t="inlineStr">
        <is>
          <t>B</t>
        </is>
      </c>
      <c r="FP9566" s="26" t="inlineStr">
        <is>
          <t>B</t>
        </is>
      </c>
    </row>
    <row r="9567">
      <c r="FC9567" t="inlineStr">
        <is>
          <t>Diccionario 9</t>
        </is>
      </c>
      <c r="FD9567" t="inlineStr">
        <is>
          <t>SR-B1607 / SFWB-28|</t>
        </is>
      </c>
      <c r="FL9567" s="26" t="inlineStr">
        <is>
          <t>B</t>
        </is>
      </c>
      <c r="FP9567" s="26" t="inlineStr">
        <is>
          <t>B</t>
        </is>
      </c>
    </row>
    <row r="9568">
      <c r="FC9568" t="inlineStr">
        <is>
          <t>Diccionario 9</t>
        </is>
      </c>
      <c r="FD9568" t="inlineStr">
        <is>
          <t>SR-B1608 / SFWB-29|</t>
        </is>
      </c>
      <c r="FL9568" s="26" t="inlineStr">
        <is>
          <t>B</t>
        </is>
      </c>
      <c r="FP9568" s="26" t="inlineStr">
        <is>
          <t>B</t>
        </is>
      </c>
    </row>
    <row r="9569">
      <c r="FC9569" t="inlineStr">
        <is>
          <t>Diccionario 9</t>
        </is>
      </c>
      <c r="FD9569" t="inlineStr">
        <is>
          <t>RC-B1609 / SFWB-31|</t>
        </is>
      </c>
      <c r="FL9569" s="26" t="inlineStr">
        <is>
          <t>B</t>
        </is>
      </c>
      <c r="FP9569" s="26" t="inlineStr">
        <is>
          <t>B</t>
        </is>
      </c>
    </row>
    <row r="9570">
      <c r="FC9570" t="inlineStr">
        <is>
          <t>Diccionario 9</t>
        </is>
      </c>
      <c r="FD9570" t="inlineStr">
        <is>
          <t>SR-B1610 / SFWB-33|</t>
        </is>
      </c>
      <c r="FL9570" s="26" t="inlineStr">
        <is>
          <t>B</t>
        </is>
      </c>
      <c r="FP9570" s="26" t="inlineStr">
        <is>
          <t>B</t>
        </is>
      </c>
    </row>
    <row r="9571">
      <c r="FC9571" t="inlineStr">
        <is>
          <t>Diccionario 9</t>
        </is>
      </c>
      <c r="FD9571" t="inlineStr">
        <is>
          <t>RC-B1611 / SFWB-35|</t>
        </is>
      </c>
      <c r="FL9571" s="26" t="inlineStr">
        <is>
          <t>B</t>
        </is>
      </c>
      <c r="FP9571" s="26" t="inlineStr">
        <is>
          <t>B</t>
        </is>
      </c>
    </row>
    <row r="9572">
      <c r="FC9572" t="inlineStr">
        <is>
          <t>Diccionario 9</t>
        </is>
      </c>
      <c r="FD9572" t="inlineStr">
        <is>
          <t>SR-B1612 / SFWB-42|</t>
        </is>
      </c>
      <c r="FL9572" s="26" t="inlineStr">
        <is>
          <t>B</t>
        </is>
      </c>
      <c r="FP9572" s="26" t="inlineStr">
        <is>
          <t>B</t>
        </is>
      </c>
    </row>
    <row r="9573">
      <c r="FC9573" t="inlineStr">
        <is>
          <t>Diccionario 9</t>
        </is>
      </c>
      <c r="FD9573" t="inlineStr">
        <is>
          <t>SR-B1613 / SFWB-44|</t>
        </is>
      </c>
      <c r="FL9573" s="26" t="inlineStr">
        <is>
          <t>B</t>
        </is>
      </c>
      <c r="FP9573" s="26" t="inlineStr">
        <is>
          <t>B</t>
        </is>
      </c>
    </row>
    <row r="9574">
      <c r="FC9574" t="inlineStr">
        <is>
          <t>Diccionario 9</t>
        </is>
      </c>
      <c r="FD9574" t="inlineStr">
        <is>
          <t>SR-B1614 / SFWB-46|</t>
        </is>
      </c>
      <c r="FL9574" s="26" t="inlineStr">
        <is>
          <t>B</t>
        </is>
      </c>
      <c r="FP9574" s="26" t="inlineStr">
        <is>
          <t>B</t>
        </is>
      </c>
    </row>
    <row r="9575">
      <c r="FC9575" t="inlineStr">
        <is>
          <t>Diccionario 9</t>
        </is>
      </c>
      <c r="FD9575" t="inlineStr">
        <is>
          <t>SR-B1615 / SFWB-48|</t>
        </is>
      </c>
      <c r="FL9575" s="26" t="inlineStr">
        <is>
          <t>B</t>
        </is>
      </c>
      <c r="FP9575" s="26" t="inlineStr">
        <is>
          <t>B</t>
        </is>
      </c>
    </row>
    <row r="9576">
      <c r="FC9576" t="inlineStr">
        <is>
          <t>Diccionario 9</t>
        </is>
      </c>
      <c r="FD9576" t="inlineStr">
        <is>
          <t>RC-B1616 / SFWB-50|</t>
        </is>
      </c>
      <c r="FL9576" s="26" t="inlineStr">
        <is>
          <t>B</t>
        </is>
      </c>
      <c r="FP9576" s="26" t="inlineStr">
        <is>
          <t>B</t>
        </is>
      </c>
    </row>
    <row r="9577">
      <c r="FC9577" t="inlineStr">
        <is>
          <t>Diccionario 9</t>
        </is>
      </c>
      <c r="FD9577" t="inlineStr">
        <is>
          <t>SR-B1617 / SFWB-51|</t>
        </is>
      </c>
      <c r="FL9577" s="26" t="inlineStr">
        <is>
          <t>B</t>
        </is>
      </c>
      <c r="FP9577" s="26" t="inlineStr">
        <is>
          <t>B</t>
        </is>
      </c>
    </row>
    <row r="9578">
      <c r="FC9578" t="inlineStr">
        <is>
          <t>Diccionario 9</t>
        </is>
      </c>
      <c r="FD9578" t="inlineStr">
        <is>
          <t>RC-B1618 / SFWB-58|</t>
        </is>
      </c>
      <c r="FL9578" s="26" t="inlineStr">
        <is>
          <t>B</t>
        </is>
      </c>
      <c r="FP9578" s="26" t="inlineStr">
        <is>
          <t>B</t>
        </is>
      </c>
    </row>
    <row r="9579">
      <c r="FC9579" t="inlineStr">
        <is>
          <t>Diccionario 9</t>
        </is>
      </c>
      <c r="FD9579" t="inlineStr">
        <is>
          <t>SR-B1619 / SFWB-61|</t>
        </is>
      </c>
      <c r="FL9579" s="26" t="inlineStr">
        <is>
          <t>B</t>
        </is>
      </c>
      <c r="FP9579" s="26" t="inlineStr">
        <is>
          <t>B</t>
        </is>
      </c>
    </row>
    <row r="9580">
      <c r="FC9580" t="inlineStr">
        <is>
          <t>Diccionario 9</t>
        </is>
      </c>
      <c r="FD9580" t="inlineStr">
        <is>
          <t>SR-B1620 / SFWB-64|</t>
        </is>
      </c>
      <c r="FL9580" s="26" t="inlineStr">
        <is>
          <t>B</t>
        </is>
      </c>
      <c r="FP9580" s="26" t="inlineStr">
        <is>
          <t>B</t>
        </is>
      </c>
    </row>
    <row r="9581">
      <c r="FC9581" t="inlineStr">
        <is>
          <t>Diccionario 9</t>
        </is>
      </c>
      <c r="FD9581" t="inlineStr">
        <is>
          <t>RC-B1621 / SFWB-68|</t>
        </is>
      </c>
      <c r="FL9581" s="26" t="inlineStr">
        <is>
          <t>B</t>
        </is>
      </c>
      <c r="FP9581" s="26" t="inlineStr">
        <is>
          <t>B</t>
        </is>
      </c>
    </row>
    <row r="9582">
      <c r="FC9582" t="inlineStr">
        <is>
          <t>Diccionario 9</t>
        </is>
      </c>
      <c r="FD9582" t="inlineStr">
        <is>
          <t>SR-B1622 / SFWB-72|</t>
        </is>
      </c>
      <c r="FL9582" s="26" t="inlineStr">
        <is>
          <t>B</t>
        </is>
      </c>
      <c r="FP9582" s="26" t="inlineStr">
        <is>
          <t>B</t>
        </is>
      </c>
    </row>
    <row r="9583">
      <c r="FC9583" t="inlineStr">
        <is>
          <t>Diccionario 9</t>
        </is>
      </c>
      <c r="FD9583" t="inlineStr">
        <is>
          <t>SR-B1623 / SFWB-73|</t>
        </is>
      </c>
      <c r="FL9583" s="26" t="inlineStr">
        <is>
          <t>B</t>
        </is>
      </c>
      <c r="FP9583" s="26" t="inlineStr">
        <is>
          <t>B</t>
        </is>
      </c>
    </row>
    <row r="9584">
      <c r="FC9584" t="inlineStr">
        <is>
          <t>Diccionario 9</t>
        </is>
      </c>
      <c r="FD9584" t="inlineStr">
        <is>
          <t>SR-B1624 / SFWB-75|</t>
        </is>
      </c>
      <c r="FL9584" s="26" t="inlineStr">
        <is>
          <t>B</t>
        </is>
      </c>
      <c r="FP9584" s="26" t="inlineStr">
        <is>
          <t>B</t>
        </is>
      </c>
    </row>
    <row r="9585">
      <c r="FC9585" t="inlineStr">
        <is>
          <t>Diccionario 9</t>
        </is>
      </c>
      <c r="FD9585" t="inlineStr">
        <is>
          <t>SR-B1625 / SFWB-76|</t>
        </is>
      </c>
      <c r="FL9585" s="26" t="inlineStr">
        <is>
          <t>B</t>
        </is>
      </c>
      <c r="FP9585" s="26" t="inlineStr">
        <is>
          <t>B</t>
        </is>
      </c>
    </row>
    <row r="9586">
      <c r="FC9586" t="inlineStr">
        <is>
          <t>Diccionario 9</t>
        </is>
      </c>
      <c r="FD9586" t="inlineStr">
        <is>
          <t>SR-B1626 / SFWB-77|</t>
        </is>
      </c>
      <c r="FL9586" s="26" t="inlineStr">
        <is>
          <t>B</t>
        </is>
      </c>
      <c r="FP9586" s="26" t="inlineStr">
        <is>
          <t>B</t>
        </is>
      </c>
    </row>
    <row r="9587">
      <c r="FC9587" t="inlineStr">
        <is>
          <t>Diccionario 9</t>
        </is>
      </c>
      <c r="FD9587" t="inlineStr">
        <is>
          <t>SR-B1627 / SFWB-82|</t>
        </is>
      </c>
      <c r="FL9587" s="26" t="inlineStr">
        <is>
          <t>B</t>
        </is>
      </c>
      <c r="FP9587" s="26" t="inlineStr">
        <is>
          <t>B</t>
        </is>
      </c>
    </row>
    <row r="9588">
      <c r="FC9588" t="inlineStr">
        <is>
          <t>Diccionario 9</t>
        </is>
      </c>
      <c r="FD9588" t="inlineStr">
        <is>
          <t>RC-B1628 / SFWB-84|</t>
        </is>
      </c>
      <c r="FL9588" s="26" t="inlineStr">
        <is>
          <t>B</t>
        </is>
      </c>
      <c r="FP9588" s="26" t="inlineStr">
        <is>
          <t>B</t>
        </is>
      </c>
    </row>
    <row r="9589">
      <c r="FC9589" t="inlineStr">
        <is>
          <t>Diccionario 9</t>
        </is>
      </c>
      <c r="FD9589" t="inlineStr">
        <is>
          <t>SR-B1629 / SFWB-85|</t>
        </is>
      </c>
      <c r="FL9589" s="26" t="inlineStr">
        <is>
          <t>B</t>
        </is>
      </c>
      <c r="FP9589" s="26" t="inlineStr">
        <is>
          <t>B</t>
        </is>
      </c>
    </row>
    <row r="9590">
      <c r="FC9590" t="inlineStr">
        <is>
          <t>Diccionario 9</t>
        </is>
      </c>
      <c r="FD9590" t="inlineStr">
        <is>
          <t>SR-B1630 / SFWB-87|</t>
        </is>
      </c>
      <c r="FL9590" s="26" t="inlineStr">
        <is>
          <t>B</t>
        </is>
      </c>
      <c r="FP9590" s="26" t="inlineStr">
        <is>
          <t>B</t>
        </is>
      </c>
    </row>
    <row r="9591">
      <c r="FC9591" t="inlineStr">
        <is>
          <t>Diccionario 9</t>
        </is>
      </c>
      <c r="FD9591" t="inlineStr">
        <is>
          <t>RC-B1631 / SFWB-89|</t>
        </is>
      </c>
      <c r="FL9591" s="26" t="inlineStr">
        <is>
          <t>B</t>
        </is>
      </c>
      <c r="FP9591" s="26" t="inlineStr">
        <is>
          <t>B</t>
        </is>
      </c>
    </row>
    <row r="9592">
      <c r="FC9592" t="inlineStr">
        <is>
          <t>Diccionario 9</t>
        </is>
      </c>
      <c r="FD9592" t="inlineStr">
        <is>
          <t>SR-B1632 / SFWB-90|</t>
        </is>
      </c>
      <c r="FL9592" s="26" t="inlineStr">
        <is>
          <t>B</t>
        </is>
      </c>
      <c r="FP9592" s="26" t="inlineStr">
        <is>
          <t>B</t>
        </is>
      </c>
    </row>
    <row r="9593">
      <c r="FC9593" t="inlineStr">
        <is>
          <t>Diccionario 9</t>
        </is>
      </c>
      <c r="FD9593" t="inlineStr">
        <is>
          <t>SR-B1633 / SFWB-95|</t>
        </is>
      </c>
      <c r="FL9593" s="26" t="inlineStr">
        <is>
          <t>B</t>
        </is>
      </c>
      <c r="FP9593" s="26" t="inlineStr">
        <is>
          <t>B</t>
        </is>
      </c>
    </row>
    <row r="9594">
      <c r="FC9594" t="inlineStr">
        <is>
          <t>Diccionario 9</t>
        </is>
      </c>
      <c r="FD9594" t="inlineStr">
        <is>
          <t>SR-B1634 / SFWB-96|</t>
        </is>
      </c>
      <c r="FL9594" s="26" t="inlineStr">
        <is>
          <t>B</t>
        </is>
      </c>
      <c r="FP9594" s="26" t="inlineStr">
        <is>
          <t>B</t>
        </is>
      </c>
    </row>
    <row r="9595">
      <c r="FC9595" t="inlineStr">
        <is>
          <t>Diccionario 9</t>
        </is>
      </c>
      <c r="FD9595" t="inlineStr">
        <is>
          <t>SR-B1635 / SFWB-98|</t>
        </is>
      </c>
      <c r="FL9595" s="26" t="inlineStr">
        <is>
          <t>B</t>
        </is>
      </c>
      <c r="FP9595" s="26" t="inlineStr">
        <is>
          <t>B</t>
        </is>
      </c>
    </row>
    <row r="9596">
      <c r="FC9596" t="inlineStr">
        <is>
          <t>Diccionario 9</t>
        </is>
      </c>
      <c r="FD9596" t="inlineStr">
        <is>
          <t>SR-B1636 / SFWZ-10|</t>
        </is>
      </c>
      <c r="FL9596" s="26" t="inlineStr">
        <is>
          <t>B</t>
        </is>
      </c>
      <c r="FP9596" s="26" t="inlineStr">
        <is>
          <t>B</t>
        </is>
      </c>
    </row>
    <row r="9597">
      <c r="FC9597" t="inlineStr">
        <is>
          <t>Diccionario 9</t>
        </is>
      </c>
      <c r="FD9597" t="inlineStr">
        <is>
          <t>SR-B1637 / SFWZ-13|</t>
        </is>
      </c>
      <c r="FL9597" s="26" t="inlineStr">
        <is>
          <t>B</t>
        </is>
      </c>
      <c r="FP9597" s="26" t="inlineStr">
        <is>
          <t>B</t>
        </is>
      </c>
    </row>
    <row r="9598">
      <c r="FC9598" t="inlineStr">
        <is>
          <t>Diccionario 9</t>
        </is>
      </c>
      <c r="FD9598" t="inlineStr">
        <is>
          <t>SR-B1638 / SFWZ-14|</t>
        </is>
      </c>
      <c r="FL9598" s="26" t="inlineStr">
        <is>
          <t>B</t>
        </is>
      </c>
      <c r="FP9598" s="26" t="inlineStr">
        <is>
          <t>B</t>
        </is>
      </c>
    </row>
    <row r="9599">
      <c r="FC9599" t="inlineStr">
        <is>
          <t>Diccionario 9</t>
        </is>
      </c>
      <c r="FD9599" t="inlineStr">
        <is>
          <t>RC-B1639 / SFWZ-16|</t>
        </is>
      </c>
      <c r="FL9599" s="26" t="inlineStr">
        <is>
          <t>B</t>
        </is>
      </c>
      <c r="FP9599" s="26" t="inlineStr">
        <is>
          <t>B</t>
        </is>
      </c>
    </row>
    <row r="9600">
      <c r="FC9600" t="inlineStr">
        <is>
          <t>Diccionario 9</t>
        </is>
      </c>
      <c r="FD9600" t="inlineStr">
        <is>
          <t>RC-B1640 / SFWZ-17|</t>
        </is>
      </c>
      <c r="FL9600" s="26" t="inlineStr">
        <is>
          <t>B</t>
        </is>
      </c>
      <c r="FP9600" s="26" t="inlineStr">
        <is>
          <t>B</t>
        </is>
      </c>
    </row>
    <row r="9601">
      <c r="FC9601" t="inlineStr">
        <is>
          <t>Diccionario 9</t>
        </is>
      </c>
      <c r="FD9601" t="inlineStr">
        <is>
          <t>SR-B1641 / SFWZ-18|</t>
        </is>
      </c>
      <c r="FL9601" s="26" t="inlineStr">
        <is>
          <t>B</t>
        </is>
      </c>
      <c r="FP9601" s="26" t="inlineStr">
        <is>
          <t>B</t>
        </is>
      </c>
    </row>
    <row r="9602">
      <c r="FC9602" t="inlineStr">
        <is>
          <t>Diccionario 9</t>
        </is>
      </c>
      <c r="FD9602" t="inlineStr">
        <is>
          <t>SR-B1642 / SFWZ-20|</t>
        </is>
      </c>
      <c r="FL9602" s="26" t="inlineStr">
        <is>
          <t>B</t>
        </is>
      </c>
      <c r="FP9602" s="26" t="inlineStr">
        <is>
          <t>B</t>
        </is>
      </c>
    </row>
    <row r="9603">
      <c r="FC9603" t="inlineStr">
        <is>
          <t>Diccionario 9</t>
        </is>
      </c>
      <c r="FD9603" t="inlineStr">
        <is>
          <t>SR-B1643 / SFWZ-21|</t>
        </is>
      </c>
      <c r="FL9603" s="26" t="inlineStr">
        <is>
          <t>B</t>
        </is>
      </c>
      <c r="FP9603" s="26" t="inlineStr">
        <is>
          <t>B</t>
        </is>
      </c>
    </row>
    <row r="9604">
      <c r="FC9604" t="inlineStr">
        <is>
          <t>Diccionario 9</t>
        </is>
      </c>
      <c r="FD9604" t="inlineStr">
        <is>
          <t>SR-B1644 / SFWZ-23|</t>
        </is>
      </c>
      <c r="FL9604" s="26" t="inlineStr">
        <is>
          <t>B</t>
        </is>
      </c>
      <c r="FP9604" s="26" t="inlineStr">
        <is>
          <t>B</t>
        </is>
      </c>
    </row>
    <row r="9605">
      <c r="FC9605" t="inlineStr">
        <is>
          <t>Diccionario 9</t>
        </is>
      </c>
      <c r="FD9605" t="inlineStr">
        <is>
          <t>SR-B1645 / SFWZ-25|</t>
        </is>
      </c>
      <c r="FL9605" s="26" t="inlineStr">
        <is>
          <t>B</t>
        </is>
      </c>
      <c r="FP9605" s="26" t="inlineStr">
        <is>
          <t>B</t>
        </is>
      </c>
    </row>
    <row r="9606">
      <c r="FC9606" t="inlineStr">
        <is>
          <t>Diccionario 9</t>
        </is>
      </c>
      <c r="FD9606" t="inlineStr">
        <is>
          <t>SR-B1646 / SFWZ-26|</t>
        </is>
      </c>
      <c r="FL9606" s="26" t="inlineStr">
        <is>
          <t>B</t>
        </is>
      </c>
      <c r="FP9606" s="26" t="inlineStr">
        <is>
          <t>B</t>
        </is>
      </c>
    </row>
    <row r="9607">
      <c r="FC9607" t="inlineStr">
        <is>
          <t>Diccionario 9</t>
        </is>
      </c>
      <c r="FD9607" t="inlineStr">
        <is>
          <t>RC-B1647 / SFWZ-27|</t>
        </is>
      </c>
      <c r="FL9607" s="26" t="inlineStr">
        <is>
          <t>B</t>
        </is>
      </c>
      <c r="FP9607" s="26" t="inlineStr">
        <is>
          <t>B</t>
        </is>
      </c>
    </row>
    <row r="9608">
      <c r="FC9608" t="inlineStr">
        <is>
          <t>Diccionario 9</t>
        </is>
      </c>
      <c r="FD9608" t="inlineStr">
        <is>
          <t>RC-B1648 / SFWZ-29|</t>
        </is>
      </c>
      <c r="FL9608" s="26" t="inlineStr">
        <is>
          <t>B</t>
        </is>
      </c>
      <c r="FP9608" s="26" t="inlineStr">
        <is>
          <t>B</t>
        </is>
      </c>
    </row>
    <row r="9609">
      <c r="FC9609" t="inlineStr">
        <is>
          <t>Diccionario 9</t>
        </is>
      </c>
      <c r="FD9609" t="inlineStr">
        <is>
          <t>RC-B1649 / SFWZ-31|</t>
        </is>
      </c>
      <c r="FL9609" s="26" t="inlineStr">
        <is>
          <t>B</t>
        </is>
      </c>
      <c r="FP9609" s="26" t="inlineStr">
        <is>
          <t>B</t>
        </is>
      </c>
    </row>
    <row r="9610">
      <c r="FC9610" t="inlineStr">
        <is>
          <t>Diccionario 9</t>
        </is>
      </c>
      <c r="FD9610" t="inlineStr">
        <is>
          <t>SR-B1650 / SFWZ-32|</t>
        </is>
      </c>
      <c r="FL9610" s="26" t="inlineStr">
        <is>
          <t>B</t>
        </is>
      </c>
      <c r="FP9610" s="26" t="inlineStr">
        <is>
          <t>B</t>
        </is>
      </c>
    </row>
    <row r="9611">
      <c r="FC9611" t="inlineStr">
        <is>
          <t>Diccionario 9</t>
        </is>
      </c>
      <c r="FD9611" t="inlineStr">
        <is>
          <t>RC-B1651 / SFWZ-33|</t>
        </is>
      </c>
      <c r="FL9611" s="26" t="inlineStr">
        <is>
          <t>B</t>
        </is>
      </c>
      <c r="FP9611" s="26" t="inlineStr">
        <is>
          <t>B</t>
        </is>
      </c>
    </row>
    <row r="9612">
      <c r="FC9612" t="inlineStr">
        <is>
          <t>Diccionario 9</t>
        </is>
      </c>
      <c r="FD9612" t="inlineStr">
        <is>
          <t>SR-B1652 / SFWZ-34|</t>
        </is>
      </c>
      <c r="FL9612" s="26" t="inlineStr">
        <is>
          <t>B</t>
        </is>
      </c>
      <c r="FP9612" s="26" t="inlineStr">
        <is>
          <t>B</t>
        </is>
      </c>
    </row>
    <row r="9613">
      <c r="FC9613" t="inlineStr">
        <is>
          <t>Diccionario 9</t>
        </is>
      </c>
      <c r="FD9613" t="inlineStr">
        <is>
          <t>SR-B1653 / SFWZ-36|</t>
        </is>
      </c>
      <c r="FL9613" s="26" t="inlineStr">
        <is>
          <t>B</t>
        </is>
      </c>
      <c r="FP9613" s="26" t="inlineStr">
        <is>
          <t>B</t>
        </is>
      </c>
    </row>
    <row r="9614">
      <c r="FC9614" t="inlineStr">
        <is>
          <t>Diccionario 9</t>
        </is>
      </c>
      <c r="FD9614" t="inlineStr">
        <is>
          <t>RC-B1654 / SFWZ-37|</t>
        </is>
      </c>
      <c r="FL9614" s="26" t="inlineStr">
        <is>
          <t>B</t>
        </is>
      </c>
      <c r="FP9614" s="26" t="inlineStr">
        <is>
          <t>B</t>
        </is>
      </c>
    </row>
    <row r="9615">
      <c r="FC9615" t="inlineStr">
        <is>
          <t>Diccionario 9</t>
        </is>
      </c>
      <c r="FD9615" t="inlineStr">
        <is>
          <t>SR-B1655 / SFWZ-38|</t>
        </is>
      </c>
      <c r="FL9615" s="26" t="inlineStr">
        <is>
          <t>B</t>
        </is>
      </c>
      <c r="FP9615" s="26" t="inlineStr">
        <is>
          <t>B</t>
        </is>
      </c>
    </row>
    <row r="9616">
      <c r="FC9616" t="inlineStr">
        <is>
          <t>Diccionario 9</t>
        </is>
      </c>
      <c r="FD9616" t="inlineStr">
        <is>
          <t>RC-B1656 / SFWZ-39|</t>
        </is>
      </c>
      <c r="FL9616" s="26" t="inlineStr">
        <is>
          <t>B</t>
        </is>
      </c>
      <c r="FP9616" s="26" t="inlineStr">
        <is>
          <t>B</t>
        </is>
      </c>
    </row>
    <row r="9617">
      <c r="FC9617" t="inlineStr">
        <is>
          <t>Diccionario 9</t>
        </is>
      </c>
      <c r="FD9617" t="inlineStr">
        <is>
          <t>SR-B1657 / SFWZ-40|</t>
        </is>
      </c>
      <c r="FL9617" s="26" t="inlineStr">
        <is>
          <t>B</t>
        </is>
      </c>
      <c r="FP9617" s="26" t="inlineStr">
        <is>
          <t>B</t>
        </is>
      </c>
    </row>
    <row r="9618">
      <c r="FC9618" t="inlineStr">
        <is>
          <t>Diccionario 9</t>
        </is>
      </c>
      <c r="FD9618" t="inlineStr">
        <is>
          <t>RC-B1658 / SFWZ-42|</t>
        </is>
      </c>
      <c r="FL9618" s="26" t="inlineStr">
        <is>
          <t>B</t>
        </is>
      </c>
      <c r="FP9618" s="26" t="inlineStr">
        <is>
          <t>B</t>
        </is>
      </c>
    </row>
    <row r="9619">
      <c r="FC9619" t="inlineStr">
        <is>
          <t>Diccionario 9</t>
        </is>
      </c>
      <c r="FD9619" t="inlineStr">
        <is>
          <t>SR-B1659 / SFWZ-45|</t>
        </is>
      </c>
      <c r="FL9619" s="26" t="inlineStr">
        <is>
          <t>B</t>
        </is>
      </c>
      <c r="FP9619" s="26" t="inlineStr">
        <is>
          <t>B</t>
        </is>
      </c>
    </row>
    <row r="9620">
      <c r="FC9620" t="inlineStr">
        <is>
          <t>Diccionario 9</t>
        </is>
      </c>
      <c r="FD9620" t="inlineStr">
        <is>
          <t>RC-B1660 / SFWZ-48|</t>
        </is>
      </c>
      <c r="FL9620" s="26" t="inlineStr">
        <is>
          <t>B</t>
        </is>
      </c>
      <c r="FP9620" s="26" t="inlineStr">
        <is>
          <t>B</t>
        </is>
      </c>
    </row>
    <row r="9621">
      <c r="FC9621" t="inlineStr">
        <is>
          <t>Diccionario 9</t>
        </is>
      </c>
      <c r="FD9621" t="inlineStr">
        <is>
          <t>RC-B1661 / SFWZ-49|</t>
        </is>
      </c>
      <c r="FL9621" s="26" t="inlineStr">
        <is>
          <t>B</t>
        </is>
      </c>
      <c r="FP9621" s="26" t="inlineStr">
        <is>
          <t>B</t>
        </is>
      </c>
    </row>
    <row r="9622">
      <c r="FC9622" t="inlineStr">
        <is>
          <t>Diccionario 9</t>
        </is>
      </c>
      <c r="FD9622" t="inlineStr">
        <is>
          <t>RC-B1662 / SFWZ-50|</t>
        </is>
      </c>
      <c r="FL9622" s="26" t="inlineStr">
        <is>
          <t>B</t>
        </is>
      </c>
      <c r="FP9622" s="26" t="inlineStr">
        <is>
          <t>B</t>
        </is>
      </c>
    </row>
    <row r="9623">
      <c r="FC9623" t="inlineStr">
        <is>
          <t>Diccionario 9</t>
        </is>
      </c>
      <c r="FD9623" t="inlineStr">
        <is>
          <t>RC-B1663 / SFWZ-52|</t>
        </is>
      </c>
      <c r="FL9623" s="26" t="inlineStr">
        <is>
          <t>B</t>
        </is>
      </c>
      <c r="FP9623" s="26" t="inlineStr">
        <is>
          <t>B</t>
        </is>
      </c>
    </row>
    <row r="9624">
      <c r="FC9624" t="inlineStr">
        <is>
          <t>Diccionario 9</t>
        </is>
      </c>
      <c r="FD9624" t="inlineStr">
        <is>
          <t>RC-B1664 / SFWZ-53|</t>
        </is>
      </c>
      <c r="FL9624" s="26" t="inlineStr">
        <is>
          <t>B</t>
        </is>
      </c>
      <c r="FP9624" s="26" t="inlineStr">
        <is>
          <t>B</t>
        </is>
      </c>
    </row>
    <row r="9625">
      <c r="FC9625" t="inlineStr">
        <is>
          <t>Diccionario 9</t>
        </is>
      </c>
      <c r="FD9625" t="inlineStr">
        <is>
          <t>RC-B1665 / SFWZ-54|</t>
        </is>
      </c>
      <c r="FL9625" s="26" t="inlineStr">
        <is>
          <t>B</t>
        </is>
      </c>
      <c r="FP9625" s="26" t="inlineStr">
        <is>
          <t>B</t>
        </is>
      </c>
    </row>
    <row r="9626">
      <c r="FC9626" t="inlineStr">
        <is>
          <t>Diccionario 9</t>
        </is>
      </c>
      <c r="FD9626" t="inlineStr">
        <is>
          <t>RC-B1666 / SFWZ-55|</t>
        </is>
      </c>
      <c r="FL9626" s="26" t="inlineStr">
        <is>
          <t>B</t>
        </is>
      </c>
      <c r="FP9626" s="26" t="inlineStr">
        <is>
          <t>B</t>
        </is>
      </c>
    </row>
    <row r="9627">
      <c r="FC9627" t="inlineStr">
        <is>
          <t>Diccionario 9</t>
        </is>
      </c>
      <c r="FD9627" t="inlineStr">
        <is>
          <t>RC-B1667 / SFWZ-56|</t>
        </is>
      </c>
      <c r="FL9627" s="26" t="inlineStr">
        <is>
          <t>B</t>
        </is>
      </c>
      <c r="FP9627" s="26" t="inlineStr">
        <is>
          <t>B</t>
        </is>
      </c>
    </row>
    <row r="9628">
      <c r="FC9628" t="inlineStr">
        <is>
          <t>Diccionario 9</t>
        </is>
      </c>
      <c r="FD9628" t="inlineStr">
        <is>
          <t>SR-B1668 / SFWZ-58|</t>
        </is>
      </c>
      <c r="FL9628" s="26" t="inlineStr">
        <is>
          <t>B</t>
        </is>
      </c>
      <c r="FP9628" s="26" t="inlineStr">
        <is>
          <t>B</t>
        </is>
      </c>
    </row>
    <row r="9629">
      <c r="FC9629" t="inlineStr">
        <is>
          <t>Diccionario 9</t>
        </is>
      </c>
      <c r="FD9629" t="inlineStr">
        <is>
          <t>RC-B1669 / SFWZ-59|</t>
        </is>
      </c>
      <c r="FL9629" s="26" t="inlineStr">
        <is>
          <t>B</t>
        </is>
      </c>
      <c r="FP9629" s="26" t="inlineStr">
        <is>
          <t>B</t>
        </is>
      </c>
    </row>
    <row r="9630">
      <c r="FC9630" t="inlineStr">
        <is>
          <t>Diccionario 9</t>
        </is>
      </c>
      <c r="FD9630" t="inlineStr">
        <is>
          <t>RC-B1670 / SFWZ-61|</t>
        </is>
      </c>
      <c r="FL9630" s="26" t="inlineStr">
        <is>
          <t>B</t>
        </is>
      </c>
      <c r="FP9630" s="26" t="inlineStr">
        <is>
          <t>B</t>
        </is>
      </c>
    </row>
    <row r="9631">
      <c r="FC9631" t="inlineStr">
        <is>
          <t>Diccionario 9</t>
        </is>
      </c>
      <c r="FD9631" t="inlineStr">
        <is>
          <t>RC-B1671 / SFWZ-62|</t>
        </is>
      </c>
      <c r="FL9631" s="26" t="inlineStr">
        <is>
          <t>B</t>
        </is>
      </c>
      <c r="FP9631" s="26" t="inlineStr">
        <is>
          <t>B</t>
        </is>
      </c>
    </row>
    <row r="9632">
      <c r="FC9632" t="inlineStr">
        <is>
          <t>Diccionario 9</t>
        </is>
      </c>
      <c r="FD9632" t="inlineStr">
        <is>
          <t>SR-B1672 / SFWZ-63|</t>
        </is>
      </c>
      <c r="FL9632" s="26" t="inlineStr">
        <is>
          <t>B</t>
        </is>
      </c>
      <c r="FP9632" s="26" t="inlineStr">
        <is>
          <t>B</t>
        </is>
      </c>
    </row>
    <row r="9633">
      <c r="FC9633" t="inlineStr">
        <is>
          <t>Diccionario 9</t>
        </is>
      </c>
      <c r="FD9633" t="inlineStr">
        <is>
          <t>RC-B1673 / SFWZ-64|</t>
        </is>
      </c>
      <c r="FL9633" s="26" t="inlineStr">
        <is>
          <t>B</t>
        </is>
      </c>
      <c r="FP9633" s="26" t="inlineStr">
        <is>
          <t>B</t>
        </is>
      </c>
    </row>
    <row r="9634">
      <c r="FC9634" t="inlineStr">
        <is>
          <t>Diccionario 9</t>
        </is>
      </c>
      <c r="FD9634" t="inlineStr">
        <is>
          <t>RC-B1674 / SFWZ-65|</t>
        </is>
      </c>
      <c r="FL9634" s="26" t="inlineStr">
        <is>
          <t>B</t>
        </is>
      </c>
      <c r="FP9634" s="26" t="inlineStr">
        <is>
          <t>B</t>
        </is>
      </c>
    </row>
    <row r="9635">
      <c r="FC9635" t="inlineStr">
        <is>
          <t>Diccionario 9</t>
        </is>
      </c>
      <c r="FD9635" t="inlineStr">
        <is>
          <t>RC-B1675 / SFWZ-66|</t>
        </is>
      </c>
      <c r="FL9635" s="26" t="inlineStr">
        <is>
          <t>B</t>
        </is>
      </c>
      <c r="FP9635" s="26" t="inlineStr">
        <is>
          <t>B</t>
        </is>
      </c>
    </row>
    <row r="9636">
      <c r="FC9636" t="inlineStr">
        <is>
          <t>Diccionario 9</t>
        </is>
      </c>
      <c r="FD9636" t="inlineStr">
        <is>
          <t>SR-B1676 / SFWZ-67|</t>
        </is>
      </c>
      <c r="FL9636" s="26" t="inlineStr">
        <is>
          <t>B</t>
        </is>
      </c>
      <c r="FP9636" s="26" t="inlineStr">
        <is>
          <t>B</t>
        </is>
      </c>
    </row>
    <row r="9637">
      <c r="FC9637" t="inlineStr">
        <is>
          <t>Diccionario 9</t>
        </is>
      </c>
      <c r="FD9637" t="inlineStr">
        <is>
          <t>SR-B1677 / SFWZ-68|</t>
        </is>
      </c>
      <c r="FL9637" s="26" t="inlineStr">
        <is>
          <t>B</t>
        </is>
      </c>
      <c r="FP9637" s="26" t="inlineStr">
        <is>
          <t>B</t>
        </is>
      </c>
    </row>
    <row r="9638">
      <c r="FC9638" t="inlineStr">
        <is>
          <t>Diccionario 9</t>
        </is>
      </c>
      <c r="FD9638" t="inlineStr">
        <is>
          <t>RC-B1678 / SFWZ-69|</t>
        </is>
      </c>
      <c r="FL9638" s="26" t="inlineStr">
        <is>
          <t>B</t>
        </is>
      </c>
      <c r="FP9638" s="26" t="inlineStr">
        <is>
          <t>B</t>
        </is>
      </c>
    </row>
    <row r="9639">
      <c r="FC9639" t="inlineStr">
        <is>
          <t>Diccionario 9</t>
        </is>
      </c>
      <c r="FD9639" t="inlineStr">
        <is>
          <t>SR-B1679 / SFWZ-70|</t>
        </is>
      </c>
      <c r="FL9639" s="26" t="inlineStr">
        <is>
          <t>B</t>
        </is>
      </c>
      <c r="FP9639" s="26" t="inlineStr">
        <is>
          <t>B</t>
        </is>
      </c>
    </row>
    <row r="9640">
      <c r="FC9640" t="inlineStr">
        <is>
          <t>Diccionario 9</t>
        </is>
      </c>
      <c r="FD9640" t="inlineStr">
        <is>
          <t>RC-B1680 / SFWZ-73|</t>
        </is>
      </c>
      <c r="FL9640" s="26" t="inlineStr">
        <is>
          <t>B</t>
        </is>
      </c>
      <c r="FP9640" s="26" t="inlineStr">
        <is>
          <t>B</t>
        </is>
      </c>
    </row>
    <row r="9641">
      <c r="FC9641" t="inlineStr">
        <is>
          <t>Diccionario 9</t>
        </is>
      </c>
      <c r="FD9641" t="inlineStr">
        <is>
          <t>SR-B1681 / SFWZ-74|</t>
        </is>
      </c>
      <c r="FL9641" s="26" t="inlineStr">
        <is>
          <t>B</t>
        </is>
      </c>
      <c r="FP9641" s="26" t="inlineStr">
        <is>
          <t>B</t>
        </is>
      </c>
    </row>
    <row r="9642">
      <c r="FC9642" t="inlineStr">
        <is>
          <t>Diccionario 9</t>
        </is>
      </c>
      <c r="FD9642" t="inlineStr">
        <is>
          <t>SR-B1682 / SFWZ-75|</t>
        </is>
      </c>
      <c r="FL9642" s="26" t="inlineStr">
        <is>
          <t>B</t>
        </is>
      </c>
      <c r="FP9642" s="26" t="inlineStr">
        <is>
          <t>B</t>
        </is>
      </c>
    </row>
    <row r="9643">
      <c r="FC9643" t="inlineStr">
        <is>
          <t>Diccionario 9</t>
        </is>
      </c>
      <c r="FD9643" t="inlineStr">
        <is>
          <t>SR-B1683 / SFWZ-76|</t>
        </is>
      </c>
      <c r="FL9643" s="26" t="inlineStr">
        <is>
          <t>B</t>
        </is>
      </c>
      <c r="FP9643" s="26" t="inlineStr">
        <is>
          <t>B</t>
        </is>
      </c>
    </row>
    <row r="9644">
      <c r="FC9644" t="inlineStr">
        <is>
          <t>Diccionario 9</t>
        </is>
      </c>
      <c r="FD9644" t="inlineStr">
        <is>
          <t>SR-B1684 / SFWZ-77|</t>
        </is>
      </c>
      <c r="FL9644" s="26" t="inlineStr">
        <is>
          <t>B</t>
        </is>
      </c>
      <c r="FP9644" s="26" t="inlineStr">
        <is>
          <t>B</t>
        </is>
      </c>
    </row>
    <row r="9645">
      <c r="FC9645" t="inlineStr">
        <is>
          <t>Diccionario 9</t>
        </is>
      </c>
      <c r="FD9645" t="inlineStr">
        <is>
          <t>SR-B1685 / SFWZ-78|</t>
        </is>
      </c>
      <c r="FL9645" s="26" t="inlineStr">
        <is>
          <t>B</t>
        </is>
      </c>
      <c r="FP9645" s="26" t="inlineStr">
        <is>
          <t>B</t>
        </is>
      </c>
    </row>
    <row r="9646">
      <c r="FC9646" t="inlineStr">
        <is>
          <t>Diccionario 9</t>
        </is>
      </c>
      <c r="FD9646" t="inlineStr">
        <is>
          <t>RC-B1686 / SFWZ-80|</t>
        </is>
      </c>
      <c r="FL9646" s="26" t="inlineStr">
        <is>
          <t>B</t>
        </is>
      </c>
      <c r="FP9646" s="26" t="inlineStr">
        <is>
          <t>B</t>
        </is>
      </c>
    </row>
    <row r="9647">
      <c r="FC9647" t="inlineStr">
        <is>
          <t>Diccionario 9</t>
        </is>
      </c>
      <c r="FD9647" t="inlineStr">
        <is>
          <t>RC-B1687 / SFWZ-81|</t>
        </is>
      </c>
      <c r="FL9647" s="26" t="inlineStr">
        <is>
          <t>B</t>
        </is>
      </c>
      <c r="FP9647" s="26" t="inlineStr">
        <is>
          <t>B</t>
        </is>
      </c>
    </row>
    <row r="9648">
      <c r="FC9648" t="inlineStr">
        <is>
          <t>Diccionario 9</t>
        </is>
      </c>
      <c r="FD9648" t="inlineStr">
        <is>
          <t>RC-B1688 / SFWZ-82|</t>
        </is>
      </c>
      <c r="FL9648" s="26" t="inlineStr">
        <is>
          <t>B</t>
        </is>
      </c>
      <c r="FP9648" s="26" t="inlineStr">
        <is>
          <t>B</t>
        </is>
      </c>
    </row>
    <row r="9649">
      <c r="FC9649" t="inlineStr">
        <is>
          <t>Diccionario 9</t>
        </is>
      </c>
      <c r="FD9649" t="inlineStr">
        <is>
          <t>RC-B1689 / SFWZ-83|</t>
        </is>
      </c>
      <c r="FL9649" s="26" t="inlineStr">
        <is>
          <t>B</t>
        </is>
      </c>
      <c r="FP9649" s="26" t="inlineStr">
        <is>
          <t>B</t>
        </is>
      </c>
    </row>
    <row r="9650">
      <c r="FC9650" t="inlineStr">
        <is>
          <t>Diccionario 9</t>
        </is>
      </c>
      <c r="FD9650" t="inlineStr">
        <is>
          <t>SR-B1690 / SFWZ-85|</t>
        </is>
      </c>
      <c r="FL9650" s="26" t="inlineStr">
        <is>
          <t>B</t>
        </is>
      </c>
      <c r="FP9650" s="26" t="inlineStr">
        <is>
          <t>B</t>
        </is>
      </c>
    </row>
    <row r="9651">
      <c r="FC9651" t="inlineStr">
        <is>
          <t>Diccionario 9</t>
        </is>
      </c>
      <c r="FD9651" t="inlineStr">
        <is>
          <t>SR-C1691 / SXKV-97|</t>
        </is>
      </c>
      <c r="FL9651" s="26" t="inlineStr">
        <is>
          <t>C</t>
        </is>
      </c>
      <c r="FP9651" s="26" t="inlineStr">
        <is>
          <t>C</t>
        </is>
      </c>
    </row>
    <row r="9652">
      <c r="FC9652" t="inlineStr">
        <is>
          <t>Diccionario 9</t>
        </is>
      </c>
      <c r="FD9652" t="inlineStr">
        <is>
          <t>SR-C1692 / SXKV-98|</t>
        </is>
      </c>
      <c r="FL9652" s="26" t="inlineStr">
        <is>
          <t>C</t>
        </is>
      </c>
      <c r="FP9652" s="26" t="inlineStr">
        <is>
          <t>C</t>
        </is>
      </c>
    </row>
    <row r="9653">
      <c r="FC9653" t="inlineStr">
        <is>
          <t>Diccionario 9</t>
        </is>
      </c>
      <c r="FD9653" t="inlineStr">
        <is>
          <t>SR-C1693 / SXKV-99|</t>
        </is>
      </c>
      <c r="FL9653" s="26" t="inlineStr">
        <is>
          <t>C</t>
        </is>
      </c>
      <c r="FP9653" s="26" t="inlineStr">
        <is>
          <t>C</t>
        </is>
      </c>
    </row>
    <row r="9654">
      <c r="FC9654" t="inlineStr">
        <is>
          <t>Diccionario 9</t>
        </is>
      </c>
      <c r="FD9654" t="inlineStr">
        <is>
          <t>SR-C1694 / TBZB-24|</t>
        </is>
      </c>
      <c r="FL9654" s="26" t="inlineStr">
        <is>
          <t>C</t>
        </is>
      </c>
      <c r="FP9654" s="26" t="inlineStr">
        <is>
          <t>C</t>
        </is>
      </c>
    </row>
    <row r="9655">
      <c r="FC9655" t="inlineStr">
        <is>
          <t>Diccionario 9</t>
        </is>
      </c>
      <c r="FD9655" t="inlineStr">
        <is>
          <t>CER-A1695 / VGLZ-33|</t>
        </is>
      </c>
      <c r="FL9655" s="26" t="inlineStr">
        <is>
          <t>A</t>
        </is>
      </c>
      <c r="FP9655" s="26" t="inlineStr">
        <is>
          <t>A</t>
        </is>
      </c>
    </row>
    <row r="9656">
      <c r="FC9656" t="inlineStr">
        <is>
          <t>Diccionario 9</t>
        </is>
      </c>
      <c r="FD9656" t="inlineStr">
        <is>
          <t>CER-A1696 / VGLZ-43|</t>
        </is>
      </c>
      <c r="FL9656" s="26" t="inlineStr">
        <is>
          <t>A</t>
        </is>
      </c>
      <c r="FP9656" s="26" t="inlineStr">
        <is>
          <t>A</t>
        </is>
      </c>
    </row>
    <row r="9657">
      <c r="FC9657" t="inlineStr">
        <is>
          <t>Diccionario 9</t>
        </is>
      </c>
      <c r="FD9657" t="inlineStr">
        <is>
          <t>CER-A1697 / VGRB-23|</t>
        </is>
      </c>
      <c r="FL9657" s="26" t="inlineStr">
        <is>
          <t>A</t>
        </is>
      </c>
      <c r="FP9657" s="26" t="inlineStr">
        <is>
          <t>A</t>
        </is>
      </c>
    </row>
    <row r="9658">
      <c r="FC9658" t="inlineStr">
        <is>
          <t>Diccionario 9</t>
        </is>
      </c>
      <c r="FD9658" t="inlineStr">
        <is>
          <t>CER-A1698 / VGRB-24|</t>
        </is>
      </c>
      <c r="FL9658" s="26" t="inlineStr">
        <is>
          <t>A</t>
        </is>
      </c>
      <c r="FP9658" s="26" t="inlineStr">
        <is>
          <t>A</t>
        </is>
      </c>
    </row>
    <row r="9659">
      <c r="FC9659" t="inlineStr">
        <is>
          <t>Diccionario 9</t>
        </is>
      </c>
      <c r="FD9659" t="inlineStr">
        <is>
          <t>CER-A1699 / VGRB-33|</t>
        </is>
      </c>
      <c r="FL9659" s="26" t="inlineStr">
        <is>
          <t>A</t>
        </is>
      </c>
      <c r="FP9659" s="26" t="inlineStr">
        <is>
          <t>A</t>
        </is>
      </c>
    </row>
    <row r="9660">
      <c r="FC9660" t="inlineStr">
        <is>
          <t>Diccionario 9</t>
        </is>
      </c>
      <c r="FD9660" t="inlineStr">
        <is>
          <t>CER-A1700 / VGRB-63|</t>
        </is>
      </c>
      <c r="FL9660" s="26" t="inlineStr">
        <is>
          <t>A</t>
        </is>
      </c>
      <c r="FP9660" s="26" t="inlineStr">
        <is>
          <t>A</t>
        </is>
      </c>
    </row>
    <row r="9661">
      <c r="FC9661" t="inlineStr">
        <is>
          <t>Diccionario 9</t>
        </is>
      </c>
      <c r="FD9661" t="inlineStr">
        <is>
          <t>CER-A1701 / VGRB-73|</t>
        </is>
      </c>
      <c r="FL9661" s="26" t="inlineStr">
        <is>
          <t>A</t>
        </is>
      </c>
      <c r="FP9661" s="26" t="inlineStr">
        <is>
          <t>A</t>
        </is>
      </c>
    </row>
    <row r="9662">
      <c r="FC9662" t="inlineStr">
        <is>
          <t>Diccionario 9</t>
        </is>
      </c>
      <c r="FD9662" t="inlineStr">
        <is>
          <t>CER-A1702 / VGRB-93|</t>
        </is>
      </c>
      <c r="FL9662" s="26" t="inlineStr">
        <is>
          <t>A</t>
        </is>
      </c>
      <c r="FP9662" s="26" t="inlineStr">
        <is>
          <t>A</t>
        </is>
      </c>
    </row>
    <row r="9663">
      <c r="FC9663" t="inlineStr">
        <is>
          <t>Diccionario 9</t>
        </is>
      </c>
      <c r="FD9663" t="inlineStr">
        <is>
          <t>CER-A1703 / VGRC-13|</t>
        </is>
      </c>
      <c r="FL9663" s="26" t="inlineStr">
        <is>
          <t>A</t>
        </is>
      </c>
      <c r="FP9663" s="26" t="inlineStr">
        <is>
          <t>A</t>
        </is>
      </c>
    </row>
    <row r="9664">
      <c r="FC9664" t="inlineStr">
        <is>
          <t>Diccionario 9</t>
        </is>
      </c>
      <c r="FD9664" t="inlineStr">
        <is>
          <t>CER-A1704 / VGRC-23|</t>
        </is>
      </c>
      <c r="FL9664" s="26" t="inlineStr">
        <is>
          <t>A</t>
        </is>
      </c>
      <c r="FP9664" s="26" t="inlineStr">
        <is>
          <t>A</t>
        </is>
      </c>
    </row>
    <row r="9665">
      <c r="FC9665" t="inlineStr">
        <is>
          <t>Diccionario 9</t>
        </is>
      </c>
      <c r="FD9665" t="inlineStr">
        <is>
          <t>CER-A1705 / VGRC-33|</t>
        </is>
      </c>
      <c r="FL9665" s="26" t="inlineStr">
        <is>
          <t>A</t>
        </is>
      </c>
      <c r="FP9665" s="26" t="inlineStr">
        <is>
          <t>A</t>
        </is>
      </c>
    </row>
    <row r="9666">
      <c r="FC9666" t="inlineStr">
        <is>
          <t>Diccionario 9</t>
        </is>
      </c>
      <c r="FD9666" t="inlineStr">
        <is>
          <t>CER-A1706 / VGRC-43|</t>
        </is>
      </c>
      <c r="FL9666" s="26" t="inlineStr">
        <is>
          <t>A</t>
        </is>
      </c>
      <c r="FP9666" s="26" t="inlineStr">
        <is>
          <t>A</t>
        </is>
      </c>
    </row>
    <row r="9667">
      <c r="FC9667" t="inlineStr">
        <is>
          <t>Diccionario 9</t>
        </is>
      </c>
      <c r="FD9667" t="inlineStr">
        <is>
          <t>CER-A1707 / VGRC-53|</t>
        </is>
      </c>
      <c r="FL9667" s="26" t="inlineStr">
        <is>
          <t>A</t>
        </is>
      </c>
      <c r="FP9667" s="26" t="inlineStr">
        <is>
          <t>A</t>
        </is>
      </c>
    </row>
    <row r="9668">
      <c r="FC9668" t="inlineStr">
        <is>
          <t>Diccionario 9</t>
        </is>
      </c>
      <c r="FD9668" t="inlineStr">
        <is>
          <t>CER-A1708 / VGRC-73|</t>
        </is>
      </c>
      <c r="FL9668" s="26" t="inlineStr">
        <is>
          <t>A</t>
        </is>
      </c>
      <c r="FP9668" s="26" t="inlineStr">
        <is>
          <t>A</t>
        </is>
      </c>
    </row>
    <row r="9669">
      <c r="FC9669" t="inlineStr">
        <is>
          <t>Diccionario 9</t>
        </is>
      </c>
      <c r="FD9669" t="inlineStr">
        <is>
          <t>CER-A1709 / VGRC-83|</t>
        </is>
      </c>
      <c r="FL9669" s="26" t="inlineStr">
        <is>
          <t>A</t>
        </is>
      </c>
      <c r="FP9669" s="26" t="inlineStr">
        <is>
          <t>A</t>
        </is>
      </c>
    </row>
    <row r="9670">
      <c r="FC9670" t="inlineStr">
        <is>
          <t>Diccionario 9</t>
        </is>
      </c>
      <c r="FD9670" t="inlineStr">
        <is>
          <t>CER-A1710 / VGRC-93|</t>
        </is>
      </c>
      <c r="FL9670" s="26" t="inlineStr">
        <is>
          <t>A</t>
        </is>
      </c>
      <c r="FP9670" s="26" t="inlineStr">
        <is>
          <t>A</t>
        </is>
      </c>
    </row>
    <row r="9671">
      <c r="FC9671" t="inlineStr">
        <is>
          <t>Diccionario 9</t>
        </is>
      </c>
      <c r="FD9671" t="inlineStr">
        <is>
          <t>CER-A1711 / VGRD-25|</t>
        </is>
      </c>
      <c r="FL9671" s="26" t="inlineStr">
        <is>
          <t>A</t>
        </is>
      </c>
      <c r="FP9671" s="26" t="inlineStr">
        <is>
          <t>A</t>
        </is>
      </c>
    </row>
    <row r="9672">
      <c r="FC9672" t="inlineStr">
        <is>
          <t>Diccionario 9</t>
        </is>
      </c>
      <c r="FD9672" t="inlineStr">
        <is>
          <t>CER-A1712 / VGRD-35|</t>
        </is>
      </c>
      <c r="FL9672" s="26" t="inlineStr">
        <is>
          <t>A</t>
        </is>
      </c>
      <c r="FP9672" s="26" t="inlineStr">
        <is>
          <t>A</t>
        </is>
      </c>
    </row>
    <row r="9673">
      <c r="FC9673" t="inlineStr">
        <is>
          <t>Diccionario 9</t>
        </is>
      </c>
      <c r="FD9673" t="inlineStr">
        <is>
          <t>CER-A1713 / VGRD-55|</t>
        </is>
      </c>
      <c r="FL9673" s="26" t="inlineStr">
        <is>
          <t>A</t>
        </is>
      </c>
      <c r="FP9673" s="26" t="inlineStr">
        <is>
          <t>A</t>
        </is>
      </c>
    </row>
    <row r="9674">
      <c r="FC9674" t="inlineStr">
        <is>
          <t>Diccionario 9</t>
        </is>
      </c>
      <c r="FD9674" t="inlineStr">
        <is>
          <t>CER-A1714 / VGRF-45|</t>
        </is>
      </c>
      <c r="FL9674" s="26" t="inlineStr">
        <is>
          <t>A</t>
        </is>
      </c>
      <c r="FP9674" s="26" t="inlineStr">
        <is>
          <t>A</t>
        </is>
      </c>
    </row>
    <row r="9675">
      <c r="FC9675" t="inlineStr">
        <is>
          <t>Diccionario 9</t>
        </is>
      </c>
      <c r="FD9675" t="inlineStr">
        <is>
          <t>CER-A1715 / VGRF-55|</t>
        </is>
      </c>
      <c r="FL9675" s="26" t="inlineStr">
        <is>
          <t>A</t>
        </is>
      </c>
      <c r="FP9675" s="26" t="inlineStr">
        <is>
          <t>A</t>
        </is>
      </c>
    </row>
    <row r="9676">
      <c r="FC9676" t="inlineStr">
        <is>
          <t>Diccionario 9</t>
        </is>
      </c>
      <c r="FD9676" t="inlineStr">
        <is>
          <t>CER-A1716 / VGRF-65|</t>
        </is>
      </c>
      <c r="FL9676" s="26" t="inlineStr">
        <is>
          <t>A</t>
        </is>
      </c>
      <c r="FP9676" s="26" t="inlineStr">
        <is>
          <t>A</t>
        </is>
      </c>
    </row>
    <row r="9677">
      <c r="FC9677" t="inlineStr">
        <is>
          <t>Diccionario 9</t>
        </is>
      </c>
      <c r="FD9677" t="inlineStr">
        <is>
          <t>CER-A1717 / VGRF-75|</t>
        </is>
      </c>
      <c r="FL9677" s="26" t="inlineStr">
        <is>
          <t>A</t>
        </is>
      </c>
      <c r="FP9677" s="26" t="inlineStr">
        <is>
          <t>A</t>
        </is>
      </c>
    </row>
    <row r="9678">
      <c r="FC9678" t="inlineStr">
        <is>
          <t>Diccionario 9</t>
        </is>
      </c>
      <c r="FD9678" t="inlineStr">
        <is>
          <t>CER-A1718 / VGRF-84|</t>
        </is>
      </c>
      <c r="FL9678" s="26" t="inlineStr">
        <is>
          <t>A</t>
        </is>
      </c>
      <c r="FP9678" s="26" t="inlineStr">
        <is>
          <t>A</t>
        </is>
      </c>
    </row>
    <row r="9679">
      <c r="FC9679" t="inlineStr">
        <is>
          <t>Diccionario 9</t>
        </is>
      </c>
      <c r="FD9679" t="inlineStr">
        <is>
          <t>CER-A1719 / VGRF-85|</t>
        </is>
      </c>
      <c r="FL9679" s="26" t="inlineStr">
        <is>
          <t>A</t>
        </is>
      </c>
      <c r="FP9679" s="26" t="inlineStr">
        <is>
          <t>A</t>
        </is>
      </c>
    </row>
    <row r="9680">
      <c r="FC9680" t="inlineStr">
        <is>
          <t>Diccionario 9</t>
        </is>
      </c>
      <c r="FD9680" t="inlineStr">
        <is>
          <t>CER-A1720 / VGRF-94|</t>
        </is>
      </c>
      <c r="FL9680" s="26" t="inlineStr">
        <is>
          <t>A</t>
        </is>
      </c>
      <c r="FP9680" s="26" t="inlineStr">
        <is>
          <t>A</t>
        </is>
      </c>
    </row>
    <row r="9681">
      <c r="FC9681" t="inlineStr">
        <is>
          <t>Diccionario 9</t>
        </is>
      </c>
      <c r="FD9681" t="inlineStr">
        <is>
          <t>CER-A1721 / VGRG-14|</t>
        </is>
      </c>
      <c r="FL9681" s="26" t="inlineStr">
        <is>
          <t>A</t>
        </is>
      </c>
      <c r="FP9681" s="26" t="inlineStr">
        <is>
          <t>A</t>
        </is>
      </c>
    </row>
    <row r="9682">
      <c r="FC9682" t="inlineStr">
        <is>
          <t>Diccionario 9</t>
        </is>
      </c>
      <c r="FD9682" t="inlineStr">
        <is>
          <t>CER-A1722 / VGRG-24|</t>
        </is>
      </c>
      <c r="FL9682" s="26" t="inlineStr">
        <is>
          <t>A</t>
        </is>
      </c>
      <c r="FP9682" s="26" t="inlineStr">
        <is>
          <t>A</t>
        </is>
      </c>
    </row>
    <row r="9683">
      <c r="FC9683" t="inlineStr">
        <is>
          <t>Diccionario 9</t>
        </is>
      </c>
      <c r="FD9683" t="inlineStr">
        <is>
          <t>CER-A1723 / VGRG-34|</t>
        </is>
      </c>
      <c r="FL9683" s="26" t="inlineStr">
        <is>
          <t>A</t>
        </is>
      </c>
      <c r="FP9683" s="26" t="inlineStr">
        <is>
          <t>A</t>
        </is>
      </c>
    </row>
    <row r="9684">
      <c r="FC9684" t="inlineStr">
        <is>
          <t>Diccionario 9</t>
        </is>
      </c>
      <c r="FD9684" t="inlineStr">
        <is>
          <t>CER-A1724 / VGRG-44|</t>
        </is>
      </c>
      <c r="FL9684" s="26" t="inlineStr">
        <is>
          <t>A</t>
        </is>
      </c>
      <c r="FP9684" s="26" t="inlineStr">
        <is>
          <t>A</t>
        </is>
      </c>
    </row>
    <row r="9685">
      <c r="FC9685" t="inlineStr">
        <is>
          <t>Diccionario 9</t>
        </is>
      </c>
      <c r="FD9685" t="inlineStr">
        <is>
          <t>CER-A1725 / VGRG-45|</t>
        </is>
      </c>
      <c r="FL9685" s="26" t="inlineStr">
        <is>
          <t>A</t>
        </is>
      </c>
      <c r="FP9685" s="26" t="inlineStr">
        <is>
          <t>A</t>
        </is>
      </c>
    </row>
    <row r="9686">
      <c r="FC9686" t="inlineStr">
        <is>
          <t>Diccionario 9</t>
        </is>
      </c>
      <c r="FD9686" t="inlineStr">
        <is>
          <t>CER-A1726 / VGRG-54|</t>
        </is>
      </c>
      <c r="FL9686" s="26" t="inlineStr">
        <is>
          <t>A</t>
        </is>
      </c>
      <c r="FP9686" s="26" t="inlineStr">
        <is>
          <t>A</t>
        </is>
      </c>
    </row>
    <row r="9687">
      <c r="FC9687" t="inlineStr">
        <is>
          <t>Diccionario 9</t>
        </is>
      </c>
      <c r="FD9687" t="inlineStr">
        <is>
          <t>RC-B1727 / VJKD-70|</t>
        </is>
      </c>
      <c r="FL9687" s="26" t="inlineStr">
        <is>
          <t>B</t>
        </is>
      </c>
      <c r="FP9687" s="26" t="inlineStr">
        <is>
          <t>B</t>
        </is>
      </c>
    </row>
    <row r="9688">
      <c r="FC9688" t="inlineStr">
        <is>
          <t>Diccionario 9</t>
        </is>
      </c>
      <c r="FD9688" t="inlineStr">
        <is>
          <t>RC-B1728 / VJKD-85|</t>
        </is>
      </c>
      <c r="FL9688" s="26" t="inlineStr">
        <is>
          <t>B</t>
        </is>
      </c>
      <c r="FP9688" s="26" t="inlineStr">
        <is>
          <t>B</t>
        </is>
      </c>
    </row>
    <row r="9689">
      <c r="FC9689" t="inlineStr">
        <is>
          <t>Diccionario 9</t>
        </is>
      </c>
      <c r="FD9689" t="inlineStr">
        <is>
          <t>RC-B1729 / VJKD-94|</t>
        </is>
      </c>
      <c r="FL9689" s="26" t="inlineStr">
        <is>
          <t>B</t>
        </is>
      </c>
      <c r="FP9689" s="26" t="inlineStr">
        <is>
          <t>B</t>
        </is>
      </c>
    </row>
    <row r="9690">
      <c r="FC9690" t="inlineStr">
        <is>
          <t>Diccionario 9</t>
        </is>
      </c>
      <c r="FD9690" t="inlineStr">
        <is>
          <t>RC-B1730 / VJKF-29|</t>
        </is>
      </c>
      <c r="FL9690" s="26" t="inlineStr">
        <is>
          <t>B</t>
        </is>
      </c>
      <c r="FP9690" s="26" t="inlineStr">
        <is>
          <t>B</t>
        </is>
      </c>
    </row>
    <row r="9691">
      <c r="FC9691" t="inlineStr">
        <is>
          <t>Diccionario 9</t>
        </is>
      </c>
      <c r="FD9691" t="inlineStr">
        <is>
          <t>LB-B1731 / VJKF-44|</t>
        </is>
      </c>
      <c r="FL9691" s="26" t="inlineStr">
        <is>
          <t>B</t>
        </is>
      </c>
      <c r="FP9691" s="26" t="inlineStr">
        <is>
          <t>B</t>
        </is>
      </c>
    </row>
    <row r="9692">
      <c r="FC9692" t="inlineStr">
        <is>
          <t>Diccionario 9</t>
        </is>
      </c>
      <c r="FD9692" t="inlineStr">
        <is>
          <t>RC-B1732 / VJKF-46|</t>
        </is>
      </c>
      <c r="FL9692" s="26" t="inlineStr">
        <is>
          <t>B</t>
        </is>
      </c>
      <c r="FP9692" s="26" t="inlineStr">
        <is>
          <t>B</t>
        </is>
      </c>
    </row>
    <row r="9693">
      <c r="FC9693" t="inlineStr">
        <is>
          <t>Diccionario 9</t>
        </is>
      </c>
      <c r="FD9693" t="inlineStr">
        <is>
          <t>RC-B1733 / VJKF-55|</t>
        </is>
      </c>
      <c r="FL9693" s="26" t="inlineStr">
        <is>
          <t>B</t>
        </is>
      </c>
      <c r="FP9693" s="26" t="inlineStr">
        <is>
          <t>B</t>
        </is>
      </c>
    </row>
    <row r="9694">
      <c r="FC9694" t="inlineStr">
        <is>
          <t>Diccionario 9</t>
        </is>
      </c>
      <c r="FD9694" t="inlineStr">
        <is>
          <t>RC-B1734 / VJKF-61|</t>
        </is>
      </c>
      <c r="FL9694" s="26" t="inlineStr">
        <is>
          <t>B</t>
        </is>
      </c>
      <c r="FP9694" s="26" t="inlineStr">
        <is>
          <t>B</t>
        </is>
      </c>
    </row>
    <row r="9695">
      <c r="FC9695" t="inlineStr">
        <is>
          <t>Diccionario 9</t>
        </is>
      </c>
      <c r="FD9695" t="inlineStr">
        <is>
          <t>RC-B1735 / VJKF-66|</t>
        </is>
      </c>
      <c r="FL9695" s="26" t="inlineStr">
        <is>
          <t>B</t>
        </is>
      </c>
      <c r="FP9695" s="26" t="inlineStr">
        <is>
          <t>B</t>
        </is>
      </c>
    </row>
    <row r="9696">
      <c r="FC9696" t="inlineStr">
        <is>
          <t>Diccionario 9</t>
        </is>
      </c>
      <c r="FD9696" t="inlineStr">
        <is>
          <t>RC-B1736 / VJKG-16|</t>
        </is>
      </c>
      <c r="FL9696" s="26" t="inlineStr">
        <is>
          <t>B</t>
        </is>
      </c>
      <c r="FP9696" s="26" t="inlineStr">
        <is>
          <t>B</t>
        </is>
      </c>
    </row>
    <row r="9697">
      <c r="FC9697" t="inlineStr">
        <is>
          <t>Diccionario 9</t>
        </is>
      </c>
      <c r="FD9697" t="inlineStr">
        <is>
          <t>RC-B1737 / VJKG-25|</t>
        </is>
      </c>
      <c r="FL9697" s="26" t="inlineStr">
        <is>
          <t>B</t>
        </is>
      </c>
      <c r="FP9697" s="26" t="inlineStr">
        <is>
          <t>B</t>
        </is>
      </c>
    </row>
    <row r="9698">
      <c r="FC9698" t="inlineStr">
        <is>
          <t>Diccionario 9</t>
        </is>
      </c>
      <c r="FD9698" t="inlineStr">
        <is>
          <t>RC-B1738 / VJKG-36|</t>
        </is>
      </c>
      <c r="FL9698" s="26" t="inlineStr">
        <is>
          <t>B</t>
        </is>
      </c>
      <c r="FP9698" s="26" t="inlineStr">
        <is>
          <t>B</t>
        </is>
      </c>
    </row>
    <row r="9699">
      <c r="FC9699" t="inlineStr">
        <is>
          <t>Diccionario 9</t>
        </is>
      </c>
      <c r="FD9699" t="inlineStr">
        <is>
          <t>DC-B1739 / VJKG-37|</t>
        </is>
      </c>
      <c r="FL9699" s="26" t="inlineStr">
        <is>
          <t>B</t>
        </is>
      </c>
      <c r="FP9699" s="26" t="inlineStr">
        <is>
          <t>B</t>
        </is>
      </c>
    </row>
    <row r="9700">
      <c r="FC9700" t="inlineStr">
        <is>
          <t>Diccionario 9</t>
        </is>
      </c>
      <c r="FD9700" t="inlineStr">
        <is>
          <t>DC-B1740 / VJKG-66|</t>
        </is>
      </c>
      <c r="FL9700" s="26" t="inlineStr">
        <is>
          <t>B</t>
        </is>
      </c>
      <c r="FP9700" s="26" t="inlineStr">
        <is>
          <t>B</t>
        </is>
      </c>
    </row>
    <row r="9701">
      <c r="FC9701" t="inlineStr">
        <is>
          <t>Diccionario 9</t>
        </is>
      </c>
      <c r="FD9701" t="inlineStr">
        <is>
          <t>DC-B1741 / VJKG-75|</t>
        </is>
      </c>
      <c r="FL9701" s="26" t="inlineStr">
        <is>
          <t>B</t>
        </is>
      </c>
      <c r="FP9701" s="26" t="inlineStr">
        <is>
          <t>B</t>
        </is>
      </c>
    </row>
    <row r="9702">
      <c r="FC9702" t="inlineStr">
        <is>
          <t>Diccionario 9</t>
        </is>
      </c>
      <c r="FD9702" t="inlineStr">
        <is>
          <t>DC-B1742 / VJKG-85|</t>
        </is>
      </c>
      <c r="FL9702" s="26" t="inlineStr">
        <is>
          <t>B</t>
        </is>
      </c>
      <c r="FP9702" s="26" t="inlineStr">
        <is>
          <t>B</t>
        </is>
      </c>
    </row>
    <row r="9703">
      <c r="FC9703" t="inlineStr">
        <is>
          <t>Diccionario 9</t>
        </is>
      </c>
      <c r="FD9703" t="inlineStr">
        <is>
          <t>DC-B1743 / VJKT-45|</t>
        </is>
      </c>
      <c r="FL9703" s="26" t="inlineStr">
        <is>
          <t>B</t>
        </is>
      </c>
      <c r="FP9703" s="26" t="inlineStr">
        <is>
          <t>B</t>
        </is>
      </c>
    </row>
    <row r="9704">
      <c r="FC9704" t="inlineStr">
        <is>
          <t>Diccionario 9</t>
        </is>
      </c>
      <c r="FD9704" t="inlineStr">
        <is>
          <t>DC-B1744 / VJKT-55|</t>
        </is>
      </c>
      <c r="FL9704" s="26" t="inlineStr">
        <is>
          <t>B</t>
        </is>
      </c>
      <c r="FP9704" s="26" t="inlineStr">
        <is>
          <t>B</t>
        </is>
      </c>
    </row>
    <row r="9705">
      <c r="FC9705" t="inlineStr">
        <is>
          <t>Diccionario 9</t>
        </is>
      </c>
      <c r="FD9705" t="inlineStr">
        <is>
          <t>DC-B1745 / VJKT-63|</t>
        </is>
      </c>
      <c r="FL9705" s="26" t="inlineStr">
        <is>
          <t>B</t>
        </is>
      </c>
      <c r="FP9705" s="26" t="inlineStr">
        <is>
          <t>B</t>
        </is>
      </c>
    </row>
    <row r="9706">
      <c r="FC9706" t="inlineStr">
        <is>
          <t>Diccionario 9</t>
        </is>
      </c>
      <c r="FD9706" t="inlineStr">
        <is>
          <t>RC-B1746 / VJKT-83|</t>
        </is>
      </c>
      <c r="FL9706" s="26" t="inlineStr">
        <is>
          <t>B</t>
        </is>
      </c>
      <c r="FP9706" s="26" t="inlineStr">
        <is>
          <t>B</t>
        </is>
      </c>
    </row>
    <row r="9707">
      <c r="FC9707" t="inlineStr">
        <is>
          <t>Diccionario 9</t>
        </is>
      </c>
      <c r="FD9707" t="inlineStr">
        <is>
          <t>LB-B1747 / VJKT-92|</t>
        </is>
      </c>
      <c r="FL9707" s="26" t="inlineStr">
        <is>
          <t>B</t>
        </is>
      </c>
      <c r="FP9707" s="26" t="inlineStr">
        <is>
          <t>B</t>
        </is>
      </c>
    </row>
    <row r="9708">
      <c r="FC9708" t="inlineStr">
        <is>
          <t>Diccionario 9</t>
        </is>
      </c>
      <c r="FD9708" t="inlineStr">
        <is>
          <t>LB-B1748 / VJKV-14|</t>
        </is>
      </c>
      <c r="FL9708" s="26" t="inlineStr">
        <is>
          <t>B</t>
        </is>
      </c>
      <c r="FP9708" s="26" t="inlineStr">
        <is>
          <t>B</t>
        </is>
      </c>
    </row>
    <row r="9709">
      <c r="FC9709" t="inlineStr">
        <is>
          <t>Diccionario 9</t>
        </is>
      </c>
      <c r="FD9709" t="inlineStr">
        <is>
          <t>LB-B1749 / VJKV-58|</t>
        </is>
      </c>
      <c r="FL9709" s="26" t="inlineStr">
        <is>
          <t>B</t>
        </is>
      </c>
      <c r="FP9709" s="26" t="inlineStr">
        <is>
          <t>B</t>
        </is>
      </c>
    </row>
    <row r="9710">
      <c r="FC9710" t="inlineStr">
        <is>
          <t>Diccionario 9</t>
        </is>
      </c>
      <c r="FD9710" t="inlineStr">
        <is>
          <t>LB-B1750 / VJKV-78|</t>
        </is>
      </c>
      <c r="FL9710" s="26" t="inlineStr">
        <is>
          <t>B</t>
        </is>
      </c>
      <c r="FP9710" s="26" t="inlineStr">
        <is>
          <t>B</t>
        </is>
      </c>
    </row>
    <row r="9711">
      <c r="FC9711" t="inlineStr">
        <is>
          <t>Diccionario 9</t>
        </is>
      </c>
      <c r="FD9711" t="inlineStr">
        <is>
          <t>LB-B1751 / VJKV-88|</t>
        </is>
      </c>
      <c r="FL9711" s="26" t="inlineStr">
        <is>
          <t>B</t>
        </is>
      </c>
      <c r="FP9711" s="26" t="inlineStr">
        <is>
          <t>B</t>
        </is>
      </c>
    </row>
    <row r="9712">
      <c r="FC9712" t="inlineStr">
        <is>
          <t>Diccionario 9</t>
        </is>
      </c>
      <c r="FD9712" t="inlineStr">
        <is>
          <t>LB-B1752 / VJKW-68|</t>
        </is>
      </c>
      <c r="FL9712" s="26" t="inlineStr">
        <is>
          <t>B</t>
        </is>
      </c>
      <c r="FP9712" s="26" t="inlineStr">
        <is>
          <t>B</t>
        </is>
      </c>
    </row>
    <row r="9713">
      <c r="FC9713" t="inlineStr">
        <is>
          <t>Diccionario 9</t>
        </is>
      </c>
      <c r="FD9713" t="inlineStr">
        <is>
          <t>LB-B1753 / VJKX-18|</t>
        </is>
      </c>
      <c r="FL9713" s="26" t="inlineStr">
        <is>
          <t>B</t>
        </is>
      </c>
      <c r="FP9713" s="26" t="inlineStr">
        <is>
          <t>B</t>
        </is>
      </c>
    </row>
    <row r="9714">
      <c r="FC9714" t="inlineStr">
        <is>
          <t>Diccionario 9</t>
        </is>
      </c>
      <c r="FD9714" t="inlineStr">
        <is>
          <t>LB-B1754 / VJKX-38|</t>
        </is>
      </c>
      <c r="FL9714" s="26" t="inlineStr">
        <is>
          <t>B</t>
        </is>
      </c>
      <c r="FP9714" s="26" t="inlineStr">
        <is>
          <t>B</t>
        </is>
      </c>
    </row>
    <row r="9715">
      <c r="FC9715" t="inlineStr">
        <is>
          <t>Diccionario 9</t>
        </is>
      </c>
      <c r="FD9715" t="inlineStr">
        <is>
          <t>LB-B1755 / VJKX-78|</t>
        </is>
      </c>
      <c r="FL9715" s="26" t="inlineStr">
        <is>
          <t>B</t>
        </is>
      </c>
      <c r="FP9715" s="26" t="inlineStr">
        <is>
          <t>B</t>
        </is>
      </c>
    </row>
    <row r="9716">
      <c r="FC9716" t="inlineStr">
        <is>
          <t>Diccionario 9</t>
        </is>
      </c>
      <c r="FD9716" t="inlineStr">
        <is>
          <t>LB-B1756 / VJKY-18|</t>
        </is>
      </c>
      <c r="FL9716" s="26" t="inlineStr">
        <is>
          <t>B</t>
        </is>
      </c>
      <c r="FP9716" s="26" t="inlineStr">
        <is>
          <t>B</t>
        </is>
      </c>
    </row>
    <row r="9717">
      <c r="FC9717" t="inlineStr">
        <is>
          <t>Diccionario 9</t>
        </is>
      </c>
      <c r="FD9717" t="inlineStr">
        <is>
          <t>LB-B1757 / VJKY-58|</t>
        </is>
      </c>
      <c r="FL9717" s="26" t="inlineStr">
        <is>
          <t>B</t>
        </is>
      </c>
      <c r="FP9717" s="26" t="inlineStr">
        <is>
          <t>B</t>
        </is>
      </c>
    </row>
    <row r="9718">
      <c r="FC9718" t="inlineStr">
        <is>
          <t>Diccionario 9</t>
        </is>
      </c>
      <c r="FD9718" t="inlineStr">
        <is>
          <t>LB-B1758 / VJKZ-38|</t>
        </is>
      </c>
      <c r="FL9718" s="26" t="inlineStr">
        <is>
          <t>B</t>
        </is>
      </c>
      <c r="FP9718" s="26" t="inlineStr">
        <is>
          <t>B</t>
        </is>
      </c>
    </row>
    <row r="9719">
      <c r="FC9719" t="inlineStr">
        <is>
          <t>Diccionario 9</t>
        </is>
      </c>
      <c r="FD9719" t="inlineStr">
        <is>
          <t>LB-B1759 / VJKZ-78|</t>
        </is>
      </c>
      <c r="FL9719" s="26" t="inlineStr">
        <is>
          <t>B</t>
        </is>
      </c>
      <c r="FP9719" s="26" t="inlineStr">
        <is>
          <t>B</t>
        </is>
      </c>
    </row>
    <row r="9720">
      <c r="FC9720" t="inlineStr">
        <is>
          <t>Diccionario 9</t>
        </is>
      </c>
      <c r="FD9720" t="inlineStr">
        <is>
          <t>DC-B1760 / VJLH-14|</t>
        </is>
      </c>
      <c r="FL9720" s="26" t="inlineStr">
        <is>
          <t>B</t>
        </is>
      </c>
      <c r="FP9720" s="26" t="inlineStr">
        <is>
          <t>B</t>
        </is>
      </c>
    </row>
    <row r="9721">
      <c r="FC9721" t="inlineStr">
        <is>
          <t>Diccionario 9</t>
        </is>
      </c>
      <c r="FD9721" t="inlineStr">
        <is>
          <t>DC-B1761 / VJLH-24|</t>
        </is>
      </c>
      <c r="FL9721" s="26" t="inlineStr">
        <is>
          <t>B</t>
        </is>
      </c>
      <c r="FP9721" s="26" t="inlineStr">
        <is>
          <t>B</t>
        </is>
      </c>
    </row>
    <row r="9722">
      <c r="FC9722" t="inlineStr">
        <is>
          <t>Diccionario 9</t>
        </is>
      </c>
      <c r="FD9722" t="inlineStr">
        <is>
          <t>DC-B1762 / VJLH-33|</t>
        </is>
      </c>
      <c r="FL9722" s="26" t="inlineStr">
        <is>
          <t>B</t>
        </is>
      </c>
      <c r="FP9722" s="26" t="inlineStr">
        <is>
          <t>B</t>
        </is>
      </c>
    </row>
    <row r="9723">
      <c r="FC9723" t="inlineStr">
        <is>
          <t>Diccionario 9</t>
        </is>
      </c>
      <c r="FD9723" t="inlineStr">
        <is>
          <t>LB-B1763 / VJWZ-74|</t>
        </is>
      </c>
      <c r="FL9723" s="26" t="inlineStr">
        <is>
          <t>B</t>
        </is>
      </c>
      <c r="FP9723" s="26" t="inlineStr">
        <is>
          <t>B</t>
        </is>
      </c>
    </row>
    <row r="9724">
      <c r="FC9724" t="inlineStr">
        <is>
          <t>Diccionario 9</t>
        </is>
      </c>
      <c r="FD9724" t="inlineStr">
        <is>
          <t>LB-B1764 / VJWZ-95|</t>
        </is>
      </c>
      <c r="FL9724" s="26" t="inlineStr">
        <is>
          <t>B</t>
        </is>
      </c>
      <c r="FP9724" s="26" t="inlineStr">
        <is>
          <t>B</t>
        </is>
      </c>
    </row>
    <row r="9725">
      <c r="FC9725" t="inlineStr">
        <is>
          <t>Diccionario 9</t>
        </is>
      </c>
      <c r="FD9725" t="inlineStr">
        <is>
          <t>LB-B1765 / VJXB-27|</t>
        </is>
      </c>
      <c r="FL9725" s="26" t="inlineStr">
        <is>
          <t>B</t>
        </is>
      </c>
      <c r="FP9725" s="26" t="inlineStr">
        <is>
          <t>B</t>
        </is>
      </c>
    </row>
    <row r="9726">
      <c r="FC9726" t="inlineStr">
        <is>
          <t>Diccionario 9</t>
        </is>
      </c>
      <c r="FD9726" t="inlineStr">
        <is>
          <t>LB-B1766 / VJXB-56|</t>
        </is>
      </c>
      <c r="FL9726" s="26" t="inlineStr">
        <is>
          <t>B</t>
        </is>
      </c>
      <c r="FP9726" s="26" t="inlineStr">
        <is>
          <t>B</t>
        </is>
      </c>
    </row>
    <row r="9727">
      <c r="FC9727" t="inlineStr">
        <is>
          <t>Diccionario 9</t>
        </is>
      </c>
      <c r="FD9727" t="inlineStr">
        <is>
          <t>LB-B1767 / VJXB-87|</t>
        </is>
      </c>
      <c r="FL9727" s="26" t="inlineStr">
        <is>
          <t>B</t>
        </is>
      </c>
      <c r="FP9727" s="26" t="inlineStr">
        <is>
          <t>B</t>
        </is>
      </c>
    </row>
    <row r="9728">
      <c r="FC9728" t="inlineStr">
        <is>
          <t>Diccionario 9</t>
        </is>
      </c>
      <c r="FD9728" t="inlineStr">
        <is>
          <t>LB-B1768 / VJXC-26|</t>
        </is>
      </c>
      <c r="FL9728" s="26" t="inlineStr">
        <is>
          <t>B</t>
        </is>
      </c>
      <c r="FP9728" s="26" t="inlineStr">
        <is>
          <t>B</t>
        </is>
      </c>
    </row>
    <row r="9729">
      <c r="FC9729" t="inlineStr">
        <is>
          <t>Diccionario 9</t>
        </is>
      </c>
      <c r="FD9729" t="inlineStr">
        <is>
          <t>LB-B1769 / VJXC-42|</t>
        </is>
      </c>
      <c r="FL9729" s="26" t="inlineStr">
        <is>
          <t>B</t>
        </is>
      </c>
      <c r="FP9729" s="26" t="inlineStr">
        <is>
          <t>B</t>
        </is>
      </c>
    </row>
    <row r="9730">
      <c r="FC9730" t="inlineStr">
        <is>
          <t>Diccionario 9</t>
        </is>
      </c>
      <c r="FD9730" t="inlineStr">
        <is>
          <t>LB-B1770 / VJXC-53|</t>
        </is>
      </c>
      <c r="FL9730" s="26" t="inlineStr">
        <is>
          <t>B</t>
        </is>
      </c>
      <c r="FP9730" s="26" t="inlineStr">
        <is>
          <t>B</t>
        </is>
      </c>
    </row>
    <row r="9731">
      <c r="FC9731" t="inlineStr">
        <is>
          <t>Diccionario 9</t>
        </is>
      </c>
      <c r="FD9731" t="inlineStr">
        <is>
          <t>LB-B1771 / VJXC-75|</t>
        </is>
      </c>
      <c r="FL9731" s="26" t="inlineStr">
        <is>
          <t>B</t>
        </is>
      </c>
      <c r="FP9731" s="26" t="inlineStr">
        <is>
          <t>B</t>
        </is>
      </c>
    </row>
    <row r="9732">
      <c r="FC9732" t="inlineStr">
        <is>
          <t>Diccionario 9</t>
        </is>
      </c>
      <c r="FD9732" t="inlineStr">
        <is>
          <t>LB-B1772 / VJXC-91|</t>
        </is>
      </c>
      <c r="FL9732" s="26" t="inlineStr">
        <is>
          <t>B</t>
        </is>
      </c>
      <c r="FP9732" s="26" t="inlineStr">
        <is>
          <t>B</t>
        </is>
      </c>
    </row>
    <row r="9733">
      <c r="FC9733" t="inlineStr">
        <is>
          <t>Diccionario 9</t>
        </is>
      </c>
      <c r="FD9733" t="inlineStr">
        <is>
          <t>DC-B1773 / VJXD-48|</t>
        </is>
      </c>
      <c r="FL9733" s="26" t="inlineStr">
        <is>
          <t>B</t>
        </is>
      </c>
      <c r="FP9733" s="26" t="inlineStr">
        <is>
          <t>B</t>
        </is>
      </c>
    </row>
    <row r="9734">
      <c r="FC9734" t="inlineStr">
        <is>
          <t>Diccionario 9</t>
        </is>
      </c>
      <c r="FD9734" t="inlineStr">
        <is>
          <t>DC-B1774 / VJXD-86|</t>
        </is>
      </c>
      <c r="FL9734" s="26" t="inlineStr">
        <is>
          <t>B</t>
        </is>
      </c>
      <c r="FP9734" s="26" t="inlineStr">
        <is>
          <t>B</t>
        </is>
      </c>
    </row>
    <row r="9735">
      <c r="FC9735" t="inlineStr">
        <is>
          <t>Diccionario 9</t>
        </is>
      </c>
      <c r="FD9735" t="inlineStr">
        <is>
          <t>DC-B1775 / VJXH-88|</t>
        </is>
      </c>
      <c r="FL9735" s="26" t="inlineStr">
        <is>
          <t>B</t>
        </is>
      </c>
      <c r="FP9735" s="26" t="inlineStr">
        <is>
          <t>B</t>
        </is>
      </c>
    </row>
    <row r="9736">
      <c r="FC9736" t="inlineStr">
        <is>
          <t>Diccionario 9</t>
        </is>
      </c>
      <c r="FD9736" t="inlineStr">
        <is>
          <t>DC-B1776 / VJXJ-27|</t>
        </is>
      </c>
      <c r="FL9736" s="26" t="inlineStr">
        <is>
          <t>B</t>
        </is>
      </c>
      <c r="FP9736" s="26" t="inlineStr">
        <is>
          <t>B</t>
        </is>
      </c>
    </row>
    <row r="9737">
      <c r="FC9737" t="inlineStr">
        <is>
          <t>Diccionario 9</t>
        </is>
      </c>
      <c r="FD9737" t="inlineStr">
        <is>
          <t>DC-B1777 / VJXJ-39|</t>
        </is>
      </c>
      <c r="FL9737" s="26" t="inlineStr">
        <is>
          <t>B</t>
        </is>
      </c>
      <c r="FP9737" s="26" t="inlineStr">
        <is>
          <t>B</t>
        </is>
      </c>
    </row>
    <row r="9738">
      <c r="FC9738" t="inlineStr">
        <is>
          <t>Diccionario 9</t>
        </is>
      </c>
      <c r="FD9738" t="inlineStr">
        <is>
          <t>DC-B1778 / VJXJ-44|</t>
        </is>
      </c>
      <c r="FL9738" s="26" t="inlineStr">
        <is>
          <t>B</t>
        </is>
      </c>
      <c r="FP9738" s="26" t="inlineStr">
        <is>
          <t>B</t>
        </is>
      </c>
    </row>
    <row r="9739">
      <c r="FC9739" t="inlineStr">
        <is>
          <t>Diccionario 9</t>
        </is>
      </c>
      <c r="FD9739" t="inlineStr">
        <is>
          <t>DC-B1779 / VJXJ-46|</t>
        </is>
      </c>
      <c r="FL9739" s="26" t="inlineStr">
        <is>
          <t>B</t>
        </is>
      </c>
      <c r="FP9739" s="26" t="inlineStr">
        <is>
          <t>B</t>
        </is>
      </c>
    </row>
    <row r="9740">
      <c r="FC9740" t="inlineStr">
        <is>
          <t>Diccionario 9</t>
        </is>
      </c>
      <c r="FD9740" t="inlineStr">
        <is>
          <t>DC-B1780 / VJXJ-94|</t>
        </is>
      </c>
      <c r="FL9740" s="26" t="inlineStr">
        <is>
          <t>B</t>
        </is>
      </c>
      <c r="FP9740" s="26" t="inlineStr">
        <is>
          <t>B</t>
        </is>
      </c>
    </row>
    <row r="9741">
      <c r="FC9741" t="inlineStr">
        <is>
          <t>Diccionario 9</t>
        </is>
      </c>
      <c r="FD9741" t="inlineStr">
        <is>
          <t>DC-B1781 / VJXK-14|</t>
        </is>
      </c>
      <c r="FL9741" s="26" t="inlineStr">
        <is>
          <t>B</t>
        </is>
      </c>
      <c r="FP9741" s="26" t="inlineStr">
        <is>
          <t>B</t>
        </is>
      </c>
    </row>
    <row r="9742">
      <c r="FC9742" t="inlineStr">
        <is>
          <t>Diccionario 9</t>
        </is>
      </c>
      <c r="FD9742" t="inlineStr">
        <is>
          <t>DC-B1782 / VJXK-15|</t>
        </is>
      </c>
      <c r="FL9742" s="26" t="inlineStr">
        <is>
          <t>B</t>
        </is>
      </c>
      <c r="FP9742" s="26" t="inlineStr">
        <is>
          <t>B</t>
        </is>
      </c>
    </row>
    <row r="9743">
      <c r="FC9743" t="inlineStr">
        <is>
          <t>Diccionario 9</t>
        </is>
      </c>
      <c r="FD9743" t="inlineStr">
        <is>
          <t>LB-B1783 / VJYH-63|</t>
        </is>
      </c>
      <c r="FL9743" s="26" t="inlineStr">
        <is>
          <t>B</t>
        </is>
      </c>
      <c r="FP9743" s="26" t="inlineStr">
        <is>
          <t>B</t>
        </is>
      </c>
    </row>
    <row r="9744">
      <c r="FC9744" t="inlineStr">
        <is>
          <t>Diccionario 9</t>
        </is>
      </c>
      <c r="FD9744" t="inlineStr">
        <is>
          <t>LB-B1784 / VJYJ-15|</t>
        </is>
      </c>
      <c r="FL9744" s="26" t="inlineStr">
        <is>
          <t>B</t>
        </is>
      </c>
      <c r="FP9744" s="26" t="inlineStr">
        <is>
          <t>B</t>
        </is>
      </c>
    </row>
    <row r="9745">
      <c r="FC9745" t="inlineStr">
        <is>
          <t>Diccionario 9</t>
        </is>
      </c>
      <c r="FD9745" t="inlineStr">
        <is>
          <t>DC-B1785 / VJYJ-22|</t>
        </is>
      </c>
      <c r="FL9745" s="26" t="inlineStr">
        <is>
          <t>B</t>
        </is>
      </c>
      <c r="FP9745" s="26" t="inlineStr">
        <is>
          <t>B</t>
        </is>
      </c>
    </row>
    <row r="9746">
      <c r="FC9746" t="inlineStr">
        <is>
          <t>Diccionario 9</t>
        </is>
      </c>
      <c r="FD9746" t="inlineStr">
        <is>
          <t>LB-B1786 / VJYJ-35|</t>
        </is>
      </c>
      <c r="FL9746" s="26" t="inlineStr">
        <is>
          <t>B</t>
        </is>
      </c>
      <c r="FP9746" s="26" t="inlineStr">
        <is>
          <t>B</t>
        </is>
      </c>
    </row>
    <row r="9747">
      <c r="FC9747" t="inlineStr">
        <is>
          <t>Diccionario 9</t>
        </is>
      </c>
      <c r="FD9747" t="inlineStr">
        <is>
          <t>DC-B1787 / VJYJ-37|</t>
        </is>
      </c>
      <c r="FL9747" s="26" t="inlineStr">
        <is>
          <t>B</t>
        </is>
      </c>
      <c r="FP9747" s="26" t="inlineStr">
        <is>
          <t>B</t>
        </is>
      </c>
    </row>
    <row r="9748">
      <c r="FC9748" t="inlineStr">
        <is>
          <t>Diccionario 9</t>
        </is>
      </c>
      <c r="FD9748" t="inlineStr">
        <is>
          <t>DC-B1788 / VJYJ-44|</t>
        </is>
      </c>
      <c r="FL9748" s="26" t="inlineStr">
        <is>
          <t>B</t>
        </is>
      </c>
      <c r="FP9748" s="26" t="inlineStr">
        <is>
          <t>B</t>
        </is>
      </c>
    </row>
    <row r="9749">
      <c r="FC9749" t="inlineStr">
        <is>
          <t>Diccionario 9</t>
        </is>
      </c>
      <c r="FD9749" t="inlineStr">
        <is>
          <t>DC-B1789 / VJYJ-46|</t>
        </is>
      </c>
      <c r="FL9749" s="26" t="inlineStr">
        <is>
          <t>B</t>
        </is>
      </c>
      <c r="FP9749" s="26" t="inlineStr">
        <is>
          <t>B</t>
        </is>
      </c>
    </row>
    <row r="9750">
      <c r="FC9750" t="inlineStr">
        <is>
          <t>Diccionario 9</t>
        </is>
      </c>
      <c r="FD9750" t="inlineStr">
        <is>
          <t>DC-B1790 / VJYJ-68|</t>
        </is>
      </c>
      <c r="FL9750" s="26" t="inlineStr">
        <is>
          <t>B</t>
        </is>
      </c>
      <c r="FP9750" s="26" t="inlineStr">
        <is>
          <t>B</t>
        </is>
      </c>
    </row>
    <row r="9751">
      <c r="FC9751" t="inlineStr">
        <is>
          <t>Diccionario 9</t>
        </is>
      </c>
      <c r="FD9751" t="inlineStr">
        <is>
          <t>DC-B1791 / VJYJ-75|</t>
        </is>
      </c>
      <c r="FL9751" s="26" t="inlineStr">
        <is>
          <t>B</t>
        </is>
      </c>
      <c r="FP9751" s="26" t="inlineStr">
        <is>
          <t>B</t>
        </is>
      </c>
    </row>
    <row r="9752">
      <c r="FC9752" t="inlineStr">
        <is>
          <t>Diccionario 9</t>
        </is>
      </c>
      <c r="FD9752" t="inlineStr">
        <is>
          <t>DC-B1792 / VJYJ-84|</t>
        </is>
      </c>
      <c r="FL9752" s="26" t="inlineStr">
        <is>
          <t>B</t>
        </is>
      </c>
      <c r="FP9752" s="26" t="inlineStr">
        <is>
          <t>B</t>
        </is>
      </c>
    </row>
    <row r="9753">
      <c r="FC9753" t="inlineStr">
        <is>
          <t>Diccionario 9</t>
        </is>
      </c>
      <c r="FD9753" t="inlineStr">
        <is>
          <t>DC-B1793 / VJYK-73|</t>
        </is>
      </c>
      <c r="FL9753" s="26" t="inlineStr">
        <is>
          <t>B</t>
        </is>
      </c>
      <c r="FP9753" s="26" t="inlineStr">
        <is>
          <t>B</t>
        </is>
      </c>
    </row>
    <row r="9754">
      <c r="FC9754" t="inlineStr">
        <is>
          <t>Diccionario 9</t>
        </is>
      </c>
      <c r="FD9754" t="inlineStr">
        <is>
          <t>DC-B1794 / VJYK-82|</t>
        </is>
      </c>
      <c r="FL9754" s="26" t="inlineStr">
        <is>
          <t>B</t>
        </is>
      </c>
      <c r="FP9754" s="26" t="inlineStr">
        <is>
          <t>B</t>
        </is>
      </c>
    </row>
    <row r="9755">
      <c r="FC9755" t="inlineStr">
        <is>
          <t>Diccionario 9</t>
        </is>
      </c>
      <c r="FD9755" t="inlineStr">
        <is>
          <t>DC-B1795 / VJYK-83|</t>
        </is>
      </c>
      <c r="FL9755" s="26" t="inlineStr">
        <is>
          <t>B</t>
        </is>
      </c>
      <c r="FP9755" s="26" t="inlineStr">
        <is>
          <t>B</t>
        </is>
      </c>
    </row>
    <row r="9756">
      <c r="FC9756" t="inlineStr">
        <is>
          <t>Diccionario 9</t>
        </is>
      </c>
      <c r="FD9756" t="inlineStr">
        <is>
          <t>DC-B1796 / VJYK-86|</t>
        </is>
      </c>
      <c r="FL9756" s="26" t="inlineStr">
        <is>
          <t>B</t>
        </is>
      </c>
      <c r="FP9756" s="26" t="inlineStr">
        <is>
          <t>B</t>
        </is>
      </c>
    </row>
    <row r="9757">
      <c r="FC9757" t="inlineStr">
        <is>
          <t>Diccionario 9</t>
        </is>
      </c>
      <c r="FD9757" t="inlineStr">
        <is>
          <t>DC-B1797 / VJYK-89|</t>
        </is>
      </c>
      <c r="FL9757" s="26" t="inlineStr">
        <is>
          <t>B</t>
        </is>
      </c>
      <c r="FP9757" s="26" t="inlineStr">
        <is>
          <t>B</t>
        </is>
      </c>
    </row>
    <row r="9758">
      <c r="FC9758" t="inlineStr">
        <is>
          <t>Diccionario 9</t>
        </is>
      </c>
      <c r="FD9758" t="inlineStr">
        <is>
          <t>DC-B1798 / VJYK-91|</t>
        </is>
      </c>
      <c r="FL9758" s="26" t="inlineStr">
        <is>
          <t>B</t>
        </is>
      </c>
      <c r="FP9758" s="26" t="inlineStr">
        <is>
          <t>B</t>
        </is>
      </c>
    </row>
    <row r="9759">
      <c r="FC9759" t="inlineStr">
        <is>
          <t>Diccionario 9</t>
        </is>
      </c>
      <c r="FD9759" t="inlineStr">
        <is>
          <t>DC-B1799 / VJYK-95|</t>
        </is>
      </c>
      <c r="FL9759" s="26" t="inlineStr">
        <is>
          <t>B</t>
        </is>
      </c>
      <c r="FP9759" s="26" t="inlineStr">
        <is>
          <t>B</t>
        </is>
      </c>
    </row>
    <row r="9760">
      <c r="FC9760" t="inlineStr">
        <is>
          <t>Diccionario 9</t>
        </is>
      </c>
      <c r="FD9760" t="inlineStr">
        <is>
          <t>DC-B1800 / VJYK-97|</t>
        </is>
      </c>
      <c r="FL9760" s="26" t="inlineStr">
        <is>
          <t>B</t>
        </is>
      </c>
      <c r="FP9760" s="26" t="inlineStr">
        <is>
          <t>B</t>
        </is>
      </c>
    </row>
    <row r="9761">
      <c r="FC9761" t="inlineStr">
        <is>
          <t>Diccionario 9</t>
        </is>
      </c>
      <c r="FD9761" t="inlineStr">
        <is>
          <t>DC-B1801 / VJYK-98|</t>
        </is>
      </c>
      <c r="FL9761" s="26" t="inlineStr">
        <is>
          <t>B</t>
        </is>
      </c>
      <c r="FP9761" s="26" t="inlineStr">
        <is>
          <t>B</t>
        </is>
      </c>
    </row>
    <row r="9762">
      <c r="FC9762" t="inlineStr">
        <is>
          <t>Diccionario 9</t>
        </is>
      </c>
      <c r="FD9762" t="inlineStr">
        <is>
          <t>DC-B1802 / VJYL-12|</t>
        </is>
      </c>
      <c r="FL9762" s="26" t="inlineStr">
        <is>
          <t>B</t>
        </is>
      </c>
      <c r="FP9762" s="26" t="inlineStr">
        <is>
          <t>B</t>
        </is>
      </c>
    </row>
    <row r="9763">
      <c r="FC9763" t="inlineStr">
        <is>
          <t>Diccionario 9</t>
        </is>
      </c>
      <c r="FD9763" t="inlineStr">
        <is>
          <t>DC-B1803 / VJYL-17|</t>
        </is>
      </c>
      <c r="FL9763" s="26" t="inlineStr">
        <is>
          <t>B</t>
        </is>
      </c>
      <c r="FP9763" s="26" t="inlineStr">
        <is>
          <t>B</t>
        </is>
      </c>
    </row>
    <row r="9764">
      <c r="FC9764" t="inlineStr">
        <is>
          <t>Diccionario 9</t>
        </is>
      </c>
      <c r="FD9764" t="inlineStr">
        <is>
          <t>LB-B1804 / VJZB-37|</t>
        </is>
      </c>
      <c r="FL9764" s="26" t="inlineStr">
        <is>
          <t>B</t>
        </is>
      </c>
      <c r="FP9764" s="26" t="inlineStr">
        <is>
          <t>B</t>
        </is>
      </c>
    </row>
    <row r="9765">
      <c r="FC9765" t="inlineStr">
        <is>
          <t>Diccionario 9</t>
        </is>
      </c>
      <c r="FD9765" t="inlineStr">
        <is>
          <t>LB-B1805 / VJZB-47|</t>
        </is>
      </c>
      <c r="FL9765" s="26" t="inlineStr">
        <is>
          <t>B</t>
        </is>
      </c>
      <c r="FP9765" s="26" t="inlineStr">
        <is>
          <t>B</t>
        </is>
      </c>
    </row>
    <row r="9766">
      <c r="FC9766" t="inlineStr">
        <is>
          <t>Diccionario 9</t>
        </is>
      </c>
      <c r="FD9766" t="inlineStr">
        <is>
          <t>LB-B1806 / VJZB-57|</t>
        </is>
      </c>
      <c r="FL9766" s="26" t="inlineStr">
        <is>
          <t>B</t>
        </is>
      </c>
      <c r="FP9766" s="26" t="inlineStr">
        <is>
          <t>B</t>
        </is>
      </c>
    </row>
    <row r="9767">
      <c r="FC9767" t="inlineStr">
        <is>
          <t>Diccionario 9</t>
        </is>
      </c>
      <c r="FD9767" t="inlineStr">
        <is>
          <t>LB-B1807 / VJZB-67|</t>
        </is>
      </c>
      <c r="FL9767" s="26" t="inlineStr">
        <is>
          <t>B</t>
        </is>
      </c>
      <c r="FP9767" s="26" t="inlineStr">
        <is>
          <t>B</t>
        </is>
      </c>
    </row>
    <row r="9768">
      <c r="FC9768" t="inlineStr">
        <is>
          <t>Diccionario 9</t>
        </is>
      </c>
      <c r="FD9768" t="inlineStr">
        <is>
          <t>LB-B1808 / VJZB-77|</t>
        </is>
      </c>
      <c r="FL9768" s="26" t="inlineStr">
        <is>
          <t>B</t>
        </is>
      </c>
      <c r="FP9768" s="26" t="inlineStr">
        <is>
          <t>B</t>
        </is>
      </c>
    </row>
    <row r="9769">
      <c r="FC9769" t="inlineStr">
        <is>
          <t>Diccionario 9</t>
        </is>
      </c>
      <c r="FD9769" t="inlineStr">
        <is>
          <t>DC-B1809 / VJZB-87|</t>
        </is>
      </c>
      <c r="FL9769" s="26" t="inlineStr">
        <is>
          <t>B</t>
        </is>
      </c>
      <c r="FP9769" s="26" t="inlineStr">
        <is>
          <t>B</t>
        </is>
      </c>
    </row>
    <row r="9770">
      <c r="FC9770" t="inlineStr">
        <is>
          <t>Diccionario 9</t>
        </is>
      </c>
      <c r="FD9770" t="inlineStr">
        <is>
          <t>DC-B1810 / VJZB-97|</t>
        </is>
      </c>
      <c r="FL9770" s="26" t="inlineStr">
        <is>
          <t>B</t>
        </is>
      </c>
      <c r="FP9770" s="26" t="inlineStr">
        <is>
          <t>B</t>
        </is>
      </c>
    </row>
    <row r="9771">
      <c r="FC9771" t="inlineStr">
        <is>
          <t>Diccionario 9</t>
        </is>
      </c>
      <c r="FD9771" t="inlineStr">
        <is>
          <t>DC-B1811 / VJZC-57|</t>
        </is>
      </c>
      <c r="FL9771" s="26" t="inlineStr">
        <is>
          <t>B</t>
        </is>
      </c>
      <c r="FP9771" s="26" t="inlineStr">
        <is>
          <t>B</t>
        </is>
      </c>
    </row>
    <row r="9772">
      <c r="FC9772" t="inlineStr">
        <is>
          <t>Diccionario 9</t>
        </is>
      </c>
      <c r="FD9772" t="inlineStr">
        <is>
          <t>DC-B1812 / VJZH-87|</t>
        </is>
      </c>
      <c r="FL9772" s="26" t="inlineStr">
        <is>
          <t>B</t>
        </is>
      </c>
      <c r="FP9772" s="26" t="inlineStr">
        <is>
          <t>B</t>
        </is>
      </c>
    </row>
    <row r="9773">
      <c r="FC9773" t="inlineStr">
        <is>
          <t>Diccionario 9</t>
        </is>
      </c>
      <c r="FD9773" t="inlineStr">
        <is>
          <t>DC-B1813 / VJZH-97|</t>
        </is>
      </c>
      <c r="FL9773" s="26" t="inlineStr">
        <is>
          <t>B</t>
        </is>
      </c>
      <c r="FP9773" s="26" t="inlineStr">
        <is>
          <t>B</t>
        </is>
      </c>
    </row>
    <row r="9774">
      <c r="FC9774" t="inlineStr">
        <is>
          <t>Diccionario 9</t>
        </is>
      </c>
      <c r="FD9774" t="inlineStr">
        <is>
          <t>DC-B1814 / VJZJ-56|</t>
        </is>
      </c>
      <c r="FL9774" s="26" t="inlineStr">
        <is>
          <t>B</t>
        </is>
      </c>
      <c r="FP9774" s="26" t="inlineStr">
        <is>
          <t>B</t>
        </is>
      </c>
    </row>
    <row r="9775">
      <c r="FC9775" t="inlineStr">
        <is>
          <t>Diccionario 9</t>
        </is>
      </c>
      <c r="FD9775" t="inlineStr">
        <is>
          <t>DC-B1815 / VJZJ-66|</t>
        </is>
      </c>
      <c r="FL9775" s="26" t="inlineStr">
        <is>
          <t>B</t>
        </is>
      </c>
      <c r="FP9775" s="26" t="inlineStr">
        <is>
          <t>B</t>
        </is>
      </c>
    </row>
    <row r="9776">
      <c r="FC9776" t="inlineStr">
        <is>
          <t>Diccionario 9</t>
        </is>
      </c>
      <c r="FD9776" t="inlineStr">
        <is>
          <t>DC-B1816 / VKFW-93|</t>
        </is>
      </c>
      <c r="FL9776" s="26" t="inlineStr">
        <is>
          <t>B</t>
        </is>
      </c>
      <c r="FP9776" s="26" t="inlineStr">
        <is>
          <t>B</t>
        </is>
      </c>
    </row>
    <row r="9777">
      <c r="FC9777" t="inlineStr">
        <is>
          <t>Diccionario 9</t>
        </is>
      </c>
      <c r="FD9777" t="inlineStr">
        <is>
          <t>DC-B1817 / VKFX-13|</t>
        </is>
      </c>
      <c r="FL9777" s="26" t="inlineStr">
        <is>
          <t>B</t>
        </is>
      </c>
      <c r="FP9777" s="26" t="inlineStr">
        <is>
          <t>B</t>
        </is>
      </c>
    </row>
    <row r="9778">
      <c r="FC9778" t="inlineStr">
        <is>
          <t>Diccionario 9</t>
        </is>
      </c>
      <c r="FD9778" t="inlineStr">
        <is>
          <t>DC-B1818 / VKFX-33|</t>
        </is>
      </c>
      <c r="FL9778" s="26" t="inlineStr">
        <is>
          <t>B</t>
        </is>
      </c>
      <c r="FP9778" s="26" t="inlineStr">
        <is>
          <t>B</t>
        </is>
      </c>
    </row>
    <row r="9779">
      <c r="FC9779" t="inlineStr">
        <is>
          <t>Diccionario 9</t>
        </is>
      </c>
      <c r="FD9779" t="inlineStr">
        <is>
          <t>DC-B1819 / VKFX-63|</t>
        </is>
      </c>
      <c r="FL9779" s="26" t="inlineStr">
        <is>
          <t>B</t>
        </is>
      </c>
      <c r="FP9779" s="26" t="inlineStr">
        <is>
          <t>B</t>
        </is>
      </c>
    </row>
    <row r="9780">
      <c r="FC9780" t="inlineStr">
        <is>
          <t>Diccionario 9</t>
        </is>
      </c>
      <c r="FD9780" t="inlineStr">
        <is>
          <t>DC-B1820 / VKFX-73|</t>
        </is>
      </c>
      <c r="FL9780" s="26" t="inlineStr">
        <is>
          <t>B</t>
        </is>
      </c>
      <c r="FP9780" s="26" t="inlineStr">
        <is>
          <t>B</t>
        </is>
      </c>
    </row>
    <row r="9781">
      <c r="FC9781" t="inlineStr">
        <is>
          <t>Diccionario 9</t>
        </is>
      </c>
      <c r="FD9781" t="inlineStr">
        <is>
          <t>DC-B1821 / VKFX-93|</t>
        </is>
      </c>
      <c r="FL9781" s="26" t="inlineStr">
        <is>
          <t>B</t>
        </is>
      </c>
      <c r="FP9781" s="26" t="inlineStr">
        <is>
          <t>B</t>
        </is>
      </c>
    </row>
    <row r="9782">
      <c r="FC9782" t="inlineStr">
        <is>
          <t>Diccionario 9</t>
        </is>
      </c>
      <c r="FD9782" t="inlineStr">
        <is>
          <t>DC-B1822 / VKFZ-33|</t>
        </is>
      </c>
      <c r="FL9782" s="26" t="inlineStr">
        <is>
          <t>B</t>
        </is>
      </c>
      <c r="FP9782" s="26" t="inlineStr">
        <is>
          <t>B</t>
        </is>
      </c>
    </row>
    <row r="9783">
      <c r="FC9783" t="inlineStr">
        <is>
          <t>Diccionario 9</t>
        </is>
      </c>
      <c r="FD9783" t="inlineStr">
        <is>
          <t>DC-B1823 / VKFZ-53|</t>
        </is>
      </c>
      <c r="FL9783" s="26" t="inlineStr">
        <is>
          <t>B</t>
        </is>
      </c>
      <c r="FP9783" s="26" t="inlineStr">
        <is>
          <t>B</t>
        </is>
      </c>
    </row>
    <row r="9784">
      <c r="FC9784" t="inlineStr">
        <is>
          <t>Diccionario 9</t>
        </is>
      </c>
      <c r="FD9784" t="inlineStr">
        <is>
          <t>DC-B1824 / VKFZ-93|</t>
        </is>
      </c>
      <c r="FL9784" s="26" t="inlineStr">
        <is>
          <t>B</t>
        </is>
      </c>
      <c r="FP9784" s="26" t="inlineStr">
        <is>
          <t>B</t>
        </is>
      </c>
    </row>
    <row r="9785">
      <c r="FC9785" t="inlineStr">
        <is>
          <t>Diccionario 9</t>
        </is>
      </c>
      <c r="FD9785" t="inlineStr">
        <is>
          <t>DC-B1825 / VKGB-43|</t>
        </is>
      </c>
      <c r="FL9785" s="26" t="inlineStr">
        <is>
          <t>B</t>
        </is>
      </c>
      <c r="FP9785" s="26" t="inlineStr">
        <is>
          <t>B</t>
        </is>
      </c>
    </row>
    <row r="9786">
      <c r="FC9786" t="inlineStr">
        <is>
          <t>Diccionario 9</t>
        </is>
      </c>
      <c r="FD9786" t="inlineStr">
        <is>
          <t>DC-B1826 / VKGB-83|</t>
        </is>
      </c>
      <c r="FL9786" s="26" t="inlineStr">
        <is>
          <t>B</t>
        </is>
      </c>
      <c r="FP9786" s="26" t="inlineStr">
        <is>
          <t>B</t>
        </is>
      </c>
    </row>
    <row r="9787">
      <c r="FC9787" t="inlineStr">
        <is>
          <t>Diccionario 9</t>
        </is>
      </c>
      <c r="FD9787" t="inlineStr">
        <is>
          <t>DC-B1827 / VKGC-23|</t>
        </is>
      </c>
      <c r="FL9787" s="26" t="inlineStr">
        <is>
          <t>B</t>
        </is>
      </c>
      <c r="FP9787" s="26" t="inlineStr">
        <is>
          <t>B</t>
        </is>
      </c>
    </row>
    <row r="9788">
      <c r="FC9788" t="inlineStr">
        <is>
          <t>Diccionario 9</t>
        </is>
      </c>
      <c r="FD9788" t="inlineStr">
        <is>
          <t>DC-B1828 / VKGC-63|</t>
        </is>
      </c>
      <c r="FL9788" s="26" t="inlineStr">
        <is>
          <t>B</t>
        </is>
      </c>
      <c r="FP9788" s="26" t="inlineStr">
        <is>
          <t>B</t>
        </is>
      </c>
    </row>
    <row r="9789">
      <c r="FC9789" t="inlineStr">
        <is>
          <t>Diccionario 9</t>
        </is>
      </c>
      <c r="FD9789" t="inlineStr">
        <is>
          <t>DC-B1829 / VKGC-73|</t>
        </is>
      </c>
      <c r="FL9789" s="26" t="inlineStr">
        <is>
          <t>B</t>
        </is>
      </c>
      <c r="FP9789" s="26" t="inlineStr">
        <is>
          <t>B</t>
        </is>
      </c>
    </row>
    <row r="9790">
      <c r="FC9790" t="inlineStr">
        <is>
          <t>Diccionario 9</t>
        </is>
      </c>
      <c r="FD9790" t="inlineStr">
        <is>
          <t>DC-B1830 / VKGD-33|</t>
        </is>
      </c>
      <c r="FL9790" s="26" t="inlineStr">
        <is>
          <t>B</t>
        </is>
      </c>
      <c r="FP9790" s="26" t="inlineStr">
        <is>
          <t>B</t>
        </is>
      </c>
    </row>
    <row r="9791">
      <c r="FC9791" t="inlineStr">
        <is>
          <t>Diccionario 9</t>
        </is>
      </c>
      <c r="FD9791" t="inlineStr">
        <is>
          <t>DC-B1831 / VKGD-43|</t>
        </is>
      </c>
      <c r="FL9791" s="26" t="inlineStr">
        <is>
          <t>B</t>
        </is>
      </c>
      <c r="FP9791" s="26" t="inlineStr">
        <is>
          <t>B</t>
        </is>
      </c>
    </row>
    <row r="9792">
      <c r="FC9792" t="inlineStr">
        <is>
          <t>Diccionario 9</t>
        </is>
      </c>
      <c r="FD9792" t="inlineStr">
        <is>
          <t>DC-B1832 / VKGF-93|</t>
        </is>
      </c>
      <c r="FL9792" s="26" t="inlineStr">
        <is>
          <t>B</t>
        </is>
      </c>
      <c r="FP9792" s="26" t="inlineStr">
        <is>
          <t>B</t>
        </is>
      </c>
    </row>
    <row r="9793">
      <c r="FC9793" t="inlineStr">
        <is>
          <t>Diccionario 9</t>
        </is>
      </c>
      <c r="FD9793" t="inlineStr">
        <is>
          <t>DC-B1833 / VKGG-13|</t>
        </is>
      </c>
      <c r="FL9793" s="26" t="inlineStr">
        <is>
          <t>B</t>
        </is>
      </c>
      <c r="FP9793" s="26" t="inlineStr">
        <is>
          <t>B</t>
        </is>
      </c>
    </row>
    <row r="9794">
      <c r="FC9794" t="inlineStr">
        <is>
          <t>Diccionario 9</t>
        </is>
      </c>
      <c r="FD9794" t="inlineStr">
        <is>
          <t>DC-B1834 / VKGG-23|</t>
        </is>
      </c>
      <c r="FL9794" s="26" t="inlineStr">
        <is>
          <t>B</t>
        </is>
      </c>
      <c r="FP9794" s="26" t="inlineStr">
        <is>
          <t>B</t>
        </is>
      </c>
    </row>
    <row r="9795">
      <c r="FC9795" t="inlineStr">
        <is>
          <t>Diccionario 9</t>
        </is>
      </c>
      <c r="FD9795" t="inlineStr">
        <is>
          <t>DC-B1835 / VKGG-33|</t>
        </is>
      </c>
      <c r="FL9795" s="26" t="inlineStr">
        <is>
          <t>B</t>
        </is>
      </c>
      <c r="FP9795" s="26" t="inlineStr">
        <is>
          <t>B</t>
        </is>
      </c>
    </row>
    <row r="9796">
      <c r="FC9796" t="inlineStr">
        <is>
          <t>Diccionario 9</t>
        </is>
      </c>
      <c r="FD9796" t="inlineStr">
        <is>
          <t>DC-B1836 / VKGG-53|</t>
        </is>
      </c>
      <c r="FL9796" s="26" t="inlineStr">
        <is>
          <t>B</t>
        </is>
      </c>
      <c r="FP9796" s="26" t="inlineStr">
        <is>
          <t>B</t>
        </is>
      </c>
    </row>
    <row r="9797">
      <c r="FC9797" t="inlineStr">
        <is>
          <t>Diccionario 9</t>
        </is>
      </c>
      <c r="FD9797" t="inlineStr">
        <is>
          <t>DC-B1837 / VKGG-73|</t>
        </is>
      </c>
      <c r="FL9797" s="26" t="inlineStr">
        <is>
          <t>B</t>
        </is>
      </c>
      <c r="FP9797" s="26" t="inlineStr">
        <is>
          <t>B</t>
        </is>
      </c>
    </row>
    <row r="9798">
      <c r="FC9798" t="inlineStr">
        <is>
          <t>Diccionario 9</t>
        </is>
      </c>
      <c r="FD9798" t="inlineStr">
        <is>
          <t>DC-B1838 / VKGG-83|</t>
        </is>
      </c>
      <c r="FL9798" s="26" t="inlineStr">
        <is>
          <t>B</t>
        </is>
      </c>
      <c r="FP9798" s="26" t="inlineStr">
        <is>
          <t>B</t>
        </is>
      </c>
    </row>
    <row r="9799">
      <c r="FC9799" t="inlineStr">
        <is>
          <t>Diccionario 9</t>
        </is>
      </c>
      <c r="FD9799" t="inlineStr">
        <is>
          <t>DC-B1839 / VKGG-93|</t>
        </is>
      </c>
      <c r="FL9799" s="26" t="inlineStr">
        <is>
          <t>B</t>
        </is>
      </c>
      <c r="FP9799" s="26" t="inlineStr">
        <is>
          <t>B</t>
        </is>
      </c>
    </row>
    <row r="9800">
      <c r="FC9800" t="inlineStr">
        <is>
          <t>Diccionario 9</t>
        </is>
      </c>
      <c r="FD9800" t="inlineStr">
        <is>
          <t>DC-B1840 / VKGH-13|</t>
        </is>
      </c>
      <c r="FL9800" s="26" t="inlineStr">
        <is>
          <t>B</t>
        </is>
      </c>
      <c r="FP9800" s="26" t="inlineStr">
        <is>
          <t>B</t>
        </is>
      </c>
    </row>
    <row r="9801">
      <c r="FC9801" t="inlineStr">
        <is>
          <t>Diccionario 9</t>
        </is>
      </c>
      <c r="FD9801" t="inlineStr">
        <is>
          <t>DC-B1841 / VKGH-23|</t>
        </is>
      </c>
      <c r="FL9801" s="26" t="inlineStr">
        <is>
          <t>B</t>
        </is>
      </c>
      <c r="FP9801" s="26" t="inlineStr">
        <is>
          <t>B</t>
        </is>
      </c>
    </row>
    <row r="9802">
      <c r="FC9802" t="inlineStr">
        <is>
          <t>Diccionario 9</t>
        </is>
      </c>
      <c r="FD9802" t="inlineStr">
        <is>
          <t>DC-B1842 / VKGH-33|</t>
        </is>
      </c>
      <c r="FL9802" s="26" t="inlineStr">
        <is>
          <t>B</t>
        </is>
      </c>
      <c r="FP9802" s="26" t="inlineStr">
        <is>
          <t>B</t>
        </is>
      </c>
    </row>
    <row r="9803">
      <c r="FC9803" t="inlineStr">
        <is>
          <t>Diccionario 9</t>
        </is>
      </c>
      <c r="FD9803" t="inlineStr">
        <is>
          <t>DC-B1843 / VKGL-84|</t>
        </is>
      </c>
      <c r="FL9803" s="26" t="inlineStr">
        <is>
          <t>B</t>
        </is>
      </c>
      <c r="FP9803" s="26" t="inlineStr">
        <is>
          <t>B</t>
        </is>
      </c>
    </row>
    <row r="9804">
      <c r="FC9804" t="inlineStr">
        <is>
          <t>Diccionario 9</t>
        </is>
      </c>
      <c r="FD9804" t="inlineStr">
        <is>
          <t>DC-B1844 / VKGP-35|</t>
        </is>
      </c>
      <c r="FL9804" s="26" t="inlineStr">
        <is>
          <t>B</t>
        </is>
      </c>
      <c r="FP9804" s="26" t="inlineStr">
        <is>
          <t>B</t>
        </is>
      </c>
    </row>
    <row r="9805">
      <c r="FC9805" t="inlineStr">
        <is>
          <t>Diccionario 9</t>
        </is>
      </c>
      <c r="FD9805" t="inlineStr">
        <is>
          <t>DC-B1845 / VKGP-45|</t>
        </is>
      </c>
      <c r="FL9805" s="26" t="inlineStr">
        <is>
          <t>B</t>
        </is>
      </c>
      <c r="FP9805" s="26" t="inlineStr">
        <is>
          <t>B</t>
        </is>
      </c>
    </row>
    <row r="9806">
      <c r="FC9806" t="inlineStr">
        <is>
          <t>Diccionario 9</t>
        </is>
      </c>
      <c r="FD9806" t="inlineStr">
        <is>
          <t>DC-B1846 / VKGP-55|</t>
        </is>
      </c>
      <c r="FL9806" s="26" t="inlineStr">
        <is>
          <t>B</t>
        </is>
      </c>
      <c r="FP9806" s="26" t="inlineStr">
        <is>
          <t>B</t>
        </is>
      </c>
    </row>
    <row r="9807">
      <c r="FC9807" t="inlineStr">
        <is>
          <t>Diccionario 9</t>
        </is>
      </c>
      <c r="FD9807" t="inlineStr">
        <is>
          <t>DC-B1847 / VKGP-75|</t>
        </is>
      </c>
      <c r="FL9807" s="26" t="inlineStr">
        <is>
          <t>B</t>
        </is>
      </c>
      <c r="FP9807" s="26" t="inlineStr">
        <is>
          <t>B</t>
        </is>
      </c>
    </row>
    <row r="9808">
      <c r="FC9808" t="inlineStr">
        <is>
          <t>Diccionario 9</t>
        </is>
      </c>
      <c r="FD9808" t="inlineStr">
        <is>
          <t>DC-B1848 / VLBP-23|</t>
        </is>
      </c>
      <c r="FL9808" s="26" t="inlineStr">
        <is>
          <t>B</t>
        </is>
      </c>
      <c r="FP9808" s="26" t="inlineStr">
        <is>
          <t>B</t>
        </is>
      </c>
    </row>
    <row r="9809">
      <c r="FC9809" t="inlineStr">
        <is>
          <t>Diccionario 9</t>
        </is>
      </c>
      <c r="FD9809" t="inlineStr">
        <is>
          <t>DC-B1849 / VLBP-73|</t>
        </is>
      </c>
      <c r="FL9809" s="26" t="inlineStr">
        <is>
          <t>B</t>
        </is>
      </c>
      <c r="FP9809" s="26" t="inlineStr">
        <is>
          <t>B</t>
        </is>
      </c>
    </row>
    <row r="9810">
      <c r="FC9810" t="inlineStr">
        <is>
          <t>Diccionario 9</t>
        </is>
      </c>
      <c r="FD9810" t="inlineStr">
        <is>
          <t>DC-B1850 / VLBZ-78|</t>
        </is>
      </c>
      <c r="FL9810" s="26" t="inlineStr">
        <is>
          <t>B</t>
        </is>
      </c>
      <c r="FP9810" s="26" t="inlineStr">
        <is>
          <t>B</t>
        </is>
      </c>
    </row>
    <row r="9811">
      <c r="FC9811" t="inlineStr">
        <is>
          <t>Diccionario 9</t>
        </is>
      </c>
      <c r="FD9811" t="inlineStr">
        <is>
          <t>DC-B1851 / VLBZ-96|</t>
        </is>
      </c>
      <c r="FL9811" s="26" t="inlineStr">
        <is>
          <t>B</t>
        </is>
      </c>
      <c r="FP9811" s="26" t="inlineStr">
        <is>
          <t>B</t>
        </is>
      </c>
    </row>
    <row r="9812">
      <c r="FC9812" t="inlineStr">
        <is>
          <t>Diccionario 9</t>
        </is>
      </c>
      <c r="FD9812" t="inlineStr">
        <is>
          <t>DC-B1852 / VLCB-26|</t>
        </is>
      </c>
      <c r="FL9812" s="26" t="inlineStr">
        <is>
          <t>B</t>
        </is>
      </c>
      <c r="FP9812" s="26" t="inlineStr">
        <is>
          <t>B</t>
        </is>
      </c>
    </row>
    <row r="9813">
      <c r="FC9813" t="inlineStr">
        <is>
          <t>Diccionario 9</t>
        </is>
      </c>
      <c r="FD9813" t="inlineStr">
        <is>
          <t>DC-B1853 / VLCB-56|</t>
        </is>
      </c>
      <c r="FL9813" s="26" t="inlineStr">
        <is>
          <t>B</t>
        </is>
      </c>
      <c r="FP9813" s="26" t="inlineStr">
        <is>
          <t>B</t>
        </is>
      </c>
    </row>
    <row r="9814">
      <c r="FC9814" t="inlineStr">
        <is>
          <t>Diccionario 9</t>
        </is>
      </c>
      <c r="FD9814" t="inlineStr">
        <is>
          <t>DC-B1854 / VLCC-16|</t>
        </is>
      </c>
      <c r="FL9814" s="26" t="inlineStr">
        <is>
          <t>B</t>
        </is>
      </c>
      <c r="FP9814" s="26" t="inlineStr">
        <is>
          <t>B</t>
        </is>
      </c>
    </row>
    <row r="9815">
      <c r="FC9815" t="inlineStr">
        <is>
          <t>Diccionario 9</t>
        </is>
      </c>
      <c r="FD9815" t="inlineStr">
        <is>
          <t>DC-B1855 / VLCC-36|</t>
        </is>
      </c>
      <c r="FL9815" s="26" t="inlineStr">
        <is>
          <t>B</t>
        </is>
      </c>
      <c r="FP9815" s="26" t="inlineStr">
        <is>
          <t>B</t>
        </is>
      </c>
    </row>
    <row r="9816">
      <c r="FC9816" t="inlineStr">
        <is>
          <t>Diccionario 9</t>
        </is>
      </c>
      <c r="FD9816" t="inlineStr">
        <is>
          <t>DC-B1856 / VLCD-56|</t>
        </is>
      </c>
      <c r="FL9816" s="26" t="inlineStr">
        <is>
          <t>B</t>
        </is>
      </c>
      <c r="FP9816" s="26" t="inlineStr">
        <is>
          <t>B</t>
        </is>
      </c>
    </row>
    <row r="9817">
      <c r="FC9817" t="inlineStr">
        <is>
          <t>Diccionario 9</t>
        </is>
      </c>
      <c r="FD9817" t="inlineStr">
        <is>
          <t>DC-B1857 / VLCD-65|</t>
        </is>
      </c>
      <c r="FL9817" s="26" t="inlineStr">
        <is>
          <t>B</t>
        </is>
      </c>
      <c r="FP9817" s="26" t="inlineStr">
        <is>
          <t>B</t>
        </is>
      </c>
    </row>
    <row r="9818">
      <c r="FC9818" t="inlineStr">
        <is>
          <t>Diccionario 9</t>
        </is>
      </c>
      <c r="FD9818" t="inlineStr">
        <is>
          <t>DC-B1858 / VLCF-18|</t>
        </is>
      </c>
      <c r="FL9818" s="26" t="inlineStr">
        <is>
          <t>B</t>
        </is>
      </c>
      <c r="FP9818" s="26" t="inlineStr">
        <is>
          <t>B</t>
        </is>
      </c>
    </row>
    <row r="9819">
      <c r="FC9819" t="inlineStr">
        <is>
          <t>Diccionario 9</t>
        </is>
      </c>
      <c r="FD9819" t="inlineStr">
        <is>
          <t>DC-B1859 / VLCF-76|</t>
        </is>
      </c>
      <c r="FL9819" s="26" t="inlineStr">
        <is>
          <t>B</t>
        </is>
      </c>
      <c r="FP9819" s="26" t="inlineStr">
        <is>
          <t>B</t>
        </is>
      </c>
    </row>
    <row r="9820">
      <c r="FC9820" t="inlineStr">
        <is>
          <t>Diccionario 9</t>
        </is>
      </c>
      <c r="FD9820" t="inlineStr">
        <is>
          <t>DC-B1860 / VLCG-67|</t>
        </is>
      </c>
      <c r="FL9820" s="26" t="inlineStr">
        <is>
          <t>B</t>
        </is>
      </c>
      <c r="FP9820" s="26" t="inlineStr">
        <is>
          <t>B</t>
        </is>
      </c>
    </row>
    <row r="9821">
      <c r="FC9821" t="inlineStr">
        <is>
          <t>Diccionario 9</t>
        </is>
      </c>
      <c r="FD9821" t="inlineStr">
        <is>
          <t>DC-B1861 / VLCK-37|</t>
        </is>
      </c>
      <c r="FL9821" s="26" t="inlineStr">
        <is>
          <t>B</t>
        </is>
      </c>
      <c r="FP9821" s="26" t="inlineStr">
        <is>
          <t>B</t>
        </is>
      </c>
    </row>
    <row r="9822">
      <c r="FC9822" t="inlineStr">
        <is>
          <t>Diccionario 9</t>
        </is>
      </c>
      <c r="FD9822" t="inlineStr">
        <is>
          <t>DC-B1862 / VLCK-77|</t>
        </is>
      </c>
      <c r="FL9822" s="26" t="inlineStr">
        <is>
          <t>B</t>
        </is>
      </c>
      <c r="FP9822" s="26" t="inlineStr">
        <is>
          <t>B</t>
        </is>
      </c>
    </row>
    <row r="9823">
      <c r="FC9823" t="inlineStr">
        <is>
          <t>Diccionario 9</t>
        </is>
      </c>
      <c r="FD9823" t="inlineStr">
        <is>
          <t>DC-B1863 / VLFG-56|</t>
        </is>
      </c>
      <c r="FL9823" s="26" t="inlineStr">
        <is>
          <t>B</t>
        </is>
      </c>
      <c r="FP9823" s="26" t="inlineStr">
        <is>
          <t>B</t>
        </is>
      </c>
    </row>
    <row r="9824">
      <c r="FC9824" t="inlineStr">
        <is>
          <t>Diccionario 9</t>
        </is>
      </c>
      <c r="FD9824" t="inlineStr">
        <is>
          <t>DC-B1864 / VLFG-69|</t>
        </is>
      </c>
      <c r="FL9824" s="26" t="inlineStr">
        <is>
          <t>B</t>
        </is>
      </c>
      <c r="FP9824" s="26" t="inlineStr">
        <is>
          <t>B</t>
        </is>
      </c>
    </row>
    <row r="9825">
      <c r="FC9825" t="inlineStr">
        <is>
          <t>Diccionario 9</t>
        </is>
      </c>
      <c r="FD9825" t="inlineStr">
        <is>
          <t>DC-B1865 / VLFG-78|</t>
        </is>
      </c>
      <c r="FL9825" s="26" t="inlineStr">
        <is>
          <t>B</t>
        </is>
      </c>
      <c r="FP9825" s="26" t="inlineStr">
        <is>
          <t>B</t>
        </is>
      </c>
    </row>
    <row r="9826">
      <c r="FC9826" t="inlineStr">
        <is>
          <t>Diccionario 9</t>
        </is>
      </c>
      <c r="FD9826" t="inlineStr">
        <is>
          <t>DC-B1866 / VLFG-89|</t>
        </is>
      </c>
      <c r="FL9826" s="26" t="inlineStr">
        <is>
          <t>B</t>
        </is>
      </c>
      <c r="FP9826" s="26" t="inlineStr">
        <is>
          <t>B</t>
        </is>
      </c>
    </row>
    <row r="9827">
      <c r="FC9827" t="inlineStr">
        <is>
          <t>Diccionario 9</t>
        </is>
      </c>
      <c r="FD9827" t="inlineStr">
        <is>
          <t>DC-B1867 / VLFH-16|</t>
        </is>
      </c>
      <c r="FL9827" s="26" t="inlineStr">
        <is>
          <t>B</t>
        </is>
      </c>
      <c r="FP9827" s="26" t="inlineStr">
        <is>
          <t>B</t>
        </is>
      </c>
    </row>
    <row r="9828">
      <c r="FC9828" t="inlineStr">
        <is>
          <t>Diccionario 9</t>
        </is>
      </c>
      <c r="FD9828" t="inlineStr">
        <is>
          <t>DC-B1868 / VLFH-46|</t>
        </is>
      </c>
      <c r="FL9828" s="26" t="inlineStr">
        <is>
          <t>B</t>
        </is>
      </c>
      <c r="FP9828" s="26" t="inlineStr">
        <is>
          <t>B</t>
        </is>
      </c>
    </row>
    <row r="9829">
      <c r="FC9829" t="inlineStr">
        <is>
          <t>Diccionario 9</t>
        </is>
      </c>
      <c r="FD9829" t="inlineStr">
        <is>
          <t>LA-B1869 / VLFH-48|</t>
        </is>
      </c>
      <c r="FL9829" s="26" t="inlineStr">
        <is>
          <t>B</t>
        </is>
      </c>
      <c r="FP9829" s="26" t="inlineStr">
        <is>
          <t>B</t>
        </is>
      </c>
    </row>
    <row r="9830">
      <c r="FC9830" t="inlineStr">
        <is>
          <t>Diccionario 9</t>
        </is>
      </c>
      <c r="FD9830" t="inlineStr">
        <is>
          <t>LA-B1870 / VLFH-56|</t>
        </is>
      </c>
      <c r="FL9830" s="26" t="inlineStr">
        <is>
          <t>B</t>
        </is>
      </c>
      <c r="FP9830" s="26" t="inlineStr">
        <is>
          <t>B</t>
        </is>
      </c>
    </row>
    <row r="9831">
      <c r="FC9831" t="inlineStr">
        <is>
          <t>Diccionario 9</t>
        </is>
      </c>
      <c r="FD9831" t="inlineStr">
        <is>
          <t>LA-B1871 / VLFH-63|</t>
        </is>
      </c>
      <c r="FL9831" s="26" t="inlineStr">
        <is>
          <t>B</t>
        </is>
      </c>
      <c r="FP9831" s="26" t="inlineStr">
        <is>
          <t>B</t>
        </is>
      </c>
    </row>
    <row r="9832">
      <c r="FC9832" t="inlineStr">
        <is>
          <t>Diccionario 9</t>
        </is>
      </c>
      <c r="FD9832" t="inlineStr">
        <is>
          <t>LA-B1872 / VLFJ-57|</t>
        </is>
      </c>
      <c r="FL9832" s="26" t="inlineStr">
        <is>
          <t>B</t>
        </is>
      </c>
      <c r="FP9832" s="26" t="inlineStr">
        <is>
          <t>B</t>
        </is>
      </c>
    </row>
    <row r="9833">
      <c r="FC9833" t="inlineStr">
        <is>
          <t>Diccionario 9</t>
        </is>
      </c>
      <c r="FD9833" t="inlineStr">
        <is>
          <t>LA-B1873 / VLFJ-62|</t>
        </is>
      </c>
      <c r="FL9833" s="26" t="inlineStr">
        <is>
          <t>B</t>
        </is>
      </c>
      <c r="FP9833" s="26" t="inlineStr">
        <is>
          <t>B</t>
        </is>
      </c>
    </row>
    <row r="9834">
      <c r="FC9834" t="inlineStr">
        <is>
          <t>Diccionario 9</t>
        </is>
      </c>
      <c r="FD9834" t="inlineStr">
        <is>
          <t>LA-B1874 / VLFJ-65|</t>
        </is>
      </c>
      <c r="FL9834" s="26" t="inlineStr">
        <is>
          <t>B</t>
        </is>
      </c>
      <c r="FP9834" s="26" t="inlineStr">
        <is>
          <t>B</t>
        </is>
      </c>
    </row>
    <row r="9835">
      <c r="FC9835" t="inlineStr">
        <is>
          <t>Diccionario 9</t>
        </is>
      </c>
      <c r="FD9835" t="inlineStr">
        <is>
          <t>LA-B1875 / VLFJ-82|</t>
        </is>
      </c>
      <c r="FL9835" s="26" t="inlineStr">
        <is>
          <t>B</t>
        </is>
      </c>
      <c r="FP9835" s="26" t="inlineStr">
        <is>
          <t>B</t>
        </is>
      </c>
    </row>
    <row r="9836">
      <c r="FC9836" t="inlineStr">
        <is>
          <t>Diccionario 9</t>
        </is>
      </c>
      <c r="FD9836" t="inlineStr">
        <is>
          <t>LA-B1876 / VLFJ-85|</t>
        </is>
      </c>
      <c r="FL9836" s="26" t="inlineStr">
        <is>
          <t>B</t>
        </is>
      </c>
      <c r="FP9836" s="26" t="inlineStr">
        <is>
          <t>B</t>
        </is>
      </c>
    </row>
    <row r="9837">
      <c r="FC9837" t="inlineStr">
        <is>
          <t>Diccionario 9</t>
        </is>
      </c>
      <c r="FD9837" t="inlineStr">
        <is>
          <t>LA-B1877 / VLLY-27|</t>
        </is>
      </c>
      <c r="FL9837" s="26" t="inlineStr">
        <is>
          <t>B</t>
        </is>
      </c>
      <c r="FP9837" s="26" t="inlineStr">
        <is>
          <t>B</t>
        </is>
      </c>
    </row>
    <row r="9838">
      <c r="FC9838" t="inlineStr">
        <is>
          <t>Diccionario 9</t>
        </is>
      </c>
      <c r="FD9838" t="inlineStr">
        <is>
          <t>LA-B1878 / VLPD-24|</t>
        </is>
      </c>
      <c r="FL9838" s="26" t="inlineStr">
        <is>
          <t>B</t>
        </is>
      </c>
      <c r="FP9838" s="26" t="inlineStr">
        <is>
          <t>B</t>
        </is>
      </c>
    </row>
    <row r="9839">
      <c r="FC9839" t="inlineStr">
        <is>
          <t>Diccionario 9</t>
        </is>
      </c>
      <c r="FD9839" t="inlineStr">
        <is>
          <t>LA-B1879 / VLRS-46|</t>
        </is>
      </c>
      <c r="FL9839" s="26" t="inlineStr">
        <is>
          <t>B</t>
        </is>
      </c>
      <c r="FP9839" s="26" t="inlineStr">
        <is>
          <t>B</t>
        </is>
      </c>
    </row>
    <row r="9840">
      <c r="FC9840" t="inlineStr">
        <is>
          <t>Diccionario 9</t>
        </is>
      </c>
      <c r="FD9840" t="inlineStr">
        <is>
          <t>LA-A1880 / VLSD-60|</t>
        </is>
      </c>
      <c r="FL9840" s="26" t="inlineStr">
        <is>
          <t>A</t>
        </is>
      </c>
      <c r="FP9840" s="26" t="inlineStr">
        <is>
          <t>A</t>
        </is>
      </c>
    </row>
    <row r="9841">
      <c r="FC9841" t="inlineStr">
        <is>
          <t>Diccionario 9</t>
        </is>
      </c>
      <c r="FD9841" t="inlineStr">
        <is>
          <t>LA-A1881 / VLSD-66|</t>
        </is>
      </c>
      <c r="FL9841" s="26" t="inlineStr">
        <is>
          <t>A</t>
        </is>
      </c>
      <c r="FP9841" s="26" t="inlineStr">
        <is>
          <t>A</t>
        </is>
      </c>
    </row>
    <row r="9842">
      <c r="FC9842" t="inlineStr">
        <is>
          <t>Diccionario 9</t>
        </is>
      </c>
      <c r="FD9842" t="inlineStr">
        <is>
          <t>LA-A1882 / VLSD-67|</t>
        </is>
      </c>
      <c r="FL9842" s="26" t="inlineStr">
        <is>
          <t>A</t>
        </is>
      </c>
      <c r="FP9842" s="26" t="inlineStr">
        <is>
          <t>A</t>
        </is>
      </c>
    </row>
    <row r="9843">
      <c r="FC9843" t="inlineStr">
        <is>
          <t>Diccionario 9</t>
        </is>
      </c>
      <c r="FD9843" t="inlineStr">
        <is>
          <t>LA-A1883 / VLSD-68|</t>
        </is>
      </c>
      <c r="FL9843" s="26" t="inlineStr">
        <is>
          <t>A</t>
        </is>
      </c>
      <c r="FP9843" s="26" t="inlineStr">
        <is>
          <t>A</t>
        </is>
      </c>
    </row>
    <row r="9844">
      <c r="FC9844" t="inlineStr">
        <is>
          <t>Diccionario 9</t>
        </is>
      </c>
      <c r="FD9844" t="inlineStr">
        <is>
          <t>LA-A1884 / VLSD-70|</t>
        </is>
      </c>
      <c r="FL9844" s="26" t="inlineStr">
        <is>
          <t>A</t>
        </is>
      </c>
      <c r="FP9844" s="26" t="inlineStr">
        <is>
          <t>A</t>
        </is>
      </c>
    </row>
    <row r="9845">
      <c r="FC9845" t="inlineStr">
        <is>
          <t>Diccionario 9</t>
        </is>
      </c>
      <c r="FD9845" t="inlineStr">
        <is>
          <t>LA-A1885 / VLSD-77|</t>
        </is>
      </c>
      <c r="FL9845" s="26" t="inlineStr">
        <is>
          <t>A</t>
        </is>
      </c>
      <c r="FP9845" s="26" t="inlineStr">
        <is>
          <t>A</t>
        </is>
      </c>
    </row>
    <row r="9846">
      <c r="FC9846" t="inlineStr">
        <is>
          <t>Diccionario 9</t>
        </is>
      </c>
      <c r="FD9846" t="inlineStr">
        <is>
          <t>LA-A1886 / VLSJ-88|</t>
        </is>
      </c>
      <c r="FL9846" s="26" t="inlineStr">
        <is>
          <t>A</t>
        </is>
      </c>
      <c r="FP9846" s="26" t="inlineStr">
        <is>
          <t>A</t>
        </is>
      </c>
    </row>
    <row r="9847">
      <c r="FC9847" t="inlineStr">
        <is>
          <t>Diccionario 9</t>
        </is>
      </c>
      <c r="FD9847" t="inlineStr">
        <is>
          <t>LA-A1887 / VLSK-17|</t>
        </is>
      </c>
      <c r="FL9847" s="26" t="inlineStr">
        <is>
          <t>A</t>
        </is>
      </c>
      <c r="FP9847" s="26" t="inlineStr">
        <is>
          <t>A</t>
        </is>
      </c>
    </row>
    <row r="9848">
      <c r="FC9848" t="inlineStr">
        <is>
          <t>Diccionario 9</t>
        </is>
      </c>
      <c r="FD9848" t="inlineStr">
        <is>
          <t>LA-A1888 / VLSK-18|</t>
        </is>
      </c>
      <c r="FL9848" s="26" t="inlineStr">
        <is>
          <t>A</t>
        </is>
      </c>
      <c r="FP9848" s="26" t="inlineStr">
        <is>
          <t>A</t>
        </is>
      </c>
    </row>
    <row r="9849">
      <c r="FC9849" t="inlineStr">
        <is>
          <t>Diccionario 9</t>
        </is>
      </c>
      <c r="FD9849" t="inlineStr">
        <is>
          <t>LA-B1889 / VLSK-19|</t>
        </is>
      </c>
      <c r="FL9849" s="26" t="inlineStr">
        <is>
          <t>B</t>
        </is>
      </c>
      <c r="FP9849" s="26" t="inlineStr">
        <is>
          <t>B</t>
        </is>
      </c>
    </row>
    <row r="9850">
      <c r="FC9850" t="inlineStr">
        <is>
          <t>Diccionario 9</t>
        </is>
      </c>
      <c r="FD9850" t="inlineStr">
        <is>
          <t>LA-B1890 / VLSK-23|</t>
        </is>
      </c>
      <c r="FL9850" s="26" t="inlineStr">
        <is>
          <t>B</t>
        </is>
      </c>
      <c r="FP9850" s="26" t="inlineStr">
        <is>
          <t>B</t>
        </is>
      </c>
    </row>
    <row r="9851">
      <c r="FC9851" t="inlineStr">
        <is>
          <t>Diccionario 9</t>
        </is>
      </c>
      <c r="FD9851" t="inlineStr">
        <is>
          <t>LA-B1891 / VLSK-25|</t>
        </is>
      </c>
      <c r="FL9851" s="26" t="inlineStr">
        <is>
          <t>B</t>
        </is>
      </c>
      <c r="FP9851" s="26" t="inlineStr">
        <is>
          <t>B</t>
        </is>
      </c>
    </row>
    <row r="9852">
      <c r="FC9852" t="inlineStr">
        <is>
          <t>Diccionario 9</t>
        </is>
      </c>
      <c r="FD9852" t="inlineStr">
        <is>
          <t>LA-B1892 / VLSK-26|</t>
        </is>
      </c>
      <c r="FL9852" s="26" t="inlineStr">
        <is>
          <t>B</t>
        </is>
      </c>
      <c r="FP9852" s="26" t="inlineStr">
        <is>
          <t>B</t>
        </is>
      </c>
    </row>
    <row r="9853">
      <c r="FC9853" t="inlineStr">
        <is>
          <t>Diccionario 9</t>
        </is>
      </c>
      <c r="FD9853" t="inlineStr">
        <is>
          <t>LA-B1893 / VLSK-29|</t>
        </is>
      </c>
      <c r="FL9853" s="26" t="inlineStr">
        <is>
          <t>B</t>
        </is>
      </c>
      <c r="FP9853" s="26" t="inlineStr">
        <is>
          <t>B</t>
        </is>
      </c>
    </row>
    <row r="9854">
      <c r="FC9854" t="inlineStr">
        <is>
          <t>Diccionario 9</t>
        </is>
      </c>
      <c r="FD9854" t="inlineStr">
        <is>
          <t>LA-B1894 / VLSK-30|</t>
        </is>
      </c>
      <c r="FL9854" s="26" t="inlineStr">
        <is>
          <t>B</t>
        </is>
      </c>
      <c r="FP9854" s="26" t="inlineStr">
        <is>
          <t>B</t>
        </is>
      </c>
    </row>
    <row r="9855">
      <c r="FC9855" t="inlineStr">
        <is>
          <t>Diccionario 9</t>
        </is>
      </c>
      <c r="FD9855" t="inlineStr">
        <is>
          <t>LA-B1895 / VLSK-39|</t>
        </is>
      </c>
      <c r="FL9855" s="26" t="inlineStr">
        <is>
          <t>B</t>
        </is>
      </c>
      <c r="FP9855" s="26" t="inlineStr">
        <is>
          <t>B</t>
        </is>
      </c>
    </row>
    <row r="9856">
      <c r="FC9856" t="inlineStr">
        <is>
          <t>Diccionario 9</t>
        </is>
      </c>
      <c r="FD9856" t="inlineStr">
        <is>
          <t>LA-B1896 / VLSK-44|</t>
        </is>
      </c>
      <c r="FL9856" s="26" t="inlineStr">
        <is>
          <t>B</t>
        </is>
      </c>
      <c r="FP9856" s="26" t="inlineStr">
        <is>
          <t>B</t>
        </is>
      </c>
    </row>
    <row r="9857">
      <c r="FC9857" t="inlineStr">
        <is>
          <t>Diccionario 9</t>
        </is>
      </c>
      <c r="FD9857" t="inlineStr">
        <is>
          <t>LA-B1897 / VLSK-46|</t>
        </is>
      </c>
      <c r="FL9857" s="26" t="inlineStr">
        <is>
          <t>B</t>
        </is>
      </c>
      <c r="FP9857" s="26" t="inlineStr">
        <is>
          <t>B</t>
        </is>
      </c>
    </row>
    <row r="9858">
      <c r="FC9858" t="inlineStr">
        <is>
          <t>Diccionario 9</t>
        </is>
      </c>
      <c r="FD9858" t="inlineStr">
        <is>
          <t>LA-B1898 / VLSK-53|</t>
        </is>
      </c>
      <c r="FL9858" s="26" t="inlineStr">
        <is>
          <t>B</t>
        </is>
      </c>
      <c r="FP9858" s="26" t="inlineStr">
        <is>
          <t>B</t>
        </is>
      </c>
    </row>
    <row r="9859">
      <c r="FC9859" t="inlineStr">
        <is>
          <t>Diccionario 9</t>
        </is>
      </c>
      <c r="FD9859" t="inlineStr">
        <is>
          <t>LA-B1899 / VLSK-64|</t>
        </is>
      </c>
      <c r="FL9859" s="26" t="inlineStr">
        <is>
          <t>B</t>
        </is>
      </c>
      <c r="FP9859" s="26" t="inlineStr">
        <is>
          <t>B</t>
        </is>
      </c>
    </row>
    <row r="9860">
      <c r="FC9860" t="inlineStr">
        <is>
          <t>Diccionario 9</t>
        </is>
      </c>
      <c r="FD9860" t="inlineStr">
        <is>
          <t>LA-B1900 / VLSK-70|</t>
        </is>
      </c>
      <c r="FL9860" s="26" t="inlineStr">
        <is>
          <t>B</t>
        </is>
      </c>
      <c r="FP9860" s="26" t="inlineStr">
        <is>
          <t>B</t>
        </is>
      </c>
    </row>
    <row r="9861">
      <c r="FC9861" t="inlineStr">
        <is>
          <t>Diccionario 9</t>
        </is>
      </c>
      <c r="FD9861" t="inlineStr">
        <is>
          <t>LA-B1901 / VLSK-77|</t>
        </is>
      </c>
      <c r="FL9861" s="26" t="inlineStr">
        <is>
          <t>B</t>
        </is>
      </c>
      <c r="FP9861" s="26" t="inlineStr">
        <is>
          <t>B</t>
        </is>
      </c>
    </row>
    <row r="9862">
      <c r="FC9862" t="inlineStr">
        <is>
          <t>Diccionario 9</t>
        </is>
      </c>
      <c r="FD9862" t="inlineStr">
        <is>
          <t>LA-B1902 / VLSK-86|</t>
        </is>
      </c>
      <c r="FL9862" s="26" t="inlineStr">
        <is>
          <t>B</t>
        </is>
      </c>
      <c r="FP9862" s="26" t="inlineStr">
        <is>
          <t>B</t>
        </is>
      </c>
    </row>
    <row r="9863">
      <c r="FC9863" t="inlineStr">
        <is>
          <t>Diccionario 9</t>
        </is>
      </c>
      <c r="FD9863" t="inlineStr">
        <is>
          <t>LA-B1903 / VLSK-93|</t>
        </is>
      </c>
      <c r="FL9863" s="26" t="inlineStr">
        <is>
          <t>B</t>
        </is>
      </c>
      <c r="FP9863" s="26" t="inlineStr">
        <is>
          <t>B</t>
        </is>
      </c>
    </row>
    <row r="9864">
      <c r="FC9864" t="inlineStr">
        <is>
          <t>Diccionario 9</t>
        </is>
      </c>
      <c r="FD9864" t="inlineStr">
        <is>
          <t>LA-B1904 / VLSK-95|</t>
        </is>
      </c>
      <c r="FL9864" s="26" t="inlineStr">
        <is>
          <t>B</t>
        </is>
      </c>
      <c r="FP9864" s="26" t="inlineStr">
        <is>
          <t>B</t>
        </is>
      </c>
    </row>
    <row r="9865">
      <c r="FC9865" t="inlineStr">
        <is>
          <t>Diccionario 9</t>
        </is>
      </c>
      <c r="FD9865" t="inlineStr">
        <is>
          <t>LA-B1905 / VLSK-99|</t>
        </is>
      </c>
      <c r="FL9865" s="26" t="inlineStr">
        <is>
          <t>B</t>
        </is>
      </c>
      <c r="FP9865" s="26" t="inlineStr">
        <is>
          <t>B</t>
        </is>
      </c>
    </row>
    <row r="9866">
      <c r="FC9866" t="inlineStr">
        <is>
          <t>Diccionario 9</t>
        </is>
      </c>
      <c r="FD9866" t="inlineStr">
        <is>
          <t>LA-B1906 / VLSL-10|</t>
        </is>
      </c>
      <c r="FL9866" s="26" t="inlineStr">
        <is>
          <t>B</t>
        </is>
      </c>
      <c r="FP9866" s="26" t="inlineStr">
        <is>
          <t>B</t>
        </is>
      </c>
    </row>
    <row r="9867">
      <c r="FC9867" t="inlineStr">
        <is>
          <t>Diccionario 9</t>
        </is>
      </c>
      <c r="FD9867" t="inlineStr">
        <is>
          <t>LA-B1907 / VLSL-16|</t>
        </is>
      </c>
      <c r="FL9867" s="26" t="inlineStr">
        <is>
          <t>B</t>
        </is>
      </c>
      <c r="FP9867" s="26" t="inlineStr">
        <is>
          <t>B</t>
        </is>
      </c>
    </row>
    <row r="9868">
      <c r="FC9868" t="inlineStr">
        <is>
          <t>Diccionario 9</t>
        </is>
      </c>
      <c r="FD9868" t="inlineStr">
        <is>
          <t>LA-B1908 / VLSL-25|</t>
        </is>
      </c>
      <c r="FL9868" s="26" t="inlineStr">
        <is>
          <t>B</t>
        </is>
      </c>
      <c r="FP9868" s="26" t="inlineStr">
        <is>
          <t>B</t>
        </is>
      </c>
    </row>
    <row r="9869">
      <c r="FC9869" t="inlineStr">
        <is>
          <t>Diccionario 9</t>
        </is>
      </c>
      <c r="FD9869" t="inlineStr">
        <is>
          <t>LA-B1909 / VLSS-34|</t>
        </is>
      </c>
      <c r="FL9869" s="26" t="inlineStr">
        <is>
          <t>B</t>
        </is>
      </c>
      <c r="FP9869" s="26" t="inlineStr">
        <is>
          <t>B</t>
        </is>
      </c>
    </row>
    <row r="9870">
      <c r="FC9870" t="inlineStr">
        <is>
          <t>Diccionario 9</t>
        </is>
      </c>
      <c r="FD9870" t="inlineStr">
        <is>
          <t>LA-B1910 / VLSS-37|</t>
        </is>
      </c>
      <c r="FL9870" s="26" t="inlineStr">
        <is>
          <t>B</t>
        </is>
      </c>
      <c r="FP9870" s="26" t="inlineStr">
        <is>
          <t>B</t>
        </is>
      </c>
    </row>
    <row r="9871">
      <c r="FC9871" t="inlineStr">
        <is>
          <t>Diccionario 9</t>
        </is>
      </c>
      <c r="FD9871" t="inlineStr">
        <is>
          <t>LA-B1911 / VLSS-45|</t>
        </is>
      </c>
      <c r="FL9871" s="26" t="inlineStr">
        <is>
          <t>B</t>
        </is>
      </c>
      <c r="FP9871" s="26" t="inlineStr">
        <is>
          <t>B</t>
        </is>
      </c>
    </row>
    <row r="9872">
      <c r="FC9872" t="inlineStr">
        <is>
          <t>Diccionario 9</t>
        </is>
      </c>
      <c r="FD9872" t="inlineStr">
        <is>
          <t>LA-B1912 / VLSS-69|</t>
        </is>
      </c>
      <c r="FL9872" s="26" t="inlineStr">
        <is>
          <t>B</t>
        </is>
      </c>
      <c r="FP9872" s="26" t="inlineStr">
        <is>
          <t>B</t>
        </is>
      </c>
    </row>
    <row r="9873">
      <c r="FC9873" t="inlineStr">
        <is>
          <t>Diccionario 9</t>
        </is>
      </c>
      <c r="FD9873" t="inlineStr">
        <is>
          <t>LA-B1913 / VLSS-88|</t>
        </is>
      </c>
      <c r="FL9873" s="26" t="inlineStr">
        <is>
          <t>B</t>
        </is>
      </c>
      <c r="FP9873" s="26" t="inlineStr">
        <is>
          <t>B</t>
        </is>
      </c>
    </row>
    <row r="9874">
      <c r="FC9874" t="inlineStr">
        <is>
          <t>Diccionario 9</t>
        </is>
      </c>
      <c r="FD9874" t="inlineStr">
        <is>
          <t>LA-B1914 / VLST-15|</t>
        </is>
      </c>
      <c r="FL9874" s="26" t="inlineStr">
        <is>
          <t>B</t>
        </is>
      </c>
      <c r="FP9874" s="26" t="inlineStr">
        <is>
          <t>B</t>
        </is>
      </c>
    </row>
    <row r="9875">
      <c r="FC9875" t="inlineStr">
        <is>
          <t>Diccionario 9</t>
        </is>
      </c>
      <c r="FD9875" t="inlineStr">
        <is>
          <t>LA-B1915 / VLST-23|</t>
        </is>
      </c>
      <c r="FL9875" s="26" t="inlineStr">
        <is>
          <t>B</t>
        </is>
      </c>
      <c r="FP9875" s="26" t="inlineStr">
        <is>
          <t>B</t>
        </is>
      </c>
    </row>
    <row r="9876">
      <c r="FC9876" t="inlineStr">
        <is>
          <t>Diccionario 9</t>
        </is>
      </c>
      <c r="FD9876" t="inlineStr">
        <is>
          <t>LA-B1916 / VLST-92|</t>
        </is>
      </c>
      <c r="FL9876" s="26" t="inlineStr">
        <is>
          <t>B</t>
        </is>
      </c>
      <c r="FP9876" s="26" t="inlineStr">
        <is>
          <t>B</t>
        </is>
      </c>
    </row>
    <row r="9877">
      <c r="FC9877" t="inlineStr">
        <is>
          <t>Diccionario 9</t>
        </is>
      </c>
      <c r="FD9877" t="inlineStr">
        <is>
          <t>LA-B1917 / VLSV-15|</t>
        </is>
      </c>
      <c r="FL9877" s="26" t="inlineStr">
        <is>
          <t>B</t>
        </is>
      </c>
      <c r="FP9877" s="26" t="inlineStr">
        <is>
          <t>B</t>
        </is>
      </c>
    </row>
    <row r="9878">
      <c r="FC9878" t="inlineStr">
        <is>
          <t>Diccionario 9</t>
        </is>
      </c>
      <c r="FD9878" t="inlineStr">
        <is>
          <t>LA-B1918 / VLSV-32|</t>
        </is>
      </c>
      <c r="FL9878" s="26" t="inlineStr">
        <is>
          <t>B</t>
        </is>
      </c>
      <c r="FP9878" s="26" t="inlineStr">
        <is>
          <t>B</t>
        </is>
      </c>
    </row>
    <row r="9879">
      <c r="FC9879" t="inlineStr">
        <is>
          <t>Diccionario 9</t>
        </is>
      </c>
      <c r="FD9879" t="inlineStr">
        <is>
          <t>LA-B1919 / VLSW-32|</t>
        </is>
      </c>
      <c r="FL9879" s="26" t="inlineStr">
        <is>
          <t>B</t>
        </is>
      </c>
      <c r="FP9879" s="26" t="inlineStr">
        <is>
          <t>B</t>
        </is>
      </c>
    </row>
    <row r="9880">
      <c r="FC9880" t="inlineStr">
        <is>
          <t>Diccionario 9</t>
        </is>
      </c>
      <c r="FD9880" t="inlineStr">
        <is>
          <t>LA-B1920 / VLSY-93|</t>
        </is>
      </c>
      <c r="FL9880" s="26" t="inlineStr">
        <is>
          <t>B</t>
        </is>
      </c>
      <c r="FP9880" s="26" t="inlineStr">
        <is>
          <t>B</t>
        </is>
      </c>
    </row>
    <row r="9881">
      <c r="FC9881" t="inlineStr">
        <is>
          <t>Diccionario 9</t>
        </is>
      </c>
      <c r="FD9881" t="inlineStr">
        <is>
          <t>LA-B1921 / VLSY-95|</t>
        </is>
      </c>
      <c r="FL9881" s="26" t="inlineStr">
        <is>
          <t>B</t>
        </is>
      </c>
      <c r="FP9881" s="26" t="inlineStr">
        <is>
          <t>B</t>
        </is>
      </c>
    </row>
    <row r="9882">
      <c r="FC9882" t="inlineStr">
        <is>
          <t>Diccionario 9</t>
        </is>
      </c>
      <c r="FD9882" t="inlineStr">
        <is>
          <t>LA-B1922 / VLSY-96|</t>
        </is>
      </c>
      <c r="FL9882" s="26" t="inlineStr">
        <is>
          <t>B</t>
        </is>
      </c>
      <c r="FP9882" s="26" t="inlineStr">
        <is>
          <t>B</t>
        </is>
      </c>
    </row>
    <row r="9883">
      <c r="FC9883" t="inlineStr">
        <is>
          <t>Diccionario 9</t>
        </is>
      </c>
      <c r="FD9883" t="inlineStr">
        <is>
          <t>LA-B1923 / VLSY-97|</t>
        </is>
      </c>
      <c r="FL9883" s="26" t="inlineStr">
        <is>
          <t>B</t>
        </is>
      </c>
      <c r="FP9883" s="26" t="inlineStr">
        <is>
          <t>B</t>
        </is>
      </c>
    </row>
    <row r="9884">
      <c r="FC9884" t="inlineStr">
        <is>
          <t>Diccionario 9</t>
        </is>
      </c>
      <c r="FD9884" t="inlineStr">
        <is>
          <t>LA-B1924 / VLSY-98|</t>
        </is>
      </c>
      <c r="FL9884" s="26" t="inlineStr">
        <is>
          <t>B</t>
        </is>
      </c>
      <c r="FP9884" s="26" t="inlineStr">
        <is>
          <t>B</t>
        </is>
      </c>
    </row>
    <row r="9885">
      <c r="FC9885" t="inlineStr">
        <is>
          <t>Diccionario 9</t>
        </is>
      </c>
      <c r="FD9885" t="inlineStr">
        <is>
          <t>LA-B1925 / VLSZ-15|</t>
        </is>
      </c>
      <c r="FL9885" s="26" t="inlineStr">
        <is>
          <t>B</t>
        </is>
      </c>
      <c r="FP9885" s="26" t="inlineStr">
        <is>
          <t>B</t>
        </is>
      </c>
    </row>
    <row r="9886">
      <c r="FC9886" t="inlineStr">
        <is>
          <t>Diccionario 9</t>
        </is>
      </c>
      <c r="FD9886" t="inlineStr">
        <is>
          <t>LA-B1926 / VLSZ-16|</t>
        </is>
      </c>
      <c r="FL9886" s="26" t="inlineStr">
        <is>
          <t>B</t>
        </is>
      </c>
      <c r="FP9886" s="26" t="inlineStr">
        <is>
          <t>B</t>
        </is>
      </c>
    </row>
    <row r="9887">
      <c r="FC9887" t="inlineStr">
        <is>
          <t>Diccionario 9</t>
        </is>
      </c>
      <c r="FD9887" t="inlineStr">
        <is>
          <t>LA-B1927 / VLSZ-23|</t>
        </is>
      </c>
      <c r="FL9887" s="26" t="inlineStr">
        <is>
          <t>B</t>
        </is>
      </c>
      <c r="FP9887" s="26" t="inlineStr">
        <is>
          <t>B</t>
        </is>
      </c>
    </row>
    <row r="9888">
      <c r="FC9888" t="inlineStr">
        <is>
          <t>Diccionario 9</t>
        </is>
      </c>
      <c r="FD9888" t="inlineStr">
        <is>
          <t>LA-B1928 / VLSZ-25|</t>
        </is>
      </c>
      <c r="FL9888" s="26" t="inlineStr">
        <is>
          <t>B</t>
        </is>
      </c>
      <c r="FP9888" s="26" t="inlineStr">
        <is>
          <t>B</t>
        </is>
      </c>
    </row>
    <row r="9889">
      <c r="FC9889" t="inlineStr">
        <is>
          <t>Diccionario 9</t>
        </is>
      </c>
      <c r="FD9889" t="inlineStr">
        <is>
          <t>LA-B1929 / VLSZ-26|</t>
        </is>
      </c>
      <c r="FL9889" s="26" t="inlineStr">
        <is>
          <t>B</t>
        </is>
      </c>
      <c r="FP9889" s="26" t="inlineStr">
        <is>
          <t>B</t>
        </is>
      </c>
    </row>
    <row r="9890">
      <c r="FC9890" t="inlineStr">
        <is>
          <t>Diccionario 9</t>
        </is>
      </c>
      <c r="FD9890" t="inlineStr">
        <is>
          <t>LA-B1930 / VLSZ-46|</t>
        </is>
      </c>
      <c r="FL9890" s="26" t="inlineStr">
        <is>
          <t>B</t>
        </is>
      </c>
      <c r="FP9890" s="26" t="inlineStr">
        <is>
          <t>B</t>
        </is>
      </c>
    </row>
    <row r="9891">
      <c r="FC9891" t="inlineStr">
        <is>
          <t>Diccionario 9</t>
        </is>
      </c>
      <c r="FD9891" t="inlineStr">
        <is>
          <t>LA-B1931 / VLSZ-52|</t>
        </is>
      </c>
      <c r="FL9891" s="26" t="inlineStr">
        <is>
          <t>B</t>
        </is>
      </c>
      <c r="FP9891" s="26" t="inlineStr">
        <is>
          <t>B</t>
        </is>
      </c>
    </row>
    <row r="9892">
      <c r="FC9892" t="inlineStr">
        <is>
          <t>Diccionario 9</t>
        </is>
      </c>
      <c r="FD9892" t="inlineStr">
        <is>
          <t>LA-B1932 / VLSZ-54|</t>
        </is>
      </c>
      <c r="FL9892" s="26" t="inlineStr">
        <is>
          <t>B</t>
        </is>
      </c>
      <c r="FP9892" s="26" t="inlineStr">
        <is>
          <t>B</t>
        </is>
      </c>
    </row>
    <row r="9893">
      <c r="FC9893" t="inlineStr">
        <is>
          <t>Diccionario 9</t>
        </is>
      </c>
      <c r="FD9893" t="inlineStr">
        <is>
          <t>LA-B1933 / VLSZ-65|</t>
        </is>
      </c>
      <c r="FL9893" s="26" t="inlineStr">
        <is>
          <t>B</t>
        </is>
      </c>
      <c r="FP9893" s="26" t="inlineStr">
        <is>
          <t>B</t>
        </is>
      </c>
    </row>
    <row r="9894">
      <c r="FC9894" t="inlineStr">
        <is>
          <t>Diccionario 9</t>
        </is>
      </c>
      <c r="FD9894" t="inlineStr">
        <is>
          <t>LA-B1934 / VLSZ-68|</t>
        </is>
      </c>
      <c r="FL9894" s="26" t="inlineStr">
        <is>
          <t>B</t>
        </is>
      </c>
      <c r="FP9894" s="26" t="inlineStr">
        <is>
          <t>B</t>
        </is>
      </c>
    </row>
    <row r="9895">
      <c r="FC9895" t="inlineStr">
        <is>
          <t>Diccionario 9</t>
        </is>
      </c>
      <c r="FD9895" t="inlineStr">
        <is>
          <t>LA-B1935 / VLSZ-75|</t>
        </is>
      </c>
      <c r="FL9895" s="26" t="inlineStr">
        <is>
          <t>B</t>
        </is>
      </c>
      <c r="FP9895" s="26" t="inlineStr">
        <is>
          <t>B</t>
        </is>
      </c>
    </row>
    <row r="9896">
      <c r="FC9896" t="inlineStr">
        <is>
          <t>Diccionario 9</t>
        </is>
      </c>
      <c r="FD9896" t="inlineStr">
        <is>
          <t>LA-B1936 / VLTB-15|</t>
        </is>
      </c>
      <c r="FL9896" s="26" t="inlineStr">
        <is>
          <t>B</t>
        </is>
      </c>
      <c r="FP9896" s="26" t="inlineStr">
        <is>
          <t>B</t>
        </is>
      </c>
    </row>
    <row r="9897">
      <c r="FC9897" t="inlineStr">
        <is>
          <t>Diccionario 9</t>
        </is>
      </c>
      <c r="FD9897" t="inlineStr">
        <is>
          <t>LA-B1937 / VLTB-35|</t>
        </is>
      </c>
      <c r="FL9897" s="26" t="inlineStr">
        <is>
          <t>B</t>
        </is>
      </c>
      <c r="FP9897" s="26" t="inlineStr">
        <is>
          <t>B</t>
        </is>
      </c>
    </row>
    <row r="9898">
      <c r="FC9898" t="inlineStr">
        <is>
          <t>Diccionario 9</t>
        </is>
      </c>
      <c r="FD9898" t="inlineStr">
        <is>
          <t>LA-B1938 / VLTB-43|</t>
        </is>
      </c>
      <c r="FL9898" s="26" t="inlineStr">
        <is>
          <t>B</t>
        </is>
      </c>
      <c r="FP9898" s="26" t="inlineStr">
        <is>
          <t>B</t>
        </is>
      </c>
    </row>
    <row r="9899">
      <c r="FC9899" t="inlineStr">
        <is>
          <t>Diccionario 9</t>
        </is>
      </c>
      <c r="FD9899" t="inlineStr">
        <is>
          <t>LA-B1939 / VLTB-85|</t>
        </is>
      </c>
      <c r="FL9899" s="26" t="inlineStr">
        <is>
          <t>B</t>
        </is>
      </c>
      <c r="FP9899" s="26" t="inlineStr">
        <is>
          <t>B</t>
        </is>
      </c>
    </row>
    <row r="9900">
      <c r="FC9900" t="inlineStr">
        <is>
          <t>Diccionario 9</t>
        </is>
      </c>
      <c r="FD9900" t="inlineStr">
        <is>
          <t>LA-B1940 / VLTB-93|</t>
        </is>
      </c>
      <c r="FL9900" s="26" t="inlineStr">
        <is>
          <t>B</t>
        </is>
      </c>
      <c r="FP9900" s="26" t="inlineStr">
        <is>
          <t>B</t>
        </is>
      </c>
    </row>
    <row r="9901">
      <c r="FC9901" t="inlineStr">
        <is>
          <t>Diccionario 9</t>
        </is>
      </c>
      <c r="FD9901" t="inlineStr">
        <is>
          <t>LA-B1941 / VLTB-94|</t>
        </is>
      </c>
      <c r="FL9901" s="26" t="inlineStr">
        <is>
          <t>B</t>
        </is>
      </c>
      <c r="FP9901" s="26" t="inlineStr">
        <is>
          <t>B</t>
        </is>
      </c>
    </row>
    <row r="9902">
      <c r="FC9902" t="inlineStr">
        <is>
          <t>Diccionario 9</t>
        </is>
      </c>
      <c r="FD9902" t="inlineStr">
        <is>
          <t>LA-B1942 / VLTC-16|</t>
        </is>
      </c>
      <c r="FL9902" s="26" t="inlineStr">
        <is>
          <t>B</t>
        </is>
      </c>
      <c r="FP9902" s="26" t="inlineStr">
        <is>
          <t>B</t>
        </is>
      </c>
    </row>
    <row r="9903">
      <c r="FC9903" t="inlineStr">
        <is>
          <t>Diccionario 9</t>
        </is>
      </c>
      <c r="FD9903" t="inlineStr">
        <is>
          <t>LA-B1943 / VLTC-17|</t>
        </is>
      </c>
      <c r="FL9903" s="26" t="inlineStr">
        <is>
          <t>B</t>
        </is>
      </c>
      <c r="FP9903" s="26" t="inlineStr">
        <is>
          <t>B</t>
        </is>
      </c>
    </row>
    <row r="9904">
      <c r="FC9904" t="inlineStr">
        <is>
          <t>Diccionario 9</t>
        </is>
      </c>
      <c r="FD9904" t="inlineStr">
        <is>
          <t>LA-B1944 / VLTC-21|</t>
        </is>
      </c>
      <c r="FL9904" s="26" t="inlineStr">
        <is>
          <t>B</t>
        </is>
      </c>
      <c r="FP9904" s="26" t="inlineStr">
        <is>
          <t>B</t>
        </is>
      </c>
    </row>
    <row r="9905">
      <c r="FC9905" t="inlineStr">
        <is>
          <t>Diccionario 9</t>
        </is>
      </c>
      <c r="FD9905" t="inlineStr">
        <is>
          <t>LA-B1945 / VLTC-23|</t>
        </is>
      </c>
      <c r="FL9905" s="26" t="inlineStr">
        <is>
          <t>B</t>
        </is>
      </c>
      <c r="FP9905" s="26" t="inlineStr">
        <is>
          <t>B</t>
        </is>
      </c>
    </row>
    <row r="9906">
      <c r="FC9906" t="inlineStr">
        <is>
          <t>Diccionario 9</t>
        </is>
      </c>
      <c r="FD9906" t="inlineStr">
        <is>
          <t>LA-B1946 / VLTC-32|</t>
        </is>
      </c>
      <c r="FL9906" s="26" t="inlineStr">
        <is>
          <t>B</t>
        </is>
      </c>
      <c r="FP9906" s="26" t="inlineStr">
        <is>
          <t>B</t>
        </is>
      </c>
    </row>
    <row r="9907">
      <c r="FC9907" t="inlineStr">
        <is>
          <t>Diccionario 9</t>
        </is>
      </c>
      <c r="FD9907" t="inlineStr">
        <is>
          <t>LA-B1947 / VLTC-33|</t>
        </is>
      </c>
      <c r="FL9907" s="26" t="inlineStr">
        <is>
          <t>B</t>
        </is>
      </c>
      <c r="FP9907" s="26" t="inlineStr">
        <is>
          <t>B</t>
        </is>
      </c>
    </row>
    <row r="9908">
      <c r="FC9908" t="inlineStr">
        <is>
          <t>Diccionario 9</t>
        </is>
      </c>
      <c r="FD9908" t="inlineStr">
        <is>
          <t>LA-B1948 / VLTC-34|</t>
        </is>
      </c>
      <c r="FL9908" s="26" t="inlineStr">
        <is>
          <t>B</t>
        </is>
      </c>
      <c r="FP9908" s="26" t="inlineStr">
        <is>
          <t>B</t>
        </is>
      </c>
    </row>
    <row r="9909">
      <c r="FC9909" t="inlineStr">
        <is>
          <t>Diccionario 9</t>
        </is>
      </c>
      <c r="FD9909" t="inlineStr">
        <is>
          <t>LA-B1949 / VLTC-35|</t>
        </is>
      </c>
      <c r="FL9909" s="26" t="inlineStr">
        <is>
          <t>B</t>
        </is>
      </c>
      <c r="FP9909" s="26" t="inlineStr">
        <is>
          <t>B</t>
        </is>
      </c>
      <c r="FS9909" t="inlineStr">
        <is>
          <t>RC-BP1429 / GCBC-25|</t>
        </is>
      </c>
    </row>
    <row r="9910">
      <c r="FC9910" t="inlineStr">
        <is>
          <t>Diccionario 9</t>
        </is>
      </c>
      <c r="FD9910" t="inlineStr">
        <is>
          <t>LA-B1950 / VLTC-36|</t>
        </is>
      </c>
      <c r="FL9910" s="26" t="inlineStr">
        <is>
          <t>B</t>
        </is>
      </c>
      <c r="FP9910" s="26" t="inlineStr">
        <is>
          <t>B</t>
        </is>
      </c>
    </row>
    <row r="9911">
      <c r="FC9911" t="inlineStr">
        <is>
          <t>Diccionario 9</t>
        </is>
      </c>
      <c r="FD9911" t="inlineStr">
        <is>
          <t>LA-B1951 / VLTC-37|</t>
        </is>
      </c>
      <c r="FL9911" s="26" t="inlineStr">
        <is>
          <t>B</t>
        </is>
      </c>
      <c r="FP9911" s="26" t="inlineStr">
        <is>
          <t>B</t>
        </is>
      </c>
    </row>
    <row r="9912">
      <c r="FC9912" t="inlineStr">
        <is>
          <t>Diccionario 9</t>
        </is>
      </c>
      <c r="FD9912" t="inlineStr">
        <is>
          <t>LA-B1952 / VLTC-43|</t>
        </is>
      </c>
      <c r="FL9912" s="26" t="inlineStr">
        <is>
          <t>B</t>
        </is>
      </c>
      <c r="FP9912" s="26" t="inlineStr">
        <is>
          <t>B</t>
        </is>
      </c>
    </row>
    <row r="9913">
      <c r="FC9913" t="inlineStr">
        <is>
          <t>Diccionario 9</t>
        </is>
      </c>
      <c r="FD9913" t="inlineStr">
        <is>
          <t>LA-B1953 / VLTC-44|</t>
        </is>
      </c>
      <c r="FL9913" s="26" t="inlineStr">
        <is>
          <t>B</t>
        </is>
      </c>
      <c r="FP9913" s="26" t="inlineStr">
        <is>
          <t>B</t>
        </is>
      </c>
    </row>
    <row r="9914">
      <c r="FC9914" t="inlineStr">
        <is>
          <t>Diccionario 9</t>
        </is>
      </c>
      <c r="FD9914" t="inlineStr">
        <is>
          <t>LA-B1954 / VLTC-45|</t>
        </is>
      </c>
      <c r="FL9914" s="26" t="inlineStr">
        <is>
          <t>B</t>
        </is>
      </c>
      <c r="FP9914" s="26" t="inlineStr">
        <is>
          <t>B</t>
        </is>
      </c>
    </row>
    <row r="9915">
      <c r="FC9915" t="inlineStr">
        <is>
          <t>Diccionario 9</t>
        </is>
      </c>
      <c r="FD9915" t="inlineStr">
        <is>
          <t>LA-B1955 / VLTC-53|</t>
        </is>
      </c>
      <c r="FL9915" s="26" t="inlineStr">
        <is>
          <t>B</t>
        </is>
      </c>
      <c r="FP9915" s="26" t="inlineStr">
        <is>
          <t>B</t>
        </is>
      </c>
    </row>
    <row r="9916">
      <c r="FC9916" t="inlineStr">
        <is>
          <t>Diccionario 9</t>
        </is>
      </c>
      <c r="FD9916" t="inlineStr">
        <is>
          <t>LA-B1956 / VLTC-62|</t>
        </is>
      </c>
      <c r="FL9916" s="26" t="inlineStr">
        <is>
          <t>B</t>
        </is>
      </c>
      <c r="FP9916" s="26" t="inlineStr">
        <is>
          <t>B</t>
        </is>
      </c>
    </row>
    <row r="9917">
      <c r="FC9917" t="inlineStr">
        <is>
          <t>Diccionario 9</t>
        </is>
      </c>
      <c r="FD9917" t="inlineStr">
        <is>
          <t>LA-B1957 / VLTC-92|</t>
        </is>
      </c>
      <c r="FL9917" s="26" t="inlineStr">
        <is>
          <t>B</t>
        </is>
      </c>
      <c r="FP9917" s="26" t="inlineStr">
        <is>
          <t>B</t>
        </is>
      </c>
    </row>
    <row r="9918">
      <c r="FC9918" t="inlineStr">
        <is>
          <t>Diccionario 9</t>
        </is>
      </c>
      <c r="FD9918" t="inlineStr">
        <is>
          <t>LA-B1958 / VPBC-75|</t>
        </is>
      </c>
      <c r="FL9918" s="26" t="inlineStr">
        <is>
          <t>B</t>
        </is>
      </c>
      <c r="FP9918" s="26" t="inlineStr">
        <is>
          <t>B</t>
        </is>
      </c>
    </row>
    <row r="9919">
      <c r="FC9919" t="inlineStr">
        <is>
          <t>Diccionario 9</t>
        </is>
      </c>
      <c r="FD9919" t="inlineStr">
        <is>
          <t>LA-B1959 / VPBD-15|</t>
        </is>
      </c>
      <c r="FL9919" s="26" t="inlineStr">
        <is>
          <t>B</t>
        </is>
      </c>
      <c r="FP9919" s="26" t="inlineStr">
        <is>
          <t>B</t>
        </is>
      </c>
    </row>
    <row r="9920">
      <c r="FC9920" t="inlineStr">
        <is>
          <t>Diccionario 9</t>
        </is>
      </c>
      <c r="FD9920" t="inlineStr">
        <is>
          <t>LA-B1960 / VPBD-25|</t>
        </is>
      </c>
      <c r="FL9920" s="26" t="inlineStr">
        <is>
          <t>B</t>
        </is>
      </c>
      <c r="FP9920" s="26" t="inlineStr">
        <is>
          <t>B</t>
        </is>
      </c>
    </row>
    <row r="9921">
      <c r="FC9921" t="inlineStr">
        <is>
          <t>Diccionario 9</t>
        </is>
      </c>
      <c r="FD9921" t="inlineStr">
        <is>
          <t>LA-B1961 / VPBD-64|</t>
        </is>
      </c>
      <c r="FL9921" s="26" t="inlineStr">
        <is>
          <t>B</t>
        </is>
      </c>
      <c r="FP9921" s="26" t="inlineStr">
        <is>
          <t>B</t>
        </is>
      </c>
    </row>
    <row r="9922">
      <c r="FC9922" t="inlineStr">
        <is>
          <t>Diccionario 9</t>
        </is>
      </c>
      <c r="FD9922" t="inlineStr">
        <is>
          <t>LA-B1962 / VPBD-84|</t>
        </is>
      </c>
      <c r="FL9922" s="26" t="inlineStr">
        <is>
          <t>B</t>
        </is>
      </c>
      <c r="FP9922" s="26" t="inlineStr">
        <is>
          <t>B</t>
        </is>
      </c>
    </row>
    <row r="9923">
      <c r="FC9923" t="inlineStr">
        <is>
          <t>Diccionario 9</t>
        </is>
      </c>
      <c r="FD9923" t="inlineStr">
        <is>
          <t>LA-B1963 / VPBF-11|</t>
        </is>
      </c>
      <c r="FL9923" s="26" t="inlineStr">
        <is>
          <t>B</t>
        </is>
      </c>
      <c r="FP9923" s="26" t="inlineStr">
        <is>
          <t>B</t>
        </is>
      </c>
    </row>
    <row r="9924">
      <c r="FC9924" t="inlineStr">
        <is>
          <t>Diccionario 9</t>
        </is>
      </c>
      <c r="FD9924" t="inlineStr">
        <is>
          <t>LA-B1964 / VPBF-13|</t>
        </is>
      </c>
      <c r="FL9924" s="26" t="inlineStr">
        <is>
          <t>B</t>
        </is>
      </c>
      <c r="FP9924" s="26" t="inlineStr">
        <is>
          <t>B</t>
        </is>
      </c>
    </row>
    <row r="9925">
      <c r="FC9925" t="inlineStr">
        <is>
          <t>Diccionario 9</t>
        </is>
      </c>
      <c r="FD9925" t="inlineStr">
        <is>
          <t>LA-B1965 / VPBF-14|</t>
        </is>
      </c>
      <c r="FL9925" s="26" t="inlineStr">
        <is>
          <t>B</t>
        </is>
      </c>
      <c r="FP9925" s="26" t="inlineStr">
        <is>
          <t>B</t>
        </is>
      </c>
    </row>
    <row r="9926">
      <c r="FC9926" t="inlineStr">
        <is>
          <t>Diccionario 9</t>
        </is>
      </c>
      <c r="FD9926" t="inlineStr">
        <is>
          <t>LA-B1966 / VPBF-41|</t>
        </is>
      </c>
      <c r="FL9926" s="26" t="inlineStr">
        <is>
          <t>B</t>
        </is>
      </c>
      <c r="FP9926" s="26" t="inlineStr">
        <is>
          <t>B</t>
        </is>
      </c>
    </row>
    <row r="9927">
      <c r="FC9927" t="inlineStr">
        <is>
          <t>Diccionario 9</t>
        </is>
      </c>
      <c r="FD9927" t="inlineStr">
        <is>
          <t>LA-B1967 / VPBF-51|</t>
        </is>
      </c>
      <c r="FL9927" s="26" t="inlineStr">
        <is>
          <t>B</t>
        </is>
      </c>
      <c r="FP9927" s="26" t="inlineStr">
        <is>
          <t>B</t>
        </is>
      </c>
    </row>
    <row r="9928">
      <c r="FC9928" t="inlineStr">
        <is>
          <t>Diccionario 9</t>
        </is>
      </c>
      <c r="FD9928" t="inlineStr">
        <is>
          <t>LA-B1968 / VPBF-63|</t>
        </is>
      </c>
      <c r="FL9928" s="26" t="inlineStr">
        <is>
          <t>B</t>
        </is>
      </c>
      <c r="FP9928" s="26" t="inlineStr">
        <is>
          <t>B</t>
        </is>
      </c>
    </row>
    <row r="9929">
      <c r="FC9929" t="inlineStr">
        <is>
          <t>Diccionario 9</t>
        </is>
      </c>
      <c r="FD9929" t="inlineStr">
        <is>
          <t>LA-B1969 / VPBF-71|</t>
        </is>
      </c>
      <c r="FL9929" s="26" t="inlineStr">
        <is>
          <t>B</t>
        </is>
      </c>
      <c r="FP9929" s="26" t="inlineStr">
        <is>
          <t>B</t>
        </is>
      </c>
    </row>
    <row r="9930">
      <c r="FC9930" t="inlineStr">
        <is>
          <t>Diccionario 9</t>
        </is>
      </c>
      <c r="FD9930" t="inlineStr">
        <is>
          <t>LA-B1970 / VPBF-93|</t>
        </is>
      </c>
      <c r="FL9930" s="26" t="inlineStr">
        <is>
          <t>B</t>
        </is>
      </c>
      <c r="FP9930" s="26" t="inlineStr">
        <is>
          <t>B</t>
        </is>
      </c>
    </row>
    <row r="9931">
      <c r="FC9931" t="inlineStr">
        <is>
          <t>Diccionario 9</t>
        </is>
      </c>
      <c r="FD9931" t="inlineStr">
        <is>
          <t>LA-B1971 / VPBG-88|</t>
        </is>
      </c>
      <c r="FL9931" s="26" t="inlineStr">
        <is>
          <t>B</t>
        </is>
      </c>
      <c r="FP9931" s="26" t="inlineStr">
        <is>
          <t>B</t>
        </is>
      </c>
    </row>
    <row r="9932">
      <c r="FC9932" t="inlineStr">
        <is>
          <t>Diccionario 9</t>
        </is>
      </c>
      <c r="FD9932" t="inlineStr">
        <is>
          <t>LA-B1972 / VPBK-91|</t>
        </is>
      </c>
      <c r="FL9932" s="26" t="inlineStr">
        <is>
          <t>B</t>
        </is>
      </c>
      <c r="FP9932" s="26" t="inlineStr">
        <is>
          <t>B</t>
        </is>
      </c>
    </row>
    <row r="9933">
      <c r="FC9933" t="inlineStr">
        <is>
          <t>Diccionario Aparte</t>
        </is>
      </c>
      <c r="FD9933" s="8" t="inlineStr">
        <is>
          <t>RC-BP1429 / GCBC-25|</t>
        </is>
      </c>
      <c r="FL9933" s="26" t="inlineStr">
        <is>
          <t>BPAL</t>
        </is>
      </c>
      <c r="FP9933" s="26" t="inlineStr">
        <is>
          <t>BPAL</t>
        </is>
      </c>
    </row>
  </sheetData>
  <autoFilter ref="HL1:HO1">
    <sortState ref="HL2:HO55">
      <sortCondition ref="HO1"/>
    </sortState>
  </autoFilter>
  <mergeCells count="2">
    <mergeCell ref="BI11:BO11"/>
    <mergeCell ref="BR11:BX11"/>
  </mergeCells>
  <conditionalFormatting sqref="A13:I547">
    <cfRule type="expression" priority="64" dxfId="0">
      <formula>"si a=1"</formula>
    </cfRule>
  </conditionalFormatting>
  <conditionalFormatting sqref="D13:D547">
    <cfRule type="cellIs" priority="88" operator="equal" dxfId="7">
      <formula>"SOBREOFERTA"</formula>
    </cfRule>
    <cfRule type="cellIs" priority="87" operator="equal" dxfId="6">
      <formula>"DEFICIT"</formula>
    </cfRule>
    <cfRule type="cellIs" priority="86" operator="equal" dxfId="8">
      <formula>"OK"</formula>
    </cfRule>
  </conditionalFormatting>
  <conditionalFormatting sqref="E4:E5">
    <cfRule type="expression" priority="7" dxfId="0">
      <formula>"si a=1"</formula>
    </cfRule>
  </conditionalFormatting>
  <conditionalFormatting sqref="H13:H547">
    <cfRule type="cellIs" priority="82" operator="equal" dxfId="34">
      <formula>"RETRASO &gt;10 MIN"</formula>
    </cfRule>
    <cfRule type="cellIs" priority="85" operator="equal" dxfId="8">
      <formula>"OK"</formula>
    </cfRule>
    <cfRule type="cellIs" priority="84" operator="equal" dxfId="7">
      <formula>"RETRASO DE 3-5 MIN"</formula>
    </cfRule>
    <cfRule type="cellIs" priority="83" operator="equal" dxfId="7">
      <formula>"RETRASO DE 5-10 MIN"</formula>
    </cfRule>
    <cfRule type="cellIs" priority="81" operator="equal" dxfId="35">
      <formula>"ADELANTO"</formula>
    </cfRule>
  </conditionalFormatting>
  <conditionalFormatting sqref="Z13:Z547">
    <cfRule type="cellIs" priority="15" operator="lessThanOrEqual" dxfId="2">
      <formula>0</formula>
    </cfRule>
    <cfRule type="cellIs" priority="12" operator="between" dxfId="3">
      <formula>0.9</formula>
      <formula>5</formula>
    </cfRule>
    <cfRule type="cellIs" priority="13" operator="between" dxfId="4">
      <formula>0.875</formula>
      <formula>0.9</formula>
    </cfRule>
    <cfRule type="cellIs" priority="14" operator="between" dxfId="1">
      <formula>0.875</formula>
      <formula>0.0000001</formula>
    </cfRule>
  </conditionalFormatting>
  <conditionalFormatting sqref="H14:H547 AA13:AB547">
    <cfRule type="expression" priority="93" dxfId="0">
      <formula>"si a=1"</formula>
    </cfRule>
  </conditionalFormatting>
  <conditionalFormatting sqref="AF13:AG26">
    <cfRule type="expression" priority="62" dxfId="0">
      <formula>"si a=1"</formula>
    </cfRule>
  </conditionalFormatting>
  <conditionalFormatting sqref="AH13:AH547">
    <cfRule type="cellIs" priority="73" operator="equal" dxfId="8">
      <formula>"OK"</formula>
    </cfRule>
    <cfRule type="expression" priority="76" dxfId="0">
      <formula>"si a=1"</formula>
    </cfRule>
    <cfRule type="cellIs" priority="75" operator="equal" dxfId="7">
      <formula>"SOBREOFERTA"</formula>
    </cfRule>
    <cfRule type="cellIs" priority="74" operator="equal" dxfId="6">
      <formula>"DEFICIT"</formula>
    </cfRule>
  </conditionalFormatting>
  <conditionalFormatting sqref="AI4:AI5">
    <cfRule type="expression" priority="6" dxfId="0">
      <formula>"si a=1"</formula>
    </cfRule>
  </conditionalFormatting>
  <conditionalFormatting sqref="AL13:AL547">
    <cfRule type="cellIs" priority="16" operator="equal" dxfId="35">
      <formula>"ADELANTO"</formula>
    </cfRule>
    <cfRule type="cellIs" priority="17" operator="equal" dxfId="34">
      <formula>"RETRASO &gt;10 MIN"</formula>
    </cfRule>
    <cfRule type="cellIs" priority="18" operator="equal" dxfId="7">
      <formula>"RETRASO DE 5-10 MIN"</formula>
    </cfRule>
    <cfRule type="cellIs" priority="19" operator="equal" dxfId="7">
      <formula>"RETRASO DE 3-5 MIN"</formula>
    </cfRule>
    <cfRule type="cellIs" priority="20" operator="equal" dxfId="8">
      <formula>"OK"</formula>
    </cfRule>
    <cfRule type="expression" priority="21" dxfId="0">
      <formula>"si a=1"</formula>
    </cfRule>
  </conditionalFormatting>
  <conditionalFormatting sqref="BD13:BD547">
    <cfRule type="cellIs" priority="9" operator="between" dxfId="4">
      <formula>0.875</formula>
      <formula>0.9</formula>
    </cfRule>
    <cfRule type="cellIs" priority="8" operator="between" dxfId="3">
      <formula>0.9</formula>
      <formula>5</formula>
    </cfRule>
    <cfRule type="cellIs" priority="11" operator="lessThanOrEqual" dxfId="2">
      <formula>0</formula>
    </cfRule>
    <cfRule type="cellIs" priority="10" operator="between" dxfId="1">
      <formula>0.875</formula>
      <formula>0.0000001</formula>
    </cfRule>
  </conditionalFormatting>
  <conditionalFormatting sqref="BL13:BL36">
    <cfRule type="cellIs" priority="60" operator="between" dxfId="7">
      <formula>0.92</formula>
      <formula>0.9999</formula>
    </cfRule>
    <cfRule type="cellIs" priority="61" operator="equal" dxfId="8">
      <formula>1</formula>
    </cfRule>
    <cfRule type="cellIs" priority="58" operator="between" dxfId="5">
      <formula>0</formula>
      <formula>0.75</formula>
    </cfRule>
    <cfRule type="cellIs" priority="59" operator="between" dxfId="6">
      <formula>0.75</formula>
      <formula>0.92</formula>
    </cfRule>
  </conditionalFormatting>
  <conditionalFormatting sqref="BL40:BO40">
    <cfRule type="cellIs" priority="36" operator="between" dxfId="7">
      <formula>0.92</formula>
      <formula>0.9999</formula>
    </cfRule>
    <cfRule type="cellIs" priority="37" operator="equal" dxfId="8">
      <formula>1</formula>
    </cfRule>
    <cfRule type="cellIs" priority="35" operator="between" dxfId="6">
      <formula>0.75</formula>
      <formula>0.92</formula>
    </cfRule>
    <cfRule type="cellIs" priority="34" operator="between" dxfId="5">
      <formula>0</formula>
      <formula>0.75</formula>
    </cfRule>
  </conditionalFormatting>
  <conditionalFormatting sqref="BO13:BO36">
    <cfRule type="cellIs" priority="50" operator="between" dxfId="3">
      <formula>0.9</formula>
      <formula>5</formula>
    </cfRule>
    <cfRule type="cellIs" priority="51" operator="between" dxfId="4">
      <formula>0.875</formula>
      <formula>0.9</formula>
    </cfRule>
    <cfRule type="cellIs" priority="52" operator="between" dxfId="1">
      <formula>0.875</formula>
      <formula>0.0000001</formula>
    </cfRule>
    <cfRule type="cellIs" priority="53" operator="lessThanOrEqual" dxfId="2">
      <formula>0</formula>
    </cfRule>
  </conditionalFormatting>
  <conditionalFormatting sqref="BU13:BU36">
    <cfRule type="cellIs" priority="54" operator="between" dxfId="5">
      <formula>0</formula>
      <formula>0.75</formula>
    </cfRule>
    <cfRule type="cellIs" priority="56" operator="between" dxfId="7">
      <formula>0.92</formula>
      <formula>0.9999</formula>
    </cfRule>
    <cfRule type="cellIs" priority="57" operator="equal" dxfId="8">
      <formula>1</formula>
    </cfRule>
    <cfRule type="cellIs" priority="55" operator="between" dxfId="6">
      <formula>0.75</formula>
      <formula>0.92</formula>
    </cfRule>
  </conditionalFormatting>
  <conditionalFormatting sqref="BU40:BX40">
    <cfRule type="cellIs" priority="25" operator="equal" dxfId="8">
      <formula>1</formula>
    </cfRule>
    <cfRule type="cellIs" priority="24" operator="between" dxfId="7">
      <formula>0.92</formula>
      <formula>0.9999</formula>
    </cfRule>
    <cfRule type="cellIs" priority="23" operator="between" dxfId="6">
      <formula>0.75</formula>
      <formula>0.92</formula>
    </cfRule>
    <cfRule type="cellIs" priority="22" operator="between" dxfId="5">
      <formula>0</formula>
      <formula>0.75</formula>
    </cfRule>
  </conditionalFormatting>
  <conditionalFormatting sqref="BX13:BX36">
    <cfRule type="cellIs" priority="47" operator="between" dxfId="4">
      <formula>0.875</formula>
      <formula>0.9</formula>
    </cfRule>
    <cfRule type="cellIs" priority="46" operator="between" dxfId="3">
      <formula>0.9</formula>
      <formula>5</formula>
    </cfRule>
    <cfRule type="cellIs" priority="49" operator="lessThanOrEqual" dxfId="2">
      <formula>0</formula>
    </cfRule>
    <cfRule type="cellIs" priority="48" operator="between" dxfId="1">
      <formula>0.875</formula>
      <formula>0.0000001</formula>
    </cfRule>
  </conditionalFormatting>
  <conditionalFormatting sqref="FD6056">
    <cfRule type="expression" priority="66" dxfId="0">
      <formula>"si a=1"</formula>
    </cfRule>
  </conditionalFormatting>
  <conditionalFormatting sqref="X13:X547">
    <cfRule type="expression" priority="63" dxfId="61" stopIfTrue="1">
      <formula>AND(ISNUMBER(X13),ISNUMBER(W13),MOD(X13-W13+0.5,1)-0.5&lt;-1/1440)</formula>
    </cfRule>
    <cfRule type="expression" priority="64" dxfId="62" stopIfTrue="1">
      <formula>AND(ISNUMBER(X13),ISNUMBER(W13),MOD(X13-W13+0.5,1)-0.5&gt;=-1/1440,MOD(X13-W13+0.5,1)-0.5&lt;=4/1440)</formula>
    </cfRule>
    <cfRule type="expression" priority="65" dxfId="63" stopIfTrue="1">
      <formula>AND(ISNUMBER(X13),ISNUMBER(W13),MOD(X13-W13+0.5,1)-0.5&gt;4/1440)</formula>
    </cfRule>
  </conditionalFormatting>
  <conditionalFormatting sqref="BB13:BB547">
    <cfRule type="expression" priority="66" dxfId="61" stopIfTrue="1">
      <formula>AND(ISNUMBER(BB13),ISNUMBER(BA13),MOD(BB13-BA13+0.5,1)-0.5&lt;-1/1440)</formula>
    </cfRule>
    <cfRule type="expression" priority="67" dxfId="62" stopIfTrue="1">
      <formula>AND(ISNUMBER(BB13),ISNUMBER(BA13),MOD(BB13-BA13+0.5,1)-0.5&gt;=-1/1440,MOD(BB13-BA13+0.5,1)-0.5&lt;=4/1440)</formula>
    </cfRule>
    <cfRule type="expression" priority="68" dxfId="63" stopIfTrue="1">
      <formula>AND(ISNUMBER(BB13),ISNUMBER(BA13),MOD(BB13-BA13+0.5,1)-0.5&gt;4/1440)</formula>
    </cfRule>
  </conditionalFormatting>
  <dataValidations count="1">
    <dataValidation sqref="AA13:AA547 BE13:BE547" showDropDown="0" showInputMessage="1" showErrorMessage="1" allowBlank="1" type="list">
      <formula1>$IB$18:$IB$34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Juan Andres Garcia Lopez</dc:creator>
  <dcterms:created xsi:type="dcterms:W3CDTF">2026-07-26T05:03:42Z</dcterms:created>
  <dcterms:modified xsi:type="dcterms:W3CDTF">2026-09-09T15:07:42Z</dcterms:modified>
  <cp:lastModifiedBy>Juan Andres Garcia Lopez</cp:lastModifiedBy>
</cp:coreProperties>
</file>